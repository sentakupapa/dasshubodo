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93c66291abbb427/デスクトップ/"/>
    </mc:Choice>
  </mc:AlternateContent>
  <xr:revisionPtr revIDLastSave="0" documentId="8_{59C170F1-063E-4E76-9FEE-5D225FCECD7B}" xr6:coauthVersionLast="47" xr6:coauthVersionMax="47" xr10:uidLastSave="{00000000-0000-0000-0000-000000000000}"/>
  <bookViews>
    <workbookView xWindow="-108" yWindow="-108" windowWidth="23256" windowHeight="12456" firstSheet="10" activeTab="14" xr2:uid="{222E0BDA-A7A3-4037-B6A6-BC1F0C45F457}"/>
  </bookViews>
  <sheets>
    <sheet name="元データ" sheetId="2" r:id="rId1"/>
    <sheet name="元データ_14項目" sheetId="8" r:id="rId2"/>
    <sheet name="元データ_加工" sheetId="9" r:id="rId3"/>
    <sheet name="店舗マスタ" sheetId="3" r:id="rId4"/>
    <sheet name="1_昨対表" sheetId="4" r:id="rId5"/>
    <sheet name="2_ワイシャツ_ズボン_ジャケット" sheetId="5" r:id="rId6"/>
    <sheet name="3_アプリ_BD" sheetId="6" r:id="rId7"/>
    <sheet name="4_ダイヤモンド" sheetId="7" r:id="rId8"/>
    <sheet name="5_14項目" sheetId="10" r:id="rId9"/>
    <sheet name="6_加工" sheetId="11" r:id="rId10"/>
    <sheet name="ピボット_売上" sheetId="14" r:id="rId11"/>
    <sheet name="ピボット_14項目" sheetId="15" r:id="rId12"/>
    <sheet name="ピボット_加工" sheetId="16" r:id="rId13"/>
    <sheet name="ピボット_項目別" sheetId="17" r:id="rId14"/>
    <sheet name="比較グラフ" sheetId="18" r:id="rId15"/>
  </sheets>
  <calcPr calcId="191029"/>
  <pivotCaches>
    <pivotCache cacheId="27" r:id="rId16"/>
    <pivotCache cacheId="21" r:id="rId17"/>
    <pivotCache cacheId="26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8" l="1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D17" i="18"/>
  <c r="D16" i="18"/>
  <c r="D15" i="18"/>
  <c r="D14" i="18"/>
  <c r="D13" i="18"/>
  <c r="D12" i="18"/>
  <c r="D11" i="18"/>
  <c r="D10" i="18"/>
  <c r="D9" i="18"/>
  <c r="D8" i="18"/>
  <c r="D7" i="18"/>
  <c r="D6" i="18"/>
  <c r="O8" i="18"/>
  <c r="N8" i="18"/>
  <c r="O7" i="18"/>
  <c r="N7" i="18"/>
  <c r="O6" i="18"/>
  <c r="N6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K6" i="18"/>
  <c r="J6" i="18"/>
  <c r="I6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G6" i="18"/>
  <c r="F6" i="18"/>
  <c r="E6" i="18"/>
  <c r="C7" i="11"/>
  <c r="D7" i="11"/>
  <c r="E7" i="11"/>
  <c r="F7" i="11"/>
  <c r="G7" i="11"/>
  <c r="H7" i="11"/>
  <c r="I7" i="11"/>
  <c r="J7" i="11"/>
  <c r="K7" i="11"/>
  <c r="L7" i="11"/>
  <c r="M7" i="11"/>
  <c r="N7" i="11"/>
  <c r="C8" i="11"/>
  <c r="D8" i="11"/>
  <c r="E8" i="11"/>
  <c r="F8" i="11"/>
  <c r="G8" i="11"/>
  <c r="H8" i="11"/>
  <c r="I8" i="11"/>
  <c r="J8" i="11"/>
  <c r="K8" i="11"/>
  <c r="L8" i="11"/>
  <c r="M8" i="11"/>
  <c r="N8" i="11"/>
  <c r="C9" i="11"/>
  <c r="D9" i="11"/>
  <c r="E9" i="11"/>
  <c r="F9" i="11"/>
  <c r="G9" i="11"/>
  <c r="H9" i="11"/>
  <c r="I9" i="11"/>
  <c r="J9" i="11"/>
  <c r="K9" i="11"/>
  <c r="L9" i="11"/>
  <c r="M9" i="11"/>
  <c r="N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C687" i="11"/>
  <c r="D687" i="11"/>
  <c r="E687" i="11"/>
  <c r="F687" i="11"/>
  <c r="G687" i="11"/>
  <c r="H687" i="11"/>
  <c r="I687" i="11"/>
  <c r="J687" i="11"/>
  <c r="K687" i="11"/>
  <c r="L687" i="11"/>
  <c r="M687" i="11"/>
  <c r="N687" i="11"/>
  <c r="C688" i="11"/>
  <c r="D688" i="11"/>
  <c r="E688" i="11"/>
  <c r="F688" i="11"/>
  <c r="G688" i="11"/>
  <c r="H688" i="11"/>
  <c r="I688" i="11"/>
  <c r="J688" i="11"/>
  <c r="K688" i="11"/>
  <c r="L688" i="11"/>
  <c r="M688" i="11"/>
  <c r="N688" i="11"/>
  <c r="C689" i="11"/>
  <c r="D689" i="11"/>
  <c r="E689" i="11"/>
  <c r="F689" i="11"/>
  <c r="G689" i="11"/>
  <c r="H689" i="11"/>
  <c r="I689" i="11"/>
  <c r="J689" i="11"/>
  <c r="K689" i="11"/>
  <c r="L689" i="11"/>
  <c r="M689" i="11"/>
  <c r="N689" i="11"/>
  <c r="C690" i="11"/>
  <c r="D690" i="11"/>
  <c r="E690" i="11"/>
  <c r="F690" i="11"/>
  <c r="G690" i="11"/>
  <c r="H690" i="11"/>
  <c r="I690" i="11"/>
  <c r="J690" i="11"/>
  <c r="K690" i="11"/>
  <c r="L690" i="11"/>
  <c r="M690" i="11"/>
  <c r="N690" i="11"/>
  <c r="C691" i="11"/>
  <c r="D691" i="11"/>
  <c r="E691" i="11"/>
  <c r="F691" i="11"/>
  <c r="G691" i="11"/>
  <c r="H691" i="11"/>
  <c r="I691" i="11"/>
  <c r="J691" i="11"/>
  <c r="K691" i="11"/>
  <c r="L691" i="11"/>
  <c r="M691" i="11"/>
  <c r="N691" i="11"/>
  <c r="C692" i="11"/>
  <c r="D692" i="11"/>
  <c r="E692" i="11"/>
  <c r="F692" i="11"/>
  <c r="G692" i="11"/>
  <c r="H692" i="11"/>
  <c r="I692" i="11"/>
  <c r="J692" i="11"/>
  <c r="K692" i="11"/>
  <c r="L692" i="11"/>
  <c r="M692" i="11"/>
  <c r="N692" i="11"/>
  <c r="C693" i="11"/>
  <c r="D693" i="11"/>
  <c r="E693" i="11"/>
  <c r="F693" i="11"/>
  <c r="G693" i="11"/>
  <c r="H693" i="11"/>
  <c r="I693" i="11"/>
  <c r="J693" i="11"/>
  <c r="K693" i="11"/>
  <c r="L693" i="11"/>
  <c r="M693" i="11"/>
  <c r="N693" i="11"/>
  <c r="C694" i="11"/>
  <c r="D694" i="11"/>
  <c r="E694" i="11"/>
  <c r="F694" i="11"/>
  <c r="G694" i="11"/>
  <c r="H694" i="11"/>
  <c r="I694" i="11"/>
  <c r="J694" i="11"/>
  <c r="K694" i="11"/>
  <c r="L694" i="11"/>
  <c r="M694" i="11"/>
  <c r="N694" i="11"/>
  <c r="C695" i="11"/>
  <c r="D695" i="11"/>
  <c r="E695" i="11"/>
  <c r="F695" i="11"/>
  <c r="G695" i="11"/>
  <c r="H695" i="11"/>
  <c r="I695" i="11"/>
  <c r="J695" i="11"/>
  <c r="K695" i="11"/>
  <c r="L695" i="11"/>
  <c r="M695" i="11"/>
  <c r="N695" i="11"/>
  <c r="C696" i="11"/>
  <c r="D696" i="11"/>
  <c r="E696" i="11"/>
  <c r="F696" i="11"/>
  <c r="G696" i="11"/>
  <c r="H696" i="11"/>
  <c r="I696" i="11"/>
  <c r="J696" i="11"/>
  <c r="K696" i="11"/>
  <c r="L696" i="11"/>
  <c r="M696" i="11"/>
  <c r="N696" i="11"/>
  <c r="C697" i="11"/>
  <c r="D697" i="11"/>
  <c r="E697" i="11"/>
  <c r="F697" i="11"/>
  <c r="G697" i="11"/>
  <c r="H697" i="11"/>
  <c r="I697" i="11"/>
  <c r="J697" i="11"/>
  <c r="K697" i="11"/>
  <c r="L697" i="11"/>
  <c r="M697" i="11"/>
  <c r="N697" i="11"/>
  <c r="C698" i="11"/>
  <c r="D698" i="11"/>
  <c r="E698" i="11"/>
  <c r="F698" i="11"/>
  <c r="G698" i="11"/>
  <c r="H698" i="11"/>
  <c r="I698" i="11"/>
  <c r="J698" i="11"/>
  <c r="K698" i="11"/>
  <c r="L698" i="11"/>
  <c r="M698" i="11"/>
  <c r="N698" i="11"/>
  <c r="C699" i="11"/>
  <c r="D699" i="11"/>
  <c r="E699" i="11"/>
  <c r="F699" i="11"/>
  <c r="G699" i="11"/>
  <c r="H699" i="11"/>
  <c r="I699" i="11"/>
  <c r="J699" i="11"/>
  <c r="K699" i="11"/>
  <c r="L699" i="11"/>
  <c r="M699" i="11"/>
  <c r="N699" i="11"/>
  <c r="C700" i="11"/>
  <c r="D700" i="11"/>
  <c r="E700" i="11"/>
  <c r="F700" i="11"/>
  <c r="G700" i="11"/>
  <c r="H700" i="11"/>
  <c r="I700" i="11"/>
  <c r="J700" i="11"/>
  <c r="K700" i="11"/>
  <c r="L700" i="11"/>
  <c r="M700" i="11"/>
  <c r="N700" i="11"/>
  <c r="C701" i="11"/>
  <c r="D701" i="11"/>
  <c r="E701" i="11"/>
  <c r="F701" i="11"/>
  <c r="G701" i="11"/>
  <c r="H701" i="11"/>
  <c r="I701" i="11"/>
  <c r="J701" i="11"/>
  <c r="K701" i="11"/>
  <c r="L701" i="11"/>
  <c r="M701" i="11"/>
  <c r="N701" i="11"/>
  <c r="C702" i="11"/>
  <c r="D702" i="11"/>
  <c r="E702" i="11"/>
  <c r="F702" i="11"/>
  <c r="G702" i="11"/>
  <c r="H702" i="11"/>
  <c r="I702" i="11"/>
  <c r="J702" i="11"/>
  <c r="K702" i="11"/>
  <c r="L702" i="11"/>
  <c r="M702" i="11"/>
  <c r="N702" i="11"/>
  <c r="C703" i="11"/>
  <c r="D703" i="11"/>
  <c r="E703" i="11"/>
  <c r="F703" i="11"/>
  <c r="G703" i="11"/>
  <c r="H703" i="11"/>
  <c r="I703" i="11"/>
  <c r="J703" i="11"/>
  <c r="K703" i="11"/>
  <c r="L703" i="11"/>
  <c r="M703" i="11"/>
  <c r="N703" i="11"/>
  <c r="C704" i="11"/>
  <c r="D704" i="11"/>
  <c r="E704" i="11"/>
  <c r="F704" i="11"/>
  <c r="G704" i="11"/>
  <c r="H704" i="11"/>
  <c r="I704" i="11"/>
  <c r="J704" i="11"/>
  <c r="K704" i="11"/>
  <c r="L704" i="11"/>
  <c r="M704" i="11"/>
  <c r="N704" i="11"/>
  <c r="C705" i="11"/>
  <c r="D705" i="11"/>
  <c r="E705" i="11"/>
  <c r="F705" i="11"/>
  <c r="G705" i="11"/>
  <c r="H705" i="11"/>
  <c r="I705" i="11"/>
  <c r="J705" i="11"/>
  <c r="K705" i="11"/>
  <c r="L705" i="11"/>
  <c r="M705" i="11"/>
  <c r="N705" i="11"/>
  <c r="C706" i="11"/>
  <c r="D706" i="11"/>
  <c r="E706" i="11"/>
  <c r="F706" i="11"/>
  <c r="G706" i="11"/>
  <c r="H706" i="11"/>
  <c r="I706" i="11"/>
  <c r="J706" i="11"/>
  <c r="K706" i="11"/>
  <c r="L706" i="11"/>
  <c r="M706" i="11"/>
  <c r="N706" i="11"/>
  <c r="C707" i="11"/>
  <c r="D707" i="11"/>
  <c r="E707" i="11"/>
  <c r="F707" i="11"/>
  <c r="G707" i="11"/>
  <c r="H707" i="11"/>
  <c r="I707" i="11"/>
  <c r="J707" i="11"/>
  <c r="K707" i="11"/>
  <c r="L707" i="11"/>
  <c r="M707" i="11"/>
  <c r="N707" i="11"/>
  <c r="C708" i="11"/>
  <c r="D708" i="11"/>
  <c r="E708" i="11"/>
  <c r="F708" i="11"/>
  <c r="G708" i="11"/>
  <c r="H708" i="11"/>
  <c r="I708" i="11"/>
  <c r="J708" i="11"/>
  <c r="K708" i="11"/>
  <c r="L708" i="11"/>
  <c r="M708" i="11"/>
  <c r="N708" i="11"/>
  <c r="C709" i="11"/>
  <c r="D709" i="11"/>
  <c r="E709" i="11"/>
  <c r="F709" i="11"/>
  <c r="G709" i="11"/>
  <c r="H709" i="11"/>
  <c r="I709" i="11"/>
  <c r="J709" i="11"/>
  <c r="K709" i="11"/>
  <c r="L709" i="11"/>
  <c r="M709" i="11"/>
  <c r="N709" i="11"/>
  <c r="C710" i="11"/>
  <c r="D710" i="11"/>
  <c r="E710" i="11"/>
  <c r="F710" i="11"/>
  <c r="G710" i="11"/>
  <c r="H710" i="11"/>
  <c r="I710" i="11"/>
  <c r="J710" i="11"/>
  <c r="K710" i="11"/>
  <c r="L710" i="11"/>
  <c r="M710" i="11"/>
  <c r="N710" i="11"/>
  <c r="C711" i="11"/>
  <c r="D711" i="11"/>
  <c r="E711" i="11"/>
  <c r="F711" i="11"/>
  <c r="G711" i="11"/>
  <c r="H711" i="11"/>
  <c r="I711" i="11"/>
  <c r="J711" i="11"/>
  <c r="K711" i="11"/>
  <c r="L711" i="11"/>
  <c r="M711" i="11"/>
  <c r="N711" i="11"/>
  <c r="C712" i="11"/>
  <c r="D712" i="11"/>
  <c r="E712" i="11"/>
  <c r="F712" i="11"/>
  <c r="G712" i="11"/>
  <c r="H712" i="11"/>
  <c r="I712" i="11"/>
  <c r="J712" i="11"/>
  <c r="K712" i="11"/>
  <c r="L712" i="11"/>
  <c r="M712" i="11"/>
  <c r="N712" i="11"/>
  <c r="C713" i="11"/>
  <c r="D713" i="11"/>
  <c r="E713" i="11"/>
  <c r="F713" i="11"/>
  <c r="G713" i="11"/>
  <c r="H713" i="11"/>
  <c r="I713" i="11"/>
  <c r="J713" i="11"/>
  <c r="K713" i="11"/>
  <c r="L713" i="11"/>
  <c r="M713" i="11"/>
  <c r="N713" i="11"/>
  <c r="C714" i="11"/>
  <c r="D714" i="11"/>
  <c r="E714" i="11"/>
  <c r="F714" i="11"/>
  <c r="G714" i="11"/>
  <c r="H714" i="11"/>
  <c r="I714" i="11"/>
  <c r="J714" i="11"/>
  <c r="K714" i="11"/>
  <c r="L714" i="11"/>
  <c r="M714" i="11"/>
  <c r="N714" i="11"/>
  <c r="C715" i="11"/>
  <c r="D715" i="11"/>
  <c r="E715" i="11"/>
  <c r="F715" i="11"/>
  <c r="G715" i="11"/>
  <c r="H715" i="11"/>
  <c r="I715" i="11"/>
  <c r="J715" i="11"/>
  <c r="K715" i="11"/>
  <c r="L715" i="11"/>
  <c r="M715" i="11"/>
  <c r="N715" i="11"/>
  <c r="C716" i="11"/>
  <c r="D716" i="11"/>
  <c r="E716" i="11"/>
  <c r="F716" i="11"/>
  <c r="G716" i="11"/>
  <c r="H716" i="11"/>
  <c r="I716" i="11"/>
  <c r="J716" i="11"/>
  <c r="K716" i="11"/>
  <c r="L716" i="11"/>
  <c r="M716" i="11"/>
  <c r="N716" i="11"/>
  <c r="C717" i="11"/>
  <c r="D717" i="11"/>
  <c r="E717" i="11"/>
  <c r="F717" i="11"/>
  <c r="G717" i="11"/>
  <c r="H717" i="11"/>
  <c r="I717" i="11"/>
  <c r="J717" i="11"/>
  <c r="K717" i="11"/>
  <c r="L717" i="11"/>
  <c r="M717" i="11"/>
  <c r="N717" i="11"/>
  <c r="C718" i="11"/>
  <c r="D718" i="11"/>
  <c r="E718" i="11"/>
  <c r="F718" i="11"/>
  <c r="G718" i="11"/>
  <c r="H718" i="11"/>
  <c r="I718" i="11"/>
  <c r="J718" i="11"/>
  <c r="K718" i="11"/>
  <c r="L718" i="11"/>
  <c r="M718" i="11"/>
  <c r="N718" i="11"/>
  <c r="C719" i="11"/>
  <c r="D719" i="11"/>
  <c r="E719" i="11"/>
  <c r="F719" i="11"/>
  <c r="G719" i="11"/>
  <c r="H719" i="11"/>
  <c r="I719" i="11"/>
  <c r="J719" i="11"/>
  <c r="K719" i="11"/>
  <c r="L719" i="11"/>
  <c r="M719" i="11"/>
  <c r="N719" i="11"/>
  <c r="C720" i="11"/>
  <c r="D720" i="11"/>
  <c r="E720" i="11"/>
  <c r="F720" i="11"/>
  <c r="G720" i="11"/>
  <c r="H720" i="11"/>
  <c r="I720" i="11"/>
  <c r="J720" i="11"/>
  <c r="K720" i="11"/>
  <c r="L720" i="11"/>
  <c r="M720" i="11"/>
  <c r="N720" i="11"/>
  <c r="C721" i="11"/>
  <c r="D721" i="11"/>
  <c r="E721" i="11"/>
  <c r="F721" i="11"/>
  <c r="G721" i="11"/>
  <c r="H721" i="11"/>
  <c r="I721" i="11"/>
  <c r="J721" i="11"/>
  <c r="K721" i="11"/>
  <c r="L721" i="11"/>
  <c r="M721" i="11"/>
  <c r="N721" i="11"/>
  <c r="C722" i="11"/>
  <c r="D722" i="11"/>
  <c r="E722" i="11"/>
  <c r="F722" i="11"/>
  <c r="G722" i="11"/>
  <c r="H722" i="11"/>
  <c r="I722" i="11"/>
  <c r="J722" i="11"/>
  <c r="K722" i="11"/>
  <c r="L722" i="11"/>
  <c r="M722" i="11"/>
  <c r="N722" i="11"/>
  <c r="C723" i="11"/>
  <c r="D723" i="11"/>
  <c r="E723" i="11"/>
  <c r="F723" i="11"/>
  <c r="G723" i="11"/>
  <c r="H723" i="11"/>
  <c r="I723" i="11"/>
  <c r="J723" i="11"/>
  <c r="K723" i="11"/>
  <c r="L723" i="11"/>
  <c r="M723" i="11"/>
  <c r="N723" i="11"/>
  <c r="C724" i="11"/>
  <c r="D724" i="11"/>
  <c r="E724" i="11"/>
  <c r="F724" i="11"/>
  <c r="G724" i="11"/>
  <c r="H724" i="11"/>
  <c r="I724" i="11"/>
  <c r="J724" i="11"/>
  <c r="K724" i="11"/>
  <c r="L724" i="11"/>
  <c r="M724" i="11"/>
  <c r="N724" i="11"/>
  <c r="C725" i="11"/>
  <c r="D725" i="11"/>
  <c r="E725" i="11"/>
  <c r="F725" i="11"/>
  <c r="G725" i="11"/>
  <c r="H725" i="11"/>
  <c r="I725" i="11"/>
  <c r="J725" i="11"/>
  <c r="K725" i="11"/>
  <c r="L725" i="11"/>
  <c r="M725" i="11"/>
  <c r="N725" i="11"/>
  <c r="C726" i="11"/>
  <c r="D726" i="11"/>
  <c r="E726" i="11"/>
  <c r="F726" i="11"/>
  <c r="G726" i="11"/>
  <c r="H726" i="11"/>
  <c r="I726" i="11"/>
  <c r="J726" i="11"/>
  <c r="K726" i="11"/>
  <c r="L726" i="11"/>
  <c r="M726" i="11"/>
  <c r="N726" i="11"/>
  <c r="C727" i="11"/>
  <c r="D727" i="11"/>
  <c r="E727" i="11"/>
  <c r="F727" i="11"/>
  <c r="G727" i="11"/>
  <c r="H727" i="11"/>
  <c r="I727" i="11"/>
  <c r="J727" i="11"/>
  <c r="K727" i="11"/>
  <c r="L727" i="11"/>
  <c r="M727" i="11"/>
  <c r="N727" i="11"/>
  <c r="C728" i="11"/>
  <c r="D728" i="11"/>
  <c r="E728" i="11"/>
  <c r="F728" i="11"/>
  <c r="G728" i="11"/>
  <c r="H728" i="11"/>
  <c r="I728" i="11"/>
  <c r="J728" i="11"/>
  <c r="K728" i="11"/>
  <c r="L728" i="11"/>
  <c r="M728" i="11"/>
  <c r="N728" i="11"/>
  <c r="C729" i="11"/>
  <c r="D729" i="11"/>
  <c r="E729" i="11"/>
  <c r="F729" i="11"/>
  <c r="G729" i="11"/>
  <c r="H729" i="11"/>
  <c r="I729" i="11"/>
  <c r="J729" i="11"/>
  <c r="K729" i="11"/>
  <c r="L729" i="11"/>
  <c r="M729" i="11"/>
  <c r="N729" i="11"/>
  <c r="C730" i="11"/>
  <c r="D730" i="11"/>
  <c r="E730" i="11"/>
  <c r="F730" i="11"/>
  <c r="G730" i="11"/>
  <c r="H730" i="11"/>
  <c r="I730" i="11"/>
  <c r="J730" i="11"/>
  <c r="K730" i="11"/>
  <c r="L730" i="11"/>
  <c r="M730" i="11"/>
  <c r="N730" i="11"/>
  <c r="C731" i="11"/>
  <c r="D731" i="11"/>
  <c r="E731" i="11"/>
  <c r="F731" i="11"/>
  <c r="G731" i="11"/>
  <c r="H731" i="11"/>
  <c r="I731" i="11"/>
  <c r="J731" i="11"/>
  <c r="K731" i="11"/>
  <c r="L731" i="11"/>
  <c r="M731" i="11"/>
  <c r="N731" i="11"/>
  <c r="C732" i="11"/>
  <c r="D732" i="11"/>
  <c r="E732" i="11"/>
  <c r="F732" i="11"/>
  <c r="G732" i="11"/>
  <c r="H732" i="11"/>
  <c r="I732" i="11"/>
  <c r="J732" i="11"/>
  <c r="K732" i="11"/>
  <c r="L732" i="11"/>
  <c r="M732" i="11"/>
  <c r="N732" i="11"/>
  <c r="C733" i="11"/>
  <c r="D733" i="11"/>
  <c r="E733" i="11"/>
  <c r="F733" i="11"/>
  <c r="G733" i="11"/>
  <c r="H733" i="11"/>
  <c r="I733" i="11"/>
  <c r="J733" i="11"/>
  <c r="K733" i="11"/>
  <c r="L733" i="11"/>
  <c r="M733" i="11"/>
  <c r="N733" i="11"/>
  <c r="C734" i="11"/>
  <c r="D734" i="11"/>
  <c r="E734" i="11"/>
  <c r="F734" i="11"/>
  <c r="G734" i="11"/>
  <c r="H734" i="11"/>
  <c r="I734" i="11"/>
  <c r="J734" i="11"/>
  <c r="K734" i="11"/>
  <c r="L734" i="11"/>
  <c r="M734" i="11"/>
  <c r="N734" i="11"/>
  <c r="C735" i="11"/>
  <c r="D735" i="11"/>
  <c r="E735" i="11"/>
  <c r="F735" i="11"/>
  <c r="G735" i="11"/>
  <c r="H735" i="11"/>
  <c r="I735" i="11"/>
  <c r="J735" i="11"/>
  <c r="K735" i="11"/>
  <c r="L735" i="11"/>
  <c r="M735" i="11"/>
  <c r="N735" i="11"/>
  <c r="C736" i="11"/>
  <c r="D736" i="11"/>
  <c r="E736" i="11"/>
  <c r="F736" i="11"/>
  <c r="G736" i="11"/>
  <c r="H736" i="11"/>
  <c r="I736" i="11"/>
  <c r="J736" i="11"/>
  <c r="K736" i="11"/>
  <c r="L736" i="11"/>
  <c r="M736" i="11"/>
  <c r="N736" i="11"/>
  <c r="C737" i="11"/>
  <c r="D737" i="11"/>
  <c r="E737" i="11"/>
  <c r="F737" i="11"/>
  <c r="G737" i="11"/>
  <c r="H737" i="11"/>
  <c r="I737" i="11"/>
  <c r="J737" i="11"/>
  <c r="K737" i="11"/>
  <c r="L737" i="11"/>
  <c r="M737" i="11"/>
  <c r="N737" i="11"/>
  <c r="C738" i="11"/>
  <c r="D738" i="11"/>
  <c r="E738" i="11"/>
  <c r="F738" i="11"/>
  <c r="G738" i="11"/>
  <c r="H738" i="11"/>
  <c r="I738" i="11"/>
  <c r="J738" i="11"/>
  <c r="K738" i="11"/>
  <c r="L738" i="11"/>
  <c r="M738" i="11"/>
  <c r="N738" i="11"/>
  <c r="C739" i="11"/>
  <c r="D739" i="11"/>
  <c r="E739" i="11"/>
  <c r="F739" i="11"/>
  <c r="G739" i="11"/>
  <c r="H739" i="11"/>
  <c r="I739" i="11"/>
  <c r="J739" i="11"/>
  <c r="K739" i="11"/>
  <c r="L739" i="11"/>
  <c r="M739" i="11"/>
  <c r="N739" i="11"/>
  <c r="C740" i="11"/>
  <c r="D740" i="11"/>
  <c r="E740" i="11"/>
  <c r="F740" i="11"/>
  <c r="G740" i="11"/>
  <c r="H740" i="11"/>
  <c r="I740" i="11"/>
  <c r="J740" i="11"/>
  <c r="K740" i="11"/>
  <c r="L740" i="11"/>
  <c r="M740" i="11"/>
  <c r="N740" i="11"/>
  <c r="C741" i="11"/>
  <c r="D741" i="11"/>
  <c r="E741" i="11"/>
  <c r="F741" i="11"/>
  <c r="G741" i="11"/>
  <c r="H741" i="11"/>
  <c r="I741" i="11"/>
  <c r="J741" i="11"/>
  <c r="K741" i="11"/>
  <c r="L741" i="11"/>
  <c r="M741" i="11"/>
  <c r="N741" i="11"/>
  <c r="C742" i="11"/>
  <c r="D742" i="11"/>
  <c r="E742" i="11"/>
  <c r="F742" i="11"/>
  <c r="G742" i="11"/>
  <c r="H742" i="11"/>
  <c r="I742" i="11"/>
  <c r="J742" i="11"/>
  <c r="K742" i="11"/>
  <c r="L742" i="11"/>
  <c r="M742" i="11"/>
  <c r="N742" i="11"/>
  <c r="C743" i="11"/>
  <c r="D743" i="11"/>
  <c r="E743" i="11"/>
  <c r="F743" i="11"/>
  <c r="G743" i="11"/>
  <c r="H743" i="11"/>
  <c r="I743" i="11"/>
  <c r="J743" i="11"/>
  <c r="K743" i="11"/>
  <c r="L743" i="11"/>
  <c r="M743" i="11"/>
  <c r="N743" i="11"/>
  <c r="C744" i="11"/>
  <c r="D744" i="11"/>
  <c r="E744" i="11"/>
  <c r="F744" i="11"/>
  <c r="G744" i="11"/>
  <c r="H744" i="11"/>
  <c r="I744" i="11"/>
  <c r="J744" i="11"/>
  <c r="K744" i="11"/>
  <c r="L744" i="11"/>
  <c r="M744" i="11"/>
  <c r="N744" i="11"/>
  <c r="C745" i="11"/>
  <c r="D745" i="11"/>
  <c r="E745" i="11"/>
  <c r="F745" i="11"/>
  <c r="G745" i="11"/>
  <c r="H745" i="11"/>
  <c r="I745" i="11"/>
  <c r="J745" i="11"/>
  <c r="K745" i="11"/>
  <c r="L745" i="11"/>
  <c r="M745" i="11"/>
  <c r="N745" i="11"/>
  <c r="C746" i="11"/>
  <c r="D746" i="11"/>
  <c r="E746" i="11"/>
  <c r="F746" i="11"/>
  <c r="G746" i="11"/>
  <c r="H746" i="11"/>
  <c r="I746" i="11"/>
  <c r="J746" i="11"/>
  <c r="K746" i="11"/>
  <c r="L746" i="11"/>
  <c r="M746" i="11"/>
  <c r="N746" i="11"/>
  <c r="C747" i="11"/>
  <c r="D747" i="11"/>
  <c r="E747" i="11"/>
  <c r="F747" i="11"/>
  <c r="G747" i="11"/>
  <c r="H747" i="11"/>
  <c r="I747" i="11"/>
  <c r="J747" i="11"/>
  <c r="K747" i="11"/>
  <c r="L747" i="11"/>
  <c r="M747" i="11"/>
  <c r="N747" i="11"/>
  <c r="C6" i="11"/>
  <c r="D6" i="11"/>
  <c r="E6" i="11"/>
  <c r="F6" i="11"/>
  <c r="G6" i="11"/>
  <c r="H6" i="11"/>
  <c r="I6" i="11"/>
  <c r="J6" i="11"/>
  <c r="K6" i="11"/>
  <c r="L6" i="11"/>
  <c r="M6" i="11"/>
  <c r="N6" i="11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C7" i="10"/>
  <c r="D7" i="10"/>
  <c r="E7" i="10"/>
  <c r="F7" i="10"/>
  <c r="G7" i="10"/>
  <c r="H7" i="10"/>
  <c r="I7" i="10"/>
  <c r="J7" i="10"/>
  <c r="K7" i="10"/>
  <c r="L7" i="10"/>
  <c r="M7" i="10"/>
  <c r="N7" i="10"/>
  <c r="C8" i="10"/>
  <c r="D8" i="10"/>
  <c r="E8" i="10"/>
  <c r="F8" i="10"/>
  <c r="G8" i="10"/>
  <c r="H8" i="10"/>
  <c r="I8" i="10"/>
  <c r="J8" i="10"/>
  <c r="K8" i="10"/>
  <c r="L8" i="10"/>
  <c r="M8" i="10"/>
  <c r="N8" i="10"/>
  <c r="C9" i="10"/>
  <c r="D9" i="10"/>
  <c r="E9" i="10"/>
  <c r="F9" i="10"/>
  <c r="G9" i="10"/>
  <c r="H9" i="10"/>
  <c r="I9" i="10"/>
  <c r="J9" i="10"/>
  <c r="K9" i="10"/>
  <c r="L9" i="10"/>
  <c r="M9" i="10"/>
  <c r="N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C604" i="10"/>
  <c r="D604" i="10"/>
  <c r="E604" i="10"/>
  <c r="F604" i="10"/>
  <c r="G604" i="10"/>
  <c r="H604" i="10"/>
  <c r="I604" i="10"/>
  <c r="J604" i="10"/>
  <c r="K604" i="10"/>
  <c r="L604" i="10"/>
  <c r="M604" i="10"/>
  <c r="N604" i="10"/>
  <c r="C605" i="10"/>
  <c r="D605" i="10"/>
  <c r="E605" i="10"/>
  <c r="F605" i="10"/>
  <c r="G605" i="10"/>
  <c r="H605" i="10"/>
  <c r="I605" i="10"/>
  <c r="J605" i="10"/>
  <c r="K605" i="10"/>
  <c r="L605" i="10"/>
  <c r="M605" i="10"/>
  <c r="N605" i="10"/>
  <c r="C606" i="10"/>
  <c r="D606" i="10"/>
  <c r="E606" i="10"/>
  <c r="F606" i="10"/>
  <c r="G606" i="10"/>
  <c r="H606" i="10"/>
  <c r="I606" i="10"/>
  <c r="J606" i="10"/>
  <c r="K606" i="10"/>
  <c r="L606" i="10"/>
  <c r="M606" i="10"/>
  <c r="N606" i="10"/>
  <c r="C607" i="10"/>
  <c r="D607" i="10"/>
  <c r="E607" i="10"/>
  <c r="F607" i="10"/>
  <c r="G607" i="10"/>
  <c r="H607" i="10"/>
  <c r="I607" i="10"/>
  <c r="J607" i="10"/>
  <c r="K607" i="10"/>
  <c r="L607" i="10"/>
  <c r="M607" i="10"/>
  <c r="N607" i="10"/>
  <c r="C608" i="10"/>
  <c r="D608" i="10"/>
  <c r="E608" i="10"/>
  <c r="F608" i="10"/>
  <c r="G608" i="10"/>
  <c r="H608" i="10"/>
  <c r="I608" i="10"/>
  <c r="J608" i="10"/>
  <c r="K608" i="10"/>
  <c r="L608" i="10"/>
  <c r="M608" i="10"/>
  <c r="N608" i="10"/>
  <c r="C609" i="10"/>
  <c r="D609" i="10"/>
  <c r="E609" i="10"/>
  <c r="F609" i="10"/>
  <c r="G609" i="10"/>
  <c r="H609" i="10"/>
  <c r="I609" i="10"/>
  <c r="J609" i="10"/>
  <c r="K609" i="10"/>
  <c r="L609" i="10"/>
  <c r="M609" i="10"/>
  <c r="N609" i="10"/>
  <c r="C610" i="10"/>
  <c r="D610" i="10"/>
  <c r="E610" i="10"/>
  <c r="F610" i="10"/>
  <c r="G610" i="10"/>
  <c r="H610" i="10"/>
  <c r="I610" i="10"/>
  <c r="J610" i="10"/>
  <c r="K610" i="10"/>
  <c r="L610" i="10"/>
  <c r="M610" i="10"/>
  <c r="N610" i="10"/>
  <c r="C611" i="10"/>
  <c r="D611" i="10"/>
  <c r="E611" i="10"/>
  <c r="F611" i="10"/>
  <c r="G611" i="10"/>
  <c r="H611" i="10"/>
  <c r="I611" i="10"/>
  <c r="J611" i="10"/>
  <c r="K611" i="10"/>
  <c r="L611" i="10"/>
  <c r="M611" i="10"/>
  <c r="N611" i="10"/>
  <c r="C612" i="10"/>
  <c r="D612" i="10"/>
  <c r="E612" i="10"/>
  <c r="F612" i="10"/>
  <c r="G612" i="10"/>
  <c r="H612" i="10"/>
  <c r="I612" i="10"/>
  <c r="J612" i="10"/>
  <c r="K612" i="10"/>
  <c r="L612" i="10"/>
  <c r="M612" i="10"/>
  <c r="N612" i="10"/>
  <c r="C613" i="10"/>
  <c r="D613" i="10"/>
  <c r="E613" i="10"/>
  <c r="F613" i="10"/>
  <c r="G613" i="10"/>
  <c r="H613" i="10"/>
  <c r="I613" i="10"/>
  <c r="J613" i="10"/>
  <c r="K613" i="10"/>
  <c r="L613" i="10"/>
  <c r="M613" i="10"/>
  <c r="N613" i="10"/>
  <c r="C614" i="10"/>
  <c r="D614" i="10"/>
  <c r="E614" i="10"/>
  <c r="F614" i="10"/>
  <c r="G614" i="10"/>
  <c r="H614" i="10"/>
  <c r="I614" i="10"/>
  <c r="J614" i="10"/>
  <c r="K614" i="10"/>
  <c r="L614" i="10"/>
  <c r="M614" i="10"/>
  <c r="N614" i="10"/>
  <c r="C615" i="10"/>
  <c r="D615" i="10"/>
  <c r="E615" i="10"/>
  <c r="F615" i="10"/>
  <c r="G615" i="10"/>
  <c r="H615" i="10"/>
  <c r="I615" i="10"/>
  <c r="J615" i="10"/>
  <c r="K615" i="10"/>
  <c r="L615" i="10"/>
  <c r="M615" i="10"/>
  <c r="N615" i="10"/>
  <c r="C616" i="10"/>
  <c r="D616" i="10"/>
  <c r="E616" i="10"/>
  <c r="F616" i="10"/>
  <c r="G616" i="10"/>
  <c r="H616" i="10"/>
  <c r="I616" i="10"/>
  <c r="J616" i="10"/>
  <c r="K616" i="10"/>
  <c r="L616" i="10"/>
  <c r="M616" i="10"/>
  <c r="N616" i="10"/>
  <c r="C617" i="10"/>
  <c r="D617" i="10"/>
  <c r="E617" i="10"/>
  <c r="F617" i="10"/>
  <c r="G617" i="10"/>
  <c r="H617" i="10"/>
  <c r="I617" i="10"/>
  <c r="J617" i="10"/>
  <c r="K617" i="10"/>
  <c r="L617" i="10"/>
  <c r="M617" i="10"/>
  <c r="N617" i="10"/>
  <c r="C618" i="10"/>
  <c r="D618" i="10"/>
  <c r="E618" i="10"/>
  <c r="F618" i="10"/>
  <c r="G618" i="10"/>
  <c r="H618" i="10"/>
  <c r="I618" i="10"/>
  <c r="J618" i="10"/>
  <c r="K618" i="10"/>
  <c r="L618" i="10"/>
  <c r="M618" i="10"/>
  <c r="N618" i="10"/>
  <c r="C619" i="10"/>
  <c r="D619" i="10"/>
  <c r="E619" i="10"/>
  <c r="F619" i="10"/>
  <c r="G619" i="10"/>
  <c r="H619" i="10"/>
  <c r="I619" i="10"/>
  <c r="J619" i="10"/>
  <c r="K619" i="10"/>
  <c r="L619" i="10"/>
  <c r="M619" i="10"/>
  <c r="N619" i="10"/>
  <c r="C620" i="10"/>
  <c r="D620" i="10"/>
  <c r="E620" i="10"/>
  <c r="F620" i="10"/>
  <c r="G620" i="10"/>
  <c r="H620" i="10"/>
  <c r="I620" i="10"/>
  <c r="J620" i="10"/>
  <c r="K620" i="10"/>
  <c r="L620" i="10"/>
  <c r="M620" i="10"/>
  <c r="N620" i="10"/>
  <c r="C621" i="10"/>
  <c r="D621" i="10"/>
  <c r="E621" i="10"/>
  <c r="F621" i="10"/>
  <c r="G621" i="10"/>
  <c r="H621" i="10"/>
  <c r="I621" i="10"/>
  <c r="J621" i="10"/>
  <c r="K621" i="10"/>
  <c r="L621" i="10"/>
  <c r="M621" i="10"/>
  <c r="N621" i="10"/>
  <c r="C622" i="10"/>
  <c r="D622" i="10"/>
  <c r="E622" i="10"/>
  <c r="F622" i="10"/>
  <c r="G622" i="10"/>
  <c r="H622" i="10"/>
  <c r="I622" i="10"/>
  <c r="J622" i="10"/>
  <c r="K622" i="10"/>
  <c r="L622" i="10"/>
  <c r="M622" i="10"/>
  <c r="N622" i="10"/>
  <c r="C623" i="10"/>
  <c r="D623" i="10"/>
  <c r="E623" i="10"/>
  <c r="F623" i="10"/>
  <c r="G623" i="10"/>
  <c r="H623" i="10"/>
  <c r="I623" i="10"/>
  <c r="J623" i="10"/>
  <c r="K623" i="10"/>
  <c r="L623" i="10"/>
  <c r="M623" i="10"/>
  <c r="N623" i="10"/>
  <c r="C624" i="10"/>
  <c r="D624" i="10"/>
  <c r="E624" i="10"/>
  <c r="F624" i="10"/>
  <c r="G624" i="10"/>
  <c r="H624" i="10"/>
  <c r="I624" i="10"/>
  <c r="J624" i="10"/>
  <c r="K624" i="10"/>
  <c r="L624" i="10"/>
  <c r="M624" i="10"/>
  <c r="N624" i="10"/>
  <c r="C625" i="10"/>
  <c r="D625" i="10"/>
  <c r="E625" i="10"/>
  <c r="F625" i="10"/>
  <c r="G625" i="10"/>
  <c r="H625" i="10"/>
  <c r="I625" i="10"/>
  <c r="J625" i="10"/>
  <c r="K625" i="10"/>
  <c r="L625" i="10"/>
  <c r="M625" i="10"/>
  <c r="N625" i="10"/>
  <c r="C626" i="10"/>
  <c r="D626" i="10"/>
  <c r="E626" i="10"/>
  <c r="F626" i="10"/>
  <c r="G626" i="10"/>
  <c r="H626" i="10"/>
  <c r="I626" i="10"/>
  <c r="J626" i="10"/>
  <c r="K626" i="10"/>
  <c r="L626" i="10"/>
  <c r="M626" i="10"/>
  <c r="N626" i="10"/>
  <c r="C627" i="10"/>
  <c r="D627" i="10"/>
  <c r="E627" i="10"/>
  <c r="F627" i="10"/>
  <c r="G627" i="10"/>
  <c r="H627" i="10"/>
  <c r="I627" i="10"/>
  <c r="J627" i="10"/>
  <c r="K627" i="10"/>
  <c r="L627" i="10"/>
  <c r="M627" i="10"/>
  <c r="N627" i="10"/>
  <c r="C628" i="10"/>
  <c r="D628" i="10"/>
  <c r="E628" i="10"/>
  <c r="F628" i="10"/>
  <c r="G628" i="10"/>
  <c r="H628" i="10"/>
  <c r="I628" i="10"/>
  <c r="J628" i="10"/>
  <c r="K628" i="10"/>
  <c r="L628" i="10"/>
  <c r="M628" i="10"/>
  <c r="N628" i="10"/>
  <c r="C629" i="10"/>
  <c r="D629" i="10"/>
  <c r="E629" i="10"/>
  <c r="F629" i="10"/>
  <c r="G629" i="10"/>
  <c r="H629" i="10"/>
  <c r="I629" i="10"/>
  <c r="J629" i="10"/>
  <c r="K629" i="10"/>
  <c r="L629" i="10"/>
  <c r="M629" i="10"/>
  <c r="N629" i="10"/>
  <c r="C630" i="10"/>
  <c r="D630" i="10"/>
  <c r="E630" i="10"/>
  <c r="F630" i="10"/>
  <c r="G630" i="10"/>
  <c r="H630" i="10"/>
  <c r="I630" i="10"/>
  <c r="J630" i="10"/>
  <c r="K630" i="10"/>
  <c r="L630" i="10"/>
  <c r="M630" i="10"/>
  <c r="N630" i="10"/>
  <c r="C631" i="10"/>
  <c r="D631" i="10"/>
  <c r="E631" i="10"/>
  <c r="F631" i="10"/>
  <c r="G631" i="10"/>
  <c r="H631" i="10"/>
  <c r="I631" i="10"/>
  <c r="J631" i="10"/>
  <c r="K631" i="10"/>
  <c r="L631" i="10"/>
  <c r="M631" i="10"/>
  <c r="N631" i="10"/>
  <c r="C632" i="10"/>
  <c r="D632" i="10"/>
  <c r="E632" i="10"/>
  <c r="F632" i="10"/>
  <c r="G632" i="10"/>
  <c r="H632" i="10"/>
  <c r="I632" i="10"/>
  <c r="J632" i="10"/>
  <c r="K632" i="10"/>
  <c r="L632" i="10"/>
  <c r="M632" i="10"/>
  <c r="N632" i="10"/>
  <c r="C633" i="10"/>
  <c r="D633" i="10"/>
  <c r="E633" i="10"/>
  <c r="F633" i="10"/>
  <c r="G633" i="10"/>
  <c r="H633" i="10"/>
  <c r="I633" i="10"/>
  <c r="J633" i="10"/>
  <c r="K633" i="10"/>
  <c r="L633" i="10"/>
  <c r="M633" i="10"/>
  <c r="N633" i="10"/>
  <c r="C634" i="10"/>
  <c r="D634" i="10"/>
  <c r="E634" i="10"/>
  <c r="F634" i="10"/>
  <c r="G634" i="10"/>
  <c r="H634" i="10"/>
  <c r="I634" i="10"/>
  <c r="J634" i="10"/>
  <c r="K634" i="10"/>
  <c r="L634" i="10"/>
  <c r="M634" i="10"/>
  <c r="N634" i="10"/>
  <c r="C635" i="10"/>
  <c r="D635" i="10"/>
  <c r="E635" i="10"/>
  <c r="F635" i="10"/>
  <c r="G635" i="10"/>
  <c r="H635" i="10"/>
  <c r="I635" i="10"/>
  <c r="J635" i="10"/>
  <c r="K635" i="10"/>
  <c r="L635" i="10"/>
  <c r="M635" i="10"/>
  <c r="N635" i="10"/>
  <c r="C636" i="10"/>
  <c r="D636" i="10"/>
  <c r="E636" i="10"/>
  <c r="F636" i="10"/>
  <c r="G636" i="10"/>
  <c r="H636" i="10"/>
  <c r="I636" i="10"/>
  <c r="J636" i="10"/>
  <c r="K636" i="10"/>
  <c r="L636" i="10"/>
  <c r="M636" i="10"/>
  <c r="N636" i="10"/>
  <c r="C637" i="10"/>
  <c r="D637" i="10"/>
  <c r="E637" i="10"/>
  <c r="F637" i="10"/>
  <c r="G637" i="10"/>
  <c r="H637" i="10"/>
  <c r="I637" i="10"/>
  <c r="J637" i="10"/>
  <c r="K637" i="10"/>
  <c r="L637" i="10"/>
  <c r="M637" i="10"/>
  <c r="N637" i="10"/>
  <c r="C638" i="10"/>
  <c r="D638" i="10"/>
  <c r="E638" i="10"/>
  <c r="F638" i="10"/>
  <c r="G638" i="10"/>
  <c r="H638" i="10"/>
  <c r="I638" i="10"/>
  <c r="J638" i="10"/>
  <c r="K638" i="10"/>
  <c r="L638" i="10"/>
  <c r="M638" i="10"/>
  <c r="N638" i="10"/>
  <c r="C639" i="10"/>
  <c r="D639" i="10"/>
  <c r="E639" i="10"/>
  <c r="F639" i="10"/>
  <c r="G639" i="10"/>
  <c r="H639" i="10"/>
  <c r="I639" i="10"/>
  <c r="J639" i="10"/>
  <c r="K639" i="10"/>
  <c r="L639" i="10"/>
  <c r="M639" i="10"/>
  <c r="N639" i="10"/>
  <c r="C640" i="10"/>
  <c r="D640" i="10"/>
  <c r="E640" i="10"/>
  <c r="F640" i="10"/>
  <c r="G640" i="10"/>
  <c r="H640" i="10"/>
  <c r="I640" i="10"/>
  <c r="J640" i="10"/>
  <c r="K640" i="10"/>
  <c r="L640" i="10"/>
  <c r="M640" i="10"/>
  <c r="N640" i="10"/>
  <c r="C641" i="10"/>
  <c r="D641" i="10"/>
  <c r="E641" i="10"/>
  <c r="F641" i="10"/>
  <c r="G641" i="10"/>
  <c r="H641" i="10"/>
  <c r="I641" i="10"/>
  <c r="J641" i="10"/>
  <c r="K641" i="10"/>
  <c r="L641" i="10"/>
  <c r="M641" i="10"/>
  <c r="N641" i="10"/>
  <c r="C642" i="10"/>
  <c r="D642" i="10"/>
  <c r="E642" i="10"/>
  <c r="F642" i="10"/>
  <c r="G642" i="10"/>
  <c r="H642" i="10"/>
  <c r="I642" i="10"/>
  <c r="J642" i="10"/>
  <c r="K642" i="10"/>
  <c r="L642" i="10"/>
  <c r="M642" i="10"/>
  <c r="N642" i="10"/>
  <c r="C643" i="10"/>
  <c r="D643" i="10"/>
  <c r="E643" i="10"/>
  <c r="F643" i="10"/>
  <c r="G643" i="10"/>
  <c r="H643" i="10"/>
  <c r="I643" i="10"/>
  <c r="J643" i="10"/>
  <c r="K643" i="10"/>
  <c r="L643" i="10"/>
  <c r="M643" i="10"/>
  <c r="N643" i="10"/>
  <c r="C644" i="10"/>
  <c r="D644" i="10"/>
  <c r="E644" i="10"/>
  <c r="F644" i="10"/>
  <c r="G644" i="10"/>
  <c r="H644" i="10"/>
  <c r="I644" i="10"/>
  <c r="J644" i="10"/>
  <c r="K644" i="10"/>
  <c r="L644" i="10"/>
  <c r="M644" i="10"/>
  <c r="N644" i="10"/>
  <c r="C645" i="10"/>
  <c r="D645" i="10"/>
  <c r="E645" i="10"/>
  <c r="F645" i="10"/>
  <c r="G645" i="10"/>
  <c r="H645" i="10"/>
  <c r="I645" i="10"/>
  <c r="J645" i="10"/>
  <c r="K645" i="10"/>
  <c r="L645" i="10"/>
  <c r="M645" i="10"/>
  <c r="N645" i="10"/>
  <c r="C646" i="10"/>
  <c r="D646" i="10"/>
  <c r="E646" i="10"/>
  <c r="F646" i="10"/>
  <c r="G646" i="10"/>
  <c r="H646" i="10"/>
  <c r="I646" i="10"/>
  <c r="J646" i="10"/>
  <c r="K646" i="10"/>
  <c r="L646" i="10"/>
  <c r="M646" i="10"/>
  <c r="N646" i="10"/>
  <c r="C647" i="10"/>
  <c r="D647" i="10"/>
  <c r="E647" i="10"/>
  <c r="F647" i="10"/>
  <c r="G647" i="10"/>
  <c r="H647" i="10"/>
  <c r="I647" i="10"/>
  <c r="J647" i="10"/>
  <c r="K647" i="10"/>
  <c r="L647" i="10"/>
  <c r="M647" i="10"/>
  <c r="N647" i="10"/>
  <c r="C648" i="10"/>
  <c r="D648" i="10"/>
  <c r="E648" i="10"/>
  <c r="F648" i="10"/>
  <c r="G648" i="10"/>
  <c r="H648" i="10"/>
  <c r="I648" i="10"/>
  <c r="J648" i="10"/>
  <c r="K648" i="10"/>
  <c r="L648" i="10"/>
  <c r="M648" i="10"/>
  <c r="N648" i="10"/>
  <c r="C649" i="10"/>
  <c r="D649" i="10"/>
  <c r="E649" i="10"/>
  <c r="F649" i="10"/>
  <c r="G649" i="10"/>
  <c r="H649" i="10"/>
  <c r="I649" i="10"/>
  <c r="J649" i="10"/>
  <c r="K649" i="10"/>
  <c r="L649" i="10"/>
  <c r="M649" i="10"/>
  <c r="N649" i="10"/>
  <c r="C650" i="10"/>
  <c r="D650" i="10"/>
  <c r="E650" i="10"/>
  <c r="F650" i="10"/>
  <c r="G650" i="10"/>
  <c r="H650" i="10"/>
  <c r="I650" i="10"/>
  <c r="J650" i="10"/>
  <c r="K650" i="10"/>
  <c r="L650" i="10"/>
  <c r="M650" i="10"/>
  <c r="N650" i="10"/>
  <c r="C651" i="10"/>
  <c r="D651" i="10"/>
  <c r="E651" i="10"/>
  <c r="F651" i="10"/>
  <c r="G651" i="10"/>
  <c r="H651" i="10"/>
  <c r="I651" i="10"/>
  <c r="J651" i="10"/>
  <c r="K651" i="10"/>
  <c r="L651" i="10"/>
  <c r="M651" i="10"/>
  <c r="N651" i="10"/>
  <c r="C652" i="10"/>
  <c r="D652" i="10"/>
  <c r="E652" i="10"/>
  <c r="F652" i="10"/>
  <c r="G652" i="10"/>
  <c r="H652" i="10"/>
  <c r="I652" i="10"/>
  <c r="J652" i="10"/>
  <c r="K652" i="10"/>
  <c r="L652" i="10"/>
  <c r="M652" i="10"/>
  <c r="N652" i="10"/>
  <c r="C653" i="10"/>
  <c r="D653" i="10"/>
  <c r="E653" i="10"/>
  <c r="F653" i="10"/>
  <c r="G653" i="10"/>
  <c r="H653" i="10"/>
  <c r="I653" i="10"/>
  <c r="J653" i="10"/>
  <c r="K653" i="10"/>
  <c r="L653" i="10"/>
  <c r="M653" i="10"/>
  <c r="N653" i="10"/>
  <c r="C654" i="10"/>
  <c r="D654" i="10"/>
  <c r="E654" i="10"/>
  <c r="F654" i="10"/>
  <c r="G654" i="10"/>
  <c r="H654" i="10"/>
  <c r="I654" i="10"/>
  <c r="J654" i="10"/>
  <c r="K654" i="10"/>
  <c r="L654" i="10"/>
  <c r="M654" i="10"/>
  <c r="N654" i="10"/>
  <c r="C655" i="10"/>
  <c r="D655" i="10"/>
  <c r="E655" i="10"/>
  <c r="F655" i="10"/>
  <c r="G655" i="10"/>
  <c r="H655" i="10"/>
  <c r="I655" i="10"/>
  <c r="J655" i="10"/>
  <c r="K655" i="10"/>
  <c r="L655" i="10"/>
  <c r="M655" i="10"/>
  <c r="N655" i="10"/>
  <c r="C656" i="10"/>
  <c r="D656" i="10"/>
  <c r="E656" i="10"/>
  <c r="F656" i="10"/>
  <c r="G656" i="10"/>
  <c r="H656" i="10"/>
  <c r="I656" i="10"/>
  <c r="J656" i="10"/>
  <c r="K656" i="10"/>
  <c r="L656" i="10"/>
  <c r="M656" i="10"/>
  <c r="N656" i="10"/>
  <c r="C657" i="10"/>
  <c r="D657" i="10"/>
  <c r="E657" i="10"/>
  <c r="F657" i="10"/>
  <c r="G657" i="10"/>
  <c r="H657" i="10"/>
  <c r="I657" i="10"/>
  <c r="J657" i="10"/>
  <c r="K657" i="10"/>
  <c r="L657" i="10"/>
  <c r="M657" i="10"/>
  <c r="N657" i="10"/>
  <c r="C658" i="10"/>
  <c r="D658" i="10"/>
  <c r="E658" i="10"/>
  <c r="F658" i="10"/>
  <c r="G658" i="10"/>
  <c r="H658" i="10"/>
  <c r="I658" i="10"/>
  <c r="J658" i="10"/>
  <c r="K658" i="10"/>
  <c r="L658" i="10"/>
  <c r="M658" i="10"/>
  <c r="N658" i="10"/>
  <c r="C659" i="10"/>
  <c r="D659" i="10"/>
  <c r="E659" i="10"/>
  <c r="F659" i="10"/>
  <c r="G659" i="10"/>
  <c r="H659" i="10"/>
  <c r="I659" i="10"/>
  <c r="J659" i="10"/>
  <c r="K659" i="10"/>
  <c r="L659" i="10"/>
  <c r="M659" i="10"/>
  <c r="N659" i="10"/>
  <c r="C660" i="10"/>
  <c r="D660" i="10"/>
  <c r="E660" i="10"/>
  <c r="F660" i="10"/>
  <c r="G660" i="10"/>
  <c r="H660" i="10"/>
  <c r="I660" i="10"/>
  <c r="J660" i="10"/>
  <c r="K660" i="10"/>
  <c r="L660" i="10"/>
  <c r="M660" i="10"/>
  <c r="N660" i="10"/>
  <c r="C661" i="10"/>
  <c r="D661" i="10"/>
  <c r="E661" i="10"/>
  <c r="F661" i="10"/>
  <c r="G661" i="10"/>
  <c r="H661" i="10"/>
  <c r="I661" i="10"/>
  <c r="J661" i="10"/>
  <c r="K661" i="10"/>
  <c r="L661" i="10"/>
  <c r="M661" i="10"/>
  <c r="N661" i="10"/>
  <c r="C662" i="10"/>
  <c r="D662" i="10"/>
  <c r="E662" i="10"/>
  <c r="F662" i="10"/>
  <c r="G662" i="10"/>
  <c r="H662" i="10"/>
  <c r="I662" i="10"/>
  <c r="J662" i="10"/>
  <c r="K662" i="10"/>
  <c r="L662" i="10"/>
  <c r="M662" i="10"/>
  <c r="N662" i="10"/>
  <c r="C663" i="10"/>
  <c r="D663" i="10"/>
  <c r="E663" i="10"/>
  <c r="F663" i="10"/>
  <c r="G663" i="10"/>
  <c r="H663" i="10"/>
  <c r="I663" i="10"/>
  <c r="J663" i="10"/>
  <c r="K663" i="10"/>
  <c r="L663" i="10"/>
  <c r="M663" i="10"/>
  <c r="N663" i="10"/>
  <c r="C664" i="10"/>
  <c r="D664" i="10"/>
  <c r="E664" i="10"/>
  <c r="F664" i="10"/>
  <c r="G664" i="10"/>
  <c r="H664" i="10"/>
  <c r="I664" i="10"/>
  <c r="J664" i="10"/>
  <c r="K664" i="10"/>
  <c r="L664" i="10"/>
  <c r="M664" i="10"/>
  <c r="N664" i="10"/>
  <c r="C665" i="10"/>
  <c r="D665" i="10"/>
  <c r="E665" i="10"/>
  <c r="F665" i="10"/>
  <c r="G665" i="10"/>
  <c r="H665" i="10"/>
  <c r="I665" i="10"/>
  <c r="J665" i="10"/>
  <c r="K665" i="10"/>
  <c r="L665" i="10"/>
  <c r="M665" i="10"/>
  <c r="N665" i="10"/>
  <c r="C666" i="10"/>
  <c r="D666" i="10"/>
  <c r="E666" i="10"/>
  <c r="F666" i="10"/>
  <c r="G666" i="10"/>
  <c r="H666" i="10"/>
  <c r="I666" i="10"/>
  <c r="J666" i="10"/>
  <c r="K666" i="10"/>
  <c r="L666" i="10"/>
  <c r="M666" i="10"/>
  <c r="N666" i="10"/>
  <c r="C667" i="10"/>
  <c r="D667" i="10"/>
  <c r="E667" i="10"/>
  <c r="F667" i="10"/>
  <c r="G667" i="10"/>
  <c r="H667" i="10"/>
  <c r="I667" i="10"/>
  <c r="J667" i="10"/>
  <c r="K667" i="10"/>
  <c r="L667" i="10"/>
  <c r="M667" i="10"/>
  <c r="N667" i="10"/>
  <c r="C668" i="10"/>
  <c r="D668" i="10"/>
  <c r="E668" i="10"/>
  <c r="F668" i="10"/>
  <c r="G668" i="10"/>
  <c r="H668" i="10"/>
  <c r="I668" i="10"/>
  <c r="J668" i="10"/>
  <c r="K668" i="10"/>
  <c r="L668" i="10"/>
  <c r="M668" i="10"/>
  <c r="N668" i="10"/>
  <c r="C669" i="10"/>
  <c r="D669" i="10"/>
  <c r="E669" i="10"/>
  <c r="F669" i="10"/>
  <c r="G669" i="10"/>
  <c r="H669" i="10"/>
  <c r="I669" i="10"/>
  <c r="J669" i="10"/>
  <c r="K669" i="10"/>
  <c r="L669" i="10"/>
  <c r="M669" i="10"/>
  <c r="N669" i="10"/>
  <c r="C670" i="10"/>
  <c r="D670" i="10"/>
  <c r="E670" i="10"/>
  <c r="F670" i="10"/>
  <c r="G670" i="10"/>
  <c r="H670" i="10"/>
  <c r="I670" i="10"/>
  <c r="J670" i="10"/>
  <c r="K670" i="10"/>
  <c r="L670" i="10"/>
  <c r="M670" i="10"/>
  <c r="N670" i="10"/>
  <c r="C671" i="10"/>
  <c r="D671" i="10"/>
  <c r="E671" i="10"/>
  <c r="F671" i="10"/>
  <c r="G671" i="10"/>
  <c r="H671" i="10"/>
  <c r="I671" i="10"/>
  <c r="J671" i="10"/>
  <c r="K671" i="10"/>
  <c r="L671" i="10"/>
  <c r="M671" i="10"/>
  <c r="N671" i="10"/>
  <c r="C672" i="10"/>
  <c r="D672" i="10"/>
  <c r="E672" i="10"/>
  <c r="F672" i="10"/>
  <c r="G672" i="10"/>
  <c r="H672" i="10"/>
  <c r="I672" i="10"/>
  <c r="J672" i="10"/>
  <c r="K672" i="10"/>
  <c r="L672" i="10"/>
  <c r="M672" i="10"/>
  <c r="N672" i="10"/>
  <c r="C673" i="10"/>
  <c r="D673" i="10"/>
  <c r="E673" i="10"/>
  <c r="F673" i="10"/>
  <c r="G673" i="10"/>
  <c r="H673" i="10"/>
  <c r="I673" i="10"/>
  <c r="J673" i="10"/>
  <c r="K673" i="10"/>
  <c r="L673" i="10"/>
  <c r="M673" i="10"/>
  <c r="N673" i="10"/>
  <c r="C674" i="10"/>
  <c r="D674" i="10"/>
  <c r="E674" i="10"/>
  <c r="F674" i="10"/>
  <c r="G674" i="10"/>
  <c r="H674" i="10"/>
  <c r="I674" i="10"/>
  <c r="J674" i="10"/>
  <c r="K674" i="10"/>
  <c r="L674" i="10"/>
  <c r="M674" i="10"/>
  <c r="N674" i="10"/>
  <c r="C675" i="10"/>
  <c r="D675" i="10"/>
  <c r="E675" i="10"/>
  <c r="F675" i="10"/>
  <c r="G675" i="10"/>
  <c r="H675" i="10"/>
  <c r="I675" i="10"/>
  <c r="J675" i="10"/>
  <c r="K675" i="10"/>
  <c r="L675" i="10"/>
  <c r="M675" i="10"/>
  <c r="N675" i="10"/>
  <c r="C676" i="10"/>
  <c r="D676" i="10"/>
  <c r="E676" i="10"/>
  <c r="F676" i="10"/>
  <c r="G676" i="10"/>
  <c r="H676" i="10"/>
  <c r="I676" i="10"/>
  <c r="J676" i="10"/>
  <c r="K676" i="10"/>
  <c r="L676" i="10"/>
  <c r="M676" i="10"/>
  <c r="N676" i="10"/>
  <c r="C677" i="10"/>
  <c r="D677" i="10"/>
  <c r="E677" i="10"/>
  <c r="F677" i="10"/>
  <c r="G677" i="10"/>
  <c r="H677" i="10"/>
  <c r="I677" i="10"/>
  <c r="J677" i="10"/>
  <c r="K677" i="10"/>
  <c r="L677" i="10"/>
  <c r="M677" i="10"/>
  <c r="N677" i="10"/>
  <c r="C678" i="10"/>
  <c r="D678" i="10"/>
  <c r="E678" i="10"/>
  <c r="F678" i="10"/>
  <c r="G678" i="10"/>
  <c r="H678" i="10"/>
  <c r="I678" i="10"/>
  <c r="J678" i="10"/>
  <c r="K678" i="10"/>
  <c r="L678" i="10"/>
  <c r="M678" i="10"/>
  <c r="N678" i="10"/>
  <c r="C679" i="10"/>
  <c r="D679" i="10"/>
  <c r="E679" i="10"/>
  <c r="F679" i="10"/>
  <c r="G679" i="10"/>
  <c r="H679" i="10"/>
  <c r="I679" i="10"/>
  <c r="J679" i="10"/>
  <c r="K679" i="10"/>
  <c r="L679" i="10"/>
  <c r="M679" i="10"/>
  <c r="N679" i="10"/>
  <c r="C680" i="10"/>
  <c r="D680" i="10"/>
  <c r="E680" i="10"/>
  <c r="F680" i="10"/>
  <c r="G680" i="10"/>
  <c r="H680" i="10"/>
  <c r="I680" i="10"/>
  <c r="J680" i="10"/>
  <c r="K680" i="10"/>
  <c r="L680" i="10"/>
  <c r="M680" i="10"/>
  <c r="N680" i="10"/>
  <c r="C681" i="10"/>
  <c r="D681" i="10"/>
  <c r="E681" i="10"/>
  <c r="F681" i="10"/>
  <c r="G681" i="10"/>
  <c r="H681" i="10"/>
  <c r="I681" i="10"/>
  <c r="J681" i="10"/>
  <c r="K681" i="10"/>
  <c r="L681" i="10"/>
  <c r="M681" i="10"/>
  <c r="N681" i="10"/>
  <c r="C682" i="10"/>
  <c r="D682" i="10"/>
  <c r="E682" i="10"/>
  <c r="F682" i="10"/>
  <c r="G682" i="10"/>
  <c r="H682" i="10"/>
  <c r="I682" i="10"/>
  <c r="J682" i="10"/>
  <c r="K682" i="10"/>
  <c r="L682" i="10"/>
  <c r="M682" i="10"/>
  <c r="N682" i="10"/>
  <c r="C683" i="10"/>
  <c r="D683" i="10"/>
  <c r="E683" i="10"/>
  <c r="F683" i="10"/>
  <c r="G683" i="10"/>
  <c r="H683" i="10"/>
  <c r="I683" i="10"/>
  <c r="J683" i="10"/>
  <c r="K683" i="10"/>
  <c r="L683" i="10"/>
  <c r="M683" i="10"/>
  <c r="N683" i="10"/>
  <c r="C684" i="10"/>
  <c r="D684" i="10"/>
  <c r="E684" i="10"/>
  <c r="F684" i="10"/>
  <c r="G684" i="10"/>
  <c r="H684" i="10"/>
  <c r="I684" i="10"/>
  <c r="J684" i="10"/>
  <c r="K684" i="10"/>
  <c r="L684" i="10"/>
  <c r="M684" i="10"/>
  <c r="N684" i="10"/>
  <c r="C685" i="10"/>
  <c r="D685" i="10"/>
  <c r="E685" i="10"/>
  <c r="F685" i="10"/>
  <c r="G685" i="10"/>
  <c r="H685" i="10"/>
  <c r="I685" i="10"/>
  <c r="J685" i="10"/>
  <c r="K685" i="10"/>
  <c r="L685" i="10"/>
  <c r="M685" i="10"/>
  <c r="N685" i="10"/>
  <c r="C686" i="10"/>
  <c r="D686" i="10"/>
  <c r="E686" i="10"/>
  <c r="F686" i="10"/>
  <c r="G686" i="10"/>
  <c r="H686" i="10"/>
  <c r="I686" i="10"/>
  <c r="J686" i="10"/>
  <c r="K686" i="10"/>
  <c r="L686" i="10"/>
  <c r="M686" i="10"/>
  <c r="N686" i="10"/>
  <c r="C687" i="10"/>
  <c r="D687" i="10"/>
  <c r="E687" i="10"/>
  <c r="F687" i="10"/>
  <c r="G687" i="10"/>
  <c r="H687" i="10"/>
  <c r="I687" i="10"/>
  <c r="J687" i="10"/>
  <c r="K687" i="10"/>
  <c r="L687" i="10"/>
  <c r="M687" i="10"/>
  <c r="N687" i="10"/>
  <c r="C688" i="10"/>
  <c r="D688" i="10"/>
  <c r="E688" i="10"/>
  <c r="F688" i="10"/>
  <c r="G688" i="10"/>
  <c r="H688" i="10"/>
  <c r="I688" i="10"/>
  <c r="J688" i="10"/>
  <c r="K688" i="10"/>
  <c r="L688" i="10"/>
  <c r="M688" i="10"/>
  <c r="N688" i="10"/>
  <c r="C689" i="10"/>
  <c r="D689" i="10"/>
  <c r="E689" i="10"/>
  <c r="F689" i="10"/>
  <c r="G689" i="10"/>
  <c r="H689" i="10"/>
  <c r="I689" i="10"/>
  <c r="J689" i="10"/>
  <c r="K689" i="10"/>
  <c r="L689" i="10"/>
  <c r="M689" i="10"/>
  <c r="N689" i="10"/>
  <c r="C690" i="10"/>
  <c r="D690" i="10"/>
  <c r="E690" i="10"/>
  <c r="F690" i="10"/>
  <c r="G690" i="10"/>
  <c r="H690" i="10"/>
  <c r="I690" i="10"/>
  <c r="J690" i="10"/>
  <c r="K690" i="10"/>
  <c r="L690" i="10"/>
  <c r="M690" i="10"/>
  <c r="N690" i="10"/>
  <c r="C691" i="10"/>
  <c r="D691" i="10"/>
  <c r="E691" i="10"/>
  <c r="F691" i="10"/>
  <c r="G691" i="10"/>
  <c r="H691" i="10"/>
  <c r="I691" i="10"/>
  <c r="J691" i="10"/>
  <c r="K691" i="10"/>
  <c r="L691" i="10"/>
  <c r="M691" i="10"/>
  <c r="N691" i="10"/>
  <c r="C692" i="10"/>
  <c r="D692" i="10"/>
  <c r="E692" i="10"/>
  <c r="F692" i="10"/>
  <c r="G692" i="10"/>
  <c r="H692" i="10"/>
  <c r="I692" i="10"/>
  <c r="J692" i="10"/>
  <c r="K692" i="10"/>
  <c r="L692" i="10"/>
  <c r="M692" i="10"/>
  <c r="N692" i="10"/>
  <c r="C693" i="10"/>
  <c r="D693" i="10"/>
  <c r="E693" i="10"/>
  <c r="F693" i="10"/>
  <c r="G693" i="10"/>
  <c r="H693" i="10"/>
  <c r="I693" i="10"/>
  <c r="J693" i="10"/>
  <c r="K693" i="10"/>
  <c r="L693" i="10"/>
  <c r="M693" i="10"/>
  <c r="N693" i="10"/>
  <c r="C694" i="10"/>
  <c r="D694" i="10"/>
  <c r="E694" i="10"/>
  <c r="F694" i="10"/>
  <c r="G694" i="10"/>
  <c r="H694" i="10"/>
  <c r="I694" i="10"/>
  <c r="J694" i="10"/>
  <c r="K694" i="10"/>
  <c r="L694" i="10"/>
  <c r="M694" i="10"/>
  <c r="N694" i="10"/>
  <c r="C695" i="10"/>
  <c r="D695" i="10"/>
  <c r="E695" i="10"/>
  <c r="F695" i="10"/>
  <c r="G695" i="10"/>
  <c r="H695" i="10"/>
  <c r="I695" i="10"/>
  <c r="J695" i="10"/>
  <c r="K695" i="10"/>
  <c r="L695" i="10"/>
  <c r="M695" i="10"/>
  <c r="N695" i="10"/>
  <c r="C696" i="10"/>
  <c r="D696" i="10"/>
  <c r="E696" i="10"/>
  <c r="F696" i="10"/>
  <c r="G696" i="10"/>
  <c r="H696" i="10"/>
  <c r="I696" i="10"/>
  <c r="J696" i="10"/>
  <c r="K696" i="10"/>
  <c r="L696" i="10"/>
  <c r="M696" i="10"/>
  <c r="N696" i="10"/>
  <c r="C697" i="10"/>
  <c r="D697" i="10"/>
  <c r="E697" i="10"/>
  <c r="F697" i="10"/>
  <c r="G697" i="10"/>
  <c r="H697" i="10"/>
  <c r="I697" i="10"/>
  <c r="J697" i="10"/>
  <c r="K697" i="10"/>
  <c r="L697" i="10"/>
  <c r="M697" i="10"/>
  <c r="N697" i="10"/>
  <c r="C698" i="10"/>
  <c r="D698" i="10"/>
  <c r="E698" i="10"/>
  <c r="F698" i="10"/>
  <c r="G698" i="10"/>
  <c r="H698" i="10"/>
  <c r="I698" i="10"/>
  <c r="J698" i="10"/>
  <c r="K698" i="10"/>
  <c r="L698" i="10"/>
  <c r="M698" i="10"/>
  <c r="N698" i="10"/>
  <c r="C699" i="10"/>
  <c r="D699" i="10"/>
  <c r="E699" i="10"/>
  <c r="F699" i="10"/>
  <c r="G699" i="10"/>
  <c r="H699" i="10"/>
  <c r="I699" i="10"/>
  <c r="J699" i="10"/>
  <c r="K699" i="10"/>
  <c r="L699" i="10"/>
  <c r="M699" i="10"/>
  <c r="N699" i="10"/>
  <c r="C700" i="10"/>
  <c r="D700" i="10"/>
  <c r="E700" i="10"/>
  <c r="F700" i="10"/>
  <c r="G700" i="10"/>
  <c r="H700" i="10"/>
  <c r="I700" i="10"/>
  <c r="J700" i="10"/>
  <c r="K700" i="10"/>
  <c r="L700" i="10"/>
  <c r="M700" i="10"/>
  <c r="N700" i="10"/>
  <c r="C701" i="10"/>
  <c r="D701" i="10"/>
  <c r="E701" i="10"/>
  <c r="F701" i="10"/>
  <c r="G701" i="10"/>
  <c r="H701" i="10"/>
  <c r="I701" i="10"/>
  <c r="J701" i="10"/>
  <c r="K701" i="10"/>
  <c r="L701" i="10"/>
  <c r="M701" i="10"/>
  <c r="N701" i="10"/>
  <c r="C702" i="10"/>
  <c r="D702" i="10"/>
  <c r="E702" i="10"/>
  <c r="F702" i="10"/>
  <c r="G702" i="10"/>
  <c r="H702" i="10"/>
  <c r="I702" i="10"/>
  <c r="J702" i="10"/>
  <c r="K702" i="10"/>
  <c r="L702" i="10"/>
  <c r="M702" i="10"/>
  <c r="N702" i="10"/>
  <c r="C703" i="10"/>
  <c r="D703" i="10"/>
  <c r="E703" i="10"/>
  <c r="F703" i="10"/>
  <c r="G703" i="10"/>
  <c r="H703" i="10"/>
  <c r="I703" i="10"/>
  <c r="J703" i="10"/>
  <c r="K703" i="10"/>
  <c r="L703" i="10"/>
  <c r="M703" i="10"/>
  <c r="N703" i="10"/>
  <c r="C704" i="10"/>
  <c r="D704" i="10"/>
  <c r="E704" i="10"/>
  <c r="F704" i="10"/>
  <c r="G704" i="10"/>
  <c r="H704" i="10"/>
  <c r="I704" i="10"/>
  <c r="J704" i="10"/>
  <c r="K704" i="10"/>
  <c r="L704" i="10"/>
  <c r="M704" i="10"/>
  <c r="N704" i="10"/>
  <c r="C705" i="10"/>
  <c r="D705" i="10"/>
  <c r="E705" i="10"/>
  <c r="F705" i="10"/>
  <c r="G705" i="10"/>
  <c r="H705" i="10"/>
  <c r="I705" i="10"/>
  <c r="J705" i="10"/>
  <c r="K705" i="10"/>
  <c r="L705" i="10"/>
  <c r="M705" i="10"/>
  <c r="N705" i="10"/>
  <c r="C706" i="10"/>
  <c r="D706" i="10"/>
  <c r="E706" i="10"/>
  <c r="F706" i="10"/>
  <c r="G706" i="10"/>
  <c r="H706" i="10"/>
  <c r="I706" i="10"/>
  <c r="J706" i="10"/>
  <c r="K706" i="10"/>
  <c r="L706" i="10"/>
  <c r="M706" i="10"/>
  <c r="N706" i="10"/>
  <c r="C707" i="10"/>
  <c r="D707" i="10"/>
  <c r="E707" i="10"/>
  <c r="F707" i="10"/>
  <c r="G707" i="10"/>
  <c r="H707" i="10"/>
  <c r="I707" i="10"/>
  <c r="J707" i="10"/>
  <c r="K707" i="10"/>
  <c r="L707" i="10"/>
  <c r="M707" i="10"/>
  <c r="N707" i="10"/>
  <c r="C708" i="10"/>
  <c r="D708" i="10"/>
  <c r="E708" i="10"/>
  <c r="F708" i="10"/>
  <c r="G708" i="10"/>
  <c r="H708" i="10"/>
  <c r="I708" i="10"/>
  <c r="J708" i="10"/>
  <c r="K708" i="10"/>
  <c r="L708" i="10"/>
  <c r="M708" i="10"/>
  <c r="N708" i="10"/>
  <c r="C709" i="10"/>
  <c r="D709" i="10"/>
  <c r="E709" i="10"/>
  <c r="F709" i="10"/>
  <c r="G709" i="10"/>
  <c r="H709" i="10"/>
  <c r="I709" i="10"/>
  <c r="J709" i="10"/>
  <c r="K709" i="10"/>
  <c r="L709" i="10"/>
  <c r="M709" i="10"/>
  <c r="N709" i="10"/>
  <c r="C710" i="10"/>
  <c r="D710" i="10"/>
  <c r="E710" i="10"/>
  <c r="F710" i="10"/>
  <c r="G710" i="10"/>
  <c r="H710" i="10"/>
  <c r="I710" i="10"/>
  <c r="J710" i="10"/>
  <c r="K710" i="10"/>
  <c r="L710" i="10"/>
  <c r="M710" i="10"/>
  <c r="N710" i="10"/>
  <c r="C711" i="10"/>
  <c r="D711" i="10"/>
  <c r="E711" i="10"/>
  <c r="F711" i="10"/>
  <c r="G711" i="10"/>
  <c r="H711" i="10"/>
  <c r="I711" i="10"/>
  <c r="J711" i="10"/>
  <c r="K711" i="10"/>
  <c r="L711" i="10"/>
  <c r="M711" i="10"/>
  <c r="N711" i="10"/>
  <c r="C712" i="10"/>
  <c r="D712" i="10"/>
  <c r="E712" i="10"/>
  <c r="F712" i="10"/>
  <c r="G712" i="10"/>
  <c r="H712" i="10"/>
  <c r="I712" i="10"/>
  <c r="J712" i="10"/>
  <c r="K712" i="10"/>
  <c r="L712" i="10"/>
  <c r="M712" i="10"/>
  <c r="N712" i="10"/>
  <c r="C713" i="10"/>
  <c r="D713" i="10"/>
  <c r="E713" i="10"/>
  <c r="F713" i="10"/>
  <c r="G713" i="10"/>
  <c r="H713" i="10"/>
  <c r="I713" i="10"/>
  <c r="J713" i="10"/>
  <c r="K713" i="10"/>
  <c r="L713" i="10"/>
  <c r="M713" i="10"/>
  <c r="N713" i="10"/>
  <c r="C714" i="10"/>
  <c r="D714" i="10"/>
  <c r="E714" i="10"/>
  <c r="F714" i="10"/>
  <c r="G714" i="10"/>
  <c r="H714" i="10"/>
  <c r="I714" i="10"/>
  <c r="J714" i="10"/>
  <c r="K714" i="10"/>
  <c r="L714" i="10"/>
  <c r="M714" i="10"/>
  <c r="N714" i="10"/>
  <c r="C715" i="10"/>
  <c r="D715" i="10"/>
  <c r="E715" i="10"/>
  <c r="F715" i="10"/>
  <c r="G715" i="10"/>
  <c r="H715" i="10"/>
  <c r="I715" i="10"/>
  <c r="J715" i="10"/>
  <c r="K715" i="10"/>
  <c r="L715" i="10"/>
  <c r="M715" i="10"/>
  <c r="N715" i="10"/>
  <c r="C716" i="10"/>
  <c r="D716" i="10"/>
  <c r="E716" i="10"/>
  <c r="F716" i="10"/>
  <c r="G716" i="10"/>
  <c r="H716" i="10"/>
  <c r="I716" i="10"/>
  <c r="J716" i="10"/>
  <c r="K716" i="10"/>
  <c r="L716" i="10"/>
  <c r="M716" i="10"/>
  <c r="N716" i="10"/>
  <c r="C717" i="10"/>
  <c r="D717" i="10"/>
  <c r="E717" i="10"/>
  <c r="F717" i="10"/>
  <c r="G717" i="10"/>
  <c r="H717" i="10"/>
  <c r="I717" i="10"/>
  <c r="J717" i="10"/>
  <c r="K717" i="10"/>
  <c r="L717" i="10"/>
  <c r="M717" i="10"/>
  <c r="N717" i="10"/>
  <c r="C718" i="10"/>
  <c r="D718" i="10"/>
  <c r="E718" i="10"/>
  <c r="F718" i="10"/>
  <c r="G718" i="10"/>
  <c r="H718" i="10"/>
  <c r="I718" i="10"/>
  <c r="J718" i="10"/>
  <c r="K718" i="10"/>
  <c r="L718" i="10"/>
  <c r="M718" i="10"/>
  <c r="N718" i="10"/>
  <c r="C719" i="10"/>
  <c r="D719" i="10"/>
  <c r="E719" i="10"/>
  <c r="F719" i="10"/>
  <c r="G719" i="10"/>
  <c r="H719" i="10"/>
  <c r="I719" i="10"/>
  <c r="J719" i="10"/>
  <c r="K719" i="10"/>
  <c r="L719" i="10"/>
  <c r="M719" i="10"/>
  <c r="N719" i="10"/>
  <c r="C720" i="10"/>
  <c r="D720" i="10"/>
  <c r="E720" i="10"/>
  <c r="F720" i="10"/>
  <c r="G720" i="10"/>
  <c r="H720" i="10"/>
  <c r="I720" i="10"/>
  <c r="J720" i="10"/>
  <c r="K720" i="10"/>
  <c r="L720" i="10"/>
  <c r="M720" i="10"/>
  <c r="N720" i="10"/>
  <c r="C721" i="10"/>
  <c r="D721" i="10"/>
  <c r="E721" i="10"/>
  <c r="F721" i="10"/>
  <c r="G721" i="10"/>
  <c r="H721" i="10"/>
  <c r="I721" i="10"/>
  <c r="J721" i="10"/>
  <c r="K721" i="10"/>
  <c r="L721" i="10"/>
  <c r="M721" i="10"/>
  <c r="N721" i="10"/>
  <c r="C722" i="10"/>
  <c r="D722" i="10"/>
  <c r="E722" i="10"/>
  <c r="F722" i="10"/>
  <c r="G722" i="10"/>
  <c r="H722" i="10"/>
  <c r="I722" i="10"/>
  <c r="J722" i="10"/>
  <c r="K722" i="10"/>
  <c r="L722" i="10"/>
  <c r="M722" i="10"/>
  <c r="N722" i="10"/>
  <c r="C723" i="10"/>
  <c r="D723" i="10"/>
  <c r="E723" i="10"/>
  <c r="F723" i="10"/>
  <c r="G723" i="10"/>
  <c r="H723" i="10"/>
  <c r="I723" i="10"/>
  <c r="J723" i="10"/>
  <c r="K723" i="10"/>
  <c r="L723" i="10"/>
  <c r="M723" i="10"/>
  <c r="N723" i="10"/>
  <c r="C724" i="10"/>
  <c r="D724" i="10"/>
  <c r="E724" i="10"/>
  <c r="F724" i="10"/>
  <c r="G724" i="10"/>
  <c r="H724" i="10"/>
  <c r="I724" i="10"/>
  <c r="J724" i="10"/>
  <c r="K724" i="10"/>
  <c r="L724" i="10"/>
  <c r="M724" i="10"/>
  <c r="N724" i="10"/>
  <c r="C725" i="10"/>
  <c r="D725" i="10"/>
  <c r="E725" i="10"/>
  <c r="F725" i="10"/>
  <c r="G725" i="10"/>
  <c r="H725" i="10"/>
  <c r="I725" i="10"/>
  <c r="J725" i="10"/>
  <c r="K725" i="10"/>
  <c r="L725" i="10"/>
  <c r="M725" i="10"/>
  <c r="N725" i="10"/>
  <c r="C726" i="10"/>
  <c r="D726" i="10"/>
  <c r="E726" i="10"/>
  <c r="F726" i="10"/>
  <c r="G726" i="10"/>
  <c r="H726" i="10"/>
  <c r="I726" i="10"/>
  <c r="J726" i="10"/>
  <c r="K726" i="10"/>
  <c r="L726" i="10"/>
  <c r="M726" i="10"/>
  <c r="N726" i="10"/>
  <c r="C727" i="10"/>
  <c r="D727" i="10"/>
  <c r="E727" i="10"/>
  <c r="F727" i="10"/>
  <c r="G727" i="10"/>
  <c r="H727" i="10"/>
  <c r="I727" i="10"/>
  <c r="J727" i="10"/>
  <c r="K727" i="10"/>
  <c r="L727" i="10"/>
  <c r="M727" i="10"/>
  <c r="N727" i="10"/>
  <c r="C728" i="10"/>
  <c r="D728" i="10"/>
  <c r="E728" i="10"/>
  <c r="F728" i="10"/>
  <c r="G728" i="10"/>
  <c r="H728" i="10"/>
  <c r="I728" i="10"/>
  <c r="J728" i="10"/>
  <c r="K728" i="10"/>
  <c r="L728" i="10"/>
  <c r="M728" i="10"/>
  <c r="N728" i="10"/>
  <c r="C729" i="10"/>
  <c r="D729" i="10"/>
  <c r="E729" i="10"/>
  <c r="F729" i="10"/>
  <c r="G729" i="10"/>
  <c r="H729" i="10"/>
  <c r="I729" i="10"/>
  <c r="J729" i="10"/>
  <c r="K729" i="10"/>
  <c r="L729" i="10"/>
  <c r="M729" i="10"/>
  <c r="N729" i="10"/>
  <c r="C730" i="10"/>
  <c r="D730" i="10"/>
  <c r="E730" i="10"/>
  <c r="F730" i="10"/>
  <c r="G730" i="10"/>
  <c r="H730" i="10"/>
  <c r="I730" i="10"/>
  <c r="J730" i="10"/>
  <c r="K730" i="10"/>
  <c r="L730" i="10"/>
  <c r="M730" i="10"/>
  <c r="N730" i="10"/>
  <c r="C731" i="10"/>
  <c r="D731" i="10"/>
  <c r="E731" i="10"/>
  <c r="F731" i="10"/>
  <c r="G731" i="10"/>
  <c r="H731" i="10"/>
  <c r="I731" i="10"/>
  <c r="J731" i="10"/>
  <c r="K731" i="10"/>
  <c r="L731" i="10"/>
  <c r="M731" i="10"/>
  <c r="N731" i="10"/>
  <c r="C732" i="10"/>
  <c r="D732" i="10"/>
  <c r="E732" i="10"/>
  <c r="F732" i="10"/>
  <c r="G732" i="10"/>
  <c r="H732" i="10"/>
  <c r="I732" i="10"/>
  <c r="J732" i="10"/>
  <c r="K732" i="10"/>
  <c r="L732" i="10"/>
  <c r="M732" i="10"/>
  <c r="N732" i="10"/>
  <c r="C733" i="10"/>
  <c r="D733" i="10"/>
  <c r="E733" i="10"/>
  <c r="F733" i="10"/>
  <c r="G733" i="10"/>
  <c r="H733" i="10"/>
  <c r="I733" i="10"/>
  <c r="J733" i="10"/>
  <c r="K733" i="10"/>
  <c r="L733" i="10"/>
  <c r="M733" i="10"/>
  <c r="N733" i="10"/>
  <c r="C734" i="10"/>
  <c r="D734" i="10"/>
  <c r="E734" i="10"/>
  <c r="F734" i="10"/>
  <c r="G734" i="10"/>
  <c r="H734" i="10"/>
  <c r="I734" i="10"/>
  <c r="J734" i="10"/>
  <c r="K734" i="10"/>
  <c r="L734" i="10"/>
  <c r="M734" i="10"/>
  <c r="N734" i="10"/>
  <c r="C735" i="10"/>
  <c r="D735" i="10"/>
  <c r="E735" i="10"/>
  <c r="F735" i="10"/>
  <c r="G735" i="10"/>
  <c r="H735" i="10"/>
  <c r="I735" i="10"/>
  <c r="J735" i="10"/>
  <c r="K735" i="10"/>
  <c r="L735" i="10"/>
  <c r="M735" i="10"/>
  <c r="N735" i="10"/>
  <c r="C736" i="10"/>
  <c r="D736" i="10"/>
  <c r="E736" i="10"/>
  <c r="F736" i="10"/>
  <c r="G736" i="10"/>
  <c r="H736" i="10"/>
  <c r="I736" i="10"/>
  <c r="J736" i="10"/>
  <c r="K736" i="10"/>
  <c r="L736" i="10"/>
  <c r="M736" i="10"/>
  <c r="N736" i="10"/>
  <c r="C737" i="10"/>
  <c r="D737" i="10"/>
  <c r="E737" i="10"/>
  <c r="F737" i="10"/>
  <c r="G737" i="10"/>
  <c r="H737" i="10"/>
  <c r="I737" i="10"/>
  <c r="J737" i="10"/>
  <c r="K737" i="10"/>
  <c r="L737" i="10"/>
  <c r="M737" i="10"/>
  <c r="N737" i="10"/>
  <c r="C738" i="10"/>
  <c r="D738" i="10"/>
  <c r="E738" i="10"/>
  <c r="F738" i="10"/>
  <c r="G738" i="10"/>
  <c r="H738" i="10"/>
  <c r="I738" i="10"/>
  <c r="J738" i="10"/>
  <c r="K738" i="10"/>
  <c r="L738" i="10"/>
  <c r="M738" i="10"/>
  <c r="N738" i="10"/>
  <c r="C739" i="10"/>
  <c r="D739" i="10"/>
  <c r="E739" i="10"/>
  <c r="F739" i="10"/>
  <c r="G739" i="10"/>
  <c r="H739" i="10"/>
  <c r="I739" i="10"/>
  <c r="J739" i="10"/>
  <c r="K739" i="10"/>
  <c r="L739" i="10"/>
  <c r="M739" i="10"/>
  <c r="N739" i="10"/>
  <c r="C740" i="10"/>
  <c r="D740" i="10"/>
  <c r="E740" i="10"/>
  <c r="F740" i="10"/>
  <c r="G740" i="10"/>
  <c r="H740" i="10"/>
  <c r="I740" i="10"/>
  <c r="J740" i="10"/>
  <c r="K740" i="10"/>
  <c r="L740" i="10"/>
  <c r="M740" i="10"/>
  <c r="N740" i="10"/>
  <c r="C741" i="10"/>
  <c r="D741" i="10"/>
  <c r="E741" i="10"/>
  <c r="F741" i="10"/>
  <c r="G741" i="10"/>
  <c r="H741" i="10"/>
  <c r="I741" i="10"/>
  <c r="J741" i="10"/>
  <c r="K741" i="10"/>
  <c r="L741" i="10"/>
  <c r="M741" i="10"/>
  <c r="N741" i="10"/>
  <c r="C742" i="10"/>
  <c r="D742" i="10"/>
  <c r="E742" i="10"/>
  <c r="F742" i="10"/>
  <c r="G742" i="10"/>
  <c r="H742" i="10"/>
  <c r="I742" i="10"/>
  <c r="J742" i="10"/>
  <c r="K742" i="10"/>
  <c r="L742" i="10"/>
  <c r="M742" i="10"/>
  <c r="N742" i="10"/>
  <c r="C743" i="10"/>
  <c r="D743" i="10"/>
  <c r="E743" i="10"/>
  <c r="F743" i="10"/>
  <c r="G743" i="10"/>
  <c r="H743" i="10"/>
  <c r="I743" i="10"/>
  <c r="J743" i="10"/>
  <c r="K743" i="10"/>
  <c r="L743" i="10"/>
  <c r="M743" i="10"/>
  <c r="N743" i="10"/>
  <c r="C744" i="10"/>
  <c r="D744" i="10"/>
  <c r="E744" i="10"/>
  <c r="F744" i="10"/>
  <c r="G744" i="10"/>
  <c r="H744" i="10"/>
  <c r="I744" i="10"/>
  <c r="J744" i="10"/>
  <c r="K744" i="10"/>
  <c r="L744" i="10"/>
  <c r="M744" i="10"/>
  <c r="N744" i="10"/>
  <c r="C745" i="10"/>
  <c r="D745" i="10"/>
  <c r="E745" i="10"/>
  <c r="F745" i="10"/>
  <c r="G745" i="10"/>
  <c r="H745" i="10"/>
  <c r="I745" i="10"/>
  <c r="J745" i="10"/>
  <c r="K745" i="10"/>
  <c r="L745" i="10"/>
  <c r="M745" i="10"/>
  <c r="N745" i="10"/>
  <c r="C746" i="10"/>
  <c r="D746" i="10"/>
  <c r="E746" i="10"/>
  <c r="F746" i="10"/>
  <c r="G746" i="10"/>
  <c r="H746" i="10"/>
  <c r="I746" i="10"/>
  <c r="J746" i="10"/>
  <c r="K746" i="10"/>
  <c r="L746" i="10"/>
  <c r="M746" i="10"/>
  <c r="N746" i="10"/>
  <c r="C747" i="10"/>
  <c r="D747" i="10"/>
  <c r="E747" i="10"/>
  <c r="F747" i="10"/>
  <c r="G747" i="10"/>
  <c r="H747" i="10"/>
  <c r="I747" i="10"/>
  <c r="J747" i="10"/>
  <c r="K747" i="10"/>
  <c r="L747" i="10"/>
  <c r="M747" i="10"/>
  <c r="N747" i="10"/>
  <c r="C6" i="10"/>
  <c r="D6" i="10"/>
  <c r="E6" i="10"/>
  <c r="F6" i="10"/>
  <c r="G6" i="10"/>
  <c r="H6" i="10"/>
  <c r="I6" i="10"/>
  <c r="J6" i="10"/>
  <c r="K6" i="10"/>
  <c r="L6" i="10"/>
  <c r="M6" i="10"/>
  <c r="N6" i="10"/>
  <c r="P6" i="10"/>
  <c r="A58" i="7"/>
  <c r="H58" i="7" s="1"/>
  <c r="A110" i="6"/>
  <c r="F111" i="6" s="1"/>
  <c r="A162" i="5"/>
  <c r="F164" i="5" s="1"/>
  <c r="A58" i="4"/>
  <c r="I58" i="4" s="1"/>
  <c r="I111" i="6"/>
  <c r="G111" i="6"/>
  <c r="J110" i="6"/>
  <c r="I110" i="6"/>
  <c r="W58" i="4"/>
  <c r="A6" i="7"/>
  <c r="C6" i="7" s="1"/>
  <c r="A7" i="7"/>
  <c r="L7" i="7" s="1"/>
  <c r="A8" i="7"/>
  <c r="A9" i="7"/>
  <c r="A10" i="7"/>
  <c r="A11" i="7"/>
  <c r="L11" i="7" s="1"/>
  <c r="A12" i="7"/>
  <c r="A13" i="7"/>
  <c r="E13" i="7" s="1"/>
  <c r="A14" i="7"/>
  <c r="A15" i="7"/>
  <c r="A16" i="7"/>
  <c r="A17" i="7"/>
  <c r="F17" i="7" s="1"/>
  <c r="A18" i="7"/>
  <c r="C18" i="7" s="1"/>
  <c r="A19" i="7"/>
  <c r="L19" i="7" s="1"/>
  <c r="A20" i="7"/>
  <c r="A21" i="7"/>
  <c r="A22" i="7"/>
  <c r="A23" i="7"/>
  <c r="L23" i="7" s="1"/>
  <c r="A24" i="7"/>
  <c r="A25" i="7"/>
  <c r="E25" i="7" s="1"/>
  <c r="A26" i="7"/>
  <c r="A27" i="7"/>
  <c r="A28" i="7"/>
  <c r="A29" i="7"/>
  <c r="F29" i="7" s="1"/>
  <c r="A30" i="7"/>
  <c r="C30" i="7" s="1"/>
  <c r="A31" i="7"/>
  <c r="L31" i="7" s="1"/>
  <c r="A32" i="7"/>
  <c r="A33" i="7"/>
  <c r="A34" i="7"/>
  <c r="A35" i="7"/>
  <c r="L35" i="7" s="1"/>
  <c r="A36" i="7"/>
  <c r="A37" i="7"/>
  <c r="E37" i="7" s="1"/>
  <c r="A38" i="7"/>
  <c r="A39" i="7"/>
  <c r="A40" i="7"/>
  <c r="P40" i="7" s="1"/>
  <c r="A41" i="7"/>
  <c r="G41" i="7" s="1"/>
  <c r="A42" i="7"/>
  <c r="D42" i="7" s="1"/>
  <c r="A43" i="7"/>
  <c r="M43" i="7" s="1"/>
  <c r="A44" i="7"/>
  <c r="N44" i="7" s="1"/>
  <c r="A45" i="7"/>
  <c r="A46" i="7"/>
  <c r="A47" i="7"/>
  <c r="M47" i="7" s="1"/>
  <c r="A48" i="7"/>
  <c r="A49" i="7"/>
  <c r="E49" i="7" s="1"/>
  <c r="A50" i="7"/>
  <c r="I50" i="7" s="1"/>
  <c r="A51" i="7"/>
  <c r="A52" i="7"/>
  <c r="I52" i="7" s="1"/>
  <c r="A53" i="7"/>
  <c r="H53" i="7" s="1"/>
  <c r="A54" i="7"/>
  <c r="E54" i="7" s="1"/>
  <c r="A55" i="7"/>
  <c r="N55" i="7" s="1"/>
  <c r="A56" i="7"/>
  <c r="C56" i="7" s="1"/>
  <c r="A57" i="7"/>
  <c r="D57" i="7" s="1"/>
  <c r="A6" i="6"/>
  <c r="A8" i="6"/>
  <c r="A10" i="6"/>
  <c r="A12" i="6"/>
  <c r="M13" i="6" s="1"/>
  <c r="A14" i="6"/>
  <c r="A16" i="6"/>
  <c r="C16" i="6" s="1"/>
  <c r="A18" i="6"/>
  <c r="A20" i="6"/>
  <c r="A22" i="6"/>
  <c r="G22" i="6" s="1"/>
  <c r="A24" i="6"/>
  <c r="A26" i="6"/>
  <c r="A28" i="6"/>
  <c r="A30" i="6"/>
  <c r="A32" i="6"/>
  <c r="A34" i="6"/>
  <c r="A36" i="6"/>
  <c r="I36" i="6" s="1"/>
  <c r="A38" i="6"/>
  <c r="A40" i="6"/>
  <c r="F40" i="6" s="1"/>
  <c r="A42" i="6"/>
  <c r="A44" i="6"/>
  <c r="A46" i="6"/>
  <c r="A48" i="6"/>
  <c r="A50" i="6"/>
  <c r="A52" i="6"/>
  <c r="H53" i="6" s="1"/>
  <c r="A54" i="6"/>
  <c r="A56" i="6"/>
  <c r="A58" i="6"/>
  <c r="A60" i="6"/>
  <c r="F60" i="6" s="1"/>
  <c r="A62" i="6"/>
  <c r="A64" i="6"/>
  <c r="D65" i="6" s="1"/>
  <c r="A66" i="6"/>
  <c r="A68" i="6"/>
  <c r="G69" i="6" s="1"/>
  <c r="A70" i="6"/>
  <c r="C70" i="6" s="1"/>
  <c r="A72" i="6"/>
  <c r="G72" i="6" s="1"/>
  <c r="A74" i="6"/>
  <c r="C74" i="6" s="1"/>
  <c r="A76" i="6"/>
  <c r="G76" i="6" s="1"/>
  <c r="A78" i="6"/>
  <c r="D79" i="6" s="1"/>
  <c r="A80" i="6"/>
  <c r="G80" i="6" s="1"/>
  <c r="A82" i="6"/>
  <c r="A84" i="6"/>
  <c r="D84" i="6" s="1"/>
  <c r="A86" i="6"/>
  <c r="A88" i="6"/>
  <c r="N88" i="6" s="1"/>
  <c r="A90" i="6"/>
  <c r="E90" i="6" s="1"/>
  <c r="A92" i="6"/>
  <c r="E92" i="6" s="1"/>
  <c r="A94" i="6"/>
  <c r="L94" i="6" s="1"/>
  <c r="A96" i="6"/>
  <c r="A98" i="6"/>
  <c r="P98" i="6" s="1"/>
  <c r="A100" i="6"/>
  <c r="I100" i="6" s="1"/>
  <c r="A102" i="6"/>
  <c r="M102" i="6" s="1"/>
  <c r="A104" i="6"/>
  <c r="D104" i="6" s="1"/>
  <c r="A106" i="6"/>
  <c r="A108" i="6"/>
  <c r="A6" i="5"/>
  <c r="A9" i="5"/>
  <c r="K11" i="5" s="1"/>
  <c r="A12" i="5"/>
  <c r="G14" i="5" s="1"/>
  <c r="A15" i="5"/>
  <c r="A18" i="5"/>
  <c r="K19" i="5" s="1"/>
  <c r="A21" i="5"/>
  <c r="G21" i="5" s="1"/>
  <c r="A24" i="5"/>
  <c r="N25" i="5" s="1"/>
  <c r="A27" i="5"/>
  <c r="H28" i="5" s="1"/>
  <c r="A30" i="5"/>
  <c r="A33" i="5"/>
  <c r="A36" i="5"/>
  <c r="A39" i="5"/>
  <c r="D40" i="5" s="1"/>
  <c r="A42" i="5"/>
  <c r="A45" i="5"/>
  <c r="M45" i="5" s="1"/>
  <c r="A48" i="5"/>
  <c r="A51" i="5"/>
  <c r="A54" i="5"/>
  <c r="A57" i="5"/>
  <c r="H58" i="5" s="1"/>
  <c r="A60" i="5"/>
  <c r="D60" i="5" s="1"/>
  <c r="A63" i="5"/>
  <c r="G64" i="5" s="1"/>
  <c r="A66" i="5"/>
  <c r="A69" i="5"/>
  <c r="A72" i="5"/>
  <c r="P73" i="5" s="1"/>
  <c r="A75" i="5"/>
  <c r="J77" i="5" s="1"/>
  <c r="A78" i="5"/>
  <c r="F78" i="5" s="1"/>
  <c r="A81" i="5"/>
  <c r="G81" i="5" s="1"/>
  <c r="A84" i="5"/>
  <c r="A87" i="5"/>
  <c r="L88" i="5" s="1"/>
  <c r="A90" i="5"/>
  <c r="J90" i="5" s="1"/>
  <c r="A93" i="5"/>
  <c r="G94" i="5" s="1"/>
  <c r="A96" i="5"/>
  <c r="L96" i="5" s="1"/>
  <c r="A99" i="5"/>
  <c r="J99" i="5" s="1"/>
  <c r="A102" i="5"/>
  <c r="M104" i="5" s="1"/>
  <c r="A105" i="5"/>
  <c r="G105" i="5" s="1"/>
  <c r="A108" i="5"/>
  <c r="A111" i="5"/>
  <c r="A114" i="5"/>
  <c r="K115" i="5" s="1"/>
  <c r="A117" i="5"/>
  <c r="F118" i="5" s="1"/>
  <c r="A120" i="5"/>
  <c r="D121" i="5" s="1"/>
  <c r="A123" i="5"/>
  <c r="A126" i="5"/>
  <c r="D127" i="5" s="1"/>
  <c r="A129" i="5"/>
  <c r="A132" i="5"/>
  <c r="C132" i="5" s="1"/>
  <c r="A135" i="5"/>
  <c r="A138" i="5"/>
  <c r="E138" i="5" s="1"/>
  <c r="A141" i="5"/>
  <c r="C142" i="5" s="1"/>
  <c r="A144" i="5"/>
  <c r="A147" i="5"/>
  <c r="A150" i="5"/>
  <c r="F151" i="5" s="1"/>
  <c r="A153" i="5"/>
  <c r="I155" i="5" s="1"/>
  <c r="A156" i="5"/>
  <c r="M158" i="5" s="1"/>
  <c r="A159" i="5"/>
  <c r="P161" i="5" s="1"/>
  <c r="A6" i="4"/>
  <c r="A7" i="4"/>
  <c r="A8" i="4"/>
  <c r="X8" i="4" s="1"/>
  <c r="A9" i="4"/>
  <c r="A10" i="4"/>
  <c r="A11" i="4"/>
  <c r="A12" i="4"/>
  <c r="A13" i="4"/>
  <c r="A14" i="4"/>
  <c r="A15" i="4"/>
  <c r="A16" i="4"/>
  <c r="A17" i="4"/>
  <c r="A18" i="4"/>
  <c r="A19" i="4"/>
  <c r="P19" i="4" s="1"/>
  <c r="A20" i="4"/>
  <c r="A21" i="4"/>
  <c r="A22" i="4"/>
  <c r="Y22" i="4" s="1"/>
  <c r="A23" i="4"/>
  <c r="Y23" i="4" s="1"/>
  <c r="A24" i="4"/>
  <c r="E24" i="4" s="1"/>
  <c r="A25" i="4"/>
  <c r="V25" i="4" s="1"/>
  <c r="A26" i="4"/>
  <c r="P26" i="4" s="1"/>
  <c r="A27" i="4"/>
  <c r="I27" i="4" s="1"/>
  <c r="A28" i="4"/>
  <c r="J28" i="4" s="1"/>
  <c r="A29" i="4"/>
  <c r="W29" i="4" s="1"/>
  <c r="A30" i="4"/>
  <c r="X30" i="4" s="1"/>
  <c r="A31" i="4"/>
  <c r="K31" i="4" s="1"/>
  <c r="A32" i="4"/>
  <c r="J32" i="4" s="1"/>
  <c r="A33" i="4"/>
  <c r="G33" i="4" s="1"/>
  <c r="A34" i="4"/>
  <c r="Q34" i="4" s="1"/>
  <c r="A35" i="4"/>
  <c r="A36" i="4"/>
  <c r="D36" i="4" s="1"/>
  <c r="A37" i="4"/>
  <c r="N37" i="4" s="1"/>
  <c r="A38" i="4"/>
  <c r="J38" i="4" s="1"/>
  <c r="A39" i="4"/>
  <c r="D39" i="4" s="1"/>
  <c r="A40" i="4"/>
  <c r="P40" i="4" s="1"/>
  <c r="A41" i="4"/>
  <c r="M41" i="4" s="1"/>
  <c r="A42" i="4"/>
  <c r="N42" i="4" s="1"/>
  <c r="A43" i="4"/>
  <c r="C43" i="4" s="1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K19" i="18" l="1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G58" i="18"/>
  <c r="F58" i="18"/>
  <c r="G57" i="18"/>
  <c r="F57" i="18"/>
  <c r="G56" i="18"/>
  <c r="F56" i="18"/>
  <c r="G55" i="18"/>
  <c r="F55" i="18"/>
  <c r="G54" i="18"/>
  <c r="F54" i="18"/>
  <c r="G53" i="18"/>
  <c r="F53" i="18"/>
  <c r="G52" i="18"/>
  <c r="F52" i="18"/>
  <c r="G51" i="18"/>
  <c r="F51" i="18"/>
  <c r="G50" i="18"/>
  <c r="F50" i="18"/>
  <c r="G49" i="18"/>
  <c r="F49" i="18"/>
  <c r="G48" i="18"/>
  <c r="F48" i="18"/>
  <c r="G47" i="18"/>
  <c r="F47" i="18"/>
  <c r="G46" i="18"/>
  <c r="F46" i="18"/>
  <c r="G45" i="18"/>
  <c r="F45" i="18"/>
  <c r="G44" i="18"/>
  <c r="F44" i="18"/>
  <c r="G43" i="18"/>
  <c r="F43" i="18"/>
  <c r="G42" i="18"/>
  <c r="F42" i="18"/>
  <c r="G41" i="18"/>
  <c r="F41" i="18"/>
  <c r="G40" i="18"/>
  <c r="F40" i="18"/>
  <c r="G39" i="18"/>
  <c r="F39" i="18"/>
  <c r="G38" i="18"/>
  <c r="F38" i="18"/>
  <c r="G37" i="18"/>
  <c r="F37" i="18"/>
  <c r="G36" i="18"/>
  <c r="F36" i="18"/>
  <c r="G35" i="18"/>
  <c r="F35" i="18"/>
  <c r="G34" i="18"/>
  <c r="F34" i="18"/>
  <c r="G33" i="18"/>
  <c r="F33" i="18"/>
  <c r="G32" i="18"/>
  <c r="F32" i="18"/>
  <c r="G31" i="18"/>
  <c r="F31" i="18"/>
  <c r="G30" i="18"/>
  <c r="F30" i="18"/>
  <c r="G29" i="18"/>
  <c r="F29" i="18"/>
  <c r="G28" i="18"/>
  <c r="F28" i="18"/>
  <c r="G27" i="18"/>
  <c r="F27" i="18"/>
  <c r="G26" i="18"/>
  <c r="F26" i="18"/>
  <c r="G25" i="18"/>
  <c r="F25" i="18"/>
  <c r="G24" i="18"/>
  <c r="F24" i="18"/>
  <c r="G23" i="18"/>
  <c r="F23" i="18"/>
  <c r="G22" i="18"/>
  <c r="F22" i="18"/>
  <c r="G21" i="18"/>
  <c r="F21" i="18"/>
  <c r="G20" i="18"/>
  <c r="F20" i="18"/>
  <c r="G19" i="18"/>
  <c r="F19" i="18"/>
  <c r="G18" i="18"/>
  <c r="F18" i="18"/>
  <c r="G17" i="18"/>
  <c r="F17" i="18"/>
  <c r="G16" i="18"/>
  <c r="F16" i="18"/>
  <c r="G15" i="18"/>
  <c r="F15" i="18"/>
  <c r="G14" i="18"/>
  <c r="F14" i="18"/>
  <c r="G13" i="18"/>
  <c r="F13" i="18"/>
  <c r="G12" i="18"/>
  <c r="F12" i="18"/>
  <c r="G11" i="18"/>
  <c r="F11" i="18"/>
  <c r="G10" i="18"/>
  <c r="F10" i="18"/>
  <c r="G9" i="18"/>
  <c r="F9" i="18"/>
  <c r="G8" i="18"/>
  <c r="F8" i="18"/>
  <c r="G7" i="18"/>
  <c r="F7" i="18"/>
  <c r="AA39" i="4"/>
  <c r="N33" i="4"/>
  <c r="O6" i="11"/>
  <c r="P6" i="11" s="1"/>
  <c r="O747" i="11"/>
  <c r="P747" i="11" s="1"/>
  <c r="O745" i="11"/>
  <c r="P745" i="11" s="1"/>
  <c r="O743" i="11"/>
  <c r="P743" i="11" s="1"/>
  <c r="O741" i="11"/>
  <c r="P741" i="11" s="1"/>
  <c r="O739" i="11"/>
  <c r="P739" i="11" s="1"/>
  <c r="O738" i="11"/>
  <c r="P738" i="11" s="1"/>
  <c r="O736" i="11"/>
  <c r="P736" i="11" s="1"/>
  <c r="O734" i="11"/>
  <c r="P734" i="11" s="1"/>
  <c r="O733" i="11"/>
  <c r="P733" i="11" s="1"/>
  <c r="O731" i="11"/>
  <c r="P731" i="11" s="1"/>
  <c r="O729" i="11"/>
  <c r="P729" i="11" s="1"/>
  <c r="O728" i="11"/>
  <c r="P728" i="11" s="1"/>
  <c r="O726" i="11"/>
  <c r="P726" i="11" s="1"/>
  <c r="O724" i="11"/>
  <c r="P724" i="11" s="1"/>
  <c r="O721" i="11"/>
  <c r="P721" i="11" s="1"/>
  <c r="O714" i="11"/>
  <c r="P714" i="11" s="1"/>
  <c r="O712" i="11"/>
  <c r="P712" i="11" s="1"/>
  <c r="O710" i="11"/>
  <c r="P710" i="11" s="1"/>
  <c r="O708" i="11"/>
  <c r="P708" i="11" s="1"/>
  <c r="O706" i="11"/>
  <c r="P706" i="11" s="1"/>
  <c r="O704" i="11"/>
  <c r="P704" i="11" s="1"/>
  <c r="O702" i="11"/>
  <c r="P702" i="11" s="1"/>
  <c r="O700" i="11"/>
  <c r="P700" i="11" s="1"/>
  <c r="O698" i="11"/>
  <c r="P698" i="11" s="1"/>
  <c r="O696" i="11"/>
  <c r="P696" i="11" s="1"/>
  <c r="O694" i="11"/>
  <c r="P694" i="11" s="1"/>
  <c r="O692" i="11"/>
  <c r="P692" i="11" s="1"/>
  <c r="O690" i="11"/>
  <c r="P690" i="11" s="1"/>
  <c r="O688" i="11"/>
  <c r="P688" i="11" s="1"/>
  <c r="O686" i="11"/>
  <c r="P686" i="11" s="1"/>
  <c r="O684" i="11"/>
  <c r="P684" i="11" s="1"/>
  <c r="O680" i="11"/>
  <c r="P680" i="11" s="1"/>
  <c r="O746" i="11"/>
  <c r="P746" i="11" s="1"/>
  <c r="O744" i="11"/>
  <c r="P744" i="11" s="1"/>
  <c r="O742" i="11"/>
  <c r="P742" i="11" s="1"/>
  <c r="O740" i="11"/>
  <c r="P740" i="11" s="1"/>
  <c r="O737" i="11"/>
  <c r="P737" i="11" s="1"/>
  <c r="O735" i="11"/>
  <c r="P735" i="11" s="1"/>
  <c r="O732" i="11"/>
  <c r="P732" i="11" s="1"/>
  <c r="O730" i="11"/>
  <c r="P730" i="11" s="1"/>
  <c r="O727" i="11"/>
  <c r="P727" i="11" s="1"/>
  <c r="O725" i="11"/>
  <c r="P725" i="11" s="1"/>
  <c r="O723" i="11"/>
  <c r="P723" i="11" s="1"/>
  <c r="O722" i="11"/>
  <c r="P722" i="11" s="1"/>
  <c r="O720" i="11"/>
  <c r="P720" i="11" s="1"/>
  <c r="O719" i="11"/>
  <c r="P719" i="11" s="1"/>
  <c r="O718" i="11"/>
  <c r="P718" i="11" s="1"/>
  <c r="O717" i="11"/>
  <c r="P717" i="11" s="1"/>
  <c r="O716" i="11"/>
  <c r="P716" i="11" s="1"/>
  <c r="O715" i="11"/>
  <c r="P715" i="11" s="1"/>
  <c r="O713" i="11"/>
  <c r="P713" i="11" s="1"/>
  <c r="O711" i="11"/>
  <c r="P711" i="11" s="1"/>
  <c r="O709" i="11"/>
  <c r="P709" i="11" s="1"/>
  <c r="O707" i="11"/>
  <c r="P707" i="11" s="1"/>
  <c r="O705" i="11"/>
  <c r="P705" i="11" s="1"/>
  <c r="O703" i="11"/>
  <c r="P703" i="11" s="1"/>
  <c r="O701" i="11"/>
  <c r="P701" i="11" s="1"/>
  <c r="O699" i="11"/>
  <c r="P699" i="11" s="1"/>
  <c r="O697" i="11"/>
  <c r="P697" i="11" s="1"/>
  <c r="O695" i="11"/>
  <c r="P695" i="11" s="1"/>
  <c r="O693" i="11"/>
  <c r="P693" i="11" s="1"/>
  <c r="O691" i="11"/>
  <c r="P691" i="11" s="1"/>
  <c r="O689" i="11"/>
  <c r="P689" i="11" s="1"/>
  <c r="O687" i="11"/>
  <c r="P687" i="11" s="1"/>
  <c r="O685" i="11"/>
  <c r="P685" i="11" s="1"/>
  <c r="O683" i="11"/>
  <c r="P683" i="11" s="1"/>
  <c r="O682" i="11"/>
  <c r="P682" i="11" s="1"/>
  <c r="O681" i="11"/>
  <c r="P681" i="11" s="1"/>
  <c r="O679" i="11"/>
  <c r="P679" i="11" s="1"/>
  <c r="O678" i="11"/>
  <c r="P678" i="11" s="1"/>
  <c r="O677" i="11"/>
  <c r="P677" i="11" s="1"/>
  <c r="O676" i="11"/>
  <c r="P676" i="11" s="1"/>
  <c r="O675" i="11"/>
  <c r="P675" i="11" s="1"/>
  <c r="O674" i="11"/>
  <c r="P674" i="11" s="1"/>
  <c r="O673" i="11"/>
  <c r="P673" i="11" s="1"/>
  <c r="O672" i="11"/>
  <c r="P672" i="11" s="1"/>
  <c r="O671" i="11"/>
  <c r="P671" i="11" s="1"/>
  <c r="O670" i="11"/>
  <c r="P670" i="11" s="1"/>
  <c r="O669" i="11"/>
  <c r="P669" i="11" s="1"/>
  <c r="O668" i="11"/>
  <c r="P668" i="11" s="1"/>
  <c r="O667" i="11"/>
  <c r="P667" i="11" s="1"/>
  <c r="O666" i="11"/>
  <c r="P666" i="11" s="1"/>
  <c r="O665" i="11"/>
  <c r="P665" i="11" s="1"/>
  <c r="O664" i="11"/>
  <c r="P664" i="11" s="1"/>
  <c r="O663" i="11"/>
  <c r="P663" i="11" s="1"/>
  <c r="O662" i="11"/>
  <c r="P662" i="11" s="1"/>
  <c r="O661" i="11"/>
  <c r="P661" i="11" s="1"/>
  <c r="O660" i="11"/>
  <c r="P660" i="11" s="1"/>
  <c r="O659" i="11"/>
  <c r="P659" i="11" s="1"/>
  <c r="O658" i="11"/>
  <c r="P658" i="11" s="1"/>
  <c r="O657" i="11"/>
  <c r="P657" i="11" s="1"/>
  <c r="O656" i="11"/>
  <c r="P656" i="11" s="1"/>
  <c r="O655" i="11"/>
  <c r="P655" i="11" s="1"/>
  <c r="O654" i="11"/>
  <c r="P654" i="11" s="1"/>
  <c r="O653" i="11"/>
  <c r="P653" i="11" s="1"/>
  <c r="O652" i="11"/>
  <c r="P652" i="11" s="1"/>
  <c r="O651" i="11"/>
  <c r="P651" i="11" s="1"/>
  <c r="O650" i="11"/>
  <c r="P650" i="11" s="1"/>
  <c r="O649" i="11"/>
  <c r="P649" i="11" s="1"/>
  <c r="O648" i="11"/>
  <c r="P648" i="11" s="1"/>
  <c r="O647" i="11"/>
  <c r="P647" i="11" s="1"/>
  <c r="O646" i="11"/>
  <c r="P646" i="11" s="1"/>
  <c r="O645" i="11"/>
  <c r="P645" i="11" s="1"/>
  <c r="O644" i="11"/>
  <c r="P644" i="11" s="1"/>
  <c r="O643" i="11"/>
  <c r="P643" i="11" s="1"/>
  <c r="O642" i="11"/>
  <c r="P642" i="11" s="1"/>
  <c r="O641" i="11"/>
  <c r="P641" i="11" s="1"/>
  <c r="O640" i="11"/>
  <c r="P640" i="11" s="1"/>
  <c r="O639" i="11"/>
  <c r="P639" i="11" s="1"/>
  <c r="O638" i="11"/>
  <c r="P638" i="11" s="1"/>
  <c r="O637" i="11"/>
  <c r="P637" i="11" s="1"/>
  <c r="O636" i="11"/>
  <c r="P636" i="11" s="1"/>
  <c r="O635" i="11"/>
  <c r="P635" i="11" s="1"/>
  <c r="O634" i="11"/>
  <c r="P634" i="11" s="1"/>
  <c r="O633" i="11"/>
  <c r="P633" i="11" s="1"/>
  <c r="O632" i="11"/>
  <c r="P632" i="11" s="1"/>
  <c r="O631" i="11"/>
  <c r="P631" i="11" s="1"/>
  <c r="O630" i="11"/>
  <c r="P630" i="11" s="1"/>
  <c r="O629" i="11"/>
  <c r="P629" i="11" s="1"/>
  <c r="O628" i="11"/>
  <c r="P628" i="11" s="1"/>
  <c r="O627" i="11"/>
  <c r="P627" i="11" s="1"/>
  <c r="O626" i="11"/>
  <c r="P626" i="11" s="1"/>
  <c r="O625" i="11"/>
  <c r="P625" i="11" s="1"/>
  <c r="O624" i="11"/>
  <c r="P624" i="11" s="1"/>
  <c r="O623" i="11"/>
  <c r="P623" i="11" s="1"/>
  <c r="O622" i="11"/>
  <c r="P622" i="11" s="1"/>
  <c r="O621" i="11"/>
  <c r="P621" i="11" s="1"/>
  <c r="O620" i="11"/>
  <c r="P620" i="11" s="1"/>
  <c r="O619" i="11"/>
  <c r="P619" i="11" s="1"/>
  <c r="O618" i="11"/>
  <c r="P618" i="11" s="1"/>
  <c r="O617" i="11"/>
  <c r="P617" i="11" s="1"/>
  <c r="O616" i="11"/>
  <c r="P616" i="11" s="1"/>
  <c r="O615" i="11"/>
  <c r="P615" i="11" s="1"/>
  <c r="O614" i="11"/>
  <c r="P614" i="11" s="1"/>
  <c r="O613" i="11"/>
  <c r="P613" i="11" s="1"/>
  <c r="O612" i="11"/>
  <c r="P612" i="11" s="1"/>
  <c r="O611" i="11"/>
  <c r="P611" i="11" s="1"/>
  <c r="O610" i="11"/>
  <c r="P610" i="11" s="1"/>
  <c r="O609" i="11"/>
  <c r="P609" i="11" s="1"/>
  <c r="O608" i="11"/>
  <c r="P608" i="11" s="1"/>
  <c r="O607" i="11"/>
  <c r="P607" i="11" s="1"/>
  <c r="O606" i="11"/>
  <c r="P606" i="11" s="1"/>
  <c r="O605" i="11"/>
  <c r="P605" i="11" s="1"/>
  <c r="O604" i="11"/>
  <c r="P604" i="11" s="1"/>
  <c r="O603" i="11"/>
  <c r="P603" i="11" s="1"/>
  <c r="O602" i="11"/>
  <c r="P602" i="11" s="1"/>
  <c r="O601" i="11"/>
  <c r="P601" i="11" s="1"/>
  <c r="O600" i="11"/>
  <c r="P600" i="11" s="1"/>
  <c r="O599" i="11"/>
  <c r="P599" i="11" s="1"/>
  <c r="O598" i="11"/>
  <c r="P598" i="11" s="1"/>
  <c r="O597" i="11"/>
  <c r="P597" i="11" s="1"/>
  <c r="O596" i="11"/>
  <c r="P596" i="11" s="1"/>
  <c r="O595" i="11"/>
  <c r="P595" i="11" s="1"/>
  <c r="O594" i="11"/>
  <c r="P594" i="11" s="1"/>
  <c r="O593" i="11"/>
  <c r="P593" i="11" s="1"/>
  <c r="O592" i="11"/>
  <c r="P592" i="11" s="1"/>
  <c r="O591" i="11"/>
  <c r="P591" i="11" s="1"/>
  <c r="O590" i="11"/>
  <c r="P590" i="11" s="1"/>
  <c r="O589" i="11"/>
  <c r="P589" i="11" s="1"/>
  <c r="O588" i="11"/>
  <c r="P588" i="11" s="1"/>
  <c r="O587" i="11"/>
  <c r="P587" i="11" s="1"/>
  <c r="O586" i="11"/>
  <c r="P586" i="11" s="1"/>
  <c r="O585" i="11"/>
  <c r="P585" i="11" s="1"/>
  <c r="O584" i="11"/>
  <c r="P584" i="11" s="1"/>
  <c r="O583" i="11"/>
  <c r="P583" i="11" s="1"/>
  <c r="O582" i="11"/>
  <c r="P582" i="11" s="1"/>
  <c r="O581" i="11"/>
  <c r="P581" i="11" s="1"/>
  <c r="O580" i="11"/>
  <c r="P580" i="11" s="1"/>
  <c r="O579" i="11"/>
  <c r="P579" i="11" s="1"/>
  <c r="O578" i="11"/>
  <c r="P578" i="11" s="1"/>
  <c r="O577" i="11"/>
  <c r="P577" i="11" s="1"/>
  <c r="O576" i="11"/>
  <c r="P576" i="11" s="1"/>
  <c r="O575" i="11"/>
  <c r="P575" i="11" s="1"/>
  <c r="O574" i="11"/>
  <c r="P574" i="11" s="1"/>
  <c r="O573" i="11"/>
  <c r="P573" i="11" s="1"/>
  <c r="O572" i="11"/>
  <c r="P572" i="11" s="1"/>
  <c r="O571" i="11"/>
  <c r="P571" i="11" s="1"/>
  <c r="O570" i="11"/>
  <c r="P570" i="11" s="1"/>
  <c r="O569" i="11"/>
  <c r="P569" i="11" s="1"/>
  <c r="O568" i="11"/>
  <c r="P568" i="11" s="1"/>
  <c r="O567" i="11"/>
  <c r="P567" i="11" s="1"/>
  <c r="O566" i="11"/>
  <c r="P566" i="11" s="1"/>
  <c r="O565" i="11"/>
  <c r="P565" i="11" s="1"/>
  <c r="O564" i="11"/>
  <c r="P564" i="11" s="1"/>
  <c r="O563" i="11"/>
  <c r="P563" i="11" s="1"/>
  <c r="O562" i="11"/>
  <c r="P562" i="11" s="1"/>
  <c r="O561" i="11"/>
  <c r="P561" i="11" s="1"/>
  <c r="O560" i="11"/>
  <c r="P560" i="11" s="1"/>
  <c r="O559" i="11"/>
  <c r="P559" i="11" s="1"/>
  <c r="O558" i="11"/>
  <c r="P558" i="11" s="1"/>
  <c r="O557" i="11"/>
  <c r="P557" i="11" s="1"/>
  <c r="O556" i="11"/>
  <c r="P556" i="11" s="1"/>
  <c r="O555" i="11"/>
  <c r="P555" i="11" s="1"/>
  <c r="O554" i="11"/>
  <c r="P554" i="11" s="1"/>
  <c r="O553" i="11"/>
  <c r="P553" i="11" s="1"/>
  <c r="O552" i="11"/>
  <c r="P552" i="11" s="1"/>
  <c r="O551" i="11"/>
  <c r="P551" i="11" s="1"/>
  <c r="O550" i="11"/>
  <c r="P550" i="11" s="1"/>
  <c r="O549" i="11"/>
  <c r="P549" i="11" s="1"/>
  <c r="O548" i="11"/>
  <c r="P548" i="11" s="1"/>
  <c r="O547" i="11"/>
  <c r="P547" i="11" s="1"/>
  <c r="O546" i="11"/>
  <c r="P546" i="11" s="1"/>
  <c r="O545" i="11"/>
  <c r="P545" i="11" s="1"/>
  <c r="O544" i="11"/>
  <c r="P544" i="11" s="1"/>
  <c r="O543" i="11"/>
  <c r="P543" i="11" s="1"/>
  <c r="O542" i="11"/>
  <c r="P542" i="11" s="1"/>
  <c r="O541" i="11"/>
  <c r="P541" i="11" s="1"/>
  <c r="O540" i="11"/>
  <c r="P540" i="11" s="1"/>
  <c r="O539" i="11"/>
  <c r="P539" i="11" s="1"/>
  <c r="O538" i="11"/>
  <c r="P538" i="11" s="1"/>
  <c r="O537" i="11"/>
  <c r="P537" i="11" s="1"/>
  <c r="O536" i="11"/>
  <c r="P536" i="11" s="1"/>
  <c r="O535" i="11"/>
  <c r="P535" i="11" s="1"/>
  <c r="O534" i="11"/>
  <c r="P534" i="11" s="1"/>
  <c r="O533" i="11"/>
  <c r="P533" i="11" s="1"/>
  <c r="O532" i="11"/>
  <c r="P532" i="11" s="1"/>
  <c r="O531" i="11"/>
  <c r="P531" i="11" s="1"/>
  <c r="O530" i="11"/>
  <c r="P530" i="11" s="1"/>
  <c r="O529" i="11"/>
  <c r="P529" i="11" s="1"/>
  <c r="O528" i="11"/>
  <c r="P528" i="11" s="1"/>
  <c r="O527" i="11"/>
  <c r="P527" i="11" s="1"/>
  <c r="O526" i="11"/>
  <c r="P526" i="11" s="1"/>
  <c r="O525" i="11"/>
  <c r="P525" i="11" s="1"/>
  <c r="O524" i="11"/>
  <c r="P524" i="11" s="1"/>
  <c r="O523" i="11"/>
  <c r="P523" i="11" s="1"/>
  <c r="O522" i="11"/>
  <c r="P522" i="11" s="1"/>
  <c r="O521" i="11"/>
  <c r="P521" i="11" s="1"/>
  <c r="O520" i="11"/>
  <c r="P520" i="11" s="1"/>
  <c r="O519" i="11"/>
  <c r="P519" i="11" s="1"/>
  <c r="O518" i="11"/>
  <c r="P518" i="11" s="1"/>
  <c r="O517" i="11"/>
  <c r="P517" i="11" s="1"/>
  <c r="O516" i="11"/>
  <c r="P516" i="11" s="1"/>
  <c r="O515" i="11"/>
  <c r="P515" i="11" s="1"/>
  <c r="O514" i="11"/>
  <c r="P514" i="11" s="1"/>
  <c r="O513" i="11"/>
  <c r="P513" i="11" s="1"/>
  <c r="O512" i="11"/>
  <c r="P512" i="11" s="1"/>
  <c r="O511" i="11"/>
  <c r="P511" i="11" s="1"/>
  <c r="O510" i="11"/>
  <c r="P510" i="11" s="1"/>
  <c r="O509" i="11"/>
  <c r="P509" i="11" s="1"/>
  <c r="O508" i="11"/>
  <c r="P508" i="11" s="1"/>
  <c r="O507" i="11"/>
  <c r="P507" i="11" s="1"/>
  <c r="O506" i="11"/>
  <c r="P506" i="11" s="1"/>
  <c r="O505" i="11"/>
  <c r="P505" i="11" s="1"/>
  <c r="O504" i="11"/>
  <c r="P504" i="11" s="1"/>
  <c r="O503" i="11"/>
  <c r="P503" i="11" s="1"/>
  <c r="O502" i="11"/>
  <c r="P502" i="11" s="1"/>
  <c r="O501" i="11"/>
  <c r="P501" i="11" s="1"/>
  <c r="O500" i="11"/>
  <c r="P500" i="11" s="1"/>
  <c r="O499" i="11"/>
  <c r="P499" i="11" s="1"/>
  <c r="O498" i="11"/>
  <c r="P498" i="11" s="1"/>
  <c r="O497" i="11"/>
  <c r="P497" i="11" s="1"/>
  <c r="O496" i="11"/>
  <c r="P496" i="11" s="1"/>
  <c r="O495" i="11"/>
  <c r="P495" i="11" s="1"/>
  <c r="O494" i="11"/>
  <c r="P494" i="11" s="1"/>
  <c r="O493" i="11"/>
  <c r="P493" i="11" s="1"/>
  <c r="O492" i="11"/>
  <c r="P492" i="11" s="1"/>
  <c r="O491" i="11"/>
  <c r="P491" i="11" s="1"/>
  <c r="O490" i="11"/>
  <c r="P490" i="11" s="1"/>
  <c r="O489" i="11"/>
  <c r="P489" i="11" s="1"/>
  <c r="O488" i="11"/>
  <c r="P488" i="11" s="1"/>
  <c r="O487" i="11"/>
  <c r="P487" i="11" s="1"/>
  <c r="O486" i="11"/>
  <c r="P486" i="11" s="1"/>
  <c r="O485" i="11"/>
  <c r="P485" i="11" s="1"/>
  <c r="O484" i="11"/>
  <c r="P484" i="11" s="1"/>
  <c r="O483" i="11"/>
  <c r="P483" i="11" s="1"/>
  <c r="O482" i="11"/>
  <c r="P482" i="11" s="1"/>
  <c r="O481" i="11"/>
  <c r="P481" i="11" s="1"/>
  <c r="O480" i="11"/>
  <c r="P480" i="11" s="1"/>
  <c r="O479" i="11"/>
  <c r="P479" i="11" s="1"/>
  <c r="O478" i="11"/>
  <c r="P478" i="11" s="1"/>
  <c r="O477" i="11"/>
  <c r="P477" i="11" s="1"/>
  <c r="O476" i="11"/>
  <c r="P476" i="11" s="1"/>
  <c r="O475" i="11"/>
  <c r="P475" i="11" s="1"/>
  <c r="O474" i="11"/>
  <c r="P474" i="11" s="1"/>
  <c r="O473" i="11"/>
  <c r="P473" i="11" s="1"/>
  <c r="O472" i="11"/>
  <c r="P472" i="11" s="1"/>
  <c r="O471" i="11"/>
  <c r="P471" i="11" s="1"/>
  <c r="O470" i="11"/>
  <c r="P470" i="11" s="1"/>
  <c r="O469" i="11"/>
  <c r="P469" i="11" s="1"/>
  <c r="O468" i="11"/>
  <c r="P468" i="11" s="1"/>
  <c r="O467" i="11"/>
  <c r="P467" i="11" s="1"/>
  <c r="O466" i="11"/>
  <c r="P466" i="11" s="1"/>
  <c r="O465" i="11"/>
  <c r="P465" i="11" s="1"/>
  <c r="O464" i="11"/>
  <c r="P464" i="11" s="1"/>
  <c r="O463" i="11"/>
  <c r="P463" i="11" s="1"/>
  <c r="O462" i="11"/>
  <c r="P462" i="11" s="1"/>
  <c r="O461" i="11"/>
  <c r="P461" i="11" s="1"/>
  <c r="O460" i="11"/>
  <c r="P460" i="11" s="1"/>
  <c r="O459" i="11"/>
  <c r="P459" i="11" s="1"/>
  <c r="O458" i="11"/>
  <c r="P458" i="11" s="1"/>
  <c r="O457" i="11"/>
  <c r="P457" i="11" s="1"/>
  <c r="O456" i="11"/>
  <c r="P456" i="11" s="1"/>
  <c r="O455" i="11"/>
  <c r="P455" i="11" s="1"/>
  <c r="O454" i="11"/>
  <c r="P454" i="11" s="1"/>
  <c r="O453" i="11"/>
  <c r="P453" i="11" s="1"/>
  <c r="O452" i="11"/>
  <c r="P452" i="11" s="1"/>
  <c r="O451" i="11"/>
  <c r="P451" i="11" s="1"/>
  <c r="O450" i="11"/>
  <c r="P450" i="11" s="1"/>
  <c r="O449" i="11"/>
  <c r="P449" i="11" s="1"/>
  <c r="O448" i="11"/>
  <c r="P448" i="11" s="1"/>
  <c r="O447" i="11"/>
  <c r="P447" i="11" s="1"/>
  <c r="O446" i="11"/>
  <c r="P446" i="11" s="1"/>
  <c r="O445" i="11"/>
  <c r="P445" i="11" s="1"/>
  <c r="O444" i="11"/>
  <c r="P444" i="11" s="1"/>
  <c r="O443" i="11"/>
  <c r="P443" i="11" s="1"/>
  <c r="O442" i="11"/>
  <c r="P442" i="11" s="1"/>
  <c r="O441" i="11"/>
  <c r="P441" i="11" s="1"/>
  <c r="O440" i="11"/>
  <c r="P440" i="11" s="1"/>
  <c r="O439" i="11"/>
  <c r="P439" i="11" s="1"/>
  <c r="O438" i="11"/>
  <c r="P438" i="11" s="1"/>
  <c r="O437" i="11"/>
  <c r="P437" i="11" s="1"/>
  <c r="O436" i="11"/>
  <c r="P436" i="11" s="1"/>
  <c r="O435" i="11"/>
  <c r="P435" i="11" s="1"/>
  <c r="O434" i="11"/>
  <c r="P434" i="11" s="1"/>
  <c r="O433" i="11"/>
  <c r="P433" i="11" s="1"/>
  <c r="O432" i="11"/>
  <c r="P432" i="11" s="1"/>
  <c r="O431" i="11"/>
  <c r="P431" i="11" s="1"/>
  <c r="O430" i="11"/>
  <c r="P430" i="11" s="1"/>
  <c r="O429" i="11"/>
  <c r="P429" i="11" s="1"/>
  <c r="O428" i="11"/>
  <c r="P428" i="11" s="1"/>
  <c r="O427" i="11"/>
  <c r="P427" i="11" s="1"/>
  <c r="O426" i="11"/>
  <c r="P426" i="11" s="1"/>
  <c r="O425" i="11"/>
  <c r="P425" i="11" s="1"/>
  <c r="O424" i="11"/>
  <c r="P424" i="11" s="1"/>
  <c r="O423" i="11"/>
  <c r="P423" i="11" s="1"/>
  <c r="O422" i="11"/>
  <c r="P422" i="11" s="1"/>
  <c r="O421" i="11"/>
  <c r="P421" i="11" s="1"/>
  <c r="O420" i="11"/>
  <c r="P420" i="11" s="1"/>
  <c r="O419" i="11"/>
  <c r="P419" i="11" s="1"/>
  <c r="O418" i="11"/>
  <c r="P418" i="11" s="1"/>
  <c r="O417" i="11"/>
  <c r="P417" i="11" s="1"/>
  <c r="O416" i="11"/>
  <c r="P416" i="11" s="1"/>
  <c r="O415" i="11"/>
  <c r="P415" i="11" s="1"/>
  <c r="O414" i="11"/>
  <c r="P414" i="11" s="1"/>
  <c r="O413" i="11"/>
  <c r="P413" i="11" s="1"/>
  <c r="O412" i="11"/>
  <c r="P412" i="11" s="1"/>
  <c r="O411" i="11"/>
  <c r="P411" i="11" s="1"/>
  <c r="O410" i="11"/>
  <c r="P410" i="11" s="1"/>
  <c r="O409" i="11"/>
  <c r="P409" i="11" s="1"/>
  <c r="O408" i="11"/>
  <c r="P408" i="11" s="1"/>
  <c r="O407" i="11"/>
  <c r="P407" i="11" s="1"/>
  <c r="O406" i="11"/>
  <c r="P406" i="11" s="1"/>
  <c r="O405" i="11"/>
  <c r="P405" i="11" s="1"/>
  <c r="O404" i="11"/>
  <c r="P404" i="11" s="1"/>
  <c r="O403" i="11"/>
  <c r="P403" i="11" s="1"/>
  <c r="O402" i="11"/>
  <c r="P402" i="11" s="1"/>
  <c r="O401" i="11"/>
  <c r="P401" i="11" s="1"/>
  <c r="O400" i="11"/>
  <c r="P400" i="11" s="1"/>
  <c r="O399" i="11"/>
  <c r="P399" i="11" s="1"/>
  <c r="O398" i="11"/>
  <c r="P398" i="11" s="1"/>
  <c r="O397" i="11"/>
  <c r="P397" i="11" s="1"/>
  <c r="O396" i="11"/>
  <c r="P396" i="11" s="1"/>
  <c r="O395" i="11"/>
  <c r="P395" i="11" s="1"/>
  <c r="O394" i="11"/>
  <c r="P394" i="11" s="1"/>
  <c r="O393" i="11"/>
  <c r="P393" i="11" s="1"/>
  <c r="O392" i="11"/>
  <c r="P392" i="11" s="1"/>
  <c r="O391" i="11"/>
  <c r="P391" i="11" s="1"/>
  <c r="O390" i="11"/>
  <c r="P390" i="11" s="1"/>
  <c r="O389" i="11"/>
  <c r="P389" i="11" s="1"/>
  <c r="O388" i="11"/>
  <c r="P388" i="11" s="1"/>
  <c r="O387" i="11"/>
  <c r="P387" i="11" s="1"/>
  <c r="O386" i="11"/>
  <c r="P386" i="11" s="1"/>
  <c r="O385" i="11"/>
  <c r="P385" i="11" s="1"/>
  <c r="O384" i="11"/>
  <c r="P384" i="11" s="1"/>
  <c r="O383" i="11"/>
  <c r="P383" i="11" s="1"/>
  <c r="O382" i="11"/>
  <c r="P382" i="11" s="1"/>
  <c r="O381" i="11"/>
  <c r="P381" i="11" s="1"/>
  <c r="O380" i="11"/>
  <c r="P380" i="11" s="1"/>
  <c r="O379" i="11"/>
  <c r="P379" i="11" s="1"/>
  <c r="O378" i="11"/>
  <c r="P378" i="11" s="1"/>
  <c r="O377" i="11"/>
  <c r="P377" i="11" s="1"/>
  <c r="O376" i="11"/>
  <c r="P376" i="11" s="1"/>
  <c r="O375" i="11"/>
  <c r="P375" i="11" s="1"/>
  <c r="O374" i="11"/>
  <c r="P374" i="11" s="1"/>
  <c r="O373" i="11"/>
  <c r="P373" i="11" s="1"/>
  <c r="O372" i="11"/>
  <c r="P372" i="11" s="1"/>
  <c r="O371" i="11"/>
  <c r="P371" i="11" s="1"/>
  <c r="O370" i="11"/>
  <c r="P370" i="11" s="1"/>
  <c r="O369" i="11"/>
  <c r="P369" i="11" s="1"/>
  <c r="O368" i="11"/>
  <c r="P368" i="11" s="1"/>
  <c r="O367" i="11"/>
  <c r="P367" i="11" s="1"/>
  <c r="O366" i="11"/>
  <c r="P366" i="11" s="1"/>
  <c r="O365" i="11"/>
  <c r="P365" i="11" s="1"/>
  <c r="O364" i="11"/>
  <c r="P364" i="11" s="1"/>
  <c r="O363" i="11"/>
  <c r="P363" i="11" s="1"/>
  <c r="O362" i="11"/>
  <c r="P362" i="11" s="1"/>
  <c r="O361" i="11"/>
  <c r="P361" i="11" s="1"/>
  <c r="O360" i="11"/>
  <c r="P360" i="11" s="1"/>
  <c r="O359" i="11"/>
  <c r="P359" i="11" s="1"/>
  <c r="O358" i="11"/>
  <c r="P358" i="11" s="1"/>
  <c r="O357" i="11"/>
  <c r="P357" i="11" s="1"/>
  <c r="O356" i="11"/>
  <c r="P356" i="11" s="1"/>
  <c r="O355" i="11"/>
  <c r="P355" i="11" s="1"/>
  <c r="O354" i="11"/>
  <c r="P354" i="11" s="1"/>
  <c r="O353" i="11"/>
  <c r="P353" i="11" s="1"/>
  <c r="O352" i="11"/>
  <c r="P352" i="11" s="1"/>
  <c r="O351" i="11"/>
  <c r="P351" i="11" s="1"/>
  <c r="O350" i="11"/>
  <c r="P350" i="11" s="1"/>
  <c r="O349" i="11"/>
  <c r="P349" i="11" s="1"/>
  <c r="O348" i="11"/>
  <c r="P348" i="11" s="1"/>
  <c r="O347" i="11"/>
  <c r="P347" i="11" s="1"/>
  <c r="O346" i="11"/>
  <c r="P346" i="11" s="1"/>
  <c r="O345" i="11"/>
  <c r="P345" i="11" s="1"/>
  <c r="O344" i="11"/>
  <c r="P344" i="11" s="1"/>
  <c r="O343" i="11"/>
  <c r="P343" i="11" s="1"/>
  <c r="O342" i="11"/>
  <c r="P342" i="11" s="1"/>
  <c r="O341" i="11"/>
  <c r="P341" i="11" s="1"/>
  <c r="O340" i="11"/>
  <c r="P340" i="11" s="1"/>
  <c r="O339" i="11"/>
  <c r="P339" i="11" s="1"/>
  <c r="O338" i="11"/>
  <c r="P338" i="11" s="1"/>
  <c r="O337" i="11"/>
  <c r="P337" i="11" s="1"/>
  <c r="O336" i="11"/>
  <c r="P336" i="11" s="1"/>
  <c r="O335" i="11"/>
  <c r="P335" i="11" s="1"/>
  <c r="O334" i="11"/>
  <c r="P334" i="11" s="1"/>
  <c r="O333" i="11"/>
  <c r="P333" i="11" s="1"/>
  <c r="O332" i="11"/>
  <c r="P332" i="11" s="1"/>
  <c r="O331" i="11"/>
  <c r="P331" i="11" s="1"/>
  <c r="O330" i="11"/>
  <c r="P330" i="11" s="1"/>
  <c r="O329" i="11"/>
  <c r="P329" i="11" s="1"/>
  <c r="O328" i="11"/>
  <c r="P328" i="11" s="1"/>
  <c r="O327" i="11"/>
  <c r="P327" i="11" s="1"/>
  <c r="O326" i="11"/>
  <c r="P326" i="11" s="1"/>
  <c r="O325" i="11"/>
  <c r="P325" i="11" s="1"/>
  <c r="O324" i="11"/>
  <c r="P324" i="11" s="1"/>
  <c r="O323" i="11"/>
  <c r="P323" i="11" s="1"/>
  <c r="O322" i="11"/>
  <c r="P322" i="11" s="1"/>
  <c r="O321" i="11"/>
  <c r="P321" i="11" s="1"/>
  <c r="O320" i="11"/>
  <c r="P320" i="11" s="1"/>
  <c r="O319" i="11"/>
  <c r="P319" i="11" s="1"/>
  <c r="O318" i="11"/>
  <c r="P318" i="11" s="1"/>
  <c r="O317" i="11"/>
  <c r="P317" i="11" s="1"/>
  <c r="O316" i="11"/>
  <c r="P316" i="11" s="1"/>
  <c r="O315" i="11"/>
  <c r="P315" i="11" s="1"/>
  <c r="O314" i="11"/>
  <c r="P314" i="11" s="1"/>
  <c r="O313" i="11"/>
  <c r="P313" i="11" s="1"/>
  <c r="O312" i="11"/>
  <c r="P312" i="11" s="1"/>
  <c r="O311" i="11"/>
  <c r="P311" i="11" s="1"/>
  <c r="O310" i="11"/>
  <c r="P310" i="11" s="1"/>
  <c r="O309" i="11"/>
  <c r="P309" i="11" s="1"/>
  <c r="O308" i="11"/>
  <c r="P308" i="11" s="1"/>
  <c r="O307" i="11"/>
  <c r="P307" i="11" s="1"/>
  <c r="O306" i="11"/>
  <c r="P306" i="11" s="1"/>
  <c r="O305" i="11"/>
  <c r="P305" i="11" s="1"/>
  <c r="O304" i="11"/>
  <c r="P304" i="11" s="1"/>
  <c r="O303" i="11"/>
  <c r="P303" i="11" s="1"/>
  <c r="O302" i="11"/>
  <c r="P302" i="11" s="1"/>
  <c r="O301" i="11"/>
  <c r="P301" i="11" s="1"/>
  <c r="O300" i="11"/>
  <c r="P300" i="11" s="1"/>
  <c r="O299" i="11"/>
  <c r="P299" i="11" s="1"/>
  <c r="O298" i="11"/>
  <c r="P298" i="11" s="1"/>
  <c r="O297" i="11"/>
  <c r="P297" i="11" s="1"/>
  <c r="O296" i="11"/>
  <c r="P296" i="11" s="1"/>
  <c r="O295" i="11"/>
  <c r="P295" i="11" s="1"/>
  <c r="O294" i="11"/>
  <c r="P294" i="11" s="1"/>
  <c r="O293" i="11"/>
  <c r="P293" i="11" s="1"/>
  <c r="O292" i="11"/>
  <c r="P292" i="11" s="1"/>
  <c r="O291" i="11"/>
  <c r="P291" i="11" s="1"/>
  <c r="O290" i="11"/>
  <c r="P290" i="11" s="1"/>
  <c r="O289" i="11"/>
  <c r="P289" i="11" s="1"/>
  <c r="O288" i="11"/>
  <c r="P288" i="11" s="1"/>
  <c r="O287" i="11"/>
  <c r="P287" i="11" s="1"/>
  <c r="O286" i="11"/>
  <c r="P286" i="11" s="1"/>
  <c r="O285" i="11"/>
  <c r="P285" i="11" s="1"/>
  <c r="O284" i="11"/>
  <c r="P284" i="11" s="1"/>
  <c r="O283" i="11"/>
  <c r="P283" i="11" s="1"/>
  <c r="O282" i="11"/>
  <c r="P282" i="11" s="1"/>
  <c r="O281" i="11"/>
  <c r="P281" i="11" s="1"/>
  <c r="O280" i="11"/>
  <c r="P280" i="11" s="1"/>
  <c r="O279" i="11"/>
  <c r="P279" i="11" s="1"/>
  <c r="O278" i="11"/>
  <c r="P278" i="11" s="1"/>
  <c r="O277" i="11"/>
  <c r="P277" i="11" s="1"/>
  <c r="O276" i="11"/>
  <c r="P276" i="11" s="1"/>
  <c r="O275" i="11"/>
  <c r="P275" i="11" s="1"/>
  <c r="O274" i="11"/>
  <c r="P274" i="11" s="1"/>
  <c r="O273" i="11"/>
  <c r="P273" i="11" s="1"/>
  <c r="O272" i="11"/>
  <c r="P272" i="11" s="1"/>
  <c r="O271" i="11"/>
  <c r="P271" i="11" s="1"/>
  <c r="O270" i="11"/>
  <c r="P270" i="11" s="1"/>
  <c r="O269" i="11"/>
  <c r="P269" i="11" s="1"/>
  <c r="O268" i="11"/>
  <c r="P268" i="11" s="1"/>
  <c r="O267" i="11"/>
  <c r="P267" i="11" s="1"/>
  <c r="O266" i="11"/>
  <c r="P266" i="11" s="1"/>
  <c r="O265" i="11"/>
  <c r="P265" i="11" s="1"/>
  <c r="O264" i="11"/>
  <c r="P264" i="11" s="1"/>
  <c r="O263" i="11"/>
  <c r="P263" i="11" s="1"/>
  <c r="O262" i="11"/>
  <c r="P262" i="11" s="1"/>
  <c r="O261" i="11"/>
  <c r="P261" i="11" s="1"/>
  <c r="O260" i="11"/>
  <c r="P260" i="11" s="1"/>
  <c r="O259" i="11"/>
  <c r="P259" i="11" s="1"/>
  <c r="O258" i="11"/>
  <c r="P258" i="11" s="1"/>
  <c r="O257" i="11"/>
  <c r="P257" i="11" s="1"/>
  <c r="O256" i="11"/>
  <c r="P256" i="11" s="1"/>
  <c r="O255" i="11"/>
  <c r="P255" i="11" s="1"/>
  <c r="O254" i="11"/>
  <c r="P254" i="11" s="1"/>
  <c r="O253" i="11"/>
  <c r="P253" i="11" s="1"/>
  <c r="O252" i="11"/>
  <c r="P252" i="11" s="1"/>
  <c r="O251" i="11"/>
  <c r="P251" i="11" s="1"/>
  <c r="O250" i="11"/>
  <c r="P250" i="11" s="1"/>
  <c r="O249" i="11"/>
  <c r="P249" i="11" s="1"/>
  <c r="O248" i="11"/>
  <c r="P248" i="11" s="1"/>
  <c r="O247" i="11"/>
  <c r="P247" i="11" s="1"/>
  <c r="O246" i="11"/>
  <c r="P246" i="11" s="1"/>
  <c r="O245" i="11"/>
  <c r="P245" i="11" s="1"/>
  <c r="O244" i="11"/>
  <c r="P244" i="11" s="1"/>
  <c r="O243" i="11"/>
  <c r="P243" i="11" s="1"/>
  <c r="O242" i="11"/>
  <c r="P242" i="11" s="1"/>
  <c r="O241" i="11"/>
  <c r="P241" i="11" s="1"/>
  <c r="O240" i="11"/>
  <c r="P240" i="11" s="1"/>
  <c r="O239" i="11"/>
  <c r="P239" i="11" s="1"/>
  <c r="O238" i="11"/>
  <c r="P238" i="11" s="1"/>
  <c r="O237" i="11"/>
  <c r="P237" i="11" s="1"/>
  <c r="O236" i="11"/>
  <c r="P236" i="11" s="1"/>
  <c r="O235" i="11"/>
  <c r="P235" i="11" s="1"/>
  <c r="O234" i="11"/>
  <c r="P234" i="11" s="1"/>
  <c r="O233" i="11"/>
  <c r="P233" i="11" s="1"/>
  <c r="O232" i="11"/>
  <c r="P232" i="11" s="1"/>
  <c r="O231" i="11"/>
  <c r="P231" i="11" s="1"/>
  <c r="O230" i="11"/>
  <c r="P230" i="11" s="1"/>
  <c r="O229" i="11"/>
  <c r="P229" i="11" s="1"/>
  <c r="O228" i="11"/>
  <c r="P228" i="11" s="1"/>
  <c r="O227" i="11"/>
  <c r="P227" i="11" s="1"/>
  <c r="O226" i="11"/>
  <c r="P226" i="11" s="1"/>
  <c r="O225" i="11"/>
  <c r="P225" i="11" s="1"/>
  <c r="O224" i="11"/>
  <c r="P224" i="11" s="1"/>
  <c r="O223" i="11"/>
  <c r="P223" i="11" s="1"/>
  <c r="O222" i="11"/>
  <c r="P222" i="11" s="1"/>
  <c r="O221" i="11"/>
  <c r="P221" i="11" s="1"/>
  <c r="O220" i="11"/>
  <c r="P220" i="11" s="1"/>
  <c r="O219" i="11"/>
  <c r="P219" i="11" s="1"/>
  <c r="O218" i="11"/>
  <c r="P218" i="11" s="1"/>
  <c r="O217" i="11"/>
  <c r="P217" i="11" s="1"/>
  <c r="O216" i="11"/>
  <c r="P216" i="11" s="1"/>
  <c r="O215" i="11"/>
  <c r="P215" i="11" s="1"/>
  <c r="O214" i="11"/>
  <c r="P214" i="11" s="1"/>
  <c r="O213" i="11"/>
  <c r="P213" i="11" s="1"/>
  <c r="O212" i="11"/>
  <c r="P212" i="11" s="1"/>
  <c r="O211" i="11"/>
  <c r="P211" i="11" s="1"/>
  <c r="O210" i="11"/>
  <c r="P210" i="11" s="1"/>
  <c r="O209" i="11"/>
  <c r="P209" i="11" s="1"/>
  <c r="O208" i="11"/>
  <c r="P208" i="11" s="1"/>
  <c r="O207" i="11"/>
  <c r="P207" i="11" s="1"/>
  <c r="O206" i="11"/>
  <c r="P206" i="11" s="1"/>
  <c r="O205" i="11"/>
  <c r="P205" i="11" s="1"/>
  <c r="O204" i="11"/>
  <c r="P204" i="11" s="1"/>
  <c r="O203" i="11"/>
  <c r="P203" i="11" s="1"/>
  <c r="O202" i="11"/>
  <c r="P202" i="11" s="1"/>
  <c r="O201" i="11"/>
  <c r="P201" i="11" s="1"/>
  <c r="O200" i="11"/>
  <c r="P200" i="11" s="1"/>
  <c r="O199" i="11"/>
  <c r="P199" i="11" s="1"/>
  <c r="O198" i="11"/>
  <c r="P198" i="11" s="1"/>
  <c r="O197" i="11"/>
  <c r="P197" i="11" s="1"/>
  <c r="O196" i="11"/>
  <c r="P196" i="11" s="1"/>
  <c r="O195" i="11"/>
  <c r="P195" i="11" s="1"/>
  <c r="O194" i="11"/>
  <c r="P194" i="11" s="1"/>
  <c r="O193" i="11"/>
  <c r="P193" i="11" s="1"/>
  <c r="O192" i="11"/>
  <c r="P192" i="11" s="1"/>
  <c r="O191" i="11"/>
  <c r="P191" i="11" s="1"/>
  <c r="O190" i="11"/>
  <c r="P190" i="11" s="1"/>
  <c r="O189" i="11"/>
  <c r="P189" i="11" s="1"/>
  <c r="O188" i="11"/>
  <c r="P188" i="11" s="1"/>
  <c r="O187" i="11"/>
  <c r="P187" i="11" s="1"/>
  <c r="O186" i="11"/>
  <c r="P186" i="11" s="1"/>
  <c r="O185" i="11"/>
  <c r="P185" i="11" s="1"/>
  <c r="O184" i="11"/>
  <c r="P184" i="11" s="1"/>
  <c r="O183" i="11"/>
  <c r="P183" i="11" s="1"/>
  <c r="O182" i="11"/>
  <c r="P182" i="11" s="1"/>
  <c r="O181" i="11"/>
  <c r="P181" i="11" s="1"/>
  <c r="O180" i="11"/>
  <c r="P180" i="11" s="1"/>
  <c r="O179" i="11"/>
  <c r="P179" i="11" s="1"/>
  <c r="O178" i="11"/>
  <c r="P178" i="11" s="1"/>
  <c r="O177" i="11"/>
  <c r="P177" i="11" s="1"/>
  <c r="O176" i="11"/>
  <c r="P176" i="11" s="1"/>
  <c r="O175" i="11"/>
  <c r="P175" i="11" s="1"/>
  <c r="O174" i="11"/>
  <c r="P174" i="11" s="1"/>
  <c r="O173" i="11"/>
  <c r="P173" i="11" s="1"/>
  <c r="O172" i="11"/>
  <c r="P172" i="11" s="1"/>
  <c r="O171" i="11"/>
  <c r="P171" i="11" s="1"/>
  <c r="O170" i="11"/>
  <c r="P170" i="11" s="1"/>
  <c r="O169" i="11"/>
  <c r="P169" i="11" s="1"/>
  <c r="O168" i="11"/>
  <c r="P168" i="11" s="1"/>
  <c r="O167" i="11"/>
  <c r="P167" i="11" s="1"/>
  <c r="O166" i="11"/>
  <c r="P166" i="11" s="1"/>
  <c r="O165" i="11"/>
  <c r="P165" i="11" s="1"/>
  <c r="O164" i="11"/>
  <c r="P164" i="11" s="1"/>
  <c r="O163" i="11"/>
  <c r="P163" i="11" s="1"/>
  <c r="O162" i="11"/>
  <c r="P162" i="11" s="1"/>
  <c r="O161" i="11"/>
  <c r="P161" i="11" s="1"/>
  <c r="O160" i="11"/>
  <c r="P160" i="11" s="1"/>
  <c r="O159" i="11"/>
  <c r="P159" i="11" s="1"/>
  <c r="O158" i="11"/>
  <c r="P158" i="11" s="1"/>
  <c r="O157" i="11"/>
  <c r="P157" i="11" s="1"/>
  <c r="O156" i="11"/>
  <c r="P156" i="11" s="1"/>
  <c r="O155" i="11"/>
  <c r="P155" i="11" s="1"/>
  <c r="O154" i="11"/>
  <c r="P154" i="11" s="1"/>
  <c r="O153" i="11"/>
  <c r="P153" i="11" s="1"/>
  <c r="O152" i="11"/>
  <c r="P152" i="11" s="1"/>
  <c r="O151" i="11"/>
  <c r="P151" i="11" s="1"/>
  <c r="O150" i="11"/>
  <c r="P150" i="11" s="1"/>
  <c r="O149" i="11"/>
  <c r="P149" i="11" s="1"/>
  <c r="O148" i="11"/>
  <c r="P148" i="11" s="1"/>
  <c r="O147" i="11"/>
  <c r="P147" i="11" s="1"/>
  <c r="O146" i="11"/>
  <c r="P146" i="11" s="1"/>
  <c r="O145" i="11"/>
  <c r="P145" i="11" s="1"/>
  <c r="O144" i="11"/>
  <c r="P144" i="11" s="1"/>
  <c r="O143" i="11"/>
  <c r="P143" i="11" s="1"/>
  <c r="O142" i="11"/>
  <c r="P142" i="11" s="1"/>
  <c r="O141" i="11"/>
  <c r="P141" i="11" s="1"/>
  <c r="O140" i="11"/>
  <c r="P140" i="11" s="1"/>
  <c r="O139" i="11"/>
  <c r="P139" i="11" s="1"/>
  <c r="O138" i="11"/>
  <c r="P138" i="11" s="1"/>
  <c r="O137" i="11"/>
  <c r="P137" i="11" s="1"/>
  <c r="O136" i="11"/>
  <c r="P136" i="11" s="1"/>
  <c r="O135" i="11"/>
  <c r="P135" i="11" s="1"/>
  <c r="O134" i="11"/>
  <c r="P134" i="11" s="1"/>
  <c r="O133" i="11"/>
  <c r="P133" i="11" s="1"/>
  <c r="O132" i="11"/>
  <c r="P132" i="11" s="1"/>
  <c r="O131" i="11"/>
  <c r="P131" i="11" s="1"/>
  <c r="O130" i="11"/>
  <c r="P130" i="11" s="1"/>
  <c r="O129" i="11"/>
  <c r="P129" i="11" s="1"/>
  <c r="O128" i="11"/>
  <c r="P128" i="11" s="1"/>
  <c r="O127" i="11"/>
  <c r="P127" i="11" s="1"/>
  <c r="O126" i="11"/>
  <c r="P126" i="11" s="1"/>
  <c r="O125" i="11"/>
  <c r="P125" i="11" s="1"/>
  <c r="O124" i="11"/>
  <c r="P124" i="11" s="1"/>
  <c r="O123" i="11"/>
  <c r="P123" i="11" s="1"/>
  <c r="O122" i="11"/>
  <c r="P122" i="11" s="1"/>
  <c r="O121" i="11"/>
  <c r="P121" i="11" s="1"/>
  <c r="O120" i="11"/>
  <c r="P120" i="11" s="1"/>
  <c r="O119" i="11"/>
  <c r="P119" i="11" s="1"/>
  <c r="O118" i="11"/>
  <c r="P118" i="11" s="1"/>
  <c r="O117" i="11"/>
  <c r="P117" i="11" s="1"/>
  <c r="O116" i="11"/>
  <c r="P116" i="11" s="1"/>
  <c r="O115" i="11"/>
  <c r="P115" i="11" s="1"/>
  <c r="O114" i="11"/>
  <c r="P114" i="11" s="1"/>
  <c r="O113" i="11"/>
  <c r="P113" i="11" s="1"/>
  <c r="O112" i="11"/>
  <c r="P112" i="11" s="1"/>
  <c r="O111" i="11"/>
  <c r="P111" i="11" s="1"/>
  <c r="O110" i="11"/>
  <c r="P110" i="11" s="1"/>
  <c r="O109" i="11"/>
  <c r="P109" i="11" s="1"/>
  <c r="O108" i="11"/>
  <c r="P108" i="11" s="1"/>
  <c r="O107" i="11"/>
  <c r="P107" i="11" s="1"/>
  <c r="O106" i="11"/>
  <c r="P106" i="11" s="1"/>
  <c r="O105" i="11"/>
  <c r="P105" i="11" s="1"/>
  <c r="O104" i="11"/>
  <c r="P104" i="11" s="1"/>
  <c r="O103" i="11"/>
  <c r="P103" i="11" s="1"/>
  <c r="O102" i="11"/>
  <c r="P102" i="11" s="1"/>
  <c r="O101" i="11"/>
  <c r="P101" i="11" s="1"/>
  <c r="O100" i="11"/>
  <c r="P100" i="11" s="1"/>
  <c r="O99" i="11"/>
  <c r="P99" i="11" s="1"/>
  <c r="O98" i="11"/>
  <c r="P98" i="11" s="1"/>
  <c r="O97" i="11"/>
  <c r="P97" i="11" s="1"/>
  <c r="O96" i="11"/>
  <c r="P96" i="11" s="1"/>
  <c r="O95" i="11"/>
  <c r="P95" i="11" s="1"/>
  <c r="O94" i="11"/>
  <c r="P94" i="11" s="1"/>
  <c r="O93" i="11"/>
  <c r="P93" i="11" s="1"/>
  <c r="O92" i="11"/>
  <c r="P92" i="11" s="1"/>
  <c r="O91" i="11"/>
  <c r="P91" i="11" s="1"/>
  <c r="O90" i="11"/>
  <c r="P90" i="11" s="1"/>
  <c r="O89" i="11"/>
  <c r="P89" i="11" s="1"/>
  <c r="O88" i="11"/>
  <c r="P88" i="11" s="1"/>
  <c r="O87" i="11"/>
  <c r="P87" i="11" s="1"/>
  <c r="O86" i="11"/>
  <c r="P86" i="11" s="1"/>
  <c r="O85" i="11"/>
  <c r="P85" i="11" s="1"/>
  <c r="O84" i="11"/>
  <c r="P84" i="11" s="1"/>
  <c r="O83" i="11"/>
  <c r="P83" i="11" s="1"/>
  <c r="O82" i="11"/>
  <c r="P82" i="11" s="1"/>
  <c r="O81" i="11"/>
  <c r="P81" i="11" s="1"/>
  <c r="O80" i="11"/>
  <c r="P80" i="11" s="1"/>
  <c r="O79" i="11"/>
  <c r="P79" i="11" s="1"/>
  <c r="O78" i="11"/>
  <c r="P78" i="11" s="1"/>
  <c r="O77" i="11"/>
  <c r="P77" i="11" s="1"/>
  <c r="O76" i="11"/>
  <c r="P76" i="11" s="1"/>
  <c r="O75" i="11"/>
  <c r="P75" i="11" s="1"/>
  <c r="O74" i="11"/>
  <c r="P74" i="11" s="1"/>
  <c r="O73" i="11"/>
  <c r="P73" i="11" s="1"/>
  <c r="O72" i="11"/>
  <c r="P72" i="11" s="1"/>
  <c r="O71" i="11"/>
  <c r="P71" i="11" s="1"/>
  <c r="O70" i="11"/>
  <c r="P70" i="11" s="1"/>
  <c r="O69" i="11"/>
  <c r="P69" i="11" s="1"/>
  <c r="O68" i="11"/>
  <c r="P68" i="11" s="1"/>
  <c r="O67" i="11"/>
  <c r="P67" i="11" s="1"/>
  <c r="O66" i="11"/>
  <c r="P66" i="11" s="1"/>
  <c r="O65" i="11"/>
  <c r="P65" i="11" s="1"/>
  <c r="O64" i="11"/>
  <c r="P64" i="11" s="1"/>
  <c r="O63" i="11"/>
  <c r="P63" i="11" s="1"/>
  <c r="O62" i="11"/>
  <c r="P62" i="11" s="1"/>
  <c r="O61" i="11"/>
  <c r="P61" i="11" s="1"/>
  <c r="O60" i="11"/>
  <c r="P60" i="11" s="1"/>
  <c r="O59" i="11"/>
  <c r="P59" i="11" s="1"/>
  <c r="O58" i="11"/>
  <c r="P58" i="11" s="1"/>
  <c r="O57" i="11"/>
  <c r="P57" i="11" s="1"/>
  <c r="O56" i="11"/>
  <c r="P56" i="11" s="1"/>
  <c r="O55" i="11"/>
  <c r="P55" i="11" s="1"/>
  <c r="O54" i="11"/>
  <c r="P54" i="11" s="1"/>
  <c r="O53" i="11"/>
  <c r="P53" i="11" s="1"/>
  <c r="O52" i="11"/>
  <c r="P52" i="11" s="1"/>
  <c r="O51" i="11"/>
  <c r="P51" i="11" s="1"/>
  <c r="O50" i="11"/>
  <c r="P50" i="11" s="1"/>
  <c r="O49" i="11"/>
  <c r="P49" i="11" s="1"/>
  <c r="O48" i="11"/>
  <c r="P48" i="11" s="1"/>
  <c r="O47" i="11"/>
  <c r="P47" i="11" s="1"/>
  <c r="O46" i="11"/>
  <c r="P46" i="11" s="1"/>
  <c r="O45" i="11"/>
  <c r="P45" i="11" s="1"/>
  <c r="O44" i="11"/>
  <c r="P44" i="11" s="1"/>
  <c r="O43" i="11"/>
  <c r="P43" i="11" s="1"/>
  <c r="O42" i="11"/>
  <c r="P42" i="11" s="1"/>
  <c r="O41" i="11"/>
  <c r="P41" i="11" s="1"/>
  <c r="O40" i="11"/>
  <c r="P40" i="11" s="1"/>
  <c r="O39" i="11"/>
  <c r="P39" i="11" s="1"/>
  <c r="O38" i="11"/>
  <c r="P38" i="11" s="1"/>
  <c r="O37" i="11"/>
  <c r="P37" i="11" s="1"/>
  <c r="O36" i="11"/>
  <c r="P36" i="11" s="1"/>
  <c r="O35" i="11"/>
  <c r="P35" i="11" s="1"/>
  <c r="O34" i="11"/>
  <c r="P34" i="11" s="1"/>
  <c r="O33" i="11"/>
  <c r="P33" i="11" s="1"/>
  <c r="O32" i="11"/>
  <c r="P32" i="11" s="1"/>
  <c r="O31" i="11"/>
  <c r="P31" i="11" s="1"/>
  <c r="O30" i="11"/>
  <c r="P30" i="11" s="1"/>
  <c r="O29" i="11"/>
  <c r="P29" i="11" s="1"/>
  <c r="O28" i="11"/>
  <c r="P28" i="11" s="1"/>
  <c r="O27" i="11"/>
  <c r="P27" i="11" s="1"/>
  <c r="O26" i="11"/>
  <c r="P26" i="11" s="1"/>
  <c r="O25" i="11"/>
  <c r="P25" i="11" s="1"/>
  <c r="O24" i="11"/>
  <c r="P24" i="11" s="1"/>
  <c r="O23" i="11"/>
  <c r="P23" i="11" s="1"/>
  <c r="O22" i="11"/>
  <c r="P22" i="11" s="1"/>
  <c r="O21" i="11"/>
  <c r="P21" i="11" s="1"/>
  <c r="O20" i="11"/>
  <c r="P20" i="11" s="1"/>
  <c r="O19" i="11"/>
  <c r="P19" i="11" s="1"/>
  <c r="O18" i="11"/>
  <c r="P18" i="11" s="1"/>
  <c r="O17" i="11"/>
  <c r="P17" i="11" s="1"/>
  <c r="O16" i="11"/>
  <c r="P16" i="11" s="1"/>
  <c r="O15" i="11"/>
  <c r="P15" i="11" s="1"/>
  <c r="O14" i="11"/>
  <c r="P14" i="11" s="1"/>
  <c r="O13" i="11"/>
  <c r="P13" i="11" s="1"/>
  <c r="O12" i="11"/>
  <c r="P12" i="11" s="1"/>
  <c r="O11" i="11"/>
  <c r="P11" i="11" s="1"/>
  <c r="O10" i="11"/>
  <c r="P10" i="11" s="1"/>
  <c r="O9" i="11"/>
  <c r="P9" i="11" s="1"/>
  <c r="O8" i="11"/>
  <c r="P8" i="11" s="1"/>
  <c r="O7" i="11"/>
  <c r="P7" i="11" s="1"/>
  <c r="O6" i="10"/>
  <c r="Q6" i="10" s="1"/>
  <c r="Q58" i="4"/>
  <c r="E58" i="7"/>
  <c r="H58" i="4"/>
  <c r="C58" i="7"/>
  <c r="K58" i="4"/>
  <c r="F58" i="7"/>
  <c r="R58" i="4"/>
  <c r="G58" i="7"/>
  <c r="T58" i="4"/>
  <c r="J58" i="7"/>
  <c r="U58" i="4"/>
  <c r="K58" i="7"/>
  <c r="V58" i="4"/>
  <c r="AI58" i="4" s="1"/>
  <c r="M58" i="7"/>
  <c r="O745" i="10"/>
  <c r="Q745" i="10" s="1"/>
  <c r="O742" i="10"/>
  <c r="Q742" i="10" s="1"/>
  <c r="O739" i="10"/>
  <c r="Q739" i="10" s="1"/>
  <c r="O737" i="10"/>
  <c r="Q737" i="10" s="1"/>
  <c r="O735" i="10"/>
  <c r="Q735" i="10" s="1"/>
  <c r="O733" i="10"/>
  <c r="Q733" i="10" s="1"/>
  <c r="O731" i="10"/>
  <c r="Q731" i="10" s="1"/>
  <c r="O728" i="10"/>
  <c r="Q728" i="10" s="1"/>
  <c r="O726" i="10"/>
  <c r="Q726" i="10" s="1"/>
  <c r="O724" i="10"/>
  <c r="Q724" i="10" s="1"/>
  <c r="O722" i="10"/>
  <c r="Q722" i="10" s="1"/>
  <c r="O720" i="10"/>
  <c r="Q720" i="10" s="1"/>
  <c r="O718" i="10"/>
  <c r="Q718" i="10" s="1"/>
  <c r="O716" i="10"/>
  <c r="Q716" i="10" s="1"/>
  <c r="O714" i="10"/>
  <c r="Q714" i="10" s="1"/>
  <c r="O712" i="10"/>
  <c r="Q712" i="10" s="1"/>
  <c r="O710" i="10"/>
  <c r="Q710" i="10" s="1"/>
  <c r="O708" i="10"/>
  <c r="Q708" i="10" s="1"/>
  <c r="O706" i="10"/>
  <c r="Q706" i="10" s="1"/>
  <c r="O704" i="10"/>
  <c r="Q704" i="10" s="1"/>
  <c r="O702" i="10"/>
  <c r="Q702" i="10" s="1"/>
  <c r="O700" i="10"/>
  <c r="Q700" i="10" s="1"/>
  <c r="O698" i="10"/>
  <c r="Q698" i="10" s="1"/>
  <c r="O696" i="10"/>
  <c r="Q696" i="10" s="1"/>
  <c r="O694" i="10"/>
  <c r="Q694" i="10" s="1"/>
  <c r="O692" i="10"/>
  <c r="Q692" i="10" s="1"/>
  <c r="O690" i="10"/>
  <c r="Q690" i="10" s="1"/>
  <c r="O688" i="10"/>
  <c r="Q688" i="10" s="1"/>
  <c r="O686" i="10"/>
  <c r="Q686" i="10" s="1"/>
  <c r="O685" i="10"/>
  <c r="Q685" i="10" s="1"/>
  <c r="O684" i="10"/>
  <c r="Q684" i="10" s="1"/>
  <c r="O683" i="10"/>
  <c r="Q683" i="10" s="1"/>
  <c r="O682" i="10"/>
  <c r="Q682" i="10" s="1"/>
  <c r="O681" i="10"/>
  <c r="Q681" i="10" s="1"/>
  <c r="O680" i="10"/>
  <c r="Q680" i="10" s="1"/>
  <c r="O679" i="10"/>
  <c r="Q679" i="10" s="1"/>
  <c r="O678" i="10"/>
  <c r="Q678" i="10" s="1"/>
  <c r="O677" i="10"/>
  <c r="Q677" i="10" s="1"/>
  <c r="O676" i="10"/>
  <c r="Q676" i="10" s="1"/>
  <c r="O675" i="10"/>
  <c r="Q675" i="10" s="1"/>
  <c r="O674" i="10"/>
  <c r="Q674" i="10" s="1"/>
  <c r="O673" i="10"/>
  <c r="Q673" i="10" s="1"/>
  <c r="O672" i="10"/>
  <c r="Q672" i="10" s="1"/>
  <c r="O671" i="10"/>
  <c r="Q671" i="10" s="1"/>
  <c r="O670" i="10"/>
  <c r="Q670" i="10" s="1"/>
  <c r="O669" i="10"/>
  <c r="Q669" i="10" s="1"/>
  <c r="O668" i="10"/>
  <c r="Q668" i="10" s="1"/>
  <c r="O667" i="10"/>
  <c r="Q667" i="10" s="1"/>
  <c r="O666" i="10"/>
  <c r="Q666" i="10" s="1"/>
  <c r="O665" i="10"/>
  <c r="Q665" i="10" s="1"/>
  <c r="O664" i="10"/>
  <c r="Q664" i="10" s="1"/>
  <c r="O663" i="10"/>
  <c r="Q663" i="10" s="1"/>
  <c r="O662" i="10"/>
  <c r="Q662" i="10" s="1"/>
  <c r="O661" i="10"/>
  <c r="Q661" i="10" s="1"/>
  <c r="O660" i="10"/>
  <c r="Q660" i="10" s="1"/>
  <c r="O659" i="10"/>
  <c r="Q659" i="10" s="1"/>
  <c r="O658" i="10"/>
  <c r="Q658" i="10" s="1"/>
  <c r="O657" i="10"/>
  <c r="Q657" i="10" s="1"/>
  <c r="O656" i="10"/>
  <c r="Q656" i="10" s="1"/>
  <c r="O655" i="10"/>
  <c r="Q655" i="10" s="1"/>
  <c r="O654" i="10"/>
  <c r="Q654" i="10" s="1"/>
  <c r="O653" i="10"/>
  <c r="Q653" i="10" s="1"/>
  <c r="O652" i="10"/>
  <c r="Q652" i="10" s="1"/>
  <c r="O651" i="10"/>
  <c r="Q651" i="10" s="1"/>
  <c r="O650" i="10"/>
  <c r="Q650" i="10" s="1"/>
  <c r="O649" i="10"/>
  <c r="Q649" i="10" s="1"/>
  <c r="O648" i="10"/>
  <c r="Q648" i="10" s="1"/>
  <c r="O647" i="10"/>
  <c r="Q647" i="10" s="1"/>
  <c r="O646" i="10"/>
  <c r="Q646" i="10" s="1"/>
  <c r="O747" i="10"/>
  <c r="Q747" i="10" s="1"/>
  <c r="O744" i="10"/>
  <c r="Q744" i="10" s="1"/>
  <c r="O741" i="10"/>
  <c r="Q741" i="10" s="1"/>
  <c r="O738" i="10"/>
  <c r="Q738" i="10" s="1"/>
  <c r="O736" i="10"/>
  <c r="Q736" i="10" s="1"/>
  <c r="O734" i="10"/>
  <c r="Q734" i="10" s="1"/>
  <c r="O732" i="10"/>
  <c r="Q732" i="10" s="1"/>
  <c r="O730" i="10"/>
  <c r="Q730" i="10" s="1"/>
  <c r="O729" i="10"/>
  <c r="Q729" i="10" s="1"/>
  <c r="O727" i="10"/>
  <c r="Q727" i="10" s="1"/>
  <c r="O725" i="10"/>
  <c r="Q725" i="10" s="1"/>
  <c r="O723" i="10"/>
  <c r="Q723" i="10" s="1"/>
  <c r="O721" i="10"/>
  <c r="Q721" i="10" s="1"/>
  <c r="O719" i="10"/>
  <c r="Q719" i="10" s="1"/>
  <c r="O717" i="10"/>
  <c r="Q717" i="10" s="1"/>
  <c r="O715" i="10"/>
  <c r="Q715" i="10" s="1"/>
  <c r="O713" i="10"/>
  <c r="Q713" i="10" s="1"/>
  <c r="O711" i="10"/>
  <c r="Q711" i="10" s="1"/>
  <c r="O709" i="10"/>
  <c r="Q709" i="10" s="1"/>
  <c r="O707" i="10"/>
  <c r="Q707" i="10" s="1"/>
  <c r="O705" i="10"/>
  <c r="Q705" i="10" s="1"/>
  <c r="O703" i="10"/>
  <c r="Q703" i="10" s="1"/>
  <c r="O701" i="10"/>
  <c r="Q701" i="10" s="1"/>
  <c r="O699" i="10"/>
  <c r="Q699" i="10" s="1"/>
  <c r="O697" i="10"/>
  <c r="Q697" i="10" s="1"/>
  <c r="O695" i="10"/>
  <c r="Q695" i="10" s="1"/>
  <c r="O693" i="10"/>
  <c r="Q693" i="10" s="1"/>
  <c r="O691" i="10"/>
  <c r="Q691" i="10" s="1"/>
  <c r="O689" i="10"/>
  <c r="Q689" i="10" s="1"/>
  <c r="O687" i="10"/>
  <c r="Q687" i="10" s="1"/>
  <c r="O746" i="10"/>
  <c r="Q746" i="10" s="1"/>
  <c r="O743" i="10"/>
  <c r="Q743" i="10" s="1"/>
  <c r="O740" i="10"/>
  <c r="Q740" i="10" s="1"/>
  <c r="O645" i="10"/>
  <c r="Q645" i="10" s="1"/>
  <c r="O644" i="10"/>
  <c r="Q644" i="10" s="1"/>
  <c r="O643" i="10"/>
  <c r="Q643" i="10" s="1"/>
  <c r="O642" i="10"/>
  <c r="Q642" i="10" s="1"/>
  <c r="O641" i="10"/>
  <c r="Q641" i="10" s="1"/>
  <c r="O640" i="10"/>
  <c r="Q640" i="10" s="1"/>
  <c r="O639" i="10"/>
  <c r="Q639" i="10" s="1"/>
  <c r="O638" i="10"/>
  <c r="Q638" i="10" s="1"/>
  <c r="O637" i="10"/>
  <c r="Q637" i="10" s="1"/>
  <c r="O636" i="10"/>
  <c r="Q636" i="10" s="1"/>
  <c r="O635" i="10"/>
  <c r="Q635" i="10" s="1"/>
  <c r="O634" i="10"/>
  <c r="Q634" i="10" s="1"/>
  <c r="O633" i="10"/>
  <c r="Q633" i="10" s="1"/>
  <c r="O632" i="10"/>
  <c r="Q632" i="10" s="1"/>
  <c r="O631" i="10"/>
  <c r="Q631" i="10" s="1"/>
  <c r="O630" i="10"/>
  <c r="Q630" i="10" s="1"/>
  <c r="O629" i="10"/>
  <c r="Q629" i="10" s="1"/>
  <c r="O628" i="10"/>
  <c r="Q628" i="10" s="1"/>
  <c r="O627" i="10"/>
  <c r="Q627" i="10" s="1"/>
  <c r="O626" i="10"/>
  <c r="Q626" i="10" s="1"/>
  <c r="O625" i="10"/>
  <c r="Q625" i="10" s="1"/>
  <c r="O624" i="10"/>
  <c r="Q624" i="10" s="1"/>
  <c r="O623" i="10"/>
  <c r="Q623" i="10" s="1"/>
  <c r="O622" i="10"/>
  <c r="Q622" i="10" s="1"/>
  <c r="O621" i="10"/>
  <c r="Q621" i="10" s="1"/>
  <c r="O620" i="10"/>
  <c r="Q620" i="10" s="1"/>
  <c r="O619" i="10"/>
  <c r="Q619" i="10" s="1"/>
  <c r="O618" i="10"/>
  <c r="Q618" i="10" s="1"/>
  <c r="O617" i="10"/>
  <c r="Q617" i="10" s="1"/>
  <c r="O616" i="10"/>
  <c r="Q616" i="10" s="1"/>
  <c r="O615" i="10"/>
  <c r="Q615" i="10" s="1"/>
  <c r="O614" i="10"/>
  <c r="Q614" i="10" s="1"/>
  <c r="O613" i="10"/>
  <c r="Q613" i="10" s="1"/>
  <c r="O612" i="10"/>
  <c r="Q612" i="10" s="1"/>
  <c r="O611" i="10"/>
  <c r="Q611" i="10" s="1"/>
  <c r="O610" i="10"/>
  <c r="Q610" i="10" s="1"/>
  <c r="O609" i="10"/>
  <c r="Q609" i="10" s="1"/>
  <c r="O608" i="10"/>
  <c r="Q608" i="10" s="1"/>
  <c r="O607" i="10"/>
  <c r="Q607" i="10" s="1"/>
  <c r="O606" i="10"/>
  <c r="Q606" i="10" s="1"/>
  <c r="O605" i="10"/>
  <c r="Q605" i="10" s="1"/>
  <c r="O604" i="10"/>
  <c r="Q604" i="10" s="1"/>
  <c r="O603" i="10"/>
  <c r="Q603" i="10" s="1"/>
  <c r="O602" i="10"/>
  <c r="Q602" i="10" s="1"/>
  <c r="O601" i="10"/>
  <c r="Q601" i="10" s="1"/>
  <c r="O600" i="10"/>
  <c r="Q600" i="10" s="1"/>
  <c r="O599" i="10"/>
  <c r="Q599" i="10" s="1"/>
  <c r="O598" i="10"/>
  <c r="Q598" i="10" s="1"/>
  <c r="O597" i="10"/>
  <c r="Q597" i="10" s="1"/>
  <c r="O596" i="10"/>
  <c r="Q596" i="10" s="1"/>
  <c r="O595" i="10"/>
  <c r="Q595" i="10" s="1"/>
  <c r="O594" i="10"/>
  <c r="Q594" i="10" s="1"/>
  <c r="O593" i="10"/>
  <c r="Q593" i="10" s="1"/>
  <c r="O592" i="10"/>
  <c r="Q592" i="10" s="1"/>
  <c r="O591" i="10"/>
  <c r="Q591" i="10" s="1"/>
  <c r="O590" i="10"/>
  <c r="Q590" i="10" s="1"/>
  <c r="O589" i="10"/>
  <c r="Q589" i="10" s="1"/>
  <c r="O588" i="10"/>
  <c r="Q588" i="10" s="1"/>
  <c r="O587" i="10"/>
  <c r="Q587" i="10" s="1"/>
  <c r="O586" i="10"/>
  <c r="Q586" i="10" s="1"/>
  <c r="O585" i="10"/>
  <c r="Q585" i="10" s="1"/>
  <c r="O584" i="10"/>
  <c r="Q584" i="10" s="1"/>
  <c r="O583" i="10"/>
  <c r="Q583" i="10" s="1"/>
  <c r="O582" i="10"/>
  <c r="Q582" i="10" s="1"/>
  <c r="O581" i="10"/>
  <c r="Q581" i="10" s="1"/>
  <c r="O580" i="10"/>
  <c r="Q580" i="10" s="1"/>
  <c r="O579" i="10"/>
  <c r="Q579" i="10" s="1"/>
  <c r="O578" i="10"/>
  <c r="Q578" i="10" s="1"/>
  <c r="O577" i="10"/>
  <c r="Q577" i="10" s="1"/>
  <c r="O576" i="10"/>
  <c r="Q576" i="10" s="1"/>
  <c r="O575" i="10"/>
  <c r="Q575" i="10" s="1"/>
  <c r="O574" i="10"/>
  <c r="Q574" i="10" s="1"/>
  <c r="O573" i="10"/>
  <c r="Q573" i="10" s="1"/>
  <c r="O572" i="10"/>
  <c r="Q572" i="10" s="1"/>
  <c r="O571" i="10"/>
  <c r="Q571" i="10" s="1"/>
  <c r="O570" i="10"/>
  <c r="Q570" i="10" s="1"/>
  <c r="O569" i="10"/>
  <c r="Q569" i="10" s="1"/>
  <c r="O568" i="10"/>
  <c r="Q568" i="10" s="1"/>
  <c r="O567" i="10"/>
  <c r="Q567" i="10" s="1"/>
  <c r="O566" i="10"/>
  <c r="Q566" i="10" s="1"/>
  <c r="O565" i="10"/>
  <c r="Q565" i="10" s="1"/>
  <c r="O564" i="10"/>
  <c r="Q564" i="10" s="1"/>
  <c r="O563" i="10"/>
  <c r="Q563" i="10" s="1"/>
  <c r="O562" i="10"/>
  <c r="Q562" i="10" s="1"/>
  <c r="O561" i="10"/>
  <c r="Q561" i="10" s="1"/>
  <c r="O560" i="10"/>
  <c r="Q560" i="10" s="1"/>
  <c r="O559" i="10"/>
  <c r="Q559" i="10" s="1"/>
  <c r="O558" i="10"/>
  <c r="Q558" i="10" s="1"/>
  <c r="O557" i="10"/>
  <c r="Q557" i="10" s="1"/>
  <c r="O556" i="10"/>
  <c r="Q556" i="10" s="1"/>
  <c r="O555" i="10"/>
  <c r="Q555" i="10" s="1"/>
  <c r="O554" i="10"/>
  <c r="Q554" i="10" s="1"/>
  <c r="O553" i="10"/>
  <c r="Q553" i="10" s="1"/>
  <c r="O552" i="10"/>
  <c r="Q552" i="10" s="1"/>
  <c r="O551" i="10"/>
  <c r="Q551" i="10" s="1"/>
  <c r="O550" i="10"/>
  <c r="Q550" i="10" s="1"/>
  <c r="O549" i="10"/>
  <c r="Q549" i="10" s="1"/>
  <c r="O548" i="10"/>
  <c r="Q548" i="10" s="1"/>
  <c r="O547" i="10"/>
  <c r="Q547" i="10" s="1"/>
  <c r="O546" i="10"/>
  <c r="Q546" i="10" s="1"/>
  <c r="O545" i="10"/>
  <c r="Q545" i="10" s="1"/>
  <c r="O544" i="10"/>
  <c r="Q544" i="10" s="1"/>
  <c r="O543" i="10"/>
  <c r="Q543" i="10" s="1"/>
  <c r="O542" i="10"/>
  <c r="Q542" i="10" s="1"/>
  <c r="O541" i="10"/>
  <c r="Q541" i="10" s="1"/>
  <c r="O540" i="10"/>
  <c r="Q540" i="10" s="1"/>
  <c r="O539" i="10"/>
  <c r="Q539" i="10" s="1"/>
  <c r="O538" i="10"/>
  <c r="Q538" i="10" s="1"/>
  <c r="O537" i="10"/>
  <c r="Q537" i="10" s="1"/>
  <c r="O536" i="10"/>
  <c r="Q536" i="10" s="1"/>
  <c r="O535" i="10"/>
  <c r="Q535" i="10" s="1"/>
  <c r="O534" i="10"/>
  <c r="Q534" i="10" s="1"/>
  <c r="O533" i="10"/>
  <c r="Q533" i="10" s="1"/>
  <c r="O532" i="10"/>
  <c r="Q532" i="10" s="1"/>
  <c r="O531" i="10"/>
  <c r="Q531" i="10" s="1"/>
  <c r="O530" i="10"/>
  <c r="Q530" i="10" s="1"/>
  <c r="O529" i="10"/>
  <c r="Q529" i="10" s="1"/>
  <c r="O528" i="10"/>
  <c r="Q528" i="10" s="1"/>
  <c r="O527" i="10"/>
  <c r="Q527" i="10" s="1"/>
  <c r="O526" i="10"/>
  <c r="Q526" i="10" s="1"/>
  <c r="O525" i="10"/>
  <c r="Q525" i="10" s="1"/>
  <c r="O524" i="10"/>
  <c r="Q524" i="10" s="1"/>
  <c r="O523" i="10"/>
  <c r="Q523" i="10" s="1"/>
  <c r="O522" i="10"/>
  <c r="Q522" i="10" s="1"/>
  <c r="O521" i="10"/>
  <c r="Q521" i="10" s="1"/>
  <c r="O520" i="10"/>
  <c r="Q520" i="10" s="1"/>
  <c r="O519" i="10"/>
  <c r="Q519" i="10" s="1"/>
  <c r="O518" i="10"/>
  <c r="Q518" i="10" s="1"/>
  <c r="O517" i="10"/>
  <c r="Q517" i="10" s="1"/>
  <c r="O516" i="10"/>
  <c r="Q516" i="10" s="1"/>
  <c r="O515" i="10"/>
  <c r="Q515" i="10" s="1"/>
  <c r="O514" i="10"/>
  <c r="Q514" i="10" s="1"/>
  <c r="O513" i="10"/>
  <c r="Q513" i="10" s="1"/>
  <c r="O512" i="10"/>
  <c r="Q512" i="10" s="1"/>
  <c r="O511" i="10"/>
  <c r="Q511" i="10" s="1"/>
  <c r="O510" i="10"/>
  <c r="Q510" i="10" s="1"/>
  <c r="O509" i="10"/>
  <c r="Q509" i="10" s="1"/>
  <c r="O508" i="10"/>
  <c r="Q508" i="10" s="1"/>
  <c r="O507" i="10"/>
  <c r="Q507" i="10" s="1"/>
  <c r="O506" i="10"/>
  <c r="Q506" i="10" s="1"/>
  <c r="O505" i="10"/>
  <c r="Q505" i="10" s="1"/>
  <c r="O504" i="10"/>
  <c r="Q504" i="10" s="1"/>
  <c r="O503" i="10"/>
  <c r="Q503" i="10" s="1"/>
  <c r="O502" i="10"/>
  <c r="Q502" i="10" s="1"/>
  <c r="O501" i="10"/>
  <c r="Q501" i="10" s="1"/>
  <c r="O500" i="10"/>
  <c r="Q500" i="10" s="1"/>
  <c r="O499" i="10"/>
  <c r="Q499" i="10" s="1"/>
  <c r="O498" i="10"/>
  <c r="Q498" i="10" s="1"/>
  <c r="O497" i="10"/>
  <c r="Q497" i="10" s="1"/>
  <c r="O496" i="10"/>
  <c r="Q496" i="10" s="1"/>
  <c r="O495" i="10"/>
  <c r="Q495" i="10" s="1"/>
  <c r="O494" i="10"/>
  <c r="Q494" i="10" s="1"/>
  <c r="O493" i="10"/>
  <c r="Q493" i="10" s="1"/>
  <c r="O492" i="10"/>
  <c r="Q492" i="10" s="1"/>
  <c r="O491" i="10"/>
  <c r="Q491" i="10" s="1"/>
  <c r="O490" i="10"/>
  <c r="Q490" i="10" s="1"/>
  <c r="O489" i="10"/>
  <c r="Q489" i="10" s="1"/>
  <c r="O488" i="10"/>
  <c r="Q488" i="10" s="1"/>
  <c r="O487" i="10"/>
  <c r="Q487" i="10" s="1"/>
  <c r="O486" i="10"/>
  <c r="Q486" i="10" s="1"/>
  <c r="O485" i="10"/>
  <c r="Q485" i="10" s="1"/>
  <c r="O484" i="10"/>
  <c r="Q484" i="10" s="1"/>
  <c r="O483" i="10"/>
  <c r="Q483" i="10" s="1"/>
  <c r="O482" i="10"/>
  <c r="Q482" i="10" s="1"/>
  <c r="O481" i="10"/>
  <c r="Q481" i="10" s="1"/>
  <c r="O480" i="10"/>
  <c r="Q480" i="10" s="1"/>
  <c r="O479" i="10"/>
  <c r="Q479" i="10" s="1"/>
  <c r="O478" i="10"/>
  <c r="Q478" i="10" s="1"/>
  <c r="O477" i="10"/>
  <c r="Q477" i="10" s="1"/>
  <c r="O476" i="10"/>
  <c r="Q476" i="10" s="1"/>
  <c r="O475" i="10"/>
  <c r="Q475" i="10" s="1"/>
  <c r="O474" i="10"/>
  <c r="Q474" i="10" s="1"/>
  <c r="O473" i="10"/>
  <c r="Q473" i="10" s="1"/>
  <c r="O472" i="10"/>
  <c r="Q472" i="10" s="1"/>
  <c r="O471" i="10"/>
  <c r="Q471" i="10" s="1"/>
  <c r="O470" i="10"/>
  <c r="Q470" i="10" s="1"/>
  <c r="O469" i="10"/>
  <c r="Q469" i="10" s="1"/>
  <c r="O468" i="10"/>
  <c r="Q468" i="10" s="1"/>
  <c r="O467" i="10"/>
  <c r="Q467" i="10" s="1"/>
  <c r="O466" i="10"/>
  <c r="Q466" i="10" s="1"/>
  <c r="O465" i="10"/>
  <c r="Q465" i="10" s="1"/>
  <c r="O464" i="10"/>
  <c r="Q464" i="10" s="1"/>
  <c r="O463" i="10"/>
  <c r="Q463" i="10" s="1"/>
  <c r="O462" i="10"/>
  <c r="Q462" i="10" s="1"/>
  <c r="O461" i="10"/>
  <c r="Q461" i="10" s="1"/>
  <c r="O460" i="10"/>
  <c r="Q460" i="10" s="1"/>
  <c r="O459" i="10"/>
  <c r="Q459" i="10" s="1"/>
  <c r="O458" i="10"/>
  <c r="Q458" i="10" s="1"/>
  <c r="O457" i="10"/>
  <c r="Q457" i="10" s="1"/>
  <c r="O456" i="10"/>
  <c r="Q456" i="10" s="1"/>
  <c r="O455" i="10"/>
  <c r="Q455" i="10" s="1"/>
  <c r="O454" i="10"/>
  <c r="Q454" i="10" s="1"/>
  <c r="O453" i="10"/>
  <c r="Q453" i="10" s="1"/>
  <c r="O452" i="10"/>
  <c r="Q452" i="10" s="1"/>
  <c r="O451" i="10"/>
  <c r="Q451" i="10" s="1"/>
  <c r="O450" i="10"/>
  <c r="Q450" i="10" s="1"/>
  <c r="O449" i="10"/>
  <c r="Q449" i="10" s="1"/>
  <c r="O448" i="10"/>
  <c r="Q448" i="10" s="1"/>
  <c r="O447" i="10"/>
  <c r="Q447" i="10" s="1"/>
  <c r="O446" i="10"/>
  <c r="Q446" i="10" s="1"/>
  <c r="O445" i="10"/>
  <c r="Q445" i="10" s="1"/>
  <c r="O444" i="10"/>
  <c r="Q444" i="10" s="1"/>
  <c r="O443" i="10"/>
  <c r="Q443" i="10" s="1"/>
  <c r="O442" i="10"/>
  <c r="Q442" i="10" s="1"/>
  <c r="O441" i="10"/>
  <c r="Q441" i="10" s="1"/>
  <c r="O440" i="10"/>
  <c r="Q440" i="10" s="1"/>
  <c r="O439" i="10"/>
  <c r="Q439" i="10" s="1"/>
  <c r="O438" i="10"/>
  <c r="Q438" i="10" s="1"/>
  <c r="O437" i="10"/>
  <c r="Q437" i="10" s="1"/>
  <c r="O436" i="10"/>
  <c r="Q436" i="10" s="1"/>
  <c r="O435" i="10"/>
  <c r="Q435" i="10" s="1"/>
  <c r="O434" i="10"/>
  <c r="Q434" i="10" s="1"/>
  <c r="O433" i="10"/>
  <c r="Q433" i="10" s="1"/>
  <c r="O432" i="10"/>
  <c r="Q432" i="10" s="1"/>
  <c r="O431" i="10"/>
  <c r="Q431" i="10" s="1"/>
  <c r="O430" i="10"/>
  <c r="Q430" i="10" s="1"/>
  <c r="O429" i="10"/>
  <c r="Q429" i="10" s="1"/>
  <c r="O428" i="10"/>
  <c r="Q428" i="10" s="1"/>
  <c r="O427" i="10"/>
  <c r="Q427" i="10" s="1"/>
  <c r="O426" i="10"/>
  <c r="Q426" i="10" s="1"/>
  <c r="O425" i="10"/>
  <c r="Q425" i="10" s="1"/>
  <c r="O424" i="10"/>
  <c r="Q424" i="10" s="1"/>
  <c r="O423" i="10"/>
  <c r="Q423" i="10" s="1"/>
  <c r="O422" i="10"/>
  <c r="Q422" i="10" s="1"/>
  <c r="O421" i="10"/>
  <c r="Q421" i="10" s="1"/>
  <c r="O420" i="10"/>
  <c r="Q420" i="10" s="1"/>
  <c r="O419" i="10"/>
  <c r="Q419" i="10" s="1"/>
  <c r="O418" i="10"/>
  <c r="Q418" i="10" s="1"/>
  <c r="O417" i="10"/>
  <c r="Q417" i="10" s="1"/>
  <c r="O416" i="10"/>
  <c r="Q416" i="10" s="1"/>
  <c r="O415" i="10"/>
  <c r="Q415" i="10" s="1"/>
  <c r="O414" i="10"/>
  <c r="Q414" i="10" s="1"/>
  <c r="O413" i="10"/>
  <c r="Q413" i="10" s="1"/>
  <c r="O412" i="10"/>
  <c r="Q412" i="10" s="1"/>
  <c r="O411" i="10"/>
  <c r="Q411" i="10" s="1"/>
  <c r="O410" i="10"/>
  <c r="Q410" i="10" s="1"/>
  <c r="O409" i="10"/>
  <c r="Q409" i="10" s="1"/>
  <c r="O408" i="10"/>
  <c r="Q408" i="10" s="1"/>
  <c r="O407" i="10"/>
  <c r="Q407" i="10" s="1"/>
  <c r="O406" i="10"/>
  <c r="Q406" i="10" s="1"/>
  <c r="O405" i="10"/>
  <c r="Q405" i="10" s="1"/>
  <c r="O404" i="10"/>
  <c r="Q404" i="10" s="1"/>
  <c r="O403" i="10"/>
  <c r="Q403" i="10" s="1"/>
  <c r="O402" i="10"/>
  <c r="Q402" i="10" s="1"/>
  <c r="O401" i="10"/>
  <c r="Q401" i="10" s="1"/>
  <c r="O400" i="10"/>
  <c r="Q400" i="10" s="1"/>
  <c r="O399" i="10"/>
  <c r="Q399" i="10" s="1"/>
  <c r="O398" i="10"/>
  <c r="Q398" i="10" s="1"/>
  <c r="O397" i="10"/>
  <c r="Q397" i="10" s="1"/>
  <c r="O396" i="10"/>
  <c r="Q396" i="10" s="1"/>
  <c r="O395" i="10"/>
  <c r="Q395" i="10" s="1"/>
  <c r="O394" i="10"/>
  <c r="Q394" i="10" s="1"/>
  <c r="O393" i="10"/>
  <c r="Q393" i="10" s="1"/>
  <c r="O392" i="10"/>
  <c r="Q392" i="10" s="1"/>
  <c r="O391" i="10"/>
  <c r="Q391" i="10" s="1"/>
  <c r="O390" i="10"/>
  <c r="Q390" i="10" s="1"/>
  <c r="O389" i="10"/>
  <c r="Q389" i="10" s="1"/>
  <c r="O388" i="10"/>
  <c r="Q388" i="10" s="1"/>
  <c r="O387" i="10"/>
  <c r="Q387" i="10" s="1"/>
  <c r="O386" i="10"/>
  <c r="Q386" i="10" s="1"/>
  <c r="O385" i="10"/>
  <c r="Q385" i="10" s="1"/>
  <c r="O384" i="10"/>
  <c r="Q384" i="10" s="1"/>
  <c r="O383" i="10"/>
  <c r="Q383" i="10" s="1"/>
  <c r="O382" i="10"/>
  <c r="Q382" i="10" s="1"/>
  <c r="O381" i="10"/>
  <c r="Q381" i="10" s="1"/>
  <c r="O380" i="10"/>
  <c r="Q380" i="10" s="1"/>
  <c r="O379" i="10"/>
  <c r="Q379" i="10" s="1"/>
  <c r="O378" i="10"/>
  <c r="Q378" i="10" s="1"/>
  <c r="O377" i="10"/>
  <c r="Q377" i="10" s="1"/>
  <c r="O376" i="10"/>
  <c r="Q376" i="10" s="1"/>
  <c r="O375" i="10"/>
  <c r="Q375" i="10" s="1"/>
  <c r="O374" i="10"/>
  <c r="Q374" i="10" s="1"/>
  <c r="O373" i="10"/>
  <c r="Q373" i="10" s="1"/>
  <c r="O372" i="10"/>
  <c r="Q372" i="10" s="1"/>
  <c r="O371" i="10"/>
  <c r="Q371" i="10" s="1"/>
  <c r="O370" i="10"/>
  <c r="Q370" i="10" s="1"/>
  <c r="O369" i="10"/>
  <c r="Q369" i="10" s="1"/>
  <c r="O368" i="10"/>
  <c r="Q368" i="10" s="1"/>
  <c r="O367" i="10"/>
  <c r="Q367" i="10" s="1"/>
  <c r="O366" i="10"/>
  <c r="Q366" i="10" s="1"/>
  <c r="O365" i="10"/>
  <c r="Q365" i="10" s="1"/>
  <c r="O364" i="10"/>
  <c r="Q364" i="10" s="1"/>
  <c r="O363" i="10"/>
  <c r="Q363" i="10" s="1"/>
  <c r="O362" i="10"/>
  <c r="Q362" i="10" s="1"/>
  <c r="O361" i="10"/>
  <c r="Q361" i="10" s="1"/>
  <c r="O360" i="10"/>
  <c r="Q360" i="10" s="1"/>
  <c r="O359" i="10"/>
  <c r="Q359" i="10" s="1"/>
  <c r="O358" i="10"/>
  <c r="Q358" i="10" s="1"/>
  <c r="O357" i="10"/>
  <c r="Q357" i="10" s="1"/>
  <c r="O356" i="10"/>
  <c r="Q356" i="10" s="1"/>
  <c r="O355" i="10"/>
  <c r="Q355" i="10" s="1"/>
  <c r="O354" i="10"/>
  <c r="Q354" i="10" s="1"/>
  <c r="O353" i="10"/>
  <c r="Q353" i="10" s="1"/>
  <c r="O352" i="10"/>
  <c r="Q352" i="10" s="1"/>
  <c r="O351" i="10"/>
  <c r="Q351" i="10" s="1"/>
  <c r="O350" i="10"/>
  <c r="Q350" i="10" s="1"/>
  <c r="O349" i="10"/>
  <c r="Q349" i="10" s="1"/>
  <c r="O348" i="10"/>
  <c r="Q348" i="10" s="1"/>
  <c r="O347" i="10"/>
  <c r="Q347" i="10" s="1"/>
  <c r="O346" i="10"/>
  <c r="Q346" i="10" s="1"/>
  <c r="O345" i="10"/>
  <c r="Q345" i="10" s="1"/>
  <c r="O344" i="10"/>
  <c r="Q344" i="10" s="1"/>
  <c r="O343" i="10"/>
  <c r="Q343" i="10" s="1"/>
  <c r="O342" i="10"/>
  <c r="Q342" i="10" s="1"/>
  <c r="O341" i="10"/>
  <c r="Q341" i="10" s="1"/>
  <c r="O340" i="10"/>
  <c r="Q340" i="10" s="1"/>
  <c r="O339" i="10"/>
  <c r="Q339" i="10" s="1"/>
  <c r="O338" i="10"/>
  <c r="Q338" i="10" s="1"/>
  <c r="O337" i="10"/>
  <c r="Q337" i="10" s="1"/>
  <c r="O336" i="10"/>
  <c r="Q336" i="10" s="1"/>
  <c r="O335" i="10"/>
  <c r="Q335" i="10" s="1"/>
  <c r="O334" i="10"/>
  <c r="Q334" i="10" s="1"/>
  <c r="O333" i="10"/>
  <c r="Q333" i="10" s="1"/>
  <c r="O332" i="10"/>
  <c r="Q332" i="10" s="1"/>
  <c r="O331" i="10"/>
  <c r="Q331" i="10" s="1"/>
  <c r="O330" i="10"/>
  <c r="Q330" i="10" s="1"/>
  <c r="O329" i="10"/>
  <c r="Q329" i="10" s="1"/>
  <c r="O328" i="10"/>
  <c r="Q328" i="10" s="1"/>
  <c r="O327" i="10"/>
  <c r="Q327" i="10" s="1"/>
  <c r="O326" i="10"/>
  <c r="Q326" i="10" s="1"/>
  <c r="O325" i="10"/>
  <c r="Q325" i="10" s="1"/>
  <c r="O324" i="10"/>
  <c r="Q324" i="10" s="1"/>
  <c r="O323" i="10"/>
  <c r="Q323" i="10" s="1"/>
  <c r="O322" i="10"/>
  <c r="Q322" i="10" s="1"/>
  <c r="O321" i="10"/>
  <c r="Q321" i="10" s="1"/>
  <c r="O320" i="10"/>
  <c r="Q320" i="10" s="1"/>
  <c r="O319" i="10"/>
  <c r="Q319" i="10" s="1"/>
  <c r="O318" i="10"/>
  <c r="Q318" i="10" s="1"/>
  <c r="O317" i="10"/>
  <c r="Q317" i="10" s="1"/>
  <c r="O316" i="10"/>
  <c r="Q316" i="10" s="1"/>
  <c r="O315" i="10"/>
  <c r="Q315" i="10" s="1"/>
  <c r="O314" i="10"/>
  <c r="Q314" i="10" s="1"/>
  <c r="O313" i="10"/>
  <c r="Q313" i="10" s="1"/>
  <c r="O312" i="10"/>
  <c r="Q312" i="10" s="1"/>
  <c r="O311" i="10"/>
  <c r="Q311" i="10" s="1"/>
  <c r="O310" i="10"/>
  <c r="Q310" i="10" s="1"/>
  <c r="O309" i="10"/>
  <c r="Q309" i="10" s="1"/>
  <c r="O308" i="10"/>
  <c r="Q308" i="10" s="1"/>
  <c r="O307" i="10"/>
  <c r="Q307" i="10" s="1"/>
  <c r="O306" i="10"/>
  <c r="Q306" i="10" s="1"/>
  <c r="O305" i="10"/>
  <c r="Q305" i="10" s="1"/>
  <c r="O304" i="10"/>
  <c r="Q304" i="10" s="1"/>
  <c r="O303" i="10"/>
  <c r="Q303" i="10" s="1"/>
  <c r="O302" i="10"/>
  <c r="Q302" i="10" s="1"/>
  <c r="O301" i="10"/>
  <c r="Q301" i="10" s="1"/>
  <c r="O300" i="10"/>
  <c r="Q300" i="10" s="1"/>
  <c r="O299" i="10"/>
  <c r="Q299" i="10" s="1"/>
  <c r="O298" i="10"/>
  <c r="Q298" i="10" s="1"/>
  <c r="O297" i="10"/>
  <c r="Q297" i="10" s="1"/>
  <c r="O296" i="10"/>
  <c r="Q296" i="10" s="1"/>
  <c r="O295" i="10"/>
  <c r="Q295" i="10" s="1"/>
  <c r="O294" i="10"/>
  <c r="Q294" i="10" s="1"/>
  <c r="O293" i="10"/>
  <c r="Q293" i="10" s="1"/>
  <c r="O292" i="10"/>
  <c r="Q292" i="10" s="1"/>
  <c r="O291" i="10"/>
  <c r="Q291" i="10" s="1"/>
  <c r="O290" i="10"/>
  <c r="Q290" i="10" s="1"/>
  <c r="O289" i="10"/>
  <c r="Q289" i="10" s="1"/>
  <c r="O288" i="10"/>
  <c r="Q288" i="10" s="1"/>
  <c r="O287" i="10"/>
  <c r="Q287" i="10" s="1"/>
  <c r="O286" i="10"/>
  <c r="Q286" i="10" s="1"/>
  <c r="O285" i="10"/>
  <c r="Q285" i="10" s="1"/>
  <c r="O284" i="10"/>
  <c r="Q284" i="10" s="1"/>
  <c r="O283" i="10"/>
  <c r="Q283" i="10" s="1"/>
  <c r="O282" i="10"/>
  <c r="Q282" i="10" s="1"/>
  <c r="O281" i="10"/>
  <c r="Q281" i="10" s="1"/>
  <c r="O280" i="10"/>
  <c r="Q280" i="10" s="1"/>
  <c r="O279" i="10"/>
  <c r="Q279" i="10" s="1"/>
  <c r="O278" i="10"/>
  <c r="Q278" i="10" s="1"/>
  <c r="O277" i="10"/>
  <c r="Q277" i="10" s="1"/>
  <c r="O276" i="10"/>
  <c r="Q276" i="10" s="1"/>
  <c r="O275" i="10"/>
  <c r="Q275" i="10" s="1"/>
  <c r="O274" i="10"/>
  <c r="Q274" i="10" s="1"/>
  <c r="O273" i="10"/>
  <c r="Q273" i="10" s="1"/>
  <c r="O272" i="10"/>
  <c r="Q272" i="10" s="1"/>
  <c r="O271" i="10"/>
  <c r="Q271" i="10" s="1"/>
  <c r="O270" i="10"/>
  <c r="Q270" i="10" s="1"/>
  <c r="O269" i="10"/>
  <c r="Q269" i="10" s="1"/>
  <c r="O268" i="10"/>
  <c r="Q268" i="10" s="1"/>
  <c r="O267" i="10"/>
  <c r="Q267" i="10" s="1"/>
  <c r="O266" i="10"/>
  <c r="Q266" i="10" s="1"/>
  <c r="O265" i="10"/>
  <c r="Q265" i="10" s="1"/>
  <c r="O264" i="10"/>
  <c r="Q264" i="10" s="1"/>
  <c r="O263" i="10"/>
  <c r="Q263" i="10" s="1"/>
  <c r="O262" i="10"/>
  <c r="Q262" i="10" s="1"/>
  <c r="O261" i="10"/>
  <c r="Q261" i="10" s="1"/>
  <c r="O260" i="10"/>
  <c r="Q260" i="10" s="1"/>
  <c r="O259" i="10"/>
  <c r="Q259" i="10" s="1"/>
  <c r="O258" i="10"/>
  <c r="Q258" i="10" s="1"/>
  <c r="O257" i="10"/>
  <c r="Q257" i="10" s="1"/>
  <c r="O256" i="10"/>
  <c r="Q256" i="10" s="1"/>
  <c r="O255" i="10"/>
  <c r="Q255" i="10" s="1"/>
  <c r="O254" i="10"/>
  <c r="Q254" i="10" s="1"/>
  <c r="O253" i="10"/>
  <c r="Q253" i="10" s="1"/>
  <c r="O252" i="10"/>
  <c r="Q252" i="10" s="1"/>
  <c r="O251" i="10"/>
  <c r="Q251" i="10" s="1"/>
  <c r="O250" i="10"/>
  <c r="Q250" i="10" s="1"/>
  <c r="O249" i="10"/>
  <c r="Q249" i="10" s="1"/>
  <c r="O248" i="10"/>
  <c r="Q248" i="10" s="1"/>
  <c r="O247" i="10"/>
  <c r="Q247" i="10" s="1"/>
  <c r="O246" i="10"/>
  <c r="Q246" i="10" s="1"/>
  <c r="O245" i="10"/>
  <c r="Q245" i="10" s="1"/>
  <c r="O244" i="10"/>
  <c r="Q244" i="10" s="1"/>
  <c r="O243" i="10"/>
  <c r="Q243" i="10" s="1"/>
  <c r="O242" i="10"/>
  <c r="Q242" i="10" s="1"/>
  <c r="O241" i="10"/>
  <c r="Q241" i="10" s="1"/>
  <c r="O240" i="10"/>
  <c r="Q240" i="10" s="1"/>
  <c r="O239" i="10"/>
  <c r="Q239" i="10" s="1"/>
  <c r="O238" i="10"/>
  <c r="Q238" i="10" s="1"/>
  <c r="O237" i="10"/>
  <c r="Q237" i="10" s="1"/>
  <c r="O236" i="10"/>
  <c r="Q236" i="10" s="1"/>
  <c r="O235" i="10"/>
  <c r="Q235" i="10" s="1"/>
  <c r="O234" i="10"/>
  <c r="Q234" i="10" s="1"/>
  <c r="O233" i="10"/>
  <c r="Q233" i="10" s="1"/>
  <c r="O232" i="10"/>
  <c r="Q232" i="10" s="1"/>
  <c r="O231" i="10"/>
  <c r="Q231" i="10" s="1"/>
  <c r="O230" i="10"/>
  <c r="Q230" i="10" s="1"/>
  <c r="O229" i="10"/>
  <c r="Q229" i="10" s="1"/>
  <c r="O228" i="10"/>
  <c r="Q228" i="10" s="1"/>
  <c r="O227" i="10"/>
  <c r="Q227" i="10" s="1"/>
  <c r="O226" i="10"/>
  <c r="Q226" i="10" s="1"/>
  <c r="O225" i="10"/>
  <c r="Q225" i="10" s="1"/>
  <c r="O224" i="10"/>
  <c r="Q224" i="10" s="1"/>
  <c r="O223" i="10"/>
  <c r="Q223" i="10" s="1"/>
  <c r="O222" i="10"/>
  <c r="Q222" i="10" s="1"/>
  <c r="O221" i="10"/>
  <c r="Q221" i="10" s="1"/>
  <c r="O220" i="10"/>
  <c r="Q220" i="10" s="1"/>
  <c r="O219" i="10"/>
  <c r="Q219" i="10" s="1"/>
  <c r="O218" i="10"/>
  <c r="Q218" i="10" s="1"/>
  <c r="O217" i="10"/>
  <c r="Q217" i="10" s="1"/>
  <c r="O216" i="10"/>
  <c r="Q216" i="10" s="1"/>
  <c r="O215" i="10"/>
  <c r="Q215" i="10" s="1"/>
  <c r="O214" i="10"/>
  <c r="Q214" i="10" s="1"/>
  <c r="O213" i="10"/>
  <c r="Q213" i="10" s="1"/>
  <c r="O212" i="10"/>
  <c r="Q212" i="10" s="1"/>
  <c r="O211" i="10"/>
  <c r="Q211" i="10" s="1"/>
  <c r="O210" i="10"/>
  <c r="Q210" i="10" s="1"/>
  <c r="O209" i="10"/>
  <c r="Q209" i="10" s="1"/>
  <c r="O208" i="10"/>
  <c r="Q208" i="10" s="1"/>
  <c r="O207" i="10"/>
  <c r="Q207" i="10" s="1"/>
  <c r="O206" i="10"/>
  <c r="Q206" i="10" s="1"/>
  <c r="O205" i="10"/>
  <c r="Q205" i="10" s="1"/>
  <c r="O204" i="10"/>
  <c r="Q204" i="10" s="1"/>
  <c r="O203" i="10"/>
  <c r="Q203" i="10" s="1"/>
  <c r="O202" i="10"/>
  <c r="Q202" i="10" s="1"/>
  <c r="O201" i="10"/>
  <c r="Q201" i="10" s="1"/>
  <c r="O200" i="10"/>
  <c r="Q200" i="10" s="1"/>
  <c r="O199" i="10"/>
  <c r="Q199" i="10" s="1"/>
  <c r="O198" i="10"/>
  <c r="Q198" i="10" s="1"/>
  <c r="O197" i="10"/>
  <c r="Q197" i="10" s="1"/>
  <c r="O196" i="10"/>
  <c r="Q196" i="10" s="1"/>
  <c r="O195" i="10"/>
  <c r="Q195" i="10" s="1"/>
  <c r="O194" i="10"/>
  <c r="Q194" i="10" s="1"/>
  <c r="O193" i="10"/>
  <c r="Q193" i="10" s="1"/>
  <c r="O192" i="10"/>
  <c r="Q192" i="10" s="1"/>
  <c r="O191" i="10"/>
  <c r="Q191" i="10" s="1"/>
  <c r="O190" i="10"/>
  <c r="Q190" i="10" s="1"/>
  <c r="O189" i="10"/>
  <c r="Q189" i="10" s="1"/>
  <c r="O188" i="10"/>
  <c r="Q188" i="10" s="1"/>
  <c r="O187" i="10"/>
  <c r="Q187" i="10" s="1"/>
  <c r="O186" i="10"/>
  <c r="Q186" i="10" s="1"/>
  <c r="O185" i="10"/>
  <c r="Q185" i="10" s="1"/>
  <c r="O184" i="10"/>
  <c r="Q184" i="10" s="1"/>
  <c r="O183" i="10"/>
  <c r="Q183" i="10" s="1"/>
  <c r="O182" i="10"/>
  <c r="Q182" i="10" s="1"/>
  <c r="O181" i="10"/>
  <c r="Q181" i="10" s="1"/>
  <c r="O180" i="10"/>
  <c r="Q180" i="10" s="1"/>
  <c r="O179" i="10"/>
  <c r="Q179" i="10" s="1"/>
  <c r="O178" i="10"/>
  <c r="Q178" i="10" s="1"/>
  <c r="O177" i="10"/>
  <c r="Q177" i="10" s="1"/>
  <c r="O176" i="10"/>
  <c r="Q176" i="10" s="1"/>
  <c r="O175" i="10"/>
  <c r="Q175" i="10" s="1"/>
  <c r="O174" i="10"/>
  <c r="Q174" i="10" s="1"/>
  <c r="O173" i="10"/>
  <c r="Q173" i="10" s="1"/>
  <c r="O172" i="10"/>
  <c r="Q172" i="10" s="1"/>
  <c r="O171" i="10"/>
  <c r="Q171" i="10" s="1"/>
  <c r="O170" i="10"/>
  <c r="Q170" i="10" s="1"/>
  <c r="O169" i="10"/>
  <c r="Q169" i="10" s="1"/>
  <c r="O168" i="10"/>
  <c r="Q168" i="10" s="1"/>
  <c r="O167" i="10"/>
  <c r="Q167" i="10" s="1"/>
  <c r="O166" i="10"/>
  <c r="Q166" i="10" s="1"/>
  <c r="O165" i="10"/>
  <c r="Q165" i="10" s="1"/>
  <c r="O164" i="10"/>
  <c r="Q164" i="10" s="1"/>
  <c r="O163" i="10"/>
  <c r="Q163" i="10" s="1"/>
  <c r="O162" i="10"/>
  <c r="Q162" i="10" s="1"/>
  <c r="O161" i="10"/>
  <c r="Q161" i="10" s="1"/>
  <c r="O160" i="10"/>
  <c r="Q160" i="10" s="1"/>
  <c r="O159" i="10"/>
  <c r="Q159" i="10" s="1"/>
  <c r="O158" i="10"/>
  <c r="Q158" i="10" s="1"/>
  <c r="O157" i="10"/>
  <c r="Q157" i="10" s="1"/>
  <c r="O156" i="10"/>
  <c r="Q156" i="10" s="1"/>
  <c r="O155" i="10"/>
  <c r="Q155" i="10" s="1"/>
  <c r="O154" i="10"/>
  <c r="Q154" i="10" s="1"/>
  <c r="O153" i="10"/>
  <c r="Q153" i="10" s="1"/>
  <c r="O152" i="10"/>
  <c r="Q152" i="10" s="1"/>
  <c r="O151" i="10"/>
  <c r="Q151" i="10" s="1"/>
  <c r="O150" i="10"/>
  <c r="Q150" i="10" s="1"/>
  <c r="O149" i="10"/>
  <c r="Q149" i="10" s="1"/>
  <c r="O148" i="10"/>
  <c r="Q148" i="10" s="1"/>
  <c r="O147" i="10"/>
  <c r="Q147" i="10" s="1"/>
  <c r="O146" i="10"/>
  <c r="Q146" i="10" s="1"/>
  <c r="O145" i="10"/>
  <c r="Q145" i="10" s="1"/>
  <c r="O144" i="10"/>
  <c r="Q144" i="10" s="1"/>
  <c r="O143" i="10"/>
  <c r="Q143" i="10" s="1"/>
  <c r="O142" i="10"/>
  <c r="Q142" i="10" s="1"/>
  <c r="O141" i="10"/>
  <c r="Q141" i="10" s="1"/>
  <c r="O140" i="10"/>
  <c r="Q140" i="10" s="1"/>
  <c r="O139" i="10"/>
  <c r="Q139" i="10" s="1"/>
  <c r="O138" i="10"/>
  <c r="Q138" i="10" s="1"/>
  <c r="O137" i="10"/>
  <c r="Q137" i="10" s="1"/>
  <c r="O136" i="10"/>
  <c r="Q136" i="10" s="1"/>
  <c r="O135" i="10"/>
  <c r="Q135" i="10" s="1"/>
  <c r="O134" i="10"/>
  <c r="Q134" i="10" s="1"/>
  <c r="O133" i="10"/>
  <c r="Q133" i="10" s="1"/>
  <c r="O132" i="10"/>
  <c r="Q132" i="10" s="1"/>
  <c r="O131" i="10"/>
  <c r="Q131" i="10" s="1"/>
  <c r="O130" i="10"/>
  <c r="Q130" i="10" s="1"/>
  <c r="O129" i="10"/>
  <c r="Q129" i="10" s="1"/>
  <c r="O128" i="10"/>
  <c r="Q128" i="10" s="1"/>
  <c r="O127" i="10"/>
  <c r="Q127" i="10" s="1"/>
  <c r="O126" i="10"/>
  <c r="Q126" i="10" s="1"/>
  <c r="O125" i="10"/>
  <c r="Q125" i="10" s="1"/>
  <c r="O124" i="10"/>
  <c r="Q124" i="10" s="1"/>
  <c r="O123" i="10"/>
  <c r="Q123" i="10" s="1"/>
  <c r="O122" i="10"/>
  <c r="Q122" i="10" s="1"/>
  <c r="O121" i="10"/>
  <c r="Q121" i="10" s="1"/>
  <c r="O120" i="10"/>
  <c r="Q120" i="10" s="1"/>
  <c r="O119" i="10"/>
  <c r="Q119" i="10" s="1"/>
  <c r="O118" i="10"/>
  <c r="Q118" i="10" s="1"/>
  <c r="O117" i="10"/>
  <c r="Q117" i="10" s="1"/>
  <c r="O116" i="10"/>
  <c r="Q116" i="10" s="1"/>
  <c r="O115" i="10"/>
  <c r="Q115" i="10" s="1"/>
  <c r="O114" i="10"/>
  <c r="Q114" i="10" s="1"/>
  <c r="O113" i="10"/>
  <c r="Q113" i="10" s="1"/>
  <c r="O112" i="10"/>
  <c r="Q112" i="10" s="1"/>
  <c r="O111" i="10"/>
  <c r="Q111" i="10" s="1"/>
  <c r="O110" i="10"/>
  <c r="Q110" i="10" s="1"/>
  <c r="O109" i="10"/>
  <c r="Q109" i="10" s="1"/>
  <c r="O108" i="10"/>
  <c r="Q108" i="10" s="1"/>
  <c r="O107" i="10"/>
  <c r="Q107" i="10" s="1"/>
  <c r="O106" i="10"/>
  <c r="Q106" i="10" s="1"/>
  <c r="O105" i="10"/>
  <c r="Q105" i="10" s="1"/>
  <c r="O104" i="10"/>
  <c r="Q104" i="10" s="1"/>
  <c r="O103" i="10"/>
  <c r="Q103" i="10" s="1"/>
  <c r="O102" i="10"/>
  <c r="Q102" i="10" s="1"/>
  <c r="O101" i="10"/>
  <c r="Q101" i="10" s="1"/>
  <c r="O100" i="10"/>
  <c r="Q100" i="10" s="1"/>
  <c r="O99" i="10"/>
  <c r="Q99" i="10" s="1"/>
  <c r="O98" i="10"/>
  <c r="Q98" i="10" s="1"/>
  <c r="O97" i="10"/>
  <c r="Q97" i="10" s="1"/>
  <c r="O96" i="10"/>
  <c r="Q96" i="10" s="1"/>
  <c r="O95" i="10"/>
  <c r="Q95" i="10" s="1"/>
  <c r="O94" i="10"/>
  <c r="Q94" i="10" s="1"/>
  <c r="O93" i="10"/>
  <c r="Q93" i="10" s="1"/>
  <c r="O92" i="10"/>
  <c r="Q92" i="10" s="1"/>
  <c r="O91" i="10"/>
  <c r="Q91" i="10" s="1"/>
  <c r="O90" i="10"/>
  <c r="Q90" i="10" s="1"/>
  <c r="O89" i="10"/>
  <c r="Q89" i="10" s="1"/>
  <c r="O88" i="10"/>
  <c r="Q88" i="10" s="1"/>
  <c r="O87" i="10"/>
  <c r="Q87" i="10" s="1"/>
  <c r="O86" i="10"/>
  <c r="Q86" i="10" s="1"/>
  <c r="O85" i="10"/>
  <c r="Q85" i="10" s="1"/>
  <c r="O84" i="10"/>
  <c r="Q84" i="10" s="1"/>
  <c r="O83" i="10"/>
  <c r="Q83" i="10" s="1"/>
  <c r="O82" i="10"/>
  <c r="Q82" i="10" s="1"/>
  <c r="O81" i="10"/>
  <c r="Q81" i="10" s="1"/>
  <c r="O80" i="10"/>
  <c r="Q80" i="10" s="1"/>
  <c r="O79" i="10"/>
  <c r="Q79" i="10" s="1"/>
  <c r="O78" i="10"/>
  <c r="Q78" i="10" s="1"/>
  <c r="O77" i="10"/>
  <c r="Q77" i="10" s="1"/>
  <c r="O76" i="10"/>
  <c r="Q76" i="10" s="1"/>
  <c r="O75" i="10"/>
  <c r="Q75" i="10" s="1"/>
  <c r="O74" i="10"/>
  <c r="Q74" i="10" s="1"/>
  <c r="O73" i="10"/>
  <c r="Q73" i="10" s="1"/>
  <c r="O72" i="10"/>
  <c r="Q72" i="10" s="1"/>
  <c r="O71" i="10"/>
  <c r="Q71" i="10" s="1"/>
  <c r="O70" i="10"/>
  <c r="Q70" i="10" s="1"/>
  <c r="O69" i="10"/>
  <c r="Q69" i="10" s="1"/>
  <c r="O68" i="10"/>
  <c r="Q68" i="10" s="1"/>
  <c r="O67" i="10"/>
  <c r="Q67" i="10" s="1"/>
  <c r="O66" i="10"/>
  <c r="Q66" i="10" s="1"/>
  <c r="O65" i="10"/>
  <c r="Q65" i="10" s="1"/>
  <c r="O64" i="10"/>
  <c r="Q64" i="10" s="1"/>
  <c r="O63" i="10"/>
  <c r="Q63" i="10" s="1"/>
  <c r="O62" i="10"/>
  <c r="Q62" i="10" s="1"/>
  <c r="O61" i="10"/>
  <c r="Q61" i="10" s="1"/>
  <c r="O60" i="10"/>
  <c r="Q60" i="10" s="1"/>
  <c r="O59" i="10"/>
  <c r="Q59" i="10" s="1"/>
  <c r="O58" i="10"/>
  <c r="Q58" i="10" s="1"/>
  <c r="O57" i="10"/>
  <c r="Q57" i="10" s="1"/>
  <c r="O56" i="10"/>
  <c r="Q56" i="10" s="1"/>
  <c r="O55" i="10"/>
  <c r="Q55" i="10" s="1"/>
  <c r="O54" i="10"/>
  <c r="Q54" i="10" s="1"/>
  <c r="O53" i="10"/>
  <c r="Q53" i="10" s="1"/>
  <c r="O52" i="10"/>
  <c r="Q52" i="10" s="1"/>
  <c r="O51" i="10"/>
  <c r="Q51" i="10" s="1"/>
  <c r="O50" i="10"/>
  <c r="Q50" i="10" s="1"/>
  <c r="O49" i="10"/>
  <c r="Q49" i="10" s="1"/>
  <c r="O48" i="10"/>
  <c r="Q48" i="10" s="1"/>
  <c r="O47" i="10"/>
  <c r="Q47" i="10" s="1"/>
  <c r="O46" i="10"/>
  <c r="Q46" i="10" s="1"/>
  <c r="O45" i="10"/>
  <c r="Q45" i="10" s="1"/>
  <c r="O44" i="10"/>
  <c r="Q44" i="10" s="1"/>
  <c r="O43" i="10"/>
  <c r="Q43" i="10" s="1"/>
  <c r="O42" i="10"/>
  <c r="Q42" i="10" s="1"/>
  <c r="O41" i="10"/>
  <c r="Q41" i="10" s="1"/>
  <c r="O40" i="10"/>
  <c r="Q40" i="10" s="1"/>
  <c r="O39" i="10"/>
  <c r="Q39" i="10" s="1"/>
  <c r="O38" i="10"/>
  <c r="Q38" i="10" s="1"/>
  <c r="O37" i="10"/>
  <c r="Q37" i="10" s="1"/>
  <c r="O36" i="10"/>
  <c r="Q36" i="10" s="1"/>
  <c r="O35" i="10"/>
  <c r="Q35" i="10" s="1"/>
  <c r="O34" i="10"/>
  <c r="Q34" i="10" s="1"/>
  <c r="O33" i="10"/>
  <c r="Q33" i="10" s="1"/>
  <c r="O32" i="10"/>
  <c r="Q32" i="10" s="1"/>
  <c r="O31" i="10"/>
  <c r="Q31" i="10" s="1"/>
  <c r="O30" i="10"/>
  <c r="Q30" i="10" s="1"/>
  <c r="O29" i="10"/>
  <c r="Q29" i="10" s="1"/>
  <c r="O28" i="10"/>
  <c r="Q28" i="10" s="1"/>
  <c r="O27" i="10"/>
  <c r="Q27" i="10" s="1"/>
  <c r="O26" i="10"/>
  <c r="Q26" i="10" s="1"/>
  <c r="O25" i="10"/>
  <c r="Q25" i="10" s="1"/>
  <c r="O24" i="10"/>
  <c r="Q24" i="10" s="1"/>
  <c r="O23" i="10"/>
  <c r="Q23" i="10" s="1"/>
  <c r="O22" i="10"/>
  <c r="Q22" i="10" s="1"/>
  <c r="O21" i="10"/>
  <c r="Q21" i="10" s="1"/>
  <c r="O20" i="10"/>
  <c r="Q20" i="10" s="1"/>
  <c r="O19" i="10"/>
  <c r="Q19" i="10" s="1"/>
  <c r="O18" i="10"/>
  <c r="Q18" i="10" s="1"/>
  <c r="O17" i="10"/>
  <c r="Q17" i="10" s="1"/>
  <c r="O16" i="10"/>
  <c r="Q16" i="10" s="1"/>
  <c r="O15" i="10"/>
  <c r="Q15" i="10" s="1"/>
  <c r="O14" i="10"/>
  <c r="Q14" i="10" s="1"/>
  <c r="O13" i="10"/>
  <c r="Q13" i="10" s="1"/>
  <c r="O12" i="10"/>
  <c r="Q12" i="10" s="1"/>
  <c r="O11" i="10"/>
  <c r="Q11" i="10" s="1"/>
  <c r="O10" i="10"/>
  <c r="Q10" i="10" s="1"/>
  <c r="O9" i="10"/>
  <c r="Q9" i="10" s="1"/>
  <c r="O8" i="10"/>
  <c r="Q8" i="10" s="1"/>
  <c r="O7" i="10"/>
  <c r="Q7" i="10" s="1"/>
  <c r="I59" i="5"/>
  <c r="J58" i="4"/>
  <c r="AJ58" i="4" s="1"/>
  <c r="E111" i="6"/>
  <c r="I58" i="7"/>
  <c r="S58" i="4"/>
  <c r="L58" i="7"/>
  <c r="P58" i="7"/>
  <c r="F58" i="4"/>
  <c r="E164" i="5"/>
  <c r="D58" i="7"/>
  <c r="G100" i="5"/>
  <c r="G58" i="4"/>
  <c r="L162" i="5"/>
  <c r="AH58" i="4"/>
  <c r="I163" i="5"/>
  <c r="N58" i="7"/>
  <c r="J111" i="6"/>
  <c r="H111" i="6"/>
  <c r="M110" i="6"/>
  <c r="K111" i="6"/>
  <c r="C110" i="6"/>
  <c r="D110" i="6"/>
  <c r="P110" i="6"/>
  <c r="M111" i="6"/>
  <c r="K110" i="6"/>
  <c r="L110" i="6"/>
  <c r="N110" i="6"/>
  <c r="L111" i="6"/>
  <c r="E110" i="6"/>
  <c r="N111" i="6"/>
  <c r="F110" i="6"/>
  <c r="C111" i="6"/>
  <c r="G110" i="6"/>
  <c r="D111" i="6"/>
  <c r="P111" i="6"/>
  <c r="H110" i="6"/>
  <c r="K163" i="5"/>
  <c r="I164" i="5"/>
  <c r="D162" i="5"/>
  <c r="P162" i="5"/>
  <c r="J164" i="5"/>
  <c r="E162" i="5"/>
  <c r="N163" i="5"/>
  <c r="K164" i="5"/>
  <c r="M162" i="5"/>
  <c r="J163" i="5"/>
  <c r="G164" i="5"/>
  <c r="N162" i="5"/>
  <c r="H164" i="5"/>
  <c r="C162" i="5"/>
  <c r="L163" i="5"/>
  <c r="M163" i="5"/>
  <c r="F162" i="5"/>
  <c r="C163" i="5"/>
  <c r="L164" i="5"/>
  <c r="G162" i="5"/>
  <c r="D163" i="5"/>
  <c r="P163" i="5"/>
  <c r="M164" i="5"/>
  <c r="H162" i="5"/>
  <c r="E163" i="5"/>
  <c r="N164" i="5"/>
  <c r="I162" i="5"/>
  <c r="F163" i="5"/>
  <c r="C164" i="5"/>
  <c r="J162" i="5"/>
  <c r="G163" i="5"/>
  <c r="D164" i="5"/>
  <c r="P164" i="5"/>
  <c r="K162" i="5"/>
  <c r="H163" i="5"/>
  <c r="L58" i="4"/>
  <c r="X58" i="4"/>
  <c r="AK58" i="4" s="1"/>
  <c r="N58" i="4"/>
  <c r="Z58" i="4"/>
  <c r="M58" i="4"/>
  <c r="C58" i="4"/>
  <c r="AA58" i="4"/>
  <c r="Y58" i="4"/>
  <c r="D58" i="4"/>
  <c r="AD58" i="4" s="1"/>
  <c r="P58" i="4"/>
  <c r="E58" i="4"/>
  <c r="AE58" i="4" s="1"/>
  <c r="H105" i="5"/>
  <c r="I64" i="5"/>
  <c r="L99" i="5"/>
  <c r="E95" i="5"/>
  <c r="N94" i="5"/>
  <c r="D94" i="5"/>
  <c r="M93" i="5"/>
  <c r="N79" i="5"/>
  <c r="F77" i="5"/>
  <c r="E77" i="5"/>
  <c r="P75" i="5"/>
  <c r="G73" i="5"/>
  <c r="Q41" i="4"/>
  <c r="N36" i="4"/>
  <c r="V39" i="4"/>
  <c r="AA31" i="4"/>
  <c r="I39" i="4"/>
  <c r="J31" i="4"/>
  <c r="V43" i="4"/>
  <c r="U38" i="4"/>
  <c r="D31" i="4"/>
  <c r="S43" i="4"/>
  <c r="R38" i="4"/>
  <c r="X27" i="4"/>
  <c r="Q43" i="4"/>
  <c r="M38" i="4"/>
  <c r="J43" i="4"/>
  <c r="V37" i="4"/>
  <c r="G43" i="4"/>
  <c r="L37" i="4"/>
  <c r="E43" i="4"/>
  <c r="I37" i="4"/>
  <c r="S42" i="4"/>
  <c r="D37" i="4"/>
  <c r="H42" i="4"/>
  <c r="AA36" i="4"/>
  <c r="M98" i="5"/>
  <c r="D97" i="5"/>
  <c r="F62" i="5"/>
  <c r="K47" i="5"/>
  <c r="F103" i="6"/>
  <c r="M88" i="6"/>
  <c r="M61" i="6"/>
  <c r="L36" i="4"/>
  <c r="J98" i="5"/>
  <c r="C97" i="5"/>
  <c r="E62" i="5"/>
  <c r="H46" i="5"/>
  <c r="P105" i="6"/>
  <c r="P102" i="6"/>
  <c r="K88" i="6"/>
  <c r="C57" i="7"/>
  <c r="Y40" i="4"/>
  <c r="F38" i="4"/>
  <c r="P34" i="4"/>
  <c r="J30" i="4"/>
  <c r="I98" i="5"/>
  <c r="P96" i="5"/>
  <c r="I93" i="5"/>
  <c r="M75" i="5"/>
  <c r="P61" i="5"/>
  <c r="E45" i="5"/>
  <c r="L105" i="6"/>
  <c r="N102" i="6"/>
  <c r="J88" i="6"/>
  <c r="K41" i="6"/>
  <c r="P56" i="7"/>
  <c r="L41" i="4"/>
  <c r="S40" i="4"/>
  <c r="AA37" i="4"/>
  <c r="AN37" i="4" s="1"/>
  <c r="J34" i="4"/>
  <c r="AA29" i="4"/>
  <c r="D103" i="5"/>
  <c r="G98" i="5"/>
  <c r="N96" i="5"/>
  <c r="J83" i="5"/>
  <c r="L75" i="5"/>
  <c r="I61" i="5"/>
  <c r="E41" i="5"/>
  <c r="J105" i="6"/>
  <c r="D102" i="6"/>
  <c r="F88" i="6"/>
  <c r="M40" i="6"/>
  <c r="J56" i="7"/>
  <c r="N41" i="4"/>
  <c r="W34" i="4"/>
  <c r="AA30" i="4"/>
  <c r="Q40" i="4"/>
  <c r="X37" i="4"/>
  <c r="H34" i="4"/>
  <c r="Y29" i="4"/>
  <c r="L101" i="5"/>
  <c r="F98" i="5"/>
  <c r="K96" i="5"/>
  <c r="J82" i="5"/>
  <c r="G61" i="5"/>
  <c r="E105" i="6"/>
  <c r="C102" i="6"/>
  <c r="C85" i="6"/>
  <c r="J40" i="6"/>
  <c r="H56" i="7"/>
  <c r="G40" i="4"/>
  <c r="V33" i="4"/>
  <c r="C29" i="4"/>
  <c r="F101" i="5"/>
  <c r="E98" i="5"/>
  <c r="I96" i="5"/>
  <c r="M81" i="5"/>
  <c r="F61" i="5"/>
  <c r="P24" i="5"/>
  <c r="M104" i="6"/>
  <c r="P101" i="6"/>
  <c r="K84" i="6"/>
  <c r="C40" i="6"/>
  <c r="P54" i="7"/>
  <c r="V42" i="4"/>
  <c r="D40" i="4"/>
  <c r="S33" i="4"/>
  <c r="K28" i="4"/>
  <c r="J100" i="5"/>
  <c r="D98" i="5"/>
  <c r="H96" i="5"/>
  <c r="J80" i="5"/>
  <c r="F65" i="5"/>
  <c r="N60" i="5"/>
  <c r="E24" i="5"/>
  <c r="J104" i="6"/>
  <c r="K100" i="6"/>
  <c r="H84" i="6"/>
  <c r="I17" i="6"/>
  <c r="F53" i="7"/>
  <c r="M97" i="5"/>
  <c r="D96" i="5"/>
  <c r="K60" i="5"/>
  <c r="P150" i="5"/>
  <c r="H104" i="6"/>
  <c r="E100" i="6"/>
  <c r="C81" i="6"/>
  <c r="D16" i="6"/>
  <c r="G47" i="7"/>
  <c r="P99" i="5"/>
  <c r="K97" i="5"/>
  <c r="C96" i="5"/>
  <c r="L79" i="5"/>
  <c r="J60" i="5"/>
  <c r="G104" i="6"/>
  <c r="N89" i="6"/>
  <c r="F65" i="6"/>
  <c r="H42" i="7"/>
  <c r="I97" i="5"/>
  <c r="L78" i="5"/>
  <c r="P62" i="5"/>
  <c r="I60" i="5"/>
  <c r="K103" i="6"/>
  <c r="L89" i="6"/>
  <c r="E65" i="6"/>
  <c r="G31" i="7"/>
  <c r="C42" i="4"/>
  <c r="Z41" i="4"/>
  <c r="AM41" i="4" s="1"/>
  <c r="G39" i="4"/>
  <c r="Q36" i="4"/>
  <c r="AD36" i="4" s="1"/>
  <c r="Y31" i="4"/>
  <c r="G97" i="5"/>
  <c r="C95" i="5"/>
  <c r="H62" i="5"/>
  <c r="H60" i="5"/>
  <c r="I103" i="6"/>
  <c r="J89" i="6"/>
  <c r="M64" i="6"/>
  <c r="E17" i="7"/>
  <c r="N98" i="5"/>
  <c r="F97" i="5"/>
  <c r="G62" i="5"/>
  <c r="G103" i="6"/>
  <c r="F89" i="6"/>
  <c r="C64" i="6"/>
  <c r="K7" i="7"/>
  <c r="I35" i="4"/>
  <c r="U35" i="4"/>
  <c r="J35" i="4"/>
  <c r="V35" i="4"/>
  <c r="K35" i="4"/>
  <c r="W35" i="4"/>
  <c r="Y35" i="4"/>
  <c r="G35" i="4"/>
  <c r="F57" i="4"/>
  <c r="H57" i="4"/>
  <c r="U57" i="4"/>
  <c r="D57" i="4"/>
  <c r="S57" i="4"/>
  <c r="E57" i="4"/>
  <c r="T57" i="4"/>
  <c r="K57" i="4"/>
  <c r="Y57" i="4"/>
  <c r="L57" i="4"/>
  <c r="Z57" i="4"/>
  <c r="M57" i="4"/>
  <c r="AA57" i="4"/>
  <c r="C57" i="4"/>
  <c r="R57" i="4"/>
  <c r="Q57" i="4"/>
  <c r="W57" i="4"/>
  <c r="X57" i="4"/>
  <c r="I57" i="4"/>
  <c r="J57" i="4"/>
  <c r="P57" i="4"/>
  <c r="G57" i="4"/>
  <c r="N57" i="4"/>
  <c r="V57" i="4"/>
  <c r="F45" i="4"/>
  <c r="S45" i="4"/>
  <c r="I45" i="4"/>
  <c r="V45" i="4"/>
  <c r="K45" i="4"/>
  <c r="X45" i="4"/>
  <c r="P45" i="4"/>
  <c r="Q45" i="4"/>
  <c r="E45" i="4"/>
  <c r="W45" i="4"/>
  <c r="G45" i="4"/>
  <c r="Y45" i="4"/>
  <c r="H45" i="4"/>
  <c r="Z45" i="4"/>
  <c r="N45" i="4"/>
  <c r="C45" i="4"/>
  <c r="D45" i="4"/>
  <c r="J45" i="4"/>
  <c r="L45" i="4"/>
  <c r="R45" i="4"/>
  <c r="T45" i="4"/>
  <c r="U45" i="4"/>
  <c r="M45" i="4"/>
  <c r="AA45" i="4"/>
  <c r="C33" i="4"/>
  <c r="AA33" i="4"/>
  <c r="AN33" i="4" s="1"/>
  <c r="D33" i="4"/>
  <c r="P33" i="4"/>
  <c r="E33" i="4"/>
  <c r="Q33" i="4"/>
  <c r="F21" i="4"/>
  <c r="R21" i="4"/>
  <c r="K21" i="4"/>
  <c r="W21" i="4"/>
  <c r="C21" i="4"/>
  <c r="AA21" i="4"/>
  <c r="H21" i="4"/>
  <c r="X21" i="4"/>
  <c r="I21" i="4"/>
  <c r="Y21" i="4"/>
  <c r="J21" i="4"/>
  <c r="Z21" i="4"/>
  <c r="L21" i="4"/>
  <c r="M21" i="4"/>
  <c r="N21" i="4"/>
  <c r="Q21" i="4"/>
  <c r="S21" i="4"/>
  <c r="D21" i="4"/>
  <c r="T21" i="4"/>
  <c r="G21" i="4"/>
  <c r="V21" i="4"/>
  <c r="H9" i="4"/>
  <c r="T9" i="4"/>
  <c r="M9" i="4"/>
  <c r="Y9" i="4"/>
  <c r="C9" i="4"/>
  <c r="AA9" i="4"/>
  <c r="G9" i="4"/>
  <c r="S9" i="4"/>
  <c r="L9" i="4"/>
  <c r="P9" i="4"/>
  <c r="Q9" i="4"/>
  <c r="R9" i="4"/>
  <c r="U9" i="4"/>
  <c r="F9" i="4"/>
  <c r="X9" i="4"/>
  <c r="I9" i="4"/>
  <c r="Z9" i="4"/>
  <c r="D9" i="4"/>
  <c r="E9" i="4"/>
  <c r="J9" i="4"/>
  <c r="K9" i="4"/>
  <c r="N9" i="4"/>
  <c r="V9" i="4"/>
  <c r="W9" i="4"/>
  <c r="T43" i="4"/>
  <c r="AG43" i="4" s="1"/>
  <c r="H43" i="4"/>
  <c r="T42" i="4"/>
  <c r="E42" i="4"/>
  <c r="T40" i="4"/>
  <c r="E40" i="4"/>
  <c r="J39" i="4"/>
  <c r="S38" i="4"/>
  <c r="AF38" i="4" s="1"/>
  <c r="Y37" i="4"/>
  <c r="AL37" i="4" s="1"/>
  <c r="J37" i="4"/>
  <c r="T35" i="4"/>
  <c r="E35" i="4"/>
  <c r="K34" i="4"/>
  <c r="T33" i="4"/>
  <c r="AG33" i="4" s="1"/>
  <c r="Y32" i="4"/>
  <c r="K30" i="4"/>
  <c r="AK30" i="4" s="1"/>
  <c r="I29" i="4"/>
  <c r="T28" i="4"/>
  <c r="I22" i="4"/>
  <c r="L23" i="4"/>
  <c r="AL23" i="4" s="1"/>
  <c r="X23" i="4"/>
  <c r="E23" i="4"/>
  <c r="Q23" i="4"/>
  <c r="I23" i="4"/>
  <c r="U23" i="4"/>
  <c r="J23" i="4"/>
  <c r="Z23" i="4"/>
  <c r="M23" i="4"/>
  <c r="N23" i="4"/>
  <c r="P23" i="4"/>
  <c r="C23" i="4"/>
  <c r="S23" i="4"/>
  <c r="D23" i="4"/>
  <c r="T23" i="4"/>
  <c r="F23" i="4"/>
  <c r="V23" i="4"/>
  <c r="K56" i="4"/>
  <c r="X56" i="4"/>
  <c r="M56" i="4"/>
  <c r="Z56" i="4"/>
  <c r="E56" i="4"/>
  <c r="T56" i="4"/>
  <c r="F56" i="4"/>
  <c r="U56" i="4"/>
  <c r="J56" i="4"/>
  <c r="AA56" i="4"/>
  <c r="L56" i="4"/>
  <c r="N56" i="4"/>
  <c r="D56" i="4"/>
  <c r="S56" i="4"/>
  <c r="R56" i="4"/>
  <c r="W56" i="4"/>
  <c r="Y56" i="4"/>
  <c r="H56" i="4"/>
  <c r="I56" i="4"/>
  <c r="Q56" i="4"/>
  <c r="C56" i="4"/>
  <c r="G56" i="4"/>
  <c r="P56" i="4"/>
  <c r="V56" i="4"/>
  <c r="D32" i="4"/>
  <c r="E32" i="4"/>
  <c r="Q32" i="4"/>
  <c r="F32" i="4"/>
  <c r="R32" i="4"/>
  <c r="G32" i="4"/>
  <c r="S32" i="4"/>
  <c r="H20" i="4"/>
  <c r="T20" i="4"/>
  <c r="M20" i="4"/>
  <c r="Y20" i="4"/>
  <c r="E20" i="4"/>
  <c r="Q20" i="4"/>
  <c r="N20" i="4"/>
  <c r="P20" i="4"/>
  <c r="R20" i="4"/>
  <c r="C20" i="4"/>
  <c r="S20" i="4"/>
  <c r="D20" i="4"/>
  <c r="U20" i="4"/>
  <c r="G20" i="4"/>
  <c r="AG20" i="4" s="1"/>
  <c r="W20" i="4"/>
  <c r="I20" i="4"/>
  <c r="X20" i="4"/>
  <c r="J20" i="4"/>
  <c r="Z20" i="4"/>
  <c r="L20" i="4"/>
  <c r="W23" i="4"/>
  <c r="D55" i="4"/>
  <c r="Q55" i="4"/>
  <c r="F55" i="4"/>
  <c r="S55" i="4"/>
  <c r="E55" i="4"/>
  <c r="U55" i="4"/>
  <c r="G55" i="4"/>
  <c r="V55" i="4"/>
  <c r="K55" i="4"/>
  <c r="Z55" i="4"/>
  <c r="L55" i="4"/>
  <c r="AA55" i="4"/>
  <c r="M55" i="4"/>
  <c r="C55" i="4"/>
  <c r="T55" i="4"/>
  <c r="R55" i="4"/>
  <c r="X55" i="4"/>
  <c r="Y55" i="4"/>
  <c r="I55" i="4"/>
  <c r="J55" i="4"/>
  <c r="P55" i="4"/>
  <c r="N55" i="4"/>
  <c r="W55" i="4"/>
  <c r="H55" i="4"/>
  <c r="M31" i="4"/>
  <c r="E31" i="4"/>
  <c r="R31" i="4"/>
  <c r="F31" i="4"/>
  <c r="S31" i="4"/>
  <c r="G31" i="4"/>
  <c r="T31" i="4"/>
  <c r="H31" i="4"/>
  <c r="U31" i="4"/>
  <c r="K19" i="4"/>
  <c r="W19" i="4"/>
  <c r="I19" i="4"/>
  <c r="V19" i="4"/>
  <c r="L19" i="4"/>
  <c r="Y19" i="4"/>
  <c r="F19" i="4"/>
  <c r="S19" i="4"/>
  <c r="R19" i="4"/>
  <c r="T19" i="4"/>
  <c r="C19" i="4"/>
  <c r="U19" i="4"/>
  <c r="D19" i="4"/>
  <c r="X19" i="4"/>
  <c r="E19" i="4"/>
  <c r="Z19" i="4"/>
  <c r="G19" i="4"/>
  <c r="AA19" i="4"/>
  <c r="J19" i="4"/>
  <c r="M19" i="4"/>
  <c r="N19" i="4"/>
  <c r="Q19" i="4"/>
  <c r="G7" i="4"/>
  <c r="M7" i="4"/>
  <c r="Y7" i="4"/>
  <c r="N7" i="4"/>
  <c r="Z7" i="4"/>
  <c r="E7" i="4"/>
  <c r="R7" i="4"/>
  <c r="F7" i="4"/>
  <c r="S7" i="4"/>
  <c r="H7" i="4"/>
  <c r="T7" i="4"/>
  <c r="L7" i="4"/>
  <c r="X7" i="4"/>
  <c r="W7" i="4"/>
  <c r="C7" i="4"/>
  <c r="D7" i="4"/>
  <c r="I7" i="4"/>
  <c r="J7" i="4"/>
  <c r="P7" i="4"/>
  <c r="Q7" i="4"/>
  <c r="U7" i="4"/>
  <c r="V7" i="4"/>
  <c r="AA7" i="4"/>
  <c r="K7" i="4"/>
  <c r="R43" i="4"/>
  <c r="AE43" i="4" s="1"/>
  <c r="F43" i="4"/>
  <c r="AF43" i="4" s="1"/>
  <c r="Q42" i="4"/>
  <c r="AA41" i="4"/>
  <c r="R40" i="4"/>
  <c r="C40" i="4"/>
  <c r="Z39" i="4"/>
  <c r="H39" i="4"/>
  <c r="Q38" i="4"/>
  <c r="W37" i="4"/>
  <c r="H37" i="4"/>
  <c r="M36" i="4"/>
  <c r="R35" i="4"/>
  <c r="C35" i="4"/>
  <c r="AA34" i="4"/>
  <c r="I34" i="4"/>
  <c r="R33" i="4"/>
  <c r="W32" i="4"/>
  <c r="AJ32" i="4" s="1"/>
  <c r="H32" i="4"/>
  <c r="Z31" i="4"/>
  <c r="I31" i="4"/>
  <c r="Z30" i="4"/>
  <c r="I30" i="4"/>
  <c r="Z29" i="4"/>
  <c r="M28" i="4"/>
  <c r="U27" i="4"/>
  <c r="R23" i="4"/>
  <c r="H19" i="4"/>
  <c r="T27" i="4"/>
  <c r="Y26" i="4"/>
  <c r="AA25" i="4"/>
  <c r="U24" i="4"/>
  <c r="K23" i="4"/>
  <c r="U21" i="4"/>
  <c r="K44" i="4"/>
  <c r="X44" i="4"/>
  <c r="N44" i="4"/>
  <c r="AA44" i="4"/>
  <c r="D44" i="4"/>
  <c r="Q44" i="4"/>
  <c r="L44" i="4"/>
  <c r="M44" i="4"/>
  <c r="C44" i="4"/>
  <c r="T44" i="4"/>
  <c r="E44" i="4"/>
  <c r="U44" i="4"/>
  <c r="F44" i="4"/>
  <c r="V44" i="4"/>
  <c r="J44" i="4"/>
  <c r="Z44" i="4"/>
  <c r="G44" i="4"/>
  <c r="H44" i="4"/>
  <c r="P44" i="4"/>
  <c r="R44" i="4"/>
  <c r="S44" i="4"/>
  <c r="Y44" i="4"/>
  <c r="I44" i="4"/>
  <c r="W44" i="4"/>
  <c r="J8" i="4"/>
  <c r="V8" i="4"/>
  <c r="K8" i="4"/>
  <c r="AK8" i="4" s="1"/>
  <c r="W8" i="4"/>
  <c r="C8" i="4"/>
  <c r="AA8" i="4"/>
  <c r="D8" i="4"/>
  <c r="P8" i="4"/>
  <c r="E8" i="4"/>
  <c r="Q8" i="4"/>
  <c r="I8" i="4"/>
  <c r="U8" i="4"/>
  <c r="H8" i="4"/>
  <c r="M8" i="4"/>
  <c r="N8" i="4"/>
  <c r="R8" i="4"/>
  <c r="S8" i="4"/>
  <c r="Y8" i="4"/>
  <c r="Z8" i="4"/>
  <c r="F8" i="4"/>
  <c r="G8" i="4"/>
  <c r="L8" i="4"/>
  <c r="T8" i="4"/>
  <c r="Q35" i="4"/>
  <c r="G41" i="4"/>
  <c r="S41" i="4"/>
  <c r="H41" i="4"/>
  <c r="I41" i="4"/>
  <c r="U41" i="4"/>
  <c r="C17" i="4"/>
  <c r="AA17" i="4"/>
  <c r="E17" i="4"/>
  <c r="Q17" i="4"/>
  <c r="I17" i="4"/>
  <c r="U17" i="4"/>
  <c r="D17" i="4"/>
  <c r="T17" i="4"/>
  <c r="G17" i="4"/>
  <c r="W17" i="4"/>
  <c r="H17" i="4"/>
  <c r="X17" i="4"/>
  <c r="J17" i="4"/>
  <c r="Y17" i="4"/>
  <c r="K17" i="4"/>
  <c r="Z17" i="4"/>
  <c r="N17" i="4"/>
  <c r="P17" i="4"/>
  <c r="V17" i="4"/>
  <c r="F17" i="4"/>
  <c r="L17" i="4"/>
  <c r="M17" i="4"/>
  <c r="S17" i="4"/>
  <c r="D43" i="4"/>
  <c r="AD43" i="4" s="1"/>
  <c r="Y41" i="4"/>
  <c r="AL41" i="4" s="1"/>
  <c r="K41" i="4"/>
  <c r="U39" i="4"/>
  <c r="F39" i="4"/>
  <c r="L38" i="4"/>
  <c r="U37" i="4"/>
  <c r="C37" i="4"/>
  <c r="Z36" i="4"/>
  <c r="K36" i="4"/>
  <c r="P35" i="4"/>
  <c r="V34" i="4"/>
  <c r="G34" i="4"/>
  <c r="M33" i="4"/>
  <c r="U32" i="4"/>
  <c r="X31" i="4"/>
  <c r="AK31" i="4" s="1"/>
  <c r="C31" i="4"/>
  <c r="S27" i="4"/>
  <c r="T26" i="4"/>
  <c r="Z25" i="4"/>
  <c r="R24" i="4"/>
  <c r="AE24" i="4" s="1"/>
  <c r="H23" i="4"/>
  <c r="P21" i="4"/>
  <c r="N11" i="4"/>
  <c r="Z11" i="4"/>
  <c r="G11" i="4"/>
  <c r="S11" i="4"/>
  <c r="I11" i="4"/>
  <c r="U11" i="4"/>
  <c r="M11" i="4"/>
  <c r="Y11" i="4"/>
  <c r="F11" i="4"/>
  <c r="X11" i="4"/>
  <c r="J11" i="4"/>
  <c r="K11" i="4"/>
  <c r="L11" i="4"/>
  <c r="R11" i="4"/>
  <c r="C11" i="4"/>
  <c r="T11" i="4"/>
  <c r="D11" i="4"/>
  <c r="E11" i="4"/>
  <c r="H11" i="4"/>
  <c r="P11" i="4"/>
  <c r="Q11" i="4"/>
  <c r="V11" i="4"/>
  <c r="W11" i="4"/>
  <c r="AA11" i="4"/>
  <c r="I54" i="4"/>
  <c r="V54" i="4"/>
  <c r="K54" i="4"/>
  <c r="X54" i="4"/>
  <c r="E54" i="4"/>
  <c r="T54" i="4"/>
  <c r="F54" i="4"/>
  <c r="U54" i="4"/>
  <c r="L54" i="4"/>
  <c r="AA54" i="4"/>
  <c r="M54" i="4"/>
  <c r="N54" i="4"/>
  <c r="D54" i="4"/>
  <c r="S54" i="4"/>
  <c r="R54" i="4"/>
  <c r="Y54" i="4"/>
  <c r="Z54" i="4"/>
  <c r="H54" i="4"/>
  <c r="J54" i="4"/>
  <c r="Q54" i="4"/>
  <c r="C54" i="4"/>
  <c r="G54" i="4"/>
  <c r="P54" i="4"/>
  <c r="W54" i="4"/>
  <c r="D42" i="4"/>
  <c r="P42" i="4"/>
  <c r="F42" i="4"/>
  <c r="R42" i="4"/>
  <c r="D30" i="4"/>
  <c r="P30" i="4"/>
  <c r="E30" i="4"/>
  <c r="R30" i="4"/>
  <c r="F30" i="4"/>
  <c r="S30" i="4"/>
  <c r="G30" i="4"/>
  <c r="T30" i="4"/>
  <c r="H30" i="4"/>
  <c r="U30" i="4"/>
  <c r="N18" i="4"/>
  <c r="Z18" i="4"/>
  <c r="I18" i="4"/>
  <c r="V18" i="4"/>
  <c r="K18" i="4"/>
  <c r="X18" i="4"/>
  <c r="L18" i="4"/>
  <c r="Y18" i="4"/>
  <c r="M18" i="4"/>
  <c r="E18" i="4"/>
  <c r="F18" i="4"/>
  <c r="S18" i="4"/>
  <c r="Q18" i="4"/>
  <c r="R18" i="4"/>
  <c r="T18" i="4"/>
  <c r="U18" i="4"/>
  <c r="W18" i="4"/>
  <c r="AA18" i="4"/>
  <c r="D18" i="4"/>
  <c r="G18" i="4"/>
  <c r="H18" i="4"/>
  <c r="P18" i="4"/>
  <c r="J6" i="4"/>
  <c r="V6" i="4"/>
  <c r="M6" i="4"/>
  <c r="Z6" i="4"/>
  <c r="N6" i="4"/>
  <c r="AA6" i="4"/>
  <c r="E6" i="4"/>
  <c r="R6" i="4"/>
  <c r="F6" i="4"/>
  <c r="S6" i="4"/>
  <c r="G6" i="4"/>
  <c r="T6" i="4"/>
  <c r="L6" i="4"/>
  <c r="Y6" i="4"/>
  <c r="K6" i="4"/>
  <c r="P6" i="4"/>
  <c r="Q6" i="4"/>
  <c r="U6" i="4"/>
  <c r="W6" i="4"/>
  <c r="C6" i="4"/>
  <c r="D6" i="4"/>
  <c r="I6" i="4"/>
  <c r="H6" i="4"/>
  <c r="X6" i="4"/>
  <c r="V32" i="4"/>
  <c r="C30" i="4"/>
  <c r="L53" i="4"/>
  <c r="C53" i="4"/>
  <c r="P53" i="4"/>
  <c r="E53" i="4"/>
  <c r="R53" i="4"/>
  <c r="F53" i="4"/>
  <c r="V53" i="4"/>
  <c r="G53" i="4"/>
  <c r="W53" i="4"/>
  <c r="K53" i="4"/>
  <c r="AA53" i="4"/>
  <c r="M53" i="4"/>
  <c r="N53" i="4"/>
  <c r="D53" i="4"/>
  <c r="U53" i="4"/>
  <c r="T53" i="4"/>
  <c r="Y53" i="4"/>
  <c r="Z53" i="4"/>
  <c r="H53" i="4"/>
  <c r="I53" i="4"/>
  <c r="J53" i="4"/>
  <c r="AJ53" i="4" s="1"/>
  <c r="S53" i="4"/>
  <c r="Q53" i="4"/>
  <c r="X53" i="4"/>
  <c r="G29" i="4"/>
  <c r="S29" i="4"/>
  <c r="D29" i="4"/>
  <c r="Q29" i="4"/>
  <c r="E29" i="4"/>
  <c r="R29" i="4"/>
  <c r="F29" i="4"/>
  <c r="T29" i="4"/>
  <c r="H29" i="4"/>
  <c r="U29" i="4"/>
  <c r="K29" i="4"/>
  <c r="X29" i="4"/>
  <c r="P43" i="4"/>
  <c r="F52" i="4"/>
  <c r="S52" i="4"/>
  <c r="I52" i="4"/>
  <c r="V52" i="4"/>
  <c r="K52" i="4"/>
  <c r="X52" i="4"/>
  <c r="C52" i="4"/>
  <c r="T52" i="4"/>
  <c r="D52" i="4"/>
  <c r="U52" i="4"/>
  <c r="J52" i="4"/>
  <c r="AA52" i="4"/>
  <c r="L52" i="4"/>
  <c r="M52" i="4"/>
  <c r="R52" i="4"/>
  <c r="Q52" i="4"/>
  <c r="Y52" i="4"/>
  <c r="Z52" i="4"/>
  <c r="E52" i="4"/>
  <c r="G52" i="4"/>
  <c r="AG52" i="4" s="1"/>
  <c r="H52" i="4"/>
  <c r="P52" i="4"/>
  <c r="N52" i="4"/>
  <c r="W52" i="4"/>
  <c r="I40" i="4"/>
  <c r="U40" i="4"/>
  <c r="J40" i="4"/>
  <c r="V40" i="4"/>
  <c r="K40" i="4"/>
  <c r="W40" i="4"/>
  <c r="L28" i="4"/>
  <c r="I28" i="4"/>
  <c r="U28" i="4"/>
  <c r="N28" i="4"/>
  <c r="AA28" i="4"/>
  <c r="P28" i="4"/>
  <c r="C28" i="4"/>
  <c r="Q28" i="4"/>
  <c r="D28" i="4"/>
  <c r="R28" i="4"/>
  <c r="E28" i="4"/>
  <c r="S28" i="4"/>
  <c r="H28" i="4"/>
  <c r="W28" i="4"/>
  <c r="AJ28" i="4" s="1"/>
  <c r="E16" i="4"/>
  <c r="Q16" i="4"/>
  <c r="G16" i="4"/>
  <c r="S16" i="4"/>
  <c r="K16" i="4"/>
  <c r="W16" i="4"/>
  <c r="J16" i="4"/>
  <c r="Z16" i="4"/>
  <c r="M16" i="4"/>
  <c r="N16" i="4"/>
  <c r="P16" i="4"/>
  <c r="D16" i="4"/>
  <c r="U16" i="4"/>
  <c r="F16" i="4"/>
  <c r="V16" i="4"/>
  <c r="X16" i="4"/>
  <c r="Y16" i="4"/>
  <c r="AA16" i="4"/>
  <c r="C16" i="4"/>
  <c r="H16" i="4"/>
  <c r="I16" i="4"/>
  <c r="L16" i="4"/>
  <c r="T16" i="4"/>
  <c r="AA43" i="4"/>
  <c r="AA42" i="4"/>
  <c r="AN42" i="4" s="1"/>
  <c r="M42" i="4"/>
  <c r="X41" i="4"/>
  <c r="J41" i="4"/>
  <c r="T39" i="4"/>
  <c r="AG39" i="4" s="1"/>
  <c r="E39" i="4"/>
  <c r="K38" i="4"/>
  <c r="T37" i="4"/>
  <c r="Y36" i="4"/>
  <c r="AL36" i="4" s="1"/>
  <c r="J36" i="4"/>
  <c r="U34" i="4"/>
  <c r="AH34" i="4" s="1"/>
  <c r="F34" i="4"/>
  <c r="L33" i="4"/>
  <c r="T32" i="4"/>
  <c r="W31" i="4"/>
  <c r="AJ31" i="4" s="1"/>
  <c r="W30" i="4"/>
  <c r="AJ30" i="4" s="1"/>
  <c r="V29" i="4"/>
  <c r="G28" i="4"/>
  <c r="AG28" i="4" s="1"/>
  <c r="P27" i="4"/>
  <c r="R26" i="4"/>
  <c r="Y25" i="4"/>
  <c r="Q24" i="4"/>
  <c r="G23" i="4"/>
  <c r="AG23" i="4" s="1"/>
  <c r="E21" i="4"/>
  <c r="AE21" i="4" s="1"/>
  <c r="J18" i="4"/>
  <c r="D35" i="4"/>
  <c r="X32" i="4"/>
  <c r="C32" i="4"/>
  <c r="L51" i="4"/>
  <c r="Y51" i="4"/>
  <c r="C51" i="4"/>
  <c r="P51" i="4"/>
  <c r="E51" i="4"/>
  <c r="R51" i="4"/>
  <c r="S51" i="4"/>
  <c r="T51" i="4"/>
  <c r="H51" i="4"/>
  <c r="X51" i="4"/>
  <c r="I51" i="4"/>
  <c r="Z51" i="4"/>
  <c r="J51" i="4"/>
  <c r="AA51" i="4"/>
  <c r="Q51" i="4"/>
  <c r="N51" i="4"/>
  <c r="V51" i="4"/>
  <c r="W51" i="4"/>
  <c r="D51" i="4"/>
  <c r="F51" i="4"/>
  <c r="G51" i="4"/>
  <c r="M51" i="4"/>
  <c r="U51" i="4"/>
  <c r="C15" i="4"/>
  <c r="AA15" i="4"/>
  <c r="H15" i="4"/>
  <c r="T15" i="4"/>
  <c r="J15" i="4"/>
  <c r="V15" i="4"/>
  <c r="N15" i="4"/>
  <c r="Z15" i="4"/>
  <c r="M15" i="4"/>
  <c r="Q15" i="4"/>
  <c r="R15" i="4"/>
  <c r="S15" i="4"/>
  <c r="D15" i="4"/>
  <c r="U15" i="4"/>
  <c r="G15" i="4"/>
  <c r="Y15" i="4"/>
  <c r="I15" i="4"/>
  <c r="W15" i="4"/>
  <c r="X15" i="4"/>
  <c r="E15" i="4"/>
  <c r="F15" i="4"/>
  <c r="K15" i="4"/>
  <c r="P15" i="4"/>
  <c r="N43" i="4"/>
  <c r="Z42" i="4"/>
  <c r="L42" i="4"/>
  <c r="W41" i="4"/>
  <c r="F41" i="4"/>
  <c r="N40" i="4"/>
  <c r="S39" i="4"/>
  <c r="Y38" i="4"/>
  <c r="P37" i="4"/>
  <c r="X36" i="4"/>
  <c r="F36" i="4"/>
  <c r="N35" i="4"/>
  <c r="T34" i="4"/>
  <c r="E34" i="4"/>
  <c r="Z33" i="4"/>
  <c r="K33" i="4"/>
  <c r="P32" i="4"/>
  <c r="V31" i="4"/>
  <c r="V30" i="4"/>
  <c r="P29" i="4"/>
  <c r="F28" i="4"/>
  <c r="L24" i="4"/>
  <c r="C18" i="4"/>
  <c r="Y30" i="4"/>
  <c r="K39" i="4"/>
  <c r="W39" i="4"/>
  <c r="L39" i="4"/>
  <c r="X39" i="4"/>
  <c r="M39" i="4"/>
  <c r="Y39" i="4"/>
  <c r="N27" i="4"/>
  <c r="Z27" i="4"/>
  <c r="K27" i="4"/>
  <c r="W27" i="4"/>
  <c r="H27" i="4"/>
  <c r="AH27" i="4" s="1"/>
  <c r="V27" i="4"/>
  <c r="AI27" i="4" s="1"/>
  <c r="J27" i="4"/>
  <c r="Y27" i="4"/>
  <c r="L27" i="4"/>
  <c r="AA27" i="4"/>
  <c r="M27" i="4"/>
  <c r="C27" i="4"/>
  <c r="Q27" i="4"/>
  <c r="D27" i="4"/>
  <c r="R27" i="4"/>
  <c r="Z43" i="4"/>
  <c r="E50" i="4"/>
  <c r="R50" i="4"/>
  <c r="H50" i="4"/>
  <c r="U50" i="4"/>
  <c r="J50" i="4"/>
  <c r="W50" i="4"/>
  <c r="N50" i="4"/>
  <c r="P50" i="4"/>
  <c r="D50" i="4"/>
  <c r="V50" i="4"/>
  <c r="F50" i="4"/>
  <c r="X50" i="4"/>
  <c r="G50" i="4"/>
  <c r="Y50" i="4"/>
  <c r="M50" i="4"/>
  <c r="L50" i="4"/>
  <c r="S50" i="4"/>
  <c r="T50" i="4"/>
  <c r="Z50" i="4"/>
  <c r="AA50" i="4"/>
  <c r="C50" i="4"/>
  <c r="K50" i="4"/>
  <c r="I50" i="4"/>
  <c r="Q50" i="4"/>
  <c r="N38" i="4"/>
  <c r="Z38" i="4"/>
  <c r="AM38" i="4" s="1"/>
  <c r="C38" i="4"/>
  <c r="AA38" i="4"/>
  <c r="D38" i="4"/>
  <c r="P38" i="4"/>
  <c r="E26" i="4"/>
  <c r="Q26" i="4"/>
  <c r="N26" i="4"/>
  <c r="Z26" i="4"/>
  <c r="D26" i="4"/>
  <c r="S26" i="4"/>
  <c r="G26" i="4"/>
  <c r="U26" i="4"/>
  <c r="H26" i="4"/>
  <c r="V26" i="4"/>
  <c r="I26" i="4"/>
  <c r="W26" i="4"/>
  <c r="J26" i="4"/>
  <c r="X26" i="4"/>
  <c r="L26" i="4"/>
  <c r="AA26" i="4"/>
  <c r="M26" i="4"/>
  <c r="F14" i="4"/>
  <c r="R14" i="4"/>
  <c r="K14" i="4"/>
  <c r="W14" i="4"/>
  <c r="M14" i="4"/>
  <c r="Y14" i="4"/>
  <c r="E14" i="4"/>
  <c r="Q14" i="4"/>
  <c r="P14" i="4"/>
  <c r="T14" i="4"/>
  <c r="C14" i="4"/>
  <c r="U14" i="4"/>
  <c r="D14" i="4"/>
  <c r="V14" i="4"/>
  <c r="G14" i="4"/>
  <c r="X14" i="4"/>
  <c r="J14" i="4"/>
  <c r="L14" i="4"/>
  <c r="AL14" i="4" s="1"/>
  <c r="S14" i="4"/>
  <c r="Z14" i="4"/>
  <c r="AA14" i="4"/>
  <c r="H14" i="4"/>
  <c r="N14" i="4"/>
  <c r="Y43" i="4"/>
  <c r="M43" i="4"/>
  <c r="AM43" i="4" s="1"/>
  <c r="Y42" i="4"/>
  <c r="K42" i="4"/>
  <c r="V41" i="4"/>
  <c r="E41" i="4"/>
  <c r="M40" i="4"/>
  <c r="R39" i="4"/>
  <c r="C39" i="4"/>
  <c r="X38" i="4"/>
  <c r="I38" i="4"/>
  <c r="W36" i="4"/>
  <c r="E36" i="4"/>
  <c r="M35" i="4"/>
  <c r="S34" i="4"/>
  <c r="D34" i="4"/>
  <c r="AD34" i="4" s="1"/>
  <c r="Y33" i="4"/>
  <c r="J33" i="4"/>
  <c r="Q31" i="4"/>
  <c r="AD31" i="4" s="1"/>
  <c r="Q30" i="4"/>
  <c r="G27" i="4"/>
  <c r="AA20" i="4"/>
  <c r="R17" i="4"/>
  <c r="K51" i="4"/>
  <c r="H47" i="4"/>
  <c r="U47" i="4"/>
  <c r="K47" i="4"/>
  <c r="X47" i="4"/>
  <c r="M47" i="4"/>
  <c r="Z47" i="4"/>
  <c r="E47" i="4"/>
  <c r="V47" i="4"/>
  <c r="F47" i="4"/>
  <c r="W47" i="4"/>
  <c r="L47" i="4"/>
  <c r="N47" i="4"/>
  <c r="P47" i="4"/>
  <c r="D47" i="4"/>
  <c r="T47" i="4"/>
  <c r="C47" i="4"/>
  <c r="I47" i="4"/>
  <c r="J47" i="4"/>
  <c r="Q47" i="4"/>
  <c r="R47" i="4"/>
  <c r="Y47" i="4"/>
  <c r="AA47" i="4"/>
  <c r="S47" i="4"/>
  <c r="G47" i="4"/>
  <c r="I32" i="4"/>
  <c r="J49" i="4"/>
  <c r="W49" i="4"/>
  <c r="M49" i="4"/>
  <c r="Z49" i="4"/>
  <c r="C49" i="4"/>
  <c r="P49" i="4"/>
  <c r="K49" i="4"/>
  <c r="L49" i="4"/>
  <c r="S49" i="4"/>
  <c r="D49" i="4"/>
  <c r="T49" i="4"/>
  <c r="E49" i="4"/>
  <c r="U49" i="4"/>
  <c r="I49" i="4"/>
  <c r="AA49" i="4"/>
  <c r="H49" i="4"/>
  <c r="Q49" i="4"/>
  <c r="R49" i="4"/>
  <c r="V49" i="4"/>
  <c r="X49" i="4"/>
  <c r="G49" i="4"/>
  <c r="F49" i="4"/>
  <c r="N49" i="4"/>
  <c r="Y49" i="4"/>
  <c r="H25" i="4"/>
  <c r="T25" i="4"/>
  <c r="M25" i="4"/>
  <c r="E25" i="4"/>
  <c r="Q25" i="4"/>
  <c r="N25" i="4"/>
  <c r="P25" i="4"/>
  <c r="R25" i="4"/>
  <c r="C25" i="4"/>
  <c r="S25" i="4"/>
  <c r="D25" i="4"/>
  <c r="U25" i="4"/>
  <c r="G25" i="4"/>
  <c r="W25" i="4"/>
  <c r="I25" i="4"/>
  <c r="AI25" i="4" s="1"/>
  <c r="X25" i="4"/>
  <c r="J25" i="4"/>
  <c r="I13" i="4"/>
  <c r="U13" i="4"/>
  <c r="N13" i="4"/>
  <c r="Z13" i="4"/>
  <c r="D13" i="4"/>
  <c r="P13" i="4"/>
  <c r="H13" i="4"/>
  <c r="T13" i="4"/>
  <c r="S13" i="4"/>
  <c r="E13" i="4"/>
  <c r="W13" i="4"/>
  <c r="F13" i="4"/>
  <c r="X13" i="4"/>
  <c r="G13" i="4"/>
  <c r="Y13" i="4"/>
  <c r="J13" i="4"/>
  <c r="AA13" i="4"/>
  <c r="M13" i="4"/>
  <c r="L13" i="4"/>
  <c r="Q13" i="4"/>
  <c r="R13" i="4"/>
  <c r="V13" i="4"/>
  <c r="K13" i="4"/>
  <c r="X43" i="4"/>
  <c r="L43" i="4"/>
  <c r="X42" i="4"/>
  <c r="J42" i="4"/>
  <c r="T41" i="4"/>
  <c r="D41" i="4"/>
  <c r="AD41" i="4" s="1"/>
  <c r="AA40" i="4"/>
  <c r="L40" i="4"/>
  <c r="Q39" i="4"/>
  <c r="AD39" i="4" s="1"/>
  <c r="W38" i="4"/>
  <c r="AJ38" i="4" s="1"/>
  <c r="H38" i="4"/>
  <c r="AH38" i="4" s="1"/>
  <c r="V36" i="4"/>
  <c r="AA35" i="4"/>
  <c r="L35" i="4"/>
  <c r="R34" i="4"/>
  <c r="C34" i="4"/>
  <c r="X33" i="4"/>
  <c r="I33" i="4"/>
  <c r="AI33" i="4" s="1"/>
  <c r="N32" i="4"/>
  <c r="P31" i="4"/>
  <c r="N29" i="4"/>
  <c r="Z28" i="4"/>
  <c r="F27" i="4"/>
  <c r="K26" i="4"/>
  <c r="L25" i="4"/>
  <c r="V20" i="4"/>
  <c r="R16" i="4"/>
  <c r="S35" i="4"/>
  <c r="E37" i="4"/>
  <c r="Q37" i="4"/>
  <c r="AD37" i="4" s="1"/>
  <c r="F37" i="4"/>
  <c r="R37" i="4"/>
  <c r="G37" i="4"/>
  <c r="S37" i="4"/>
  <c r="C48" i="4"/>
  <c r="P48" i="4"/>
  <c r="F48" i="4"/>
  <c r="S48" i="4"/>
  <c r="H48" i="4"/>
  <c r="U48" i="4"/>
  <c r="I48" i="4"/>
  <c r="Y48" i="4"/>
  <c r="J48" i="4"/>
  <c r="Z48" i="4"/>
  <c r="N48" i="4"/>
  <c r="Q48" i="4"/>
  <c r="R48" i="4"/>
  <c r="G48" i="4"/>
  <c r="X48" i="4"/>
  <c r="E48" i="4"/>
  <c r="L48" i="4"/>
  <c r="M48" i="4"/>
  <c r="T48" i="4"/>
  <c r="V48" i="4"/>
  <c r="AA48" i="4"/>
  <c r="D48" i="4"/>
  <c r="K48" i="4"/>
  <c r="W48" i="4"/>
  <c r="G36" i="4"/>
  <c r="S36" i="4"/>
  <c r="H36" i="4"/>
  <c r="T36" i="4"/>
  <c r="I36" i="4"/>
  <c r="U36" i="4"/>
  <c r="J24" i="4"/>
  <c r="V24" i="4"/>
  <c r="C24" i="4"/>
  <c r="AA24" i="4"/>
  <c r="G24" i="4"/>
  <c r="S24" i="4"/>
  <c r="D24" i="4"/>
  <c r="T24" i="4"/>
  <c r="F24" i="4"/>
  <c r="W24" i="4"/>
  <c r="H24" i="4"/>
  <c r="X24" i="4"/>
  <c r="I24" i="4"/>
  <c r="Y24" i="4"/>
  <c r="K24" i="4"/>
  <c r="Z24" i="4"/>
  <c r="M24" i="4"/>
  <c r="N24" i="4"/>
  <c r="P24" i="4"/>
  <c r="K12" i="4"/>
  <c r="W12" i="4"/>
  <c r="D12" i="4"/>
  <c r="P12" i="4"/>
  <c r="F12" i="4"/>
  <c r="R12" i="4"/>
  <c r="J12" i="4"/>
  <c r="V12" i="4"/>
  <c r="C12" i="4"/>
  <c r="U12" i="4"/>
  <c r="G12" i="4"/>
  <c r="Y12" i="4"/>
  <c r="H12" i="4"/>
  <c r="Z12" i="4"/>
  <c r="I12" i="4"/>
  <c r="AA12" i="4"/>
  <c r="L12" i="4"/>
  <c r="Q12" i="4"/>
  <c r="E12" i="4"/>
  <c r="M12" i="4"/>
  <c r="N12" i="4"/>
  <c r="S12" i="4"/>
  <c r="T12" i="4"/>
  <c r="X12" i="4"/>
  <c r="W43" i="4"/>
  <c r="AJ43" i="4" s="1"/>
  <c r="K43" i="4"/>
  <c r="W42" i="4"/>
  <c r="I42" i="4"/>
  <c r="AI42" i="4" s="1"/>
  <c r="R41" i="4"/>
  <c r="C41" i="4"/>
  <c r="Z40" i="4"/>
  <c r="H40" i="4"/>
  <c r="P39" i="4"/>
  <c r="V38" i="4"/>
  <c r="G38" i="4"/>
  <c r="M37" i="4"/>
  <c r="R36" i="4"/>
  <c r="C36" i="4"/>
  <c r="Z35" i="4"/>
  <c r="H35" i="4"/>
  <c r="AH35" i="4" s="1"/>
  <c r="W33" i="4"/>
  <c r="H33" i="4"/>
  <c r="M32" i="4"/>
  <c r="N30" i="4"/>
  <c r="AN30" i="4" s="1"/>
  <c r="M29" i="4"/>
  <c r="AM29" i="4" s="1"/>
  <c r="Y28" i="4"/>
  <c r="E27" i="4"/>
  <c r="F26" i="4"/>
  <c r="K25" i="4"/>
  <c r="K20" i="4"/>
  <c r="AK20" i="4" s="1"/>
  <c r="L15" i="4"/>
  <c r="AA32" i="4"/>
  <c r="M30" i="4"/>
  <c r="AM30" i="4" s="1"/>
  <c r="X28" i="4"/>
  <c r="C26" i="4"/>
  <c r="F25" i="4"/>
  <c r="F20" i="4"/>
  <c r="AF20" i="4" s="1"/>
  <c r="I14" i="4"/>
  <c r="L32" i="4"/>
  <c r="N31" i="4"/>
  <c r="AN31" i="4" s="1"/>
  <c r="L29" i="4"/>
  <c r="AL29" i="4" s="1"/>
  <c r="M46" i="4"/>
  <c r="Z46" i="4"/>
  <c r="D46" i="4"/>
  <c r="Q46" i="4"/>
  <c r="F46" i="4"/>
  <c r="S46" i="4"/>
  <c r="T46" i="4"/>
  <c r="C46" i="4"/>
  <c r="U46" i="4"/>
  <c r="I46" i="4"/>
  <c r="Y46" i="4"/>
  <c r="J46" i="4"/>
  <c r="AA46" i="4"/>
  <c r="K46" i="4"/>
  <c r="R46" i="4"/>
  <c r="G46" i="4"/>
  <c r="H46" i="4"/>
  <c r="L46" i="4"/>
  <c r="N46" i="4"/>
  <c r="V46" i="4"/>
  <c r="W46" i="4"/>
  <c r="X46" i="4"/>
  <c r="E46" i="4"/>
  <c r="P46" i="4"/>
  <c r="L34" i="4"/>
  <c r="X34" i="4"/>
  <c r="M34" i="4"/>
  <c r="Y34" i="4"/>
  <c r="N34" i="4"/>
  <c r="Z34" i="4"/>
  <c r="C22" i="4"/>
  <c r="AA22" i="4"/>
  <c r="H22" i="4"/>
  <c r="T22" i="4"/>
  <c r="L22" i="4"/>
  <c r="AL22" i="4" s="1"/>
  <c r="X22" i="4"/>
  <c r="Q22" i="4"/>
  <c r="R22" i="4"/>
  <c r="D22" i="4"/>
  <c r="S22" i="4"/>
  <c r="E22" i="4"/>
  <c r="U22" i="4"/>
  <c r="F22" i="4"/>
  <c r="V22" i="4"/>
  <c r="G22" i="4"/>
  <c r="W22" i="4"/>
  <c r="J22" i="4"/>
  <c r="Z22" i="4"/>
  <c r="K22" i="4"/>
  <c r="M22" i="4"/>
  <c r="P22" i="4"/>
  <c r="E10" i="4"/>
  <c r="Q10" i="4"/>
  <c r="J10" i="4"/>
  <c r="V10" i="4"/>
  <c r="L10" i="4"/>
  <c r="X10" i="4"/>
  <c r="D10" i="4"/>
  <c r="P10" i="4"/>
  <c r="I10" i="4"/>
  <c r="AA10" i="4"/>
  <c r="M10" i="4"/>
  <c r="N10" i="4"/>
  <c r="R10" i="4"/>
  <c r="C10" i="4"/>
  <c r="U10" i="4"/>
  <c r="F10" i="4"/>
  <c r="W10" i="4"/>
  <c r="G10" i="4"/>
  <c r="H10" i="4"/>
  <c r="K10" i="4"/>
  <c r="S10" i="4"/>
  <c r="T10" i="4"/>
  <c r="Y10" i="4"/>
  <c r="Z10" i="4"/>
  <c r="U43" i="4"/>
  <c r="I43" i="4"/>
  <c r="AI43" i="4" s="1"/>
  <c r="U42" i="4"/>
  <c r="G42" i="4"/>
  <c r="P41" i="4"/>
  <c r="X40" i="4"/>
  <c r="F40" i="4"/>
  <c r="AF40" i="4" s="1"/>
  <c r="N39" i="4"/>
  <c r="AN39" i="4" s="1"/>
  <c r="T38" i="4"/>
  <c r="E38" i="4"/>
  <c r="Z37" i="4"/>
  <c r="K37" i="4"/>
  <c r="AK37" i="4" s="1"/>
  <c r="P36" i="4"/>
  <c r="X35" i="4"/>
  <c r="F35" i="4"/>
  <c r="U33" i="4"/>
  <c r="F33" i="4"/>
  <c r="Z32" i="4"/>
  <c r="K32" i="4"/>
  <c r="L31" i="4"/>
  <c r="AL31" i="4" s="1"/>
  <c r="L30" i="4"/>
  <c r="J29" i="4"/>
  <c r="AJ29" i="4" s="1"/>
  <c r="V28" i="4"/>
  <c r="AA23" i="4"/>
  <c r="N22" i="4"/>
  <c r="C13" i="4"/>
  <c r="D84" i="5"/>
  <c r="J86" i="5"/>
  <c r="K84" i="5"/>
  <c r="J85" i="5"/>
  <c r="G48" i="5"/>
  <c r="N48" i="5"/>
  <c r="I144" i="5"/>
  <c r="F144" i="5"/>
  <c r="J108" i="5"/>
  <c r="E108" i="5"/>
  <c r="L72" i="5"/>
  <c r="H72" i="5"/>
  <c r="H74" i="5"/>
  <c r="N72" i="5"/>
  <c r="D73" i="5"/>
  <c r="M73" i="5"/>
  <c r="C74" i="5"/>
  <c r="D72" i="5"/>
  <c r="F74" i="5"/>
  <c r="M72" i="5"/>
  <c r="P72" i="5"/>
  <c r="M74" i="5"/>
  <c r="N74" i="5"/>
  <c r="J72" i="5"/>
  <c r="G36" i="5"/>
  <c r="J36" i="5"/>
  <c r="P38" i="5"/>
  <c r="N36" i="5"/>
  <c r="I73" i="5"/>
  <c r="D105" i="5"/>
  <c r="J105" i="5"/>
  <c r="K69" i="5"/>
  <c r="D69" i="5"/>
  <c r="E70" i="5"/>
  <c r="P71" i="5"/>
  <c r="C70" i="5"/>
  <c r="D71" i="5"/>
  <c r="C34" i="5"/>
  <c r="F33" i="5"/>
  <c r="E35" i="5"/>
  <c r="C96" i="6"/>
  <c r="P96" i="6"/>
  <c r="K102" i="5"/>
  <c r="I103" i="5"/>
  <c r="P103" i="5"/>
  <c r="J104" i="5"/>
  <c r="F102" i="5"/>
  <c r="L102" i="5"/>
  <c r="N103" i="5"/>
  <c r="F104" i="5"/>
  <c r="K104" i="5"/>
  <c r="D102" i="5"/>
  <c r="G66" i="5"/>
  <c r="D68" i="5"/>
  <c r="E66" i="5"/>
  <c r="D67" i="5"/>
  <c r="G67" i="5"/>
  <c r="G68" i="5"/>
  <c r="M103" i="5"/>
  <c r="F69" i="5"/>
  <c r="P102" i="5"/>
  <c r="C102" i="5"/>
  <c r="E89" i="5"/>
  <c r="J87" i="5"/>
  <c r="N87" i="5"/>
  <c r="G88" i="5"/>
  <c r="P88" i="5"/>
  <c r="J89" i="5"/>
  <c r="I87" i="5"/>
  <c r="F87" i="5"/>
  <c r="C88" i="5"/>
  <c r="D88" i="5"/>
  <c r="C89" i="5"/>
  <c r="P89" i="5"/>
  <c r="G51" i="5"/>
  <c r="E51" i="5"/>
  <c r="H52" i="5"/>
  <c r="I17" i="5"/>
  <c r="F17" i="5"/>
  <c r="E87" i="5"/>
  <c r="K53" i="5"/>
  <c r="J149" i="5"/>
  <c r="M149" i="5"/>
  <c r="C75" i="5"/>
  <c r="H76" i="5"/>
  <c r="P77" i="5"/>
  <c r="E75" i="5"/>
  <c r="M76" i="5"/>
  <c r="I75" i="5"/>
  <c r="P76" i="5"/>
  <c r="N75" i="5"/>
  <c r="G77" i="5"/>
  <c r="F76" i="5"/>
  <c r="K77" i="5"/>
  <c r="G76" i="5"/>
  <c r="M77" i="5"/>
  <c r="G40" i="5"/>
  <c r="K40" i="5"/>
  <c r="F41" i="5"/>
  <c r="K41" i="5"/>
  <c r="E39" i="5"/>
  <c r="P41" i="5"/>
  <c r="J39" i="5"/>
  <c r="L39" i="5"/>
  <c r="F40" i="5"/>
  <c r="H40" i="5"/>
  <c r="J95" i="5"/>
  <c r="K76" i="5"/>
  <c r="G41" i="5"/>
  <c r="P100" i="6"/>
  <c r="P70" i="6"/>
  <c r="L59" i="5"/>
  <c r="P40" i="5"/>
  <c r="K70" i="6"/>
  <c r="N100" i="5"/>
  <c r="C99" i="5"/>
  <c r="H101" i="5"/>
  <c r="I99" i="5"/>
  <c r="M101" i="5"/>
  <c r="G63" i="5"/>
  <c r="F64" i="5"/>
  <c r="E65" i="5"/>
  <c r="H65" i="5"/>
  <c r="E101" i="5"/>
  <c r="H94" i="5"/>
  <c r="E79" i="5"/>
  <c r="G75" i="5"/>
  <c r="C59" i="5"/>
  <c r="M95" i="6"/>
  <c r="E23" i="6"/>
  <c r="H100" i="6"/>
  <c r="M101" i="6"/>
  <c r="L100" i="6"/>
  <c r="C101" i="6"/>
  <c r="D101" i="6"/>
  <c r="C100" i="6"/>
  <c r="E101" i="6"/>
  <c r="D100" i="6"/>
  <c r="F101" i="6"/>
  <c r="F100" i="6"/>
  <c r="I101" i="6"/>
  <c r="G100" i="6"/>
  <c r="J101" i="6"/>
  <c r="K76" i="6"/>
  <c r="M76" i="6"/>
  <c r="H77" i="6"/>
  <c r="I77" i="6"/>
  <c r="J77" i="6"/>
  <c r="M77" i="6"/>
  <c r="E76" i="6"/>
  <c r="I76" i="6"/>
  <c r="J76" i="6"/>
  <c r="P52" i="6"/>
  <c r="E52" i="6"/>
  <c r="L52" i="6"/>
  <c r="D53" i="6"/>
  <c r="K53" i="6"/>
  <c r="I29" i="6"/>
  <c r="F28" i="6"/>
  <c r="J28" i="6"/>
  <c r="D29" i="6"/>
  <c r="P29" i="6"/>
  <c r="L95" i="6"/>
  <c r="G93" i="5"/>
  <c r="M94" i="5"/>
  <c r="J93" i="5"/>
  <c r="D95" i="5"/>
  <c r="P93" i="5"/>
  <c r="F95" i="5"/>
  <c r="F94" i="5"/>
  <c r="L95" i="5"/>
  <c r="F93" i="5"/>
  <c r="L94" i="5"/>
  <c r="P58" i="5"/>
  <c r="C57" i="5"/>
  <c r="J59" i="5"/>
  <c r="I57" i="5"/>
  <c r="J57" i="5"/>
  <c r="M57" i="5"/>
  <c r="D58" i="5"/>
  <c r="J58" i="5"/>
  <c r="M58" i="5"/>
  <c r="H100" i="5"/>
  <c r="E94" i="5"/>
  <c r="E57" i="5"/>
  <c r="H95" i="6"/>
  <c r="J94" i="6"/>
  <c r="K95" i="6"/>
  <c r="M94" i="6"/>
  <c r="N95" i="6"/>
  <c r="N94" i="6"/>
  <c r="P95" i="6"/>
  <c r="P94" i="6"/>
  <c r="C95" i="6"/>
  <c r="C94" i="6"/>
  <c r="D95" i="6"/>
  <c r="D94" i="6"/>
  <c r="F95" i="6"/>
  <c r="F94" i="6"/>
  <c r="I95" i="6"/>
  <c r="G94" i="6"/>
  <c r="J95" i="6"/>
  <c r="P71" i="6"/>
  <c r="I70" i="6"/>
  <c r="D71" i="6"/>
  <c r="F71" i="6"/>
  <c r="G71" i="6"/>
  <c r="I71" i="6"/>
  <c r="L71" i="6"/>
  <c r="D70" i="6"/>
  <c r="E70" i="6"/>
  <c r="H46" i="6"/>
  <c r="P46" i="6"/>
  <c r="F47" i="6"/>
  <c r="I47" i="6"/>
  <c r="C22" i="6"/>
  <c r="H23" i="6"/>
  <c r="K94" i="6"/>
  <c r="E94" i="6"/>
  <c r="P95" i="5"/>
  <c r="H93" i="5"/>
  <c r="N76" i="5"/>
  <c r="J63" i="5"/>
  <c r="K148" i="5"/>
  <c r="N101" i="6"/>
  <c r="E77" i="6"/>
  <c r="L46" i="6"/>
  <c r="N78" i="5"/>
  <c r="M78" i="5"/>
  <c r="K79" i="5"/>
  <c r="F80" i="5"/>
  <c r="K80" i="5"/>
  <c r="M80" i="5"/>
  <c r="H42" i="5"/>
  <c r="N42" i="5"/>
  <c r="M6" i="5"/>
  <c r="P7" i="5"/>
  <c r="D99" i="5"/>
  <c r="K95" i="5"/>
  <c r="C93" i="5"/>
  <c r="L76" i="5"/>
  <c r="E63" i="5"/>
  <c r="G101" i="6"/>
  <c r="P76" i="6"/>
  <c r="I46" i="6"/>
  <c r="J62" i="5"/>
  <c r="P60" i="5"/>
  <c r="E26" i="5"/>
  <c r="I132" i="5"/>
  <c r="H105" i="6"/>
  <c r="H89" i="6"/>
  <c r="H88" i="6"/>
  <c r="E84" i="6"/>
  <c r="P64" i="6"/>
  <c r="J60" i="6"/>
  <c r="N41" i="6"/>
  <c r="E40" i="6"/>
  <c r="L17" i="6"/>
  <c r="G56" i="7"/>
  <c r="L54" i="7"/>
  <c r="P52" i="7"/>
  <c r="E47" i="7"/>
  <c r="M41" i="7"/>
  <c r="N30" i="7"/>
  <c r="G105" i="6"/>
  <c r="G89" i="6"/>
  <c r="G88" i="6"/>
  <c r="E81" i="6"/>
  <c r="N64" i="6"/>
  <c r="M41" i="6"/>
  <c r="D40" i="6"/>
  <c r="J17" i="6"/>
  <c r="J54" i="7"/>
  <c r="N52" i="7"/>
  <c r="L41" i="7"/>
  <c r="J30" i="7"/>
  <c r="M55" i="7"/>
  <c r="I54" i="7"/>
  <c r="H52" i="7"/>
  <c r="L43" i="7"/>
  <c r="K41" i="7"/>
  <c r="I30" i="7"/>
  <c r="C105" i="6"/>
  <c r="E89" i="6"/>
  <c r="E88" i="6"/>
  <c r="K80" i="6"/>
  <c r="N65" i="6"/>
  <c r="K64" i="6"/>
  <c r="J41" i="6"/>
  <c r="E36" i="6"/>
  <c r="C17" i="6"/>
  <c r="L55" i="7"/>
  <c r="H54" i="7"/>
  <c r="K43" i="7"/>
  <c r="F41" i="7"/>
  <c r="E29" i="7"/>
  <c r="D89" i="6"/>
  <c r="D88" i="6"/>
  <c r="H80" i="6"/>
  <c r="M65" i="6"/>
  <c r="I64" i="6"/>
  <c r="F41" i="6"/>
  <c r="P16" i="6"/>
  <c r="K55" i="7"/>
  <c r="D54" i="7"/>
  <c r="L49" i="7"/>
  <c r="G43" i="7"/>
  <c r="E41" i="7"/>
  <c r="L104" i="6"/>
  <c r="C89" i="6"/>
  <c r="C88" i="6"/>
  <c r="L65" i="6"/>
  <c r="H64" i="6"/>
  <c r="D41" i="6"/>
  <c r="N16" i="6"/>
  <c r="J55" i="7"/>
  <c r="C54" i="7"/>
  <c r="K49" i="7"/>
  <c r="F43" i="7"/>
  <c r="L37" i="7"/>
  <c r="K23" i="7"/>
  <c r="P97" i="5"/>
  <c r="M96" i="5"/>
  <c r="L83" i="5"/>
  <c r="J61" i="5"/>
  <c r="G60" i="5"/>
  <c r="K104" i="6"/>
  <c r="I102" i="6"/>
  <c r="P89" i="6"/>
  <c r="P88" i="6"/>
  <c r="E85" i="6"/>
  <c r="K65" i="6"/>
  <c r="G64" i="6"/>
  <c r="C41" i="6"/>
  <c r="L16" i="6"/>
  <c r="L57" i="7"/>
  <c r="I55" i="7"/>
  <c r="M53" i="7"/>
  <c r="F49" i="7"/>
  <c r="E43" i="7"/>
  <c r="K35" i="7"/>
  <c r="K19" i="7"/>
  <c r="J65" i="6"/>
  <c r="F64" i="6"/>
  <c r="P40" i="6"/>
  <c r="J16" i="6"/>
  <c r="G55" i="7"/>
  <c r="L53" i="7"/>
  <c r="N42" i="7"/>
  <c r="G35" i="7"/>
  <c r="N18" i="7"/>
  <c r="L97" i="5"/>
  <c r="J96" i="5"/>
  <c r="M82" i="5"/>
  <c r="H61" i="5"/>
  <c r="M105" i="6"/>
  <c r="I104" i="6"/>
  <c r="M89" i="6"/>
  <c r="L88" i="6"/>
  <c r="P84" i="6"/>
  <c r="G65" i="6"/>
  <c r="D64" i="6"/>
  <c r="N40" i="6"/>
  <c r="F16" i="6"/>
  <c r="F55" i="7"/>
  <c r="K53" i="7"/>
  <c r="L47" i="7"/>
  <c r="J42" i="7"/>
  <c r="F35" i="7"/>
  <c r="E55" i="7"/>
  <c r="G53" i="7"/>
  <c r="K47" i="7"/>
  <c r="I42" i="7"/>
  <c r="K31" i="7"/>
  <c r="K11" i="7"/>
  <c r="L98" i="5"/>
  <c r="H97" i="5"/>
  <c r="F96" i="5"/>
  <c r="J81" i="5"/>
  <c r="N62" i="5"/>
  <c r="C61" i="5"/>
  <c r="C134" i="5"/>
  <c r="I105" i="6"/>
  <c r="I89" i="6"/>
  <c r="I88" i="6"/>
  <c r="F84" i="6"/>
  <c r="N60" i="6"/>
  <c r="P41" i="6"/>
  <c r="I40" i="6"/>
  <c r="M17" i="6"/>
  <c r="N54" i="7"/>
  <c r="E53" i="7"/>
  <c r="F47" i="7"/>
  <c r="C42" i="7"/>
  <c r="F31" i="7"/>
  <c r="N6" i="7"/>
  <c r="G54" i="5"/>
  <c r="D55" i="5"/>
  <c r="I54" i="5"/>
  <c r="F55" i="5"/>
  <c r="C56" i="5"/>
  <c r="K54" i="5"/>
  <c r="H55" i="5"/>
  <c r="E56" i="5"/>
  <c r="F54" i="5"/>
  <c r="I66" i="5"/>
  <c r="F67" i="5"/>
  <c r="C68" i="5"/>
  <c r="K66" i="5"/>
  <c r="H67" i="5"/>
  <c r="E68" i="5"/>
  <c r="G30" i="5"/>
  <c r="D31" i="5"/>
  <c r="P31" i="5"/>
  <c r="M32" i="5"/>
  <c r="I30" i="5"/>
  <c r="F31" i="5"/>
  <c r="C32" i="5"/>
  <c r="J30" i="5"/>
  <c r="G31" i="5"/>
  <c r="D32" i="5"/>
  <c r="P32" i="5"/>
  <c r="K30" i="5"/>
  <c r="H31" i="5"/>
  <c r="E32" i="5"/>
  <c r="L30" i="5"/>
  <c r="I31" i="5"/>
  <c r="F32" i="5"/>
  <c r="N30" i="5"/>
  <c r="K31" i="5"/>
  <c r="H32" i="5"/>
  <c r="D30" i="5"/>
  <c r="P30" i="5"/>
  <c r="M31" i="5"/>
  <c r="J32" i="5"/>
  <c r="F30" i="5"/>
  <c r="C31" i="5"/>
  <c r="L32" i="5"/>
  <c r="N105" i="5"/>
  <c r="E104" i="5"/>
  <c r="H103" i="5"/>
  <c r="J102" i="5"/>
  <c r="E135" i="5"/>
  <c r="N136" i="5"/>
  <c r="K137" i="5"/>
  <c r="G135" i="5"/>
  <c r="E136" i="5"/>
  <c r="C137" i="5"/>
  <c r="P137" i="5"/>
  <c r="K135" i="5"/>
  <c r="J136" i="5"/>
  <c r="I137" i="5"/>
  <c r="F135" i="5"/>
  <c r="G136" i="5"/>
  <c r="G137" i="5"/>
  <c r="H135" i="5"/>
  <c r="H136" i="5"/>
  <c r="H137" i="5"/>
  <c r="J135" i="5"/>
  <c r="K136" i="5"/>
  <c r="L137" i="5"/>
  <c r="M135" i="5"/>
  <c r="M136" i="5"/>
  <c r="N137" i="5"/>
  <c r="N135" i="5"/>
  <c r="P135" i="5"/>
  <c r="I136" i="5"/>
  <c r="P136" i="5"/>
  <c r="D137" i="5"/>
  <c r="C135" i="5"/>
  <c r="E137" i="5"/>
  <c r="D135" i="5"/>
  <c r="F137" i="5"/>
  <c r="I135" i="5"/>
  <c r="J137" i="5"/>
  <c r="L135" i="5"/>
  <c r="M137" i="5"/>
  <c r="C136" i="5"/>
  <c r="F136" i="5"/>
  <c r="H99" i="5"/>
  <c r="E100" i="5"/>
  <c r="N101" i="5"/>
  <c r="F63" i="5"/>
  <c r="C64" i="5"/>
  <c r="L65" i="5"/>
  <c r="H63" i="5"/>
  <c r="E64" i="5"/>
  <c r="N65" i="5"/>
  <c r="L27" i="5"/>
  <c r="I28" i="5"/>
  <c r="M28" i="5"/>
  <c r="J29" i="5"/>
  <c r="D27" i="5"/>
  <c r="L29" i="5"/>
  <c r="E27" i="5"/>
  <c r="C28" i="5"/>
  <c r="P28" i="5"/>
  <c r="M29" i="5"/>
  <c r="F27" i="5"/>
  <c r="D28" i="5"/>
  <c r="N29" i="5"/>
  <c r="G27" i="5"/>
  <c r="E28" i="5"/>
  <c r="C29" i="5"/>
  <c r="H27" i="5"/>
  <c r="F28" i="5"/>
  <c r="D29" i="5"/>
  <c r="I27" i="5"/>
  <c r="G28" i="5"/>
  <c r="E29" i="5"/>
  <c r="K27" i="5"/>
  <c r="J28" i="5"/>
  <c r="G29" i="5"/>
  <c r="N27" i="5"/>
  <c r="L28" i="5"/>
  <c r="I29" i="5"/>
  <c r="M105" i="5"/>
  <c r="P104" i="5"/>
  <c r="D104" i="5"/>
  <c r="G103" i="5"/>
  <c r="I102" i="5"/>
  <c r="K101" i="5"/>
  <c r="M100" i="5"/>
  <c r="D91" i="5"/>
  <c r="F90" i="5"/>
  <c r="H89" i="5"/>
  <c r="J88" i="5"/>
  <c r="L87" i="5"/>
  <c r="N86" i="5"/>
  <c r="N84" i="5"/>
  <c r="P82" i="5"/>
  <c r="C81" i="5"/>
  <c r="C79" i="5"/>
  <c r="D78" i="5"/>
  <c r="I71" i="5"/>
  <c r="H70" i="5"/>
  <c r="I69" i="5"/>
  <c r="J68" i="5"/>
  <c r="K67" i="5"/>
  <c r="L66" i="5"/>
  <c r="K65" i="5"/>
  <c r="L64" i="5"/>
  <c r="M63" i="5"/>
  <c r="P53" i="5"/>
  <c r="J51" i="5"/>
  <c r="D49" i="5"/>
  <c r="M46" i="5"/>
  <c r="K129" i="5"/>
  <c r="H130" i="5"/>
  <c r="E131" i="5"/>
  <c r="N129" i="5"/>
  <c r="K130" i="5"/>
  <c r="H131" i="5"/>
  <c r="P129" i="5"/>
  <c r="N131" i="5"/>
  <c r="L129" i="5"/>
  <c r="M130" i="5"/>
  <c r="M131" i="5"/>
  <c r="C131" i="5"/>
  <c r="C130" i="5"/>
  <c r="D131" i="5"/>
  <c r="D129" i="5"/>
  <c r="E130" i="5"/>
  <c r="G131" i="5"/>
  <c r="F129" i="5"/>
  <c r="G130" i="5"/>
  <c r="J131" i="5"/>
  <c r="G129" i="5"/>
  <c r="I130" i="5"/>
  <c r="K131" i="5"/>
  <c r="I129" i="5"/>
  <c r="L130" i="5"/>
  <c r="D130" i="5"/>
  <c r="J130" i="5"/>
  <c r="N130" i="5"/>
  <c r="P130" i="5"/>
  <c r="C129" i="5"/>
  <c r="F131" i="5"/>
  <c r="E129" i="5"/>
  <c r="I131" i="5"/>
  <c r="J129" i="5"/>
  <c r="P131" i="5"/>
  <c r="N93" i="5"/>
  <c r="K94" i="5"/>
  <c r="H95" i="5"/>
  <c r="L57" i="5"/>
  <c r="I58" i="5"/>
  <c r="F59" i="5"/>
  <c r="N57" i="5"/>
  <c r="K58" i="5"/>
  <c r="H59" i="5"/>
  <c r="N21" i="5"/>
  <c r="K22" i="5"/>
  <c r="D21" i="5"/>
  <c r="L23" i="5"/>
  <c r="K21" i="5"/>
  <c r="J22" i="5"/>
  <c r="I23" i="5"/>
  <c r="M21" i="5"/>
  <c r="M22" i="5"/>
  <c r="K23" i="5"/>
  <c r="N22" i="5"/>
  <c r="M23" i="5"/>
  <c r="P21" i="5"/>
  <c r="P22" i="5"/>
  <c r="N23" i="5"/>
  <c r="C21" i="5"/>
  <c r="C22" i="5"/>
  <c r="E21" i="5"/>
  <c r="D22" i="5"/>
  <c r="C23" i="5"/>
  <c r="P23" i="5"/>
  <c r="F21" i="5"/>
  <c r="E22" i="5"/>
  <c r="D23" i="5"/>
  <c r="H21" i="5"/>
  <c r="G22" i="5"/>
  <c r="F23" i="5"/>
  <c r="J21" i="5"/>
  <c r="I22" i="5"/>
  <c r="H23" i="5"/>
  <c r="K105" i="5"/>
  <c r="N104" i="5"/>
  <c r="E103" i="5"/>
  <c r="G102" i="5"/>
  <c r="I101" i="5"/>
  <c r="K100" i="5"/>
  <c r="M99" i="5"/>
  <c r="G95" i="5"/>
  <c r="I94" i="5"/>
  <c r="K93" i="5"/>
  <c r="M92" i="5"/>
  <c r="D90" i="5"/>
  <c r="F89" i="5"/>
  <c r="H88" i="5"/>
  <c r="L86" i="5"/>
  <c r="K85" i="5"/>
  <c r="L84" i="5"/>
  <c r="M83" i="5"/>
  <c r="N82" i="5"/>
  <c r="N80" i="5"/>
  <c r="P78" i="5"/>
  <c r="C77" i="5"/>
  <c r="D74" i="5"/>
  <c r="E73" i="5"/>
  <c r="F72" i="5"/>
  <c r="E71" i="5"/>
  <c r="F70" i="5"/>
  <c r="G69" i="5"/>
  <c r="H68" i="5"/>
  <c r="I67" i="5"/>
  <c r="H66" i="5"/>
  <c r="I65" i="5"/>
  <c r="J64" i="5"/>
  <c r="K63" i="5"/>
  <c r="L62" i="5"/>
  <c r="K61" i="5"/>
  <c r="L60" i="5"/>
  <c r="M59" i="5"/>
  <c r="N58" i="5"/>
  <c r="N56" i="5"/>
  <c r="M53" i="5"/>
  <c r="I52" i="5"/>
  <c r="C50" i="5"/>
  <c r="P48" i="5"/>
  <c r="L47" i="5"/>
  <c r="J46" i="5"/>
  <c r="F45" i="5"/>
  <c r="D44" i="5"/>
  <c r="M41" i="5"/>
  <c r="I40" i="5"/>
  <c r="G39" i="5"/>
  <c r="C38" i="5"/>
  <c r="P36" i="5"/>
  <c r="J35" i="5"/>
  <c r="H33" i="5"/>
  <c r="E31" i="5"/>
  <c r="K28" i="5"/>
  <c r="C25" i="5"/>
  <c r="I21" i="5"/>
  <c r="P12" i="5"/>
  <c r="G8" i="5"/>
  <c r="C157" i="5"/>
  <c r="D136" i="5"/>
  <c r="I127" i="5"/>
  <c r="M12" i="5"/>
  <c r="P156" i="5"/>
  <c r="E159" i="5"/>
  <c r="N160" i="5"/>
  <c r="K161" i="5"/>
  <c r="D159" i="5"/>
  <c r="C160" i="5"/>
  <c r="P160" i="5"/>
  <c r="N161" i="5"/>
  <c r="F159" i="5"/>
  <c r="E160" i="5"/>
  <c r="D161" i="5"/>
  <c r="I159" i="5"/>
  <c r="H160" i="5"/>
  <c r="G161" i="5"/>
  <c r="K159" i="5"/>
  <c r="J160" i="5"/>
  <c r="I161" i="5"/>
  <c r="N159" i="5"/>
  <c r="C161" i="5"/>
  <c r="P159" i="5"/>
  <c r="F161" i="5"/>
  <c r="D160" i="5"/>
  <c r="H161" i="5"/>
  <c r="F160" i="5"/>
  <c r="J161" i="5"/>
  <c r="G160" i="5"/>
  <c r="L161" i="5"/>
  <c r="C159" i="5"/>
  <c r="I160" i="5"/>
  <c r="M161" i="5"/>
  <c r="G159" i="5"/>
  <c r="K160" i="5"/>
  <c r="J159" i="5"/>
  <c r="M160" i="5"/>
  <c r="M159" i="5"/>
  <c r="E123" i="5"/>
  <c r="N124" i="5"/>
  <c r="K125" i="5"/>
  <c r="H123" i="5"/>
  <c r="E124" i="5"/>
  <c r="N125" i="5"/>
  <c r="D123" i="5"/>
  <c r="D124" i="5"/>
  <c r="D125" i="5"/>
  <c r="I123" i="5"/>
  <c r="I124" i="5"/>
  <c r="I125" i="5"/>
  <c r="F124" i="5"/>
  <c r="G125" i="5"/>
  <c r="C123" i="5"/>
  <c r="G124" i="5"/>
  <c r="H125" i="5"/>
  <c r="G123" i="5"/>
  <c r="J124" i="5"/>
  <c r="L125" i="5"/>
  <c r="K123" i="5"/>
  <c r="L124" i="5"/>
  <c r="L123" i="5"/>
  <c r="M124" i="5"/>
  <c r="P125" i="5"/>
  <c r="N123" i="5"/>
  <c r="P124" i="5"/>
  <c r="F123" i="5"/>
  <c r="J125" i="5"/>
  <c r="M123" i="5"/>
  <c r="P123" i="5"/>
  <c r="C124" i="5"/>
  <c r="H124" i="5"/>
  <c r="K124" i="5"/>
  <c r="C125" i="5"/>
  <c r="F125" i="5"/>
  <c r="H87" i="5"/>
  <c r="E88" i="5"/>
  <c r="N89" i="5"/>
  <c r="D51" i="5"/>
  <c r="P51" i="5"/>
  <c r="M52" i="5"/>
  <c r="J53" i="5"/>
  <c r="F51" i="5"/>
  <c r="C52" i="5"/>
  <c r="L53" i="5"/>
  <c r="H51" i="5"/>
  <c r="E52" i="5"/>
  <c r="N53" i="5"/>
  <c r="C51" i="5"/>
  <c r="L52" i="5"/>
  <c r="I53" i="5"/>
  <c r="H15" i="5"/>
  <c r="E16" i="5"/>
  <c r="N17" i="5"/>
  <c r="M16" i="5"/>
  <c r="K17" i="5"/>
  <c r="I15" i="5"/>
  <c r="H16" i="5"/>
  <c r="G17" i="5"/>
  <c r="L15" i="5"/>
  <c r="K16" i="5"/>
  <c r="J17" i="5"/>
  <c r="G15" i="5"/>
  <c r="J16" i="5"/>
  <c r="M17" i="5"/>
  <c r="K15" i="5"/>
  <c r="N16" i="5"/>
  <c r="P17" i="5"/>
  <c r="M15" i="5"/>
  <c r="N15" i="5"/>
  <c r="P16" i="5"/>
  <c r="P15" i="5"/>
  <c r="C17" i="5"/>
  <c r="D17" i="5"/>
  <c r="C16" i="5"/>
  <c r="E17" i="5"/>
  <c r="D15" i="5"/>
  <c r="F16" i="5"/>
  <c r="H17" i="5"/>
  <c r="F15" i="5"/>
  <c r="I16" i="5"/>
  <c r="L17" i="5"/>
  <c r="I105" i="5"/>
  <c r="L104" i="5"/>
  <c r="C103" i="5"/>
  <c r="E102" i="5"/>
  <c r="G101" i="5"/>
  <c r="I100" i="5"/>
  <c r="K99" i="5"/>
  <c r="K92" i="5"/>
  <c r="M91" i="5"/>
  <c r="D89" i="5"/>
  <c r="F88" i="5"/>
  <c r="G87" i="5"/>
  <c r="H86" i="5"/>
  <c r="I85" i="5"/>
  <c r="J84" i="5"/>
  <c r="K83" i="5"/>
  <c r="L82" i="5"/>
  <c r="K81" i="5"/>
  <c r="L80" i="5"/>
  <c r="M79" i="5"/>
  <c r="P74" i="5"/>
  <c r="C73" i="5"/>
  <c r="C71" i="5"/>
  <c r="D70" i="5"/>
  <c r="E69" i="5"/>
  <c r="F68" i="5"/>
  <c r="E67" i="5"/>
  <c r="F66" i="5"/>
  <c r="G65" i="5"/>
  <c r="H64" i="5"/>
  <c r="I63" i="5"/>
  <c r="K59" i="5"/>
  <c r="L58" i="5"/>
  <c r="K57" i="5"/>
  <c r="L56" i="5"/>
  <c r="M55" i="5"/>
  <c r="M54" i="5"/>
  <c r="H53" i="5"/>
  <c r="G52" i="5"/>
  <c r="P49" i="5"/>
  <c r="K48" i="5"/>
  <c r="J47" i="5"/>
  <c r="E46" i="5"/>
  <c r="D45" i="5"/>
  <c r="N43" i="5"/>
  <c r="M42" i="5"/>
  <c r="H41" i="5"/>
  <c r="P37" i="5"/>
  <c r="K36" i="5"/>
  <c r="E33" i="5"/>
  <c r="P27" i="5"/>
  <c r="H24" i="5"/>
  <c r="M20" i="5"/>
  <c r="L16" i="5"/>
  <c r="C12" i="5"/>
  <c r="G7" i="5"/>
  <c r="E161" i="5"/>
  <c r="C156" i="5"/>
  <c r="K134" i="5"/>
  <c r="M125" i="5"/>
  <c r="K116" i="5"/>
  <c r="K56" i="5"/>
  <c r="L55" i="5"/>
  <c r="L54" i="5"/>
  <c r="G53" i="5"/>
  <c r="F52" i="5"/>
  <c r="P50" i="5"/>
  <c r="J48" i="5"/>
  <c r="I47" i="5"/>
  <c r="D46" i="5"/>
  <c r="C45" i="5"/>
  <c r="M43" i="5"/>
  <c r="L42" i="5"/>
  <c r="D33" i="5"/>
  <c r="M30" i="5"/>
  <c r="M27" i="5"/>
  <c r="J20" i="5"/>
  <c r="G16" i="5"/>
  <c r="N11" i="5"/>
  <c r="P6" i="5"/>
  <c r="N155" i="5"/>
  <c r="I142" i="5"/>
  <c r="E125" i="5"/>
  <c r="H85" i="5"/>
  <c r="J56" i="5"/>
  <c r="K55" i="5"/>
  <c r="J54" i="5"/>
  <c r="F53" i="5"/>
  <c r="D52" i="5"/>
  <c r="M49" i="5"/>
  <c r="I48" i="5"/>
  <c r="G47" i="5"/>
  <c r="C46" i="5"/>
  <c r="P44" i="5"/>
  <c r="L43" i="5"/>
  <c r="J42" i="5"/>
  <c r="M37" i="5"/>
  <c r="I36" i="5"/>
  <c r="N34" i="5"/>
  <c r="N32" i="5"/>
  <c r="H30" i="5"/>
  <c r="J27" i="5"/>
  <c r="C24" i="5"/>
  <c r="H20" i="5"/>
  <c r="D16" i="5"/>
  <c r="L160" i="5"/>
  <c r="M56" i="5"/>
  <c r="N55" i="5"/>
  <c r="N54" i="5"/>
  <c r="K153" i="5"/>
  <c r="H154" i="5"/>
  <c r="E155" i="5"/>
  <c r="L153" i="5"/>
  <c r="J154" i="5"/>
  <c r="H155" i="5"/>
  <c r="M153" i="5"/>
  <c r="L154" i="5"/>
  <c r="K155" i="5"/>
  <c r="E153" i="5"/>
  <c r="E154" i="5"/>
  <c r="F155" i="5"/>
  <c r="G153" i="5"/>
  <c r="H153" i="5"/>
  <c r="I154" i="5"/>
  <c r="J155" i="5"/>
  <c r="J153" i="5"/>
  <c r="M154" i="5"/>
  <c r="M155" i="5"/>
  <c r="C153" i="5"/>
  <c r="K154" i="5"/>
  <c r="P155" i="5"/>
  <c r="F153" i="5"/>
  <c r="I153" i="5"/>
  <c r="P154" i="5"/>
  <c r="N153" i="5"/>
  <c r="C155" i="5"/>
  <c r="P153" i="5"/>
  <c r="D155" i="5"/>
  <c r="G155" i="5"/>
  <c r="D154" i="5"/>
  <c r="L155" i="5"/>
  <c r="G154" i="5"/>
  <c r="N9" i="5"/>
  <c r="K10" i="5"/>
  <c r="H11" i="5"/>
  <c r="M9" i="5"/>
  <c r="L10" i="5"/>
  <c r="J11" i="5"/>
  <c r="L9" i="5"/>
  <c r="M10" i="5"/>
  <c r="L11" i="5"/>
  <c r="C9" i="5"/>
  <c r="P10" i="5"/>
  <c r="E9" i="5"/>
  <c r="K9" i="5"/>
  <c r="P9" i="5"/>
  <c r="C11" i="5"/>
  <c r="C10" i="5"/>
  <c r="D11" i="5"/>
  <c r="D10" i="5"/>
  <c r="E11" i="5"/>
  <c r="E10" i="5"/>
  <c r="F11" i="5"/>
  <c r="D9" i="5"/>
  <c r="F10" i="5"/>
  <c r="G11" i="5"/>
  <c r="F9" i="5"/>
  <c r="G10" i="5"/>
  <c r="I11" i="5"/>
  <c r="H9" i="5"/>
  <c r="I10" i="5"/>
  <c r="M11" i="5"/>
  <c r="J9" i="5"/>
  <c r="N10" i="5"/>
  <c r="P11" i="5"/>
  <c r="I92" i="5"/>
  <c r="K91" i="5"/>
  <c r="M90" i="5"/>
  <c r="J91" i="5"/>
  <c r="D87" i="5"/>
  <c r="F85" i="5"/>
  <c r="G83" i="5"/>
  <c r="H81" i="5"/>
  <c r="G59" i="5"/>
  <c r="G58" i="5"/>
  <c r="H57" i="5"/>
  <c r="I56" i="5"/>
  <c r="J55" i="5"/>
  <c r="H54" i="5"/>
  <c r="E53" i="5"/>
  <c r="N50" i="5"/>
  <c r="K49" i="5"/>
  <c r="H48" i="5"/>
  <c r="E47" i="5"/>
  <c r="N44" i="5"/>
  <c r="K43" i="5"/>
  <c r="H36" i="5"/>
  <c r="E30" i="5"/>
  <c r="J15" i="5"/>
  <c r="J123" i="5"/>
  <c r="G86" i="5"/>
  <c r="I84" i="5"/>
  <c r="H150" i="5"/>
  <c r="E151" i="5"/>
  <c r="N152" i="5"/>
  <c r="D150" i="5"/>
  <c r="M152" i="5"/>
  <c r="N150" i="5"/>
  <c r="M151" i="5"/>
  <c r="L152" i="5"/>
  <c r="C150" i="5"/>
  <c r="D151" i="5"/>
  <c r="E152" i="5"/>
  <c r="F150" i="5"/>
  <c r="G151" i="5"/>
  <c r="G152" i="5"/>
  <c r="G150" i="5"/>
  <c r="H151" i="5"/>
  <c r="H152" i="5"/>
  <c r="J150" i="5"/>
  <c r="J151" i="5"/>
  <c r="J152" i="5"/>
  <c r="K151" i="5"/>
  <c r="E150" i="5"/>
  <c r="N151" i="5"/>
  <c r="I150" i="5"/>
  <c r="P151" i="5"/>
  <c r="K150" i="5"/>
  <c r="C152" i="5"/>
  <c r="L150" i="5"/>
  <c r="D152" i="5"/>
  <c r="M150" i="5"/>
  <c r="F152" i="5"/>
  <c r="I152" i="5"/>
  <c r="C151" i="5"/>
  <c r="I151" i="5"/>
  <c r="C114" i="5"/>
  <c r="L115" i="5"/>
  <c r="I116" i="5"/>
  <c r="E114" i="5"/>
  <c r="C115" i="5"/>
  <c r="P115" i="5"/>
  <c r="N116" i="5"/>
  <c r="H114" i="5"/>
  <c r="F115" i="5"/>
  <c r="D116" i="5"/>
  <c r="G114" i="5"/>
  <c r="H115" i="5"/>
  <c r="H116" i="5"/>
  <c r="N114" i="5"/>
  <c r="P114" i="5"/>
  <c r="E116" i="5"/>
  <c r="F116" i="5"/>
  <c r="E115" i="5"/>
  <c r="J116" i="5"/>
  <c r="D114" i="5"/>
  <c r="I115" i="5"/>
  <c r="L116" i="5"/>
  <c r="F114" i="5"/>
  <c r="J115" i="5"/>
  <c r="M116" i="5"/>
  <c r="J114" i="5"/>
  <c r="M115" i="5"/>
  <c r="P116" i="5"/>
  <c r="G116" i="5"/>
  <c r="I114" i="5"/>
  <c r="K114" i="5"/>
  <c r="L114" i="5"/>
  <c r="M114" i="5"/>
  <c r="D115" i="5"/>
  <c r="G115" i="5"/>
  <c r="N115" i="5"/>
  <c r="C116" i="5"/>
  <c r="I78" i="5"/>
  <c r="F79" i="5"/>
  <c r="C80" i="5"/>
  <c r="K78" i="5"/>
  <c r="H79" i="5"/>
  <c r="E80" i="5"/>
  <c r="G42" i="5"/>
  <c r="D43" i="5"/>
  <c r="P43" i="5"/>
  <c r="M44" i="5"/>
  <c r="I42" i="5"/>
  <c r="F43" i="5"/>
  <c r="C44" i="5"/>
  <c r="K42" i="5"/>
  <c r="H43" i="5"/>
  <c r="E44" i="5"/>
  <c r="F42" i="5"/>
  <c r="C43" i="5"/>
  <c r="L44" i="5"/>
  <c r="K6" i="5"/>
  <c r="H7" i="5"/>
  <c r="E8" i="5"/>
  <c r="F6" i="5"/>
  <c r="D7" i="5"/>
  <c r="N7" i="5"/>
  <c r="M8" i="5"/>
  <c r="D6" i="5"/>
  <c r="C7" i="5"/>
  <c r="C8" i="5"/>
  <c r="G6" i="5"/>
  <c r="F7" i="5"/>
  <c r="F8" i="5"/>
  <c r="E7" i="5"/>
  <c r="I8" i="5"/>
  <c r="C6" i="5"/>
  <c r="I7" i="5"/>
  <c r="K8" i="5"/>
  <c r="E6" i="5"/>
  <c r="J7" i="5"/>
  <c r="L8" i="5"/>
  <c r="H6" i="5"/>
  <c r="K7" i="5"/>
  <c r="N8" i="5"/>
  <c r="I6" i="5"/>
  <c r="L7" i="5"/>
  <c r="P8" i="5"/>
  <c r="J6" i="5"/>
  <c r="M7" i="5"/>
  <c r="L6" i="5"/>
  <c r="N6" i="5"/>
  <c r="D8" i="5"/>
  <c r="H8" i="5"/>
  <c r="F105" i="5"/>
  <c r="I104" i="5"/>
  <c r="L103" i="5"/>
  <c r="D101" i="5"/>
  <c r="F100" i="5"/>
  <c r="G99" i="5"/>
  <c r="N38" i="5"/>
  <c r="K37" i="5"/>
  <c r="M34" i="5"/>
  <c r="K32" i="5"/>
  <c r="C27" i="5"/>
  <c r="J23" i="5"/>
  <c r="N19" i="5"/>
  <c r="N154" i="5"/>
  <c r="E147" i="5"/>
  <c r="N148" i="5"/>
  <c r="K149" i="5"/>
  <c r="J147" i="5"/>
  <c r="H148" i="5"/>
  <c r="F149" i="5"/>
  <c r="P147" i="5"/>
  <c r="P148" i="5"/>
  <c r="C148" i="5"/>
  <c r="C149" i="5"/>
  <c r="D147" i="5"/>
  <c r="E148" i="5"/>
  <c r="E149" i="5"/>
  <c r="F147" i="5"/>
  <c r="F148" i="5"/>
  <c r="G149" i="5"/>
  <c r="H147" i="5"/>
  <c r="I148" i="5"/>
  <c r="I149" i="5"/>
  <c r="J148" i="5"/>
  <c r="P149" i="5"/>
  <c r="C147" i="5"/>
  <c r="L148" i="5"/>
  <c r="G147" i="5"/>
  <c r="M148" i="5"/>
  <c r="I147" i="5"/>
  <c r="K147" i="5"/>
  <c r="L147" i="5"/>
  <c r="D149" i="5"/>
  <c r="M147" i="5"/>
  <c r="H149" i="5"/>
  <c r="L149" i="5"/>
  <c r="G148" i="5"/>
  <c r="N149" i="5"/>
  <c r="L111" i="5"/>
  <c r="I112" i="5"/>
  <c r="F113" i="5"/>
  <c r="J111" i="5"/>
  <c r="H112" i="5"/>
  <c r="G113" i="5"/>
  <c r="N111" i="5"/>
  <c r="L112" i="5"/>
  <c r="J113" i="5"/>
  <c r="E111" i="5"/>
  <c r="E112" i="5"/>
  <c r="E113" i="5"/>
  <c r="H111" i="5"/>
  <c r="K112" i="5"/>
  <c r="M113" i="5"/>
  <c r="D111" i="5"/>
  <c r="G112" i="5"/>
  <c r="L113" i="5"/>
  <c r="F111" i="5"/>
  <c r="J112" i="5"/>
  <c r="N113" i="5"/>
  <c r="I111" i="5"/>
  <c r="N112" i="5"/>
  <c r="P113" i="5"/>
  <c r="M111" i="5"/>
  <c r="P112" i="5"/>
  <c r="D113" i="5"/>
  <c r="G111" i="5"/>
  <c r="P111" i="5"/>
  <c r="C112" i="5"/>
  <c r="D112" i="5"/>
  <c r="F112" i="5"/>
  <c r="M112" i="5"/>
  <c r="H113" i="5"/>
  <c r="C111" i="5"/>
  <c r="K113" i="5"/>
  <c r="F75" i="5"/>
  <c r="C76" i="5"/>
  <c r="L77" i="5"/>
  <c r="H75" i="5"/>
  <c r="E76" i="5"/>
  <c r="N77" i="5"/>
  <c r="D39" i="5"/>
  <c r="P39" i="5"/>
  <c r="M40" i="5"/>
  <c r="J41" i="5"/>
  <c r="F39" i="5"/>
  <c r="C40" i="5"/>
  <c r="L41" i="5"/>
  <c r="H39" i="5"/>
  <c r="E40" i="5"/>
  <c r="N41" i="5"/>
  <c r="C39" i="5"/>
  <c r="L40" i="5"/>
  <c r="I41" i="5"/>
  <c r="E105" i="5"/>
  <c r="H104" i="5"/>
  <c r="K103" i="5"/>
  <c r="N102" i="5"/>
  <c r="P101" i="5"/>
  <c r="C101" i="5"/>
  <c r="D100" i="5"/>
  <c r="F99" i="5"/>
  <c r="H98" i="5"/>
  <c r="J97" i="5"/>
  <c r="N95" i="5"/>
  <c r="P94" i="5"/>
  <c r="C94" i="5"/>
  <c r="E93" i="5"/>
  <c r="G92" i="5"/>
  <c r="I91" i="5"/>
  <c r="L89" i="5"/>
  <c r="N88" i="5"/>
  <c r="P87" i="5"/>
  <c r="C87" i="5"/>
  <c r="D86" i="5"/>
  <c r="E85" i="5"/>
  <c r="F84" i="5"/>
  <c r="E83" i="5"/>
  <c r="F82" i="5"/>
  <c r="H80" i="5"/>
  <c r="I79" i="5"/>
  <c r="H78" i="5"/>
  <c r="I77" i="5"/>
  <c r="J76" i="5"/>
  <c r="K75" i="5"/>
  <c r="L74" i="5"/>
  <c r="K73" i="5"/>
  <c r="M71" i="5"/>
  <c r="N70" i="5"/>
  <c r="N68" i="5"/>
  <c r="P66" i="5"/>
  <c r="C65" i="5"/>
  <c r="C63" i="5"/>
  <c r="D62" i="5"/>
  <c r="E61" i="5"/>
  <c r="F60" i="5"/>
  <c r="E59" i="5"/>
  <c r="F58" i="5"/>
  <c r="G57" i="5"/>
  <c r="H56" i="5"/>
  <c r="I55" i="5"/>
  <c r="E54" i="5"/>
  <c r="D53" i="5"/>
  <c r="N51" i="5"/>
  <c r="M50" i="5"/>
  <c r="H49" i="5"/>
  <c r="P45" i="5"/>
  <c r="K44" i="5"/>
  <c r="J43" i="5"/>
  <c r="E42" i="5"/>
  <c r="D41" i="5"/>
  <c r="N39" i="5"/>
  <c r="M38" i="5"/>
  <c r="H37" i="5"/>
  <c r="H34" i="5"/>
  <c r="I32" i="5"/>
  <c r="C30" i="5"/>
  <c r="N26" i="5"/>
  <c r="G23" i="5"/>
  <c r="E15" i="5"/>
  <c r="J10" i="5"/>
  <c r="L159" i="5"/>
  <c r="F154" i="5"/>
  <c r="D148" i="5"/>
  <c r="F140" i="5"/>
  <c r="I113" i="5"/>
  <c r="H126" i="5"/>
  <c r="E127" i="5"/>
  <c r="N128" i="5"/>
  <c r="K126" i="5"/>
  <c r="H127" i="5"/>
  <c r="E128" i="5"/>
  <c r="C126" i="5"/>
  <c r="P127" i="5"/>
  <c r="P128" i="5"/>
  <c r="J126" i="5"/>
  <c r="K127" i="5"/>
  <c r="K128" i="5"/>
  <c r="I126" i="5"/>
  <c r="L127" i="5"/>
  <c r="M128" i="5"/>
  <c r="L126" i="5"/>
  <c r="M127" i="5"/>
  <c r="N126" i="5"/>
  <c r="P126" i="5"/>
  <c r="D128" i="5"/>
  <c r="C127" i="5"/>
  <c r="F128" i="5"/>
  <c r="D126" i="5"/>
  <c r="F127" i="5"/>
  <c r="H128" i="5"/>
  <c r="N127" i="5"/>
  <c r="G128" i="5"/>
  <c r="E126" i="5"/>
  <c r="I128" i="5"/>
  <c r="F126" i="5"/>
  <c r="J128" i="5"/>
  <c r="G126" i="5"/>
  <c r="L128" i="5"/>
  <c r="M126" i="5"/>
  <c r="G127" i="5"/>
  <c r="J127" i="5"/>
  <c r="K90" i="5"/>
  <c r="H91" i="5"/>
  <c r="E92" i="5"/>
  <c r="K18" i="5"/>
  <c r="H19" i="5"/>
  <c r="E20" i="5"/>
  <c r="F18" i="5"/>
  <c r="I18" i="5"/>
  <c r="G19" i="5"/>
  <c r="F20" i="5"/>
  <c r="N18" i="5"/>
  <c r="M19" i="5"/>
  <c r="L20" i="5"/>
  <c r="P18" i="5"/>
  <c r="N20" i="5"/>
  <c r="P19" i="5"/>
  <c r="C18" i="5"/>
  <c r="C19" i="5"/>
  <c r="P20" i="5"/>
  <c r="D18" i="5"/>
  <c r="D19" i="5"/>
  <c r="C20" i="5"/>
  <c r="E18" i="5"/>
  <c r="E19" i="5"/>
  <c r="D20" i="5"/>
  <c r="G18" i="5"/>
  <c r="F19" i="5"/>
  <c r="G20" i="5"/>
  <c r="J18" i="5"/>
  <c r="J19" i="5"/>
  <c r="I20" i="5"/>
  <c r="M18" i="5"/>
  <c r="L19" i="5"/>
  <c r="K20" i="5"/>
  <c r="M48" i="5"/>
  <c r="J49" i="5"/>
  <c r="G50" i="5"/>
  <c r="C48" i="5"/>
  <c r="L49" i="5"/>
  <c r="I50" i="5"/>
  <c r="E48" i="5"/>
  <c r="N49" i="5"/>
  <c r="K50" i="5"/>
  <c r="L48" i="5"/>
  <c r="I49" i="5"/>
  <c r="F50" i="5"/>
  <c r="K117" i="5"/>
  <c r="H118" i="5"/>
  <c r="E119" i="5"/>
  <c r="N117" i="5"/>
  <c r="K118" i="5"/>
  <c r="H119" i="5"/>
  <c r="H117" i="5"/>
  <c r="G118" i="5"/>
  <c r="G119" i="5"/>
  <c r="D117" i="5"/>
  <c r="D118" i="5"/>
  <c r="D119" i="5"/>
  <c r="G117" i="5"/>
  <c r="J118" i="5"/>
  <c r="L119" i="5"/>
  <c r="I117" i="5"/>
  <c r="L118" i="5"/>
  <c r="M119" i="5"/>
  <c r="L117" i="5"/>
  <c r="N118" i="5"/>
  <c r="P118" i="5"/>
  <c r="P117" i="5"/>
  <c r="C118" i="5"/>
  <c r="F119" i="5"/>
  <c r="M118" i="5"/>
  <c r="C119" i="5"/>
  <c r="C117" i="5"/>
  <c r="I119" i="5"/>
  <c r="E117" i="5"/>
  <c r="J119" i="5"/>
  <c r="F117" i="5"/>
  <c r="K119" i="5"/>
  <c r="J117" i="5"/>
  <c r="N119" i="5"/>
  <c r="M117" i="5"/>
  <c r="P119" i="5"/>
  <c r="E118" i="5"/>
  <c r="I118" i="5"/>
  <c r="L81" i="5"/>
  <c r="I82" i="5"/>
  <c r="F83" i="5"/>
  <c r="N81" i="5"/>
  <c r="K82" i="5"/>
  <c r="H83" i="5"/>
  <c r="F86" i="5"/>
  <c r="G85" i="5"/>
  <c r="H84" i="5"/>
  <c r="I83" i="5"/>
  <c r="H82" i="5"/>
  <c r="I81" i="5"/>
  <c r="P70" i="5"/>
  <c r="C69" i="5"/>
  <c r="C67" i="5"/>
  <c r="D66" i="5"/>
  <c r="H92" i="5"/>
  <c r="L90" i="5"/>
  <c r="M89" i="5"/>
  <c r="E86" i="5"/>
  <c r="G84" i="5"/>
  <c r="G82" i="5"/>
  <c r="I80" i="5"/>
  <c r="J79" i="5"/>
  <c r="J78" i="5"/>
  <c r="N71" i="5"/>
  <c r="P69" i="5"/>
  <c r="P68" i="5"/>
  <c r="P67" i="5"/>
  <c r="C66" i="5"/>
  <c r="D65" i="5"/>
  <c r="D64" i="5"/>
  <c r="D63" i="5"/>
  <c r="N144" i="5"/>
  <c r="K145" i="5"/>
  <c r="H146" i="5"/>
  <c r="C144" i="5"/>
  <c r="P144" i="5"/>
  <c r="N145" i="5"/>
  <c r="L146" i="5"/>
  <c r="E144" i="5"/>
  <c r="D145" i="5"/>
  <c r="C146" i="5"/>
  <c r="K144" i="5"/>
  <c r="L145" i="5"/>
  <c r="L144" i="5"/>
  <c r="M145" i="5"/>
  <c r="N146" i="5"/>
  <c r="P145" i="5"/>
  <c r="P146" i="5"/>
  <c r="C145" i="5"/>
  <c r="D146" i="5"/>
  <c r="D144" i="5"/>
  <c r="E145" i="5"/>
  <c r="E146" i="5"/>
  <c r="G144" i="5"/>
  <c r="G145" i="5"/>
  <c r="G146" i="5"/>
  <c r="M144" i="5"/>
  <c r="M146" i="5"/>
  <c r="F145" i="5"/>
  <c r="H145" i="5"/>
  <c r="I145" i="5"/>
  <c r="J145" i="5"/>
  <c r="H144" i="5"/>
  <c r="I146" i="5"/>
  <c r="J144" i="5"/>
  <c r="K146" i="5"/>
  <c r="I108" i="5"/>
  <c r="F109" i="5"/>
  <c r="C110" i="5"/>
  <c r="C108" i="5"/>
  <c r="P108" i="5"/>
  <c r="N109" i="5"/>
  <c r="L110" i="5"/>
  <c r="F108" i="5"/>
  <c r="D109" i="5"/>
  <c r="P110" i="5"/>
  <c r="C109" i="5"/>
  <c r="E110" i="5"/>
  <c r="E109" i="5"/>
  <c r="G110" i="5"/>
  <c r="L108" i="5"/>
  <c r="M108" i="5"/>
  <c r="P109" i="5"/>
  <c r="F110" i="5"/>
  <c r="G109" i="5"/>
  <c r="I110" i="5"/>
  <c r="D108" i="5"/>
  <c r="H109" i="5"/>
  <c r="J110" i="5"/>
  <c r="G108" i="5"/>
  <c r="J109" i="5"/>
  <c r="M110" i="5"/>
  <c r="N108" i="5"/>
  <c r="I109" i="5"/>
  <c r="K109" i="5"/>
  <c r="L109" i="5"/>
  <c r="M109" i="5"/>
  <c r="D110" i="5"/>
  <c r="H110" i="5"/>
  <c r="H108" i="5"/>
  <c r="N110" i="5"/>
  <c r="K108" i="5"/>
  <c r="C72" i="5"/>
  <c r="L73" i="5"/>
  <c r="I74" i="5"/>
  <c r="E72" i="5"/>
  <c r="N73" i="5"/>
  <c r="K74" i="5"/>
  <c r="M36" i="5"/>
  <c r="J37" i="5"/>
  <c r="G38" i="5"/>
  <c r="C36" i="5"/>
  <c r="L37" i="5"/>
  <c r="I38" i="5"/>
  <c r="D36" i="5"/>
  <c r="E36" i="5"/>
  <c r="N37" i="5"/>
  <c r="K38" i="5"/>
  <c r="L36" i="5"/>
  <c r="I37" i="5"/>
  <c r="F38" i="5"/>
  <c r="P105" i="5"/>
  <c r="G104" i="5"/>
  <c r="J103" i="5"/>
  <c r="M102" i="5"/>
  <c r="P100" i="5"/>
  <c r="C100" i="5"/>
  <c r="E99" i="5"/>
  <c r="M95" i="5"/>
  <c r="D93" i="5"/>
  <c r="F92" i="5"/>
  <c r="G91" i="5"/>
  <c r="I90" i="5"/>
  <c r="K89" i="5"/>
  <c r="M88" i="5"/>
  <c r="C86" i="5"/>
  <c r="D85" i="5"/>
  <c r="D83" i="5"/>
  <c r="E82" i="5"/>
  <c r="F81" i="5"/>
  <c r="G80" i="5"/>
  <c r="G79" i="5"/>
  <c r="G78" i="5"/>
  <c r="H77" i="5"/>
  <c r="I76" i="5"/>
  <c r="J75" i="5"/>
  <c r="J74" i="5"/>
  <c r="J73" i="5"/>
  <c r="K72" i="5"/>
  <c r="L71" i="5"/>
  <c r="M70" i="5"/>
  <c r="M69" i="5"/>
  <c r="M68" i="5"/>
  <c r="N67" i="5"/>
  <c r="P65" i="5"/>
  <c r="P64" i="5"/>
  <c r="P63" i="5"/>
  <c r="C62" i="5"/>
  <c r="D61" i="5"/>
  <c r="D59" i="5"/>
  <c r="E58" i="5"/>
  <c r="F57" i="5"/>
  <c r="G56" i="5"/>
  <c r="G55" i="5"/>
  <c r="D54" i="5"/>
  <c r="C53" i="5"/>
  <c r="M51" i="5"/>
  <c r="L50" i="5"/>
  <c r="G49" i="5"/>
  <c r="F48" i="5"/>
  <c r="P46" i="5"/>
  <c r="J44" i="5"/>
  <c r="I43" i="5"/>
  <c r="D42" i="5"/>
  <c r="C41" i="5"/>
  <c r="M39" i="5"/>
  <c r="L38" i="5"/>
  <c r="G37" i="5"/>
  <c r="F36" i="5"/>
  <c r="E34" i="5"/>
  <c r="G32" i="5"/>
  <c r="P29" i="5"/>
  <c r="L26" i="5"/>
  <c r="E23" i="5"/>
  <c r="I19" i="5"/>
  <c r="C15" i="5"/>
  <c r="H10" i="5"/>
  <c r="H159" i="5"/>
  <c r="C154" i="5"/>
  <c r="N147" i="5"/>
  <c r="C140" i="5"/>
  <c r="L131" i="5"/>
  <c r="L122" i="5"/>
  <c r="C113" i="5"/>
  <c r="K71" i="5"/>
  <c r="L70" i="5"/>
  <c r="L68" i="5"/>
  <c r="M67" i="5"/>
  <c r="N66" i="5"/>
  <c r="N64" i="5"/>
  <c r="F56" i="5"/>
  <c r="E55" i="5"/>
  <c r="C54" i="5"/>
  <c r="P52" i="5"/>
  <c r="L51" i="5"/>
  <c r="J50" i="5"/>
  <c r="F49" i="5"/>
  <c r="D48" i="5"/>
  <c r="I44" i="5"/>
  <c r="G43" i="5"/>
  <c r="C42" i="5"/>
  <c r="J38" i="5"/>
  <c r="F37" i="5"/>
  <c r="K29" i="5"/>
  <c r="L22" i="5"/>
  <c r="D153" i="5"/>
  <c r="M138" i="5"/>
  <c r="F130" i="5"/>
  <c r="K111" i="5"/>
  <c r="L92" i="5"/>
  <c r="N91" i="5"/>
  <c r="P90" i="5"/>
  <c r="C90" i="5"/>
  <c r="N156" i="5"/>
  <c r="K157" i="5"/>
  <c r="H158" i="5"/>
  <c r="F156" i="5"/>
  <c r="J156" i="5"/>
  <c r="H157" i="5"/>
  <c r="F158" i="5"/>
  <c r="G156" i="5"/>
  <c r="F157" i="5"/>
  <c r="E158" i="5"/>
  <c r="K156" i="5"/>
  <c r="J157" i="5"/>
  <c r="J158" i="5"/>
  <c r="M156" i="5"/>
  <c r="M157" i="5"/>
  <c r="L158" i="5"/>
  <c r="E157" i="5"/>
  <c r="K158" i="5"/>
  <c r="D156" i="5"/>
  <c r="I157" i="5"/>
  <c r="N158" i="5"/>
  <c r="E156" i="5"/>
  <c r="L157" i="5"/>
  <c r="H156" i="5"/>
  <c r="N157" i="5"/>
  <c r="P158" i="5"/>
  <c r="I156" i="5"/>
  <c r="L156" i="5"/>
  <c r="P157" i="5"/>
  <c r="D158" i="5"/>
  <c r="D157" i="5"/>
  <c r="I158" i="5"/>
  <c r="N120" i="5"/>
  <c r="K121" i="5"/>
  <c r="H122" i="5"/>
  <c r="E120" i="5"/>
  <c r="N121" i="5"/>
  <c r="K122" i="5"/>
  <c r="G120" i="5"/>
  <c r="F121" i="5"/>
  <c r="E122" i="5"/>
  <c r="F120" i="5"/>
  <c r="G121" i="5"/>
  <c r="G122" i="5"/>
  <c r="M120" i="5"/>
  <c r="P121" i="5"/>
  <c r="C121" i="5"/>
  <c r="D122" i="5"/>
  <c r="C120" i="5"/>
  <c r="E121" i="5"/>
  <c r="I122" i="5"/>
  <c r="D120" i="5"/>
  <c r="H121" i="5"/>
  <c r="J122" i="5"/>
  <c r="I120" i="5"/>
  <c r="J121" i="5"/>
  <c r="M122" i="5"/>
  <c r="P120" i="5"/>
  <c r="I121" i="5"/>
  <c r="L121" i="5"/>
  <c r="M121" i="5"/>
  <c r="C122" i="5"/>
  <c r="F122" i="5"/>
  <c r="J120" i="5"/>
  <c r="N122" i="5"/>
  <c r="L120" i="5"/>
  <c r="P122" i="5"/>
  <c r="C84" i="5"/>
  <c r="L85" i="5"/>
  <c r="I86" i="5"/>
  <c r="E84" i="5"/>
  <c r="N85" i="5"/>
  <c r="K86" i="5"/>
  <c r="E12" i="5"/>
  <c r="N13" i="5"/>
  <c r="K14" i="5"/>
  <c r="H12" i="5"/>
  <c r="F13" i="5"/>
  <c r="D14" i="5"/>
  <c r="K12" i="5"/>
  <c r="J13" i="5"/>
  <c r="I14" i="5"/>
  <c r="N12" i="5"/>
  <c r="M13" i="5"/>
  <c r="M14" i="5"/>
  <c r="D13" i="5"/>
  <c r="F14" i="5"/>
  <c r="D12" i="5"/>
  <c r="G13" i="5"/>
  <c r="H14" i="5"/>
  <c r="F12" i="5"/>
  <c r="H13" i="5"/>
  <c r="J14" i="5"/>
  <c r="G12" i="5"/>
  <c r="I13" i="5"/>
  <c r="L14" i="5"/>
  <c r="I12" i="5"/>
  <c r="K13" i="5"/>
  <c r="N14" i="5"/>
  <c r="J12" i="5"/>
  <c r="L13" i="5"/>
  <c r="L12" i="5"/>
  <c r="P14" i="5"/>
  <c r="C13" i="5"/>
  <c r="E14" i="5"/>
  <c r="J45" i="5"/>
  <c r="G46" i="5"/>
  <c r="D47" i="5"/>
  <c r="P47" i="5"/>
  <c r="L45" i="5"/>
  <c r="I46" i="5"/>
  <c r="F47" i="5"/>
  <c r="N45" i="5"/>
  <c r="K46" i="5"/>
  <c r="H47" i="5"/>
  <c r="I45" i="5"/>
  <c r="F46" i="5"/>
  <c r="C47" i="5"/>
  <c r="K141" i="5"/>
  <c r="H142" i="5"/>
  <c r="E143" i="5"/>
  <c r="H141" i="5"/>
  <c r="F142" i="5"/>
  <c r="D143" i="5"/>
  <c r="F141" i="5"/>
  <c r="E142" i="5"/>
  <c r="F143" i="5"/>
  <c r="J141" i="5"/>
  <c r="K142" i="5"/>
  <c r="K143" i="5"/>
  <c r="L141" i="5"/>
  <c r="L142" i="5"/>
  <c r="L143" i="5"/>
  <c r="N141" i="5"/>
  <c r="N142" i="5"/>
  <c r="N143" i="5"/>
  <c r="P141" i="5"/>
  <c r="P142" i="5"/>
  <c r="P143" i="5"/>
  <c r="D141" i="5"/>
  <c r="D142" i="5"/>
  <c r="G143" i="5"/>
  <c r="M142" i="5"/>
  <c r="C141" i="5"/>
  <c r="C143" i="5"/>
  <c r="E141" i="5"/>
  <c r="H143" i="5"/>
  <c r="G141" i="5"/>
  <c r="I143" i="5"/>
  <c r="I141" i="5"/>
  <c r="J143" i="5"/>
  <c r="M141" i="5"/>
  <c r="M143" i="5"/>
  <c r="G142" i="5"/>
  <c r="J142" i="5"/>
  <c r="C106" i="5"/>
  <c r="L107" i="5"/>
  <c r="G106" i="5"/>
  <c r="E107" i="5"/>
  <c r="J106" i="5"/>
  <c r="H107" i="5"/>
  <c r="N106" i="5"/>
  <c r="P107" i="5"/>
  <c r="D107" i="5"/>
  <c r="D106" i="5"/>
  <c r="E106" i="5"/>
  <c r="I107" i="5"/>
  <c r="F106" i="5"/>
  <c r="J107" i="5"/>
  <c r="I106" i="5"/>
  <c r="M107" i="5"/>
  <c r="L106" i="5"/>
  <c r="M106" i="5"/>
  <c r="C107" i="5"/>
  <c r="H106" i="5"/>
  <c r="K106" i="5"/>
  <c r="P106" i="5"/>
  <c r="F107" i="5"/>
  <c r="G107" i="5"/>
  <c r="K107" i="5"/>
  <c r="N107" i="5"/>
  <c r="L69" i="5"/>
  <c r="I70" i="5"/>
  <c r="F71" i="5"/>
  <c r="N69" i="5"/>
  <c r="K70" i="5"/>
  <c r="H71" i="5"/>
  <c r="J33" i="5"/>
  <c r="G34" i="5"/>
  <c r="D35" i="5"/>
  <c r="P35" i="5"/>
  <c r="L33" i="5"/>
  <c r="I34" i="5"/>
  <c r="F35" i="5"/>
  <c r="M33" i="5"/>
  <c r="J34" i="5"/>
  <c r="G35" i="5"/>
  <c r="N33" i="5"/>
  <c r="K34" i="5"/>
  <c r="H35" i="5"/>
  <c r="C33" i="5"/>
  <c r="L34" i="5"/>
  <c r="I35" i="5"/>
  <c r="G33" i="5"/>
  <c r="D34" i="5"/>
  <c r="P34" i="5"/>
  <c r="M35" i="5"/>
  <c r="I33" i="5"/>
  <c r="F34" i="5"/>
  <c r="C35" i="5"/>
  <c r="C105" i="5"/>
  <c r="D92" i="5"/>
  <c r="F91" i="5"/>
  <c r="H90" i="5"/>
  <c r="P92" i="5"/>
  <c r="C92" i="5"/>
  <c r="E91" i="5"/>
  <c r="G90" i="5"/>
  <c r="I89" i="5"/>
  <c r="K88" i="5"/>
  <c r="M87" i="5"/>
  <c r="P85" i="5"/>
  <c r="P84" i="5"/>
  <c r="P83" i="5"/>
  <c r="C82" i="5"/>
  <c r="D81" i="5"/>
  <c r="D80" i="5"/>
  <c r="D79" i="5"/>
  <c r="E78" i="5"/>
  <c r="G74" i="5"/>
  <c r="H73" i="5"/>
  <c r="I72" i="5"/>
  <c r="J71" i="5"/>
  <c r="J70" i="5"/>
  <c r="J69" i="5"/>
  <c r="K68" i="5"/>
  <c r="L67" i="5"/>
  <c r="M66" i="5"/>
  <c r="M65" i="5"/>
  <c r="M64" i="5"/>
  <c r="N63" i="5"/>
  <c r="P59" i="5"/>
  <c r="C58" i="5"/>
  <c r="D57" i="5"/>
  <c r="D56" i="5"/>
  <c r="C55" i="5"/>
  <c r="N52" i="5"/>
  <c r="K51" i="5"/>
  <c r="H50" i="5"/>
  <c r="E49" i="5"/>
  <c r="N46" i="5"/>
  <c r="K45" i="5"/>
  <c r="H44" i="5"/>
  <c r="E43" i="5"/>
  <c r="N40" i="5"/>
  <c r="K39" i="5"/>
  <c r="H38" i="5"/>
  <c r="E37" i="5"/>
  <c r="N35" i="5"/>
  <c r="N31" i="5"/>
  <c r="H29" i="5"/>
  <c r="P25" i="5"/>
  <c r="H22" i="5"/>
  <c r="L18" i="5"/>
  <c r="C14" i="5"/>
  <c r="I9" i="5"/>
  <c r="G158" i="5"/>
  <c r="P152" i="5"/>
  <c r="J146" i="5"/>
  <c r="M129" i="5"/>
  <c r="K120" i="5"/>
  <c r="J92" i="5"/>
  <c r="L91" i="5"/>
  <c r="N90" i="5"/>
  <c r="P86" i="5"/>
  <c r="C83" i="5"/>
  <c r="K52" i="5"/>
  <c r="E50" i="5"/>
  <c r="N47" i="5"/>
  <c r="H45" i="5"/>
  <c r="G44" i="5"/>
  <c r="E38" i="5"/>
  <c r="D37" i="5"/>
  <c r="L35" i="5"/>
  <c r="P33" i="5"/>
  <c r="L31" i="5"/>
  <c r="F29" i="5"/>
  <c r="F22" i="5"/>
  <c r="H18" i="5"/>
  <c r="P13" i="5"/>
  <c r="G9" i="5"/>
  <c r="C158" i="5"/>
  <c r="K152" i="5"/>
  <c r="F146" i="5"/>
  <c r="H129" i="5"/>
  <c r="H120" i="5"/>
  <c r="K110" i="5"/>
  <c r="C85" i="5"/>
  <c r="D82" i="5"/>
  <c r="E81" i="5"/>
  <c r="H138" i="5"/>
  <c r="E139" i="5"/>
  <c r="N140" i="5"/>
  <c r="N138" i="5"/>
  <c r="L139" i="5"/>
  <c r="J140" i="5"/>
  <c r="I138" i="5"/>
  <c r="H139" i="5"/>
  <c r="G140" i="5"/>
  <c r="G138" i="5"/>
  <c r="I139" i="5"/>
  <c r="I140" i="5"/>
  <c r="J138" i="5"/>
  <c r="J139" i="5"/>
  <c r="K140" i="5"/>
  <c r="L138" i="5"/>
  <c r="M139" i="5"/>
  <c r="M140" i="5"/>
  <c r="P140" i="5"/>
  <c r="P138" i="5"/>
  <c r="P139" i="5"/>
  <c r="C138" i="5"/>
  <c r="C139" i="5"/>
  <c r="D140" i="5"/>
  <c r="K138" i="5"/>
  <c r="L140" i="5"/>
  <c r="D139" i="5"/>
  <c r="F139" i="5"/>
  <c r="G139" i="5"/>
  <c r="K139" i="5"/>
  <c r="N139" i="5"/>
  <c r="D138" i="5"/>
  <c r="E140" i="5"/>
  <c r="F138" i="5"/>
  <c r="H140" i="5"/>
  <c r="N132" i="5"/>
  <c r="K133" i="5"/>
  <c r="H134" i="5"/>
  <c r="L132" i="5"/>
  <c r="J133" i="5"/>
  <c r="I134" i="5"/>
  <c r="M132" i="5"/>
  <c r="M133" i="5"/>
  <c r="L134" i="5"/>
  <c r="E132" i="5"/>
  <c r="E133" i="5"/>
  <c r="E134" i="5"/>
  <c r="F132" i="5"/>
  <c r="F133" i="5"/>
  <c r="F134" i="5"/>
  <c r="H132" i="5"/>
  <c r="H133" i="5"/>
  <c r="J134" i="5"/>
  <c r="J132" i="5"/>
  <c r="L133" i="5"/>
  <c r="M134" i="5"/>
  <c r="K132" i="5"/>
  <c r="N133" i="5"/>
  <c r="N134" i="5"/>
  <c r="P132" i="5"/>
  <c r="P133" i="5"/>
  <c r="P134" i="5"/>
  <c r="G132" i="5"/>
  <c r="G134" i="5"/>
  <c r="C133" i="5"/>
  <c r="D133" i="5"/>
  <c r="G133" i="5"/>
  <c r="I133" i="5"/>
  <c r="D132" i="5"/>
  <c r="D134" i="5"/>
  <c r="E96" i="5"/>
  <c r="N97" i="5"/>
  <c r="K98" i="5"/>
  <c r="C60" i="5"/>
  <c r="L61" i="5"/>
  <c r="I62" i="5"/>
  <c r="E60" i="5"/>
  <c r="N61" i="5"/>
  <c r="K62" i="5"/>
  <c r="I24" i="5"/>
  <c r="F25" i="5"/>
  <c r="C26" i="5"/>
  <c r="G24" i="5"/>
  <c r="E25" i="5"/>
  <c r="D26" i="5"/>
  <c r="J24" i="5"/>
  <c r="H25" i="5"/>
  <c r="F26" i="5"/>
  <c r="K24" i="5"/>
  <c r="I25" i="5"/>
  <c r="G26" i="5"/>
  <c r="L24" i="5"/>
  <c r="J25" i="5"/>
  <c r="H26" i="5"/>
  <c r="M24" i="5"/>
  <c r="K25" i="5"/>
  <c r="I26" i="5"/>
  <c r="N24" i="5"/>
  <c r="L25" i="5"/>
  <c r="J26" i="5"/>
  <c r="M25" i="5"/>
  <c r="K26" i="5"/>
  <c r="D24" i="5"/>
  <c r="M26" i="5"/>
  <c r="F24" i="5"/>
  <c r="D25" i="5"/>
  <c r="P26" i="5"/>
  <c r="L105" i="5"/>
  <c r="C104" i="5"/>
  <c r="F103" i="5"/>
  <c r="H102" i="5"/>
  <c r="J101" i="5"/>
  <c r="L100" i="5"/>
  <c r="N99" i="5"/>
  <c r="P98" i="5"/>
  <c r="C98" i="5"/>
  <c r="E97" i="5"/>
  <c r="G96" i="5"/>
  <c r="I95" i="5"/>
  <c r="J94" i="5"/>
  <c r="L93" i="5"/>
  <c r="N92" i="5"/>
  <c r="P91" i="5"/>
  <c r="C91" i="5"/>
  <c r="E90" i="5"/>
  <c r="G89" i="5"/>
  <c r="I88" i="5"/>
  <c r="K87" i="5"/>
  <c r="M86" i="5"/>
  <c r="M85" i="5"/>
  <c r="M84" i="5"/>
  <c r="N83" i="5"/>
  <c r="P81" i="5"/>
  <c r="P80" i="5"/>
  <c r="P79" i="5"/>
  <c r="C78" i="5"/>
  <c r="D77" i="5"/>
  <c r="D76" i="5"/>
  <c r="D75" i="5"/>
  <c r="E74" i="5"/>
  <c r="F73" i="5"/>
  <c r="G72" i="5"/>
  <c r="G71" i="5"/>
  <c r="G70" i="5"/>
  <c r="H69" i="5"/>
  <c r="I68" i="5"/>
  <c r="J67" i="5"/>
  <c r="J66" i="5"/>
  <c r="J65" i="5"/>
  <c r="K64" i="5"/>
  <c r="L63" i="5"/>
  <c r="M62" i="5"/>
  <c r="M61" i="5"/>
  <c r="M60" i="5"/>
  <c r="N59" i="5"/>
  <c r="P57" i="5"/>
  <c r="P56" i="5"/>
  <c r="P55" i="5"/>
  <c r="P54" i="5"/>
  <c r="J52" i="5"/>
  <c r="I51" i="5"/>
  <c r="D50" i="5"/>
  <c r="C49" i="5"/>
  <c r="M47" i="5"/>
  <c r="L46" i="5"/>
  <c r="G45" i="5"/>
  <c r="F44" i="5"/>
  <c r="P42" i="5"/>
  <c r="J40" i="5"/>
  <c r="I39" i="5"/>
  <c r="D38" i="5"/>
  <c r="C37" i="5"/>
  <c r="K35" i="5"/>
  <c r="K33" i="5"/>
  <c r="J31" i="5"/>
  <c r="N28" i="5"/>
  <c r="G25" i="5"/>
  <c r="L21" i="5"/>
  <c r="E13" i="5"/>
  <c r="J8" i="5"/>
  <c r="G157" i="5"/>
  <c r="L151" i="5"/>
  <c r="L136" i="5"/>
  <c r="C128" i="5"/>
  <c r="H98" i="6"/>
  <c r="E99" i="6"/>
  <c r="M98" i="6"/>
  <c r="K99" i="6"/>
  <c r="N98" i="6"/>
  <c r="L99" i="6"/>
  <c r="M99" i="6"/>
  <c r="D98" i="6"/>
  <c r="I98" i="6"/>
  <c r="G99" i="6"/>
  <c r="K98" i="6"/>
  <c r="I99" i="6"/>
  <c r="H99" i="6"/>
  <c r="C98" i="6"/>
  <c r="N99" i="6"/>
  <c r="E98" i="6"/>
  <c r="P99" i="6"/>
  <c r="G98" i="6"/>
  <c r="F98" i="6"/>
  <c r="J98" i="6"/>
  <c r="L98" i="6"/>
  <c r="C99" i="6"/>
  <c r="D99" i="6"/>
  <c r="F99" i="6"/>
  <c r="J99" i="6"/>
  <c r="F74" i="6"/>
  <c r="C75" i="6"/>
  <c r="L74" i="6"/>
  <c r="J75" i="6"/>
  <c r="D74" i="6"/>
  <c r="P75" i="6"/>
  <c r="P74" i="6"/>
  <c r="D75" i="6"/>
  <c r="E74" i="6"/>
  <c r="F75" i="6"/>
  <c r="H74" i="6"/>
  <c r="H75" i="6"/>
  <c r="J74" i="6"/>
  <c r="K75" i="6"/>
  <c r="M74" i="6"/>
  <c r="M75" i="6"/>
  <c r="G75" i="6"/>
  <c r="L75" i="6"/>
  <c r="N75" i="6"/>
  <c r="I74" i="6"/>
  <c r="K74" i="6"/>
  <c r="E75" i="6"/>
  <c r="N74" i="6"/>
  <c r="I75" i="6"/>
  <c r="G74" i="6"/>
  <c r="N50" i="6"/>
  <c r="K51" i="6"/>
  <c r="E50" i="6"/>
  <c r="N51" i="6"/>
  <c r="P50" i="6"/>
  <c r="P51" i="6"/>
  <c r="C50" i="6"/>
  <c r="D51" i="6"/>
  <c r="G50" i="6"/>
  <c r="G51" i="6"/>
  <c r="I50" i="6"/>
  <c r="I51" i="6"/>
  <c r="M50" i="6"/>
  <c r="L50" i="6"/>
  <c r="C51" i="6"/>
  <c r="F51" i="6"/>
  <c r="H51" i="6"/>
  <c r="J51" i="6"/>
  <c r="D50" i="6"/>
  <c r="L51" i="6"/>
  <c r="F50" i="6"/>
  <c r="M51" i="6"/>
  <c r="J50" i="6"/>
  <c r="H50" i="6"/>
  <c r="K50" i="6"/>
  <c r="E51" i="6"/>
  <c r="N26" i="6"/>
  <c r="K27" i="6"/>
  <c r="E26" i="6"/>
  <c r="N27" i="6"/>
  <c r="M26" i="6"/>
  <c r="M27" i="6"/>
  <c r="P26" i="6"/>
  <c r="P27" i="6"/>
  <c r="L26" i="6"/>
  <c r="D27" i="6"/>
  <c r="D26" i="6"/>
  <c r="F27" i="6"/>
  <c r="I26" i="6"/>
  <c r="J27" i="6"/>
  <c r="C27" i="6"/>
  <c r="E27" i="6"/>
  <c r="G27" i="6"/>
  <c r="H27" i="6"/>
  <c r="I27" i="6"/>
  <c r="C26" i="6"/>
  <c r="L27" i="6"/>
  <c r="F26" i="6"/>
  <c r="G26" i="6"/>
  <c r="H26" i="6"/>
  <c r="K26" i="6"/>
  <c r="J26" i="6"/>
  <c r="H86" i="6"/>
  <c r="E87" i="6"/>
  <c r="J86" i="6"/>
  <c r="H87" i="6"/>
  <c r="K86" i="6"/>
  <c r="I87" i="6"/>
  <c r="L86" i="6"/>
  <c r="J87" i="6"/>
  <c r="N86" i="6"/>
  <c r="L87" i="6"/>
  <c r="E86" i="6"/>
  <c r="C87" i="6"/>
  <c r="P87" i="6"/>
  <c r="G86" i="6"/>
  <c r="F87" i="6"/>
  <c r="P86" i="6"/>
  <c r="D87" i="6"/>
  <c r="G87" i="6"/>
  <c r="K87" i="6"/>
  <c r="M87" i="6"/>
  <c r="C86" i="6"/>
  <c r="D86" i="6"/>
  <c r="F86" i="6"/>
  <c r="I86" i="6"/>
  <c r="M86" i="6"/>
  <c r="N87" i="6"/>
  <c r="F62" i="6"/>
  <c r="C63" i="6"/>
  <c r="I62" i="6"/>
  <c r="G63" i="6"/>
  <c r="N62" i="6"/>
  <c r="L63" i="6"/>
  <c r="E62" i="6"/>
  <c r="D63" i="6"/>
  <c r="E63" i="6"/>
  <c r="C62" i="6"/>
  <c r="F63" i="6"/>
  <c r="D62" i="6"/>
  <c r="H63" i="6"/>
  <c r="H62" i="6"/>
  <c r="J63" i="6"/>
  <c r="J62" i="6"/>
  <c r="K63" i="6"/>
  <c r="K62" i="6"/>
  <c r="M63" i="6"/>
  <c r="M62" i="6"/>
  <c r="P63" i="6"/>
  <c r="P62" i="6"/>
  <c r="G62" i="6"/>
  <c r="I63" i="6"/>
  <c r="N63" i="6"/>
  <c r="L62" i="6"/>
  <c r="N38" i="6"/>
  <c r="K39" i="6"/>
  <c r="E38" i="6"/>
  <c r="N39" i="6"/>
  <c r="I38" i="6"/>
  <c r="H39" i="6"/>
  <c r="J38" i="6"/>
  <c r="J39" i="6"/>
  <c r="M38" i="6"/>
  <c r="P38" i="6"/>
  <c r="F38" i="6"/>
  <c r="F39" i="6"/>
  <c r="D38" i="6"/>
  <c r="M39" i="6"/>
  <c r="G38" i="6"/>
  <c r="P39" i="6"/>
  <c r="H38" i="6"/>
  <c r="L38" i="6"/>
  <c r="C39" i="6"/>
  <c r="D39" i="6"/>
  <c r="E39" i="6"/>
  <c r="I39" i="6"/>
  <c r="C38" i="6"/>
  <c r="K38" i="6"/>
  <c r="G39" i="6"/>
  <c r="L39" i="6"/>
  <c r="C14" i="6"/>
  <c r="D14" i="6"/>
  <c r="P14" i="6"/>
  <c r="E14" i="6"/>
  <c r="I14" i="6"/>
  <c r="L14" i="6"/>
  <c r="K15" i="6"/>
  <c r="N15" i="6"/>
  <c r="F15" i="6"/>
  <c r="F14" i="6"/>
  <c r="H15" i="6"/>
  <c r="E15" i="6"/>
  <c r="J15" i="6"/>
  <c r="H14" i="6"/>
  <c r="M15" i="6"/>
  <c r="M14" i="6"/>
  <c r="N14" i="6"/>
  <c r="G14" i="6"/>
  <c r="J14" i="6"/>
  <c r="K14" i="6"/>
  <c r="C15" i="6"/>
  <c r="D15" i="6"/>
  <c r="G15" i="6"/>
  <c r="I15" i="6"/>
  <c r="L15" i="6"/>
  <c r="P15" i="6"/>
  <c r="I106" i="6"/>
  <c r="F107" i="6"/>
  <c r="J106" i="6"/>
  <c r="G107" i="6"/>
  <c r="K106" i="6"/>
  <c r="H107" i="6"/>
  <c r="C106" i="6"/>
  <c r="L107" i="6"/>
  <c r="F106" i="6"/>
  <c r="J107" i="6"/>
  <c r="L106" i="6"/>
  <c r="N107" i="6"/>
  <c r="D107" i="6"/>
  <c r="K107" i="6"/>
  <c r="M107" i="6"/>
  <c r="E106" i="6"/>
  <c r="P107" i="6"/>
  <c r="H106" i="6"/>
  <c r="P106" i="6"/>
  <c r="C107" i="6"/>
  <c r="D106" i="6"/>
  <c r="G106" i="6"/>
  <c r="M106" i="6"/>
  <c r="N106" i="6"/>
  <c r="E107" i="6"/>
  <c r="I107" i="6"/>
  <c r="C82" i="6"/>
  <c r="L83" i="6"/>
  <c r="H82" i="6"/>
  <c r="E83" i="6"/>
  <c r="M82" i="6"/>
  <c r="M83" i="6"/>
  <c r="N82" i="6"/>
  <c r="N83" i="6"/>
  <c r="P82" i="6"/>
  <c r="D82" i="6"/>
  <c r="C83" i="6"/>
  <c r="I82" i="6"/>
  <c r="H83" i="6"/>
  <c r="K82" i="6"/>
  <c r="J83" i="6"/>
  <c r="F83" i="6"/>
  <c r="I83" i="6"/>
  <c r="K83" i="6"/>
  <c r="P83" i="6"/>
  <c r="E82" i="6"/>
  <c r="L82" i="6"/>
  <c r="F82" i="6"/>
  <c r="G82" i="6"/>
  <c r="J82" i="6"/>
  <c r="D83" i="6"/>
  <c r="G83" i="6"/>
  <c r="N58" i="6"/>
  <c r="K59" i="6"/>
  <c r="C58" i="6"/>
  <c r="P58" i="6"/>
  <c r="N59" i="6"/>
  <c r="M58" i="6"/>
  <c r="M59" i="6"/>
  <c r="D58" i="6"/>
  <c r="C59" i="6"/>
  <c r="F58" i="6"/>
  <c r="E59" i="6"/>
  <c r="J58" i="6"/>
  <c r="I59" i="6"/>
  <c r="H59" i="6"/>
  <c r="E58" i="6"/>
  <c r="J59" i="6"/>
  <c r="G58" i="6"/>
  <c r="L59" i="6"/>
  <c r="I58" i="6"/>
  <c r="P59" i="6"/>
  <c r="K58" i="6"/>
  <c r="L58" i="6"/>
  <c r="F59" i="6"/>
  <c r="H58" i="6"/>
  <c r="D59" i="6"/>
  <c r="G59" i="6"/>
  <c r="N34" i="6"/>
  <c r="K35" i="6"/>
  <c r="E34" i="6"/>
  <c r="N35" i="6"/>
  <c r="K34" i="6"/>
  <c r="J35" i="6"/>
  <c r="G34" i="6"/>
  <c r="G35" i="6"/>
  <c r="J34" i="6"/>
  <c r="L35" i="6"/>
  <c r="M34" i="6"/>
  <c r="C34" i="6"/>
  <c r="D35" i="6"/>
  <c r="C35" i="6"/>
  <c r="E35" i="6"/>
  <c r="F35" i="6"/>
  <c r="I35" i="6"/>
  <c r="D34" i="6"/>
  <c r="M35" i="6"/>
  <c r="F34" i="6"/>
  <c r="P35" i="6"/>
  <c r="H34" i="6"/>
  <c r="I34" i="6"/>
  <c r="L34" i="6"/>
  <c r="P34" i="6"/>
  <c r="H35" i="6"/>
  <c r="C10" i="6"/>
  <c r="L11" i="6"/>
  <c r="D10" i="6"/>
  <c r="P10" i="6"/>
  <c r="M11" i="6"/>
  <c r="E10" i="6"/>
  <c r="N11" i="6"/>
  <c r="I10" i="6"/>
  <c r="F11" i="6"/>
  <c r="D11" i="6"/>
  <c r="F10" i="6"/>
  <c r="H11" i="6"/>
  <c r="C11" i="6"/>
  <c r="G11" i="6"/>
  <c r="G10" i="6"/>
  <c r="P11" i="6"/>
  <c r="K10" i="6"/>
  <c r="M10" i="6"/>
  <c r="I11" i="6"/>
  <c r="J11" i="6"/>
  <c r="E11" i="6"/>
  <c r="K11" i="6"/>
  <c r="H10" i="6"/>
  <c r="J10" i="6"/>
  <c r="N10" i="6"/>
  <c r="L10" i="6"/>
  <c r="E97" i="6"/>
  <c r="M96" i="6"/>
  <c r="J96" i="6"/>
  <c r="F93" i="6"/>
  <c r="J92" i="6"/>
  <c r="N96" i="6"/>
  <c r="K97" i="6"/>
  <c r="D96" i="6"/>
  <c r="E96" i="6"/>
  <c r="C97" i="6"/>
  <c r="P97" i="6"/>
  <c r="F96" i="6"/>
  <c r="D97" i="6"/>
  <c r="H96" i="6"/>
  <c r="F97" i="6"/>
  <c r="L96" i="6"/>
  <c r="J97" i="6"/>
  <c r="M97" i="6"/>
  <c r="L97" i="6"/>
  <c r="G96" i="6"/>
  <c r="I96" i="6"/>
  <c r="K96" i="6"/>
  <c r="G97" i="6"/>
  <c r="I97" i="6"/>
  <c r="N97" i="6"/>
  <c r="L72" i="6"/>
  <c r="I73" i="6"/>
  <c r="C72" i="6"/>
  <c r="P72" i="6"/>
  <c r="N73" i="6"/>
  <c r="H72" i="6"/>
  <c r="F73" i="6"/>
  <c r="N72" i="6"/>
  <c r="P73" i="6"/>
  <c r="D72" i="6"/>
  <c r="D73" i="6"/>
  <c r="F72" i="6"/>
  <c r="G73" i="6"/>
  <c r="I72" i="6"/>
  <c r="J73" i="6"/>
  <c r="K72" i="6"/>
  <c r="L73" i="6"/>
  <c r="M72" i="6"/>
  <c r="E73" i="6"/>
  <c r="H73" i="6"/>
  <c r="K73" i="6"/>
  <c r="M73" i="6"/>
  <c r="E72" i="6"/>
  <c r="J72" i="6"/>
  <c r="C73" i="6"/>
  <c r="H48" i="6"/>
  <c r="E49" i="6"/>
  <c r="K48" i="6"/>
  <c r="H49" i="6"/>
  <c r="C48" i="6"/>
  <c r="P49" i="6"/>
  <c r="P48" i="6"/>
  <c r="E48" i="6"/>
  <c r="F49" i="6"/>
  <c r="G48" i="6"/>
  <c r="I49" i="6"/>
  <c r="M48" i="6"/>
  <c r="M49" i="6"/>
  <c r="D49" i="6"/>
  <c r="G49" i="6"/>
  <c r="J49" i="6"/>
  <c r="D48" i="6"/>
  <c r="L49" i="6"/>
  <c r="F48" i="6"/>
  <c r="N49" i="6"/>
  <c r="I48" i="6"/>
  <c r="J48" i="6"/>
  <c r="L48" i="6"/>
  <c r="N48" i="6"/>
  <c r="K49" i="6"/>
  <c r="C49" i="6"/>
  <c r="H24" i="6"/>
  <c r="E25" i="6"/>
  <c r="K24" i="6"/>
  <c r="H25" i="6"/>
  <c r="N25" i="6"/>
  <c r="C24" i="6"/>
  <c r="P25" i="6"/>
  <c r="I24" i="6"/>
  <c r="K25" i="6"/>
  <c r="M24" i="6"/>
  <c r="P24" i="6"/>
  <c r="E24" i="6"/>
  <c r="G25" i="6"/>
  <c r="F25" i="6"/>
  <c r="I25" i="6"/>
  <c r="J25" i="6"/>
  <c r="L25" i="6"/>
  <c r="D24" i="6"/>
  <c r="M25" i="6"/>
  <c r="F24" i="6"/>
  <c r="G24" i="6"/>
  <c r="J24" i="6"/>
  <c r="L24" i="6"/>
  <c r="C25" i="6"/>
  <c r="N24" i="6"/>
  <c r="D25" i="6"/>
  <c r="F92" i="6"/>
  <c r="N92" i="6"/>
  <c r="K93" i="6"/>
  <c r="K92" i="6"/>
  <c r="I93" i="6"/>
  <c r="L92" i="6"/>
  <c r="J93" i="6"/>
  <c r="M92" i="6"/>
  <c r="L93" i="6"/>
  <c r="C92" i="6"/>
  <c r="P92" i="6"/>
  <c r="N93" i="6"/>
  <c r="G92" i="6"/>
  <c r="E93" i="6"/>
  <c r="I92" i="6"/>
  <c r="G93" i="6"/>
  <c r="H92" i="6"/>
  <c r="D93" i="6"/>
  <c r="C93" i="6"/>
  <c r="H93" i="6"/>
  <c r="M93" i="6"/>
  <c r="P93" i="6"/>
  <c r="L68" i="6"/>
  <c r="I69" i="6"/>
  <c r="J68" i="6"/>
  <c r="H69" i="6"/>
  <c r="C68" i="6"/>
  <c r="P68" i="6"/>
  <c r="N69" i="6"/>
  <c r="K68" i="6"/>
  <c r="L69" i="6"/>
  <c r="M68" i="6"/>
  <c r="M69" i="6"/>
  <c r="N68" i="6"/>
  <c r="D68" i="6"/>
  <c r="D69" i="6"/>
  <c r="F68" i="6"/>
  <c r="F69" i="6"/>
  <c r="H68" i="6"/>
  <c r="J69" i="6"/>
  <c r="E68" i="6"/>
  <c r="I68" i="6"/>
  <c r="C69" i="6"/>
  <c r="E69" i="6"/>
  <c r="K69" i="6"/>
  <c r="P69" i="6"/>
  <c r="G68" i="6"/>
  <c r="H44" i="6"/>
  <c r="E45" i="6"/>
  <c r="K44" i="6"/>
  <c r="H45" i="6"/>
  <c r="E44" i="6"/>
  <c r="D45" i="6"/>
  <c r="N44" i="6"/>
  <c r="N45" i="6"/>
  <c r="D44" i="6"/>
  <c r="F45" i="6"/>
  <c r="J44" i="6"/>
  <c r="K45" i="6"/>
  <c r="I44" i="6"/>
  <c r="P45" i="6"/>
  <c r="L44" i="6"/>
  <c r="M44" i="6"/>
  <c r="P44" i="6"/>
  <c r="C45" i="6"/>
  <c r="G45" i="6"/>
  <c r="I45" i="6"/>
  <c r="J45" i="6"/>
  <c r="F44" i="6"/>
  <c r="M45" i="6"/>
  <c r="G44" i="6"/>
  <c r="L45" i="6"/>
  <c r="C44" i="6"/>
  <c r="H20" i="6"/>
  <c r="E21" i="6"/>
  <c r="K20" i="6"/>
  <c r="H21" i="6"/>
  <c r="C20" i="6"/>
  <c r="P21" i="6"/>
  <c r="E20" i="6"/>
  <c r="D21" i="6"/>
  <c r="P20" i="6"/>
  <c r="D20" i="6"/>
  <c r="G21" i="6"/>
  <c r="G20" i="6"/>
  <c r="J21" i="6"/>
  <c r="M20" i="6"/>
  <c r="N21" i="6"/>
  <c r="M21" i="6"/>
  <c r="F20" i="6"/>
  <c r="I20" i="6"/>
  <c r="J20" i="6"/>
  <c r="L20" i="6"/>
  <c r="N20" i="6"/>
  <c r="C21" i="6"/>
  <c r="F21" i="6"/>
  <c r="K21" i="6"/>
  <c r="L21" i="6"/>
  <c r="I21" i="6"/>
  <c r="D92" i="6"/>
  <c r="H90" i="6"/>
  <c r="E91" i="6"/>
  <c r="M91" i="6"/>
  <c r="C90" i="6"/>
  <c r="P90" i="6"/>
  <c r="N91" i="6"/>
  <c r="D90" i="6"/>
  <c r="F90" i="6"/>
  <c r="D91" i="6"/>
  <c r="K90" i="6"/>
  <c r="I91" i="6"/>
  <c r="M90" i="6"/>
  <c r="K91" i="6"/>
  <c r="L90" i="6"/>
  <c r="C91" i="6"/>
  <c r="F91" i="6"/>
  <c r="H91" i="6"/>
  <c r="G90" i="6"/>
  <c r="J90" i="6"/>
  <c r="N90" i="6"/>
  <c r="G91" i="6"/>
  <c r="J91" i="6"/>
  <c r="L91" i="6"/>
  <c r="F66" i="6"/>
  <c r="C67" i="6"/>
  <c r="N66" i="6"/>
  <c r="L67" i="6"/>
  <c r="G66" i="6"/>
  <c r="E67" i="6"/>
  <c r="J66" i="6"/>
  <c r="J67" i="6"/>
  <c r="K66" i="6"/>
  <c r="K67" i="6"/>
  <c r="L66" i="6"/>
  <c r="M67" i="6"/>
  <c r="P67" i="6"/>
  <c r="D66" i="6"/>
  <c r="F67" i="6"/>
  <c r="H66" i="6"/>
  <c r="H67" i="6"/>
  <c r="C66" i="6"/>
  <c r="E66" i="6"/>
  <c r="I66" i="6"/>
  <c r="M66" i="6"/>
  <c r="D67" i="6"/>
  <c r="G67" i="6"/>
  <c r="I67" i="6"/>
  <c r="P66" i="6"/>
  <c r="N67" i="6"/>
  <c r="N42" i="6"/>
  <c r="K43" i="6"/>
  <c r="E42" i="6"/>
  <c r="N43" i="6"/>
  <c r="G42" i="6"/>
  <c r="F43" i="6"/>
  <c r="L42" i="6"/>
  <c r="M43" i="6"/>
  <c r="P42" i="6"/>
  <c r="C42" i="6"/>
  <c r="D43" i="6"/>
  <c r="I42" i="6"/>
  <c r="I43" i="6"/>
  <c r="C43" i="6"/>
  <c r="E43" i="6"/>
  <c r="H43" i="6"/>
  <c r="J43" i="6"/>
  <c r="D42" i="6"/>
  <c r="L43" i="6"/>
  <c r="F42" i="6"/>
  <c r="H42" i="6"/>
  <c r="P43" i="6"/>
  <c r="K42" i="6"/>
  <c r="G43" i="6"/>
  <c r="M42" i="6"/>
  <c r="J42" i="6"/>
  <c r="N18" i="6"/>
  <c r="K19" i="6"/>
  <c r="E18" i="6"/>
  <c r="N19" i="6"/>
  <c r="D18" i="6"/>
  <c r="D19" i="6"/>
  <c r="G18" i="6"/>
  <c r="F19" i="6"/>
  <c r="L18" i="6"/>
  <c r="P18" i="6"/>
  <c r="E19" i="6"/>
  <c r="I18" i="6"/>
  <c r="J19" i="6"/>
  <c r="H18" i="6"/>
  <c r="J18" i="6"/>
  <c r="K18" i="6"/>
  <c r="M18" i="6"/>
  <c r="C19" i="6"/>
  <c r="G19" i="6"/>
  <c r="H19" i="6"/>
  <c r="I19" i="6"/>
  <c r="C18" i="6"/>
  <c r="M19" i="6"/>
  <c r="F18" i="6"/>
  <c r="L19" i="6"/>
  <c r="P19" i="6"/>
  <c r="P91" i="6"/>
  <c r="I90" i="6"/>
  <c r="H97" i="6"/>
  <c r="P103" i="6"/>
  <c r="I79" i="6"/>
  <c r="G79" i="6"/>
  <c r="N104" i="6"/>
  <c r="K105" i="6"/>
  <c r="C104" i="6"/>
  <c r="P104" i="6"/>
  <c r="N105" i="6"/>
  <c r="F104" i="6"/>
  <c r="D105" i="6"/>
  <c r="E104" i="6"/>
  <c r="F105" i="6"/>
  <c r="I80" i="6"/>
  <c r="F81" i="6"/>
  <c r="N80" i="6"/>
  <c r="K81" i="6"/>
  <c r="N81" i="6"/>
  <c r="P80" i="6"/>
  <c r="C80" i="6"/>
  <c r="P81" i="6"/>
  <c r="E80" i="6"/>
  <c r="D81" i="6"/>
  <c r="J80" i="6"/>
  <c r="I81" i="6"/>
  <c r="L80" i="6"/>
  <c r="L81" i="6"/>
  <c r="G81" i="6"/>
  <c r="J81" i="6"/>
  <c r="M81" i="6"/>
  <c r="D80" i="6"/>
  <c r="F80" i="6"/>
  <c r="M80" i="6"/>
  <c r="H56" i="6"/>
  <c r="E57" i="6"/>
  <c r="F56" i="6"/>
  <c r="D57" i="6"/>
  <c r="N57" i="6"/>
  <c r="D56" i="6"/>
  <c r="C57" i="6"/>
  <c r="G56" i="6"/>
  <c r="G57" i="6"/>
  <c r="L56" i="6"/>
  <c r="K57" i="6"/>
  <c r="K56" i="6"/>
  <c r="P57" i="6"/>
  <c r="M56" i="6"/>
  <c r="N56" i="6"/>
  <c r="F57" i="6"/>
  <c r="H57" i="6"/>
  <c r="C56" i="6"/>
  <c r="J57" i="6"/>
  <c r="I56" i="6"/>
  <c r="M57" i="6"/>
  <c r="E56" i="6"/>
  <c r="J56" i="6"/>
  <c r="P56" i="6"/>
  <c r="I57" i="6"/>
  <c r="H32" i="6"/>
  <c r="E33" i="6"/>
  <c r="K32" i="6"/>
  <c r="H33" i="6"/>
  <c r="M32" i="6"/>
  <c r="L33" i="6"/>
  <c r="E32" i="6"/>
  <c r="F33" i="6"/>
  <c r="I32" i="6"/>
  <c r="J33" i="6"/>
  <c r="L32" i="6"/>
  <c r="M33" i="6"/>
  <c r="I33" i="6"/>
  <c r="C32" i="6"/>
  <c r="K33" i="6"/>
  <c r="D32" i="6"/>
  <c r="N33" i="6"/>
  <c r="G32" i="6"/>
  <c r="P33" i="6"/>
  <c r="J32" i="6"/>
  <c r="N32" i="6"/>
  <c r="P32" i="6"/>
  <c r="D33" i="6"/>
  <c r="F32" i="6"/>
  <c r="C33" i="6"/>
  <c r="G33" i="6"/>
  <c r="I8" i="6"/>
  <c r="F9" i="6"/>
  <c r="J8" i="6"/>
  <c r="G9" i="6"/>
  <c r="K8" i="6"/>
  <c r="H9" i="6"/>
  <c r="C8" i="6"/>
  <c r="L9" i="6"/>
  <c r="M8" i="6"/>
  <c r="E8" i="6"/>
  <c r="K9" i="6"/>
  <c r="G8" i="6"/>
  <c r="N9" i="6"/>
  <c r="H8" i="6"/>
  <c r="P8" i="6"/>
  <c r="D9" i="6"/>
  <c r="J9" i="6"/>
  <c r="M9" i="6"/>
  <c r="F8" i="6"/>
  <c r="L8" i="6"/>
  <c r="N8" i="6"/>
  <c r="C9" i="6"/>
  <c r="E9" i="6"/>
  <c r="I9" i="6"/>
  <c r="P9" i="6"/>
  <c r="D8" i="6"/>
  <c r="N103" i="6"/>
  <c r="L57" i="6"/>
  <c r="H102" i="6"/>
  <c r="E103" i="6"/>
  <c r="E102" i="6"/>
  <c r="F102" i="6"/>
  <c r="D103" i="6"/>
  <c r="J102" i="6"/>
  <c r="H103" i="6"/>
  <c r="C103" i="6"/>
  <c r="C78" i="6"/>
  <c r="L79" i="6"/>
  <c r="H78" i="6"/>
  <c r="E79" i="6"/>
  <c r="P78" i="6"/>
  <c r="P79" i="6"/>
  <c r="D78" i="6"/>
  <c r="C79" i="6"/>
  <c r="F78" i="6"/>
  <c r="F79" i="6"/>
  <c r="K78" i="6"/>
  <c r="J79" i="6"/>
  <c r="M78" i="6"/>
  <c r="M79" i="6"/>
  <c r="H79" i="6"/>
  <c r="K79" i="6"/>
  <c r="N79" i="6"/>
  <c r="E78" i="6"/>
  <c r="G78" i="6"/>
  <c r="N78" i="6"/>
  <c r="N54" i="6"/>
  <c r="K55" i="6"/>
  <c r="J54" i="6"/>
  <c r="H55" i="6"/>
  <c r="C54" i="6"/>
  <c r="P55" i="6"/>
  <c r="F54" i="6"/>
  <c r="E55" i="6"/>
  <c r="H54" i="6"/>
  <c r="G55" i="6"/>
  <c r="M54" i="6"/>
  <c r="M55" i="6"/>
  <c r="D55" i="6"/>
  <c r="F55" i="6"/>
  <c r="I55" i="6"/>
  <c r="E54" i="6"/>
  <c r="L55" i="6"/>
  <c r="G54" i="6"/>
  <c r="N55" i="6"/>
  <c r="I54" i="6"/>
  <c r="L54" i="6"/>
  <c r="P54" i="6"/>
  <c r="D54" i="6"/>
  <c r="C55" i="6"/>
  <c r="J55" i="6"/>
  <c r="N30" i="6"/>
  <c r="K31" i="6"/>
  <c r="E30" i="6"/>
  <c r="N31" i="6"/>
  <c r="M30" i="6"/>
  <c r="M31" i="6"/>
  <c r="D30" i="6"/>
  <c r="E31" i="6"/>
  <c r="H30" i="6"/>
  <c r="H31" i="6"/>
  <c r="J30" i="6"/>
  <c r="J31" i="6"/>
  <c r="P30" i="6"/>
  <c r="G30" i="6"/>
  <c r="P31" i="6"/>
  <c r="I30" i="6"/>
  <c r="K30" i="6"/>
  <c r="C31" i="6"/>
  <c r="D31" i="6"/>
  <c r="F31" i="6"/>
  <c r="G31" i="6"/>
  <c r="C30" i="6"/>
  <c r="L31" i="6"/>
  <c r="L30" i="6"/>
  <c r="I31" i="6"/>
  <c r="F30" i="6"/>
  <c r="C6" i="6"/>
  <c r="L7" i="6"/>
  <c r="D6" i="6"/>
  <c r="P6" i="6"/>
  <c r="M7" i="6"/>
  <c r="E6" i="6"/>
  <c r="N7" i="6"/>
  <c r="I6" i="6"/>
  <c r="F7" i="6"/>
  <c r="G6" i="6"/>
  <c r="I7" i="6"/>
  <c r="K6" i="6"/>
  <c r="M6" i="6"/>
  <c r="C7" i="6"/>
  <c r="L6" i="6"/>
  <c r="E7" i="6"/>
  <c r="H7" i="6"/>
  <c r="P7" i="6"/>
  <c r="F6" i="6"/>
  <c r="H6" i="6"/>
  <c r="J6" i="6"/>
  <c r="N6" i="6"/>
  <c r="D7" i="6"/>
  <c r="G7" i="6"/>
  <c r="J7" i="6"/>
  <c r="K7" i="6"/>
  <c r="M103" i="6"/>
  <c r="L102" i="6"/>
  <c r="L78" i="6"/>
  <c r="K54" i="6"/>
  <c r="L103" i="6"/>
  <c r="K102" i="6"/>
  <c r="J78" i="6"/>
  <c r="I78" i="6"/>
  <c r="J103" i="6"/>
  <c r="G102" i="6"/>
  <c r="H81" i="6"/>
  <c r="J61" i="6"/>
  <c r="D61" i="6"/>
  <c r="C108" i="6"/>
  <c r="L109" i="6"/>
  <c r="D108" i="6"/>
  <c r="P108" i="6"/>
  <c r="M109" i="6"/>
  <c r="E108" i="6"/>
  <c r="N109" i="6"/>
  <c r="I108" i="6"/>
  <c r="F109" i="6"/>
  <c r="L108" i="6"/>
  <c r="P109" i="6"/>
  <c r="C109" i="6"/>
  <c r="H108" i="6"/>
  <c r="K108" i="6"/>
  <c r="G109" i="6"/>
  <c r="J109" i="6"/>
  <c r="F108" i="6"/>
  <c r="M108" i="6"/>
  <c r="N108" i="6"/>
  <c r="G108" i="6"/>
  <c r="J108" i="6"/>
  <c r="D109" i="6"/>
  <c r="E109" i="6"/>
  <c r="H109" i="6"/>
  <c r="I109" i="6"/>
  <c r="K109" i="6"/>
  <c r="I84" i="6"/>
  <c r="F85" i="6"/>
  <c r="N84" i="6"/>
  <c r="K85" i="6"/>
  <c r="L84" i="6"/>
  <c r="L85" i="6"/>
  <c r="M84" i="6"/>
  <c r="M85" i="6"/>
  <c r="N85" i="6"/>
  <c r="C84" i="6"/>
  <c r="P85" i="6"/>
  <c r="G84" i="6"/>
  <c r="G85" i="6"/>
  <c r="J84" i="6"/>
  <c r="I85" i="6"/>
  <c r="H60" i="6"/>
  <c r="L60" i="6"/>
  <c r="I61" i="6"/>
  <c r="M60" i="6"/>
  <c r="K61" i="6"/>
  <c r="D60" i="6"/>
  <c r="C61" i="6"/>
  <c r="P61" i="6"/>
  <c r="I60" i="6"/>
  <c r="G61" i="6"/>
  <c r="P60" i="6"/>
  <c r="E61" i="6"/>
  <c r="C60" i="6"/>
  <c r="F61" i="6"/>
  <c r="E60" i="6"/>
  <c r="H61" i="6"/>
  <c r="G60" i="6"/>
  <c r="L61" i="6"/>
  <c r="K60" i="6"/>
  <c r="N61" i="6"/>
  <c r="H36" i="6"/>
  <c r="E37" i="6"/>
  <c r="K36" i="6"/>
  <c r="H37" i="6"/>
  <c r="J36" i="6"/>
  <c r="J37" i="6"/>
  <c r="G36" i="6"/>
  <c r="I37" i="6"/>
  <c r="M36" i="6"/>
  <c r="M37" i="6"/>
  <c r="D36" i="6"/>
  <c r="D37" i="6"/>
  <c r="L36" i="6"/>
  <c r="N36" i="6"/>
  <c r="P36" i="6"/>
  <c r="C37" i="6"/>
  <c r="F37" i="6"/>
  <c r="G37" i="6"/>
  <c r="K37" i="6"/>
  <c r="C36" i="6"/>
  <c r="L37" i="6"/>
  <c r="F36" i="6"/>
  <c r="P37" i="6"/>
  <c r="I12" i="6"/>
  <c r="F13" i="6"/>
  <c r="J12" i="6"/>
  <c r="G13" i="6"/>
  <c r="K12" i="6"/>
  <c r="H13" i="6"/>
  <c r="C12" i="6"/>
  <c r="L13" i="6"/>
  <c r="F12" i="6"/>
  <c r="J13" i="6"/>
  <c r="L12" i="6"/>
  <c r="N13" i="6"/>
  <c r="H12" i="6"/>
  <c r="P13" i="6"/>
  <c r="N12" i="6"/>
  <c r="K13" i="6"/>
  <c r="E12" i="6"/>
  <c r="M12" i="6"/>
  <c r="C13" i="6"/>
  <c r="D13" i="6"/>
  <c r="D12" i="6"/>
  <c r="G12" i="6"/>
  <c r="P12" i="6"/>
  <c r="E13" i="6"/>
  <c r="I13" i="6"/>
  <c r="J85" i="6"/>
  <c r="H85" i="6"/>
  <c r="N37" i="6"/>
  <c r="D85" i="6"/>
  <c r="N77" i="6"/>
  <c r="K71" i="6"/>
  <c r="J70" i="6"/>
  <c r="J53" i="6"/>
  <c r="C52" i="6"/>
  <c r="H47" i="6"/>
  <c r="I28" i="6"/>
  <c r="F23" i="6"/>
  <c r="L77" i="6"/>
  <c r="H71" i="6"/>
  <c r="H70" i="6"/>
  <c r="F53" i="6"/>
  <c r="C47" i="6"/>
  <c r="M29" i="6"/>
  <c r="D28" i="6"/>
  <c r="L29" i="6"/>
  <c r="C28" i="6"/>
  <c r="M22" i="6"/>
  <c r="M51" i="7"/>
  <c r="N51" i="7"/>
  <c r="C51" i="7"/>
  <c r="D51" i="7"/>
  <c r="P51" i="7"/>
  <c r="H51" i="7"/>
  <c r="I51" i="7"/>
  <c r="J51" i="7"/>
  <c r="E51" i="7"/>
  <c r="G51" i="7"/>
  <c r="L51" i="7"/>
  <c r="F51" i="7"/>
  <c r="K51" i="7"/>
  <c r="L39" i="7"/>
  <c r="M39" i="7"/>
  <c r="N39" i="7"/>
  <c r="C39" i="7"/>
  <c r="D39" i="7"/>
  <c r="P39" i="7"/>
  <c r="E39" i="7"/>
  <c r="H39" i="7"/>
  <c r="I39" i="7"/>
  <c r="J39" i="7"/>
  <c r="F39" i="7"/>
  <c r="G39" i="7"/>
  <c r="K39" i="7"/>
  <c r="L27" i="7"/>
  <c r="M27" i="7"/>
  <c r="N27" i="7"/>
  <c r="C27" i="7"/>
  <c r="D27" i="7"/>
  <c r="P27" i="7"/>
  <c r="E27" i="7"/>
  <c r="F27" i="7"/>
  <c r="G27" i="7"/>
  <c r="H27" i="7"/>
  <c r="I27" i="7"/>
  <c r="J27" i="7"/>
  <c r="K27" i="7"/>
  <c r="L15" i="7"/>
  <c r="M15" i="7"/>
  <c r="N15" i="7"/>
  <c r="C15" i="7"/>
  <c r="D15" i="7"/>
  <c r="P15" i="7"/>
  <c r="E15" i="7"/>
  <c r="F15" i="7"/>
  <c r="G15" i="7"/>
  <c r="H15" i="7"/>
  <c r="I15" i="7"/>
  <c r="J15" i="7"/>
  <c r="K15" i="7"/>
  <c r="M46" i="6"/>
  <c r="K29" i="6"/>
  <c r="L22" i="6"/>
  <c r="J22" i="6"/>
  <c r="N100" i="6"/>
  <c r="K101" i="6"/>
  <c r="L76" i="6"/>
  <c r="H76" i="6"/>
  <c r="F77" i="6"/>
  <c r="N76" i="6"/>
  <c r="K77" i="6"/>
  <c r="H52" i="6"/>
  <c r="E53" i="6"/>
  <c r="N52" i="6"/>
  <c r="L53" i="6"/>
  <c r="D52" i="6"/>
  <c r="C53" i="6"/>
  <c r="G52" i="6"/>
  <c r="G53" i="6"/>
  <c r="J52" i="6"/>
  <c r="I53" i="6"/>
  <c r="N53" i="6"/>
  <c r="H28" i="6"/>
  <c r="E29" i="6"/>
  <c r="K28" i="6"/>
  <c r="H29" i="6"/>
  <c r="M28" i="6"/>
  <c r="N29" i="6"/>
  <c r="C29" i="6"/>
  <c r="E28" i="6"/>
  <c r="G29" i="6"/>
  <c r="G28" i="6"/>
  <c r="J29" i="6"/>
  <c r="N28" i="6"/>
  <c r="L101" i="6"/>
  <c r="M100" i="6"/>
  <c r="G77" i="6"/>
  <c r="F76" i="6"/>
  <c r="M52" i="6"/>
  <c r="J46" i="6"/>
  <c r="F29" i="6"/>
  <c r="H22" i="6"/>
  <c r="D77" i="6"/>
  <c r="D76" i="6"/>
  <c r="P53" i="6"/>
  <c r="K52" i="6"/>
  <c r="H94" i="6"/>
  <c r="E95" i="6"/>
  <c r="F70" i="6"/>
  <c r="C71" i="6"/>
  <c r="G70" i="6"/>
  <c r="E71" i="6"/>
  <c r="L70" i="6"/>
  <c r="J71" i="6"/>
  <c r="N46" i="6"/>
  <c r="K47" i="6"/>
  <c r="E46" i="6"/>
  <c r="N47" i="6"/>
  <c r="D46" i="6"/>
  <c r="D47" i="6"/>
  <c r="P47" i="6"/>
  <c r="C46" i="6"/>
  <c r="E47" i="6"/>
  <c r="G46" i="6"/>
  <c r="G47" i="6"/>
  <c r="K46" i="6"/>
  <c r="L47" i="6"/>
  <c r="N22" i="6"/>
  <c r="K23" i="6"/>
  <c r="E22" i="6"/>
  <c r="N23" i="6"/>
  <c r="P22" i="6"/>
  <c r="P23" i="6"/>
  <c r="D22" i="6"/>
  <c r="D23" i="6"/>
  <c r="F22" i="6"/>
  <c r="G23" i="6"/>
  <c r="I22" i="6"/>
  <c r="J23" i="6"/>
  <c r="K22" i="6"/>
  <c r="M23" i="6"/>
  <c r="C23" i="6"/>
  <c r="H101" i="6"/>
  <c r="J100" i="6"/>
  <c r="G95" i="6"/>
  <c r="I94" i="6"/>
  <c r="C77" i="6"/>
  <c r="C76" i="6"/>
  <c r="N71" i="6"/>
  <c r="N70" i="6"/>
  <c r="I52" i="6"/>
  <c r="M47" i="6"/>
  <c r="F46" i="6"/>
  <c r="P28" i="6"/>
  <c r="L23" i="6"/>
  <c r="P77" i="6"/>
  <c r="M71" i="6"/>
  <c r="M70" i="6"/>
  <c r="M53" i="6"/>
  <c r="F52" i="6"/>
  <c r="J47" i="6"/>
  <c r="L28" i="6"/>
  <c r="I23" i="6"/>
  <c r="I41" i="6"/>
  <c r="F17" i="6"/>
  <c r="L64" i="6"/>
  <c r="I65" i="6"/>
  <c r="H40" i="6"/>
  <c r="E41" i="6"/>
  <c r="K40" i="6"/>
  <c r="H41" i="6"/>
  <c r="G40" i="6"/>
  <c r="G41" i="6"/>
  <c r="H16" i="6"/>
  <c r="E17" i="6"/>
  <c r="K16" i="6"/>
  <c r="H17" i="6"/>
  <c r="E16" i="6"/>
  <c r="D17" i="6"/>
  <c r="G16" i="6"/>
  <c r="G17" i="6"/>
  <c r="K89" i="6"/>
  <c r="H65" i="6"/>
  <c r="J64" i="6"/>
  <c r="P17" i="6"/>
  <c r="D50" i="7"/>
  <c r="P50" i="7"/>
  <c r="E50" i="7"/>
  <c r="F50" i="7"/>
  <c r="G50" i="7"/>
  <c r="K50" i="7"/>
  <c r="L50" i="7"/>
  <c r="M50" i="7"/>
  <c r="C50" i="7"/>
  <c r="H50" i="7"/>
  <c r="J50" i="7"/>
  <c r="C38" i="7"/>
  <c r="D38" i="7"/>
  <c r="P38" i="7"/>
  <c r="E38" i="7"/>
  <c r="F38" i="7"/>
  <c r="G38" i="7"/>
  <c r="H38" i="7"/>
  <c r="K38" i="7"/>
  <c r="L38" i="7"/>
  <c r="M38" i="7"/>
  <c r="I38" i="7"/>
  <c r="J38" i="7"/>
  <c r="N38" i="7"/>
  <c r="C26" i="7"/>
  <c r="D26" i="7"/>
  <c r="P26" i="7"/>
  <c r="E26" i="7"/>
  <c r="F26" i="7"/>
  <c r="G26" i="7"/>
  <c r="H26" i="7"/>
  <c r="I26" i="7"/>
  <c r="J26" i="7"/>
  <c r="K26" i="7"/>
  <c r="L26" i="7"/>
  <c r="M26" i="7"/>
  <c r="N26" i="7"/>
  <c r="C14" i="7"/>
  <c r="D14" i="7"/>
  <c r="P14" i="7"/>
  <c r="E14" i="7"/>
  <c r="F14" i="7"/>
  <c r="G14" i="7"/>
  <c r="H14" i="7"/>
  <c r="I14" i="7"/>
  <c r="J14" i="7"/>
  <c r="K14" i="7"/>
  <c r="L14" i="7"/>
  <c r="M14" i="7"/>
  <c r="N14" i="7"/>
  <c r="N17" i="6"/>
  <c r="M16" i="6"/>
  <c r="J48" i="7"/>
  <c r="K48" i="7"/>
  <c r="L48" i="7"/>
  <c r="M48" i="7"/>
  <c r="E48" i="7"/>
  <c r="F48" i="7"/>
  <c r="G48" i="7"/>
  <c r="C48" i="7"/>
  <c r="D48" i="7"/>
  <c r="H48" i="7"/>
  <c r="N48" i="7"/>
  <c r="I48" i="7"/>
  <c r="P48" i="7"/>
  <c r="I36" i="7"/>
  <c r="J36" i="7"/>
  <c r="K36" i="7"/>
  <c r="L36" i="7"/>
  <c r="M36" i="7"/>
  <c r="N36" i="7"/>
  <c r="E36" i="7"/>
  <c r="F36" i="7"/>
  <c r="G36" i="7"/>
  <c r="C36" i="7"/>
  <c r="D36" i="7"/>
  <c r="H36" i="7"/>
  <c r="P36" i="7"/>
  <c r="I24" i="7"/>
  <c r="J24" i="7"/>
  <c r="K24" i="7"/>
  <c r="L24" i="7"/>
  <c r="M24" i="7"/>
  <c r="N24" i="7"/>
  <c r="C24" i="7"/>
  <c r="D24" i="7"/>
  <c r="P24" i="7"/>
  <c r="E24" i="7"/>
  <c r="F24" i="7"/>
  <c r="G24" i="7"/>
  <c r="H24" i="7"/>
  <c r="I12" i="7"/>
  <c r="J12" i="7"/>
  <c r="K12" i="7"/>
  <c r="L12" i="7"/>
  <c r="M12" i="7"/>
  <c r="N12" i="7"/>
  <c r="C12" i="7"/>
  <c r="D12" i="7"/>
  <c r="P12" i="7"/>
  <c r="E12" i="7"/>
  <c r="F12" i="7"/>
  <c r="G12" i="7"/>
  <c r="H12" i="7"/>
  <c r="D46" i="7"/>
  <c r="P46" i="7"/>
  <c r="E46" i="7"/>
  <c r="F46" i="7"/>
  <c r="G46" i="7"/>
  <c r="K46" i="7"/>
  <c r="L46" i="7"/>
  <c r="M46" i="7"/>
  <c r="C46" i="7"/>
  <c r="H46" i="7"/>
  <c r="I46" i="7"/>
  <c r="N46" i="7"/>
  <c r="J46" i="7"/>
  <c r="C34" i="7"/>
  <c r="D34" i="7"/>
  <c r="P34" i="7"/>
  <c r="E34" i="7"/>
  <c r="F34" i="7"/>
  <c r="G34" i="7"/>
  <c r="H34" i="7"/>
  <c r="K34" i="7"/>
  <c r="L34" i="7"/>
  <c r="M34" i="7"/>
  <c r="J34" i="7"/>
  <c r="I34" i="7"/>
  <c r="N34" i="7"/>
  <c r="C22" i="7"/>
  <c r="D22" i="7"/>
  <c r="P22" i="7"/>
  <c r="E22" i="7"/>
  <c r="F22" i="7"/>
  <c r="G22" i="7"/>
  <c r="H22" i="7"/>
  <c r="I22" i="7"/>
  <c r="J22" i="7"/>
  <c r="K22" i="7"/>
  <c r="L22" i="7"/>
  <c r="M22" i="7"/>
  <c r="N22" i="7"/>
  <c r="C10" i="7"/>
  <c r="D10" i="7"/>
  <c r="P10" i="7"/>
  <c r="E10" i="7"/>
  <c r="F10" i="7"/>
  <c r="G10" i="7"/>
  <c r="H10" i="7"/>
  <c r="I10" i="7"/>
  <c r="J10" i="7"/>
  <c r="K10" i="7"/>
  <c r="L10" i="7"/>
  <c r="M10" i="7"/>
  <c r="N10" i="7"/>
  <c r="P65" i="6"/>
  <c r="C65" i="6"/>
  <c r="E64" i="6"/>
  <c r="L41" i="6"/>
  <c r="L40" i="6"/>
  <c r="K17" i="6"/>
  <c r="I16" i="6"/>
  <c r="H57" i="7"/>
  <c r="I57" i="7"/>
  <c r="J57" i="7"/>
  <c r="N57" i="7"/>
  <c r="G57" i="7"/>
  <c r="M57" i="7"/>
  <c r="P57" i="7"/>
  <c r="F57" i="7"/>
  <c r="K57" i="7"/>
  <c r="G45" i="7"/>
  <c r="H45" i="7"/>
  <c r="I45" i="7"/>
  <c r="J45" i="7"/>
  <c r="N45" i="7"/>
  <c r="C45" i="7"/>
  <c r="D45" i="7"/>
  <c r="P45" i="7"/>
  <c r="F45" i="7"/>
  <c r="L45" i="7"/>
  <c r="M45" i="7"/>
  <c r="E45" i="7"/>
  <c r="K45" i="7"/>
  <c r="F33" i="7"/>
  <c r="G33" i="7"/>
  <c r="H33" i="7"/>
  <c r="I33" i="7"/>
  <c r="J33" i="7"/>
  <c r="K33" i="7"/>
  <c r="N33" i="7"/>
  <c r="C33" i="7"/>
  <c r="D33" i="7"/>
  <c r="P33" i="7"/>
  <c r="E33" i="7"/>
  <c r="L33" i="7"/>
  <c r="M33" i="7"/>
  <c r="F21" i="7"/>
  <c r="G21" i="7"/>
  <c r="H21" i="7"/>
  <c r="I21" i="7"/>
  <c r="J21" i="7"/>
  <c r="K21" i="7"/>
  <c r="L21" i="7"/>
  <c r="M21" i="7"/>
  <c r="N21" i="7"/>
  <c r="C21" i="7"/>
  <c r="D21" i="7"/>
  <c r="P21" i="7"/>
  <c r="E21" i="7"/>
  <c r="F9" i="7"/>
  <c r="G9" i="7"/>
  <c r="H9" i="7"/>
  <c r="I9" i="7"/>
  <c r="J9" i="7"/>
  <c r="K9" i="7"/>
  <c r="L9" i="7"/>
  <c r="M9" i="7"/>
  <c r="N9" i="7"/>
  <c r="C9" i="7"/>
  <c r="D9" i="7"/>
  <c r="P9" i="7"/>
  <c r="E9" i="7"/>
  <c r="E57" i="7"/>
  <c r="N50" i="7"/>
  <c r="K56" i="7"/>
  <c r="L56" i="7"/>
  <c r="M56" i="7"/>
  <c r="E56" i="7"/>
  <c r="F56" i="7"/>
  <c r="I56" i="7"/>
  <c r="N56" i="7"/>
  <c r="J44" i="7"/>
  <c r="K44" i="7"/>
  <c r="L44" i="7"/>
  <c r="M44" i="7"/>
  <c r="E44" i="7"/>
  <c r="F44" i="7"/>
  <c r="G44" i="7"/>
  <c r="C44" i="7"/>
  <c r="D44" i="7"/>
  <c r="H44" i="7"/>
  <c r="I44" i="7"/>
  <c r="I32" i="7"/>
  <c r="J32" i="7"/>
  <c r="K32" i="7"/>
  <c r="L32" i="7"/>
  <c r="M32" i="7"/>
  <c r="N32" i="7"/>
  <c r="E32" i="7"/>
  <c r="F32" i="7"/>
  <c r="G32" i="7"/>
  <c r="C32" i="7"/>
  <c r="D32" i="7"/>
  <c r="H32" i="7"/>
  <c r="P32" i="7"/>
  <c r="I20" i="7"/>
  <c r="J20" i="7"/>
  <c r="K20" i="7"/>
  <c r="L20" i="7"/>
  <c r="M20" i="7"/>
  <c r="N20" i="7"/>
  <c r="C20" i="7"/>
  <c r="D20" i="7"/>
  <c r="P20" i="7"/>
  <c r="E20" i="7"/>
  <c r="F20" i="7"/>
  <c r="G20" i="7"/>
  <c r="H20" i="7"/>
  <c r="I8" i="7"/>
  <c r="J8" i="7"/>
  <c r="K8" i="7"/>
  <c r="L8" i="7"/>
  <c r="M8" i="7"/>
  <c r="N8" i="7"/>
  <c r="C8" i="7"/>
  <c r="D8" i="7"/>
  <c r="P8" i="7"/>
  <c r="E8" i="7"/>
  <c r="F8" i="7"/>
  <c r="G8" i="7"/>
  <c r="H8" i="7"/>
  <c r="D56" i="7"/>
  <c r="P44" i="7"/>
  <c r="M37" i="7"/>
  <c r="J52" i="7"/>
  <c r="K52" i="7"/>
  <c r="L52" i="7"/>
  <c r="M52" i="7"/>
  <c r="E52" i="7"/>
  <c r="F52" i="7"/>
  <c r="G52" i="7"/>
  <c r="I40" i="7"/>
  <c r="J40" i="7"/>
  <c r="K40" i="7"/>
  <c r="L40" i="7"/>
  <c r="M40" i="7"/>
  <c r="N40" i="7"/>
  <c r="E40" i="7"/>
  <c r="F40" i="7"/>
  <c r="G40" i="7"/>
  <c r="I28" i="7"/>
  <c r="J28" i="7"/>
  <c r="K28" i="7"/>
  <c r="L28" i="7"/>
  <c r="M28" i="7"/>
  <c r="N28" i="7"/>
  <c r="C28" i="7"/>
  <c r="D28" i="7"/>
  <c r="P28" i="7"/>
  <c r="E28" i="7"/>
  <c r="F28" i="7"/>
  <c r="G28" i="7"/>
  <c r="I16" i="7"/>
  <c r="J16" i="7"/>
  <c r="K16" i="7"/>
  <c r="L16" i="7"/>
  <c r="M16" i="7"/>
  <c r="N16" i="7"/>
  <c r="C16" i="7"/>
  <c r="D16" i="7"/>
  <c r="P16" i="7"/>
  <c r="E16" i="7"/>
  <c r="F16" i="7"/>
  <c r="G16" i="7"/>
  <c r="D52" i="7"/>
  <c r="H40" i="7"/>
  <c r="C52" i="7"/>
  <c r="D40" i="7"/>
  <c r="C40" i="7"/>
  <c r="G49" i="7"/>
  <c r="H49" i="7"/>
  <c r="I49" i="7"/>
  <c r="J49" i="7"/>
  <c r="N49" i="7"/>
  <c r="C49" i="7"/>
  <c r="D49" i="7"/>
  <c r="P49" i="7"/>
  <c r="F37" i="7"/>
  <c r="G37" i="7"/>
  <c r="H37" i="7"/>
  <c r="I37" i="7"/>
  <c r="J37" i="7"/>
  <c r="K37" i="7"/>
  <c r="N37" i="7"/>
  <c r="C37" i="7"/>
  <c r="D37" i="7"/>
  <c r="P37" i="7"/>
  <c r="F25" i="7"/>
  <c r="G25" i="7"/>
  <c r="H25" i="7"/>
  <c r="I25" i="7"/>
  <c r="J25" i="7"/>
  <c r="K25" i="7"/>
  <c r="L25" i="7"/>
  <c r="M25" i="7"/>
  <c r="N25" i="7"/>
  <c r="C25" i="7"/>
  <c r="D25" i="7"/>
  <c r="P25" i="7"/>
  <c r="F13" i="7"/>
  <c r="G13" i="7"/>
  <c r="H13" i="7"/>
  <c r="I13" i="7"/>
  <c r="J13" i="7"/>
  <c r="K13" i="7"/>
  <c r="L13" i="7"/>
  <c r="M13" i="7"/>
  <c r="N13" i="7"/>
  <c r="C13" i="7"/>
  <c r="D13" i="7"/>
  <c r="P13" i="7"/>
  <c r="M49" i="7"/>
  <c r="H28" i="7"/>
  <c r="H16" i="7"/>
  <c r="M54" i="7"/>
  <c r="P53" i="7"/>
  <c r="D53" i="7"/>
  <c r="J47" i="7"/>
  <c r="J43" i="7"/>
  <c r="M42" i="7"/>
  <c r="P41" i="7"/>
  <c r="D41" i="7"/>
  <c r="J35" i="7"/>
  <c r="J31" i="7"/>
  <c r="M30" i="7"/>
  <c r="P29" i="7"/>
  <c r="D29" i="7"/>
  <c r="J23" i="7"/>
  <c r="J19" i="7"/>
  <c r="M18" i="7"/>
  <c r="P17" i="7"/>
  <c r="D17" i="7"/>
  <c r="J11" i="7"/>
  <c r="J7" i="7"/>
  <c r="M6" i="7"/>
  <c r="C53" i="7"/>
  <c r="I47" i="7"/>
  <c r="I43" i="7"/>
  <c r="L42" i="7"/>
  <c r="C41" i="7"/>
  <c r="I35" i="7"/>
  <c r="I31" i="7"/>
  <c r="L30" i="7"/>
  <c r="C29" i="7"/>
  <c r="I23" i="7"/>
  <c r="I19" i="7"/>
  <c r="L18" i="7"/>
  <c r="C17" i="7"/>
  <c r="I11" i="7"/>
  <c r="I7" i="7"/>
  <c r="L6" i="7"/>
  <c r="H55" i="7"/>
  <c r="K54" i="7"/>
  <c r="N53" i="7"/>
  <c r="H47" i="7"/>
  <c r="H43" i="7"/>
  <c r="K42" i="7"/>
  <c r="N41" i="7"/>
  <c r="H35" i="7"/>
  <c r="H31" i="7"/>
  <c r="K30" i="7"/>
  <c r="N29" i="7"/>
  <c r="H23" i="7"/>
  <c r="H19" i="7"/>
  <c r="K18" i="7"/>
  <c r="N17" i="7"/>
  <c r="H11" i="7"/>
  <c r="H7" i="7"/>
  <c r="K6" i="7"/>
  <c r="M29" i="7"/>
  <c r="G23" i="7"/>
  <c r="G19" i="7"/>
  <c r="J18" i="7"/>
  <c r="M17" i="7"/>
  <c r="G11" i="7"/>
  <c r="G7" i="7"/>
  <c r="J6" i="7"/>
  <c r="L29" i="7"/>
  <c r="F23" i="7"/>
  <c r="F19" i="7"/>
  <c r="I18" i="7"/>
  <c r="L17" i="7"/>
  <c r="F11" i="7"/>
  <c r="F7" i="7"/>
  <c r="I6" i="7"/>
  <c r="E35" i="7"/>
  <c r="E31" i="7"/>
  <c r="H30" i="7"/>
  <c r="K29" i="7"/>
  <c r="E23" i="7"/>
  <c r="E19" i="7"/>
  <c r="H18" i="7"/>
  <c r="K17" i="7"/>
  <c r="E11" i="7"/>
  <c r="E7" i="7"/>
  <c r="H6" i="7"/>
  <c r="P55" i="7"/>
  <c r="D55" i="7"/>
  <c r="G54" i="7"/>
  <c r="J53" i="7"/>
  <c r="P47" i="7"/>
  <c r="D47" i="7"/>
  <c r="P43" i="7"/>
  <c r="D43" i="7"/>
  <c r="G42" i="7"/>
  <c r="J41" i="7"/>
  <c r="P35" i="7"/>
  <c r="D35" i="7"/>
  <c r="P31" i="7"/>
  <c r="D31" i="7"/>
  <c r="G30" i="7"/>
  <c r="J29" i="7"/>
  <c r="P23" i="7"/>
  <c r="D23" i="7"/>
  <c r="P19" i="7"/>
  <c r="D19" i="7"/>
  <c r="G18" i="7"/>
  <c r="J17" i="7"/>
  <c r="P11" i="7"/>
  <c r="D11" i="7"/>
  <c r="P7" i="7"/>
  <c r="D7" i="7"/>
  <c r="G6" i="7"/>
  <c r="C55" i="7"/>
  <c r="F54" i="7"/>
  <c r="I53" i="7"/>
  <c r="C47" i="7"/>
  <c r="C43" i="7"/>
  <c r="F42" i="7"/>
  <c r="I41" i="7"/>
  <c r="C35" i="7"/>
  <c r="C31" i="7"/>
  <c r="F30" i="7"/>
  <c r="I29" i="7"/>
  <c r="C23" i="7"/>
  <c r="C19" i="7"/>
  <c r="F18" i="7"/>
  <c r="I17" i="7"/>
  <c r="C11" i="7"/>
  <c r="C7" i="7"/>
  <c r="F6" i="7"/>
  <c r="N47" i="7"/>
  <c r="N43" i="7"/>
  <c r="E42" i="7"/>
  <c r="H41" i="7"/>
  <c r="N35" i="7"/>
  <c r="N31" i="7"/>
  <c r="E30" i="7"/>
  <c r="H29" i="7"/>
  <c r="N23" i="7"/>
  <c r="N19" i="7"/>
  <c r="E18" i="7"/>
  <c r="H17" i="7"/>
  <c r="N11" i="7"/>
  <c r="N7" i="7"/>
  <c r="E6" i="7"/>
  <c r="P42" i="7"/>
  <c r="M35" i="7"/>
  <c r="M31" i="7"/>
  <c r="P30" i="7"/>
  <c r="D30" i="7"/>
  <c r="G29" i="7"/>
  <c r="M23" i="7"/>
  <c r="M19" i="7"/>
  <c r="P18" i="7"/>
  <c r="D18" i="7"/>
  <c r="G17" i="7"/>
  <c r="M11" i="7"/>
  <c r="M7" i="7"/>
  <c r="P6" i="7"/>
  <c r="D6" i="7"/>
  <c r="AD54" i="4"/>
  <c r="AD50" i="4"/>
  <c r="AJ44" i="4"/>
  <c r="AD49" i="4"/>
  <c r="AE56" i="4"/>
  <c r="AD48" i="4"/>
  <c r="AI39" i="4" l="1"/>
  <c r="AM25" i="4"/>
  <c r="AN25" i="4"/>
  <c r="AL40" i="4"/>
  <c r="AL35" i="4"/>
  <c r="AG58" i="4"/>
  <c r="AF58" i="4"/>
  <c r="O58" i="7"/>
  <c r="Q58" i="7" s="1"/>
  <c r="AN41" i="4"/>
  <c r="O110" i="6"/>
  <c r="Q110" i="6" s="1"/>
  <c r="AM58" i="4"/>
  <c r="AN58" i="4"/>
  <c r="O111" i="6"/>
  <c r="Q111" i="6" s="1"/>
  <c r="O163" i="5"/>
  <c r="Q163" i="5" s="1"/>
  <c r="O164" i="5"/>
  <c r="Q164" i="5" s="1"/>
  <c r="O162" i="5"/>
  <c r="Q162" i="5" s="1"/>
  <c r="AB58" i="4"/>
  <c r="AC58" i="4"/>
  <c r="O58" i="4"/>
  <c r="AL58" i="4"/>
  <c r="AF42" i="4"/>
  <c r="AH40" i="4"/>
  <c r="AL26" i="4"/>
  <c r="AI14" i="4"/>
  <c r="AH24" i="4"/>
  <c r="O89" i="6"/>
  <c r="Q89" i="6" s="1"/>
  <c r="AL25" i="4"/>
  <c r="AG26" i="4"/>
  <c r="AD38" i="4"/>
  <c r="AG37" i="4"/>
  <c r="AN43" i="4"/>
  <c r="AF27" i="4"/>
  <c r="AE27" i="4"/>
  <c r="AD35" i="4"/>
  <c r="AG27" i="4"/>
  <c r="AM39" i="4"/>
  <c r="AF41" i="4"/>
  <c r="AE26" i="4"/>
  <c r="AK32" i="4"/>
  <c r="AL32" i="4"/>
  <c r="AN29" i="4"/>
  <c r="AG42" i="4"/>
  <c r="AK27" i="4"/>
  <c r="AL15" i="4"/>
  <c r="AI32" i="4"/>
  <c r="AN34" i="4"/>
  <c r="AK28" i="4"/>
  <c r="AN22" i="4"/>
  <c r="AG46" i="4"/>
  <c r="AL12" i="4"/>
  <c r="AJ13" i="4"/>
  <c r="AI52" i="4"/>
  <c r="AE53" i="4"/>
  <c r="AE6" i="4"/>
  <c r="AK18" i="4"/>
  <c r="AE30" i="4"/>
  <c r="AF54" i="4"/>
  <c r="AM11" i="4"/>
  <c r="AF7" i="4"/>
  <c r="AF55" i="4"/>
  <c r="AG9" i="4"/>
  <c r="O96" i="5"/>
  <c r="Q96" i="5" s="1"/>
  <c r="AG10" i="4"/>
  <c r="AM24" i="4"/>
  <c r="AK48" i="4"/>
  <c r="AN48" i="4"/>
  <c r="AI49" i="4"/>
  <c r="O47" i="4"/>
  <c r="O51" i="4"/>
  <c r="AH52" i="4"/>
  <c r="AD52" i="4"/>
  <c r="AL6" i="4"/>
  <c r="AF18" i="4"/>
  <c r="AH30" i="4"/>
  <c r="AD42" i="4"/>
  <c r="AI54" i="4"/>
  <c r="AL11" i="4"/>
  <c r="AN11" i="4"/>
  <c r="AH17" i="4"/>
  <c r="O55" i="4"/>
  <c r="AD56" i="4"/>
  <c r="AH41" i="4"/>
  <c r="AF35" i="4"/>
  <c r="AE12" i="4"/>
  <c r="AJ12" i="4"/>
  <c r="AK51" i="4"/>
  <c r="AN14" i="4"/>
  <c r="AL16" i="4"/>
  <c r="AF29" i="4"/>
  <c r="AI6" i="4"/>
  <c r="O75" i="5"/>
  <c r="Q75" i="5" s="1"/>
  <c r="AC50" i="4"/>
  <c r="AD29" i="4"/>
  <c r="AH54" i="4"/>
  <c r="AE11" i="4"/>
  <c r="AG8" i="4"/>
  <c r="AG19" i="4"/>
  <c r="AL19" i="4"/>
  <c r="AE31" i="4"/>
  <c r="AH56" i="4"/>
  <c r="AD9" i="4"/>
  <c r="AN21" i="4"/>
  <c r="AK21" i="4"/>
  <c r="AL39" i="4"/>
  <c r="AE44" i="4"/>
  <c r="AG40" i="4"/>
  <c r="AL30" i="4"/>
  <c r="AK25" i="4"/>
  <c r="AN24" i="4"/>
  <c r="AC47" i="4"/>
  <c r="AD19" i="4"/>
  <c r="AI35" i="4"/>
  <c r="O64" i="6"/>
  <c r="Q64" i="6" s="1"/>
  <c r="AF33" i="4"/>
  <c r="AH42" i="4"/>
  <c r="AJ10" i="4"/>
  <c r="AK50" i="4"/>
  <c r="AI37" i="4"/>
  <c r="O27" i="5"/>
  <c r="Q27" i="5" s="1"/>
  <c r="AE37" i="4"/>
  <c r="AD13" i="4"/>
  <c r="AH14" i="4"/>
  <c r="AM16" i="4"/>
  <c r="AE28" i="4"/>
  <c r="AH7" i="4"/>
  <c r="AE55" i="4"/>
  <c r="AD23" i="4"/>
  <c r="AD46" i="4"/>
  <c r="AG55" i="4"/>
  <c r="AI56" i="4"/>
  <c r="AE9" i="4"/>
  <c r="O53" i="5"/>
  <c r="Q53" i="5" s="1"/>
  <c r="AE38" i="4"/>
  <c r="AL43" i="4"/>
  <c r="AK12" i="4"/>
  <c r="AI9" i="4"/>
  <c r="AJ35" i="4"/>
  <c r="AN36" i="4"/>
  <c r="O54" i="7"/>
  <c r="Q54" i="7" s="1"/>
  <c r="O30" i="7"/>
  <c r="Q30" i="7" s="1"/>
  <c r="O49" i="5"/>
  <c r="Q49" i="5" s="1"/>
  <c r="O128" i="5"/>
  <c r="Q128" i="5" s="1"/>
  <c r="O57" i="5"/>
  <c r="Q57" i="5" s="1"/>
  <c r="O97" i="5"/>
  <c r="Q97" i="5" s="1"/>
  <c r="AG38" i="4"/>
  <c r="AN55" i="4"/>
  <c r="AE32" i="4"/>
  <c r="AJ20" i="4"/>
  <c r="AC45" i="4"/>
  <c r="AG7" i="4"/>
  <c r="AE20" i="4"/>
  <c r="AN56" i="4"/>
  <c r="AG6" i="4"/>
  <c r="AM18" i="4"/>
  <c r="AG30" i="4"/>
  <c r="AG17" i="4"/>
  <c r="AE22" i="4"/>
  <c r="AJ24" i="4"/>
  <c r="AN27" i="4"/>
  <c r="AB36" i="4"/>
  <c r="AN17" i="4"/>
  <c r="AG57" i="4"/>
  <c r="AH32" i="4"/>
  <c r="AM46" i="4"/>
  <c r="AE47" i="4"/>
  <c r="AI26" i="4"/>
  <c r="AL27" i="4"/>
  <c r="AL51" i="4"/>
  <c r="AE19" i="4"/>
  <c r="AH55" i="4"/>
  <c r="AH44" i="4"/>
  <c r="AH19" i="4"/>
  <c r="AN7" i="4"/>
  <c r="AL55" i="4"/>
  <c r="AL20" i="4"/>
  <c r="AM9" i="4"/>
  <c r="AJ45" i="4"/>
  <c r="AE57" i="4"/>
  <c r="AN46" i="4"/>
  <c r="AF25" i="4"/>
  <c r="AM12" i="4"/>
  <c r="AL13" i="4"/>
  <c r="AH13" i="4"/>
  <c r="AH47" i="4"/>
  <c r="AM26" i="4"/>
  <c r="AD26" i="4"/>
  <c r="AI50" i="4"/>
  <c r="AE15" i="4"/>
  <c r="AD51" i="4"/>
  <c r="AD16" i="4"/>
  <c r="AH29" i="4"/>
  <c r="AN54" i="4"/>
  <c r="AK11" i="4"/>
  <c r="AB21" i="4"/>
  <c r="AN8" i="4"/>
  <c r="AN44" i="4"/>
  <c r="AH31" i="4"/>
  <c r="AJ55" i="4"/>
  <c r="AD40" i="4"/>
  <c r="AJ34" i="4"/>
  <c r="AH28" i="4"/>
  <c r="AC52" i="4"/>
  <c r="AH6" i="4"/>
  <c r="AH18" i="4"/>
  <c r="AH23" i="4"/>
  <c r="AB19" i="4"/>
  <c r="AH46" i="4"/>
  <c r="AL47" i="4"/>
  <c r="AI38" i="4"/>
  <c r="AN26" i="4"/>
  <c r="AE51" i="4"/>
  <c r="AJ36" i="4"/>
  <c r="AN16" i="4"/>
  <c r="AH53" i="4"/>
  <c r="AF12" i="4"/>
  <c r="AM48" i="4"/>
  <c r="AG49" i="4"/>
  <c r="AB49" i="4"/>
  <c r="AB26" i="4"/>
  <c r="O74" i="6"/>
  <c r="Q74" i="6" s="1"/>
  <c r="O34" i="5"/>
  <c r="Q34" i="5" s="1"/>
  <c r="AK23" i="4"/>
  <c r="AJ9" i="4"/>
  <c r="AG45" i="4"/>
  <c r="AN57" i="4"/>
  <c r="AM57" i="4"/>
  <c r="AB34" i="4"/>
  <c r="AE14" i="4"/>
  <c r="AG15" i="4"/>
  <c r="AH11" i="4"/>
  <c r="AI17" i="4"/>
  <c r="AL8" i="4"/>
  <c r="AD20" i="4"/>
  <c r="O99" i="5"/>
  <c r="Q99" i="5" s="1"/>
  <c r="AL42" i="4"/>
  <c r="AJ51" i="4"/>
  <c r="AE8" i="4"/>
  <c r="AB7" i="4"/>
  <c r="AC55" i="4"/>
  <c r="O77" i="6"/>
  <c r="AI10" i="4"/>
  <c r="AH12" i="4"/>
  <c r="AG48" i="4"/>
  <c r="AF13" i="4"/>
  <c r="AJ25" i="4"/>
  <c r="AC49" i="4"/>
  <c r="AM14" i="4"/>
  <c r="AL50" i="4"/>
  <c r="AD15" i="4"/>
  <c r="AI40" i="4"/>
  <c r="AL52" i="4"/>
  <c r="AN6" i="4"/>
  <c r="AI18" i="4"/>
  <c r="AE54" i="4"/>
  <c r="AD11" i="4"/>
  <c r="AI11" i="4"/>
  <c r="AM44" i="4"/>
  <c r="AJ7" i="4"/>
  <c r="AJ57" i="4"/>
  <c r="O18" i="7"/>
  <c r="Q18" i="7" s="1"/>
  <c r="O142" i="5"/>
  <c r="Q142" i="5" s="1"/>
  <c r="AK10" i="4"/>
  <c r="AE46" i="4"/>
  <c r="AF26" i="4"/>
  <c r="AM37" i="4"/>
  <c r="AG36" i="4"/>
  <c r="AK26" i="4"/>
  <c r="AK13" i="4"/>
  <c r="AE25" i="4"/>
  <c r="AH49" i="4"/>
  <c r="AH26" i="4"/>
  <c r="AM50" i="4"/>
  <c r="AH50" i="4"/>
  <c r="AJ27" i="4"/>
  <c r="AK39" i="4"/>
  <c r="AJ41" i="4"/>
  <c r="AG29" i="4"/>
  <c r="AN53" i="4"/>
  <c r="AL53" i="4"/>
  <c r="AK54" i="4"/>
  <c r="AB40" i="4"/>
  <c r="AI57" i="4"/>
  <c r="AH10" i="4"/>
  <c r="AD10" i="4"/>
  <c r="AI46" i="4"/>
  <c r="AE13" i="4"/>
  <c r="AG44" i="4"/>
  <c r="AK19" i="4"/>
  <c r="AD14" i="4"/>
  <c r="O22" i="7"/>
  <c r="Q22" i="7" s="1"/>
  <c r="O45" i="6"/>
  <c r="Q45" i="6" s="1"/>
  <c r="O102" i="5"/>
  <c r="Q102" i="5" s="1"/>
  <c r="O95" i="5"/>
  <c r="Q95" i="5" s="1"/>
  <c r="AB10" i="4"/>
  <c r="AJ22" i="4"/>
  <c r="AL46" i="4"/>
  <c r="AB24" i="4"/>
  <c r="AD24" i="4"/>
  <c r="AC48" i="4"/>
  <c r="AM49" i="4"/>
  <c r="AM47" i="4"/>
  <c r="AJ33" i="4"/>
  <c r="AE41" i="4"/>
  <c r="AJ14" i="4"/>
  <c r="AE34" i="4"/>
  <c r="O15" i="4"/>
  <c r="AC15" i="4"/>
  <c r="AC32" i="4"/>
  <c r="O32" i="4"/>
  <c r="AK16" i="4"/>
  <c r="AC28" i="4"/>
  <c r="O28" i="4"/>
  <c r="AF52" i="4"/>
  <c r="O53" i="4"/>
  <c r="AD53" i="4"/>
  <c r="AC53" i="4"/>
  <c r="AB30" i="4"/>
  <c r="AC31" i="4"/>
  <c r="O31" i="4"/>
  <c r="AF39" i="4"/>
  <c r="AH39" i="4"/>
  <c r="AF56" i="4"/>
  <c r="O21" i="4"/>
  <c r="AC21" i="4"/>
  <c r="O43" i="4"/>
  <c r="O59" i="5"/>
  <c r="Q59" i="5" s="1"/>
  <c r="O88" i="5"/>
  <c r="Q88" i="5" s="1"/>
  <c r="AG12" i="4"/>
  <c r="AB48" i="4"/>
  <c r="O38" i="4"/>
  <c r="AC38" i="4"/>
  <c r="AI51" i="4"/>
  <c r="AB28" i="4"/>
  <c r="AC43" i="4"/>
  <c r="AB43" i="4"/>
  <c r="AD30" i="4"/>
  <c r="AB55" i="4"/>
  <c r="AG32" i="4"/>
  <c r="AC23" i="4"/>
  <c r="O23" i="4"/>
  <c r="AI22" i="4"/>
  <c r="AJ39" i="4"/>
  <c r="AL57" i="4"/>
  <c r="O57" i="7"/>
  <c r="Q57" i="7" s="1"/>
  <c r="O16" i="6"/>
  <c r="Q16" i="6" s="1"/>
  <c r="O94" i="6"/>
  <c r="Q94" i="6" s="1"/>
  <c r="O96" i="6"/>
  <c r="Q96" i="6" s="1"/>
  <c r="O78" i="5"/>
  <c r="Q78" i="5" s="1"/>
  <c r="O158" i="5"/>
  <c r="Q158" i="5" s="1"/>
  <c r="O113" i="5"/>
  <c r="Q113" i="5" s="1"/>
  <c r="O61" i="5"/>
  <c r="Q61" i="5" s="1"/>
  <c r="AG22" i="4"/>
  <c r="AH22" i="4"/>
  <c r="AJ46" i="4"/>
  <c r="AG24" i="4"/>
  <c r="AG47" i="4"/>
  <c r="AK47" i="4"/>
  <c r="AK42" i="4"/>
  <c r="AG14" i="4"/>
  <c r="AK14" i="4"/>
  <c r="AN35" i="4"/>
  <c r="AB15" i="4"/>
  <c r="AM51" i="4"/>
  <c r="AG16" i="4"/>
  <c r="AN52" i="4"/>
  <c r="AJ52" i="4"/>
  <c r="O30" i="4"/>
  <c r="AC30" i="4"/>
  <c r="AB6" i="4"/>
  <c r="AK41" i="4"/>
  <c r="AK17" i="4"/>
  <c r="AE17" i="4"/>
  <c r="AF8" i="4"/>
  <c r="AB8" i="4"/>
  <c r="AC40" i="4"/>
  <c r="O40" i="4"/>
  <c r="AE7" i="4"/>
  <c r="AM31" i="4"/>
  <c r="AM55" i="4"/>
  <c r="AD55" i="4"/>
  <c r="AC20" i="4"/>
  <c r="O20" i="4"/>
  <c r="O56" i="4"/>
  <c r="AB23" i="4"/>
  <c r="AE40" i="4"/>
  <c r="AE45" i="4"/>
  <c r="O42" i="4"/>
  <c r="O56" i="7"/>
  <c r="Q56" i="7" s="1"/>
  <c r="O88" i="6"/>
  <c r="Q88" i="6" s="1"/>
  <c r="AB41" i="4"/>
  <c r="AL10" i="4"/>
  <c r="AC46" i="4"/>
  <c r="AB39" i="4"/>
  <c r="AN12" i="4"/>
  <c r="AC12" i="4"/>
  <c r="O12" i="4"/>
  <c r="AG25" i="4"/>
  <c r="AH25" i="4"/>
  <c r="AJ49" i="4"/>
  <c r="AD47" i="4"/>
  <c r="AN38" i="4"/>
  <c r="AG50" i="4"/>
  <c r="AE50" i="4"/>
  <c r="O18" i="4"/>
  <c r="AC18" i="4"/>
  <c r="AF36" i="4"/>
  <c r="AK15" i="4"/>
  <c r="AH51" i="4"/>
  <c r="AM42" i="4"/>
  <c r="AF16" i="4"/>
  <c r="AN28" i="4"/>
  <c r="AK29" i="4"/>
  <c r="AK6" i="4"/>
  <c r="AM6" i="4"/>
  <c r="AN18" i="4"/>
  <c r="AC11" i="4"/>
  <c r="O11" i="4"/>
  <c r="AG11" i="4"/>
  <c r="AM33" i="4"/>
  <c r="AD8" i="4"/>
  <c r="AC44" i="4"/>
  <c r="AL44" i="4"/>
  <c r="AI7" i="4"/>
  <c r="AI19" i="4"/>
  <c r="AF32" i="4"/>
  <c r="AN23" i="4"/>
  <c r="AI29" i="4"/>
  <c r="O9" i="4"/>
  <c r="AC9" i="4"/>
  <c r="AM21" i="4"/>
  <c r="AB45" i="4"/>
  <c r="AK57" i="4"/>
  <c r="AK35" i="4"/>
  <c r="O40" i="7"/>
  <c r="Q40" i="7" s="1"/>
  <c r="O70" i="5"/>
  <c r="Q70" i="5" s="1"/>
  <c r="AF10" i="4"/>
  <c r="AF22" i="4"/>
  <c r="O22" i="4"/>
  <c r="AC22" i="4"/>
  <c r="AK24" i="4"/>
  <c r="O24" i="4"/>
  <c r="AC24" i="4"/>
  <c r="AJ48" i="4"/>
  <c r="AF37" i="4"/>
  <c r="AB31" i="4"/>
  <c r="AE49" i="4"/>
  <c r="AM35" i="4"/>
  <c r="AF14" i="4"/>
  <c r="AL24" i="4"/>
  <c r="AF15" i="4"/>
  <c r="AM15" i="4"/>
  <c r="AF51" i="4"/>
  <c r="AG51" i="4"/>
  <c r="AJ18" i="4"/>
  <c r="AL33" i="4"/>
  <c r="AE16" i="4"/>
  <c r="AK53" i="4"/>
  <c r="AB42" i="4"/>
  <c r="AG34" i="4"/>
  <c r="AC42" i="4"/>
  <c r="AJ17" i="4"/>
  <c r="O17" i="4"/>
  <c r="AC17" i="4"/>
  <c r="AD44" i="4"/>
  <c r="AI34" i="4"/>
  <c r="AD7" i="4"/>
  <c r="AB20" i="4"/>
  <c r="AM56" i="4"/>
  <c r="AM23" i="4"/>
  <c r="AE42" i="4"/>
  <c r="AL21" i="4"/>
  <c r="AF21" i="4"/>
  <c r="AC26" i="4"/>
  <c r="O26" i="4"/>
  <c r="AM32" i="4"/>
  <c r="AN32" i="4"/>
  <c r="AM13" i="4"/>
  <c r="AB13" i="4"/>
  <c r="AD25" i="4"/>
  <c r="AN49" i="4"/>
  <c r="AN47" i="4"/>
  <c r="AE36" i="4"/>
  <c r="AF50" i="4"/>
  <c r="AF28" i="4"/>
  <c r="AB37" i="4"/>
  <c r="AF34" i="4"/>
  <c r="AI28" i="4"/>
  <c r="AJ6" i="4"/>
  <c r="O54" i="4"/>
  <c r="O8" i="4"/>
  <c r="AC8" i="4"/>
  <c r="AC7" i="4"/>
  <c r="O7" i="4"/>
  <c r="AN20" i="4"/>
  <c r="O55" i="7"/>
  <c r="Q55" i="7" s="1"/>
  <c r="O6" i="7"/>
  <c r="Q6" i="7" s="1"/>
  <c r="O52" i="6"/>
  <c r="Q52" i="6" s="1"/>
  <c r="O81" i="6"/>
  <c r="Q81" i="6" s="1"/>
  <c r="O89" i="5"/>
  <c r="Q89" i="5" s="1"/>
  <c r="O52" i="5"/>
  <c r="Q52" i="5" s="1"/>
  <c r="O23" i="5"/>
  <c r="Q23" i="5" s="1"/>
  <c r="O13" i="4"/>
  <c r="AO13" i="4" s="1"/>
  <c r="AC13" i="4"/>
  <c r="AC10" i="4"/>
  <c r="O10" i="4"/>
  <c r="AF46" i="4"/>
  <c r="AH33" i="4"/>
  <c r="O41" i="4"/>
  <c r="AC41" i="4"/>
  <c r="AI24" i="4"/>
  <c r="AI48" i="4"/>
  <c r="AF49" i="4"/>
  <c r="O49" i="4"/>
  <c r="AC14" i="4"/>
  <c r="O14" i="4"/>
  <c r="AD27" i="4"/>
  <c r="AB29" i="4"/>
  <c r="AN15" i="4"/>
  <c r="AB16" i="4"/>
  <c r="AL28" i="4"/>
  <c r="O52" i="4"/>
  <c r="AE52" i="4"/>
  <c r="AI53" i="4"/>
  <c r="AG53" i="4"/>
  <c r="AB18" i="4"/>
  <c r="AE18" i="4"/>
  <c r="AJ54" i="4"/>
  <c r="AB35" i="4"/>
  <c r="AI41" i="4"/>
  <c r="AC35" i="4"/>
  <c r="O35" i="4"/>
  <c r="AM7" i="4"/>
  <c r="AK55" i="4"/>
  <c r="AD32" i="4"/>
  <c r="AK56" i="4"/>
  <c r="AJ23" i="4"/>
  <c r="AH43" i="4"/>
  <c r="AF9" i="4"/>
  <c r="AJ21" i="4"/>
  <c r="AE33" i="4"/>
  <c r="AD45" i="4"/>
  <c r="AK45" i="4"/>
  <c r="O93" i="5"/>
  <c r="Q93" i="5" s="1"/>
  <c r="AE10" i="4"/>
  <c r="AC25" i="4"/>
  <c r="O25" i="4"/>
  <c r="O50" i="4"/>
  <c r="AB54" i="4"/>
  <c r="AM54" i="4"/>
  <c r="AJ11" i="4"/>
  <c r="AK36" i="4"/>
  <c r="AM17" i="4"/>
  <c r="O44" i="4"/>
  <c r="AM28" i="4"/>
  <c r="O19" i="4"/>
  <c r="AC19" i="4"/>
  <c r="AK34" i="4"/>
  <c r="AH9" i="4"/>
  <c r="AB33" i="4"/>
  <c r="AD57" i="4"/>
  <c r="O40" i="6"/>
  <c r="Q40" i="6" s="1"/>
  <c r="O29" i="6"/>
  <c r="Q29" i="6" s="1"/>
  <c r="O53" i="6"/>
  <c r="Q53" i="6" s="1"/>
  <c r="O134" i="5"/>
  <c r="Q134" i="5" s="1"/>
  <c r="AN10" i="4"/>
  <c r="AB22" i="4"/>
  <c r="AD22" i="4"/>
  <c r="AM34" i="4"/>
  <c r="O46" i="4"/>
  <c r="AB12" i="4"/>
  <c r="AI36" i="4"/>
  <c r="AL48" i="4"/>
  <c r="AH48" i="4"/>
  <c r="O34" i="4"/>
  <c r="AC34" i="4"/>
  <c r="AJ42" i="4"/>
  <c r="AN13" i="4"/>
  <c r="AL49" i="4"/>
  <c r="AF47" i="4"/>
  <c r="AB14" i="4"/>
  <c r="AB50" i="4"/>
  <c r="O27" i="4"/>
  <c r="AC27" i="4"/>
  <c r="AN40" i="4"/>
  <c r="AI15" i="4"/>
  <c r="AJ15" i="4"/>
  <c r="AN51" i="4"/>
  <c r="AI16" i="4"/>
  <c r="AK40" i="4"/>
  <c r="AK52" i="4"/>
  <c r="AM53" i="4"/>
  <c r="AF53" i="4"/>
  <c r="AG18" i="4"/>
  <c r="AG54" i="4"/>
  <c r="AL17" i="4"/>
  <c r="AM8" i="4"/>
  <c r="AB44" i="4"/>
  <c r="AM36" i="4"/>
  <c r="AK7" i="4"/>
  <c r="AL7" i="4"/>
  <c r="AI55" i="4"/>
  <c r="AI20" i="4"/>
  <c r="AL56" i="4"/>
  <c r="AI23" i="4"/>
  <c r="AE35" i="4"/>
  <c r="AI21" i="4"/>
  <c r="AD33" i="4"/>
  <c r="AI45" i="4"/>
  <c r="AB57" i="4"/>
  <c r="O42" i="7"/>
  <c r="Q42" i="7" s="1"/>
  <c r="O31" i="7"/>
  <c r="Q31" i="7" s="1"/>
  <c r="O65" i="6"/>
  <c r="Q65" i="6" s="1"/>
  <c r="O76" i="6"/>
  <c r="Q76" i="6" s="1"/>
  <c r="O132" i="5"/>
  <c r="Q132" i="5" s="1"/>
  <c r="O74" i="5"/>
  <c r="Q74" i="5" s="1"/>
  <c r="AM10" i="4"/>
  <c r="AM22" i="4"/>
  <c r="AK46" i="4"/>
  <c r="AI12" i="4"/>
  <c r="AD12" i="4"/>
  <c r="O48" i="4"/>
  <c r="AE48" i="4"/>
  <c r="AF48" i="4"/>
  <c r="AG13" i="4"/>
  <c r="AB25" i="4"/>
  <c r="AK49" i="4"/>
  <c r="AI47" i="4"/>
  <c r="O29" i="4"/>
  <c r="AC39" i="4"/>
  <c r="O39" i="4"/>
  <c r="AJ26" i="4"/>
  <c r="AN50" i="4"/>
  <c r="AM27" i="4"/>
  <c r="AB32" i="4"/>
  <c r="AB51" i="4"/>
  <c r="AC51" i="4"/>
  <c r="AH16" i="4"/>
  <c r="AB52" i="4"/>
  <c r="AE29" i="4"/>
  <c r="AB53" i="4"/>
  <c r="AD6" i="4"/>
  <c r="AF6" i="4"/>
  <c r="AD18" i="4"/>
  <c r="AL18" i="4"/>
  <c r="AF30" i="4"/>
  <c r="AC54" i="4"/>
  <c r="AL54" i="4"/>
  <c r="AF11" i="4"/>
  <c r="AC37" i="4"/>
  <c r="O37" i="4"/>
  <c r="AF17" i="4"/>
  <c r="AG41" i="4"/>
  <c r="AH8" i="4"/>
  <c r="AJ8" i="4"/>
  <c r="AF44" i="4"/>
  <c r="AK44" i="4"/>
  <c r="AI30" i="4"/>
  <c r="AH37" i="4"/>
  <c r="AN19" i="4"/>
  <c r="AG31" i="4"/>
  <c r="AM20" i="4"/>
  <c r="AG56" i="4"/>
  <c r="AF23" i="4"/>
  <c r="AG21" i="4"/>
  <c r="AM45" i="4"/>
  <c r="AC57" i="4"/>
  <c r="AH57" i="4"/>
  <c r="O98" i="5"/>
  <c r="Q98" i="5" s="1"/>
  <c r="AK22" i="4"/>
  <c r="AL34" i="4"/>
  <c r="AC36" i="4"/>
  <c r="O36" i="4"/>
  <c r="AK43" i="4"/>
  <c r="AF24" i="4"/>
  <c r="AH36" i="4"/>
  <c r="AI13" i="4"/>
  <c r="AB47" i="4"/>
  <c r="AB38" i="4"/>
  <c r="AJ50" i="4"/>
  <c r="AK33" i="4"/>
  <c r="AH15" i="4"/>
  <c r="AB27" i="4"/>
  <c r="AK38" i="4"/>
  <c r="AC16" i="4"/>
  <c r="O16" i="4"/>
  <c r="AJ16" i="4"/>
  <c r="AD28" i="4"/>
  <c r="AJ40" i="4"/>
  <c r="AC6" i="4"/>
  <c r="O6" i="4"/>
  <c r="AB11" i="4"/>
  <c r="AD17" i="4"/>
  <c r="AM19" i="4"/>
  <c r="AC56" i="4"/>
  <c r="AJ56" i="4"/>
  <c r="AE23" i="4"/>
  <c r="AJ37" i="4"/>
  <c r="AN9" i="4"/>
  <c r="AB9" i="4"/>
  <c r="AH21" i="4"/>
  <c r="O33" i="4"/>
  <c r="AC33" i="4"/>
  <c r="AH45" i="4"/>
  <c r="O45" i="4"/>
  <c r="AF45" i="4"/>
  <c r="O57" i="4"/>
  <c r="AF57" i="4"/>
  <c r="AC29" i="4"/>
  <c r="O41" i="6"/>
  <c r="Q41" i="6" s="1"/>
  <c r="O70" i="6"/>
  <c r="Q70" i="6" s="1"/>
  <c r="O22" i="6"/>
  <c r="Q22" i="6" s="1"/>
  <c r="O46" i="6"/>
  <c r="Q46" i="6" s="1"/>
  <c r="O71" i="6"/>
  <c r="Q71" i="6" s="1"/>
  <c r="O85" i="6"/>
  <c r="Q85" i="6" s="1"/>
  <c r="O102" i="6"/>
  <c r="Q102" i="6" s="1"/>
  <c r="AB46" i="4"/>
  <c r="AJ47" i="4"/>
  <c r="AM40" i="4"/>
  <c r="AE39" i="4"/>
  <c r="AM52" i="4"/>
  <c r="AL38" i="4"/>
  <c r="AB17" i="4"/>
  <c r="AI8" i="4"/>
  <c r="AI44" i="4"/>
  <c r="AI31" i="4"/>
  <c r="AJ19" i="4"/>
  <c r="AF19" i="4"/>
  <c r="AF31" i="4"/>
  <c r="AH20" i="4"/>
  <c r="AB56" i="4"/>
  <c r="AK9" i="4"/>
  <c r="AL9" i="4"/>
  <c r="AD21" i="4"/>
  <c r="AN45" i="4"/>
  <c r="AL45" i="4"/>
  <c r="AG35" i="4"/>
  <c r="O6" i="5"/>
  <c r="Q6" i="5" s="1"/>
  <c r="O9" i="5"/>
  <c r="Q9" i="5" s="1"/>
  <c r="O19" i="7"/>
  <c r="Q19" i="7" s="1"/>
  <c r="O45" i="7"/>
  <c r="Q45" i="7" s="1"/>
  <c r="O34" i="7"/>
  <c r="Q34" i="7" s="1"/>
  <c r="O17" i="6"/>
  <c r="Q17" i="6" s="1"/>
  <c r="O36" i="6"/>
  <c r="Q36" i="6" s="1"/>
  <c r="O7" i="6"/>
  <c r="Q7" i="6" s="1"/>
  <c r="O54" i="6"/>
  <c r="Q54" i="6" s="1"/>
  <c r="O78" i="6"/>
  <c r="Q78" i="6" s="1"/>
  <c r="O42" i="6"/>
  <c r="Q42" i="6" s="1"/>
  <c r="O11" i="6"/>
  <c r="Q11" i="6" s="1"/>
  <c r="O10" i="6"/>
  <c r="Q10" i="6" s="1"/>
  <c r="O98" i="6"/>
  <c r="Q98" i="6" s="1"/>
  <c r="O47" i="5"/>
  <c r="Q47" i="5" s="1"/>
  <c r="O42" i="5"/>
  <c r="Q42" i="5" s="1"/>
  <c r="O20" i="5"/>
  <c r="Q20" i="5" s="1"/>
  <c r="O112" i="5"/>
  <c r="Q112" i="5" s="1"/>
  <c r="O151" i="5"/>
  <c r="Q151" i="5" s="1"/>
  <c r="O150" i="5"/>
  <c r="Q150" i="5" s="1"/>
  <c r="O24" i="5"/>
  <c r="Q24" i="5" s="1"/>
  <c r="O124" i="5"/>
  <c r="Q124" i="5" s="1"/>
  <c r="O161" i="5"/>
  <c r="Q161" i="5" s="1"/>
  <c r="O136" i="5"/>
  <c r="Q136" i="5" s="1"/>
  <c r="O32" i="5"/>
  <c r="Q32" i="5" s="1"/>
  <c r="O52" i="7"/>
  <c r="Q52" i="7" s="1"/>
  <c r="O100" i="6"/>
  <c r="Q100" i="6" s="1"/>
  <c r="O95" i="6"/>
  <c r="Q95" i="6" s="1"/>
  <c r="O15" i="7"/>
  <c r="Q15" i="7" s="1"/>
  <c r="O47" i="6"/>
  <c r="Q47" i="6" s="1"/>
  <c r="O6" i="6"/>
  <c r="Q6" i="6" s="1"/>
  <c r="O103" i="6"/>
  <c r="Q103" i="6" s="1"/>
  <c r="O32" i="6"/>
  <c r="Q32" i="6" s="1"/>
  <c r="O68" i="6"/>
  <c r="Q68" i="6" s="1"/>
  <c r="O24" i="6"/>
  <c r="Q24" i="6" s="1"/>
  <c r="O97" i="6"/>
  <c r="Q97" i="6" s="1"/>
  <c r="O35" i="6"/>
  <c r="Q35" i="6" s="1"/>
  <c r="O107" i="6"/>
  <c r="Q107" i="6" s="1"/>
  <c r="O63" i="6"/>
  <c r="Q63" i="6" s="1"/>
  <c r="O82" i="5"/>
  <c r="Q82" i="5" s="1"/>
  <c r="O33" i="5"/>
  <c r="Q33" i="5" s="1"/>
  <c r="O41" i="5"/>
  <c r="Q41" i="5" s="1"/>
  <c r="O100" i="5"/>
  <c r="Q100" i="5" s="1"/>
  <c r="O72" i="5"/>
  <c r="Q72" i="5" s="1"/>
  <c r="O118" i="5"/>
  <c r="Q118" i="5" s="1"/>
  <c r="O127" i="5"/>
  <c r="Q127" i="5" s="1"/>
  <c r="O39" i="5"/>
  <c r="Q39" i="5" s="1"/>
  <c r="O160" i="5"/>
  <c r="Q160" i="5" s="1"/>
  <c r="O41" i="7"/>
  <c r="Q41" i="7" s="1"/>
  <c r="O23" i="7"/>
  <c r="Q23" i="7" s="1"/>
  <c r="O36" i="7"/>
  <c r="Q36" i="7" s="1"/>
  <c r="O101" i="6"/>
  <c r="Q101" i="6" s="1"/>
  <c r="O27" i="7"/>
  <c r="Q27" i="7" s="1"/>
  <c r="O13" i="6"/>
  <c r="Q13" i="6" s="1"/>
  <c r="O12" i="6"/>
  <c r="Q12" i="6" s="1"/>
  <c r="O33" i="6"/>
  <c r="Q33" i="6" s="1"/>
  <c r="O105" i="6"/>
  <c r="Q105" i="6" s="1"/>
  <c r="O19" i="6"/>
  <c r="Q19" i="6" s="1"/>
  <c r="O58" i="6"/>
  <c r="Q58" i="6" s="1"/>
  <c r="O106" i="6"/>
  <c r="Q106" i="6" s="1"/>
  <c r="O15" i="6"/>
  <c r="Q15" i="6" s="1"/>
  <c r="O38" i="6"/>
  <c r="Q38" i="6" s="1"/>
  <c r="O26" i="6"/>
  <c r="Q26" i="6" s="1"/>
  <c r="O13" i="5"/>
  <c r="Q13" i="5" s="1"/>
  <c r="O84" i="5"/>
  <c r="Q84" i="5" s="1"/>
  <c r="O15" i="5"/>
  <c r="Q15" i="5" s="1"/>
  <c r="O12" i="5"/>
  <c r="Q12" i="5" s="1"/>
  <c r="O22" i="5"/>
  <c r="Q22" i="5" s="1"/>
  <c r="O130" i="5"/>
  <c r="Q130" i="5" s="1"/>
  <c r="O73" i="5"/>
  <c r="Q73" i="5" s="1"/>
  <c r="O12" i="7"/>
  <c r="Q12" i="7" s="1"/>
  <c r="O23" i="6"/>
  <c r="Q23" i="6" s="1"/>
  <c r="O39" i="7"/>
  <c r="Q39" i="7" s="1"/>
  <c r="O60" i="6"/>
  <c r="Q60" i="6" s="1"/>
  <c r="O9" i="6"/>
  <c r="Q9" i="6" s="1"/>
  <c r="O44" i="6"/>
  <c r="Q44" i="6" s="1"/>
  <c r="O34" i="6"/>
  <c r="Q34" i="6" s="1"/>
  <c r="O133" i="5"/>
  <c r="Q133" i="5" s="1"/>
  <c r="O105" i="5"/>
  <c r="Q105" i="5" s="1"/>
  <c r="O109" i="5"/>
  <c r="Q109" i="5" s="1"/>
  <c r="O146" i="5"/>
  <c r="Q146" i="5" s="1"/>
  <c r="O126" i="5"/>
  <c r="Q126" i="5" s="1"/>
  <c r="O87" i="5"/>
  <c r="Q87" i="5" s="1"/>
  <c r="O155" i="5"/>
  <c r="Q155" i="5" s="1"/>
  <c r="O159" i="5"/>
  <c r="Q159" i="5" s="1"/>
  <c r="O25" i="5"/>
  <c r="Q25" i="5" s="1"/>
  <c r="O77" i="5"/>
  <c r="Q77" i="5" s="1"/>
  <c r="O21" i="5"/>
  <c r="Q21" i="5" s="1"/>
  <c r="O131" i="5"/>
  <c r="Q131" i="5" s="1"/>
  <c r="O110" i="5"/>
  <c r="Q110" i="5" s="1"/>
  <c r="O17" i="7"/>
  <c r="Q17" i="7" s="1"/>
  <c r="O53" i="7"/>
  <c r="Q53" i="7" s="1"/>
  <c r="O24" i="7"/>
  <c r="Q24" i="7" s="1"/>
  <c r="O14" i="7"/>
  <c r="Q14" i="7" s="1"/>
  <c r="O37" i="6"/>
  <c r="Q37" i="6" s="1"/>
  <c r="O48" i="6"/>
  <c r="Q48" i="6" s="1"/>
  <c r="O99" i="6"/>
  <c r="Q99" i="6" s="1"/>
  <c r="O37" i="5"/>
  <c r="Q37" i="5" s="1"/>
  <c r="O91" i="5"/>
  <c r="Q91" i="5" s="1"/>
  <c r="O55" i="5"/>
  <c r="Q55" i="5" s="1"/>
  <c r="O35" i="5"/>
  <c r="Q35" i="5" s="1"/>
  <c r="O107" i="5"/>
  <c r="Q107" i="5" s="1"/>
  <c r="O86" i="5"/>
  <c r="Q86" i="5" s="1"/>
  <c r="O36" i="5"/>
  <c r="Q36" i="5" s="1"/>
  <c r="O66" i="5"/>
  <c r="Q66" i="5" s="1"/>
  <c r="O19" i="5"/>
  <c r="Q19" i="5" s="1"/>
  <c r="O76" i="5"/>
  <c r="Q76" i="5" s="1"/>
  <c r="O43" i="5"/>
  <c r="Q43" i="5" s="1"/>
  <c r="O16" i="5"/>
  <c r="Q16" i="5" s="1"/>
  <c r="O49" i="7"/>
  <c r="Q49" i="7" s="1"/>
  <c r="O9" i="7"/>
  <c r="Q9" i="7" s="1"/>
  <c r="O46" i="7"/>
  <c r="Q46" i="7" s="1"/>
  <c r="O48" i="7"/>
  <c r="Q48" i="7" s="1"/>
  <c r="O26" i="7"/>
  <c r="Q26" i="7" s="1"/>
  <c r="O51" i="7"/>
  <c r="Q51" i="7" s="1"/>
  <c r="O55" i="6"/>
  <c r="Q55" i="6" s="1"/>
  <c r="O79" i="6"/>
  <c r="Q79" i="6" s="1"/>
  <c r="O80" i="6"/>
  <c r="Q80" i="6" s="1"/>
  <c r="O21" i="6"/>
  <c r="Q21" i="6" s="1"/>
  <c r="O62" i="6"/>
  <c r="Q62" i="6" s="1"/>
  <c r="O87" i="6"/>
  <c r="Q87" i="6" s="1"/>
  <c r="O50" i="6"/>
  <c r="Q50" i="6" s="1"/>
  <c r="O18" i="5"/>
  <c r="Q18" i="5" s="1"/>
  <c r="O101" i="5"/>
  <c r="Q101" i="5" s="1"/>
  <c r="O8" i="5"/>
  <c r="Q8" i="5" s="1"/>
  <c r="O10" i="5"/>
  <c r="Q10" i="5" s="1"/>
  <c r="O123" i="5"/>
  <c r="Q123" i="5" s="1"/>
  <c r="O79" i="5"/>
  <c r="Q79" i="5" s="1"/>
  <c r="O31" i="5"/>
  <c r="Q31" i="5" s="1"/>
  <c r="O56" i="5"/>
  <c r="Q56" i="5" s="1"/>
  <c r="O21" i="7"/>
  <c r="Q21" i="7" s="1"/>
  <c r="O38" i="7"/>
  <c r="Q38" i="7" s="1"/>
  <c r="O30" i="6"/>
  <c r="Q30" i="6" s="1"/>
  <c r="O8" i="6"/>
  <c r="Q8" i="6" s="1"/>
  <c r="O104" i="6"/>
  <c r="Q104" i="6" s="1"/>
  <c r="O66" i="6"/>
  <c r="Q66" i="6" s="1"/>
  <c r="O92" i="6"/>
  <c r="Q92" i="6" s="1"/>
  <c r="O82" i="6"/>
  <c r="Q82" i="6" s="1"/>
  <c r="O39" i="6"/>
  <c r="Q39" i="6" s="1"/>
  <c r="O60" i="5"/>
  <c r="Q60" i="5" s="1"/>
  <c r="O62" i="5"/>
  <c r="Q62" i="5" s="1"/>
  <c r="O40" i="5"/>
  <c r="Q40" i="5" s="1"/>
  <c r="O147" i="5"/>
  <c r="Q147" i="5" s="1"/>
  <c r="O149" i="5"/>
  <c r="Q149" i="5" s="1"/>
  <c r="O7" i="5"/>
  <c r="Q7" i="5" s="1"/>
  <c r="O115" i="5"/>
  <c r="Q115" i="5" s="1"/>
  <c r="O152" i="5"/>
  <c r="Q152" i="5" s="1"/>
  <c r="O11" i="5"/>
  <c r="Q11" i="5" s="1"/>
  <c r="O103" i="5"/>
  <c r="Q103" i="5" s="1"/>
  <c r="O17" i="5"/>
  <c r="Q17" i="5" s="1"/>
  <c r="O51" i="5"/>
  <c r="Q51" i="5" s="1"/>
  <c r="O50" i="5"/>
  <c r="Q50" i="5" s="1"/>
  <c r="O81" i="5"/>
  <c r="Q81" i="5" s="1"/>
  <c r="O28" i="5"/>
  <c r="Q28" i="5" s="1"/>
  <c r="O64" i="5"/>
  <c r="Q64" i="5" s="1"/>
  <c r="O137" i="5"/>
  <c r="Q137" i="5" s="1"/>
  <c r="O121" i="5"/>
  <c r="Q121" i="5" s="1"/>
  <c r="O156" i="5"/>
  <c r="Q156" i="5" s="1"/>
  <c r="O13" i="7"/>
  <c r="Q13" i="7" s="1"/>
  <c r="O25" i="7"/>
  <c r="Q25" i="7" s="1"/>
  <c r="O37" i="7"/>
  <c r="Q37" i="7" s="1"/>
  <c r="O90" i="6"/>
  <c r="Q90" i="6" s="1"/>
  <c r="O25" i="6"/>
  <c r="Q25" i="6" s="1"/>
  <c r="O49" i="6"/>
  <c r="Q49" i="6" s="1"/>
  <c r="O72" i="6"/>
  <c r="Q72" i="6" s="1"/>
  <c r="O27" i="6"/>
  <c r="Q27" i="6" s="1"/>
  <c r="O104" i="5"/>
  <c r="Q104" i="5" s="1"/>
  <c r="O58" i="5"/>
  <c r="Q58" i="5" s="1"/>
  <c r="O145" i="5"/>
  <c r="Q145" i="5" s="1"/>
  <c r="O67" i="5"/>
  <c r="Q67" i="5" s="1"/>
  <c r="O111" i="5"/>
  <c r="Q111" i="5" s="1"/>
  <c r="O148" i="5"/>
  <c r="Q148" i="5" s="1"/>
  <c r="O80" i="5"/>
  <c r="Q80" i="5" s="1"/>
  <c r="O7" i="7"/>
  <c r="Q7" i="7" s="1"/>
  <c r="O29" i="7"/>
  <c r="Q29" i="7" s="1"/>
  <c r="O32" i="7"/>
  <c r="Q32" i="7" s="1"/>
  <c r="O108" i="6"/>
  <c r="Q108" i="6" s="1"/>
  <c r="O43" i="6"/>
  <c r="Q43" i="6" s="1"/>
  <c r="O91" i="6"/>
  <c r="Q91" i="6" s="1"/>
  <c r="O59" i="6"/>
  <c r="Q59" i="6" s="1"/>
  <c r="O83" i="6"/>
  <c r="Q83" i="6" s="1"/>
  <c r="O86" i="6"/>
  <c r="Q86" i="6" s="1"/>
  <c r="O122" i="5"/>
  <c r="Q122" i="5" s="1"/>
  <c r="O54" i="5"/>
  <c r="Q54" i="5" s="1"/>
  <c r="O140" i="5"/>
  <c r="Q140" i="5" s="1"/>
  <c r="O69" i="5"/>
  <c r="Q69" i="5" s="1"/>
  <c r="O48" i="5"/>
  <c r="Q48" i="5" s="1"/>
  <c r="O30" i="5"/>
  <c r="Q30" i="5" s="1"/>
  <c r="O63" i="5"/>
  <c r="Q63" i="5" s="1"/>
  <c r="O135" i="5"/>
  <c r="Q135" i="5" s="1"/>
  <c r="O75" i="6"/>
  <c r="Q75" i="6" s="1"/>
  <c r="O35" i="7"/>
  <c r="Q35" i="7" s="1"/>
  <c r="O43" i="7"/>
  <c r="Q43" i="7" s="1"/>
  <c r="O11" i="7"/>
  <c r="Q11" i="7" s="1"/>
  <c r="O47" i="7"/>
  <c r="Q47" i="7" s="1"/>
  <c r="O16" i="7"/>
  <c r="Q16" i="7" s="1"/>
  <c r="O28" i="7"/>
  <c r="Q28" i="7" s="1"/>
  <c r="O8" i="7"/>
  <c r="Q8" i="7" s="1"/>
  <c r="O44" i="7"/>
  <c r="Q44" i="7" s="1"/>
  <c r="O33" i="7"/>
  <c r="Q33" i="7" s="1"/>
  <c r="O50" i="7"/>
  <c r="Q50" i="7" s="1"/>
  <c r="O28" i="6"/>
  <c r="Q28" i="6" s="1"/>
  <c r="O61" i="6"/>
  <c r="Q61" i="6" s="1"/>
  <c r="O84" i="6"/>
  <c r="Q84" i="6" s="1"/>
  <c r="O109" i="6"/>
  <c r="Q109" i="6" s="1"/>
  <c r="O57" i="6"/>
  <c r="Q57" i="6" s="1"/>
  <c r="O69" i="6"/>
  <c r="Q69" i="6" s="1"/>
  <c r="O93" i="6"/>
  <c r="Q93" i="6" s="1"/>
  <c r="O73" i="6"/>
  <c r="Q73" i="6" s="1"/>
  <c r="O51" i="6"/>
  <c r="Q51" i="6" s="1"/>
  <c r="O139" i="5"/>
  <c r="Q139" i="5" s="1"/>
  <c r="O83" i="5"/>
  <c r="Q83" i="5" s="1"/>
  <c r="O14" i="5"/>
  <c r="Q14" i="5" s="1"/>
  <c r="O143" i="5"/>
  <c r="Q143" i="5" s="1"/>
  <c r="O120" i="5"/>
  <c r="Q120" i="5" s="1"/>
  <c r="O144" i="5"/>
  <c r="Q144" i="5" s="1"/>
  <c r="O117" i="5"/>
  <c r="Q117" i="5" s="1"/>
  <c r="O65" i="5"/>
  <c r="Q65" i="5" s="1"/>
  <c r="O44" i="5"/>
  <c r="Q44" i="5" s="1"/>
  <c r="O125" i="5"/>
  <c r="Q125" i="5" s="1"/>
  <c r="O38" i="5"/>
  <c r="Q38" i="5" s="1"/>
  <c r="O129" i="5"/>
  <c r="Q129" i="5" s="1"/>
  <c r="O20" i="7"/>
  <c r="Q20" i="7" s="1"/>
  <c r="O10" i="7"/>
  <c r="Q10" i="7" s="1"/>
  <c r="Q77" i="6"/>
  <c r="O31" i="6"/>
  <c r="Q31" i="6" s="1"/>
  <c r="O56" i="6"/>
  <c r="Q56" i="6" s="1"/>
  <c r="O18" i="6"/>
  <c r="Q18" i="6" s="1"/>
  <c r="O67" i="6"/>
  <c r="Q67" i="6" s="1"/>
  <c r="O20" i="6"/>
  <c r="Q20" i="6" s="1"/>
  <c r="O14" i="6"/>
  <c r="Q14" i="6" s="1"/>
  <c r="O26" i="5"/>
  <c r="Q26" i="5" s="1"/>
  <c r="O138" i="5"/>
  <c r="Q138" i="5" s="1"/>
  <c r="O85" i="5"/>
  <c r="Q85" i="5" s="1"/>
  <c r="O92" i="5"/>
  <c r="Q92" i="5" s="1"/>
  <c r="O106" i="5"/>
  <c r="Q106" i="5" s="1"/>
  <c r="O141" i="5"/>
  <c r="Q141" i="5" s="1"/>
  <c r="O90" i="5"/>
  <c r="Q90" i="5" s="1"/>
  <c r="O154" i="5"/>
  <c r="Q154" i="5" s="1"/>
  <c r="O108" i="5"/>
  <c r="Q108" i="5" s="1"/>
  <c r="O119" i="5"/>
  <c r="Q119" i="5" s="1"/>
  <c r="O94" i="5"/>
  <c r="Q94" i="5" s="1"/>
  <c r="O116" i="5"/>
  <c r="Q116" i="5" s="1"/>
  <c r="O114" i="5"/>
  <c r="Q114" i="5" s="1"/>
  <c r="O153" i="5"/>
  <c r="Q153" i="5" s="1"/>
  <c r="O46" i="5"/>
  <c r="Q46" i="5" s="1"/>
  <c r="O45" i="5"/>
  <c r="Q45" i="5" s="1"/>
  <c r="O71" i="5"/>
  <c r="Q71" i="5" s="1"/>
  <c r="O157" i="5"/>
  <c r="Q157" i="5" s="1"/>
  <c r="O29" i="5"/>
  <c r="Q29" i="5" s="1"/>
  <c r="O68" i="5"/>
  <c r="Q68" i="5" s="1"/>
  <c r="AO58" i="4" l="1"/>
  <c r="AO36" i="4"/>
  <c r="AO26" i="4"/>
  <c r="AO51" i="4"/>
  <c r="AO48" i="4"/>
  <c r="AO40" i="4"/>
  <c r="AO47" i="4"/>
  <c r="AO19" i="4"/>
  <c r="AO37" i="4"/>
  <c r="AO31" i="4"/>
  <c r="AO55" i="4"/>
  <c r="AO49" i="4"/>
  <c r="AO50" i="4"/>
  <c r="AO45" i="4"/>
  <c r="AO6" i="4"/>
  <c r="AO30" i="4"/>
  <c r="AO10" i="4"/>
  <c r="AO7" i="4"/>
  <c r="AO34" i="4"/>
  <c r="AO8" i="4"/>
  <c r="AO24" i="4"/>
  <c r="AO33" i="4"/>
  <c r="AO14" i="4"/>
  <c r="AO44" i="4"/>
  <c r="AO23" i="4"/>
  <c r="AO41" i="4"/>
  <c r="AO28" i="4"/>
  <c r="AO57" i="4"/>
  <c r="AO27" i="4"/>
  <c r="AO21" i="4"/>
  <c r="AO20" i="4"/>
  <c r="AO43" i="4"/>
  <c r="AO35" i="4"/>
  <c r="AO32" i="4"/>
  <c r="AO54" i="4"/>
  <c r="AO12" i="4"/>
  <c r="AO42" i="4"/>
  <c r="AO38" i="4"/>
  <c r="AO15" i="4"/>
  <c r="AO16" i="4"/>
  <c r="AO29" i="4"/>
  <c r="AO25" i="4"/>
  <c r="AO46" i="4"/>
  <c r="AO52" i="4"/>
  <c r="AO17" i="4"/>
  <c r="AO22" i="4"/>
  <c r="AO11" i="4"/>
  <c r="AO39" i="4"/>
  <c r="AO9" i="4"/>
  <c r="AO18" i="4"/>
  <c r="AO56" i="4"/>
  <c r="AO53" i="4"/>
</calcChain>
</file>

<file path=xl/sharedStrings.xml><?xml version="1.0" encoding="utf-8"?>
<sst xmlns="http://schemas.openxmlformats.org/spreadsheetml/2006/main" count="27454" uniqueCount="180">
  <si>
    <t>店舗名</t>
  </si>
  <si>
    <t>年区分</t>
  </si>
  <si>
    <t>月</t>
  </si>
  <si>
    <t>項目</t>
  </si>
  <si>
    <t>売上金額</t>
  </si>
  <si>
    <t>商品点数</t>
  </si>
  <si>
    <t>客数</t>
  </si>
  <si>
    <t>利用数</t>
  </si>
  <si>
    <t>■入力ルール</t>
  </si>
  <si>
    <t>1行 = 1店舗 × 1ヶ月 × 1項目</t>
  </si>
  <si>
    <t>年区分：本年 / 前年</t>
  </si>
  <si>
    <t>月：8,9,10,11,12,1,2,3,4,5,6,7（8月〜7月年度）</t>
  </si>
  <si>
    <t>項目：全体 / ワイシャツ / ズボン / ジャケット / アプリ / BD / ダイヤモンド</t>
  </si>
  <si>
    <t>E〜H列に4指標の実績を入力</t>
  </si>
  <si>
    <t>行はいくら増やしてもOK（20000行まで自動集計）</t>
  </si>
  <si>
    <t>店舗名は「店舗マスタ」と一致させてください</t>
  </si>
  <si>
    <t>※実際の店舗名に上書きしてください（各表に自動反映）</t>
  </si>
  <si>
    <t>店舗別 年計表 ①　昨対表（8月〜7月）</t>
  </si>
  <si>
    <t>指標</t>
  </si>
  <si>
    <t>全体</t>
  </si>
  <si>
    <t>本年</t>
  </si>
  <si>
    <t>前年</t>
  </si>
  <si>
    <t>前年比</t>
  </si>
  <si>
    <t>年計</t>
  </si>
  <si>
    <t>店舗別 年計表 ②　ワイシャツ／ズボン／ジャケット（8月〜7月）</t>
  </si>
  <si>
    <t>年計（本年）</t>
  </si>
  <si>
    <t>年計（前年）</t>
  </si>
  <si>
    <t>ワイシャツ</t>
  </si>
  <si>
    <t>ズボン</t>
  </si>
  <si>
    <t>ジャケット</t>
  </si>
  <si>
    <t>店舗別 年計表 ③　アプリ／BD（8月〜7月）</t>
  </si>
  <si>
    <t>アプリ</t>
  </si>
  <si>
    <t>BD</t>
  </si>
  <si>
    <t>店舗別 年計表 ④　ダイヤモンド（8月〜7月）</t>
  </si>
  <si>
    <t>ダイヤモンド</t>
  </si>
  <si>
    <t>裾野本店</t>
  </si>
  <si>
    <t>三 島 店</t>
  </si>
  <si>
    <t>ｱｰｹｰﾄﾞ店</t>
  </si>
  <si>
    <t>東田中店</t>
  </si>
  <si>
    <t>桜堤店</t>
  </si>
  <si>
    <t>香貫店</t>
  </si>
  <si>
    <t>学園通り店</t>
  </si>
  <si>
    <t>伏見店</t>
  </si>
  <si>
    <t>原里店</t>
  </si>
  <si>
    <t>岡の宮店</t>
  </si>
  <si>
    <t>川島田店</t>
  </si>
  <si>
    <t>便船塚店</t>
  </si>
  <si>
    <t>大岡店</t>
  </si>
  <si>
    <t>三好店</t>
  </si>
  <si>
    <t>沼津駅南口店</t>
  </si>
  <si>
    <t>神山店</t>
  </si>
  <si>
    <t>長泉店</t>
  </si>
  <si>
    <t>大仁店</t>
  </si>
  <si>
    <t>修善寺店</t>
  </si>
  <si>
    <t>W長泉店</t>
  </si>
  <si>
    <t>Ｋ函南店</t>
  </si>
  <si>
    <t>Ｃ新沢田店</t>
  </si>
  <si>
    <t>ＭＶ柳町店</t>
  </si>
  <si>
    <t>清水町工場店</t>
  </si>
  <si>
    <t>オギノ大坂店</t>
  </si>
  <si>
    <t>三島徳倉店</t>
  </si>
  <si>
    <t>西沢田店</t>
  </si>
  <si>
    <t>中土狩店</t>
  </si>
  <si>
    <t>萩原店</t>
  </si>
  <si>
    <t>静岡工場店</t>
  </si>
  <si>
    <t>焼津店</t>
  </si>
  <si>
    <t>城北店</t>
  </si>
  <si>
    <t>藤枝店</t>
  </si>
  <si>
    <t>曲金店</t>
  </si>
  <si>
    <t>与惣次店</t>
  </si>
  <si>
    <t>瀬名店</t>
  </si>
  <si>
    <t>豊田店</t>
  </si>
  <si>
    <t>吉田店</t>
  </si>
  <si>
    <t>石津店</t>
  </si>
  <si>
    <t>八坂店</t>
  </si>
  <si>
    <t>原  店</t>
  </si>
  <si>
    <t>ＭＶ原町店</t>
  </si>
  <si>
    <t>松長店</t>
  </si>
  <si>
    <t>田中町店</t>
  </si>
  <si>
    <t>松岡店</t>
  </si>
  <si>
    <t>MV江尾店</t>
  </si>
  <si>
    <t>蒲原店</t>
  </si>
  <si>
    <t>松野店</t>
  </si>
  <si>
    <t>石坂店</t>
  </si>
  <si>
    <t>荒田島店</t>
  </si>
  <si>
    <t>水戸島店</t>
  </si>
  <si>
    <t>穂波町店</t>
  </si>
  <si>
    <t>竹原店</t>
  </si>
  <si>
    <t>カジュアルシャツ</t>
  </si>
  <si>
    <t>ブラウス</t>
  </si>
  <si>
    <t>スーツ</t>
  </si>
  <si>
    <t>上着</t>
  </si>
  <si>
    <t>スカート</t>
  </si>
  <si>
    <t>セーター</t>
  </si>
  <si>
    <t>カーディガン</t>
  </si>
  <si>
    <t>ワンピース</t>
  </si>
  <si>
    <t>コート</t>
  </si>
  <si>
    <t>ジャンバー</t>
  </si>
  <si>
    <t>ダウン</t>
  </si>
  <si>
    <t>スキーウェア</t>
  </si>
  <si>
    <t>ドライ点数</t>
  </si>
  <si>
    <t>ＹシャツＳコース点数</t>
  </si>
  <si>
    <t>花粉加工</t>
  </si>
  <si>
    <t>スーパーリボーン加工</t>
  </si>
  <si>
    <t>撥水加工</t>
  </si>
  <si>
    <t>防虫加工</t>
  </si>
  <si>
    <t>爽快</t>
  </si>
  <si>
    <t>エコウェット</t>
  </si>
  <si>
    <t>防臭加工</t>
  </si>
  <si>
    <t>念入り</t>
  </si>
  <si>
    <t>なめらかタッチ</t>
  </si>
  <si>
    <t>布団類防虫</t>
  </si>
  <si>
    <t>襟・袖念入り</t>
  </si>
  <si>
    <t>復元</t>
  </si>
  <si>
    <t>14項目　年計表（点数）　R5.8月〜R6.7月</t>
  </si>
  <si>
    <t>※数値は「商品点数」。元データ_14項目より集計</t>
  </si>
  <si>
    <t>前年年計</t>
  </si>
  <si>
    <t>加工　年計表（点数）　R5.8月〜R6.7月</t>
  </si>
  <si>
    <t>※本年のみ（原本に前年データなし）。「復元」はR5.11月以降のみ計上</t>
  </si>
  <si>
    <t>対ドライ比</t>
  </si>
  <si>
    <t>行ラベル</t>
  </si>
  <si>
    <t>総計</t>
  </si>
  <si>
    <t>列ラベル</t>
  </si>
  <si>
    <t>合計 / 売上金額</t>
  </si>
  <si>
    <t>(すべて)</t>
  </si>
  <si>
    <t>店舗×月 売上金額 集計（フィルタ：年区分・項目）</t>
  </si>
  <si>
    <t>店舗×品目14項目 点数 集計（フィルタ：年区分・月）</t>
  </si>
  <si>
    <t>合計 / ワイシャツ</t>
  </si>
  <si>
    <t>合計 / カジュアルシャツ</t>
  </si>
  <si>
    <t>合計 / ブラウス</t>
  </si>
  <si>
    <t>合計 / スーツ</t>
  </si>
  <si>
    <t>合計 / 上着</t>
  </si>
  <si>
    <t>合計 / ズボン</t>
  </si>
  <si>
    <t>合計 / スカート</t>
  </si>
  <si>
    <t>合計 / セーター</t>
  </si>
  <si>
    <t>合計 / カーディガン</t>
  </si>
  <si>
    <t>合計 / ワンピース</t>
  </si>
  <si>
    <t>合計 / コート</t>
  </si>
  <si>
    <t>合計 / ジャンバー</t>
  </si>
  <si>
    <t>合計 / ダウン</t>
  </si>
  <si>
    <t>合計 / スキーウェア</t>
  </si>
  <si>
    <t>店舗×加工オプション 点数 集計（フィルタ：月）</t>
  </si>
  <si>
    <t>項目別 売上・点数・客数・利用数 サマリ（フィルタ：年区分・月）</t>
  </si>
  <si>
    <t>合計 / ドライ点数</t>
  </si>
  <si>
    <t>合計 / ＹシャツＳコース点数</t>
  </si>
  <si>
    <t>合計 / 花粉加工</t>
  </si>
  <si>
    <t>合計 / スーパーリボーン加工</t>
  </si>
  <si>
    <t>合計 / 撥水加工</t>
  </si>
  <si>
    <t>合計 / 防虫加工</t>
  </si>
  <si>
    <t>合計 / 爽快</t>
  </si>
  <si>
    <t>合計 / エコウェット</t>
  </si>
  <si>
    <t>合計 / 防臭加工</t>
  </si>
  <si>
    <t>合計 / 念入り</t>
  </si>
  <si>
    <t>合計 / なめらかタッチ</t>
  </si>
  <si>
    <t>合計 / 布団類防虫</t>
  </si>
  <si>
    <t>合計 / 襟・袖念入り</t>
  </si>
  <si>
    <t>合計 / 復元</t>
  </si>
  <si>
    <t>合計 / 商品点数</t>
  </si>
  <si>
    <t>合計 / 客数</t>
  </si>
  <si>
    <t>合計 / 利用数</t>
  </si>
  <si>
    <t>前年 → 本年 比較グラフ</t>
  </si>
  <si>
    <t>対象項目（売上系）</t>
  </si>
  <si>
    <t>① 月別 売上金額（全店）</t>
  </si>
  <si>
    <t>② 店舗別 売上金額（年計）</t>
  </si>
  <si>
    <t>③ 品目14項目 点数</t>
  </si>
  <si>
    <t>品目</t>
  </si>
  <si>
    <t>④ 項目別 商品点数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</si>
  <si>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</si>
  <si>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</si>
  <si>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</si>
  <si>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</si>
  <si>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</si>
  <si>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</si>
  <si>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</si>
  <si>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</si>
  <si>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</si>
  <si>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</si>
  <si>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</si>
  <si>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</si>
  <si>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月番号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</si>
</sst>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&quot;月&quot;"/>
    <numFmt numFmtId="177" formatCode="#,##0;\(#,##0\);&quot;-&quot;"/>
    <numFmt numFmtId="178" formatCode="0.0%"/>
    <numFmt numFmtId="179" formatCode="#,##0;\(#,##0\);\-"/>
  </numFmts>
  <fonts count="9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  <font>
      <sz val="11"/>
      <color rgb="FF0000FF"/>
      <name val="游ゴシック"/>
      <family val="2"/>
      <charset val="128"/>
      <scheme val="minor"/>
    </font>
    <font>
      <b/>
      <sz val="14"/>
      <color theme="1"/>
      <name val="游ゴシック"/>
      <family val="2"/>
      <charset val="128"/>
      <scheme val="minor"/>
    </font>
    <font>
      <sz val="11"/>
      <color rgb="FF008000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b/>
      <sz val="11"/>
      <color rgb="FF808080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178" fontId="0" fillId="0" borderId="0" xfId="0" applyNumberFormat="1">
      <alignment vertical="center"/>
    </xf>
    <xf numFmtId="0" fontId="0" fillId="7" borderId="0" xfId="0" applyFill="1">
      <alignment vertical="center"/>
    </xf>
    <xf numFmtId="0" fontId="1" fillId="6" borderId="1" xfId="0" applyFont="1" applyFill="1" applyBorder="1">
      <alignment vertical="center"/>
    </xf>
    <xf numFmtId="0" fontId="1" fillId="6" borderId="2" xfId="0" applyFont="1" applyFill="1" applyBorder="1">
      <alignment vertical="center"/>
    </xf>
    <xf numFmtId="176" fontId="1" fillId="6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0" fillId="0" borderId="5" xfId="0" applyBorder="1">
      <alignment vertical="center"/>
    </xf>
    <xf numFmtId="177" fontId="0" fillId="0" borderId="5" xfId="0" applyNumberFormat="1" applyBorder="1">
      <alignment vertical="center"/>
    </xf>
    <xf numFmtId="177" fontId="0" fillId="7" borderId="5" xfId="0" applyNumberFormat="1" applyFill="1" applyBorder="1">
      <alignment vertical="center"/>
    </xf>
    <xf numFmtId="178" fontId="0" fillId="0" borderId="5" xfId="0" applyNumberFormat="1" applyBorder="1">
      <alignment vertical="center"/>
    </xf>
    <xf numFmtId="178" fontId="0" fillId="7" borderId="6" xfId="0" applyNumberFormat="1" applyFill="1" applyBorder="1">
      <alignment vertical="center"/>
    </xf>
    <xf numFmtId="176" fontId="3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8" fontId="0" fillId="0" borderId="6" xfId="0" applyNumberFormat="1" applyBorder="1">
      <alignment vertical="center"/>
    </xf>
    <xf numFmtId="179" fontId="0" fillId="0" borderId="0" xfId="0" applyNumberForma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177" fontId="0" fillId="0" borderId="0" xfId="0" applyNumberFormat="1">
      <alignment vertical="center"/>
    </xf>
    <xf numFmtId="0" fontId="1" fillId="8" borderId="0" xfId="0" applyFont="1" applyFill="1">
      <alignment vertical="center"/>
    </xf>
    <xf numFmtId="1" fontId="0" fillId="0" borderId="0" xfId="0" applyNumberFormat="1">
      <alignment vertical="center"/>
    </xf>
    <xf numFmtId="1" fontId="8" fillId="8" borderId="0" xfId="0" applyNumberFormat="1" applyFont="1" applyFill="1">
      <alignment vertical="center"/>
    </xf>
  </cellXfs>
  <cellStyles count="1">
    <cellStyle name="標準" xfId="0" builtinId="0"/>
  </cellStyles>
  <dxfs count="14">
    <dxf>
      <numFmt numFmtId="177" formatCode="#,##0;\(#,##0\);&quot;-&quot;"/>
    </dxf>
    <dxf>
      <numFmt numFmtId="177" formatCode="#,##0;\(#,##0\);&quot;-&quot;"/>
    </dxf>
    <dxf>
      <numFmt numFmtId="177" formatCode="#,##0;\(#,##0\);&quot;-&quot;"/>
    </dxf>
    <dxf>
      <numFmt numFmtId="177" formatCode="#,##0;\(#,##0\);&quot;-&quot;"/>
    </dxf>
    <dxf>
      <numFmt numFmtId="177" formatCode="#,##0;\(#,##0\);&quot;-&quot;"/>
    </dxf>
    <dxf>
      <numFmt numFmtId="177" formatCode="#,##0;\(#,##0\);&quot;-&quot;"/>
    </dxf>
    <dxf>
      <numFmt numFmtId="177" formatCode="#,##0;\(#,##0\);&quot;-&quot;"/>
    </dxf>
    <dxf>
      <numFmt numFmtId="177" formatCode="#,##0;\(#,##0\);&quot;-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游ゴシック"/>
        <family val="2"/>
        <charset val="128"/>
        <scheme val="minor"/>
      </font>
      <fill>
        <patternFill patternType="solid">
          <fgColor indexed="64"/>
          <bgColor rgb="FF1F38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游ゴシック"/>
        <family val="2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游ゴシック"/>
        <family val="2"/>
        <charset val="128"/>
        <scheme val="minor"/>
      </font>
      <fill>
        <patternFill patternType="solid">
          <fgColor indexed="64"/>
          <bgColor rgb="FF1F386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游ゴシック"/>
        <family val="2"/>
        <charset val="128"/>
        <scheme val="minor"/>
      </font>
      <fill>
        <patternFill patternType="solid">
          <fgColor indexed="64"/>
          <bgColor rgb="FF1F386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游ゴシック"/>
        <family val="2"/>
        <charset val="128"/>
        <scheme val="minor"/>
      </font>
      <fill>
        <patternFill patternType="solid">
          <fgColor indexed="64"/>
          <bgColor rgb="FF1F38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② 店舗別 売上金額 年計（前年 </a:t>
            </a:r>
            <a:r>
              <a:rPr lang="en-US"/>
              <a:t>vs </a:t>
            </a:r>
            <a:r>
              <a:rPr lang="ja-JP"/>
              <a:t>本年）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比較グラフ!$F$5</c:f>
              <c:strCache>
                <c:ptCount val="1"/>
                <c:pt idx="0">
                  <c:v>前年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比較グラフ!$E$6:$E$58</c:f>
              <c:strCache>
                <c:ptCount val="53"/>
                <c:pt idx="0">
                  <c:v>裾野本店</c:v>
                </c:pt>
                <c:pt idx="1">
                  <c:v>三 島 店</c:v>
                </c:pt>
                <c:pt idx="2">
                  <c:v>ｱｰｹｰﾄﾞ店</c:v>
                </c:pt>
                <c:pt idx="3">
                  <c:v>東田中店</c:v>
                </c:pt>
                <c:pt idx="4">
                  <c:v>桜堤店</c:v>
                </c:pt>
                <c:pt idx="5">
                  <c:v>香貫店</c:v>
                </c:pt>
                <c:pt idx="6">
                  <c:v>学園通り店</c:v>
                </c:pt>
                <c:pt idx="7">
                  <c:v>伏見店</c:v>
                </c:pt>
                <c:pt idx="8">
                  <c:v>原里店</c:v>
                </c:pt>
                <c:pt idx="9">
                  <c:v>岡の宮店</c:v>
                </c:pt>
                <c:pt idx="10">
                  <c:v>川島田店</c:v>
                </c:pt>
                <c:pt idx="11">
                  <c:v>便船塚店</c:v>
                </c:pt>
                <c:pt idx="12">
                  <c:v>大岡店</c:v>
                </c:pt>
                <c:pt idx="13">
                  <c:v>三好店</c:v>
                </c:pt>
                <c:pt idx="14">
                  <c:v>沼津駅南口店</c:v>
                </c:pt>
                <c:pt idx="15">
                  <c:v>神山店</c:v>
                </c:pt>
                <c:pt idx="16">
                  <c:v>長泉店</c:v>
                </c:pt>
                <c:pt idx="17">
                  <c:v>大仁店</c:v>
                </c:pt>
                <c:pt idx="18">
                  <c:v>修善寺店</c:v>
                </c:pt>
                <c:pt idx="19">
                  <c:v>W長泉店</c:v>
                </c:pt>
                <c:pt idx="20">
                  <c:v>Ｋ函南店</c:v>
                </c:pt>
                <c:pt idx="21">
                  <c:v>Ｃ新沢田店</c:v>
                </c:pt>
                <c:pt idx="22">
                  <c:v>ＭＶ柳町店</c:v>
                </c:pt>
                <c:pt idx="23">
                  <c:v>清水町工場店</c:v>
                </c:pt>
                <c:pt idx="24">
                  <c:v>オギノ大坂店</c:v>
                </c:pt>
                <c:pt idx="25">
                  <c:v>三島徳倉店</c:v>
                </c:pt>
                <c:pt idx="26">
                  <c:v>西沢田店</c:v>
                </c:pt>
                <c:pt idx="27">
                  <c:v>中土狩店</c:v>
                </c:pt>
                <c:pt idx="28">
                  <c:v>萩原店</c:v>
                </c:pt>
                <c:pt idx="29">
                  <c:v>静岡工場店</c:v>
                </c:pt>
                <c:pt idx="30">
                  <c:v>焼津店</c:v>
                </c:pt>
                <c:pt idx="31">
                  <c:v>城北店</c:v>
                </c:pt>
                <c:pt idx="32">
                  <c:v>藤枝店</c:v>
                </c:pt>
                <c:pt idx="33">
                  <c:v>曲金店</c:v>
                </c:pt>
                <c:pt idx="34">
                  <c:v>与惣次店</c:v>
                </c:pt>
                <c:pt idx="35">
                  <c:v>瀬名店</c:v>
                </c:pt>
                <c:pt idx="36">
                  <c:v>豊田店</c:v>
                </c:pt>
                <c:pt idx="37">
                  <c:v>吉田店</c:v>
                </c:pt>
                <c:pt idx="38">
                  <c:v>石津店</c:v>
                </c:pt>
                <c:pt idx="39">
                  <c:v>八坂店</c:v>
                </c:pt>
                <c:pt idx="40">
                  <c:v>原  店</c:v>
                </c:pt>
                <c:pt idx="41">
                  <c:v>ＭＶ原町店</c:v>
                </c:pt>
                <c:pt idx="42">
                  <c:v>松長店</c:v>
                </c:pt>
                <c:pt idx="43">
                  <c:v>田中町店</c:v>
                </c:pt>
                <c:pt idx="44">
                  <c:v>松岡店</c:v>
                </c:pt>
                <c:pt idx="45">
                  <c:v>MV江尾店</c:v>
                </c:pt>
                <c:pt idx="46">
                  <c:v>蒲原店</c:v>
                </c:pt>
                <c:pt idx="47">
                  <c:v>松野店</c:v>
                </c:pt>
                <c:pt idx="48">
                  <c:v>石坂店</c:v>
                </c:pt>
                <c:pt idx="49">
                  <c:v>荒田島店</c:v>
                </c:pt>
                <c:pt idx="50">
                  <c:v>水戸島店</c:v>
                </c:pt>
                <c:pt idx="51">
                  <c:v>穂波町店</c:v>
                </c:pt>
                <c:pt idx="52">
                  <c:v>竹原店</c:v>
                </c:pt>
              </c:strCache>
            </c:strRef>
          </c:cat>
          <c:val>
            <c:numRef>
              <c:f>比較グラフ!$F$6:$F$58</c:f>
              <c:numCache>
                <c:formatCode>#,##0;\(#,##0\);"-"</c:formatCode>
                <c:ptCount val="53"/>
                <c:pt idx="0">
                  <c:v>27324226</c:v>
                </c:pt>
                <c:pt idx="1">
                  <c:v>23541322</c:v>
                </c:pt>
                <c:pt idx="2">
                  <c:v>11741841</c:v>
                </c:pt>
                <c:pt idx="3">
                  <c:v>29011272</c:v>
                </c:pt>
                <c:pt idx="4">
                  <c:v>21369896</c:v>
                </c:pt>
                <c:pt idx="5">
                  <c:v>21519845</c:v>
                </c:pt>
                <c:pt idx="6">
                  <c:v>23736088</c:v>
                </c:pt>
                <c:pt idx="7">
                  <c:v>10295621</c:v>
                </c:pt>
                <c:pt idx="8">
                  <c:v>18358394</c:v>
                </c:pt>
                <c:pt idx="9">
                  <c:v>27383315</c:v>
                </c:pt>
                <c:pt idx="10">
                  <c:v>15786599</c:v>
                </c:pt>
                <c:pt idx="11">
                  <c:v>30090246</c:v>
                </c:pt>
                <c:pt idx="12">
                  <c:v>33137309</c:v>
                </c:pt>
                <c:pt idx="13">
                  <c:v>17389391</c:v>
                </c:pt>
                <c:pt idx="14">
                  <c:v>11431050</c:v>
                </c:pt>
                <c:pt idx="15">
                  <c:v>10397746</c:v>
                </c:pt>
                <c:pt idx="16">
                  <c:v>24998232</c:v>
                </c:pt>
                <c:pt idx="17">
                  <c:v>12636463</c:v>
                </c:pt>
                <c:pt idx="18">
                  <c:v>12973906</c:v>
                </c:pt>
                <c:pt idx="19">
                  <c:v>12549046</c:v>
                </c:pt>
                <c:pt idx="20">
                  <c:v>29504794</c:v>
                </c:pt>
                <c:pt idx="21">
                  <c:v>23105561</c:v>
                </c:pt>
                <c:pt idx="22">
                  <c:v>15240592</c:v>
                </c:pt>
                <c:pt idx="23">
                  <c:v>40529395</c:v>
                </c:pt>
                <c:pt idx="24">
                  <c:v>13934712</c:v>
                </c:pt>
                <c:pt idx="25">
                  <c:v>8014083</c:v>
                </c:pt>
                <c:pt idx="26">
                  <c:v>13601610</c:v>
                </c:pt>
                <c:pt idx="27">
                  <c:v>30313671</c:v>
                </c:pt>
                <c:pt idx="28">
                  <c:v>21389099</c:v>
                </c:pt>
                <c:pt idx="29">
                  <c:v>2763751</c:v>
                </c:pt>
                <c:pt idx="30">
                  <c:v>29812061</c:v>
                </c:pt>
                <c:pt idx="31">
                  <c:v>13987508</c:v>
                </c:pt>
                <c:pt idx="32">
                  <c:v>23187194</c:v>
                </c:pt>
                <c:pt idx="33">
                  <c:v>11426889</c:v>
                </c:pt>
                <c:pt idx="34">
                  <c:v>16421363</c:v>
                </c:pt>
                <c:pt idx="35">
                  <c:v>15495757</c:v>
                </c:pt>
                <c:pt idx="36">
                  <c:v>17910542</c:v>
                </c:pt>
                <c:pt idx="37">
                  <c:v>19238401</c:v>
                </c:pt>
                <c:pt idx="38">
                  <c:v>19965381</c:v>
                </c:pt>
                <c:pt idx="39">
                  <c:v>14959087</c:v>
                </c:pt>
                <c:pt idx="40">
                  <c:v>20224101</c:v>
                </c:pt>
                <c:pt idx="41">
                  <c:v>14287240</c:v>
                </c:pt>
                <c:pt idx="42">
                  <c:v>14821927</c:v>
                </c:pt>
                <c:pt idx="43">
                  <c:v>20899367</c:v>
                </c:pt>
                <c:pt idx="44">
                  <c:v>19835507</c:v>
                </c:pt>
                <c:pt idx="45">
                  <c:v>12225799</c:v>
                </c:pt>
                <c:pt idx="46">
                  <c:v>14802787</c:v>
                </c:pt>
                <c:pt idx="47">
                  <c:v>13231280</c:v>
                </c:pt>
                <c:pt idx="48">
                  <c:v>28924108</c:v>
                </c:pt>
                <c:pt idx="49">
                  <c:v>14527846</c:v>
                </c:pt>
                <c:pt idx="50">
                  <c:v>15601059</c:v>
                </c:pt>
                <c:pt idx="51">
                  <c:v>15576025</c:v>
                </c:pt>
                <c:pt idx="52">
                  <c:v>2148606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5-42B2-876F-27859CA171A9}"/>
            </c:ext>
          </c:extLst>
        </c:ser>
        <c:ser>
          <c:idx val="1"/>
          <c:order val="1"/>
          <c:tx>
            <c:strRef>
              <c:f>比較グラフ!$G$5</c:f>
              <c:strCache>
                <c:ptCount val="1"/>
                <c:pt idx="0">
                  <c:v>本年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比較グラフ!$E$6:$E$58</c:f>
              <c:strCache>
                <c:ptCount val="53"/>
                <c:pt idx="0">
                  <c:v>裾野本店</c:v>
                </c:pt>
                <c:pt idx="1">
                  <c:v>三 島 店</c:v>
                </c:pt>
                <c:pt idx="2">
                  <c:v>ｱｰｹｰﾄﾞ店</c:v>
                </c:pt>
                <c:pt idx="3">
                  <c:v>東田中店</c:v>
                </c:pt>
                <c:pt idx="4">
                  <c:v>桜堤店</c:v>
                </c:pt>
                <c:pt idx="5">
                  <c:v>香貫店</c:v>
                </c:pt>
                <c:pt idx="6">
                  <c:v>学園通り店</c:v>
                </c:pt>
                <c:pt idx="7">
                  <c:v>伏見店</c:v>
                </c:pt>
                <c:pt idx="8">
                  <c:v>原里店</c:v>
                </c:pt>
                <c:pt idx="9">
                  <c:v>岡の宮店</c:v>
                </c:pt>
                <c:pt idx="10">
                  <c:v>川島田店</c:v>
                </c:pt>
                <c:pt idx="11">
                  <c:v>便船塚店</c:v>
                </c:pt>
                <c:pt idx="12">
                  <c:v>大岡店</c:v>
                </c:pt>
                <c:pt idx="13">
                  <c:v>三好店</c:v>
                </c:pt>
                <c:pt idx="14">
                  <c:v>沼津駅南口店</c:v>
                </c:pt>
                <c:pt idx="15">
                  <c:v>神山店</c:v>
                </c:pt>
                <c:pt idx="16">
                  <c:v>長泉店</c:v>
                </c:pt>
                <c:pt idx="17">
                  <c:v>大仁店</c:v>
                </c:pt>
                <c:pt idx="18">
                  <c:v>修善寺店</c:v>
                </c:pt>
                <c:pt idx="19">
                  <c:v>W長泉店</c:v>
                </c:pt>
                <c:pt idx="20">
                  <c:v>Ｋ函南店</c:v>
                </c:pt>
                <c:pt idx="21">
                  <c:v>Ｃ新沢田店</c:v>
                </c:pt>
                <c:pt idx="22">
                  <c:v>ＭＶ柳町店</c:v>
                </c:pt>
                <c:pt idx="23">
                  <c:v>清水町工場店</c:v>
                </c:pt>
                <c:pt idx="24">
                  <c:v>オギノ大坂店</c:v>
                </c:pt>
                <c:pt idx="25">
                  <c:v>三島徳倉店</c:v>
                </c:pt>
                <c:pt idx="26">
                  <c:v>西沢田店</c:v>
                </c:pt>
                <c:pt idx="27">
                  <c:v>中土狩店</c:v>
                </c:pt>
                <c:pt idx="28">
                  <c:v>萩原店</c:v>
                </c:pt>
                <c:pt idx="29">
                  <c:v>静岡工場店</c:v>
                </c:pt>
                <c:pt idx="30">
                  <c:v>焼津店</c:v>
                </c:pt>
                <c:pt idx="31">
                  <c:v>城北店</c:v>
                </c:pt>
                <c:pt idx="32">
                  <c:v>藤枝店</c:v>
                </c:pt>
                <c:pt idx="33">
                  <c:v>曲金店</c:v>
                </c:pt>
                <c:pt idx="34">
                  <c:v>与惣次店</c:v>
                </c:pt>
                <c:pt idx="35">
                  <c:v>瀬名店</c:v>
                </c:pt>
                <c:pt idx="36">
                  <c:v>豊田店</c:v>
                </c:pt>
                <c:pt idx="37">
                  <c:v>吉田店</c:v>
                </c:pt>
                <c:pt idx="38">
                  <c:v>石津店</c:v>
                </c:pt>
                <c:pt idx="39">
                  <c:v>八坂店</c:v>
                </c:pt>
                <c:pt idx="40">
                  <c:v>原  店</c:v>
                </c:pt>
                <c:pt idx="41">
                  <c:v>ＭＶ原町店</c:v>
                </c:pt>
                <c:pt idx="42">
                  <c:v>松長店</c:v>
                </c:pt>
                <c:pt idx="43">
                  <c:v>田中町店</c:v>
                </c:pt>
                <c:pt idx="44">
                  <c:v>松岡店</c:v>
                </c:pt>
                <c:pt idx="45">
                  <c:v>MV江尾店</c:v>
                </c:pt>
                <c:pt idx="46">
                  <c:v>蒲原店</c:v>
                </c:pt>
                <c:pt idx="47">
                  <c:v>松野店</c:v>
                </c:pt>
                <c:pt idx="48">
                  <c:v>石坂店</c:v>
                </c:pt>
                <c:pt idx="49">
                  <c:v>荒田島店</c:v>
                </c:pt>
                <c:pt idx="50">
                  <c:v>水戸島店</c:v>
                </c:pt>
                <c:pt idx="51">
                  <c:v>穂波町店</c:v>
                </c:pt>
                <c:pt idx="52">
                  <c:v>竹原店</c:v>
                </c:pt>
              </c:strCache>
            </c:strRef>
          </c:cat>
          <c:val>
            <c:numRef>
              <c:f>比較グラフ!$G$6:$G$58</c:f>
              <c:numCache>
                <c:formatCode>#,##0;\(#,##0\);"-"</c:formatCode>
                <c:ptCount val="53"/>
                <c:pt idx="0">
                  <c:v>24911731</c:v>
                </c:pt>
                <c:pt idx="1">
                  <c:v>22078948</c:v>
                </c:pt>
                <c:pt idx="2">
                  <c:v>10631918</c:v>
                </c:pt>
                <c:pt idx="3">
                  <c:v>29678537</c:v>
                </c:pt>
                <c:pt idx="4">
                  <c:v>20720634</c:v>
                </c:pt>
                <c:pt idx="5">
                  <c:v>22165952</c:v>
                </c:pt>
                <c:pt idx="6">
                  <c:v>23811257</c:v>
                </c:pt>
                <c:pt idx="7">
                  <c:v>10106931</c:v>
                </c:pt>
                <c:pt idx="8">
                  <c:v>18153089</c:v>
                </c:pt>
                <c:pt idx="9">
                  <c:v>26345157</c:v>
                </c:pt>
                <c:pt idx="10">
                  <c:v>15339997</c:v>
                </c:pt>
                <c:pt idx="11">
                  <c:v>29743604</c:v>
                </c:pt>
                <c:pt idx="12">
                  <c:v>30920176</c:v>
                </c:pt>
                <c:pt idx="13">
                  <c:v>16409257</c:v>
                </c:pt>
                <c:pt idx="14">
                  <c:v>11846056</c:v>
                </c:pt>
                <c:pt idx="15">
                  <c:v>10180438</c:v>
                </c:pt>
                <c:pt idx="16">
                  <c:v>24944149</c:v>
                </c:pt>
                <c:pt idx="17">
                  <c:v>12491977</c:v>
                </c:pt>
                <c:pt idx="18">
                  <c:v>12975818</c:v>
                </c:pt>
                <c:pt idx="19">
                  <c:v>11646312</c:v>
                </c:pt>
                <c:pt idx="20">
                  <c:v>29239176</c:v>
                </c:pt>
                <c:pt idx="21">
                  <c:v>22147420</c:v>
                </c:pt>
                <c:pt idx="22">
                  <c:v>14566275</c:v>
                </c:pt>
                <c:pt idx="23">
                  <c:v>40887111</c:v>
                </c:pt>
                <c:pt idx="24">
                  <c:v>13023710</c:v>
                </c:pt>
                <c:pt idx="25">
                  <c:v>7894922</c:v>
                </c:pt>
                <c:pt idx="26">
                  <c:v>12978999</c:v>
                </c:pt>
                <c:pt idx="27">
                  <c:v>31647260</c:v>
                </c:pt>
                <c:pt idx="28">
                  <c:v>22087366</c:v>
                </c:pt>
                <c:pt idx="29">
                  <c:v>2654316</c:v>
                </c:pt>
                <c:pt idx="30">
                  <c:v>29740449</c:v>
                </c:pt>
                <c:pt idx="31">
                  <c:v>13508899</c:v>
                </c:pt>
                <c:pt idx="32">
                  <c:v>23366292</c:v>
                </c:pt>
                <c:pt idx="33">
                  <c:v>10926942</c:v>
                </c:pt>
                <c:pt idx="34">
                  <c:v>16214885</c:v>
                </c:pt>
                <c:pt idx="35">
                  <c:v>15352065</c:v>
                </c:pt>
                <c:pt idx="36">
                  <c:v>17563639</c:v>
                </c:pt>
                <c:pt idx="37">
                  <c:v>18023466</c:v>
                </c:pt>
                <c:pt idx="38">
                  <c:v>21706648</c:v>
                </c:pt>
                <c:pt idx="39">
                  <c:v>14676094</c:v>
                </c:pt>
                <c:pt idx="40">
                  <c:v>18706503</c:v>
                </c:pt>
                <c:pt idx="41">
                  <c:v>13424921</c:v>
                </c:pt>
                <c:pt idx="42">
                  <c:v>15077505</c:v>
                </c:pt>
                <c:pt idx="43">
                  <c:v>20188845</c:v>
                </c:pt>
                <c:pt idx="44">
                  <c:v>19355397</c:v>
                </c:pt>
                <c:pt idx="45">
                  <c:v>12523888</c:v>
                </c:pt>
                <c:pt idx="46">
                  <c:v>13458222</c:v>
                </c:pt>
                <c:pt idx="47">
                  <c:v>12369793</c:v>
                </c:pt>
                <c:pt idx="48">
                  <c:v>28874709</c:v>
                </c:pt>
                <c:pt idx="49">
                  <c:v>15133113</c:v>
                </c:pt>
                <c:pt idx="50">
                  <c:v>14848911</c:v>
                </c:pt>
                <c:pt idx="51">
                  <c:v>17592903</c:v>
                </c:pt>
                <c:pt idx="52">
                  <c:v>3034371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5-42B2-876F-27859CA17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6437504"/>
        <c:axId val="1565826512"/>
      </c:barChart>
      <c:catAx>
        <c:axId val="200643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5826512"/>
        <c:crosses val="autoZero"/>
        <c:auto val="1"/>
        <c:lblAlgn val="ctr"/>
        <c:lblOffset val="100"/>
        <c:noMultiLvlLbl val="0"/>
      </c:catAx>
      <c:valAx>
        <c:axId val="156582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643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③ 品目</a:t>
            </a:r>
            <a:r>
              <a:rPr lang="en-US"/>
              <a:t>14</a:t>
            </a:r>
            <a:r>
              <a:rPr lang="ja-JP"/>
              <a:t>項目 点数（前年 </a:t>
            </a:r>
            <a:r>
              <a:rPr lang="en-US"/>
              <a:t>vs </a:t>
            </a:r>
            <a:r>
              <a:rPr lang="ja-JP"/>
              <a:t>本年）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比較グラフ!$J$5</c:f>
              <c:strCache>
                <c:ptCount val="1"/>
                <c:pt idx="0">
                  <c:v>前年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比較グラフ!$I$6:$I$19</c:f>
              <c:strCache>
                <c:ptCount val="14"/>
                <c:pt idx="0">
                  <c:v>ワイシャツ</c:v>
                </c:pt>
                <c:pt idx="1">
                  <c:v>カジュアルシャツ</c:v>
                </c:pt>
                <c:pt idx="2">
                  <c:v>ブラウス</c:v>
                </c:pt>
                <c:pt idx="3">
                  <c:v>スーツ</c:v>
                </c:pt>
                <c:pt idx="4">
                  <c:v>上着</c:v>
                </c:pt>
                <c:pt idx="5">
                  <c:v>ズボン</c:v>
                </c:pt>
                <c:pt idx="6">
                  <c:v>スカート</c:v>
                </c:pt>
                <c:pt idx="7">
                  <c:v>セーター</c:v>
                </c:pt>
                <c:pt idx="8">
                  <c:v>カーディガン</c:v>
                </c:pt>
                <c:pt idx="9">
                  <c:v>ワンピース</c:v>
                </c:pt>
                <c:pt idx="10">
                  <c:v>コート</c:v>
                </c:pt>
                <c:pt idx="11">
                  <c:v>ジャンバー</c:v>
                </c:pt>
                <c:pt idx="12">
                  <c:v>ダウン</c:v>
                </c:pt>
                <c:pt idx="13">
                  <c:v>スキーウェア</c:v>
                </c:pt>
              </c:strCache>
            </c:strRef>
          </c:cat>
          <c:val>
            <c:numRef>
              <c:f>比較グラフ!$J$6:$J$19</c:f>
              <c:numCache>
                <c:formatCode>#,##0;\(#,##0\);"-"</c:formatCode>
                <c:ptCount val="14"/>
                <c:pt idx="0">
                  <c:v>627227</c:v>
                </c:pt>
                <c:pt idx="1">
                  <c:v>31037</c:v>
                </c:pt>
                <c:pt idx="2">
                  <c:v>28881</c:v>
                </c:pt>
                <c:pt idx="3">
                  <c:v>78693</c:v>
                </c:pt>
                <c:pt idx="4">
                  <c:v>20920</c:v>
                </c:pt>
                <c:pt idx="5">
                  <c:v>139252</c:v>
                </c:pt>
                <c:pt idx="6">
                  <c:v>21273</c:v>
                </c:pt>
                <c:pt idx="7">
                  <c:v>58469</c:v>
                </c:pt>
                <c:pt idx="8">
                  <c:v>25108</c:v>
                </c:pt>
                <c:pt idx="9">
                  <c:v>21646</c:v>
                </c:pt>
                <c:pt idx="10">
                  <c:v>55562</c:v>
                </c:pt>
                <c:pt idx="11">
                  <c:v>43256</c:v>
                </c:pt>
                <c:pt idx="12">
                  <c:v>29516</c:v>
                </c:pt>
                <c:pt idx="13">
                  <c:v>2526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4-461A-A87B-EF2971FD297C}"/>
            </c:ext>
          </c:extLst>
        </c:ser>
        <c:ser>
          <c:idx val="1"/>
          <c:order val="1"/>
          <c:tx>
            <c:strRef>
              <c:f>比較グラフ!$K$5</c:f>
              <c:strCache>
                <c:ptCount val="1"/>
                <c:pt idx="0">
                  <c:v>本年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比較グラフ!$I$6:$I$19</c:f>
              <c:strCache>
                <c:ptCount val="14"/>
                <c:pt idx="0">
                  <c:v>ワイシャツ</c:v>
                </c:pt>
                <c:pt idx="1">
                  <c:v>カジュアルシャツ</c:v>
                </c:pt>
                <c:pt idx="2">
                  <c:v>ブラウス</c:v>
                </c:pt>
                <c:pt idx="3">
                  <c:v>スーツ</c:v>
                </c:pt>
                <c:pt idx="4">
                  <c:v>上着</c:v>
                </c:pt>
                <c:pt idx="5">
                  <c:v>ズボン</c:v>
                </c:pt>
                <c:pt idx="6">
                  <c:v>スカート</c:v>
                </c:pt>
                <c:pt idx="7">
                  <c:v>セーター</c:v>
                </c:pt>
                <c:pt idx="8">
                  <c:v>カーディガン</c:v>
                </c:pt>
                <c:pt idx="9">
                  <c:v>ワンピース</c:v>
                </c:pt>
                <c:pt idx="10">
                  <c:v>コート</c:v>
                </c:pt>
                <c:pt idx="11">
                  <c:v>ジャンバー</c:v>
                </c:pt>
                <c:pt idx="12">
                  <c:v>ダウン</c:v>
                </c:pt>
                <c:pt idx="13">
                  <c:v>スキーウェア</c:v>
                </c:pt>
              </c:strCache>
            </c:strRef>
          </c:cat>
          <c:val>
            <c:numRef>
              <c:f>比較グラフ!$K$6:$K$19</c:f>
              <c:numCache>
                <c:formatCode>#,##0;\(#,##0\);"-"</c:formatCode>
                <c:ptCount val="14"/>
                <c:pt idx="0">
                  <c:v>547767</c:v>
                </c:pt>
                <c:pt idx="1">
                  <c:v>30905</c:v>
                </c:pt>
                <c:pt idx="2">
                  <c:v>29628</c:v>
                </c:pt>
                <c:pt idx="3">
                  <c:v>71716</c:v>
                </c:pt>
                <c:pt idx="4">
                  <c:v>23636</c:v>
                </c:pt>
                <c:pt idx="5">
                  <c:v>139338</c:v>
                </c:pt>
                <c:pt idx="6">
                  <c:v>20826</c:v>
                </c:pt>
                <c:pt idx="7">
                  <c:v>54937</c:v>
                </c:pt>
                <c:pt idx="8">
                  <c:v>23732</c:v>
                </c:pt>
                <c:pt idx="9">
                  <c:v>22276</c:v>
                </c:pt>
                <c:pt idx="10">
                  <c:v>52562</c:v>
                </c:pt>
                <c:pt idx="11">
                  <c:v>42983</c:v>
                </c:pt>
                <c:pt idx="12">
                  <c:v>28385</c:v>
                </c:pt>
                <c:pt idx="13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4-461A-A87B-EF2971FD2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471376"/>
        <c:axId val="1565822192"/>
      </c:barChart>
      <c:catAx>
        <c:axId val="200647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5822192"/>
        <c:crosses val="autoZero"/>
        <c:auto val="1"/>
        <c:lblAlgn val="ctr"/>
        <c:lblOffset val="100"/>
        <c:noMultiLvlLbl val="0"/>
      </c:catAx>
      <c:valAx>
        <c:axId val="156582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647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④ 項目別 商品点数（前年 </a:t>
            </a:r>
            <a:r>
              <a:rPr lang="en-US"/>
              <a:t>vs </a:t>
            </a:r>
            <a:r>
              <a:rPr lang="ja-JP"/>
              <a:t>本年）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比較グラフ!$N$5</c:f>
              <c:strCache>
                <c:ptCount val="1"/>
                <c:pt idx="0">
                  <c:v>前年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比較グラフ!$M$6:$M$8</c:f>
              <c:strCache>
                <c:ptCount val="3"/>
                <c:pt idx="0">
                  <c:v>ワイシャツ</c:v>
                </c:pt>
                <c:pt idx="1">
                  <c:v>ズボン</c:v>
                </c:pt>
                <c:pt idx="2">
                  <c:v>ジャケット</c:v>
                </c:pt>
              </c:strCache>
            </c:strRef>
          </c:cat>
          <c:val>
            <c:numRef>
              <c:f>比較グラフ!$N$6:$N$8</c:f>
              <c:numCache>
                <c:formatCode>#,##0;\(#,##0\);"-"</c:formatCode>
                <c:ptCount val="3"/>
                <c:pt idx="0">
                  <c:v>631513</c:v>
                </c:pt>
                <c:pt idx="1">
                  <c:v>318839</c:v>
                </c:pt>
                <c:pt idx="2">
                  <c:v>227618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F-4671-A997-A86E6010B06E}"/>
            </c:ext>
          </c:extLst>
        </c:ser>
        <c:ser>
          <c:idx val="1"/>
          <c:order val="1"/>
          <c:tx>
            <c:strRef>
              <c:f>比較グラフ!$O$5</c:f>
              <c:strCache>
                <c:ptCount val="1"/>
                <c:pt idx="0">
                  <c:v>本年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比較グラフ!$M$6:$M$8</c:f>
              <c:strCache>
                <c:ptCount val="3"/>
                <c:pt idx="0">
                  <c:v>ワイシャツ</c:v>
                </c:pt>
                <c:pt idx="1">
                  <c:v>ズボン</c:v>
                </c:pt>
                <c:pt idx="2">
                  <c:v>ジャケット</c:v>
                </c:pt>
              </c:strCache>
            </c:strRef>
          </c:cat>
          <c:val>
            <c:numRef>
              <c:f>比較グラフ!$O$6:$O$8</c:f>
              <c:numCache>
                <c:formatCode>#,##0;\(#,##0\);"-"</c:formatCode>
                <c:ptCount val="3"/>
                <c:pt idx="0">
                  <c:v>550724</c:v>
                </c:pt>
                <c:pt idx="1">
                  <c:v>299748</c:v>
                </c:pt>
                <c:pt idx="2">
                  <c:v>221754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F-4671-A997-A86E6010B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448176"/>
        <c:axId val="1565817872"/>
      </c:barChart>
      <c:catAx>
        <c:axId val="200644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5817872"/>
        <c:crosses val="autoZero"/>
        <c:auto val="1"/>
        <c:lblAlgn val="ctr"/>
        <c:lblOffset val="100"/>
        <c:noMultiLvlLbl val="0"/>
      </c:catAx>
      <c:valAx>
        <c:axId val="156581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644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① 月別 売上金額（前年 </a:t>
            </a:r>
            <a:r>
              <a:rPr lang="en-US"/>
              <a:t>vs </a:t>
            </a:r>
            <a:r>
              <a:rPr lang="ja-JP"/>
              <a:t>本年・全店）</a:t>
            </a:r>
          </a:p>
        </c:rich>
      </c:tx>
      <c:layout>
        <c:manualLayout>
          <c:xMode val="edge"/>
          <c:yMode val="edge"/>
          <c:x val="0.31168872085696281"/>
          <c:y val="1.5873015873015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比較グラフ!$B$5</c:f>
              <c:strCache>
                <c:ptCount val="1"/>
                <c:pt idx="0">
                  <c:v>前年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比較グラフ!$A$6:$A$17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比較グラフ!$B$6:$B$17</c:f>
              <c:numCache>
                <c:formatCode>#,##0;\(#,##0\);"-"</c:formatCode>
                <c:ptCount val="12"/>
                <c:pt idx="0">
                  <c:v>55717328</c:v>
                </c:pt>
                <c:pt idx="1">
                  <c:v>54025530</c:v>
                </c:pt>
                <c:pt idx="2">
                  <c:v>83845578</c:v>
                </c:pt>
                <c:pt idx="3">
                  <c:v>69222843</c:v>
                </c:pt>
                <c:pt idx="4">
                  <c:v>73686070</c:v>
                </c:pt>
                <c:pt idx="5">
                  <c:v>50206440</c:v>
                </c:pt>
                <c:pt idx="6">
                  <c:v>47131290</c:v>
                </c:pt>
                <c:pt idx="7">
                  <c:v>108605803</c:v>
                </c:pt>
                <c:pt idx="8">
                  <c:v>140099252</c:v>
                </c:pt>
                <c:pt idx="9">
                  <c:v>120606806</c:v>
                </c:pt>
                <c:pt idx="10">
                  <c:v>104009387</c:v>
                </c:pt>
                <c:pt idx="11">
                  <c:v>76422584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5-4192-9C59-ABFB01F2128A}"/>
            </c:ext>
          </c:extLst>
        </c:ser>
        <c:ser>
          <c:idx val="1"/>
          <c:order val="1"/>
          <c:tx>
            <c:strRef>
              <c:f>比較グラフ!$C$5</c:f>
              <c:strCache>
                <c:ptCount val="1"/>
                <c:pt idx="0">
                  <c:v>本年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比較グラフ!$A$6:$A$17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比較グラフ!$C$6:$C$17</c:f>
              <c:numCache>
                <c:formatCode>#,##0;\(#,##0\);"-"</c:formatCode>
                <c:ptCount val="12"/>
                <c:pt idx="0">
                  <c:v>59099103</c:v>
                </c:pt>
                <c:pt idx="1">
                  <c:v>58256956</c:v>
                </c:pt>
                <c:pt idx="2">
                  <c:v>84691442</c:v>
                </c:pt>
                <c:pt idx="3">
                  <c:v>71816733</c:v>
                </c:pt>
                <c:pt idx="4">
                  <c:v>72087602</c:v>
                </c:pt>
                <c:pt idx="5">
                  <c:v>52632909</c:v>
                </c:pt>
                <c:pt idx="6">
                  <c:v>47595483</c:v>
                </c:pt>
                <c:pt idx="7">
                  <c:v>90930608</c:v>
                </c:pt>
                <c:pt idx="8">
                  <c:v>148582414</c:v>
                </c:pt>
                <c:pt idx="9">
                  <c:v>105239269</c:v>
                </c:pt>
                <c:pt idx="10">
                  <c:v>101048715</c:v>
                </c:pt>
                <c:pt idx="11">
                  <c:v>75915719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5-4192-9C59-ABFB01F21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639824"/>
        <c:axId val="1613423696"/>
      </c:barChart>
      <c:catAx>
        <c:axId val="36063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13423696"/>
        <c:crosses val="autoZero"/>
        <c:auto val="1"/>
        <c:lblAlgn val="ctr"/>
        <c:lblOffset val="100"/>
        <c:noMultiLvlLbl val="0"/>
      </c:catAx>
      <c:valAx>
        <c:axId val="16134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063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19</xdr:row>
      <xdr:rowOff>0</xdr:rowOff>
    </xdr:from>
    <xdr:to>
      <xdr:col>16</xdr:col>
      <xdr:colOff>0</xdr:colOff>
      <xdr:row>75</xdr:row>
      <xdr:rowOff>0</xdr:rowOff>
    </xdr:to>
    <xdr:graphicFrame macro="">
      <xdr:nvGraphicFramePr>
        <xdr:cNvPr id="3" name="G2_店舗別売上">
          <a:extLst>
            <a:ext uri="{FF2B5EF4-FFF2-40B4-BE49-F238E27FC236}">
              <a16:creationId xmlns:a16="http://schemas.microsoft.com/office/drawing/2014/main" id="{EB569F5F-4663-EFE5-9B46-B52DBF934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7</xdr:col>
      <xdr:colOff>0</xdr:colOff>
      <xdr:row>62</xdr:row>
      <xdr:rowOff>0</xdr:rowOff>
    </xdr:to>
    <xdr:graphicFrame macro="">
      <xdr:nvGraphicFramePr>
        <xdr:cNvPr id="4" name="G3_品目14">
          <a:extLst>
            <a:ext uri="{FF2B5EF4-FFF2-40B4-BE49-F238E27FC236}">
              <a16:creationId xmlns:a16="http://schemas.microsoft.com/office/drawing/2014/main" id="{59D4C0F7-30B4-47B2-FB97-809726ED4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228599</xdr:rowOff>
    </xdr:from>
    <xdr:to>
      <xdr:col>7</xdr:col>
      <xdr:colOff>0</xdr:colOff>
      <xdr:row>83</xdr:row>
      <xdr:rowOff>228599</xdr:rowOff>
    </xdr:to>
    <xdr:graphicFrame macro="">
      <xdr:nvGraphicFramePr>
        <xdr:cNvPr id="5" name="G4_項目別点数">
          <a:extLst>
            <a:ext uri="{FF2B5EF4-FFF2-40B4-BE49-F238E27FC236}">
              <a16:creationId xmlns:a16="http://schemas.microsoft.com/office/drawing/2014/main" id="{0AED0A70-AEB0-F45E-C6A7-EA45D4D2A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6" name="G1_月別売上">
          <a:extLst>
            <a:ext uri="{FF2B5EF4-FFF2-40B4-BE49-F238E27FC236}">
              <a16:creationId xmlns:a16="http://schemas.microsoft.com/office/drawing/2014/main" id="{A1675E60-BD4C-186D-24F5-4144AA85A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中村南" refreshedDate="46245.376185416666" createdVersion="8" refreshedVersion="8" minRefreshableVersion="3" recordCount="6885" xr:uid="{7208F45D-5132-4FA2-8B49-DA45220F3AB1}">
  <cacheSource type="worksheet">
    <worksheetSource ref="A1:H6886" sheet="元データ"/>
  </cacheSource>
  <cacheFields count="8">
    <cacheField name="店舗名" numFmtId="0">
      <sharedItems count="53">
        <s v="清水町工場店"/>
        <s v="中土狩店"/>
        <s v="大岡店"/>
        <s v="Ｋ函南店"/>
        <s v="焼津店"/>
        <s v="東田中店"/>
        <s v="石坂店"/>
        <s v="便船塚店"/>
        <s v="長泉店"/>
        <s v="三 島 店"/>
        <s v="裾野本店"/>
        <s v="岡の宮店"/>
        <s v="Ｃ新沢田店"/>
        <s v="学園通り店"/>
        <s v="石津店"/>
        <s v="藤枝店"/>
        <s v="桜堤店"/>
        <s v="香貫店"/>
        <s v="萩原店"/>
        <s v="田中町店"/>
        <s v="原  店"/>
        <s v="松岡店"/>
        <s v="三好店"/>
        <s v="吉田店"/>
        <s v="豊田店"/>
        <s v="穂波町店"/>
        <s v="原里店"/>
        <s v="水戸島店"/>
        <s v="瀬名店"/>
        <s v="与惣次店"/>
        <s v="八坂店"/>
        <s v="川島田店"/>
        <s v="荒田島店"/>
        <s v="松長店"/>
        <s v="ＭＶ柳町店"/>
        <s v="蒲原店"/>
        <s v="ＭＶ原町店"/>
        <s v="竹原店"/>
        <s v="W長泉店"/>
        <s v="オギノ大坂店"/>
        <s v="伏見店"/>
        <s v="城北店"/>
        <s v="大仁店"/>
        <s v="西沢田店"/>
        <s v="松野店"/>
        <s v="曲金店"/>
        <s v="修善寺店"/>
        <s v="MV江尾店"/>
        <s v="沼津駅南口店"/>
        <s v="ｱｰｹｰﾄﾞ店"/>
        <s v="神山店"/>
        <s v="三島徳倉店"/>
        <s v="静岡工場店"/>
      </sharedItems>
    </cacheField>
    <cacheField name="年区分" numFmtId="0">
      <sharedItems count="2">
        <s v="本年"/>
        <s v="前年"/>
      </sharedItems>
    </cacheField>
    <cacheField name="月" numFmtId="0">
      <sharedItems containsSemiMixedTypes="0" containsString="0" containsNumber="1" containsInteger="1" minValue="1" maxValue="12" count="12">
        <n v="4"/>
        <n v="5"/>
        <n v="3"/>
        <n v="6"/>
        <n v="10"/>
        <n v="7"/>
        <n v="11"/>
        <n v="12"/>
        <n v="8"/>
        <n v="9"/>
        <n v="1"/>
        <n v="2"/>
      </sharedItems>
    </cacheField>
    <cacheField name="項目" numFmtId="0">
      <sharedItems count="7">
        <s v="全体"/>
        <s v="ワイシャツ"/>
        <s v="ズボン"/>
        <s v="ジャケット"/>
        <s v="アプリ"/>
        <s v="BD"/>
        <s v="ダイヤモンド"/>
      </sharedItems>
    </cacheField>
    <cacheField name="売上金額" numFmtId="0">
      <sharedItems containsString="0" containsBlank="1" containsNumber="1" containsInteger="1" minValue="123157" maxValue="6143848"/>
    </cacheField>
    <cacheField name="商品点数" numFmtId="0">
      <sharedItems containsString="0" containsBlank="1" containsNumber="1" containsInteger="1" minValue="26" maxValue="9936"/>
    </cacheField>
    <cacheField name="客数" numFmtId="0">
      <sharedItems containsString="0" containsBlank="1" containsNumber="1" containsInteger="1" minValue="76" maxValue="2212"/>
    </cacheField>
    <cacheField name="利用数" numFmtId="0">
      <sharedItems containsString="0" containsBlank="1" containsNumber="1" containsInteger="1" minValue="0" maxValue="4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中村南" refreshedDate="46245.376186458336" createdVersion="8" refreshedVersion="8" minRefreshableVersion="3" recordCount="1234" xr:uid="{773D797E-A38B-47D9-943C-22F19EF893F2}">
  <cacheSource type="worksheet">
    <worksheetSource ref="A1:Q1235" sheet="元データ_14項目"/>
  </cacheSource>
  <cacheFields count="17">
    <cacheField name="店舗名" numFmtId="0">
      <sharedItems count="53">
        <s v="Ｃ新沢田店"/>
        <s v="Ｋ函南店"/>
        <s v="ＭＶ原町店"/>
        <s v="MV江尾店"/>
        <s v="ＭＶ柳町店"/>
        <s v="W長泉店"/>
        <s v="ｱｰｹｰﾄﾞ店"/>
        <s v="オギノ大坂店"/>
        <s v="岡の宮店"/>
        <s v="学園通り店"/>
        <s v="蒲原店"/>
        <s v="吉田店"/>
        <s v="曲金店"/>
        <s v="原  店"/>
        <s v="原里店"/>
        <s v="荒田島店"/>
        <s v="香貫店"/>
        <s v="桜堤店"/>
        <s v="三 島 店"/>
        <s v="三好店"/>
        <s v="三島徳倉店"/>
        <s v="修善寺店"/>
        <s v="松岡店"/>
        <s v="松長店"/>
        <s v="松野店"/>
        <s v="沼津駅南口店"/>
        <s v="焼津店"/>
        <s v="城北店"/>
        <s v="神山店"/>
        <s v="水戸島店"/>
        <s v="裾野本店"/>
        <s v="瀬名店"/>
        <s v="清水町工場店"/>
        <s v="西沢田店"/>
        <s v="静岡工場店"/>
        <s v="石坂店"/>
        <s v="石津店"/>
        <s v="川島田店"/>
        <s v="大岡店"/>
        <s v="大仁店"/>
        <s v="竹原店"/>
        <s v="中土狩店"/>
        <s v="長泉店"/>
        <s v="田中町店"/>
        <s v="東田中店"/>
        <s v="藤枝店"/>
        <s v="萩原店"/>
        <s v="八坂店"/>
        <s v="伏見店"/>
        <s v="便船塚店"/>
        <s v="穂波町店"/>
        <s v="豊田店"/>
        <s v="与惣次店"/>
      </sharedItems>
    </cacheField>
    <cacheField name="年区分" numFmtId="0">
      <sharedItems count="2">
        <s v="本年"/>
        <s v="前年"/>
      </sharedItems>
    </cacheField>
    <cacheField name="月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ワイシャツ" numFmtId="0">
      <sharedItems containsSemiMixedTypes="0" containsString="0" containsNumber="1" containsInteger="1" minValue="155" maxValue="2878"/>
    </cacheField>
    <cacheField name="カジュアルシャツ" numFmtId="0">
      <sharedItems containsSemiMixedTypes="0" containsString="0" containsNumber="1" containsInteger="1" minValue="1" maxValue="224"/>
    </cacheField>
    <cacheField name="ブラウス" numFmtId="0">
      <sharedItems containsSemiMixedTypes="0" containsString="0" containsNumber="1" containsInteger="1" minValue="0" maxValue="241"/>
    </cacheField>
    <cacheField name="スーツ" numFmtId="0">
      <sharedItems containsSemiMixedTypes="0" containsString="0" containsNumber="1" containsInteger="1" minValue="10" maxValue="509"/>
    </cacheField>
    <cacheField name="上着" numFmtId="0">
      <sharedItems containsSemiMixedTypes="0" containsString="0" containsNumber="1" containsInteger="1" minValue="0" maxValue="259"/>
    </cacheField>
    <cacheField name="ズボン" numFmtId="0">
      <sharedItems containsSemiMixedTypes="0" containsString="0" containsNumber="1" containsInteger="1" minValue="19" maxValue="3472"/>
    </cacheField>
    <cacheField name="スカート" numFmtId="0">
      <sharedItems containsSemiMixedTypes="0" containsString="0" containsNumber="1" containsInteger="1" minValue="0" maxValue="387"/>
    </cacheField>
    <cacheField name="セーター" numFmtId="0">
      <sharedItems containsSemiMixedTypes="0" containsString="0" containsNumber="1" containsInteger="1" minValue="1" maxValue="733"/>
    </cacheField>
    <cacheField name="カーディガン" numFmtId="0">
      <sharedItems containsSemiMixedTypes="0" containsString="0" containsNumber="1" containsInteger="1" minValue="0" maxValue="647"/>
    </cacheField>
    <cacheField name="ワンピース" numFmtId="0">
      <sharedItems containsSemiMixedTypes="0" containsString="0" containsNumber="1" containsInteger="1" minValue="0" maxValue="440"/>
    </cacheField>
    <cacheField name="コート" numFmtId="0">
      <sharedItems containsSemiMixedTypes="0" containsString="0" containsNumber="1" containsInteger="1" minValue="0" maxValue="733"/>
    </cacheField>
    <cacheField name="ジャンバー" numFmtId="0">
      <sharedItems containsSemiMixedTypes="0" containsString="0" containsNumber="1" containsInteger="1" minValue="1" maxValue="424"/>
    </cacheField>
    <cacheField name="ダウン" numFmtId="0">
      <sharedItems containsSemiMixedTypes="0" containsString="0" containsNumber="1" containsInteger="1" minValue="0" maxValue="402"/>
    </cacheField>
    <cacheField name="スキーウェア" numFmtId="0">
      <sharedItems containsString="0" containsBlank="1" containsNumber="1" containsInteger="1" minValue="0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中村南" refreshedDate="46245.376319907409" createdVersion="8" refreshedVersion="8" minRefreshableVersion="3" recordCount="623" xr:uid="{7CCB0943-240F-4308-B947-CC43E3FC28EF}">
  <cacheSource type="worksheet">
    <worksheetSource ref="A1:P624" sheet="元データ_加工"/>
  </cacheSource>
  <cacheFields count="16">
    <cacheField name="店舗名" numFmtId="0">
      <sharedItems count="53">
        <s v="Ｃ新沢田店"/>
        <s v="Ｋ函南店"/>
        <s v="ＭＶ原町店"/>
        <s v="MV江尾店"/>
        <s v="ＭＶ柳町店"/>
        <s v="W長泉店"/>
        <s v="ｱｰｹｰﾄﾞ店"/>
        <s v="オギノ大坂店"/>
        <s v="岡の宮店"/>
        <s v="学園通り店"/>
        <s v="蒲原店"/>
        <s v="吉田店"/>
        <s v="曲金店"/>
        <s v="原  店"/>
        <s v="原里店"/>
        <s v="荒田島店"/>
        <s v="香貫店"/>
        <s v="桜堤店"/>
        <s v="三 島 店"/>
        <s v="三好店"/>
        <s v="三島徳倉店"/>
        <s v="修善寺店"/>
        <s v="松岡店"/>
        <s v="松長店"/>
        <s v="松野店"/>
        <s v="沼津駅南口店"/>
        <s v="焼津店"/>
        <s v="城北店"/>
        <s v="神山店"/>
        <s v="水戸島店"/>
        <s v="裾野本店"/>
        <s v="瀬名店"/>
        <s v="清水町工場店"/>
        <s v="西沢田店"/>
        <s v="静岡工場店"/>
        <s v="石坂店"/>
        <s v="石津店"/>
        <s v="川島田店"/>
        <s v="大岡店"/>
        <s v="大仁店"/>
        <s v="竹原店"/>
        <s v="中土狩店"/>
        <s v="長泉店"/>
        <s v="田中町店"/>
        <s v="東田中店"/>
        <s v="藤枝店"/>
        <s v="萩原店"/>
        <s v="八坂店"/>
        <s v="伏見店"/>
        <s v="便船塚店"/>
        <s v="穂波町店"/>
        <s v="豊田店"/>
        <s v="与惣次店"/>
      </sharedItems>
    </cacheField>
    <cacheField name="月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ドライ点数" numFmtId="0">
      <sharedItems containsSemiMixedTypes="0" containsString="0" containsNumber="1" containsInteger="1" minValue="145" maxValue="7550"/>
    </cacheField>
    <cacheField name="ＹシャツＳコース点数" numFmtId="0">
      <sharedItems containsSemiMixedTypes="0" containsString="0" containsNumber="1" containsInteger="1" minValue="27" maxValue="10368"/>
    </cacheField>
    <cacheField name="花粉加工" numFmtId="0">
      <sharedItems containsSemiMixedTypes="0" containsString="0" containsNumber="1" containsInteger="1" minValue="0" maxValue="34"/>
    </cacheField>
    <cacheField name="スーパーリボーン加工" numFmtId="0">
      <sharedItems containsSemiMixedTypes="0" containsString="0" containsNumber="1" containsInteger="1" minValue="0" maxValue="67"/>
    </cacheField>
    <cacheField name="撥水加工" numFmtId="0">
      <sharedItems containsSemiMixedTypes="0" containsString="0" containsNumber="1" containsInteger="1" minValue="0" maxValue="365"/>
    </cacheField>
    <cacheField name="防虫加工" numFmtId="0">
      <sharedItems containsSemiMixedTypes="0" containsString="0" containsNumber="1" containsInteger="1" minValue="0" maxValue="335"/>
    </cacheField>
    <cacheField name="爽快" numFmtId="0">
      <sharedItems containsSemiMixedTypes="0" containsString="0" containsNumber="1" containsInteger="1" minValue="0" maxValue="1028"/>
    </cacheField>
    <cacheField name="エコウェット" numFmtId="0">
      <sharedItems containsSemiMixedTypes="0" containsString="0" containsNumber="1" containsInteger="1" minValue="0" maxValue="247"/>
    </cacheField>
    <cacheField name="防臭加工" numFmtId="0">
      <sharedItems containsSemiMixedTypes="0" containsString="0" containsNumber="1" containsInteger="1" minValue="0" maxValue="171"/>
    </cacheField>
    <cacheField name="念入り" numFmtId="0">
      <sharedItems containsSemiMixedTypes="0" containsString="0" containsNumber="1" containsInteger="1" minValue="0" maxValue="413"/>
    </cacheField>
    <cacheField name="なめらかタッチ" numFmtId="0">
      <sharedItems containsSemiMixedTypes="0" containsString="0" containsNumber="1" containsInteger="1" minValue="0" maxValue="6"/>
    </cacheField>
    <cacheField name="布団類防虫" numFmtId="0">
      <sharedItems containsSemiMixedTypes="0" containsString="0" containsNumber="1" containsInteger="1" minValue="0" maxValue="53"/>
    </cacheField>
    <cacheField name="襟・袖念入り" numFmtId="0">
      <sharedItems containsSemiMixedTypes="0" containsString="0" containsNumber="1" containsInteger="1" minValue="0" maxValue="51"/>
    </cacheField>
    <cacheField name="復元" numFmtId="0">
      <sharedItems containsString="0" containsBlank="1" containsNumber="1" containsInteger="1" minValue="0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5">
  <r>
    <x v="0"/>
    <x v="0"/>
    <x v="0"/>
    <x v="0"/>
    <n v="6143848"/>
    <n v="9936"/>
    <n v="2212"/>
    <m/>
  </r>
  <r>
    <x v="0"/>
    <x v="1"/>
    <x v="0"/>
    <x v="0"/>
    <n v="5699982"/>
    <n v="9459"/>
    <n v="2207"/>
    <m/>
  </r>
  <r>
    <x v="1"/>
    <x v="0"/>
    <x v="0"/>
    <x v="0"/>
    <n v="5314855"/>
    <n v="7821"/>
    <n v="1884"/>
    <m/>
  </r>
  <r>
    <x v="0"/>
    <x v="1"/>
    <x v="1"/>
    <x v="0"/>
    <n v="5156660"/>
    <n v="8117"/>
    <n v="1807"/>
    <m/>
  </r>
  <r>
    <x v="1"/>
    <x v="1"/>
    <x v="0"/>
    <x v="0"/>
    <n v="5143753"/>
    <n v="7832"/>
    <n v="1899"/>
    <m/>
  </r>
  <r>
    <x v="2"/>
    <x v="0"/>
    <x v="0"/>
    <x v="0"/>
    <n v="5085523"/>
    <n v="8079"/>
    <n v="1959"/>
    <m/>
  </r>
  <r>
    <x v="2"/>
    <x v="1"/>
    <x v="0"/>
    <x v="0"/>
    <n v="4929628"/>
    <n v="7885"/>
    <n v="1966"/>
    <m/>
  </r>
  <r>
    <x v="0"/>
    <x v="1"/>
    <x v="2"/>
    <x v="0"/>
    <n v="4505635"/>
    <n v="8204"/>
    <n v="2075"/>
    <m/>
  </r>
  <r>
    <x v="3"/>
    <x v="0"/>
    <x v="0"/>
    <x v="0"/>
    <n v="4495880"/>
    <n v="7084"/>
    <n v="1736"/>
    <m/>
  </r>
  <r>
    <x v="0"/>
    <x v="1"/>
    <x v="3"/>
    <x v="0"/>
    <n v="4439637"/>
    <n v="7744"/>
    <n v="1958"/>
    <m/>
  </r>
  <r>
    <x v="4"/>
    <x v="0"/>
    <x v="0"/>
    <x v="0"/>
    <n v="4427337"/>
    <n v="7230"/>
    <n v="1691"/>
    <m/>
  </r>
  <r>
    <x v="0"/>
    <x v="0"/>
    <x v="1"/>
    <x v="0"/>
    <n v="4425419"/>
    <n v="7291"/>
    <n v="1746"/>
    <m/>
  </r>
  <r>
    <x v="5"/>
    <x v="0"/>
    <x v="0"/>
    <x v="0"/>
    <n v="4333685"/>
    <n v="6185"/>
    <n v="1491"/>
    <m/>
  </r>
  <r>
    <x v="3"/>
    <x v="1"/>
    <x v="0"/>
    <x v="0"/>
    <n v="4281823"/>
    <n v="6607"/>
    <n v="1686"/>
    <m/>
  </r>
  <r>
    <x v="6"/>
    <x v="0"/>
    <x v="0"/>
    <x v="0"/>
    <n v="4264316"/>
    <n v="6597"/>
    <n v="1605"/>
    <m/>
  </r>
  <r>
    <x v="7"/>
    <x v="0"/>
    <x v="0"/>
    <x v="0"/>
    <n v="4263445"/>
    <n v="6129"/>
    <n v="1414"/>
    <m/>
  </r>
  <r>
    <x v="5"/>
    <x v="1"/>
    <x v="0"/>
    <x v="0"/>
    <n v="4134411"/>
    <n v="5953"/>
    <n v="1494"/>
    <m/>
  </r>
  <r>
    <x v="4"/>
    <x v="1"/>
    <x v="0"/>
    <x v="0"/>
    <n v="4115117"/>
    <n v="7192"/>
    <n v="1746"/>
    <m/>
  </r>
  <r>
    <x v="0"/>
    <x v="0"/>
    <x v="3"/>
    <x v="0"/>
    <n v="4114381"/>
    <n v="7025"/>
    <n v="1690"/>
    <m/>
  </r>
  <r>
    <x v="7"/>
    <x v="1"/>
    <x v="0"/>
    <x v="0"/>
    <n v="4105855"/>
    <n v="6073"/>
    <n v="1414"/>
    <m/>
  </r>
  <r>
    <x v="8"/>
    <x v="0"/>
    <x v="0"/>
    <x v="0"/>
    <n v="4087214"/>
    <n v="6481"/>
    <n v="1491"/>
    <m/>
  </r>
  <r>
    <x v="2"/>
    <x v="1"/>
    <x v="1"/>
    <x v="0"/>
    <n v="4081035"/>
    <n v="6566"/>
    <n v="1660"/>
    <m/>
  </r>
  <r>
    <x v="1"/>
    <x v="1"/>
    <x v="1"/>
    <x v="0"/>
    <n v="3983479"/>
    <n v="5665"/>
    <n v="1405"/>
    <m/>
  </r>
  <r>
    <x v="6"/>
    <x v="1"/>
    <x v="0"/>
    <x v="0"/>
    <n v="3895103"/>
    <n v="6059"/>
    <n v="1521"/>
    <m/>
  </r>
  <r>
    <x v="9"/>
    <x v="0"/>
    <x v="0"/>
    <x v="0"/>
    <n v="3881655"/>
    <n v="6355"/>
    <n v="1379"/>
    <m/>
  </r>
  <r>
    <x v="1"/>
    <x v="1"/>
    <x v="2"/>
    <x v="0"/>
    <n v="3808509"/>
    <n v="6012"/>
    <n v="1565"/>
    <m/>
  </r>
  <r>
    <x v="10"/>
    <x v="0"/>
    <x v="0"/>
    <x v="0"/>
    <n v="3749904"/>
    <n v="5815"/>
    <n v="1266"/>
    <m/>
  </r>
  <r>
    <x v="4"/>
    <x v="1"/>
    <x v="1"/>
    <x v="0"/>
    <n v="3723933"/>
    <n v="6128"/>
    <n v="1431"/>
    <m/>
  </r>
  <r>
    <x v="10"/>
    <x v="1"/>
    <x v="0"/>
    <x v="0"/>
    <n v="3719905"/>
    <n v="5838"/>
    <n v="1339"/>
    <m/>
  </r>
  <r>
    <x v="0"/>
    <x v="0"/>
    <x v="2"/>
    <x v="0"/>
    <n v="3711940"/>
    <n v="6812"/>
    <n v="1785"/>
    <m/>
  </r>
  <r>
    <x v="8"/>
    <x v="1"/>
    <x v="0"/>
    <x v="0"/>
    <n v="3708496"/>
    <n v="6278"/>
    <n v="1505"/>
    <m/>
  </r>
  <r>
    <x v="2"/>
    <x v="1"/>
    <x v="3"/>
    <x v="0"/>
    <n v="3675803"/>
    <n v="6522"/>
    <n v="1691"/>
    <m/>
  </r>
  <r>
    <x v="11"/>
    <x v="0"/>
    <x v="0"/>
    <x v="0"/>
    <n v="3664546"/>
    <n v="5834"/>
    <n v="1406"/>
    <m/>
  </r>
  <r>
    <x v="2"/>
    <x v="1"/>
    <x v="2"/>
    <x v="0"/>
    <n v="3660146"/>
    <n v="6331"/>
    <n v="1710"/>
    <m/>
  </r>
  <r>
    <x v="1"/>
    <x v="0"/>
    <x v="1"/>
    <x v="0"/>
    <n v="3650198"/>
    <n v="5237"/>
    <n v="1373"/>
    <m/>
  </r>
  <r>
    <x v="4"/>
    <x v="1"/>
    <x v="2"/>
    <x v="0"/>
    <n v="3619600"/>
    <n v="6351"/>
    <n v="1532"/>
    <m/>
  </r>
  <r>
    <x v="12"/>
    <x v="0"/>
    <x v="0"/>
    <x v="0"/>
    <n v="3609518"/>
    <n v="5755"/>
    <n v="1462"/>
    <m/>
  </r>
  <r>
    <x v="13"/>
    <x v="0"/>
    <x v="0"/>
    <x v="0"/>
    <n v="3604549"/>
    <n v="5740"/>
    <n v="1295"/>
    <m/>
  </r>
  <r>
    <x v="12"/>
    <x v="1"/>
    <x v="0"/>
    <x v="0"/>
    <n v="3583762"/>
    <n v="5692"/>
    <n v="1472"/>
    <m/>
  </r>
  <r>
    <x v="14"/>
    <x v="0"/>
    <x v="0"/>
    <x v="0"/>
    <n v="3579892"/>
    <n v="5223"/>
    <n v="1267"/>
    <m/>
  </r>
  <r>
    <x v="2"/>
    <x v="0"/>
    <x v="1"/>
    <x v="0"/>
    <n v="3524465"/>
    <n v="5673"/>
    <n v="1482"/>
    <m/>
  </r>
  <r>
    <x v="3"/>
    <x v="1"/>
    <x v="1"/>
    <x v="0"/>
    <n v="3521916"/>
    <n v="5381"/>
    <n v="1365"/>
    <m/>
  </r>
  <r>
    <x v="6"/>
    <x v="1"/>
    <x v="1"/>
    <x v="0"/>
    <n v="3514616"/>
    <n v="5528"/>
    <n v="1331"/>
    <m/>
  </r>
  <r>
    <x v="15"/>
    <x v="0"/>
    <x v="0"/>
    <x v="0"/>
    <n v="3501674"/>
    <n v="5495"/>
    <n v="1404"/>
    <m/>
  </r>
  <r>
    <x v="11"/>
    <x v="1"/>
    <x v="1"/>
    <x v="0"/>
    <n v="3494491"/>
    <n v="5260"/>
    <n v="1248"/>
    <m/>
  </r>
  <r>
    <x v="9"/>
    <x v="1"/>
    <x v="0"/>
    <x v="0"/>
    <n v="3483289"/>
    <n v="6179"/>
    <n v="1449"/>
    <m/>
  </r>
  <r>
    <x v="16"/>
    <x v="0"/>
    <x v="0"/>
    <x v="0"/>
    <n v="3482865"/>
    <n v="5359"/>
    <n v="1225"/>
    <m/>
  </r>
  <r>
    <x v="1"/>
    <x v="1"/>
    <x v="3"/>
    <x v="0"/>
    <n v="3471853"/>
    <n v="5757"/>
    <n v="1472"/>
    <m/>
  </r>
  <r>
    <x v="11"/>
    <x v="1"/>
    <x v="0"/>
    <x v="0"/>
    <n v="3441079"/>
    <n v="5591"/>
    <n v="1411"/>
    <m/>
  </r>
  <r>
    <x v="5"/>
    <x v="1"/>
    <x v="1"/>
    <x v="0"/>
    <n v="3383688"/>
    <n v="4974"/>
    <n v="1203"/>
    <m/>
  </r>
  <r>
    <x v="0"/>
    <x v="0"/>
    <x v="4"/>
    <x v="0"/>
    <n v="3380719"/>
    <n v="6717"/>
    <n v="1795"/>
    <m/>
  </r>
  <r>
    <x v="13"/>
    <x v="1"/>
    <x v="0"/>
    <x v="0"/>
    <n v="3363008"/>
    <n v="5826"/>
    <n v="1361"/>
    <m/>
  </r>
  <r>
    <x v="3"/>
    <x v="0"/>
    <x v="1"/>
    <x v="0"/>
    <n v="3330613"/>
    <n v="5026"/>
    <n v="1343"/>
    <m/>
  </r>
  <r>
    <x v="7"/>
    <x v="1"/>
    <x v="1"/>
    <x v="0"/>
    <n v="3303895"/>
    <n v="4914"/>
    <n v="1112"/>
    <m/>
  </r>
  <r>
    <x v="1"/>
    <x v="0"/>
    <x v="2"/>
    <x v="0"/>
    <n v="3290567"/>
    <n v="5193"/>
    <n v="1460"/>
    <m/>
  </r>
  <r>
    <x v="10"/>
    <x v="1"/>
    <x v="1"/>
    <x v="0"/>
    <n v="3281803"/>
    <n v="4961"/>
    <n v="1076"/>
    <m/>
  </r>
  <r>
    <x v="2"/>
    <x v="0"/>
    <x v="3"/>
    <x v="0"/>
    <n v="3277404"/>
    <n v="5485"/>
    <n v="1421"/>
    <m/>
  </r>
  <r>
    <x v="8"/>
    <x v="1"/>
    <x v="2"/>
    <x v="0"/>
    <n v="3274435"/>
    <n v="5810"/>
    <n v="1464"/>
    <m/>
  </r>
  <r>
    <x v="6"/>
    <x v="0"/>
    <x v="3"/>
    <x v="0"/>
    <n v="3251817"/>
    <n v="4889"/>
    <n v="1264"/>
    <m/>
  </r>
  <r>
    <x v="17"/>
    <x v="0"/>
    <x v="0"/>
    <x v="0"/>
    <n v="3241722"/>
    <n v="5194"/>
    <n v="1231"/>
    <m/>
  </r>
  <r>
    <x v="15"/>
    <x v="1"/>
    <x v="0"/>
    <x v="0"/>
    <n v="3234607"/>
    <n v="5369"/>
    <n v="1382"/>
    <m/>
  </r>
  <r>
    <x v="1"/>
    <x v="0"/>
    <x v="3"/>
    <x v="0"/>
    <n v="3204413"/>
    <n v="5100"/>
    <n v="1286"/>
    <m/>
  </r>
  <r>
    <x v="0"/>
    <x v="1"/>
    <x v="5"/>
    <x v="0"/>
    <n v="3202428"/>
    <n v="6261"/>
    <n v="1692"/>
    <m/>
  </r>
  <r>
    <x v="8"/>
    <x v="1"/>
    <x v="1"/>
    <x v="0"/>
    <n v="3186774"/>
    <n v="5080"/>
    <n v="1195"/>
    <m/>
  </r>
  <r>
    <x v="7"/>
    <x v="1"/>
    <x v="2"/>
    <x v="0"/>
    <n v="3183885"/>
    <n v="5192"/>
    <n v="1267"/>
    <m/>
  </r>
  <r>
    <x v="0"/>
    <x v="0"/>
    <x v="5"/>
    <x v="0"/>
    <n v="3163233"/>
    <n v="5706"/>
    <n v="1552"/>
    <m/>
  </r>
  <r>
    <x v="0"/>
    <x v="0"/>
    <x v="6"/>
    <x v="0"/>
    <n v="3135367"/>
    <n v="6249"/>
    <n v="1676"/>
    <m/>
  </r>
  <r>
    <x v="5"/>
    <x v="1"/>
    <x v="3"/>
    <x v="0"/>
    <n v="3132412"/>
    <n v="4907"/>
    <n v="1251"/>
    <m/>
  </r>
  <r>
    <x v="10"/>
    <x v="1"/>
    <x v="2"/>
    <x v="0"/>
    <n v="3127025"/>
    <n v="5075"/>
    <n v="1214"/>
    <m/>
  </r>
  <r>
    <x v="16"/>
    <x v="1"/>
    <x v="0"/>
    <x v="0"/>
    <n v="3124157"/>
    <n v="4802"/>
    <n v="1179"/>
    <m/>
  </r>
  <r>
    <x v="5"/>
    <x v="0"/>
    <x v="1"/>
    <x v="0"/>
    <n v="3121130"/>
    <n v="4505"/>
    <n v="1108"/>
    <m/>
  </r>
  <r>
    <x v="5"/>
    <x v="0"/>
    <x v="3"/>
    <x v="0"/>
    <n v="3120890"/>
    <n v="4563"/>
    <n v="1124"/>
    <m/>
  </r>
  <r>
    <x v="3"/>
    <x v="1"/>
    <x v="2"/>
    <x v="0"/>
    <n v="3116590"/>
    <n v="5179"/>
    <n v="1492"/>
    <m/>
  </r>
  <r>
    <x v="6"/>
    <x v="1"/>
    <x v="2"/>
    <x v="0"/>
    <n v="3111415"/>
    <n v="5486"/>
    <n v="1455"/>
    <m/>
  </r>
  <r>
    <x v="4"/>
    <x v="0"/>
    <x v="1"/>
    <x v="0"/>
    <n v="3109181"/>
    <n v="5137"/>
    <n v="1261"/>
    <m/>
  </r>
  <r>
    <x v="3"/>
    <x v="1"/>
    <x v="3"/>
    <x v="0"/>
    <n v="3089099"/>
    <n v="5102"/>
    <n v="1444"/>
    <m/>
  </r>
  <r>
    <x v="6"/>
    <x v="1"/>
    <x v="3"/>
    <x v="0"/>
    <n v="3081891"/>
    <n v="5286"/>
    <n v="1394"/>
    <m/>
  </r>
  <r>
    <x v="12"/>
    <x v="1"/>
    <x v="1"/>
    <x v="0"/>
    <n v="3077340"/>
    <n v="4802"/>
    <n v="1211"/>
    <m/>
  </r>
  <r>
    <x v="0"/>
    <x v="1"/>
    <x v="7"/>
    <x v="0"/>
    <n v="3074533"/>
    <n v="6690"/>
    <n v="1627"/>
    <m/>
  </r>
  <r>
    <x v="9"/>
    <x v="1"/>
    <x v="1"/>
    <x v="0"/>
    <n v="3073478"/>
    <n v="5180"/>
    <n v="1135"/>
    <m/>
  </r>
  <r>
    <x v="18"/>
    <x v="0"/>
    <x v="0"/>
    <x v="0"/>
    <n v="3052249"/>
    <n v="4767"/>
    <n v="1159"/>
    <m/>
  </r>
  <r>
    <x v="5"/>
    <x v="1"/>
    <x v="2"/>
    <x v="0"/>
    <n v="3050456"/>
    <n v="4910"/>
    <n v="1344"/>
    <m/>
  </r>
  <r>
    <x v="7"/>
    <x v="0"/>
    <x v="3"/>
    <x v="0"/>
    <n v="3048466"/>
    <n v="4430"/>
    <n v="1102"/>
    <m/>
  </r>
  <r>
    <x v="6"/>
    <x v="0"/>
    <x v="1"/>
    <x v="0"/>
    <n v="3038266"/>
    <n v="4731"/>
    <n v="1220"/>
    <m/>
  </r>
  <r>
    <x v="7"/>
    <x v="1"/>
    <x v="3"/>
    <x v="0"/>
    <n v="3034963"/>
    <n v="4824"/>
    <n v="1171"/>
    <m/>
  </r>
  <r>
    <x v="4"/>
    <x v="0"/>
    <x v="2"/>
    <x v="0"/>
    <n v="3031046"/>
    <n v="5537"/>
    <n v="1475"/>
    <m/>
  </r>
  <r>
    <x v="0"/>
    <x v="1"/>
    <x v="4"/>
    <x v="0"/>
    <n v="3028145"/>
    <n v="6355"/>
    <n v="1519"/>
    <m/>
  </r>
  <r>
    <x v="3"/>
    <x v="0"/>
    <x v="3"/>
    <x v="0"/>
    <n v="3022036"/>
    <n v="4559"/>
    <n v="1192"/>
    <m/>
  </r>
  <r>
    <x v="7"/>
    <x v="0"/>
    <x v="1"/>
    <x v="0"/>
    <n v="3020437"/>
    <n v="4438"/>
    <n v="1102"/>
    <m/>
  </r>
  <r>
    <x v="19"/>
    <x v="1"/>
    <x v="0"/>
    <x v="0"/>
    <n v="3019767"/>
    <n v="4382"/>
    <n v="1098"/>
    <m/>
  </r>
  <r>
    <x v="4"/>
    <x v="0"/>
    <x v="3"/>
    <x v="0"/>
    <n v="2994055"/>
    <n v="5152"/>
    <n v="1204"/>
    <m/>
  </r>
  <r>
    <x v="0"/>
    <x v="0"/>
    <x v="7"/>
    <x v="0"/>
    <n v="2990024"/>
    <n v="6221"/>
    <n v="1632"/>
    <m/>
  </r>
  <r>
    <x v="8"/>
    <x v="0"/>
    <x v="1"/>
    <x v="0"/>
    <n v="2972262"/>
    <n v="4631"/>
    <n v="1145"/>
    <m/>
  </r>
  <r>
    <x v="17"/>
    <x v="1"/>
    <x v="0"/>
    <x v="0"/>
    <n v="2954449"/>
    <n v="5076"/>
    <n v="1274"/>
    <m/>
  </r>
  <r>
    <x v="11"/>
    <x v="1"/>
    <x v="2"/>
    <x v="0"/>
    <n v="2947360"/>
    <n v="5253"/>
    <n v="1350"/>
    <m/>
  </r>
  <r>
    <x v="19"/>
    <x v="0"/>
    <x v="0"/>
    <x v="0"/>
    <n v="2943707"/>
    <n v="4347"/>
    <n v="1102"/>
    <m/>
  </r>
  <r>
    <x v="20"/>
    <x v="0"/>
    <x v="0"/>
    <x v="0"/>
    <n v="2939297"/>
    <n v="4051"/>
    <n v="1027"/>
    <m/>
  </r>
  <r>
    <x v="4"/>
    <x v="1"/>
    <x v="3"/>
    <x v="0"/>
    <n v="2938515"/>
    <n v="5513"/>
    <n v="1418"/>
    <m/>
  </r>
  <r>
    <x v="13"/>
    <x v="1"/>
    <x v="1"/>
    <x v="0"/>
    <n v="2911864"/>
    <n v="5079"/>
    <n v="1103"/>
    <m/>
  </r>
  <r>
    <x v="21"/>
    <x v="1"/>
    <x v="0"/>
    <x v="0"/>
    <n v="2908750"/>
    <n v="4481"/>
    <n v="1061"/>
    <m/>
  </r>
  <r>
    <x v="15"/>
    <x v="1"/>
    <x v="1"/>
    <x v="0"/>
    <n v="2905368"/>
    <n v="4704"/>
    <n v="1149"/>
    <m/>
  </r>
  <r>
    <x v="15"/>
    <x v="0"/>
    <x v="4"/>
    <x v="0"/>
    <n v="2897094"/>
    <n v="4734"/>
    <n v="1301"/>
    <m/>
  </r>
  <r>
    <x v="21"/>
    <x v="0"/>
    <x v="0"/>
    <x v="0"/>
    <n v="2891995"/>
    <n v="4445"/>
    <n v="999"/>
    <m/>
  </r>
  <r>
    <x v="2"/>
    <x v="0"/>
    <x v="2"/>
    <x v="0"/>
    <n v="2887026"/>
    <n v="5348"/>
    <n v="1508"/>
    <m/>
  </r>
  <r>
    <x v="7"/>
    <x v="0"/>
    <x v="4"/>
    <x v="0"/>
    <n v="2884722"/>
    <n v="4746"/>
    <n v="1204"/>
    <m/>
  </r>
  <r>
    <x v="7"/>
    <x v="1"/>
    <x v="4"/>
    <x v="0"/>
    <n v="2823168"/>
    <n v="5305"/>
    <n v="1301"/>
    <m/>
  </r>
  <r>
    <x v="5"/>
    <x v="0"/>
    <x v="4"/>
    <x v="0"/>
    <n v="2817035"/>
    <n v="4862"/>
    <n v="1299"/>
    <m/>
  </r>
  <r>
    <x v="18"/>
    <x v="1"/>
    <x v="0"/>
    <x v="0"/>
    <n v="2815485"/>
    <n v="4045"/>
    <n v="1081"/>
    <m/>
  </r>
  <r>
    <x v="22"/>
    <x v="1"/>
    <x v="0"/>
    <x v="0"/>
    <n v="2798862"/>
    <n v="4627"/>
    <n v="1033"/>
    <m/>
  </r>
  <r>
    <x v="20"/>
    <x v="1"/>
    <x v="1"/>
    <x v="0"/>
    <n v="2790896"/>
    <n v="3316"/>
    <n v="808"/>
    <m/>
  </r>
  <r>
    <x v="23"/>
    <x v="0"/>
    <x v="0"/>
    <x v="0"/>
    <n v="2789795"/>
    <n v="4207"/>
    <n v="1063"/>
    <m/>
  </r>
  <r>
    <x v="11"/>
    <x v="0"/>
    <x v="3"/>
    <x v="0"/>
    <n v="2776241"/>
    <n v="4485"/>
    <n v="772"/>
    <m/>
  </r>
  <r>
    <x v="11"/>
    <x v="0"/>
    <x v="1"/>
    <x v="0"/>
    <n v="2768264"/>
    <n v="4353"/>
    <n v="772"/>
    <m/>
  </r>
  <r>
    <x v="4"/>
    <x v="1"/>
    <x v="4"/>
    <x v="0"/>
    <n v="2767527"/>
    <n v="6159"/>
    <n v="772"/>
    <m/>
  </r>
  <r>
    <x v="20"/>
    <x v="1"/>
    <x v="0"/>
    <x v="0"/>
    <n v="2763429"/>
    <n v="3830"/>
    <n v="772"/>
    <m/>
  </r>
  <r>
    <x v="10"/>
    <x v="1"/>
    <x v="3"/>
    <x v="0"/>
    <n v="2760498"/>
    <n v="4472"/>
    <n v="772"/>
    <m/>
  </r>
  <r>
    <x v="3"/>
    <x v="0"/>
    <x v="2"/>
    <x v="0"/>
    <n v="2741828"/>
    <n v="4704"/>
    <n v="772"/>
    <m/>
  </r>
  <r>
    <x v="5"/>
    <x v="0"/>
    <x v="5"/>
    <x v="0"/>
    <n v="2731393"/>
    <n v="4110"/>
    <n v="772"/>
    <m/>
  </r>
  <r>
    <x v="11"/>
    <x v="1"/>
    <x v="3"/>
    <x v="0"/>
    <n v="2720442"/>
    <n v="4685"/>
    <n v="772"/>
    <m/>
  </r>
  <r>
    <x v="0"/>
    <x v="0"/>
    <x v="8"/>
    <x v="0"/>
    <n v="2717211"/>
    <n v="4995"/>
    <n v="772"/>
    <m/>
  </r>
  <r>
    <x v="14"/>
    <x v="1"/>
    <x v="0"/>
    <x v="0"/>
    <n v="2707069"/>
    <n v="4505"/>
    <n v="772"/>
    <m/>
  </r>
  <r>
    <x v="10"/>
    <x v="0"/>
    <x v="1"/>
    <x v="0"/>
    <n v="2703220"/>
    <n v="4008"/>
    <n v="772"/>
    <m/>
  </r>
  <r>
    <x v="22"/>
    <x v="0"/>
    <x v="0"/>
    <x v="0"/>
    <n v="2691187"/>
    <n v="4165"/>
    <n v="772"/>
    <m/>
  </r>
  <r>
    <x v="23"/>
    <x v="1"/>
    <x v="0"/>
    <x v="0"/>
    <n v="2688081"/>
    <n v="3994"/>
    <n v="772"/>
    <m/>
  </r>
  <r>
    <x v="5"/>
    <x v="0"/>
    <x v="2"/>
    <x v="0"/>
    <n v="2685111"/>
    <n v="4258"/>
    <n v="772"/>
    <m/>
  </r>
  <r>
    <x v="7"/>
    <x v="0"/>
    <x v="2"/>
    <x v="0"/>
    <n v="2679065"/>
    <n v="4187"/>
    <n v="772"/>
    <m/>
  </r>
  <r>
    <x v="24"/>
    <x v="0"/>
    <x v="0"/>
    <x v="0"/>
    <n v="2663014"/>
    <n v="4844"/>
    <n v="772"/>
    <m/>
  </r>
  <r>
    <x v="1"/>
    <x v="0"/>
    <x v="4"/>
    <x v="0"/>
    <n v="2661420"/>
    <n v="4782"/>
    <n v="772"/>
    <m/>
  </r>
  <r>
    <x v="15"/>
    <x v="1"/>
    <x v="3"/>
    <x v="0"/>
    <n v="2657017"/>
    <n v="4625"/>
    <n v="772"/>
    <m/>
  </r>
  <r>
    <x v="2"/>
    <x v="1"/>
    <x v="4"/>
    <x v="0"/>
    <n v="2635864"/>
    <n v="5953"/>
    <n v="772"/>
    <m/>
  </r>
  <r>
    <x v="0"/>
    <x v="0"/>
    <x v="9"/>
    <x v="0"/>
    <n v="2623971"/>
    <n v="5457"/>
    <n v="772"/>
    <m/>
  </r>
  <r>
    <x v="6"/>
    <x v="0"/>
    <x v="2"/>
    <x v="0"/>
    <n v="2623263"/>
    <n v="4569"/>
    <n v="772"/>
    <m/>
  </r>
  <r>
    <x v="16"/>
    <x v="1"/>
    <x v="1"/>
    <x v="0"/>
    <n v="2597320"/>
    <n v="3947"/>
    <n v="772"/>
    <m/>
  </r>
  <r>
    <x v="3"/>
    <x v="0"/>
    <x v="4"/>
    <x v="0"/>
    <n v="2591017"/>
    <n v="4595"/>
    <n v="772"/>
    <m/>
  </r>
  <r>
    <x v="13"/>
    <x v="1"/>
    <x v="2"/>
    <x v="0"/>
    <n v="2572529"/>
    <n v="4707"/>
    <n v="772"/>
    <m/>
  </r>
  <r>
    <x v="25"/>
    <x v="0"/>
    <x v="0"/>
    <x v="0"/>
    <n v="2568308"/>
    <n v="3737"/>
    <n v="772"/>
    <m/>
  </r>
  <r>
    <x v="24"/>
    <x v="1"/>
    <x v="0"/>
    <x v="0"/>
    <n v="2566995"/>
    <n v="4721"/>
    <n v="772"/>
    <m/>
  </r>
  <r>
    <x v="11"/>
    <x v="0"/>
    <x v="2"/>
    <x v="0"/>
    <n v="2561062"/>
    <n v="4408"/>
    <n v="772"/>
    <m/>
  </r>
  <r>
    <x v="17"/>
    <x v="1"/>
    <x v="1"/>
    <x v="0"/>
    <n v="2557594"/>
    <n v="4412"/>
    <n v="772"/>
    <m/>
  </r>
  <r>
    <x v="8"/>
    <x v="0"/>
    <x v="2"/>
    <x v="0"/>
    <n v="2552205"/>
    <n v="4558"/>
    <n v="772"/>
    <m/>
  </r>
  <r>
    <x v="2"/>
    <x v="0"/>
    <x v="4"/>
    <x v="0"/>
    <n v="2547613"/>
    <n v="5250"/>
    <n v="772"/>
    <m/>
  </r>
  <r>
    <x v="15"/>
    <x v="0"/>
    <x v="1"/>
    <x v="0"/>
    <n v="2546156"/>
    <n v="4118"/>
    <n v="772"/>
    <m/>
  </r>
  <r>
    <x v="4"/>
    <x v="0"/>
    <x v="4"/>
    <x v="0"/>
    <n v="2543281"/>
    <n v="5248"/>
    <n v="772"/>
    <m/>
  </r>
  <r>
    <x v="0"/>
    <x v="1"/>
    <x v="6"/>
    <x v="0"/>
    <n v="2542211"/>
    <n v="5154"/>
    <n v="772"/>
    <m/>
  </r>
  <r>
    <x v="6"/>
    <x v="1"/>
    <x v="4"/>
    <x v="0"/>
    <n v="2533594"/>
    <n v="5170"/>
    <n v="772"/>
    <m/>
  </r>
  <r>
    <x v="16"/>
    <x v="0"/>
    <x v="1"/>
    <x v="0"/>
    <n v="2520900"/>
    <n v="3607"/>
    <n v="772"/>
    <m/>
  </r>
  <r>
    <x v="10"/>
    <x v="0"/>
    <x v="3"/>
    <x v="0"/>
    <n v="2520249"/>
    <n v="3829"/>
    <n v="772"/>
    <m/>
  </r>
  <r>
    <x v="16"/>
    <x v="1"/>
    <x v="5"/>
    <x v="0"/>
    <n v="2509100"/>
    <n v="4603"/>
    <n v="772"/>
    <m/>
  </r>
  <r>
    <x v="9"/>
    <x v="1"/>
    <x v="2"/>
    <x v="0"/>
    <n v="2504083"/>
    <n v="4727"/>
    <n v="772"/>
    <m/>
  </r>
  <r>
    <x v="8"/>
    <x v="1"/>
    <x v="3"/>
    <x v="0"/>
    <n v="2497108"/>
    <n v="4595"/>
    <n v="772"/>
    <m/>
  </r>
  <r>
    <x v="1"/>
    <x v="1"/>
    <x v="5"/>
    <x v="0"/>
    <n v="2491388"/>
    <n v="4416"/>
    <n v="772"/>
    <m/>
  </r>
  <r>
    <x v="12"/>
    <x v="1"/>
    <x v="2"/>
    <x v="0"/>
    <n v="2478355"/>
    <n v="4371"/>
    <n v="772"/>
    <m/>
  </r>
  <r>
    <x v="3"/>
    <x v="1"/>
    <x v="4"/>
    <x v="0"/>
    <n v="2477390"/>
    <n v="4907"/>
    <n v="772"/>
    <m/>
  </r>
  <r>
    <x v="26"/>
    <x v="0"/>
    <x v="0"/>
    <x v="0"/>
    <n v="2468702"/>
    <n v="3696"/>
    <n v="772"/>
    <m/>
  </r>
  <r>
    <x v="5"/>
    <x v="1"/>
    <x v="4"/>
    <x v="0"/>
    <n v="2464702"/>
    <n v="4558"/>
    <n v="772"/>
    <m/>
  </r>
  <r>
    <x v="19"/>
    <x v="1"/>
    <x v="1"/>
    <x v="0"/>
    <n v="2452890"/>
    <n v="3502"/>
    <n v="772"/>
    <m/>
  </r>
  <r>
    <x v="17"/>
    <x v="0"/>
    <x v="1"/>
    <x v="0"/>
    <n v="2451685"/>
    <n v="3989"/>
    <n v="772"/>
    <m/>
  </r>
  <r>
    <x v="13"/>
    <x v="1"/>
    <x v="3"/>
    <x v="0"/>
    <n v="2446204"/>
    <n v="4518"/>
    <n v="772"/>
    <m/>
  </r>
  <r>
    <x v="6"/>
    <x v="0"/>
    <x v="4"/>
    <x v="0"/>
    <n v="2443695"/>
    <n v="4332"/>
    <n v="772"/>
    <m/>
  </r>
  <r>
    <x v="23"/>
    <x v="1"/>
    <x v="2"/>
    <x v="0"/>
    <n v="2443370"/>
    <n v="3784"/>
    <n v="772"/>
    <m/>
  </r>
  <r>
    <x v="15"/>
    <x v="1"/>
    <x v="2"/>
    <x v="0"/>
    <n v="2434155"/>
    <n v="4478"/>
    <n v="772"/>
    <m/>
  </r>
  <r>
    <x v="1"/>
    <x v="0"/>
    <x v="7"/>
    <x v="0"/>
    <n v="2431908"/>
    <n v="4724"/>
    <n v="772"/>
    <m/>
  </r>
  <r>
    <x v="13"/>
    <x v="0"/>
    <x v="1"/>
    <x v="0"/>
    <n v="2429839"/>
    <n v="3940"/>
    <n v="772"/>
    <m/>
  </r>
  <r>
    <x v="6"/>
    <x v="0"/>
    <x v="5"/>
    <x v="0"/>
    <n v="2422449"/>
    <n v="4237"/>
    <n v="772"/>
    <m/>
  </r>
  <r>
    <x v="12"/>
    <x v="0"/>
    <x v="1"/>
    <x v="0"/>
    <n v="2422219"/>
    <n v="3867"/>
    <n v="772"/>
    <m/>
  </r>
  <r>
    <x v="4"/>
    <x v="1"/>
    <x v="7"/>
    <x v="0"/>
    <n v="2413841"/>
    <n v="5609"/>
    <n v="772"/>
    <m/>
  </r>
  <r>
    <x v="27"/>
    <x v="0"/>
    <x v="0"/>
    <x v="0"/>
    <n v="2413703"/>
    <n v="3499"/>
    <n v="772"/>
    <m/>
  </r>
  <r>
    <x v="9"/>
    <x v="1"/>
    <x v="3"/>
    <x v="0"/>
    <n v="2412715"/>
    <n v="4790"/>
    <n v="772"/>
    <m/>
  </r>
  <r>
    <x v="7"/>
    <x v="0"/>
    <x v="5"/>
    <x v="0"/>
    <n v="2410696"/>
    <n v="3765"/>
    <n v="772"/>
    <m/>
  </r>
  <r>
    <x v="13"/>
    <x v="0"/>
    <x v="3"/>
    <x v="0"/>
    <n v="2398432"/>
    <n v="4161"/>
    <n v="772"/>
    <m/>
  </r>
  <r>
    <x v="28"/>
    <x v="0"/>
    <x v="0"/>
    <x v="0"/>
    <n v="2397939"/>
    <n v="3846"/>
    <n v="772"/>
    <m/>
  </r>
  <r>
    <x v="12"/>
    <x v="0"/>
    <x v="3"/>
    <x v="0"/>
    <n v="2393210"/>
    <n v="3918"/>
    <n v="772"/>
    <m/>
  </r>
  <r>
    <x v="7"/>
    <x v="1"/>
    <x v="5"/>
    <x v="0"/>
    <n v="2391292"/>
    <n v="3997"/>
    <n v="772"/>
    <m/>
  </r>
  <r>
    <x v="18"/>
    <x v="1"/>
    <x v="1"/>
    <x v="0"/>
    <n v="2390854"/>
    <n v="3513"/>
    <n v="772"/>
    <m/>
  </r>
  <r>
    <x v="29"/>
    <x v="0"/>
    <x v="0"/>
    <x v="0"/>
    <n v="2389885"/>
    <n v="3941"/>
    <n v="772"/>
    <m/>
  </r>
  <r>
    <x v="24"/>
    <x v="1"/>
    <x v="1"/>
    <x v="0"/>
    <n v="2389316"/>
    <n v="4324"/>
    <n v="772"/>
    <m/>
  </r>
  <r>
    <x v="11"/>
    <x v="1"/>
    <x v="4"/>
    <x v="0"/>
    <n v="2388927"/>
    <n v="4895"/>
    <n v="772"/>
    <m/>
  </r>
  <r>
    <x v="2"/>
    <x v="1"/>
    <x v="6"/>
    <x v="0"/>
    <n v="2385765"/>
    <n v="4894"/>
    <n v="772"/>
    <m/>
  </r>
  <r>
    <x v="0"/>
    <x v="1"/>
    <x v="10"/>
    <x v="0"/>
    <n v="2370602"/>
    <n v="5076"/>
    <n v="772"/>
    <m/>
  </r>
  <r>
    <x v="29"/>
    <x v="1"/>
    <x v="0"/>
    <x v="0"/>
    <n v="2368312"/>
    <n v="3701"/>
    <n v="772"/>
    <m/>
  </r>
  <r>
    <x v="7"/>
    <x v="1"/>
    <x v="6"/>
    <x v="0"/>
    <n v="2367121"/>
    <n v="4099"/>
    <n v="772"/>
    <m/>
  </r>
  <r>
    <x v="4"/>
    <x v="0"/>
    <x v="7"/>
    <x v="0"/>
    <n v="2366552"/>
    <n v="5034"/>
    <n v="772"/>
    <m/>
  </r>
  <r>
    <x v="10"/>
    <x v="1"/>
    <x v="4"/>
    <x v="0"/>
    <n v="2365982"/>
    <n v="5117"/>
    <n v="772"/>
    <m/>
  </r>
  <r>
    <x v="30"/>
    <x v="0"/>
    <x v="0"/>
    <x v="0"/>
    <n v="2362074"/>
    <n v="3922"/>
    <n v="772"/>
    <m/>
  </r>
  <r>
    <x v="14"/>
    <x v="1"/>
    <x v="2"/>
    <x v="0"/>
    <n v="2357229"/>
    <n v="3931"/>
    <n v="772"/>
    <m/>
  </r>
  <r>
    <x v="14"/>
    <x v="1"/>
    <x v="1"/>
    <x v="0"/>
    <n v="2356119"/>
    <n v="3657"/>
    <n v="772"/>
    <m/>
  </r>
  <r>
    <x v="2"/>
    <x v="1"/>
    <x v="7"/>
    <x v="0"/>
    <n v="2355855"/>
    <n v="5265"/>
    <n v="772"/>
    <m/>
  </r>
  <r>
    <x v="16"/>
    <x v="1"/>
    <x v="3"/>
    <x v="0"/>
    <n v="2352648"/>
    <n v="3790"/>
    <n v="772"/>
    <m/>
  </r>
  <r>
    <x v="31"/>
    <x v="0"/>
    <x v="0"/>
    <x v="0"/>
    <n v="2350529"/>
    <n v="3684"/>
    <n v="772"/>
    <m/>
  </r>
  <r>
    <x v="0"/>
    <x v="1"/>
    <x v="11"/>
    <x v="0"/>
    <n v="2347475"/>
    <n v="5165"/>
    <n v="772"/>
    <m/>
  </r>
  <r>
    <x v="10"/>
    <x v="0"/>
    <x v="2"/>
    <x v="0"/>
    <n v="2346357"/>
    <n v="3966"/>
    <n v="772"/>
    <m/>
  </r>
  <r>
    <x v="21"/>
    <x v="0"/>
    <x v="3"/>
    <x v="0"/>
    <n v="2343679"/>
    <n v="3174"/>
    <n v="772"/>
    <m/>
  </r>
  <r>
    <x v="9"/>
    <x v="0"/>
    <x v="1"/>
    <x v="0"/>
    <n v="2343499"/>
    <n v="3890"/>
    <n v="772"/>
    <m/>
  </r>
  <r>
    <x v="4"/>
    <x v="0"/>
    <x v="5"/>
    <x v="0"/>
    <n v="2339385"/>
    <n v="4200"/>
    <n v="772"/>
    <m/>
  </r>
  <r>
    <x v="0"/>
    <x v="0"/>
    <x v="10"/>
    <x v="0"/>
    <n v="2338945"/>
    <n v="4894"/>
    <n v="772"/>
    <m/>
  </r>
  <r>
    <x v="2"/>
    <x v="0"/>
    <x v="7"/>
    <x v="0"/>
    <n v="2338428"/>
    <n v="4994"/>
    <n v="772"/>
    <m/>
  </r>
  <r>
    <x v="6"/>
    <x v="1"/>
    <x v="7"/>
    <x v="0"/>
    <n v="2334172"/>
    <n v="4694"/>
    <n v="772"/>
    <m/>
  </r>
  <r>
    <x v="17"/>
    <x v="1"/>
    <x v="2"/>
    <x v="0"/>
    <n v="2333385"/>
    <n v="4190"/>
    <n v="772"/>
    <m/>
  </r>
  <r>
    <x v="26"/>
    <x v="1"/>
    <x v="0"/>
    <x v="0"/>
    <n v="2330916"/>
    <n v="3588"/>
    <n v="772"/>
    <m/>
  </r>
  <r>
    <x v="3"/>
    <x v="1"/>
    <x v="5"/>
    <x v="0"/>
    <n v="2329071"/>
    <n v="4144"/>
    <n v="772"/>
    <m/>
  </r>
  <r>
    <x v="1"/>
    <x v="0"/>
    <x v="6"/>
    <x v="0"/>
    <n v="2327260"/>
    <n v="4563"/>
    <n v="772"/>
    <m/>
  </r>
  <r>
    <x v="6"/>
    <x v="0"/>
    <x v="7"/>
    <x v="0"/>
    <n v="2317310"/>
    <n v="4440"/>
    <n v="772"/>
    <m/>
  </r>
  <r>
    <x v="2"/>
    <x v="0"/>
    <x v="5"/>
    <x v="0"/>
    <n v="2316565"/>
    <n v="4249"/>
    <n v="772"/>
    <m/>
  </r>
  <r>
    <x v="2"/>
    <x v="1"/>
    <x v="5"/>
    <x v="0"/>
    <n v="2315808"/>
    <n v="4756"/>
    <n v="772"/>
    <m/>
  </r>
  <r>
    <x v="8"/>
    <x v="0"/>
    <x v="3"/>
    <x v="0"/>
    <n v="2313891"/>
    <n v="4034"/>
    <n v="772"/>
    <m/>
  </r>
  <r>
    <x v="19"/>
    <x v="1"/>
    <x v="3"/>
    <x v="0"/>
    <n v="2302422"/>
    <n v="3199"/>
    <n v="772"/>
    <m/>
  </r>
  <r>
    <x v="4"/>
    <x v="0"/>
    <x v="6"/>
    <x v="0"/>
    <n v="2301966"/>
    <n v="4699"/>
    <n v="772"/>
    <m/>
  </r>
  <r>
    <x v="5"/>
    <x v="1"/>
    <x v="5"/>
    <x v="0"/>
    <n v="2301129"/>
    <n v="3869"/>
    <n v="772"/>
    <m/>
  </r>
  <r>
    <x v="21"/>
    <x v="0"/>
    <x v="1"/>
    <x v="0"/>
    <n v="2297430"/>
    <n v="3294"/>
    <n v="772"/>
    <m/>
  </r>
  <r>
    <x v="21"/>
    <x v="1"/>
    <x v="1"/>
    <x v="0"/>
    <n v="2296217"/>
    <n v="3380"/>
    <n v="772"/>
    <m/>
  </r>
  <r>
    <x v="12"/>
    <x v="1"/>
    <x v="3"/>
    <x v="0"/>
    <n v="2295669"/>
    <n v="4100"/>
    <n v="772"/>
    <m/>
  </r>
  <r>
    <x v="14"/>
    <x v="0"/>
    <x v="3"/>
    <x v="0"/>
    <n v="2286090"/>
    <n v="3229"/>
    <n v="772"/>
    <m/>
  </r>
  <r>
    <x v="1"/>
    <x v="1"/>
    <x v="4"/>
    <x v="0"/>
    <n v="2277154"/>
    <n v="4565"/>
    <n v="772"/>
    <m/>
  </r>
  <r>
    <x v="11"/>
    <x v="1"/>
    <x v="6"/>
    <x v="0"/>
    <n v="2275250"/>
    <n v="4060"/>
    <n v="772"/>
    <m/>
  </r>
  <r>
    <x v="17"/>
    <x v="1"/>
    <x v="3"/>
    <x v="0"/>
    <n v="2274701"/>
    <n v="4199"/>
    <n v="772"/>
    <m/>
  </r>
  <r>
    <x v="18"/>
    <x v="0"/>
    <x v="3"/>
    <x v="0"/>
    <n v="2274530"/>
    <n v="3408"/>
    <n v="772"/>
    <m/>
  </r>
  <r>
    <x v="14"/>
    <x v="1"/>
    <x v="3"/>
    <x v="0"/>
    <n v="2269392"/>
    <n v="3744"/>
    <n v="772"/>
    <m/>
  </r>
  <r>
    <x v="7"/>
    <x v="0"/>
    <x v="6"/>
    <x v="0"/>
    <n v="2266931"/>
    <n v="3944"/>
    <n v="772"/>
    <m/>
  </r>
  <r>
    <x v="20"/>
    <x v="1"/>
    <x v="2"/>
    <x v="0"/>
    <n v="2266825"/>
    <n v="3352"/>
    <n v="772"/>
    <m/>
  </r>
  <r>
    <x v="27"/>
    <x v="1"/>
    <x v="0"/>
    <x v="0"/>
    <n v="2255956"/>
    <n v="3265"/>
    <n v="772"/>
    <m/>
  </r>
  <r>
    <x v="32"/>
    <x v="0"/>
    <x v="0"/>
    <x v="0"/>
    <n v="2250770"/>
    <n v="3639"/>
    <n v="772"/>
    <m/>
  </r>
  <r>
    <x v="19"/>
    <x v="0"/>
    <x v="1"/>
    <x v="0"/>
    <n v="2248516"/>
    <n v="2907"/>
    <n v="772"/>
    <m/>
  </r>
  <r>
    <x v="21"/>
    <x v="1"/>
    <x v="2"/>
    <x v="0"/>
    <n v="2244894"/>
    <n v="3555"/>
    <n v="772"/>
    <m/>
  </r>
  <r>
    <x v="7"/>
    <x v="0"/>
    <x v="7"/>
    <x v="0"/>
    <n v="2243077"/>
    <n v="4059"/>
    <n v="772"/>
    <m/>
  </r>
  <r>
    <x v="15"/>
    <x v="0"/>
    <x v="3"/>
    <x v="0"/>
    <n v="2240625"/>
    <n v="3616"/>
    <n v="772"/>
    <m/>
  </r>
  <r>
    <x v="14"/>
    <x v="0"/>
    <x v="1"/>
    <x v="0"/>
    <n v="2237462"/>
    <n v="3295"/>
    <n v="772"/>
    <m/>
  </r>
  <r>
    <x v="33"/>
    <x v="0"/>
    <x v="0"/>
    <x v="0"/>
    <n v="2231305"/>
    <n v="3530"/>
    <n v="772"/>
    <m/>
  </r>
  <r>
    <x v="10"/>
    <x v="0"/>
    <x v="4"/>
    <x v="0"/>
    <n v="2230848"/>
    <n v="4345"/>
    <n v="772"/>
    <m/>
  </r>
  <r>
    <x v="16"/>
    <x v="1"/>
    <x v="2"/>
    <x v="0"/>
    <n v="2230220"/>
    <n v="3859"/>
    <n v="772"/>
    <m/>
  </r>
  <r>
    <x v="34"/>
    <x v="0"/>
    <x v="0"/>
    <x v="0"/>
    <n v="2225800"/>
    <n v="3667"/>
    <n v="772"/>
    <m/>
  </r>
  <r>
    <x v="17"/>
    <x v="0"/>
    <x v="5"/>
    <x v="0"/>
    <n v="2220375"/>
    <n v="4098"/>
    <n v="772"/>
    <m/>
  </r>
  <r>
    <x v="17"/>
    <x v="0"/>
    <x v="3"/>
    <x v="0"/>
    <n v="2213357"/>
    <n v="3705"/>
    <n v="772"/>
    <m/>
  </r>
  <r>
    <x v="35"/>
    <x v="1"/>
    <x v="0"/>
    <x v="0"/>
    <n v="2213157"/>
    <n v="2897"/>
    <n v="772"/>
    <m/>
  </r>
  <r>
    <x v="33"/>
    <x v="1"/>
    <x v="0"/>
    <x v="0"/>
    <n v="2209050"/>
    <n v="3056"/>
    <n v="772"/>
    <m/>
  </r>
  <r>
    <x v="21"/>
    <x v="1"/>
    <x v="3"/>
    <x v="0"/>
    <n v="2203236"/>
    <n v="3566"/>
    <n v="772"/>
    <m/>
  </r>
  <r>
    <x v="19"/>
    <x v="1"/>
    <x v="2"/>
    <x v="0"/>
    <n v="2202337"/>
    <n v="3347"/>
    <n v="772"/>
    <m/>
  </r>
  <r>
    <x v="3"/>
    <x v="0"/>
    <x v="5"/>
    <x v="0"/>
    <n v="2199207"/>
    <n v="3715"/>
    <n v="772"/>
    <m/>
  </r>
  <r>
    <x v="22"/>
    <x v="1"/>
    <x v="1"/>
    <x v="0"/>
    <n v="2195676"/>
    <n v="3552"/>
    <n v="772"/>
    <m/>
  </r>
  <r>
    <x v="6"/>
    <x v="1"/>
    <x v="6"/>
    <x v="0"/>
    <n v="2194356"/>
    <n v="4144"/>
    <n v="772"/>
    <m/>
  </r>
  <r>
    <x v="9"/>
    <x v="0"/>
    <x v="3"/>
    <x v="0"/>
    <n v="2188895"/>
    <n v="3906"/>
    <n v="772"/>
    <m/>
  </r>
  <r>
    <x v="11"/>
    <x v="1"/>
    <x v="5"/>
    <x v="0"/>
    <n v="2188730"/>
    <n v="3978"/>
    <n v="772"/>
    <m/>
  </r>
  <r>
    <x v="28"/>
    <x v="1"/>
    <x v="0"/>
    <x v="0"/>
    <n v="2185601"/>
    <n v="3985"/>
    <n v="772"/>
    <m/>
  </r>
  <r>
    <x v="10"/>
    <x v="1"/>
    <x v="7"/>
    <x v="0"/>
    <n v="2183955"/>
    <n v="4501"/>
    <n v="772"/>
    <m/>
  </r>
  <r>
    <x v="15"/>
    <x v="0"/>
    <x v="2"/>
    <x v="0"/>
    <n v="2176268"/>
    <n v="3770"/>
    <n v="772"/>
    <m/>
  </r>
  <r>
    <x v="5"/>
    <x v="1"/>
    <x v="7"/>
    <x v="0"/>
    <n v="2174894"/>
    <n v="3992"/>
    <n v="772"/>
    <m/>
  </r>
  <r>
    <x v="23"/>
    <x v="1"/>
    <x v="1"/>
    <x v="0"/>
    <n v="2173256"/>
    <n v="3260"/>
    <n v="772"/>
    <m/>
  </r>
  <r>
    <x v="11"/>
    <x v="0"/>
    <x v="7"/>
    <x v="0"/>
    <n v="2172052"/>
    <n v="4265"/>
    <n v="772"/>
    <m/>
  </r>
  <r>
    <x v="7"/>
    <x v="1"/>
    <x v="7"/>
    <x v="0"/>
    <n v="2170226"/>
    <n v="4250"/>
    <n v="772"/>
    <m/>
  </r>
  <r>
    <x v="5"/>
    <x v="0"/>
    <x v="7"/>
    <x v="0"/>
    <n v="2167750"/>
    <n v="3883"/>
    <n v="772"/>
    <m/>
  </r>
  <r>
    <x v="18"/>
    <x v="0"/>
    <x v="2"/>
    <x v="0"/>
    <n v="2166330"/>
    <n v="3559"/>
    <n v="772"/>
    <m/>
  </r>
  <r>
    <x v="3"/>
    <x v="1"/>
    <x v="6"/>
    <x v="0"/>
    <n v="2162282"/>
    <n v="4036"/>
    <n v="772"/>
    <m/>
  </r>
  <r>
    <x v="5"/>
    <x v="0"/>
    <x v="6"/>
    <x v="0"/>
    <n v="2158618"/>
    <n v="3840"/>
    <n v="772"/>
    <m/>
  </r>
  <r>
    <x v="36"/>
    <x v="0"/>
    <x v="0"/>
    <x v="0"/>
    <n v="2157543"/>
    <n v="3201"/>
    <n v="772"/>
    <m/>
  </r>
  <r>
    <x v="18"/>
    <x v="1"/>
    <x v="4"/>
    <x v="0"/>
    <n v="2156108"/>
    <n v="3737"/>
    <n v="772"/>
    <m/>
  </r>
  <r>
    <x v="31"/>
    <x v="1"/>
    <x v="0"/>
    <x v="0"/>
    <n v="2155155"/>
    <n v="3630"/>
    <n v="772"/>
    <m/>
  </r>
  <r>
    <x v="18"/>
    <x v="0"/>
    <x v="1"/>
    <x v="0"/>
    <n v="2154031"/>
    <n v="3410"/>
    <n v="772"/>
    <m/>
  </r>
  <r>
    <x v="4"/>
    <x v="1"/>
    <x v="5"/>
    <x v="0"/>
    <n v="2153844"/>
    <n v="4447"/>
    <n v="772"/>
    <m/>
  </r>
  <r>
    <x v="11"/>
    <x v="0"/>
    <x v="6"/>
    <x v="0"/>
    <n v="2150599"/>
    <n v="4305"/>
    <n v="772"/>
    <m/>
  </r>
  <r>
    <x v="5"/>
    <x v="1"/>
    <x v="6"/>
    <x v="0"/>
    <n v="2149893"/>
    <n v="3673"/>
    <n v="772"/>
    <m/>
  </r>
  <r>
    <x v="36"/>
    <x v="1"/>
    <x v="0"/>
    <x v="0"/>
    <n v="2148227"/>
    <n v="3011"/>
    <n v="772"/>
    <m/>
  </r>
  <r>
    <x v="11"/>
    <x v="0"/>
    <x v="4"/>
    <x v="0"/>
    <n v="2147016"/>
    <n v="4237"/>
    <n v="772"/>
    <m/>
  </r>
  <r>
    <x v="14"/>
    <x v="0"/>
    <x v="2"/>
    <x v="0"/>
    <n v="2143817"/>
    <n v="3543"/>
    <n v="772"/>
    <m/>
  </r>
  <r>
    <x v="0"/>
    <x v="0"/>
    <x v="11"/>
    <x v="0"/>
    <n v="2142053"/>
    <n v="4491"/>
    <n v="772"/>
    <m/>
  </r>
  <r>
    <x v="16"/>
    <x v="0"/>
    <x v="3"/>
    <x v="0"/>
    <n v="2140473"/>
    <n v="3329"/>
    <n v="772"/>
    <m/>
  </r>
  <r>
    <x v="18"/>
    <x v="0"/>
    <x v="4"/>
    <x v="0"/>
    <n v="2139202"/>
    <n v="3521"/>
    <n v="772"/>
    <m/>
  </r>
  <r>
    <x v="6"/>
    <x v="1"/>
    <x v="5"/>
    <x v="0"/>
    <n v="2138083"/>
    <n v="3749"/>
    <n v="772"/>
    <m/>
  </r>
  <r>
    <x v="30"/>
    <x v="1"/>
    <x v="0"/>
    <x v="0"/>
    <n v="2130747"/>
    <n v="3753"/>
    <n v="772"/>
    <m/>
  </r>
  <r>
    <x v="2"/>
    <x v="0"/>
    <x v="6"/>
    <x v="0"/>
    <n v="2127060"/>
    <n v="4814"/>
    <n v="772"/>
    <m/>
  </r>
  <r>
    <x v="18"/>
    <x v="0"/>
    <x v="5"/>
    <x v="0"/>
    <n v="2126832"/>
    <n v="3312"/>
    <n v="772"/>
    <m/>
  </r>
  <r>
    <x v="7"/>
    <x v="0"/>
    <x v="9"/>
    <x v="0"/>
    <n v="2124582"/>
    <n v="3571"/>
    <n v="772"/>
    <m/>
  </r>
  <r>
    <x v="4"/>
    <x v="1"/>
    <x v="6"/>
    <x v="0"/>
    <n v="2117895"/>
    <n v="4624"/>
    <n v="772"/>
    <m/>
  </r>
  <r>
    <x v="37"/>
    <x v="0"/>
    <x v="3"/>
    <x v="0"/>
    <n v="2115087"/>
    <n v="3358"/>
    <n v="772"/>
    <m/>
  </r>
  <r>
    <x v="35"/>
    <x v="0"/>
    <x v="0"/>
    <x v="0"/>
    <n v="2105911"/>
    <n v="2832"/>
    <n v="772"/>
    <m/>
  </r>
  <r>
    <x v="6"/>
    <x v="0"/>
    <x v="6"/>
    <x v="0"/>
    <n v="2101721"/>
    <n v="4092"/>
    <n v="772"/>
    <m/>
  </r>
  <r>
    <x v="13"/>
    <x v="0"/>
    <x v="2"/>
    <x v="0"/>
    <n v="2101540"/>
    <n v="3827"/>
    <n v="772"/>
    <m/>
  </r>
  <r>
    <x v="11"/>
    <x v="1"/>
    <x v="7"/>
    <x v="0"/>
    <n v="2097862"/>
    <n v="4316"/>
    <n v="772"/>
    <m/>
  </r>
  <r>
    <x v="13"/>
    <x v="1"/>
    <x v="4"/>
    <x v="0"/>
    <n v="2091313"/>
    <n v="4933"/>
    <n v="772"/>
    <m/>
  </r>
  <r>
    <x v="0"/>
    <x v="1"/>
    <x v="8"/>
    <x v="0"/>
    <n v="2089202"/>
    <n v="4222"/>
    <n v="772"/>
    <m/>
  </r>
  <r>
    <x v="16"/>
    <x v="0"/>
    <x v="2"/>
    <x v="0"/>
    <n v="2088429"/>
    <n v="3545"/>
    <n v="772"/>
    <m/>
  </r>
  <r>
    <x v="3"/>
    <x v="0"/>
    <x v="7"/>
    <x v="0"/>
    <n v="2086297"/>
    <n v="4006"/>
    <n v="772"/>
    <m/>
  </r>
  <r>
    <x v="3"/>
    <x v="1"/>
    <x v="7"/>
    <x v="0"/>
    <n v="2086135"/>
    <n v="4140"/>
    <n v="772"/>
    <m/>
  </r>
  <r>
    <x v="1"/>
    <x v="0"/>
    <x v="5"/>
    <x v="0"/>
    <n v="2084667"/>
    <n v="3684"/>
    <n v="772"/>
    <m/>
  </r>
  <r>
    <x v="0"/>
    <x v="1"/>
    <x v="9"/>
    <x v="0"/>
    <n v="2072885"/>
    <n v="4417"/>
    <n v="772"/>
    <m/>
  </r>
  <r>
    <x v="12"/>
    <x v="0"/>
    <x v="2"/>
    <x v="0"/>
    <n v="2070109"/>
    <n v="3590"/>
    <n v="772"/>
    <m/>
  </r>
  <r>
    <x v="25"/>
    <x v="0"/>
    <x v="1"/>
    <x v="0"/>
    <n v="2067334"/>
    <n v="2632"/>
    <n v="772"/>
    <m/>
  </r>
  <r>
    <x v="25"/>
    <x v="0"/>
    <x v="3"/>
    <x v="0"/>
    <n v="2065958"/>
    <n v="2726"/>
    <n v="772"/>
    <m/>
  </r>
  <r>
    <x v="38"/>
    <x v="0"/>
    <x v="0"/>
    <x v="0"/>
    <n v="2059681"/>
    <n v="3105"/>
    <n v="772"/>
    <m/>
  </r>
  <r>
    <x v="30"/>
    <x v="1"/>
    <x v="1"/>
    <x v="0"/>
    <n v="2055913"/>
    <n v="3362"/>
    <n v="772"/>
    <m/>
  </r>
  <r>
    <x v="20"/>
    <x v="0"/>
    <x v="1"/>
    <x v="0"/>
    <n v="2053734"/>
    <n v="2762"/>
    <n v="772"/>
    <m/>
  </r>
  <r>
    <x v="3"/>
    <x v="0"/>
    <x v="6"/>
    <x v="0"/>
    <n v="2050416"/>
    <n v="4046"/>
    <n v="772"/>
    <m/>
  </r>
  <r>
    <x v="25"/>
    <x v="1"/>
    <x v="0"/>
    <x v="0"/>
    <n v="2049383"/>
    <n v="2903"/>
    <n v="772"/>
    <m/>
  </r>
  <r>
    <x v="10"/>
    <x v="0"/>
    <x v="7"/>
    <x v="0"/>
    <n v="2045741"/>
    <n v="4018"/>
    <n v="772"/>
    <m/>
  </r>
  <r>
    <x v="18"/>
    <x v="1"/>
    <x v="2"/>
    <x v="0"/>
    <n v="2045012"/>
    <n v="3377"/>
    <n v="772"/>
    <m/>
  </r>
  <r>
    <x v="34"/>
    <x v="1"/>
    <x v="0"/>
    <x v="0"/>
    <n v="2041908"/>
    <n v="3631"/>
    <n v="772"/>
    <m/>
  </r>
  <r>
    <x v="10"/>
    <x v="1"/>
    <x v="5"/>
    <x v="0"/>
    <n v="2040673"/>
    <n v="3516"/>
    <n v="772"/>
    <m/>
  </r>
  <r>
    <x v="18"/>
    <x v="1"/>
    <x v="3"/>
    <x v="0"/>
    <n v="2040446"/>
    <n v="3262"/>
    <n v="772"/>
    <m/>
  </r>
  <r>
    <x v="9"/>
    <x v="0"/>
    <x v="2"/>
    <x v="0"/>
    <n v="2039609"/>
    <n v="3862"/>
    <n v="772"/>
    <m/>
  </r>
  <r>
    <x v="19"/>
    <x v="0"/>
    <x v="3"/>
    <x v="0"/>
    <n v="2033369"/>
    <n v="2876"/>
    <n v="772"/>
    <m/>
  </r>
  <r>
    <x v="12"/>
    <x v="1"/>
    <x v="4"/>
    <x v="0"/>
    <n v="2032645"/>
    <n v="4449"/>
    <n v="772"/>
    <m/>
  </r>
  <r>
    <x v="3"/>
    <x v="0"/>
    <x v="8"/>
    <x v="0"/>
    <n v="2026574"/>
    <n v="3291"/>
    <n v="772"/>
    <m/>
  </r>
  <r>
    <x v="9"/>
    <x v="1"/>
    <x v="7"/>
    <x v="0"/>
    <n v="2026432"/>
    <n v="4184"/>
    <n v="772"/>
    <m/>
  </r>
  <r>
    <x v="11"/>
    <x v="0"/>
    <x v="5"/>
    <x v="0"/>
    <n v="2013847"/>
    <n v="3598"/>
    <n v="772"/>
    <m/>
  </r>
  <r>
    <x v="2"/>
    <x v="0"/>
    <x v="8"/>
    <x v="0"/>
    <n v="2013428"/>
    <n v="3715"/>
    <n v="772"/>
    <m/>
  </r>
  <r>
    <x v="26"/>
    <x v="1"/>
    <x v="1"/>
    <x v="0"/>
    <n v="2010178"/>
    <n v="3085"/>
    <n v="772"/>
    <m/>
  </r>
  <r>
    <x v="8"/>
    <x v="0"/>
    <x v="4"/>
    <x v="0"/>
    <n v="2010035"/>
    <n v="3924"/>
    <n v="772"/>
    <m/>
  </r>
  <r>
    <x v="15"/>
    <x v="1"/>
    <x v="4"/>
    <x v="0"/>
    <n v="2005248"/>
    <n v="4579"/>
    <n v="772"/>
    <m/>
  </r>
  <r>
    <x v="13"/>
    <x v="0"/>
    <x v="7"/>
    <x v="0"/>
    <n v="2003125"/>
    <n v="4095"/>
    <n v="772"/>
    <m/>
  </r>
  <r>
    <x v="33"/>
    <x v="1"/>
    <x v="1"/>
    <x v="0"/>
    <n v="2002095"/>
    <n v="2674"/>
    <n v="772"/>
    <m/>
  </r>
  <r>
    <x v="32"/>
    <x v="0"/>
    <x v="1"/>
    <x v="0"/>
    <n v="2000738"/>
    <n v="3124"/>
    <n v="772"/>
    <m/>
  </r>
  <r>
    <x v="39"/>
    <x v="1"/>
    <x v="0"/>
    <x v="0"/>
    <n v="1997615"/>
    <n v="2789"/>
    <n v="772"/>
    <m/>
  </r>
  <r>
    <x v="13"/>
    <x v="0"/>
    <x v="4"/>
    <x v="0"/>
    <n v="1991330"/>
    <n v="4142"/>
    <n v="772"/>
    <m/>
  </r>
  <r>
    <x v="8"/>
    <x v="1"/>
    <x v="4"/>
    <x v="0"/>
    <n v="1984020"/>
    <n v="4590"/>
    <n v="772"/>
    <m/>
  </r>
  <r>
    <x v="40"/>
    <x v="0"/>
    <x v="0"/>
    <x v="0"/>
    <n v="1983785"/>
    <n v="3262"/>
    <n v="772"/>
    <m/>
  </r>
  <r>
    <x v="1"/>
    <x v="1"/>
    <x v="7"/>
    <x v="0"/>
    <n v="1978973"/>
    <n v="3986"/>
    <n v="772"/>
    <m/>
  </r>
  <r>
    <x v="41"/>
    <x v="0"/>
    <x v="0"/>
    <x v="0"/>
    <n v="1972765"/>
    <n v="3714"/>
    <n v="772"/>
    <m/>
  </r>
  <r>
    <x v="41"/>
    <x v="1"/>
    <x v="0"/>
    <x v="0"/>
    <n v="1972168"/>
    <n v="3818"/>
    <n v="772"/>
    <m/>
  </r>
  <r>
    <x v="27"/>
    <x v="1"/>
    <x v="1"/>
    <x v="0"/>
    <n v="1970230"/>
    <n v="3039"/>
    <n v="772"/>
    <m/>
  </r>
  <r>
    <x v="29"/>
    <x v="1"/>
    <x v="2"/>
    <x v="0"/>
    <n v="1969845"/>
    <n v="3361"/>
    <n v="772"/>
    <m/>
  </r>
  <r>
    <x v="26"/>
    <x v="1"/>
    <x v="2"/>
    <x v="0"/>
    <n v="1968439"/>
    <n v="3111"/>
    <n v="772"/>
    <m/>
  </r>
  <r>
    <x v="22"/>
    <x v="1"/>
    <x v="3"/>
    <x v="0"/>
    <n v="1966948"/>
    <n v="3569"/>
    <n v="772"/>
    <m/>
  </r>
  <r>
    <x v="24"/>
    <x v="1"/>
    <x v="2"/>
    <x v="0"/>
    <n v="1962140"/>
    <n v="3888"/>
    <n v="772"/>
    <m/>
  </r>
  <r>
    <x v="13"/>
    <x v="0"/>
    <x v="6"/>
    <x v="0"/>
    <n v="1960427"/>
    <n v="4248"/>
    <n v="772"/>
    <m/>
  </r>
  <r>
    <x v="28"/>
    <x v="1"/>
    <x v="1"/>
    <x v="0"/>
    <n v="1959557"/>
    <n v="3446"/>
    <n v="772"/>
    <m/>
  </r>
  <r>
    <x v="42"/>
    <x v="0"/>
    <x v="0"/>
    <x v="0"/>
    <n v="1948693"/>
    <n v="2635"/>
    <n v="772"/>
    <m/>
  </r>
  <r>
    <x v="43"/>
    <x v="0"/>
    <x v="0"/>
    <x v="0"/>
    <n v="1940663"/>
    <n v="3054"/>
    <n v="772"/>
    <m/>
  </r>
  <r>
    <x v="32"/>
    <x v="1"/>
    <x v="0"/>
    <x v="0"/>
    <n v="1940293"/>
    <n v="3374"/>
    <n v="772"/>
    <m/>
  </r>
  <r>
    <x v="34"/>
    <x v="1"/>
    <x v="1"/>
    <x v="0"/>
    <n v="1933014"/>
    <n v="3327"/>
    <n v="772"/>
    <m/>
  </r>
  <r>
    <x v="17"/>
    <x v="1"/>
    <x v="4"/>
    <x v="0"/>
    <n v="1928810"/>
    <n v="4373"/>
    <n v="772"/>
    <m/>
  </r>
  <r>
    <x v="23"/>
    <x v="1"/>
    <x v="3"/>
    <x v="0"/>
    <n v="1925728"/>
    <n v="3108"/>
    <n v="772"/>
    <m/>
  </r>
  <r>
    <x v="25"/>
    <x v="1"/>
    <x v="1"/>
    <x v="0"/>
    <n v="1923910"/>
    <n v="2614"/>
    <n v="772"/>
    <m/>
  </r>
  <r>
    <x v="44"/>
    <x v="1"/>
    <x v="0"/>
    <x v="0"/>
    <n v="1923671"/>
    <n v="2393"/>
    <n v="772"/>
    <m/>
  </r>
  <r>
    <x v="24"/>
    <x v="0"/>
    <x v="1"/>
    <x v="0"/>
    <n v="1920619"/>
    <n v="3418"/>
    <n v="772"/>
    <m/>
  </r>
  <r>
    <x v="29"/>
    <x v="1"/>
    <x v="1"/>
    <x v="0"/>
    <n v="1919985"/>
    <n v="3109"/>
    <n v="772"/>
    <m/>
  </r>
  <r>
    <x v="10"/>
    <x v="1"/>
    <x v="6"/>
    <x v="0"/>
    <n v="1919453"/>
    <n v="3807"/>
    <n v="772"/>
    <m/>
  </r>
  <r>
    <x v="22"/>
    <x v="0"/>
    <x v="1"/>
    <x v="0"/>
    <n v="1919344"/>
    <n v="2984"/>
    <n v="772"/>
    <m/>
  </r>
  <r>
    <x v="9"/>
    <x v="0"/>
    <x v="4"/>
    <x v="0"/>
    <n v="1916787"/>
    <n v="3776"/>
    <n v="772"/>
    <m/>
  </r>
  <r>
    <x v="19"/>
    <x v="0"/>
    <x v="5"/>
    <x v="0"/>
    <n v="1914940"/>
    <n v="2740"/>
    <n v="772"/>
    <m/>
  </r>
  <r>
    <x v="5"/>
    <x v="0"/>
    <x v="9"/>
    <x v="0"/>
    <n v="1903597"/>
    <n v="3359"/>
    <n v="772"/>
    <m/>
  </r>
  <r>
    <x v="39"/>
    <x v="0"/>
    <x v="0"/>
    <x v="0"/>
    <n v="1901793"/>
    <n v="2836"/>
    <n v="772"/>
    <m/>
  </r>
  <r>
    <x v="19"/>
    <x v="0"/>
    <x v="2"/>
    <x v="0"/>
    <n v="1897294"/>
    <n v="2765"/>
    <n v="772"/>
    <m/>
  </r>
  <r>
    <x v="43"/>
    <x v="1"/>
    <x v="0"/>
    <x v="0"/>
    <n v="1894535"/>
    <n v="3032"/>
    <n v="772"/>
    <m/>
  </r>
  <r>
    <x v="8"/>
    <x v="1"/>
    <x v="5"/>
    <x v="0"/>
    <n v="1893641"/>
    <n v="3717"/>
    <n v="772"/>
    <m/>
  </r>
  <r>
    <x v="9"/>
    <x v="1"/>
    <x v="4"/>
    <x v="0"/>
    <n v="1890120"/>
    <n v="4687"/>
    <n v="772"/>
    <m/>
  </r>
  <r>
    <x v="23"/>
    <x v="0"/>
    <x v="1"/>
    <x v="0"/>
    <n v="1885437"/>
    <n v="2967"/>
    <n v="772"/>
    <m/>
  </r>
  <r>
    <x v="2"/>
    <x v="1"/>
    <x v="8"/>
    <x v="0"/>
    <n v="1884514"/>
    <n v="3940"/>
    <n v="772"/>
    <m/>
  </r>
  <r>
    <x v="45"/>
    <x v="0"/>
    <x v="0"/>
    <x v="0"/>
    <n v="1883439"/>
    <n v="3289"/>
    <n v="772"/>
    <m/>
  </r>
  <r>
    <x v="12"/>
    <x v="0"/>
    <x v="4"/>
    <x v="0"/>
    <n v="1881240"/>
    <n v="3794"/>
    <n v="772"/>
    <m/>
  </r>
  <r>
    <x v="35"/>
    <x v="1"/>
    <x v="1"/>
    <x v="0"/>
    <n v="1880745"/>
    <n v="2614"/>
    <n v="772"/>
    <m/>
  </r>
  <r>
    <x v="45"/>
    <x v="1"/>
    <x v="0"/>
    <x v="0"/>
    <n v="1877347"/>
    <n v="3455"/>
    <n v="772"/>
    <m/>
  </r>
  <r>
    <x v="8"/>
    <x v="0"/>
    <x v="6"/>
    <x v="0"/>
    <n v="1876841"/>
    <n v="3853"/>
    <n v="772"/>
    <m/>
  </r>
  <r>
    <x v="1"/>
    <x v="1"/>
    <x v="6"/>
    <x v="0"/>
    <n v="1876258"/>
    <n v="3541"/>
    <n v="772"/>
    <m/>
  </r>
  <r>
    <x v="20"/>
    <x v="1"/>
    <x v="3"/>
    <x v="0"/>
    <n v="1875314"/>
    <n v="2656"/>
    <n v="772"/>
    <m/>
  </r>
  <r>
    <x v="26"/>
    <x v="1"/>
    <x v="3"/>
    <x v="0"/>
    <n v="1874617"/>
    <n v="3015"/>
    <n v="772"/>
    <m/>
  </r>
  <r>
    <x v="46"/>
    <x v="0"/>
    <x v="0"/>
    <x v="0"/>
    <n v="1869676"/>
    <n v="2549"/>
    <n v="772"/>
    <m/>
  </r>
  <r>
    <x v="7"/>
    <x v="1"/>
    <x v="9"/>
    <x v="0"/>
    <n v="1866846"/>
    <n v="3519"/>
    <n v="772"/>
    <m/>
  </r>
  <r>
    <x v="44"/>
    <x v="0"/>
    <x v="0"/>
    <x v="0"/>
    <n v="1864108"/>
    <n v="2370"/>
    <n v="772"/>
    <m/>
  </r>
  <r>
    <x v="20"/>
    <x v="0"/>
    <x v="3"/>
    <x v="0"/>
    <n v="1862275"/>
    <n v="2689"/>
    <n v="772"/>
    <m/>
  </r>
  <r>
    <x v="24"/>
    <x v="0"/>
    <x v="3"/>
    <x v="0"/>
    <n v="1862213"/>
    <n v="3470"/>
    <n v="772"/>
    <m/>
  </r>
  <r>
    <x v="22"/>
    <x v="0"/>
    <x v="3"/>
    <x v="0"/>
    <n v="1854245"/>
    <n v="3005"/>
    <n v="772"/>
    <m/>
  </r>
  <r>
    <x v="7"/>
    <x v="0"/>
    <x v="8"/>
    <x v="0"/>
    <n v="1851402"/>
    <n v="3200"/>
    <n v="772"/>
    <m/>
  </r>
  <r>
    <x v="7"/>
    <x v="1"/>
    <x v="8"/>
    <x v="0"/>
    <n v="1850143"/>
    <n v="3243"/>
    <n v="772"/>
    <m/>
  </r>
  <r>
    <x v="1"/>
    <x v="0"/>
    <x v="8"/>
    <x v="0"/>
    <n v="1848603"/>
    <n v="3104"/>
    <n v="772"/>
    <m/>
  </r>
  <r>
    <x v="26"/>
    <x v="0"/>
    <x v="5"/>
    <x v="0"/>
    <n v="1848514"/>
    <n v="2698"/>
    <n v="772"/>
    <m/>
  </r>
  <r>
    <x v="42"/>
    <x v="1"/>
    <x v="0"/>
    <x v="0"/>
    <n v="1847965"/>
    <n v="2578"/>
    <n v="772"/>
    <m/>
  </r>
  <r>
    <x v="18"/>
    <x v="1"/>
    <x v="5"/>
    <x v="0"/>
    <n v="1847485"/>
    <n v="2996"/>
    <n v="772"/>
    <m/>
  </r>
  <r>
    <x v="32"/>
    <x v="1"/>
    <x v="1"/>
    <x v="0"/>
    <n v="1847182"/>
    <n v="2941"/>
    <n v="772"/>
    <m/>
  </r>
  <r>
    <x v="31"/>
    <x v="1"/>
    <x v="1"/>
    <x v="0"/>
    <n v="1845554"/>
    <n v="3007"/>
    <n v="772"/>
    <m/>
  </r>
  <r>
    <x v="4"/>
    <x v="0"/>
    <x v="8"/>
    <x v="0"/>
    <n v="1832314"/>
    <n v="3511"/>
    <n v="772"/>
    <m/>
  </r>
  <r>
    <x v="14"/>
    <x v="0"/>
    <x v="4"/>
    <x v="0"/>
    <n v="1831536"/>
    <n v="3374"/>
    <n v="772"/>
    <m/>
  </r>
  <r>
    <x v="47"/>
    <x v="0"/>
    <x v="0"/>
    <x v="0"/>
    <n v="1824119"/>
    <n v="2437"/>
    <n v="772"/>
    <m/>
  </r>
  <r>
    <x v="3"/>
    <x v="1"/>
    <x v="8"/>
    <x v="0"/>
    <n v="1823337"/>
    <n v="3424"/>
    <n v="772"/>
    <m/>
  </r>
  <r>
    <x v="17"/>
    <x v="0"/>
    <x v="2"/>
    <x v="0"/>
    <n v="1817093"/>
    <n v="3490"/>
    <n v="772"/>
    <m/>
  </r>
  <r>
    <x v="2"/>
    <x v="0"/>
    <x v="9"/>
    <x v="0"/>
    <n v="1814639"/>
    <n v="3976"/>
    <n v="772"/>
    <m/>
  </r>
  <r>
    <x v="17"/>
    <x v="0"/>
    <x v="4"/>
    <x v="0"/>
    <n v="1814455"/>
    <n v="3636"/>
    <n v="772"/>
    <m/>
  </r>
  <r>
    <x v="46"/>
    <x v="1"/>
    <x v="0"/>
    <x v="0"/>
    <n v="1814359"/>
    <n v="2552"/>
    <n v="772"/>
    <m/>
  </r>
  <r>
    <x v="36"/>
    <x v="1"/>
    <x v="1"/>
    <x v="0"/>
    <n v="1810711"/>
    <n v="2540"/>
    <n v="772"/>
    <m/>
  </r>
  <r>
    <x v="8"/>
    <x v="0"/>
    <x v="7"/>
    <x v="0"/>
    <n v="1807683"/>
    <n v="4020"/>
    <n v="772"/>
    <m/>
  </r>
  <r>
    <x v="27"/>
    <x v="1"/>
    <x v="2"/>
    <x v="0"/>
    <n v="1805370"/>
    <n v="2815"/>
    <n v="772"/>
    <m/>
  </r>
  <r>
    <x v="48"/>
    <x v="0"/>
    <x v="0"/>
    <x v="0"/>
    <n v="1804182"/>
    <n v="3195"/>
    <n v="772"/>
    <m/>
  </r>
  <r>
    <x v="5"/>
    <x v="1"/>
    <x v="8"/>
    <x v="0"/>
    <n v="1800070"/>
    <n v="3163"/>
    <n v="772"/>
    <m/>
  </r>
  <r>
    <x v="10"/>
    <x v="0"/>
    <x v="6"/>
    <x v="0"/>
    <n v="1799563"/>
    <n v="3754"/>
    <n v="772"/>
    <m/>
  </r>
  <r>
    <x v="2"/>
    <x v="1"/>
    <x v="10"/>
    <x v="0"/>
    <n v="1795135"/>
    <n v="3927"/>
    <n v="772"/>
    <m/>
  </r>
  <r>
    <x v="17"/>
    <x v="0"/>
    <x v="6"/>
    <x v="0"/>
    <n v="1794355"/>
    <n v="3555"/>
    <n v="772"/>
    <m/>
  </r>
  <r>
    <x v="3"/>
    <x v="0"/>
    <x v="9"/>
    <x v="0"/>
    <n v="1793035"/>
    <n v="3255"/>
    <n v="772"/>
    <m/>
  </r>
  <r>
    <x v="38"/>
    <x v="1"/>
    <x v="0"/>
    <x v="0"/>
    <n v="1788097"/>
    <n v="2947"/>
    <n v="772"/>
    <m/>
  </r>
  <r>
    <x v="29"/>
    <x v="0"/>
    <x v="1"/>
    <x v="0"/>
    <n v="1788042"/>
    <n v="2900"/>
    <n v="772"/>
    <m/>
  </r>
  <r>
    <x v="15"/>
    <x v="1"/>
    <x v="7"/>
    <x v="0"/>
    <n v="1786697"/>
    <n v="3912"/>
    <n v="772"/>
    <m/>
  </r>
  <r>
    <x v="10"/>
    <x v="0"/>
    <x v="5"/>
    <x v="0"/>
    <n v="1779152"/>
    <n v="3113"/>
    <n v="772"/>
    <m/>
  </r>
  <r>
    <x v="9"/>
    <x v="0"/>
    <x v="6"/>
    <x v="0"/>
    <n v="1778551"/>
    <n v="3274"/>
    <n v="772"/>
    <m/>
  </r>
  <r>
    <x v="33"/>
    <x v="0"/>
    <x v="1"/>
    <x v="0"/>
    <n v="1777804"/>
    <n v="2430"/>
    <n v="772"/>
    <m/>
  </r>
  <r>
    <x v="19"/>
    <x v="0"/>
    <x v="4"/>
    <x v="0"/>
    <n v="1777657"/>
    <n v="2827"/>
    <n v="772"/>
    <m/>
  </r>
  <r>
    <x v="49"/>
    <x v="0"/>
    <x v="0"/>
    <x v="0"/>
    <n v="1771940"/>
    <n v="3330"/>
    <n v="772"/>
    <m/>
  </r>
  <r>
    <x v="22"/>
    <x v="1"/>
    <x v="2"/>
    <x v="0"/>
    <n v="1768930"/>
    <n v="3398"/>
    <n v="772"/>
    <m/>
  </r>
  <r>
    <x v="2"/>
    <x v="1"/>
    <x v="9"/>
    <x v="0"/>
    <n v="1767903"/>
    <n v="4046"/>
    <n v="772"/>
    <m/>
  </r>
  <r>
    <x v="8"/>
    <x v="1"/>
    <x v="7"/>
    <x v="0"/>
    <n v="1767144"/>
    <n v="4109"/>
    <n v="772"/>
    <m/>
  </r>
  <r>
    <x v="26"/>
    <x v="0"/>
    <x v="3"/>
    <x v="0"/>
    <n v="1766570"/>
    <n v="2490"/>
    <n v="772"/>
    <m/>
  </r>
  <r>
    <x v="23"/>
    <x v="0"/>
    <x v="3"/>
    <x v="0"/>
    <n v="1763690"/>
    <n v="2604"/>
    <n v="772"/>
    <m/>
  </r>
  <r>
    <x v="6"/>
    <x v="0"/>
    <x v="8"/>
    <x v="0"/>
    <n v="1761913"/>
    <n v="3235"/>
    <n v="772"/>
    <m/>
  </r>
  <r>
    <x v="25"/>
    <x v="0"/>
    <x v="2"/>
    <x v="0"/>
    <n v="1748744"/>
    <n v="2637"/>
    <n v="772"/>
    <m/>
  </r>
  <r>
    <x v="16"/>
    <x v="1"/>
    <x v="4"/>
    <x v="0"/>
    <n v="1746860"/>
    <n v="3673"/>
    <n v="772"/>
    <m/>
  </r>
  <r>
    <x v="12"/>
    <x v="0"/>
    <x v="7"/>
    <x v="0"/>
    <n v="1744318"/>
    <n v="3473"/>
    <n v="772"/>
    <m/>
  </r>
  <r>
    <x v="29"/>
    <x v="1"/>
    <x v="3"/>
    <x v="0"/>
    <n v="1743728"/>
    <n v="3009"/>
    <n v="772"/>
    <m/>
  </r>
  <r>
    <x v="13"/>
    <x v="1"/>
    <x v="7"/>
    <x v="0"/>
    <n v="1740174"/>
    <n v="4304"/>
    <n v="772"/>
    <m/>
  </r>
  <r>
    <x v="5"/>
    <x v="0"/>
    <x v="8"/>
    <x v="0"/>
    <n v="1740060"/>
    <n v="3054"/>
    <n v="772"/>
    <m/>
  </r>
  <r>
    <x v="3"/>
    <x v="1"/>
    <x v="9"/>
    <x v="0"/>
    <n v="1737769"/>
    <n v="3494"/>
    <n v="772"/>
    <m/>
  </r>
  <r>
    <x v="14"/>
    <x v="1"/>
    <x v="5"/>
    <x v="0"/>
    <n v="1733384"/>
    <n v="3071"/>
    <n v="772"/>
    <m/>
  </r>
  <r>
    <x v="41"/>
    <x v="1"/>
    <x v="1"/>
    <x v="0"/>
    <n v="1731601"/>
    <n v="3223"/>
    <n v="772"/>
    <m/>
  </r>
  <r>
    <x v="13"/>
    <x v="1"/>
    <x v="6"/>
    <x v="0"/>
    <n v="1728666"/>
    <n v="3813"/>
    <n v="772"/>
    <m/>
  </r>
  <r>
    <x v="26"/>
    <x v="0"/>
    <x v="4"/>
    <x v="0"/>
    <n v="1728575"/>
    <n v="2880"/>
    <n v="772"/>
    <m/>
  </r>
  <r>
    <x v="12"/>
    <x v="0"/>
    <x v="5"/>
    <x v="0"/>
    <n v="1728390"/>
    <n v="3071"/>
    <n v="772"/>
    <m/>
  </r>
  <r>
    <x v="12"/>
    <x v="1"/>
    <x v="5"/>
    <x v="0"/>
    <n v="1727630"/>
    <n v="3282"/>
    <n v="772"/>
    <m/>
  </r>
  <r>
    <x v="30"/>
    <x v="1"/>
    <x v="3"/>
    <x v="0"/>
    <n v="1724628"/>
    <n v="3077"/>
    <n v="772"/>
    <m/>
  </r>
  <r>
    <x v="28"/>
    <x v="1"/>
    <x v="3"/>
    <x v="0"/>
    <n v="1724267"/>
    <n v="3232"/>
    <n v="772"/>
    <m/>
  </r>
  <r>
    <x v="43"/>
    <x v="1"/>
    <x v="1"/>
    <x v="0"/>
    <n v="1722274"/>
    <n v="2641"/>
    <n v="772"/>
    <m/>
  </r>
  <r>
    <x v="19"/>
    <x v="1"/>
    <x v="5"/>
    <x v="0"/>
    <n v="1720947"/>
    <n v="2661"/>
    <n v="772"/>
    <m/>
  </r>
  <r>
    <x v="25"/>
    <x v="1"/>
    <x v="3"/>
    <x v="0"/>
    <n v="1718780"/>
    <n v="2147"/>
    <n v="705"/>
    <m/>
  </r>
  <r>
    <x v="4"/>
    <x v="0"/>
    <x v="10"/>
    <x v="0"/>
    <n v="1716981"/>
    <n v="3503"/>
    <n v="998"/>
    <m/>
  </r>
  <r>
    <x v="17"/>
    <x v="0"/>
    <x v="7"/>
    <x v="0"/>
    <n v="1716904"/>
    <n v="3583"/>
    <n v="917"/>
    <m/>
  </r>
  <r>
    <x v="24"/>
    <x v="0"/>
    <x v="2"/>
    <x v="0"/>
    <n v="1714188"/>
    <n v="3465"/>
    <n v="927"/>
    <m/>
  </r>
  <r>
    <x v="36"/>
    <x v="1"/>
    <x v="3"/>
    <x v="0"/>
    <n v="1711405"/>
    <n v="2128"/>
    <n v="739"/>
    <m/>
  </r>
  <r>
    <x v="47"/>
    <x v="1"/>
    <x v="0"/>
    <x v="0"/>
    <n v="1709753"/>
    <n v="2449"/>
    <n v="662"/>
    <m/>
  </r>
  <r>
    <x v="15"/>
    <x v="0"/>
    <x v="6"/>
    <x v="0"/>
    <n v="1709642"/>
    <n v="3422"/>
    <n v="1057"/>
    <m/>
  </r>
  <r>
    <x v="20"/>
    <x v="0"/>
    <x v="5"/>
    <x v="0"/>
    <n v="1705770"/>
    <n v="2225"/>
    <n v="658"/>
    <m/>
  </r>
  <r>
    <x v="24"/>
    <x v="1"/>
    <x v="3"/>
    <x v="0"/>
    <n v="1704755"/>
    <n v="3461"/>
    <n v="914"/>
    <m/>
  </r>
  <r>
    <x v="31"/>
    <x v="1"/>
    <x v="3"/>
    <x v="0"/>
    <n v="1700845"/>
    <n v="3046"/>
    <n v="794"/>
    <m/>
  </r>
  <r>
    <x v="1"/>
    <x v="0"/>
    <x v="10"/>
    <x v="0"/>
    <n v="1698274"/>
    <n v="3201"/>
    <n v="943"/>
    <m/>
  </r>
  <r>
    <x v="13"/>
    <x v="0"/>
    <x v="5"/>
    <x v="0"/>
    <n v="1697291"/>
    <n v="3186"/>
    <n v="870"/>
    <m/>
  </r>
  <r>
    <x v="11"/>
    <x v="0"/>
    <x v="8"/>
    <x v="0"/>
    <n v="1693532"/>
    <n v="2985"/>
    <n v="861"/>
    <m/>
  </r>
  <r>
    <x v="21"/>
    <x v="1"/>
    <x v="5"/>
    <x v="0"/>
    <n v="1692855"/>
    <n v="2789"/>
    <n v="784"/>
    <m/>
  </r>
  <r>
    <x v="20"/>
    <x v="1"/>
    <x v="4"/>
    <x v="0"/>
    <n v="1687757"/>
    <n v="3150"/>
    <n v="800"/>
    <m/>
  </r>
  <r>
    <x v="34"/>
    <x v="1"/>
    <x v="3"/>
    <x v="0"/>
    <n v="1685803"/>
    <n v="3118"/>
    <n v="869"/>
    <m/>
  </r>
  <r>
    <x v="40"/>
    <x v="1"/>
    <x v="0"/>
    <x v="0"/>
    <n v="1683809"/>
    <n v="2930"/>
    <n v="694"/>
    <m/>
  </r>
  <r>
    <x v="25"/>
    <x v="1"/>
    <x v="2"/>
    <x v="0"/>
    <n v="1682262"/>
    <n v="2635"/>
    <n v="760"/>
    <m/>
  </r>
  <r>
    <x v="33"/>
    <x v="1"/>
    <x v="3"/>
    <x v="0"/>
    <n v="1678909"/>
    <n v="2005"/>
    <n v="720"/>
    <m/>
  </r>
  <r>
    <x v="9"/>
    <x v="0"/>
    <x v="7"/>
    <x v="0"/>
    <n v="1675687"/>
    <n v="3741"/>
    <n v="934"/>
    <m/>
  </r>
  <r>
    <x v="26"/>
    <x v="1"/>
    <x v="5"/>
    <x v="0"/>
    <n v="1674765"/>
    <n v="2596"/>
    <n v="737"/>
    <m/>
  </r>
  <r>
    <x v="50"/>
    <x v="0"/>
    <x v="0"/>
    <x v="0"/>
    <n v="1674619"/>
    <n v="2113"/>
    <n v="566"/>
    <m/>
  </r>
  <r>
    <x v="49"/>
    <x v="1"/>
    <x v="0"/>
    <x v="0"/>
    <n v="1671864"/>
    <n v="3383"/>
    <n v="849"/>
    <m/>
  </r>
  <r>
    <x v="28"/>
    <x v="0"/>
    <x v="1"/>
    <x v="0"/>
    <n v="1669875"/>
    <n v="2770"/>
    <n v="714"/>
    <m/>
  </r>
  <r>
    <x v="10"/>
    <x v="1"/>
    <x v="8"/>
    <x v="0"/>
    <n v="1669180"/>
    <n v="3251"/>
    <n v="714"/>
    <m/>
  </r>
  <r>
    <x v="30"/>
    <x v="0"/>
    <x v="1"/>
    <x v="0"/>
    <n v="1668522"/>
    <n v="2752"/>
    <n v="753"/>
    <m/>
  </r>
  <r>
    <x v="23"/>
    <x v="0"/>
    <x v="2"/>
    <x v="0"/>
    <n v="1662459"/>
    <n v="2702"/>
    <n v="808"/>
    <m/>
  </r>
  <r>
    <x v="1"/>
    <x v="0"/>
    <x v="9"/>
    <x v="0"/>
    <n v="1661747"/>
    <n v="3389"/>
    <n v="974"/>
    <m/>
  </r>
  <r>
    <x v="27"/>
    <x v="0"/>
    <x v="1"/>
    <x v="0"/>
    <n v="1661552"/>
    <n v="2438"/>
    <n v="664"/>
    <m/>
  </r>
  <r>
    <x v="6"/>
    <x v="1"/>
    <x v="8"/>
    <x v="0"/>
    <n v="1659187"/>
    <n v="3409"/>
    <n v="984"/>
    <m/>
  </r>
  <r>
    <x v="15"/>
    <x v="0"/>
    <x v="5"/>
    <x v="0"/>
    <n v="1659149"/>
    <n v="3157"/>
    <n v="945"/>
    <m/>
  </r>
  <r>
    <x v="32"/>
    <x v="0"/>
    <x v="3"/>
    <x v="0"/>
    <n v="1658633"/>
    <n v="2651"/>
    <n v="709"/>
    <m/>
  </r>
  <r>
    <x v="13"/>
    <x v="1"/>
    <x v="5"/>
    <x v="0"/>
    <n v="1657353"/>
    <n v="3475"/>
    <n v="921"/>
    <m/>
  </r>
  <r>
    <x v="28"/>
    <x v="0"/>
    <x v="3"/>
    <x v="0"/>
    <n v="1655796"/>
    <n v="2718"/>
    <n v="721"/>
    <m/>
  </r>
  <r>
    <x v="15"/>
    <x v="1"/>
    <x v="5"/>
    <x v="0"/>
    <n v="1655656"/>
    <n v="3197"/>
    <n v="918"/>
    <m/>
  </r>
  <r>
    <x v="9"/>
    <x v="1"/>
    <x v="5"/>
    <x v="0"/>
    <n v="1654677"/>
    <n v="3658"/>
    <n v="964"/>
    <m/>
  </r>
  <r>
    <x v="33"/>
    <x v="0"/>
    <x v="3"/>
    <x v="0"/>
    <n v="1654358"/>
    <n v="2359"/>
    <n v="646"/>
    <m/>
  </r>
  <r>
    <x v="28"/>
    <x v="1"/>
    <x v="2"/>
    <x v="0"/>
    <n v="1652560"/>
    <n v="3216"/>
    <n v="858"/>
    <m/>
  </r>
  <r>
    <x v="32"/>
    <x v="1"/>
    <x v="3"/>
    <x v="0"/>
    <n v="1651547"/>
    <n v="2674"/>
    <n v="796"/>
    <m/>
  </r>
  <r>
    <x v="9"/>
    <x v="1"/>
    <x v="6"/>
    <x v="0"/>
    <n v="1651101"/>
    <n v="3424"/>
    <n v="909"/>
    <m/>
  </r>
  <r>
    <x v="41"/>
    <x v="1"/>
    <x v="2"/>
    <x v="0"/>
    <n v="1649943"/>
    <n v="3238"/>
    <n v="816"/>
    <m/>
  </r>
  <r>
    <x v="2"/>
    <x v="1"/>
    <x v="11"/>
    <x v="0"/>
    <n v="1649853"/>
    <n v="3664"/>
    <n v="1019"/>
    <m/>
  </r>
  <r>
    <x v="17"/>
    <x v="1"/>
    <x v="7"/>
    <x v="0"/>
    <n v="1649775"/>
    <n v="3765"/>
    <n v="924"/>
    <m/>
  </r>
  <r>
    <x v="14"/>
    <x v="0"/>
    <x v="5"/>
    <x v="0"/>
    <n v="1649052"/>
    <n v="2702"/>
    <n v="815"/>
    <m/>
  </r>
  <r>
    <x v="30"/>
    <x v="1"/>
    <x v="2"/>
    <x v="0"/>
    <n v="1648115"/>
    <n v="3128"/>
    <n v="830"/>
    <m/>
  </r>
  <r>
    <x v="21"/>
    <x v="0"/>
    <x v="2"/>
    <x v="0"/>
    <n v="1647207"/>
    <n v="2756"/>
    <n v="794"/>
    <m/>
  </r>
  <r>
    <x v="20"/>
    <x v="1"/>
    <x v="7"/>
    <x v="0"/>
    <n v="1644598"/>
    <n v="2931"/>
    <n v="769"/>
    <m/>
  </r>
  <r>
    <x v="40"/>
    <x v="1"/>
    <x v="1"/>
    <x v="0"/>
    <n v="1643103"/>
    <n v="2818"/>
    <n v="629"/>
    <m/>
  </r>
  <r>
    <x v="12"/>
    <x v="1"/>
    <x v="7"/>
    <x v="0"/>
    <n v="1635574"/>
    <n v="3659"/>
    <n v="959"/>
    <m/>
  </r>
  <r>
    <x v="26"/>
    <x v="0"/>
    <x v="1"/>
    <x v="0"/>
    <n v="1635385"/>
    <n v="2401"/>
    <n v="685"/>
    <m/>
  </r>
  <r>
    <x v="8"/>
    <x v="0"/>
    <x v="8"/>
    <x v="0"/>
    <n v="1635049"/>
    <n v="2941"/>
    <n v="754"/>
    <m/>
  </r>
  <r>
    <x v="8"/>
    <x v="1"/>
    <x v="6"/>
    <x v="0"/>
    <n v="1632935"/>
    <n v="3574"/>
    <n v="909"/>
    <m/>
  </r>
  <r>
    <x v="24"/>
    <x v="0"/>
    <x v="4"/>
    <x v="0"/>
    <n v="1631750"/>
    <n v="3732"/>
    <n v="1004"/>
    <m/>
  </r>
  <r>
    <x v="24"/>
    <x v="1"/>
    <x v="4"/>
    <x v="0"/>
    <n v="1631711"/>
    <n v="4170"/>
    <n v="1040"/>
    <m/>
  </r>
  <r>
    <x v="5"/>
    <x v="1"/>
    <x v="9"/>
    <x v="0"/>
    <n v="1629373"/>
    <n v="3026"/>
    <n v="838"/>
    <m/>
  </r>
  <r>
    <x v="14"/>
    <x v="0"/>
    <x v="7"/>
    <x v="0"/>
    <n v="1629331"/>
    <n v="3164"/>
    <n v="868"/>
    <m/>
  </r>
  <r>
    <x v="14"/>
    <x v="1"/>
    <x v="7"/>
    <x v="0"/>
    <n v="1628110"/>
    <n v="3181"/>
    <n v="828"/>
    <m/>
  </r>
  <r>
    <x v="29"/>
    <x v="0"/>
    <x v="3"/>
    <x v="0"/>
    <n v="1627737"/>
    <n v="2639"/>
    <n v="683"/>
    <m/>
  </r>
  <r>
    <x v="21"/>
    <x v="0"/>
    <x v="5"/>
    <x v="0"/>
    <n v="1625634"/>
    <n v="2511"/>
    <n v="676"/>
    <m/>
  </r>
  <r>
    <x v="34"/>
    <x v="1"/>
    <x v="2"/>
    <x v="0"/>
    <n v="1623776"/>
    <n v="3102"/>
    <n v="853"/>
    <m/>
  </r>
  <r>
    <x v="26"/>
    <x v="1"/>
    <x v="4"/>
    <x v="0"/>
    <n v="1622400"/>
    <n v="2931"/>
    <n v="778"/>
    <m/>
  </r>
  <r>
    <x v="12"/>
    <x v="0"/>
    <x v="6"/>
    <x v="0"/>
    <n v="1620659"/>
    <n v="3431"/>
    <n v="1005"/>
    <m/>
  </r>
  <r>
    <x v="19"/>
    <x v="1"/>
    <x v="7"/>
    <x v="0"/>
    <n v="1619502"/>
    <n v="3006"/>
    <n v="842"/>
    <m/>
  </r>
  <r>
    <x v="7"/>
    <x v="1"/>
    <x v="10"/>
    <x v="0"/>
    <n v="1617550"/>
    <n v="3145"/>
    <n v="830"/>
    <m/>
  </r>
  <r>
    <x v="50"/>
    <x v="1"/>
    <x v="0"/>
    <x v="0"/>
    <n v="1616065"/>
    <n v="2317"/>
    <n v="575"/>
    <m/>
  </r>
  <r>
    <x v="21"/>
    <x v="1"/>
    <x v="4"/>
    <x v="0"/>
    <n v="1615055"/>
    <n v="3295"/>
    <n v="848"/>
    <m/>
  </r>
  <r>
    <x v="17"/>
    <x v="1"/>
    <x v="5"/>
    <x v="0"/>
    <n v="1610531"/>
    <n v="3150"/>
    <n v="897"/>
    <m/>
  </r>
  <r>
    <x v="17"/>
    <x v="1"/>
    <x v="6"/>
    <x v="0"/>
    <n v="1609527"/>
    <n v="3379"/>
    <n v="894"/>
    <m/>
  </r>
  <r>
    <x v="6"/>
    <x v="0"/>
    <x v="10"/>
    <x v="0"/>
    <n v="1607222"/>
    <n v="3143"/>
    <n v="892"/>
    <m/>
  </r>
  <r>
    <x v="10"/>
    <x v="0"/>
    <x v="8"/>
    <x v="0"/>
    <n v="1604809"/>
    <n v="2864"/>
    <n v="698"/>
    <m/>
  </r>
  <r>
    <x v="31"/>
    <x v="1"/>
    <x v="2"/>
    <x v="0"/>
    <n v="1604678"/>
    <n v="2917"/>
    <n v="756"/>
    <m/>
  </r>
  <r>
    <x v="26"/>
    <x v="0"/>
    <x v="2"/>
    <x v="0"/>
    <n v="1604434"/>
    <n v="2554"/>
    <n v="749"/>
    <m/>
  </r>
  <r>
    <x v="19"/>
    <x v="1"/>
    <x v="4"/>
    <x v="0"/>
    <n v="1604225"/>
    <n v="3032"/>
    <n v="823"/>
    <m/>
  </r>
  <r>
    <x v="35"/>
    <x v="1"/>
    <x v="2"/>
    <x v="0"/>
    <n v="1600761"/>
    <n v="2297"/>
    <n v="672"/>
    <m/>
  </r>
  <r>
    <x v="4"/>
    <x v="1"/>
    <x v="9"/>
    <x v="0"/>
    <n v="1600201"/>
    <n v="3826"/>
    <n v="1008"/>
    <m/>
  </r>
  <r>
    <x v="34"/>
    <x v="0"/>
    <x v="1"/>
    <x v="0"/>
    <n v="1598155"/>
    <n v="2705"/>
    <n v="758"/>
    <m/>
  </r>
  <r>
    <x v="29"/>
    <x v="0"/>
    <x v="2"/>
    <x v="0"/>
    <n v="1595981"/>
    <n v="2907"/>
    <n v="857"/>
    <m/>
  </r>
  <r>
    <x v="30"/>
    <x v="0"/>
    <x v="3"/>
    <x v="0"/>
    <n v="1595761"/>
    <n v="2603"/>
    <n v="718"/>
    <m/>
  </r>
  <r>
    <x v="15"/>
    <x v="0"/>
    <x v="7"/>
    <x v="0"/>
    <n v="1590616"/>
    <n v="3409"/>
    <n v="908"/>
    <m/>
  </r>
  <r>
    <x v="16"/>
    <x v="0"/>
    <x v="5"/>
    <x v="0"/>
    <n v="1589927"/>
    <n v="2792"/>
    <n v="767"/>
    <m/>
  </r>
  <r>
    <x v="6"/>
    <x v="0"/>
    <x v="9"/>
    <x v="0"/>
    <n v="1589292"/>
    <n v="3218"/>
    <n v="932"/>
    <m/>
  </r>
  <r>
    <x v="32"/>
    <x v="1"/>
    <x v="2"/>
    <x v="0"/>
    <n v="1588830"/>
    <n v="2806"/>
    <n v="763"/>
    <m/>
  </r>
  <r>
    <x v="6"/>
    <x v="1"/>
    <x v="9"/>
    <x v="0"/>
    <n v="1585413"/>
    <n v="3400"/>
    <n v="963"/>
    <m/>
  </r>
  <r>
    <x v="18"/>
    <x v="1"/>
    <x v="6"/>
    <x v="0"/>
    <n v="1584930"/>
    <n v="2610"/>
    <n v="790"/>
    <m/>
  </r>
  <r>
    <x v="33"/>
    <x v="1"/>
    <x v="2"/>
    <x v="0"/>
    <n v="1581893"/>
    <n v="2391"/>
    <n v="682"/>
    <m/>
  </r>
  <r>
    <x v="8"/>
    <x v="0"/>
    <x v="5"/>
    <x v="0"/>
    <n v="1580004"/>
    <n v="3150"/>
    <n v="893"/>
    <m/>
  </r>
  <r>
    <x v="16"/>
    <x v="0"/>
    <x v="7"/>
    <x v="0"/>
    <n v="1579598"/>
    <n v="3159"/>
    <n v="816"/>
    <m/>
  </r>
  <r>
    <x v="46"/>
    <x v="1"/>
    <x v="1"/>
    <x v="0"/>
    <n v="1578868"/>
    <n v="2111"/>
    <n v="511"/>
    <m/>
  </r>
  <r>
    <x v="47"/>
    <x v="1"/>
    <x v="1"/>
    <x v="0"/>
    <n v="1574295"/>
    <n v="1951"/>
    <n v="590"/>
    <m/>
  </r>
  <r>
    <x v="48"/>
    <x v="1"/>
    <x v="0"/>
    <x v="0"/>
    <n v="1573921"/>
    <n v="3154"/>
    <n v="804"/>
    <m/>
  </r>
  <r>
    <x v="39"/>
    <x v="1"/>
    <x v="1"/>
    <x v="0"/>
    <n v="1573154"/>
    <n v="2162"/>
    <n v="548"/>
    <m/>
  </r>
  <r>
    <x v="4"/>
    <x v="0"/>
    <x v="9"/>
    <x v="0"/>
    <n v="1573005"/>
    <n v="3563"/>
    <n v="981"/>
    <m/>
  </r>
  <r>
    <x v="35"/>
    <x v="1"/>
    <x v="3"/>
    <x v="0"/>
    <n v="1571795"/>
    <n v="2076"/>
    <n v="651"/>
    <m/>
  </r>
  <r>
    <x v="11"/>
    <x v="0"/>
    <x v="9"/>
    <x v="0"/>
    <n v="1567312"/>
    <n v="2971"/>
    <n v="829"/>
    <m/>
  </r>
  <r>
    <x v="23"/>
    <x v="1"/>
    <x v="4"/>
    <x v="0"/>
    <n v="1558257"/>
    <n v="2981"/>
    <n v="824"/>
    <m/>
  </r>
  <r>
    <x v="13"/>
    <x v="1"/>
    <x v="8"/>
    <x v="0"/>
    <n v="1556088"/>
    <n v="3248"/>
    <n v="836"/>
    <m/>
  </r>
  <r>
    <x v="21"/>
    <x v="0"/>
    <x v="4"/>
    <x v="0"/>
    <n v="1551465"/>
    <n v="2691"/>
    <n v="790"/>
    <m/>
  </r>
  <r>
    <x v="7"/>
    <x v="0"/>
    <x v="10"/>
    <x v="0"/>
    <n v="1550086"/>
    <n v="2811"/>
    <n v="788"/>
    <m/>
  </r>
  <r>
    <x v="19"/>
    <x v="1"/>
    <x v="6"/>
    <x v="0"/>
    <n v="1549054"/>
    <n v="2532"/>
    <n v="720"/>
    <m/>
  </r>
  <r>
    <x v="20"/>
    <x v="0"/>
    <x v="2"/>
    <x v="0"/>
    <n v="1548959"/>
    <n v="2547"/>
    <n v="755"/>
    <m/>
  </r>
  <r>
    <x v="21"/>
    <x v="0"/>
    <x v="6"/>
    <x v="0"/>
    <n v="1548598"/>
    <n v="2697"/>
    <n v="775"/>
    <m/>
  </r>
  <r>
    <x v="11"/>
    <x v="1"/>
    <x v="9"/>
    <x v="0"/>
    <n v="1548525"/>
    <n v="3393"/>
    <n v="924"/>
    <m/>
  </r>
  <r>
    <x v="10"/>
    <x v="1"/>
    <x v="9"/>
    <x v="0"/>
    <n v="1548475"/>
    <n v="3071"/>
    <n v="739"/>
    <m/>
  </r>
  <r>
    <x v="15"/>
    <x v="1"/>
    <x v="6"/>
    <x v="0"/>
    <n v="1548401"/>
    <n v="3238"/>
    <n v="925"/>
    <m/>
  </r>
  <r>
    <x v="16"/>
    <x v="1"/>
    <x v="7"/>
    <x v="0"/>
    <n v="1546516"/>
    <n v="3240"/>
    <n v="817"/>
    <m/>
  </r>
  <r>
    <x v="23"/>
    <x v="1"/>
    <x v="5"/>
    <x v="0"/>
    <n v="1544921"/>
    <n v="2656"/>
    <n v="788"/>
    <m/>
  </r>
  <r>
    <x v="16"/>
    <x v="0"/>
    <x v="4"/>
    <x v="0"/>
    <n v="1544784"/>
    <n v="3072"/>
    <n v="848"/>
    <m/>
  </r>
  <r>
    <x v="2"/>
    <x v="0"/>
    <x v="10"/>
    <x v="0"/>
    <n v="1544072"/>
    <n v="3355"/>
    <n v="974"/>
    <m/>
  </r>
  <r>
    <x v="19"/>
    <x v="0"/>
    <x v="7"/>
    <x v="0"/>
    <n v="1543529"/>
    <n v="2713"/>
    <n v="754"/>
    <m/>
  </r>
  <r>
    <x v="27"/>
    <x v="1"/>
    <x v="3"/>
    <x v="0"/>
    <n v="1536968"/>
    <n v="2818"/>
    <n v="693"/>
    <m/>
  </r>
  <r>
    <x v="4"/>
    <x v="1"/>
    <x v="8"/>
    <x v="0"/>
    <n v="1536870"/>
    <n v="3698"/>
    <n v="1073"/>
    <m/>
  </r>
  <r>
    <x v="10"/>
    <x v="0"/>
    <x v="9"/>
    <x v="0"/>
    <n v="1533736"/>
    <n v="2841"/>
    <n v="736"/>
    <m/>
  </r>
  <r>
    <x v="42"/>
    <x v="0"/>
    <x v="3"/>
    <x v="0"/>
    <n v="1532694"/>
    <n v="1864"/>
    <n v="466"/>
    <m/>
  </r>
  <r>
    <x v="23"/>
    <x v="0"/>
    <x v="5"/>
    <x v="0"/>
    <n v="1532597"/>
    <n v="2563"/>
    <n v="734"/>
    <m/>
  </r>
  <r>
    <x v="21"/>
    <x v="1"/>
    <x v="7"/>
    <x v="0"/>
    <n v="1532403"/>
    <n v="2902"/>
    <n v="754"/>
    <m/>
  </r>
  <r>
    <x v="36"/>
    <x v="0"/>
    <x v="3"/>
    <x v="0"/>
    <n v="1525435"/>
    <n v="2177"/>
    <n v="604"/>
    <m/>
  </r>
  <r>
    <x v="44"/>
    <x v="1"/>
    <x v="1"/>
    <x v="0"/>
    <n v="1525225"/>
    <n v="1883"/>
    <n v="544"/>
    <m/>
  </r>
  <r>
    <x v="20"/>
    <x v="0"/>
    <x v="4"/>
    <x v="0"/>
    <n v="1523178"/>
    <n v="2693"/>
    <n v="726"/>
    <m/>
  </r>
  <r>
    <x v="44"/>
    <x v="1"/>
    <x v="2"/>
    <x v="0"/>
    <n v="1518973"/>
    <n v="2008"/>
    <n v="543"/>
    <m/>
  </r>
  <r>
    <x v="25"/>
    <x v="0"/>
    <x v="5"/>
    <x v="0"/>
    <n v="1516037"/>
    <n v="2171"/>
    <n v="683"/>
    <m/>
  </r>
  <r>
    <x v="9"/>
    <x v="0"/>
    <x v="5"/>
    <x v="0"/>
    <n v="1514522"/>
    <n v="3122"/>
    <n v="855"/>
    <m/>
  </r>
  <r>
    <x v="44"/>
    <x v="0"/>
    <x v="3"/>
    <x v="0"/>
    <n v="1510440"/>
    <n v="1806"/>
    <n v="493"/>
    <m/>
  </r>
  <r>
    <x v="18"/>
    <x v="0"/>
    <x v="6"/>
    <x v="0"/>
    <n v="1510356"/>
    <n v="2997"/>
    <n v="861"/>
    <m/>
  </r>
  <r>
    <x v="4"/>
    <x v="0"/>
    <x v="11"/>
    <x v="0"/>
    <n v="1505346"/>
    <n v="3249"/>
    <n v="942"/>
    <m/>
  </r>
  <r>
    <x v="19"/>
    <x v="0"/>
    <x v="6"/>
    <x v="0"/>
    <n v="1504866"/>
    <n v="2567"/>
    <n v="768"/>
    <m/>
  </r>
  <r>
    <x v="20"/>
    <x v="0"/>
    <x v="6"/>
    <x v="0"/>
    <n v="1504801"/>
    <n v="2628"/>
    <n v="751"/>
    <m/>
  </r>
  <r>
    <x v="28"/>
    <x v="0"/>
    <x v="2"/>
    <x v="0"/>
    <n v="1501813"/>
    <n v="2909"/>
    <n v="769"/>
    <m/>
  </r>
  <r>
    <x v="20"/>
    <x v="0"/>
    <x v="7"/>
    <x v="0"/>
    <n v="1501008"/>
    <n v="2563"/>
    <n v="700"/>
    <m/>
  </r>
  <r>
    <x v="14"/>
    <x v="0"/>
    <x v="6"/>
    <x v="0"/>
    <n v="1499401"/>
    <n v="2990"/>
    <n v="881"/>
    <m/>
  </r>
  <r>
    <x v="31"/>
    <x v="0"/>
    <x v="4"/>
    <x v="0"/>
    <n v="1498284"/>
    <n v="2757"/>
    <n v="766"/>
    <m/>
  </r>
  <r>
    <x v="14"/>
    <x v="1"/>
    <x v="4"/>
    <x v="0"/>
    <n v="1496009"/>
    <n v="3179"/>
    <n v="849"/>
    <m/>
  </r>
  <r>
    <x v="22"/>
    <x v="0"/>
    <x v="2"/>
    <x v="0"/>
    <n v="1495535"/>
    <n v="2665"/>
    <n v="722"/>
    <m/>
  </r>
  <r>
    <x v="20"/>
    <x v="1"/>
    <x v="6"/>
    <x v="0"/>
    <n v="1495363"/>
    <n v="2584"/>
    <n v="746"/>
    <m/>
  </r>
  <r>
    <x v="38"/>
    <x v="1"/>
    <x v="2"/>
    <x v="0"/>
    <n v="1494900"/>
    <n v="2524"/>
    <n v="644"/>
    <m/>
  </r>
  <r>
    <x v="18"/>
    <x v="0"/>
    <x v="8"/>
    <x v="0"/>
    <n v="1494301"/>
    <n v="2175"/>
    <n v="635"/>
    <m/>
  </r>
  <r>
    <x v="46"/>
    <x v="0"/>
    <x v="1"/>
    <x v="0"/>
    <n v="1490158"/>
    <n v="1869"/>
    <n v="458"/>
    <m/>
  </r>
  <r>
    <x v="36"/>
    <x v="1"/>
    <x v="2"/>
    <x v="0"/>
    <n v="1488565"/>
    <n v="2406"/>
    <n v="702"/>
    <m/>
  </r>
  <r>
    <x v="4"/>
    <x v="1"/>
    <x v="10"/>
    <x v="0"/>
    <n v="1486213"/>
    <n v="3584"/>
    <n v="1022"/>
    <m/>
  </r>
  <r>
    <x v="41"/>
    <x v="0"/>
    <x v="3"/>
    <x v="0"/>
    <n v="1484829"/>
    <n v="2850"/>
    <n v="671"/>
    <m/>
  </r>
  <r>
    <x v="6"/>
    <x v="1"/>
    <x v="10"/>
    <x v="0"/>
    <n v="1484219"/>
    <n v="3130"/>
    <n v="881"/>
    <m/>
  </r>
  <r>
    <x v="49"/>
    <x v="1"/>
    <x v="1"/>
    <x v="0"/>
    <n v="1481090"/>
    <n v="2857"/>
    <n v="707"/>
    <m/>
  </r>
  <r>
    <x v="13"/>
    <x v="0"/>
    <x v="8"/>
    <x v="0"/>
    <n v="1480843"/>
    <n v="2849"/>
    <n v="780"/>
    <m/>
  </r>
  <r>
    <x v="21"/>
    <x v="1"/>
    <x v="6"/>
    <x v="0"/>
    <n v="1480582"/>
    <n v="2760"/>
    <n v="725"/>
    <m/>
  </r>
  <r>
    <x v="35"/>
    <x v="0"/>
    <x v="3"/>
    <x v="0"/>
    <n v="1479288"/>
    <n v="1894"/>
    <n v="508"/>
    <m/>
  </r>
  <r>
    <x v="31"/>
    <x v="1"/>
    <x v="4"/>
    <x v="0"/>
    <n v="1475545"/>
    <n v="3046"/>
    <n v="795"/>
    <m/>
  </r>
  <r>
    <x v="11"/>
    <x v="1"/>
    <x v="8"/>
    <x v="0"/>
    <n v="1475237"/>
    <n v="3012"/>
    <n v="906"/>
    <m/>
  </r>
  <r>
    <x v="18"/>
    <x v="0"/>
    <x v="7"/>
    <x v="0"/>
    <n v="1474019"/>
    <n v="3129"/>
    <n v="843"/>
    <m/>
  </r>
  <r>
    <x v="1"/>
    <x v="0"/>
    <x v="11"/>
    <x v="0"/>
    <n v="1473348"/>
    <n v="2691"/>
    <n v="840"/>
    <m/>
  </r>
  <r>
    <x v="42"/>
    <x v="1"/>
    <x v="3"/>
    <x v="0"/>
    <n v="1472153"/>
    <n v="2097"/>
    <n v="514"/>
    <m/>
  </r>
  <r>
    <x v="5"/>
    <x v="0"/>
    <x v="11"/>
    <x v="0"/>
    <n v="1471113"/>
    <n v="2489"/>
    <n v="729"/>
    <m/>
  </r>
  <r>
    <x v="18"/>
    <x v="1"/>
    <x v="7"/>
    <x v="0"/>
    <n v="1470889"/>
    <n v="2766"/>
    <n v="803"/>
    <m/>
  </r>
  <r>
    <x v="31"/>
    <x v="0"/>
    <x v="1"/>
    <x v="0"/>
    <n v="1467698"/>
    <n v="2391"/>
    <n v="644"/>
    <m/>
  </r>
  <r>
    <x v="8"/>
    <x v="0"/>
    <x v="9"/>
    <x v="0"/>
    <n v="1467068"/>
    <n v="3050"/>
    <n v="841"/>
    <m/>
  </r>
  <r>
    <x v="34"/>
    <x v="0"/>
    <x v="3"/>
    <x v="0"/>
    <n v="1466915"/>
    <n v="2590"/>
    <n v="755"/>
    <m/>
  </r>
  <r>
    <x v="41"/>
    <x v="0"/>
    <x v="1"/>
    <x v="0"/>
    <n v="1466045"/>
    <n v="2684"/>
    <n v="757"/>
    <m/>
  </r>
  <r>
    <x v="27"/>
    <x v="0"/>
    <x v="2"/>
    <x v="0"/>
    <n v="1465778"/>
    <n v="2320"/>
    <n v="706"/>
    <m/>
  </r>
  <r>
    <x v="3"/>
    <x v="0"/>
    <x v="10"/>
    <x v="0"/>
    <n v="1464300"/>
    <n v="3060"/>
    <n v="897"/>
    <m/>
  </r>
  <r>
    <x v="43"/>
    <x v="0"/>
    <x v="1"/>
    <x v="0"/>
    <n v="1462472"/>
    <n v="2214"/>
    <n v="629"/>
    <m/>
  </r>
  <r>
    <x v="43"/>
    <x v="1"/>
    <x v="3"/>
    <x v="0"/>
    <n v="1456216"/>
    <n v="2427"/>
    <n v="690"/>
    <m/>
  </r>
  <r>
    <x v="25"/>
    <x v="0"/>
    <x v="4"/>
    <x v="0"/>
    <n v="1456027"/>
    <n v="2203"/>
    <n v="695"/>
    <m/>
  </r>
  <r>
    <x v="27"/>
    <x v="0"/>
    <x v="3"/>
    <x v="0"/>
    <n v="1455458"/>
    <n v="2285"/>
    <n v="626"/>
    <m/>
  </r>
  <r>
    <x v="5"/>
    <x v="1"/>
    <x v="10"/>
    <x v="0"/>
    <n v="1454711"/>
    <n v="2807"/>
    <n v="799"/>
    <m/>
  </r>
  <r>
    <x v="6"/>
    <x v="0"/>
    <x v="11"/>
    <x v="0"/>
    <n v="1453445"/>
    <n v="2740"/>
    <n v="812"/>
    <m/>
  </r>
  <r>
    <x v="46"/>
    <x v="1"/>
    <x v="2"/>
    <x v="0"/>
    <n v="1447351"/>
    <n v="1950"/>
    <n v="542"/>
    <m/>
  </r>
  <r>
    <x v="43"/>
    <x v="1"/>
    <x v="2"/>
    <x v="0"/>
    <n v="1445750"/>
    <n v="2373"/>
    <n v="656"/>
    <m/>
  </r>
  <r>
    <x v="39"/>
    <x v="1"/>
    <x v="4"/>
    <x v="0"/>
    <n v="1445020"/>
    <n v="2428"/>
    <n v="643"/>
    <m/>
  </r>
  <r>
    <x v="12"/>
    <x v="1"/>
    <x v="6"/>
    <x v="0"/>
    <n v="1444965"/>
    <n v="3173"/>
    <n v="882"/>
    <m/>
  </r>
  <r>
    <x v="3"/>
    <x v="1"/>
    <x v="10"/>
    <x v="0"/>
    <n v="1443974"/>
    <n v="3115"/>
    <n v="887"/>
    <m/>
  </r>
  <r>
    <x v="2"/>
    <x v="0"/>
    <x v="11"/>
    <x v="0"/>
    <n v="1443953"/>
    <n v="3163"/>
    <n v="920"/>
    <m/>
  </r>
  <r>
    <x v="3"/>
    <x v="0"/>
    <x v="11"/>
    <x v="0"/>
    <n v="1437973"/>
    <n v="2871"/>
    <n v="845"/>
    <m/>
  </r>
  <r>
    <x v="11"/>
    <x v="0"/>
    <x v="10"/>
    <x v="0"/>
    <n v="1437515"/>
    <n v="2873"/>
    <n v="799"/>
    <m/>
  </r>
  <r>
    <x v="3"/>
    <x v="1"/>
    <x v="11"/>
    <x v="0"/>
    <n v="1435408"/>
    <n v="2914"/>
    <n v="908"/>
    <m/>
  </r>
  <r>
    <x v="42"/>
    <x v="1"/>
    <x v="1"/>
    <x v="0"/>
    <n v="1435301"/>
    <n v="1925"/>
    <n v="464"/>
    <m/>
  </r>
  <r>
    <x v="31"/>
    <x v="0"/>
    <x v="3"/>
    <x v="0"/>
    <n v="1433965"/>
    <n v="2380"/>
    <n v="623"/>
    <m/>
  </r>
  <r>
    <x v="20"/>
    <x v="1"/>
    <x v="5"/>
    <x v="0"/>
    <n v="1433317"/>
    <n v="2323"/>
    <n v="673"/>
    <m/>
  </r>
  <r>
    <x v="34"/>
    <x v="0"/>
    <x v="2"/>
    <x v="0"/>
    <n v="1430748"/>
    <n v="2636"/>
    <n v="798"/>
    <m/>
  </r>
  <r>
    <x v="5"/>
    <x v="0"/>
    <x v="10"/>
    <x v="0"/>
    <n v="1428155"/>
    <n v="2650"/>
    <n v="770"/>
    <m/>
  </r>
  <r>
    <x v="36"/>
    <x v="0"/>
    <x v="1"/>
    <x v="0"/>
    <n v="1426585"/>
    <n v="2070"/>
    <n v="600"/>
    <m/>
  </r>
  <r>
    <x v="44"/>
    <x v="1"/>
    <x v="3"/>
    <x v="0"/>
    <n v="1426475"/>
    <n v="1794"/>
    <n v="544"/>
    <m/>
  </r>
  <r>
    <x v="18"/>
    <x v="1"/>
    <x v="8"/>
    <x v="0"/>
    <n v="1425012"/>
    <n v="2315"/>
    <n v="678"/>
    <m/>
  </r>
  <r>
    <x v="23"/>
    <x v="0"/>
    <x v="4"/>
    <x v="0"/>
    <n v="1424023"/>
    <n v="2608"/>
    <n v="807"/>
    <m/>
  </r>
  <r>
    <x v="23"/>
    <x v="1"/>
    <x v="7"/>
    <x v="0"/>
    <n v="1423609"/>
    <n v="2736"/>
    <n v="737"/>
    <m/>
  </r>
  <r>
    <x v="46"/>
    <x v="1"/>
    <x v="3"/>
    <x v="0"/>
    <n v="1417415"/>
    <n v="1976"/>
    <n v="532"/>
    <m/>
  </r>
  <r>
    <x v="16"/>
    <x v="0"/>
    <x v="6"/>
    <x v="0"/>
    <n v="1415062"/>
    <n v="2762"/>
    <n v="771"/>
    <m/>
  </r>
  <r>
    <x v="17"/>
    <x v="0"/>
    <x v="8"/>
    <x v="0"/>
    <n v="1413894"/>
    <n v="2605"/>
    <n v="710"/>
    <m/>
  </r>
  <r>
    <x v="11"/>
    <x v="1"/>
    <x v="11"/>
    <x v="0"/>
    <n v="1408569"/>
    <n v="2889"/>
    <n v="806"/>
    <m/>
  </r>
  <r>
    <x v="23"/>
    <x v="0"/>
    <x v="6"/>
    <x v="0"/>
    <n v="1405953"/>
    <n v="2527"/>
    <n v="712"/>
    <m/>
  </r>
  <r>
    <x v="42"/>
    <x v="1"/>
    <x v="2"/>
    <x v="0"/>
    <n v="1405421"/>
    <n v="2025"/>
    <n v="507"/>
    <m/>
  </r>
  <r>
    <x v="7"/>
    <x v="0"/>
    <x v="11"/>
    <x v="0"/>
    <n v="1400695"/>
    <n v="2308"/>
    <n v="663"/>
    <m/>
  </r>
  <r>
    <x v="41"/>
    <x v="1"/>
    <x v="3"/>
    <x v="0"/>
    <n v="1400137"/>
    <n v="2860"/>
    <n v="766"/>
    <m/>
  </r>
  <r>
    <x v="35"/>
    <x v="0"/>
    <x v="1"/>
    <x v="0"/>
    <n v="1399382"/>
    <n v="1866"/>
    <n v="538"/>
    <m/>
  </r>
  <r>
    <x v="1"/>
    <x v="1"/>
    <x v="11"/>
    <x v="0"/>
    <n v="1398195"/>
    <n v="2790"/>
    <n v="819"/>
    <m/>
  </r>
  <r>
    <x v="24"/>
    <x v="1"/>
    <x v="5"/>
    <x v="0"/>
    <n v="1397109"/>
    <n v="3035"/>
    <n v="831"/>
    <m/>
  </r>
  <r>
    <x v="10"/>
    <x v="0"/>
    <x v="10"/>
    <x v="0"/>
    <n v="1397078"/>
    <n v="2518"/>
    <n v="644"/>
    <m/>
  </r>
  <r>
    <x v="11"/>
    <x v="1"/>
    <x v="10"/>
    <x v="0"/>
    <n v="1396843"/>
    <n v="2933"/>
    <n v="820"/>
    <m/>
  </r>
  <r>
    <x v="13"/>
    <x v="0"/>
    <x v="9"/>
    <x v="0"/>
    <n v="1395472"/>
    <n v="2971"/>
    <n v="768"/>
    <m/>
  </r>
  <r>
    <x v="11"/>
    <x v="0"/>
    <x v="11"/>
    <x v="0"/>
    <n v="1393171"/>
    <n v="2701"/>
    <n v="768"/>
    <m/>
  </r>
  <r>
    <x v="6"/>
    <x v="1"/>
    <x v="11"/>
    <x v="0"/>
    <n v="1392059"/>
    <n v="3024"/>
    <n v="893"/>
    <m/>
  </r>
  <r>
    <x v="39"/>
    <x v="1"/>
    <x v="3"/>
    <x v="0"/>
    <n v="1392010"/>
    <n v="2075"/>
    <n v="567"/>
    <m/>
  </r>
  <r>
    <x v="45"/>
    <x v="1"/>
    <x v="1"/>
    <x v="0"/>
    <n v="1390586"/>
    <n v="2609"/>
    <n v="600"/>
    <m/>
  </r>
  <r>
    <x v="22"/>
    <x v="1"/>
    <x v="4"/>
    <x v="0"/>
    <n v="1386578"/>
    <n v="3438"/>
    <n v="821"/>
    <m/>
  </r>
  <r>
    <x v="47"/>
    <x v="0"/>
    <x v="1"/>
    <x v="0"/>
    <n v="1383836"/>
    <n v="1761"/>
    <n v="542"/>
    <m/>
  </r>
  <r>
    <x v="38"/>
    <x v="1"/>
    <x v="1"/>
    <x v="0"/>
    <n v="1383719"/>
    <n v="2218"/>
    <n v="541"/>
    <m/>
  </r>
  <r>
    <x v="18"/>
    <x v="1"/>
    <x v="9"/>
    <x v="0"/>
    <n v="1383263"/>
    <n v="2387"/>
    <n v="656"/>
    <m/>
  </r>
  <r>
    <x v="39"/>
    <x v="0"/>
    <x v="3"/>
    <x v="0"/>
    <n v="1382482"/>
    <n v="1798"/>
    <n v="452"/>
    <m/>
  </r>
  <r>
    <x v="22"/>
    <x v="0"/>
    <x v="4"/>
    <x v="0"/>
    <n v="1380062"/>
    <n v="2839"/>
    <n v="773"/>
    <m/>
  </r>
  <r>
    <x v="41"/>
    <x v="0"/>
    <x v="2"/>
    <x v="0"/>
    <n v="1379156"/>
    <n v="2736"/>
    <n v="787"/>
    <m/>
  </r>
  <r>
    <x v="13"/>
    <x v="0"/>
    <x v="11"/>
    <x v="0"/>
    <n v="1378807"/>
    <n v="2738"/>
    <n v="710"/>
    <m/>
  </r>
  <r>
    <x v="35"/>
    <x v="1"/>
    <x v="4"/>
    <x v="0"/>
    <n v="1378476"/>
    <n v="2307"/>
    <n v="617"/>
    <m/>
  </r>
  <r>
    <x v="9"/>
    <x v="0"/>
    <x v="9"/>
    <x v="0"/>
    <n v="1377125"/>
    <n v="2985"/>
    <n v="804"/>
    <m/>
  </r>
  <r>
    <x v="29"/>
    <x v="0"/>
    <x v="4"/>
    <x v="0"/>
    <n v="1376709"/>
    <n v="2692"/>
    <n v="774"/>
    <m/>
  </r>
  <r>
    <x v="40"/>
    <x v="0"/>
    <x v="1"/>
    <x v="0"/>
    <n v="1376282"/>
    <n v="2249"/>
    <n v="570"/>
    <m/>
  </r>
  <r>
    <x v="7"/>
    <x v="1"/>
    <x v="11"/>
    <x v="0"/>
    <n v="1375302"/>
    <n v="2664"/>
    <n v="754"/>
    <m/>
  </r>
  <r>
    <x v="13"/>
    <x v="0"/>
    <x v="10"/>
    <x v="0"/>
    <n v="1369602"/>
    <n v="2805"/>
    <n v="729"/>
    <m/>
  </r>
  <r>
    <x v="10"/>
    <x v="1"/>
    <x v="11"/>
    <x v="0"/>
    <n v="1368988"/>
    <n v="2897"/>
    <n v="720"/>
    <m/>
  </r>
  <r>
    <x v="30"/>
    <x v="0"/>
    <x v="4"/>
    <x v="0"/>
    <n v="1366241"/>
    <n v="2694"/>
    <n v="861"/>
    <m/>
  </r>
  <r>
    <x v="40"/>
    <x v="1"/>
    <x v="2"/>
    <x v="0"/>
    <n v="1366007"/>
    <n v="2511"/>
    <n v="638"/>
    <m/>
  </r>
  <r>
    <x v="23"/>
    <x v="1"/>
    <x v="6"/>
    <x v="0"/>
    <n v="1360544"/>
    <n v="2382"/>
    <n v="722"/>
    <m/>
  </r>
  <r>
    <x v="28"/>
    <x v="0"/>
    <x v="4"/>
    <x v="0"/>
    <n v="1356611"/>
    <n v="2737"/>
    <n v="761"/>
    <m/>
  </r>
  <r>
    <x v="39"/>
    <x v="1"/>
    <x v="2"/>
    <x v="0"/>
    <n v="1354831"/>
    <n v="2179"/>
    <n v="568"/>
    <m/>
  </r>
  <r>
    <x v="34"/>
    <x v="1"/>
    <x v="4"/>
    <x v="0"/>
    <n v="1354050"/>
    <n v="3333"/>
    <n v="865"/>
    <m/>
  </r>
  <r>
    <x v="9"/>
    <x v="0"/>
    <x v="8"/>
    <x v="0"/>
    <n v="1347241"/>
    <n v="2775"/>
    <n v="775"/>
    <m/>
  </r>
  <r>
    <x v="24"/>
    <x v="0"/>
    <x v="7"/>
    <x v="0"/>
    <n v="1347230"/>
    <n v="3325"/>
    <n v="860"/>
    <m/>
  </r>
  <r>
    <x v="25"/>
    <x v="1"/>
    <x v="4"/>
    <x v="0"/>
    <n v="1347016"/>
    <n v="2464"/>
    <n v="707"/>
    <m/>
  </r>
  <r>
    <x v="9"/>
    <x v="1"/>
    <x v="9"/>
    <x v="0"/>
    <n v="1346863"/>
    <n v="2708"/>
    <n v="785"/>
    <m/>
  </r>
  <r>
    <x v="46"/>
    <x v="0"/>
    <x v="3"/>
    <x v="0"/>
    <n v="1343373"/>
    <n v="1793"/>
    <n v="477"/>
    <m/>
  </r>
  <r>
    <x v="9"/>
    <x v="1"/>
    <x v="8"/>
    <x v="0"/>
    <n v="1339195"/>
    <n v="2922"/>
    <n v="803"/>
    <m/>
  </r>
  <r>
    <x v="31"/>
    <x v="0"/>
    <x v="2"/>
    <x v="0"/>
    <n v="1339066"/>
    <n v="2457"/>
    <n v="715"/>
    <m/>
  </r>
  <r>
    <x v="4"/>
    <x v="1"/>
    <x v="11"/>
    <x v="0"/>
    <n v="1338505"/>
    <n v="3378"/>
    <n v="945"/>
    <m/>
  </r>
  <r>
    <x v="10"/>
    <x v="1"/>
    <x v="10"/>
    <x v="0"/>
    <n v="1338289"/>
    <n v="2731"/>
    <n v="678"/>
    <m/>
  </r>
  <r>
    <x v="5"/>
    <x v="1"/>
    <x v="11"/>
    <x v="0"/>
    <n v="1335533"/>
    <n v="2522"/>
    <n v="736"/>
    <m/>
  </r>
  <r>
    <x v="49"/>
    <x v="1"/>
    <x v="2"/>
    <x v="0"/>
    <n v="1335104"/>
    <n v="2963"/>
    <n v="800"/>
    <m/>
  </r>
  <r>
    <x v="31"/>
    <x v="0"/>
    <x v="5"/>
    <x v="0"/>
    <n v="1333295"/>
    <n v="2333"/>
    <n v="625"/>
    <m/>
  </r>
  <r>
    <x v="18"/>
    <x v="0"/>
    <x v="9"/>
    <x v="0"/>
    <n v="1333134"/>
    <n v="2208"/>
    <n v="688"/>
    <m/>
  </r>
  <r>
    <x v="29"/>
    <x v="0"/>
    <x v="7"/>
    <x v="0"/>
    <n v="1332042"/>
    <n v="2767"/>
    <n v="765"/>
    <m/>
  </r>
  <r>
    <x v="26"/>
    <x v="0"/>
    <x v="7"/>
    <x v="0"/>
    <n v="1331350"/>
    <n v="2450"/>
    <n v="697"/>
    <m/>
  </r>
  <r>
    <x v="26"/>
    <x v="1"/>
    <x v="7"/>
    <x v="0"/>
    <n v="1331220"/>
    <n v="2429"/>
    <n v="635"/>
    <m/>
  </r>
  <r>
    <x v="33"/>
    <x v="0"/>
    <x v="2"/>
    <x v="0"/>
    <n v="1330791"/>
    <n v="2204"/>
    <n v="669"/>
    <m/>
  </r>
  <r>
    <x v="30"/>
    <x v="0"/>
    <x v="2"/>
    <x v="0"/>
    <n v="1329244"/>
    <n v="2539"/>
    <n v="764"/>
    <m/>
  </r>
  <r>
    <x v="23"/>
    <x v="0"/>
    <x v="7"/>
    <x v="0"/>
    <n v="1329136"/>
    <n v="2471"/>
    <n v="730"/>
    <m/>
  </r>
  <r>
    <x v="25"/>
    <x v="1"/>
    <x v="7"/>
    <x v="0"/>
    <n v="1324764"/>
    <n v="2259"/>
    <n v="639"/>
    <m/>
  </r>
  <r>
    <x v="47"/>
    <x v="1"/>
    <x v="3"/>
    <x v="0"/>
    <n v="1324092"/>
    <n v="1660"/>
    <n v="534"/>
    <m/>
  </r>
  <r>
    <x v="8"/>
    <x v="0"/>
    <x v="11"/>
    <x v="0"/>
    <n v="1323897"/>
    <n v="2665"/>
    <n v="741"/>
    <m/>
  </r>
  <r>
    <x v="39"/>
    <x v="0"/>
    <x v="2"/>
    <x v="0"/>
    <n v="1322767"/>
    <n v="2046"/>
    <n v="561"/>
    <m/>
  </r>
  <r>
    <x v="24"/>
    <x v="1"/>
    <x v="7"/>
    <x v="0"/>
    <n v="1320779"/>
    <n v="3513"/>
    <n v="833"/>
    <m/>
  </r>
  <r>
    <x v="29"/>
    <x v="1"/>
    <x v="4"/>
    <x v="0"/>
    <n v="1320003"/>
    <n v="2906"/>
    <n v="759"/>
    <m/>
  </r>
  <r>
    <x v="8"/>
    <x v="0"/>
    <x v="10"/>
    <x v="0"/>
    <n v="1318000"/>
    <n v="2794"/>
    <n v="756"/>
    <m/>
  </r>
  <r>
    <x v="42"/>
    <x v="0"/>
    <x v="2"/>
    <x v="0"/>
    <n v="1313293"/>
    <n v="1863"/>
    <n v="506"/>
    <m/>
  </r>
  <r>
    <x v="1"/>
    <x v="1"/>
    <x v="8"/>
    <x v="0"/>
    <n v="1309699"/>
    <n v="2511"/>
    <n v="782"/>
    <m/>
  </r>
  <r>
    <x v="32"/>
    <x v="1"/>
    <x v="4"/>
    <x v="0"/>
    <n v="1309524"/>
    <n v="2815"/>
    <n v="733"/>
    <m/>
  </r>
  <r>
    <x v="15"/>
    <x v="1"/>
    <x v="9"/>
    <x v="0"/>
    <n v="1308805"/>
    <n v="3088"/>
    <n v="831"/>
    <m/>
  </r>
  <r>
    <x v="15"/>
    <x v="0"/>
    <x v="8"/>
    <x v="0"/>
    <n v="1308244"/>
    <n v="2626"/>
    <n v="798"/>
    <m/>
  </r>
  <r>
    <x v="8"/>
    <x v="1"/>
    <x v="9"/>
    <x v="0"/>
    <n v="1307195"/>
    <n v="3002"/>
    <n v="780"/>
    <m/>
  </r>
  <r>
    <x v="22"/>
    <x v="0"/>
    <x v="7"/>
    <x v="0"/>
    <n v="1306382"/>
    <n v="2917"/>
    <n v="735"/>
    <m/>
  </r>
  <r>
    <x v="1"/>
    <x v="1"/>
    <x v="9"/>
    <x v="0"/>
    <n v="1305105"/>
    <n v="2737"/>
    <n v="806"/>
    <m/>
  </r>
  <r>
    <x v="13"/>
    <x v="1"/>
    <x v="9"/>
    <x v="0"/>
    <n v="1302395"/>
    <n v="3071"/>
    <n v="821"/>
    <m/>
  </r>
  <r>
    <x v="32"/>
    <x v="0"/>
    <x v="5"/>
    <x v="0"/>
    <n v="1301321"/>
    <n v="2316"/>
    <n v="633"/>
    <m/>
  </r>
  <r>
    <x v="28"/>
    <x v="1"/>
    <x v="4"/>
    <x v="0"/>
    <n v="1298077"/>
    <n v="3234"/>
    <n v="817"/>
    <m/>
  </r>
  <r>
    <x v="42"/>
    <x v="0"/>
    <x v="1"/>
    <x v="0"/>
    <n v="1296564"/>
    <n v="1709"/>
    <n v="472"/>
    <m/>
  </r>
  <r>
    <x v="22"/>
    <x v="1"/>
    <x v="7"/>
    <x v="0"/>
    <n v="1295994"/>
    <n v="2972"/>
    <n v="727"/>
    <m/>
  </r>
  <r>
    <x v="8"/>
    <x v="1"/>
    <x v="8"/>
    <x v="0"/>
    <n v="1295550"/>
    <n v="2861"/>
    <n v="769"/>
    <m/>
  </r>
  <r>
    <x v="48"/>
    <x v="1"/>
    <x v="2"/>
    <x v="0"/>
    <n v="1290682"/>
    <n v="2562"/>
    <n v="711"/>
    <m/>
  </r>
  <r>
    <x v="27"/>
    <x v="1"/>
    <x v="4"/>
    <x v="0"/>
    <n v="1290411"/>
    <n v="2648"/>
    <n v="704"/>
    <m/>
  </r>
  <r>
    <x v="44"/>
    <x v="0"/>
    <x v="1"/>
    <x v="0"/>
    <n v="1289426"/>
    <n v="1572"/>
    <n v="460"/>
    <m/>
  </r>
  <r>
    <x v="15"/>
    <x v="1"/>
    <x v="11"/>
    <x v="0"/>
    <n v="1286151"/>
    <n v="2774"/>
    <n v="804"/>
    <m/>
  </r>
  <r>
    <x v="16"/>
    <x v="1"/>
    <x v="6"/>
    <x v="0"/>
    <n v="1283244"/>
    <n v="2597"/>
    <n v="734"/>
    <m/>
  </r>
  <r>
    <x v="26"/>
    <x v="1"/>
    <x v="6"/>
    <x v="0"/>
    <n v="1283231"/>
    <n v="2164"/>
    <n v="626"/>
    <m/>
  </r>
  <r>
    <x v="24"/>
    <x v="0"/>
    <x v="6"/>
    <x v="0"/>
    <n v="1281603"/>
    <n v="3121"/>
    <n v="840"/>
    <m/>
  </r>
  <r>
    <x v="32"/>
    <x v="0"/>
    <x v="2"/>
    <x v="0"/>
    <n v="1280014"/>
    <n v="2366"/>
    <n v="669"/>
    <m/>
  </r>
  <r>
    <x v="15"/>
    <x v="0"/>
    <x v="9"/>
    <x v="0"/>
    <n v="1279148"/>
    <n v="2684"/>
    <n v="802"/>
    <m/>
  </r>
  <r>
    <x v="18"/>
    <x v="0"/>
    <x v="10"/>
    <x v="0"/>
    <n v="1277613"/>
    <n v="2467"/>
    <n v="699"/>
    <m/>
  </r>
  <r>
    <x v="14"/>
    <x v="0"/>
    <x v="8"/>
    <x v="0"/>
    <n v="1275455"/>
    <n v="2315"/>
    <n v="698"/>
    <m/>
  </r>
  <r>
    <x v="27"/>
    <x v="0"/>
    <x v="4"/>
    <x v="0"/>
    <n v="1275322"/>
    <n v="2116"/>
    <n v="628"/>
    <m/>
  </r>
  <r>
    <x v="23"/>
    <x v="0"/>
    <x v="8"/>
    <x v="0"/>
    <n v="1273469"/>
    <n v="2083"/>
    <n v="607"/>
    <m/>
  </r>
  <r>
    <x v="34"/>
    <x v="0"/>
    <x v="4"/>
    <x v="0"/>
    <n v="1272685"/>
    <n v="2644"/>
    <n v="783"/>
    <m/>
  </r>
  <r>
    <x v="8"/>
    <x v="1"/>
    <x v="11"/>
    <x v="0"/>
    <n v="1270878"/>
    <n v="2882"/>
    <n v="764"/>
    <m/>
  </r>
  <r>
    <x v="1"/>
    <x v="1"/>
    <x v="10"/>
    <x v="0"/>
    <n v="1269305"/>
    <n v="2508"/>
    <n v="739"/>
    <m/>
  </r>
  <r>
    <x v="49"/>
    <x v="1"/>
    <x v="3"/>
    <x v="0"/>
    <n v="1268687"/>
    <n v="2849"/>
    <n v="736"/>
    <m/>
  </r>
  <r>
    <x v="30"/>
    <x v="1"/>
    <x v="4"/>
    <x v="0"/>
    <n v="1265873"/>
    <n v="3008"/>
    <n v="815"/>
    <m/>
  </r>
  <r>
    <x v="35"/>
    <x v="0"/>
    <x v="4"/>
    <x v="0"/>
    <n v="1265325"/>
    <n v="1889"/>
    <n v="570"/>
    <m/>
  </r>
  <r>
    <x v="14"/>
    <x v="0"/>
    <x v="9"/>
    <x v="0"/>
    <n v="1259411"/>
    <n v="2462"/>
    <n v="747"/>
    <m/>
  </r>
  <r>
    <x v="21"/>
    <x v="0"/>
    <x v="9"/>
    <x v="0"/>
    <n v="1258025"/>
    <n v="2219"/>
    <n v="603"/>
    <m/>
  </r>
  <r>
    <x v="31"/>
    <x v="0"/>
    <x v="6"/>
    <x v="0"/>
    <n v="1257823"/>
    <n v="2373"/>
    <n v="633"/>
    <m/>
  </r>
  <r>
    <x v="19"/>
    <x v="0"/>
    <x v="9"/>
    <x v="0"/>
    <n v="1257545"/>
    <n v="2141"/>
    <n v="610"/>
    <m/>
  </r>
  <r>
    <x v="47"/>
    <x v="0"/>
    <x v="3"/>
    <x v="0"/>
    <n v="1256917"/>
    <n v="1639"/>
    <n v="490"/>
    <m/>
  </r>
  <r>
    <x v="33"/>
    <x v="0"/>
    <x v="5"/>
    <x v="0"/>
    <n v="1256910"/>
    <n v="1919"/>
    <n v="612"/>
    <m/>
  </r>
  <r>
    <x v="43"/>
    <x v="0"/>
    <x v="3"/>
    <x v="0"/>
    <n v="1252967"/>
    <n v="2055"/>
    <n v="595"/>
    <m/>
  </r>
  <r>
    <x v="46"/>
    <x v="0"/>
    <x v="4"/>
    <x v="0"/>
    <n v="1251515"/>
    <n v="1914"/>
    <n v="535"/>
    <m/>
  </r>
  <r>
    <x v="27"/>
    <x v="1"/>
    <x v="5"/>
    <x v="0"/>
    <n v="1251072"/>
    <n v="2110"/>
    <n v="649"/>
    <m/>
  </r>
  <r>
    <x v="26"/>
    <x v="0"/>
    <x v="9"/>
    <x v="0"/>
    <n v="1250265"/>
    <n v="2181"/>
    <n v="635"/>
    <m/>
  </r>
  <r>
    <x v="17"/>
    <x v="0"/>
    <x v="9"/>
    <x v="0"/>
    <n v="1250107"/>
    <n v="2586"/>
    <n v="752"/>
    <m/>
  </r>
  <r>
    <x v="14"/>
    <x v="1"/>
    <x v="6"/>
    <x v="0"/>
    <n v="1248176"/>
    <n v="2456"/>
    <n v="691"/>
    <m/>
  </r>
  <r>
    <x v="25"/>
    <x v="0"/>
    <x v="7"/>
    <x v="0"/>
    <n v="1246611"/>
    <n v="2224"/>
    <n v="650"/>
    <m/>
  </r>
  <r>
    <x v="47"/>
    <x v="1"/>
    <x v="2"/>
    <x v="0"/>
    <n v="1243665"/>
    <n v="2028"/>
    <n v="599"/>
    <m/>
  </r>
  <r>
    <x v="26"/>
    <x v="0"/>
    <x v="8"/>
    <x v="0"/>
    <n v="1243436"/>
    <n v="1879"/>
    <n v="533"/>
    <m/>
  </r>
  <r>
    <x v="29"/>
    <x v="1"/>
    <x v="7"/>
    <x v="0"/>
    <n v="1242818"/>
    <n v="2674"/>
    <n v="714"/>
    <m/>
  </r>
  <r>
    <x v="26"/>
    <x v="1"/>
    <x v="8"/>
    <x v="0"/>
    <n v="1241919"/>
    <n v="2043"/>
    <n v="584"/>
    <m/>
  </r>
  <r>
    <x v="45"/>
    <x v="1"/>
    <x v="2"/>
    <x v="0"/>
    <n v="1239965"/>
    <n v="2554"/>
    <n v="650"/>
    <m/>
  </r>
  <r>
    <x v="12"/>
    <x v="1"/>
    <x v="10"/>
    <x v="0"/>
    <n v="1239567"/>
    <n v="2825"/>
    <n v="765"/>
    <m/>
  </r>
  <r>
    <x v="21"/>
    <x v="0"/>
    <x v="7"/>
    <x v="0"/>
    <n v="1237130"/>
    <n v="2331"/>
    <n v="656"/>
    <m/>
  </r>
  <r>
    <x v="25"/>
    <x v="1"/>
    <x v="5"/>
    <x v="0"/>
    <n v="1236997"/>
    <n v="1897"/>
    <n v="612"/>
    <m/>
  </r>
  <r>
    <x v="39"/>
    <x v="1"/>
    <x v="5"/>
    <x v="0"/>
    <n v="1236029"/>
    <n v="1929"/>
    <n v="570"/>
    <m/>
  </r>
  <r>
    <x v="15"/>
    <x v="0"/>
    <x v="10"/>
    <x v="0"/>
    <n v="1233088"/>
    <n v="2448"/>
    <n v="704"/>
    <m/>
  </r>
  <r>
    <x v="36"/>
    <x v="1"/>
    <x v="4"/>
    <x v="0"/>
    <n v="1232425"/>
    <n v="2295"/>
    <n v="605"/>
    <m/>
  </r>
  <r>
    <x v="45"/>
    <x v="0"/>
    <x v="1"/>
    <x v="0"/>
    <n v="1230463"/>
    <n v="2298"/>
    <n v="579"/>
    <m/>
  </r>
  <r>
    <x v="41"/>
    <x v="0"/>
    <x v="4"/>
    <x v="0"/>
    <n v="1229823"/>
    <n v="2540"/>
    <n v="763"/>
    <m/>
  </r>
  <r>
    <x v="17"/>
    <x v="0"/>
    <x v="10"/>
    <x v="0"/>
    <n v="1227030"/>
    <n v="2592"/>
    <n v="735"/>
    <m/>
  </r>
  <r>
    <x v="15"/>
    <x v="0"/>
    <x v="11"/>
    <x v="0"/>
    <n v="1224588"/>
    <n v="2534"/>
    <n v="767"/>
    <m/>
  </r>
  <r>
    <x v="29"/>
    <x v="1"/>
    <x v="5"/>
    <x v="0"/>
    <n v="1224353"/>
    <n v="2393"/>
    <n v="738"/>
    <m/>
  </r>
  <r>
    <x v="24"/>
    <x v="1"/>
    <x v="6"/>
    <x v="0"/>
    <n v="1217205"/>
    <n v="3089"/>
    <n v="802"/>
    <m/>
  </r>
  <r>
    <x v="33"/>
    <x v="0"/>
    <x v="4"/>
    <x v="0"/>
    <n v="1216649"/>
    <n v="2079"/>
    <n v="614"/>
    <m/>
  </r>
  <r>
    <x v="15"/>
    <x v="1"/>
    <x v="8"/>
    <x v="0"/>
    <n v="1216517"/>
    <n v="2783"/>
    <n v="792"/>
    <m/>
  </r>
  <r>
    <x v="12"/>
    <x v="0"/>
    <x v="10"/>
    <x v="0"/>
    <n v="1215172"/>
    <n v="2546"/>
    <n v="714"/>
    <m/>
  </r>
  <r>
    <x v="36"/>
    <x v="0"/>
    <x v="2"/>
    <x v="0"/>
    <n v="1214568"/>
    <n v="2008"/>
    <n v="670"/>
    <m/>
  </r>
  <r>
    <x v="37"/>
    <x v="1"/>
    <x v="3"/>
    <x v="0"/>
    <n v="1212636"/>
    <n v="2290"/>
    <n v="580"/>
    <m/>
  </r>
  <r>
    <x v="35"/>
    <x v="1"/>
    <x v="5"/>
    <x v="0"/>
    <n v="1209890"/>
    <n v="1809"/>
    <n v="529"/>
    <m/>
  </r>
  <r>
    <x v="44"/>
    <x v="1"/>
    <x v="4"/>
    <x v="0"/>
    <n v="1209322"/>
    <n v="1957"/>
    <n v="511"/>
    <m/>
  </r>
  <r>
    <x v="12"/>
    <x v="1"/>
    <x v="8"/>
    <x v="0"/>
    <n v="1208615"/>
    <n v="2516"/>
    <n v="718"/>
    <m/>
  </r>
  <r>
    <x v="32"/>
    <x v="1"/>
    <x v="5"/>
    <x v="0"/>
    <n v="1208599"/>
    <n v="2295"/>
    <n v="658"/>
    <m/>
  </r>
  <r>
    <x v="36"/>
    <x v="0"/>
    <x v="4"/>
    <x v="0"/>
    <n v="1208456"/>
    <n v="2106"/>
    <n v="644"/>
    <m/>
  </r>
  <r>
    <x v="47"/>
    <x v="0"/>
    <x v="5"/>
    <x v="0"/>
    <n v="1207884"/>
    <n v="1797"/>
    <n v="478"/>
    <m/>
  </r>
  <r>
    <x v="19"/>
    <x v="1"/>
    <x v="8"/>
    <x v="0"/>
    <n v="1207563"/>
    <n v="2221"/>
    <n v="642"/>
    <m/>
  </r>
  <r>
    <x v="28"/>
    <x v="0"/>
    <x v="7"/>
    <x v="0"/>
    <n v="1205370"/>
    <n v="2607"/>
    <n v="675"/>
    <m/>
  </r>
  <r>
    <x v="32"/>
    <x v="0"/>
    <x v="6"/>
    <x v="0"/>
    <n v="1204100"/>
    <n v="2347"/>
    <n v="690"/>
    <m/>
  </r>
  <r>
    <x v="28"/>
    <x v="1"/>
    <x v="7"/>
    <x v="0"/>
    <n v="1204065"/>
    <n v="2896"/>
    <n v="745"/>
    <m/>
  </r>
  <r>
    <x v="27"/>
    <x v="1"/>
    <x v="7"/>
    <x v="0"/>
    <n v="1201575"/>
    <n v="2340"/>
    <n v="625"/>
    <m/>
  </r>
  <r>
    <x v="10"/>
    <x v="0"/>
    <x v="11"/>
    <x v="0"/>
    <n v="1201074"/>
    <n v="2582"/>
    <n v="590"/>
    <m/>
  </r>
  <r>
    <x v="12"/>
    <x v="1"/>
    <x v="11"/>
    <x v="0"/>
    <n v="1198353"/>
    <n v="2593"/>
    <n v="758"/>
    <m/>
  </r>
  <r>
    <x v="31"/>
    <x v="1"/>
    <x v="5"/>
    <x v="0"/>
    <n v="1196515"/>
    <n v="2302"/>
    <n v="672"/>
    <m/>
  </r>
  <r>
    <x v="40"/>
    <x v="0"/>
    <x v="2"/>
    <x v="0"/>
    <n v="1196174"/>
    <n v="2305"/>
    <n v="577"/>
    <m/>
  </r>
  <r>
    <x v="39"/>
    <x v="0"/>
    <x v="1"/>
    <x v="0"/>
    <n v="1196065"/>
    <n v="1679"/>
    <n v="463"/>
    <m/>
  </r>
  <r>
    <x v="22"/>
    <x v="1"/>
    <x v="5"/>
    <x v="0"/>
    <n v="1193357"/>
    <n v="2486"/>
    <n v="702"/>
    <m/>
  </r>
  <r>
    <x v="48"/>
    <x v="0"/>
    <x v="2"/>
    <x v="0"/>
    <n v="1192603"/>
    <n v="2387"/>
    <n v="684"/>
    <m/>
  </r>
  <r>
    <x v="48"/>
    <x v="0"/>
    <x v="1"/>
    <x v="0"/>
    <n v="1187683"/>
    <n v="2365"/>
    <n v="638"/>
    <m/>
  </r>
  <r>
    <x v="13"/>
    <x v="1"/>
    <x v="10"/>
    <x v="0"/>
    <n v="1186756"/>
    <n v="2927"/>
    <n v="764"/>
    <m/>
  </r>
  <r>
    <x v="17"/>
    <x v="1"/>
    <x v="8"/>
    <x v="0"/>
    <n v="1186553"/>
    <n v="2579"/>
    <n v="721"/>
    <m/>
  </r>
  <r>
    <x v="50"/>
    <x v="1"/>
    <x v="2"/>
    <x v="0"/>
    <n v="1185161"/>
    <n v="1834"/>
    <n v="518"/>
    <m/>
  </r>
  <r>
    <x v="28"/>
    <x v="1"/>
    <x v="5"/>
    <x v="0"/>
    <n v="1184018"/>
    <n v="2440"/>
    <n v="665"/>
    <m/>
  </r>
  <r>
    <x v="29"/>
    <x v="0"/>
    <x v="6"/>
    <x v="0"/>
    <n v="1183817"/>
    <n v="2491"/>
    <n v="700"/>
    <m/>
  </r>
  <r>
    <x v="12"/>
    <x v="1"/>
    <x v="9"/>
    <x v="0"/>
    <n v="1183086"/>
    <n v="2569"/>
    <n v="729"/>
    <m/>
  </r>
  <r>
    <x v="46"/>
    <x v="0"/>
    <x v="2"/>
    <x v="0"/>
    <n v="1181955"/>
    <n v="1750"/>
    <n v="470"/>
    <m/>
  </r>
  <r>
    <x v="22"/>
    <x v="0"/>
    <x v="5"/>
    <x v="0"/>
    <n v="1181474"/>
    <n v="2222"/>
    <n v="623"/>
    <m/>
  </r>
  <r>
    <x v="8"/>
    <x v="1"/>
    <x v="10"/>
    <x v="0"/>
    <n v="1180056"/>
    <n v="2738"/>
    <n v="751"/>
    <m/>
  </r>
  <r>
    <x v="42"/>
    <x v="0"/>
    <x v="4"/>
    <x v="0"/>
    <n v="1179935"/>
    <n v="1785"/>
    <n v="475"/>
    <m/>
  </r>
  <r>
    <x v="13"/>
    <x v="1"/>
    <x v="11"/>
    <x v="0"/>
    <n v="1179738"/>
    <n v="2785"/>
    <n v="740"/>
    <m/>
  </r>
  <r>
    <x v="12"/>
    <x v="0"/>
    <x v="9"/>
    <x v="0"/>
    <n v="1176608"/>
    <n v="2503"/>
    <n v="727"/>
    <m/>
  </r>
  <r>
    <x v="25"/>
    <x v="0"/>
    <x v="6"/>
    <x v="0"/>
    <n v="1173623"/>
    <n v="1935"/>
    <n v="607"/>
    <m/>
  </r>
  <r>
    <x v="20"/>
    <x v="1"/>
    <x v="8"/>
    <x v="0"/>
    <n v="1172462"/>
    <n v="1966"/>
    <n v="590"/>
    <m/>
  </r>
  <r>
    <x v="24"/>
    <x v="0"/>
    <x v="5"/>
    <x v="0"/>
    <n v="1172361"/>
    <n v="2474"/>
    <n v="698"/>
    <m/>
  </r>
  <r>
    <x v="35"/>
    <x v="0"/>
    <x v="2"/>
    <x v="0"/>
    <n v="1171864"/>
    <n v="1749"/>
    <n v="538"/>
    <m/>
  </r>
  <r>
    <x v="26"/>
    <x v="0"/>
    <x v="6"/>
    <x v="0"/>
    <n v="1170503"/>
    <n v="2141"/>
    <n v="651"/>
    <m/>
  </r>
  <r>
    <x v="45"/>
    <x v="1"/>
    <x v="3"/>
    <x v="0"/>
    <n v="1169522"/>
    <n v="2477"/>
    <n v="620"/>
    <m/>
  </r>
  <r>
    <x v="27"/>
    <x v="0"/>
    <x v="5"/>
    <x v="0"/>
    <n v="1169319"/>
    <n v="1937"/>
    <n v="631"/>
    <m/>
  </r>
  <r>
    <x v="33"/>
    <x v="1"/>
    <x v="4"/>
    <x v="0"/>
    <n v="1166992"/>
    <n v="2167"/>
    <n v="612"/>
    <m/>
  </r>
  <r>
    <x v="49"/>
    <x v="1"/>
    <x v="4"/>
    <x v="0"/>
    <n v="1166383"/>
    <n v="3200"/>
    <n v="730"/>
    <m/>
  </r>
  <r>
    <x v="34"/>
    <x v="1"/>
    <x v="5"/>
    <x v="0"/>
    <n v="1166219"/>
    <n v="2390"/>
    <n v="747"/>
    <m/>
  </r>
  <r>
    <x v="23"/>
    <x v="1"/>
    <x v="8"/>
    <x v="0"/>
    <n v="1165987"/>
    <n v="2253"/>
    <n v="659"/>
    <m/>
  </r>
  <r>
    <x v="38"/>
    <x v="0"/>
    <x v="3"/>
    <x v="0"/>
    <n v="1165856"/>
    <n v="1764"/>
    <n v="492"/>
    <m/>
  </r>
  <r>
    <x v="19"/>
    <x v="1"/>
    <x v="9"/>
    <x v="0"/>
    <n v="1164191"/>
    <n v="2162"/>
    <n v="611"/>
    <m/>
  </r>
  <r>
    <x v="49"/>
    <x v="0"/>
    <x v="1"/>
    <x v="0"/>
    <n v="1163965"/>
    <n v="2458"/>
    <n v="663"/>
    <m/>
  </r>
  <r>
    <x v="12"/>
    <x v="0"/>
    <x v="11"/>
    <x v="0"/>
    <n v="1161376"/>
    <n v="2356"/>
    <n v="694"/>
    <m/>
  </r>
  <r>
    <x v="19"/>
    <x v="0"/>
    <x v="8"/>
    <x v="0"/>
    <n v="1160909"/>
    <n v="1912"/>
    <n v="605"/>
    <m/>
  </r>
  <r>
    <x v="33"/>
    <x v="0"/>
    <x v="6"/>
    <x v="0"/>
    <n v="1160263"/>
    <n v="1947"/>
    <n v="599"/>
    <m/>
  </r>
  <r>
    <x v="14"/>
    <x v="0"/>
    <x v="10"/>
    <x v="0"/>
    <n v="1159892"/>
    <n v="2275"/>
    <n v="664"/>
    <m/>
  </r>
  <r>
    <x v="35"/>
    <x v="1"/>
    <x v="7"/>
    <x v="0"/>
    <n v="1157494"/>
    <n v="1903"/>
    <n v="556"/>
    <m/>
  </r>
  <r>
    <x v="41"/>
    <x v="1"/>
    <x v="4"/>
    <x v="0"/>
    <n v="1155548"/>
    <n v="2955"/>
    <n v="756"/>
    <m/>
  </r>
  <r>
    <x v="14"/>
    <x v="0"/>
    <x v="11"/>
    <x v="0"/>
    <n v="1155309"/>
    <n v="2149"/>
    <n v="627"/>
    <m/>
  </r>
  <r>
    <x v="39"/>
    <x v="0"/>
    <x v="4"/>
    <x v="0"/>
    <n v="1154037"/>
    <n v="1894"/>
    <n v="573"/>
    <m/>
  </r>
  <r>
    <x v="35"/>
    <x v="0"/>
    <x v="5"/>
    <x v="0"/>
    <n v="1153628"/>
    <n v="1640"/>
    <n v="514"/>
    <m/>
  </r>
  <r>
    <x v="19"/>
    <x v="1"/>
    <x v="10"/>
    <x v="0"/>
    <n v="1153271"/>
    <n v="2009"/>
    <n v="589"/>
    <m/>
  </r>
  <r>
    <x v="33"/>
    <x v="1"/>
    <x v="5"/>
    <x v="0"/>
    <n v="1151088"/>
    <n v="1736"/>
    <n v="550"/>
    <m/>
  </r>
  <r>
    <x v="17"/>
    <x v="1"/>
    <x v="10"/>
    <x v="0"/>
    <n v="1150922"/>
    <n v="2505"/>
    <n v="693"/>
    <m/>
  </r>
  <r>
    <x v="31"/>
    <x v="1"/>
    <x v="6"/>
    <x v="0"/>
    <n v="1150805"/>
    <n v="2220"/>
    <n v="634"/>
    <m/>
  </r>
  <r>
    <x v="43"/>
    <x v="1"/>
    <x v="4"/>
    <x v="0"/>
    <n v="1150549"/>
    <n v="2322"/>
    <n v="586"/>
    <m/>
  </r>
  <r>
    <x v="48"/>
    <x v="1"/>
    <x v="1"/>
    <x v="0"/>
    <n v="1149879"/>
    <n v="2254"/>
    <n v="594"/>
    <m/>
  </r>
  <r>
    <x v="38"/>
    <x v="1"/>
    <x v="3"/>
    <x v="0"/>
    <n v="1149769"/>
    <n v="2090"/>
    <n v="530"/>
    <m/>
  </r>
  <r>
    <x v="29"/>
    <x v="1"/>
    <x v="6"/>
    <x v="0"/>
    <n v="1149250"/>
    <n v="2341"/>
    <n v="639"/>
    <m/>
  </r>
  <r>
    <x v="15"/>
    <x v="1"/>
    <x v="10"/>
    <x v="0"/>
    <n v="1148572"/>
    <n v="2568"/>
    <n v="746"/>
    <m/>
  </r>
  <r>
    <x v="48"/>
    <x v="1"/>
    <x v="3"/>
    <x v="0"/>
    <n v="1144284"/>
    <n v="2418"/>
    <n v="659"/>
    <m/>
  </r>
  <r>
    <x v="28"/>
    <x v="0"/>
    <x v="6"/>
    <x v="0"/>
    <n v="1142974"/>
    <n v="2407"/>
    <n v="688"/>
    <m/>
  </r>
  <r>
    <x v="17"/>
    <x v="1"/>
    <x v="11"/>
    <x v="0"/>
    <n v="1142407"/>
    <n v="2599"/>
    <n v="729"/>
    <m/>
  </r>
  <r>
    <x v="39"/>
    <x v="0"/>
    <x v="5"/>
    <x v="0"/>
    <n v="1141094"/>
    <n v="1625"/>
    <n v="491"/>
    <m/>
  </r>
  <r>
    <x v="44"/>
    <x v="0"/>
    <x v="2"/>
    <x v="0"/>
    <n v="1140545"/>
    <n v="1521"/>
    <n v="465"/>
    <m/>
  </r>
  <r>
    <x v="51"/>
    <x v="0"/>
    <x v="0"/>
    <x v="0"/>
    <n v="1139994"/>
    <n v="2019"/>
    <n v="460"/>
    <m/>
  </r>
  <r>
    <x v="14"/>
    <x v="1"/>
    <x v="9"/>
    <x v="0"/>
    <n v="1138725"/>
    <n v="2281"/>
    <n v="664"/>
    <m/>
  </r>
  <r>
    <x v="31"/>
    <x v="1"/>
    <x v="9"/>
    <x v="0"/>
    <n v="1137595"/>
    <n v="2204"/>
    <n v="564"/>
    <m/>
  </r>
  <r>
    <x v="51"/>
    <x v="1"/>
    <x v="0"/>
    <x v="0"/>
    <n v="1137576"/>
    <n v="1985"/>
    <n v="462"/>
    <m/>
  </r>
  <r>
    <x v="28"/>
    <x v="0"/>
    <x v="5"/>
    <x v="0"/>
    <n v="1133588"/>
    <n v="2229"/>
    <n v="625"/>
    <m/>
  </r>
  <r>
    <x v="43"/>
    <x v="0"/>
    <x v="4"/>
    <x v="0"/>
    <n v="1133175"/>
    <n v="2114"/>
    <n v="643"/>
    <m/>
  </r>
  <r>
    <x v="24"/>
    <x v="0"/>
    <x v="9"/>
    <x v="0"/>
    <n v="1132965"/>
    <n v="2725"/>
    <n v="745"/>
    <m/>
  </r>
  <r>
    <x v="46"/>
    <x v="1"/>
    <x v="4"/>
    <x v="0"/>
    <n v="1132777"/>
    <n v="1920"/>
    <n v="478"/>
    <m/>
  </r>
  <r>
    <x v="27"/>
    <x v="0"/>
    <x v="6"/>
    <x v="0"/>
    <n v="1126037"/>
    <n v="1911"/>
    <n v="580"/>
    <m/>
  </r>
  <r>
    <x v="42"/>
    <x v="1"/>
    <x v="5"/>
    <x v="0"/>
    <n v="1124614"/>
    <n v="1592"/>
    <n v="463"/>
    <m/>
  </r>
  <r>
    <x v="12"/>
    <x v="0"/>
    <x v="8"/>
    <x v="0"/>
    <n v="1124601"/>
    <n v="2193"/>
    <n v="679"/>
    <m/>
  </r>
  <r>
    <x v="26"/>
    <x v="1"/>
    <x v="9"/>
    <x v="0"/>
    <n v="1121488"/>
    <n v="1995"/>
    <n v="573"/>
    <m/>
  </r>
  <r>
    <x v="17"/>
    <x v="1"/>
    <x v="9"/>
    <x v="0"/>
    <n v="1121191"/>
    <n v="2660"/>
    <n v="758"/>
    <m/>
  </r>
  <r>
    <x v="16"/>
    <x v="0"/>
    <x v="9"/>
    <x v="0"/>
    <n v="1121103"/>
    <n v="2273"/>
    <n v="624"/>
    <m/>
  </r>
  <r>
    <x v="38"/>
    <x v="0"/>
    <x v="2"/>
    <x v="0"/>
    <n v="1118100"/>
    <n v="1831"/>
    <n v="525"/>
    <m/>
  </r>
  <r>
    <x v="47"/>
    <x v="0"/>
    <x v="2"/>
    <x v="0"/>
    <n v="1117864"/>
    <n v="1729"/>
    <n v="525"/>
    <m/>
  </r>
  <r>
    <x v="22"/>
    <x v="0"/>
    <x v="6"/>
    <x v="0"/>
    <n v="1117459"/>
    <n v="2426"/>
    <n v="695"/>
    <m/>
  </r>
  <r>
    <x v="44"/>
    <x v="1"/>
    <x v="5"/>
    <x v="0"/>
    <n v="1117431"/>
    <n v="1445"/>
    <n v="467"/>
    <m/>
  </r>
  <r>
    <x v="18"/>
    <x v="1"/>
    <x v="10"/>
    <x v="0"/>
    <n v="1117120"/>
    <n v="2082"/>
    <n v="635"/>
    <m/>
  </r>
  <r>
    <x v="47"/>
    <x v="0"/>
    <x v="4"/>
    <x v="0"/>
    <n v="1116805"/>
    <n v="1780"/>
    <n v="527"/>
    <m/>
  </r>
  <r>
    <x v="36"/>
    <x v="1"/>
    <x v="5"/>
    <x v="0"/>
    <n v="1116664"/>
    <n v="1872"/>
    <n v="631"/>
    <m/>
  </r>
  <r>
    <x v="20"/>
    <x v="0"/>
    <x v="9"/>
    <x v="0"/>
    <n v="1115643"/>
    <n v="2007"/>
    <n v="560"/>
    <m/>
  </r>
  <r>
    <x v="18"/>
    <x v="1"/>
    <x v="11"/>
    <x v="0"/>
    <n v="1112495"/>
    <n v="2011"/>
    <n v="566"/>
    <m/>
  </r>
  <r>
    <x v="22"/>
    <x v="1"/>
    <x v="6"/>
    <x v="0"/>
    <n v="1111454"/>
    <n v="2520"/>
    <n v="703"/>
    <m/>
  </r>
  <r>
    <x v="30"/>
    <x v="1"/>
    <x v="5"/>
    <x v="0"/>
    <n v="1111271"/>
    <n v="2247"/>
    <n v="701"/>
    <m/>
  </r>
  <r>
    <x v="22"/>
    <x v="1"/>
    <x v="8"/>
    <x v="0"/>
    <n v="1111183"/>
    <n v="2343"/>
    <n v="699"/>
    <m/>
  </r>
  <r>
    <x v="50"/>
    <x v="1"/>
    <x v="1"/>
    <x v="0"/>
    <n v="1111007"/>
    <n v="1635"/>
    <n v="442"/>
    <m/>
  </r>
  <r>
    <x v="9"/>
    <x v="1"/>
    <x v="10"/>
    <x v="0"/>
    <n v="1110699"/>
    <n v="2695"/>
    <n v="730"/>
    <m/>
  </r>
  <r>
    <x v="29"/>
    <x v="0"/>
    <x v="5"/>
    <x v="0"/>
    <n v="1109980"/>
    <n v="2115"/>
    <n v="657"/>
    <m/>
  </r>
  <r>
    <x v="20"/>
    <x v="1"/>
    <x v="9"/>
    <x v="0"/>
    <n v="1107378"/>
    <n v="1987"/>
    <n v="569"/>
    <m/>
  </r>
  <r>
    <x v="34"/>
    <x v="0"/>
    <x v="7"/>
    <x v="0"/>
    <n v="1105704"/>
    <n v="2495"/>
    <n v="707"/>
    <m/>
  </r>
  <r>
    <x v="30"/>
    <x v="0"/>
    <x v="6"/>
    <x v="0"/>
    <n v="1104209"/>
    <n v="2303"/>
    <n v="706"/>
    <m/>
  </r>
  <r>
    <x v="26"/>
    <x v="0"/>
    <x v="10"/>
    <x v="0"/>
    <n v="1101408"/>
    <n v="1832"/>
    <n v="563"/>
    <m/>
  </r>
  <r>
    <x v="40"/>
    <x v="1"/>
    <x v="4"/>
    <x v="0"/>
    <n v="1101147"/>
    <n v="2513"/>
    <n v="575"/>
    <m/>
  </r>
  <r>
    <x v="31"/>
    <x v="1"/>
    <x v="7"/>
    <x v="0"/>
    <n v="1100945"/>
    <n v="2447"/>
    <n v="625"/>
    <m/>
  </r>
  <r>
    <x v="16"/>
    <x v="0"/>
    <x v="8"/>
    <x v="0"/>
    <n v="1098993"/>
    <n v="1979"/>
    <n v="585"/>
    <m/>
  </r>
  <r>
    <x v="38"/>
    <x v="0"/>
    <x v="4"/>
    <x v="0"/>
    <n v="1098184"/>
    <n v="1837"/>
    <n v="511"/>
    <m/>
  </r>
  <r>
    <x v="30"/>
    <x v="1"/>
    <x v="7"/>
    <x v="0"/>
    <n v="1097310"/>
    <n v="2641"/>
    <n v="710"/>
    <m/>
  </r>
  <r>
    <x v="45"/>
    <x v="0"/>
    <x v="3"/>
    <x v="0"/>
    <n v="1094243"/>
    <n v="2311"/>
    <n v="577"/>
    <m/>
  </r>
  <r>
    <x v="23"/>
    <x v="1"/>
    <x v="9"/>
    <x v="0"/>
    <n v="1091584"/>
    <n v="2151"/>
    <n v="636"/>
    <m/>
  </r>
  <r>
    <x v="50"/>
    <x v="1"/>
    <x v="3"/>
    <x v="0"/>
    <n v="1090222"/>
    <n v="1780"/>
    <n v="456"/>
    <m/>
  </r>
  <r>
    <x v="28"/>
    <x v="1"/>
    <x v="6"/>
    <x v="0"/>
    <n v="1089110"/>
    <n v="2424"/>
    <n v="650"/>
    <m/>
  </r>
  <r>
    <x v="43"/>
    <x v="0"/>
    <x v="2"/>
    <x v="0"/>
    <n v="1086977"/>
    <n v="2021"/>
    <n v="626"/>
    <m/>
  </r>
  <r>
    <x v="31"/>
    <x v="0"/>
    <x v="7"/>
    <x v="0"/>
    <n v="1085593"/>
    <n v="2281"/>
    <n v="640"/>
    <m/>
  </r>
  <r>
    <x v="49"/>
    <x v="0"/>
    <x v="4"/>
    <x v="0"/>
    <n v="1085550"/>
    <n v="2295"/>
    <n v="650"/>
    <m/>
  </r>
  <r>
    <x v="18"/>
    <x v="0"/>
    <x v="11"/>
    <x v="0"/>
    <n v="1084769"/>
    <n v="2116"/>
    <n v="579"/>
    <m/>
  </r>
  <r>
    <x v="16"/>
    <x v="1"/>
    <x v="9"/>
    <x v="0"/>
    <n v="1084473"/>
    <n v="2231"/>
    <n v="601"/>
    <m/>
  </r>
  <r>
    <x v="38"/>
    <x v="0"/>
    <x v="1"/>
    <x v="0"/>
    <n v="1082843"/>
    <n v="1760"/>
    <n v="482"/>
    <m/>
  </r>
  <r>
    <x v="36"/>
    <x v="0"/>
    <x v="6"/>
    <x v="0"/>
    <n v="1082165"/>
    <n v="1886"/>
    <n v="626"/>
    <m/>
  </r>
  <r>
    <x v="34"/>
    <x v="0"/>
    <x v="5"/>
    <x v="0"/>
    <n v="1081145"/>
    <n v="2094"/>
    <n v="672"/>
    <m/>
  </r>
  <r>
    <x v="45"/>
    <x v="0"/>
    <x v="2"/>
    <x v="0"/>
    <n v="1080359"/>
    <n v="2291"/>
    <n v="628"/>
    <m/>
  </r>
  <r>
    <x v="16"/>
    <x v="0"/>
    <x v="10"/>
    <x v="0"/>
    <n v="1079345"/>
    <n v="2175"/>
    <n v="617"/>
    <m/>
  </r>
  <r>
    <x v="44"/>
    <x v="0"/>
    <x v="4"/>
    <x v="0"/>
    <n v="1079138"/>
    <n v="1536"/>
    <n v="456"/>
    <m/>
  </r>
  <r>
    <x v="30"/>
    <x v="1"/>
    <x v="6"/>
    <x v="0"/>
    <n v="1078319"/>
    <n v="2376"/>
    <n v="672"/>
    <m/>
  </r>
  <r>
    <x v="41"/>
    <x v="1"/>
    <x v="5"/>
    <x v="0"/>
    <n v="1078104"/>
    <n v="2323"/>
    <n v="674"/>
    <m/>
  </r>
  <r>
    <x v="38"/>
    <x v="1"/>
    <x v="4"/>
    <x v="0"/>
    <n v="1077178"/>
    <n v="2211"/>
    <n v="570"/>
    <m/>
  </r>
  <r>
    <x v="23"/>
    <x v="0"/>
    <x v="10"/>
    <x v="0"/>
    <n v="1073017"/>
    <n v="1872"/>
    <n v="548"/>
    <m/>
  </r>
  <r>
    <x v="34"/>
    <x v="1"/>
    <x v="6"/>
    <x v="0"/>
    <n v="1072150"/>
    <n v="2512"/>
    <n v="736"/>
    <m/>
  </r>
  <r>
    <x v="44"/>
    <x v="0"/>
    <x v="5"/>
    <x v="0"/>
    <n v="1071760"/>
    <n v="1345"/>
    <n v="431"/>
    <m/>
  </r>
  <r>
    <x v="19"/>
    <x v="0"/>
    <x v="10"/>
    <x v="0"/>
    <n v="1071506"/>
    <n v="1862"/>
    <n v="545"/>
    <m/>
  </r>
  <r>
    <x v="27"/>
    <x v="1"/>
    <x v="6"/>
    <x v="0"/>
    <n v="1070827"/>
    <n v="1839"/>
    <n v="581"/>
    <m/>
  </r>
  <r>
    <x v="49"/>
    <x v="0"/>
    <x v="3"/>
    <x v="0"/>
    <n v="1070512"/>
    <n v="2320"/>
    <n v="606"/>
    <m/>
  </r>
  <r>
    <x v="21"/>
    <x v="0"/>
    <x v="8"/>
    <x v="0"/>
    <n v="1069226"/>
    <n v="1899"/>
    <n v="571"/>
    <m/>
  </r>
  <r>
    <x v="41"/>
    <x v="1"/>
    <x v="6"/>
    <x v="0"/>
    <n v="1068957"/>
    <n v="2439"/>
    <n v="666"/>
    <m/>
  </r>
  <r>
    <x v="14"/>
    <x v="1"/>
    <x v="8"/>
    <x v="0"/>
    <n v="1065360"/>
    <n v="2135"/>
    <n v="612"/>
    <m/>
  </r>
  <r>
    <x v="34"/>
    <x v="1"/>
    <x v="7"/>
    <x v="0"/>
    <n v="1065265"/>
    <n v="2747"/>
    <n v="752"/>
    <m/>
  </r>
  <r>
    <x v="51"/>
    <x v="1"/>
    <x v="1"/>
    <x v="0"/>
    <n v="1063986"/>
    <n v="1868"/>
    <n v="423"/>
    <m/>
  </r>
  <r>
    <x v="32"/>
    <x v="1"/>
    <x v="7"/>
    <x v="0"/>
    <n v="1060197"/>
    <n v="2392"/>
    <n v="651"/>
    <m/>
  </r>
  <r>
    <x v="16"/>
    <x v="0"/>
    <x v="11"/>
    <x v="0"/>
    <n v="1059155"/>
    <n v="2045"/>
    <n v="550"/>
    <m/>
  </r>
  <r>
    <x v="35"/>
    <x v="0"/>
    <x v="6"/>
    <x v="0"/>
    <n v="1057308"/>
    <n v="1706"/>
    <n v="521"/>
    <m/>
  </r>
  <r>
    <x v="49"/>
    <x v="0"/>
    <x v="2"/>
    <x v="0"/>
    <n v="1056195"/>
    <n v="2304"/>
    <n v="625"/>
    <m/>
  </r>
  <r>
    <x v="25"/>
    <x v="1"/>
    <x v="6"/>
    <x v="0"/>
    <n v="1055272"/>
    <n v="1707"/>
    <n v="538"/>
    <m/>
  </r>
  <r>
    <x v="21"/>
    <x v="1"/>
    <x v="10"/>
    <x v="0"/>
    <n v="1054718"/>
    <n v="2087"/>
    <n v="601"/>
    <m/>
  </r>
  <r>
    <x v="31"/>
    <x v="0"/>
    <x v="9"/>
    <x v="0"/>
    <n v="1054172"/>
    <n v="2039"/>
    <n v="582"/>
    <m/>
  </r>
  <r>
    <x v="50"/>
    <x v="0"/>
    <x v="3"/>
    <x v="0"/>
    <n v="1053629"/>
    <n v="1442"/>
    <n v="392"/>
    <m/>
  </r>
  <r>
    <x v="43"/>
    <x v="0"/>
    <x v="5"/>
    <x v="0"/>
    <n v="1053592"/>
    <n v="1814"/>
    <n v="545"/>
    <m/>
  </r>
  <r>
    <x v="41"/>
    <x v="1"/>
    <x v="7"/>
    <x v="0"/>
    <n v="1053332"/>
    <n v="2825"/>
    <n v="694"/>
    <m/>
  </r>
  <r>
    <x v="41"/>
    <x v="0"/>
    <x v="6"/>
    <x v="0"/>
    <n v="1049045"/>
    <n v="2405"/>
    <n v="682"/>
    <m/>
  </r>
  <r>
    <x v="9"/>
    <x v="1"/>
    <x v="11"/>
    <x v="0"/>
    <n v="1048670"/>
    <n v="2604"/>
    <n v="705"/>
    <m/>
  </r>
  <r>
    <x v="9"/>
    <x v="0"/>
    <x v="10"/>
    <x v="0"/>
    <n v="1048452"/>
    <n v="2461"/>
    <n v="676"/>
    <m/>
  </r>
  <r>
    <x v="32"/>
    <x v="0"/>
    <x v="7"/>
    <x v="0"/>
    <n v="1047489"/>
    <n v="2329"/>
    <n v="653"/>
    <m/>
  </r>
  <r>
    <x v="16"/>
    <x v="1"/>
    <x v="10"/>
    <x v="0"/>
    <n v="1047121"/>
    <n v="2137"/>
    <n v="599"/>
    <m/>
  </r>
  <r>
    <x v="32"/>
    <x v="0"/>
    <x v="4"/>
    <x v="0"/>
    <n v="1046530"/>
    <n v="2132"/>
    <n v="628"/>
    <m/>
  </r>
  <r>
    <x v="48"/>
    <x v="1"/>
    <x v="4"/>
    <x v="0"/>
    <n v="1043315"/>
    <n v="2654"/>
    <n v="657"/>
    <m/>
  </r>
  <r>
    <x v="23"/>
    <x v="0"/>
    <x v="9"/>
    <x v="0"/>
    <n v="1042613"/>
    <n v="1949"/>
    <n v="594"/>
    <m/>
  </r>
  <r>
    <x v="35"/>
    <x v="1"/>
    <x v="6"/>
    <x v="0"/>
    <n v="1041030"/>
    <n v="1692"/>
    <n v="528"/>
    <m/>
  </r>
  <r>
    <x v="30"/>
    <x v="0"/>
    <x v="7"/>
    <x v="0"/>
    <n v="1039919"/>
    <n v="2325"/>
    <n v="681"/>
    <m/>
  </r>
  <r>
    <x v="24"/>
    <x v="0"/>
    <x v="8"/>
    <x v="0"/>
    <n v="1039857"/>
    <n v="2261"/>
    <n v="647"/>
    <m/>
  </r>
  <r>
    <x v="46"/>
    <x v="1"/>
    <x v="5"/>
    <x v="0"/>
    <n v="1039498"/>
    <n v="1572"/>
    <n v="458"/>
    <m/>
  </r>
  <r>
    <x v="50"/>
    <x v="0"/>
    <x v="1"/>
    <x v="0"/>
    <n v="1037236"/>
    <n v="1408"/>
    <n v="404"/>
    <m/>
  </r>
  <r>
    <x v="33"/>
    <x v="0"/>
    <x v="7"/>
    <x v="0"/>
    <n v="1036071"/>
    <n v="1999"/>
    <n v="572"/>
    <m/>
  </r>
  <r>
    <x v="33"/>
    <x v="1"/>
    <x v="6"/>
    <x v="0"/>
    <n v="1035955"/>
    <n v="1760"/>
    <n v="525"/>
    <m/>
  </r>
  <r>
    <x v="45"/>
    <x v="1"/>
    <x v="4"/>
    <x v="0"/>
    <n v="1035781"/>
    <n v="2741"/>
    <n v="685"/>
    <m/>
  </r>
  <r>
    <x v="30"/>
    <x v="0"/>
    <x v="5"/>
    <x v="0"/>
    <n v="1034863"/>
    <n v="1871"/>
    <n v="604"/>
    <m/>
  </r>
  <r>
    <x v="47"/>
    <x v="1"/>
    <x v="5"/>
    <x v="0"/>
    <n v="1034054"/>
    <n v="1605"/>
    <n v="446"/>
    <m/>
  </r>
  <r>
    <x v="51"/>
    <x v="0"/>
    <x v="1"/>
    <x v="0"/>
    <n v="1031857"/>
    <n v="1491"/>
    <n v="345"/>
    <m/>
  </r>
  <r>
    <x v="40"/>
    <x v="0"/>
    <x v="4"/>
    <x v="0"/>
    <n v="1031058"/>
    <n v="2095"/>
    <n v="533"/>
    <m/>
  </r>
  <r>
    <x v="46"/>
    <x v="0"/>
    <x v="5"/>
    <x v="0"/>
    <n v="1030316"/>
    <n v="1336"/>
    <n v="414"/>
    <m/>
  </r>
  <r>
    <x v="34"/>
    <x v="0"/>
    <x v="6"/>
    <x v="0"/>
    <n v="1029501"/>
    <n v="2298"/>
    <n v="715"/>
    <m/>
  </r>
  <r>
    <x v="49"/>
    <x v="1"/>
    <x v="7"/>
    <x v="0"/>
    <n v="1027404"/>
    <n v="2813"/>
    <n v="720"/>
    <m/>
  </r>
  <r>
    <x v="20"/>
    <x v="1"/>
    <x v="10"/>
    <x v="0"/>
    <n v="1025882"/>
    <n v="1966"/>
    <n v="568"/>
    <m/>
  </r>
  <r>
    <x v="27"/>
    <x v="0"/>
    <x v="7"/>
    <x v="0"/>
    <n v="1024083"/>
    <n v="2005"/>
    <n v="589"/>
    <m/>
  </r>
  <r>
    <x v="36"/>
    <x v="1"/>
    <x v="6"/>
    <x v="0"/>
    <n v="1020658"/>
    <n v="1724"/>
    <n v="502"/>
    <m/>
  </r>
  <r>
    <x v="26"/>
    <x v="1"/>
    <x v="10"/>
    <x v="0"/>
    <n v="1019920"/>
    <n v="1905"/>
    <n v="541"/>
    <m/>
  </r>
  <r>
    <x v="48"/>
    <x v="0"/>
    <x v="5"/>
    <x v="0"/>
    <n v="1018404"/>
    <n v="2596"/>
    <n v="697"/>
    <m/>
  </r>
  <r>
    <x v="33"/>
    <x v="1"/>
    <x v="7"/>
    <x v="0"/>
    <n v="1016628"/>
    <n v="1898"/>
    <n v="545"/>
    <m/>
  </r>
  <r>
    <x v="29"/>
    <x v="0"/>
    <x v="10"/>
    <x v="0"/>
    <n v="1014771"/>
    <n v="2062"/>
    <n v="593"/>
    <m/>
  </r>
  <r>
    <x v="16"/>
    <x v="1"/>
    <x v="8"/>
    <x v="0"/>
    <n v="1011666"/>
    <n v="2125"/>
    <n v="618"/>
    <m/>
  </r>
  <r>
    <x v="21"/>
    <x v="0"/>
    <x v="10"/>
    <x v="0"/>
    <n v="1010265"/>
    <n v="1827"/>
    <n v="518"/>
    <m/>
  </r>
  <r>
    <x v="20"/>
    <x v="0"/>
    <x v="10"/>
    <x v="0"/>
    <n v="1005552"/>
    <n v="1817"/>
    <n v="552"/>
    <m/>
  </r>
  <r>
    <x v="17"/>
    <x v="0"/>
    <x v="11"/>
    <x v="0"/>
    <n v="1004975"/>
    <n v="2103"/>
    <n v="627"/>
    <m/>
  </r>
  <r>
    <x v="24"/>
    <x v="1"/>
    <x v="8"/>
    <x v="0"/>
    <n v="1004836"/>
    <n v="2524"/>
    <n v="703"/>
    <m/>
  </r>
  <r>
    <x v="43"/>
    <x v="1"/>
    <x v="5"/>
    <x v="0"/>
    <n v="1004806"/>
    <n v="1937"/>
    <n v="586"/>
    <m/>
  </r>
  <r>
    <x v="50"/>
    <x v="0"/>
    <x v="2"/>
    <x v="0"/>
    <n v="1004028"/>
    <n v="1545"/>
    <n v="445"/>
    <m/>
  </r>
  <r>
    <x v="26"/>
    <x v="0"/>
    <x v="11"/>
    <x v="0"/>
    <n v="1003947"/>
    <n v="1531"/>
    <n v="471"/>
    <m/>
  </r>
  <r>
    <x v="36"/>
    <x v="1"/>
    <x v="7"/>
    <x v="0"/>
    <n v="1002712"/>
    <n v="1943"/>
    <n v="540"/>
    <m/>
  </r>
  <r>
    <x v="20"/>
    <x v="0"/>
    <x v="8"/>
    <x v="0"/>
    <n v="1001775"/>
    <n v="1669"/>
    <n v="504"/>
    <m/>
  </r>
  <r>
    <x v="48"/>
    <x v="0"/>
    <x v="4"/>
    <x v="0"/>
    <n v="1000837"/>
    <n v="2372"/>
    <n v="663"/>
    <m/>
  </r>
  <r>
    <x v="25"/>
    <x v="0"/>
    <x v="9"/>
    <x v="0"/>
    <n v="997132"/>
    <n v="1636"/>
    <n v="508"/>
    <m/>
  </r>
  <r>
    <x v="46"/>
    <x v="1"/>
    <x v="6"/>
    <x v="0"/>
    <n v="996955"/>
    <n v="1493"/>
    <n v="426"/>
    <m/>
  </r>
  <r>
    <x v="29"/>
    <x v="0"/>
    <x v="8"/>
    <x v="0"/>
    <n v="995398"/>
    <n v="1867"/>
    <n v="564"/>
    <m/>
  </r>
  <r>
    <x v="36"/>
    <x v="0"/>
    <x v="5"/>
    <x v="0"/>
    <n v="994961"/>
    <n v="1631"/>
    <n v="545"/>
    <m/>
  </r>
  <r>
    <x v="43"/>
    <x v="0"/>
    <x v="7"/>
    <x v="0"/>
    <n v="992499"/>
    <n v="1996"/>
    <n v="555"/>
    <m/>
  </r>
  <r>
    <x v="49"/>
    <x v="0"/>
    <x v="6"/>
    <x v="0"/>
    <n v="988474"/>
    <n v="2388"/>
    <n v="640"/>
    <m/>
  </r>
  <r>
    <x v="14"/>
    <x v="1"/>
    <x v="11"/>
    <x v="0"/>
    <n v="983983"/>
    <n v="2083"/>
    <n v="582"/>
    <m/>
  </r>
  <r>
    <x v="14"/>
    <x v="1"/>
    <x v="10"/>
    <x v="0"/>
    <n v="981825"/>
    <n v="2047"/>
    <n v="582"/>
    <m/>
  </r>
  <r>
    <x v="44"/>
    <x v="1"/>
    <x v="6"/>
    <x v="0"/>
    <n v="980220"/>
    <n v="1414"/>
    <n v="439"/>
    <m/>
  </r>
  <r>
    <x v="41"/>
    <x v="0"/>
    <x v="7"/>
    <x v="0"/>
    <n v="979815"/>
    <n v="2438"/>
    <n v="701"/>
    <m/>
  </r>
  <r>
    <x v="25"/>
    <x v="0"/>
    <x v="10"/>
    <x v="0"/>
    <n v="978155"/>
    <n v="1641"/>
    <n v="525"/>
    <m/>
  </r>
  <r>
    <x v="39"/>
    <x v="0"/>
    <x v="7"/>
    <x v="0"/>
    <n v="977901"/>
    <n v="1600"/>
    <n v="486"/>
    <m/>
  </r>
  <r>
    <x v="23"/>
    <x v="1"/>
    <x v="10"/>
    <x v="0"/>
    <n v="977893"/>
    <n v="1976"/>
    <n v="554"/>
    <m/>
  </r>
  <r>
    <x v="21"/>
    <x v="1"/>
    <x v="9"/>
    <x v="0"/>
    <n v="977773"/>
    <n v="2068"/>
    <n v="571"/>
    <m/>
  </r>
  <r>
    <x v="43"/>
    <x v="1"/>
    <x v="7"/>
    <x v="0"/>
    <n v="976580"/>
    <n v="2031"/>
    <n v="522"/>
    <m/>
  </r>
  <r>
    <x v="22"/>
    <x v="0"/>
    <x v="8"/>
    <x v="0"/>
    <n v="973517"/>
    <n v="1841"/>
    <n v="554"/>
    <m/>
  </r>
  <r>
    <x v="38"/>
    <x v="1"/>
    <x v="7"/>
    <x v="0"/>
    <n v="968676"/>
    <n v="1938"/>
    <n v="463"/>
    <m/>
  </r>
  <r>
    <x v="39"/>
    <x v="1"/>
    <x v="7"/>
    <x v="0"/>
    <n v="967687"/>
    <n v="1705"/>
    <n v="481"/>
    <m/>
  </r>
  <r>
    <x v="38"/>
    <x v="1"/>
    <x v="5"/>
    <x v="0"/>
    <n v="967459"/>
    <n v="1756"/>
    <n v="498"/>
    <m/>
  </r>
  <r>
    <x v="9"/>
    <x v="0"/>
    <x v="11"/>
    <x v="0"/>
    <n v="966925"/>
    <n v="2253"/>
    <n v="657"/>
    <m/>
  </r>
  <r>
    <x v="42"/>
    <x v="1"/>
    <x v="4"/>
    <x v="0"/>
    <n v="966476"/>
    <n v="1800"/>
    <n v="456"/>
    <m/>
  </r>
  <r>
    <x v="48"/>
    <x v="1"/>
    <x v="7"/>
    <x v="0"/>
    <n v="964399"/>
    <n v="2342"/>
    <n v="621"/>
    <m/>
  </r>
  <r>
    <x v="43"/>
    <x v="1"/>
    <x v="6"/>
    <x v="0"/>
    <n v="961865"/>
    <n v="1821"/>
    <n v="499"/>
    <m/>
  </r>
  <r>
    <x v="49"/>
    <x v="1"/>
    <x v="6"/>
    <x v="0"/>
    <n v="961446"/>
    <n v="2465"/>
    <n v="639"/>
    <m/>
  </r>
  <r>
    <x v="20"/>
    <x v="1"/>
    <x v="11"/>
    <x v="0"/>
    <n v="960880"/>
    <n v="1768"/>
    <n v="517"/>
    <m/>
  </r>
  <r>
    <x v="31"/>
    <x v="1"/>
    <x v="8"/>
    <x v="0"/>
    <n v="960135"/>
    <n v="1916"/>
    <n v="525"/>
    <m/>
  </r>
  <r>
    <x v="29"/>
    <x v="0"/>
    <x v="9"/>
    <x v="0"/>
    <n v="958216"/>
    <n v="1998"/>
    <n v="594"/>
    <m/>
  </r>
  <r>
    <x v="21"/>
    <x v="1"/>
    <x v="8"/>
    <x v="0"/>
    <n v="955743"/>
    <n v="2041"/>
    <n v="610"/>
    <m/>
  </r>
  <r>
    <x v="32"/>
    <x v="0"/>
    <x v="8"/>
    <x v="0"/>
    <n v="955393"/>
    <n v="1738"/>
    <n v="523"/>
    <m/>
  </r>
  <r>
    <x v="24"/>
    <x v="1"/>
    <x v="9"/>
    <x v="0"/>
    <n v="955391"/>
    <n v="2630"/>
    <n v="712"/>
    <m/>
  </r>
  <r>
    <x v="36"/>
    <x v="0"/>
    <x v="7"/>
    <x v="0"/>
    <n v="955168"/>
    <n v="1873"/>
    <n v="596"/>
    <m/>
  </r>
  <r>
    <x v="24"/>
    <x v="0"/>
    <x v="10"/>
    <x v="0"/>
    <n v="954205"/>
    <n v="2448"/>
    <n v="678"/>
    <m/>
  </r>
  <r>
    <x v="48"/>
    <x v="0"/>
    <x v="3"/>
    <x v="0"/>
    <n v="953593"/>
    <n v="2226"/>
    <n v="599"/>
    <m/>
  </r>
  <r>
    <x v="25"/>
    <x v="0"/>
    <x v="8"/>
    <x v="0"/>
    <n v="953476"/>
    <n v="1405"/>
    <n v="450"/>
    <m/>
  </r>
  <r>
    <x v="40"/>
    <x v="1"/>
    <x v="7"/>
    <x v="0"/>
    <n v="952961"/>
    <n v="2191"/>
    <n v="521"/>
    <m/>
  </r>
  <r>
    <x v="42"/>
    <x v="1"/>
    <x v="7"/>
    <x v="0"/>
    <n v="952283"/>
    <n v="1509"/>
    <n v="364"/>
    <m/>
  </r>
  <r>
    <x v="47"/>
    <x v="0"/>
    <x v="6"/>
    <x v="0"/>
    <n v="950008"/>
    <n v="1570"/>
    <n v="474"/>
    <m/>
  </r>
  <r>
    <x v="49"/>
    <x v="0"/>
    <x v="7"/>
    <x v="0"/>
    <n v="945471"/>
    <n v="2307"/>
    <n v="648"/>
    <m/>
  </r>
  <r>
    <x v="20"/>
    <x v="0"/>
    <x v="11"/>
    <x v="0"/>
    <n v="944511"/>
    <n v="1725"/>
    <n v="504"/>
    <m/>
  </r>
  <r>
    <x v="47"/>
    <x v="1"/>
    <x v="6"/>
    <x v="0"/>
    <n v="942939"/>
    <n v="1632"/>
    <n v="475"/>
    <m/>
  </r>
  <r>
    <x v="46"/>
    <x v="0"/>
    <x v="8"/>
    <x v="0"/>
    <n v="941768"/>
    <n v="1152"/>
    <n v="352"/>
    <m/>
  </r>
  <r>
    <x v="42"/>
    <x v="0"/>
    <x v="5"/>
    <x v="0"/>
    <n v="941426"/>
    <n v="1337"/>
    <n v="391"/>
    <m/>
  </r>
  <r>
    <x v="44"/>
    <x v="1"/>
    <x v="7"/>
    <x v="0"/>
    <n v="936598"/>
    <n v="1457"/>
    <n v="422"/>
    <m/>
  </r>
  <r>
    <x v="37"/>
    <x v="1"/>
    <x v="5"/>
    <x v="0"/>
    <n v="935970"/>
    <n v="2022"/>
    <n v="547"/>
    <m/>
  </r>
  <r>
    <x v="46"/>
    <x v="0"/>
    <x v="6"/>
    <x v="0"/>
    <n v="933410"/>
    <n v="1412"/>
    <n v="426"/>
    <m/>
  </r>
  <r>
    <x v="22"/>
    <x v="0"/>
    <x v="9"/>
    <x v="0"/>
    <n v="933183"/>
    <n v="2086"/>
    <n v="612"/>
    <m/>
  </r>
  <r>
    <x v="22"/>
    <x v="1"/>
    <x v="9"/>
    <x v="0"/>
    <n v="932996"/>
    <n v="2166"/>
    <n v="605"/>
    <m/>
  </r>
  <r>
    <x v="33"/>
    <x v="0"/>
    <x v="9"/>
    <x v="0"/>
    <n v="932163"/>
    <n v="1598"/>
    <n v="487"/>
    <m/>
  </r>
  <r>
    <x v="32"/>
    <x v="1"/>
    <x v="6"/>
    <x v="0"/>
    <n v="931249"/>
    <n v="1945"/>
    <n v="575"/>
    <m/>
  </r>
  <r>
    <x v="43"/>
    <x v="0"/>
    <x v="6"/>
    <x v="0"/>
    <n v="929813"/>
    <n v="1823"/>
    <n v="569"/>
    <m/>
  </r>
  <r>
    <x v="25"/>
    <x v="1"/>
    <x v="9"/>
    <x v="0"/>
    <n v="929155"/>
    <n v="1547"/>
    <n v="448"/>
    <m/>
  </r>
  <r>
    <x v="48"/>
    <x v="0"/>
    <x v="7"/>
    <x v="0"/>
    <n v="929037"/>
    <n v="2258"/>
    <n v="619"/>
    <m/>
  </r>
  <r>
    <x v="40"/>
    <x v="0"/>
    <x v="7"/>
    <x v="0"/>
    <n v="926945"/>
    <n v="2063"/>
    <n v="517"/>
    <m/>
  </r>
  <r>
    <x v="29"/>
    <x v="1"/>
    <x v="8"/>
    <x v="0"/>
    <n v="926922"/>
    <n v="1988"/>
    <n v="576"/>
    <m/>
  </r>
  <r>
    <x v="47"/>
    <x v="1"/>
    <x v="4"/>
    <x v="0"/>
    <n v="926015"/>
    <n v="1824"/>
    <n v="497"/>
    <m/>
  </r>
  <r>
    <x v="51"/>
    <x v="1"/>
    <x v="3"/>
    <x v="0"/>
    <n v="924914"/>
    <n v="1726"/>
    <n v="432"/>
    <m/>
  </r>
  <r>
    <x v="38"/>
    <x v="0"/>
    <x v="5"/>
    <x v="0"/>
    <n v="922240"/>
    <n v="1568"/>
    <n v="429"/>
    <m/>
  </r>
  <r>
    <x v="37"/>
    <x v="0"/>
    <x v="5"/>
    <x v="0"/>
    <n v="919284"/>
    <n v="1862"/>
    <n v="535"/>
    <m/>
  </r>
  <r>
    <x v="28"/>
    <x v="0"/>
    <x v="8"/>
    <x v="0"/>
    <n v="917415"/>
    <n v="1964"/>
    <n v="541"/>
    <m/>
  </r>
  <r>
    <x v="45"/>
    <x v="0"/>
    <x v="7"/>
    <x v="0"/>
    <n v="913965"/>
    <n v="2200"/>
    <n v="570"/>
    <m/>
  </r>
  <r>
    <x v="39"/>
    <x v="1"/>
    <x v="9"/>
    <x v="0"/>
    <n v="913756"/>
    <n v="1512"/>
    <n v="451"/>
    <m/>
  </r>
  <r>
    <x v="34"/>
    <x v="0"/>
    <x v="8"/>
    <x v="0"/>
    <n v="912225"/>
    <n v="1865"/>
    <n v="599"/>
    <m/>
  </r>
  <r>
    <x v="27"/>
    <x v="0"/>
    <x v="9"/>
    <x v="0"/>
    <n v="907060"/>
    <n v="1650"/>
    <n v="507"/>
    <m/>
  </r>
  <r>
    <x v="45"/>
    <x v="0"/>
    <x v="4"/>
    <x v="0"/>
    <n v="906551"/>
    <n v="2195"/>
    <n v="597"/>
    <m/>
  </r>
  <r>
    <x v="38"/>
    <x v="1"/>
    <x v="6"/>
    <x v="0"/>
    <n v="904568"/>
    <n v="1698"/>
    <n v="454"/>
    <m/>
  </r>
  <r>
    <x v="19"/>
    <x v="1"/>
    <x v="11"/>
    <x v="0"/>
    <n v="903198"/>
    <n v="1755"/>
    <n v="555"/>
    <m/>
  </r>
  <r>
    <x v="27"/>
    <x v="1"/>
    <x v="9"/>
    <x v="0"/>
    <n v="902619"/>
    <n v="1775"/>
    <n v="538"/>
    <m/>
  </r>
  <r>
    <x v="47"/>
    <x v="1"/>
    <x v="7"/>
    <x v="0"/>
    <n v="902430"/>
    <n v="1761"/>
    <n v="496"/>
    <m/>
  </r>
  <r>
    <x v="39"/>
    <x v="1"/>
    <x v="8"/>
    <x v="0"/>
    <n v="899818"/>
    <n v="1429"/>
    <n v="423"/>
    <m/>
  </r>
  <r>
    <x v="33"/>
    <x v="0"/>
    <x v="10"/>
    <x v="0"/>
    <n v="898422"/>
    <n v="1654"/>
    <n v="448"/>
    <m/>
  </r>
  <r>
    <x v="39"/>
    <x v="0"/>
    <x v="8"/>
    <x v="0"/>
    <n v="898206"/>
    <n v="1352"/>
    <n v="404"/>
    <m/>
  </r>
  <r>
    <x v="41"/>
    <x v="0"/>
    <x v="5"/>
    <x v="0"/>
    <n v="898103"/>
    <n v="1985"/>
    <n v="634"/>
    <m/>
  </r>
  <r>
    <x v="35"/>
    <x v="0"/>
    <x v="7"/>
    <x v="0"/>
    <n v="896537"/>
    <n v="1417"/>
    <n v="441"/>
    <m/>
  </r>
  <r>
    <x v="31"/>
    <x v="0"/>
    <x v="8"/>
    <x v="0"/>
    <n v="893197"/>
    <n v="1705"/>
    <n v="490"/>
    <m/>
  </r>
  <r>
    <x v="44"/>
    <x v="0"/>
    <x v="6"/>
    <x v="0"/>
    <n v="892547"/>
    <n v="1353"/>
    <n v="421"/>
    <m/>
  </r>
  <r>
    <x v="30"/>
    <x v="0"/>
    <x v="8"/>
    <x v="0"/>
    <n v="889856"/>
    <n v="1769"/>
    <n v="566"/>
    <m/>
  </r>
  <r>
    <x v="43"/>
    <x v="0"/>
    <x v="9"/>
    <x v="0"/>
    <n v="885306"/>
    <n v="1721"/>
    <n v="502"/>
    <m/>
  </r>
  <r>
    <x v="23"/>
    <x v="1"/>
    <x v="11"/>
    <x v="0"/>
    <n v="885171"/>
    <n v="1644"/>
    <n v="518"/>
    <m/>
  </r>
  <r>
    <x v="30"/>
    <x v="0"/>
    <x v="9"/>
    <x v="0"/>
    <n v="884600"/>
    <n v="1932"/>
    <n v="573"/>
    <m/>
  </r>
  <r>
    <x v="34"/>
    <x v="0"/>
    <x v="10"/>
    <x v="0"/>
    <n v="884406"/>
    <n v="2011"/>
    <n v="615"/>
    <m/>
  </r>
  <r>
    <x v="50"/>
    <x v="1"/>
    <x v="4"/>
    <x v="0"/>
    <n v="883545"/>
    <n v="1619"/>
    <n v="465"/>
    <m/>
  </r>
  <r>
    <x v="24"/>
    <x v="1"/>
    <x v="11"/>
    <x v="0"/>
    <n v="881323"/>
    <n v="2393"/>
    <n v="631"/>
    <m/>
  </r>
  <r>
    <x v="35"/>
    <x v="0"/>
    <x v="9"/>
    <x v="0"/>
    <n v="880828"/>
    <n v="1250"/>
    <n v="405"/>
    <m/>
  </r>
  <r>
    <x v="32"/>
    <x v="0"/>
    <x v="9"/>
    <x v="0"/>
    <n v="880758"/>
    <n v="1816"/>
    <n v="523"/>
    <m/>
  </r>
  <r>
    <x v="40"/>
    <x v="1"/>
    <x v="6"/>
    <x v="0"/>
    <n v="880574"/>
    <n v="1889"/>
    <n v="493"/>
    <m/>
  </r>
  <r>
    <x v="28"/>
    <x v="0"/>
    <x v="9"/>
    <x v="0"/>
    <n v="880087"/>
    <n v="2031"/>
    <n v="593"/>
    <m/>
  </r>
  <r>
    <x v="26"/>
    <x v="1"/>
    <x v="11"/>
    <x v="0"/>
    <n v="879301"/>
    <n v="1716"/>
    <n v="481"/>
    <m/>
  </r>
  <r>
    <x v="24"/>
    <x v="1"/>
    <x v="10"/>
    <x v="0"/>
    <n v="878982"/>
    <n v="2385"/>
    <n v="688"/>
    <m/>
  </r>
  <r>
    <x v="29"/>
    <x v="1"/>
    <x v="9"/>
    <x v="0"/>
    <n v="878900"/>
    <n v="1944"/>
    <n v="536"/>
    <m/>
  </r>
  <r>
    <x v="51"/>
    <x v="1"/>
    <x v="2"/>
    <x v="0"/>
    <n v="878301"/>
    <n v="1689"/>
    <n v="411"/>
    <m/>
  </r>
  <r>
    <x v="22"/>
    <x v="1"/>
    <x v="10"/>
    <x v="0"/>
    <n v="877124"/>
    <n v="2062"/>
    <n v="570"/>
    <m/>
  </r>
  <r>
    <x v="47"/>
    <x v="0"/>
    <x v="9"/>
    <x v="0"/>
    <n v="875031"/>
    <n v="1518"/>
    <n v="386"/>
    <m/>
  </r>
  <r>
    <x v="21"/>
    <x v="0"/>
    <x v="11"/>
    <x v="0"/>
    <n v="874743"/>
    <n v="1564"/>
    <n v="473"/>
    <m/>
  </r>
  <r>
    <x v="21"/>
    <x v="1"/>
    <x v="11"/>
    <x v="0"/>
    <n v="873281"/>
    <n v="1766"/>
    <n v="506"/>
    <m/>
  </r>
  <r>
    <x v="45"/>
    <x v="1"/>
    <x v="7"/>
    <x v="0"/>
    <n v="873134"/>
    <n v="2389"/>
    <n v="566"/>
    <m/>
  </r>
  <r>
    <x v="27"/>
    <x v="1"/>
    <x v="8"/>
    <x v="0"/>
    <n v="872552"/>
    <n v="1720"/>
    <n v="527"/>
    <m/>
  </r>
  <r>
    <x v="36"/>
    <x v="0"/>
    <x v="8"/>
    <x v="0"/>
    <n v="870240"/>
    <n v="1469"/>
    <n v="461"/>
    <m/>
  </r>
  <r>
    <x v="28"/>
    <x v="1"/>
    <x v="8"/>
    <x v="0"/>
    <n v="868966"/>
    <n v="2153"/>
    <n v="588"/>
    <m/>
  </r>
  <r>
    <x v="34"/>
    <x v="1"/>
    <x v="8"/>
    <x v="0"/>
    <n v="868789"/>
    <n v="2130"/>
    <n v="645"/>
    <m/>
  </r>
  <r>
    <x v="48"/>
    <x v="1"/>
    <x v="5"/>
    <x v="0"/>
    <n v="867308"/>
    <n v="2160"/>
    <n v="627"/>
    <m/>
  </r>
  <r>
    <x v="42"/>
    <x v="0"/>
    <x v="7"/>
    <x v="0"/>
    <n v="864015"/>
    <n v="1436"/>
    <n v="373"/>
    <m/>
  </r>
  <r>
    <x v="29"/>
    <x v="1"/>
    <x v="10"/>
    <x v="0"/>
    <n v="862931"/>
    <n v="1892"/>
    <n v="524"/>
    <m/>
  </r>
  <r>
    <x v="48"/>
    <x v="0"/>
    <x v="6"/>
    <x v="0"/>
    <n v="861618"/>
    <n v="2064"/>
    <n v="593"/>
    <m/>
  </r>
  <r>
    <x v="48"/>
    <x v="1"/>
    <x v="6"/>
    <x v="0"/>
    <n v="861275"/>
    <n v="2067"/>
    <n v="587"/>
    <m/>
  </r>
  <r>
    <x v="31"/>
    <x v="0"/>
    <x v="10"/>
    <x v="0"/>
    <n v="857151"/>
    <n v="1705"/>
    <n v="507"/>
    <m/>
  </r>
  <r>
    <x v="45"/>
    <x v="1"/>
    <x v="5"/>
    <x v="0"/>
    <n v="855469"/>
    <n v="2024"/>
    <n v="574"/>
    <m/>
  </r>
  <r>
    <x v="40"/>
    <x v="0"/>
    <x v="6"/>
    <x v="0"/>
    <n v="855276"/>
    <n v="1804"/>
    <n v="460"/>
    <m/>
  </r>
  <r>
    <x v="27"/>
    <x v="0"/>
    <x v="10"/>
    <x v="0"/>
    <n v="854785"/>
    <n v="1565"/>
    <n v="483"/>
    <m/>
  </r>
  <r>
    <x v="50"/>
    <x v="0"/>
    <x v="4"/>
    <x v="0"/>
    <n v="851521"/>
    <n v="1406"/>
    <n v="412"/>
    <m/>
  </r>
  <r>
    <x v="25"/>
    <x v="1"/>
    <x v="8"/>
    <x v="0"/>
    <n v="851085"/>
    <n v="1455"/>
    <n v="454"/>
    <m/>
  </r>
  <r>
    <x v="39"/>
    <x v="0"/>
    <x v="6"/>
    <x v="0"/>
    <n v="850822"/>
    <n v="1539"/>
    <n v="451"/>
    <m/>
  </r>
  <r>
    <x v="34"/>
    <x v="1"/>
    <x v="9"/>
    <x v="0"/>
    <n v="844719"/>
    <n v="2207"/>
    <n v="621"/>
    <m/>
  </r>
  <r>
    <x v="24"/>
    <x v="0"/>
    <x v="11"/>
    <x v="0"/>
    <n v="843634"/>
    <n v="2125"/>
    <n v="612"/>
    <m/>
  </r>
  <r>
    <x v="29"/>
    <x v="0"/>
    <x v="11"/>
    <x v="0"/>
    <n v="842307"/>
    <n v="1739"/>
    <n v="511"/>
    <m/>
  </r>
  <r>
    <x v="23"/>
    <x v="0"/>
    <x v="11"/>
    <x v="0"/>
    <n v="841277"/>
    <n v="1605"/>
    <n v="482"/>
    <m/>
  </r>
  <r>
    <x v="16"/>
    <x v="1"/>
    <x v="11"/>
    <x v="0"/>
    <n v="836571"/>
    <n v="1967"/>
    <n v="523"/>
    <m/>
  </r>
  <r>
    <x v="19"/>
    <x v="0"/>
    <x v="11"/>
    <x v="0"/>
    <n v="835007"/>
    <n v="1478"/>
    <n v="421"/>
    <m/>
  </r>
  <r>
    <x v="39"/>
    <x v="1"/>
    <x v="6"/>
    <x v="0"/>
    <n v="832725"/>
    <n v="1446"/>
    <n v="442"/>
    <m/>
  </r>
  <r>
    <x v="33"/>
    <x v="0"/>
    <x v="8"/>
    <x v="0"/>
    <n v="828202"/>
    <n v="1331"/>
    <n v="421"/>
    <m/>
  </r>
  <r>
    <x v="51"/>
    <x v="0"/>
    <x v="2"/>
    <x v="0"/>
    <n v="827961"/>
    <n v="1690"/>
    <n v="400"/>
    <m/>
  </r>
  <r>
    <x v="30"/>
    <x v="1"/>
    <x v="8"/>
    <x v="0"/>
    <n v="827298"/>
    <n v="1842"/>
    <n v="572"/>
    <m/>
  </r>
  <r>
    <x v="28"/>
    <x v="1"/>
    <x v="10"/>
    <x v="0"/>
    <n v="824770"/>
    <n v="2023"/>
    <n v="553"/>
    <m/>
  </r>
  <r>
    <x v="44"/>
    <x v="0"/>
    <x v="7"/>
    <x v="0"/>
    <n v="824732"/>
    <n v="1219"/>
    <n v="397"/>
    <m/>
  </r>
  <r>
    <x v="25"/>
    <x v="0"/>
    <x v="11"/>
    <x v="0"/>
    <n v="821498"/>
    <n v="1307"/>
    <n v="436"/>
    <m/>
  </r>
  <r>
    <x v="46"/>
    <x v="0"/>
    <x v="9"/>
    <x v="0"/>
    <n v="818849"/>
    <n v="1224"/>
    <n v="389"/>
    <m/>
  </r>
  <r>
    <x v="45"/>
    <x v="0"/>
    <x v="6"/>
    <x v="0"/>
    <n v="817545"/>
    <n v="2015"/>
    <n v="596"/>
    <m/>
  </r>
  <r>
    <x v="38"/>
    <x v="0"/>
    <x v="7"/>
    <x v="0"/>
    <n v="815987"/>
    <n v="1546"/>
    <n v="419"/>
    <m/>
  </r>
  <r>
    <x v="29"/>
    <x v="1"/>
    <x v="11"/>
    <x v="0"/>
    <n v="814316"/>
    <n v="1765"/>
    <n v="501"/>
    <m/>
  </r>
  <r>
    <x v="34"/>
    <x v="1"/>
    <x v="11"/>
    <x v="0"/>
    <n v="811164"/>
    <n v="1994"/>
    <n v="583"/>
    <m/>
  </r>
  <r>
    <x v="43"/>
    <x v="1"/>
    <x v="8"/>
    <x v="0"/>
    <n v="809781"/>
    <n v="1553"/>
    <n v="466"/>
    <m/>
  </r>
  <r>
    <x v="34"/>
    <x v="0"/>
    <x v="9"/>
    <x v="0"/>
    <n v="809622"/>
    <n v="1932"/>
    <n v="595"/>
    <m/>
  </r>
  <r>
    <x v="46"/>
    <x v="0"/>
    <x v="7"/>
    <x v="0"/>
    <n v="809125"/>
    <n v="1397"/>
    <n v="389"/>
    <m/>
  </r>
  <r>
    <x v="46"/>
    <x v="1"/>
    <x v="7"/>
    <x v="0"/>
    <n v="807862"/>
    <n v="1399"/>
    <n v="362"/>
    <m/>
  </r>
  <r>
    <x v="41"/>
    <x v="0"/>
    <x v="10"/>
    <x v="0"/>
    <n v="806458"/>
    <n v="1858"/>
    <n v="584"/>
    <m/>
  </r>
  <r>
    <x v="39"/>
    <x v="0"/>
    <x v="10"/>
    <x v="0"/>
    <n v="801075"/>
    <n v="1376"/>
    <n v="408"/>
    <m/>
  </r>
  <r>
    <x v="50"/>
    <x v="0"/>
    <x v="5"/>
    <x v="0"/>
    <n v="798729"/>
    <n v="1181"/>
    <n v="332"/>
    <m/>
  </r>
  <r>
    <x v="41"/>
    <x v="0"/>
    <x v="9"/>
    <x v="0"/>
    <n v="796871"/>
    <n v="1952"/>
    <n v="575"/>
    <m/>
  </r>
  <r>
    <x v="28"/>
    <x v="1"/>
    <x v="9"/>
    <x v="0"/>
    <n v="793747"/>
    <n v="1904"/>
    <n v="517"/>
    <m/>
  </r>
  <r>
    <x v="38"/>
    <x v="0"/>
    <x v="6"/>
    <x v="0"/>
    <n v="793558"/>
    <n v="1544"/>
    <n v="462"/>
    <m/>
  </r>
  <r>
    <x v="41"/>
    <x v="1"/>
    <x v="8"/>
    <x v="0"/>
    <n v="793382"/>
    <n v="1934"/>
    <n v="553"/>
    <m/>
  </r>
  <r>
    <x v="22"/>
    <x v="0"/>
    <x v="10"/>
    <x v="0"/>
    <n v="792663"/>
    <n v="1764"/>
    <n v="495"/>
    <m/>
  </r>
  <r>
    <x v="45"/>
    <x v="1"/>
    <x v="6"/>
    <x v="0"/>
    <n v="790294"/>
    <n v="1954"/>
    <n v="541"/>
    <m/>
  </r>
  <r>
    <x v="27"/>
    <x v="0"/>
    <x v="8"/>
    <x v="0"/>
    <n v="789487"/>
    <n v="1347"/>
    <n v="449"/>
    <m/>
  </r>
  <r>
    <x v="36"/>
    <x v="1"/>
    <x v="8"/>
    <x v="0"/>
    <n v="787423"/>
    <n v="1393"/>
    <n v="450"/>
    <m/>
  </r>
  <r>
    <x v="32"/>
    <x v="0"/>
    <x v="10"/>
    <x v="0"/>
    <n v="786279"/>
    <n v="1669"/>
    <n v="510"/>
    <m/>
  </r>
  <r>
    <x v="42"/>
    <x v="0"/>
    <x v="6"/>
    <x v="0"/>
    <n v="785547"/>
    <n v="1246"/>
    <n v="398"/>
    <m/>
  </r>
  <r>
    <x v="35"/>
    <x v="1"/>
    <x v="9"/>
    <x v="0"/>
    <n v="785536"/>
    <n v="1369"/>
    <n v="419"/>
    <m/>
  </r>
  <r>
    <x v="42"/>
    <x v="1"/>
    <x v="6"/>
    <x v="0"/>
    <n v="783230"/>
    <n v="1387"/>
    <n v="382"/>
    <m/>
  </r>
  <r>
    <x v="43"/>
    <x v="0"/>
    <x v="8"/>
    <x v="0"/>
    <n v="782195"/>
    <n v="1437"/>
    <n v="439"/>
    <m/>
  </r>
  <r>
    <x v="33"/>
    <x v="1"/>
    <x v="8"/>
    <x v="0"/>
    <n v="782155"/>
    <n v="1361"/>
    <n v="426"/>
    <m/>
  </r>
  <r>
    <x v="47"/>
    <x v="0"/>
    <x v="10"/>
    <x v="0"/>
    <n v="780900"/>
    <n v="1295"/>
    <n v="385"/>
    <m/>
  </r>
  <r>
    <x v="32"/>
    <x v="1"/>
    <x v="10"/>
    <x v="0"/>
    <n v="779411"/>
    <n v="1688"/>
    <n v="501"/>
    <m/>
  </r>
  <r>
    <x v="50"/>
    <x v="1"/>
    <x v="5"/>
    <x v="0"/>
    <n v="779305"/>
    <n v="1316"/>
    <n v="432"/>
    <m/>
  </r>
  <r>
    <x v="33"/>
    <x v="1"/>
    <x v="9"/>
    <x v="0"/>
    <n v="779264"/>
    <n v="1434"/>
    <n v="420"/>
    <m/>
  </r>
  <r>
    <x v="28"/>
    <x v="0"/>
    <x v="10"/>
    <x v="0"/>
    <n v="778221"/>
    <n v="1785"/>
    <n v="491"/>
    <m/>
  </r>
  <r>
    <x v="43"/>
    <x v="1"/>
    <x v="10"/>
    <x v="0"/>
    <n v="776112"/>
    <n v="1616"/>
    <n v="457"/>
    <m/>
  </r>
  <r>
    <x v="40"/>
    <x v="1"/>
    <x v="8"/>
    <x v="0"/>
    <n v="774827"/>
    <n v="1705"/>
    <n v="428"/>
    <m/>
  </r>
  <r>
    <x v="47"/>
    <x v="0"/>
    <x v="7"/>
    <x v="0"/>
    <n v="774610"/>
    <n v="1339"/>
    <n v="422"/>
    <m/>
  </r>
  <r>
    <x v="48"/>
    <x v="0"/>
    <x v="9"/>
    <x v="0"/>
    <n v="773738"/>
    <n v="2024"/>
    <n v="554"/>
    <m/>
  </r>
  <r>
    <x v="34"/>
    <x v="1"/>
    <x v="10"/>
    <x v="0"/>
    <n v="773735"/>
    <n v="1987"/>
    <n v="569"/>
    <m/>
  </r>
  <r>
    <x v="35"/>
    <x v="0"/>
    <x v="8"/>
    <x v="0"/>
    <n v="771634"/>
    <n v="1331"/>
    <n v="410"/>
    <m/>
  </r>
  <r>
    <x v="36"/>
    <x v="0"/>
    <x v="9"/>
    <x v="0"/>
    <n v="770997"/>
    <n v="1383"/>
    <n v="483"/>
    <m/>
  </r>
  <r>
    <x v="31"/>
    <x v="0"/>
    <x v="11"/>
    <x v="0"/>
    <n v="769224"/>
    <n v="1613"/>
    <n v="469"/>
    <m/>
  </r>
  <r>
    <x v="48"/>
    <x v="0"/>
    <x v="8"/>
    <x v="0"/>
    <n v="768314"/>
    <n v="1665"/>
    <n v="476"/>
    <m/>
  </r>
  <r>
    <x v="44"/>
    <x v="1"/>
    <x v="8"/>
    <x v="0"/>
    <n v="767041"/>
    <n v="1144"/>
    <n v="350"/>
    <m/>
  </r>
  <r>
    <x v="49"/>
    <x v="1"/>
    <x v="8"/>
    <x v="0"/>
    <n v="764391"/>
    <n v="1959"/>
    <n v="539"/>
    <m/>
  </r>
  <r>
    <x v="22"/>
    <x v="0"/>
    <x v="11"/>
    <x v="0"/>
    <n v="764206"/>
    <n v="1644"/>
    <n v="472"/>
    <m/>
  </r>
  <r>
    <x v="44"/>
    <x v="0"/>
    <x v="9"/>
    <x v="0"/>
    <n v="763435"/>
    <n v="1086"/>
    <n v="341"/>
    <m/>
  </r>
  <r>
    <x v="46"/>
    <x v="1"/>
    <x v="9"/>
    <x v="0"/>
    <n v="760796"/>
    <n v="1212"/>
    <n v="344"/>
    <m/>
  </r>
  <r>
    <x v="32"/>
    <x v="1"/>
    <x v="8"/>
    <x v="0"/>
    <n v="758859"/>
    <n v="1681"/>
    <n v="527"/>
    <m/>
  </r>
  <r>
    <x v="43"/>
    <x v="0"/>
    <x v="10"/>
    <x v="0"/>
    <n v="758855"/>
    <n v="1480"/>
    <n v="461"/>
    <m/>
  </r>
  <r>
    <x v="35"/>
    <x v="1"/>
    <x v="8"/>
    <x v="0"/>
    <n v="756823"/>
    <n v="1245"/>
    <n v="412"/>
    <m/>
  </r>
  <r>
    <x v="39"/>
    <x v="0"/>
    <x v="9"/>
    <x v="0"/>
    <n v="756168"/>
    <n v="1252"/>
    <n v="399"/>
    <m/>
  </r>
  <r>
    <x v="25"/>
    <x v="1"/>
    <x v="10"/>
    <x v="0"/>
    <n v="755456"/>
    <n v="1427"/>
    <n v="438"/>
    <m/>
  </r>
  <r>
    <x v="33"/>
    <x v="0"/>
    <x v="11"/>
    <x v="0"/>
    <n v="754567"/>
    <n v="1360"/>
    <n v="456"/>
    <m/>
  </r>
  <r>
    <x v="42"/>
    <x v="1"/>
    <x v="8"/>
    <x v="0"/>
    <n v="751557"/>
    <n v="1226"/>
    <n v="341"/>
    <m/>
  </r>
  <r>
    <x v="27"/>
    <x v="1"/>
    <x v="10"/>
    <x v="0"/>
    <n v="750774"/>
    <n v="1549"/>
    <n v="469"/>
    <m/>
  </r>
  <r>
    <x v="48"/>
    <x v="0"/>
    <x v="10"/>
    <x v="0"/>
    <n v="750467"/>
    <n v="1808"/>
    <n v="490"/>
    <m/>
  </r>
  <r>
    <x v="22"/>
    <x v="1"/>
    <x v="11"/>
    <x v="0"/>
    <n v="750289"/>
    <n v="1882"/>
    <n v="540"/>
    <m/>
  </r>
  <r>
    <x v="34"/>
    <x v="0"/>
    <x v="11"/>
    <x v="0"/>
    <n v="749369"/>
    <n v="1709"/>
    <n v="525"/>
    <m/>
  </r>
  <r>
    <x v="40"/>
    <x v="0"/>
    <x v="9"/>
    <x v="0"/>
    <n v="748920"/>
    <n v="1691"/>
    <n v="464"/>
    <m/>
  </r>
  <r>
    <x v="42"/>
    <x v="0"/>
    <x v="8"/>
    <x v="0"/>
    <n v="747030"/>
    <n v="1108"/>
    <n v="309"/>
    <m/>
  </r>
  <r>
    <x v="38"/>
    <x v="0"/>
    <x v="8"/>
    <x v="0"/>
    <n v="745530"/>
    <n v="1276"/>
    <n v="357"/>
    <m/>
  </r>
  <r>
    <x v="30"/>
    <x v="0"/>
    <x v="10"/>
    <x v="0"/>
    <n v="744898"/>
    <n v="1689"/>
    <n v="517"/>
    <m/>
  </r>
  <r>
    <x v="50"/>
    <x v="1"/>
    <x v="7"/>
    <x v="0"/>
    <n v="743385"/>
    <n v="1407"/>
    <n v="396"/>
    <m/>
  </r>
  <r>
    <x v="32"/>
    <x v="1"/>
    <x v="9"/>
    <x v="0"/>
    <n v="742912"/>
    <n v="1733"/>
    <n v="513"/>
    <m/>
  </r>
  <r>
    <x v="41"/>
    <x v="0"/>
    <x v="8"/>
    <x v="0"/>
    <n v="740982"/>
    <n v="1616"/>
    <n v="517"/>
    <m/>
  </r>
  <r>
    <x v="31"/>
    <x v="1"/>
    <x v="10"/>
    <x v="0"/>
    <n v="738482"/>
    <n v="1611"/>
    <n v="461"/>
    <m/>
  </r>
  <r>
    <x v="49"/>
    <x v="1"/>
    <x v="10"/>
    <x v="0"/>
    <n v="733675"/>
    <n v="1998"/>
    <n v="550"/>
    <m/>
  </r>
  <r>
    <x v="41"/>
    <x v="1"/>
    <x v="10"/>
    <x v="0"/>
    <n v="732757"/>
    <n v="1902"/>
    <n v="534"/>
    <m/>
  </r>
  <r>
    <x v="33"/>
    <x v="1"/>
    <x v="10"/>
    <x v="0"/>
    <n v="731475"/>
    <n v="1466"/>
    <n v="438"/>
    <m/>
  </r>
  <r>
    <x v="43"/>
    <x v="1"/>
    <x v="9"/>
    <x v="0"/>
    <n v="730161"/>
    <n v="1478"/>
    <n v="448"/>
    <m/>
  </r>
  <r>
    <x v="42"/>
    <x v="0"/>
    <x v="9"/>
    <x v="0"/>
    <n v="730148"/>
    <n v="1164"/>
    <n v="316"/>
    <m/>
  </r>
  <r>
    <x v="47"/>
    <x v="1"/>
    <x v="8"/>
    <x v="0"/>
    <n v="729536"/>
    <n v="1197"/>
    <n v="396"/>
    <m/>
  </r>
  <r>
    <x v="38"/>
    <x v="1"/>
    <x v="8"/>
    <x v="0"/>
    <n v="728905"/>
    <n v="1473"/>
    <n v="389"/>
    <m/>
  </r>
  <r>
    <x v="38"/>
    <x v="1"/>
    <x v="10"/>
    <x v="0"/>
    <n v="723012"/>
    <n v="1426"/>
    <n v="384"/>
    <m/>
  </r>
  <r>
    <x v="32"/>
    <x v="0"/>
    <x v="11"/>
    <x v="0"/>
    <n v="721088"/>
    <n v="1531"/>
    <n v="448"/>
    <m/>
  </r>
  <r>
    <x v="31"/>
    <x v="1"/>
    <x v="11"/>
    <x v="0"/>
    <n v="720345"/>
    <n v="1587"/>
    <n v="451"/>
    <m/>
  </r>
  <r>
    <x v="49"/>
    <x v="1"/>
    <x v="9"/>
    <x v="0"/>
    <n v="719935"/>
    <n v="1982"/>
    <n v="546"/>
    <m/>
  </r>
  <r>
    <x v="45"/>
    <x v="0"/>
    <x v="5"/>
    <x v="0"/>
    <n v="715675"/>
    <n v="1621"/>
    <n v="479"/>
    <m/>
  </r>
  <r>
    <x v="40"/>
    <x v="0"/>
    <x v="8"/>
    <x v="0"/>
    <n v="713186"/>
    <n v="1490"/>
    <n v="407"/>
    <m/>
  </r>
  <r>
    <x v="28"/>
    <x v="0"/>
    <x v="11"/>
    <x v="0"/>
    <n v="712376"/>
    <n v="1578"/>
    <n v="434"/>
    <m/>
  </r>
  <r>
    <x v="50"/>
    <x v="0"/>
    <x v="6"/>
    <x v="0"/>
    <n v="711419"/>
    <n v="1302"/>
    <n v="400"/>
    <m/>
  </r>
  <r>
    <x v="28"/>
    <x v="1"/>
    <x v="11"/>
    <x v="0"/>
    <n v="711019"/>
    <n v="1809"/>
    <n v="493"/>
    <m/>
  </r>
  <r>
    <x v="49"/>
    <x v="0"/>
    <x v="8"/>
    <x v="0"/>
    <n v="710995"/>
    <n v="1510"/>
    <n v="453"/>
    <m/>
  </r>
  <r>
    <x v="32"/>
    <x v="1"/>
    <x v="11"/>
    <x v="0"/>
    <n v="709243"/>
    <n v="1696"/>
    <n v="509"/>
    <m/>
  </r>
  <r>
    <x v="41"/>
    <x v="1"/>
    <x v="9"/>
    <x v="0"/>
    <n v="707320"/>
    <n v="1826"/>
    <n v="501"/>
    <m/>
  </r>
  <r>
    <x v="49"/>
    <x v="0"/>
    <x v="9"/>
    <x v="0"/>
    <n v="706691"/>
    <n v="2050"/>
    <n v="483"/>
    <m/>
  </r>
  <r>
    <x v="27"/>
    <x v="0"/>
    <x v="11"/>
    <x v="0"/>
    <n v="706327"/>
    <n v="1213"/>
    <n v="403"/>
    <m/>
  </r>
  <r>
    <x v="41"/>
    <x v="0"/>
    <x v="11"/>
    <x v="0"/>
    <n v="705007"/>
    <n v="1740"/>
    <n v="524"/>
    <m/>
  </r>
  <r>
    <x v="42"/>
    <x v="1"/>
    <x v="10"/>
    <x v="0"/>
    <n v="703213"/>
    <n v="1200"/>
    <n v="333"/>
    <m/>
  </r>
  <r>
    <x v="25"/>
    <x v="1"/>
    <x v="11"/>
    <x v="0"/>
    <n v="701945"/>
    <n v="1246"/>
    <n v="409"/>
    <m/>
  </r>
  <r>
    <x v="44"/>
    <x v="0"/>
    <x v="10"/>
    <x v="0"/>
    <n v="701495"/>
    <n v="1056"/>
    <n v="344"/>
    <m/>
  </r>
  <r>
    <x v="44"/>
    <x v="1"/>
    <x v="9"/>
    <x v="0"/>
    <n v="700964"/>
    <n v="1171"/>
    <n v="361"/>
    <m/>
  </r>
  <r>
    <x v="43"/>
    <x v="0"/>
    <x v="11"/>
    <x v="0"/>
    <n v="700485"/>
    <n v="1295"/>
    <n v="404"/>
    <m/>
  </r>
  <r>
    <x v="48"/>
    <x v="1"/>
    <x v="8"/>
    <x v="0"/>
    <n v="700432"/>
    <n v="1670"/>
    <n v="473"/>
    <m/>
  </r>
  <r>
    <x v="36"/>
    <x v="1"/>
    <x v="9"/>
    <x v="0"/>
    <n v="697385"/>
    <n v="1289"/>
    <n v="432"/>
    <m/>
  </r>
  <r>
    <x v="51"/>
    <x v="0"/>
    <x v="3"/>
    <x v="0"/>
    <n v="697275"/>
    <n v="1365"/>
    <n v="331"/>
    <m/>
  </r>
  <r>
    <x v="27"/>
    <x v="1"/>
    <x v="11"/>
    <x v="0"/>
    <n v="692705"/>
    <n v="1415"/>
    <n v="451"/>
    <m/>
  </r>
  <r>
    <x v="30"/>
    <x v="1"/>
    <x v="9"/>
    <x v="0"/>
    <n v="690470"/>
    <n v="1716"/>
    <n v="479"/>
    <m/>
  </r>
  <r>
    <x v="50"/>
    <x v="0"/>
    <x v="8"/>
    <x v="0"/>
    <n v="688618"/>
    <n v="977"/>
    <n v="285"/>
    <m/>
  </r>
  <r>
    <x v="46"/>
    <x v="1"/>
    <x v="11"/>
    <x v="0"/>
    <n v="688615"/>
    <n v="1059"/>
    <n v="320"/>
    <m/>
  </r>
  <r>
    <x v="42"/>
    <x v="1"/>
    <x v="9"/>
    <x v="0"/>
    <n v="686681"/>
    <n v="1202"/>
    <n v="334"/>
    <m/>
  </r>
  <r>
    <x v="33"/>
    <x v="1"/>
    <x v="11"/>
    <x v="0"/>
    <n v="686423"/>
    <n v="1279"/>
    <n v="381"/>
    <m/>
  </r>
  <r>
    <x v="38"/>
    <x v="1"/>
    <x v="11"/>
    <x v="0"/>
    <n v="685058"/>
    <n v="1348"/>
    <n v="358"/>
    <m/>
  </r>
  <r>
    <x v="50"/>
    <x v="0"/>
    <x v="7"/>
    <x v="0"/>
    <n v="678907"/>
    <n v="1313"/>
    <n v="402"/>
    <m/>
  </r>
  <r>
    <x v="50"/>
    <x v="1"/>
    <x v="8"/>
    <x v="0"/>
    <n v="678842"/>
    <n v="1130"/>
    <n v="315"/>
    <m/>
  </r>
  <r>
    <x v="51"/>
    <x v="0"/>
    <x v="4"/>
    <x v="0"/>
    <n v="678105"/>
    <n v="1393"/>
    <n v="352"/>
    <m/>
  </r>
  <r>
    <x v="38"/>
    <x v="1"/>
    <x v="9"/>
    <x v="0"/>
    <n v="677705"/>
    <n v="1377"/>
    <n v="361"/>
    <m/>
  </r>
  <r>
    <x v="46"/>
    <x v="1"/>
    <x v="8"/>
    <x v="0"/>
    <n v="676776"/>
    <n v="1110"/>
    <n v="315"/>
    <m/>
  </r>
  <r>
    <x v="35"/>
    <x v="0"/>
    <x v="10"/>
    <x v="0"/>
    <n v="673842"/>
    <n v="1128"/>
    <n v="354"/>
    <m/>
  </r>
  <r>
    <x v="30"/>
    <x v="1"/>
    <x v="10"/>
    <x v="0"/>
    <n v="673505"/>
    <n v="1700"/>
    <n v="513"/>
    <m/>
  </r>
  <r>
    <x v="35"/>
    <x v="1"/>
    <x v="10"/>
    <x v="0"/>
    <n v="673447"/>
    <n v="1192"/>
    <n v="381"/>
    <m/>
  </r>
  <r>
    <x v="47"/>
    <x v="0"/>
    <x v="8"/>
    <x v="0"/>
    <n v="672992"/>
    <n v="1013"/>
    <n v="323"/>
    <m/>
  </r>
  <r>
    <x v="43"/>
    <x v="1"/>
    <x v="11"/>
    <x v="0"/>
    <n v="672981"/>
    <n v="1359"/>
    <n v="433"/>
    <m/>
  </r>
  <r>
    <x v="50"/>
    <x v="0"/>
    <x v="9"/>
    <x v="0"/>
    <n v="668072"/>
    <n v="1131"/>
    <n v="359"/>
    <m/>
  </r>
  <r>
    <x v="36"/>
    <x v="1"/>
    <x v="10"/>
    <x v="0"/>
    <n v="665824"/>
    <n v="1350"/>
    <n v="428"/>
    <m/>
  </r>
  <r>
    <x v="39"/>
    <x v="1"/>
    <x v="10"/>
    <x v="0"/>
    <n v="661705"/>
    <n v="1260"/>
    <n v="385"/>
    <m/>
  </r>
  <r>
    <x v="39"/>
    <x v="1"/>
    <x v="11"/>
    <x v="0"/>
    <n v="660362"/>
    <n v="1159"/>
    <n v="353"/>
    <m/>
  </r>
  <r>
    <x v="51"/>
    <x v="1"/>
    <x v="4"/>
    <x v="0"/>
    <n v="659127"/>
    <n v="1486"/>
    <n v="358"/>
    <m/>
  </r>
  <r>
    <x v="44"/>
    <x v="0"/>
    <x v="8"/>
    <x v="0"/>
    <n v="658302"/>
    <n v="894"/>
    <n v="314"/>
    <m/>
  </r>
  <r>
    <x v="38"/>
    <x v="0"/>
    <x v="9"/>
    <x v="0"/>
    <n v="657805"/>
    <n v="1201"/>
    <n v="350"/>
    <m/>
  </r>
  <r>
    <x v="30"/>
    <x v="0"/>
    <x v="11"/>
    <x v="0"/>
    <n v="655907"/>
    <n v="1419"/>
    <n v="460"/>
    <m/>
  </r>
  <r>
    <x v="30"/>
    <x v="1"/>
    <x v="11"/>
    <x v="0"/>
    <n v="655638"/>
    <n v="1588"/>
    <n v="483"/>
    <m/>
  </r>
  <r>
    <x v="40"/>
    <x v="0"/>
    <x v="10"/>
    <x v="0"/>
    <n v="654195"/>
    <n v="1476"/>
    <n v="388"/>
    <m/>
  </r>
  <r>
    <x v="46"/>
    <x v="0"/>
    <x v="11"/>
    <x v="0"/>
    <n v="653528"/>
    <n v="1015"/>
    <n v="297"/>
    <m/>
  </r>
  <r>
    <x v="46"/>
    <x v="0"/>
    <x v="10"/>
    <x v="0"/>
    <n v="652145"/>
    <n v="1049"/>
    <n v="311"/>
    <m/>
  </r>
  <r>
    <x v="40"/>
    <x v="1"/>
    <x v="9"/>
    <x v="0"/>
    <n v="651160"/>
    <n v="1500"/>
    <n v="401"/>
    <m/>
  </r>
  <r>
    <x v="47"/>
    <x v="1"/>
    <x v="9"/>
    <x v="0"/>
    <n v="649982"/>
    <n v="1183"/>
    <n v="383"/>
    <m/>
  </r>
  <r>
    <x v="51"/>
    <x v="0"/>
    <x v="5"/>
    <x v="0"/>
    <n v="646694"/>
    <n v="1238"/>
    <n v="331"/>
    <m/>
  </r>
  <r>
    <x v="41"/>
    <x v="1"/>
    <x v="11"/>
    <x v="0"/>
    <n v="644259"/>
    <n v="1755"/>
    <n v="526"/>
    <m/>
  </r>
  <r>
    <x v="50"/>
    <x v="1"/>
    <x v="9"/>
    <x v="0"/>
    <n v="643488"/>
    <n v="1058"/>
    <n v="329"/>
    <m/>
  </r>
  <r>
    <x v="40"/>
    <x v="1"/>
    <x v="10"/>
    <x v="0"/>
    <n v="641546"/>
    <n v="1485"/>
    <n v="383"/>
    <m/>
  </r>
  <r>
    <x v="39"/>
    <x v="0"/>
    <x v="11"/>
    <x v="0"/>
    <n v="641300"/>
    <n v="1109"/>
    <n v="317"/>
    <m/>
  </r>
  <r>
    <x v="51"/>
    <x v="1"/>
    <x v="5"/>
    <x v="0"/>
    <n v="639589"/>
    <n v="1263"/>
    <n v="324"/>
    <m/>
  </r>
  <r>
    <x v="48"/>
    <x v="1"/>
    <x v="9"/>
    <x v="0"/>
    <n v="629146"/>
    <n v="1811"/>
    <n v="509"/>
    <m/>
  </r>
  <r>
    <x v="40"/>
    <x v="0"/>
    <x v="11"/>
    <x v="0"/>
    <n v="621110"/>
    <n v="1387"/>
    <n v="377"/>
    <m/>
  </r>
  <r>
    <x v="48"/>
    <x v="1"/>
    <x v="10"/>
    <x v="0"/>
    <n v="616998"/>
    <n v="1708"/>
    <n v="481"/>
    <m/>
  </r>
  <r>
    <x v="50"/>
    <x v="1"/>
    <x v="6"/>
    <x v="0"/>
    <n v="616851"/>
    <n v="1105"/>
    <n v="342"/>
    <m/>
  </r>
  <r>
    <x v="46"/>
    <x v="1"/>
    <x v="10"/>
    <x v="0"/>
    <n v="612634"/>
    <n v="1061"/>
    <n v="331"/>
    <m/>
  </r>
  <r>
    <x v="49"/>
    <x v="1"/>
    <x v="11"/>
    <x v="0"/>
    <n v="611862"/>
    <n v="1798"/>
    <n v="506"/>
    <m/>
  </r>
  <r>
    <x v="36"/>
    <x v="0"/>
    <x v="10"/>
    <x v="0"/>
    <n v="611820"/>
    <n v="1205"/>
    <n v="400"/>
    <m/>
  </r>
  <r>
    <x v="36"/>
    <x v="0"/>
    <x v="11"/>
    <x v="0"/>
    <n v="606983"/>
    <n v="1216"/>
    <n v="417"/>
    <m/>
  </r>
  <r>
    <x v="48"/>
    <x v="0"/>
    <x v="11"/>
    <x v="0"/>
    <n v="605580"/>
    <n v="1543"/>
    <n v="447"/>
    <m/>
  </r>
  <r>
    <x v="36"/>
    <x v="1"/>
    <x v="11"/>
    <x v="0"/>
    <n v="605241"/>
    <n v="1176"/>
    <n v="395"/>
    <m/>
  </r>
  <r>
    <x v="35"/>
    <x v="0"/>
    <x v="11"/>
    <x v="0"/>
    <n v="602675"/>
    <n v="969"/>
    <n v="306"/>
    <m/>
  </r>
  <r>
    <x v="38"/>
    <x v="0"/>
    <x v="11"/>
    <x v="0"/>
    <n v="600801"/>
    <n v="1115"/>
    <n v="324"/>
    <m/>
  </r>
  <r>
    <x v="40"/>
    <x v="1"/>
    <x v="11"/>
    <x v="0"/>
    <n v="600487"/>
    <n v="1477"/>
    <n v="403"/>
    <m/>
  </r>
  <r>
    <x v="47"/>
    <x v="1"/>
    <x v="10"/>
    <x v="0"/>
    <n v="598552"/>
    <n v="1152"/>
    <n v="353"/>
    <m/>
  </r>
  <r>
    <x v="42"/>
    <x v="0"/>
    <x v="10"/>
    <x v="0"/>
    <n v="595417"/>
    <n v="1009"/>
    <n v="276"/>
    <m/>
  </r>
  <r>
    <x v="47"/>
    <x v="1"/>
    <x v="11"/>
    <x v="0"/>
    <n v="590486"/>
    <n v="1109"/>
    <n v="333"/>
    <m/>
  </r>
  <r>
    <x v="48"/>
    <x v="1"/>
    <x v="11"/>
    <x v="0"/>
    <n v="589411"/>
    <n v="1650"/>
    <n v="482"/>
    <m/>
  </r>
  <r>
    <x v="45"/>
    <x v="0"/>
    <x v="8"/>
    <x v="0"/>
    <n v="586507"/>
    <n v="1331"/>
    <n v="413"/>
    <m/>
  </r>
  <r>
    <x v="38"/>
    <x v="0"/>
    <x v="10"/>
    <x v="0"/>
    <n v="585727"/>
    <n v="1050"/>
    <n v="329"/>
    <m/>
  </r>
  <r>
    <x v="50"/>
    <x v="1"/>
    <x v="10"/>
    <x v="0"/>
    <n v="584085"/>
    <n v="1044"/>
    <n v="296"/>
    <m/>
  </r>
  <r>
    <x v="44"/>
    <x v="1"/>
    <x v="10"/>
    <x v="0"/>
    <n v="582235"/>
    <n v="967"/>
    <n v="300"/>
    <m/>
  </r>
  <r>
    <x v="50"/>
    <x v="0"/>
    <x v="10"/>
    <x v="0"/>
    <n v="578255"/>
    <n v="1031"/>
    <n v="306"/>
    <m/>
  </r>
  <r>
    <x v="51"/>
    <x v="1"/>
    <x v="7"/>
    <x v="0"/>
    <n v="576257"/>
    <n v="1378"/>
    <n v="343"/>
    <m/>
  </r>
  <r>
    <x v="44"/>
    <x v="0"/>
    <x v="11"/>
    <x v="0"/>
    <n v="573865"/>
    <n v="876"/>
    <n v="277"/>
    <m/>
  </r>
  <r>
    <x v="45"/>
    <x v="0"/>
    <x v="9"/>
    <x v="0"/>
    <n v="570409"/>
    <n v="1506"/>
    <n v="423"/>
    <m/>
  </r>
  <r>
    <x v="45"/>
    <x v="0"/>
    <x v="10"/>
    <x v="0"/>
    <n v="567886"/>
    <n v="1422"/>
    <n v="412"/>
    <m/>
  </r>
  <r>
    <x v="49"/>
    <x v="0"/>
    <x v="10"/>
    <x v="0"/>
    <n v="567187"/>
    <n v="1622"/>
    <n v="442"/>
    <m/>
  </r>
  <r>
    <x v="49"/>
    <x v="0"/>
    <x v="11"/>
    <x v="0"/>
    <n v="564938"/>
    <n v="1496"/>
    <n v="426"/>
    <m/>
  </r>
  <r>
    <x v="47"/>
    <x v="0"/>
    <x v="11"/>
    <x v="0"/>
    <n v="562922"/>
    <n v="897"/>
    <n v="300"/>
    <m/>
  </r>
  <r>
    <x v="45"/>
    <x v="1"/>
    <x v="10"/>
    <x v="0"/>
    <n v="562342"/>
    <n v="1612"/>
    <n v="467"/>
    <m/>
  </r>
  <r>
    <x v="45"/>
    <x v="0"/>
    <x v="11"/>
    <x v="0"/>
    <n v="559900"/>
    <n v="1403"/>
    <n v="403"/>
    <m/>
  </r>
  <r>
    <x v="42"/>
    <x v="0"/>
    <x v="11"/>
    <x v="0"/>
    <n v="557215"/>
    <n v="855"/>
    <n v="249"/>
    <m/>
  </r>
  <r>
    <x v="45"/>
    <x v="1"/>
    <x v="9"/>
    <x v="0"/>
    <n v="557005"/>
    <n v="1486"/>
    <n v="396"/>
    <m/>
  </r>
  <r>
    <x v="51"/>
    <x v="0"/>
    <x v="7"/>
    <x v="0"/>
    <n v="544133"/>
    <n v="1291"/>
    <n v="308"/>
    <m/>
  </r>
  <r>
    <x v="44"/>
    <x v="1"/>
    <x v="11"/>
    <x v="0"/>
    <n v="543125"/>
    <n v="943"/>
    <n v="296"/>
    <m/>
  </r>
  <r>
    <x v="51"/>
    <x v="0"/>
    <x v="6"/>
    <x v="0"/>
    <n v="542668"/>
    <n v="1202"/>
    <n v="320"/>
    <m/>
  </r>
  <r>
    <x v="45"/>
    <x v="1"/>
    <x v="11"/>
    <x v="0"/>
    <n v="542433"/>
    <n v="1522"/>
    <n v="413"/>
    <m/>
  </r>
  <r>
    <x v="35"/>
    <x v="1"/>
    <x v="11"/>
    <x v="0"/>
    <n v="533633"/>
    <n v="1007"/>
    <n v="331"/>
    <m/>
  </r>
  <r>
    <x v="45"/>
    <x v="1"/>
    <x v="8"/>
    <x v="0"/>
    <n v="533011"/>
    <n v="1446"/>
    <n v="411"/>
    <m/>
  </r>
  <r>
    <x v="51"/>
    <x v="0"/>
    <x v="9"/>
    <x v="0"/>
    <n v="517721"/>
    <n v="1255"/>
    <n v="297"/>
    <m/>
  </r>
  <r>
    <x v="42"/>
    <x v="1"/>
    <x v="11"/>
    <x v="0"/>
    <n v="507569"/>
    <n v="882"/>
    <n v="257"/>
    <m/>
  </r>
  <r>
    <x v="51"/>
    <x v="1"/>
    <x v="6"/>
    <x v="0"/>
    <n v="500992"/>
    <n v="1187"/>
    <n v="298"/>
    <m/>
  </r>
  <r>
    <x v="51"/>
    <x v="0"/>
    <x v="10"/>
    <x v="0"/>
    <n v="471858"/>
    <n v="995"/>
    <n v="259"/>
    <m/>
  </r>
  <r>
    <x v="50"/>
    <x v="1"/>
    <x v="11"/>
    <x v="0"/>
    <n v="465790"/>
    <n v="892"/>
    <n v="278"/>
    <m/>
  </r>
  <r>
    <x v="51"/>
    <x v="1"/>
    <x v="10"/>
    <x v="0"/>
    <n v="450249"/>
    <n v="948"/>
    <n v="227"/>
    <m/>
  </r>
  <r>
    <x v="51"/>
    <x v="0"/>
    <x v="8"/>
    <x v="0"/>
    <n v="438081"/>
    <n v="884"/>
    <n v="225"/>
    <m/>
  </r>
  <r>
    <x v="50"/>
    <x v="0"/>
    <x v="11"/>
    <x v="0"/>
    <n v="435405"/>
    <n v="811"/>
    <n v="246"/>
    <m/>
  </r>
  <r>
    <x v="51"/>
    <x v="1"/>
    <x v="8"/>
    <x v="0"/>
    <n v="433579"/>
    <n v="902"/>
    <n v="235"/>
    <m/>
  </r>
  <r>
    <x v="51"/>
    <x v="1"/>
    <x v="9"/>
    <x v="0"/>
    <n v="428066"/>
    <n v="1023"/>
    <n v="254"/>
    <m/>
  </r>
  <r>
    <x v="52"/>
    <x v="1"/>
    <x v="0"/>
    <x v="0"/>
    <n v="374940"/>
    <n v="740"/>
    <n v="162"/>
    <m/>
  </r>
  <r>
    <x v="51"/>
    <x v="0"/>
    <x v="11"/>
    <x v="0"/>
    <n v="358575"/>
    <n v="870"/>
    <n v="217"/>
    <m/>
  </r>
  <r>
    <x v="51"/>
    <x v="1"/>
    <x v="11"/>
    <x v="0"/>
    <n v="321447"/>
    <n v="889"/>
    <n v="237"/>
    <m/>
  </r>
  <r>
    <x v="52"/>
    <x v="0"/>
    <x v="0"/>
    <x v="0"/>
    <n v="316816"/>
    <n v="598"/>
    <n v="152"/>
    <m/>
  </r>
  <r>
    <x v="52"/>
    <x v="0"/>
    <x v="1"/>
    <x v="0"/>
    <n v="288976"/>
    <n v="517"/>
    <n v="127"/>
    <m/>
  </r>
  <r>
    <x v="52"/>
    <x v="1"/>
    <x v="2"/>
    <x v="0"/>
    <n v="286135"/>
    <n v="592"/>
    <n v="155"/>
    <m/>
  </r>
  <r>
    <x v="52"/>
    <x v="1"/>
    <x v="1"/>
    <x v="0"/>
    <n v="283166"/>
    <n v="591"/>
    <n v="135"/>
    <m/>
  </r>
  <r>
    <x v="52"/>
    <x v="1"/>
    <x v="3"/>
    <x v="0"/>
    <n v="268147"/>
    <n v="566"/>
    <n v="156"/>
    <m/>
  </r>
  <r>
    <x v="52"/>
    <x v="0"/>
    <x v="4"/>
    <x v="0"/>
    <n v="265830"/>
    <n v="565"/>
    <n v="134"/>
    <m/>
  </r>
  <r>
    <x v="52"/>
    <x v="0"/>
    <x v="5"/>
    <x v="0"/>
    <n v="258045"/>
    <n v="560"/>
    <n v="126"/>
    <m/>
  </r>
  <r>
    <x v="52"/>
    <x v="1"/>
    <x v="4"/>
    <x v="0"/>
    <n v="255434"/>
    <n v="698"/>
    <n v="142"/>
    <m/>
  </r>
  <r>
    <x v="52"/>
    <x v="0"/>
    <x v="3"/>
    <x v="0"/>
    <n v="250018"/>
    <n v="500"/>
    <n v="127"/>
    <m/>
  </r>
  <r>
    <x v="52"/>
    <x v="1"/>
    <x v="6"/>
    <x v="0"/>
    <n v="225465"/>
    <n v="549"/>
    <n v="129"/>
    <m/>
  </r>
  <r>
    <x v="52"/>
    <x v="0"/>
    <x v="2"/>
    <x v="0"/>
    <n v="221279"/>
    <n v="495"/>
    <n v="142"/>
    <m/>
  </r>
  <r>
    <x v="52"/>
    <x v="1"/>
    <x v="7"/>
    <x v="0"/>
    <n v="219447"/>
    <n v="585"/>
    <n v="132"/>
    <m/>
  </r>
  <r>
    <x v="52"/>
    <x v="0"/>
    <x v="6"/>
    <x v="0"/>
    <n v="214585"/>
    <n v="549"/>
    <n v="140"/>
    <m/>
  </r>
  <r>
    <x v="52"/>
    <x v="0"/>
    <x v="8"/>
    <x v="0"/>
    <n v="199218"/>
    <n v="482"/>
    <n v="101"/>
    <m/>
  </r>
  <r>
    <x v="52"/>
    <x v="0"/>
    <x v="9"/>
    <x v="0"/>
    <n v="197826"/>
    <n v="490"/>
    <n v="118"/>
    <m/>
  </r>
  <r>
    <x v="52"/>
    <x v="1"/>
    <x v="9"/>
    <x v="0"/>
    <n v="197771"/>
    <n v="539"/>
    <n v="122"/>
    <m/>
  </r>
  <r>
    <x v="52"/>
    <x v="1"/>
    <x v="10"/>
    <x v="0"/>
    <n v="190246"/>
    <n v="379"/>
    <n v="105"/>
    <m/>
  </r>
  <r>
    <x v="52"/>
    <x v="1"/>
    <x v="5"/>
    <x v="0"/>
    <n v="187088"/>
    <n v="475"/>
    <n v="131"/>
    <m/>
  </r>
  <r>
    <x v="52"/>
    <x v="0"/>
    <x v="7"/>
    <x v="0"/>
    <n v="159688"/>
    <n v="452"/>
    <n v="115"/>
    <m/>
  </r>
  <r>
    <x v="52"/>
    <x v="0"/>
    <x v="10"/>
    <x v="0"/>
    <n v="158801"/>
    <n v="417"/>
    <n v="103"/>
    <m/>
  </r>
  <r>
    <x v="52"/>
    <x v="1"/>
    <x v="8"/>
    <x v="0"/>
    <n v="152755"/>
    <n v="426"/>
    <n v="109"/>
    <m/>
  </r>
  <r>
    <x v="52"/>
    <x v="0"/>
    <x v="11"/>
    <x v="0"/>
    <n v="123234"/>
    <n v="315"/>
    <n v="76"/>
    <m/>
  </r>
  <r>
    <x v="52"/>
    <x v="1"/>
    <x v="11"/>
    <x v="0"/>
    <n v="123157"/>
    <n v="368"/>
    <n v="94"/>
    <m/>
  </r>
  <r>
    <x v="10"/>
    <x v="1"/>
    <x v="8"/>
    <x v="1"/>
    <m/>
    <n v="1084"/>
    <m/>
    <m/>
  </r>
  <r>
    <x v="10"/>
    <x v="1"/>
    <x v="8"/>
    <x v="2"/>
    <m/>
    <n v="555"/>
    <m/>
    <m/>
  </r>
  <r>
    <x v="10"/>
    <x v="1"/>
    <x v="8"/>
    <x v="3"/>
    <m/>
    <n v="285"/>
    <m/>
    <m/>
  </r>
  <r>
    <x v="10"/>
    <x v="0"/>
    <x v="8"/>
    <x v="1"/>
    <m/>
    <n v="909"/>
    <m/>
    <m/>
  </r>
  <r>
    <x v="10"/>
    <x v="0"/>
    <x v="8"/>
    <x v="2"/>
    <m/>
    <n v="484"/>
    <m/>
    <m/>
  </r>
  <r>
    <x v="10"/>
    <x v="0"/>
    <x v="8"/>
    <x v="3"/>
    <m/>
    <n v="276"/>
    <m/>
    <m/>
  </r>
  <r>
    <x v="49"/>
    <x v="1"/>
    <x v="8"/>
    <x v="1"/>
    <m/>
    <n v="1107"/>
    <m/>
    <m/>
  </r>
  <r>
    <x v="49"/>
    <x v="1"/>
    <x v="8"/>
    <x v="2"/>
    <m/>
    <n v="340"/>
    <n v="1220"/>
    <m/>
  </r>
  <r>
    <x v="49"/>
    <x v="1"/>
    <x v="8"/>
    <x v="3"/>
    <m/>
    <n v="128"/>
    <n v="1018"/>
    <m/>
  </r>
  <r>
    <x v="49"/>
    <x v="0"/>
    <x v="8"/>
    <x v="1"/>
    <m/>
    <n v="779"/>
    <n v="1023"/>
    <m/>
  </r>
  <r>
    <x v="49"/>
    <x v="0"/>
    <x v="8"/>
    <x v="2"/>
    <m/>
    <n v="276"/>
    <n v="662"/>
    <m/>
  </r>
  <r>
    <x v="49"/>
    <x v="0"/>
    <x v="8"/>
    <x v="3"/>
    <m/>
    <n v="114"/>
    <n v="1015"/>
    <m/>
  </r>
  <r>
    <x v="5"/>
    <x v="1"/>
    <x v="8"/>
    <x v="1"/>
    <m/>
    <n v="946"/>
    <n v="932"/>
    <m/>
  </r>
  <r>
    <x v="5"/>
    <x v="1"/>
    <x v="8"/>
    <x v="2"/>
    <m/>
    <n v="636"/>
    <n v="886"/>
    <m/>
  </r>
  <r>
    <x v="5"/>
    <x v="1"/>
    <x v="8"/>
    <x v="3"/>
    <m/>
    <n v="379"/>
    <n v="747"/>
    <m/>
  </r>
  <r>
    <x v="5"/>
    <x v="0"/>
    <x v="8"/>
    <x v="1"/>
    <m/>
    <n v="896"/>
    <n v="1120"/>
    <m/>
  </r>
  <r>
    <x v="5"/>
    <x v="0"/>
    <x v="8"/>
    <x v="2"/>
    <m/>
    <n v="607"/>
    <n v="774"/>
    <m/>
  </r>
  <r>
    <x v="5"/>
    <x v="0"/>
    <x v="8"/>
    <x v="3"/>
    <m/>
    <n v="348"/>
    <n v="1159"/>
    <m/>
  </r>
  <r>
    <x v="17"/>
    <x v="1"/>
    <x v="8"/>
    <x v="1"/>
    <m/>
    <n v="1104"/>
    <n v="618"/>
    <m/>
  </r>
  <r>
    <x v="17"/>
    <x v="1"/>
    <x v="8"/>
    <x v="2"/>
    <m/>
    <n v="482"/>
    <n v="1234"/>
    <m/>
  </r>
  <r>
    <x v="17"/>
    <x v="1"/>
    <x v="8"/>
    <x v="3"/>
    <m/>
    <n v="203"/>
    <n v="1394"/>
    <m/>
  </r>
  <r>
    <x v="17"/>
    <x v="0"/>
    <x v="8"/>
    <x v="1"/>
    <m/>
    <n v="974"/>
    <n v="873"/>
    <m/>
  </r>
  <r>
    <x v="17"/>
    <x v="0"/>
    <x v="8"/>
    <x v="2"/>
    <m/>
    <n v="496"/>
    <n v="1273"/>
    <m/>
  </r>
  <r>
    <x v="17"/>
    <x v="0"/>
    <x v="8"/>
    <x v="3"/>
    <m/>
    <n v="259"/>
    <n v="1352"/>
    <m/>
  </r>
  <r>
    <x v="13"/>
    <x v="1"/>
    <x v="8"/>
    <x v="1"/>
    <m/>
    <n v="1480"/>
    <n v="1164"/>
    <m/>
  </r>
  <r>
    <x v="13"/>
    <x v="1"/>
    <x v="8"/>
    <x v="2"/>
    <m/>
    <n v="537"/>
    <n v="1364"/>
    <m/>
  </r>
  <r>
    <x v="13"/>
    <x v="1"/>
    <x v="8"/>
    <x v="3"/>
    <m/>
    <n v="199"/>
    <n v="890"/>
    <m/>
  </r>
  <r>
    <x v="13"/>
    <x v="0"/>
    <x v="8"/>
    <x v="1"/>
    <m/>
    <n v="1265"/>
    <n v="908"/>
    <m/>
  </r>
  <r>
    <x v="13"/>
    <x v="0"/>
    <x v="8"/>
    <x v="2"/>
    <m/>
    <n v="531"/>
    <n v="917"/>
    <m/>
  </r>
  <r>
    <x v="13"/>
    <x v="0"/>
    <x v="8"/>
    <x v="3"/>
    <m/>
    <n v="238"/>
    <n v="1470"/>
    <m/>
  </r>
  <r>
    <x v="26"/>
    <x v="1"/>
    <x v="8"/>
    <x v="1"/>
    <m/>
    <n v="498"/>
    <n v="1539"/>
    <m/>
  </r>
  <r>
    <x v="26"/>
    <x v="1"/>
    <x v="8"/>
    <x v="2"/>
    <m/>
    <n v="417"/>
    <n v="637"/>
    <m/>
  </r>
  <r>
    <x v="26"/>
    <x v="1"/>
    <x v="8"/>
    <x v="3"/>
    <m/>
    <n v="282"/>
    <n v="1093"/>
    <m/>
  </r>
  <r>
    <x v="26"/>
    <x v="0"/>
    <x v="8"/>
    <x v="1"/>
    <m/>
    <n v="427"/>
    <n v="1246"/>
    <m/>
  </r>
  <r>
    <x v="26"/>
    <x v="0"/>
    <x v="8"/>
    <x v="2"/>
    <m/>
    <n v="358"/>
    <n v="852"/>
    <m/>
  </r>
  <r>
    <x v="26"/>
    <x v="0"/>
    <x v="8"/>
    <x v="3"/>
    <m/>
    <n v="210"/>
    <n v="1224"/>
    <m/>
  </r>
  <r>
    <x v="11"/>
    <x v="1"/>
    <x v="8"/>
    <x v="1"/>
    <m/>
    <n v="1242"/>
    <n v="927"/>
    <m/>
  </r>
  <r>
    <x v="11"/>
    <x v="1"/>
    <x v="8"/>
    <x v="2"/>
    <m/>
    <n v="661"/>
    <n v="857"/>
    <m/>
  </r>
  <r>
    <x v="11"/>
    <x v="1"/>
    <x v="8"/>
    <x v="3"/>
    <m/>
    <n v="290"/>
    <n v="970"/>
    <m/>
  </r>
  <r>
    <x v="11"/>
    <x v="0"/>
    <x v="8"/>
    <x v="1"/>
    <m/>
    <n v="1134"/>
    <n v="1106"/>
    <m/>
  </r>
  <r>
    <x v="11"/>
    <x v="0"/>
    <x v="8"/>
    <x v="2"/>
    <m/>
    <n v="639"/>
    <n v="777"/>
    <m/>
  </r>
  <r>
    <x v="11"/>
    <x v="0"/>
    <x v="8"/>
    <x v="3"/>
    <m/>
    <n v="305"/>
    <n v="830"/>
    <m/>
  </r>
  <r>
    <x v="31"/>
    <x v="1"/>
    <x v="8"/>
    <x v="1"/>
    <m/>
    <n v="708"/>
    <n v="1152"/>
    <m/>
  </r>
  <r>
    <x v="31"/>
    <x v="1"/>
    <x v="8"/>
    <x v="2"/>
    <m/>
    <n v="411"/>
    <n v="989"/>
    <m/>
  </r>
  <r>
    <x v="31"/>
    <x v="1"/>
    <x v="8"/>
    <x v="3"/>
    <m/>
    <n v="191"/>
    <n v="1191"/>
    <m/>
  </r>
  <r>
    <x v="31"/>
    <x v="0"/>
    <x v="8"/>
    <x v="1"/>
    <m/>
    <n v="697"/>
    <n v="1167"/>
    <m/>
  </r>
  <r>
    <x v="31"/>
    <x v="0"/>
    <x v="8"/>
    <x v="2"/>
    <m/>
    <n v="362"/>
    <n v="969"/>
    <m/>
  </r>
  <r>
    <x v="31"/>
    <x v="0"/>
    <x v="8"/>
    <x v="3"/>
    <m/>
    <n v="158"/>
    <n v="1341"/>
    <m/>
  </r>
  <r>
    <x v="7"/>
    <x v="1"/>
    <x v="8"/>
    <x v="1"/>
    <m/>
    <n v="1118"/>
    <n v="790"/>
    <m/>
  </r>
  <r>
    <x v="7"/>
    <x v="1"/>
    <x v="8"/>
    <x v="2"/>
    <m/>
    <n v="608"/>
    <n v="991"/>
    <m/>
  </r>
  <r>
    <x v="7"/>
    <x v="1"/>
    <x v="8"/>
    <x v="3"/>
    <m/>
    <n v="370"/>
    <n v="1263"/>
    <m/>
  </r>
  <r>
    <x v="7"/>
    <x v="0"/>
    <x v="8"/>
    <x v="1"/>
    <m/>
    <n v="1160"/>
    <n v="720"/>
    <m/>
  </r>
  <r>
    <x v="7"/>
    <x v="0"/>
    <x v="8"/>
    <x v="2"/>
    <m/>
    <n v="577"/>
    <n v="752"/>
    <m/>
  </r>
  <r>
    <x v="7"/>
    <x v="0"/>
    <x v="8"/>
    <x v="3"/>
    <m/>
    <n v="376"/>
    <n v="1301"/>
    <m/>
  </r>
  <r>
    <x v="2"/>
    <x v="1"/>
    <x v="8"/>
    <x v="1"/>
    <m/>
    <n v="1651"/>
    <n v="1355"/>
    <m/>
  </r>
  <r>
    <x v="2"/>
    <x v="1"/>
    <x v="8"/>
    <x v="2"/>
    <m/>
    <n v="739"/>
    <n v="1198"/>
    <m/>
  </r>
  <r>
    <x v="2"/>
    <x v="1"/>
    <x v="8"/>
    <x v="3"/>
    <m/>
    <n v="359"/>
    <n v="1096"/>
    <m/>
  </r>
  <r>
    <x v="2"/>
    <x v="0"/>
    <x v="8"/>
    <x v="1"/>
    <m/>
    <n v="1481"/>
    <n v="682"/>
    <m/>
  </r>
  <r>
    <x v="2"/>
    <x v="0"/>
    <x v="8"/>
    <x v="2"/>
    <m/>
    <n v="735"/>
    <n v="1129"/>
    <m/>
  </r>
  <r>
    <x v="2"/>
    <x v="0"/>
    <x v="8"/>
    <x v="3"/>
    <m/>
    <n v="369"/>
    <n v="852"/>
    <m/>
  </r>
  <r>
    <x v="48"/>
    <x v="1"/>
    <x v="8"/>
    <x v="1"/>
    <m/>
    <n v="914"/>
    <n v="918"/>
    <m/>
  </r>
  <r>
    <x v="48"/>
    <x v="1"/>
    <x v="8"/>
    <x v="2"/>
    <m/>
    <n v="265"/>
    <n v="948"/>
    <m/>
  </r>
  <r>
    <x v="48"/>
    <x v="1"/>
    <x v="8"/>
    <x v="3"/>
    <m/>
    <n v="131"/>
    <n v="746"/>
    <m/>
  </r>
  <r>
    <x v="48"/>
    <x v="0"/>
    <x v="8"/>
    <x v="1"/>
    <m/>
    <n v="909"/>
    <n v="1310"/>
    <m/>
  </r>
  <r>
    <x v="48"/>
    <x v="0"/>
    <x v="8"/>
    <x v="2"/>
    <m/>
    <n v="268"/>
    <n v="891"/>
    <m/>
  </r>
  <r>
    <x v="48"/>
    <x v="0"/>
    <x v="8"/>
    <x v="3"/>
    <m/>
    <n v="131"/>
    <n v="847"/>
    <m/>
  </r>
  <r>
    <x v="50"/>
    <x v="1"/>
    <x v="8"/>
    <x v="1"/>
    <m/>
    <n v="310"/>
    <n v="986"/>
    <m/>
  </r>
  <r>
    <x v="50"/>
    <x v="1"/>
    <x v="8"/>
    <x v="2"/>
    <m/>
    <n v="267"/>
    <n v="891"/>
    <m/>
  </r>
  <r>
    <x v="50"/>
    <x v="1"/>
    <x v="8"/>
    <x v="3"/>
    <m/>
    <n v="153"/>
    <n v="1105"/>
    <m/>
  </r>
  <r>
    <x v="50"/>
    <x v="0"/>
    <x v="8"/>
    <x v="1"/>
    <m/>
    <n v="316"/>
    <n v="1056"/>
    <m/>
  </r>
  <r>
    <x v="50"/>
    <x v="0"/>
    <x v="8"/>
    <x v="2"/>
    <m/>
    <n v="211"/>
    <n v="980"/>
    <m/>
  </r>
  <r>
    <x v="50"/>
    <x v="0"/>
    <x v="8"/>
    <x v="3"/>
    <m/>
    <n v="107"/>
    <n v="1166"/>
    <m/>
  </r>
  <r>
    <x v="38"/>
    <x v="1"/>
    <x v="8"/>
    <x v="1"/>
    <m/>
    <n v="448"/>
    <n v="1066"/>
    <m/>
  </r>
  <r>
    <x v="38"/>
    <x v="1"/>
    <x v="8"/>
    <x v="2"/>
    <m/>
    <n v="246"/>
    <n v="1057"/>
    <m/>
  </r>
  <r>
    <x v="38"/>
    <x v="1"/>
    <x v="8"/>
    <x v="3"/>
    <m/>
    <n v="125"/>
    <n v="1103"/>
    <m/>
  </r>
  <r>
    <x v="38"/>
    <x v="0"/>
    <x v="8"/>
    <x v="1"/>
    <m/>
    <n v="284"/>
    <n v="927"/>
    <m/>
  </r>
  <r>
    <x v="38"/>
    <x v="0"/>
    <x v="8"/>
    <x v="2"/>
    <m/>
    <n v="241"/>
    <n v="897"/>
    <m/>
  </r>
  <r>
    <x v="38"/>
    <x v="0"/>
    <x v="8"/>
    <x v="3"/>
    <m/>
    <n v="132"/>
    <n v="998"/>
    <m/>
  </r>
  <r>
    <x v="12"/>
    <x v="1"/>
    <x v="8"/>
    <x v="1"/>
    <m/>
    <n v="972"/>
    <n v="1075"/>
    <m/>
  </r>
  <r>
    <x v="12"/>
    <x v="1"/>
    <x v="8"/>
    <x v="2"/>
    <m/>
    <n v="499"/>
    <n v="898"/>
    <m/>
  </r>
  <r>
    <x v="12"/>
    <x v="1"/>
    <x v="8"/>
    <x v="3"/>
    <m/>
    <n v="239"/>
    <n v="953"/>
    <m/>
  </r>
  <r>
    <x v="12"/>
    <x v="0"/>
    <x v="8"/>
    <x v="1"/>
    <m/>
    <n v="831"/>
    <n v="847"/>
    <m/>
  </r>
  <r>
    <x v="12"/>
    <x v="0"/>
    <x v="8"/>
    <x v="2"/>
    <m/>
    <n v="469"/>
    <n v="987"/>
    <m/>
  </r>
  <r>
    <x v="12"/>
    <x v="0"/>
    <x v="8"/>
    <x v="3"/>
    <m/>
    <n v="231"/>
    <n v="932"/>
    <m/>
  </r>
  <r>
    <x v="34"/>
    <x v="1"/>
    <x v="8"/>
    <x v="1"/>
    <m/>
    <n v="1035"/>
    <n v="853"/>
    <m/>
  </r>
  <r>
    <x v="34"/>
    <x v="1"/>
    <x v="8"/>
    <x v="2"/>
    <m/>
    <n v="437"/>
    <n v="1012"/>
    <m/>
  </r>
  <r>
    <x v="34"/>
    <x v="1"/>
    <x v="8"/>
    <x v="3"/>
    <m/>
    <n v="179"/>
    <n v="852"/>
    <m/>
  </r>
  <r>
    <x v="34"/>
    <x v="0"/>
    <x v="8"/>
    <x v="1"/>
    <m/>
    <n v="783"/>
    <n v="1154"/>
    <m/>
  </r>
  <r>
    <x v="34"/>
    <x v="0"/>
    <x v="8"/>
    <x v="2"/>
    <m/>
    <n v="385"/>
    <n v="903"/>
    <m/>
  </r>
  <r>
    <x v="34"/>
    <x v="0"/>
    <x v="8"/>
    <x v="3"/>
    <m/>
    <n v="194"/>
    <n v="956"/>
    <m/>
  </r>
  <r>
    <x v="39"/>
    <x v="1"/>
    <x v="8"/>
    <x v="1"/>
    <m/>
    <n v="380"/>
    <n v="944"/>
    <m/>
  </r>
  <r>
    <x v="39"/>
    <x v="1"/>
    <x v="8"/>
    <x v="2"/>
    <m/>
    <n v="303"/>
    <n v="853"/>
    <m/>
  </r>
  <r>
    <x v="39"/>
    <x v="1"/>
    <x v="8"/>
    <x v="3"/>
    <m/>
    <n v="204"/>
    <n v="832"/>
    <m/>
  </r>
  <r>
    <x v="39"/>
    <x v="0"/>
    <x v="8"/>
    <x v="1"/>
    <m/>
    <n v="329"/>
    <n v="1111"/>
    <m/>
  </r>
  <r>
    <x v="39"/>
    <x v="0"/>
    <x v="8"/>
    <x v="2"/>
    <m/>
    <n v="217"/>
    <n v="983"/>
    <m/>
  </r>
  <r>
    <x v="39"/>
    <x v="0"/>
    <x v="8"/>
    <x v="3"/>
    <m/>
    <n v="204"/>
    <n v="1041"/>
    <m/>
  </r>
  <r>
    <x v="43"/>
    <x v="1"/>
    <x v="8"/>
    <x v="1"/>
    <m/>
    <n v="537"/>
    <n v="755"/>
    <m/>
  </r>
  <r>
    <x v="43"/>
    <x v="1"/>
    <x v="8"/>
    <x v="2"/>
    <m/>
    <n v="336"/>
    <n v="733"/>
    <m/>
  </r>
  <r>
    <x v="43"/>
    <x v="1"/>
    <x v="8"/>
    <x v="3"/>
    <m/>
    <n v="195"/>
    <m/>
    <m/>
  </r>
  <r>
    <x v="43"/>
    <x v="0"/>
    <x v="8"/>
    <x v="1"/>
    <m/>
    <n v="513"/>
    <n v="816"/>
    <m/>
  </r>
  <r>
    <x v="43"/>
    <x v="0"/>
    <x v="8"/>
    <x v="2"/>
    <m/>
    <n v="264"/>
    <n v="900"/>
    <m/>
  </r>
  <r>
    <x v="43"/>
    <x v="0"/>
    <x v="8"/>
    <x v="3"/>
    <m/>
    <n v="151"/>
    <n v="850"/>
    <m/>
  </r>
  <r>
    <x v="18"/>
    <x v="1"/>
    <x v="8"/>
    <x v="1"/>
    <m/>
    <n v="696"/>
    <n v="1122"/>
    <m/>
  </r>
  <r>
    <x v="18"/>
    <x v="1"/>
    <x v="8"/>
    <x v="2"/>
    <m/>
    <n v="491"/>
    <n v="950"/>
    <m/>
  </r>
  <r>
    <x v="18"/>
    <x v="1"/>
    <x v="8"/>
    <x v="3"/>
    <m/>
    <n v="269"/>
    <n v="791"/>
    <m/>
  </r>
  <r>
    <x v="18"/>
    <x v="0"/>
    <x v="8"/>
    <x v="1"/>
    <m/>
    <n v="608"/>
    <n v="1078"/>
    <m/>
  </r>
  <r>
    <x v="18"/>
    <x v="0"/>
    <x v="8"/>
    <x v="2"/>
    <m/>
    <n v="452"/>
    <n v="794"/>
    <m/>
  </r>
  <r>
    <x v="18"/>
    <x v="0"/>
    <x v="8"/>
    <x v="3"/>
    <m/>
    <n v="284"/>
    <n v="1230"/>
    <m/>
  </r>
  <r>
    <x v="9"/>
    <x v="1"/>
    <x v="8"/>
    <x v="1"/>
    <m/>
    <n v="1231"/>
    <n v="780"/>
    <m/>
  </r>
  <r>
    <x v="9"/>
    <x v="1"/>
    <x v="8"/>
    <x v="2"/>
    <m/>
    <n v="625"/>
    <n v="1009"/>
    <m/>
  </r>
  <r>
    <x v="9"/>
    <x v="1"/>
    <x v="8"/>
    <x v="3"/>
    <m/>
    <n v="289"/>
    <n v="981"/>
    <m/>
  </r>
  <r>
    <x v="9"/>
    <x v="0"/>
    <x v="8"/>
    <x v="1"/>
    <m/>
    <n v="1227"/>
    <n v="868"/>
    <m/>
  </r>
  <r>
    <x v="9"/>
    <x v="0"/>
    <x v="8"/>
    <x v="2"/>
    <m/>
    <n v="544"/>
    <n v="1179"/>
    <m/>
  </r>
  <r>
    <x v="9"/>
    <x v="0"/>
    <x v="8"/>
    <x v="3"/>
    <m/>
    <n v="243"/>
    <n v="911"/>
    <m/>
  </r>
  <r>
    <x v="16"/>
    <x v="1"/>
    <x v="8"/>
    <x v="1"/>
    <m/>
    <n v="819"/>
    <n v="1272"/>
    <m/>
  </r>
  <r>
    <x v="16"/>
    <x v="1"/>
    <x v="8"/>
    <x v="2"/>
    <m/>
    <n v="543"/>
    <n v="797"/>
    <m/>
  </r>
  <r>
    <x v="16"/>
    <x v="1"/>
    <x v="8"/>
    <x v="3"/>
    <m/>
    <n v="223"/>
    <n v="1001"/>
    <m/>
  </r>
  <r>
    <x v="16"/>
    <x v="0"/>
    <x v="8"/>
    <x v="1"/>
    <m/>
    <n v="619"/>
    <n v="1331"/>
    <m/>
  </r>
  <r>
    <x v="16"/>
    <x v="0"/>
    <x v="8"/>
    <x v="2"/>
    <m/>
    <n v="455"/>
    <n v="1370"/>
    <m/>
  </r>
  <r>
    <x v="16"/>
    <x v="0"/>
    <x v="8"/>
    <x v="3"/>
    <m/>
    <n v="227"/>
    <n v="999"/>
    <m/>
  </r>
  <r>
    <x v="40"/>
    <x v="1"/>
    <x v="8"/>
    <x v="1"/>
    <m/>
    <n v="779"/>
    <n v="1133"/>
    <m/>
  </r>
  <r>
    <x v="40"/>
    <x v="1"/>
    <x v="8"/>
    <x v="2"/>
    <m/>
    <n v="261"/>
    <n v="960"/>
    <m/>
  </r>
  <r>
    <x v="40"/>
    <x v="1"/>
    <x v="8"/>
    <x v="3"/>
    <m/>
    <n v="104"/>
    <n v="1239"/>
    <m/>
  </r>
  <r>
    <x v="40"/>
    <x v="0"/>
    <x v="8"/>
    <x v="1"/>
    <m/>
    <n v="643"/>
    <n v="979"/>
    <m/>
  </r>
  <r>
    <x v="40"/>
    <x v="0"/>
    <x v="8"/>
    <x v="2"/>
    <m/>
    <n v="251"/>
    <n v="873"/>
    <m/>
  </r>
  <r>
    <x v="40"/>
    <x v="0"/>
    <x v="8"/>
    <x v="3"/>
    <m/>
    <n v="106"/>
    <n v="730"/>
    <m/>
  </r>
  <r>
    <x v="22"/>
    <x v="1"/>
    <x v="8"/>
    <x v="1"/>
    <m/>
    <n v="958"/>
    <n v="711"/>
    <m/>
  </r>
  <r>
    <x v="22"/>
    <x v="1"/>
    <x v="8"/>
    <x v="2"/>
    <m/>
    <n v="407"/>
    <n v="1027"/>
    <m/>
  </r>
  <r>
    <x v="22"/>
    <x v="1"/>
    <x v="8"/>
    <x v="3"/>
    <m/>
    <n v="158"/>
    <n v="1055"/>
    <m/>
  </r>
  <r>
    <x v="22"/>
    <x v="0"/>
    <x v="8"/>
    <x v="1"/>
    <m/>
    <n v="736"/>
    <n v="1121"/>
    <m/>
  </r>
  <r>
    <x v="22"/>
    <x v="0"/>
    <x v="8"/>
    <x v="2"/>
    <m/>
    <n v="405"/>
    <n v="819"/>
    <m/>
  </r>
  <r>
    <x v="22"/>
    <x v="0"/>
    <x v="8"/>
    <x v="3"/>
    <m/>
    <n v="160"/>
    <n v="1324"/>
    <m/>
  </r>
  <r>
    <x v="8"/>
    <x v="1"/>
    <x v="8"/>
    <x v="1"/>
    <m/>
    <n v="1260"/>
    <n v="805"/>
    <m/>
  </r>
  <r>
    <x v="8"/>
    <x v="1"/>
    <x v="8"/>
    <x v="2"/>
    <m/>
    <n v="601"/>
    <n v="836"/>
    <m/>
  </r>
  <r>
    <x v="8"/>
    <x v="1"/>
    <x v="8"/>
    <x v="3"/>
    <m/>
    <n v="246"/>
    <n v="1045"/>
    <m/>
  </r>
  <r>
    <x v="8"/>
    <x v="0"/>
    <x v="8"/>
    <x v="1"/>
    <m/>
    <n v="1030"/>
    <n v="1166"/>
    <m/>
  </r>
  <r>
    <x v="8"/>
    <x v="0"/>
    <x v="8"/>
    <x v="2"/>
    <m/>
    <n v="628"/>
    <n v="962"/>
    <m/>
  </r>
  <r>
    <x v="8"/>
    <x v="0"/>
    <x v="8"/>
    <x v="3"/>
    <m/>
    <n v="261"/>
    <n v="820"/>
    <m/>
  </r>
  <r>
    <x v="42"/>
    <x v="1"/>
    <x v="8"/>
    <x v="1"/>
    <m/>
    <n v="347"/>
    <n v="840"/>
    <m/>
  </r>
  <r>
    <x v="42"/>
    <x v="1"/>
    <x v="8"/>
    <x v="2"/>
    <m/>
    <n v="254"/>
    <n v="958"/>
    <m/>
  </r>
  <r>
    <x v="42"/>
    <x v="1"/>
    <x v="8"/>
    <x v="3"/>
    <m/>
    <n v="136"/>
    <n v="1064"/>
    <m/>
  </r>
  <r>
    <x v="42"/>
    <x v="0"/>
    <x v="8"/>
    <x v="1"/>
    <m/>
    <n v="367"/>
    <n v="1020"/>
    <m/>
  </r>
  <r>
    <x v="42"/>
    <x v="0"/>
    <x v="8"/>
    <x v="2"/>
    <m/>
    <n v="222"/>
    <n v="950"/>
    <m/>
  </r>
  <r>
    <x v="42"/>
    <x v="0"/>
    <x v="8"/>
    <x v="3"/>
    <m/>
    <n v="117"/>
    <n v="1096"/>
    <m/>
  </r>
  <r>
    <x v="46"/>
    <x v="1"/>
    <x v="8"/>
    <x v="1"/>
    <m/>
    <n v="376"/>
    <n v="1104"/>
    <m/>
  </r>
  <r>
    <x v="46"/>
    <x v="1"/>
    <x v="8"/>
    <x v="2"/>
    <m/>
    <n v="185"/>
    <n v="1064"/>
    <m/>
  </r>
  <r>
    <x v="46"/>
    <x v="1"/>
    <x v="8"/>
    <x v="3"/>
    <m/>
    <n v="122"/>
    <n v="1143"/>
    <m/>
  </r>
  <r>
    <x v="46"/>
    <x v="0"/>
    <x v="8"/>
    <x v="1"/>
    <m/>
    <n v="348"/>
    <n v="967"/>
    <m/>
  </r>
  <r>
    <x v="46"/>
    <x v="0"/>
    <x v="8"/>
    <x v="2"/>
    <m/>
    <n v="225"/>
    <n v="1091"/>
    <m/>
  </r>
  <r>
    <x v="46"/>
    <x v="0"/>
    <x v="8"/>
    <x v="3"/>
    <m/>
    <n v="143"/>
    <n v="1118"/>
    <m/>
  </r>
  <r>
    <x v="3"/>
    <x v="1"/>
    <x v="8"/>
    <x v="1"/>
    <m/>
    <n v="1394"/>
    <n v="980"/>
    <m/>
  </r>
  <r>
    <x v="3"/>
    <x v="1"/>
    <x v="8"/>
    <x v="2"/>
    <m/>
    <n v="646"/>
    <n v="966"/>
    <m/>
  </r>
  <r>
    <x v="3"/>
    <x v="1"/>
    <x v="8"/>
    <x v="3"/>
    <m/>
    <n v="389"/>
    <n v="823"/>
    <m/>
  </r>
  <r>
    <x v="3"/>
    <x v="0"/>
    <x v="8"/>
    <x v="1"/>
    <m/>
    <n v="1166"/>
    <n v="966"/>
    <m/>
  </r>
  <r>
    <x v="3"/>
    <x v="0"/>
    <x v="8"/>
    <x v="2"/>
    <m/>
    <n v="607"/>
    <n v="1089"/>
    <m/>
  </r>
  <r>
    <x v="3"/>
    <x v="0"/>
    <x v="8"/>
    <x v="3"/>
    <m/>
    <n v="385"/>
    <n v="1213"/>
    <m/>
  </r>
  <r>
    <x v="0"/>
    <x v="1"/>
    <x v="8"/>
    <x v="1"/>
    <m/>
    <n v="1751"/>
    <n v="724"/>
    <m/>
  </r>
  <r>
    <x v="0"/>
    <x v="1"/>
    <x v="8"/>
    <x v="2"/>
    <m/>
    <n v="848"/>
    <n v="636"/>
    <m/>
  </r>
  <r>
    <x v="0"/>
    <x v="1"/>
    <x v="8"/>
    <x v="3"/>
    <m/>
    <n v="405"/>
    <n v="1207"/>
    <m/>
  </r>
  <r>
    <x v="0"/>
    <x v="0"/>
    <x v="8"/>
    <x v="1"/>
    <m/>
    <n v="2015"/>
    <n v="1119"/>
    <m/>
  </r>
  <r>
    <x v="0"/>
    <x v="0"/>
    <x v="8"/>
    <x v="2"/>
    <m/>
    <n v="1036"/>
    <n v="1063"/>
    <m/>
  </r>
  <r>
    <x v="0"/>
    <x v="0"/>
    <x v="8"/>
    <x v="3"/>
    <m/>
    <n v="536"/>
    <n v="881"/>
    <m/>
  </r>
  <r>
    <x v="51"/>
    <x v="1"/>
    <x v="8"/>
    <x v="1"/>
    <m/>
    <n v="320"/>
    <n v="1032"/>
    <m/>
  </r>
  <r>
    <x v="51"/>
    <x v="1"/>
    <x v="8"/>
    <x v="2"/>
    <m/>
    <n v="161"/>
    <n v="764"/>
    <m/>
  </r>
  <r>
    <x v="51"/>
    <x v="1"/>
    <x v="8"/>
    <x v="3"/>
    <m/>
    <n v="64"/>
    <n v="1437"/>
    <m/>
  </r>
  <r>
    <x v="51"/>
    <x v="0"/>
    <x v="8"/>
    <x v="1"/>
    <m/>
    <n v="304"/>
    <n v="892"/>
    <m/>
  </r>
  <r>
    <x v="51"/>
    <x v="0"/>
    <x v="8"/>
    <x v="2"/>
    <m/>
    <n v="152"/>
    <n v="1269"/>
    <m/>
  </r>
  <r>
    <x v="51"/>
    <x v="0"/>
    <x v="8"/>
    <x v="3"/>
    <m/>
    <n v="83"/>
    <n v="868"/>
    <m/>
  </r>
  <r>
    <x v="1"/>
    <x v="1"/>
    <x v="8"/>
    <x v="1"/>
    <m/>
    <n v="1009"/>
    <n v="1214"/>
    <m/>
  </r>
  <r>
    <x v="1"/>
    <x v="1"/>
    <x v="8"/>
    <x v="2"/>
    <m/>
    <n v="556"/>
    <n v="1191"/>
    <m/>
  </r>
  <r>
    <x v="1"/>
    <x v="1"/>
    <x v="8"/>
    <x v="3"/>
    <m/>
    <n v="259"/>
    <n v="1022"/>
    <m/>
  </r>
  <r>
    <x v="1"/>
    <x v="0"/>
    <x v="8"/>
    <x v="1"/>
    <m/>
    <n v="1096"/>
    <n v="706"/>
    <m/>
  </r>
  <r>
    <x v="1"/>
    <x v="0"/>
    <x v="8"/>
    <x v="2"/>
    <m/>
    <n v="724"/>
    <n v="976"/>
    <m/>
  </r>
  <r>
    <x v="1"/>
    <x v="0"/>
    <x v="8"/>
    <x v="3"/>
    <m/>
    <n v="368"/>
    <n v="1083"/>
    <m/>
  </r>
  <r>
    <x v="52"/>
    <x v="1"/>
    <x v="8"/>
    <x v="1"/>
    <m/>
    <n v="215"/>
    <n v="915"/>
    <m/>
  </r>
  <r>
    <x v="52"/>
    <x v="1"/>
    <x v="8"/>
    <x v="2"/>
    <m/>
    <n v="72"/>
    <n v="1137"/>
    <m/>
  </r>
  <r>
    <x v="52"/>
    <x v="1"/>
    <x v="8"/>
    <x v="3"/>
    <m/>
    <n v="41"/>
    <n v="1024"/>
    <m/>
  </r>
  <r>
    <x v="52"/>
    <x v="0"/>
    <x v="8"/>
    <x v="1"/>
    <m/>
    <n v="225"/>
    <n v="1111"/>
    <m/>
  </r>
  <r>
    <x v="52"/>
    <x v="0"/>
    <x v="8"/>
    <x v="2"/>
    <m/>
    <n v="61"/>
    <n v="837"/>
    <m/>
  </r>
  <r>
    <x v="52"/>
    <x v="0"/>
    <x v="8"/>
    <x v="3"/>
    <m/>
    <n v="44"/>
    <n v="926"/>
    <m/>
  </r>
  <r>
    <x v="4"/>
    <x v="1"/>
    <x v="8"/>
    <x v="1"/>
    <m/>
    <n v="1689"/>
    <n v="658"/>
    <m/>
  </r>
  <r>
    <x v="4"/>
    <x v="1"/>
    <x v="8"/>
    <x v="2"/>
    <m/>
    <n v="654"/>
    <n v="813"/>
    <m/>
  </r>
  <r>
    <x v="4"/>
    <x v="1"/>
    <x v="8"/>
    <x v="3"/>
    <m/>
    <n v="362"/>
    <n v="760"/>
    <m/>
  </r>
  <r>
    <x v="4"/>
    <x v="0"/>
    <x v="8"/>
    <x v="1"/>
    <m/>
    <n v="1388"/>
    <n v="916"/>
    <m/>
  </r>
  <r>
    <x v="4"/>
    <x v="0"/>
    <x v="8"/>
    <x v="2"/>
    <m/>
    <n v="714"/>
    <n v="945"/>
    <m/>
  </r>
  <r>
    <x v="4"/>
    <x v="0"/>
    <x v="8"/>
    <x v="3"/>
    <m/>
    <n v="372"/>
    <n v="1006"/>
    <m/>
  </r>
  <r>
    <x v="41"/>
    <x v="1"/>
    <x v="8"/>
    <x v="1"/>
    <m/>
    <n v="893"/>
    <n v="617"/>
    <m/>
  </r>
  <r>
    <x v="41"/>
    <x v="1"/>
    <x v="8"/>
    <x v="2"/>
    <m/>
    <n v="384"/>
    <n v="1164"/>
    <m/>
  </r>
  <r>
    <x v="41"/>
    <x v="1"/>
    <x v="8"/>
    <x v="3"/>
    <m/>
    <n v="191"/>
    <n v="908"/>
    <m/>
  </r>
  <r>
    <x v="41"/>
    <x v="0"/>
    <x v="8"/>
    <x v="1"/>
    <m/>
    <n v="767"/>
    <n v="1337"/>
    <m/>
  </r>
  <r>
    <x v="41"/>
    <x v="0"/>
    <x v="8"/>
    <x v="2"/>
    <m/>
    <n v="329"/>
    <n v="1392"/>
    <m/>
  </r>
  <r>
    <x v="41"/>
    <x v="0"/>
    <x v="8"/>
    <x v="3"/>
    <m/>
    <n v="165"/>
    <n v="961"/>
    <m/>
  </r>
  <r>
    <x v="15"/>
    <x v="1"/>
    <x v="8"/>
    <x v="1"/>
    <m/>
    <n v="1173"/>
    <n v="763"/>
    <m/>
  </r>
  <r>
    <x v="15"/>
    <x v="1"/>
    <x v="8"/>
    <x v="2"/>
    <m/>
    <n v="539"/>
    <n v="831"/>
    <m/>
  </r>
  <r>
    <x v="15"/>
    <x v="1"/>
    <x v="8"/>
    <x v="3"/>
    <m/>
    <n v="268"/>
    <n v="1352"/>
    <m/>
  </r>
  <r>
    <x v="15"/>
    <x v="0"/>
    <x v="8"/>
    <x v="1"/>
    <m/>
    <n v="1041"/>
    <n v="1176"/>
    <m/>
  </r>
  <r>
    <x v="15"/>
    <x v="0"/>
    <x v="8"/>
    <x v="2"/>
    <m/>
    <n v="573"/>
    <n v="1017"/>
    <m/>
  </r>
  <r>
    <x v="15"/>
    <x v="0"/>
    <x v="8"/>
    <x v="3"/>
    <m/>
    <n v="283"/>
    <n v="1010"/>
    <m/>
  </r>
  <r>
    <x v="45"/>
    <x v="1"/>
    <x v="8"/>
    <x v="1"/>
    <m/>
    <n v="808"/>
    <n v="667"/>
    <m/>
  </r>
  <r>
    <x v="45"/>
    <x v="1"/>
    <x v="8"/>
    <x v="2"/>
    <m/>
    <n v="265"/>
    <n v="752"/>
    <m/>
  </r>
  <r>
    <x v="45"/>
    <x v="1"/>
    <x v="8"/>
    <x v="3"/>
    <m/>
    <n v="106"/>
    <n v="749"/>
    <m/>
  </r>
  <r>
    <x v="45"/>
    <x v="0"/>
    <x v="8"/>
    <x v="1"/>
    <m/>
    <n v="687"/>
    <n v="669"/>
    <m/>
  </r>
  <r>
    <x v="45"/>
    <x v="0"/>
    <x v="8"/>
    <x v="2"/>
    <m/>
    <n v="268"/>
    <n v="628"/>
    <m/>
  </r>
  <r>
    <x v="45"/>
    <x v="0"/>
    <x v="8"/>
    <x v="3"/>
    <m/>
    <n v="95"/>
    <n v="1005"/>
    <m/>
  </r>
  <r>
    <x v="29"/>
    <x v="1"/>
    <x v="8"/>
    <x v="1"/>
    <m/>
    <n v="798"/>
    <n v="1188"/>
    <m/>
  </r>
  <r>
    <x v="29"/>
    <x v="1"/>
    <x v="8"/>
    <x v="2"/>
    <m/>
    <n v="426"/>
    <n v="1030"/>
    <m/>
  </r>
  <r>
    <x v="29"/>
    <x v="1"/>
    <x v="8"/>
    <x v="3"/>
    <m/>
    <n v="222"/>
    <n v="1017"/>
    <m/>
  </r>
  <r>
    <x v="29"/>
    <x v="0"/>
    <x v="8"/>
    <x v="1"/>
    <m/>
    <n v="702"/>
    <n v="812"/>
    <m/>
  </r>
  <r>
    <x v="29"/>
    <x v="0"/>
    <x v="8"/>
    <x v="2"/>
    <m/>
    <n v="387"/>
    <n v="967"/>
    <m/>
  </r>
  <r>
    <x v="29"/>
    <x v="0"/>
    <x v="8"/>
    <x v="3"/>
    <m/>
    <n v="214"/>
    <n v="1075"/>
    <m/>
  </r>
  <r>
    <x v="28"/>
    <x v="1"/>
    <x v="8"/>
    <x v="1"/>
    <m/>
    <n v="924"/>
    <n v="1018"/>
    <m/>
  </r>
  <r>
    <x v="28"/>
    <x v="1"/>
    <x v="8"/>
    <x v="2"/>
    <m/>
    <n v="433"/>
    <n v="753"/>
    <m/>
  </r>
  <r>
    <x v="28"/>
    <x v="1"/>
    <x v="8"/>
    <x v="3"/>
    <m/>
    <n v="206"/>
    <n v="931"/>
    <m/>
  </r>
  <r>
    <x v="28"/>
    <x v="0"/>
    <x v="8"/>
    <x v="1"/>
    <m/>
    <n v="828"/>
    <n v="733"/>
    <m/>
  </r>
  <r>
    <x v="28"/>
    <x v="0"/>
    <x v="8"/>
    <x v="2"/>
    <m/>
    <n v="397"/>
    <n v="916"/>
    <m/>
  </r>
  <r>
    <x v="28"/>
    <x v="0"/>
    <x v="8"/>
    <x v="3"/>
    <m/>
    <n v="218"/>
    <n v="968"/>
    <m/>
  </r>
  <r>
    <x v="24"/>
    <x v="1"/>
    <x v="8"/>
    <x v="1"/>
    <m/>
    <n v="1181"/>
    <n v="793"/>
    <m/>
  </r>
  <r>
    <x v="24"/>
    <x v="1"/>
    <x v="8"/>
    <x v="2"/>
    <m/>
    <n v="601"/>
    <n v="1118"/>
    <m/>
  </r>
  <r>
    <x v="24"/>
    <x v="1"/>
    <x v="8"/>
    <x v="3"/>
    <m/>
    <n v="218"/>
    <n v="990"/>
    <m/>
  </r>
  <r>
    <x v="24"/>
    <x v="0"/>
    <x v="8"/>
    <x v="1"/>
    <m/>
    <n v="1005"/>
    <n v="1047"/>
    <m/>
  </r>
  <r>
    <x v="24"/>
    <x v="0"/>
    <x v="8"/>
    <x v="2"/>
    <m/>
    <n v="509"/>
    <n v="765"/>
    <m/>
  </r>
  <r>
    <x v="24"/>
    <x v="0"/>
    <x v="8"/>
    <x v="3"/>
    <m/>
    <n v="218"/>
    <n v="1127"/>
    <m/>
  </r>
  <r>
    <x v="23"/>
    <x v="1"/>
    <x v="8"/>
    <x v="1"/>
    <m/>
    <n v="722"/>
    <n v="1092"/>
    <m/>
  </r>
  <r>
    <x v="23"/>
    <x v="1"/>
    <x v="8"/>
    <x v="2"/>
    <m/>
    <n v="441"/>
    <n v="745"/>
    <m/>
  </r>
  <r>
    <x v="23"/>
    <x v="1"/>
    <x v="8"/>
    <x v="3"/>
    <m/>
    <n v="307"/>
    <n v="739"/>
    <m/>
  </r>
  <r>
    <x v="23"/>
    <x v="0"/>
    <x v="8"/>
    <x v="1"/>
    <m/>
    <n v="618"/>
    <n v="1086"/>
    <m/>
  </r>
  <r>
    <x v="23"/>
    <x v="0"/>
    <x v="8"/>
    <x v="2"/>
    <m/>
    <n v="437"/>
    <n v="1006"/>
    <m/>
  </r>
  <r>
    <x v="23"/>
    <x v="0"/>
    <x v="8"/>
    <x v="3"/>
    <m/>
    <n v="274"/>
    <n v="1409"/>
    <m/>
  </r>
  <r>
    <x v="14"/>
    <x v="1"/>
    <x v="8"/>
    <x v="1"/>
    <m/>
    <n v="731"/>
    <n v="1444"/>
    <m/>
  </r>
  <r>
    <x v="14"/>
    <x v="1"/>
    <x v="8"/>
    <x v="2"/>
    <m/>
    <n v="439"/>
    <n v="932"/>
    <m/>
  </r>
  <r>
    <x v="14"/>
    <x v="1"/>
    <x v="8"/>
    <x v="3"/>
    <m/>
    <n v="246"/>
    <n v="1378"/>
    <m/>
  </r>
  <r>
    <x v="14"/>
    <x v="0"/>
    <x v="8"/>
    <x v="1"/>
    <m/>
    <n v="808"/>
    <n v="934"/>
    <m/>
  </r>
  <r>
    <x v="14"/>
    <x v="0"/>
    <x v="8"/>
    <x v="2"/>
    <m/>
    <n v="436"/>
    <n v="777"/>
    <m/>
  </r>
  <r>
    <x v="14"/>
    <x v="0"/>
    <x v="8"/>
    <x v="3"/>
    <m/>
    <n v="263"/>
    <n v="863"/>
    <m/>
  </r>
  <r>
    <x v="30"/>
    <x v="1"/>
    <x v="8"/>
    <x v="1"/>
    <m/>
    <n v="710"/>
    <n v="849"/>
    <m/>
  </r>
  <r>
    <x v="30"/>
    <x v="1"/>
    <x v="8"/>
    <x v="2"/>
    <m/>
    <n v="395"/>
    <n v="838"/>
    <m/>
  </r>
  <r>
    <x v="30"/>
    <x v="1"/>
    <x v="8"/>
    <x v="3"/>
    <m/>
    <n v="147"/>
    <n v="1114"/>
    <m/>
  </r>
  <r>
    <x v="30"/>
    <x v="0"/>
    <x v="8"/>
    <x v="1"/>
    <m/>
    <n v="612"/>
    <n v="913"/>
    <m/>
  </r>
  <r>
    <x v="30"/>
    <x v="0"/>
    <x v="8"/>
    <x v="2"/>
    <m/>
    <n v="386"/>
    <n v="1182"/>
    <m/>
  </r>
  <r>
    <x v="30"/>
    <x v="0"/>
    <x v="8"/>
    <x v="3"/>
    <m/>
    <n v="177"/>
    <n v="1022"/>
    <m/>
  </r>
  <r>
    <x v="20"/>
    <x v="1"/>
    <x v="8"/>
    <x v="1"/>
    <m/>
    <n v="747"/>
    <n v="901"/>
    <m/>
  </r>
  <r>
    <x v="20"/>
    <x v="1"/>
    <x v="8"/>
    <x v="2"/>
    <m/>
    <n v="408"/>
    <n v="856"/>
    <m/>
  </r>
  <r>
    <x v="20"/>
    <x v="1"/>
    <x v="8"/>
    <x v="3"/>
    <m/>
    <n v="217"/>
    <n v="1156"/>
    <m/>
  </r>
  <r>
    <x v="20"/>
    <x v="0"/>
    <x v="8"/>
    <x v="1"/>
    <m/>
    <n v="620"/>
    <n v="1097"/>
    <m/>
  </r>
  <r>
    <x v="20"/>
    <x v="0"/>
    <x v="8"/>
    <x v="2"/>
    <m/>
    <n v="329"/>
    <n v="1011"/>
    <m/>
  </r>
  <r>
    <x v="20"/>
    <x v="0"/>
    <x v="8"/>
    <x v="3"/>
    <m/>
    <n v="178"/>
    <n v="1181"/>
    <m/>
  </r>
  <r>
    <x v="36"/>
    <x v="1"/>
    <x v="8"/>
    <x v="1"/>
    <m/>
    <n v="456"/>
    <n v="858"/>
    <m/>
  </r>
  <r>
    <x v="36"/>
    <x v="1"/>
    <x v="8"/>
    <x v="2"/>
    <m/>
    <n v="273"/>
    <n v="1355"/>
    <m/>
  </r>
  <r>
    <x v="36"/>
    <x v="1"/>
    <x v="8"/>
    <x v="3"/>
    <m/>
    <n v="183"/>
    <n v="1192"/>
    <m/>
  </r>
  <r>
    <x v="36"/>
    <x v="0"/>
    <x v="8"/>
    <x v="1"/>
    <m/>
    <n v="442"/>
    <n v="915"/>
    <m/>
  </r>
  <r>
    <x v="36"/>
    <x v="0"/>
    <x v="8"/>
    <x v="2"/>
    <m/>
    <n v="335"/>
    <n v="1179"/>
    <m/>
  </r>
  <r>
    <x v="36"/>
    <x v="0"/>
    <x v="8"/>
    <x v="3"/>
    <m/>
    <n v="172"/>
    <n v="854"/>
    <m/>
  </r>
  <r>
    <x v="33"/>
    <x v="1"/>
    <x v="8"/>
    <x v="1"/>
    <m/>
    <n v="486"/>
    <n v="764"/>
    <m/>
  </r>
  <r>
    <x v="33"/>
    <x v="1"/>
    <x v="8"/>
    <x v="2"/>
    <m/>
    <n v="292"/>
    <n v="649"/>
    <m/>
  </r>
  <r>
    <x v="33"/>
    <x v="1"/>
    <x v="8"/>
    <x v="3"/>
    <m/>
    <n v="148"/>
    <n v="876"/>
    <m/>
  </r>
  <r>
    <x v="33"/>
    <x v="0"/>
    <x v="8"/>
    <x v="1"/>
    <m/>
    <n v="422"/>
    <n v="1424"/>
    <m/>
  </r>
  <r>
    <x v="33"/>
    <x v="0"/>
    <x v="8"/>
    <x v="2"/>
    <m/>
    <n v="286"/>
    <n v="1036"/>
    <m/>
  </r>
  <r>
    <x v="33"/>
    <x v="0"/>
    <x v="8"/>
    <x v="3"/>
    <m/>
    <n v="156"/>
    <n v="900"/>
    <m/>
  </r>
  <r>
    <x v="19"/>
    <x v="1"/>
    <x v="8"/>
    <x v="1"/>
    <m/>
    <n v="677"/>
    <n v="924"/>
    <m/>
  </r>
  <r>
    <x v="19"/>
    <x v="1"/>
    <x v="8"/>
    <x v="2"/>
    <m/>
    <n v="510"/>
    <n v="1079"/>
    <m/>
  </r>
  <r>
    <x v="19"/>
    <x v="1"/>
    <x v="8"/>
    <x v="3"/>
    <m/>
    <n v="264"/>
    <n v="918"/>
    <m/>
  </r>
  <r>
    <x v="19"/>
    <x v="0"/>
    <x v="8"/>
    <x v="1"/>
    <m/>
    <n v="578"/>
    <n v="952"/>
    <m/>
  </r>
  <r>
    <x v="19"/>
    <x v="0"/>
    <x v="8"/>
    <x v="2"/>
    <m/>
    <n v="411"/>
    <n v="877"/>
    <m/>
  </r>
  <r>
    <x v="19"/>
    <x v="0"/>
    <x v="8"/>
    <x v="3"/>
    <m/>
    <n v="215"/>
    <n v="1409"/>
    <m/>
  </r>
  <r>
    <x v="21"/>
    <x v="1"/>
    <x v="8"/>
    <x v="1"/>
    <m/>
    <n v="857"/>
    <n v="1102"/>
    <m/>
  </r>
  <r>
    <x v="21"/>
    <x v="1"/>
    <x v="8"/>
    <x v="2"/>
    <m/>
    <n v="416"/>
    <n v="1264"/>
    <m/>
  </r>
  <r>
    <x v="21"/>
    <x v="1"/>
    <x v="8"/>
    <x v="3"/>
    <m/>
    <n v="194"/>
    <n v="1021"/>
    <m/>
  </r>
  <r>
    <x v="21"/>
    <x v="0"/>
    <x v="8"/>
    <x v="1"/>
    <m/>
    <n v="723"/>
    <n v="1046"/>
    <m/>
  </r>
  <r>
    <x v="21"/>
    <x v="0"/>
    <x v="8"/>
    <x v="2"/>
    <m/>
    <n v="389"/>
    <n v="969"/>
    <m/>
  </r>
  <r>
    <x v="21"/>
    <x v="0"/>
    <x v="8"/>
    <x v="3"/>
    <m/>
    <n v="194"/>
    <n v="1103"/>
    <m/>
  </r>
  <r>
    <x v="47"/>
    <x v="1"/>
    <x v="8"/>
    <x v="1"/>
    <m/>
    <n v="364"/>
    <n v="891"/>
    <m/>
  </r>
  <r>
    <x v="47"/>
    <x v="1"/>
    <x v="8"/>
    <x v="2"/>
    <m/>
    <n v="266"/>
    <n v="1192"/>
    <m/>
  </r>
  <r>
    <x v="47"/>
    <x v="1"/>
    <x v="8"/>
    <x v="3"/>
    <m/>
    <n v="184"/>
    <n v="728"/>
    <m/>
  </r>
  <r>
    <x v="47"/>
    <x v="0"/>
    <x v="8"/>
    <x v="1"/>
    <m/>
    <n v="271"/>
    <n v="910"/>
    <m/>
  </r>
  <r>
    <x v="47"/>
    <x v="0"/>
    <x v="8"/>
    <x v="2"/>
    <m/>
    <n v="217"/>
    <n v="1112"/>
    <m/>
  </r>
  <r>
    <x v="47"/>
    <x v="0"/>
    <x v="8"/>
    <x v="3"/>
    <m/>
    <n v="133"/>
    <n v="854"/>
    <m/>
  </r>
  <r>
    <x v="35"/>
    <x v="1"/>
    <x v="8"/>
    <x v="1"/>
    <m/>
    <n v="388"/>
    <n v="872"/>
    <m/>
  </r>
  <r>
    <x v="35"/>
    <x v="1"/>
    <x v="8"/>
    <x v="2"/>
    <m/>
    <n v="267"/>
    <n v="625"/>
    <m/>
  </r>
  <r>
    <x v="35"/>
    <x v="1"/>
    <x v="8"/>
    <x v="3"/>
    <m/>
    <n v="184"/>
    <n v="1172"/>
    <m/>
  </r>
  <r>
    <x v="35"/>
    <x v="0"/>
    <x v="8"/>
    <x v="1"/>
    <m/>
    <n v="392"/>
    <n v="707"/>
    <m/>
  </r>
  <r>
    <x v="35"/>
    <x v="0"/>
    <x v="8"/>
    <x v="2"/>
    <m/>
    <n v="238"/>
    <n v="1167"/>
    <m/>
  </r>
  <r>
    <x v="35"/>
    <x v="0"/>
    <x v="8"/>
    <x v="3"/>
    <m/>
    <n v="158"/>
    <n v="901"/>
    <m/>
  </r>
  <r>
    <x v="44"/>
    <x v="1"/>
    <x v="8"/>
    <x v="1"/>
    <m/>
    <n v="325"/>
    <n v="783"/>
    <m/>
  </r>
  <r>
    <x v="44"/>
    <x v="1"/>
    <x v="8"/>
    <x v="2"/>
    <m/>
    <n v="240"/>
    <n v="1014"/>
    <m/>
  </r>
  <r>
    <x v="44"/>
    <x v="1"/>
    <x v="8"/>
    <x v="3"/>
    <m/>
    <n v="183"/>
    <n v="868"/>
    <m/>
  </r>
  <r>
    <x v="44"/>
    <x v="0"/>
    <x v="8"/>
    <x v="1"/>
    <m/>
    <n v="254"/>
    <n v="720"/>
    <m/>
  </r>
  <r>
    <x v="44"/>
    <x v="0"/>
    <x v="8"/>
    <x v="2"/>
    <m/>
    <n v="182"/>
    <n v="1066"/>
    <m/>
  </r>
  <r>
    <x v="44"/>
    <x v="0"/>
    <x v="8"/>
    <x v="3"/>
    <m/>
    <n v="122"/>
    <n v="815"/>
    <m/>
  </r>
  <r>
    <x v="6"/>
    <x v="1"/>
    <x v="8"/>
    <x v="1"/>
    <m/>
    <n v="1379"/>
    <n v="1272"/>
    <m/>
  </r>
  <r>
    <x v="6"/>
    <x v="1"/>
    <x v="8"/>
    <x v="2"/>
    <m/>
    <n v="592"/>
    <n v="988"/>
    <m/>
  </r>
  <r>
    <x v="6"/>
    <x v="1"/>
    <x v="8"/>
    <x v="3"/>
    <m/>
    <n v="336"/>
    <n v="1066"/>
    <m/>
  </r>
  <r>
    <x v="6"/>
    <x v="0"/>
    <x v="8"/>
    <x v="1"/>
    <m/>
    <n v="1048"/>
    <n v="858"/>
    <m/>
  </r>
  <r>
    <x v="6"/>
    <x v="0"/>
    <x v="8"/>
    <x v="2"/>
    <m/>
    <n v="622"/>
    <n v="996"/>
    <m/>
  </r>
  <r>
    <x v="6"/>
    <x v="0"/>
    <x v="8"/>
    <x v="3"/>
    <m/>
    <n v="328"/>
    <n v="1114"/>
    <m/>
  </r>
  <r>
    <x v="32"/>
    <x v="1"/>
    <x v="8"/>
    <x v="1"/>
    <m/>
    <n v="705"/>
    <n v="1076"/>
    <m/>
  </r>
  <r>
    <x v="32"/>
    <x v="1"/>
    <x v="8"/>
    <x v="2"/>
    <m/>
    <n v="343"/>
    <n v="822"/>
    <m/>
  </r>
  <r>
    <x v="32"/>
    <x v="1"/>
    <x v="8"/>
    <x v="3"/>
    <m/>
    <n v="177"/>
    <n v="1025"/>
    <m/>
  </r>
  <r>
    <x v="32"/>
    <x v="0"/>
    <x v="8"/>
    <x v="1"/>
    <m/>
    <n v="660"/>
    <n v="1132"/>
    <m/>
  </r>
  <r>
    <x v="32"/>
    <x v="0"/>
    <x v="8"/>
    <x v="2"/>
    <m/>
    <n v="322"/>
    <n v="1130"/>
    <m/>
  </r>
  <r>
    <x v="32"/>
    <x v="0"/>
    <x v="8"/>
    <x v="3"/>
    <m/>
    <n v="205"/>
    <n v="784"/>
    <m/>
  </r>
  <r>
    <x v="27"/>
    <x v="1"/>
    <x v="8"/>
    <x v="1"/>
    <m/>
    <n v="628"/>
    <n v="743"/>
    <m/>
  </r>
  <r>
    <x v="27"/>
    <x v="1"/>
    <x v="8"/>
    <x v="2"/>
    <m/>
    <n v="370"/>
    <n v="1153"/>
    <m/>
  </r>
  <r>
    <x v="27"/>
    <x v="1"/>
    <x v="8"/>
    <x v="3"/>
    <m/>
    <n v="189"/>
    <n v="902"/>
    <m/>
  </r>
  <r>
    <x v="27"/>
    <x v="0"/>
    <x v="8"/>
    <x v="1"/>
    <m/>
    <n v="458"/>
    <n v="943"/>
    <m/>
  </r>
  <r>
    <x v="27"/>
    <x v="0"/>
    <x v="8"/>
    <x v="2"/>
    <m/>
    <n v="300"/>
    <n v="1080"/>
    <m/>
  </r>
  <r>
    <x v="27"/>
    <x v="0"/>
    <x v="8"/>
    <x v="3"/>
    <m/>
    <n v="143"/>
    <n v="934"/>
    <m/>
  </r>
  <r>
    <x v="25"/>
    <x v="1"/>
    <x v="8"/>
    <x v="1"/>
    <m/>
    <n v="364"/>
    <n v="1184"/>
    <m/>
  </r>
  <r>
    <x v="25"/>
    <x v="1"/>
    <x v="8"/>
    <x v="2"/>
    <m/>
    <n v="313"/>
    <n v="833"/>
    <m/>
  </r>
  <r>
    <x v="25"/>
    <x v="1"/>
    <x v="8"/>
    <x v="3"/>
    <m/>
    <n v="182"/>
    <n v="916"/>
    <m/>
  </r>
  <r>
    <x v="25"/>
    <x v="0"/>
    <x v="8"/>
    <x v="1"/>
    <m/>
    <n v="342"/>
    <n v="1040"/>
    <m/>
  </r>
  <r>
    <x v="25"/>
    <x v="0"/>
    <x v="8"/>
    <x v="2"/>
    <m/>
    <n v="299"/>
    <n v="962"/>
    <m/>
  </r>
  <r>
    <x v="25"/>
    <x v="0"/>
    <x v="8"/>
    <x v="3"/>
    <m/>
    <n v="193"/>
    <m/>
    <m/>
  </r>
  <r>
    <x v="10"/>
    <x v="0"/>
    <x v="8"/>
    <x v="4"/>
    <m/>
    <m/>
    <m/>
    <n v="28"/>
  </r>
  <r>
    <x v="10"/>
    <x v="0"/>
    <x v="8"/>
    <x v="5"/>
    <m/>
    <m/>
    <m/>
    <n v="23"/>
  </r>
  <r>
    <x v="49"/>
    <x v="0"/>
    <x v="8"/>
    <x v="4"/>
    <m/>
    <m/>
    <m/>
    <n v="21"/>
  </r>
  <r>
    <x v="49"/>
    <x v="0"/>
    <x v="8"/>
    <x v="5"/>
    <m/>
    <m/>
    <m/>
    <n v="5"/>
  </r>
  <r>
    <x v="5"/>
    <x v="0"/>
    <x v="8"/>
    <x v="4"/>
    <m/>
    <m/>
    <m/>
    <n v="48"/>
  </r>
  <r>
    <x v="5"/>
    <x v="0"/>
    <x v="8"/>
    <x v="5"/>
    <m/>
    <m/>
    <m/>
    <n v="5"/>
  </r>
  <r>
    <x v="17"/>
    <x v="0"/>
    <x v="8"/>
    <x v="4"/>
    <m/>
    <m/>
    <m/>
    <n v="34"/>
  </r>
  <r>
    <x v="17"/>
    <x v="0"/>
    <x v="8"/>
    <x v="5"/>
    <m/>
    <m/>
    <m/>
    <n v="14"/>
  </r>
  <r>
    <x v="13"/>
    <x v="0"/>
    <x v="8"/>
    <x v="4"/>
    <m/>
    <m/>
    <m/>
    <n v="34"/>
  </r>
  <r>
    <x v="13"/>
    <x v="0"/>
    <x v="8"/>
    <x v="5"/>
    <m/>
    <m/>
    <m/>
    <n v="20"/>
  </r>
  <r>
    <x v="26"/>
    <x v="0"/>
    <x v="8"/>
    <x v="4"/>
    <m/>
    <m/>
    <m/>
    <n v="19"/>
  </r>
  <r>
    <x v="26"/>
    <x v="0"/>
    <x v="8"/>
    <x v="5"/>
    <m/>
    <m/>
    <m/>
    <n v="5"/>
  </r>
  <r>
    <x v="11"/>
    <x v="0"/>
    <x v="8"/>
    <x v="4"/>
    <m/>
    <m/>
    <m/>
    <n v="31"/>
  </r>
  <r>
    <x v="11"/>
    <x v="0"/>
    <x v="8"/>
    <x v="5"/>
    <m/>
    <m/>
    <m/>
    <n v="14"/>
  </r>
  <r>
    <x v="31"/>
    <x v="0"/>
    <x v="8"/>
    <x v="4"/>
    <m/>
    <m/>
    <m/>
    <n v="28"/>
  </r>
  <r>
    <x v="31"/>
    <x v="0"/>
    <x v="8"/>
    <x v="5"/>
    <m/>
    <m/>
    <m/>
    <n v="7"/>
  </r>
  <r>
    <x v="7"/>
    <x v="0"/>
    <x v="8"/>
    <x v="4"/>
    <m/>
    <m/>
    <m/>
    <n v="34"/>
  </r>
  <r>
    <x v="7"/>
    <x v="0"/>
    <x v="8"/>
    <x v="5"/>
    <m/>
    <m/>
    <m/>
    <n v="14"/>
  </r>
  <r>
    <x v="2"/>
    <x v="0"/>
    <x v="8"/>
    <x v="4"/>
    <m/>
    <m/>
    <m/>
    <n v="39"/>
  </r>
  <r>
    <x v="2"/>
    <x v="0"/>
    <x v="8"/>
    <x v="5"/>
    <m/>
    <m/>
    <m/>
    <n v="24"/>
  </r>
  <r>
    <x v="48"/>
    <x v="0"/>
    <x v="8"/>
    <x v="4"/>
    <m/>
    <m/>
    <m/>
    <n v="13"/>
  </r>
  <r>
    <x v="48"/>
    <x v="0"/>
    <x v="8"/>
    <x v="5"/>
    <m/>
    <m/>
    <m/>
    <n v="8"/>
  </r>
  <r>
    <x v="50"/>
    <x v="0"/>
    <x v="8"/>
    <x v="4"/>
    <m/>
    <m/>
    <m/>
    <n v="15"/>
  </r>
  <r>
    <x v="50"/>
    <x v="0"/>
    <x v="8"/>
    <x v="5"/>
    <m/>
    <m/>
    <m/>
    <n v="5"/>
  </r>
  <r>
    <x v="38"/>
    <x v="0"/>
    <x v="8"/>
    <x v="4"/>
    <m/>
    <m/>
    <m/>
    <n v="8"/>
  </r>
  <r>
    <x v="38"/>
    <x v="0"/>
    <x v="8"/>
    <x v="5"/>
    <m/>
    <m/>
    <m/>
    <n v="2"/>
  </r>
  <r>
    <x v="12"/>
    <x v="0"/>
    <x v="8"/>
    <x v="4"/>
    <m/>
    <m/>
    <m/>
    <n v="26"/>
  </r>
  <r>
    <x v="12"/>
    <x v="0"/>
    <x v="8"/>
    <x v="5"/>
    <m/>
    <m/>
    <m/>
    <n v="5"/>
  </r>
  <r>
    <x v="34"/>
    <x v="0"/>
    <x v="8"/>
    <x v="4"/>
    <m/>
    <m/>
    <m/>
    <n v="13"/>
  </r>
  <r>
    <x v="34"/>
    <x v="0"/>
    <x v="8"/>
    <x v="5"/>
    <m/>
    <m/>
    <m/>
    <n v="2"/>
  </r>
  <r>
    <x v="39"/>
    <x v="0"/>
    <x v="8"/>
    <x v="4"/>
    <m/>
    <m/>
    <m/>
    <n v="20"/>
  </r>
  <r>
    <x v="39"/>
    <x v="0"/>
    <x v="8"/>
    <x v="5"/>
    <m/>
    <m/>
    <m/>
    <n v="9"/>
  </r>
  <r>
    <x v="43"/>
    <x v="0"/>
    <x v="8"/>
    <x v="4"/>
    <m/>
    <m/>
    <m/>
    <n v="13"/>
  </r>
  <r>
    <x v="43"/>
    <x v="0"/>
    <x v="8"/>
    <x v="5"/>
    <m/>
    <m/>
    <m/>
    <n v="3"/>
  </r>
  <r>
    <x v="18"/>
    <x v="0"/>
    <x v="8"/>
    <x v="4"/>
    <m/>
    <m/>
    <m/>
    <n v="26"/>
  </r>
  <r>
    <x v="18"/>
    <x v="0"/>
    <x v="8"/>
    <x v="5"/>
    <m/>
    <m/>
    <m/>
    <n v="9"/>
  </r>
  <r>
    <x v="9"/>
    <x v="0"/>
    <x v="8"/>
    <x v="4"/>
    <m/>
    <m/>
    <m/>
    <n v="31"/>
  </r>
  <r>
    <x v="9"/>
    <x v="0"/>
    <x v="8"/>
    <x v="5"/>
    <m/>
    <m/>
    <m/>
    <n v="11"/>
  </r>
  <r>
    <x v="16"/>
    <x v="0"/>
    <x v="8"/>
    <x v="4"/>
    <m/>
    <m/>
    <m/>
    <n v="25"/>
  </r>
  <r>
    <x v="16"/>
    <x v="0"/>
    <x v="8"/>
    <x v="5"/>
    <m/>
    <m/>
    <m/>
    <n v="11"/>
  </r>
  <r>
    <x v="40"/>
    <x v="0"/>
    <x v="8"/>
    <x v="4"/>
    <m/>
    <m/>
    <m/>
    <n v="26"/>
  </r>
  <r>
    <x v="40"/>
    <x v="0"/>
    <x v="8"/>
    <x v="5"/>
    <m/>
    <m/>
    <m/>
    <n v="10"/>
  </r>
  <r>
    <x v="22"/>
    <x v="0"/>
    <x v="8"/>
    <x v="4"/>
    <m/>
    <m/>
    <m/>
    <n v="28"/>
  </r>
  <r>
    <x v="22"/>
    <x v="0"/>
    <x v="8"/>
    <x v="5"/>
    <m/>
    <m/>
    <m/>
    <n v="9"/>
  </r>
  <r>
    <x v="8"/>
    <x v="0"/>
    <x v="8"/>
    <x v="4"/>
    <m/>
    <m/>
    <m/>
    <n v="34"/>
  </r>
  <r>
    <x v="8"/>
    <x v="0"/>
    <x v="8"/>
    <x v="5"/>
    <m/>
    <m/>
    <m/>
    <n v="4"/>
  </r>
  <r>
    <x v="42"/>
    <x v="0"/>
    <x v="8"/>
    <x v="4"/>
    <m/>
    <m/>
    <m/>
    <n v="13"/>
  </r>
  <r>
    <x v="42"/>
    <x v="0"/>
    <x v="8"/>
    <x v="5"/>
    <m/>
    <m/>
    <m/>
    <n v="1"/>
  </r>
  <r>
    <x v="46"/>
    <x v="0"/>
    <x v="8"/>
    <x v="4"/>
    <m/>
    <m/>
    <m/>
    <n v="8"/>
  </r>
  <r>
    <x v="46"/>
    <x v="0"/>
    <x v="8"/>
    <x v="5"/>
    <m/>
    <m/>
    <m/>
    <n v="4"/>
  </r>
  <r>
    <x v="3"/>
    <x v="0"/>
    <x v="8"/>
    <x v="4"/>
    <m/>
    <m/>
    <m/>
    <n v="28"/>
  </r>
  <r>
    <x v="3"/>
    <x v="0"/>
    <x v="8"/>
    <x v="5"/>
    <m/>
    <m/>
    <m/>
    <n v="16"/>
  </r>
  <r>
    <x v="0"/>
    <x v="0"/>
    <x v="8"/>
    <x v="4"/>
    <m/>
    <m/>
    <m/>
    <n v="68"/>
  </r>
  <r>
    <x v="0"/>
    <x v="0"/>
    <x v="8"/>
    <x v="5"/>
    <m/>
    <m/>
    <m/>
    <n v="23"/>
  </r>
  <r>
    <x v="51"/>
    <x v="0"/>
    <x v="8"/>
    <x v="4"/>
    <m/>
    <m/>
    <m/>
    <n v="7"/>
  </r>
  <r>
    <x v="51"/>
    <x v="0"/>
    <x v="8"/>
    <x v="5"/>
    <m/>
    <m/>
    <m/>
    <n v="4"/>
  </r>
  <r>
    <x v="1"/>
    <x v="0"/>
    <x v="8"/>
    <x v="4"/>
    <m/>
    <m/>
    <m/>
    <n v="59"/>
  </r>
  <r>
    <x v="1"/>
    <x v="0"/>
    <x v="8"/>
    <x v="5"/>
    <m/>
    <m/>
    <m/>
    <n v="20"/>
  </r>
  <r>
    <x v="52"/>
    <x v="0"/>
    <x v="8"/>
    <x v="4"/>
    <m/>
    <m/>
    <m/>
    <n v="1"/>
  </r>
  <r>
    <x v="52"/>
    <x v="0"/>
    <x v="8"/>
    <x v="5"/>
    <m/>
    <m/>
    <m/>
    <n v="0"/>
  </r>
  <r>
    <x v="4"/>
    <x v="0"/>
    <x v="8"/>
    <x v="4"/>
    <m/>
    <m/>
    <m/>
    <n v="43"/>
  </r>
  <r>
    <x v="4"/>
    <x v="0"/>
    <x v="8"/>
    <x v="5"/>
    <m/>
    <m/>
    <m/>
    <n v="21"/>
  </r>
  <r>
    <x v="41"/>
    <x v="0"/>
    <x v="8"/>
    <x v="4"/>
    <m/>
    <m/>
    <m/>
    <n v="11"/>
  </r>
  <r>
    <x v="41"/>
    <x v="0"/>
    <x v="8"/>
    <x v="5"/>
    <m/>
    <m/>
    <m/>
    <n v="3"/>
  </r>
  <r>
    <x v="15"/>
    <x v="0"/>
    <x v="8"/>
    <x v="4"/>
    <m/>
    <m/>
    <m/>
    <n v="45"/>
  </r>
  <r>
    <x v="15"/>
    <x v="0"/>
    <x v="8"/>
    <x v="5"/>
    <m/>
    <m/>
    <m/>
    <n v="20"/>
  </r>
  <r>
    <x v="45"/>
    <x v="0"/>
    <x v="8"/>
    <x v="4"/>
    <m/>
    <m/>
    <m/>
    <n v="9"/>
  </r>
  <r>
    <x v="45"/>
    <x v="0"/>
    <x v="8"/>
    <x v="5"/>
    <m/>
    <m/>
    <m/>
    <n v="2"/>
  </r>
  <r>
    <x v="29"/>
    <x v="0"/>
    <x v="8"/>
    <x v="4"/>
    <m/>
    <m/>
    <m/>
    <n v="24"/>
  </r>
  <r>
    <x v="29"/>
    <x v="0"/>
    <x v="8"/>
    <x v="5"/>
    <m/>
    <m/>
    <m/>
    <n v="13"/>
  </r>
  <r>
    <x v="28"/>
    <x v="0"/>
    <x v="8"/>
    <x v="4"/>
    <m/>
    <m/>
    <m/>
    <n v="13"/>
  </r>
  <r>
    <x v="28"/>
    <x v="0"/>
    <x v="8"/>
    <x v="5"/>
    <m/>
    <m/>
    <m/>
    <n v="5"/>
  </r>
  <r>
    <x v="24"/>
    <x v="0"/>
    <x v="8"/>
    <x v="4"/>
    <m/>
    <m/>
    <m/>
    <n v="16"/>
  </r>
  <r>
    <x v="24"/>
    <x v="0"/>
    <x v="8"/>
    <x v="5"/>
    <m/>
    <m/>
    <m/>
    <n v="12"/>
  </r>
  <r>
    <x v="23"/>
    <x v="0"/>
    <x v="8"/>
    <x v="4"/>
    <m/>
    <m/>
    <m/>
    <n v="40"/>
  </r>
  <r>
    <x v="23"/>
    <x v="0"/>
    <x v="8"/>
    <x v="5"/>
    <m/>
    <m/>
    <m/>
    <n v="13"/>
  </r>
  <r>
    <x v="14"/>
    <x v="0"/>
    <x v="8"/>
    <x v="4"/>
    <m/>
    <m/>
    <m/>
    <n v="23"/>
  </r>
  <r>
    <x v="14"/>
    <x v="0"/>
    <x v="8"/>
    <x v="5"/>
    <m/>
    <m/>
    <m/>
    <n v="21"/>
  </r>
  <r>
    <x v="30"/>
    <x v="0"/>
    <x v="8"/>
    <x v="4"/>
    <m/>
    <m/>
    <m/>
    <n v="6"/>
  </r>
  <r>
    <x v="30"/>
    <x v="0"/>
    <x v="8"/>
    <x v="5"/>
    <m/>
    <m/>
    <m/>
    <n v="4"/>
  </r>
  <r>
    <x v="20"/>
    <x v="0"/>
    <x v="8"/>
    <x v="4"/>
    <m/>
    <m/>
    <m/>
    <n v="32"/>
  </r>
  <r>
    <x v="20"/>
    <x v="0"/>
    <x v="8"/>
    <x v="5"/>
    <m/>
    <m/>
    <m/>
    <n v="12"/>
  </r>
  <r>
    <x v="36"/>
    <x v="0"/>
    <x v="8"/>
    <x v="4"/>
    <m/>
    <m/>
    <m/>
    <n v="43"/>
  </r>
  <r>
    <x v="36"/>
    <x v="0"/>
    <x v="8"/>
    <x v="5"/>
    <m/>
    <m/>
    <m/>
    <n v="6"/>
  </r>
  <r>
    <x v="33"/>
    <x v="0"/>
    <x v="8"/>
    <x v="4"/>
    <m/>
    <m/>
    <m/>
    <n v="21"/>
  </r>
  <r>
    <x v="33"/>
    <x v="0"/>
    <x v="8"/>
    <x v="5"/>
    <m/>
    <m/>
    <m/>
    <n v="9"/>
  </r>
  <r>
    <x v="19"/>
    <x v="0"/>
    <x v="8"/>
    <x v="4"/>
    <m/>
    <m/>
    <m/>
    <n v="31"/>
  </r>
  <r>
    <x v="19"/>
    <x v="0"/>
    <x v="8"/>
    <x v="5"/>
    <m/>
    <m/>
    <m/>
    <n v="20"/>
  </r>
  <r>
    <x v="21"/>
    <x v="0"/>
    <x v="8"/>
    <x v="4"/>
    <m/>
    <m/>
    <m/>
    <n v="21"/>
  </r>
  <r>
    <x v="21"/>
    <x v="0"/>
    <x v="8"/>
    <x v="5"/>
    <m/>
    <m/>
    <m/>
    <n v="13"/>
  </r>
  <r>
    <x v="47"/>
    <x v="0"/>
    <x v="8"/>
    <x v="4"/>
    <m/>
    <m/>
    <m/>
    <n v="23"/>
  </r>
  <r>
    <x v="47"/>
    <x v="0"/>
    <x v="8"/>
    <x v="5"/>
    <m/>
    <m/>
    <m/>
    <n v="10"/>
  </r>
  <r>
    <x v="35"/>
    <x v="0"/>
    <x v="8"/>
    <x v="4"/>
    <m/>
    <m/>
    <m/>
    <n v="18"/>
  </r>
  <r>
    <x v="35"/>
    <x v="0"/>
    <x v="8"/>
    <x v="5"/>
    <m/>
    <m/>
    <m/>
    <n v="4"/>
  </r>
  <r>
    <x v="44"/>
    <x v="0"/>
    <x v="8"/>
    <x v="4"/>
    <m/>
    <m/>
    <m/>
    <n v="16"/>
  </r>
  <r>
    <x v="44"/>
    <x v="0"/>
    <x v="8"/>
    <x v="5"/>
    <m/>
    <m/>
    <m/>
    <n v="2"/>
  </r>
  <r>
    <x v="6"/>
    <x v="0"/>
    <x v="8"/>
    <x v="4"/>
    <m/>
    <m/>
    <m/>
    <n v="41"/>
  </r>
  <r>
    <x v="6"/>
    <x v="0"/>
    <x v="8"/>
    <x v="5"/>
    <m/>
    <m/>
    <m/>
    <n v="10"/>
  </r>
  <r>
    <x v="32"/>
    <x v="0"/>
    <x v="8"/>
    <x v="4"/>
    <m/>
    <m/>
    <m/>
    <n v="26"/>
  </r>
  <r>
    <x v="32"/>
    <x v="0"/>
    <x v="8"/>
    <x v="5"/>
    <m/>
    <m/>
    <m/>
    <n v="9"/>
  </r>
  <r>
    <x v="27"/>
    <x v="0"/>
    <x v="8"/>
    <x v="4"/>
    <m/>
    <m/>
    <m/>
    <n v="27"/>
  </r>
  <r>
    <x v="27"/>
    <x v="0"/>
    <x v="8"/>
    <x v="5"/>
    <m/>
    <m/>
    <m/>
    <n v="4"/>
  </r>
  <r>
    <x v="25"/>
    <x v="0"/>
    <x v="8"/>
    <x v="4"/>
    <m/>
    <m/>
    <m/>
    <n v="42"/>
  </r>
  <r>
    <x v="25"/>
    <x v="0"/>
    <x v="8"/>
    <x v="5"/>
    <m/>
    <m/>
    <m/>
    <n v="8"/>
  </r>
  <r>
    <x v="10"/>
    <x v="0"/>
    <x v="8"/>
    <x v="6"/>
    <m/>
    <m/>
    <m/>
    <n v="3"/>
  </r>
  <r>
    <x v="49"/>
    <x v="0"/>
    <x v="8"/>
    <x v="6"/>
    <m/>
    <m/>
    <m/>
    <n v="1"/>
  </r>
  <r>
    <x v="5"/>
    <x v="0"/>
    <x v="8"/>
    <x v="6"/>
    <m/>
    <m/>
    <m/>
    <n v="9"/>
  </r>
  <r>
    <x v="17"/>
    <x v="0"/>
    <x v="8"/>
    <x v="6"/>
    <m/>
    <m/>
    <m/>
    <n v="8"/>
  </r>
  <r>
    <x v="13"/>
    <x v="0"/>
    <x v="8"/>
    <x v="6"/>
    <m/>
    <m/>
    <m/>
    <n v="15"/>
  </r>
  <r>
    <x v="26"/>
    <x v="0"/>
    <x v="8"/>
    <x v="6"/>
    <m/>
    <m/>
    <m/>
    <n v="2"/>
  </r>
  <r>
    <x v="11"/>
    <x v="0"/>
    <x v="8"/>
    <x v="6"/>
    <m/>
    <m/>
    <m/>
    <n v="8"/>
  </r>
  <r>
    <x v="31"/>
    <x v="0"/>
    <x v="8"/>
    <x v="6"/>
    <m/>
    <m/>
    <m/>
    <n v="7"/>
  </r>
  <r>
    <x v="7"/>
    <x v="0"/>
    <x v="8"/>
    <x v="6"/>
    <m/>
    <m/>
    <m/>
    <n v="21"/>
  </r>
  <r>
    <x v="2"/>
    <x v="0"/>
    <x v="8"/>
    <x v="6"/>
    <m/>
    <m/>
    <m/>
    <n v="11"/>
  </r>
  <r>
    <x v="48"/>
    <x v="0"/>
    <x v="8"/>
    <x v="6"/>
    <m/>
    <m/>
    <m/>
    <n v="2"/>
  </r>
  <r>
    <x v="50"/>
    <x v="0"/>
    <x v="8"/>
    <x v="6"/>
    <m/>
    <m/>
    <m/>
    <n v="3"/>
  </r>
  <r>
    <x v="38"/>
    <x v="0"/>
    <x v="8"/>
    <x v="6"/>
    <m/>
    <m/>
    <m/>
    <n v="2"/>
  </r>
  <r>
    <x v="12"/>
    <x v="0"/>
    <x v="8"/>
    <x v="6"/>
    <m/>
    <m/>
    <m/>
    <n v="4"/>
  </r>
  <r>
    <x v="34"/>
    <x v="0"/>
    <x v="8"/>
    <x v="6"/>
    <m/>
    <m/>
    <m/>
    <n v="3"/>
  </r>
  <r>
    <x v="39"/>
    <x v="0"/>
    <x v="8"/>
    <x v="6"/>
    <m/>
    <m/>
    <m/>
    <n v="4"/>
  </r>
  <r>
    <x v="43"/>
    <x v="0"/>
    <x v="8"/>
    <x v="6"/>
    <m/>
    <m/>
    <m/>
    <n v="1"/>
  </r>
  <r>
    <x v="18"/>
    <x v="0"/>
    <x v="8"/>
    <x v="6"/>
    <m/>
    <m/>
    <m/>
    <n v="2"/>
  </r>
  <r>
    <x v="9"/>
    <x v="0"/>
    <x v="8"/>
    <x v="6"/>
    <m/>
    <m/>
    <m/>
    <n v="13"/>
  </r>
  <r>
    <x v="16"/>
    <x v="0"/>
    <x v="8"/>
    <x v="6"/>
    <m/>
    <m/>
    <m/>
    <n v="6"/>
  </r>
  <r>
    <x v="40"/>
    <x v="0"/>
    <x v="8"/>
    <x v="6"/>
    <m/>
    <m/>
    <m/>
    <n v="8"/>
  </r>
  <r>
    <x v="22"/>
    <x v="0"/>
    <x v="8"/>
    <x v="6"/>
    <m/>
    <m/>
    <m/>
    <n v="5"/>
  </r>
  <r>
    <x v="8"/>
    <x v="0"/>
    <x v="8"/>
    <x v="6"/>
    <m/>
    <m/>
    <m/>
    <n v="8"/>
  </r>
  <r>
    <x v="42"/>
    <x v="0"/>
    <x v="8"/>
    <x v="6"/>
    <m/>
    <m/>
    <m/>
    <n v="3"/>
  </r>
  <r>
    <x v="46"/>
    <x v="0"/>
    <x v="8"/>
    <x v="6"/>
    <m/>
    <m/>
    <m/>
    <n v="1"/>
  </r>
  <r>
    <x v="0"/>
    <x v="0"/>
    <x v="8"/>
    <x v="6"/>
    <m/>
    <m/>
    <m/>
    <n v="17"/>
  </r>
  <r>
    <x v="51"/>
    <x v="0"/>
    <x v="8"/>
    <x v="6"/>
    <m/>
    <m/>
    <m/>
    <n v="2"/>
  </r>
  <r>
    <x v="1"/>
    <x v="0"/>
    <x v="8"/>
    <x v="6"/>
    <m/>
    <m/>
    <m/>
    <n v="4"/>
  </r>
  <r>
    <x v="52"/>
    <x v="0"/>
    <x v="8"/>
    <x v="6"/>
    <m/>
    <m/>
    <m/>
    <n v="2"/>
  </r>
  <r>
    <x v="4"/>
    <x v="0"/>
    <x v="8"/>
    <x v="6"/>
    <m/>
    <m/>
    <m/>
    <n v="23"/>
  </r>
  <r>
    <x v="41"/>
    <x v="0"/>
    <x v="8"/>
    <x v="6"/>
    <m/>
    <m/>
    <m/>
    <n v="1"/>
  </r>
  <r>
    <x v="15"/>
    <x v="0"/>
    <x v="8"/>
    <x v="6"/>
    <m/>
    <m/>
    <m/>
    <n v="2"/>
  </r>
  <r>
    <x v="45"/>
    <x v="0"/>
    <x v="8"/>
    <x v="6"/>
    <m/>
    <m/>
    <m/>
    <n v="2"/>
  </r>
  <r>
    <x v="29"/>
    <x v="0"/>
    <x v="8"/>
    <x v="6"/>
    <m/>
    <m/>
    <m/>
    <n v="5"/>
  </r>
  <r>
    <x v="28"/>
    <x v="0"/>
    <x v="8"/>
    <x v="6"/>
    <m/>
    <m/>
    <m/>
    <n v="3"/>
  </r>
  <r>
    <x v="24"/>
    <x v="0"/>
    <x v="8"/>
    <x v="6"/>
    <m/>
    <m/>
    <m/>
    <n v="3"/>
  </r>
  <r>
    <x v="23"/>
    <x v="0"/>
    <x v="8"/>
    <x v="6"/>
    <m/>
    <m/>
    <m/>
    <n v="1"/>
  </r>
  <r>
    <x v="14"/>
    <x v="0"/>
    <x v="8"/>
    <x v="6"/>
    <m/>
    <m/>
    <m/>
    <n v="3"/>
  </r>
  <r>
    <x v="30"/>
    <x v="0"/>
    <x v="8"/>
    <x v="6"/>
    <m/>
    <m/>
    <m/>
    <n v="2"/>
  </r>
  <r>
    <x v="20"/>
    <x v="0"/>
    <x v="8"/>
    <x v="6"/>
    <m/>
    <m/>
    <m/>
    <n v="5"/>
  </r>
  <r>
    <x v="36"/>
    <x v="0"/>
    <x v="8"/>
    <x v="6"/>
    <m/>
    <m/>
    <m/>
    <n v="3"/>
  </r>
  <r>
    <x v="33"/>
    <x v="0"/>
    <x v="8"/>
    <x v="6"/>
    <m/>
    <m/>
    <m/>
    <n v="5"/>
  </r>
  <r>
    <x v="19"/>
    <x v="0"/>
    <x v="8"/>
    <x v="6"/>
    <m/>
    <m/>
    <m/>
    <n v="5"/>
  </r>
  <r>
    <x v="21"/>
    <x v="0"/>
    <x v="8"/>
    <x v="6"/>
    <m/>
    <m/>
    <m/>
    <n v="5"/>
  </r>
  <r>
    <x v="47"/>
    <x v="0"/>
    <x v="8"/>
    <x v="6"/>
    <m/>
    <m/>
    <m/>
    <n v="0"/>
  </r>
  <r>
    <x v="35"/>
    <x v="0"/>
    <x v="8"/>
    <x v="6"/>
    <m/>
    <m/>
    <m/>
    <n v="0"/>
  </r>
  <r>
    <x v="44"/>
    <x v="0"/>
    <x v="8"/>
    <x v="6"/>
    <m/>
    <m/>
    <m/>
    <n v="3"/>
  </r>
  <r>
    <x v="6"/>
    <x v="0"/>
    <x v="8"/>
    <x v="6"/>
    <m/>
    <m/>
    <m/>
    <n v="9"/>
  </r>
  <r>
    <x v="32"/>
    <x v="0"/>
    <x v="8"/>
    <x v="6"/>
    <m/>
    <m/>
    <m/>
    <n v="7"/>
  </r>
  <r>
    <x v="27"/>
    <x v="0"/>
    <x v="8"/>
    <x v="6"/>
    <m/>
    <m/>
    <m/>
    <n v="5"/>
  </r>
  <r>
    <x v="25"/>
    <x v="0"/>
    <x v="8"/>
    <x v="6"/>
    <m/>
    <m/>
    <m/>
    <n v="2"/>
  </r>
  <r>
    <x v="10"/>
    <x v="0"/>
    <x v="9"/>
    <x v="1"/>
    <m/>
    <n v="1076"/>
    <m/>
    <m/>
  </r>
  <r>
    <x v="10"/>
    <x v="0"/>
    <x v="9"/>
    <x v="2"/>
    <m/>
    <n v="488"/>
    <m/>
    <m/>
  </r>
  <r>
    <x v="10"/>
    <x v="0"/>
    <x v="9"/>
    <x v="3"/>
    <m/>
    <n v="247"/>
    <m/>
    <m/>
  </r>
  <r>
    <x v="10"/>
    <x v="1"/>
    <x v="9"/>
    <x v="1"/>
    <m/>
    <n v="1105"/>
    <m/>
    <m/>
  </r>
  <r>
    <x v="10"/>
    <x v="1"/>
    <x v="9"/>
    <x v="2"/>
    <m/>
    <n v="533"/>
    <m/>
    <m/>
  </r>
  <r>
    <x v="10"/>
    <x v="1"/>
    <x v="9"/>
    <x v="3"/>
    <m/>
    <n v="345"/>
    <m/>
    <m/>
  </r>
  <r>
    <x v="10"/>
    <x v="0"/>
    <x v="9"/>
    <x v="4"/>
    <m/>
    <m/>
    <m/>
    <n v="218"/>
  </r>
  <r>
    <x v="10"/>
    <x v="0"/>
    <x v="9"/>
    <x v="5"/>
    <m/>
    <m/>
    <m/>
    <n v="15"/>
  </r>
  <r>
    <x v="10"/>
    <x v="0"/>
    <x v="9"/>
    <x v="6"/>
    <m/>
    <m/>
    <m/>
    <n v="8"/>
  </r>
  <r>
    <x v="9"/>
    <x v="0"/>
    <x v="9"/>
    <x v="1"/>
    <m/>
    <n v="1396"/>
    <m/>
    <m/>
  </r>
  <r>
    <x v="9"/>
    <x v="0"/>
    <x v="9"/>
    <x v="2"/>
    <m/>
    <n v="604"/>
    <m/>
    <m/>
  </r>
  <r>
    <x v="9"/>
    <x v="0"/>
    <x v="9"/>
    <x v="3"/>
    <m/>
    <n v="303"/>
    <m/>
    <m/>
  </r>
  <r>
    <x v="9"/>
    <x v="1"/>
    <x v="9"/>
    <x v="1"/>
    <m/>
    <n v="1348"/>
    <m/>
    <m/>
  </r>
  <r>
    <x v="9"/>
    <x v="1"/>
    <x v="9"/>
    <x v="2"/>
    <m/>
    <n v="536"/>
    <m/>
    <m/>
  </r>
  <r>
    <x v="9"/>
    <x v="1"/>
    <x v="9"/>
    <x v="3"/>
    <m/>
    <n v="230"/>
    <m/>
    <m/>
  </r>
  <r>
    <x v="9"/>
    <x v="0"/>
    <x v="9"/>
    <x v="4"/>
    <m/>
    <m/>
    <m/>
    <n v="92"/>
  </r>
  <r>
    <x v="9"/>
    <x v="0"/>
    <x v="9"/>
    <x v="5"/>
    <m/>
    <m/>
    <m/>
    <n v="7"/>
  </r>
  <r>
    <x v="9"/>
    <x v="0"/>
    <x v="9"/>
    <x v="6"/>
    <m/>
    <m/>
    <m/>
    <n v="3"/>
  </r>
  <r>
    <x v="49"/>
    <x v="0"/>
    <x v="9"/>
    <x v="1"/>
    <m/>
    <n v="959"/>
    <m/>
    <m/>
  </r>
  <r>
    <x v="49"/>
    <x v="0"/>
    <x v="9"/>
    <x v="2"/>
    <m/>
    <n v="299"/>
    <m/>
    <m/>
  </r>
  <r>
    <x v="49"/>
    <x v="0"/>
    <x v="9"/>
    <x v="3"/>
    <m/>
    <n v="111"/>
    <m/>
    <m/>
  </r>
  <r>
    <x v="49"/>
    <x v="1"/>
    <x v="9"/>
    <x v="1"/>
    <m/>
    <n v="1197"/>
    <m/>
    <m/>
  </r>
  <r>
    <x v="49"/>
    <x v="1"/>
    <x v="9"/>
    <x v="2"/>
    <m/>
    <n v="350"/>
    <m/>
    <m/>
  </r>
  <r>
    <x v="49"/>
    <x v="1"/>
    <x v="9"/>
    <x v="3"/>
    <m/>
    <n v="141"/>
    <m/>
    <m/>
  </r>
  <r>
    <x v="49"/>
    <x v="0"/>
    <x v="9"/>
    <x v="4"/>
    <m/>
    <m/>
    <m/>
    <n v="92"/>
  </r>
  <r>
    <x v="49"/>
    <x v="0"/>
    <x v="9"/>
    <x v="5"/>
    <m/>
    <m/>
    <m/>
    <n v="5"/>
  </r>
  <r>
    <x v="49"/>
    <x v="0"/>
    <x v="9"/>
    <x v="6"/>
    <m/>
    <m/>
    <m/>
    <n v="3"/>
  </r>
  <r>
    <x v="5"/>
    <x v="0"/>
    <x v="9"/>
    <x v="1"/>
    <m/>
    <n v="1101"/>
    <m/>
    <m/>
  </r>
  <r>
    <x v="5"/>
    <x v="0"/>
    <x v="9"/>
    <x v="2"/>
    <m/>
    <n v="629"/>
    <m/>
    <m/>
  </r>
  <r>
    <x v="5"/>
    <x v="0"/>
    <x v="9"/>
    <x v="3"/>
    <m/>
    <n v="364"/>
    <m/>
    <m/>
  </r>
  <r>
    <x v="5"/>
    <x v="1"/>
    <x v="9"/>
    <x v="1"/>
    <m/>
    <n v="969"/>
    <m/>
    <m/>
  </r>
  <r>
    <x v="5"/>
    <x v="1"/>
    <x v="9"/>
    <x v="2"/>
    <m/>
    <n v="619"/>
    <m/>
    <m/>
  </r>
  <r>
    <x v="5"/>
    <x v="1"/>
    <x v="9"/>
    <x v="3"/>
    <m/>
    <n v="381"/>
    <m/>
    <m/>
  </r>
  <r>
    <x v="5"/>
    <x v="0"/>
    <x v="9"/>
    <x v="4"/>
    <m/>
    <m/>
    <m/>
    <n v="150"/>
  </r>
  <r>
    <x v="5"/>
    <x v="0"/>
    <x v="9"/>
    <x v="5"/>
    <m/>
    <m/>
    <m/>
    <n v="12"/>
  </r>
  <r>
    <x v="5"/>
    <x v="0"/>
    <x v="9"/>
    <x v="6"/>
    <m/>
    <m/>
    <m/>
    <n v="6"/>
  </r>
  <r>
    <x v="16"/>
    <x v="0"/>
    <x v="9"/>
    <x v="1"/>
    <m/>
    <n v="846"/>
    <m/>
    <m/>
  </r>
  <r>
    <x v="16"/>
    <x v="0"/>
    <x v="9"/>
    <x v="2"/>
    <m/>
    <n v="517"/>
    <m/>
    <m/>
  </r>
  <r>
    <x v="16"/>
    <x v="0"/>
    <x v="9"/>
    <x v="3"/>
    <m/>
    <n v="270"/>
    <m/>
    <m/>
  </r>
  <r>
    <x v="16"/>
    <x v="1"/>
    <x v="9"/>
    <x v="1"/>
    <m/>
    <n v="866"/>
    <m/>
    <m/>
  </r>
  <r>
    <x v="16"/>
    <x v="1"/>
    <x v="9"/>
    <x v="2"/>
    <m/>
    <n v="434"/>
    <m/>
    <m/>
  </r>
  <r>
    <x v="16"/>
    <x v="1"/>
    <x v="9"/>
    <x v="3"/>
    <m/>
    <n v="246"/>
    <m/>
    <m/>
  </r>
  <r>
    <x v="16"/>
    <x v="0"/>
    <x v="9"/>
    <x v="4"/>
    <m/>
    <m/>
    <m/>
    <n v="134"/>
  </r>
  <r>
    <x v="16"/>
    <x v="0"/>
    <x v="9"/>
    <x v="5"/>
    <m/>
    <m/>
    <m/>
    <n v="11"/>
  </r>
  <r>
    <x v="16"/>
    <x v="0"/>
    <x v="9"/>
    <x v="6"/>
    <m/>
    <m/>
    <m/>
    <n v="3"/>
  </r>
  <r>
    <x v="17"/>
    <x v="0"/>
    <x v="9"/>
    <x v="1"/>
    <m/>
    <n v="1106"/>
    <m/>
    <m/>
  </r>
  <r>
    <x v="17"/>
    <x v="0"/>
    <x v="9"/>
    <x v="2"/>
    <m/>
    <n v="496"/>
    <m/>
    <m/>
  </r>
  <r>
    <x v="17"/>
    <x v="0"/>
    <x v="9"/>
    <x v="3"/>
    <m/>
    <n v="222"/>
    <m/>
    <m/>
  </r>
  <r>
    <x v="17"/>
    <x v="1"/>
    <x v="9"/>
    <x v="1"/>
    <m/>
    <n v="1263"/>
    <m/>
    <m/>
  </r>
  <r>
    <x v="17"/>
    <x v="1"/>
    <x v="9"/>
    <x v="2"/>
    <m/>
    <n v="529"/>
    <m/>
    <m/>
  </r>
  <r>
    <x v="17"/>
    <x v="1"/>
    <x v="9"/>
    <x v="3"/>
    <m/>
    <n v="219"/>
    <m/>
    <m/>
  </r>
  <r>
    <x v="17"/>
    <x v="0"/>
    <x v="9"/>
    <x v="4"/>
    <m/>
    <m/>
    <m/>
    <n v="180"/>
  </r>
  <r>
    <x v="17"/>
    <x v="0"/>
    <x v="9"/>
    <x v="5"/>
    <m/>
    <m/>
    <m/>
    <n v="13"/>
  </r>
  <r>
    <x v="17"/>
    <x v="0"/>
    <x v="9"/>
    <x v="6"/>
    <m/>
    <m/>
    <m/>
    <n v="2"/>
  </r>
  <r>
    <x v="13"/>
    <x v="0"/>
    <x v="9"/>
    <x v="1"/>
    <m/>
    <n v="1405"/>
    <m/>
    <m/>
  </r>
  <r>
    <x v="13"/>
    <x v="0"/>
    <x v="9"/>
    <x v="2"/>
    <m/>
    <n v="545"/>
    <m/>
    <m/>
  </r>
  <r>
    <x v="13"/>
    <x v="0"/>
    <x v="9"/>
    <x v="3"/>
    <m/>
    <n v="231"/>
    <m/>
    <m/>
  </r>
  <r>
    <x v="13"/>
    <x v="1"/>
    <x v="9"/>
    <x v="1"/>
    <m/>
    <n v="1601"/>
    <m/>
    <m/>
  </r>
  <r>
    <x v="13"/>
    <x v="1"/>
    <x v="9"/>
    <x v="2"/>
    <m/>
    <n v="514"/>
    <m/>
    <m/>
  </r>
  <r>
    <x v="13"/>
    <x v="1"/>
    <x v="9"/>
    <x v="3"/>
    <m/>
    <n v="249"/>
    <m/>
    <m/>
  </r>
  <r>
    <x v="13"/>
    <x v="0"/>
    <x v="9"/>
    <x v="4"/>
    <m/>
    <m/>
    <m/>
    <n v="150"/>
  </r>
  <r>
    <x v="13"/>
    <x v="0"/>
    <x v="9"/>
    <x v="5"/>
    <m/>
    <m/>
    <m/>
    <n v="13"/>
  </r>
  <r>
    <x v="13"/>
    <x v="0"/>
    <x v="9"/>
    <x v="6"/>
    <m/>
    <m/>
    <m/>
    <n v="7"/>
  </r>
  <r>
    <x v="40"/>
    <x v="0"/>
    <x v="9"/>
    <x v="1"/>
    <m/>
    <n v="636"/>
    <m/>
    <m/>
  </r>
  <r>
    <x v="40"/>
    <x v="0"/>
    <x v="9"/>
    <x v="2"/>
    <m/>
    <n v="313"/>
    <m/>
    <m/>
  </r>
  <r>
    <x v="40"/>
    <x v="0"/>
    <x v="9"/>
    <x v="3"/>
    <m/>
    <n v="162"/>
    <m/>
    <m/>
  </r>
  <r>
    <x v="40"/>
    <x v="1"/>
    <x v="9"/>
    <x v="1"/>
    <m/>
    <n v="777"/>
    <m/>
    <m/>
  </r>
  <r>
    <x v="40"/>
    <x v="1"/>
    <x v="9"/>
    <x v="2"/>
    <m/>
    <n v="232"/>
    <m/>
    <m/>
  </r>
  <r>
    <x v="40"/>
    <x v="1"/>
    <x v="9"/>
    <x v="3"/>
    <m/>
    <n v="128"/>
    <m/>
    <m/>
  </r>
  <r>
    <x v="40"/>
    <x v="0"/>
    <x v="9"/>
    <x v="4"/>
    <m/>
    <m/>
    <m/>
    <n v="123"/>
  </r>
  <r>
    <x v="40"/>
    <x v="0"/>
    <x v="9"/>
    <x v="5"/>
    <m/>
    <m/>
    <m/>
    <n v="8"/>
  </r>
  <r>
    <x v="40"/>
    <x v="0"/>
    <x v="9"/>
    <x v="6"/>
    <m/>
    <m/>
    <m/>
    <n v="1"/>
  </r>
  <r>
    <x v="26"/>
    <x v="0"/>
    <x v="9"/>
    <x v="1"/>
    <m/>
    <n v="603"/>
    <m/>
    <m/>
  </r>
  <r>
    <x v="26"/>
    <x v="0"/>
    <x v="9"/>
    <x v="2"/>
    <m/>
    <n v="437"/>
    <m/>
    <m/>
  </r>
  <r>
    <x v="26"/>
    <x v="0"/>
    <x v="9"/>
    <x v="3"/>
    <m/>
    <n v="294"/>
    <m/>
    <m/>
  </r>
  <r>
    <x v="26"/>
    <x v="1"/>
    <x v="9"/>
    <x v="1"/>
    <m/>
    <n v="582"/>
    <m/>
    <m/>
  </r>
  <r>
    <x v="26"/>
    <x v="1"/>
    <x v="9"/>
    <x v="2"/>
    <m/>
    <n v="420"/>
    <m/>
    <m/>
  </r>
  <r>
    <x v="26"/>
    <x v="1"/>
    <x v="9"/>
    <x v="3"/>
    <m/>
    <n v="311"/>
    <m/>
    <m/>
  </r>
  <r>
    <x v="26"/>
    <x v="0"/>
    <x v="9"/>
    <x v="4"/>
    <m/>
    <m/>
    <m/>
    <n v="110"/>
  </r>
  <r>
    <x v="26"/>
    <x v="0"/>
    <x v="9"/>
    <x v="5"/>
    <m/>
    <m/>
    <m/>
    <n v="9"/>
  </r>
  <r>
    <x v="26"/>
    <x v="0"/>
    <x v="9"/>
    <x v="6"/>
    <m/>
    <m/>
    <m/>
    <n v="2"/>
  </r>
  <r>
    <x v="11"/>
    <x v="0"/>
    <x v="9"/>
    <x v="1"/>
    <m/>
    <n v="1274"/>
    <m/>
    <m/>
  </r>
  <r>
    <x v="11"/>
    <x v="0"/>
    <x v="9"/>
    <x v="2"/>
    <m/>
    <n v="642"/>
    <m/>
    <m/>
  </r>
  <r>
    <x v="11"/>
    <x v="0"/>
    <x v="9"/>
    <x v="3"/>
    <m/>
    <n v="316"/>
    <m/>
    <m/>
  </r>
  <r>
    <x v="11"/>
    <x v="1"/>
    <x v="9"/>
    <x v="1"/>
    <m/>
    <n v="1516"/>
    <m/>
    <m/>
  </r>
  <r>
    <x v="11"/>
    <x v="1"/>
    <x v="9"/>
    <x v="2"/>
    <m/>
    <n v="703"/>
    <m/>
    <m/>
  </r>
  <r>
    <x v="11"/>
    <x v="1"/>
    <x v="9"/>
    <x v="3"/>
    <m/>
    <n v="304"/>
    <m/>
    <m/>
  </r>
  <r>
    <x v="11"/>
    <x v="0"/>
    <x v="9"/>
    <x v="4"/>
    <m/>
    <m/>
    <m/>
    <n v="158"/>
  </r>
  <r>
    <x v="11"/>
    <x v="0"/>
    <x v="9"/>
    <x v="5"/>
    <m/>
    <m/>
    <m/>
    <n v="14"/>
  </r>
  <r>
    <x v="11"/>
    <x v="0"/>
    <x v="9"/>
    <x v="6"/>
    <m/>
    <m/>
    <m/>
    <n v="2"/>
  </r>
  <r>
    <x v="31"/>
    <x v="0"/>
    <x v="9"/>
    <x v="1"/>
    <m/>
    <n v="808"/>
    <m/>
    <m/>
  </r>
  <r>
    <x v="31"/>
    <x v="0"/>
    <x v="9"/>
    <x v="2"/>
    <m/>
    <n v="419"/>
    <m/>
    <m/>
  </r>
  <r>
    <x v="31"/>
    <x v="0"/>
    <x v="9"/>
    <x v="3"/>
    <m/>
    <n v="237"/>
    <m/>
    <m/>
  </r>
  <r>
    <x v="31"/>
    <x v="1"/>
    <x v="9"/>
    <x v="1"/>
    <m/>
    <n v="917"/>
    <m/>
    <m/>
  </r>
  <r>
    <x v="31"/>
    <x v="1"/>
    <x v="9"/>
    <x v="2"/>
    <m/>
    <n v="429"/>
    <m/>
    <m/>
  </r>
  <r>
    <x v="31"/>
    <x v="1"/>
    <x v="9"/>
    <x v="3"/>
    <m/>
    <n v="252"/>
    <m/>
    <m/>
  </r>
  <r>
    <x v="31"/>
    <x v="0"/>
    <x v="9"/>
    <x v="4"/>
    <m/>
    <m/>
    <m/>
    <n v="99"/>
  </r>
  <r>
    <x v="31"/>
    <x v="0"/>
    <x v="9"/>
    <x v="5"/>
    <m/>
    <m/>
    <m/>
    <n v="11"/>
  </r>
  <r>
    <x v="31"/>
    <x v="0"/>
    <x v="9"/>
    <x v="6"/>
    <m/>
    <m/>
    <m/>
    <n v="5"/>
  </r>
  <r>
    <x v="7"/>
    <x v="0"/>
    <x v="9"/>
    <x v="1"/>
    <m/>
    <n v="1263"/>
    <m/>
    <m/>
  </r>
  <r>
    <x v="7"/>
    <x v="0"/>
    <x v="9"/>
    <x v="2"/>
    <m/>
    <n v="673"/>
    <m/>
    <m/>
  </r>
  <r>
    <x v="7"/>
    <x v="0"/>
    <x v="9"/>
    <x v="3"/>
    <m/>
    <n v="382"/>
    <m/>
    <m/>
  </r>
  <r>
    <x v="7"/>
    <x v="1"/>
    <x v="9"/>
    <x v="1"/>
    <m/>
    <n v="1237"/>
    <m/>
    <m/>
  </r>
  <r>
    <x v="7"/>
    <x v="1"/>
    <x v="9"/>
    <x v="2"/>
    <m/>
    <n v="693"/>
    <m/>
    <m/>
  </r>
  <r>
    <x v="7"/>
    <x v="1"/>
    <x v="9"/>
    <x v="3"/>
    <m/>
    <n v="449"/>
    <m/>
    <m/>
  </r>
  <r>
    <x v="7"/>
    <x v="0"/>
    <x v="9"/>
    <x v="4"/>
    <m/>
    <m/>
    <m/>
    <n v="198"/>
  </r>
  <r>
    <x v="7"/>
    <x v="0"/>
    <x v="9"/>
    <x v="5"/>
    <m/>
    <m/>
    <m/>
    <n v="16"/>
  </r>
  <r>
    <x v="7"/>
    <x v="0"/>
    <x v="9"/>
    <x v="6"/>
    <m/>
    <m/>
    <m/>
    <n v="9"/>
  </r>
  <r>
    <x v="2"/>
    <x v="0"/>
    <x v="9"/>
    <x v="1"/>
    <m/>
    <n v="1827"/>
    <m/>
    <m/>
  </r>
  <r>
    <x v="2"/>
    <x v="0"/>
    <x v="9"/>
    <x v="2"/>
    <m/>
    <n v="731"/>
    <m/>
    <m/>
  </r>
  <r>
    <x v="2"/>
    <x v="0"/>
    <x v="9"/>
    <x v="3"/>
    <m/>
    <n v="401"/>
    <m/>
    <m/>
  </r>
  <r>
    <x v="2"/>
    <x v="1"/>
    <x v="9"/>
    <x v="1"/>
    <m/>
    <n v="1842"/>
    <m/>
    <m/>
  </r>
  <r>
    <x v="2"/>
    <x v="1"/>
    <x v="9"/>
    <x v="2"/>
    <m/>
    <n v="739"/>
    <m/>
    <m/>
  </r>
  <r>
    <x v="2"/>
    <x v="1"/>
    <x v="9"/>
    <x v="3"/>
    <m/>
    <n v="416"/>
    <m/>
    <m/>
  </r>
  <r>
    <x v="2"/>
    <x v="0"/>
    <x v="9"/>
    <x v="4"/>
    <m/>
    <m/>
    <m/>
    <n v="279"/>
  </r>
  <r>
    <x v="2"/>
    <x v="0"/>
    <x v="9"/>
    <x v="5"/>
    <m/>
    <m/>
    <m/>
    <n v="18"/>
  </r>
  <r>
    <x v="2"/>
    <x v="0"/>
    <x v="9"/>
    <x v="6"/>
    <m/>
    <m/>
    <m/>
    <n v="9"/>
  </r>
  <r>
    <x v="22"/>
    <x v="0"/>
    <x v="9"/>
    <x v="1"/>
    <m/>
    <n v="912"/>
    <m/>
    <m/>
  </r>
  <r>
    <x v="22"/>
    <x v="0"/>
    <x v="9"/>
    <x v="2"/>
    <m/>
    <n v="413"/>
    <m/>
    <m/>
  </r>
  <r>
    <x v="22"/>
    <x v="0"/>
    <x v="9"/>
    <x v="3"/>
    <m/>
    <n v="202"/>
    <m/>
    <m/>
  </r>
  <r>
    <x v="22"/>
    <x v="1"/>
    <x v="9"/>
    <x v="1"/>
    <m/>
    <n v="1025"/>
    <m/>
    <m/>
  </r>
  <r>
    <x v="22"/>
    <x v="1"/>
    <x v="9"/>
    <x v="2"/>
    <m/>
    <n v="382"/>
    <m/>
    <m/>
  </r>
  <r>
    <x v="22"/>
    <x v="1"/>
    <x v="9"/>
    <x v="3"/>
    <m/>
    <n v="207"/>
    <m/>
    <m/>
  </r>
  <r>
    <x v="22"/>
    <x v="0"/>
    <x v="9"/>
    <x v="4"/>
    <m/>
    <m/>
    <m/>
    <n v="140"/>
  </r>
  <r>
    <x v="22"/>
    <x v="0"/>
    <x v="9"/>
    <x v="5"/>
    <m/>
    <m/>
    <m/>
    <n v="11"/>
  </r>
  <r>
    <x v="22"/>
    <x v="0"/>
    <x v="9"/>
    <x v="6"/>
    <m/>
    <m/>
    <m/>
    <n v="2"/>
  </r>
  <r>
    <x v="48"/>
    <x v="0"/>
    <x v="9"/>
    <x v="1"/>
    <m/>
    <n v="1261"/>
    <m/>
    <m/>
  </r>
  <r>
    <x v="48"/>
    <x v="0"/>
    <x v="9"/>
    <x v="2"/>
    <m/>
    <n v="290"/>
    <m/>
    <m/>
  </r>
  <r>
    <x v="48"/>
    <x v="0"/>
    <x v="9"/>
    <x v="3"/>
    <m/>
    <n v="127"/>
    <m/>
    <m/>
  </r>
  <r>
    <x v="48"/>
    <x v="1"/>
    <x v="9"/>
    <x v="1"/>
    <m/>
    <n v="1109"/>
    <m/>
    <m/>
  </r>
  <r>
    <x v="48"/>
    <x v="1"/>
    <x v="9"/>
    <x v="2"/>
    <m/>
    <n v="270"/>
    <m/>
    <m/>
  </r>
  <r>
    <x v="48"/>
    <x v="1"/>
    <x v="9"/>
    <x v="3"/>
    <m/>
    <n v="136"/>
    <m/>
    <m/>
  </r>
  <r>
    <x v="48"/>
    <x v="0"/>
    <x v="9"/>
    <x v="4"/>
    <m/>
    <m/>
    <m/>
    <n v="129"/>
  </r>
  <r>
    <x v="48"/>
    <x v="0"/>
    <x v="9"/>
    <x v="5"/>
    <m/>
    <m/>
    <m/>
    <n v="13"/>
  </r>
  <r>
    <x v="48"/>
    <x v="0"/>
    <x v="9"/>
    <x v="6"/>
    <m/>
    <m/>
    <m/>
    <n v="3"/>
  </r>
  <r>
    <x v="50"/>
    <x v="0"/>
    <x v="9"/>
    <x v="1"/>
    <m/>
    <n v="421"/>
    <m/>
    <m/>
  </r>
  <r>
    <x v="50"/>
    <x v="0"/>
    <x v="9"/>
    <x v="2"/>
    <m/>
    <n v="198"/>
    <m/>
    <m/>
  </r>
  <r>
    <x v="50"/>
    <x v="0"/>
    <x v="9"/>
    <x v="3"/>
    <m/>
    <n v="127"/>
    <m/>
    <m/>
  </r>
  <r>
    <x v="50"/>
    <x v="1"/>
    <x v="9"/>
    <x v="1"/>
    <m/>
    <n v="360"/>
    <m/>
    <m/>
  </r>
  <r>
    <x v="50"/>
    <x v="1"/>
    <x v="9"/>
    <x v="2"/>
    <m/>
    <n v="201"/>
    <m/>
    <m/>
  </r>
  <r>
    <x v="50"/>
    <x v="1"/>
    <x v="9"/>
    <x v="3"/>
    <m/>
    <n v="153"/>
    <m/>
    <m/>
  </r>
  <r>
    <x v="50"/>
    <x v="0"/>
    <x v="9"/>
    <x v="4"/>
    <m/>
    <m/>
    <m/>
    <n v="102"/>
  </r>
  <r>
    <x v="50"/>
    <x v="0"/>
    <x v="9"/>
    <x v="5"/>
    <m/>
    <m/>
    <m/>
    <n v="5"/>
  </r>
  <r>
    <x v="50"/>
    <x v="0"/>
    <x v="9"/>
    <x v="6"/>
    <m/>
    <m/>
    <m/>
    <n v="4"/>
  </r>
  <r>
    <x v="8"/>
    <x v="0"/>
    <x v="9"/>
    <x v="1"/>
    <m/>
    <n v="1325"/>
    <m/>
    <m/>
  </r>
  <r>
    <x v="8"/>
    <x v="0"/>
    <x v="9"/>
    <x v="2"/>
    <m/>
    <n v="657"/>
    <m/>
    <m/>
  </r>
  <r>
    <x v="8"/>
    <x v="0"/>
    <x v="9"/>
    <x v="3"/>
    <m/>
    <n v="312"/>
    <m/>
    <m/>
  </r>
  <r>
    <x v="8"/>
    <x v="1"/>
    <x v="9"/>
    <x v="1"/>
    <m/>
    <n v="1464"/>
    <m/>
    <m/>
  </r>
  <r>
    <x v="8"/>
    <x v="1"/>
    <x v="9"/>
    <x v="2"/>
    <m/>
    <n v="584"/>
    <m/>
    <m/>
  </r>
  <r>
    <x v="8"/>
    <x v="1"/>
    <x v="9"/>
    <x v="3"/>
    <m/>
    <n v="322"/>
    <m/>
    <m/>
  </r>
  <r>
    <x v="8"/>
    <x v="0"/>
    <x v="9"/>
    <x v="4"/>
    <m/>
    <m/>
    <m/>
    <n v="120"/>
  </r>
  <r>
    <x v="8"/>
    <x v="0"/>
    <x v="9"/>
    <x v="5"/>
    <m/>
    <m/>
    <m/>
    <n v="10"/>
  </r>
  <r>
    <x v="8"/>
    <x v="0"/>
    <x v="9"/>
    <x v="6"/>
    <m/>
    <m/>
    <m/>
    <n v="1"/>
  </r>
  <r>
    <x v="42"/>
    <x v="0"/>
    <x v="9"/>
    <x v="1"/>
    <m/>
    <n v="357"/>
    <m/>
    <m/>
  </r>
  <r>
    <x v="42"/>
    <x v="0"/>
    <x v="9"/>
    <x v="2"/>
    <m/>
    <n v="242"/>
    <m/>
    <m/>
  </r>
  <r>
    <x v="42"/>
    <x v="0"/>
    <x v="9"/>
    <x v="3"/>
    <m/>
    <n v="156"/>
    <m/>
    <m/>
  </r>
  <r>
    <x v="42"/>
    <x v="1"/>
    <x v="9"/>
    <x v="1"/>
    <m/>
    <n v="431"/>
    <m/>
    <m/>
  </r>
  <r>
    <x v="42"/>
    <x v="1"/>
    <x v="9"/>
    <x v="2"/>
    <m/>
    <n v="222"/>
    <m/>
    <m/>
  </r>
  <r>
    <x v="42"/>
    <x v="1"/>
    <x v="9"/>
    <x v="3"/>
    <m/>
    <n v="138"/>
    <m/>
    <m/>
  </r>
  <r>
    <x v="42"/>
    <x v="0"/>
    <x v="9"/>
    <x v="4"/>
    <m/>
    <m/>
    <m/>
    <n v="49"/>
  </r>
  <r>
    <x v="42"/>
    <x v="0"/>
    <x v="9"/>
    <x v="5"/>
    <m/>
    <m/>
    <m/>
    <n v="2"/>
  </r>
  <r>
    <x v="42"/>
    <x v="0"/>
    <x v="9"/>
    <x v="6"/>
    <m/>
    <m/>
    <m/>
    <n v="1"/>
  </r>
  <r>
    <x v="46"/>
    <x v="0"/>
    <x v="9"/>
    <x v="1"/>
    <m/>
    <n v="379"/>
    <m/>
    <m/>
  </r>
  <r>
    <x v="46"/>
    <x v="0"/>
    <x v="9"/>
    <x v="2"/>
    <m/>
    <n v="224"/>
    <m/>
    <m/>
  </r>
  <r>
    <x v="46"/>
    <x v="0"/>
    <x v="9"/>
    <x v="3"/>
    <m/>
    <n v="167"/>
    <m/>
    <m/>
  </r>
  <r>
    <x v="46"/>
    <x v="1"/>
    <x v="9"/>
    <x v="1"/>
    <m/>
    <n v="414"/>
    <m/>
    <m/>
  </r>
  <r>
    <x v="46"/>
    <x v="1"/>
    <x v="9"/>
    <x v="2"/>
    <m/>
    <n v="221"/>
    <m/>
    <m/>
  </r>
  <r>
    <x v="46"/>
    <x v="1"/>
    <x v="9"/>
    <x v="3"/>
    <m/>
    <n v="121"/>
    <m/>
    <m/>
  </r>
  <r>
    <x v="46"/>
    <x v="0"/>
    <x v="9"/>
    <x v="4"/>
    <m/>
    <m/>
    <m/>
    <n v="65"/>
  </r>
  <r>
    <x v="46"/>
    <x v="0"/>
    <x v="9"/>
    <x v="5"/>
    <m/>
    <m/>
    <m/>
    <n v="2"/>
  </r>
  <r>
    <x v="46"/>
    <x v="0"/>
    <x v="9"/>
    <x v="6"/>
    <m/>
    <m/>
    <m/>
    <n v="0"/>
  </r>
  <r>
    <x v="38"/>
    <x v="0"/>
    <x v="9"/>
    <x v="1"/>
    <m/>
    <n v="349"/>
    <m/>
    <m/>
  </r>
  <r>
    <x v="38"/>
    <x v="0"/>
    <x v="9"/>
    <x v="2"/>
    <m/>
    <n v="234"/>
    <m/>
    <m/>
  </r>
  <r>
    <x v="38"/>
    <x v="0"/>
    <x v="9"/>
    <x v="3"/>
    <m/>
    <n v="147"/>
    <m/>
    <m/>
  </r>
  <r>
    <x v="38"/>
    <x v="1"/>
    <x v="9"/>
    <x v="1"/>
    <m/>
    <n v="390"/>
    <m/>
    <m/>
  </r>
  <r>
    <x v="38"/>
    <x v="1"/>
    <x v="9"/>
    <x v="2"/>
    <m/>
    <n v="253"/>
    <m/>
    <m/>
  </r>
  <r>
    <x v="38"/>
    <x v="1"/>
    <x v="9"/>
    <x v="3"/>
    <m/>
    <n v="152"/>
    <m/>
    <m/>
  </r>
  <r>
    <x v="38"/>
    <x v="0"/>
    <x v="9"/>
    <x v="4"/>
    <m/>
    <m/>
    <m/>
    <n v="56"/>
  </r>
  <r>
    <x v="38"/>
    <x v="0"/>
    <x v="9"/>
    <x v="5"/>
    <m/>
    <m/>
    <m/>
    <n v="1"/>
  </r>
  <r>
    <x v="38"/>
    <x v="0"/>
    <x v="9"/>
    <x v="6"/>
    <m/>
    <m/>
    <m/>
    <n v="4"/>
  </r>
  <r>
    <x v="3"/>
    <x v="0"/>
    <x v="9"/>
    <x v="1"/>
    <m/>
    <n v="1261"/>
    <m/>
    <m/>
  </r>
  <r>
    <x v="3"/>
    <x v="0"/>
    <x v="9"/>
    <x v="2"/>
    <m/>
    <n v="581"/>
    <m/>
    <m/>
  </r>
  <r>
    <x v="3"/>
    <x v="0"/>
    <x v="9"/>
    <x v="3"/>
    <m/>
    <n v="385"/>
    <m/>
    <m/>
  </r>
  <r>
    <x v="3"/>
    <x v="1"/>
    <x v="9"/>
    <x v="1"/>
    <m/>
    <n v="1431"/>
    <m/>
    <m/>
  </r>
  <r>
    <x v="3"/>
    <x v="1"/>
    <x v="9"/>
    <x v="2"/>
    <m/>
    <n v="618"/>
    <m/>
    <m/>
  </r>
  <r>
    <x v="3"/>
    <x v="1"/>
    <x v="9"/>
    <x v="3"/>
    <m/>
    <n v="379"/>
    <m/>
    <m/>
  </r>
  <r>
    <x v="3"/>
    <x v="0"/>
    <x v="9"/>
    <x v="4"/>
    <m/>
    <m/>
    <m/>
    <n v="155"/>
  </r>
  <r>
    <x v="3"/>
    <x v="0"/>
    <x v="9"/>
    <x v="5"/>
    <m/>
    <m/>
    <m/>
    <n v="8"/>
  </r>
  <r>
    <x v="3"/>
    <x v="0"/>
    <x v="9"/>
    <x v="6"/>
    <m/>
    <m/>
    <m/>
    <n v="0"/>
  </r>
  <r>
    <x v="12"/>
    <x v="0"/>
    <x v="9"/>
    <x v="1"/>
    <m/>
    <n v="1003"/>
    <m/>
    <m/>
  </r>
  <r>
    <x v="12"/>
    <x v="0"/>
    <x v="9"/>
    <x v="2"/>
    <m/>
    <n v="479"/>
    <m/>
    <m/>
  </r>
  <r>
    <x v="12"/>
    <x v="0"/>
    <x v="9"/>
    <x v="3"/>
    <m/>
    <n v="266"/>
    <m/>
    <m/>
  </r>
  <r>
    <x v="12"/>
    <x v="1"/>
    <x v="9"/>
    <x v="1"/>
    <m/>
    <n v="1115"/>
    <m/>
    <m/>
  </r>
  <r>
    <x v="12"/>
    <x v="1"/>
    <x v="9"/>
    <x v="2"/>
    <m/>
    <n v="508"/>
    <m/>
    <m/>
  </r>
  <r>
    <x v="12"/>
    <x v="1"/>
    <x v="9"/>
    <x v="3"/>
    <m/>
    <n v="249"/>
    <m/>
    <m/>
  </r>
  <r>
    <x v="12"/>
    <x v="0"/>
    <x v="9"/>
    <x v="4"/>
    <m/>
    <m/>
    <m/>
    <n v="118"/>
  </r>
  <r>
    <x v="12"/>
    <x v="0"/>
    <x v="9"/>
    <x v="5"/>
    <m/>
    <m/>
    <m/>
    <n v="8"/>
  </r>
  <r>
    <x v="12"/>
    <x v="0"/>
    <x v="9"/>
    <x v="6"/>
    <m/>
    <m/>
    <m/>
    <n v="2"/>
  </r>
  <r>
    <x v="34"/>
    <x v="0"/>
    <x v="9"/>
    <x v="1"/>
    <m/>
    <n v="944"/>
    <m/>
    <m/>
  </r>
  <r>
    <x v="34"/>
    <x v="0"/>
    <x v="9"/>
    <x v="2"/>
    <m/>
    <n v="441"/>
    <m/>
    <m/>
  </r>
  <r>
    <x v="34"/>
    <x v="0"/>
    <x v="9"/>
    <x v="3"/>
    <m/>
    <n v="187"/>
    <m/>
    <m/>
  </r>
  <r>
    <x v="34"/>
    <x v="1"/>
    <x v="9"/>
    <x v="1"/>
    <m/>
    <n v="1125"/>
    <m/>
    <m/>
  </r>
  <r>
    <x v="34"/>
    <x v="1"/>
    <x v="9"/>
    <x v="2"/>
    <m/>
    <n v="389"/>
    <m/>
    <m/>
  </r>
  <r>
    <x v="34"/>
    <x v="1"/>
    <x v="9"/>
    <x v="3"/>
    <m/>
    <n v="206"/>
    <m/>
    <m/>
  </r>
  <r>
    <x v="34"/>
    <x v="0"/>
    <x v="9"/>
    <x v="4"/>
    <m/>
    <m/>
    <m/>
    <n v="57"/>
  </r>
  <r>
    <x v="34"/>
    <x v="0"/>
    <x v="9"/>
    <x v="5"/>
    <m/>
    <m/>
    <m/>
    <n v="15"/>
  </r>
  <r>
    <x v="34"/>
    <x v="0"/>
    <x v="9"/>
    <x v="6"/>
    <m/>
    <m/>
    <m/>
    <n v="2"/>
  </r>
  <r>
    <x v="0"/>
    <x v="0"/>
    <x v="9"/>
    <x v="1"/>
    <m/>
    <n v="2365"/>
    <m/>
    <m/>
  </r>
  <r>
    <x v="0"/>
    <x v="0"/>
    <x v="9"/>
    <x v="2"/>
    <m/>
    <n v="1087"/>
    <m/>
    <m/>
  </r>
  <r>
    <x v="0"/>
    <x v="0"/>
    <x v="9"/>
    <x v="3"/>
    <m/>
    <n v="596"/>
    <m/>
    <m/>
  </r>
  <r>
    <x v="0"/>
    <x v="1"/>
    <x v="9"/>
    <x v="1"/>
    <m/>
    <n v="1938"/>
    <m/>
    <m/>
  </r>
  <r>
    <x v="0"/>
    <x v="1"/>
    <x v="9"/>
    <x v="2"/>
    <m/>
    <n v="844"/>
    <m/>
    <m/>
  </r>
  <r>
    <x v="0"/>
    <x v="1"/>
    <x v="9"/>
    <x v="3"/>
    <m/>
    <n v="511"/>
    <m/>
    <m/>
  </r>
  <r>
    <x v="0"/>
    <x v="0"/>
    <x v="9"/>
    <x v="4"/>
    <m/>
    <m/>
    <m/>
    <n v="236"/>
  </r>
  <r>
    <x v="0"/>
    <x v="0"/>
    <x v="9"/>
    <x v="5"/>
    <m/>
    <m/>
    <m/>
    <n v="15"/>
  </r>
  <r>
    <x v="0"/>
    <x v="0"/>
    <x v="9"/>
    <x v="6"/>
    <m/>
    <m/>
    <m/>
    <n v="13"/>
  </r>
  <r>
    <x v="39"/>
    <x v="0"/>
    <x v="9"/>
    <x v="1"/>
    <m/>
    <n v="350"/>
    <m/>
    <m/>
  </r>
  <r>
    <x v="39"/>
    <x v="0"/>
    <x v="9"/>
    <x v="2"/>
    <m/>
    <n v="272"/>
    <m/>
    <m/>
  </r>
  <r>
    <x v="39"/>
    <x v="0"/>
    <x v="9"/>
    <x v="3"/>
    <m/>
    <n v="175"/>
    <m/>
    <m/>
  </r>
  <r>
    <x v="39"/>
    <x v="1"/>
    <x v="9"/>
    <x v="1"/>
    <m/>
    <n v="413"/>
    <m/>
    <m/>
  </r>
  <r>
    <x v="39"/>
    <x v="1"/>
    <x v="9"/>
    <x v="2"/>
    <m/>
    <n v="306"/>
    <m/>
    <m/>
  </r>
  <r>
    <x v="39"/>
    <x v="1"/>
    <x v="9"/>
    <x v="3"/>
    <m/>
    <n v="261"/>
    <m/>
    <m/>
  </r>
  <r>
    <x v="39"/>
    <x v="0"/>
    <x v="9"/>
    <x v="4"/>
    <m/>
    <m/>
    <m/>
    <n v="50"/>
  </r>
  <r>
    <x v="39"/>
    <x v="0"/>
    <x v="9"/>
    <x v="5"/>
    <m/>
    <m/>
    <m/>
    <n v="7"/>
  </r>
  <r>
    <x v="39"/>
    <x v="0"/>
    <x v="9"/>
    <x v="6"/>
    <m/>
    <m/>
    <m/>
    <n v="1"/>
  </r>
  <r>
    <x v="51"/>
    <x v="0"/>
    <x v="9"/>
    <x v="1"/>
    <m/>
    <n v="404"/>
    <m/>
    <m/>
  </r>
  <r>
    <x v="51"/>
    <x v="0"/>
    <x v="9"/>
    <x v="2"/>
    <m/>
    <n v="200"/>
    <m/>
    <m/>
  </r>
  <r>
    <x v="51"/>
    <x v="0"/>
    <x v="9"/>
    <x v="3"/>
    <m/>
    <n v="91"/>
    <m/>
    <m/>
  </r>
  <r>
    <x v="51"/>
    <x v="1"/>
    <x v="9"/>
    <x v="1"/>
    <m/>
    <n v="375"/>
    <m/>
    <m/>
  </r>
  <r>
    <x v="51"/>
    <x v="1"/>
    <x v="9"/>
    <x v="2"/>
    <m/>
    <n v="158"/>
    <m/>
    <m/>
  </r>
  <r>
    <x v="51"/>
    <x v="1"/>
    <x v="9"/>
    <x v="3"/>
    <m/>
    <n v="84"/>
    <m/>
    <m/>
  </r>
  <r>
    <x v="51"/>
    <x v="0"/>
    <x v="9"/>
    <x v="4"/>
    <m/>
    <m/>
    <m/>
    <n v="61"/>
  </r>
  <r>
    <x v="51"/>
    <x v="0"/>
    <x v="9"/>
    <x v="5"/>
    <m/>
    <m/>
    <m/>
    <n v="10"/>
  </r>
  <r>
    <x v="51"/>
    <x v="0"/>
    <x v="9"/>
    <x v="6"/>
    <m/>
    <m/>
    <m/>
    <n v="0"/>
  </r>
  <r>
    <x v="43"/>
    <x v="0"/>
    <x v="9"/>
    <x v="1"/>
    <m/>
    <n v="567"/>
    <m/>
    <m/>
  </r>
  <r>
    <x v="43"/>
    <x v="0"/>
    <x v="9"/>
    <x v="2"/>
    <m/>
    <n v="361"/>
    <m/>
    <m/>
  </r>
  <r>
    <x v="43"/>
    <x v="0"/>
    <x v="9"/>
    <x v="3"/>
    <m/>
    <n v="247"/>
    <m/>
    <m/>
  </r>
  <r>
    <x v="43"/>
    <x v="1"/>
    <x v="9"/>
    <x v="1"/>
    <m/>
    <n v="553"/>
    <m/>
    <m/>
  </r>
  <r>
    <x v="43"/>
    <x v="1"/>
    <x v="9"/>
    <x v="2"/>
    <m/>
    <n v="316"/>
    <m/>
    <m/>
  </r>
  <r>
    <x v="43"/>
    <x v="1"/>
    <x v="9"/>
    <x v="3"/>
    <m/>
    <n v="175"/>
    <m/>
    <m/>
  </r>
  <r>
    <x v="43"/>
    <x v="0"/>
    <x v="9"/>
    <x v="4"/>
    <m/>
    <m/>
    <m/>
    <n v="140"/>
  </r>
  <r>
    <x v="43"/>
    <x v="0"/>
    <x v="9"/>
    <x v="5"/>
    <m/>
    <m/>
    <m/>
    <n v="6"/>
  </r>
  <r>
    <x v="43"/>
    <x v="0"/>
    <x v="9"/>
    <x v="6"/>
    <m/>
    <m/>
    <m/>
    <n v="1"/>
  </r>
  <r>
    <x v="1"/>
    <x v="0"/>
    <x v="9"/>
    <x v="1"/>
    <m/>
    <n v="1450"/>
    <m/>
    <m/>
  </r>
  <r>
    <x v="1"/>
    <x v="0"/>
    <x v="9"/>
    <x v="2"/>
    <m/>
    <n v="700"/>
    <m/>
    <m/>
  </r>
  <r>
    <x v="1"/>
    <x v="0"/>
    <x v="9"/>
    <x v="3"/>
    <m/>
    <n v="411"/>
    <m/>
    <m/>
  </r>
  <r>
    <x v="1"/>
    <x v="1"/>
    <x v="9"/>
    <x v="1"/>
    <m/>
    <n v="1180"/>
    <m/>
    <m/>
  </r>
  <r>
    <x v="1"/>
    <x v="1"/>
    <x v="9"/>
    <x v="2"/>
    <m/>
    <n v="573"/>
    <m/>
    <m/>
  </r>
  <r>
    <x v="1"/>
    <x v="1"/>
    <x v="9"/>
    <x v="3"/>
    <m/>
    <n v="355"/>
    <m/>
    <m/>
  </r>
  <r>
    <x v="1"/>
    <x v="0"/>
    <x v="9"/>
    <x v="4"/>
    <m/>
    <m/>
    <m/>
    <n v="276"/>
  </r>
  <r>
    <x v="1"/>
    <x v="0"/>
    <x v="9"/>
    <x v="5"/>
    <m/>
    <m/>
    <m/>
    <n v="17"/>
  </r>
  <r>
    <x v="1"/>
    <x v="0"/>
    <x v="9"/>
    <x v="6"/>
    <m/>
    <m/>
    <m/>
    <n v="2"/>
  </r>
  <r>
    <x v="18"/>
    <x v="0"/>
    <x v="9"/>
    <x v="1"/>
    <m/>
    <n v="708"/>
    <m/>
    <m/>
  </r>
  <r>
    <x v="18"/>
    <x v="0"/>
    <x v="9"/>
    <x v="2"/>
    <m/>
    <n v="440"/>
    <m/>
    <m/>
  </r>
  <r>
    <x v="18"/>
    <x v="0"/>
    <x v="9"/>
    <x v="3"/>
    <m/>
    <n v="314"/>
    <m/>
    <m/>
  </r>
  <r>
    <x v="18"/>
    <x v="1"/>
    <x v="9"/>
    <x v="1"/>
    <m/>
    <n v="754"/>
    <m/>
    <m/>
  </r>
  <r>
    <x v="18"/>
    <x v="1"/>
    <x v="9"/>
    <x v="2"/>
    <m/>
    <n v="478"/>
    <m/>
    <m/>
  </r>
  <r>
    <x v="18"/>
    <x v="1"/>
    <x v="9"/>
    <x v="3"/>
    <m/>
    <n v="322"/>
    <m/>
    <m/>
  </r>
  <r>
    <x v="18"/>
    <x v="0"/>
    <x v="9"/>
    <x v="4"/>
    <m/>
    <m/>
    <m/>
    <n v="134"/>
  </r>
  <r>
    <x v="18"/>
    <x v="0"/>
    <x v="9"/>
    <x v="5"/>
    <m/>
    <m/>
    <m/>
    <n v="10"/>
  </r>
  <r>
    <x v="18"/>
    <x v="0"/>
    <x v="9"/>
    <x v="6"/>
    <m/>
    <m/>
    <m/>
    <n v="2"/>
  </r>
  <r>
    <x v="52"/>
    <x v="0"/>
    <x v="9"/>
    <x v="1"/>
    <m/>
    <n v="249"/>
    <m/>
    <m/>
  </r>
  <r>
    <x v="52"/>
    <x v="0"/>
    <x v="9"/>
    <x v="2"/>
    <m/>
    <n v="84"/>
    <m/>
    <m/>
  </r>
  <r>
    <x v="52"/>
    <x v="0"/>
    <x v="9"/>
    <x v="3"/>
    <m/>
    <n v="49"/>
    <m/>
    <m/>
  </r>
  <r>
    <x v="52"/>
    <x v="1"/>
    <x v="9"/>
    <x v="1"/>
    <m/>
    <n v="280"/>
    <m/>
    <m/>
  </r>
  <r>
    <x v="52"/>
    <x v="1"/>
    <x v="9"/>
    <x v="2"/>
    <m/>
    <n v="91"/>
    <m/>
    <m/>
  </r>
  <r>
    <x v="52"/>
    <x v="1"/>
    <x v="9"/>
    <x v="3"/>
    <m/>
    <n v="37"/>
    <m/>
    <m/>
  </r>
  <r>
    <x v="52"/>
    <x v="0"/>
    <x v="9"/>
    <x v="4"/>
    <m/>
    <m/>
    <m/>
    <n v="2"/>
  </r>
  <r>
    <x v="52"/>
    <x v="0"/>
    <x v="9"/>
    <x v="5"/>
    <m/>
    <m/>
    <m/>
    <n v="0"/>
  </r>
  <r>
    <x v="52"/>
    <x v="0"/>
    <x v="9"/>
    <x v="6"/>
    <m/>
    <m/>
    <m/>
    <n v="1"/>
  </r>
  <r>
    <x v="4"/>
    <x v="0"/>
    <x v="9"/>
    <x v="1"/>
    <m/>
    <n v="1592"/>
    <m/>
    <m/>
  </r>
  <r>
    <x v="4"/>
    <x v="0"/>
    <x v="9"/>
    <x v="2"/>
    <m/>
    <n v="736"/>
    <m/>
    <m/>
  </r>
  <r>
    <x v="4"/>
    <x v="0"/>
    <x v="9"/>
    <x v="3"/>
    <m/>
    <n v="398"/>
    <m/>
    <m/>
  </r>
  <r>
    <x v="4"/>
    <x v="1"/>
    <x v="9"/>
    <x v="1"/>
    <m/>
    <n v="1741"/>
    <m/>
    <m/>
  </r>
  <r>
    <x v="4"/>
    <x v="1"/>
    <x v="9"/>
    <x v="2"/>
    <m/>
    <n v="705"/>
    <m/>
    <m/>
  </r>
  <r>
    <x v="4"/>
    <x v="1"/>
    <x v="9"/>
    <x v="3"/>
    <m/>
    <n v="396"/>
    <m/>
    <m/>
  </r>
  <r>
    <x v="4"/>
    <x v="0"/>
    <x v="9"/>
    <x v="4"/>
    <m/>
    <m/>
    <m/>
    <n v="222"/>
  </r>
  <r>
    <x v="4"/>
    <x v="0"/>
    <x v="9"/>
    <x v="5"/>
    <m/>
    <m/>
    <m/>
    <n v="15"/>
  </r>
  <r>
    <x v="4"/>
    <x v="0"/>
    <x v="9"/>
    <x v="6"/>
    <m/>
    <m/>
    <m/>
    <n v="10"/>
  </r>
  <r>
    <x v="41"/>
    <x v="0"/>
    <x v="9"/>
    <x v="1"/>
    <m/>
    <n v="1011"/>
    <m/>
    <m/>
  </r>
  <r>
    <x v="41"/>
    <x v="0"/>
    <x v="9"/>
    <x v="2"/>
    <m/>
    <n v="361"/>
    <m/>
    <m/>
  </r>
  <r>
    <x v="41"/>
    <x v="0"/>
    <x v="9"/>
    <x v="3"/>
    <m/>
    <n v="203"/>
    <m/>
    <m/>
  </r>
  <r>
    <x v="41"/>
    <x v="1"/>
    <x v="9"/>
    <x v="1"/>
    <m/>
    <n v="944"/>
    <m/>
    <m/>
  </r>
  <r>
    <x v="41"/>
    <x v="1"/>
    <x v="9"/>
    <x v="2"/>
    <m/>
    <n v="315"/>
    <m/>
    <m/>
  </r>
  <r>
    <x v="41"/>
    <x v="1"/>
    <x v="9"/>
    <x v="3"/>
    <m/>
    <n v="180"/>
    <m/>
    <m/>
  </r>
  <r>
    <x v="41"/>
    <x v="0"/>
    <x v="9"/>
    <x v="4"/>
    <m/>
    <m/>
    <m/>
    <n v="76"/>
  </r>
  <r>
    <x v="41"/>
    <x v="0"/>
    <x v="9"/>
    <x v="5"/>
    <m/>
    <m/>
    <m/>
    <n v="6"/>
  </r>
  <r>
    <x v="41"/>
    <x v="0"/>
    <x v="9"/>
    <x v="6"/>
    <m/>
    <m/>
    <m/>
    <n v="3"/>
  </r>
  <r>
    <x v="15"/>
    <x v="0"/>
    <x v="9"/>
    <x v="1"/>
    <m/>
    <n v="1066"/>
    <m/>
    <m/>
  </r>
  <r>
    <x v="15"/>
    <x v="0"/>
    <x v="9"/>
    <x v="2"/>
    <m/>
    <n v="549"/>
    <m/>
    <m/>
  </r>
  <r>
    <x v="15"/>
    <x v="0"/>
    <x v="9"/>
    <x v="3"/>
    <m/>
    <n v="294"/>
    <m/>
    <m/>
  </r>
  <r>
    <x v="15"/>
    <x v="1"/>
    <x v="9"/>
    <x v="1"/>
    <m/>
    <n v="1309"/>
    <m/>
    <m/>
  </r>
  <r>
    <x v="15"/>
    <x v="1"/>
    <x v="9"/>
    <x v="2"/>
    <m/>
    <n v="558"/>
    <m/>
    <m/>
  </r>
  <r>
    <x v="15"/>
    <x v="1"/>
    <x v="9"/>
    <x v="3"/>
    <m/>
    <n v="371"/>
    <m/>
    <m/>
  </r>
  <r>
    <x v="15"/>
    <x v="0"/>
    <x v="9"/>
    <x v="4"/>
    <m/>
    <m/>
    <m/>
    <n v="208"/>
  </r>
  <r>
    <x v="15"/>
    <x v="0"/>
    <x v="9"/>
    <x v="5"/>
    <m/>
    <m/>
    <m/>
    <n v="16"/>
  </r>
  <r>
    <x v="15"/>
    <x v="0"/>
    <x v="9"/>
    <x v="6"/>
    <m/>
    <m/>
    <m/>
    <n v="6"/>
  </r>
  <r>
    <x v="45"/>
    <x v="0"/>
    <x v="9"/>
    <x v="1"/>
    <m/>
    <n v="850"/>
    <m/>
    <m/>
  </r>
  <r>
    <x v="45"/>
    <x v="0"/>
    <x v="9"/>
    <x v="2"/>
    <m/>
    <n v="285"/>
    <m/>
    <m/>
  </r>
  <r>
    <x v="45"/>
    <x v="0"/>
    <x v="9"/>
    <x v="3"/>
    <m/>
    <n v="120"/>
    <m/>
    <m/>
  </r>
  <r>
    <x v="45"/>
    <x v="1"/>
    <x v="9"/>
    <x v="1"/>
    <m/>
    <n v="883"/>
    <m/>
    <m/>
  </r>
  <r>
    <x v="45"/>
    <x v="1"/>
    <x v="9"/>
    <x v="2"/>
    <m/>
    <n v="251"/>
    <m/>
    <m/>
  </r>
  <r>
    <x v="45"/>
    <x v="1"/>
    <x v="9"/>
    <x v="3"/>
    <m/>
    <n v="100"/>
    <m/>
    <m/>
  </r>
  <r>
    <x v="45"/>
    <x v="0"/>
    <x v="9"/>
    <x v="4"/>
    <m/>
    <m/>
    <m/>
    <n v="103"/>
  </r>
  <r>
    <x v="45"/>
    <x v="0"/>
    <x v="9"/>
    <x v="5"/>
    <m/>
    <m/>
    <m/>
    <n v="7"/>
  </r>
  <r>
    <x v="45"/>
    <x v="0"/>
    <x v="9"/>
    <x v="6"/>
    <m/>
    <m/>
    <m/>
    <n v="2"/>
  </r>
  <r>
    <x v="29"/>
    <x v="0"/>
    <x v="9"/>
    <x v="1"/>
    <m/>
    <n v="852"/>
    <m/>
    <m/>
  </r>
  <r>
    <x v="29"/>
    <x v="0"/>
    <x v="9"/>
    <x v="2"/>
    <m/>
    <n v="423"/>
    <m/>
    <m/>
  </r>
  <r>
    <x v="29"/>
    <x v="0"/>
    <x v="9"/>
    <x v="3"/>
    <m/>
    <n v="218"/>
    <m/>
    <m/>
  </r>
  <r>
    <x v="29"/>
    <x v="1"/>
    <x v="9"/>
    <x v="1"/>
    <m/>
    <n v="754"/>
    <m/>
    <m/>
  </r>
  <r>
    <x v="29"/>
    <x v="1"/>
    <x v="9"/>
    <x v="2"/>
    <m/>
    <n v="418"/>
    <m/>
    <m/>
  </r>
  <r>
    <x v="29"/>
    <x v="1"/>
    <x v="9"/>
    <x v="3"/>
    <m/>
    <n v="267"/>
    <m/>
    <m/>
  </r>
  <r>
    <x v="29"/>
    <x v="0"/>
    <x v="9"/>
    <x v="4"/>
    <m/>
    <m/>
    <m/>
    <n v="135"/>
  </r>
  <r>
    <x v="29"/>
    <x v="0"/>
    <x v="9"/>
    <x v="5"/>
    <m/>
    <m/>
    <m/>
    <n v="11"/>
  </r>
  <r>
    <x v="29"/>
    <x v="0"/>
    <x v="9"/>
    <x v="6"/>
    <m/>
    <m/>
    <m/>
    <n v="2"/>
  </r>
  <r>
    <x v="28"/>
    <x v="0"/>
    <x v="9"/>
    <x v="1"/>
    <m/>
    <n v="991"/>
    <m/>
    <m/>
  </r>
  <r>
    <x v="28"/>
    <x v="0"/>
    <x v="9"/>
    <x v="2"/>
    <m/>
    <n v="392"/>
    <m/>
    <m/>
  </r>
  <r>
    <x v="28"/>
    <x v="0"/>
    <x v="9"/>
    <x v="3"/>
    <m/>
    <n v="193"/>
    <m/>
    <m/>
  </r>
  <r>
    <x v="28"/>
    <x v="1"/>
    <x v="9"/>
    <x v="1"/>
    <m/>
    <n v="927"/>
    <m/>
    <m/>
  </r>
  <r>
    <x v="28"/>
    <x v="1"/>
    <x v="9"/>
    <x v="2"/>
    <m/>
    <n v="369"/>
    <m/>
    <m/>
  </r>
  <r>
    <x v="28"/>
    <x v="1"/>
    <x v="9"/>
    <x v="3"/>
    <m/>
    <n v="214"/>
    <m/>
    <m/>
  </r>
  <r>
    <x v="28"/>
    <x v="0"/>
    <x v="9"/>
    <x v="4"/>
    <m/>
    <m/>
    <m/>
    <n v="111"/>
  </r>
  <r>
    <x v="28"/>
    <x v="0"/>
    <x v="9"/>
    <x v="5"/>
    <m/>
    <m/>
    <m/>
    <n v="6"/>
  </r>
  <r>
    <x v="28"/>
    <x v="0"/>
    <x v="9"/>
    <x v="6"/>
    <m/>
    <m/>
    <m/>
    <n v="1"/>
  </r>
  <r>
    <x v="24"/>
    <x v="0"/>
    <x v="9"/>
    <x v="1"/>
    <m/>
    <n v="1301"/>
    <m/>
    <m/>
  </r>
  <r>
    <x v="24"/>
    <x v="0"/>
    <x v="9"/>
    <x v="2"/>
    <m/>
    <n v="572"/>
    <m/>
    <m/>
  </r>
  <r>
    <x v="24"/>
    <x v="0"/>
    <x v="9"/>
    <x v="3"/>
    <m/>
    <n v="263"/>
    <m/>
    <m/>
  </r>
  <r>
    <x v="24"/>
    <x v="1"/>
    <x v="9"/>
    <x v="1"/>
    <m/>
    <n v="1413"/>
    <m/>
    <m/>
  </r>
  <r>
    <x v="24"/>
    <x v="1"/>
    <x v="9"/>
    <x v="2"/>
    <m/>
    <n v="525"/>
    <m/>
    <m/>
  </r>
  <r>
    <x v="24"/>
    <x v="1"/>
    <x v="9"/>
    <x v="3"/>
    <m/>
    <n v="209"/>
    <m/>
    <m/>
  </r>
  <r>
    <x v="24"/>
    <x v="0"/>
    <x v="9"/>
    <x v="4"/>
    <m/>
    <m/>
    <m/>
    <n v="116"/>
  </r>
  <r>
    <x v="24"/>
    <x v="0"/>
    <x v="9"/>
    <x v="5"/>
    <m/>
    <m/>
    <m/>
    <n v="14"/>
  </r>
  <r>
    <x v="24"/>
    <x v="0"/>
    <x v="9"/>
    <x v="6"/>
    <m/>
    <m/>
    <m/>
    <n v="1"/>
  </r>
  <r>
    <x v="23"/>
    <x v="0"/>
    <x v="9"/>
    <x v="1"/>
    <m/>
    <n v="656"/>
    <m/>
    <m/>
  </r>
  <r>
    <x v="23"/>
    <x v="0"/>
    <x v="9"/>
    <x v="2"/>
    <m/>
    <n v="399"/>
    <m/>
    <m/>
  </r>
  <r>
    <x v="23"/>
    <x v="0"/>
    <x v="9"/>
    <x v="3"/>
    <m/>
    <n v="270"/>
    <m/>
    <m/>
  </r>
  <r>
    <x v="23"/>
    <x v="1"/>
    <x v="9"/>
    <x v="1"/>
    <m/>
    <n v="754"/>
    <m/>
    <m/>
  </r>
  <r>
    <x v="23"/>
    <x v="1"/>
    <x v="9"/>
    <x v="2"/>
    <m/>
    <n v="428"/>
    <m/>
    <m/>
  </r>
  <r>
    <x v="23"/>
    <x v="1"/>
    <x v="9"/>
    <x v="3"/>
    <m/>
    <n v="308"/>
    <m/>
    <m/>
  </r>
  <r>
    <x v="23"/>
    <x v="0"/>
    <x v="9"/>
    <x v="4"/>
    <m/>
    <m/>
    <m/>
    <n v="175"/>
  </r>
  <r>
    <x v="23"/>
    <x v="0"/>
    <x v="9"/>
    <x v="5"/>
    <m/>
    <m/>
    <m/>
    <n v="13"/>
  </r>
  <r>
    <x v="23"/>
    <x v="0"/>
    <x v="9"/>
    <x v="6"/>
    <m/>
    <m/>
    <m/>
    <n v="3"/>
  </r>
  <r>
    <x v="14"/>
    <x v="0"/>
    <x v="9"/>
    <x v="1"/>
    <m/>
    <n v="919"/>
    <m/>
    <m/>
  </r>
  <r>
    <x v="14"/>
    <x v="0"/>
    <x v="9"/>
    <x v="2"/>
    <m/>
    <n v="470"/>
    <m/>
    <m/>
  </r>
  <r>
    <x v="14"/>
    <x v="0"/>
    <x v="9"/>
    <x v="3"/>
    <m/>
    <n v="332"/>
    <m/>
    <m/>
  </r>
  <r>
    <x v="14"/>
    <x v="1"/>
    <x v="9"/>
    <x v="1"/>
    <m/>
    <n v="802"/>
    <m/>
    <m/>
  </r>
  <r>
    <x v="14"/>
    <x v="1"/>
    <x v="9"/>
    <x v="2"/>
    <m/>
    <n v="475"/>
    <m/>
    <m/>
  </r>
  <r>
    <x v="14"/>
    <x v="1"/>
    <x v="9"/>
    <x v="3"/>
    <m/>
    <n v="300"/>
    <m/>
    <m/>
  </r>
  <r>
    <x v="14"/>
    <x v="0"/>
    <x v="9"/>
    <x v="4"/>
    <m/>
    <m/>
    <m/>
    <n v="185"/>
  </r>
  <r>
    <x v="14"/>
    <x v="0"/>
    <x v="9"/>
    <x v="5"/>
    <m/>
    <m/>
    <m/>
    <n v="17"/>
  </r>
  <r>
    <x v="14"/>
    <x v="0"/>
    <x v="9"/>
    <x v="6"/>
    <m/>
    <m/>
    <m/>
    <n v="2"/>
  </r>
  <r>
    <x v="30"/>
    <x v="0"/>
    <x v="9"/>
    <x v="1"/>
    <m/>
    <n v="846"/>
    <m/>
    <m/>
  </r>
  <r>
    <x v="30"/>
    <x v="0"/>
    <x v="9"/>
    <x v="2"/>
    <m/>
    <n v="319"/>
    <m/>
    <m/>
  </r>
  <r>
    <x v="30"/>
    <x v="0"/>
    <x v="9"/>
    <x v="3"/>
    <m/>
    <n v="222"/>
    <m/>
    <m/>
  </r>
  <r>
    <x v="30"/>
    <x v="1"/>
    <x v="9"/>
    <x v="1"/>
    <m/>
    <n v="714"/>
    <m/>
    <m/>
  </r>
  <r>
    <x v="30"/>
    <x v="1"/>
    <x v="9"/>
    <x v="2"/>
    <m/>
    <n v="318"/>
    <m/>
    <m/>
  </r>
  <r>
    <x v="30"/>
    <x v="1"/>
    <x v="9"/>
    <x v="3"/>
    <m/>
    <n v="151"/>
    <m/>
    <m/>
  </r>
  <r>
    <x v="30"/>
    <x v="0"/>
    <x v="9"/>
    <x v="4"/>
    <m/>
    <m/>
    <m/>
    <n v="59"/>
  </r>
  <r>
    <x v="30"/>
    <x v="0"/>
    <x v="9"/>
    <x v="5"/>
    <m/>
    <m/>
    <m/>
    <n v="2"/>
  </r>
  <r>
    <x v="30"/>
    <x v="0"/>
    <x v="9"/>
    <x v="6"/>
    <m/>
    <m/>
    <m/>
    <n v="3"/>
  </r>
  <r>
    <x v="20"/>
    <x v="0"/>
    <x v="9"/>
    <x v="1"/>
    <m/>
    <n v="765"/>
    <m/>
    <m/>
  </r>
  <r>
    <x v="20"/>
    <x v="0"/>
    <x v="9"/>
    <x v="2"/>
    <m/>
    <n v="442"/>
    <m/>
    <m/>
  </r>
  <r>
    <x v="20"/>
    <x v="0"/>
    <x v="9"/>
    <x v="3"/>
    <m/>
    <n v="245"/>
    <m/>
    <m/>
  </r>
  <r>
    <x v="20"/>
    <x v="1"/>
    <x v="9"/>
    <x v="1"/>
    <m/>
    <n v="797"/>
    <m/>
    <m/>
  </r>
  <r>
    <x v="20"/>
    <x v="1"/>
    <x v="9"/>
    <x v="2"/>
    <m/>
    <n v="409"/>
    <m/>
    <m/>
  </r>
  <r>
    <x v="20"/>
    <x v="1"/>
    <x v="9"/>
    <x v="3"/>
    <m/>
    <n v="253"/>
    <m/>
    <m/>
  </r>
  <r>
    <x v="20"/>
    <x v="0"/>
    <x v="9"/>
    <x v="4"/>
    <m/>
    <m/>
    <m/>
    <n v="212"/>
  </r>
  <r>
    <x v="20"/>
    <x v="0"/>
    <x v="9"/>
    <x v="5"/>
    <m/>
    <m/>
    <m/>
    <n v="3"/>
  </r>
  <r>
    <x v="20"/>
    <x v="0"/>
    <x v="9"/>
    <x v="6"/>
    <m/>
    <m/>
    <m/>
    <n v="11"/>
  </r>
  <r>
    <x v="36"/>
    <x v="0"/>
    <x v="9"/>
    <x v="1"/>
    <m/>
    <n v="445"/>
    <m/>
    <m/>
  </r>
  <r>
    <x v="36"/>
    <x v="0"/>
    <x v="9"/>
    <x v="2"/>
    <m/>
    <n v="327"/>
    <m/>
    <m/>
  </r>
  <r>
    <x v="36"/>
    <x v="0"/>
    <x v="9"/>
    <x v="3"/>
    <m/>
    <n v="195"/>
    <m/>
    <m/>
  </r>
  <r>
    <x v="36"/>
    <x v="1"/>
    <x v="9"/>
    <x v="1"/>
    <m/>
    <n v="452"/>
    <m/>
    <m/>
  </r>
  <r>
    <x v="36"/>
    <x v="1"/>
    <x v="9"/>
    <x v="2"/>
    <m/>
    <n v="264"/>
    <m/>
    <m/>
  </r>
  <r>
    <x v="36"/>
    <x v="1"/>
    <x v="9"/>
    <x v="3"/>
    <m/>
    <n v="167"/>
    <m/>
    <m/>
  </r>
  <r>
    <x v="36"/>
    <x v="0"/>
    <x v="9"/>
    <x v="4"/>
    <m/>
    <m/>
    <m/>
    <n v="179"/>
  </r>
  <r>
    <x v="36"/>
    <x v="0"/>
    <x v="9"/>
    <x v="5"/>
    <m/>
    <m/>
    <m/>
    <n v="12"/>
  </r>
  <r>
    <x v="36"/>
    <x v="0"/>
    <x v="9"/>
    <x v="6"/>
    <m/>
    <m/>
    <m/>
    <n v="0"/>
  </r>
  <r>
    <x v="33"/>
    <x v="0"/>
    <x v="9"/>
    <x v="1"/>
    <m/>
    <n v="528"/>
    <m/>
    <m/>
  </r>
  <r>
    <x v="33"/>
    <x v="0"/>
    <x v="9"/>
    <x v="2"/>
    <m/>
    <n v="364"/>
    <m/>
    <m/>
  </r>
  <r>
    <x v="33"/>
    <x v="0"/>
    <x v="9"/>
    <x v="3"/>
    <m/>
    <n v="208"/>
    <m/>
    <m/>
  </r>
  <r>
    <x v="33"/>
    <x v="1"/>
    <x v="9"/>
    <x v="1"/>
    <m/>
    <n v="562"/>
    <m/>
    <m/>
  </r>
  <r>
    <x v="33"/>
    <x v="1"/>
    <x v="9"/>
    <x v="2"/>
    <m/>
    <n v="313"/>
    <m/>
    <m/>
  </r>
  <r>
    <x v="33"/>
    <x v="1"/>
    <x v="9"/>
    <x v="3"/>
    <m/>
    <n v="183"/>
    <m/>
    <m/>
  </r>
  <r>
    <x v="33"/>
    <x v="0"/>
    <x v="9"/>
    <x v="4"/>
    <m/>
    <m/>
    <m/>
    <n v="106"/>
  </r>
  <r>
    <x v="33"/>
    <x v="0"/>
    <x v="9"/>
    <x v="5"/>
    <m/>
    <m/>
    <m/>
    <n v="8"/>
  </r>
  <r>
    <x v="33"/>
    <x v="0"/>
    <x v="9"/>
    <x v="6"/>
    <m/>
    <m/>
    <m/>
    <n v="1"/>
  </r>
  <r>
    <x v="19"/>
    <x v="0"/>
    <x v="9"/>
    <x v="1"/>
    <m/>
    <n v="661"/>
    <m/>
    <m/>
  </r>
  <r>
    <x v="19"/>
    <x v="0"/>
    <x v="9"/>
    <x v="2"/>
    <m/>
    <n v="419"/>
    <m/>
    <m/>
  </r>
  <r>
    <x v="19"/>
    <x v="0"/>
    <x v="9"/>
    <x v="3"/>
    <m/>
    <n v="292"/>
    <m/>
    <m/>
  </r>
  <r>
    <x v="19"/>
    <x v="1"/>
    <x v="9"/>
    <x v="1"/>
    <m/>
    <n v="749"/>
    <m/>
    <m/>
  </r>
  <r>
    <x v="19"/>
    <x v="1"/>
    <x v="9"/>
    <x v="2"/>
    <m/>
    <n v="447"/>
    <m/>
    <m/>
  </r>
  <r>
    <x v="19"/>
    <x v="1"/>
    <x v="9"/>
    <x v="3"/>
    <m/>
    <n v="276"/>
    <m/>
    <m/>
  </r>
  <r>
    <x v="19"/>
    <x v="0"/>
    <x v="9"/>
    <x v="4"/>
    <m/>
    <m/>
    <m/>
    <n v="184"/>
  </r>
  <r>
    <x v="19"/>
    <x v="0"/>
    <x v="9"/>
    <x v="5"/>
    <m/>
    <m/>
    <m/>
    <n v="11"/>
  </r>
  <r>
    <x v="19"/>
    <x v="0"/>
    <x v="9"/>
    <x v="6"/>
    <m/>
    <m/>
    <m/>
    <n v="4"/>
  </r>
  <r>
    <x v="21"/>
    <x v="0"/>
    <x v="9"/>
    <x v="1"/>
    <m/>
    <n v="862"/>
    <m/>
    <m/>
  </r>
  <r>
    <x v="21"/>
    <x v="0"/>
    <x v="9"/>
    <x v="2"/>
    <m/>
    <n v="382"/>
    <m/>
    <m/>
  </r>
  <r>
    <x v="21"/>
    <x v="0"/>
    <x v="9"/>
    <x v="3"/>
    <m/>
    <n v="191"/>
    <m/>
    <m/>
  </r>
  <r>
    <x v="21"/>
    <x v="1"/>
    <x v="9"/>
    <x v="1"/>
    <m/>
    <n v="865"/>
    <m/>
    <m/>
  </r>
  <r>
    <x v="21"/>
    <x v="1"/>
    <x v="9"/>
    <x v="2"/>
    <m/>
    <n v="419"/>
    <m/>
    <m/>
  </r>
  <r>
    <x v="21"/>
    <x v="1"/>
    <x v="9"/>
    <x v="3"/>
    <m/>
    <n v="256"/>
    <m/>
    <m/>
  </r>
  <r>
    <x v="21"/>
    <x v="0"/>
    <x v="9"/>
    <x v="4"/>
    <m/>
    <m/>
    <m/>
    <n v="142"/>
  </r>
  <r>
    <x v="21"/>
    <x v="0"/>
    <x v="9"/>
    <x v="5"/>
    <m/>
    <m/>
    <m/>
    <n v="8"/>
  </r>
  <r>
    <x v="21"/>
    <x v="0"/>
    <x v="9"/>
    <x v="6"/>
    <m/>
    <m/>
    <m/>
    <n v="6"/>
  </r>
  <r>
    <x v="47"/>
    <x v="0"/>
    <x v="9"/>
    <x v="1"/>
    <m/>
    <n v="356"/>
    <m/>
    <m/>
  </r>
  <r>
    <x v="47"/>
    <x v="0"/>
    <x v="9"/>
    <x v="2"/>
    <m/>
    <n v="234"/>
    <m/>
    <m/>
  </r>
  <r>
    <x v="47"/>
    <x v="0"/>
    <x v="9"/>
    <x v="3"/>
    <m/>
    <n v="184"/>
    <m/>
    <m/>
  </r>
  <r>
    <x v="47"/>
    <x v="1"/>
    <x v="9"/>
    <x v="1"/>
    <m/>
    <n v="411"/>
    <m/>
    <m/>
  </r>
  <r>
    <x v="47"/>
    <x v="1"/>
    <x v="9"/>
    <x v="2"/>
    <m/>
    <n v="257"/>
    <m/>
    <m/>
  </r>
  <r>
    <x v="47"/>
    <x v="1"/>
    <x v="9"/>
    <x v="3"/>
    <m/>
    <n v="164"/>
    <m/>
    <m/>
  </r>
  <r>
    <x v="47"/>
    <x v="0"/>
    <x v="9"/>
    <x v="4"/>
    <m/>
    <m/>
    <m/>
    <n v="106"/>
  </r>
  <r>
    <x v="47"/>
    <x v="0"/>
    <x v="9"/>
    <x v="5"/>
    <m/>
    <m/>
    <m/>
    <n v="10"/>
  </r>
  <r>
    <x v="47"/>
    <x v="0"/>
    <x v="9"/>
    <x v="6"/>
    <m/>
    <m/>
    <m/>
    <n v="0"/>
  </r>
  <r>
    <x v="35"/>
    <x v="0"/>
    <x v="9"/>
    <x v="1"/>
    <m/>
    <n v="425"/>
    <m/>
    <m/>
  </r>
  <r>
    <x v="35"/>
    <x v="0"/>
    <x v="9"/>
    <x v="2"/>
    <m/>
    <n v="257"/>
    <m/>
    <m/>
  </r>
  <r>
    <x v="35"/>
    <x v="0"/>
    <x v="9"/>
    <x v="3"/>
    <m/>
    <n v="181"/>
    <m/>
    <m/>
  </r>
  <r>
    <x v="35"/>
    <x v="1"/>
    <x v="9"/>
    <x v="1"/>
    <m/>
    <n v="461"/>
    <m/>
    <m/>
  </r>
  <r>
    <x v="35"/>
    <x v="1"/>
    <x v="9"/>
    <x v="2"/>
    <m/>
    <n v="280"/>
    <m/>
    <m/>
  </r>
  <r>
    <x v="35"/>
    <x v="1"/>
    <x v="9"/>
    <x v="3"/>
    <m/>
    <n v="203"/>
    <m/>
    <m/>
  </r>
  <r>
    <x v="35"/>
    <x v="0"/>
    <x v="9"/>
    <x v="4"/>
    <m/>
    <m/>
    <m/>
    <n v="105"/>
  </r>
  <r>
    <x v="35"/>
    <x v="0"/>
    <x v="9"/>
    <x v="5"/>
    <m/>
    <m/>
    <m/>
    <n v="5"/>
  </r>
  <r>
    <x v="35"/>
    <x v="0"/>
    <x v="9"/>
    <x v="6"/>
    <m/>
    <m/>
    <m/>
    <n v="1"/>
  </r>
  <r>
    <x v="44"/>
    <x v="0"/>
    <x v="9"/>
    <x v="1"/>
    <m/>
    <n v="290"/>
    <m/>
    <m/>
  </r>
  <r>
    <x v="44"/>
    <x v="0"/>
    <x v="9"/>
    <x v="2"/>
    <m/>
    <n v="251"/>
    <m/>
    <m/>
  </r>
  <r>
    <x v="44"/>
    <x v="0"/>
    <x v="9"/>
    <x v="3"/>
    <m/>
    <n v="166"/>
    <m/>
    <m/>
  </r>
  <r>
    <x v="44"/>
    <x v="1"/>
    <x v="9"/>
    <x v="1"/>
    <m/>
    <n v="393"/>
    <m/>
    <m/>
  </r>
  <r>
    <x v="44"/>
    <x v="1"/>
    <x v="9"/>
    <x v="2"/>
    <m/>
    <n v="231"/>
    <m/>
    <m/>
  </r>
  <r>
    <x v="44"/>
    <x v="1"/>
    <x v="9"/>
    <x v="3"/>
    <m/>
    <n v="145"/>
    <m/>
    <m/>
  </r>
  <r>
    <x v="44"/>
    <x v="0"/>
    <x v="9"/>
    <x v="4"/>
    <m/>
    <m/>
    <m/>
    <n v="94"/>
  </r>
  <r>
    <x v="44"/>
    <x v="0"/>
    <x v="9"/>
    <x v="5"/>
    <m/>
    <m/>
    <m/>
    <n v="3"/>
  </r>
  <r>
    <x v="44"/>
    <x v="0"/>
    <x v="9"/>
    <x v="6"/>
    <m/>
    <m/>
    <m/>
    <n v="6"/>
  </r>
  <r>
    <x v="6"/>
    <x v="0"/>
    <x v="9"/>
    <x v="1"/>
    <m/>
    <n v="1325"/>
    <m/>
    <m/>
  </r>
  <r>
    <x v="6"/>
    <x v="0"/>
    <x v="9"/>
    <x v="2"/>
    <m/>
    <n v="603"/>
    <m/>
    <m/>
  </r>
  <r>
    <x v="6"/>
    <x v="0"/>
    <x v="9"/>
    <x v="3"/>
    <m/>
    <n v="299"/>
    <m/>
    <m/>
  </r>
  <r>
    <x v="6"/>
    <x v="1"/>
    <x v="9"/>
    <x v="1"/>
    <m/>
    <n v="1328"/>
    <m/>
    <m/>
  </r>
  <r>
    <x v="6"/>
    <x v="1"/>
    <x v="9"/>
    <x v="2"/>
    <m/>
    <n v="589"/>
    <m/>
    <m/>
  </r>
  <r>
    <x v="6"/>
    <x v="1"/>
    <x v="9"/>
    <x v="3"/>
    <m/>
    <n v="379"/>
    <m/>
    <m/>
  </r>
  <r>
    <x v="6"/>
    <x v="0"/>
    <x v="9"/>
    <x v="4"/>
    <m/>
    <m/>
    <m/>
    <n v="219"/>
  </r>
  <r>
    <x v="6"/>
    <x v="0"/>
    <x v="9"/>
    <x v="5"/>
    <m/>
    <m/>
    <m/>
    <n v="11"/>
  </r>
  <r>
    <x v="6"/>
    <x v="0"/>
    <x v="9"/>
    <x v="6"/>
    <m/>
    <m/>
    <m/>
    <n v="5"/>
  </r>
  <r>
    <x v="32"/>
    <x v="0"/>
    <x v="9"/>
    <x v="1"/>
    <m/>
    <n v="816"/>
    <m/>
    <m/>
  </r>
  <r>
    <x v="32"/>
    <x v="0"/>
    <x v="9"/>
    <x v="2"/>
    <m/>
    <n v="317"/>
    <m/>
    <m/>
  </r>
  <r>
    <x v="32"/>
    <x v="0"/>
    <x v="9"/>
    <x v="3"/>
    <m/>
    <n v="216"/>
    <m/>
    <m/>
  </r>
  <r>
    <x v="32"/>
    <x v="1"/>
    <x v="9"/>
    <x v="1"/>
    <m/>
    <n v="771"/>
    <m/>
    <m/>
  </r>
  <r>
    <x v="32"/>
    <x v="1"/>
    <x v="9"/>
    <x v="2"/>
    <m/>
    <n v="330"/>
    <m/>
    <m/>
  </r>
  <r>
    <x v="32"/>
    <x v="1"/>
    <x v="9"/>
    <x v="3"/>
    <m/>
    <n v="175"/>
    <m/>
    <m/>
  </r>
  <r>
    <x v="32"/>
    <x v="0"/>
    <x v="9"/>
    <x v="4"/>
    <m/>
    <m/>
    <m/>
    <n v="159"/>
  </r>
  <r>
    <x v="32"/>
    <x v="0"/>
    <x v="9"/>
    <x v="5"/>
    <m/>
    <m/>
    <m/>
    <n v="13"/>
  </r>
  <r>
    <x v="32"/>
    <x v="0"/>
    <x v="9"/>
    <x v="6"/>
    <m/>
    <m/>
    <m/>
    <n v="5"/>
  </r>
  <r>
    <x v="27"/>
    <x v="0"/>
    <x v="9"/>
    <x v="1"/>
    <m/>
    <n v="598"/>
    <m/>
    <m/>
  </r>
  <r>
    <x v="27"/>
    <x v="0"/>
    <x v="9"/>
    <x v="2"/>
    <m/>
    <n v="324"/>
    <m/>
    <m/>
  </r>
  <r>
    <x v="27"/>
    <x v="0"/>
    <x v="9"/>
    <x v="3"/>
    <m/>
    <n v="213"/>
    <m/>
    <m/>
  </r>
  <r>
    <x v="27"/>
    <x v="1"/>
    <x v="9"/>
    <x v="1"/>
    <m/>
    <n v="665"/>
    <m/>
    <m/>
  </r>
  <r>
    <x v="27"/>
    <x v="1"/>
    <x v="9"/>
    <x v="2"/>
    <m/>
    <n v="361"/>
    <m/>
    <m/>
  </r>
  <r>
    <x v="27"/>
    <x v="1"/>
    <x v="9"/>
    <x v="3"/>
    <m/>
    <n v="254"/>
    <m/>
    <m/>
  </r>
  <r>
    <x v="27"/>
    <x v="0"/>
    <x v="9"/>
    <x v="4"/>
    <m/>
    <m/>
    <m/>
    <n v="104"/>
  </r>
  <r>
    <x v="27"/>
    <x v="0"/>
    <x v="9"/>
    <x v="5"/>
    <m/>
    <m/>
    <m/>
    <n v="9"/>
  </r>
  <r>
    <x v="27"/>
    <x v="0"/>
    <x v="9"/>
    <x v="6"/>
    <m/>
    <m/>
    <m/>
    <n v="1"/>
  </r>
  <r>
    <x v="25"/>
    <x v="0"/>
    <x v="9"/>
    <x v="1"/>
    <m/>
    <n v="449"/>
    <m/>
    <m/>
  </r>
  <r>
    <x v="25"/>
    <x v="0"/>
    <x v="9"/>
    <x v="2"/>
    <m/>
    <n v="380"/>
    <m/>
    <m/>
  </r>
  <r>
    <x v="25"/>
    <x v="0"/>
    <x v="9"/>
    <x v="3"/>
    <m/>
    <n v="259"/>
    <m/>
    <m/>
  </r>
  <r>
    <x v="25"/>
    <x v="1"/>
    <x v="9"/>
    <x v="1"/>
    <m/>
    <n v="390"/>
    <m/>
    <m/>
  </r>
  <r>
    <x v="25"/>
    <x v="1"/>
    <x v="9"/>
    <x v="2"/>
    <m/>
    <n v="312"/>
    <m/>
    <m/>
  </r>
  <r>
    <x v="25"/>
    <x v="1"/>
    <x v="9"/>
    <x v="3"/>
    <m/>
    <n v="275"/>
    <m/>
    <m/>
  </r>
  <r>
    <x v="25"/>
    <x v="0"/>
    <x v="9"/>
    <x v="4"/>
    <m/>
    <m/>
    <m/>
    <n v="149"/>
  </r>
  <r>
    <x v="25"/>
    <x v="0"/>
    <x v="9"/>
    <x v="5"/>
    <m/>
    <m/>
    <m/>
    <n v="8"/>
  </r>
  <r>
    <x v="25"/>
    <x v="0"/>
    <x v="9"/>
    <x v="6"/>
    <m/>
    <m/>
    <m/>
    <n v="2"/>
  </r>
  <r>
    <x v="10"/>
    <x v="0"/>
    <x v="4"/>
    <x v="1"/>
    <m/>
    <n v="1328"/>
    <m/>
    <m/>
  </r>
  <r>
    <x v="10"/>
    <x v="0"/>
    <x v="4"/>
    <x v="2"/>
    <m/>
    <n v="685"/>
    <m/>
    <m/>
  </r>
  <r>
    <x v="10"/>
    <x v="0"/>
    <x v="4"/>
    <x v="3"/>
    <m/>
    <n v="528"/>
    <m/>
    <m/>
  </r>
  <r>
    <x v="10"/>
    <x v="1"/>
    <x v="4"/>
    <x v="1"/>
    <m/>
    <n v="1704"/>
    <m/>
    <m/>
  </r>
  <r>
    <x v="10"/>
    <x v="1"/>
    <x v="4"/>
    <x v="2"/>
    <m/>
    <n v="853"/>
    <m/>
    <m/>
  </r>
  <r>
    <x v="10"/>
    <x v="1"/>
    <x v="4"/>
    <x v="3"/>
    <m/>
    <n v="528"/>
    <m/>
    <m/>
  </r>
  <r>
    <x v="10"/>
    <x v="0"/>
    <x v="4"/>
    <x v="4"/>
    <m/>
    <m/>
    <m/>
    <n v="229"/>
  </r>
  <r>
    <x v="10"/>
    <x v="0"/>
    <x v="4"/>
    <x v="5"/>
    <m/>
    <m/>
    <m/>
    <n v="19"/>
  </r>
  <r>
    <x v="10"/>
    <x v="0"/>
    <x v="4"/>
    <x v="6"/>
    <m/>
    <m/>
    <m/>
    <n v="14"/>
  </r>
  <r>
    <x v="9"/>
    <x v="0"/>
    <x v="4"/>
    <x v="1"/>
    <m/>
    <n v="1641"/>
    <m/>
    <m/>
  </r>
  <r>
    <x v="9"/>
    <x v="0"/>
    <x v="4"/>
    <x v="2"/>
    <m/>
    <n v="712"/>
    <m/>
    <m/>
  </r>
  <r>
    <x v="9"/>
    <x v="0"/>
    <x v="4"/>
    <x v="3"/>
    <m/>
    <n v="433"/>
    <m/>
    <m/>
  </r>
  <r>
    <x v="9"/>
    <x v="1"/>
    <x v="4"/>
    <x v="1"/>
    <m/>
    <n v="2036"/>
    <m/>
    <m/>
  </r>
  <r>
    <x v="9"/>
    <x v="1"/>
    <x v="4"/>
    <x v="2"/>
    <m/>
    <n v="945"/>
    <m/>
    <m/>
  </r>
  <r>
    <x v="9"/>
    <x v="1"/>
    <x v="4"/>
    <x v="3"/>
    <m/>
    <n v="529"/>
    <m/>
    <m/>
  </r>
  <r>
    <x v="9"/>
    <x v="0"/>
    <x v="4"/>
    <x v="4"/>
    <m/>
    <m/>
    <m/>
    <n v="174"/>
  </r>
  <r>
    <x v="9"/>
    <x v="0"/>
    <x v="4"/>
    <x v="5"/>
    <m/>
    <m/>
    <m/>
    <n v="13"/>
  </r>
  <r>
    <x v="9"/>
    <x v="0"/>
    <x v="4"/>
    <x v="6"/>
    <m/>
    <m/>
    <m/>
    <n v="13"/>
  </r>
  <r>
    <x v="49"/>
    <x v="0"/>
    <x v="4"/>
    <x v="1"/>
    <m/>
    <n v="1175"/>
    <m/>
    <m/>
  </r>
  <r>
    <x v="49"/>
    <x v="0"/>
    <x v="4"/>
    <x v="2"/>
    <m/>
    <n v="395"/>
    <m/>
    <m/>
  </r>
  <r>
    <x v="49"/>
    <x v="0"/>
    <x v="4"/>
    <x v="3"/>
    <m/>
    <n v="199"/>
    <m/>
    <m/>
  </r>
  <r>
    <x v="49"/>
    <x v="1"/>
    <x v="4"/>
    <x v="1"/>
    <m/>
    <n v="1634"/>
    <m/>
    <m/>
  </r>
  <r>
    <x v="49"/>
    <x v="1"/>
    <x v="4"/>
    <x v="2"/>
    <m/>
    <n v="555"/>
    <m/>
    <m/>
  </r>
  <r>
    <x v="49"/>
    <x v="1"/>
    <x v="4"/>
    <x v="3"/>
    <m/>
    <n v="312"/>
    <m/>
    <m/>
  </r>
  <r>
    <x v="49"/>
    <x v="0"/>
    <x v="4"/>
    <x v="4"/>
    <m/>
    <m/>
    <m/>
    <n v="93"/>
  </r>
  <r>
    <x v="49"/>
    <x v="0"/>
    <x v="4"/>
    <x v="5"/>
    <m/>
    <m/>
    <m/>
    <n v="8"/>
  </r>
  <r>
    <x v="49"/>
    <x v="0"/>
    <x v="4"/>
    <x v="6"/>
    <m/>
    <m/>
    <m/>
    <n v="6"/>
  </r>
  <r>
    <x v="5"/>
    <x v="0"/>
    <x v="4"/>
    <x v="1"/>
    <m/>
    <n v="1294"/>
    <m/>
    <m/>
  </r>
  <r>
    <x v="5"/>
    <x v="0"/>
    <x v="4"/>
    <x v="2"/>
    <m/>
    <n v="866"/>
    <m/>
    <m/>
  </r>
  <r>
    <x v="5"/>
    <x v="0"/>
    <x v="4"/>
    <x v="3"/>
    <m/>
    <n v="630"/>
    <m/>
    <m/>
  </r>
  <r>
    <x v="5"/>
    <x v="1"/>
    <x v="4"/>
    <x v="1"/>
    <m/>
    <n v="1469"/>
    <m/>
    <m/>
  </r>
  <r>
    <x v="5"/>
    <x v="1"/>
    <x v="4"/>
    <x v="2"/>
    <m/>
    <n v="842"/>
    <m/>
    <m/>
  </r>
  <r>
    <x v="5"/>
    <x v="1"/>
    <x v="4"/>
    <x v="3"/>
    <m/>
    <n v="619"/>
    <m/>
    <m/>
  </r>
  <r>
    <x v="5"/>
    <x v="0"/>
    <x v="4"/>
    <x v="4"/>
    <m/>
    <m/>
    <m/>
    <n v="154"/>
  </r>
  <r>
    <x v="5"/>
    <x v="0"/>
    <x v="4"/>
    <x v="5"/>
    <m/>
    <m/>
    <m/>
    <n v="11"/>
  </r>
  <r>
    <x v="5"/>
    <x v="0"/>
    <x v="4"/>
    <x v="6"/>
    <m/>
    <m/>
    <m/>
    <n v="16"/>
  </r>
  <r>
    <x v="16"/>
    <x v="0"/>
    <x v="4"/>
    <x v="1"/>
    <m/>
    <n v="1060"/>
    <m/>
    <m/>
  </r>
  <r>
    <x v="16"/>
    <x v="0"/>
    <x v="4"/>
    <x v="2"/>
    <m/>
    <n v="688"/>
    <m/>
    <m/>
  </r>
  <r>
    <x v="16"/>
    <x v="0"/>
    <x v="4"/>
    <x v="3"/>
    <m/>
    <n v="418"/>
    <m/>
    <m/>
  </r>
  <r>
    <x v="16"/>
    <x v="1"/>
    <x v="4"/>
    <x v="1"/>
    <m/>
    <n v="1324"/>
    <m/>
    <m/>
  </r>
  <r>
    <x v="16"/>
    <x v="1"/>
    <x v="4"/>
    <x v="2"/>
    <m/>
    <n v="759"/>
    <m/>
    <m/>
  </r>
  <r>
    <x v="16"/>
    <x v="1"/>
    <x v="4"/>
    <x v="3"/>
    <m/>
    <n v="431"/>
    <m/>
    <m/>
  </r>
  <r>
    <x v="16"/>
    <x v="0"/>
    <x v="4"/>
    <x v="4"/>
    <m/>
    <m/>
    <m/>
    <n v="127"/>
  </r>
  <r>
    <x v="16"/>
    <x v="0"/>
    <x v="4"/>
    <x v="5"/>
    <m/>
    <m/>
    <m/>
    <n v="14"/>
  </r>
  <r>
    <x v="16"/>
    <x v="0"/>
    <x v="4"/>
    <x v="6"/>
    <m/>
    <m/>
    <m/>
    <n v="10"/>
  </r>
  <r>
    <x v="17"/>
    <x v="0"/>
    <x v="4"/>
    <x v="1"/>
    <m/>
    <n v="1365"/>
    <m/>
    <m/>
  </r>
  <r>
    <x v="17"/>
    <x v="0"/>
    <x v="4"/>
    <x v="2"/>
    <m/>
    <n v="723"/>
    <m/>
    <m/>
  </r>
  <r>
    <x v="17"/>
    <x v="0"/>
    <x v="4"/>
    <x v="3"/>
    <m/>
    <n v="414"/>
    <m/>
    <m/>
  </r>
  <r>
    <x v="17"/>
    <x v="1"/>
    <x v="4"/>
    <x v="1"/>
    <m/>
    <n v="1774"/>
    <m/>
    <m/>
  </r>
  <r>
    <x v="17"/>
    <x v="1"/>
    <x v="4"/>
    <x v="2"/>
    <m/>
    <n v="871"/>
    <m/>
    <m/>
  </r>
  <r>
    <x v="17"/>
    <x v="1"/>
    <x v="4"/>
    <x v="3"/>
    <m/>
    <n v="474"/>
    <m/>
    <m/>
  </r>
  <r>
    <x v="17"/>
    <x v="0"/>
    <x v="4"/>
    <x v="4"/>
    <m/>
    <m/>
    <m/>
    <n v="169"/>
  </r>
  <r>
    <x v="17"/>
    <x v="0"/>
    <x v="4"/>
    <x v="5"/>
    <m/>
    <m/>
    <m/>
    <n v="13"/>
  </r>
  <r>
    <x v="17"/>
    <x v="0"/>
    <x v="4"/>
    <x v="6"/>
    <m/>
    <m/>
    <m/>
    <n v="12"/>
  </r>
  <r>
    <x v="13"/>
    <x v="0"/>
    <x v="4"/>
    <x v="1"/>
    <m/>
    <n v="1812"/>
    <m/>
    <m/>
  </r>
  <r>
    <x v="13"/>
    <x v="0"/>
    <x v="4"/>
    <x v="2"/>
    <m/>
    <n v="743"/>
    <m/>
    <m/>
  </r>
  <r>
    <x v="13"/>
    <x v="0"/>
    <x v="4"/>
    <x v="3"/>
    <m/>
    <n v="394"/>
    <m/>
    <m/>
  </r>
  <r>
    <x v="13"/>
    <x v="1"/>
    <x v="4"/>
    <x v="1"/>
    <m/>
    <n v="2117"/>
    <m/>
    <m/>
  </r>
  <r>
    <x v="13"/>
    <x v="1"/>
    <x v="4"/>
    <x v="2"/>
    <m/>
    <n v="831"/>
    <m/>
    <m/>
  </r>
  <r>
    <x v="13"/>
    <x v="1"/>
    <x v="4"/>
    <x v="3"/>
    <m/>
    <n v="471"/>
    <m/>
    <m/>
  </r>
  <r>
    <x v="13"/>
    <x v="0"/>
    <x v="4"/>
    <x v="4"/>
    <m/>
    <m/>
    <m/>
    <n v="161"/>
  </r>
  <r>
    <x v="13"/>
    <x v="0"/>
    <x v="4"/>
    <x v="5"/>
    <m/>
    <m/>
    <m/>
    <n v="12"/>
  </r>
  <r>
    <x v="13"/>
    <x v="0"/>
    <x v="4"/>
    <x v="6"/>
    <m/>
    <m/>
    <m/>
    <n v="19"/>
  </r>
  <r>
    <x v="40"/>
    <x v="0"/>
    <x v="4"/>
    <x v="1"/>
    <m/>
    <n v="832"/>
    <m/>
    <m/>
  </r>
  <r>
    <x v="40"/>
    <x v="0"/>
    <x v="4"/>
    <x v="2"/>
    <m/>
    <n v="371"/>
    <m/>
    <m/>
  </r>
  <r>
    <x v="40"/>
    <x v="0"/>
    <x v="4"/>
    <x v="3"/>
    <m/>
    <n v="233"/>
    <m/>
    <m/>
  </r>
  <r>
    <x v="40"/>
    <x v="1"/>
    <x v="4"/>
    <x v="1"/>
    <m/>
    <n v="1050"/>
    <m/>
    <m/>
  </r>
  <r>
    <x v="40"/>
    <x v="1"/>
    <x v="4"/>
    <x v="2"/>
    <m/>
    <n v="450"/>
    <m/>
    <m/>
  </r>
  <r>
    <x v="40"/>
    <x v="1"/>
    <x v="4"/>
    <x v="3"/>
    <m/>
    <n v="296"/>
    <m/>
    <m/>
  </r>
  <r>
    <x v="40"/>
    <x v="0"/>
    <x v="4"/>
    <x v="4"/>
    <m/>
    <m/>
    <m/>
    <n v="105"/>
  </r>
  <r>
    <x v="40"/>
    <x v="0"/>
    <x v="4"/>
    <x v="5"/>
    <m/>
    <m/>
    <m/>
    <n v="6"/>
  </r>
  <r>
    <x v="40"/>
    <x v="0"/>
    <x v="4"/>
    <x v="6"/>
    <m/>
    <m/>
    <m/>
    <n v="8"/>
  </r>
  <r>
    <x v="26"/>
    <x v="0"/>
    <x v="4"/>
    <x v="1"/>
    <m/>
    <n v="786"/>
    <m/>
    <m/>
  </r>
  <r>
    <x v="26"/>
    <x v="0"/>
    <x v="4"/>
    <x v="2"/>
    <m/>
    <n v="556"/>
    <m/>
    <m/>
  </r>
  <r>
    <x v="26"/>
    <x v="0"/>
    <x v="4"/>
    <x v="3"/>
    <m/>
    <n v="412"/>
    <m/>
    <m/>
  </r>
  <r>
    <x v="26"/>
    <x v="1"/>
    <x v="4"/>
    <x v="1"/>
    <m/>
    <n v="800"/>
    <m/>
    <m/>
  </r>
  <r>
    <x v="26"/>
    <x v="1"/>
    <x v="4"/>
    <x v="2"/>
    <m/>
    <n v="583"/>
    <m/>
    <m/>
  </r>
  <r>
    <x v="26"/>
    <x v="1"/>
    <x v="4"/>
    <x v="3"/>
    <m/>
    <n v="410"/>
    <m/>
    <m/>
  </r>
  <r>
    <x v="26"/>
    <x v="0"/>
    <x v="4"/>
    <x v="4"/>
    <m/>
    <m/>
    <m/>
    <n v="130"/>
  </r>
  <r>
    <x v="26"/>
    <x v="0"/>
    <x v="4"/>
    <x v="5"/>
    <m/>
    <m/>
    <m/>
    <n v="4"/>
  </r>
  <r>
    <x v="26"/>
    <x v="0"/>
    <x v="4"/>
    <x v="6"/>
    <m/>
    <m/>
    <m/>
    <n v="3"/>
  </r>
  <r>
    <x v="11"/>
    <x v="0"/>
    <x v="4"/>
    <x v="1"/>
    <m/>
    <n v="1606"/>
    <m/>
    <m/>
  </r>
  <r>
    <x v="11"/>
    <x v="0"/>
    <x v="4"/>
    <x v="2"/>
    <m/>
    <n v="843"/>
    <m/>
    <m/>
  </r>
  <r>
    <x v="11"/>
    <x v="0"/>
    <x v="4"/>
    <x v="3"/>
    <m/>
    <n v="541"/>
    <m/>
    <m/>
  </r>
  <r>
    <x v="11"/>
    <x v="1"/>
    <x v="4"/>
    <x v="1"/>
    <m/>
    <n v="1839"/>
    <m/>
    <m/>
  </r>
  <r>
    <x v="11"/>
    <x v="1"/>
    <x v="4"/>
    <x v="2"/>
    <m/>
    <n v="990"/>
    <m/>
    <m/>
  </r>
  <r>
    <x v="11"/>
    <x v="1"/>
    <x v="4"/>
    <x v="3"/>
    <m/>
    <n v="592"/>
    <m/>
    <m/>
  </r>
  <r>
    <x v="11"/>
    <x v="0"/>
    <x v="4"/>
    <x v="4"/>
    <m/>
    <m/>
    <m/>
    <n v="139"/>
  </r>
  <r>
    <x v="11"/>
    <x v="0"/>
    <x v="4"/>
    <x v="5"/>
    <m/>
    <m/>
    <m/>
    <n v="9"/>
  </r>
  <r>
    <x v="11"/>
    <x v="0"/>
    <x v="4"/>
    <x v="6"/>
    <m/>
    <m/>
    <m/>
    <n v="5"/>
  </r>
  <r>
    <x v="31"/>
    <x v="0"/>
    <x v="4"/>
    <x v="1"/>
    <m/>
    <n v="947"/>
    <m/>
    <m/>
  </r>
  <r>
    <x v="31"/>
    <x v="0"/>
    <x v="4"/>
    <x v="2"/>
    <m/>
    <n v="539"/>
    <m/>
    <m/>
  </r>
  <r>
    <x v="31"/>
    <x v="0"/>
    <x v="4"/>
    <x v="3"/>
    <m/>
    <n v="357"/>
    <m/>
    <m/>
  </r>
  <r>
    <x v="31"/>
    <x v="1"/>
    <x v="4"/>
    <x v="1"/>
    <m/>
    <n v="1131"/>
    <m/>
    <m/>
  </r>
  <r>
    <x v="31"/>
    <x v="1"/>
    <x v="4"/>
    <x v="2"/>
    <m/>
    <n v="563"/>
    <m/>
    <m/>
  </r>
  <r>
    <x v="31"/>
    <x v="1"/>
    <x v="4"/>
    <x v="3"/>
    <m/>
    <n v="409"/>
    <m/>
    <m/>
  </r>
  <r>
    <x v="31"/>
    <x v="0"/>
    <x v="4"/>
    <x v="4"/>
    <m/>
    <m/>
    <m/>
    <n v="130"/>
  </r>
  <r>
    <x v="31"/>
    <x v="0"/>
    <x v="4"/>
    <x v="5"/>
    <m/>
    <m/>
    <m/>
    <n v="10"/>
  </r>
  <r>
    <x v="31"/>
    <x v="0"/>
    <x v="4"/>
    <x v="6"/>
    <m/>
    <m/>
    <m/>
    <n v="12"/>
  </r>
  <r>
    <x v="7"/>
    <x v="0"/>
    <x v="4"/>
    <x v="1"/>
    <m/>
    <n v="1533"/>
    <m/>
    <m/>
  </r>
  <r>
    <x v="7"/>
    <x v="0"/>
    <x v="4"/>
    <x v="2"/>
    <m/>
    <n v="983"/>
    <m/>
    <m/>
  </r>
  <r>
    <x v="7"/>
    <x v="0"/>
    <x v="4"/>
    <x v="3"/>
    <m/>
    <n v="608"/>
    <m/>
    <m/>
  </r>
  <r>
    <x v="7"/>
    <x v="1"/>
    <x v="4"/>
    <x v="1"/>
    <m/>
    <n v="1681"/>
    <m/>
    <m/>
  </r>
  <r>
    <x v="7"/>
    <x v="1"/>
    <x v="4"/>
    <x v="2"/>
    <m/>
    <n v="959"/>
    <m/>
    <m/>
  </r>
  <r>
    <x v="7"/>
    <x v="1"/>
    <x v="4"/>
    <x v="3"/>
    <m/>
    <n v="633"/>
    <m/>
    <m/>
  </r>
  <r>
    <x v="7"/>
    <x v="0"/>
    <x v="4"/>
    <x v="4"/>
    <m/>
    <m/>
    <m/>
    <n v="249"/>
  </r>
  <r>
    <x v="7"/>
    <x v="0"/>
    <x v="4"/>
    <x v="5"/>
    <m/>
    <m/>
    <m/>
    <n v="17"/>
  </r>
  <r>
    <x v="7"/>
    <x v="0"/>
    <x v="4"/>
    <x v="6"/>
    <m/>
    <m/>
    <m/>
    <n v="27"/>
  </r>
  <r>
    <x v="2"/>
    <x v="0"/>
    <x v="4"/>
    <x v="1"/>
    <m/>
    <n v="2154"/>
    <m/>
    <m/>
  </r>
  <r>
    <x v="2"/>
    <x v="0"/>
    <x v="4"/>
    <x v="2"/>
    <m/>
    <n v="998"/>
    <m/>
    <m/>
  </r>
  <r>
    <x v="2"/>
    <x v="0"/>
    <x v="4"/>
    <x v="3"/>
    <m/>
    <n v="599"/>
    <m/>
    <m/>
  </r>
  <r>
    <x v="2"/>
    <x v="1"/>
    <x v="4"/>
    <x v="1"/>
    <m/>
    <n v="2363"/>
    <m/>
    <m/>
  </r>
  <r>
    <x v="2"/>
    <x v="1"/>
    <x v="4"/>
    <x v="2"/>
    <m/>
    <n v="1168"/>
    <m/>
    <m/>
  </r>
  <r>
    <x v="2"/>
    <x v="1"/>
    <x v="4"/>
    <x v="3"/>
    <m/>
    <n v="678"/>
    <m/>
    <m/>
  </r>
  <r>
    <x v="2"/>
    <x v="0"/>
    <x v="4"/>
    <x v="4"/>
    <m/>
    <m/>
    <m/>
    <n v="201"/>
  </r>
  <r>
    <x v="2"/>
    <x v="0"/>
    <x v="4"/>
    <x v="5"/>
    <m/>
    <m/>
    <m/>
    <n v="24"/>
  </r>
  <r>
    <x v="2"/>
    <x v="0"/>
    <x v="4"/>
    <x v="6"/>
    <m/>
    <m/>
    <m/>
    <n v="16"/>
  </r>
  <r>
    <x v="22"/>
    <x v="0"/>
    <x v="4"/>
    <x v="1"/>
    <m/>
    <n v="1117"/>
    <m/>
    <m/>
  </r>
  <r>
    <x v="22"/>
    <x v="0"/>
    <x v="4"/>
    <x v="2"/>
    <m/>
    <n v="526"/>
    <m/>
    <m/>
  </r>
  <r>
    <x v="22"/>
    <x v="0"/>
    <x v="4"/>
    <x v="3"/>
    <m/>
    <n v="309"/>
    <m/>
    <m/>
  </r>
  <r>
    <x v="22"/>
    <x v="1"/>
    <x v="4"/>
    <x v="1"/>
    <m/>
    <n v="1478"/>
    <m/>
    <m/>
  </r>
  <r>
    <x v="22"/>
    <x v="1"/>
    <x v="4"/>
    <x v="2"/>
    <m/>
    <n v="658"/>
    <m/>
    <m/>
  </r>
  <r>
    <x v="22"/>
    <x v="1"/>
    <x v="4"/>
    <x v="3"/>
    <m/>
    <n v="382"/>
    <m/>
    <m/>
  </r>
  <r>
    <x v="22"/>
    <x v="0"/>
    <x v="4"/>
    <x v="4"/>
    <m/>
    <m/>
    <m/>
    <n v="133"/>
  </r>
  <r>
    <x v="22"/>
    <x v="0"/>
    <x v="4"/>
    <x v="5"/>
    <m/>
    <m/>
    <m/>
    <n v="9"/>
  </r>
  <r>
    <x v="22"/>
    <x v="0"/>
    <x v="4"/>
    <x v="6"/>
    <m/>
    <m/>
    <m/>
    <n v="6"/>
  </r>
  <r>
    <x v="48"/>
    <x v="0"/>
    <x v="4"/>
    <x v="1"/>
    <m/>
    <n v="1250"/>
    <m/>
    <m/>
  </r>
  <r>
    <x v="48"/>
    <x v="0"/>
    <x v="4"/>
    <x v="2"/>
    <m/>
    <n v="356"/>
    <m/>
    <m/>
  </r>
  <r>
    <x v="48"/>
    <x v="0"/>
    <x v="4"/>
    <x v="3"/>
    <m/>
    <n v="224"/>
    <m/>
    <m/>
  </r>
  <r>
    <x v="48"/>
    <x v="1"/>
    <x v="4"/>
    <x v="1"/>
    <m/>
    <n v="1384"/>
    <m/>
    <m/>
  </r>
  <r>
    <x v="48"/>
    <x v="1"/>
    <x v="4"/>
    <x v="2"/>
    <m/>
    <n v="418"/>
    <m/>
    <m/>
  </r>
  <r>
    <x v="48"/>
    <x v="1"/>
    <x v="4"/>
    <x v="3"/>
    <m/>
    <n v="268"/>
    <m/>
    <m/>
  </r>
  <r>
    <x v="48"/>
    <x v="0"/>
    <x v="4"/>
    <x v="4"/>
    <m/>
    <m/>
    <m/>
    <n v="108"/>
  </r>
  <r>
    <x v="48"/>
    <x v="0"/>
    <x v="4"/>
    <x v="5"/>
    <m/>
    <m/>
    <m/>
    <n v="13"/>
  </r>
  <r>
    <x v="48"/>
    <x v="0"/>
    <x v="4"/>
    <x v="6"/>
    <m/>
    <m/>
    <m/>
    <n v="5"/>
  </r>
  <r>
    <x v="50"/>
    <x v="0"/>
    <x v="4"/>
    <x v="1"/>
    <m/>
    <n v="490"/>
    <m/>
    <m/>
  </r>
  <r>
    <x v="50"/>
    <x v="0"/>
    <x v="4"/>
    <x v="2"/>
    <m/>
    <n v="233"/>
    <m/>
    <m/>
  </r>
  <r>
    <x v="50"/>
    <x v="0"/>
    <x v="4"/>
    <x v="3"/>
    <m/>
    <n v="198"/>
    <m/>
    <m/>
  </r>
  <r>
    <x v="50"/>
    <x v="1"/>
    <x v="4"/>
    <x v="1"/>
    <m/>
    <n v="534"/>
    <m/>
    <m/>
  </r>
  <r>
    <x v="50"/>
    <x v="1"/>
    <x v="4"/>
    <x v="2"/>
    <m/>
    <n v="320"/>
    <m/>
    <m/>
  </r>
  <r>
    <x v="50"/>
    <x v="1"/>
    <x v="4"/>
    <x v="3"/>
    <m/>
    <n v="210"/>
    <m/>
    <m/>
  </r>
  <r>
    <x v="50"/>
    <x v="0"/>
    <x v="4"/>
    <x v="4"/>
    <m/>
    <m/>
    <m/>
    <n v="75"/>
  </r>
  <r>
    <x v="50"/>
    <x v="0"/>
    <x v="4"/>
    <x v="5"/>
    <m/>
    <m/>
    <m/>
    <n v="8"/>
  </r>
  <r>
    <x v="50"/>
    <x v="0"/>
    <x v="4"/>
    <x v="6"/>
    <m/>
    <m/>
    <m/>
    <n v="4"/>
  </r>
  <r>
    <x v="8"/>
    <x v="0"/>
    <x v="4"/>
    <x v="1"/>
    <m/>
    <n v="1614"/>
    <m/>
    <m/>
  </r>
  <r>
    <x v="8"/>
    <x v="0"/>
    <x v="4"/>
    <x v="2"/>
    <m/>
    <n v="784"/>
    <m/>
    <m/>
  </r>
  <r>
    <x v="8"/>
    <x v="0"/>
    <x v="4"/>
    <x v="3"/>
    <m/>
    <n v="486"/>
    <m/>
    <m/>
  </r>
  <r>
    <x v="8"/>
    <x v="1"/>
    <x v="4"/>
    <x v="1"/>
    <m/>
    <n v="1985"/>
    <m/>
    <m/>
  </r>
  <r>
    <x v="8"/>
    <x v="1"/>
    <x v="4"/>
    <x v="2"/>
    <m/>
    <n v="949"/>
    <m/>
    <m/>
  </r>
  <r>
    <x v="8"/>
    <x v="1"/>
    <x v="4"/>
    <x v="3"/>
    <m/>
    <n v="515"/>
    <m/>
    <m/>
  </r>
  <r>
    <x v="8"/>
    <x v="0"/>
    <x v="4"/>
    <x v="4"/>
    <m/>
    <m/>
    <m/>
    <n v="170"/>
  </r>
  <r>
    <x v="8"/>
    <x v="0"/>
    <x v="4"/>
    <x v="5"/>
    <m/>
    <m/>
    <m/>
    <n v="10"/>
  </r>
  <r>
    <x v="8"/>
    <x v="0"/>
    <x v="4"/>
    <x v="6"/>
    <m/>
    <m/>
    <m/>
    <n v="4"/>
  </r>
  <r>
    <x v="42"/>
    <x v="0"/>
    <x v="4"/>
    <x v="1"/>
    <m/>
    <n v="461"/>
    <m/>
    <m/>
  </r>
  <r>
    <x v="42"/>
    <x v="0"/>
    <x v="4"/>
    <x v="2"/>
    <m/>
    <n v="368"/>
    <m/>
    <m/>
  </r>
  <r>
    <x v="42"/>
    <x v="0"/>
    <x v="4"/>
    <x v="3"/>
    <m/>
    <n v="246"/>
    <m/>
    <m/>
  </r>
  <r>
    <x v="42"/>
    <x v="1"/>
    <x v="4"/>
    <x v="1"/>
    <m/>
    <n v="600"/>
    <m/>
    <m/>
  </r>
  <r>
    <x v="42"/>
    <x v="1"/>
    <x v="4"/>
    <x v="2"/>
    <m/>
    <n v="360"/>
    <m/>
    <m/>
  </r>
  <r>
    <x v="42"/>
    <x v="1"/>
    <x v="4"/>
    <x v="3"/>
    <m/>
    <n v="240"/>
    <m/>
    <m/>
  </r>
  <r>
    <x v="42"/>
    <x v="0"/>
    <x v="4"/>
    <x v="4"/>
    <m/>
    <m/>
    <m/>
    <n v="49"/>
  </r>
  <r>
    <x v="42"/>
    <x v="0"/>
    <x v="4"/>
    <x v="5"/>
    <m/>
    <m/>
    <m/>
    <n v="2"/>
  </r>
  <r>
    <x v="42"/>
    <x v="0"/>
    <x v="4"/>
    <x v="6"/>
    <m/>
    <m/>
    <m/>
    <n v="4"/>
  </r>
  <r>
    <x v="46"/>
    <x v="0"/>
    <x v="4"/>
    <x v="1"/>
    <m/>
    <n v="547"/>
    <m/>
    <m/>
  </r>
  <r>
    <x v="46"/>
    <x v="0"/>
    <x v="4"/>
    <x v="2"/>
    <m/>
    <n v="334"/>
    <m/>
    <m/>
  </r>
  <r>
    <x v="46"/>
    <x v="0"/>
    <x v="4"/>
    <x v="3"/>
    <m/>
    <n v="273"/>
    <m/>
    <m/>
  </r>
  <r>
    <x v="46"/>
    <x v="1"/>
    <x v="4"/>
    <x v="1"/>
    <m/>
    <n v="563"/>
    <m/>
    <m/>
  </r>
  <r>
    <x v="46"/>
    <x v="1"/>
    <x v="4"/>
    <x v="2"/>
    <m/>
    <n v="347"/>
    <m/>
    <m/>
  </r>
  <r>
    <x v="46"/>
    <x v="1"/>
    <x v="4"/>
    <x v="3"/>
    <m/>
    <n v="258"/>
    <m/>
    <m/>
  </r>
  <r>
    <x v="46"/>
    <x v="0"/>
    <x v="4"/>
    <x v="4"/>
    <m/>
    <m/>
    <m/>
    <n v="62"/>
  </r>
  <r>
    <x v="46"/>
    <x v="0"/>
    <x v="4"/>
    <x v="5"/>
    <m/>
    <m/>
    <m/>
    <n v="6"/>
  </r>
  <r>
    <x v="46"/>
    <x v="0"/>
    <x v="4"/>
    <x v="6"/>
    <m/>
    <m/>
    <m/>
    <n v="0"/>
  </r>
  <r>
    <x v="38"/>
    <x v="0"/>
    <x v="4"/>
    <x v="1"/>
    <m/>
    <n v="433"/>
    <m/>
    <m/>
  </r>
  <r>
    <x v="38"/>
    <x v="0"/>
    <x v="4"/>
    <x v="2"/>
    <m/>
    <n v="372"/>
    <m/>
    <m/>
  </r>
  <r>
    <x v="38"/>
    <x v="0"/>
    <x v="4"/>
    <x v="3"/>
    <m/>
    <n v="241"/>
    <m/>
    <m/>
  </r>
  <r>
    <x v="38"/>
    <x v="1"/>
    <x v="4"/>
    <x v="1"/>
    <m/>
    <n v="657"/>
    <m/>
    <m/>
  </r>
  <r>
    <x v="38"/>
    <x v="1"/>
    <x v="4"/>
    <x v="2"/>
    <m/>
    <n v="431"/>
    <m/>
    <m/>
  </r>
  <r>
    <x v="38"/>
    <x v="1"/>
    <x v="4"/>
    <x v="3"/>
    <m/>
    <n v="273"/>
    <m/>
    <m/>
  </r>
  <r>
    <x v="38"/>
    <x v="0"/>
    <x v="4"/>
    <x v="4"/>
    <m/>
    <m/>
    <m/>
    <n v="80"/>
  </r>
  <r>
    <x v="38"/>
    <x v="0"/>
    <x v="4"/>
    <x v="5"/>
    <m/>
    <m/>
    <m/>
    <n v="5"/>
  </r>
  <r>
    <x v="38"/>
    <x v="0"/>
    <x v="4"/>
    <x v="6"/>
    <m/>
    <m/>
    <m/>
    <n v="7"/>
  </r>
  <r>
    <x v="3"/>
    <x v="0"/>
    <x v="4"/>
    <x v="1"/>
    <m/>
    <n v="1624"/>
    <m/>
    <m/>
  </r>
  <r>
    <x v="3"/>
    <x v="0"/>
    <x v="4"/>
    <x v="2"/>
    <m/>
    <n v="837"/>
    <m/>
    <m/>
  </r>
  <r>
    <x v="3"/>
    <x v="0"/>
    <x v="4"/>
    <x v="3"/>
    <m/>
    <n v="577"/>
    <m/>
    <m/>
  </r>
  <r>
    <x v="3"/>
    <x v="1"/>
    <x v="4"/>
    <x v="1"/>
    <m/>
    <n v="1987"/>
    <m/>
    <m/>
  </r>
  <r>
    <x v="3"/>
    <x v="1"/>
    <x v="4"/>
    <x v="2"/>
    <m/>
    <n v="843"/>
    <m/>
    <m/>
  </r>
  <r>
    <x v="3"/>
    <x v="1"/>
    <x v="4"/>
    <x v="3"/>
    <m/>
    <n v="609"/>
    <m/>
    <m/>
  </r>
  <r>
    <x v="3"/>
    <x v="0"/>
    <x v="4"/>
    <x v="4"/>
    <m/>
    <m/>
    <m/>
    <n v="155"/>
  </r>
  <r>
    <x v="3"/>
    <x v="0"/>
    <x v="4"/>
    <x v="5"/>
    <m/>
    <m/>
    <m/>
    <n v="12"/>
  </r>
  <r>
    <x v="3"/>
    <x v="0"/>
    <x v="4"/>
    <x v="6"/>
    <m/>
    <m/>
    <m/>
    <n v="0"/>
  </r>
  <r>
    <x v="12"/>
    <x v="0"/>
    <x v="4"/>
    <x v="1"/>
    <m/>
    <n v="1325"/>
    <m/>
    <m/>
  </r>
  <r>
    <x v="12"/>
    <x v="0"/>
    <x v="4"/>
    <x v="2"/>
    <m/>
    <n v="685"/>
    <m/>
    <m/>
  </r>
  <r>
    <x v="12"/>
    <x v="0"/>
    <x v="4"/>
    <x v="3"/>
    <m/>
    <n v="461"/>
    <m/>
    <m/>
  </r>
  <r>
    <x v="12"/>
    <x v="1"/>
    <x v="4"/>
    <x v="1"/>
    <m/>
    <n v="1595"/>
    <m/>
    <m/>
  </r>
  <r>
    <x v="12"/>
    <x v="1"/>
    <x v="4"/>
    <x v="2"/>
    <m/>
    <n v="892"/>
    <m/>
    <m/>
  </r>
  <r>
    <x v="12"/>
    <x v="1"/>
    <x v="4"/>
    <x v="3"/>
    <m/>
    <n v="483"/>
    <m/>
    <m/>
  </r>
  <r>
    <x v="12"/>
    <x v="0"/>
    <x v="4"/>
    <x v="4"/>
    <m/>
    <m/>
    <m/>
    <n v="160"/>
  </r>
  <r>
    <x v="12"/>
    <x v="0"/>
    <x v="4"/>
    <x v="5"/>
    <m/>
    <m/>
    <m/>
    <n v="7"/>
  </r>
  <r>
    <x v="12"/>
    <x v="0"/>
    <x v="4"/>
    <x v="6"/>
    <m/>
    <m/>
    <m/>
    <n v="6"/>
  </r>
  <r>
    <x v="34"/>
    <x v="0"/>
    <x v="4"/>
    <x v="1"/>
    <m/>
    <n v="1078"/>
    <m/>
    <m/>
  </r>
  <r>
    <x v="34"/>
    <x v="0"/>
    <x v="4"/>
    <x v="2"/>
    <m/>
    <n v="506"/>
    <m/>
    <m/>
  </r>
  <r>
    <x v="34"/>
    <x v="0"/>
    <x v="4"/>
    <x v="3"/>
    <m/>
    <n v="322"/>
    <m/>
    <m/>
  </r>
  <r>
    <x v="34"/>
    <x v="1"/>
    <x v="4"/>
    <x v="1"/>
    <m/>
    <n v="1476"/>
    <m/>
    <m/>
  </r>
  <r>
    <x v="34"/>
    <x v="1"/>
    <x v="4"/>
    <x v="2"/>
    <m/>
    <n v="584"/>
    <m/>
    <m/>
  </r>
  <r>
    <x v="34"/>
    <x v="1"/>
    <x v="4"/>
    <x v="3"/>
    <m/>
    <n v="295"/>
    <m/>
    <m/>
  </r>
  <r>
    <x v="34"/>
    <x v="0"/>
    <x v="4"/>
    <x v="4"/>
    <m/>
    <m/>
    <m/>
    <n v="70"/>
  </r>
  <r>
    <x v="34"/>
    <x v="0"/>
    <x v="4"/>
    <x v="5"/>
    <m/>
    <m/>
    <m/>
    <n v="2"/>
  </r>
  <r>
    <x v="34"/>
    <x v="0"/>
    <x v="4"/>
    <x v="6"/>
    <m/>
    <m/>
    <m/>
    <n v="5"/>
  </r>
  <r>
    <x v="0"/>
    <x v="0"/>
    <x v="4"/>
    <x v="1"/>
    <m/>
    <n v="2798"/>
    <m/>
    <m/>
  </r>
  <r>
    <x v="0"/>
    <x v="0"/>
    <x v="4"/>
    <x v="2"/>
    <m/>
    <n v="1319"/>
    <m/>
    <m/>
  </r>
  <r>
    <x v="0"/>
    <x v="0"/>
    <x v="4"/>
    <x v="3"/>
    <m/>
    <n v="850"/>
    <m/>
    <m/>
  </r>
  <r>
    <x v="0"/>
    <x v="1"/>
    <x v="4"/>
    <x v="1"/>
    <m/>
    <n v="2580"/>
    <m/>
    <m/>
  </r>
  <r>
    <x v="0"/>
    <x v="1"/>
    <x v="4"/>
    <x v="2"/>
    <m/>
    <n v="1226"/>
    <m/>
    <m/>
  </r>
  <r>
    <x v="0"/>
    <x v="1"/>
    <x v="4"/>
    <x v="3"/>
    <m/>
    <n v="772"/>
    <m/>
    <m/>
  </r>
  <r>
    <x v="0"/>
    <x v="0"/>
    <x v="4"/>
    <x v="4"/>
    <m/>
    <m/>
    <m/>
    <n v="270"/>
  </r>
  <r>
    <x v="0"/>
    <x v="0"/>
    <x v="4"/>
    <x v="5"/>
    <m/>
    <m/>
    <m/>
    <n v="24"/>
  </r>
  <r>
    <x v="0"/>
    <x v="0"/>
    <x v="4"/>
    <x v="6"/>
    <m/>
    <m/>
    <m/>
    <n v="29"/>
  </r>
  <r>
    <x v="39"/>
    <x v="0"/>
    <x v="4"/>
    <x v="1"/>
    <m/>
    <n v="475"/>
    <m/>
    <m/>
  </r>
  <r>
    <x v="39"/>
    <x v="0"/>
    <x v="4"/>
    <x v="2"/>
    <m/>
    <n v="353"/>
    <m/>
    <m/>
  </r>
  <r>
    <x v="39"/>
    <x v="0"/>
    <x v="4"/>
    <x v="3"/>
    <m/>
    <n v="288"/>
    <m/>
    <m/>
  </r>
  <r>
    <x v="39"/>
    <x v="1"/>
    <x v="4"/>
    <x v="1"/>
    <m/>
    <n v="597"/>
    <m/>
    <m/>
  </r>
  <r>
    <x v="39"/>
    <x v="1"/>
    <x v="4"/>
    <x v="2"/>
    <m/>
    <n v="455"/>
    <m/>
    <m/>
  </r>
  <r>
    <x v="39"/>
    <x v="1"/>
    <x v="4"/>
    <x v="3"/>
    <m/>
    <n v="432"/>
    <m/>
    <m/>
  </r>
  <r>
    <x v="39"/>
    <x v="0"/>
    <x v="4"/>
    <x v="4"/>
    <m/>
    <m/>
    <m/>
    <n v="93"/>
  </r>
  <r>
    <x v="39"/>
    <x v="0"/>
    <x v="4"/>
    <x v="5"/>
    <m/>
    <m/>
    <m/>
    <n v="6"/>
  </r>
  <r>
    <x v="39"/>
    <x v="0"/>
    <x v="4"/>
    <x v="6"/>
    <m/>
    <m/>
    <m/>
    <n v="5"/>
  </r>
  <r>
    <x v="51"/>
    <x v="0"/>
    <x v="4"/>
    <x v="1"/>
    <m/>
    <n v="438"/>
    <m/>
    <m/>
  </r>
  <r>
    <x v="51"/>
    <x v="0"/>
    <x v="4"/>
    <x v="2"/>
    <m/>
    <n v="249"/>
    <m/>
    <m/>
  </r>
  <r>
    <x v="51"/>
    <x v="0"/>
    <x v="4"/>
    <x v="3"/>
    <m/>
    <n v="143"/>
    <m/>
    <m/>
  </r>
  <r>
    <x v="51"/>
    <x v="1"/>
    <x v="4"/>
    <x v="1"/>
    <m/>
    <n v="495"/>
    <m/>
    <m/>
  </r>
  <r>
    <x v="51"/>
    <x v="1"/>
    <x v="4"/>
    <x v="2"/>
    <m/>
    <n v="260"/>
    <m/>
    <m/>
  </r>
  <r>
    <x v="51"/>
    <x v="1"/>
    <x v="4"/>
    <x v="3"/>
    <m/>
    <n v="144"/>
    <m/>
    <m/>
  </r>
  <r>
    <x v="51"/>
    <x v="0"/>
    <x v="4"/>
    <x v="4"/>
    <m/>
    <m/>
    <m/>
    <n v="53"/>
  </r>
  <r>
    <x v="51"/>
    <x v="0"/>
    <x v="4"/>
    <x v="5"/>
    <m/>
    <m/>
    <m/>
    <n v="1"/>
  </r>
  <r>
    <x v="51"/>
    <x v="0"/>
    <x v="4"/>
    <x v="6"/>
    <m/>
    <m/>
    <m/>
    <n v="2"/>
  </r>
  <r>
    <x v="43"/>
    <x v="0"/>
    <x v="4"/>
    <x v="1"/>
    <m/>
    <n v="690"/>
    <m/>
    <m/>
  </r>
  <r>
    <x v="43"/>
    <x v="0"/>
    <x v="4"/>
    <x v="2"/>
    <m/>
    <n v="387"/>
    <m/>
    <m/>
  </r>
  <r>
    <x v="43"/>
    <x v="0"/>
    <x v="4"/>
    <x v="3"/>
    <m/>
    <n v="278"/>
    <m/>
    <m/>
  </r>
  <r>
    <x v="43"/>
    <x v="1"/>
    <x v="4"/>
    <x v="1"/>
    <m/>
    <n v="761"/>
    <m/>
    <m/>
  </r>
  <r>
    <x v="43"/>
    <x v="1"/>
    <x v="4"/>
    <x v="2"/>
    <m/>
    <n v="455"/>
    <m/>
    <m/>
  </r>
  <r>
    <x v="43"/>
    <x v="1"/>
    <x v="4"/>
    <x v="3"/>
    <m/>
    <n v="298"/>
    <m/>
    <m/>
  </r>
  <r>
    <x v="43"/>
    <x v="0"/>
    <x v="4"/>
    <x v="4"/>
    <m/>
    <m/>
    <m/>
    <n v="65"/>
  </r>
  <r>
    <x v="43"/>
    <x v="0"/>
    <x v="4"/>
    <x v="5"/>
    <m/>
    <m/>
    <m/>
    <n v="4"/>
  </r>
  <r>
    <x v="43"/>
    <x v="0"/>
    <x v="4"/>
    <x v="6"/>
    <m/>
    <m/>
    <m/>
    <n v="1"/>
  </r>
  <r>
    <x v="1"/>
    <x v="0"/>
    <x v="4"/>
    <x v="1"/>
    <m/>
    <n v="1719"/>
    <m/>
    <m/>
  </r>
  <r>
    <x v="1"/>
    <x v="0"/>
    <x v="4"/>
    <x v="2"/>
    <m/>
    <n v="956"/>
    <m/>
    <m/>
  </r>
  <r>
    <x v="1"/>
    <x v="0"/>
    <x v="4"/>
    <x v="3"/>
    <m/>
    <n v="649"/>
    <m/>
    <m/>
  </r>
  <r>
    <x v="1"/>
    <x v="1"/>
    <x v="4"/>
    <x v="1"/>
    <m/>
    <n v="1668"/>
    <m/>
    <m/>
  </r>
  <r>
    <x v="1"/>
    <x v="1"/>
    <x v="4"/>
    <x v="2"/>
    <m/>
    <n v="871"/>
    <m/>
    <m/>
  </r>
  <r>
    <x v="1"/>
    <x v="1"/>
    <x v="4"/>
    <x v="3"/>
    <m/>
    <n v="629"/>
    <m/>
    <m/>
  </r>
  <r>
    <x v="1"/>
    <x v="0"/>
    <x v="4"/>
    <x v="4"/>
    <m/>
    <m/>
    <m/>
    <n v="270"/>
  </r>
  <r>
    <x v="1"/>
    <x v="0"/>
    <x v="4"/>
    <x v="5"/>
    <m/>
    <m/>
    <m/>
    <n v="27"/>
  </r>
  <r>
    <x v="1"/>
    <x v="0"/>
    <x v="4"/>
    <x v="6"/>
    <m/>
    <m/>
    <m/>
    <n v="9"/>
  </r>
  <r>
    <x v="18"/>
    <x v="0"/>
    <x v="4"/>
    <x v="1"/>
    <m/>
    <n v="1114"/>
    <m/>
    <m/>
  </r>
  <r>
    <x v="18"/>
    <x v="0"/>
    <x v="4"/>
    <x v="2"/>
    <m/>
    <n v="690"/>
    <m/>
    <m/>
  </r>
  <r>
    <x v="18"/>
    <x v="0"/>
    <x v="4"/>
    <x v="3"/>
    <m/>
    <n v="538"/>
    <m/>
    <m/>
  </r>
  <r>
    <x v="18"/>
    <x v="1"/>
    <x v="4"/>
    <x v="1"/>
    <m/>
    <n v="1166"/>
    <m/>
    <m/>
  </r>
  <r>
    <x v="18"/>
    <x v="1"/>
    <x v="4"/>
    <x v="2"/>
    <m/>
    <n v="733"/>
    <m/>
    <m/>
  </r>
  <r>
    <x v="18"/>
    <x v="1"/>
    <x v="4"/>
    <x v="3"/>
    <m/>
    <n v="542"/>
    <m/>
    <m/>
  </r>
  <r>
    <x v="18"/>
    <x v="0"/>
    <x v="4"/>
    <x v="4"/>
    <m/>
    <m/>
    <m/>
    <n v="190"/>
  </r>
  <r>
    <x v="18"/>
    <x v="0"/>
    <x v="4"/>
    <x v="5"/>
    <m/>
    <m/>
    <m/>
    <n v="15"/>
  </r>
  <r>
    <x v="18"/>
    <x v="0"/>
    <x v="4"/>
    <x v="6"/>
    <m/>
    <m/>
    <m/>
    <n v="6"/>
  </r>
  <r>
    <x v="52"/>
    <x v="0"/>
    <x v="4"/>
    <x v="1"/>
    <m/>
    <n v="218"/>
    <m/>
    <m/>
  </r>
  <r>
    <x v="52"/>
    <x v="0"/>
    <x v="4"/>
    <x v="2"/>
    <m/>
    <n v="88"/>
    <m/>
    <m/>
  </r>
  <r>
    <x v="52"/>
    <x v="0"/>
    <x v="4"/>
    <x v="3"/>
    <m/>
    <n v="54"/>
    <m/>
    <m/>
  </r>
  <r>
    <x v="52"/>
    <x v="1"/>
    <x v="4"/>
    <x v="1"/>
    <m/>
    <n v="324"/>
    <m/>
    <m/>
  </r>
  <r>
    <x v="52"/>
    <x v="1"/>
    <x v="4"/>
    <x v="2"/>
    <m/>
    <n v="128"/>
    <m/>
    <m/>
  </r>
  <r>
    <x v="52"/>
    <x v="1"/>
    <x v="4"/>
    <x v="3"/>
    <m/>
    <n v="66"/>
    <m/>
    <m/>
  </r>
  <r>
    <x v="52"/>
    <x v="0"/>
    <x v="4"/>
    <x v="4"/>
    <m/>
    <m/>
    <m/>
    <n v="2"/>
  </r>
  <r>
    <x v="52"/>
    <x v="0"/>
    <x v="4"/>
    <x v="5"/>
    <m/>
    <m/>
    <m/>
    <n v="2"/>
  </r>
  <r>
    <x v="52"/>
    <x v="0"/>
    <x v="4"/>
    <x v="6"/>
    <m/>
    <m/>
    <m/>
    <n v="0"/>
  </r>
  <r>
    <x v="4"/>
    <x v="0"/>
    <x v="4"/>
    <x v="1"/>
    <m/>
    <n v="1968"/>
    <m/>
    <m/>
  </r>
  <r>
    <x v="4"/>
    <x v="0"/>
    <x v="4"/>
    <x v="2"/>
    <m/>
    <n v="948"/>
    <m/>
    <m/>
  </r>
  <r>
    <x v="4"/>
    <x v="0"/>
    <x v="4"/>
    <x v="3"/>
    <m/>
    <n v="661"/>
    <m/>
    <m/>
  </r>
  <r>
    <x v="4"/>
    <x v="1"/>
    <x v="4"/>
    <x v="1"/>
    <m/>
    <n v="2297"/>
    <m/>
    <m/>
  </r>
  <r>
    <x v="4"/>
    <x v="1"/>
    <x v="4"/>
    <x v="2"/>
    <m/>
    <n v="1124"/>
    <m/>
    <m/>
  </r>
  <r>
    <x v="4"/>
    <x v="1"/>
    <x v="4"/>
    <x v="3"/>
    <m/>
    <n v="848"/>
    <m/>
    <m/>
  </r>
  <r>
    <x v="4"/>
    <x v="0"/>
    <x v="4"/>
    <x v="4"/>
    <m/>
    <m/>
    <m/>
    <n v="279"/>
  </r>
  <r>
    <x v="4"/>
    <x v="0"/>
    <x v="4"/>
    <x v="5"/>
    <m/>
    <m/>
    <m/>
    <n v="21"/>
  </r>
  <r>
    <x v="4"/>
    <x v="0"/>
    <x v="4"/>
    <x v="6"/>
    <m/>
    <m/>
    <m/>
    <n v="30"/>
  </r>
  <r>
    <x v="41"/>
    <x v="0"/>
    <x v="4"/>
    <x v="1"/>
    <m/>
    <n v="1063"/>
    <m/>
    <m/>
  </r>
  <r>
    <x v="41"/>
    <x v="0"/>
    <x v="4"/>
    <x v="2"/>
    <m/>
    <n v="511"/>
    <m/>
    <m/>
  </r>
  <r>
    <x v="41"/>
    <x v="0"/>
    <x v="4"/>
    <x v="3"/>
    <m/>
    <n v="311"/>
    <m/>
    <m/>
  </r>
  <r>
    <x v="41"/>
    <x v="1"/>
    <x v="4"/>
    <x v="1"/>
    <m/>
    <n v="1421"/>
    <m/>
    <m/>
  </r>
  <r>
    <x v="41"/>
    <x v="1"/>
    <x v="4"/>
    <x v="2"/>
    <m/>
    <n v="566"/>
    <m/>
    <m/>
  </r>
  <r>
    <x v="41"/>
    <x v="1"/>
    <x v="4"/>
    <x v="3"/>
    <m/>
    <n v="328"/>
    <m/>
    <m/>
  </r>
  <r>
    <x v="41"/>
    <x v="0"/>
    <x v="4"/>
    <x v="4"/>
    <m/>
    <m/>
    <m/>
    <n v="90"/>
  </r>
  <r>
    <x v="41"/>
    <x v="0"/>
    <x v="4"/>
    <x v="5"/>
    <m/>
    <m/>
    <m/>
    <n v="8"/>
  </r>
  <r>
    <x v="41"/>
    <x v="0"/>
    <x v="4"/>
    <x v="6"/>
    <m/>
    <m/>
    <m/>
    <n v="5"/>
  </r>
  <r>
    <x v="15"/>
    <x v="0"/>
    <x v="4"/>
    <x v="1"/>
    <m/>
    <n v="1370"/>
    <m/>
    <m/>
  </r>
  <r>
    <x v="15"/>
    <x v="0"/>
    <x v="4"/>
    <x v="2"/>
    <m/>
    <n v="793"/>
    <m/>
    <m/>
  </r>
  <r>
    <x v="15"/>
    <x v="0"/>
    <x v="4"/>
    <x v="3"/>
    <m/>
    <n v="537"/>
    <m/>
    <m/>
  </r>
  <r>
    <x v="15"/>
    <x v="1"/>
    <x v="4"/>
    <x v="1"/>
    <m/>
    <n v="1788"/>
    <m/>
    <m/>
  </r>
  <r>
    <x v="15"/>
    <x v="1"/>
    <x v="4"/>
    <x v="2"/>
    <m/>
    <n v="956"/>
    <m/>
    <m/>
  </r>
  <r>
    <x v="15"/>
    <x v="1"/>
    <x v="4"/>
    <x v="3"/>
    <m/>
    <n v="534"/>
    <m/>
    <m/>
  </r>
  <r>
    <x v="15"/>
    <x v="0"/>
    <x v="4"/>
    <x v="4"/>
    <m/>
    <m/>
    <m/>
    <n v="228"/>
  </r>
  <r>
    <x v="15"/>
    <x v="0"/>
    <x v="4"/>
    <x v="5"/>
    <m/>
    <m/>
    <m/>
    <n v="14"/>
  </r>
  <r>
    <x v="15"/>
    <x v="0"/>
    <x v="4"/>
    <x v="6"/>
    <m/>
    <m/>
    <m/>
    <n v="9"/>
  </r>
  <r>
    <x v="45"/>
    <x v="0"/>
    <x v="4"/>
    <x v="1"/>
    <m/>
    <n v="1160"/>
    <m/>
    <m/>
  </r>
  <r>
    <x v="45"/>
    <x v="0"/>
    <x v="4"/>
    <x v="2"/>
    <m/>
    <n v="437"/>
    <m/>
    <m/>
  </r>
  <r>
    <x v="45"/>
    <x v="0"/>
    <x v="4"/>
    <x v="3"/>
    <m/>
    <n v="261"/>
    <m/>
    <m/>
  </r>
  <r>
    <x v="45"/>
    <x v="1"/>
    <x v="4"/>
    <x v="1"/>
    <m/>
    <n v="1439"/>
    <m/>
    <m/>
  </r>
  <r>
    <x v="45"/>
    <x v="1"/>
    <x v="4"/>
    <x v="2"/>
    <m/>
    <n v="518"/>
    <m/>
    <m/>
  </r>
  <r>
    <x v="45"/>
    <x v="1"/>
    <x v="4"/>
    <x v="3"/>
    <m/>
    <n v="276"/>
    <m/>
    <m/>
  </r>
  <r>
    <x v="45"/>
    <x v="0"/>
    <x v="4"/>
    <x v="4"/>
    <m/>
    <m/>
    <m/>
    <n v="84"/>
  </r>
  <r>
    <x v="45"/>
    <x v="0"/>
    <x v="4"/>
    <x v="5"/>
    <m/>
    <m/>
    <m/>
    <n v="9"/>
  </r>
  <r>
    <x v="45"/>
    <x v="0"/>
    <x v="4"/>
    <x v="6"/>
    <m/>
    <m/>
    <m/>
    <n v="4"/>
  </r>
  <r>
    <x v="29"/>
    <x v="0"/>
    <x v="4"/>
    <x v="1"/>
    <m/>
    <n v="926"/>
    <m/>
    <m/>
  </r>
  <r>
    <x v="29"/>
    <x v="0"/>
    <x v="4"/>
    <x v="2"/>
    <m/>
    <n v="529"/>
    <m/>
    <m/>
  </r>
  <r>
    <x v="29"/>
    <x v="0"/>
    <x v="4"/>
    <x v="3"/>
    <m/>
    <n v="389"/>
    <m/>
    <m/>
  </r>
  <r>
    <x v="29"/>
    <x v="1"/>
    <x v="4"/>
    <x v="1"/>
    <m/>
    <n v="980"/>
    <m/>
    <m/>
  </r>
  <r>
    <x v="29"/>
    <x v="1"/>
    <x v="4"/>
    <x v="2"/>
    <m/>
    <n v="592"/>
    <m/>
    <m/>
  </r>
  <r>
    <x v="29"/>
    <x v="1"/>
    <x v="4"/>
    <x v="3"/>
    <m/>
    <n v="387"/>
    <m/>
    <m/>
  </r>
  <r>
    <x v="29"/>
    <x v="0"/>
    <x v="4"/>
    <x v="4"/>
    <m/>
    <m/>
    <m/>
    <n v="161"/>
  </r>
  <r>
    <x v="29"/>
    <x v="0"/>
    <x v="4"/>
    <x v="5"/>
    <m/>
    <m/>
    <m/>
    <n v="14"/>
  </r>
  <r>
    <x v="29"/>
    <x v="0"/>
    <x v="4"/>
    <x v="6"/>
    <m/>
    <m/>
    <m/>
    <n v="7"/>
  </r>
  <r>
    <x v="28"/>
    <x v="0"/>
    <x v="4"/>
    <x v="1"/>
    <m/>
    <n v="1110"/>
    <m/>
    <m/>
  </r>
  <r>
    <x v="28"/>
    <x v="0"/>
    <x v="4"/>
    <x v="2"/>
    <m/>
    <n v="533"/>
    <m/>
    <m/>
  </r>
  <r>
    <x v="28"/>
    <x v="0"/>
    <x v="4"/>
    <x v="3"/>
    <m/>
    <n v="358"/>
    <m/>
    <m/>
  </r>
  <r>
    <x v="28"/>
    <x v="1"/>
    <x v="4"/>
    <x v="1"/>
    <m/>
    <n v="1407"/>
    <m/>
    <m/>
  </r>
  <r>
    <x v="28"/>
    <x v="1"/>
    <x v="4"/>
    <x v="2"/>
    <m/>
    <n v="667"/>
    <m/>
    <m/>
  </r>
  <r>
    <x v="28"/>
    <x v="1"/>
    <x v="4"/>
    <x v="3"/>
    <m/>
    <n v="325"/>
    <m/>
    <m/>
  </r>
  <r>
    <x v="28"/>
    <x v="0"/>
    <x v="4"/>
    <x v="4"/>
    <m/>
    <m/>
    <m/>
    <n v="73"/>
  </r>
  <r>
    <x v="28"/>
    <x v="0"/>
    <x v="4"/>
    <x v="5"/>
    <m/>
    <m/>
    <m/>
    <n v="5"/>
  </r>
  <r>
    <x v="28"/>
    <x v="0"/>
    <x v="4"/>
    <x v="6"/>
    <m/>
    <m/>
    <m/>
    <n v="4"/>
  </r>
  <r>
    <x v="24"/>
    <x v="0"/>
    <x v="4"/>
    <x v="1"/>
    <m/>
    <n v="1600"/>
    <m/>
    <m/>
  </r>
  <r>
    <x v="24"/>
    <x v="0"/>
    <x v="4"/>
    <x v="2"/>
    <m/>
    <n v="798"/>
    <m/>
    <m/>
  </r>
  <r>
    <x v="24"/>
    <x v="0"/>
    <x v="4"/>
    <x v="3"/>
    <m/>
    <n v="473"/>
    <m/>
    <m/>
  </r>
  <r>
    <x v="24"/>
    <x v="1"/>
    <x v="4"/>
    <x v="1"/>
    <m/>
    <n v="1848"/>
    <m/>
    <m/>
  </r>
  <r>
    <x v="24"/>
    <x v="1"/>
    <x v="4"/>
    <x v="2"/>
    <m/>
    <n v="870"/>
    <m/>
    <m/>
  </r>
  <r>
    <x v="24"/>
    <x v="1"/>
    <x v="4"/>
    <x v="3"/>
    <m/>
    <n v="502"/>
    <m/>
    <m/>
  </r>
  <r>
    <x v="24"/>
    <x v="0"/>
    <x v="4"/>
    <x v="4"/>
    <m/>
    <m/>
    <m/>
    <n v="166"/>
  </r>
  <r>
    <x v="24"/>
    <x v="0"/>
    <x v="4"/>
    <x v="5"/>
    <m/>
    <m/>
    <m/>
    <n v="17"/>
  </r>
  <r>
    <x v="24"/>
    <x v="0"/>
    <x v="4"/>
    <x v="6"/>
    <m/>
    <m/>
    <m/>
    <n v="6"/>
  </r>
  <r>
    <x v="23"/>
    <x v="0"/>
    <x v="4"/>
    <x v="1"/>
    <m/>
    <n v="784"/>
    <m/>
    <m/>
  </r>
  <r>
    <x v="23"/>
    <x v="0"/>
    <x v="4"/>
    <x v="2"/>
    <m/>
    <n v="465"/>
    <m/>
    <m/>
  </r>
  <r>
    <x v="23"/>
    <x v="0"/>
    <x v="4"/>
    <x v="3"/>
    <m/>
    <n v="401"/>
    <m/>
    <m/>
  </r>
  <r>
    <x v="23"/>
    <x v="1"/>
    <x v="4"/>
    <x v="1"/>
    <m/>
    <n v="989"/>
    <m/>
    <m/>
  </r>
  <r>
    <x v="23"/>
    <x v="1"/>
    <x v="4"/>
    <x v="2"/>
    <m/>
    <n v="587"/>
    <m/>
    <m/>
  </r>
  <r>
    <x v="23"/>
    <x v="1"/>
    <x v="4"/>
    <x v="3"/>
    <m/>
    <n v="415"/>
    <m/>
    <m/>
  </r>
  <r>
    <x v="23"/>
    <x v="0"/>
    <x v="4"/>
    <x v="4"/>
    <m/>
    <m/>
    <m/>
    <n v="179"/>
  </r>
  <r>
    <x v="23"/>
    <x v="0"/>
    <x v="4"/>
    <x v="5"/>
    <m/>
    <m/>
    <m/>
    <n v="14"/>
  </r>
  <r>
    <x v="23"/>
    <x v="0"/>
    <x v="4"/>
    <x v="6"/>
    <m/>
    <m/>
    <m/>
    <n v="6"/>
  </r>
  <r>
    <x v="14"/>
    <x v="0"/>
    <x v="4"/>
    <x v="1"/>
    <m/>
    <n v="1094"/>
    <m/>
    <m/>
  </r>
  <r>
    <x v="14"/>
    <x v="0"/>
    <x v="4"/>
    <x v="2"/>
    <m/>
    <n v="571"/>
    <m/>
    <m/>
  </r>
  <r>
    <x v="14"/>
    <x v="0"/>
    <x v="4"/>
    <x v="3"/>
    <m/>
    <n v="476"/>
    <m/>
    <m/>
  </r>
  <r>
    <x v="14"/>
    <x v="1"/>
    <x v="4"/>
    <x v="1"/>
    <m/>
    <n v="1159"/>
    <m/>
    <m/>
  </r>
  <r>
    <x v="14"/>
    <x v="1"/>
    <x v="4"/>
    <x v="2"/>
    <m/>
    <n v="601"/>
    <m/>
    <m/>
  </r>
  <r>
    <x v="14"/>
    <x v="1"/>
    <x v="4"/>
    <x v="3"/>
    <m/>
    <n v="424"/>
    <m/>
    <m/>
  </r>
  <r>
    <x v="14"/>
    <x v="0"/>
    <x v="4"/>
    <x v="4"/>
    <m/>
    <m/>
    <m/>
    <n v="178"/>
  </r>
  <r>
    <x v="14"/>
    <x v="0"/>
    <x v="4"/>
    <x v="5"/>
    <m/>
    <m/>
    <m/>
    <n v="17"/>
  </r>
  <r>
    <x v="14"/>
    <x v="0"/>
    <x v="4"/>
    <x v="6"/>
    <m/>
    <m/>
    <m/>
    <n v="7"/>
  </r>
  <r>
    <x v="30"/>
    <x v="0"/>
    <x v="4"/>
    <x v="1"/>
    <m/>
    <n v="926"/>
    <m/>
    <m/>
  </r>
  <r>
    <x v="30"/>
    <x v="0"/>
    <x v="4"/>
    <x v="2"/>
    <m/>
    <n v="512"/>
    <m/>
    <m/>
  </r>
  <r>
    <x v="30"/>
    <x v="0"/>
    <x v="4"/>
    <x v="3"/>
    <m/>
    <n v="344"/>
    <m/>
    <m/>
  </r>
  <r>
    <x v="30"/>
    <x v="1"/>
    <x v="4"/>
    <x v="1"/>
    <m/>
    <n v="1213"/>
    <m/>
    <m/>
  </r>
  <r>
    <x v="30"/>
    <x v="1"/>
    <x v="4"/>
    <x v="2"/>
    <m/>
    <n v="524"/>
    <m/>
    <m/>
  </r>
  <r>
    <x v="30"/>
    <x v="1"/>
    <x v="4"/>
    <x v="3"/>
    <m/>
    <n v="361"/>
    <m/>
    <m/>
  </r>
  <r>
    <x v="30"/>
    <x v="0"/>
    <x v="4"/>
    <x v="4"/>
    <m/>
    <m/>
    <m/>
    <n v="84"/>
  </r>
  <r>
    <x v="30"/>
    <x v="0"/>
    <x v="4"/>
    <x v="5"/>
    <m/>
    <m/>
    <m/>
    <n v="8"/>
  </r>
  <r>
    <x v="30"/>
    <x v="0"/>
    <x v="4"/>
    <x v="6"/>
    <m/>
    <m/>
    <m/>
    <n v="6"/>
  </r>
  <r>
    <x v="20"/>
    <x v="0"/>
    <x v="4"/>
    <x v="1"/>
    <m/>
    <n v="947"/>
    <m/>
    <m/>
  </r>
  <r>
    <x v="20"/>
    <x v="0"/>
    <x v="4"/>
    <x v="2"/>
    <m/>
    <n v="509"/>
    <m/>
    <m/>
  </r>
  <r>
    <x v="20"/>
    <x v="0"/>
    <x v="4"/>
    <x v="3"/>
    <m/>
    <n v="372"/>
    <m/>
    <m/>
  </r>
  <r>
    <x v="20"/>
    <x v="1"/>
    <x v="4"/>
    <x v="1"/>
    <m/>
    <n v="1155"/>
    <m/>
    <m/>
  </r>
  <r>
    <x v="20"/>
    <x v="1"/>
    <x v="4"/>
    <x v="2"/>
    <m/>
    <n v="564"/>
    <m/>
    <m/>
  </r>
  <r>
    <x v="20"/>
    <x v="1"/>
    <x v="4"/>
    <x v="3"/>
    <m/>
    <n v="341"/>
    <m/>
    <m/>
  </r>
  <r>
    <x v="20"/>
    <x v="0"/>
    <x v="4"/>
    <x v="4"/>
    <m/>
    <m/>
    <m/>
    <n v="178"/>
  </r>
  <r>
    <x v="20"/>
    <x v="0"/>
    <x v="4"/>
    <x v="5"/>
    <m/>
    <m/>
    <m/>
    <n v="15"/>
  </r>
  <r>
    <x v="20"/>
    <x v="0"/>
    <x v="4"/>
    <x v="6"/>
    <m/>
    <m/>
    <m/>
    <n v="15"/>
  </r>
  <r>
    <x v="36"/>
    <x v="0"/>
    <x v="4"/>
    <x v="1"/>
    <m/>
    <n v="627"/>
    <m/>
    <m/>
  </r>
  <r>
    <x v="36"/>
    <x v="0"/>
    <x v="4"/>
    <x v="2"/>
    <m/>
    <n v="422"/>
    <m/>
    <m/>
  </r>
  <r>
    <x v="36"/>
    <x v="0"/>
    <x v="4"/>
    <x v="3"/>
    <m/>
    <n v="300"/>
    <m/>
    <m/>
  </r>
  <r>
    <x v="36"/>
    <x v="1"/>
    <x v="4"/>
    <x v="1"/>
    <m/>
    <n v="703"/>
    <m/>
    <m/>
  </r>
  <r>
    <x v="36"/>
    <x v="1"/>
    <x v="4"/>
    <x v="2"/>
    <m/>
    <n v="461"/>
    <m/>
    <m/>
  </r>
  <r>
    <x v="36"/>
    <x v="1"/>
    <x v="4"/>
    <x v="3"/>
    <m/>
    <n v="357"/>
    <m/>
    <m/>
  </r>
  <r>
    <x v="36"/>
    <x v="0"/>
    <x v="4"/>
    <x v="4"/>
    <m/>
    <m/>
    <m/>
    <n v="50"/>
  </r>
  <r>
    <x v="36"/>
    <x v="0"/>
    <x v="4"/>
    <x v="5"/>
    <m/>
    <m/>
    <m/>
    <n v="9"/>
  </r>
  <r>
    <x v="36"/>
    <x v="0"/>
    <x v="4"/>
    <x v="6"/>
    <m/>
    <m/>
    <m/>
    <n v="3"/>
  </r>
  <r>
    <x v="33"/>
    <x v="0"/>
    <x v="4"/>
    <x v="1"/>
    <m/>
    <n v="652"/>
    <m/>
    <m/>
  </r>
  <r>
    <x v="33"/>
    <x v="0"/>
    <x v="4"/>
    <x v="2"/>
    <m/>
    <n v="405"/>
    <m/>
    <m/>
  </r>
  <r>
    <x v="33"/>
    <x v="0"/>
    <x v="4"/>
    <x v="3"/>
    <m/>
    <n v="264"/>
    <m/>
    <m/>
  </r>
  <r>
    <x v="33"/>
    <x v="1"/>
    <x v="4"/>
    <x v="1"/>
    <m/>
    <n v="752"/>
    <m/>
    <m/>
  </r>
  <r>
    <x v="33"/>
    <x v="1"/>
    <x v="4"/>
    <x v="2"/>
    <m/>
    <n v="434"/>
    <m/>
    <m/>
  </r>
  <r>
    <x v="33"/>
    <x v="1"/>
    <x v="4"/>
    <x v="3"/>
    <m/>
    <n v="236"/>
    <m/>
    <m/>
  </r>
  <r>
    <x v="33"/>
    <x v="0"/>
    <x v="4"/>
    <x v="4"/>
    <m/>
    <m/>
    <m/>
    <n v="108"/>
  </r>
  <r>
    <x v="33"/>
    <x v="0"/>
    <x v="4"/>
    <x v="5"/>
    <m/>
    <m/>
    <m/>
    <n v="15"/>
  </r>
  <r>
    <x v="33"/>
    <x v="0"/>
    <x v="4"/>
    <x v="6"/>
    <m/>
    <m/>
    <m/>
    <n v="7"/>
  </r>
  <r>
    <x v="19"/>
    <x v="0"/>
    <x v="4"/>
    <x v="1"/>
    <m/>
    <n v="738"/>
    <m/>
    <m/>
  </r>
  <r>
    <x v="19"/>
    <x v="0"/>
    <x v="4"/>
    <x v="2"/>
    <m/>
    <n v="568"/>
    <m/>
    <m/>
  </r>
  <r>
    <x v="19"/>
    <x v="0"/>
    <x v="4"/>
    <x v="3"/>
    <m/>
    <n v="394"/>
    <m/>
    <m/>
  </r>
  <r>
    <x v="19"/>
    <x v="1"/>
    <x v="4"/>
    <x v="1"/>
    <m/>
    <n v="852"/>
    <m/>
    <m/>
  </r>
  <r>
    <x v="19"/>
    <x v="1"/>
    <x v="4"/>
    <x v="2"/>
    <m/>
    <n v="630"/>
    <m/>
    <m/>
  </r>
  <r>
    <x v="19"/>
    <x v="1"/>
    <x v="4"/>
    <x v="3"/>
    <m/>
    <n v="414"/>
    <m/>
    <m/>
  </r>
  <r>
    <x v="19"/>
    <x v="0"/>
    <x v="4"/>
    <x v="4"/>
    <m/>
    <m/>
    <m/>
    <n v="180"/>
  </r>
  <r>
    <x v="19"/>
    <x v="0"/>
    <x v="4"/>
    <x v="5"/>
    <m/>
    <m/>
    <m/>
    <n v="11"/>
  </r>
  <r>
    <x v="19"/>
    <x v="0"/>
    <x v="4"/>
    <x v="6"/>
    <m/>
    <m/>
    <m/>
    <n v="10"/>
  </r>
  <r>
    <x v="21"/>
    <x v="0"/>
    <x v="4"/>
    <x v="1"/>
    <m/>
    <n v="1024"/>
    <m/>
    <m/>
  </r>
  <r>
    <x v="21"/>
    <x v="0"/>
    <x v="4"/>
    <x v="2"/>
    <m/>
    <n v="508"/>
    <m/>
    <m/>
  </r>
  <r>
    <x v="21"/>
    <x v="0"/>
    <x v="4"/>
    <x v="3"/>
    <m/>
    <n v="338"/>
    <m/>
    <m/>
  </r>
  <r>
    <x v="21"/>
    <x v="1"/>
    <x v="4"/>
    <x v="1"/>
    <m/>
    <n v="1186"/>
    <m/>
    <m/>
  </r>
  <r>
    <x v="21"/>
    <x v="1"/>
    <x v="4"/>
    <x v="2"/>
    <m/>
    <n v="687"/>
    <m/>
    <m/>
  </r>
  <r>
    <x v="21"/>
    <x v="1"/>
    <x v="4"/>
    <x v="3"/>
    <m/>
    <n v="427"/>
    <m/>
    <m/>
  </r>
  <r>
    <x v="21"/>
    <x v="0"/>
    <x v="4"/>
    <x v="4"/>
    <m/>
    <m/>
    <m/>
    <n v="119"/>
  </r>
  <r>
    <x v="21"/>
    <x v="0"/>
    <x v="4"/>
    <x v="5"/>
    <m/>
    <m/>
    <m/>
    <n v="8"/>
  </r>
  <r>
    <x v="21"/>
    <x v="0"/>
    <x v="4"/>
    <x v="6"/>
    <m/>
    <m/>
    <m/>
    <n v="6"/>
  </r>
  <r>
    <x v="47"/>
    <x v="0"/>
    <x v="4"/>
    <x v="1"/>
    <m/>
    <n v="481"/>
    <m/>
    <m/>
  </r>
  <r>
    <x v="47"/>
    <x v="0"/>
    <x v="4"/>
    <x v="2"/>
    <m/>
    <n v="358"/>
    <m/>
    <m/>
  </r>
  <r>
    <x v="47"/>
    <x v="0"/>
    <x v="4"/>
    <x v="3"/>
    <m/>
    <n v="269"/>
    <m/>
    <m/>
  </r>
  <r>
    <x v="47"/>
    <x v="1"/>
    <x v="4"/>
    <x v="1"/>
    <m/>
    <n v="601"/>
    <m/>
    <m/>
  </r>
  <r>
    <x v="47"/>
    <x v="1"/>
    <x v="4"/>
    <x v="2"/>
    <m/>
    <n v="334"/>
    <m/>
    <m/>
  </r>
  <r>
    <x v="47"/>
    <x v="1"/>
    <x v="4"/>
    <x v="3"/>
    <m/>
    <n v="258"/>
    <m/>
    <m/>
  </r>
  <r>
    <x v="47"/>
    <x v="0"/>
    <x v="4"/>
    <x v="4"/>
    <m/>
    <m/>
    <m/>
    <n v="91"/>
  </r>
  <r>
    <x v="47"/>
    <x v="0"/>
    <x v="4"/>
    <x v="5"/>
    <m/>
    <m/>
    <m/>
    <n v="10"/>
  </r>
  <r>
    <x v="47"/>
    <x v="0"/>
    <x v="4"/>
    <x v="6"/>
    <m/>
    <m/>
    <m/>
    <n v="0"/>
  </r>
  <r>
    <x v="35"/>
    <x v="0"/>
    <x v="4"/>
    <x v="1"/>
    <m/>
    <n v="523"/>
    <m/>
    <m/>
  </r>
  <r>
    <x v="35"/>
    <x v="0"/>
    <x v="4"/>
    <x v="2"/>
    <m/>
    <n v="369"/>
    <m/>
    <m/>
  </r>
  <r>
    <x v="35"/>
    <x v="0"/>
    <x v="4"/>
    <x v="3"/>
    <m/>
    <n v="305"/>
    <m/>
    <m/>
  </r>
  <r>
    <x v="35"/>
    <x v="1"/>
    <x v="4"/>
    <x v="1"/>
    <m/>
    <n v="607"/>
    <m/>
    <m/>
  </r>
  <r>
    <x v="35"/>
    <x v="1"/>
    <x v="4"/>
    <x v="2"/>
    <m/>
    <n v="450"/>
    <m/>
    <m/>
  </r>
  <r>
    <x v="35"/>
    <x v="1"/>
    <x v="4"/>
    <x v="3"/>
    <m/>
    <n v="344"/>
    <m/>
    <m/>
  </r>
  <r>
    <x v="35"/>
    <x v="0"/>
    <x v="4"/>
    <x v="4"/>
    <m/>
    <m/>
    <m/>
    <n v="90"/>
  </r>
  <r>
    <x v="35"/>
    <x v="0"/>
    <x v="4"/>
    <x v="5"/>
    <m/>
    <m/>
    <m/>
    <n v="10"/>
  </r>
  <r>
    <x v="35"/>
    <x v="0"/>
    <x v="4"/>
    <x v="6"/>
    <m/>
    <m/>
    <m/>
    <n v="3"/>
  </r>
  <r>
    <x v="44"/>
    <x v="0"/>
    <x v="4"/>
    <x v="1"/>
    <m/>
    <n v="421"/>
    <m/>
    <m/>
  </r>
  <r>
    <x v="44"/>
    <x v="0"/>
    <x v="4"/>
    <x v="2"/>
    <m/>
    <n v="300"/>
    <m/>
    <m/>
  </r>
  <r>
    <x v="44"/>
    <x v="0"/>
    <x v="4"/>
    <x v="3"/>
    <m/>
    <n v="193"/>
    <m/>
    <m/>
  </r>
  <r>
    <x v="44"/>
    <x v="1"/>
    <x v="4"/>
    <x v="1"/>
    <m/>
    <n v="533"/>
    <m/>
    <m/>
  </r>
  <r>
    <x v="44"/>
    <x v="1"/>
    <x v="4"/>
    <x v="2"/>
    <m/>
    <n v="376"/>
    <m/>
    <m/>
  </r>
  <r>
    <x v="44"/>
    <x v="1"/>
    <x v="4"/>
    <x v="3"/>
    <m/>
    <n v="276"/>
    <m/>
    <m/>
  </r>
  <r>
    <x v="44"/>
    <x v="0"/>
    <x v="4"/>
    <x v="4"/>
    <m/>
    <m/>
    <m/>
    <n v="63"/>
  </r>
  <r>
    <x v="44"/>
    <x v="0"/>
    <x v="4"/>
    <x v="5"/>
    <m/>
    <m/>
    <m/>
    <n v="5"/>
  </r>
  <r>
    <x v="44"/>
    <x v="0"/>
    <x v="4"/>
    <x v="6"/>
    <m/>
    <m/>
    <m/>
    <n v="9"/>
  </r>
  <r>
    <x v="6"/>
    <x v="0"/>
    <x v="4"/>
    <x v="1"/>
    <m/>
    <n v="1457"/>
    <m/>
    <m/>
  </r>
  <r>
    <x v="6"/>
    <x v="0"/>
    <x v="4"/>
    <x v="2"/>
    <m/>
    <n v="822"/>
    <m/>
    <m/>
  </r>
  <r>
    <x v="6"/>
    <x v="0"/>
    <x v="4"/>
    <x v="3"/>
    <m/>
    <n v="537"/>
    <m/>
    <m/>
  </r>
  <r>
    <x v="6"/>
    <x v="1"/>
    <x v="4"/>
    <x v="1"/>
    <m/>
    <n v="1811"/>
    <m/>
    <m/>
  </r>
  <r>
    <x v="6"/>
    <x v="1"/>
    <x v="4"/>
    <x v="2"/>
    <m/>
    <n v="918"/>
    <m/>
    <m/>
  </r>
  <r>
    <x v="6"/>
    <x v="1"/>
    <x v="4"/>
    <x v="3"/>
    <m/>
    <n v="564"/>
    <m/>
    <m/>
  </r>
  <r>
    <x v="6"/>
    <x v="0"/>
    <x v="4"/>
    <x v="4"/>
    <m/>
    <m/>
    <m/>
    <n v="214"/>
  </r>
  <r>
    <x v="6"/>
    <x v="0"/>
    <x v="4"/>
    <x v="5"/>
    <m/>
    <m/>
    <m/>
    <n v="19"/>
  </r>
  <r>
    <x v="6"/>
    <x v="0"/>
    <x v="4"/>
    <x v="6"/>
    <m/>
    <m/>
    <m/>
    <n v="11"/>
  </r>
  <r>
    <x v="32"/>
    <x v="0"/>
    <x v="4"/>
    <x v="1"/>
    <m/>
    <n v="930"/>
    <m/>
    <m/>
  </r>
  <r>
    <x v="32"/>
    <x v="0"/>
    <x v="4"/>
    <x v="2"/>
    <m/>
    <n v="376"/>
    <m/>
    <m/>
  </r>
  <r>
    <x v="32"/>
    <x v="0"/>
    <x v="4"/>
    <x v="3"/>
    <m/>
    <n v="226"/>
    <m/>
    <m/>
  </r>
  <r>
    <x v="32"/>
    <x v="1"/>
    <x v="4"/>
    <x v="1"/>
    <m/>
    <n v="1097"/>
    <m/>
    <m/>
  </r>
  <r>
    <x v="32"/>
    <x v="1"/>
    <x v="4"/>
    <x v="2"/>
    <m/>
    <n v="547"/>
    <m/>
    <m/>
  </r>
  <r>
    <x v="32"/>
    <x v="1"/>
    <x v="4"/>
    <x v="3"/>
    <m/>
    <n v="330"/>
    <m/>
    <m/>
  </r>
  <r>
    <x v="32"/>
    <x v="0"/>
    <x v="4"/>
    <x v="4"/>
    <m/>
    <m/>
    <m/>
    <n v="101"/>
  </r>
  <r>
    <x v="32"/>
    <x v="0"/>
    <x v="4"/>
    <x v="5"/>
    <m/>
    <m/>
    <m/>
    <n v="9"/>
  </r>
  <r>
    <x v="32"/>
    <x v="0"/>
    <x v="4"/>
    <x v="6"/>
    <m/>
    <m/>
    <m/>
    <n v="15"/>
  </r>
  <r>
    <x v="27"/>
    <x v="0"/>
    <x v="4"/>
    <x v="1"/>
    <m/>
    <n v="696"/>
    <m/>
    <m/>
  </r>
  <r>
    <x v="27"/>
    <x v="0"/>
    <x v="4"/>
    <x v="2"/>
    <m/>
    <n v="398"/>
    <m/>
    <m/>
  </r>
  <r>
    <x v="27"/>
    <x v="0"/>
    <x v="4"/>
    <x v="3"/>
    <m/>
    <n v="294"/>
    <m/>
    <m/>
  </r>
  <r>
    <x v="27"/>
    <x v="1"/>
    <x v="4"/>
    <x v="1"/>
    <m/>
    <n v="897"/>
    <m/>
    <m/>
  </r>
  <r>
    <x v="27"/>
    <x v="1"/>
    <x v="4"/>
    <x v="2"/>
    <m/>
    <n v="478"/>
    <m/>
    <m/>
  </r>
  <r>
    <x v="27"/>
    <x v="1"/>
    <x v="4"/>
    <x v="3"/>
    <m/>
    <n v="323"/>
    <m/>
    <m/>
  </r>
  <r>
    <x v="27"/>
    <x v="0"/>
    <x v="4"/>
    <x v="4"/>
    <m/>
    <m/>
    <m/>
    <n v="112"/>
  </r>
  <r>
    <x v="27"/>
    <x v="0"/>
    <x v="4"/>
    <x v="5"/>
    <m/>
    <m/>
    <m/>
    <n v="10"/>
  </r>
  <r>
    <x v="27"/>
    <x v="0"/>
    <x v="4"/>
    <x v="6"/>
    <m/>
    <m/>
    <m/>
    <n v="9"/>
  </r>
  <r>
    <x v="25"/>
    <x v="0"/>
    <x v="4"/>
    <x v="1"/>
    <m/>
    <n v="539"/>
    <m/>
    <m/>
  </r>
  <r>
    <x v="25"/>
    <x v="0"/>
    <x v="4"/>
    <x v="2"/>
    <m/>
    <n v="413"/>
    <m/>
    <m/>
  </r>
  <r>
    <x v="25"/>
    <x v="0"/>
    <x v="4"/>
    <x v="3"/>
    <m/>
    <n v="324"/>
    <m/>
    <m/>
  </r>
  <r>
    <x v="25"/>
    <x v="1"/>
    <x v="4"/>
    <x v="1"/>
    <m/>
    <n v="645"/>
    <m/>
    <m/>
  </r>
  <r>
    <x v="25"/>
    <x v="1"/>
    <x v="4"/>
    <x v="2"/>
    <m/>
    <n v="485"/>
    <m/>
    <m/>
  </r>
  <r>
    <x v="25"/>
    <x v="1"/>
    <x v="4"/>
    <x v="3"/>
    <m/>
    <n v="344"/>
    <m/>
    <m/>
  </r>
  <r>
    <x v="25"/>
    <x v="0"/>
    <x v="4"/>
    <x v="4"/>
    <m/>
    <m/>
    <m/>
    <n v="161"/>
  </r>
  <r>
    <x v="25"/>
    <x v="0"/>
    <x v="4"/>
    <x v="5"/>
    <m/>
    <m/>
    <m/>
    <n v="11"/>
  </r>
  <r>
    <x v="25"/>
    <x v="0"/>
    <x v="4"/>
    <x v="6"/>
    <m/>
    <m/>
    <m/>
    <n v="3"/>
  </r>
  <r>
    <x v="10"/>
    <x v="0"/>
    <x v="6"/>
    <x v="1"/>
    <m/>
    <n v="1295"/>
    <m/>
    <m/>
  </r>
  <r>
    <x v="10"/>
    <x v="0"/>
    <x v="6"/>
    <x v="2"/>
    <m/>
    <n v="620"/>
    <m/>
    <m/>
  </r>
  <r>
    <x v="10"/>
    <x v="0"/>
    <x v="6"/>
    <x v="3"/>
    <m/>
    <n v="434"/>
    <m/>
    <m/>
  </r>
  <r>
    <x v="10"/>
    <x v="1"/>
    <x v="6"/>
    <x v="1"/>
    <m/>
    <n v="1404"/>
    <m/>
    <m/>
  </r>
  <r>
    <x v="10"/>
    <x v="1"/>
    <x v="6"/>
    <x v="2"/>
    <m/>
    <n v="577"/>
    <m/>
    <m/>
  </r>
  <r>
    <x v="10"/>
    <x v="1"/>
    <x v="6"/>
    <x v="3"/>
    <m/>
    <n v="441"/>
    <m/>
    <m/>
  </r>
  <r>
    <x v="10"/>
    <x v="0"/>
    <x v="6"/>
    <x v="4"/>
    <m/>
    <m/>
    <m/>
    <n v="356"/>
  </r>
  <r>
    <x v="10"/>
    <x v="0"/>
    <x v="6"/>
    <x v="5"/>
    <m/>
    <m/>
    <m/>
    <n v="7"/>
  </r>
  <r>
    <x v="10"/>
    <x v="0"/>
    <x v="6"/>
    <x v="6"/>
    <m/>
    <m/>
    <m/>
    <n v="16"/>
  </r>
  <r>
    <x v="9"/>
    <x v="0"/>
    <x v="6"/>
    <x v="1"/>
    <m/>
    <n v="1391"/>
    <m/>
    <m/>
  </r>
  <r>
    <x v="9"/>
    <x v="0"/>
    <x v="6"/>
    <x v="2"/>
    <m/>
    <n v="703"/>
    <m/>
    <m/>
  </r>
  <r>
    <x v="9"/>
    <x v="0"/>
    <x v="6"/>
    <x v="3"/>
    <m/>
    <n v="443"/>
    <m/>
    <m/>
  </r>
  <r>
    <x v="9"/>
    <x v="1"/>
    <x v="6"/>
    <x v="1"/>
    <m/>
    <n v="1559"/>
    <m/>
    <m/>
  </r>
  <r>
    <x v="9"/>
    <x v="1"/>
    <x v="6"/>
    <x v="2"/>
    <m/>
    <n v="644"/>
    <m/>
    <m/>
  </r>
  <r>
    <x v="9"/>
    <x v="1"/>
    <x v="6"/>
    <x v="3"/>
    <m/>
    <n v="453"/>
    <m/>
    <m/>
  </r>
  <r>
    <x v="9"/>
    <x v="0"/>
    <x v="6"/>
    <x v="4"/>
    <m/>
    <m/>
    <m/>
    <n v="297"/>
  </r>
  <r>
    <x v="9"/>
    <x v="0"/>
    <x v="6"/>
    <x v="5"/>
    <m/>
    <m/>
    <m/>
    <n v="5"/>
  </r>
  <r>
    <x v="9"/>
    <x v="0"/>
    <x v="6"/>
    <x v="6"/>
    <m/>
    <m/>
    <m/>
    <n v="15"/>
  </r>
  <r>
    <x v="49"/>
    <x v="0"/>
    <x v="6"/>
    <x v="1"/>
    <m/>
    <n v="1123"/>
    <m/>
    <m/>
  </r>
  <r>
    <x v="49"/>
    <x v="0"/>
    <x v="6"/>
    <x v="2"/>
    <m/>
    <n v="409"/>
    <m/>
    <m/>
  </r>
  <r>
    <x v="49"/>
    <x v="0"/>
    <x v="6"/>
    <x v="3"/>
    <m/>
    <n v="237"/>
    <m/>
    <m/>
  </r>
  <r>
    <x v="49"/>
    <x v="1"/>
    <x v="6"/>
    <x v="1"/>
    <m/>
    <n v="1431"/>
    <m/>
    <m/>
  </r>
  <r>
    <x v="49"/>
    <x v="1"/>
    <x v="6"/>
    <x v="2"/>
    <m/>
    <n v="296"/>
    <m/>
    <m/>
  </r>
  <r>
    <x v="49"/>
    <x v="1"/>
    <x v="6"/>
    <x v="3"/>
    <m/>
    <n v="112"/>
    <m/>
    <m/>
  </r>
  <r>
    <x v="49"/>
    <x v="0"/>
    <x v="6"/>
    <x v="4"/>
    <m/>
    <m/>
    <m/>
    <n v="191"/>
  </r>
  <r>
    <x v="49"/>
    <x v="0"/>
    <x v="6"/>
    <x v="5"/>
    <m/>
    <m/>
    <m/>
    <n v="6"/>
  </r>
  <r>
    <x v="49"/>
    <x v="0"/>
    <x v="6"/>
    <x v="6"/>
    <m/>
    <m/>
    <m/>
    <n v="5"/>
  </r>
  <r>
    <x v="5"/>
    <x v="0"/>
    <x v="6"/>
    <x v="1"/>
    <m/>
    <n v="1057"/>
    <m/>
    <m/>
  </r>
  <r>
    <x v="5"/>
    <x v="0"/>
    <x v="6"/>
    <x v="2"/>
    <m/>
    <n v="739"/>
    <m/>
    <m/>
  </r>
  <r>
    <x v="5"/>
    <x v="0"/>
    <x v="6"/>
    <x v="3"/>
    <m/>
    <n v="594"/>
    <m/>
    <m/>
  </r>
  <r>
    <x v="5"/>
    <x v="1"/>
    <x v="6"/>
    <x v="1"/>
    <m/>
    <n v="1210"/>
    <m/>
    <m/>
  </r>
  <r>
    <x v="5"/>
    <x v="1"/>
    <x v="6"/>
    <x v="2"/>
    <m/>
    <n v="681"/>
    <m/>
    <m/>
  </r>
  <r>
    <x v="5"/>
    <x v="1"/>
    <x v="6"/>
    <x v="3"/>
    <m/>
    <n v="517"/>
    <m/>
    <m/>
  </r>
  <r>
    <x v="5"/>
    <x v="0"/>
    <x v="6"/>
    <x v="4"/>
    <m/>
    <m/>
    <m/>
    <n v="170"/>
  </r>
  <r>
    <x v="5"/>
    <x v="0"/>
    <x v="6"/>
    <x v="5"/>
    <m/>
    <m/>
    <m/>
    <n v="7"/>
  </r>
  <r>
    <x v="5"/>
    <x v="0"/>
    <x v="6"/>
    <x v="6"/>
    <m/>
    <m/>
    <m/>
    <n v="15"/>
  </r>
  <r>
    <x v="16"/>
    <x v="0"/>
    <x v="6"/>
    <x v="1"/>
    <m/>
    <n v="909"/>
    <m/>
    <m/>
  </r>
  <r>
    <x v="16"/>
    <x v="0"/>
    <x v="6"/>
    <x v="2"/>
    <m/>
    <n v="598"/>
    <m/>
    <m/>
  </r>
  <r>
    <x v="16"/>
    <x v="0"/>
    <x v="6"/>
    <x v="3"/>
    <m/>
    <n v="383"/>
    <m/>
    <m/>
  </r>
  <r>
    <x v="16"/>
    <x v="1"/>
    <x v="6"/>
    <x v="1"/>
    <m/>
    <n v="1034"/>
    <m/>
    <m/>
  </r>
  <r>
    <x v="16"/>
    <x v="1"/>
    <x v="6"/>
    <x v="2"/>
    <m/>
    <n v="527"/>
    <m/>
    <m/>
  </r>
  <r>
    <x v="16"/>
    <x v="1"/>
    <x v="6"/>
    <x v="3"/>
    <m/>
    <n v="339"/>
    <m/>
    <m/>
  </r>
  <r>
    <x v="16"/>
    <x v="0"/>
    <x v="6"/>
    <x v="4"/>
    <m/>
    <m/>
    <m/>
    <n v="210"/>
  </r>
  <r>
    <x v="16"/>
    <x v="0"/>
    <x v="6"/>
    <x v="5"/>
    <m/>
    <m/>
    <m/>
    <n v="4"/>
  </r>
  <r>
    <x v="16"/>
    <x v="0"/>
    <x v="6"/>
    <x v="6"/>
    <m/>
    <m/>
    <m/>
    <n v="13"/>
  </r>
  <r>
    <x v="17"/>
    <x v="0"/>
    <x v="6"/>
    <x v="1"/>
    <m/>
    <n v="1315"/>
    <m/>
    <m/>
  </r>
  <r>
    <x v="17"/>
    <x v="0"/>
    <x v="6"/>
    <x v="2"/>
    <m/>
    <n v="742"/>
    <m/>
    <m/>
  </r>
  <r>
    <x v="17"/>
    <x v="0"/>
    <x v="6"/>
    <x v="3"/>
    <m/>
    <n v="434"/>
    <m/>
    <m/>
  </r>
  <r>
    <x v="17"/>
    <x v="1"/>
    <x v="6"/>
    <x v="1"/>
    <m/>
    <n v="1510"/>
    <m/>
    <m/>
  </r>
  <r>
    <x v="17"/>
    <x v="1"/>
    <x v="6"/>
    <x v="2"/>
    <m/>
    <n v="584"/>
    <m/>
    <m/>
  </r>
  <r>
    <x v="17"/>
    <x v="1"/>
    <x v="6"/>
    <x v="3"/>
    <m/>
    <n v="350"/>
    <m/>
    <m/>
  </r>
  <r>
    <x v="17"/>
    <x v="0"/>
    <x v="6"/>
    <x v="4"/>
    <m/>
    <m/>
    <m/>
    <n v="236"/>
  </r>
  <r>
    <x v="17"/>
    <x v="0"/>
    <x v="6"/>
    <x v="5"/>
    <m/>
    <m/>
    <m/>
    <n v="6"/>
  </r>
  <r>
    <x v="17"/>
    <x v="0"/>
    <x v="6"/>
    <x v="6"/>
    <m/>
    <m/>
    <m/>
    <n v="10"/>
  </r>
  <r>
    <x v="13"/>
    <x v="0"/>
    <x v="6"/>
    <x v="1"/>
    <m/>
    <n v="1664"/>
    <m/>
    <m/>
  </r>
  <r>
    <x v="13"/>
    <x v="0"/>
    <x v="6"/>
    <x v="2"/>
    <m/>
    <n v="778"/>
    <m/>
    <m/>
  </r>
  <r>
    <x v="13"/>
    <x v="0"/>
    <x v="6"/>
    <x v="3"/>
    <m/>
    <n v="514"/>
    <m/>
    <m/>
  </r>
  <r>
    <x v="13"/>
    <x v="1"/>
    <x v="6"/>
    <x v="1"/>
    <m/>
    <n v="1903"/>
    <m/>
    <m/>
  </r>
  <r>
    <x v="13"/>
    <x v="1"/>
    <x v="6"/>
    <x v="2"/>
    <m/>
    <n v="551"/>
    <m/>
    <m/>
  </r>
  <r>
    <x v="13"/>
    <x v="1"/>
    <x v="6"/>
    <x v="3"/>
    <m/>
    <n v="389"/>
    <m/>
    <m/>
  </r>
  <r>
    <x v="13"/>
    <x v="0"/>
    <x v="6"/>
    <x v="4"/>
    <m/>
    <m/>
    <m/>
    <n v="257"/>
  </r>
  <r>
    <x v="13"/>
    <x v="0"/>
    <x v="6"/>
    <x v="5"/>
    <m/>
    <m/>
    <m/>
    <n v="5"/>
  </r>
  <r>
    <x v="13"/>
    <x v="0"/>
    <x v="6"/>
    <x v="6"/>
    <m/>
    <m/>
    <m/>
    <n v="19"/>
  </r>
  <r>
    <x v="40"/>
    <x v="0"/>
    <x v="6"/>
    <x v="1"/>
    <m/>
    <n v="741"/>
    <m/>
    <m/>
  </r>
  <r>
    <x v="40"/>
    <x v="0"/>
    <x v="6"/>
    <x v="2"/>
    <m/>
    <n v="343"/>
    <m/>
    <m/>
  </r>
  <r>
    <x v="40"/>
    <x v="0"/>
    <x v="6"/>
    <x v="3"/>
    <m/>
    <n v="230"/>
    <m/>
    <m/>
  </r>
  <r>
    <x v="40"/>
    <x v="1"/>
    <x v="6"/>
    <x v="1"/>
    <m/>
    <n v="855"/>
    <m/>
    <m/>
  </r>
  <r>
    <x v="40"/>
    <x v="1"/>
    <x v="6"/>
    <x v="2"/>
    <m/>
    <n v="328"/>
    <m/>
    <m/>
  </r>
  <r>
    <x v="40"/>
    <x v="1"/>
    <x v="6"/>
    <x v="3"/>
    <m/>
    <n v="226"/>
    <m/>
    <m/>
  </r>
  <r>
    <x v="40"/>
    <x v="0"/>
    <x v="6"/>
    <x v="4"/>
    <m/>
    <m/>
    <m/>
    <n v="146"/>
  </r>
  <r>
    <x v="40"/>
    <x v="0"/>
    <x v="6"/>
    <x v="5"/>
    <m/>
    <m/>
    <m/>
    <n v="5"/>
  </r>
  <r>
    <x v="40"/>
    <x v="0"/>
    <x v="6"/>
    <x v="6"/>
    <m/>
    <m/>
    <m/>
    <n v="7"/>
  </r>
  <r>
    <x v="26"/>
    <x v="0"/>
    <x v="6"/>
    <x v="1"/>
    <m/>
    <n v="603"/>
    <m/>
    <m/>
  </r>
  <r>
    <x v="26"/>
    <x v="0"/>
    <x v="6"/>
    <x v="2"/>
    <m/>
    <n v="396"/>
    <m/>
    <m/>
  </r>
  <r>
    <x v="26"/>
    <x v="0"/>
    <x v="6"/>
    <x v="3"/>
    <m/>
    <n v="318"/>
    <m/>
    <m/>
  </r>
  <r>
    <x v="26"/>
    <x v="1"/>
    <x v="6"/>
    <x v="1"/>
    <m/>
    <n v="649"/>
    <m/>
    <m/>
  </r>
  <r>
    <x v="26"/>
    <x v="1"/>
    <x v="6"/>
    <x v="2"/>
    <m/>
    <n v="423"/>
    <m/>
    <m/>
  </r>
  <r>
    <x v="26"/>
    <x v="1"/>
    <x v="6"/>
    <x v="3"/>
    <m/>
    <n v="321"/>
    <m/>
    <m/>
  </r>
  <r>
    <x v="26"/>
    <x v="0"/>
    <x v="6"/>
    <x v="4"/>
    <m/>
    <m/>
    <m/>
    <n v="162"/>
  </r>
  <r>
    <x v="26"/>
    <x v="0"/>
    <x v="6"/>
    <x v="5"/>
    <m/>
    <m/>
    <m/>
    <n v="3"/>
  </r>
  <r>
    <x v="26"/>
    <x v="0"/>
    <x v="6"/>
    <x v="6"/>
    <m/>
    <m/>
    <m/>
    <n v="3"/>
  </r>
  <r>
    <x v="11"/>
    <x v="0"/>
    <x v="6"/>
    <x v="1"/>
    <m/>
    <n v="1478"/>
    <m/>
    <m/>
  </r>
  <r>
    <x v="11"/>
    <x v="0"/>
    <x v="6"/>
    <x v="2"/>
    <m/>
    <n v="925"/>
    <m/>
    <m/>
  </r>
  <r>
    <x v="11"/>
    <x v="0"/>
    <x v="6"/>
    <x v="3"/>
    <m/>
    <n v="637"/>
    <m/>
    <m/>
  </r>
  <r>
    <x v="11"/>
    <x v="1"/>
    <x v="6"/>
    <x v="1"/>
    <m/>
    <n v="1572"/>
    <m/>
    <m/>
  </r>
  <r>
    <x v="11"/>
    <x v="1"/>
    <x v="6"/>
    <x v="2"/>
    <m/>
    <n v="725"/>
    <m/>
    <m/>
  </r>
  <r>
    <x v="11"/>
    <x v="1"/>
    <x v="6"/>
    <x v="3"/>
    <m/>
    <n v="529"/>
    <m/>
    <m/>
  </r>
  <r>
    <x v="11"/>
    <x v="0"/>
    <x v="6"/>
    <x v="4"/>
    <m/>
    <m/>
    <m/>
    <n v="286"/>
  </r>
  <r>
    <x v="11"/>
    <x v="0"/>
    <x v="6"/>
    <x v="5"/>
    <m/>
    <m/>
    <m/>
    <n v="5"/>
  </r>
  <r>
    <x v="11"/>
    <x v="0"/>
    <x v="6"/>
    <x v="6"/>
    <m/>
    <m/>
    <m/>
    <n v="13"/>
  </r>
  <r>
    <x v="31"/>
    <x v="0"/>
    <x v="6"/>
    <x v="1"/>
    <m/>
    <n v="782"/>
    <m/>
    <m/>
  </r>
  <r>
    <x v="31"/>
    <x v="0"/>
    <x v="6"/>
    <x v="2"/>
    <m/>
    <n v="430"/>
    <m/>
    <m/>
  </r>
  <r>
    <x v="31"/>
    <x v="0"/>
    <x v="6"/>
    <x v="3"/>
    <m/>
    <n v="293"/>
    <m/>
    <m/>
  </r>
  <r>
    <x v="31"/>
    <x v="1"/>
    <x v="6"/>
    <x v="1"/>
    <m/>
    <n v="910"/>
    <m/>
    <m/>
  </r>
  <r>
    <x v="31"/>
    <x v="1"/>
    <x v="6"/>
    <x v="2"/>
    <m/>
    <n v="424"/>
    <m/>
    <m/>
  </r>
  <r>
    <x v="31"/>
    <x v="1"/>
    <x v="6"/>
    <x v="3"/>
    <m/>
    <n v="275"/>
    <m/>
    <m/>
  </r>
  <r>
    <x v="31"/>
    <x v="0"/>
    <x v="6"/>
    <x v="4"/>
    <m/>
    <m/>
    <m/>
    <n v="121"/>
  </r>
  <r>
    <x v="31"/>
    <x v="0"/>
    <x v="6"/>
    <x v="5"/>
    <m/>
    <m/>
    <m/>
    <n v="4"/>
  </r>
  <r>
    <x v="31"/>
    <x v="0"/>
    <x v="6"/>
    <x v="6"/>
    <m/>
    <m/>
    <m/>
    <n v="9"/>
  </r>
  <r>
    <x v="7"/>
    <x v="0"/>
    <x v="6"/>
    <x v="1"/>
    <m/>
    <n v="1252"/>
    <m/>
    <m/>
  </r>
  <r>
    <x v="7"/>
    <x v="0"/>
    <x v="6"/>
    <x v="2"/>
    <m/>
    <n v="745"/>
    <m/>
    <m/>
  </r>
  <r>
    <x v="7"/>
    <x v="0"/>
    <x v="6"/>
    <x v="3"/>
    <m/>
    <n v="531"/>
    <m/>
    <m/>
  </r>
  <r>
    <x v="7"/>
    <x v="1"/>
    <x v="6"/>
    <x v="1"/>
    <m/>
    <n v="1555"/>
    <m/>
    <m/>
  </r>
  <r>
    <x v="7"/>
    <x v="1"/>
    <x v="6"/>
    <x v="2"/>
    <m/>
    <n v="762"/>
    <m/>
    <m/>
  </r>
  <r>
    <x v="7"/>
    <x v="1"/>
    <x v="6"/>
    <x v="3"/>
    <m/>
    <n v="537"/>
    <m/>
    <m/>
  </r>
  <r>
    <x v="7"/>
    <x v="0"/>
    <x v="6"/>
    <x v="4"/>
    <m/>
    <m/>
    <m/>
    <n v="275"/>
  </r>
  <r>
    <x v="7"/>
    <x v="0"/>
    <x v="6"/>
    <x v="5"/>
    <m/>
    <m/>
    <m/>
    <n v="9"/>
  </r>
  <r>
    <x v="7"/>
    <x v="0"/>
    <x v="6"/>
    <x v="6"/>
    <m/>
    <m/>
    <m/>
    <n v="22"/>
  </r>
  <r>
    <x v="2"/>
    <x v="0"/>
    <x v="6"/>
    <x v="1"/>
    <m/>
    <n v="1887"/>
    <m/>
    <m/>
  </r>
  <r>
    <x v="2"/>
    <x v="0"/>
    <x v="6"/>
    <x v="2"/>
    <m/>
    <n v="931"/>
    <m/>
    <m/>
  </r>
  <r>
    <x v="2"/>
    <x v="0"/>
    <x v="6"/>
    <x v="3"/>
    <m/>
    <n v="617"/>
    <m/>
    <m/>
  </r>
  <r>
    <x v="2"/>
    <x v="1"/>
    <x v="6"/>
    <x v="1"/>
    <m/>
    <n v="2114"/>
    <m/>
    <m/>
  </r>
  <r>
    <x v="2"/>
    <x v="1"/>
    <x v="6"/>
    <x v="2"/>
    <m/>
    <n v="878"/>
    <m/>
    <m/>
  </r>
  <r>
    <x v="2"/>
    <x v="1"/>
    <x v="6"/>
    <x v="3"/>
    <m/>
    <n v="607"/>
    <m/>
    <m/>
  </r>
  <r>
    <x v="2"/>
    <x v="0"/>
    <x v="6"/>
    <x v="4"/>
    <m/>
    <m/>
    <m/>
    <n v="424"/>
  </r>
  <r>
    <x v="2"/>
    <x v="0"/>
    <x v="6"/>
    <x v="5"/>
    <m/>
    <m/>
    <m/>
    <n v="8"/>
  </r>
  <r>
    <x v="2"/>
    <x v="0"/>
    <x v="6"/>
    <x v="6"/>
    <m/>
    <m/>
    <m/>
    <n v="18"/>
  </r>
  <r>
    <x v="22"/>
    <x v="0"/>
    <x v="6"/>
    <x v="1"/>
    <m/>
    <n v="971"/>
    <m/>
    <m/>
  </r>
  <r>
    <x v="22"/>
    <x v="0"/>
    <x v="6"/>
    <x v="2"/>
    <m/>
    <n v="454"/>
    <m/>
    <m/>
  </r>
  <r>
    <x v="22"/>
    <x v="0"/>
    <x v="6"/>
    <x v="3"/>
    <m/>
    <n v="290"/>
    <m/>
    <m/>
  </r>
  <r>
    <x v="22"/>
    <x v="1"/>
    <x v="6"/>
    <x v="1"/>
    <m/>
    <n v="1264"/>
    <m/>
    <m/>
  </r>
  <r>
    <x v="22"/>
    <x v="1"/>
    <x v="6"/>
    <x v="2"/>
    <m/>
    <n v="415"/>
    <m/>
    <m/>
  </r>
  <r>
    <x v="22"/>
    <x v="1"/>
    <x v="6"/>
    <x v="3"/>
    <m/>
    <n v="267"/>
    <m/>
    <m/>
  </r>
  <r>
    <x v="22"/>
    <x v="0"/>
    <x v="6"/>
    <x v="4"/>
    <m/>
    <m/>
    <m/>
    <n v="152"/>
  </r>
  <r>
    <x v="22"/>
    <x v="0"/>
    <x v="6"/>
    <x v="5"/>
    <m/>
    <m/>
    <m/>
    <n v="2"/>
  </r>
  <r>
    <x v="22"/>
    <x v="0"/>
    <x v="6"/>
    <x v="6"/>
    <m/>
    <m/>
    <m/>
    <n v="5"/>
  </r>
  <r>
    <x v="48"/>
    <x v="0"/>
    <x v="6"/>
    <x v="1"/>
    <m/>
    <n v="1047"/>
    <m/>
    <m/>
  </r>
  <r>
    <x v="48"/>
    <x v="0"/>
    <x v="6"/>
    <x v="2"/>
    <m/>
    <n v="336"/>
    <m/>
    <m/>
  </r>
  <r>
    <x v="48"/>
    <x v="0"/>
    <x v="6"/>
    <x v="3"/>
    <m/>
    <n v="221"/>
    <m/>
    <m/>
  </r>
  <r>
    <x v="48"/>
    <x v="1"/>
    <x v="6"/>
    <x v="1"/>
    <m/>
    <n v="1204"/>
    <m/>
    <m/>
  </r>
  <r>
    <x v="48"/>
    <x v="1"/>
    <x v="6"/>
    <x v="2"/>
    <m/>
    <n v="282"/>
    <m/>
    <m/>
  </r>
  <r>
    <x v="48"/>
    <x v="1"/>
    <x v="6"/>
    <x v="3"/>
    <m/>
    <n v="174"/>
    <m/>
    <m/>
  </r>
  <r>
    <x v="48"/>
    <x v="0"/>
    <x v="6"/>
    <x v="4"/>
    <m/>
    <m/>
    <m/>
    <n v="159"/>
  </r>
  <r>
    <x v="48"/>
    <x v="0"/>
    <x v="6"/>
    <x v="5"/>
    <m/>
    <m/>
    <m/>
    <n v="5"/>
  </r>
  <r>
    <x v="48"/>
    <x v="0"/>
    <x v="6"/>
    <x v="6"/>
    <m/>
    <m/>
    <m/>
    <n v="6"/>
  </r>
  <r>
    <x v="50"/>
    <x v="0"/>
    <x v="6"/>
    <x v="1"/>
    <m/>
    <n v="436"/>
    <m/>
    <m/>
  </r>
  <r>
    <x v="50"/>
    <x v="0"/>
    <x v="6"/>
    <x v="2"/>
    <m/>
    <n v="225"/>
    <m/>
    <m/>
  </r>
  <r>
    <x v="50"/>
    <x v="0"/>
    <x v="6"/>
    <x v="3"/>
    <m/>
    <n v="190"/>
    <m/>
    <m/>
  </r>
  <r>
    <x v="50"/>
    <x v="1"/>
    <x v="6"/>
    <x v="1"/>
    <m/>
    <n v="413"/>
    <m/>
    <m/>
  </r>
  <r>
    <x v="50"/>
    <x v="1"/>
    <x v="6"/>
    <x v="2"/>
    <m/>
    <n v="179"/>
    <m/>
    <m/>
  </r>
  <r>
    <x v="50"/>
    <x v="1"/>
    <x v="6"/>
    <x v="3"/>
    <m/>
    <n v="155"/>
    <m/>
    <m/>
  </r>
  <r>
    <x v="50"/>
    <x v="0"/>
    <x v="6"/>
    <x v="4"/>
    <m/>
    <m/>
    <m/>
    <n v="117"/>
  </r>
  <r>
    <x v="50"/>
    <x v="0"/>
    <x v="6"/>
    <x v="5"/>
    <m/>
    <m/>
    <m/>
    <n v="4"/>
  </r>
  <r>
    <x v="50"/>
    <x v="0"/>
    <x v="6"/>
    <x v="6"/>
    <m/>
    <m/>
    <m/>
    <n v="2"/>
  </r>
  <r>
    <x v="8"/>
    <x v="0"/>
    <x v="6"/>
    <x v="1"/>
    <m/>
    <n v="1428"/>
    <m/>
    <m/>
  </r>
  <r>
    <x v="8"/>
    <x v="0"/>
    <x v="6"/>
    <x v="2"/>
    <m/>
    <n v="484"/>
    <m/>
    <m/>
  </r>
  <r>
    <x v="8"/>
    <x v="0"/>
    <x v="6"/>
    <x v="3"/>
    <m/>
    <n v="490"/>
    <m/>
    <m/>
  </r>
  <r>
    <x v="8"/>
    <x v="1"/>
    <x v="6"/>
    <x v="1"/>
    <m/>
    <n v="1706"/>
    <m/>
    <m/>
  </r>
  <r>
    <x v="8"/>
    <x v="1"/>
    <x v="6"/>
    <x v="2"/>
    <m/>
    <n v="672"/>
    <m/>
    <m/>
  </r>
  <r>
    <x v="8"/>
    <x v="1"/>
    <x v="6"/>
    <x v="3"/>
    <m/>
    <n v="405"/>
    <m/>
    <m/>
  </r>
  <r>
    <x v="8"/>
    <x v="0"/>
    <x v="6"/>
    <x v="4"/>
    <m/>
    <m/>
    <m/>
    <n v="262"/>
  </r>
  <r>
    <x v="8"/>
    <x v="0"/>
    <x v="6"/>
    <x v="5"/>
    <m/>
    <m/>
    <m/>
    <n v="7"/>
  </r>
  <r>
    <x v="8"/>
    <x v="0"/>
    <x v="6"/>
    <x v="6"/>
    <m/>
    <m/>
    <m/>
    <n v="5"/>
  </r>
  <r>
    <x v="42"/>
    <x v="0"/>
    <x v="6"/>
    <x v="1"/>
    <m/>
    <n v="377"/>
    <m/>
    <m/>
  </r>
  <r>
    <x v="42"/>
    <x v="0"/>
    <x v="6"/>
    <x v="2"/>
    <m/>
    <n v="206"/>
    <m/>
    <m/>
  </r>
  <r>
    <x v="42"/>
    <x v="0"/>
    <x v="6"/>
    <x v="3"/>
    <m/>
    <n v="139"/>
    <m/>
    <m/>
  </r>
  <r>
    <x v="42"/>
    <x v="1"/>
    <x v="6"/>
    <x v="1"/>
    <m/>
    <n v="479"/>
    <m/>
    <m/>
  </r>
  <r>
    <x v="42"/>
    <x v="1"/>
    <x v="6"/>
    <x v="2"/>
    <m/>
    <n v="270"/>
    <m/>
    <m/>
  </r>
  <r>
    <x v="42"/>
    <x v="1"/>
    <x v="6"/>
    <x v="3"/>
    <m/>
    <n v="193"/>
    <m/>
    <m/>
  </r>
  <r>
    <x v="42"/>
    <x v="0"/>
    <x v="6"/>
    <x v="4"/>
    <m/>
    <m/>
    <m/>
    <n v="41"/>
  </r>
  <r>
    <x v="42"/>
    <x v="0"/>
    <x v="6"/>
    <x v="5"/>
    <m/>
    <m/>
    <m/>
    <n v="3"/>
  </r>
  <r>
    <x v="42"/>
    <x v="0"/>
    <x v="6"/>
    <x v="6"/>
    <m/>
    <m/>
    <m/>
    <n v="4"/>
  </r>
  <r>
    <x v="46"/>
    <x v="0"/>
    <x v="6"/>
    <x v="1"/>
    <m/>
    <n v="384"/>
    <m/>
    <m/>
  </r>
  <r>
    <x v="46"/>
    <x v="0"/>
    <x v="6"/>
    <x v="2"/>
    <m/>
    <n v="320"/>
    <m/>
    <m/>
  </r>
  <r>
    <x v="46"/>
    <x v="0"/>
    <x v="6"/>
    <x v="3"/>
    <m/>
    <n v="235"/>
    <m/>
    <m/>
  </r>
  <r>
    <x v="46"/>
    <x v="1"/>
    <x v="6"/>
    <x v="1"/>
    <m/>
    <n v="464"/>
    <m/>
    <m/>
  </r>
  <r>
    <x v="46"/>
    <x v="1"/>
    <x v="6"/>
    <x v="2"/>
    <m/>
    <n v="269"/>
    <m/>
    <m/>
  </r>
  <r>
    <x v="46"/>
    <x v="1"/>
    <x v="6"/>
    <x v="3"/>
    <m/>
    <n v="203"/>
    <m/>
    <m/>
  </r>
  <r>
    <x v="46"/>
    <x v="0"/>
    <x v="6"/>
    <x v="4"/>
    <m/>
    <m/>
    <m/>
    <n v="89"/>
  </r>
  <r>
    <x v="46"/>
    <x v="0"/>
    <x v="6"/>
    <x v="5"/>
    <m/>
    <m/>
    <m/>
    <n v="2"/>
  </r>
  <r>
    <x v="46"/>
    <x v="0"/>
    <x v="6"/>
    <x v="6"/>
    <m/>
    <m/>
    <m/>
    <n v="1"/>
  </r>
  <r>
    <x v="38"/>
    <x v="0"/>
    <x v="6"/>
    <x v="1"/>
    <m/>
    <n v="382"/>
    <m/>
    <m/>
  </r>
  <r>
    <x v="38"/>
    <x v="0"/>
    <x v="6"/>
    <x v="2"/>
    <m/>
    <n v="319"/>
    <m/>
    <m/>
  </r>
  <r>
    <x v="38"/>
    <x v="0"/>
    <x v="6"/>
    <x v="3"/>
    <m/>
    <n v="254"/>
    <m/>
    <m/>
  </r>
  <r>
    <x v="38"/>
    <x v="1"/>
    <x v="6"/>
    <x v="1"/>
    <m/>
    <n v="539"/>
    <m/>
    <m/>
  </r>
  <r>
    <x v="38"/>
    <x v="1"/>
    <x v="6"/>
    <x v="2"/>
    <m/>
    <n v="299"/>
    <m/>
    <m/>
  </r>
  <r>
    <x v="38"/>
    <x v="1"/>
    <x v="6"/>
    <x v="3"/>
    <m/>
    <n v="199"/>
    <m/>
    <m/>
  </r>
  <r>
    <x v="38"/>
    <x v="0"/>
    <x v="6"/>
    <x v="4"/>
    <m/>
    <m/>
    <m/>
    <n v="119"/>
  </r>
  <r>
    <x v="38"/>
    <x v="0"/>
    <x v="6"/>
    <x v="5"/>
    <m/>
    <m/>
    <m/>
    <n v="3"/>
  </r>
  <r>
    <x v="38"/>
    <x v="0"/>
    <x v="6"/>
    <x v="6"/>
    <m/>
    <m/>
    <m/>
    <n v="6"/>
  </r>
  <r>
    <x v="3"/>
    <x v="0"/>
    <x v="6"/>
    <x v="1"/>
    <m/>
    <n v="1452"/>
    <m/>
    <m/>
  </r>
  <r>
    <x v="3"/>
    <x v="0"/>
    <x v="6"/>
    <x v="2"/>
    <m/>
    <n v="742"/>
    <m/>
    <m/>
  </r>
  <r>
    <x v="3"/>
    <x v="0"/>
    <x v="6"/>
    <x v="3"/>
    <m/>
    <n v="595"/>
    <m/>
    <m/>
  </r>
  <r>
    <x v="3"/>
    <x v="1"/>
    <x v="6"/>
    <x v="1"/>
    <m/>
    <n v="1668"/>
    <m/>
    <m/>
  </r>
  <r>
    <x v="3"/>
    <x v="1"/>
    <x v="6"/>
    <x v="2"/>
    <m/>
    <n v="689"/>
    <m/>
    <m/>
  </r>
  <r>
    <x v="3"/>
    <x v="1"/>
    <x v="6"/>
    <x v="3"/>
    <m/>
    <n v="421"/>
    <m/>
    <m/>
  </r>
  <r>
    <x v="3"/>
    <x v="0"/>
    <x v="6"/>
    <x v="4"/>
    <m/>
    <m/>
    <m/>
    <n v="230"/>
  </r>
  <r>
    <x v="3"/>
    <x v="0"/>
    <x v="6"/>
    <x v="5"/>
    <m/>
    <m/>
    <m/>
    <n v="6"/>
  </r>
  <r>
    <x v="3"/>
    <x v="0"/>
    <x v="6"/>
    <x v="6"/>
    <m/>
    <m/>
    <m/>
    <n v="0"/>
  </r>
  <r>
    <x v="12"/>
    <x v="0"/>
    <x v="6"/>
    <x v="1"/>
    <m/>
    <n v="1225"/>
    <m/>
    <m/>
  </r>
  <r>
    <x v="12"/>
    <x v="0"/>
    <x v="6"/>
    <x v="2"/>
    <m/>
    <n v="623"/>
    <m/>
    <m/>
  </r>
  <r>
    <x v="12"/>
    <x v="0"/>
    <x v="6"/>
    <x v="3"/>
    <m/>
    <n v="440"/>
    <m/>
    <m/>
  </r>
  <r>
    <x v="12"/>
    <x v="1"/>
    <x v="6"/>
    <x v="1"/>
    <m/>
    <n v="1410"/>
    <m/>
    <m/>
  </r>
  <r>
    <x v="12"/>
    <x v="1"/>
    <x v="6"/>
    <x v="2"/>
    <m/>
    <n v="534"/>
    <m/>
    <m/>
  </r>
  <r>
    <x v="12"/>
    <x v="1"/>
    <x v="6"/>
    <x v="3"/>
    <m/>
    <n v="324"/>
    <m/>
    <m/>
  </r>
  <r>
    <x v="12"/>
    <x v="0"/>
    <x v="6"/>
    <x v="4"/>
    <m/>
    <m/>
    <m/>
    <n v="199"/>
  </r>
  <r>
    <x v="12"/>
    <x v="0"/>
    <x v="6"/>
    <x v="5"/>
    <m/>
    <m/>
    <m/>
    <n v="10"/>
  </r>
  <r>
    <x v="12"/>
    <x v="0"/>
    <x v="6"/>
    <x v="6"/>
    <m/>
    <m/>
    <m/>
    <n v="8"/>
  </r>
  <r>
    <x v="34"/>
    <x v="0"/>
    <x v="6"/>
    <x v="1"/>
    <m/>
    <n v="988"/>
    <m/>
    <m/>
  </r>
  <r>
    <x v="34"/>
    <x v="0"/>
    <x v="6"/>
    <x v="2"/>
    <m/>
    <n v="429"/>
    <m/>
    <m/>
  </r>
  <r>
    <x v="34"/>
    <x v="0"/>
    <x v="6"/>
    <x v="3"/>
    <m/>
    <n v="278"/>
    <m/>
    <m/>
  </r>
  <r>
    <x v="34"/>
    <x v="1"/>
    <x v="6"/>
    <x v="1"/>
    <m/>
    <n v="1297"/>
    <m/>
    <m/>
  </r>
  <r>
    <x v="34"/>
    <x v="1"/>
    <x v="6"/>
    <x v="2"/>
    <m/>
    <n v="431"/>
    <m/>
    <m/>
  </r>
  <r>
    <x v="34"/>
    <x v="1"/>
    <x v="6"/>
    <x v="3"/>
    <m/>
    <n v="265"/>
    <m/>
    <m/>
  </r>
  <r>
    <x v="34"/>
    <x v="0"/>
    <x v="6"/>
    <x v="4"/>
    <m/>
    <m/>
    <m/>
    <n v="109"/>
  </r>
  <r>
    <x v="34"/>
    <x v="0"/>
    <x v="6"/>
    <x v="5"/>
    <m/>
    <m/>
    <m/>
    <n v="2"/>
  </r>
  <r>
    <x v="34"/>
    <x v="0"/>
    <x v="6"/>
    <x v="6"/>
    <m/>
    <m/>
    <m/>
    <n v="4"/>
  </r>
  <r>
    <x v="0"/>
    <x v="0"/>
    <x v="6"/>
    <x v="1"/>
    <m/>
    <n v="2320"/>
    <m/>
    <m/>
  </r>
  <r>
    <x v="0"/>
    <x v="0"/>
    <x v="6"/>
    <x v="2"/>
    <m/>
    <n v="1342"/>
    <m/>
    <m/>
  </r>
  <r>
    <x v="0"/>
    <x v="0"/>
    <x v="6"/>
    <x v="3"/>
    <m/>
    <n v="858"/>
    <m/>
    <m/>
  </r>
  <r>
    <x v="0"/>
    <x v="1"/>
    <x v="6"/>
    <x v="1"/>
    <m/>
    <n v="2297"/>
    <m/>
    <m/>
  </r>
  <r>
    <x v="0"/>
    <x v="1"/>
    <x v="6"/>
    <x v="2"/>
    <m/>
    <n v="933"/>
    <m/>
    <m/>
  </r>
  <r>
    <x v="0"/>
    <x v="1"/>
    <x v="6"/>
    <x v="3"/>
    <m/>
    <n v="623"/>
    <m/>
    <m/>
  </r>
  <r>
    <x v="0"/>
    <x v="0"/>
    <x v="6"/>
    <x v="4"/>
    <m/>
    <m/>
    <m/>
    <n v="495"/>
  </r>
  <r>
    <x v="0"/>
    <x v="0"/>
    <x v="6"/>
    <x v="5"/>
    <m/>
    <m/>
    <m/>
    <n v="17"/>
  </r>
  <r>
    <x v="0"/>
    <x v="0"/>
    <x v="6"/>
    <x v="6"/>
    <m/>
    <m/>
    <m/>
    <n v="25"/>
  </r>
  <r>
    <x v="39"/>
    <x v="0"/>
    <x v="6"/>
    <x v="1"/>
    <m/>
    <n v="357"/>
    <m/>
    <m/>
  </r>
  <r>
    <x v="39"/>
    <x v="0"/>
    <x v="6"/>
    <x v="2"/>
    <m/>
    <n v="303"/>
    <m/>
    <m/>
  </r>
  <r>
    <x v="39"/>
    <x v="0"/>
    <x v="6"/>
    <x v="3"/>
    <m/>
    <n v="268"/>
    <m/>
    <m/>
  </r>
  <r>
    <x v="39"/>
    <x v="1"/>
    <x v="6"/>
    <x v="1"/>
    <m/>
    <n v="470"/>
    <m/>
    <m/>
  </r>
  <r>
    <x v="39"/>
    <x v="1"/>
    <x v="6"/>
    <x v="2"/>
    <m/>
    <n v="245"/>
    <m/>
    <m/>
  </r>
  <r>
    <x v="39"/>
    <x v="1"/>
    <x v="6"/>
    <x v="3"/>
    <m/>
    <n v="129"/>
    <m/>
    <m/>
  </r>
  <r>
    <x v="39"/>
    <x v="0"/>
    <x v="6"/>
    <x v="4"/>
    <m/>
    <m/>
    <m/>
    <n v="104"/>
  </r>
  <r>
    <x v="39"/>
    <x v="0"/>
    <x v="6"/>
    <x v="5"/>
    <m/>
    <m/>
    <m/>
    <n v="3"/>
  </r>
  <r>
    <x v="39"/>
    <x v="0"/>
    <x v="6"/>
    <x v="6"/>
    <m/>
    <m/>
    <m/>
    <n v="5"/>
  </r>
  <r>
    <x v="51"/>
    <x v="0"/>
    <x v="6"/>
    <x v="1"/>
    <m/>
    <n v="396"/>
    <m/>
    <m/>
  </r>
  <r>
    <x v="51"/>
    <x v="0"/>
    <x v="6"/>
    <x v="2"/>
    <m/>
    <n v="224"/>
    <m/>
    <m/>
  </r>
  <r>
    <x v="51"/>
    <x v="0"/>
    <x v="6"/>
    <x v="3"/>
    <m/>
    <n v="160"/>
    <m/>
    <m/>
  </r>
  <r>
    <x v="51"/>
    <x v="1"/>
    <x v="6"/>
    <x v="1"/>
    <m/>
    <n v="437"/>
    <m/>
    <m/>
  </r>
  <r>
    <x v="51"/>
    <x v="1"/>
    <x v="6"/>
    <x v="2"/>
    <m/>
    <n v="170"/>
    <m/>
    <m/>
  </r>
  <r>
    <x v="51"/>
    <x v="1"/>
    <x v="6"/>
    <x v="3"/>
    <m/>
    <n v="121"/>
    <m/>
    <m/>
  </r>
  <r>
    <x v="51"/>
    <x v="0"/>
    <x v="6"/>
    <x v="4"/>
    <m/>
    <m/>
    <m/>
    <n v="92"/>
  </r>
  <r>
    <x v="51"/>
    <x v="0"/>
    <x v="6"/>
    <x v="5"/>
    <m/>
    <m/>
    <m/>
    <n v="0"/>
  </r>
  <r>
    <x v="51"/>
    <x v="0"/>
    <x v="6"/>
    <x v="6"/>
    <m/>
    <m/>
    <m/>
    <n v="2"/>
  </r>
  <r>
    <x v="43"/>
    <x v="0"/>
    <x v="6"/>
    <x v="1"/>
    <m/>
    <n v="650"/>
    <m/>
    <m/>
  </r>
  <r>
    <x v="43"/>
    <x v="0"/>
    <x v="6"/>
    <x v="2"/>
    <m/>
    <n v="333"/>
    <m/>
    <m/>
  </r>
  <r>
    <x v="43"/>
    <x v="0"/>
    <x v="6"/>
    <x v="3"/>
    <m/>
    <n v="239"/>
    <m/>
    <m/>
  </r>
  <r>
    <x v="43"/>
    <x v="1"/>
    <x v="6"/>
    <x v="1"/>
    <m/>
    <n v="672"/>
    <m/>
    <m/>
  </r>
  <r>
    <x v="43"/>
    <x v="1"/>
    <x v="6"/>
    <x v="2"/>
    <m/>
    <n v="307"/>
    <m/>
    <m/>
  </r>
  <r>
    <x v="43"/>
    <x v="1"/>
    <x v="6"/>
    <x v="3"/>
    <m/>
    <n v="235"/>
    <m/>
    <m/>
  </r>
  <r>
    <x v="43"/>
    <x v="0"/>
    <x v="6"/>
    <x v="4"/>
    <m/>
    <m/>
    <m/>
    <n v="116"/>
  </r>
  <r>
    <x v="43"/>
    <x v="0"/>
    <x v="6"/>
    <x v="5"/>
    <m/>
    <m/>
    <m/>
    <n v="2"/>
  </r>
  <r>
    <x v="43"/>
    <x v="0"/>
    <x v="6"/>
    <x v="6"/>
    <m/>
    <m/>
    <m/>
    <n v="4"/>
  </r>
  <r>
    <x v="1"/>
    <x v="0"/>
    <x v="6"/>
    <x v="1"/>
    <m/>
    <n v="1641"/>
    <m/>
    <m/>
  </r>
  <r>
    <x v="1"/>
    <x v="0"/>
    <x v="6"/>
    <x v="2"/>
    <m/>
    <n v="886"/>
    <m/>
    <m/>
  </r>
  <r>
    <x v="1"/>
    <x v="0"/>
    <x v="6"/>
    <x v="3"/>
    <m/>
    <n v="691"/>
    <m/>
    <m/>
  </r>
  <r>
    <x v="1"/>
    <x v="1"/>
    <x v="6"/>
    <x v="1"/>
    <m/>
    <n v="1483"/>
    <m/>
    <m/>
  </r>
  <r>
    <x v="1"/>
    <x v="1"/>
    <x v="6"/>
    <x v="2"/>
    <m/>
    <n v="673"/>
    <m/>
    <m/>
  </r>
  <r>
    <x v="1"/>
    <x v="1"/>
    <x v="6"/>
    <x v="3"/>
    <m/>
    <n v="519"/>
    <m/>
    <m/>
  </r>
  <r>
    <x v="1"/>
    <x v="0"/>
    <x v="6"/>
    <x v="4"/>
    <m/>
    <m/>
    <m/>
    <n v="381"/>
  </r>
  <r>
    <x v="1"/>
    <x v="0"/>
    <x v="6"/>
    <x v="5"/>
    <m/>
    <m/>
    <m/>
    <n v="10"/>
  </r>
  <r>
    <x v="1"/>
    <x v="0"/>
    <x v="6"/>
    <x v="6"/>
    <m/>
    <m/>
    <m/>
    <n v="5"/>
  </r>
  <r>
    <x v="18"/>
    <x v="0"/>
    <x v="6"/>
    <x v="1"/>
    <m/>
    <n v="958"/>
    <m/>
    <m/>
  </r>
  <r>
    <x v="18"/>
    <x v="0"/>
    <x v="6"/>
    <x v="2"/>
    <m/>
    <n v="547"/>
    <m/>
    <m/>
  </r>
  <r>
    <x v="18"/>
    <x v="0"/>
    <x v="6"/>
    <x v="3"/>
    <m/>
    <n v="465"/>
    <m/>
    <m/>
  </r>
  <r>
    <x v="18"/>
    <x v="1"/>
    <x v="6"/>
    <x v="1"/>
    <m/>
    <n v="822"/>
    <m/>
    <m/>
  </r>
  <r>
    <x v="18"/>
    <x v="1"/>
    <x v="6"/>
    <x v="2"/>
    <m/>
    <n v="453"/>
    <m/>
    <m/>
  </r>
  <r>
    <x v="18"/>
    <x v="1"/>
    <x v="6"/>
    <x v="3"/>
    <m/>
    <n v="344"/>
    <m/>
    <m/>
  </r>
  <r>
    <x v="18"/>
    <x v="0"/>
    <x v="6"/>
    <x v="4"/>
    <m/>
    <m/>
    <m/>
    <n v="260"/>
  </r>
  <r>
    <x v="18"/>
    <x v="0"/>
    <x v="6"/>
    <x v="5"/>
    <m/>
    <m/>
    <m/>
    <n v="5"/>
  </r>
  <r>
    <x v="18"/>
    <x v="0"/>
    <x v="6"/>
    <x v="6"/>
    <m/>
    <m/>
    <m/>
    <n v="4"/>
  </r>
  <r>
    <x v="52"/>
    <x v="0"/>
    <x v="6"/>
    <x v="1"/>
    <m/>
    <n v="259"/>
    <m/>
    <m/>
  </r>
  <r>
    <x v="52"/>
    <x v="0"/>
    <x v="6"/>
    <x v="2"/>
    <m/>
    <n v="112"/>
    <m/>
    <m/>
  </r>
  <r>
    <x v="52"/>
    <x v="0"/>
    <x v="6"/>
    <x v="3"/>
    <m/>
    <n v="74"/>
    <m/>
    <m/>
  </r>
  <r>
    <x v="52"/>
    <x v="1"/>
    <x v="6"/>
    <x v="1"/>
    <m/>
    <n v="246"/>
    <m/>
    <m/>
  </r>
  <r>
    <x v="52"/>
    <x v="1"/>
    <x v="6"/>
    <x v="2"/>
    <m/>
    <n v="81"/>
    <m/>
    <m/>
  </r>
  <r>
    <x v="52"/>
    <x v="1"/>
    <x v="6"/>
    <x v="3"/>
    <m/>
    <n v="40"/>
    <m/>
    <m/>
  </r>
  <r>
    <x v="52"/>
    <x v="0"/>
    <x v="6"/>
    <x v="4"/>
    <m/>
    <m/>
    <m/>
    <n v="7"/>
  </r>
  <r>
    <x v="52"/>
    <x v="0"/>
    <x v="6"/>
    <x v="5"/>
    <m/>
    <m/>
    <m/>
    <n v="0"/>
  </r>
  <r>
    <x v="52"/>
    <x v="0"/>
    <x v="6"/>
    <x v="6"/>
    <m/>
    <m/>
    <m/>
    <n v="1"/>
  </r>
  <r>
    <x v="4"/>
    <x v="0"/>
    <x v="6"/>
    <x v="1"/>
    <m/>
    <n v="1726"/>
    <m/>
    <m/>
  </r>
  <r>
    <x v="4"/>
    <x v="0"/>
    <x v="6"/>
    <x v="2"/>
    <m/>
    <n v="816"/>
    <m/>
    <m/>
  </r>
  <r>
    <x v="4"/>
    <x v="0"/>
    <x v="6"/>
    <x v="3"/>
    <m/>
    <n v="673"/>
    <m/>
    <m/>
  </r>
  <r>
    <x v="4"/>
    <x v="1"/>
    <x v="6"/>
    <x v="1"/>
    <m/>
    <n v="2064"/>
    <m/>
    <m/>
  </r>
  <r>
    <x v="4"/>
    <x v="1"/>
    <x v="6"/>
    <x v="2"/>
    <m/>
    <n v="825"/>
    <m/>
    <m/>
  </r>
  <r>
    <x v="4"/>
    <x v="1"/>
    <x v="6"/>
    <x v="3"/>
    <m/>
    <n v="622"/>
    <m/>
    <m/>
  </r>
  <r>
    <x v="4"/>
    <x v="0"/>
    <x v="6"/>
    <x v="4"/>
    <m/>
    <m/>
    <m/>
    <n v="332"/>
  </r>
  <r>
    <x v="4"/>
    <x v="0"/>
    <x v="6"/>
    <x v="5"/>
    <m/>
    <m/>
    <m/>
    <n v="14"/>
  </r>
  <r>
    <x v="4"/>
    <x v="0"/>
    <x v="6"/>
    <x v="6"/>
    <m/>
    <m/>
    <m/>
    <n v="27"/>
  </r>
  <r>
    <x v="41"/>
    <x v="0"/>
    <x v="6"/>
    <x v="1"/>
    <m/>
    <n v="990"/>
    <m/>
    <m/>
  </r>
  <r>
    <x v="41"/>
    <x v="0"/>
    <x v="6"/>
    <x v="2"/>
    <m/>
    <n v="464"/>
    <m/>
    <m/>
  </r>
  <r>
    <x v="41"/>
    <x v="0"/>
    <x v="6"/>
    <x v="3"/>
    <m/>
    <n v="316"/>
    <m/>
    <m/>
  </r>
  <r>
    <x v="41"/>
    <x v="1"/>
    <x v="6"/>
    <x v="1"/>
    <m/>
    <n v="1162"/>
    <m/>
    <m/>
  </r>
  <r>
    <x v="41"/>
    <x v="1"/>
    <x v="6"/>
    <x v="2"/>
    <m/>
    <n v="463"/>
    <m/>
    <m/>
  </r>
  <r>
    <x v="41"/>
    <x v="1"/>
    <x v="6"/>
    <x v="3"/>
    <m/>
    <n v="292"/>
    <m/>
    <m/>
  </r>
  <r>
    <x v="41"/>
    <x v="0"/>
    <x v="6"/>
    <x v="4"/>
    <m/>
    <m/>
    <m/>
    <n v="185"/>
  </r>
  <r>
    <x v="41"/>
    <x v="0"/>
    <x v="6"/>
    <x v="5"/>
    <m/>
    <m/>
    <m/>
    <n v="3"/>
  </r>
  <r>
    <x v="41"/>
    <x v="0"/>
    <x v="6"/>
    <x v="6"/>
    <m/>
    <m/>
    <m/>
    <n v="6"/>
  </r>
  <r>
    <x v="15"/>
    <x v="0"/>
    <x v="6"/>
    <x v="1"/>
    <m/>
    <n v="1143"/>
    <m/>
    <m/>
  </r>
  <r>
    <x v="15"/>
    <x v="0"/>
    <x v="6"/>
    <x v="2"/>
    <m/>
    <n v="686"/>
    <m/>
    <m/>
  </r>
  <r>
    <x v="15"/>
    <x v="0"/>
    <x v="6"/>
    <x v="3"/>
    <m/>
    <n v="479"/>
    <m/>
    <m/>
  </r>
  <r>
    <x v="15"/>
    <x v="1"/>
    <x v="6"/>
    <x v="1"/>
    <m/>
    <n v="1411"/>
    <m/>
    <m/>
  </r>
  <r>
    <x v="15"/>
    <x v="1"/>
    <x v="6"/>
    <x v="2"/>
    <m/>
    <n v="536"/>
    <m/>
    <m/>
  </r>
  <r>
    <x v="15"/>
    <x v="1"/>
    <x v="6"/>
    <x v="3"/>
    <m/>
    <n v="389"/>
    <m/>
    <m/>
  </r>
  <r>
    <x v="15"/>
    <x v="0"/>
    <x v="6"/>
    <x v="4"/>
    <m/>
    <m/>
    <m/>
    <n v="298"/>
  </r>
  <r>
    <x v="15"/>
    <x v="0"/>
    <x v="6"/>
    <x v="5"/>
    <m/>
    <m/>
    <m/>
    <n v="8"/>
  </r>
  <r>
    <x v="15"/>
    <x v="0"/>
    <x v="6"/>
    <x v="6"/>
    <m/>
    <m/>
    <m/>
    <n v="6"/>
  </r>
  <r>
    <x v="45"/>
    <x v="0"/>
    <x v="6"/>
    <x v="1"/>
    <m/>
    <n v="943"/>
    <m/>
    <m/>
  </r>
  <r>
    <x v="45"/>
    <x v="0"/>
    <x v="6"/>
    <x v="2"/>
    <m/>
    <n v="422"/>
    <m/>
    <m/>
  </r>
  <r>
    <x v="45"/>
    <x v="0"/>
    <x v="6"/>
    <x v="3"/>
    <m/>
    <n v="236"/>
    <m/>
    <m/>
  </r>
  <r>
    <x v="45"/>
    <x v="1"/>
    <x v="6"/>
    <x v="1"/>
    <m/>
    <n v="1094"/>
    <m/>
    <m/>
  </r>
  <r>
    <x v="45"/>
    <x v="1"/>
    <x v="6"/>
    <x v="2"/>
    <m/>
    <n v="314"/>
    <m/>
    <m/>
  </r>
  <r>
    <x v="45"/>
    <x v="1"/>
    <x v="6"/>
    <x v="3"/>
    <m/>
    <n v="220"/>
    <m/>
    <m/>
  </r>
  <r>
    <x v="45"/>
    <x v="0"/>
    <x v="6"/>
    <x v="4"/>
    <m/>
    <m/>
    <m/>
    <n v="177"/>
  </r>
  <r>
    <x v="45"/>
    <x v="0"/>
    <x v="6"/>
    <x v="5"/>
    <m/>
    <m/>
    <m/>
    <n v="4"/>
  </r>
  <r>
    <x v="45"/>
    <x v="0"/>
    <x v="6"/>
    <x v="6"/>
    <m/>
    <m/>
    <m/>
    <n v="5"/>
  </r>
  <r>
    <x v="29"/>
    <x v="0"/>
    <x v="6"/>
    <x v="1"/>
    <m/>
    <n v="877"/>
    <m/>
    <m/>
  </r>
  <r>
    <x v="29"/>
    <x v="0"/>
    <x v="6"/>
    <x v="2"/>
    <m/>
    <n v="512"/>
    <m/>
    <m/>
  </r>
  <r>
    <x v="29"/>
    <x v="0"/>
    <x v="6"/>
    <x v="3"/>
    <m/>
    <n v="378"/>
    <m/>
    <m/>
  </r>
  <r>
    <x v="29"/>
    <x v="1"/>
    <x v="6"/>
    <x v="1"/>
    <m/>
    <n v="888"/>
    <m/>
    <m/>
  </r>
  <r>
    <x v="29"/>
    <x v="1"/>
    <x v="6"/>
    <x v="2"/>
    <m/>
    <n v="443"/>
    <m/>
    <m/>
  </r>
  <r>
    <x v="29"/>
    <x v="1"/>
    <x v="6"/>
    <x v="3"/>
    <m/>
    <n v="332"/>
    <m/>
    <m/>
  </r>
  <r>
    <x v="29"/>
    <x v="0"/>
    <x v="6"/>
    <x v="4"/>
    <m/>
    <m/>
    <m/>
    <n v="255"/>
  </r>
  <r>
    <x v="29"/>
    <x v="0"/>
    <x v="6"/>
    <x v="5"/>
    <m/>
    <m/>
    <m/>
    <n v="6"/>
  </r>
  <r>
    <x v="29"/>
    <x v="0"/>
    <x v="6"/>
    <x v="6"/>
    <m/>
    <m/>
    <m/>
    <n v="6"/>
  </r>
  <r>
    <x v="28"/>
    <x v="0"/>
    <x v="6"/>
    <x v="1"/>
    <m/>
    <n v="972"/>
    <m/>
    <m/>
  </r>
  <r>
    <x v="28"/>
    <x v="0"/>
    <x v="6"/>
    <x v="2"/>
    <m/>
    <n v="469"/>
    <m/>
    <m/>
  </r>
  <r>
    <x v="28"/>
    <x v="0"/>
    <x v="6"/>
    <x v="3"/>
    <m/>
    <n v="349"/>
    <m/>
    <m/>
  </r>
  <r>
    <x v="28"/>
    <x v="1"/>
    <x v="6"/>
    <x v="1"/>
    <m/>
    <n v="1106"/>
    <m/>
    <m/>
  </r>
  <r>
    <x v="28"/>
    <x v="1"/>
    <x v="6"/>
    <x v="2"/>
    <m/>
    <n v="463"/>
    <m/>
    <m/>
  </r>
  <r>
    <x v="28"/>
    <x v="1"/>
    <x v="6"/>
    <x v="3"/>
    <m/>
    <n v="288"/>
    <m/>
    <m/>
  </r>
  <r>
    <x v="28"/>
    <x v="0"/>
    <x v="6"/>
    <x v="4"/>
    <m/>
    <m/>
    <m/>
    <n v="184"/>
  </r>
  <r>
    <x v="28"/>
    <x v="0"/>
    <x v="6"/>
    <x v="5"/>
    <m/>
    <m/>
    <m/>
    <n v="2"/>
  </r>
  <r>
    <x v="28"/>
    <x v="0"/>
    <x v="6"/>
    <x v="6"/>
    <m/>
    <m/>
    <m/>
    <n v="4"/>
  </r>
  <r>
    <x v="24"/>
    <x v="0"/>
    <x v="6"/>
    <x v="1"/>
    <m/>
    <n v="1423"/>
    <m/>
    <m/>
  </r>
  <r>
    <x v="24"/>
    <x v="0"/>
    <x v="6"/>
    <x v="2"/>
    <m/>
    <n v="642"/>
    <m/>
    <m/>
  </r>
  <r>
    <x v="24"/>
    <x v="0"/>
    <x v="6"/>
    <x v="3"/>
    <m/>
    <n v="424"/>
    <m/>
    <m/>
  </r>
  <r>
    <x v="24"/>
    <x v="1"/>
    <x v="6"/>
    <x v="1"/>
    <m/>
    <n v="1525"/>
    <m/>
    <m/>
  </r>
  <r>
    <x v="24"/>
    <x v="1"/>
    <x v="6"/>
    <x v="2"/>
    <m/>
    <n v="559"/>
    <m/>
    <m/>
  </r>
  <r>
    <x v="24"/>
    <x v="1"/>
    <x v="6"/>
    <x v="3"/>
    <m/>
    <n v="376"/>
    <m/>
    <m/>
  </r>
  <r>
    <x v="24"/>
    <x v="0"/>
    <x v="6"/>
    <x v="4"/>
    <m/>
    <m/>
    <m/>
    <n v="219"/>
  </r>
  <r>
    <x v="24"/>
    <x v="0"/>
    <x v="6"/>
    <x v="5"/>
    <m/>
    <m/>
    <m/>
    <n v="8"/>
  </r>
  <r>
    <x v="24"/>
    <x v="0"/>
    <x v="6"/>
    <x v="6"/>
    <m/>
    <m/>
    <m/>
    <n v="6"/>
  </r>
  <r>
    <x v="23"/>
    <x v="0"/>
    <x v="6"/>
    <x v="1"/>
    <m/>
    <n v="728"/>
    <m/>
    <m/>
  </r>
  <r>
    <x v="23"/>
    <x v="0"/>
    <x v="6"/>
    <x v="2"/>
    <m/>
    <n v="532"/>
    <m/>
    <m/>
  </r>
  <r>
    <x v="23"/>
    <x v="0"/>
    <x v="6"/>
    <x v="3"/>
    <m/>
    <n v="438"/>
    <m/>
    <m/>
  </r>
  <r>
    <x v="23"/>
    <x v="1"/>
    <x v="6"/>
    <x v="1"/>
    <m/>
    <n v="808"/>
    <m/>
    <m/>
  </r>
  <r>
    <x v="23"/>
    <x v="1"/>
    <x v="6"/>
    <x v="2"/>
    <m/>
    <n v="444"/>
    <m/>
    <m/>
  </r>
  <r>
    <x v="23"/>
    <x v="1"/>
    <x v="6"/>
    <x v="3"/>
    <m/>
    <n v="340"/>
    <m/>
    <m/>
  </r>
  <r>
    <x v="23"/>
    <x v="0"/>
    <x v="6"/>
    <x v="4"/>
    <m/>
    <m/>
    <m/>
    <n v="233"/>
  </r>
  <r>
    <x v="23"/>
    <x v="0"/>
    <x v="6"/>
    <x v="5"/>
    <m/>
    <m/>
    <m/>
    <n v="6"/>
  </r>
  <r>
    <x v="23"/>
    <x v="0"/>
    <x v="6"/>
    <x v="6"/>
    <m/>
    <m/>
    <m/>
    <n v="4"/>
  </r>
  <r>
    <x v="14"/>
    <x v="0"/>
    <x v="6"/>
    <x v="1"/>
    <m/>
    <n v="1022"/>
    <m/>
    <m/>
  </r>
  <r>
    <x v="14"/>
    <x v="0"/>
    <x v="6"/>
    <x v="2"/>
    <m/>
    <n v="517"/>
    <m/>
    <m/>
  </r>
  <r>
    <x v="14"/>
    <x v="0"/>
    <x v="6"/>
    <x v="3"/>
    <m/>
    <n v="449"/>
    <m/>
    <m/>
  </r>
  <r>
    <x v="14"/>
    <x v="1"/>
    <x v="6"/>
    <x v="1"/>
    <m/>
    <n v="957"/>
    <m/>
    <m/>
  </r>
  <r>
    <x v="14"/>
    <x v="1"/>
    <x v="6"/>
    <x v="2"/>
    <m/>
    <n v="465"/>
    <m/>
    <m/>
  </r>
  <r>
    <x v="14"/>
    <x v="1"/>
    <x v="6"/>
    <x v="3"/>
    <m/>
    <n v="335"/>
    <m/>
    <m/>
  </r>
  <r>
    <x v="14"/>
    <x v="0"/>
    <x v="6"/>
    <x v="4"/>
    <m/>
    <m/>
    <m/>
    <n v="214"/>
  </r>
  <r>
    <x v="14"/>
    <x v="0"/>
    <x v="6"/>
    <x v="5"/>
    <m/>
    <m/>
    <m/>
    <n v="7"/>
  </r>
  <r>
    <x v="14"/>
    <x v="0"/>
    <x v="6"/>
    <x v="6"/>
    <m/>
    <m/>
    <m/>
    <n v="5"/>
  </r>
  <r>
    <x v="30"/>
    <x v="0"/>
    <x v="6"/>
    <x v="1"/>
    <m/>
    <n v="782"/>
    <m/>
    <m/>
  </r>
  <r>
    <x v="30"/>
    <x v="0"/>
    <x v="6"/>
    <x v="2"/>
    <m/>
    <n v="482"/>
    <m/>
    <m/>
  </r>
  <r>
    <x v="30"/>
    <x v="0"/>
    <x v="6"/>
    <x v="3"/>
    <m/>
    <n v="348"/>
    <m/>
    <m/>
  </r>
  <r>
    <x v="30"/>
    <x v="1"/>
    <x v="6"/>
    <x v="1"/>
    <m/>
    <n v="1012"/>
    <m/>
    <m/>
  </r>
  <r>
    <x v="30"/>
    <x v="1"/>
    <x v="6"/>
    <x v="2"/>
    <m/>
    <n v="400"/>
    <m/>
    <m/>
  </r>
  <r>
    <x v="30"/>
    <x v="1"/>
    <x v="6"/>
    <x v="3"/>
    <m/>
    <n v="284"/>
    <m/>
    <m/>
  </r>
  <r>
    <x v="30"/>
    <x v="0"/>
    <x v="6"/>
    <x v="4"/>
    <m/>
    <m/>
    <m/>
    <n v="109"/>
  </r>
  <r>
    <x v="30"/>
    <x v="0"/>
    <x v="6"/>
    <x v="5"/>
    <m/>
    <m/>
    <m/>
    <n v="1"/>
  </r>
  <r>
    <x v="30"/>
    <x v="0"/>
    <x v="6"/>
    <x v="6"/>
    <m/>
    <m/>
    <m/>
    <n v="6"/>
  </r>
  <r>
    <x v="20"/>
    <x v="0"/>
    <x v="6"/>
    <x v="1"/>
    <m/>
    <n v="870"/>
    <m/>
    <m/>
  </r>
  <r>
    <x v="20"/>
    <x v="0"/>
    <x v="6"/>
    <x v="2"/>
    <m/>
    <n v="511"/>
    <m/>
    <m/>
  </r>
  <r>
    <x v="20"/>
    <x v="0"/>
    <x v="6"/>
    <x v="3"/>
    <m/>
    <n v="392"/>
    <m/>
    <m/>
  </r>
  <r>
    <x v="20"/>
    <x v="1"/>
    <x v="6"/>
    <x v="1"/>
    <m/>
    <n v="1045"/>
    <m/>
    <m/>
  </r>
  <r>
    <x v="20"/>
    <x v="1"/>
    <x v="6"/>
    <x v="2"/>
    <m/>
    <n v="480"/>
    <m/>
    <m/>
  </r>
  <r>
    <x v="20"/>
    <x v="1"/>
    <x v="6"/>
    <x v="3"/>
    <m/>
    <n v="340"/>
    <m/>
    <m/>
  </r>
  <r>
    <x v="20"/>
    <x v="0"/>
    <x v="6"/>
    <x v="4"/>
    <m/>
    <m/>
    <m/>
    <n v="405"/>
  </r>
  <r>
    <x v="20"/>
    <x v="0"/>
    <x v="6"/>
    <x v="5"/>
    <m/>
    <m/>
    <m/>
    <n v="6"/>
  </r>
  <r>
    <x v="20"/>
    <x v="0"/>
    <x v="6"/>
    <x v="6"/>
    <m/>
    <m/>
    <m/>
    <n v="20"/>
  </r>
  <r>
    <x v="36"/>
    <x v="0"/>
    <x v="6"/>
    <x v="1"/>
    <m/>
    <n v="553"/>
    <m/>
    <m/>
  </r>
  <r>
    <x v="36"/>
    <x v="0"/>
    <x v="6"/>
    <x v="2"/>
    <m/>
    <n v="396"/>
    <m/>
    <m/>
  </r>
  <r>
    <x v="36"/>
    <x v="0"/>
    <x v="6"/>
    <x v="3"/>
    <m/>
    <n v="318"/>
    <m/>
    <m/>
  </r>
  <r>
    <x v="36"/>
    <x v="1"/>
    <x v="6"/>
    <x v="1"/>
    <m/>
    <n v="534"/>
    <m/>
    <m/>
  </r>
  <r>
    <x v="36"/>
    <x v="1"/>
    <x v="6"/>
    <x v="2"/>
    <m/>
    <n v="360"/>
    <m/>
    <m/>
  </r>
  <r>
    <x v="36"/>
    <x v="1"/>
    <x v="6"/>
    <x v="3"/>
    <m/>
    <n v="283"/>
    <m/>
    <m/>
  </r>
  <r>
    <x v="36"/>
    <x v="0"/>
    <x v="6"/>
    <x v="4"/>
    <m/>
    <m/>
    <m/>
    <n v="352"/>
  </r>
  <r>
    <x v="36"/>
    <x v="0"/>
    <x v="6"/>
    <x v="5"/>
    <m/>
    <m/>
    <m/>
    <n v="9"/>
  </r>
  <r>
    <x v="36"/>
    <x v="0"/>
    <x v="6"/>
    <x v="6"/>
    <m/>
    <m/>
    <m/>
    <n v="4"/>
  </r>
  <r>
    <x v="33"/>
    <x v="0"/>
    <x v="6"/>
    <x v="1"/>
    <m/>
    <n v="608"/>
    <m/>
    <m/>
  </r>
  <r>
    <x v="33"/>
    <x v="0"/>
    <x v="6"/>
    <x v="2"/>
    <m/>
    <n v="396"/>
    <m/>
    <m/>
  </r>
  <r>
    <x v="33"/>
    <x v="0"/>
    <x v="6"/>
    <x v="3"/>
    <m/>
    <n v="273"/>
    <m/>
    <m/>
  </r>
  <r>
    <x v="33"/>
    <x v="1"/>
    <x v="6"/>
    <x v="1"/>
    <m/>
    <n v="659"/>
    <m/>
    <m/>
  </r>
  <r>
    <x v="33"/>
    <x v="1"/>
    <x v="6"/>
    <x v="2"/>
    <m/>
    <n v="336"/>
    <m/>
    <m/>
  </r>
  <r>
    <x v="33"/>
    <x v="1"/>
    <x v="6"/>
    <x v="3"/>
    <m/>
    <n v="252"/>
    <m/>
    <m/>
  </r>
  <r>
    <x v="33"/>
    <x v="0"/>
    <x v="6"/>
    <x v="4"/>
    <m/>
    <m/>
    <m/>
    <n v="252"/>
  </r>
  <r>
    <x v="33"/>
    <x v="0"/>
    <x v="6"/>
    <x v="5"/>
    <m/>
    <m/>
    <m/>
    <n v="5"/>
  </r>
  <r>
    <x v="33"/>
    <x v="0"/>
    <x v="6"/>
    <x v="6"/>
    <m/>
    <m/>
    <m/>
    <n v="7"/>
  </r>
  <r>
    <x v="19"/>
    <x v="0"/>
    <x v="6"/>
    <x v="1"/>
    <m/>
    <n v="633"/>
    <m/>
    <m/>
  </r>
  <r>
    <x v="19"/>
    <x v="0"/>
    <x v="6"/>
    <x v="2"/>
    <m/>
    <n v="498"/>
    <m/>
    <m/>
  </r>
  <r>
    <x v="19"/>
    <x v="0"/>
    <x v="6"/>
    <x v="3"/>
    <m/>
    <n v="361"/>
    <m/>
    <m/>
  </r>
  <r>
    <x v="19"/>
    <x v="1"/>
    <x v="6"/>
    <x v="1"/>
    <m/>
    <n v="821"/>
    <m/>
    <m/>
  </r>
  <r>
    <x v="19"/>
    <x v="1"/>
    <x v="6"/>
    <x v="2"/>
    <m/>
    <n v="478"/>
    <m/>
    <m/>
  </r>
  <r>
    <x v="19"/>
    <x v="1"/>
    <x v="6"/>
    <x v="3"/>
    <m/>
    <n v="312"/>
    <m/>
    <m/>
  </r>
  <r>
    <x v="19"/>
    <x v="0"/>
    <x v="6"/>
    <x v="4"/>
    <m/>
    <m/>
    <m/>
    <n v="322"/>
  </r>
  <r>
    <x v="19"/>
    <x v="0"/>
    <x v="6"/>
    <x v="5"/>
    <m/>
    <m/>
    <m/>
    <n v="6"/>
  </r>
  <r>
    <x v="19"/>
    <x v="0"/>
    <x v="6"/>
    <x v="6"/>
    <m/>
    <m/>
    <m/>
    <n v="8"/>
  </r>
  <r>
    <x v="21"/>
    <x v="0"/>
    <x v="6"/>
    <x v="1"/>
    <m/>
    <n v="869"/>
    <m/>
    <m/>
  </r>
  <r>
    <x v="21"/>
    <x v="0"/>
    <x v="6"/>
    <x v="2"/>
    <m/>
    <n v="524"/>
    <m/>
    <m/>
  </r>
  <r>
    <x v="21"/>
    <x v="0"/>
    <x v="6"/>
    <x v="3"/>
    <m/>
    <n v="420"/>
    <m/>
    <m/>
  </r>
  <r>
    <x v="21"/>
    <x v="1"/>
    <x v="6"/>
    <x v="1"/>
    <m/>
    <n v="974"/>
    <m/>
    <m/>
  </r>
  <r>
    <x v="21"/>
    <x v="1"/>
    <x v="6"/>
    <x v="2"/>
    <m/>
    <n v="533"/>
    <m/>
    <m/>
  </r>
  <r>
    <x v="21"/>
    <x v="1"/>
    <x v="6"/>
    <x v="3"/>
    <m/>
    <n v="378"/>
    <m/>
    <m/>
  </r>
  <r>
    <x v="21"/>
    <x v="0"/>
    <x v="6"/>
    <x v="4"/>
    <m/>
    <m/>
    <m/>
    <n v="235"/>
  </r>
  <r>
    <x v="21"/>
    <x v="0"/>
    <x v="6"/>
    <x v="5"/>
    <m/>
    <m/>
    <m/>
    <n v="5"/>
  </r>
  <r>
    <x v="21"/>
    <x v="0"/>
    <x v="6"/>
    <x v="6"/>
    <m/>
    <m/>
    <m/>
    <n v="11"/>
  </r>
  <r>
    <x v="47"/>
    <x v="0"/>
    <x v="6"/>
    <x v="1"/>
    <m/>
    <n v="389"/>
    <m/>
    <m/>
  </r>
  <r>
    <x v="47"/>
    <x v="0"/>
    <x v="6"/>
    <x v="2"/>
    <m/>
    <n v="320"/>
    <m/>
    <m/>
  </r>
  <r>
    <x v="47"/>
    <x v="0"/>
    <x v="6"/>
    <x v="3"/>
    <m/>
    <n v="288"/>
    <m/>
    <m/>
  </r>
  <r>
    <x v="47"/>
    <x v="1"/>
    <x v="6"/>
    <x v="1"/>
    <m/>
    <n v="542"/>
    <m/>
    <m/>
  </r>
  <r>
    <x v="47"/>
    <x v="1"/>
    <x v="6"/>
    <x v="2"/>
    <m/>
    <n v="343"/>
    <m/>
    <m/>
  </r>
  <r>
    <x v="47"/>
    <x v="1"/>
    <x v="6"/>
    <x v="3"/>
    <m/>
    <n v="279"/>
    <m/>
    <m/>
  </r>
  <r>
    <x v="47"/>
    <x v="0"/>
    <x v="6"/>
    <x v="4"/>
    <m/>
    <m/>
    <m/>
    <n v="228"/>
  </r>
  <r>
    <x v="47"/>
    <x v="0"/>
    <x v="6"/>
    <x v="5"/>
    <m/>
    <m/>
    <m/>
    <n v="4"/>
  </r>
  <r>
    <x v="47"/>
    <x v="0"/>
    <x v="6"/>
    <x v="6"/>
    <m/>
    <m/>
    <m/>
    <n v="0"/>
  </r>
  <r>
    <x v="35"/>
    <x v="0"/>
    <x v="6"/>
    <x v="1"/>
    <m/>
    <n v="443"/>
    <m/>
    <m/>
  </r>
  <r>
    <x v="35"/>
    <x v="0"/>
    <x v="6"/>
    <x v="2"/>
    <m/>
    <n v="368"/>
    <m/>
    <m/>
  </r>
  <r>
    <x v="35"/>
    <x v="0"/>
    <x v="6"/>
    <x v="3"/>
    <m/>
    <n v="271"/>
    <m/>
    <m/>
  </r>
  <r>
    <x v="35"/>
    <x v="1"/>
    <x v="6"/>
    <x v="1"/>
    <m/>
    <n v="553"/>
    <m/>
    <m/>
  </r>
  <r>
    <x v="35"/>
    <x v="1"/>
    <x v="6"/>
    <x v="2"/>
    <m/>
    <n v="332"/>
    <m/>
    <m/>
  </r>
  <r>
    <x v="35"/>
    <x v="1"/>
    <x v="6"/>
    <x v="3"/>
    <m/>
    <n v="278"/>
    <m/>
    <m/>
  </r>
  <r>
    <x v="35"/>
    <x v="0"/>
    <x v="6"/>
    <x v="4"/>
    <m/>
    <m/>
    <m/>
    <n v="206"/>
  </r>
  <r>
    <x v="35"/>
    <x v="0"/>
    <x v="6"/>
    <x v="5"/>
    <m/>
    <m/>
    <m/>
    <n v="12"/>
  </r>
  <r>
    <x v="35"/>
    <x v="0"/>
    <x v="6"/>
    <x v="6"/>
    <m/>
    <m/>
    <m/>
    <n v="2"/>
  </r>
  <r>
    <x v="44"/>
    <x v="0"/>
    <x v="6"/>
    <x v="1"/>
    <m/>
    <n v="356"/>
    <m/>
    <m/>
  </r>
  <r>
    <x v="44"/>
    <x v="0"/>
    <x v="6"/>
    <x v="2"/>
    <m/>
    <n v="273"/>
    <m/>
    <m/>
  </r>
  <r>
    <x v="44"/>
    <x v="0"/>
    <x v="6"/>
    <x v="3"/>
    <m/>
    <n v="219"/>
    <m/>
    <m/>
  </r>
  <r>
    <x v="44"/>
    <x v="1"/>
    <x v="6"/>
    <x v="1"/>
    <m/>
    <n v="400"/>
    <m/>
    <m/>
  </r>
  <r>
    <x v="44"/>
    <x v="1"/>
    <x v="6"/>
    <x v="2"/>
    <m/>
    <n v="280"/>
    <m/>
    <m/>
  </r>
  <r>
    <x v="44"/>
    <x v="1"/>
    <x v="6"/>
    <x v="3"/>
    <m/>
    <n v="212"/>
    <m/>
    <m/>
  </r>
  <r>
    <x v="44"/>
    <x v="0"/>
    <x v="6"/>
    <x v="4"/>
    <m/>
    <m/>
    <m/>
    <n v="230"/>
  </r>
  <r>
    <x v="44"/>
    <x v="0"/>
    <x v="6"/>
    <x v="5"/>
    <m/>
    <m/>
    <m/>
    <n v="2"/>
  </r>
  <r>
    <x v="44"/>
    <x v="0"/>
    <x v="6"/>
    <x v="6"/>
    <m/>
    <m/>
    <m/>
    <n v="9"/>
  </r>
  <r>
    <x v="6"/>
    <x v="0"/>
    <x v="6"/>
    <x v="1"/>
    <m/>
    <n v="1354"/>
    <m/>
    <m/>
  </r>
  <r>
    <x v="6"/>
    <x v="0"/>
    <x v="6"/>
    <x v="2"/>
    <m/>
    <n v="777"/>
    <m/>
    <m/>
  </r>
  <r>
    <x v="6"/>
    <x v="0"/>
    <x v="6"/>
    <x v="3"/>
    <m/>
    <n v="554"/>
    <m/>
    <m/>
  </r>
  <r>
    <x v="6"/>
    <x v="1"/>
    <x v="6"/>
    <x v="1"/>
    <m/>
    <n v="1557"/>
    <m/>
    <m/>
  </r>
  <r>
    <x v="6"/>
    <x v="1"/>
    <x v="6"/>
    <x v="2"/>
    <m/>
    <n v="774"/>
    <m/>
    <m/>
  </r>
  <r>
    <x v="6"/>
    <x v="1"/>
    <x v="6"/>
    <x v="3"/>
    <m/>
    <n v="482"/>
    <m/>
    <m/>
  </r>
  <r>
    <x v="6"/>
    <x v="0"/>
    <x v="6"/>
    <x v="4"/>
    <m/>
    <m/>
    <m/>
    <n v="405"/>
  </r>
  <r>
    <x v="6"/>
    <x v="0"/>
    <x v="6"/>
    <x v="5"/>
    <m/>
    <m/>
    <m/>
    <n v="6"/>
  </r>
  <r>
    <x v="6"/>
    <x v="0"/>
    <x v="6"/>
    <x v="6"/>
    <m/>
    <m/>
    <m/>
    <n v="13"/>
  </r>
  <r>
    <x v="32"/>
    <x v="0"/>
    <x v="6"/>
    <x v="1"/>
    <m/>
    <n v="889"/>
    <m/>
    <m/>
  </r>
  <r>
    <x v="32"/>
    <x v="0"/>
    <x v="6"/>
    <x v="2"/>
    <m/>
    <n v="456"/>
    <m/>
    <m/>
  </r>
  <r>
    <x v="32"/>
    <x v="0"/>
    <x v="6"/>
    <x v="3"/>
    <m/>
    <n v="310"/>
    <m/>
    <m/>
  </r>
  <r>
    <x v="32"/>
    <x v="1"/>
    <x v="6"/>
    <x v="1"/>
    <m/>
    <n v="861"/>
    <m/>
    <m/>
  </r>
  <r>
    <x v="32"/>
    <x v="1"/>
    <x v="6"/>
    <x v="2"/>
    <m/>
    <n v="342"/>
    <m/>
    <m/>
  </r>
  <r>
    <x v="32"/>
    <x v="1"/>
    <x v="6"/>
    <x v="3"/>
    <m/>
    <n v="237"/>
    <m/>
    <m/>
  </r>
  <r>
    <x v="32"/>
    <x v="0"/>
    <x v="6"/>
    <x v="4"/>
    <m/>
    <m/>
    <m/>
    <n v="298"/>
  </r>
  <r>
    <x v="32"/>
    <x v="0"/>
    <x v="6"/>
    <x v="5"/>
    <m/>
    <m/>
    <m/>
    <n v="5"/>
  </r>
  <r>
    <x v="32"/>
    <x v="0"/>
    <x v="6"/>
    <x v="6"/>
    <m/>
    <m/>
    <m/>
    <n v="12"/>
  </r>
  <r>
    <x v="27"/>
    <x v="0"/>
    <x v="6"/>
    <x v="1"/>
    <m/>
    <n v="628"/>
    <m/>
    <m/>
  </r>
  <r>
    <x v="27"/>
    <x v="0"/>
    <x v="6"/>
    <x v="2"/>
    <m/>
    <n v="433"/>
    <m/>
    <m/>
  </r>
  <r>
    <x v="27"/>
    <x v="0"/>
    <x v="6"/>
    <x v="3"/>
    <m/>
    <n v="307"/>
    <m/>
    <m/>
  </r>
  <r>
    <x v="27"/>
    <x v="1"/>
    <x v="6"/>
    <x v="1"/>
    <m/>
    <n v="772"/>
    <m/>
    <m/>
  </r>
  <r>
    <x v="27"/>
    <x v="1"/>
    <x v="6"/>
    <x v="2"/>
    <m/>
    <n v="373"/>
    <m/>
    <m/>
  </r>
  <r>
    <x v="27"/>
    <x v="1"/>
    <x v="6"/>
    <x v="3"/>
    <m/>
    <n v="272"/>
    <m/>
    <m/>
  </r>
  <r>
    <x v="27"/>
    <x v="0"/>
    <x v="6"/>
    <x v="4"/>
    <m/>
    <m/>
    <m/>
    <n v="160"/>
  </r>
  <r>
    <x v="27"/>
    <x v="0"/>
    <x v="6"/>
    <x v="5"/>
    <m/>
    <m/>
    <m/>
    <n v="5"/>
  </r>
  <r>
    <x v="27"/>
    <x v="0"/>
    <x v="6"/>
    <x v="6"/>
    <m/>
    <m/>
    <m/>
    <n v="6"/>
  </r>
  <r>
    <x v="25"/>
    <x v="0"/>
    <x v="6"/>
    <x v="1"/>
    <m/>
    <n v="513"/>
    <m/>
    <m/>
  </r>
  <r>
    <x v="25"/>
    <x v="0"/>
    <x v="6"/>
    <x v="2"/>
    <m/>
    <n v="368"/>
    <m/>
    <m/>
  </r>
  <r>
    <x v="25"/>
    <x v="0"/>
    <x v="6"/>
    <x v="3"/>
    <m/>
    <n v="265"/>
    <m/>
    <m/>
  </r>
  <r>
    <x v="25"/>
    <x v="1"/>
    <x v="6"/>
    <x v="1"/>
    <m/>
    <n v="460"/>
    <m/>
    <m/>
  </r>
  <r>
    <x v="25"/>
    <x v="1"/>
    <x v="6"/>
    <x v="2"/>
    <m/>
    <n v="338"/>
    <m/>
    <m/>
  </r>
  <r>
    <x v="25"/>
    <x v="1"/>
    <x v="6"/>
    <x v="3"/>
    <m/>
    <n v="232"/>
    <m/>
    <m/>
  </r>
  <r>
    <x v="25"/>
    <x v="0"/>
    <x v="6"/>
    <x v="4"/>
    <m/>
    <m/>
    <m/>
    <n v="182"/>
  </r>
  <r>
    <x v="25"/>
    <x v="0"/>
    <x v="6"/>
    <x v="5"/>
    <m/>
    <m/>
    <m/>
    <n v="4"/>
  </r>
  <r>
    <x v="25"/>
    <x v="0"/>
    <x v="6"/>
    <x v="6"/>
    <m/>
    <m/>
    <m/>
    <n v="3"/>
  </r>
  <r>
    <x v="10"/>
    <x v="0"/>
    <x v="7"/>
    <x v="1"/>
    <m/>
    <n v="1277"/>
    <m/>
    <m/>
  </r>
  <r>
    <x v="10"/>
    <x v="0"/>
    <x v="7"/>
    <x v="2"/>
    <m/>
    <n v="632"/>
    <m/>
    <m/>
  </r>
  <r>
    <x v="10"/>
    <x v="0"/>
    <x v="7"/>
    <x v="3"/>
    <m/>
    <n v="390"/>
    <m/>
    <m/>
  </r>
  <r>
    <x v="10"/>
    <x v="1"/>
    <x v="7"/>
    <x v="1"/>
    <m/>
    <n v="1528"/>
    <m/>
    <m/>
  </r>
  <r>
    <x v="10"/>
    <x v="1"/>
    <x v="7"/>
    <x v="2"/>
    <m/>
    <n v="830"/>
    <m/>
    <m/>
  </r>
  <r>
    <x v="10"/>
    <x v="1"/>
    <x v="7"/>
    <x v="3"/>
    <m/>
    <n v="629"/>
    <m/>
    <m/>
  </r>
  <r>
    <x v="10"/>
    <x v="0"/>
    <x v="7"/>
    <x v="4"/>
    <m/>
    <m/>
    <m/>
    <n v="133"/>
  </r>
  <r>
    <x v="10"/>
    <x v="0"/>
    <x v="7"/>
    <x v="5"/>
    <m/>
    <m/>
    <m/>
    <n v="9"/>
  </r>
  <r>
    <x v="10"/>
    <x v="0"/>
    <x v="7"/>
    <x v="6"/>
    <m/>
    <m/>
    <m/>
    <n v="16"/>
  </r>
  <r>
    <x v="9"/>
    <x v="0"/>
    <x v="7"/>
    <x v="1"/>
    <m/>
    <n v="1467"/>
    <m/>
    <m/>
  </r>
  <r>
    <x v="9"/>
    <x v="0"/>
    <x v="7"/>
    <x v="2"/>
    <m/>
    <n v="752"/>
    <m/>
    <m/>
  </r>
  <r>
    <x v="9"/>
    <x v="0"/>
    <x v="7"/>
    <x v="3"/>
    <m/>
    <n v="550"/>
    <m/>
    <m/>
  </r>
  <r>
    <x v="9"/>
    <x v="1"/>
    <x v="7"/>
    <x v="1"/>
    <m/>
    <n v="1658"/>
    <m/>
    <m/>
  </r>
  <r>
    <x v="9"/>
    <x v="1"/>
    <x v="7"/>
    <x v="2"/>
    <m/>
    <n v="880"/>
    <m/>
    <m/>
  </r>
  <r>
    <x v="9"/>
    <x v="1"/>
    <x v="7"/>
    <x v="3"/>
    <m/>
    <n v="595"/>
    <m/>
    <m/>
  </r>
  <r>
    <x v="9"/>
    <x v="0"/>
    <x v="7"/>
    <x v="4"/>
    <m/>
    <m/>
    <m/>
    <n v="99"/>
  </r>
  <r>
    <x v="9"/>
    <x v="0"/>
    <x v="7"/>
    <x v="5"/>
    <m/>
    <m/>
    <m/>
    <n v="4"/>
  </r>
  <r>
    <x v="9"/>
    <x v="0"/>
    <x v="7"/>
    <x v="6"/>
    <m/>
    <m/>
    <m/>
    <n v="19"/>
  </r>
  <r>
    <x v="49"/>
    <x v="0"/>
    <x v="7"/>
    <x v="1"/>
    <m/>
    <n v="1141"/>
    <m/>
    <m/>
  </r>
  <r>
    <x v="49"/>
    <x v="0"/>
    <x v="7"/>
    <x v="2"/>
    <m/>
    <n v="359"/>
    <m/>
    <m/>
  </r>
  <r>
    <x v="49"/>
    <x v="0"/>
    <x v="7"/>
    <x v="3"/>
    <m/>
    <n v="230"/>
    <m/>
    <m/>
  </r>
  <r>
    <x v="49"/>
    <x v="1"/>
    <x v="7"/>
    <x v="1"/>
    <m/>
    <n v="1493"/>
    <m/>
    <m/>
  </r>
  <r>
    <x v="49"/>
    <x v="1"/>
    <x v="7"/>
    <x v="2"/>
    <m/>
    <n v="457"/>
    <m/>
    <m/>
  </r>
  <r>
    <x v="49"/>
    <x v="1"/>
    <x v="7"/>
    <x v="3"/>
    <m/>
    <n v="273"/>
    <m/>
    <m/>
  </r>
  <r>
    <x v="49"/>
    <x v="0"/>
    <x v="7"/>
    <x v="4"/>
    <m/>
    <m/>
    <m/>
    <n v="46"/>
  </r>
  <r>
    <x v="49"/>
    <x v="0"/>
    <x v="7"/>
    <x v="5"/>
    <m/>
    <m/>
    <m/>
    <n v="3"/>
  </r>
  <r>
    <x v="49"/>
    <x v="0"/>
    <x v="7"/>
    <x v="6"/>
    <m/>
    <m/>
    <m/>
    <n v="4"/>
  </r>
  <r>
    <x v="5"/>
    <x v="0"/>
    <x v="7"/>
    <x v="1"/>
    <m/>
    <n v="1064"/>
    <m/>
    <m/>
  </r>
  <r>
    <x v="5"/>
    <x v="0"/>
    <x v="7"/>
    <x v="2"/>
    <m/>
    <n v="767"/>
    <m/>
    <m/>
  </r>
  <r>
    <x v="5"/>
    <x v="0"/>
    <x v="7"/>
    <x v="3"/>
    <m/>
    <n v="619"/>
    <m/>
    <m/>
  </r>
  <r>
    <x v="5"/>
    <x v="1"/>
    <x v="7"/>
    <x v="1"/>
    <m/>
    <n v="1148"/>
    <m/>
    <m/>
  </r>
  <r>
    <x v="5"/>
    <x v="1"/>
    <x v="7"/>
    <x v="2"/>
    <m/>
    <n v="833"/>
    <m/>
    <m/>
  </r>
  <r>
    <x v="5"/>
    <x v="1"/>
    <x v="7"/>
    <x v="3"/>
    <m/>
    <n v="637"/>
    <m/>
    <m/>
  </r>
  <r>
    <x v="5"/>
    <x v="0"/>
    <x v="7"/>
    <x v="4"/>
    <m/>
    <m/>
    <m/>
    <n v="92"/>
  </r>
  <r>
    <x v="5"/>
    <x v="0"/>
    <x v="7"/>
    <x v="5"/>
    <m/>
    <m/>
    <m/>
    <n v="1"/>
  </r>
  <r>
    <x v="5"/>
    <x v="0"/>
    <x v="7"/>
    <x v="6"/>
    <m/>
    <m/>
    <m/>
    <n v="15"/>
  </r>
  <r>
    <x v="16"/>
    <x v="0"/>
    <x v="7"/>
    <x v="1"/>
    <m/>
    <n v="990"/>
    <m/>
    <m/>
  </r>
  <r>
    <x v="16"/>
    <x v="0"/>
    <x v="7"/>
    <x v="2"/>
    <m/>
    <n v="680"/>
    <m/>
    <m/>
  </r>
  <r>
    <x v="16"/>
    <x v="0"/>
    <x v="7"/>
    <x v="3"/>
    <m/>
    <n v="462"/>
    <m/>
    <m/>
  </r>
  <r>
    <x v="16"/>
    <x v="1"/>
    <x v="7"/>
    <x v="1"/>
    <m/>
    <n v="1062"/>
    <m/>
    <m/>
  </r>
  <r>
    <x v="16"/>
    <x v="1"/>
    <x v="7"/>
    <x v="2"/>
    <m/>
    <n v="692"/>
    <m/>
    <m/>
  </r>
  <r>
    <x v="16"/>
    <x v="1"/>
    <x v="7"/>
    <x v="3"/>
    <m/>
    <n v="517"/>
    <m/>
    <m/>
  </r>
  <r>
    <x v="16"/>
    <x v="0"/>
    <x v="7"/>
    <x v="4"/>
    <m/>
    <m/>
    <m/>
    <n v="84"/>
  </r>
  <r>
    <x v="16"/>
    <x v="0"/>
    <x v="7"/>
    <x v="5"/>
    <m/>
    <m/>
    <m/>
    <n v="4"/>
  </r>
  <r>
    <x v="16"/>
    <x v="0"/>
    <x v="7"/>
    <x v="6"/>
    <m/>
    <m/>
    <m/>
    <n v="12"/>
  </r>
  <r>
    <x v="17"/>
    <x v="0"/>
    <x v="7"/>
    <x v="1"/>
    <m/>
    <n v="1364"/>
    <m/>
    <m/>
  </r>
  <r>
    <x v="17"/>
    <x v="0"/>
    <x v="7"/>
    <x v="2"/>
    <m/>
    <n v="675"/>
    <m/>
    <m/>
  </r>
  <r>
    <x v="17"/>
    <x v="0"/>
    <x v="7"/>
    <x v="3"/>
    <m/>
    <n v="413"/>
    <m/>
    <m/>
  </r>
  <r>
    <x v="17"/>
    <x v="1"/>
    <x v="7"/>
    <x v="1"/>
    <m/>
    <n v="1535"/>
    <m/>
    <m/>
  </r>
  <r>
    <x v="17"/>
    <x v="1"/>
    <x v="7"/>
    <x v="2"/>
    <m/>
    <n v="695"/>
    <m/>
    <m/>
  </r>
  <r>
    <x v="17"/>
    <x v="1"/>
    <x v="7"/>
    <x v="3"/>
    <m/>
    <n v="438"/>
    <m/>
    <m/>
  </r>
  <r>
    <x v="17"/>
    <x v="0"/>
    <x v="7"/>
    <x v="4"/>
    <m/>
    <m/>
    <m/>
    <n v="113"/>
  </r>
  <r>
    <x v="17"/>
    <x v="0"/>
    <x v="7"/>
    <x v="5"/>
    <m/>
    <m/>
    <m/>
    <n v="8"/>
  </r>
  <r>
    <x v="17"/>
    <x v="0"/>
    <x v="7"/>
    <x v="6"/>
    <m/>
    <m/>
    <m/>
    <n v="12"/>
  </r>
  <r>
    <x v="13"/>
    <x v="0"/>
    <x v="7"/>
    <x v="1"/>
    <m/>
    <n v="1705"/>
    <m/>
    <m/>
  </r>
  <r>
    <x v="13"/>
    <x v="0"/>
    <x v="7"/>
    <x v="2"/>
    <m/>
    <n v="684"/>
    <m/>
    <m/>
  </r>
  <r>
    <x v="13"/>
    <x v="0"/>
    <x v="7"/>
    <x v="3"/>
    <m/>
    <n v="489"/>
    <m/>
    <m/>
  </r>
  <r>
    <x v="13"/>
    <x v="1"/>
    <x v="7"/>
    <x v="1"/>
    <m/>
    <n v="1949"/>
    <m/>
    <m/>
  </r>
  <r>
    <x v="13"/>
    <x v="1"/>
    <x v="7"/>
    <x v="2"/>
    <m/>
    <n v="726"/>
    <m/>
    <m/>
  </r>
  <r>
    <x v="13"/>
    <x v="1"/>
    <x v="7"/>
    <x v="3"/>
    <m/>
    <n v="487"/>
    <m/>
    <m/>
  </r>
  <r>
    <x v="13"/>
    <x v="0"/>
    <x v="7"/>
    <x v="4"/>
    <m/>
    <m/>
    <m/>
    <n v="80"/>
  </r>
  <r>
    <x v="13"/>
    <x v="0"/>
    <x v="7"/>
    <x v="5"/>
    <m/>
    <m/>
    <m/>
    <n v="7"/>
  </r>
  <r>
    <x v="13"/>
    <x v="0"/>
    <x v="7"/>
    <x v="6"/>
    <m/>
    <m/>
    <m/>
    <n v="27"/>
  </r>
  <r>
    <x v="40"/>
    <x v="0"/>
    <x v="7"/>
    <x v="1"/>
    <m/>
    <n v="841"/>
    <m/>
    <m/>
  </r>
  <r>
    <x v="40"/>
    <x v="0"/>
    <x v="7"/>
    <x v="2"/>
    <m/>
    <n v="369"/>
    <m/>
    <m/>
  </r>
  <r>
    <x v="40"/>
    <x v="0"/>
    <x v="7"/>
    <x v="3"/>
    <m/>
    <n v="263"/>
    <m/>
    <m/>
  </r>
  <r>
    <x v="40"/>
    <x v="1"/>
    <x v="7"/>
    <x v="1"/>
    <m/>
    <n v="891"/>
    <m/>
    <m/>
  </r>
  <r>
    <x v="40"/>
    <x v="1"/>
    <x v="7"/>
    <x v="2"/>
    <m/>
    <n v="377"/>
    <m/>
    <m/>
  </r>
  <r>
    <x v="40"/>
    <x v="1"/>
    <x v="7"/>
    <x v="3"/>
    <m/>
    <n v="257"/>
    <m/>
    <m/>
  </r>
  <r>
    <x v="40"/>
    <x v="0"/>
    <x v="7"/>
    <x v="4"/>
    <m/>
    <m/>
    <m/>
    <n v="56"/>
  </r>
  <r>
    <x v="40"/>
    <x v="0"/>
    <x v="7"/>
    <x v="5"/>
    <m/>
    <m/>
    <m/>
    <n v="8"/>
  </r>
  <r>
    <x v="40"/>
    <x v="0"/>
    <x v="7"/>
    <x v="6"/>
    <m/>
    <m/>
    <m/>
    <n v="8"/>
  </r>
  <r>
    <x v="26"/>
    <x v="0"/>
    <x v="7"/>
    <x v="1"/>
    <m/>
    <n v="658"/>
    <m/>
    <m/>
  </r>
  <r>
    <x v="26"/>
    <x v="0"/>
    <x v="7"/>
    <x v="2"/>
    <m/>
    <n v="424"/>
    <m/>
    <m/>
  </r>
  <r>
    <x v="26"/>
    <x v="0"/>
    <x v="7"/>
    <x v="3"/>
    <m/>
    <n v="410"/>
    <m/>
    <m/>
  </r>
  <r>
    <x v="26"/>
    <x v="1"/>
    <x v="7"/>
    <x v="1"/>
    <m/>
    <n v="705"/>
    <m/>
    <m/>
  </r>
  <r>
    <x v="26"/>
    <x v="1"/>
    <x v="7"/>
    <x v="2"/>
    <m/>
    <n v="462"/>
    <m/>
    <m/>
  </r>
  <r>
    <x v="26"/>
    <x v="1"/>
    <x v="7"/>
    <x v="3"/>
    <m/>
    <n v="352"/>
    <m/>
    <m/>
  </r>
  <r>
    <x v="26"/>
    <x v="0"/>
    <x v="7"/>
    <x v="4"/>
    <m/>
    <m/>
    <m/>
    <n v="101"/>
  </r>
  <r>
    <x v="26"/>
    <x v="0"/>
    <x v="7"/>
    <x v="5"/>
    <m/>
    <m/>
    <m/>
    <n v="4"/>
  </r>
  <r>
    <x v="26"/>
    <x v="0"/>
    <x v="7"/>
    <x v="6"/>
    <m/>
    <m/>
    <m/>
    <n v="3"/>
  </r>
  <r>
    <x v="11"/>
    <x v="0"/>
    <x v="7"/>
    <x v="1"/>
    <m/>
    <n v="1472"/>
    <m/>
    <m/>
  </r>
  <r>
    <x v="11"/>
    <x v="0"/>
    <x v="7"/>
    <x v="2"/>
    <m/>
    <n v="912"/>
    <m/>
    <m/>
  </r>
  <r>
    <x v="11"/>
    <x v="0"/>
    <x v="7"/>
    <x v="3"/>
    <m/>
    <n v="685"/>
    <m/>
    <m/>
  </r>
  <r>
    <x v="11"/>
    <x v="1"/>
    <x v="7"/>
    <x v="1"/>
    <m/>
    <n v="1232"/>
    <m/>
    <m/>
  </r>
  <r>
    <x v="11"/>
    <x v="1"/>
    <x v="7"/>
    <x v="2"/>
    <m/>
    <n v="843"/>
    <m/>
    <m/>
  </r>
  <r>
    <x v="11"/>
    <x v="1"/>
    <x v="7"/>
    <x v="3"/>
    <m/>
    <n v="654"/>
    <m/>
    <m/>
  </r>
  <r>
    <x v="11"/>
    <x v="0"/>
    <x v="7"/>
    <x v="4"/>
    <m/>
    <m/>
    <m/>
    <n v="134"/>
  </r>
  <r>
    <x v="11"/>
    <x v="0"/>
    <x v="7"/>
    <x v="5"/>
    <m/>
    <m/>
    <m/>
    <n v="4"/>
  </r>
  <r>
    <x v="11"/>
    <x v="0"/>
    <x v="7"/>
    <x v="6"/>
    <m/>
    <m/>
    <m/>
    <n v="9"/>
  </r>
  <r>
    <x v="31"/>
    <x v="0"/>
    <x v="7"/>
    <x v="1"/>
    <m/>
    <n v="879"/>
    <m/>
    <m/>
  </r>
  <r>
    <x v="31"/>
    <x v="0"/>
    <x v="7"/>
    <x v="2"/>
    <m/>
    <n v="411"/>
    <m/>
    <m/>
  </r>
  <r>
    <x v="31"/>
    <x v="0"/>
    <x v="7"/>
    <x v="3"/>
    <m/>
    <n v="276"/>
    <m/>
    <m/>
  </r>
  <r>
    <x v="31"/>
    <x v="1"/>
    <x v="7"/>
    <x v="1"/>
    <m/>
    <n v="932"/>
    <m/>
    <m/>
  </r>
  <r>
    <x v="31"/>
    <x v="1"/>
    <x v="7"/>
    <x v="2"/>
    <m/>
    <n v="447"/>
    <m/>
    <m/>
  </r>
  <r>
    <x v="31"/>
    <x v="1"/>
    <x v="7"/>
    <x v="3"/>
    <m/>
    <n v="246"/>
    <m/>
    <m/>
  </r>
  <r>
    <x v="31"/>
    <x v="0"/>
    <x v="7"/>
    <x v="4"/>
    <m/>
    <m/>
    <m/>
    <n v="59"/>
  </r>
  <r>
    <x v="31"/>
    <x v="0"/>
    <x v="7"/>
    <x v="5"/>
    <m/>
    <m/>
    <m/>
    <n v="10"/>
  </r>
  <r>
    <x v="31"/>
    <x v="0"/>
    <x v="7"/>
    <x v="6"/>
    <m/>
    <m/>
    <m/>
    <n v="11"/>
  </r>
  <r>
    <x v="7"/>
    <x v="0"/>
    <x v="7"/>
    <x v="1"/>
    <m/>
    <n v="1298"/>
    <m/>
    <m/>
  </r>
  <r>
    <x v="7"/>
    <x v="0"/>
    <x v="7"/>
    <x v="2"/>
    <m/>
    <n v="734"/>
    <m/>
    <m/>
  </r>
  <r>
    <x v="7"/>
    <x v="0"/>
    <x v="7"/>
    <x v="3"/>
    <m/>
    <n v="516"/>
    <m/>
    <m/>
  </r>
  <r>
    <x v="7"/>
    <x v="1"/>
    <x v="7"/>
    <x v="1"/>
    <m/>
    <n v="1440"/>
    <m/>
    <m/>
  </r>
  <r>
    <x v="7"/>
    <x v="1"/>
    <x v="7"/>
    <x v="2"/>
    <m/>
    <n v="700"/>
    <m/>
    <m/>
  </r>
  <r>
    <x v="7"/>
    <x v="1"/>
    <x v="7"/>
    <x v="3"/>
    <m/>
    <n v="579"/>
    <m/>
    <m/>
  </r>
  <r>
    <x v="7"/>
    <x v="0"/>
    <x v="7"/>
    <x v="4"/>
    <m/>
    <m/>
    <m/>
    <n v="138"/>
  </r>
  <r>
    <x v="7"/>
    <x v="0"/>
    <x v="7"/>
    <x v="5"/>
    <m/>
    <m/>
    <m/>
    <n v="10"/>
  </r>
  <r>
    <x v="7"/>
    <x v="0"/>
    <x v="7"/>
    <x v="6"/>
    <m/>
    <m/>
    <m/>
    <n v="24"/>
  </r>
  <r>
    <x v="2"/>
    <x v="0"/>
    <x v="7"/>
    <x v="1"/>
    <m/>
    <n v="1909"/>
    <m/>
    <m/>
  </r>
  <r>
    <x v="2"/>
    <x v="0"/>
    <x v="7"/>
    <x v="2"/>
    <m/>
    <n v="991"/>
    <m/>
    <m/>
  </r>
  <r>
    <x v="2"/>
    <x v="0"/>
    <x v="7"/>
    <x v="3"/>
    <m/>
    <n v="729"/>
    <m/>
    <m/>
  </r>
  <r>
    <x v="2"/>
    <x v="1"/>
    <x v="7"/>
    <x v="1"/>
    <m/>
    <n v="2087"/>
    <m/>
    <m/>
  </r>
  <r>
    <x v="2"/>
    <x v="1"/>
    <x v="7"/>
    <x v="2"/>
    <m/>
    <n v="1023"/>
    <m/>
    <m/>
  </r>
  <r>
    <x v="2"/>
    <x v="1"/>
    <x v="7"/>
    <x v="3"/>
    <m/>
    <n v="778"/>
    <m/>
    <m/>
  </r>
  <r>
    <x v="2"/>
    <x v="0"/>
    <x v="7"/>
    <x v="4"/>
    <m/>
    <m/>
    <m/>
    <n v="151"/>
  </r>
  <r>
    <x v="2"/>
    <x v="0"/>
    <x v="7"/>
    <x v="5"/>
    <m/>
    <m/>
    <m/>
    <n v="6"/>
  </r>
  <r>
    <x v="2"/>
    <x v="0"/>
    <x v="7"/>
    <x v="6"/>
    <m/>
    <m/>
    <m/>
    <n v="16"/>
  </r>
  <r>
    <x v="22"/>
    <x v="0"/>
    <x v="7"/>
    <x v="1"/>
    <m/>
    <n v="1106"/>
    <m/>
    <m/>
  </r>
  <r>
    <x v="22"/>
    <x v="0"/>
    <x v="7"/>
    <x v="2"/>
    <m/>
    <n v="540"/>
    <m/>
    <m/>
  </r>
  <r>
    <x v="22"/>
    <x v="0"/>
    <x v="7"/>
    <x v="3"/>
    <m/>
    <n v="418"/>
    <m/>
    <m/>
  </r>
  <r>
    <x v="22"/>
    <x v="1"/>
    <x v="7"/>
    <x v="1"/>
    <m/>
    <n v="1276"/>
    <m/>
    <m/>
  </r>
  <r>
    <x v="22"/>
    <x v="1"/>
    <x v="7"/>
    <x v="2"/>
    <m/>
    <n v="537"/>
    <m/>
    <m/>
  </r>
  <r>
    <x v="22"/>
    <x v="1"/>
    <x v="7"/>
    <x v="3"/>
    <m/>
    <n v="394"/>
    <m/>
    <m/>
  </r>
  <r>
    <x v="22"/>
    <x v="0"/>
    <x v="7"/>
    <x v="4"/>
    <m/>
    <m/>
    <m/>
    <n v="70"/>
  </r>
  <r>
    <x v="22"/>
    <x v="0"/>
    <x v="7"/>
    <x v="5"/>
    <m/>
    <m/>
    <m/>
    <n v="4"/>
  </r>
  <r>
    <x v="22"/>
    <x v="0"/>
    <x v="7"/>
    <x v="6"/>
    <m/>
    <m/>
    <m/>
    <n v="6"/>
  </r>
  <r>
    <x v="48"/>
    <x v="0"/>
    <x v="7"/>
    <x v="1"/>
    <m/>
    <n v="1190"/>
    <m/>
    <m/>
  </r>
  <r>
    <x v="48"/>
    <x v="0"/>
    <x v="7"/>
    <x v="2"/>
    <m/>
    <n v="338"/>
    <m/>
    <m/>
  </r>
  <r>
    <x v="48"/>
    <x v="0"/>
    <x v="7"/>
    <x v="3"/>
    <m/>
    <n v="232"/>
    <m/>
    <m/>
  </r>
  <r>
    <x v="48"/>
    <x v="1"/>
    <x v="7"/>
    <x v="1"/>
    <m/>
    <n v="1228"/>
    <m/>
    <m/>
  </r>
  <r>
    <x v="48"/>
    <x v="1"/>
    <x v="7"/>
    <x v="2"/>
    <m/>
    <n v="354"/>
    <m/>
    <m/>
  </r>
  <r>
    <x v="48"/>
    <x v="1"/>
    <x v="7"/>
    <x v="3"/>
    <m/>
    <n v="247"/>
    <m/>
    <m/>
  </r>
  <r>
    <x v="48"/>
    <x v="0"/>
    <x v="7"/>
    <x v="4"/>
    <m/>
    <m/>
    <m/>
    <n v="40"/>
  </r>
  <r>
    <x v="48"/>
    <x v="0"/>
    <x v="7"/>
    <x v="5"/>
    <m/>
    <m/>
    <m/>
    <n v="2"/>
  </r>
  <r>
    <x v="48"/>
    <x v="0"/>
    <x v="7"/>
    <x v="6"/>
    <m/>
    <m/>
    <m/>
    <n v="6"/>
  </r>
  <r>
    <x v="50"/>
    <x v="0"/>
    <x v="7"/>
    <x v="1"/>
    <m/>
    <n v="480"/>
    <m/>
    <m/>
  </r>
  <r>
    <x v="50"/>
    <x v="0"/>
    <x v="7"/>
    <x v="2"/>
    <m/>
    <n v="230"/>
    <m/>
    <m/>
  </r>
  <r>
    <x v="50"/>
    <x v="0"/>
    <x v="7"/>
    <x v="3"/>
    <m/>
    <n v="176"/>
    <m/>
    <m/>
  </r>
  <r>
    <x v="50"/>
    <x v="1"/>
    <x v="7"/>
    <x v="1"/>
    <m/>
    <n v="455"/>
    <m/>
    <m/>
  </r>
  <r>
    <x v="50"/>
    <x v="1"/>
    <x v="7"/>
    <x v="2"/>
    <m/>
    <n v="258"/>
    <m/>
    <m/>
  </r>
  <r>
    <x v="50"/>
    <x v="1"/>
    <x v="7"/>
    <x v="3"/>
    <m/>
    <n v="215"/>
    <m/>
    <m/>
  </r>
  <r>
    <x v="50"/>
    <x v="0"/>
    <x v="7"/>
    <x v="4"/>
    <m/>
    <m/>
    <m/>
    <n v="60"/>
  </r>
  <r>
    <x v="50"/>
    <x v="0"/>
    <x v="7"/>
    <x v="5"/>
    <m/>
    <m/>
    <m/>
    <n v="4"/>
  </r>
  <r>
    <x v="50"/>
    <x v="0"/>
    <x v="7"/>
    <x v="6"/>
    <m/>
    <m/>
    <m/>
    <n v="1"/>
  </r>
  <r>
    <x v="8"/>
    <x v="0"/>
    <x v="7"/>
    <x v="1"/>
    <m/>
    <n v="1522"/>
    <m/>
    <m/>
  </r>
  <r>
    <x v="8"/>
    <x v="0"/>
    <x v="7"/>
    <x v="2"/>
    <m/>
    <n v="817"/>
    <m/>
    <m/>
  </r>
  <r>
    <x v="8"/>
    <x v="0"/>
    <x v="7"/>
    <x v="3"/>
    <m/>
    <n v="591"/>
    <m/>
    <m/>
  </r>
  <r>
    <x v="8"/>
    <x v="1"/>
    <x v="7"/>
    <x v="1"/>
    <m/>
    <n v="1700"/>
    <m/>
    <m/>
  </r>
  <r>
    <x v="8"/>
    <x v="1"/>
    <x v="7"/>
    <x v="2"/>
    <m/>
    <n v="817"/>
    <m/>
    <m/>
  </r>
  <r>
    <x v="8"/>
    <x v="1"/>
    <x v="7"/>
    <x v="3"/>
    <m/>
    <n v="588"/>
    <m/>
    <m/>
  </r>
  <r>
    <x v="8"/>
    <x v="0"/>
    <x v="7"/>
    <x v="4"/>
    <m/>
    <m/>
    <m/>
    <n v="109"/>
  </r>
  <r>
    <x v="8"/>
    <x v="0"/>
    <x v="7"/>
    <x v="5"/>
    <m/>
    <m/>
    <m/>
    <n v="2"/>
  </r>
  <r>
    <x v="8"/>
    <x v="0"/>
    <x v="7"/>
    <x v="6"/>
    <m/>
    <m/>
    <m/>
    <n v="6"/>
  </r>
  <r>
    <x v="42"/>
    <x v="0"/>
    <x v="7"/>
    <x v="1"/>
    <m/>
    <n v="368"/>
    <m/>
    <m/>
  </r>
  <r>
    <x v="42"/>
    <x v="0"/>
    <x v="7"/>
    <x v="2"/>
    <m/>
    <n v="273"/>
    <m/>
    <m/>
  </r>
  <r>
    <x v="42"/>
    <x v="0"/>
    <x v="7"/>
    <x v="3"/>
    <m/>
    <n v="237"/>
    <m/>
    <m/>
  </r>
  <r>
    <x v="42"/>
    <x v="1"/>
    <x v="7"/>
    <x v="1"/>
    <m/>
    <n v="472"/>
    <m/>
    <m/>
  </r>
  <r>
    <x v="42"/>
    <x v="1"/>
    <x v="7"/>
    <x v="2"/>
    <m/>
    <n v="249"/>
    <m/>
    <m/>
  </r>
  <r>
    <x v="42"/>
    <x v="1"/>
    <x v="7"/>
    <x v="3"/>
    <m/>
    <n v="222"/>
    <m/>
    <m/>
  </r>
  <r>
    <x v="42"/>
    <x v="0"/>
    <x v="7"/>
    <x v="4"/>
    <m/>
    <m/>
    <m/>
    <n v="42"/>
  </r>
  <r>
    <x v="42"/>
    <x v="0"/>
    <x v="7"/>
    <x v="5"/>
    <m/>
    <m/>
    <m/>
    <n v="5"/>
  </r>
  <r>
    <x v="42"/>
    <x v="0"/>
    <x v="7"/>
    <x v="6"/>
    <m/>
    <m/>
    <m/>
    <n v="4"/>
  </r>
  <r>
    <x v="46"/>
    <x v="0"/>
    <x v="7"/>
    <x v="1"/>
    <m/>
    <n v="428"/>
    <m/>
    <m/>
  </r>
  <r>
    <x v="46"/>
    <x v="0"/>
    <x v="7"/>
    <x v="2"/>
    <m/>
    <n v="249"/>
    <m/>
    <m/>
  </r>
  <r>
    <x v="46"/>
    <x v="0"/>
    <x v="7"/>
    <x v="3"/>
    <m/>
    <n v="200"/>
    <m/>
    <m/>
  </r>
  <r>
    <x v="46"/>
    <x v="1"/>
    <x v="7"/>
    <x v="1"/>
    <m/>
    <n v="403"/>
    <m/>
    <m/>
  </r>
  <r>
    <x v="46"/>
    <x v="1"/>
    <x v="7"/>
    <x v="2"/>
    <m/>
    <n v="258"/>
    <m/>
    <m/>
  </r>
  <r>
    <x v="46"/>
    <x v="1"/>
    <x v="7"/>
    <x v="3"/>
    <m/>
    <n v="206"/>
    <m/>
    <m/>
  </r>
  <r>
    <x v="46"/>
    <x v="0"/>
    <x v="7"/>
    <x v="4"/>
    <m/>
    <m/>
    <m/>
    <n v="30"/>
  </r>
  <r>
    <x v="46"/>
    <x v="0"/>
    <x v="7"/>
    <x v="5"/>
    <m/>
    <m/>
    <m/>
    <n v="3"/>
  </r>
  <r>
    <x v="46"/>
    <x v="0"/>
    <x v="7"/>
    <x v="6"/>
    <m/>
    <m/>
    <m/>
    <n v="1"/>
  </r>
  <r>
    <x v="38"/>
    <x v="0"/>
    <x v="7"/>
    <x v="1"/>
    <m/>
    <n v="330"/>
    <m/>
    <m/>
  </r>
  <r>
    <x v="38"/>
    <x v="0"/>
    <x v="7"/>
    <x v="2"/>
    <m/>
    <n v="324"/>
    <m/>
    <m/>
  </r>
  <r>
    <x v="38"/>
    <x v="0"/>
    <x v="7"/>
    <x v="3"/>
    <m/>
    <n v="257"/>
    <m/>
    <m/>
  </r>
  <r>
    <x v="38"/>
    <x v="1"/>
    <x v="7"/>
    <x v="1"/>
    <m/>
    <n v="497"/>
    <m/>
    <m/>
  </r>
  <r>
    <x v="38"/>
    <x v="1"/>
    <x v="7"/>
    <x v="2"/>
    <m/>
    <n v="372"/>
    <m/>
    <m/>
  </r>
  <r>
    <x v="38"/>
    <x v="1"/>
    <x v="7"/>
    <x v="3"/>
    <m/>
    <n v="285"/>
    <m/>
    <m/>
  </r>
  <r>
    <x v="38"/>
    <x v="0"/>
    <x v="7"/>
    <x v="4"/>
    <m/>
    <m/>
    <m/>
    <n v="43"/>
  </r>
  <r>
    <x v="38"/>
    <x v="0"/>
    <x v="7"/>
    <x v="5"/>
    <m/>
    <m/>
    <m/>
    <n v="2"/>
  </r>
  <r>
    <x v="38"/>
    <x v="0"/>
    <x v="7"/>
    <x v="6"/>
    <m/>
    <m/>
    <m/>
    <n v="6"/>
  </r>
  <r>
    <x v="3"/>
    <x v="0"/>
    <x v="7"/>
    <x v="1"/>
    <m/>
    <n v="1417"/>
    <m/>
    <m/>
  </r>
  <r>
    <x v="3"/>
    <x v="0"/>
    <x v="7"/>
    <x v="2"/>
    <m/>
    <n v="755"/>
    <m/>
    <m/>
  </r>
  <r>
    <x v="3"/>
    <x v="0"/>
    <x v="7"/>
    <x v="3"/>
    <m/>
    <n v="536"/>
    <m/>
    <m/>
  </r>
  <r>
    <x v="3"/>
    <x v="1"/>
    <x v="7"/>
    <x v="1"/>
    <m/>
    <n v="1565"/>
    <m/>
    <m/>
  </r>
  <r>
    <x v="3"/>
    <x v="1"/>
    <x v="7"/>
    <x v="2"/>
    <m/>
    <n v="727"/>
    <m/>
    <m/>
  </r>
  <r>
    <x v="3"/>
    <x v="1"/>
    <x v="7"/>
    <x v="3"/>
    <m/>
    <n v="592"/>
    <m/>
    <m/>
  </r>
  <r>
    <x v="3"/>
    <x v="0"/>
    <x v="7"/>
    <x v="4"/>
    <m/>
    <m/>
    <m/>
    <n v="96"/>
  </r>
  <r>
    <x v="3"/>
    <x v="0"/>
    <x v="7"/>
    <x v="5"/>
    <m/>
    <m/>
    <m/>
    <n v="8"/>
  </r>
  <r>
    <x v="3"/>
    <x v="0"/>
    <x v="7"/>
    <x v="6"/>
    <m/>
    <m/>
    <m/>
    <m/>
  </r>
  <r>
    <x v="12"/>
    <x v="0"/>
    <x v="7"/>
    <x v="1"/>
    <m/>
    <n v="1186"/>
    <m/>
    <m/>
  </r>
  <r>
    <x v="12"/>
    <x v="0"/>
    <x v="7"/>
    <x v="2"/>
    <m/>
    <n v="639"/>
    <m/>
    <m/>
  </r>
  <r>
    <x v="12"/>
    <x v="0"/>
    <x v="7"/>
    <x v="3"/>
    <m/>
    <n v="528"/>
    <m/>
    <m/>
  </r>
  <r>
    <x v="12"/>
    <x v="1"/>
    <x v="7"/>
    <x v="1"/>
    <m/>
    <n v="1427"/>
    <m/>
    <m/>
  </r>
  <r>
    <x v="12"/>
    <x v="1"/>
    <x v="7"/>
    <x v="2"/>
    <m/>
    <n v="648"/>
    <m/>
    <m/>
  </r>
  <r>
    <x v="12"/>
    <x v="1"/>
    <x v="7"/>
    <x v="3"/>
    <m/>
    <n v="474"/>
    <m/>
    <m/>
  </r>
  <r>
    <x v="12"/>
    <x v="0"/>
    <x v="7"/>
    <x v="4"/>
    <m/>
    <m/>
    <m/>
    <n v="106"/>
  </r>
  <r>
    <x v="12"/>
    <x v="0"/>
    <x v="7"/>
    <x v="5"/>
    <m/>
    <m/>
    <m/>
    <n v="12"/>
  </r>
  <r>
    <x v="12"/>
    <x v="0"/>
    <x v="7"/>
    <x v="6"/>
    <m/>
    <m/>
    <m/>
    <n v="9"/>
  </r>
  <r>
    <x v="34"/>
    <x v="0"/>
    <x v="7"/>
    <x v="1"/>
    <m/>
    <n v="1016"/>
    <m/>
    <m/>
  </r>
  <r>
    <x v="34"/>
    <x v="0"/>
    <x v="7"/>
    <x v="2"/>
    <m/>
    <n v="471"/>
    <m/>
    <m/>
  </r>
  <r>
    <x v="34"/>
    <x v="0"/>
    <x v="7"/>
    <x v="3"/>
    <m/>
    <n v="337"/>
    <m/>
    <m/>
  </r>
  <r>
    <x v="34"/>
    <x v="1"/>
    <x v="7"/>
    <x v="1"/>
    <m/>
    <n v="1272"/>
    <m/>
    <m/>
  </r>
  <r>
    <x v="34"/>
    <x v="1"/>
    <x v="7"/>
    <x v="2"/>
    <m/>
    <n v="484"/>
    <m/>
    <m/>
  </r>
  <r>
    <x v="34"/>
    <x v="1"/>
    <x v="7"/>
    <x v="3"/>
    <m/>
    <n v="361"/>
    <m/>
    <m/>
  </r>
  <r>
    <x v="34"/>
    <x v="0"/>
    <x v="7"/>
    <x v="4"/>
    <m/>
    <m/>
    <m/>
    <n v="55"/>
  </r>
  <r>
    <x v="34"/>
    <x v="0"/>
    <x v="7"/>
    <x v="5"/>
    <m/>
    <m/>
    <m/>
    <n v="7"/>
  </r>
  <r>
    <x v="34"/>
    <x v="0"/>
    <x v="7"/>
    <x v="6"/>
    <m/>
    <m/>
    <m/>
    <n v="5"/>
  </r>
  <r>
    <x v="0"/>
    <x v="0"/>
    <x v="7"/>
    <x v="1"/>
    <m/>
    <n v="2499"/>
    <m/>
    <m/>
  </r>
  <r>
    <x v="0"/>
    <x v="0"/>
    <x v="7"/>
    <x v="2"/>
    <m/>
    <n v="1139"/>
    <m/>
    <m/>
  </r>
  <r>
    <x v="0"/>
    <x v="0"/>
    <x v="7"/>
    <x v="3"/>
    <m/>
    <n v="845"/>
    <m/>
    <m/>
  </r>
  <r>
    <x v="0"/>
    <x v="1"/>
    <x v="7"/>
    <x v="1"/>
    <m/>
    <n v="2710"/>
    <m/>
    <m/>
  </r>
  <r>
    <x v="0"/>
    <x v="1"/>
    <x v="7"/>
    <x v="2"/>
    <m/>
    <n v="1280"/>
    <m/>
    <m/>
  </r>
  <r>
    <x v="0"/>
    <x v="1"/>
    <x v="7"/>
    <x v="3"/>
    <m/>
    <n v="858"/>
    <m/>
    <m/>
  </r>
  <r>
    <x v="0"/>
    <x v="0"/>
    <x v="7"/>
    <x v="4"/>
    <m/>
    <m/>
    <m/>
    <n v="158"/>
  </r>
  <r>
    <x v="0"/>
    <x v="0"/>
    <x v="7"/>
    <x v="5"/>
    <m/>
    <m/>
    <m/>
    <n v="7"/>
  </r>
  <r>
    <x v="0"/>
    <x v="0"/>
    <x v="7"/>
    <x v="6"/>
    <m/>
    <m/>
    <m/>
    <n v="22"/>
  </r>
  <r>
    <x v="39"/>
    <x v="0"/>
    <x v="7"/>
    <x v="1"/>
    <m/>
    <n v="385"/>
    <m/>
    <m/>
  </r>
  <r>
    <x v="39"/>
    <x v="0"/>
    <x v="7"/>
    <x v="2"/>
    <m/>
    <n v="288"/>
    <m/>
    <m/>
  </r>
  <r>
    <x v="39"/>
    <x v="0"/>
    <x v="7"/>
    <x v="3"/>
    <m/>
    <n v="252"/>
    <m/>
    <m/>
  </r>
  <r>
    <x v="39"/>
    <x v="1"/>
    <x v="7"/>
    <x v="1"/>
    <m/>
    <n v="474"/>
    <m/>
    <m/>
  </r>
  <r>
    <x v="39"/>
    <x v="1"/>
    <x v="7"/>
    <x v="2"/>
    <m/>
    <n v="321"/>
    <m/>
    <m/>
  </r>
  <r>
    <x v="39"/>
    <x v="1"/>
    <x v="7"/>
    <x v="3"/>
    <m/>
    <n v="261"/>
    <m/>
    <m/>
  </r>
  <r>
    <x v="39"/>
    <x v="0"/>
    <x v="7"/>
    <x v="4"/>
    <m/>
    <m/>
    <m/>
    <n v="67"/>
  </r>
  <r>
    <x v="39"/>
    <x v="0"/>
    <x v="7"/>
    <x v="5"/>
    <m/>
    <m/>
    <m/>
    <n v="6"/>
  </r>
  <r>
    <x v="39"/>
    <x v="0"/>
    <x v="7"/>
    <x v="6"/>
    <m/>
    <m/>
    <m/>
    <n v="4"/>
  </r>
  <r>
    <x v="51"/>
    <x v="0"/>
    <x v="7"/>
    <x v="1"/>
    <m/>
    <n v="427"/>
    <m/>
    <m/>
  </r>
  <r>
    <x v="51"/>
    <x v="0"/>
    <x v="7"/>
    <x v="2"/>
    <m/>
    <n v="252"/>
    <m/>
    <m/>
  </r>
  <r>
    <x v="51"/>
    <x v="0"/>
    <x v="7"/>
    <x v="3"/>
    <m/>
    <n v="141"/>
    <m/>
    <m/>
  </r>
  <r>
    <x v="51"/>
    <x v="1"/>
    <x v="7"/>
    <x v="1"/>
    <m/>
    <n v="421"/>
    <m/>
    <m/>
  </r>
  <r>
    <x v="51"/>
    <x v="1"/>
    <x v="7"/>
    <x v="2"/>
    <m/>
    <n v="242"/>
    <m/>
    <m/>
  </r>
  <r>
    <x v="51"/>
    <x v="1"/>
    <x v="7"/>
    <x v="3"/>
    <m/>
    <n v="163"/>
    <m/>
    <m/>
  </r>
  <r>
    <x v="51"/>
    <x v="0"/>
    <x v="7"/>
    <x v="4"/>
    <m/>
    <m/>
    <m/>
    <n v="40"/>
  </r>
  <r>
    <x v="51"/>
    <x v="0"/>
    <x v="7"/>
    <x v="5"/>
    <m/>
    <m/>
    <m/>
    <n v="1"/>
  </r>
  <r>
    <x v="51"/>
    <x v="0"/>
    <x v="7"/>
    <x v="6"/>
    <m/>
    <m/>
    <m/>
    <n v="2"/>
  </r>
  <r>
    <x v="43"/>
    <x v="0"/>
    <x v="7"/>
    <x v="1"/>
    <m/>
    <n v="628"/>
    <m/>
    <m/>
  </r>
  <r>
    <x v="43"/>
    <x v="0"/>
    <x v="7"/>
    <x v="2"/>
    <m/>
    <n v="393"/>
    <m/>
    <m/>
  </r>
  <r>
    <x v="43"/>
    <x v="0"/>
    <x v="7"/>
    <x v="3"/>
    <m/>
    <n v="321"/>
    <m/>
    <m/>
  </r>
  <r>
    <x v="43"/>
    <x v="1"/>
    <x v="7"/>
    <x v="1"/>
    <m/>
    <n v="631"/>
    <m/>
    <m/>
  </r>
  <r>
    <x v="43"/>
    <x v="1"/>
    <x v="7"/>
    <x v="2"/>
    <m/>
    <n v="379"/>
    <m/>
    <m/>
  </r>
  <r>
    <x v="43"/>
    <x v="1"/>
    <x v="7"/>
    <x v="3"/>
    <m/>
    <n v="289"/>
    <m/>
    <m/>
  </r>
  <r>
    <x v="43"/>
    <x v="0"/>
    <x v="7"/>
    <x v="4"/>
    <m/>
    <m/>
    <m/>
    <n v="52"/>
  </r>
  <r>
    <x v="43"/>
    <x v="0"/>
    <x v="7"/>
    <x v="5"/>
    <m/>
    <m/>
    <m/>
    <n v="2"/>
  </r>
  <r>
    <x v="43"/>
    <x v="0"/>
    <x v="7"/>
    <x v="6"/>
    <m/>
    <m/>
    <m/>
    <n v="2"/>
  </r>
  <r>
    <x v="1"/>
    <x v="0"/>
    <x v="7"/>
    <x v="1"/>
    <m/>
    <n v="1644"/>
    <m/>
    <m/>
  </r>
  <r>
    <x v="1"/>
    <x v="0"/>
    <x v="7"/>
    <x v="2"/>
    <m/>
    <n v="950"/>
    <m/>
    <m/>
  </r>
  <r>
    <x v="1"/>
    <x v="0"/>
    <x v="7"/>
    <x v="3"/>
    <m/>
    <n v="738"/>
    <m/>
    <m/>
  </r>
  <r>
    <x v="1"/>
    <x v="1"/>
    <x v="7"/>
    <x v="1"/>
    <m/>
    <n v="1504"/>
    <m/>
    <m/>
  </r>
  <r>
    <x v="1"/>
    <x v="1"/>
    <x v="7"/>
    <x v="2"/>
    <m/>
    <n v="792"/>
    <m/>
    <m/>
  </r>
  <r>
    <x v="1"/>
    <x v="1"/>
    <x v="7"/>
    <x v="3"/>
    <m/>
    <n v="677"/>
    <m/>
    <m/>
  </r>
  <r>
    <x v="1"/>
    <x v="0"/>
    <x v="7"/>
    <x v="4"/>
    <m/>
    <m/>
    <m/>
    <n v="154"/>
  </r>
  <r>
    <x v="1"/>
    <x v="0"/>
    <x v="7"/>
    <x v="5"/>
    <m/>
    <m/>
    <m/>
    <n v="29"/>
  </r>
  <r>
    <x v="1"/>
    <x v="0"/>
    <x v="7"/>
    <x v="6"/>
    <m/>
    <m/>
    <m/>
    <n v="10"/>
  </r>
  <r>
    <x v="18"/>
    <x v="0"/>
    <x v="7"/>
    <x v="1"/>
    <m/>
    <n v="1008"/>
    <m/>
    <m/>
  </r>
  <r>
    <x v="18"/>
    <x v="0"/>
    <x v="7"/>
    <x v="2"/>
    <m/>
    <n v="507"/>
    <m/>
    <m/>
  </r>
  <r>
    <x v="18"/>
    <x v="0"/>
    <x v="7"/>
    <x v="3"/>
    <m/>
    <n v="373"/>
    <m/>
    <m/>
  </r>
  <r>
    <x v="18"/>
    <x v="1"/>
    <x v="7"/>
    <x v="1"/>
    <m/>
    <n v="905"/>
    <m/>
    <m/>
  </r>
  <r>
    <x v="18"/>
    <x v="1"/>
    <x v="7"/>
    <x v="2"/>
    <m/>
    <n v="491"/>
    <m/>
    <m/>
  </r>
  <r>
    <x v="18"/>
    <x v="1"/>
    <x v="7"/>
    <x v="3"/>
    <m/>
    <n v="417"/>
    <m/>
    <m/>
  </r>
  <r>
    <x v="18"/>
    <x v="0"/>
    <x v="7"/>
    <x v="4"/>
    <m/>
    <m/>
    <m/>
    <n v="120"/>
  </r>
  <r>
    <x v="18"/>
    <x v="0"/>
    <x v="7"/>
    <x v="5"/>
    <m/>
    <m/>
    <m/>
    <n v="9"/>
  </r>
  <r>
    <x v="18"/>
    <x v="0"/>
    <x v="7"/>
    <x v="6"/>
    <m/>
    <m/>
    <m/>
    <n v="7"/>
  </r>
  <r>
    <x v="52"/>
    <x v="0"/>
    <x v="7"/>
    <x v="1"/>
    <m/>
    <n v="226"/>
    <m/>
    <m/>
  </r>
  <r>
    <x v="52"/>
    <x v="0"/>
    <x v="7"/>
    <x v="2"/>
    <m/>
    <n v="91"/>
    <m/>
    <m/>
  </r>
  <r>
    <x v="52"/>
    <x v="0"/>
    <x v="7"/>
    <x v="3"/>
    <m/>
    <n v="53"/>
    <m/>
    <m/>
  </r>
  <r>
    <x v="52"/>
    <x v="1"/>
    <x v="7"/>
    <x v="1"/>
    <m/>
    <n v="260"/>
    <m/>
    <m/>
  </r>
  <r>
    <x v="52"/>
    <x v="1"/>
    <x v="7"/>
    <x v="2"/>
    <m/>
    <n v="119"/>
    <m/>
    <m/>
  </r>
  <r>
    <x v="52"/>
    <x v="1"/>
    <x v="7"/>
    <x v="3"/>
    <m/>
    <n v="71"/>
    <m/>
    <m/>
  </r>
  <r>
    <x v="52"/>
    <x v="0"/>
    <x v="7"/>
    <x v="4"/>
    <m/>
    <m/>
    <m/>
    <n v="0"/>
  </r>
  <r>
    <x v="52"/>
    <x v="0"/>
    <x v="7"/>
    <x v="5"/>
    <m/>
    <m/>
    <m/>
    <n v="0"/>
  </r>
  <r>
    <x v="52"/>
    <x v="0"/>
    <x v="7"/>
    <x v="6"/>
    <m/>
    <m/>
    <m/>
    <n v="1"/>
  </r>
  <r>
    <x v="4"/>
    <x v="0"/>
    <x v="7"/>
    <x v="1"/>
    <m/>
    <n v="1838"/>
    <m/>
    <m/>
  </r>
  <r>
    <x v="4"/>
    <x v="0"/>
    <x v="7"/>
    <x v="2"/>
    <m/>
    <n v="958"/>
    <m/>
    <m/>
  </r>
  <r>
    <x v="4"/>
    <x v="0"/>
    <x v="7"/>
    <x v="3"/>
    <m/>
    <n v="780"/>
    <m/>
    <m/>
  </r>
  <r>
    <x v="4"/>
    <x v="1"/>
    <x v="7"/>
    <x v="1"/>
    <m/>
    <n v="2111"/>
    <m/>
    <m/>
  </r>
  <r>
    <x v="4"/>
    <x v="1"/>
    <x v="7"/>
    <x v="2"/>
    <m/>
    <n v="975"/>
    <m/>
    <m/>
  </r>
  <r>
    <x v="4"/>
    <x v="1"/>
    <x v="7"/>
    <x v="3"/>
    <m/>
    <n v="809"/>
    <m/>
    <m/>
  </r>
  <r>
    <x v="4"/>
    <x v="0"/>
    <x v="7"/>
    <x v="4"/>
    <m/>
    <m/>
    <m/>
    <n v="209"/>
  </r>
  <r>
    <x v="4"/>
    <x v="0"/>
    <x v="7"/>
    <x v="5"/>
    <m/>
    <m/>
    <m/>
    <n v="9"/>
  </r>
  <r>
    <x v="4"/>
    <x v="0"/>
    <x v="7"/>
    <x v="6"/>
    <m/>
    <m/>
    <m/>
    <n v="30"/>
  </r>
  <r>
    <x v="41"/>
    <x v="0"/>
    <x v="7"/>
    <x v="1"/>
    <m/>
    <n v="1126"/>
    <m/>
    <m/>
  </r>
  <r>
    <x v="41"/>
    <x v="0"/>
    <x v="7"/>
    <x v="2"/>
    <m/>
    <n v="431"/>
    <m/>
    <m/>
  </r>
  <r>
    <x v="41"/>
    <x v="0"/>
    <x v="7"/>
    <x v="3"/>
    <m/>
    <n v="325"/>
    <m/>
    <m/>
  </r>
  <r>
    <x v="41"/>
    <x v="1"/>
    <x v="7"/>
    <x v="1"/>
    <m/>
    <n v="1270"/>
    <m/>
    <m/>
  </r>
  <r>
    <x v="41"/>
    <x v="1"/>
    <x v="7"/>
    <x v="2"/>
    <m/>
    <n v="539"/>
    <m/>
    <m/>
  </r>
  <r>
    <x v="41"/>
    <x v="1"/>
    <x v="7"/>
    <x v="3"/>
    <m/>
    <n v="391"/>
    <m/>
    <m/>
  </r>
  <r>
    <x v="41"/>
    <x v="0"/>
    <x v="7"/>
    <x v="4"/>
    <m/>
    <m/>
    <m/>
    <n v="95"/>
  </r>
  <r>
    <x v="41"/>
    <x v="0"/>
    <x v="7"/>
    <x v="5"/>
    <m/>
    <m/>
    <m/>
    <n v="5"/>
  </r>
  <r>
    <x v="41"/>
    <x v="0"/>
    <x v="7"/>
    <x v="6"/>
    <m/>
    <m/>
    <m/>
    <n v="6"/>
  </r>
  <r>
    <x v="15"/>
    <x v="0"/>
    <x v="7"/>
    <x v="1"/>
    <m/>
    <n v="1182"/>
    <m/>
    <m/>
  </r>
  <r>
    <x v="15"/>
    <x v="0"/>
    <x v="7"/>
    <x v="2"/>
    <m/>
    <n v="679"/>
    <m/>
    <m/>
  </r>
  <r>
    <x v="15"/>
    <x v="0"/>
    <x v="7"/>
    <x v="3"/>
    <m/>
    <n v="538"/>
    <m/>
    <m/>
  </r>
  <r>
    <x v="15"/>
    <x v="1"/>
    <x v="7"/>
    <x v="1"/>
    <m/>
    <n v="1459"/>
    <m/>
    <m/>
  </r>
  <r>
    <x v="15"/>
    <x v="1"/>
    <x v="7"/>
    <x v="2"/>
    <m/>
    <n v="749"/>
    <m/>
    <m/>
  </r>
  <r>
    <x v="15"/>
    <x v="1"/>
    <x v="7"/>
    <x v="3"/>
    <m/>
    <n v="588"/>
    <m/>
    <m/>
  </r>
  <r>
    <x v="15"/>
    <x v="0"/>
    <x v="7"/>
    <x v="4"/>
    <m/>
    <m/>
    <m/>
    <n v="143"/>
  </r>
  <r>
    <x v="15"/>
    <x v="0"/>
    <x v="7"/>
    <x v="5"/>
    <m/>
    <m/>
    <m/>
    <n v="6"/>
  </r>
  <r>
    <x v="15"/>
    <x v="0"/>
    <x v="7"/>
    <x v="6"/>
    <m/>
    <m/>
    <m/>
    <n v="12"/>
  </r>
  <r>
    <x v="45"/>
    <x v="0"/>
    <x v="7"/>
    <x v="1"/>
    <m/>
    <n v="1003"/>
    <m/>
    <m/>
  </r>
  <r>
    <x v="45"/>
    <x v="0"/>
    <x v="7"/>
    <x v="2"/>
    <m/>
    <n v="420"/>
    <m/>
    <m/>
  </r>
  <r>
    <x v="45"/>
    <x v="0"/>
    <x v="7"/>
    <x v="3"/>
    <m/>
    <n v="329"/>
    <m/>
    <m/>
  </r>
  <r>
    <x v="45"/>
    <x v="1"/>
    <x v="7"/>
    <x v="1"/>
    <m/>
    <n v="1184"/>
    <m/>
    <m/>
  </r>
  <r>
    <x v="45"/>
    <x v="1"/>
    <x v="7"/>
    <x v="2"/>
    <m/>
    <n v="462"/>
    <m/>
    <m/>
  </r>
  <r>
    <x v="45"/>
    <x v="1"/>
    <x v="7"/>
    <x v="3"/>
    <m/>
    <n v="324"/>
    <m/>
    <m/>
  </r>
  <r>
    <x v="45"/>
    <x v="0"/>
    <x v="7"/>
    <x v="4"/>
    <m/>
    <m/>
    <m/>
    <n v="45"/>
  </r>
  <r>
    <x v="45"/>
    <x v="0"/>
    <x v="7"/>
    <x v="5"/>
    <m/>
    <m/>
    <m/>
    <n v="3"/>
  </r>
  <r>
    <x v="45"/>
    <x v="0"/>
    <x v="7"/>
    <x v="6"/>
    <m/>
    <m/>
    <m/>
    <n v="6"/>
  </r>
  <r>
    <x v="29"/>
    <x v="0"/>
    <x v="7"/>
    <x v="1"/>
    <m/>
    <n v="911"/>
    <m/>
    <m/>
  </r>
  <r>
    <x v="29"/>
    <x v="0"/>
    <x v="7"/>
    <x v="2"/>
    <m/>
    <n v="556"/>
    <m/>
    <m/>
  </r>
  <r>
    <x v="29"/>
    <x v="0"/>
    <x v="7"/>
    <x v="3"/>
    <m/>
    <n v="443"/>
    <m/>
    <m/>
  </r>
  <r>
    <x v="29"/>
    <x v="1"/>
    <x v="7"/>
    <x v="1"/>
    <m/>
    <n v="881"/>
    <m/>
    <m/>
  </r>
  <r>
    <x v="29"/>
    <x v="1"/>
    <x v="7"/>
    <x v="2"/>
    <m/>
    <n v="531"/>
    <m/>
    <m/>
  </r>
  <r>
    <x v="29"/>
    <x v="1"/>
    <x v="7"/>
    <x v="3"/>
    <m/>
    <n v="452"/>
    <m/>
    <m/>
  </r>
  <r>
    <x v="29"/>
    <x v="0"/>
    <x v="7"/>
    <x v="4"/>
    <m/>
    <m/>
    <m/>
    <n v="106"/>
  </r>
  <r>
    <x v="29"/>
    <x v="0"/>
    <x v="7"/>
    <x v="5"/>
    <m/>
    <m/>
    <m/>
    <n v="8"/>
  </r>
  <r>
    <x v="29"/>
    <x v="0"/>
    <x v="7"/>
    <x v="6"/>
    <m/>
    <m/>
    <m/>
    <n v="8"/>
  </r>
  <r>
    <x v="28"/>
    <x v="0"/>
    <x v="7"/>
    <x v="1"/>
    <m/>
    <n v="1063"/>
    <m/>
    <m/>
  </r>
  <r>
    <x v="28"/>
    <x v="0"/>
    <x v="7"/>
    <x v="2"/>
    <m/>
    <n v="507"/>
    <m/>
    <m/>
  </r>
  <r>
    <x v="28"/>
    <x v="0"/>
    <x v="7"/>
    <x v="3"/>
    <m/>
    <n v="376"/>
    <m/>
    <m/>
  </r>
  <r>
    <x v="28"/>
    <x v="1"/>
    <x v="7"/>
    <x v="1"/>
    <m/>
    <n v="1251"/>
    <m/>
    <m/>
  </r>
  <r>
    <x v="28"/>
    <x v="1"/>
    <x v="7"/>
    <x v="2"/>
    <m/>
    <n v="551"/>
    <m/>
    <m/>
  </r>
  <r>
    <x v="28"/>
    <x v="1"/>
    <x v="7"/>
    <x v="3"/>
    <m/>
    <n v="418"/>
    <m/>
    <m/>
  </r>
  <r>
    <x v="28"/>
    <x v="0"/>
    <x v="7"/>
    <x v="4"/>
    <m/>
    <m/>
    <m/>
    <n v="93"/>
  </r>
  <r>
    <x v="28"/>
    <x v="0"/>
    <x v="7"/>
    <x v="5"/>
    <m/>
    <m/>
    <m/>
    <n v="4"/>
  </r>
  <r>
    <x v="28"/>
    <x v="0"/>
    <x v="7"/>
    <x v="6"/>
    <m/>
    <m/>
    <m/>
    <n v="4"/>
  </r>
  <r>
    <x v="24"/>
    <x v="0"/>
    <x v="7"/>
    <x v="1"/>
    <m/>
    <n v="1455"/>
    <m/>
    <m/>
  </r>
  <r>
    <x v="24"/>
    <x v="0"/>
    <x v="7"/>
    <x v="2"/>
    <m/>
    <n v="657"/>
    <m/>
    <m/>
  </r>
  <r>
    <x v="24"/>
    <x v="0"/>
    <x v="7"/>
    <x v="3"/>
    <m/>
    <n v="457"/>
    <m/>
    <m/>
  </r>
  <r>
    <x v="24"/>
    <x v="1"/>
    <x v="7"/>
    <x v="1"/>
    <m/>
    <n v="1601"/>
    <m/>
    <m/>
  </r>
  <r>
    <x v="24"/>
    <x v="1"/>
    <x v="7"/>
    <x v="2"/>
    <m/>
    <n v="731"/>
    <m/>
    <m/>
  </r>
  <r>
    <x v="24"/>
    <x v="1"/>
    <x v="7"/>
    <x v="3"/>
    <m/>
    <n v="483"/>
    <m/>
    <m/>
  </r>
  <r>
    <x v="24"/>
    <x v="0"/>
    <x v="7"/>
    <x v="4"/>
    <m/>
    <m/>
    <m/>
    <n v="74"/>
  </r>
  <r>
    <x v="24"/>
    <x v="0"/>
    <x v="7"/>
    <x v="5"/>
    <m/>
    <m/>
    <m/>
    <n v="5"/>
  </r>
  <r>
    <x v="24"/>
    <x v="0"/>
    <x v="7"/>
    <x v="6"/>
    <m/>
    <m/>
    <m/>
    <n v="6"/>
  </r>
  <r>
    <x v="23"/>
    <x v="0"/>
    <x v="7"/>
    <x v="1"/>
    <m/>
    <n v="685"/>
    <m/>
    <m/>
  </r>
  <r>
    <x v="23"/>
    <x v="0"/>
    <x v="7"/>
    <x v="2"/>
    <m/>
    <n v="514"/>
    <m/>
    <m/>
  </r>
  <r>
    <x v="23"/>
    <x v="0"/>
    <x v="7"/>
    <x v="3"/>
    <m/>
    <n v="426"/>
    <m/>
    <m/>
  </r>
  <r>
    <x v="23"/>
    <x v="1"/>
    <x v="7"/>
    <x v="1"/>
    <m/>
    <n v="803"/>
    <m/>
    <m/>
  </r>
  <r>
    <x v="23"/>
    <x v="1"/>
    <x v="7"/>
    <x v="2"/>
    <m/>
    <n v="606"/>
    <m/>
    <m/>
  </r>
  <r>
    <x v="23"/>
    <x v="1"/>
    <x v="7"/>
    <x v="3"/>
    <m/>
    <n v="496"/>
    <m/>
    <m/>
  </r>
  <r>
    <x v="23"/>
    <x v="0"/>
    <x v="7"/>
    <x v="4"/>
    <m/>
    <m/>
    <m/>
    <n v="139"/>
  </r>
  <r>
    <x v="23"/>
    <x v="0"/>
    <x v="7"/>
    <x v="5"/>
    <m/>
    <m/>
    <m/>
    <n v="6"/>
  </r>
  <r>
    <x v="23"/>
    <x v="0"/>
    <x v="7"/>
    <x v="6"/>
    <m/>
    <m/>
    <m/>
    <n v="5"/>
  </r>
  <r>
    <x v="14"/>
    <x v="0"/>
    <x v="7"/>
    <x v="1"/>
    <m/>
    <n v="1021"/>
    <m/>
    <m/>
  </r>
  <r>
    <x v="14"/>
    <x v="0"/>
    <x v="7"/>
    <x v="2"/>
    <m/>
    <n v="609"/>
    <m/>
    <m/>
  </r>
  <r>
    <x v="14"/>
    <x v="0"/>
    <x v="7"/>
    <x v="3"/>
    <m/>
    <n v="498"/>
    <m/>
    <m/>
  </r>
  <r>
    <x v="14"/>
    <x v="1"/>
    <x v="7"/>
    <x v="1"/>
    <m/>
    <n v="967"/>
    <m/>
    <m/>
  </r>
  <r>
    <x v="14"/>
    <x v="1"/>
    <x v="7"/>
    <x v="2"/>
    <m/>
    <n v="622"/>
    <m/>
    <m/>
  </r>
  <r>
    <x v="14"/>
    <x v="1"/>
    <x v="7"/>
    <x v="3"/>
    <m/>
    <n v="534"/>
    <m/>
    <m/>
  </r>
  <r>
    <x v="14"/>
    <x v="0"/>
    <x v="7"/>
    <x v="4"/>
    <m/>
    <m/>
    <m/>
    <n v="151"/>
  </r>
  <r>
    <x v="14"/>
    <x v="0"/>
    <x v="7"/>
    <x v="5"/>
    <m/>
    <m/>
    <m/>
    <n v="7"/>
  </r>
  <r>
    <x v="14"/>
    <x v="0"/>
    <x v="7"/>
    <x v="6"/>
    <m/>
    <m/>
    <m/>
    <n v="7"/>
  </r>
  <r>
    <x v="30"/>
    <x v="0"/>
    <x v="7"/>
    <x v="1"/>
    <m/>
    <n v="818"/>
    <m/>
    <m/>
  </r>
  <r>
    <x v="30"/>
    <x v="0"/>
    <x v="7"/>
    <x v="2"/>
    <m/>
    <n v="436"/>
    <m/>
    <m/>
  </r>
  <r>
    <x v="30"/>
    <x v="0"/>
    <x v="7"/>
    <x v="3"/>
    <m/>
    <n v="354"/>
    <m/>
    <m/>
  </r>
  <r>
    <x v="30"/>
    <x v="1"/>
    <x v="7"/>
    <x v="1"/>
    <m/>
    <n v="1010"/>
    <m/>
    <m/>
  </r>
  <r>
    <x v="30"/>
    <x v="1"/>
    <x v="7"/>
    <x v="2"/>
    <m/>
    <n v="467"/>
    <m/>
    <m/>
  </r>
  <r>
    <x v="30"/>
    <x v="1"/>
    <x v="7"/>
    <x v="3"/>
    <m/>
    <n v="352"/>
    <m/>
    <m/>
  </r>
  <r>
    <x v="30"/>
    <x v="0"/>
    <x v="7"/>
    <x v="4"/>
    <m/>
    <m/>
    <m/>
    <n v="43"/>
  </r>
  <r>
    <x v="30"/>
    <x v="0"/>
    <x v="7"/>
    <x v="5"/>
    <m/>
    <m/>
    <m/>
    <n v="3"/>
  </r>
  <r>
    <x v="30"/>
    <x v="0"/>
    <x v="7"/>
    <x v="6"/>
    <m/>
    <m/>
    <m/>
    <n v="5"/>
  </r>
  <r>
    <x v="20"/>
    <x v="0"/>
    <x v="7"/>
    <x v="1"/>
    <m/>
    <n v="812"/>
    <m/>
    <m/>
  </r>
  <r>
    <x v="20"/>
    <x v="0"/>
    <x v="7"/>
    <x v="2"/>
    <m/>
    <n v="507"/>
    <m/>
    <m/>
  </r>
  <r>
    <x v="20"/>
    <x v="0"/>
    <x v="7"/>
    <x v="3"/>
    <m/>
    <n v="396"/>
    <m/>
    <m/>
  </r>
  <r>
    <x v="20"/>
    <x v="1"/>
    <x v="7"/>
    <x v="1"/>
    <m/>
    <n v="986"/>
    <m/>
    <m/>
  </r>
  <r>
    <x v="20"/>
    <x v="1"/>
    <x v="7"/>
    <x v="2"/>
    <m/>
    <n v="583"/>
    <m/>
    <m/>
  </r>
  <r>
    <x v="20"/>
    <x v="1"/>
    <x v="7"/>
    <x v="3"/>
    <m/>
    <n v="427"/>
    <m/>
    <m/>
  </r>
  <r>
    <x v="20"/>
    <x v="0"/>
    <x v="7"/>
    <x v="4"/>
    <m/>
    <m/>
    <m/>
    <n v="128"/>
  </r>
  <r>
    <x v="20"/>
    <x v="0"/>
    <x v="7"/>
    <x v="5"/>
    <m/>
    <m/>
    <m/>
    <n v="10"/>
  </r>
  <r>
    <x v="20"/>
    <x v="0"/>
    <x v="7"/>
    <x v="6"/>
    <m/>
    <m/>
    <m/>
    <n v="20"/>
  </r>
  <r>
    <x v="36"/>
    <x v="0"/>
    <x v="7"/>
    <x v="1"/>
    <m/>
    <n v="532"/>
    <m/>
    <m/>
  </r>
  <r>
    <x v="36"/>
    <x v="0"/>
    <x v="7"/>
    <x v="2"/>
    <m/>
    <n v="381"/>
    <m/>
    <m/>
  </r>
  <r>
    <x v="36"/>
    <x v="0"/>
    <x v="7"/>
    <x v="3"/>
    <m/>
    <n v="316"/>
    <m/>
    <m/>
  </r>
  <r>
    <x v="36"/>
    <x v="1"/>
    <x v="7"/>
    <x v="1"/>
    <m/>
    <n v="555"/>
    <m/>
    <m/>
  </r>
  <r>
    <x v="36"/>
    <x v="1"/>
    <x v="7"/>
    <x v="2"/>
    <m/>
    <n v="401"/>
    <m/>
    <m/>
  </r>
  <r>
    <x v="36"/>
    <x v="1"/>
    <x v="7"/>
    <x v="3"/>
    <m/>
    <n v="302"/>
    <m/>
    <m/>
  </r>
  <r>
    <x v="36"/>
    <x v="0"/>
    <x v="7"/>
    <x v="4"/>
    <m/>
    <m/>
    <m/>
    <n v="131"/>
  </r>
  <r>
    <x v="36"/>
    <x v="0"/>
    <x v="7"/>
    <x v="5"/>
    <m/>
    <m/>
    <m/>
    <n v="9"/>
  </r>
  <r>
    <x v="36"/>
    <x v="0"/>
    <x v="7"/>
    <x v="6"/>
    <m/>
    <m/>
    <m/>
    <n v="2"/>
  </r>
  <r>
    <x v="33"/>
    <x v="0"/>
    <x v="7"/>
    <x v="1"/>
    <m/>
    <n v="605"/>
    <m/>
    <m/>
  </r>
  <r>
    <x v="33"/>
    <x v="0"/>
    <x v="7"/>
    <x v="2"/>
    <m/>
    <n v="421"/>
    <m/>
    <m/>
  </r>
  <r>
    <x v="33"/>
    <x v="0"/>
    <x v="7"/>
    <x v="3"/>
    <m/>
    <n v="266"/>
    <m/>
    <m/>
  </r>
  <r>
    <x v="33"/>
    <x v="1"/>
    <x v="7"/>
    <x v="1"/>
    <m/>
    <n v="640"/>
    <m/>
    <m/>
  </r>
  <r>
    <x v="33"/>
    <x v="1"/>
    <x v="7"/>
    <x v="2"/>
    <m/>
    <n v="377"/>
    <m/>
    <m/>
  </r>
  <r>
    <x v="33"/>
    <x v="1"/>
    <x v="7"/>
    <x v="3"/>
    <m/>
    <n v="306"/>
    <m/>
    <m/>
  </r>
  <r>
    <x v="33"/>
    <x v="0"/>
    <x v="7"/>
    <x v="4"/>
    <m/>
    <m/>
    <m/>
    <n v="109"/>
  </r>
  <r>
    <x v="33"/>
    <x v="0"/>
    <x v="7"/>
    <x v="5"/>
    <m/>
    <m/>
    <m/>
    <n v="2"/>
  </r>
  <r>
    <x v="33"/>
    <x v="0"/>
    <x v="7"/>
    <x v="6"/>
    <m/>
    <m/>
    <m/>
    <n v="4"/>
  </r>
  <r>
    <x v="19"/>
    <x v="0"/>
    <x v="7"/>
    <x v="1"/>
    <m/>
    <n v="686"/>
    <m/>
    <m/>
  </r>
  <r>
    <x v="19"/>
    <x v="0"/>
    <x v="7"/>
    <x v="2"/>
    <m/>
    <n v="544"/>
    <m/>
    <m/>
  </r>
  <r>
    <x v="19"/>
    <x v="0"/>
    <x v="7"/>
    <x v="3"/>
    <m/>
    <n v="433"/>
    <m/>
    <m/>
  </r>
  <r>
    <x v="19"/>
    <x v="1"/>
    <x v="7"/>
    <x v="1"/>
    <m/>
    <n v="860"/>
    <m/>
    <m/>
  </r>
  <r>
    <x v="19"/>
    <x v="1"/>
    <x v="7"/>
    <x v="2"/>
    <m/>
    <n v="651"/>
    <m/>
    <m/>
  </r>
  <r>
    <x v="19"/>
    <x v="1"/>
    <x v="7"/>
    <x v="3"/>
    <m/>
    <n v="492"/>
    <m/>
    <m/>
  </r>
  <r>
    <x v="19"/>
    <x v="0"/>
    <x v="7"/>
    <x v="4"/>
    <m/>
    <m/>
    <m/>
    <n v="180"/>
  </r>
  <r>
    <x v="19"/>
    <x v="0"/>
    <x v="7"/>
    <x v="5"/>
    <m/>
    <m/>
    <m/>
    <n v="6"/>
  </r>
  <r>
    <x v="19"/>
    <x v="0"/>
    <x v="7"/>
    <x v="6"/>
    <m/>
    <m/>
    <m/>
    <n v="10"/>
  </r>
  <r>
    <x v="21"/>
    <x v="0"/>
    <x v="7"/>
    <x v="1"/>
    <m/>
    <n v="879"/>
    <m/>
    <m/>
  </r>
  <r>
    <x v="21"/>
    <x v="0"/>
    <x v="7"/>
    <x v="2"/>
    <m/>
    <n v="412"/>
    <m/>
    <m/>
  </r>
  <r>
    <x v="21"/>
    <x v="0"/>
    <x v="7"/>
    <x v="3"/>
    <m/>
    <n v="274"/>
    <m/>
    <m/>
  </r>
  <r>
    <x v="21"/>
    <x v="1"/>
    <x v="7"/>
    <x v="1"/>
    <m/>
    <n v="1019"/>
    <m/>
    <m/>
  </r>
  <r>
    <x v="21"/>
    <x v="1"/>
    <x v="7"/>
    <x v="2"/>
    <m/>
    <n v="510"/>
    <m/>
    <m/>
  </r>
  <r>
    <x v="21"/>
    <x v="1"/>
    <x v="7"/>
    <x v="3"/>
    <m/>
    <n v="421"/>
    <m/>
    <m/>
  </r>
  <r>
    <x v="21"/>
    <x v="0"/>
    <x v="7"/>
    <x v="4"/>
    <m/>
    <m/>
    <m/>
    <n v="83"/>
  </r>
  <r>
    <x v="21"/>
    <x v="0"/>
    <x v="7"/>
    <x v="5"/>
    <m/>
    <m/>
    <m/>
    <n v="5"/>
  </r>
  <r>
    <x v="21"/>
    <x v="0"/>
    <x v="7"/>
    <x v="6"/>
    <m/>
    <m/>
    <m/>
    <n v="9"/>
  </r>
  <r>
    <x v="47"/>
    <x v="0"/>
    <x v="7"/>
    <x v="1"/>
    <m/>
    <n v="368"/>
    <m/>
    <m/>
  </r>
  <r>
    <x v="47"/>
    <x v="0"/>
    <x v="7"/>
    <x v="2"/>
    <m/>
    <n v="382"/>
    <m/>
    <m/>
  </r>
  <r>
    <x v="47"/>
    <x v="0"/>
    <x v="7"/>
    <x v="3"/>
    <m/>
    <n v="251"/>
    <m/>
    <m/>
  </r>
  <r>
    <x v="47"/>
    <x v="1"/>
    <x v="7"/>
    <x v="1"/>
    <m/>
    <n v="567"/>
    <m/>
    <m/>
  </r>
  <r>
    <x v="47"/>
    <x v="1"/>
    <x v="7"/>
    <x v="2"/>
    <m/>
    <n v="367"/>
    <m/>
    <m/>
  </r>
  <r>
    <x v="47"/>
    <x v="1"/>
    <x v="7"/>
    <x v="3"/>
    <m/>
    <n v="314"/>
    <m/>
    <m/>
  </r>
  <r>
    <x v="47"/>
    <x v="0"/>
    <x v="7"/>
    <x v="4"/>
    <m/>
    <m/>
    <m/>
    <n v="76"/>
  </r>
  <r>
    <x v="47"/>
    <x v="0"/>
    <x v="7"/>
    <x v="5"/>
    <m/>
    <m/>
    <m/>
    <n v="3"/>
  </r>
  <r>
    <x v="47"/>
    <x v="0"/>
    <x v="7"/>
    <x v="6"/>
    <m/>
    <m/>
    <m/>
    <n v="0"/>
  </r>
  <r>
    <x v="35"/>
    <x v="0"/>
    <x v="7"/>
    <x v="1"/>
    <m/>
    <n v="397"/>
    <m/>
    <m/>
  </r>
  <r>
    <x v="35"/>
    <x v="0"/>
    <x v="7"/>
    <x v="2"/>
    <m/>
    <n v="280"/>
    <m/>
    <m/>
  </r>
  <r>
    <x v="35"/>
    <x v="0"/>
    <x v="7"/>
    <x v="3"/>
    <m/>
    <n v="237"/>
    <m/>
    <m/>
  </r>
  <r>
    <x v="35"/>
    <x v="1"/>
    <x v="7"/>
    <x v="1"/>
    <m/>
    <n v="523"/>
    <m/>
    <m/>
  </r>
  <r>
    <x v="35"/>
    <x v="1"/>
    <x v="7"/>
    <x v="2"/>
    <m/>
    <n v="366"/>
    <m/>
    <m/>
  </r>
  <r>
    <x v="35"/>
    <x v="1"/>
    <x v="7"/>
    <x v="3"/>
    <m/>
    <n v="348"/>
    <m/>
    <m/>
  </r>
  <r>
    <x v="35"/>
    <x v="0"/>
    <x v="7"/>
    <x v="4"/>
    <m/>
    <m/>
    <m/>
    <n v="76"/>
  </r>
  <r>
    <x v="35"/>
    <x v="0"/>
    <x v="7"/>
    <x v="5"/>
    <m/>
    <m/>
    <m/>
    <n v="5"/>
  </r>
  <r>
    <x v="35"/>
    <x v="0"/>
    <x v="7"/>
    <x v="6"/>
    <m/>
    <m/>
    <m/>
    <n v="3"/>
  </r>
  <r>
    <x v="44"/>
    <x v="0"/>
    <x v="7"/>
    <x v="1"/>
    <m/>
    <n v="325"/>
    <m/>
    <m/>
  </r>
  <r>
    <x v="44"/>
    <x v="0"/>
    <x v="7"/>
    <x v="2"/>
    <m/>
    <n v="236"/>
    <m/>
    <m/>
  </r>
  <r>
    <x v="44"/>
    <x v="0"/>
    <x v="7"/>
    <x v="3"/>
    <m/>
    <n v="205"/>
    <m/>
    <m/>
  </r>
  <r>
    <x v="44"/>
    <x v="1"/>
    <x v="7"/>
    <x v="1"/>
    <m/>
    <n v="412"/>
    <m/>
    <m/>
  </r>
  <r>
    <x v="44"/>
    <x v="1"/>
    <x v="7"/>
    <x v="2"/>
    <m/>
    <n v="279"/>
    <m/>
    <m/>
  </r>
  <r>
    <x v="44"/>
    <x v="1"/>
    <x v="7"/>
    <x v="3"/>
    <m/>
    <n v="218"/>
    <m/>
    <m/>
  </r>
  <r>
    <x v="44"/>
    <x v="0"/>
    <x v="7"/>
    <x v="4"/>
    <m/>
    <m/>
    <m/>
    <n v="98"/>
  </r>
  <r>
    <x v="44"/>
    <x v="0"/>
    <x v="7"/>
    <x v="5"/>
    <m/>
    <m/>
    <m/>
    <n v="1"/>
  </r>
  <r>
    <x v="44"/>
    <x v="0"/>
    <x v="7"/>
    <x v="6"/>
    <m/>
    <m/>
    <m/>
    <n v="7"/>
  </r>
  <r>
    <x v="6"/>
    <x v="0"/>
    <x v="7"/>
    <x v="1"/>
    <m/>
    <n v="1375"/>
    <m/>
    <m/>
  </r>
  <r>
    <x v="6"/>
    <x v="0"/>
    <x v="7"/>
    <x v="2"/>
    <m/>
    <n v="870"/>
    <m/>
    <m/>
  </r>
  <r>
    <x v="6"/>
    <x v="0"/>
    <x v="7"/>
    <x v="3"/>
    <m/>
    <n v="650"/>
    <m/>
    <m/>
  </r>
  <r>
    <x v="6"/>
    <x v="1"/>
    <x v="7"/>
    <x v="1"/>
    <m/>
    <n v="1551"/>
    <m/>
    <m/>
  </r>
  <r>
    <x v="6"/>
    <x v="1"/>
    <x v="7"/>
    <x v="2"/>
    <m/>
    <n v="882"/>
    <m/>
    <m/>
  </r>
  <r>
    <x v="6"/>
    <x v="1"/>
    <x v="7"/>
    <x v="3"/>
    <m/>
    <n v="667"/>
    <m/>
    <m/>
  </r>
  <r>
    <x v="6"/>
    <x v="0"/>
    <x v="7"/>
    <x v="4"/>
    <m/>
    <m/>
    <m/>
    <n v="184"/>
  </r>
  <r>
    <x v="6"/>
    <x v="0"/>
    <x v="7"/>
    <x v="5"/>
    <m/>
    <m/>
    <m/>
    <n v="11"/>
  </r>
  <r>
    <x v="6"/>
    <x v="0"/>
    <x v="7"/>
    <x v="6"/>
    <m/>
    <m/>
    <m/>
    <n v="11"/>
  </r>
  <r>
    <x v="32"/>
    <x v="0"/>
    <x v="7"/>
    <x v="1"/>
    <m/>
    <n v="687"/>
    <m/>
    <m/>
  </r>
  <r>
    <x v="32"/>
    <x v="0"/>
    <x v="7"/>
    <x v="2"/>
    <m/>
    <n v="480"/>
    <m/>
    <m/>
  </r>
  <r>
    <x v="32"/>
    <x v="0"/>
    <x v="7"/>
    <x v="3"/>
    <m/>
    <n v="338"/>
    <m/>
    <m/>
  </r>
  <r>
    <x v="32"/>
    <x v="1"/>
    <x v="7"/>
    <x v="1"/>
    <m/>
    <n v="886"/>
    <m/>
    <m/>
  </r>
  <r>
    <x v="32"/>
    <x v="1"/>
    <x v="7"/>
    <x v="2"/>
    <m/>
    <n v="485"/>
    <m/>
    <m/>
  </r>
  <r>
    <x v="32"/>
    <x v="1"/>
    <x v="7"/>
    <x v="3"/>
    <m/>
    <n v="326"/>
    <m/>
    <m/>
  </r>
  <r>
    <x v="32"/>
    <x v="0"/>
    <x v="7"/>
    <x v="4"/>
    <m/>
    <m/>
    <m/>
    <n v="83"/>
  </r>
  <r>
    <x v="32"/>
    <x v="0"/>
    <x v="7"/>
    <x v="5"/>
    <m/>
    <m/>
    <m/>
    <n v="0"/>
  </r>
  <r>
    <x v="32"/>
    <x v="0"/>
    <x v="7"/>
    <x v="6"/>
    <m/>
    <m/>
    <m/>
    <n v="14"/>
  </r>
  <r>
    <x v="27"/>
    <x v="0"/>
    <x v="7"/>
    <x v="1"/>
    <m/>
    <n v="650"/>
    <m/>
    <m/>
  </r>
  <r>
    <x v="27"/>
    <x v="0"/>
    <x v="7"/>
    <x v="2"/>
    <m/>
    <n v="416"/>
    <m/>
    <m/>
  </r>
  <r>
    <x v="27"/>
    <x v="0"/>
    <x v="7"/>
    <x v="3"/>
    <m/>
    <n v="301"/>
    <m/>
    <m/>
  </r>
  <r>
    <x v="27"/>
    <x v="1"/>
    <x v="7"/>
    <x v="1"/>
    <m/>
    <n v="725"/>
    <m/>
    <m/>
  </r>
  <r>
    <x v="27"/>
    <x v="1"/>
    <x v="7"/>
    <x v="2"/>
    <m/>
    <n v="510"/>
    <m/>
    <m/>
  </r>
  <r>
    <x v="27"/>
    <x v="1"/>
    <x v="7"/>
    <x v="3"/>
    <m/>
    <n v="392"/>
    <m/>
    <m/>
  </r>
  <r>
    <x v="27"/>
    <x v="0"/>
    <x v="7"/>
    <x v="4"/>
    <m/>
    <m/>
    <m/>
    <n v="64"/>
  </r>
  <r>
    <x v="27"/>
    <x v="0"/>
    <x v="7"/>
    <x v="5"/>
    <m/>
    <m/>
    <m/>
    <n v="6"/>
  </r>
  <r>
    <x v="27"/>
    <x v="0"/>
    <x v="7"/>
    <x v="6"/>
    <m/>
    <m/>
    <m/>
    <n v="5"/>
  </r>
  <r>
    <x v="25"/>
    <x v="0"/>
    <x v="7"/>
    <x v="1"/>
    <m/>
    <n v="491"/>
    <m/>
    <m/>
  </r>
  <r>
    <x v="25"/>
    <x v="0"/>
    <x v="7"/>
    <x v="2"/>
    <m/>
    <n v="448"/>
    <m/>
    <m/>
  </r>
  <r>
    <x v="25"/>
    <x v="0"/>
    <x v="7"/>
    <x v="3"/>
    <m/>
    <n v="389"/>
    <m/>
    <m/>
  </r>
  <r>
    <x v="25"/>
    <x v="1"/>
    <x v="7"/>
    <x v="1"/>
    <m/>
    <n v="490"/>
    <m/>
    <m/>
  </r>
  <r>
    <x v="25"/>
    <x v="1"/>
    <x v="7"/>
    <x v="2"/>
    <m/>
    <n v="428"/>
    <m/>
    <m/>
  </r>
  <r>
    <x v="25"/>
    <x v="1"/>
    <x v="7"/>
    <x v="3"/>
    <m/>
    <n v="386"/>
    <m/>
    <m/>
  </r>
  <r>
    <x v="25"/>
    <x v="0"/>
    <x v="7"/>
    <x v="4"/>
    <m/>
    <m/>
    <m/>
    <n v="118"/>
  </r>
  <r>
    <x v="25"/>
    <x v="0"/>
    <x v="7"/>
    <x v="5"/>
    <m/>
    <m/>
    <m/>
    <n v="2"/>
  </r>
  <r>
    <x v="25"/>
    <x v="0"/>
    <x v="7"/>
    <x v="6"/>
    <m/>
    <m/>
    <m/>
    <n v="3"/>
  </r>
  <r>
    <x v="10"/>
    <x v="0"/>
    <x v="10"/>
    <x v="1"/>
    <m/>
    <n v="931"/>
    <m/>
    <m/>
  </r>
  <r>
    <x v="10"/>
    <x v="0"/>
    <x v="10"/>
    <x v="2"/>
    <m/>
    <n v="412"/>
    <m/>
    <m/>
  </r>
  <r>
    <x v="10"/>
    <x v="0"/>
    <x v="10"/>
    <x v="3"/>
    <m/>
    <n v="315"/>
    <m/>
    <m/>
  </r>
  <r>
    <x v="10"/>
    <x v="1"/>
    <x v="10"/>
    <x v="1"/>
    <m/>
    <n v="1109"/>
    <m/>
    <m/>
  </r>
  <r>
    <x v="10"/>
    <x v="1"/>
    <x v="10"/>
    <x v="2"/>
    <m/>
    <n v="420"/>
    <m/>
    <m/>
  </r>
  <r>
    <x v="10"/>
    <x v="1"/>
    <x v="10"/>
    <x v="3"/>
    <m/>
    <n v="299"/>
    <m/>
    <m/>
  </r>
  <r>
    <x v="10"/>
    <x v="0"/>
    <x v="10"/>
    <x v="4"/>
    <m/>
    <m/>
    <m/>
    <n v="105"/>
  </r>
  <r>
    <x v="10"/>
    <x v="0"/>
    <x v="10"/>
    <x v="5"/>
    <m/>
    <m/>
    <m/>
    <n v="12"/>
  </r>
  <r>
    <x v="10"/>
    <x v="0"/>
    <x v="10"/>
    <x v="6"/>
    <m/>
    <m/>
    <m/>
    <m/>
  </r>
  <r>
    <x v="9"/>
    <x v="0"/>
    <x v="10"/>
    <x v="1"/>
    <m/>
    <n v="1107"/>
    <m/>
    <m/>
  </r>
  <r>
    <x v="9"/>
    <x v="0"/>
    <x v="10"/>
    <x v="2"/>
    <m/>
    <n v="458"/>
    <m/>
    <m/>
  </r>
  <r>
    <x v="9"/>
    <x v="0"/>
    <x v="10"/>
    <x v="3"/>
    <m/>
    <n v="298"/>
    <m/>
    <m/>
  </r>
  <r>
    <x v="9"/>
    <x v="1"/>
    <x v="10"/>
    <x v="1"/>
    <m/>
    <n v="1273"/>
    <m/>
    <m/>
  </r>
  <r>
    <x v="9"/>
    <x v="1"/>
    <x v="10"/>
    <x v="2"/>
    <m/>
    <n v="441"/>
    <m/>
    <m/>
  </r>
  <r>
    <x v="9"/>
    <x v="1"/>
    <x v="10"/>
    <x v="3"/>
    <m/>
    <n v="307"/>
    <m/>
    <m/>
  </r>
  <r>
    <x v="9"/>
    <x v="0"/>
    <x v="10"/>
    <x v="4"/>
    <m/>
    <m/>
    <m/>
    <n v="95"/>
  </r>
  <r>
    <x v="9"/>
    <x v="0"/>
    <x v="10"/>
    <x v="5"/>
    <m/>
    <m/>
    <m/>
    <n v="8"/>
  </r>
  <r>
    <x v="9"/>
    <x v="0"/>
    <x v="10"/>
    <x v="6"/>
    <m/>
    <m/>
    <m/>
    <m/>
  </r>
  <r>
    <x v="49"/>
    <x v="0"/>
    <x v="10"/>
    <x v="1"/>
    <m/>
    <n v="1005"/>
    <m/>
    <m/>
  </r>
  <r>
    <x v="49"/>
    <x v="0"/>
    <x v="10"/>
    <x v="2"/>
    <m/>
    <n v="238"/>
    <m/>
    <m/>
  </r>
  <r>
    <x v="49"/>
    <x v="0"/>
    <x v="10"/>
    <x v="3"/>
    <m/>
    <n v="130"/>
    <m/>
    <m/>
  </r>
  <r>
    <x v="49"/>
    <x v="1"/>
    <x v="10"/>
    <x v="1"/>
    <m/>
    <n v="1196"/>
    <m/>
    <m/>
  </r>
  <r>
    <x v="49"/>
    <x v="1"/>
    <x v="10"/>
    <x v="2"/>
    <m/>
    <n v="259"/>
    <m/>
    <m/>
  </r>
  <r>
    <x v="49"/>
    <x v="1"/>
    <x v="10"/>
    <x v="3"/>
    <m/>
    <n v="161"/>
    <m/>
    <m/>
  </r>
  <r>
    <x v="49"/>
    <x v="0"/>
    <x v="10"/>
    <x v="4"/>
    <m/>
    <m/>
    <m/>
    <n v="56"/>
  </r>
  <r>
    <x v="49"/>
    <x v="0"/>
    <x v="10"/>
    <x v="5"/>
    <m/>
    <m/>
    <m/>
    <n v="2"/>
  </r>
  <r>
    <x v="49"/>
    <x v="0"/>
    <x v="10"/>
    <x v="6"/>
    <m/>
    <m/>
    <m/>
    <m/>
  </r>
  <r>
    <x v="5"/>
    <x v="0"/>
    <x v="10"/>
    <x v="1"/>
    <m/>
    <n v="784"/>
    <m/>
    <m/>
  </r>
  <r>
    <x v="5"/>
    <x v="0"/>
    <x v="10"/>
    <x v="2"/>
    <m/>
    <n v="496"/>
    <m/>
    <m/>
  </r>
  <r>
    <x v="5"/>
    <x v="0"/>
    <x v="10"/>
    <x v="3"/>
    <m/>
    <n v="371"/>
    <m/>
    <m/>
  </r>
  <r>
    <x v="5"/>
    <x v="1"/>
    <x v="10"/>
    <x v="1"/>
    <m/>
    <n v="977"/>
    <m/>
    <m/>
  </r>
  <r>
    <x v="5"/>
    <x v="1"/>
    <x v="10"/>
    <x v="2"/>
    <m/>
    <n v="489"/>
    <m/>
    <m/>
  </r>
  <r>
    <x v="5"/>
    <x v="1"/>
    <x v="10"/>
    <x v="3"/>
    <m/>
    <n v="412"/>
    <m/>
    <m/>
  </r>
  <r>
    <x v="5"/>
    <x v="0"/>
    <x v="10"/>
    <x v="4"/>
    <m/>
    <m/>
    <m/>
    <n v="129"/>
  </r>
  <r>
    <x v="5"/>
    <x v="0"/>
    <x v="10"/>
    <x v="5"/>
    <m/>
    <m/>
    <m/>
    <n v="11"/>
  </r>
  <r>
    <x v="5"/>
    <x v="0"/>
    <x v="10"/>
    <x v="6"/>
    <m/>
    <m/>
    <m/>
    <m/>
  </r>
  <r>
    <x v="16"/>
    <x v="0"/>
    <x v="10"/>
    <x v="1"/>
    <m/>
    <n v="748"/>
    <m/>
    <m/>
  </r>
  <r>
    <x v="16"/>
    <x v="0"/>
    <x v="10"/>
    <x v="2"/>
    <m/>
    <n v="426"/>
    <m/>
    <m/>
  </r>
  <r>
    <x v="16"/>
    <x v="0"/>
    <x v="10"/>
    <x v="3"/>
    <m/>
    <n v="367"/>
    <m/>
    <m/>
  </r>
  <r>
    <x v="16"/>
    <x v="1"/>
    <x v="10"/>
    <x v="1"/>
    <m/>
    <n v="829"/>
    <m/>
    <m/>
  </r>
  <r>
    <x v="16"/>
    <x v="1"/>
    <x v="10"/>
    <x v="2"/>
    <m/>
    <n v="404"/>
    <m/>
    <m/>
  </r>
  <r>
    <x v="16"/>
    <x v="1"/>
    <x v="10"/>
    <x v="3"/>
    <m/>
    <n v="294"/>
    <m/>
    <m/>
  </r>
  <r>
    <x v="16"/>
    <x v="0"/>
    <x v="10"/>
    <x v="4"/>
    <m/>
    <m/>
    <m/>
    <n v="95"/>
  </r>
  <r>
    <x v="16"/>
    <x v="0"/>
    <x v="10"/>
    <x v="5"/>
    <m/>
    <m/>
    <m/>
    <n v="8"/>
  </r>
  <r>
    <x v="16"/>
    <x v="0"/>
    <x v="10"/>
    <x v="6"/>
    <m/>
    <m/>
    <m/>
    <m/>
  </r>
  <r>
    <x v="17"/>
    <x v="0"/>
    <x v="10"/>
    <x v="1"/>
    <m/>
    <n v="1058"/>
    <m/>
    <m/>
  </r>
  <r>
    <x v="17"/>
    <x v="0"/>
    <x v="10"/>
    <x v="2"/>
    <m/>
    <n v="470"/>
    <m/>
    <m/>
  </r>
  <r>
    <x v="17"/>
    <x v="0"/>
    <x v="10"/>
    <x v="3"/>
    <m/>
    <n v="310"/>
    <m/>
    <m/>
  </r>
  <r>
    <x v="17"/>
    <x v="1"/>
    <x v="10"/>
    <x v="1"/>
    <m/>
    <n v="1168"/>
    <m/>
    <m/>
  </r>
  <r>
    <x v="17"/>
    <x v="1"/>
    <x v="10"/>
    <x v="2"/>
    <m/>
    <n v="441"/>
    <m/>
    <m/>
  </r>
  <r>
    <x v="17"/>
    <x v="1"/>
    <x v="10"/>
    <x v="3"/>
    <m/>
    <n v="347"/>
    <m/>
    <m/>
  </r>
  <r>
    <x v="17"/>
    <x v="0"/>
    <x v="10"/>
    <x v="4"/>
    <m/>
    <m/>
    <m/>
    <n v="101"/>
  </r>
  <r>
    <x v="17"/>
    <x v="0"/>
    <x v="10"/>
    <x v="5"/>
    <m/>
    <m/>
    <m/>
    <n v="7"/>
  </r>
  <r>
    <x v="17"/>
    <x v="0"/>
    <x v="10"/>
    <x v="6"/>
    <m/>
    <m/>
    <m/>
    <m/>
  </r>
  <r>
    <x v="13"/>
    <x v="0"/>
    <x v="10"/>
    <x v="1"/>
    <m/>
    <n v="1212"/>
    <m/>
    <m/>
  </r>
  <r>
    <x v="13"/>
    <x v="0"/>
    <x v="10"/>
    <x v="2"/>
    <m/>
    <n v="419"/>
    <m/>
    <m/>
  </r>
  <r>
    <x v="13"/>
    <x v="0"/>
    <x v="10"/>
    <x v="3"/>
    <m/>
    <n v="316"/>
    <m/>
    <m/>
  </r>
  <r>
    <x v="13"/>
    <x v="1"/>
    <x v="10"/>
    <x v="1"/>
    <m/>
    <n v="1444"/>
    <m/>
    <m/>
  </r>
  <r>
    <x v="13"/>
    <x v="1"/>
    <x v="10"/>
    <x v="2"/>
    <m/>
    <n v="448"/>
    <m/>
    <m/>
  </r>
  <r>
    <x v="13"/>
    <x v="1"/>
    <x v="10"/>
    <x v="3"/>
    <m/>
    <n v="265"/>
    <m/>
    <m/>
  </r>
  <r>
    <x v="13"/>
    <x v="0"/>
    <x v="10"/>
    <x v="4"/>
    <m/>
    <m/>
    <m/>
    <n v="85"/>
  </r>
  <r>
    <x v="13"/>
    <x v="0"/>
    <x v="10"/>
    <x v="5"/>
    <m/>
    <m/>
    <m/>
    <n v="12"/>
  </r>
  <r>
    <x v="13"/>
    <x v="0"/>
    <x v="10"/>
    <x v="6"/>
    <m/>
    <m/>
    <m/>
    <m/>
  </r>
  <r>
    <x v="40"/>
    <x v="0"/>
    <x v="10"/>
    <x v="1"/>
    <m/>
    <n v="643"/>
    <m/>
    <m/>
  </r>
  <r>
    <x v="40"/>
    <x v="0"/>
    <x v="10"/>
    <x v="2"/>
    <m/>
    <n v="258"/>
    <m/>
    <m/>
  </r>
  <r>
    <x v="40"/>
    <x v="0"/>
    <x v="10"/>
    <x v="3"/>
    <m/>
    <n v="131"/>
    <m/>
    <m/>
  </r>
  <r>
    <x v="40"/>
    <x v="1"/>
    <x v="10"/>
    <x v="1"/>
    <m/>
    <n v="673"/>
    <m/>
    <m/>
  </r>
  <r>
    <x v="40"/>
    <x v="1"/>
    <x v="10"/>
    <x v="2"/>
    <m/>
    <n v="242"/>
    <m/>
    <m/>
  </r>
  <r>
    <x v="40"/>
    <x v="1"/>
    <x v="10"/>
    <x v="3"/>
    <m/>
    <n v="135"/>
    <m/>
    <m/>
  </r>
  <r>
    <x v="40"/>
    <x v="0"/>
    <x v="10"/>
    <x v="4"/>
    <m/>
    <m/>
    <m/>
    <n v="45"/>
  </r>
  <r>
    <x v="40"/>
    <x v="0"/>
    <x v="10"/>
    <x v="5"/>
    <m/>
    <m/>
    <m/>
    <n v="5"/>
  </r>
  <r>
    <x v="40"/>
    <x v="0"/>
    <x v="10"/>
    <x v="6"/>
    <m/>
    <m/>
    <m/>
    <m/>
  </r>
  <r>
    <x v="26"/>
    <x v="0"/>
    <x v="10"/>
    <x v="1"/>
    <m/>
    <n v="479"/>
    <m/>
    <m/>
  </r>
  <r>
    <x v="26"/>
    <x v="0"/>
    <x v="10"/>
    <x v="2"/>
    <m/>
    <n v="320"/>
    <m/>
    <m/>
  </r>
  <r>
    <x v="26"/>
    <x v="0"/>
    <x v="10"/>
    <x v="3"/>
    <m/>
    <n v="298"/>
    <m/>
    <m/>
  </r>
  <r>
    <x v="26"/>
    <x v="1"/>
    <x v="10"/>
    <x v="1"/>
    <m/>
    <n v="549"/>
    <m/>
    <m/>
  </r>
  <r>
    <x v="26"/>
    <x v="1"/>
    <x v="10"/>
    <x v="2"/>
    <m/>
    <n v="351"/>
    <m/>
    <m/>
  </r>
  <r>
    <x v="26"/>
    <x v="1"/>
    <x v="10"/>
    <x v="3"/>
    <m/>
    <n v="286"/>
    <m/>
    <m/>
  </r>
  <r>
    <x v="26"/>
    <x v="0"/>
    <x v="10"/>
    <x v="4"/>
    <m/>
    <m/>
    <m/>
    <n v="91"/>
  </r>
  <r>
    <x v="26"/>
    <x v="0"/>
    <x v="10"/>
    <x v="5"/>
    <m/>
    <m/>
    <m/>
    <n v="8"/>
  </r>
  <r>
    <x v="26"/>
    <x v="0"/>
    <x v="10"/>
    <x v="6"/>
    <m/>
    <m/>
    <m/>
    <m/>
  </r>
  <r>
    <x v="11"/>
    <x v="0"/>
    <x v="10"/>
    <x v="1"/>
    <m/>
    <n v="1050"/>
    <m/>
    <m/>
  </r>
  <r>
    <x v="11"/>
    <x v="0"/>
    <x v="10"/>
    <x v="2"/>
    <m/>
    <n v="461"/>
    <m/>
    <m/>
  </r>
  <r>
    <x v="11"/>
    <x v="0"/>
    <x v="10"/>
    <x v="3"/>
    <m/>
    <n v="423"/>
    <m/>
    <m/>
  </r>
  <r>
    <x v="11"/>
    <x v="1"/>
    <x v="10"/>
    <x v="1"/>
    <m/>
    <n v="1247"/>
    <m/>
    <m/>
  </r>
  <r>
    <x v="11"/>
    <x v="1"/>
    <x v="10"/>
    <x v="2"/>
    <m/>
    <n v="519"/>
    <m/>
    <m/>
  </r>
  <r>
    <x v="11"/>
    <x v="1"/>
    <x v="10"/>
    <x v="3"/>
    <m/>
    <n v="378"/>
    <m/>
    <m/>
  </r>
  <r>
    <x v="11"/>
    <x v="0"/>
    <x v="10"/>
    <x v="4"/>
    <m/>
    <m/>
    <m/>
    <n v="131"/>
  </r>
  <r>
    <x v="11"/>
    <x v="0"/>
    <x v="10"/>
    <x v="5"/>
    <m/>
    <m/>
    <m/>
    <n v="14"/>
  </r>
  <r>
    <x v="11"/>
    <x v="0"/>
    <x v="10"/>
    <x v="6"/>
    <m/>
    <m/>
    <m/>
    <m/>
  </r>
  <r>
    <x v="31"/>
    <x v="0"/>
    <x v="10"/>
    <x v="1"/>
    <m/>
    <n v="664"/>
    <m/>
    <m/>
  </r>
  <r>
    <x v="31"/>
    <x v="0"/>
    <x v="10"/>
    <x v="2"/>
    <m/>
    <n v="320"/>
    <m/>
    <m/>
  </r>
  <r>
    <x v="31"/>
    <x v="0"/>
    <x v="10"/>
    <x v="3"/>
    <m/>
    <n v="212"/>
    <m/>
    <m/>
  </r>
  <r>
    <x v="31"/>
    <x v="1"/>
    <x v="10"/>
    <x v="1"/>
    <m/>
    <n v="686"/>
    <m/>
    <m/>
  </r>
  <r>
    <x v="31"/>
    <x v="1"/>
    <x v="10"/>
    <x v="2"/>
    <m/>
    <n v="261"/>
    <m/>
    <m/>
  </r>
  <r>
    <x v="31"/>
    <x v="1"/>
    <x v="10"/>
    <x v="3"/>
    <m/>
    <n v="193"/>
    <m/>
    <m/>
  </r>
  <r>
    <x v="31"/>
    <x v="0"/>
    <x v="10"/>
    <x v="4"/>
    <m/>
    <m/>
    <m/>
    <n v="63"/>
  </r>
  <r>
    <x v="31"/>
    <x v="0"/>
    <x v="10"/>
    <x v="5"/>
    <m/>
    <m/>
    <m/>
    <n v="13"/>
  </r>
  <r>
    <x v="31"/>
    <x v="0"/>
    <x v="10"/>
    <x v="6"/>
    <m/>
    <m/>
    <m/>
    <m/>
  </r>
  <r>
    <x v="7"/>
    <x v="0"/>
    <x v="10"/>
    <x v="1"/>
    <m/>
    <n v="931"/>
    <m/>
    <m/>
  </r>
  <r>
    <x v="7"/>
    <x v="0"/>
    <x v="10"/>
    <x v="2"/>
    <m/>
    <n v="531"/>
    <m/>
    <m/>
  </r>
  <r>
    <x v="7"/>
    <x v="0"/>
    <x v="10"/>
    <x v="3"/>
    <m/>
    <n v="364"/>
    <m/>
    <m/>
  </r>
  <r>
    <x v="7"/>
    <x v="1"/>
    <x v="10"/>
    <x v="1"/>
    <m/>
    <n v="1176"/>
    <m/>
    <m/>
  </r>
  <r>
    <x v="7"/>
    <x v="1"/>
    <x v="10"/>
    <x v="2"/>
    <m/>
    <n v="522"/>
    <m/>
    <m/>
  </r>
  <r>
    <x v="7"/>
    <x v="1"/>
    <x v="10"/>
    <x v="3"/>
    <m/>
    <n v="361"/>
    <m/>
    <m/>
  </r>
  <r>
    <x v="7"/>
    <x v="0"/>
    <x v="10"/>
    <x v="4"/>
    <m/>
    <m/>
    <m/>
    <n v="149"/>
  </r>
  <r>
    <x v="7"/>
    <x v="0"/>
    <x v="10"/>
    <x v="5"/>
    <m/>
    <m/>
    <m/>
    <n v="10"/>
  </r>
  <r>
    <x v="7"/>
    <x v="0"/>
    <x v="10"/>
    <x v="6"/>
    <m/>
    <m/>
    <m/>
    <m/>
  </r>
  <r>
    <x v="2"/>
    <x v="0"/>
    <x v="10"/>
    <x v="1"/>
    <m/>
    <n v="1413"/>
    <m/>
    <m/>
  </r>
  <r>
    <x v="2"/>
    <x v="0"/>
    <x v="10"/>
    <x v="2"/>
    <m/>
    <n v="559"/>
    <m/>
    <m/>
  </r>
  <r>
    <x v="2"/>
    <x v="0"/>
    <x v="10"/>
    <x v="3"/>
    <m/>
    <n v="444"/>
    <m/>
    <m/>
  </r>
  <r>
    <x v="2"/>
    <x v="1"/>
    <x v="10"/>
    <x v="1"/>
    <m/>
    <n v="1720"/>
    <m/>
    <m/>
  </r>
  <r>
    <x v="2"/>
    <x v="1"/>
    <x v="10"/>
    <x v="2"/>
    <m/>
    <n v="625"/>
    <m/>
    <m/>
  </r>
  <r>
    <x v="2"/>
    <x v="1"/>
    <x v="10"/>
    <x v="3"/>
    <m/>
    <n v="487"/>
    <m/>
    <m/>
  </r>
  <r>
    <x v="2"/>
    <x v="0"/>
    <x v="10"/>
    <x v="4"/>
    <m/>
    <m/>
    <m/>
    <n v="174"/>
  </r>
  <r>
    <x v="2"/>
    <x v="0"/>
    <x v="10"/>
    <x v="5"/>
    <m/>
    <m/>
    <m/>
    <n v="16"/>
  </r>
  <r>
    <x v="2"/>
    <x v="0"/>
    <x v="10"/>
    <x v="6"/>
    <m/>
    <m/>
    <m/>
    <m/>
  </r>
  <r>
    <x v="22"/>
    <x v="0"/>
    <x v="10"/>
    <x v="1"/>
    <m/>
    <n v="724"/>
    <m/>
    <m/>
  </r>
  <r>
    <x v="22"/>
    <x v="0"/>
    <x v="10"/>
    <x v="2"/>
    <m/>
    <n v="310"/>
    <m/>
    <m/>
  </r>
  <r>
    <x v="22"/>
    <x v="0"/>
    <x v="10"/>
    <x v="3"/>
    <m/>
    <n v="232"/>
    <m/>
    <m/>
  </r>
  <r>
    <x v="22"/>
    <x v="1"/>
    <x v="10"/>
    <x v="1"/>
    <m/>
    <n v="986"/>
    <m/>
    <m/>
  </r>
  <r>
    <x v="22"/>
    <x v="1"/>
    <x v="10"/>
    <x v="2"/>
    <m/>
    <n v="353"/>
    <m/>
    <m/>
  </r>
  <r>
    <x v="22"/>
    <x v="1"/>
    <x v="10"/>
    <x v="3"/>
    <m/>
    <n v="262"/>
    <m/>
    <m/>
  </r>
  <r>
    <x v="22"/>
    <x v="0"/>
    <x v="10"/>
    <x v="4"/>
    <m/>
    <m/>
    <m/>
    <n v="65"/>
  </r>
  <r>
    <x v="22"/>
    <x v="0"/>
    <x v="10"/>
    <x v="5"/>
    <m/>
    <m/>
    <m/>
    <n v="4"/>
  </r>
  <r>
    <x v="22"/>
    <x v="0"/>
    <x v="10"/>
    <x v="6"/>
    <m/>
    <m/>
    <m/>
    <m/>
  </r>
  <r>
    <x v="48"/>
    <x v="0"/>
    <x v="10"/>
    <x v="1"/>
    <m/>
    <n v="966"/>
    <m/>
    <m/>
  </r>
  <r>
    <x v="48"/>
    <x v="0"/>
    <x v="10"/>
    <x v="2"/>
    <m/>
    <n v="252"/>
    <m/>
    <m/>
  </r>
  <r>
    <x v="48"/>
    <x v="0"/>
    <x v="10"/>
    <x v="3"/>
    <m/>
    <n v="175"/>
    <m/>
    <m/>
  </r>
  <r>
    <x v="48"/>
    <x v="1"/>
    <x v="10"/>
    <x v="1"/>
    <m/>
    <n v="1028"/>
    <m/>
    <m/>
  </r>
  <r>
    <x v="48"/>
    <x v="1"/>
    <x v="10"/>
    <x v="2"/>
    <m/>
    <n v="202"/>
    <m/>
    <m/>
  </r>
  <r>
    <x v="48"/>
    <x v="1"/>
    <x v="10"/>
    <x v="3"/>
    <m/>
    <n v="136"/>
    <m/>
    <m/>
  </r>
  <r>
    <x v="48"/>
    <x v="0"/>
    <x v="10"/>
    <x v="4"/>
    <m/>
    <m/>
    <m/>
    <n v="63"/>
  </r>
  <r>
    <x v="48"/>
    <x v="0"/>
    <x v="10"/>
    <x v="5"/>
    <m/>
    <m/>
    <m/>
    <n v="5"/>
  </r>
  <r>
    <x v="48"/>
    <x v="0"/>
    <x v="10"/>
    <x v="6"/>
    <m/>
    <m/>
    <m/>
    <m/>
  </r>
  <r>
    <x v="50"/>
    <x v="0"/>
    <x v="10"/>
    <x v="1"/>
    <m/>
    <n v="392"/>
    <m/>
    <m/>
  </r>
  <r>
    <x v="50"/>
    <x v="0"/>
    <x v="10"/>
    <x v="2"/>
    <m/>
    <n v="152"/>
    <m/>
    <m/>
  </r>
  <r>
    <x v="50"/>
    <x v="0"/>
    <x v="10"/>
    <x v="3"/>
    <m/>
    <n v="152"/>
    <m/>
    <m/>
  </r>
  <r>
    <x v="50"/>
    <x v="1"/>
    <x v="10"/>
    <x v="1"/>
    <m/>
    <n v="337"/>
    <m/>
    <m/>
  </r>
  <r>
    <x v="50"/>
    <x v="1"/>
    <x v="10"/>
    <x v="2"/>
    <m/>
    <n v="186"/>
    <m/>
    <m/>
  </r>
  <r>
    <x v="50"/>
    <x v="1"/>
    <x v="10"/>
    <x v="3"/>
    <m/>
    <n v="149"/>
    <m/>
    <m/>
  </r>
  <r>
    <x v="50"/>
    <x v="0"/>
    <x v="10"/>
    <x v="4"/>
    <m/>
    <m/>
    <m/>
    <n v="56"/>
  </r>
  <r>
    <x v="50"/>
    <x v="0"/>
    <x v="10"/>
    <x v="5"/>
    <m/>
    <m/>
    <m/>
    <n v="6"/>
  </r>
  <r>
    <x v="50"/>
    <x v="0"/>
    <x v="10"/>
    <x v="6"/>
    <m/>
    <m/>
    <m/>
    <m/>
  </r>
  <r>
    <x v="8"/>
    <x v="0"/>
    <x v="10"/>
    <x v="1"/>
    <m/>
    <n v="1089"/>
    <m/>
    <m/>
  </r>
  <r>
    <x v="8"/>
    <x v="0"/>
    <x v="10"/>
    <x v="2"/>
    <m/>
    <n v="525"/>
    <m/>
    <m/>
  </r>
  <r>
    <x v="8"/>
    <x v="0"/>
    <x v="10"/>
    <x v="3"/>
    <m/>
    <n v="404"/>
    <m/>
    <m/>
  </r>
  <r>
    <x v="8"/>
    <x v="1"/>
    <x v="10"/>
    <x v="1"/>
    <m/>
    <n v="1235"/>
    <m/>
    <m/>
  </r>
  <r>
    <x v="8"/>
    <x v="1"/>
    <x v="10"/>
    <x v="2"/>
    <m/>
    <n v="500"/>
    <m/>
    <m/>
  </r>
  <r>
    <x v="8"/>
    <x v="1"/>
    <x v="10"/>
    <x v="3"/>
    <m/>
    <n v="371"/>
    <m/>
    <m/>
  </r>
  <r>
    <x v="8"/>
    <x v="0"/>
    <x v="10"/>
    <x v="4"/>
    <m/>
    <m/>
    <m/>
    <n v="111"/>
  </r>
  <r>
    <x v="8"/>
    <x v="0"/>
    <x v="10"/>
    <x v="5"/>
    <m/>
    <m/>
    <m/>
    <n v="9"/>
  </r>
  <r>
    <x v="8"/>
    <x v="0"/>
    <x v="10"/>
    <x v="6"/>
    <m/>
    <m/>
    <m/>
    <m/>
  </r>
  <r>
    <x v="42"/>
    <x v="0"/>
    <x v="10"/>
    <x v="1"/>
    <m/>
    <n v="330"/>
    <m/>
    <m/>
  </r>
  <r>
    <x v="42"/>
    <x v="0"/>
    <x v="10"/>
    <x v="2"/>
    <m/>
    <n v="174"/>
    <m/>
    <m/>
  </r>
  <r>
    <x v="42"/>
    <x v="0"/>
    <x v="10"/>
    <x v="3"/>
    <m/>
    <n v="152"/>
    <m/>
    <m/>
  </r>
  <r>
    <x v="42"/>
    <x v="1"/>
    <x v="10"/>
    <x v="1"/>
    <m/>
    <n v="357"/>
    <m/>
    <m/>
  </r>
  <r>
    <x v="42"/>
    <x v="1"/>
    <x v="10"/>
    <x v="2"/>
    <m/>
    <n v="205"/>
    <m/>
    <m/>
  </r>
  <r>
    <x v="42"/>
    <x v="1"/>
    <x v="10"/>
    <x v="3"/>
    <m/>
    <n v="151"/>
    <m/>
    <m/>
  </r>
  <r>
    <x v="42"/>
    <x v="0"/>
    <x v="10"/>
    <x v="4"/>
    <m/>
    <m/>
    <m/>
    <n v="32"/>
  </r>
  <r>
    <x v="42"/>
    <x v="0"/>
    <x v="10"/>
    <x v="5"/>
    <m/>
    <m/>
    <m/>
    <n v="5"/>
  </r>
  <r>
    <x v="42"/>
    <x v="0"/>
    <x v="10"/>
    <x v="6"/>
    <m/>
    <m/>
    <m/>
    <m/>
  </r>
  <r>
    <x v="46"/>
    <x v="0"/>
    <x v="10"/>
    <x v="1"/>
    <m/>
    <n v="324"/>
    <m/>
    <m/>
  </r>
  <r>
    <x v="46"/>
    <x v="0"/>
    <x v="10"/>
    <x v="2"/>
    <m/>
    <n v="143"/>
    <m/>
    <m/>
  </r>
  <r>
    <x v="46"/>
    <x v="0"/>
    <x v="10"/>
    <x v="3"/>
    <m/>
    <n v="126"/>
    <m/>
    <m/>
  </r>
  <r>
    <x v="46"/>
    <x v="1"/>
    <x v="10"/>
    <x v="1"/>
    <m/>
    <n v="365"/>
    <m/>
    <m/>
  </r>
  <r>
    <x v="46"/>
    <x v="1"/>
    <x v="10"/>
    <x v="2"/>
    <m/>
    <n v="157"/>
    <m/>
    <m/>
  </r>
  <r>
    <x v="46"/>
    <x v="1"/>
    <x v="10"/>
    <x v="3"/>
    <m/>
    <n v="108"/>
    <m/>
    <m/>
  </r>
  <r>
    <x v="46"/>
    <x v="0"/>
    <x v="10"/>
    <x v="4"/>
    <m/>
    <m/>
    <m/>
    <n v="24"/>
  </r>
  <r>
    <x v="46"/>
    <x v="0"/>
    <x v="10"/>
    <x v="5"/>
    <m/>
    <m/>
    <m/>
    <n v="3"/>
  </r>
  <r>
    <x v="46"/>
    <x v="0"/>
    <x v="10"/>
    <x v="6"/>
    <m/>
    <m/>
    <m/>
    <m/>
  </r>
  <r>
    <x v="38"/>
    <x v="0"/>
    <x v="10"/>
    <x v="1"/>
    <m/>
    <n v="243"/>
    <m/>
    <m/>
  </r>
  <r>
    <x v="38"/>
    <x v="0"/>
    <x v="10"/>
    <x v="2"/>
    <m/>
    <n v="202"/>
    <m/>
    <m/>
  </r>
  <r>
    <x v="38"/>
    <x v="0"/>
    <x v="10"/>
    <x v="3"/>
    <m/>
    <n v="159"/>
    <m/>
    <m/>
  </r>
  <r>
    <x v="38"/>
    <x v="1"/>
    <x v="10"/>
    <x v="1"/>
    <m/>
    <n v="390"/>
    <m/>
    <m/>
  </r>
  <r>
    <x v="38"/>
    <x v="1"/>
    <x v="10"/>
    <x v="2"/>
    <m/>
    <n v="238"/>
    <m/>
    <m/>
  </r>
  <r>
    <x v="38"/>
    <x v="1"/>
    <x v="10"/>
    <x v="3"/>
    <m/>
    <n v="159"/>
    <m/>
    <m/>
  </r>
  <r>
    <x v="38"/>
    <x v="0"/>
    <x v="10"/>
    <x v="4"/>
    <m/>
    <m/>
    <m/>
    <n v="42"/>
  </r>
  <r>
    <x v="38"/>
    <x v="0"/>
    <x v="10"/>
    <x v="5"/>
    <m/>
    <m/>
    <m/>
    <n v="4"/>
  </r>
  <r>
    <x v="38"/>
    <x v="0"/>
    <x v="10"/>
    <x v="6"/>
    <m/>
    <m/>
    <m/>
    <m/>
  </r>
  <r>
    <x v="3"/>
    <x v="0"/>
    <x v="10"/>
    <x v="1"/>
    <m/>
    <n v="1211"/>
    <m/>
    <m/>
  </r>
  <r>
    <x v="3"/>
    <x v="0"/>
    <x v="10"/>
    <x v="2"/>
    <m/>
    <n v="508"/>
    <m/>
    <m/>
  </r>
  <r>
    <x v="3"/>
    <x v="0"/>
    <x v="10"/>
    <x v="3"/>
    <m/>
    <n v="381"/>
    <m/>
    <m/>
  </r>
  <r>
    <x v="3"/>
    <x v="1"/>
    <x v="10"/>
    <x v="1"/>
    <m/>
    <n v="1373"/>
    <m/>
    <m/>
  </r>
  <r>
    <x v="3"/>
    <x v="1"/>
    <x v="10"/>
    <x v="2"/>
    <m/>
    <n v="487"/>
    <m/>
    <m/>
  </r>
  <r>
    <x v="3"/>
    <x v="1"/>
    <x v="10"/>
    <x v="3"/>
    <m/>
    <n v="430"/>
    <m/>
    <m/>
  </r>
  <r>
    <x v="3"/>
    <x v="0"/>
    <x v="10"/>
    <x v="4"/>
    <m/>
    <m/>
    <m/>
    <n v="123"/>
  </r>
  <r>
    <x v="3"/>
    <x v="0"/>
    <x v="10"/>
    <x v="5"/>
    <m/>
    <m/>
    <m/>
    <n v="6"/>
  </r>
  <r>
    <x v="3"/>
    <x v="0"/>
    <x v="10"/>
    <x v="6"/>
    <m/>
    <m/>
    <m/>
    <m/>
  </r>
  <r>
    <x v="12"/>
    <x v="0"/>
    <x v="10"/>
    <x v="1"/>
    <m/>
    <n v="968"/>
    <m/>
    <m/>
  </r>
  <r>
    <x v="12"/>
    <x v="0"/>
    <x v="10"/>
    <x v="2"/>
    <m/>
    <n v="434"/>
    <m/>
    <m/>
  </r>
  <r>
    <x v="12"/>
    <x v="0"/>
    <x v="10"/>
    <x v="3"/>
    <m/>
    <n v="389"/>
    <m/>
    <m/>
  </r>
  <r>
    <x v="12"/>
    <x v="1"/>
    <x v="10"/>
    <x v="1"/>
    <m/>
    <n v="1181"/>
    <m/>
    <m/>
  </r>
  <r>
    <x v="12"/>
    <x v="1"/>
    <x v="10"/>
    <x v="2"/>
    <m/>
    <n v="461"/>
    <m/>
    <m/>
  </r>
  <r>
    <x v="12"/>
    <x v="1"/>
    <x v="10"/>
    <x v="3"/>
    <m/>
    <n v="371"/>
    <m/>
    <m/>
  </r>
  <r>
    <x v="12"/>
    <x v="0"/>
    <x v="10"/>
    <x v="4"/>
    <m/>
    <m/>
    <m/>
    <n v="115"/>
  </r>
  <r>
    <x v="12"/>
    <x v="0"/>
    <x v="10"/>
    <x v="5"/>
    <m/>
    <m/>
    <m/>
    <n v="4"/>
  </r>
  <r>
    <x v="12"/>
    <x v="0"/>
    <x v="10"/>
    <x v="6"/>
    <m/>
    <m/>
    <m/>
    <m/>
  </r>
  <r>
    <x v="34"/>
    <x v="0"/>
    <x v="10"/>
    <x v="1"/>
    <m/>
    <n v="886"/>
    <m/>
    <m/>
  </r>
  <r>
    <x v="34"/>
    <x v="0"/>
    <x v="10"/>
    <x v="2"/>
    <m/>
    <n v="327"/>
    <m/>
    <m/>
  </r>
  <r>
    <x v="34"/>
    <x v="0"/>
    <x v="10"/>
    <x v="3"/>
    <m/>
    <n v="237"/>
    <m/>
    <m/>
  </r>
  <r>
    <x v="34"/>
    <x v="1"/>
    <x v="10"/>
    <x v="1"/>
    <m/>
    <n v="1063"/>
    <m/>
    <m/>
  </r>
  <r>
    <x v="34"/>
    <x v="1"/>
    <x v="10"/>
    <x v="2"/>
    <m/>
    <n v="298"/>
    <m/>
    <m/>
  </r>
  <r>
    <x v="34"/>
    <x v="1"/>
    <x v="10"/>
    <x v="3"/>
    <m/>
    <n v="205"/>
    <m/>
    <m/>
  </r>
  <r>
    <x v="34"/>
    <x v="0"/>
    <x v="10"/>
    <x v="4"/>
    <m/>
    <m/>
    <m/>
    <n v="60"/>
  </r>
  <r>
    <x v="34"/>
    <x v="0"/>
    <x v="10"/>
    <x v="5"/>
    <m/>
    <m/>
    <m/>
    <n v="0"/>
  </r>
  <r>
    <x v="34"/>
    <x v="0"/>
    <x v="10"/>
    <x v="6"/>
    <m/>
    <m/>
    <m/>
    <m/>
  </r>
  <r>
    <x v="0"/>
    <x v="0"/>
    <x v="10"/>
    <x v="1"/>
    <m/>
    <n v="1974"/>
    <m/>
    <m/>
  </r>
  <r>
    <x v="0"/>
    <x v="0"/>
    <x v="10"/>
    <x v="2"/>
    <m/>
    <n v="904"/>
    <m/>
    <m/>
  </r>
  <r>
    <x v="0"/>
    <x v="0"/>
    <x v="10"/>
    <x v="3"/>
    <m/>
    <n v="698"/>
    <m/>
    <m/>
  </r>
  <r>
    <x v="0"/>
    <x v="1"/>
    <x v="10"/>
    <x v="1"/>
    <m/>
    <n v="2302"/>
    <m/>
    <m/>
  </r>
  <r>
    <x v="0"/>
    <x v="1"/>
    <x v="10"/>
    <x v="2"/>
    <m/>
    <n v="868"/>
    <m/>
    <m/>
  </r>
  <r>
    <x v="0"/>
    <x v="1"/>
    <x v="10"/>
    <x v="3"/>
    <m/>
    <n v="619"/>
    <m/>
    <m/>
  </r>
  <r>
    <x v="0"/>
    <x v="0"/>
    <x v="10"/>
    <x v="4"/>
    <m/>
    <m/>
    <m/>
    <n v="165"/>
  </r>
  <r>
    <x v="0"/>
    <x v="0"/>
    <x v="10"/>
    <x v="5"/>
    <m/>
    <m/>
    <m/>
    <n v="13"/>
  </r>
  <r>
    <x v="0"/>
    <x v="0"/>
    <x v="10"/>
    <x v="6"/>
    <m/>
    <m/>
    <m/>
    <m/>
  </r>
  <r>
    <x v="39"/>
    <x v="0"/>
    <x v="10"/>
    <x v="1"/>
    <m/>
    <n v="332"/>
    <m/>
    <m/>
  </r>
  <r>
    <x v="39"/>
    <x v="0"/>
    <x v="10"/>
    <x v="2"/>
    <m/>
    <n v="220"/>
    <m/>
    <m/>
  </r>
  <r>
    <x v="39"/>
    <x v="0"/>
    <x v="10"/>
    <x v="3"/>
    <m/>
    <n v="219"/>
    <m/>
    <m/>
  </r>
  <r>
    <x v="39"/>
    <x v="1"/>
    <x v="10"/>
    <x v="1"/>
    <m/>
    <n v="385"/>
    <m/>
    <m/>
  </r>
  <r>
    <x v="39"/>
    <x v="1"/>
    <x v="10"/>
    <x v="2"/>
    <m/>
    <n v="219"/>
    <m/>
    <m/>
  </r>
  <r>
    <x v="39"/>
    <x v="1"/>
    <x v="10"/>
    <x v="3"/>
    <m/>
    <n v="184"/>
    <m/>
    <m/>
  </r>
  <r>
    <x v="39"/>
    <x v="0"/>
    <x v="10"/>
    <x v="4"/>
    <m/>
    <m/>
    <m/>
    <n v="68"/>
  </r>
  <r>
    <x v="39"/>
    <x v="0"/>
    <x v="10"/>
    <x v="5"/>
    <m/>
    <m/>
    <m/>
    <n v="4"/>
  </r>
  <r>
    <x v="39"/>
    <x v="0"/>
    <x v="10"/>
    <x v="6"/>
    <m/>
    <m/>
    <m/>
    <m/>
  </r>
  <r>
    <x v="51"/>
    <x v="0"/>
    <x v="10"/>
    <x v="1"/>
    <m/>
    <n v="308"/>
    <m/>
    <m/>
  </r>
  <r>
    <x v="51"/>
    <x v="0"/>
    <x v="10"/>
    <x v="2"/>
    <m/>
    <n v="187"/>
    <m/>
    <m/>
  </r>
  <r>
    <x v="51"/>
    <x v="0"/>
    <x v="10"/>
    <x v="3"/>
    <m/>
    <n v="127"/>
    <m/>
    <m/>
  </r>
  <r>
    <x v="51"/>
    <x v="1"/>
    <x v="10"/>
    <x v="1"/>
    <m/>
    <n v="333"/>
    <m/>
    <m/>
  </r>
  <r>
    <x v="51"/>
    <x v="1"/>
    <x v="10"/>
    <x v="2"/>
    <m/>
    <n v="129"/>
    <m/>
    <m/>
  </r>
  <r>
    <x v="51"/>
    <x v="1"/>
    <x v="10"/>
    <x v="3"/>
    <m/>
    <n v="74"/>
    <m/>
    <m/>
  </r>
  <r>
    <x v="51"/>
    <x v="0"/>
    <x v="10"/>
    <x v="4"/>
    <m/>
    <m/>
    <m/>
    <n v="32"/>
  </r>
  <r>
    <x v="51"/>
    <x v="0"/>
    <x v="10"/>
    <x v="5"/>
    <m/>
    <m/>
    <m/>
    <n v="2"/>
  </r>
  <r>
    <x v="51"/>
    <x v="0"/>
    <x v="10"/>
    <x v="6"/>
    <m/>
    <m/>
    <m/>
    <m/>
  </r>
  <r>
    <x v="43"/>
    <x v="0"/>
    <x v="10"/>
    <x v="1"/>
    <m/>
    <n v="555"/>
    <m/>
    <m/>
  </r>
  <r>
    <x v="43"/>
    <x v="0"/>
    <x v="10"/>
    <x v="2"/>
    <m/>
    <n v="273"/>
    <m/>
    <m/>
  </r>
  <r>
    <x v="43"/>
    <x v="0"/>
    <x v="10"/>
    <x v="3"/>
    <m/>
    <n v="214"/>
    <m/>
    <m/>
  </r>
  <r>
    <x v="43"/>
    <x v="1"/>
    <x v="10"/>
    <x v="1"/>
    <m/>
    <n v="629"/>
    <m/>
    <m/>
  </r>
  <r>
    <x v="43"/>
    <x v="1"/>
    <x v="10"/>
    <x v="2"/>
    <m/>
    <n v="271"/>
    <m/>
    <m/>
  </r>
  <r>
    <x v="43"/>
    <x v="1"/>
    <x v="10"/>
    <x v="3"/>
    <m/>
    <n v="202"/>
    <m/>
    <m/>
  </r>
  <r>
    <x v="43"/>
    <x v="0"/>
    <x v="10"/>
    <x v="4"/>
    <m/>
    <m/>
    <m/>
    <n v="39"/>
  </r>
  <r>
    <x v="43"/>
    <x v="0"/>
    <x v="10"/>
    <x v="5"/>
    <m/>
    <m/>
    <m/>
    <n v="2"/>
  </r>
  <r>
    <x v="43"/>
    <x v="0"/>
    <x v="10"/>
    <x v="6"/>
    <m/>
    <m/>
    <m/>
    <m/>
  </r>
  <r>
    <x v="1"/>
    <x v="0"/>
    <x v="10"/>
    <x v="1"/>
    <m/>
    <n v="1221"/>
    <m/>
    <m/>
  </r>
  <r>
    <x v="1"/>
    <x v="0"/>
    <x v="10"/>
    <x v="2"/>
    <m/>
    <n v="625"/>
    <m/>
    <m/>
  </r>
  <r>
    <x v="1"/>
    <x v="0"/>
    <x v="10"/>
    <x v="3"/>
    <m/>
    <n v="503"/>
    <m/>
    <m/>
  </r>
  <r>
    <x v="1"/>
    <x v="1"/>
    <x v="10"/>
    <x v="1"/>
    <m/>
    <n v="1045"/>
    <m/>
    <m/>
  </r>
  <r>
    <x v="1"/>
    <x v="1"/>
    <x v="10"/>
    <x v="2"/>
    <m/>
    <n v="456"/>
    <m/>
    <m/>
  </r>
  <r>
    <x v="1"/>
    <x v="1"/>
    <x v="10"/>
    <x v="3"/>
    <m/>
    <n v="298"/>
    <m/>
    <m/>
  </r>
  <r>
    <x v="1"/>
    <x v="0"/>
    <x v="10"/>
    <x v="4"/>
    <m/>
    <m/>
    <m/>
    <n v="171"/>
  </r>
  <r>
    <x v="1"/>
    <x v="0"/>
    <x v="10"/>
    <x v="5"/>
    <m/>
    <m/>
    <m/>
    <n v="10"/>
  </r>
  <r>
    <x v="1"/>
    <x v="0"/>
    <x v="10"/>
    <x v="6"/>
    <m/>
    <m/>
    <m/>
    <m/>
  </r>
  <r>
    <x v="18"/>
    <x v="0"/>
    <x v="10"/>
    <x v="1"/>
    <m/>
    <n v="685"/>
    <m/>
    <m/>
  </r>
  <r>
    <x v="18"/>
    <x v="0"/>
    <x v="10"/>
    <x v="2"/>
    <m/>
    <n v="414"/>
    <m/>
    <m/>
  </r>
  <r>
    <x v="18"/>
    <x v="0"/>
    <x v="10"/>
    <x v="3"/>
    <m/>
    <n v="337"/>
    <m/>
    <m/>
  </r>
  <r>
    <x v="18"/>
    <x v="1"/>
    <x v="10"/>
    <x v="1"/>
    <m/>
    <n v="685"/>
    <m/>
    <m/>
  </r>
  <r>
    <x v="18"/>
    <x v="1"/>
    <x v="10"/>
    <x v="2"/>
    <m/>
    <n v="376"/>
    <m/>
    <m/>
  </r>
  <r>
    <x v="18"/>
    <x v="1"/>
    <x v="10"/>
    <x v="3"/>
    <m/>
    <n v="298"/>
    <m/>
    <m/>
  </r>
  <r>
    <x v="18"/>
    <x v="0"/>
    <x v="10"/>
    <x v="4"/>
    <m/>
    <m/>
    <m/>
    <n v="104"/>
  </r>
  <r>
    <x v="18"/>
    <x v="0"/>
    <x v="10"/>
    <x v="5"/>
    <m/>
    <m/>
    <m/>
    <n v="8"/>
  </r>
  <r>
    <x v="18"/>
    <x v="0"/>
    <x v="10"/>
    <x v="6"/>
    <m/>
    <m/>
    <m/>
    <m/>
  </r>
  <r>
    <x v="52"/>
    <x v="0"/>
    <x v="10"/>
    <x v="1"/>
    <m/>
    <n v="217"/>
    <m/>
    <m/>
  </r>
  <r>
    <x v="52"/>
    <x v="0"/>
    <x v="10"/>
    <x v="2"/>
    <m/>
    <n v="70"/>
    <m/>
    <m/>
  </r>
  <r>
    <x v="52"/>
    <x v="0"/>
    <x v="10"/>
    <x v="3"/>
    <m/>
    <n v="50"/>
    <m/>
    <m/>
  </r>
  <r>
    <x v="52"/>
    <x v="1"/>
    <x v="10"/>
    <x v="1"/>
    <m/>
    <n v="158"/>
    <m/>
    <m/>
  </r>
  <r>
    <x v="52"/>
    <x v="1"/>
    <x v="10"/>
    <x v="2"/>
    <m/>
    <n v="74"/>
    <m/>
    <m/>
  </r>
  <r>
    <x v="52"/>
    <x v="1"/>
    <x v="10"/>
    <x v="3"/>
    <m/>
    <n v="39"/>
    <m/>
    <m/>
  </r>
  <r>
    <x v="52"/>
    <x v="0"/>
    <x v="10"/>
    <x v="4"/>
    <m/>
    <m/>
    <m/>
    <n v="2"/>
  </r>
  <r>
    <x v="52"/>
    <x v="0"/>
    <x v="10"/>
    <x v="5"/>
    <m/>
    <m/>
    <m/>
    <n v="0"/>
  </r>
  <r>
    <x v="52"/>
    <x v="0"/>
    <x v="10"/>
    <x v="6"/>
    <m/>
    <m/>
    <m/>
    <m/>
  </r>
  <r>
    <x v="4"/>
    <x v="0"/>
    <x v="10"/>
    <x v="1"/>
    <m/>
    <n v="1338"/>
    <m/>
    <m/>
  </r>
  <r>
    <x v="4"/>
    <x v="0"/>
    <x v="10"/>
    <x v="2"/>
    <m/>
    <n v="648"/>
    <m/>
    <m/>
  </r>
  <r>
    <x v="4"/>
    <x v="0"/>
    <x v="10"/>
    <x v="3"/>
    <m/>
    <n v="511"/>
    <m/>
    <m/>
  </r>
  <r>
    <x v="4"/>
    <x v="1"/>
    <x v="10"/>
    <x v="1"/>
    <m/>
    <n v="1646"/>
    <m/>
    <m/>
  </r>
  <r>
    <x v="4"/>
    <x v="1"/>
    <x v="10"/>
    <x v="2"/>
    <m/>
    <n v="547"/>
    <m/>
    <m/>
  </r>
  <r>
    <x v="4"/>
    <x v="1"/>
    <x v="10"/>
    <x v="3"/>
    <m/>
    <n v="423"/>
    <m/>
    <m/>
  </r>
  <r>
    <x v="4"/>
    <x v="0"/>
    <x v="10"/>
    <x v="4"/>
    <m/>
    <m/>
    <m/>
    <n v="176"/>
  </r>
  <r>
    <x v="4"/>
    <x v="0"/>
    <x v="10"/>
    <x v="5"/>
    <m/>
    <m/>
    <m/>
    <n v="15"/>
  </r>
  <r>
    <x v="4"/>
    <x v="0"/>
    <x v="10"/>
    <x v="6"/>
    <m/>
    <m/>
    <m/>
    <m/>
  </r>
  <r>
    <x v="41"/>
    <x v="0"/>
    <x v="10"/>
    <x v="1"/>
    <m/>
    <n v="841"/>
    <m/>
    <m/>
  </r>
  <r>
    <x v="41"/>
    <x v="0"/>
    <x v="10"/>
    <x v="2"/>
    <m/>
    <n v="293"/>
    <m/>
    <m/>
  </r>
  <r>
    <x v="41"/>
    <x v="0"/>
    <x v="10"/>
    <x v="3"/>
    <m/>
    <n v="236"/>
    <m/>
    <m/>
  </r>
  <r>
    <x v="41"/>
    <x v="1"/>
    <x v="10"/>
    <x v="1"/>
    <m/>
    <n v="981"/>
    <m/>
    <m/>
  </r>
  <r>
    <x v="41"/>
    <x v="1"/>
    <x v="10"/>
    <x v="2"/>
    <m/>
    <n v="317"/>
    <m/>
    <m/>
  </r>
  <r>
    <x v="41"/>
    <x v="1"/>
    <x v="10"/>
    <x v="3"/>
    <m/>
    <n v="216"/>
    <m/>
    <m/>
  </r>
  <r>
    <x v="41"/>
    <x v="0"/>
    <x v="10"/>
    <x v="4"/>
    <m/>
    <m/>
    <m/>
    <n v="95"/>
  </r>
  <r>
    <x v="41"/>
    <x v="0"/>
    <x v="10"/>
    <x v="5"/>
    <m/>
    <m/>
    <m/>
    <n v="5"/>
  </r>
  <r>
    <x v="41"/>
    <x v="0"/>
    <x v="10"/>
    <x v="6"/>
    <m/>
    <m/>
    <m/>
    <m/>
  </r>
  <r>
    <x v="15"/>
    <x v="0"/>
    <x v="10"/>
    <x v="1"/>
    <m/>
    <n v="870"/>
    <m/>
    <m/>
  </r>
  <r>
    <x v="15"/>
    <x v="0"/>
    <x v="10"/>
    <x v="2"/>
    <m/>
    <n v="488"/>
    <m/>
    <m/>
  </r>
  <r>
    <x v="15"/>
    <x v="0"/>
    <x v="10"/>
    <x v="3"/>
    <m/>
    <n v="384"/>
    <m/>
    <m/>
  </r>
  <r>
    <x v="15"/>
    <x v="1"/>
    <x v="10"/>
    <x v="1"/>
    <m/>
    <n v="1091"/>
    <m/>
    <m/>
  </r>
  <r>
    <x v="15"/>
    <x v="1"/>
    <x v="10"/>
    <x v="2"/>
    <m/>
    <n v="469"/>
    <m/>
    <m/>
  </r>
  <r>
    <x v="15"/>
    <x v="1"/>
    <x v="10"/>
    <x v="3"/>
    <m/>
    <n v="355"/>
    <m/>
    <m/>
  </r>
  <r>
    <x v="15"/>
    <x v="0"/>
    <x v="10"/>
    <x v="4"/>
    <m/>
    <m/>
    <m/>
    <n v="116"/>
  </r>
  <r>
    <x v="15"/>
    <x v="0"/>
    <x v="10"/>
    <x v="5"/>
    <m/>
    <m/>
    <m/>
    <n v="12"/>
  </r>
  <r>
    <x v="15"/>
    <x v="0"/>
    <x v="10"/>
    <x v="6"/>
    <m/>
    <m/>
    <m/>
    <m/>
  </r>
  <r>
    <x v="45"/>
    <x v="0"/>
    <x v="10"/>
    <x v="1"/>
    <m/>
    <n v="714"/>
    <m/>
    <m/>
  </r>
  <r>
    <x v="45"/>
    <x v="0"/>
    <x v="10"/>
    <x v="2"/>
    <m/>
    <n v="247"/>
    <m/>
    <m/>
  </r>
  <r>
    <x v="45"/>
    <x v="0"/>
    <x v="10"/>
    <x v="3"/>
    <m/>
    <n v="174"/>
    <m/>
    <m/>
  </r>
  <r>
    <x v="45"/>
    <x v="1"/>
    <x v="10"/>
    <x v="1"/>
    <m/>
    <n v="926"/>
    <m/>
    <m/>
  </r>
  <r>
    <x v="45"/>
    <x v="1"/>
    <x v="10"/>
    <x v="2"/>
    <m/>
    <n v="263"/>
    <m/>
    <m/>
  </r>
  <r>
    <x v="45"/>
    <x v="1"/>
    <x v="10"/>
    <x v="3"/>
    <m/>
    <n v="161"/>
    <m/>
    <m/>
  </r>
  <r>
    <x v="45"/>
    <x v="0"/>
    <x v="10"/>
    <x v="4"/>
    <m/>
    <m/>
    <m/>
    <n v="55"/>
  </r>
  <r>
    <x v="45"/>
    <x v="0"/>
    <x v="10"/>
    <x v="5"/>
    <m/>
    <m/>
    <m/>
    <n v="7"/>
  </r>
  <r>
    <x v="45"/>
    <x v="0"/>
    <x v="10"/>
    <x v="6"/>
    <m/>
    <m/>
    <m/>
    <m/>
  </r>
  <r>
    <x v="29"/>
    <x v="0"/>
    <x v="10"/>
    <x v="1"/>
    <m/>
    <n v="691"/>
    <m/>
    <m/>
  </r>
  <r>
    <x v="29"/>
    <x v="0"/>
    <x v="10"/>
    <x v="2"/>
    <m/>
    <n v="414"/>
    <m/>
    <m/>
  </r>
  <r>
    <x v="29"/>
    <x v="0"/>
    <x v="10"/>
    <x v="3"/>
    <m/>
    <n v="343"/>
    <m/>
    <m/>
  </r>
  <r>
    <x v="29"/>
    <x v="1"/>
    <x v="10"/>
    <x v="1"/>
    <m/>
    <n v="726"/>
    <m/>
    <m/>
  </r>
  <r>
    <x v="29"/>
    <x v="1"/>
    <x v="10"/>
    <x v="2"/>
    <m/>
    <n v="342"/>
    <m/>
    <m/>
  </r>
  <r>
    <x v="29"/>
    <x v="1"/>
    <x v="10"/>
    <x v="3"/>
    <m/>
    <n v="251"/>
    <m/>
    <m/>
  </r>
  <r>
    <x v="29"/>
    <x v="0"/>
    <x v="10"/>
    <x v="4"/>
    <m/>
    <m/>
    <m/>
    <n v="116"/>
  </r>
  <r>
    <x v="29"/>
    <x v="0"/>
    <x v="10"/>
    <x v="5"/>
    <m/>
    <m/>
    <m/>
    <n v="9"/>
  </r>
  <r>
    <x v="29"/>
    <x v="0"/>
    <x v="10"/>
    <x v="6"/>
    <m/>
    <m/>
    <m/>
    <m/>
  </r>
  <r>
    <x v="28"/>
    <x v="0"/>
    <x v="10"/>
    <x v="1"/>
    <m/>
    <n v="770"/>
    <m/>
    <m/>
  </r>
  <r>
    <x v="28"/>
    <x v="0"/>
    <x v="10"/>
    <x v="2"/>
    <m/>
    <n v="307"/>
    <m/>
    <m/>
  </r>
  <r>
    <x v="28"/>
    <x v="0"/>
    <x v="10"/>
    <x v="3"/>
    <m/>
    <n v="247"/>
    <m/>
    <m/>
  </r>
  <r>
    <x v="28"/>
    <x v="1"/>
    <x v="10"/>
    <x v="1"/>
    <m/>
    <n v="950"/>
    <m/>
    <m/>
  </r>
  <r>
    <x v="28"/>
    <x v="1"/>
    <x v="10"/>
    <x v="2"/>
    <m/>
    <n v="360"/>
    <m/>
    <m/>
  </r>
  <r>
    <x v="28"/>
    <x v="1"/>
    <x v="10"/>
    <x v="3"/>
    <m/>
    <n v="253"/>
    <m/>
    <m/>
  </r>
  <r>
    <x v="28"/>
    <x v="0"/>
    <x v="10"/>
    <x v="4"/>
    <m/>
    <m/>
    <m/>
    <n v="94"/>
  </r>
  <r>
    <x v="28"/>
    <x v="0"/>
    <x v="10"/>
    <x v="5"/>
    <m/>
    <m/>
    <m/>
    <n v="2"/>
  </r>
  <r>
    <x v="28"/>
    <x v="0"/>
    <x v="10"/>
    <x v="6"/>
    <m/>
    <m/>
    <m/>
    <m/>
  </r>
  <r>
    <x v="24"/>
    <x v="0"/>
    <x v="10"/>
    <x v="1"/>
    <m/>
    <n v="1138"/>
    <m/>
    <m/>
  </r>
  <r>
    <x v="24"/>
    <x v="0"/>
    <x v="10"/>
    <x v="2"/>
    <m/>
    <n v="396"/>
    <m/>
    <m/>
  </r>
  <r>
    <x v="24"/>
    <x v="0"/>
    <x v="10"/>
    <x v="3"/>
    <m/>
    <n v="275"/>
    <m/>
    <m/>
  </r>
  <r>
    <x v="24"/>
    <x v="1"/>
    <x v="10"/>
    <x v="1"/>
    <m/>
    <n v="1290"/>
    <m/>
    <m/>
  </r>
  <r>
    <x v="24"/>
    <x v="1"/>
    <x v="10"/>
    <x v="2"/>
    <m/>
    <n v="442"/>
    <m/>
    <m/>
  </r>
  <r>
    <x v="24"/>
    <x v="1"/>
    <x v="10"/>
    <x v="3"/>
    <m/>
    <n v="267"/>
    <m/>
    <m/>
  </r>
  <r>
    <x v="24"/>
    <x v="0"/>
    <x v="10"/>
    <x v="4"/>
    <m/>
    <m/>
    <m/>
    <n v="90"/>
  </r>
  <r>
    <x v="24"/>
    <x v="0"/>
    <x v="10"/>
    <x v="5"/>
    <m/>
    <m/>
    <m/>
    <n v="10"/>
  </r>
  <r>
    <x v="24"/>
    <x v="0"/>
    <x v="10"/>
    <x v="6"/>
    <m/>
    <m/>
    <m/>
    <m/>
  </r>
  <r>
    <x v="23"/>
    <x v="0"/>
    <x v="10"/>
    <x v="1"/>
    <m/>
    <n v="586"/>
    <m/>
    <m/>
  </r>
  <r>
    <x v="23"/>
    <x v="0"/>
    <x v="10"/>
    <x v="2"/>
    <m/>
    <n v="370"/>
    <m/>
    <m/>
  </r>
  <r>
    <x v="23"/>
    <x v="0"/>
    <x v="10"/>
    <x v="3"/>
    <m/>
    <n v="313"/>
    <m/>
    <m/>
  </r>
  <r>
    <x v="23"/>
    <x v="1"/>
    <x v="10"/>
    <x v="1"/>
    <m/>
    <n v="645"/>
    <m/>
    <m/>
  </r>
  <r>
    <x v="23"/>
    <x v="1"/>
    <x v="10"/>
    <x v="2"/>
    <m/>
    <n v="401"/>
    <m/>
    <m/>
  </r>
  <r>
    <x v="23"/>
    <x v="1"/>
    <x v="10"/>
    <x v="3"/>
    <m/>
    <n v="326"/>
    <m/>
    <m/>
  </r>
  <r>
    <x v="23"/>
    <x v="0"/>
    <x v="10"/>
    <x v="4"/>
    <m/>
    <m/>
    <m/>
    <n v="124"/>
  </r>
  <r>
    <x v="23"/>
    <x v="0"/>
    <x v="10"/>
    <x v="5"/>
    <m/>
    <m/>
    <m/>
    <n v="12"/>
  </r>
  <r>
    <x v="23"/>
    <x v="0"/>
    <x v="10"/>
    <x v="6"/>
    <m/>
    <m/>
    <m/>
    <m/>
  </r>
  <r>
    <x v="14"/>
    <x v="0"/>
    <x v="10"/>
    <x v="1"/>
    <m/>
    <n v="757"/>
    <m/>
    <m/>
  </r>
  <r>
    <x v="14"/>
    <x v="0"/>
    <x v="10"/>
    <x v="2"/>
    <m/>
    <n v="388"/>
    <m/>
    <m/>
  </r>
  <r>
    <x v="14"/>
    <x v="0"/>
    <x v="10"/>
    <x v="3"/>
    <m/>
    <n v="365"/>
    <m/>
    <m/>
  </r>
  <r>
    <x v="14"/>
    <x v="1"/>
    <x v="10"/>
    <x v="1"/>
    <m/>
    <n v="804"/>
    <m/>
    <m/>
  </r>
  <r>
    <x v="14"/>
    <x v="1"/>
    <x v="10"/>
    <x v="2"/>
    <m/>
    <n v="370"/>
    <m/>
    <m/>
  </r>
  <r>
    <x v="14"/>
    <x v="1"/>
    <x v="10"/>
    <x v="3"/>
    <m/>
    <n v="295"/>
    <m/>
    <m/>
  </r>
  <r>
    <x v="14"/>
    <x v="0"/>
    <x v="10"/>
    <x v="4"/>
    <m/>
    <m/>
    <m/>
    <n v="122"/>
  </r>
  <r>
    <x v="14"/>
    <x v="0"/>
    <x v="10"/>
    <x v="5"/>
    <m/>
    <m/>
    <m/>
    <n v="16"/>
  </r>
  <r>
    <x v="14"/>
    <x v="0"/>
    <x v="10"/>
    <x v="6"/>
    <m/>
    <m/>
    <m/>
    <m/>
  </r>
  <r>
    <x v="30"/>
    <x v="0"/>
    <x v="10"/>
    <x v="1"/>
    <m/>
    <n v="624"/>
    <m/>
    <m/>
  </r>
  <r>
    <x v="30"/>
    <x v="0"/>
    <x v="10"/>
    <x v="2"/>
    <m/>
    <n v="289"/>
    <m/>
    <m/>
  </r>
  <r>
    <x v="30"/>
    <x v="0"/>
    <x v="10"/>
    <x v="3"/>
    <m/>
    <n v="229"/>
    <m/>
    <m/>
  </r>
  <r>
    <x v="30"/>
    <x v="1"/>
    <x v="10"/>
    <x v="1"/>
    <m/>
    <n v="752"/>
    <m/>
    <m/>
  </r>
  <r>
    <x v="30"/>
    <x v="1"/>
    <x v="10"/>
    <x v="2"/>
    <m/>
    <n v="295"/>
    <m/>
    <m/>
  </r>
  <r>
    <x v="30"/>
    <x v="1"/>
    <x v="10"/>
    <x v="3"/>
    <m/>
    <n v="188"/>
    <m/>
    <m/>
  </r>
  <r>
    <x v="30"/>
    <x v="0"/>
    <x v="10"/>
    <x v="4"/>
    <m/>
    <m/>
    <m/>
    <n v="50"/>
  </r>
  <r>
    <x v="30"/>
    <x v="0"/>
    <x v="10"/>
    <x v="5"/>
    <m/>
    <m/>
    <m/>
    <n v="4"/>
  </r>
  <r>
    <x v="30"/>
    <x v="0"/>
    <x v="10"/>
    <x v="6"/>
    <m/>
    <m/>
    <m/>
    <m/>
  </r>
  <r>
    <x v="20"/>
    <x v="0"/>
    <x v="10"/>
    <x v="1"/>
    <m/>
    <n v="655"/>
    <m/>
    <m/>
  </r>
  <r>
    <x v="20"/>
    <x v="0"/>
    <x v="10"/>
    <x v="2"/>
    <m/>
    <n v="324"/>
    <m/>
    <m/>
  </r>
  <r>
    <x v="20"/>
    <x v="0"/>
    <x v="10"/>
    <x v="3"/>
    <m/>
    <n v="361"/>
    <m/>
    <m/>
  </r>
  <r>
    <x v="20"/>
    <x v="1"/>
    <x v="10"/>
    <x v="1"/>
    <m/>
    <n v="797"/>
    <m/>
    <m/>
  </r>
  <r>
    <x v="20"/>
    <x v="1"/>
    <x v="10"/>
    <x v="2"/>
    <m/>
    <n v="329"/>
    <m/>
    <m/>
  </r>
  <r>
    <x v="20"/>
    <x v="1"/>
    <x v="10"/>
    <x v="3"/>
    <m/>
    <n v="228"/>
    <m/>
    <m/>
  </r>
  <r>
    <x v="20"/>
    <x v="0"/>
    <x v="10"/>
    <x v="4"/>
    <m/>
    <m/>
    <m/>
    <n v="100"/>
  </r>
  <r>
    <x v="20"/>
    <x v="0"/>
    <x v="10"/>
    <x v="5"/>
    <m/>
    <m/>
    <m/>
    <n v="5"/>
  </r>
  <r>
    <x v="20"/>
    <x v="0"/>
    <x v="10"/>
    <x v="6"/>
    <m/>
    <m/>
    <m/>
    <m/>
  </r>
  <r>
    <x v="36"/>
    <x v="0"/>
    <x v="10"/>
    <x v="1"/>
    <m/>
    <n v="410"/>
    <m/>
    <m/>
  </r>
  <r>
    <x v="36"/>
    <x v="0"/>
    <x v="10"/>
    <x v="2"/>
    <m/>
    <n v="240"/>
    <m/>
    <m/>
  </r>
  <r>
    <x v="36"/>
    <x v="0"/>
    <x v="10"/>
    <x v="3"/>
    <m/>
    <n v="188"/>
    <m/>
    <m/>
  </r>
  <r>
    <x v="36"/>
    <x v="1"/>
    <x v="10"/>
    <x v="1"/>
    <m/>
    <n v="443"/>
    <m/>
    <m/>
  </r>
  <r>
    <x v="36"/>
    <x v="1"/>
    <x v="10"/>
    <x v="2"/>
    <m/>
    <n v="253"/>
    <m/>
    <m/>
  </r>
  <r>
    <x v="36"/>
    <x v="1"/>
    <x v="10"/>
    <x v="3"/>
    <m/>
    <n v="184"/>
    <m/>
    <m/>
  </r>
  <r>
    <x v="36"/>
    <x v="0"/>
    <x v="10"/>
    <x v="4"/>
    <m/>
    <m/>
    <m/>
    <n v="70"/>
  </r>
  <r>
    <x v="36"/>
    <x v="0"/>
    <x v="10"/>
    <x v="5"/>
    <m/>
    <m/>
    <m/>
    <n v="6"/>
  </r>
  <r>
    <x v="36"/>
    <x v="0"/>
    <x v="10"/>
    <x v="6"/>
    <m/>
    <m/>
    <m/>
    <m/>
  </r>
  <r>
    <x v="33"/>
    <x v="0"/>
    <x v="10"/>
    <x v="1"/>
    <m/>
    <n v="496"/>
    <m/>
    <m/>
  </r>
  <r>
    <x v="33"/>
    <x v="0"/>
    <x v="10"/>
    <x v="2"/>
    <m/>
    <n v="287"/>
    <m/>
    <m/>
  </r>
  <r>
    <x v="33"/>
    <x v="0"/>
    <x v="10"/>
    <x v="3"/>
    <m/>
    <n v="218"/>
    <m/>
    <m/>
  </r>
  <r>
    <x v="33"/>
    <x v="1"/>
    <x v="10"/>
    <x v="1"/>
    <m/>
    <n v="559"/>
    <m/>
    <m/>
  </r>
  <r>
    <x v="33"/>
    <x v="1"/>
    <x v="10"/>
    <x v="2"/>
    <m/>
    <n v="259"/>
    <m/>
    <m/>
  </r>
  <r>
    <x v="33"/>
    <x v="1"/>
    <x v="10"/>
    <x v="3"/>
    <m/>
    <n v="179"/>
    <m/>
    <m/>
  </r>
  <r>
    <x v="33"/>
    <x v="0"/>
    <x v="10"/>
    <x v="4"/>
    <m/>
    <m/>
    <m/>
    <n v="72"/>
  </r>
  <r>
    <x v="33"/>
    <x v="0"/>
    <x v="10"/>
    <x v="5"/>
    <m/>
    <m/>
    <m/>
    <n v="7"/>
  </r>
  <r>
    <x v="33"/>
    <x v="0"/>
    <x v="10"/>
    <x v="6"/>
    <m/>
    <m/>
    <m/>
    <m/>
  </r>
  <r>
    <x v="19"/>
    <x v="0"/>
    <x v="10"/>
    <x v="1"/>
    <m/>
    <n v="524"/>
    <m/>
    <m/>
  </r>
  <r>
    <x v="19"/>
    <x v="0"/>
    <x v="10"/>
    <x v="2"/>
    <m/>
    <n v="324"/>
    <m/>
    <m/>
  </r>
  <r>
    <x v="19"/>
    <x v="0"/>
    <x v="10"/>
    <x v="3"/>
    <m/>
    <n v="271"/>
    <m/>
    <m/>
  </r>
  <r>
    <x v="19"/>
    <x v="1"/>
    <x v="10"/>
    <x v="1"/>
    <m/>
    <n v="621"/>
    <m/>
    <m/>
  </r>
  <r>
    <x v="19"/>
    <x v="1"/>
    <x v="10"/>
    <x v="2"/>
    <m/>
    <n v="393"/>
    <m/>
    <m/>
  </r>
  <r>
    <x v="19"/>
    <x v="1"/>
    <x v="10"/>
    <x v="3"/>
    <m/>
    <n v="307"/>
    <m/>
    <m/>
  </r>
  <r>
    <x v="19"/>
    <x v="0"/>
    <x v="10"/>
    <x v="4"/>
    <m/>
    <m/>
    <m/>
    <n v="97"/>
  </r>
  <r>
    <x v="19"/>
    <x v="0"/>
    <x v="10"/>
    <x v="5"/>
    <m/>
    <m/>
    <m/>
    <n v="7"/>
  </r>
  <r>
    <x v="19"/>
    <x v="0"/>
    <x v="10"/>
    <x v="6"/>
    <m/>
    <m/>
    <m/>
    <m/>
  </r>
  <r>
    <x v="21"/>
    <x v="0"/>
    <x v="10"/>
    <x v="1"/>
    <m/>
    <n v="675"/>
    <m/>
    <m/>
  </r>
  <r>
    <x v="21"/>
    <x v="0"/>
    <x v="10"/>
    <x v="2"/>
    <m/>
    <n v="316"/>
    <m/>
    <m/>
  </r>
  <r>
    <x v="21"/>
    <x v="0"/>
    <x v="10"/>
    <x v="3"/>
    <m/>
    <n v="234"/>
    <m/>
    <m/>
  </r>
  <r>
    <x v="21"/>
    <x v="1"/>
    <x v="10"/>
    <x v="1"/>
    <m/>
    <n v="797"/>
    <m/>
    <m/>
  </r>
  <r>
    <x v="21"/>
    <x v="1"/>
    <x v="10"/>
    <x v="2"/>
    <m/>
    <n v="364"/>
    <m/>
    <m/>
  </r>
  <r>
    <x v="21"/>
    <x v="1"/>
    <x v="10"/>
    <x v="3"/>
    <m/>
    <n v="294"/>
    <m/>
    <m/>
  </r>
  <r>
    <x v="21"/>
    <x v="0"/>
    <x v="10"/>
    <x v="4"/>
    <m/>
    <m/>
    <m/>
    <n v="90"/>
  </r>
  <r>
    <x v="21"/>
    <x v="0"/>
    <x v="10"/>
    <x v="5"/>
    <m/>
    <m/>
    <m/>
    <n v="3"/>
  </r>
  <r>
    <x v="21"/>
    <x v="0"/>
    <x v="10"/>
    <x v="6"/>
    <m/>
    <m/>
    <m/>
    <m/>
  </r>
  <r>
    <x v="47"/>
    <x v="0"/>
    <x v="10"/>
    <x v="1"/>
    <m/>
    <n v="332"/>
    <m/>
    <m/>
  </r>
  <r>
    <x v="47"/>
    <x v="0"/>
    <x v="10"/>
    <x v="2"/>
    <m/>
    <n v="241"/>
    <m/>
    <m/>
  </r>
  <r>
    <x v="47"/>
    <x v="0"/>
    <x v="10"/>
    <x v="3"/>
    <m/>
    <n v="268"/>
    <m/>
    <m/>
  </r>
  <r>
    <x v="47"/>
    <x v="1"/>
    <x v="10"/>
    <x v="1"/>
    <m/>
    <n v="400"/>
    <m/>
    <m/>
  </r>
  <r>
    <x v="47"/>
    <x v="1"/>
    <x v="10"/>
    <x v="2"/>
    <m/>
    <n v="208"/>
    <m/>
    <m/>
  </r>
  <r>
    <x v="47"/>
    <x v="1"/>
    <x v="10"/>
    <x v="3"/>
    <m/>
    <n v="175"/>
    <m/>
    <m/>
  </r>
  <r>
    <x v="47"/>
    <x v="0"/>
    <x v="10"/>
    <x v="4"/>
    <m/>
    <m/>
    <m/>
    <n v="71"/>
  </r>
  <r>
    <x v="47"/>
    <x v="0"/>
    <x v="10"/>
    <x v="5"/>
    <m/>
    <m/>
    <m/>
    <n v="5"/>
  </r>
  <r>
    <x v="47"/>
    <x v="0"/>
    <x v="10"/>
    <x v="6"/>
    <m/>
    <m/>
    <m/>
    <m/>
  </r>
  <r>
    <x v="35"/>
    <x v="0"/>
    <x v="10"/>
    <x v="1"/>
    <m/>
    <n v="349"/>
    <m/>
    <m/>
  </r>
  <r>
    <x v="35"/>
    <x v="0"/>
    <x v="10"/>
    <x v="2"/>
    <m/>
    <n v="215"/>
    <m/>
    <m/>
  </r>
  <r>
    <x v="35"/>
    <x v="0"/>
    <x v="10"/>
    <x v="3"/>
    <m/>
    <n v="206"/>
    <m/>
    <m/>
  </r>
  <r>
    <x v="35"/>
    <x v="1"/>
    <x v="10"/>
    <x v="1"/>
    <m/>
    <n v="369"/>
    <m/>
    <m/>
  </r>
  <r>
    <x v="35"/>
    <x v="1"/>
    <x v="10"/>
    <x v="2"/>
    <m/>
    <n v="231"/>
    <m/>
    <m/>
  </r>
  <r>
    <x v="35"/>
    <x v="1"/>
    <x v="10"/>
    <x v="3"/>
    <m/>
    <n v="185"/>
    <m/>
    <m/>
  </r>
  <r>
    <x v="35"/>
    <x v="0"/>
    <x v="10"/>
    <x v="4"/>
    <m/>
    <m/>
    <m/>
    <n v="59"/>
  </r>
  <r>
    <x v="35"/>
    <x v="0"/>
    <x v="10"/>
    <x v="5"/>
    <m/>
    <m/>
    <m/>
    <n v="6"/>
  </r>
  <r>
    <x v="35"/>
    <x v="0"/>
    <x v="10"/>
    <x v="6"/>
    <m/>
    <m/>
    <m/>
    <m/>
  </r>
  <r>
    <x v="44"/>
    <x v="0"/>
    <x v="10"/>
    <x v="1"/>
    <m/>
    <n v="298"/>
    <m/>
    <m/>
  </r>
  <r>
    <x v="44"/>
    <x v="0"/>
    <x v="10"/>
    <x v="2"/>
    <m/>
    <n v="207"/>
    <m/>
    <m/>
  </r>
  <r>
    <x v="44"/>
    <x v="0"/>
    <x v="10"/>
    <x v="3"/>
    <m/>
    <n v="187"/>
    <m/>
    <m/>
  </r>
  <r>
    <x v="44"/>
    <x v="1"/>
    <x v="10"/>
    <x v="1"/>
    <m/>
    <n v="306"/>
    <m/>
    <m/>
  </r>
  <r>
    <x v="44"/>
    <x v="1"/>
    <x v="10"/>
    <x v="2"/>
    <m/>
    <n v="172"/>
    <m/>
    <m/>
  </r>
  <r>
    <x v="44"/>
    <x v="1"/>
    <x v="10"/>
    <x v="3"/>
    <m/>
    <n v="132"/>
    <m/>
    <m/>
  </r>
  <r>
    <x v="44"/>
    <x v="0"/>
    <x v="10"/>
    <x v="4"/>
    <m/>
    <m/>
    <m/>
    <n v="54"/>
  </r>
  <r>
    <x v="44"/>
    <x v="0"/>
    <x v="10"/>
    <x v="5"/>
    <m/>
    <m/>
    <m/>
    <n v="2"/>
  </r>
  <r>
    <x v="44"/>
    <x v="0"/>
    <x v="10"/>
    <x v="6"/>
    <m/>
    <m/>
    <m/>
    <m/>
  </r>
  <r>
    <x v="6"/>
    <x v="0"/>
    <x v="10"/>
    <x v="1"/>
    <m/>
    <n v="1062"/>
    <m/>
    <m/>
  </r>
  <r>
    <x v="6"/>
    <x v="0"/>
    <x v="10"/>
    <x v="2"/>
    <m/>
    <n v="559"/>
    <m/>
    <m/>
  </r>
  <r>
    <x v="6"/>
    <x v="0"/>
    <x v="10"/>
    <x v="3"/>
    <m/>
    <n v="462"/>
    <m/>
    <m/>
  </r>
  <r>
    <x v="6"/>
    <x v="1"/>
    <x v="10"/>
    <x v="1"/>
    <m/>
    <n v="1242"/>
    <m/>
    <m/>
  </r>
  <r>
    <x v="6"/>
    <x v="1"/>
    <x v="10"/>
    <x v="2"/>
    <m/>
    <n v="504"/>
    <m/>
    <m/>
  </r>
  <r>
    <x v="6"/>
    <x v="1"/>
    <x v="10"/>
    <x v="3"/>
    <m/>
    <n v="380"/>
    <m/>
    <m/>
  </r>
  <r>
    <x v="6"/>
    <x v="0"/>
    <x v="10"/>
    <x v="4"/>
    <m/>
    <m/>
    <m/>
    <n v="137"/>
  </r>
  <r>
    <x v="6"/>
    <x v="0"/>
    <x v="10"/>
    <x v="5"/>
    <m/>
    <m/>
    <m/>
    <n v="16"/>
  </r>
  <r>
    <x v="6"/>
    <x v="0"/>
    <x v="10"/>
    <x v="6"/>
    <m/>
    <m/>
    <m/>
    <m/>
  </r>
  <r>
    <x v="32"/>
    <x v="0"/>
    <x v="10"/>
    <x v="1"/>
    <m/>
    <n v="741"/>
    <m/>
    <m/>
  </r>
  <r>
    <x v="32"/>
    <x v="0"/>
    <x v="10"/>
    <x v="2"/>
    <m/>
    <n v="260"/>
    <m/>
    <m/>
  </r>
  <r>
    <x v="32"/>
    <x v="0"/>
    <x v="10"/>
    <x v="3"/>
    <m/>
    <n v="217"/>
    <m/>
    <m/>
  </r>
  <r>
    <x v="32"/>
    <x v="1"/>
    <x v="10"/>
    <x v="1"/>
    <m/>
    <n v="733"/>
    <m/>
    <m/>
  </r>
  <r>
    <x v="32"/>
    <x v="1"/>
    <x v="10"/>
    <x v="2"/>
    <m/>
    <n v="259"/>
    <m/>
    <m/>
  </r>
  <r>
    <x v="32"/>
    <x v="1"/>
    <x v="10"/>
    <x v="3"/>
    <m/>
    <n v="183"/>
    <m/>
    <m/>
  </r>
  <r>
    <x v="32"/>
    <x v="0"/>
    <x v="10"/>
    <x v="4"/>
    <m/>
    <m/>
    <m/>
    <n v="81"/>
  </r>
  <r>
    <x v="32"/>
    <x v="0"/>
    <x v="10"/>
    <x v="5"/>
    <m/>
    <m/>
    <m/>
    <n v="7"/>
  </r>
  <r>
    <x v="32"/>
    <x v="0"/>
    <x v="10"/>
    <x v="6"/>
    <m/>
    <m/>
    <m/>
    <m/>
  </r>
  <r>
    <x v="27"/>
    <x v="0"/>
    <x v="10"/>
    <x v="1"/>
    <m/>
    <n v="535"/>
    <m/>
    <m/>
  </r>
  <r>
    <x v="27"/>
    <x v="0"/>
    <x v="10"/>
    <x v="2"/>
    <m/>
    <n v="269"/>
    <m/>
    <m/>
  </r>
  <r>
    <x v="27"/>
    <x v="0"/>
    <x v="10"/>
    <x v="3"/>
    <m/>
    <n v="236"/>
    <m/>
    <m/>
  </r>
  <r>
    <x v="27"/>
    <x v="1"/>
    <x v="10"/>
    <x v="1"/>
    <m/>
    <n v="622"/>
    <m/>
    <m/>
  </r>
  <r>
    <x v="27"/>
    <x v="1"/>
    <x v="10"/>
    <x v="2"/>
    <m/>
    <n v="267"/>
    <m/>
    <m/>
  </r>
  <r>
    <x v="27"/>
    <x v="1"/>
    <x v="10"/>
    <x v="3"/>
    <m/>
    <n v="205"/>
    <m/>
    <m/>
  </r>
  <r>
    <x v="27"/>
    <x v="0"/>
    <x v="10"/>
    <x v="4"/>
    <m/>
    <m/>
    <m/>
    <n v="106"/>
  </r>
  <r>
    <x v="27"/>
    <x v="0"/>
    <x v="10"/>
    <x v="5"/>
    <m/>
    <m/>
    <m/>
    <n v="10"/>
  </r>
  <r>
    <x v="27"/>
    <x v="0"/>
    <x v="10"/>
    <x v="6"/>
    <m/>
    <m/>
    <m/>
    <m/>
  </r>
  <r>
    <x v="25"/>
    <x v="0"/>
    <x v="10"/>
    <x v="1"/>
    <m/>
    <n v="411"/>
    <m/>
    <m/>
  </r>
  <r>
    <x v="25"/>
    <x v="0"/>
    <x v="10"/>
    <x v="2"/>
    <m/>
    <n v="335"/>
    <m/>
    <m/>
  </r>
  <r>
    <x v="25"/>
    <x v="0"/>
    <x v="10"/>
    <x v="3"/>
    <m/>
    <n v="309"/>
    <m/>
    <m/>
  </r>
  <r>
    <x v="25"/>
    <x v="1"/>
    <x v="10"/>
    <x v="1"/>
    <m/>
    <n v="428"/>
    <m/>
    <m/>
  </r>
  <r>
    <x v="25"/>
    <x v="1"/>
    <x v="10"/>
    <x v="2"/>
    <m/>
    <n v="273"/>
    <m/>
    <m/>
  </r>
  <r>
    <x v="25"/>
    <x v="1"/>
    <x v="10"/>
    <x v="3"/>
    <m/>
    <n v="234"/>
    <m/>
    <m/>
  </r>
  <r>
    <x v="25"/>
    <x v="0"/>
    <x v="10"/>
    <x v="4"/>
    <m/>
    <m/>
    <m/>
    <n v="120"/>
  </r>
  <r>
    <x v="25"/>
    <x v="0"/>
    <x v="10"/>
    <x v="5"/>
    <m/>
    <m/>
    <m/>
    <n v="9"/>
  </r>
  <r>
    <x v="25"/>
    <x v="0"/>
    <x v="10"/>
    <x v="6"/>
    <m/>
    <m/>
    <m/>
    <m/>
  </r>
  <r>
    <x v="10"/>
    <x v="0"/>
    <x v="11"/>
    <x v="1"/>
    <m/>
    <n v="908"/>
    <m/>
    <m/>
  </r>
  <r>
    <x v="10"/>
    <x v="0"/>
    <x v="11"/>
    <x v="2"/>
    <m/>
    <n v="374"/>
    <m/>
    <m/>
  </r>
  <r>
    <x v="10"/>
    <x v="0"/>
    <x v="11"/>
    <x v="3"/>
    <m/>
    <n v="249"/>
    <m/>
    <m/>
  </r>
  <r>
    <x v="10"/>
    <x v="1"/>
    <x v="11"/>
    <x v="1"/>
    <m/>
    <n v="1229"/>
    <m/>
    <m/>
  </r>
  <r>
    <x v="10"/>
    <x v="1"/>
    <x v="11"/>
    <x v="2"/>
    <m/>
    <n v="412"/>
    <m/>
    <m/>
  </r>
  <r>
    <x v="10"/>
    <x v="1"/>
    <x v="11"/>
    <x v="3"/>
    <m/>
    <n v="303"/>
    <m/>
    <m/>
  </r>
  <r>
    <x v="10"/>
    <x v="0"/>
    <x v="11"/>
    <x v="4"/>
    <m/>
    <m/>
    <m/>
    <n v="128"/>
  </r>
  <r>
    <x v="10"/>
    <x v="0"/>
    <x v="11"/>
    <x v="5"/>
    <m/>
    <m/>
    <m/>
    <n v="15"/>
  </r>
  <r>
    <x v="10"/>
    <x v="0"/>
    <x v="11"/>
    <x v="6"/>
    <m/>
    <m/>
    <m/>
    <n v="13"/>
  </r>
  <r>
    <x v="9"/>
    <x v="0"/>
    <x v="11"/>
    <x v="1"/>
    <m/>
    <n v="1136"/>
    <m/>
    <m/>
  </r>
  <r>
    <x v="9"/>
    <x v="0"/>
    <x v="11"/>
    <x v="2"/>
    <m/>
    <n v="372"/>
    <m/>
    <m/>
  </r>
  <r>
    <x v="9"/>
    <x v="0"/>
    <x v="11"/>
    <x v="3"/>
    <m/>
    <n v="237"/>
    <m/>
    <m/>
  </r>
  <r>
    <x v="9"/>
    <x v="1"/>
    <x v="11"/>
    <x v="1"/>
    <m/>
    <n v="1363"/>
    <m/>
    <m/>
  </r>
  <r>
    <x v="9"/>
    <x v="1"/>
    <x v="11"/>
    <x v="2"/>
    <m/>
    <n v="382"/>
    <m/>
    <m/>
  </r>
  <r>
    <x v="9"/>
    <x v="1"/>
    <x v="11"/>
    <x v="3"/>
    <m/>
    <n v="268"/>
    <m/>
    <m/>
  </r>
  <r>
    <x v="9"/>
    <x v="0"/>
    <x v="11"/>
    <x v="4"/>
    <m/>
    <m/>
    <m/>
    <n v="112"/>
  </r>
  <r>
    <x v="9"/>
    <x v="0"/>
    <x v="11"/>
    <x v="5"/>
    <m/>
    <m/>
    <m/>
    <n v="17"/>
  </r>
  <r>
    <x v="9"/>
    <x v="0"/>
    <x v="11"/>
    <x v="6"/>
    <m/>
    <m/>
    <m/>
    <n v="11"/>
  </r>
  <r>
    <x v="49"/>
    <x v="0"/>
    <x v="11"/>
    <x v="1"/>
    <m/>
    <n v="904"/>
    <m/>
    <m/>
  </r>
  <r>
    <x v="49"/>
    <x v="0"/>
    <x v="11"/>
    <x v="2"/>
    <m/>
    <n v="202"/>
    <m/>
    <m/>
  </r>
  <r>
    <x v="49"/>
    <x v="0"/>
    <x v="11"/>
    <x v="3"/>
    <m/>
    <n v="82"/>
    <m/>
    <m/>
  </r>
  <r>
    <x v="49"/>
    <x v="1"/>
    <x v="11"/>
    <x v="1"/>
    <m/>
    <n v="1194"/>
    <m/>
    <m/>
  </r>
  <r>
    <x v="49"/>
    <x v="1"/>
    <x v="11"/>
    <x v="2"/>
    <m/>
    <n v="206"/>
    <m/>
    <m/>
  </r>
  <r>
    <x v="49"/>
    <x v="1"/>
    <x v="11"/>
    <x v="3"/>
    <m/>
    <n v="112"/>
    <m/>
    <m/>
  </r>
  <r>
    <x v="49"/>
    <x v="0"/>
    <x v="11"/>
    <x v="4"/>
    <m/>
    <m/>
    <m/>
    <n v="52"/>
  </r>
  <r>
    <x v="49"/>
    <x v="0"/>
    <x v="11"/>
    <x v="5"/>
    <m/>
    <m/>
    <m/>
    <n v="3"/>
  </r>
  <r>
    <x v="49"/>
    <x v="0"/>
    <x v="11"/>
    <x v="6"/>
    <m/>
    <m/>
    <m/>
    <n v="6"/>
  </r>
  <r>
    <x v="5"/>
    <x v="0"/>
    <x v="11"/>
    <x v="1"/>
    <m/>
    <n v="790"/>
    <m/>
    <m/>
  </r>
  <r>
    <x v="5"/>
    <x v="0"/>
    <x v="11"/>
    <x v="2"/>
    <m/>
    <n v="487"/>
    <m/>
    <m/>
  </r>
  <r>
    <x v="5"/>
    <x v="0"/>
    <x v="11"/>
    <x v="3"/>
    <m/>
    <n v="371"/>
    <m/>
    <m/>
  </r>
  <r>
    <x v="5"/>
    <x v="1"/>
    <x v="11"/>
    <x v="1"/>
    <m/>
    <n v="955"/>
    <m/>
    <m/>
  </r>
  <r>
    <x v="5"/>
    <x v="1"/>
    <x v="11"/>
    <x v="2"/>
    <m/>
    <n v="403"/>
    <m/>
    <m/>
  </r>
  <r>
    <x v="5"/>
    <x v="1"/>
    <x v="11"/>
    <x v="3"/>
    <m/>
    <n v="329"/>
    <m/>
    <m/>
  </r>
  <r>
    <x v="5"/>
    <x v="0"/>
    <x v="11"/>
    <x v="4"/>
    <m/>
    <m/>
    <m/>
    <n v="82"/>
  </r>
  <r>
    <x v="5"/>
    <x v="0"/>
    <x v="11"/>
    <x v="5"/>
    <m/>
    <m/>
    <m/>
    <n v="6"/>
  </r>
  <r>
    <x v="5"/>
    <x v="0"/>
    <x v="11"/>
    <x v="6"/>
    <m/>
    <m/>
    <m/>
    <n v="13"/>
  </r>
  <r>
    <x v="16"/>
    <x v="0"/>
    <x v="11"/>
    <x v="1"/>
    <m/>
    <n v="750"/>
    <m/>
    <m/>
  </r>
  <r>
    <x v="16"/>
    <x v="0"/>
    <x v="11"/>
    <x v="2"/>
    <m/>
    <n v="339"/>
    <m/>
    <m/>
  </r>
  <r>
    <x v="16"/>
    <x v="0"/>
    <x v="11"/>
    <x v="3"/>
    <m/>
    <n v="284"/>
    <m/>
    <m/>
  </r>
  <r>
    <x v="16"/>
    <x v="1"/>
    <x v="11"/>
    <x v="1"/>
    <m/>
    <n v="950"/>
    <m/>
    <m/>
  </r>
  <r>
    <x v="16"/>
    <x v="1"/>
    <x v="11"/>
    <x v="2"/>
    <m/>
    <n v="328"/>
    <m/>
    <m/>
  </r>
  <r>
    <x v="16"/>
    <x v="1"/>
    <x v="11"/>
    <x v="3"/>
    <m/>
    <n v="230"/>
    <m/>
    <m/>
  </r>
  <r>
    <x v="16"/>
    <x v="0"/>
    <x v="11"/>
    <x v="4"/>
    <m/>
    <m/>
    <m/>
    <n v="102"/>
  </r>
  <r>
    <x v="16"/>
    <x v="0"/>
    <x v="11"/>
    <x v="5"/>
    <m/>
    <m/>
    <m/>
    <n v="5"/>
  </r>
  <r>
    <x v="16"/>
    <x v="0"/>
    <x v="11"/>
    <x v="6"/>
    <m/>
    <m/>
    <m/>
    <n v="9"/>
  </r>
  <r>
    <x v="17"/>
    <x v="0"/>
    <x v="11"/>
    <x v="1"/>
    <m/>
    <n v="987"/>
    <m/>
    <m/>
  </r>
  <r>
    <x v="17"/>
    <x v="0"/>
    <x v="11"/>
    <x v="2"/>
    <m/>
    <n v="370"/>
    <m/>
    <m/>
  </r>
  <r>
    <x v="17"/>
    <x v="0"/>
    <x v="11"/>
    <x v="3"/>
    <m/>
    <n v="218"/>
    <m/>
    <m/>
  </r>
  <r>
    <x v="17"/>
    <x v="1"/>
    <x v="11"/>
    <x v="1"/>
    <m/>
    <n v="1243"/>
    <m/>
    <m/>
  </r>
  <r>
    <x v="17"/>
    <x v="1"/>
    <x v="11"/>
    <x v="2"/>
    <m/>
    <n v="439"/>
    <m/>
    <m/>
  </r>
  <r>
    <x v="17"/>
    <x v="1"/>
    <x v="11"/>
    <x v="3"/>
    <m/>
    <n v="250"/>
    <m/>
    <m/>
  </r>
  <r>
    <x v="17"/>
    <x v="0"/>
    <x v="11"/>
    <x v="4"/>
    <m/>
    <m/>
    <m/>
    <n v="67"/>
  </r>
  <r>
    <x v="17"/>
    <x v="0"/>
    <x v="11"/>
    <x v="5"/>
    <m/>
    <m/>
    <m/>
    <n v="10"/>
  </r>
  <r>
    <x v="17"/>
    <x v="0"/>
    <x v="11"/>
    <x v="6"/>
    <m/>
    <m/>
    <m/>
    <n v="12"/>
  </r>
  <r>
    <x v="13"/>
    <x v="0"/>
    <x v="11"/>
    <x v="1"/>
    <m/>
    <n v="1304"/>
    <m/>
    <m/>
  </r>
  <r>
    <x v="13"/>
    <x v="0"/>
    <x v="11"/>
    <x v="2"/>
    <m/>
    <n v="381"/>
    <m/>
    <m/>
  </r>
  <r>
    <x v="13"/>
    <x v="0"/>
    <x v="11"/>
    <x v="3"/>
    <m/>
    <n v="281"/>
    <m/>
    <m/>
  </r>
  <r>
    <x v="13"/>
    <x v="1"/>
    <x v="11"/>
    <x v="1"/>
    <m/>
    <n v="1557"/>
    <m/>
    <m/>
  </r>
  <r>
    <x v="13"/>
    <x v="1"/>
    <x v="11"/>
    <x v="2"/>
    <m/>
    <n v="364"/>
    <m/>
    <m/>
  </r>
  <r>
    <x v="13"/>
    <x v="1"/>
    <x v="11"/>
    <x v="3"/>
    <m/>
    <n v="247"/>
    <m/>
    <m/>
  </r>
  <r>
    <x v="13"/>
    <x v="0"/>
    <x v="11"/>
    <x v="4"/>
    <m/>
    <m/>
    <m/>
    <n v="109"/>
  </r>
  <r>
    <x v="13"/>
    <x v="0"/>
    <x v="11"/>
    <x v="5"/>
    <m/>
    <m/>
    <m/>
    <n v="9"/>
  </r>
  <r>
    <x v="13"/>
    <x v="0"/>
    <x v="11"/>
    <x v="6"/>
    <m/>
    <m/>
    <m/>
    <n v="24"/>
  </r>
  <r>
    <x v="40"/>
    <x v="0"/>
    <x v="11"/>
    <x v="1"/>
    <m/>
    <n v="659"/>
    <m/>
    <m/>
  </r>
  <r>
    <x v="40"/>
    <x v="0"/>
    <x v="11"/>
    <x v="2"/>
    <m/>
    <n v="220"/>
    <m/>
    <m/>
  </r>
  <r>
    <x v="40"/>
    <x v="0"/>
    <x v="11"/>
    <x v="3"/>
    <m/>
    <n v="128"/>
    <m/>
    <m/>
  </r>
  <r>
    <x v="40"/>
    <x v="1"/>
    <x v="11"/>
    <x v="1"/>
    <m/>
    <n v="770"/>
    <m/>
    <m/>
  </r>
  <r>
    <x v="40"/>
    <x v="1"/>
    <x v="11"/>
    <x v="2"/>
    <m/>
    <n v="219"/>
    <m/>
    <m/>
  </r>
  <r>
    <x v="40"/>
    <x v="1"/>
    <x v="11"/>
    <x v="3"/>
    <m/>
    <n v="155"/>
    <m/>
    <m/>
  </r>
  <r>
    <x v="40"/>
    <x v="0"/>
    <x v="11"/>
    <x v="4"/>
    <m/>
    <m/>
    <m/>
    <n v="54"/>
  </r>
  <r>
    <x v="40"/>
    <x v="0"/>
    <x v="11"/>
    <x v="5"/>
    <m/>
    <m/>
    <m/>
    <n v="8"/>
  </r>
  <r>
    <x v="40"/>
    <x v="0"/>
    <x v="11"/>
    <x v="6"/>
    <m/>
    <m/>
    <m/>
    <n v="14"/>
  </r>
  <r>
    <x v="26"/>
    <x v="0"/>
    <x v="11"/>
    <x v="1"/>
    <m/>
    <n v="448"/>
    <m/>
    <m/>
  </r>
  <r>
    <x v="26"/>
    <x v="0"/>
    <x v="11"/>
    <x v="2"/>
    <m/>
    <n v="260"/>
    <m/>
    <m/>
  </r>
  <r>
    <x v="26"/>
    <x v="0"/>
    <x v="11"/>
    <x v="3"/>
    <m/>
    <n v="238"/>
    <m/>
    <m/>
  </r>
  <r>
    <x v="26"/>
    <x v="1"/>
    <x v="11"/>
    <x v="1"/>
    <m/>
    <n v="578"/>
    <m/>
    <m/>
  </r>
  <r>
    <x v="26"/>
    <x v="1"/>
    <x v="11"/>
    <x v="2"/>
    <m/>
    <n v="265"/>
    <m/>
    <m/>
  </r>
  <r>
    <x v="26"/>
    <x v="1"/>
    <x v="11"/>
    <x v="3"/>
    <m/>
    <n v="242"/>
    <m/>
    <m/>
  </r>
  <r>
    <x v="26"/>
    <x v="0"/>
    <x v="11"/>
    <x v="4"/>
    <m/>
    <m/>
    <m/>
    <n v="71"/>
  </r>
  <r>
    <x v="26"/>
    <x v="0"/>
    <x v="11"/>
    <x v="5"/>
    <m/>
    <m/>
    <m/>
    <n v="7"/>
  </r>
  <r>
    <x v="26"/>
    <x v="0"/>
    <x v="11"/>
    <x v="6"/>
    <m/>
    <m/>
    <m/>
    <n v="7"/>
  </r>
  <r>
    <x v="11"/>
    <x v="0"/>
    <x v="11"/>
    <x v="1"/>
    <m/>
    <n v="1071"/>
    <m/>
    <m/>
  </r>
  <r>
    <x v="11"/>
    <x v="0"/>
    <x v="11"/>
    <x v="2"/>
    <m/>
    <n v="496"/>
    <m/>
    <m/>
  </r>
  <r>
    <x v="11"/>
    <x v="0"/>
    <x v="11"/>
    <x v="3"/>
    <m/>
    <n v="399"/>
    <m/>
    <m/>
  </r>
  <r>
    <x v="11"/>
    <x v="1"/>
    <x v="11"/>
    <x v="1"/>
    <m/>
    <n v="1298"/>
    <m/>
    <m/>
  </r>
  <r>
    <x v="11"/>
    <x v="1"/>
    <x v="11"/>
    <x v="2"/>
    <m/>
    <n v="446"/>
    <m/>
    <m/>
  </r>
  <r>
    <x v="11"/>
    <x v="1"/>
    <x v="11"/>
    <x v="3"/>
    <m/>
    <n v="371"/>
    <m/>
    <m/>
  </r>
  <r>
    <x v="11"/>
    <x v="0"/>
    <x v="11"/>
    <x v="4"/>
    <m/>
    <m/>
    <m/>
    <n v="88"/>
  </r>
  <r>
    <x v="11"/>
    <x v="0"/>
    <x v="11"/>
    <x v="5"/>
    <m/>
    <m/>
    <m/>
    <n v="9"/>
  </r>
  <r>
    <x v="11"/>
    <x v="0"/>
    <x v="11"/>
    <x v="6"/>
    <m/>
    <m/>
    <m/>
    <n v="11"/>
  </r>
  <r>
    <x v="31"/>
    <x v="0"/>
    <x v="11"/>
    <x v="1"/>
    <m/>
    <n v="666"/>
    <m/>
    <m/>
  </r>
  <r>
    <x v="31"/>
    <x v="0"/>
    <x v="11"/>
    <x v="2"/>
    <m/>
    <n v="264"/>
    <m/>
    <m/>
  </r>
  <r>
    <x v="31"/>
    <x v="0"/>
    <x v="11"/>
    <x v="3"/>
    <m/>
    <n v="186"/>
    <m/>
    <m/>
  </r>
  <r>
    <x v="31"/>
    <x v="1"/>
    <x v="11"/>
    <x v="1"/>
    <m/>
    <n v="722"/>
    <m/>
    <m/>
  </r>
  <r>
    <x v="31"/>
    <x v="1"/>
    <x v="11"/>
    <x v="2"/>
    <m/>
    <n v="286"/>
    <m/>
    <m/>
  </r>
  <r>
    <x v="31"/>
    <x v="1"/>
    <x v="11"/>
    <x v="3"/>
    <m/>
    <n v="170"/>
    <m/>
    <m/>
  </r>
  <r>
    <x v="31"/>
    <x v="0"/>
    <x v="11"/>
    <x v="4"/>
    <m/>
    <m/>
    <m/>
    <n v="64"/>
  </r>
  <r>
    <x v="31"/>
    <x v="0"/>
    <x v="11"/>
    <x v="5"/>
    <m/>
    <m/>
    <m/>
    <n v="13"/>
  </r>
  <r>
    <x v="31"/>
    <x v="0"/>
    <x v="11"/>
    <x v="6"/>
    <m/>
    <m/>
    <m/>
    <n v="8"/>
  </r>
  <r>
    <x v="7"/>
    <x v="0"/>
    <x v="11"/>
    <x v="1"/>
    <m/>
    <n v="877"/>
    <m/>
    <m/>
  </r>
  <r>
    <x v="7"/>
    <x v="0"/>
    <x v="11"/>
    <x v="2"/>
    <m/>
    <n v="437"/>
    <m/>
    <m/>
  </r>
  <r>
    <x v="7"/>
    <x v="0"/>
    <x v="11"/>
    <x v="3"/>
    <m/>
    <n v="295"/>
    <m/>
    <m/>
  </r>
  <r>
    <x v="7"/>
    <x v="1"/>
    <x v="11"/>
    <x v="1"/>
    <m/>
    <n v="1161"/>
    <m/>
    <m/>
  </r>
  <r>
    <x v="7"/>
    <x v="1"/>
    <x v="11"/>
    <x v="2"/>
    <m/>
    <n v="451"/>
    <m/>
    <m/>
  </r>
  <r>
    <x v="7"/>
    <x v="1"/>
    <x v="11"/>
    <x v="3"/>
    <m/>
    <n v="308"/>
    <m/>
    <m/>
  </r>
  <r>
    <x v="7"/>
    <x v="0"/>
    <x v="11"/>
    <x v="4"/>
    <m/>
    <m/>
    <m/>
    <n v="112"/>
  </r>
  <r>
    <x v="7"/>
    <x v="0"/>
    <x v="11"/>
    <x v="5"/>
    <m/>
    <m/>
    <m/>
    <n v="15"/>
  </r>
  <r>
    <x v="7"/>
    <x v="0"/>
    <x v="11"/>
    <x v="6"/>
    <m/>
    <m/>
    <m/>
    <n v="24"/>
  </r>
  <r>
    <x v="2"/>
    <x v="0"/>
    <x v="11"/>
    <x v="1"/>
    <m/>
    <n v="1434"/>
    <m/>
    <m/>
  </r>
  <r>
    <x v="2"/>
    <x v="0"/>
    <x v="11"/>
    <x v="2"/>
    <m/>
    <n v="514"/>
    <m/>
    <m/>
  </r>
  <r>
    <x v="2"/>
    <x v="0"/>
    <x v="11"/>
    <x v="3"/>
    <m/>
    <n v="398"/>
    <m/>
    <m/>
  </r>
  <r>
    <x v="2"/>
    <x v="1"/>
    <x v="11"/>
    <x v="1"/>
    <m/>
    <n v="1760"/>
    <m/>
    <m/>
  </r>
  <r>
    <x v="2"/>
    <x v="1"/>
    <x v="11"/>
    <x v="2"/>
    <m/>
    <n v="515"/>
    <m/>
    <m/>
  </r>
  <r>
    <x v="2"/>
    <x v="1"/>
    <x v="11"/>
    <x v="3"/>
    <m/>
    <n v="416"/>
    <m/>
    <m/>
  </r>
  <r>
    <x v="2"/>
    <x v="0"/>
    <x v="11"/>
    <x v="4"/>
    <m/>
    <m/>
    <m/>
    <n v="177"/>
  </r>
  <r>
    <x v="2"/>
    <x v="0"/>
    <x v="11"/>
    <x v="5"/>
    <m/>
    <m/>
    <m/>
    <n v="23"/>
  </r>
  <r>
    <x v="2"/>
    <x v="0"/>
    <x v="11"/>
    <x v="6"/>
    <m/>
    <m/>
    <m/>
    <n v="17"/>
  </r>
  <r>
    <x v="22"/>
    <x v="0"/>
    <x v="11"/>
    <x v="1"/>
    <m/>
    <n v="794"/>
    <m/>
    <m/>
  </r>
  <r>
    <x v="22"/>
    <x v="0"/>
    <x v="11"/>
    <x v="2"/>
    <m/>
    <n v="257"/>
    <m/>
    <m/>
  </r>
  <r>
    <x v="22"/>
    <x v="0"/>
    <x v="11"/>
    <x v="3"/>
    <m/>
    <n v="192"/>
    <m/>
    <m/>
  </r>
  <r>
    <x v="22"/>
    <x v="1"/>
    <x v="11"/>
    <x v="1"/>
    <m/>
    <n v="1014"/>
    <m/>
    <m/>
  </r>
  <r>
    <x v="22"/>
    <x v="1"/>
    <x v="11"/>
    <x v="2"/>
    <m/>
    <n v="290"/>
    <m/>
    <m/>
  </r>
  <r>
    <x v="22"/>
    <x v="1"/>
    <x v="11"/>
    <x v="3"/>
    <m/>
    <n v="184"/>
    <m/>
    <m/>
  </r>
  <r>
    <x v="22"/>
    <x v="0"/>
    <x v="11"/>
    <x v="4"/>
    <m/>
    <m/>
    <m/>
    <n v="68"/>
  </r>
  <r>
    <x v="22"/>
    <x v="0"/>
    <x v="11"/>
    <x v="5"/>
    <m/>
    <m/>
    <m/>
    <n v="5"/>
  </r>
  <r>
    <x v="22"/>
    <x v="0"/>
    <x v="11"/>
    <x v="6"/>
    <m/>
    <m/>
    <m/>
    <n v="5"/>
  </r>
  <r>
    <x v="48"/>
    <x v="0"/>
    <x v="11"/>
    <x v="1"/>
    <m/>
    <n v="929"/>
    <m/>
    <m/>
  </r>
  <r>
    <x v="48"/>
    <x v="0"/>
    <x v="11"/>
    <x v="2"/>
    <m/>
    <n v="190"/>
    <m/>
    <m/>
  </r>
  <r>
    <x v="48"/>
    <x v="0"/>
    <x v="11"/>
    <x v="3"/>
    <m/>
    <n v="117"/>
    <m/>
    <m/>
  </r>
  <r>
    <x v="48"/>
    <x v="1"/>
    <x v="11"/>
    <x v="1"/>
    <m/>
    <n v="1074"/>
    <m/>
    <m/>
  </r>
  <r>
    <x v="48"/>
    <x v="1"/>
    <x v="11"/>
    <x v="2"/>
    <m/>
    <n v="168"/>
    <m/>
    <m/>
  </r>
  <r>
    <x v="48"/>
    <x v="1"/>
    <x v="11"/>
    <x v="3"/>
    <m/>
    <n v="102"/>
    <m/>
    <m/>
  </r>
  <r>
    <x v="48"/>
    <x v="0"/>
    <x v="11"/>
    <x v="4"/>
    <m/>
    <m/>
    <m/>
    <n v="67"/>
  </r>
  <r>
    <x v="48"/>
    <x v="0"/>
    <x v="11"/>
    <x v="5"/>
    <m/>
    <m/>
    <m/>
    <n v="5"/>
  </r>
  <r>
    <x v="48"/>
    <x v="0"/>
    <x v="11"/>
    <x v="6"/>
    <m/>
    <m/>
    <m/>
    <n v="10"/>
  </r>
  <r>
    <x v="50"/>
    <x v="0"/>
    <x v="11"/>
    <x v="1"/>
    <m/>
    <n v="365"/>
    <m/>
    <m/>
  </r>
  <r>
    <x v="50"/>
    <x v="0"/>
    <x v="11"/>
    <x v="2"/>
    <m/>
    <n v="115"/>
    <m/>
    <m/>
  </r>
  <r>
    <x v="50"/>
    <x v="0"/>
    <x v="11"/>
    <x v="3"/>
    <m/>
    <n v="89"/>
    <m/>
    <m/>
  </r>
  <r>
    <x v="50"/>
    <x v="1"/>
    <x v="11"/>
    <x v="1"/>
    <m/>
    <n v="374"/>
    <m/>
    <m/>
  </r>
  <r>
    <x v="50"/>
    <x v="1"/>
    <x v="11"/>
    <x v="2"/>
    <m/>
    <n v="141"/>
    <m/>
    <m/>
  </r>
  <r>
    <x v="50"/>
    <x v="1"/>
    <x v="11"/>
    <x v="3"/>
    <m/>
    <n v="125"/>
    <m/>
    <m/>
  </r>
  <r>
    <x v="50"/>
    <x v="0"/>
    <x v="11"/>
    <x v="4"/>
    <m/>
    <m/>
    <m/>
    <n v="41"/>
  </r>
  <r>
    <x v="50"/>
    <x v="0"/>
    <x v="11"/>
    <x v="5"/>
    <m/>
    <m/>
    <m/>
    <n v="3"/>
  </r>
  <r>
    <x v="50"/>
    <x v="0"/>
    <x v="11"/>
    <x v="6"/>
    <m/>
    <m/>
    <m/>
    <n v="2"/>
  </r>
  <r>
    <x v="8"/>
    <x v="0"/>
    <x v="11"/>
    <x v="1"/>
    <m/>
    <n v="1220"/>
    <m/>
    <m/>
  </r>
  <r>
    <x v="8"/>
    <x v="0"/>
    <x v="11"/>
    <x v="2"/>
    <m/>
    <n v="487"/>
    <m/>
    <m/>
  </r>
  <r>
    <x v="8"/>
    <x v="0"/>
    <x v="11"/>
    <x v="3"/>
    <m/>
    <n v="346"/>
    <m/>
    <m/>
  </r>
  <r>
    <x v="8"/>
    <x v="1"/>
    <x v="11"/>
    <x v="1"/>
    <m/>
    <n v="1467"/>
    <m/>
    <m/>
  </r>
  <r>
    <x v="8"/>
    <x v="1"/>
    <x v="11"/>
    <x v="2"/>
    <m/>
    <n v="477"/>
    <m/>
    <m/>
  </r>
  <r>
    <x v="8"/>
    <x v="1"/>
    <x v="11"/>
    <x v="3"/>
    <m/>
    <n v="338"/>
    <m/>
    <m/>
  </r>
  <r>
    <x v="8"/>
    <x v="0"/>
    <x v="11"/>
    <x v="4"/>
    <m/>
    <m/>
    <m/>
    <n v="108"/>
  </r>
  <r>
    <x v="8"/>
    <x v="0"/>
    <x v="11"/>
    <x v="5"/>
    <m/>
    <m/>
    <m/>
    <n v="10"/>
  </r>
  <r>
    <x v="8"/>
    <x v="0"/>
    <x v="11"/>
    <x v="6"/>
    <m/>
    <m/>
    <m/>
    <n v="6"/>
  </r>
  <r>
    <x v="42"/>
    <x v="0"/>
    <x v="11"/>
    <x v="1"/>
    <m/>
    <n v="297"/>
    <m/>
    <m/>
  </r>
  <r>
    <x v="42"/>
    <x v="0"/>
    <x v="11"/>
    <x v="2"/>
    <m/>
    <n v="158"/>
    <m/>
    <m/>
  </r>
  <r>
    <x v="42"/>
    <x v="0"/>
    <x v="11"/>
    <x v="3"/>
    <m/>
    <n v="126"/>
    <m/>
    <m/>
  </r>
  <r>
    <x v="42"/>
    <x v="1"/>
    <x v="11"/>
    <x v="1"/>
    <m/>
    <n v="355"/>
    <m/>
    <m/>
  </r>
  <r>
    <x v="42"/>
    <x v="1"/>
    <x v="11"/>
    <x v="2"/>
    <m/>
    <n v="147"/>
    <m/>
    <m/>
  </r>
  <r>
    <x v="42"/>
    <x v="1"/>
    <x v="11"/>
    <x v="3"/>
    <m/>
    <n v="109"/>
    <m/>
    <m/>
  </r>
  <r>
    <x v="42"/>
    <x v="0"/>
    <x v="11"/>
    <x v="4"/>
    <m/>
    <m/>
    <m/>
    <n v="23"/>
  </r>
  <r>
    <x v="42"/>
    <x v="0"/>
    <x v="11"/>
    <x v="5"/>
    <m/>
    <m/>
    <m/>
    <n v="4"/>
  </r>
  <r>
    <x v="42"/>
    <x v="0"/>
    <x v="11"/>
    <x v="6"/>
    <m/>
    <m/>
    <m/>
    <n v="5"/>
  </r>
  <r>
    <x v="46"/>
    <x v="0"/>
    <x v="11"/>
    <x v="1"/>
    <m/>
    <n v="335"/>
    <m/>
    <m/>
  </r>
  <r>
    <x v="46"/>
    <x v="0"/>
    <x v="11"/>
    <x v="2"/>
    <m/>
    <n v="157"/>
    <m/>
    <m/>
  </r>
  <r>
    <x v="46"/>
    <x v="0"/>
    <x v="11"/>
    <x v="3"/>
    <m/>
    <n v="121"/>
    <m/>
    <m/>
  </r>
  <r>
    <x v="46"/>
    <x v="1"/>
    <x v="11"/>
    <x v="1"/>
    <m/>
    <n v="388"/>
    <m/>
    <m/>
  </r>
  <r>
    <x v="46"/>
    <x v="1"/>
    <x v="11"/>
    <x v="2"/>
    <m/>
    <n v="153"/>
    <m/>
    <m/>
  </r>
  <r>
    <x v="46"/>
    <x v="1"/>
    <x v="11"/>
    <x v="3"/>
    <m/>
    <n v="132"/>
    <m/>
    <m/>
  </r>
  <r>
    <x v="46"/>
    <x v="0"/>
    <x v="11"/>
    <x v="4"/>
    <m/>
    <m/>
    <m/>
    <n v="31"/>
  </r>
  <r>
    <x v="46"/>
    <x v="0"/>
    <x v="11"/>
    <x v="5"/>
    <m/>
    <m/>
    <m/>
    <n v="2"/>
  </r>
  <r>
    <x v="46"/>
    <x v="0"/>
    <x v="11"/>
    <x v="6"/>
    <m/>
    <m/>
    <m/>
    <n v="1"/>
  </r>
  <r>
    <x v="38"/>
    <x v="0"/>
    <x v="11"/>
    <x v="1"/>
    <m/>
    <n v="269"/>
    <m/>
    <m/>
  </r>
  <r>
    <x v="38"/>
    <x v="0"/>
    <x v="11"/>
    <x v="2"/>
    <m/>
    <n v="191"/>
    <m/>
    <m/>
  </r>
  <r>
    <x v="38"/>
    <x v="0"/>
    <x v="11"/>
    <x v="3"/>
    <m/>
    <n v="131"/>
    <m/>
    <m/>
  </r>
  <r>
    <x v="38"/>
    <x v="1"/>
    <x v="11"/>
    <x v="1"/>
    <m/>
    <n v="378"/>
    <m/>
    <m/>
  </r>
  <r>
    <x v="38"/>
    <x v="1"/>
    <x v="11"/>
    <x v="2"/>
    <m/>
    <n v="217"/>
    <m/>
    <m/>
  </r>
  <r>
    <x v="38"/>
    <x v="1"/>
    <x v="11"/>
    <x v="3"/>
    <m/>
    <n v="147"/>
    <m/>
    <m/>
  </r>
  <r>
    <x v="38"/>
    <x v="0"/>
    <x v="11"/>
    <x v="4"/>
    <m/>
    <m/>
    <m/>
    <n v="32"/>
  </r>
  <r>
    <x v="38"/>
    <x v="0"/>
    <x v="11"/>
    <x v="5"/>
    <m/>
    <m/>
    <m/>
    <n v="1"/>
  </r>
  <r>
    <x v="38"/>
    <x v="0"/>
    <x v="11"/>
    <x v="6"/>
    <m/>
    <m/>
    <m/>
    <n v="3"/>
  </r>
  <r>
    <x v="3"/>
    <x v="0"/>
    <x v="11"/>
    <x v="1"/>
    <m/>
    <n v="1265"/>
    <m/>
    <m/>
  </r>
  <r>
    <x v="3"/>
    <x v="0"/>
    <x v="11"/>
    <x v="2"/>
    <m/>
    <n v="461"/>
    <m/>
    <m/>
  </r>
  <r>
    <x v="3"/>
    <x v="0"/>
    <x v="11"/>
    <x v="3"/>
    <m/>
    <n v="351"/>
    <m/>
    <m/>
  </r>
  <r>
    <x v="3"/>
    <x v="1"/>
    <x v="11"/>
    <x v="1"/>
    <m/>
    <n v="1274"/>
    <m/>
    <m/>
  </r>
  <r>
    <x v="3"/>
    <x v="1"/>
    <x v="11"/>
    <x v="2"/>
    <m/>
    <n v="448"/>
    <m/>
    <m/>
  </r>
  <r>
    <x v="3"/>
    <x v="1"/>
    <x v="11"/>
    <x v="3"/>
    <m/>
    <n v="363"/>
    <m/>
    <m/>
  </r>
  <r>
    <x v="3"/>
    <x v="0"/>
    <x v="11"/>
    <x v="4"/>
    <m/>
    <m/>
    <m/>
    <n v="89"/>
  </r>
  <r>
    <x v="3"/>
    <x v="0"/>
    <x v="11"/>
    <x v="5"/>
    <m/>
    <m/>
    <m/>
    <n v="15"/>
  </r>
  <r>
    <x v="3"/>
    <x v="0"/>
    <x v="11"/>
    <x v="6"/>
    <m/>
    <m/>
    <m/>
    <m/>
  </r>
  <r>
    <x v="12"/>
    <x v="0"/>
    <x v="11"/>
    <x v="1"/>
    <m/>
    <n v="975"/>
    <m/>
    <m/>
  </r>
  <r>
    <x v="12"/>
    <x v="0"/>
    <x v="11"/>
    <x v="2"/>
    <m/>
    <n v="371"/>
    <m/>
    <m/>
  </r>
  <r>
    <x v="12"/>
    <x v="0"/>
    <x v="11"/>
    <x v="3"/>
    <m/>
    <n v="274"/>
    <m/>
    <m/>
  </r>
  <r>
    <x v="12"/>
    <x v="1"/>
    <x v="11"/>
    <x v="1"/>
    <m/>
    <n v="1135"/>
    <m/>
    <m/>
  </r>
  <r>
    <x v="12"/>
    <x v="1"/>
    <x v="11"/>
    <x v="2"/>
    <m/>
    <n v="383"/>
    <m/>
    <m/>
  </r>
  <r>
    <x v="12"/>
    <x v="1"/>
    <x v="11"/>
    <x v="3"/>
    <m/>
    <n v="301"/>
    <m/>
    <m/>
  </r>
  <r>
    <x v="12"/>
    <x v="0"/>
    <x v="11"/>
    <x v="4"/>
    <m/>
    <m/>
    <m/>
    <n v="86"/>
  </r>
  <r>
    <x v="12"/>
    <x v="0"/>
    <x v="11"/>
    <x v="5"/>
    <m/>
    <m/>
    <m/>
    <n v="6"/>
  </r>
  <r>
    <x v="12"/>
    <x v="0"/>
    <x v="11"/>
    <x v="6"/>
    <m/>
    <m/>
    <m/>
    <n v="11"/>
  </r>
  <r>
    <x v="34"/>
    <x v="0"/>
    <x v="11"/>
    <x v="1"/>
    <m/>
    <n v="824"/>
    <m/>
    <m/>
  </r>
  <r>
    <x v="34"/>
    <x v="0"/>
    <x v="11"/>
    <x v="2"/>
    <m/>
    <n v="257"/>
    <m/>
    <m/>
  </r>
  <r>
    <x v="34"/>
    <x v="0"/>
    <x v="11"/>
    <x v="3"/>
    <m/>
    <n v="178"/>
    <m/>
    <m/>
  </r>
  <r>
    <x v="34"/>
    <x v="1"/>
    <x v="11"/>
    <x v="1"/>
    <m/>
    <n v="1088"/>
    <m/>
    <m/>
  </r>
  <r>
    <x v="34"/>
    <x v="1"/>
    <x v="11"/>
    <x v="2"/>
    <m/>
    <n v="278"/>
    <m/>
    <m/>
  </r>
  <r>
    <x v="34"/>
    <x v="1"/>
    <x v="11"/>
    <x v="3"/>
    <m/>
    <n v="179"/>
    <m/>
    <m/>
  </r>
  <r>
    <x v="34"/>
    <x v="0"/>
    <x v="11"/>
    <x v="4"/>
    <m/>
    <m/>
    <m/>
    <n v="48"/>
  </r>
  <r>
    <x v="34"/>
    <x v="0"/>
    <x v="11"/>
    <x v="5"/>
    <m/>
    <m/>
    <m/>
    <n v="5"/>
  </r>
  <r>
    <x v="34"/>
    <x v="0"/>
    <x v="11"/>
    <x v="6"/>
    <m/>
    <m/>
    <m/>
    <n v="3"/>
  </r>
  <r>
    <x v="0"/>
    <x v="0"/>
    <x v="11"/>
    <x v="1"/>
    <m/>
    <n v="2067"/>
    <m/>
    <m/>
  </r>
  <r>
    <x v="0"/>
    <x v="0"/>
    <x v="11"/>
    <x v="2"/>
    <m/>
    <n v="743"/>
    <m/>
    <m/>
  </r>
  <r>
    <x v="0"/>
    <x v="0"/>
    <x v="11"/>
    <x v="3"/>
    <m/>
    <n v="531"/>
    <m/>
    <m/>
  </r>
  <r>
    <x v="0"/>
    <x v="1"/>
    <x v="11"/>
    <x v="1"/>
    <m/>
    <n v="2414"/>
    <m/>
    <m/>
  </r>
  <r>
    <x v="0"/>
    <x v="1"/>
    <x v="11"/>
    <x v="2"/>
    <m/>
    <n v="849"/>
    <m/>
    <m/>
  </r>
  <r>
    <x v="0"/>
    <x v="1"/>
    <x v="11"/>
    <x v="3"/>
    <m/>
    <n v="609"/>
    <m/>
    <m/>
  </r>
  <r>
    <x v="0"/>
    <x v="0"/>
    <x v="11"/>
    <x v="4"/>
    <m/>
    <m/>
    <m/>
    <n v="149"/>
  </r>
  <r>
    <x v="0"/>
    <x v="0"/>
    <x v="11"/>
    <x v="5"/>
    <m/>
    <m/>
    <m/>
    <n v="19"/>
  </r>
  <r>
    <x v="0"/>
    <x v="0"/>
    <x v="11"/>
    <x v="6"/>
    <m/>
    <m/>
    <m/>
    <n v="20"/>
  </r>
  <r>
    <x v="39"/>
    <x v="0"/>
    <x v="11"/>
    <x v="1"/>
    <m/>
    <n v="319"/>
    <m/>
    <m/>
  </r>
  <r>
    <x v="39"/>
    <x v="0"/>
    <x v="11"/>
    <x v="2"/>
    <m/>
    <n v="169"/>
    <m/>
    <m/>
  </r>
  <r>
    <x v="39"/>
    <x v="0"/>
    <x v="11"/>
    <x v="3"/>
    <m/>
    <n v="138"/>
    <m/>
    <m/>
  </r>
  <r>
    <x v="39"/>
    <x v="1"/>
    <x v="11"/>
    <x v="1"/>
    <m/>
    <n v="343"/>
    <m/>
    <m/>
  </r>
  <r>
    <x v="39"/>
    <x v="1"/>
    <x v="11"/>
    <x v="2"/>
    <m/>
    <n v="207"/>
    <m/>
    <m/>
  </r>
  <r>
    <x v="39"/>
    <x v="1"/>
    <x v="11"/>
    <x v="3"/>
    <m/>
    <n v="175"/>
    <m/>
    <m/>
  </r>
  <r>
    <x v="39"/>
    <x v="0"/>
    <x v="11"/>
    <x v="4"/>
    <m/>
    <m/>
    <m/>
    <n v="49"/>
  </r>
  <r>
    <x v="39"/>
    <x v="0"/>
    <x v="11"/>
    <x v="5"/>
    <m/>
    <m/>
    <m/>
    <n v="3"/>
  </r>
  <r>
    <x v="39"/>
    <x v="0"/>
    <x v="11"/>
    <x v="6"/>
    <m/>
    <m/>
    <m/>
    <n v="4"/>
  </r>
  <r>
    <x v="51"/>
    <x v="0"/>
    <x v="11"/>
    <x v="1"/>
    <m/>
    <n v="331"/>
    <m/>
    <m/>
  </r>
  <r>
    <x v="51"/>
    <x v="0"/>
    <x v="11"/>
    <x v="2"/>
    <m/>
    <n v="117"/>
    <m/>
    <m/>
  </r>
  <r>
    <x v="51"/>
    <x v="0"/>
    <x v="11"/>
    <x v="3"/>
    <m/>
    <n v="74"/>
    <m/>
    <m/>
  </r>
  <r>
    <x v="51"/>
    <x v="1"/>
    <x v="11"/>
    <x v="1"/>
    <m/>
    <n v="346"/>
    <m/>
    <m/>
  </r>
  <r>
    <x v="51"/>
    <x v="1"/>
    <x v="11"/>
    <x v="2"/>
    <m/>
    <n v="105"/>
    <m/>
    <m/>
  </r>
  <r>
    <x v="51"/>
    <x v="1"/>
    <x v="11"/>
    <x v="3"/>
    <m/>
    <n v="93"/>
    <m/>
    <m/>
  </r>
  <r>
    <x v="51"/>
    <x v="0"/>
    <x v="11"/>
    <x v="4"/>
    <m/>
    <m/>
    <m/>
    <n v="38"/>
  </r>
  <r>
    <x v="51"/>
    <x v="0"/>
    <x v="11"/>
    <x v="5"/>
    <m/>
    <m/>
    <m/>
    <n v="3"/>
  </r>
  <r>
    <x v="51"/>
    <x v="0"/>
    <x v="11"/>
    <x v="6"/>
    <m/>
    <m/>
    <m/>
    <n v="3"/>
  </r>
  <r>
    <x v="43"/>
    <x v="0"/>
    <x v="11"/>
    <x v="1"/>
    <m/>
    <n v="494"/>
    <m/>
    <m/>
  </r>
  <r>
    <x v="43"/>
    <x v="0"/>
    <x v="11"/>
    <x v="2"/>
    <m/>
    <n v="225"/>
    <m/>
    <m/>
  </r>
  <r>
    <x v="43"/>
    <x v="0"/>
    <x v="11"/>
    <x v="3"/>
    <m/>
    <n v="200"/>
    <m/>
    <m/>
  </r>
  <r>
    <x v="43"/>
    <x v="1"/>
    <x v="11"/>
    <x v="1"/>
    <m/>
    <n v="538"/>
    <m/>
    <m/>
  </r>
  <r>
    <x v="43"/>
    <x v="1"/>
    <x v="11"/>
    <x v="2"/>
    <m/>
    <n v="236"/>
    <m/>
    <m/>
  </r>
  <r>
    <x v="43"/>
    <x v="1"/>
    <x v="11"/>
    <x v="3"/>
    <m/>
    <n v="181"/>
    <m/>
    <m/>
  </r>
  <r>
    <x v="43"/>
    <x v="0"/>
    <x v="11"/>
    <x v="4"/>
    <m/>
    <m/>
    <m/>
    <n v="54"/>
  </r>
  <r>
    <x v="43"/>
    <x v="0"/>
    <x v="11"/>
    <x v="5"/>
    <m/>
    <m/>
    <m/>
    <n v="3"/>
  </r>
  <r>
    <x v="43"/>
    <x v="0"/>
    <x v="11"/>
    <x v="6"/>
    <m/>
    <m/>
    <m/>
    <n v="2"/>
  </r>
  <r>
    <x v="1"/>
    <x v="0"/>
    <x v="11"/>
    <x v="1"/>
    <m/>
    <n v="1215"/>
    <m/>
    <m/>
  </r>
  <r>
    <x v="1"/>
    <x v="0"/>
    <x v="11"/>
    <x v="2"/>
    <m/>
    <n v="546"/>
    <m/>
    <m/>
  </r>
  <r>
    <x v="1"/>
    <x v="0"/>
    <x v="11"/>
    <x v="3"/>
    <m/>
    <n v="404"/>
    <m/>
    <m/>
  </r>
  <r>
    <x v="1"/>
    <x v="1"/>
    <x v="11"/>
    <x v="1"/>
    <m/>
    <n v="1262"/>
    <m/>
    <m/>
  </r>
  <r>
    <x v="1"/>
    <x v="1"/>
    <x v="11"/>
    <x v="2"/>
    <m/>
    <n v="435"/>
    <m/>
    <m/>
  </r>
  <r>
    <x v="1"/>
    <x v="1"/>
    <x v="11"/>
    <x v="3"/>
    <m/>
    <n v="365"/>
    <m/>
    <m/>
  </r>
  <r>
    <x v="1"/>
    <x v="0"/>
    <x v="11"/>
    <x v="4"/>
    <m/>
    <m/>
    <m/>
    <n v="164"/>
  </r>
  <r>
    <x v="1"/>
    <x v="0"/>
    <x v="11"/>
    <x v="5"/>
    <m/>
    <m/>
    <m/>
    <n v="13"/>
  </r>
  <r>
    <x v="1"/>
    <x v="0"/>
    <x v="11"/>
    <x v="6"/>
    <m/>
    <m/>
    <m/>
    <n v="7"/>
  </r>
  <r>
    <x v="18"/>
    <x v="0"/>
    <x v="11"/>
    <x v="1"/>
    <m/>
    <n v="718"/>
    <m/>
    <m/>
  </r>
  <r>
    <x v="18"/>
    <x v="0"/>
    <x v="11"/>
    <x v="2"/>
    <m/>
    <n v="335"/>
    <m/>
    <m/>
  </r>
  <r>
    <x v="18"/>
    <x v="0"/>
    <x v="11"/>
    <x v="3"/>
    <m/>
    <n v="259"/>
    <m/>
    <m/>
  </r>
  <r>
    <x v="18"/>
    <x v="1"/>
    <x v="11"/>
    <x v="1"/>
    <m/>
    <n v="689"/>
    <m/>
    <m/>
  </r>
  <r>
    <x v="18"/>
    <x v="1"/>
    <x v="11"/>
    <x v="2"/>
    <m/>
    <n v="324"/>
    <m/>
    <m/>
  </r>
  <r>
    <x v="18"/>
    <x v="1"/>
    <x v="11"/>
    <x v="3"/>
    <m/>
    <n v="279"/>
    <m/>
    <m/>
  </r>
  <r>
    <x v="18"/>
    <x v="0"/>
    <x v="11"/>
    <x v="4"/>
    <m/>
    <m/>
    <m/>
    <n v="102"/>
  </r>
  <r>
    <x v="18"/>
    <x v="0"/>
    <x v="11"/>
    <x v="5"/>
    <m/>
    <m/>
    <m/>
    <n v="10"/>
  </r>
  <r>
    <x v="18"/>
    <x v="0"/>
    <x v="11"/>
    <x v="6"/>
    <m/>
    <m/>
    <m/>
    <n v="6"/>
  </r>
  <r>
    <x v="52"/>
    <x v="0"/>
    <x v="11"/>
    <x v="1"/>
    <m/>
    <n v="170"/>
    <m/>
    <m/>
  </r>
  <r>
    <x v="52"/>
    <x v="0"/>
    <x v="11"/>
    <x v="2"/>
    <m/>
    <n v="43"/>
    <m/>
    <m/>
  </r>
  <r>
    <x v="52"/>
    <x v="0"/>
    <x v="11"/>
    <x v="3"/>
    <m/>
    <n v="30"/>
    <m/>
    <m/>
  </r>
  <r>
    <x v="52"/>
    <x v="1"/>
    <x v="11"/>
    <x v="1"/>
    <m/>
    <n v="216"/>
    <m/>
    <m/>
  </r>
  <r>
    <x v="52"/>
    <x v="1"/>
    <x v="11"/>
    <x v="2"/>
    <m/>
    <n v="50"/>
    <m/>
    <m/>
  </r>
  <r>
    <x v="52"/>
    <x v="1"/>
    <x v="11"/>
    <x v="3"/>
    <m/>
    <n v="26"/>
    <m/>
    <m/>
  </r>
  <r>
    <x v="52"/>
    <x v="0"/>
    <x v="11"/>
    <x v="4"/>
    <m/>
    <m/>
    <m/>
    <n v="2"/>
  </r>
  <r>
    <x v="52"/>
    <x v="0"/>
    <x v="11"/>
    <x v="5"/>
    <m/>
    <m/>
    <m/>
    <n v="0"/>
  </r>
  <r>
    <x v="52"/>
    <x v="0"/>
    <x v="11"/>
    <x v="6"/>
    <m/>
    <m/>
    <m/>
    <n v="1"/>
  </r>
  <r>
    <x v="4"/>
    <x v="0"/>
    <x v="11"/>
    <x v="1"/>
    <m/>
    <n v="1418"/>
    <m/>
    <m/>
  </r>
  <r>
    <x v="4"/>
    <x v="0"/>
    <x v="11"/>
    <x v="2"/>
    <m/>
    <n v="551"/>
    <m/>
    <m/>
  </r>
  <r>
    <x v="4"/>
    <x v="0"/>
    <x v="11"/>
    <x v="3"/>
    <m/>
    <n v="421"/>
    <m/>
    <m/>
  </r>
  <r>
    <x v="4"/>
    <x v="1"/>
    <x v="11"/>
    <x v="1"/>
    <m/>
    <n v="1675"/>
    <m/>
    <m/>
  </r>
  <r>
    <x v="4"/>
    <x v="1"/>
    <x v="11"/>
    <x v="2"/>
    <m/>
    <n v="519"/>
    <m/>
    <m/>
  </r>
  <r>
    <x v="4"/>
    <x v="1"/>
    <x v="11"/>
    <x v="3"/>
    <m/>
    <n v="345"/>
    <m/>
    <m/>
  </r>
  <r>
    <x v="4"/>
    <x v="0"/>
    <x v="11"/>
    <x v="4"/>
    <m/>
    <m/>
    <m/>
    <n v="181"/>
  </r>
  <r>
    <x v="4"/>
    <x v="0"/>
    <x v="11"/>
    <x v="5"/>
    <m/>
    <m/>
    <m/>
    <n v="16"/>
  </r>
  <r>
    <x v="4"/>
    <x v="0"/>
    <x v="11"/>
    <x v="6"/>
    <m/>
    <m/>
    <m/>
    <n v="33"/>
  </r>
  <r>
    <x v="41"/>
    <x v="0"/>
    <x v="11"/>
    <x v="1"/>
    <m/>
    <n v="880"/>
    <m/>
    <m/>
  </r>
  <r>
    <x v="41"/>
    <x v="0"/>
    <x v="11"/>
    <x v="2"/>
    <m/>
    <n v="275"/>
    <m/>
    <m/>
  </r>
  <r>
    <x v="41"/>
    <x v="0"/>
    <x v="11"/>
    <x v="3"/>
    <m/>
    <n v="213"/>
    <m/>
    <m/>
  </r>
  <r>
    <x v="41"/>
    <x v="1"/>
    <x v="11"/>
    <x v="1"/>
    <m/>
    <n v="965"/>
    <m/>
    <m/>
  </r>
  <r>
    <x v="41"/>
    <x v="1"/>
    <x v="11"/>
    <x v="2"/>
    <m/>
    <n v="276"/>
    <m/>
    <m/>
  </r>
  <r>
    <x v="41"/>
    <x v="1"/>
    <x v="11"/>
    <x v="3"/>
    <m/>
    <n v="174"/>
    <m/>
    <m/>
  </r>
  <r>
    <x v="41"/>
    <x v="0"/>
    <x v="11"/>
    <x v="4"/>
    <m/>
    <m/>
    <m/>
    <n v="65"/>
  </r>
  <r>
    <x v="41"/>
    <x v="0"/>
    <x v="11"/>
    <x v="5"/>
    <m/>
    <m/>
    <m/>
    <n v="13"/>
  </r>
  <r>
    <x v="41"/>
    <x v="0"/>
    <x v="11"/>
    <x v="6"/>
    <m/>
    <m/>
    <m/>
    <n v="4"/>
  </r>
  <r>
    <x v="15"/>
    <x v="0"/>
    <x v="11"/>
    <x v="1"/>
    <m/>
    <n v="998"/>
    <m/>
    <m/>
  </r>
  <r>
    <x v="15"/>
    <x v="0"/>
    <x v="11"/>
    <x v="2"/>
    <m/>
    <n v="462"/>
    <m/>
    <m/>
  </r>
  <r>
    <x v="15"/>
    <x v="0"/>
    <x v="11"/>
    <x v="3"/>
    <m/>
    <n v="374"/>
    <m/>
    <m/>
  </r>
  <r>
    <x v="15"/>
    <x v="1"/>
    <x v="11"/>
    <x v="1"/>
    <m/>
    <n v="1172"/>
    <m/>
    <m/>
  </r>
  <r>
    <x v="15"/>
    <x v="1"/>
    <x v="11"/>
    <x v="2"/>
    <m/>
    <n v="479"/>
    <m/>
    <m/>
  </r>
  <r>
    <x v="15"/>
    <x v="1"/>
    <x v="11"/>
    <x v="3"/>
    <m/>
    <n v="389"/>
    <m/>
    <m/>
  </r>
  <r>
    <x v="15"/>
    <x v="0"/>
    <x v="11"/>
    <x v="4"/>
    <m/>
    <m/>
    <m/>
    <n v="148"/>
  </r>
  <r>
    <x v="15"/>
    <x v="0"/>
    <x v="11"/>
    <x v="5"/>
    <m/>
    <m/>
    <m/>
    <n v="15"/>
  </r>
  <r>
    <x v="15"/>
    <x v="0"/>
    <x v="11"/>
    <x v="6"/>
    <m/>
    <m/>
    <m/>
    <n v="6"/>
  </r>
  <r>
    <x v="45"/>
    <x v="0"/>
    <x v="11"/>
    <x v="1"/>
    <m/>
    <n v="782"/>
    <m/>
    <m/>
  </r>
  <r>
    <x v="45"/>
    <x v="0"/>
    <x v="11"/>
    <x v="2"/>
    <m/>
    <n v="216"/>
    <m/>
    <m/>
  </r>
  <r>
    <x v="45"/>
    <x v="0"/>
    <x v="11"/>
    <x v="3"/>
    <m/>
    <n v="145"/>
    <m/>
    <m/>
  </r>
  <r>
    <x v="45"/>
    <x v="1"/>
    <x v="11"/>
    <x v="1"/>
    <m/>
    <n v="928"/>
    <m/>
    <m/>
  </r>
  <r>
    <x v="45"/>
    <x v="1"/>
    <x v="11"/>
    <x v="2"/>
    <m/>
    <n v="243"/>
    <m/>
    <m/>
  </r>
  <r>
    <x v="45"/>
    <x v="1"/>
    <x v="11"/>
    <x v="3"/>
    <m/>
    <n v="138"/>
    <m/>
    <m/>
  </r>
  <r>
    <x v="45"/>
    <x v="0"/>
    <x v="11"/>
    <x v="4"/>
    <m/>
    <m/>
    <m/>
    <n v="25"/>
  </r>
  <r>
    <x v="45"/>
    <x v="0"/>
    <x v="11"/>
    <x v="5"/>
    <m/>
    <m/>
    <m/>
    <n v="7"/>
  </r>
  <r>
    <x v="45"/>
    <x v="0"/>
    <x v="11"/>
    <x v="6"/>
    <m/>
    <m/>
    <m/>
    <n v="5"/>
  </r>
  <r>
    <x v="29"/>
    <x v="0"/>
    <x v="11"/>
    <x v="1"/>
    <m/>
    <n v="717"/>
    <m/>
    <m/>
  </r>
  <r>
    <x v="29"/>
    <x v="0"/>
    <x v="11"/>
    <x v="2"/>
    <m/>
    <n v="298"/>
    <m/>
    <m/>
  </r>
  <r>
    <x v="29"/>
    <x v="0"/>
    <x v="11"/>
    <x v="3"/>
    <m/>
    <n v="231"/>
    <m/>
    <m/>
  </r>
  <r>
    <x v="29"/>
    <x v="1"/>
    <x v="11"/>
    <x v="1"/>
    <m/>
    <n v="773"/>
    <m/>
    <m/>
  </r>
  <r>
    <x v="29"/>
    <x v="1"/>
    <x v="11"/>
    <x v="2"/>
    <m/>
    <n v="292"/>
    <m/>
    <m/>
  </r>
  <r>
    <x v="29"/>
    <x v="1"/>
    <x v="11"/>
    <x v="3"/>
    <m/>
    <n v="237"/>
    <m/>
    <m/>
  </r>
  <r>
    <x v="29"/>
    <x v="0"/>
    <x v="11"/>
    <x v="4"/>
    <m/>
    <m/>
    <m/>
    <n v="102"/>
  </r>
  <r>
    <x v="29"/>
    <x v="0"/>
    <x v="11"/>
    <x v="5"/>
    <m/>
    <m/>
    <m/>
    <n v="9"/>
  </r>
  <r>
    <x v="29"/>
    <x v="0"/>
    <x v="11"/>
    <x v="6"/>
    <m/>
    <m/>
    <m/>
    <n v="9"/>
  </r>
  <r>
    <x v="28"/>
    <x v="0"/>
    <x v="11"/>
    <x v="1"/>
    <m/>
    <n v="702"/>
    <m/>
    <m/>
  </r>
  <r>
    <x v="28"/>
    <x v="0"/>
    <x v="11"/>
    <x v="2"/>
    <m/>
    <n v="258"/>
    <m/>
    <m/>
  </r>
  <r>
    <x v="28"/>
    <x v="0"/>
    <x v="11"/>
    <x v="3"/>
    <m/>
    <n v="212"/>
    <m/>
    <m/>
  </r>
  <r>
    <x v="28"/>
    <x v="1"/>
    <x v="11"/>
    <x v="1"/>
    <m/>
    <n v="956"/>
    <m/>
    <m/>
  </r>
  <r>
    <x v="28"/>
    <x v="1"/>
    <x v="11"/>
    <x v="2"/>
    <m/>
    <n v="297"/>
    <m/>
    <m/>
  </r>
  <r>
    <x v="28"/>
    <x v="1"/>
    <x v="11"/>
    <x v="3"/>
    <m/>
    <n v="211"/>
    <m/>
    <m/>
  </r>
  <r>
    <x v="28"/>
    <x v="0"/>
    <x v="11"/>
    <x v="4"/>
    <m/>
    <m/>
    <m/>
    <n v="58"/>
  </r>
  <r>
    <x v="28"/>
    <x v="0"/>
    <x v="11"/>
    <x v="5"/>
    <m/>
    <m/>
    <m/>
    <n v="4"/>
  </r>
  <r>
    <x v="28"/>
    <x v="0"/>
    <x v="11"/>
    <x v="6"/>
    <m/>
    <m/>
    <m/>
    <n v="5"/>
  </r>
  <r>
    <x v="24"/>
    <x v="0"/>
    <x v="11"/>
    <x v="1"/>
    <m/>
    <n v="1148"/>
    <m/>
    <m/>
  </r>
  <r>
    <x v="24"/>
    <x v="0"/>
    <x v="11"/>
    <x v="2"/>
    <m/>
    <n v="366"/>
    <m/>
    <m/>
  </r>
  <r>
    <x v="24"/>
    <x v="0"/>
    <x v="11"/>
    <x v="3"/>
    <m/>
    <n v="231"/>
    <m/>
    <m/>
  </r>
  <r>
    <x v="24"/>
    <x v="1"/>
    <x v="11"/>
    <x v="1"/>
    <m/>
    <n v="1300"/>
    <m/>
    <m/>
  </r>
  <r>
    <x v="24"/>
    <x v="1"/>
    <x v="11"/>
    <x v="2"/>
    <m/>
    <n v="422"/>
    <m/>
    <m/>
  </r>
  <r>
    <x v="24"/>
    <x v="1"/>
    <x v="11"/>
    <x v="3"/>
    <m/>
    <n v="239"/>
    <m/>
    <m/>
  </r>
  <r>
    <x v="24"/>
    <x v="0"/>
    <x v="11"/>
    <x v="4"/>
    <m/>
    <m/>
    <m/>
    <n v="84"/>
  </r>
  <r>
    <x v="24"/>
    <x v="0"/>
    <x v="11"/>
    <x v="5"/>
    <m/>
    <m/>
    <m/>
    <n v="7"/>
  </r>
  <r>
    <x v="24"/>
    <x v="0"/>
    <x v="11"/>
    <x v="6"/>
    <m/>
    <m/>
    <m/>
    <n v="8"/>
  </r>
  <r>
    <x v="23"/>
    <x v="0"/>
    <x v="11"/>
    <x v="1"/>
    <m/>
    <n v="543"/>
    <m/>
    <m/>
  </r>
  <r>
    <x v="23"/>
    <x v="0"/>
    <x v="11"/>
    <x v="2"/>
    <m/>
    <n v="310"/>
    <m/>
    <m/>
  </r>
  <r>
    <x v="23"/>
    <x v="0"/>
    <x v="11"/>
    <x v="3"/>
    <m/>
    <n v="250"/>
    <m/>
    <m/>
  </r>
  <r>
    <x v="23"/>
    <x v="1"/>
    <x v="11"/>
    <x v="1"/>
    <m/>
    <n v="592"/>
    <m/>
    <m/>
  </r>
  <r>
    <x v="23"/>
    <x v="1"/>
    <x v="11"/>
    <x v="2"/>
    <m/>
    <n v="305"/>
    <m/>
    <m/>
  </r>
  <r>
    <x v="23"/>
    <x v="1"/>
    <x v="11"/>
    <x v="3"/>
    <m/>
    <n v="252"/>
    <m/>
    <m/>
  </r>
  <r>
    <x v="23"/>
    <x v="0"/>
    <x v="11"/>
    <x v="4"/>
    <m/>
    <m/>
    <m/>
    <n v="93"/>
  </r>
  <r>
    <x v="23"/>
    <x v="0"/>
    <x v="11"/>
    <x v="5"/>
    <m/>
    <m/>
    <m/>
    <n v="10"/>
  </r>
  <r>
    <x v="23"/>
    <x v="0"/>
    <x v="11"/>
    <x v="6"/>
    <m/>
    <m/>
    <m/>
    <n v="5"/>
  </r>
  <r>
    <x v="14"/>
    <x v="0"/>
    <x v="11"/>
    <x v="1"/>
    <m/>
    <n v="747"/>
    <m/>
    <m/>
  </r>
  <r>
    <x v="14"/>
    <x v="0"/>
    <x v="11"/>
    <x v="2"/>
    <m/>
    <n v="349"/>
    <m/>
    <m/>
  </r>
  <r>
    <x v="14"/>
    <x v="0"/>
    <x v="11"/>
    <x v="3"/>
    <m/>
    <n v="332"/>
    <m/>
    <m/>
  </r>
  <r>
    <x v="14"/>
    <x v="1"/>
    <x v="11"/>
    <x v="1"/>
    <m/>
    <n v="843"/>
    <m/>
    <m/>
  </r>
  <r>
    <x v="14"/>
    <x v="1"/>
    <x v="11"/>
    <x v="2"/>
    <m/>
    <n v="373"/>
    <m/>
    <m/>
  </r>
  <r>
    <x v="14"/>
    <x v="1"/>
    <x v="11"/>
    <x v="3"/>
    <m/>
    <n v="286"/>
    <m/>
    <m/>
  </r>
  <r>
    <x v="14"/>
    <x v="0"/>
    <x v="11"/>
    <x v="4"/>
    <m/>
    <m/>
    <m/>
    <n v="122"/>
  </r>
  <r>
    <x v="14"/>
    <x v="0"/>
    <x v="11"/>
    <x v="5"/>
    <m/>
    <m/>
    <m/>
    <n v="18"/>
  </r>
  <r>
    <x v="14"/>
    <x v="0"/>
    <x v="11"/>
    <x v="6"/>
    <m/>
    <m/>
    <m/>
    <n v="8"/>
  </r>
  <r>
    <x v="30"/>
    <x v="0"/>
    <x v="11"/>
    <x v="1"/>
    <m/>
    <n v="592"/>
    <m/>
    <m/>
  </r>
  <r>
    <x v="30"/>
    <x v="0"/>
    <x v="11"/>
    <x v="2"/>
    <m/>
    <n v="238"/>
    <m/>
    <m/>
  </r>
  <r>
    <x v="30"/>
    <x v="0"/>
    <x v="11"/>
    <x v="3"/>
    <m/>
    <n v="183"/>
    <m/>
    <m/>
  </r>
  <r>
    <x v="30"/>
    <x v="1"/>
    <x v="11"/>
    <x v="1"/>
    <m/>
    <n v="747"/>
    <m/>
    <m/>
  </r>
  <r>
    <x v="30"/>
    <x v="1"/>
    <x v="11"/>
    <x v="2"/>
    <m/>
    <n v="244"/>
    <m/>
    <m/>
  </r>
  <r>
    <x v="30"/>
    <x v="1"/>
    <x v="11"/>
    <x v="3"/>
    <m/>
    <n v="182"/>
    <m/>
    <m/>
  </r>
  <r>
    <x v="30"/>
    <x v="0"/>
    <x v="11"/>
    <x v="4"/>
    <m/>
    <m/>
    <m/>
    <n v="34"/>
  </r>
  <r>
    <x v="30"/>
    <x v="0"/>
    <x v="11"/>
    <x v="5"/>
    <m/>
    <m/>
    <m/>
    <n v="2"/>
  </r>
  <r>
    <x v="30"/>
    <x v="0"/>
    <x v="11"/>
    <x v="6"/>
    <m/>
    <m/>
    <m/>
    <n v="3"/>
  </r>
  <r>
    <x v="20"/>
    <x v="0"/>
    <x v="11"/>
    <x v="1"/>
    <m/>
    <n v="678"/>
    <m/>
    <m/>
  </r>
  <r>
    <x v="20"/>
    <x v="0"/>
    <x v="11"/>
    <x v="2"/>
    <m/>
    <n v="307"/>
    <m/>
    <m/>
  </r>
  <r>
    <x v="20"/>
    <x v="0"/>
    <x v="11"/>
    <x v="3"/>
    <m/>
    <n v="237"/>
    <m/>
    <m/>
  </r>
  <r>
    <x v="20"/>
    <x v="1"/>
    <x v="11"/>
    <x v="1"/>
    <m/>
    <n v="788"/>
    <m/>
    <m/>
  </r>
  <r>
    <x v="20"/>
    <x v="1"/>
    <x v="11"/>
    <x v="2"/>
    <m/>
    <n v="258"/>
    <m/>
    <m/>
  </r>
  <r>
    <x v="20"/>
    <x v="1"/>
    <x v="11"/>
    <x v="3"/>
    <m/>
    <n v="200"/>
    <m/>
    <m/>
  </r>
  <r>
    <x v="20"/>
    <x v="0"/>
    <x v="11"/>
    <x v="4"/>
    <m/>
    <m/>
    <m/>
    <n v="99"/>
  </r>
  <r>
    <x v="20"/>
    <x v="0"/>
    <x v="11"/>
    <x v="5"/>
    <m/>
    <m/>
    <m/>
    <n v="14"/>
  </r>
  <r>
    <x v="20"/>
    <x v="0"/>
    <x v="11"/>
    <x v="6"/>
    <m/>
    <m/>
    <m/>
    <n v="18"/>
  </r>
  <r>
    <x v="36"/>
    <x v="0"/>
    <x v="11"/>
    <x v="1"/>
    <m/>
    <n v="472"/>
    <m/>
    <m/>
  </r>
  <r>
    <x v="36"/>
    <x v="0"/>
    <x v="11"/>
    <x v="2"/>
    <m/>
    <n v="257"/>
    <m/>
    <m/>
  </r>
  <r>
    <x v="36"/>
    <x v="0"/>
    <x v="11"/>
    <x v="3"/>
    <m/>
    <n v="173"/>
    <m/>
    <m/>
  </r>
  <r>
    <x v="36"/>
    <x v="1"/>
    <x v="11"/>
    <x v="1"/>
    <m/>
    <n v="481"/>
    <m/>
    <m/>
  </r>
  <r>
    <x v="36"/>
    <x v="1"/>
    <x v="11"/>
    <x v="2"/>
    <m/>
    <n v="203"/>
    <m/>
    <m/>
  </r>
  <r>
    <x v="36"/>
    <x v="1"/>
    <x v="11"/>
    <x v="3"/>
    <m/>
    <n v="156"/>
    <m/>
    <m/>
  </r>
  <r>
    <x v="36"/>
    <x v="0"/>
    <x v="11"/>
    <x v="4"/>
    <m/>
    <m/>
    <m/>
    <n v="96"/>
  </r>
  <r>
    <x v="36"/>
    <x v="0"/>
    <x v="11"/>
    <x v="5"/>
    <m/>
    <m/>
    <m/>
    <n v="8"/>
  </r>
  <r>
    <x v="36"/>
    <x v="0"/>
    <x v="11"/>
    <x v="6"/>
    <m/>
    <m/>
    <m/>
    <n v="6"/>
  </r>
  <r>
    <x v="33"/>
    <x v="0"/>
    <x v="11"/>
    <x v="1"/>
    <m/>
    <n v="496"/>
    <m/>
    <m/>
  </r>
  <r>
    <x v="33"/>
    <x v="0"/>
    <x v="11"/>
    <x v="2"/>
    <m/>
    <n v="261"/>
    <m/>
    <m/>
  </r>
  <r>
    <x v="33"/>
    <x v="0"/>
    <x v="11"/>
    <x v="3"/>
    <m/>
    <n v="195"/>
    <m/>
    <m/>
  </r>
  <r>
    <x v="33"/>
    <x v="1"/>
    <x v="11"/>
    <x v="1"/>
    <m/>
    <n v="515"/>
    <m/>
    <m/>
  </r>
  <r>
    <x v="33"/>
    <x v="1"/>
    <x v="11"/>
    <x v="2"/>
    <m/>
    <n v="226"/>
    <m/>
    <m/>
  </r>
  <r>
    <x v="33"/>
    <x v="1"/>
    <x v="11"/>
    <x v="3"/>
    <m/>
    <n v="158"/>
    <m/>
    <m/>
  </r>
  <r>
    <x v="33"/>
    <x v="0"/>
    <x v="11"/>
    <x v="4"/>
    <m/>
    <m/>
    <m/>
    <n v="71"/>
  </r>
  <r>
    <x v="33"/>
    <x v="0"/>
    <x v="11"/>
    <x v="5"/>
    <m/>
    <m/>
    <m/>
    <n v="6"/>
  </r>
  <r>
    <x v="33"/>
    <x v="0"/>
    <x v="11"/>
    <x v="6"/>
    <m/>
    <m/>
    <m/>
    <n v="2"/>
  </r>
  <r>
    <x v="19"/>
    <x v="0"/>
    <x v="11"/>
    <x v="1"/>
    <m/>
    <n v="506"/>
    <m/>
    <m/>
  </r>
  <r>
    <x v="19"/>
    <x v="0"/>
    <x v="11"/>
    <x v="2"/>
    <m/>
    <n v="285"/>
    <m/>
    <m/>
  </r>
  <r>
    <x v="19"/>
    <x v="0"/>
    <x v="11"/>
    <x v="3"/>
    <m/>
    <n v="201"/>
    <m/>
    <m/>
  </r>
  <r>
    <x v="19"/>
    <x v="1"/>
    <x v="11"/>
    <x v="1"/>
    <m/>
    <n v="675"/>
    <m/>
    <m/>
  </r>
  <r>
    <x v="19"/>
    <x v="1"/>
    <x v="11"/>
    <x v="2"/>
    <m/>
    <n v="331"/>
    <m/>
    <m/>
  </r>
  <r>
    <x v="19"/>
    <x v="1"/>
    <x v="11"/>
    <x v="3"/>
    <m/>
    <n v="210"/>
    <m/>
    <m/>
  </r>
  <r>
    <x v="19"/>
    <x v="0"/>
    <x v="11"/>
    <x v="4"/>
    <m/>
    <m/>
    <m/>
    <n v="68"/>
  </r>
  <r>
    <x v="19"/>
    <x v="0"/>
    <x v="11"/>
    <x v="5"/>
    <m/>
    <m/>
    <m/>
    <n v="6"/>
  </r>
  <r>
    <x v="19"/>
    <x v="0"/>
    <x v="11"/>
    <x v="6"/>
    <m/>
    <m/>
    <m/>
    <n v="8"/>
  </r>
  <r>
    <x v="21"/>
    <x v="0"/>
    <x v="11"/>
    <x v="1"/>
    <m/>
    <n v="638"/>
    <m/>
    <m/>
  </r>
  <r>
    <x v="21"/>
    <x v="0"/>
    <x v="11"/>
    <x v="2"/>
    <m/>
    <n v="260"/>
    <m/>
    <m/>
  </r>
  <r>
    <x v="21"/>
    <x v="0"/>
    <x v="11"/>
    <x v="3"/>
    <m/>
    <n v="164"/>
    <m/>
    <m/>
  </r>
  <r>
    <x v="21"/>
    <x v="1"/>
    <x v="11"/>
    <x v="1"/>
    <m/>
    <n v="780"/>
    <m/>
    <m/>
  </r>
  <r>
    <x v="21"/>
    <x v="1"/>
    <x v="11"/>
    <x v="2"/>
    <m/>
    <n v="274"/>
    <m/>
    <m/>
  </r>
  <r>
    <x v="21"/>
    <x v="1"/>
    <x v="11"/>
    <x v="3"/>
    <m/>
    <n v="199"/>
    <m/>
    <m/>
  </r>
  <r>
    <x v="21"/>
    <x v="0"/>
    <x v="11"/>
    <x v="4"/>
    <m/>
    <m/>
    <m/>
    <n v="75"/>
  </r>
  <r>
    <x v="21"/>
    <x v="0"/>
    <x v="11"/>
    <x v="5"/>
    <m/>
    <m/>
    <m/>
    <n v="7"/>
  </r>
  <r>
    <x v="21"/>
    <x v="0"/>
    <x v="11"/>
    <x v="6"/>
    <m/>
    <m/>
    <m/>
    <n v="15"/>
  </r>
  <r>
    <x v="47"/>
    <x v="0"/>
    <x v="11"/>
    <x v="1"/>
    <m/>
    <n v="287"/>
    <m/>
    <m/>
  </r>
  <r>
    <x v="47"/>
    <x v="0"/>
    <x v="11"/>
    <x v="2"/>
    <m/>
    <n v="167"/>
    <m/>
    <m/>
  </r>
  <r>
    <x v="47"/>
    <x v="0"/>
    <x v="11"/>
    <x v="3"/>
    <m/>
    <n v="146"/>
    <m/>
    <m/>
  </r>
  <r>
    <x v="47"/>
    <x v="1"/>
    <x v="11"/>
    <x v="1"/>
    <m/>
    <n v="428"/>
    <m/>
    <m/>
  </r>
  <r>
    <x v="47"/>
    <x v="1"/>
    <x v="11"/>
    <x v="2"/>
    <m/>
    <n v="188"/>
    <m/>
    <m/>
  </r>
  <r>
    <x v="47"/>
    <x v="1"/>
    <x v="11"/>
    <x v="3"/>
    <m/>
    <n v="160"/>
    <m/>
    <m/>
  </r>
  <r>
    <x v="47"/>
    <x v="0"/>
    <x v="11"/>
    <x v="4"/>
    <m/>
    <m/>
    <m/>
    <n v="55"/>
  </r>
  <r>
    <x v="47"/>
    <x v="0"/>
    <x v="11"/>
    <x v="5"/>
    <m/>
    <m/>
    <m/>
    <n v="2"/>
  </r>
  <r>
    <x v="47"/>
    <x v="0"/>
    <x v="11"/>
    <x v="6"/>
    <m/>
    <m/>
    <m/>
    <n v="0"/>
  </r>
  <r>
    <x v="35"/>
    <x v="0"/>
    <x v="11"/>
    <x v="1"/>
    <m/>
    <n v="344"/>
    <m/>
    <m/>
  </r>
  <r>
    <x v="35"/>
    <x v="0"/>
    <x v="11"/>
    <x v="2"/>
    <m/>
    <n v="171"/>
    <m/>
    <m/>
  </r>
  <r>
    <x v="35"/>
    <x v="0"/>
    <x v="11"/>
    <x v="3"/>
    <m/>
    <n v="157"/>
    <m/>
    <m/>
  </r>
  <r>
    <x v="35"/>
    <x v="1"/>
    <x v="11"/>
    <x v="1"/>
    <m/>
    <n v="348"/>
    <m/>
    <m/>
  </r>
  <r>
    <x v="35"/>
    <x v="1"/>
    <x v="11"/>
    <x v="2"/>
    <m/>
    <n v="152"/>
    <m/>
    <m/>
  </r>
  <r>
    <x v="35"/>
    <x v="1"/>
    <x v="11"/>
    <x v="3"/>
    <m/>
    <n v="140"/>
    <m/>
    <m/>
  </r>
  <r>
    <x v="35"/>
    <x v="0"/>
    <x v="11"/>
    <x v="4"/>
    <m/>
    <m/>
    <m/>
    <n v="51"/>
  </r>
  <r>
    <x v="35"/>
    <x v="0"/>
    <x v="11"/>
    <x v="5"/>
    <m/>
    <m/>
    <m/>
    <n v="5"/>
  </r>
  <r>
    <x v="35"/>
    <x v="0"/>
    <x v="11"/>
    <x v="6"/>
    <m/>
    <m/>
    <m/>
    <n v="4"/>
  </r>
  <r>
    <x v="44"/>
    <x v="0"/>
    <x v="11"/>
    <x v="1"/>
    <m/>
    <n v="266"/>
    <m/>
    <m/>
  </r>
  <r>
    <x v="44"/>
    <x v="0"/>
    <x v="11"/>
    <x v="2"/>
    <m/>
    <n v="155"/>
    <m/>
    <m/>
  </r>
  <r>
    <x v="44"/>
    <x v="0"/>
    <x v="11"/>
    <x v="3"/>
    <m/>
    <n v="130"/>
    <m/>
    <m/>
  </r>
  <r>
    <x v="44"/>
    <x v="1"/>
    <x v="11"/>
    <x v="1"/>
    <m/>
    <n v="320"/>
    <m/>
    <m/>
  </r>
  <r>
    <x v="44"/>
    <x v="1"/>
    <x v="11"/>
    <x v="2"/>
    <m/>
    <n v="164"/>
    <m/>
    <m/>
  </r>
  <r>
    <x v="44"/>
    <x v="1"/>
    <x v="11"/>
    <x v="3"/>
    <m/>
    <n v="117"/>
    <m/>
    <m/>
  </r>
  <r>
    <x v="44"/>
    <x v="0"/>
    <x v="11"/>
    <x v="4"/>
    <m/>
    <m/>
    <m/>
    <n v="32"/>
  </r>
  <r>
    <x v="44"/>
    <x v="0"/>
    <x v="11"/>
    <x v="5"/>
    <m/>
    <m/>
    <m/>
    <n v="4"/>
  </r>
  <r>
    <x v="44"/>
    <x v="0"/>
    <x v="11"/>
    <x v="6"/>
    <m/>
    <m/>
    <m/>
    <n v="7"/>
  </r>
  <r>
    <x v="6"/>
    <x v="0"/>
    <x v="11"/>
    <x v="1"/>
    <m/>
    <n v="1069"/>
    <m/>
    <m/>
  </r>
  <r>
    <x v="6"/>
    <x v="0"/>
    <x v="11"/>
    <x v="2"/>
    <m/>
    <n v="454"/>
    <m/>
    <m/>
  </r>
  <r>
    <x v="6"/>
    <x v="0"/>
    <x v="11"/>
    <x v="3"/>
    <m/>
    <n v="343"/>
    <m/>
    <m/>
  </r>
  <r>
    <x v="6"/>
    <x v="1"/>
    <x v="11"/>
    <x v="1"/>
    <m/>
    <n v="1314"/>
    <m/>
    <m/>
  </r>
  <r>
    <x v="6"/>
    <x v="1"/>
    <x v="11"/>
    <x v="2"/>
    <m/>
    <n v="484"/>
    <m/>
    <m/>
  </r>
  <r>
    <x v="6"/>
    <x v="1"/>
    <x v="11"/>
    <x v="3"/>
    <m/>
    <n v="289"/>
    <m/>
    <m/>
  </r>
  <r>
    <x v="6"/>
    <x v="0"/>
    <x v="11"/>
    <x v="4"/>
    <m/>
    <m/>
    <m/>
    <n v="125"/>
  </r>
  <r>
    <x v="6"/>
    <x v="0"/>
    <x v="11"/>
    <x v="5"/>
    <m/>
    <m/>
    <m/>
    <n v="11"/>
  </r>
  <r>
    <x v="6"/>
    <x v="0"/>
    <x v="11"/>
    <x v="6"/>
    <m/>
    <m/>
    <m/>
    <n v="17"/>
  </r>
  <r>
    <x v="32"/>
    <x v="0"/>
    <x v="11"/>
    <x v="1"/>
    <m/>
    <n v="757"/>
    <m/>
    <m/>
  </r>
  <r>
    <x v="32"/>
    <x v="0"/>
    <x v="11"/>
    <x v="2"/>
    <m/>
    <n v="242"/>
    <m/>
    <m/>
  </r>
  <r>
    <x v="32"/>
    <x v="0"/>
    <x v="11"/>
    <x v="3"/>
    <m/>
    <n v="172"/>
    <m/>
    <m/>
  </r>
  <r>
    <x v="32"/>
    <x v="1"/>
    <x v="11"/>
    <x v="1"/>
    <m/>
    <n v="760"/>
    <m/>
    <m/>
  </r>
  <r>
    <x v="32"/>
    <x v="1"/>
    <x v="11"/>
    <x v="2"/>
    <m/>
    <n v="280"/>
    <m/>
    <m/>
  </r>
  <r>
    <x v="32"/>
    <x v="1"/>
    <x v="11"/>
    <x v="3"/>
    <m/>
    <n v="185"/>
    <m/>
    <m/>
  </r>
  <r>
    <x v="32"/>
    <x v="0"/>
    <x v="11"/>
    <x v="4"/>
    <m/>
    <m/>
    <m/>
    <n v="56"/>
  </r>
  <r>
    <x v="32"/>
    <x v="0"/>
    <x v="11"/>
    <x v="5"/>
    <m/>
    <m/>
    <m/>
    <n v="5"/>
  </r>
  <r>
    <x v="32"/>
    <x v="0"/>
    <x v="11"/>
    <x v="6"/>
    <m/>
    <m/>
    <m/>
    <n v="14"/>
  </r>
  <r>
    <x v="27"/>
    <x v="0"/>
    <x v="11"/>
    <x v="1"/>
    <m/>
    <n v="481"/>
    <m/>
    <m/>
  </r>
  <r>
    <x v="27"/>
    <x v="0"/>
    <x v="11"/>
    <x v="2"/>
    <m/>
    <n v="200"/>
    <m/>
    <m/>
  </r>
  <r>
    <x v="27"/>
    <x v="0"/>
    <x v="11"/>
    <x v="3"/>
    <m/>
    <n v="166"/>
    <m/>
    <m/>
  </r>
  <r>
    <x v="27"/>
    <x v="1"/>
    <x v="11"/>
    <x v="1"/>
    <m/>
    <n v="602"/>
    <m/>
    <m/>
  </r>
  <r>
    <x v="27"/>
    <x v="1"/>
    <x v="11"/>
    <x v="2"/>
    <m/>
    <n v="235"/>
    <m/>
    <m/>
  </r>
  <r>
    <x v="27"/>
    <x v="1"/>
    <x v="11"/>
    <x v="3"/>
    <m/>
    <n v="150"/>
    <m/>
    <m/>
  </r>
  <r>
    <x v="27"/>
    <x v="0"/>
    <x v="11"/>
    <x v="4"/>
    <m/>
    <m/>
    <m/>
    <n v="39"/>
  </r>
  <r>
    <x v="27"/>
    <x v="0"/>
    <x v="11"/>
    <x v="5"/>
    <m/>
    <m/>
    <m/>
    <n v="7"/>
  </r>
  <r>
    <x v="27"/>
    <x v="0"/>
    <x v="11"/>
    <x v="6"/>
    <m/>
    <m/>
    <m/>
    <n v="7"/>
  </r>
  <r>
    <x v="25"/>
    <x v="0"/>
    <x v="11"/>
    <x v="1"/>
    <m/>
    <n v="385"/>
    <m/>
    <m/>
  </r>
  <r>
    <x v="25"/>
    <x v="0"/>
    <x v="11"/>
    <x v="2"/>
    <m/>
    <n v="232"/>
    <m/>
    <m/>
  </r>
  <r>
    <x v="25"/>
    <x v="0"/>
    <x v="11"/>
    <x v="3"/>
    <m/>
    <n v="218"/>
    <m/>
    <m/>
  </r>
  <r>
    <x v="25"/>
    <x v="1"/>
    <x v="11"/>
    <x v="1"/>
    <m/>
    <n v="389"/>
    <m/>
    <m/>
  </r>
  <r>
    <x v="25"/>
    <x v="1"/>
    <x v="11"/>
    <x v="2"/>
    <m/>
    <n v="245"/>
    <m/>
    <m/>
  </r>
  <r>
    <x v="25"/>
    <x v="1"/>
    <x v="11"/>
    <x v="3"/>
    <m/>
    <n v="197"/>
    <m/>
    <m/>
  </r>
  <r>
    <x v="25"/>
    <x v="0"/>
    <x v="11"/>
    <x v="4"/>
    <m/>
    <m/>
    <m/>
    <n v="94"/>
  </r>
  <r>
    <x v="25"/>
    <x v="0"/>
    <x v="11"/>
    <x v="5"/>
    <m/>
    <m/>
    <m/>
    <n v="8"/>
  </r>
  <r>
    <x v="25"/>
    <x v="0"/>
    <x v="11"/>
    <x v="6"/>
    <m/>
    <m/>
    <m/>
    <n v="4"/>
  </r>
  <r>
    <x v="10"/>
    <x v="0"/>
    <x v="2"/>
    <x v="1"/>
    <m/>
    <n v="1145"/>
    <m/>
    <m/>
  </r>
  <r>
    <x v="10"/>
    <x v="0"/>
    <x v="2"/>
    <x v="2"/>
    <m/>
    <n v="642"/>
    <m/>
    <m/>
  </r>
  <r>
    <x v="10"/>
    <x v="0"/>
    <x v="2"/>
    <x v="3"/>
    <m/>
    <n v="481"/>
    <m/>
    <m/>
  </r>
  <r>
    <x v="10"/>
    <x v="1"/>
    <x v="2"/>
    <x v="1"/>
    <m/>
    <n v="1474"/>
    <m/>
    <m/>
  </r>
  <r>
    <x v="10"/>
    <x v="1"/>
    <x v="2"/>
    <x v="2"/>
    <m/>
    <n v="760"/>
    <m/>
    <m/>
  </r>
  <r>
    <x v="10"/>
    <x v="1"/>
    <x v="2"/>
    <x v="3"/>
    <m/>
    <n v="642"/>
    <m/>
    <m/>
  </r>
  <r>
    <x v="10"/>
    <x v="0"/>
    <x v="2"/>
    <x v="4"/>
    <m/>
    <m/>
    <m/>
    <n v="150"/>
  </r>
  <r>
    <x v="10"/>
    <x v="0"/>
    <x v="2"/>
    <x v="5"/>
    <m/>
    <m/>
    <m/>
    <n v="22"/>
  </r>
  <r>
    <x v="10"/>
    <x v="0"/>
    <x v="2"/>
    <x v="6"/>
    <m/>
    <m/>
    <m/>
    <n v="13"/>
  </r>
  <r>
    <x v="9"/>
    <x v="0"/>
    <x v="2"/>
    <x v="1"/>
    <m/>
    <n v="1407"/>
    <m/>
    <m/>
  </r>
  <r>
    <x v="9"/>
    <x v="0"/>
    <x v="2"/>
    <x v="2"/>
    <m/>
    <n v="681"/>
    <m/>
    <m/>
  </r>
  <r>
    <x v="9"/>
    <x v="0"/>
    <x v="2"/>
    <x v="3"/>
    <m/>
    <n v="528"/>
    <m/>
    <m/>
  </r>
  <r>
    <x v="9"/>
    <x v="1"/>
    <x v="2"/>
    <x v="1"/>
    <m/>
    <n v="1578"/>
    <m/>
    <m/>
  </r>
  <r>
    <x v="9"/>
    <x v="1"/>
    <x v="2"/>
    <x v="2"/>
    <m/>
    <n v="747"/>
    <m/>
    <m/>
  </r>
  <r>
    <x v="9"/>
    <x v="1"/>
    <x v="2"/>
    <x v="3"/>
    <m/>
    <n v="674"/>
    <m/>
    <m/>
  </r>
  <r>
    <x v="9"/>
    <x v="0"/>
    <x v="2"/>
    <x v="4"/>
    <m/>
    <m/>
    <m/>
    <n v="160"/>
  </r>
  <r>
    <x v="9"/>
    <x v="0"/>
    <x v="2"/>
    <x v="5"/>
    <m/>
    <m/>
    <m/>
    <n v="13"/>
  </r>
  <r>
    <x v="9"/>
    <x v="0"/>
    <x v="2"/>
    <x v="6"/>
    <m/>
    <m/>
    <m/>
    <n v="21"/>
  </r>
  <r>
    <x v="49"/>
    <x v="0"/>
    <x v="2"/>
    <x v="1"/>
    <m/>
    <n v="1154"/>
    <m/>
    <m/>
  </r>
  <r>
    <x v="49"/>
    <x v="0"/>
    <x v="2"/>
    <x v="2"/>
    <m/>
    <n v="271"/>
    <m/>
    <m/>
  </r>
  <r>
    <x v="49"/>
    <x v="0"/>
    <x v="2"/>
    <x v="3"/>
    <m/>
    <n v="192"/>
    <m/>
    <m/>
  </r>
  <r>
    <x v="49"/>
    <x v="1"/>
    <x v="2"/>
    <x v="1"/>
    <m/>
    <n v="929"/>
    <m/>
    <m/>
  </r>
  <r>
    <x v="49"/>
    <x v="1"/>
    <x v="2"/>
    <x v="2"/>
    <m/>
    <n v="361"/>
    <m/>
    <m/>
  </r>
  <r>
    <x v="49"/>
    <x v="1"/>
    <x v="2"/>
    <x v="3"/>
    <m/>
    <n v="249"/>
    <m/>
    <m/>
  </r>
  <r>
    <x v="49"/>
    <x v="0"/>
    <x v="2"/>
    <x v="4"/>
    <m/>
    <m/>
    <m/>
    <n v="45"/>
  </r>
  <r>
    <x v="49"/>
    <x v="0"/>
    <x v="2"/>
    <x v="5"/>
    <m/>
    <m/>
    <m/>
    <n v="2"/>
  </r>
  <r>
    <x v="49"/>
    <x v="0"/>
    <x v="2"/>
    <x v="6"/>
    <m/>
    <m/>
    <m/>
    <n v="3"/>
  </r>
  <r>
    <x v="5"/>
    <x v="0"/>
    <x v="2"/>
    <x v="1"/>
    <m/>
    <n v="1102"/>
    <m/>
    <m/>
  </r>
  <r>
    <x v="5"/>
    <x v="0"/>
    <x v="2"/>
    <x v="2"/>
    <m/>
    <n v="694"/>
    <m/>
    <m/>
  </r>
  <r>
    <x v="5"/>
    <x v="0"/>
    <x v="2"/>
    <x v="3"/>
    <m/>
    <n v="664"/>
    <m/>
    <m/>
  </r>
  <r>
    <x v="5"/>
    <x v="1"/>
    <x v="2"/>
    <x v="1"/>
    <m/>
    <n v="1372"/>
    <m/>
    <m/>
  </r>
  <r>
    <x v="5"/>
    <x v="1"/>
    <x v="2"/>
    <x v="2"/>
    <m/>
    <n v="763"/>
    <m/>
    <m/>
  </r>
  <r>
    <x v="5"/>
    <x v="1"/>
    <x v="2"/>
    <x v="3"/>
    <m/>
    <n v="712"/>
    <m/>
    <m/>
  </r>
  <r>
    <x v="5"/>
    <x v="0"/>
    <x v="2"/>
    <x v="4"/>
    <m/>
    <m/>
    <m/>
    <n v="99"/>
  </r>
  <r>
    <x v="5"/>
    <x v="0"/>
    <x v="2"/>
    <x v="5"/>
    <m/>
    <m/>
    <m/>
    <n v="11"/>
  </r>
  <r>
    <x v="5"/>
    <x v="0"/>
    <x v="2"/>
    <x v="6"/>
    <m/>
    <m/>
    <m/>
    <n v="17"/>
  </r>
  <r>
    <x v="16"/>
    <x v="0"/>
    <x v="2"/>
    <x v="1"/>
    <m/>
    <n v="950"/>
    <m/>
    <m/>
  </r>
  <r>
    <x v="16"/>
    <x v="0"/>
    <x v="2"/>
    <x v="2"/>
    <m/>
    <n v="636"/>
    <m/>
    <m/>
  </r>
  <r>
    <x v="16"/>
    <x v="0"/>
    <x v="2"/>
    <x v="3"/>
    <m/>
    <n v="577"/>
    <m/>
    <m/>
  </r>
  <r>
    <x v="16"/>
    <x v="1"/>
    <x v="2"/>
    <x v="1"/>
    <m/>
    <n v="1061"/>
    <m/>
    <m/>
  </r>
  <r>
    <x v="16"/>
    <x v="1"/>
    <x v="2"/>
    <x v="2"/>
    <m/>
    <n v="608"/>
    <m/>
    <m/>
  </r>
  <r>
    <x v="16"/>
    <x v="1"/>
    <x v="2"/>
    <x v="3"/>
    <m/>
    <n v="534"/>
    <m/>
    <m/>
  </r>
  <r>
    <x v="16"/>
    <x v="0"/>
    <x v="2"/>
    <x v="4"/>
    <m/>
    <m/>
    <m/>
    <n v="86"/>
  </r>
  <r>
    <x v="16"/>
    <x v="0"/>
    <x v="2"/>
    <x v="5"/>
    <m/>
    <m/>
    <m/>
    <n v="11"/>
  </r>
  <r>
    <x v="16"/>
    <x v="0"/>
    <x v="2"/>
    <x v="6"/>
    <m/>
    <m/>
    <m/>
    <n v="7"/>
  </r>
  <r>
    <x v="17"/>
    <x v="0"/>
    <x v="2"/>
    <x v="1"/>
    <m/>
    <n v="1328"/>
    <m/>
    <m/>
  </r>
  <r>
    <x v="17"/>
    <x v="0"/>
    <x v="2"/>
    <x v="2"/>
    <m/>
    <n v="554"/>
    <m/>
    <m/>
  </r>
  <r>
    <x v="17"/>
    <x v="0"/>
    <x v="2"/>
    <x v="3"/>
    <m/>
    <n v="462"/>
    <m/>
    <m/>
  </r>
  <r>
    <x v="17"/>
    <x v="1"/>
    <x v="2"/>
    <x v="1"/>
    <m/>
    <n v="1387"/>
    <m/>
    <m/>
  </r>
  <r>
    <x v="17"/>
    <x v="1"/>
    <x v="2"/>
    <x v="2"/>
    <m/>
    <n v="689"/>
    <m/>
    <m/>
  </r>
  <r>
    <x v="17"/>
    <x v="1"/>
    <x v="2"/>
    <x v="3"/>
    <m/>
    <n v="506"/>
    <m/>
    <m/>
  </r>
  <r>
    <x v="17"/>
    <x v="0"/>
    <x v="2"/>
    <x v="4"/>
    <m/>
    <m/>
    <m/>
    <n v="70"/>
  </r>
  <r>
    <x v="17"/>
    <x v="0"/>
    <x v="2"/>
    <x v="5"/>
    <m/>
    <m/>
    <m/>
    <n v="17"/>
  </r>
  <r>
    <x v="17"/>
    <x v="0"/>
    <x v="2"/>
    <x v="6"/>
    <m/>
    <m/>
    <m/>
    <n v="12"/>
  </r>
  <r>
    <x v="13"/>
    <x v="0"/>
    <x v="2"/>
    <x v="1"/>
    <m/>
    <n v="1537"/>
    <m/>
    <m/>
  </r>
  <r>
    <x v="13"/>
    <x v="0"/>
    <x v="2"/>
    <x v="2"/>
    <m/>
    <n v="544"/>
    <m/>
    <m/>
  </r>
  <r>
    <x v="13"/>
    <x v="0"/>
    <x v="2"/>
    <x v="3"/>
    <m/>
    <n v="423"/>
    <m/>
    <m/>
  </r>
  <r>
    <x v="13"/>
    <x v="1"/>
    <x v="2"/>
    <x v="1"/>
    <m/>
    <n v="1779"/>
    <m/>
    <m/>
  </r>
  <r>
    <x v="13"/>
    <x v="1"/>
    <x v="2"/>
    <x v="2"/>
    <m/>
    <n v="6112"/>
    <m/>
    <m/>
  </r>
  <r>
    <x v="13"/>
    <x v="1"/>
    <x v="2"/>
    <x v="3"/>
    <m/>
    <n v="464"/>
    <m/>
    <m/>
  </r>
  <r>
    <x v="13"/>
    <x v="0"/>
    <x v="2"/>
    <x v="4"/>
    <m/>
    <m/>
    <m/>
    <n v="117"/>
  </r>
  <r>
    <x v="13"/>
    <x v="0"/>
    <x v="2"/>
    <x v="5"/>
    <m/>
    <m/>
    <m/>
    <n v="13"/>
  </r>
  <r>
    <x v="13"/>
    <x v="0"/>
    <x v="2"/>
    <x v="6"/>
    <m/>
    <m/>
    <m/>
    <n v="23"/>
  </r>
  <r>
    <x v="40"/>
    <x v="0"/>
    <x v="2"/>
    <x v="1"/>
    <m/>
    <n v="868"/>
    <m/>
    <m/>
  </r>
  <r>
    <x v="40"/>
    <x v="0"/>
    <x v="2"/>
    <x v="2"/>
    <m/>
    <n v="346"/>
    <m/>
    <m/>
  </r>
  <r>
    <x v="40"/>
    <x v="0"/>
    <x v="2"/>
    <x v="3"/>
    <m/>
    <n v="285"/>
    <m/>
    <m/>
  </r>
  <r>
    <x v="40"/>
    <x v="1"/>
    <x v="2"/>
    <x v="1"/>
    <m/>
    <n v="865"/>
    <m/>
    <m/>
  </r>
  <r>
    <x v="40"/>
    <x v="1"/>
    <x v="2"/>
    <x v="2"/>
    <m/>
    <n v="400"/>
    <m/>
    <m/>
  </r>
  <r>
    <x v="40"/>
    <x v="1"/>
    <x v="2"/>
    <x v="3"/>
    <m/>
    <n v="294"/>
    <m/>
    <m/>
  </r>
  <r>
    <x v="40"/>
    <x v="0"/>
    <x v="2"/>
    <x v="4"/>
    <m/>
    <m/>
    <m/>
    <n v="41"/>
  </r>
  <r>
    <x v="40"/>
    <x v="0"/>
    <x v="2"/>
    <x v="5"/>
    <m/>
    <m/>
    <m/>
    <n v="3"/>
  </r>
  <r>
    <x v="40"/>
    <x v="0"/>
    <x v="2"/>
    <x v="6"/>
    <m/>
    <m/>
    <m/>
    <n v="15"/>
  </r>
  <r>
    <x v="26"/>
    <x v="0"/>
    <x v="2"/>
    <x v="1"/>
    <m/>
    <n v="637"/>
    <m/>
    <m/>
  </r>
  <r>
    <x v="26"/>
    <x v="0"/>
    <x v="2"/>
    <x v="2"/>
    <m/>
    <n v="401"/>
    <m/>
    <m/>
  </r>
  <r>
    <x v="26"/>
    <x v="0"/>
    <x v="2"/>
    <x v="3"/>
    <m/>
    <n v="373"/>
    <m/>
    <m/>
  </r>
  <r>
    <x v="26"/>
    <x v="1"/>
    <x v="2"/>
    <x v="1"/>
    <m/>
    <n v="686"/>
    <m/>
    <m/>
  </r>
  <r>
    <x v="26"/>
    <x v="1"/>
    <x v="2"/>
    <x v="2"/>
    <m/>
    <n v="462"/>
    <m/>
    <m/>
  </r>
  <r>
    <x v="26"/>
    <x v="1"/>
    <x v="2"/>
    <x v="3"/>
    <m/>
    <n v="481"/>
    <m/>
    <m/>
  </r>
  <r>
    <x v="26"/>
    <x v="0"/>
    <x v="2"/>
    <x v="4"/>
    <m/>
    <m/>
    <m/>
    <n v="66"/>
  </r>
  <r>
    <x v="26"/>
    <x v="0"/>
    <x v="2"/>
    <x v="5"/>
    <m/>
    <m/>
    <m/>
    <n v="6"/>
  </r>
  <r>
    <x v="26"/>
    <x v="0"/>
    <x v="2"/>
    <x v="6"/>
    <m/>
    <m/>
    <m/>
    <n v="5"/>
  </r>
  <r>
    <x v="11"/>
    <x v="0"/>
    <x v="2"/>
    <x v="1"/>
    <m/>
    <n v="1338"/>
    <m/>
    <m/>
  </r>
  <r>
    <x v="11"/>
    <x v="0"/>
    <x v="2"/>
    <x v="2"/>
    <m/>
    <n v="767"/>
    <m/>
    <m/>
  </r>
  <r>
    <x v="11"/>
    <x v="0"/>
    <x v="2"/>
    <x v="3"/>
    <m/>
    <n v="697"/>
    <m/>
    <m/>
  </r>
  <r>
    <x v="11"/>
    <x v="1"/>
    <x v="2"/>
    <x v="1"/>
    <m/>
    <n v="1630"/>
    <m/>
    <m/>
  </r>
  <r>
    <x v="11"/>
    <x v="1"/>
    <x v="2"/>
    <x v="2"/>
    <m/>
    <n v="817"/>
    <m/>
    <m/>
  </r>
  <r>
    <x v="11"/>
    <x v="1"/>
    <x v="2"/>
    <x v="3"/>
    <m/>
    <n v="697"/>
    <m/>
    <m/>
  </r>
  <r>
    <x v="11"/>
    <x v="0"/>
    <x v="2"/>
    <x v="4"/>
    <m/>
    <m/>
    <m/>
    <n v="150"/>
  </r>
  <r>
    <x v="11"/>
    <x v="0"/>
    <x v="2"/>
    <x v="5"/>
    <m/>
    <m/>
    <m/>
    <n v="8"/>
  </r>
  <r>
    <x v="11"/>
    <x v="0"/>
    <x v="2"/>
    <x v="6"/>
    <m/>
    <m/>
    <m/>
    <n v="10"/>
  </r>
  <r>
    <x v="31"/>
    <x v="0"/>
    <x v="2"/>
    <x v="1"/>
    <m/>
    <n v="786"/>
    <m/>
    <m/>
  </r>
  <r>
    <x v="31"/>
    <x v="0"/>
    <x v="2"/>
    <x v="2"/>
    <m/>
    <n v="388"/>
    <m/>
    <m/>
  </r>
  <r>
    <x v="31"/>
    <x v="0"/>
    <x v="2"/>
    <x v="3"/>
    <m/>
    <n v="285"/>
    <m/>
    <m/>
  </r>
  <r>
    <x v="31"/>
    <x v="1"/>
    <x v="2"/>
    <x v="1"/>
    <m/>
    <n v="914"/>
    <m/>
    <m/>
  </r>
  <r>
    <x v="31"/>
    <x v="1"/>
    <x v="2"/>
    <x v="2"/>
    <m/>
    <n v="488"/>
    <m/>
    <m/>
  </r>
  <r>
    <x v="31"/>
    <x v="1"/>
    <x v="2"/>
    <x v="3"/>
    <m/>
    <n v="316"/>
    <m/>
    <m/>
  </r>
  <r>
    <x v="31"/>
    <x v="0"/>
    <x v="2"/>
    <x v="4"/>
    <m/>
    <m/>
    <m/>
    <n v="43"/>
  </r>
  <r>
    <x v="31"/>
    <x v="0"/>
    <x v="2"/>
    <x v="5"/>
    <m/>
    <m/>
    <m/>
    <n v="6"/>
  </r>
  <r>
    <x v="31"/>
    <x v="0"/>
    <x v="2"/>
    <x v="6"/>
    <m/>
    <m/>
    <m/>
    <n v="9"/>
  </r>
  <r>
    <x v="7"/>
    <x v="0"/>
    <x v="2"/>
    <x v="1"/>
    <m/>
    <n v="1171"/>
    <m/>
    <m/>
  </r>
  <r>
    <x v="7"/>
    <x v="0"/>
    <x v="2"/>
    <x v="2"/>
    <m/>
    <n v="723"/>
    <m/>
    <m/>
  </r>
  <r>
    <x v="7"/>
    <x v="0"/>
    <x v="2"/>
    <x v="3"/>
    <m/>
    <n v="598"/>
    <m/>
    <m/>
  </r>
  <r>
    <x v="7"/>
    <x v="1"/>
    <x v="2"/>
    <x v="1"/>
    <m/>
    <n v="1474"/>
    <m/>
    <m/>
  </r>
  <r>
    <x v="7"/>
    <x v="1"/>
    <x v="2"/>
    <x v="2"/>
    <m/>
    <n v="805"/>
    <m/>
    <m/>
  </r>
  <r>
    <x v="7"/>
    <x v="1"/>
    <x v="2"/>
    <x v="3"/>
    <m/>
    <n v="669"/>
    <m/>
    <m/>
  </r>
  <r>
    <x v="7"/>
    <x v="0"/>
    <x v="2"/>
    <x v="4"/>
    <m/>
    <m/>
    <m/>
    <n v="181"/>
  </r>
  <r>
    <x v="7"/>
    <x v="0"/>
    <x v="2"/>
    <x v="5"/>
    <m/>
    <m/>
    <m/>
    <n v="21"/>
  </r>
  <r>
    <x v="7"/>
    <x v="0"/>
    <x v="2"/>
    <x v="6"/>
    <m/>
    <m/>
    <m/>
    <n v="30"/>
  </r>
  <r>
    <x v="2"/>
    <x v="0"/>
    <x v="2"/>
    <x v="1"/>
    <m/>
    <n v="1979"/>
    <m/>
    <m/>
  </r>
  <r>
    <x v="2"/>
    <x v="0"/>
    <x v="2"/>
    <x v="2"/>
    <m/>
    <n v="839"/>
    <m/>
    <m/>
  </r>
  <r>
    <x v="2"/>
    <x v="0"/>
    <x v="2"/>
    <x v="3"/>
    <m/>
    <n v="744"/>
    <m/>
    <m/>
  </r>
  <r>
    <x v="2"/>
    <x v="1"/>
    <x v="2"/>
    <x v="1"/>
    <m/>
    <n v="2023"/>
    <m/>
    <m/>
  </r>
  <r>
    <x v="2"/>
    <x v="1"/>
    <x v="2"/>
    <x v="2"/>
    <m/>
    <n v="990"/>
    <m/>
    <m/>
  </r>
  <r>
    <x v="2"/>
    <x v="1"/>
    <x v="2"/>
    <x v="3"/>
    <m/>
    <n v="856"/>
    <m/>
    <m/>
  </r>
  <r>
    <x v="2"/>
    <x v="0"/>
    <x v="2"/>
    <x v="4"/>
    <m/>
    <m/>
    <m/>
    <n v="181"/>
  </r>
  <r>
    <x v="2"/>
    <x v="0"/>
    <x v="2"/>
    <x v="5"/>
    <m/>
    <m/>
    <m/>
    <n v="23"/>
  </r>
  <r>
    <x v="2"/>
    <x v="0"/>
    <x v="2"/>
    <x v="6"/>
    <m/>
    <m/>
    <m/>
    <n v="15"/>
  </r>
  <r>
    <x v="22"/>
    <x v="0"/>
    <x v="2"/>
    <x v="1"/>
    <m/>
    <n v="960"/>
    <m/>
    <m/>
  </r>
  <r>
    <x v="22"/>
    <x v="0"/>
    <x v="2"/>
    <x v="2"/>
    <m/>
    <n v="426"/>
    <m/>
    <m/>
  </r>
  <r>
    <x v="22"/>
    <x v="0"/>
    <x v="2"/>
    <x v="3"/>
    <m/>
    <n v="320"/>
    <m/>
    <m/>
  </r>
  <r>
    <x v="22"/>
    <x v="1"/>
    <x v="2"/>
    <x v="1"/>
    <m/>
    <n v="1147"/>
    <m/>
    <m/>
  </r>
  <r>
    <x v="22"/>
    <x v="1"/>
    <x v="2"/>
    <x v="2"/>
    <m/>
    <n v="519"/>
    <m/>
    <m/>
  </r>
  <r>
    <x v="22"/>
    <x v="1"/>
    <x v="2"/>
    <x v="3"/>
    <m/>
    <n v="404"/>
    <m/>
    <m/>
  </r>
  <r>
    <x v="22"/>
    <x v="0"/>
    <x v="2"/>
    <x v="4"/>
    <m/>
    <m/>
    <m/>
    <n v="56"/>
  </r>
  <r>
    <x v="22"/>
    <x v="0"/>
    <x v="2"/>
    <x v="5"/>
    <m/>
    <m/>
    <m/>
    <n v="9"/>
  </r>
  <r>
    <x v="22"/>
    <x v="0"/>
    <x v="2"/>
    <x v="6"/>
    <m/>
    <m/>
    <m/>
    <n v="8"/>
  </r>
  <r>
    <x v="48"/>
    <x v="0"/>
    <x v="2"/>
    <x v="1"/>
    <m/>
    <n v="1187"/>
    <m/>
    <m/>
  </r>
  <r>
    <x v="48"/>
    <x v="0"/>
    <x v="2"/>
    <x v="2"/>
    <m/>
    <n v="321"/>
    <m/>
    <m/>
  </r>
  <r>
    <x v="48"/>
    <x v="0"/>
    <x v="2"/>
    <x v="3"/>
    <m/>
    <n v="240"/>
    <m/>
    <m/>
  </r>
  <r>
    <x v="48"/>
    <x v="1"/>
    <x v="2"/>
    <x v="1"/>
    <m/>
    <n v="1207"/>
    <m/>
    <m/>
  </r>
  <r>
    <x v="48"/>
    <x v="1"/>
    <x v="2"/>
    <x v="2"/>
    <m/>
    <n v="306"/>
    <m/>
    <m/>
  </r>
  <r>
    <x v="48"/>
    <x v="1"/>
    <x v="2"/>
    <x v="3"/>
    <m/>
    <n v="218"/>
    <m/>
    <m/>
  </r>
  <r>
    <x v="48"/>
    <x v="0"/>
    <x v="2"/>
    <x v="4"/>
    <m/>
    <m/>
    <m/>
    <n v="68"/>
  </r>
  <r>
    <x v="48"/>
    <x v="0"/>
    <x v="2"/>
    <x v="5"/>
    <m/>
    <m/>
    <m/>
    <n v="10"/>
  </r>
  <r>
    <x v="48"/>
    <x v="0"/>
    <x v="2"/>
    <x v="6"/>
    <m/>
    <m/>
    <m/>
    <n v="10"/>
  </r>
  <r>
    <x v="50"/>
    <x v="0"/>
    <x v="2"/>
    <x v="1"/>
    <m/>
    <n v="477"/>
    <m/>
    <m/>
  </r>
  <r>
    <x v="50"/>
    <x v="0"/>
    <x v="2"/>
    <x v="2"/>
    <m/>
    <n v="245"/>
    <m/>
    <m/>
  </r>
  <r>
    <x v="50"/>
    <x v="0"/>
    <x v="2"/>
    <x v="3"/>
    <m/>
    <n v="218"/>
    <m/>
    <m/>
  </r>
  <r>
    <x v="50"/>
    <x v="1"/>
    <x v="2"/>
    <x v="1"/>
    <m/>
    <n v="396"/>
    <m/>
    <m/>
  </r>
  <r>
    <x v="50"/>
    <x v="1"/>
    <x v="2"/>
    <x v="2"/>
    <m/>
    <n v="239"/>
    <m/>
    <m/>
  </r>
  <r>
    <x v="50"/>
    <x v="1"/>
    <x v="2"/>
    <x v="3"/>
    <m/>
    <n v="171"/>
    <m/>
    <m/>
  </r>
  <r>
    <x v="50"/>
    <x v="0"/>
    <x v="2"/>
    <x v="4"/>
    <m/>
    <m/>
    <m/>
    <n v="78"/>
  </r>
  <r>
    <x v="50"/>
    <x v="0"/>
    <x v="2"/>
    <x v="5"/>
    <m/>
    <m/>
    <m/>
    <n v="5"/>
  </r>
  <r>
    <x v="50"/>
    <x v="0"/>
    <x v="2"/>
    <x v="6"/>
    <m/>
    <m/>
    <m/>
    <n v="4"/>
  </r>
  <r>
    <x v="8"/>
    <x v="0"/>
    <x v="2"/>
    <x v="1"/>
    <m/>
    <n v="1436"/>
    <m/>
    <m/>
  </r>
  <r>
    <x v="8"/>
    <x v="0"/>
    <x v="2"/>
    <x v="2"/>
    <m/>
    <n v="793"/>
    <m/>
    <m/>
  </r>
  <r>
    <x v="8"/>
    <x v="0"/>
    <x v="2"/>
    <x v="3"/>
    <m/>
    <n v="657"/>
    <m/>
    <m/>
  </r>
  <r>
    <x v="8"/>
    <x v="1"/>
    <x v="2"/>
    <x v="1"/>
    <m/>
    <n v="1929"/>
    <m/>
    <m/>
  </r>
  <r>
    <x v="8"/>
    <x v="1"/>
    <x v="2"/>
    <x v="2"/>
    <m/>
    <n v="960"/>
    <m/>
    <m/>
  </r>
  <r>
    <x v="8"/>
    <x v="1"/>
    <x v="2"/>
    <x v="3"/>
    <m/>
    <n v="770"/>
    <m/>
    <m/>
  </r>
  <r>
    <x v="8"/>
    <x v="0"/>
    <x v="2"/>
    <x v="4"/>
    <m/>
    <m/>
    <m/>
    <n v="107"/>
  </r>
  <r>
    <x v="8"/>
    <x v="0"/>
    <x v="2"/>
    <x v="5"/>
    <m/>
    <m/>
    <m/>
    <n v="13"/>
  </r>
  <r>
    <x v="8"/>
    <x v="0"/>
    <x v="2"/>
    <x v="6"/>
    <m/>
    <m/>
    <m/>
    <n v="7"/>
  </r>
  <r>
    <x v="42"/>
    <x v="0"/>
    <x v="2"/>
    <x v="1"/>
    <m/>
    <n v="378"/>
    <m/>
    <m/>
  </r>
  <r>
    <x v="42"/>
    <x v="0"/>
    <x v="2"/>
    <x v="2"/>
    <m/>
    <n v="323"/>
    <m/>
    <m/>
  </r>
  <r>
    <x v="42"/>
    <x v="0"/>
    <x v="2"/>
    <x v="3"/>
    <m/>
    <n v="264"/>
    <m/>
    <m/>
  </r>
  <r>
    <x v="42"/>
    <x v="1"/>
    <x v="2"/>
    <x v="1"/>
    <m/>
    <n v="444"/>
    <m/>
    <m/>
  </r>
  <r>
    <x v="42"/>
    <x v="1"/>
    <x v="2"/>
    <x v="2"/>
    <m/>
    <n v="314"/>
    <m/>
    <m/>
  </r>
  <r>
    <x v="42"/>
    <x v="1"/>
    <x v="2"/>
    <x v="3"/>
    <m/>
    <n v="278"/>
    <m/>
    <m/>
  </r>
  <r>
    <x v="42"/>
    <x v="0"/>
    <x v="2"/>
    <x v="4"/>
    <m/>
    <m/>
    <m/>
    <n v="33"/>
  </r>
  <r>
    <x v="42"/>
    <x v="0"/>
    <x v="2"/>
    <x v="5"/>
    <m/>
    <m/>
    <m/>
    <n v="2"/>
  </r>
  <r>
    <x v="42"/>
    <x v="0"/>
    <x v="2"/>
    <x v="6"/>
    <m/>
    <m/>
    <m/>
    <n v="5"/>
  </r>
  <r>
    <x v="46"/>
    <x v="0"/>
    <x v="2"/>
    <x v="1"/>
    <m/>
    <n v="545"/>
    <m/>
    <m/>
  </r>
  <r>
    <x v="46"/>
    <x v="0"/>
    <x v="2"/>
    <x v="2"/>
    <m/>
    <n v="293"/>
    <m/>
    <m/>
  </r>
  <r>
    <x v="46"/>
    <x v="0"/>
    <x v="2"/>
    <x v="3"/>
    <m/>
    <n v="258"/>
    <m/>
    <m/>
  </r>
  <r>
    <x v="46"/>
    <x v="1"/>
    <x v="2"/>
    <x v="1"/>
    <m/>
    <n v="456"/>
    <m/>
    <m/>
  </r>
  <r>
    <x v="46"/>
    <x v="1"/>
    <x v="2"/>
    <x v="2"/>
    <m/>
    <n v="259"/>
    <m/>
    <m/>
  </r>
  <r>
    <x v="46"/>
    <x v="1"/>
    <x v="2"/>
    <x v="3"/>
    <m/>
    <n v="234"/>
    <m/>
    <m/>
  </r>
  <r>
    <x v="46"/>
    <x v="0"/>
    <x v="2"/>
    <x v="4"/>
    <m/>
    <m/>
    <m/>
    <n v="38"/>
  </r>
  <r>
    <x v="46"/>
    <x v="0"/>
    <x v="2"/>
    <x v="5"/>
    <m/>
    <m/>
    <m/>
    <n v="3"/>
  </r>
  <r>
    <x v="46"/>
    <x v="0"/>
    <x v="2"/>
    <x v="6"/>
    <m/>
    <m/>
    <m/>
    <n v="1"/>
  </r>
  <r>
    <x v="38"/>
    <x v="0"/>
    <x v="2"/>
    <x v="1"/>
    <m/>
    <n v="367"/>
    <m/>
    <m/>
  </r>
  <r>
    <x v="38"/>
    <x v="0"/>
    <x v="2"/>
    <x v="2"/>
    <m/>
    <n v="310"/>
    <m/>
    <m/>
  </r>
  <r>
    <x v="38"/>
    <x v="0"/>
    <x v="2"/>
    <x v="3"/>
    <m/>
    <n v="295"/>
    <m/>
    <m/>
  </r>
  <r>
    <x v="38"/>
    <x v="1"/>
    <x v="2"/>
    <x v="1"/>
    <m/>
    <n v="531"/>
    <m/>
    <m/>
  </r>
  <r>
    <x v="38"/>
    <x v="1"/>
    <x v="2"/>
    <x v="2"/>
    <m/>
    <n v="395"/>
    <m/>
    <m/>
  </r>
  <r>
    <x v="38"/>
    <x v="1"/>
    <x v="2"/>
    <x v="3"/>
    <m/>
    <n v="352"/>
    <m/>
    <m/>
  </r>
  <r>
    <x v="38"/>
    <x v="0"/>
    <x v="2"/>
    <x v="4"/>
    <m/>
    <m/>
    <m/>
    <n v="43"/>
  </r>
  <r>
    <x v="38"/>
    <x v="0"/>
    <x v="2"/>
    <x v="5"/>
    <m/>
    <m/>
    <m/>
    <n v="6"/>
  </r>
  <r>
    <x v="38"/>
    <x v="0"/>
    <x v="2"/>
    <x v="6"/>
    <m/>
    <m/>
    <m/>
    <n v="4"/>
  </r>
  <r>
    <x v="3"/>
    <x v="0"/>
    <x v="2"/>
    <x v="1"/>
    <m/>
    <n v="1448"/>
    <m/>
    <m/>
  </r>
  <r>
    <x v="3"/>
    <x v="0"/>
    <x v="2"/>
    <x v="2"/>
    <m/>
    <n v="731"/>
    <m/>
    <m/>
  </r>
  <r>
    <x v="3"/>
    <x v="0"/>
    <x v="2"/>
    <x v="3"/>
    <m/>
    <n v="723"/>
    <m/>
    <m/>
  </r>
  <r>
    <x v="3"/>
    <x v="1"/>
    <x v="2"/>
    <x v="1"/>
    <m/>
    <n v="1458"/>
    <m/>
    <m/>
  </r>
  <r>
    <x v="3"/>
    <x v="1"/>
    <x v="2"/>
    <x v="2"/>
    <m/>
    <n v="829"/>
    <m/>
    <m/>
  </r>
  <r>
    <x v="3"/>
    <x v="1"/>
    <x v="2"/>
    <x v="3"/>
    <m/>
    <n v="779"/>
    <m/>
    <m/>
  </r>
  <r>
    <x v="3"/>
    <x v="0"/>
    <x v="2"/>
    <x v="4"/>
    <m/>
    <m/>
    <m/>
    <n v="106"/>
  </r>
  <r>
    <x v="3"/>
    <x v="0"/>
    <x v="2"/>
    <x v="5"/>
    <m/>
    <m/>
    <m/>
    <n v="14"/>
  </r>
  <r>
    <x v="3"/>
    <x v="0"/>
    <x v="2"/>
    <x v="6"/>
    <m/>
    <m/>
    <m/>
    <m/>
  </r>
  <r>
    <x v="12"/>
    <x v="0"/>
    <x v="2"/>
    <x v="1"/>
    <m/>
    <n v="1202"/>
    <m/>
    <m/>
  </r>
  <r>
    <x v="12"/>
    <x v="0"/>
    <x v="2"/>
    <x v="2"/>
    <m/>
    <n v="549"/>
    <m/>
    <m/>
  </r>
  <r>
    <x v="12"/>
    <x v="0"/>
    <x v="2"/>
    <x v="3"/>
    <m/>
    <n v="499"/>
    <m/>
    <m/>
  </r>
  <r>
    <x v="12"/>
    <x v="1"/>
    <x v="2"/>
    <x v="1"/>
    <m/>
    <n v="1346"/>
    <m/>
    <m/>
  </r>
  <r>
    <x v="12"/>
    <x v="1"/>
    <x v="2"/>
    <x v="2"/>
    <m/>
    <n v="554"/>
    <m/>
    <m/>
  </r>
  <r>
    <x v="12"/>
    <x v="1"/>
    <x v="2"/>
    <x v="3"/>
    <m/>
    <n v="535"/>
    <m/>
    <m/>
  </r>
  <r>
    <x v="12"/>
    <x v="0"/>
    <x v="2"/>
    <x v="4"/>
    <m/>
    <m/>
    <m/>
    <n v="88"/>
  </r>
  <r>
    <x v="12"/>
    <x v="0"/>
    <x v="2"/>
    <x v="5"/>
    <m/>
    <m/>
    <m/>
    <n v="5"/>
  </r>
  <r>
    <x v="12"/>
    <x v="0"/>
    <x v="2"/>
    <x v="6"/>
    <m/>
    <m/>
    <m/>
    <n v="9"/>
  </r>
  <r>
    <x v="34"/>
    <x v="0"/>
    <x v="2"/>
    <x v="1"/>
    <m/>
    <n v="939"/>
    <m/>
    <m/>
  </r>
  <r>
    <x v="34"/>
    <x v="0"/>
    <x v="2"/>
    <x v="2"/>
    <m/>
    <n v="415"/>
    <m/>
    <m/>
  </r>
  <r>
    <x v="34"/>
    <x v="0"/>
    <x v="2"/>
    <x v="3"/>
    <m/>
    <n v="285"/>
    <m/>
    <m/>
  </r>
  <r>
    <x v="34"/>
    <x v="1"/>
    <x v="2"/>
    <x v="1"/>
    <m/>
    <n v="1232"/>
    <m/>
    <m/>
  </r>
  <r>
    <x v="34"/>
    <x v="1"/>
    <x v="2"/>
    <x v="2"/>
    <m/>
    <n v="411"/>
    <m/>
    <m/>
  </r>
  <r>
    <x v="34"/>
    <x v="1"/>
    <x v="2"/>
    <x v="3"/>
    <m/>
    <n v="328"/>
    <m/>
    <m/>
  </r>
  <r>
    <x v="34"/>
    <x v="0"/>
    <x v="2"/>
    <x v="4"/>
    <m/>
    <m/>
    <m/>
    <n v="34"/>
  </r>
  <r>
    <x v="34"/>
    <x v="0"/>
    <x v="2"/>
    <x v="5"/>
    <m/>
    <m/>
    <m/>
    <n v="6"/>
  </r>
  <r>
    <x v="34"/>
    <x v="0"/>
    <x v="2"/>
    <x v="6"/>
    <m/>
    <m/>
    <m/>
    <n v="4"/>
  </r>
  <r>
    <x v="0"/>
    <x v="0"/>
    <x v="2"/>
    <x v="1"/>
    <m/>
    <n v="2334"/>
    <m/>
    <m/>
  </r>
  <r>
    <x v="0"/>
    <x v="0"/>
    <x v="2"/>
    <x v="2"/>
    <m/>
    <n v="1131"/>
    <m/>
    <m/>
  </r>
  <r>
    <x v="0"/>
    <x v="0"/>
    <x v="2"/>
    <x v="3"/>
    <m/>
    <n v="975"/>
    <m/>
    <m/>
  </r>
  <r>
    <x v="0"/>
    <x v="1"/>
    <x v="2"/>
    <x v="1"/>
    <m/>
    <n v="2779"/>
    <m/>
    <m/>
  </r>
  <r>
    <x v="0"/>
    <x v="1"/>
    <x v="2"/>
    <x v="2"/>
    <m/>
    <n v="1372"/>
    <m/>
    <m/>
  </r>
  <r>
    <x v="0"/>
    <x v="1"/>
    <x v="2"/>
    <x v="3"/>
    <m/>
    <n v="1133"/>
    <m/>
    <m/>
  </r>
  <r>
    <x v="0"/>
    <x v="0"/>
    <x v="2"/>
    <x v="4"/>
    <m/>
    <m/>
    <m/>
    <n v="165"/>
  </r>
  <r>
    <x v="0"/>
    <x v="0"/>
    <x v="2"/>
    <x v="5"/>
    <m/>
    <m/>
    <m/>
    <n v="18"/>
  </r>
  <r>
    <x v="0"/>
    <x v="0"/>
    <x v="2"/>
    <x v="6"/>
    <m/>
    <m/>
    <m/>
    <n v="18"/>
  </r>
  <r>
    <x v="39"/>
    <x v="0"/>
    <x v="2"/>
    <x v="1"/>
    <m/>
    <n v="404"/>
    <m/>
    <m/>
  </r>
  <r>
    <x v="39"/>
    <x v="0"/>
    <x v="2"/>
    <x v="2"/>
    <m/>
    <n v="296"/>
    <m/>
    <m/>
  </r>
  <r>
    <x v="39"/>
    <x v="0"/>
    <x v="2"/>
    <x v="3"/>
    <m/>
    <n v="328"/>
    <m/>
    <m/>
  </r>
  <r>
    <x v="39"/>
    <x v="1"/>
    <x v="2"/>
    <x v="1"/>
    <m/>
    <n v="419"/>
    <m/>
    <m/>
  </r>
  <r>
    <x v="39"/>
    <x v="1"/>
    <x v="2"/>
    <x v="2"/>
    <m/>
    <n v="382"/>
    <m/>
    <m/>
  </r>
  <r>
    <x v="39"/>
    <x v="1"/>
    <x v="2"/>
    <x v="3"/>
    <m/>
    <n v="347"/>
    <m/>
    <m/>
  </r>
  <r>
    <x v="39"/>
    <x v="0"/>
    <x v="2"/>
    <x v="4"/>
    <m/>
    <m/>
    <m/>
    <n v="41"/>
  </r>
  <r>
    <x v="39"/>
    <x v="0"/>
    <x v="2"/>
    <x v="5"/>
    <m/>
    <m/>
    <m/>
    <n v="5"/>
  </r>
  <r>
    <x v="39"/>
    <x v="0"/>
    <x v="2"/>
    <x v="6"/>
    <m/>
    <m/>
    <m/>
    <n v="5"/>
  </r>
  <r>
    <x v="51"/>
    <x v="0"/>
    <x v="2"/>
    <x v="1"/>
    <m/>
    <n v="426"/>
    <m/>
    <m/>
  </r>
  <r>
    <x v="51"/>
    <x v="0"/>
    <x v="2"/>
    <x v="2"/>
    <m/>
    <n v="238"/>
    <m/>
    <m/>
  </r>
  <r>
    <x v="51"/>
    <x v="0"/>
    <x v="2"/>
    <x v="3"/>
    <m/>
    <n v="187"/>
    <m/>
    <m/>
  </r>
  <r>
    <x v="51"/>
    <x v="1"/>
    <x v="2"/>
    <x v="1"/>
    <m/>
    <n v="461"/>
    <m/>
    <m/>
  </r>
  <r>
    <x v="51"/>
    <x v="1"/>
    <x v="2"/>
    <x v="2"/>
    <m/>
    <n v="261"/>
    <m/>
    <m/>
  </r>
  <r>
    <x v="51"/>
    <x v="1"/>
    <x v="2"/>
    <x v="3"/>
    <m/>
    <n v="178"/>
    <m/>
    <m/>
  </r>
  <r>
    <x v="51"/>
    <x v="0"/>
    <x v="2"/>
    <x v="4"/>
    <m/>
    <m/>
    <m/>
    <n v="22"/>
  </r>
  <r>
    <x v="51"/>
    <x v="0"/>
    <x v="2"/>
    <x v="5"/>
    <m/>
    <m/>
    <m/>
    <n v="4"/>
  </r>
  <r>
    <x v="51"/>
    <x v="0"/>
    <x v="2"/>
    <x v="6"/>
    <m/>
    <m/>
    <m/>
    <n v="3"/>
  </r>
  <r>
    <x v="43"/>
    <x v="0"/>
    <x v="2"/>
    <x v="1"/>
    <m/>
    <n v="604"/>
    <m/>
    <m/>
  </r>
  <r>
    <x v="43"/>
    <x v="0"/>
    <x v="2"/>
    <x v="2"/>
    <m/>
    <n v="329"/>
    <m/>
    <m/>
  </r>
  <r>
    <x v="43"/>
    <x v="0"/>
    <x v="2"/>
    <x v="3"/>
    <m/>
    <n v="307"/>
    <m/>
    <m/>
  </r>
  <r>
    <x v="43"/>
    <x v="1"/>
    <x v="2"/>
    <x v="1"/>
    <m/>
    <n v="630"/>
    <m/>
    <m/>
  </r>
  <r>
    <x v="43"/>
    <x v="1"/>
    <x v="2"/>
    <x v="2"/>
    <m/>
    <n v="400"/>
    <m/>
    <m/>
  </r>
  <r>
    <x v="43"/>
    <x v="1"/>
    <x v="2"/>
    <x v="3"/>
    <m/>
    <n v="361"/>
    <m/>
    <m/>
  </r>
  <r>
    <x v="43"/>
    <x v="0"/>
    <x v="2"/>
    <x v="4"/>
    <m/>
    <m/>
    <m/>
    <n v="33"/>
  </r>
  <r>
    <x v="43"/>
    <x v="0"/>
    <x v="2"/>
    <x v="5"/>
    <m/>
    <m/>
    <m/>
    <n v="7"/>
  </r>
  <r>
    <x v="43"/>
    <x v="0"/>
    <x v="2"/>
    <x v="6"/>
    <m/>
    <m/>
    <m/>
    <n v="2"/>
  </r>
  <r>
    <x v="1"/>
    <x v="0"/>
    <x v="2"/>
    <x v="1"/>
    <m/>
    <n v="1578"/>
    <m/>
    <m/>
  </r>
  <r>
    <x v="1"/>
    <x v="0"/>
    <x v="2"/>
    <x v="2"/>
    <m/>
    <n v="936"/>
    <m/>
    <m/>
  </r>
  <r>
    <x v="1"/>
    <x v="0"/>
    <x v="2"/>
    <x v="3"/>
    <m/>
    <n v="893"/>
    <m/>
    <m/>
  </r>
  <r>
    <x v="1"/>
    <x v="1"/>
    <x v="2"/>
    <x v="1"/>
    <m/>
    <n v="1714"/>
    <m/>
    <m/>
  </r>
  <r>
    <x v="1"/>
    <x v="1"/>
    <x v="2"/>
    <x v="2"/>
    <m/>
    <n v="979"/>
    <m/>
    <m/>
  </r>
  <r>
    <x v="1"/>
    <x v="1"/>
    <x v="2"/>
    <x v="3"/>
    <m/>
    <n v="853"/>
    <m/>
    <m/>
  </r>
  <r>
    <x v="1"/>
    <x v="0"/>
    <x v="2"/>
    <x v="4"/>
    <m/>
    <m/>
    <m/>
    <n v="91"/>
  </r>
  <r>
    <x v="1"/>
    <x v="0"/>
    <x v="2"/>
    <x v="5"/>
    <m/>
    <m/>
    <m/>
    <n v="7"/>
  </r>
  <r>
    <x v="1"/>
    <x v="0"/>
    <x v="2"/>
    <x v="6"/>
    <m/>
    <m/>
    <m/>
    <n v="7"/>
  </r>
  <r>
    <x v="18"/>
    <x v="0"/>
    <x v="2"/>
    <x v="1"/>
    <m/>
    <n v="912"/>
    <m/>
    <m/>
  </r>
  <r>
    <x v="18"/>
    <x v="0"/>
    <x v="2"/>
    <x v="2"/>
    <m/>
    <n v="577"/>
    <m/>
    <m/>
  </r>
  <r>
    <x v="18"/>
    <x v="0"/>
    <x v="2"/>
    <x v="3"/>
    <m/>
    <n v="568"/>
    <m/>
    <m/>
  </r>
  <r>
    <x v="18"/>
    <x v="1"/>
    <x v="2"/>
    <x v="1"/>
    <m/>
    <n v="930"/>
    <m/>
    <m/>
  </r>
  <r>
    <x v="18"/>
    <x v="1"/>
    <x v="2"/>
    <x v="2"/>
    <m/>
    <n v="610"/>
    <m/>
    <m/>
  </r>
  <r>
    <x v="18"/>
    <x v="1"/>
    <x v="2"/>
    <x v="3"/>
    <m/>
    <n v="543"/>
    <m/>
    <m/>
  </r>
  <r>
    <x v="18"/>
    <x v="0"/>
    <x v="2"/>
    <x v="4"/>
    <m/>
    <m/>
    <m/>
    <n v="108"/>
  </r>
  <r>
    <x v="18"/>
    <x v="0"/>
    <x v="2"/>
    <x v="5"/>
    <m/>
    <m/>
    <m/>
    <n v="9"/>
  </r>
  <r>
    <x v="18"/>
    <x v="0"/>
    <x v="2"/>
    <x v="6"/>
    <m/>
    <m/>
    <m/>
    <n v="6"/>
  </r>
  <r>
    <x v="52"/>
    <x v="0"/>
    <x v="2"/>
    <x v="1"/>
    <m/>
    <n v="211"/>
    <m/>
    <m/>
  </r>
  <r>
    <x v="52"/>
    <x v="0"/>
    <x v="2"/>
    <x v="2"/>
    <m/>
    <n v="95"/>
    <m/>
    <m/>
  </r>
  <r>
    <x v="52"/>
    <x v="0"/>
    <x v="2"/>
    <x v="3"/>
    <m/>
    <n v="53"/>
    <m/>
    <m/>
  </r>
  <r>
    <x v="52"/>
    <x v="1"/>
    <x v="2"/>
    <x v="1"/>
    <m/>
    <n v="220"/>
    <m/>
    <m/>
  </r>
  <r>
    <x v="52"/>
    <x v="1"/>
    <x v="2"/>
    <x v="2"/>
    <m/>
    <n v="79"/>
    <m/>
    <m/>
  </r>
  <r>
    <x v="52"/>
    <x v="1"/>
    <x v="2"/>
    <x v="3"/>
    <m/>
    <n v="48"/>
    <m/>
    <m/>
  </r>
  <r>
    <x v="52"/>
    <x v="0"/>
    <x v="2"/>
    <x v="4"/>
    <m/>
    <m/>
    <m/>
    <n v="4"/>
  </r>
  <r>
    <x v="52"/>
    <x v="0"/>
    <x v="2"/>
    <x v="5"/>
    <m/>
    <m/>
    <m/>
    <n v="0"/>
  </r>
  <r>
    <x v="52"/>
    <x v="0"/>
    <x v="2"/>
    <x v="6"/>
    <m/>
    <m/>
    <m/>
    <n v="0"/>
  </r>
  <r>
    <x v="4"/>
    <x v="0"/>
    <x v="2"/>
    <x v="1"/>
    <m/>
    <n v="1804"/>
    <m/>
    <m/>
  </r>
  <r>
    <x v="4"/>
    <x v="0"/>
    <x v="2"/>
    <x v="2"/>
    <m/>
    <n v="899"/>
    <m/>
    <m/>
  </r>
  <r>
    <x v="4"/>
    <x v="0"/>
    <x v="2"/>
    <x v="3"/>
    <m/>
    <n v="795"/>
    <m/>
    <m/>
  </r>
  <r>
    <x v="4"/>
    <x v="1"/>
    <x v="2"/>
    <x v="1"/>
    <m/>
    <n v="1952"/>
    <m/>
    <m/>
  </r>
  <r>
    <x v="4"/>
    <x v="1"/>
    <x v="2"/>
    <x v="2"/>
    <m/>
    <n v="914"/>
    <m/>
    <m/>
  </r>
  <r>
    <x v="4"/>
    <x v="1"/>
    <x v="2"/>
    <x v="3"/>
    <m/>
    <n v="858"/>
    <m/>
    <m/>
  </r>
  <r>
    <x v="4"/>
    <x v="0"/>
    <x v="2"/>
    <x v="4"/>
    <m/>
    <m/>
    <m/>
    <n v="191"/>
  </r>
  <r>
    <x v="4"/>
    <x v="0"/>
    <x v="2"/>
    <x v="5"/>
    <m/>
    <m/>
    <m/>
    <n v="11"/>
  </r>
  <r>
    <x v="4"/>
    <x v="0"/>
    <x v="2"/>
    <x v="6"/>
    <m/>
    <m/>
    <m/>
    <n v="29"/>
  </r>
  <r>
    <x v="41"/>
    <x v="0"/>
    <x v="2"/>
    <x v="1"/>
    <m/>
    <n v="1055"/>
    <m/>
    <m/>
  </r>
  <r>
    <x v="41"/>
    <x v="0"/>
    <x v="2"/>
    <x v="2"/>
    <m/>
    <n v="424"/>
    <m/>
    <m/>
  </r>
  <r>
    <x v="41"/>
    <x v="0"/>
    <x v="2"/>
    <x v="3"/>
    <m/>
    <n v="347"/>
    <m/>
    <m/>
  </r>
  <r>
    <x v="41"/>
    <x v="1"/>
    <x v="2"/>
    <x v="1"/>
    <m/>
    <n v="1208"/>
    <m/>
    <m/>
  </r>
  <r>
    <x v="41"/>
    <x v="1"/>
    <x v="2"/>
    <x v="2"/>
    <m/>
    <n v="492"/>
    <m/>
    <m/>
  </r>
  <r>
    <x v="41"/>
    <x v="1"/>
    <x v="2"/>
    <x v="3"/>
    <m/>
    <n v="380"/>
    <m/>
    <m/>
  </r>
  <r>
    <x v="41"/>
    <x v="0"/>
    <x v="2"/>
    <x v="4"/>
    <m/>
    <m/>
    <m/>
    <n v="74"/>
  </r>
  <r>
    <x v="41"/>
    <x v="0"/>
    <x v="2"/>
    <x v="5"/>
    <m/>
    <m/>
    <m/>
    <n v="10"/>
  </r>
  <r>
    <x v="41"/>
    <x v="0"/>
    <x v="2"/>
    <x v="6"/>
    <m/>
    <m/>
    <m/>
    <n v="4"/>
  </r>
  <r>
    <x v="15"/>
    <x v="0"/>
    <x v="2"/>
    <x v="1"/>
    <m/>
    <n v="1127"/>
    <m/>
    <m/>
  </r>
  <r>
    <x v="15"/>
    <x v="0"/>
    <x v="2"/>
    <x v="2"/>
    <m/>
    <n v="623"/>
    <m/>
    <m/>
  </r>
  <r>
    <x v="15"/>
    <x v="0"/>
    <x v="2"/>
    <x v="3"/>
    <m/>
    <n v="592"/>
    <m/>
    <m/>
  </r>
  <r>
    <x v="15"/>
    <x v="1"/>
    <x v="2"/>
    <x v="1"/>
    <m/>
    <n v="1281"/>
    <m/>
    <m/>
  </r>
  <r>
    <x v="15"/>
    <x v="1"/>
    <x v="2"/>
    <x v="2"/>
    <m/>
    <n v="727"/>
    <m/>
    <m/>
  </r>
  <r>
    <x v="15"/>
    <x v="1"/>
    <x v="2"/>
    <x v="3"/>
    <m/>
    <n v="654"/>
    <m/>
    <m/>
  </r>
  <r>
    <x v="15"/>
    <x v="0"/>
    <x v="2"/>
    <x v="4"/>
    <m/>
    <m/>
    <m/>
    <n v="155"/>
  </r>
  <r>
    <x v="15"/>
    <x v="0"/>
    <x v="2"/>
    <x v="5"/>
    <m/>
    <m/>
    <m/>
    <n v="19"/>
  </r>
  <r>
    <x v="15"/>
    <x v="0"/>
    <x v="2"/>
    <x v="6"/>
    <m/>
    <m/>
    <m/>
    <n v="8"/>
  </r>
  <r>
    <x v="45"/>
    <x v="0"/>
    <x v="2"/>
    <x v="1"/>
    <m/>
    <n v="961"/>
    <m/>
    <m/>
  </r>
  <r>
    <x v="45"/>
    <x v="0"/>
    <x v="2"/>
    <x v="2"/>
    <m/>
    <n v="390"/>
    <m/>
    <m/>
  </r>
  <r>
    <x v="45"/>
    <x v="0"/>
    <x v="2"/>
    <x v="3"/>
    <m/>
    <n v="297"/>
    <m/>
    <m/>
  </r>
  <r>
    <x v="45"/>
    <x v="1"/>
    <x v="2"/>
    <x v="1"/>
    <m/>
    <n v="1081"/>
    <m/>
    <m/>
  </r>
  <r>
    <x v="45"/>
    <x v="1"/>
    <x v="2"/>
    <x v="2"/>
    <m/>
    <n v="340"/>
    <m/>
    <m/>
  </r>
  <r>
    <x v="45"/>
    <x v="1"/>
    <x v="2"/>
    <x v="3"/>
    <m/>
    <n v="271"/>
    <m/>
    <m/>
  </r>
  <r>
    <x v="45"/>
    <x v="0"/>
    <x v="2"/>
    <x v="4"/>
    <m/>
    <m/>
    <m/>
    <n v="43"/>
  </r>
  <r>
    <x v="45"/>
    <x v="0"/>
    <x v="2"/>
    <x v="5"/>
    <m/>
    <m/>
    <m/>
    <n v="9"/>
  </r>
  <r>
    <x v="45"/>
    <x v="0"/>
    <x v="2"/>
    <x v="6"/>
    <m/>
    <m/>
    <m/>
    <n v="3"/>
  </r>
  <r>
    <x v="29"/>
    <x v="0"/>
    <x v="2"/>
    <x v="1"/>
    <m/>
    <n v="843"/>
    <m/>
    <m/>
  </r>
  <r>
    <x v="29"/>
    <x v="0"/>
    <x v="2"/>
    <x v="2"/>
    <m/>
    <n v="492"/>
    <m/>
    <m/>
  </r>
  <r>
    <x v="29"/>
    <x v="0"/>
    <x v="2"/>
    <x v="3"/>
    <m/>
    <n v="483"/>
    <m/>
    <m/>
  </r>
  <r>
    <x v="29"/>
    <x v="1"/>
    <x v="2"/>
    <x v="1"/>
    <m/>
    <n v="922"/>
    <m/>
    <m/>
  </r>
  <r>
    <x v="29"/>
    <x v="1"/>
    <x v="2"/>
    <x v="2"/>
    <m/>
    <n v="603"/>
    <m/>
    <m/>
  </r>
  <r>
    <x v="29"/>
    <x v="1"/>
    <x v="2"/>
    <x v="3"/>
    <m/>
    <n v="605"/>
    <m/>
    <m/>
  </r>
  <r>
    <x v="29"/>
    <x v="0"/>
    <x v="2"/>
    <x v="4"/>
    <m/>
    <m/>
    <m/>
    <n v="129"/>
  </r>
  <r>
    <x v="29"/>
    <x v="0"/>
    <x v="2"/>
    <x v="5"/>
    <m/>
    <m/>
    <m/>
    <n v="129"/>
  </r>
  <r>
    <x v="29"/>
    <x v="0"/>
    <x v="2"/>
    <x v="6"/>
    <m/>
    <m/>
    <m/>
    <n v="5"/>
  </r>
  <r>
    <x v="28"/>
    <x v="0"/>
    <x v="2"/>
    <x v="1"/>
    <m/>
    <n v="967"/>
    <m/>
    <m/>
  </r>
  <r>
    <x v="28"/>
    <x v="0"/>
    <x v="2"/>
    <x v="2"/>
    <m/>
    <n v="473"/>
    <m/>
    <m/>
  </r>
  <r>
    <x v="28"/>
    <x v="0"/>
    <x v="2"/>
    <x v="3"/>
    <m/>
    <n v="414"/>
    <m/>
    <m/>
  </r>
  <r>
    <x v="28"/>
    <x v="1"/>
    <x v="2"/>
    <x v="1"/>
    <m/>
    <n v="1074"/>
    <m/>
    <m/>
  </r>
  <r>
    <x v="28"/>
    <x v="1"/>
    <x v="2"/>
    <x v="2"/>
    <m/>
    <n v="507"/>
    <m/>
    <m/>
  </r>
  <r>
    <x v="28"/>
    <x v="1"/>
    <x v="2"/>
    <x v="3"/>
    <m/>
    <n v="431"/>
    <m/>
    <m/>
  </r>
  <r>
    <x v="28"/>
    <x v="0"/>
    <x v="2"/>
    <x v="4"/>
    <m/>
    <m/>
    <m/>
    <n v="79"/>
  </r>
  <r>
    <x v="28"/>
    <x v="0"/>
    <x v="2"/>
    <x v="5"/>
    <m/>
    <m/>
    <m/>
    <n v="79"/>
  </r>
  <r>
    <x v="28"/>
    <x v="0"/>
    <x v="2"/>
    <x v="6"/>
    <m/>
    <m/>
    <m/>
    <n v="5"/>
  </r>
  <r>
    <x v="24"/>
    <x v="0"/>
    <x v="2"/>
    <x v="1"/>
    <m/>
    <n v="1401"/>
    <m/>
    <m/>
  </r>
  <r>
    <x v="24"/>
    <x v="0"/>
    <x v="2"/>
    <x v="2"/>
    <m/>
    <n v="561"/>
    <m/>
    <m/>
  </r>
  <r>
    <x v="24"/>
    <x v="0"/>
    <x v="2"/>
    <x v="3"/>
    <m/>
    <n v="465"/>
    <m/>
    <m/>
  </r>
  <r>
    <x v="24"/>
    <x v="1"/>
    <x v="2"/>
    <x v="1"/>
    <m/>
    <n v="1417"/>
    <m/>
    <m/>
  </r>
  <r>
    <x v="24"/>
    <x v="1"/>
    <x v="2"/>
    <x v="2"/>
    <m/>
    <n v="645"/>
    <m/>
    <m/>
  </r>
  <r>
    <x v="24"/>
    <x v="1"/>
    <x v="2"/>
    <x v="3"/>
    <m/>
    <n v="512"/>
    <m/>
    <m/>
  </r>
  <r>
    <x v="24"/>
    <x v="0"/>
    <x v="2"/>
    <x v="4"/>
    <m/>
    <m/>
    <m/>
    <n v="76"/>
  </r>
  <r>
    <x v="24"/>
    <x v="0"/>
    <x v="2"/>
    <x v="5"/>
    <m/>
    <m/>
    <m/>
    <n v="76"/>
  </r>
  <r>
    <x v="24"/>
    <x v="0"/>
    <x v="2"/>
    <x v="6"/>
    <m/>
    <m/>
    <m/>
    <n v="8"/>
  </r>
  <r>
    <x v="23"/>
    <x v="0"/>
    <x v="2"/>
    <x v="1"/>
    <m/>
    <n v="675"/>
    <m/>
    <m/>
  </r>
  <r>
    <x v="23"/>
    <x v="0"/>
    <x v="2"/>
    <x v="2"/>
    <m/>
    <n v="488"/>
    <m/>
    <m/>
  </r>
  <r>
    <x v="23"/>
    <x v="0"/>
    <x v="2"/>
    <x v="3"/>
    <m/>
    <n v="508"/>
    <m/>
    <m/>
  </r>
  <r>
    <x v="23"/>
    <x v="1"/>
    <x v="2"/>
    <x v="1"/>
    <m/>
    <n v="845"/>
    <m/>
    <m/>
  </r>
  <r>
    <x v="23"/>
    <x v="1"/>
    <x v="2"/>
    <x v="2"/>
    <m/>
    <n v="620"/>
    <m/>
    <m/>
  </r>
  <r>
    <x v="23"/>
    <x v="1"/>
    <x v="2"/>
    <x v="3"/>
    <m/>
    <n v="625"/>
    <m/>
    <m/>
  </r>
  <r>
    <x v="23"/>
    <x v="0"/>
    <x v="2"/>
    <x v="4"/>
    <m/>
    <m/>
    <m/>
    <n v="153"/>
  </r>
  <r>
    <x v="23"/>
    <x v="0"/>
    <x v="2"/>
    <x v="5"/>
    <m/>
    <m/>
    <m/>
    <n v="7"/>
  </r>
  <r>
    <x v="23"/>
    <x v="0"/>
    <x v="2"/>
    <x v="6"/>
    <m/>
    <m/>
    <m/>
    <n v="9"/>
  </r>
  <r>
    <x v="14"/>
    <x v="0"/>
    <x v="2"/>
    <x v="1"/>
    <m/>
    <n v="1003"/>
    <m/>
    <m/>
  </r>
  <r>
    <x v="14"/>
    <x v="0"/>
    <x v="2"/>
    <x v="2"/>
    <m/>
    <n v="582"/>
    <m/>
    <m/>
  </r>
  <r>
    <x v="14"/>
    <x v="0"/>
    <x v="2"/>
    <x v="3"/>
    <m/>
    <n v="551"/>
    <m/>
    <m/>
  </r>
  <r>
    <x v="14"/>
    <x v="1"/>
    <x v="2"/>
    <x v="1"/>
    <m/>
    <n v="1039"/>
    <m/>
    <m/>
  </r>
  <r>
    <x v="14"/>
    <x v="1"/>
    <x v="2"/>
    <x v="2"/>
    <m/>
    <n v="596"/>
    <m/>
    <m/>
  </r>
  <r>
    <x v="14"/>
    <x v="1"/>
    <x v="2"/>
    <x v="3"/>
    <m/>
    <n v="557"/>
    <m/>
    <m/>
  </r>
  <r>
    <x v="14"/>
    <x v="0"/>
    <x v="2"/>
    <x v="4"/>
    <m/>
    <m/>
    <m/>
    <n v="101"/>
  </r>
  <r>
    <x v="14"/>
    <x v="0"/>
    <x v="2"/>
    <x v="5"/>
    <m/>
    <m/>
    <m/>
    <n v="15"/>
  </r>
  <r>
    <x v="14"/>
    <x v="0"/>
    <x v="2"/>
    <x v="6"/>
    <m/>
    <m/>
    <m/>
    <n v="5"/>
  </r>
  <r>
    <x v="30"/>
    <x v="0"/>
    <x v="2"/>
    <x v="1"/>
    <m/>
    <n v="810"/>
    <m/>
    <m/>
  </r>
  <r>
    <x v="30"/>
    <x v="0"/>
    <x v="2"/>
    <x v="2"/>
    <m/>
    <n v="402"/>
    <m/>
    <m/>
  </r>
  <r>
    <x v="30"/>
    <x v="0"/>
    <x v="2"/>
    <x v="3"/>
    <m/>
    <n v="420"/>
    <m/>
    <m/>
  </r>
  <r>
    <x v="30"/>
    <x v="1"/>
    <x v="2"/>
    <x v="1"/>
    <m/>
    <n v="914"/>
    <m/>
    <m/>
  </r>
  <r>
    <x v="30"/>
    <x v="1"/>
    <x v="2"/>
    <x v="2"/>
    <m/>
    <n v="380"/>
    <m/>
    <m/>
  </r>
  <r>
    <x v="30"/>
    <x v="1"/>
    <x v="2"/>
    <x v="3"/>
    <m/>
    <n v="367"/>
    <m/>
    <m/>
  </r>
  <r>
    <x v="30"/>
    <x v="0"/>
    <x v="2"/>
    <x v="4"/>
    <m/>
    <m/>
    <m/>
    <n v="16"/>
  </r>
  <r>
    <x v="30"/>
    <x v="0"/>
    <x v="2"/>
    <x v="5"/>
    <m/>
    <m/>
    <m/>
    <n v="16"/>
  </r>
  <r>
    <x v="30"/>
    <x v="0"/>
    <x v="2"/>
    <x v="6"/>
    <m/>
    <m/>
    <m/>
    <n v="4"/>
  </r>
  <r>
    <x v="20"/>
    <x v="0"/>
    <x v="2"/>
    <x v="1"/>
    <m/>
    <n v="819"/>
    <m/>
    <m/>
  </r>
  <r>
    <x v="20"/>
    <x v="0"/>
    <x v="2"/>
    <x v="2"/>
    <m/>
    <n v="432"/>
    <m/>
    <m/>
  </r>
  <r>
    <x v="20"/>
    <x v="0"/>
    <x v="2"/>
    <x v="3"/>
    <m/>
    <n v="376"/>
    <m/>
    <m/>
  </r>
  <r>
    <x v="20"/>
    <x v="1"/>
    <x v="2"/>
    <x v="1"/>
    <m/>
    <n v="958"/>
    <m/>
    <m/>
  </r>
  <r>
    <x v="20"/>
    <x v="1"/>
    <x v="2"/>
    <x v="2"/>
    <m/>
    <n v="573"/>
    <m/>
    <m/>
  </r>
  <r>
    <x v="20"/>
    <x v="1"/>
    <x v="2"/>
    <x v="3"/>
    <m/>
    <n v="494"/>
    <m/>
    <m/>
  </r>
  <r>
    <x v="20"/>
    <x v="0"/>
    <x v="2"/>
    <x v="4"/>
    <m/>
    <m/>
    <m/>
    <n v="156"/>
  </r>
  <r>
    <x v="20"/>
    <x v="0"/>
    <x v="2"/>
    <x v="5"/>
    <m/>
    <m/>
    <m/>
    <n v="11"/>
  </r>
  <r>
    <x v="20"/>
    <x v="0"/>
    <x v="2"/>
    <x v="6"/>
    <m/>
    <m/>
    <m/>
    <n v="15"/>
  </r>
  <r>
    <x v="36"/>
    <x v="0"/>
    <x v="2"/>
    <x v="1"/>
    <m/>
    <n v="552"/>
    <m/>
    <m/>
  </r>
  <r>
    <x v="36"/>
    <x v="0"/>
    <x v="2"/>
    <x v="2"/>
    <m/>
    <n v="335"/>
    <m/>
    <m/>
  </r>
  <r>
    <x v="36"/>
    <x v="0"/>
    <x v="2"/>
    <x v="3"/>
    <m/>
    <n v="318"/>
    <m/>
    <m/>
  </r>
  <r>
    <x v="36"/>
    <x v="1"/>
    <x v="2"/>
    <x v="1"/>
    <m/>
    <n v="558"/>
    <m/>
    <m/>
  </r>
  <r>
    <x v="36"/>
    <x v="1"/>
    <x v="2"/>
    <x v="2"/>
    <m/>
    <n v="397"/>
    <m/>
    <m/>
  </r>
  <r>
    <x v="36"/>
    <x v="1"/>
    <x v="2"/>
    <x v="3"/>
    <m/>
    <n v="344"/>
    <m/>
    <m/>
  </r>
  <r>
    <x v="36"/>
    <x v="0"/>
    <x v="2"/>
    <x v="4"/>
    <m/>
    <m/>
    <m/>
    <n v="97"/>
  </r>
  <r>
    <x v="36"/>
    <x v="0"/>
    <x v="2"/>
    <x v="5"/>
    <m/>
    <m/>
    <m/>
    <n v="18"/>
  </r>
  <r>
    <x v="36"/>
    <x v="0"/>
    <x v="2"/>
    <x v="6"/>
    <m/>
    <m/>
    <m/>
    <n v="6"/>
  </r>
  <r>
    <x v="33"/>
    <x v="0"/>
    <x v="2"/>
    <x v="1"/>
    <m/>
    <n v="557"/>
    <m/>
    <m/>
  </r>
  <r>
    <x v="33"/>
    <x v="0"/>
    <x v="2"/>
    <x v="2"/>
    <m/>
    <n v="430"/>
    <m/>
    <m/>
  </r>
  <r>
    <x v="33"/>
    <x v="0"/>
    <x v="2"/>
    <x v="3"/>
    <m/>
    <n v="348"/>
    <m/>
    <m/>
  </r>
  <r>
    <x v="33"/>
    <x v="1"/>
    <x v="2"/>
    <x v="1"/>
    <m/>
    <n v="634"/>
    <m/>
    <m/>
  </r>
  <r>
    <x v="33"/>
    <x v="1"/>
    <x v="2"/>
    <x v="2"/>
    <m/>
    <n v="398"/>
    <m/>
    <m/>
  </r>
  <r>
    <x v="33"/>
    <x v="1"/>
    <x v="2"/>
    <x v="3"/>
    <m/>
    <n v="359"/>
    <m/>
    <m/>
  </r>
  <r>
    <x v="33"/>
    <x v="0"/>
    <x v="2"/>
    <x v="4"/>
    <m/>
    <m/>
    <m/>
    <n v="68"/>
  </r>
  <r>
    <x v="33"/>
    <x v="0"/>
    <x v="2"/>
    <x v="5"/>
    <m/>
    <m/>
    <m/>
    <n v="18"/>
  </r>
  <r>
    <x v="33"/>
    <x v="0"/>
    <x v="2"/>
    <x v="6"/>
    <m/>
    <m/>
    <m/>
    <n v="3"/>
  </r>
  <r>
    <x v="19"/>
    <x v="0"/>
    <x v="2"/>
    <x v="1"/>
    <m/>
    <n v="599"/>
    <m/>
    <m/>
  </r>
  <r>
    <x v="19"/>
    <x v="0"/>
    <x v="2"/>
    <x v="2"/>
    <m/>
    <n v="478"/>
    <m/>
    <m/>
  </r>
  <r>
    <x v="19"/>
    <x v="0"/>
    <x v="2"/>
    <x v="3"/>
    <m/>
    <n v="476"/>
    <m/>
    <m/>
  </r>
  <r>
    <x v="19"/>
    <x v="1"/>
    <x v="2"/>
    <x v="1"/>
    <m/>
    <n v="913"/>
    <m/>
    <m/>
  </r>
  <r>
    <x v="19"/>
    <x v="1"/>
    <x v="2"/>
    <x v="2"/>
    <m/>
    <n v="579"/>
    <m/>
    <m/>
  </r>
  <r>
    <x v="19"/>
    <x v="1"/>
    <x v="2"/>
    <x v="3"/>
    <m/>
    <n v="522"/>
    <m/>
    <m/>
  </r>
  <r>
    <x v="19"/>
    <x v="0"/>
    <x v="2"/>
    <x v="4"/>
    <m/>
    <m/>
    <m/>
    <n v="103"/>
  </r>
  <r>
    <x v="19"/>
    <x v="0"/>
    <x v="2"/>
    <x v="5"/>
    <m/>
    <m/>
    <m/>
    <n v="8"/>
  </r>
  <r>
    <x v="19"/>
    <x v="0"/>
    <x v="2"/>
    <x v="6"/>
    <m/>
    <m/>
    <m/>
    <n v="10"/>
  </r>
  <r>
    <x v="21"/>
    <x v="0"/>
    <x v="2"/>
    <x v="1"/>
    <m/>
    <n v="845"/>
    <m/>
    <m/>
  </r>
  <r>
    <x v="21"/>
    <x v="0"/>
    <x v="2"/>
    <x v="2"/>
    <m/>
    <n v="417"/>
    <m/>
    <m/>
  </r>
  <r>
    <x v="21"/>
    <x v="0"/>
    <x v="2"/>
    <x v="3"/>
    <m/>
    <n v="386"/>
    <m/>
    <m/>
  </r>
  <r>
    <x v="21"/>
    <x v="1"/>
    <x v="2"/>
    <x v="1"/>
    <m/>
    <n v="916"/>
    <m/>
    <m/>
  </r>
  <r>
    <x v="21"/>
    <x v="1"/>
    <x v="2"/>
    <x v="2"/>
    <m/>
    <n v="593"/>
    <m/>
    <m/>
  </r>
  <r>
    <x v="21"/>
    <x v="1"/>
    <x v="2"/>
    <x v="3"/>
    <m/>
    <n v="446"/>
    <m/>
    <m/>
  </r>
  <r>
    <x v="21"/>
    <x v="0"/>
    <x v="2"/>
    <x v="4"/>
    <m/>
    <m/>
    <m/>
    <n v="134"/>
  </r>
  <r>
    <x v="21"/>
    <x v="0"/>
    <x v="2"/>
    <x v="5"/>
    <m/>
    <m/>
    <m/>
    <n v="6"/>
  </r>
  <r>
    <x v="21"/>
    <x v="0"/>
    <x v="2"/>
    <x v="6"/>
    <m/>
    <m/>
    <m/>
    <n v="13"/>
  </r>
  <r>
    <x v="47"/>
    <x v="0"/>
    <x v="2"/>
    <x v="1"/>
    <m/>
    <n v="407"/>
    <m/>
    <m/>
  </r>
  <r>
    <x v="47"/>
    <x v="0"/>
    <x v="2"/>
    <x v="2"/>
    <m/>
    <n v="304"/>
    <m/>
    <m/>
  </r>
  <r>
    <x v="47"/>
    <x v="0"/>
    <x v="2"/>
    <x v="3"/>
    <m/>
    <n v="346"/>
    <m/>
    <m/>
  </r>
  <r>
    <x v="47"/>
    <x v="1"/>
    <x v="2"/>
    <x v="1"/>
    <m/>
    <n v="485"/>
    <m/>
    <m/>
  </r>
  <r>
    <x v="47"/>
    <x v="1"/>
    <x v="2"/>
    <x v="2"/>
    <m/>
    <n v="301"/>
    <m/>
    <m/>
  </r>
  <r>
    <x v="47"/>
    <x v="1"/>
    <x v="2"/>
    <x v="3"/>
    <m/>
    <n v="339"/>
    <m/>
    <m/>
  </r>
  <r>
    <x v="47"/>
    <x v="0"/>
    <x v="2"/>
    <x v="4"/>
    <m/>
    <m/>
    <m/>
    <n v="77"/>
  </r>
  <r>
    <x v="47"/>
    <x v="0"/>
    <x v="2"/>
    <x v="5"/>
    <m/>
    <m/>
    <m/>
    <n v="9"/>
  </r>
  <r>
    <x v="47"/>
    <x v="0"/>
    <x v="2"/>
    <x v="6"/>
    <m/>
    <m/>
    <m/>
    <n v="1"/>
  </r>
  <r>
    <x v="35"/>
    <x v="0"/>
    <x v="2"/>
    <x v="1"/>
    <m/>
    <n v="427"/>
    <m/>
    <m/>
  </r>
  <r>
    <x v="35"/>
    <x v="0"/>
    <x v="2"/>
    <x v="2"/>
    <m/>
    <n v="314"/>
    <m/>
    <m/>
  </r>
  <r>
    <x v="35"/>
    <x v="0"/>
    <x v="2"/>
    <x v="3"/>
    <m/>
    <n v="333"/>
    <m/>
    <m/>
  </r>
  <r>
    <x v="35"/>
    <x v="1"/>
    <x v="2"/>
    <x v="1"/>
    <m/>
    <n v="460"/>
    <m/>
    <m/>
  </r>
  <r>
    <x v="35"/>
    <x v="1"/>
    <x v="2"/>
    <x v="2"/>
    <m/>
    <n v="359"/>
    <m/>
    <m/>
  </r>
  <r>
    <x v="35"/>
    <x v="1"/>
    <x v="2"/>
    <x v="3"/>
    <m/>
    <n v="379"/>
    <m/>
    <m/>
  </r>
  <r>
    <x v="35"/>
    <x v="0"/>
    <x v="2"/>
    <x v="4"/>
    <m/>
    <m/>
    <m/>
    <n v="72"/>
  </r>
  <r>
    <x v="35"/>
    <x v="0"/>
    <x v="2"/>
    <x v="5"/>
    <m/>
    <m/>
    <m/>
    <n v="5"/>
  </r>
  <r>
    <x v="35"/>
    <x v="0"/>
    <x v="2"/>
    <x v="6"/>
    <m/>
    <m/>
    <m/>
    <n v="4"/>
  </r>
  <r>
    <x v="44"/>
    <x v="0"/>
    <x v="2"/>
    <x v="1"/>
    <m/>
    <n v="357"/>
    <m/>
    <m/>
  </r>
  <r>
    <x v="44"/>
    <x v="0"/>
    <x v="2"/>
    <x v="2"/>
    <m/>
    <n v="250"/>
    <m/>
    <m/>
  </r>
  <r>
    <x v="44"/>
    <x v="0"/>
    <x v="2"/>
    <x v="3"/>
    <m/>
    <n v="266"/>
    <m/>
    <m/>
  </r>
  <r>
    <x v="44"/>
    <x v="1"/>
    <x v="2"/>
    <x v="1"/>
    <m/>
    <n v="387"/>
    <m/>
    <m/>
  </r>
  <r>
    <x v="44"/>
    <x v="1"/>
    <x v="2"/>
    <x v="2"/>
    <m/>
    <n v="285"/>
    <m/>
    <m/>
  </r>
  <r>
    <x v="44"/>
    <x v="1"/>
    <x v="2"/>
    <x v="3"/>
    <m/>
    <n v="298"/>
    <m/>
    <m/>
  </r>
  <r>
    <x v="44"/>
    <x v="0"/>
    <x v="2"/>
    <x v="4"/>
    <m/>
    <m/>
    <m/>
    <n v="143"/>
  </r>
  <r>
    <x v="44"/>
    <x v="0"/>
    <x v="2"/>
    <x v="5"/>
    <m/>
    <m/>
    <m/>
    <n v="5"/>
  </r>
  <r>
    <x v="44"/>
    <x v="0"/>
    <x v="2"/>
    <x v="6"/>
    <m/>
    <m/>
    <m/>
    <n v="7"/>
  </r>
  <r>
    <x v="6"/>
    <x v="0"/>
    <x v="2"/>
    <x v="1"/>
    <m/>
    <n v="1297"/>
    <m/>
    <m/>
  </r>
  <r>
    <x v="6"/>
    <x v="0"/>
    <x v="2"/>
    <x v="2"/>
    <m/>
    <n v="750"/>
    <m/>
    <m/>
  </r>
  <r>
    <x v="6"/>
    <x v="0"/>
    <x v="2"/>
    <x v="3"/>
    <m/>
    <n v="710"/>
    <m/>
    <m/>
  </r>
  <r>
    <x v="6"/>
    <x v="1"/>
    <x v="2"/>
    <x v="1"/>
    <m/>
    <n v="1606"/>
    <m/>
    <m/>
  </r>
  <r>
    <x v="6"/>
    <x v="1"/>
    <x v="2"/>
    <x v="2"/>
    <m/>
    <n v="884"/>
    <m/>
    <m/>
  </r>
  <r>
    <x v="6"/>
    <x v="1"/>
    <x v="2"/>
    <x v="3"/>
    <m/>
    <n v="774"/>
    <m/>
    <m/>
  </r>
  <r>
    <x v="6"/>
    <x v="0"/>
    <x v="2"/>
    <x v="4"/>
    <m/>
    <m/>
    <m/>
    <n v="259"/>
  </r>
  <r>
    <x v="6"/>
    <x v="0"/>
    <x v="2"/>
    <x v="5"/>
    <m/>
    <m/>
    <m/>
    <n v="15"/>
  </r>
  <r>
    <x v="6"/>
    <x v="0"/>
    <x v="2"/>
    <x v="6"/>
    <m/>
    <m/>
    <m/>
    <n v="26"/>
  </r>
  <r>
    <x v="32"/>
    <x v="0"/>
    <x v="2"/>
    <x v="1"/>
    <m/>
    <n v="887"/>
    <m/>
    <m/>
  </r>
  <r>
    <x v="32"/>
    <x v="0"/>
    <x v="2"/>
    <x v="2"/>
    <m/>
    <n v="358"/>
    <m/>
    <m/>
  </r>
  <r>
    <x v="32"/>
    <x v="0"/>
    <x v="2"/>
    <x v="3"/>
    <m/>
    <n v="289"/>
    <m/>
    <m/>
  </r>
  <r>
    <x v="32"/>
    <x v="1"/>
    <x v="2"/>
    <x v="1"/>
    <m/>
    <n v="888"/>
    <m/>
    <m/>
  </r>
  <r>
    <x v="32"/>
    <x v="1"/>
    <x v="2"/>
    <x v="2"/>
    <m/>
    <n v="408"/>
    <m/>
    <m/>
  </r>
  <r>
    <x v="32"/>
    <x v="1"/>
    <x v="2"/>
    <x v="3"/>
    <m/>
    <n v="299"/>
    <m/>
    <m/>
  </r>
  <r>
    <x v="32"/>
    <x v="0"/>
    <x v="2"/>
    <x v="4"/>
    <m/>
    <m/>
    <m/>
    <n v="119"/>
  </r>
  <r>
    <x v="32"/>
    <x v="0"/>
    <x v="2"/>
    <x v="5"/>
    <m/>
    <m/>
    <m/>
    <n v="10"/>
  </r>
  <r>
    <x v="32"/>
    <x v="0"/>
    <x v="2"/>
    <x v="6"/>
    <m/>
    <m/>
    <m/>
    <n v="14"/>
  </r>
  <r>
    <x v="27"/>
    <x v="0"/>
    <x v="2"/>
    <x v="1"/>
    <m/>
    <n v="655"/>
    <m/>
    <m/>
  </r>
  <r>
    <x v="27"/>
    <x v="0"/>
    <x v="2"/>
    <x v="2"/>
    <m/>
    <n v="393"/>
    <m/>
    <m/>
  </r>
  <r>
    <x v="27"/>
    <x v="0"/>
    <x v="2"/>
    <x v="3"/>
    <m/>
    <n v="383"/>
    <m/>
    <m/>
  </r>
  <r>
    <x v="27"/>
    <x v="1"/>
    <x v="2"/>
    <x v="1"/>
    <m/>
    <n v="696"/>
    <m/>
    <m/>
  </r>
  <r>
    <x v="27"/>
    <x v="1"/>
    <x v="2"/>
    <x v="2"/>
    <m/>
    <n v="466"/>
    <m/>
    <m/>
  </r>
  <r>
    <x v="27"/>
    <x v="1"/>
    <x v="2"/>
    <x v="3"/>
    <m/>
    <n v="375"/>
    <m/>
    <m/>
  </r>
  <r>
    <x v="27"/>
    <x v="0"/>
    <x v="2"/>
    <x v="4"/>
    <m/>
    <m/>
    <m/>
    <n v="66"/>
  </r>
  <r>
    <x v="27"/>
    <x v="0"/>
    <x v="2"/>
    <x v="5"/>
    <m/>
    <m/>
    <m/>
    <n v="5"/>
  </r>
  <r>
    <x v="27"/>
    <x v="0"/>
    <x v="2"/>
    <x v="6"/>
    <m/>
    <m/>
    <m/>
    <n v="7"/>
  </r>
  <r>
    <x v="25"/>
    <x v="0"/>
    <x v="2"/>
    <x v="1"/>
    <m/>
    <n v="476"/>
    <m/>
    <m/>
  </r>
  <r>
    <x v="25"/>
    <x v="0"/>
    <x v="2"/>
    <x v="2"/>
    <m/>
    <n v="446"/>
    <m/>
    <m/>
  </r>
  <r>
    <x v="25"/>
    <x v="0"/>
    <x v="2"/>
    <x v="3"/>
    <m/>
    <n v="426"/>
    <m/>
    <m/>
  </r>
  <r>
    <x v="25"/>
    <x v="1"/>
    <x v="2"/>
    <x v="1"/>
    <m/>
    <n v="526"/>
    <m/>
    <m/>
  </r>
  <r>
    <x v="25"/>
    <x v="1"/>
    <x v="2"/>
    <x v="2"/>
    <m/>
    <n v="416"/>
    <m/>
    <m/>
  </r>
  <r>
    <x v="25"/>
    <x v="1"/>
    <x v="2"/>
    <x v="3"/>
    <m/>
    <n v="419"/>
    <m/>
    <m/>
  </r>
  <r>
    <x v="25"/>
    <x v="0"/>
    <x v="2"/>
    <x v="4"/>
    <m/>
    <m/>
    <m/>
    <n v="172"/>
  </r>
  <r>
    <x v="25"/>
    <x v="0"/>
    <x v="2"/>
    <x v="5"/>
    <m/>
    <m/>
    <m/>
    <n v="7"/>
  </r>
  <r>
    <x v="25"/>
    <x v="0"/>
    <x v="2"/>
    <x v="6"/>
    <m/>
    <m/>
    <m/>
    <n v="3"/>
  </r>
  <r>
    <x v="10"/>
    <x v="0"/>
    <x v="0"/>
    <x v="1"/>
    <m/>
    <n v="1104"/>
    <m/>
    <m/>
  </r>
  <r>
    <x v="10"/>
    <x v="0"/>
    <x v="0"/>
    <x v="2"/>
    <m/>
    <n v="837"/>
    <m/>
    <m/>
  </r>
  <r>
    <x v="10"/>
    <x v="0"/>
    <x v="0"/>
    <x v="3"/>
    <m/>
    <n v="737"/>
    <m/>
    <m/>
  </r>
  <r>
    <x v="10"/>
    <x v="1"/>
    <x v="0"/>
    <x v="1"/>
    <m/>
    <n v="1515"/>
    <m/>
    <m/>
  </r>
  <r>
    <x v="10"/>
    <x v="1"/>
    <x v="0"/>
    <x v="2"/>
    <m/>
    <n v="811"/>
    <m/>
    <m/>
  </r>
  <r>
    <x v="10"/>
    <x v="1"/>
    <x v="0"/>
    <x v="3"/>
    <m/>
    <n v="695"/>
    <m/>
    <m/>
  </r>
  <r>
    <x v="10"/>
    <x v="0"/>
    <x v="0"/>
    <x v="4"/>
    <m/>
    <m/>
    <m/>
    <n v="139"/>
  </r>
  <r>
    <x v="10"/>
    <x v="0"/>
    <x v="0"/>
    <x v="5"/>
    <m/>
    <m/>
    <m/>
    <n v="14"/>
  </r>
  <r>
    <x v="10"/>
    <x v="0"/>
    <x v="0"/>
    <x v="6"/>
    <m/>
    <m/>
    <m/>
    <n v="16"/>
  </r>
  <r>
    <x v="9"/>
    <x v="0"/>
    <x v="0"/>
    <x v="1"/>
    <m/>
    <n v="1396"/>
    <m/>
    <m/>
  </r>
  <r>
    <x v="9"/>
    <x v="0"/>
    <x v="0"/>
    <x v="2"/>
    <m/>
    <n v="897"/>
    <m/>
    <m/>
  </r>
  <r>
    <x v="9"/>
    <x v="0"/>
    <x v="0"/>
    <x v="3"/>
    <m/>
    <n v="821"/>
    <m/>
    <m/>
  </r>
  <r>
    <x v="9"/>
    <x v="1"/>
    <x v="0"/>
    <x v="1"/>
    <m/>
    <n v="1875"/>
    <m/>
    <m/>
  </r>
  <r>
    <x v="9"/>
    <x v="1"/>
    <x v="0"/>
    <x v="2"/>
    <m/>
    <n v="933"/>
    <m/>
    <m/>
  </r>
  <r>
    <x v="9"/>
    <x v="1"/>
    <x v="0"/>
    <x v="3"/>
    <m/>
    <n v="759"/>
    <m/>
    <m/>
  </r>
  <r>
    <x v="9"/>
    <x v="0"/>
    <x v="0"/>
    <x v="4"/>
    <m/>
    <m/>
    <m/>
    <n v="73"/>
  </r>
  <r>
    <x v="9"/>
    <x v="0"/>
    <x v="0"/>
    <x v="5"/>
    <m/>
    <m/>
    <m/>
    <n v="23"/>
  </r>
  <r>
    <x v="9"/>
    <x v="0"/>
    <x v="0"/>
    <x v="6"/>
    <m/>
    <m/>
    <m/>
    <n v="22"/>
  </r>
  <r>
    <x v="49"/>
    <x v="0"/>
    <x v="0"/>
    <x v="1"/>
    <m/>
    <n v="1120"/>
    <m/>
    <m/>
  </r>
  <r>
    <x v="49"/>
    <x v="0"/>
    <x v="0"/>
    <x v="2"/>
    <m/>
    <n v="448"/>
    <m/>
    <m/>
  </r>
  <r>
    <x v="49"/>
    <x v="0"/>
    <x v="0"/>
    <x v="3"/>
    <m/>
    <n v="290"/>
    <m/>
    <m/>
  </r>
  <r>
    <x v="49"/>
    <x v="1"/>
    <x v="0"/>
    <x v="1"/>
    <m/>
    <n v="1386"/>
    <m/>
    <m/>
  </r>
  <r>
    <x v="49"/>
    <x v="1"/>
    <x v="0"/>
    <x v="2"/>
    <m/>
    <n v="466"/>
    <m/>
    <m/>
  </r>
  <r>
    <x v="49"/>
    <x v="1"/>
    <x v="0"/>
    <x v="3"/>
    <m/>
    <n v="297"/>
    <m/>
    <m/>
  </r>
  <r>
    <x v="49"/>
    <x v="0"/>
    <x v="0"/>
    <x v="4"/>
    <m/>
    <m/>
    <m/>
    <n v="22"/>
  </r>
  <r>
    <x v="49"/>
    <x v="0"/>
    <x v="0"/>
    <x v="5"/>
    <m/>
    <m/>
    <m/>
    <n v="6"/>
  </r>
  <r>
    <x v="49"/>
    <x v="0"/>
    <x v="0"/>
    <x v="6"/>
    <m/>
    <m/>
    <m/>
    <n v="4"/>
  </r>
  <r>
    <x v="5"/>
    <x v="0"/>
    <x v="0"/>
    <x v="1"/>
    <m/>
    <n v="1068"/>
    <m/>
    <m/>
  </r>
  <r>
    <x v="5"/>
    <x v="0"/>
    <x v="0"/>
    <x v="2"/>
    <m/>
    <n v="972"/>
    <m/>
    <m/>
  </r>
  <r>
    <x v="5"/>
    <x v="0"/>
    <x v="0"/>
    <x v="3"/>
    <m/>
    <n v="784"/>
    <m/>
    <m/>
  </r>
  <r>
    <x v="5"/>
    <x v="1"/>
    <x v="0"/>
    <x v="1"/>
    <m/>
    <n v="1227"/>
    <m/>
    <m/>
  </r>
  <r>
    <x v="5"/>
    <x v="1"/>
    <x v="0"/>
    <x v="2"/>
    <m/>
    <n v="885"/>
    <m/>
    <m/>
  </r>
  <r>
    <x v="5"/>
    <x v="1"/>
    <x v="0"/>
    <x v="3"/>
    <m/>
    <n v="878"/>
    <m/>
    <m/>
  </r>
  <r>
    <x v="5"/>
    <x v="0"/>
    <x v="0"/>
    <x v="4"/>
    <m/>
    <m/>
    <m/>
    <n v="73"/>
  </r>
  <r>
    <x v="5"/>
    <x v="0"/>
    <x v="0"/>
    <x v="5"/>
    <m/>
    <m/>
    <m/>
    <n v="11"/>
  </r>
  <r>
    <x v="5"/>
    <x v="0"/>
    <x v="0"/>
    <x v="6"/>
    <m/>
    <m/>
    <m/>
    <n v="12"/>
  </r>
  <r>
    <x v="16"/>
    <x v="0"/>
    <x v="0"/>
    <x v="1"/>
    <m/>
    <n v="959"/>
    <m/>
    <m/>
  </r>
  <r>
    <x v="16"/>
    <x v="0"/>
    <x v="0"/>
    <x v="2"/>
    <m/>
    <n v="842"/>
    <m/>
    <m/>
  </r>
  <r>
    <x v="16"/>
    <x v="0"/>
    <x v="0"/>
    <x v="3"/>
    <m/>
    <n v="746"/>
    <m/>
    <m/>
  </r>
  <r>
    <x v="16"/>
    <x v="1"/>
    <x v="0"/>
    <x v="1"/>
    <m/>
    <n v="1095"/>
    <m/>
    <m/>
  </r>
  <r>
    <x v="16"/>
    <x v="1"/>
    <x v="0"/>
    <x v="2"/>
    <m/>
    <n v="726"/>
    <m/>
    <m/>
  </r>
  <r>
    <x v="16"/>
    <x v="1"/>
    <x v="0"/>
    <x v="3"/>
    <m/>
    <n v="616"/>
    <m/>
    <m/>
  </r>
  <r>
    <x v="16"/>
    <x v="0"/>
    <x v="0"/>
    <x v="4"/>
    <m/>
    <m/>
    <m/>
    <n v="83"/>
  </r>
  <r>
    <x v="16"/>
    <x v="0"/>
    <x v="0"/>
    <x v="5"/>
    <m/>
    <m/>
    <m/>
    <n v="11"/>
  </r>
  <r>
    <x v="16"/>
    <x v="0"/>
    <x v="0"/>
    <x v="6"/>
    <m/>
    <m/>
    <m/>
    <n v="8"/>
  </r>
  <r>
    <x v="17"/>
    <x v="0"/>
    <x v="0"/>
    <x v="1"/>
    <m/>
    <n v="1210"/>
    <m/>
    <m/>
  </r>
  <r>
    <x v="17"/>
    <x v="0"/>
    <x v="0"/>
    <x v="2"/>
    <m/>
    <n v="811"/>
    <m/>
    <m/>
  </r>
  <r>
    <x v="17"/>
    <x v="0"/>
    <x v="0"/>
    <x v="3"/>
    <m/>
    <n v="638"/>
    <m/>
    <m/>
  </r>
  <r>
    <x v="17"/>
    <x v="1"/>
    <x v="0"/>
    <x v="1"/>
    <m/>
    <n v="1628"/>
    <m/>
    <m/>
  </r>
  <r>
    <x v="17"/>
    <x v="1"/>
    <x v="0"/>
    <x v="2"/>
    <m/>
    <n v="725"/>
    <m/>
    <m/>
  </r>
  <r>
    <x v="17"/>
    <x v="1"/>
    <x v="0"/>
    <x v="3"/>
    <m/>
    <n v="538"/>
    <m/>
    <m/>
  </r>
  <r>
    <x v="17"/>
    <x v="0"/>
    <x v="0"/>
    <x v="4"/>
    <m/>
    <m/>
    <m/>
    <n v="98"/>
  </r>
  <r>
    <x v="17"/>
    <x v="0"/>
    <x v="0"/>
    <x v="5"/>
    <m/>
    <m/>
    <m/>
    <n v="13"/>
  </r>
  <r>
    <x v="17"/>
    <x v="0"/>
    <x v="0"/>
    <x v="6"/>
    <m/>
    <m/>
    <m/>
    <n v="9"/>
  </r>
  <r>
    <x v="13"/>
    <x v="0"/>
    <x v="0"/>
    <x v="1"/>
    <m/>
    <n v="1401"/>
    <m/>
    <m/>
  </r>
  <r>
    <x v="13"/>
    <x v="0"/>
    <x v="0"/>
    <x v="2"/>
    <m/>
    <n v="785"/>
    <m/>
    <m/>
  </r>
  <r>
    <x v="13"/>
    <x v="0"/>
    <x v="0"/>
    <x v="3"/>
    <m/>
    <n v="615"/>
    <m/>
    <m/>
  </r>
  <r>
    <x v="13"/>
    <x v="1"/>
    <x v="0"/>
    <x v="1"/>
    <m/>
    <n v="1796"/>
    <m/>
    <m/>
  </r>
  <r>
    <x v="13"/>
    <x v="1"/>
    <x v="0"/>
    <x v="2"/>
    <m/>
    <n v="786"/>
    <m/>
    <m/>
  </r>
  <r>
    <x v="13"/>
    <x v="1"/>
    <x v="0"/>
    <x v="3"/>
    <m/>
    <n v="595"/>
    <m/>
    <m/>
  </r>
  <r>
    <x v="13"/>
    <x v="0"/>
    <x v="0"/>
    <x v="4"/>
    <m/>
    <m/>
    <m/>
    <n v="93"/>
  </r>
  <r>
    <x v="13"/>
    <x v="0"/>
    <x v="0"/>
    <x v="5"/>
    <m/>
    <m/>
    <m/>
    <n v="13"/>
  </r>
  <r>
    <x v="13"/>
    <x v="0"/>
    <x v="0"/>
    <x v="6"/>
    <m/>
    <m/>
    <m/>
    <n v="23"/>
  </r>
  <r>
    <x v="40"/>
    <x v="0"/>
    <x v="0"/>
    <x v="1"/>
    <m/>
    <n v="827"/>
    <m/>
    <m/>
  </r>
  <r>
    <x v="40"/>
    <x v="0"/>
    <x v="0"/>
    <x v="2"/>
    <m/>
    <n v="450"/>
    <m/>
    <m/>
  </r>
  <r>
    <x v="40"/>
    <x v="0"/>
    <x v="0"/>
    <x v="3"/>
    <m/>
    <n v="367"/>
    <m/>
    <m/>
  </r>
  <r>
    <x v="40"/>
    <x v="1"/>
    <x v="0"/>
    <x v="1"/>
    <m/>
    <n v="980"/>
    <m/>
    <m/>
  </r>
  <r>
    <x v="40"/>
    <x v="1"/>
    <x v="0"/>
    <x v="2"/>
    <m/>
    <n v="348"/>
    <m/>
    <m/>
  </r>
  <r>
    <x v="40"/>
    <x v="1"/>
    <x v="0"/>
    <x v="3"/>
    <m/>
    <n v="347"/>
    <m/>
    <m/>
  </r>
  <r>
    <x v="40"/>
    <x v="0"/>
    <x v="0"/>
    <x v="4"/>
    <m/>
    <m/>
    <m/>
    <n v="53"/>
  </r>
  <r>
    <x v="40"/>
    <x v="0"/>
    <x v="0"/>
    <x v="5"/>
    <m/>
    <m/>
    <m/>
    <n v="14"/>
  </r>
  <r>
    <x v="40"/>
    <x v="0"/>
    <x v="0"/>
    <x v="6"/>
    <m/>
    <m/>
    <m/>
    <n v="15"/>
  </r>
  <r>
    <x v="26"/>
    <x v="0"/>
    <x v="0"/>
    <x v="1"/>
    <m/>
    <n v="642"/>
    <m/>
    <m/>
  </r>
  <r>
    <x v="26"/>
    <x v="0"/>
    <x v="0"/>
    <x v="2"/>
    <m/>
    <n v="552"/>
    <m/>
    <m/>
  </r>
  <r>
    <x v="26"/>
    <x v="0"/>
    <x v="0"/>
    <x v="3"/>
    <m/>
    <n v="570"/>
    <m/>
    <m/>
  </r>
  <r>
    <x v="26"/>
    <x v="1"/>
    <x v="0"/>
    <x v="1"/>
    <m/>
    <n v="755"/>
    <m/>
    <m/>
  </r>
  <r>
    <x v="26"/>
    <x v="1"/>
    <x v="0"/>
    <x v="2"/>
    <m/>
    <n v="567"/>
    <m/>
    <m/>
  </r>
  <r>
    <x v="26"/>
    <x v="1"/>
    <x v="0"/>
    <x v="3"/>
    <m/>
    <n v="573"/>
    <m/>
    <m/>
  </r>
  <r>
    <x v="26"/>
    <x v="0"/>
    <x v="0"/>
    <x v="4"/>
    <m/>
    <m/>
    <m/>
    <n v="66"/>
  </r>
  <r>
    <x v="26"/>
    <x v="0"/>
    <x v="0"/>
    <x v="5"/>
    <m/>
    <m/>
    <m/>
    <n v="8"/>
  </r>
  <r>
    <x v="26"/>
    <x v="0"/>
    <x v="0"/>
    <x v="6"/>
    <m/>
    <m/>
    <m/>
    <n v="6"/>
  </r>
  <r>
    <x v="11"/>
    <x v="0"/>
    <x v="0"/>
    <x v="1"/>
    <m/>
    <n v="1334"/>
    <m/>
    <m/>
  </r>
  <r>
    <x v="11"/>
    <x v="0"/>
    <x v="0"/>
    <x v="2"/>
    <m/>
    <n v="931"/>
    <m/>
    <m/>
  </r>
  <r>
    <x v="11"/>
    <x v="0"/>
    <x v="0"/>
    <x v="3"/>
    <m/>
    <n v="829"/>
    <m/>
    <m/>
  </r>
  <r>
    <x v="11"/>
    <x v="1"/>
    <x v="0"/>
    <x v="1"/>
    <m/>
    <n v="1563"/>
    <m/>
    <m/>
  </r>
  <r>
    <x v="11"/>
    <x v="1"/>
    <x v="0"/>
    <x v="2"/>
    <m/>
    <n v="917"/>
    <m/>
    <m/>
  </r>
  <r>
    <x v="11"/>
    <x v="1"/>
    <x v="0"/>
    <x v="3"/>
    <m/>
    <n v="797"/>
    <m/>
    <m/>
  </r>
  <r>
    <x v="11"/>
    <x v="0"/>
    <x v="0"/>
    <x v="4"/>
    <m/>
    <m/>
    <m/>
    <n v="85"/>
  </r>
  <r>
    <x v="11"/>
    <x v="0"/>
    <x v="0"/>
    <x v="5"/>
    <m/>
    <m/>
    <m/>
    <n v="11"/>
  </r>
  <r>
    <x v="11"/>
    <x v="0"/>
    <x v="0"/>
    <x v="6"/>
    <m/>
    <m/>
    <m/>
    <n v="8"/>
  </r>
  <r>
    <x v="31"/>
    <x v="0"/>
    <x v="0"/>
    <x v="1"/>
    <m/>
    <n v="723"/>
    <m/>
    <m/>
  </r>
  <r>
    <x v="31"/>
    <x v="0"/>
    <x v="0"/>
    <x v="2"/>
    <m/>
    <n v="439"/>
    <m/>
    <m/>
  </r>
  <r>
    <x v="31"/>
    <x v="0"/>
    <x v="0"/>
    <x v="3"/>
    <m/>
    <n v="387"/>
    <m/>
    <m/>
  </r>
  <r>
    <x v="31"/>
    <x v="1"/>
    <x v="0"/>
    <x v="1"/>
    <m/>
    <n v="971"/>
    <m/>
    <m/>
  </r>
  <r>
    <x v="31"/>
    <x v="1"/>
    <x v="0"/>
    <x v="2"/>
    <m/>
    <n v="559"/>
    <m/>
    <m/>
  </r>
  <r>
    <x v="31"/>
    <x v="1"/>
    <x v="0"/>
    <x v="3"/>
    <m/>
    <n v="487"/>
    <m/>
    <m/>
  </r>
  <r>
    <x v="31"/>
    <x v="0"/>
    <x v="0"/>
    <x v="4"/>
    <m/>
    <m/>
    <m/>
    <n v="52"/>
  </r>
  <r>
    <x v="31"/>
    <x v="0"/>
    <x v="0"/>
    <x v="5"/>
    <m/>
    <m/>
    <m/>
    <n v="7"/>
  </r>
  <r>
    <x v="31"/>
    <x v="0"/>
    <x v="0"/>
    <x v="6"/>
    <m/>
    <m/>
    <m/>
    <n v="7"/>
  </r>
  <r>
    <x v="7"/>
    <x v="0"/>
    <x v="0"/>
    <x v="1"/>
    <m/>
    <n v="1270"/>
    <m/>
    <m/>
  </r>
  <r>
    <x v="7"/>
    <x v="0"/>
    <x v="0"/>
    <x v="2"/>
    <m/>
    <n v="899"/>
    <m/>
    <m/>
  </r>
  <r>
    <x v="7"/>
    <x v="0"/>
    <x v="0"/>
    <x v="3"/>
    <m/>
    <n v="790"/>
    <m/>
    <m/>
  </r>
  <r>
    <x v="7"/>
    <x v="1"/>
    <x v="0"/>
    <x v="1"/>
    <m/>
    <n v="1474"/>
    <m/>
    <m/>
  </r>
  <r>
    <x v="7"/>
    <x v="1"/>
    <x v="0"/>
    <x v="2"/>
    <m/>
    <n v="867"/>
    <m/>
    <m/>
  </r>
  <r>
    <x v="7"/>
    <x v="1"/>
    <x v="0"/>
    <x v="3"/>
    <m/>
    <n v="700"/>
    <m/>
    <m/>
  </r>
  <r>
    <x v="7"/>
    <x v="0"/>
    <x v="0"/>
    <x v="4"/>
    <m/>
    <m/>
    <m/>
    <n v="135"/>
  </r>
  <r>
    <x v="7"/>
    <x v="0"/>
    <x v="0"/>
    <x v="5"/>
    <m/>
    <m/>
    <m/>
    <n v="23"/>
  </r>
  <r>
    <x v="7"/>
    <x v="0"/>
    <x v="0"/>
    <x v="6"/>
    <m/>
    <m/>
    <m/>
    <n v="30"/>
  </r>
  <r>
    <x v="2"/>
    <x v="0"/>
    <x v="0"/>
    <x v="1"/>
    <m/>
    <n v="1793"/>
    <m/>
    <m/>
  </r>
  <r>
    <x v="2"/>
    <x v="0"/>
    <x v="0"/>
    <x v="2"/>
    <m/>
    <n v="1202"/>
    <m/>
    <m/>
  </r>
  <r>
    <x v="2"/>
    <x v="0"/>
    <x v="0"/>
    <x v="3"/>
    <m/>
    <n v="1009"/>
    <m/>
    <m/>
  </r>
  <r>
    <x v="2"/>
    <x v="1"/>
    <x v="0"/>
    <x v="1"/>
    <m/>
    <n v="2205"/>
    <m/>
    <m/>
  </r>
  <r>
    <x v="2"/>
    <x v="1"/>
    <x v="0"/>
    <x v="2"/>
    <m/>
    <n v="1106"/>
    <m/>
    <m/>
  </r>
  <r>
    <x v="2"/>
    <x v="1"/>
    <x v="0"/>
    <x v="3"/>
    <m/>
    <n v="994"/>
    <m/>
    <m/>
  </r>
  <r>
    <x v="2"/>
    <x v="0"/>
    <x v="0"/>
    <x v="4"/>
    <m/>
    <m/>
    <m/>
    <n v="151"/>
  </r>
  <r>
    <x v="2"/>
    <x v="0"/>
    <x v="0"/>
    <x v="5"/>
    <m/>
    <m/>
    <m/>
    <n v="27"/>
  </r>
  <r>
    <x v="2"/>
    <x v="0"/>
    <x v="0"/>
    <x v="6"/>
    <m/>
    <m/>
    <m/>
    <n v="20"/>
  </r>
  <r>
    <x v="22"/>
    <x v="0"/>
    <x v="0"/>
    <x v="1"/>
    <m/>
    <n v="948"/>
    <m/>
    <m/>
  </r>
  <r>
    <x v="22"/>
    <x v="0"/>
    <x v="0"/>
    <x v="2"/>
    <m/>
    <n v="576"/>
    <m/>
    <m/>
  </r>
  <r>
    <x v="22"/>
    <x v="0"/>
    <x v="0"/>
    <x v="3"/>
    <m/>
    <n v="527"/>
    <m/>
    <m/>
  </r>
  <r>
    <x v="22"/>
    <x v="1"/>
    <x v="0"/>
    <x v="1"/>
    <m/>
    <n v="1305"/>
    <m/>
    <m/>
  </r>
  <r>
    <x v="22"/>
    <x v="1"/>
    <x v="0"/>
    <x v="2"/>
    <m/>
    <n v="629"/>
    <m/>
    <m/>
  </r>
  <r>
    <x v="22"/>
    <x v="1"/>
    <x v="0"/>
    <x v="3"/>
    <m/>
    <n v="560"/>
    <m/>
    <m/>
  </r>
  <r>
    <x v="22"/>
    <x v="0"/>
    <x v="0"/>
    <x v="4"/>
    <m/>
    <m/>
    <m/>
    <n v="57"/>
  </r>
  <r>
    <x v="22"/>
    <x v="0"/>
    <x v="0"/>
    <x v="5"/>
    <m/>
    <m/>
    <m/>
    <n v="8"/>
  </r>
  <r>
    <x v="22"/>
    <x v="0"/>
    <x v="0"/>
    <x v="6"/>
    <m/>
    <m/>
    <m/>
    <n v="7"/>
  </r>
  <r>
    <x v="48"/>
    <x v="0"/>
    <x v="0"/>
    <x v="1"/>
    <m/>
    <n v="1190"/>
    <m/>
    <m/>
  </r>
  <r>
    <x v="48"/>
    <x v="0"/>
    <x v="0"/>
    <x v="2"/>
    <m/>
    <n v="424"/>
    <m/>
    <m/>
  </r>
  <r>
    <x v="48"/>
    <x v="0"/>
    <x v="0"/>
    <x v="3"/>
    <m/>
    <n v="305"/>
    <m/>
    <m/>
  </r>
  <r>
    <x v="48"/>
    <x v="1"/>
    <x v="0"/>
    <x v="1"/>
    <m/>
    <n v="1357"/>
    <m/>
    <m/>
  </r>
  <r>
    <x v="48"/>
    <x v="1"/>
    <x v="0"/>
    <x v="2"/>
    <m/>
    <n v="448"/>
    <m/>
    <m/>
  </r>
  <r>
    <x v="48"/>
    <x v="1"/>
    <x v="0"/>
    <x v="3"/>
    <m/>
    <n v="308"/>
    <m/>
    <m/>
  </r>
  <r>
    <x v="48"/>
    <x v="0"/>
    <x v="0"/>
    <x v="4"/>
    <m/>
    <m/>
    <m/>
    <n v="42"/>
  </r>
  <r>
    <x v="48"/>
    <x v="0"/>
    <x v="0"/>
    <x v="5"/>
    <m/>
    <m/>
    <m/>
    <n v="9"/>
  </r>
  <r>
    <x v="48"/>
    <x v="0"/>
    <x v="0"/>
    <x v="6"/>
    <m/>
    <m/>
    <m/>
    <n v="11"/>
  </r>
  <r>
    <x v="50"/>
    <x v="0"/>
    <x v="0"/>
    <x v="1"/>
    <m/>
    <n v="448"/>
    <m/>
    <m/>
  </r>
  <r>
    <x v="50"/>
    <x v="0"/>
    <x v="0"/>
    <x v="2"/>
    <m/>
    <n v="291"/>
    <m/>
    <m/>
  </r>
  <r>
    <x v="50"/>
    <x v="0"/>
    <x v="0"/>
    <x v="3"/>
    <m/>
    <n v="293"/>
    <m/>
    <m/>
  </r>
  <r>
    <x v="50"/>
    <x v="1"/>
    <x v="0"/>
    <x v="1"/>
    <m/>
    <n v="559"/>
    <m/>
    <m/>
  </r>
  <r>
    <x v="50"/>
    <x v="1"/>
    <x v="0"/>
    <x v="2"/>
    <m/>
    <n v="304"/>
    <m/>
    <m/>
  </r>
  <r>
    <x v="50"/>
    <x v="1"/>
    <x v="0"/>
    <x v="3"/>
    <m/>
    <n v="304"/>
    <m/>
    <m/>
  </r>
  <r>
    <x v="50"/>
    <x v="0"/>
    <x v="0"/>
    <x v="4"/>
    <m/>
    <m/>
    <m/>
    <n v="77"/>
  </r>
  <r>
    <x v="50"/>
    <x v="0"/>
    <x v="0"/>
    <x v="5"/>
    <m/>
    <m/>
    <m/>
    <n v="8"/>
  </r>
  <r>
    <x v="50"/>
    <x v="0"/>
    <x v="0"/>
    <x v="6"/>
    <m/>
    <m/>
    <m/>
    <n v="2"/>
  </r>
  <r>
    <x v="8"/>
    <x v="0"/>
    <x v="0"/>
    <x v="1"/>
    <m/>
    <n v="1388"/>
    <m/>
    <m/>
  </r>
  <r>
    <x v="8"/>
    <x v="0"/>
    <x v="0"/>
    <x v="2"/>
    <m/>
    <n v="1009"/>
    <m/>
    <m/>
  </r>
  <r>
    <x v="8"/>
    <x v="0"/>
    <x v="0"/>
    <x v="3"/>
    <m/>
    <n v="881"/>
    <m/>
    <m/>
  </r>
  <r>
    <x v="8"/>
    <x v="1"/>
    <x v="0"/>
    <x v="1"/>
    <m/>
    <n v="1882"/>
    <m/>
    <m/>
  </r>
  <r>
    <x v="8"/>
    <x v="1"/>
    <x v="0"/>
    <x v="2"/>
    <m/>
    <n v="1001"/>
    <m/>
    <m/>
  </r>
  <r>
    <x v="8"/>
    <x v="1"/>
    <x v="0"/>
    <x v="3"/>
    <m/>
    <n v="867"/>
    <m/>
    <m/>
  </r>
  <r>
    <x v="8"/>
    <x v="0"/>
    <x v="0"/>
    <x v="4"/>
    <m/>
    <m/>
    <m/>
    <n v="72"/>
  </r>
  <r>
    <x v="8"/>
    <x v="0"/>
    <x v="0"/>
    <x v="5"/>
    <m/>
    <m/>
    <m/>
    <n v="18"/>
  </r>
  <r>
    <x v="8"/>
    <x v="0"/>
    <x v="0"/>
    <x v="6"/>
    <m/>
    <m/>
    <m/>
    <n v="9"/>
  </r>
  <r>
    <x v="42"/>
    <x v="0"/>
    <x v="0"/>
    <x v="1"/>
    <m/>
    <n v="333"/>
    <m/>
    <m/>
  </r>
  <r>
    <x v="42"/>
    <x v="0"/>
    <x v="0"/>
    <x v="2"/>
    <m/>
    <n v="369"/>
    <m/>
    <m/>
  </r>
  <r>
    <x v="42"/>
    <x v="0"/>
    <x v="0"/>
    <x v="3"/>
    <m/>
    <n v="360"/>
    <m/>
    <m/>
  </r>
  <r>
    <x v="42"/>
    <x v="1"/>
    <x v="0"/>
    <x v="1"/>
    <m/>
    <n v="499"/>
    <m/>
    <m/>
  </r>
  <r>
    <x v="42"/>
    <x v="1"/>
    <x v="0"/>
    <x v="2"/>
    <m/>
    <n v="379"/>
    <m/>
    <m/>
  </r>
  <r>
    <x v="42"/>
    <x v="1"/>
    <x v="0"/>
    <x v="3"/>
    <m/>
    <n v="357"/>
    <m/>
    <m/>
  </r>
  <r>
    <x v="42"/>
    <x v="0"/>
    <x v="0"/>
    <x v="4"/>
    <m/>
    <m/>
    <m/>
    <n v="36"/>
  </r>
  <r>
    <x v="42"/>
    <x v="0"/>
    <x v="0"/>
    <x v="5"/>
    <m/>
    <m/>
    <m/>
    <n v="5"/>
  </r>
  <r>
    <x v="42"/>
    <x v="0"/>
    <x v="0"/>
    <x v="6"/>
    <m/>
    <m/>
    <m/>
    <n v="3"/>
  </r>
  <r>
    <x v="46"/>
    <x v="0"/>
    <x v="0"/>
    <x v="1"/>
    <m/>
    <n v="424"/>
    <m/>
    <m/>
  </r>
  <r>
    <x v="46"/>
    <x v="0"/>
    <x v="0"/>
    <x v="2"/>
    <m/>
    <n v="364"/>
    <m/>
    <m/>
  </r>
  <r>
    <x v="46"/>
    <x v="0"/>
    <x v="0"/>
    <x v="3"/>
    <m/>
    <n v="329"/>
    <m/>
    <m/>
  </r>
  <r>
    <x v="46"/>
    <x v="1"/>
    <x v="0"/>
    <x v="1"/>
    <m/>
    <n v="488"/>
    <m/>
    <m/>
  </r>
  <r>
    <x v="46"/>
    <x v="1"/>
    <x v="0"/>
    <x v="2"/>
    <m/>
    <n v="416"/>
    <m/>
    <m/>
  </r>
  <r>
    <x v="46"/>
    <x v="1"/>
    <x v="0"/>
    <x v="3"/>
    <m/>
    <n v="341"/>
    <m/>
    <m/>
  </r>
  <r>
    <x v="46"/>
    <x v="0"/>
    <x v="0"/>
    <x v="4"/>
    <m/>
    <m/>
    <m/>
    <n v="27"/>
  </r>
  <r>
    <x v="46"/>
    <x v="0"/>
    <x v="0"/>
    <x v="5"/>
    <m/>
    <m/>
    <m/>
    <n v="4"/>
  </r>
  <r>
    <x v="46"/>
    <x v="0"/>
    <x v="0"/>
    <x v="6"/>
    <m/>
    <m/>
    <m/>
    <n v="2"/>
  </r>
  <r>
    <x v="38"/>
    <x v="0"/>
    <x v="0"/>
    <x v="1"/>
    <m/>
    <n v="446"/>
    <m/>
    <m/>
  </r>
  <r>
    <x v="38"/>
    <x v="0"/>
    <x v="0"/>
    <x v="2"/>
    <m/>
    <n v="495"/>
    <m/>
    <m/>
  </r>
  <r>
    <x v="38"/>
    <x v="0"/>
    <x v="0"/>
    <x v="3"/>
    <m/>
    <n v="471"/>
    <m/>
    <m/>
  </r>
  <r>
    <x v="38"/>
    <x v="1"/>
    <x v="0"/>
    <x v="1"/>
    <m/>
    <n v="527"/>
    <m/>
    <m/>
  </r>
  <r>
    <x v="38"/>
    <x v="1"/>
    <x v="0"/>
    <x v="2"/>
    <m/>
    <n v="476"/>
    <m/>
    <m/>
  </r>
  <r>
    <x v="38"/>
    <x v="1"/>
    <x v="0"/>
    <x v="3"/>
    <m/>
    <n v="449"/>
    <m/>
    <m/>
  </r>
  <r>
    <x v="38"/>
    <x v="0"/>
    <x v="0"/>
    <x v="4"/>
    <m/>
    <m/>
    <m/>
    <n v="52"/>
  </r>
  <r>
    <x v="38"/>
    <x v="0"/>
    <x v="0"/>
    <x v="5"/>
    <m/>
    <m/>
    <m/>
    <n v="10"/>
  </r>
  <r>
    <x v="38"/>
    <x v="0"/>
    <x v="0"/>
    <x v="6"/>
    <m/>
    <m/>
    <m/>
    <n v="4"/>
  </r>
  <r>
    <x v="3"/>
    <x v="0"/>
    <x v="0"/>
    <x v="1"/>
    <m/>
    <n v="1516"/>
    <m/>
    <m/>
  </r>
  <r>
    <x v="3"/>
    <x v="0"/>
    <x v="0"/>
    <x v="2"/>
    <m/>
    <n v="1014"/>
    <m/>
    <m/>
  </r>
  <r>
    <x v="3"/>
    <x v="0"/>
    <x v="0"/>
    <x v="3"/>
    <m/>
    <n v="804"/>
    <m/>
    <m/>
  </r>
  <r>
    <x v="3"/>
    <x v="1"/>
    <x v="0"/>
    <x v="1"/>
    <m/>
    <n v="1655"/>
    <m/>
    <m/>
  </r>
  <r>
    <x v="3"/>
    <x v="1"/>
    <x v="0"/>
    <x v="2"/>
    <m/>
    <n v="937"/>
    <m/>
    <m/>
  </r>
  <r>
    <x v="3"/>
    <x v="1"/>
    <x v="0"/>
    <x v="3"/>
    <m/>
    <n v="944"/>
    <m/>
    <m/>
  </r>
  <r>
    <x v="3"/>
    <x v="0"/>
    <x v="0"/>
    <x v="4"/>
    <m/>
    <m/>
    <m/>
    <n v="64"/>
  </r>
  <r>
    <x v="3"/>
    <x v="0"/>
    <x v="0"/>
    <x v="5"/>
    <m/>
    <m/>
    <m/>
    <n v="8"/>
  </r>
  <r>
    <x v="3"/>
    <x v="0"/>
    <x v="0"/>
    <x v="6"/>
    <m/>
    <m/>
    <m/>
    <m/>
  </r>
  <r>
    <x v="12"/>
    <x v="0"/>
    <x v="0"/>
    <x v="1"/>
    <m/>
    <n v="1258"/>
    <m/>
    <m/>
  </r>
  <r>
    <x v="12"/>
    <x v="0"/>
    <x v="0"/>
    <x v="2"/>
    <m/>
    <n v="814"/>
    <m/>
    <m/>
  </r>
  <r>
    <x v="12"/>
    <x v="0"/>
    <x v="0"/>
    <x v="3"/>
    <m/>
    <n v="714"/>
    <m/>
    <m/>
  </r>
  <r>
    <x v="12"/>
    <x v="1"/>
    <x v="0"/>
    <x v="1"/>
    <m/>
    <n v="1470"/>
    <m/>
    <m/>
  </r>
  <r>
    <x v="12"/>
    <x v="1"/>
    <x v="0"/>
    <x v="2"/>
    <m/>
    <n v="738"/>
    <m/>
    <m/>
  </r>
  <r>
    <x v="12"/>
    <x v="1"/>
    <x v="0"/>
    <x v="3"/>
    <m/>
    <n v="660"/>
    <m/>
    <m/>
  </r>
  <r>
    <x v="12"/>
    <x v="0"/>
    <x v="0"/>
    <x v="4"/>
    <m/>
    <m/>
    <m/>
    <n v="74"/>
  </r>
  <r>
    <x v="12"/>
    <x v="0"/>
    <x v="0"/>
    <x v="5"/>
    <m/>
    <m/>
    <m/>
    <n v="46"/>
  </r>
  <r>
    <x v="12"/>
    <x v="0"/>
    <x v="0"/>
    <x v="6"/>
    <m/>
    <m/>
    <m/>
    <n v="8"/>
  </r>
  <r>
    <x v="34"/>
    <x v="0"/>
    <x v="0"/>
    <x v="1"/>
    <m/>
    <n v="906"/>
    <m/>
    <m/>
  </r>
  <r>
    <x v="34"/>
    <x v="0"/>
    <x v="0"/>
    <x v="2"/>
    <m/>
    <n v="509"/>
    <m/>
    <m/>
  </r>
  <r>
    <x v="34"/>
    <x v="0"/>
    <x v="0"/>
    <x v="3"/>
    <m/>
    <n v="489"/>
    <m/>
    <m/>
  </r>
  <r>
    <x v="34"/>
    <x v="1"/>
    <x v="0"/>
    <x v="1"/>
    <m/>
    <n v="1190"/>
    <m/>
    <m/>
  </r>
  <r>
    <x v="34"/>
    <x v="1"/>
    <x v="0"/>
    <x v="2"/>
    <m/>
    <n v="516"/>
    <m/>
    <m/>
  </r>
  <r>
    <x v="34"/>
    <x v="1"/>
    <x v="0"/>
    <x v="3"/>
    <m/>
    <n v="457"/>
    <m/>
    <m/>
  </r>
  <r>
    <x v="34"/>
    <x v="0"/>
    <x v="0"/>
    <x v="4"/>
    <m/>
    <m/>
    <m/>
    <n v="46"/>
  </r>
  <r>
    <x v="34"/>
    <x v="0"/>
    <x v="0"/>
    <x v="5"/>
    <m/>
    <m/>
    <m/>
    <n v="10"/>
  </r>
  <r>
    <x v="34"/>
    <x v="0"/>
    <x v="0"/>
    <x v="6"/>
    <m/>
    <m/>
    <m/>
    <n v="4"/>
  </r>
  <r>
    <x v="0"/>
    <x v="0"/>
    <x v="0"/>
    <x v="1"/>
    <m/>
    <n v="2386"/>
    <m/>
    <m/>
  </r>
  <r>
    <x v="0"/>
    <x v="0"/>
    <x v="0"/>
    <x v="2"/>
    <m/>
    <n v="1509"/>
    <m/>
    <m/>
  </r>
  <r>
    <x v="0"/>
    <x v="0"/>
    <x v="0"/>
    <x v="3"/>
    <m/>
    <n v="1319"/>
    <m/>
    <m/>
  </r>
  <r>
    <x v="0"/>
    <x v="1"/>
    <x v="0"/>
    <x v="1"/>
    <m/>
    <n v="2878"/>
    <m/>
    <m/>
  </r>
  <r>
    <x v="0"/>
    <x v="1"/>
    <x v="0"/>
    <x v="2"/>
    <m/>
    <n v="1469"/>
    <m/>
    <m/>
  </r>
  <r>
    <x v="0"/>
    <x v="1"/>
    <x v="0"/>
    <x v="3"/>
    <m/>
    <n v="1251"/>
    <m/>
    <m/>
  </r>
  <r>
    <x v="0"/>
    <x v="0"/>
    <x v="0"/>
    <x v="4"/>
    <m/>
    <m/>
    <m/>
    <n v="199"/>
  </r>
  <r>
    <x v="0"/>
    <x v="0"/>
    <x v="0"/>
    <x v="5"/>
    <m/>
    <m/>
    <m/>
    <n v="35"/>
  </r>
  <r>
    <x v="0"/>
    <x v="0"/>
    <x v="0"/>
    <x v="6"/>
    <m/>
    <m/>
    <m/>
    <n v="20"/>
  </r>
  <r>
    <x v="39"/>
    <x v="0"/>
    <x v="0"/>
    <x v="1"/>
    <m/>
    <n v="433"/>
    <m/>
    <m/>
  </r>
  <r>
    <x v="39"/>
    <x v="0"/>
    <x v="0"/>
    <x v="2"/>
    <m/>
    <n v="512"/>
    <m/>
    <m/>
  </r>
  <r>
    <x v="39"/>
    <x v="0"/>
    <x v="0"/>
    <x v="3"/>
    <m/>
    <n v="416"/>
    <m/>
    <m/>
  </r>
  <r>
    <x v="39"/>
    <x v="1"/>
    <x v="0"/>
    <x v="1"/>
    <m/>
    <n v="466"/>
    <m/>
    <m/>
  </r>
  <r>
    <x v="39"/>
    <x v="1"/>
    <x v="0"/>
    <x v="2"/>
    <m/>
    <n v="417"/>
    <m/>
    <m/>
  </r>
  <r>
    <x v="39"/>
    <x v="1"/>
    <x v="0"/>
    <x v="3"/>
    <m/>
    <n v="404"/>
    <m/>
    <m/>
  </r>
  <r>
    <x v="39"/>
    <x v="0"/>
    <x v="0"/>
    <x v="4"/>
    <m/>
    <m/>
    <m/>
    <n v="48"/>
  </r>
  <r>
    <x v="39"/>
    <x v="0"/>
    <x v="0"/>
    <x v="5"/>
    <m/>
    <m/>
    <m/>
    <n v="6"/>
  </r>
  <r>
    <x v="39"/>
    <x v="0"/>
    <x v="0"/>
    <x v="6"/>
    <m/>
    <m/>
    <m/>
    <n v="6"/>
  </r>
  <r>
    <x v="51"/>
    <x v="0"/>
    <x v="0"/>
    <x v="1"/>
    <m/>
    <n v="434"/>
    <m/>
    <m/>
  </r>
  <r>
    <x v="51"/>
    <x v="0"/>
    <x v="0"/>
    <x v="2"/>
    <m/>
    <n v="284"/>
    <m/>
    <m/>
  </r>
  <r>
    <x v="51"/>
    <x v="0"/>
    <x v="0"/>
    <x v="3"/>
    <m/>
    <n v="273"/>
    <m/>
    <m/>
  </r>
  <r>
    <x v="51"/>
    <x v="1"/>
    <x v="0"/>
    <x v="1"/>
    <m/>
    <n v="500"/>
    <m/>
    <m/>
  </r>
  <r>
    <x v="51"/>
    <x v="1"/>
    <x v="0"/>
    <x v="2"/>
    <m/>
    <n v="266"/>
    <m/>
    <m/>
  </r>
  <r>
    <x v="51"/>
    <x v="1"/>
    <x v="0"/>
    <x v="3"/>
    <m/>
    <n v="223"/>
    <m/>
    <m/>
  </r>
  <r>
    <x v="51"/>
    <x v="0"/>
    <x v="0"/>
    <x v="4"/>
    <m/>
    <m/>
    <m/>
    <n v="19"/>
  </r>
  <r>
    <x v="51"/>
    <x v="0"/>
    <x v="0"/>
    <x v="5"/>
    <m/>
    <m/>
    <m/>
    <n v="4"/>
  </r>
  <r>
    <x v="51"/>
    <x v="0"/>
    <x v="0"/>
    <x v="6"/>
    <m/>
    <m/>
    <m/>
    <n v="3"/>
  </r>
  <r>
    <x v="43"/>
    <x v="0"/>
    <x v="0"/>
    <x v="1"/>
    <m/>
    <n v="607"/>
    <m/>
    <m/>
  </r>
  <r>
    <x v="43"/>
    <x v="0"/>
    <x v="0"/>
    <x v="2"/>
    <m/>
    <n v="463"/>
    <m/>
    <m/>
  </r>
  <r>
    <x v="43"/>
    <x v="0"/>
    <x v="0"/>
    <x v="3"/>
    <m/>
    <n v="415"/>
    <m/>
    <m/>
  </r>
  <r>
    <x v="43"/>
    <x v="1"/>
    <x v="0"/>
    <x v="1"/>
    <m/>
    <n v="789"/>
    <m/>
    <m/>
  </r>
  <r>
    <x v="43"/>
    <x v="1"/>
    <x v="0"/>
    <x v="2"/>
    <m/>
    <n v="455"/>
    <m/>
    <m/>
  </r>
  <r>
    <x v="43"/>
    <x v="1"/>
    <x v="0"/>
    <x v="3"/>
    <m/>
    <n v="436"/>
    <m/>
    <m/>
  </r>
  <r>
    <x v="43"/>
    <x v="0"/>
    <x v="0"/>
    <x v="4"/>
    <m/>
    <m/>
    <m/>
    <n v="39"/>
  </r>
  <r>
    <x v="43"/>
    <x v="0"/>
    <x v="0"/>
    <x v="5"/>
    <m/>
    <m/>
    <m/>
    <n v="5"/>
  </r>
  <r>
    <x v="43"/>
    <x v="0"/>
    <x v="0"/>
    <x v="6"/>
    <m/>
    <m/>
    <m/>
    <n v="2"/>
  </r>
  <r>
    <x v="1"/>
    <x v="0"/>
    <x v="0"/>
    <x v="1"/>
    <m/>
    <n v="1596"/>
    <m/>
    <m/>
  </r>
  <r>
    <x v="1"/>
    <x v="0"/>
    <x v="0"/>
    <x v="2"/>
    <m/>
    <n v="1170"/>
    <m/>
    <m/>
  </r>
  <r>
    <x v="1"/>
    <x v="0"/>
    <x v="0"/>
    <x v="3"/>
    <m/>
    <n v="1093"/>
    <m/>
    <m/>
  </r>
  <r>
    <x v="1"/>
    <x v="1"/>
    <x v="0"/>
    <x v="1"/>
    <m/>
    <n v="1935"/>
    <m/>
    <m/>
  </r>
  <r>
    <x v="1"/>
    <x v="1"/>
    <x v="0"/>
    <x v="2"/>
    <m/>
    <n v="1192"/>
    <m/>
    <m/>
  </r>
  <r>
    <x v="1"/>
    <x v="1"/>
    <x v="0"/>
    <x v="3"/>
    <m/>
    <n v="1093"/>
    <m/>
    <m/>
  </r>
  <r>
    <x v="1"/>
    <x v="0"/>
    <x v="0"/>
    <x v="4"/>
    <m/>
    <m/>
    <m/>
    <n v="104"/>
  </r>
  <r>
    <x v="1"/>
    <x v="0"/>
    <x v="0"/>
    <x v="5"/>
    <m/>
    <m/>
    <m/>
    <n v="17"/>
  </r>
  <r>
    <x v="1"/>
    <x v="0"/>
    <x v="0"/>
    <x v="6"/>
    <m/>
    <m/>
    <m/>
    <n v="8"/>
  </r>
  <r>
    <x v="18"/>
    <x v="0"/>
    <x v="0"/>
    <x v="1"/>
    <m/>
    <n v="873"/>
    <m/>
    <m/>
  </r>
  <r>
    <x v="18"/>
    <x v="0"/>
    <x v="0"/>
    <x v="2"/>
    <m/>
    <n v="678"/>
    <m/>
    <m/>
  </r>
  <r>
    <x v="18"/>
    <x v="0"/>
    <x v="0"/>
    <x v="3"/>
    <m/>
    <n v="644"/>
    <m/>
    <m/>
  </r>
  <r>
    <x v="18"/>
    <x v="1"/>
    <x v="0"/>
    <x v="1"/>
    <m/>
    <n v="897"/>
    <m/>
    <m/>
  </r>
  <r>
    <x v="18"/>
    <x v="1"/>
    <x v="0"/>
    <x v="2"/>
    <m/>
    <n v="643"/>
    <m/>
    <m/>
  </r>
  <r>
    <x v="18"/>
    <x v="1"/>
    <x v="0"/>
    <x v="3"/>
    <m/>
    <n v="548"/>
    <m/>
    <m/>
  </r>
  <r>
    <x v="18"/>
    <x v="0"/>
    <x v="0"/>
    <x v="4"/>
    <m/>
    <m/>
    <m/>
    <n v="83"/>
  </r>
  <r>
    <x v="18"/>
    <x v="0"/>
    <x v="0"/>
    <x v="5"/>
    <m/>
    <m/>
    <m/>
    <n v="10"/>
  </r>
  <r>
    <x v="18"/>
    <x v="0"/>
    <x v="0"/>
    <x v="6"/>
    <m/>
    <m/>
    <m/>
    <n v="4"/>
  </r>
  <r>
    <x v="52"/>
    <x v="0"/>
    <x v="0"/>
    <x v="1"/>
    <m/>
    <n v="203"/>
    <m/>
    <m/>
  </r>
  <r>
    <x v="52"/>
    <x v="0"/>
    <x v="0"/>
    <x v="2"/>
    <m/>
    <n v="81"/>
    <m/>
    <m/>
  </r>
  <r>
    <x v="52"/>
    <x v="0"/>
    <x v="0"/>
    <x v="3"/>
    <m/>
    <n v="65"/>
    <m/>
    <m/>
  </r>
  <r>
    <x v="52"/>
    <x v="1"/>
    <x v="0"/>
    <x v="1"/>
    <m/>
    <n v="247"/>
    <m/>
    <m/>
  </r>
  <r>
    <x v="52"/>
    <x v="1"/>
    <x v="0"/>
    <x v="2"/>
    <m/>
    <n v="107"/>
    <m/>
    <m/>
  </r>
  <r>
    <x v="52"/>
    <x v="1"/>
    <x v="0"/>
    <x v="3"/>
    <m/>
    <n v="87"/>
    <m/>
    <m/>
  </r>
  <r>
    <x v="52"/>
    <x v="0"/>
    <x v="0"/>
    <x v="4"/>
    <m/>
    <m/>
    <m/>
    <n v="3"/>
  </r>
  <r>
    <x v="52"/>
    <x v="0"/>
    <x v="0"/>
    <x v="5"/>
    <m/>
    <m/>
    <m/>
    <n v="0"/>
  </r>
  <r>
    <x v="52"/>
    <x v="0"/>
    <x v="0"/>
    <x v="6"/>
    <m/>
    <m/>
    <m/>
    <n v="0"/>
  </r>
  <r>
    <x v="4"/>
    <x v="0"/>
    <x v="0"/>
    <x v="1"/>
    <m/>
    <n v="1646"/>
    <m/>
    <m/>
  </r>
  <r>
    <x v="4"/>
    <x v="0"/>
    <x v="0"/>
    <x v="2"/>
    <m/>
    <n v="1060"/>
    <m/>
    <m/>
  </r>
  <r>
    <x v="4"/>
    <x v="0"/>
    <x v="0"/>
    <x v="3"/>
    <m/>
    <n v="957"/>
    <m/>
    <m/>
  </r>
  <r>
    <x v="4"/>
    <x v="1"/>
    <x v="0"/>
    <x v="1"/>
    <m/>
    <n v="2040"/>
    <m/>
    <m/>
  </r>
  <r>
    <x v="4"/>
    <x v="1"/>
    <x v="0"/>
    <x v="2"/>
    <m/>
    <n v="1063"/>
    <m/>
    <m/>
  </r>
  <r>
    <x v="4"/>
    <x v="1"/>
    <x v="0"/>
    <x v="3"/>
    <m/>
    <n v="999"/>
    <m/>
    <m/>
  </r>
  <r>
    <x v="4"/>
    <x v="0"/>
    <x v="0"/>
    <x v="4"/>
    <m/>
    <m/>
    <m/>
    <n v="191"/>
  </r>
  <r>
    <x v="4"/>
    <x v="0"/>
    <x v="0"/>
    <x v="5"/>
    <m/>
    <m/>
    <m/>
    <n v="21"/>
  </r>
  <r>
    <x v="4"/>
    <x v="0"/>
    <x v="0"/>
    <x v="6"/>
    <m/>
    <m/>
    <m/>
    <n v="30"/>
  </r>
  <r>
    <x v="41"/>
    <x v="0"/>
    <x v="0"/>
    <x v="1"/>
    <m/>
    <n v="996"/>
    <m/>
    <m/>
  </r>
  <r>
    <x v="41"/>
    <x v="0"/>
    <x v="0"/>
    <x v="2"/>
    <m/>
    <n v="527"/>
    <m/>
    <m/>
  </r>
  <r>
    <x v="41"/>
    <x v="0"/>
    <x v="0"/>
    <x v="3"/>
    <m/>
    <n v="462"/>
    <m/>
    <m/>
  </r>
  <r>
    <x v="41"/>
    <x v="1"/>
    <x v="0"/>
    <x v="1"/>
    <m/>
    <n v="1243"/>
    <m/>
    <m/>
  </r>
  <r>
    <x v="41"/>
    <x v="1"/>
    <x v="0"/>
    <x v="2"/>
    <m/>
    <n v="594"/>
    <m/>
    <m/>
  </r>
  <r>
    <x v="41"/>
    <x v="1"/>
    <x v="0"/>
    <x v="3"/>
    <m/>
    <n v="461"/>
    <m/>
    <m/>
  </r>
  <r>
    <x v="41"/>
    <x v="0"/>
    <x v="0"/>
    <x v="4"/>
    <m/>
    <m/>
    <m/>
    <n v="86"/>
  </r>
  <r>
    <x v="41"/>
    <x v="0"/>
    <x v="0"/>
    <x v="5"/>
    <m/>
    <m/>
    <m/>
    <n v="5"/>
  </r>
  <r>
    <x v="41"/>
    <x v="0"/>
    <x v="0"/>
    <x v="6"/>
    <m/>
    <m/>
    <m/>
    <n v="4"/>
  </r>
  <r>
    <x v="15"/>
    <x v="0"/>
    <x v="0"/>
    <x v="1"/>
    <m/>
    <n v="1123"/>
    <m/>
    <m/>
  </r>
  <r>
    <x v="15"/>
    <x v="0"/>
    <x v="0"/>
    <x v="2"/>
    <m/>
    <n v="839"/>
    <m/>
    <m/>
  </r>
  <r>
    <x v="15"/>
    <x v="0"/>
    <x v="0"/>
    <x v="3"/>
    <m/>
    <n v="771"/>
    <m/>
    <m/>
  </r>
  <r>
    <x v="15"/>
    <x v="1"/>
    <x v="0"/>
    <x v="1"/>
    <m/>
    <n v="1406"/>
    <m/>
    <m/>
  </r>
  <r>
    <x v="15"/>
    <x v="1"/>
    <x v="0"/>
    <x v="2"/>
    <m/>
    <n v="784"/>
    <m/>
    <m/>
  </r>
  <r>
    <x v="15"/>
    <x v="1"/>
    <x v="0"/>
    <x v="3"/>
    <m/>
    <n v="777"/>
    <m/>
    <m/>
  </r>
  <r>
    <x v="15"/>
    <x v="0"/>
    <x v="0"/>
    <x v="4"/>
    <m/>
    <m/>
    <m/>
    <n v="164"/>
  </r>
  <r>
    <x v="15"/>
    <x v="0"/>
    <x v="0"/>
    <x v="5"/>
    <m/>
    <m/>
    <m/>
    <n v="22"/>
  </r>
  <r>
    <x v="15"/>
    <x v="0"/>
    <x v="0"/>
    <x v="6"/>
    <m/>
    <m/>
    <m/>
    <n v="8"/>
  </r>
  <r>
    <x v="45"/>
    <x v="0"/>
    <x v="0"/>
    <x v="1"/>
    <m/>
    <n v="947"/>
    <m/>
    <m/>
  </r>
  <r>
    <x v="45"/>
    <x v="0"/>
    <x v="0"/>
    <x v="2"/>
    <m/>
    <n v="493"/>
    <m/>
    <m/>
  </r>
  <r>
    <x v="45"/>
    <x v="0"/>
    <x v="0"/>
    <x v="3"/>
    <m/>
    <n v="437"/>
    <m/>
    <m/>
  </r>
  <r>
    <x v="45"/>
    <x v="1"/>
    <x v="0"/>
    <x v="1"/>
    <m/>
    <n v="1192"/>
    <m/>
    <m/>
  </r>
  <r>
    <x v="45"/>
    <x v="1"/>
    <x v="0"/>
    <x v="2"/>
    <m/>
    <n v="480"/>
    <m/>
    <m/>
  </r>
  <r>
    <x v="45"/>
    <x v="1"/>
    <x v="0"/>
    <x v="3"/>
    <m/>
    <n v="440"/>
    <m/>
    <m/>
  </r>
  <r>
    <x v="45"/>
    <x v="0"/>
    <x v="0"/>
    <x v="4"/>
    <m/>
    <m/>
    <m/>
    <n v="42"/>
  </r>
  <r>
    <x v="45"/>
    <x v="0"/>
    <x v="0"/>
    <x v="5"/>
    <m/>
    <m/>
    <m/>
    <n v="5"/>
  </r>
  <r>
    <x v="45"/>
    <x v="0"/>
    <x v="0"/>
    <x v="6"/>
    <m/>
    <m/>
    <m/>
    <n v="3"/>
  </r>
  <r>
    <x v="29"/>
    <x v="0"/>
    <x v="0"/>
    <x v="1"/>
    <m/>
    <n v="888"/>
    <m/>
    <m/>
  </r>
  <r>
    <x v="29"/>
    <x v="0"/>
    <x v="0"/>
    <x v="2"/>
    <m/>
    <n v="582"/>
    <m/>
    <m/>
  </r>
  <r>
    <x v="29"/>
    <x v="0"/>
    <x v="0"/>
    <x v="3"/>
    <m/>
    <n v="561"/>
    <m/>
    <m/>
  </r>
  <r>
    <x v="29"/>
    <x v="1"/>
    <x v="0"/>
    <x v="1"/>
    <m/>
    <n v="881"/>
    <m/>
    <m/>
  </r>
  <r>
    <x v="29"/>
    <x v="1"/>
    <x v="0"/>
    <x v="2"/>
    <m/>
    <n v="550"/>
    <m/>
    <m/>
  </r>
  <r>
    <x v="29"/>
    <x v="1"/>
    <x v="0"/>
    <x v="3"/>
    <m/>
    <n v="511"/>
    <m/>
    <m/>
  </r>
  <r>
    <x v="29"/>
    <x v="0"/>
    <x v="0"/>
    <x v="4"/>
    <m/>
    <m/>
    <m/>
    <n v="110"/>
  </r>
  <r>
    <x v="29"/>
    <x v="0"/>
    <x v="0"/>
    <x v="5"/>
    <m/>
    <m/>
    <m/>
    <n v="5"/>
  </r>
  <r>
    <x v="29"/>
    <x v="0"/>
    <x v="0"/>
    <x v="6"/>
    <m/>
    <m/>
    <m/>
    <n v="9"/>
  </r>
  <r>
    <x v="28"/>
    <x v="0"/>
    <x v="0"/>
    <x v="1"/>
    <m/>
    <n v="821"/>
    <m/>
    <m/>
  </r>
  <r>
    <x v="28"/>
    <x v="0"/>
    <x v="0"/>
    <x v="2"/>
    <m/>
    <n v="609"/>
    <m/>
    <m/>
  </r>
  <r>
    <x v="28"/>
    <x v="0"/>
    <x v="0"/>
    <x v="3"/>
    <m/>
    <n v="538"/>
    <m/>
    <m/>
  </r>
  <r>
    <x v="28"/>
    <x v="1"/>
    <x v="0"/>
    <x v="1"/>
    <m/>
    <n v="1167"/>
    <m/>
    <m/>
  </r>
  <r>
    <x v="28"/>
    <x v="1"/>
    <x v="0"/>
    <x v="2"/>
    <m/>
    <n v="665"/>
    <m/>
    <m/>
  </r>
  <r>
    <x v="28"/>
    <x v="1"/>
    <x v="0"/>
    <x v="3"/>
    <m/>
    <n v="563"/>
    <m/>
    <m/>
  </r>
  <r>
    <x v="28"/>
    <x v="0"/>
    <x v="0"/>
    <x v="4"/>
    <m/>
    <m/>
    <m/>
    <n v="180"/>
  </r>
  <r>
    <x v="28"/>
    <x v="0"/>
    <x v="0"/>
    <x v="5"/>
    <m/>
    <m/>
    <m/>
    <n v="12"/>
  </r>
  <r>
    <x v="28"/>
    <x v="0"/>
    <x v="0"/>
    <x v="6"/>
    <m/>
    <m/>
    <m/>
    <n v="4"/>
  </r>
  <r>
    <x v="24"/>
    <x v="0"/>
    <x v="0"/>
    <x v="1"/>
    <m/>
    <n v="1296"/>
    <m/>
    <m/>
  </r>
  <r>
    <x v="24"/>
    <x v="0"/>
    <x v="0"/>
    <x v="2"/>
    <m/>
    <n v="798"/>
    <m/>
    <m/>
  </r>
  <r>
    <x v="24"/>
    <x v="0"/>
    <x v="0"/>
    <x v="3"/>
    <m/>
    <n v="672"/>
    <m/>
    <m/>
  </r>
  <r>
    <x v="24"/>
    <x v="1"/>
    <x v="0"/>
    <x v="1"/>
    <m/>
    <n v="1583"/>
    <m/>
    <m/>
  </r>
  <r>
    <x v="24"/>
    <x v="1"/>
    <x v="0"/>
    <x v="2"/>
    <m/>
    <n v="749"/>
    <m/>
    <m/>
  </r>
  <r>
    <x v="24"/>
    <x v="1"/>
    <x v="0"/>
    <x v="3"/>
    <m/>
    <n v="614"/>
    <m/>
    <m/>
  </r>
  <r>
    <x v="24"/>
    <x v="0"/>
    <x v="0"/>
    <x v="4"/>
    <m/>
    <m/>
    <m/>
    <n v="45"/>
  </r>
  <r>
    <x v="24"/>
    <x v="0"/>
    <x v="0"/>
    <x v="5"/>
    <m/>
    <m/>
    <m/>
    <n v="19"/>
  </r>
  <r>
    <x v="24"/>
    <x v="0"/>
    <x v="0"/>
    <x v="6"/>
    <m/>
    <m/>
    <m/>
    <n v="9"/>
  </r>
  <r>
    <x v="23"/>
    <x v="0"/>
    <x v="0"/>
    <x v="1"/>
    <m/>
    <n v="754"/>
    <m/>
    <m/>
  </r>
  <r>
    <x v="23"/>
    <x v="0"/>
    <x v="0"/>
    <x v="2"/>
    <m/>
    <n v="671"/>
    <m/>
    <m/>
  </r>
  <r>
    <x v="23"/>
    <x v="0"/>
    <x v="0"/>
    <x v="3"/>
    <m/>
    <n v="723"/>
    <m/>
    <m/>
  </r>
  <r>
    <x v="23"/>
    <x v="1"/>
    <x v="0"/>
    <x v="1"/>
    <m/>
    <n v="803"/>
    <m/>
    <m/>
  </r>
  <r>
    <x v="23"/>
    <x v="1"/>
    <x v="0"/>
    <x v="2"/>
    <m/>
    <n v="612"/>
    <m/>
    <m/>
  </r>
  <r>
    <x v="23"/>
    <x v="1"/>
    <x v="0"/>
    <x v="3"/>
    <m/>
    <n v="641"/>
    <m/>
    <m/>
  </r>
  <r>
    <x v="23"/>
    <x v="0"/>
    <x v="0"/>
    <x v="4"/>
    <m/>
    <m/>
    <m/>
    <n v="176"/>
  </r>
  <r>
    <x v="23"/>
    <x v="0"/>
    <x v="0"/>
    <x v="5"/>
    <m/>
    <m/>
    <m/>
    <n v="17"/>
  </r>
  <r>
    <x v="23"/>
    <x v="0"/>
    <x v="0"/>
    <x v="6"/>
    <m/>
    <m/>
    <m/>
    <n v="7"/>
  </r>
  <r>
    <x v="14"/>
    <x v="0"/>
    <x v="0"/>
    <x v="1"/>
    <m/>
    <n v="915"/>
    <m/>
    <m/>
  </r>
  <r>
    <x v="14"/>
    <x v="0"/>
    <x v="0"/>
    <x v="2"/>
    <m/>
    <n v="712"/>
    <m/>
    <m/>
  </r>
  <r>
    <x v="14"/>
    <x v="0"/>
    <x v="0"/>
    <x v="3"/>
    <m/>
    <n v="786"/>
    <m/>
    <m/>
  </r>
  <r>
    <x v="14"/>
    <x v="1"/>
    <x v="0"/>
    <x v="1"/>
    <m/>
    <n v="1148"/>
    <m/>
    <m/>
  </r>
  <r>
    <x v="14"/>
    <x v="1"/>
    <x v="0"/>
    <x v="2"/>
    <m/>
    <n v="637"/>
    <m/>
    <m/>
  </r>
  <r>
    <x v="14"/>
    <x v="1"/>
    <x v="0"/>
    <x v="3"/>
    <m/>
    <n v="580"/>
    <m/>
    <m/>
  </r>
  <r>
    <x v="14"/>
    <x v="0"/>
    <x v="0"/>
    <x v="4"/>
    <m/>
    <m/>
    <m/>
    <n v="166"/>
  </r>
  <r>
    <x v="14"/>
    <x v="0"/>
    <x v="0"/>
    <x v="5"/>
    <m/>
    <m/>
    <m/>
    <n v="26"/>
  </r>
  <r>
    <x v="14"/>
    <x v="0"/>
    <x v="0"/>
    <x v="6"/>
    <m/>
    <m/>
    <m/>
    <n v="9"/>
  </r>
  <r>
    <x v="30"/>
    <x v="0"/>
    <x v="0"/>
    <x v="1"/>
    <m/>
    <n v="756"/>
    <m/>
    <m/>
  </r>
  <r>
    <x v="30"/>
    <x v="0"/>
    <x v="0"/>
    <x v="2"/>
    <m/>
    <n v="600"/>
    <m/>
    <m/>
  </r>
  <r>
    <x v="30"/>
    <x v="0"/>
    <x v="0"/>
    <x v="3"/>
    <m/>
    <n v="543"/>
    <m/>
    <m/>
  </r>
  <r>
    <x v="30"/>
    <x v="1"/>
    <x v="0"/>
    <x v="1"/>
    <m/>
    <n v="979"/>
    <m/>
    <m/>
  </r>
  <r>
    <x v="30"/>
    <x v="1"/>
    <x v="0"/>
    <x v="2"/>
    <m/>
    <n v="550"/>
    <m/>
    <m/>
  </r>
  <r>
    <x v="30"/>
    <x v="1"/>
    <x v="0"/>
    <x v="3"/>
    <m/>
    <n v="441"/>
    <m/>
    <m/>
  </r>
  <r>
    <x v="30"/>
    <x v="0"/>
    <x v="0"/>
    <x v="4"/>
    <m/>
    <m/>
    <m/>
    <n v="29"/>
  </r>
  <r>
    <x v="30"/>
    <x v="0"/>
    <x v="0"/>
    <x v="5"/>
    <m/>
    <m/>
    <m/>
    <n v="4"/>
  </r>
  <r>
    <x v="30"/>
    <x v="0"/>
    <x v="0"/>
    <x v="6"/>
    <m/>
    <m/>
    <m/>
    <n v="5"/>
  </r>
  <r>
    <x v="20"/>
    <x v="0"/>
    <x v="0"/>
    <x v="1"/>
    <m/>
    <n v="880"/>
    <m/>
    <m/>
  </r>
  <r>
    <x v="20"/>
    <x v="0"/>
    <x v="0"/>
    <x v="2"/>
    <m/>
    <n v="663"/>
    <m/>
    <m/>
  </r>
  <r>
    <x v="20"/>
    <x v="0"/>
    <x v="0"/>
    <x v="3"/>
    <m/>
    <n v="547"/>
    <m/>
    <m/>
  </r>
  <r>
    <x v="20"/>
    <x v="1"/>
    <x v="0"/>
    <x v="1"/>
    <m/>
    <n v="1006"/>
    <m/>
    <m/>
  </r>
  <r>
    <x v="20"/>
    <x v="1"/>
    <x v="0"/>
    <x v="2"/>
    <m/>
    <n v="568"/>
    <m/>
    <m/>
  </r>
  <r>
    <x v="20"/>
    <x v="1"/>
    <x v="0"/>
    <x v="3"/>
    <m/>
    <n v="513"/>
    <m/>
    <m/>
  </r>
  <r>
    <x v="20"/>
    <x v="0"/>
    <x v="0"/>
    <x v="4"/>
    <m/>
    <m/>
    <m/>
    <n v="140"/>
  </r>
  <r>
    <x v="20"/>
    <x v="0"/>
    <x v="0"/>
    <x v="5"/>
    <m/>
    <m/>
    <m/>
    <n v="19"/>
  </r>
  <r>
    <x v="20"/>
    <x v="0"/>
    <x v="0"/>
    <x v="6"/>
    <m/>
    <m/>
    <m/>
    <n v="17"/>
  </r>
  <r>
    <x v="36"/>
    <x v="0"/>
    <x v="0"/>
    <x v="1"/>
    <m/>
    <n v="480"/>
    <m/>
    <m/>
  </r>
  <r>
    <x v="36"/>
    <x v="0"/>
    <x v="0"/>
    <x v="2"/>
    <m/>
    <n v="478"/>
    <m/>
    <m/>
  </r>
  <r>
    <x v="36"/>
    <x v="0"/>
    <x v="0"/>
    <x v="3"/>
    <m/>
    <n v="435"/>
    <m/>
    <m/>
  </r>
  <r>
    <x v="36"/>
    <x v="1"/>
    <x v="0"/>
    <x v="1"/>
    <m/>
    <n v="547"/>
    <m/>
    <m/>
  </r>
  <r>
    <x v="36"/>
    <x v="1"/>
    <x v="0"/>
    <x v="2"/>
    <m/>
    <n v="447"/>
    <m/>
    <m/>
  </r>
  <r>
    <x v="36"/>
    <x v="1"/>
    <x v="0"/>
    <x v="3"/>
    <m/>
    <n v="434"/>
    <m/>
    <m/>
  </r>
  <r>
    <x v="36"/>
    <x v="0"/>
    <x v="0"/>
    <x v="4"/>
    <m/>
    <m/>
    <m/>
    <n v="79"/>
  </r>
  <r>
    <x v="36"/>
    <x v="0"/>
    <x v="0"/>
    <x v="5"/>
    <m/>
    <m/>
    <m/>
    <n v="11"/>
  </r>
  <r>
    <x v="36"/>
    <x v="0"/>
    <x v="0"/>
    <x v="6"/>
    <m/>
    <m/>
    <m/>
    <n v="7"/>
  </r>
  <r>
    <x v="33"/>
    <x v="0"/>
    <x v="0"/>
    <x v="1"/>
    <m/>
    <n v="616"/>
    <m/>
    <m/>
  </r>
  <r>
    <x v="33"/>
    <x v="0"/>
    <x v="0"/>
    <x v="2"/>
    <m/>
    <n v="493"/>
    <m/>
    <m/>
  </r>
  <r>
    <x v="33"/>
    <x v="0"/>
    <x v="0"/>
    <x v="3"/>
    <m/>
    <n v="504"/>
    <m/>
    <m/>
  </r>
  <r>
    <x v="33"/>
    <x v="1"/>
    <x v="0"/>
    <x v="1"/>
    <m/>
    <n v="655"/>
    <m/>
    <m/>
  </r>
  <r>
    <x v="33"/>
    <x v="1"/>
    <x v="0"/>
    <x v="2"/>
    <m/>
    <n v="474"/>
    <m/>
    <m/>
  </r>
  <r>
    <x v="33"/>
    <x v="1"/>
    <x v="0"/>
    <x v="3"/>
    <m/>
    <n v="458"/>
    <m/>
    <m/>
  </r>
  <r>
    <x v="33"/>
    <x v="0"/>
    <x v="0"/>
    <x v="4"/>
    <m/>
    <m/>
    <m/>
    <n v="82"/>
  </r>
  <r>
    <x v="33"/>
    <x v="0"/>
    <x v="0"/>
    <x v="5"/>
    <m/>
    <m/>
    <m/>
    <n v="6"/>
  </r>
  <r>
    <x v="33"/>
    <x v="0"/>
    <x v="0"/>
    <x v="6"/>
    <m/>
    <m/>
    <m/>
    <n v="4"/>
  </r>
  <r>
    <x v="19"/>
    <x v="0"/>
    <x v="0"/>
    <x v="1"/>
    <m/>
    <n v="721"/>
    <m/>
    <m/>
  </r>
  <r>
    <x v="19"/>
    <x v="0"/>
    <x v="0"/>
    <x v="2"/>
    <m/>
    <n v="736"/>
    <m/>
    <m/>
  </r>
  <r>
    <x v="19"/>
    <x v="0"/>
    <x v="0"/>
    <x v="3"/>
    <m/>
    <n v="620"/>
    <m/>
    <m/>
  </r>
  <r>
    <x v="19"/>
    <x v="1"/>
    <x v="0"/>
    <x v="1"/>
    <m/>
    <n v="853"/>
    <m/>
    <m/>
  </r>
  <r>
    <x v="19"/>
    <x v="1"/>
    <x v="0"/>
    <x v="2"/>
    <m/>
    <n v="668"/>
    <m/>
    <m/>
  </r>
  <r>
    <x v="19"/>
    <x v="1"/>
    <x v="0"/>
    <x v="3"/>
    <m/>
    <n v="578"/>
    <m/>
    <m/>
  </r>
  <r>
    <x v="19"/>
    <x v="0"/>
    <x v="0"/>
    <x v="4"/>
    <m/>
    <m/>
    <m/>
    <n v="153"/>
  </r>
  <r>
    <x v="19"/>
    <x v="0"/>
    <x v="0"/>
    <x v="5"/>
    <m/>
    <m/>
    <m/>
    <n v="13"/>
  </r>
  <r>
    <x v="19"/>
    <x v="0"/>
    <x v="0"/>
    <x v="6"/>
    <m/>
    <m/>
    <m/>
    <n v="11"/>
  </r>
  <r>
    <x v="21"/>
    <x v="0"/>
    <x v="0"/>
    <x v="1"/>
    <m/>
    <n v="832"/>
    <m/>
    <m/>
  </r>
  <r>
    <x v="21"/>
    <x v="0"/>
    <x v="0"/>
    <x v="2"/>
    <m/>
    <n v="606"/>
    <m/>
    <m/>
  </r>
  <r>
    <x v="21"/>
    <x v="0"/>
    <x v="0"/>
    <x v="3"/>
    <m/>
    <n v="557"/>
    <m/>
    <m/>
  </r>
  <r>
    <x v="21"/>
    <x v="1"/>
    <x v="0"/>
    <x v="1"/>
    <m/>
    <n v="1074"/>
    <m/>
    <m/>
  </r>
  <r>
    <x v="21"/>
    <x v="1"/>
    <x v="0"/>
    <x v="2"/>
    <m/>
    <n v="646"/>
    <m/>
    <m/>
  </r>
  <r>
    <x v="21"/>
    <x v="1"/>
    <x v="0"/>
    <x v="3"/>
    <m/>
    <n v="539"/>
    <m/>
    <m/>
  </r>
  <r>
    <x v="21"/>
    <x v="0"/>
    <x v="0"/>
    <x v="4"/>
    <m/>
    <m/>
    <m/>
    <n v="117"/>
  </r>
  <r>
    <x v="21"/>
    <x v="0"/>
    <x v="0"/>
    <x v="5"/>
    <m/>
    <m/>
    <m/>
    <n v="12"/>
  </r>
  <r>
    <x v="21"/>
    <x v="0"/>
    <x v="0"/>
    <x v="6"/>
    <m/>
    <m/>
    <m/>
    <n v="19"/>
  </r>
  <r>
    <x v="47"/>
    <x v="0"/>
    <x v="0"/>
    <x v="1"/>
    <m/>
    <n v="358"/>
    <m/>
    <m/>
  </r>
  <r>
    <x v="47"/>
    <x v="0"/>
    <x v="0"/>
    <x v="2"/>
    <m/>
    <n v="375"/>
    <m/>
    <m/>
  </r>
  <r>
    <x v="47"/>
    <x v="0"/>
    <x v="0"/>
    <x v="3"/>
    <m/>
    <n v="394"/>
    <m/>
    <m/>
  </r>
  <r>
    <x v="47"/>
    <x v="1"/>
    <x v="0"/>
    <x v="1"/>
    <m/>
    <n v="519"/>
    <m/>
    <m/>
  </r>
  <r>
    <x v="47"/>
    <x v="1"/>
    <x v="0"/>
    <x v="2"/>
    <m/>
    <n v="387"/>
    <m/>
    <m/>
  </r>
  <r>
    <x v="47"/>
    <x v="1"/>
    <x v="0"/>
    <x v="3"/>
    <m/>
    <n v="368"/>
    <m/>
    <m/>
  </r>
  <r>
    <x v="47"/>
    <x v="0"/>
    <x v="0"/>
    <x v="4"/>
    <m/>
    <m/>
    <m/>
    <n v="53"/>
  </r>
  <r>
    <x v="47"/>
    <x v="0"/>
    <x v="0"/>
    <x v="5"/>
    <m/>
    <m/>
    <m/>
    <n v="7"/>
  </r>
  <r>
    <x v="47"/>
    <x v="0"/>
    <x v="0"/>
    <x v="6"/>
    <m/>
    <m/>
    <m/>
    <n v="1"/>
  </r>
  <r>
    <x v="35"/>
    <x v="0"/>
    <x v="0"/>
    <x v="1"/>
    <m/>
    <n v="449"/>
    <m/>
    <m/>
  </r>
  <r>
    <x v="35"/>
    <x v="0"/>
    <x v="0"/>
    <x v="2"/>
    <m/>
    <n v="411"/>
    <m/>
    <m/>
  </r>
  <r>
    <x v="35"/>
    <x v="0"/>
    <x v="0"/>
    <x v="3"/>
    <m/>
    <n v="414"/>
    <m/>
    <m/>
  </r>
  <r>
    <x v="35"/>
    <x v="1"/>
    <x v="0"/>
    <x v="1"/>
    <m/>
    <n v="504"/>
    <m/>
    <m/>
  </r>
  <r>
    <x v="35"/>
    <x v="1"/>
    <x v="0"/>
    <x v="2"/>
    <m/>
    <n v="441"/>
    <m/>
    <m/>
  </r>
  <r>
    <x v="35"/>
    <x v="1"/>
    <x v="0"/>
    <x v="3"/>
    <m/>
    <n v="424"/>
    <m/>
    <m/>
  </r>
  <r>
    <x v="35"/>
    <x v="0"/>
    <x v="0"/>
    <x v="4"/>
    <m/>
    <m/>
    <m/>
    <n v="69"/>
  </r>
  <r>
    <x v="35"/>
    <x v="0"/>
    <x v="0"/>
    <x v="5"/>
    <m/>
    <m/>
    <m/>
    <n v="8"/>
  </r>
  <r>
    <x v="35"/>
    <x v="0"/>
    <x v="0"/>
    <x v="6"/>
    <m/>
    <m/>
    <m/>
    <n v="4"/>
  </r>
  <r>
    <x v="44"/>
    <x v="0"/>
    <x v="0"/>
    <x v="1"/>
    <m/>
    <n v="330"/>
    <m/>
    <m/>
  </r>
  <r>
    <x v="44"/>
    <x v="0"/>
    <x v="0"/>
    <x v="2"/>
    <m/>
    <n v="353"/>
    <m/>
    <m/>
  </r>
  <r>
    <x v="44"/>
    <x v="0"/>
    <x v="0"/>
    <x v="3"/>
    <m/>
    <n v="325"/>
    <m/>
    <m/>
  </r>
  <r>
    <x v="44"/>
    <x v="1"/>
    <x v="0"/>
    <x v="1"/>
    <m/>
    <n v="394"/>
    <m/>
    <m/>
  </r>
  <r>
    <x v="44"/>
    <x v="1"/>
    <x v="0"/>
    <x v="2"/>
    <m/>
    <n v="352"/>
    <m/>
    <m/>
  </r>
  <r>
    <x v="44"/>
    <x v="1"/>
    <x v="0"/>
    <x v="3"/>
    <m/>
    <n v="316"/>
    <m/>
    <m/>
  </r>
  <r>
    <x v="44"/>
    <x v="0"/>
    <x v="0"/>
    <x v="4"/>
    <m/>
    <m/>
    <m/>
    <n v="95"/>
  </r>
  <r>
    <x v="44"/>
    <x v="0"/>
    <x v="0"/>
    <x v="5"/>
    <m/>
    <m/>
    <m/>
    <n v="4"/>
  </r>
  <r>
    <x v="44"/>
    <x v="0"/>
    <x v="0"/>
    <x v="6"/>
    <m/>
    <m/>
    <m/>
    <n v="7"/>
  </r>
  <r>
    <x v="6"/>
    <x v="0"/>
    <x v="0"/>
    <x v="1"/>
    <m/>
    <n v="1327"/>
    <m/>
    <m/>
  </r>
  <r>
    <x v="6"/>
    <x v="0"/>
    <x v="0"/>
    <x v="2"/>
    <m/>
    <n v="985"/>
    <m/>
    <m/>
  </r>
  <r>
    <x v="6"/>
    <x v="0"/>
    <x v="0"/>
    <x v="3"/>
    <m/>
    <n v="859"/>
    <m/>
    <m/>
  </r>
  <r>
    <x v="6"/>
    <x v="1"/>
    <x v="0"/>
    <x v="1"/>
    <m/>
    <n v="1609"/>
    <m/>
    <m/>
  </r>
  <r>
    <x v="6"/>
    <x v="1"/>
    <x v="0"/>
    <x v="2"/>
    <m/>
    <n v="884"/>
    <m/>
    <m/>
  </r>
  <r>
    <x v="6"/>
    <x v="1"/>
    <x v="0"/>
    <x v="3"/>
    <m/>
    <n v="847"/>
    <m/>
    <m/>
  </r>
  <r>
    <x v="6"/>
    <x v="0"/>
    <x v="0"/>
    <x v="4"/>
    <m/>
    <m/>
    <m/>
    <n v="147"/>
  </r>
  <r>
    <x v="6"/>
    <x v="0"/>
    <x v="0"/>
    <x v="5"/>
    <m/>
    <m/>
    <m/>
    <n v="19"/>
  </r>
  <r>
    <x v="6"/>
    <x v="0"/>
    <x v="0"/>
    <x v="6"/>
    <m/>
    <m/>
    <m/>
    <n v="24"/>
  </r>
  <r>
    <x v="32"/>
    <x v="0"/>
    <x v="0"/>
    <x v="1"/>
    <m/>
    <n v="885"/>
    <m/>
    <m/>
  </r>
  <r>
    <x v="32"/>
    <x v="0"/>
    <x v="0"/>
    <x v="2"/>
    <m/>
    <n v="499"/>
    <m/>
    <m/>
  </r>
  <r>
    <x v="32"/>
    <x v="0"/>
    <x v="0"/>
    <x v="3"/>
    <m/>
    <n v="457"/>
    <m/>
    <m/>
  </r>
  <r>
    <x v="32"/>
    <x v="1"/>
    <x v="0"/>
    <x v="1"/>
    <m/>
    <n v="994"/>
    <m/>
    <m/>
  </r>
  <r>
    <x v="32"/>
    <x v="1"/>
    <x v="0"/>
    <x v="2"/>
    <m/>
    <n v="468"/>
    <m/>
    <m/>
  </r>
  <r>
    <x v="32"/>
    <x v="1"/>
    <x v="0"/>
    <x v="3"/>
    <m/>
    <n v="381"/>
    <m/>
    <m/>
  </r>
  <r>
    <x v="32"/>
    <x v="0"/>
    <x v="0"/>
    <x v="4"/>
    <m/>
    <m/>
    <m/>
    <n v="82"/>
  </r>
  <r>
    <x v="32"/>
    <x v="0"/>
    <x v="0"/>
    <x v="5"/>
    <m/>
    <m/>
    <m/>
    <n v="12"/>
  </r>
  <r>
    <x v="32"/>
    <x v="0"/>
    <x v="0"/>
    <x v="6"/>
    <m/>
    <m/>
    <m/>
    <n v="13"/>
  </r>
  <r>
    <x v="27"/>
    <x v="0"/>
    <x v="0"/>
    <x v="1"/>
    <m/>
    <n v="660"/>
    <m/>
    <m/>
  </r>
  <r>
    <x v="27"/>
    <x v="0"/>
    <x v="0"/>
    <x v="2"/>
    <m/>
    <n v="533"/>
    <m/>
    <m/>
  </r>
  <r>
    <x v="27"/>
    <x v="0"/>
    <x v="0"/>
    <x v="3"/>
    <m/>
    <n v="499"/>
    <m/>
    <m/>
  </r>
  <r>
    <x v="27"/>
    <x v="1"/>
    <x v="0"/>
    <x v="1"/>
    <m/>
    <n v="741"/>
    <m/>
    <m/>
  </r>
  <r>
    <x v="27"/>
    <x v="1"/>
    <x v="0"/>
    <x v="2"/>
    <m/>
    <n v="451"/>
    <m/>
    <m/>
  </r>
  <r>
    <x v="27"/>
    <x v="1"/>
    <x v="0"/>
    <x v="3"/>
    <m/>
    <n v="479"/>
    <m/>
    <m/>
  </r>
  <r>
    <x v="27"/>
    <x v="0"/>
    <x v="0"/>
    <x v="4"/>
    <m/>
    <m/>
    <m/>
    <n v="214"/>
  </r>
  <r>
    <x v="27"/>
    <x v="0"/>
    <x v="0"/>
    <x v="5"/>
    <m/>
    <m/>
    <m/>
    <n v="10"/>
  </r>
  <r>
    <x v="27"/>
    <x v="0"/>
    <x v="0"/>
    <x v="6"/>
    <m/>
    <m/>
    <m/>
    <n v="8"/>
  </r>
  <r>
    <x v="25"/>
    <x v="0"/>
    <x v="0"/>
    <x v="1"/>
    <m/>
    <n v="488"/>
    <m/>
    <m/>
  </r>
  <r>
    <x v="25"/>
    <x v="0"/>
    <x v="0"/>
    <x v="2"/>
    <m/>
    <n v="595"/>
    <m/>
    <m/>
  </r>
  <r>
    <x v="25"/>
    <x v="0"/>
    <x v="0"/>
    <x v="3"/>
    <m/>
    <n v="528"/>
    <m/>
    <m/>
  </r>
  <r>
    <x v="25"/>
    <x v="1"/>
    <x v="0"/>
    <x v="1"/>
    <m/>
    <n v="507"/>
    <m/>
    <m/>
  </r>
  <r>
    <x v="25"/>
    <x v="1"/>
    <x v="0"/>
    <x v="2"/>
    <m/>
    <n v="465"/>
    <m/>
    <m/>
  </r>
  <r>
    <x v="25"/>
    <x v="1"/>
    <x v="0"/>
    <x v="3"/>
    <m/>
    <n v="442"/>
    <m/>
    <m/>
  </r>
  <r>
    <x v="25"/>
    <x v="0"/>
    <x v="0"/>
    <x v="4"/>
    <m/>
    <m/>
    <m/>
    <n v="124"/>
  </r>
  <r>
    <x v="25"/>
    <x v="0"/>
    <x v="0"/>
    <x v="5"/>
    <m/>
    <m/>
    <m/>
    <n v="6"/>
  </r>
  <r>
    <x v="25"/>
    <x v="0"/>
    <x v="0"/>
    <x v="6"/>
    <m/>
    <m/>
    <m/>
    <n v="4"/>
  </r>
  <r>
    <x v="10"/>
    <x v="0"/>
    <x v="1"/>
    <x v="1"/>
    <m/>
    <n v="1000"/>
    <m/>
    <m/>
  </r>
  <r>
    <x v="10"/>
    <x v="0"/>
    <x v="1"/>
    <x v="2"/>
    <m/>
    <n v="705"/>
    <m/>
    <m/>
  </r>
  <r>
    <x v="10"/>
    <x v="0"/>
    <x v="1"/>
    <x v="3"/>
    <m/>
    <n v="496"/>
    <m/>
    <m/>
  </r>
  <r>
    <x v="10"/>
    <x v="1"/>
    <x v="1"/>
    <x v="1"/>
    <m/>
    <n v="1271"/>
    <m/>
    <m/>
  </r>
  <r>
    <x v="10"/>
    <x v="1"/>
    <x v="1"/>
    <x v="2"/>
    <m/>
    <n v="757"/>
    <m/>
    <m/>
  </r>
  <r>
    <x v="10"/>
    <x v="1"/>
    <x v="1"/>
    <x v="3"/>
    <m/>
    <n v="601"/>
    <m/>
    <m/>
  </r>
  <r>
    <x v="10"/>
    <x v="0"/>
    <x v="1"/>
    <x v="4"/>
    <m/>
    <m/>
    <m/>
    <n v="143"/>
  </r>
  <r>
    <x v="10"/>
    <x v="0"/>
    <x v="1"/>
    <x v="5"/>
    <m/>
    <m/>
    <m/>
    <n v="11"/>
  </r>
  <r>
    <x v="10"/>
    <x v="0"/>
    <x v="1"/>
    <x v="6"/>
    <m/>
    <m/>
    <m/>
    <n v="14"/>
  </r>
  <r>
    <x v="9"/>
    <x v="0"/>
    <x v="1"/>
    <x v="1"/>
    <m/>
    <n v="1164"/>
    <m/>
    <m/>
  </r>
  <r>
    <x v="9"/>
    <x v="0"/>
    <x v="1"/>
    <x v="2"/>
    <m/>
    <n v="667"/>
    <m/>
    <m/>
  </r>
  <r>
    <x v="9"/>
    <x v="0"/>
    <x v="1"/>
    <x v="3"/>
    <m/>
    <n v="530"/>
    <m/>
    <m/>
  </r>
  <r>
    <x v="9"/>
    <x v="1"/>
    <x v="1"/>
    <x v="1"/>
    <m/>
    <n v="1513"/>
    <m/>
    <m/>
  </r>
  <r>
    <x v="9"/>
    <x v="1"/>
    <x v="1"/>
    <x v="2"/>
    <m/>
    <n v="821"/>
    <m/>
    <m/>
  </r>
  <r>
    <x v="9"/>
    <x v="1"/>
    <x v="1"/>
    <x v="3"/>
    <m/>
    <n v="697"/>
    <m/>
    <m/>
  </r>
  <r>
    <x v="9"/>
    <x v="0"/>
    <x v="1"/>
    <x v="4"/>
    <m/>
    <m/>
    <m/>
    <n v="114"/>
  </r>
  <r>
    <x v="9"/>
    <x v="0"/>
    <x v="1"/>
    <x v="5"/>
    <m/>
    <m/>
    <m/>
    <n v="8"/>
  </r>
  <r>
    <x v="9"/>
    <x v="0"/>
    <x v="1"/>
    <x v="6"/>
    <m/>
    <m/>
    <m/>
    <n v="21"/>
  </r>
  <r>
    <x v="49"/>
    <x v="0"/>
    <x v="1"/>
    <x v="1"/>
    <m/>
    <n v="1015"/>
    <m/>
    <m/>
  </r>
  <r>
    <x v="49"/>
    <x v="0"/>
    <x v="1"/>
    <x v="2"/>
    <m/>
    <n v="370"/>
    <m/>
    <m/>
  </r>
  <r>
    <x v="49"/>
    <x v="0"/>
    <x v="1"/>
    <x v="3"/>
    <m/>
    <n v="217"/>
    <m/>
    <m/>
  </r>
  <r>
    <x v="49"/>
    <x v="1"/>
    <x v="1"/>
    <x v="1"/>
    <m/>
    <n v="1199"/>
    <m/>
    <m/>
  </r>
  <r>
    <x v="49"/>
    <x v="1"/>
    <x v="1"/>
    <x v="2"/>
    <m/>
    <n v="400"/>
    <m/>
    <m/>
  </r>
  <r>
    <x v="49"/>
    <x v="1"/>
    <x v="1"/>
    <x v="3"/>
    <m/>
    <n v="251"/>
    <m/>
    <m/>
  </r>
  <r>
    <x v="49"/>
    <x v="0"/>
    <x v="1"/>
    <x v="4"/>
    <m/>
    <m/>
    <m/>
    <n v="57"/>
  </r>
  <r>
    <x v="49"/>
    <x v="0"/>
    <x v="1"/>
    <x v="5"/>
    <m/>
    <m/>
    <m/>
    <n v="6"/>
  </r>
  <r>
    <x v="49"/>
    <x v="0"/>
    <x v="1"/>
    <x v="6"/>
    <m/>
    <m/>
    <m/>
    <n v="5"/>
  </r>
  <r>
    <x v="5"/>
    <x v="0"/>
    <x v="1"/>
    <x v="1"/>
    <m/>
    <n v="941"/>
    <m/>
    <m/>
  </r>
  <r>
    <x v="5"/>
    <x v="0"/>
    <x v="1"/>
    <x v="2"/>
    <m/>
    <n v="718"/>
    <m/>
    <m/>
  </r>
  <r>
    <x v="5"/>
    <x v="0"/>
    <x v="1"/>
    <x v="3"/>
    <m/>
    <n v="614"/>
    <m/>
    <m/>
  </r>
  <r>
    <x v="5"/>
    <x v="1"/>
    <x v="1"/>
    <x v="1"/>
    <m/>
    <n v="1054"/>
    <m/>
    <m/>
  </r>
  <r>
    <x v="5"/>
    <x v="1"/>
    <x v="1"/>
    <x v="2"/>
    <m/>
    <n v="780"/>
    <m/>
    <m/>
  </r>
  <r>
    <x v="5"/>
    <x v="1"/>
    <x v="1"/>
    <x v="3"/>
    <m/>
    <n v="656"/>
    <m/>
    <m/>
  </r>
  <r>
    <x v="5"/>
    <x v="0"/>
    <x v="1"/>
    <x v="4"/>
    <m/>
    <m/>
    <m/>
    <n v="81"/>
  </r>
  <r>
    <x v="5"/>
    <x v="0"/>
    <x v="1"/>
    <x v="5"/>
    <m/>
    <m/>
    <m/>
    <n v="10"/>
  </r>
  <r>
    <x v="5"/>
    <x v="0"/>
    <x v="1"/>
    <x v="6"/>
    <m/>
    <m/>
    <m/>
    <n v="17"/>
  </r>
  <r>
    <x v="16"/>
    <x v="0"/>
    <x v="1"/>
    <x v="1"/>
    <m/>
    <n v="750"/>
    <m/>
    <m/>
  </r>
  <r>
    <x v="16"/>
    <x v="0"/>
    <x v="1"/>
    <x v="2"/>
    <m/>
    <n v="578"/>
    <m/>
    <m/>
  </r>
  <r>
    <x v="16"/>
    <x v="0"/>
    <x v="1"/>
    <x v="3"/>
    <m/>
    <n v="459"/>
    <m/>
    <m/>
  </r>
  <r>
    <x v="16"/>
    <x v="1"/>
    <x v="1"/>
    <x v="1"/>
    <m/>
    <n v="890"/>
    <m/>
    <m/>
  </r>
  <r>
    <x v="16"/>
    <x v="1"/>
    <x v="1"/>
    <x v="2"/>
    <m/>
    <n v="673"/>
    <m/>
    <m/>
  </r>
  <r>
    <x v="16"/>
    <x v="1"/>
    <x v="1"/>
    <x v="3"/>
    <m/>
    <n v="506"/>
    <m/>
    <m/>
  </r>
  <r>
    <x v="16"/>
    <x v="0"/>
    <x v="1"/>
    <x v="4"/>
    <m/>
    <m/>
    <m/>
    <n v="132"/>
  </r>
  <r>
    <x v="16"/>
    <x v="0"/>
    <x v="1"/>
    <x v="5"/>
    <m/>
    <m/>
    <m/>
    <n v="12"/>
  </r>
  <r>
    <x v="16"/>
    <x v="0"/>
    <x v="1"/>
    <x v="6"/>
    <m/>
    <m/>
    <m/>
    <n v="8"/>
  </r>
  <r>
    <x v="17"/>
    <x v="0"/>
    <x v="1"/>
    <x v="1"/>
    <m/>
    <n v="1053"/>
    <m/>
    <m/>
  </r>
  <r>
    <x v="17"/>
    <x v="0"/>
    <x v="1"/>
    <x v="2"/>
    <m/>
    <n v="603"/>
    <m/>
    <m/>
  </r>
  <r>
    <x v="17"/>
    <x v="0"/>
    <x v="1"/>
    <x v="3"/>
    <m/>
    <n v="422"/>
    <m/>
    <m/>
  </r>
  <r>
    <x v="17"/>
    <x v="1"/>
    <x v="1"/>
    <x v="1"/>
    <m/>
    <n v="1274"/>
    <m/>
    <m/>
  </r>
  <r>
    <x v="17"/>
    <x v="1"/>
    <x v="1"/>
    <x v="2"/>
    <m/>
    <n v="751"/>
    <m/>
    <m/>
  </r>
  <r>
    <x v="17"/>
    <x v="1"/>
    <x v="1"/>
    <x v="3"/>
    <m/>
    <n v="550"/>
    <m/>
    <m/>
  </r>
  <r>
    <x v="17"/>
    <x v="0"/>
    <x v="1"/>
    <x v="4"/>
    <m/>
    <m/>
    <m/>
    <n v="115"/>
  </r>
  <r>
    <x v="17"/>
    <x v="0"/>
    <x v="1"/>
    <x v="5"/>
    <m/>
    <m/>
    <m/>
    <n v="11"/>
  </r>
  <r>
    <x v="17"/>
    <x v="0"/>
    <x v="1"/>
    <x v="6"/>
    <m/>
    <m/>
    <m/>
    <n v="11"/>
  </r>
  <r>
    <x v="13"/>
    <x v="0"/>
    <x v="1"/>
    <x v="1"/>
    <m/>
    <n v="1208"/>
    <m/>
    <m/>
  </r>
  <r>
    <x v="13"/>
    <x v="0"/>
    <x v="1"/>
    <x v="2"/>
    <m/>
    <n v="609"/>
    <m/>
    <m/>
  </r>
  <r>
    <x v="13"/>
    <x v="0"/>
    <x v="1"/>
    <x v="3"/>
    <m/>
    <n v="428"/>
    <m/>
    <m/>
  </r>
  <r>
    <x v="13"/>
    <x v="1"/>
    <x v="1"/>
    <x v="1"/>
    <m/>
    <n v="1599"/>
    <m/>
    <m/>
  </r>
  <r>
    <x v="13"/>
    <x v="1"/>
    <x v="1"/>
    <x v="2"/>
    <m/>
    <n v="748"/>
    <m/>
    <m/>
  </r>
  <r>
    <x v="13"/>
    <x v="1"/>
    <x v="1"/>
    <x v="3"/>
    <m/>
    <n v="518"/>
    <m/>
    <m/>
  </r>
  <r>
    <x v="13"/>
    <x v="0"/>
    <x v="1"/>
    <x v="4"/>
    <m/>
    <m/>
    <m/>
    <n v="116"/>
  </r>
  <r>
    <x v="13"/>
    <x v="0"/>
    <x v="1"/>
    <x v="5"/>
    <m/>
    <m/>
    <m/>
    <n v="10"/>
  </r>
  <r>
    <x v="13"/>
    <x v="0"/>
    <x v="1"/>
    <x v="6"/>
    <m/>
    <m/>
    <m/>
    <n v="24"/>
  </r>
  <r>
    <x v="40"/>
    <x v="0"/>
    <x v="1"/>
    <x v="1"/>
    <m/>
    <n v="721"/>
    <m/>
    <m/>
  </r>
  <r>
    <x v="40"/>
    <x v="0"/>
    <x v="1"/>
    <x v="2"/>
    <m/>
    <n v="379"/>
    <m/>
    <m/>
  </r>
  <r>
    <x v="40"/>
    <x v="0"/>
    <x v="1"/>
    <x v="3"/>
    <m/>
    <n v="204"/>
    <m/>
    <m/>
  </r>
  <r>
    <x v="40"/>
    <x v="1"/>
    <x v="1"/>
    <x v="1"/>
    <m/>
    <n v="845"/>
    <m/>
    <m/>
  </r>
  <r>
    <x v="40"/>
    <x v="1"/>
    <x v="1"/>
    <x v="2"/>
    <m/>
    <n v="434"/>
    <m/>
    <m/>
  </r>
  <r>
    <x v="40"/>
    <x v="1"/>
    <x v="1"/>
    <x v="3"/>
    <m/>
    <n v="317"/>
    <m/>
    <m/>
  </r>
  <r>
    <x v="40"/>
    <x v="0"/>
    <x v="1"/>
    <x v="4"/>
    <m/>
    <m/>
    <m/>
    <n v="85"/>
  </r>
  <r>
    <x v="40"/>
    <x v="0"/>
    <x v="1"/>
    <x v="5"/>
    <m/>
    <m/>
    <m/>
    <n v="10"/>
  </r>
  <r>
    <x v="40"/>
    <x v="0"/>
    <x v="1"/>
    <x v="6"/>
    <m/>
    <m/>
    <m/>
    <n v="12"/>
  </r>
  <r>
    <x v="26"/>
    <x v="0"/>
    <x v="1"/>
    <x v="1"/>
    <m/>
    <n v="525"/>
    <m/>
    <m/>
  </r>
  <r>
    <x v="26"/>
    <x v="0"/>
    <x v="1"/>
    <x v="2"/>
    <m/>
    <n v="375"/>
    <m/>
    <m/>
  </r>
  <r>
    <x v="26"/>
    <x v="0"/>
    <x v="1"/>
    <x v="3"/>
    <m/>
    <n v="343"/>
    <m/>
    <m/>
  </r>
  <r>
    <x v="26"/>
    <x v="1"/>
    <x v="1"/>
    <x v="1"/>
    <m/>
    <n v="650"/>
    <m/>
    <m/>
  </r>
  <r>
    <x v="26"/>
    <x v="1"/>
    <x v="1"/>
    <x v="2"/>
    <m/>
    <n v="523"/>
    <m/>
    <m/>
  </r>
  <r>
    <x v="26"/>
    <x v="1"/>
    <x v="1"/>
    <x v="3"/>
    <m/>
    <n v="448"/>
    <m/>
    <m/>
  </r>
  <r>
    <x v="26"/>
    <x v="0"/>
    <x v="1"/>
    <x v="4"/>
    <m/>
    <m/>
    <m/>
    <n v="54"/>
  </r>
  <r>
    <x v="26"/>
    <x v="0"/>
    <x v="1"/>
    <x v="5"/>
    <m/>
    <m/>
    <m/>
    <n v="9"/>
  </r>
  <r>
    <x v="26"/>
    <x v="0"/>
    <x v="1"/>
    <x v="6"/>
    <m/>
    <m/>
    <m/>
    <n v="8"/>
  </r>
  <r>
    <x v="11"/>
    <x v="0"/>
    <x v="1"/>
    <x v="1"/>
    <m/>
    <n v="1110"/>
    <m/>
    <m/>
  </r>
  <r>
    <x v="11"/>
    <x v="0"/>
    <x v="1"/>
    <x v="2"/>
    <m/>
    <n v="707"/>
    <m/>
    <m/>
  </r>
  <r>
    <x v="11"/>
    <x v="0"/>
    <x v="1"/>
    <x v="3"/>
    <m/>
    <n v="508"/>
    <m/>
    <m/>
  </r>
  <r>
    <x v="11"/>
    <x v="1"/>
    <x v="1"/>
    <x v="1"/>
    <m/>
    <n v="1353"/>
    <m/>
    <m/>
  </r>
  <r>
    <x v="11"/>
    <x v="1"/>
    <x v="1"/>
    <x v="2"/>
    <m/>
    <n v="879"/>
    <m/>
    <m/>
  </r>
  <r>
    <x v="11"/>
    <x v="1"/>
    <x v="1"/>
    <x v="3"/>
    <m/>
    <n v="745"/>
    <m/>
    <m/>
  </r>
  <r>
    <x v="11"/>
    <x v="0"/>
    <x v="1"/>
    <x v="4"/>
    <m/>
    <m/>
    <m/>
    <n v="132"/>
  </r>
  <r>
    <x v="11"/>
    <x v="0"/>
    <x v="1"/>
    <x v="5"/>
    <m/>
    <m/>
    <m/>
    <n v="17"/>
  </r>
  <r>
    <x v="11"/>
    <x v="0"/>
    <x v="1"/>
    <x v="6"/>
    <m/>
    <m/>
    <m/>
    <n v="6"/>
  </r>
  <r>
    <x v="31"/>
    <x v="0"/>
    <x v="1"/>
    <x v="1"/>
    <m/>
    <n v="700"/>
    <m/>
    <m/>
  </r>
  <r>
    <x v="31"/>
    <x v="0"/>
    <x v="1"/>
    <x v="2"/>
    <m/>
    <n v="354"/>
    <m/>
    <m/>
  </r>
  <r>
    <x v="31"/>
    <x v="0"/>
    <x v="1"/>
    <x v="3"/>
    <m/>
    <n v="300"/>
    <m/>
    <m/>
  </r>
  <r>
    <x v="31"/>
    <x v="1"/>
    <x v="1"/>
    <x v="1"/>
    <m/>
    <n v="782"/>
    <m/>
    <m/>
  </r>
  <r>
    <x v="31"/>
    <x v="1"/>
    <x v="1"/>
    <x v="2"/>
    <m/>
    <n v="475"/>
    <m/>
    <m/>
  </r>
  <r>
    <x v="31"/>
    <x v="1"/>
    <x v="1"/>
    <x v="3"/>
    <m/>
    <n v="362"/>
    <m/>
    <m/>
  </r>
  <r>
    <x v="31"/>
    <x v="0"/>
    <x v="1"/>
    <x v="4"/>
    <m/>
    <m/>
    <m/>
    <n v="45"/>
  </r>
  <r>
    <x v="31"/>
    <x v="0"/>
    <x v="1"/>
    <x v="5"/>
    <m/>
    <m/>
    <m/>
    <n v="9"/>
  </r>
  <r>
    <x v="31"/>
    <x v="0"/>
    <x v="1"/>
    <x v="6"/>
    <m/>
    <m/>
    <m/>
    <n v="9"/>
  </r>
  <r>
    <x v="7"/>
    <x v="0"/>
    <x v="1"/>
    <x v="1"/>
    <m/>
    <n v="1126"/>
    <m/>
    <m/>
  </r>
  <r>
    <x v="7"/>
    <x v="0"/>
    <x v="1"/>
    <x v="2"/>
    <m/>
    <n v="668"/>
    <m/>
    <m/>
  </r>
  <r>
    <x v="7"/>
    <x v="0"/>
    <x v="1"/>
    <x v="3"/>
    <m/>
    <n v="543"/>
    <m/>
    <m/>
  </r>
  <r>
    <x v="7"/>
    <x v="1"/>
    <x v="1"/>
    <x v="1"/>
    <m/>
    <n v="1284"/>
    <m/>
    <m/>
  </r>
  <r>
    <x v="7"/>
    <x v="1"/>
    <x v="1"/>
    <x v="2"/>
    <m/>
    <n v="760"/>
    <m/>
    <m/>
  </r>
  <r>
    <x v="7"/>
    <x v="1"/>
    <x v="1"/>
    <x v="3"/>
    <m/>
    <n v="542"/>
    <m/>
    <m/>
  </r>
  <r>
    <x v="7"/>
    <x v="0"/>
    <x v="1"/>
    <x v="4"/>
    <m/>
    <m/>
    <m/>
    <n v="143"/>
  </r>
  <r>
    <x v="7"/>
    <x v="0"/>
    <x v="1"/>
    <x v="5"/>
    <m/>
    <m/>
    <m/>
    <n v="21"/>
  </r>
  <r>
    <x v="7"/>
    <x v="0"/>
    <x v="1"/>
    <x v="6"/>
    <m/>
    <m/>
    <m/>
    <n v="32"/>
  </r>
  <r>
    <x v="2"/>
    <x v="0"/>
    <x v="1"/>
    <x v="1"/>
    <m/>
    <n v="1492"/>
    <m/>
    <m/>
  </r>
  <r>
    <x v="2"/>
    <x v="0"/>
    <x v="1"/>
    <x v="2"/>
    <m/>
    <n v="948"/>
    <m/>
    <m/>
  </r>
  <r>
    <x v="2"/>
    <x v="0"/>
    <x v="1"/>
    <x v="3"/>
    <m/>
    <n v="697"/>
    <m/>
    <m/>
  </r>
  <r>
    <x v="2"/>
    <x v="1"/>
    <x v="1"/>
    <x v="1"/>
    <m/>
    <n v="1854"/>
    <m/>
    <m/>
  </r>
  <r>
    <x v="2"/>
    <x v="1"/>
    <x v="1"/>
    <x v="2"/>
    <m/>
    <n v="1050"/>
    <m/>
    <m/>
  </r>
  <r>
    <x v="2"/>
    <x v="1"/>
    <x v="1"/>
    <x v="3"/>
    <m/>
    <n v="828"/>
    <m/>
    <m/>
  </r>
  <r>
    <x v="2"/>
    <x v="0"/>
    <x v="1"/>
    <x v="4"/>
    <m/>
    <m/>
    <m/>
    <n v="218"/>
  </r>
  <r>
    <x v="2"/>
    <x v="0"/>
    <x v="1"/>
    <x v="5"/>
    <m/>
    <m/>
    <m/>
    <n v="16"/>
  </r>
  <r>
    <x v="2"/>
    <x v="0"/>
    <x v="1"/>
    <x v="6"/>
    <m/>
    <m/>
    <m/>
    <n v="17"/>
  </r>
  <r>
    <x v="22"/>
    <x v="0"/>
    <x v="1"/>
    <x v="1"/>
    <m/>
    <n v="791"/>
    <m/>
    <m/>
  </r>
  <r>
    <x v="22"/>
    <x v="0"/>
    <x v="1"/>
    <x v="2"/>
    <m/>
    <n v="428"/>
    <m/>
    <m/>
  </r>
  <r>
    <x v="22"/>
    <x v="0"/>
    <x v="1"/>
    <x v="3"/>
    <m/>
    <n v="338"/>
    <m/>
    <m/>
  </r>
  <r>
    <x v="22"/>
    <x v="1"/>
    <x v="1"/>
    <x v="1"/>
    <m/>
    <n v="1061"/>
    <m/>
    <m/>
  </r>
  <r>
    <x v="22"/>
    <x v="1"/>
    <x v="1"/>
    <x v="2"/>
    <m/>
    <n v="533"/>
    <m/>
    <m/>
  </r>
  <r>
    <x v="22"/>
    <x v="1"/>
    <x v="1"/>
    <x v="3"/>
    <m/>
    <n v="454"/>
    <m/>
    <m/>
  </r>
  <r>
    <x v="22"/>
    <x v="0"/>
    <x v="1"/>
    <x v="4"/>
    <m/>
    <m/>
    <m/>
    <n v="77"/>
  </r>
  <r>
    <x v="22"/>
    <x v="0"/>
    <x v="1"/>
    <x v="5"/>
    <m/>
    <m/>
    <m/>
    <n v="4"/>
  </r>
  <r>
    <x v="22"/>
    <x v="0"/>
    <x v="1"/>
    <x v="6"/>
    <m/>
    <m/>
    <m/>
    <n v="7"/>
  </r>
  <r>
    <x v="48"/>
    <x v="0"/>
    <x v="1"/>
    <x v="1"/>
    <m/>
    <n v="1041"/>
    <m/>
    <m/>
  </r>
  <r>
    <x v="48"/>
    <x v="0"/>
    <x v="1"/>
    <x v="2"/>
    <m/>
    <n v="357"/>
    <m/>
    <m/>
  </r>
  <r>
    <x v="48"/>
    <x v="0"/>
    <x v="1"/>
    <x v="3"/>
    <m/>
    <n v="266"/>
    <m/>
    <m/>
  </r>
  <r>
    <x v="48"/>
    <x v="1"/>
    <x v="1"/>
    <x v="1"/>
    <m/>
    <n v="1023"/>
    <m/>
    <m/>
  </r>
  <r>
    <x v="48"/>
    <x v="1"/>
    <x v="1"/>
    <x v="2"/>
    <m/>
    <n v="312"/>
    <m/>
    <m/>
  </r>
  <r>
    <x v="48"/>
    <x v="1"/>
    <x v="1"/>
    <x v="3"/>
    <m/>
    <n v="211"/>
    <m/>
    <m/>
  </r>
  <r>
    <x v="48"/>
    <x v="0"/>
    <x v="1"/>
    <x v="4"/>
    <m/>
    <m/>
    <m/>
    <n v="41"/>
  </r>
  <r>
    <x v="48"/>
    <x v="0"/>
    <x v="1"/>
    <x v="5"/>
    <m/>
    <m/>
    <m/>
    <n v="8"/>
  </r>
  <r>
    <x v="48"/>
    <x v="0"/>
    <x v="1"/>
    <x v="6"/>
    <m/>
    <m/>
    <m/>
    <n v="12"/>
  </r>
  <r>
    <x v="50"/>
    <x v="0"/>
    <x v="1"/>
    <x v="1"/>
    <m/>
    <n v="354"/>
    <m/>
    <m/>
  </r>
  <r>
    <x v="50"/>
    <x v="0"/>
    <x v="1"/>
    <x v="2"/>
    <m/>
    <n v="228"/>
    <m/>
    <m/>
  </r>
  <r>
    <x v="50"/>
    <x v="0"/>
    <x v="1"/>
    <x v="3"/>
    <m/>
    <n v="212"/>
    <m/>
    <m/>
  </r>
  <r>
    <x v="50"/>
    <x v="1"/>
    <x v="1"/>
    <x v="1"/>
    <m/>
    <n v="442"/>
    <m/>
    <m/>
  </r>
  <r>
    <x v="50"/>
    <x v="1"/>
    <x v="1"/>
    <x v="2"/>
    <m/>
    <n v="251"/>
    <m/>
    <m/>
  </r>
  <r>
    <x v="50"/>
    <x v="1"/>
    <x v="1"/>
    <x v="3"/>
    <m/>
    <n v="200"/>
    <m/>
    <m/>
  </r>
  <r>
    <x v="50"/>
    <x v="0"/>
    <x v="1"/>
    <x v="4"/>
    <m/>
    <m/>
    <m/>
    <n v="63"/>
  </r>
  <r>
    <x v="50"/>
    <x v="0"/>
    <x v="1"/>
    <x v="5"/>
    <m/>
    <m/>
    <m/>
    <n v="11"/>
  </r>
  <r>
    <x v="50"/>
    <x v="0"/>
    <x v="1"/>
    <x v="6"/>
    <m/>
    <m/>
    <m/>
    <n v="3"/>
  </r>
  <r>
    <x v="8"/>
    <x v="0"/>
    <x v="1"/>
    <x v="1"/>
    <m/>
    <n v="1175"/>
    <m/>
    <m/>
  </r>
  <r>
    <x v="8"/>
    <x v="0"/>
    <x v="1"/>
    <x v="2"/>
    <m/>
    <n v="821"/>
    <m/>
    <m/>
  </r>
  <r>
    <x v="8"/>
    <x v="0"/>
    <x v="1"/>
    <x v="3"/>
    <m/>
    <n v="641"/>
    <m/>
    <m/>
  </r>
  <r>
    <x v="8"/>
    <x v="1"/>
    <x v="1"/>
    <x v="1"/>
    <m/>
    <n v="1474"/>
    <m/>
    <m/>
  </r>
  <r>
    <x v="8"/>
    <x v="1"/>
    <x v="1"/>
    <x v="2"/>
    <m/>
    <n v="842"/>
    <m/>
    <m/>
  </r>
  <r>
    <x v="8"/>
    <x v="1"/>
    <x v="1"/>
    <x v="3"/>
    <m/>
    <n v="676"/>
    <m/>
    <m/>
  </r>
  <r>
    <x v="8"/>
    <x v="0"/>
    <x v="1"/>
    <x v="4"/>
    <m/>
    <m/>
    <m/>
    <n v="103"/>
  </r>
  <r>
    <x v="8"/>
    <x v="0"/>
    <x v="1"/>
    <x v="5"/>
    <m/>
    <m/>
    <m/>
    <n v="13"/>
  </r>
  <r>
    <x v="8"/>
    <x v="0"/>
    <x v="1"/>
    <x v="6"/>
    <m/>
    <m/>
    <m/>
    <n v="8"/>
  </r>
  <r>
    <x v="42"/>
    <x v="0"/>
    <x v="1"/>
    <x v="1"/>
    <m/>
    <n v="318"/>
    <m/>
    <m/>
  </r>
  <r>
    <x v="42"/>
    <x v="0"/>
    <x v="1"/>
    <x v="2"/>
    <m/>
    <n v="271"/>
    <m/>
    <m/>
  </r>
  <r>
    <x v="42"/>
    <x v="0"/>
    <x v="1"/>
    <x v="3"/>
    <m/>
    <n v="236"/>
    <m/>
    <m/>
  </r>
  <r>
    <x v="42"/>
    <x v="1"/>
    <x v="1"/>
    <x v="1"/>
    <m/>
    <n v="430"/>
    <m/>
    <m/>
  </r>
  <r>
    <x v="42"/>
    <x v="1"/>
    <x v="1"/>
    <x v="2"/>
    <m/>
    <n v="320"/>
    <m/>
    <m/>
  </r>
  <r>
    <x v="42"/>
    <x v="1"/>
    <x v="1"/>
    <x v="3"/>
    <m/>
    <n v="248"/>
    <m/>
    <m/>
  </r>
  <r>
    <x v="42"/>
    <x v="0"/>
    <x v="1"/>
    <x v="4"/>
    <m/>
    <m/>
    <m/>
    <n v="44"/>
  </r>
  <r>
    <x v="42"/>
    <x v="0"/>
    <x v="1"/>
    <x v="5"/>
    <m/>
    <m/>
    <m/>
    <n v="6"/>
  </r>
  <r>
    <x v="42"/>
    <x v="0"/>
    <x v="1"/>
    <x v="6"/>
    <m/>
    <m/>
    <m/>
    <n v="5"/>
  </r>
  <r>
    <x v="46"/>
    <x v="0"/>
    <x v="1"/>
    <x v="1"/>
    <m/>
    <n v="375"/>
    <m/>
    <m/>
  </r>
  <r>
    <x v="46"/>
    <x v="0"/>
    <x v="1"/>
    <x v="2"/>
    <m/>
    <n v="283"/>
    <m/>
    <m/>
  </r>
  <r>
    <x v="46"/>
    <x v="0"/>
    <x v="1"/>
    <x v="3"/>
    <m/>
    <n v="229"/>
    <m/>
    <m/>
  </r>
  <r>
    <x v="46"/>
    <x v="1"/>
    <x v="1"/>
    <x v="1"/>
    <m/>
    <n v="404"/>
    <m/>
    <m/>
  </r>
  <r>
    <x v="46"/>
    <x v="1"/>
    <x v="1"/>
    <x v="2"/>
    <m/>
    <n v="455"/>
    <m/>
    <m/>
  </r>
  <r>
    <x v="46"/>
    <x v="1"/>
    <x v="1"/>
    <x v="3"/>
    <m/>
    <n v="325"/>
    <m/>
    <m/>
  </r>
  <r>
    <x v="46"/>
    <x v="0"/>
    <x v="1"/>
    <x v="4"/>
    <m/>
    <m/>
    <m/>
    <n v="47"/>
  </r>
  <r>
    <x v="46"/>
    <x v="0"/>
    <x v="1"/>
    <x v="5"/>
    <m/>
    <m/>
    <m/>
    <n v="3"/>
  </r>
  <r>
    <x v="46"/>
    <x v="0"/>
    <x v="1"/>
    <x v="6"/>
    <m/>
    <m/>
    <m/>
    <n v="2"/>
  </r>
  <r>
    <x v="38"/>
    <x v="0"/>
    <x v="1"/>
    <x v="1"/>
    <m/>
    <n v="305"/>
    <m/>
    <m/>
  </r>
  <r>
    <x v="38"/>
    <x v="0"/>
    <x v="1"/>
    <x v="2"/>
    <m/>
    <n v="297"/>
    <m/>
    <m/>
  </r>
  <r>
    <x v="38"/>
    <x v="0"/>
    <x v="1"/>
    <x v="3"/>
    <m/>
    <n v="216"/>
    <m/>
    <m/>
  </r>
  <r>
    <x v="38"/>
    <x v="1"/>
    <x v="1"/>
    <x v="1"/>
    <m/>
    <n v="440"/>
    <m/>
    <m/>
  </r>
  <r>
    <x v="38"/>
    <x v="1"/>
    <x v="1"/>
    <x v="2"/>
    <m/>
    <n v="334"/>
    <m/>
    <m/>
  </r>
  <r>
    <x v="38"/>
    <x v="1"/>
    <x v="1"/>
    <x v="3"/>
    <m/>
    <n v="269"/>
    <m/>
    <m/>
  </r>
  <r>
    <x v="38"/>
    <x v="0"/>
    <x v="1"/>
    <x v="4"/>
    <m/>
    <m/>
    <m/>
    <n v="55"/>
  </r>
  <r>
    <x v="38"/>
    <x v="0"/>
    <x v="1"/>
    <x v="5"/>
    <m/>
    <m/>
    <m/>
    <n v="5"/>
  </r>
  <r>
    <x v="38"/>
    <x v="0"/>
    <x v="1"/>
    <x v="6"/>
    <m/>
    <m/>
    <m/>
    <n v="3"/>
  </r>
  <r>
    <x v="3"/>
    <x v="0"/>
    <x v="1"/>
    <x v="1"/>
    <m/>
    <n v="1417"/>
    <m/>
    <m/>
  </r>
  <r>
    <x v="3"/>
    <x v="0"/>
    <x v="1"/>
    <x v="2"/>
    <m/>
    <n v="763"/>
    <m/>
    <m/>
  </r>
  <r>
    <x v="3"/>
    <x v="0"/>
    <x v="1"/>
    <x v="3"/>
    <m/>
    <n v="626"/>
    <m/>
    <m/>
  </r>
  <r>
    <x v="3"/>
    <x v="1"/>
    <x v="1"/>
    <x v="1"/>
    <m/>
    <n v="1443"/>
    <m/>
    <m/>
  </r>
  <r>
    <x v="3"/>
    <x v="1"/>
    <x v="1"/>
    <x v="2"/>
    <m/>
    <n v="819"/>
    <m/>
    <m/>
  </r>
  <r>
    <x v="3"/>
    <x v="1"/>
    <x v="1"/>
    <x v="3"/>
    <m/>
    <n v="705"/>
    <m/>
    <m/>
  </r>
  <r>
    <x v="3"/>
    <x v="0"/>
    <x v="1"/>
    <x v="4"/>
    <m/>
    <m/>
    <m/>
    <n v="87"/>
  </r>
  <r>
    <x v="3"/>
    <x v="0"/>
    <x v="1"/>
    <x v="5"/>
    <m/>
    <m/>
    <m/>
    <n v="7"/>
  </r>
  <r>
    <x v="3"/>
    <x v="0"/>
    <x v="1"/>
    <x v="6"/>
    <m/>
    <m/>
    <m/>
    <m/>
  </r>
  <r>
    <x v="12"/>
    <x v="0"/>
    <x v="1"/>
    <x v="1"/>
    <m/>
    <n v="980"/>
    <m/>
    <m/>
  </r>
  <r>
    <x v="12"/>
    <x v="0"/>
    <x v="1"/>
    <x v="2"/>
    <m/>
    <n v="619"/>
    <m/>
    <m/>
  </r>
  <r>
    <x v="12"/>
    <x v="0"/>
    <x v="1"/>
    <x v="3"/>
    <m/>
    <n v="484"/>
    <m/>
    <m/>
  </r>
  <r>
    <x v="12"/>
    <x v="1"/>
    <x v="1"/>
    <x v="1"/>
    <m/>
    <n v="1229"/>
    <m/>
    <m/>
  </r>
  <r>
    <x v="12"/>
    <x v="1"/>
    <x v="1"/>
    <x v="2"/>
    <m/>
    <n v="691"/>
    <m/>
    <m/>
  </r>
  <r>
    <x v="12"/>
    <x v="1"/>
    <x v="1"/>
    <x v="3"/>
    <m/>
    <n v="565"/>
    <m/>
    <m/>
  </r>
  <r>
    <x v="12"/>
    <x v="0"/>
    <x v="1"/>
    <x v="4"/>
    <m/>
    <m/>
    <m/>
    <n v="123"/>
  </r>
  <r>
    <x v="12"/>
    <x v="0"/>
    <x v="1"/>
    <x v="5"/>
    <m/>
    <m/>
    <m/>
    <n v="8"/>
  </r>
  <r>
    <x v="12"/>
    <x v="0"/>
    <x v="1"/>
    <x v="6"/>
    <m/>
    <m/>
    <m/>
    <n v="11"/>
  </r>
  <r>
    <x v="34"/>
    <x v="0"/>
    <x v="1"/>
    <x v="1"/>
    <m/>
    <n v="776"/>
    <m/>
    <m/>
  </r>
  <r>
    <x v="34"/>
    <x v="0"/>
    <x v="1"/>
    <x v="2"/>
    <m/>
    <n v="432"/>
    <m/>
    <m/>
  </r>
  <r>
    <x v="34"/>
    <x v="0"/>
    <x v="1"/>
    <x v="3"/>
    <m/>
    <n v="307"/>
    <m/>
    <m/>
  </r>
  <r>
    <x v="34"/>
    <x v="1"/>
    <x v="1"/>
    <x v="1"/>
    <m/>
    <n v="1060"/>
    <m/>
    <m/>
  </r>
  <r>
    <x v="34"/>
    <x v="1"/>
    <x v="1"/>
    <x v="2"/>
    <m/>
    <n v="545"/>
    <m/>
    <m/>
  </r>
  <r>
    <x v="34"/>
    <x v="1"/>
    <x v="1"/>
    <x v="3"/>
    <m/>
    <n v="398"/>
    <m/>
    <m/>
  </r>
  <r>
    <x v="34"/>
    <x v="0"/>
    <x v="1"/>
    <x v="4"/>
    <m/>
    <m/>
    <m/>
    <n v="77"/>
  </r>
  <r>
    <x v="34"/>
    <x v="0"/>
    <x v="1"/>
    <x v="5"/>
    <m/>
    <m/>
    <m/>
    <n v="1"/>
  </r>
  <r>
    <x v="34"/>
    <x v="0"/>
    <x v="1"/>
    <x v="6"/>
    <m/>
    <m/>
    <m/>
    <n v="3"/>
  </r>
  <r>
    <x v="0"/>
    <x v="0"/>
    <x v="1"/>
    <x v="1"/>
    <m/>
    <n v="2079"/>
    <m/>
    <m/>
  </r>
  <r>
    <x v="0"/>
    <x v="0"/>
    <x v="1"/>
    <x v="2"/>
    <m/>
    <n v="1224"/>
    <m/>
    <m/>
  </r>
  <r>
    <x v="0"/>
    <x v="0"/>
    <x v="1"/>
    <x v="3"/>
    <m/>
    <n v="959"/>
    <m/>
    <m/>
  </r>
  <r>
    <x v="0"/>
    <x v="1"/>
    <x v="1"/>
    <x v="1"/>
    <m/>
    <n v="2420"/>
    <m/>
    <m/>
  </r>
  <r>
    <x v="0"/>
    <x v="1"/>
    <x v="1"/>
    <x v="2"/>
    <m/>
    <n v="1318"/>
    <m/>
    <m/>
  </r>
  <r>
    <x v="0"/>
    <x v="1"/>
    <x v="1"/>
    <x v="3"/>
    <m/>
    <n v="1071"/>
    <m/>
    <m/>
  </r>
  <r>
    <x v="0"/>
    <x v="0"/>
    <x v="1"/>
    <x v="4"/>
    <m/>
    <m/>
    <m/>
    <n v="218"/>
  </r>
  <r>
    <x v="0"/>
    <x v="0"/>
    <x v="1"/>
    <x v="5"/>
    <m/>
    <m/>
    <m/>
    <n v="35"/>
  </r>
  <r>
    <x v="0"/>
    <x v="0"/>
    <x v="1"/>
    <x v="6"/>
    <m/>
    <m/>
    <m/>
    <n v="20"/>
  </r>
  <r>
    <x v="39"/>
    <x v="0"/>
    <x v="1"/>
    <x v="1"/>
    <m/>
    <n v="298"/>
    <m/>
    <m/>
  </r>
  <r>
    <x v="39"/>
    <x v="0"/>
    <x v="1"/>
    <x v="2"/>
    <m/>
    <n v="235"/>
    <m/>
    <m/>
  </r>
  <r>
    <x v="39"/>
    <x v="0"/>
    <x v="1"/>
    <x v="3"/>
    <m/>
    <n v="208"/>
    <m/>
    <m/>
  </r>
  <r>
    <x v="39"/>
    <x v="1"/>
    <x v="1"/>
    <x v="1"/>
    <m/>
    <n v="358"/>
    <m/>
    <m/>
  </r>
  <r>
    <x v="39"/>
    <x v="1"/>
    <x v="1"/>
    <x v="2"/>
    <m/>
    <n v="352"/>
    <m/>
    <m/>
  </r>
  <r>
    <x v="39"/>
    <x v="1"/>
    <x v="1"/>
    <x v="3"/>
    <m/>
    <n v="330"/>
    <m/>
    <m/>
  </r>
  <r>
    <x v="39"/>
    <x v="0"/>
    <x v="1"/>
    <x v="4"/>
    <m/>
    <m/>
    <m/>
    <n v="59"/>
  </r>
  <r>
    <x v="39"/>
    <x v="0"/>
    <x v="1"/>
    <x v="5"/>
    <m/>
    <m/>
    <m/>
    <n v="8"/>
  </r>
  <r>
    <x v="39"/>
    <x v="0"/>
    <x v="1"/>
    <x v="6"/>
    <m/>
    <m/>
    <m/>
    <n v="4"/>
  </r>
  <r>
    <x v="51"/>
    <x v="0"/>
    <x v="1"/>
    <x v="1"/>
    <m/>
    <n v="384"/>
    <m/>
    <m/>
  </r>
  <r>
    <x v="51"/>
    <x v="0"/>
    <x v="1"/>
    <x v="2"/>
    <m/>
    <n v="222"/>
    <m/>
    <m/>
  </r>
  <r>
    <x v="51"/>
    <x v="0"/>
    <x v="1"/>
    <x v="3"/>
    <m/>
    <n v="166"/>
    <m/>
    <m/>
  </r>
  <r>
    <x v="51"/>
    <x v="1"/>
    <x v="1"/>
    <x v="1"/>
    <m/>
    <n v="433"/>
    <m/>
    <m/>
  </r>
  <r>
    <x v="51"/>
    <x v="1"/>
    <x v="1"/>
    <x v="2"/>
    <m/>
    <n v="255"/>
    <m/>
    <m/>
  </r>
  <r>
    <x v="51"/>
    <x v="1"/>
    <x v="1"/>
    <x v="3"/>
    <m/>
    <n v="196"/>
    <m/>
    <m/>
  </r>
  <r>
    <x v="51"/>
    <x v="0"/>
    <x v="1"/>
    <x v="4"/>
    <m/>
    <m/>
    <m/>
    <n v="40"/>
  </r>
  <r>
    <x v="51"/>
    <x v="0"/>
    <x v="1"/>
    <x v="5"/>
    <m/>
    <m/>
    <m/>
    <n v="1"/>
  </r>
  <r>
    <x v="51"/>
    <x v="0"/>
    <x v="1"/>
    <x v="6"/>
    <m/>
    <m/>
    <m/>
    <n v="3"/>
  </r>
  <r>
    <x v="43"/>
    <x v="0"/>
    <x v="1"/>
    <x v="1"/>
    <m/>
    <n v="524"/>
    <m/>
    <m/>
  </r>
  <r>
    <x v="43"/>
    <x v="0"/>
    <x v="1"/>
    <x v="2"/>
    <m/>
    <n v="354"/>
    <m/>
    <m/>
  </r>
  <r>
    <x v="43"/>
    <x v="0"/>
    <x v="1"/>
    <x v="3"/>
    <m/>
    <n v="314"/>
    <m/>
    <m/>
  </r>
  <r>
    <x v="43"/>
    <x v="1"/>
    <x v="1"/>
    <x v="1"/>
    <m/>
    <n v="632"/>
    <m/>
    <m/>
  </r>
  <r>
    <x v="43"/>
    <x v="1"/>
    <x v="1"/>
    <x v="2"/>
    <m/>
    <n v="441"/>
    <m/>
    <m/>
  </r>
  <r>
    <x v="43"/>
    <x v="1"/>
    <x v="1"/>
    <x v="3"/>
    <m/>
    <n v="381"/>
    <m/>
    <m/>
  </r>
  <r>
    <x v="43"/>
    <x v="0"/>
    <x v="1"/>
    <x v="4"/>
    <m/>
    <m/>
    <m/>
    <n v="56"/>
  </r>
  <r>
    <x v="43"/>
    <x v="0"/>
    <x v="1"/>
    <x v="5"/>
    <m/>
    <m/>
    <m/>
    <n v="3"/>
  </r>
  <r>
    <x v="43"/>
    <x v="0"/>
    <x v="1"/>
    <x v="6"/>
    <m/>
    <m/>
    <m/>
    <n v="2"/>
  </r>
  <r>
    <x v="1"/>
    <x v="0"/>
    <x v="1"/>
    <x v="1"/>
    <m/>
    <n v="1311"/>
    <m/>
    <m/>
  </r>
  <r>
    <x v="1"/>
    <x v="0"/>
    <x v="1"/>
    <x v="2"/>
    <m/>
    <n v="803"/>
    <m/>
    <m/>
  </r>
  <r>
    <x v="1"/>
    <x v="0"/>
    <x v="1"/>
    <x v="3"/>
    <m/>
    <n v="743"/>
    <m/>
    <m/>
  </r>
  <r>
    <x v="1"/>
    <x v="1"/>
    <x v="1"/>
    <x v="1"/>
    <m/>
    <n v="1498"/>
    <m/>
    <m/>
  </r>
  <r>
    <x v="1"/>
    <x v="1"/>
    <x v="1"/>
    <x v="2"/>
    <m/>
    <n v="873"/>
    <m/>
    <m/>
  </r>
  <r>
    <x v="1"/>
    <x v="1"/>
    <x v="1"/>
    <x v="3"/>
    <m/>
    <n v="787"/>
    <m/>
    <m/>
  </r>
  <r>
    <x v="1"/>
    <x v="0"/>
    <x v="1"/>
    <x v="4"/>
    <m/>
    <m/>
    <m/>
    <n v="205"/>
  </r>
  <r>
    <x v="1"/>
    <x v="0"/>
    <x v="1"/>
    <x v="5"/>
    <m/>
    <m/>
    <m/>
    <n v="18"/>
  </r>
  <r>
    <x v="1"/>
    <x v="0"/>
    <x v="1"/>
    <x v="6"/>
    <m/>
    <m/>
    <m/>
    <n v="9"/>
  </r>
  <r>
    <x v="18"/>
    <x v="0"/>
    <x v="1"/>
    <x v="1"/>
    <m/>
    <n v="751"/>
    <m/>
    <m/>
  </r>
  <r>
    <x v="18"/>
    <x v="0"/>
    <x v="1"/>
    <x v="2"/>
    <m/>
    <n v="488"/>
    <m/>
    <m/>
  </r>
  <r>
    <x v="18"/>
    <x v="0"/>
    <x v="1"/>
    <x v="3"/>
    <m/>
    <n v="434"/>
    <m/>
    <m/>
  </r>
  <r>
    <x v="18"/>
    <x v="1"/>
    <x v="1"/>
    <x v="1"/>
    <m/>
    <n v="813"/>
    <m/>
    <m/>
  </r>
  <r>
    <x v="18"/>
    <x v="1"/>
    <x v="1"/>
    <x v="2"/>
    <m/>
    <n v="549"/>
    <m/>
    <m/>
  </r>
  <r>
    <x v="18"/>
    <x v="1"/>
    <x v="1"/>
    <x v="3"/>
    <m/>
    <n v="486"/>
    <m/>
    <m/>
  </r>
  <r>
    <x v="18"/>
    <x v="0"/>
    <x v="1"/>
    <x v="4"/>
    <m/>
    <m/>
    <m/>
    <n v="90"/>
  </r>
  <r>
    <x v="18"/>
    <x v="0"/>
    <x v="1"/>
    <x v="5"/>
    <m/>
    <m/>
    <m/>
    <n v="13"/>
  </r>
  <r>
    <x v="18"/>
    <x v="0"/>
    <x v="1"/>
    <x v="6"/>
    <m/>
    <m/>
    <m/>
    <n v="6"/>
  </r>
  <r>
    <x v="52"/>
    <x v="0"/>
    <x v="1"/>
    <x v="1"/>
    <m/>
    <n v="159"/>
    <m/>
    <m/>
  </r>
  <r>
    <x v="52"/>
    <x v="0"/>
    <x v="1"/>
    <x v="2"/>
    <m/>
    <n v="95"/>
    <m/>
    <m/>
  </r>
  <r>
    <x v="52"/>
    <x v="0"/>
    <x v="1"/>
    <x v="3"/>
    <m/>
    <n v="86"/>
    <m/>
    <m/>
  </r>
  <r>
    <x v="52"/>
    <x v="1"/>
    <x v="1"/>
    <x v="1"/>
    <m/>
    <n v="216"/>
    <m/>
    <m/>
  </r>
  <r>
    <x v="52"/>
    <x v="1"/>
    <x v="1"/>
    <x v="2"/>
    <m/>
    <n v="103"/>
    <m/>
    <m/>
  </r>
  <r>
    <x v="52"/>
    <x v="1"/>
    <x v="1"/>
    <x v="3"/>
    <m/>
    <n v="82"/>
    <m/>
    <m/>
  </r>
  <r>
    <x v="52"/>
    <x v="0"/>
    <x v="1"/>
    <x v="4"/>
    <m/>
    <m/>
    <m/>
    <n v="21"/>
  </r>
  <r>
    <x v="52"/>
    <x v="0"/>
    <x v="1"/>
    <x v="5"/>
    <m/>
    <m/>
    <m/>
    <n v="0"/>
  </r>
  <r>
    <x v="52"/>
    <x v="0"/>
    <x v="1"/>
    <x v="6"/>
    <m/>
    <m/>
    <m/>
    <n v="1"/>
  </r>
  <r>
    <x v="4"/>
    <x v="0"/>
    <x v="1"/>
    <x v="1"/>
    <m/>
    <n v="1449"/>
    <m/>
    <m/>
  </r>
  <r>
    <x v="4"/>
    <x v="0"/>
    <x v="1"/>
    <x v="2"/>
    <m/>
    <n v="758"/>
    <m/>
    <m/>
  </r>
  <r>
    <x v="4"/>
    <x v="0"/>
    <x v="1"/>
    <x v="3"/>
    <m/>
    <n v="630"/>
    <m/>
    <m/>
  </r>
  <r>
    <x v="4"/>
    <x v="1"/>
    <x v="1"/>
    <x v="1"/>
    <m/>
    <n v="1748"/>
    <m/>
    <m/>
  </r>
  <r>
    <x v="4"/>
    <x v="1"/>
    <x v="1"/>
    <x v="2"/>
    <m/>
    <n v="973"/>
    <m/>
    <m/>
  </r>
  <r>
    <x v="4"/>
    <x v="1"/>
    <x v="1"/>
    <x v="3"/>
    <m/>
    <n v="821"/>
    <m/>
    <m/>
  </r>
  <r>
    <x v="4"/>
    <x v="0"/>
    <x v="1"/>
    <x v="4"/>
    <m/>
    <m/>
    <m/>
    <n v="184"/>
  </r>
  <r>
    <x v="4"/>
    <x v="0"/>
    <x v="1"/>
    <x v="5"/>
    <m/>
    <m/>
    <m/>
    <n v="21"/>
  </r>
  <r>
    <x v="4"/>
    <x v="0"/>
    <x v="1"/>
    <x v="6"/>
    <m/>
    <m/>
    <m/>
    <n v="25"/>
  </r>
  <r>
    <x v="41"/>
    <x v="0"/>
    <x v="1"/>
    <x v="1"/>
    <m/>
    <n v="890"/>
    <m/>
    <m/>
  </r>
  <r>
    <x v="41"/>
    <x v="0"/>
    <x v="1"/>
    <x v="2"/>
    <m/>
    <n v="425"/>
    <m/>
    <m/>
  </r>
  <r>
    <x v="41"/>
    <x v="0"/>
    <x v="1"/>
    <x v="3"/>
    <m/>
    <n v="299"/>
    <m/>
    <m/>
  </r>
  <r>
    <x v="41"/>
    <x v="1"/>
    <x v="1"/>
    <x v="1"/>
    <m/>
    <n v="1061"/>
    <m/>
    <m/>
  </r>
  <r>
    <x v="41"/>
    <x v="1"/>
    <x v="1"/>
    <x v="2"/>
    <m/>
    <n v="500"/>
    <m/>
    <m/>
  </r>
  <r>
    <x v="41"/>
    <x v="1"/>
    <x v="1"/>
    <x v="3"/>
    <m/>
    <n v="417"/>
    <m/>
    <m/>
  </r>
  <r>
    <x v="41"/>
    <x v="0"/>
    <x v="1"/>
    <x v="4"/>
    <m/>
    <m/>
    <m/>
    <n v="96"/>
  </r>
  <r>
    <x v="41"/>
    <x v="0"/>
    <x v="1"/>
    <x v="5"/>
    <m/>
    <m/>
    <m/>
    <n v="6"/>
  </r>
  <r>
    <x v="41"/>
    <x v="0"/>
    <x v="1"/>
    <x v="6"/>
    <m/>
    <m/>
    <m/>
    <n v="4"/>
  </r>
  <r>
    <x v="15"/>
    <x v="0"/>
    <x v="1"/>
    <x v="1"/>
    <m/>
    <n v="1093"/>
    <m/>
    <m/>
  </r>
  <r>
    <x v="15"/>
    <x v="0"/>
    <x v="1"/>
    <x v="2"/>
    <m/>
    <n v="646"/>
    <m/>
    <m/>
  </r>
  <r>
    <x v="15"/>
    <x v="0"/>
    <x v="1"/>
    <x v="3"/>
    <m/>
    <n v="550"/>
    <m/>
    <m/>
  </r>
  <r>
    <x v="15"/>
    <x v="1"/>
    <x v="1"/>
    <x v="1"/>
    <m/>
    <n v="1185"/>
    <m/>
    <m/>
  </r>
  <r>
    <x v="15"/>
    <x v="1"/>
    <x v="1"/>
    <x v="2"/>
    <m/>
    <n v="742"/>
    <m/>
    <m/>
  </r>
  <r>
    <x v="15"/>
    <x v="1"/>
    <x v="1"/>
    <x v="3"/>
    <m/>
    <n v="576"/>
    <m/>
    <m/>
  </r>
  <r>
    <x v="15"/>
    <x v="0"/>
    <x v="1"/>
    <x v="4"/>
    <m/>
    <m/>
    <m/>
    <n v="152"/>
  </r>
  <r>
    <x v="15"/>
    <x v="0"/>
    <x v="1"/>
    <x v="5"/>
    <m/>
    <m/>
    <m/>
    <n v="17"/>
  </r>
  <r>
    <x v="15"/>
    <x v="0"/>
    <x v="1"/>
    <x v="6"/>
    <m/>
    <m/>
    <m/>
    <n v="10"/>
  </r>
  <r>
    <x v="45"/>
    <x v="0"/>
    <x v="1"/>
    <x v="1"/>
    <m/>
    <n v="775"/>
    <m/>
    <m/>
  </r>
  <r>
    <x v="45"/>
    <x v="0"/>
    <x v="1"/>
    <x v="2"/>
    <m/>
    <n v="404"/>
    <m/>
    <m/>
  </r>
  <r>
    <x v="45"/>
    <x v="0"/>
    <x v="1"/>
    <x v="3"/>
    <m/>
    <n v="311"/>
    <m/>
    <m/>
  </r>
  <r>
    <x v="45"/>
    <x v="1"/>
    <x v="1"/>
    <x v="1"/>
    <m/>
    <n v="896"/>
    <m/>
    <m/>
  </r>
  <r>
    <x v="45"/>
    <x v="1"/>
    <x v="1"/>
    <x v="2"/>
    <m/>
    <n v="449"/>
    <m/>
    <m/>
  </r>
  <r>
    <x v="45"/>
    <x v="1"/>
    <x v="1"/>
    <x v="3"/>
    <m/>
    <n v="349"/>
    <m/>
    <m/>
  </r>
  <r>
    <x v="45"/>
    <x v="0"/>
    <x v="1"/>
    <x v="4"/>
    <m/>
    <m/>
    <m/>
    <n v="71"/>
  </r>
  <r>
    <x v="45"/>
    <x v="0"/>
    <x v="1"/>
    <x v="5"/>
    <m/>
    <m/>
    <m/>
    <n v="11"/>
  </r>
  <r>
    <x v="45"/>
    <x v="0"/>
    <x v="1"/>
    <x v="6"/>
    <m/>
    <m/>
    <m/>
    <n v="4"/>
  </r>
  <r>
    <x v="29"/>
    <x v="0"/>
    <x v="1"/>
    <x v="1"/>
    <m/>
    <n v="732"/>
    <m/>
    <m/>
  </r>
  <r>
    <x v="29"/>
    <x v="0"/>
    <x v="1"/>
    <x v="2"/>
    <m/>
    <n v="467"/>
    <m/>
    <m/>
  </r>
  <r>
    <x v="29"/>
    <x v="0"/>
    <x v="1"/>
    <x v="3"/>
    <m/>
    <n v="372"/>
    <m/>
    <m/>
  </r>
  <r>
    <x v="29"/>
    <x v="1"/>
    <x v="1"/>
    <x v="1"/>
    <m/>
    <n v="825"/>
    <m/>
    <m/>
  </r>
  <r>
    <x v="29"/>
    <x v="1"/>
    <x v="1"/>
    <x v="2"/>
    <m/>
    <n v="496"/>
    <m/>
    <m/>
  </r>
  <r>
    <x v="29"/>
    <x v="1"/>
    <x v="1"/>
    <x v="3"/>
    <m/>
    <n v="435"/>
    <m/>
    <m/>
  </r>
  <r>
    <x v="29"/>
    <x v="0"/>
    <x v="1"/>
    <x v="4"/>
    <m/>
    <m/>
    <m/>
    <n v="130"/>
  </r>
  <r>
    <x v="29"/>
    <x v="0"/>
    <x v="1"/>
    <x v="5"/>
    <m/>
    <m/>
    <m/>
    <n v="12"/>
  </r>
  <r>
    <x v="29"/>
    <x v="0"/>
    <x v="1"/>
    <x v="6"/>
    <m/>
    <m/>
    <m/>
    <n v="9"/>
  </r>
  <r>
    <x v="28"/>
    <x v="0"/>
    <x v="1"/>
    <x v="1"/>
    <m/>
    <n v="843"/>
    <m/>
    <m/>
  </r>
  <r>
    <x v="28"/>
    <x v="0"/>
    <x v="1"/>
    <x v="2"/>
    <m/>
    <n v="452"/>
    <m/>
    <m/>
  </r>
  <r>
    <x v="28"/>
    <x v="0"/>
    <x v="1"/>
    <x v="3"/>
    <m/>
    <n v="360"/>
    <m/>
    <m/>
  </r>
  <r>
    <x v="28"/>
    <x v="1"/>
    <x v="1"/>
    <x v="1"/>
    <m/>
    <n v="1068"/>
    <m/>
    <m/>
  </r>
  <r>
    <x v="28"/>
    <x v="1"/>
    <x v="1"/>
    <x v="2"/>
    <m/>
    <n v="602"/>
    <m/>
    <m/>
  </r>
  <r>
    <x v="28"/>
    <x v="1"/>
    <x v="1"/>
    <x v="3"/>
    <m/>
    <n v="432"/>
    <m/>
    <m/>
  </r>
  <r>
    <x v="28"/>
    <x v="0"/>
    <x v="1"/>
    <x v="4"/>
    <m/>
    <m/>
    <m/>
    <n v="62"/>
  </r>
  <r>
    <x v="28"/>
    <x v="0"/>
    <x v="1"/>
    <x v="5"/>
    <m/>
    <m/>
    <m/>
    <n v="3"/>
  </r>
  <r>
    <x v="28"/>
    <x v="0"/>
    <x v="1"/>
    <x v="6"/>
    <m/>
    <m/>
    <m/>
    <n v="5"/>
  </r>
  <r>
    <x v="24"/>
    <x v="0"/>
    <x v="1"/>
    <x v="1"/>
    <m/>
    <n v="1086"/>
    <m/>
    <m/>
  </r>
  <r>
    <x v="24"/>
    <x v="0"/>
    <x v="1"/>
    <x v="2"/>
    <m/>
    <n v="616"/>
    <m/>
    <m/>
  </r>
  <r>
    <x v="24"/>
    <x v="0"/>
    <x v="1"/>
    <x v="3"/>
    <m/>
    <n v="418"/>
    <m/>
    <m/>
  </r>
  <r>
    <x v="24"/>
    <x v="1"/>
    <x v="1"/>
    <x v="1"/>
    <m/>
    <n v="1314"/>
    <m/>
    <m/>
  </r>
  <r>
    <x v="24"/>
    <x v="1"/>
    <x v="1"/>
    <x v="2"/>
    <m/>
    <n v="807"/>
    <m/>
    <m/>
  </r>
  <r>
    <x v="24"/>
    <x v="1"/>
    <x v="1"/>
    <x v="3"/>
    <m/>
    <n v="618"/>
    <m/>
    <m/>
  </r>
  <r>
    <x v="24"/>
    <x v="0"/>
    <x v="1"/>
    <x v="4"/>
    <m/>
    <m/>
    <m/>
    <n v="91"/>
  </r>
  <r>
    <x v="24"/>
    <x v="0"/>
    <x v="1"/>
    <x v="5"/>
    <m/>
    <m/>
    <m/>
    <n v="7"/>
  </r>
  <r>
    <x v="24"/>
    <x v="0"/>
    <x v="1"/>
    <x v="6"/>
    <m/>
    <m/>
    <m/>
    <n v="9"/>
  </r>
  <r>
    <x v="23"/>
    <x v="0"/>
    <x v="1"/>
    <x v="1"/>
    <m/>
    <n v="660"/>
    <m/>
    <m/>
  </r>
  <r>
    <x v="23"/>
    <x v="0"/>
    <x v="1"/>
    <x v="2"/>
    <m/>
    <n v="440"/>
    <m/>
    <m/>
  </r>
  <r>
    <x v="23"/>
    <x v="0"/>
    <x v="1"/>
    <x v="3"/>
    <m/>
    <n v="445"/>
    <m/>
    <m/>
  </r>
  <r>
    <x v="23"/>
    <x v="1"/>
    <x v="1"/>
    <x v="1"/>
    <m/>
    <n v="719"/>
    <m/>
    <m/>
  </r>
  <r>
    <x v="23"/>
    <x v="1"/>
    <x v="1"/>
    <x v="2"/>
    <m/>
    <n v="539"/>
    <m/>
    <m/>
  </r>
  <r>
    <x v="23"/>
    <x v="1"/>
    <x v="1"/>
    <x v="3"/>
    <m/>
    <n v="501"/>
    <m/>
    <m/>
  </r>
  <r>
    <x v="23"/>
    <x v="0"/>
    <x v="1"/>
    <x v="4"/>
    <m/>
    <m/>
    <m/>
    <n v="128"/>
  </r>
  <r>
    <x v="23"/>
    <x v="0"/>
    <x v="1"/>
    <x v="5"/>
    <m/>
    <m/>
    <m/>
    <n v="17"/>
  </r>
  <r>
    <x v="23"/>
    <x v="0"/>
    <x v="1"/>
    <x v="6"/>
    <m/>
    <m/>
    <m/>
    <n v="7"/>
  </r>
  <r>
    <x v="14"/>
    <x v="0"/>
    <x v="1"/>
    <x v="1"/>
    <m/>
    <n v="726"/>
    <m/>
    <m/>
  </r>
  <r>
    <x v="14"/>
    <x v="0"/>
    <x v="1"/>
    <x v="2"/>
    <m/>
    <n v="520"/>
    <m/>
    <m/>
  </r>
  <r>
    <x v="14"/>
    <x v="0"/>
    <x v="1"/>
    <x v="3"/>
    <m/>
    <n v="498"/>
    <m/>
    <m/>
  </r>
  <r>
    <x v="14"/>
    <x v="1"/>
    <x v="1"/>
    <x v="1"/>
    <m/>
    <n v="964"/>
    <m/>
    <m/>
  </r>
  <r>
    <x v="14"/>
    <x v="1"/>
    <x v="1"/>
    <x v="2"/>
    <m/>
    <n v="558"/>
    <m/>
    <m/>
  </r>
  <r>
    <x v="14"/>
    <x v="1"/>
    <x v="1"/>
    <x v="3"/>
    <m/>
    <n v="486"/>
    <m/>
    <m/>
  </r>
  <r>
    <x v="14"/>
    <x v="0"/>
    <x v="1"/>
    <x v="4"/>
    <m/>
    <m/>
    <m/>
    <n v="89"/>
  </r>
  <r>
    <x v="14"/>
    <x v="0"/>
    <x v="1"/>
    <x v="5"/>
    <m/>
    <m/>
    <m/>
    <n v="15"/>
  </r>
  <r>
    <x v="14"/>
    <x v="0"/>
    <x v="1"/>
    <x v="6"/>
    <m/>
    <m/>
    <m/>
    <n v="9"/>
  </r>
  <r>
    <x v="30"/>
    <x v="0"/>
    <x v="1"/>
    <x v="1"/>
    <m/>
    <n v="669"/>
    <m/>
    <m/>
  </r>
  <r>
    <x v="30"/>
    <x v="0"/>
    <x v="1"/>
    <x v="2"/>
    <m/>
    <n v="440"/>
    <m/>
    <m/>
  </r>
  <r>
    <x v="30"/>
    <x v="0"/>
    <x v="1"/>
    <x v="3"/>
    <m/>
    <n v="322"/>
    <m/>
    <m/>
  </r>
  <r>
    <x v="30"/>
    <x v="1"/>
    <x v="1"/>
    <x v="1"/>
    <m/>
    <n v="863"/>
    <m/>
    <m/>
  </r>
  <r>
    <x v="30"/>
    <x v="1"/>
    <x v="1"/>
    <x v="2"/>
    <m/>
    <n v="462"/>
    <m/>
    <m/>
  </r>
  <r>
    <x v="30"/>
    <x v="1"/>
    <x v="1"/>
    <x v="3"/>
    <m/>
    <n v="376"/>
    <m/>
    <m/>
  </r>
  <r>
    <x v="30"/>
    <x v="0"/>
    <x v="1"/>
    <x v="4"/>
    <m/>
    <m/>
    <m/>
    <n v="41"/>
  </r>
  <r>
    <x v="30"/>
    <x v="0"/>
    <x v="1"/>
    <x v="5"/>
    <m/>
    <m/>
    <m/>
    <n v="7"/>
  </r>
  <r>
    <x v="30"/>
    <x v="0"/>
    <x v="1"/>
    <x v="6"/>
    <m/>
    <m/>
    <m/>
    <n v="4"/>
  </r>
  <r>
    <x v="20"/>
    <x v="0"/>
    <x v="1"/>
    <x v="1"/>
    <m/>
    <n v="691"/>
    <m/>
    <m/>
  </r>
  <r>
    <x v="20"/>
    <x v="0"/>
    <x v="1"/>
    <x v="2"/>
    <m/>
    <n v="430"/>
    <m/>
    <m/>
  </r>
  <r>
    <x v="20"/>
    <x v="0"/>
    <x v="1"/>
    <x v="3"/>
    <m/>
    <n v="364"/>
    <m/>
    <m/>
  </r>
  <r>
    <x v="20"/>
    <x v="1"/>
    <x v="1"/>
    <x v="1"/>
    <m/>
    <n v="845"/>
    <m/>
    <m/>
  </r>
  <r>
    <x v="20"/>
    <x v="1"/>
    <x v="1"/>
    <x v="2"/>
    <m/>
    <n v="514"/>
    <m/>
    <m/>
  </r>
  <r>
    <x v="20"/>
    <x v="1"/>
    <x v="1"/>
    <x v="3"/>
    <m/>
    <n v="438"/>
    <m/>
    <m/>
  </r>
  <r>
    <x v="20"/>
    <x v="0"/>
    <x v="1"/>
    <x v="4"/>
    <m/>
    <m/>
    <m/>
    <n v="139"/>
  </r>
  <r>
    <x v="20"/>
    <x v="0"/>
    <x v="1"/>
    <x v="5"/>
    <m/>
    <m/>
    <m/>
    <n v="12"/>
  </r>
  <r>
    <x v="20"/>
    <x v="0"/>
    <x v="1"/>
    <x v="6"/>
    <m/>
    <m/>
    <m/>
    <n v="13"/>
  </r>
  <r>
    <x v="36"/>
    <x v="0"/>
    <x v="1"/>
    <x v="1"/>
    <m/>
    <n v="416"/>
    <m/>
    <m/>
  </r>
  <r>
    <x v="36"/>
    <x v="0"/>
    <x v="1"/>
    <x v="2"/>
    <m/>
    <n v="270"/>
    <m/>
    <m/>
  </r>
  <r>
    <x v="36"/>
    <x v="0"/>
    <x v="1"/>
    <x v="3"/>
    <m/>
    <n v="223"/>
    <m/>
    <m/>
  </r>
  <r>
    <x v="36"/>
    <x v="1"/>
    <x v="1"/>
    <x v="1"/>
    <m/>
    <n v="495"/>
    <m/>
    <m/>
  </r>
  <r>
    <x v="36"/>
    <x v="1"/>
    <x v="1"/>
    <x v="2"/>
    <m/>
    <n v="422"/>
    <m/>
    <m/>
  </r>
  <r>
    <x v="36"/>
    <x v="1"/>
    <x v="1"/>
    <x v="3"/>
    <m/>
    <n v="337"/>
    <m/>
    <m/>
  </r>
  <r>
    <x v="36"/>
    <x v="0"/>
    <x v="1"/>
    <x v="4"/>
    <m/>
    <m/>
    <m/>
    <n v="116"/>
  </r>
  <r>
    <x v="36"/>
    <x v="0"/>
    <x v="1"/>
    <x v="5"/>
    <m/>
    <m/>
    <m/>
    <n v="3"/>
  </r>
  <r>
    <x v="36"/>
    <x v="0"/>
    <x v="1"/>
    <x v="6"/>
    <m/>
    <m/>
    <m/>
    <n v="6"/>
  </r>
  <r>
    <x v="33"/>
    <x v="0"/>
    <x v="1"/>
    <x v="1"/>
    <m/>
    <n v="558"/>
    <m/>
    <m/>
  </r>
  <r>
    <x v="33"/>
    <x v="0"/>
    <x v="1"/>
    <x v="2"/>
    <m/>
    <n v="382"/>
    <m/>
    <m/>
  </r>
  <r>
    <x v="33"/>
    <x v="0"/>
    <x v="1"/>
    <x v="3"/>
    <m/>
    <n v="268"/>
    <m/>
    <m/>
  </r>
  <r>
    <x v="33"/>
    <x v="1"/>
    <x v="1"/>
    <x v="1"/>
    <m/>
    <n v="605"/>
    <m/>
    <m/>
  </r>
  <r>
    <x v="33"/>
    <x v="1"/>
    <x v="1"/>
    <x v="2"/>
    <m/>
    <n v="429"/>
    <m/>
    <m/>
  </r>
  <r>
    <x v="33"/>
    <x v="1"/>
    <x v="1"/>
    <x v="3"/>
    <m/>
    <n v="347"/>
    <m/>
    <m/>
  </r>
  <r>
    <x v="33"/>
    <x v="0"/>
    <x v="1"/>
    <x v="4"/>
    <m/>
    <m/>
    <m/>
    <n v="94"/>
  </r>
  <r>
    <x v="33"/>
    <x v="0"/>
    <x v="1"/>
    <x v="5"/>
    <m/>
    <m/>
    <m/>
    <n v="9"/>
  </r>
  <r>
    <x v="33"/>
    <x v="0"/>
    <x v="1"/>
    <x v="6"/>
    <m/>
    <m/>
    <m/>
    <n v="3"/>
  </r>
  <r>
    <x v="19"/>
    <x v="0"/>
    <x v="1"/>
    <x v="1"/>
    <m/>
    <n v="525"/>
    <m/>
    <m/>
  </r>
  <r>
    <x v="19"/>
    <x v="0"/>
    <x v="1"/>
    <x v="2"/>
    <m/>
    <n v="472"/>
    <m/>
    <m/>
  </r>
  <r>
    <x v="19"/>
    <x v="0"/>
    <x v="1"/>
    <x v="3"/>
    <m/>
    <n v="363"/>
    <m/>
    <m/>
  </r>
  <r>
    <x v="19"/>
    <x v="1"/>
    <x v="1"/>
    <x v="1"/>
    <m/>
    <n v="710"/>
    <m/>
    <m/>
  </r>
  <r>
    <x v="19"/>
    <x v="1"/>
    <x v="1"/>
    <x v="2"/>
    <m/>
    <n v="596"/>
    <m/>
    <m/>
  </r>
  <r>
    <x v="19"/>
    <x v="1"/>
    <x v="1"/>
    <x v="3"/>
    <m/>
    <n v="436"/>
    <m/>
    <m/>
  </r>
  <r>
    <x v="19"/>
    <x v="0"/>
    <x v="1"/>
    <x v="4"/>
    <m/>
    <m/>
    <m/>
    <n v="123"/>
  </r>
  <r>
    <x v="19"/>
    <x v="0"/>
    <x v="1"/>
    <x v="5"/>
    <m/>
    <m/>
    <m/>
    <n v="10"/>
  </r>
  <r>
    <x v="19"/>
    <x v="0"/>
    <x v="1"/>
    <x v="6"/>
    <m/>
    <m/>
    <m/>
    <n v="12"/>
  </r>
  <r>
    <x v="21"/>
    <x v="0"/>
    <x v="1"/>
    <x v="1"/>
    <m/>
    <n v="779"/>
    <m/>
    <m/>
  </r>
  <r>
    <x v="21"/>
    <x v="0"/>
    <x v="1"/>
    <x v="2"/>
    <m/>
    <n v="457"/>
    <m/>
    <m/>
  </r>
  <r>
    <x v="21"/>
    <x v="0"/>
    <x v="1"/>
    <x v="3"/>
    <m/>
    <n v="368"/>
    <m/>
    <m/>
  </r>
  <r>
    <x v="21"/>
    <x v="1"/>
    <x v="1"/>
    <x v="1"/>
    <m/>
    <n v="839"/>
    <m/>
    <m/>
  </r>
  <r>
    <x v="21"/>
    <x v="1"/>
    <x v="1"/>
    <x v="2"/>
    <m/>
    <n v="578"/>
    <m/>
    <m/>
  </r>
  <r>
    <x v="21"/>
    <x v="1"/>
    <x v="1"/>
    <x v="3"/>
    <m/>
    <n v="457"/>
    <m/>
    <m/>
  </r>
  <r>
    <x v="21"/>
    <x v="0"/>
    <x v="1"/>
    <x v="4"/>
    <m/>
    <m/>
    <m/>
    <n v="110"/>
  </r>
  <r>
    <x v="21"/>
    <x v="0"/>
    <x v="1"/>
    <x v="5"/>
    <m/>
    <m/>
    <m/>
    <n v="10"/>
  </r>
  <r>
    <x v="21"/>
    <x v="0"/>
    <x v="1"/>
    <x v="6"/>
    <m/>
    <m/>
    <m/>
    <n v="14"/>
  </r>
  <r>
    <x v="47"/>
    <x v="0"/>
    <x v="1"/>
    <x v="1"/>
    <m/>
    <n v="389"/>
    <m/>
    <m/>
  </r>
  <r>
    <x v="47"/>
    <x v="0"/>
    <x v="1"/>
    <x v="2"/>
    <m/>
    <n v="271"/>
    <m/>
    <m/>
  </r>
  <r>
    <x v="47"/>
    <x v="0"/>
    <x v="1"/>
    <x v="3"/>
    <m/>
    <n v="263"/>
    <m/>
    <m/>
  </r>
  <r>
    <x v="47"/>
    <x v="1"/>
    <x v="1"/>
    <x v="1"/>
    <m/>
    <n v="498"/>
    <m/>
    <m/>
  </r>
  <r>
    <x v="47"/>
    <x v="1"/>
    <x v="1"/>
    <x v="2"/>
    <m/>
    <n v="412"/>
    <m/>
    <m/>
  </r>
  <r>
    <x v="47"/>
    <x v="1"/>
    <x v="1"/>
    <x v="3"/>
    <m/>
    <n v="382"/>
    <m/>
    <m/>
  </r>
  <r>
    <x v="47"/>
    <x v="0"/>
    <x v="1"/>
    <x v="4"/>
    <m/>
    <m/>
    <m/>
    <n v="76"/>
  </r>
  <r>
    <x v="47"/>
    <x v="0"/>
    <x v="1"/>
    <x v="5"/>
    <m/>
    <m/>
    <m/>
    <n v="6"/>
  </r>
  <r>
    <x v="47"/>
    <x v="0"/>
    <x v="1"/>
    <x v="6"/>
    <m/>
    <m/>
    <m/>
    <n v="1"/>
  </r>
  <r>
    <x v="35"/>
    <x v="0"/>
    <x v="1"/>
    <x v="1"/>
    <m/>
    <n v="410"/>
    <m/>
    <m/>
  </r>
  <r>
    <x v="35"/>
    <x v="0"/>
    <x v="1"/>
    <x v="2"/>
    <m/>
    <n v="274"/>
    <m/>
    <m/>
  </r>
  <r>
    <x v="35"/>
    <x v="0"/>
    <x v="1"/>
    <x v="3"/>
    <m/>
    <n v="240"/>
    <m/>
    <m/>
  </r>
  <r>
    <x v="35"/>
    <x v="1"/>
    <x v="1"/>
    <x v="1"/>
    <m/>
    <n v="504"/>
    <m/>
    <m/>
  </r>
  <r>
    <x v="35"/>
    <x v="1"/>
    <x v="1"/>
    <x v="2"/>
    <m/>
    <n v="388"/>
    <m/>
    <m/>
  </r>
  <r>
    <x v="35"/>
    <x v="1"/>
    <x v="1"/>
    <x v="3"/>
    <m/>
    <n v="364"/>
    <m/>
    <m/>
  </r>
  <r>
    <x v="35"/>
    <x v="0"/>
    <x v="1"/>
    <x v="4"/>
    <m/>
    <m/>
    <m/>
    <n v="81"/>
  </r>
  <r>
    <x v="35"/>
    <x v="0"/>
    <x v="1"/>
    <x v="5"/>
    <m/>
    <m/>
    <m/>
    <n v="8"/>
  </r>
  <r>
    <x v="35"/>
    <x v="0"/>
    <x v="1"/>
    <x v="6"/>
    <m/>
    <m/>
    <m/>
    <n v="3"/>
  </r>
  <r>
    <x v="44"/>
    <x v="0"/>
    <x v="1"/>
    <x v="1"/>
    <m/>
    <n v="262"/>
    <m/>
    <m/>
  </r>
  <r>
    <x v="44"/>
    <x v="0"/>
    <x v="1"/>
    <x v="2"/>
    <m/>
    <n v="253"/>
    <m/>
    <m/>
  </r>
  <r>
    <x v="44"/>
    <x v="0"/>
    <x v="1"/>
    <x v="3"/>
    <m/>
    <n v="238"/>
    <m/>
    <m/>
  </r>
  <r>
    <x v="44"/>
    <x v="1"/>
    <x v="1"/>
    <x v="1"/>
    <m/>
    <n v="366"/>
    <m/>
    <m/>
  </r>
  <r>
    <x v="44"/>
    <x v="1"/>
    <x v="1"/>
    <x v="2"/>
    <m/>
    <n v="288"/>
    <m/>
    <m/>
  </r>
  <r>
    <x v="44"/>
    <x v="1"/>
    <x v="1"/>
    <x v="3"/>
    <m/>
    <n v="276"/>
    <m/>
    <m/>
  </r>
  <r>
    <x v="44"/>
    <x v="0"/>
    <x v="1"/>
    <x v="4"/>
    <m/>
    <m/>
    <m/>
    <n v="44"/>
  </r>
  <r>
    <x v="44"/>
    <x v="0"/>
    <x v="1"/>
    <x v="5"/>
    <m/>
    <m/>
    <m/>
    <n v="2"/>
  </r>
  <r>
    <x v="44"/>
    <x v="0"/>
    <x v="1"/>
    <x v="6"/>
    <m/>
    <m/>
    <m/>
    <n v="7"/>
  </r>
  <r>
    <x v="6"/>
    <x v="0"/>
    <x v="1"/>
    <x v="1"/>
    <m/>
    <n v="1143"/>
    <m/>
    <m/>
  </r>
  <r>
    <x v="6"/>
    <x v="0"/>
    <x v="1"/>
    <x v="2"/>
    <m/>
    <n v="750"/>
    <m/>
    <m/>
  </r>
  <r>
    <x v="6"/>
    <x v="0"/>
    <x v="1"/>
    <x v="3"/>
    <m/>
    <n v="541"/>
    <m/>
    <m/>
  </r>
  <r>
    <x v="6"/>
    <x v="1"/>
    <x v="1"/>
    <x v="1"/>
    <m/>
    <n v="1491"/>
    <m/>
    <m/>
  </r>
  <r>
    <x v="6"/>
    <x v="1"/>
    <x v="1"/>
    <x v="2"/>
    <m/>
    <n v="831"/>
    <m/>
    <m/>
  </r>
  <r>
    <x v="6"/>
    <x v="1"/>
    <x v="1"/>
    <x v="3"/>
    <m/>
    <n v="648"/>
    <m/>
    <m/>
  </r>
  <r>
    <x v="6"/>
    <x v="0"/>
    <x v="1"/>
    <x v="4"/>
    <m/>
    <m/>
    <m/>
    <n v="182"/>
  </r>
  <r>
    <x v="6"/>
    <x v="0"/>
    <x v="1"/>
    <x v="5"/>
    <m/>
    <m/>
    <m/>
    <n v="6"/>
  </r>
  <r>
    <x v="6"/>
    <x v="0"/>
    <x v="1"/>
    <x v="6"/>
    <m/>
    <m/>
    <m/>
    <n v="23"/>
  </r>
  <r>
    <x v="32"/>
    <x v="0"/>
    <x v="1"/>
    <x v="1"/>
    <m/>
    <n v="842"/>
    <m/>
    <m/>
  </r>
  <r>
    <x v="32"/>
    <x v="0"/>
    <x v="1"/>
    <x v="2"/>
    <m/>
    <n v="517"/>
    <m/>
    <m/>
  </r>
  <r>
    <x v="32"/>
    <x v="0"/>
    <x v="1"/>
    <x v="3"/>
    <m/>
    <n v="434"/>
    <m/>
    <m/>
  </r>
  <r>
    <x v="32"/>
    <x v="1"/>
    <x v="1"/>
    <x v="1"/>
    <m/>
    <n v="815"/>
    <m/>
    <m/>
  </r>
  <r>
    <x v="32"/>
    <x v="1"/>
    <x v="1"/>
    <x v="2"/>
    <m/>
    <n v="498"/>
    <m/>
    <m/>
  </r>
  <r>
    <x v="32"/>
    <x v="1"/>
    <x v="1"/>
    <x v="3"/>
    <m/>
    <n v="341"/>
    <m/>
    <m/>
  </r>
  <r>
    <x v="32"/>
    <x v="0"/>
    <x v="1"/>
    <x v="4"/>
    <m/>
    <m/>
    <m/>
    <n v="78"/>
  </r>
  <r>
    <x v="32"/>
    <x v="0"/>
    <x v="1"/>
    <x v="5"/>
    <m/>
    <m/>
    <m/>
    <n v="8"/>
  </r>
  <r>
    <x v="32"/>
    <x v="0"/>
    <x v="1"/>
    <x v="6"/>
    <m/>
    <m/>
    <m/>
    <n v="14"/>
  </r>
  <r>
    <x v="27"/>
    <x v="0"/>
    <x v="1"/>
    <x v="1"/>
    <m/>
    <n v="575"/>
    <m/>
    <m/>
  </r>
  <r>
    <x v="27"/>
    <x v="0"/>
    <x v="1"/>
    <x v="2"/>
    <m/>
    <n v="408"/>
    <m/>
    <m/>
  </r>
  <r>
    <x v="27"/>
    <x v="0"/>
    <x v="1"/>
    <x v="3"/>
    <m/>
    <n v="353"/>
    <m/>
    <m/>
  </r>
  <r>
    <x v="27"/>
    <x v="1"/>
    <x v="1"/>
    <x v="1"/>
    <m/>
    <n v="707"/>
    <m/>
    <m/>
  </r>
  <r>
    <x v="27"/>
    <x v="1"/>
    <x v="1"/>
    <x v="2"/>
    <m/>
    <n v="512"/>
    <m/>
    <m/>
  </r>
  <r>
    <x v="27"/>
    <x v="1"/>
    <x v="1"/>
    <x v="3"/>
    <m/>
    <n v="440"/>
    <m/>
    <m/>
  </r>
  <r>
    <x v="27"/>
    <x v="0"/>
    <x v="1"/>
    <x v="4"/>
    <m/>
    <m/>
    <m/>
    <n v="70"/>
  </r>
  <r>
    <x v="27"/>
    <x v="0"/>
    <x v="1"/>
    <x v="5"/>
    <m/>
    <m/>
    <m/>
    <n v="9"/>
  </r>
  <r>
    <x v="27"/>
    <x v="0"/>
    <x v="1"/>
    <x v="6"/>
    <m/>
    <m/>
    <m/>
    <n v="8"/>
  </r>
  <r>
    <x v="25"/>
    <x v="0"/>
    <x v="1"/>
    <x v="1"/>
    <m/>
    <n v="394"/>
    <m/>
    <m/>
  </r>
  <r>
    <x v="25"/>
    <x v="0"/>
    <x v="1"/>
    <x v="2"/>
    <m/>
    <n v="401"/>
    <m/>
    <m/>
  </r>
  <r>
    <x v="25"/>
    <x v="0"/>
    <x v="1"/>
    <x v="3"/>
    <m/>
    <n v="342"/>
    <m/>
    <m/>
  </r>
  <r>
    <x v="25"/>
    <x v="1"/>
    <x v="1"/>
    <x v="1"/>
    <m/>
    <n v="431"/>
    <m/>
    <m/>
  </r>
  <r>
    <x v="25"/>
    <x v="1"/>
    <x v="1"/>
    <x v="2"/>
    <m/>
    <n v="437"/>
    <m/>
    <m/>
  </r>
  <r>
    <x v="25"/>
    <x v="1"/>
    <x v="1"/>
    <x v="3"/>
    <m/>
    <n v="374"/>
    <m/>
    <m/>
  </r>
  <r>
    <x v="25"/>
    <x v="0"/>
    <x v="1"/>
    <x v="4"/>
    <m/>
    <m/>
    <m/>
    <n v="98"/>
  </r>
  <r>
    <x v="25"/>
    <x v="0"/>
    <x v="1"/>
    <x v="5"/>
    <m/>
    <m/>
    <m/>
    <n v="11"/>
  </r>
  <r>
    <x v="25"/>
    <x v="0"/>
    <x v="1"/>
    <x v="6"/>
    <m/>
    <m/>
    <m/>
    <n v="4"/>
  </r>
  <r>
    <x v="10"/>
    <x v="0"/>
    <x v="3"/>
    <x v="1"/>
    <m/>
    <n v="995"/>
    <m/>
    <m/>
  </r>
  <r>
    <x v="10"/>
    <x v="0"/>
    <x v="3"/>
    <x v="2"/>
    <m/>
    <n v="576"/>
    <m/>
    <m/>
  </r>
  <r>
    <x v="10"/>
    <x v="0"/>
    <x v="3"/>
    <x v="3"/>
    <m/>
    <n v="506"/>
    <m/>
    <m/>
  </r>
  <r>
    <x v="10"/>
    <x v="1"/>
    <x v="3"/>
    <x v="1"/>
    <m/>
    <n v="1360"/>
    <m/>
    <m/>
  </r>
  <r>
    <x v="10"/>
    <x v="1"/>
    <x v="3"/>
    <x v="2"/>
    <m/>
    <n v="665"/>
    <m/>
    <m/>
  </r>
  <r>
    <x v="10"/>
    <x v="1"/>
    <x v="3"/>
    <x v="3"/>
    <m/>
    <n v="500"/>
    <m/>
    <m/>
  </r>
  <r>
    <x v="10"/>
    <x v="0"/>
    <x v="3"/>
    <x v="4"/>
    <m/>
    <m/>
    <m/>
    <n v="52"/>
  </r>
  <r>
    <x v="10"/>
    <x v="0"/>
    <x v="3"/>
    <x v="5"/>
    <m/>
    <m/>
    <m/>
    <n v="13"/>
  </r>
  <r>
    <x v="10"/>
    <x v="0"/>
    <x v="3"/>
    <x v="6"/>
    <m/>
    <m/>
    <m/>
    <n v="16"/>
  </r>
  <r>
    <x v="9"/>
    <x v="0"/>
    <x v="3"/>
    <x v="1"/>
    <m/>
    <n v="1453"/>
    <m/>
    <m/>
  </r>
  <r>
    <x v="9"/>
    <x v="0"/>
    <x v="3"/>
    <x v="2"/>
    <m/>
    <n v="669"/>
    <m/>
    <m/>
  </r>
  <r>
    <x v="9"/>
    <x v="0"/>
    <x v="3"/>
    <x v="3"/>
    <m/>
    <n v="512"/>
    <m/>
    <m/>
  </r>
  <r>
    <x v="9"/>
    <x v="1"/>
    <x v="3"/>
    <x v="1"/>
    <m/>
    <n v="1682"/>
    <m/>
    <m/>
  </r>
  <r>
    <x v="9"/>
    <x v="1"/>
    <x v="3"/>
    <x v="2"/>
    <m/>
    <n v="893"/>
    <m/>
    <m/>
  </r>
  <r>
    <x v="9"/>
    <x v="1"/>
    <x v="3"/>
    <x v="3"/>
    <m/>
    <n v="644"/>
    <m/>
    <m/>
  </r>
  <r>
    <x v="9"/>
    <x v="0"/>
    <x v="3"/>
    <x v="4"/>
    <m/>
    <m/>
    <m/>
    <n v="38"/>
  </r>
  <r>
    <x v="9"/>
    <x v="0"/>
    <x v="3"/>
    <x v="5"/>
    <m/>
    <m/>
    <m/>
    <n v="14"/>
  </r>
  <r>
    <x v="9"/>
    <x v="0"/>
    <x v="3"/>
    <x v="6"/>
    <m/>
    <m/>
    <m/>
    <n v="17"/>
  </r>
  <r>
    <x v="49"/>
    <x v="0"/>
    <x v="3"/>
    <x v="1"/>
    <m/>
    <n v="1061"/>
    <m/>
    <m/>
  </r>
  <r>
    <x v="49"/>
    <x v="0"/>
    <x v="3"/>
    <x v="2"/>
    <m/>
    <n v="392"/>
    <m/>
    <m/>
  </r>
  <r>
    <x v="49"/>
    <x v="0"/>
    <x v="3"/>
    <x v="3"/>
    <m/>
    <n v="220"/>
    <m/>
    <m/>
  </r>
  <r>
    <x v="49"/>
    <x v="1"/>
    <x v="3"/>
    <x v="1"/>
    <m/>
    <n v="1288"/>
    <m/>
    <m/>
  </r>
  <r>
    <x v="49"/>
    <x v="1"/>
    <x v="3"/>
    <x v="2"/>
    <m/>
    <n v="468"/>
    <m/>
    <m/>
  </r>
  <r>
    <x v="49"/>
    <x v="1"/>
    <x v="3"/>
    <x v="3"/>
    <m/>
    <n v="305"/>
    <m/>
    <m/>
  </r>
  <r>
    <x v="49"/>
    <x v="0"/>
    <x v="3"/>
    <x v="4"/>
    <m/>
    <m/>
    <m/>
    <n v="19"/>
  </r>
  <r>
    <x v="49"/>
    <x v="0"/>
    <x v="3"/>
    <x v="5"/>
    <m/>
    <m/>
    <m/>
    <n v="8"/>
  </r>
  <r>
    <x v="49"/>
    <x v="0"/>
    <x v="3"/>
    <x v="6"/>
    <m/>
    <m/>
    <m/>
    <n v="6"/>
  </r>
  <r>
    <x v="5"/>
    <x v="0"/>
    <x v="3"/>
    <x v="1"/>
    <m/>
    <n v="1119"/>
    <m/>
    <m/>
  </r>
  <r>
    <x v="5"/>
    <x v="0"/>
    <x v="3"/>
    <x v="2"/>
    <m/>
    <n v="819"/>
    <m/>
    <m/>
  </r>
  <r>
    <x v="5"/>
    <x v="0"/>
    <x v="3"/>
    <x v="3"/>
    <m/>
    <n v="693"/>
    <m/>
    <m/>
  </r>
  <r>
    <x v="5"/>
    <x v="1"/>
    <x v="3"/>
    <x v="1"/>
    <m/>
    <n v="1154"/>
    <m/>
    <m/>
  </r>
  <r>
    <x v="5"/>
    <x v="1"/>
    <x v="3"/>
    <x v="2"/>
    <m/>
    <n v="793"/>
    <m/>
    <m/>
  </r>
  <r>
    <x v="5"/>
    <x v="1"/>
    <x v="3"/>
    <x v="3"/>
    <m/>
    <n v="757"/>
    <m/>
    <m/>
  </r>
  <r>
    <x v="5"/>
    <x v="0"/>
    <x v="3"/>
    <x v="4"/>
    <m/>
    <m/>
    <m/>
    <n v="56"/>
  </r>
  <r>
    <x v="5"/>
    <x v="0"/>
    <x v="3"/>
    <x v="5"/>
    <m/>
    <m/>
    <m/>
    <n v="7"/>
  </r>
  <r>
    <x v="5"/>
    <x v="0"/>
    <x v="3"/>
    <x v="6"/>
    <m/>
    <m/>
    <m/>
    <n v="15"/>
  </r>
  <r>
    <x v="16"/>
    <x v="0"/>
    <x v="3"/>
    <x v="1"/>
    <m/>
    <n v="889"/>
    <m/>
    <m/>
  </r>
  <r>
    <x v="16"/>
    <x v="0"/>
    <x v="3"/>
    <x v="2"/>
    <m/>
    <n v="594"/>
    <m/>
    <m/>
  </r>
  <r>
    <x v="16"/>
    <x v="0"/>
    <x v="3"/>
    <x v="3"/>
    <m/>
    <n v="476"/>
    <m/>
    <m/>
  </r>
  <r>
    <x v="16"/>
    <x v="1"/>
    <x v="3"/>
    <x v="1"/>
    <m/>
    <n v="1038"/>
    <m/>
    <m/>
  </r>
  <r>
    <x v="16"/>
    <x v="1"/>
    <x v="3"/>
    <x v="2"/>
    <m/>
    <n v="649"/>
    <m/>
    <m/>
  </r>
  <r>
    <x v="16"/>
    <x v="1"/>
    <x v="3"/>
    <x v="3"/>
    <m/>
    <n v="483"/>
    <m/>
    <m/>
  </r>
  <r>
    <x v="16"/>
    <x v="0"/>
    <x v="3"/>
    <x v="4"/>
    <m/>
    <m/>
    <m/>
    <n v="45"/>
  </r>
  <r>
    <x v="16"/>
    <x v="0"/>
    <x v="3"/>
    <x v="5"/>
    <m/>
    <m/>
    <m/>
    <n v="5"/>
  </r>
  <r>
    <x v="16"/>
    <x v="0"/>
    <x v="3"/>
    <x v="6"/>
    <m/>
    <m/>
    <m/>
    <n v="7"/>
  </r>
  <r>
    <x v="17"/>
    <x v="0"/>
    <x v="3"/>
    <x v="1"/>
    <m/>
    <n v="1202"/>
    <m/>
    <m/>
  </r>
  <r>
    <x v="17"/>
    <x v="0"/>
    <x v="3"/>
    <x v="2"/>
    <m/>
    <n v="630"/>
    <m/>
    <m/>
  </r>
  <r>
    <x v="17"/>
    <x v="0"/>
    <x v="3"/>
    <x v="3"/>
    <m/>
    <n v="415"/>
    <m/>
    <m/>
  </r>
  <r>
    <x v="17"/>
    <x v="1"/>
    <x v="3"/>
    <x v="1"/>
    <m/>
    <n v="1403"/>
    <m/>
    <m/>
  </r>
  <r>
    <x v="17"/>
    <x v="1"/>
    <x v="3"/>
    <x v="2"/>
    <m/>
    <n v="696"/>
    <m/>
    <m/>
  </r>
  <r>
    <x v="17"/>
    <x v="1"/>
    <x v="3"/>
    <x v="3"/>
    <m/>
    <n v="449"/>
    <m/>
    <m/>
  </r>
  <r>
    <x v="17"/>
    <x v="0"/>
    <x v="3"/>
    <x v="4"/>
    <m/>
    <m/>
    <m/>
    <n v="46"/>
  </r>
  <r>
    <x v="17"/>
    <x v="0"/>
    <x v="3"/>
    <x v="5"/>
    <m/>
    <m/>
    <m/>
    <n v="7"/>
  </r>
  <r>
    <x v="17"/>
    <x v="0"/>
    <x v="3"/>
    <x v="6"/>
    <m/>
    <m/>
    <m/>
    <n v="11"/>
  </r>
  <r>
    <x v="13"/>
    <x v="0"/>
    <x v="3"/>
    <x v="1"/>
    <m/>
    <n v="1494"/>
    <m/>
    <m/>
  </r>
  <r>
    <x v="13"/>
    <x v="0"/>
    <x v="3"/>
    <x v="2"/>
    <m/>
    <n v="666"/>
    <m/>
    <m/>
  </r>
  <r>
    <x v="13"/>
    <x v="0"/>
    <x v="3"/>
    <x v="3"/>
    <m/>
    <n v="478"/>
    <m/>
    <m/>
  </r>
  <r>
    <x v="13"/>
    <x v="1"/>
    <x v="3"/>
    <x v="1"/>
    <m/>
    <n v="1688"/>
    <m/>
    <m/>
  </r>
  <r>
    <x v="13"/>
    <x v="1"/>
    <x v="3"/>
    <x v="2"/>
    <m/>
    <n v="713"/>
    <m/>
    <m/>
  </r>
  <r>
    <x v="13"/>
    <x v="1"/>
    <x v="3"/>
    <x v="3"/>
    <m/>
    <n v="563"/>
    <m/>
    <m/>
  </r>
  <r>
    <x v="13"/>
    <x v="0"/>
    <x v="3"/>
    <x v="4"/>
    <m/>
    <m/>
    <m/>
    <n v="48"/>
  </r>
  <r>
    <x v="13"/>
    <x v="0"/>
    <x v="3"/>
    <x v="5"/>
    <m/>
    <m/>
    <m/>
    <n v="6"/>
  </r>
  <r>
    <x v="13"/>
    <x v="0"/>
    <x v="3"/>
    <x v="6"/>
    <m/>
    <m/>
    <m/>
    <n v="25"/>
  </r>
  <r>
    <x v="40"/>
    <x v="0"/>
    <x v="3"/>
    <x v="0"/>
    <m/>
    <m/>
    <m/>
    <m/>
  </r>
  <r>
    <x v="40"/>
    <x v="1"/>
    <x v="3"/>
    <x v="0"/>
    <m/>
    <m/>
    <m/>
    <m/>
  </r>
  <r>
    <x v="40"/>
    <x v="0"/>
    <x v="3"/>
    <x v="1"/>
    <m/>
    <m/>
    <m/>
    <m/>
  </r>
  <r>
    <x v="40"/>
    <x v="0"/>
    <x v="3"/>
    <x v="2"/>
    <m/>
    <m/>
    <m/>
    <m/>
  </r>
  <r>
    <x v="40"/>
    <x v="0"/>
    <x v="3"/>
    <x v="3"/>
    <m/>
    <m/>
    <m/>
    <m/>
  </r>
  <r>
    <x v="40"/>
    <x v="1"/>
    <x v="3"/>
    <x v="1"/>
    <m/>
    <m/>
    <m/>
    <m/>
  </r>
  <r>
    <x v="40"/>
    <x v="1"/>
    <x v="3"/>
    <x v="2"/>
    <m/>
    <m/>
    <m/>
    <m/>
  </r>
  <r>
    <x v="40"/>
    <x v="1"/>
    <x v="3"/>
    <x v="3"/>
    <m/>
    <m/>
    <m/>
    <m/>
  </r>
  <r>
    <x v="40"/>
    <x v="0"/>
    <x v="3"/>
    <x v="4"/>
    <m/>
    <m/>
    <m/>
    <n v="29"/>
  </r>
  <r>
    <x v="40"/>
    <x v="0"/>
    <x v="3"/>
    <x v="5"/>
    <m/>
    <m/>
    <m/>
    <n v="4"/>
  </r>
  <r>
    <x v="40"/>
    <x v="0"/>
    <x v="3"/>
    <x v="6"/>
    <m/>
    <m/>
    <m/>
    <m/>
  </r>
  <r>
    <x v="26"/>
    <x v="0"/>
    <x v="3"/>
    <x v="1"/>
    <m/>
    <n v="564"/>
    <m/>
    <m/>
  </r>
  <r>
    <x v="26"/>
    <x v="0"/>
    <x v="3"/>
    <x v="2"/>
    <m/>
    <n v="431"/>
    <m/>
    <m/>
  </r>
  <r>
    <x v="26"/>
    <x v="0"/>
    <x v="3"/>
    <x v="3"/>
    <m/>
    <n v="361"/>
    <m/>
    <m/>
  </r>
  <r>
    <x v="26"/>
    <x v="1"/>
    <x v="3"/>
    <x v="1"/>
    <m/>
    <n v="658"/>
    <m/>
    <m/>
  </r>
  <r>
    <x v="26"/>
    <x v="1"/>
    <x v="3"/>
    <x v="2"/>
    <m/>
    <n v="513"/>
    <m/>
    <m/>
  </r>
  <r>
    <x v="26"/>
    <x v="1"/>
    <x v="3"/>
    <x v="3"/>
    <m/>
    <n v="492"/>
    <m/>
    <m/>
  </r>
  <r>
    <x v="26"/>
    <x v="0"/>
    <x v="3"/>
    <x v="4"/>
    <m/>
    <m/>
    <m/>
    <n v="42"/>
  </r>
  <r>
    <x v="26"/>
    <x v="0"/>
    <x v="3"/>
    <x v="5"/>
    <m/>
    <m/>
    <m/>
    <n v="5"/>
  </r>
  <r>
    <x v="26"/>
    <x v="0"/>
    <x v="3"/>
    <x v="6"/>
    <m/>
    <m/>
    <m/>
    <n v="6"/>
  </r>
  <r>
    <x v="11"/>
    <x v="0"/>
    <x v="3"/>
    <x v="1"/>
    <m/>
    <n v="1453"/>
    <m/>
    <m/>
  </r>
  <r>
    <x v="11"/>
    <x v="0"/>
    <x v="3"/>
    <x v="2"/>
    <m/>
    <n v="840"/>
    <m/>
    <m/>
  </r>
  <r>
    <x v="11"/>
    <x v="0"/>
    <x v="3"/>
    <x v="3"/>
    <m/>
    <n v="624"/>
    <m/>
    <m/>
  </r>
  <r>
    <x v="11"/>
    <x v="1"/>
    <x v="3"/>
    <x v="1"/>
    <m/>
    <n v="1492"/>
    <m/>
    <m/>
  </r>
  <r>
    <x v="11"/>
    <x v="1"/>
    <x v="3"/>
    <x v="2"/>
    <m/>
    <n v="888"/>
    <m/>
    <m/>
  </r>
  <r>
    <x v="11"/>
    <x v="1"/>
    <x v="3"/>
    <x v="3"/>
    <m/>
    <n v="614"/>
    <m/>
    <m/>
  </r>
  <r>
    <x v="11"/>
    <x v="0"/>
    <x v="3"/>
    <x v="4"/>
    <m/>
    <m/>
    <m/>
    <n v="59"/>
  </r>
  <r>
    <x v="11"/>
    <x v="0"/>
    <x v="3"/>
    <x v="5"/>
    <m/>
    <m/>
    <m/>
    <n v="10"/>
  </r>
  <r>
    <x v="11"/>
    <x v="0"/>
    <x v="3"/>
    <x v="6"/>
    <m/>
    <m/>
    <m/>
    <n v="8"/>
  </r>
  <r>
    <x v="31"/>
    <x v="0"/>
    <x v="3"/>
    <x v="1"/>
    <m/>
    <n v="763"/>
    <m/>
    <m/>
  </r>
  <r>
    <x v="31"/>
    <x v="0"/>
    <x v="3"/>
    <x v="2"/>
    <m/>
    <n v="420"/>
    <m/>
    <m/>
  </r>
  <r>
    <x v="31"/>
    <x v="0"/>
    <x v="3"/>
    <x v="3"/>
    <m/>
    <n v="293"/>
    <m/>
    <m/>
  </r>
  <r>
    <x v="31"/>
    <x v="1"/>
    <x v="3"/>
    <x v="1"/>
    <m/>
    <n v="950"/>
    <m/>
    <m/>
  </r>
  <r>
    <x v="31"/>
    <x v="1"/>
    <x v="3"/>
    <x v="2"/>
    <m/>
    <n v="469"/>
    <m/>
    <m/>
  </r>
  <r>
    <x v="31"/>
    <x v="1"/>
    <x v="3"/>
    <x v="3"/>
    <m/>
    <n v="327"/>
    <m/>
    <m/>
  </r>
  <r>
    <x v="31"/>
    <x v="0"/>
    <x v="3"/>
    <x v="4"/>
    <m/>
    <m/>
    <m/>
    <n v="20"/>
  </r>
  <r>
    <x v="31"/>
    <x v="0"/>
    <x v="3"/>
    <x v="5"/>
    <m/>
    <m/>
    <m/>
    <n v="11"/>
  </r>
  <r>
    <x v="31"/>
    <x v="0"/>
    <x v="3"/>
    <x v="6"/>
    <m/>
    <m/>
    <m/>
    <n v="8"/>
  </r>
  <r>
    <x v="7"/>
    <x v="0"/>
    <x v="3"/>
    <x v="1"/>
    <m/>
    <n v="1289"/>
    <m/>
    <m/>
  </r>
  <r>
    <x v="7"/>
    <x v="0"/>
    <x v="3"/>
    <x v="2"/>
    <m/>
    <n v="752"/>
    <m/>
    <m/>
  </r>
  <r>
    <x v="7"/>
    <x v="0"/>
    <x v="3"/>
    <x v="3"/>
    <m/>
    <n v="553"/>
    <m/>
    <m/>
  </r>
  <r>
    <x v="7"/>
    <x v="1"/>
    <x v="3"/>
    <x v="1"/>
    <m/>
    <n v="1434"/>
    <m/>
    <m/>
  </r>
  <r>
    <x v="7"/>
    <x v="1"/>
    <x v="3"/>
    <x v="2"/>
    <m/>
    <n v="750"/>
    <m/>
    <m/>
  </r>
  <r>
    <x v="7"/>
    <x v="1"/>
    <x v="3"/>
    <x v="3"/>
    <m/>
    <n v="628"/>
    <m/>
    <m/>
  </r>
  <r>
    <x v="7"/>
    <x v="0"/>
    <x v="3"/>
    <x v="4"/>
    <m/>
    <m/>
    <m/>
    <n v="118"/>
  </r>
  <r>
    <x v="7"/>
    <x v="0"/>
    <x v="3"/>
    <x v="5"/>
    <m/>
    <m/>
    <m/>
    <n v="14"/>
  </r>
  <r>
    <x v="7"/>
    <x v="0"/>
    <x v="3"/>
    <x v="6"/>
    <m/>
    <m/>
    <m/>
    <n v="26"/>
  </r>
  <r>
    <x v="2"/>
    <x v="0"/>
    <x v="3"/>
    <x v="1"/>
    <m/>
    <n v="1824"/>
    <m/>
    <m/>
  </r>
  <r>
    <x v="2"/>
    <x v="0"/>
    <x v="3"/>
    <x v="2"/>
    <m/>
    <n v="903"/>
    <m/>
    <m/>
  </r>
  <r>
    <x v="2"/>
    <x v="0"/>
    <x v="3"/>
    <x v="3"/>
    <m/>
    <n v="698"/>
    <m/>
    <m/>
  </r>
  <r>
    <x v="2"/>
    <x v="1"/>
    <x v="3"/>
    <x v="1"/>
    <m/>
    <n v="2089"/>
    <m/>
    <m/>
  </r>
  <r>
    <x v="2"/>
    <x v="1"/>
    <x v="3"/>
    <x v="2"/>
    <m/>
    <n v="1023"/>
    <m/>
    <m/>
  </r>
  <r>
    <x v="2"/>
    <x v="1"/>
    <x v="3"/>
    <x v="3"/>
    <m/>
    <n v="809"/>
    <m/>
    <m/>
  </r>
  <r>
    <x v="2"/>
    <x v="0"/>
    <x v="3"/>
    <x v="4"/>
    <m/>
    <m/>
    <m/>
    <n v="85"/>
  </r>
  <r>
    <x v="2"/>
    <x v="0"/>
    <x v="3"/>
    <x v="5"/>
    <m/>
    <m/>
    <m/>
    <n v="13"/>
  </r>
  <r>
    <x v="2"/>
    <x v="0"/>
    <x v="3"/>
    <x v="6"/>
    <m/>
    <m/>
    <m/>
    <n v="17"/>
  </r>
  <r>
    <x v="22"/>
    <x v="0"/>
    <x v="3"/>
    <x v="1"/>
    <m/>
    <n v="1007"/>
    <m/>
    <m/>
  </r>
  <r>
    <x v="22"/>
    <x v="0"/>
    <x v="3"/>
    <x v="2"/>
    <m/>
    <n v="524"/>
    <m/>
    <m/>
  </r>
  <r>
    <x v="22"/>
    <x v="0"/>
    <x v="3"/>
    <x v="3"/>
    <m/>
    <n v="403"/>
    <m/>
    <m/>
  </r>
  <r>
    <x v="22"/>
    <x v="1"/>
    <x v="3"/>
    <x v="1"/>
    <m/>
    <n v="1203"/>
    <m/>
    <m/>
  </r>
  <r>
    <x v="22"/>
    <x v="1"/>
    <x v="3"/>
    <x v="2"/>
    <m/>
    <n v="586"/>
    <m/>
    <m/>
  </r>
  <r>
    <x v="22"/>
    <x v="1"/>
    <x v="3"/>
    <x v="3"/>
    <m/>
    <n v="506"/>
    <m/>
    <m/>
  </r>
  <r>
    <x v="22"/>
    <x v="0"/>
    <x v="3"/>
    <x v="4"/>
    <m/>
    <m/>
    <m/>
    <n v="50"/>
  </r>
  <r>
    <x v="22"/>
    <x v="0"/>
    <x v="3"/>
    <x v="5"/>
    <m/>
    <m/>
    <m/>
    <n v="5"/>
  </r>
  <r>
    <x v="22"/>
    <x v="0"/>
    <x v="3"/>
    <x v="6"/>
    <m/>
    <m/>
    <m/>
    <n v="8"/>
  </r>
  <r>
    <x v="48"/>
    <x v="0"/>
    <x v="3"/>
    <x v="1"/>
    <m/>
    <n v="1253"/>
    <m/>
    <m/>
  </r>
  <r>
    <x v="48"/>
    <x v="0"/>
    <x v="3"/>
    <x v="2"/>
    <m/>
    <n v="321"/>
    <m/>
    <m/>
  </r>
  <r>
    <x v="48"/>
    <x v="0"/>
    <x v="3"/>
    <x v="3"/>
    <m/>
    <n v="207"/>
    <m/>
    <m/>
  </r>
  <r>
    <x v="48"/>
    <x v="1"/>
    <x v="3"/>
    <x v="1"/>
    <m/>
    <n v="1136"/>
    <m/>
    <m/>
  </r>
  <r>
    <x v="48"/>
    <x v="1"/>
    <x v="3"/>
    <x v="2"/>
    <m/>
    <n v="382"/>
    <m/>
    <m/>
  </r>
  <r>
    <x v="48"/>
    <x v="1"/>
    <x v="3"/>
    <x v="3"/>
    <m/>
    <n v="267"/>
    <m/>
    <m/>
  </r>
  <r>
    <x v="48"/>
    <x v="0"/>
    <x v="3"/>
    <x v="4"/>
    <m/>
    <m/>
    <m/>
    <n v="2"/>
  </r>
  <r>
    <x v="48"/>
    <x v="0"/>
    <x v="3"/>
    <x v="5"/>
    <m/>
    <m/>
    <m/>
    <n v="7"/>
  </r>
  <r>
    <x v="48"/>
    <x v="0"/>
    <x v="3"/>
    <x v="6"/>
    <m/>
    <m/>
    <m/>
    <n v="8"/>
  </r>
  <r>
    <x v="50"/>
    <x v="0"/>
    <x v="3"/>
    <x v="1"/>
    <m/>
    <n v="369"/>
    <m/>
    <m/>
  </r>
  <r>
    <x v="50"/>
    <x v="0"/>
    <x v="3"/>
    <x v="2"/>
    <m/>
    <n v="249"/>
    <m/>
    <m/>
  </r>
  <r>
    <x v="50"/>
    <x v="0"/>
    <x v="3"/>
    <x v="3"/>
    <m/>
    <n v="209"/>
    <m/>
    <m/>
  </r>
  <r>
    <x v="50"/>
    <x v="1"/>
    <x v="3"/>
    <x v="1"/>
    <m/>
    <n v="530"/>
    <m/>
    <m/>
  </r>
  <r>
    <x v="50"/>
    <x v="1"/>
    <x v="3"/>
    <x v="2"/>
    <m/>
    <n v="274"/>
    <m/>
    <m/>
  </r>
  <r>
    <x v="50"/>
    <x v="1"/>
    <x v="3"/>
    <x v="3"/>
    <m/>
    <n v="252"/>
    <m/>
    <m/>
  </r>
  <r>
    <x v="50"/>
    <x v="0"/>
    <x v="3"/>
    <x v="4"/>
    <m/>
    <m/>
    <m/>
    <n v="26"/>
  </r>
  <r>
    <x v="50"/>
    <x v="0"/>
    <x v="3"/>
    <x v="5"/>
    <m/>
    <m/>
    <m/>
    <n v="6"/>
  </r>
  <r>
    <x v="50"/>
    <x v="0"/>
    <x v="3"/>
    <x v="6"/>
    <m/>
    <m/>
    <m/>
    <n v="2"/>
  </r>
  <r>
    <x v="8"/>
    <x v="0"/>
    <x v="3"/>
    <x v="1"/>
    <m/>
    <n v="1419"/>
    <m/>
    <m/>
  </r>
  <r>
    <x v="8"/>
    <x v="0"/>
    <x v="3"/>
    <x v="2"/>
    <m/>
    <n v="767"/>
    <m/>
    <m/>
  </r>
  <r>
    <x v="8"/>
    <x v="0"/>
    <x v="3"/>
    <x v="3"/>
    <m/>
    <n v="520"/>
    <m/>
    <m/>
  </r>
  <r>
    <x v="8"/>
    <x v="1"/>
    <x v="3"/>
    <x v="1"/>
    <m/>
    <n v="1641"/>
    <m/>
    <m/>
  </r>
  <r>
    <x v="8"/>
    <x v="1"/>
    <x v="3"/>
    <x v="2"/>
    <m/>
    <n v="857"/>
    <m/>
    <m/>
  </r>
  <r>
    <x v="8"/>
    <x v="1"/>
    <x v="3"/>
    <x v="3"/>
    <m/>
    <n v="518"/>
    <m/>
    <m/>
  </r>
  <r>
    <x v="8"/>
    <x v="0"/>
    <x v="3"/>
    <x v="4"/>
    <m/>
    <m/>
    <m/>
    <n v="33"/>
  </r>
  <r>
    <x v="8"/>
    <x v="0"/>
    <x v="3"/>
    <x v="5"/>
    <m/>
    <m/>
    <m/>
    <n v="7"/>
  </r>
  <r>
    <x v="8"/>
    <x v="0"/>
    <x v="3"/>
    <x v="6"/>
    <m/>
    <m/>
    <m/>
    <n v="6"/>
  </r>
  <r>
    <x v="42"/>
    <x v="0"/>
    <x v="3"/>
    <x v="1"/>
    <m/>
    <n v="358"/>
    <m/>
    <m/>
  </r>
  <r>
    <x v="42"/>
    <x v="0"/>
    <x v="3"/>
    <x v="2"/>
    <m/>
    <n v="291"/>
    <m/>
    <m/>
  </r>
  <r>
    <x v="42"/>
    <x v="0"/>
    <x v="3"/>
    <x v="3"/>
    <m/>
    <n v="269"/>
    <m/>
    <m/>
  </r>
  <r>
    <x v="42"/>
    <x v="1"/>
    <x v="3"/>
    <x v="1"/>
    <m/>
    <n v="477"/>
    <m/>
    <m/>
  </r>
  <r>
    <x v="42"/>
    <x v="1"/>
    <x v="3"/>
    <x v="2"/>
    <m/>
    <n v="367"/>
    <m/>
    <m/>
  </r>
  <r>
    <x v="42"/>
    <x v="1"/>
    <x v="3"/>
    <x v="3"/>
    <m/>
    <n v="362"/>
    <m/>
    <m/>
  </r>
  <r>
    <x v="42"/>
    <x v="0"/>
    <x v="3"/>
    <x v="4"/>
    <m/>
    <m/>
    <m/>
    <n v="16"/>
  </r>
  <r>
    <x v="42"/>
    <x v="0"/>
    <x v="3"/>
    <x v="5"/>
    <m/>
    <m/>
    <m/>
    <n v="3"/>
  </r>
  <r>
    <x v="42"/>
    <x v="0"/>
    <x v="3"/>
    <x v="6"/>
    <m/>
    <m/>
    <m/>
    <n v="5"/>
  </r>
  <r>
    <x v="46"/>
    <x v="0"/>
    <x v="3"/>
    <x v="1"/>
    <m/>
    <n v="479"/>
    <m/>
    <m/>
  </r>
  <r>
    <x v="46"/>
    <x v="0"/>
    <x v="3"/>
    <x v="2"/>
    <m/>
    <n v="291"/>
    <m/>
    <m/>
  </r>
  <r>
    <x v="46"/>
    <x v="0"/>
    <x v="3"/>
    <x v="3"/>
    <m/>
    <n v="241"/>
    <m/>
    <m/>
  </r>
  <r>
    <x v="46"/>
    <x v="1"/>
    <x v="3"/>
    <x v="1"/>
    <m/>
    <n v="460"/>
    <m/>
    <m/>
  </r>
  <r>
    <x v="46"/>
    <x v="1"/>
    <x v="3"/>
    <x v="2"/>
    <m/>
    <n v="294"/>
    <m/>
    <m/>
  </r>
  <r>
    <x v="46"/>
    <x v="1"/>
    <x v="3"/>
    <x v="3"/>
    <m/>
    <n v="250"/>
    <m/>
    <m/>
  </r>
  <r>
    <x v="46"/>
    <x v="0"/>
    <x v="3"/>
    <x v="4"/>
    <m/>
    <m/>
    <m/>
    <n v="24"/>
  </r>
  <r>
    <x v="46"/>
    <x v="0"/>
    <x v="3"/>
    <x v="5"/>
    <m/>
    <m/>
    <m/>
    <n v="0"/>
  </r>
  <r>
    <x v="46"/>
    <x v="0"/>
    <x v="3"/>
    <x v="6"/>
    <m/>
    <m/>
    <m/>
    <n v="1"/>
  </r>
  <r>
    <x v="38"/>
    <x v="0"/>
    <x v="3"/>
    <x v="1"/>
    <m/>
    <n v="343"/>
    <m/>
    <m/>
  </r>
  <r>
    <x v="38"/>
    <x v="0"/>
    <x v="3"/>
    <x v="2"/>
    <m/>
    <n v="292"/>
    <m/>
    <m/>
  </r>
  <r>
    <x v="38"/>
    <x v="0"/>
    <x v="3"/>
    <x v="3"/>
    <m/>
    <n v="254"/>
    <m/>
    <m/>
  </r>
  <r>
    <x v="38"/>
    <x v="1"/>
    <x v="3"/>
    <x v="1"/>
    <m/>
    <n v="479"/>
    <m/>
    <m/>
  </r>
  <r>
    <x v="38"/>
    <x v="1"/>
    <x v="3"/>
    <x v="2"/>
    <m/>
    <n v="383"/>
    <m/>
    <m/>
  </r>
  <r>
    <x v="38"/>
    <x v="1"/>
    <x v="3"/>
    <x v="3"/>
    <m/>
    <n v="286"/>
    <m/>
    <m/>
  </r>
  <r>
    <x v="38"/>
    <x v="0"/>
    <x v="3"/>
    <x v="4"/>
    <m/>
    <m/>
    <m/>
    <n v="18"/>
  </r>
  <r>
    <x v="38"/>
    <x v="0"/>
    <x v="3"/>
    <x v="5"/>
    <m/>
    <m/>
    <m/>
    <n v="6"/>
  </r>
  <r>
    <x v="38"/>
    <x v="0"/>
    <x v="3"/>
    <x v="6"/>
    <m/>
    <m/>
    <m/>
    <n v="5"/>
  </r>
  <r>
    <x v="3"/>
    <x v="0"/>
    <x v="3"/>
    <x v="1"/>
    <m/>
    <n v="1453"/>
    <m/>
    <m/>
  </r>
  <r>
    <x v="3"/>
    <x v="0"/>
    <x v="3"/>
    <x v="2"/>
    <m/>
    <n v="684"/>
    <m/>
    <m/>
  </r>
  <r>
    <x v="3"/>
    <x v="0"/>
    <x v="3"/>
    <x v="3"/>
    <m/>
    <n v="652"/>
    <m/>
    <m/>
  </r>
  <r>
    <x v="3"/>
    <x v="1"/>
    <x v="3"/>
    <x v="1"/>
    <m/>
    <n v="1470"/>
    <m/>
    <m/>
  </r>
  <r>
    <x v="3"/>
    <x v="1"/>
    <x v="3"/>
    <x v="2"/>
    <m/>
    <n v="1192"/>
    <m/>
    <m/>
  </r>
  <r>
    <x v="3"/>
    <x v="1"/>
    <x v="3"/>
    <x v="3"/>
    <m/>
    <n v="691"/>
    <m/>
    <m/>
  </r>
  <r>
    <x v="3"/>
    <x v="0"/>
    <x v="3"/>
    <x v="4"/>
    <m/>
    <m/>
    <m/>
    <n v="38"/>
  </r>
  <r>
    <x v="3"/>
    <x v="0"/>
    <x v="3"/>
    <x v="5"/>
    <m/>
    <m/>
    <m/>
    <n v="8"/>
  </r>
  <r>
    <x v="3"/>
    <x v="0"/>
    <x v="3"/>
    <x v="6"/>
    <m/>
    <m/>
    <m/>
    <m/>
  </r>
  <r>
    <x v="12"/>
    <x v="0"/>
    <x v="3"/>
    <x v="1"/>
    <m/>
    <n v="1146"/>
    <m/>
    <m/>
  </r>
  <r>
    <x v="12"/>
    <x v="0"/>
    <x v="3"/>
    <x v="2"/>
    <m/>
    <n v="640"/>
    <m/>
    <m/>
  </r>
  <r>
    <x v="12"/>
    <x v="0"/>
    <x v="3"/>
    <x v="3"/>
    <m/>
    <n v="434"/>
    <m/>
    <m/>
  </r>
  <r>
    <x v="12"/>
    <x v="1"/>
    <x v="3"/>
    <x v="1"/>
    <m/>
    <n v="1205"/>
    <m/>
    <m/>
  </r>
  <r>
    <x v="12"/>
    <x v="1"/>
    <x v="3"/>
    <x v="2"/>
    <m/>
    <n v="701"/>
    <m/>
    <m/>
  </r>
  <r>
    <x v="12"/>
    <x v="1"/>
    <x v="3"/>
    <x v="3"/>
    <m/>
    <n v="480"/>
    <m/>
    <m/>
  </r>
  <r>
    <x v="12"/>
    <x v="0"/>
    <x v="3"/>
    <x v="4"/>
    <m/>
    <m/>
    <m/>
    <n v="45"/>
  </r>
  <r>
    <x v="12"/>
    <x v="0"/>
    <x v="3"/>
    <x v="5"/>
    <m/>
    <m/>
    <m/>
    <n v="5"/>
  </r>
  <r>
    <x v="12"/>
    <x v="0"/>
    <x v="3"/>
    <x v="6"/>
    <m/>
    <m/>
    <m/>
    <n v="9"/>
  </r>
  <r>
    <x v="34"/>
    <x v="0"/>
    <x v="3"/>
    <x v="1"/>
    <m/>
    <n v="930"/>
    <m/>
    <m/>
  </r>
  <r>
    <x v="34"/>
    <x v="0"/>
    <x v="3"/>
    <x v="2"/>
    <m/>
    <n v="430"/>
    <m/>
    <m/>
  </r>
  <r>
    <x v="34"/>
    <x v="0"/>
    <x v="3"/>
    <x v="3"/>
    <m/>
    <n v="291"/>
    <m/>
    <m/>
  </r>
  <r>
    <x v="34"/>
    <x v="1"/>
    <x v="3"/>
    <x v="1"/>
    <m/>
    <n v="1163"/>
    <m/>
    <m/>
  </r>
  <r>
    <x v="34"/>
    <x v="1"/>
    <x v="3"/>
    <x v="2"/>
    <m/>
    <n v="509"/>
    <m/>
    <m/>
  </r>
  <r>
    <x v="34"/>
    <x v="1"/>
    <x v="3"/>
    <x v="3"/>
    <m/>
    <n v="322"/>
    <m/>
    <m/>
  </r>
  <r>
    <x v="34"/>
    <x v="0"/>
    <x v="3"/>
    <x v="4"/>
    <m/>
    <m/>
    <m/>
    <n v="25"/>
  </r>
  <r>
    <x v="34"/>
    <x v="0"/>
    <x v="3"/>
    <x v="5"/>
    <m/>
    <m/>
    <m/>
    <n v="3"/>
  </r>
  <r>
    <x v="34"/>
    <x v="0"/>
    <x v="3"/>
    <x v="6"/>
    <m/>
    <m/>
    <m/>
    <n v="5"/>
  </r>
  <r>
    <x v="0"/>
    <x v="0"/>
    <x v="3"/>
    <x v="1"/>
    <m/>
    <n v="2485"/>
    <m/>
    <m/>
  </r>
  <r>
    <x v="0"/>
    <x v="0"/>
    <x v="3"/>
    <x v="2"/>
    <m/>
    <n v="1256"/>
    <m/>
    <m/>
  </r>
  <r>
    <x v="0"/>
    <x v="0"/>
    <x v="3"/>
    <x v="3"/>
    <m/>
    <n v="896"/>
    <m/>
    <m/>
  </r>
  <r>
    <x v="0"/>
    <x v="1"/>
    <x v="3"/>
    <x v="1"/>
    <m/>
    <n v="2663"/>
    <m/>
    <m/>
  </r>
  <r>
    <x v="0"/>
    <x v="1"/>
    <x v="3"/>
    <x v="2"/>
    <m/>
    <n v="1384"/>
    <m/>
    <m/>
  </r>
  <r>
    <x v="0"/>
    <x v="1"/>
    <x v="3"/>
    <x v="3"/>
    <m/>
    <n v="983"/>
    <m/>
    <m/>
  </r>
  <r>
    <x v="0"/>
    <x v="0"/>
    <x v="3"/>
    <x v="4"/>
    <m/>
    <m/>
    <m/>
    <n v="95"/>
  </r>
  <r>
    <x v="0"/>
    <x v="0"/>
    <x v="3"/>
    <x v="5"/>
    <m/>
    <m/>
    <m/>
    <n v="14"/>
  </r>
  <r>
    <x v="0"/>
    <x v="0"/>
    <x v="3"/>
    <x v="6"/>
    <m/>
    <m/>
    <m/>
    <n v="18"/>
  </r>
  <r>
    <x v="39"/>
    <x v="0"/>
    <x v="3"/>
    <x v="1"/>
    <m/>
    <n v="348"/>
    <m/>
    <m/>
  </r>
  <r>
    <x v="39"/>
    <x v="0"/>
    <x v="3"/>
    <x v="2"/>
    <m/>
    <n v="276"/>
    <m/>
    <m/>
  </r>
  <r>
    <x v="39"/>
    <x v="0"/>
    <x v="3"/>
    <x v="3"/>
    <m/>
    <n v="233"/>
    <m/>
    <m/>
  </r>
  <r>
    <x v="39"/>
    <x v="1"/>
    <x v="3"/>
    <x v="1"/>
    <m/>
    <n v="422"/>
    <m/>
    <m/>
  </r>
  <r>
    <x v="39"/>
    <x v="1"/>
    <x v="3"/>
    <x v="2"/>
    <m/>
    <n v="338"/>
    <m/>
    <m/>
  </r>
  <r>
    <x v="39"/>
    <x v="1"/>
    <x v="3"/>
    <x v="3"/>
    <m/>
    <n v="280"/>
    <m/>
    <m/>
  </r>
  <r>
    <x v="39"/>
    <x v="0"/>
    <x v="3"/>
    <x v="4"/>
    <m/>
    <m/>
    <m/>
    <n v="34"/>
  </r>
  <r>
    <x v="39"/>
    <x v="0"/>
    <x v="3"/>
    <x v="5"/>
    <m/>
    <m/>
    <m/>
    <n v="6"/>
  </r>
  <r>
    <x v="39"/>
    <x v="0"/>
    <x v="3"/>
    <x v="6"/>
    <m/>
    <m/>
    <m/>
    <n v="5"/>
  </r>
  <r>
    <x v="51"/>
    <x v="0"/>
    <x v="3"/>
    <x v="1"/>
    <m/>
    <n v="437"/>
    <m/>
    <m/>
  </r>
  <r>
    <x v="51"/>
    <x v="0"/>
    <x v="3"/>
    <x v="2"/>
    <m/>
    <n v="208"/>
    <m/>
    <m/>
  </r>
  <r>
    <x v="51"/>
    <x v="0"/>
    <x v="3"/>
    <x v="3"/>
    <m/>
    <n v="157"/>
    <m/>
    <m/>
  </r>
  <r>
    <x v="51"/>
    <x v="1"/>
    <x v="3"/>
    <x v="1"/>
    <m/>
    <n v="533"/>
    <m/>
    <m/>
  </r>
  <r>
    <x v="51"/>
    <x v="1"/>
    <x v="3"/>
    <x v="2"/>
    <m/>
    <n v="273"/>
    <m/>
    <m/>
  </r>
  <r>
    <x v="51"/>
    <x v="1"/>
    <x v="3"/>
    <x v="3"/>
    <m/>
    <n v="192"/>
    <m/>
    <m/>
  </r>
  <r>
    <x v="51"/>
    <x v="0"/>
    <x v="3"/>
    <x v="4"/>
    <m/>
    <m/>
    <m/>
    <n v="7"/>
  </r>
  <r>
    <x v="51"/>
    <x v="0"/>
    <x v="3"/>
    <x v="5"/>
    <m/>
    <m/>
    <m/>
    <n v="6"/>
  </r>
  <r>
    <x v="51"/>
    <x v="0"/>
    <x v="3"/>
    <x v="6"/>
    <m/>
    <m/>
    <m/>
    <n v="3"/>
  </r>
  <r>
    <x v="43"/>
    <x v="0"/>
    <x v="3"/>
    <x v="1"/>
    <m/>
    <n v="591"/>
    <m/>
    <m/>
  </r>
  <r>
    <x v="43"/>
    <x v="0"/>
    <x v="3"/>
    <x v="2"/>
    <m/>
    <n v="391"/>
    <m/>
    <m/>
  </r>
  <r>
    <x v="43"/>
    <x v="0"/>
    <x v="3"/>
    <x v="3"/>
    <m/>
    <n v="242"/>
    <m/>
    <m/>
  </r>
  <r>
    <x v="43"/>
    <x v="1"/>
    <x v="3"/>
    <x v="1"/>
    <m/>
    <n v="669"/>
    <m/>
    <m/>
  </r>
  <r>
    <x v="43"/>
    <x v="1"/>
    <x v="3"/>
    <x v="2"/>
    <m/>
    <n v="406"/>
    <m/>
    <m/>
  </r>
  <r>
    <x v="43"/>
    <x v="1"/>
    <x v="3"/>
    <x v="3"/>
    <m/>
    <n v="336"/>
    <m/>
    <m/>
  </r>
  <r>
    <x v="43"/>
    <x v="0"/>
    <x v="3"/>
    <x v="4"/>
    <m/>
    <m/>
    <m/>
    <n v="28"/>
  </r>
  <r>
    <x v="43"/>
    <x v="0"/>
    <x v="3"/>
    <x v="5"/>
    <m/>
    <m/>
    <m/>
    <n v="7"/>
  </r>
  <r>
    <x v="43"/>
    <x v="0"/>
    <x v="3"/>
    <x v="6"/>
    <m/>
    <m/>
    <m/>
    <n v="2"/>
  </r>
  <r>
    <x v="1"/>
    <x v="0"/>
    <x v="3"/>
    <x v="1"/>
    <m/>
    <n v="1645"/>
    <m/>
    <m/>
  </r>
  <r>
    <x v="1"/>
    <x v="0"/>
    <x v="3"/>
    <x v="2"/>
    <m/>
    <n v="938"/>
    <m/>
    <m/>
  </r>
  <r>
    <x v="1"/>
    <x v="0"/>
    <x v="3"/>
    <x v="3"/>
    <m/>
    <n v="738"/>
    <m/>
    <m/>
  </r>
  <r>
    <x v="1"/>
    <x v="1"/>
    <x v="3"/>
    <x v="1"/>
    <m/>
    <n v="1763"/>
    <m/>
    <m/>
  </r>
  <r>
    <x v="1"/>
    <x v="1"/>
    <x v="3"/>
    <x v="2"/>
    <m/>
    <n v="1041"/>
    <m/>
    <m/>
  </r>
  <r>
    <x v="1"/>
    <x v="1"/>
    <x v="3"/>
    <x v="3"/>
    <m/>
    <n v="823"/>
    <m/>
    <m/>
  </r>
  <r>
    <x v="1"/>
    <x v="0"/>
    <x v="3"/>
    <x v="4"/>
    <m/>
    <m/>
    <m/>
    <n v="62"/>
  </r>
  <r>
    <x v="1"/>
    <x v="0"/>
    <x v="3"/>
    <x v="5"/>
    <m/>
    <m/>
    <m/>
    <n v="20"/>
  </r>
  <r>
    <x v="1"/>
    <x v="0"/>
    <x v="3"/>
    <x v="6"/>
    <m/>
    <m/>
    <m/>
    <n v="9"/>
  </r>
  <r>
    <x v="18"/>
    <x v="0"/>
    <x v="3"/>
    <x v="1"/>
    <m/>
    <n v="818"/>
    <m/>
    <m/>
  </r>
  <r>
    <x v="18"/>
    <x v="0"/>
    <x v="3"/>
    <x v="2"/>
    <m/>
    <n v="548"/>
    <m/>
    <m/>
  </r>
  <r>
    <x v="18"/>
    <x v="0"/>
    <x v="3"/>
    <x v="3"/>
    <m/>
    <n v="443"/>
    <m/>
    <m/>
  </r>
  <r>
    <x v="18"/>
    <x v="1"/>
    <x v="3"/>
    <x v="1"/>
    <m/>
    <n v="855"/>
    <m/>
    <m/>
  </r>
  <r>
    <x v="18"/>
    <x v="1"/>
    <x v="3"/>
    <x v="2"/>
    <m/>
    <n v="518"/>
    <m/>
    <m/>
  </r>
  <r>
    <x v="18"/>
    <x v="1"/>
    <x v="3"/>
    <x v="3"/>
    <m/>
    <n v="432"/>
    <m/>
    <m/>
  </r>
  <r>
    <x v="18"/>
    <x v="0"/>
    <x v="3"/>
    <x v="4"/>
    <m/>
    <m/>
    <m/>
    <n v="39"/>
  </r>
  <r>
    <x v="18"/>
    <x v="0"/>
    <x v="3"/>
    <x v="5"/>
    <m/>
    <m/>
    <m/>
    <n v="4"/>
  </r>
  <r>
    <x v="18"/>
    <x v="0"/>
    <x v="3"/>
    <x v="6"/>
    <m/>
    <m/>
    <m/>
    <n v="2"/>
  </r>
  <r>
    <x v="52"/>
    <x v="0"/>
    <x v="3"/>
    <x v="1"/>
    <m/>
    <n v="210"/>
    <m/>
    <m/>
  </r>
  <r>
    <x v="52"/>
    <x v="0"/>
    <x v="3"/>
    <x v="2"/>
    <m/>
    <n v="79"/>
    <m/>
    <m/>
  </r>
  <r>
    <x v="52"/>
    <x v="0"/>
    <x v="3"/>
    <x v="3"/>
    <m/>
    <n v="51"/>
    <m/>
    <m/>
  </r>
  <r>
    <x v="52"/>
    <x v="1"/>
    <x v="3"/>
    <x v="1"/>
    <m/>
    <n v="248"/>
    <m/>
    <m/>
  </r>
  <r>
    <x v="52"/>
    <x v="1"/>
    <x v="3"/>
    <x v="2"/>
    <m/>
    <n v="95"/>
    <m/>
    <m/>
  </r>
  <r>
    <x v="52"/>
    <x v="1"/>
    <x v="3"/>
    <x v="3"/>
    <m/>
    <n v="53"/>
    <m/>
    <m/>
  </r>
  <r>
    <x v="52"/>
    <x v="0"/>
    <x v="3"/>
    <x v="4"/>
    <m/>
    <m/>
    <m/>
    <n v="1"/>
  </r>
  <r>
    <x v="52"/>
    <x v="0"/>
    <x v="3"/>
    <x v="5"/>
    <m/>
    <m/>
    <m/>
    <n v="0"/>
  </r>
  <r>
    <x v="52"/>
    <x v="0"/>
    <x v="3"/>
    <x v="6"/>
    <m/>
    <m/>
    <m/>
    <n v="2"/>
  </r>
  <r>
    <x v="4"/>
    <x v="0"/>
    <x v="3"/>
    <x v="1"/>
    <m/>
    <n v="1638"/>
    <m/>
    <m/>
  </r>
  <r>
    <x v="4"/>
    <x v="0"/>
    <x v="3"/>
    <x v="2"/>
    <m/>
    <n v="899"/>
    <m/>
    <m/>
  </r>
  <r>
    <x v="4"/>
    <x v="0"/>
    <x v="3"/>
    <x v="3"/>
    <m/>
    <n v="633"/>
    <m/>
    <m/>
  </r>
  <r>
    <x v="4"/>
    <x v="1"/>
    <x v="3"/>
    <x v="1"/>
    <m/>
    <n v="1912"/>
    <m/>
    <m/>
  </r>
  <r>
    <x v="4"/>
    <x v="1"/>
    <x v="3"/>
    <x v="2"/>
    <m/>
    <n v="901"/>
    <m/>
    <m/>
  </r>
  <r>
    <x v="4"/>
    <x v="1"/>
    <x v="3"/>
    <x v="3"/>
    <m/>
    <n v="701"/>
    <m/>
    <m/>
  </r>
  <r>
    <x v="4"/>
    <x v="0"/>
    <x v="3"/>
    <x v="4"/>
    <m/>
    <m/>
    <m/>
    <n v="80"/>
  </r>
  <r>
    <x v="4"/>
    <x v="0"/>
    <x v="3"/>
    <x v="5"/>
    <m/>
    <m/>
    <m/>
    <n v="16"/>
  </r>
  <r>
    <x v="4"/>
    <x v="0"/>
    <x v="3"/>
    <x v="6"/>
    <m/>
    <m/>
    <m/>
    <n v="7"/>
  </r>
  <r>
    <x v="41"/>
    <x v="0"/>
    <x v="3"/>
    <x v="1"/>
    <m/>
    <n v="987"/>
    <m/>
    <m/>
  </r>
  <r>
    <x v="41"/>
    <x v="0"/>
    <x v="3"/>
    <x v="2"/>
    <m/>
    <n v="504"/>
    <m/>
    <m/>
  </r>
  <r>
    <x v="41"/>
    <x v="0"/>
    <x v="3"/>
    <x v="3"/>
    <m/>
    <n v="380"/>
    <m/>
    <m/>
  </r>
  <r>
    <x v="41"/>
    <x v="1"/>
    <x v="3"/>
    <x v="1"/>
    <m/>
    <n v="1081"/>
    <m/>
    <m/>
  </r>
  <r>
    <x v="41"/>
    <x v="1"/>
    <x v="3"/>
    <x v="2"/>
    <m/>
    <n v="474"/>
    <m/>
    <m/>
  </r>
  <r>
    <x v="41"/>
    <x v="1"/>
    <x v="3"/>
    <x v="3"/>
    <m/>
    <n v="321"/>
    <m/>
    <m/>
  </r>
  <r>
    <x v="41"/>
    <x v="0"/>
    <x v="3"/>
    <x v="4"/>
    <m/>
    <m/>
    <m/>
    <n v="28"/>
  </r>
  <r>
    <x v="41"/>
    <x v="0"/>
    <x v="3"/>
    <x v="5"/>
    <m/>
    <m/>
    <m/>
    <n v="7"/>
  </r>
  <r>
    <x v="41"/>
    <x v="0"/>
    <x v="3"/>
    <x v="6"/>
    <m/>
    <m/>
    <m/>
    <n v="3"/>
  </r>
  <r>
    <x v="15"/>
    <x v="0"/>
    <x v="3"/>
    <x v="1"/>
    <m/>
    <n v="1060"/>
    <m/>
    <m/>
  </r>
  <r>
    <x v="15"/>
    <x v="0"/>
    <x v="3"/>
    <x v="2"/>
    <m/>
    <n v="683"/>
    <m/>
    <m/>
  </r>
  <r>
    <x v="15"/>
    <x v="0"/>
    <x v="3"/>
    <x v="3"/>
    <m/>
    <n v="533"/>
    <m/>
    <m/>
  </r>
  <r>
    <x v="15"/>
    <x v="1"/>
    <x v="3"/>
    <x v="1"/>
    <m/>
    <n v="1416"/>
    <m/>
    <m/>
  </r>
  <r>
    <x v="15"/>
    <x v="1"/>
    <x v="3"/>
    <x v="2"/>
    <m/>
    <n v="797"/>
    <m/>
    <m/>
  </r>
  <r>
    <x v="15"/>
    <x v="1"/>
    <x v="3"/>
    <x v="3"/>
    <m/>
    <n v="676"/>
    <m/>
    <m/>
  </r>
  <r>
    <x v="15"/>
    <x v="0"/>
    <x v="3"/>
    <x v="4"/>
    <m/>
    <m/>
    <m/>
    <n v="56"/>
  </r>
  <r>
    <x v="15"/>
    <x v="0"/>
    <x v="3"/>
    <x v="5"/>
    <m/>
    <m/>
    <m/>
    <n v="13"/>
  </r>
  <r>
    <x v="15"/>
    <x v="0"/>
    <x v="3"/>
    <x v="6"/>
    <m/>
    <m/>
    <m/>
    <n v="9"/>
  </r>
  <r>
    <x v="45"/>
    <x v="0"/>
    <x v="3"/>
    <x v="1"/>
    <m/>
    <n v="1007"/>
    <m/>
    <m/>
  </r>
  <r>
    <x v="45"/>
    <x v="0"/>
    <x v="3"/>
    <x v="2"/>
    <m/>
    <n v="444"/>
    <m/>
    <m/>
  </r>
  <r>
    <x v="45"/>
    <x v="0"/>
    <x v="3"/>
    <x v="3"/>
    <m/>
    <n v="299"/>
    <m/>
    <m/>
  </r>
  <r>
    <x v="45"/>
    <x v="1"/>
    <x v="3"/>
    <x v="1"/>
    <m/>
    <n v="1062"/>
    <m/>
    <m/>
  </r>
  <r>
    <x v="45"/>
    <x v="1"/>
    <x v="3"/>
    <x v="2"/>
    <m/>
    <n v="437"/>
    <m/>
    <m/>
  </r>
  <r>
    <x v="45"/>
    <x v="1"/>
    <x v="3"/>
    <x v="3"/>
    <m/>
    <n v="300"/>
    <m/>
    <m/>
  </r>
  <r>
    <x v="45"/>
    <x v="0"/>
    <x v="3"/>
    <x v="4"/>
    <m/>
    <m/>
    <m/>
    <n v="22"/>
  </r>
  <r>
    <x v="45"/>
    <x v="0"/>
    <x v="3"/>
    <x v="5"/>
    <m/>
    <m/>
    <m/>
    <n v="5"/>
  </r>
  <r>
    <x v="45"/>
    <x v="0"/>
    <x v="3"/>
    <x v="6"/>
    <m/>
    <m/>
    <m/>
    <n v="3"/>
  </r>
  <r>
    <x v="29"/>
    <x v="0"/>
    <x v="3"/>
    <x v="1"/>
    <m/>
    <n v="825"/>
    <m/>
    <m/>
  </r>
  <r>
    <x v="29"/>
    <x v="0"/>
    <x v="3"/>
    <x v="2"/>
    <m/>
    <n v="442"/>
    <m/>
    <m/>
  </r>
  <r>
    <x v="29"/>
    <x v="0"/>
    <x v="3"/>
    <x v="3"/>
    <m/>
    <n v="344"/>
    <m/>
    <m/>
  </r>
  <r>
    <x v="29"/>
    <x v="1"/>
    <x v="3"/>
    <x v="1"/>
    <m/>
    <n v="895"/>
    <m/>
    <m/>
  </r>
  <r>
    <x v="29"/>
    <x v="1"/>
    <x v="3"/>
    <x v="2"/>
    <m/>
    <n v="474"/>
    <m/>
    <m/>
  </r>
  <r>
    <x v="29"/>
    <x v="1"/>
    <x v="3"/>
    <x v="3"/>
    <m/>
    <n v="418"/>
    <m/>
    <m/>
  </r>
  <r>
    <x v="29"/>
    <x v="0"/>
    <x v="3"/>
    <x v="4"/>
    <m/>
    <m/>
    <m/>
    <n v="38"/>
  </r>
  <r>
    <x v="29"/>
    <x v="0"/>
    <x v="3"/>
    <x v="5"/>
    <m/>
    <m/>
    <m/>
    <n v="9"/>
  </r>
  <r>
    <x v="29"/>
    <x v="0"/>
    <x v="3"/>
    <x v="6"/>
    <m/>
    <m/>
    <m/>
    <n v="9"/>
  </r>
  <r>
    <x v="28"/>
    <x v="0"/>
    <x v="3"/>
    <x v="1"/>
    <m/>
    <n v="935"/>
    <m/>
    <m/>
  </r>
  <r>
    <x v="28"/>
    <x v="0"/>
    <x v="3"/>
    <x v="2"/>
    <m/>
    <n v="523"/>
    <m/>
    <m/>
  </r>
  <r>
    <x v="28"/>
    <x v="0"/>
    <x v="3"/>
    <x v="3"/>
    <m/>
    <n v="343"/>
    <m/>
    <m/>
  </r>
  <r>
    <x v="28"/>
    <x v="1"/>
    <x v="3"/>
    <x v="1"/>
    <m/>
    <n v="1119"/>
    <m/>
    <m/>
  </r>
  <r>
    <x v="28"/>
    <x v="1"/>
    <x v="3"/>
    <x v="2"/>
    <m/>
    <n v="567"/>
    <m/>
    <m/>
  </r>
  <r>
    <x v="28"/>
    <x v="1"/>
    <x v="3"/>
    <x v="3"/>
    <m/>
    <n v="414"/>
    <m/>
    <m/>
  </r>
  <r>
    <x v="28"/>
    <x v="0"/>
    <x v="3"/>
    <x v="4"/>
    <m/>
    <m/>
    <m/>
    <n v="46"/>
  </r>
  <r>
    <x v="28"/>
    <x v="0"/>
    <x v="3"/>
    <x v="5"/>
    <m/>
    <m/>
    <m/>
    <n v="7"/>
  </r>
  <r>
    <x v="28"/>
    <x v="0"/>
    <x v="3"/>
    <x v="6"/>
    <m/>
    <m/>
    <m/>
    <n v="4"/>
  </r>
  <r>
    <x v="24"/>
    <x v="0"/>
    <x v="3"/>
    <x v="1"/>
    <m/>
    <n v="1304"/>
    <m/>
    <m/>
  </r>
  <r>
    <x v="24"/>
    <x v="0"/>
    <x v="3"/>
    <x v="2"/>
    <m/>
    <n v="625"/>
    <m/>
    <m/>
  </r>
  <r>
    <x v="24"/>
    <x v="0"/>
    <x v="3"/>
    <x v="3"/>
    <m/>
    <n v="447"/>
    <m/>
    <m/>
  </r>
  <r>
    <x v="24"/>
    <x v="1"/>
    <x v="3"/>
    <x v="1"/>
    <m/>
    <n v="1372"/>
    <m/>
    <m/>
  </r>
  <r>
    <x v="24"/>
    <x v="1"/>
    <x v="3"/>
    <x v="2"/>
    <m/>
    <n v="652"/>
    <m/>
    <m/>
  </r>
  <r>
    <x v="24"/>
    <x v="1"/>
    <x v="3"/>
    <x v="3"/>
    <m/>
    <n v="420"/>
    <m/>
    <m/>
  </r>
  <r>
    <x v="24"/>
    <x v="0"/>
    <x v="3"/>
    <x v="4"/>
    <m/>
    <m/>
    <m/>
    <n v="38"/>
  </r>
  <r>
    <x v="24"/>
    <x v="0"/>
    <x v="3"/>
    <x v="5"/>
    <m/>
    <m/>
    <m/>
    <n v="3"/>
  </r>
  <r>
    <x v="24"/>
    <x v="0"/>
    <x v="3"/>
    <x v="6"/>
    <m/>
    <m/>
    <m/>
    <n v="6"/>
  </r>
  <r>
    <x v="23"/>
    <x v="0"/>
    <x v="3"/>
    <x v="1"/>
    <m/>
    <n v="681"/>
    <m/>
    <m/>
  </r>
  <r>
    <x v="23"/>
    <x v="0"/>
    <x v="3"/>
    <x v="2"/>
    <m/>
    <n v="408"/>
    <m/>
    <m/>
  </r>
  <r>
    <x v="23"/>
    <x v="0"/>
    <x v="3"/>
    <x v="3"/>
    <m/>
    <n v="349"/>
    <m/>
    <m/>
  </r>
  <r>
    <x v="23"/>
    <x v="1"/>
    <x v="3"/>
    <x v="1"/>
    <m/>
    <n v="802"/>
    <m/>
    <m/>
  </r>
  <r>
    <x v="23"/>
    <x v="1"/>
    <x v="3"/>
    <x v="2"/>
    <m/>
    <n v="529"/>
    <m/>
    <m/>
  </r>
  <r>
    <x v="23"/>
    <x v="1"/>
    <x v="3"/>
    <x v="3"/>
    <m/>
    <n v="533"/>
    <m/>
    <m/>
  </r>
  <r>
    <x v="23"/>
    <x v="0"/>
    <x v="3"/>
    <x v="4"/>
    <m/>
    <m/>
    <m/>
    <n v="62"/>
  </r>
  <r>
    <x v="23"/>
    <x v="0"/>
    <x v="3"/>
    <x v="5"/>
    <m/>
    <m/>
    <m/>
    <n v="5"/>
  </r>
  <r>
    <x v="23"/>
    <x v="0"/>
    <x v="3"/>
    <x v="6"/>
    <m/>
    <m/>
    <m/>
    <n v="5"/>
  </r>
  <r>
    <x v="14"/>
    <x v="0"/>
    <x v="3"/>
    <x v="1"/>
    <m/>
    <n v="826"/>
    <m/>
    <m/>
  </r>
  <r>
    <x v="14"/>
    <x v="0"/>
    <x v="3"/>
    <x v="2"/>
    <m/>
    <n v="488"/>
    <m/>
    <m/>
  </r>
  <r>
    <x v="14"/>
    <x v="0"/>
    <x v="3"/>
    <x v="3"/>
    <m/>
    <n v="429"/>
    <m/>
    <m/>
  </r>
  <r>
    <x v="14"/>
    <x v="1"/>
    <x v="3"/>
    <x v="1"/>
    <m/>
    <n v="1044"/>
    <m/>
    <m/>
  </r>
  <r>
    <x v="14"/>
    <x v="1"/>
    <x v="3"/>
    <x v="2"/>
    <m/>
    <n v="610"/>
    <m/>
    <m/>
  </r>
  <r>
    <x v="14"/>
    <x v="1"/>
    <x v="3"/>
    <x v="3"/>
    <m/>
    <n v="561"/>
    <m/>
    <m/>
  </r>
  <r>
    <x v="14"/>
    <x v="0"/>
    <x v="3"/>
    <x v="4"/>
    <m/>
    <m/>
    <m/>
    <n v="61"/>
  </r>
  <r>
    <x v="14"/>
    <x v="0"/>
    <x v="3"/>
    <x v="5"/>
    <m/>
    <m/>
    <m/>
    <n v="10"/>
  </r>
  <r>
    <x v="14"/>
    <x v="0"/>
    <x v="3"/>
    <x v="6"/>
    <m/>
    <m/>
    <m/>
    <n v="8"/>
  </r>
  <r>
    <x v="30"/>
    <x v="0"/>
    <x v="3"/>
    <x v="1"/>
    <m/>
    <n v="691"/>
    <m/>
    <m/>
  </r>
  <r>
    <x v="30"/>
    <x v="0"/>
    <x v="3"/>
    <x v="2"/>
    <m/>
    <n v="324"/>
    <m/>
    <m/>
  </r>
  <r>
    <x v="30"/>
    <x v="0"/>
    <x v="3"/>
    <x v="3"/>
    <m/>
    <n v="287"/>
    <m/>
    <m/>
  </r>
  <r>
    <x v="30"/>
    <x v="1"/>
    <x v="3"/>
    <x v="1"/>
    <m/>
    <n v="780"/>
    <m/>
    <m/>
  </r>
  <r>
    <x v="30"/>
    <x v="1"/>
    <x v="3"/>
    <x v="2"/>
    <m/>
    <n v="537"/>
    <m/>
    <m/>
  </r>
  <r>
    <x v="30"/>
    <x v="1"/>
    <x v="3"/>
    <x v="3"/>
    <m/>
    <n v="427"/>
    <m/>
    <m/>
  </r>
  <r>
    <x v="30"/>
    <x v="0"/>
    <x v="3"/>
    <x v="4"/>
    <m/>
    <m/>
    <m/>
    <n v="20"/>
  </r>
  <r>
    <x v="30"/>
    <x v="0"/>
    <x v="3"/>
    <x v="5"/>
    <m/>
    <m/>
    <m/>
    <n v="4"/>
  </r>
  <r>
    <x v="30"/>
    <x v="0"/>
    <x v="3"/>
    <x v="6"/>
    <m/>
    <m/>
    <m/>
    <n v="3"/>
  </r>
  <r>
    <x v="20"/>
    <x v="0"/>
    <x v="3"/>
    <x v="1"/>
    <m/>
    <n v="820"/>
    <m/>
    <m/>
  </r>
  <r>
    <x v="20"/>
    <x v="0"/>
    <x v="3"/>
    <x v="2"/>
    <m/>
    <n v="444"/>
    <m/>
    <m/>
  </r>
  <r>
    <x v="20"/>
    <x v="0"/>
    <x v="3"/>
    <x v="3"/>
    <m/>
    <n v="346"/>
    <m/>
    <m/>
  </r>
  <r>
    <x v="20"/>
    <x v="1"/>
    <x v="3"/>
    <x v="1"/>
    <m/>
    <n v="917"/>
    <m/>
    <m/>
  </r>
  <r>
    <x v="20"/>
    <x v="1"/>
    <x v="3"/>
    <x v="2"/>
    <m/>
    <n v="506"/>
    <m/>
    <m/>
  </r>
  <r>
    <x v="20"/>
    <x v="1"/>
    <x v="3"/>
    <x v="3"/>
    <m/>
    <n v="393"/>
    <m/>
    <m/>
  </r>
  <r>
    <x v="20"/>
    <x v="0"/>
    <x v="3"/>
    <x v="4"/>
    <m/>
    <m/>
    <m/>
    <n v="56"/>
  </r>
  <r>
    <x v="20"/>
    <x v="0"/>
    <x v="3"/>
    <x v="5"/>
    <m/>
    <m/>
    <m/>
    <n v="7"/>
  </r>
  <r>
    <x v="20"/>
    <x v="0"/>
    <x v="3"/>
    <x v="6"/>
    <m/>
    <m/>
    <m/>
    <n v="12"/>
  </r>
  <r>
    <x v="36"/>
    <x v="0"/>
    <x v="3"/>
    <x v="1"/>
    <m/>
    <n v="526"/>
    <m/>
    <m/>
  </r>
  <r>
    <x v="36"/>
    <x v="0"/>
    <x v="3"/>
    <x v="2"/>
    <m/>
    <n v="361"/>
    <m/>
    <m/>
  </r>
  <r>
    <x v="36"/>
    <x v="0"/>
    <x v="3"/>
    <x v="3"/>
    <m/>
    <n v="313"/>
    <m/>
    <m/>
  </r>
  <r>
    <x v="36"/>
    <x v="1"/>
    <x v="3"/>
    <x v="1"/>
    <m/>
    <n v="613"/>
    <m/>
    <m/>
  </r>
  <r>
    <x v="36"/>
    <x v="1"/>
    <x v="3"/>
    <x v="2"/>
    <m/>
    <n v="445"/>
    <m/>
    <m/>
  </r>
  <r>
    <x v="36"/>
    <x v="1"/>
    <x v="3"/>
    <x v="3"/>
    <m/>
    <n v="374"/>
    <m/>
    <m/>
  </r>
  <r>
    <x v="36"/>
    <x v="0"/>
    <x v="3"/>
    <x v="4"/>
    <m/>
    <m/>
    <m/>
    <n v="66"/>
  </r>
  <r>
    <x v="36"/>
    <x v="0"/>
    <x v="3"/>
    <x v="5"/>
    <m/>
    <m/>
    <m/>
    <n v="6"/>
  </r>
  <r>
    <x v="36"/>
    <x v="0"/>
    <x v="3"/>
    <x v="6"/>
    <m/>
    <m/>
    <m/>
    <n v="8"/>
  </r>
  <r>
    <x v="33"/>
    <x v="0"/>
    <x v="3"/>
    <x v="1"/>
    <m/>
    <n v="675"/>
    <m/>
    <m/>
  </r>
  <r>
    <x v="33"/>
    <x v="0"/>
    <x v="3"/>
    <x v="2"/>
    <m/>
    <n v="422"/>
    <m/>
    <m/>
  </r>
  <r>
    <x v="33"/>
    <x v="0"/>
    <x v="3"/>
    <x v="3"/>
    <m/>
    <n v="334"/>
    <m/>
    <m/>
  </r>
  <r>
    <x v="33"/>
    <x v="1"/>
    <x v="3"/>
    <x v="1"/>
    <m/>
    <n v="611"/>
    <m/>
    <m/>
  </r>
  <r>
    <x v="33"/>
    <x v="1"/>
    <x v="3"/>
    <x v="2"/>
    <m/>
    <n v="459"/>
    <m/>
    <m/>
  </r>
  <r>
    <x v="33"/>
    <x v="1"/>
    <x v="3"/>
    <x v="3"/>
    <m/>
    <n v="420"/>
    <m/>
    <m/>
  </r>
  <r>
    <x v="33"/>
    <x v="0"/>
    <x v="3"/>
    <x v="4"/>
    <m/>
    <m/>
    <m/>
    <n v="41"/>
  </r>
  <r>
    <x v="33"/>
    <x v="0"/>
    <x v="3"/>
    <x v="5"/>
    <m/>
    <m/>
    <m/>
    <n v="8"/>
  </r>
  <r>
    <x v="33"/>
    <x v="0"/>
    <x v="3"/>
    <x v="6"/>
    <m/>
    <m/>
    <m/>
    <n v="5"/>
  </r>
  <r>
    <x v="19"/>
    <x v="0"/>
    <x v="3"/>
    <x v="1"/>
    <m/>
    <n v="668"/>
    <m/>
    <m/>
  </r>
  <r>
    <x v="19"/>
    <x v="0"/>
    <x v="3"/>
    <x v="2"/>
    <m/>
    <n v="500"/>
    <m/>
    <m/>
  </r>
  <r>
    <x v="19"/>
    <x v="0"/>
    <x v="3"/>
    <x v="3"/>
    <m/>
    <n v="431"/>
    <m/>
    <m/>
  </r>
  <r>
    <x v="19"/>
    <x v="1"/>
    <x v="3"/>
    <x v="1"/>
    <m/>
    <n v="776"/>
    <m/>
    <m/>
  </r>
  <r>
    <x v="19"/>
    <x v="1"/>
    <x v="3"/>
    <x v="2"/>
    <m/>
    <n v="570"/>
    <m/>
    <m/>
  </r>
  <r>
    <x v="19"/>
    <x v="1"/>
    <x v="3"/>
    <x v="3"/>
    <m/>
    <n v="512"/>
    <m/>
    <m/>
  </r>
  <r>
    <x v="19"/>
    <x v="0"/>
    <x v="3"/>
    <x v="4"/>
    <m/>
    <m/>
    <m/>
    <n v="71"/>
  </r>
  <r>
    <x v="19"/>
    <x v="0"/>
    <x v="3"/>
    <x v="5"/>
    <m/>
    <m/>
    <m/>
    <n v="7"/>
  </r>
  <r>
    <x v="19"/>
    <x v="0"/>
    <x v="3"/>
    <x v="6"/>
    <m/>
    <m/>
    <m/>
    <n v="11"/>
  </r>
  <r>
    <x v="21"/>
    <x v="0"/>
    <x v="3"/>
    <x v="1"/>
    <m/>
    <n v="846"/>
    <m/>
    <m/>
  </r>
  <r>
    <x v="21"/>
    <x v="0"/>
    <x v="3"/>
    <x v="2"/>
    <m/>
    <n v="545"/>
    <m/>
    <m/>
  </r>
  <r>
    <x v="21"/>
    <x v="0"/>
    <x v="3"/>
    <x v="3"/>
    <m/>
    <n v="426"/>
    <m/>
    <m/>
  </r>
  <r>
    <x v="21"/>
    <x v="1"/>
    <x v="3"/>
    <x v="1"/>
    <m/>
    <n v="1005"/>
    <m/>
    <m/>
  </r>
  <r>
    <x v="21"/>
    <x v="1"/>
    <x v="3"/>
    <x v="2"/>
    <m/>
    <n v="538"/>
    <m/>
    <m/>
  </r>
  <r>
    <x v="21"/>
    <x v="1"/>
    <x v="3"/>
    <x v="3"/>
    <m/>
    <n v="434"/>
    <m/>
    <m/>
  </r>
  <r>
    <x v="21"/>
    <x v="0"/>
    <x v="3"/>
    <x v="4"/>
    <m/>
    <m/>
    <m/>
    <n v="57"/>
  </r>
  <r>
    <x v="21"/>
    <x v="0"/>
    <x v="3"/>
    <x v="5"/>
    <m/>
    <m/>
    <m/>
    <n v="4"/>
  </r>
  <r>
    <x v="21"/>
    <x v="0"/>
    <x v="3"/>
    <x v="6"/>
    <m/>
    <m/>
    <m/>
    <n v="14"/>
  </r>
  <r>
    <x v="47"/>
    <x v="0"/>
    <x v="3"/>
    <x v="1"/>
    <m/>
    <n v="395"/>
    <m/>
    <m/>
  </r>
  <r>
    <x v="47"/>
    <x v="0"/>
    <x v="3"/>
    <x v="2"/>
    <m/>
    <n v="281"/>
    <m/>
    <m/>
  </r>
  <r>
    <x v="47"/>
    <x v="0"/>
    <x v="3"/>
    <x v="3"/>
    <m/>
    <n v="262"/>
    <m/>
    <m/>
  </r>
  <r>
    <x v="47"/>
    <x v="1"/>
    <x v="3"/>
    <x v="1"/>
    <m/>
    <n v="378"/>
    <m/>
    <m/>
  </r>
  <r>
    <x v="47"/>
    <x v="1"/>
    <x v="3"/>
    <x v="2"/>
    <m/>
    <n v="292"/>
    <m/>
    <m/>
  </r>
  <r>
    <x v="47"/>
    <x v="1"/>
    <x v="3"/>
    <x v="3"/>
    <m/>
    <n v="297"/>
    <m/>
    <m/>
  </r>
  <r>
    <x v="47"/>
    <x v="0"/>
    <x v="3"/>
    <x v="4"/>
    <m/>
    <m/>
    <m/>
    <n v="51"/>
  </r>
  <r>
    <x v="47"/>
    <x v="0"/>
    <x v="3"/>
    <x v="5"/>
    <m/>
    <m/>
    <m/>
    <n v="7"/>
  </r>
  <r>
    <x v="47"/>
    <x v="0"/>
    <x v="3"/>
    <x v="6"/>
    <m/>
    <m/>
    <m/>
    <n v="0"/>
  </r>
  <r>
    <x v="35"/>
    <x v="0"/>
    <x v="3"/>
    <x v="1"/>
    <m/>
    <n v="430"/>
    <m/>
    <m/>
  </r>
  <r>
    <x v="35"/>
    <x v="0"/>
    <x v="3"/>
    <x v="2"/>
    <m/>
    <n v="312"/>
    <m/>
    <m/>
  </r>
  <r>
    <x v="35"/>
    <x v="0"/>
    <x v="3"/>
    <x v="3"/>
    <m/>
    <n v="313"/>
    <m/>
    <m/>
  </r>
  <r>
    <x v="35"/>
    <x v="1"/>
    <x v="3"/>
    <x v="1"/>
    <m/>
    <n v="536"/>
    <m/>
    <m/>
  </r>
  <r>
    <x v="35"/>
    <x v="1"/>
    <x v="3"/>
    <x v="2"/>
    <m/>
    <n v="364"/>
    <m/>
    <m/>
  </r>
  <r>
    <x v="35"/>
    <x v="1"/>
    <x v="3"/>
    <x v="3"/>
    <m/>
    <n v="345"/>
    <m/>
    <m/>
  </r>
  <r>
    <x v="35"/>
    <x v="0"/>
    <x v="3"/>
    <x v="4"/>
    <m/>
    <m/>
    <m/>
    <n v="34"/>
  </r>
  <r>
    <x v="35"/>
    <x v="0"/>
    <x v="3"/>
    <x v="5"/>
    <m/>
    <m/>
    <m/>
    <n v="1"/>
  </r>
  <r>
    <x v="35"/>
    <x v="0"/>
    <x v="3"/>
    <x v="6"/>
    <m/>
    <m/>
    <m/>
    <n v="3"/>
  </r>
  <r>
    <x v="44"/>
    <x v="0"/>
    <x v="3"/>
    <x v="1"/>
    <m/>
    <n v="347"/>
    <m/>
    <m/>
  </r>
  <r>
    <x v="44"/>
    <x v="0"/>
    <x v="3"/>
    <x v="2"/>
    <m/>
    <n v="298"/>
    <m/>
    <m/>
  </r>
  <r>
    <x v="44"/>
    <x v="0"/>
    <x v="3"/>
    <x v="3"/>
    <m/>
    <n v="266"/>
    <m/>
    <m/>
  </r>
  <r>
    <x v="44"/>
    <x v="1"/>
    <x v="3"/>
    <x v="1"/>
    <m/>
    <n v="346"/>
    <m/>
    <m/>
  </r>
  <r>
    <x v="44"/>
    <x v="1"/>
    <x v="3"/>
    <x v="2"/>
    <m/>
    <n v="363"/>
    <m/>
    <m/>
  </r>
  <r>
    <x v="44"/>
    <x v="1"/>
    <x v="3"/>
    <x v="3"/>
    <m/>
    <n v="323"/>
    <m/>
    <m/>
  </r>
  <r>
    <x v="44"/>
    <x v="0"/>
    <x v="3"/>
    <x v="4"/>
    <m/>
    <m/>
    <m/>
    <n v="29"/>
  </r>
  <r>
    <x v="44"/>
    <x v="0"/>
    <x v="3"/>
    <x v="5"/>
    <m/>
    <m/>
    <m/>
    <n v="1"/>
  </r>
  <r>
    <x v="44"/>
    <x v="0"/>
    <x v="3"/>
    <x v="6"/>
    <m/>
    <m/>
    <m/>
    <n v="7"/>
  </r>
  <r>
    <x v="6"/>
    <x v="0"/>
    <x v="3"/>
    <x v="1"/>
    <m/>
    <n v="1284"/>
    <m/>
    <m/>
  </r>
  <r>
    <x v="6"/>
    <x v="0"/>
    <x v="3"/>
    <x v="2"/>
    <m/>
    <n v="830"/>
    <m/>
    <m/>
  </r>
  <r>
    <x v="6"/>
    <x v="0"/>
    <x v="3"/>
    <x v="3"/>
    <m/>
    <n v="600"/>
    <m/>
    <m/>
  </r>
  <r>
    <x v="6"/>
    <x v="1"/>
    <x v="3"/>
    <x v="1"/>
    <m/>
    <n v="1621"/>
    <m/>
    <m/>
  </r>
  <r>
    <x v="6"/>
    <x v="1"/>
    <x v="3"/>
    <x v="2"/>
    <m/>
    <n v="830"/>
    <m/>
    <m/>
  </r>
  <r>
    <x v="6"/>
    <x v="1"/>
    <x v="3"/>
    <x v="3"/>
    <m/>
    <n v="641"/>
    <m/>
    <m/>
  </r>
  <r>
    <x v="6"/>
    <x v="0"/>
    <x v="3"/>
    <x v="4"/>
    <m/>
    <m/>
    <m/>
    <n v="79"/>
  </r>
  <r>
    <x v="6"/>
    <x v="0"/>
    <x v="3"/>
    <x v="5"/>
    <m/>
    <m/>
    <m/>
    <n v="15"/>
  </r>
  <r>
    <x v="6"/>
    <x v="0"/>
    <x v="3"/>
    <x v="6"/>
    <m/>
    <m/>
    <m/>
    <n v="24"/>
  </r>
  <r>
    <x v="32"/>
    <x v="0"/>
    <x v="3"/>
    <x v="1"/>
    <m/>
    <n v="911"/>
    <m/>
    <m/>
  </r>
  <r>
    <x v="32"/>
    <x v="0"/>
    <x v="3"/>
    <x v="2"/>
    <m/>
    <n v="399"/>
    <m/>
    <m/>
  </r>
  <r>
    <x v="32"/>
    <x v="0"/>
    <x v="3"/>
    <x v="3"/>
    <m/>
    <n v="323"/>
    <m/>
    <m/>
  </r>
  <r>
    <x v="32"/>
    <x v="1"/>
    <x v="3"/>
    <x v="1"/>
    <m/>
    <n v="904"/>
    <m/>
    <m/>
  </r>
  <r>
    <x v="32"/>
    <x v="1"/>
    <x v="3"/>
    <x v="2"/>
    <m/>
    <n v="432"/>
    <m/>
    <m/>
  </r>
  <r>
    <x v="32"/>
    <x v="1"/>
    <x v="3"/>
    <x v="3"/>
    <m/>
    <n v="364"/>
    <m/>
    <m/>
  </r>
  <r>
    <x v="32"/>
    <x v="0"/>
    <x v="3"/>
    <x v="4"/>
    <m/>
    <m/>
    <m/>
    <n v="45"/>
  </r>
  <r>
    <x v="32"/>
    <x v="0"/>
    <x v="3"/>
    <x v="5"/>
    <m/>
    <m/>
    <m/>
    <n v="10"/>
  </r>
  <r>
    <x v="32"/>
    <x v="0"/>
    <x v="3"/>
    <x v="6"/>
    <m/>
    <m/>
    <m/>
    <n v="11"/>
  </r>
  <r>
    <x v="27"/>
    <x v="0"/>
    <x v="3"/>
    <x v="1"/>
    <m/>
    <n v="701"/>
    <m/>
    <m/>
  </r>
  <r>
    <x v="27"/>
    <x v="0"/>
    <x v="3"/>
    <x v="2"/>
    <m/>
    <n v="377"/>
    <m/>
    <m/>
  </r>
  <r>
    <x v="27"/>
    <x v="0"/>
    <x v="3"/>
    <x v="3"/>
    <m/>
    <n v="258"/>
    <m/>
    <m/>
  </r>
  <r>
    <x v="27"/>
    <x v="1"/>
    <x v="3"/>
    <x v="1"/>
    <m/>
    <n v="676"/>
    <m/>
    <m/>
  </r>
  <r>
    <x v="27"/>
    <x v="1"/>
    <x v="3"/>
    <x v="2"/>
    <m/>
    <n v="403"/>
    <m/>
    <m/>
  </r>
  <r>
    <x v="27"/>
    <x v="1"/>
    <x v="3"/>
    <x v="3"/>
    <m/>
    <n v="309"/>
    <m/>
    <m/>
  </r>
  <r>
    <x v="27"/>
    <x v="0"/>
    <x v="3"/>
    <x v="4"/>
    <m/>
    <m/>
    <m/>
    <n v="32"/>
  </r>
  <r>
    <x v="27"/>
    <x v="0"/>
    <x v="3"/>
    <x v="5"/>
    <m/>
    <m/>
    <m/>
    <n v="5"/>
  </r>
  <r>
    <x v="27"/>
    <x v="0"/>
    <x v="3"/>
    <x v="6"/>
    <m/>
    <m/>
    <m/>
    <n v="7"/>
  </r>
  <r>
    <x v="25"/>
    <x v="0"/>
    <x v="3"/>
    <x v="1"/>
    <m/>
    <n v="504"/>
    <m/>
    <m/>
  </r>
  <r>
    <x v="25"/>
    <x v="0"/>
    <x v="3"/>
    <x v="2"/>
    <m/>
    <n v="470"/>
    <m/>
    <m/>
  </r>
  <r>
    <x v="25"/>
    <x v="0"/>
    <x v="3"/>
    <x v="3"/>
    <m/>
    <n v="404"/>
    <m/>
    <m/>
  </r>
  <r>
    <x v="25"/>
    <x v="1"/>
    <x v="3"/>
    <x v="1"/>
    <m/>
    <n v="463"/>
    <m/>
    <m/>
  </r>
  <r>
    <x v="25"/>
    <x v="1"/>
    <x v="3"/>
    <x v="2"/>
    <m/>
    <n v="406"/>
    <m/>
    <m/>
  </r>
  <r>
    <x v="25"/>
    <x v="1"/>
    <x v="3"/>
    <x v="3"/>
    <m/>
    <n v="340"/>
    <m/>
    <m/>
  </r>
  <r>
    <x v="25"/>
    <x v="0"/>
    <x v="3"/>
    <x v="4"/>
    <m/>
    <m/>
    <m/>
    <n v="52"/>
  </r>
  <r>
    <x v="25"/>
    <x v="0"/>
    <x v="3"/>
    <x v="5"/>
    <m/>
    <m/>
    <m/>
    <n v="4"/>
  </r>
  <r>
    <x v="25"/>
    <x v="0"/>
    <x v="3"/>
    <x v="6"/>
    <m/>
    <m/>
    <m/>
    <n v="4"/>
  </r>
  <r>
    <x v="10"/>
    <x v="0"/>
    <x v="5"/>
    <x v="1"/>
    <m/>
    <n v="920"/>
    <m/>
    <m/>
  </r>
  <r>
    <x v="10"/>
    <x v="0"/>
    <x v="5"/>
    <x v="2"/>
    <m/>
    <n v="530"/>
    <m/>
    <m/>
  </r>
  <r>
    <x v="10"/>
    <x v="0"/>
    <x v="5"/>
    <x v="3"/>
    <m/>
    <n v="338"/>
    <m/>
    <m/>
  </r>
  <r>
    <x v="10"/>
    <x v="1"/>
    <x v="5"/>
    <x v="1"/>
    <m/>
    <n v="1246"/>
    <m/>
    <m/>
  </r>
  <r>
    <x v="10"/>
    <x v="1"/>
    <x v="5"/>
    <x v="2"/>
    <m/>
    <n v="610"/>
    <m/>
    <m/>
  </r>
  <r>
    <x v="10"/>
    <x v="1"/>
    <x v="5"/>
    <x v="3"/>
    <m/>
    <n v="347"/>
    <m/>
    <m/>
  </r>
  <r>
    <x v="10"/>
    <x v="0"/>
    <x v="5"/>
    <x v="4"/>
    <m/>
    <m/>
    <m/>
    <n v="208"/>
  </r>
  <r>
    <x v="10"/>
    <x v="0"/>
    <x v="5"/>
    <x v="5"/>
    <m/>
    <m/>
    <m/>
    <n v="8"/>
  </r>
  <r>
    <x v="10"/>
    <x v="0"/>
    <x v="5"/>
    <x v="6"/>
    <m/>
    <m/>
    <m/>
    <n v="16"/>
  </r>
  <r>
    <x v="9"/>
    <x v="0"/>
    <x v="5"/>
    <x v="1"/>
    <m/>
    <n v="1244"/>
    <m/>
    <m/>
  </r>
  <r>
    <x v="9"/>
    <x v="0"/>
    <x v="5"/>
    <x v="2"/>
    <m/>
    <n v="613"/>
    <m/>
    <m/>
  </r>
  <r>
    <x v="9"/>
    <x v="0"/>
    <x v="5"/>
    <x v="3"/>
    <m/>
    <n v="332"/>
    <m/>
    <m/>
  </r>
  <r>
    <x v="9"/>
    <x v="1"/>
    <x v="5"/>
    <x v="1"/>
    <m/>
    <n v="1685"/>
    <m/>
    <m/>
  </r>
  <r>
    <x v="9"/>
    <x v="1"/>
    <x v="5"/>
    <x v="2"/>
    <m/>
    <n v="690"/>
    <m/>
    <m/>
  </r>
  <r>
    <x v="9"/>
    <x v="1"/>
    <x v="5"/>
    <x v="3"/>
    <m/>
    <n v="422"/>
    <m/>
    <m/>
  </r>
  <r>
    <x v="9"/>
    <x v="0"/>
    <x v="5"/>
    <x v="4"/>
    <m/>
    <m/>
    <m/>
    <n v="229"/>
  </r>
  <r>
    <x v="9"/>
    <x v="0"/>
    <x v="5"/>
    <x v="5"/>
    <m/>
    <m/>
    <m/>
    <n v="8"/>
  </r>
  <r>
    <x v="9"/>
    <x v="0"/>
    <x v="5"/>
    <x v="6"/>
    <m/>
    <m/>
    <m/>
    <n v="21"/>
  </r>
  <r>
    <x v="49"/>
    <x v="0"/>
    <x v="5"/>
    <x v="0"/>
    <m/>
    <m/>
    <m/>
    <m/>
  </r>
  <r>
    <x v="49"/>
    <x v="1"/>
    <x v="5"/>
    <x v="0"/>
    <m/>
    <m/>
    <m/>
    <m/>
  </r>
  <r>
    <x v="49"/>
    <x v="0"/>
    <x v="5"/>
    <x v="1"/>
    <m/>
    <m/>
    <m/>
    <m/>
  </r>
  <r>
    <x v="49"/>
    <x v="0"/>
    <x v="5"/>
    <x v="2"/>
    <m/>
    <m/>
    <m/>
    <m/>
  </r>
  <r>
    <x v="49"/>
    <x v="0"/>
    <x v="5"/>
    <x v="3"/>
    <m/>
    <m/>
    <m/>
    <m/>
  </r>
  <r>
    <x v="49"/>
    <x v="1"/>
    <x v="5"/>
    <x v="1"/>
    <m/>
    <m/>
    <m/>
    <m/>
  </r>
  <r>
    <x v="49"/>
    <x v="1"/>
    <x v="5"/>
    <x v="2"/>
    <m/>
    <m/>
    <m/>
    <m/>
  </r>
  <r>
    <x v="49"/>
    <x v="1"/>
    <x v="5"/>
    <x v="3"/>
    <m/>
    <m/>
    <m/>
    <m/>
  </r>
  <r>
    <x v="49"/>
    <x v="0"/>
    <x v="5"/>
    <x v="4"/>
    <m/>
    <m/>
    <m/>
    <n v="0"/>
  </r>
  <r>
    <x v="49"/>
    <x v="0"/>
    <x v="5"/>
    <x v="5"/>
    <m/>
    <m/>
    <m/>
    <n v="0"/>
  </r>
  <r>
    <x v="49"/>
    <x v="0"/>
    <x v="5"/>
    <x v="6"/>
    <m/>
    <m/>
    <m/>
    <n v="0"/>
  </r>
  <r>
    <x v="5"/>
    <x v="0"/>
    <x v="5"/>
    <x v="1"/>
    <m/>
    <n v="1123"/>
    <m/>
    <m/>
  </r>
  <r>
    <x v="5"/>
    <x v="0"/>
    <x v="5"/>
    <x v="2"/>
    <m/>
    <n v="670"/>
    <m/>
    <m/>
  </r>
  <r>
    <x v="5"/>
    <x v="0"/>
    <x v="5"/>
    <x v="3"/>
    <m/>
    <n v="481"/>
    <m/>
    <m/>
  </r>
  <r>
    <x v="5"/>
    <x v="1"/>
    <x v="5"/>
    <x v="1"/>
    <m/>
    <n v="1136"/>
    <m/>
    <m/>
  </r>
  <r>
    <x v="5"/>
    <x v="1"/>
    <x v="5"/>
    <x v="2"/>
    <m/>
    <n v="715"/>
    <m/>
    <m/>
  </r>
  <r>
    <x v="5"/>
    <x v="1"/>
    <x v="5"/>
    <x v="3"/>
    <m/>
    <n v="453"/>
    <m/>
    <m/>
  </r>
  <r>
    <x v="5"/>
    <x v="0"/>
    <x v="5"/>
    <x v="4"/>
    <m/>
    <m/>
    <m/>
    <n v="165"/>
  </r>
  <r>
    <x v="5"/>
    <x v="0"/>
    <x v="5"/>
    <x v="5"/>
    <m/>
    <m/>
    <m/>
    <n v="5"/>
  </r>
  <r>
    <x v="5"/>
    <x v="0"/>
    <x v="5"/>
    <x v="6"/>
    <m/>
    <m/>
    <m/>
    <n v="16"/>
  </r>
  <r>
    <x v="16"/>
    <x v="0"/>
    <x v="5"/>
    <x v="1"/>
    <m/>
    <n v="767"/>
    <m/>
    <m/>
  </r>
  <r>
    <x v="16"/>
    <x v="0"/>
    <x v="5"/>
    <x v="2"/>
    <m/>
    <n v="607"/>
    <m/>
    <m/>
  </r>
  <r>
    <x v="16"/>
    <x v="0"/>
    <x v="5"/>
    <x v="3"/>
    <m/>
    <n v="355"/>
    <m/>
    <m/>
  </r>
  <r>
    <x v="16"/>
    <x v="1"/>
    <x v="5"/>
    <x v="1"/>
    <m/>
    <n v="1134"/>
    <m/>
    <m/>
  </r>
  <r>
    <x v="16"/>
    <x v="1"/>
    <x v="5"/>
    <x v="2"/>
    <m/>
    <n v="917"/>
    <m/>
    <m/>
  </r>
  <r>
    <x v="16"/>
    <x v="1"/>
    <x v="5"/>
    <x v="3"/>
    <m/>
    <n v="649"/>
    <m/>
    <m/>
  </r>
  <r>
    <x v="16"/>
    <x v="0"/>
    <x v="5"/>
    <x v="4"/>
    <m/>
    <m/>
    <m/>
    <n v="176"/>
  </r>
  <r>
    <x v="16"/>
    <x v="0"/>
    <x v="5"/>
    <x v="5"/>
    <m/>
    <m/>
    <m/>
    <n v="5"/>
  </r>
  <r>
    <x v="16"/>
    <x v="0"/>
    <x v="5"/>
    <x v="6"/>
    <m/>
    <m/>
    <m/>
    <n v="8"/>
  </r>
  <r>
    <x v="17"/>
    <x v="0"/>
    <x v="5"/>
    <x v="1"/>
    <m/>
    <n v="1455"/>
    <m/>
    <m/>
  </r>
  <r>
    <x v="17"/>
    <x v="0"/>
    <x v="5"/>
    <x v="2"/>
    <m/>
    <n v="743"/>
    <m/>
    <m/>
  </r>
  <r>
    <x v="17"/>
    <x v="0"/>
    <x v="5"/>
    <x v="3"/>
    <m/>
    <n v="440"/>
    <m/>
    <m/>
  </r>
  <r>
    <x v="17"/>
    <x v="1"/>
    <x v="5"/>
    <x v="1"/>
    <m/>
    <n v="1343"/>
    <m/>
    <m/>
  </r>
  <r>
    <x v="17"/>
    <x v="1"/>
    <x v="5"/>
    <x v="2"/>
    <m/>
    <n v="560"/>
    <m/>
    <m/>
  </r>
  <r>
    <x v="17"/>
    <x v="1"/>
    <x v="5"/>
    <x v="3"/>
    <m/>
    <n v="318"/>
    <m/>
    <m/>
  </r>
  <r>
    <x v="17"/>
    <x v="0"/>
    <x v="5"/>
    <x v="4"/>
    <m/>
    <m/>
    <m/>
    <n v="240"/>
  </r>
  <r>
    <x v="17"/>
    <x v="0"/>
    <x v="5"/>
    <x v="5"/>
    <m/>
    <m/>
    <m/>
    <n v="8"/>
  </r>
  <r>
    <x v="17"/>
    <x v="0"/>
    <x v="5"/>
    <x v="6"/>
    <m/>
    <m/>
    <m/>
    <n v="15"/>
  </r>
  <r>
    <x v="13"/>
    <x v="0"/>
    <x v="5"/>
    <x v="1"/>
    <m/>
    <n v="1257"/>
    <m/>
    <m/>
  </r>
  <r>
    <x v="13"/>
    <x v="0"/>
    <x v="5"/>
    <x v="2"/>
    <m/>
    <n v="605"/>
    <m/>
    <m/>
  </r>
  <r>
    <x v="13"/>
    <x v="0"/>
    <x v="5"/>
    <x v="3"/>
    <m/>
    <n v="307"/>
    <m/>
    <m/>
  </r>
  <r>
    <x v="13"/>
    <x v="1"/>
    <x v="5"/>
    <x v="1"/>
    <m/>
    <n v="1545"/>
    <m/>
    <m/>
  </r>
  <r>
    <x v="13"/>
    <x v="1"/>
    <x v="5"/>
    <x v="2"/>
    <m/>
    <n v="598"/>
    <m/>
    <m/>
  </r>
  <r>
    <x v="13"/>
    <x v="1"/>
    <x v="5"/>
    <x v="3"/>
    <m/>
    <n v="264"/>
    <m/>
    <m/>
  </r>
  <r>
    <x v="13"/>
    <x v="0"/>
    <x v="5"/>
    <x v="4"/>
    <m/>
    <m/>
    <m/>
    <n v="287"/>
  </r>
  <r>
    <x v="13"/>
    <x v="0"/>
    <x v="5"/>
    <x v="5"/>
    <m/>
    <m/>
    <m/>
    <n v="10"/>
  </r>
  <r>
    <x v="13"/>
    <x v="0"/>
    <x v="5"/>
    <x v="6"/>
    <m/>
    <m/>
    <m/>
    <n v="22"/>
  </r>
  <r>
    <x v="40"/>
    <x v="0"/>
    <x v="5"/>
    <x v="0"/>
    <m/>
    <m/>
    <m/>
    <m/>
  </r>
  <r>
    <x v="40"/>
    <x v="1"/>
    <x v="5"/>
    <x v="0"/>
    <m/>
    <m/>
    <m/>
    <m/>
  </r>
  <r>
    <x v="40"/>
    <x v="0"/>
    <x v="5"/>
    <x v="1"/>
    <m/>
    <m/>
    <m/>
    <m/>
  </r>
  <r>
    <x v="40"/>
    <x v="0"/>
    <x v="5"/>
    <x v="2"/>
    <m/>
    <m/>
    <m/>
    <m/>
  </r>
  <r>
    <x v="40"/>
    <x v="0"/>
    <x v="5"/>
    <x v="3"/>
    <m/>
    <m/>
    <m/>
    <m/>
  </r>
  <r>
    <x v="40"/>
    <x v="1"/>
    <x v="5"/>
    <x v="1"/>
    <m/>
    <m/>
    <m/>
    <m/>
  </r>
  <r>
    <x v="40"/>
    <x v="1"/>
    <x v="5"/>
    <x v="2"/>
    <m/>
    <m/>
    <m/>
    <m/>
  </r>
  <r>
    <x v="40"/>
    <x v="1"/>
    <x v="5"/>
    <x v="3"/>
    <m/>
    <m/>
    <m/>
    <m/>
  </r>
  <r>
    <x v="40"/>
    <x v="0"/>
    <x v="5"/>
    <x v="4"/>
    <m/>
    <m/>
    <m/>
    <m/>
  </r>
  <r>
    <x v="40"/>
    <x v="0"/>
    <x v="5"/>
    <x v="5"/>
    <m/>
    <m/>
    <m/>
    <m/>
  </r>
  <r>
    <x v="40"/>
    <x v="0"/>
    <x v="5"/>
    <x v="6"/>
    <m/>
    <m/>
    <m/>
    <m/>
  </r>
  <r>
    <x v="26"/>
    <x v="0"/>
    <x v="5"/>
    <x v="1"/>
    <m/>
    <n v="605"/>
    <m/>
    <m/>
  </r>
  <r>
    <x v="26"/>
    <x v="0"/>
    <x v="5"/>
    <x v="2"/>
    <m/>
    <n v="467"/>
    <m/>
    <m/>
  </r>
  <r>
    <x v="26"/>
    <x v="0"/>
    <x v="5"/>
    <x v="3"/>
    <m/>
    <n v="366"/>
    <m/>
    <m/>
  </r>
  <r>
    <x v="26"/>
    <x v="1"/>
    <x v="5"/>
    <x v="1"/>
    <m/>
    <n v="637"/>
    <m/>
    <m/>
  </r>
  <r>
    <x v="26"/>
    <x v="1"/>
    <x v="5"/>
    <x v="2"/>
    <m/>
    <n v="477"/>
    <m/>
    <m/>
  </r>
  <r>
    <x v="26"/>
    <x v="1"/>
    <x v="5"/>
    <x v="3"/>
    <m/>
    <n v="333"/>
    <m/>
    <m/>
  </r>
  <r>
    <x v="26"/>
    <x v="0"/>
    <x v="5"/>
    <x v="4"/>
    <m/>
    <m/>
    <m/>
    <n v="164"/>
  </r>
  <r>
    <x v="26"/>
    <x v="0"/>
    <x v="5"/>
    <x v="5"/>
    <m/>
    <m/>
    <m/>
    <n v="5"/>
  </r>
  <r>
    <x v="26"/>
    <x v="0"/>
    <x v="5"/>
    <x v="6"/>
    <m/>
    <m/>
    <m/>
    <n v="6"/>
  </r>
  <r>
    <x v="11"/>
    <x v="0"/>
    <x v="5"/>
    <x v="1"/>
    <m/>
    <n v="1292"/>
    <m/>
    <m/>
  </r>
  <r>
    <x v="11"/>
    <x v="0"/>
    <x v="5"/>
    <x v="2"/>
    <m/>
    <n v="737"/>
    <m/>
    <m/>
  </r>
  <r>
    <x v="11"/>
    <x v="0"/>
    <x v="5"/>
    <x v="3"/>
    <m/>
    <n v="476"/>
    <m/>
    <m/>
  </r>
  <r>
    <x v="11"/>
    <x v="1"/>
    <x v="5"/>
    <x v="1"/>
    <m/>
    <n v="1545"/>
    <m/>
    <m/>
  </r>
  <r>
    <x v="11"/>
    <x v="1"/>
    <x v="5"/>
    <x v="2"/>
    <m/>
    <n v="819"/>
    <m/>
    <m/>
  </r>
  <r>
    <x v="11"/>
    <x v="1"/>
    <x v="5"/>
    <x v="3"/>
    <m/>
    <n v="433"/>
    <m/>
    <m/>
  </r>
  <r>
    <x v="11"/>
    <x v="0"/>
    <x v="5"/>
    <x v="4"/>
    <m/>
    <m/>
    <m/>
    <n v="217"/>
  </r>
  <r>
    <x v="11"/>
    <x v="0"/>
    <x v="5"/>
    <x v="5"/>
    <m/>
    <m/>
    <m/>
    <n v="2"/>
  </r>
  <r>
    <x v="11"/>
    <x v="0"/>
    <x v="5"/>
    <x v="6"/>
    <m/>
    <m/>
    <m/>
    <n v="7"/>
  </r>
  <r>
    <x v="31"/>
    <x v="0"/>
    <x v="5"/>
    <x v="1"/>
    <m/>
    <n v="777"/>
    <m/>
    <m/>
  </r>
  <r>
    <x v="31"/>
    <x v="0"/>
    <x v="5"/>
    <x v="2"/>
    <m/>
    <n v="391"/>
    <m/>
    <m/>
  </r>
  <r>
    <x v="31"/>
    <x v="0"/>
    <x v="5"/>
    <x v="3"/>
    <m/>
    <n v="250"/>
    <m/>
    <m/>
  </r>
  <r>
    <x v="31"/>
    <x v="1"/>
    <x v="5"/>
    <x v="1"/>
    <m/>
    <n v="892"/>
    <m/>
    <m/>
  </r>
  <r>
    <x v="31"/>
    <x v="1"/>
    <x v="5"/>
    <x v="2"/>
    <m/>
    <n v="436"/>
    <m/>
    <m/>
  </r>
  <r>
    <x v="31"/>
    <x v="1"/>
    <x v="5"/>
    <x v="3"/>
    <m/>
    <n v="254"/>
    <m/>
    <m/>
  </r>
  <r>
    <x v="31"/>
    <x v="0"/>
    <x v="5"/>
    <x v="4"/>
    <m/>
    <m/>
    <m/>
    <n v="152"/>
  </r>
  <r>
    <x v="31"/>
    <x v="0"/>
    <x v="5"/>
    <x v="5"/>
    <m/>
    <m/>
    <m/>
    <n v="6"/>
  </r>
  <r>
    <x v="31"/>
    <x v="0"/>
    <x v="5"/>
    <x v="6"/>
    <m/>
    <m/>
    <m/>
    <n v="8"/>
  </r>
  <r>
    <x v="7"/>
    <x v="0"/>
    <x v="5"/>
    <x v="1"/>
    <m/>
    <n v="1124"/>
    <m/>
    <m/>
  </r>
  <r>
    <x v="7"/>
    <x v="0"/>
    <x v="5"/>
    <x v="2"/>
    <m/>
    <n v="684"/>
    <m/>
    <m/>
  </r>
  <r>
    <x v="7"/>
    <x v="0"/>
    <x v="5"/>
    <x v="3"/>
    <m/>
    <n v="460"/>
    <m/>
    <m/>
  </r>
  <r>
    <x v="7"/>
    <x v="1"/>
    <x v="5"/>
    <x v="1"/>
    <m/>
    <n v="1406"/>
    <m/>
    <m/>
  </r>
  <r>
    <x v="7"/>
    <x v="1"/>
    <x v="5"/>
    <x v="2"/>
    <m/>
    <n v="638"/>
    <m/>
    <m/>
  </r>
  <r>
    <x v="7"/>
    <x v="1"/>
    <x v="5"/>
    <x v="3"/>
    <m/>
    <n v="413"/>
    <m/>
    <m/>
  </r>
  <r>
    <x v="7"/>
    <x v="0"/>
    <x v="5"/>
    <x v="4"/>
    <m/>
    <m/>
    <m/>
    <n v="243"/>
  </r>
  <r>
    <x v="7"/>
    <x v="0"/>
    <x v="5"/>
    <x v="5"/>
    <m/>
    <m/>
    <m/>
    <n v="3"/>
  </r>
  <r>
    <x v="7"/>
    <x v="0"/>
    <x v="5"/>
    <x v="6"/>
    <m/>
    <m/>
    <m/>
    <n v="30"/>
  </r>
  <r>
    <x v="2"/>
    <x v="0"/>
    <x v="5"/>
    <x v="1"/>
    <m/>
    <n v="1573"/>
    <m/>
    <m/>
  </r>
  <r>
    <x v="2"/>
    <x v="0"/>
    <x v="5"/>
    <x v="2"/>
    <m/>
    <n v="794"/>
    <m/>
    <m/>
  </r>
  <r>
    <x v="2"/>
    <x v="0"/>
    <x v="5"/>
    <x v="3"/>
    <m/>
    <n v="503"/>
    <m/>
    <m/>
  </r>
  <r>
    <x v="2"/>
    <x v="1"/>
    <x v="5"/>
    <x v="1"/>
    <m/>
    <n v="2005"/>
    <m/>
    <m/>
  </r>
  <r>
    <x v="2"/>
    <x v="1"/>
    <x v="5"/>
    <x v="2"/>
    <m/>
    <n v="832"/>
    <m/>
    <m/>
  </r>
  <r>
    <x v="2"/>
    <x v="1"/>
    <x v="5"/>
    <x v="3"/>
    <m/>
    <n v="524"/>
    <m/>
    <m/>
  </r>
  <r>
    <x v="2"/>
    <x v="0"/>
    <x v="5"/>
    <x v="4"/>
    <m/>
    <m/>
    <m/>
    <n v="366"/>
  </r>
  <r>
    <x v="2"/>
    <x v="0"/>
    <x v="5"/>
    <x v="5"/>
    <m/>
    <m/>
    <m/>
    <n v="14"/>
  </r>
  <r>
    <x v="2"/>
    <x v="0"/>
    <x v="5"/>
    <x v="6"/>
    <m/>
    <m/>
    <m/>
    <n v="16"/>
  </r>
  <r>
    <x v="22"/>
    <x v="0"/>
    <x v="5"/>
    <x v="1"/>
    <m/>
    <n v="890"/>
    <m/>
    <m/>
  </r>
  <r>
    <x v="22"/>
    <x v="0"/>
    <x v="5"/>
    <x v="2"/>
    <m/>
    <n v="396"/>
    <m/>
    <m/>
  </r>
  <r>
    <x v="22"/>
    <x v="0"/>
    <x v="5"/>
    <x v="3"/>
    <m/>
    <n v="269"/>
    <m/>
    <m/>
  </r>
  <r>
    <x v="22"/>
    <x v="1"/>
    <x v="5"/>
    <x v="1"/>
    <m/>
    <n v="1066"/>
    <m/>
    <m/>
  </r>
  <r>
    <x v="22"/>
    <x v="1"/>
    <x v="5"/>
    <x v="2"/>
    <m/>
    <n v="479"/>
    <m/>
    <m/>
  </r>
  <r>
    <x v="22"/>
    <x v="1"/>
    <x v="5"/>
    <x v="3"/>
    <m/>
    <n v="308"/>
    <m/>
    <m/>
  </r>
  <r>
    <x v="22"/>
    <x v="0"/>
    <x v="5"/>
    <x v="4"/>
    <m/>
    <m/>
    <m/>
    <n v="128"/>
  </r>
  <r>
    <x v="22"/>
    <x v="0"/>
    <x v="5"/>
    <x v="5"/>
    <m/>
    <m/>
    <m/>
    <n v="5"/>
  </r>
  <r>
    <x v="22"/>
    <x v="0"/>
    <x v="5"/>
    <x v="6"/>
    <m/>
    <m/>
    <m/>
    <n v="5"/>
  </r>
  <r>
    <x v="48"/>
    <x v="0"/>
    <x v="5"/>
    <x v="1"/>
    <m/>
    <n v="1464"/>
    <m/>
    <m/>
  </r>
  <r>
    <x v="48"/>
    <x v="0"/>
    <x v="5"/>
    <x v="2"/>
    <m/>
    <n v="394"/>
    <m/>
    <m/>
  </r>
  <r>
    <x v="48"/>
    <x v="0"/>
    <x v="5"/>
    <x v="3"/>
    <m/>
    <n v="215"/>
    <m/>
    <m/>
  </r>
  <r>
    <x v="48"/>
    <x v="1"/>
    <x v="5"/>
    <x v="1"/>
    <m/>
    <n v="1330"/>
    <m/>
    <m/>
  </r>
  <r>
    <x v="48"/>
    <x v="1"/>
    <x v="5"/>
    <x v="2"/>
    <m/>
    <n v="298"/>
    <m/>
    <m/>
  </r>
  <r>
    <x v="48"/>
    <x v="1"/>
    <x v="5"/>
    <x v="3"/>
    <m/>
    <n v="170"/>
    <m/>
    <m/>
  </r>
  <r>
    <x v="48"/>
    <x v="0"/>
    <x v="5"/>
    <x v="4"/>
    <m/>
    <m/>
    <m/>
    <n v="155"/>
  </r>
  <r>
    <x v="48"/>
    <x v="0"/>
    <x v="5"/>
    <x v="5"/>
    <m/>
    <m/>
    <m/>
    <n v="9"/>
  </r>
  <r>
    <x v="48"/>
    <x v="0"/>
    <x v="5"/>
    <x v="6"/>
    <m/>
    <m/>
    <m/>
    <n v="11"/>
  </r>
  <r>
    <x v="50"/>
    <x v="0"/>
    <x v="5"/>
    <x v="1"/>
    <m/>
    <n v="320"/>
    <m/>
    <m/>
  </r>
  <r>
    <x v="50"/>
    <x v="0"/>
    <x v="5"/>
    <x v="2"/>
    <m/>
    <n v="209"/>
    <m/>
    <m/>
  </r>
  <r>
    <x v="50"/>
    <x v="0"/>
    <x v="5"/>
    <x v="3"/>
    <m/>
    <n v="161"/>
    <m/>
    <m/>
  </r>
  <r>
    <x v="50"/>
    <x v="1"/>
    <x v="5"/>
    <x v="1"/>
    <m/>
    <n v="452"/>
    <m/>
    <m/>
  </r>
  <r>
    <x v="50"/>
    <x v="1"/>
    <x v="5"/>
    <x v="2"/>
    <m/>
    <n v="228"/>
    <m/>
    <m/>
  </r>
  <r>
    <x v="50"/>
    <x v="1"/>
    <x v="5"/>
    <x v="3"/>
    <m/>
    <n v="161"/>
    <m/>
    <m/>
  </r>
  <r>
    <x v="50"/>
    <x v="0"/>
    <x v="5"/>
    <x v="4"/>
    <m/>
    <m/>
    <m/>
    <n v="118"/>
  </r>
  <r>
    <x v="50"/>
    <x v="0"/>
    <x v="5"/>
    <x v="5"/>
    <m/>
    <m/>
    <m/>
    <n v="2"/>
  </r>
  <r>
    <x v="50"/>
    <x v="0"/>
    <x v="5"/>
    <x v="6"/>
    <m/>
    <m/>
    <m/>
    <n v="3"/>
  </r>
  <r>
    <x v="8"/>
    <x v="0"/>
    <x v="5"/>
    <x v="1"/>
    <m/>
    <n v="1282"/>
    <m/>
    <m/>
  </r>
  <r>
    <x v="8"/>
    <x v="0"/>
    <x v="5"/>
    <x v="2"/>
    <m/>
    <n v="662"/>
    <m/>
    <m/>
  </r>
  <r>
    <x v="8"/>
    <x v="0"/>
    <x v="5"/>
    <x v="3"/>
    <m/>
    <n v="347"/>
    <m/>
    <m/>
  </r>
  <r>
    <x v="8"/>
    <x v="1"/>
    <x v="5"/>
    <x v="1"/>
    <m/>
    <n v="1614"/>
    <m/>
    <m/>
  </r>
  <r>
    <x v="8"/>
    <x v="1"/>
    <x v="5"/>
    <x v="2"/>
    <m/>
    <n v="725"/>
    <m/>
    <m/>
  </r>
  <r>
    <x v="8"/>
    <x v="1"/>
    <x v="5"/>
    <x v="3"/>
    <m/>
    <n v="404"/>
    <m/>
    <m/>
  </r>
  <r>
    <x v="8"/>
    <x v="0"/>
    <x v="5"/>
    <x v="4"/>
    <m/>
    <m/>
    <m/>
    <n v="207"/>
  </r>
  <r>
    <x v="8"/>
    <x v="0"/>
    <x v="5"/>
    <x v="5"/>
    <m/>
    <m/>
    <m/>
    <n v="5"/>
  </r>
  <r>
    <x v="8"/>
    <x v="0"/>
    <x v="5"/>
    <x v="6"/>
    <m/>
    <m/>
    <m/>
    <n v="7"/>
  </r>
  <r>
    <x v="42"/>
    <x v="0"/>
    <x v="5"/>
    <x v="1"/>
    <m/>
    <n v="352"/>
    <m/>
    <m/>
  </r>
  <r>
    <x v="42"/>
    <x v="0"/>
    <x v="5"/>
    <x v="2"/>
    <m/>
    <n v="272"/>
    <m/>
    <m/>
  </r>
  <r>
    <x v="42"/>
    <x v="0"/>
    <x v="5"/>
    <x v="3"/>
    <m/>
    <n v="164"/>
    <m/>
    <m/>
  </r>
  <r>
    <x v="42"/>
    <x v="1"/>
    <x v="5"/>
    <x v="1"/>
    <m/>
    <n v="436"/>
    <m/>
    <m/>
  </r>
  <r>
    <x v="42"/>
    <x v="1"/>
    <x v="5"/>
    <x v="2"/>
    <m/>
    <n v="306"/>
    <m/>
    <m/>
  </r>
  <r>
    <x v="42"/>
    <x v="1"/>
    <x v="5"/>
    <x v="3"/>
    <m/>
    <n v="218"/>
    <m/>
    <m/>
  </r>
  <r>
    <x v="42"/>
    <x v="0"/>
    <x v="5"/>
    <x v="4"/>
    <m/>
    <m/>
    <m/>
    <n v="55"/>
  </r>
  <r>
    <x v="42"/>
    <x v="0"/>
    <x v="5"/>
    <x v="5"/>
    <m/>
    <m/>
    <m/>
    <n v="0"/>
  </r>
  <r>
    <x v="42"/>
    <x v="0"/>
    <x v="5"/>
    <x v="6"/>
    <m/>
    <m/>
    <m/>
    <n v="4"/>
  </r>
  <r>
    <x v="46"/>
    <x v="0"/>
    <x v="5"/>
    <x v="1"/>
    <m/>
    <n v="414"/>
    <m/>
    <m/>
  </r>
  <r>
    <x v="46"/>
    <x v="0"/>
    <x v="5"/>
    <x v="2"/>
    <m/>
    <n v="244"/>
    <m/>
    <m/>
  </r>
  <r>
    <x v="46"/>
    <x v="0"/>
    <x v="5"/>
    <x v="3"/>
    <m/>
    <n v="165"/>
    <m/>
    <m/>
  </r>
  <r>
    <x v="46"/>
    <x v="1"/>
    <x v="5"/>
    <x v="1"/>
    <m/>
    <n v="488"/>
    <m/>
    <m/>
  </r>
  <r>
    <x v="46"/>
    <x v="1"/>
    <x v="5"/>
    <x v="2"/>
    <m/>
    <n v="254"/>
    <m/>
    <m/>
  </r>
  <r>
    <x v="46"/>
    <x v="1"/>
    <x v="5"/>
    <x v="3"/>
    <m/>
    <n v="188"/>
    <m/>
    <m/>
  </r>
  <r>
    <x v="46"/>
    <x v="0"/>
    <x v="5"/>
    <x v="4"/>
    <m/>
    <m/>
    <m/>
    <n v="75"/>
  </r>
  <r>
    <x v="46"/>
    <x v="0"/>
    <x v="5"/>
    <x v="5"/>
    <m/>
    <m/>
    <m/>
    <n v="4"/>
  </r>
  <r>
    <x v="46"/>
    <x v="0"/>
    <x v="5"/>
    <x v="6"/>
    <m/>
    <m/>
    <m/>
    <n v="2"/>
  </r>
  <r>
    <x v="38"/>
    <x v="0"/>
    <x v="5"/>
    <x v="1"/>
    <m/>
    <n v="381"/>
    <m/>
    <m/>
  </r>
  <r>
    <x v="38"/>
    <x v="0"/>
    <x v="5"/>
    <x v="2"/>
    <m/>
    <n v="278"/>
    <m/>
    <m/>
  </r>
  <r>
    <x v="38"/>
    <x v="0"/>
    <x v="5"/>
    <x v="3"/>
    <m/>
    <n v="187"/>
    <m/>
    <m/>
  </r>
  <r>
    <x v="38"/>
    <x v="1"/>
    <x v="5"/>
    <x v="1"/>
    <m/>
    <n v="437"/>
    <m/>
    <m/>
  </r>
  <r>
    <x v="38"/>
    <x v="1"/>
    <x v="5"/>
    <x v="2"/>
    <m/>
    <n v="364"/>
    <m/>
    <m/>
  </r>
  <r>
    <x v="38"/>
    <x v="1"/>
    <x v="5"/>
    <x v="3"/>
    <m/>
    <n v="219"/>
    <m/>
    <m/>
  </r>
  <r>
    <x v="38"/>
    <x v="0"/>
    <x v="5"/>
    <x v="4"/>
    <m/>
    <m/>
    <m/>
    <n v="76"/>
  </r>
  <r>
    <x v="38"/>
    <x v="0"/>
    <x v="5"/>
    <x v="5"/>
    <m/>
    <m/>
    <m/>
    <n v="3"/>
  </r>
  <r>
    <x v="38"/>
    <x v="0"/>
    <x v="5"/>
    <x v="6"/>
    <m/>
    <m/>
    <m/>
    <n v="3"/>
  </r>
  <r>
    <x v="3"/>
    <x v="0"/>
    <x v="5"/>
    <x v="1"/>
    <m/>
    <n v="1332"/>
    <m/>
    <m/>
  </r>
  <r>
    <x v="3"/>
    <x v="0"/>
    <x v="5"/>
    <x v="2"/>
    <m/>
    <n v="553"/>
    <m/>
    <m/>
  </r>
  <r>
    <x v="3"/>
    <x v="0"/>
    <x v="5"/>
    <x v="3"/>
    <m/>
    <n v="602"/>
    <m/>
    <m/>
  </r>
  <r>
    <x v="3"/>
    <x v="1"/>
    <x v="5"/>
    <x v="1"/>
    <m/>
    <n v="1517"/>
    <m/>
    <m/>
  </r>
  <r>
    <x v="3"/>
    <x v="1"/>
    <x v="5"/>
    <x v="2"/>
    <m/>
    <n v="730"/>
    <m/>
    <m/>
  </r>
  <r>
    <x v="3"/>
    <x v="1"/>
    <x v="5"/>
    <x v="3"/>
    <m/>
    <n v="573"/>
    <m/>
    <m/>
  </r>
  <r>
    <x v="3"/>
    <x v="0"/>
    <x v="5"/>
    <x v="4"/>
    <m/>
    <m/>
    <m/>
    <n v="155"/>
  </r>
  <r>
    <x v="3"/>
    <x v="0"/>
    <x v="5"/>
    <x v="5"/>
    <m/>
    <m/>
    <m/>
    <n v="6"/>
  </r>
  <r>
    <x v="3"/>
    <x v="0"/>
    <x v="5"/>
    <x v="6"/>
    <m/>
    <m/>
    <m/>
    <m/>
  </r>
  <r>
    <x v="12"/>
    <x v="0"/>
    <x v="5"/>
    <x v="1"/>
    <m/>
    <n v="1018"/>
    <m/>
    <m/>
  </r>
  <r>
    <x v="12"/>
    <x v="0"/>
    <x v="5"/>
    <x v="2"/>
    <m/>
    <n v="604"/>
    <m/>
    <m/>
  </r>
  <r>
    <x v="12"/>
    <x v="0"/>
    <x v="5"/>
    <x v="3"/>
    <m/>
    <n v="377"/>
    <m/>
    <m/>
  </r>
  <r>
    <x v="12"/>
    <x v="1"/>
    <x v="5"/>
    <x v="1"/>
    <m/>
    <n v="1205"/>
    <m/>
    <m/>
  </r>
  <r>
    <x v="12"/>
    <x v="1"/>
    <x v="5"/>
    <x v="2"/>
    <m/>
    <n v="616"/>
    <m/>
    <m/>
  </r>
  <r>
    <x v="12"/>
    <x v="1"/>
    <x v="5"/>
    <x v="3"/>
    <m/>
    <n v="382"/>
    <m/>
    <m/>
  </r>
  <r>
    <x v="12"/>
    <x v="0"/>
    <x v="5"/>
    <x v="4"/>
    <m/>
    <m/>
    <m/>
    <n v="201"/>
  </r>
  <r>
    <x v="12"/>
    <x v="0"/>
    <x v="5"/>
    <x v="5"/>
    <m/>
    <m/>
    <m/>
    <n v="4"/>
  </r>
  <r>
    <x v="12"/>
    <x v="0"/>
    <x v="5"/>
    <x v="6"/>
    <m/>
    <m/>
    <m/>
    <n v="11"/>
  </r>
  <r>
    <x v="34"/>
    <x v="0"/>
    <x v="5"/>
    <x v="1"/>
    <m/>
    <n v="803"/>
    <m/>
    <m/>
  </r>
  <r>
    <x v="34"/>
    <x v="0"/>
    <x v="5"/>
    <x v="2"/>
    <m/>
    <n v="390"/>
    <m/>
    <m/>
  </r>
  <r>
    <x v="34"/>
    <x v="0"/>
    <x v="5"/>
    <x v="3"/>
    <m/>
    <n v="201"/>
    <m/>
    <m/>
  </r>
  <r>
    <x v="34"/>
    <x v="1"/>
    <x v="5"/>
    <x v="1"/>
    <m/>
    <n v="1041"/>
    <m/>
    <m/>
  </r>
  <r>
    <x v="34"/>
    <x v="1"/>
    <x v="5"/>
    <x v="2"/>
    <m/>
    <n v="481"/>
    <m/>
    <m/>
  </r>
  <r>
    <x v="34"/>
    <x v="1"/>
    <x v="5"/>
    <x v="3"/>
    <m/>
    <n v="208"/>
    <m/>
    <m/>
  </r>
  <r>
    <x v="34"/>
    <x v="0"/>
    <x v="5"/>
    <x v="4"/>
    <m/>
    <m/>
    <m/>
    <n v="83"/>
  </r>
  <r>
    <x v="34"/>
    <x v="0"/>
    <x v="5"/>
    <x v="5"/>
    <m/>
    <m/>
    <m/>
    <n v="7"/>
  </r>
  <r>
    <x v="34"/>
    <x v="0"/>
    <x v="5"/>
    <x v="6"/>
    <m/>
    <m/>
    <m/>
    <n v="4"/>
  </r>
  <r>
    <x v="0"/>
    <x v="0"/>
    <x v="5"/>
    <x v="1"/>
    <m/>
    <n v="2086"/>
    <m/>
    <m/>
  </r>
  <r>
    <x v="0"/>
    <x v="0"/>
    <x v="5"/>
    <x v="2"/>
    <m/>
    <n v="1093"/>
    <m/>
    <m/>
  </r>
  <r>
    <x v="0"/>
    <x v="0"/>
    <x v="5"/>
    <x v="3"/>
    <m/>
    <n v="715"/>
    <m/>
    <m/>
  </r>
  <r>
    <x v="0"/>
    <x v="1"/>
    <x v="5"/>
    <x v="1"/>
    <m/>
    <n v="2664"/>
    <m/>
    <m/>
  </r>
  <r>
    <x v="0"/>
    <x v="1"/>
    <x v="5"/>
    <x v="2"/>
    <m/>
    <n v="1191"/>
    <m/>
    <m/>
  </r>
  <r>
    <x v="0"/>
    <x v="1"/>
    <x v="5"/>
    <x v="3"/>
    <m/>
    <n v="695"/>
    <m/>
    <m/>
  </r>
  <r>
    <x v="0"/>
    <x v="0"/>
    <x v="5"/>
    <x v="4"/>
    <m/>
    <m/>
    <m/>
    <n v="404"/>
  </r>
  <r>
    <x v="0"/>
    <x v="0"/>
    <x v="5"/>
    <x v="5"/>
    <m/>
    <m/>
    <m/>
    <n v="14"/>
  </r>
  <r>
    <x v="0"/>
    <x v="0"/>
    <x v="5"/>
    <x v="6"/>
    <m/>
    <m/>
    <m/>
    <n v="21"/>
  </r>
  <r>
    <x v="39"/>
    <x v="0"/>
    <x v="5"/>
    <x v="1"/>
    <m/>
    <n v="354"/>
    <m/>
    <m/>
  </r>
  <r>
    <x v="39"/>
    <x v="0"/>
    <x v="5"/>
    <x v="2"/>
    <m/>
    <n v="299"/>
    <m/>
    <m/>
  </r>
  <r>
    <x v="39"/>
    <x v="0"/>
    <x v="5"/>
    <x v="3"/>
    <m/>
    <n v="219"/>
    <m/>
    <m/>
  </r>
  <r>
    <x v="39"/>
    <x v="1"/>
    <x v="5"/>
    <x v="1"/>
    <m/>
    <n v="500"/>
    <m/>
    <m/>
  </r>
  <r>
    <x v="39"/>
    <x v="1"/>
    <x v="5"/>
    <x v="2"/>
    <m/>
    <n v="351"/>
    <m/>
    <m/>
  </r>
  <r>
    <x v="39"/>
    <x v="1"/>
    <x v="5"/>
    <x v="3"/>
    <m/>
    <n v="236"/>
    <m/>
    <m/>
  </r>
  <r>
    <x v="39"/>
    <x v="0"/>
    <x v="5"/>
    <x v="4"/>
    <m/>
    <m/>
    <m/>
    <n v="99"/>
  </r>
  <r>
    <x v="39"/>
    <x v="0"/>
    <x v="5"/>
    <x v="5"/>
    <m/>
    <m/>
    <m/>
    <n v="7"/>
  </r>
  <r>
    <x v="39"/>
    <x v="0"/>
    <x v="5"/>
    <x v="6"/>
    <m/>
    <m/>
    <m/>
    <n v="4"/>
  </r>
  <r>
    <x v="51"/>
    <x v="0"/>
    <x v="5"/>
    <x v="1"/>
    <m/>
    <n v="387"/>
    <m/>
    <m/>
  </r>
  <r>
    <x v="51"/>
    <x v="0"/>
    <x v="5"/>
    <x v="2"/>
    <m/>
    <n v="232"/>
    <m/>
    <m/>
  </r>
  <r>
    <x v="51"/>
    <x v="0"/>
    <x v="5"/>
    <x v="3"/>
    <m/>
    <n v="154"/>
    <m/>
    <m/>
  </r>
  <r>
    <x v="51"/>
    <x v="1"/>
    <x v="5"/>
    <x v="1"/>
    <m/>
    <n v="490"/>
    <m/>
    <m/>
  </r>
  <r>
    <x v="51"/>
    <x v="1"/>
    <x v="5"/>
    <x v="2"/>
    <m/>
    <n v="209"/>
    <m/>
    <m/>
  </r>
  <r>
    <x v="51"/>
    <x v="1"/>
    <x v="5"/>
    <x v="3"/>
    <m/>
    <n v="112"/>
    <m/>
    <m/>
  </r>
  <r>
    <x v="51"/>
    <x v="0"/>
    <x v="5"/>
    <x v="4"/>
    <m/>
    <m/>
    <m/>
    <n v="93"/>
  </r>
  <r>
    <x v="51"/>
    <x v="0"/>
    <x v="5"/>
    <x v="5"/>
    <m/>
    <m/>
    <m/>
    <n v="2"/>
  </r>
  <r>
    <x v="51"/>
    <x v="0"/>
    <x v="5"/>
    <x v="6"/>
    <m/>
    <m/>
    <m/>
    <n v="2"/>
  </r>
  <r>
    <x v="43"/>
    <x v="0"/>
    <x v="5"/>
    <x v="1"/>
    <m/>
    <n v="570"/>
    <m/>
    <m/>
  </r>
  <r>
    <x v="43"/>
    <x v="0"/>
    <x v="5"/>
    <x v="2"/>
    <m/>
    <n v="366"/>
    <m/>
    <m/>
  </r>
  <r>
    <x v="43"/>
    <x v="0"/>
    <x v="5"/>
    <x v="3"/>
    <m/>
    <n v="240"/>
    <m/>
    <m/>
  </r>
  <r>
    <x v="43"/>
    <x v="1"/>
    <x v="5"/>
    <x v="1"/>
    <m/>
    <n v="698"/>
    <m/>
    <m/>
  </r>
  <r>
    <x v="43"/>
    <x v="1"/>
    <x v="5"/>
    <x v="2"/>
    <m/>
    <n v="364"/>
    <m/>
    <m/>
  </r>
  <r>
    <x v="43"/>
    <x v="1"/>
    <x v="5"/>
    <x v="3"/>
    <m/>
    <n v="222"/>
    <m/>
    <m/>
  </r>
  <r>
    <x v="43"/>
    <x v="0"/>
    <x v="5"/>
    <x v="4"/>
    <m/>
    <m/>
    <m/>
    <n v="96"/>
  </r>
  <r>
    <x v="43"/>
    <x v="0"/>
    <x v="5"/>
    <x v="5"/>
    <m/>
    <m/>
    <m/>
    <n v="2"/>
  </r>
  <r>
    <x v="43"/>
    <x v="0"/>
    <x v="5"/>
    <x v="6"/>
    <m/>
    <m/>
    <m/>
    <n v="2"/>
  </r>
  <r>
    <x v="1"/>
    <x v="0"/>
    <x v="5"/>
    <x v="1"/>
    <m/>
    <n v="1319"/>
    <m/>
    <m/>
  </r>
  <r>
    <x v="1"/>
    <x v="0"/>
    <x v="5"/>
    <x v="2"/>
    <m/>
    <n v="763"/>
    <m/>
    <m/>
  </r>
  <r>
    <x v="1"/>
    <x v="0"/>
    <x v="5"/>
    <x v="3"/>
    <m/>
    <n v="539"/>
    <m/>
    <m/>
  </r>
  <r>
    <x v="1"/>
    <x v="1"/>
    <x v="5"/>
    <x v="1"/>
    <m/>
    <n v="1691"/>
    <m/>
    <m/>
  </r>
  <r>
    <x v="1"/>
    <x v="1"/>
    <x v="5"/>
    <x v="2"/>
    <m/>
    <n v="870"/>
    <m/>
    <m/>
  </r>
  <r>
    <x v="1"/>
    <x v="1"/>
    <x v="5"/>
    <x v="3"/>
    <m/>
    <n v="505"/>
    <m/>
    <m/>
  </r>
  <r>
    <x v="1"/>
    <x v="0"/>
    <x v="5"/>
    <x v="4"/>
    <m/>
    <m/>
    <m/>
    <n v="335"/>
  </r>
  <r>
    <x v="1"/>
    <x v="0"/>
    <x v="5"/>
    <x v="5"/>
    <m/>
    <m/>
    <m/>
    <n v="14"/>
  </r>
  <r>
    <x v="1"/>
    <x v="0"/>
    <x v="5"/>
    <x v="6"/>
    <m/>
    <m/>
    <m/>
    <n v="8"/>
  </r>
  <r>
    <x v="18"/>
    <x v="0"/>
    <x v="5"/>
    <x v="1"/>
    <m/>
    <n v="746"/>
    <m/>
    <m/>
  </r>
  <r>
    <x v="18"/>
    <x v="0"/>
    <x v="5"/>
    <x v="2"/>
    <m/>
    <n v="542"/>
    <m/>
    <m/>
  </r>
  <r>
    <x v="18"/>
    <x v="0"/>
    <x v="5"/>
    <x v="3"/>
    <m/>
    <n v="416"/>
    <m/>
    <m/>
  </r>
  <r>
    <x v="18"/>
    <x v="1"/>
    <x v="5"/>
    <x v="1"/>
    <m/>
    <n v="882"/>
    <m/>
    <m/>
  </r>
  <r>
    <x v="18"/>
    <x v="1"/>
    <x v="5"/>
    <x v="2"/>
    <m/>
    <n v="621"/>
    <m/>
    <m/>
  </r>
  <r>
    <x v="18"/>
    <x v="1"/>
    <x v="5"/>
    <x v="3"/>
    <m/>
    <n v="401"/>
    <m/>
    <m/>
  </r>
  <r>
    <x v="18"/>
    <x v="0"/>
    <x v="5"/>
    <x v="4"/>
    <m/>
    <m/>
    <m/>
    <n v="190"/>
  </r>
  <r>
    <x v="18"/>
    <x v="0"/>
    <x v="5"/>
    <x v="5"/>
    <m/>
    <m/>
    <m/>
    <n v="2"/>
  </r>
  <r>
    <x v="18"/>
    <x v="0"/>
    <x v="5"/>
    <x v="6"/>
    <m/>
    <m/>
    <m/>
    <n v="7"/>
  </r>
  <r>
    <x v="52"/>
    <x v="0"/>
    <x v="5"/>
    <x v="1"/>
    <m/>
    <n v="201"/>
    <m/>
    <m/>
  </r>
  <r>
    <x v="52"/>
    <x v="0"/>
    <x v="5"/>
    <x v="2"/>
    <m/>
    <n v="92"/>
    <m/>
    <m/>
  </r>
  <r>
    <x v="52"/>
    <x v="0"/>
    <x v="5"/>
    <x v="3"/>
    <m/>
    <n v="45"/>
    <m/>
    <m/>
  </r>
  <r>
    <x v="52"/>
    <x v="1"/>
    <x v="5"/>
    <x v="1"/>
    <m/>
    <n v="240"/>
    <m/>
    <m/>
  </r>
  <r>
    <x v="52"/>
    <x v="1"/>
    <x v="5"/>
    <x v="2"/>
    <m/>
    <n v="101"/>
    <m/>
    <m/>
  </r>
  <r>
    <x v="52"/>
    <x v="1"/>
    <x v="5"/>
    <x v="3"/>
    <m/>
    <n v="39"/>
    <m/>
    <m/>
  </r>
  <r>
    <x v="52"/>
    <x v="0"/>
    <x v="5"/>
    <x v="4"/>
    <m/>
    <m/>
    <m/>
    <n v="3"/>
  </r>
  <r>
    <x v="52"/>
    <x v="0"/>
    <x v="5"/>
    <x v="5"/>
    <m/>
    <m/>
    <m/>
    <n v="0"/>
  </r>
  <r>
    <x v="52"/>
    <x v="0"/>
    <x v="5"/>
    <x v="6"/>
    <m/>
    <m/>
    <m/>
    <n v="1"/>
  </r>
  <r>
    <x v="4"/>
    <x v="0"/>
    <x v="5"/>
    <x v="1"/>
    <m/>
    <n v="1388"/>
    <m/>
    <m/>
  </r>
  <r>
    <x v="4"/>
    <x v="0"/>
    <x v="5"/>
    <x v="2"/>
    <m/>
    <n v="868"/>
    <m/>
    <m/>
  </r>
  <r>
    <x v="4"/>
    <x v="0"/>
    <x v="5"/>
    <x v="3"/>
    <m/>
    <n v="536"/>
    <m/>
    <m/>
  </r>
  <r>
    <x v="4"/>
    <x v="1"/>
    <x v="5"/>
    <x v="1"/>
    <m/>
    <n v="1734"/>
    <m/>
    <m/>
  </r>
  <r>
    <x v="4"/>
    <x v="1"/>
    <x v="5"/>
    <x v="2"/>
    <m/>
    <n v="809"/>
    <m/>
    <m/>
  </r>
  <r>
    <x v="4"/>
    <x v="1"/>
    <x v="5"/>
    <x v="3"/>
    <m/>
    <n v="553"/>
    <m/>
    <m/>
  </r>
  <r>
    <x v="4"/>
    <x v="0"/>
    <x v="5"/>
    <x v="4"/>
    <m/>
    <m/>
    <m/>
    <n v="305"/>
  </r>
  <r>
    <x v="4"/>
    <x v="0"/>
    <x v="5"/>
    <x v="5"/>
    <m/>
    <m/>
    <m/>
    <n v="25"/>
  </r>
  <r>
    <x v="4"/>
    <x v="0"/>
    <x v="5"/>
    <x v="6"/>
    <m/>
    <m/>
    <m/>
    <n v="29"/>
  </r>
  <r>
    <x v="41"/>
    <x v="0"/>
    <x v="5"/>
    <x v="1"/>
    <m/>
    <n v="816"/>
    <m/>
    <m/>
  </r>
  <r>
    <x v="41"/>
    <x v="0"/>
    <x v="5"/>
    <x v="2"/>
    <m/>
    <n v="398"/>
    <m/>
    <m/>
  </r>
  <r>
    <x v="41"/>
    <x v="0"/>
    <x v="5"/>
    <x v="3"/>
    <m/>
    <n v="231"/>
    <m/>
    <m/>
  </r>
  <r>
    <x v="41"/>
    <x v="1"/>
    <x v="5"/>
    <x v="1"/>
    <m/>
    <n v="1088"/>
    <m/>
    <m/>
  </r>
  <r>
    <x v="41"/>
    <x v="1"/>
    <x v="5"/>
    <x v="2"/>
    <m/>
    <n v="401"/>
    <m/>
    <m/>
  </r>
  <r>
    <x v="41"/>
    <x v="1"/>
    <x v="5"/>
    <x v="3"/>
    <m/>
    <n v="249"/>
    <m/>
    <m/>
  </r>
  <r>
    <x v="41"/>
    <x v="0"/>
    <x v="5"/>
    <x v="4"/>
    <m/>
    <m/>
    <m/>
    <n v="135"/>
  </r>
  <r>
    <x v="41"/>
    <x v="0"/>
    <x v="5"/>
    <x v="5"/>
    <m/>
    <m/>
    <m/>
    <n v="4"/>
  </r>
  <r>
    <x v="41"/>
    <x v="0"/>
    <x v="5"/>
    <x v="6"/>
    <m/>
    <m/>
    <m/>
    <n v="4"/>
  </r>
  <r>
    <x v="15"/>
    <x v="0"/>
    <x v="5"/>
    <x v="1"/>
    <m/>
    <n v="1068"/>
    <m/>
    <m/>
  </r>
  <r>
    <x v="15"/>
    <x v="0"/>
    <x v="5"/>
    <x v="2"/>
    <m/>
    <n v="598"/>
    <m/>
    <m/>
  </r>
  <r>
    <x v="15"/>
    <x v="0"/>
    <x v="5"/>
    <x v="3"/>
    <m/>
    <n v="385"/>
    <m/>
    <m/>
  </r>
  <r>
    <x v="15"/>
    <x v="1"/>
    <x v="5"/>
    <x v="1"/>
    <m/>
    <n v="1194"/>
    <m/>
    <m/>
  </r>
  <r>
    <x v="15"/>
    <x v="1"/>
    <x v="5"/>
    <x v="2"/>
    <m/>
    <n v="575"/>
    <m/>
    <m/>
  </r>
  <r>
    <x v="15"/>
    <x v="1"/>
    <x v="5"/>
    <x v="3"/>
    <m/>
    <n v="429"/>
    <m/>
    <m/>
  </r>
  <r>
    <x v="15"/>
    <x v="0"/>
    <x v="5"/>
    <x v="4"/>
    <m/>
    <m/>
    <m/>
    <n v="293"/>
  </r>
  <r>
    <x v="15"/>
    <x v="0"/>
    <x v="5"/>
    <x v="5"/>
    <m/>
    <m/>
    <m/>
    <n v="4"/>
  </r>
  <r>
    <x v="15"/>
    <x v="0"/>
    <x v="5"/>
    <x v="6"/>
    <m/>
    <m/>
    <m/>
    <n v="6"/>
  </r>
  <r>
    <x v="45"/>
    <x v="0"/>
    <x v="5"/>
    <x v="1"/>
    <m/>
    <n v="757"/>
    <m/>
    <m/>
  </r>
  <r>
    <x v="45"/>
    <x v="0"/>
    <x v="5"/>
    <x v="2"/>
    <m/>
    <n v="361"/>
    <m/>
    <m/>
  </r>
  <r>
    <x v="45"/>
    <x v="0"/>
    <x v="5"/>
    <x v="3"/>
    <m/>
    <n v="195"/>
    <m/>
    <m/>
  </r>
  <r>
    <x v="45"/>
    <x v="1"/>
    <x v="5"/>
    <x v="1"/>
    <m/>
    <n v="1044"/>
    <m/>
    <m/>
  </r>
  <r>
    <x v="45"/>
    <x v="1"/>
    <x v="5"/>
    <x v="2"/>
    <m/>
    <n v="371"/>
    <m/>
    <m/>
  </r>
  <r>
    <x v="45"/>
    <x v="1"/>
    <x v="5"/>
    <x v="3"/>
    <m/>
    <n v="190"/>
    <m/>
    <m/>
  </r>
  <r>
    <x v="45"/>
    <x v="0"/>
    <x v="5"/>
    <x v="4"/>
    <m/>
    <m/>
    <m/>
    <n v="100"/>
  </r>
  <r>
    <x v="45"/>
    <x v="0"/>
    <x v="5"/>
    <x v="5"/>
    <m/>
    <m/>
    <m/>
    <n v="2"/>
  </r>
  <r>
    <x v="45"/>
    <x v="0"/>
    <x v="5"/>
    <x v="6"/>
    <m/>
    <m/>
    <m/>
    <n v="3"/>
  </r>
  <r>
    <x v="29"/>
    <x v="0"/>
    <x v="5"/>
    <x v="1"/>
    <m/>
    <n v="733"/>
    <m/>
    <m/>
  </r>
  <r>
    <x v="29"/>
    <x v="0"/>
    <x v="5"/>
    <x v="2"/>
    <m/>
    <n v="427"/>
    <m/>
    <m/>
  </r>
  <r>
    <x v="29"/>
    <x v="0"/>
    <x v="5"/>
    <x v="3"/>
    <m/>
    <n v="260"/>
    <m/>
    <m/>
  </r>
  <r>
    <x v="29"/>
    <x v="1"/>
    <x v="5"/>
    <x v="1"/>
    <m/>
    <n v="870"/>
    <m/>
    <m/>
  </r>
  <r>
    <x v="29"/>
    <x v="1"/>
    <x v="5"/>
    <x v="2"/>
    <m/>
    <n v="471"/>
    <m/>
    <m/>
  </r>
  <r>
    <x v="29"/>
    <x v="1"/>
    <x v="5"/>
    <x v="3"/>
    <m/>
    <n v="306"/>
    <m/>
    <m/>
  </r>
  <r>
    <x v="29"/>
    <x v="0"/>
    <x v="5"/>
    <x v="4"/>
    <m/>
    <m/>
    <m/>
    <n v="178"/>
  </r>
  <r>
    <x v="29"/>
    <x v="0"/>
    <x v="5"/>
    <x v="5"/>
    <m/>
    <m/>
    <m/>
    <n v="6"/>
  </r>
  <r>
    <x v="29"/>
    <x v="0"/>
    <x v="5"/>
    <x v="6"/>
    <m/>
    <m/>
    <m/>
    <n v="7"/>
  </r>
  <r>
    <x v="28"/>
    <x v="0"/>
    <x v="5"/>
    <x v="1"/>
    <m/>
    <n v="863"/>
    <m/>
    <m/>
  </r>
  <r>
    <x v="28"/>
    <x v="0"/>
    <x v="5"/>
    <x v="2"/>
    <m/>
    <n v="421"/>
    <m/>
    <m/>
  </r>
  <r>
    <x v="28"/>
    <x v="0"/>
    <x v="5"/>
    <x v="3"/>
    <m/>
    <n v="246"/>
    <m/>
    <m/>
  </r>
  <r>
    <x v="28"/>
    <x v="1"/>
    <x v="5"/>
    <x v="1"/>
    <m/>
    <n v="1030"/>
    <m/>
    <m/>
  </r>
  <r>
    <x v="28"/>
    <x v="1"/>
    <x v="5"/>
    <x v="2"/>
    <m/>
    <n v="466"/>
    <m/>
    <m/>
  </r>
  <r>
    <x v="28"/>
    <x v="1"/>
    <x v="5"/>
    <x v="3"/>
    <m/>
    <n v="261"/>
    <m/>
    <m/>
  </r>
  <r>
    <x v="28"/>
    <x v="0"/>
    <x v="5"/>
    <x v="4"/>
    <m/>
    <m/>
    <m/>
    <n v="105"/>
  </r>
  <r>
    <x v="28"/>
    <x v="0"/>
    <x v="5"/>
    <x v="5"/>
    <m/>
    <m/>
    <m/>
    <n v="1"/>
  </r>
  <r>
    <x v="28"/>
    <x v="0"/>
    <x v="5"/>
    <x v="6"/>
    <m/>
    <m/>
    <m/>
    <n v="5"/>
  </r>
  <r>
    <x v="24"/>
    <x v="0"/>
    <x v="5"/>
    <x v="1"/>
    <m/>
    <n v="1077"/>
    <m/>
    <m/>
  </r>
  <r>
    <x v="24"/>
    <x v="0"/>
    <x v="5"/>
    <x v="2"/>
    <m/>
    <n v="481"/>
    <m/>
    <m/>
  </r>
  <r>
    <x v="24"/>
    <x v="0"/>
    <x v="5"/>
    <x v="3"/>
    <m/>
    <n v="277"/>
    <m/>
    <m/>
  </r>
  <r>
    <x v="24"/>
    <x v="1"/>
    <x v="5"/>
    <x v="1"/>
    <m/>
    <n v="1402"/>
    <m/>
    <m/>
  </r>
  <r>
    <x v="24"/>
    <x v="1"/>
    <x v="5"/>
    <x v="2"/>
    <m/>
    <n v="607"/>
    <m/>
    <m/>
  </r>
  <r>
    <x v="24"/>
    <x v="1"/>
    <x v="5"/>
    <x v="3"/>
    <m/>
    <n v="289"/>
    <m/>
    <m/>
  </r>
  <r>
    <x v="24"/>
    <x v="0"/>
    <x v="5"/>
    <x v="4"/>
    <m/>
    <m/>
    <m/>
    <n v="170"/>
  </r>
  <r>
    <x v="24"/>
    <x v="0"/>
    <x v="5"/>
    <x v="5"/>
    <m/>
    <m/>
    <m/>
    <n v="5"/>
  </r>
  <r>
    <x v="24"/>
    <x v="0"/>
    <x v="5"/>
    <x v="6"/>
    <m/>
    <m/>
    <m/>
    <n v="4"/>
  </r>
  <r>
    <x v="23"/>
    <x v="0"/>
    <x v="5"/>
    <x v="1"/>
    <m/>
    <n v="711"/>
    <m/>
    <m/>
  </r>
  <r>
    <x v="23"/>
    <x v="0"/>
    <x v="5"/>
    <x v="2"/>
    <m/>
    <n v="469"/>
    <m/>
    <m/>
  </r>
  <r>
    <x v="23"/>
    <x v="0"/>
    <x v="5"/>
    <x v="3"/>
    <m/>
    <n v="393"/>
    <m/>
    <m/>
  </r>
  <r>
    <x v="23"/>
    <x v="1"/>
    <x v="5"/>
    <x v="1"/>
    <m/>
    <n v="807"/>
    <m/>
    <m/>
  </r>
  <r>
    <x v="23"/>
    <x v="1"/>
    <x v="5"/>
    <x v="2"/>
    <m/>
    <n v="488"/>
    <m/>
    <m/>
  </r>
  <r>
    <x v="23"/>
    <x v="1"/>
    <x v="5"/>
    <x v="3"/>
    <m/>
    <n v="385"/>
    <m/>
    <m/>
  </r>
  <r>
    <x v="23"/>
    <x v="0"/>
    <x v="5"/>
    <x v="4"/>
    <m/>
    <m/>
    <m/>
    <n v="297"/>
  </r>
  <r>
    <x v="23"/>
    <x v="0"/>
    <x v="5"/>
    <x v="5"/>
    <m/>
    <m/>
    <m/>
    <n v="8"/>
  </r>
  <r>
    <x v="23"/>
    <x v="0"/>
    <x v="5"/>
    <x v="6"/>
    <m/>
    <m/>
    <m/>
    <n v="3"/>
  </r>
  <r>
    <x v="14"/>
    <x v="0"/>
    <x v="5"/>
    <x v="1"/>
    <m/>
    <n v="814"/>
    <m/>
    <m/>
  </r>
  <r>
    <x v="14"/>
    <x v="0"/>
    <x v="5"/>
    <x v="2"/>
    <m/>
    <n v="466"/>
    <m/>
    <m/>
  </r>
  <r>
    <x v="14"/>
    <x v="0"/>
    <x v="5"/>
    <x v="3"/>
    <m/>
    <n v="360"/>
    <m/>
    <m/>
  </r>
  <r>
    <x v="14"/>
    <x v="1"/>
    <x v="5"/>
    <x v="1"/>
    <m/>
    <n v="1051"/>
    <m/>
    <m/>
  </r>
  <r>
    <x v="14"/>
    <x v="1"/>
    <x v="5"/>
    <x v="2"/>
    <m/>
    <n v="531"/>
    <m/>
    <m/>
  </r>
  <r>
    <x v="14"/>
    <x v="1"/>
    <x v="5"/>
    <x v="3"/>
    <m/>
    <n v="373"/>
    <m/>
    <m/>
  </r>
  <r>
    <x v="14"/>
    <x v="0"/>
    <x v="5"/>
    <x v="4"/>
    <m/>
    <m/>
    <m/>
    <n v="244"/>
  </r>
  <r>
    <x v="14"/>
    <x v="0"/>
    <x v="5"/>
    <x v="5"/>
    <m/>
    <m/>
    <m/>
    <n v="10"/>
  </r>
  <r>
    <x v="14"/>
    <x v="0"/>
    <x v="5"/>
    <x v="6"/>
    <m/>
    <m/>
    <m/>
    <n v="7"/>
  </r>
  <r>
    <x v="30"/>
    <x v="0"/>
    <x v="5"/>
    <x v="1"/>
    <m/>
    <n v="602"/>
    <m/>
    <m/>
  </r>
  <r>
    <x v="30"/>
    <x v="0"/>
    <x v="5"/>
    <x v="2"/>
    <m/>
    <n v="372"/>
    <m/>
    <m/>
  </r>
  <r>
    <x v="30"/>
    <x v="0"/>
    <x v="5"/>
    <x v="3"/>
    <m/>
    <n v="190"/>
    <m/>
    <m/>
  </r>
  <r>
    <x v="30"/>
    <x v="1"/>
    <x v="5"/>
    <x v="1"/>
    <m/>
    <n v="873"/>
    <m/>
    <m/>
  </r>
  <r>
    <x v="30"/>
    <x v="1"/>
    <x v="5"/>
    <x v="2"/>
    <m/>
    <n v="376"/>
    <m/>
    <m/>
  </r>
  <r>
    <x v="30"/>
    <x v="1"/>
    <x v="5"/>
    <x v="3"/>
    <m/>
    <n v="205"/>
    <m/>
    <m/>
  </r>
  <r>
    <x v="30"/>
    <x v="0"/>
    <x v="5"/>
    <x v="4"/>
    <m/>
    <m/>
    <m/>
    <n v="75"/>
  </r>
  <r>
    <x v="30"/>
    <x v="0"/>
    <x v="5"/>
    <x v="5"/>
    <m/>
    <m/>
    <m/>
    <n v="1"/>
  </r>
  <r>
    <x v="30"/>
    <x v="0"/>
    <x v="5"/>
    <x v="6"/>
    <m/>
    <m/>
    <m/>
    <n v="5"/>
  </r>
  <r>
    <x v="20"/>
    <x v="0"/>
    <x v="5"/>
    <x v="1"/>
    <m/>
    <n v="680"/>
    <m/>
    <m/>
  </r>
  <r>
    <x v="20"/>
    <x v="0"/>
    <x v="5"/>
    <x v="2"/>
    <m/>
    <n v="442"/>
    <m/>
    <m/>
  </r>
  <r>
    <x v="20"/>
    <x v="0"/>
    <x v="5"/>
    <x v="3"/>
    <m/>
    <n v="296"/>
    <m/>
    <m/>
  </r>
  <r>
    <x v="20"/>
    <x v="1"/>
    <x v="5"/>
    <x v="1"/>
    <m/>
    <n v="839"/>
    <m/>
    <m/>
  </r>
  <r>
    <x v="20"/>
    <x v="1"/>
    <x v="5"/>
    <x v="2"/>
    <m/>
    <n v="414"/>
    <m/>
    <m/>
  </r>
  <r>
    <x v="20"/>
    <x v="1"/>
    <x v="5"/>
    <x v="3"/>
    <m/>
    <n v="272"/>
    <m/>
    <m/>
  </r>
  <r>
    <x v="20"/>
    <x v="0"/>
    <x v="5"/>
    <x v="4"/>
    <m/>
    <m/>
    <m/>
    <n v="242"/>
  </r>
  <r>
    <x v="20"/>
    <x v="0"/>
    <x v="5"/>
    <x v="5"/>
    <m/>
    <m/>
    <m/>
    <n v="11"/>
  </r>
  <r>
    <x v="20"/>
    <x v="0"/>
    <x v="5"/>
    <x v="6"/>
    <m/>
    <m/>
    <m/>
    <n v="15"/>
  </r>
  <r>
    <x v="36"/>
    <x v="0"/>
    <x v="5"/>
    <x v="1"/>
    <m/>
    <n v="451"/>
    <m/>
    <m/>
  </r>
  <r>
    <x v="36"/>
    <x v="0"/>
    <x v="5"/>
    <x v="2"/>
    <m/>
    <n v="322"/>
    <m/>
    <m/>
  </r>
  <r>
    <x v="36"/>
    <x v="0"/>
    <x v="5"/>
    <x v="3"/>
    <m/>
    <n v="214"/>
    <m/>
    <m/>
  </r>
  <r>
    <x v="36"/>
    <x v="1"/>
    <x v="5"/>
    <x v="1"/>
    <m/>
    <n v="519"/>
    <m/>
    <m/>
  </r>
  <r>
    <x v="36"/>
    <x v="1"/>
    <x v="5"/>
    <x v="2"/>
    <m/>
    <n v="383"/>
    <m/>
    <m/>
  </r>
  <r>
    <x v="36"/>
    <x v="1"/>
    <x v="5"/>
    <x v="3"/>
    <m/>
    <n v="269"/>
    <m/>
    <m/>
  </r>
  <r>
    <x v="36"/>
    <x v="0"/>
    <x v="5"/>
    <x v="4"/>
    <m/>
    <m/>
    <m/>
    <n v="157"/>
  </r>
  <r>
    <x v="36"/>
    <x v="0"/>
    <x v="5"/>
    <x v="5"/>
    <m/>
    <m/>
    <m/>
    <n v="4"/>
  </r>
  <r>
    <x v="36"/>
    <x v="0"/>
    <x v="5"/>
    <x v="6"/>
    <m/>
    <m/>
    <m/>
    <n v="6"/>
  </r>
  <r>
    <x v="33"/>
    <x v="0"/>
    <x v="5"/>
    <x v="1"/>
    <m/>
    <n v="534"/>
    <m/>
    <m/>
  </r>
  <r>
    <x v="33"/>
    <x v="0"/>
    <x v="5"/>
    <x v="2"/>
    <m/>
    <n v="385"/>
    <m/>
    <m/>
  </r>
  <r>
    <x v="33"/>
    <x v="0"/>
    <x v="5"/>
    <x v="3"/>
    <m/>
    <n v="260"/>
    <m/>
    <m/>
  </r>
  <r>
    <x v="33"/>
    <x v="1"/>
    <x v="5"/>
    <x v="1"/>
    <m/>
    <n v="571"/>
    <m/>
    <m/>
  </r>
  <r>
    <x v="33"/>
    <x v="1"/>
    <x v="5"/>
    <x v="2"/>
    <m/>
    <n v="359"/>
    <m/>
    <m/>
  </r>
  <r>
    <x v="33"/>
    <x v="1"/>
    <x v="5"/>
    <x v="3"/>
    <m/>
    <n v="233"/>
    <m/>
    <m/>
  </r>
  <r>
    <x v="33"/>
    <x v="0"/>
    <x v="5"/>
    <x v="4"/>
    <m/>
    <m/>
    <m/>
    <n v="158"/>
  </r>
  <r>
    <x v="33"/>
    <x v="0"/>
    <x v="5"/>
    <x v="5"/>
    <m/>
    <m/>
    <m/>
    <n v="4"/>
  </r>
  <r>
    <x v="33"/>
    <x v="0"/>
    <x v="5"/>
    <x v="6"/>
    <m/>
    <m/>
    <m/>
    <n v="4"/>
  </r>
  <r>
    <x v="19"/>
    <x v="0"/>
    <x v="5"/>
    <x v="1"/>
    <m/>
    <n v="588"/>
    <m/>
    <m/>
  </r>
  <r>
    <x v="19"/>
    <x v="0"/>
    <x v="5"/>
    <x v="2"/>
    <m/>
    <n v="548"/>
    <m/>
    <m/>
  </r>
  <r>
    <x v="19"/>
    <x v="0"/>
    <x v="5"/>
    <x v="3"/>
    <m/>
    <n v="410"/>
    <m/>
    <m/>
  </r>
  <r>
    <x v="19"/>
    <x v="1"/>
    <x v="5"/>
    <x v="1"/>
    <m/>
    <n v="777"/>
    <m/>
    <m/>
  </r>
  <r>
    <x v="19"/>
    <x v="1"/>
    <x v="5"/>
    <x v="2"/>
    <m/>
    <n v="499"/>
    <m/>
    <m/>
  </r>
  <r>
    <x v="19"/>
    <x v="1"/>
    <x v="5"/>
    <x v="3"/>
    <m/>
    <n v="334"/>
    <m/>
    <m/>
  </r>
  <r>
    <x v="19"/>
    <x v="0"/>
    <x v="5"/>
    <x v="4"/>
    <m/>
    <m/>
    <m/>
    <n v="218"/>
  </r>
  <r>
    <x v="19"/>
    <x v="0"/>
    <x v="5"/>
    <x v="5"/>
    <m/>
    <m/>
    <m/>
    <n v="3"/>
  </r>
  <r>
    <x v="19"/>
    <x v="0"/>
    <x v="5"/>
    <x v="6"/>
    <m/>
    <m/>
    <m/>
    <n v="9"/>
  </r>
  <r>
    <x v="21"/>
    <x v="0"/>
    <x v="5"/>
    <x v="1"/>
    <m/>
    <n v="726"/>
    <m/>
    <m/>
  </r>
  <r>
    <x v="21"/>
    <x v="0"/>
    <x v="5"/>
    <x v="2"/>
    <m/>
    <n v="402"/>
    <m/>
    <m/>
  </r>
  <r>
    <x v="21"/>
    <x v="0"/>
    <x v="5"/>
    <x v="3"/>
    <m/>
    <n v="260"/>
    <m/>
    <m/>
  </r>
  <r>
    <x v="21"/>
    <x v="1"/>
    <x v="5"/>
    <x v="1"/>
    <m/>
    <n v="1056"/>
    <m/>
    <m/>
  </r>
  <r>
    <x v="21"/>
    <x v="1"/>
    <x v="5"/>
    <x v="2"/>
    <m/>
    <n v="471"/>
    <m/>
    <m/>
  </r>
  <r>
    <x v="21"/>
    <x v="1"/>
    <x v="5"/>
    <x v="3"/>
    <m/>
    <n v="286"/>
    <m/>
    <m/>
  </r>
  <r>
    <x v="21"/>
    <x v="0"/>
    <x v="5"/>
    <x v="4"/>
    <m/>
    <m/>
    <m/>
    <n v="180"/>
  </r>
  <r>
    <x v="21"/>
    <x v="0"/>
    <x v="5"/>
    <x v="5"/>
    <m/>
    <m/>
    <m/>
    <n v="7"/>
  </r>
  <r>
    <x v="21"/>
    <x v="0"/>
    <x v="5"/>
    <x v="6"/>
    <m/>
    <m/>
    <m/>
    <n v="13"/>
  </r>
  <r>
    <x v="47"/>
    <x v="0"/>
    <x v="5"/>
    <x v="1"/>
    <m/>
    <n v="351"/>
    <m/>
    <m/>
  </r>
  <r>
    <x v="47"/>
    <x v="0"/>
    <x v="5"/>
    <x v="2"/>
    <m/>
    <n v="349"/>
    <m/>
    <m/>
  </r>
  <r>
    <x v="47"/>
    <x v="0"/>
    <x v="5"/>
    <x v="3"/>
    <m/>
    <n v="279"/>
    <m/>
    <m/>
  </r>
  <r>
    <x v="47"/>
    <x v="1"/>
    <x v="5"/>
    <x v="1"/>
    <m/>
    <n v="425"/>
    <m/>
    <m/>
  </r>
  <r>
    <x v="47"/>
    <x v="1"/>
    <x v="5"/>
    <x v="2"/>
    <m/>
    <n v="326"/>
    <m/>
    <m/>
  </r>
  <r>
    <x v="47"/>
    <x v="1"/>
    <x v="5"/>
    <x v="3"/>
    <m/>
    <n v="230"/>
    <m/>
    <m/>
  </r>
  <r>
    <x v="47"/>
    <x v="0"/>
    <x v="5"/>
    <x v="4"/>
    <m/>
    <m/>
    <m/>
    <n v="153"/>
  </r>
  <r>
    <x v="47"/>
    <x v="0"/>
    <x v="5"/>
    <x v="5"/>
    <m/>
    <m/>
    <m/>
    <n v="4"/>
  </r>
  <r>
    <x v="47"/>
    <x v="0"/>
    <x v="5"/>
    <x v="6"/>
    <m/>
    <m/>
    <m/>
    <n v="1"/>
  </r>
  <r>
    <x v="35"/>
    <x v="0"/>
    <x v="5"/>
    <x v="1"/>
    <m/>
    <n v="392"/>
    <m/>
    <m/>
  </r>
  <r>
    <x v="35"/>
    <x v="0"/>
    <x v="5"/>
    <x v="2"/>
    <m/>
    <n v="295"/>
    <m/>
    <m/>
  </r>
  <r>
    <x v="35"/>
    <x v="0"/>
    <x v="5"/>
    <x v="3"/>
    <m/>
    <n v="246"/>
    <m/>
    <m/>
  </r>
  <r>
    <x v="35"/>
    <x v="1"/>
    <x v="5"/>
    <x v="1"/>
    <m/>
    <n v="499"/>
    <m/>
    <m/>
  </r>
  <r>
    <x v="35"/>
    <x v="1"/>
    <x v="5"/>
    <x v="2"/>
    <m/>
    <n v="302"/>
    <m/>
    <m/>
  </r>
  <r>
    <x v="35"/>
    <x v="1"/>
    <x v="5"/>
    <x v="3"/>
    <m/>
    <n v="242"/>
    <m/>
    <m/>
  </r>
  <r>
    <x v="35"/>
    <x v="0"/>
    <x v="5"/>
    <x v="4"/>
    <m/>
    <m/>
    <m/>
    <n v="143"/>
  </r>
  <r>
    <x v="35"/>
    <x v="0"/>
    <x v="5"/>
    <x v="5"/>
    <m/>
    <m/>
    <m/>
    <n v="4"/>
  </r>
  <r>
    <x v="35"/>
    <x v="0"/>
    <x v="5"/>
    <x v="6"/>
    <m/>
    <m/>
    <m/>
    <n v="3"/>
  </r>
  <r>
    <x v="44"/>
    <x v="0"/>
    <x v="5"/>
    <x v="1"/>
    <m/>
    <n v="327"/>
    <m/>
    <m/>
  </r>
  <r>
    <x v="44"/>
    <x v="0"/>
    <x v="5"/>
    <x v="2"/>
    <m/>
    <n v="251"/>
    <m/>
    <m/>
  </r>
  <r>
    <x v="44"/>
    <x v="0"/>
    <x v="5"/>
    <x v="3"/>
    <m/>
    <n v="198"/>
    <m/>
    <m/>
  </r>
  <r>
    <x v="44"/>
    <x v="1"/>
    <x v="5"/>
    <x v="1"/>
    <m/>
    <n v="347"/>
    <m/>
    <m/>
  </r>
  <r>
    <x v="44"/>
    <x v="1"/>
    <x v="5"/>
    <x v="2"/>
    <m/>
    <n v="294"/>
    <m/>
    <m/>
  </r>
  <r>
    <x v="44"/>
    <x v="1"/>
    <x v="5"/>
    <x v="3"/>
    <m/>
    <n v="242"/>
    <m/>
    <m/>
  </r>
  <r>
    <x v="44"/>
    <x v="0"/>
    <x v="5"/>
    <x v="4"/>
    <m/>
    <m/>
    <m/>
    <n v="108"/>
  </r>
  <r>
    <x v="44"/>
    <x v="0"/>
    <x v="5"/>
    <x v="5"/>
    <m/>
    <m/>
    <m/>
    <n v="2"/>
  </r>
  <r>
    <x v="44"/>
    <x v="0"/>
    <x v="5"/>
    <x v="6"/>
    <m/>
    <m/>
    <m/>
    <n v="7"/>
  </r>
  <r>
    <x v="6"/>
    <x v="0"/>
    <x v="5"/>
    <x v="1"/>
    <m/>
    <n v="1286"/>
    <m/>
    <m/>
  </r>
  <r>
    <x v="6"/>
    <x v="0"/>
    <x v="5"/>
    <x v="2"/>
    <m/>
    <n v="723"/>
    <m/>
    <m/>
  </r>
  <r>
    <x v="6"/>
    <x v="0"/>
    <x v="5"/>
    <x v="3"/>
    <m/>
    <n v="454"/>
    <m/>
    <m/>
  </r>
  <r>
    <x v="6"/>
    <x v="1"/>
    <x v="5"/>
    <x v="1"/>
    <m/>
    <n v="1323"/>
    <m/>
    <m/>
  </r>
  <r>
    <x v="6"/>
    <x v="1"/>
    <x v="5"/>
    <x v="2"/>
    <m/>
    <n v="676"/>
    <m/>
    <m/>
  </r>
  <r>
    <x v="6"/>
    <x v="1"/>
    <x v="5"/>
    <x v="3"/>
    <m/>
    <n v="388"/>
    <m/>
    <m/>
  </r>
  <r>
    <x v="6"/>
    <x v="0"/>
    <x v="5"/>
    <x v="4"/>
    <m/>
    <m/>
    <m/>
    <n v="263"/>
  </r>
  <r>
    <x v="6"/>
    <x v="0"/>
    <x v="5"/>
    <x v="5"/>
    <m/>
    <m/>
    <m/>
    <n v="7"/>
  </r>
  <r>
    <x v="6"/>
    <x v="0"/>
    <x v="5"/>
    <x v="6"/>
    <m/>
    <m/>
    <m/>
    <n v="21"/>
  </r>
  <r>
    <x v="32"/>
    <x v="0"/>
    <x v="5"/>
    <x v="1"/>
    <m/>
    <n v="835"/>
    <m/>
    <m/>
  </r>
  <r>
    <x v="32"/>
    <x v="0"/>
    <x v="5"/>
    <x v="2"/>
    <m/>
    <n v="404"/>
    <m/>
    <m/>
  </r>
  <r>
    <x v="32"/>
    <x v="0"/>
    <x v="5"/>
    <x v="3"/>
    <m/>
    <n v="267"/>
    <m/>
    <m/>
  </r>
  <r>
    <x v="32"/>
    <x v="1"/>
    <x v="5"/>
    <x v="1"/>
    <m/>
    <n v="880"/>
    <m/>
    <m/>
  </r>
  <r>
    <x v="32"/>
    <x v="1"/>
    <x v="5"/>
    <x v="2"/>
    <m/>
    <n v="404"/>
    <m/>
    <m/>
  </r>
  <r>
    <x v="32"/>
    <x v="1"/>
    <x v="5"/>
    <x v="3"/>
    <m/>
    <n v="234"/>
    <m/>
    <m/>
  </r>
  <r>
    <x v="32"/>
    <x v="0"/>
    <x v="5"/>
    <x v="4"/>
    <m/>
    <m/>
    <m/>
    <n v="208"/>
  </r>
  <r>
    <x v="32"/>
    <x v="0"/>
    <x v="5"/>
    <x v="5"/>
    <m/>
    <m/>
    <m/>
    <n v="6"/>
  </r>
  <r>
    <x v="32"/>
    <x v="0"/>
    <x v="5"/>
    <x v="6"/>
    <m/>
    <m/>
    <m/>
    <n v="14"/>
  </r>
  <r>
    <x v="27"/>
    <x v="0"/>
    <x v="5"/>
    <x v="1"/>
    <m/>
    <n v="653"/>
    <m/>
    <m/>
  </r>
  <r>
    <x v="27"/>
    <x v="0"/>
    <x v="5"/>
    <x v="2"/>
    <m/>
    <n v="375"/>
    <m/>
    <m/>
  </r>
  <r>
    <x v="27"/>
    <x v="0"/>
    <x v="5"/>
    <x v="3"/>
    <m/>
    <n v="252"/>
    <m/>
    <m/>
  </r>
  <r>
    <x v="27"/>
    <x v="1"/>
    <x v="5"/>
    <x v="1"/>
    <m/>
    <n v="715"/>
    <m/>
    <m/>
  </r>
  <r>
    <x v="27"/>
    <x v="1"/>
    <x v="5"/>
    <x v="2"/>
    <m/>
    <n v="342"/>
    <m/>
    <m/>
  </r>
  <r>
    <x v="27"/>
    <x v="1"/>
    <x v="5"/>
    <x v="3"/>
    <m/>
    <n v="268"/>
    <m/>
    <m/>
  </r>
  <r>
    <x v="27"/>
    <x v="0"/>
    <x v="5"/>
    <x v="4"/>
    <m/>
    <m/>
    <m/>
    <n v="180"/>
  </r>
  <r>
    <x v="27"/>
    <x v="0"/>
    <x v="5"/>
    <x v="5"/>
    <m/>
    <m/>
    <m/>
    <n v="3"/>
  </r>
  <r>
    <x v="27"/>
    <x v="0"/>
    <x v="5"/>
    <x v="6"/>
    <m/>
    <m/>
    <m/>
    <n v="9"/>
  </r>
  <r>
    <x v="25"/>
    <x v="0"/>
    <x v="5"/>
    <x v="1"/>
    <m/>
    <n v="461"/>
    <m/>
    <m/>
  </r>
  <r>
    <x v="25"/>
    <x v="0"/>
    <x v="5"/>
    <x v="2"/>
    <m/>
    <n v="398"/>
    <m/>
    <m/>
  </r>
  <r>
    <x v="25"/>
    <x v="0"/>
    <x v="5"/>
    <x v="3"/>
    <m/>
    <n v="335"/>
    <m/>
    <m/>
  </r>
  <r>
    <x v="25"/>
    <x v="1"/>
    <x v="5"/>
    <x v="1"/>
    <m/>
    <n v="446"/>
    <m/>
    <m/>
  </r>
  <r>
    <x v="25"/>
    <x v="1"/>
    <x v="5"/>
    <x v="2"/>
    <m/>
    <n v="381"/>
    <m/>
    <m/>
  </r>
  <r>
    <x v="25"/>
    <x v="1"/>
    <x v="5"/>
    <x v="3"/>
    <m/>
    <n v="261"/>
    <m/>
    <m/>
  </r>
  <r>
    <x v="25"/>
    <x v="0"/>
    <x v="5"/>
    <x v="4"/>
    <m/>
    <m/>
    <m/>
    <n v="213"/>
  </r>
  <r>
    <x v="25"/>
    <x v="0"/>
    <x v="5"/>
    <x v="5"/>
    <m/>
    <m/>
    <m/>
    <n v="8"/>
  </r>
  <r>
    <x v="25"/>
    <x v="0"/>
    <x v="5"/>
    <x v="6"/>
    <m/>
    <m/>
    <m/>
    <n v="4"/>
  </r>
  <r>
    <x v="37"/>
    <x v="0"/>
    <x v="3"/>
    <x v="1"/>
    <m/>
    <n v="923"/>
    <m/>
    <m/>
  </r>
  <r>
    <x v="37"/>
    <x v="0"/>
    <x v="3"/>
    <x v="2"/>
    <m/>
    <n v="618"/>
    <m/>
    <m/>
  </r>
  <r>
    <x v="37"/>
    <x v="0"/>
    <x v="3"/>
    <x v="3"/>
    <m/>
    <n v="512"/>
    <m/>
    <m/>
  </r>
  <r>
    <x v="37"/>
    <x v="1"/>
    <x v="3"/>
    <x v="1"/>
    <m/>
    <n v="818"/>
    <m/>
    <m/>
  </r>
  <r>
    <x v="37"/>
    <x v="1"/>
    <x v="3"/>
    <x v="2"/>
    <m/>
    <n v="367"/>
    <m/>
    <m/>
  </r>
  <r>
    <x v="37"/>
    <x v="1"/>
    <x v="3"/>
    <x v="3"/>
    <m/>
    <n v="244"/>
    <m/>
    <m/>
  </r>
  <r>
    <x v="37"/>
    <x v="0"/>
    <x v="3"/>
    <x v="4"/>
    <m/>
    <m/>
    <m/>
    <m/>
  </r>
  <r>
    <x v="37"/>
    <x v="0"/>
    <x v="3"/>
    <x v="5"/>
    <m/>
    <m/>
    <m/>
    <m/>
  </r>
  <r>
    <x v="37"/>
    <x v="0"/>
    <x v="3"/>
    <x v="6"/>
    <m/>
    <m/>
    <m/>
    <n v="16"/>
  </r>
  <r>
    <x v="37"/>
    <x v="0"/>
    <x v="5"/>
    <x v="1"/>
    <m/>
    <n v="773"/>
    <m/>
    <m/>
  </r>
  <r>
    <x v="37"/>
    <x v="0"/>
    <x v="5"/>
    <x v="2"/>
    <m/>
    <n v="362"/>
    <m/>
    <m/>
  </r>
  <r>
    <x v="37"/>
    <x v="0"/>
    <x v="5"/>
    <x v="3"/>
    <m/>
    <n v="194"/>
    <m/>
    <m/>
  </r>
  <r>
    <x v="37"/>
    <x v="1"/>
    <x v="5"/>
    <x v="1"/>
    <m/>
    <n v="901"/>
    <m/>
    <m/>
  </r>
  <r>
    <x v="37"/>
    <x v="1"/>
    <x v="5"/>
    <x v="2"/>
    <m/>
    <n v="360"/>
    <m/>
    <m/>
  </r>
  <r>
    <x v="37"/>
    <x v="1"/>
    <x v="5"/>
    <x v="3"/>
    <m/>
    <n v="207"/>
    <m/>
    <m/>
  </r>
  <r>
    <x v="37"/>
    <x v="0"/>
    <x v="5"/>
    <x v="4"/>
    <m/>
    <m/>
    <m/>
    <n v="167"/>
  </r>
  <r>
    <x v="37"/>
    <x v="0"/>
    <x v="5"/>
    <x v="5"/>
    <m/>
    <m/>
    <m/>
    <n v="3"/>
  </r>
  <r>
    <x v="37"/>
    <x v="0"/>
    <x v="5"/>
    <x v="6"/>
    <m/>
    <m/>
    <m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4">
  <r>
    <x v="0"/>
    <x v="0"/>
    <x v="0"/>
    <n v="968"/>
    <n v="32"/>
    <n v="34"/>
    <n v="182"/>
    <n v="14"/>
    <n v="130"/>
    <n v="28"/>
    <n v="98"/>
    <n v="19"/>
    <n v="23"/>
    <n v="52"/>
    <n v="48"/>
    <n v="10"/>
    <n v="7"/>
  </r>
  <r>
    <x v="0"/>
    <x v="1"/>
    <x v="0"/>
    <n v="1181"/>
    <n v="46"/>
    <n v="22"/>
    <n v="185"/>
    <n v="15"/>
    <n v="123"/>
    <n v="22"/>
    <n v="92"/>
    <n v="21"/>
    <n v="26"/>
    <n v="56"/>
    <n v="31"/>
    <n v="18"/>
    <n v="2"/>
  </r>
  <r>
    <x v="0"/>
    <x v="0"/>
    <x v="1"/>
    <n v="975"/>
    <n v="25"/>
    <n v="28"/>
    <n v="104"/>
    <n v="50"/>
    <n v="166"/>
    <n v="11"/>
    <n v="71"/>
    <n v="21"/>
    <n v="24"/>
    <n v="47"/>
    <n v="31"/>
    <n v="20"/>
    <n v="2"/>
  </r>
  <r>
    <x v="0"/>
    <x v="1"/>
    <x v="1"/>
    <n v="1135"/>
    <n v="29"/>
    <n v="26"/>
    <n v="81"/>
    <n v="57"/>
    <n v="199"/>
    <n v="20"/>
    <n v="124"/>
    <n v="26"/>
    <n v="19"/>
    <n v="62"/>
    <n v="22"/>
    <n v="17"/>
    <n v="2"/>
  </r>
  <r>
    <x v="0"/>
    <x v="0"/>
    <x v="2"/>
    <n v="1202"/>
    <n v="54"/>
    <n v="44"/>
    <n v="203"/>
    <n v="22"/>
    <n v="177"/>
    <n v="24"/>
    <n v="134"/>
    <n v="27"/>
    <n v="22"/>
    <n v="160"/>
    <n v="111"/>
    <n v="110"/>
    <n v="5"/>
  </r>
  <r>
    <x v="0"/>
    <x v="1"/>
    <x v="2"/>
    <n v="1346"/>
    <n v="45"/>
    <n v="51"/>
    <n v="209"/>
    <n v="38"/>
    <n v="188"/>
    <n v="26"/>
    <n v="194"/>
    <n v="58"/>
    <n v="29"/>
    <n v="272"/>
    <n v="129"/>
    <n v="202"/>
    <n v="18"/>
  </r>
  <r>
    <x v="0"/>
    <x v="0"/>
    <x v="3"/>
    <n v="1258"/>
    <n v="90"/>
    <n v="80"/>
    <n v="273"/>
    <n v="50"/>
    <n v="285"/>
    <n v="68"/>
    <n v="499"/>
    <n v="171"/>
    <n v="71"/>
    <n v="539"/>
    <n v="210"/>
    <n v="256"/>
    <n v="10"/>
  </r>
  <r>
    <x v="0"/>
    <x v="1"/>
    <x v="3"/>
    <n v="1470"/>
    <n v="48"/>
    <n v="52"/>
    <n v="248"/>
    <n v="56"/>
    <n v="265"/>
    <n v="68"/>
    <n v="497"/>
    <n v="161"/>
    <n v="62"/>
    <n v="491"/>
    <n v="194"/>
    <n v="221"/>
    <n v="11"/>
  </r>
  <r>
    <x v="0"/>
    <x v="0"/>
    <x v="4"/>
    <n v="980"/>
    <n v="79"/>
    <n v="73"/>
    <n v="216"/>
    <n v="62"/>
    <n v="241"/>
    <n v="41"/>
    <n v="245"/>
    <n v="127"/>
    <n v="44"/>
    <n v="228"/>
    <n v="154"/>
    <n v="134"/>
    <n v="6"/>
  </r>
  <r>
    <x v="0"/>
    <x v="1"/>
    <x v="4"/>
    <n v="1229"/>
    <n v="104"/>
    <n v="85"/>
    <n v="224"/>
    <n v="46"/>
    <n v="277"/>
    <n v="61"/>
    <n v="333"/>
    <n v="126"/>
    <n v="61"/>
    <n v="275"/>
    <n v="212"/>
    <n v="142"/>
    <n v="7"/>
  </r>
  <r>
    <x v="0"/>
    <x v="0"/>
    <x v="5"/>
    <n v="1146"/>
    <n v="87"/>
    <n v="92"/>
    <n v="156"/>
    <n v="64"/>
    <n v="325"/>
    <n v="62"/>
    <n v="191"/>
    <n v="96"/>
    <n v="53"/>
    <n v="148"/>
    <n v="109"/>
    <n v="74"/>
    <n v="2"/>
  </r>
  <r>
    <x v="0"/>
    <x v="1"/>
    <x v="5"/>
    <n v="1205"/>
    <n v="95"/>
    <n v="73"/>
    <n v="169"/>
    <n v="49"/>
    <n v="310"/>
    <n v="43"/>
    <n v="148"/>
    <n v="123"/>
    <n v="48"/>
    <n v="158"/>
    <n v="116"/>
    <n v="66"/>
    <n v="1"/>
  </r>
  <r>
    <x v="0"/>
    <x v="0"/>
    <x v="6"/>
    <n v="1018"/>
    <n v="82"/>
    <n v="74"/>
    <n v="96"/>
    <n v="52"/>
    <n v="356"/>
    <n v="25"/>
    <n v="62"/>
    <n v="40"/>
    <n v="42"/>
    <n v="62"/>
    <n v="48"/>
    <n v="29"/>
    <n v="1"/>
  </r>
  <r>
    <x v="0"/>
    <x v="1"/>
    <x v="6"/>
    <n v="1205"/>
    <n v="52"/>
    <n v="48"/>
    <n v="99"/>
    <n v="55"/>
    <n v="322"/>
    <n v="35"/>
    <n v="66"/>
    <n v="48"/>
    <n v="43"/>
    <n v="70"/>
    <n v="41"/>
    <n v="26"/>
    <n v="1"/>
  </r>
  <r>
    <x v="0"/>
    <x v="0"/>
    <x v="7"/>
    <n v="831"/>
    <n v="36"/>
    <n v="36"/>
    <n v="60"/>
    <n v="28"/>
    <n v="276"/>
    <n v="21"/>
    <n v="23"/>
    <n v="17"/>
    <n v="33"/>
    <n v="32"/>
    <n v="15"/>
    <n v="10"/>
    <n v="0"/>
  </r>
  <r>
    <x v="0"/>
    <x v="1"/>
    <x v="7"/>
    <n v="972"/>
    <n v="33"/>
    <n v="60"/>
    <n v="68"/>
    <n v="19"/>
    <n v="279"/>
    <n v="18"/>
    <n v="32"/>
    <n v="29"/>
    <n v="49"/>
    <n v="36"/>
    <n v="21"/>
    <n v="11"/>
    <n v="1"/>
  </r>
  <r>
    <x v="0"/>
    <x v="0"/>
    <x v="8"/>
    <n v="1003"/>
    <n v="41"/>
    <n v="53"/>
    <n v="60"/>
    <n v="40"/>
    <n v="285"/>
    <n v="52"/>
    <n v="15"/>
    <n v="14"/>
    <n v="45"/>
    <n v="16"/>
    <n v="21"/>
    <n v="6"/>
    <n v="0"/>
  </r>
  <r>
    <x v="0"/>
    <x v="1"/>
    <x v="8"/>
    <n v="1114"/>
    <n v="35"/>
    <n v="34"/>
    <n v="75"/>
    <n v="15"/>
    <n v="288"/>
    <n v="21"/>
    <n v="26"/>
    <n v="14"/>
    <n v="46"/>
    <n v="14"/>
    <n v="14"/>
    <n v="5"/>
    <n v="0"/>
  </r>
  <r>
    <x v="0"/>
    <x v="0"/>
    <x v="9"/>
    <n v="1325"/>
    <n v="114"/>
    <n v="110"/>
    <n v="88"/>
    <n v="107"/>
    <n v="412"/>
    <n v="67"/>
    <n v="50"/>
    <n v="56"/>
    <n v="58"/>
    <n v="59"/>
    <n v="45"/>
    <n v="21"/>
    <n v="5"/>
  </r>
  <r>
    <x v="0"/>
    <x v="1"/>
    <x v="9"/>
    <n v="1595"/>
    <n v="94"/>
    <n v="140"/>
    <n v="222"/>
    <n v="45"/>
    <n v="454"/>
    <n v="83"/>
    <n v="98"/>
    <n v="77"/>
    <n v="90"/>
    <n v="73"/>
    <n v="62"/>
    <n v="28"/>
    <n v="2"/>
  </r>
  <r>
    <x v="0"/>
    <x v="0"/>
    <x v="10"/>
    <n v="1225"/>
    <n v="101"/>
    <n v="89"/>
    <n v="119"/>
    <n v="107"/>
    <n v="309"/>
    <n v="45"/>
    <n v="82"/>
    <n v="43"/>
    <n v="63"/>
    <n v="50"/>
    <n v="52"/>
    <n v="19"/>
    <n v="3"/>
  </r>
  <r>
    <x v="0"/>
    <x v="1"/>
    <x v="10"/>
    <n v="1410"/>
    <n v="69"/>
    <n v="51"/>
    <n v="140"/>
    <n v="48"/>
    <n v="255"/>
    <n v="19"/>
    <n v="41"/>
    <n v="32"/>
    <n v="38"/>
    <n v="45"/>
    <n v="43"/>
    <n v="15"/>
    <n v="0"/>
  </r>
  <r>
    <x v="0"/>
    <x v="0"/>
    <x v="11"/>
    <n v="1186"/>
    <n v="51"/>
    <n v="66"/>
    <n v="230"/>
    <n v="54"/>
    <n v="253"/>
    <n v="36"/>
    <n v="111"/>
    <n v="50"/>
    <n v="28"/>
    <n v="66"/>
    <n v="59"/>
    <n v="34"/>
    <n v="3"/>
  </r>
  <r>
    <x v="0"/>
    <x v="1"/>
    <x v="11"/>
    <n v="1427"/>
    <n v="59"/>
    <n v="57"/>
    <n v="212"/>
    <n v="56"/>
    <n v="283"/>
    <n v="42"/>
    <n v="111"/>
    <n v="43"/>
    <n v="46"/>
    <n v="82"/>
    <n v="56"/>
    <n v="11"/>
    <n v="0"/>
  </r>
  <r>
    <x v="1"/>
    <x v="0"/>
    <x v="0"/>
    <n v="1211"/>
    <n v="60"/>
    <n v="18"/>
    <n v="171"/>
    <n v="8"/>
    <n v="179"/>
    <n v="28"/>
    <n v="106"/>
    <n v="25"/>
    <n v="28"/>
    <n v="57"/>
    <n v="41"/>
    <n v="27"/>
    <n v="0"/>
  </r>
  <r>
    <x v="1"/>
    <x v="1"/>
    <x v="0"/>
    <n v="1373"/>
    <n v="42"/>
    <n v="33"/>
    <n v="149"/>
    <n v="17"/>
    <n v="143"/>
    <n v="12"/>
    <n v="111"/>
    <n v="22"/>
    <n v="24"/>
    <n v="47"/>
    <n v="49"/>
    <n v="29"/>
    <n v="3"/>
  </r>
  <r>
    <x v="1"/>
    <x v="0"/>
    <x v="1"/>
    <n v="1265"/>
    <n v="55"/>
    <n v="29"/>
    <n v="103"/>
    <n v="17"/>
    <n v="205"/>
    <n v="22"/>
    <n v="85"/>
    <n v="26"/>
    <n v="21"/>
    <n v="59"/>
    <n v="32"/>
    <n v="16"/>
    <n v="16"/>
  </r>
  <r>
    <x v="1"/>
    <x v="1"/>
    <x v="1"/>
    <n v="1274"/>
    <n v="57"/>
    <n v="38"/>
    <n v="77"/>
    <n v="77"/>
    <n v="220"/>
    <n v="25"/>
    <n v="101"/>
    <n v="25"/>
    <n v="31"/>
    <n v="51"/>
    <n v="35"/>
    <n v="18"/>
    <n v="10"/>
  </r>
  <r>
    <x v="1"/>
    <x v="0"/>
    <x v="2"/>
    <n v="1448"/>
    <n v="68"/>
    <n v="67"/>
    <n v="271"/>
    <n v="14"/>
    <n v="214"/>
    <n v="41"/>
    <n v="149"/>
    <n v="57"/>
    <n v="44"/>
    <n v="240"/>
    <n v="118"/>
    <n v="135"/>
    <n v="12"/>
  </r>
  <r>
    <x v="1"/>
    <x v="1"/>
    <x v="2"/>
    <n v="1458"/>
    <n v="88"/>
    <n v="79"/>
    <n v="237"/>
    <n v="51"/>
    <n v="279"/>
    <n v="49"/>
    <n v="187"/>
    <n v="61"/>
    <n v="45"/>
    <n v="0"/>
    <n v="157"/>
    <n v="188"/>
    <n v="12"/>
  </r>
  <r>
    <x v="1"/>
    <x v="0"/>
    <x v="3"/>
    <n v="1516"/>
    <n v="80"/>
    <n v="115"/>
    <n v="327"/>
    <n v="71"/>
    <n v="343"/>
    <n v="88"/>
    <n v="579"/>
    <n v="173"/>
    <n v="85"/>
    <n v="493"/>
    <n v="351"/>
    <n v="312"/>
    <n v="5"/>
  </r>
  <r>
    <x v="1"/>
    <x v="1"/>
    <x v="3"/>
    <n v="1655"/>
    <n v="99"/>
    <n v="88"/>
    <n v="286"/>
    <n v="91"/>
    <n v="320"/>
    <n v="83"/>
    <n v="472"/>
    <n v="159"/>
    <n v="83"/>
    <n v="419"/>
    <n v="249"/>
    <n v="264"/>
    <n v="9"/>
  </r>
  <r>
    <x v="1"/>
    <x v="0"/>
    <x v="4"/>
    <n v="1417"/>
    <n v="104"/>
    <n v="73"/>
    <n v="208"/>
    <n v="55"/>
    <n v="339"/>
    <n v="55"/>
    <n v="316"/>
    <n v="129"/>
    <n v="63"/>
    <n v="253"/>
    <n v="173"/>
    <n v="145"/>
    <n v="1"/>
  </r>
  <r>
    <x v="1"/>
    <x v="1"/>
    <x v="4"/>
    <n v="1443"/>
    <n v="111"/>
    <n v="63"/>
    <n v="261"/>
    <n v="34"/>
    <n v="313"/>
    <n v="66"/>
    <n v="315"/>
    <n v="129"/>
    <n v="43"/>
    <n v="298"/>
    <n v="185"/>
    <n v="142"/>
    <n v="3"/>
  </r>
  <r>
    <x v="1"/>
    <x v="0"/>
    <x v="5"/>
    <n v="1453"/>
    <n v="108"/>
    <n v="85"/>
    <n v="186"/>
    <n v="50"/>
    <n v="254"/>
    <n v="42"/>
    <n v="143"/>
    <n v="72"/>
    <n v="62"/>
    <n v="117"/>
    <n v="102"/>
    <n v="77"/>
    <n v="11"/>
  </r>
  <r>
    <x v="1"/>
    <x v="1"/>
    <x v="5"/>
    <n v="1470"/>
    <n v="127"/>
    <n v="90"/>
    <n v="221"/>
    <n v="56"/>
    <n v="321"/>
    <n v="81"/>
    <n v="164"/>
    <n v="95"/>
    <n v="68"/>
    <n v="145"/>
    <n v="136"/>
    <n v="73"/>
    <n v="4"/>
  </r>
  <r>
    <x v="1"/>
    <x v="0"/>
    <x v="6"/>
    <n v="1332"/>
    <n v="67"/>
    <n v="54"/>
    <n v="126"/>
    <n v="21"/>
    <n v="292"/>
    <n v="38"/>
    <n v="62"/>
    <n v="36"/>
    <n v="39"/>
    <n v="57"/>
    <n v="58"/>
    <n v="30"/>
    <n v="4"/>
  </r>
  <r>
    <x v="1"/>
    <x v="1"/>
    <x v="6"/>
    <n v="1517"/>
    <n v="90"/>
    <n v="77"/>
    <n v="102"/>
    <n v="60"/>
    <n v="368"/>
    <n v="41"/>
    <n v="65"/>
    <n v="44"/>
    <n v="43"/>
    <n v="89"/>
    <n v="71"/>
    <n v="22"/>
    <n v="8"/>
  </r>
  <r>
    <x v="1"/>
    <x v="0"/>
    <x v="7"/>
    <n v="1166"/>
    <n v="77"/>
    <n v="95"/>
    <n v="64"/>
    <n v="16"/>
    <n v="299"/>
    <n v="31"/>
    <n v="54"/>
    <n v="17"/>
    <n v="45"/>
    <n v="43"/>
    <n v="36"/>
    <n v="13"/>
    <n v="0"/>
  </r>
  <r>
    <x v="1"/>
    <x v="1"/>
    <x v="7"/>
    <n v="1394"/>
    <n v="79"/>
    <n v="39"/>
    <n v="108"/>
    <n v="16"/>
    <n v="316"/>
    <n v="27"/>
    <n v="29"/>
    <n v="15"/>
    <n v="42"/>
    <n v="24"/>
    <n v="17"/>
    <n v="13"/>
    <n v="2"/>
  </r>
  <r>
    <x v="1"/>
    <x v="0"/>
    <x v="8"/>
    <n v="1261"/>
    <n v="74"/>
    <n v="63"/>
    <n v="73"/>
    <n v="47"/>
    <n v="310"/>
    <n v="34"/>
    <n v="42"/>
    <n v="25"/>
    <n v="68"/>
    <n v="30"/>
    <n v="25"/>
    <n v="12"/>
    <n v="0"/>
  </r>
  <r>
    <x v="1"/>
    <x v="1"/>
    <x v="8"/>
    <n v="1431"/>
    <n v="65"/>
    <n v="69"/>
    <n v="102"/>
    <n v="23"/>
    <n v="317"/>
    <n v="48"/>
    <n v="42"/>
    <n v="44"/>
    <n v="51"/>
    <n v="47"/>
    <n v="35"/>
    <n v="13"/>
    <n v="0"/>
  </r>
  <r>
    <x v="1"/>
    <x v="0"/>
    <x v="9"/>
    <n v="1624"/>
    <n v="134"/>
    <n v="114"/>
    <n v="114"/>
    <n v="75"/>
    <n v="450"/>
    <n v="69"/>
    <n v="69"/>
    <n v="53"/>
    <n v="93"/>
    <n v="60"/>
    <n v="65"/>
    <n v="31"/>
    <n v="2"/>
  </r>
  <r>
    <x v="1"/>
    <x v="1"/>
    <x v="9"/>
    <n v="1987"/>
    <n v="149"/>
    <n v="109"/>
    <n v="183"/>
    <n v="32"/>
    <n v="379"/>
    <n v="47"/>
    <n v="66"/>
    <n v="60"/>
    <n v="73"/>
    <n v="63"/>
    <n v="52"/>
    <n v="31"/>
    <n v="1"/>
  </r>
  <r>
    <x v="1"/>
    <x v="0"/>
    <x v="10"/>
    <n v="1452"/>
    <n v="113"/>
    <n v="95"/>
    <n v="157"/>
    <n v="52"/>
    <n v="325"/>
    <n v="56"/>
    <n v="76"/>
    <n v="43"/>
    <n v="58"/>
    <n v="63"/>
    <n v="57"/>
    <n v="31"/>
    <n v="1"/>
  </r>
  <r>
    <x v="1"/>
    <x v="1"/>
    <x v="10"/>
    <n v="1668"/>
    <n v="86"/>
    <n v="67"/>
    <n v="153"/>
    <n v="55"/>
    <n v="338"/>
    <n v="41"/>
    <n v="112"/>
    <n v="43"/>
    <n v="39"/>
    <n v="61"/>
    <n v="68"/>
    <n v="32"/>
    <n v="2"/>
  </r>
  <r>
    <x v="1"/>
    <x v="0"/>
    <x v="11"/>
    <n v="1417"/>
    <n v="84"/>
    <n v="71"/>
    <n v="226"/>
    <n v="18"/>
    <n v="280"/>
    <n v="50"/>
    <n v="110"/>
    <n v="56"/>
    <n v="44"/>
    <n v="75"/>
    <n v="77"/>
    <n v="31"/>
    <n v="0"/>
  </r>
  <r>
    <x v="1"/>
    <x v="1"/>
    <x v="11"/>
    <n v="1565"/>
    <n v="84"/>
    <n v="99"/>
    <n v="229"/>
    <n v="38"/>
    <n v="262"/>
    <n v="42"/>
    <n v="130"/>
    <n v="48"/>
    <n v="77"/>
    <n v="74"/>
    <n v="69"/>
    <n v="28"/>
    <n v="1"/>
  </r>
  <r>
    <x v="2"/>
    <x v="0"/>
    <x v="0"/>
    <n v="410"/>
    <n v="29"/>
    <n v="16"/>
    <n v="73"/>
    <n v="2"/>
    <n v="69"/>
    <n v="14"/>
    <n v="61"/>
    <n v="21"/>
    <n v="5"/>
    <n v="24"/>
    <n v="27"/>
    <n v="15"/>
    <n v="0"/>
  </r>
  <r>
    <x v="2"/>
    <x v="1"/>
    <x v="0"/>
    <n v="443"/>
    <n v="32"/>
    <n v="13"/>
    <n v="79"/>
    <n v="3"/>
    <n v="74"/>
    <n v="10"/>
    <n v="77"/>
    <n v="17"/>
    <n v="14"/>
    <n v="19"/>
    <n v="28"/>
    <n v="12"/>
    <n v="1"/>
  </r>
  <r>
    <x v="2"/>
    <x v="0"/>
    <x v="1"/>
    <n v="472"/>
    <n v="22"/>
    <n v="15"/>
    <n v="65"/>
    <n v="15"/>
    <n v="86"/>
    <n v="12"/>
    <n v="43"/>
    <n v="21"/>
    <n v="7"/>
    <n v="27"/>
    <n v="25"/>
    <n v="12"/>
    <n v="0"/>
  </r>
  <r>
    <x v="2"/>
    <x v="1"/>
    <x v="1"/>
    <n v="481"/>
    <n v="15"/>
    <n v="10"/>
    <n v="17"/>
    <n v="53"/>
    <n v="119"/>
    <n v="10"/>
    <n v="42"/>
    <n v="17"/>
    <n v="13"/>
    <n v="27"/>
    <n v="18"/>
    <n v="13"/>
    <n v="0"/>
  </r>
  <r>
    <x v="2"/>
    <x v="0"/>
    <x v="2"/>
    <n v="552"/>
    <n v="34"/>
    <n v="31"/>
    <n v="108"/>
    <n v="3"/>
    <n v="84"/>
    <n v="20"/>
    <n v="57"/>
    <n v="31"/>
    <n v="14"/>
    <n v="126"/>
    <n v="64"/>
    <n v="68"/>
    <n v="1"/>
  </r>
  <r>
    <x v="2"/>
    <x v="1"/>
    <x v="2"/>
    <n v="558"/>
    <n v="44"/>
    <n v="34"/>
    <n v="119"/>
    <n v="14"/>
    <n v="111"/>
    <n v="19"/>
    <n v="119"/>
    <n v="38"/>
    <n v="6"/>
    <n v="225"/>
    <n v="92"/>
    <n v="97"/>
    <n v="5"/>
  </r>
  <r>
    <x v="2"/>
    <x v="0"/>
    <x v="3"/>
    <n v="480"/>
    <n v="59"/>
    <n v="67"/>
    <n v="135"/>
    <n v="8"/>
    <n v="154"/>
    <n v="67"/>
    <n v="252"/>
    <n v="105"/>
    <n v="53"/>
    <n v="342"/>
    <n v="172"/>
    <n v="168"/>
    <n v="3"/>
  </r>
  <r>
    <x v="2"/>
    <x v="1"/>
    <x v="3"/>
    <n v="547"/>
    <n v="40"/>
    <n v="52"/>
    <n v="119"/>
    <n v="50"/>
    <n v="163"/>
    <n v="63"/>
    <n v="248"/>
    <n v="90"/>
    <n v="49"/>
    <n v="314"/>
    <n v="119"/>
    <n v="130"/>
    <n v="5"/>
  </r>
  <r>
    <x v="2"/>
    <x v="0"/>
    <x v="4"/>
    <n v="416"/>
    <n v="48"/>
    <n v="65"/>
    <n v="72"/>
    <n v="14"/>
    <n v="112"/>
    <n v="26"/>
    <n v="155"/>
    <n v="63"/>
    <n v="21"/>
    <n v="182"/>
    <n v="120"/>
    <n v="83"/>
    <n v="1"/>
  </r>
  <r>
    <x v="2"/>
    <x v="1"/>
    <x v="4"/>
    <n v="495"/>
    <n v="72"/>
    <n v="45"/>
    <n v="105"/>
    <n v="27"/>
    <n v="164"/>
    <n v="32"/>
    <n v="125"/>
    <n v="59"/>
    <n v="28"/>
    <n v="245"/>
    <n v="121"/>
    <n v="58"/>
    <n v="2"/>
  </r>
  <r>
    <x v="2"/>
    <x v="0"/>
    <x v="5"/>
    <n v="526"/>
    <n v="28"/>
    <n v="62"/>
    <n v="94"/>
    <n v="38"/>
    <n v="165"/>
    <n v="37"/>
    <n v="80"/>
    <n v="36"/>
    <n v="26"/>
    <n v="129"/>
    <n v="64"/>
    <n v="30"/>
    <n v="2"/>
  </r>
  <r>
    <x v="2"/>
    <x v="1"/>
    <x v="5"/>
    <n v="613"/>
    <n v="52"/>
    <n v="47"/>
    <n v="116"/>
    <n v="21"/>
    <n v="171"/>
    <n v="48"/>
    <n v="75"/>
    <n v="54"/>
    <n v="41"/>
    <n v="119"/>
    <n v="74"/>
    <n v="57"/>
    <n v="2"/>
  </r>
  <r>
    <x v="2"/>
    <x v="0"/>
    <x v="6"/>
    <n v="451"/>
    <n v="56"/>
    <n v="31"/>
    <n v="57"/>
    <n v="12"/>
    <n v="134"/>
    <n v="12"/>
    <n v="19"/>
    <n v="29"/>
    <n v="23"/>
    <n v="28"/>
    <n v="41"/>
    <n v="9"/>
    <n v="1"/>
  </r>
  <r>
    <x v="2"/>
    <x v="1"/>
    <x v="6"/>
    <n v="519"/>
    <n v="57"/>
    <n v="52"/>
    <n v="42"/>
    <n v="37"/>
    <n v="186"/>
    <n v="24"/>
    <n v="28"/>
    <n v="34"/>
    <n v="32"/>
    <n v="45"/>
    <n v="29"/>
    <n v="15"/>
    <n v="0"/>
  </r>
  <r>
    <x v="2"/>
    <x v="0"/>
    <x v="7"/>
    <n v="442"/>
    <n v="52"/>
    <n v="28"/>
    <n v="24"/>
    <n v="26"/>
    <n v="166"/>
    <n v="17"/>
    <n v="31"/>
    <n v="29"/>
    <n v="21"/>
    <n v="16"/>
    <n v="29"/>
    <n v="6"/>
    <n v="0"/>
  </r>
  <r>
    <x v="2"/>
    <x v="1"/>
    <x v="7"/>
    <n v="456"/>
    <n v="45"/>
    <n v="23"/>
    <n v="42"/>
    <n v="7"/>
    <n v="125"/>
    <n v="15"/>
    <n v="30"/>
    <n v="10"/>
    <n v="15"/>
    <n v="17"/>
    <n v="23"/>
    <n v="3"/>
    <n v="1"/>
  </r>
  <r>
    <x v="2"/>
    <x v="0"/>
    <x v="8"/>
    <n v="445"/>
    <n v="35"/>
    <n v="29"/>
    <n v="24"/>
    <n v="40"/>
    <n v="180"/>
    <n v="30"/>
    <n v="14"/>
    <n v="6"/>
    <n v="21"/>
    <n v="7"/>
    <n v="17"/>
    <n v="0"/>
    <n v="0"/>
  </r>
  <r>
    <x v="2"/>
    <x v="1"/>
    <x v="8"/>
    <n v="452"/>
    <n v="40"/>
    <n v="36"/>
    <n v="42"/>
    <n v="8"/>
    <n v="121"/>
    <n v="12"/>
    <n v="8"/>
    <n v="15"/>
    <n v="19"/>
    <n v="15"/>
    <n v="15"/>
    <n v="7"/>
    <n v="4"/>
  </r>
  <r>
    <x v="2"/>
    <x v="0"/>
    <x v="9"/>
    <n v="627"/>
    <n v="79"/>
    <n v="84"/>
    <n v="59"/>
    <n v="52"/>
    <n v="221"/>
    <n v="58"/>
    <n v="27"/>
    <n v="25"/>
    <n v="39"/>
    <n v="25"/>
    <n v="35"/>
    <n v="10"/>
    <n v="0"/>
  </r>
  <r>
    <x v="2"/>
    <x v="1"/>
    <x v="9"/>
    <n v="703"/>
    <n v="69"/>
    <n v="65"/>
    <n v="122"/>
    <n v="9"/>
    <n v="192"/>
    <n v="45"/>
    <n v="60"/>
    <n v="38"/>
    <n v="38"/>
    <n v="57"/>
    <n v="33"/>
    <n v="22"/>
    <n v="2"/>
  </r>
  <r>
    <x v="2"/>
    <x v="0"/>
    <x v="10"/>
    <n v="553"/>
    <n v="52"/>
    <n v="58"/>
    <n v="104"/>
    <n v="18"/>
    <n v="163"/>
    <n v="38"/>
    <n v="35"/>
    <n v="24"/>
    <n v="34"/>
    <n v="51"/>
    <n v="27"/>
    <n v="7"/>
    <n v="2"/>
  </r>
  <r>
    <x v="2"/>
    <x v="1"/>
    <x v="10"/>
    <n v="534"/>
    <n v="22"/>
    <n v="49"/>
    <n v="69"/>
    <n v="44"/>
    <n v="179"/>
    <n v="28"/>
    <n v="48"/>
    <n v="18"/>
    <n v="28"/>
    <n v="36"/>
    <n v="18"/>
    <n v="1"/>
    <n v="0"/>
  </r>
  <r>
    <x v="2"/>
    <x v="0"/>
    <x v="11"/>
    <n v="532"/>
    <n v="48"/>
    <n v="41"/>
    <n v="108"/>
    <n v="12"/>
    <n v="129"/>
    <n v="28"/>
    <n v="55"/>
    <n v="33"/>
    <n v="15"/>
    <n v="51"/>
    <n v="49"/>
    <n v="13"/>
    <n v="1"/>
  </r>
  <r>
    <x v="2"/>
    <x v="1"/>
    <x v="11"/>
    <n v="555"/>
    <n v="54"/>
    <n v="54"/>
    <n v="93"/>
    <n v="18"/>
    <n v="114"/>
    <n v="21"/>
    <n v="71"/>
    <n v="29"/>
    <n v="25"/>
    <n v="58"/>
    <n v="43"/>
    <n v="13"/>
    <n v="0"/>
  </r>
  <r>
    <x v="3"/>
    <x v="0"/>
    <x v="0"/>
    <n v="332"/>
    <n v="22"/>
    <n v="20"/>
    <n v="89"/>
    <n v="3"/>
    <n v="55"/>
    <n v="20"/>
    <n v="69"/>
    <n v="13"/>
    <n v="17"/>
    <n v="32"/>
    <n v="24"/>
    <n v="10"/>
    <n v="2"/>
  </r>
  <r>
    <x v="3"/>
    <x v="1"/>
    <x v="0"/>
    <n v="400"/>
    <n v="10"/>
    <n v="11"/>
    <n v="71"/>
    <n v="5"/>
    <n v="78"/>
    <n v="9"/>
    <n v="39"/>
    <n v="16"/>
    <n v="12"/>
    <n v="21"/>
    <n v="23"/>
    <n v="16"/>
    <n v="2"/>
  </r>
  <r>
    <x v="3"/>
    <x v="0"/>
    <x v="1"/>
    <n v="287"/>
    <n v="8"/>
    <n v="10"/>
    <n v="24"/>
    <n v="27"/>
    <n v="92"/>
    <n v="7"/>
    <n v="27"/>
    <n v="10"/>
    <n v="9"/>
    <n v="18"/>
    <n v="21"/>
    <n v="13"/>
    <n v="0"/>
  </r>
  <r>
    <x v="3"/>
    <x v="1"/>
    <x v="1"/>
    <n v="428"/>
    <n v="12"/>
    <n v="9"/>
    <n v="19"/>
    <n v="27"/>
    <n v="101"/>
    <n v="10"/>
    <n v="27"/>
    <n v="10"/>
    <n v="6"/>
    <n v="23"/>
    <n v="12"/>
    <n v="11"/>
    <n v="0"/>
  </r>
  <r>
    <x v="3"/>
    <x v="0"/>
    <x v="2"/>
    <n v="407"/>
    <n v="24"/>
    <n v="31"/>
    <n v="113"/>
    <n v="1"/>
    <n v="70"/>
    <n v="19"/>
    <n v="54"/>
    <n v="20"/>
    <n v="16"/>
    <n v="67"/>
    <n v="47"/>
    <n v="37"/>
    <n v="3"/>
  </r>
  <r>
    <x v="3"/>
    <x v="1"/>
    <x v="2"/>
    <n v="485"/>
    <n v="14"/>
    <n v="31"/>
    <n v="99"/>
    <n v="9"/>
    <n v="79"/>
    <n v="21"/>
    <n v="99"/>
    <n v="28"/>
    <n v="17"/>
    <n v="98"/>
    <n v="67"/>
    <n v="36"/>
    <n v="2"/>
  </r>
  <r>
    <x v="3"/>
    <x v="0"/>
    <x v="3"/>
    <n v="358"/>
    <n v="21"/>
    <n v="33"/>
    <n v="131"/>
    <n v="11"/>
    <n v="109"/>
    <n v="29"/>
    <n v="209"/>
    <n v="77"/>
    <n v="48"/>
    <n v="172"/>
    <n v="122"/>
    <n v="86"/>
    <n v="8"/>
  </r>
  <r>
    <x v="3"/>
    <x v="1"/>
    <x v="3"/>
    <n v="519"/>
    <n v="35"/>
    <n v="28"/>
    <n v="86"/>
    <n v="54"/>
    <n v="174"/>
    <n v="21"/>
    <n v="134"/>
    <n v="73"/>
    <n v="31"/>
    <n v="155"/>
    <n v="117"/>
    <n v="90"/>
    <n v="4"/>
  </r>
  <r>
    <x v="3"/>
    <x v="0"/>
    <x v="4"/>
    <n v="340"/>
    <n v="25"/>
    <n v="13"/>
    <n v="86"/>
    <n v="8"/>
    <n v="117"/>
    <n v="10"/>
    <n v="101"/>
    <n v="37"/>
    <n v="28"/>
    <n v="106"/>
    <n v="75"/>
    <n v="65"/>
    <n v="1"/>
  </r>
  <r>
    <x v="3"/>
    <x v="1"/>
    <x v="4"/>
    <n v="389"/>
    <n v="28"/>
    <n v="31"/>
    <n v="61"/>
    <n v="27"/>
    <n v="125"/>
    <n v="29"/>
    <n v="118"/>
    <n v="42"/>
    <n v="30"/>
    <n v="113"/>
    <n v="85"/>
    <n v="75"/>
    <n v="2"/>
  </r>
  <r>
    <x v="3"/>
    <x v="0"/>
    <x v="5"/>
    <n v="395"/>
    <n v="36"/>
    <n v="20"/>
    <n v="68"/>
    <n v="17"/>
    <n v="124"/>
    <n v="24"/>
    <n v="59"/>
    <n v="25"/>
    <n v="13"/>
    <n v="51"/>
    <n v="48"/>
    <n v="29"/>
    <n v="0"/>
  </r>
  <r>
    <x v="3"/>
    <x v="1"/>
    <x v="5"/>
    <n v="378"/>
    <n v="37"/>
    <n v="32"/>
    <n v="66"/>
    <n v="17"/>
    <n v="112"/>
    <n v="13"/>
    <n v="60"/>
    <n v="34"/>
    <n v="20"/>
    <n v="61"/>
    <n v="52"/>
    <n v="32"/>
    <n v="0"/>
  </r>
  <r>
    <x v="3"/>
    <x v="0"/>
    <x v="6"/>
    <n v="351"/>
    <n v="22"/>
    <n v="38"/>
    <n v="69"/>
    <n v="11"/>
    <n v="114"/>
    <n v="9"/>
    <n v="31"/>
    <n v="11"/>
    <n v="14"/>
    <n v="28"/>
    <n v="27"/>
    <n v="18"/>
    <n v="0"/>
  </r>
  <r>
    <x v="3"/>
    <x v="1"/>
    <x v="6"/>
    <n v="425"/>
    <n v="37"/>
    <n v="25"/>
    <n v="38"/>
    <n v="26"/>
    <n v="137"/>
    <n v="16"/>
    <n v="26"/>
    <n v="18"/>
    <n v="14"/>
    <n v="27"/>
    <n v="31"/>
    <n v="14"/>
    <n v="3"/>
  </r>
  <r>
    <x v="3"/>
    <x v="0"/>
    <x v="7"/>
    <n v="271"/>
    <n v="20"/>
    <n v="32"/>
    <n v="18"/>
    <n v="9"/>
    <n v="97"/>
    <n v="7"/>
    <n v="16"/>
    <n v="17"/>
    <n v="11"/>
    <n v="4"/>
    <n v="12"/>
    <n v="2"/>
    <n v="0"/>
  </r>
  <r>
    <x v="3"/>
    <x v="1"/>
    <x v="7"/>
    <n v="364"/>
    <n v="15"/>
    <n v="30"/>
    <n v="35"/>
    <n v="2"/>
    <n v="125"/>
    <n v="18"/>
    <n v="16"/>
    <n v="6"/>
    <n v="13"/>
    <n v="19"/>
    <n v="10"/>
    <n v="4"/>
    <n v="0"/>
  </r>
  <r>
    <x v="3"/>
    <x v="0"/>
    <x v="8"/>
    <n v="356"/>
    <n v="11"/>
    <n v="18"/>
    <n v="27"/>
    <n v="23"/>
    <n v="106"/>
    <n v="21"/>
    <n v="9"/>
    <n v="10"/>
    <n v="19"/>
    <n v="16"/>
    <n v="10"/>
    <n v="3"/>
    <n v="0"/>
  </r>
  <r>
    <x v="3"/>
    <x v="1"/>
    <x v="8"/>
    <n v="411"/>
    <n v="21"/>
    <n v="20"/>
    <n v="28"/>
    <n v="3"/>
    <n v="135"/>
    <n v="14"/>
    <n v="11"/>
    <n v="8"/>
    <n v="14"/>
    <n v="7"/>
    <n v="10"/>
    <n v="4"/>
    <n v="0"/>
  </r>
  <r>
    <x v="3"/>
    <x v="0"/>
    <x v="9"/>
    <n v="481"/>
    <n v="53"/>
    <n v="55"/>
    <n v="41"/>
    <n v="39"/>
    <n v="191"/>
    <n v="39"/>
    <n v="32"/>
    <n v="20"/>
    <n v="28"/>
    <n v="21"/>
    <n v="24"/>
    <n v="11"/>
    <n v="0"/>
  </r>
  <r>
    <x v="3"/>
    <x v="1"/>
    <x v="9"/>
    <n v="601"/>
    <n v="37"/>
    <n v="58"/>
    <n v="69"/>
    <n v="2"/>
    <n v="146"/>
    <n v="36"/>
    <n v="24"/>
    <n v="25"/>
    <n v="25"/>
    <n v="34"/>
    <n v="23"/>
    <n v="9"/>
    <n v="0"/>
  </r>
  <r>
    <x v="3"/>
    <x v="0"/>
    <x v="10"/>
    <n v="389"/>
    <n v="25"/>
    <n v="32"/>
    <n v="84"/>
    <n v="30"/>
    <n v="140"/>
    <n v="26"/>
    <n v="45"/>
    <n v="20"/>
    <n v="33"/>
    <n v="21"/>
    <n v="51"/>
    <n v="9"/>
    <n v="2"/>
  </r>
  <r>
    <x v="3"/>
    <x v="1"/>
    <x v="10"/>
    <n v="541"/>
    <n v="39"/>
    <n v="27"/>
    <n v="74"/>
    <n v="55"/>
    <n v="182"/>
    <n v="22"/>
    <n v="36"/>
    <n v="16"/>
    <n v="20"/>
    <n v="27"/>
    <n v="22"/>
    <n v="13"/>
    <n v="2"/>
  </r>
  <r>
    <x v="3"/>
    <x v="0"/>
    <x v="11"/>
    <n v="368"/>
    <n v="21"/>
    <n v="32"/>
    <n v="67"/>
    <n v="18"/>
    <n v="111"/>
    <n v="13"/>
    <n v="36"/>
    <n v="10"/>
    <n v="10"/>
    <n v="34"/>
    <n v="16"/>
    <n v="14"/>
    <n v="0"/>
  </r>
  <r>
    <x v="3"/>
    <x v="1"/>
    <x v="11"/>
    <n v="567"/>
    <n v="13"/>
    <n v="14"/>
    <n v="128"/>
    <n v="20"/>
    <n v="131"/>
    <n v="17"/>
    <n v="50"/>
    <n v="24"/>
    <n v="19"/>
    <n v="21"/>
    <n v="27"/>
    <n v="8"/>
    <n v="4"/>
  </r>
  <r>
    <x v="4"/>
    <x v="0"/>
    <x v="0"/>
    <n v="886"/>
    <n v="50"/>
    <n v="32"/>
    <n v="113"/>
    <n v="6"/>
    <n v="130"/>
    <n v="24"/>
    <n v="89"/>
    <n v="22"/>
    <n v="9"/>
    <n v="28"/>
    <n v="13"/>
    <n v="10"/>
    <n v="0"/>
  </r>
  <r>
    <x v="4"/>
    <x v="1"/>
    <x v="0"/>
    <n v="1063"/>
    <n v="16"/>
    <n v="29"/>
    <n v="111"/>
    <n v="4"/>
    <n v="133"/>
    <n v="7"/>
    <n v="70"/>
    <n v="19"/>
    <n v="12"/>
    <n v="26"/>
    <n v="10"/>
    <n v="13"/>
    <n v="0"/>
  </r>
  <r>
    <x v="4"/>
    <x v="0"/>
    <x v="1"/>
    <n v="824"/>
    <n v="23"/>
    <n v="12"/>
    <n v="82"/>
    <n v="7"/>
    <n v="113"/>
    <n v="12"/>
    <n v="52"/>
    <n v="19"/>
    <n v="8"/>
    <n v="24"/>
    <n v="12"/>
    <n v="12"/>
    <n v="1"/>
  </r>
  <r>
    <x v="4"/>
    <x v="1"/>
    <x v="1"/>
    <n v="1088"/>
    <n v="16"/>
    <n v="17"/>
    <n v="76"/>
    <n v="24"/>
    <n v="146"/>
    <n v="13"/>
    <n v="57"/>
    <n v="18"/>
    <n v="15"/>
    <n v="33"/>
    <n v="16"/>
    <n v="11"/>
    <n v="2"/>
  </r>
  <r>
    <x v="4"/>
    <x v="0"/>
    <x v="2"/>
    <n v="939"/>
    <n v="35"/>
    <n v="36"/>
    <n v="173"/>
    <n v="1"/>
    <n v="144"/>
    <n v="26"/>
    <n v="85"/>
    <n v="15"/>
    <n v="30"/>
    <n v="122"/>
    <n v="57"/>
    <n v="71"/>
    <n v="10"/>
  </r>
  <r>
    <x v="4"/>
    <x v="1"/>
    <x v="2"/>
    <n v="1232"/>
    <n v="40"/>
    <n v="32"/>
    <n v="178"/>
    <n v="8"/>
    <n v="146"/>
    <n v="16"/>
    <n v="99"/>
    <n v="32"/>
    <n v="10"/>
    <n v="165"/>
    <n v="79"/>
    <n v="108"/>
    <n v="2"/>
  </r>
  <r>
    <x v="4"/>
    <x v="0"/>
    <x v="3"/>
    <n v="906"/>
    <n v="68"/>
    <n v="58"/>
    <n v="233"/>
    <n v="8"/>
    <n v="162"/>
    <n v="29"/>
    <n v="237"/>
    <n v="91"/>
    <n v="32"/>
    <n v="281"/>
    <n v="132"/>
    <n v="156"/>
    <n v="5"/>
  </r>
  <r>
    <x v="4"/>
    <x v="1"/>
    <x v="3"/>
    <n v="1190"/>
    <n v="33"/>
    <n v="49"/>
    <n v="195"/>
    <n v="23"/>
    <n v="207"/>
    <n v="23"/>
    <n v="243"/>
    <n v="69"/>
    <n v="26"/>
    <n v="220"/>
    <n v="97"/>
    <n v="124"/>
    <n v="3"/>
  </r>
  <r>
    <x v="4"/>
    <x v="0"/>
    <x v="4"/>
    <n v="776"/>
    <n v="55"/>
    <n v="33"/>
    <n v="151"/>
    <n v="5"/>
    <n v="178"/>
    <n v="36"/>
    <n v="181"/>
    <n v="61"/>
    <n v="25"/>
    <n v="167"/>
    <n v="61"/>
    <n v="81"/>
    <n v="8"/>
  </r>
  <r>
    <x v="4"/>
    <x v="1"/>
    <x v="4"/>
    <n v="1060"/>
    <n v="51"/>
    <n v="43"/>
    <n v="174"/>
    <n v="15"/>
    <n v="240"/>
    <n v="37"/>
    <n v="158"/>
    <n v="76"/>
    <n v="25"/>
    <n v="148"/>
    <n v="83"/>
    <n v="81"/>
    <n v="6"/>
  </r>
  <r>
    <x v="4"/>
    <x v="0"/>
    <x v="5"/>
    <n v="930"/>
    <n v="48"/>
    <n v="32"/>
    <n v="156"/>
    <n v="9"/>
    <n v="197"/>
    <n v="22"/>
    <n v="62"/>
    <n v="20"/>
    <n v="28"/>
    <n v="86"/>
    <n v="47"/>
    <n v="24"/>
    <n v="7"/>
  </r>
  <r>
    <x v="4"/>
    <x v="1"/>
    <x v="5"/>
    <n v="1163"/>
    <n v="62"/>
    <n v="45"/>
    <n v="151"/>
    <n v="14"/>
    <n v="232"/>
    <n v="43"/>
    <n v="72"/>
    <n v="45"/>
    <n v="41"/>
    <n v="105"/>
    <n v="59"/>
    <n v="47"/>
    <n v="3"/>
  </r>
  <r>
    <x v="4"/>
    <x v="0"/>
    <x v="6"/>
    <n v="803"/>
    <n v="35"/>
    <n v="39"/>
    <n v="91"/>
    <n v="4"/>
    <n v="196"/>
    <n v="16"/>
    <n v="29"/>
    <n v="30"/>
    <n v="28"/>
    <n v="45"/>
    <n v="21"/>
    <n v="8"/>
    <n v="0"/>
  </r>
  <r>
    <x v="4"/>
    <x v="1"/>
    <x v="6"/>
    <n v="1044"/>
    <n v="27"/>
    <n v="35"/>
    <n v="94"/>
    <n v="25"/>
    <n v="282"/>
    <n v="14"/>
    <n v="22"/>
    <n v="14"/>
    <n v="28"/>
    <n v="60"/>
    <n v="23"/>
    <n v="13"/>
    <n v="0"/>
  </r>
  <r>
    <x v="4"/>
    <x v="0"/>
    <x v="7"/>
    <n v="783"/>
    <n v="25"/>
    <n v="38"/>
    <n v="55"/>
    <n v="7"/>
    <n v="218"/>
    <n v="18"/>
    <n v="12"/>
    <n v="14"/>
    <n v="23"/>
    <n v="14"/>
    <n v="17"/>
    <n v="5"/>
    <n v="0"/>
  </r>
  <r>
    <x v="4"/>
    <x v="1"/>
    <x v="7"/>
    <n v="1035"/>
    <n v="37"/>
    <n v="42"/>
    <n v="70"/>
    <n v="3"/>
    <n v="254"/>
    <n v="15"/>
    <n v="11"/>
    <n v="8"/>
    <n v="18"/>
    <n v="18"/>
    <n v="4"/>
    <n v="3"/>
    <n v="0"/>
  </r>
  <r>
    <x v="4"/>
    <x v="0"/>
    <x v="8"/>
    <n v="944"/>
    <n v="17"/>
    <n v="38"/>
    <n v="84"/>
    <n v="6"/>
    <n v="271"/>
    <n v="18"/>
    <n v="16"/>
    <n v="12"/>
    <n v="15"/>
    <n v="15"/>
    <n v="5"/>
    <n v="3"/>
    <n v="0"/>
  </r>
  <r>
    <x v="4"/>
    <x v="1"/>
    <x v="8"/>
    <n v="1125"/>
    <n v="38"/>
    <n v="16"/>
    <n v="77"/>
    <n v="7"/>
    <n v="225"/>
    <n v="12"/>
    <n v="40"/>
    <n v="20"/>
    <n v="9"/>
    <n v="26"/>
    <n v="16"/>
    <n v="3"/>
    <n v="0"/>
  </r>
  <r>
    <x v="4"/>
    <x v="0"/>
    <x v="9"/>
    <n v="1078"/>
    <n v="70"/>
    <n v="47"/>
    <n v="120"/>
    <n v="16"/>
    <n v="285"/>
    <n v="38"/>
    <n v="39"/>
    <n v="29"/>
    <n v="40"/>
    <n v="57"/>
    <n v="28"/>
    <n v="18"/>
    <n v="0"/>
  </r>
  <r>
    <x v="4"/>
    <x v="1"/>
    <x v="9"/>
    <n v="1476"/>
    <n v="51"/>
    <n v="75"/>
    <n v="174"/>
    <n v="9"/>
    <n v="290"/>
    <n v="38"/>
    <n v="30"/>
    <n v="27"/>
    <n v="54"/>
    <n v="51"/>
    <n v="31"/>
    <n v="17"/>
    <n v="1"/>
  </r>
  <r>
    <x v="4"/>
    <x v="0"/>
    <x v="10"/>
    <n v="988"/>
    <n v="55"/>
    <n v="28"/>
    <n v="124"/>
    <n v="13"/>
    <n v="210"/>
    <n v="21"/>
    <n v="50"/>
    <n v="18"/>
    <n v="19"/>
    <n v="547"/>
    <n v="34"/>
    <n v="17"/>
    <n v="0"/>
  </r>
  <r>
    <x v="4"/>
    <x v="1"/>
    <x v="10"/>
    <n v="1297"/>
    <n v="51"/>
    <n v="36"/>
    <n v="113"/>
    <n v="13"/>
    <n v="222"/>
    <n v="13"/>
    <n v="33"/>
    <n v="19"/>
    <n v="24"/>
    <n v="46"/>
    <n v="22"/>
    <n v="11"/>
    <n v="0"/>
  </r>
  <r>
    <x v="4"/>
    <x v="0"/>
    <x v="11"/>
    <n v="1016"/>
    <n v="29"/>
    <n v="27"/>
    <n v="186"/>
    <n v="6"/>
    <n v="166"/>
    <n v="20"/>
    <n v="69"/>
    <n v="17"/>
    <n v="25"/>
    <n v="55"/>
    <n v="33"/>
    <n v="17"/>
    <n v="1"/>
  </r>
  <r>
    <x v="4"/>
    <x v="1"/>
    <x v="11"/>
    <n v="1272"/>
    <n v="30"/>
    <n v="29"/>
    <n v="177"/>
    <n v="3"/>
    <n v="196"/>
    <n v="25"/>
    <n v="67"/>
    <n v="26"/>
    <n v="29"/>
    <n v="61"/>
    <n v="35"/>
    <n v="13"/>
    <n v="0"/>
  </r>
  <r>
    <x v="5"/>
    <x v="0"/>
    <x v="0"/>
    <n v="243"/>
    <n v="13"/>
    <n v="11"/>
    <n v="69"/>
    <n v="4"/>
    <n v="68"/>
    <n v="14"/>
    <n v="34"/>
    <n v="9"/>
    <n v="14"/>
    <n v="18"/>
    <n v="11"/>
    <n v="13"/>
    <n v="9"/>
  </r>
  <r>
    <x v="5"/>
    <x v="1"/>
    <x v="0"/>
    <n v="390"/>
    <n v="18"/>
    <n v="18"/>
    <n v="66"/>
    <n v="11"/>
    <n v="118"/>
    <n v="10"/>
    <n v="57"/>
    <n v="19"/>
    <n v="16"/>
    <n v="23"/>
    <n v="28"/>
    <n v="10"/>
    <n v="6"/>
  </r>
  <r>
    <x v="5"/>
    <x v="0"/>
    <x v="1"/>
    <n v="269"/>
    <n v="10"/>
    <n v="26"/>
    <n v="42"/>
    <n v="15"/>
    <n v="98"/>
    <n v="13"/>
    <n v="42"/>
    <n v="12"/>
    <n v="14"/>
    <n v="25"/>
    <n v="25"/>
    <n v="9"/>
    <n v="2"/>
  </r>
  <r>
    <x v="5"/>
    <x v="1"/>
    <x v="1"/>
    <n v="378"/>
    <n v="12"/>
    <n v="29"/>
    <n v="43"/>
    <n v="27"/>
    <n v="121"/>
    <n v="11"/>
    <n v="43"/>
    <n v="18"/>
    <n v="12"/>
    <n v="31"/>
    <n v="17"/>
    <n v="12"/>
    <n v="2"/>
  </r>
  <r>
    <x v="5"/>
    <x v="0"/>
    <x v="2"/>
    <n v="367"/>
    <n v="14"/>
    <n v="34"/>
    <n v="101"/>
    <n v="9"/>
    <n v="100"/>
    <n v="18"/>
    <n v="67"/>
    <n v="23"/>
    <n v="17"/>
    <n v="86"/>
    <n v="53"/>
    <n v="47"/>
    <n v="6"/>
  </r>
  <r>
    <x v="5"/>
    <x v="1"/>
    <x v="2"/>
    <n v="531"/>
    <n v="38"/>
    <n v="39"/>
    <n v="144"/>
    <n v="15"/>
    <n v="133"/>
    <n v="25"/>
    <n v="137"/>
    <n v="39"/>
    <n v="35"/>
    <n v="143"/>
    <n v="92"/>
    <n v="109"/>
    <n v="8"/>
  </r>
  <r>
    <x v="5"/>
    <x v="0"/>
    <x v="3"/>
    <n v="446"/>
    <n v="14"/>
    <n v="49"/>
    <n v="184"/>
    <n v="10"/>
    <n v="174"/>
    <n v="37"/>
    <n v="272"/>
    <n v="73"/>
    <n v="55"/>
    <n v="222"/>
    <n v="178"/>
    <n v="190"/>
    <n v="0"/>
  </r>
  <r>
    <x v="5"/>
    <x v="1"/>
    <x v="3"/>
    <n v="527"/>
    <n v="16"/>
    <n v="43"/>
    <n v="166"/>
    <n v="35"/>
    <n v="201"/>
    <n v="47"/>
    <n v="216"/>
    <n v="89"/>
    <n v="40"/>
    <n v="156"/>
    <n v="132"/>
    <n v="97"/>
    <n v="12"/>
  </r>
  <r>
    <x v="5"/>
    <x v="0"/>
    <x v="4"/>
    <n v="305"/>
    <n v="13"/>
    <n v="26"/>
    <n v="79"/>
    <n v="15"/>
    <n v="146"/>
    <n v="22"/>
    <n v="91"/>
    <n v="62"/>
    <n v="29"/>
    <n v="98"/>
    <n v="88"/>
    <n v="53"/>
    <n v="0"/>
  </r>
  <r>
    <x v="5"/>
    <x v="1"/>
    <x v="4"/>
    <n v="440"/>
    <n v="27"/>
    <n v="35"/>
    <n v="97"/>
    <n v="17"/>
    <n v="159"/>
    <n v="37"/>
    <n v="134"/>
    <n v="59"/>
    <n v="28"/>
    <n v="130"/>
    <n v="113"/>
    <n v="72"/>
    <n v="0"/>
  </r>
  <r>
    <x v="5"/>
    <x v="0"/>
    <x v="5"/>
    <n v="343"/>
    <n v="9"/>
    <n v="50"/>
    <n v="72"/>
    <n v="19"/>
    <n v="130"/>
    <n v="19"/>
    <n v="71"/>
    <n v="45"/>
    <n v="26"/>
    <n v="55"/>
    <n v="60"/>
    <n v="39"/>
    <n v="0"/>
  </r>
  <r>
    <x v="5"/>
    <x v="1"/>
    <x v="5"/>
    <n v="479"/>
    <n v="35"/>
    <n v="45"/>
    <n v="113"/>
    <n v="18"/>
    <n v="171"/>
    <n v="21"/>
    <n v="64"/>
    <n v="52"/>
    <n v="26"/>
    <n v="49"/>
    <n v="69"/>
    <n v="30"/>
    <n v="0"/>
  </r>
  <r>
    <x v="5"/>
    <x v="0"/>
    <x v="6"/>
    <n v="381"/>
    <n v="8"/>
    <n v="33"/>
    <n v="55"/>
    <n v="5"/>
    <n v="128"/>
    <n v="11"/>
    <n v="36"/>
    <n v="17"/>
    <n v="28"/>
    <n v="32"/>
    <n v="27"/>
    <n v="22"/>
    <n v="0"/>
  </r>
  <r>
    <x v="5"/>
    <x v="1"/>
    <x v="6"/>
    <n v="437"/>
    <n v="40"/>
    <n v="40"/>
    <n v="78"/>
    <n v="27"/>
    <n v="202"/>
    <n v="13"/>
    <n v="32"/>
    <n v="11"/>
    <n v="26"/>
    <n v="36"/>
    <n v="37"/>
    <n v="25"/>
    <n v="0"/>
  </r>
  <r>
    <x v="5"/>
    <x v="0"/>
    <x v="7"/>
    <n v="284"/>
    <n v="16"/>
    <n v="32"/>
    <n v="36"/>
    <n v="6"/>
    <n v="128"/>
    <n v="11"/>
    <n v="19"/>
    <n v="11"/>
    <n v="39"/>
    <n v="16"/>
    <n v="7"/>
    <n v="14"/>
    <n v="0"/>
  </r>
  <r>
    <x v="5"/>
    <x v="1"/>
    <x v="7"/>
    <n v="448"/>
    <n v="6"/>
    <n v="38"/>
    <n v="36"/>
    <n v="3"/>
    <n v="140"/>
    <n v="10"/>
    <n v="12"/>
    <n v="17"/>
    <n v="26"/>
    <n v="9"/>
    <n v="22"/>
    <n v="8"/>
    <n v="0"/>
  </r>
  <r>
    <x v="5"/>
    <x v="0"/>
    <x v="8"/>
    <n v="349"/>
    <n v="17"/>
    <n v="40"/>
    <n v="41"/>
    <n v="22"/>
    <n v="135"/>
    <n v="14"/>
    <n v="21"/>
    <n v="10"/>
    <n v="26"/>
    <n v="9"/>
    <n v="15"/>
    <n v="8"/>
    <n v="0"/>
  </r>
  <r>
    <x v="5"/>
    <x v="1"/>
    <x v="8"/>
    <n v="390"/>
    <n v="21"/>
    <n v="38"/>
    <n v="51"/>
    <n v="10"/>
    <n v="125"/>
    <n v="10"/>
    <n v="19"/>
    <n v="9"/>
    <n v="17"/>
    <n v="11"/>
    <n v="24"/>
    <n v="6"/>
    <n v="0"/>
  </r>
  <r>
    <x v="5"/>
    <x v="0"/>
    <x v="9"/>
    <n v="433"/>
    <n v="27"/>
    <n v="58"/>
    <n v="68"/>
    <n v="37"/>
    <n v="196"/>
    <n v="24"/>
    <n v="38"/>
    <n v="23"/>
    <n v="41"/>
    <n v="27"/>
    <n v="36"/>
    <n v="11"/>
    <n v="4"/>
  </r>
  <r>
    <x v="5"/>
    <x v="1"/>
    <x v="9"/>
    <n v="657"/>
    <n v="22"/>
    <n v="71"/>
    <n v="110"/>
    <n v="14"/>
    <n v="220"/>
    <n v="31"/>
    <n v="45"/>
    <n v="48"/>
    <n v="48"/>
    <n v="40"/>
    <n v="30"/>
    <n v="16"/>
    <n v="0"/>
  </r>
  <r>
    <x v="5"/>
    <x v="0"/>
    <x v="10"/>
    <n v="382"/>
    <n v="19"/>
    <n v="34"/>
    <n v="79"/>
    <n v="37"/>
    <n v="161"/>
    <n v="27"/>
    <n v="41"/>
    <n v="20"/>
    <n v="27"/>
    <n v="25"/>
    <n v="34"/>
    <n v="14"/>
    <n v="0"/>
  </r>
  <r>
    <x v="5"/>
    <x v="1"/>
    <x v="10"/>
    <n v="539"/>
    <n v="33"/>
    <n v="30"/>
    <n v="62"/>
    <n v="30"/>
    <n v="169"/>
    <n v="19"/>
    <n v="37"/>
    <n v="21"/>
    <n v="36"/>
    <n v="15"/>
    <n v="31"/>
    <n v="6"/>
    <n v="6"/>
  </r>
  <r>
    <x v="5"/>
    <x v="0"/>
    <x v="11"/>
    <n v="330"/>
    <n v="20"/>
    <n v="18"/>
    <n v="105"/>
    <n v="10"/>
    <n v="141"/>
    <n v="16"/>
    <n v="74"/>
    <n v="22"/>
    <n v="16"/>
    <n v="28"/>
    <n v="44"/>
    <n v="13"/>
    <n v="0"/>
  </r>
  <r>
    <x v="5"/>
    <x v="1"/>
    <x v="11"/>
    <n v="497"/>
    <n v="28"/>
    <n v="41"/>
    <n v="103"/>
    <n v="18"/>
    <n v="169"/>
    <n v="33"/>
    <n v="76"/>
    <n v="26"/>
    <n v="23"/>
    <n v="34"/>
    <n v="32"/>
    <n v="9"/>
    <n v="0"/>
  </r>
  <r>
    <x v="6"/>
    <x v="0"/>
    <x v="0"/>
    <n v="1005"/>
    <n v="25"/>
    <n v="21"/>
    <n v="94"/>
    <n v="1"/>
    <n v="105"/>
    <n v="13"/>
    <n v="53"/>
    <n v="11"/>
    <n v="11"/>
    <n v="17"/>
    <n v="18"/>
    <n v="12"/>
    <n v="1"/>
  </r>
  <r>
    <x v="6"/>
    <x v="1"/>
    <x v="0"/>
    <n v="1196"/>
    <n v="28"/>
    <n v="10"/>
    <n v="117"/>
    <n v="1"/>
    <n v="105"/>
    <n v="6"/>
    <n v="69"/>
    <n v="18"/>
    <n v="15"/>
    <n v="37"/>
    <n v="22"/>
    <n v="14"/>
    <n v="0"/>
  </r>
  <r>
    <x v="6"/>
    <x v="0"/>
    <x v="1"/>
    <n v="904"/>
    <n v="28"/>
    <n v="9"/>
    <n v="50"/>
    <n v="15"/>
    <n v="115"/>
    <n v="12"/>
    <n v="60"/>
    <n v="14"/>
    <n v="13"/>
    <n v="14"/>
    <n v="18"/>
    <n v="11"/>
    <n v="0"/>
  </r>
  <r>
    <x v="6"/>
    <x v="1"/>
    <x v="1"/>
    <n v="1194"/>
    <n v="20"/>
    <n v="12"/>
    <n v="28"/>
    <n v="45"/>
    <n v="132"/>
    <n v="14"/>
    <n v="49"/>
    <n v="16"/>
    <n v="5"/>
    <n v="22"/>
    <n v="16"/>
    <n v="12"/>
    <n v="2"/>
  </r>
  <r>
    <x v="6"/>
    <x v="0"/>
    <x v="2"/>
    <n v="1154"/>
    <n v="37"/>
    <n v="20"/>
    <n v="94"/>
    <n v="12"/>
    <n v="95"/>
    <n v="17"/>
    <n v="92"/>
    <n v="27"/>
    <n v="13"/>
    <n v="92"/>
    <n v="58"/>
    <n v="65"/>
    <n v="3"/>
  </r>
  <r>
    <x v="6"/>
    <x v="1"/>
    <x v="2"/>
    <n v="1431"/>
    <n v="62"/>
    <n v="14"/>
    <n v="127"/>
    <n v="8"/>
    <n v="130"/>
    <n v="23"/>
    <n v="131"/>
    <n v="24"/>
    <n v="20"/>
    <n v="159"/>
    <n v="84"/>
    <n v="90"/>
    <n v="4"/>
  </r>
  <r>
    <x v="6"/>
    <x v="0"/>
    <x v="3"/>
    <n v="1120"/>
    <n v="67"/>
    <n v="43"/>
    <n v="128"/>
    <n v="16"/>
    <n v="162"/>
    <n v="43"/>
    <n v="260"/>
    <n v="109"/>
    <n v="28"/>
    <n v="212"/>
    <n v="135"/>
    <n v="109"/>
    <n v="2"/>
  </r>
  <r>
    <x v="6"/>
    <x v="1"/>
    <x v="3"/>
    <n v="1386"/>
    <n v="48"/>
    <n v="15"/>
    <n v="130"/>
    <n v="39"/>
    <n v="195"/>
    <n v="32"/>
    <n v="295"/>
    <n v="93"/>
    <n v="23"/>
    <n v="146"/>
    <n v="107"/>
    <n v="85"/>
    <n v="0"/>
  </r>
  <r>
    <x v="6"/>
    <x v="0"/>
    <x v="4"/>
    <n v="1015"/>
    <n v="63"/>
    <n v="27"/>
    <n v="107"/>
    <n v="15"/>
    <n v="153"/>
    <n v="33"/>
    <n v="110"/>
    <n v="47"/>
    <n v="15"/>
    <n v="83"/>
    <n v="71"/>
    <n v="39"/>
    <n v="1"/>
  </r>
  <r>
    <x v="6"/>
    <x v="1"/>
    <x v="4"/>
    <n v="1199"/>
    <n v="78"/>
    <n v="31"/>
    <n v="116"/>
    <n v="14"/>
    <n v="172"/>
    <n v="26"/>
    <n v="163"/>
    <n v="55"/>
    <n v="10"/>
    <n v="91"/>
    <n v="85"/>
    <n v="59"/>
    <n v="0"/>
  </r>
  <r>
    <x v="6"/>
    <x v="0"/>
    <x v="5"/>
    <n v="1061"/>
    <n v="57"/>
    <n v="50"/>
    <n v="81"/>
    <n v="30"/>
    <n v="212"/>
    <n v="11"/>
    <n v="52"/>
    <n v="34"/>
    <n v="15"/>
    <n v="48"/>
    <n v="46"/>
    <n v="21"/>
    <n v="0"/>
  </r>
  <r>
    <x v="6"/>
    <x v="1"/>
    <x v="5"/>
    <n v="1288"/>
    <n v="42"/>
    <n v="32"/>
    <n v="123"/>
    <n v="14"/>
    <n v="217"/>
    <n v="30"/>
    <n v="78"/>
    <n v="38"/>
    <n v="13"/>
    <n v="81"/>
    <n v="64"/>
    <n v="21"/>
    <n v="0"/>
  </r>
  <r>
    <x v="6"/>
    <x v="0"/>
    <x v="7"/>
    <n v="779"/>
    <n v="23"/>
    <n v="18"/>
    <n v="40"/>
    <n v="24"/>
    <n v="179"/>
    <n v="8"/>
    <n v="13"/>
    <n v="6"/>
    <n v="14"/>
    <n v="9"/>
    <n v="18"/>
    <n v="3"/>
    <n v="0"/>
  </r>
  <r>
    <x v="6"/>
    <x v="1"/>
    <x v="7"/>
    <n v="1107"/>
    <n v="39"/>
    <n v="28"/>
    <n v="63"/>
    <n v="14"/>
    <n v="212"/>
    <n v="6"/>
    <n v="16"/>
    <n v="18"/>
    <n v="19"/>
    <n v="7"/>
    <n v="20"/>
    <n v="3"/>
    <n v="0"/>
  </r>
  <r>
    <x v="6"/>
    <x v="0"/>
    <x v="8"/>
    <n v="959"/>
    <n v="46"/>
    <n v="36"/>
    <n v="20"/>
    <n v="23"/>
    <n v="196"/>
    <n v="23"/>
    <n v="10"/>
    <n v="6"/>
    <n v="31"/>
    <n v="10"/>
    <n v="11"/>
    <n v="5"/>
    <n v="0"/>
  </r>
  <r>
    <x v="6"/>
    <x v="1"/>
    <x v="8"/>
    <n v="1197"/>
    <n v="43"/>
    <n v="19"/>
    <n v="66"/>
    <n v="7"/>
    <n v="201"/>
    <n v="15"/>
    <n v="10"/>
    <n v="8"/>
    <n v="18"/>
    <n v="6"/>
    <n v="12"/>
    <n v="2"/>
    <n v="0"/>
  </r>
  <r>
    <x v="6"/>
    <x v="0"/>
    <x v="9"/>
    <n v="1175"/>
    <n v="66"/>
    <n v="74"/>
    <n v="44"/>
    <n v="49"/>
    <n v="247"/>
    <n v="24"/>
    <n v="20"/>
    <n v="21"/>
    <n v="22"/>
    <n v="27"/>
    <n v="19"/>
    <n v="9"/>
    <n v="0"/>
  </r>
  <r>
    <x v="6"/>
    <x v="1"/>
    <x v="9"/>
    <n v="1634"/>
    <n v="88"/>
    <n v="71"/>
    <n v="166"/>
    <n v="9"/>
    <n v="259"/>
    <n v="39"/>
    <n v="51"/>
    <n v="25"/>
    <n v="32"/>
    <n v="34"/>
    <n v="25"/>
    <n v="9"/>
    <n v="0"/>
  </r>
  <r>
    <x v="6"/>
    <x v="0"/>
    <x v="10"/>
    <n v="1123"/>
    <n v="76"/>
    <n v="30"/>
    <n v="100"/>
    <n v="41"/>
    <n v="211"/>
    <n v="32"/>
    <n v="81"/>
    <n v="19"/>
    <n v="27"/>
    <n v="36"/>
    <n v="29"/>
    <n v="14"/>
    <n v="0"/>
  </r>
  <r>
    <x v="6"/>
    <x v="1"/>
    <x v="10"/>
    <n v="1431"/>
    <n v="64"/>
    <n v="34"/>
    <n v="68"/>
    <n v="44"/>
    <n v="228"/>
    <n v="23"/>
    <n v="48"/>
    <n v="18"/>
    <n v="15"/>
    <n v="25"/>
    <n v="12"/>
    <n v="6"/>
    <n v="0"/>
  </r>
  <r>
    <x v="6"/>
    <x v="0"/>
    <x v="11"/>
    <n v="1176"/>
    <n v="62"/>
    <n v="20"/>
    <n v="125"/>
    <n v="9"/>
    <n v="158"/>
    <n v="16"/>
    <n v="66"/>
    <n v="37"/>
    <n v="20"/>
    <n v="37"/>
    <n v="60"/>
    <n v="11"/>
    <n v="0"/>
  </r>
  <r>
    <x v="6"/>
    <x v="1"/>
    <x v="11"/>
    <n v="1493"/>
    <n v="59"/>
    <n v="40"/>
    <n v="155"/>
    <n v="21"/>
    <n v="187"/>
    <n v="26"/>
    <n v="46"/>
    <n v="18"/>
    <n v="19"/>
    <n v="41"/>
    <n v="45"/>
    <n v="14"/>
    <n v="0"/>
  </r>
  <r>
    <x v="7"/>
    <x v="0"/>
    <x v="0"/>
    <n v="332"/>
    <n v="15"/>
    <n v="12"/>
    <n v="82"/>
    <n v="14"/>
    <n v="90"/>
    <n v="6"/>
    <n v="41"/>
    <n v="8"/>
    <n v="19"/>
    <n v="28"/>
    <n v="29"/>
    <n v="11"/>
    <n v="4"/>
  </r>
  <r>
    <x v="7"/>
    <x v="1"/>
    <x v="0"/>
    <n v="372"/>
    <n v="17"/>
    <n v="15"/>
    <n v="83"/>
    <n v="3"/>
    <n v="89"/>
    <n v="9"/>
    <n v="47"/>
    <n v="8"/>
    <n v="19"/>
    <n v="39"/>
    <n v="29"/>
    <n v="10"/>
    <n v="0"/>
  </r>
  <r>
    <x v="7"/>
    <x v="0"/>
    <x v="1"/>
    <n v="319"/>
    <n v="9"/>
    <n v="4"/>
    <n v="43"/>
    <n v="19"/>
    <n v="98"/>
    <n v="3"/>
    <n v="18"/>
    <n v="7"/>
    <n v="6"/>
    <n v="19"/>
    <n v="74"/>
    <n v="7"/>
    <n v="4"/>
  </r>
  <r>
    <x v="7"/>
    <x v="1"/>
    <x v="1"/>
    <n v="343"/>
    <n v="30"/>
    <n v="7"/>
    <n v="48"/>
    <n v="38"/>
    <n v="101"/>
    <n v="14"/>
    <n v="35"/>
    <n v="11"/>
    <n v="13"/>
    <n v="17"/>
    <n v="47"/>
    <n v="13"/>
    <n v="4"/>
  </r>
  <r>
    <x v="7"/>
    <x v="0"/>
    <x v="2"/>
    <n v="404"/>
    <n v="24"/>
    <n v="36"/>
    <n v="100"/>
    <n v="9"/>
    <n v="85"/>
    <n v="17"/>
    <n v="50"/>
    <n v="13"/>
    <n v="18"/>
    <n v="97"/>
    <n v="63"/>
    <n v="60"/>
    <n v="7"/>
  </r>
  <r>
    <x v="7"/>
    <x v="1"/>
    <x v="2"/>
    <n v="419"/>
    <n v="14"/>
    <n v="27"/>
    <n v="127"/>
    <n v="30"/>
    <n v="138"/>
    <n v="25"/>
    <n v="58"/>
    <n v="14"/>
    <n v="32"/>
    <n v="135"/>
    <n v="80"/>
    <n v="75"/>
    <n v="9"/>
  </r>
  <r>
    <x v="7"/>
    <x v="0"/>
    <x v="4"/>
    <n v="298"/>
    <n v="20"/>
    <n v="13"/>
    <n v="74"/>
    <n v="16"/>
    <n v="83"/>
    <n v="8"/>
    <n v="42"/>
    <n v="23"/>
    <n v="24"/>
    <n v="104"/>
    <n v="99"/>
    <n v="84"/>
    <n v="14"/>
  </r>
  <r>
    <x v="7"/>
    <x v="1"/>
    <x v="4"/>
    <n v="358"/>
    <n v="23"/>
    <n v="19"/>
    <n v="114"/>
    <n v="36"/>
    <n v="149"/>
    <n v="24"/>
    <n v="73"/>
    <n v="37"/>
    <n v="24"/>
    <n v="145"/>
    <n v="141"/>
    <n v="93"/>
    <n v="0"/>
  </r>
  <r>
    <x v="7"/>
    <x v="0"/>
    <x v="5"/>
    <n v="348"/>
    <n v="24"/>
    <n v="23"/>
    <n v="73"/>
    <n v="34"/>
    <n v="119"/>
    <n v="11"/>
    <n v="41"/>
    <n v="33"/>
    <n v="32"/>
    <n v="84"/>
    <n v="99"/>
    <n v="34"/>
    <n v="6"/>
  </r>
  <r>
    <x v="7"/>
    <x v="1"/>
    <x v="5"/>
    <n v="422"/>
    <n v="27"/>
    <n v="35"/>
    <n v="86"/>
    <n v="28"/>
    <n v="155"/>
    <n v="20"/>
    <n v="48"/>
    <n v="15"/>
    <n v="34"/>
    <n v="75"/>
    <n v="75"/>
    <n v="43"/>
    <n v="12"/>
  </r>
  <r>
    <x v="7"/>
    <x v="0"/>
    <x v="6"/>
    <n v="354"/>
    <n v="27"/>
    <n v="25"/>
    <n v="53"/>
    <n v="26"/>
    <n v="134"/>
    <n v="13"/>
    <n v="16"/>
    <n v="10"/>
    <n v="12"/>
    <n v="36"/>
    <n v="38"/>
    <n v="10"/>
    <n v="4"/>
  </r>
  <r>
    <x v="7"/>
    <x v="1"/>
    <x v="6"/>
    <n v="500"/>
    <n v="26"/>
    <n v="25"/>
    <n v="47"/>
    <n v="46"/>
    <n v="184"/>
    <n v="19"/>
    <n v="9"/>
    <n v="9"/>
    <n v="17"/>
    <n v="38"/>
    <n v="44"/>
    <n v="15"/>
    <n v="5"/>
  </r>
  <r>
    <x v="7"/>
    <x v="0"/>
    <x v="7"/>
    <n v="329"/>
    <n v="14"/>
    <n v="24"/>
    <n v="39"/>
    <n v="18"/>
    <n v="132"/>
    <n v="14"/>
    <n v="7"/>
    <n v="12"/>
    <n v="30"/>
    <n v="22"/>
    <n v="12"/>
    <n v="5"/>
    <n v="0"/>
  </r>
  <r>
    <x v="7"/>
    <x v="1"/>
    <x v="7"/>
    <n v="380"/>
    <n v="15"/>
    <n v="15"/>
    <n v="60"/>
    <n v="11"/>
    <n v="141"/>
    <n v="11"/>
    <n v="16"/>
    <n v="10"/>
    <n v="25"/>
    <n v="16"/>
    <n v="22"/>
    <n v="8"/>
    <n v="10"/>
  </r>
  <r>
    <x v="7"/>
    <x v="0"/>
    <x v="8"/>
    <n v="350"/>
    <n v="12"/>
    <n v="26"/>
    <n v="34"/>
    <n v="14"/>
    <n v="150"/>
    <n v="11"/>
    <n v="8"/>
    <n v="3"/>
    <n v="24"/>
    <n v="6"/>
    <n v="32"/>
    <n v="5"/>
    <n v="0"/>
  </r>
  <r>
    <x v="7"/>
    <x v="1"/>
    <x v="8"/>
    <n v="413"/>
    <n v="33"/>
    <n v="33"/>
    <n v="68"/>
    <n v="11"/>
    <n v="133"/>
    <n v="7"/>
    <n v="2"/>
    <n v="7"/>
    <n v="31"/>
    <n v="21"/>
    <n v="18"/>
    <n v="12"/>
    <n v="0"/>
  </r>
  <r>
    <x v="7"/>
    <x v="0"/>
    <x v="9"/>
    <n v="475"/>
    <n v="26"/>
    <n v="41"/>
    <n v="46"/>
    <n v="61"/>
    <n v="205"/>
    <n v="27"/>
    <n v="31"/>
    <n v="29"/>
    <n v="28"/>
    <n v="26"/>
    <n v="39"/>
    <n v="14"/>
    <n v="0"/>
  </r>
  <r>
    <x v="7"/>
    <x v="1"/>
    <x v="9"/>
    <n v="597"/>
    <n v="48"/>
    <n v="48"/>
    <n v="108"/>
    <n v="56"/>
    <n v="186"/>
    <n v="32"/>
    <n v="40"/>
    <n v="31"/>
    <n v="28"/>
    <n v="60"/>
    <n v="53"/>
    <n v="15"/>
    <n v="2"/>
  </r>
  <r>
    <x v="7"/>
    <x v="0"/>
    <x v="10"/>
    <n v="357"/>
    <n v="25"/>
    <n v="24"/>
    <n v="45"/>
    <n v="68"/>
    <n v="165"/>
    <n v="22"/>
    <n v="21"/>
    <n v="17"/>
    <n v="22"/>
    <n v="39"/>
    <n v="44"/>
    <n v="8"/>
    <n v="0"/>
  </r>
  <r>
    <x v="7"/>
    <x v="1"/>
    <x v="10"/>
    <n v="470"/>
    <n v="20"/>
    <n v="26"/>
    <n v="46"/>
    <n v="39"/>
    <n v="125"/>
    <n v="12"/>
    <n v="23"/>
    <n v="11"/>
    <n v="24"/>
    <n v="27"/>
    <n v="27"/>
    <n v="10"/>
    <n v="0"/>
  </r>
  <r>
    <x v="8"/>
    <x v="0"/>
    <x v="0"/>
    <n v="1050"/>
    <n v="34"/>
    <n v="27"/>
    <n v="212"/>
    <n v="18"/>
    <n v="167"/>
    <n v="29"/>
    <n v="125"/>
    <n v="17"/>
    <n v="29"/>
    <n v="40"/>
    <n v="55"/>
    <n v="18"/>
    <n v="5"/>
  </r>
  <r>
    <x v="8"/>
    <x v="1"/>
    <x v="0"/>
    <n v="1247"/>
    <n v="36"/>
    <n v="34"/>
    <n v="206"/>
    <n v="9"/>
    <n v="178"/>
    <n v="22"/>
    <n v="114"/>
    <n v="29"/>
    <n v="20"/>
    <n v="60"/>
    <n v="46"/>
    <n v="25"/>
    <n v="8"/>
  </r>
  <r>
    <x v="8"/>
    <x v="0"/>
    <x v="1"/>
    <n v="1072"/>
    <n v="37"/>
    <n v="36"/>
    <n v="176"/>
    <n v="49"/>
    <n v="197"/>
    <n v="20"/>
    <n v="103"/>
    <n v="17"/>
    <n v="17"/>
    <n v="43"/>
    <n v="32"/>
    <n v="18"/>
    <n v="13"/>
  </r>
  <r>
    <x v="8"/>
    <x v="1"/>
    <x v="1"/>
    <n v="1298"/>
    <n v="28"/>
    <n v="20"/>
    <n v="121"/>
    <n v="66"/>
    <n v="242"/>
    <n v="26"/>
    <n v="89"/>
    <n v="20"/>
    <n v="23"/>
    <n v="56"/>
    <n v="44"/>
    <n v="18"/>
    <n v="19"/>
  </r>
  <r>
    <x v="8"/>
    <x v="0"/>
    <x v="2"/>
    <n v="1338"/>
    <n v="47"/>
    <n v="74"/>
    <n v="299"/>
    <n v="25"/>
    <n v="250"/>
    <n v="48"/>
    <n v="201"/>
    <n v="37"/>
    <n v="49"/>
    <n v="160"/>
    <n v="122"/>
    <n v="90"/>
    <n v="7"/>
  </r>
  <r>
    <x v="8"/>
    <x v="1"/>
    <x v="2"/>
    <n v="1630"/>
    <n v="45"/>
    <n v="67"/>
    <n v="319"/>
    <n v="30"/>
    <n v="304"/>
    <n v="41"/>
    <n v="230"/>
    <n v="64"/>
    <n v="52"/>
    <n v="246"/>
    <n v="174"/>
    <n v="158"/>
    <n v="13"/>
  </r>
  <r>
    <x v="8"/>
    <x v="0"/>
    <x v="3"/>
    <n v="1334"/>
    <n v="80"/>
    <n v="89"/>
    <n v="347"/>
    <n v="57"/>
    <n v="311"/>
    <n v="59"/>
    <n v="361"/>
    <n v="128"/>
    <n v="86"/>
    <n v="359"/>
    <n v="290"/>
    <n v="270"/>
    <n v="23"/>
  </r>
  <r>
    <x v="8"/>
    <x v="1"/>
    <x v="3"/>
    <n v="1563"/>
    <n v="71"/>
    <n v="78"/>
    <n v="344"/>
    <n v="59"/>
    <n v="329"/>
    <n v="56"/>
    <n v="359"/>
    <n v="111"/>
    <n v="58"/>
    <n v="283"/>
    <n v="178"/>
    <n v="177"/>
    <n v="7"/>
  </r>
  <r>
    <x v="8"/>
    <x v="0"/>
    <x v="4"/>
    <n v="1110"/>
    <n v="76"/>
    <n v="94"/>
    <n v="221"/>
    <n v="47"/>
    <n v="311"/>
    <n v="49"/>
    <n v="208"/>
    <n v="78"/>
    <n v="49"/>
    <n v="183"/>
    <n v="159"/>
    <n v="125"/>
    <n v="2"/>
  </r>
  <r>
    <x v="8"/>
    <x v="1"/>
    <x v="4"/>
    <n v="1353"/>
    <n v="88"/>
    <n v="53"/>
    <n v="328"/>
    <n v="77"/>
    <n v="347"/>
    <n v="56"/>
    <n v="196"/>
    <n v="87"/>
    <n v="39"/>
    <n v="275"/>
    <n v="222"/>
    <n v="167"/>
    <n v="11"/>
  </r>
  <r>
    <x v="8"/>
    <x v="0"/>
    <x v="5"/>
    <n v="1453"/>
    <n v="50"/>
    <n v="82"/>
    <n v="251"/>
    <n v="36"/>
    <n v="381"/>
    <n v="42"/>
    <n v="115"/>
    <n v="67"/>
    <n v="32"/>
    <n v="125"/>
    <n v="111"/>
    <n v="77"/>
    <n v="5"/>
  </r>
  <r>
    <x v="8"/>
    <x v="1"/>
    <x v="5"/>
    <n v="1492"/>
    <n v="99"/>
    <n v="70"/>
    <n v="243"/>
    <n v="48"/>
    <n v="466"/>
    <n v="50"/>
    <n v="167"/>
    <n v="79"/>
    <n v="59"/>
    <n v="105"/>
    <n v="125"/>
    <n v="66"/>
    <n v="1"/>
  </r>
  <r>
    <x v="8"/>
    <x v="0"/>
    <x v="6"/>
    <n v="1292"/>
    <n v="58"/>
    <n v="87"/>
    <n v="136"/>
    <n v="49"/>
    <n v="375"/>
    <n v="25"/>
    <n v="65"/>
    <n v="28"/>
    <n v="53"/>
    <n v="39"/>
    <n v="52"/>
    <n v="22"/>
    <n v="1"/>
  </r>
  <r>
    <x v="8"/>
    <x v="1"/>
    <x v="6"/>
    <n v="1545"/>
    <n v="62"/>
    <n v="71"/>
    <n v="137"/>
    <n v="73"/>
    <n v="473"/>
    <n v="36"/>
    <n v="74"/>
    <n v="41"/>
    <n v="51"/>
    <n v="52"/>
    <n v="46"/>
    <n v="24"/>
    <n v="0"/>
  </r>
  <r>
    <x v="8"/>
    <x v="0"/>
    <x v="7"/>
    <n v="1134"/>
    <n v="44"/>
    <n v="45"/>
    <n v="101"/>
    <n v="35"/>
    <n v="359"/>
    <n v="28"/>
    <n v="29"/>
    <n v="15"/>
    <n v="54"/>
    <n v="12"/>
    <n v="34"/>
    <n v="11"/>
    <n v="0"/>
  </r>
  <r>
    <x v="8"/>
    <x v="1"/>
    <x v="7"/>
    <n v="1242"/>
    <n v="21"/>
    <n v="46"/>
    <n v="108"/>
    <n v="12"/>
    <n v="385"/>
    <n v="46"/>
    <n v="32"/>
    <n v="27"/>
    <n v="24"/>
    <n v="11"/>
    <n v="20"/>
    <n v="10"/>
    <n v="0"/>
  </r>
  <r>
    <x v="8"/>
    <x v="0"/>
    <x v="8"/>
    <n v="1274"/>
    <n v="46"/>
    <n v="60"/>
    <n v="89"/>
    <n v="44"/>
    <n v="397"/>
    <n v="29"/>
    <n v="52"/>
    <n v="17"/>
    <n v="53"/>
    <n v="14"/>
    <n v="19"/>
    <n v="5"/>
    <n v="0"/>
  </r>
  <r>
    <x v="8"/>
    <x v="1"/>
    <x v="8"/>
    <n v="1516"/>
    <n v="53"/>
    <n v="81"/>
    <n v="136"/>
    <n v="15"/>
    <n v="370"/>
    <n v="22"/>
    <n v="30"/>
    <n v="17"/>
    <n v="41"/>
    <n v="32"/>
    <n v="43"/>
    <n v="6"/>
    <n v="0"/>
  </r>
  <r>
    <x v="8"/>
    <x v="0"/>
    <x v="9"/>
    <n v="1606"/>
    <n v="86"/>
    <n v="76"/>
    <n v="126"/>
    <n v="124"/>
    <n v="504"/>
    <n v="58"/>
    <n v="47"/>
    <n v="20"/>
    <n v="58"/>
    <n v="32"/>
    <n v="44"/>
    <n v="11"/>
    <n v="4"/>
  </r>
  <r>
    <x v="8"/>
    <x v="1"/>
    <x v="9"/>
    <n v="1839"/>
    <n v="103"/>
    <n v="114"/>
    <n v="268"/>
    <n v="18"/>
    <n v="444"/>
    <n v="68"/>
    <n v="88"/>
    <n v="58"/>
    <n v="67"/>
    <n v="58"/>
    <n v="65"/>
    <n v="23"/>
    <n v="1"/>
  </r>
  <r>
    <x v="8"/>
    <x v="0"/>
    <x v="10"/>
    <n v="1478"/>
    <n v="84"/>
    <n v="71"/>
    <n v="254"/>
    <n v="86"/>
    <n v="452"/>
    <n v="49"/>
    <n v="91"/>
    <n v="57"/>
    <n v="54"/>
    <n v="54"/>
    <n v="70"/>
    <n v="37"/>
    <n v="2"/>
  </r>
  <r>
    <x v="8"/>
    <x v="1"/>
    <x v="10"/>
    <n v="1572"/>
    <n v="62"/>
    <n v="85"/>
    <n v="238"/>
    <n v="73"/>
    <n v="332"/>
    <n v="52"/>
    <n v="87"/>
    <n v="27"/>
    <n v="37"/>
    <n v="56"/>
    <n v="116"/>
    <n v="20"/>
    <n v="3"/>
  </r>
  <r>
    <x v="8"/>
    <x v="0"/>
    <x v="11"/>
    <n v="1472"/>
    <n v="56"/>
    <n v="74"/>
    <n v="336"/>
    <n v="65"/>
    <n v="332"/>
    <n v="45"/>
    <n v="123"/>
    <n v="39"/>
    <n v="37"/>
    <n v="83"/>
    <n v="61"/>
    <n v="27"/>
    <n v="1"/>
  </r>
  <r>
    <x v="8"/>
    <x v="1"/>
    <x v="11"/>
    <n v="1598"/>
    <n v="66"/>
    <n v="80"/>
    <n v="301"/>
    <n v="35"/>
    <n v="312"/>
    <n v="46"/>
    <n v="138"/>
    <n v="40"/>
    <n v="38"/>
    <n v="68"/>
    <n v="63"/>
    <n v="25"/>
    <n v="1"/>
  </r>
  <r>
    <x v="9"/>
    <x v="0"/>
    <x v="0"/>
    <n v="1212"/>
    <n v="79"/>
    <n v="29"/>
    <n v="116"/>
    <n v="30"/>
    <n v="160"/>
    <n v="41"/>
    <n v="133"/>
    <n v="43"/>
    <n v="36"/>
    <n v="51"/>
    <n v="50"/>
    <n v="21"/>
    <n v="7"/>
  </r>
  <r>
    <x v="9"/>
    <x v="1"/>
    <x v="0"/>
    <n v="1444"/>
    <n v="99"/>
    <n v="34"/>
    <n v="144"/>
    <n v="10"/>
    <n v="178"/>
    <n v="33"/>
    <n v="115"/>
    <n v="56"/>
    <n v="40"/>
    <n v="23"/>
    <n v="46"/>
    <n v="19"/>
    <n v="6"/>
  </r>
  <r>
    <x v="9"/>
    <x v="0"/>
    <x v="1"/>
    <n v="1304"/>
    <n v="78"/>
    <n v="49"/>
    <n v="84"/>
    <n v="60"/>
    <n v="186"/>
    <n v="22"/>
    <n v="108"/>
    <n v="39"/>
    <n v="38"/>
    <n v="42"/>
    <n v="36"/>
    <n v="18"/>
    <n v="1"/>
  </r>
  <r>
    <x v="9"/>
    <x v="1"/>
    <x v="1"/>
    <n v="1557"/>
    <n v="54"/>
    <n v="12"/>
    <n v="57"/>
    <n v="71"/>
    <n v="224"/>
    <n v="21"/>
    <n v="111"/>
    <n v="29"/>
    <n v="9"/>
    <n v="35"/>
    <n v="48"/>
    <n v="10"/>
    <n v="2"/>
  </r>
  <r>
    <x v="9"/>
    <x v="0"/>
    <x v="2"/>
    <n v="1537"/>
    <n v="85"/>
    <n v="43"/>
    <n v="18"/>
    <n v="27"/>
    <n v="179"/>
    <n v="35"/>
    <n v="168"/>
    <n v="71"/>
    <n v="37"/>
    <n v="153"/>
    <n v="76"/>
    <n v="109"/>
    <n v="7"/>
  </r>
  <r>
    <x v="9"/>
    <x v="1"/>
    <x v="2"/>
    <n v="1779"/>
    <n v="106"/>
    <n v="74"/>
    <n v="189"/>
    <n v="20"/>
    <n v="216"/>
    <n v="52"/>
    <n v="273"/>
    <n v="69"/>
    <n v="32"/>
    <n v="276"/>
    <n v="142"/>
    <n v="176"/>
    <n v="5"/>
  </r>
  <r>
    <x v="9"/>
    <x v="0"/>
    <x v="3"/>
    <n v="1401"/>
    <n v="149"/>
    <n v="62"/>
    <n v="226"/>
    <n v="53"/>
    <n v="285"/>
    <n v="89"/>
    <n v="528"/>
    <n v="175"/>
    <n v="82"/>
    <n v="428"/>
    <n v="320"/>
    <n v="226"/>
    <n v="12"/>
  </r>
  <r>
    <x v="9"/>
    <x v="1"/>
    <x v="3"/>
    <n v="1796"/>
    <n v="157"/>
    <n v="70"/>
    <n v="231"/>
    <n v="72"/>
    <n v="342"/>
    <n v="106"/>
    <n v="475"/>
    <n v="172"/>
    <n v="66"/>
    <n v="279"/>
    <n v="206"/>
    <n v="194"/>
    <n v="4"/>
  </r>
  <r>
    <x v="9"/>
    <x v="0"/>
    <x v="4"/>
    <n v="1208"/>
    <n v="140"/>
    <n v="66"/>
    <n v="163"/>
    <n v="77"/>
    <n v="264"/>
    <n v="50"/>
    <n v="238"/>
    <n v="104"/>
    <n v="54"/>
    <n v="194"/>
    <n v="126"/>
    <n v="86"/>
    <n v="5"/>
  </r>
  <r>
    <x v="9"/>
    <x v="1"/>
    <x v="4"/>
    <n v="1599"/>
    <n v="155"/>
    <n v="83"/>
    <n v="210"/>
    <n v="76"/>
    <n v="335"/>
    <n v="82"/>
    <n v="299"/>
    <n v="129"/>
    <n v="58"/>
    <n v="238"/>
    <n v="232"/>
    <n v="117"/>
    <n v="1"/>
  </r>
  <r>
    <x v="9"/>
    <x v="0"/>
    <x v="5"/>
    <n v="1494"/>
    <n v="138"/>
    <n v="83"/>
    <n v="132"/>
    <n v="75"/>
    <n v="305"/>
    <n v="60"/>
    <n v="129"/>
    <n v="647"/>
    <n v="69"/>
    <n v="126"/>
    <n v="119"/>
    <n v="49"/>
    <n v="8"/>
  </r>
  <r>
    <x v="9"/>
    <x v="1"/>
    <x v="5"/>
    <n v="1688"/>
    <n v="185"/>
    <n v="69"/>
    <n v="205"/>
    <n v="77"/>
    <n v="333"/>
    <n v="53"/>
    <n v="133"/>
    <n v="81"/>
    <n v="60"/>
    <n v="120"/>
    <n v="94"/>
    <n v="51"/>
    <n v="1"/>
  </r>
  <r>
    <x v="9"/>
    <x v="0"/>
    <x v="6"/>
    <n v="1257"/>
    <n v="91"/>
    <n v="110"/>
    <n v="89"/>
    <n v="43"/>
    <n v="335"/>
    <n v="30"/>
    <n v="62"/>
    <n v="36"/>
    <n v="51"/>
    <n v="37"/>
    <n v="43"/>
    <n v="10"/>
    <n v="0"/>
  </r>
  <r>
    <x v="9"/>
    <x v="1"/>
    <x v="6"/>
    <n v="1545"/>
    <n v="150"/>
    <n v="70"/>
    <n v="58"/>
    <n v="69"/>
    <n v="411"/>
    <n v="41"/>
    <n v="49"/>
    <n v="40"/>
    <n v="30"/>
    <n v="34"/>
    <n v="39"/>
    <n v="10"/>
    <n v="0"/>
  </r>
  <r>
    <x v="9"/>
    <x v="0"/>
    <x v="7"/>
    <n v="1265"/>
    <n v="111"/>
    <n v="71"/>
    <n v="86"/>
    <n v="24"/>
    <n v="296"/>
    <n v="33"/>
    <n v="20"/>
    <n v="19"/>
    <n v="45"/>
    <n v="27"/>
    <n v="13"/>
    <n v="2"/>
    <n v="0"/>
  </r>
  <r>
    <x v="9"/>
    <x v="1"/>
    <x v="7"/>
    <n v="1480"/>
    <n v="139"/>
    <n v="62"/>
    <n v="73"/>
    <n v="15"/>
    <n v="332"/>
    <n v="37"/>
    <n v="37"/>
    <n v="41"/>
    <n v="46"/>
    <n v="33"/>
    <n v="29"/>
    <n v="6"/>
    <n v="0"/>
  </r>
  <r>
    <x v="9"/>
    <x v="0"/>
    <x v="8"/>
    <n v="1405"/>
    <n v="114"/>
    <n v="78"/>
    <n v="62"/>
    <n v="53"/>
    <n v="330"/>
    <n v="40"/>
    <n v="38"/>
    <n v="32"/>
    <n v="55"/>
    <n v="28"/>
    <n v="23"/>
    <n v="3"/>
    <n v="0"/>
  </r>
  <r>
    <x v="9"/>
    <x v="1"/>
    <x v="8"/>
    <n v="1601"/>
    <n v="99"/>
    <n v="42"/>
    <n v="87"/>
    <n v="19"/>
    <n v="300"/>
    <n v="26"/>
    <n v="42"/>
    <n v="25"/>
    <n v="31"/>
    <n v="20"/>
    <n v="23"/>
    <n v="7"/>
    <n v="0"/>
  </r>
  <r>
    <x v="9"/>
    <x v="0"/>
    <x v="9"/>
    <n v="1812"/>
    <n v="198"/>
    <n v="95"/>
    <n v="84"/>
    <n v="91"/>
    <n v="472"/>
    <n v="72"/>
    <n v="76"/>
    <n v="64"/>
    <n v="72"/>
    <n v="43"/>
    <n v="70"/>
    <n v="21"/>
    <n v="0"/>
  </r>
  <r>
    <x v="9"/>
    <x v="1"/>
    <x v="9"/>
    <n v="2117"/>
    <n v="224"/>
    <n v="140"/>
    <n v="203"/>
    <n v="39"/>
    <n v="411"/>
    <n v="75"/>
    <n v="116"/>
    <n v="83"/>
    <n v="68"/>
    <n v="47"/>
    <n v="69"/>
    <n v="13"/>
    <n v="0"/>
  </r>
  <r>
    <x v="9"/>
    <x v="0"/>
    <x v="10"/>
    <n v="1664"/>
    <n v="141"/>
    <n v="90"/>
    <n v="154"/>
    <n v="83"/>
    <n v="336"/>
    <n v="77"/>
    <n v="132"/>
    <n v="67"/>
    <n v="73"/>
    <n v="71"/>
    <n v="48"/>
    <n v="23"/>
    <n v="2"/>
  </r>
  <r>
    <x v="9"/>
    <x v="1"/>
    <x v="10"/>
    <n v="1903"/>
    <n v="121"/>
    <n v="55"/>
    <n v="134"/>
    <n v="89"/>
    <n v="271"/>
    <n v="49"/>
    <n v="102"/>
    <n v="42"/>
    <n v="31"/>
    <n v="47"/>
    <n v="50"/>
    <n v="19"/>
    <n v="0"/>
  </r>
  <r>
    <x v="9"/>
    <x v="0"/>
    <x v="11"/>
    <n v="1705"/>
    <n v="130"/>
    <n v="77"/>
    <n v="221"/>
    <n v="81"/>
    <n v="256"/>
    <n v="55"/>
    <n v="149"/>
    <n v="62"/>
    <n v="66"/>
    <n v="75"/>
    <n v="62"/>
    <n v="30"/>
    <n v="2"/>
  </r>
  <r>
    <x v="9"/>
    <x v="1"/>
    <x v="11"/>
    <n v="1949"/>
    <n v="139"/>
    <n v="69"/>
    <n v="237"/>
    <n v="71"/>
    <n v="315"/>
    <n v="57"/>
    <n v="148"/>
    <n v="55"/>
    <n v="43"/>
    <n v="63"/>
    <n v="70"/>
    <n v="22"/>
    <n v="4"/>
  </r>
  <r>
    <x v="10"/>
    <x v="0"/>
    <x v="0"/>
    <n v="349"/>
    <n v="5"/>
    <n v="18"/>
    <n v="80"/>
    <n v="11"/>
    <n v="53"/>
    <n v="13"/>
    <n v="42"/>
    <n v="7"/>
    <n v="13"/>
    <n v="22"/>
    <n v="21"/>
    <n v="3"/>
    <n v="0"/>
  </r>
  <r>
    <x v="10"/>
    <x v="1"/>
    <x v="0"/>
    <n v="369"/>
    <n v="8"/>
    <n v="15"/>
    <n v="71"/>
    <n v="9"/>
    <n v="72"/>
    <n v="20"/>
    <n v="60"/>
    <n v="15"/>
    <n v="11"/>
    <n v="17"/>
    <n v="20"/>
    <n v="10"/>
    <n v="0"/>
  </r>
  <r>
    <x v="10"/>
    <x v="0"/>
    <x v="1"/>
    <n v="344"/>
    <n v="6"/>
    <n v="13"/>
    <n v="51"/>
    <n v="23"/>
    <n v="62"/>
    <n v="13"/>
    <n v="36"/>
    <n v="21"/>
    <n v="8"/>
    <n v="19"/>
    <n v="17"/>
    <n v="4"/>
    <n v="0"/>
  </r>
  <r>
    <x v="10"/>
    <x v="1"/>
    <x v="1"/>
    <n v="348"/>
    <n v="9"/>
    <n v="16"/>
    <n v="17"/>
    <n v="35"/>
    <n v="85"/>
    <n v="6"/>
    <n v="44"/>
    <n v="6"/>
    <n v="11"/>
    <n v="24"/>
    <n v="22"/>
    <n v="11"/>
    <n v="6"/>
  </r>
  <r>
    <x v="10"/>
    <x v="0"/>
    <x v="2"/>
    <n v="427"/>
    <n v="10"/>
    <n v="29"/>
    <n v="122"/>
    <n v="10"/>
    <n v="56"/>
    <n v="24"/>
    <n v="56"/>
    <n v="18"/>
    <n v="15"/>
    <n v="90"/>
    <n v="55"/>
    <n v="41"/>
    <n v="6"/>
  </r>
  <r>
    <x v="10"/>
    <x v="1"/>
    <x v="2"/>
    <n v="460"/>
    <n v="23"/>
    <n v="35"/>
    <n v="128"/>
    <n v="21"/>
    <n v="91"/>
    <n v="22"/>
    <n v="73"/>
    <n v="32"/>
    <n v="22"/>
    <n v="179"/>
    <n v="93"/>
    <n v="115"/>
    <n v="3"/>
  </r>
  <r>
    <x v="10"/>
    <x v="0"/>
    <x v="3"/>
    <n v="449"/>
    <n v="15"/>
    <n v="52"/>
    <n v="132"/>
    <n v="25"/>
    <n v="124"/>
    <n v="35"/>
    <n v="232"/>
    <n v="81"/>
    <n v="31"/>
    <n v="237"/>
    <n v="181"/>
    <n v="165"/>
    <n v="10"/>
  </r>
  <r>
    <x v="10"/>
    <x v="1"/>
    <x v="3"/>
    <n v="504"/>
    <n v="28"/>
    <n v="34"/>
    <n v="136"/>
    <n v="32"/>
    <n v="133"/>
    <n v="39"/>
    <n v="237"/>
    <n v="95"/>
    <n v="30"/>
    <n v="184"/>
    <n v="133"/>
    <n v="129"/>
    <n v="14"/>
  </r>
  <r>
    <x v="10"/>
    <x v="0"/>
    <x v="4"/>
    <n v="410"/>
    <n v="22"/>
    <n v="23"/>
    <n v="77"/>
    <n v="29"/>
    <n v="110"/>
    <n v="14"/>
    <n v="112"/>
    <n v="47"/>
    <n v="18"/>
    <n v="127"/>
    <n v="86"/>
    <n v="65"/>
    <n v="13"/>
  </r>
  <r>
    <x v="10"/>
    <x v="1"/>
    <x v="4"/>
    <n v="504"/>
    <n v="35"/>
    <n v="30"/>
    <n v="134"/>
    <n v="38"/>
    <n v="130"/>
    <n v="32"/>
    <n v="186"/>
    <n v="77"/>
    <n v="30"/>
    <n v="143"/>
    <n v="150"/>
    <n v="97"/>
    <n v="4"/>
  </r>
  <r>
    <x v="10"/>
    <x v="0"/>
    <x v="5"/>
    <n v="430"/>
    <n v="20"/>
    <n v="20"/>
    <n v="103"/>
    <n v="20"/>
    <n v="98"/>
    <n v="20"/>
    <n v="65"/>
    <n v="39"/>
    <n v="23"/>
    <n v="77"/>
    <n v="74"/>
    <n v="49"/>
    <n v="0"/>
  </r>
  <r>
    <x v="10"/>
    <x v="1"/>
    <x v="5"/>
    <n v="536"/>
    <n v="46"/>
    <n v="27"/>
    <n v="101"/>
    <n v="23"/>
    <n v="125"/>
    <n v="43"/>
    <n v="53"/>
    <n v="54"/>
    <n v="22"/>
    <n v="91"/>
    <n v="63"/>
    <n v="51"/>
    <n v="4"/>
  </r>
  <r>
    <x v="10"/>
    <x v="0"/>
    <x v="6"/>
    <n v="392"/>
    <n v="20"/>
    <n v="34"/>
    <n v="57"/>
    <n v="24"/>
    <n v="115"/>
    <n v="27"/>
    <n v="30"/>
    <n v="20"/>
    <n v="25"/>
    <n v="29"/>
    <n v="41"/>
    <n v="19"/>
    <n v="7"/>
  </r>
  <r>
    <x v="10"/>
    <x v="1"/>
    <x v="6"/>
    <n v="499"/>
    <n v="23"/>
    <n v="27"/>
    <n v="62"/>
    <n v="36"/>
    <n v="142"/>
    <n v="17"/>
    <n v="25"/>
    <n v="11"/>
    <n v="17"/>
    <n v="28"/>
    <n v="40"/>
    <n v="10"/>
    <n v="0"/>
  </r>
  <r>
    <x v="10"/>
    <x v="0"/>
    <x v="7"/>
    <n v="392"/>
    <n v="15"/>
    <n v="14"/>
    <n v="45"/>
    <n v="11"/>
    <n v="113"/>
    <n v="10"/>
    <n v="13"/>
    <n v="3"/>
    <n v="21"/>
    <n v="10"/>
    <n v="18"/>
    <n v="10"/>
    <n v="0"/>
  </r>
  <r>
    <x v="10"/>
    <x v="1"/>
    <x v="7"/>
    <n v="388"/>
    <n v="17"/>
    <n v="18"/>
    <n v="49"/>
    <n v="6"/>
    <n v="113"/>
    <n v="11"/>
    <n v="13"/>
    <n v="5"/>
    <n v="15"/>
    <n v="10"/>
    <n v="18"/>
    <n v="5"/>
    <n v="0"/>
  </r>
  <r>
    <x v="10"/>
    <x v="0"/>
    <x v="8"/>
    <n v="425"/>
    <n v="14"/>
    <n v="20"/>
    <n v="25"/>
    <n v="29"/>
    <n v="131"/>
    <n v="17"/>
    <n v="8"/>
    <n v="2"/>
    <n v="23"/>
    <n v="7"/>
    <n v="11"/>
    <n v="3"/>
    <n v="0"/>
  </r>
  <r>
    <x v="10"/>
    <x v="1"/>
    <x v="8"/>
    <n v="461"/>
    <n v="21"/>
    <n v="32"/>
    <n v="68"/>
    <n v="14"/>
    <n v="120"/>
    <n v="17"/>
    <n v="14"/>
    <n v="7"/>
    <n v="21"/>
    <n v="9"/>
    <n v="17"/>
    <n v="3"/>
    <n v="0"/>
  </r>
  <r>
    <x v="10"/>
    <x v="0"/>
    <x v="9"/>
    <n v="523"/>
    <n v="42"/>
    <n v="49"/>
    <n v="45"/>
    <n v="51"/>
    <n v="177"/>
    <n v="33"/>
    <n v="40"/>
    <n v="27"/>
    <n v="30"/>
    <n v="18"/>
    <n v="28"/>
    <n v="11"/>
    <n v="0"/>
  </r>
  <r>
    <x v="10"/>
    <x v="1"/>
    <x v="9"/>
    <n v="607"/>
    <n v="71"/>
    <n v="51"/>
    <n v="109"/>
    <n v="33"/>
    <n v="199"/>
    <n v="45"/>
    <n v="51"/>
    <n v="28"/>
    <n v="36"/>
    <n v="65"/>
    <n v="41"/>
    <n v="15"/>
    <n v="0"/>
  </r>
  <r>
    <x v="10"/>
    <x v="0"/>
    <x v="10"/>
    <n v="443"/>
    <n v="33"/>
    <n v="33"/>
    <n v="90"/>
    <n v="23"/>
    <n v="168"/>
    <n v="27"/>
    <n v="57"/>
    <n v="21"/>
    <n v="29"/>
    <n v="45"/>
    <n v="28"/>
    <n v="9"/>
    <n v="2"/>
  </r>
  <r>
    <x v="10"/>
    <x v="1"/>
    <x v="10"/>
    <n v="553"/>
    <n v="39"/>
    <n v="36"/>
    <n v="80"/>
    <n v="35"/>
    <n v="149"/>
    <n v="26"/>
    <n v="41"/>
    <n v="21"/>
    <n v="25"/>
    <n v="29"/>
    <n v="31"/>
    <n v="13"/>
    <n v="1"/>
  </r>
  <r>
    <x v="11"/>
    <x v="0"/>
    <x v="0"/>
    <n v="586"/>
    <n v="14"/>
    <n v="38"/>
    <n v="115"/>
    <n v="7"/>
    <n v="108"/>
    <n v="18"/>
    <n v="55"/>
    <n v="13"/>
    <n v="19"/>
    <n v="34"/>
    <n v="27"/>
    <n v="14"/>
    <n v="4"/>
  </r>
  <r>
    <x v="11"/>
    <x v="1"/>
    <x v="0"/>
    <n v="645"/>
    <n v="14"/>
    <n v="26"/>
    <n v="139"/>
    <n v="16"/>
    <n v="135"/>
    <n v="16"/>
    <n v="60"/>
    <n v="24"/>
    <n v="13"/>
    <n v="23"/>
    <n v="22"/>
    <n v="12"/>
    <n v="0"/>
  </r>
  <r>
    <x v="11"/>
    <x v="0"/>
    <x v="1"/>
    <n v="544"/>
    <n v="22"/>
    <n v="16"/>
    <n v="69"/>
    <n v="42"/>
    <n v="133"/>
    <n v="13"/>
    <n v="49"/>
    <n v="9"/>
    <n v="14"/>
    <n v="34"/>
    <n v="6"/>
    <n v="4"/>
    <n v="4"/>
  </r>
  <r>
    <x v="11"/>
    <x v="1"/>
    <x v="1"/>
    <n v="592"/>
    <n v="11"/>
    <n v="19"/>
    <n v="53"/>
    <n v="61"/>
    <n v="154"/>
    <n v="12"/>
    <n v="46"/>
    <n v="11"/>
    <n v="18"/>
    <n v="46"/>
    <n v="35"/>
    <n v="15"/>
    <n v="4"/>
  </r>
  <r>
    <x v="11"/>
    <x v="0"/>
    <x v="2"/>
    <n v="675"/>
    <n v="18"/>
    <n v="41"/>
    <n v="166"/>
    <n v="22"/>
    <n v="124"/>
    <n v="31"/>
    <n v="73"/>
    <n v="26"/>
    <n v="44"/>
    <n v="121"/>
    <n v="67"/>
    <n v="67"/>
    <n v="12"/>
  </r>
  <r>
    <x v="11"/>
    <x v="1"/>
    <x v="2"/>
    <n v="845"/>
    <n v="29"/>
    <n v="74"/>
    <n v="193"/>
    <n v="30"/>
    <n v="176"/>
    <n v="49"/>
    <n v="134"/>
    <n v="36"/>
    <n v="39"/>
    <n v="217"/>
    <n v="150"/>
    <n v="138"/>
    <n v="12"/>
  </r>
  <r>
    <x v="11"/>
    <x v="0"/>
    <x v="3"/>
    <n v="754"/>
    <n v="39"/>
    <n v="66"/>
    <n v="253"/>
    <n v="20"/>
    <n v="147"/>
    <n v="54"/>
    <n v="228"/>
    <n v="112"/>
    <n v="84"/>
    <n v="225"/>
    <n v="222"/>
    <n v="194"/>
    <n v="2"/>
  </r>
  <r>
    <x v="11"/>
    <x v="1"/>
    <x v="3"/>
    <n v="803"/>
    <n v="31"/>
    <n v="65"/>
    <n v="214"/>
    <n v="29"/>
    <n v="179"/>
    <n v="51"/>
    <n v="259"/>
    <n v="83"/>
    <n v="61"/>
    <n v="176"/>
    <n v="206"/>
    <n v="132"/>
    <n v="18"/>
  </r>
  <r>
    <x v="11"/>
    <x v="0"/>
    <x v="7"/>
    <n v="618"/>
    <n v="30"/>
    <n v="148"/>
    <n v="72"/>
    <n v="16"/>
    <n v="172"/>
    <n v="25"/>
    <n v="27"/>
    <n v="16"/>
    <n v="19"/>
    <n v="14"/>
    <n v="28"/>
    <n v="9"/>
    <n v="0"/>
  </r>
  <r>
    <x v="11"/>
    <x v="1"/>
    <x v="7"/>
    <n v="722"/>
    <n v="43"/>
    <n v="53"/>
    <n v="77"/>
    <n v="17"/>
    <n v="175"/>
    <n v="26"/>
    <n v="15"/>
    <n v="14"/>
    <n v="26"/>
    <n v="29"/>
    <n v="28"/>
    <n v="8"/>
    <n v="0"/>
  </r>
  <r>
    <x v="11"/>
    <x v="0"/>
    <x v="8"/>
    <n v="658"/>
    <n v="30"/>
    <n v="35"/>
    <n v="40"/>
    <n v="42"/>
    <n v="191"/>
    <n v="25"/>
    <n v="15"/>
    <n v="16"/>
    <n v="32"/>
    <n v="16"/>
    <n v="21"/>
    <n v="7"/>
    <n v="0"/>
  </r>
  <r>
    <x v="11"/>
    <x v="1"/>
    <x v="8"/>
    <n v="754"/>
    <n v="41"/>
    <n v="30"/>
    <n v="87"/>
    <n v="13"/>
    <n v="172"/>
    <n v="34"/>
    <n v="5"/>
    <n v="14"/>
    <n v="28"/>
    <n v="17"/>
    <n v="23"/>
    <n v="6"/>
    <n v="2"/>
  </r>
  <r>
    <x v="11"/>
    <x v="0"/>
    <x v="9"/>
    <n v="784"/>
    <n v="88"/>
    <n v="56"/>
    <n v="60"/>
    <n v="71"/>
    <n v="214"/>
    <n v="45"/>
    <n v="34"/>
    <n v="19"/>
    <n v="31"/>
    <n v="31"/>
    <n v="52"/>
    <n v="18"/>
    <n v="2"/>
  </r>
  <r>
    <x v="11"/>
    <x v="1"/>
    <x v="9"/>
    <n v="989"/>
    <n v="51"/>
    <n v="57"/>
    <n v="150"/>
    <n v="13"/>
    <n v="235"/>
    <n v="56"/>
    <n v="29"/>
    <n v="31"/>
    <n v="64"/>
    <n v="42"/>
    <n v="42"/>
    <n v="13"/>
    <n v="4"/>
  </r>
  <r>
    <x v="11"/>
    <x v="0"/>
    <x v="10"/>
    <n v="728"/>
    <n v="36"/>
    <n v="34"/>
    <n v="67"/>
    <n v="119"/>
    <n v="291"/>
    <n v="43"/>
    <n v="53"/>
    <n v="29"/>
    <n v="42"/>
    <n v="36"/>
    <n v="23"/>
    <n v="17"/>
    <n v="2"/>
  </r>
  <r>
    <x v="11"/>
    <x v="1"/>
    <x v="10"/>
    <n v="808"/>
    <n v="30"/>
    <n v="36"/>
    <n v="126"/>
    <n v="20"/>
    <n v="161"/>
    <n v="24"/>
    <n v="54"/>
    <n v="26"/>
    <n v="45"/>
    <n v="29"/>
    <n v="32"/>
    <n v="14"/>
    <n v="1"/>
  </r>
  <r>
    <x v="11"/>
    <x v="0"/>
    <x v="11"/>
    <n v="685"/>
    <n v="32"/>
    <n v="44"/>
    <n v="119"/>
    <n v="53"/>
    <n v="226"/>
    <n v="46"/>
    <n v="66"/>
    <n v="16"/>
    <n v="21"/>
    <n v="42"/>
    <n v="40"/>
    <n v="18"/>
    <n v="2"/>
  </r>
  <r>
    <x v="11"/>
    <x v="1"/>
    <x v="11"/>
    <n v="803"/>
    <n v="17"/>
    <n v="29"/>
    <n v="200"/>
    <n v="20"/>
    <n v="183"/>
    <n v="27"/>
    <n v="50"/>
    <n v="24"/>
    <n v="32"/>
    <n v="53"/>
    <n v="57"/>
    <n v="21"/>
    <n v="3"/>
  </r>
  <r>
    <x v="12"/>
    <x v="0"/>
    <x v="0"/>
    <n v="714"/>
    <n v="8"/>
    <n v="11"/>
    <n v="54"/>
    <n v="67"/>
    <n v="161"/>
    <n v="13"/>
    <n v="44"/>
    <n v="9"/>
    <n v="6"/>
    <n v="17"/>
    <n v="12"/>
    <n v="10"/>
    <n v="0"/>
  </r>
  <r>
    <x v="12"/>
    <x v="1"/>
    <x v="0"/>
    <n v="926"/>
    <n v="15"/>
    <n v="9"/>
    <n v="86"/>
    <n v="36"/>
    <n v="142"/>
    <n v="2"/>
    <n v="36"/>
    <n v="10"/>
    <n v="10"/>
    <n v="20"/>
    <n v="10"/>
    <n v="10"/>
    <n v="3"/>
  </r>
  <r>
    <x v="12"/>
    <x v="0"/>
    <x v="1"/>
    <n v="782"/>
    <n v="8"/>
    <n v="10"/>
    <n v="11"/>
    <n v="77"/>
    <n v="158"/>
    <n v="4"/>
    <n v="27"/>
    <n v="6"/>
    <n v="12"/>
    <n v="27"/>
    <n v="11"/>
    <n v="8"/>
    <n v="4"/>
  </r>
  <r>
    <x v="12"/>
    <x v="1"/>
    <x v="1"/>
    <n v="928"/>
    <n v="12"/>
    <n v="5"/>
    <n v="41"/>
    <n v="55"/>
    <n v="169"/>
    <n v="7"/>
    <n v="39"/>
    <n v="10"/>
    <n v="8"/>
    <n v="17"/>
    <n v="4"/>
    <n v="9"/>
    <n v="0"/>
  </r>
  <r>
    <x v="12"/>
    <x v="0"/>
    <x v="2"/>
    <n v="961"/>
    <n v="10"/>
    <n v="26"/>
    <n v="21"/>
    <n v="174"/>
    <n v="299"/>
    <n v="27"/>
    <n v="70"/>
    <n v="12"/>
    <n v="17"/>
    <n v="95"/>
    <n v="72"/>
    <n v="77"/>
    <n v="0"/>
  </r>
  <r>
    <x v="12"/>
    <x v="1"/>
    <x v="2"/>
    <n v="1081"/>
    <n v="11"/>
    <n v="34"/>
    <n v="112"/>
    <n v="59"/>
    <n v="151"/>
    <n v="17"/>
    <n v="81"/>
    <n v="28"/>
    <n v="14"/>
    <n v="157"/>
    <n v="60"/>
    <n v="96"/>
    <n v="1"/>
  </r>
  <r>
    <x v="12"/>
    <x v="0"/>
    <x v="3"/>
    <n v="947"/>
    <n v="24"/>
    <n v="34"/>
    <n v="150"/>
    <n v="135"/>
    <n v="256"/>
    <n v="31"/>
    <n v="22"/>
    <n v="79"/>
    <n v="34"/>
    <n v="184"/>
    <n v="180"/>
    <n v="136"/>
    <n v="14"/>
  </r>
  <r>
    <x v="12"/>
    <x v="1"/>
    <x v="3"/>
    <n v="1192"/>
    <n v="24"/>
    <n v="27"/>
    <n v="146"/>
    <n v="122"/>
    <n v="247"/>
    <n v="34"/>
    <n v="227"/>
    <n v="84"/>
    <n v="37"/>
    <n v="200"/>
    <n v="144"/>
    <n v="112"/>
    <n v="3"/>
  </r>
  <r>
    <x v="12"/>
    <x v="0"/>
    <x v="4"/>
    <n v="775"/>
    <n v="23"/>
    <n v="15"/>
    <n v="78"/>
    <n v="129"/>
    <n v="266"/>
    <n v="40"/>
    <n v="108"/>
    <n v="41"/>
    <n v="19"/>
    <n v="131"/>
    <n v="85"/>
    <n v="56"/>
    <n v="3"/>
  </r>
  <r>
    <x v="12"/>
    <x v="1"/>
    <x v="4"/>
    <n v="896"/>
    <n v="31"/>
    <n v="28"/>
    <n v="122"/>
    <n v="107"/>
    <n v="244"/>
    <n v="32"/>
    <n v="106"/>
    <n v="56"/>
    <n v="21"/>
    <n v="105"/>
    <n v="110"/>
    <n v="65"/>
    <n v="4"/>
  </r>
  <r>
    <x v="12"/>
    <x v="0"/>
    <x v="5"/>
    <n v="1007"/>
    <n v="17"/>
    <n v="21"/>
    <n v="67"/>
    <n v="133"/>
    <n v="311"/>
    <n v="24"/>
    <n v="48"/>
    <n v="29"/>
    <n v="15"/>
    <n v="56"/>
    <n v="48"/>
    <n v="25"/>
    <n v="0"/>
  </r>
  <r>
    <x v="12"/>
    <x v="1"/>
    <x v="5"/>
    <n v="1062"/>
    <n v="20"/>
    <n v="33"/>
    <n v="105"/>
    <n v="82"/>
    <n v="252"/>
    <n v="31"/>
    <n v="87"/>
    <n v="42"/>
    <n v="23"/>
    <n v="68"/>
    <n v="58"/>
    <n v="34"/>
    <n v="0"/>
  </r>
  <r>
    <x v="12"/>
    <x v="0"/>
    <x v="6"/>
    <n v="745"/>
    <n v="2"/>
    <n v="18"/>
    <n v="15"/>
    <n v="85"/>
    <n v="276"/>
    <n v="7"/>
    <n v="25"/>
    <n v="10"/>
    <n v="7"/>
    <n v="35"/>
    <n v="18"/>
    <n v="7"/>
    <n v="0"/>
  </r>
  <r>
    <x v="12"/>
    <x v="1"/>
    <x v="6"/>
    <n v="1044"/>
    <n v="21"/>
    <n v="16"/>
    <n v="44"/>
    <n v="72"/>
    <n v="270"/>
    <n v="21"/>
    <n v="18"/>
    <n v="15"/>
    <n v="23"/>
    <n v="33"/>
    <n v="25"/>
    <n v="11"/>
    <n v="4"/>
  </r>
  <r>
    <x v="12"/>
    <x v="0"/>
    <x v="7"/>
    <n v="687"/>
    <n v="17"/>
    <n v="29"/>
    <n v="15"/>
    <n v="40"/>
    <n v="211"/>
    <n v="4"/>
    <n v="16"/>
    <n v="10"/>
    <n v="15"/>
    <n v="5"/>
    <n v="12"/>
    <n v="6"/>
    <n v="0"/>
  </r>
  <r>
    <x v="12"/>
    <x v="1"/>
    <x v="7"/>
    <n v="808"/>
    <n v="14"/>
    <n v="18"/>
    <n v="36"/>
    <n v="28"/>
    <n v="196"/>
    <n v="10"/>
    <n v="18"/>
    <n v="12"/>
    <n v="7"/>
    <n v="9"/>
    <n v="19"/>
    <n v="8"/>
    <n v="0"/>
  </r>
  <r>
    <x v="12"/>
    <x v="0"/>
    <x v="8"/>
    <n v="850"/>
    <n v="13"/>
    <n v="21"/>
    <n v="22"/>
    <n v="50"/>
    <n v="214"/>
    <n v="19"/>
    <n v="9"/>
    <n v="12"/>
    <n v="25"/>
    <n v="12"/>
    <n v="12"/>
    <n v="2"/>
    <n v="0"/>
  </r>
  <r>
    <x v="12"/>
    <x v="1"/>
    <x v="8"/>
    <n v="883"/>
    <n v="28"/>
    <n v="16"/>
    <n v="34"/>
    <n v="17"/>
    <n v="173"/>
    <n v="8"/>
    <n v="9"/>
    <n v="8"/>
    <n v="11"/>
    <n v="12"/>
    <n v="15"/>
    <n v="2"/>
    <n v="0"/>
  </r>
  <r>
    <x v="12"/>
    <x v="0"/>
    <x v="9"/>
    <n v="1160"/>
    <n v="21"/>
    <n v="22"/>
    <n v="30"/>
    <n v="132"/>
    <n v="337"/>
    <n v="31"/>
    <n v="8"/>
    <n v="20"/>
    <n v="19"/>
    <n v="16"/>
    <n v="14"/>
    <n v="13"/>
    <n v="0"/>
  </r>
  <r>
    <x v="12"/>
    <x v="1"/>
    <x v="9"/>
    <n v="1439"/>
    <n v="35"/>
    <n v="31"/>
    <n v="107"/>
    <n v="68"/>
    <n v="327"/>
    <n v="37"/>
    <n v="30"/>
    <n v="19"/>
    <n v="25"/>
    <n v="37"/>
    <n v="35"/>
    <n v="9"/>
    <n v="0"/>
  </r>
  <r>
    <x v="12"/>
    <x v="0"/>
    <x v="10"/>
    <n v="943"/>
    <n v="21"/>
    <n v="41"/>
    <n v="17"/>
    <n v="160"/>
    <n v="349"/>
    <n v="24"/>
    <n v="33"/>
    <n v="22"/>
    <n v="10"/>
    <n v="30"/>
    <n v="26"/>
    <n v="9"/>
    <n v="0"/>
  </r>
  <r>
    <x v="12"/>
    <x v="1"/>
    <x v="10"/>
    <n v="1094"/>
    <n v="18"/>
    <n v="18"/>
    <n v="57"/>
    <n v="79"/>
    <n v="208"/>
    <n v="27"/>
    <n v="26"/>
    <n v="10"/>
    <n v="25"/>
    <n v="28"/>
    <n v="19"/>
    <n v="5"/>
    <n v="0"/>
  </r>
  <r>
    <x v="12"/>
    <x v="0"/>
    <x v="11"/>
    <n v="1003"/>
    <n v="22"/>
    <n v="36"/>
    <n v="33"/>
    <n v="188"/>
    <n v="316"/>
    <n v="40"/>
    <n v="62"/>
    <n v="13"/>
    <n v="13"/>
    <n v="27"/>
    <n v="36"/>
    <n v="12"/>
    <n v="0"/>
  </r>
  <r>
    <x v="12"/>
    <x v="1"/>
    <x v="11"/>
    <n v="1184"/>
    <n v="9"/>
    <n v="25"/>
    <n v="155"/>
    <n v="61"/>
    <n v="237"/>
    <n v="32"/>
    <n v="34"/>
    <n v="19"/>
    <n v="24"/>
    <n v="33"/>
    <n v="30"/>
    <n v="14"/>
    <n v="0"/>
  </r>
  <r>
    <x v="13"/>
    <x v="0"/>
    <x v="0"/>
    <n v="655"/>
    <n v="26"/>
    <n v="23"/>
    <n v="112"/>
    <n v="6"/>
    <n v="88"/>
    <n v="21"/>
    <n v="76"/>
    <n v="21"/>
    <n v="21"/>
    <n v="52"/>
    <n v="38"/>
    <n v="16"/>
    <n v="5"/>
  </r>
  <r>
    <x v="13"/>
    <x v="1"/>
    <x v="0"/>
    <n v="797"/>
    <n v="58"/>
    <n v="20"/>
    <n v="91"/>
    <n v="11"/>
    <n v="107"/>
    <n v="27"/>
    <n v="59"/>
    <n v="23"/>
    <n v="15"/>
    <n v="46"/>
    <n v="39"/>
    <n v="7"/>
    <n v="0"/>
  </r>
  <r>
    <x v="13"/>
    <x v="0"/>
    <x v="1"/>
    <n v="678"/>
    <n v="25"/>
    <n v="14"/>
    <n v="81"/>
    <n v="22"/>
    <n v="117"/>
    <n v="16"/>
    <n v="52"/>
    <n v="19"/>
    <n v="14"/>
    <n v="24"/>
    <n v="35"/>
    <n v="5"/>
    <n v="2"/>
  </r>
  <r>
    <x v="13"/>
    <x v="1"/>
    <x v="1"/>
    <n v="788"/>
    <n v="21"/>
    <n v="20"/>
    <n v="34"/>
    <n v="61"/>
    <n v="133"/>
    <n v="13"/>
    <n v="70"/>
    <n v="24"/>
    <n v="18"/>
    <n v="52"/>
    <n v="28"/>
    <n v="17"/>
    <n v="9"/>
  </r>
  <r>
    <x v="13"/>
    <x v="0"/>
    <x v="2"/>
    <n v="819"/>
    <n v="39"/>
    <n v="44"/>
    <n v="139"/>
    <n v="16"/>
    <n v="102"/>
    <n v="20"/>
    <n v="90"/>
    <n v="25"/>
    <n v="33"/>
    <n v="100"/>
    <n v="73"/>
    <n v="76"/>
    <n v="13"/>
  </r>
  <r>
    <x v="13"/>
    <x v="1"/>
    <x v="2"/>
    <n v="958"/>
    <n v="60"/>
    <n v="46"/>
    <n v="173"/>
    <n v="27"/>
    <n v="179"/>
    <n v="44"/>
    <n v="121"/>
    <n v="36"/>
    <n v="50"/>
    <n v="206"/>
    <n v="130"/>
    <n v="132"/>
    <n v="12"/>
  </r>
  <r>
    <x v="13"/>
    <x v="0"/>
    <x v="3"/>
    <n v="880"/>
    <n v="78"/>
    <n v="41"/>
    <n v="215"/>
    <n v="21"/>
    <n v="223"/>
    <n v="60"/>
    <n v="304"/>
    <n v="98"/>
    <n v="64"/>
    <n v="281"/>
    <n v="223"/>
    <n v="195"/>
    <n v="6"/>
  </r>
  <r>
    <x v="13"/>
    <x v="1"/>
    <x v="3"/>
    <n v="1006"/>
    <n v="69"/>
    <n v="56"/>
    <n v="182"/>
    <n v="59"/>
    <n v="173"/>
    <n v="61"/>
    <n v="238"/>
    <n v="102"/>
    <n v="64"/>
    <n v="271"/>
    <n v="168"/>
    <n v="136"/>
    <n v="9"/>
  </r>
  <r>
    <x v="13"/>
    <x v="0"/>
    <x v="4"/>
    <n v="691"/>
    <n v="70"/>
    <n v="34"/>
    <n v="139"/>
    <n v="27"/>
    <n v="152"/>
    <n v="35"/>
    <n v="98"/>
    <n v="44"/>
    <n v="43"/>
    <n v="177"/>
    <n v="116"/>
    <n v="70"/>
    <n v="4"/>
  </r>
  <r>
    <x v="13"/>
    <x v="1"/>
    <x v="4"/>
    <n v="845"/>
    <n v="44"/>
    <n v="47"/>
    <n v="146"/>
    <n v="51"/>
    <n v="186"/>
    <n v="47"/>
    <n v="196"/>
    <n v="112"/>
    <n v="39"/>
    <n v="203"/>
    <n v="128"/>
    <n v="93"/>
    <n v="12"/>
  </r>
  <r>
    <x v="13"/>
    <x v="0"/>
    <x v="5"/>
    <n v="820"/>
    <n v="59"/>
    <n v="67"/>
    <n v="113"/>
    <n v="48"/>
    <n v="194"/>
    <n v="47"/>
    <n v="87"/>
    <n v="38"/>
    <n v="42"/>
    <n v="97"/>
    <n v="91"/>
    <n v="38"/>
    <n v="7"/>
  </r>
  <r>
    <x v="13"/>
    <x v="1"/>
    <x v="5"/>
    <n v="917"/>
    <n v="62"/>
    <n v="53"/>
    <n v="125"/>
    <n v="24"/>
    <n v="185"/>
    <n v="24"/>
    <n v="74"/>
    <n v="32"/>
    <n v="53"/>
    <n v="111"/>
    <n v="61"/>
    <n v="40"/>
    <n v="2"/>
  </r>
  <r>
    <x v="13"/>
    <x v="0"/>
    <x v="6"/>
    <n v="680"/>
    <n v="63"/>
    <n v="46"/>
    <n v="57"/>
    <n v="28"/>
    <n v="178"/>
    <n v="19"/>
    <n v="43"/>
    <n v="13"/>
    <n v="37"/>
    <n v="39"/>
    <n v="52"/>
    <n v="17"/>
    <n v="4"/>
  </r>
  <r>
    <x v="13"/>
    <x v="1"/>
    <x v="6"/>
    <n v="839"/>
    <n v="47"/>
    <n v="46"/>
    <n v="42"/>
    <n v="53"/>
    <n v="215"/>
    <n v="30"/>
    <n v="33"/>
    <n v="34"/>
    <n v="51"/>
    <n v="51"/>
    <n v="60"/>
    <n v="15"/>
    <n v="0"/>
  </r>
  <r>
    <x v="13"/>
    <x v="0"/>
    <x v="7"/>
    <n v="620"/>
    <n v="37"/>
    <n v="27"/>
    <n v="34"/>
    <n v="10"/>
    <n v="147"/>
    <n v="27"/>
    <n v="11"/>
    <n v="16"/>
    <n v="25"/>
    <n v="22"/>
    <n v="26"/>
    <n v="1"/>
    <n v="1"/>
  </r>
  <r>
    <x v="13"/>
    <x v="1"/>
    <x v="7"/>
    <n v="747"/>
    <n v="38"/>
    <n v="32"/>
    <n v="61"/>
    <n v="15"/>
    <n v="196"/>
    <n v="28"/>
    <n v="11"/>
    <n v="12"/>
    <n v="38"/>
    <n v="27"/>
    <n v="44"/>
    <n v="8"/>
    <n v="0"/>
  </r>
  <r>
    <x v="13"/>
    <x v="0"/>
    <x v="8"/>
    <n v="765"/>
    <n v="52"/>
    <n v="34"/>
    <n v="35"/>
    <n v="44"/>
    <n v="218"/>
    <n v="22"/>
    <n v="14"/>
    <n v="6"/>
    <n v="28"/>
    <n v="21"/>
    <n v="34"/>
    <n v="6"/>
    <n v="0"/>
  </r>
  <r>
    <x v="13"/>
    <x v="1"/>
    <x v="8"/>
    <n v="797"/>
    <n v="37"/>
    <n v="33"/>
    <n v="68"/>
    <n v="23"/>
    <n v="199"/>
    <n v="41"/>
    <n v="4"/>
    <n v="11"/>
    <n v="46"/>
    <n v="30"/>
    <n v="15"/>
    <n v="5"/>
    <n v="2"/>
  </r>
  <r>
    <x v="13"/>
    <x v="0"/>
    <x v="9"/>
    <n v="947"/>
    <n v="55"/>
    <n v="50"/>
    <n v="63"/>
    <n v="68"/>
    <n v="249"/>
    <n v="45"/>
    <n v="33"/>
    <n v="13"/>
    <n v="62"/>
    <n v="34"/>
    <n v="47"/>
    <n v="9"/>
    <n v="1"/>
  </r>
  <r>
    <x v="13"/>
    <x v="1"/>
    <x v="9"/>
    <n v="1155"/>
    <n v="75"/>
    <n v="60"/>
    <n v="109"/>
    <n v="29"/>
    <n v="263"/>
    <n v="64"/>
    <n v="54"/>
    <n v="26"/>
    <n v="80"/>
    <n v="75"/>
    <n v="65"/>
    <n v="17"/>
    <n v="2"/>
  </r>
  <r>
    <x v="13"/>
    <x v="0"/>
    <x v="10"/>
    <n v="870"/>
    <n v="74"/>
    <n v="43"/>
    <n v="131"/>
    <n v="72"/>
    <n v="213"/>
    <n v="35"/>
    <n v="47"/>
    <n v="22"/>
    <n v="63"/>
    <n v="66"/>
    <n v="78"/>
    <n v="17"/>
    <n v="0"/>
  </r>
  <r>
    <x v="13"/>
    <x v="1"/>
    <x v="10"/>
    <n v="1045"/>
    <n v="46"/>
    <n v="30"/>
    <n v="85"/>
    <n v="73"/>
    <n v="214"/>
    <n v="38"/>
    <n v="41"/>
    <n v="32"/>
    <n v="56"/>
    <n v="53"/>
    <n v="49"/>
    <n v="13"/>
    <n v="1"/>
  </r>
  <r>
    <x v="13"/>
    <x v="0"/>
    <x v="11"/>
    <n v="812"/>
    <n v="54"/>
    <n v="31"/>
    <n v="143"/>
    <n v="34"/>
    <n v="170"/>
    <n v="60"/>
    <n v="86"/>
    <n v="40"/>
    <n v="51"/>
    <n v="55"/>
    <n v="56"/>
    <n v="26"/>
    <n v="3"/>
  </r>
  <r>
    <x v="13"/>
    <x v="1"/>
    <x v="11"/>
    <n v="986"/>
    <n v="55"/>
    <n v="31"/>
    <n v="162"/>
    <n v="42"/>
    <n v="202"/>
    <n v="49"/>
    <n v="97"/>
    <n v="43"/>
    <n v="52"/>
    <n v="84"/>
    <n v="61"/>
    <n v="17"/>
    <n v="5"/>
  </r>
  <r>
    <x v="14"/>
    <x v="0"/>
    <x v="0"/>
    <n v="479"/>
    <n v="28"/>
    <n v="18"/>
    <n v="109"/>
    <n v="2"/>
    <n v="83"/>
    <n v="18"/>
    <n v="68"/>
    <n v="14"/>
    <n v="16"/>
    <n v="25"/>
    <n v="39"/>
    <n v="12"/>
    <n v="12"/>
  </r>
  <r>
    <x v="14"/>
    <x v="1"/>
    <x v="0"/>
    <n v="549"/>
    <n v="26"/>
    <n v="21"/>
    <n v="121"/>
    <n v="4"/>
    <n v="90"/>
    <n v="17"/>
    <n v="77"/>
    <n v="8"/>
    <n v="15"/>
    <n v="34"/>
    <n v="51"/>
    <n v="14"/>
    <n v="11"/>
  </r>
  <r>
    <x v="14"/>
    <x v="0"/>
    <x v="1"/>
    <n v="448"/>
    <n v="24"/>
    <n v="16"/>
    <n v="63"/>
    <n v="39"/>
    <n v="94"/>
    <n v="13"/>
    <n v="53"/>
    <n v="10"/>
    <n v="12"/>
    <n v="27"/>
    <n v="58"/>
    <n v="17"/>
    <n v="1"/>
  </r>
  <r>
    <x v="14"/>
    <x v="1"/>
    <x v="1"/>
    <n v="578"/>
    <n v="16"/>
    <n v="16"/>
    <n v="61"/>
    <n v="29"/>
    <n v="107"/>
    <n v="13"/>
    <n v="66"/>
    <n v="10"/>
    <n v="10"/>
    <n v="19"/>
    <n v="51"/>
    <n v="10"/>
    <n v="2"/>
  </r>
  <r>
    <x v="14"/>
    <x v="0"/>
    <x v="2"/>
    <n v="637"/>
    <n v="17"/>
    <n v="36"/>
    <n v="150"/>
    <n v="4"/>
    <n v="89"/>
    <n v="18"/>
    <n v="84"/>
    <n v="16"/>
    <n v="23"/>
    <n v="96"/>
    <n v="93"/>
    <n v="93"/>
    <n v="7"/>
  </r>
  <r>
    <x v="14"/>
    <x v="1"/>
    <x v="2"/>
    <n v="686"/>
    <n v="48"/>
    <n v="31"/>
    <n v="145"/>
    <n v="17"/>
    <n v="105"/>
    <n v="22"/>
    <n v="114"/>
    <n v="25"/>
    <n v="13"/>
    <n v="161"/>
    <n v="149"/>
    <n v="144"/>
    <n v="10"/>
  </r>
  <r>
    <x v="14"/>
    <x v="0"/>
    <x v="3"/>
    <n v="642"/>
    <n v="52"/>
    <n v="56"/>
    <n v="182"/>
    <n v="8"/>
    <n v="121"/>
    <n v="45"/>
    <n v="147"/>
    <n v="56"/>
    <n v="38"/>
    <n v="224"/>
    <n v="282"/>
    <n v="190"/>
    <n v="16"/>
  </r>
  <r>
    <x v="14"/>
    <x v="1"/>
    <x v="3"/>
    <n v="755"/>
    <n v="25"/>
    <n v="40"/>
    <n v="165"/>
    <n v="26"/>
    <n v="170"/>
    <n v="39"/>
    <n v="167"/>
    <n v="59"/>
    <n v="28"/>
    <n v="201"/>
    <n v="205"/>
    <n v="167"/>
    <n v="10"/>
  </r>
  <r>
    <x v="14"/>
    <x v="0"/>
    <x v="4"/>
    <n v="525"/>
    <n v="24"/>
    <n v="28"/>
    <n v="110"/>
    <n v="14"/>
    <n v="116"/>
    <n v="29"/>
    <n v="81"/>
    <n v="47"/>
    <n v="29"/>
    <n v="126"/>
    <n v="136"/>
    <n v="79"/>
    <n v="13"/>
  </r>
  <r>
    <x v="14"/>
    <x v="1"/>
    <x v="4"/>
    <n v="650"/>
    <n v="61"/>
    <n v="39"/>
    <n v="142"/>
    <n v="33"/>
    <n v="178"/>
    <n v="27"/>
    <n v="102"/>
    <n v="48"/>
    <n v="37"/>
    <n v="116"/>
    <n v="177"/>
    <n v="75"/>
    <n v="8"/>
  </r>
  <r>
    <x v="14"/>
    <x v="0"/>
    <x v="5"/>
    <n v="564"/>
    <n v="26"/>
    <n v="46"/>
    <n v="101"/>
    <n v="20"/>
    <n v="157"/>
    <n v="32"/>
    <n v="56"/>
    <n v="28"/>
    <n v="22"/>
    <n v="82"/>
    <n v="106"/>
    <n v="39"/>
    <n v="9"/>
  </r>
  <r>
    <x v="14"/>
    <x v="1"/>
    <x v="5"/>
    <n v="658"/>
    <n v="49"/>
    <n v="46"/>
    <n v="123"/>
    <n v="14"/>
    <n v="143"/>
    <n v="36"/>
    <n v="46"/>
    <n v="35"/>
    <n v="24"/>
    <n v="102"/>
    <n v="157"/>
    <n v="59"/>
    <n v="4"/>
  </r>
  <r>
    <x v="14"/>
    <x v="0"/>
    <x v="6"/>
    <n v="605"/>
    <n v="29"/>
    <n v="59"/>
    <n v="73"/>
    <n v="18"/>
    <n v="166"/>
    <n v="24"/>
    <n v="11"/>
    <n v="20"/>
    <n v="21"/>
    <n v="32"/>
    <n v="100"/>
    <n v="23"/>
    <n v="2"/>
  </r>
  <r>
    <x v="14"/>
    <x v="1"/>
    <x v="6"/>
    <n v="637"/>
    <n v="30"/>
    <n v="60"/>
    <n v="55"/>
    <n v="38"/>
    <n v="223"/>
    <n v="30"/>
    <n v="35"/>
    <n v="12"/>
    <n v="23"/>
    <n v="34"/>
    <n v="52"/>
    <n v="26"/>
    <n v="4"/>
  </r>
  <r>
    <x v="14"/>
    <x v="0"/>
    <x v="7"/>
    <n v="427"/>
    <n v="42"/>
    <n v="53"/>
    <n v="36"/>
    <n v="16"/>
    <n v="161"/>
    <n v="22"/>
    <n v="8"/>
    <n v="13"/>
    <n v="13"/>
    <n v="16"/>
    <n v="42"/>
    <n v="7"/>
    <n v="0"/>
  </r>
  <r>
    <x v="14"/>
    <x v="1"/>
    <x v="7"/>
    <n v="498"/>
    <n v="29"/>
    <n v="57"/>
    <n v="82"/>
    <n v="8"/>
    <n v="175"/>
    <n v="26"/>
    <n v="12"/>
    <n v="2"/>
    <n v="18"/>
    <n v="21"/>
    <n v="36"/>
    <n v="1"/>
    <n v="0"/>
  </r>
  <r>
    <x v="14"/>
    <x v="0"/>
    <x v="8"/>
    <n v="603"/>
    <n v="33"/>
    <n v="46"/>
    <n v="64"/>
    <n v="31"/>
    <n v="216"/>
    <n v="35"/>
    <n v="7"/>
    <n v="7"/>
    <n v="20"/>
    <n v="12"/>
    <n v="14"/>
    <n v="5"/>
    <n v="2"/>
  </r>
  <r>
    <x v="14"/>
    <x v="1"/>
    <x v="8"/>
    <n v="582"/>
    <n v="52"/>
    <n v="36"/>
    <n v="95"/>
    <n v="15"/>
    <n v="187"/>
    <n v="16"/>
    <n v="10"/>
    <n v="10"/>
    <n v="15"/>
    <n v="12"/>
    <n v="33"/>
    <n v="12"/>
    <n v="1"/>
  </r>
  <r>
    <x v="14"/>
    <x v="0"/>
    <x v="9"/>
    <n v="786"/>
    <n v="75"/>
    <n v="72"/>
    <n v="78"/>
    <n v="46"/>
    <n v="259"/>
    <n v="35"/>
    <n v="26"/>
    <n v="22"/>
    <n v="27"/>
    <n v="36"/>
    <n v="72"/>
    <n v="18"/>
    <n v="2"/>
  </r>
  <r>
    <x v="14"/>
    <x v="1"/>
    <x v="9"/>
    <n v="800"/>
    <n v="81"/>
    <n v="82"/>
    <n v="110"/>
    <n v="8"/>
    <n v="249"/>
    <n v="28"/>
    <n v="45"/>
    <n v="34"/>
    <n v="34"/>
    <n v="49"/>
    <n v="73"/>
    <n v="26"/>
    <n v="8"/>
  </r>
  <r>
    <x v="14"/>
    <x v="0"/>
    <x v="10"/>
    <n v="603"/>
    <n v="38"/>
    <n v="29"/>
    <n v="84"/>
    <n v="38"/>
    <n v="152"/>
    <n v="27"/>
    <n v="31"/>
    <n v="12"/>
    <n v="20"/>
    <n v="41"/>
    <n v="66"/>
    <n v="22"/>
    <n v="0"/>
  </r>
  <r>
    <x v="14"/>
    <x v="1"/>
    <x v="10"/>
    <n v="649"/>
    <n v="24"/>
    <n v="23"/>
    <n v="99"/>
    <n v="14"/>
    <n v="159"/>
    <n v="14"/>
    <n v="41"/>
    <n v="13"/>
    <n v="15"/>
    <n v="41"/>
    <n v="45"/>
    <n v="23"/>
    <n v="4"/>
  </r>
  <r>
    <x v="14"/>
    <x v="0"/>
    <x v="11"/>
    <n v="658"/>
    <n v="25"/>
    <n v="29"/>
    <n v="138"/>
    <n v="11"/>
    <n v="142"/>
    <n v="16"/>
    <n v="72"/>
    <n v="25"/>
    <n v="15"/>
    <n v="42"/>
    <n v="54"/>
    <n v="14"/>
    <n v="2"/>
  </r>
  <r>
    <x v="14"/>
    <x v="1"/>
    <x v="11"/>
    <n v="705"/>
    <n v="21"/>
    <n v="39"/>
    <n v="110"/>
    <n v="22"/>
    <n v="184"/>
    <n v="19"/>
    <n v="71"/>
    <n v="22"/>
    <n v="13"/>
    <n v="55"/>
    <n v="69"/>
    <n v="21"/>
    <n v="2"/>
  </r>
  <r>
    <x v="15"/>
    <x v="0"/>
    <x v="0"/>
    <n v="741"/>
    <n v="20"/>
    <n v="18"/>
    <n v="95"/>
    <n v="6"/>
    <n v="104"/>
    <n v="16"/>
    <n v="81"/>
    <n v="17"/>
    <n v="18"/>
    <n v="24"/>
    <n v="38"/>
    <n v="9"/>
    <n v="1"/>
  </r>
  <r>
    <x v="15"/>
    <x v="1"/>
    <x v="0"/>
    <n v="733"/>
    <n v="29"/>
    <n v="26"/>
    <n v="86"/>
    <n v="9"/>
    <n v="108"/>
    <n v="23"/>
    <n v="81"/>
    <n v="14"/>
    <n v="20"/>
    <n v="21"/>
    <n v="34"/>
    <n v="9"/>
    <n v="1"/>
  </r>
  <r>
    <x v="15"/>
    <x v="0"/>
    <x v="1"/>
    <n v="757"/>
    <n v="21"/>
    <n v="13"/>
    <n v="57"/>
    <n v="25"/>
    <n v="120"/>
    <n v="13"/>
    <n v="58"/>
    <n v="15"/>
    <n v="9"/>
    <n v="18"/>
    <n v="24"/>
    <n v="11"/>
    <n v="9"/>
  </r>
  <r>
    <x v="15"/>
    <x v="1"/>
    <x v="1"/>
    <n v="760"/>
    <n v="24"/>
    <n v="12"/>
    <n v="48"/>
    <n v="44"/>
    <n v="172"/>
    <n v="11"/>
    <n v="93"/>
    <n v="14"/>
    <n v="14"/>
    <n v="20"/>
    <n v="69"/>
    <n v="12"/>
    <n v="3"/>
  </r>
  <r>
    <x v="15"/>
    <x v="0"/>
    <x v="2"/>
    <n v="887"/>
    <n v="40"/>
    <n v="27"/>
    <n v="116"/>
    <n v="7"/>
    <n v="123"/>
    <n v="19"/>
    <n v="126"/>
    <n v="29"/>
    <n v="22"/>
    <n v="103"/>
    <n v="70"/>
    <n v="52"/>
    <n v="13"/>
  </r>
  <r>
    <x v="15"/>
    <x v="1"/>
    <x v="2"/>
    <n v="888"/>
    <n v="33"/>
    <n v="36"/>
    <n v="129"/>
    <n v="16"/>
    <n v="150"/>
    <n v="22"/>
    <n v="180"/>
    <n v="41"/>
    <n v="36"/>
    <n v="138"/>
    <n v="92"/>
    <n v="100"/>
    <n v="17"/>
  </r>
  <r>
    <x v="15"/>
    <x v="0"/>
    <x v="3"/>
    <n v="885"/>
    <n v="61"/>
    <n v="42"/>
    <n v="180"/>
    <n v="17"/>
    <n v="177"/>
    <n v="42"/>
    <n v="299"/>
    <n v="99"/>
    <n v="48"/>
    <n v="221"/>
    <n v="219"/>
    <n v="155"/>
    <n v="9"/>
  </r>
  <r>
    <x v="15"/>
    <x v="1"/>
    <x v="3"/>
    <n v="994"/>
    <n v="46"/>
    <n v="34"/>
    <n v="143"/>
    <n v="37"/>
    <n v="228"/>
    <n v="32"/>
    <n v="260"/>
    <n v="75"/>
    <n v="41"/>
    <n v="168"/>
    <n v="288"/>
    <n v="95"/>
    <n v="13"/>
  </r>
  <r>
    <x v="15"/>
    <x v="0"/>
    <x v="4"/>
    <n v="842"/>
    <n v="53"/>
    <n v="53"/>
    <n v="159"/>
    <n v="46"/>
    <n v="225"/>
    <n v="43"/>
    <n v="165"/>
    <n v="41"/>
    <n v="52"/>
    <n v="130"/>
    <n v="144"/>
    <n v="78"/>
    <n v="5"/>
  </r>
  <r>
    <x v="15"/>
    <x v="1"/>
    <x v="4"/>
    <n v="815"/>
    <n v="63"/>
    <n v="57"/>
    <n v="137"/>
    <n v="47"/>
    <n v="265"/>
    <n v="31"/>
    <n v="135"/>
    <n v="58"/>
    <n v="35"/>
    <n v="141"/>
    <n v="126"/>
    <n v="91"/>
    <n v="8"/>
  </r>
  <r>
    <x v="15"/>
    <x v="0"/>
    <x v="5"/>
    <n v="911"/>
    <n v="85"/>
    <n v="26"/>
    <n v="98"/>
    <n v="33"/>
    <n v="191"/>
    <n v="25"/>
    <n v="74"/>
    <n v="38"/>
    <n v="20"/>
    <n v="50"/>
    <n v="75"/>
    <n v="42"/>
    <n v="0"/>
  </r>
  <r>
    <x v="15"/>
    <x v="1"/>
    <x v="5"/>
    <n v="904"/>
    <n v="51"/>
    <n v="59"/>
    <n v="104"/>
    <n v="34"/>
    <n v="191"/>
    <n v="29"/>
    <n v="106"/>
    <n v="32"/>
    <n v="46"/>
    <n v="64"/>
    <n v="73"/>
    <n v="37"/>
    <n v="4"/>
  </r>
  <r>
    <x v="15"/>
    <x v="0"/>
    <x v="6"/>
    <n v="835"/>
    <n v="26"/>
    <n v="47"/>
    <n v="71"/>
    <n v="23"/>
    <n v="206"/>
    <n v="20"/>
    <n v="37"/>
    <n v="15"/>
    <n v="29"/>
    <n v="23"/>
    <n v="45"/>
    <n v="12"/>
    <n v="0"/>
  </r>
  <r>
    <x v="15"/>
    <x v="1"/>
    <x v="6"/>
    <n v="880"/>
    <n v="54"/>
    <n v="38"/>
    <n v="41"/>
    <n v="37"/>
    <n v="235"/>
    <n v="16"/>
    <n v="17"/>
    <n v="26"/>
    <n v="32"/>
    <n v="25"/>
    <n v="45"/>
    <n v="6"/>
    <n v="2"/>
  </r>
  <r>
    <x v="15"/>
    <x v="0"/>
    <x v="7"/>
    <n v="660"/>
    <n v="37"/>
    <n v="39"/>
    <n v="40"/>
    <n v="23"/>
    <n v="177"/>
    <n v="17"/>
    <n v="26"/>
    <n v="9"/>
    <n v="16"/>
    <n v="16"/>
    <n v="19"/>
    <n v="6"/>
    <n v="0"/>
  </r>
  <r>
    <x v="15"/>
    <x v="1"/>
    <x v="7"/>
    <n v="705"/>
    <n v="23"/>
    <n v="38"/>
    <n v="70"/>
    <n v="8"/>
    <n v="199"/>
    <n v="14"/>
    <n v="12"/>
    <n v="12"/>
    <n v="23"/>
    <n v="10"/>
    <n v="21"/>
    <n v="8"/>
    <n v="0"/>
  </r>
  <r>
    <x v="15"/>
    <x v="0"/>
    <x v="8"/>
    <n v="816"/>
    <n v="40"/>
    <n v="32"/>
    <n v="35"/>
    <n v="36"/>
    <n v="173"/>
    <n v="21"/>
    <n v="10"/>
    <n v="6"/>
    <n v="28"/>
    <n v="18"/>
    <n v="21"/>
    <n v="3"/>
    <n v="0"/>
  </r>
  <r>
    <x v="15"/>
    <x v="1"/>
    <x v="8"/>
    <n v="771"/>
    <n v="52"/>
    <n v="35"/>
    <n v="58"/>
    <n v="9"/>
    <n v="186"/>
    <n v="17"/>
    <n v="18"/>
    <n v="12"/>
    <n v="29"/>
    <n v="13"/>
    <n v="15"/>
    <n v="4"/>
    <n v="0"/>
  </r>
  <r>
    <x v="15"/>
    <x v="0"/>
    <x v="9"/>
    <n v="930"/>
    <n v="59"/>
    <n v="71"/>
    <n v="33"/>
    <n v="60"/>
    <n v="258"/>
    <n v="24"/>
    <n v="28"/>
    <n v="20"/>
    <n v="31"/>
    <n v="14"/>
    <n v="27"/>
    <n v="3"/>
    <n v="0"/>
  </r>
  <r>
    <x v="15"/>
    <x v="1"/>
    <x v="9"/>
    <n v="1097"/>
    <n v="75"/>
    <n v="80"/>
    <n v="119"/>
    <n v="16"/>
    <n v="291"/>
    <n v="57"/>
    <n v="25"/>
    <n v="21"/>
    <n v="37"/>
    <n v="42"/>
    <n v="52"/>
    <n v="11"/>
    <n v="0"/>
  </r>
  <r>
    <x v="15"/>
    <x v="0"/>
    <x v="10"/>
    <n v="889"/>
    <n v="72"/>
    <n v="53"/>
    <n v="66"/>
    <n v="69"/>
    <n v="290"/>
    <n v="37"/>
    <n v="56"/>
    <n v="17"/>
    <n v="43"/>
    <n v="23"/>
    <n v="35"/>
    <n v="17"/>
    <n v="2"/>
  </r>
  <r>
    <x v="15"/>
    <x v="1"/>
    <x v="10"/>
    <n v="861"/>
    <n v="43"/>
    <n v="31"/>
    <n v="65"/>
    <n v="35"/>
    <n v="194"/>
    <n v="24"/>
    <n v="39"/>
    <n v="8"/>
    <n v="25"/>
    <n v="27"/>
    <n v="28"/>
    <n v="5"/>
    <n v="0"/>
  </r>
  <r>
    <x v="15"/>
    <x v="0"/>
    <x v="11"/>
    <n v="867"/>
    <n v="58"/>
    <n v="23"/>
    <n v="143"/>
    <n v="30"/>
    <n v="215"/>
    <n v="25"/>
    <n v="86"/>
    <n v="29"/>
    <n v="30"/>
    <n v="28"/>
    <n v="53"/>
    <n v="10"/>
    <n v="1"/>
  </r>
  <r>
    <x v="15"/>
    <x v="1"/>
    <x v="11"/>
    <n v="886"/>
    <n v="73"/>
    <n v="34"/>
    <n v="140"/>
    <n v="26"/>
    <n v="236"/>
    <n v="19"/>
    <n v="57"/>
    <n v="28"/>
    <n v="39"/>
    <n v="46"/>
    <n v="43"/>
    <n v="10"/>
    <n v="0"/>
  </r>
  <r>
    <x v="16"/>
    <x v="0"/>
    <x v="0"/>
    <n v="1058"/>
    <n v="41"/>
    <n v="24"/>
    <n v="133"/>
    <n v="12"/>
    <n v="174"/>
    <n v="15"/>
    <n v="113"/>
    <n v="30"/>
    <n v="15"/>
    <n v="41"/>
    <n v="41"/>
    <n v="21"/>
    <n v="1"/>
  </r>
  <r>
    <x v="16"/>
    <x v="1"/>
    <x v="0"/>
    <n v="1168"/>
    <n v="45"/>
    <n v="12"/>
    <n v="122"/>
    <n v="8"/>
    <n v="201"/>
    <n v="17"/>
    <n v="102"/>
    <n v="40"/>
    <n v="12"/>
    <n v="44"/>
    <n v="33"/>
    <n v="24"/>
    <n v="2"/>
  </r>
  <r>
    <x v="16"/>
    <x v="0"/>
    <x v="1"/>
    <n v="987"/>
    <n v="38"/>
    <n v="18"/>
    <n v="78"/>
    <n v="24"/>
    <n v="173"/>
    <n v="9"/>
    <n v="100"/>
    <n v="25"/>
    <n v="16"/>
    <n v="39"/>
    <n v="32"/>
    <n v="5"/>
    <n v="2"/>
  </r>
  <r>
    <x v="16"/>
    <x v="1"/>
    <x v="1"/>
    <n v="1243"/>
    <n v="43"/>
    <n v="16"/>
    <n v="57"/>
    <n v="59"/>
    <n v="235"/>
    <n v="9"/>
    <n v="107"/>
    <n v="24"/>
    <n v="19"/>
    <n v="55"/>
    <n v="44"/>
    <n v="20"/>
    <n v="4"/>
  </r>
  <r>
    <x v="16"/>
    <x v="0"/>
    <x v="2"/>
    <n v="1328"/>
    <n v="41"/>
    <n v="45"/>
    <n v="178"/>
    <n v="18"/>
    <n v="203"/>
    <n v="24"/>
    <n v="155"/>
    <n v="36"/>
    <n v="25"/>
    <n v="113"/>
    <n v="83"/>
    <n v="88"/>
    <n v="14"/>
  </r>
  <r>
    <x v="16"/>
    <x v="1"/>
    <x v="2"/>
    <n v="1387"/>
    <n v="80"/>
    <n v="53"/>
    <n v="220"/>
    <n v="19"/>
    <n v="242"/>
    <n v="45"/>
    <n v="224"/>
    <n v="49"/>
    <n v="40"/>
    <n v="203"/>
    <n v="121"/>
    <n v="144"/>
    <n v="18"/>
  </r>
  <r>
    <x v="16"/>
    <x v="0"/>
    <x v="3"/>
    <n v="1210"/>
    <n v="78"/>
    <n v="77"/>
    <n v="227"/>
    <n v="18"/>
    <n v="300"/>
    <n v="65"/>
    <n v="479"/>
    <n v="132"/>
    <n v="69"/>
    <n v="346"/>
    <n v="249"/>
    <n v="220"/>
    <n v="10"/>
  </r>
  <r>
    <x v="16"/>
    <x v="1"/>
    <x v="3"/>
    <n v="1628"/>
    <n v="79"/>
    <n v="47"/>
    <n v="188"/>
    <n v="32"/>
    <n v="290"/>
    <n v="60"/>
    <n v="432"/>
    <n v="127"/>
    <n v="43"/>
    <n v="268"/>
    <n v="205"/>
    <n v="165"/>
    <n v="10"/>
  </r>
  <r>
    <x v="16"/>
    <x v="0"/>
    <x v="4"/>
    <n v="1053"/>
    <n v="104"/>
    <n v="33"/>
    <n v="180"/>
    <n v="32"/>
    <n v="240"/>
    <n v="35"/>
    <n v="323"/>
    <n v="100"/>
    <n v="54"/>
    <n v="201"/>
    <n v="173"/>
    <n v="85"/>
    <n v="2"/>
  </r>
  <r>
    <x v="16"/>
    <x v="1"/>
    <x v="4"/>
    <n v="1274"/>
    <n v="114"/>
    <n v="77"/>
    <n v="238"/>
    <n v="29"/>
    <n v="302"/>
    <n v="61"/>
    <n v="308"/>
    <n v="105"/>
    <n v="42"/>
    <n v="197"/>
    <n v="149"/>
    <n v="94"/>
    <n v="5"/>
  </r>
  <r>
    <x v="16"/>
    <x v="0"/>
    <x v="5"/>
    <n v="1202"/>
    <n v="101"/>
    <n v="47"/>
    <n v="134"/>
    <n v="38"/>
    <n v="311"/>
    <n v="25"/>
    <n v="135"/>
    <n v="56"/>
    <n v="47"/>
    <n v="95"/>
    <n v="131"/>
    <n v="59"/>
    <n v="0"/>
  </r>
  <r>
    <x v="16"/>
    <x v="1"/>
    <x v="5"/>
    <n v="1403"/>
    <n v="90"/>
    <n v="59"/>
    <n v="149"/>
    <n v="34"/>
    <n v="338"/>
    <n v="41"/>
    <n v="161"/>
    <n v="83"/>
    <n v="49"/>
    <n v="137"/>
    <n v="134"/>
    <n v="68"/>
    <n v="5"/>
  </r>
  <r>
    <x v="16"/>
    <x v="0"/>
    <x v="6"/>
    <n v="1455"/>
    <n v="133"/>
    <n v="69"/>
    <n v="142"/>
    <n v="41"/>
    <n v="374"/>
    <n v="37"/>
    <n v="90"/>
    <n v="39"/>
    <n v="45"/>
    <n v="91"/>
    <n v="75"/>
    <n v="26"/>
    <n v="0"/>
  </r>
  <r>
    <x v="16"/>
    <x v="1"/>
    <x v="6"/>
    <n v="1343"/>
    <n v="63"/>
    <n v="23"/>
    <n v="60"/>
    <n v="54"/>
    <n v="337"/>
    <n v="4"/>
    <n v="42"/>
    <n v="27"/>
    <n v="34"/>
    <n v="49"/>
    <n v="52"/>
    <n v="23"/>
    <n v="0"/>
  </r>
  <r>
    <x v="16"/>
    <x v="0"/>
    <x v="7"/>
    <n v="974"/>
    <n v="75"/>
    <n v="64"/>
    <n v="62"/>
    <n v="29"/>
    <n v="271"/>
    <n v="22"/>
    <n v="32"/>
    <n v="13"/>
    <n v="27"/>
    <n v="28"/>
    <n v="37"/>
    <n v="13"/>
    <n v="0"/>
  </r>
  <r>
    <x v="16"/>
    <x v="1"/>
    <x v="7"/>
    <n v="1104"/>
    <n v="80"/>
    <n v="47"/>
    <n v="68"/>
    <n v="13"/>
    <n v="278"/>
    <n v="17"/>
    <n v="25"/>
    <n v="26"/>
    <n v="22"/>
    <n v="36"/>
    <n v="26"/>
    <n v="6"/>
    <n v="5"/>
  </r>
  <r>
    <x v="16"/>
    <x v="0"/>
    <x v="8"/>
    <n v="1106"/>
    <n v="60"/>
    <n v="54"/>
    <n v="34"/>
    <n v="38"/>
    <n v="308"/>
    <n v="39"/>
    <n v="26"/>
    <n v="19"/>
    <n v="54"/>
    <n v="30"/>
    <n v="22"/>
    <n v="8"/>
    <n v="0"/>
  </r>
  <r>
    <x v="16"/>
    <x v="1"/>
    <x v="8"/>
    <n v="1263"/>
    <n v="52"/>
    <n v="42"/>
    <n v="87"/>
    <n v="4"/>
    <n v="308"/>
    <n v="14"/>
    <n v="24"/>
    <n v="11"/>
    <n v="27"/>
    <n v="9"/>
    <n v="24"/>
    <n v="6"/>
    <n v="1"/>
  </r>
  <r>
    <x v="16"/>
    <x v="0"/>
    <x v="9"/>
    <n v="1365"/>
    <n v="112"/>
    <n v="86"/>
    <n v="67"/>
    <n v="95"/>
    <n v="443"/>
    <n v="48"/>
    <n v="42"/>
    <n v="37"/>
    <n v="58"/>
    <n v="34"/>
    <n v="61"/>
    <n v="18"/>
    <n v="1"/>
  </r>
  <r>
    <x v="16"/>
    <x v="1"/>
    <x v="9"/>
    <n v="1774"/>
    <n v="124"/>
    <n v="110"/>
    <n v="203"/>
    <n v="24"/>
    <n v="460"/>
    <n v="58"/>
    <n v="72"/>
    <n v="39"/>
    <n v="70"/>
    <n v="59"/>
    <n v="59"/>
    <n v="15"/>
    <n v="0"/>
  </r>
  <r>
    <x v="16"/>
    <x v="0"/>
    <x v="10"/>
    <n v="1315"/>
    <n v="108"/>
    <n v="67"/>
    <n v="126"/>
    <n v="79"/>
    <n v="413"/>
    <n v="55"/>
    <n v="97"/>
    <n v="32"/>
    <n v="45"/>
    <n v="54"/>
    <n v="54"/>
    <n v="17"/>
    <n v="0"/>
  </r>
  <r>
    <x v="16"/>
    <x v="1"/>
    <x v="10"/>
    <n v="1510"/>
    <n v="98"/>
    <n v="56"/>
    <n v="113"/>
    <n v="69"/>
    <n v="350"/>
    <n v="29"/>
    <n v="93"/>
    <n v="38"/>
    <n v="41"/>
    <n v="36"/>
    <n v="41"/>
    <n v="12"/>
    <n v="2"/>
  </r>
  <r>
    <x v="16"/>
    <x v="0"/>
    <x v="11"/>
    <n v="1364"/>
    <n v="75"/>
    <n v="67"/>
    <n v="178"/>
    <n v="24"/>
    <n v="309"/>
    <n v="38"/>
    <n v="137"/>
    <n v="50"/>
    <n v="41"/>
    <n v="63"/>
    <n v="79"/>
    <n v="27"/>
    <n v="4"/>
  </r>
  <r>
    <x v="16"/>
    <x v="1"/>
    <x v="11"/>
    <n v="1535"/>
    <n v="77"/>
    <n v="57"/>
    <n v="192"/>
    <n v="30"/>
    <n v="331"/>
    <n v="44"/>
    <n v="129"/>
    <n v="42"/>
    <n v="37"/>
    <n v="59"/>
    <n v="81"/>
    <n v="22"/>
    <n v="3"/>
  </r>
  <r>
    <x v="17"/>
    <x v="0"/>
    <x v="0"/>
    <n v="748"/>
    <n v="31"/>
    <n v="28"/>
    <n v="169"/>
    <n v="13"/>
    <n v="146"/>
    <n v="16"/>
    <n v="70"/>
    <n v="15"/>
    <n v="22"/>
    <n v="30"/>
    <n v="30"/>
    <n v="15"/>
    <n v="6"/>
  </r>
  <r>
    <x v="17"/>
    <x v="1"/>
    <x v="0"/>
    <n v="829"/>
    <n v="16"/>
    <n v="41"/>
    <n v="130"/>
    <n v="8"/>
    <n v="157"/>
    <n v="17"/>
    <n v="66"/>
    <n v="18"/>
    <n v="28"/>
    <n v="25"/>
    <n v="35"/>
    <n v="11"/>
    <n v="2"/>
  </r>
  <r>
    <x v="17"/>
    <x v="0"/>
    <x v="1"/>
    <n v="750"/>
    <n v="45"/>
    <n v="29"/>
    <n v="100"/>
    <n v="30"/>
    <n v="131"/>
    <n v="13"/>
    <n v="58"/>
    <n v="19"/>
    <n v="20"/>
    <n v="36"/>
    <n v="40"/>
    <n v="13"/>
    <n v="11"/>
  </r>
  <r>
    <x v="17"/>
    <x v="1"/>
    <x v="1"/>
    <n v="950"/>
    <n v="19"/>
    <n v="11"/>
    <n v="47"/>
    <n v="71"/>
    <n v="199"/>
    <n v="11"/>
    <n v="78"/>
    <n v="18"/>
    <n v="14"/>
    <n v="42"/>
    <n v="7"/>
    <n v="11"/>
    <n v="2"/>
  </r>
  <r>
    <x v="17"/>
    <x v="0"/>
    <x v="2"/>
    <n v="950"/>
    <n v="55"/>
    <n v="62"/>
    <n v="204"/>
    <n v="24"/>
    <n v="184"/>
    <n v="33"/>
    <n v="129"/>
    <n v="29"/>
    <n v="36"/>
    <n v="162"/>
    <n v="99"/>
    <n v="87"/>
    <n v="12"/>
  </r>
  <r>
    <x v="17"/>
    <x v="1"/>
    <x v="2"/>
    <n v="1061"/>
    <n v="47"/>
    <n v="46"/>
    <n v="194"/>
    <n v="28"/>
    <n v="190"/>
    <n v="48"/>
    <n v="152"/>
    <n v="58"/>
    <n v="28"/>
    <n v="258"/>
    <n v="127"/>
    <n v="175"/>
    <n v="5"/>
  </r>
  <r>
    <x v="17"/>
    <x v="0"/>
    <x v="3"/>
    <n v="959"/>
    <n v="65"/>
    <n v="58"/>
    <n v="285"/>
    <n v="62"/>
    <n v="236"/>
    <n v="87"/>
    <n v="367"/>
    <n v="130"/>
    <n v="86"/>
    <n v="407"/>
    <n v="280"/>
    <n v="287"/>
    <n v="15"/>
  </r>
  <r>
    <x v="17"/>
    <x v="1"/>
    <x v="3"/>
    <n v="1095"/>
    <n v="51"/>
    <n v="29"/>
    <n v="238"/>
    <n v="72"/>
    <n v="251"/>
    <n v="75"/>
    <n v="380"/>
    <n v="114"/>
    <n v="55"/>
    <n v="374"/>
    <n v="250"/>
    <n v="220"/>
    <n v="1"/>
  </r>
  <r>
    <x v="17"/>
    <x v="0"/>
    <x v="4"/>
    <n v="750"/>
    <n v="49"/>
    <n v="69"/>
    <n v="155"/>
    <n v="68"/>
    <n v="243"/>
    <n v="61"/>
    <n v="207"/>
    <n v="78"/>
    <n v="45"/>
    <n v="207"/>
    <n v="174"/>
    <n v="129"/>
    <n v="5"/>
  </r>
  <r>
    <x v="17"/>
    <x v="1"/>
    <x v="4"/>
    <n v="890"/>
    <n v="72"/>
    <n v="45"/>
    <n v="170"/>
    <n v="107"/>
    <n v="308"/>
    <n v="55"/>
    <n v="192"/>
    <n v="96"/>
    <n v="49"/>
    <n v="242"/>
    <n v="193"/>
    <n v="154"/>
    <n v="1"/>
  </r>
  <r>
    <x v="17"/>
    <x v="0"/>
    <x v="5"/>
    <n v="889"/>
    <n v="66"/>
    <n v="54"/>
    <n v="138"/>
    <n v="114"/>
    <n v="295"/>
    <n v="28"/>
    <n v="77"/>
    <n v="59"/>
    <n v="34"/>
    <n v="140"/>
    <n v="117"/>
    <n v="85"/>
    <n v="4"/>
  </r>
  <r>
    <x v="17"/>
    <x v="1"/>
    <x v="5"/>
    <n v="1038"/>
    <n v="68"/>
    <n v="67"/>
    <n v="126"/>
    <n v="86"/>
    <n v="294"/>
    <n v="43"/>
    <n v="99"/>
    <n v="83"/>
    <n v="40"/>
    <n v="138"/>
    <n v="111"/>
    <n v="73"/>
    <n v="7"/>
  </r>
  <r>
    <x v="17"/>
    <x v="0"/>
    <x v="6"/>
    <n v="780"/>
    <n v="66"/>
    <n v="43"/>
    <n v="87"/>
    <n v="55"/>
    <n v="311"/>
    <n v="22"/>
    <n v="58"/>
    <n v="49"/>
    <n v="39"/>
    <n v="68"/>
    <n v="53"/>
    <n v="28"/>
    <n v="0"/>
  </r>
  <r>
    <x v="17"/>
    <x v="1"/>
    <x v="6"/>
    <n v="1134"/>
    <n v="63"/>
    <n v="92"/>
    <n v="169"/>
    <n v="78"/>
    <n v="426"/>
    <n v="59"/>
    <n v="88"/>
    <n v="88"/>
    <n v="86"/>
    <n v="153"/>
    <n v="142"/>
    <n v="83"/>
    <n v="7"/>
  </r>
  <r>
    <x v="17"/>
    <x v="0"/>
    <x v="7"/>
    <n v="619"/>
    <n v="32"/>
    <n v="48"/>
    <n v="48"/>
    <n v="30"/>
    <n v="257"/>
    <n v="29"/>
    <n v="12"/>
    <n v="15"/>
    <n v="20"/>
    <n v="9"/>
    <n v="10"/>
    <n v="7"/>
    <n v="4"/>
  </r>
  <r>
    <x v="17"/>
    <x v="1"/>
    <x v="7"/>
    <n v="819"/>
    <n v="25"/>
    <n v="34"/>
    <n v="66"/>
    <n v="20"/>
    <n v="324"/>
    <n v="11"/>
    <n v="15"/>
    <n v="12"/>
    <n v="25"/>
    <n v="6"/>
    <n v="25"/>
    <n v="12"/>
    <n v="2"/>
  </r>
  <r>
    <x v="17"/>
    <x v="0"/>
    <x v="8"/>
    <n v="846"/>
    <n v="39"/>
    <n v="59"/>
    <n v="36"/>
    <n v="48"/>
    <n v="315"/>
    <n v="29"/>
    <n v="9"/>
    <n v="5"/>
    <n v="34"/>
    <n v="17"/>
    <n v="23"/>
    <n v="10"/>
    <n v="0"/>
  </r>
  <r>
    <x v="17"/>
    <x v="1"/>
    <x v="8"/>
    <n v="866"/>
    <n v="46"/>
    <n v="60"/>
    <n v="87"/>
    <n v="12"/>
    <n v="242"/>
    <n v="35"/>
    <n v="18"/>
    <n v="27"/>
    <n v="38"/>
    <n v="16"/>
    <n v="16"/>
    <n v="9"/>
    <n v="2"/>
  </r>
  <r>
    <x v="17"/>
    <x v="0"/>
    <x v="9"/>
    <n v="1060"/>
    <n v="57"/>
    <n v="107"/>
    <n v="71"/>
    <n v="117"/>
    <n v="406"/>
    <n v="40"/>
    <n v="42"/>
    <n v="37"/>
    <n v="40"/>
    <n v="34"/>
    <n v="21"/>
    <n v="17"/>
    <n v="2"/>
  </r>
  <r>
    <x v="17"/>
    <x v="1"/>
    <x v="9"/>
    <n v="1324"/>
    <n v="94"/>
    <n v="101"/>
    <n v="161"/>
    <n v="51"/>
    <n v="366"/>
    <n v="75"/>
    <n v="63"/>
    <n v="68"/>
    <n v="76"/>
    <n v="62"/>
    <n v="54"/>
    <n v="18"/>
    <n v="0"/>
  </r>
  <r>
    <x v="17"/>
    <x v="0"/>
    <x v="10"/>
    <n v="909"/>
    <n v="76"/>
    <n v="61"/>
    <n v="131"/>
    <n v="65"/>
    <n v="296"/>
    <n v="46"/>
    <n v="54"/>
    <n v="33"/>
    <n v="31"/>
    <n v="52"/>
    <n v="37"/>
    <n v="16"/>
    <n v="0"/>
  </r>
  <r>
    <x v="17"/>
    <x v="1"/>
    <x v="10"/>
    <n v="1034"/>
    <n v="55"/>
    <n v="46"/>
    <n v="79"/>
    <n v="86"/>
    <n v="302"/>
    <n v="27"/>
    <n v="72"/>
    <n v="42"/>
    <n v="34"/>
    <n v="27"/>
    <n v="35"/>
    <n v="12"/>
    <n v="0"/>
  </r>
  <r>
    <x v="17"/>
    <x v="0"/>
    <x v="11"/>
    <n v="990"/>
    <n v="52"/>
    <n v="40"/>
    <n v="217"/>
    <n v="46"/>
    <n v="258"/>
    <n v="37"/>
    <n v="110"/>
    <n v="45"/>
    <n v="47"/>
    <n v="68"/>
    <n v="56"/>
    <n v="31"/>
    <n v="1"/>
  </r>
  <r>
    <x v="17"/>
    <x v="1"/>
    <x v="11"/>
    <n v="1062"/>
    <n v="40"/>
    <n v="55"/>
    <n v="203"/>
    <n v="66"/>
    <n v="295"/>
    <n v="39"/>
    <n v="113"/>
    <n v="40"/>
    <n v="42"/>
    <n v="43"/>
    <n v="57"/>
    <n v="22"/>
    <n v="0"/>
  </r>
  <r>
    <x v="18"/>
    <x v="0"/>
    <x v="0"/>
    <n v="1107"/>
    <n v="27"/>
    <n v="13"/>
    <n v="166"/>
    <n v="16"/>
    <n v="173"/>
    <n v="16"/>
    <n v="92"/>
    <n v="26"/>
    <n v="17"/>
    <n v="33"/>
    <n v="27"/>
    <n v="7"/>
    <n v="5"/>
  </r>
  <r>
    <x v="18"/>
    <x v="1"/>
    <x v="0"/>
    <n v="1273"/>
    <n v="50"/>
    <n v="20"/>
    <n v="164"/>
    <n v="10"/>
    <n v="157"/>
    <n v="27"/>
    <n v="87"/>
    <n v="28"/>
    <n v="15"/>
    <n v="41"/>
    <n v="33"/>
    <n v="26"/>
    <n v="2"/>
  </r>
  <r>
    <x v="18"/>
    <x v="0"/>
    <x v="1"/>
    <n v="1136"/>
    <n v="26"/>
    <n v="14"/>
    <n v="102"/>
    <n v="15"/>
    <n v="176"/>
    <n v="12"/>
    <n v="49"/>
    <n v="16"/>
    <n v="15"/>
    <n v="42"/>
    <n v="28"/>
    <n v="25"/>
    <n v="13"/>
  </r>
  <r>
    <x v="18"/>
    <x v="1"/>
    <x v="1"/>
    <n v="1363"/>
    <n v="34"/>
    <n v="14"/>
    <n v="67"/>
    <n v="53"/>
    <n v="222"/>
    <n v="9"/>
    <n v="96"/>
    <n v="29"/>
    <n v="16"/>
    <n v="42"/>
    <n v="24"/>
    <n v="12"/>
    <n v="2"/>
  </r>
  <r>
    <x v="18"/>
    <x v="0"/>
    <x v="2"/>
    <n v="1407"/>
    <n v="45"/>
    <n v="52"/>
    <n v="256"/>
    <n v="20"/>
    <n v="233"/>
    <n v="23"/>
    <n v="124"/>
    <n v="27"/>
    <n v="23"/>
    <n v="165"/>
    <n v="103"/>
    <n v="110"/>
    <n v="9"/>
  </r>
  <r>
    <x v="18"/>
    <x v="1"/>
    <x v="2"/>
    <n v="1578"/>
    <n v="49"/>
    <n v="52"/>
    <n v="264"/>
    <n v="26"/>
    <n v="235"/>
    <n v="49"/>
    <n v="164"/>
    <n v="54"/>
    <n v="25"/>
    <n v="299"/>
    <n v="159"/>
    <n v="160"/>
    <n v="9"/>
  </r>
  <r>
    <x v="18"/>
    <x v="0"/>
    <x v="3"/>
    <n v="1396"/>
    <n v="89"/>
    <n v="72"/>
    <n v="352"/>
    <n v="40"/>
    <n v="287"/>
    <n v="88"/>
    <n v="560"/>
    <n v="176"/>
    <n v="69"/>
    <n v="512"/>
    <n v="264"/>
    <n v="329"/>
    <n v="24"/>
  </r>
  <r>
    <x v="18"/>
    <x v="1"/>
    <x v="3"/>
    <n v="1875"/>
    <n v="75"/>
    <n v="63"/>
    <n v="247"/>
    <n v="62"/>
    <n v="439"/>
    <n v="67"/>
    <n v="441"/>
    <n v="143"/>
    <n v="57"/>
    <n v="373"/>
    <n v="189"/>
    <n v="244"/>
    <n v="15"/>
  </r>
  <r>
    <x v="18"/>
    <x v="0"/>
    <x v="4"/>
    <n v="1164"/>
    <n v="59"/>
    <n v="36"/>
    <n v="225"/>
    <n v="45"/>
    <n v="273"/>
    <n v="64"/>
    <n v="158"/>
    <n v="75"/>
    <n v="27"/>
    <n v="250"/>
    <n v="131"/>
    <n v="125"/>
    <n v="4"/>
  </r>
  <r>
    <x v="18"/>
    <x v="1"/>
    <x v="4"/>
    <n v="1513"/>
    <n v="69"/>
    <n v="49"/>
    <n v="286"/>
    <n v="48"/>
    <n v="324"/>
    <n v="64"/>
    <n v="275"/>
    <n v="128"/>
    <n v="26"/>
    <n v="337"/>
    <n v="205"/>
    <n v="175"/>
    <n v="13"/>
  </r>
  <r>
    <x v="18"/>
    <x v="0"/>
    <x v="5"/>
    <n v="1453"/>
    <n v="65"/>
    <n v="36"/>
    <n v="190"/>
    <n v="47"/>
    <n v="307"/>
    <n v="36"/>
    <n v="102"/>
    <n v="42"/>
    <n v="36"/>
    <n v="129"/>
    <n v="111"/>
    <n v="59"/>
    <n v="0"/>
  </r>
  <r>
    <x v="18"/>
    <x v="1"/>
    <x v="5"/>
    <n v="1682"/>
    <n v="71"/>
    <n v="68"/>
    <n v="267"/>
    <n v="41"/>
    <n v="410"/>
    <n v="67"/>
    <n v="120"/>
    <n v="100"/>
    <n v="58"/>
    <n v="145"/>
    <n v="108"/>
    <n v="62"/>
    <n v="2"/>
  </r>
  <r>
    <x v="18"/>
    <x v="0"/>
    <x v="6"/>
    <n v="1244"/>
    <n v="69"/>
    <n v="51"/>
    <n v="98"/>
    <n v="35"/>
    <n v="3472"/>
    <n v="43"/>
    <n v="46"/>
    <n v="26"/>
    <n v="35"/>
    <n v="62"/>
    <n v="49"/>
    <n v="39"/>
    <n v="0"/>
  </r>
  <r>
    <x v="18"/>
    <x v="1"/>
    <x v="6"/>
    <n v="1685"/>
    <n v="61"/>
    <n v="46"/>
    <n v="105"/>
    <n v="50"/>
    <n v="406"/>
    <n v="35"/>
    <n v="29"/>
    <n v="29"/>
    <n v="23"/>
    <n v="59"/>
    <n v="32"/>
    <n v="11"/>
    <n v="1"/>
  </r>
  <r>
    <x v="18"/>
    <x v="0"/>
    <x v="7"/>
    <n v="1227"/>
    <n v="47"/>
    <n v="60"/>
    <n v="77"/>
    <n v="22"/>
    <n v="308"/>
    <n v="31"/>
    <n v="17"/>
    <n v="10"/>
    <n v="23"/>
    <n v="20"/>
    <n v="19"/>
    <n v="2"/>
    <n v="0"/>
  </r>
  <r>
    <x v="18"/>
    <x v="1"/>
    <x v="7"/>
    <n v="1231"/>
    <n v="37"/>
    <n v="31"/>
    <n v="121"/>
    <n v="14"/>
    <n v="360"/>
    <n v="33"/>
    <n v="15"/>
    <n v="9"/>
    <n v="26"/>
    <n v="28"/>
    <n v="18"/>
    <n v="8"/>
    <n v="0"/>
  </r>
  <r>
    <x v="18"/>
    <x v="0"/>
    <x v="8"/>
    <n v="1396"/>
    <n v="47"/>
    <n v="45"/>
    <n v="49"/>
    <n v="46"/>
    <n v="395"/>
    <n v="44"/>
    <n v="20"/>
    <n v="10"/>
    <n v="45"/>
    <n v="25"/>
    <n v="16"/>
    <n v="7"/>
    <n v="0"/>
  </r>
  <r>
    <x v="18"/>
    <x v="1"/>
    <x v="8"/>
    <n v="1348"/>
    <n v="56"/>
    <n v="32"/>
    <n v="88"/>
    <n v="8"/>
    <n v="319"/>
    <n v="30"/>
    <n v="15"/>
    <n v="9"/>
    <n v="31"/>
    <n v="13"/>
    <n v="30"/>
    <n v="6"/>
    <n v="0"/>
  </r>
  <r>
    <x v="18"/>
    <x v="0"/>
    <x v="9"/>
    <n v="1641"/>
    <n v="76"/>
    <n v="76"/>
    <n v="88"/>
    <n v="74"/>
    <n v="405"/>
    <n v="74"/>
    <n v="47"/>
    <n v="42"/>
    <n v="48"/>
    <n v="35"/>
    <n v="44"/>
    <n v="17"/>
    <n v="6"/>
  </r>
  <r>
    <x v="18"/>
    <x v="1"/>
    <x v="9"/>
    <n v="2036"/>
    <n v="107"/>
    <n v="104"/>
    <n v="233"/>
    <n v="33"/>
    <n v="482"/>
    <n v="62"/>
    <n v="45"/>
    <n v="57"/>
    <n v="77"/>
    <n v="52"/>
    <n v="41"/>
    <n v="15"/>
    <n v="2"/>
  </r>
  <r>
    <x v="18"/>
    <x v="0"/>
    <x v="10"/>
    <n v="1391"/>
    <n v="66"/>
    <n v="48"/>
    <n v="159"/>
    <n v="57"/>
    <n v="367"/>
    <n v="36"/>
    <n v="48"/>
    <n v="42"/>
    <n v="35"/>
    <n v="38"/>
    <n v="38"/>
    <n v="10"/>
    <n v="0"/>
  </r>
  <r>
    <x v="18"/>
    <x v="1"/>
    <x v="10"/>
    <n v="1559"/>
    <n v="58"/>
    <n v="32"/>
    <n v="142"/>
    <n v="90"/>
    <n v="356"/>
    <n v="15"/>
    <n v="71"/>
    <n v="30"/>
    <n v="27"/>
    <n v="41"/>
    <n v="36"/>
    <n v="15"/>
    <n v="0"/>
  </r>
  <r>
    <x v="18"/>
    <x v="0"/>
    <x v="11"/>
    <n v="1467"/>
    <n v="97"/>
    <n v="43"/>
    <n v="236"/>
    <n v="47"/>
    <n v="315"/>
    <n v="38"/>
    <n v="103"/>
    <n v="59"/>
    <n v="38"/>
    <n v="76"/>
    <n v="46"/>
    <n v="27"/>
    <n v="0"/>
  </r>
  <r>
    <x v="18"/>
    <x v="1"/>
    <x v="11"/>
    <n v="1658"/>
    <n v="82"/>
    <n v="61"/>
    <n v="266"/>
    <n v="37"/>
    <n v="391"/>
    <n v="55"/>
    <n v="129"/>
    <n v="53"/>
    <n v="32"/>
    <n v="87"/>
    <n v="72"/>
    <n v="24"/>
    <n v="0"/>
  </r>
  <r>
    <x v="19"/>
    <x v="0"/>
    <x v="0"/>
    <n v="724"/>
    <n v="41"/>
    <n v="16"/>
    <n v="129"/>
    <n v="11"/>
    <n v="119"/>
    <n v="13"/>
    <n v="68"/>
    <n v="13"/>
    <n v="16"/>
    <n v="22"/>
    <n v="25"/>
    <n v="13"/>
    <n v="0"/>
  </r>
  <r>
    <x v="19"/>
    <x v="1"/>
    <x v="0"/>
    <n v="986"/>
    <n v="26"/>
    <n v="15"/>
    <n v="138"/>
    <n v="15"/>
    <n v="133"/>
    <n v="29"/>
    <n v="74"/>
    <n v="18"/>
    <n v="20"/>
    <n v="31"/>
    <n v="16"/>
    <n v="15"/>
    <n v="1"/>
  </r>
  <r>
    <x v="19"/>
    <x v="0"/>
    <x v="1"/>
    <n v="794"/>
    <n v="24"/>
    <n v="16"/>
    <n v="80"/>
    <n v="27"/>
    <n v="116"/>
    <n v="11"/>
    <n v="39"/>
    <n v="15"/>
    <n v="6"/>
    <n v="30"/>
    <n v="22"/>
    <n v="10"/>
    <n v="2"/>
  </r>
  <r>
    <x v="19"/>
    <x v="1"/>
    <x v="1"/>
    <n v="1014"/>
    <n v="24"/>
    <n v="12"/>
    <n v="68"/>
    <n v="36"/>
    <n v="146"/>
    <n v="11"/>
    <n v="74"/>
    <n v="27"/>
    <n v="5"/>
    <n v="30"/>
    <n v="11"/>
    <n v="12"/>
    <n v="0"/>
  </r>
  <r>
    <x v="19"/>
    <x v="0"/>
    <x v="2"/>
    <n v="960"/>
    <n v="33"/>
    <n v="34"/>
    <n v="156"/>
    <n v="13"/>
    <n v="144"/>
    <n v="29"/>
    <n v="94"/>
    <n v="34"/>
    <n v="37"/>
    <n v="116"/>
    <n v="52"/>
    <n v="88"/>
    <n v="3"/>
  </r>
  <r>
    <x v="19"/>
    <x v="1"/>
    <x v="2"/>
    <n v="1147"/>
    <n v="37"/>
    <n v="26"/>
    <n v="178"/>
    <n v="50"/>
    <n v="188"/>
    <n v="16"/>
    <n v="121"/>
    <n v="47"/>
    <n v="22"/>
    <n v="204"/>
    <n v="96"/>
    <n v="104"/>
    <n v="1"/>
  </r>
  <r>
    <x v="19"/>
    <x v="0"/>
    <x v="3"/>
    <n v="948"/>
    <n v="62"/>
    <n v="37"/>
    <n v="211"/>
    <n v="78"/>
    <n v="202"/>
    <n v="53"/>
    <n v="323"/>
    <n v="118"/>
    <n v="51"/>
    <n v="322"/>
    <n v="215"/>
    <n v="216"/>
    <n v="21"/>
  </r>
  <r>
    <x v="19"/>
    <x v="1"/>
    <x v="3"/>
    <n v="1305"/>
    <n v="51"/>
    <n v="55"/>
    <n v="213"/>
    <n v="55"/>
    <n v="223"/>
    <n v="91"/>
    <n v="304"/>
    <n v="130"/>
    <n v="69"/>
    <n v="305"/>
    <n v="168"/>
    <n v="170"/>
    <n v="36"/>
  </r>
  <r>
    <x v="19"/>
    <x v="0"/>
    <x v="4"/>
    <n v="791"/>
    <n v="60"/>
    <n v="36"/>
    <n v="129"/>
    <n v="53"/>
    <n v="186"/>
    <n v="48"/>
    <n v="170"/>
    <n v="84"/>
    <n v="42"/>
    <n v="187"/>
    <n v="139"/>
    <n v="111"/>
    <n v="4"/>
  </r>
  <r>
    <x v="19"/>
    <x v="1"/>
    <x v="4"/>
    <n v="1061"/>
    <n v="54"/>
    <n v="54"/>
    <n v="157"/>
    <n v="85"/>
    <n v="230"/>
    <n v="53"/>
    <n v="166"/>
    <n v="90"/>
    <n v="41"/>
    <n v="216"/>
    <n v="130"/>
    <n v="115"/>
    <n v="9"/>
  </r>
  <r>
    <x v="19"/>
    <x v="0"/>
    <x v="5"/>
    <n v="1007"/>
    <n v="40"/>
    <n v="44"/>
    <n v="151"/>
    <n v="58"/>
    <n v="243"/>
    <n v="37"/>
    <n v="80"/>
    <n v="56"/>
    <n v="32"/>
    <n v="91"/>
    <n v="109"/>
    <n v="42"/>
    <n v="0"/>
  </r>
  <r>
    <x v="19"/>
    <x v="1"/>
    <x v="5"/>
    <n v="1203"/>
    <n v="63"/>
    <n v="36"/>
    <n v="178"/>
    <n v="72"/>
    <n v="264"/>
    <n v="51"/>
    <n v="104"/>
    <n v="49"/>
    <n v="43"/>
    <n v="121"/>
    <n v="100"/>
    <n v="60"/>
    <n v="6"/>
  </r>
  <r>
    <x v="19"/>
    <x v="0"/>
    <x v="6"/>
    <n v="890"/>
    <n v="56"/>
    <n v="40"/>
    <n v="74"/>
    <n v="32"/>
    <n v="186"/>
    <n v="24"/>
    <n v="38"/>
    <n v="24"/>
    <n v="24"/>
    <n v="42"/>
    <n v="30"/>
    <n v="14"/>
    <n v="0"/>
  </r>
  <r>
    <x v="19"/>
    <x v="1"/>
    <x v="6"/>
    <n v="1066"/>
    <n v="33"/>
    <n v="40"/>
    <n v="80"/>
    <n v="51"/>
    <n v="281"/>
    <n v="24"/>
    <n v="39"/>
    <n v="23"/>
    <n v="29"/>
    <n v="46"/>
    <n v="21"/>
    <n v="15"/>
    <n v="1"/>
  </r>
  <r>
    <x v="19"/>
    <x v="0"/>
    <x v="7"/>
    <n v="736"/>
    <n v="30"/>
    <n v="29"/>
    <n v="52"/>
    <n v="15"/>
    <n v="241"/>
    <n v="23"/>
    <n v="12"/>
    <n v="12"/>
    <n v="15"/>
    <n v="8"/>
    <n v="14"/>
    <n v="5"/>
    <n v="2"/>
  </r>
  <r>
    <x v="19"/>
    <x v="1"/>
    <x v="7"/>
    <n v="958"/>
    <n v="44"/>
    <n v="38"/>
    <n v="50"/>
    <n v="3"/>
    <n v="239"/>
    <n v="19"/>
    <n v="14"/>
    <n v="14"/>
    <n v="24"/>
    <n v="14"/>
    <n v="19"/>
    <n v="9"/>
    <n v="0"/>
  </r>
  <r>
    <x v="19"/>
    <x v="0"/>
    <x v="8"/>
    <n v="912"/>
    <n v="40"/>
    <n v="29"/>
    <n v="36"/>
    <n v="62"/>
    <n v="273"/>
    <n v="28"/>
    <n v="7"/>
    <n v="6"/>
    <n v="45"/>
    <n v="15"/>
    <n v="8"/>
    <n v="4"/>
    <n v="1"/>
  </r>
  <r>
    <x v="19"/>
    <x v="1"/>
    <x v="8"/>
    <n v="1025"/>
    <n v="41"/>
    <n v="32"/>
    <n v="80"/>
    <n v="15"/>
    <n v="208"/>
    <n v="30"/>
    <n v="24"/>
    <n v="12"/>
    <n v="28"/>
    <n v="20"/>
    <n v="19"/>
    <n v="20"/>
    <n v="0"/>
  </r>
  <r>
    <x v="19"/>
    <x v="0"/>
    <x v="9"/>
    <n v="1117"/>
    <n v="95"/>
    <n v="64"/>
    <n v="77"/>
    <n v="74"/>
    <n v="321"/>
    <n v="49"/>
    <n v="45"/>
    <n v="28"/>
    <n v="41"/>
    <n v="34"/>
    <n v="42"/>
    <n v="11"/>
    <n v="0"/>
  </r>
  <r>
    <x v="19"/>
    <x v="1"/>
    <x v="9"/>
    <n v="1478"/>
    <n v="69"/>
    <n v="74"/>
    <n v="130"/>
    <n v="44"/>
    <n v="368"/>
    <n v="46"/>
    <n v="44"/>
    <n v="38"/>
    <n v="52"/>
    <n v="38"/>
    <n v="31"/>
    <n v="7"/>
    <n v="0"/>
  </r>
  <r>
    <x v="19"/>
    <x v="0"/>
    <x v="10"/>
    <n v="971"/>
    <n v="84"/>
    <n v="53"/>
    <n v="91"/>
    <n v="67"/>
    <n v="246"/>
    <n v="53"/>
    <n v="33"/>
    <n v="30"/>
    <n v="48"/>
    <n v="30"/>
    <n v="30"/>
    <n v="13"/>
    <n v="2"/>
  </r>
  <r>
    <x v="19"/>
    <x v="1"/>
    <x v="10"/>
    <n v="1264"/>
    <n v="50"/>
    <n v="48"/>
    <n v="92"/>
    <n v="38"/>
    <n v="213"/>
    <n v="41"/>
    <n v="46"/>
    <n v="25"/>
    <n v="30"/>
    <n v="35"/>
    <n v="23"/>
    <n v="11"/>
    <n v="0"/>
  </r>
  <r>
    <x v="19"/>
    <x v="0"/>
    <x v="11"/>
    <n v="1106"/>
    <n v="49"/>
    <n v="55"/>
    <n v="203"/>
    <n v="54"/>
    <n v="199"/>
    <n v="49"/>
    <n v="58"/>
    <n v="41"/>
    <n v="49"/>
    <n v="62"/>
    <n v="75"/>
    <n v="14"/>
    <n v="3"/>
  </r>
  <r>
    <x v="19"/>
    <x v="1"/>
    <x v="11"/>
    <n v="1276"/>
    <n v="59"/>
    <n v="72"/>
    <n v="189"/>
    <n v="36"/>
    <n v="224"/>
    <n v="43"/>
    <n v="70"/>
    <n v="31"/>
    <n v="27"/>
    <n v="58"/>
    <n v="27"/>
    <n v="21"/>
    <n v="0"/>
  </r>
  <r>
    <x v="20"/>
    <x v="0"/>
    <x v="0"/>
    <n v="308"/>
    <n v="15"/>
    <n v="10"/>
    <n v="64"/>
    <n v="9"/>
    <n v="67"/>
    <n v="3"/>
    <n v="25"/>
    <n v="5"/>
    <n v="3"/>
    <n v="21"/>
    <n v="9"/>
    <n v="6"/>
    <n v="0"/>
  </r>
  <r>
    <x v="20"/>
    <x v="1"/>
    <x v="0"/>
    <n v="333"/>
    <n v="9"/>
    <n v="5"/>
    <n v="39"/>
    <n v="6"/>
    <n v="46"/>
    <n v="8"/>
    <n v="19"/>
    <n v="13"/>
    <n v="7"/>
    <n v="19"/>
    <n v="7"/>
    <n v="4"/>
    <n v="0"/>
  </r>
  <r>
    <x v="20"/>
    <x v="0"/>
    <x v="1"/>
    <n v="331"/>
    <n v="3"/>
    <n v="1"/>
    <n v="28"/>
    <n v="9"/>
    <n v="50"/>
    <n v="2"/>
    <n v="14"/>
    <n v="6"/>
    <n v="4"/>
    <n v="23"/>
    <n v="18"/>
    <n v="7"/>
    <n v="0"/>
  </r>
  <r>
    <x v="20"/>
    <x v="1"/>
    <x v="1"/>
    <n v="346"/>
    <n v="3"/>
    <n v="4"/>
    <n v="26"/>
    <n v="17"/>
    <n v="47"/>
    <n v="4"/>
    <n v="22"/>
    <n v="7"/>
    <n v="13"/>
    <n v="16"/>
    <n v="10"/>
    <n v="2"/>
    <n v="0"/>
  </r>
  <r>
    <x v="20"/>
    <x v="0"/>
    <x v="2"/>
    <n v="426"/>
    <n v="4"/>
    <n v="20"/>
    <n v="81"/>
    <n v="7"/>
    <n v="92"/>
    <n v="15"/>
    <n v="48"/>
    <n v="18"/>
    <n v="14"/>
    <n v="77"/>
    <n v="38"/>
    <n v="42"/>
    <n v="4"/>
  </r>
  <r>
    <x v="20"/>
    <x v="1"/>
    <x v="2"/>
    <n v="477"/>
    <n v="5"/>
    <n v="43"/>
    <n v="69"/>
    <n v="12"/>
    <n v="117"/>
    <n v="5"/>
    <n v="39"/>
    <n v="16"/>
    <n v="15"/>
    <n v="88"/>
    <n v="30"/>
    <n v="71"/>
    <n v="2"/>
  </r>
  <r>
    <x v="20"/>
    <x v="0"/>
    <x v="3"/>
    <n v="434"/>
    <n v="18"/>
    <n v="30"/>
    <n v="107"/>
    <n v="16"/>
    <n v="93"/>
    <n v="25"/>
    <n v="120"/>
    <n v="45"/>
    <n v="36"/>
    <n v="149"/>
    <n v="65"/>
    <n v="85"/>
    <n v="5"/>
  </r>
  <r>
    <x v="20"/>
    <x v="1"/>
    <x v="3"/>
    <n v="500"/>
    <n v="21"/>
    <n v="29"/>
    <n v="73"/>
    <n v="27"/>
    <n v="107"/>
    <n v="25"/>
    <n v="126"/>
    <n v="46"/>
    <n v="18"/>
    <n v="107"/>
    <n v="69"/>
    <n v="51"/>
    <n v="13"/>
  </r>
  <r>
    <x v="20"/>
    <x v="0"/>
    <x v="4"/>
    <n v="384"/>
    <n v="16"/>
    <n v="20"/>
    <n v="71"/>
    <n v="12"/>
    <n v="92"/>
    <n v="3"/>
    <n v="55"/>
    <n v="20"/>
    <n v="11"/>
    <n v="93"/>
    <n v="53"/>
    <n v="34"/>
    <n v="0"/>
  </r>
  <r>
    <x v="20"/>
    <x v="1"/>
    <x v="4"/>
    <n v="433"/>
    <n v="17"/>
    <n v="36"/>
    <n v="82"/>
    <n v="24"/>
    <n v="101"/>
    <n v="27"/>
    <n v="99"/>
    <n v="38"/>
    <n v="17"/>
    <n v="128"/>
    <n v="53"/>
    <n v="68"/>
    <n v="0"/>
  </r>
  <r>
    <x v="20"/>
    <x v="0"/>
    <x v="5"/>
    <n v="437"/>
    <n v="17"/>
    <n v="22"/>
    <n v="50"/>
    <n v="21"/>
    <n v="101"/>
    <n v="3"/>
    <n v="28"/>
    <n v="23"/>
    <n v="9"/>
    <n v="44"/>
    <n v="24"/>
    <n v="30"/>
    <n v="0"/>
  </r>
  <r>
    <x v="20"/>
    <x v="1"/>
    <x v="5"/>
    <n v="497"/>
    <n v="13"/>
    <n v="36"/>
    <n v="77"/>
    <n v="7"/>
    <n v="124"/>
    <n v="16"/>
    <n v="35"/>
    <n v="21"/>
    <n v="19"/>
    <n v="48"/>
    <n v="35"/>
    <n v="30"/>
    <n v="10"/>
  </r>
  <r>
    <x v="20"/>
    <x v="0"/>
    <x v="6"/>
    <n v="387"/>
    <n v="5"/>
    <n v="5"/>
    <n v="38"/>
    <n v="11"/>
    <n v="129"/>
    <n v="5"/>
    <n v="11"/>
    <n v="12"/>
    <n v="15"/>
    <n v="19"/>
    <n v="7"/>
    <n v="6"/>
    <n v="0"/>
  </r>
  <r>
    <x v="20"/>
    <x v="1"/>
    <x v="6"/>
    <n v="490"/>
    <n v="7"/>
    <n v="12"/>
    <n v="36"/>
    <n v="11"/>
    <n v="114"/>
    <n v="10"/>
    <n v="9"/>
    <n v="9"/>
    <n v="6"/>
    <n v="17"/>
    <n v="9"/>
    <n v="9"/>
    <n v="0"/>
  </r>
  <r>
    <x v="20"/>
    <x v="0"/>
    <x v="7"/>
    <n v="304"/>
    <n v="11"/>
    <n v="15"/>
    <n v="25"/>
    <n v="11"/>
    <n v="80"/>
    <n v="3"/>
    <n v="3"/>
    <n v="2"/>
    <n v="6"/>
    <n v="10"/>
    <n v="3"/>
    <n v="1"/>
    <n v="0"/>
  </r>
  <r>
    <x v="20"/>
    <x v="1"/>
    <x v="7"/>
    <n v="320"/>
    <n v="3"/>
    <n v="3"/>
    <n v="23"/>
    <n v="7"/>
    <n v="110"/>
    <n v="10"/>
    <n v="5"/>
    <n v="8"/>
    <n v="8"/>
    <n v="7"/>
    <n v="5"/>
    <n v="4"/>
    <n v="0"/>
  </r>
  <r>
    <x v="20"/>
    <x v="0"/>
    <x v="8"/>
    <n v="404"/>
    <n v="7"/>
    <n v="9"/>
    <n v="17"/>
    <n v="30"/>
    <n v="129"/>
    <n v="16"/>
    <n v="23"/>
    <n v="3"/>
    <n v="16"/>
    <n v="11"/>
    <n v="6"/>
    <n v="3"/>
    <n v="0"/>
  </r>
  <r>
    <x v="20"/>
    <x v="1"/>
    <x v="8"/>
    <n v="375"/>
    <n v="11"/>
    <n v="12"/>
    <n v="72"/>
    <n v="10"/>
    <n v="90"/>
    <n v="11"/>
    <n v="10"/>
    <n v="14"/>
    <n v="5"/>
    <n v="10"/>
    <n v="6"/>
    <n v="4"/>
    <n v="0"/>
  </r>
  <r>
    <x v="20"/>
    <x v="0"/>
    <x v="9"/>
    <n v="438"/>
    <n v="13"/>
    <n v="37"/>
    <n v="31"/>
    <n v="41"/>
    <n v="156"/>
    <n v="23"/>
    <n v="11"/>
    <n v="11"/>
    <n v="18"/>
    <n v="17"/>
    <n v="14"/>
    <n v="3"/>
    <n v="2"/>
  </r>
  <r>
    <x v="20"/>
    <x v="1"/>
    <x v="9"/>
    <n v="495"/>
    <n v="43"/>
    <n v="17"/>
    <n v="60"/>
    <n v="19"/>
    <n v="147"/>
    <n v="17"/>
    <n v="18"/>
    <n v="21"/>
    <n v="23"/>
    <n v="29"/>
    <n v="16"/>
    <n v="4"/>
    <n v="0"/>
  </r>
  <r>
    <x v="20"/>
    <x v="0"/>
    <x v="10"/>
    <n v="396"/>
    <n v="16"/>
    <n v="18"/>
    <n v="51"/>
    <n v="40"/>
    <n v="122"/>
    <n v="12"/>
    <n v="13"/>
    <n v="11"/>
    <n v="15"/>
    <n v="8"/>
    <n v="13"/>
    <n v="7"/>
    <n v="0"/>
  </r>
  <r>
    <x v="20"/>
    <x v="1"/>
    <x v="10"/>
    <n v="437"/>
    <n v="10"/>
    <n v="13"/>
    <n v="29"/>
    <n v="27"/>
    <n v="97"/>
    <n v="25"/>
    <n v="9"/>
    <n v="5"/>
    <n v="16"/>
    <n v="14"/>
    <n v="7"/>
    <n v="4"/>
    <n v="0"/>
  </r>
  <r>
    <x v="20"/>
    <x v="0"/>
    <x v="11"/>
    <n v="427"/>
    <n v="11"/>
    <n v="19"/>
    <n v="62"/>
    <n v="16"/>
    <n v="134"/>
    <n v="14"/>
    <n v="31"/>
    <n v="16"/>
    <n v="13"/>
    <n v="17"/>
    <n v="9"/>
    <n v="6"/>
    <n v="0"/>
  </r>
  <r>
    <x v="20"/>
    <x v="1"/>
    <x v="11"/>
    <n v="421"/>
    <n v="10"/>
    <n v="18"/>
    <n v="70"/>
    <n v="15"/>
    <n v="116"/>
    <n v="17"/>
    <n v="21"/>
    <n v="11"/>
    <n v="17"/>
    <n v="25"/>
    <n v="18"/>
    <n v="5"/>
    <n v="0"/>
  </r>
  <r>
    <x v="21"/>
    <x v="0"/>
    <x v="0"/>
    <n v="324"/>
    <n v="12"/>
    <n v="4"/>
    <n v="47"/>
    <n v="4"/>
    <n v="65"/>
    <n v="5"/>
    <n v="61"/>
    <n v="10"/>
    <n v="4"/>
    <n v="20"/>
    <n v="28"/>
    <n v="8"/>
    <n v="0"/>
  </r>
  <r>
    <x v="21"/>
    <x v="1"/>
    <x v="0"/>
    <n v="365"/>
    <n v="14"/>
    <n v="6"/>
    <n v="48"/>
    <n v="2"/>
    <n v="60"/>
    <n v="3"/>
    <n v="59"/>
    <n v="15"/>
    <n v="10"/>
    <n v="21"/>
    <n v="20"/>
    <n v="10"/>
    <n v="4"/>
  </r>
  <r>
    <x v="21"/>
    <x v="0"/>
    <x v="1"/>
    <n v="335"/>
    <n v="9"/>
    <n v="8"/>
    <n v="29"/>
    <n v="6"/>
    <n v="60"/>
    <n v="5"/>
    <n v="33"/>
    <n v="7"/>
    <n v="19"/>
    <n v="25"/>
    <n v="20"/>
    <n v="10"/>
    <n v="8"/>
  </r>
  <r>
    <x v="21"/>
    <x v="1"/>
    <x v="1"/>
    <n v="388"/>
    <n v="11"/>
    <n v="15"/>
    <n v="30"/>
    <n v="11"/>
    <n v="59"/>
    <n v="8"/>
    <n v="38"/>
    <n v="8"/>
    <n v="13"/>
    <n v="20"/>
    <n v="15"/>
    <n v="13"/>
    <n v="2"/>
  </r>
  <r>
    <x v="21"/>
    <x v="0"/>
    <x v="2"/>
    <n v="454"/>
    <n v="38"/>
    <n v="22"/>
    <n v="84"/>
    <n v="3"/>
    <n v="88"/>
    <n v="22"/>
    <n v="84"/>
    <n v="22"/>
    <n v="13"/>
    <n v="74"/>
    <n v="60"/>
    <n v="61"/>
    <n v="4"/>
  </r>
  <r>
    <x v="21"/>
    <x v="1"/>
    <x v="2"/>
    <n v="456"/>
    <n v="30"/>
    <n v="14"/>
    <n v="78"/>
    <n v="2"/>
    <n v="83"/>
    <n v="18"/>
    <n v="93"/>
    <n v="25"/>
    <n v="16"/>
    <n v="141"/>
    <n v="110"/>
    <n v="101"/>
    <n v="7"/>
  </r>
  <r>
    <x v="21"/>
    <x v="0"/>
    <x v="3"/>
    <n v="424"/>
    <n v="57"/>
    <n v="29"/>
    <n v="94"/>
    <n v="23"/>
    <n v="126"/>
    <n v="36"/>
    <n v="234"/>
    <n v="67"/>
    <n v="31"/>
    <n v="147"/>
    <n v="161"/>
    <n v="144"/>
    <n v="0"/>
  </r>
  <r>
    <x v="21"/>
    <x v="1"/>
    <x v="3"/>
    <n v="488"/>
    <n v="59"/>
    <n v="21"/>
    <n v="102"/>
    <n v="12"/>
    <n v="163"/>
    <n v="39"/>
    <n v="225"/>
    <n v="82"/>
    <n v="21"/>
    <n v="119"/>
    <n v="141"/>
    <n v="132"/>
    <n v="3"/>
  </r>
  <r>
    <x v="21"/>
    <x v="0"/>
    <x v="4"/>
    <n v="375"/>
    <n v="17"/>
    <n v="14"/>
    <n v="72"/>
    <n v="28"/>
    <n v="111"/>
    <n v="16"/>
    <n v="106"/>
    <n v="56"/>
    <n v="19"/>
    <n v="108"/>
    <n v="119"/>
    <n v="82"/>
    <n v="4"/>
  </r>
  <r>
    <x v="21"/>
    <x v="1"/>
    <x v="4"/>
    <n v="404"/>
    <n v="37"/>
    <n v="20"/>
    <n v="113"/>
    <n v="15"/>
    <n v="139"/>
    <n v="27"/>
    <n v="105"/>
    <n v="48"/>
    <n v="13"/>
    <n v="90"/>
    <n v="110"/>
    <n v="54"/>
    <n v="0"/>
  </r>
  <r>
    <x v="21"/>
    <x v="0"/>
    <x v="5"/>
    <n v="479"/>
    <n v="31"/>
    <n v="31"/>
    <n v="50"/>
    <n v="20"/>
    <n v="136"/>
    <n v="18"/>
    <n v="55"/>
    <n v="33"/>
    <n v="19"/>
    <n v="42"/>
    <n v="61"/>
    <n v="46"/>
    <n v="0"/>
  </r>
  <r>
    <x v="21"/>
    <x v="1"/>
    <x v="5"/>
    <n v="460"/>
    <n v="51"/>
    <n v="23"/>
    <n v="70"/>
    <n v="5"/>
    <n v="110"/>
    <n v="18"/>
    <n v="83"/>
    <n v="30"/>
    <n v="29"/>
    <n v="49"/>
    <n v="69"/>
    <n v="48"/>
    <n v="0"/>
  </r>
  <r>
    <x v="21"/>
    <x v="0"/>
    <x v="6"/>
    <n v="367"/>
    <n v="38"/>
    <n v="23"/>
    <n v="29"/>
    <n v="10"/>
    <n v="114"/>
    <n v="14"/>
    <n v="36"/>
    <n v="12"/>
    <n v="16"/>
    <n v="18"/>
    <n v="28"/>
    <n v="10"/>
    <n v="1"/>
  </r>
  <r>
    <x v="21"/>
    <x v="1"/>
    <x v="6"/>
    <n v="488"/>
    <n v="31"/>
    <n v="17"/>
    <n v="40"/>
    <n v="19"/>
    <n v="102"/>
    <n v="27"/>
    <n v="27"/>
    <n v="19"/>
    <n v="16"/>
    <n v="28"/>
    <n v="39"/>
    <n v="14"/>
    <n v="0"/>
  </r>
  <r>
    <x v="21"/>
    <x v="0"/>
    <x v="7"/>
    <n v="348"/>
    <n v="30"/>
    <n v="14"/>
    <n v="24"/>
    <n v="6"/>
    <n v="103"/>
    <n v="17"/>
    <n v="9"/>
    <n v="8"/>
    <n v="14"/>
    <n v="8"/>
    <n v="14"/>
    <n v="2"/>
    <n v="0"/>
  </r>
  <r>
    <x v="21"/>
    <x v="1"/>
    <x v="7"/>
    <n v="376"/>
    <n v="16"/>
    <n v="22"/>
    <n v="30"/>
    <n v="0"/>
    <n v="74"/>
    <n v="12"/>
    <n v="12"/>
    <n v="5"/>
    <n v="24"/>
    <n v="12"/>
    <n v="14"/>
    <n v="3"/>
    <n v="2"/>
  </r>
  <r>
    <x v="21"/>
    <x v="0"/>
    <x v="8"/>
    <n v="379"/>
    <n v="35"/>
    <n v="15"/>
    <n v="27"/>
    <n v="13"/>
    <n v="102"/>
    <n v="22"/>
    <n v="12"/>
    <n v="11"/>
    <n v="26"/>
    <n v="18"/>
    <n v="19"/>
    <n v="4"/>
    <n v="0"/>
  </r>
  <r>
    <x v="21"/>
    <x v="1"/>
    <x v="8"/>
    <n v="414"/>
    <n v="23"/>
    <n v="25"/>
    <n v="84"/>
    <n v="2"/>
    <n v="89"/>
    <n v="12"/>
    <n v="4"/>
    <n v="7"/>
    <n v="11"/>
    <n v="9"/>
    <n v="19"/>
    <n v="3"/>
    <n v="0"/>
  </r>
  <r>
    <x v="21"/>
    <x v="0"/>
    <x v="9"/>
    <n v="547"/>
    <n v="81"/>
    <n v="63"/>
    <n v="37"/>
    <n v="13"/>
    <n v="173"/>
    <n v="19"/>
    <n v="57"/>
    <n v="23"/>
    <n v="42"/>
    <n v="29"/>
    <n v="39"/>
    <n v="7"/>
    <n v="0"/>
  </r>
  <r>
    <x v="21"/>
    <x v="1"/>
    <x v="9"/>
    <n v="563"/>
    <n v="55"/>
    <n v="67"/>
    <n v="70"/>
    <n v="4"/>
    <n v="161"/>
    <n v="32"/>
    <n v="49"/>
    <n v="21"/>
    <n v="44"/>
    <n v="24"/>
    <n v="45"/>
    <n v="16"/>
    <n v="0"/>
  </r>
  <r>
    <x v="21"/>
    <x v="0"/>
    <x v="10"/>
    <n v="384"/>
    <n v="33"/>
    <n v="29"/>
    <n v="58"/>
    <n v="7"/>
    <n v="153"/>
    <n v="23"/>
    <n v="34"/>
    <n v="21"/>
    <n v="27"/>
    <n v="31"/>
    <n v="26"/>
    <n v="17"/>
    <n v="0"/>
  </r>
  <r>
    <x v="21"/>
    <x v="1"/>
    <x v="10"/>
    <n v="464"/>
    <n v="30"/>
    <n v="32"/>
    <n v="62"/>
    <n v="6"/>
    <n v="127"/>
    <n v="17"/>
    <n v="39"/>
    <n v="22"/>
    <n v="23"/>
    <n v="19"/>
    <n v="47"/>
    <n v="15"/>
    <n v="1"/>
  </r>
  <r>
    <x v="21"/>
    <x v="0"/>
    <x v="11"/>
    <n v="428"/>
    <n v="22"/>
    <n v="21"/>
    <n v="64"/>
    <n v="2"/>
    <n v="99"/>
    <n v="13"/>
    <n v="55"/>
    <n v="18"/>
    <n v="10"/>
    <n v="26"/>
    <n v="39"/>
    <n v="9"/>
    <n v="0"/>
  </r>
  <r>
    <x v="21"/>
    <x v="1"/>
    <x v="11"/>
    <n v="403"/>
    <n v="24"/>
    <n v="20"/>
    <n v="73"/>
    <n v="8"/>
    <n v="107"/>
    <n v="15"/>
    <n v="45"/>
    <n v="23"/>
    <n v="17"/>
    <n v="19"/>
    <n v="34"/>
    <n v="9"/>
    <n v="0"/>
  </r>
  <r>
    <x v="22"/>
    <x v="0"/>
    <x v="0"/>
    <n v="675"/>
    <n v="38"/>
    <n v="21"/>
    <n v="108"/>
    <n v="14"/>
    <n v="117"/>
    <n v="21"/>
    <n v="86"/>
    <n v="23"/>
    <n v="19"/>
    <n v="28"/>
    <n v="29"/>
    <n v="5"/>
    <n v="5"/>
  </r>
  <r>
    <x v="22"/>
    <x v="1"/>
    <x v="0"/>
    <n v="797"/>
    <n v="27"/>
    <n v="24"/>
    <n v="131"/>
    <n v="17"/>
    <n v="136"/>
    <n v="20"/>
    <n v="77"/>
    <n v="18"/>
    <n v="24"/>
    <n v="30"/>
    <n v="43"/>
    <n v="15"/>
    <n v="6"/>
  </r>
  <r>
    <x v="22"/>
    <x v="0"/>
    <x v="1"/>
    <n v="638"/>
    <n v="21"/>
    <n v="12"/>
    <n v="44"/>
    <n v="38"/>
    <n v="130"/>
    <n v="18"/>
    <n v="73"/>
    <n v="32"/>
    <n v="8"/>
    <n v="23"/>
    <n v="20"/>
    <n v="21"/>
    <n v="7"/>
  </r>
  <r>
    <x v="22"/>
    <x v="1"/>
    <x v="1"/>
    <n v="779"/>
    <n v="22"/>
    <n v="12"/>
    <n v="52"/>
    <n v="51"/>
    <n v="152"/>
    <n v="16"/>
    <n v="79"/>
    <n v="38"/>
    <n v="15"/>
    <n v="31"/>
    <n v="29"/>
    <n v="14"/>
    <n v="7"/>
  </r>
  <r>
    <x v="22"/>
    <x v="0"/>
    <x v="2"/>
    <n v="845"/>
    <n v="31"/>
    <n v="48"/>
    <n v="140"/>
    <n v="20"/>
    <n v="126"/>
    <n v="36"/>
    <n v="115"/>
    <n v="31"/>
    <n v="25"/>
    <n v="112"/>
    <n v="112"/>
    <n v="95"/>
    <n v="6"/>
  </r>
  <r>
    <x v="22"/>
    <x v="1"/>
    <x v="2"/>
    <n v="916"/>
    <n v="41"/>
    <n v="56"/>
    <n v="173"/>
    <n v="14"/>
    <n v="197"/>
    <n v="53"/>
    <n v="191"/>
    <n v="62"/>
    <n v="38"/>
    <n v="180"/>
    <n v="172"/>
    <n v="155"/>
    <n v="13"/>
  </r>
  <r>
    <x v="22"/>
    <x v="0"/>
    <x v="3"/>
    <n v="832"/>
    <n v="52"/>
    <n v="93"/>
    <n v="200"/>
    <n v="22"/>
    <n v="171"/>
    <n v="93"/>
    <n v="422"/>
    <n v="162"/>
    <n v="72"/>
    <n v="278"/>
    <n v="294"/>
    <n v="198"/>
    <n v="11"/>
  </r>
  <r>
    <x v="22"/>
    <x v="1"/>
    <x v="3"/>
    <n v="1074"/>
    <n v="34"/>
    <n v="77"/>
    <n v="211"/>
    <n v="39"/>
    <n v="246"/>
    <n v="75"/>
    <n v="344"/>
    <n v="146"/>
    <n v="63"/>
    <n v="229"/>
    <n v="259"/>
    <n v="174"/>
    <n v="22"/>
  </r>
  <r>
    <x v="22"/>
    <x v="0"/>
    <x v="4"/>
    <n v="779"/>
    <n v="59"/>
    <n v="58"/>
    <n v="150"/>
    <n v="160"/>
    <n v="190"/>
    <n v="46"/>
    <n v="192"/>
    <n v="94"/>
    <n v="35"/>
    <n v="117"/>
    <n v="233"/>
    <n v="112"/>
    <n v="23"/>
  </r>
  <r>
    <x v="22"/>
    <x v="1"/>
    <x v="4"/>
    <n v="839"/>
    <n v="48"/>
    <n v="48"/>
    <n v="185"/>
    <n v="58"/>
    <n v="224"/>
    <n v="38"/>
    <n v="187"/>
    <n v="92"/>
    <n v="36"/>
    <n v="130"/>
    <n v="178"/>
    <n v="82"/>
    <n v="1"/>
  </r>
  <r>
    <x v="22"/>
    <x v="0"/>
    <x v="5"/>
    <n v="846"/>
    <n v="47"/>
    <n v="85"/>
    <n v="169"/>
    <n v="21"/>
    <n v="202"/>
    <n v="43"/>
    <n v="110"/>
    <n v="57"/>
    <n v="49"/>
    <n v="59"/>
    <n v="106"/>
    <n v="44"/>
    <n v="4"/>
  </r>
  <r>
    <x v="22"/>
    <x v="1"/>
    <x v="5"/>
    <n v="1005"/>
    <n v="60"/>
    <n v="70"/>
    <n v="159"/>
    <n v="20"/>
    <n v="218"/>
    <n v="33"/>
    <n v="121"/>
    <n v="87"/>
    <n v="68"/>
    <n v="85"/>
    <n v="137"/>
    <n v="60"/>
    <n v="6"/>
  </r>
  <r>
    <x v="22"/>
    <x v="0"/>
    <x v="6"/>
    <n v="726"/>
    <n v="61"/>
    <n v="79"/>
    <n v="66"/>
    <n v="20"/>
    <n v="202"/>
    <n v="20"/>
    <n v="34"/>
    <n v="56"/>
    <n v="24"/>
    <n v="44"/>
    <n v="60"/>
    <n v="29"/>
    <n v="0"/>
  </r>
  <r>
    <x v="22"/>
    <x v="1"/>
    <x v="6"/>
    <n v="1056"/>
    <n v="43"/>
    <n v="52"/>
    <n v="75"/>
    <n v="40"/>
    <n v="288"/>
    <n v="30"/>
    <n v="41"/>
    <n v="27"/>
    <n v="34"/>
    <n v="37"/>
    <n v="66"/>
    <n v="31"/>
    <n v="3"/>
  </r>
  <r>
    <x v="22"/>
    <x v="0"/>
    <x v="7"/>
    <n v="723"/>
    <n v="52"/>
    <n v="36"/>
    <n v="61"/>
    <n v="22"/>
    <n v="227"/>
    <n v="17"/>
    <n v="21"/>
    <n v="17"/>
    <n v="25"/>
    <n v="15"/>
    <n v="13"/>
    <n v="4"/>
    <n v="0"/>
  </r>
  <r>
    <x v="22"/>
    <x v="1"/>
    <x v="7"/>
    <n v="857"/>
    <n v="39"/>
    <n v="52"/>
    <n v="68"/>
    <n v="9"/>
    <n v="225"/>
    <n v="30"/>
    <n v="24"/>
    <n v="16"/>
    <n v="22"/>
    <n v="12"/>
    <n v="20"/>
    <n v="7"/>
    <n v="0"/>
  </r>
  <r>
    <x v="22"/>
    <x v="0"/>
    <x v="8"/>
    <n v="862"/>
    <n v="40"/>
    <n v="33"/>
    <n v="42"/>
    <n v="51"/>
    <n v="232"/>
    <n v="42"/>
    <n v="19"/>
    <n v="8"/>
    <n v="47"/>
    <n v="24"/>
    <n v="28"/>
    <n v="9"/>
    <n v="0"/>
  </r>
  <r>
    <x v="22"/>
    <x v="1"/>
    <x v="8"/>
    <n v="865"/>
    <n v="41"/>
    <n v="41"/>
    <n v="103"/>
    <n v="28"/>
    <n v="227"/>
    <n v="39"/>
    <n v="15"/>
    <n v="9"/>
    <n v="20"/>
    <n v="19"/>
    <n v="16"/>
    <n v="6"/>
    <n v="0"/>
  </r>
  <r>
    <x v="22"/>
    <x v="0"/>
    <x v="9"/>
    <n v="1024"/>
    <n v="66"/>
    <n v="61"/>
    <n v="48"/>
    <n v="101"/>
    <n v="302"/>
    <n v="64"/>
    <n v="19"/>
    <n v="35"/>
    <n v="47"/>
    <n v="21"/>
    <n v="55"/>
    <n v="8"/>
    <n v="0"/>
  </r>
  <r>
    <x v="22"/>
    <x v="1"/>
    <x v="9"/>
    <n v="1186"/>
    <n v="94"/>
    <n v="81"/>
    <n v="180"/>
    <n v="34"/>
    <n v="374"/>
    <n v="38"/>
    <n v="55"/>
    <n v="56"/>
    <n v="61"/>
    <n v="42"/>
    <n v="48"/>
    <n v="27"/>
    <n v="0"/>
  </r>
  <r>
    <x v="22"/>
    <x v="0"/>
    <x v="10"/>
    <n v="869"/>
    <n v="59"/>
    <n v="40"/>
    <n v="69"/>
    <n v="146"/>
    <n v="341"/>
    <n v="57"/>
    <n v="52"/>
    <n v="39"/>
    <n v="50"/>
    <n v="35"/>
    <n v="62"/>
    <n v="13"/>
    <n v="0"/>
  </r>
  <r>
    <x v="22"/>
    <x v="1"/>
    <x v="10"/>
    <n v="974"/>
    <n v="37"/>
    <n v="76"/>
    <n v="127"/>
    <n v="71"/>
    <n v="254"/>
    <n v="38"/>
    <n v="65"/>
    <n v="35"/>
    <n v="23"/>
    <n v="43"/>
    <n v="63"/>
    <n v="16"/>
    <n v="0"/>
  </r>
  <r>
    <x v="22"/>
    <x v="0"/>
    <x v="11"/>
    <n v="879"/>
    <n v="30"/>
    <n v="34"/>
    <n v="129"/>
    <n v="22"/>
    <n v="162"/>
    <n v="37"/>
    <n v="76"/>
    <n v="34"/>
    <n v="24"/>
    <n v="38"/>
    <n v="52"/>
    <n v="16"/>
    <n v="2"/>
  </r>
  <r>
    <x v="22"/>
    <x v="1"/>
    <x v="11"/>
    <n v="1019"/>
    <n v="53"/>
    <n v="40"/>
    <n v="164"/>
    <n v="37"/>
    <n v="195"/>
    <n v="42"/>
    <n v="80"/>
    <n v="59"/>
    <n v="33"/>
    <n v="50"/>
    <n v="70"/>
    <n v="22"/>
    <n v="4"/>
  </r>
  <r>
    <x v="23"/>
    <x v="0"/>
    <x v="0"/>
    <n v="496"/>
    <n v="29"/>
    <n v="20"/>
    <n v="94"/>
    <n v="1"/>
    <n v="83"/>
    <n v="14"/>
    <n v="38"/>
    <n v="13"/>
    <n v="9"/>
    <n v="31"/>
    <n v="25"/>
    <n v="11"/>
    <n v="0"/>
  </r>
  <r>
    <x v="23"/>
    <x v="1"/>
    <x v="0"/>
    <n v="559"/>
    <n v="43"/>
    <n v="21"/>
    <n v="78"/>
    <n v="7"/>
    <n v="96"/>
    <n v="14"/>
    <n v="51"/>
    <n v="15"/>
    <n v="13"/>
    <n v="24"/>
    <n v="27"/>
    <n v="9"/>
    <n v="5"/>
  </r>
  <r>
    <x v="23"/>
    <x v="0"/>
    <x v="1"/>
    <n v="496"/>
    <n v="27"/>
    <n v="18"/>
    <n v="56"/>
    <n v="16"/>
    <n v="104"/>
    <n v="13"/>
    <n v="41"/>
    <n v="14"/>
    <n v="7"/>
    <n v="13"/>
    <n v="36"/>
    <n v="9"/>
    <n v="3"/>
  </r>
  <r>
    <x v="23"/>
    <x v="1"/>
    <x v="1"/>
    <n v="515"/>
    <n v="31"/>
    <n v="4"/>
    <n v="33"/>
    <n v="33"/>
    <n v="105"/>
    <n v="15"/>
    <n v="42"/>
    <n v="7"/>
    <n v="5"/>
    <n v="25"/>
    <n v="23"/>
    <n v="6"/>
    <n v="0"/>
  </r>
  <r>
    <x v="23"/>
    <x v="0"/>
    <x v="2"/>
    <n v="557"/>
    <n v="39"/>
    <n v="29"/>
    <n v="137"/>
    <n v="18"/>
    <n v="104"/>
    <n v="19"/>
    <n v="99"/>
    <n v="36"/>
    <n v="17"/>
    <n v="117"/>
    <n v="62"/>
    <n v="47"/>
    <n v="8"/>
  </r>
  <r>
    <x v="23"/>
    <x v="1"/>
    <x v="2"/>
    <n v="634"/>
    <n v="28"/>
    <n v="44"/>
    <n v="106"/>
    <n v="13"/>
    <n v="119"/>
    <n v="30"/>
    <n v="113"/>
    <n v="35"/>
    <n v="40"/>
    <n v="177"/>
    <n v="75"/>
    <n v="93"/>
    <n v="4"/>
  </r>
  <r>
    <x v="23"/>
    <x v="0"/>
    <x v="3"/>
    <n v="616"/>
    <n v="49"/>
    <n v="56"/>
    <n v="151"/>
    <n v="15"/>
    <n v="138"/>
    <n v="52"/>
    <n v="256"/>
    <n v="105"/>
    <n v="62"/>
    <n v="253"/>
    <n v="175"/>
    <n v="129"/>
    <n v="4"/>
  </r>
  <r>
    <x v="23"/>
    <x v="1"/>
    <x v="3"/>
    <n v="655"/>
    <n v="46"/>
    <n v="38"/>
    <n v="150"/>
    <n v="27"/>
    <n v="143"/>
    <n v="51"/>
    <n v="207"/>
    <n v="85"/>
    <n v="54"/>
    <n v="250"/>
    <n v="107"/>
    <n v="108"/>
    <n v="10"/>
  </r>
  <r>
    <x v="23"/>
    <x v="0"/>
    <x v="4"/>
    <n v="558"/>
    <n v="47"/>
    <n v="52"/>
    <n v="110"/>
    <n v="11"/>
    <n v="142"/>
    <n v="50"/>
    <n v="104"/>
    <n v="62"/>
    <n v="36"/>
    <n v="151"/>
    <n v="105"/>
    <n v="68"/>
    <n v="2"/>
  </r>
  <r>
    <x v="23"/>
    <x v="1"/>
    <x v="4"/>
    <n v="605"/>
    <n v="42"/>
    <n v="26"/>
    <n v="112"/>
    <n v="30"/>
    <n v="163"/>
    <n v="43"/>
    <n v="133"/>
    <n v="82"/>
    <n v="34"/>
    <n v="204"/>
    <n v="108"/>
    <n v="80"/>
    <n v="2"/>
  </r>
  <r>
    <x v="23"/>
    <x v="0"/>
    <x v="5"/>
    <n v="675"/>
    <n v="50"/>
    <n v="27"/>
    <n v="98"/>
    <n v="3"/>
    <n v="1485"/>
    <n v="32"/>
    <n v="73"/>
    <n v="39"/>
    <n v="25"/>
    <n v="69"/>
    <n v="70"/>
    <n v="42"/>
    <n v="0"/>
  </r>
  <r>
    <x v="23"/>
    <x v="1"/>
    <x v="5"/>
    <n v="611"/>
    <n v="60"/>
    <n v="50"/>
    <n v="109"/>
    <n v="23"/>
    <n v="178"/>
    <n v="37"/>
    <n v="59"/>
    <n v="33"/>
    <n v="34"/>
    <n v="88"/>
    <n v="62"/>
    <n v="33"/>
    <n v="3"/>
  </r>
  <r>
    <x v="23"/>
    <x v="0"/>
    <x v="6"/>
    <n v="534"/>
    <n v="45"/>
    <n v="30"/>
    <n v="61"/>
    <n v="28"/>
    <n v="159"/>
    <n v="18"/>
    <n v="37"/>
    <n v="24"/>
    <n v="27"/>
    <n v="45"/>
    <n v="50"/>
    <n v="19"/>
    <n v="2"/>
  </r>
  <r>
    <x v="23"/>
    <x v="1"/>
    <x v="6"/>
    <n v="571"/>
    <n v="36"/>
    <n v="16"/>
    <n v="40"/>
    <n v="32"/>
    <n v="176"/>
    <n v="23"/>
    <n v="23"/>
    <n v="17"/>
    <n v="12"/>
    <n v="34"/>
    <n v="35"/>
    <n v="14"/>
    <n v="0"/>
  </r>
  <r>
    <x v="23"/>
    <x v="0"/>
    <x v="7"/>
    <n v="422"/>
    <n v="36"/>
    <n v="147"/>
    <n v="31"/>
    <n v="15"/>
    <n v="127"/>
    <n v="13"/>
    <n v="6"/>
    <n v="5"/>
    <n v="13"/>
    <n v="20"/>
    <n v="15"/>
    <n v="4"/>
    <n v="0"/>
  </r>
  <r>
    <x v="23"/>
    <x v="1"/>
    <x v="7"/>
    <n v="486"/>
    <n v="25"/>
    <n v="15"/>
    <n v="44"/>
    <n v="7"/>
    <n v="75"/>
    <n v="15"/>
    <n v="6"/>
    <n v="7"/>
    <n v="15"/>
    <n v="18"/>
    <n v="16"/>
    <n v="6"/>
    <n v="0"/>
  </r>
  <r>
    <x v="23"/>
    <x v="0"/>
    <x v="8"/>
    <n v="528"/>
    <n v="31"/>
    <n v="18"/>
    <n v="45"/>
    <n v="35"/>
    <n v="180"/>
    <n v="30"/>
    <n v="14"/>
    <n v="9"/>
    <n v="22"/>
    <n v="12"/>
    <n v="34"/>
    <n v="8"/>
    <n v="0"/>
  </r>
  <r>
    <x v="23"/>
    <x v="1"/>
    <x v="8"/>
    <n v="562"/>
    <n v="32"/>
    <n v="25"/>
    <n v="48"/>
    <n v="10"/>
    <n v="137"/>
    <n v="19"/>
    <n v="13"/>
    <n v="7"/>
    <n v="20"/>
    <n v="18"/>
    <n v="18"/>
    <n v="4"/>
    <n v="0"/>
  </r>
  <r>
    <x v="23"/>
    <x v="0"/>
    <x v="9"/>
    <n v="658"/>
    <n v="52"/>
    <n v="60"/>
    <n v="61"/>
    <n v="48"/>
    <n v="202"/>
    <n v="38"/>
    <n v="34"/>
    <n v="28"/>
    <n v="36"/>
    <n v="29"/>
    <n v="48"/>
    <n v="11"/>
    <n v="0"/>
  </r>
  <r>
    <x v="23"/>
    <x v="1"/>
    <x v="9"/>
    <n v="752"/>
    <n v="46"/>
    <n v="44"/>
    <n v="95"/>
    <n v="17"/>
    <n v="203"/>
    <n v="45"/>
    <n v="38"/>
    <n v="16"/>
    <n v="34"/>
    <n v="48"/>
    <n v="50"/>
    <n v="11"/>
    <n v="1"/>
  </r>
  <r>
    <x v="23"/>
    <x v="0"/>
    <x v="10"/>
    <n v="608"/>
    <n v="51"/>
    <n v="33"/>
    <n v="78"/>
    <n v="32"/>
    <n v="154"/>
    <n v="24"/>
    <n v="45"/>
    <n v="23"/>
    <n v="43"/>
    <n v="49"/>
    <n v="41"/>
    <n v="17"/>
    <n v="0"/>
  </r>
  <r>
    <x v="23"/>
    <x v="1"/>
    <x v="10"/>
    <n v="659"/>
    <n v="41"/>
    <n v="27"/>
    <n v="70"/>
    <n v="28"/>
    <n v="159"/>
    <n v="25"/>
    <n v="19"/>
    <n v="12"/>
    <n v="30"/>
    <n v="35"/>
    <n v="37"/>
    <n v="9"/>
    <n v="3"/>
  </r>
  <r>
    <x v="23"/>
    <x v="0"/>
    <x v="11"/>
    <n v="605"/>
    <n v="36"/>
    <n v="55"/>
    <n v="107"/>
    <n v="9"/>
    <n v="159"/>
    <n v="30"/>
    <n v="75"/>
    <n v="33"/>
    <n v="23"/>
    <n v="32"/>
    <n v="43"/>
    <n v="13"/>
    <n v="4"/>
  </r>
  <r>
    <x v="23"/>
    <x v="1"/>
    <x v="11"/>
    <n v="640"/>
    <n v="42"/>
    <n v="22"/>
    <n v="96"/>
    <n v="14"/>
    <n v="129"/>
    <n v="17"/>
    <n v="45"/>
    <n v="13"/>
    <n v="23"/>
    <n v="46"/>
    <n v="35"/>
    <n v="16"/>
    <n v="0"/>
  </r>
  <r>
    <x v="24"/>
    <x v="0"/>
    <x v="0"/>
    <n v="298"/>
    <n v="24"/>
    <n v="13"/>
    <n v="50"/>
    <n v="7"/>
    <n v="64"/>
    <n v="12"/>
    <n v="38"/>
    <n v="11"/>
    <n v="8"/>
    <n v="15"/>
    <n v="23"/>
    <n v="3"/>
    <n v="0"/>
  </r>
  <r>
    <x v="24"/>
    <x v="1"/>
    <x v="0"/>
    <n v="306"/>
    <n v="16"/>
    <n v="15"/>
    <n v="42"/>
    <n v="5"/>
    <n v="53"/>
    <n v="9"/>
    <n v="51"/>
    <n v="11"/>
    <n v="7"/>
    <n v="17"/>
    <n v="21"/>
    <n v="14"/>
    <n v="5"/>
  </r>
  <r>
    <x v="24"/>
    <x v="0"/>
    <x v="1"/>
    <n v="266"/>
    <n v="29"/>
    <n v="20"/>
    <n v="28"/>
    <n v="13"/>
    <n v="58"/>
    <n v="10"/>
    <n v="32"/>
    <n v="12"/>
    <n v="9"/>
    <n v="11"/>
    <n v="17"/>
    <n v="8"/>
    <n v="0"/>
  </r>
  <r>
    <x v="24"/>
    <x v="1"/>
    <x v="1"/>
    <n v="320"/>
    <n v="21"/>
    <n v="11"/>
    <n v="18"/>
    <n v="27"/>
    <n v="72"/>
    <n v="6"/>
    <n v="40"/>
    <n v="11"/>
    <n v="3"/>
    <n v="18"/>
    <n v="16"/>
    <n v="7"/>
    <n v="0"/>
  </r>
  <r>
    <x v="24"/>
    <x v="0"/>
    <x v="2"/>
    <n v="357"/>
    <n v="29"/>
    <n v="32"/>
    <n v="61"/>
    <n v="6"/>
    <n v="64"/>
    <n v="13"/>
    <n v="67"/>
    <n v="20"/>
    <n v="6"/>
    <n v="69"/>
    <n v="44"/>
    <n v="51"/>
    <n v="6"/>
  </r>
  <r>
    <x v="24"/>
    <x v="1"/>
    <x v="2"/>
    <n v="387"/>
    <n v="21"/>
    <n v="44"/>
    <n v="66"/>
    <n v="15"/>
    <n v="74"/>
    <n v="26"/>
    <n v="124"/>
    <n v="43"/>
    <n v="36"/>
    <n v="128"/>
    <n v="75"/>
    <n v="107"/>
    <n v="18"/>
  </r>
  <r>
    <x v="24"/>
    <x v="0"/>
    <x v="3"/>
    <n v="330"/>
    <n v="67"/>
    <n v="46"/>
    <n v="96"/>
    <n v="21"/>
    <n v="103"/>
    <n v="48"/>
    <n v="221"/>
    <n v="77"/>
    <n v="26"/>
    <n v="158"/>
    <n v="135"/>
    <n v="124"/>
    <n v="5"/>
  </r>
  <r>
    <x v="24"/>
    <x v="1"/>
    <x v="3"/>
    <n v="394"/>
    <n v="53"/>
    <n v="47"/>
    <n v="78"/>
    <n v="25"/>
    <n v="104"/>
    <n v="30"/>
    <n v="225"/>
    <n v="83"/>
    <n v="28"/>
    <n v="170"/>
    <n v="131"/>
    <n v="95"/>
    <n v="10"/>
  </r>
  <r>
    <x v="24"/>
    <x v="0"/>
    <x v="4"/>
    <n v="262"/>
    <n v="41"/>
    <n v="39"/>
    <n v="70"/>
    <n v="16"/>
    <n v="78"/>
    <n v="12"/>
    <n v="88"/>
    <n v="45"/>
    <n v="8"/>
    <n v="88"/>
    <n v="89"/>
    <n v="34"/>
    <n v="8"/>
  </r>
  <r>
    <x v="24"/>
    <x v="1"/>
    <x v="4"/>
    <n v="366"/>
    <n v="63"/>
    <n v="65"/>
    <n v="71"/>
    <n v="20"/>
    <n v="104"/>
    <n v="40"/>
    <n v="99"/>
    <n v="48"/>
    <n v="21"/>
    <n v="101"/>
    <n v="85"/>
    <n v="42"/>
    <n v="2"/>
  </r>
  <r>
    <x v="24"/>
    <x v="0"/>
    <x v="5"/>
    <n v="347"/>
    <n v="34"/>
    <n v="52"/>
    <n v="50"/>
    <n v="24"/>
    <n v="108"/>
    <n v="16"/>
    <n v="91"/>
    <n v="44"/>
    <n v="23"/>
    <n v="63"/>
    <n v="66"/>
    <n v="31"/>
    <n v="13"/>
  </r>
  <r>
    <x v="24"/>
    <x v="1"/>
    <x v="5"/>
    <n v="346"/>
    <n v="47"/>
    <n v="64"/>
    <n v="95"/>
    <n v="23"/>
    <n v="136"/>
    <n v="25"/>
    <n v="78"/>
    <n v="46"/>
    <n v="14"/>
    <n v="50"/>
    <n v="59"/>
    <n v="27"/>
    <n v="4"/>
  </r>
  <r>
    <x v="24"/>
    <x v="0"/>
    <x v="6"/>
    <n v="327"/>
    <n v="36"/>
    <n v="43"/>
    <n v="43"/>
    <n v="58"/>
    <n v="79"/>
    <n v="7"/>
    <n v="17"/>
    <n v="10"/>
    <n v="16"/>
    <n v="22"/>
    <n v="41"/>
    <n v="18"/>
    <n v="0"/>
  </r>
  <r>
    <x v="24"/>
    <x v="1"/>
    <x v="6"/>
    <n v="347"/>
    <n v="32"/>
    <n v="48"/>
    <n v="55"/>
    <n v="12"/>
    <n v="101"/>
    <n v="12"/>
    <n v="24"/>
    <n v="23"/>
    <n v="16"/>
    <n v="22"/>
    <n v="37"/>
    <n v="12"/>
    <n v="6"/>
  </r>
  <r>
    <x v="24"/>
    <x v="0"/>
    <x v="7"/>
    <n v="254"/>
    <n v="20"/>
    <n v="22"/>
    <n v="15"/>
    <n v="6"/>
    <n v="69"/>
    <n v="10"/>
    <n v="11"/>
    <n v="6"/>
    <n v="10"/>
    <n v="5"/>
    <n v="16"/>
    <n v="2"/>
    <n v="0"/>
  </r>
  <r>
    <x v="24"/>
    <x v="1"/>
    <x v="7"/>
    <n v="325"/>
    <n v="34"/>
    <n v="42"/>
    <n v="47"/>
    <n v="10"/>
    <n v="77"/>
    <n v="12"/>
    <n v="7"/>
    <n v="14"/>
    <n v="14"/>
    <n v="15"/>
    <n v="7"/>
    <n v="5"/>
    <n v="0"/>
  </r>
  <r>
    <x v="24"/>
    <x v="0"/>
    <x v="8"/>
    <n v="290"/>
    <n v="16"/>
    <n v="33"/>
    <n v="15"/>
    <n v="17"/>
    <n v="111"/>
    <n v="19"/>
    <n v="8"/>
    <n v="6"/>
    <n v="17"/>
    <n v="20"/>
    <n v="19"/>
    <n v="1"/>
    <n v="0"/>
  </r>
  <r>
    <x v="24"/>
    <x v="1"/>
    <x v="8"/>
    <n v="393"/>
    <n v="41"/>
    <n v="43"/>
    <n v="29"/>
    <n v="1"/>
    <n v="97"/>
    <n v="10"/>
    <n v="4"/>
    <n v="8"/>
    <n v="22"/>
    <n v="10"/>
    <n v="12"/>
    <n v="1"/>
    <n v="0"/>
  </r>
  <r>
    <x v="24"/>
    <x v="0"/>
    <x v="9"/>
    <n v="421"/>
    <n v="60"/>
    <n v="66"/>
    <n v="16"/>
    <n v="44"/>
    <n v="163"/>
    <n v="30"/>
    <n v="20"/>
    <n v="30"/>
    <n v="27"/>
    <n v="15"/>
    <n v="41"/>
    <n v="5"/>
    <n v="0"/>
  </r>
  <r>
    <x v="24"/>
    <x v="1"/>
    <x v="9"/>
    <n v="533"/>
    <n v="73"/>
    <n v="88"/>
    <n v="84"/>
    <n v="9"/>
    <n v="140"/>
    <n v="44"/>
    <n v="30"/>
    <n v="44"/>
    <n v="38"/>
    <n v="23"/>
    <n v="30"/>
    <n v="5"/>
    <n v="0"/>
  </r>
  <r>
    <x v="24"/>
    <x v="0"/>
    <x v="10"/>
    <n v="356"/>
    <n v="62"/>
    <n v="47"/>
    <n v="60"/>
    <n v="28"/>
    <n v="106"/>
    <n v="16"/>
    <n v="31"/>
    <n v="13"/>
    <n v="21"/>
    <n v="26"/>
    <n v="25"/>
    <n v="17"/>
    <n v="0"/>
  </r>
  <r>
    <x v="24"/>
    <x v="1"/>
    <x v="10"/>
    <n v="400"/>
    <n v="40"/>
    <n v="61"/>
    <n v="38"/>
    <n v="32"/>
    <n v="119"/>
    <n v="14"/>
    <n v="32"/>
    <n v="21"/>
    <n v="24"/>
    <n v="25"/>
    <n v="27"/>
    <n v="13"/>
    <n v="0"/>
  </r>
  <r>
    <x v="24"/>
    <x v="0"/>
    <x v="11"/>
    <n v="325"/>
    <n v="27"/>
    <n v="50"/>
    <n v="61"/>
    <n v="7"/>
    <n v="68"/>
    <n v="22"/>
    <n v="45"/>
    <n v="19"/>
    <n v="19"/>
    <n v="28"/>
    <n v="25"/>
    <n v="3"/>
    <n v="0"/>
  </r>
  <r>
    <x v="24"/>
    <x v="1"/>
    <x v="11"/>
    <n v="412"/>
    <n v="52"/>
    <n v="36"/>
    <n v="76"/>
    <n v="13"/>
    <n v="97"/>
    <n v="17"/>
    <n v="63"/>
    <n v="20"/>
    <n v="12"/>
    <n v="25"/>
    <n v="26"/>
    <n v="9"/>
    <n v="0"/>
  </r>
  <r>
    <x v="25"/>
    <x v="0"/>
    <x v="0"/>
    <n v="966"/>
    <n v="24"/>
    <n v="26"/>
    <n v="108"/>
    <n v="4"/>
    <n v="77"/>
    <n v="11"/>
    <n v="53"/>
    <n v="19"/>
    <n v="19"/>
    <n v="35"/>
    <n v="36"/>
    <n v="8"/>
    <n v="0"/>
  </r>
  <r>
    <x v="25"/>
    <x v="1"/>
    <x v="0"/>
    <n v="1028"/>
    <n v="16"/>
    <n v="14"/>
    <n v="74"/>
    <n v="5"/>
    <n v="86"/>
    <n v="19"/>
    <n v="53"/>
    <n v="21"/>
    <n v="14"/>
    <n v="34"/>
    <n v="18"/>
    <n v="3"/>
    <n v="3"/>
  </r>
  <r>
    <x v="25"/>
    <x v="0"/>
    <x v="1"/>
    <n v="929"/>
    <n v="115"/>
    <n v="20"/>
    <n v="73"/>
    <n v="15"/>
    <n v="86"/>
    <n v="11"/>
    <n v="32"/>
    <n v="15"/>
    <n v="10"/>
    <n v="21"/>
    <n v="15"/>
    <n v="11"/>
    <n v="0"/>
  </r>
  <r>
    <x v="25"/>
    <x v="1"/>
    <x v="1"/>
    <n v="1074"/>
    <n v="19"/>
    <n v="14"/>
    <n v="40"/>
    <n v="32"/>
    <n v="96"/>
    <n v="17"/>
    <n v="33"/>
    <n v="12"/>
    <n v="9"/>
    <n v="22"/>
    <n v="17"/>
    <n v="9"/>
    <n v="0"/>
  </r>
  <r>
    <x v="25"/>
    <x v="0"/>
    <x v="2"/>
    <n v="1187"/>
    <n v="23"/>
    <n v="15"/>
    <n v="136"/>
    <n v="12"/>
    <n v="105"/>
    <n v="27"/>
    <n v="82"/>
    <n v="18"/>
    <n v="14"/>
    <n v="97"/>
    <n v="58"/>
    <n v="61"/>
    <n v="10"/>
  </r>
  <r>
    <x v="25"/>
    <x v="1"/>
    <x v="2"/>
    <n v="1207"/>
    <n v="29"/>
    <n v="30"/>
    <n v="100"/>
    <n v="9"/>
    <n v="99"/>
    <n v="18"/>
    <n v="96"/>
    <n v="24"/>
    <n v="17"/>
    <n v="131"/>
    <n v="58"/>
    <n v="99"/>
    <n v="4"/>
  </r>
  <r>
    <x v="25"/>
    <x v="0"/>
    <x v="3"/>
    <n v="1190"/>
    <n v="38"/>
    <n v="23"/>
    <n v="168"/>
    <n v="7"/>
    <n v="123"/>
    <n v="44"/>
    <n v="216"/>
    <n v="73"/>
    <n v="35"/>
    <n v="220"/>
    <n v="109"/>
    <n v="136"/>
    <n v="0"/>
  </r>
  <r>
    <x v="25"/>
    <x v="1"/>
    <x v="3"/>
    <n v="1357"/>
    <n v="44"/>
    <n v="34"/>
    <n v="167"/>
    <n v="28"/>
    <n v="168"/>
    <n v="43"/>
    <n v="195"/>
    <n v="74"/>
    <n v="29"/>
    <n v="157"/>
    <n v="61"/>
    <n v="74"/>
    <n v="0"/>
  </r>
  <r>
    <x v="25"/>
    <x v="0"/>
    <x v="4"/>
    <n v="1041"/>
    <n v="32"/>
    <n v="22"/>
    <n v="138"/>
    <n v="18"/>
    <n v="138"/>
    <n v="25"/>
    <n v="101"/>
    <n v="44"/>
    <n v="23"/>
    <n v="89"/>
    <n v="52"/>
    <n v="28"/>
    <n v="0"/>
  </r>
  <r>
    <x v="25"/>
    <x v="1"/>
    <x v="4"/>
    <n v="1023"/>
    <n v="32"/>
    <n v="17"/>
    <n v="104"/>
    <n v="16"/>
    <n v="134"/>
    <n v="32"/>
    <n v="85"/>
    <n v="42"/>
    <n v="22"/>
    <n v="103"/>
    <n v="64"/>
    <n v="34"/>
    <n v="0"/>
  </r>
  <r>
    <x v="25"/>
    <x v="0"/>
    <x v="5"/>
    <n v="1253"/>
    <n v="17"/>
    <n v="20"/>
    <n v="108"/>
    <n v="32"/>
    <n v="158"/>
    <n v="22"/>
    <n v="63"/>
    <n v="20"/>
    <n v="20"/>
    <n v="38"/>
    <n v="31"/>
    <n v="13"/>
    <n v="0"/>
  </r>
  <r>
    <x v="25"/>
    <x v="1"/>
    <x v="5"/>
    <n v="1136"/>
    <n v="40"/>
    <n v="33"/>
    <n v="127"/>
    <n v="22"/>
    <n v="165"/>
    <n v="33"/>
    <n v="65"/>
    <n v="45"/>
    <n v="19"/>
    <n v="65"/>
    <n v="54"/>
    <n v="23"/>
    <n v="0"/>
  </r>
  <r>
    <x v="25"/>
    <x v="0"/>
    <x v="6"/>
    <n v="1443"/>
    <n v="32"/>
    <n v="25"/>
    <n v="114"/>
    <n v="21"/>
    <n v="214"/>
    <n v="23"/>
    <n v="38"/>
    <n v="19"/>
    <n v="25"/>
    <n v="43"/>
    <n v="42"/>
    <n v="22"/>
    <n v="0"/>
  </r>
  <r>
    <x v="25"/>
    <x v="1"/>
    <x v="6"/>
    <n v="1330"/>
    <n v="22"/>
    <n v="21"/>
    <n v="56"/>
    <n v="42"/>
    <n v="173"/>
    <n v="23"/>
    <n v="24"/>
    <n v="11"/>
    <n v="12"/>
    <n v="22"/>
    <n v="15"/>
    <n v="9"/>
    <n v="0"/>
  </r>
  <r>
    <x v="25"/>
    <x v="0"/>
    <x v="7"/>
    <n v="909"/>
    <n v="33"/>
    <n v="27"/>
    <n v="57"/>
    <n v="19"/>
    <n v="145"/>
    <n v="11"/>
    <n v="3"/>
    <n v="4"/>
    <n v="12"/>
    <n v="14"/>
    <n v="7"/>
    <n v="13"/>
    <n v="0"/>
  </r>
  <r>
    <x v="25"/>
    <x v="1"/>
    <x v="7"/>
    <n v="914"/>
    <n v="36"/>
    <n v="17"/>
    <n v="64"/>
    <n v="11"/>
    <n v="143"/>
    <n v="25"/>
    <n v="10"/>
    <n v="4"/>
    <n v="14"/>
    <n v="17"/>
    <n v="9"/>
    <n v="7"/>
    <n v="0"/>
  </r>
  <r>
    <x v="25"/>
    <x v="0"/>
    <x v="8"/>
    <n v="1261"/>
    <n v="23"/>
    <n v="23"/>
    <n v="30"/>
    <n v="50"/>
    <n v="199"/>
    <n v="18"/>
    <n v="7"/>
    <n v="4"/>
    <n v="30"/>
    <n v="16"/>
    <n v="22"/>
    <n v="5"/>
    <n v="0"/>
  </r>
  <r>
    <x v="25"/>
    <x v="1"/>
    <x v="8"/>
    <n v="1109"/>
    <n v="39"/>
    <n v="28"/>
    <n v="69"/>
    <n v="13"/>
    <n v="139"/>
    <n v="26"/>
    <n v="6"/>
    <n v="10"/>
    <n v="14"/>
    <n v="5"/>
    <n v="12"/>
    <n v="0"/>
    <n v="0"/>
  </r>
  <r>
    <x v="25"/>
    <x v="0"/>
    <x v="9"/>
    <n v="1250"/>
    <n v="38"/>
    <n v="66"/>
    <n v="60"/>
    <n v="62"/>
    <n v="187"/>
    <n v="29"/>
    <n v="35"/>
    <n v="28"/>
    <n v="42"/>
    <n v="41"/>
    <n v="29"/>
    <n v="8"/>
    <n v="0"/>
  </r>
  <r>
    <x v="25"/>
    <x v="1"/>
    <x v="9"/>
    <n v="1384"/>
    <n v="49"/>
    <n v="43"/>
    <n v="155"/>
    <n v="19"/>
    <n v="183"/>
    <n v="43"/>
    <n v="47"/>
    <n v="27"/>
    <n v="34"/>
    <n v="45"/>
    <n v="23"/>
    <n v="6"/>
    <n v="0"/>
  </r>
  <r>
    <x v="25"/>
    <x v="0"/>
    <x v="10"/>
    <n v="1047"/>
    <n v="40"/>
    <n v="22"/>
    <n v="114"/>
    <n v="26"/>
    <n v="148"/>
    <n v="48"/>
    <n v="38"/>
    <n v="25"/>
    <n v="27"/>
    <n v="30"/>
    <n v="38"/>
    <n v="10"/>
    <n v="0"/>
  </r>
  <r>
    <x v="25"/>
    <x v="1"/>
    <x v="10"/>
    <n v="1204"/>
    <n v="34"/>
    <n v="25"/>
    <n v="70"/>
    <n v="35"/>
    <n v="150"/>
    <n v="27"/>
    <n v="39"/>
    <n v="16"/>
    <n v="21"/>
    <n v="33"/>
    <n v="31"/>
    <n v="5"/>
    <n v="0"/>
  </r>
  <r>
    <x v="25"/>
    <x v="0"/>
    <x v="11"/>
    <n v="1190"/>
    <n v="31"/>
    <n v="20"/>
    <n v="138"/>
    <n v="14"/>
    <n v="117"/>
    <n v="27"/>
    <n v="62"/>
    <n v="28"/>
    <n v="20"/>
    <n v="29"/>
    <n v="51"/>
    <n v="12"/>
    <n v="1"/>
  </r>
  <r>
    <x v="25"/>
    <x v="1"/>
    <x v="11"/>
    <n v="1228"/>
    <n v="37"/>
    <n v="14"/>
    <n v="148"/>
    <n v="19"/>
    <n v="127"/>
    <n v="27"/>
    <n v="38"/>
    <n v="22"/>
    <n v="14"/>
    <n v="49"/>
    <n v="57"/>
    <n v="10"/>
    <n v="0"/>
  </r>
  <r>
    <x v="26"/>
    <x v="0"/>
    <x v="0"/>
    <n v="1338"/>
    <n v="77"/>
    <n v="43"/>
    <n v="247"/>
    <n v="1"/>
    <n v="187"/>
    <n v="34"/>
    <n v="104"/>
    <n v="31"/>
    <n v="49"/>
    <n v="65"/>
    <n v="39"/>
    <n v="26"/>
    <n v="3"/>
  </r>
  <r>
    <x v="26"/>
    <x v="1"/>
    <x v="0"/>
    <n v="1646"/>
    <n v="82"/>
    <n v="42"/>
    <n v="220"/>
    <n v="1"/>
    <n v="190"/>
    <n v="43"/>
    <n v="140"/>
    <n v="30"/>
    <n v="40"/>
    <n v="51"/>
    <n v="30"/>
    <n v="31"/>
    <n v="0"/>
  </r>
  <r>
    <x v="26"/>
    <x v="0"/>
    <x v="1"/>
    <n v="1418"/>
    <n v="64"/>
    <n v="32"/>
    <n v="167"/>
    <n v="1"/>
    <n v="226"/>
    <n v="16"/>
    <n v="99"/>
    <n v="21"/>
    <n v="49"/>
    <n v="32"/>
    <n v="60"/>
    <n v="17"/>
    <n v="15"/>
  </r>
  <r>
    <x v="26"/>
    <x v="1"/>
    <x v="1"/>
    <n v="1675"/>
    <n v="50"/>
    <n v="36"/>
    <n v="97"/>
    <n v="9"/>
    <n v="272"/>
    <n v="44"/>
    <n v="133"/>
    <n v="28"/>
    <n v="30"/>
    <n v="45"/>
    <n v="41"/>
    <n v="22"/>
    <n v="4"/>
  </r>
  <r>
    <x v="26"/>
    <x v="0"/>
    <x v="2"/>
    <n v="1804"/>
    <n v="96"/>
    <n v="90"/>
    <n v="349"/>
    <n v="2"/>
    <n v="245"/>
    <n v="62"/>
    <n v="217"/>
    <n v="66"/>
    <n v="75"/>
    <n v="203"/>
    <n v="141"/>
    <n v="148"/>
    <n v="13"/>
  </r>
  <r>
    <x v="26"/>
    <x v="1"/>
    <x v="2"/>
    <n v="1953"/>
    <n v="85"/>
    <n v="81"/>
    <n v="331"/>
    <n v="10"/>
    <n v="274"/>
    <n v="73"/>
    <n v="303"/>
    <n v="82"/>
    <n v="58"/>
    <n v="366"/>
    <n v="186"/>
    <n v="274"/>
    <n v="11"/>
  </r>
  <r>
    <x v="26"/>
    <x v="0"/>
    <x v="3"/>
    <n v="1646"/>
    <n v="110"/>
    <n v="83"/>
    <n v="417"/>
    <n v="1"/>
    <n v="3018"/>
    <n v="107"/>
    <n v="552"/>
    <n v="186"/>
    <n v="105"/>
    <n v="519"/>
    <n v="298"/>
    <n v="296"/>
    <n v="17"/>
  </r>
  <r>
    <x v="26"/>
    <x v="1"/>
    <x v="3"/>
    <n v="2040"/>
    <n v="120"/>
    <n v="92"/>
    <n v="358"/>
    <n v="23"/>
    <n v="367"/>
    <n v="91"/>
    <n v="496"/>
    <n v="176"/>
    <n v="82"/>
    <n v="424"/>
    <n v="260"/>
    <n v="219"/>
    <n v="25"/>
  </r>
  <r>
    <x v="26"/>
    <x v="0"/>
    <x v="4"/>
    <n v="1447"/>
    <n v="128"/>
    <n v="50"/>
    <n v="234"/>
    <n v="4"/>
    <n v="291"/>
    <n v="64"/>
    <n v="302"/>
    <n v="133"/>
    <n v="71"/>
    <n v="313"/>
    <n v="161"/>
    <n v="149"/>
    <n v="22"/>
  </r>
  <r>
    <x v="26"/>
    <x v="1"/>
    <x v="4"/>
    <n v="1748"/>
    <n v="135"/>
    <n v="87"/>
    <n v="307"/>
    <n v="36"/>
    <n v="336"/>
    <n v="83"/>
    <n v="358"/>
    <n v="178"/>
    <n v="72"/>
    <n v="316"/>
    <n v="233"/>
    <n v="156"/>
    <n v="14"/>
  </r>
  <r>
    <x v="26"/>
    <x v="0"/>
    <x v="5"/>
    <n v="1638"/>
    <n v="140"/>
    <n v="87"/>
    <n v="249"/>
    <n v="5"/>
    <n v="381"/>
    <n v="69"/>
    <n v="153"/>
    <n v="89"/>
    <n v="100"/>
    <n v="202"/>
    <n v="110"/>
    <n v="78"/>
    <n v="5"/>
  </r>
  <r>
    <x v="26"/>
    <x v="1"/>
    <x v="5"/>
    <n v="1912"/>
    <n v="89"/>
    <n v="85"/>
    <n v="234"/>
    <n v="41"/>
    <n v="391"/>
    <n v="77"/>
    <n v="169"/>
    <n v="111"/>
    <n v="91"/>
    <n v="127"/>
    <n v="143"/>
    <n v="69"/>
    <n v="6"/>
  </r>
  <r>
    <x v="26"/>
    <x v="0"/>
    <x v="6"/>
    <n v="1388"/>
    <n v="89"/>
    <n v="71"/>
    <n v="164"/>
    <n v="10"/>
    <n v="374"/>
    <n v="47"/>
    <n v="56"/>
    <n v="33"/>
    <n v="71"/>
    <n v="85"/>
    <n v="52"/>
    <n v="26"/>
    <n v="1"/>
  </r>
  <r>
    <x v="26"/>
    <x v="1"/>
    <x v="6"/>
    <n v="1734"/>
    <n v="92"/>
    <n v="89"/>
    <n v="133"/>
    <n v="20"/>
    <n v="415"/>
    <n v="41"/>
    <n v="94"/>
    <n v="45"/>
    <n v="82"/>
    <n v="62"/>
    <n v="56"/>
    <n v="26"/>
    <n v="0"/>
  </r>
  <r>
    <x v="26"/>
    <x v="0"/>
    <x v="7"/>
    <n v="1388"/>
    <n v="98"/>
    <n v="44"/>
    <n v="140"/>
    <n v="4"/>
    <n v="355"/>
    <n v="32"/>
    <n v="29"/>
    <n v="18"/>
    <n v="62"/>
    <n v="25"/>
    <n v="46"/>
    <n v="13"/>
    <n v="0"/>
  </r>
  <r>
    <x v="26"/>
    <x v="1"/>
    <x v="7"/>
    <n v="1689"/>
    <n v="99"/>
    <n v="52"/>
    <n v="120"/>
    <n v="6"/>
    <n v="329"/>
    <n v="35"/>
    <n v="28"/>
    <n v="24"/>
    <n v="51"/>
    <n v="35"/>
    <n v="25"/>
    <n v="12"/>
    <n v="0"/>
  </r>
  <r>
    <x v="26"/>
    <x v="0"/>
    <x v="8"/>
    <n v="1592"/>
    <n v="88"/>
    <n v="48"/>
    <n v="111"/>
    <n v="12"/>
    <n v="399"/>
    <n v="58"/>
    <n v="15"/>
    <n v="21"/>
    <n v="79"/>
    <n v="12"/>
    <n v="22"/>
    <n v="7"/>
    <n v="0"/>
  </r>
  <r>
    <x v="26"/>
    <x v="1"/>
    <x v="8"/>
    <n v="1741"/>
    <n v="119"/>
    <n v="57"/>
    <n v="136"/>
    <n v="10"/>
    <n v="345"/>
    <n v="40"/>
    <n v="65"/>
    <n v="34"/>
    <n v="79"/>
    <n v="18"/>
    <n v="26"/>
    <n v="10"/>
    <n v="4"/>
  </r>
  <r>
    <x v="26"/>
    <x v="0"/>
    <x v="9"/>
    <n v="1968"/>
    <n v="164"/>
    <n v="140"/>
    <n v="182"/>
    <n v="17"/>
    <n v="481"/>
    <n v="93"/>
    <n v="113"/>
    <n v="65"/>
    <n v="114"/>
    <n v="75"/>
    <n v="27"/>
    <n v="0"/>
    <n v="0"/>
  </r>
  <r>
    <x v="26"/>
    <x v="1"/>
    <x v="9"/>
    <n v="2297"/>
    <n v="161"/>
    <n v="147"/>
    <n v="317"/>
    <n v="15"/>
    <n v="454"/>
    <n v="128"/>
    <n v="117"/>
    <n v="82"/>
    <n v="101"/>
    <n v="80"/>
    <n v="72"/>
    <n v="32"/>
    <n v="0"/>
  </r>
  <r>
    <x v="26"/>
    <x v="0"/>
    <x v="10"/>
    <n v="1726"/>
    <n v="108"/>
    <n v="119"/>
    <n v="231"/>
    <n v="202"/>
    <n v="19"/>
    <n v="387"/>
    <n v="72"/>
    <n v="96"/>
    <n v="47"/>
    <n v="103"/>
    <n v="88"/>
    <n v="24"/>
    <n v="1"/>
  </r>
  <r>
    <x v="26"/>
    <x v="1"/>
    <x v="10"/>
    <n v="2064"/>
    <n v="128"/>
    <n v="86"/>
    <n v="231"/>
    <n v="26"/>
    <n v="335"/>
    <n v="58"/>
    <n v="120"/>
    <n v="39"/>
    <n v="67"/>
    <n v="46"/>
    <n v="50"/>
    <n v="17"/>
    <n v="2"/>
  </r>
  <r>
    <x v="26"/>
    <x v="0"/>
    <x v="11"/>
    <n v="1838"/>
    <n v="110"/>
    <n v="102"/>
    <n v="333"/>
    <n v="33"/>
    <n v="372"/>
    <n v="74"/>
    <n v="126"/>
    <n v="63"/>
    <n v="83"/>
    <n v="96"/>
    <n v="81"/>
    <n v="43"/>
    <n v="3"/>
  </r>
  <r>
    <x v="26"/>
    <x v="1"/>
    <x v="11"/>
    <n v="2111"/>
    <n v="153"/>
    <n v="108"/>
    <n v="354"/>
    <n v="21"/>
    <n v="362"/>
    <n v="80"/>
    <n v="146"/>
    <n v="58"/>
    <n v="98"/>
    <n v="107"/>
    <n v="76"/>
    <n v="29"/>
    <n v="1"/>
  </r>
  <r>
    <x v="27"/>
    <x v="0"/>
    <x v="0"/>
    <n v="841"/>
    <n v="15"/>
    <n v="21"/>
    <n v="95"/>
    <n v="32"/>
    <n v="113"/>
    <n v="23"/>
    <n v="96"/>
    <n v="21"/>
    <n v="18"/>
    <n v="40"/>
    <n v="32"/>
    <n v="21"/>
    <n v="0"/>
  </r>
  <r>
    <x v="27"/>
    <x v="1"/>
    <x v="0"/>
    <n v="981"/>
    <n v="19"/>
    <n v="21"/>
    <n v="98"/>
    <n v="25"/>
    <n v="152"/>
    <n v="11"/>
    <n v="65"/>
    <n v="15"/>
    <n v="18"/>
    <n v="17"/>
    <n v="26"/>
    <n v="8"/>
    <n v="2"/>
  </r>
  <r>
    <x v="27"/>
    <x v="0"/>
    <x v="1"/>
    <n v="880"/>
    <n v="20"/>
    <n v="17"/>
    <n v="55"/>
    <n v="51"/>
    <n v="146"/>
    <n v="15"/>
    <n v="44"/>
    <n v="14"/>
    <n v="9"/>
    <n v="13"/>
    <n v="18"/>
    <n v="7"/>
    <n v="14"/>
  </r>
  <r>
    <x v="27"/>
    <x v="1"/>
    <x v="1"/>
    <n v="965"/>
    <n v="18"/>
    <n v="11"/>
    <n v="64"/>
    <n v="20"/>
    <n v="155"/>
    <n v="8"/>
    <n v="56"/>
    <n v="15"/>
    <n v="13"/>
    <n v="16"/>
    <n v="18"/>
    <n v="9"/>
    <n v="8"/>
  </r>
  <r>
    <x v="27"/>
    <x v="0"/>
    <x v="2"/>
    <n v="1055"/>
    <n v="28"/>
    <n v="28"/>
    <n v="136"/>
    <n v="28"/>
    <n v="169"/>
    <n v="22"/>
    <n v="97"/>
    <n v="30"/>
    <n v="20"/>
    <n v="103"/>
    <n v="86"/>
    <n v="107"/>
    <n v="13"/>
  </r>
  <r>
    <x v="27"/>
    <x v="1"/>
    <x v="2"/>
    <n v="1211"/>
    <n v="32"/>
    <n v="21"/>
    <n v="119"/>
    <n v="33"/>
    <n v="209"/>
    <n v="23"/>
    <n v="126"/>
    <n v="38"/>
    <n v="32"/>
    <n v="174"/>
    <n v="108"/>
    <n v="123"/>
    <n v="10"/>
  </r>
  <r>
    <x v="27"/>
    <x v="0"/>
    <x v="3"/>
    <n v="996"/>
    <n v="38"/>
    <n v="47"/>
    <n v="184"/>
    <n v="75"/>
    <n v="201"/>
    <n v="68"/>
    <n v="295"/>
    <n v="107"/>
    <n v="38"/>
    <n v="237"/>
    <n v="204"/>
    <n v="170"/>
    <n v="4"/>
  </r>
  <r>
    <x v="27"/>
    <x v="1"/>
    <x v="3"/>
    <n v="1241"/>
    <n v="16"/>
    <n v="58"/>
    <n v="188"/>
    <n v="62"/>
    <n v="283"/>
    <n v="55"/>
    <n v="254"/>
    <n v="105"/>
    <n v="36"/>
    <n v="187"/>
    <n v="173"/>
    <n v="156"/>
    <n v="7"/>
  </r>
  <r>
    <x v="27"/>
    <x v="0"/>
    <x v="4"/>
    <n v="890"/>
    <n v="27"/>
    <n v="42"/>
    <n v="124"/>
    <n v="42"/>
    <n v="195"/>
    <n v="25"/>
    <n v="115"/>
    <n v="58"/>
    <n v="24"/>
    <n v="152"/>
    <n v="104"/>
    <n v="86"/>
    <n v="2"/>
  </r>
  <r>
    <x v="27"/>
    <x v="1"/>
    <x v="4"/>
    <n v="1063"/>
    <n v="20"/>
    <n v="38"/>
    <n v="178"/>
    <n v="60"/>
    <n v="214"/>
    <n v="30"/>
    <n v="178"/>
    <n v="78"/>
    <n v="25"/>
    <n v="175"/>
    <n v="144"/>
    <n v="96"/>
    <n v="6"/>
  </r>
  <r>
    <x v="27"/>
    <x v="0"/>
    <x v="5"/>
    <n v="987"/>
    <n v="28"/>
    <n v="49"/>
    <n v="161"/>
    <n v="42"/>
    <n v="208"/>
    <n v="32"/>
    <n v="112"/>
    <n v="52"/>
    <n v="38"/>
    <n v="86"/>
    <n v="96"/>
    <n v="71"/>
    <n v="0"/>
  </r>
  <r>
    <x v="27"/>
    <x v="1"/>
    <x v="5"/>
    <n v="1081"/>
    <n v="29"/>
    <n v="46"/>
    <n v="117"/>
    <n v="56"/>
    <n v="246"/>
    <n v="44"/>
    <n v="119"/>
    <n v="53"/>
    <n v="35"/>
    <n v="100"/>
    <n v="77"/>
    <n v="50"/>
    <n v="2"/>
  </r>
  <r>
    <x v="27"/>
    <x v="0"/>
    <x v="6"/>
    <n v="816"/>
    <n v="23"/>
    <n v="51"/>
    <n v="68"/>
    <n v="39"/>
    <n v="224"/>
    <n v="21"/>
    <n v="19"/>
    <n v="12"/>
    <n v="21"/>
    <n v="36"/>
    <n v="25"/>
    <n v="13"/>
    <n v="0"/>
  </r>
  <r>
    <x v="27"/>
    <x v="1"/>
    <x v="6"/>
    <n v="1089"/>
    <n v="8"/>
    <n v="31"/>
    <n v="106"/>
    <n v="29"/>
    <n v="229"/>
    <n v="17"/>
    <n v="41"/>
    <n v="30"/>
    <n v="28"/>
    <n v="46"/>
    <n v="38"/>
    <n v="23"/>
    <n v="0"/>
  </r>
  <r>
    <x v="27"/>
    <x v="0"/>
    <x v="7"/>
    <n v="767"/>
    <n v="11"/>
    <n v="30"/>
    <n v="49"/>
    <n v="13"/>
    <n v="199"/>
    <n v="10"/>
    <n v="14"/>
    <n v="15"/>
    <n v="14"/>
    <n v="8"/>
    <n v="19"/>
    <n v="14"/>
    <n v="0"/>
  </r>
  <r>
    <x v="27"/>
    <x v="1"/>
    <x v="7"/>
    <n v="893"/>
    <n v="13"/>
    <n v="26"/>
    <n v="69"/>
    <n v="18"/>
    <n v="238"/>
    <n v="18"/>
    <n v="37"/>
    <n v="15"/>
    <n v="18"/>
    <n v="10"/>
    <n v="32"/>
    <n v="7"/>
    <m/>
  </r>
  <r>
    <x v="27"/>
    <x v="0"/>
    <x v="8"/>
    <n v="1011"/>
    <n v="14"/>
    <n v="30"/>
    <n v="57"/>
    <n v="29"/>
    <n v="198"/>
    <n v="24"/>
    <n v="20"/>
    <n v="9"/>
    <n v="32"/>
    <n v="11"/>
    <n v="13"/>
    <n v="6"/>
    <n v="2"/>
  </r>
  <r>
    <x v="27"/>
    <x v="1"/>
    <x v="8"/>
    <n v="944"/>
    <n v="7"/>
    <n v="39"/>
    <n v="52"/>
    <n v="11"/>
    <n v="190"/>
    <n v="21"/>
    <n v="14"/>
    <n v="11"/>
    <n v="18"/>
    <n v="7"/>
    <n v="24"/>
    <n v="4"/>
    <n v="0"/>
  </r>
  <r>
    <x v="27"/>
    <x v="0"/>
    <x v="9"/>
    <n v="1062"/>
    <n v="21"/>
    <n v="67"/>
    <n v="60"/>
    <n v="76"/>
    <n v="316"/>
    <n v="38"/>
    <n v="27"/>
    <n v="23"/>
    <n v="49"/>
    <n v="40"/>
    <n v="31"/>
    <n v="19"/>
    <n v="0"/>
  </r>
  <r>
    <x v="27"/>
    <x v="1"/>
    <x v="9"/>
    <n v="1422"/>
    <n v="35"/>
    <n v="58"/>
    <n v="134"/>
    <n v="35"/>
    <n v="329"/>
    <n v="55"/>
    <n v="62"/>
    <n v="31"/>
    <n v="38"/>
    <n v="31"/>
    <n v="25"/>
    <n v="11"/>
    <n v="4"/>
  </r>
  <r>
    <x v="27"/>
    <x v="0"/>
    <x v="10"/>
    <n v="990"/>
    <n v="26"/>
    <n v="69"/>
    <n v="113"/>
    <n v="78"/>
    <n v="244"/>
    <n v="33"/>
    <n v="36"/>
    <n v="26"/>
    <n v="38"/>
    <n v="29"/>
    <n v="27"/>
    <n v="20"/>
    <n v="0"/>
  </r>
  <r>
    <x v="27"/>
    <x v="1"/>
    <x v="10"/>
    <n v="1162"/>
    <n v="44"/>
    <n v="32"/>
    <n v="132"/>
    <n v="42"/>
    <n v="248"/>
    <n v="16"/>
    <n v="47"/>
    <n v="12"/>
    <n v="40"/>
    <n v="28"/>
    <n v="27"/>
    <n v="12"/>
    <n v="0"/>
  </r>
  <r>
    <x v="27"/>
    <x v="0"/>
    <x v="11"/>
    <n v="1126"/>
    <n v="28"/>
    <n v="34"/>
    <n v="132"/>
    <n v="41"/>
    <n v="176"/>
    <n v="19"/>
    <n v="76"/>
    <n v="23"/>
    <n v="16"/>
    <n v="40"/>
    <n v="38"/>
    <n v="13"/>
    <n v="2"/>
  </r>
  <r>
    <x v="27"/>
    <x v="1"/>
    <x v="11"/>
    <n v="1270"/>
    <n v="32"/>
    <n v="32"/>
    <n v="213"/>
    <n v="32"/>
    <n v="238"/>
    <n v="21"/>
    <n v="89"/>
    <n v="26"/>
    <n v="22"/>
    <n v="30"/>
    <n v="37"/>
    <n v="15"/>
    <n v="2"/>
  </r>
  <r>
    <x v="28"/>
    <x v="0"/>
    <x v="0"/>
    <n v="392"/>
    <n v="21"/>
    <n v="11"/>
    <n v="55"/>
    <n v="0"/>
    <n v="37"/>
    <n v="6"/>
    <n v="17"/>
    <n v="6"/>
    <n v="13"/>
    <n v="23"/>
    <n v="18"/>
    <n v="7"/>
    <n v="0"/>
  </r>
  <r>
    <x v="28"/>
    <x v="1"/>
    <x v="0"/>
    <n v="337"/>
    <n v="22"/>
    <n v="8"/>
    <n v="44"/>
    <n v="2"/>
    <n v="70"/>
    <n v="9"/>
    <n v="24"/>
    <n v="6"/>
    <n v="8"/>
    <n v="33"/>
    <n v="14"/>
    <n v="9"/>
    <n v="0"/>
  </r>
  <r>
    <x v="28"/>
    <x v="0"/>
    <x v="1"/>
    <n v="365"/>
    <n v="26"/>
    <n v="6"/>
    <n v="35"/>
    <n v="1"/>
    <n v="45"/>
    <n v="9"/>
    <n v="19"/>
    <n v="10"/>
    <n v="7"/>
    <n v="18"/>
    <n v="14"/>
    <n v="6"/>
    <n v="2"/>
  </r>
  <r>
    <x v="28"/>
    <x v="1"/>
    <x v="1"/>
    <n v="374"/>
    <n v="24"/>
    <n v="12"/>
    <n v="19"/>
    <n v="16"/>
    <n v="67"/>
    <n v="11"/>
    <n v="18"/>
    <n v="6"/>
    <n v="13"/>
    <n v="20"/>
    <n v="9"/>
    <n v="9"/>
    <n v="0"/>
  </r>
  <r>
    <x v="28"/>
    <x v="0"/>
    <x v="2"/>
    <n v="477"/>
    <n v="29"/>
    <n v="23"/>
    <n v="74"/>
    <n v="5"/>
    <n v="72"/>
    <n v="8"/>
    <n v="41"/>
    <n v="14"/>
    <n v="17"/>
    <n v="52"/>
    <n v="63"/>
    <n v="42"/>
    <n v="16"/>
  </r>
  <r>
    <x v="28"/>
    <x v="1"/>
    <x v="2"/>
    <n v="493"/>
    <n v="32"/>
    <n v="20"/>
    <n v="79"/>
    <n v="5"/>
    <n v="79"/>
    <n v="18"/>
    <n v="40"/>
    <n v="9"/>
    <n v="34"/>
    <n v="110"/>
    <n v="66"/>
    <n v="82"/>
    <n v="12"/>
  </r>
  <r>
    <x v="28"/>
    <x v="0"/>
    <x v="3"/>
    <n v="448"/>
    <n v="28"/>
    <n v="30"/>
    <n v="105"/>
    <n v="8"/>
    <n v="78"/>
    <n v="20"/>
    <n v="107"/>
    <n v="35"/>
    <n v="15"/>
    <n v="142"/>
    <n v="137"/>
    <n v="134"/>
    <n v="0"/>
  </r>
  <r>
    <x v="28"/>
    <x v="1"/>
    <x v="3"/>
    <n v="559"/>
    <n v="29"/>
    <n v="27"/>
    <n v="86"/>
    <n v="18"/>
    <n v="120"/>
    <n v="24"/>
    <n v="146"/>
    <n v="51"/>
    <n v="41"/>
    <n v="180"/>
    <n v="102"/>
    <n v="106"/>
    <n v="7"/>
  </r>
  <r>
    <x v="28"/>
    <x v="0"/>
    <x v="4"/>
    <n v="354"/>
    <n v="30"/>
    <n v="17"/>
    <n v="76"/>
    <n v="13"/>
    <n v="71"/>
    <n v="7"/>
    <n v="32"/>
    <n v="18"/>
    <n v="9"/>
    <n v="86"/>
    <n v="53"/>
    <n v="57"/>
    <n v="12"/>
  </r>
  <r>
    <x v="28"/>
    <x v="1"/>
    <x v="4"/>
    <n v="442"/>
    <n v="37"/>
    <n v="9"/>
    <n v="61"/>
    <n v="17"/>
    <n v="111"/>
    <n v="14"/>
    <n v="63"/>
    <n v="19"/>
    <n v="15"/>
    <n v="87"/>
    <n v="75"/>
    <n v="60"/>
    <n v="6"/>
  </r>
  <r>
    <x v="28"/>
    <x v="0"/>
    <x v="5"/>
    <n v="369"/>
    <n v="31"/>
    <n v="20"/>
    <n v="66"/>
    <n v="9"/>
    <n v="92"/>
    <n v="11"/>
    <n v="25"/>
    <n v="15"/>
    <n v="24"/>
    <n v="61"/>
    <n v="42"/>
    <n v="19"/>
    <n v="0"/>
  </r>
  <r>
    <x v="28"/>
    <x v="1"/>
    <x v="5"/>
    <n v="530"/>
    <n v="53"/>
    <n v="12"/>
    <n v="62"/>
    <n v="8"/>
    <n v="99"/>
    <n v="17"/>
    <n v="34"/>
    <n v="19"/>
    <n v="16"/>
    <n v="57"/>
    <n v="37"/>
    <n v="28"/>
    <n v="7"/>
  </r>
  <r>
    <x v="28"/>
    <x v="0"/>
    <x v="6"/>
    <n v="320"/>
    <n v="45"/>
    <n v="21"/>
    <n v="29"/>
    <n v="5"/>
    <n v="80"/>
    <n v="14"/>
    <n v="21"/>
    <n v="3"/>
    <n v="12"/>
    <n v="24"/>
    <n v="23"/>
    <n v="16"/>
    <n v="1"/>
  </r>
  <r>
    <x v="28"/>
    <x v="1"/>
    <x v="6"/>
    <n v="452"/>
    <n v="55"/>
    <n v="19"/>
    <n v="22"/>
    <n v="20"/>
    <n v="120"/>
    <n v="8"/>
    <n v="16"/>
    <n v="9"/>
    <n v="10"/>
    <n v="17"/>
    <n v="37"/>
    <n v="11"/>
    <n v="4"/>
  </r>
  <r>
    <x v="28"/>
    <x v="0"/>
    <x v="7"/>
    <n v="316"/>
    <n v="28"/>
    <n v="14"/>
    <n v="26"/>
    <n v="2"/>
    <n v="98"/>
    <n v="8"/>
    <n v="10"/>
    <n v="6"/>
    <n v="15"/>
    <n v="16"/>
    <n v="16"/>
    <n v="6"/>
    <n v="0"/>
  </r>
  <r>
    <x v="28"/>
    <x v="1"/>
    <x v="7"/>
    <n v="310"/>
    <n v="28"/>
    <n v="8"/>
    <n v="45"/>
    <n v="5"/>
    <n v="122"/>
    <n v="14"/>
    <n v="8"/>
    <n v="4"/>
    <n v="4"/>
    <n v="8"/>
    <n v="12"/>
    <n v="5"/>
    <n v="0"/>
  </r>
  <r>
    <x v="28"/>
    <x v="0"/>
    <x v="8"/>
    <n v="421"/>
    <n v="36"/>
    <n v="12"/>
    <n v="13"/>
    <n v="18"/>
    <n v="108"/>
    <n v="12"/>
    <n v="4"/>
    <n v="4"/>
    <n v="18"/>
    <n v="7"/>
    <n v="15"/>
    <n v="4"/>
    <n v="0"/>
  </r>
  <r>
    <x v="28"/>
    <x v="1"/>
    <x v="8"/>
    <n v="360"/>
    <n v="35"/>
    <n v="16"/>
    <n v="42"/>
    <n v="3"/>
    <n v="76"/>
    <n v="10"/>
    <n v="3"/>
    <n v="9"/>
    <n v="13"/>
    <n v="14"/>
    <n v="22"/>
    <n v="3"/>
    <n v="0"/>
  </r>
  <r>
    <x v="28"/>
    <x v="0"/>
    <x v="9"/>
    <n v="490"/>
    <n v="48"/>
    <n v="24"/>
    <n v="33"/>
    <n v="24"/>
    <n v="109"/>
    <n v="16"/>
    <n v="28"/>
    <n v="13"/>
    <n v="27"/>
    <n v="32"/>
    <n v="21"/>
    <n v="3"/>
    <n v="0"/>
  </r>
  <r>
    <x v="28"/>
    <x v="1"/>
    <x v="9"/>
    <n v="534"/>
    <n v="61"/>
    <n v="16"/>
    <n v="57"/>
    <n v="5"/>
    <n v="152"/>
    <n v="18"/>
    <n v="22"/>
    <n v="10"/>
    <n v="14"/>
    <n v="33"/>
    <n v="39"/>
    <n v="37"/>
    <n v="0"/>
  </r>
  <r>
    <x v="28"/>
    <x v="0"/>
    <x v="10"/>
    <n v="436"/>
    <n v="33"/>
    <n v="18"/>
    <n v="60"/>
    <n v="19"/>
    <n v="108"/>
    <n v="16"/>
    <n v="25"/>
    <n v="8"/>
    <n v="16"/>
    <n v="21"/>
    <n v="35"/>
    <n v="7"/>
    <n v="0"/>
  </r>
  <r>
    <x v="28"/>
    <x v="1"/>
    <x v="10"/>
    <n v="413"/>
    <n v="26"/>
    <n v="16"/>
    <n v="38"/>
    <n v="9"/>
    <n v="87"/>
    <n v="15"/>
    <n v="18"/>
    <n v="10"/>
    <n v="10"/>
    <n v="34"/>
    <n v="23"/>
    <n v="9"/>
    <n v="0"/>
  </r>
  <r>
    <x v="28"/>
    <x v="0"/>
    <x v="11"/>
    <n v="480"/>
    <n v="32"/>
    <n v="21"/>
    <n v="60"/>
    <n v="3"/>
    <n v="87"/>
    <n v="14"/>
    <n v="31"/>
    <n v="9"/>
    <n v="8"/>
    <n v="22"/>
    <n v="30"/>
    <n v="9"/>
    <n v="0"/>
  </r>
  <r>
    <x v="28"/>
    <x v="1"/>
    <x v="11"/>
    <n v="455"/>
    <n v="26"/>
    <n v="12"/>
    <n v="74"/>
    <n v="5"/>
    <n v="88"/>
    <n v="13"/>
    <n v="34"/>
    <n v="10"/>
    <n v="19"/>
    <n v="27"/>
    <n v="33"/>
    <n v="9"/>
    <n v="2"/>
  </r>
  <r>
    <x v="29"/>
    <x v="0"/>
    <x v="0"/>
    <n v="535"/>
    <n v="26"/>
    <n v="22"/>
    <n v="107"/>
    <n v="4"/>
    <n v="75"/>
    <n v="17"/>
    <n v="84"/>
    <n v="14"/>
    <n v="13"/>
    <n v="25"/>
    <n v="24"/>
    <n v="9"/>
    <n v="2"/>
  </r>
  <r>
    <x v="29"/>
    <x v="1"/>
    <x v="0"/>
    <n v="622"/>
    <n v="32"/>
    <n v="18"/>
    <n v="88"/>
    <n v="7"/>
    <n v="99"/>
    <n v="9"/>
    <n v="46"/>
    <n v="13"/>
    <n v="13"/>
    <n v="51"/>
    <n v="26"/>
    <n v="7"/>
    <n v="0"/>
  </r>
  <r>
    <x v="29"/>
    <x v="0"/>
    <x v="1"/>
    <n v="481"/>
    <n v="16"/>
    <n v="20"/>
    <n v="41"/>
    <n v="13"/>
    <n v="88"/>
    <n v="5"/>
    <n v="40"/>
    <n v="13"/>
    <n v="15"/>
    <n v="26"/>
    <n v="29"/>
    <n v="4"/>
    <n v="1"/>
  </r>
  <r>
    <x v="29"/>
    <x v="1"/>
    <x v="1"/>
    <n v="602"/>
    <n v="11"/>
    <n v="17"/>
    <n v="52"/>
    <n v="29"/>
    <n v="123"/>
    <n v="13"/>
    <n v="53"/>
    <n v="22"/>
    <n v="18"/>
    <n v="36"/>
    <n v="27"/>
    <n v="12"/>
    <n v="2"/>
  </r>
  <r>
    <x v="29"/>
    <x v="0"/>
    <x v="2"/>
    <n v="655"/>
    <n v="27"/>
    <n v="44"/>
    <n v="138"/>
    <n v="9"/>
    <n v="118"/>
    <n v="27"/>
    <n v="87"/>
    <n v="23"/>
    <n v="22"/>
    <n v="123"/>
    <n v="62"/>
    <n v="75"/>
    <n v="2"/>
  </r>
  <r>
    <x v="29"/>
    <x v="1"/>
    <x v="2"/>
    <n v="696"/>
    <n v="40"/>
    <n v="52"/>
    <n v="138"/>
    <n v="16"/>
    <n v="148"/>
    <n v="18"/>
    <n v="121"/>
    <n v="37"/>
    <n v="27"/>
    <n v="151"/>
    <n v="102"/>
    <n v="118"/>
    <n v="9"/>
  </r>
  <r>
    <x v="29"/>
    <x v="0"/>
    <x v="3"/>
    <n v="660"/>
    <n v="26"/>
    <n v="54"/>
    <n v="171"/>
    <n v="15"/>
    <n v="139"/>
    <n v="27"/>
    <n v="255"/>
    <n v="103"/>
    <n v="69"/>
    <n v="306"/>
    <n v="241"/>
    <n v="175"/>
    <n v="8"/>
  </r>
  <r>
    <x v="29"/>
    <x v="1"/>
    <x v="3"/>
    <n v="741"/>
    <n v="24"/>
    <n v="50"/>
    <n v="156"/>
    <n v="25"/>
    <n v="141"/>
    <n v="30"/>
    <n v="254"/>
    <n v="113"/>
    <n v="63"/>
    <n v="233"/>
    <n v="152"/>
    <n v="125"/>
    <n v="8"/>
  </r>
  <r>
    <x v="29"/>
    <x v="0"/>
    <x v="4"/>
    <n v="575"/>
    <n v="38"/>
    <n v="42"/>
    <n v="127"/>
    <n v="12"/>
    <n v="150"/>
    <n v="41"/>
    <n v="86"/>
    <n v="53"/>
    <n v="26"/>
    <n v="164"/>
    <n v="127"/>
    <n v="68"/>
    <n v="4"/>
  </r>
  <r>
    <x v="29"/>
    <x v="1"/>
    <x v="4"/>
    <n v="707"/>
    <n v="54"/>
    <n v="46"/>
    <n v="193"/>
    <n v="19"/>
    <n v="175"/>
    <n v="44"/>
    <n v="149"/>
    <n v="80"/>
    <n v="35"/>
    <n v="179"/>
    <n v="128"/>
    <n v="90"/>
    <n v="1"/>
  </r>
  <r>
    <x v="29"/>
    <x v="0"/>
    <x v="5"/>
    <n v="701"/>
    <n v="52"/>
    <n v="41"/>
    <n v="99"/>
    <n v="18"/>
    <n v="166"/>
    <n v="36"/>
    <n v="65"/>
    <n v="54"/>
    <n v="24"/>
    <n v="82"/>
    <n v="75"/>
    <n v="27"/>
    <n v="1"/>
  </r>
  <r>
    <x v="29"/>
    <x v="1"/>
    <x v="5"/>
    <n v="676"/>
    <n v="38"/>
    <n v="53"/>
    <n v="108"/>
    <n v="13"/>
    <n v="167"/>
    <n v="31"/>
    <n v="58"/>
    <n v="42"/>
    <n v="35"/>
    <n v="75"/>
    <n v="82"/>
    <n v="42"/>
    <n v="10"/>
  </r>
  <r>
    <x v="29"/>
    <x v="0"/>
    <x v="6"/>
    <n v="653"/>
    <n v="23"/>
    <n v="22"/>
    <n v="76"/>
    <n v="14"/>
    <n v="190"/>
    <n v="11"/>
    <n v="26"/>
    <n v="24"/>
    <n v="25"/>
    <n v="40"/>
    <n v="40"/>
    <n v="11"/>
    <n v="0"/>
  </r>
  <r>
    <x v="29"/>
    <x v="1"/>
    <x v="6"/>
    <n v="715"/>
    <n v="25"/>
    <n v="52"/>
    <n v="87"/>
    <n v="27"/>
    <n v="171"/>
    <n v="25"/>
    <n v="27"/>
    <n v="22"/>
    <n v="17"/>
    <n v="40"/>
    <n v="44"/>
    <n v="23"/>
    <n v="2"/>
  </r>
  <r>
    <x v="29"/>
    <x v="0"/>
    <x v="7"/>
    <n v="458"/>
    <n v="40"/>
    <n v="27"/>
    <n v="45"/>
    <n v="6"/>
    <n v="182"/>
    <n v="17"/>
    <n v="10"/>
    <n v="12"/>
    <n v="14"/>
    <n v="8"/>
    <n v="18"/>
    <n v="10"/>
    <n v="0"/>
  </r>
  <r>
    <x v="29"/>
    <x v="1"/>
    <x v="7"/>
    <n v="628"/>
    <n v="32"/>
    <n v="24"/>
    <n v="60"/>
    <n v="15"/>
    <n v="207"/>
    <n v="14"/>
    <n v="22"/>
    <n v="15"/>
    <n v="17"/>
    <n v="17"/>
    <n v="22"/>
    <n v="4"/>
    <n v="0"/>
  </r>
  <r>
    <x v="29"/>
    <x v="0"/>
    <x v="8"/>
    <n v="598"/>
    <n v="23"/>
    <n v="41"/>
    <n v="40"/>
    <n v="31"/>
    <n v="188"/>
    <n v="20"/>
    <n v="22"/>
    <n v="4"/>
    <n v="28"/>
    <n v="15"/>
    <n v="19"/>
    <n v="6"/>
    <n v="0"/>
  </r>
  <r>
    <x v="29"/>
    <x v="1"/>
    <x v="8"/>
    <n v="665"/>
    <n v="14"/>
    <n v="37"/>
    <n v="85"/>
    <n v="11"/>
    <n v="172"/>
    <n v="30"/>
    <n v="12"/>
    <n v="7"/>
    <n v="26"/>
    <n v="17"/>
    <n v="13"/>
    <n v="9"/>
    <n v="0"/>
  </r>
  <r>
    <x v="29"/>
    <x v="0"/>
    <x v="9"/>
    <n v="696"/>
    <n v="45"/>
    <n v="52"/>
    <n v="84"/>
    <n v="48"/>
    <n v="211"/>
    <n v="44"/>
    <n v="22"/>
    <n v="25"/>
    <n v="31"/>
    <n v="34"/>
    <n v="43"/>
    <n v="18"/>
    <n v="0"/>
  </r>
  <r>
    <x v="29"/>
    <x v="1"/>
    <x v="9"/>
    <n v="897"/>
    <n v="73"/>
    <n v="42"/>
    <n v="145"/>
    <n v="9"/>
    <n v="259"/>
    <n v="35"/>
    <n v="19"/>
    <n v="33"/>
    <n v="37"/>
    <n v="30"/>
    <n v="47"/>
    <n v="7"/>
    <n v="0"/>
  </r>
  <r>
    <x v="29"/>
    <x v="0"/>
    <x v="10"/>
    <n v="628"/>
    <n v="48"/>
    <n v="45"/>
    <n v="104"/>
    <n v="29"/>
    <n v="205"/>
    <n v="28"/>
    <n v="38"/>
    <n v="30"/>
    <n v="35"/>
    <n v="33"/>
    <n v="17"/>
    <n v="10"/>
    <n v="0"/>
  </r>
  <r>
    <x v="29"/>
    <x v="1"/>
    <x v="10"/>
    <n v="772"/>
    <n v="21"/>
    <n v="29"/>
    <n v="109"/>
    <n v="13"/>
    <n v="173"/>
    <n v="25"/>
    <n v="33"/>
    <n v="22"/>
    <n v="23"/>
    <n v="26"/>
    <n v="27"/>
    <n v="2"/>
    <n v="0"/>
  </r>
  <r>
    <x v="29"/>
    <x v="0"/>
    <x v="11"/>
    <n v="650"/>
    <n v="27"/>
    <n v="32"/>
    <n v="133"/>
    <n v="7"/>
    <n v="172"/>
    <n v="15"/>
    <n v="76"/>
    <n v="32"/>
    <n v="28"/>
    <n v="41"/>
    <n v="48"/>
    <n v="7"/>
    <n v="2"/>
  </r>
  <r>
    <x v="29"/>
    <x v="1"/>
    <x v="11"/>
    <n v="725"/>
    <n v="45"/>
    <n v="55"/>
    <n v="173"/>
    <n v="14"/>
    <n v="193"/>
    <n v="24"/>
    <n v="69"/>
    <n v="30"/>
    <n v="24"/>
    <n v="56"/>
    <n v="45"/>
    <n v="10"/>
    <n v="0"/>
  </r>
  <r>
    <x v="30"/>
    <x v="0"/>
    <x v="0"/>
    <n v="931"/>
    <n v="20"/>
    <n v="15"/>
    <n v="125"/>
    <n v="4"/>
    <n v="146"/>
    <n v="18"/>
    <n v="54"/>
    <n v="23"/>
    <n v="18"/>
    <n v="34"/>
    <n v="31"/>
    <n v="16"/>
    <n v="0"/>
  </r>
  <r>
    <x v="30"/>
    <x v="1"/>
    <x v="0"/>
    <n v="1109"/>
    <n v="30"/>
    <n v="19"/>
    <n v="142"/>
    <n v="2"/>
    <n v="146"/>
    <n v="27"/>
    <n v="90"/>
    <n v="23"/>
    <n v="14"/>
    <n v="34"/>
    <n v="46"/>
    <n v="16"/>
    <n v="6"/>
  </r>
  <r>
    <x v="30"/>
    <x v="0"/>
    <x v="1"/>
    <n v="911"/>
    <n v="38"/>
    <n v="20"/>
    <n v="82"/>
    <n v="29"/>
    <n v="159"/>
    <n v="9"/>
    <n v="32"/>
    <n v="15"/>
    <n v="20"/>
    <n v="39"/>
    <n v="59"/>
    <n v="12"/>
    <n v="4"/>
  </r>
  <r>
    <x v="30"/>
    <x v="1"/>
    <x v="1"/>
    <n v="1229"/>
    <n v="36"/>
    <n v="29"/>
    <n v="65"/>
    <n v="47"/>
    <n v="199"/>
    <n v="31"/>
    <n v="55"/>
    <n v="20"/>
    <n v="27"/>
    <n v="56"/>
    <n v="43"/>
    <n v="20"/>
    <n v="2"/>
  </r>
  <r>
    <x v="30"/>
    <x v="0"/>
    <x v="2"/>
    <n v="1146"/>
    <n v="36"/>
    <n v="28"/>
    <n v="195"/>
    <n v="11"/>
    <n v="216"/>
    <n v="23"/>
    <n v="124"/>
    <n v="42"/>
    <n v="33"/>
    <n v="175"/>
    <n v="126"/>
    <n v="129"/>
    <n v="5"/>
  </r>
  <r>
    <x v="30"/>
    <x v="1"/>
    <x v="2"/>
    <n v="1474"/>
    <n v="37"/>
    <n v="40"/>
    <n v="218"/>
    <n v="14"/>
    <n v="269"/>
    <n v="56"/>
    <n v="199"/>
    <n v="39"/>
    <n v="49"/>
    <n v="265"/>
    <n v="187"/>
    <n v="219"/>
    <n v="23"/>
  </r>
  <r>
    <x v="30"/>
    <x v="0"/>
    <x v="3"/>
    <n v="1104"/>
    <n v="38"/>
    <n v="52"/>
    <n v="244"/>
    <n v="21"/>
    <n v="288"/>
    <n v="89"/>
    <n v="412"/>
    <n v="131"/>
    <n v="79"/>
    <n v="444"/>
    <n v="312"/>
    <n v="300"/>
    <n v="21"/>
  </r>
  <r>
    <x v="30"/>
    <x v="1"/>
    <x v="3"/>
    <n v="1515"/>
    <n v="49"/>
    <n v="53"/>
    <n v="202"/>
    <n v="72"/>
    <n v="328"/>
    <n v="82"/>
    <n v="417"/>
    <n v="115"/>
    <n v="62"/>
    <n v="307"/>
    <n v="272"/>
    <n v="265"/>
    <n v="15"/>
  </r>
  <r>
    <x v="30"/>
    <x v="0"/>
    <x v="4"/>
    <n v="1000"/>
    <n v="43"/>
    <n v="32"/>
    <n v="146"/>
    <n v="33"/>
    <n v="214"/>
    <n v="59"/>
    <n v="178"/>
    <n v="92"/>
    <n v="39"/>
    <n v="181"/>
    <n v="215"/>
    <n v="117"/>
    <n v="12"/>
  </r>
  <r>
    <x v="30"/>
    <x v="1"/>
    <x v="4"/>
    <n v="1271"/>
    <n v="56"/>
    <n v="44"/>
    <n v="232"/>
    <n v="36"/>
    <n v="283"/>
    <n v="62"/>
    <n v="204"/>
    <n v="109"/>
    <n v="47"/>
    <n v="230"/>
    <n v="208"/>
    <n v="155"/>
    <n v="21"/>
  </r>
  <r>
    <x v="30"/>
    <x v="0"/>
    <x v="5"/>
    <n v="1061"/>
    <n v="56"/>
    <n v="48"/>
    <n v="162"/>
    <n v="27"/>
    <n v="200"/>
    <n v="37"/>
    <n v="70"/>
    <n v="39"/>
    <n v="341"/>
    <n v="95"/>
    <n v="164"/>
    <n v="70"/>
    <n v="2"/>
  </r>
  <r>
    <x v="30"/>
    <x v="1"/>
    <x v="5"/>
    <n v="1360"/>
    <n v="63"/>
    <n v="42"/>
    <n v="137"/>
    <n v="21"/>
    <n v="296"/>
    <n v="62"/>
    <n v="95"/>
    <n v="79"/>
    <n v="56"/>
    <n v="123"/>
    <n v="164"/>
    <n v="77"/>
    <n v="18"/>
  </r>
  <r>
    <x v="30"/>
    <x v="0"/>
    <x v="6"/>
    <n v="920"/>
    <n v="40"/>
    <n v="42"/>
    <n v="97"/>
    <n v="14"/>
    <n v="234"/>
    <n v="36"/>
    <n v="32"/>
    <n v="17"/>
    <n v="29"/>
    <n v="29"/>
    <n v="54"/>
    <n v="29"/>
    <n v="2"/>
  </r>
  <r>
    <x v="30"/>
    <x v="1"/>
    <x v="6"/>
    <n v="1246"/>
    <n v="47"/>
    <n v="45"/>
    <n v="83"/>
    <n v="35"/>
    <n v="331"/>
    <n v="27"/>
    <n v="35"/>
    <n v="24"/>
    <n v="40"/>
    <n v="55"/>
    <n v="55"/>
    <n v="24"/>
    <n v="0"/>
  </r>
  <r>
    <x v="30"/>
    <x v="0"/>
    <x v="7"/>
    <n v="909"/>
    <n v="62"/>
    <n v="40"/>
    <n v="64"/>
    <n v="14"/>
    <n v="249"/>
    <n v="25"/>
    <n v="15"/>
    <n v="16"/>
    <n v="36"/>
    <n v="20"/>
    <n v="19"/>
    <n v="11"/>
    <n v="0"/>
  </r>
  <r>
    <x v="30"/>
    <x v="1"/>
    <x v="7"/>
    <n v="1084"/>
    <n v="35"/>
    <n v="30"/>
    <n v="75"/>
    <n v="2"/>
    <n v="296"/>
    <n v="26"/>
    <n v="25"/>
    <n v="22"/>
    <n v="43"/>
    <n v="26"/>
    <n v="39"/>
    <n v="19"/>
    <n v="0"/>
  </r>
  <r>
    <x v="30"/>
    <x v="0"/>
    <x v="8"/>
    <n v="1076"/>
    <n v="47"/>
    <n v="38"/>
    <n v="29"/>
    <n v="34"/>
    <n v="302"/>
    <n v="43"/>
    <n v="37"/>
    <n v="18"/>
    <n v="43"/>
    <n v="22"/>
    <n v="44"/>
    <n v="13"/>
    <n v="0"/>
  </r>
  <r>
    <x v="30"/>
    <x v="1"/>
    <x v="8"/>
    <n v="1105"/>
    <n v="42"/>
    <n v="59"/>
    <n v="113"/>
    <n v="6"/>
    <n v="262"/>
    <n v="30"/>
    <n v="20"/>
    <n v="20"/>
    <n v="30"/>
    <n v="24"/>
    <n v="31"/>
    <n v="16"/>
    <n v="0"/>
  </r>
  <r>
    <x v="30"/>
    <x v="0"/>
    <x v="9"/>
    <n v="1328"/>
    <n v="86"/>
    <n v="78"/>
    <n v="72"/>
    <n v="70"/>
    <n v="360"/>
    <n v="49"/>
    <n v="65"/>
    <n v="33"/>
    <n v="62"/>
    <n v="55"/>
    <n v="95"/>
    <n v="28"/>
    <n v="10"/>
  </r>
  <r>
    <x v="30"/>
    <x v="1"/>
    <x v="9"/>
    <n v="1686"/>
    <n v="97"/>
    <n v="93"/>
    <n v="158"/>
    <n v="18"/>
    <n v="415"/>
    <n v="64"/>
    <n v="41"/>
    <n v="53"/>
    <n v="67"/>
    <n v="57"/>
    <n v="97"/>
    <n v="23"/>
    <n v="0"/>
  </r>
  <r>
    <x v="30"/>
    <x v="0"/>
    <x v="10"/>
    <n v="1295"/>
    <n v="57"/>
    <n v="113"/>
    <n v="109"/>
    <n v="73"/>
    <n v="321"/>
    <n v="58"/>
    <n v="44"/>
    <n v="31"/>
    <n v="56"/>
    <n v="50"/>
    <n v="58"/>
    <n v="22"/>
    <n v="6"/>
  </r>
  <r>
    <x v="30"/>
    <x v="1"/>
    <x v="10"/>
    <n v="1404"/>
    <n v="69"/>
    <n v="35"/>
    <n v="121"/>
    <n v="18"/>
    <n v="298"/>
    <n v="49"/>
    <n v="48"/>
    <n v="26"/>
    <n v="28"/>
    <n v="44"/>
    <n v="72"/>
    <n v="13"/>
    <n v="2"/>
  </r>
  <r>
    <x v="30"/>
    <x v="0"/>
    <x v="11"/>
    <n v="1277"/>
    <n v="46"/>
    <n v="40"/>
    <n v="188"/>
    <n v="19"/>
    <n v="286"/>
    <n v="44"/>
    <n v="59"/>
    <n v="50"/>
    <n v="38"/>
    <n v="51"/>
    <n v="78"/>
    <n v="26"/>
    <n v="2"/>
  </r>
  <r>
    <x v="30"/>
    <x v="1"/>
    <x v="11"/>
    <n v="1528"/>
    <n v="71"/>
    <n v="82"/>
    <n v="237"/>
    <n v="12"/>
    <n v="301"/>
    <n v="72"/>
    <n v="107"/>
    <n v="47"/>
    <n v="51"/>
    <n v="61"/>
    <n v="74"/>
    <n v="21"/>
    <n v="4"/>
  </r>
  <r>
    <x v="31"/>
    <x v="0"/>
    <x v="0"/>
    <n v="770"/>
    <n v="16"/>
    <n v="22"/>
    <n v="122"/>
    <n v="30"/>
    <n v="111"/>
    <n v="7"/>
    <n v="53"/>
    <n v="15"/>
    <n v="15"/>
    <n v="19"/>
    <n v="41"/>
    <n v="7"/>
    <n v="2"/>
  </r>
  <r>
    <x v="31"/>
    <x v="1"/>
    <x v="0"/>
    <n v="950"/>
    <n v="15"/>
    <n v="17"/>
    <n v="130"/>
    <n v="25"/>
    <n v="168"/>
    <n v="11"/>
    <n v="40"/>
    <n v="5"/>
    <n v="8"/>
    <n v="22"/>
    <n v="23"/>
    <n v="10"/>
    <n v="4"/>
  </r>
  <r>
    <x v="31"/>
    <x v="0"/>
    <x v="1"/>
    <n v="702"/>
    <n v="8"/>
    <n v="15"/>
    <n v="88"/>
    <n v="25"/>
    <n v="103"/>
    <n v="15"/>
    <n v="26"/>
    <n v="7"/>
    <n v="6"/>
    <n v="25"/>
    <n v="27"/>
    <n v="11"/>
    <n v="3"/>
  </r>
  <r>
    <x v="31"/>
    <x v="1"/>
    <x v="1"/>
    <n v="956"/>
    <n v="14"/>
    <n v="8"/>
    <n v="80"/>
    <n v="45"/>
    <n v="167"/>
    <n v="6"/>
    <n v="36"/>
    <n v="7"/>
    <n v="10"/>
    <n v="26"/>
    <n v="22"/>
    <n v="8"/>
    <n v="5"/>
  </r>
  <r>
    <x v="31"/>
    <x v="0"/>
    <x v="2"/>
    <n v="967"/>
    <n v="31"/>
    <n v="57"/>
    <n v="190"/>
    <n v="34"/>
    <n v="151"/>
    <n v="16"/>
    <n v="107"/>
    <n v="25"/>
    <n v="31"/>
    <n v="97"/>
    <n v="89"/>
    <n v="83"/>
    <n v="20"/>
  </r>
  <r>
    <x v="31"/>
    <x v="1"/>
    <x v="2"/>
    <n v="1074"/>
    <n v="37"/>
    <n v="30"/>
    <n v="151"/>
    <n v="44"/>
    <n v="195"/>
    <n v="39"/>
    <n v="114"/>
    <n v="38"/>
    <n v="29"/>
    <n v="159"/>
    <n v="113"/>
    <n v="113"/>
    <n v="14"/>
  </r>
  <r>
    <x v="31"/>
    <x v="0"/>
    <x v="3"/>
    <n v="821"/>
    <n v="56"/>
    <n v="30"/>
    <n v="204"/>
    <n v="37"/>
    <n v="229"/>
    <n v="48"/>
    <n v="242"/>
    <n v="86"/>
    <n v="53"/>
    <n v="289"/>
    <n v="237"/>
    <n v="166"/>
    <n v="9"/>
  </r>
  <r>
    <x v="31"/>
    <x v="1"/>
    <x v="3"/>
    <n v="1167"/>
    <n v="22"/>
    <n v="57"/>
    <n v="227"/>
    <n v="76"/>
    <n v="271"/>
    <n v="64"/>
    <n v="205"/>
    <n v="91"/>
    <n v="39"/>
    <n v="213"/>
    <n v="167"/>
    <n v="159"/>
    <n v="13"/>
  </r>
  <r>
    <x v="31"/>
    <x v="0"/>
    <x v="4"/>
    <n v="844"/>
    <n v="57"/>
    <n v="29"/>
    <n v="155"/>
    <n v="63"/>
    <n v="219"/>
    <n v="33"/>
    <n v="132"/>
    <n v="52"/>
    <n v="33"/>
    <n v="141"/>
    <n v="138"/>
    <n v="72"/>
    <n v="7"/>
  </r>
  <r>
    <x v="31"/>
    <x v="1"/>
    <x v="4"/>
    <n v="1063"/>
    <n v="43"/>
    <n v="33"/>
    <n v="198"/>
    <n v="81"/>
    <n v="202"/>
    <n v="36"/>
    <n v="195"/>
    <n v="52"/>
    <n v="30"/>
    <n v="186"/>
    <n v="151"/>
    <n v="101"/>
    <n v="3"/>
  </r>
  <r>
    <x v="31"/>
    <x v="0"/>
    <x v="5"/>
    <n v="935"/>
    <n v="31"/>
    <n v="20"/>
    <n v="174"/>
    <n v="45"/>
    <n v="231"/>
    <n v="29"/>
    <n v="89"/>
    <n v="46"/>
    <n v="29"/>
    <n v="63"/>
    <n v="82"/>
    <n v="23"/>
    <n v="2"/>
  </r>
  <r>
    <x v="31"/>
    <x v="1"/>
    <x v="5"/>
    <n v="1119"/>
    <n v="67"/>
    <n v="44"/>
    <n v="150"/>
    <n v="46"/>
    <n v="259"/>
    <n v="20"/>
    <n v="63"/>
    <n v="52"/>
    <n v="28"/>
    <n v="90"/>
    <n v="99"/>
    <n v="36"/>
    <n v="7"/>
  </r>
  <r>
    <x v="31"/>
    <x v="0"/>
    <x v="6"/>
    <n v="862"/>
    <n v="29"/>
    <n v="15"/>
    <n v="83"/>
    <n v="14"/>
    <n v="224"/>
    <n v="14"/>
    <n v="34"/>
    <n v="28"/>
    <n v="23"/>
    <n v="40"/>
    <n v="35"/>
    <n v="15"/>
    <n v="0"/>
  </r>
  <r>
    <x v="31"/>
    <x v="1"/>
    <x v="6"/>
    <n v="1030"/>
    <n v="39"/>
    <n v="40"/>
    <n v="97"/>
    <n v="33"/>
    <n v="256"/>
    <n v="27"/>
    <n v="23"/>
    <n v="19"/>
    <n v="12"/>
    <n v="39"/>
    <n v="48"/>
    <n v="13"/>
    <n v="0"/>
  </r>
  <r>
    <x v="31"/>
    <x v="0"/>
    <x v="7"/>
    <n v="828"/>
    <n v="27"/>
    <n v="35"/>
    <n v="61"/>
    <n v="35"/>
    <n v="226"/>
    <n v="7"/>
    <n v="9"/>
    <n v="8"/>
    <n v="18"/>
    <n v="4"/>
    <n v="14"/>
    <n v="5"/>
    <n v="0"/>
  </r>
  <r>
    <x v="31"/>
    <x v="1"/>
    <x v="7"/>
    <n v="924"/>
    <n v="23"/>
    <n v="31"/>
    <n v="88"/>
    <n v="18"/>
    <n v="243"/>
    <n v="21"/>
    <n v="13"/>
    <n v="7"/>
    <n v="10"/>
    <n v="17"/>
    <n v="13"/>
    <n v="8"/>
    <n v="0"/>
  </r>
  <r>
    <x v="31"/>
    <x v="0"/>
    <x v="8"/>
    <n v="991"/>
    <n v="31"/>
    <n v="29"/>
    <n v="53"/>
    <n v="33"/>
    <n v="219"/>
    <n v="24"/>
    <n v="7"/>
    <n v="8"/>
    <n v="32"/>
    <n v="13"/>
    <n v="24"/>
    <n v="5"/>
    <n v="0"/>
  </r>
  <r>
    <x v="31"/>
    <x v="1"/>
    <x v="8"/>
    <n v="927"/>
    <n v="13"/>
    <n v="31"/>
    <n v="64"/>
    <n v="25"/>
    <n v="214"/>
    <n v="21"/>
    <n v="8"/>
    <n v="10"/>
    <n v="24"/>
    <n v="23"/>
    <n v="15"/>
    <n v="6"/>
    <n v="0"/>
  </r>
  <r>
    <x v="31"/>
    <x v="0"/>
    <x v="9"/>
    <n v="1110"/>
    <n v="46"/>
    <n v="55"/>
    <n v="80"/>
    <n v="90"/>
    <n v="307"/>
    <n v="36"/>
    <n v="37"/>
    <n v="22"/>
    <n v="45"/>
    <n v="33"/>
    <n v="44"/>
    <n v="12"/>
    <n v="2"/>
  </r>
  <r>
    <x v="31"/>
    <x v="1"/>
    <x v="9"/>
    <n v="1407"/>
    <n v="37"/>
    <n v="54"/>
    <n v="147"/>
    <n v="57"/>
    <n v="354"/>
    <n v="37"/>
    <n v="28"/>
    <n v="32"/>
    <n v="32"/>
    <n v="57"/>
    <n v="44"/>
    <n v="7"/>
    <n v="3"/>
  </r>
  <r>
    <x v="31"/>
    <x v="0"/>
    <x v="10"/>
    <n v="972"/>
    <n v="33"/>
    <n v="44"/>
    <n v="113"/>
    <n v="85"/>
    <n v="249"/>
    <n v="27"/>
    <n v="38"/>
    <n v="20"/>
    <n v="38"/>
    <n v="30"/>
    <n v="32"/>
    <n v="14"/>
    <n v="0"/>
  </r>
  <r>
    <x v="31"/>
    <x v="1"/>
    <x v="10"/>
    <n v="1106"/>
    <n v="32"/>
    <n v="48"/>
    <n v="119"/>
    <n v="41"/>
    <n v="236"/>
    <n v="18"/>
    <n v="26"/>
    <n v="21"/>
    <n v="16"/>
    <n v="33"/>
    <n v="31"/>
    <n v="15"/>
    <n v="0"/>
  </r>
  <r>
    <x v="31"/>
    <x v="0"/>
    <x v="11"/>
    <n v="1063"/>
    <n v="25"/>
    <n v="35"/>
    <n v="171"/>
    <n v="64"/>
    <n v="213"/>
    <n v="24"/>
    <n v="46"/>
    <n v="26"/>
    <n v="20"/>
    <n v="43"/>
    <n v="44"/>
    <n v="23"/>
    <n v="0"/>
  </r>
  <r>
    <x v="31"/>
    <x v="1"/>
    <x v="11"/>
    <n v="1251"/>
    <n v="29"/>
    <n v="26"/>
    <n v="192"/>
    <n v="48"/>
    <n v="224"/>
    <n v="23"/>
    <n v="69"/>
    <n v="30"/>
    <n v="23"/>
    <n v="48"/>
    <n v="51"/>
    <n v="19"/>
    <n v="2"/>
  </r>
  <r>
    <x v="32"/>
    <x v="0"/>
    <x v="0"/>
    <n v="1974"/>
    <n v="91"/>
    <n v="50"/>
    <n v="306"/>
    <n v="36"/>
    <n v="344"/>
    <n v="52"/>
    <n v="166"/>
    <n v="45"/>
    <n v="46"/>
    <n v="73"/>
    <n v="63"/>
    <n v="29"/>
    <n v="9"/>
  </r>
  <r>
    <x v="32"/>
    <x v="1"/>
    <x v="0"/>
    <n v="2302"/>
    <n v="74"/>
    <n v="66"/>
    <n v="306"/>
    <n v="14"/>
    <n v="305"/>
    <n v="39"/>
    <n v="135"/>
    <n v="57"/>
    <n v="27"/>
    <n v="73"/>
    <n v="69"/>
    <n v="41"/>
    <n v="4"/>
  </r>
  <r>
    <x v="32"/>
    <x v="0"/>
    <x v="1"/>
    <n v="2067"/>
    <n v="87"/>
    <n v="37"/>
    <n v="202"/>
    <n v="46"/>
    <n v="314"/>
    <n v="48"/>
    <n v="134"/>
    <n v="40"/>
    <n v="39"/>
    <n v="51"/>
    <n v="59"/>
    <n v="26"/>
    <n v="1"/>
  </r>
  <r>
    <x v="32"/>
    <x v="1"/>
    <x v="1"/>
    <n v="2414"/>
    <n v="97"/>
    <n v="39"/>
    <n v="187"/>
    <n v="110"/>
    <n v="443"/>
    <n v="48"/>
    <n v="162"/>
    <n v="57"/>
    <n v="33"/>
    <n v="91"/>
    <n v="73"/>
    <n v="33"/>
    <n v="6"/>
  </r>
  <r>
    <x v="32"/>
    <x v="0"/>
    <x v="2"/>
    <n v="2334"/>
    <n v="97"/>
    <n v="124"/>
    <n v="334"/>
    <n v="32"/>
    <n v="363"/>
    <n v="60"/>
    <n v="210"/>
    <n v="66"/>
    <n v="64"/>
    <n v="218"/>
    <n v="173"/>
    <n v="130"/>
    <n v="12"/>
  </r>
  <r>
    <x v="32"/>
    <x v="1"/>
    <x v="2"/>
    <n v="2779"/>
    <n v="111"/>
    <n v="93"/>
    <n v="417"/>
    <n v="38"/>
    <n v="499"/>
    <n v="80"/>
    <n v="289"/>
    <n v="86"/>
    <n v="76"/>
    <n v="363"/>
    <n v="211"/>
    <n v="241"/>
    <n v="11"/>
  </r>
  <r>
    <x v="32"/>
    <x v="0"/>
    <x v="3"/>
    <n v="2386"/>
    <n v="111"/>
    <n v="146"/>
    <n v="509"/>
    <n v="42"/>
    <n v="503"/>
    <n v="135"/>
    <n v="733"/>
    <n v="273"/>
    <n v="141"/>
    <n v="659"/>
    <n v="424"/>
    <n v="394"/>
    <n v="22"/>
  </r>
  <r>
    <x v="32"/>
    <x v="1"/>
    <x v="3"/>
    <n v="2878"/>
    <n v="107"/>
    <n v="108"/>
    <n v="438"/>
    <n v="101"/>
    <n v="571"/>
    <n v="109"/>
    <n v="646"/>
    <n v="209"/>
    <n v="98"/>
    <n v="513"/>
    <n v="339"/>
    <n v="289"/>
    <n v="18"/>
  </r>
  <r>
    <x v="32"/>
    <x v="0"/>
    <x v="4"/>
    <n v="2079"/>
    <n v="145"/>
    <n v="103"/>
    <n v="377"/>
    <n v="101"/>
    <n v="492"/>
    <n v="79"/>
    <n v="359"/>
    <n v="167"/>
    <n v="95"/>
    <n v="330"/>
    <n v="309"/>
    <n v="224"/>
    <n v="13"/>
  </r>
  <r>
    <x v="32"/>
    <x v="1"/>
    <x v="4"/>
    <n v="2420"/>
    <n v="189"/>
    <n v="94"/>
    <n v="450"/>
    <n v="53"/>
    <n v="446"/>
    <n v="102"/>
    <n v="371"/>
    <n v="167"/>
    <n v="61"/>
    <n v="395"/>
    <n v="268"/>
    <n v="207"/>
    <n v="16"/>
  </r>
  <r>
    <x v="32"/>
    <x v="0"/>
    <x v="5"/>
    <n v="2485"/>
    <n v="107"/>
    <n v="97"/>
    <n v="298"/>
    <n v="101"/>
    <n v="570"/>
    <n v="53"/>
    <n v="162"/>
    <n v="116"/>
    <n v="70"/>
    <n v="164"/>
    <n v="167"/>
    <n v="66"/>
    <n v="6"/>
  </r>
  <r>
    <x v="32"/>
    <x v="1"/>
    <x v="5"/>
    <n v="2663"/>
    <n v="113"/>
    <n v="108"/>
    <n v="382"/>
    <n v="73"/>
    <n v="632"/>
    <n v="89"/>
    <n v="203"/>
    <n v="110"/>
    <n v="78"/>
    <n v="221"/>
    <n v="194"/>
    <n v="106"/>
    <n v="14"/>
  </r>
  <r>
    <x v="32"/>
    <x v="0"/>
    <x v="6"/>
    <n v="2086"/>
    <n v="109"/>
    <n v="95"/>
    <n v="192"/>
    <n v="74"/>
    <n v="522"/>
    <n v="62"/>
    <n v="94"/>
    <n v="62"/>
    <n v="65"/>
    <n v="82"/>
    <n v="92"/>
    <n v="46"/>
    <n v="0"/>
  </r>
  <r>
    <x v="32"/>
    <x v="1"/>
    <x v="6"/>
    <n v="2664"/>
    <n v="126"/>
    <n v="79"/>
    <n v="196"/>
    <n v="91"/>
    <n v="639"/>
    <n v="51"/>
    <n v="103"/>
    <n v="58"/>
    <n v="63"/>
    <n v="79"/>
    <n v="78"/>
    <n v="43"/>
    <n v="8"/>
  </r>
  <r>
    <x v="32"/>
    <x v="0"/>
    <x v="7"/>
    <n v="2015"/>
    <n v="96"/>
    <n v="91"/>
    <n v="126"/>
    <n v="55"/>
    <n v="560"/>
    <n v="58"/>
    <n v="33"/>
    <n v="28"/>
    <n v="55"/>
    <n v="29"/>
    <n v="39"/>
    <n v="15"/>
    <n v="2"/>
  </r>
  <r>
    <x v="32"/>
    <x v="1"/>
    <x v="7"/>
    <n v="1751"/>
    <n v="74"/>
    <n v="66"/>
    <n v="123"/>
    <n v="12"/>
    <n v="464"/>
    <n v="40"/>
    <n v="47"/>
    <n v="26"/>
    <n v="51"/>
    <n v="53"/>
    <n v="41"/>
    <n v="21"/>
    <n v="0"/>
  </r>
  <r>
    <x v="32"/>
    <x v="0"/>
    <x v="8"/>
    <n v="2365"/>
    <n v="99"/>
    <n v="86"/>
    <n v="122"/>
    <n v="107"/>
    <n v="629"/>
    <n v="87"/>
    <n v="60"/>
    <n v="48"/>
    <n v="79"/>
    <n v="32"/>
    <n v="45"/>
    <n v="13"/>
    <n v="0"/>
  </r>
  <r>
    <x v="32"/>
    <x v="1"/>
    <x v="8"/>
    <n v="1938"/>
    <n v="85"/>
    <n v="97"/>
    <n v="183"/>
    <n v="29"/>
    <n v="422"/>
    <n v="67"/>
    <n v="27"/>
    <n v="19"/>
    <n v="48"/>
    <n v="37"/>
    <n v="43"/>
    <n v="18"/>
    <n v="2"/>
  </r>
  <r>
    <x v="32"/>
    <x v="0"/>
    <x v="9"/>
    <n v="2798"/>
    <n v="120"/>
    <n v="157"/>
    <n v="203"/>
    <n v="177"/>
    <n v="755"/>
    <n v="117"/>
    <n v="69"/>
    <n v="56"/>
    <n v="83"/>
    <n v="73"/>
    <n v="70"/>
    <n v="37"/>
    <n v="3"/>
  </r>
  <r>
    <x v="32"/>
    <x v="1"/>
    <x v="9"/>
    <n v="2579"/>
    <n v="141"/>
    <n v="125"/>
    <n v="285"/>
    <n v="30"/>
    <n v="538"/>
    <n v="89"/>
    <n v="74"/>
    <n v="73"/>
    <n v="117"/>
    <n v="74"/>
    <n v="81"/>
    <n v="39"/>
    <n v="0"/>
  </r>
  <r>
    <x v="32"/>
    <x v="0"/>
    <x v="10"/>
    <n v="2320"/>
    <n v="180"/>
    <n v="96"/>
    <n v="309"/>
    <n v="114"/>
    <n v="663"/>
    <n v="79"/>
    <n v="95"/>
    <n v="69"/>
    <n v="81"/>
    <n v="103"/>
    <n v="100"/>
    <n v="47"/>
    <n v="1"/>
  </r>
  <r>
    <x v="32"/>
    <x v="1"/>
    <x v="10"/>
    <n v="2297"/>
    <n v="127"/>
    <n v="53"/>
    <n v="226"/>
    <n v="70"/>
    <n v="473"/>
    <n v="60"/>
    <n v="100"/>
    <n v="43"/>
    <n v="69"/>
    <n v="53"/>
    <n v="60"/>
    <n v="30"/>
    <n v="0"/>
  </r>
  <r>
    <x v="32"/>
    <x v="0"/>
    <x v="11"/>
    <n v="2499"/>
    <n v="139"/>
    <n v="101"/>
    <n v="360"/>
    <n v="40"/>
    <n v="464"/>
    <n v="52"/>
    <n v="164"/>
    <n v="63"/>
    <n v="62"/>
    <n v="100"/>
    <n v="82"/>
    <n v="37"/>
    <n v="3"/>
  </r>
  <r>
    <x v="32"/>
    <x v="1"/>
    <x v="11"/>
    <n v="2710"/>
    <n v="107"/>
    <n v="77"/>
    <n v="404"/>
    <n v="53"/>
    <n v="538"/>
    <n v="58"/>
    <n v="202"/>
    <n v="64"/>
    <n v="61"/>
    <n v="117"/>
    <n v="85"/>
    <n v="49"/>
    <n v="0"/>
  </r>
  <r>
    <x v="33"/>
    <x v="0"/>
    <x v="0"/>
    <n v="555"/>
    <n v="30"/>
    <n v="11"/>
    <n v="80"/>
    <n v="32"/>
    <n v="86"/>
    <n v="21"/>
    <n v="28"/>
    <n v="17"/>
    <n v="11"/>
    <n v="36"/>
    <n v="30"/>
    <n v="6"/>
    <n v="0"/>
  </r>
  <r>
    <x v="33"/>
    <x v="1"/>
    <x v="0"/>
    <n v="629"/>
    <n v="30"/>
    <n v="17"/>
    <n v="94"/>
    <n v="16"/>
    <n v="100"/>
    <n v="12"/>
    <n v="62"/>
    <n v="17"/>
    <n v="17"/>
    <n v="38"/>
    <n v="20"/>
    <n v="15"/>
    <n v="0"/>
  </r>
  <r>
    <x v="33"/>
    <x v="0"/>
    <x v="1"/>
    <n v="494"/>
    <n v="19"/>
    <n v="7"/>
    <n v="61"/>
    <n v="37"/>
    <n v="98"/>
    <n v="15"/>
    <n v="41"/>
    <n v="14"/>
    <n v="10"/>
    <n v="25"/>
    <n v="22"/>
    <n v="12"/>
    <n v="2"/>
  </r>
  <r>
    <x v="33"/>
    <x v="1"/>
    <x v="1"/>
    <n v="538"/>
    <n v="9"/>
    <n v="10"/>
    <n v="39"/>
    <n v="43"/>
    <n v="133"/>
    <n v="12"/>
    <n v="49"/>
    <n v="19"/>
    <n v="17"/>
    <n v="35"/>
    <n v="28"/>
    <n v="5"/>
    <n v="6"/>
  </r>
  <r>
    <x v="33"/>
    <x v="0"/>
    <x v="2"/>
    <n v="604"/>
    <n v="22"/>
    <n v="49"/>
    <n v="112"/>
    <n v="19"/>
    <n v="117"/>
    <n v="25"/>
    <n v="62"/>
    <n v="17"/>
    <n v="12"/>
    <n v="94"/>
    <n v="55"/>
    <n v="43"/>
    <n v="0"/>
  </r>
  <r>
    <x v="33"/>
    <x v="1"/>
    <x v="2"/>
    <n v="630"/>
    <n v="29"/>
    <n v="33"/>
    <n v="139"/>
    <n v="22"/>
    <n v="124"/>
    <n v="23"/>
    <n v="83"/>
    <n v="30"/>
    <n v="15"/>
    <n v="144"/>
    <n v="72"/>
    <n v="101"/>
    <n v="0"/>
  </r>
  <r>
    <x v="33"/>
    <x v="0"/>
    <x v="3"/>
    <n v="607"/>
    <n v="45"/>
    <n v="33"/>
    <n v="167"/>
    <n v="29"/>
    <n v="169"/>
    <n v="46"/>
    <n v="235"/>
    <n v="94"/>
    <n v="54"/>
    <n v="236"/>
    <n v="136"/>
    <n v="150"/>
    <n v="3"/>
  </r>
  <r>
    <x v="33"/>
    <x v="1"/>
    <x v="3"/>
    <n v="789"/>
    <n v="47"/>
    <n v="34"/>
    <n v="134"/>
    <n v="56"/>
    <n v="179"/>
    <n v="31"/>
    <n v="233"/>
    <n v="87"/>
    <n v="37"/>
    <n v="182"/>
    <n v="98"/>
    <n v="89"/>
    <n v="6"/>
  </r>
  <r>
    <x v="33"/>
    <x v="0"/>
    <x v="4"/>
    <n v="524"/>
    <n v="44"/>
    <n v="22"/>
    <n v="92"/>
    <n v="49"/>
    <n v="157"/>
    <n v="13"/>
    <n v="103"/>
    <n v="39"/>
    <n v="25"/>
    <n v="136"/>
    <n v="98"/>
    <n v="110"/>
    <n v="5"/>
  </r>
  <r>
    <x v="33"/>
    <x v="1"/>
    <x v="4"/>
    <n v="632"/>
    <n v="49"/>
    <n v="33"/>
    <n v="136"/>
    <n v="59"/>
    <n v="201"/>
    <n v="55"/>
    <n v="124"/>
    <n v="59"/>
    <n v="23"/>
    <n v="153"/>
    <n v="98"/>
    <n v="77"/>
    <n v="2"/>
  </r>
  <r>
    <x v="33"/>
    <x v="0"/>
    <x v="5"/>
    <n v="591"/>
    <n v="66"/>
    <n v="35"/>
    <n v="66"/>
    <n v="41"/>
    <n v="215"/>
    <n v="23"/>
    <n v="49"/>
    <n v="30"/>
    <n v="34"/>
    <n v="52"/>
    <n v="67"/>
    <n v="30"/>
    <n v="6"/>
  </r>
  <r>
    <x v="33"/>
    <x v="1"/>
    <x v="5"/>
    <n v="669"/>
    <n v="57"/>
    <n v="28"/>
    <n v="91"/>
    <n v="48"/>
    <n v="182"/>
    <n v="32"/>
    <n v="78"/>
    <n v="45"/>
    <n v="56"/>
    <n v="106"/>
    <n v="62"/>
    <n v="35"/>
    <n v="5"/>
  </r>
  <r>
    <x v="33"/>
    <x v="0"/>
    <x v="6"/>
    <n v="570"/>
    <n v="52"/>
    <n v="28"/>
    <n v="48"/>
    <n v="32"/>
    <n v="181"/>
    <n v="15"/>
    <n v="28"/>
    <n v="15"/>
    <n v="25"/>
    <n v="17"/>
    <n v="22"/>
    <n v="9"/>
    <n v="0"/>
  </r>
  <r>
    <x v="33"/>
    <x v="1"/>
    <x v="6"/>
    <n v="698"/>
    <n v="54"/>
    <n v="25"/>
    <n v="59"/>
    <n v="39"/>
    <n v="191"/>
    <n v="19"/>
    <n v="32"/>
    <n v="20"/>
    <n v="17"/>
    <n v="24"/>
    <n v="29"/>
    <n v="16"/>
    <n v="1"/>
  </r>
  <r>
    <x v="33"/>
    <x v="0"/>
    <x v="7"/>
    <n v="513"/>
    <n v="35"/>
    <n v="37"/>
    <n v="40"/>
    <n v="10"/>
    <n v="138"/>
    <n v="25"/>
    <n v="17"/>
    <n v="4"/>
    <n v="23"/>
    <n v="4"/>
    <n v="19"/>
    <n v="6"/>
    <n v="0"/>
  </r>
  <r>
    <x v="33"/>
    <x v="1"/>
    <x v="7"/>
    <n v="537"/>
    <n v="18"/>
    <n v="27"/>
    <n v="49"/>
    <n v="26"/>
    <n v="178"/>
    <n v="12"/>
    <n v="29"/>
    <n v="12"/>
    <n v="18"/>
    <n v="18"/>
    <n v="14"/>
    <n v="8"/>
    <n v="0"/>
  </r>
  <r>
    <x v="33"/>
    <x v="0"/>
    <x v="8"/>
    <n v="567"/>
    <n v="29"/>
    <n v="28"/>
    <n v="33"/>
    <n v="66"/>
    <n v="211"/>
    <n v="19"/>
    <n v="19"/>
    <n v="14"/>
    <n v="42"/>
    <n v="15"/>
    <n v="17"/>
    <n v="5"/>
    <n v="0"/>
  </r>
  <r>
    <x v="33"/>
    <x v="1"/>
    <x v="8"/>
    <n v="553"/>
    <n v="35"/>
    <n v="32"/>
    <n v="66"/>
    <n v="17"/>
    <n v="166"/>
    <n v="18"/>
    <n v="9"/>
    <n v="10"/>
    <n v="25"/>
    <n v="12"/>
    <n v="16"/>
    <n v="6"/>
    <n v="0"/>
  </r>
  <r>
    <x v="33"/>
    <x v="0"/>
    <x v="9"/>
    <n v="690"/>
    <n v="59"/>
    <n v="58"/>
    <n v="47"/>
    <n v="59"/>
    <n v="219"/>
    <n v="31"/>
    <n v="43"/>
    <n v="22"/>
    <n v="34"/>
    <n v="35"/>
    <n v="40"/>
    <n v="9"/>
    <n v="0"/>
  </r>
  <r>
    <x v="33"/>
    <x v="1"/>
    <x v="9"/>
    <n v="761"/>
    <n v="55"/>
    <n v="45"/>
    <n v="89"/>
    <n v="32"/>
    <n v="224"/>
    <n v="45"/>
    <n v="31"/>
    <n v="19"/>
    <n v="57"/>
    <n v="49"/>
    <n v="42"/>
    <n v="12"/>
    <n v="0"/>
  </r>
  <r>
    <x v="33"/>
    <x v="0"/>
    <x v="10"/>
    <n v="650"/>
    <n v="43"/>
    <n v="42"/>
    <n v="78"/>
    <n v="32"/>
    <n v="178"/>
    <n v="28"/>
    <n v="47"/>
    <n v="11"/>
    <n v="44"/>
    <n v="45"/>
    <n v="31"/>
    <n v="18"/>
    <n v="0"/>
  </r>
  <r>
    <x v="33"/>
    <x v="1"/>
    <x v="10"/>
    <n v="672"/>
    <n v="32"/>
    <n v="36"/>
    <n v="84"/>
    <n v="30"/>
    <n v="142"/>
    <n v="24"/>
    <n v="31"/>
    <n v="18"/>
    <n v="33"/>
    <n v="24"/>
    <n v="30"/>
    <n v="11"/>
    <n v="0"/>
  </r>
  <r>
    <x v="33"/>
    <x v="0"/>
    <x v="11"/>
    <n v="628"/>
    <n v="61"/>
    <n v="38"/>
    <n v="123"/>
    <n v="34"/>
    <n v="155"/>
    <n v="36"/>
    <n v="65"/>
    <n v="35"/>
    <n v="26"/>
    <n v="39"/>
    <n v="24"/>
    <n v="13"/>
    <n v="0"/>
  </r>
  <r>
    <x v="33"/>
    <x v="1"/>
    <x v="11"/>
    <n v="631"/>
    <n v="43"/>
    <n v="37"/>
    <n v="110"/>
    <n v="21"/>
    <n v="143"/>
    <n v="21"/>
    <n v="69"/>
    <n v="22"/>
    <n v="26"/>
    <n v="44"/>
    <n v="41"/>
    <n v="9"/>
    <n v="0"/>
  </r>
  <r>
    <x v="34"/>
    <x v="0"/>
    <x v="0"/>
    <n v="217"/>
    <n v="2"/>
    <n v="0"/>
    <n v="27"/>
    <n v="0"/>
    <n v="29"/>
    <n v="2"/>
    <n v="7"/>
    <n v="1"/>
    <n v="2"/>
    <n v="4"/>
    <n v="4"/>
    <n v="4"/>
    <n v="0"/>
  </r>
  <r>
    <x v="34"/>
    <x v="1"/>
    <x v="0"/>
    <n v="158"/>
    <n v="8"/>
    <n v="0"/>
    <n v="23"/>
    <n v="2"/>
    <n v="40"/>
    <n v="3"/>
    <n v="28"/>
    <n v="6"/>
    <n v="9"/>
    <n v="3"/>
    <n v="5"/>
    <n v="5"/>
    <n v="1"/>
  </r>
  <r>
    <x v="34"/>
    <x v="0"/>
    <x v="1"/>
    <n v="170"/>
    <n v="6"/>
    <n v="1"/>
    <n v="12"/>
    <n v="1"/>
    <n v="21"/>
    <n v="3"/>
    <n v="6"/>
    <n v="1"/>
    <n v="0"/>
    <n v="4"/>
    <n v="2"/>
    <n v="3"/>
    <n v="4"/>
  </r>
  <r>
    <x v="34"/>
    <x v="1"/>
    <x v="1"/>
    <n v="216"/>
    <n v="12"/>
    <n v="1"/>
    <n v="11"/>
    <n v="2"/>
    <n v="33"/>
    <n v="0"/>
    <n v="6"/>
    <n v="3"/>
    <n v="0"/>
    <n v="6"/>
    <n v="2"/>
    <n v="2"/>
    <n v="0"/>
  </r>
  <r>
    <x v="34"/>
    <x v="0"/>
    <x v="2"/>
    <n v="211"/>
    <n v="1"/>
    <n v="2"/>
    <n v="36"/>
    <n v="2"/>
    <n v="44"/>
    <n v="1"/>
    <n v="23"/>
    <n v="1"/>
    <n v="6"/>
    <n v="12"/>
    <n v="16"/>
    <n v="16"/>
    <n v="6"/>
  </r>
  <r>
    <x v="34"/>
    <x v="1"/>
    <x v="2"/>
    <n v="220"/>
    <n v="15"/>
    <n v="4"/>
    <n v="19"/>
    <n v="3"/>
    <n v="48"/>
    <n v="4"/>
    <n v="39"/>
    <n v="7"/>
    <n v="11"/>
    <n v="16"/>
    <n v="23"/>
    <n v="26"/>
    <n v="2"/>
  </r>
  <r>
    <x v="34"/>
    <x v="0"/>
    <x v="3"/>
    <n v="203"/>
    <n v="4"/>
    <n v="2"/>
    <n v="21"/>
    <n v="5"/>
    <n v="46"/>
    <n v="15"/>
    <n v="42"/>
    <n v="5"/>
    <n v="7"/>
    <n v="23"/>
    <n v="38"/>
    <n v="24"/>
    <n v="0"/>
  </r>
  <r>
    <x v="34"/>
    <x v="1"/>
    <x v="3"/>
    <n v="247"/>
    <n v="6"/>
    <n v="5"/>
    <n v="43"/>
    <n v="8"/>
    <n v="53"/>
    <n v="6"/>
    <n v="39"/>
    <n v="12"/>
    <n v="7"/>
    <n v="24"/>
    <n v="50"/>
    <n v="18"/>
    <n v="8"/>
  </r>
  <r>
    <x v="34"/>
    <x v="0"/>
    <x v="4"/>
    <n v="159"/>
    <n v="7"/>
    <n v="2"/>
    <n v="50"/>
    <n v="4"/>
    <n v="27"/>
    <n v="2"/>
    <n v="24"/>
    <n v="7"/>
    <n v="2"/>
    <n v="17"/>
    <n v="37"/>
    <n v="13"/>
    <n v="1"/>
  </r>
  <r>
    <x v="34"/>
    <x v="1"/>
    <x v="4"/>
    <n v="216"/>
    <n v="11"/>
    <n v="2"/>
    <n v="35"/>
    <n v="7"/>
    <n v="50"/>
    <n v="6"/>
    <n v="36"/>
    <n v="9"/>
    <n v="4"/>
    <n v="8"/>
    <n v="10"/>
    <n v="7"/>
    <n v="4"/>
  </r>
  <r>
    <x v="34"/>
    <x v="0"/>
    <x v="5"/>
    <n v="210"/>
    <n v="15"/>
    <n v="2"/>
    <n v="18"/>
    <n v="3"/>
    <n v="47"/>
    <n v="5"/>
    <n v="24"/>
    <n v="0"/>
    <n v="4"/>
    <n v="4"/>
    <n v="12"/>
    <n v="7"/>
    <n v="0"/>
  </r>
  <r>
    <x v="34"/>
    <x v="1"/>
    <x v="5"/>
    <n v="248"/>
    <n v="11"/>
    <n v="3"/>
    <n v="28"/>
    <n v="2"/>
    <n v="51"/>
    <n v="7"/>
    <n v="15"/>
    <n v="15"/>
    <n v="4"/>
    <n v="7"/>
    <n v="21"/>
    <n v="6"/>
    <n v="0"/>
  </r>
  <r>
    <x v="34"/>
    <x v="0"/>
    <x v="6"/>
    <n v="201"/>
    <n v="12"/>
    <n v="22"/>
    <n v="13"/>
    <n v="1"/>
    <n v="50"/>
    <n v="7"/>
    <n v="16"/>
    <n v="2"/>
    <n v="13"/>
    <n v="7"/>
    <n v="10"/>
    <n v="9"/>
    <n v="0"/>
  </r>
  <r>
    <x v="34"/>
    <x v="1"/>
    <x v="6"/>
    <n v="240"/>
    <n v="1"/>
    <n v="4"/>
    <n v="10"/>
    <n v="4"/>
    <n v="74"/>
    <n v="5"/>
    <n v="11"/>
    <n v="6"/>
    <n v="4"/>
    <n v="4"/>
    <n v="6"/>
    <n v="3"/>
    <n v="0"/>
  </r>
  <r>
    <x v="34"/>
    <x v="0"/>
    <x v="7"/>
    <n v="225"/>
    <n v="9"/>
    <n v="26"/>
    <n v="14"/>
    <n v="11"/>
    <n v="39"/>
    <n v="5"/>
    <n v="7"/>
    <n v="0"/>
    <n v="24"/>
    <n v="5"/>
    <n v="3"/>
    <n v="3"/>
    <n v="0"/>
  </r>
  <r>
    <x v="34"/>
    <x v="1"/>
    <x v="7"/>
    <n v="215"/>
    <n v="7"/>
    <n v="6"/>
    <n v="14"/>
    <n v="9"/>
    <n v="48"/>
    <n v="2"/>
    <n v="3"/>
    <n v="1"/>
    <n v="9"/>
    <n v="1"/>
    <n v="1"/>
    <n v="1"/>
    <n v="0"/>
  </r>
  <r>
    <x v="34"/>
    <x v="0"/>
    <x v="8"/>
    <n v="249"/>
    <n v="4"/>
    <n v="8"/>
    <n v="16"/>
    <n v="2"/>
    <n v="49"/>
    <n v="6"/>
    <n v="4"/>
    <n v="1"/>
    <n v="4"/>
    <n v="2"/>
    <n v="5"/>
    <n v="2"/>
    <n v="0"/>
  </r>
  <r>
    <x v="34"/>
    <x v="1"/>
    <x v="8"/>
    <n v="280"/>
    <n v="16"/>
    <n v="4"/>
    <n v="13"/>
    <n v="1"/>
    <n v="59"/>
    <n v="1"/>
    <n v="1"/>
    <n v="4"/>
    <n v="10"/>
    <n v="7"/>
    <n v="5"/>
    <n v="5"/>
    <n v="0"/>
  </r>
  <r>
    <x v="34"/>
    <x v="0"/>
    <x v="9"/>
    <n v="218"/>
    <n v="18"/>
    <n v="26"/>
    <n v="16"/>
    <n v="2"/>
    <n v="46"/>
    <n v="11"/>
    <n v="27"/>
    <n v="7"/>
    <n v="18"/>
    <n v="2"/>
    <n v="6"/>
    <n v="5"/>
    <n v="0"/>
  </r>
  <r>
    <x v="34"/>
    <x v="1"/>
    <x v="9"/>
    <n v="324"/>
    <n v="24"/>
    <n v="15"/>
    <n v="19"/>
    <n v="5"/>
    <n v="80"/>
    <n v="4"/>
    <n v="18"/>
    <n v="10"/>
    <n v="13"/>
    <n v="5"/>
    <n v="10"/>
    <n v="3"/>
    <n v="0"/>
  </r>
  <r>
    <x v="34"/>
    <x v="0"/>
    <x v="10"/>
    <n v="259"/>
    <n v="17"/>
    <n v="7"/>
    <n v="36"/>
    <n v="4"/>
    <n v="63"/>
    <n v="6"/>
    <n v="8"/>
    <n v="2"/>
    <n v="0"/>
    <n v="3"/>
    <n v="7"/>
    <n v="2"/>
    <n v="0"/>
  </r>
  <r>
    <x v="34"/>
    <x v="1"/>
    <x v="10"/>
    <n v="246"/>
    <n v="29"/>
    <n v="11"/>
    <n v="12"/>
    <n v="1"/>
    <n v="57"/>
    <n v="6"/>
    <n v="21"/>
    <n v="2"/>
    <n v="8"/>
    <n v="5"/>
    <n v="12"/>
    <n v="5"/>
    <n v="0"/>
  </r>
  <r>
    <x v="34"/>
    <x v="0"/>
    <x v="11"/>
    <n v="226"/>
    <n v="3"/>
    <n v="2"/>
    <n v="26"/>
    <n v="3"/>
    <n v="50"/>
    <n v="1"/>
    <n v="14"/>
    <n v="6"/>
    <n v="3"/>
    <n v="13"/>
    <n v="8"/>
    <n v="1"/>
    <n v="0"/>
  </r>
  <r>
    <x v="34"/>
    <x v="1"/>
    <x v="11"/>
    <n v="260"/>
    <n v="7"/>
    <n v="4"/>
    <n v="43"/>
    <n v="3"/>
    <n v="56"/>
    <n v="1"/>
    <n v="25"/>
    <n v="5"/>
    <n v="3"/>
    <n v="7"/>
    <n v="11"/>
    <n v="9"/>
    <n v="0"/>
  </r>
  <r>
    <x v="35"/>
    <x v="0"/>
    <x v="0"/>
    <n v="1062"/>
    <n v="53"/>
    <n v="100"/>
    <n v="171"/>
    <n v="21"/>
    <n v="189"/>
    <n v="44"/>
    <n v="107"/>
    <n v="34"/>
    <n v="25"/>
    <n v="47"/>
    <n v="43"/>
    <n v="17"/>
    <n v="2"/>
  </r>
  <r>
    <x v="35"/>
    <x v="1"/>
    <x v="0"/>
    <n v="1242"/>
    <n v="65"/>
    <n v="109"/>
    <n v="176"/>
    <n v="14"/>
    <n v="190"/>
    <n v="32"/>
    <n v="117"/>
    <n v="28"/>
    <n v="24"/>
    <n v="41"/>
    <n v="49"/>
    <n v="29"/>
    <n v="7"/>
  </r>
  <r>
    <x v="35"/>
    <x v="0"/>
    <x v="1"/>
    <n v="1069"/>
    <n v="37"/>
    <n v="87"/>
    <n v="79"/>
    <n v="52"/>
    <n v="197"/>
    <n v="33"/>
    <n v="87"/>
    <n v="21"/>
    <n v="22"/>
    <n v="41"/>
    <n v="55"/>
    <n v="24"/>
    <n v="2"/>
  </r>
  <r>
    <x v="35"/>
    <x v="1"/>
    <x v="1"/>
    <n v="1314"/>
    <n v="42"/>
    <n v="113"/>
    <n v="46"/>
    <n v="97"/>
    <n v="294"/>
    <n v="56"/>
    <n v="108"/>
    <n v="23"/>
    <n v="21"/>
    <n v="50"/>
    <n v="59"/>
    <n v="21"/>
    <n v="11"/>
  </r>
  <r>
    <x v="35"/>
    <x v="0"/>
    <x v="2"/>
    <n v="1297"/>
    <n v="60"/>
    <n v="172"/>
    <n v="246"/>
    <n v="34"/>
    <n v="203"/>
    <n v="55"/>
    <n v="176"/>
    <n v="47"/>
    <n v="34"/>
    <n v="169"/>
    <n v="101"/>
    <n v="99"/>
    <n v="9"/>
  </r>
  <r>
    <x v="35"/>
    <x v="1"/>
    <x v="2"/>
    <n v="1606"/>
    <n v="59"/>
    <n v="198"/>
    <n v="246"/>
    <n v="63"/>
    <n v="300"/>
    <n v="81"/>
    <n v="201"/>
    <n v="41"/>
    <n v="50"/>
    <n v="257"/>
    <n v="178"/>
    <n v="164"/>
    <n v="6"/>
  </r>
  <r>
    <x v="35"/>
    <x v="0"/>
    <x v="3"/>
    <n v="1327"/>
    <n v="109"/>
    <n v="188"/>
    <n v="295"/>
    <n v="65"/>
    <n v="309"/>
    <n v="88"/>
    <n v="457"/>
    <n v="180"/>
    <n v="116"/>
    <n v="391"/>
    <n v="352"/>
    <n v="220"/>
    <n v="43"/>
  </r>
  <r>
    <x v="35"/>
    <x v="1"/>
    <x v="3"/>
    <n v="1609"/>
    <n v="63"/>
    <n v="150"/>
    <n v="259"/>
    <n v="99"/>
    <n v="346"/>
    <n v="85"/>
    <n v="376"/>
    <n v="140"/>
    <n v="82"/>
    <n v="315"/>
    <n v="246"/>
    <n v="148"/>
    <n v="17"/>
  </r>
  <r>
    <x v="35"/>
    <x v="0"/>
    <x v="4"/>
    <n v="1143"/>
    <n v="111"/>
    <n v="193"/>
    <n v="185"/>
    <n v="58"/>
    <n v="297"/>
    <n v="54"/>
    <n v="264"/>
    <n v="120"/>
    <n v="75"/>
    <n v="191"/>
    <n v="203"/>
    <n v="99"/>
    <n v="17"/>
  </r>
  <r>
    <x v="35"/>
    <x v="1"/>
    <x v="4"/>
    <n v="1491"/>
    <n v="81"/>
    <n v="166"/>
    <n v="178"/>
    <n v="88"/>
    <n v="335"/>
    <n v="79"/>
    <n v="258"/>
    <n v="121"/>
    <n v="69"/>
    <n v="278"/>
    <n v="218"/>
    <n v="129"/>
    <n v="17"/>
  </r>
  <r>
    <x v="35"/>
    <x v="0"/>
    <x v="5"/>
    <n v="1284"/>
    <n v="93"/>
    <n v="233"/>
    <n v="167"/>
    <n v="97"/>
    <n v="351"/>
    <n v="76"/>
    <n v="115"/>
    <n v="69"/>
    <n v="71"/>
    <n v="134"/>
    <n v="156"/>
    <n v="69"/>
    <n v="9"/>
  </r>
  <r>
    <x v="35"/>
    <x v="1"/>
    <x v="5"/>
    <n v="1613"/>
    <n v="83"/>
    <n v="229"/>
    <n v="186"/>
    <n v="77"/>
    <n v="354"/>
    <n v="84"/>
    <n v="118"/>
    <n v="87"/>
    <n v="90"/>
    <n v="141"/>
    <n v="145"/>
    <n v="68"/>
    <n v="7"/>
  </r>
  <r>
    <x v="35"/>
    <x v="0"/>
    <x v="6"/>
    <n v="1286"/>
    <n v="97"/>
    <n v="241"/>
    <n v="93"/>
    <n v="42"/>
    <n v="349"/>
    <n v="44"/>
    <n v="45"/>
    <n v="36"/>
    <n v="43"/>
    <n v="52"/>
    <n v="72"/>
    <n v="32"/>
    <n v="6"/>
  </r>
  <r>
    <x v="35"/>
    <x v="1"/>
    <x v="6"/>
    <n v="1323"/>
    <n v="59"/>
    <n v="167"/>
    <n v="63"/>
    <n v="68"/>
    <n v="367"/>
    <n v="53"/>
    <n v="43"/>
    <n v="41"/>
    <n v="58"/>
    <n v="55"/>
    <n v="51"/>
    <n v="19"/>
    <n v="0"/>
  </r>
  <r>
    <x v="35"/>
    <x v="0"/>
    <x v="7"/>
    <n v="1048"/>
    <n v="63"/>
    <n v="161"/>
    <n v="60"/>
    <n v="50"/>
    <n v="328"/>
    <n v="42"/>
    <n v="49"/>
    <n v="41"/>
    <n v="39"/>
    <n v="5"/>
    <n v="20"/>
    <n v="3"/>
    <n v="0"/>
  </r>
  <r>
    <x v="35"/>
    <x v="1"/>
    <x v="7"/>
    <n v="1379"/>
    <n v="58"/>
    <n v="144"/>
    <n v="91"/>
    <n v="23"/>
    <n v="291"/>
    <n v="48"/>
    <n v="20"/>
    <n v="27"/>
    <n v="42"/>
    <n v="18"/>
    <n v="28"/>
    <n v="7"/>
    <n v="0"/>
  </r>
  <r>
    <x v="35"/>
    <x v="0"/>
    <x v="8"/>
    <n v="1325"/>
    <n v="67"/>
    <n v="135"/>
    <n v="34"/>
    <n v="78"/>
    <n v="365"/>
    <n v="62"/>
    <n v="26"/>
    <n v="28"/>
    <n v="70"/>
    <n v="9"/>
    <n v="30"/>
    <n v="3"/>
    <n v="0"/>
  </r>
  <r>
    <x v="35"/>
    <x v="1"/>
    <x v="8"/>
    <n v="1328"/>
    <n v="87"/>
    <n v="125"/>
    <n v="97"/>
    <n v="15"/>
    <n v="292"/>
    <n v="44"/>
    <n v="30"/>
    <n v="28"/>
    <n v="41"/>
    <n v="25"/>
    <n v="29"/>
    <n v="6"/>
    <n v="0"/>
  </r>
  <r>
    <x v="35"/>
    <x v="0"/>
    <x v="9"/>
    <n v="1457"/>
    <n v="104"/>
    <n v="196"/>
    <n v="59"/>
    <n v="148"/>
    <n v="496"/>
    <n v="86"/>
    <n v="27"/>
    <n v="57"/>
    <n v="87"/>
    <n v="63"/>
    <n v="63"/>
    <n v="26"/>
    <n v="8"/>
  </r>
  <r>
    <x v="35"/>
    <x v="1"/>
    <x v="9"/>
    <n v="1811"/>
    <n v="132"/>
    <n v="190"/>
    <n v="202"/>
    <n v="61"/>
    <n v="438"/>
    <n v="92"/>
    <n v="88"/>
    <n v="59"/>
    <n v="90"/>
    <n v="54"/>
    <n v="65"/>
    <n v="38"/>
    <n v="1"/>
  </r>
  <r>
    <x v="35"/>
    <x v="0"/>
    <x v="10"/>
    <n v="1354"/>
    <n v="84"/>
    <n v="146"/>
    <n v="125"/>
    <n v="108"/>
    <n v="383"/>
    <n v="82"/>
    <n v="56"/>
    <n v="54"/>
    <n v="76"/>
    <n v="50"/>
    <n v="61"/>
    <n v="19"/>
    <n v="4"/>
  </r>
  <r>
    <x v="35"/>
    <x v="1"/>
    <x v="10"/>
    <n v="155"/>
    <n v="98"/>
    <n v="169"/>
    <n v="127"/>
    <n v="100"/>
    <n v="404"/>
    <n v="60"/>
    <n v="72"/>
    <n v="41"/>
    <n v="51"/>
    <n v="51"/>
    <n v="67"/>
    <n v="19"/>
    <n v="0"/>
  </r>
  <r>
    <x v="35"/>
    <x v="0"/>
    <x v="11"/>
    <n v="1375"/>
    <n v="84"/>
    <n v="163"/>
    <n v="222"/>
    <n v="72"/>
    <n v="336"/>
    <n v="62"/>
    <n v="117"/>
    <n v="55"/>
    <n v="45"/>
    <n v="63"/>
    <n v="81"/>
    <n v="23"/>
    <n v="0"/>
  </r>
  <r>
    <x v="35"/>
    <x v="1"/>
    <x v="11"/>
    <n v="1551"/>
    <n v="83"/>
    <n v="149"/>
    <n v="223"/>
    <n v="55"/>
    <n v="355"/>
    <n v="71"/>
    <n v="123"/>
    <n v="78"/>
    <n v="57"/>
    <n v="59"/>
    <n v="84"/>
    <n v="24"/>
    <n v="1"/>
  </r>
  <r>
    <x v="36"/>
    <x v="0"/>
    <x v="0"/>
    <n v="759"/>
    <n v="37"/>
    <n v="26"/>
    <n v="170"/>
    <n v="18"/>
    <n v="87"/>
    <n v="26"/>
    <n v="70"/>
    <n v="18"/>
    <n v="28"/>
    <n v="39"/>
    <n v="32"/>
    <n v="16"/>
    <n v="5"/>
  </r>
  <r>
    <x v="36"/>
    <x v="1"/>
    <x v="0"/>
    <n v="804"/>
    <n v="29"/>
    <n v="15"/>
    <n v="143"/>
    <n v="16"/>
    <n v="119"/>
    <n v="23"/>
    <n v="55"/>
    <n v="23"/>
    <n v="24"/>
    <n v="35"/>
    <n v="22"/>
    <n v="15"/>
    <n v="9"/>
  </r>
  <r>
    <x v="36"/>
    <x v="0"/>
    <x v="1"/>
    <n v="746"/>
    <n v="27"/>
    <n v="29"/>
    <n v="105"/>
    <n v="29"/>
    <n v="104"/>
    <n v="30"/>
    <n v="62"/>
    <n v="18"/>
    <n v="26"/>
    <n v="47"/>
    <n v="47"/>
    <n v="18"/>
    <n v="8"/>
  </r>
  <r>
    <x v="36"/>
    <x v="1"/>
    <x v="1"/>
    <n v="843"/>
    <n v="48"/>
    <n v="12"/>
    <n v="67"/>
    <n v="63"/>
    <n v="200"/>
    <n v="24"/>
    <n v="58"/>
    <n v="16"/>
    <n v="22"/>
    <n v="40"/>
    <n v="28"/>
    <n v="14"/>
    <n v="6"/>
  </r>
  <r>
    <x v="36"/>
    <x v="0"/>
    <x v="2"/>
    <n v="1039"/>
    <n v="53"/>
    <n v="37"/>
    <n v="179"/>
    <n v="39"/>
    <n v="168"/>
    <n v="39"/>
    <n v="173"/>
    <n v="46"/>
    <n v="42"/>
    <n v="252"/>
    <n v="130"/>
    <n v="154"/>
    <n v="23"/>
  </r>
  <r>
    <x v="36"/>
    <x v="1"/>
    <x v="2"/>
    <n v="1039"/>
    <n v="53"/>
    <n v="37"/>
    <n v="179"/>
    <n v="39"/>
    <n v="168"/>
    <n v="39"/>
    <n v="173"/>
    <n v="46"/>
    <n v="42"/>
    <n v="252"/>
    <n v="130"/>
    <n v="154"/>
    <n v="23"/>
  </r>
  <r>
    <x v="36"/>
    <x v="0"/>
    <x v="3"/>
    <n v="915"/>
    <n v="70"/>
    <n v="85"/>
    <n v="254"/>
    <n v="27"/>
    <n v="167"/>
    <n v="93"/>
    <n v="349"/>
    <n v="123"/>
    <n v="101"/>
    <n v="402"/>
    <n v="294"/>
    <n v="245"/>
    <n v="13"/>
  </r>
  <r>
    <x v="36"/>
    <x v="1"/>
    <x v="3"/>
    <n v="1148"/>
    <n v="59"/>
    <n v="54"/>
    <n v="212"/>
    <n v="25"/>
    <n v="214"/>
    <n v="67"/>
    <n v="270"/>
    <n v="130"/>
    <n v="70"/>
    <n v="283"/>
    <n v="194"/>
    <n v="154"/>
    <n v="9"/>
  </r>
  <r>
    <x v="36"/>
    <x v="0"/>
    <x v="4"/>
    <n v="726"/>
    <n v="67"/>
    <n v="38"/>
    <n v="165"/>
    <n v="35"/>
    <n v="175"/>
    <n v="65"/>
    <n v="182"/>
    <n v="82"/>
    <n v="49"/>
    <n v="146"/>
    <n v="139"/>
    <n v="81"/>
    <n v="4"/>
  </r>
  <r>
    <x v="36"/>
    <x v="1"/>
    <x v="4"/>
    <n v="964"/>
    <n v="56"/>
    <n v="50"/>
    <n v="173"/>
    <n v="63"/>
    <n v="209"/>
    <n v="61"/>
    <n v="126"/>
    <n v="79"/>
    <n v="47"/>
    <n v="184"/>
    <n v="150"/>
    <n v="92"/>
    <n v="10"/>
  </r>
  <r>
    <x v="36"/>
    <x v="0"/>
    <x v="5"/>
    <n v="829"/>
    <n v="53"/>
    <n v="53"/>
    <n v="121"/>
    <n v="42"/>
    <n v="200"/>
    <n v="47"/>
    <n v="145"/>
    <n v="66"/>
    <n v="43"/>
    <n v="128"/>
    <n v="112"/>
    <n v="69"/>
    <n v="3"/>
  </r>
  <r>
    <x v="36"/>
    <x v="1"/>
    <x v="5"/>
    <n v="1044"/>
    <n v="54"/>
    <n v="51"/>
    <n v="173"/>
    <n v="31"/>
    <n v="217"/>
    <n v="50"/>
    <n v="95"/>
    <n v="69"/>
    <n v="53"/>
    <n v="102"/>
    <n v="117"/>
    <n v="59"/>
    <n v="0"/>
  </r>
  <r>
    <x v="36"/>
    <x v="0"/>
    <x v="6"/>
    <n v="814"/>
    <n v="67"/>
    <n v="48"/>
    <n v="70"/>
    <n v="22"/>
    <n v="186"/>
    <n v="31"/>
    <n v="40"/>
    <n v="33"/>
    <n v="36"/>
    <n v="59"/>
    <n v="53"/>
    <n v="23"/>
    <n v="0"/>
  </r>
  <r>
    <x v="36"/>
    <x v="1"/>
    <x v="6"/>
    <n v="1050"/>
    <n v="66"/>
    <n v="61"/>
    <n v="93"/>
    <n v="36"/>
    <n v="224"/>
    <n v="44"/>
    <n v="57"/>
    <n v="30"/>
    <n v="49"/>
    <n v="56"/>
    <n v="59"/>
    <n v="29"/>
    <n v="2"/>
  </r>
  <r>
    <x v="36"/>
    <x v="0"/>
    <x v="7"/>
    <n v="808"/>
    <n v="29"/>
    <n v="39"/>
    <n v="66"/>
    <n v="10"/>
    <n v="185"/>
    <n v="30"/>
    <n v="21"/>
    <n v="11"/>
    <n v="36"/>
    <n v="10"/>
    <n v="28"/>
    <n v="5"/>
    <n v="0"/>
  </r>
  <r>
    <x v="36"/>
    <x v="1"/>
    <x v="7"/>
    <n v="731"/>
    <n v="31"/>
    <n v="53"/>
    <n v="74"/>
    <n v="14"/>
    <n v="199"/>
    <n v="33"/>
    <n v="13"/>
    <n v="18"/>
    <n v="35"/>
    <n v="20"/>
    <n v="19"/>
    <n v="7"/>
    <n v="2"/>
  </r>
  <r>
    <x v="36"/>
    <x v="0"/>
    <x v="8"/>
    <n v="919"/>
    <n v="32"/>
    <n v="38"/>
    <n v="49"/>
    <n v="45"/>
    <n v="242"/>
    <n v="43"/>
    <n v="16"/>
    <n v="9"/>
    <n v="53"/>
    <n v="13"/>
    <n v="16"/>
    <n v="11"/>
    <n v="0"/>
  </r>
  <r>
    <x v="36"/>
    <x v="1"/>
    <x v="8"/>
    <n v="802"/>
    <n v="26"/>
    <n v="40"/>
    <n v="74"/>
    <n v="11"/>
    <n v="225"/>
    <n v="31"/>
    <n v="14"/>
    <n v="13"/>
    <n v="58"/>
    <n v="20"/>
    <n v="34"/>
    <n v="13"/>
    <n v="1"/>
  </r>
  <r>
    <x v="36"/>
    <x v="0"/>
    <x v="9"/>
    <n v="1094"/>
    <n v="65"/>
    <n v="66"/>
    <n v="75"/>
    <n v="89"/>
    <n v="292"/>
    <n v="80"/>
    <n v="39"/>
    <n v="36"/>
    <n v="74"/>
    <n v="45"/>
    <n v="44"/>
    <n v="21"/>
    <n v="0"/>
  </r>
  <r>
    <x v="36"/>
    <x v="1"/>
    <x v="9"/>
    <n v="1159"/>
    <n v="63"/>
    <n v="98"/>
    <n v="149"/>
    <n v="32"/>
    <n v="264"/>
    <n v="45"/>
    <n v="47"/>
    <n v="43"/>
    <n v="61"/>
    <n v="38"/>
    <n v="49"/>
    <n v="11"/>
    <n v="2"/>
  </r>
  <r>
    <x v="36"/>
    <x v="0"/>
    <x v="10"/>
    <n v="1022"/>
    <n v="71"/>
    <n v="96"/>
    <n v="102"/>
    <n v="82"/>
    <n v="245"/>
    <n v="44"/>
    <n v="51"/>
    <n v="30"/>
    <n v="58"/>
    <n v="53"/>
    <n v="62"/>
    <n v="10"/>
    <n v="1"/>
  </r>
  <r>
    <x v="36"/>
    <x v="1"/>
    <x v="10"/>
    <n v="957"/>
    <n v="32"/>
    <n v="46"/>
    <n v="129"/>
    <n v="38"/>
    <n v="203"/>
    <n v="27"/>
    <n v="40"/>
    <n v="34"/>
    <n v="44"/>
    <n v="34"/>
    <n v="35"/>
    <n v="16"/>
    <n v="3"/>
  </r>
  <r>
    <x v="36"/>
    <x v="0"/>
    <x v="11"/>
    <n v="1021"/>
    <n v="39"/>
    <n v="45"/>
    <n v="187"/>
    <n v="33"/>
    <n v="166"/>
    <n v="36"/>
    <n v="70"/>
    <n v="22"/>
    <n v="57"/>
    <n v="49"/>
    <n v="58"/>
    <n v="10"/>
    <n v="4"/>
  </r>
  <r>
    <x v="36"/>
    <x v="1"/>
    <x v="11"/>
    <n v="967"/>
    <n v="29"/>
    <n v="61"/>
    <n v="222"/>
    <n v="35"/>
    <n v="206"/>
    <n v="57"/>
    <n v="76"/>
    <n v="38"/>
    <n v="47"/>
    <n v="63"/>
    <n v="48"/>
    <n v="19"/>
    <n v="0"/>
  </r>
  <r>
    <x v="37"/>
    <x v="0"/>
    <x v="0"/>
    <n v="664"/>
    <n v="43"/>
    <n v="8"/>
    <n v="101"/>
    <n v="8"/>
    <n v="124"/>
    <n v="3"/>
    <n v="78"/>
    <n v="15"/>
    <n v="12"/>
    <n v="40"/>
    <n v="39"/>
    <n v="16"/>
    <n v="0"/>
  </r>
  <r>
    <x v="37"/>
    <x v="1"/>
    <x v="0"/>
    <n v="686"/>
    <n v="30"/>
    <n v="17"/>
    <n v="87"/>
    <n v="5"/>
    <n v="92"/>
    <n v="5"/>
    <n v="49"/>
    <n v="11"/>
    <n v="15"/>
    <n v="23"/>
    <n v="41"/>
    <n v="13"/>
    <n v="5"/>
  </r>
  <r>
    <x v="37"/>
    <x v="0"/>
    <x v="1"/>
    <n v="666"/>
    <n v="19"/>
    <n v="14"/>
    <n v="70"/>
    <n v="24"/>
    <n v="118"/>
    <n v="6"/>
    <n v="40"/>
    <n v="18"/>
    <n v="15"/>
    <n v="53"/>
    <n v="53"/>
    <n v="11"/>
    <n v="1"/>
  </r>
  <r>
    <x v="37"/>
    <x v="1"/>
    <x v="1"/>
    <n v="722"/>
    <n v="19"/>
    <n v="22"/>
    <n v="44"/>
    <n v="23"/>
    <n v="145"/>
    <n v="7"/>
    <n v="65"/>
    <n v="13"/>
    <n v="112"/>
    <n v="25"/>
    <n v="24"/>
    <n v="7"/>
    <n v="2"/>
  </r>
  <r>
    <x v="37"/>
    <x v="0"/>
    <x v="2"/>
    <n v="786"/>
    <n v="80"/>
    <n v="29"/>
    <n v="136"/>
    <n v="9"/>
    <n v="160"/>
    <n v="13"/>
    <n v="73"/>
    <n v="27"/>
    <n v="25"/>
    <n v="78"/>
    <n v="53"/>
    <n v="68"/>
    <n v="10"/>
  </r>
  <r>
    <x v="37"/>
    <x v="1"/>
    <x v="2"/>
    <n v="914"/>
    <n v="41"/>
    <n v="33"/>
    <n v="127"/>
    <n v="12"/>
    <n v="162"/>
    <n v="29"/>
    <n v="109"/>
    <n v="39"/>
    <n v="26"/>
    <n v="134"/>
    <n v="105"/>
    <n v="114"/>
    <n v="22"/>
  </r>
  <r>
    <x v="37"/>
    <x v="0"/>
    <x v="3"/>
    <n v="723"/>
    <n v="61"/>
    <n v="51"/>
    <n v="154"/>
    <n v="9"/>
    <n v="184"/>
    <n v="33"/>
    <n v="267"/>
    <n v="93"/>
    <n v="53"/>
    <n v="322"/>
    <n v="166"/>
    <n v="241"/>
    <n v="16"/>
  </r>
  <r>
    <x v="37"/>
    <x v="1"/>
    <x v="3"/>
    <n v="971"/>
    <n v="52"/>
    <n v="41"/>
    <n v="164"/>
    <n v="12"/>
    <n v="224"/>
    <n v="27"/>
    <n v="292"/>
    <n v="67"/>
    <n v="37"/>
    <n v="213"/>
    <n v="149"/>
    <n v="125"/>
    <n v="24"/>
  </r>
  <r>
    <x v="37"/>
    <x v="0"/>
    <x v="4"/>
    <n v="700"/>
    <n v="53"/>
    <n v="27"/>
    <n v="98"/>
    <n v="9"/>
    <n v="140"/>
    <n v="11"/>
    <n v="82"/>
    <n v="31"/>
    <n v="22"/>
    <n v="145"/>
    <n v="99"/>
    <n v="75"/>
    <n v="7"/>
  </r>
  <r>
    <x v="37"/>
    <x v="1"/>
    <x v="4"/>
    <n v="782"/>
    <n v="53"/>
    <n v="38"/>
    <n v="154"/>
    <n v="21"/>
    <n v="207"/>
    <n v="11"/>
    <n v="143"/>
    <n v="38"/>
    <n v="20"/>
    <n v="206"/>
    <n v="163"/>
    <n v="123"/>
    <n v="6"/>
  </r>
  <r>
    <x v="37"/>
    <x v="0"/>
    <x v="5"/>
    <n v="763"/>
    <n v="64"/>
    <n v="21"/>
    <n v="100"/>
    <n v="27"/>
    <n v="191"/>
    <n v="9"/>
    <n v="72"/>
    <n v="44"/>
    <n v="12"/>
    <n v="70"/>
    <n v="60"/>
    <n v="46"/>
    <n v="7"/>
  </r>
  <r>
    <x v="37"/>
    <x v="1"/>
    <x v="5"/>
    <n v="950"/>
    <n v="72"/>
    <n v="43"/>
    <n v="124"/>
    <n v="9"/>
    <n v="221"/>
    <n v="23"/>
    <n v="66"/>
    <n v="58"/>
    <n v="40"/>
    <n v="126"/>
    <n v="96"/>
    <n v="46"/>
    <n v="5"/>
  </r>
  <r>
    <x v="37"/>
    <x v="0"/>
    <x v="6"/>
    <n v="777"/>
    <n v="76"/>
    <n v="25"/>
    <n v="69"/>
    <n v="16"/>
    <n v="173"/>
    <n v="20"/>
    <n v="46"/>
    <n v="34"/>
    <n v="25"/>
    <n v="30"/>
    <n v="50"/>
    <n v="16"/>
    <n v="0"/>
  </r>
  <r>
    <x v="37"/>
    <x v="1"/>
    <x v="6"/>
    <n v="892"/>
    <n v="59"/>
    <n v="29"/>
    <n v="61"/>
    <n v="27"/>
    <n v="245"/>
    <n v="14"/>
    <n v="30"/>
    <n v="10"/>
    <n v="15"/>
    <n v="42"/>
    <n v="52"/>
    <n v="20"/>
    <n v="0"/>
  </r>
  <r>
    <x v="37"/>
    <x v="0"/>
    <x v="7"/>
    <n v="697"/>
    <n v="46"/>
    <n v="25"/>
    <n v="37"/>
    <n v="21"/>
    <n v="224"/>
    <n v="10"/>
    <n v="14"/>
    <n v="9"/>
    <n v="18"/>
    <n v="13"/>
    <n v="19"/>
    <n v="6"/>
    <n v="0"/>
  </r>
  <r>
    <x v="37"/>
    <x v="1"/>
    <x v="7"/>
    <n v="708"/>
    <n v="47"/>
    <n v="25"/>
    <n v="68"/>
    <n v="10"/>
    <n v="204"/>
    <n v="13"/>
    <n v="19"/>
    <n v="9"/>
    <n v="26"/>
    <n v="18"/>
    <n v="16"/>
    <n v="10"/>
    <n v="0"/>
  </r>
  <r>
    <x v="37"/>
    <x v="0"/>
    <x v="8"/>
    <n v="808"/>
    <n v="56"/>
    <n v="33"/>
    <n v="59"/>
    <n v="42"/>
    <n v="235"/>
    <n v="8"/>
    <n v="27"/>
    <n v="10"/>
    <n v="23"/>
    <n v="28"/>
    <n v="31"/>
    <n v="6"/>
    <n v="2"/>
  </r>
  <r>
    <x v="37"/>
    <x v="1"/>
    <x v="8"/>
    <n v="917"/>
    <n v="52"/>
    <n v="35"/>
    <n v="97"/>
    <n v="4"/>
    <n v="214"/>
    <n v="16"/>
    <n v="12"/>
    <n v="9"/>
    <n v="25"/>
    <n v="28"/>
    <n v="26"/>
    <n v="8"/>
    <n v="0"/>
  </r>
  <r>
    <x v="37"/>
    <x v="0"/>
    <x v="9"/>
    <n v="947"/>
    <n v="79"/>
    <n v="48"/>
    <n v="88"/>
    <n v="60"/>
    <n v="286"/>
    <n v="19"/>
    <n v="31"/>
    <n v="22"/>
    <n v="39"/>
    <n v="37"/>
    <n v="46"/>
    <n v="29"/>
    <n v="2"/>
  </r>
  <r>
    <x v="37"/>
    <x v="1"/>
    <x v="9"/>
    <n v="1131"/>
    <n v="85"/>
    <n v="38"/>
    <n v="144"/>
    <n v="11"/>
    <n v="271"/>
    <n v="26"/>
    <n v="37"/>
    <n v="25"/>
    <n v="38"/>
    <n v="57"/>
    <n v="59"/>
    <n v="25"/>
    <n v="4"/>
  </r>
  <r>
    <x v="37"/>
    <x v="0"/>
    <x v="10"/>
    <n v="782"/>
    <n v="65"/>
    <n v="32"/>
    <n v="90"/>
    <n v="50"/>
    <n v="244"/>
    <n v="25"/>
    <n v="77"/>
    <n v="31"/>
    <n v="31"/>
    <n v="57"/>
    <n v="73"/>
    <n v="23"/>
    <n v="0"/>
  </r>
  <r>
    <x v="37"/>
    <x v="1"/>
    <x v="10"/>
    <n v="910"/>
    <n v="46"/>
    <n v="27"/>
    <n v="85"/>
    <n v="34"/>
    <n v="212"/>
    <n v="18"/>
    <n v="59"/>
    <n v="23"/>
    <n v="32"/>
    <n v="46"/>
    <n v="32"/>
    <n v="16"/>
    <n v="4"/>
  </r>
  <r>
    <x v="37"/>
    <x v="0"/>
    <x v="11"/>
    <n v="879"/>
    <n v="64"/>
    <n v="10"/>
    <n v="113"/>
    <n v="6"/>
    <n v="171"/>
    <n v="11"/>
    <n v="64"/>
    <n v="24"/>
    <n v="21"/>
    <n v="57"/>
    <n v="50"/>
    <n v="17"/>
    <n v="5"/>
  </r>
  <r>
    <x v="37"/>
    <x v="1"/>
    <x v="11"/>
    <n v="932"/>
    <n v="51"/>
    <n v="26"/>
    <n v="126"/>
    <n v="11"/>
    <n v="213"/>
    <n v="27"/>
    <n v="68"/>
    <n v="29"/>
    <n v="23"/>
    <n v="39"/>
    <n v="50"/>
    <n v="27"/>
    <n v="0"/>
  </r>
  <r>
    <x v="38"/>
    <x v="0"/>
    <x v="0"/>
    <n v="1413"/>
    <n v="82"/>
    <n v="51"/>
    <n v="199"/>
    <n v="14"/>
    <n v="181"/>
    <n v="51"/>
    <n v="107"/>
    <n v="33"/>
    <n v="22"/>
    <n v="67"/>
    <n v="50"/>
    <n v="19"/>
    <n v="14"/>
  </r>
  <r>
    <x v="38"/>
    <x v="1"/>
    <x v="0"/>
    <n v="1720"/>
    <n v="84"/>
    <n v="41"/>
    <n v="217"/>
    <n v="18"/>
    <n v="238"/>
    <n v="26"/>
    <n v="137"/>
    <n v="34"/>
    <n v="33"/>
    <n v="54"/>
    <n v="63"/>
    <n v="28"/>
    <n v="2"/>
  </r>
  <r>
    <x v="38"/>
    <x v="0"/>
    <x v="1"/>
    <n v="1434"/>
    <n v="39"/>
    <n v="35"/>
    <n v="127"/>
    <n v="48"/>
    <n v="214"/>
    <n v="23"/>
    <n v="92"/>
    <n v="32"/>
    <n v="25"/>
    <n v="49"/>
    <n v="41"/>
    <n v="9"/>
    <n v="15"/>
  </r>
  <r>
    <x v="38"/>
    <x v="1"/>
    <x v="1"/>
    <n v="1760"/>
    <n v="61"/>
    <n v="25"/>
    <n v="82"/>
    <n v="124"/>
    <n v="299"/>
    <n v="29"/>
    <n v="125"/>
    <n v="28"/>
    <n v="38"/>
    <n v="49"/>
    <n v="57"/>
    <n v="24"/>
    <n v="15"/>
  </r>
  <r>
    <x v="38"/>
    <x v="0"/>
    <x v="2"/>
    <n v="1979"/>
    <n v="89"/>
    <n v="78"/>
    <n v="303"/>
    <n v="18"/>
    <n v="204"/>
    <n v="44"/>
    <n v="151"/>
    <n v="42"/>
    <n v="46"/>
    <n v="241"/>
    <n v="127"/>
    <n v="140"/>
    <n v="14"/>
  </r>
  <r>
    <x v="38"/>
    <x v="1"/>
    <x v="2"/>
    <n v="2023"/>
    <n v="96"/>
    <n v="99"/>
    <n v="335"/>
    <n v="20"/>
    <n v="299"/>
    <n v="53"/>
    <n v="255"/>
    <n v="72"/>
    <n v="56"/>
    <n v="429"/>
    <n v="188"/>
    <n v="253"/>
    <n v="20"/>
  </r>
  <r>
    <x v="38"/>
    <x v="0"/>
    <x v="3"/>
    <n v="1793"/>
    <n v="132"/>
    <n v="112"/>
    <n v="445"/>
    <n v="41"/>
    <n v="383"/>
    <n v="149"/>
    <n v="593"/>
    <n v="203"/>
    <n v="110"/>
    <n v="692"/>
    <n v="364"/>
    <n v="361"/>
    <n v="22"/>
  </r>
  <r>
    <x v="38"/>
    <x v="1"/>
    <x v="3"/>
    <n v="2205"/>
    <n v="135"/>
    <n v="84"/>
    <n v="362"/>
    <n v="65"/>
    <n v="375"/>
    <n v="113"/>
    <n v="568"/>
    <n v="184"/>
    <n v="76"/>
    <n v="520"/>
    <n v="327"/>
    <n v="310"/>
    <n v="25"/>
  </r>
  <r>
    <x v="38"/>
    <x v="0"/>
    <x v="4"/>
    <n v="1492"/>
    <n v="138"/>
    <n v="85"/>
    <n v="252"/>
    <n v="59"/>
    <n v="418"/>
    <n v="74"/>
    <n v="323"/>
    <n v="138"/>
    <n v="45"/>
    <n v="295"/>
    <n v="256"/>
    <n v="185"/>
    <n v="9"/>
  </r>
  <r>
    <x v="38"/>
    <x v="1"/>
    <x v="4"/>
    <n v="1854"/>
    <n v="144"/>
    <n v="93"/>
    <n v="337"/>
    <n v="63"/>
    <n v="443"/>
    <n v="81"/>
    <n v="311"/>
    <n v="142"/>
    <n v="63"/>
    <n v="383"/>
    <n v="259"/>
    <n v="204"/>
    <n v="8"/>
  </r>
  <r>
    <x v="38"/>
    <x v="0"/>
    <x v="5"/>
    <n v="1824"/>
    <n v="138"/>
    <n v="121"/>
    <n v="250"/>
    <n v="56"/>
    <n v="366"/>
    <n v="56"/>
    <n v="131"/>
    <n v="77"/>
    <n v="76"/>
    <n v="189"/>
    <n v="153"/>
    <n v="99"/>
    <n v="2"/>
  </r>
  <r>
    <x v="38"/>
    <x v="1"/>
    <x v="5"/>
    <n v="2089"/>
    <n v="115"/>
    <n v="138"/>
    <n v="296"/>
    <n v="67"/>
    <n v="428"/>
    <n v="95"/>
    <n v="172"/>
    <n v="110"/>
    <n v="86"/>
    <n v="219"/>
    <n v="188"/>
    <n v="109"/>
    <n v="5"/>
  </r>
  <r>
    <x v="38"/>
    <x v="0"/>
    <x v="6"/>
    <n v="1573"/>
    <n v="78"/>
    <n v="102"/>
    <n v="160"/>
    <n v="41"/>
    <n v="386"/>
    <n v="44"/>
    <n v="45"/>
    <n v="40"/>
    <n v="47"/>
    <n v="73"/>
    <n v="65"/>
    <n v="44"/>
    <n v="8"/>
  </r>
  <r>
    <x v="38"/>
    <x v="1"/>
    <x v="6"/>
    <n v="2005"/>
    <n v="66"/>
    <n v="111"/>
    <n v="100"/>
    <n v="108"/>
    <n v="466"/>
    <n v="54"/>
    <n v="74"/>
    <n v="66"/>
    <n v="45"/>
    <n v="70"/>
    <n v="86"/>
    <n v="37"/>
    <n v="3"/>
  </r>
  <r>
    <x v="38"/>
    <x v="0"/>
    <x v="7"/>
    <n v="1481"/>
    <n v="94"/>
    <n v="95"/>
    <n v="116"/>
    <n v="39"/>
    <n v="405"/>
    <n v="43"/>
    <n v="40"/>
    <n v="14"/>
    <n v="35"/>
    <n v="41"/>
    <n v="40"/>
    <n v="16"/>
    <n v="0"/>
  </r>
  <r>
    <x v="38"/>
    <x v="1"/>
    <x v="7"/>
    <n v="1651"/>
    <n v="73"/>
    <n v="73"/>
    <n v="119"/>
    <n v="11"/>
    <n v="422"/>
    <n v="45"/>
    <n v="31"/>
    <n v="24"/>
    <n v="48"/>
    <n v="33"/>
    <n v="20"/>
    <n v="13"/>
    <n v="0"/>
  </r>
  <r>
    <x v="38"/>
    <x v="0"/>
    <x v="8"/>
    <n v="1827"/>
    <n v="63"/>
    <n v="68"/>
    <n v="62"/>
    <n v="87"/>
    <n v="470"/>
    <n v="62"/>
    <n v="23"/>
    <n v="21"/>
    <n v="62"/>
    <n v="26"/>
    <n v="29"/>
    <n v="13"/>
    <n v="0"/>
  </r>
  <r>
    <x v="38"/>
    <x v="1"/>
    <x v="8"/>
    <n v="1842"/>
    <n v="79"/>
    <n v="107"/>
    <n v="163"/>
    <n v="16"/>
    <n v="369"/>
    <n v="53"/>
    <n v="27"/>
    <n v="23"/>
    <n v="50"/>
    <n v="47"/>
    <n v="47"/>
    <n v="12"/>
    <n v="0"/>
  </r>
  <r>
    <x v="38"/>
    <x v="0"/>
    <x v="9"/>
    <n v="2154"/>
    <n v="150"/>
    <n v="147"/>
    <n v="107"/>
    <n v="141"/>
    <n v="578"/>
    <n v="90"/>
    <n v="53"/>
    <n v="68"/>
    <n v="77"/>
    <n v="62"/>
    <n v="72"/>
    <n v="32"/>
    <n v="0"/>
  </r>
  <r>
    <x v="38"/>
    <x v="1"/>
    <x v="9"/>
    <n v="2363"/>
    <n v="143"/>
    <n v="173"/>
    <n v="280"/>
    <n v="33"/>
    <n v="592"/>
    <n v="93"/>
    <n v="99"/>
    <n v="63"/>
    <n v="83"/>
    <n v="69"/>
    <n v="76"/>
    <n v="31"/>
    <n v="4"/>
  </r>
  <r>
    <x v="38"/>
    <x v="0"/>
    <x v="10"/>
    <n v="1887"/>
    <n v="122"/>
    <n v="97"/>
    <n v="221"/>
    <n v="94"/>
    <n v="452"/>
    <n v="73"/>
    <n v="90"/>
    <n v="38"/>
    <n v="62"/>
    <n v="60"/>
    <n v="66"/>
    <n v="37"/>
    <n v="0"/>
  </r>
  <r>
    <x v="38"/>
    <x v="1"/>
    <x v="10"/>
    <n v="2114"/>
    <n v="138"/>
    <n v="80"/>
    <n v="178"/>
    <n v="116"/>
    <n v="476"/>
    <n v="55"/>
    <n v="86"/>
    <n v="49"/>
    <n v="54"/>
    <n v="83"/>
    <n v="95"/>
    <n v="24"/>
    <n v="0"/>
  </r>
  <r>
    <x v="38"/>
    <x v="0"/>
    <x v="11"/>
    <n v="1909"/>
    <n v="89"/>
    <n v="59"/>
    <n v="334"/>
    <n v="28"/>
    <n v="371"/>
    <n v="59"/>
    <n v="142"/>
    <n v="52"/>
    <n v="54"/>
    <n v="93"/>
    <n v="103"/>
    <n v="38"/>
    <n v="3"/>
  </r>
  <r>
    <x v="38"/>
    <x v="1"/>
    <x v="11"/>
    <n v="2087"/>
    <n v="87"/>
    <n v="65"/>
    <n v="366"/>
    <n v="54"/>
    <n v="408"/>
    <n v="58"/>
    <n v="120"/>
    <n v="43"/>
    <n v="61"/>
    <n v="105"/>
    <n v="83"/>
    <n v="41"/>
    <n v="2"/>
  </r>
  <r>
    <x v="39"/>
    <x v="0"/>
    <x v="0"/>
    <n v="330"/>
    <n v="34"/>
    <n v="4"/>
    <n v="55"/>
    <n v="6"/>
    <n v="53"/>
    <n v="9"/>
    <n v="43"/>
    <n v="16"/>
    <n v="7"/>
    <n v="16"/>
    <n v="11"/>
    <n v="12"/>
    <n v="3"/>
  </r>
  <r>
    <x v="39"/>
    <x v="1"/>
    <x v="0"/>
    <n v="357"/>
    <n v="16"/>
    <n v="13"/>
    <n v="60"/>
    <n v="8"/>
    <n v="76"/>
    <n v="12"/>
    <n v="55"/>
    <n v="22"/>
    <n v="18"/>
    <n v="22"/>
    <n v="39"/>
    <n v="7"/>
    <n v="0"/>
  </r>
  <r>
    <x v="39"/>
    <x v="0"/>
    <x v="1"/>
    <n v="297"/>
    <n v="14"/>
    <n v="4"/>
    <n v="35"/>
    <n v="22"/>
    <n v="63"/>
    <n v="6"/>
    <n v="37"/>
    <n v="10"/>
    <n v="8"/>
    <n v="17"/>
    <n v="19"/>
    <n v="7"/>
    <n v="3"/>
  </r>
  <r>
    <x v="39"/>
    <x v="1"/>
    <x v="1"/>
    <n v="355"/>
    <n v="26"/>
    <n v="8"/>
    <n v="36"/>
    <n v="23"/>
    <n v="63"/>
    <n v="1"/>
    <n v="38"/>
    <n v="10"/>
    <n v="7"/>
    <n v="11"/>
    <n v="17"/>
    <n v="4"/>
    <n v="4"/>
  </r>
  <r>
    <x v="39"/>
    <x v="0"/>
    <x v="2"/>
    <n v="378"/>
    <n v="36"/>
    <n v="34"/>
    <n v="105"/>
    <n v="5"/>
    <n v="87"/>
    <n v="17"/>
    <n v="118"/>
    <n v="24"/>
    <n v="6"/>
    <n v="84"/>
    <n v="65"/>
    <n v="60"/>
    <n v="2"/>
  </r>
  <r>
    <x v="39"/>
    <x v="1"/>
    <x v="2"/>
    <n v="444"/>
    <n v="39"/>
    <n v="22"/>
    <n v="94"/>
    <n v="21"/>
    <n v="105"/>
    <n v="29"/>
    <n v="170"/>
    <n v="36"/>
    <n v="16"/>
    <n v="110"/>
    <n v="86"/>
    <n v="73"/>
    <n v="8"/>
  </r>
  <r>
    <x v="39"/>
    <x v="0"/>
    <x v="3"/>
    <n v="334"/>
    <n v="53"/>
    <n v="53"/>
    <n v="113"/>
    <n v="25"/>
    <n v="120"/>
    <n v="52"/>
    <n v="256"/>
    <n v="97"/>
    <n v="66"/>
    <n v="213"/>
    <n v="157"/>
    <n v="128"/>
    <n v="5"/>
  </r>
  <r>
    <x v="39"/>
    <x v="1"/>
    <x v="3"/>
    <n v="499"/>
    <n v="50"/>
    <n v="30"/>
    <n v="108"/>
    <n v="46"/>
    <n v="124"/>
    <n v="31"/>
    <n v="215"/>
    <n v="93"/>
    <n v="31"/>
    <n v="184"/>
    <n v="131"/>
    <n v="85"/>
    <n v="12"/>
  </r>
  <r>
    <x v="39"/>
    <x v="0"/>
    <x v="4"/>
    <n v="318"/>
    <n v="44"/>
    <n v="38"/>
    <n v="92"/>
    <n v="20"/>
    <n v="78"/>
    <n v="30"/>
    <n v="139"/>
    <n v="58"/>
    <n v="34"/>
    <n v="91"/>
    <n v="58"/>
    <n v="50"/>
    <n v="0"/>
  </r>
  <r>
    <x v="39"/>
    <x v="1"/>
    <x v="4"/>
    <n v="430"/>
    <n v="33"/>
    <n v="35"/>
    <n v="80"/>
    <n v="20"/>
    <n v="115"/>
    <n v="32"/>
    <n v="160"/>
    <n v="57"/>
    <n v="14"/>
    <n v="101"/>
    <n v="79"/>
    <n v="58"/>
    <n v="0"/>
  </r>
  <r>
    <x v="39"/>
    <x v="0"/>
    <x v="5"/>
    <n v="358"/>
    <n v="34"/>
    <n v="42"/>
    <n v="67"/>
    <n v="28"/>
    <n v="113"/>
    <n v="32"/>
    <n v="77"/>
    <n v="34"/>
    <n v="36"/>
    <n v="74"/>
    <n v="81"/>
    <n v="51"/>
    <n v="0"/>
  </r>
  <r>
    <x v="39"/>
    <x v="1"/>
    <x v="5"/>
    <n v="477"/>
    <n v="46"/>
    <n v="38"/>
    <n v="89"/>
    <n v="24"/>
    <n v="103"/>
    <n v="7"/>
    <n v="46"/>
    <n v="39"/>
    <n v="34"/>
    <n v="65"/>
    <n v="63"/>
    <n v="35"/>
    <n v="2"/>
  </r>
  <r>
    <x v="39"/>
    <x v="0"/>
    <x v="6"/>
    <n v="352"/>
    <n v="41"/>
    <n v="43"/>
    <n v="47"/>
    <n v="13"/>
    <n v="118"/>
    <n v="22"/>
    <n v="39"/>
    <n v="13"/>
    <n v="19"/>
    <n v="10"/>
    <n v="24"/>
    <n v="9"/>
    <n v="0"/>
  </r>
  <r>
    <x v="39"/>
    <x v="1"/>
    <x v="6"/>
    <n v="436"/>
    <n v="16"/>
    <n v="50"/>
    <n v="38"/>
    <n v="29"/>
    <n v="136"/>
    <n v="19"/>
    <n v="18"/>
    <n v="16"/>
    <n v="17"/>
    <n v="37"/>
    <n v="44"/>
    <n v="12"/>
    <n v="0"/>
  </r>
  <r>
    <x v="39"/>
    <x v="0"/>
    <x v="7"/>
    <n v="367"/>
    <n v="28"/>
    <n v="26"/>
    <n v="21"/>
    <n v="9"/>
    <n v="108"/>
    <n v="5"/>
    <n v="10"/>
    <n v="18"/>
    <n v="9"/>
    <n v="8"/>
    <n v="16"/>
    <n v="4"/>
    <n v="0"/>
  </r>
  <r>
    <x v="39"/>
    <x v="1"/>
    <x v="7"/>
    <n v="347"/>
    <n v="34"/>
    <n v="31"/>
    <n v="21"/>
    <n v="5"/>
    <n v="125"/>
    <n v="7"/>
    <n v="16"/>
    <n v="12"/>
    <n v="16"/>
    <n v="18"/>
    <n v="20"/>
    <n v="8"/>
    <n v="0"/>
  </r>
  <r>
    <x v="39"/>
    <x v="0"/>
    <x v="8"/>
    <n v="357"/>
    <n v="44"/>
    <n v="40"/>
    <n v="34"/>
    <n v="10"/>
    <n v="106"/>
    <n v="16"/>
    <n v="11"/>
    <n v="3"/>
    <n v="13"/>
    <n v="6"/>
    <n v="13"/>
    <n v="7"/>
    <n v="0"/>
  </r>
  <r>
    <x v="39"/>
    <x v="1"/>
    <x v="8"/>
    <n v="431"/>
    <n v="25"/>
    <n v="40"/>
    <n v="28"/>
    <n v="8"/>
    <n v="93"/>
    <n v="8"/>
    <n v="13"/>
    <n v="11"/>
    <n v="24"/>
    <n v="12"/>
    <n v="12"/>
    <n v="8"/>
    <n v="1"/>
  </r>
  <r>
    <x v="39"/>
    <x v="0"/>
    <x v="9"/>
    <n v="461"/>
    <n v="55"/>
    <n v="88"/>
    <n v="52"/>
    <n v="44"/>
    <n v="164"/>
    <n v="32"/>
    <n v="30"/>
    <n v="35"/>
    <n v="44"/>
    <n v="32"/>
    <n v="29"/>
    <n v="14"/>
    <n v="0"/>
  </r>
  <r>
    <x v="39"/>
    <x v="1"/>
    <x v="9"/>
    <n v="600"/>
    <n v="35"/>
    <n v="60"/>
    <n v="89"/>
    <n v="23"/>
    <n v="149"/>
    <n v="18"/>
    <n v="20"/>
    <n v="20"/>
    <n v="34"/>
    <n v="18"/>
    <n v="10"/>
    <n v="11"/>
    <n v="0"/>
  </r>
  <r>
    <x v="39"/>
    <x v="0"/>
    <x v="10"/>
    <n v="377"/>
    <n v="27"/>
    <n v="30"/>
    <n v="34"/>
    <n v="33"/>
    <n v="96"/>
    <n v="16"/>
    <n v="27"/>
    <n v="32"/>
    <n v="19"/>
    <n v="32"/>
    <n v="20"/>
    <n v="6"/>
    <n v="0"/>
  </r>
  <r>
    <x v="39"/>
    <x v="1"/>
    <x v="10"/>
    <n v="479"/>
    <n v="36"/>
    <n v="21"/>
    <n v="65"/>
    <n v="29"/>
    <n v="134"/>
    <n v="14"/>
    <n v="28"/>
    <n v="20"/>
    <n v="14"/>
    <n v="10"/>
    <n v="22"/>
    <n v="3"/>
    <n v="1"/>
  </r>
  <r>
    <x v="39"/>
    <x v="0"/>
    <x v="11"/>
    <n v="368"/>
    <n v="35"/>
    <n v="25"/>
    <n v="70"/>
    <n v="28"/>
    <n v="94"/>
    <n v="21"/>
    <n v="62"/>
    <n v="26"/>
    <n v="20"/>
    <n v="31"/>
    <n v="33"/>
    <n v="10"/>
    <n v="0"/>
  </r>
  <r>
    <x v="39"/>
    <x v="1"/>
    <x v="11"/>
    <n v="472"/>
    <n v="35"/>
    <n v="13"/>
    <n v="71"/>
    <n v="23"/>
    <n v="87"/>
    <n v="18"/>
    <n v="47"/>
    <n v="31"/>
    <n v="22"/>
    <n v="35"/>
    <n v="36"/>
    <n v="18"/>
    <n v="2"/>
  </r>
  <r>
    <x v="40"/>
    <x v="0"/>
    <x v="5"/>
    <n v="923"/>
    <n v="67"/>
    <n v="45"/>
    <n v="211"/>
    <n v="33"/>
    <n v="240"/>
    <n v="33"/>
    <n v="94"/>
    <n v="63"/>
    <n v="44"/>
    <n v="170"/>
    <n v="100"/>
    <n v="112"/>
    <n v="5"/>
  </r>
  <r>
    <x v="40"/>
    <x v="1"/>
    <x v="5"/>
    <n v="818"/>
    <n v="67"/>
    <n v="36"/>
    <n v="88"/>
    <n v="33"/>
    <n v="178"/>
    <n v="39"/>
    <n v="73"/>
    <n v="42"/>
    <n v="37"/>
    <n v="80"/>
    <n v="69"/>
    <n v="20"/>
    <n v="4"/>
  </r>
  <r>
    <x v="40"/>
    <x v="0"/>
    <x v="6"/>
    <n v="773"/>
    <n v="62"/>
    <n v="32"/>
    <n v="68"/>
    <n v="21"/>
    <n v="192"/>
    <n v="26"/>
    <n v="27"/>
    <n v="17"/>
    <n v="42"/>
    <n v="32"/>
    <n v="26"/>
    <n v="12"/>
    <n v="0"/>
  </r>
  <r>
    <x v="40"/>
    <x v="1"/>
    <x v="6"/>
    <n v="901"/>
    <n v="33"/>
    <n v="34"/>
    <n v="55"/>
    <n v="43"/>
    <n v="205"/>
    <n v="32"/>
    <n v="53"/>
    <n v="24"/>
    <n v="34"/>
    <n v="35"/>
    <n v="24"/>
    <n v="12"/>
    <n v="2"/>
  </r>
  <r>
    <x v="41"/>
    <x v="0"/>
    <x v="0"/>
    <n v="1221"/>
    <n v="50"/>
    <n v="28"/>
    <n v="233"/>
    <n v="17"/>
    <n v="209"/>
    <n v="27"/>
    <n v="91"/>
    <n v="27"/>
    <n v="38"/>
    <n v="86"/>
    <n v="47"/>
    <n v="11"/>
    <n v="1"/>
  </r>
  <r>
    <x v="41"/>
    <x v="1"/>
    <x v="0"/>
    <n v="1045"/>
    <n v="19"/>
    <n v="14"/>
    <n v="186"/>
    <n v="7"/>
    <n v="142"/>
    <n v="28"/>
    <n v="96"/>
    <n v="19"/>
    <n v="25"/>
    <n v="50"/>
    <n v="38"/>
    <n v="24"/>
    <n v="4"/>
  </r>
  <r>
    <x v="41"/>
    <x v="0"/>
    <x v="1"/>
    <n v="1215"/>
    <n v="38"/>
    <n v="29"/>
    <n v="170"/>
    <n v="61"/>
    <n v="239"/>
    <n v="26"/>
    <n v="78"/>
    <n v="24"/>
    <n v="34"/>
    <n v="53"/>
    <n v="40"/>
    <n v="22"/>
    <n v="13"/>
  </r>
  <r>
    <x v="41"/>
    <x v="1"/>
    <x v="1"/>
    <n v="1262"/>
    <n v="36"/>
    <n v="39"/>
    <n v="68"/>
    <n v="86"/>
    <n v="233"/>
    <n v="37"/>
    <n v="85"/>
    <n v="26"/>
    <n v="38"/>
    <n v="70"/>
    <n v="47"/>
    <n v="21"/>
    <n v="19"/>
  </r>
  <r>
    <x v="41"/>
    <x v="0"/>
    <x v="2"/>
    <n v="1578"/>
    <n v="56"/>
    <n v="60"/>
    <n v="368"/>
    <n v="19"/>
    <n v="245"/>
    <n v="59"/>
    <n v="158"/>
    <n v="38"/>
    <n v="59"/>
    <n v="290"/>
    <n v="148"/>
    <n v="159"/>
    <n v="2"/>
  </r>
  <r>
    <x v="41"/>
    <x v="1"/>
    <x v="2"/>
    <n v="1714"/>
    <n v="89"/>
    <n v="54"/>
    <n v="353"/>
    <n v="26"/>
    <n v="313"/>
    <n v="69"/>
    <n v="221"/>
    <n v="71"/>
    <n v="74"/>
    <n v="391"/>
    <n v="182"/>
    <n v="261"/>
    <n v="54"/>
  </r>
  <r>
    <x v="41"/>
    <x v="0"/>
    <x v="3"/>
    <n v="1596"/>
    <n v="109"/>
    <n v="91"/>
    <n v="468"/>
    <n v="36"/>
    <n v="337"/>
    <n v="133"/>
    <n v="598"/>
    <n v="162"/>
    <n v="134"/>
    <n v="733"/>
    <n v="403"/>
    <n v="402"/>
    <n v="12"/>
  </r>
  <r>
    <x v="41"/>
    <x v="1"/>
    <x v="3"/>
    <n v="1935"/>
    <n v="87"/>
    <n v="88"/>
    <n v="421"/>
    <n v="91"/>
    <n v="395"/>
    <n v="130"/>
    <n v="500"/>
    <n v="169"/>
    <n v="117"/>
    <n v="661"/>
    <n v="297"/>
    <n v="355"/>
    <n v="34"/>
  </r>
  <r>
    <x v="41"/>
    <x v="0"/>
    <x v="4"/>
    <n v="1311"/>
    <n v="76"/>
    <n v="82"/>
    <n v="310"/>
    <n v="55"/>
    <n v="267"/>
    <n v="73"/>
    <n v="239"/>
    <n v="122"/>
    <n v="75"/>
    <n v="355"/>
    <n v="228"/>
    <n v="209"/>
    <n v="17"/>
  </r>
  <r>
    <x v="41"/>
    <x v="1"/>
    <x v="4"/>
    <n v="1498"/>
    <n v="104"/>
    <n v="70"/>
    <n v="301"/>
    <n v="58"/>
    <n v="330"/>
    <n v="86"/>
    <n v="249"/>
    <n v="116"/>
    <n v="86"/>
    <n v="347"/>
    <n v="207"/>
    <n v="196"/>
    <n v="24"/>
  </r>
  <r>
    <x v="41"/>
    <x v="0"/>
    <x v="5"/>
    <n v="1645"/>
    <n v="75"/>
    <n v="75"/>
    <n v="273"/>
    <n v="89"/>
    <n v="390"/>
    <n v="70"/>
    <n v="106"/>
    <n v="72"/>
    <n v="72"/>
    <n v="201"/>
    <n v="153"/>
    <n v="73"/>
    <n v="24"/>
  </r>
  <r>
    <x v="41"/>
    <x v="1"/>
    <x v="5"/>
    <n v="1763"/>
    <n v="102"/>
    <n v="92"/>
    <n v="332"/>
    <n v="62"/>
    <n v="410"/>
    <n v="80"/>
    <n v="207"/>
    <n v="123"/>
    <n v="91"/>
    <n v="198"/>
    <n v="152"/>
    <n v="104"/>
    <n v="3"/>
  </r>
  <r>
    <x v="41"/>
    <x v="0"/>
    <x v="6"/>
    <n v="1319"/>
    <n v="87"/>
    <n v="48"/>
    <n v="153"/>
    <n v="64"/>
    <n v="392"/>
    <n v="35"/>
    <n v="34"/>
    <n v="52"/>
    <n v="50"/>
    <n v="83"/>
    <n v="52"/>
    <n v="24"/>
    <n v="2"/>
  </r>
  <r>
    <x v="41"/>
    <x v="1"/>
    <x v="6"/>
    <n v="1691"/>
    <n v="72"/>
    <n v="82"/>
    <n v="161"/>
    <n v="84"/>
    <n v="461"/>
    <n v="42"/>
    <n v="58"/>
    <n v="43"/>
    <n v="72"/>
    <n v="95"/>
    <n v="79"/>
    <n v="38"/>
    <n v="9"/>
  </r>
  <r>
    <x v="41"/>
    <x v="0"/>
    <x v="7"/>
    <n v="1094"/>
    <n v="71"/>
    <n v="37"/>
    <n v="111"/>
    <n v="43"/>
    <n v="378"/>
    <n v="37"/>
    <n v="30"/>
    <n v="16"/>
    <n v="41"/>
    <n v="37"/>
    <n v="41"/>
    <n v="11"/>
    <n v="0"/>
  </r>
  <r>
    <x v="41"/>
    <x v="1"/>
    <x v="7"/>
    <n v="1009"/>
    <n v="40"/>
    <n v="39"/>
    <n v="101"/>
    <n v="7"/>
    <n v="321"/>
    <n v="18"/>
    <n v="23"/>
    <n v="27"/>
    <n v="26"/>
    <n v="27"/>
    <n v="29"/>
    <n v="4"/>
    <n v="0"/>
  </r>
  <r>
    <x v="41"/>
    <x v="0"/>
    <x v="8"/>
    <n v="1450"/>
    <n v="71"/>
    <n v="54"/>
    <n v="80"/>
    <n v="96"/>
    <n v="402"/>
    <n v="43"/>
    <n v="37"/>
    <n v="29"/>
    <n v="67"/>
    <n v="23"/>
    <n v="40"/>
    <n v="5"/>
    <n v="4"/>
  </r>
  <r>
    <x v="41"/>
    <x v="1"/>
    <x v="8"/>
    <n v="1180"/>
    <n v="57"/>
    <n v="44"/>
    <n v="145"/>
    <n v="5"/>
    <n v="267"/>
    <n v="30"/>
    <n v="13"/>
    <n v="22"/>
    <n v="56"/>
    <n v="34"/>
    <n v="34"/>
    <n v="8"/>
    <n v="0"/>
  </r>
  <r>
    <x v="41"/>
    <x v="0"/>
    <x v="9"/>
    <n v="1719"/>
    <n v="117"/>
    <n v="112"/>
    <n v="174"/>
    <n v="152"/>
    <n v="521"/>
    <n v="70"/>
    <n v="76"/>
    <n v="55"/>
    <n v="105"/>
    <n v="84"/>
    <n v="87"/>
    <n v="41"/>
    <n v="0"/>
  </r>
  <r>
    <x v="41"/>
    <x v="1"/>
    <x v="9"/>
    <n v="1668"/>
    <n v="103"/>
    <n v="95"/>
    <n v="254"/>
    <n v="24"/>
    <n v="374"/>
    <n v="89"/>
    <n v="90"/>
    <n v="63"/>
    <n v="101"/>
    <n v="76"/>
    <n v="49"/>
    <n v="29"/>
    <n v="0"/>
  </r>
  <r>
    <x v="41"/>
    <x v="0"/>
    <x v="10"/>
    <n v="1641"/>
    <n v="98"/>
    <n v="91"/>
    <n v="259"/>
    <n v="66"/>
    <n v="384"/>
    <n v="75"/>
    <n v="80"/>
    <n v="62"/>
    <n v="75"/>
    <n v="90"/>
    <n v="78"/>
    <n v="15"/>
    <n v="0"/>
  </r>
  <r>
    <x v="41"/>
    <x v="1"/>
    <x v="10"/>
    <n v="1483"/>
    <n v="51"/>
    <n v="49"/>
    <n v="183"/>
    <n v="67"/>
    <n v="316"/>
    <n v="46"/>
    <n v="50"/>
    <n v="32"/>
    <n v="59"/>
    <n v="63"/>
    <n v="41"/>
    <n v="26"/>
    <n v="0"/>
  </r>
  <r>
    <x v="41"/>
    <x v="0"/>
    <x v="11"/>
    <n v="1644"/>
    <n v="83"/>
    <n v="70"/>
    <n v="361"/>
    <n v="35"/>
    <n v="305"/>
    <n v="52"/>
    <n v="119"/>
    <n v="52"/>
    <n v="60"/>
    <n v="116"/>
    <n v="93"/>
    <n v="29"/>
    <n v="0"/>
  </r>
  <r>
    <x v="41"/>
    <x v="1"/>
    <x v="11"/>
    <n v="1504"/>
    <n v="49"/>
    <n v="49"/>
    <n v="320"/>
    <n v="35"/>
    <n v="269"/>
    <n v="63"/>
    <n v="93"/>
    <n v="44"/>
    <n v="52"/>
    <n v="88"/>
    <n v="61"/>
    <n v="31"/>
    <n v="0"/>
  </r>
  <r>
    <x v="42"/>
    <x v="0"/>
    <x v="0"/>
    <n v="1089"/>
    <n v="52"/>
    <n v="30"/>
    <n v="197"/>
    <n v="19"/>
    <n v="183"/>
    <n v="23"/>
    <n v="104"/>
    <n v="32"/>
    <n v="33"/>
    <n v="53"/>
    <n v="59"/>
    <n v="16"/>
    <n v="0"/>
  </r>
  <r>
    <x v="42"/>
    <x v="1"/>
    <x v="0"/>
    <n v="1235"/>
    <n v="35"/>
    <n v="32"/>
    <n v="201"/>
    <n v="25"/>
    <n v="181"/>
    <n v="20"/>
    <n v="58"/>
    <n v="38"/>
    <n v="25"/>
    <n v="43"/>
    <n v="47"/>
    <n v="20"/>
    <n v="0"/>
  </r>
  <r>
    <x v="42"/>
    <x v="0"/>
    <x v="1"/>
    <n v="1220"/>
    <n v="32"/>
    <n v="9"/>
    <n v="130"/>
    <n v="56"/>
    <n v="235"/>
    <n v="12"/>
    <n v="68"/>
    <n v="18"/>
    <n v="30"/>
    <n v="51"/>
    <n v="49"/>
    <n v="17"/>
    <n v="9"/>
  </r>
  <r>
    <x v="42"/>
    <x v="1"/>
    <x v="1"/>
    <n v="1467"/>
    <n v="47"/>
    <n v="28"/>
    <n v="98"/>
    <n v="94"/>
    <n v="272"/>
    <n v="24"/>
    <n v="59"/>
    <n v="26"/>
    <n v="18"/>
    <n v="48"/>
    <n v="38"/>
    <n v="17"/>
    <n v="8"/>
  </r>
  <r>
    <x v="42"/>
    <x v="0"/>
    <x v="2"/>
    <n v="1436"/>
    <n v="60"/>
    <n v="59"/>
    <n v="273"/>
    <n v="27"/>
    <n v="280"/>
    <n v="24"/>
    <n v="145"/>
    <n v="46"/>
    <n v="50"/>
    <n v="211"/>
    <n v="153"/>
    <n v="131"/>
    <n v="2"/>
  </r>
  <r>
    <x v="42"/>
    <x v="1"/>
    <x v="2"/>
    <n v="1929"/>
    <n v="87"/>
    <n v="60"/>
    <n v="331"/>
    <n v="48"/>
    <n v="323"/>
    <n v="62"/>
    <n v="196"/>
    <n v="60"/>
    <n v="63"/>
    <n v="319"/>
    <n v="204"/>
    <n v="215"/>
    <n v="24"/>
  </r>
  <r>
    <x v="42"/>
    <x v="0"/>
    <x v="3"/>
    <n v="1388"/>
    <n v="63"/>
    <n v="76"/>
    <n v="356"/>
    <n v="44"/>
    <n v="338"/>
    <n v="114"/>
    <n v="473"/>
    <n v="173"/>
    <n v="98"/>
    <n v="499"/>
    <n v="324"/>
    <n v="314"/>
    <n v="7"/>
  </r>
  <r>
    <x v="42"/>
    <x v="1"/>
    <x v="3"/>
    <n v="1882"/>
    <n v="65"/>
    <n v="69"/>
    <n v="336"/>
    <n v="73"/>
    <n v="378"/>
    <n v="82"/>
    <n v="359"/>
    <n v="114"/>
    <n v="84"/>
    <n v="403"/>
    <n v="256"/>
    <n v="238"/>
    <n v="12"/>
  </r>
  <r>
    <x v="42"/>
    <x v="0"/>
    <x v="4"/>
    <n v="1175"/>
    <n v="56"/>
    <n v="47"/>
    <n v="276"/>
    <n v="62"/>
    <n v="347"/>
    <n v="56"/>
    <n v="200"/>
    <n v="99"/>
    <n v="48"/>
    <n v="261"/>
    <n v="202"/>
    <n v="132"/>
    <n v="16"/>
  </r>
  <r>
    <x v="42"/>
    <x v="1"/>
    <x v="4"/>
    <n v="1474"/>
    <n v="67"/>
    <n v="61"/>
    <n v="284"/>
    <n v="63"/>
    <n v="335"/>
    <n v="70"/>
    <n v="264"/>
    <n v="117"/>
    <n v="68"/>
    <n v="268"/>
    <n v="186"/>
    <n v="149"/>
    <n v="8"/>
  </r>
  <r>
    <x v="42"/>
    <x v="0"/>
    <x v="5"/>
    <n v="1419"/>
    <n v="55"/>
    <n v="64"/>
    <n v="191"/>
    <n v="94"/>
    <n v="405"/>
    <n v="37"/>
    <n v="93"/>
    <n v="70"/>
    <n v="57"/>
    <n v="126"/>
    <n v="91"/>
    <n v="63"/>
    <n v="6"/>
  </r>
  <r>
    <x v="42"/>
    <x v="1"/>
    <x v="5"/>
    <n v="1641"/>
    <n v="63"/>
    <n v="65"/>
    <n v="222"/>
    <n v="70"/>
    <n v="435"/>
    <n v="54"/>
    <n v="137"/>
    <n v="75"/>
    <n v="67"/>
    <n v="142"/>
    <n v="92"/>
    <n v="64"/>
    <n v="15"/>
  </r>
  <r>
    <x v="42"/>
    <x v="0"/>
    <x v="6"/>
    <n v="1282"/>
    <n v="44"/>
    <n v="47"/>
    <n v="115"/>
    <n v="38"/>
    <n v="376"/>
    <n v="21"/>
    <n v="36"/>
    <n v="23"/>
    <n v="39"/>
    <n v="28"/>
    <n v="36"/>
    <n v="19"/>
    <n v="2"/>
  </r>
  <r>
    <x v="42"/>
    <x v="1"/>
    <x v="6"/>
    <n v="1614"/>
    <n v="53"/>
    <n v="49"/>
    <n v="111"/>
    <n v="63"/>
    <n v="426"/>
    <n v="35"/>
    <n v="43"/>
    <n v="41"/>
    <n v="51"/>
    <n v="74"/>
    <n v="63"/>
    <n v="26"/>
    <n v="1"/>
  </r>
  <r>
    <x v="42"/>
    <x v="0"/>
    <x v="7"/>
    <n v="1030"/>
    <n v="63"/>
    <n v="42"/>
    <n v="86"/>
    <n v="32"/>
    <n v="382"/>
    <n v="20"/>
    <n v="46"/>
    <n v="18"/>
    <n v="45"/>
    <n v="27"/>
    <n v="25"/>
    <n v="9"/>
    <n v="0"/>
  </r>
  <r>
    <x v="42"/>
    <x v="1"/>
    <x v="7"/>
    <n v="1260"/>
    <n v="46"/>
    <n v="42"/>
    <n v="90"/>
    <n v="19"/>
    <n v="351"/>
    <n v="23"/>
    <n v="24"/>
    <n v="19"/>
    <n v="33"/>
    <n v="13"/>
    <n v="8"/>
    <n v="7"/>
    <n v="4"/>
  </r>
  <r>
    <x v="42"/>
    <x v="0"/>
    <x v="8"/>
    <n v="1325"/>
    <n v="77"/>
    <n v="46"/>
    <n v="67"/>
    <n v="60"/>
    <n v="440"/>
    <n v="37"/>
    <n v="26"/>
    <n v="23"/>
    <n v="68"/>
    <n v="24"/>
    <n v="21"/>
    <n v="6"/>
    <n v="2"/>
  </r>
  <r>
    <x v="42"/>
    <x v="1"/>
    <x v="8"/>
    <n v="1464"/>
    <n v="59"/>
    <n v="44"/>
    <n v="98"/>
    <n v="25"/>
    <n v="334"/>
    <n v="28"/>
    <n v="27"/>
    <n v="29"/>
    <n v="37"/>
    <n v="26"/>
    <n v="28"/>
    <n v="10"/>
    <n v="0"/>
  </r>
  <r>
    <x v="42"/>
    <x v="0"/>
    <x v="9"/>
    <n v="1614"/>
    <n v="79"/>
    <n v="79"/>
    <n v="102"/>
    <n v="112"/>
    <n v="478"/>
    <n v="61"/>
    <n v="49"/>
    <n v="43"/>
    <n v="49"/>
    <n v="48"/>
    <n v="48"/>
    <n v="26"/>
    <n v="0"/>
  </r>
  <r>
    <x v="42"/>
    <x v="1"/>
    <x v="9"/>
    <n v="1958"/>
    <n v="96"/>
    <n v="103"/>
    <n v="260"/>
    <n v="46"/>
    <n v="451"/>
    <n v="64"/>
    <n v="42"/>
    <n v="33"/>
    <n v="59"/>
    <n v="52"/>
    <n v="53"/>
    <n v="35"/>
    <n v="0"/>
  </r>
  <r>
    <x v="42"/>
    <x v="0"/>
    <x v="10"/>
    <n v="1428"/>
    <n v="77"/>
    <n v="67"/>
    <n v="187"/>
    <n v="106"/>
    <n v="474"/>
    <n v="49"/>
    <n v="81"/>
    <n v="31"/>
    <n v="71"/>
    <n v="75"/>
    <n v="50"/>
    <n v="23"/>
    <n v="0"/>
  </r>
  <r>
    <x v="42"/>
    <x v="1"/>
    <x v="10"/>
    <n v="1706"/>
    <n v="51"/>
    <n v="47"/>
    <n v="153"/>
    <n v="103"/>
    <n v="390"/>
    <n v="38"/>
    <n v="55"/>
    <n v="18"/>
    <n v="41"/>
    <n v="39"/>
    <n v="68"/>
    <n v="22"/>
    <n v="2"/>
  </r>
  <r>
    <x v="42"/>
    <x v="0"/>
    <x v="11"/>
    <n v="1522"/>
    <n v="63"/>
    <n v="56"/>
    <n v="256"/>
    <n v="50"/>
    <n v="366"/>
    <n v="32"/>
    <n v="99"/>
    <n v="53"/>
    <n v="62"/>
    <n v="75"/>
    <n v="94"/>
    <n v="26"/>
    <n v="0"/>
  </r>
  <r>
    <x v="42"/>
    <x v="1"/>
    <x v="11"/>
    <n v="1700"/>
    <n v="62"/>
    <n v="47"/>
    <n v="263"/>
    <n v="64"/>
    <n v="348"/>
    <n v="54"/>
    <n v="102"/>
    <n v="58"/>
    <n v="55"/>
    <n v="67"/>
    <n v="76"/>
    <n v="23"/>
    <n v="2"/>
  </r>
  <r>
    <x v="43"/>
    <x v="0"/>
    <x v="0"/>
    <n v="524"/>
    <n v="32"/>
    <n v="34"/>
    <n v="105"/>
    <n v="8"/>
    <n v="108"/>
    <n v="25"/>
    <n v="84"/>
    <n v="27"/>
    <n v="24"/>
    <n v="26"/>
    <n v="36"/>
    <n v="18"/>
    <n v="1"/>
  </r>
  <r>
    <x v="43"/>
    <x v="1"/>
    <x v="0"/>
    <n v="621"/>
    <n v="29"/>
    <n v="25"/>
    <n v="114"/>
    <n v="11"/>
    <n v="153"/>
    <n v="28"/>
    <n v="84"/>
    <n v="14"/>
    <n v="23"/>
    <n v="54"/>
    <n v="43"/>
    <n v="18"/>
    <n v="6"/>
  </r>
  <r>
    <x v="43"/>
    <x v="0"/>
    <x v="1"/>
    <n v="506"/>
    <n v="25"/>
    <n v="30"/>
    <n v="75"/>
    <n v="20"/>
    <n v="125"/>
    <n v="17"/>
    <n v="36"/>
    <n v="19"/>
    <n v="12"/>
    <n v="26"/>
    <n v="25"/>
    <n v="7"/>
    <n v="1"/>
  </r>
  <r>
    <x v="43"/>
    <x v="1"/>
    <x v="1"/>
    <n v="675"/>
    <n v="34"/>
    <n v="24"/>
    <n v="40"/>
    <n v="56"/>
    <n v="192"/>
    <n v="21"/>
    <n v="59"/>
    <n v="20"/>
    <n v="13"/>
    <n v="28"/>
    <n v="33"/>
    <n v="11"/>
    <n v="6"/>
  </r>
  <r>
    <x v="43"/>
    <x v="0"/>
    <x v="2"/>
    <n v="599"/>
    <n v="32"/>
    <n v="59"/>
    <n v="166"/>
    <n v="10"/>
    <n v="137"/>
    <n v="28"/>
    <n v="97"/>
    <n v="28"/>
    <n v="23"/>
    <n v="122"/>
    <n v="80"/>
    <n v="80"/>
    <n v="2"/>
  </r>
  <r>
    <x v="43"/>
    <x v="1"/>
    <x v="2"/>
    <n v="913"/>
    <n v="46"/>
    <n v="75"/>
    <n v="154"/>
    <n v="17"/>
    <n v="194"/>
    <n v="58"/>
    <n v="145"/>
    <n v="38"/>
    <n v="40"/>
    <n v="194"/>
    <n v="115"/>
    <n v="95"/>
    <n v="9"/>
  </r>
  <r>
    <x v="43"/>
    <x v="0"/>
    <x v="3"/>
    <n v="721"/>
    <n v="47"/>
    <n v="101"/>
    <n v="211"/>
    <n v="26"/>
    <n v="262"/>
    <n v="81"/>
    <n v="303"/>
    <n v="132"/>
    <n v="70"/>
    <n v="277"/>
    <n v="265"/>
    <n v="185"/>
    <n v="7"/>
  </r>
  <r>
    <x v="43"/>
    <x v="1"/>
    <x v="3"/>
    <n v="853"/>
    <n v="67"/>
    <n v="93"/>
    <n v="144"/>
    <n v="34"/>
    <n v="252"/>
    <n v="58"/>
    <n v="358"/>
    <n v="113"/>
    <n v="70"/>
    <n v="243"/>
    <n v="185"/>
    <n v="190"/>
    <n v="22"/>
  </r>
  <r>
    <x v="43"/>
    <x v="0"/>
    <x v="4"/>
    <n v="525"/>
    <n v="62"/>
    <n v="59"/>
    <n v="120"/>
    <n v="18"/>
    <n v="191"/>
    <n v="54"/>
    <n v="177"/>
    <n v="53"/>
    <n v="37"/>
    <n v="142"/>
    <n v="150"/>
    <n v="89"/>
    <n v="14"/>
  </r>
  <r>
    <x v="43"/>
    <x v="1"/>
    <x v="4"/>
    <n v="710"/>
    <n v="77"/>
    <n v="65"/>
    <n v="152"/>
    <n v="44"/>
    <n v="231"/>
    <n v="52"/>
    <n v="212"/>
    <n v="108"/>
    <n v="31"/>
    <n v="199"/>
    <n v="156"/>
    <n v="105"/>
    <n v="4"/>
  </r>
  <r>
    <x v="43"/>
    <x v="0"/>
    <x v="5"/>
    <n v="668"/>
    <n v="60"/>
    <n v="101"/>
    <n v="106"/>
    <n v="50"/>
    <n v="226"/>
    <n v="42"/>
    <n v="73"/>
    <n v="58"/>
    <n v="44"/>
    <n v="66"/>
    <n v="98"/>
    <n v="35"/>
    <n v="1"/>
  </r>
  <r>
    <x v="43"/>
    <x v="1"/>
    <x v="5"/>
    <n v="776"/>
    <n v="92"/>
    <n v="89"/>
    <n v="141"/>
    <n v="32"/>
    <n v="220"/>
    <n v="38"/>
    <n v="143"/>
    <n v="70"/>
    <n v="41"/>
    <n v="84"/>
    <n v="123"/>
    <n v="57"/>
    <n v="2"/>
  </r>
  <r>
    <x v="43"/>
    <x v="0"/>
    <x v="6"/>
    <n v="589"/>
    <n v="35"/>
    <n v="81"/>
    <n v="78"/>
    <n v="20"/>
    <n v="237"/>
    <n v="42"/>
    <n v="68"/>
    <n v="32"/>
    <n v="36"/>
    <n v="63"/>
    <n v="70"/>
    <n v="46"/>
    <n v="1"/>
  </r>
  <r>
    <x v="43"/>
    <x v="1"/>
    <x v="6"/>
    <n v="777"/>
    <n v="50"/>
    <n v="57"/>
    <n v="73"/>
    <n v="42"/>
    <n v="241"/>
    <n v="36"/>
    <n v="58"/>
    <n v="29"/>
    <n v="32"/>
    <n v="67"/>
    <n v="49"/>
    <n v="23"/>
    <n v="3"/>
  </r>
  <r>
    <x v="43"/>
    <x v="0"/>
    <x v="7"/>
    <n v="578"/>
    <n v="40"/>
    <n v="67"/>
    <n v="49"/>
    <n v="18"/>
    <n v="229"/>
    <n v="44"/>
    <n v="12"/>
    <n v="19"/>
    <n v="21"/>
    <n v="17"/>
    <n v="12"/>
    <n v="3"/>
    <n v="0"/>
  </r>
  <r>
    <x v="43"/>
    <x v="1"/>
    <x v="7"/>
    <n v="677"/>
    <n v="35"/>
    <n v="88"/>
    <n v="75"/>
    <n v="13"/>
    <n v="241"/>
    <n v="16"/>
    <n v="15"/>
    <n v="23"/>
    <n v="21"/>
    <n v="11"/>
    <n v="21"/>
    <n v="9"/>
    <n v="0"/>
  </r>
  <r>
    <x v="43"/>
    <x v="0"/>
    <x v="8"/>
    <n v="661"/>
    <n v="38"/>
    <n v="76"/>
    <n v="60"/>
    <n v="48"/>
    <n v="218"/>
    <n v="42"/>
    <n v="19"/>
    <n v="18"/>
    <n v="35"/>
    <n v="9"/>
    <n v="21"/>
    <n v="7"/>
    <n v="0"/>
  </r>
  <r>
    <x v="43"/>
    <x v="1"/>
    <x v="8"/>
    <n v="749"/>
    <n v="40"/>
    <n v="71"/>
    <n v="64"/>
    <n v="16"/>
    <n v="223"/>
    <n v="28"/>
    <n v="28"/>
    <n v="17"/>
    <n v="31"/>
    <n v="19"/>
    <n v="8"/>
    <n v="9"/>
    <n v="2"/>
  </r>
  <r>
    <x v="43"/>
    <x v="0"/>
    <x v="9"/>
    <n v="738"/>
    <n v="93"/>
    <n v="146"/>
    <n v="57"/>
    <n v="92"/>
    <n v="340"/>
    <n v="70"/>
    <n v="54"/>
    <n v="35"/>
    <n v="37"/>
    <n v="32"/>
    <n v="32"/>
    <n v="19"/>
    <n v="0"/>
  </r>
  <r>
    <x v="43"/>
    <x v="1"/>
    <x v="9"/>
    <n v="852"/>
    <n v="99"/>
    <n v="84"/>
    <n v="133"/>
    <n v="24"/>
    <n v="305"/>
    <n v="42"/>
    <n v="50"/>
    <n v="39"/>
    <n v="41"/>
    <n v="44"/>
    <n v="71"/>
    <n v="23"/>
    <n v="0"/>
  </r>
  <r>
    <x v="43"/>
    <x v="0"/>
    <x v="10"/>
    <n v="633"/>
    <n v="68"/>
    <n v="98"/>
    <n v="69"/>
    <n v="76"/>
    <n v="265"/>
    <n v="66"/>
    <n v="52"/>
    <n v="27"/>
    <n v="440"/>
    <n v="39"/>
    <n v="52"/>
    <n v="17"/>
    <n v="0"/>
  </r>
  <r>
    <x v="43"/>
    <x v="1"/>
    <x v="10"/>
    <n v="821"/>
    <n v="73"/>
    <n v="95"/>
    <n v="99"/>
    <n v="34"/>
    <n v="226"/>
    <n v="26"/>
    <n v="46"/>
    <n v="29"/>
    <n v="29"/>
    <n v="42"/>
    <n v="48"/>
    <n v="10"/>
    <n v="0"/>
  </r>
  <r>
    <x v="43"/>
    <x v="0"/>
    <x v="11"/>
    <n v="686"/>
    <n v="35"/>
    <n v="61"/>
    <n v="127"/>
    <n v="30"/>
    <n v="216"/>
    <n v="41"/>
    <n v="63"/>
    <n v="53"/>
    <n v="45"/>
    <n v="40"/>
    <n v="59"/>
    <n v="18"/>
    <n v="6"/>
  </r>
  <r>
    <x v="43"/>
    <x v="1"/>
    <x v="11"/>
    <n v="860"/>
    <n v="53"/>
    <n v="68"/>
    <n v="175"/>
    <n v="18"/>
    <n v="253"/>
    <n v="40"/>
    <n v="71"/>
    <n v="39"/>
    <n v="43"/>
    <n v="59"/>
    <n v="57"/>
    <n v="13"/>
    <n v="3"/>
  </r>
  <r>
    <x v="44"/>
    <x v="0"/>
    <x v="0"/>
    <n v="784"/>
    <n v="68"/>
    <n v="47"/>
    <n v="152"/>
    <n v="3"/>
    <n v="163"/>
    <n v="24"/>
    <n v="104"/>
    <n v="28"/>
    <n v="26"/>
    <n v="65"/>
    <n v="45"/>
    <n v="20"/>
    <n v="8"/>
  </r>
  <r>
    <x v="44"/>
    <x v="1"/>
    <x v="0"/>
    <n v="977"/>
    <n v="45"/>
    <n v="31"/>
    <n v="143"/>
    <n v="7"/>
    <n v="169"/>
    <n v="42"/>
    <n v="99"/>
    <n v="21"/>
    <n v="23"/>
    <n v="67"/>
    <n v="33"/>
    <n v="23"/>
    <n v="3"/>
  </r>
  <r>
    <x v="44"/>
    <x v="0"/>
    <x v="1"/>
    <n v="790"/>
    <n v="49"/>
    <n v="16"/>
    <n v="90"/>
    <n v="60"/>
    <n v="193"/>
    <n v="23"/>
    <n v="74"/>
    <n v="20"/>
    <n v="22"/>
    <n v="79"/>
    <n v="52"/>
    <n v="14"/>
    <n v="4"/>
  </r>
  <r>
    <x v="44"/>
    <x v="1"/>
    <x v="1"/>
    <n v="955"/>
    <n v="30"/>
    <n v="37"/>
    <n v="91"/>
    <n v="56"/>
    <n v="183"/>
    <n v="34"/>
    <n v="99"/>
    <n v="24"/>
    <n v="17"/>
    <n v="67"/>
    <n v="41"/>
    <n v="20"/>
    <n v="9"/>
  </r>
  <r>
    <x v="44"/>
    <x v="0"/>
    <x v="2"/>
    <n v="1102"/>
    <n v="100"/>
    <n v="69"/>
    <n v="259"/>
    <n v="7"/>
    <n v="181"/>
    <n v="37"/>
    <n v="121"/>
    <n v="40"/>
    <n v="41"/>
    <n v="209"/>
    <n v="97"/>
    <n v="113"/>
    <n v="34"/>
  </r>
  <r>
    <x v="44"/>
    <x v="1"/>
    <x v="2"/>
    <n v="1372"/>
    <n v="72"/>
    <n v="68"/>
    <n v="237"/>
    <n v="10"/>
    <n v="202"/>
    <n v="40"/>
    <n v="174"/>
    <n v="50"/>
    <n v="45"/>
    <n v="292"/>
    <n v="138"/>
    <n v="161"/>
    <n v="30"/>
  </r>
  <r>
    <x v="44"/>
    <x v="0"/>
    <x v="3"/>
    <n v="1068"/>
    <n v="85"/>
    <n v="79"/>
    <n v="318"/>
    <n v="10"/>
    <n v="255"/>
    <n v="76"/>
    <n v="369"/>
    <n v="128"/>
    <n v="65"/>
    <n v="551"/>
    <n v="262"/>
    <n v="319"/>
    <n v="25"/>
  </r>
  <r>
    <x v="44"/>
    <x v="1"/>
    <x v="3"/>
    <n v="1227"/>
    <n v="66"/>
    <n v="73"/>
    <n v="289"/>
    <n v="33"/>
    <n v="278"/>
    <n v="78"/>
    <n v="318"/>
    <n v="144"/>
    <n v="76"/>
    <n v="510"/>
    <n v="244"/>
    <n v="243"/>
    <n v="33"/>
  </r>
  <r>
    <x v="44"/>
    <x v="0"/>
    <x v="4"/>
    <n v="941"/>
    <n v="102"/>
    <n v="56"/>
    <n v="232"/>
    <n v="16"/>
    <n v="276"/>
    <n v="39"/>
    <n v="238"/>
    <n v="85"/>
    <n v="48"/>
    <n v="326"/>
    <n v="174"/>
    <n v="164"/>
    <n v="5"/>
  </r>
  <r>
    <x v="44"/>
    <x v="1"/>
    <x v="4"/>
    <n v="1054"/>
    <n v="128"/>
    <n v="73"/>
    <n v="256"/>
    <n v="17"/>
    <n v="274"/>
    <n v="52"/>
    <n v="259"/>
    <n v="101"/>
    <n v="42"/>
    <n v="350"/>
    <n v="206"/>
    <n v="170"/>
    <n v="29"/>
  </r>
  <r>
    <x v="44"/>
    <x v="0"/>
    <x v="5"/>
    <n v="1119"/>
    <n v="103"/>
    <n v="69"/>
    <n v="217"/>
    <n v="49"/>
    <n v="310"/>
    <n v="42"/>
    <n v="118"/>
    <n v="64"/>
    <n v="41"/>
    <n v="178"/>
    <n v="119"/>
    <n v="95"/>
    <n v="4"/>
  </r>
  <r>
    <x v="44"/>
    <x v="1"/>
    <x v="5"/>
    <n v="1154"/>
    <n v="110"/>
    <n v="87"/>
    <n v="209"/>
    <n v="23"/>
    <n v="284"/>
    <n v="47"/>
    <n v="153"/>
    <n v="77"/>
    <n v="54"/>
    <n v="232"/>
    <n v="132"/>
    <n v="95"/>
    <n v="3"/>
  </r>
  <r>
    <x v="44"/>
    <x v="0"/>
    <x v="6"/>
    <n v="1123"/>
    <n v="100"/>
    <n v="59"/>
    <n v="164"/>
    <n v="35"/>
    <n v="284"/>
    <n v="31"/>
    <n v="80"/>
    <n v="36"/>
    <n v="32"/>
    <n v="94"/>
    <n v="92"/>
    <n v="49"/>
    <n v="0"/>
  </r>
  <r>
    <x v="44"/>
    <x v="1"/>
    <x v="6"/>
    <n v="1136"/>
    <n v="61"/>
    <n v="85"/>
    <n v="95"/>
    <n v="76"/>
    <n v="379"/>
    <n v="42"/>
    <n v="56"/>
    <n v="36"/>
    <n v="39"/>
    <n v="92"/>
    <n v="48"/>
    <n v="33"/>
    <n v="2"/>
  </r>
  <r>
    <x v="44"/>
    <x v="0"/>
    <x v="7"/>
    <n v="896"/>
    <n v="92"/>
    <n v="55"/>
    <n v="87"/>
    <n v="30"/>
    <n v="286"/>
    <n v="18"/>
    <n v="40"/>
    <n v="31"/>
    <n v="43"/>
    <n v="21"/>
    <n v="21"/>
    <n v="9"/>
    <n v="0"/>
  </r>
  <r>
    <x v="44"/>
    <x v="1"/>
    <x v="7"/>
    <n v="946"/>
    <n v="95"/>
    <n v="49"/>
    <n v="106"/>
    <n v="4"/>
    <n v="279"/>
    <n v="29"/>
    <n v="44"/>
    <n v="32"/>
    <n v="60"/>
    <n v="52"/>
    <n v="36"/>
    <n v="25"/>
    <n v="0"/>
  </r>
  <r>
    <x v="44"/>
    <x v="0"/>
    <x v="8"/>
    <n v="1012"/>
    <n v="123"/>
    <n v="84"/>
    <n v="62"/>
    <n v="33"/>
    <n v="303"/>
    <n v="57"/>
    <n v="30"/>
    <n v="22"/>
    <n v="54"/>
    <n v="33"/>
    <n v="44"/>
    <n v="12"/>
    <n v="0"/>
  </r>
  <r>
    <x v="44"/>
    <x v="1"/>
    <x v="8"/>
    <n v="969"/>
    <n v="75"/>
    <n v="45"/>
    <n v="119"/>
    <n v="8"/>
    <n v="278"/>
    <n v="35"/>
    <n v="65"/>
    <n v="28"/>
    <n v="36"/>
    <n v="34"/>
    <n v="40"/>
    <n v="15"/>
    <n v="0"/>
  </r>
  <r>
    <x v="44"/>
    <x v="0"/>
    <x v="9"/>
    <n v="1294"/>
    <n v="163"/>
    <n v="118"/>
    <n v="95"/>
    <n v="104"/>
    <n v="449"/>
    <n v="63"/>
    <n v="82"/>
    <n v="43"/>
    <n v="80"/>
    <n v="90"/>
    <n v="72"/>
    <n v="44"/>
    <n v="2"/>
  </r>
  <r>
    <x v="44"/>
    <x v="1"/>
    <x v="9"/>
    <n v="1469"/>
    <n v="103"/>
    <n v="76"/>
    <n v="210"/>
    <n v="10"/>
    <n v="376"/>
    <n v="75"/>
    <n v="83"/>
    <n v="61"/>
    <n v="57"/>
    <n v="98"/>
    <n v="81"/>
    <n v="32"/>
    <n v="0"/>
  </r>
  <r>
    <x v="44"/>
    <x v="0"/>
    <x v="10"/>
    <n v="1057"/>
    <n v="100"/>
    <n v="72"/>
    <n v="150"/>
    <n v="81"/>
    <n v="389"/>
    <n v="57"/>
    <n v="91"/>
    <n v="59"/>
    <n v="58"/>
    <n v="110"/>
    <n v="71"/>
    <n v="31"/>
    <n v="4"/>
  </r>
  <r>
    <x v="44"/>
    <x v="1"/>
    <x v="10"/>
    <n v="1210"/>
    <n v="94"/>
    <n v="48"/>
    <n v="150"/>
    <n v="41"/>
    <n v="300"/>
    <n v="44"/>
    <n v="102"/>
    <n v="38"/>
    <n v="60"/>
    <n v="85"/>
    <n v="58"/>
    <n v="30"/>
    <n v="0"/>
  </r>
  <r>
    <x v="44"/>
    <x v="0"/>
    <x v="11"/>
    <n v="1064"/>
    <n v="87"/>
    <n v="72"/>
    <n v="215"/>
    <n v="15"/>
    <n v="279"/>
    <n v="35"/>
    <n v="124"/>
    <n v="37"/>
    <n v="40"/>
    <n v="114"/>
    <n v="93"/>
    <n v="35"/>
    <n v="5"/>
  </r>
  <r>
    <x v="44"/>
    <x v="1"/>
    <x v="11"/>
    <n v="1148"/>
    <n v="58"/>
    <n v="70"/>
    <n v="230"/>
    <n v="26"/>
    <n v="324"/>
    <n v="52"/>
    <n v="142"/>
    <n v="59"/>
    <n v="65"/>
    <n v="127"/>
    <n v="91"/>
    <n v="33"/>
    <n v="3"/>
  </r>
  <r>
    <x v="45"/>
    <x v="0"/>
    <x v="0"/>
    <n v="870"/>
    <n v="23"/>
    <n v="27"/>
    <n v="154"/>
    <n v="21"/>
    <n v="192"/>
    <n v="23"/>
    <n v="88"/>
    <n v="24"/>
    <n v="21"/>
    <n v="36"/>
    <n v="50"/>
    <n v="19"/>
    <n v="2"/>
  </r>
  <r>
    <x v="45"/>
    <x v="1"/>
    <x v="0"/>
    <n v="1091"/>
    <n v="20"/>
    <n v="18"/>
    <n v="153"/>
    <n v="20"/>
    <n v="207"/>
    <n v="72"/>
    <n v="72"/>
    <n v="27"/>
    <n v="40"/>
    <n v="46"/>
    <n v="39"/>
    <n v="22"/>
    <n v="5"/>
  </r>
  <r>
    <x v="45"/>
    <x v="0"/>
    <x v="1"/>
    <n v="998"/>
    <n v="29"/>
    <n v="30"/>
    <n v="95"/>
    <n v="57"/>
    <n v="228"/>
    <n v="29"/>
    <n v="75"/>
    <n v="33"/>
    <n v="26"/>
    <n v="48"/>
    <n v="49"/>
    <n v="16"/>
    <n v="3"/>
  </r>
  <r>
    <x v="45"/>
    <x v="1"/>
    <x v="1"/>
    <n v="1172"/>
    <n v="29"/>
    <n v="36"/>
    <n v="67"/>
    <n v="112"/>
    <n v="293"/>
    <n v="29"/>
    <n v="75"/>
    <n v="34"/>
    <n v="25"/>
    <n v="67"/>
    <n v="37"/>
    <n v="27"/>
    <n v="9"/>
  </r>
  <r>
    <x v="45"/>
    <x v="0"/>
    <x v="2"/>
    <n v="1127"/>
    <n v="31"/>
    <n v="60"/>
    <n v="209"/>
    <n v="25"/>
    <n v="214"/>
    <n v="53"/>
    <n v="109"/>
    <n v="35"/>
    <n v="40"/>
    <n v="198"/>
    <n v="83"/>
    <n v="97"/>
    <n v="8"/>
  </r>
  <r>
    <x v="45"/>
    <x v="1"/>
    <x v="2"/>
    <n v="1281"/>
    <n v="46"/>
    <n v="72"/>
    <n v="225"/>
    <n v="33"/>
    <n v="260"/>
    <n v="50"/>
    <n v="149"/>
    <n v="54"/>
    <n v="47"/>
    <n v="279"/>
    <n v="137"/>
    <n v="170"/>
    <n v="17"/>
  </r>
  <r>
    <x v="45"/>
    <x v="0"/>
    <x v="3"/>
    <n v="1123"/>
    <n v="70"/>
    <n v="74"/>
    <n v="257"/>
    <n v="37"/>
    <n v="339"/>
    <n v="118"/>
    <n v="371"/>
    <n v="143"/>
    <n v="76"/>
    <n v="468"/>
    <n v="264"/>
    <n v="249"/>
    <n v="13"/>
  </r>
  <r>
    <x v="45"/>
    <x v="1"/>
    <x v="3"/>
    <n v="1406"/>
    <n v="35"/>
    <n v="56"/>
    <n v="223"/>
    <n v="64"/>
    <n v="321"/>
    <n v="102"/>
    <n v="384"/>
    <n v="126"/>
    <n v="71"/>
    <n v="396"/>
    <n v="214"/>
    <n v="216"/>
    <n v="11"/>
  </r>
  <r>
    <x v="45"/>
    <x v="0"/>
    <x v="4"/>
    <n v="1093"/>
    <n v="66"/>
    <n v="39"/>
    <n v="172"/>
    <n v="66"/>
    <n v="295"/>
    <n v="58"/>
    <n v="168"/>
    <n v="72"/>
    <n v="45"/>
    <n v="250"/>
    <n v="240"/>
    <n v="132"/>
    <n v="16"/>
  </r>
  <r>
    <x v="45"/>
    <x v="1"/>
    <x v="4"/>
    <n v="1185"/>
    <n v="72"/>
    <n v="53"/>
    <n v="206"/>
    <n v="54"/>
    <n v="335"/>
    <n v="63"/>
    <n v="243"/>
    <n v="113"/>
    <n v="62"/>
    <n v="283"/>
    <n v="270"/>
    <n v="167"/>
    <n v="8"/>
  </r>
  <r>
    <x v="45"/>
    <x v="0"/>
    <x v="5"/>
    <n v="1060"/>
    <n v="65"/>
    <n v="56"/>
    <n v="169"/>
    <n v="48"/>
    <n v="318"/>
    <n v="60"/>
    <n v="105"/>
    <n v="61"/>
    <n v="51"/>
    <n v="103"/>
    <n v="103"/>
    <n v="71"/>
    <n v="8"/>
  </r>
  <r>
    <x v="45"/>
    <x v="1"/>
    <x v="5"/>
    <n v="1416"/>
    <n v="79"/>
    <n v="52"/>
    <n v="215"/>
    <n v="72"/>
    <n v="342"/>
    <n v="71"/>
    <n v="129"/>
    <n v="67"/>
    <n v="59"/>
    <n v="166"/>
    <n v="146"/>
    <n v="93"/>
    <n v="8"/>
  </r>
  <r>
    <x v="45"/>
    <x v="0"/>
    <x v="6"/>
    <n v="1068"/>
    <n v="60"/>
    <n v="55"/>
    <n v="104"/>
    <n v="41"/>
    <n v="304"/>
    <n v="37"/>
    <n v="40"/>
    <n v="27"/>
    <n v="46"/>
    <n v="46"/>
    <n v="55"/>
    <n v="32"/>
    <n v="1"/>
  </r>
  <r>
    <x v="45"/>
    <x v="1"/>
    <x v="6"/>
    <n v="1194"/>
    <n v="57"/>
    <n v="50"/>
    <n v="84"/>
    <n v="66"/>
    <n v="315"/>
    <n v="24"/>
    <n v="39"/>
    <n v="30"/>
    <n v="50"/>
    <n v="55"/>
    <n v="51"/>
    <n v="36"/>
    <n v="0"/>
  </r>
  <r>
    <x v="45"/>
    <x v="0"/>
    <x v="7"/>
    <n v="1041"/>
    <n v="39"/>
    <n v="55"/>
    <n v="74"/>
    <n v="39"/>
    <n v="347"/>
    <n v="32"/>
    <n v="10"/>
    <n v="13"/>
    <n v="28"/>
    <n v="21"/>
    <n v="21"/>
    <n v="4"/>
    <n v="0"/>
  </r>
  <r>
    <x v="45"/>
    <x v="1"/>
    <x v="7"/>
    <n v="1173"/>
    <n v="23"/>
    <n v="57"/>
    <n v="73"/>
    <n v="10"/>
    <n v="308"/>
    <n v="32"/>
    <n v="23"/>
    <n v="25"/>
    <n v="38"/>
    <n v="24"/>
    <n v="23"/>
    <n v="15"/>
    <n v="0"/>
  </r>
  <r>
    <x v="45"/>
    <x v="0"/>
    <x v="8"/>
    <n v="1066"/>
    <n v="47"/>
    <n v="63"/>
    <n v="45"/>
    <n v="53"/>
    <n v="360"/>
    <n v="50"/>
    <n v="15"/>
    <n v="18"/>
    <n v="48"/>
    <n v="18"/>
    <n v="20"/>
    <n v="7"/>
    <n v="0"/>
  </r>
  <r>
    <x v="45"/>
    <x v="1"/>
    <x v="8"/>
    <n v="1309"/>
    <n v="44"/>
    <n v="58"/>
    <n v="118"/>
    <n v="38"/>
    <n v="313"/>
    <n v="48"/>
    <n v="49"/>
    <n v="27"/>
    <n v="48"/>
    <n v="40"/>
    <n v="26"/>
    <n v="14"/>
    <n v="5"/>
  </r>
  <r>
    <x v="45"/>
    <x v="0"/>
    <x v="9"/>
    <n v="1370"/>
    <n v="69"/>
    <n v="70"/>
    <n v="89"/>
    <n v="145"/>
    <n v="467"/>
    <n v="66"/>
    <n v="58"/>
    <n v="40"/>
    <n v="55"/>
    <n v="51"/>
    <n v="48"/>
    <n v="10"/>
    <n v="0"/>
  </r>
  <r>
    <x v="45"/>
    <x v="1"/>
    <x v="9"/>
    <n v="1788"/>
    <n v="90"/>
    <n v="96"/>
    <n v="224"/>
    <n v="36"/>
    <n v="502"/>
    <n v="76"/>
    <n v="76"/>
    <n v="67"/>
    <n v="75"/>
    <n v="61"/>
    <n v="51"/>
    <n v="22"/>
    <n v="0"/>
  </r>
  <r>
    <x v="45"/>
    <x v="0"/>
    <x v="10"/>
    <n v="1143"/>
    <n v="56"/>
    <n v="83"/>
    <n v="147"/>
    <n v="69"/>
    <n v="352"/>
    <n v="65"/>
    <n v="82"/>
    <n v="23"/>
    <n v="58"/>
    <n v="39"/>
    <n v="47"/>
    <n v="27"/>
    <n v="2"/>
  </r>
  <r>
    <x v="45"/>
    <x v="1"/>
    <x v="10"/>
    <n v="1441"/>
    <n v="66"/>
    <n v="65"/>
    <n v="106"/>
    <n v="74"/>
    <n v="302"/>
    <n v="46"/>
    <n v="60"/>
    <n v="30"/>
    <n v="35"/>
    <n v="60"/>
    <n v="40"/>
    <n v="15"/>
    <n v="0"/>
  </r>
  <r>
    <x v="45"/>
    <x v="0"/>
    <x v="11"/>
    <n v="1182"/>
    <n v="45"/>
    <n v="60"/>
    <n v="199"/>
    <n v="38"/>
    <n v="274"/>
    <n v="54"/>
    <n v="95"/>
    <n v="43"/>
    <n v="40"/>
    <n v="46"/>
    <n v="47"/>
    <n v="24"/>
    <n v="0"/>
  </r>
  <r>
    <x v="45"/>
    <x v="1"/>
    <x v="11"/>
    <n v="1459"/>
    <n v="41"/>
    <n v="53"/>
    <n v="256"/>
    <n v="51"/>
    <n v="316"/>
    <n v="67"/>
    <n v="102"/>
    <n v="50"/>
    <n v="59"/>
    <n v="74"/>
    <n v="52"/>
    <n v="22"/>
    <n v="0"/>
  </r>
  <r>
    <x v="46"/>
    <x v="0"/>
    <x v="0"/>
    <n v="685"/>
    <n v="30"/>
    <n v="27"/>
    <n v="117"/>
    <n v="9"/>
    <n v="114"/>
    <n v="20"/>
    <n v="62"/>
    <n v="16"/>
    <n v="21"/>
    <n v="55"/>
    <n v="65"/>
    <n v="16"/>
    <n v="2"/>
  </r>
  <r>
    <x v="46"/>
    <x v="1"/>
    <x v="0"/>
    <n v="685"/>
    <n v="39"/>
    <n v="33"/>
    <n v="107"/>
    <n v="5"/>
    <n v="113"/>
    <n v="14"/>
    <n v="83"/>
    <n v="27"/>
    <n v="12"/>
    <n v="62"/>
    <n v="52"/>
    <n v="11"/>
    <n v="14"/>
  </r>
  <r>
    <x v="46"/>
    <x v="0"/>
    <x v="1"/>
    <n v="718"/>
    <n v="25"/>
    <n v="21"/>
    <n v="68"/>
    <n v="40"/>
    <n v="135"/>
    <n v="8"/>
    <n v="57"/>
    <n v="14"/>
    <n v="17"/>
    <n v="33"/>
    <n v="35"/>
    <n v="11"/>
    <n v="17"/>
  </r>
  <r>
    <x v="46"/>
    <x v="1"/>
    <x v="1"/>
    <n v="689"/>
    <n v="42"/>
    <n v="47"/>
    <n v="35"/>
    <n v="57"/>
    <n v="159"/>
    <n v="17"/>
    <n v="52"/>
    <n v="19"/>
    <n v="15"/>
    <n v="44"/>
    <n v="53"/>
    <n v="17"/>
    <n v="9"/>
  </r>
  <r>
    <x v="46"/>
    <x v="0"/>
    <x v="2"/>
    <n v="912"/>
    <n v="41"/>
    <n v="50"/>
    <n v="204"/>
    <n v="14"/>
    <n v="128"/>
    <n v="20"/>
    <n v="75"/>
    <n v="22"/>
    <n v="22"/>
    <n v="118"/>
    <n v="105"/>
    <n v="87"/>
    <n v="25"/>
  </r>
  <r>
    <x v="46"/>
    <x v="1"/>
    <x v="2"/>
    <n v="930"/>
    <n v="46"/>
    <n v="56"/>
    <n v="171"/>
    <n v="24"/>
    <n v="178"/>
    <n v="26"/>
    <n v="102"/>
    <n v="19"/>
    <n v="30"/>
    <n v="166"/>
    <n v="133"/>
    <n v="108"/>
    <n v="12"/>
  </r>
  <r>
    <x v="46"/>
    <x v="0"/>
    <x v="3"/>
    <n v="873"/>
    <n v="46"/>
    <n v="54"/>
    <n v="206"/>
    <n v="19"/>
    <n v="197"/>
    <n v="54"/>
    <n v="276"/>
    <n v="80"/>
    <n v="54"/>
    <n v="341"/>
    <n v="284"/>
    <n v="200"/>
    <n v="23"/>
  </r>
  <r>
    <x v="46"/>
    <x v="1"/>
    <x v="3"/>
    <n v="897"/>
    <n v="56"/>
    <n v="66"/>
    <n v="153"/>
    <n v="43"/>
    <n v="208"/>
    <n v="47"/>
    <n v="232"/>
    <n v="96"/>
    <n v="48"/>
    <n v="272"/>
    <n v="205"/>
    <n v="151"/>
    <n v="11"/>
  </r>
  <r>
    <x v="46"/>
    <x v="0"/>
    <x v="4"/>
    <n v="751"/>
    <n v="59"/>
    <n v="32"/>
    <n v="154"/>
    <n v="13"/>
    <n v="142"/>
    <n v="33"/>
    <n v="130"/>
    <n v="47"/>
    <n v="29"/>
    <n v="182"/>
    <n v="140"/>
    <n v="116"/>
    <n v="9"/>
  </r>
  <r>
    <x v="46"/>
    <x v="1"/>
    <x v="4"/>
    <n v="813"/>
    <n v="50"/>
    <n v="56"/>
    <n v="133"/>
    <n v="56"/>
    <n v="229"/>
    <n v="56"/>
    <n v="141"/>
    <n v="51"/>
    <n v="56"/>
    <n v="223"/>
    <n v="191"/>
    <n v="101"/>
    <n v="5"/>
  </r>
  <r>
    <x v="46"/>
    <x v="0"/>
    <x v="5"/>
    <n v="818"/>
    <n v="54"/>
    <n v="44"/>
    <n v="100"/>
    <n v="35"/>
    <n v="223"/>
    <n v="29"/>
    <n v="79"/>
    <n v="55"/>
    <n v="32"/>
    <n v="107"/>
    <n v="107"/>
    <n v="57"/>
    <n v="15"/>
  </r>
  <r>
    <x v="46"/>
    <x v="1"/>
    <x v="5"/>
    <n v="855"/>
    <n v="50"/>
    <n v="52"/>
    <n v="126"/>
    <n v="31"/>
    <n v="201"/>
    <n v="44"/>
    <n v="66"/>
    <n v="39"/>
    <n v="27"/>
    <n v="131"/>
    <n v="141"/>
    <n v="83"/>
    <n v="8"/>
  </r>
  <r>
    <x v="46"/>
    <x v="0"/>
    <x v="6"/>
    <n v="746"/>
    <n v="62"/>
    <n v="69"/>
    <n v="89"/>
    <n v="30"/>
    <n v="206"/>
    <n v="28"/>
    <n v="51"/>
    <n v="19"/>
    <n v="31"/>
    <n v="39"/>
    <n v="63"/>
    <n v="41"/>
    <n v="0"/>
  </r>
  <r>
    <x v="46"/>
    <x v="1"/>
    <x v="6"/>
    <n v="822"/>
    <n v="57"/>
    <n v="52"/>
    <n v="62"/>
    <n v="79"/>
    <n v="307"/>
    <n v="20"/>
    <n v="21"/>
    <n v="18"/>
    <n v="28"/>
    <n v="45"/>
    <n v="76"/>
    <n v="31"/>
    <n v="7"/>
  </r>
  <r>
    <x v="46"/>
    <x v="0"/>
    <x v="7"/>
    <n v="608"/>
    <n v="64"/>
    <n v="52"/>
    <n v="47"/>
    <n v="25"/>
    <n v="207"/>
    <n v="23"/>
    <n v="25"/>
    <n v="10"/>
    <n v="23"/>
    <n v="16"/>
    <n v="34"/>
    <n v="13"/>
    <n v="8"/>
  </r>
  <r>
    <x v="46"/>
    <x v="1"/>
    <x v="7"/>
    <n v="696"/>
    <n v="45"/>
    <n v="41"/>
    <n v="79"/>
    <n v="12"/>
    <n v="233"/>
    <n v="15"/>
    <n v="21"/>
    <n v="16"/>
    <n v="31"/>
    <n v="14"/>
    <n v="41"/>
    <n v="20"/>
    <n v="1"/>
  </r>
  <r>
    <x v="46"/>
    <x v="0"/>
    <x v="8"/>
    <n v="708"/>
    <n v="63"/>
    <n v="50"/>
    <n v="54"/>
    <n v="53"/>
    <n v="217"/>
    <n v="37"/>
    <n v="16"/>
    <n v="15"/>
    <n v="26"/>
    <n v="24"/>
    <n v="34"/>
    <n v="9"/>
    <n v="1"/>
  </r>
  <r>
    <x v="46"/>
    <x v="1"/>
    <x v="8"/>
    <n v="754"/>
    <n v="54"/>
    <n v="48"/>
    <n v="83"/>
    <n v="14"/>
    <n v="223"/>
    <n v="18"/>
    <n v="18"/>
    <n v="20"/>
    <n v="26"/>
    <n v="36"/>
    <n v="44"/>
    <n v="14"/>
    <n v="0"/>
  </r>
  <r>
    <x v="46"/>
    <x v="0"/>
    <x v="9"/>
    <n v="1114"/>
    <n v="65"/>
    <n v="63"/>
    <n v="90"/>
    <n v="95"/>
    <n v="364"/>
    <n v="59"/>
    <n v="55"/>
    <n v="38"/>
    <n v="33"/>
    <n v="50"/>
    <n v="74"/>
    <n v="32"/>
    <n v="3"/>
  </r>
  <r>
    <x v="46"/>
    <x v="1"/>
    <x v="9"/>
    <n v="1166"/>
    <n v="113"/>
    <n v="63"/>
    <n v="181"/>
    <n v="29"/>
    <n v="310"/>
    <n v="42"/>
    <n v="44"/>
    <n v="43"/>
    <n v="45"/>
    <n v="65"/>
    <n v="91"/>
    <n v="36"/>
    <n v="3"/>
  </r>
  <r>
    <x v="46"/>
    <x v="0"/>
    <x v="10"/>
    <n v="958"/>
    <n v="36"/>
    <n v="40"/>
    <n v="112"/>
    <n v="98"/>
    <n v="251"/>
    <n v="35"/>
    <n v="57"/>
    <n v="21"/>
    <n v="44"/>
    <n v="43"/>
    <n v="79"/>
    <n v="19"/>
    <n v="2"/>
  </r>
  <r>
    <x v="46"/>
    <x v="1"/>
    <x v="10"/>
    <n v="822"/>
    <n v="39"/>
    <n v="37"/>
    <n v="74"/>
    <n v="40"/>
    <n v="210"/>
    <n v="22"/>
    <n v="54"/>
    <n v="32"/>
    <n v="19"/>
    <n v="58"/>
    <n v="73"/>
    <n v="33"/>
    <n v="4"/>
  </r>
  <r>
    <x v="46"/>
    <x v="0"/>
    <x v="11"/>
    <n v="1008"/>
    <n v="47"/>
    <n v="43"/>
    <n v="118"/>
    <n v="17"/>
    <n v="179"/>
    <n v="20"/>
    <n v="85"/>
    <n v="27"/>
    <n v="31"/>
    <n v="60"/>
    <n v="79"/>
    <n v="33"/>
    <n v="4"/>
  </r>
  <r>
    <x v="46"/>
    <x v="1"/>
    <x v="11"/>
    <n v="905"/>
    <n v="50"/>
    <n v="36"/>
    <n v="120"/>
    <n v="35"/>
    <n v="182"/>
    <n v="32"/>
    <n v="78"/>
    <n v="30"/>
    <n v="29"/>
    <n v="63"/>
    <n v="85"/>
    <n v="34"/>
    <n v="0"/>
  </r>
  <r>
    <x v="47"/>
    <x v="0"/>
    <x v="0"/>
    <n v="624"/>
    <n v="10"/>
    <n v="25"/>
    <n v="106"/>
    <n v="14"/>
    <n v="110"/>
    <n v="35"/>
    <n v="76"/>
    <n v="11"/>
    <n v="16"/>
    <n v="29"/>
    <n v="41"/>
    <n v="9"/>
    <n v="2"/>
  </r>
  <r>
    <x v="47"/>
    <x v="1"/>
    <x v="0"/>
    <n v="752"/>
    <n v="11"/>
    <n v="21"/>
    <n v="122"/>
    <n v="14"/>
    <n v="107"/>
    <n v="24"/>
    <n v="55"/>
    <n v="13"/>
    <n v="14"/>
    <n v="25"/>
    <n v="30"/>
    <n v="7"/>
    <n v="4"/>
  </r>
  <r>
    <x v="47"/>
    <x v="0"/>
    <x v="1"/>
    <n v="623"/>
    <n v="7"/>
    <n v="15"/>
    <n v="64"/>
    <n v="35"/>
    <n v="120"/>
    <n v="5"/>
    <n v="51"/>
    <n v="10"/>
    <n v="11"/>
    <n v="23"/>
    <n v="18"/>
    <n v="15"/>
    <n v="2"/>
  </r>
  <r>
    <x v="47"/>
    <x v="1"/>
    <x v="1"/>
    <n v="747"/>
    <n v="17"/>
    <n v="19"/>
    <n v="65"/>
    <n v="30"/>
    <n v="117"/>
    <n v="25"/>
    <n v="71"/>
    <n v="15"/>
    <n v="12"/>
    <n v="35"/>
    <n v="30"/>
    <n v="11"/>
    <n v="5"/>
  </r>
  <r>
    <x v="47"/>
    <x v="0"/>
    <x v="2"/>
    <n v="914"/>
    <n v="31"/>
    <n v="59"/>
    <n v="124"/>
    <n v="29"/>
    <n v="152"/>
    <n v="32"/>
    <n v="132"/>
    <n v="38"/>
    <n v="40"/>
    <n v="215"/>
    <n v="134"/>
    <n v="127"/>
    <n v="12"/>
  </r>
  <r>
    <x v="47"/>
    <x v="1"/>
    <x v="2"/>
    <n v="914"/>
    <n v="31"/>
    <n v="59"/>
    <n v="124"/>
    <n v="29"/>
    <n v="152"/>
    <n v="32"/>
    <n v="132"/>
    <n v="38"/>
    <n v="40"/>
    <n v="215"/>
    <n v="134"/>
    <n v="127"/>
    <n v="12"/>
  </r>
  <r>
    <x v="47"/>
    <x v="0"/>
    <x v="3"/>
    <n v="756"/>
    <n v="29"/>
    <n v="55"/>
    <n v="200"/>
    <n v="42"/>
    <n v="219"/>
    <n v="66"/>
    <n v="297"/>
    <n v="108"/>
    <n v="57"/>
    <n v="319"/>
    <n v="232"/>
    <n v="185"/>
    <n v="4"/>
  </r>
  <r>
    <x v="47"/>
    <x v="1"/>
    <x v="3"/>
    <n v="979"/>
    <n v="53"/>
    <n v="51"/>
    <n v="176"/>
    <n v="59"/>
    <n v="232"/>
    <n v="43"/>
    <n v="286"/>
    <n v="81"/>
    <n v="38"/>
    <n v="273"/>
    <n v="128"/>
    <n v="122"/>
    <n v="15"/>
  </r>
  <r>
    <x v="47"/>
    <x v="0"/>
    <x v="4"/>
    <n v="676"/>
    <n v="32"/>
    <n v="53"/>
    <n v="145"/>
    <n v="35"/>
    <n v="180"/>
    <n v="28"/>
    <n v="165"/>
    <n v="65"/>
    <n v="37"/>
    <n v="162"/>
    <n v="133"/>
    <n v="79"/>
    <n v="2"/>
  </r>
  <r>
    <x v="47"/>
    <x v="1"/>
    <x v="4"/>
    <n v="863"/>
    <n v="45"/>
    <n v="46"/>
    <n v="154"/>
    <n v="56"/>
    <n v="202"/>
    <n v="63"/>
    <n v="186"/>
    <n v="71"/>
    <n v="34"/>
    <n v="183"/>
    <n v="144"/>
    <n v="107"/>
    <n v="0"/>
  </r>
  <r>
    <x v="47"/>
    <x v="0"/>
    <x v="5"/>
    <n v="691"/>
    <n v="53"/>
    <n v="52"/>
    <n v="118"/>
    <n v="33"/>
    <n v="230"/>
    <n v="35"/>
    <n v="114"/>
    <n v="62"/>
    <n v="32"/>
    <n v="96"/>
    <n v="93"/>
    <n v="33"/>
    <n v="0"/>
  </r>
  <r>
    <x v="47"/>
    <x v="1"/>
    <x v="5"/>
    <n v="950"/>
    <n v="47"/>
    <n v="62"/>
    <n v="130"/>
    <n v="50"/>
    <n v="256"/>
    <n v="56"/>
    <n v="103"/>
    <n v="65"/>
    <n v="45"/>
    <n v="119"/>
    <n v="87"/>
    <n v="46"/>
    <n v="7"/>
  </r>
  <r>
    <x v="47"/>
    <x v="0"/>
    <x v="6"/>
    <n v="602"/>
    <n v="24"/>
    <n v="38"/>
    <n v="82"/>
    <n v="29"/>
    <n v="204"/>
    <n v="40"/>
    <n v="54"/>
    <n v="31"/>
    <n v="17"/>
    <n v="30"/>
    <n v="31"/>
    <n v="16"/>
    <n v="0"/>
  </r>
  <r>
    <x v="47"/>
    <x v="1"/>
    <x v="6"/>
    <n v="873"/>
    <n v="22"/>
    <n v="59"/>
    <n v="68"/>
    <n v="42"/>
    <n v="216"/>
    <n v="34"/>
    <n v="29"/>
    <n v="19"/>
    <n v="32"/>
    <n v="47"/>
    <n v="55"/>
    <n v="23"/>
    <n v="0"/>
  </r>
  <r>
    <x v="47"/>
    <x v="0"/>
    <x v="7"/>
    <n v="612"/>
    <n v="27"/>
    <n v="45"/>
    <n v="68"/>
    <n v="17"/>
    <n v="169"/>
    <n v="35"/>
    <n v="15"/>
    <n v="7"/>
    <n v="15"/>
    <n v="21"/>
    <n v="27"/>
    <n v="1"/>
    <n v="0"/>
  </r>
  <r>
    <x v="47"/>
    <x v="1"/>
    <x v="7"/>
    <n v="710"/>
    <n v="27"/>
    <n v="46"/>
    <n v="64"/>
    <n v="14"/>
    <n v="196"/>
    <n v="33"/>
    <n v="22"/>
    <n v="11"/>
    <n v="19"/>
    <n v="26"/>
    <n v="11"/>
    <n v="4"/>
    <n v="0"/>
  </r>
  <r>
    <x v="47"/>
    <x v="0"/>
    <x v="8"/>
    <n v="846"/>
    <n v="26"/>
    <n v="46"/>
    <n v="53"/>
    <n v="36"/>
    <n v="185"/>
    <n v="26"/>
    <n v="12"/>
    <n v="16"/>
    <n v="21"/>
    <n v="29"/>
    <n v="24"/>
    <n v="9"/>
    <n v="0"/>
  </r>
  <r>
    <x v="47"/>
    <x v="1"/>
    <x v="8"/>
    <n v="714"/>
    <n v="22"/>
    <n v="59"/>
    <n v="66"/>
    <n v="11"/>
    <n v="169"/>
    <n v="34"/>
    <n v="34"/>
    <n v="24"/>
    <n v="27"/>
    <n v="15"/>
    <n v="20"/>
    <n v="6"/>
    <n v="0"/>
  </r>
  <r>
    <x v="47"/>
    <x v="0"/>
    <x v="9"/>
    <n v="926"/>
    <n v="63"/>
    <n v="61"/>
    <n v="81"/>
    <n v="90"/>
    <n v="297"/>
    <n v="44"/>
    <n v="44"/>
    <n v="35"/>
    <n v="48"/>
    <n v="43"/>
    <n v="51"/>
    <n v="21"/>
    <n v="0"/>
  </r>
  <r>
    <x v="47"/>
    <x v="1"/>
    <x v="9"/>
    <n v="1213"/>
    <n v="46"/>
    <n v="75"/>
    <n v="153"/>
    <n v="24"/>
    <n v="235"/>
    <n v="57"/>
    <n v="54"/>
    <n v="42"/>
    <n v="41"/>
    <n v="39"/>
    <n v="52"/>
    <n v="22"/>
    <n v="0"/>
  </r>
  <r>
    <x v="47"/>
    <x v="0"/>
    <x v="10"/>
    <n v="782"/>
    <n v="23"/>
    <n v="46"/>
    <n v="126"/>
    <n v="76"/>
    <n v="271"/>
    <n v="31"/>
    <n v="85"/>
    <n v="24"/>
    <n v="29"/>
    <n v="69"/>
    <n v="40"/>
    <n v="20"/>
    <n v="0"/>
  </r>
  <r>
    <x v="47"/>
    <x v="1"/>
    <x v="10"/>
    <n v="1012"/>
    <n v="44"/>
    <n v="40"/>
    <n v="88"/>
    <n v="42"/>
    <n v="207"/>
    <n v="22"/>
    <n v="36"/>
    <n v="29"/>
    <n v="29"/>
    <n v="29"/>
    <n v="37"/>
    <n v="6"/>
    <n v="0"/>
  </r>
  <r>
    <x v="47"/>
    <x v="0"/>
    <x v="11"/>
    <n v="818"/>
    <n v="40"/>
    <n v="50"/>
    <n v="153"/>
    <n v="45"/>
    <n v="202"/>
    <n v="46"/>
    <n v="69"/>
    <n v="23"/>
    <n v="25"/>
    <n v="46"/>
    <n v="37"/>
    <n v="15"/>
    <n v="0"/>
  </r>
  <r>
    <x v="47"/>
    <x v="1"/>
    <x v="11"/>
    <n v="1010"/>
    <n v="56"/>
    <n v="48"/>
    <n v="144"/>
    <n v="42"/>
    <n v="228"/>
    <n v="53"/>
    <n v="85"/>
    <n v="33"/>
    <n v="27"/>
    <n v="45"/>
    <n v="60"/>
    <n v="12"/>
    <n v="1"/>
  </r>
  <r>
    <x v="48"/>
    <x v="0"/>
    <x v="0"/>
    <n v="638"/>
    <n v="43"/>
    <n v="16"/>
    <n v="71"/>
    <n v="12"/>
    <n v="124"/>
    <n v="18"/>
    <n v="73"/>
    <n v="25"/>
    <n v="14"/>
    <n v="24"/>
    <n v="21"/>
    <n v="9"/>
    <n v="0"/>
  </r>
  <r>
    <x v="48"/>
    <x v="1"/>
    <x v="0"/>
    <n v="673"/>
    <n v="31"/>
    <n v="24"/>
    <n v="65"/>
    <n v="11"/>
    <n v="123"/>
    <n v="30"/>
    <n v="83"/>
    <n v="18"/>
    <n v="18"/>
    <n v="19"/>
    <n v="20"/>
    <n v="13"/>
    <n v="0"/>
  </r>
  <r>
    <x v="48"/>
    <x v="0"/>
    <x v="1"/>
    <n v="659"/>
    <n v="30"/>
    <n v="15"/>
    <n v="59"/>
    <n v="20"/>
    <n v="91"/>
    <n v="19"/>
    <n v="70"/>
    <n v="17"/>
    <n v="21"/>
    <n v="18"/>
    <n v="11"/>
    <n v="14"/>
    <n v="0"/>
  </r>
  <r>
    <x v="48"/>
    <x v="1"/>
    <x v="1"/>
    <n v="770"/>
    <n v="30"/>
    <n v="4"/>
    <n v="29"/>
    <n v="40"/>
    <n v="124"/>
    <n v="16"/>
    <n v="50"/>
    <n v="22"/>
    <n v="9"/>
    <n v="31"/>
    <n v="16"/>
    <n v="11"/>
    <n v="0"/>
  </r>
  <r>
    <x v="48"/>
    <x v="0"/>
    <x v="2"/>
    <n v="868"/>
    <n v="35"/>
    <n v="32"/>
    <n v="104"/>
    <n v="13"/>
    <n v="127"/>
    <n v="28"/>
    <n v="113"/>
    <n v="31"/>
    <n v="28"/>
    <n v="95"/>
    <n v="42"/>
    <n v="57"/>
    <n v="4"/>
  </r>
  <r>
    <x v="48"/>
    <x v="1"/>
    <x v="2"/>
    <n v="865"/>
    <n v="42"/>
    <n v="25"/>
    <n v="134"/>
    <n v="20"/>
    <n v="141"/>
    <n v="34"/>
    <n v="130"/>
    <n v="35"/>
    <n v="29"/>
    <n v="126"/>
    <n v="59"/>
    <n v="86"/>
    <n v="18"/>
  </r>
  <r>
    <x v="48"/>
    <x v="0"/>
    <x v="3"/>
    <n v="827"/>
    <n v="50"/>
    <n v="39"/>
    <n v="158"/>
    <n v="40"/>
    <n v="156"/>
    <n v="65"/>
    <n v="279"/>
    <n v="87"/>
    <n v="55"/>
    <n v="252"/>
    <n v="129"/>
    <n v="166"/>
    <n v="0"/>
  </r>
  <r>
    <x v="48"/>
    <x v="1"/>
    <x v="3"/>
    <n v="980"/>
    <n v="46"/>
    <n v="37"/>
    <n v="147"/>
    <n v="32"/>
    <n v="165"/>
    <n v="46"/>
    <n v="167"/>
    <n v="69"/>
    <n v="42"/>
    <n v="178"/>
    <n v="75"/>
    <n v="106"/>
    <n v="10"/>
  </r>
  <r>
    <x v="48"/>
    <x v="0"/>
    <x v="4"/>
    <n v="721"/>
    <n v="51"/>
    <n v="29"/>
    <n v="94"/>
    <n v="74"/>
    <n v="212"/>
    <n v="35"/>
    <n v="99"/>
    <n v="41"/>
    <n v="35"/>
    <n v="126"/>
    <n v="78"/>
    <n v="59"/>
    <n v="0"/>
  </r>
  <r>
    <x v="48"/>
    <x v="1"/>
    <x v="4"/>
    <n v="845"/>
    <n v="78"/>
    <n v="25"/>
    <n v="130"/>
    <n v="49"/>
    <n v="217"/>
    <n v="44"/>
    <n v="199"/>
    <n v="91"/>
    <n v="29"/>
    <n v="158"/>
    <n v="95"/>
    <n v="65"/>
    <n v="0"/>
  </r>
  <r>
    <x v="48"/>
    <x v="0"/>
    <x v="7"/>
    <n v="643"/>
    <n v="48"/>
    <n v="36"/>
    <n v="37"/>
    <n v="18"/>
    <n v="153"/>
    <n v="17"/>
    <n v="8"/>
    <n v="19"/>
    <n v="23"/>
    <n v="8"/>
    <n v="10"/>
    <n v="3"/>
    <n v="0"/>
  </r>
  <r>
    <x v="48"/>
    <x v="1"/>
    <x v="7"/>
    <n v="779"/>
    <n v="50"/>
    <n v="39"/>
    <n v="37"/>
    <n v="6"/>
    <n v="167"/>
    <n v="30"/>
    <n v="20"/>
    <n v="7"/>
    <n v="29"/>
    <n v="19"/>
    <n v="12"/>
    <n v="2"/>
    <n v="0"/>
  </r>
  <r>
    <x v="48"/>
    <x v="0"/>
    <x v="8"/>
    <n v="777"/>
    <n v="46"/>
    <n v="38"/>
    <n v="43"/>
    <n v="39"/>
    <n v="171"/>
    <n v="40"/>
    <n v="23"/>
    <n v="17"/>
    <n v="42"/>
    <n v="9"/>
    <n v="9"/>
    <n v="1"/>
    <n v="0"/>
  </r>
  <r>
    <x v="48"/>
    <x v="1"/>
    <x v="8"/>
    <n v="777"/>
    <n v="38"/>
    <n v="22"/>
    <n v="54"/>
    <n v="13"/>
    <n v="124"/>
    <n v="24"/>
    <n v="14"/>
    <n v="8"/>
    <n v="18"/>
    <n v="16"/>
    <n v="8"/>
    <n v="4"/>
    <n v="0"/>
  </r>
  <r>
    <x v="48"/>
    <x v="0"/>
    <x v="9"/>
    <n v="832"/>
    <n v="87"/>
    <n v="27"/>
    <n v="44"/>
    <n v="70"/>
    <n v="216"/>
    <n v="36"/>
    <n v="38"/>
    <n v="40"/>
    <n v="36"/>
    <n v="24"/>
    <n v="35"/>
    <n v="10"/>
    <n v="0"/>
  </r>
  <r>
    <x v="48"/>
    <x v="1"/>
    <x v="9"/>
    <n v="1047"/>
    <n v="70"/>
    <n v="48"/>
    <n v="132"/>
    <n v="20"/>
    <n v="219"/>
    <n v="44"/>
    <n v="44"/>
    <n v="39"/>
    <n v="51"/>
    <n v="31"/>
    <n v="27"/>
    <n v="20"/>
    <n v="0"/>
  </r>
  <r>
    <x v="48"/>
    <x v="0"/>
    <x v="10"/>
    <n v="741"/>
    <n v="45"/>
    <n v="41"/>
    <n v="65"/>
    <n v="54"/>
    <n v="185"/>
    <n v="33"/>
    <n v="15"/>
    <n v="24"/>
    <n v="37"/>
    <n v="24"/>
    <n v="21"/>
    <n v="15"/>
    <n v="0"/>
  </r>
  <r>
    <x v="48"/>
    <x v="1"/>
    <x v="10"/>
    <n v="855"/>
    <n v="52"/>
    <n v="22"/>
    <n v="72"/>
    <n v="41"/>
    <n v="180"/>
    <n v="15"/>
    <n v="53"/>
    <n v="21"/>
    <n v="25"/>
    <n v="27"/>
    <n v="33"/>
    <n v="9"/>
    <n v="0"/>
  </r>
  <r>
    <x v="48"/>
    <x v="0"/>
    <x v="11"/>
    <n v="841"/>
    <n v="35"/>
    <n v="25"/>
    <n v="108"/>
    <n v="24"/>
    <n v="168"/>
    <n v="36"/>
    <n v="87"/>
    <n v="44"/>
    <n v="30"/>
    <n v="39"/>
    <n v="32"/>
    <n v="16"/>
    <n v="0"/>
  </r>
  <r>
    <x v="48"/>
    <x v="1"/>
    <x v="11"/>
    <n v="891"/>
    <n v="33"/>
    <n v="29"/>
    <n v="139"/>
    <n v="40"/>
    <n v="149"/>
    <n v="28"/>
    <n v="92"/>
    <n v="29"/>
    <n v="22"/>
    <n v="35"/>
    <n v="24"/>
    <n v="18"/>
    <n v="0"/>
  </r>
  <r>
    <x v="49"/>
    <x v="0"/>
    <x v="0"/>
    <n v="931"/>
    <n v="51"/>
    <n v="31"/>
    <n v="136"/>
    <n v="8"/>
    <n v="199"/>
    <n v="30"/>
    <n v="135"/>
    <n v="55"/>
    <n v="47"/>
    <n v="65"/>
    <n v="71"/>
    <n v="29"/>
    <n v="2"/>
  </r>
  <r>
    <x v="49"/>
    <x v="1"/>
    <x v="0"/>
    <n v="1176"/>
    <n v="37"/>
    <n v="66"/>
    <n v="173"/>
    <n v="7"/>
    <n v="187"/>
    <n v="27"/>
    <n v="120"/>
    <n v="44"/>
    <n v="48"/>
    <n v="77"/>
    <n v="65"/>
    <n v="24"/>
    <n v="10"/>
  </r>
  <r>
    <x v="49"/>
    <x v="0"/>
    <x v="1"/>
    <n v="877"/>
    <n v="28"/>
    <n v="23"/>
    <n v="131"/>
    <n v="21"/>
    <n v="187"/>
    <n v="16"/>
    <n v="96"/>
    <n v="26"/>
    <n v="17"/>
    <n v="31"/>
    <n v="34"/>
    <n v="18"/>
    <n v="7"/>
  </r>
  <r>
    <x v="49"/>
    <x v="1"/>
    <x v="1"/>
    <n v="1161"/>
    <n v="27"/>
    <n v="24"/>
    <n v="79"/>
    <n v="65"/>
    <n v="272"/>
    <n v="20"/>
    <n v="103"/>
    <n v="16"/>
    <n v="25"/>
    <n v="59"/>
    <n v="50"/>
    <n v="18"/>
    <n v="9"/>
  </r>
  <r>
    <x v="49"/>
    <x v="0"/>
    <x v="2"/>
    <n v="1171"/>
    <n v="60"/>
    <n v="51"/>
    <n v="226"/>
    <n v="12"/>
    <n v="222"/>
    <n v="44"/>
    <n v="182"/>
    <n v="48"/>
    <n v="59"/>
    <n v="192"/>
    <n v="130"/>
    <n v="131"/>
    <n v="21"/>
  </r>
  <r>
    <x v="49"/>
    <x v="1"/>
    <x v="2"/>
    <n v="1474"/>
    <n v="48"/>
    <n v="59"/>
    <n v="258"/>
    <n v="7"/>
    <n v="283"/>
    <n v="68"/>
    <n v="286"/>
    <n v="59"/>
    <n v="72"/>
    <n v="281"/>
    <n v="170"/>
    <n v="192"/>
    <n v="33"/>
  </r>
  <r>
    <x v="49"/>
    <x v="0"/>
    <x v="3"/>
    <n v="1270"/>
    <n v="67"/>
    <n v="90"/>
    <n v="295"/>
    <n v="20"/>
    <n v="260"/>
    <n v="66"/>
    <n v="426"/>
    <n v="134"/>
    <n v="111"/>
    <n v="463"/>
    <n v="300"/>
    <n v="343"/>
    <n v="27"/>
  </r>
  <r>
    <x v="49"/>
    <x v="1"/>
    <x v="3"/>
    <n v="1474"/>
    <n v="58"/>
    <n v="78"/>
    <n v="246"/>
    <n v="39"/>
    <n v="330"/>
    <n v="79"/>
    <n v="485"/>
    <n v="137"/>
    <n v="84"/>
    <n v="410"/>
    <n v="262"/>
    <n v="316"/>
    <n v="30"/>
  </r>
  <r>
    <x v="49"/>
    <x v="0"/>
    <x v="4"/>
    <n v="1126"/>
    <n v="41"/>
    <n v="75"/>
    <n v="193"/>
    <n v="15"/>
    <n v="265"/>
    <n v="43"/>
    <n v="259"/>
    <n v="99"/>
    <n v="62"/>
    <n v="250"/>
    <n v="171"/>
    <n v="170"/>
    <n v="14"/>
  </r>
  <r>
    <x v="49"/>
    <x v="1"/>
    <x v="4"/>
    <n v="1284"/>
    <n v="93"/>
    <n v="81"/>
    <n v="194"/>
    <n v="27"/>
    <n v="334"/>
    <n v="60"/>
    <n v="266"/>
    <n v="78"/>
    <n v="61"/>
    <n v="307"/>
    <n v="249"/>
    <n v="172"/>
    <n v="13"/>
  </r>
  <r>
    <x v="49"/>
    <x v="0"/>
    <x v="5"/>
    <n v="1289"/>
    <n v="57"/>
    <n v="82"/>
    <n v="187"/>
    <n v="31"/>
    <n v="318"/>
    <n v="21"/>
    <n v="123"/>
    <n v="77"/>
    <n v="56"/>
    <n v="160"/>
    <n v="185"/>
    <n v="102"/>
    <n v="19"/>
  </r>
  <r>
    <x v="49"/>
    <x v="1"/>
    <x v="5"/>
    <n v="1434"/>
    <n v="68"/>
    <n v="91"/>
    <n v="188"/>
    <n v="21"/>
    <n v="287"/>
    <n v="42"/>
    <n v="184"/>
    <n v="131"/>
    <n v="71"/>
    <n v="161"/>
    <n v="146"/>
    <n v="103"/>
    <n v="5"/>
  </r>
  <r>
    <x v="49"/>
    <x v="0"/>
    <x v="6"/>
    <n v="1124"/>
    <n v="73"/>
    <n v="73"/>
    <n v="108"/>
    <n v="28"/>
    <n v="316"/>
    <n v="25"/>
    <n v="60"/>
    <n v="43"/>
    <n v="51"/>
    <n v="73"/>
    <n v="62"/>
    <n v="39"/>
    <n v="4"/>
  </r>
  <r>
    <x v="49"/>
    <x v="1"/>
    <x v="6"/>
    <n v="1406"/>
    <n v="59"/>
    <n v="92"/>
    <n v="71"/>
    <n v="58"/>
    <n v="372"/>
    <n v="26"/>
    <n v="57"/>
    <n v="33"/>
    <n v="56"/>
    <n v="73"/>
    <n v="78"/>
    <n v="41"/>
    <n v="0"/>
  </r>
  <r>
    <x v="49"/>
    <x v="0"/>
    <x v="7"/>
    <n v="1159"/>
    <n v="42"/>
    <n v="66"/>
    <n v="89"/>
    <n v="9"/>
    <n v="275"/>
    <n v="22"/>
    <n v="60"/>
    <n v="36"/>
    <n v="42"/>
    <n v="17"/>
    <n v="47"/>
    <n v="13"/>
    <n v="2"/>
  </r>
  <r>
    <x v="49"/>
    <x v="1"/>
    <x v="7"/>
    <n v="1118"/>
    <n v="35"/>
    <n v="103"/>
    <n v="117"/>
    <n v="4"/>
    <n v="273"/>
    <n v="25"/>
    <n v="32"/>
    <n v="42"/>
    <n v="47"/>
    <n v="53"/>
    <n v="47"/>
    <n v="26"/>
    <n v="3"/>
  </r>
  <r>
    <x v="49"/>
    <x v="0"/>
    <x v="8"/>
    <n v="1263"/>
    <n v="58"/>
    <n v="127"/>
    <n v="76"/>
    <n v="48"/>
    <n v="373"/>
    <n v="45"/>
    <n v="43"/>
    <n v="24"/>
    <n v="78"/>
    <n v="34"/>
    <n v="58"/>
    <n v="23"/>
    <n v="2"/>
  </r>
  <r>
    <x v="49"/>
    <x v="1"/>
    <x v="8"/>
    <n v="1237"/>
    <n v="74"/>
    <n v="94"/>
    <n v="153"/>
    <n v="7"/>
    <n v="321"/>
    <n v="30"/>
    <n v="53"/>
    <n v="42"/>
    <n v="67"/>
    <n v="41"/>
    <n v="44"/>
    <n v="22"/>
    <n v="2"/>
  </r>
  <r>
    <x v="49"/>
    <x v="0"/>
    <x v="9"/>
    <n v="1533"/>
    <n v="119"/>
    <n v="119"/>
    <n v="129"/>
    <n v="54"/>
    <n v="402"/>
    <n v="58"/>
    <n v="79"/>
    <n v="63"/>
    <n v="103"/>
    <n v="86"/>
    <n v="85"/>
    <n v="48"/>
    <n v="0"/>
  </r>
  <r>
    <x v="49"/>
    <x v="1"/>
    <x v="9"/>
    <n v="1681"/>
    <n v="114"/>
    <n v="134"/>
    <n v="262"/>
    <n v="7"/>
    <n v="415"/>
    <n v="69"/>
    <n v="106"/>
    <n v="89"/>
    <n v="106"/>
    <n v="127"/>
    <n v="124"/>
    <n v="53"/>
    <n v="2"/>
  </r>
  <r>
    <x v="49"/>
    <x v="0"/>
    <x v="10"/>
    <n v="1252"/>
    <n v="53"/>
    <n v="66"/>
    <n v="162"/>
    <n v="48"/>
    <n v="353"/>
    <n v="60"/>
    <n v="87"/>
    <n v="46"/>
    <n v="66"/>
    <n v="85"/>
    <n v="92"/>
    <n v="28"/>
    <n v="6"/>
  </r>
  <r>
    <x v="49"/>
    <x v="1"/>
    <x v="10"/>
    <n v="1555"/>
    <n v="74"/>
    <n v="83"/>
    <n v="170"/>
    <n v="54"/>
    <n v="370"/>
    <n v="54"/>
    <n v="101"/>
    <n v="46"/>
    <n v="59"/>
    <n v="76"/>
    <n v="89"/>
    <n v="44"/>
    <n v="0"/>
  </r>
  <r>
    <x v="49"/>
    <x v="0"/>
    <x v="11"/>
    <n v="1298"/>
    <n v="56"/>
    <n v="76"/>
    <n v="200"/>
    <n v="12"/>
    <n v="278"/>
    <n v="28"/>
    <n v="140"/>
    <n v="63"/>
    <n v="46"/>
    <n v="87"/>
    <n v="89"/>
    <n v="33"/>
    <n v="2"/>
  </r>
  <r>
    <x v="49"/>
    <x v="1"/>
    <x v="11"/>
    <n v="1440"/>
    <n v="61"/>
    <n v="67"/>
    <n v="223"/>
    <n v="39"/>
    <n v="279"/>
    <n v="49"/>
    <n v="159"/>
    <n v="53"/>
    <n v="56"/>
    <n v="117"/>
    <n v="117"/>
    <n v="38"/>
    <n v="4"/>
  </r>
  <r>
    <x v="50"/>
    <x v="0"/>
    <x v="0"/>
    <n v="411"/>
    <n v="34"/>
    <n v="22"/>
    <n v="129"/>
    <n v="14"/>
    <n v="83"/>
    <n v="17"/>
    <n v="47"/>
    <n v="13"/>
    <n v="8"/>
    <n v="28"/>
    <n v="39"/>
    <n v="14"/>
    <n v="0"/>
  </r>
  <r>
    <x v="50"/>
    <x v="1"/>
    <x v="0"/>
    <n v="428"/>
    <n v="25"/>
    <n v="24"/>
    <n v="92"/>
    <n v="7"/>
    <n v="75"/>
    <n v="18"/>
    <n v="25"/>
    <n v="9"/>
    <n v="14"/>
    <n v="28"/>
    <n v="23"/>
    <n v="10"/>
    <n v="3"/>
  </r>
  <r>
    <x v="50"/>
    <x v="0"/>
    <x v="1"/>
    <n v="385"/>
    <n v="32"/>
    <n v="28"/>
    <n v="56"/>
    <n v="24"/>
    <n v="99"/>
    <n v="4"/>
    <n v="32"/>
    <n v="7"/>
    <n v="15"/>
    <n v="28"/>
    <n v="30"/>
    <n v="7"/>
    <n v="16"/>
  </r>
  <r>
    <x v="50"/>
    <x v="1"/>
    <x v="1"/>
    <n v="389"/>
    <n v="24"/>
    <n v="19"/>
    <n v="43"/>
    <n v="40"/>
    <n v="120"/>
    <n v="15"/>
    <n v="47"/>
    <n v="8"/>
    <n v="14"/>
    <n v="22"/>
    <n v="30"/>
    <n v="19"/>
    <n v="1"/>
  </r>
  <r>
    <x v="50"/>
    <x v="0"/>
    <x v="2"/>
    <n v="476"/>
    <n v="31"/>
    <n v="78"/>
    <n v="133"/>
    <n v="23"/>
    <n v="111"/>
    <n v="22"/>
    <n v="101"/>
    <n v="27"/>
    <n v="25"/>
    <n v="118"/>
    <n v="95"/>
    <n v="88"/>
    <n v="8"/>
  </r>
  <r>
    <x v="50"/>
    <x v="1"/>
    <x v="2"/>
    <n v="526"/>
    <n v="27"/>
    <n v="59"/>
    <n v="115"/>
    <n v="14"/>
    <n v="103"/>
    <n v="27"/>
    <n v="122"/>
    <n v="30"/>
    <n v="25"/>
    <n v="130"/>
    <n v="118"/>
    <n v="110"/>
    <n v="8"/>
  </r>
  <r>
    <x v="50"/>
    <x v="0"/>
    <x v="3"/>
    <n v="492"/>
    <n v="61"/>
    <n v="105"/>
    <n v="175"/>
    <n v="30"/>
    <n v="173"/>
    <n v="40"/>
    <n v="287"/>
    <n v="103"/>
    <n v="46"/>
    <n v="238"/>
    <n v="266"/>
    <n v="164"/>
    <n v="8"/>
  </r>
  <r>
    <x v="50"/>
    <x v="1"/>
    <x v="3"/>
    <n v="507"/>
    <n v="47"/>
    <n v="52"/>
    <n v="133"/>
    <n v="52"/>
    <n v="161"/>
    <n v="28"/>
    <n v="189"/>
    <n v="72"/>
    <n v="45"/>
    <n v="149"/>
    <n v="172"/>
    <n v="114"/>
    <n v="11"/>
  </r>
  <r>
    <x v="50"/>
    <x v="0"/>
    <x v="4"/>
    <n v="394"/>
    <n v="70"/>
    <n v="89"/>
    <n v="99"/>
    <n v="31"/>
    <n v="127"/>
    <n v="41"/>
    <n v="171"/>
    <n v="61"/>
    <n v="23"/>
    <n v="125"/>
    <n v="167"/>
    <n v="81"/>
    <n v="2"/>
  </r>
  <r>
    <x v="50"/>
    <x v="1"/>
    <x v="4"/>
    <n v="431"/>
    <n v="79"/>
    <n v="40"/>
    <n v="119"/>
    <n v="43"/>
    <n v="165"/>
    <n v="20"/>
    <n v="115"/>
    <n v="71"/>
    <n v="53"/>
    <n v="113"/>
    <n v="121"/>
    <n v="66"/>
    <n v="4"/>
  </r>
  <r>
    <x v="50"/>
    <x v="0"/>
    <x v="5"/>
    <n v="504"/>
    <n v="58"/>
    <n v="93"/>
    <n v="109"/>
    <n v="40"/>
    <n v="172"/>
    <n v="32"/>
    <n v="89"/>
    <n v="32"/>
    <n v="27"/>
    <n v="75"/>
    <n v="86"/>
    <n v="66"/>
    <n v="0"/>
  </r>
  <r>
    <x v="50"/>
    <x v="1"/>
    <x v="5"/>
    <n v="463"/>
    <n v="46"/>
    <n v="80"/>
    <n v="112"/>
    <n v="14"/>
    <n v="163"/>
    <n v="33"/>
    <n v="87"/>
    <n v="61"/>
    <n v="34"/>
    <n v="77"/>
    <n v="90"/>
    <n v="53"/>
    <n v="0"/>
  </r>
  <r>
    <x v="50"/>
    <x v="0"/>
    <x v="6"/>
    <n v="461"/>
    <n v="55"/>
    <n v="75"/>
    <n v="63"/>
    <n v="17"/>
    <n v="145"/>
    <n v="21"/>
    <n v="60"/>
    <n v="19"/>
    <n v="24"/>
    <n v="44"/>
    <n v="53"/>
    <n v="18"/>
    <n v="1"/>
  </r>
  <r>
    <x v="50"/>
    <x v="1"/>
    <x v="6"/>
    <n v="446"/>
    <n v="37"/>
    <n v="58"/>
    <n v="53"/>
    <n v="23"/>
    <n v="198"/>
    <n v="10"/>
    <n v="55"/>
    <n v="23"/>
    <n v="17"/>
    <n v="31"/>
    <n v="50"/>
    <n v="15"/>
    <n v="0"/>
  </r>
  <r>
    <x v="50"/>
    <x v="0"/>
    <x v="7"/>
    <n v="342"/>
    <n v="23"/>
    <n v="47"/>
    <n v="43"/>
    <n v="9"/>
    <n v="145"/>
    <n v="17"/>
    <n v="22"/>
    <n v="10"/>
    <n v="14"/>
    <n v="14"/>
    <n v="31"/>
    <n v="6"/>
    <n v="0"/>
  </r>
  <r>
    <x v="50"/>
    <x v="1"/>
    <x v="7"/>
    <n v="364"/>
    <n v="27"/>
    <n v="56"/>
    <n v="43"/>
    <n v="8"/>
    <n v="154"/>
    <n v="16"/>
    <n v="13"/>
    <n v="8"/>
    <n v="27"/>
    <n v="14"/>
    <n v="14"/>
    <n v="7"/>
    <n v="0"/>
  </r>
  <r>
    <x v="50"/>
    <x v="0"/>
    <x v="8"/>
    <n v="449"/>
    <n v="28"/>
    <n v="44"/>
    <n v="38"/>
    <n v="45"/>
    <n v="198"/>
    <n v="13"/>
    <n v="12"/>
    <n v="7"/>
    <n v="27"/>
    <n v="26"/>
    <n v="21"/>
    <n v="10"/>
    <n v="0"/>
  </r>
  <r>
    <x v="50"/>
    <x v="1"/>
    <x v="8"/>
    <n v="390"/>
    <n v="32"/>
    <n v="50"/>
    <n v="63"/>
    <n v="11"/>
    <n v="113"/>
    <n v="15"/>
    <n v="20"/>
    <n v="8"/>
    <n v="29"/>
    <n v="15"/>
    <n v="24"/>
    <n v="3"/>
    <n v="0"/>
  </r>
  <r>
    <x v="50"/>
    <x v="0"/>
    <x v="9"/>
    <n v="535"/>
    <n v="73"/>
    <n v="78"/>
    <n v="31"/>
    <n v="68"/>
    <n v="224"/>
    <n v="25"/>
    <n v="24"/>
    <n v="15"/>
    <n v="55"/>
    <n v="33"/>
    <n v="35"/>
    <n v="11"/>
    <n v="0"/>
  </r>
  <r>
    <x v="50"/>
    <x v="1"/>
    <x v="9"/>
    <n v="645"/>
    <n v="91"/>
    <n v="91"/>
    <n v="106"/>
    <n v="29"/>
    <n v="203"/>
    <n v="51"/>
    <n v="40"/>
    <n v="33"/>
    <n v="45"/>
    <n v="43"/>
    <n v="59"/>
    <n v="16"/>
    <n v="0"/>
  </r>
  <r>
    <x v="50"/>
    <x v="0"/>
    <x v="10"/>
    <n v="510"/>
    <n v="62"/>
    <n v="73"/>
    <n v="72"/>
    <n v="19"/>
    <n v="159"/>
    <n v="21"/>
    <n v="33"/>
    <n v="16"/>
    <n v="28"/>
    <n v="26"/>
    <n v="43"/>
    <n v="15"/>
    <n v="2"/>
  </r>
  <r>
    <x v="50"/>
    <x v="1"/>
    <x v="10"/>
    <n v="460"/>
    <n v="52"/>
    <n v="45"/>
    <n v="71"/>
    <n v="25"/>
    <n v="151"/>
    <n v="22"/>
    <n v="31"/>
    <n v="20"/>
    <n v="26"/>
    <n v="26"/>
    <n v="34"/>
    <n v="16"/>
    <n v="1"/>
  </r>
  <r>
    <x v="50"/>
    <x v="0"/>
    <x v="11"/>
    <n v="491"/>
    <n v="63"/>
    <n v="63"/>
    <n v="113"/>
    <n v="16"/>
    <n v="131"/>
    <n v="24"/>
    <n v="73"/>
    <n v="30"/>
    <n v="19"/>
    <n v="41"/>
    <n v="54"/>
    <n v="11"/>
    <n v="0"/>
  </r>
  <r>
    <x v="50"/>
    <x v="1"/>
    <x v="11"/>
    <n v="490"/>
    <n v="33"/>
    <n v="76"/>
    <n v="134"/>
    <n v="39"/>
    <n v="139"/>
    <n v="39"/>
    <n v="68"/>
    <n v="32"/>
    <n v="17"/>
    <n v="32"/>
    <n v="47"/>
    <n v="16"/>
    <n v="0"/>
  </r>
  <r>
    <x v="51"/>
    <x v="0"/>
    <x v="0"/>
    <n v="1138"/>
    <n v="24"/>
    <n v="25"/>
    <n v="114"/>
    <n v="75"/>
    <n v="219"/>
    <n v="14"/>
    <n v="82"/>
    <n v="22"/>
    <n v="41"/>
    <n v="45"/>
    <n v="36"/>
    <n v="10"/>
    <n v="0"/>
  </r>
  <r>
    <x v="51"/>
    <x v="1"/>
    <x v="0"/>
    <n v="1290"/>
    <n v="33"/>
    <n v="25"/>
    <n v="74"/>
    <n v="115"/>
    <n v="313"/>
    <n v="34"/>
    <n v="73"/>
    <n v="23"/>
    <n v="18"/>
    <n v="30"/>
    <n v="18"/>
    <n v="6"/>
    <n v="0"/>
  </r>
  <r>
    <x v="51"/>
    <x v="0"/>
    <x v="1"/>
    <n v="1148"/>
    <n v="20"/>
    <n v="7"/>
    <n v="39"/>
    <n v="122"/>
    <n v="284"/>
    <n v="15"/>
    <n v="32"/>
    <n v="10"/>
    <n v="18"/>
    <n v="30"/>
    <n v="24"/>
    <n v="8"/>
    <n v="7"/>
  </r>
  <r>
    <x v="51"/>
    <x v="1"/>
    <x v="1"/>
    <n v="1300"/>
    <n v="20"/>
    <n v="18"/>
    <n v="38"/>
    <n v="123"/>
    <n v="329"/>
    <n v="16"/>
    <n v="45"/>
    <n v="5"/>
    <n v="9"/>
    <n v="29"/>
    <n v="33"/>
    <n v="10"/>
    <n v="5"/>
  </r>
  <r>
    <x v="51"/>
    <x v="0"/>
    <x v="2"/>
    <n v="1401"/>
    <n v="34"/>
    <n v="32"/>
    <n v="106"/>
    <n v="157"/>
    <n v="323"/>
    <n v="28"/>
    <n v="93"/>
    <n v="34"/>
    <n v="26"/>
    <n v="150"/>
    <n v="93"/>
    <n v="83"/>
    <n v="14"/>
  </r>
  <r>
    <x v="51"/>
    <x v="1"/>
    <x v="2"/>
    <n v="1417"/>
    <n v="35"/>
    <n v="35"/>
    <n v="143"/>
    <n v="133"/>
    <n v="354"/>
    <n v="42"/>
    <n v="99"/>
    <n v="40"/>
    <n v="37"/>
    <n v="240"/>
    <n v="92"/>
    <n v="126"/>
    <n v="9"/>
  </r>
  <r>
    <x v="51"/>
    <x v="0"/>
    <x v="3"/>
    <n v="1296"/>
    <n v="25"/>
    <n v="35"/>
    <n v="187"/>
    <n v="223"/>
    <n v="452"/>
    <n v="68"/>
    <n v="274"/>
    <n v="82"/>
    <n v="67"/>
    <n v="383"/>
    <n v="221"/>
    <n v="185"/>
    <n v="2"/>
  </r>
  <r>
    <x v="51"/>
    <x v="1"/>
    <x v="3"/>
    <n v="1583"/>
    <n v="31"/>
    <n v="34"/>
    <n v="180"/>
    <n v="220"/>
    <n v="456"/>
    <n v="69"/>
    <n v="213"/>
    <n v="89"/>
    <n v="49"/>
    <n v="329"/>
    <n v="155"/>
    <n v="162"/>
    <n v="12"/>
  </r>
  <r>
    <x v="51"/>
    <x v="0"/>
    <x v="4"/>
    <n v="1086"/>
    <n v="47"/>
    <n v="30"/>
    <n v="126"/>
    <n v="153"/>
    <n v="398"/>
    <n v="40"/>
    <n v="124"/>
    <n v="75"/>
    <n v="38"/>
    <n v="184"/>
    <n v="110"/>
    <n v="90"/>
    <n v="6"/>
  </r>
  <r>
    <x v="51"/>
    <x v="1"/>
    <x v="4"/>
    <n v="1314"/>
    <n v="48"/>
    <n v="49"/>
    <n v="132"/>
    <n v="259"/>
    <n v="539"/>
    <n v="43"/>
    <n v="178"/>
    <n v="76"/>
    <n v="39"/>
    <n v="213"/>
    <n v="197"/>
    <n v="121"/>
    <n v="7"/>
  </r>
  <r>
    <x v="51"/>
    <x v="0"/>
    <x v="5"/>
    <n v="1304"/>
    <n v="65"/>
    <n v="41"/>
    <n v="121"/>
    <n v="154"/>
    <n v="372"/>
    <n v="39"/>
    <n v="101"/>
    <n v="46"/>
    <n v="34"/>
    <n v="114"/>
    <n v="91"/>
    <n v="44"/>
    <n v="0"/>
  </r>
  <r>
    <x v="51"/>
    <x v="1"/>
    <x v="5"/>
    <n v="1372"/>
    <n v="38"/>
    <n v="39"/>
    <n v="102"/>
    <n v="139"/>
    <n v="439"/>
    <n v="37"/>
    <n v="67"/>
    <n v="56"/>
    <n v="34"/>
    <n v="128"/>
    <n v="101"/>
    <n v="46"/>
    <n v="0"/>
  </r>
  <r>
    <x v="51"/>
    <x v="0"/>
    <x v="6"/>
    <n v="1077"/>
    <n v="26"/>
    <n v="32"/>
    <n v="48"/>
    <n v="72"/>
    <n v="314"/>
    <n v="21"/>
    <n v="17"/>
    <n v="27"/>
    <n v="34"/>
    <n v="61"/>
    <n v="34"/>
    <n v="17"/>
    <n v="1"/>
  </r>
  <r>
    <x v="51"/>
    <x v="1"/>
    <x v="6"/>
    <n v="1402"/>
    <n v="29"/>
    <n v="44"/>
    <n v="57"/>
    <n v="99"/>
    <n v="440"/>
    <n v="24"/>
    <n v="31"/>
    <n v="26"/>
    <n v="51"/>
    <n v="60"/>
    <n v="41"/>
    <n v="15"/>
    <n v="5"/>
  </r>
  <r>
    <x v="51"/>
    <x v="0"/>
    <x v="7"/>
    <n v="1005"/>
    <n v="43"/>
    <n v="28"/>
    <n v="30"/>
    <n v="79"/>
    <n v="373"/>
    <n v="14"/>
    <n v="12"/>
    <n v="4"/>
    <n v="23"/>
    <n v="19"/>
    <n v="22"/>
    <n v="10"/>
    <n v="0"/>
  </r>
  <r>
    <x v="51"/>
    <x v="1"/>
    <x v="7"/>
    <n v="1181"/>
    <n v="38"/>
    <n v="38"/>
    <n v="51"/>
    <n v="65"/>
    <n v="430"/>
    <n v="24"/>
    <n v="25"/>
    <n v="7"/>
    <n v="23"/>
    <n v="22"/>
    <n v="9"/>
    <n v="7"/>
    <n v="0"/>
  </r>
  <r>
    <x v="51"/>
    <x v="0"/>
    <x v="8"/>
    <n v="1301"/>
    <n v="53"/>
    <n v="50"/>
    <n v="62"/>
    <n v="78"/>
    <n v="406"/>
    <n v="36"/>
    <n v="23"/>
    <n v="16"/>
    <n v="49"/>
    <n v="15"/>
    <n v="16"/>
    <n v="3"/>
    <n v="0"/>
  </r>
  <r>
    <x v="51"/>
    <x v="1"/>
    <x v="8"/>
    <n v="1413"/>
    <n v="35"/>
    <n v="35"/>
    <n v="47"/>
    <n v="70"/>
    <n v="401"/>
    <n v="21"/>
    <n v="7"/>
    <n v="17"/>
    <n v="25"/>
    <n v="18"/>
    <n v="15"/>
    <n v="11"/>
    <n v="2"/>
  </r>
  <r>
    <x v="51"/>
    <x v="0"/>
    <x v="9"/>
    <n v="1600"/>
    <n v="64"/>
    <n v="60"/>
    <n v="85"/>
    <n v="194"/>
    <n v="571"/>
    <n v="58"/>
    <n v="52"/>
    <n v="31"/>
    <n v="45"/>
    <n v="64"/>
    <n v="54"/>
    <n v="9"/>
    <n v="1"/>
  </r>
  <r>
    <x v="51"/>
    <x v="1"/>
    <x v="9"/>
    <n v="1848"/>
    <n v="79"/>
    <n v="111"/>
    <n v="138"/>
    <n v="180"/>
    <n v="593"/>
    <n v="42"/>
    <n v="68"/>
    <n v="46"/>
    <n v="57"/>
    <n v="49"/>
    <n v="45"/>
    <n v="15"/>
    <n v="0"/>
  </r>
  <r>
    <x v="51"/>
    <x v="0"/>
    <x v="10"/>
    <n v="1423"/>
    <n v="42"/>
    <n v="32"/>
    <n v="102"/>
    <n v="194"/>
    <n v="448"/>
    <n v="31"/>
    <n v="45"/>
    <n v="16"/>
    <n v="39"/>
    <n v="44"/>
    <n v="38"/>
    <n v="8"/>
    <n v="0"/>
  </r>
  <r>
    <x v="51"/>
    <x v="1"/>
    <x v="10"/>
    <n v="1525"/>
    <n v="50"/>
    <n v="34"/>
    <n v="159"/>
    <n v="101"/>
    <n v="363"/>
    <n v="36"/>
    <n v="37"/>
    <n v="20"/>
    <n v="34"/>
    <n v="42"/>
    <n v="23"/>
    <n v="7"/>
    <n v="0"/>
  </r>
  <r>
    <x v="51"/>
    <x v="0"/>
    <x v="11"/>
    <n v="1455"/>
    <n v="34"/>
    <n v="45"/>
    <n v="101"/>
    <n v="181"/>
    <n v="440"/>
    <n v="32"/>
    <n v="105"/>
    <n v="25"/>
    <n v="57"/>
    <n v="55"/>
    <n v="37"/>
    <n v="17"/>
    <n v="0"/>
  </r>
  <r>
    <x v="51"/>
    <x v="1"/>
    <x v="11"/>
    <n v="1601"/>
    <n v="41"/>
    <n v="44"/>
    <n v="134"/>
    <n v="199"/>
    <n v="479"/>
    <n v="19"/>
    <n v="83"/>
    <n v="39"/>
    <n v="27"/>
    <n v="56"/>
    <n v="38"/>
    <n v="14"/>
    <n v="0"/>
  </r>
  <r>
    <x v="52"/>
    <x v="0"/>
    <x v="0"/>
    <n v="691"/>
    <n v="27"/>
    <n v="17"/>
    <n v="138"/>
    <n v="15"/>
    <n v="156"/>
    <n v="41"/>
    <n v="49"/>
    <n v="27"/>
    <n v="25"/>
    <n v="33"/>
    <n v="23"/>
    <n v="13"/>
    <n v="5"/>
  </r>
  <r>
    <x v="52"/>
    <x v="1"/>
    <x v="0"/>
    <n v="726"/>
    <n v="43"/>
    <n v="31"/>
    <n v="103"/>
    <n v="7"/>
    <n v="130"/>
    <n v="30"/>
    <n v="92"/>
    <n v="18"/>
    <n v="17"/>
    <n v="27"/>
    <n v="34"/>
    <n v="12"/>
    <n v="2"/>
  </r>
  <r>
    <x v="52"/>
    <x v="0"/>
    <x v="1"/>
    <n v="717"/>
    <n v="10"/>
    <n v="15"/>
    <n v="74"/>
    <n v="41"/>
    <n v="145"/>
    <n v="32"/>
    <n v="47"/>
    <n v="16"/>
    <n v="13"/>
    <n v="25"/>
    <n v="21"/>
    <n v="15"/>
    <n v="7"/>
  </r>
  <r>
    <x v="52"/>
    <x v="1"/>
    <x v="1"/>
    <n v="773"/>
    <n v="25"/>
    <n v="14"/>
    <n v="55"/>
    <n v="38"/>
    <n v="165"/>
    <n v="35"/>
    <n v="52"/>
    <n v="16"/>
    <n v="18"/>
    <n v="39"/>
    <n v="24"/>
    <n v="9"/>
    <n v="0"/>
  </r>
  <r>
    <x v="52"/>
    <x v="0"/>
    <x v="2"/>
    <n v="843"/>
    <n v="24"/>
    <n v="50"/>
    <n v="189"/>
    <n v="25"/>
    <n v="128"/>
    <n v="41"/>
    <n v="86"/>
    <n v="27"/>
    <n v="29"/>
    <n v="113"/>
    <n v="66"/>
    <n v="65"/>
    <n v="7"/>
  </r>
  <r>
    <x v="52"/>
    <x v="1"/>
    <x v="2"/>
    <n v="922"/>
    <n v="55"/>
    <n v="48"/>
    <n v="194"/>
    <n v="27"/>
    <n v="158"/>
    <n v="44"/>
    <n v="109"/>
    <n v="34"/>
    <n v="41"/>
    <n v="188"/>
    <n v="97"/>
    <n v="136"/>
    <n v="7"/>
  </r>
  <r>
    <x v="52"/>
    <x v="0"/>
    <x v="3"/>
    <n v="888"/>
    <n v="38"/>
    <n v="48"/>
    <n v="225"/>
    <n v="39"/>
    <n v="172"/>
    <n v="59"/>
    <n v="289"/>
    <n v="79"/>
    <n v="55"/>
    <n v="271"/>
    <n v="204"/>
    <n v="223"/>
    <n v="7"/>
  </r>
  <r>
    <x v="52"/>
    <x v="1"/>
    <x v="3"/>
    <n v="881"/>
    <n v="27"/>
    <n v="57"/>
    <n v="161"/>
    <n v="57"/>
    <n v="208"/>
    <n v="65"/>
    <n v="263"/>
    <n v="80"/>
    <n v="56"/>
    <n v="246"/>
    <n v="173"/>
    <n v="172"/>
    <n v="20"/>
  </r>
  <r>
    <x v="52"/>
    <x v="0"/>
    <x v="4"/>
    <n v="732"/>
    <n v="43"/>
    <n v="28"/>
    <n v="144"/>
    <n v="36"/>
    <n v="181"/>
    <n v="51"/>
    <n v="168"/>
    <n v="77"/>
    <n v="35"/>
    <n v="177"/>
    <n v="136"/>
    <n v="109"/>
    <n v="11"/>
  </r>
  <r>
    <x v="52"/>
    <x v="1"/>
    <x v="4"/>
    <n v="825"/>
    <n v="44"/>
    <n v="38"/>
    <n v="172"/>
    <n v="33"/>
    <n v="182"/>
    <n v="51"/>
    <n v="169"/>
    <n v="67"/>
    <n v="45"/>
    <n v="180"/>
    <n v="117"/>
    <n v="116"/>
    <n v="0"/>
  </r>
  <r>
    <x v="52"/>
    <x v="0"/>
    <x v="5"/>
    <n v="825"/>
    <n v="40"/>
    <n v="58"/>
    <n v="112"/>
    <n v="26"/>
    <n v="201"/>
    <n v="36"/>
    <n v="40"/>
    <n v="48"/>
    <n v="28"/>
    <n v="98"/>
    <n v="91"/>
    <n v="41"/>
    <n v="2"/>
  </r>
  <r>
    <x v="52"/>
    <x v="1"/>
    <x v="5"/>
    <n v="895"/>
    <n v="60"/>
    <n v="38"/>
    <n v="126"/>
    <n v="42"/>
    <n v="196"/>
    <n v="47"/>
    <n v="100"/>
    <n v="64"/>
    <n v="35"/>
    <n v="120"/>
    <n v="91"/>
    <n v="52"/>
    <n v="0"/>
  </r>
  <r>
    <x v="52"/>
    <x v="0"/>
    <x v="6"/>
    <n v="733"/>
    <n v="34"/>
    <n v="43"/>
    <n v="60"/>
    <n v="29"/>
    <n v="223"/>
    <n v="18"/>
    <n v="33"/>
    <n v="18"/>
    <n v="17"/>
    <n v="33"/>
    <n v="48"/>
    <n v="17"/>
    <n v="0"/>
  </r>
  <r>
    <x v="52"/>
    <x v="1"/>
    <x v="6"/>
    <n v="870"/>
    <n v="38"/>
    <n v="30"/>
    <n v="61"/>
    <n v="60"/>
    <n v="282"/>
    <n v="31"/>
    <n v="24"/>
    <n v="17"/>
    <n v="300"/>
    <n v="36"/>
    <n v="47"/>
    <n v="29"/>
    <n v="0"/>
  </r>
  <r>
    <x v="52"/>
    <x v="0"/>
    <x v="7"/>
    <n v="702"/>
    <n v="30"/>
    <n v="38"/>
    <n v="41"/>
    <n v="21"/>
    <n v="209"/>
    <n v="20"/>
    <n v="13"/>
    <n v="16"/>
    <n v="25"/>
    <n v="12"/>
    <n v="10"/>
    <n v="7"/>
    <n v="0"/>
  </r>
  <r>
    <x v="52"/>
    <x v="1"/>
    <x v="7"/>
    <n v="798"/>
    <n v="36"/>
    <n v="41"/>
    <n v="76"/>
    <n v="13"/>
    <n v="236"/>
    <n v="33"/>
    <n v="5"/>
    <n v="10"/>
    <n v="18"/>
    <n v="20"/>
    <n v="11"/>
    <n v="8"/>
    <n v="0"/>
  </r>
  <r>
    <x v="52"/>
    <x v="0"/>
    <x v="8"/>
    <n v="852"/>
    <n v="35"/>
    <n v="27"/>
    <n v="54"/>
    <n v="30"/>
    <n v="241"/>
    <n v="41"/>
    <n v="23"/>
    <n v="13"/>
    <n v="36"/>
    <n v="3"/>
    <n v="14"/>
    <n v="7"/>
    <n v="0"/>
  </r>
  <r>
    <x v="52"/>
    <x v="1"/>
    <x v="8"/>
    <n v="754"/>
    <n v="43"/>
    <n v="11"/>
    <n v="92"/>
    <n v="7"/>
    <n v="201"/>
    <n v="47"/>
    <n v="20"/>
    <n v="9"/>
    <n v="40"/>
    <n v="18"/>
    <n v="22"/>
    <n v="8"/>
    <n v="0"/>
  </r>
  <r>
    <x v="52"/>
    <x v="0"/>
    <x v="9"/>
    <n v="926"/>
    <n v="61"/>
    <n v="34"/>
    <n v="52"/>
    <n v="98"/>
    <n v="339"/>
    <n v="78"/>
    <n v="38"/>
    <n v="19"/>
    <n v="43"/>
    <n v="51"/>
    <n v="35"/>
    <n v="19"/>
    <n v="0"/>
  </r>
  <r>
    <x v="52"/>
    <x v="1"/>
    <x v="9"/>
    <n v="980"/>
    <n v="89"/>
    <n v="68"/>
    <n v="159"/>
    <n v="10"/>
    <n v="284"/>
    <n v="72"/>
    <n v="48"/>
    <n v="34"/>
    <n v="42"/>
    <n v="39"/>
    <n v="25"/>
    <n v="12"/>
    <n v="2"/>
  </r>
  <r>
    <x v="52"/>
    <x v="0"/>
    <x v="10"/>
    <n v="877"/>
    <n v="45"/>
    <n v="46"/>
    <n v="75"/>
    <n v="115"/>
    <n v="292"/>
    <n v="35"/>
    <n v="43"/>
    <n v="21"/>
    <n v="42"/>
    <n v="31"/>
    <n v="32"/>
    <n v="9"/>
    <n v="1"/>
  </r>
  <r>
    <x v="52"/>
    <x v="1"/>
    <x v="10"/>
    <n v="888"/>
    <n v="42"/>
    <n v="36"/>
    <n v="125"/>
    <n v="25"/>
    <n v="193"/>
    <n v="39"/>
    <n v="47"/>
    <n v="18"/>
    <n v="40"/>
    <n v="39"/>
    <n v="23"/>
    <n v="16"/>
    <n v="1"/>
  </r>
  <r>
    <x v="52"/>
    <x v="0"/>
    <x v="11"/>
    <n v="911"/>
    <n v="38"/>
    <n v="66"/>
    <n v="174"/>
    <n v="44"/>
    <n v="237"/>
    <n v="43"/>
    <n v="78"/>
    <n v="43"/>
    <n v="39"/>
    <n v="58"/>
    <n v="44"/>
    <n v="12"/>
    <n v="0"/>
  </r>
  <r>
    <x v="52"/>
    <x v="1"/>
    <x v="11"/>
    <n v="882"/>
    <n v="27"/>
    <n v="38"/>
    <n v="190"/>
    <n v="25"/>
    <n v="196"/>
    <n v="58"/>
    <n v="73"/>
    <n v="44"/>
    <n v="42"/>
    <n v="42"/>
    <n v="44"/>
    <n v="16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x v="0"/>
    <x v="0"/>
    <n v="1578"/>
    <n v="968"/>
    <n v="0"/>
    <n v="18"/>
    <n v="9"/>
    <n v="4"/>
    <n v="148"/>
    <n v="5"/>
    <n v="10"/>
    <n v="37"/>
    <n v="0"/>
    <n v="0"/>
    <n v="0"/>
    <n v="0"/>
  </r>
  <r>
    <x v="0"/>
    <x v="1"/>
    <n v="1381"/>
    <n v="975"/>
    <n v="0"/>
    <n v="16"/>
    <n v="14"/>
    <n v="0"/>
    <n v="126"/>
    <n v="0"/>
    <n v="1"/>
    <n v="39"/>
    <n v="0"/>
    <n v="0"/>
    <n v="2"/>
    <n v="2"/>
  </r>
  <r>
    <x v="0"/>
    <x v="2"/>
    <n v="2388"/>
    <n v="1202"/>
    <n v="4"/>
    <n v="14"/>
    <n v="55"/>
    <n v="21"/>
    <n v="223"/>
    <n v="0"/>
    <n v="0"/>
    <n v="31"/>
    <n v="0"/>
    <n v="0"/>
    <n v="4"/>
    <n v="5"/>
  </r>
  <r>
    <x v="0"/>
    <x v="3"/>
    <n v="4497"/>
    <n v="1258"/>
    <n v="0"/>
    <n v="28"/>
    <n v="61"/>
    <n v="60"/>
    <n v="239"/>
    <n v="2"/>
    <n v="0"/>
    <n v="33"/>
    <n v="0"/>
    <n v="0"/>
    <n v="3"/>
    <n v="9"/>
  </r>
  <r>
    <x v="0"/>
    <x v="4"/>
    <n v="2887"/>
    <n v="980"/>
    <n v="0"/>
    <n v="0"/>
    <n v="19"/>
    <n v="35"/>
    <n v="167"/>
    <n v="0"/>
    <n v="0"/>
    <n v="15"/>
    <n v="0"/>
    <n v="0"/>
    <n v="0"/>
    <n v="8"/>
  </r>
  <r>
    <x v="0"/>
    <x v="5"/>
    <n v="2772"/>
    <n v="1146"/>
    <n v="0"/>
    <n v="0"/>
    <n v="35"/>
    <n v="16"/>
    <n v="261"/>
    <n v="2"/>
    <n v="1"/>
    <n v="23"/>
    <n v="0"/>
    <n v="0"/>
    <n v="1"/>
    <n v="1"/>
  </r>
  <r>
    <x v="0"/>
    <x v="6"/>
    <n v="2053"/>
    <n v="1018"/>
    <n v="0"/>
    <n v="0"/>
    <n v="10"/>
    <n v="23"/>
    <n v="346"/>
    <n v="9"/>
    <n v="0"/>
    <n v="27"/>
    <n v="0"/>
    <n v="0"/>
    <n v="0"/>
    <n v="3"/>
  </r>
  <r>
    <x v="0"/>
    <x v="7"/>
    <n v="1362"/>
    <n v="831"/>
    <n v="0"/>
    <n v="0"/>
    <n v="10"/>
    <n v="0"/>
    <n v="227"/>
    <n v="9"/>
    <n v="0"/>
    <n v="33"/>
    <n v="0"/>
    <n v="0"/>
    <n v="0"/>
    <n v="4"/>
  </r>
  <r>
    <x v="0"/>
    <x v="8"/>
    <n v="1500"/>
    <n v="1003"/>
    <n v="0"/>
    <n v="0"/>
    <n v="9"/>
    <n v="0"/>
    <n v="195"/>
    <n v="9"/>
    <n v="4"/>
    <n v="29"/>
    <n v="0"/>
    <n v="0"/>
    <n v="0"/>
    <n v="1"/>
  </r>
  <r>
    <x v="0"/>
    <x v="9"/>
    <n v="2469"/>
    <n v="1325"/>
    <n v="0"/>
    <n v="0"/>
    <n v="12"/>
    <n v="0"/>
    <n v="294"/>
    <n v="11"/>
    <n v="1"/>
    <n v="61"/>
    <n v="0"/>
    <n v="0"/>
    <n v="0"/>
    <m/>
  </r>
  <r>
    <x v="0"/>
    <x v="10"/>
    <n v="2206"/>
    <n v="1225"/>
    <n v="0"/>
    <n v="4"/>
    <n v="8"/>
    <n v="0"/>
    <n v="202"/>
    <n v="5"/>
    <n v="20"/>
    <n v="43"/>
    <n v="0"/>
    <n v="0"/>
    <n v="0"/>
    <n v="2"/>
  </r>
  <r>
    <x v="0"/>
    <x v="11"/>
    <n v="2287"/>
    <n v="1186"/>
    <n v="0"/>
    <n v="9"/>
    <n v="27"/>
    <n v="0"/>
    <n v="230"/>
    <n v="2"/>
    <n v="10"/>
    <n v="47"/>
    <n v="0"/>
    <n v="0"/>
    <n v="0"/>
    <n v="2"/>
  </r>
  <r>
    <x v="1"/>
    <x v="0"/>
    <n v="1849"/>
    <n v="1211"/>
    <n v="0"/>
    <n v="7"/>
    <n v="17"/>
    <n v="9"/>
    <n v="176"/>
    <n v="0"/>
    <n v="61"/>
    <n v="19"/>
    <n v="0"/>
    <n v="0"/>
    <n v="0"/>
    <n v="2"/>
  </r>
  <r>
    <x v="1"/>
    <x v="1"/>
    <n v="1606"/>
    <n v="1265"/>
    <n v="0"/>
    <n v="9"/>
    <n v="34"/>
    <n v="2"/>
    <n v="186"/>
    <n v="0"/>
    <n v="71"/>
    <n v="6"/>
    <n v="0"/>
    <n v="0"/>
    <n v="0"/>
    <n v="2"/>
  </r>
  <r>
    <x v="1"/>
    <x v="2"/>
    <n v="3256"/>
    <n v="1448"/>
    <n v="0"/>
    <n v="2"/>
    <n v="136"/>
    <n v="36"/>
    <n v="253"/>
    <n v="1"/>
    <n v="36"/>
    <n v="13"/>
    <n v="0"/>
    <n v="0"/>
    <n v="0"/>
    <n v="2"/>
  </r>
  <r>
    <x v="1"/>
    <x v="3"/>
    <n v="5568"/>
    <n v="1516"/>
    <n v="0"/>
    <n v="1"/>
    <n v="151"/>
    <n v="120"/>
    <n v="337"/>
    <n v="3"/>
    <n v="19"/>
    <n v="6"/>
    <n v="0"/>
    <n v="0"/>
    <n v="1"/>
    <n v="6"/>
  </r>
  <r>
    <x v="1"/>
    <x v="4"/>
    <n v="3609"/>
    <n v="1417"/>
    <n v="0"/>
    <n v="0"/>
    <n v="70"/>
    <n v="63"/>
    <n v="269"/>
    <n v="2"/>
    <n v="49"/>
    <n v="6"/>
    <n v="0"/>
    <n v="0"/>
    <n v="1"/>
    <n v="6"/>
  </r>
  <r>
    <x v="1"/>
    <x v="5"/>
    <n v="3106"/>
    <n v="1453"/>
    <n v="0"/>
    <n v="0"/>
    <n v="80"/>
    <n v="39"/>
    <n v="380"/>
    <n v="1"/>
    <n v="35"/>
    <n v="19"/>
    <n v="0"/>
    <n v="0"/>
    <n v="0"/>
    <n v="6"/>
  </r>
  <r>
    <x v="1"/>
    <x v="6"/>
    <n v="2383"/>
    <n v="1332"/>
    <n v="0"/>
    <n v="0"/>
    <n v="86"/>
    <n v="16"/>
    <n v="484"/>
    <n v="4"/>
    <n v="5"/>
    <n v="4"/>
    <n v="0"/>
    <n v="1"/>
    <n v="0"/>
    <n v="6"/>
  </r>
  <r>
    <x v="1"/>
    <x v="7"/>
    <n v="2125"/>
    <n v="1166"/>
    <n v="2"/>
    <n v="0"/>
    <n v="49"/>
    <n v="15"/>
    <n v="527"/>
    <n v="2"/>
    <n v="8"/>
    <n v="16"/>
    <n v="0"/>
    <n v="0"/>
    <n v="0"/>
    <n v="6"/>
  </r>
  <r>
    <x v="1"/>
    <x v="8"/>
    <n v="1994"/>
    <n v="1261"/>
    <n v="0"/>
    <n v="0"/>
    <n v="38"/>
    <n v="4"/>
    <n v="400"/>
    <n v="4"/>
    <n v="22"/>
    <n v="20"/>
    <n v="0"/>
    <n v="0"/>
    <n v="0"/>
    <n v="6"/>
  </r>
  <r>
    <x v="1"/>
    <x v="9"/>
    <n v="2971"/>
    <n v="1624"/>
    <n v="0"/>
    <n v="0"/>
    <n v="57"/>
    <n v="9"/>
    <n v="415"/>
    <n v="1"/>
    <n v="66"/>
    <n v="32"/>
    <n v="0"/>
    <n v="0"/>
    <n v="0"/>
    <n v="6"/>
  </r>
  <r>
    <x v="1"/>
    <x v="10"/>
    <n v="2594"/>
    <n v="1452"/>
    <n v="0"/>
    <n v="8"/>
    <n v="34"/>
    <n v="18"/>
    <n v="370"/>
    <n v="0"/>
    <n v="93"/>
    <n v="20"/>
    <n v="0"/>
    <n v="0"/>
    <n v="0"/>
    <n v="6"/>
  </r>
  <r>
    <x v="1"/>
    <x v="11"/>
    <n v="2589"/>
    <n v="1417"/>
    <n v="0"/>
    <n v="11"/>
    <n v="94"/>
    <n v="4"/>
    <n v="322"/>
    <n v="1"/>
    <n v="74"/>
    <n v="21"/>
    <n v="0"/>
    <n v="0"/>
    <n v="0"/>
    <n v="6"/>
  </r>
  <r>
    <x v="2"/>
    <x v="0"/>
    <n v="795"/>
    <n v="328"/>
    <n v="0"/>
    <n v="11"/>
    <n v="16"/>
    <n v="1"/>
    <n v="62"/>
    <n v="45"/>
    <n v="11"/>
    <n v="41"/>
    <n v="0"/>
    <n v="0"/>
    <n v="0"/>
    <n v="6"/>
  </r>
  <r>
    <x v="2"/>
    <x v="1"/>
    <n v="744"/>
    <n v="384"/>
    <n v="0"/>
    <n v="12"/>
    <n v="10"/>
    <n v="2"/>
    <n v="60"/>
    <n v="43"/>
    <n v="4"/>
    <n v="51"/>
    <n v="0"/>
    <n v="0"/>
    <n v="0"/>
    <n v="6"/>
  </r>
  <r>
    <x v="2"/>
    <x v="2"/>
    <n v="1456"/>
    <n v="430"/>
    <n v="0"/>
    <n v="0"/>
    <n v="68"/>
    <n v="36"/>
    <n v="148"/>
    <n v="73"/>
    <n v="12"/>
    <n v="51"/>
    <n v="0"/>
    <n v="0"/>
    <n v="0"/>
    <n v="6"/>
  </r>
  <r>
    <x v="2"/>
    <x v="3"/>
    <n v="2721"/>
    <n v="480"/>
    <n v="1"/>
    <n v="0"/>
    <n v="73"/>
    <n v="99"/>
    <n v="186"/>
    <n v="85"/>
    <n v="14"/>
    <n v="61"/>
    <n v="0"/>
    <n v="1"/>
    <n v="1"/>
    <n v="6"/>
  </r>
  <r>
    <x v="2"/>
    <x v="4"/>
    <n v="1654"/>
    <n v="416"/>
    <n v="0"/>
    <n v="0"/>
    <n v="48"/>
    <n v="29"/>
    <n v="116"/>
    <n v="52"/>
    <n v="4"/>
    <n v="31"/>
    <n v="0"/>
    <n v="5"/>
    <n v="0"/>
    <n v="6"/>
  </r>
  <r>
    <x v="2"/>
    <x v="5"/>
    <n v="1651"/>
    <n v="526"/>
    <n v="0"/>
    <n v="0"/>
    <n v="48"/>
    <n v="17"/>
    <n v="130"/>
    <n v="84"/>
    <n v="13"/>
    <n v="57"/>
    <n v="0"/>
    <n v="7"/>
    <n v="0"/>
    <n v="6"/>
  </r>
  <r>
    <x v="2"/>
    <x v="6"/>
    <n v="1180"/>
    <n v="451"/>
    <n v="0"/>
    <n v="0"/>
    <n v="27"/>
    <n v="11"/>
    <n v="104"/>
    <n v="73"/>
    <n v="25"/>
    <n v="54"/>
    <n v="0"/>
    <n v="0"/>
    <n v="0"/>
    <n v="6"/>
  </r>
  <r>
    <x v="2"/>
    <x v="7"/>
    <n v="1027"/>
    <n v="375"/>
    <n v="0"/>
    <n v="0"/>
    <n v="15"/>
    <n v="6"/>
    <n v="114"/>
    <n v="77"/>
    <n v="26"/>
    <n v="34"/>
    <n v="0"/>
    <n v="0"/>
    <n v="0"/>
    <n v="6"/>
  </r>
  <r>
    <x v="2"/>
    <x v="8"/>
    <n v="938"/>
    <n v="352"/>
    <n v="0"/>
    <n v="0"/>
    <n v="9"/>
    <n v="3"/>
    <n v="137"/>
    <n v="106"/>
    <n v="37"/>
    <n v="38"/>
    <n v="0"/>
    <n v="0"/>
    <n v="0"/>
    <n v="6"/>
  </r>
  <r>
    <x v="2"/>
    <x v="9"/>
    <n v="1479"/>
    <n v="483"/>
    <n v="0"/>
    <n v="4"/>
    <n v="9"/>
    <n v="6"/>
    <n v="169"/>
    <n v="130"/>
    <n v="50"/>
    <n v="51"/>
    <n v="0"/>
    <n v="0"/>
    <n v="0"/>
    <n v="6"/>
  </r>
  <r>
    <x v="2"/>
    <x v="10"/>
    <n v="1333"/>
    <n v="433"/>
    <n v="0"/>
    <n v="8"/>
    <n v="10"/>
    <n v="2"/>
    <n v="155"/>
    <n v="102"/>
    <n v="38"/>
    <n v="73"/>
    <n v="0"/>
    <n v="0"/>
    <n v="0"/>
    <n v="6"/>
  </r>
  <r>
    <x v="2"/>
    <x v="11"/>
    <n v="1341"/>
    <n v="455"/>
    <n v="0"/>
    <n v="11"/>
    <n v="44"/>
    <n v="0"/>
    <n v="134"/>
    <n v="69"/>
    <n v="12"/>
    <n v="77"/>
    <n v="0"/>
    <n v="0"/>
    <n v="0"/>
    <n v="6"/>
  </r>
  <r>
    <x v="3"/>
    <x v="0"/>
    <n v="963"/>
    <n v="250"/>
    <n v="0"/>
    <n v="16"/>
    <n v="8"/>
    <n v="2"/>
    <n v="265"/>
    <n v="46"/>
    <n v="35"/>
    <n v="64"/>
    <n v="0"/>
    <n v="0"/>
    <n v="0"/>
    <n v="6"/>
  </r>
  <r>
    <x v="3"/>
    <x v="1"/>
    <n v="610"/>
    <n v="217"/>
    <n v="0"/>
    <n v="4"/>
    <n v="9"/>
    <n v="2"/>
    <n v="177"/>
    <n v="22"/>
    <n v="32"/>
    <n v="17"/>
    <n v="0"/>
    <n v="0"/>
    <n v="0"/>
    <n v="6"/>
  </r>
  <r>
    <x v="3"/>
    <x v="2"/>
    <n v="1322"/>
    <n v="313"/>
    <n v="7"/>
    <n v="0"/>
    <n v="38"/>
    <n v="23"/>
    <n v="384"/>
    <n v="32"/>
    <n v="20"/>
    <n v="60"/>
    <n v="0"/>
    <n v="0"/>
    <n v="0"/>
    <n v="6"/>
  </r>
  <r>
    <x v="3"/>
    <x v="3"/>
    <n v="2079"/>
    <n v="358"/>
    <n v="0"/>
    <n v="0"/>
    <n v="33"/>
    <n v="56"/>
    <n v="560"/>
    <n v="26"/>
    <n v="12"/>
    <n v="42"/>
    <n v="0"/>
    <n v="0"/>
    <n v="1"/>
    <n v="6"/>
  </r>
  <r>
    <x v="3"/>
    <x v="4"/>
    <n v="1421"/>
    <n v="340"/>
    <n v="0"/>
    <n v="0"/>
    <n v="26"/>
    <n v="54"/>
    <n v="390"/>
    <n v="25"/>
    <n v="13"/>
    <n v="26"/>
    <n v="0"/>
    <n v="0"/>
    <n v="0"/>
    <n v="6"/>
  </r>
  <r>
    <x v="3"/>
    <x v="5"/>
    <n v="1244"/>
    <n v="395"/>
    <n v="0"/>
    <n v="0"/>
    <n v="17"/>
    <n v="17"/>
    <n v="361"/>
    <n v="32"/>
    <n v="7"/>
    <n v="58"/>
    <n v="0"/>
    <n v="0"/>
    <n v="0"/>
    <n v="6"/>
  </r>
  <r>
    <x v="3"/>
    <x v="6"/>
    <n v="1446"/>
    <n v="351"/>
    <n v="0"/>
    <n v="0"/>
    <n v="12"/>
    <n v="5"/>
    <n v="408"/>
    <n v="63"/>
    <n v="27"/>
    <n v="37"/>
    <n v="0"/>
    <n v="0"/>
    <n v="0"/>
    <n v="6"/>
  </r>
  <r>
    <x v="3"/>
    <x v="7"/>
    <n v="742"/>
    <n v="223"/>
    <n v="0"/>
    <n v="0"/>
    <n v="2"/>
    <n v="1"/>
    <n v="238"/>
    <n v="27"/>
    <n v="18"/>
    <n v="66"/>
    <n v="0"/>
    <n v="0"/>
    <n v="0"/>
    <n v="6"/>
  </r>
  <r>
    <x v="3"/>
    <x v="8"/>
    <n v="1162"/>
    <n v="299"/>
    <n v="0"/>
    <n v="0"/>
    <n v="3"/>
    <n v="1"/>
    <n v="303"/>
    <n v="49"/>
    <n v="38"/>
    <n v="77"/>
    <n v="0"/>
    <n v="2"/>
    <n v="0"/>
    <n v="6"/>
  </r>
  <r>
    <x v="3"/>
    <x v="9"/>
    <n v="1296"/>
    <n v="379"/>
    <n v="0"/>
    <n v="0"/>
    <n v="3"/>
    <n v="0"/>
    <n v="385"/>
    <n v="38"/>
    <n v="46"/>
    <n v="119"/>
    <n v="0"/>
    <n v="0"/>
    <n v="0"/>
    <n v="6"/>
  </r>
  <r>
    <x v="3"/>
    <x v="10"/>
    <n v="1181"/>
    <n v="340"/>
    <n v="0"/>
    <n v="2"/>
    <n v="7"/>
    <n v="7"/>
    <n v="333"/>
    <n v="35"/>
    <n v="28"/>
    <n v="103"/>
    <n v="0"/>
    <n v="0"/>
    <n v="0"/>
    <n v="6"/>
  </r>
  <r>
    <x v="3"/>
    <x v="11"/>
    <n v="971"/>
    <n v="292"/>
    <n v="0"/>
    <n v="7"/>
    <n v="6"/>
    <n v="0"/>
    <n v="317"/>
    <n v="21"/>
    <n v="15"/>
    <n v="62"/>
    <n v="0"/>
    <n v="0"/>
    <n v="0"/>
    <n v="6"/>
  </r>
  <r>
    <x v="4"/>
    <x v="0"/>
    <n v="1125"/>
    <n v="886"/>
    <n v="0"/>
    <n v="12"/>
    <n v="10"/>
    <n v="0"/>
    <n v="98"/>
    <n v="0"/>
    <n v="0"/>
    <n v="27"/>
    <n v="0"/>
    <n v="0"/>
    <n v="1"/>
    <n v="6"/>
  </r>
  <r>
    <x v="4"/>
    <x v="1"/>
    <n v="885"/>
    <n v="824"/>
    <n v="0"/>
    <n v="13"/>
    <n v="7"/>
    <n v="0"/>
    <n v="103"/>
    <n v="3"/>
    <n v="0"/>
    <n v="12"/>
    <n v="0"/>
    <n v="0"/>
    <n v="0"/>
    <n v="6"/>
  </r>
  <r>
    <x v="4"/>
    <x v="2"/>
    <n v="1697"/>
    <n v="939"/>
    <n v="4"/>
    <n v="2"/>
    <n v="23"/>
    <n v="7"/>
    <n v="232"/>
    <n v="4"/>
    <n v="1"/>
    <n v="25"/>
    <n v="0"/>
    <n v="0"/>
    <n v="0"/>
    <n v="6"/>
  </r>
  <r>
    <x v="4"/>
    <x v="3"/>
    <n v="2761"/>
    <n v="906"/>
    <n v="0"/>
    <n v="0"/>
    <n v="40"/>
    <n v="60"/>
    <n v="261"/>
    <n v="0"/>
    <n v="0"/>
    <n v="34"/>
    <n v="0"/>
    <n v="0"/>
    <n v="3"/>
    <n v="6"/>
  </r>
  <r>
    <x v="4"/>
    <x v="4"/>
    <n v="1929"/>
    <n v="776"/>
    <n v="0"/>
    <n v="0"/>
    <n v="27"/>
    <n v="11"/>
    <n v="254"/>
    <n v="2"/>
    <n v="0"/>
    <n v="33"/>
    <n v="0"/>
    <n v="0"/>
    <n v="0"/>
    <n v="6"/>
  </r>
  <r>
    <x v="4"/>
    <x v="5"/>
    <n v="1660"/>
    <n v="930"/>
    <n v="0"/>
    <n v="0"/>
    <n v="19"/>
    <n v="4"/>
    <n v="268"/>
    <n v="0"/>
    <n v="0"/>
    <n v="30"/>
    <n v="0"/>
    <n v="0"/>
    <n v="0"/>
    <n v="6"/>
  </r>
  <r>
    <x v="4"/>
    <x v="6"/>
    <n v="1291"/>
    <n v="803"/>
    <n v="0"/>
    <n v="0"/>
    <n v="2"/>
    <n v="1"/>
    <n v="217"/>
    <n v="10"/>
    <n v="0"/>
    <n v="11"/>
    <n v="0"/>
    <n v="0"/>
    <n v="0"/>
    <n v="6"/>
  </r>
  <r>
    <x v="4"/>
    <x v="7"/>
    <n v="1082"/>
    <n v="783"/>
    <n v="0"/>
    <n v="0"/>
    <n v="1"/>
    <n v="0"/>
    <n v="265"/>
    <n v="7"/>
    <n v="0"/>
    <n v="23"/>
    <n v="0"/>
    <n v="0"/>
    <n v="0"/>
    <n v="6"/>
  </r>
  <r>
    <x v="4"/>
    <x v="8"/>
    <n v="988"/>
    <n v="944"/>
    <n v="0"/>
    <n v="0"/>
    <n v="2"/>
    <n v="1"/>
    <n v="208"/>
    <n v="3"/>
    <n v="14"/>
    <n v="29"/>
    <n v="0"/>
    <n v="0"/>
    <n v="0"/>
    <n v="6"/>
  </r>
  <r>
    <x v="4"/>
    <x v="9"/>
    <n v="1566"/>
    <n v="1078"/>
    <n v="0"/>
    <n v="0"/>
    <n v="2"/>
    <n v="2"/>
    <n v="251"/>
    <n v="16"/>
    <n v="4"/>
    <n v="24"/>
    <n v="0"/>
    <n v="0"/>
    <n v="0"/>
    <n v="6"/>
  </r>
  <r>
    <x v="4"/>
    <x v="10"/>
    <n v="1310"/>
    <n v="988"/>
    <n v="0"/>
    <n v="4"/>
    <n v="1"/>
    <n v="0"/>
    <n v="199"/>
    <n v="5"/>
    <n v="1"/>
    <n v="21"/>
    <n v="0"/>
    <n v="0"/>
    <n v="0"/>
    <n v="6"/>
  </r>
  <r>
    <x v="4"/>
    <x v="11"/>
    <n v="1479"/>
    <n v="1016"/>
    <n v="0"/>
    <n v="8"/>
    <n v="3"/>
    <n v="2"/>
    <n v="252"/>
    <n v="1"/>
    <n v="3"/>
    <n v="23"/>
    <n v="0"/>
    <n v="0"/>
    <n v="1"/>
    <n v="6"/>
  </r>
  <r>
    <x v="5"/>
    <x v="0"/>
    <n v="807"/>
    <n v="243"/>
    <n v="0"/>
    <n v="3"/>
    <n v="12"/>
    <n v="0"/>
    <n v="46"/>
    <n v="1"/>
    <n v="0"/>
    <n v="7"/>
    <n v="0"/>
    <n v="0"/>
    <n v="0"/>
    <n v="6"/>
  </r>
  <r>
    <x v="5"/>
    <x v="1"/>
    <n v="846"/>
    <n v="269"/>
    <n v="0"/>
    <n v="2"/>
    <n v="9"/>
    <n v="0"/>
    <n v="57"/>
    <n v="0"/>
    <n v="2"/>
    <n v="11"/>
    <n v="0"/>
    <n v="0"/>
    <n v="0"/>
    <n v="6"/>
  </r>
  <r>
    <x v="5"/>
    <x v="2"/>
    <n v="1464"/>
    <n v="367"/>
    <n v="0"/>
    <n v="0"/>
    <n v="33"/>
    <n v="2"/>
    <n v="67"/>
    <n v="0"/>
    <n v="0"/>
    <n v="21"/>
    <n v="0"/>
    <n v="0"/>
    <n v="0"/>
    <n v="6"/>
  </r>
  <r>
    <x v="5"/>
    <x v="3"/>
    <n v="2659"/>
    <n v="446"/>
    <n v="0"/>
    <n v="0"/>
    <n v="47"/>
    <n v="16"/>
    <n v="122"/>
    <n v="3"/>
    <n v="0"/>
    <n v="16"/>
    <n v="0"/>
    <n v="0"/>
    <n v="0"/>
    <n v="6"/>
  </r>
  <r>
    <x v="5"/>
    <x v="4"/>
    <n v="1455"/>
    <n v="305"/>
    <n v="0"/>
    <n v="0"/>
    <n v="17"/>
    <n v="4"/>
    <n v="71"/>
    <n v="0"/>
    <n v="0"/>
    <n v="10"/>
    <n v="0"/>
    <n v="0"/>
    <n v="0"/>
    <n v="6"/>
  </r>
  <r>
    <x v="5"/>
    <x v="5"/>
    <n v="1421"/>
    <n v="343"/>
    <n v="0"/>
    <n v="0"/>
    <n v="6"/>
    <n v="0"/>
    <n v="65"/>
    <n v="0"/>
    <n v="0"/>
    <n v="5"/>
    <n v="0"/>
    <n v="0"/>
    <n v="0"/>
    <n v="6"/>
  </r>
  <r>
    <x v="5"/>
    <x v="6"/>
    <n v="1187"/>
    <n v="381"/>
    <n v="0"/>
    <n v="0"/>
    <n v="4"/>
    <n v="1"/>
    <n v="92"/>
    <n v="2"/>
    <n v="0"/>
    <n v="11"/>
    <n v="0"/>
    <n v="0"/>
    <n v="0"/>
    <n v="6"/>
  </r>
  <r>
    <x v="5"/>
    <x v="7"/>
    <n v="992"/>
    <n v="284"/>
    <n v="0"/>
    <n v="0"/>
    <n v="6"/>
    <n v="0"/>
    <n v="70"/>
    <n v="2"/>
    <n v="0"/>
    <n v="10"/>
    <n v="0"/>
    <n v="0"/>
    <n v="0"/>
    <n v="6"/>
  </r>
  <r>
    <x v="5"/>
    <x v="8"/>
    <n v="852"/>
    <n v="349"/>
    <n v="0"/>
    <n v="0"/>
    <n v="5"/>
    <n v="0"/>
    <n v="63"/>
    <n v="0"/>
    <n v="0"/>
    <n v="14"/>
    <n v="0"/>
    <n v="0"/>
    <n v="0"/>
    <n v="6"/>
  </r>
  <r>
    <x v="5"/>
    <x v="9"/>
    <n v="1404"/>
    <n v="433"/>
    <n v="0"/>
    <n v="0"/>
    <n v="12"/>
    <n v="0"/>
    <n v="84"/>
    <n v="7"/>
    <n v="3"/>
    <n v="5"/>
    <n v="0"/>
    <n v="0"/>
    <n v="0"/>
    <n v="6"/>
  </r>
  <r>
    <x v="5"/>
    <x v="10"/>
    <n v="1162"/>
    <n v="382"/>
    <n v="0"/>
    <n v="1"/>
    <n v="14"/>
    <n v="0"/>
    <n v="122"/>
    <n v="0"/>
    <n v="0"/>
    <n v="6"/>
    <n v="0"/>
    <n v="0"/>
    <n v="0"/>
    <n v="6"/>
  </r>
  <r>
    <x v="5"/>
    <x v="11"/>
    <n v="1216"/>
    <n v="330"/>
    <n v="0"/>
    <n v="1"/>
    <n v="8"/>
    <n v="0"/>
    <n v="73"/>
    <n v="0"/>
    <n v="0"/>
    <n v="8"/>
    <n v="0"/>
    <n v="0"/>
    <n v="0"/>
    <n v="6"/>
  </r>
  <r>
    <x v="6"/>
    <x v="0"/>
    <n v="681"/>
    <n v="1005"/>
    <n v="0"/>
    <n v="3"/>
    <n v="6"/>
    <n v="2"/>
    <n v="55"/>
    <n v="16"/>
    <n v="2"/>
    <n v="31"/>
    <n v="0"/>
    <n v="0"/>
    <n v="4"/>
    <n v="6"/>
  </r>
  <r>
    <x v="6"/>
    <x v="1"/>
    <n v="592"/>
    <n v="904"/>
    <n v="0"/>
    <n v="1"/>
    <n v="4"/>
    <n v="0"/>
    <n v="49"/>
    <n v="18"/>
    <n v="1"/>
    <n v="20"/>
    <n v="0"/>
    <n v="0"/>
    <n v="0"/>
    <n v="6"/>
  </r>
  <r>
    <x v="6"/>
    <x v="2"/>
    <n v="1150"/>
    <n v="1154"/>
    <n v="1"/>
    <n v="1"/>
    <n v="11"/>
    <n v="1"/>
    <n v="61"/>
    <n v="12"/>
    <n v="0"/>
    <n v="27"/>
    <n v="0"/>
    <n v="0"/>
    <n v="2"/>
    <n v="6"/>
  </r>
  <r>
    <x v="6"/>
    <x v="3"/>
    <n v="2210"/>
    <n v="1120"/>
    <n v="0"/>
    <n v="1"/>
    <n v="22"/>
    <n v="18"/>
    <n v="117"/>
    <n v="19"/>
    <n v="0"/>
    <n v="28"/>
    <n v="0"/>
    <n v="0"/>
    <n v="0"/>
    <n v="6"/>
  </r>
  <r>
    <x v="6"/>
    <x v="4"/>
    <n v="1443"/>
    <n v="1015"/>
    <n v="0"/>
    <n v="0"/>
    <n v="12"/>
    <n v="3"/>
    <n v="101"/>
    <n v="14"/>
    <n v="1"/>
    <n v="28"/>
    <n v="0"/>
    <n v="0"/>
    <n v="0"/>
    <n v="6"/>
  </r>
  <r>
    <x v="6"/>
    <x v="5"/>
    <n v="1259"/>
    <n v="1061"/>
    <n v="0"/>
    <n v="0"/>
    <n v="12"/>
    <n v="1"/>
    <n v="79"/>
    <n v="20"/>
    <n v="0"/>
    <n v="18"/>
    <n v="0"/>
    <n v="0"/>
    <n v="1"/>
    <n v="6"/>
  </r>
  <r>
    <x v="6"/>
    <x v="7"/>
    <n v="731"/>
    <n v="779"/>
    <n v="0"/>
    <n v="0"/>
    <n v="2"/>
    <n v="4"/>
    <n v="119"/>
    <n v="43"/>
    <n v="0"/>
    <n v="31"/>
    <n v="0"/>
    <n v="0"/>
    <n v="1"/>
    <n v="6"/>
  </r>
  <r>
    <x v="6"/>
    <x v="8"/>
    <n v="1091"/>
    <n v="959"/>
    <n v="0"/>
    <n v="0"/>
    <n v="4"/>
    <n v="0"/>
    <n v="77"/>
    <n v="65"/>
    <n v="12"/>
    <n v="29"/>
    <n v="0"/>
    <n v="0"/>
    <n v="0"/>
    <n v="6"/>
  </r>
  <r>
    <x v="6"/>
    <x v="9"/>
    <n v="1120"/>
    <n v="1175"/>
    <n v="0"/>
    <n v="0"/>
    <n v="6"/>
    <n v="1"/>
    <n v="117"/>
    <n v="37"/>
    <n v="15"/>
    <n v="41"/>
    <n v="0"/>
    <n v="0"/>
    <n v="0"/>
    <n v="6"/>
  </r>
  <r>
    <x v="6"/>
    <x v="10"/>
    <n v="1265"/>
    <n v="1123"/>
    <n v="0"/>
    <n v="1"/>
    <n v="11"/>
    <n v="0"/>
    <n v="122"/>
    <n v="16"/>
    <n v="19"/>
    <n v="46"/>
    <n v="1"/>
    <n v="0"/>
    <n v="1"/>
    <n v="6"/>
  </r>
  <r>
    <x v="6"/>
    <x v="11"/>
    <n v="1166"/>
    <n v="1141"/>
    <n v="0"/>
    <n v="3"/>
    <n v="11"/>
    <n v="1"/>
    <n v="129"/>
    <n v="7"/>
    <n v="5"/>
    <n v="44"/>
    <n v="2"/>
    <n v="0"/>
    <n v="0"/>
    <n v="6"/>
  </r>
  <r>
    <x v="7"/>
    <x v="0"/>
    <n v="1044"/>
    <n v="332"/>
    <n v="0"/>
    <n v="4"/>
    <n v="16"/>
    <n v="0"/>
    <n v="96"/>
    <n v="0"/>
    <n v="10"/>
    <n v="4"/>
    <n v="0"/>
    <n v="0"/>
    <n v="0"/>
    <n v="6"/>
  </r>
  <r>
    <x v="7"/>
    <x v="1"/>
    <n v="790"/>
    <n v="319"/>
    <n v="0"/>
    <n v="6"/>
    <n v="29"/>
    <n v="0"/>
    <n v="43"/>
    <n v="0"/>
    <n v="0"/>
    <n v="13"/>
    <n v="0"/>
    <n v="0"/>
    <n v="0"/>
    <n v="6"/>
  </r>
  <r>
    <x v="7"/>
    <x v="2"/>
    <n v="1642"/>
    <n v="404"/>
    <n v="0"/>
    <n v="0"/>
    <n v="79"/>
    <n v="3"/>
    <n v="96"/>
    <n v="0"/>
    <n v="0"/>
    <n v="4"/>
    <n v="0"/>
    <n v="0"/>
    <n v="0"/>
    <n v="6"/>
  </r>
  <r>
    <x v="7"/>
    <x v="3"/>
    <n v="2403"/>
    <n v="433"/>
    <n v="0"/>
    <n v="0"/>
    <n v="85"/>
    <n v="19"/>
    <n v="136"/>
    <n v="0"/>
    <n v="0"/>
    <n v="0"/>
    <n v="0"/>
    <n v="1"/>
    <n v="1"/>
    <n v="6"/>
  </r>
  <r>
    <x v="7"/>
    <x v="4"/>
    <n v="1381"/>
    <n v="298"/>
    <n v="0"/>
    <n v="0"/>
    <n v="41"/>
    <n v="4"/>
    <n v="77"/>
    <n v="0"/>
    <n v="0"/>
    <n v="11"/>
    <n v="0"/>
    <n v="0"/>
    <n v="0"/>
    <n v="6"/>
  </r>
  <r>
    <x v="7"/>
    <x v="5"/>
    <n v="1414"/>
    <n v="384"/>
    <n v="0"/>
    <n v="1"/>
    <n v="65"/>
    <n v="2"/>
    <n v="78"/>
    <n v="0"/>
    <n v="0"/>
    <n v="11"/>
    <n v="0"/>
    <n v="0"/>
    <n v="0"/>
    <n v="6"/>
  </r>
  <r>
    <x v="7"/>
    <x v="6"/>
    <n v="1271"/>
    <n v="354"/>
    <n v="0"/>
    <n v="0"/>
    <n v="38"/>
    <n v="0"/>
    <n v="115"/>
    <n v="0"/>
    <n v="0"/>
    <n v="3"/>
    <n v="0"/>
    <n v="0"/>
    <n v="0"/>
    <n v="6"/>
  </r>
  <r>
    <x v="7"/>
    <x v="7"/>
    <n v="1023"/>
    <n v="329"/>
    <n v="0"/>
    <n v="0"/>
    <n v="30"/>
    <n v="0"/>
    <n v="142"/>
    <n v="0"/>
    <n v="2"/>
    <n v="0"/>
    <n v="0"/>
    <n v="0"/>
    <n v="0"/>
    <n v="6"/>
  </r>
  <r>
    <x v="7"/>
    <x v="8"/>
    <n v="902"/>
    <n v="350"/>
    <n v="0"/>
    <n v="0"/>
    <n v="15"/>
    <n v="0"/>
    <n v="101"/>
    <n v="6"/>
    <n v="7"/>
    <n v="0"/>
    <n v="0"/>
    <n v="2"/>
    <n v="0"/>
    <n v="6"/>
  </r>
  <r>
    <x v="7"/>
    <x v="9"/>
    <n v="1419"/>
    <n v="475"/>
    <n v="0"/>
    <n v="4"/>
    <n v="20"/>
    <n v="0"/>
    <n v="153"/>
    <n v="1"/>
    <n v="2"/>
    <n v="29"/>
    <n v="0"/>
    <n v="0"/>
    <n v="0"/>
    <n v="6"/>
  </r>
  <r>
    <x v="7"/>
    <x v="10"/>
    <n v="1182"/>
    <n v="357"/>
    <n v="0"/>
    <n v="4"/>
    <n v="30"/>
    <n v="0"/>
    <n v="151"/>
    <n v="5"/>
    <n v="3"/>
    <n v="13"/>
    <n v="0"/>
    <n v="0"/>
    <n v="0"/>
    <n v="6"/>
  </r>
  <r>
    <x v="7"/>
    <x v="11"/>
    <n v="1215"/>
    <n v="385"/>
    <n v="0"/>
    <n v="5"/>
    <n v="57"/>
    <n v="0"/>
    <n v="123"/>
    <n v="1"/>
    <n v="4"/>
    <n v="5"/>
    <n v="0"/>
    <n v="1"/>
    <n v="0"/>
    <n v="6"/>
  </r>
  <r>
    <x v="8"/>
    <x v="0"/>
    <n v="1823"/>
    <n v="1050"/>
    <n v="0"/>
    <n v="13"/>
    <n v="23"/>
    <n v="10"/>
    <n v="179"/>
    <n v="1"/>
    <n v="12"/>
    <n v="59"/>
    <n v="0"/>
    <n v="0"/>
    <n v="0"/>
    <n v="6"/>
  </r>
  <r>
    <x v="8"/>
    <x v="1"/>
    <n v="1630"/>
    <n v="1071"/>
    <n v="0"/>
    <n v="8"/>
    <n v="15"/>
    <n v="5"/>
    <n v="154"/>
    <n v="1"/>
    <n v="2"/>
    <n v="56"/>
    <n v="0"/>
    <n v="0"/>
    <n v="1"/>
    <n v="6"/>
  </r>
  <r>
    <x v="8"/>
    <x v="2"/>
    <n v="3070"/>
    <n v="1338"/>
    <n v="2"/>
    <n v="2"/>
    <n v="98"/>
    <n v="44"/>
    <n v="256"/>
    <n v="3"/>
    <n v="4"/>
    <n v="64"/>
    <n v="0"/>
    <n v="0"/>
    <n v="0"/>
    <n v="6"/>
  </r>
  <r>
    <x v="8"/>
    <x v="3"/>
    <n v="4500"/>
    <n v="1334"/>
    <n v="2"/>
    <n v="0"/>
    <n v="88"/>
    <n v="46"/>
    <n v="288"/>
    <n v="4"/>
    <n v="4"/>
    <n v="56"/>
    <n v="0"/>
    <n v="4"/>
    <n v="5"/>
    <n v="6"/>
  </r>
  <r>
    <x v="8"/>
    <x v="4"/>
    <n v="3243"/>
    <n v="1110"/>
    <n v="0"/>
    <n v="0"/>
    <n v="44"/>
    <n v="66"/>
    <n v="267"/>
    <n v="6"/>
    <n v="1"/>
    <n v="64"/>
    <n v="0"/>
    <n v="0"/>
    <n v="0"/>
    <n v="6"/>
  </r>
  <r>
    <x v="8"/>
    <x v="5"/>
    <n v="3032"/>
    <n v="1453"/>
    <n v="0"/>
    <n v="0"/>
    <n v="75"/>
    <n v="14"/>
    <n v="362"/>
    <n v="7"/>
    <n v="0"/>
    <n v="78"/>
    <n v="0"/>
    <n v="2"/>
    <n v="0"/>
    <n v="6"/>
  </r>
  <r>
    <x v="8"/>
    <x v="6"/>
    <n v="2306"/>
    <n v="1292"/>
    <n v="0"/>
    <n v="0"/>
    <n v="20"/>
    <n v="2"/>
    <n v="396"/>
    <n v="20"/>
    <n v="0"/>
    <n v="64"/>
    <n v="0"/>
    <n v="0"/>
    <n v="0"/>
    <n v="6"/>
  </r>
  <r>
    <x v="8"/>
    <x v="7"/>
    <n v="1851"/>
    <n v="1134"/>
    <n v="0"/>
    <n v="0"/>
    <n v="33"/>
    <n v="8"/>
    <n v="411"/>
    <n v="14"/>
    <n v="0"/>
    <n v="41"/>
    <n v="0"/>
    <n v="3"/>
    <n v="0"/>
    <n v="6"/>
  </r>
  <r>
    <x v="8"/>
    <x v="8"/>
    <n v="1697"/>
    <n v="1274"/>
    <n v="0"/>
    <n v="0"/>
    <n v="21"/>
    <n v="2"/>
    <n v="350"/>
    <n v="10"/>
    <n v="12"/>
    <n v="73"/>
    <n v="0"/>
    <n v="0"/>
    <n v="0"/>
    <n v="6"/>
  </r>
  <r>
    <x v="8"/>
    <x v="9"/>
    <n v="2631"/>
    <n v="1606"/>
    <n v="0"/>
    <n v="1"/>
    <n v="16"/>
    <n v="4"/>
    <n v="291"/>
    <n v="8"/>
    <n v="28"/>
    <n v="100"/>
    <n v="0"/>
    <n v="0"/>
    <n v="0"/>
    <n v="6"/>
  </r>
  <r>
    <x v="8"/>
    <x v="10"/>
    <n v="2827"/>
    <n v="1478"/>
    <n v="0"/>
    <n v="13"/>
    <n v="30"/>
    <n v="0"/>
    <n v="365"/>
    <n v="9"/>
    <n v="80"/>
    <n v="96"/>
    <n v="0"/>
    <n v="0"/>
    <n v="2"/>
    <n v="6"/>
  </r>
  <r>
    <x v="8"/>
    <x v="11"/>
    <n v="2793"/>
    <n v="1472"/>
    <n v="0"/>
    <n v="8"/>
    <n v="60"/>
    <n v="12"/>
    <n v="267"/>
    <n v="5"/>
    <n v="26"/>
    <n v="84"/>
    <n v="0"/>
    <n v="0"/>
    <n v="0"/>
    <n v="6"/>
  </r>
  <r>
    <x v="9"/>
    <x v="0"/>
    <n v="1593"/>
    <n v="1212"/>
    <n v="0"/>
    <n v="25"/>
    <n v="45"/>
    <n v="6"/>
    <n v="192"/>
    <n v="57"/>
    <n v="15"/>
    <n v="87"/>
    <n v="0"/>
    <n v="0"/>
    <n v="0"/>
    <n v="6"/>
  </r>
  <r>
    <x v="9"/>
    <x v="1"/>
    <n v="1434"/>
    <n v="1304"/>
    <n v="0"/>
    <n v="10"/>
    <n v="23"/>
    <n v="10"/>
    <n v="176"/>
    <n v="52"/>
    <n v="11"/>
    <n v="79"/>
    <n v="0"/>
    <n v="0"/>
    <n v="0"/>
    <n v="6"/>
  </r>
  <r>
    <x v="9"/>
    <x v="2"/>
    <n v="2290"/>
    <n v="1537"/>
    <n v="3"/>
    <n v="0"/>
    <n v="122"/>
    <n v="84"/>
    <n v="287"/>
    <n v="69"/>
    <n v="11"/>
    <n v="109"/>
    <n v="0"/>
    <n v="0"/>
    <n v="1"/>
    <n v="6"/>
  </r>
  <r>
    <x v="9"/>
    <x v="3"/>
    <n v="4339"/>
    <n v="1401"/>
    <n v="3"/>
    <n v="1"/>
    <n v="94"/>
    <n v="167"/>
    <n v="471"/>
    <n v="106"/>
    <n v="4"/>
    <n v="96"/>
    <n v="0"/>
    <n v="0"/>
    <n v="7"/>
    <n v="6"/>
  </r>
  <r>
    <x v="9"/>
    <x v="4"/>
    <n v="2677"/>
    <n v="1208"/>
    <n v="0"/>
    <n v="0"/>
    <n v="64"/>
    <n v="65"/>
    <n v="320"/>
    <n v="99"/>
    <n v="12"/>
    <n v="69"/>
    <n v="0"/>
    <n v="0"/>
    <n v="10"/>
    <n v="6"/>
  </r>
  <r>
    <x v="9"/>
    <x v="5"/>
    <n v="2667"/>
    <n v="1494"/>
    <n v="0"/>
    <n v="0"/>
    <n v="65"/>
    <n v="55"/>
    <n v="391"/>
    <n v="104"/>
    <n v="7"/>
    <n v="140"/>
    <n v="0"/>
    <n v="1"/>
    <n v="1"/>
    <n v="6"/>
  </r>
  <r>
    <x v="9"/>
    <x v="6"/>
    <n v="1929"/>
    <n v="1257"/>
    <n v="0"/>
    <n v="0"/>
    <n v="33"/>
    <n v="16"/>
    <n v="379"/>
    <n v="134"/>
    <n v="5"/>
    <n v="108"/>
    <n v="0"/>
    <n v="0"/>
    <n v="0"/>
    <n v="6"/>
  </r>
  <r>
    <x v="9"/>
    <x v="7"/>
    <n v="1584"/>
    <n v="1265"/>
    <n v="0"/>
    <n v="0"/>
    <n v="10"/>
    <n v="0"/>
    <n v="256"/>
    <n v="128"/>
    <n v="1"/>
    <n v="88"/>
    <n v="0"/>
    <n v="0"/>
    <n v="0"/>
    <n v="6"/>
  </r>
  <r>
    <x v="9"/>
    <x v="8"/>
    <n v="1566"/>
    <n v="1405"/>
    <n v="0"/>
    <n v="0"/>
    <n v="20"/>
    <n v="3"/>
    <n v="177"/>
    <n v="101"/>
    <n v="0"/>
    <n v="112"/>
    <n v="0"/>
    <n v="0"/>
    <n v="0"/>
    <n v="6"/>
  </r>
  <r>
    <x v="9"/>
    <x v="9"/>
    <n v="2330"/>
    <n v="1812"/>
    <n v="0"/>
    <n v="9"/>
    <n v="33"/>
    <n v="1"/>
    <n v="259"/>
    <n v="134"/>
    <n v="10"/>
    <n v="110"/>
    <n v="1"/>
    <n v="0"/>
    <n v="2"/>
    <n v="6"/>
  </r>
  <r>
    <x v="9"/>
    <x v="10"/>
    <n v="2584"/>
    <n v="1664"/>
    <n v="0"/>
    <n v="25"/>
    <n v="39"/>
    <n v="0"/>
    <n v="279"/>
    <n v="86"/>
    <n v="36"/>
    <n v="92"/>
    <n v="0"/>
    <n v="0"/>
    <n v="0"/>
    <n v="6"/>
  </r>
  <r>
    <x v="9"/>
    <x v="11"/>
    <n v="2390"/>
    <n v="1705"/>
    <n v="0"/>
    <n v="16"/>
    <n v="73"/>
    <n v="3"/>
    <n v="350"/>
    <n v="100"/>
    <n v="24"/>
    <n v="84"/>
    <n v="0"/>
    <n v="0"/>
    <n v="0"/>
    <n v="6"/>
  </r>
  <r>
    <x v="10"/>
    <x v="0"/>
    <n v="779"/>
    <n v="262"/>
    <n v="0"/>
    <n v="18"/>
    <n v="12"/>
    <n v="1"/>
    <n v="344"/>
    <n v="28"/>
    <n v="4"/>
    <n v="28"/>
    <n v="0"/>
    <n v="0"/>
    <n v="0"/>
    <n v="6"/>
  </r>
  <r>
    <x v="10"/>
    <x v="1"/>
    <n v="625"/>
    <n v="285"/>
    <n v="0"/>
    <n v="7"/>
    <n v="11"/>
    <n v="10"/>
    <n v="213"/>
    <n v="36"/>
    <n v="8"/>
    <n v="23"/>
    <n v="0"/>
    <n v="0"/>
    <n v="0"/>
    <n v="6"/>
  </r>
  <r>
    <x v="10"/>
    <x v="2"/>
    <n v="1322"/>
    <n v="343"/>
    <n v="4"/>
    <n v="1"/>
    <n v="49"/>
    <n v="44"/>
    <n v="538"/>
    <n v="41"/>
    <n v="13"/>
    <n v="36"/>
    <n v="0"/>
    <n v="0"/>
    <n v="1"/>
    <n v="6"/>
  </r>
  <r>
    <x v="10"/>
    <x v="3"/>
    <n v="2383"/>
    <n v="449"/>
    <n v="3"/>
    <n v="4"/>
    <n v="73"/>
    <n v="110"/>
    <n v="880"/>
    <n v="35"/>
    <n v="4"/>
    <n v="37"/>
    <n v="0"/>
    <n v="0"/>
    <n v="5"/>
    <n v="6"/>
  </r>
  <r>
    <x v="10"/>
    <x v="4"/>
    <n v="1456"/>
    <n v="410"/>
    <n v="0"/>
    <n v="1"/>
    <n v="31"/>
    <n v="51"/>
    <n v="541"/>
    <n v="20"/>
    <n v="9"/>
    <n v="19"/>
    <n v="0"/>
    <n v="0"/>
    <n v="2"/>
    <n v="6"/>
  </r>
  <r>
    <x v="10"/>
    <x v="5"/>
    <n v="1464"/>
    <n v="430"/>
    <n v="0"/>
    <n v="0"/>
    <n v="20"/>
    <n v="20"/>
    <n v="566"/>
    <n v="32"/>
    <n v="2"/>
    <n v="26"/>
    <n v="0"/>
    <n v="0"/>
    <n v="1"/>
    <n v="6"/>
  </r>
  <r>
    <x v="10"/>
    <x v="6"/>
    <n v="1248"/>
    <n v="392"/>
    <n v="0"/>
    <n v="4"/>
    <n v="14"/>
    <n v="6"/>
    <n v="467"/>
    <n v="97"/>
    <n v="22"/>
    <n v="44"/>
    <n v="0"/>
    <n v="0"/>
    <n v="0"/>
    <n v="6"/>
  </r>
  <r>
    <x v="10"/>
    <x v="7"/>
    <n v="939"/>
    <n v="254"/>
    <n v="0"/>
    <n v="1"/>
    <n v="4"/>
    <n v="0"/>
    <n v="310"/>
    <n v="60"/>
    <n v="19"/>
    <n v="25"/>
    <n v="0"/>
    <n v="0"/>
    <n v="0"/>
    <n v="6"/>
  </r>
  <r>
    <x v="10"/>
    <x v="8"/>
    <n v="825"/>
    <n v="328"/>
    <n v="0"/>
    <n v="0"/>
    <n v="3"/>
    <n v="3"/>
    <n v="322"/>
    <n v="54"/>
    <n v="18"/>
    <n v="37"/>
    <n v="0"/>
    <n v="0"/>
    <n v="0"/>
    <n v="6"/>
  </r>
  <r>
    <x v="10"/>
    <x v="9"/>
    <n v="1366"/>
    <n v="406"/>
    <n v="0"/>
    <n v="2"/>
    <n v="8"/>
    <n v="0"/>
    <n v="487"/>
    <n v="145"/>
    <n v="43"/>
    <n v="44"/>
    <n v="0"/>
    <n v="0"/>
    <n v="0"/>
    <n v="6"/>
  </r>
  <r>
    <x v="10"/>
    <x v="10"/>
    <n v="1263"/>
    <n v="339"/>
    <n v="0"/>
    <n v="23"/>
    <n v="11"/>
    <n v="7"/>
    <n v="441"/>
    <n v="95"/>
    <n v="28"/>
    <n v="31"/>
    <n v="0"/>
    <n v="0"/>
    <n v="0"/>
    <n v="6"/>
  </r>
  <r>
    <x v="10"/>
    <x v="11"/>
    <n v="1020"/>
    <n v="307"/>
    <n v="0"/>
    <n v="13"/>
    <n v="13"/>
    <n v="4"/>
    <n v="439"/>
    <n v="54"/>
    <n v="18"/>
    <n v="17"/>
    <n v="0"/>
    <n v="0"/>
    <n v="0"/>
    <n v="6"/>
  </r>
  <r>
    <x v="11"/>
    <x v="0"/>
    <n v="1286"/>
    <n v="569"/>
    <n v="0"/>
    <n v="23"/>
    <n v="53"/>
    <n v="11"/>
    <n v="402"/>
    <n v="0"/>
    <n v="62"/>
    <n v="220"/>
    <n v="0"/>
    <n v="0"/>
    <n v="0"/>
    <n v="6"/>
  </r>
  <r>
    <x v="11"/>
    <x v="1"/>
    <n v="1061"/>
    <n v="518"/>
    <n v="0"/>
    <n v="20"/>
    <n v="28"/>
    <n v="1"/>
    <n v="303"/>
    <n v="0"/>
    <n v="14"/>
    <n v="149"/>
    <n v="0"/>
    <n v="0"/>
    <n v="0"/>
    <n v="6"/>
  </r>
  <r>
    <x v="11"/>
    <x v="2"/>
    <n v="2027"/>
    <n v="646"/>
    <n v="0"/>
    <n v="4"/>
    <n v="217"/>
    <n v="196"/>
    <n v="380"/>
    <n v="0"/>
    <n v="13"/>
    <n v="233"/>
    <n v="0"/>
    <n v="0"/>
    <n v="1"/>
    <n v="6"/>
  </r>
  <r>
    <x v="11"/>
    <x v="3"/>
    <n v="3453"/>
    <n v="754"/>
    <n v="1"/>
    <n v="2"/>
    <n v="133"/>
    <n v="302"/>
    <n v="583"/>
    <n v="0"/>
    <n v="10"/>
    <n v="242"/>
    <n v="0"/>
    <n v="0"/>
    <n v="1"/>
    <n v="6"/>
  </r>
  <r>
    <x v="11"/>
    <x v="4"/>
    <n v="2307"/>
    <n v="660"/>
    <n v="0"/>
    <n v="0"/>
    <n v="113"/>
    <n v="144"/>
    <n v="407"/>
    <n v="0"/>
    <n v="2"/>
    <n v="217"/>
    <n v="0"/>
    <n v="0"/>
    <n v="1"/>
    <n v="6"/>
  </r>
  <r>
    <x v="11"/>
    <x v="5"/>
    <n v="1923"/>
    <n v="681"/>
    <n v="0"/>
    <n v="0"/>
    <n v="162"/>
    <n v="111"/>
    <n v="417"/>
    <n v="1"/>
    <n v="13"/>
    <n v="224"/>
    <n v="0"/>
    <n v="0"/>
    <n v="3"/>
    <n v="6"/>
  </r>
  <r>
    <x v="11"/>
    <x v="6"/>
    <n v="1852"/>
    <n v="711"/>
    <n v="0"/>
    <n v="0"/>
    <n v="103"/>
    <n v="62"/>
    <n v="507"/>
    <n v="1"/>
    <n v="12"/>
    <n v="236"/>
    <n v="0"/>
    <n v="0"/>
    <n v="1"/>
    <n v="6"/>
  </r>
  <r>
    <x v="11"/>
    <x v="7"/>
    <n v="1465"/>
    <n v="579"/>
    <n v="0"/>
    <n v="0"/>
    <n v="65"/>
    <n v="4"/>
    <n v="481"/>
    <n v="2"/>
    <n v="13"/>
    <n v="173"/>
    <n v="0"/>
    <n v="2"/>
    <n v="0"/>
    <n v="6"/>
  </r>
  <r>
    <x v="11"/>
    <x v="8"/>
    <n v="1293"/>
    <n v="622"/>
    <n v="0"/>
    <n v="1"/>
    <n v="46"/>
    <n v="0"/>
    <n v="385"/>
    <n v="0"/>
    <n v="20"/>
    <n v="178"/>
    <n v="0"/>
    <n v="0"/>
    <n v="0"/>
    <n v="6"/>
  </r>
  <r>
    <x v="11"/>
    <x v="9"/>
    <n v="1824"/>
    <n v="749"/>
    <n v="0"/>
    <n v="13"/>
    <n v="59"/>
    <n v="15"/>
    <n v="470"/>
    <n v="2"/>
    <n v="69"/>
    <n v="212"/>
    <n v="0"/>
    <n v="1"/>
    <n v="2"/>
    <n v="6"/>
  </r>
  <r>
    <x v="11"/>
    <x v="10"/>
    <n v="1799"/>
    <n v="683"/>
    <n v="0"/>
    <n v="45"/>
    <n v="48"/>
    <n v="0"/>
    <n v="502"/>
    <n v="5"/>
    <n v="88"/>
    <n v="217"/>
    <n v="0"/>
    <n v="0"/>
    <n v="0"/>
    <n v="6"/>
  </r>
  <r>
    <x v="11"/>
    <x v="11"/>
    <n v="1786"/>
    <n v="661"/>
    <n v="0"/>
    <n v="36"/>
    <n v="115"/>
    <n v="7"/>
    <n v="500"/>
    <n v="0"/>
    <n v="95"/>
    <n v="209"/>
    <n v="0"/>
    <n v="0"/>
    <n v="0"/>
    <n v="6"/>
  </r>
  <r>
    <x v="12"/>
    <x v="0"/>
    <n v="708"/>
    <n v="666"/>
    <n v="0"/>
    <n v="2"/>
    <n v="10"/>
    <n v="1"/>
    <n v="63"/>
    <n v="8"/>
    <n v="2"/>
    <n v="33"/>
    <n v="0"/>
    <n v="0"/>
    <n v="1"/>
    <n v="1"/>
  </r>
  <r>
    <x v="12"/>
    <x v="1"/>
    <n v="621"/>
    <n v="731"/>
    <n v="2"/>
    <n v="0"/>
    <n v="23"/>
    <n v="8"/>
    <n v="67"/>
    <n v="13"/>
    <n v="0"/>
    <n v="71"/>
    <n v="0"/>
    <n v="0"/>
    <n v="0"/>
    <n v="0"/>
  </r>
  <r>
    <x v="12"/>
    <x v="2"/>
    <n v="1330"/>
    <n v="889"/>
    <n v="0"/>
    <n v="2"/>
    <n v="34"/>
    <n v="12"/>
    <n v="127"/>
    <n v="11"/>
    <n v="8"/>
    <n v="66"/>
    <n v="0"/>
    <n v="0"/>
    <n v="0"/>
    <n v="1"/>
  </r>
  <r>
    <x v="12"/>
    <x v="3"/>
    <n v="2342"/>
    <n v="947"/>
    <n v="2"/>
    <n v="1"/>
    <n v="60"/>
    <n v="50"/>
    <n v="225"/>
    <n v="11"/>
    <n v="0"/>
    <n v="85"/>
    <n v="0"/>
    <n v="0"/>
    <n v="3"/>
    <n v="4"/>
  </r>
  <r>
    <x v="12"/>
    <x v="4"/>
    <n v="1523"/>
    <n v="775"/>
    <n v="0"/>
    <n v="0"/>
    <n v="33"/>
    <n v="17"/>
    <n v="185"/>
    <n v="20"/>
    <n v="0"/>
    <n v="38"/>
    <n v="0"/>
    <n v="0"/>
    <n v="0"/>
    <n v="1"/>
  </r>
  <r>
    <x v="12"/>
    <x v="5"/>
    <n v="1304"/>
    <n v="1007"/>
    <n v="0"/>
    <n v="4"/>
    <n v="19"/>
    <n v="6"/>
    <n v="154"/>
    <n v="18"/>
    <n v="13"/>
    <n v="59"/>
    <n v="0"/>
    <n v="0"/>
    <n v="4"/>
    <n v="5"/>
  </r>
  <r>
    <x v="12"/>
    <x v="6"/>
    <n v="864"/>
    <n v="757"/>
    <n v="0"/>
    <n v="0"/>
    <n v="13"/>
    <n v="10"/>
    <n v="141"/>
    <n v="39"/>
    <n v="0"/>
    <n v="40"/>
    <n v="0"/>
    <n v="0"/>
    <n v="0"/>
    <n v="3"/>
  </r>
  <r>
    <x v="12"/>
    <x v="7"/>
    <n v="644"/>
    <n v="621"/>
    <n v="0"/>
    <n v="0"/>
    <n v="6"/>
    <n v="0"/>
    <n v="142"/>
    <n v="29"/>
    <n v="0"/>
    <n v="48"/>
    <n v="0"/>
    <n v="0"/>
    <n v="0"/>
    <m/>
  </r>
  <r>
    <x v="12"/>
    <x v="8"/>
    <n v="656"/>
    <n v="777"/>
    <n v="0"/>
    <n v="0"/>
    <n v="5"/>
    <n v="4"/>
    <n v="101"/>
    <n v="39"/>
    <n v="3"/>
    <n v="70"/>
    <n v="0"/>
    <n v="0"/>
    <n v="0"/>
    <n v="0"/>
  </r>
  <r>
    <x v="12"/>
    <x v="9"/>
    <n v="1035"/>
    <n v="1022"/>
    <n v="0"/>
    <n v="0"/>
    <n v="12"/>
    <n v="11"/>
    <n v="196"/>
    <n v="31"/>
    <n v="36"/>
    <n v="120"/>
    <n v="0"/>
    <n v="0"/>
    <n v="1"/>
    <n v="5"/>
  </r>
  <r>
    <x v="12"/>
    <x v="10"/>
    <n v="1072"/>
    <n v="845"/>
    <n v="0"/>
    <n v="12"/>
    <n v="23"/>
    <n v="8"/>
    <n v="153"/>
    <n v="23"/>
    <n v="11"/>
    <n v="57"/>
    <n v="0"/>
    <n v="0"/>
    <n v="2"/>
    <n v="4"/>
  </r>
  <r>
    <x v="12"/>
    <x v="11"/>
    <n v="1197"/>
    <n v="910"/>
    <n v="0"/>
    <n v="3"/>
    <n v="14"/>
    <n v="0"/>
    <n v="170"/>
    <n v="15"/>
    <n v="10"/>
    <n v="59"/>
    <n v="0"/>
    <n v="0"/>
    <n v="0"/>
    <n v="2"/>
  </r>
  <r>
    <x v="13"/>
    <x v="0"/>
    <n v="1162"/>
    <n v="512"/>
    <n v="0"/>
    <n v="23"/>
    <n v="33"/>
    <n v="30"/>
    <n v="151"/>
    <n v="107"/>
    <n v="20"/>
    <n v="105"/>
    <n v="0"/>
    <n v="0"/>
    <n v="0"/>
    <n v="0"/>
  </r>
  <r>
    <x v="13"/>
    <x v="1"/>
    <n v="1047"/>
    <n v="510"/>
    <n v="0"/>
    <n v="34"/>
    <n v="25"/>
    <n v="44"/>
    <n v="175"/>
    <n v="94"/>
    <n v="19"/>
    <n v="121"/>
    <n v="0"/>
    <n v="1"/>
    <n v="0"/>
    <n v="2"/>
  </r>
  <r>
    <x v="13"/>
    <x v="2"/>
    <n v="1728"/>
    <n v="616"/>
    <n v="2"/>
    <n v="11"/>
    <n v="128"/>
    <n v="129"/>
    <n v="204"/>
    <n v="103"/>
    <n v="23"/>
    <n v="149"/>
    <n v="0"/>
    <n v="2"/>
    <n v="2"/>
    <n v="7"/>
  </r>
  <r>
    <x v="13"/>
    <x v="3"/>
    <n v="3171"/>
    <n v="880"/>
    <n v="5"/>
    <n v="7"/>
    <n v="181"/>
    <n v="325"/>
    <n v="451"/>
    <n v="205"/>
    <n v="26"/>
    <n v="197"/>
    <n v="0"/>
    <n v="11"/>
    <n v="7"/>
    <n v="8"/>
  </r>
  <r>
    <x v="13"/>
    <x v="4"/>
    <n v="2071"/>
    <n v="691"/>
    <n v="0"/>
    <n v="5"/>
    <n v="97"/>
    <n v="198"/>
    <n v="346"/>
    <n v="161"/>
    <n v="28"/>
    <n v="172"/>
    <n v="0"/>
    <n v="8"/>
    <n v="4"/>
    <n v="14"/>
  </r>
  <r>
    <x v="13"/>
    <x v="5"/>
    <n v="1869"/>
    <n v="820"/>
    <n v="0"/>
    <n v="2"/>
    <n v="45"/>
    <n v="129"/>
    <n v="325"/>
    <n v="208"/>
    <n v="27"/>
    <n v="170"/>
    <n v="0"/>
    <n v="25"/>
    <n v="1"/>
    <n v="6"/>
  </r>
  <r>
    <x v="13"/>
    <x v="6"/>
    <n v="1545"/>
    <n v="680"/>
    <n v="0"/>
    <n v="1"/>
    <n v="53"/>
    <n v="30"/>
    <n v="293"/>
    <n v="212"/>
    <n v="30"/>
    <n v="148"/>
    <n v="0"/>
    <n v="23"/>
    <n v="0"/>
    <n v="12"/>
  </r>
  <r>
    <x v="13"/>
    <x v="7"/>
    <n v="1049"/>
    <n v="488"/>
    <n v="0"/>
    <n v="7"/>
    <n v="7"/>
    <n v="9"/>
    <n v="182"/>
    <n v="148"/>
    <n v="17"/>
    <n v="115"/>
    <n v="0"/>
    <n v="7"/>
    <n v="0"/>
    <n v="16"/>
  </r>
  <r>
    <x v="13"/>
    <x v="8"/>
    <n v="1242"/>
    <n v="586"/>
    <n v="0"/>
    <n v="9"/>
    <n v="21"/>
    <n v="17"/>
    <n v="243"/>
    <n v="204"/>
    <n v="58"/>
    <n v="149"/>
    <n v="0"/>
    <n v="0"/>
    <n v="0"/>
    <n v="0"/>
  </r>
  <r>
    <x v="13"/>
    <x v="9"/>
    <n v="1746"/>
    <n v="709"/>
    <n v="0"/>
    <n v="24"/>
    <n v="28"/>
    <n v="38"/>
    <n v="273"/>
    <n v="220"/>
    <n v="99"/>
    <n v="163"/>
    <n v="0"/>
    <n v="5"/>
    <n v="0"/>
    <m/>
  </r>
  <r>
    <x v="13"/>
    <x v="10"/>
    <n v="1758"/>
    <n v="640"/>
    <n v="0"/>
    <n v="17"/>
    <n v="27"/>
    <n v="71"/>
    <n v="297"/>
    <n v="210"/>
    <n v="61"/>
    <n v="139"/>
    <n v="0"/>
    <n v="0"/>
    <n v="0"/>
    <n v="13"/>
  </r>
  <r>
    <x v="13"/>
    <x v="11"/>
    <n v="1751"/>
    <n v="622"/>
    <n v="0"/>
    <n v="23"/>
    <n v="65"/>
    <n v="21"/>
    <n v="242"/>
    <n v="165"/>
    <n v="51"/>
    <n v="169"/>
    <n v="0"/>
    <n v="3"/>
    <n v="0"/>
    <n v="4"/>
  </r>
  <r>
    <x v="14"/>
    <x v="0"/>
    <n v="1353"/>
    <n v="479"/>
    <n v="0"/>
    <n v="6"/>
    <n v="35"/>
    <n v="0"/>
    <n v="182"/>
    <n v="38"/>
    <n v="1"/>
    <n v="23"/>
    <n v="0"/>
    <n v="0"/>
    <n v="0"/>
    <n v="2"/>
  </r>
  <r>
    <x v="14"/>
    <x v="1"/>
    <n v="1083"/>
    <n v="448"/>
    <n v="0"/>
    <n v="3"/>
    <n v="15"/>
    <n v="0"/>
    <n v="128"/>
    <n v="25"/>
    <n v="0"/>
    <n v="10"/>
    <n v="0"/>
    <n v="0"/>
    <n v="0"/>
    <n v="5"/>
  </r>
  <r>
    <x v="14"/>
    <x v="2"/>
    <n v="1917"/>
    <n v="637"/>
    <n v="1"/>
    <n v="1"/>
    <n v="130"/>
    <n v="7"/>
    <n v="186"/>
    <n v="60"/>
    <n v="3"/>
    <n v="16"/>
    <n v="0"/>
    <n v="0"/>
    <n v="0"/>
    <n v="1"/>
  </r>
  <r>
    <x v="14"/>
    <x v="3"/>
    <n v="3054"/>
    <n v="642"/>
    <n v="2"/>
    <n v="2"/>
    <n v="132"/>
    <n v="18"/>
    <n v="225"/>
    <n v="62"/>
    <n v="0"/>
    <n v="19"/>
    <n v="0"/>
    <n v="0"/>
    <n v="2"/>
    <n v="1"/>
  </r>
  <r>
    <x v="14"/>
    <x v="4"/>
    <n v="1876"/>
    <n v="525"/>
    <n v="0"/>
    <n v="0"/>
    <n v="78"/>
    <n v="11"/>
    <n v="152"/>
    <n v="51"/>
    <n v="1"/>
    <n v="20"/>
    <n v="0"/>
    <n v="0"/>
    <n v="0"/>
    <n v="1"/>
  </r>
  <r>
    <x v="14"/>
    <x v="5"/>
    <n v="1926"/>
    <n v="564"/>
    <n v="0"/>
    <n v="0"/>
    <n v="68"/>
    <n v="2"/>
    <n v="290"/>
    <n v="45"/>
    <n v="2"/>
    <n v="26"/>
    <n v="0"/>
    <n v="0"/>
    <n v="0"/>
    <n v="0"/>
  </r>
  <r>
    <x v="14"/>
    <x v="6"/>
    <n v="2093"/>
    <n v="605"/>
    <n v="0"/>
    <n v="0"/>
    <n v="47"/>
    <n v="0"/>
    <n v="250"/>
    <n v="94"/>
    <n v="0"/>
    <n v="22"/>
    <n v="0"/>
    <n v="0"/>
    <n v="0"/>
    <n v="6"/>
  </r>
  <r>
    <x v="14"/>
    <x v="7"/>
    <n v="1452"/>
    <n v="427"/>
    <n v="0"/>
    <n v="0"/>
    <n v="41"/>
    <n v="0"/>
    <n v="180"/>
    <n v="84"/>
    <n v="1"/>
    <n v="23"/>
    <n v="0"/>
    <n v="0"/>
    <n v="0"/>
    <m/>
  </r>
  <r>
    <x v="14"/>
    <x v="8"/>
    <n v="1578"/>
    <n v="603"/>
    <n v="0"/>
    <n v="0"/>
    <n v="28"/>
    <n v="0"/>
    <n v="174"/>
    <n v="79"/>
    <n v="9"/>
    <n v="46"/>
    <n v="0"/>
    <n v="0"/>
    <n v="0"/>
    <n v="0"/>
  </r>
  <r>
    <x v="14"/>
    <x v="9"/>
    <n v="2094"/>
    <n v="786"/>
    <n v="0"/>
    <n v="1"/>
    <n v="40"/>
    <n v="0"/>
    <n v="241"/>
    <n v="119"/>
    <n v="32"/>
    <n v="44"/>
    <n v="0"/>
    <n v="0"/>
    <n v="0"/>
    <n v="2"/>
  </r>
  <r>
    <x v="14"/>
    <x v="10"/>
    <n v="1538"/>
    <n v="603"/>
    <n v="0"/>
    <n v="2"/>
    <n v="18"/>
    <n v="0"/>
    <n v="229"/>
    <n v="39"/>
    <n v="8"/>
    <n v="23"/>
    <n v="0"/>
    <n v="0"/>
    <n v="0"/>
    <n v="2"/>
  </r>
  <r>
    <x v="14"/>
    <x v="11"/>
    <n v="1792"/>
    <n v="658"/>
    <n v="0"/>
    <n v="1"/>
    <n v="62"/>
    <n v="0"/>
    <n v="189"/>
    <n v="68"/>
    <n v="12"/>
    <n v="27"/>
    <n v="0"/>
    <n v="0"/>
    <n v="1"/>
    <n v="8"/>
  </r>
  <r>
    <x v="15"/>
    <x v="0"/>
    <n v="928"/>
    <n v="654"/>
    <n v="0"/>
    <n v="22"/>
    <n v="13"/>
    <n v="0"/>
    <n v="218"/>
    <n v="40"/>
    <n v="5"/>
    <n v="61"/>
    <n v="0"/>
    <n v="0"/>
    <n v="0"/>
    <n v="1"/>
  </r>
  <r>
    <x v="15"/>
    <x v="1"/>
    <n v="774"/>
    <n v="688"/>
    <n v="0"/>
    <n v="11"/>
    <n v="17"/>
    <n v="1"/>
    <n v="199"/>
    <n v="32"/>
    <n v="8"/>
    <n v="65"/>
    <n v="0"/>
    <n v="0"/>
    <n v="0"/>
    <n v="1"/>
  </r>
  <r>
    <x v="15"/>
    <x v="2"/>
    <n v="1479"/>
    <n v="781"/>
    <n v="5"/>
    <n v="0"/>
    <n v="70"/>
    <n v="50"/>
    <n v="373"/>
    <n v="53"/>
    <n v="15"/>
    <n v="115"/>
    <n v="0"/>
    <n v="0"/>
    <n v="5"/>
    <n v="5"/>
  </r>
  <r>
    <x v="15"/>
    <x v="3"/>
    <n v="2754"/>
    <n v="885"/>
    <n v="6"/>
    <n v="0"/>
    <n v="25"/>
    <n v="118"/>
    <n v="696"/>
    <n v="85"/>
    <n v="6"/>
    <n v="115"/>
    <n v="0"/>
    <n v="5"/>
    <n v="3"/>
    <n v="1"/>
  </r>
  <r>
    <x v="15"/>
    <x v="4"/>
    <n v="2282"/>
    <n v="842"/>
    <n v="0"/>
    <n v="0"/>
    <n v="14"/>
    <n v="76"/>
    <n v="594"/>
    <n v="96"/>
    <n v="23"/>
    <n v="91"/>
    <n v="0"/>
    <n v="4"/>
    <n v="1"/>
    <n v="5"/>
  </r>
  <r>
    <x v="15"/>
    <x v="5"/>
    <n v="1740"/>
    <n v="911"/>
    <n v="0"/>
    <n v="0"/>
    <n v="34"/>
    <n v="12"/>
    <n v="480"/>
    <n v="64"/>
    <n v="0"/>
    <n v="110"/>
    <n v="0"/>
    <n v="2"/>
    <n v="0"/>
    <n v="0"/>
  </r>
  <r>
    <x v="15"/>
    <x v="6"/>
    <n v="1481"/>
    <n v="835"/>
    <n v="0"/>
    <n v="0"/>
    <n v="17"/>
    <n v="7"/>
    <n v="371"/>
    <n v="139"/>
    <n v="16"/>
    <n v="126"/>
    <n v="0"/>
    <n v="0"/>
    <n v="0"/>
    <n v="3"/>
  </r>
  <r>
    <x v="15"/>
    <x v="7"/>
    <n v="1078"/>
    <n v="561"/>
    <n v="0"/>
    <n v="0"/>
    <n v="3"/>
    <n v="0"/>
    <n v="260"/>
    <n v="117"/>
    <n v="7"/>
    <n v="66"/>
    <n v="0"/>
    <n v="0"/>
    <n v="0"/>
    <n v="3"/>
  </r>
  <r>
    <x v="15"/>
    <x v="8"/>
    <n v="1000"/>
    <n v="715"/>
    <n v="0"/>
    <n v="0"/>
    <n v="7"/>
    <n v="0"/>
    <n v="255"/>
    <n v="102"/>
    <n v="25"/>
    <n v="78"/>
    <n v="0"/>
    <n v="0"/>
    <n v="0"/>
    <n v="0"/>
  </r>
  <r>
    <x v="15"/>
    <x v="9"/>
    <n v="1202"/>
    <n v="825"/>
    <n v="0"/>
    <n v="0"/>
    <n v="6"/>
    <n v="20"/>
    <n v="232"/>
    <n v="117"/>
    <n v="14"/>
    <n v="69"/>
    <n v="0"/>
    <n v="1"/>
    <n v="0"/>
    <m/>
  </r>
  <r>
    <x v="15"/>
    <x v="10"/>
    <n v="1458"/>
    <n v="795"/>
    <n v="0"/>
    <n v="12"/>
    <n v="16"/>
    <n v="8"/>
    <n v="327"/>
    <n v="100"/>
    <n v="10"/>
    <n v="113"/>
    <n v="0"/>
    <n v="1"/>
    <n v="0"/>
    <n v="5"/>
  </r>
  <r>
    <x v="15"/>
    <x v="11"/>
    <n v="1462"/>
    <n v="764"/>
    <n v="0"/>
    <n v="25"/>
    <n v="28"/>
    <n v="9"/>
    <n v="209"/>
    <n v="76"/>
    <n v="11"/>
    <n v="72"/>
    <n v="0"/>
    <n v="1"/>
    <n v="0"/>
    <n v="3"/>
  </r>
  <r>
    <x v="16"/>
    <x v="0"/>
    <n v="1534"/>
    <n v="1058"/>
    <n v="0"/>
    <n v="8"/>
    <n v="37"/>
    <n v="5"/>
    <n v="211"/>
    <n v="11"/>
    <n v="30"/>
    <n v="147"/>
    <n v="0"/>
    <n v="0"/>
    <n v="1"/>
    <n v="5"/>
  </r>
  <r>
    <x v="16"/>
    <x v="1"/>
    <n v="1116"/>
    <n v="987"/>
    <n v="0"/>
    <n v="12"/>
    <n v="16"/>
    <n v="14"/>
    <n v="173"/>
    <n v="13"/>
    <n v="6"/>
    <n v="149"/>
    <n v="0"/>
    <n v="0"/>
    <n v="0"/>
    <n v="2"/>
  </r>
  <r>
    <x v="16"/>
    <x v="2"/>
    <n v="2162"/>
    <n v="1328"/>
    <n v="3"/>
    <n v="2"/>
    <n v="81"/>
    <n v="42"/>
    <n v="343"/>
    <n v="11"/>
    <n v="2"/>
    <n v="175"/>
    <n v="0"/>
    <n v="0"/>
    <n v="4"/>
    <n v="8"/>
  </r>
  <r>
    <x v="16"/>
    <x v="3"/>
    <n v="3984"/>
    <n v="1210"/>
    <n v="4"/>
    <n v="1"/>
    <n v="144"/>
    <n v="183"/>
    <n v="454"/>
    <n v="14"/>
    <n v="0"/>
    <n v="166"/>
    <n v="0"/>
    <n v="2"/>
    <n v="15"/>
    <n v="10"/>
  </r>
  <r>
    <x v="16"/>
    <x v="4"/>
    <n v="2936"/>
    <n v="1053"/>
    <n v="0"/>
    <n v="0"/>
    <n v="110"/>
    <n v="87"/>
    <n v="367"/>
    <n v="13"/>
    <n v="0"/>
    <n v="119"/>
    <n v="0"/>
    <n v="0"/>
    <n v="3"/>
    <n v="7"/>
  </r>
  <r>
    <x v="16"/>
    <x v="5"/>
    <n v="2503"/>
    <n v="1202"/>
    <n v="0"/>
    <n v="0"/>
    <n v="88"/>
    <n v="20"/>
    <n v="382"/>
    <n v="34"/>
    <n v="1"/>
    <n v="141"/>
    <n v="0"/>
    <n v="1"/>
    <n v="0"/>
    <n v="12"/>
  </r>
  <r>
    <x v="16"/>
    <x v="6"/>
    <n v="2643"/>
    <n v="1455"/>
    <n v="0"/>
    <n v="0"/>
    <n v="79"/>
    <n v="15"/>
    <n v="412"/>
    <n v="107"/>
    <n v="4"/>
    <n v="133"/>
    <n v="0"/>
    <n v="2"/>
    <n v="0"/>
    <n v="11"/>
  </r>
  <r>
    <x v="16"/>
    <x v="7"/>
    <n v="1631"/>
    <n v="974"/>
    <n v="0"/>
    <n v="0"/>
    <n v="52"/>
    <n v="2"/>
    <n v="348"/>
    <n v="39"/>
    <n v="0"/>
    <n v="89"/>
    <n v="0"/>
    <n v="4"/>
    <n v="0"/>
    <m/>
  </r>
  <r>
    <x v="16"/>
    <x v="8"/>
    <n v="1480"/>
    <n v="1106"/>
    <n v="0"/>
    <n v="0"/>
    <n v="26"/>
    <n v="4"/>
    <n v="338"/>
    <n v="39"/>
    <n v="43"/>
    <n v="106"/>
    <n v="0"/>
    <n v="0"/>
    <n v="1"/>
    <n v="3"/>
  </r>
  <r>
    <x v="16"/>
    <x v="9"/>
    <n v="2271"/>
    <n v="1365"/>
    <n v="0"/>
    <n v="1"/>
    <n v="33"/>
    <n v="0"/>
    <n v="382"/>
    <n v="25"/>
    <n v="41"/>
    <n v="164"/>
    <n v="0"/>
    <n v="1"/>
    <n v="0"/>
    <n v="2"/>
  </r>
  <r>
    <x v="16"/>
    <x v="10"/>
    <n v="2240"/>
    <n v="1315"/>
    <n v="0"/>
    <n v="13"/>
    <n v="46"/>
    <n v="1"/>
    <n v="357"/>
    <n v="23"/>
    <n v="86"/>
    <n v="109"/>
    <n v="0"/>
    <n v="1"/>
    <n v="0"/>
    <n v="2"/>
  </r>
  <r>
    <x v="16"/>
    <x v="11"/>
    <n v="2219"/>
    <n v="1364"/>
    <n v="0"/>
    <n v="21"/>
    <n v="93"/>
    <n v="4"/>
    <n v="387"/>
    <n v="11"/>
    <n v="56"/>
    <n v="199"/>
    <n v="0"/>
    <n v="0"/>
    <n v="0"/>
    <n v="12"/>
  </r>
  <r>
    <x v="17"/>
    <x v="0"/>
    <n v="1427"/>
    <n v="748"/>
    <n v="0"/>
    <n v="4"/>
    <n v="18"/>
    <n v="7"/>
    <n v="105"/>
    <n v="4"/>
    <n v="24"/>
    <n v="33"/>
    <n v="0"/>
    <n v="0"/>
    <n v="2"/>
    <n v="3"/>
  </r>
  <r>
    <x v="17"/>
    <x v="1"/>
    <n v="1295"/>
    <n v="750"/>
    <n v="0"/>
    <n v="2"/>
    <n v="18"/>
    <n v="14"/>
    <n v="123"/>
    <n v="5"/>
    <n v="29"/>
    <n v="31"/>
    <n v="0"/>
    <n v="0"/>
    <n v="1"/>
    <n v="2"/>
  </r>
  <r>
    <x v="17"/>
    <x v="2"/>
    <n v="2595"/>
    <n v="950"/>
    <n v="1"/>
    <n v="7"/>
    <n v="87"/>
    <n v="35"/>
    <n v="185"/>
    <n v="6"/>
    <n v="27"/>
    <n v="78"/>
    <n v="0"/>
    <n v="0"/>
    <n v="3"/>
    <n v="6"/>
  </r>
  <r>
    <x v="17"/>
    <x v="3"/>
    <n v="4400"/>
    <n v="959"/>
    <n v="0"/>
    <n v="3"/>
    <n v="75"/>
    <n v="50"/>
    <n v="202"/>
    <n v="21"/>
    <n v="22"/>
    <n v="70"/>
    <n v="0"/>
    <n v="0"/>
    <n v="18"/>
    <n v="4"/>
  </r>
  <r>
    <x v="17"/>
    <x v="4"/>
    <n v="2857"/>
    <n v="750"/>
    <n v="0"/>
    <n v="2"/>
    <n v="83"/>
    <n v="41"/>
    <n v="177"/>
    <n v="14"/>
    <n v="8"/>
    <n v="54"/>
    <n v="0"/>
    <n v="0"/>
    <n v="3"/>
    <n v="5"/>
  </r>
  <r>
    <x v="17"/>
    <x v="5"/>
    <n v="2440"/>
    <n v="889"/>
    <n v="0"/>
    <n v="0"/>
    <n v="54"/>
    <n v="17"/>
    <n v="249"/>
    <n v="5"/>
    <n v="19"/>
    <n v="41"/>
    <n v="0"/>
    <n v="0"/>
    <n v="1"/>
    <n v="1"/>
  </r>
  <r>
    <x v="17"/>
    <x v="6"/>
    <n v="2053"/>
    <n v="739"/>
    <n v="0"/>
    <n v="1"/>
    <n v="10"/>
    <n v="16"/>
    <n v="245"/>
    <n v="52"/>
    <n v="6"/>
    <n v="63"/>
    <n v="0"/>
    <n v="0"/>
    <n v="0"/>
    <n v="12"/>
  </r>
  <r>
    <x v="17"/>
    <x v="7"/>
    <n v="1360"/>
    <n v="619"/>
    <n v="0"/>
    <n v="0"/>
    <n v="12"/>
    <n v="2"/>
    <n v="155"/>
    <n v="24"/>
    <n v="3"/>
    <n v="23"/>
    <n v="0"/>
    <n v="0"/>
    <n v="0"/>
    <m/>
  </r>
  <r>
    <x v="17"/>
    <x v="8"/>
    <n v="1427"/>
    <n v="846"/>
    <n v="0"/>
    <n v="0"/>
    <n v="22"/>
    <n v="5"/>
    <n v="169"/>
    <n v="32"/>
    <n v="20"/>
    <n v="45"/>
    <n v="0"/>
    <n v="0"/>
    <n v="0"/>
    <n v="3"/>
  </r>
  <r>
    <x v="17"/>
    <x v="9"/>
    <n v="2012"/>
    <n v="1060"/>
    <n v="0"/>
    <n v="1"/>
    <n v="0"/>
    <n v="34"/>
    <n v="175"/>
    <n v="28"/>
    <n v="47"/>
    <n v="60"/>
    <n v="0"/>
    <n v="0"/>
    <n v="0"/>
    <n v="13"/>
  </r>
  <r>
    <x v="17"/>
    <x v="10"/>
    <n v="1853"/>
    <n v="909"/>
    <n v="0"/>
    <n v="12"/>
    <n v="21"/>
    <n v="8"/>
    <n v="122"/>
    <n v="21"/>
    <n v="30"/>
    <n v="51"/>
    <n v="0"/>
    <n v="0"/>
    <n v="1"/>
    <n v="1"/>
  </r>
  <r>
    <x v="17"/>
    <x v="11"/>
    <n v="2169"/>
    <n v="990"/>
    <n v="0"/>
    <n v="10"/>
    <n v="39"/>
    <n v="6"/>
    <n v="214"/>
    <n v="14"/>
    <n v="22"/>
    <n v="65"/>
    <n v="0"/>
    <n v="0"/>
    <n v="3"/>
    <n v="2"/>
  </r>
  <r>
    <x v="18"/>
    <x v="0"/>
    <n v="1354"/>
    <n v="1107"/>
    <n v="0"/>
    <n v="4"/>
    <n v="16"/>
    <n v="15"/>
    <n v="86"/>
    <n v="14"/>
    <n v="3"/>
    <n v="27"/>
    <n v="0"/>
    <n v="0"/>
    <n v="0"/>
    <n v="1"/>
  </r>
  <r>
    <x v="18"/>
    <x v="1"/>
    <n v="1117"/>
    <n v="1136"/>
    <n v="0"/>
    <n v="5"/>
    <n v="44"/>
    <n v="17"/>
    <n v="65"/>
    <n v="19"/>
    <n v="4"/>
    <n v="37"/>
    <n v="0"/>
    <n v="0"/>
    <n v="0"/>
    <n v="3"/>
  </r>
  <r>
    <x v="18"/>
    <x v="2"/>
    <n v="2455"/>
    <n v="1407"/>
    <n v="10"/>
    <n v="0"/>
    <n v="149"/>
    <n v="56"/>
    <n v="185"/>
    <n v="45"/>
    <n v="4"/>
    <n v="27"/>
    <n v="0"/>
    <n v="0"/>
    <n v="1"/>
    <n v="9"/>
  </r>
  <r>
    <x v="18"/>
    <x v="3"/>
    <n v="4959"/>
    <n v="1396"/>
    <n v="1"/>
    <n v="0"/>
    <n v="156"/>
    <n v="97"/>
    <n v="190"/>
    <n v="15"/>
    <n v="3"/>
    <n v="35"/>
    <n v="0"/>
    <n v="1"/>
    <n v="7"/>
    <n v="6"/>
  </r>
  <r>
    <x v="18"/>
    <x v="4"/>
    <n v="2726"/>
    <n v="1164"/>
    <n v="0"/>
    <n v="2"/>
    <n v="73"/>
    <n v="71"/>
    <n v="192"/>
    <n v="37"/>
    <n v="0"/>
    <n v="21"/>
    <n v="0"/>
    <n v="2"/>
    <n v="0"/>
    <n v="1"/>
  </r>
  <r>
    <x v="18"/>
    <x v="5"/>
    <n v="2453"/>
    <n v="1453"/>
    <n v="1"/>
    <n v="0"/>
    <n v="76"/>
    <n v="13"/>
    <n v="262"/>
    <n v="26"/>
    <n v="4"/>
    <n v="40"/>
    <n v="0"/>
    <n v="0"/>
    <n v="0"/>
    <n v="7"/>
  </r>
  <r>
    <x v="18"/>
    <x v="6"/>
    <n v="1878"/>
    <n v="1244"/>
    <n v="0"/>
    <n v="0"/>
    <n v="63"/>
    <n v="17"/>
    <n v="204"/>
    <n v="61"/>
    <n v="0"/>
    <n v="2"/>
    <n v="0"/>
    <n v="0"/>
    <n v="0"/>
    <n v="21"/>
  </r>
  <r>
    <x v="18"/>
    <x v="7"/>
    <n v="1548"/>
    <n v="1227"/>
    <n v="0"/>
    <n v="1"/>
    <n v="25"/>
    <n v="5"/>
    <n v="206"/>
    <n v="80"/>
    <n v="1"/>
    <n v="35"/>
    <n v="0"/>
    <n v="0"/>
    <n v="0"/>
    <m/>
  </r>
  <r>
    <x v="18"/>
    <x v="8"/>
    <n v="1589"/>
    <n v="1396"/>
    <n v="0"/>
    <n v="5"/>
    <n v="29"/>
    <n v="12"/>
    <n v="187"/>
    <n v="68"/>
    <n v="24"/>
    <n v="35"/>
    <n v="0"/>
    <n v="0"/>
    <n v="0"/>
    <m/>
  </r>
  <r>
    <x v="18"/>
    <x v="9"/>
    <n v="2135"/>
    <n v="1641"/>
    <n v="0"/>
    <n v="2"/>
    <n v="38"/>
    <n v="23"/>
    <n v="204"/>
    <n v="71"/>
    <n v="39"/>
    <n v="45"/>
    <n v="0"/>
    <n v="0"/>
    <n v="0"/>
    <m/>
  </r>
  <r>
    <x v="18"/>
    <x v="10"/>
    <n v="1883"/>
    <n v="1391"/>
    <n v="0"/>
    <n v="2"/>
    <n v="31"/>
    <n v="24"/>
    <n v="154"/>
    <n v="54"/>
    <n v="12"/>
    <n v="40"/>
    <n v="0"/>
    <n v="1"/>
    <n v="1"/>
    <n v="8"/>
  </r>
  <r>
    <x v="18"/>
    <x v="11"/>
    <n v="2274"/>
    <n v="1467"/>
    <n v="0"/>
    <n v="8"/>
    <n v="67"/>
    <n v="11"/>
    <n v="183"/>
    <n v="47"/>
    <n v="27"/>
    <n v="36"/>
    <n v="0"/>
    <n v="0"/>
    <n v="0"/>
    <n v="2"/>
  </r>
  <r>
    <x v="19"/>
    <x v="0"/>
    <n v="1040"/>
    <n v="724"/>
    <n v="0"/>
    <n v="7"/>
    <n v="14"/>
    <n v="0"/>
    <n v="96"/>
    <n v="4"/>
    <n v="0"/>
    <n v="48"/>
    <n v="0"/>
    <n v="0"/>
    <n v="0"/>
    <n v="1"/>
  </r>
  <r>
    <x v="19"/>
    <x v="1"/>
    <n v="850"/>
    <n v="794"/>
    <n v="0"/>
    <n v="9"/>
    <n v="21"/>
    <n v="1"/>
    <n v="104"/>
    <n v="1"/>
    <n v="0"/>
    <n v="58"/>
    <n v="0"/>
    <n v="0"/>
    <n v="0"/>
    <n v="0"/>
  </r>
  <r>
    <x v="19"/>
    <x v="2"/>
    <n v="1705"/>
    <n v="960"/>
    <n v="4"/>
    <n v="2"/>
    <n v="109"/>
    <n v="17"/>
    <n v="165"/>
    <n v="6"/>
    <n v="0"/>
    <n v="72"/>
    <n v="0"/>
    <n v="0"/>
    <n v="1"/>
    <n v="1"/>
  </r>
  <r>
    <x v="19"/>
    <x v="3"/>
    <n v="3217"/>
    <n v="948"/>
    <n v="0"/>
    <n v="5"/>
    <n v="106"/>
    <n v="69"/>
    <n v="267"/>
    <n v="3"/>
    <n v="0"/>
    <n v="75"/>
    <n v="0"/>
    <n v="0"/>
    <n v="1"/>
    <n v="5"/>
  </r>
  <r>
    <x v="19"/>
    <x v="4"/>
    <n v="2193"/>
    <n v="791"/>
    <n v="0"/>
    <n v="2"/>
    <n v="60"/>
    <n v="65"/>
    <n v="197"/>
    <n v="10"/>
    <n v="0"/>
    <n v="86"/>
    <n v="0"/>
    <n v="0"/>
    <n v="1"/>
    <n v="1"/>
  </r>
  <r>
    <x v="19"/>
    <x v="5"/>
    <n v="1998"/>
    <n v="1007"/>
    <n v="0"/>
    <n v="3"/>
    <n v="31"/>
    <n v="18"/>
    <n v="319"/>
    <n v="5"/>
    <n v="1"/>
    <n v="139"/>
    <n v="0"/>
    <n v="0"/>
    <n v="0"/>
    <n v="4"/>
  </r>
  <r>
    <x v="19"/>
    <x v="6"/>
    <n v="1332"/>
    <n v="890"/>
    <n v="0"/>
    <n v="0"/>
    <n v="15"/>
    <n v="3"/>
    <n v="252"/>
    <n v="14"/>
    <n v="0"/>
    <n v="109"/>
    <n v="0"/>
    <n v="0"/>
    <n v="0"/>
    <n v="7"/>
  </r>
  <r>
    <x v="19"/>
    <x v="7"/>
    <n v="1105"/>
    <n v="736"/>
    <n v="0"/>
    <n v="0"/>
    <n v="16"/>
    <n v="0"/>
    <n v="208"/>
    <n v="4"/>
    <n v="0"/>
    <n v="70"/>
    <n v="0"/>
    <n v="0"/>
    <n v="0"/>
    <m/>
  </r>
  <r>
    <x v="19"/>
    <x v="8"/>
    <n v="1174"/>
    <n v="912"/>
    <n v="0"/>
    <n v="0"/>
    <n v="7"/>
    <n v="0"/>
    <n v="214"/>
    <n v="13"/>
    <n v="8"/>
    <n v="78"/>
    <n v="0"/>
    <n v="0"/>
    <n v="0"/>
    <n v="9"/>
  </r>
  <r>
    <x v="19"/>
    <x v="9"/>
    <n v="1722"/>
    <n v="1117"/>
    <n v="0"/>
    <n v="0"/>
    <n v="24"/>
    <n v="12"/>
    <n v="213"/>
    <n v="12"/>
    <n v="12"/>
    <n v="107"/>
    <n v="0"/>
    <n v="0"/>
    <n v="0"/>
    <n v="0"/>
  </r>
  <r>
    <x v="19"/>
    <x v="10"/>
    <n v="1455"/>
    <n v="971"/>
    <n v="0"/>
    <n v="2"/>
    <n v="17"/>
    <n v="5"/>
    <n v="185"/>
    <n v="4"/>
    <n v="7"/>
    <n v="85"/>
    <n v="0"/>
    <n v="0"/>
    <n v="1"/>
    <n v="1"/>
  </r>
  <r>
    <x v="19"/>
    <x v="11"/>
    <n v="1811"/>
    <n v="1106"/>
    <n v="0"/>
    <n v="11"/>
    <n v="34"/>
    <n v="0"/>
    <n v="251"/>
    <n v="18"/>
    <n v="4"/>
    <n v="77"/>
    <n v="0"/>
    <n v="0"/>
    <n v="0"/>
    <n v="0"/>
  </r>
  <r>
    <x v="20"/>
    <x v="0"/>
    <n v="687"/>
    <n v="308"/>
    <n v="0"/>
    <n v="7"/>
    <n v="10"/>
    <n v="4"/>
    <n v="68"/>
    <n v="0"/>
    <n v="8"/>
    <n v="12"/>
    <n v="0"/>
    <n v="0"/>
    <n v="0"/>
    <n v="1"/>
  </r>
  <r>
    <x v="20"/>
    <x v="1"/>
    <n v="539"/>
    <n v="331"/>
    <n v="0"/>
    <n v="2"/>
    <n v="6"/>
    <n v="8"/>
    <n v="39"/>
    <n v="0"/>
    <n v="0"/>
    <n v="7"/>
    <n v="0"/>
    <n v="0"/>
    <n v="0"/>
    <n v="0"/>
  </r>
  <r>
    <x v="20"/>
    <x v="2"/>
    <n v="1264"/>
    <n v="426"/>
    <n v="3"/>
    <n v="1"/>
    <n v="36"/>
    <n v="26"/>
    <n v="73"/>
    <n v="7"/>
    <n v="3"/>
    <n v="23"/>
    <n v="0"/>
    <n v="0"/>
    <n v="0"/>
    <n v="2"/>
  </r>
  <r>
    <x v="20"/>
    <x v="3"/>
    <n v="1585"/>
    <n v="434"/>
    <n v="0"/>
    <n v="3"/>
    <n v="34"/>
    <n v="72"/>
    <n v="71"/>
    <n v="3"/>
    <n v="0"/>
    <n v="45"/>
    <n v="0"/>
    <n v="2"/>
    <n v="1"/>
    <n v="0"/>
  </r>
  <r>
    <x v="20"/>
    <x v="4"/>
    <n v="1107"/>
    <n v="384"/>
    <n v="0"/>
    <n v="0"/>
    <n v="46"/>
    <n v="30"/>
    <n v="70"/>
    <n v="0"/>
    <n v="2"/>
    <n v="22"/>
    <n v="0"/>
    <n v="0"/>
    <n v="2"/>
    <n v="0"/>
  </r>
  <r>
    <x v="20"/>
    <x v="5"/>
    <n v="928"/>
    <n v="437"/>
    <n v="0"/>
    <n v="0"/>
    <n v="24"/>
    <n v="18"/>
    <n v="101"/>
    <n v="1"/>
    <n v="0"/>
    <n v="22"/>
    <n v="0"/>
    <n v="1"/>
    <n v="0"/>
    <n v="0"/>
  </r>
  <r>
    <x v="20"/>
    <x v="6"/>
    <n v="851"/>
    <n v="387"/>
    <n v="0"/>
    <n v="0"/>
    <n v="12"/>
    <n v="13"/>
    <n v="123"/>
    <n v="14"/>
    <n v="0"/>
    <n v="37"/>
    <n v="0"/>
    <n v="0"/>
    <n v="0"/>
    <n v="0"/>
  </r>
  <r>
    <x v="20"/>
    <x v="7"/>
    <n v="580"/>
    <n v="304"/>
    <n v="0"/>
    <n v="0"/>
    <n v="2"/>
    <n v="0"/>
    <n v="102"/>
    <n v="9"/>
    <n v="0"/>
    <n v="11"/>
    <n v="0"/>
    <n v="0"/>
    <n v="0"/>
    <n v="4"/>
  </r>
  <r>
    <x v="20"/>
    <x v="8"/>
    <n v="851"/>
    <n v="404"/>
    <n v="0"/>
    <n v="0"/>
    <n v="4"/>
    <n v="11"/>
    <n v="88"/>
    <n v="14"/>
    <n v="27"/>
    <n v="28"/>
    <n v="0"/>
    <n v="0"/>
    <n v="0"/>
    <n v="2"/>
  </r>
  <r>
    <x v="20"/>
    <x v="9"/>
    <n v="955"/>
    <n v="438"/>
    <n v="0"/>
    <n v="0"/>
    <n v="16"/>
    <n v="4"/>
    <n v="76"/>
    <n v="8"/>
    <n v="12"/>
    <n v="30"/>
    <n v="0"/>
    <n v="0"/>
    <n v="0"/>
    <n v="0"/>
  </r>
  <r>
    <x v="20"/>
    <x v="10"/>
    <n v="806"/>
    <n v="396"/>
    <n v="0"/>
    <n v="3"/>
    <n v="10"/>
    <n v="0"/>
    <n v="59"/>
    <n v="0"/>
    <n v="8"/>
    <n v="27"/>
    <n v="0"/>
    <n v="0"/>
    <n v="1"/>
    <n v="0"/>
  </r>
  <r>
    <x v="20"/>
    <x v="11"/>
    <n v="864"/>
    <n v="427"/>
    <n v="0"/>
    <n v="14"/>
    <n v="7"/>
    <n v="2"/>
    <n v="79"/>
    <n v="4"/>
    <n v="5"/>
    <n v="26"/>
    <n v="0"/>
    <n v="0"/>
    <n v="0"/>
    <n v="0"/>
  </r>
  <r>
    <x v="21"/>
    <x v="0"/>
    <n v="725"/>
    <n v="324"/>
    <n v="0"/>
    <n v="6"/>
    <n v="13"/>
    <n v="10"/>
    <n v="127"/>
    <n v="3"/>
    <n v="3"/>
    <n v="19"/>
    <n v="0"/>
    <n v="0"/>
    <n v="1"/>
    <n v="3"/>
  </r>
  <r>
    <x v="21"/>
    <x v="1"/>
    <n v="680"/>
    <n v="335"/>
    <n v="0"/>
    <n v="1"/>
    <n v="17"/>
    <n v="10"/>
    <n v="85"/>
    <n v="1"/>
    <n v="0"/>
    <n v="9"/>
    <n v="0"/>
    <n v="2"/>
    <n v="0"/>
    <n v="0"/>
  </r>
  <r>
    <x v="21"/>
    <x v="2"/>
    <n v="1205"/>
    <n v="545"/>
    <n v="4"/>
    <n v="0"/>
    <n v="61"/>
    <n v="40"/>
    <n v="75"/>
    <n v="3"/>
    <n v="12"/>
    <n v="22"/>
    <n v="0"/>
    <n v="0"/>
    <n v="1"/>
    <n v="5"/>
  </r>
  <r>
    <x v="21"/>
    <x v="3"/>
    <n v="2125"/>
    <n v="424"/>
    <n v="0"/>
    <n v="1"/>
    <n v="106"/>
    <n v="99"/>
    <n v="203"/>
    <n v="4"/>
    <n v="5"/>
    <n v="29"/>
    <n v="0"/>
    <n v="11"/>
    <n v="9"/>
    <n v="5"/>
  </r>
  <r>
    <x v="21"/>
    <x v="4"/>
    <n v="1494"/>
    <n v="375"/>
    <n v="0"/>
    <n v="0"/>
    <n v="94"/>
    <n v="75"/>
    <n v="145"/>
    <n v="3"/>
    <n v="10"/>
    <n v="49"/>
    <n v="0"/>
    <n v="11"/>
    <n v="1"/>
    <n v="2"/>
  </r>
  <r>
    <x v="21"/>
    <x v="5"/>
    <n v="1314"/>
    <n v="479"/>
    <n v="0"/>
    <n v="0"/>
    <n v="64"/>
    <n v="33"/>
    <n v="228"/>
    <n v="4"/>
    <n v="6"/>
    <n v="52"/>
    <n v="0"/>
    <n v="25"/>
    <n v="1"/>
    <n v="6"/>
  </r>
  <r>
    <x v="21"/>
    <x v="6"/>
    <n v="969"/>
    <n v="367"/>
    <n v="0"/>
    <n v="0"/>
    <n v="27"/>
    <n v="11"/>
    <n v="244"/>
    <n v="3"/>
    <n v="0"/>
    <n v="52"/>
    <n v="0"/>
    <n v="13"/>
    <n v="0"/>
    <n v="6"/>
  </r>
  <r>
    <x v="21"/>
    <x v="7"/>
    <n v="804"/>
    <n v="348"/>
    <n v="0"/>
    <n v="0"/>
    <n v="13"/>
    <n v="4"/>
    <n v="172"/>
    <n v="6"/>
    <n v="0"/>
    <n v="16"/>
    <n v="0"/>
    <n v="15"/>
    <n v="0"/>
    <n v="0"/>
  </r>
  <r>
    <x v="21"/>
    <x v="8"/>
    <n v="845"/>
    <n v="379"/>
    <n v="0"/>
    <n v="0"/>
    <n v="28"/>
    <n v="1"/>
    <n v="169"/>
    <n v="3"/>
    <n v="38"/>
    <n v="26"/>
    <n v="0"/>
    <n v="5"/>
    <n v="0"/>
    <n v="11"/>
  </r>
  <r>
    <x v="21"/>
    <x v="9"/>
    <n v="1367"/>
    <n v="547"/>
    <n v="0"/>
    <n v="0"/>
    <n v="21"/>
    <n v="3"/>
    <n v="183"/>
    <n v="10"/>
    <n v="58"/>
    <n v="31"/>
    <n v="0"/>
    <n v="9"/>
    <n v="1"/>
    <n v="2"/>
  </r>
  <r>
    <x v="21"/>
    <x v="10"/>
    <n v="1028"/>
    <n v="384"/>
    <n v="0"/>
    <n v="1"/>
    <n v="21"/>
    <n v="3"/>
    <n v="154"/>
    <n v="12"/>
    <n v="24"/>
    <n v="45"/>
    <n v="0"/>
    <n v="8"/>
    <n v="7"/>
    <n v="5"/>
  </r>
  <r>
    <x v="21"/>
    <x v="11"/>
    <n v="969"/>
    <n v="428"/>
    <n v="0"/>
    <n v="6"/>
    <n v="27"/>
    <n v="7"/>
    <n v="140"/>
    <n v="4"/>
    <n v="11"/>
    <n v="22"/>
    <n v="0"/>
    <n v="0"/>
    <n v="1"/>
    <n v="0"/>
  </r>
  <r>
    <x v="22"/>
    <x v="0"/>
    <n v="1152"/>
    <n v="437"/>
    <n v="0"/>
    <n v="64"/>
    <n v="15"/>
    <n v="0"/>
    <n v="255"/>
    <n v="25"/>
    <n v="16"/>
    <n v="26"/>
    <n v="0"/>
    <n v="0"/>
    <n v="2"/>
    <n v="5"/>
  </r>
  <r>
    <x v="22"/>
    <x v="1"/>
    <n v="926"/>
    <n v="431"/>
    <n v="0"/>
    <n v="39"/>
    <n v="33"/>
    <n v="0"/>
    <n v="232"/>
    <n v="15"/>
    <n v="24"/>
    <n v="34"/>
    <n v="1"/>
    <n v="0"/>
    <n v="0"/>
    <n v="2"/>
  </r>
  <r>
    <x v="22"/>
    <x v="2"/>
    <n v="1911"/>
    <n v="588"/>
    <n v="10"/>
    <n v="21"/>
    <n v="84"/>
    <n v="50"/>
    <n v="508"/>
    <n v="28"/>
    <n v="13"/>
    <n v="44"/>
    <n v="0"/>
    <n v="2"/>
    <n v="0"/>
    <n v="3"/>
  </r>
  <r>
    <x v="22"/>
    <x v="3"/>
    <n v="3613"/>
    <n v="832"/>
    <n v="2"/>
    <n v="3"/>
    <n v="24"/>
    <n v="281"/>
    <n v="765"/>
    <n v="37"/>
    <n v="20"/>
    <n v="45"/>
    <n v="0"/>
    <n v="12"/>
    <n v="0"/>
    <n v="3"/>
  </r>
  <r>
    <x v="22"/>
    <x v="4"/>
    <n v="2515"/>
    <n v="779"/>
    <n v="0"/>
    <n v="0"/>
    <n v="49"/>
    <n v="110"/>
    <n v="562"/>
    <n v="18"/>
    <n v="8"/>
    <n v="27"/>
    <n v="0"/>
    <n v="31"/>
    <n v="0"/>
    <n v="3"/>
  </r>
  <r>
    <x v="22"/>
    <x v="5"/>
    <n v="2328"/>
    <n v="846"/>
    <n v="0"/>
    <n v="3"/>
    <n v="49"/>
    <n v="49"/>
    <n v="572"/>
    <n v="21"/>
    <n v="16"/>
    <n v="30"/>
    <n v="0"/>
    <n v="33"/>
    <n v="0"/>
    <n v="4"/>
  </r>
  <r>
    <x v="22"/>
    <x v="6"/>
    <n v="1785"/>
    <n v="726"/>
    <n v="0"/>
    <n v="0"/>
    <n v="24"/>
    <n v="17"/>
    <n v="451"/>
    <n v="55"/>
    <n v="28"/>
    <n v="28"/>
    <n v="0"/>
    <n v="14"/>
    <n v="0"/>
    <n v="8"/>
  </r>
  <r>
    <x v="22"/>
    <x v="7"/>
    <n v="1176"/>
    <n v="512"/>
    <n v="0"/>
    <n v="0"/>
    <n v="2"/>
    <n v="2"/>
    <n v="257"/>
    <n v="33"/>
    <n v="17"/>
    <n v="22"/>
    <n v="0"/>
    <n v="0"/>
    <n v="0"/>
    <n v="1"/>
  </r>
  <r>
    <x v="22"/>
    <x v="8"/>
    <n v="1357"/>
    <n v="600"/>
    <n v="0"/>
    <n v="0"/>
    <n v="4"/>
    <n v="3"/>
    <n v="380"/>
    <n v="55"/>
    <n v="51"/>
    <n v="24"/>
    <n v="0"/>
    <n v="0"/>
    <n v="0"/>
    <n v="0"/>
  </r>
  <r>
    <x v="22"/>
    <x v="9"/>
    <n v="1667"/>
    <n v="690"/>
    <n v="0"/>
    <n v="5"/>
    <n v="17"/>
    <n v="0"/>
    <n v="370"/>
    <n v="123"/>
    <n v="22"/>
    <n v="30"/>
    <n v="0"/>
    <n v="4"/>
    <n v="0"/>
    <m/>
  </r>
  <r>
    <x v="22"/>
    <x v="10"/>
    <n v="1828"/>
    <n v="604"/>
    <n v="0"/>
    <n v="60"/>
    <n v="23"/>
    <n v="0"/>
    <n v="479"/>
    <n v="58"/>
    <n v="34"/>
    <n v="33"/>
    <n v="0"/>
    <n v="1"/>
    <n v="3"/>
    <n v="10"/>
  </r>
  <r>
    <x v="22"/>
    <x v="11"/>
    <n v="1452"/>
    <n v="616"/>
    <n v="0"/>
    <n v="54"/>
    <n v="45"/>
    <n v="0"/>
    <n v="325"/>
    <n v="26"/>
    <n v="18"/>
    <n v="50"/>
    <n v="0"/>
    <n v="0"/>
    <n v="0"/>
    <n v="11"/>
  </r>
  <r>
    <x v="23"/>
    <x v="0"/>
    <n v="1158"/>
    <n v="393"/>
    <n v="0"/>
    <n v="16"/>
    <n v="39"/>
    <n v="15"/>
    <n v="84"/>
    <n v="48"/>
    <n v="14"/>
    <n v="47"/>
    <n v="0"/>
    <n v="0"/>
    <n v="0"/>
    <n v="2"/>
  </r>
  <r>
    <x v="23"/>
    <x v="1"/>
    <n v="864"/>
    <n v="349"/>
    <n v="0"/>
    <n v="5"/>
    <n v="24"/>
    <n v="12"/>
    <n v="85"/>
    <n v="49"/>
    <n v="12"/>
    <n v="50"/>
    <n v="0"/>
    <n v="0"/>
    <n v="0"/>
    <n v="4"/>
  </r>
  <r>
    <x v="23"/>
    <x v="2"/>
    <n v="1647"/>
    <n v="429"/>
    <n v="0"/>
    <n v="2"/>
    <n v="77"/>
    <n v="53"/>
    <n v="91"/>
    <n v="42"/>
    <n v="21"/>
    <n v="46"/>
    <n v="0"/>
    <n v="0"/>
    <n v="0"/>
    <n v="0"/>
  </r>
  <r>
    <x v="23"/>
    <x v="3"/>
    <n v="2914"/>
    <n v="616"/>
    <n v="0"/>
    <n v="0"/>
    <n v="45"/>
    <n v="128"/>
    <n v="151"/>
    <n v="64"/>
    <n v="4"/>
    <n v="62"/>
    <n v="0"/>
    <n v="0"/>
    <n v="4"/>
    <n v="0"/>
  </r>
  <r>
    <x v="23"/>
    <x v="4"/>
    <n v="1872"/>
    <n v="558"/>
    <n v="0"/>
    <n v="2"/>
    <n v="27"/>
    <n v="78"/>
    <n v="153"/>
    <n v="48"/>
    <n v="7"/>
    <n v="59"/>
    <n v="0"/>
    <n v="8"/>
    <n v="2"/>
    <n v="2"/>
  </r>
  <r>
    <x v="23"/>
    <x v="5"/>
    <n v="1684"/>
    <n v="675"/>
    <n v="0"/>
    <n v="0"/>
    <n v="23"/>
    <n v="60"/>
    <n v="170"/>
    <n v="69"/>
    <n v="23"/>
    <n v="75"/>
    <n v="0"/>
    <n v="13"/>
    <n v="0"/>
    <n v="2"/>
  </r>
  <r>
    <x v="23"/>
    <x v="6"/>
    <n v="1385"/>
    <n v="534"/>
    <n v="0"/>
    <n v="1"/>
    <n v="37"/>
    <n v="28"/>
    <n v="109"/>
    <n v="70"/>
    <n v="25"/>
    <n v="67"/>
    <n v="0"/>
    <n v="3"/>
    <n v="0"/>
    <n v="5"/>
  </r>
  <r>
    <x v="23"/>
    <x v="7"/>
    <n v="909"/>
    <n v="311"/>
    <n v="0"/>
    <n v="0"/>
    <n v="15"/>
    <n v="17"/>
    <n v="143"/>
    <n v="70"/>
    <n v="12"/>
    <n v="44"/>
    <n v="0"/>
    <n v="0"/>
    <n v="0"/>
    <n v="2"/>
  </r>
  <r>
    <x v="23"/>
    <x v="8"/>
    <n v="1070"/>
    <n v="385"/>
    <n v="0"/>
    <n v="3"/>
    <n v="21"/>
    <n v="12"/>
    <n v="142"/>
    <n v="84"/>
    <n v="33"/>
    <n v="47"/>
    <n v="0"/>
    <n v="1"/>
    <n v="1"/>
    <n v="1"/>
  </r>
  <r>
    <x v="23"/>
    <x v="9"/>
    <n v="1439"/>
    <n v="492"/>
    <n v="0"/>
    <n v="16"/>
    <n v="42"/>
    <n v="14"/>
    <n v="162"/>
    <n v="75"/>
    <n v="30"/>
    <n v="80"/>
    <n v="0"/>
    <n v="0"/>
    <n v="0"/>
    <m/>
  </r>
  <r>
    <x v="23"/>
    <x v="10"/>
    <n v="1339"/>
    <n v="463"/>
    <n v="0"/>
    <n v="45"/>
    <n v="28"/>
    <n v="36"/>
    <n v="167"/>
    <n v="77"/>
    <n v="31"/>
    <n v="42"/>
    <n v="0"/>
    <n v="0"/>
    <n v="3"/>
    <n v="3"/>
  </r>
  <r>
    <x v="23"/>
    <x v="11"/>
    <n v="1394"/>
    <n v="415"/>
    <n v="0"/>
    <n v="7"/>
    <n v="53"/>
    <n v="8"/>
    <n v="127"/>
    <n v="69"/>
    <n v="20"/>
    <n v="41"/>
    <n v="0"/>
    <n v="0"/>
    <n v="0"/>
    <n v="1"/>
  </r>
  <r>
    <x v="24"/>
    <x v="0"/>
    <n v="758"/>
    <n v="152"/>
    <n v="0"/>
    <n v="52"/>
    <n v="34"/>
    <n v="13"/>
    <n v="228"/>
    <n v="72"/>
    <n v="39"/>
    <n v="22"/>
    <n v="0"/>
    <n v="0"/>
    <n v="0"/>
    <n v="0"/>
  </r>
  <r>
    <x v="24"/>
    <x v="1"/>
    <n v="610"/>
    <n v="139"/>
    <n v="0"/>
    <n v="23"/>
    <n v="29"/>
    <n v="7"/>
    <n v="203"/>
    <n v="40"/>
    <n v="10"/>
    <n v="17"/>
    <n v="0"/>
    <n v="2"/>
    <n v="0"/>
    <n v="3"/>
  </r>
  <r>
    <x v="24"/>
    <x v="2"/>
    <n v="1164"/>
    <n v="175"/>
    <n v="7"/>
    <n v="20"/>
    <n v="140"/>
    <n v="58"/>
    <n v="401"/>
    <n v="70"/>
    <n v="10"/>
    <n v="27"/>
    <n v="0"/>
    <n v="2"/>
    <n v="1"/>
    <n v="3"/>
  </r>
  <r>
    <x v="24"/>
    <x v="3"/>
    <n v="2040"/>
    <n v="330"/>
    <n v="7"/>
    <n v="49"/>
    <n v="117"/>
    <n v="138"/>
    <n v="529"/>
    <n v="79"/>
    <n v="29"/>
    <n v="13"/>
    <n v="0"/>
    <n v="28"/>
    <n v="11"/>
    <n v="0"/>
  </r>
  <r>
    <x v="24"/>
    <x v="4"/>
    <n v="1310"/>
    <n v="262"/>
    <n v="0"/>
    <n v="14"/>
    <n v="95"/>
    <n v="83"/>
    <n v="427"/>
    <n v="72"/>
    <n v="13"/>
    <n v="11"/>
    <n v="0"/>
    <n v="16"/>
    <n v="1"/>
    <n v="5"/>
  </r>
  <r>
    <x v="24"/>
    <x v="5"/>
    <n v="1459"/>
    <n v="347"/>
    <n v="0"/>
    <n v="16"/>
    <n v="106"/>
    <n v="26"/>
    <n v="519"/>
    <n v="37"/>
    <n v="13"/>
    <n v="17"/>
    <n v="0"/>
    <n v="36"/>
    <n v="0"/>
    <n v="7"/>
  </r>
  <r>
    <x v="24"/>
    <x v="6"/>
    <n v="1018"/>
    <n v="327"/>
    <n v="0"/>
    <n v="6"/>
    <n v="26"/>
    <n v="12"/>
    <n v="405"/>
    <n v="103"/>
    <n v="30"/>
    <n v="8"/>
    <n v="1"/>
    <n v="19"/>
    <n v="0"/>
    <n v="14"/>
  </r>
  <r>
    <x v="24"/>
    <x v="7"/>
    <n v="640"/>
    <n v="141"/>
    <n v="0"/>
    <n v="0"/>
    <n v="7"/>
    <n v="0"/>
    <n v="318"/>
    <n v="18"/>
    <n v="20"/>
    <n v="11"/>
    <n v="0"/>
    <n v="5"/>
    <n v="1"/>
    <n v="4"/>
  </r>
  <r>
    <x v="24"/>
    <x v="8"/>
    <n v="796"/>
    <n v="162"/>
    <n v="0"/>
    <n v="2"/>
    <n v="8"/>
    <n v="4"/>
    <n v="403"/>
    <n v="50"/>
    <n v="38"/>
    <n v="17"/>
    <n v="0"/>
    <n v="6"/>
    <n v="0"/>
    <n v="0"/>
  </r>
  <r>
    <x v="24"/>
    <x v="9"/>
    <n v="1115"/>
    <n v="192"/>
    <n v="0"/>
    <n v="14"/>
    <n v="40"/>
    <n v="5"/>
    <n v="512"/>
    <n v="109"/>
    <n v="36"/>
    <n v="24"/>
    <n v="6"/>
    <n v="1"/>
    <n v="0"/>
    <m/>
  </r>
  <r>
    <x v="24"/>
    <x v="10"/>
    <n v="997"/>
    <n v="190"/>
    <n v="0"/>
    <n v="29"/>
    <n v="35"/>
    <n v="7"/>
    <n v="395"/>
    <n v="99"/>
    <n v="82"/>
    <n v="30"/>
    <n v="0"/>
    <n v="3"/>
    <n v="1"/>
    <n v="4"/>
  </r>
  <r>
    <x v="24"/>
    <x v="11"/>
    <n v="894"/>
    <n v="99"/>
    <n v="0"/>
    <n v="47"/>
    <n v="23"/>
    <n v="0"/>
    <n v="311"/>
    <n v="75"/>
    <n v="52"/>
    <n v="8"/>
    <n v="0"/>
    <n v="4"/>
    <n v="0"/>
    <n v="1"/>
  </r>
  <r>
    <x v="25"/>
    <x v="0"/>
    <n v="842"/>
    <n v="966"/>
    <n v="1"/>
    <n v="45"/>
    <n v="8"/>
    <n v="7"/>
    <n v="61"/>
    <n v="16"/>
    <n v="8"/>
    <n v="23"/>
    <n v="0"/>
    <n v="0"/>
    <n v="1"/>
    <n v="3"/>
  </r>
  <r>
    <x v="25"/>
    <x v="1"/>
    <n v="614"/>
    <n v="929"/>
    <n v="0"/>
    <n v="14"/>
    <n v="16"/>
    <n v="0"/>
    <n v="49"/>
    <n v="9"/>
    <n v="9"/>
    <n v="23"/>
    <n v="0"/>
    <n v="0"/>
    <n v="2"/>
    <n v="3"/>
  </r>
  <r>
    <x v="25"/>
    <x v="2"/>
    <n v="1200"/>
    <n v="1187"/>
    <n v="7"/>
    <n v="8"/>
    <n v="42"/>
    <n v="32"/>
    <n v="92"/>
    <n v="8"/>
    <n v="0"/>
    <n v="47"/>
    <n v="0"/>
    <n v="0"/>
    <n v="1"/>
    <n v="5"/>
  </r>
  <r>
    <x v="25"/>
    <x v="3"/>
    <n v="2005"/>
    <n v="1190"/>
    <n v="15"/>
    <n v="3"/>
    <n v="20"/>
    <n v="96"/>
    <n v="113"/>
    <n v="4"/>
    <n v="0"/>
    <n v="30"/>
    <n v="0"/>
    <n v="0"/>
    <n v="10"/>
    <n v="4"/>
  </r>
  <r>
    <x v="25"/>
    <x v="4"/>
    <n v="1324"/>
    <n v="1041"/>
    <n v="1"/>
    <n v="3"/>
    <n v="19"/>
    <n v="41"/>
    <n v="124"/>
    <n v="6"/>
    <n v="1"/>
    <n v="23"/>
    <n v="1"/>
    <n v="0"/>
    <n v="1"/>
    <n v="5"/>
  </r>
  <r>
    <x v="25"/>
    <x v="5"/>
    <n v="973"/>
    <n v="1253"/>
    <n v="0"/>
    <n v="0"/>
    <n v="18"/>
    <n v="15"/>
    <n v="125"/>
    <n v="7"/>
    <n v="0"/>
    <n v="63"/>
    <n v="0"/>
    <n v="0"/>
    <n v="0"/>
    <n v="8"/>
  </r>
  <r>
    <x v="25"/>
    <x v="6"/>
    <n v="1132"/>
    <n v="1464"/>
    <n v="0"/>
    <n v="0"/>
    <n v="4"/>
    <n v="5"/>
    <n v="91"/>
    <n v="83"/>
    <n v="1"/>
    <n v="38"/>
    <n v="1"/>
    <n v="0"/>
    <n v="1"/>
    <n v="5"/>
  </r>
  <r>
    <x v="25"/>
    <x v="7"/>
    <n v="756"/>
    <n v="909"/>
    <n v="0"/>
    <n v="0"/>
    <n v="4"/>
    <n v="1"/>
    <n v="114"/>
    <n v="55"/>
    <n v="1"/>
    <n v="15"/>
    <n v="0"/>
    <n v="0"/>
    <n v="1"/>
    <m/>
  </r>
  <r>
    <x v="25"/>
    <x v="8"/>
    <n v="763"/>
    <n v="1261"/>
    <n v="0"/>
    <n v="0"/>
    <n v="1"/>
    <n v="0"/>
    <n v="82"/>
    <n v="64"/>
    <n v="33"/>
    <n v="42"/>
    <n v="0"/>
    <n v="0"/>
    <n v="4"/>
    <n v="0"/>
  </r>
  <r>
    <x v="25"/>
    <x v="9"/>
    <n v="1122"/>
    <n v="1250"/>
    <n v="0"/>
    <n v="1"/>
    <n v="3"/>
    <n v="0"/>
    <n v="99"/>
    <n v="62"/>
    <n v="28"/>
    <n v="51"/>
    <n v="0"/>
    <n v="0"/>
    <n v="1"/>
    <n v="1"/>
  </r>
  <r>
    <x v="25"/>
    <x v="10"/>
    <n v="1017"/>
    <n v="1047"/>
    <n v="0"/>
    <n v="20"/>
    <n v="5"/>
    <n v="0"/>
    <n v="122"/>
    <n v="14"/>
    <n v="60"/>
    <n v="34"/>
    <n v="0"/>
    <n v="0"/>
    <n v="0"/>
    <n v="2"/>
  </r>
  <r>
    <x v="25"/>
    <x v="11"/>
    <n v="1068"/>
    <n v="1190"/>
    <n v="0"/>
    <n v="37"/>
    <n v="21"/>
    <n v="7"/>
    <n v="86"/>
    <n v="19"/>
    <n v="49"/>
    <n v="30"/>
    <n v="0"/>
    <n v="0"/>
    <n v="0"/>
    <n v="3"/>
  </r>
  <r>
    <x v="26"/>
    <x v="0"/>
    <n v="2165"/>
    <n v="1266"/>
    <n v="0"/>
    <n v="37"/>
    <n v="73"/>
    <n v="2"/>
    <n v="357"/>
    <n v="3"/>
    <n v="11"/>
    <n v="157"/>
    <n v="0"/>
    <n v="0"/>
    <n v="0"/>
    <n v="0"/>
  </r>
  <r>
    <x v="26"/>
    <x v="1"/>
    <n v="1831"/>
    <n v="1363"/>
    <n v="0"/>
    <n v="16"/>
    <n v="38"/>
    <n v="17"/>
    <n v="260"/>
    <n v="1"/>
    <n v="4"/>
    <n v="141"/>
    <n v="0"/>
    <n v="0"/>
    <n v="0"/>
    <n v="0"/>
  </r>
  <r>
    <x v="26"/>
    <x v="2"/>
    <n v="3733"/>
    <n v="1681"/>
    <n v="5"/>
    <n v="28"/>
    <n v="199"/>
    <n v="72"/>
    <n v="378"/>
    <n v="0"/>
    <n v="4"/>
    <n v="203"/>
    <n v="0"/>
    <n v="0"/>
    <n v="2"/>
    <n v="0"/>
  </r>
  <r>
    <x v="26"/>
    <x v="3"/>
    <n v="5584"/>
    <n v="1646"/>
    <n v="0"/>
    <n v="2"/>
    <n v="276"/>
    <n v="158"/>
    <n v="480"/>
    <n v="0"/>
    <n v="4"/>
    <n v="138"/>
    <n v="0"/>
    <n v="0"/>
    <n v="2"/>
    <n v="0"/>
  </r>
  <r>
    <x v="26"/>
    <x v="4"/>
    <n v="3688"/>
    <n v="1449"/>
    <n v="0"/>
    <n v="0"/>
    <n v="146"/>
    <n v="85"/>
    <n v="475"/>
    <n v="0"/>
    <n v="0"/>
    <n v="143"/>
    <n v="0"/>
    <n v="0"/>
    <n v="1"/>
    <n v="0"/>
  </r>
  <r>
    <x v="26"/>
    <x v="5"/>
    <n v="3514"/>
    <n v="1638"/>
    <n v="0"/>
    <n v="0"/>
    <n v="79"/>
    <n v="55"/>
    <n v="501"/>
    <n v="4"/>
    <n v="1"/>
    <n v="177"/>
    <n v="0"/>
    <n v="0"/>
    <n v="0"/>
    <n v="0"/>
  </r>
  <r>
    <x v="26"/>
    <x v="6"/>
    <n v="2812"/>
    <n v="1388"/>
    <n v="0"/>
    <n v="0"/>
    <n v="55"/>
    <n v="26"/>
    <n v="610"/>
    <n v="1"/>
    <n v="4"/>
    <n v="180"/>
    <n v="0"/>
    <n v="0"/>
    <n v="0"/>
    <n v="0"/>
  </r>
  <r>
    <x v="26"/>
    <x v="7"/>
    <n v="2123"/>
    <n v="1322"/>
    <n v="0"/>
    <n v="6"/>
    <n v="37"/>
    <n v="7"/>
    <n v="592"/>
    <n v="2"/>
    <n v="18"/>
    <n v="134"/>
    <n v="0"/>
    <n v="0"/>
    <n v="0"/>
    <n v="9"/>
  </r>
  <r>
    <x v="26"/>
    <x v="8"/>
    <n v="1971"/>
    <n v="1513"/>
    <n v="0"/>
    <n v="5"/>
    <n v="27"/>
    <n v="11"/>
    <n v="528"/>
    <n v="4"/>
    <n v="29"/>
    <n v="190"/>
    <n v="0"/>
    <n v="0"/>
    <n v="0"/>
    <n v="3"/>
  </r>
  <r>
    <x v="26"/>
    <x v="9"/>
    <n v="3280"/>
    <n v="1886"/>
    <n v="0"/>
    <n v="4"/>
    <n v="36"/>
    <n v="11"/>
    <n v="636"/>
    <n v="5"/>
    <n v="50"/>
    <n v="242"/>
    <n v="0"/>
    <n v="0"/>
    <n v="0"/>
    <n v="0"/>
  </r>
  <r>
    <x v="26"/>
    <x v="10"/>
    <n v="2973"/>
    <n v="1633"/>
    <n v="0"/>
    <n v="20"/>
    <n v="45"/>
    <n v="5"/>
    <n v="623"/>
    <n v="0"/>
    <n v="23"/>
    <n v="179"/>
    <n v="0"/>
    <n v="0"/>
    <n v="0"/>
    <n v="0"/>
  </r>
  <r>
    <x v="26"/>
    <x v="11"/>
    <n v="3196"/>
    <n v="1746"/>
    <n v="0"/>
    <n v="43"/>
    <n v="104"/>
    <n v="7"/>
    <n v="672"/>
    <n v="1"/>
    <n v="27"/>
    <n v="224"/>
    <n v="0"/>
    <n v="0"/>
    <n v="0"/>
    <n v="0"/>
  </r>
  <r>
    <x v="27"/>
    <x v="0"/>
    <n v="1017"/>
    <n v="713"/>
    <n v="0"/>
    <n v="12"/>
    <n v="20"/>
    <n v="12"/>
    <n v="35"/>
    <n v="7"/>
    <n v="3"/>
    <n v="63"/>
    <n v="0"/>
    <n v="0"/>
    <n v="2"/>
    <n v="3"/>
  </r>
  <r>
    <x v="27"/>
    <x v="1"/>
    <n v="860"/>
    <n v="788"/>
    <n v="1"/>
    <n v="5"/>
    <n v="23"/>
    <n v="3"/>
    <n v="60"/>
    <n v="4"/>
    <n v="2"/>
    <n v="64"/>
    <n v="0"/>
    <n v="0"/>
    <n v="0"/>
    <n v="1"/>
  </r>
  <r>
    <x v="27"/>
    <x v="2"/>
    <n v="1681"/>
    <n v="975"/>
    <n v="7"/>
    <n v="0"/>
    <n v="88"/>
    <n v="30"/>
    <n v="113"/>
    <n v="9"/>
    <n v="9"/>
    <n v="70"/>
    <n v="0"/>
    <n v="0"/>
    <n v="0"/>
    <n v="3"/>
  </r>
  <r>
    <x v="27"/>
    <x v="3"/>
    <n v="2718"/>
    <n v="996"/>
    <n v="0"/>
    <n v="5"/>
    <n v="66"/>
    <n v="56"/>
    <n v="99"/>
    <n v="1"/>
    <n v="2"/>
    <n v="79"/>
    <n v="0"/>
    <n v="0"/>
    <n v="11"/>
    <n v="1"/>
  </r>
  <r>
    <x v="27"/>
    <x v="4"/>
    <n v="1794"/>
    <n v="890"/>
    <n v="0"/>
    <n v="0"/>
    <n v="64"/>
    <n v="19"/>
    <n v="97"/>
    <n v="4"/>
    <n v="4"/>
    <n v="50"/>
    <n v="0"/>
    <n v="0"/>
    <n v="0"/>
    <n v="2"/>
  </r>
  <r>
    <x v="27"/>
    <x v="5"/>
    <n v="1862"/>
    <n v="988"/>
    <n v="0"/>
    <n v="0"/>
    <n v="32"/>
    <n v="11"/>
    <n v="194"/>
    <n v="3"/>
    <n v="5"/>
    <n v="62"/>
    <n v="0"/>
    <n v="0"/>
    <n v="0"/>
    <n v="0"/>
  </r>
  <r>
    <x v="27"/>
    <x v="6"/>
    <n v="1169"/>
    <n v="816"/>
    <n v="0"/>
    <n v="0"/>
    <n v="8"/>
    <n v="6"/>
    <n v="145"/>
    <n v="10"/>
    <n v="5"/>
    <n v="52"/>
    <n v="0"/>
    <n v="0"/>
    <n v="0"/>
    <n v="3"/>
  </r>
  <r>
    <x v="27"/>
    <x v="7"/>
    <n v="849"/>
    <n v="747"/>
    <n v="0"/>
    <n v="0"/>
    <n v="19"/>
    <n v="0"/>
    <n v="76"/>
    <n v="26"/>
    <n v="4"/>
    <n v="23"/>
    <n v="0"/>
    <n v="0"/>
    <n v="0"/>
    <n v="1"/>
  </r>
  <r>
    <x v="27"/>
    <x v="8"/>
    <n v="941"/>
    <n v="967"/>
    <n v="0"/>
    <n v="0"/>
    <n v="8"/>
    <n v="2"/>
    <n v="98"/>
    <n v="21"/>
    <n v="8"/>
    <n v="25"/>
    <n v="0"/>
    <n v="0"/>
    <n v="0"/>
    <n v="0"/>
  </r>
  <r>
    <x v="27"/>
    <x v="9"/>
    <n v="1477"/>
    <n v="854"/>
    <n v="0"/>
    <n v="0"/>
    <n v="8"/>
    <n v="6"/>
    <n v="151"/>
    <n v="23"/>
    <n v="75"/>
    <n v="0"/>
    <n v="0"/>
    <n v="0"/>
    <n v="1"/>
    <n v="3"/>
  </r>
  <r>
    <x v="27"/>
    <x v="10"/>
    <n v="1415"/>
    <n v="790"/>
    <n v="0"/>
    <n v="10"/>
    <n v="27"/>
    <n v="6"/>
    <n v="104"/>
    <n v="3"/>
    <n v="8"/>
    <n v="66"/>
    <n v="0"/>
    <n v="0"/>
    <n v="0"/>
    <n v="4"/>
  </r>
  <r>
    <x v="27"/>
    <x v="11"/>
    <n v="1312"/>
    <n v="935"/>
    <n v="0"/>
    <n v="25"/>
    <n v="52"/>
    <n v="8"/>
    <n v="69"/>
    <n v="2"/>
    <n v="7"/>
    <n v="68"/>
    <n v="0"/>
    <n v="0"/>
    <n v="0"/>
    <n v="1"/>
  </r>
  <r>
    <x v="28"/>
    <x v="0"/>
    <n v="639"/>
    <n v="392"/>
    <n v="0"/>
    <n v="32"/>
    <n v="12"/>
    <n v="6"/>
    <n v="117"/>
    <n v="12"/>
    <n v="16"/>
    <n v="65"/>
    <n v="0"/>
    <n v="0"/>
    <n v="2"/>
    <n v="0"/>
  </r>
  <r>
    <x v="28"/>
    <x v="1"/>
    <n v="446"/>
    <n v="365"/>
    <n v="0"/>
    <n v="14"/>
    <n v="20"/>
    <n v="3"/>
    <n v="53"/>
    <n v="7"/>
    <n v="16"/>
    <n v="60"/>
    <n v="0"/>
    <n v="0"/>
    <n v="1"/>
    <n v="1"/>
  </r>
  <r>
    <x v="28"/>
    <x v="2"/>
    <n v="1068"/>
    <n v="477"/>
    <n v="0"/>
    <n v="9"/>
    <n v="149"/>
    <n v="32"/>
    <n v="111"/>
    <n v="34"/>
    <n v="24"/>
    <n v="93"/>
    <n v="0"/>
    <n v="0"/>
    <n v="3"/>
    <n v="2"/>
  </r>
  <r>
    <x v="28"/>
    <x v="3"/>
    <n v="1665"/>
    <n v="448"/>
    <n v="0"/>
    <n v="12"/>
    <n v="88"/>
    <n v="67"/>
    <n v="168"/>
    <n v="26"/>
    <n v="11"/>
    <n v="115"/>
    <n v="0"/>
    <n v="0"/>
    <n v="30"/>
    <n v="0"/>
  </r>
  <r>
    <x v="28"/>
    <x v="4"/>
    <n v="1054"/>
    <n v="354"/>
    <n v="0"/>
    <n v="5"/>
    <n v="70"/>
    <n v="18"/>
    <n v="85"/>
    <n v="50"/>
    <n v="25"/>
    <n v="95"/>
    <n v="0"/>
    <n v="0"/>
    <n v="11"/>
    <n v="4"/>
  </r>
  <r>
    <x v="28"/>
    <x v="5"/>
    <n v="1073"/>
    <n v="369"/>
    <n v="0"/>
    <n v="1"/>
    <n v="38"/>
    <n v="21"/>
    <n v="93"/>
    <n v="29"/>
    <n v="9"/>
    <n v="96"/>
    <n v="0"/>
    <n v="0"/>
    <n v="2"/>
    <n v="3"/>
  </r>
  <r>
    <x v="28"/>
    <x v="6"/>
    <n v="861"/>
    <n v="320"/>
    <n v="0"/>
    <n v="0"/>
    <n v="25"/>
    <n v="5"/>
    <n v="150"/>
    <n v="56"/>
    <n v="4"/>
    <n v="72"/>
    <n v="0"/>
    <n v="0"/>
    <n v="3"/>
    <n v="0"/>
  </r>
  <r>
    <x v="28"/>
    <x v="7"/>
    <n v="661"/>
    <n v="316"/>
    <n v="0"/>
    <n v="3"/>
    <n v="22"/>
    <n v="3"/>
    <n v="142"/>
    <n v="40"/>
    <n v="2"/>
    <n v="41"/>
    <n v="0"/>
    <n v="0"/>
    <n v="0"/>
    <n v="0"/>
  </r>
  <r>
    <x v="28"/>
    <x v="8"/>
    <n v="710"/>
    <n v="421"/>
    <n v="0"/>
    <n v="4"/>
    <n v="15"/>
    <n v="0"/>
    <n v="137"/>
    <n v="66"/>
    <n v="19"/>
    <n v="33"/>
    <n v="0"/>
    <n v="0"/>
    <n v="1"/>
    <n v="0"/>
  </r>
  <r>
    <x v="28"/>
    <x v="9"/>
    <n v="916"/>
    <n v="490"/>
    <n v="0"/>
    <n v="18"/>
    <n v="31"/>
    <n v="0"/>
    <n v="179"/>
    <n v="57"/>
    <n v="18"/>
    <n v="68"/>
    <n v="0"/>
    <n v="0"/>
    <n v="0"/>
    <n v="7"/>
  </r>
  <r>
    <x v="28"/>
    <x v="10"/>
    <n v="866"/>
    <n v="436"/>
    <n v="0"/>
    <n v="9"/>
    <n v="23"/>
    <n v="1"/>
    <n v="173"/>
    <n v="11"/>
    <n v="24"/>
    <n v="85"/>
    <n v="0"/>
    <n v="0"/>
    <n v="0"/>
    <n v="0"/>
  </r>
  <r>
    <x v="28"/>
    <x v="11"/>
    <n v="833"/>
    <n v="480"/>
    <n v="0"/>
    <n v="13"/>
    <n v="39"/>
    <n v="3"/>
    <n v="158"/>
    <n v="16"/>
    <n v="33"/>
    <n v="69"/>
    <n v="0"/>
    <n v="0"/>
    <n v="0"/>
    <n v="0"/>
  </r>
  <r>
    <x v="29"/>
    <x v="0"/>
    <n v="1030"/>
    <n v="438"/>
    <n v="0"/>
    <n v="67"/>
    <n v="31"/>
    <n v="5"/>
    <n v="212"/>
    <n v="118"/>
    <n v="41"/>
    <n v="59"/>
    <n v="0"/>
    <n v="0"/>
    <n v="1"/>
    <n v="0"/>
  </r>
  <r>
    <x v="29"/>
    <x v="1"/>
    <n v="732"/>
    <n v="422"/>
    <n v="1"/>
    <n v="21"/>
    <n v="33"/>
    <n v="12"/>
    <n v="156"/>
    <n v="94"/>
    <n v="18"/>
    <n v="48"/>
    <n v="0"/>
    <n v="0"/>
    <n v="4"/>
    <n v="0"/>
  </r>
  <r>
    <x v="29"/>
    <x v="2"/>
    <n v="1665"/>
    <n v="549"/>
    <n v="19"/>
    <n v="9"/>
    <n v="183"/>
    <n v="68"/>
    <n v="319"/>
    <n v="183"/>
    <n v="38"/>
    <n v="60"/>
    <n v="0"/>
    <n v="0"/>
    <n v="6"/>
    <n v="1"/>
  </r>
  <r>
    <x v="29"/>
    <x v="3"/>
    <n v="2868"/>
    <n v="631"/>
    <n v="34"/>
    <n v="0"/>
    <n v="199"/>
    <n v="155"/>
    <n v="426"/>
    <n v="205"/>
    <n v="27"/>
    <n v="52"/>
    <n v="0"/>
    <n v="3"/>
    <n v="51"/>
    <n v="2"/>
  </r>
  <r>
    <x v="29"/>
    <x v="4"/>
    <n v="1863"/>
    <n v="575"/>
    <n v="1"/>
    <n v="7"/>
    <n v="115"/>
    <n v="40"/>
    <n v="330"/>
    <n v="185"/>
    <n v="9"/>
    <n v="57"/>
    <n v="0"/>
    <n v="1"/>
    <n v="11"/>
    <n v="1"/>
  </r>
  <r>
    <x v="29"/>
    <x v="5"/>
    <n v="1584"/>
    <n v="701"/>
    <n v="0"/>
    <n v="6"/>
    <n v="66"/>
    <n v="26"/>
    <n v="271"/>
    <n v="166"/>
    <n v="7"/>
    <n v="53"/>
    <n v="0"/>
    <n v="0"/>
    <n v="15"/>
    <n v="6"/>
  </r>
  <r>
    <x v="29"/>
    <x v="6"/>
    <n v="1284"/>
    <n v="653"/>
    <n v="0"/>
    <n v="5"/>
    <n v="70"/>
    <n v="17"/>
    <n v="327"/>
    <n v="196"/>
    <n v="14"/>
    <n v="67"/>
    <n v="0"/>
    <n v="0"/>
    <n v="4"/>
    <n v="2"/>
  </r>
  <r>
    <x v="29"/>
    <x v="7"/>
    <n v="889"/>
    <n v="407"/>
    <n v="0"/>
    <n v="0"/>
    <n v="23"/>
    <n v="2"/>
    <n v="148"/>
    <n v="139"/>
    <n v="16"/>
    <n v="63"/>
    <n v="0"/>
    <n v="0"/>
    <n v="0"/>
    <n v="0"/>
  </r>
  <r>
    <x v="29"/>
    <x v="8"/>
    <n v="1052"/>
    <n v="344"/>
    <n v="0"/>
    <n v="7"/>
    <n v="20"/>
    <n v="6"/>
    <n v="204"/>
    <n v="136"/>
    <n v="108"/>
    <n v="41"/>
    <n v="0"/>
    <n v="2"/>
    <n v="0"/>
    <n v="4"/>
  </r>
  <r>
    <x v="29"/>
    <x v="9"/>
    <n v="1420"/>
    <n v="603"/>
    <n v="0"/>
    <n v="1"/>
    <n v="23"/>
    <n v="7"/>
    <n v="260"/>
    <n v="176"/>
    <n v="160"/>
    <n v="80"/>
    <n v="0"/>
    <n v="0"/>
    <n v="0"/>
    <m/>
  </r>
  <r>
    <x v="29"/>
    <x v="10"/>
    <n v="1377"/>
    <n v="464"/>
    <n v="0"/>
    <n v="30"/>
    <n v="17"/>
    <n v="0"/>
    <n v="281"/>
    <n v="212"/>
    <n v="171"/>
    <n v="72"/>
    <n v="0"/>
    <n v="0"/>
    <n v="1"/>
    <n v="5"/>
  </r>
  <r>
    <x v="29"/>
    <x v="11"/>
    <n v="1355"/>
    <n v="517"/>
    <n v="0"/>
    <n v="51"/>
    <n v="44"/>
    <n v="2"/>
    <n v="272"/>
    <n v="177"/>
    <n v="41"/>
    <n v="65"/>
    <n v="0"/>
    <n v="0"/>
    <n v="1"/>
    <n v="2"/>
  </r>
  <r>
    <x v="30"/>
    <x v="0"/>
    <n v="1587"/>
    <n v="931"/>
    <n v="0"/>
    <n v="25"/>
    <n v="26"/>
    <n v="0"/>
    <n v="90"/>
    <n v="65"/>
    <n v="0"/>
    <n v="43"/>
    <n v="0"/>
    <n v="0"/>
    <n v="0"/>
    <n v="2"/>
  </r>
  <r>
    <x v="30"/>
    <x v="1"/>
    <n v="1698"/>
    <n v="1229"/>
    <n v="0"/>
    <n v="9"/>
    <n v="10"/>
    <n v="1"/>
    <n v="74"/>
    <n v="68"/>
    <n v="0"/>
    <n v="63"/>
    <n v="0"/>
    <n v="0"/>
    <n v="0"/>
    <n v="2"/>
  </r>
  <r>
    <x v="30"/>
    <x v="2"/>
    <n v="2821"/>
    <n v="1145"/>
    <n v="2"/>
    <n v="1"/>
    <n v="159"/>
    <n v="49"/>
    <n v="172"/>
    <n v="91"/>
    <n v="2"/>
    <n v="45"/>
    <n v="0"/>
    <n v="0"/>
    <n v="0"/>
    <n v="2"/>
  </r>
  <r>
    <x v="30"/>
    <x v="3"/>
    <n v="4711"/>
    <n v="1104"/>
    <n v="0"/>
    <n v="0"/>
    <n v="226"/>
    <n v="65"/>
    <n v="173"/>
    <n v="100"/>
    <n v="0"/>
    <n v="37"/>
    <n v="0"/>
    <n v="0"/>
    <n v="1"/>
    <n v="3"/>
  </r>
  <r>
    <x v="30"/>
    <x v="4"/>
    <n v="3008"/>
    <n v="1000"/>
    <n v="0"/>
    <n v="0"/>
    <n v="89"/>
    <n v="23"/>
    <n v="148"/>
    <n v="91"/>
    <n v="0"/>
    <n v="30"/>
    <n v="0"/>
    <n v="0"/>
    <n v="0"/>
    <n v="4"/>
  </r>
  <r>
    <x v="30"/>
    <x v="5"/>
    <n v="2834"/>
    <n v="995"/>
    <n v="0"/>
    <n v="0"/>
    <n v="91"/>
    <n v="29"/>
    <n v="172"/>
    <n v="102"/>
    <n v="0"/>
    <n v="29"/>
    <n v="0"/>
    <n v="0"/>
    <n v="0"/>
    <n v="4"/>
  </r>
  <r>
    <x v="30"/>
    <x v="6"/>
    <n v="2193"/>
    <n v="920"/>
    <n v="0"/>
    <n v="0"/>
    <n v="56"/>
    <n v="3"/>
    <n v="165"/>
    <n v="112"/>
    <n v="2"/>
    <n v="32"/>
    <n v="0"/>
    <n v="0"/>
    <n v="0"/>
    <n v="5"/>
  </r>
  <r>
    <x v="30"/>
    <x v="7"/>
    <n v="1955"/>
    <n v="909"/>
    <n v="0"/>
    <n v="4"/>
    <n v="48"/>
    <n v="1"/>
    <n v="196"/>
    <n v="129"/>
    <n v="0"/>
    <n v="32"/>
    <n v="0"/>
    <n v="0"/>
    <n v="0"/>
    <m/>
  </r>
  <r>
    <x v="30"/>
    <x v="8"/>
    <n v="1765"/>
    <n v="1076"/>
    <n v="0"/>
    <n v="0"/>
    <n v="35"/>
    <n v="0"/>
    <n v="164"/>
    <n v="119"/>
    <n v="16"/>
    <n v="48"/>
    <n v="0"/>
    <n v="0"/>
    <n v="0"/>
    <m/>
  </r>
  <r>
    <x v="30"/>
    <x v="9"/>
    <n v="3017"/>
    <n v="1328"/>
    <n v="0"/>
    <n v="0"/>
    <n v="53"/>
    <n v="2"/>
    <n v="226"/>
    <n v="146"/>
    <n v="6"/>
    <n v="55"/>
    <n v="0"/>
    <n v="0"/>
    <n v="0"/>
    <n v="3"/>
  </r>
  <r>
    <x v="30"/>
    <x v="10"/>
    <n v="2459"/>
    <n v="1295"/>
    <n v="0"/>
    <n v="5"/>
    <n v="40"/>
    <n v="1"/>
    <n v="169"/>
    <n v="151"/>
    <n v="39"/>
    <n v="44"/>
    <n v="0"/>
    <n v="0"/>
    <n v="0"/>
    <n v="1"/>
  </r>
  <r>
    <x v="30"/>
    <x v="11"/>
    <n v="2741"/>
    <n v="1277"/>
    <n v="0"/>
    <n v="14"/>
    <n v="70"/>
    <n v="0"/>
    <n v="186"/>
    <n v="128"/>
    <n v="32"/>
    <n v="74"/>
    <n v="0"/>
    <n v="0"/>
    <n v="0"/>
    <n v="2"/>
  </r>
  <r>
    <x v="31"/>
    <x v="0"/>
    <n v="1015"/>
    <n v="664"/>
    <n v="0"/>
    <n v="5"/>
    <n v="8"/>
    <n v="0"/>
    <n v="63"/>
    <n v="5"/>
    <n v="3"/>
    <n v="27"/>
    <n v="0"/>
    <n v="0"/>
    <n v="1"/>
    <n v="0"/>
  </r>
  <r>
    <x v="31"/>
    <x v="1"/>
    <n v="876"/>
    <n v="602"/>
    <n v="0"/>
    <n v="1"/>
    <n v="6"/>
    <n v="5"/>
    <n v="31"/>
    <n v="2"/>
    <n v="0"/>
    <n v="36"/>
    <n v="0"/>
    <n v="0"/>
    <n v="0"/>
    <n v="1"/>
  </r>
  <r>
    <x v="31"/>
    <x v="2"/>
    <n v="1942"/>
    <n v="834"/>
    <n v="2"/>
    <n v="1"/>
    <n v="23"/>
    <n v="10"/>
    <n v="108"/>
    <n v="0"/>
    <n v="3"/>
    <n v="83"/>
    <n v="0"/>
    <n v="0"/>
    <n v="2"/>
    <n v="0"/>
  </r>
  <r>
    <x v="31"/>
    <x v="3"/>
    <n v="3025"/>
    <n v="821"/>
    <n v="1"/>
    <n v="0"/>
    <n v="17"/>
    <n v="106"/>
    <n v="222"/>
    <n v="6"/>
    <n v="0"/>
    <n v="31"/>
    <n v="0"/>
    <n v="5"/>
    <n v="6"/>
    <n v="0"/>
  </r>
  <r>
    <x v="31"/>
    <x v="4"/>
    <n v="1927"/>
    <n v="843"/>
    <n v="0"/>
    <n v="0"/>
    <n v="8"/>
    <n v="149"/>
    <n v="183"/>
    <n v="3"/>
    <n v="0"/>
    <n v="44"/>
    <n v="0"/>
    <n v="8"/>
    <n v="1"/>
    <n v="1"/>
  </r>
  <r>
    <x v="31"/>
    <x v="5"/>
    <n v="1783"/>
    <n v="935"/>
    <n v="0"/>
    <n v="11"/>
    <n v="26"/>
    <n v="56"/>
    <n v="202"/>
    <n v="7"/>
    <n v="0"/>
    <n v="36"/>
    <n v="0"/>
    <n v="12"/>
    <n v="2"/>
    <n v="3"/>
  </r>
  <r>
    <x v="31"/>
    <x v="6"/>
    <n v="1366"/>
    <n v="863"/>
    <n v="0"/>
    <n v="0"/>
    <n v="3"/>
    <n v="2"/>
    <n v="155"/>
    <n v="11"/>
    <n v="0"/>
    <n v="72"/>
    <n v="0"/>
    <n v="13"/>
    <n v="0"/>
    <n v="0"/>
  </r>
  <r>
    <x v="31"/>
    <x v="7"/>
    <n v="1136"/>
    <n v="703"/>
    <n v="0"/>
    <n v="0"/>
    <n v="2"/>
    <n v="4"/>
    <n v="146"/>
    <n v="10"/>
    <n v="5"/>
    <n v="40"/>
    <n v="0"/>
    <n v="0"/>
    <n v="0"/>
    <n v="2"/>
  </r>
  <r>
    <x v="31"/>
    <x v="8"/>
    <n v="1040"/>
    <n v="838"/>
    <n v="0"/>
    <n v="0"/>
    <n v="6"/>
    <n v="8"/>
    <n v="105"/>
    <n v="13"/>
    <n v="4"/>
    <n v="57"/>
    <n v="0"/>
    <n v="0"/>
    <n v="0"/>
    <n v="0"/>
  </r>
  <r>
    <x v="31"/>
    <x v="9"/>
    <n v="1627"/>
    <n v="939"/>
    <n v="0"/>
    <n v="1"/>
    <n v="2"/>
    <n v="5"/>
    <n v="139"/>
    <n v="27"/>
    <n v="17"/>
    <n v="80"/>
    <n v="0"/>
    <n v="0"/>
    <n v="0"/>
    <n v="0"/>
  </r>
  <r>
    <x v="31"/>
    <x v="10"/>
    <n v="1435"/>
    <n v="830"/>
    <n v="1"/>
    <n v="5"/>
    <n v="2"/>
    <n v="1"/>
    <n v="135"/>
    <n v="13"/>
    <n v="20"/>
    <n v="62"/>
    <n v="0"/>
    <n v="0"/>
    <n v="0"/>
    <n v="1"/>
  </r>
  <r>
    <x v="31"/>
    <x v="11"/>
    <n v="1544"/>
    <n v="899"/>
    <n v="0"/>
    <n v="5"/>
    <n v="8"/>
    <n v="2"/>
    <n v="150"/>
    <n v="8"/>
    <n v="11"/>
    <n v="72"/>
    <n v="0"/>
    <n v="0"/>
    <n v="0"/>
    <n v="0"/>
  </r>
  <r>
    <x v="32"/>
    <x v="0"/>
    <n v="2920"/>
    <n v="1974"/>
    <n v="0"/>
    <n v="14"/>
    <n v="39"/>
    <n v="12"/>
    <n v="291"/>
    <n v="19"/>
    <n v="5"/>
    <n v="144"/>
    <n v="0"/>
    <n v="0"/>
    <n v="0"/>
    <n v="9"/>
  </r>
  <r>
    <x v="32"/>
    <x v="1"/>
    <n v="2424"/>
    <n v="2067"/>
    <n v="1"/>
    <n v="19"/>
    <n v="36"/>
    <n v="36"/>
    <n v="263"/>
    <n v="23"/>
    <n v="9"/>
    <n v="105"/>
    <n v="0"/>
    <n v="0"/>
    <n v="0"/>
    <n v="12"/>
  </r>
  <r>
    <x v="32"/>
    <x v="2"/>
    <n v="4478"/>
    <n v="2334"/>
    <n v="9"/>
    <n v="5"/>
    <n v="247"/>
    <n v="82"/>
    <n v="342"/>
    <n v="42"/>
    <n v="3"/>
    <n v="153"/>
    <n v="0"/>
    <n v="0"/>
    <n v="3"/>
    <n v="12"/>
  </r>
  <r>
    <x v="32"/>
    <x v="3"/>
    <n v="7550"/>
    <n v="2386"/>
    <n v="11"/>
    <n v="10"/>
    <n v="233"/>
    <n v="158"/>
    <n v="581"/>
    <n v="32"/>
    <n v="6"/>
    <n v="150"/>
    <n v="0"/>
    <n v="0"/>
    <n v="5"/>
    <n v="5"/>
  </r>
  <r>
    <x v="32"/>
    <x v="4"/>
    <n v="5212"/>
    <n v="2079"/>
    <n v="0"/>
    <n v="3"/>
    <n v="164"/>
    <n v="108"/>
    <n v="547"/>
    <n v="32"/>
    <n v="3"/>
    <n v="78"/>
    <n v="0"/>
    <n v="0"/>
    <n v="6"/>
    <n v="17"/>
  </r>
  <r>
    <x v="32"/>
    <x v="5"/>
    <n v="4540"/>
    <n v="2485"/>
    <n v="0"/>
    <n v="3"/>
    <n v="131"/>
    <n v="66"/>
    <n v="508"/>
    <n v="35"/>
    <n v="1"/>
    <n v="141"/>
    <n v="0"/>
    <n v="0"/>
    <n v="1"/>
    <n v="10"/>
  </r>
  <r>
    <x v="32"/>
    <x v="6"/>
    <n v="3620"/>
    <n v="2086"/>
    <n v="0"/>
    <n v="1"/>
    <n v="115"/>
    <n v="34"/>
    <n v="564"/>
    <n v="78"/>
    <n v="5"/>
    <n v="144"/>
    <n v="0"/>
    <n v="2"/>
    <n v="1"/>
    <n v="12"/>
  </r>
  <r>
    <x v="32"/>
    <x v="7"/>
    <n v="2980"/>
    <n v="2015"/>
    <n v="0"/>
    <n v="2"/>
    <n v="62"/>
    <n v="14"/>
    <n v="518"/>
    <n v="73"/>
    <n v="5"/>
    <n v="118"/>
    <n v="0"/>
    <n v="0"/>
    <n v="0"/>
    <m/>
  </r>
  <r>
    <x v="32"/>
    <x v="8"/>
    <n v="3092"/>
    <n v="2365"/>
    <n v="0"/>
    <n v="0"/>
    <n v="32"/>
    <n v="20"/>
    <n v="478"/>
    <n v="64"/>
    <n v="31"/>
    <n v="128"/>
    <n v="0"/>
    <n v="1"/>
    <n v="2"/>
    <n v="0"/>
  </r>
  <r>
    <x v="32"/>
    <x v="9"/>
    <n v="3919"/>
    <n v="2798"/>
    <n v="0"/>
    <n v="4"/>
    <n v="68"/>
    <n v="49"/>
    <n v="567"/>
    <n v="86"/>
    <n v="29"/>
    <n v="217"/>
    <n v="0"/>
    <n v="0"/>
    <n v="2"/>
    <n v="7"/>
  </r>
  <r>
    <x v="32"/>
    <x v="10"/>
    <n v="3929"/>
    <n v="2320"/>
    <n v="0"/>
    <n v="16"/>
    <n v="97"/>
    <n v="32"/>
    <n v="525"/>
    <n v="46"/>
    <n v="15"/>
    <n v="156"/>
    <n v="0"/>
    <n v="0"/>
    <n v="4"/>
    <n v="20"/>
  </r>
  <r>
    <x v="32"/>
    <x v="11"/>
    <n v="3722"/>
    <n v="2499"/>
    <n v="0"/>
    <n v="8"/>
    <n v="108"/>
    <n v="7"/>
    <n v="515"/>
    <n v="37"/>
    <n v="32"/>
    <n v="147"/>
    <n v="0"/>
    <n v="0"/>
    <n v="1"/>
    <n v="14"/>
  </r>
  <r>
    <x v="33"/>
    <x v="0"/>
    <n v="925"/>
    <n v="555"/>
    <n v="0"/>
    <n v="15"/>
    <n v="8"/>
    <n v="1"/>
    <n v="136"/>
    <n v="2"/>
    <n v="2"/>
    <n v="32"/>
    <n v="0"/>
    <n v="0"/>
    <n v="0"/>
    <n v="0"/>
  </r>
  <r>
    <x v="33"/>
    <x v="1"/>
    <n v="801"/>
    <n v="494"/>
    <n v="0"/>
    <n v="3"/>
    <n v="8"/>
    <n v="3"/>
    <n v="131"/>
    <n v="0"/>
    <n v="0"/>
    <n v="48"/>
    <n v="0"/>
    <n v="0"/>
    <n v="0"/>
    <n v="0"/>
  </r>
  <r>
    <x v="33"/>
    <x v="2"/>
    <n v="1417"/>
    <n v="604"/>
    <n v="2"/>
    <n v="2"/>
    <n v="14"/>
    <n v="16"/>
    <n v="192"/>
    <n v="0"/>
    <n v="1"/>
    <n v="48"/>
    <n v="0"/>
    <n v="0"/>
    <n v="0"/>
    <n v="2"/>
  </r>
  <r>
    <x v="33"/>
    <x v="3"/>
    <n v="2447"/>
    <n v="607"/>
    <n v="4"/>
    <n v="0"/>
    <n v="18"/>
    <n v="87"/>
    <n v="244"/>
    <n v="0"/>
    <n v="0"/>
    <n v="34"/>
    <n v="0"/>
    <n v="0"/>
    <n v="1"/>
    <n v="5"/>
  </r>
  <r>
    <x v="33"/>
    <x v="4"/>
    <n v="1690"/>
    <n v="524"/>
    <n v="0"/>
    <n v="0"/>
    <n v="28"/>
    <n v="44"/>
    <n v="214"/>
    <n v="0"/>
    <n v="2"/>
    <n v="36"/>
    <n v="0"/>
    <n v="0"/>
    <n v="0"/>
    <n v="4"/>
  </r>
  <r>
    <x v="33"/>
    <x v="5"/>
    <n v="1464"/>
    <n v="591"/>
    <n v="0"/>
    <n v="0"/>
    <n v="7"/>
    <n v="7"/>
    <n v="267"/>
    <n v="1"/>
    <n v="0"/>
    <n v="36"/>
    <n v="0"/>
    <n v="0"/>
    <n v="0"/>
    <n v="6"/>
  </r>
  <r>
    <x v="33"/>
    <x v="6"/>
    <n v="1244"/>
    <n v="570"/>
    <n v="0"/>
    <n v="0"/>
    <n v="3"/>
    <n v="10"/>
    <n v="229"/>
    <n v="7"/>
    <n v="0"/>
    <n v="41"/>
    <n v="0"/>
    <n v="0"/>
    <n v="0"/>
    <n v="3"/>
  </r>
  <r>
    <x v="33"/>
    <x v="7"/>
    <n v="924"/>
    <n v="513"/>
    <n v="0"/>
    <n v="0"/>
    <n v="8"/>
    <n v="3"/>
    <n v="201"/>
    <n v="3"/>
    <n v="0"/>
    <n v="29"/>
    <n v="0"/>
    <n v="0"/>
    <n v="0"/>
    <n v="0"/>
  </r>
  <r>
    <x v="33"/>
    <x v="8"/>
    <n v="1154"/>
    <n v="567"/>
    <n v="0"/>
    <n v="0"/>
    <n v="6"/>
    <n v="0"/>
    <n v="286"/>
    <n v="1"/>
    <n v="2"/>
    <n v="32"/>
    <n v="0"/>
    <n v="0"/>
    <n v="0"/>
    <n v="1"/>
  </r>
  <r>
    <x v="33"/>
    <x v="9"/>
    <n v="1424"/>
    <n v="690"/>
    <n v="0"/>
    <n v="1"/>
    <n v="4"/>
    <n v="0"/>
    <n v="299"/>
    <n v="1"/>
    <n v="13"/>
    <n v="32"/>
    <n v="0"/>
    <n v="0"/>
    <n v="0"/>
    <n v="0"/>
  </r>
  <r>
    <x v="33"/>
    <x v="10"/>
    <n v="1173"/>
    <n v="650"/>
    <n v="0"/>
    <n v="10"/>
    <n v="5"/>
    <n v="0"/>
    <n v="240"/>
    <n v="0"/>
    <n v="6"/>
    <n v="25"/>
    <n v="0"/>
    <n v="0"/>
    <n v="0"/>
    <n v="1"/>
  </r>
  <r>
    <x v="33"/>
    <x v="11"/>
    <n v="1368"/>
    <n v="628"/>
    <n v="0"/>
    <n v="8"/>
    <n v="13"/>
    <n v="4"/>
    <n v="221"/>
    <n v="4"/>
    <n v="10"/>
    <n v="30"/>
    <n v="0"/>
    <n v="0"/>
    <n v="0"/>
    <n v="2"/>
  </r>
  <r>
    <x v="34"/>
    <x v="0"/>
    <n v="200"/>
    <n v="201"/>
    <n v="0"/>
    <n v="1"/>
    <n v="0"/>
    <n v="0"/>
    <n v="6"/>
    <n v="2"/>
    <n v="0"/>
    <n v="4"/>
    <n v="0"/>
    <n v="0"/>
    <n v="0"/>
    <n v="0"/>
  </r>
  <r>
    <x v="34"/>
    <x v="1"/>
    <n v="145"/>
    <n v="152"/>
    <n v="0"/>
    <n v="1"/>
    <n v="0"/>
    <n v="0"/>
    <n v="4"/>
    <n v="0"/>
    <n v="0"/>
    <n v="0"/>
    <n v="0"/>
    <n v="0"/>
    <n v="0"/>
    <n v="0"/>
  </r>
  <r>
    <x v="34"/>
    <x v="2"/>
    <n v="284"/>
    <n v="182"/>
    <n v="0"/>
    <n v="0"/>
    <n v="4"/>
    <n v="0"/>
    <n v="2"/>
    <n v="0"/>
    <n v="0"/>
    <n v="0"/>
    <n v="0"/>
    <n v="0"/>
    <n v="0"/>
    <n v="0"/>
  </r>
  <r>
    <x v="34"/>
    <x v="3"/>
    <n v="395"/>
    <n v="203"/>
    <n v="0"/>
    <n v="0"/>
    <n v="1"/>
    <n v="0"/>
    <n v="0"/>
    <n v="0"/>
    <n v="0"/>
    <n v="1"/>
    <n v="0"/>
    <n v="0"/>
    <n v="0"/>
    <n v="0"/>
  </r>
  <r>
    <x v="34"/>
    <x v="4"/>
    <n v="358"/>
    <n v="159"/>
    <n v="0"/>
    <n v="0"/>
    <n v="0"/>
    <n v="2"/>
    <n v="0"/>
    <n v="0"/>
    <n v="0"/>
    <n v="0"/>
    <n v="0"/>
    <n v="0"/>
    <n v="0"/>
    <n v="0"/>
  </r>
  <r>
    <x v="34"/>
    <x v="5"/>
    <n v="290"/>
    <n v="210"/>
    <n v="0"/>
    <n v="0"/>
    <n v="0"/>
    <n v="0"/>
    <n v="1"/>
    <n v="0"/>
    <n v="0"/>
    <n v="0"/>
    <n v="0"/>
    <n v="0"/>
    <n v="0"/>
    <n v="0"/>
  </r>
  <r>
    <x v="34"/>
    <x v="6"/>
    <n v="359"/>
    <n v="201"/>
    <n v="0"/>
    <n v="0"/>
    <n v="1"/>
    <n v="0"/>
    <n v="0"/>
    <n v="0"/>
    <n v="0"/>
    <n v="0"/>
    <n v="0"/>
    <n v="0"/>
    <n v="0"/>
    <n v="0"/>
  </r>
  <r>
    <x v="34"/>
    <x v="7"/>
    <n v="257"/>
    <n v="210"/>
    <n v="0"/>
    <n v="0"/>
    <n v="0"/>
    <n v="0"/>
    <n v="3"/>
    <n v="0"/>
    <n v="0"/>
    <n v="0"/>
    <n v="0"/>
    <n v="0"/>
    <n v="0"/>
    <n v="0"/>
  </r>
  <r>
    <x v="34"/>
    <x v="8"/>
    <n v="241"/>
    <n v="230"/>
    <n v="0"/>
    <n v="1"/>
    <n v="0"/>
    <n v="0"/>
    <n v="1"/>
    <n v="0"/>
    <n v="0"/>
    <n v="1"/>
    <n v="0"/>
    <n v="0"/>
    <n v="0"/>
    <n v="5"/>
  </r>
  <r>
    <x v="34"/>
    <x v="9"/>
    <n v="347"/>
    <n v="197"/>
    <n v="0"/>
    <n v="0"/>
    <n v="1"/>
    <n v="0"/>
    <n v="3"/>
    <n v="0"/>
    <n v="0"/>
    <n v="0"/>
    <n v="0"/>
    <n v="0"/>
    <n v="0"/>
    <n v="1"/>
  </r>
  <r>
    <x v="34"/>
    <x v="10"/>
    <n v="290"/>
    <n v="235"/>
    <n v="0"/>
    <n v="0"/>
    <n v="0"/>
    <n v="0"/>
    <n v="8"/>
    <n v="1"/>
    <n v="0"/>
    <n v="0"/>
    <n v="0"/>
    <n v="0"/>
    <n v="0"/>
    <n v="0"/>
  </r>
  <r>
    <x v="34"/>
    <x v="11"/>
    <n v="226"/>
    <n v="200"/>
    <n v="0"/>
    <n v="0"/>
    <n v="0"/>
    <n v="0"/>
    <n v="8"/>
    <n v="0"/>
    <n v="0"/>
    <n v="0"/>
    <n v="0"/>
    <n v="0"/>
    <n v="0"/>
    <n v="0"/>
  </r>
  <r>
    <x v="35"/>
    <x v="0"/>
    <n v="2081"/>
    <n v="729"/>
    <n v="0"/>
    <n v="64"/>
    <n v="91"/>
    <n v="8"/>
    <n v="416"/>
    <n v="44"/>
    <n v="34"/>
    <n v="100"/>
    <n v="0"/>
    <n v="0"/>
    <n v="0"/>
    <n v="7"/>
  </r>
  <r>
    <x v="35"/>
    <x v="1"/>
    <n v="1671"/>
    <n v="810"/>
    <n v="0"/>
    <n v="29"/>
    <n v="57"/>
    <n v="3"/>
    <n v="291"/>
    <n v="44"/>
    <n v="17"/>
    <n v="94"/>
    <n v="0"/>
    <n v="0"/>
    <n v="0"/>
    <n v="3"/>
  </r>
  <r>
    <x v="35"/>
    <x v="2"/>
    <n v="3272"/>
    <n v="945"/>
    <n v="21"/>
    <n v="13"/>
    <n v="243"/>
    <n v="102"/>
    <n v="601"/>
    <n v="45"/>
    <n v="24"/>
    <n v="89"/>
    <n v="0"/>
    <n v="1"/>
    <n v="0"/>
    <n v="7"/>
  </r>
  <r>
    <x v="35"/>
    <x v="3"/>
    <n v="5270"/>
    <n v="1327"/>
    <n v="5"/>
    <n v="0"/>
    <n v="205"/>
    <n v="266"/>
    <n v="1028"/>
    <n v="23"/>
    <n v="15"/>
    <n v="118"/>
    <n v="0"/>
    <n v="20"/>
    <n v="4"/>
    <n v="7"/>
  </r>
  <r>
    <x v="35"/>
    <x v="4"/>
    <n v="3588"/>
    <n v="1143"/>
    <n v="0"/>
    <n v="4"/>
    <n v="135"/>
    <n v="90"/>
    <n v="624"/>
    <n v="13"/>
    <n v="12"/>
    <n v="119"/>
    <n v="0"/>
    <n v="24"/>
    <n v="0"/>
    <n v="14"/>
  </r>
  <r>
    <x v="35"/>
    <x v="5"/>
    <n v="3605"/>
    <n v="1284"/>
    <n v="0"/>
    <n v="1"/>
    <n v="209"/>
    <n v="26"/>
    <n v="675"/>
    <n v="12"/>
    <n v="6"/>
    <n v="111"/>
    <n v="0"/>
    <n v="43"/>
    <n v="0"/>
    <n v="11"/>
  </r>
  <r>
    <x v="35"/>
    <x v="6"/>
    <n v="2951"/>
    <n v="1286"/>
    <n v="0"/>
    <n v="3"/>
    <n v="59"/>
    <n v="13"/>
    <n v="545"/>
    <n v="82"/>
    <n v="30"/>
    <n v="129"/>
    <n v="0"/>
    <n v="17"/>
    <n v="0"/>
    <n v="10"/>
  </r>
  <r>
    <x v="35"/>
    <x v="7"/>
    <n v="2187"/>
    <n v="808"/>
    <n v="0"/>
    <n v="1"/>
    <n v="47"/>
    <n v="2"/>
    <n v="355"/>
    <n v="134"/>
    <n v="24"/>
    <n v="104"/>
    <n v="0"/>
    <n v="2"/>
    <n v="0"/>
    <n v="3"/>
  </r>
  <r>
    <x v="35"/>
    <x v="8"/>
    <n v="1893"/>
    <n v="861"/>
    <n v="0"/>
    <n v="3"/>
    <n v="36"/>
    <n v="0"/>
    <n v="367"/>
    <n v="177"/>
    <n v="41"/>
    <n v="110"/>
    <n v="0"/>
    <n v="4"/>
    <n v="0"/>
    <n v="11"/>
  </r>
  <r>
    <x v="35"/>
    <x v="9"/>
    <n v="2875"/>
    <n v="1096"/>
    <n v="0"/>
    <n v="6"/>
    <n v="49"/>
    <n v="8"/>
    <n v="582"/>
    <n v="217"/>
    <n v="60"/>
    <n v="135"/>
    <n v="0"/>
    <n v="12"/>
    <n v="0"/>
    <m/>
  </r>
  <r>
    <x v="35"/>
    <x v="10"/>
    <n v="2738"/>
    <n v="1057"/>
    <n v="0"/>
    <n v="33"/>
    <n v="71"/>
    <n v="10"/>
    <n v="564"/>
    <n v="97"/>
    <n v="39"/>
    <n v="102"/>
    <n v="0"/>
    <n v="5"/>
    <n v="0"/>
    <n v="4"/>
  </r>
  <r>
    <x v="35"/>
    <x v="11"/>
    <n v="3065"/>
    <n v="1048"/>
    <n v="0"/>
    <n v="35"/>
    <n v="170"/>
    <n v="6"/>
    <n v="586"/>
    <n v="87"/>
    <n v="41"/>
    <n v="117"/>
    <n v="0"/>
    <n v="0"/>
    <n v="0"/>
    <n v="1"/>
  </r>
  <r>
    <x v="36"/>
    <x v="0"/>
    <n v="1518"/>
    <n v="698"/>
    <n v="2"/>
    <n v="28"/>
    <n v="28"/>
    <n v="2"/>
    <n v="331"/>
    <n v="0"/>
    <n v="50"/>
    <n v="298"/>
    <n v="0"/>
    <n v="0"/>
    <n v="0"/>
    <n v="0"/>
  </r>
  <r>
    <x v="36"/>
    <x v="1"/>
    <n v="1402"/>
    <n v="699"/>
    <n v="2"/>
    <n v="14"/>
    <n v="46"/>
    <n v="34"/>
    <n v="329"/>
    <n v="0"/>
    <n v="33"/>
    <n v="301"/>
    <n v="0"/>
    <n v="0"/>
    <n v="0"/>
    <n v="0"/>
  </r>
  <r>
    <x v="36"/>
    <x v="2"/>
    <n v="2540"/>
    <n v="922"/>
    <n v="2"/>
    <n v="1"/>
    <n v="183"/>
    <n v="180"/>
    <n v="487"/>
    <n v="1"/>
    <n v="33"/>
    <n v="396"/>
    <n v="0"/>
    <n v="0"/>
    <n v="0"/>
    <n v="0"/>
  </r>
  <r>
    <x v="36"/>
    <x v="3"/>
    <n v="4308"/>
    <n v="915"/>
    <n v="0"/>
    <n v="5"/>
    <n v="184"/>
    <n v="335"/>
    <n v="621"/>
    <n v="4"/>
    <n v="6"/>
    <n v="322"/>
    <n v="0"/>
    <n v="5"/>
    <n v="7"/>
    <n v="0"/>
  </r>
  <r>
    <x v="36"/>
    <x v="4"/>
    <n v="2569"/>
    <n v="726"/>
    <n v="0"/>
    <n v="4"/>
    <n v="118"/>
    <n v="184"/>
    <n v="496"/>
    <n v="4"/>
    <n v="9"/>
    <n v="273"/>
    <n v="0"/>
    <n v="22"/>
    <n v="4"/>
    <n v="0"/>
  </r>
  <r>
    <x v="36"/>
    <x v="5"/>
    <n v="2403"/>
    <n v="826"/>
    <n v="0"/>
    <n v="0"/>
    <n v="110"/>
    <n v="109"/>
    <n v="478"/>
    <n v="4"/>
    <n v="13"/>
    <n v="340"/>
    <n v="0"/>
    <n v="10"/>
    <n v="0"/>
    <n v="0"/>
  </r>
  <r>
    <x v="36"/>
    <x v="6"/>
    <n v="1888"/>
    <n v="814"/>
    <n v="0"/>
    <n v="0"/>
    <n v="61"/>
    <n v="68"/>
    <n v="480"/>
    <n v="1"/>
    <n v="7"/>
    <n v="324"/>
    <n v="0"/>
    <n v="2"/>
    <n v="0"/>
    <n v="0"/>
  </r>
  <r>
    <x v="36"/>
    <x v="7"/>
    <n v="1507"/>
    <n v="775"/>
    <n v="0"/>
    <n v="0"/>
    <n v="45"/>
    <n v="2"/>
    <n v="443"/>
    <n v="2"/>
    <n v="27"/>
    <n v="291"/>
    <n v="0"/>
    <n v="0"/>
    <n v="0"/>
    <n v="1"/>
  </r>
  <r>
    <x v="36"/>
    <x v="8"/>
    <n v="1543"/>
    <n v="876"/>
    <n v="0"/>
    <n v="0"/>
    <n v="31"/>
    <n v="6"/>
    <n v="531"/>
    <n v="0"/>
    <n v="37"/>
    <n v="337"/>
    <n v="0"/>
    <n v="0"/>
    <n v="0"/>
    <n v="0"/>
  </r>
  <r>
    <x v="36"/>
    <x v="9"/>
    <n v="2280"/>
    <n v="1059"/>
    <n v="0"/>
    <n v="1"/>
    <n v="36"/>
    <n v="7"/>
    <n v="581"/>
    <n v="3"/>
    <n v="72"/>
    <n v="413"/>
    <n v="0"/>
    <n v="0"/>
    <n v="0"/>
    <n v="4"/>
  </r>
  <r>
    <x v="36"/>
    <x v="10"/>
    <n v="1968"/>
    <n v="955"/>
    <n v="0"/>
    <n v="24"/>
    <n v="41"/>
    <n v="17"/>
    <n v="546"/>
    <n v="3"/>
    <n v="61"/>
    <n v="397"/>
    <n v="0"/>
    <n v="0"/>
    <n v="0"/>
    <n v="0"/>
  </r>
  <r>
    <x v="36"/>
    <x v="11"/>
    <n v="2143"/>
    <n v="923"/>
    <n v="0"/>
    <n v="42"/>
    <n v="127"/>
    <n v="5"/>
    <n v="601"/>
    <n v="0"/>
    <n v="72"/>
    <n v="364"/>
    <n v="0"/>
    <n v="0"/>
    <n v="0"/>
    <n v="0"/>
  </r>
  <r>
    <x v="37"/>
    <x v="0"/>
    <n v="1041"/>
    <n v="664"/>
    <n v="0"/>
    <n v="9"/>
    <n v="11"/>
    <n v="0"/>
    <n v="90"/>
    <n v="11"/>
    <n v="9"/>
    <n v="20"/>
    <n v="0"/>
    <n v="0"/>
    <n v="0"/>
    <n v="2"/>
  </r>
  <r>
    <x v="37"/>
    <x v="1"/>
    <n v="947"/>
    <n v="666"/>
    <n v="0"/>
    <n v="10"/>
    <n v="29"/>
    <n v="1"/>
    <n v="42"/>
    <n v="13"/>
    <n v="3"/>
    <n v="24"/>
    <n v="0"/>
    <n v="0"/>
    <n v="0"/>
    <n v="0"/>
  </r>
  <r>
    <x v="37"/>
    <x v="2"/>
    <n v="1671"/>
    <n v="786"/>
    <n v="2"/>
    <n v="3"/>
    <n v="39"/>
    <n v="11"/>
    <n v="104"/>
    <n v="11"/>
    <n v="0"/>
    <n v="20"/>
    <n v="0"/>
    <n v="0"/>
    <n v="0"/>
    <n v="0"/>
  </r>
  <r>
    <x v="37"/>
    <x v="3"/>
    <n v="2961"/>
    <n v="723"/>
    <n v="0"/>
    <n v="0"/>
    <n v="51"/>
    <n v="29"/>
    <n v="83"/>
    <n v="24"/>
    <n v="0"/>
    <n v="23"/>
    <n v="0"/>
    <n v="0"/>
    <n v="3"/>
    <n v="3"/>
  </r>
  <r>
    <x v="37"/>
    <x v="4"/>
    <n v="1691"/>
    <n v="700"/>
    <n v="0"/>
    <n v="0"/>
    <n v="37"/>
    <n v="17"/>
    <n v="118"/>
    <n v="13"/>
    <n v="6"/>
    <n v="26"/>
    <n v="0"/>
    <n v="0"/>
    <n v="0"/>
    <n v="4"/>
  </r>
  <r>
    <x v="37"/>
    <x v="5"/>
    <n v="1617"/>
    <n v="763"/>
    <n v="0"/>
    <n v="0"/>
    <n v="45"/>
    <n v="11"/>
    <n v="81"/>
    <n v="13"/>
    <n v="2"/>
    <n v="22"/>
    <n v="0"/>
    <n v="0"/>
    <n v="0"/>
    <n v="3"/>
  </r>
  <r>
    <x v="37"/>
    <x v="6"/>
    <n v="1556"/>
    <n v="777"/>
    <n v="0"/>
    <n v="0"/>
    <n v="21"/>
    <n v="2"/>
    <n v="140"/>
    <n v="26"/>
    <n v="6"/>
    <n v="37"/>
    <n v="0"/>
    <n v="0"/>
    <n v="0"/>
    <n v="2"/>
  </r>
  <r>
    <x v="37"/>
    <x v="7"/>
    <n v="1008"/>
    <n v="697"/>
    <n v="0"/>
    <n v="0"/>
    <n v="16"/>
    <n v="0"/>
    <n v="129"/>
    <n v="26"/>
    <n v="3"/>
    <n v="18"/>
    <n v="0"/>
    <n v="0"/>
    <n v="0"/>
    <m/>
  </r>
  <r>
    <x v="37"/>
    <x v="8"/>
    <n v="1231"/>
    <n v="808"/>
    <n v="0"/>
    <n v="0"/>
    <n v="15"/>
    <n v="0"/>
    <n v="137"/>
    <n v="20"/>
    <n v="7"/>
    <n v="20"/>
    <n v="0"/>
    <n v="0"/>
    <n v="0"/>
    <n v="0"/>
  </r>
  <r>
    <x v="37"/>
    <x v="9"/>
    <n v="1810"/>
    <n v="947"/>
    <n v="0"/>
    <n v="0"/>
    <n v="29"/>
    <n v="0"/>
    <n v="175"/>
    <n v="44"/>
    <n v="7"/>
    <n v="21"/>
    <n v="0"/>
    <n v="0"/>
    <n v="0"/>
    <n v="1"/>
  </r>
  <r>
    <x v="37"/>
    <x v="10"/>
    <n v="1591"/>
    <n v="782"/>
    <n v="0"/>
    <n v="8"/>
    <n v="27"/>
    <n v="3"/>
    <n v="130"/>
    <n v="14"/>
    <n v="9"/>
    <n v="19"/>
    <n v="0"/>
    <n v="0"/>
    <n v="0"/>
    <n v="2"/>
  </r>
  <r>
    <x v="37"/>
    <x v="11"/>
    <n v="1402"/>
    <n v="879"/>
    <n v="0"/>
    <n v="1"/>
    <n v="20"/>
    <n v="1"/>
    <n v="81"/>
    <n v="13"/>
    <n v="2"/>
    <n v="23"/>
    <n v="0"/>
    <n v="0"/>
    <n v="1"/>
    <n v="1"/>
  </r>
  <r>
    <x v="38"/>
    <x v="0"/>
    <n v="1942"/>
    <n v="1413"/>
    <n v="0"/>
    <n v="24"/>
    <n v="44"/>
    <n v="0"/>
    <n v="259"/>
    <n v="3"/>
    <n v="22"/>
    <n v="111"/>
    <n v="0"/>
    <n v="0"/>
    <n v="1"/>
    <n v="4"/>
  </r>
  <r>
    <x v="38"/>
    <x v="1"/>
    <n v="1729"/>
    <n v="1434"/>
    <n v="1"/>
    <n v="18"/>
    <n v="24"/>
    <n v="3"/>
    <n v="231"/>
    <n v="4"/>
    <n v="5"/>
    <n v="103"/>
    <n v="0"/>
    <n v="0"/>
    <n v="0"/>
    <n v="7"/>
  </r>
  <r>
    <x v="38"/>
    <x v="2"/>
    <n v="3369"/>
    <n v="1979"/>
    <n v="1"/>
    <n v="6"/>
    <n v="114"/>
    <n v="48"/>
    <n v="465"/>
    <n v="2"/>
    <n v="13"/>
    <n v="186"/>
    <n v="0"/>
    <n v="0"/>
    <n v="1"/>
    <n v="13"/>
  </r>
  <r>
    <x v="38"/>
    <x v="3"/>
    <n v="6286"/>
    <n v="1793"/>
    <n v="4"/>
    <n v="1"/>
    <n v="114"/>
    <n v="129"/>
    <n v="619"/>
    <n v="2"/>
    <n v="3"/>
    <n v="115"/>
    <n v="0"/>
    <n v="0"/>
    <n v="4"/>
    <n v="14"/>
  </r>
  <r>
    <x v="38"/>
    <x v="4"/>
    <n v="4181"/>
    <n v="1492"/>
    <n v="0"/>
    <n v="0"/>
    <n v="65"/>
    <n v="58"/>
    <n v="368"/>
    <n v="2"/>
    <n v="6"/>
    <n v="124"/>
    <n v="0"/>
    <n v="0"/>
    <n v="3"/>
    <n v="6"/>
  </r>
  <r>
    <x v="38"/>
    <x v="5"/>
    <n v="3661"/>
    <n v="1824"/>
    <n v="0"/>
    <n v="0"/>
    <n v="35"/>
    <n v="12"/>
    <n v="495"/>
    <n v="1"/>
    <n v="0"/>
    <n v="153"/>
    <n v="0"/>
    <n v="2"/>
    <n v="0"/>
    <n v="19"/>
  </r>
  <r>
    <x v="38"/>
    <x v="6"/>
    <n v="2676"/>
    <n v="1573"/>
    <n v="0"/>
    <n v="0"/>
    <n v="16"/>
    <n v="5"/>
    <n v="570"/>
    <n v="43"/>
    <n v="0"/>
    <n v="118"/>
    <n v="0"/>
    <n v="2"/>
    <n v="0"/>
    <n v="7"/>
  </r>
  <r>
    <x v="38"/>
    <x v="7"/>
    <n v="2234"/>
    <n v="1481"/>
    <n v="0"/>
    <n v="0"/>
    <n v="30"/>
    <n v="7"/>
    <n v="495"/>
    <n v="18"/>
    <n v="0"/>
    <n v="136"/>
    <n v="0"/>
    <n v="0"/>
    <n v="0"/>
    <m/>
  </r>
  <r>
    <x v="38"/>
    <x v="8"/>
    <n v="2149"/>
    <n v="1827"/>
    <n v="0"/>
    <n v="0"/>
    <n v="21"/>
    <n v="0"/>
    <n v="444"/>
    <n v="15"/>
    <n v="39"/>
    <n v="155"/>
    <n v="0"/>
    <n v="0"/>
    <n v="0"/>
    <n v="4"/>
  </r>
  <r>
    <x v="38"/>
    <x v="9"/>
    <n v="3096"/>
    <n v="2154"/>
    <n v="0"/>
    <n v="6"/>
    <n v="28"/>
    <n v="4"/>
    <n v="493"/>
    <n v="13"/>
    <n v="34"/>
    <n v="240"/>
    <n v="0"/>
    <n v="1"/>
    <n v="0"/>
    <n v="15"/>
  </r>
  <r>
    <x v="38"/>
    <x v="10"/>
    <n v="2927"/>
    <n v="1887"/>
    <n v="0"/>
    <n v="15"/>
    <n v="14"/>
    <n v="0"/>
    <n v="460"/>
    <n v="15"/>
    <n v="54"/>
    <n v="163"/>
    <n v="0"/>
    <n v="0"/>
    <n v="0"/>
    <n v="6"/>
  </r>
  <r>
    <x v="38"/>
    <x v="11"/>
    <n v="3085"/>
    <n v="1909"/>
    <n v="0"/>
    <n v="31"/>
    <n v="60"/>
    <n v="0"/>
    <n v="471"/>
    <n v="3"/>
    <n v="74"/>
    <n v="159"/>
    <n v="0"/>
    <n v="0"/>
    <n v="0"/>
    <n v="15"/>
  </r>
  <r>
    <x v="39"/>
    <x v="0"/>
    <n v="679"/>
    <n v="330"/>
    <n v="0"/>
    <n v="18"/>
    <n v="18"/>
    <n v="0"/>
    <n v="149"/>
    <n v="0"/>
    <n v="20"/>
    <n v="52"/>
    <n v="0"/>
    <n v="0"/>
    <n v="0"/>
    <n v="1"/>
  </r>
  <r>
    <x v="39"/>
    <x v="1"/>
    <n v="558"/>
    <n v="297"/>
    <n v="0"/>
    <n v="14"/>
    <n v="15"/>
    <n v="6"/>
    <n v="153"/>
    <n v="0"/>
    <n v="4"/>
    <n v="46"/>
    <n v="0"/>
    <n v="0"/>
    <n v="0"/>
    <n v="1"/>
  </r>
  <r>
    <x v="39"/>
    <x v="2"/>
    <n v="1485"/>
    <n v="378"/>
    <n v="2"/>
    <n v="4"/>
    <n v="94"/>
    <n v="87"/>
    <n v="253"/>
    <n v="0"/>
    <n v="25"/>
    <n v="42"/>
    <n v="0"/>
    <n v="1"/>
    <n v="0"/>
    <n v="3"/>
  </r>
  <r>
    <x v="39"/>
    <x v="3"/>
    <n v="2302"/>
    <n v="333"/>
    <n v="0"/>
    <n v="4"/>
    <n v="83"/>
    <n v="177"/>
    <n v="302"/>
    <n v="0"/>
    <n v="15"/>
    <n v="45"/>
    <n v="0"/>
    <n v="5"/>
    <n v="1"/>
    <n v="2"/>
  </r>
  <r>
    <x v="39"/>
    <x v="4"/>
    <n v="1391"/>
    <n v="318"/>
    <n v="0"/>
    <n v="1"/>
    <n v="30"/>
    <n v="86"/>
    <n v="256"/>
    <n v="2"/>
    <n v="0"/>
    <n v="57"/>
    <n v="0"/>
    <n v="1"/>
    <n v="0"/>
    <n v="1"/>
  </r>
  <r>
    <x v="39"/>
    <x v="5"/>
    <n v="1506"/>
    <n v="358"/>
    <n v="0"/>
    <n v="0"/>
    <n v="63"/>
    <n v="48"/>
    <n v="307"/>
    <n v="0"/>
    <n v="7"/>
    <n v="59"/>
    <n v="0"/>
    <n v="3"/>
    <n v="0"/>
    <n v="3"/>
  </r>
  <r>
    <x v="39"/>
    <x v="6"/>
    <n v="985"/>
    <n v="352"/>
    <n v="0"/>
    <n v="0"/>
    <n v="30"/>
    <n v="23"/>
    <n v="226"/>
    <n v="4"/>
    <n v="2"/>
    <n v="47"/>
    <n v="0"/>
    <n v="4"/>
    <n v="1"/>
    <n v="1"/>
  </r>
  <r>
    <x v="39"/>
    <x v="7"/>
    <n v="741"/>
    <n v="367"/>
    <n v="0"/>
    <n v="0"/>
    <n v="34"/>
    <n v="3"/>
    <n v="199"/>
    <n v="0"/>
    <n v="0"/>
    <n v="59"/>
    <n v="0"/>
    <n v="0"/>
    <n v="0"/>
    <n v="8"/>
  </r>
  <r>
    <x v="39"/>
    <x v="8"/>
    <n v="807"/>
    <n v="357"/>
    <n v="0"/>
    <n v="0"/>
    <n v="19"/>
    <n v="1"/>
    <n v="204"/>
    <n v="1"/>
    <n v="20"/>
    <n v="36"/>
    <n v="0"/>
    <n v="0"/>
    <n v="0"/>
    <n v="1"/>
  </r>
  <r>
    <x v="39"/>
    <x v="9"/>
    <n v="1324"/>
    <n v="461"/>
    <n v="0"/>
    <n v="0"/>
    <n v="29"/>
    <n v="12"/>
    <n v="310"/>
    <n v="0"/>
    <n v="36"/>
    <n v="44"/>
    <n v="0"/>
    <n v="0"/>
    <n v="0"/>
    <n v="3"/>
  </r>
  <r>
    <x v="39"/>
    <x v="10"/>
    <n v="869"/>
    <n v="377"/>
    <n v="0"/>
    <n v="19"/>
    <n v="12"/>
    <n v="3"/>
    <n v="170"/>
    <n v="1"/>
    <n v="32"/>
    <n v="55"/>
    <n v="0"/>
    <n v="0"/>
    <n v="0"/>
    <n v="0"/>
  </r>
  <r>
    <x v="39"/>
    <x v="11"/>
    <n v="1068"/>
    <n v="368"/>
    <n v="0"/>
    <n v="17"/>
    <n v="47"/>
    <n v="1"/>
    <n v="302"/>
    <n v="0"/>
    <n v="12"/>
    <n v="43"/>
    <n v="0"/>
    <n v="0"/>
    <n v="0"/>
    <n v="1"/>
  </r>
  <r>
    <x v="40"/>
    <x v="5"/>
    <n v="2435"/>
    <n v="923"/>
    <n v="0"/>
    <n v="0"/>
    <n v="77"/>
    <n v="27"/>
    <n v="317"/>
    <n v="68"/>
    <n v="0"/>
    <n v="93"/>
    <n v="0"/>
    <n v="0"/>
    <n v="1"/>
    <n v="5"/>
  </r>
  <r>
    <x v="40"/>
    <x v="6"/>
    <n v="1089"/>
    <n v="773"/>
    <n v="0"/>
    <n v="0"/>
    <n v="13"/>
    <n v="2"/>
    <n v="209"/>
    <n v="34"/>
    <n v="8"/>
    <n v="68"/>
    <n v="0"/>
    <n v="0"/>
    <n v="0"/>
    <n v="5"/>
  </r>
  <r>
    <x v="41"/>
    <x v="0"/>
    <n v="1980"/>
    <n v="1221"/>
    <n v="2"/>
    <n v="10"/>
    <n v="39"/>
    <n v="6"/>
    <n v="300"/>
    <n v="8"/>
    <n v="4"/>
    <n v="53"/>
    <n v="0"/>
    <n v="0"/>
    <n v="2"/>
    <n v="7"/>
  </r>
  <r>
    <x v="41"/>
    <x v="1"/>
    <n v="1637"/>
    <n v="1215"/>
    <n v="5"/>
    <n v="11"/>
    <n v="43"/>
    <n v="2"/>
    <n v="240"/>
    <n v="4"/>
    <n v="0"/>
    <n v="75"/>
    <n v="0"/>
    <n v="0"/>
    <n v="0"/>
    <n v="6"/>
  </r>
  <r>
    <x v="41"/>
    <x v="2"/>
    <n v="3615"/>
    <n v="1578"/>
    <n v="5"/>
    <n v="3"/>
    <n v="195"/>
    <n v="77"/>
    <n v="489"/>
    <n v="17"/>
    <n v="0"/>
    <n v="79"/>
    <n v="0"/>
    <n v="1"/>
    <n v="2"/>
    <n v="8"/>
  </r>
  <r>
    <x v="41"/>
    <x v="3"/>
    <n v="6225"/>
    <n v="1596"/>
    <n v="0"/>
    <n v="1"/>
    <n v="252"/>
    <n v="184"/>
    <n v="690"/>
    <n v="8"/>
    <n v="0"/>
    <n v="77"/>
    <n v="0"/>
    <n v="1"/>
    <n v="17"/>
    <n v="16"/>
  </r>
  <r>
    <x v="41"/>
    <x v="4"/>
    <n v="3926"/>
    <n v="1311"/>
    <n v="0"/>
    <n v="1"/>
    <n v="179"/>
    <n v="62"/>
    <n v="555"/>
    <n v="21"/>
    <n v="3"/>
    <n v="43"/>
    <n v="0"/>
    <n v="2"/>
    <n v="4"/>
    <n v="7"/>
  </r>
  <r>
    <x v="41"/>
    <x v="5"/>
    <n v="3455"/>
    <n v="1645"/>
    <n v="0"/>
    <n v="0"/>
    <n v="119"/>
    <n v="16"/>
    <n v="657"/>
    <n v="16"/>
    <n v="0"/>
    <n v="68"/>
    <n v="0"/>
    <n v="0"/>
    <n v="4"/>
    <n v="6"/>
  </r>
  <r>
    <x v="41"/>
    <x v="6"/>
    <n v="2365"/>
    <n v="1319"/>
    <n v="0"/>
    <n v="0"/>
    <n v="73"/>
    <n v="8"/>
    <n v="482"/>
    <n v="98"/>
    <n v="0"/>
    <n v="77"/>
    <n v="0"/>
    <n v="0"/>
    <n v="0"/>
    <n v="8"/>
  </r>
  <r>
    <x v="41"/>
    <x v="7"/>
    <n v="2008"/>
    <n v="1096"/>
    <n v="0"/>
    <n v="2"/>
    <n v="49"/>
    <n v="9"/>
    <n v="358"/>
    <n v="163"/>
    <n v="0"/>
    <n v="50"/>
    <n v="0"/>
    <n v="1"/>
    <n v="0"/>
    <n v="1"/>
  </r>
  <r>
    <x v="41"/>
    <x v="8"/>
    <n v="1939"/>
    <n v="1450"/>
    <n v="0"/>
    <n v="0"/>
    <n v="34"/>
    <n v="9"/>
    <n v="347"/>
    <n v="97"/>
    <n v="16"/>
    <n v="84"/>
    <n v="0"/>
    <n v="0"/>
    <n v="0"/>
    <n v="2"/>
  </r>
  <r>
    <x v="41"/>
    <x v="9"/>
    <n v="3063"/>
    <n v="1719"/>
    <n v="0"/>
    <n v="8"/>
    <n v="56"/>
    <n v="9"/>
    <n v="491"/>
    <n v="64"/>
    <n v="17"/>
    <n v="81"/>
    <n v="0"/>
    <n v="0"/>
    <n v="0"/>
    <n v="3"/>
  </r>
  <r>
    <x v="41"/>
    <x v="10"/>
    <n v="2922"/>
    <n v="1641"/>
    <n v="0"/>
    <n v="4"/>
    <n v="48"/>
    <n v="14"/>
    <n v="434"/>
    <n v="33"/>
    <n v="27"/>
    <n v="86"/>
    <n v="0"/>
    <n v="0"/>
    <n v="2"/>
    <n v="6"/>
  </r>
  <r>
    <x v="41"/>
    <x v="11"/>
    <n v="3080"/>
    <n v="1644"/>
    <n v="0"/>
    <n v="11"/>
    <n v="84"/>
    <n v="4"/>
    <n v="513"/>
    <n v="24"/>
    <n v="17"/>
    <n v="81"/>
    <n v="0"/>
    <n v="0"/>
    <n v="3"/>
    <n v="8"/>
  </r>
  <r>
    <x v="42"/>
    <x v="0"/>
    <n v="1705"/>
    <n v="1089"/>
    <n v="0"/>
    <n v="2"/>
    <n v="28"/>
    <n v="0"/>
    <n v="59"/>
    <n v="18"/>
    <n v="6"/>
    <n v="43"/>
    <n v="0"/>
    <n v="0"/>
    <n v="0"/>
    <n v="13"/>
  </r>
  <r>
    <x v="42"/>
    <x v="1"/>
    <n v="1445"/>
    <n v="1220"/>
    <n v="0"/>
    <n v="8"/>
    <n v="46"/>
    <n v="8"/>
    <n v="101"/>
    <n v="23"/>
    <n v="16"/>
    <n v="47"/>
    <n v="0"/>
    <n v="0"/>
    <n v="0"/>
    <n v="4"/>
  </r>
  <r>
    <x v="42"/>
    <x v="2"/>
    <n v="3122"/>
    <n v="1436"/>
    <n v="7"/>
    <n v="3"/>
    <n v="82"/>
    <n v="28"/>
    <n v="144"/>
    <n v="26"/>
    <n v="11"/>
    <n v="32"/>
    <n v="0"/>
    <n v="0"/>
    <n v="0"/>
    <n v="7"/>
  </r>
  <r>
    <x v="42"/>
    <x v="3"/>
    <n v="5093"/>
    <n v="1388"/>
    <n v="0"/>
    <n v="8"/>
    <n v="128"/>
    <n v="38"/>
    <n v="211"/>
    <n v="11"/>
    <n v="0"/>
    <n v="16"/>
    <n v="0"/>
    <n v="2"/>
    <n v="1"/>
    <n v="0"/>
  </r>
  <r>
    <x v="42"/>
    <x v="4"/>
    <n v="3456"/>
    <n v="1175"/>
    <n v="0"/>
    <n v="3"/>
    <n v="98"/>
    <n v="45"/>
    <n v="163"/>
    <n v="20"/>
    <n v="0"/>
    <n v="18"/>
    <n v="0"/>
    <n v="0"/>
    <n v="0"/>
    <n v="13"/>
  </r>
  <r>
    <x v="42"/>
    <x v="5"/>
    <n v="2615"/>
    <n v="1419"/>
    <n v="0"/>
    <n v="0"/>
    <n v="83"/>
    <n v="12"/>
    <n v="197"/>
    <n v="24"/>
    <n v="0"/>
    <n v="37"/>
    <n v="0"/>
    <n v="0"/>
    <n v="0"/>
    <n v="10"/>
  </r>
  <r>
    <x v="42"/>
    <x v="6"/>
    <n v="1868"/>
    <n v="1282"/>
    <n v="0"/>
    <n v="0"/>
    <n v="40"/>
    <n v="20"/>
    <n v="251"/>
    <n v="50"/>
    <n v="7"/>
    <n v="41"/>
    <n v="0"/>
    <n v="0"/>
    <n v="0"/>
    <n v="6"/>
  </r>
  <r>
    <x v="42"/>
    <x v="7"/>
    <n v="1911"/>
    <n v="1030"/>
    <n v="0"/>
    <n v="0"/>
    <n v="46"/>
    <n v="2"/>
    <n v="175"/>
    <n v="69"/>
    <n v="0"/>
    <n v="21"/>
    <n v="0"/>
    <n v="0"/>
    <n v="0"/>
    <m/>
  </r>
  <r>
    <x v="42"/>
    <x v="8"/>
    <n v="1725"/>
    <n v="1325"/>
    <n v="0"/>
    <n v="0"/>
    <n v="28"/>
    <n v="4"/>
    <n v="184"/>
    <n v="89"/>
    <n v="11"/>
    <n v="37"/>
    <n v="0"/>
    <n v="0"/>
    <n v="0"/>
    <n v="0"/>
  </r>
  <r>
    <x v="42"/>
    <x v="9"/>
    <n v="2310"/>
    <n v="1614"/>
    <n v="0"/>
    <n v="0"/>
    <n v="35"/>
    <n v="2"/>
    <n v="140"/>
    <n v="37"/>
    <n v="28"/>
    <n v="18"/>
    <n v="0"/>
    <n v="0"/>
    <n v="0"/>
    <n v="1"/>
  </r>
  <r>
    <x v="42"/>
    <x v="10"/>
    <n v="2425"/>
    <n v="1428"/>
    <n v="0"/>
    <n v="10"/>
    <n v="37"/>
    <n v="23"/>
    <n v="187"/>
    <n v="28"/>
    <n v="39"/>
    <n v="33"/>
    <n v="0"/>
    <n v="0"/>
    <n v="0"/>
    <n v="5"/>
  </r>
  <r>
    <x v="42"/>
    <x v="11"/>
    <n v="2498"/>
    <n v="1522"/>
    <n v="0"/>
    <n v="7"/>
    <n v="60"/>
    <n v="5"/>
    <n v="188"/>
    <n v="17"/>
    <n v="7"/>
    <n v="6"/>
    <n v="0"/>
    <n v="0"/>
    <n v="0"/>
    <n v="18"/>
  </r>
  <r>
    <x v="43"/>
    <x v="0"/>
    <n v="1338"/>
    <n v="378"/>
    <n v="0"/>
    <n v="63"/>
    <n v="103"/>
    <n v="33"/>
    <n v="193"/>
    <n v="25"/>
    <n v="25"/>
    <n v="53"/>
    <n v="0"/>
    <n v="1"/>
    <n v="0"/>
    <n v="3"/>
  </r>
  <r>
    <x v="43"/>
    <x v="1"/>
    <n v="972"/>
    <n v="374"/>
    <n v="2"/>
    <n v="34"/>
    <n v="53"/>
    <n v="29"/>
    <n v="141"/>
    <n v="46"/>
    <n v="11"/>
    <n v="55"/>
    <n v="0"/>
    <n v="1"/>
    <n v="1"/>
    <n v="3"/>
  </r>
  <r>
    <x v="43"/>
    <x v="2"/>
    <n v="2166"/>
    <n v="392"/>
    <n v="14"/>
    <n v="10"/>
    <n v="277"/>
    <n v="156"/>
    <n v="363"/>
    <n v="55"/>
    <n v="18"/>
    <n v="63"/>
    <n v="0"/>
    <n v="2"/>
    <n v="0"/>
    <n v="1"/>
  </r>
  <r>
    <x v="43"/>
    <x v="3"/>
    <n v="3626"/>
    <n v="721"/>
    <n v="15"/>
    <n v="15"/>
    <n v="137"/>
    <n v="288"/>
    <n v="549"/>
    <n v="49"/>
    <n v="28"/>
    <n v="65"/>
    <n v="0"/>
    <n v="17"/>
    <n v="4"/>
    <n v="8"/>
  </r>
  <r>
    <x v="43"/>
    <x v="4"/>
    <n v="2382"/>
    <n v="525"/>
    <n v="0"/>
    <n v="3"/>
    <n v="131"/>
    <n v="145"/>
    <n v="465"/>
    <n v="37"/>
    <n v="5"/>
    <n v="37"/>
    <n v="0"/>
    <n v="53"/>
    <n v="1"/>
    <n v="6"/>
  </r>
  <r>
    <x v="43"/>
    <x v="5"/>
    <n v="2209"/>
    <n v="668"/>
    <n v="0"/>
    <n v="4"/>
    <n v="143"/>
    <n v="40"/>
    <n v="486"/>
    <n v="26"/>
    <n v="10"/>
    <n v="67"/>
    <n v="0"/>
    <n v="28"/>
    <n v="0"/>
    <n v="9"/>
  </r>
  <r>
    <x v="43"/>
    <x v="6"/>
    <n v="2152"/>
    <n v="588"/>
    <n v="0"/>
    <n v="3"/>
    <n v="81"/>
    <n v="31"/>
    <n v="553"/>
    <n v="127"/>
    <n v="18"/>
    <n v="47"/>
    <n v="0"/>
    <n v="19"/>
    <n v="0"/>
    <n v="9"/>
  </r>
  <r>
    <x v="43"/>
    <x v="7"/>
    <n v="1344"/>
    <n v="398"/>
    <n v="0"/>
    <n v="2"/>
    <n v="34"/>
    <n v="24"/>
    <n v="262"/>
    <n v="119"/>
    <n v="20"/>
    <n v="48"/>
    <n v="0"/>
    <n v="7"/>
    <n v="0"/>
    <n v="0"/>
  </r>
  <r>
    <x v="43"/>
    <x v="8"/>
    <n v="1480"/>
    <n v="464"/>
    <n v="0"/>
    <n v="0"/>
    <n v="41"/>
    <n v="17"/>
    <n v="270"/>
    <n v="171"/>
    <n v="45"/>
    <n v="56"/>
    <n v="0"/>
    <n v="7"/>
    <n v="0"/>
    <n v="1"/>
  </r>
  <r>
    <x v="43"/>
    <x v="9"/>
    <n v="2089"/>
    <n v="482"/>
    <n v="0"/>
    <n v="17"/>
    <n v="46"/>
    <n v="22"/>
    <n v="293"/>
    <n v="247"/>
    <n v="118"/>
    <n v="57"/>
    <n v="0"/>
    <n v="18"/>
    <n v="0"/>
    <m/>
  </r>
  <r>
    <x v="43"/>
    <x v="10"/>
    <n v="1934"/>
    <n v="432"/>
    <n v="0"/>
    <n v="55"/>
    <n v="61"/>
    <n v="36"/>
    <n v="368"/>
    <n v="120"/>
    <n v="98"/>
    <n v="48"/>
    <n v="0"/>
    <n v="7"/>
    <n v="0"/>
    <n v="12"/>
  </r>
  <r>
    <x v="43"/>
    <x v="11"/>
    <n v="2027"/>
    <n v="453"/>
    <n v="0"/>
    <n v="54"/>
    <n v="147"/>
    <n v="38"/>
    <n v="384"/>
    <n v="70"/>
    <n v="48"/>
    <n v="60"/>
    <n v="0"/>
    <n v="7"/>
    <n v="0"/>
    <n v="12"/>
  </r>
  <r>
    <x v="44"/>
    <x v="0"/>
    <n v="1866"/>
    <n v="784"/>
    <n v="0"/>
    <n v="15"/>
    <n v="77"/>
    <n v="5"/>
    <n v="157"/>
    <n v="16"/>
    <n v="12"/>
    <n v="22"/>
    <n v="0"/>
    <n v="0"/>
    <n v="2"/>
    <n v="5"/>
  </r>
  <r>
    <x v="44"/>
    <x v="1"/>
    <n v="1699"/>
    <n v="790"/>
    <n v="0"/>
    <n v="5"/>
    <n v="40"/>
    <n v="0"/>
    <n v="136"/>
    <n v="11"/>
    <n v="3"/>
    <n v="34"/>
    <n v="0"/>
    <n v="0"/>
    <n v="2"/>
    <n v="1"/>
  </r>
  <r>
    <x v="44"/>
    <x v="2"/>
    <n v="3156"/>
    <n v="1102"/>
    <n v="0"/>
    <n v="1"/>
    <n v="203"/>
    <n v="13"/>
    <n v="187"/>
    <n v="25"/>
    <n v="5"/>
    <n v="50"/>
    <n v="0"/>
    <n v="0"/>
    <n v="2"/>
    <n v="3"/>
  </r>
  <r>
    <x v="44"/>
    <x v="3"/>
    <n v="5117"/>
    <n v="10368"/>
    <n v="0"/>
    <n v="0"/>
    <n v="233"/>
    <n v="42"/>
    <n v="220"/>
    <n v="16"/>
    <n v="5"/>
    <n v="48"/>
    <n v="0"/>
    <n v="0"/>
    <n v="2"/>
    <n v="4"/>
  </r>
  <r>
    <x v="44"/>
    <x v="4"/>
    <n v="3564"/>
    <n v="941"/>
    <n v="0"/>
    <n v="0"/>
    <n v="116"/>
    <n v="34"/>
    <n v="177"/>
    <n v="7"/>
    <n v="0"/>
    <n v="42"/>
    <n v="0"/>
    <n v="0"/>
    <n v="3"/>
    <n v="6"/>
  </r>
  <r>
    <x v="44"/>
    <x v="5"/>
    <n v="3444"/>
    <n v="1119"/>
    <n v="0"/>
    <n v="0"/>
    <n v="98"/>
    <n v="14"/>
    <n v="218"/>
    <n v="11"/>
    <n v="0"/>
    <n v="53"/>
    <n v="0"/>
    <n v="0"/>
    <n v="1"/>
    <n v="1"/>
  </r>
  <r>
    <x v="44"/>
    <x v="6"/>
    <n v="2987"/>
    <n v="1123"/>
    <n v="0"/>
    <n v="1"/>
    <n v="84"/>
    <n v="11"/>
    <n v="298"/>
    <n v="60"/>
    <n v="10"/>
    <n v="48"/>
    <n v="0"/>
    <n v="0"/>
    <n v="1"/>
    <n v="6"/>
  </r>
  <r>
    <x v="44"/>
    <x v="7"/>
    <n v="2158"/>
    <n v="896"/>
    <n v="0"/>
    <n v="0"/>
    <n v="49"/>
    <n v="0"/>
    <n v="198"/>
    <n v="25"/>
    <n v="5"/>
    <n v="14"/>
    <n v="0"/>
    <n v="0"/>
    <n v="0"/>
    <m/>
  </r>
  <r>
    <x v="44"/>
    <x v="8"/>
    <n v="2258"/>
    <n v="1101"/>
    <n v="0"/>
    <n v="0"/>
    <n v="26"/>
    <n v="0"/>
    <n v="221"/>
    <n v="38"/>
    <n v="19"/>
    <n v="27"/>
    <n v="0"/>
    <n v="0"/>
    <n v="0"/>
    <n v="7"/>
  </r>
  <r>
    <x v="44"/>
    <x v="9"/>
    <n v="3568"/>
    <n v="1294"/>
    <n v="0"/>
    <n v="3"/>
    <n v="65"/>
    <n v="2"/>
    <n v="375"/>
    <n v="45"/>
    <n v="30"/>
    <n v="17"/>
    <n v="0"/>
    <n v="0"/>
    <n v="2"/>
    <n v="12"/>
  </r>
  <r>
    <x v="44"/>
    <x v="10"/>
    <n v="2783"/>
    <n v="1057"/>
    <n v="0"/>
    <n v="3"/>
    <n v="52"/>
    <n v="7"/>
    <n v="215"/>
    <n v="28"/>
    <n v="26"/>
    <n v="15"/>
    <n v="0"/>
    <n v="0"/>
    <n v="2"/>
    <n v="3"/>
  </r>
  <r>
    <x v="44"/>
    <x v="11"/>
    <n v="2819"/>
    <n v="1064"/>
    <n v="0"/>
    <n v="3"/>
    <n v="137"/>
    <n v="0"/>
    <n v="197"/>
    <n v="21"/>
    <n v="5"/>
    <n v="45"/>
    <n v="0"/>
    <n v="0"/>
    <n v="2"/>
    <n v="4"/>
  </r>
  <r>
    <x v="45"/>
    <x v="0"/>
    <n v="1578"/>
    <n v="848"/>
    <n v="0"/>
    <n v="15"/>
    <n v="19"/>
    <n v="6"/>
    <n v="275"/>
    <n v="4"/>
    <n v="14"/>
    <n v="152"/>
    <n v="0"/>
    <n v="0"/>
    <n v="1"/>
    <n v="0"/>
  </r>
  <r>
    <x v="45"/>
    <x v="1"/>
    <n v="1536"/>
    <n v="965"/>
    <n v="0"/>
    <n v="5"/>
    <n v="15"/>
    <n v="31"/>
    <n v="281"/>
    <n v="4"/>
    <n v="14"/>
    <n v="202"/>
    <n v="0"/>
    <n v="0"/>
    <n v="2"/>
    <n v="0"/>
  </r>
  <r>
    <x v="45"/>
    <x v="2"/>
    <n v="2643"/>
    <n v="1065"/>
    <n v="7"/>
    <n v="0"/>
    <n v="67"/>
    <n v="73"/>
    <n v="409"/>
    <n v="7"/>
    <n v="28"/>
    <n v="174"/>
    <n v="0"/>
    <n v="0"/>
    <n v="7"/>
    <n v="1"/>
  </r>
  <r>
    <x v="45"/>
    <x v="3"/>
    <n v="4372"/>
    <n v="1123"/>
    <n v="2"/>
    <n v="0"/>
    <n v="79"/>
    <n v="184"/>
    <n v="407"/>
    <n v="14"/>
    <n v="1"/>
    <n v="155"/>
    <n v="0"/>
    <n v="0"/>
    <n v="29"/>
    <n v="2"/>
  </r>
  <r>
    <x v="45"/>
    <x v="4"/>
    <n v="3025"/>
    <n v="1093"/>
    <n v="0"/>
    <n v="0"/>
    <n v="107"/>
    <n v="173"/>
    <n v="396"/>
    <n v="28"/>
    <n v="1"/>
    <n v="159"/>
    <n v="0"/>
    <n v="0"/>
    <n v="6"/>
    <n v="2"/>
  </r>
  <r>
    <x v="45"/>
    <x v="5"/>
    <n v="2556"/>
    <n v="1060"/>
    <n v="0"/>
    <n v="0"/>
    <n v="63"/>
    <n v="29"/>
    <n v="416"/>
    <n v="11"/>
    <n v="0"/>
    <n v="161"/>
    <n v="0"/>
    <n v="0"/>
    <n v="3"/>
    <n v="0"/>
  </r>
  <r>
    <x v="45"/>
    <x v="6"/>
    <n v="2089"/>
    <n v="1068"/>
    <n v="0"/>
    <n v="0"/>
    <n v="19"/>
    <n v="14"/>
    <n v="424"/>
    <n v="50"/>
    <n v="3"/>
    <n v="171"/>
    <n v="0"/>
    <n v="0"/>
    <n v="4"/>
    <n v="1"/>
  </r>
  <r>
    <x v="45"/>
    <x v="7"/>
    <n v="1585"/>
    <n v="1007"/>
    <n v="0"/>
    <n v="4"/>
    <n v="10"/>
    <n v="2"/>
    <n v="316"/>
    <n v="2"/>
    <n v="20"/>
    <n v="148"/>
    <n v="0"/>
    <n v="0"/>
    <n v="0"/>
    <n v="1"/>
  </r>
  <r>
    <x v="45"/>
    <x v="8"/>
    <n v="1618"/>
    <n v="1021"/>
    <n v="0"/>
    <n v="0"/>
    <n v="7"/>
    <n v="9"/>
    <n v="362"/>
    <n v="12"/>
    <n v="53"/>
    <n v="168"/>
    <n v="2"/>
    <n v="1"/>
    <n v="0"/>
    <n v="0"/>
  </r>
  <r>
    <x v="45"/>
    <x v="9"/>
    <n v="3364"/>
    <n v="1322"/>
    <n v="0"/>
    <n v="1"/>
    <n v="13"/>
    <n v="4"/>
    <n v="427"/>
    <n v="8"/>
    <n v="56"/>
    <n v="239"/>
    <n v="0"/>
    <n v="0"/>
    <n v="1"/>
    <n v="2"/>
  </r>
  <r>
    <x v="45"/>
    <x v="10"/>
    <n v="2279"/>
    <n v="1116"/>
    <n v="0"/>
    <n v="28"/>
    <n v="17"/>
    <n v="4"/>
    <n v="382"/>
    <n v="9"/>
    <n v="49"/>
    <n v="229"/>
    <n v="0"/>
    <n v="0"/>
    <n v="2"/>
    <n v="0"/>
  </r>
  <r>
    <x v="45"/>
    <x v="11"/>
    <n v="2227"/>
    <n v="1146"/>
    <n v="3"/>
    <n v="18"/>
    <n v="16"/>
    <n v="8"/>
    <n v="425"/>
    <n v="10"/>
    <n v="44"/>
    <n v="186"/>
    <n v="0"/>
    <n v="0"/>
    <n v="3"/>
    <n v="0"/>
  </r>
  <r>
    <x v="46"/>
    <x v="0"/>
    <n v="1782"/>
    <n v="685"/>
    <n v="0"/>
    <n v="8"/>
    <n v="56"/>
    <n v="3"/>
    <n v="247"/>
    <n v="13"/>
    <n v="4"/>
    <n v="25"/>
    <n v="0"/>
    <n v="0"/>
    <n v="0"/>
    <n v="5"/>
  </r>
  <r>
    <x v="46"/>
    <x v="1"/>
    <n v="1398"/>
    <n v="718"/>
    <n v="0"/>
    <n v="3"/>
    <n v="36"/>
    <n v="6"/>
    <n v="161"/>
    <n v="14"/>
    <n v="1"/>
    <n v="257"/>
    <n v="0"/>
    <n v="0"/>
    <n v="0"/>
    <n v="1"/>
  </r>
  <r>
    <x v="46"/>
    <x v="2"/>
    <n v="2647"/>
    <n v="912"/>
    <n v="2"/>
    <n v="1"/>
    <n v="203"/>
    <n v="16"/>
    <n v="263"/>
    <n v="12"/>
    <n v="0"/>
    <n v="28"/>
    <n v="0"/>
    <n v="0"/>
    <n v="0"/>
    <n v="2"/>
  </r>
  <r>
    <x v="46"/>
    <x v="3"/>
    <n v="3894"/>
    <n v="873"/>
    <n v="0"/>
    <n v="1"/>
    <n v="211"/>
    <n v="44"/>
    <n v="337"/>
    <n v="6"/>
    <n v="0"/>
    <n v="14"/>
    <n v="0"/>
    <n v="0"/>
    <n v="3"/>
    <n v="7"/>
  </r>
  <r>
    <x v="46"/>
    <x v="4"/>
    <n v="2659"/>
    <n v="751"/>
    <n v="0"/>
    <n v="0"/>
    <n v="148"/>
    <n v="10"/>
    <n v="306"/>
    <n v="10"/>
    <n v="0"/>
    <n v="20"/>
    <n v="0"/>
    <n v="0"/>
    <n v="0"/>
    <n v="3"/>
  </r>
  <r>
    <x v="46"/>
    <x v="5"/>
    <n v="2590"/>
    <n v="818"/>
    <n v="0"/>
    <n v="0"/>
    <n v="136"/>
    <n v="22"/>
    <n v="309"/>
    <n v="15"/>
    <n v="2"/>
    <n v="22"/>
    <n v="0"/>
    <n v="0"/>
    <n v="0"/>
    <n v="1"/>
  </r>
  <r>
    <x v="46"/>
    <x v="6"/>
    <n v="2566"/>
    <n v="746"/>
    <n v="0"/>
    <n v="0"/>
    <n v="141"/>
    <n v="21"/>
    <n v="316"/>
    <n v="19"/>
    <n v="2"/>
    <n v="7"/>
    <n v="0"/>
    <n v="0"/>
    <n v="2"/>
    <n v="1"/>
  </r>
  <r>
    <x v="46"/>
    <x v="7"/>
    <n v="1567"/>
    <n v="608"/>
    <n v="0"/>
    <n v="0"/>
    <n v="65"/>
    <n v="2"/>
    <n v="355"/>
    <n v="13"/>
    <n v="86"/>
    <n v="10"/>
    <n v="0"/>
    <n v="0"/>
    <n v="0"/>
    <n v="7"/>
  </r>
  <r>
    <x v="46"/>
    <x v="8"/>
    <n v="1500"/>
    <n v="708"/>
    <n v="0"/>
    <n v="0"/>
    <n v="38"/>
    <n v="1"/>
    <n v="295"/>
    <n v="18"/>
    <n v="30"/>
    <n v="11"/>
    <n v="0"/>
    <n v="0"/>
    <n v="0"/>
    <n v="7"/>
  </r>
  <r>
    <x v="46"/>
    <x v="9"/>
    <n v="2407"/>
    <n v="1114"/>
    <n v="0"/>
    <n v="0"/>
    <n v="69"/>
    <n v="0"/>
    <n v="389"/>
    <n v="31"/>
    <n v="50"/>
    <n v="19"/>
    <n v="0"/>
    <n v="0"/>
    <n v="1"/>
    <n v="9"/>
  </r>
  <r>
    <x v="46"/>
    <x v="10"/>
    <n v="2039"/>
    <n v="958"/>
    <n v="0"/>
    <n v="10"/>
    <n v="35"/>
    <n v="1"/>
    <n v="334"/>
    <n v="9"/>
    <n v="127"/>
    <n v="32"/>
    <n v="0"/>
    <n v="0"/>
    <n v="0"/>
    <n v="1"/>
  </r>
  <r>
    <x v="46"/>
    <x v="11"/>
    <n v="2121"/>
    <n v="1008"/>
    <n v="0"/>
    <n v="10"/>
    <n v="103"/>
    <n v="9"/>
    <n v="211"/>
    <n v="8"/>
    <n v="15"/>
    <n v="24"/>
    <n v="0"/>
    <n v="0"/>
    <n v="0"/>
    <n v="2"/>
  </r>
  <r>
    <x v="47"/>
    <x v="0"/>
    <n v="1065"/>
    <n v="593"/>
    <n v="0"/>
    <n v="2"/>
    <n v="12"/>
    <n v="20"/>
    <n v="54"/>
    <n v="0"/>
    <n v="17"/>
    <n v="92"/>
    <n v="0"/>
    <n v="0"/>
    <n v="0"/>
    <n v="0"/>
  </r>
  <r>
    <x v="47"/>
    <x v="1"/>
    <n v="827"/>
    <n v="592"/>
    <n v="0"/>
    <n v="4"/>
    <n v="14"/>
    <n v="4"/>
    <n v="63"/>
    <n v="2"/>
    <n v="19"/>
    <n v="89"/>
    <n v="0"/>
    <n v="0"/>
    <n v="0"/>
    <n v="0"/>
  </r>
  <r>
    <x v="47"/>
    <x v="2"/>
    <n v="1729"/>
    <n v="27"/>
    <n v="0"/>
    <n v="0"/>
    <n v="48"/>
    <n v="55"/>
    <n v="102"/>
    <n v="3"/>
    <n v="10"/>
    <n v="134"/>
    <n v="0"/>
    <n v="0"/>
    <n v="0"/>
    <n v="0"/>
  </r>
  <r>
    <x v="47"/>
    <x v="3"/>
    <n v="3166"/>
    <n v="756"/>
    <n v="0"/>
    <n v="1"/>
    <n v="38"/>
    <n v="91"/>
    <n v="137"/>
    <n v="0"/>
    <n v="2"/>
    <n v="86"/>
    <n v="0"/>
    <n v="0"/>
    <n v="7"/>
    <n v="0"/>
  </r>
  <r>
    <x v="47"/>
    <x v="4"/>
    <n v="2083"/>
    <n v="669"/>
    <n v="0"/>
    <n v="0"/>
    <n v="39"/>
    <n v="95"/>
    <n v="109"/>
    <n v="2"/>
    <n v="1"/>
    <n v="109"/>
    <n v="0"/>
    <n v="5"/>
    <n v="0"/>
    <n v="0"/>
  </r>
  <r>
    <x v="47"/>
    <x v="5"/>
    <n v="1941"/>
    <n v="662"/>
    <n v="0"/>
    <n v="0"/>
    <n v="29"/>
    <n v="40"/>
    <n v="192"/>
    <n v="1"/>
    <n v="3"/>
    <n v="102"/>
    <n v="0"/>
    <n v="10"/>
    <n v="0"/>
    <n v="1"/>
  </r>
  <r>
    <x v="47"/>
    <x v="6"/>
    <n v="1269"/>
    <n v="602"/>
    <n v="0"/>
    <n v="0"/>
    <n v="12"/>
    <n v="11"/>
    <n v="232"/>
    <n v="3"/>
    <n v="3"/>
    <n v="88"/>
    <n v="1"/>
    <n v="0"/>
    <n v="1"/>
    <n v="1"/>
  </r>
  <r>
    <x v="47"/>
    <x v="7"/>
    <n v="1157"/>
    <n v="586"/>
    <n v="0"/>
    <n v="0"/>
    <n v="13"/>
    <n v="2"/>
    <n v="150"/>
    <n v="16"/>
    <n v="0"/>
    <n v="99"/>
    <n v="0"/>
    <n v="0"/>
    <n v="0"/>
    <n v="1"/>
  </r>
  <r>
    <x v="47"/>
    <x v="8"/>
    <n v="1086"/>
    <n v="820"/>
    <n v="0"/>
    <n v="1"/>
    <n v="3"/>
    <n v="0"/>
    <n v="100"/>
    <n v="8"/>
    <n v="24"/>
    <n v="116"/>
    <n v="0"/>
    <n v="0"/>
    <n v="0"/>
    <n v="2"/>
  </r>
  <r>
    <x v="47"/>
    <x v="9"/>
    <n v="1768"/>
    <n v="901"/>
    <n v="0"/>
    <n v="7"/>
    <n v="13"/>
    <n v="7"/>
    <n v="180"/>
    <n v="18"/>
    <n v="43"/>
    <n v="147"/>
    <n v="1"/>
    <n v="0"/>
    <n v="0"/>
    <m/>
  </r>
  <r>
    <x v="47"/>
    <x v="10"/>
    <n v="1521"/>
    <n v="756"/>
    <n v="0"/>
    <n v="4"/>
    <n v="14"/>
    <n v="43"/>
    <n v="150"/>
    <n v="4"/>
    <n v="31"/>
    <n v="117"/>
    <n v="0"/>
    <n v="0"/>
    <n v="0"/>
    <n v="0"/>
  </r>
  <r>
    <x v="47"/>
    <x v="11"/>
    <n v="1507"/>
    <n v="791"/>
    <n v="0"/>
    <n v="9"/>
    <n v="12"/>
    <n v="7"/>
    <n v="93"/>
    <n v="1"/>
    <n v="12"/>
    <n v="111"/>
    <n v="0"/>
    <n v="0"/>
    <n v="0"/>
    <n v="0"/>
  </r>
  <r>
    <x v="48"/>
    <x v="0"/>
    <n v="833"/>
    <n v="643"/>
    <n v="0"/>
    <n v="7"/>
    <n v="8"/>
    <n v="1"/>
    <n v="71"/>
    <n v="23"/>
    <n v="1"/>
    <n v="74"/>
    <n v="0"/>
    <n v="0"/>
    <n v="0"/>
    <n v="1"/>
  </r>
  <r>
    <x v="48"/>
    <x v="1"/>
    <n v="728"/>
    <n v="659"/>
    <n v="0"/>
    <n v="8"/>
    <n v="7"/>
    <n v="6"/>
    <n v="109"/>
    <n v="21"/>
    <n v="0"/>
    <n v="87"/>
    <n v="0"/>
    <n v="0"/>
    <n v="0"/>
    <n v="2"/>
  </r>
  <r>
    <x v="48"/>
    <x v="2"/>
    <n v="1437"/>
    <n v="868"/>
    <n v="17"/>
    <n v="6"/>
    <n v="59"/>
    <n v="39"/>
    <n v="165"/>
    <n v="18"/>
    <n v="0"/>
    <n v="112"/>
    <n v="0"/>
    <n v="0"/>
    <n v="0"/>
    <n v="2"/>
  </r>
  <r>
    <x v="48"/>
    <x v="3"/>
    <n v="2435"/>
    <n v="827"/>
    <n v="0"/>
    <n v="0"/>
    <n v="106"/>
    <n v="67"/>
    <n v="199"/>
    <n v="28"/>
    <n v="5"/>
    <n v="131"/>
    <n v="0"/>
    <n v="0"/>
    <n v="5"/>
    <n v="4"/>
  </r>
  <r>
    <x v="48"/>
    <x v="4"/>
    <n v="1528"/>
    <n v="721"/>
    <n v="0"/>
    <n v="3"/>
    <n v="28"/>
    <n v="13"/>
    <n v="180"/>
    <n v="25"/>
    <n v="0"/>
    <n v="69"/>
    <n v="0"/>
    <n v="0"/>
    <n v="1"/>
    <n v="3"/>
  </r>
  <r>
    <x v="48"/>
    <x v="7"/>
    <n v="847"/>
    <n v="643"/>
    <n v="0"/>
    <n v="0"/>
    <n v="16"/>
    <n v="0"/>
    <n v="130"/>
    <n v="20"/>
    <n v="0"/>
    <n v="30"/>
    <n v="0"/>
    <n v="0"/>
    <n v="1"/>
    <m/>
  </r>
  <r>
    <x v="48"/>
    <x v="8"/>
    <n v="1054"/>
    <n v="637"/>
    <n v="0"/>
    <n v="0"/>
    <n v="5"/>
    <n v="3"/>
    <n v="178"/>
    <n v="41"/>
    <n v="14"/>
    <n v="52"/>
    <n v="0"/>
    <n v="0"/>
    <n v="0"/>
    <n v="4"/>
  </r>
  <r>
    <x v="48"/>
    <x v="9"/>
    <n v="1263"/>
    <n v="832"/>
    <n v="0"/>
    <n v="0"/>
    <n v="13"/>
    <n v="1"/>
    <n v="202"/>
    <n v="38"/>
    <n v="31"/>
    <n v="89"/>
    <n v="0"/>
    <n v="0"/>
    <n v="0"/>
    <n v="14"/>
  </r>
  <r>
    <x v="48"/>
    <x v="10"/>
    <n v="1063"/>
    <n v="741"/>
    <n v="0"/>
    <n v="0"/>
    <n v="19"/>
    <n v="0"/>
    <n v="218"/>
    <n v="47"/>
    <n v="33"/>
    <n v="74"/>
    <n v="0"/>
    <n v="0"/>
    <n v="1"/>
    <n v="0"/>
  </r>
  <r>
    <x v="48"/>
    <x v="11"/>
    <n v="1222"/>
    <n v="841"/>
    <n v="0"/>
    <n v="18"/>
    <n v="25"/>
    <n v="4"/>
    <n v="204"/>
    <n v="40"/>
    <n v="4"/>
    <n v="111"/>
    <n v="0"/>
    <n v="0"/>
    <n v="1"/>
    <n v="0"/>
  </r>
  <r>
    <x v="49"/>
    <x v="0"/>
    <n v="1880"/>
    <n v="931"/>
    <n v="0"/>
    <n v="32"/>
    <n v="37"/>
    <n v="5"/>
    <n v="178"/>
    <n v="85"/>
    <n v="60"/>
    <n v="14"/>
    <n v="0"/>
    <n v="0"/>
    <n v="0"/>
    <n v="0"/>
  </r>
  <r>
    <x v="49"/>
    <x v="1"/>
    <n v="1431"/>
    <n v="877"/>
    <n v="0"/>
    <n v="22"/>
    <n v="34"/>
    <n v="5"/>
    <n v="154"/>
    <n v="99"/>
    <n v="38"/>
    <n v="9"/>
    <n v="0"/>
    <n v="0"/>
    <n v="0"/>
    <n v="0"/>
  </r>
  <r>
    <x v="49"/>
    <x v="2"/>
    <n v="3016"/>
    <n v="1171"/>
    <n v="4"/>
    <n v="12"/>
    <n v="197"/>
    <n v="66"/>
    <n v="266"/>
    <n v="134"/>
    <n v="49"/>
    <n v="3"/>
    <n v="0"/>
    <n v="0"/>
    <n v="0"/>
    <n v="0"/>
  </r>
  <r>
    <x v="49"/>
    <x v="3"/>
    <n v="4859"/>
    <n v="1270"/>
    <n v="0"/>
    <n v="0"/>
    <n v="365"/>
    <n v="147"/>
    <n v="420"/>
    <n v="160"/>
    <n v="53"/>
    <n v="11"/>
    <n v="0"/>
    <n v="0"/>
    <n v="1"/>
    <n v="1"/>
  </r>
  <r>
    <x v="49"/>
    <x v="4"/>
    <n v="3312"/>
    <n v="1126"/>
    <n v="0"/>
    <n v="2"/>
    <n v="166"/>
    <n v="106"/>
    <n v="248"/>
    <n v="117"/>
    <n v="60"/>
    <n v="5"/>
    <n v="0"/>
    <n v="0"/>
    <n v="0"/>
    <n v="0"/>
  </r>
  <r>
    <x v="49"/>
    <x v="5"/>
    <n v="3141"/>
    <n v="1289"/>
    <n v="0"/>
    <n v="0"/>
    <n v="147"/>
    <n v="76"/>
    <n v="270"/>
    <n v="152"/>
    <n v="35"/>
    <n v="7"/>
    <n v="0"/>
    <n v="0"/>
    <n v="0"/>
    <n v="2"/>
  </r>
  <r>
    <x v="49"/>
    <x v="6"/>
    <n v="2641"/>
    <n v="1124"/>
    <n v="0"/>
    <n v="0"/>
    <n v="105"/>
    <n v="20"/>
    <n v="281"/>
    <n v="171"/>
    <n v="30"/>
    <n v="7"/>
    <n v="0"/>
    <n v="0"/>
    <n v="0"/>
    <n v="14"/>
  </r>
  <r>
    <x v="49"/>
    <x v="7"/>
    <n v="2040"/>
    <n v="1160"/>
    <n v="0"/>
    <n v="0"/>
    <n v="33"/>
    <n v="40"/>
    <n v="241"/>
    <n v="163"/>
    <n v="19"/>
    <n v="13"/>
    <n v="0"/>
    <n v="0"/>
    <n v="0"/>
    <m/>
  </r>
  <r>
    <x v="49"/>
    <x v="8"/>
    <n v="2308"/>
    <n v="1263"/>
    <n v="0"/>
    <n v="5"/>
    <n v="68"/>
    <n v="2"/>
    <n v="246"/>
    <n v="163"/>
    <n v="82"/>
    <n v="16"/>
    <n v="0"/>
    <n v="0"/>
    <n v="0"/>
    <n v="0"/>
  </r>
  <r>
    <x v="49"/>
    <x v="9"/>
    <n v="3213"/>
    <n v="153"/>
    <n v="0"/>
    <n v="1"/>
    <n v="62"/>
    <n v="4"/>
    <n v="330"/>
    <n v="186"/>
    <n v="136"/>
    <n v="22"/>
    <n v="1"/>
    <n v="0"/>
    <n v="0"/>
    <n v="1"/>
  </r>
  <r>
    <x v="49"/>
    <x v="10"/>
    <n v="2692"/>
    <n v="1252"/>
    <n v="0"/>
    <n v="25"/>
    <n v="48"/>
    <n v="2"/>
    <n v="287"/>
    <n v="133"/>
    <n v="126"/>
    <n v="7"/>
    <n v="0"/>
    <n v="0"/>
    <n v="1"/>
    <n v="6"/>
  </r>
  <r>
    <x v="49"/>
    <x v="11"/>
    <n v="2731"/>
    <n v="1298"/>
    <n v="0"/>
    <n v="16"/>
    <n v="116"/>
    <n v="3"/>
    <n v="258"/>
    <n v="131"/>
    <n v="58"/>
    <n v="9"/>
    <n v="0"/>
    <n v="0"/>
    <n v="0"/>
    <n v="1"/>
  </r>
  <r>
    <x v="50"/>
    <x v="0"/>
    <n v="1230"/>
    <n v="295"/>
    <n v="0"/>
    <n v="24"/>
    <n v="29"/>
    <n v="5"/>
    <n v="229"/>
    <n v="25"/>
    <n v="7"/>
    <n v="90"/>
    <n v="0"/>
    <n v="0"/>
    <n v="1"/>
    <n v="9"/>
  </r>
  <r>
    <x v="50"/>
    <x v="1"/>
    <n v="922"/>
    <n v="299"/>
    <n v="0"/>
    <n v="15"/>
    <n v="26"/>
    <n v="33"/>
    <n v="111"/>
    <n v="20"/>
    <n v="42"/>
    <n v="84"/>
    <n v="0"/>
    <n v="0"/>
    <n v="6"/>
    <n v="5"/>
  </r>
  <r>
    <x v="50"/>
    <x v="2"/>
    <n v="2161"/>
    <n v="364"/>
    <n v="20"/>
    <n v="2"/>
    <n v="162"/>
    <n v="125"/>
    <n v="189"/>
    <n v="49"/>
    <n v="25"/>
    <n v="106"/>
    <n v="0"/>
    <n v="0"/>
    <n v="2"/>
    <n v="8"/>
  </r>
  <r>
    <x v="50"/>
    <x v="3"/>
    <n v="3249"/>
    <n v="488"/>
    <n v="1"/>
    <n v="0"/>
    <n v="78"/>
    <n v="213"/>
    <n v="359"/>
    <n v="25"/>
    <n v="9"/>
    <n v="98"/>
    <n v="0"/>
    <n v="2"/>
    <n v="19"/>
    <n v="5"/>
  </r>
  <r>
    <x v="50"/>
    <x v="4"/>
    <n v="2238"/>
    <n v="394"/>
    <n v="0"/>
    <n v="0"/>
    <n v="73"/>
    <n v="135"/>
    <n v="427"/>
    <n v="25"/>
    <n v="17"/>
    <n v="76"/>
    <n v="0"/>
    <n v="2"/>
    <n v="2"/>
    <n v="5"/>
  </r>
  <r>
    <x v="50"/>
    <x v="5"/>
    <n v="2222"/>
    <n v="504"/>
    <n v="0"/>
    <n v="1"/>
    <n v="80"/>
    <n v="79"/>
    <n v="392"/>
    <n v="40"/>
    <n v="8"/>
    <n v="91"/>
    <n v="0"/>
    <n v="1"/>
    <n v="4"/>
    <n v="2"/>
  </r>
  <r>
    <x v="50"/>
    <x v="6"/>
    <n v="1710"/>
    <n v="461"/>
    <n v="0"/>
    <n v="0"/>
    <n v="32"/>
    <n v="19"/>
    <n v="394"/>
    <n v="50"/>
    <n v="13"/>
    <n v="127"/>
    <n v="0"/>
    <n v="2"/>
    <n v="0"/>
    <n v="4"/>
  </r>
  <r>
    <x v="50"/>
    <x v="7"/>
    <n v="1063"/>
    <n v="254"/>
    <n v="0"/>
    <n v="0"/>
    <n v="9"/>
    <n v="17"/>
    <n v="282"/>
    <n v="37"/>
    <n v="20"/>
    <n v="64"/>
    <n v="0"/>
    <n v="0"/>
    <n v="0"/>
    <n v="3"/>
  </r>
  <r>
    <x v="50"/>
    <x v="8"/>
    <n v="1187"/>
    <n v="332"/>
    <n v="0"/>
    <n v="0"/>
    <n v="11"/>
    <n v="1"/>
    <n v="247"/>
    <n v="49"/>
    <n v="60"/>
    <n v="82"/>
    <n v="0"/>
    <n v="0"/>
    <n v="1"/>
    <n v="0"/>
  </r>
  <r>
    <x v="50"/>
    <x v="9"/>
    <n v="1664"/>
    <n v="428"/>
    <n v="0"/>
    <n v="5"/>
    <n v="17"/>
    <n v="7"/>
    <n v="264"/>
    <n v="35"/>
    <n v="59"/>
    <n v="88"/>
    <n v="0"/>
    <n v="0"/>
    <n v="7"/>
    <m/>
  </r>
  <r>
    <x v="50"/>
    <x v="10"/>
    <n v="1422"/>
    <n v="393"/>
    <n v="0"/>
    <n v="22"/>
    <n v="12"/>
    <n v="4"/>
    <n v="269"/>
    <n v="36"/>
    <n v="17"/>
    <n v="103"/>
    <n v="0"/>
    <n v="0"/>
    <n v="2"/>
    <n v="2"/>
  </r>
  <r>
    <x v="50"/>
    <x v="11"/>
    <n v="1733"/>
    <n v="517"/>
    <n v="0"/>
    <n v="14"/>
    <n v="45"/>
    <n v="9"/>
    <n v="230"/>
    <n v="50"/>
    <n v="27"/>
    <n v="91"/>
    <n v="0"/>
    <n v="0"/>
    <n v="5"/>
    <n v="3"/>
  </r>
  <r>
    <x v="51"/>
    <x v="0"/>
    <n v="1310"/>
    <n v="1069"/>
    <n v="0"/>
    <n v="35"/>
    <n v="17"/>
    <n v="12"/>
    <n v="102"/>
    <n v="8"/>
    <n v="2"/>
    <n v="161"/>
    <n v="0"/>
    <n v="0"/>
    <n v="1"/>
    <n v="2"/>
  </r>
  <r>
    <x v="51"/>
    <x v="1"/>
    <n v="977"/>
    <n v="1066"/>
    <n v="0"/>
    <n v="11"/>
    <n v="14"/>
    <n v="13"/>
    <n v="111"/>
    <n v="3"/>
    <n v="7"/>
    <n v="160"/>
    <n v="1"/>
    <n v="0"/>
    <n v="0"/>
    <n v="0"/>
  </r>
  <r>
    <x v="51"/>
    <x v="2"/>
    <n v="2064"/>
    <n v="1303"/>
    <n v="6"/>
    <n v="11"/>
    <n v="58"/>
    <n v="41"/>
    <n v="167"/>
    <n v="20"/>
    <n v="0"/>
    <n v="27"/>
    <n v="0"/>
    <n v="0"/>
    <n v="7"/>
    <n v="2"/>
  </r>
  <r>
    <x v="51"/>
    <x v="3"/>
    <n v="3548"/>
    <n v="1296"/>
    <n v="0"/>
    <n v="6"/>
    <n v="63"/>
    <n v="53"/>
    <n v="345"/>
    <n v="14"/>
    <n v="7"/>
    <n v="158"/>
    <n v="0"/>
    <n v="0"/>
    <n v="6"/>
    <n v="2"/>
  </r>
  <r>
    <x v="51"/>
    <x v="4"/>
    <n v="2332"/>
    <n v="1086"/>
    <n v="0"/>
    <n v="1"/>
    <n v="50"/>
    <n v="35"/>
    <n v="250"/>
    <n v="14"/>
    <n v="6"/>
    <n v="173"/>
    <n v="0"/>
    <n v="2"/>
    <n v="8"/>
    <n v="2"/>
  </r>
  <r>
    <x v="51"/>
    <x v="5"/>
    <n v="2166"/>
    <n v="1304"/>
    <n v="0"/>
    <n v="0"/>
    <n v="73"/>
    <n v="21"/>
    <n v="291"/>
    <n v="26"/>
    <n v="2"/>
    <n v="197"/>
    <n v="0"/>
    <n v="0"/>
    <n v="1"/>
    <n v="4"/>
  </r>
  <r>
    <x v="51"/>
    <x v="6"/>
    <n v="1397"/>
    <n v="1077"/>
    <n v="0"/>
    <n v="5"/>
    <n v="18"/>
    <n v="10"/>
    <n v="256"/>
    <n v="19"/>
    <n v="2"/>
    <n v="132"/>
    <n v="0"/>
    <n v="0"/>
    <n v="0"/>
    <n v="1"/>
  </r>
  <r>
    <x v="51"/>
    <x v="7"/>
    <n v="1256"/>
    <n v="932"/>
    <n v="0"/>
    <n v="2"/>
    <n v="15"/>
    <n v="9"/>
    <n v="189"/>
    <n v="27"/>
    <n v="0"/>
    <n v="109"/>
    <n v="0"/>
    <n v="0"/>
    <n v="2"/>
    <n v="3"/>
  </r>
  <r>
    <x v="51"/>
    <x v="8"/>
    <n v="1424"/>
    <n v="1192"/>
    <n v="0"/>
    <n v="0"/>
    <n v="14"/>
    <n v="13"/>
    <n v="235"/>
    <n v="41"/>
    <n v="1"/>
    <n v="179"/>
    <n v="0"/>
    <n v="0"/>
    <n v="0"/>
    <n v="0"/>
  </r>
  <r>
    <x v="51"/>
    <x v="9"/>
    <n v="2132"/>
    <n v="1450"/>
    <n v="0"/>
    <n v="7"/>
    <n v="19"/>
    <n v="12"/>
    <n v="240"/>
    <n v="63"/>
    <n v="15"/>
    <n v="217"/>
    <n v="0"/>
    <n v="0"/>
    <n v="3"/>
    <n v="2"/>
  </r>
  <r>
    <x v="51"/>
    <x v="10"/>
    <n v="1698"/>
    <n v="1284"/>
    <n v="0"/>
    <n v="14"/>
    <n v="19"/>
    <n v="18"/>
    <n v="204"/>
    <n v="27"/>
    <n v="2"/>
    <n v="196"/>
    <n v="0"/>
    <n v="0"/>
    <n v="0"/>
    <n v="3"/>
  </r>
  <r>
    <x v="51"/>
    <x v="11"/>
    <n v="1870"/>
    <n v="1335"/>
    <n v="0"/>
    <n v="13"/>
    <n v="41"/>
    <n v="11"/>
    <n v="190"/>
    <n v="47"/>
    <n v="9"/>
    <n v="161"/>
    <n v="0"/>
    <n v="0"/>
    <n v="4"/>
    <n v="4"/>
  </r>
  <r>
    <x v="52"/>
    <x v="0"/>
    <n v="1371"/>
    <n v="622"/>
    <n v="0"/>
    <n v="5"/>
    <n v="33"/>
    <n v="3"/>
    <n v="256"/>
    <n v="10"/>
    <n v="22"/>
    <n v="148"/>
    <n v="0"/>
    <n v="0"/>
    <n v="0"/>
    <n v="0"/>
  </r>
  <r>
    <x v="52"/>
    <x v="1"/>
    <n v="1022"/>
    <n v="656"/>
    <n v="0"/>
    <n v="4"/>
    <n v="18"/>
    <n v="13"/>
    <n v="203"/>
    <n v="4"/>
    <n v="7"/>
    <n v="151"/>
    <n v="0"/>
    <n v="0"/>
    <n v="0"/>
    <n v="0"/>
  </r>
  <r>
    <x v="52"/>
    <x v="2"/>
    <n v="2064"/>
    <n v="761"/>
    <n v="7"/>
    <n v="4"/>
    <n v="97"/>
    <n v="67"/>
    <n v="331"/>
    <n v="16"/>
    <n v="18"/>
    <n v="186"/>
    <n v="0"/>
    <n v="0"/>
    <n v="2"/>
    <n v="1"/>
  </r>
  <r>
    <x v="52"/>
    <x v="3"/>
    <n v="3053"/>
    <n v="888"/>
    <n v="0"/>
    <n v="3"/>
    <n v="98"/>
    <n v="119"/>
    <n v="502"/>
    <n v="8"/>
    <n v="20"/>
    <n v="185"/>
    <n v="0"/>
    <n v="3"/>
    <n v="6"/>
    <n v="1"/>
  </r>
  <r>
    <x v="52"/>
    <x v="4"/>
    <n v="2168"/>
    <n v="732"/>
    <n v="0"/>
    <n v="0"/>
    <n v="64"/>
    <n v="78"/>
    <n v="370"/>
    <n v="11"/>
    <n v="6"/>
    <n v="127"/>
    <n v="0"/>
    <n v="9"/>
    <n v="3"/>
    <n v="0"/>
  </r>
  <r>
    <x v="52"/>
    <x v="5"/>
    <n v="1814"/>
    <n v="825"/>
    <n v="0"/>
    <n v="0"/>
    <n v="44"/>
    <n v="15"/>
    <n v="347"/>
    <n v="12"/>
    <n v="19"/>
    <n v="161"/>
    <n v="0"/>
    <n v="7"/>
    <n v="0"/>
    <n v="1"/>
  </r>
  <r>
    <x v="52"/>
    <x v="6"/>
    <n v="1382"/>
    <n v="733"/>
    <n v="0"/>
    <n v="0"/>
    <n v="32"/>
    <n v="26"/>
    <n v="271"/>
    <n v="29"/>
    <n v="9"/>
    <n v="200"/>
    <n v="0"/>
    <n v="7"/>
    <n v="0"/>
    <n v="0"/>
  </r>
  <r>
    <x v="52"/>
    <x v="7"/>
    <n v="1165"/>
    <n v="634"/>
    <n v="0"/>
    <n v="0"/>
    <n v="16"/>
    <n v="4"/>
    <n v="323"/>
    <n v="41"/>
    <n v="19"/>
    <n v="116"/>
    <n v="0"/>
    <n v="0"/>
    <n v="0"/>
    <n v="7"/>
  </r>
  <r>
    <x v="52"/>
    <x v="8"/>
    <n v="1146"/>
    <n v="749"/>
    <n v="0"/>
    <n v="0"/>
    <n v="10"/>
    <n v="3"/>
    <n v="283"/>
    <n v="37"/>
    <n v="47"/>
    <n v="131"/>
    <n v="0"/>
    <n v="0"/>
    <n v="0"/>
    <n v="0"/>
  </r>
  <r>
    <x v="52"/>
    <x v="9"/>
    <n v="1766"/>
    <n v="809"/>
    <n v="0"/>
    <n v="0"/>
    <n v="17"/>
    <n v="15"/>
    <n v="345"/>
    <n v="56"/>
    <n v="43"/>
    <n v="144"/>
    <n v="0"/>
    <n v="0"/>
    <n v="2"/>
    <n v="2"/>
  </r>
  <r>
    <x v="52"/>
    <x v="10"/>
    <n v="1614"/>
    <n v="814"/>
    <n v="0"/>
    <n v="22"/>
    <n v="14"/>
    <n v="22"/>
    <n v="348"/>
    <n v="5"/>
    <n v="57"/>
    <n v="149"/>
    <n v="0"/>
    <n v="0"/>
    <n v="0"/>
    <n v="0"/>
  </r>
  <r>
    <x v="52"/>
    <x v="11"/>
    <n v="1856"/>
    <n v="833"/>
    <n v="0"/>
    <n v="22"/>
    <n v="25"/>
    <n v="14"/>
    <n v="429"/>
    <n v="23"/>
    <n v="46"/>
    <n v="197"/>
    <n v="0"/>
    <n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AEBC7-C7CB-4486-83BF-89775B147421}" name="PT_売上" cacheId="2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5:N60" firstHeaderRow="1" firstDataRow="2" firstDataCol="1" rowPageCount="2" colPageCount="1"/>
  <pivotFields count="8">
    <pivotField axis="axisRow" showAll="0">
      <items count="54">
        <item x="12"/>
        <item x="3"/>
        <item x="36"/>
        <item x="47"/>
        <item x="34"/>
        <item x="38"/>
        <item x="49"/>
        <item x="39"/>
        <item x="11"/>
        <item x="13"/>
        <item x="35"/>
        <item x="23"/>
        <item x="45"/>
        <item x="20"/>
        <item x="26"/>
        <item x="32"/>
        <item x="17"/>
        <item x="16"/>
        <item x="9"/>
        <item x="22"/>
        <item x="51"/>
        <item x="46"/>
        <item x="21"/>
        <item x="33"/>
        <item x="44"/>
        <item x="48"/>
        <item x="4"/>
        <item x="41"/>
        <item x="50"/>
        <item x="27"/>
        <item x="10"/>
        <item x="28"/>
        <item x="0"/>
        <item x="43"/>
        <item x="52"/>
        <item x="6"/>
        <item x="14"/>
        <item x="31"/>
        <item x="2"/>
        <item x="42"/>
        <item x="37"/>
        <item x="1"/>
        <item x="8"/>
        <item x="19"/>
        <item x="5"/>
        <item x="15"/>
        <item x="18"/>
        <item x="30"/>
        <item x="40"/>
        <item x="7"/>
        <item x="25"/>
        <item x="24"/>
        <item x="29"/>
        <item t="default"/>
      </items>
    </pivotField>
    <pivotField axis="axisPage" showAll="0">
      <items count="3">
        <item x="1"/>
        <item x="0"/>
        <item t="default"/>
      </items>
    </pivotField>
    <pivotField axis="axisCol" showAll="0">
      <items count="13">
        <item x="10"/>
        <item x="11"/>
        <item x="2"/>
        <item x="0"/>
        <item x="1"/>
        <item x="3"/>
        <item x="5"/>
        <item x="8"/>
        <item x="9"/>
        <item x="4"/>
        <item x="6"/>
        <item x="7"/>
        <item t="default"/>
      </items>
    </pivotField>
    <pivotField axis="axisPage" showAll="0">
      <items count="8">
        <item x="5"/>
        <item x="4"/>
        <item x="3"/>
        <item x="2"/>
        <item x="6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1" hier="-1"/>
    <pageField fld="3" hier="-1"/>
  </pageFields>
  <dataFields count="1">
    <dataField name="合計 / 売上金額" fld="4" baseField="0" baseItem="0" numFmtId="177"/>
  </dataFields>
  <formats count="3">
    <format dxfId="7">
      <pivotArea outline="0" collapsedLevelsAreSubtotals="1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E411F-71B0-44EB-AAA9-2E74A351A341}" name="PT_14項目" cacheId="2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5:O58" firstHeaderRow="0" firstDataRow="1" firstDataCol="1" rowPageCount="2" colPageCount="1"/>
  <pivotFields count="17">
    <pivotField axis="axisRow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2">
    <pageField fld="1" hier="-1"/>
    <pageField fld="2" item="0" hier="-1"/>
  </pageFields>
  <dataFields count="14">
    <dataField name="合計 / ワイシャツ" fld="3" baseField="0" baseItem="0"/>
    <dataField name="合計 / カジュアルシャツ" fld="4" baseField="0" baseItem="0"/>
    <dataField name="合計 / ブラウス" fld="5" baseField="0" baseItem="0"/>
    <dataField name="合計 / スーツ" fld="6" baseField="0" baseItem="0"/>
    <dataField name="合計 / 上着" fld="7" baseField="0" baseItem="0"/>
    <dataField name="合計 / ズボン" fld="8" baseField="0" baseItem="0"/>
    <dataField name="合計 / スカート" fld="9" baseField="0" baseItem="0"/>
    <dataField name="合計 / セーター" fld="10" baseField="0" baseItem="0"/>
    <dataField name="合計 / カーディガン" fld="11" baseField="0" baseItem="0"/>
    <dataField name="合計 / ワンピース" fld="12" baseField="0" baseItem="0"/>
    <dataField name="合計 / コート" fld="13" baseField="0" baseItem="0"/>
    <dataField name="合計 / ジャンバー" fld="14" baseField="0" baseItem="0"/>
    <dataField name="合計 / ダウン" fld="15" baseField="0" baseItem="0"/>
    <dataField name="合計 / スキーウェア" fld="16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FF62A-66B0-4DC4-A029-D5B836D60FC7}" name="PT_加工" cacheId="26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5:O59" firstHeaderRow="0" firstDataRow="1" firstDataCol="1" rowPageCount="1" colPageCount="1"/>
  <pivotFields count="16">
    <pivotField axis="axisRow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1" hier="-1"/>
  </pageFields>
  <dataFields count="14">
    <dataField name="合計 / ドライ点数" fld="2" baseField="0" baseItem="0"/>
    <dataField name="合計 / ＹシャツＳコース点数" fld="3" baseField="0" baseItem="0"/>
    <dataField name="合計 / 花粉加工" fld="4" baseField="0" baseItem="0"/>
    <dataField name="合計 / スーパーリボーン加工" fld="5" baseField="0" baseItem="0"/>
    <dataField name="合計 / 撥水加工" fld="6" baseField="0" baseItem="0"/>
    <dataField name="合計 / 防虫加工" fld="7" baseField="0" baseItem="0"/>
    <dataField name="合計 / 爽快" fld="8" baseField="0" baseItem="0"/>
    <dataField name="合計 / エコウェット" fld="9" baseField="0" baseItem="0"/>
    <dataField name="合計 / 防臭加工" fld="10" baseField="0" baseItem="0"/>
    <dataField name="合計 / 念入り" fld="11" baseField="0" baseItem="0"/>
    <dataField name="合計 / なめらかタッチ" fld="12" baseField="0" baseItem="0"/>
    <dataField name="合計 / 布団類防虫" fld="13" baseField="0" baseItem="0"/>
    <dataField name="合計 / 襟・袖念入り" fld="14" baseField="0" baseItem="0"/>
    <dataField name="合計 / 復元" fld="1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AF355-C172-40AB-803B-4151F4852DFE}" name="PT_項目別" cacheId="2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5:E13" firstHeaderRow="0" firstDataRow="1" firstDataCol="1" rowPageCount="2" colPageCount="1"/>
  <pivotFields count="8">
    <pivotField showAll="0"/>
    <pivotField axis="axisPage" showAll="0">
      <items count="3">
        <item x="1"/>
        <item x="0"/>
        <item t="default"/>
      </items>
    </pivotField>
    <pivotField axis="axisPage" showAll="0">
      <items count="13">
        <item x="10"/>
        <item x="11"/>
        <item x="2"/>
        <item x="0"/>
        <item x="1"/>
        <item x="3"/>
        <item x="5"/>
        <item x="8"/>
        <item x="9"/>
        <item x="4"/>
        <item x="6"/>
        <item x="7"/>
        <item t="default"/>
      </items>
    </pivotField>
    <pivotField axis="axisRow" showAll="0">
      <items count="8">
        <item x="5"/>
        <item x="4"/>
        <item x="3"/>
        <item x="2"/>
        <item x="6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2" hier="-1"/>
  </pageFields>
  <dataFields count="4">
    <dataField name="合計 / 売上金額" fld="4" baseField="0" baseItem="0"/>
    <dataField name="合計 / 商品点数" fld="5" baseField="0" baseItem="0"/>
    <dataField name="合計 / 客数" fld="6" baseField="0" baseItem="0"/>
    <dataField name="合計 / 利用数" fld="7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F4BCB-EFEF-4B33-8F4F-D352E10B1DED}" name="T_元データ" displayName="T_元データ" ref="A1:H6886" totalsRowShown="0" headerRowDxfId="13">
  <autoFilter ref="A1:H6886" xr:uid="{441F4BCB-EFEF-4B33-8F4F-D352E10B1DED}"/>
  <sortState xmlns:xlrd2="http://schemas.microsoft.com/office/spreadsheetml/2017/richdata2" ref="A2:H6886">
    <sortCondition ref="A2:A6886"/>
    <sortCondition ref="C2:C6886"/>
    <sortCondition ref="B2:B6886"/>
  </sortState>
  <tableColumns count="8">
    <tableColumn id="1" xr3:uid="{27E33F1D-E53C-4B0F-A346-A7323700795E}" name="店舗名"/>
    <tableColumn id="2" xr3:uid="{099ECF9C-B65D-495E-8D63-80D31D159D61}" name="年区分"/>
    <tableColumn id="3" xr3:uid="{414A4B53-813B-4875-8CE6-CFE7D8FA4BC8}" name="月"/>
    <tableColumn id="4" xr3:uid="{D71D3973-BC36-4216-AB1C-D8A435D26D0A}" name="項目"/>
    <tableColumn id="5" xr3:uid="{255452DF-2D42-4D29-BD58-E47982300DF8}" name="売上金額"/>
    <tableColumn id="6" xr3:uid="{D285240B-3A8C-4092-9E9F-25312CCC01F6}" name="商品点数"/>
    <tableColumn id="7" xr3:uid="{7A69FF1E-3486-4F80-8449-181F16F5DF43}" name="客数"/>
    <tableColumn id="8" xr3:uid="{AB4A151E-7D2A-405E-B71E-D7AC2D8E0BD7}" name="利用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29919E-DB03-4B34-8E2C-C262F75D0F70}" name="T_14項目" displayName="T_14項目" ref="A1:Q1235" totalsRowShown="0" headerRowDxfId="12">
  <autoFilter ref="A1:Q1235" xr:uid="{1B29919E-DB03-4B34-8E2C-C262F75D0F70}"/>
  <sortState xmlns:xlrd2="http://schemas.microsoft.com/office/spreadsheetml/2017/richdata2" ref="A2:Q1235">
    <sortCondition ref="A2:A1235"/>
    <sortCondition ref="C2:C1235"/>
  </sortState>
  <tableColumns count="17">
    <tableColumn id="1" xr3:uid="{0FEEB126-BE53-4335-A085-C662F7506F23}" name="店舗名"/>
    <tableColumn id="2" xr3:uid="{0185F76C-3D01-4A8B-88FD-1936E8B8BAB7}" name="年区分"/>
    <tableColumn id="3" xr3:uid="{F2B89C61-015A-4288-BF6C-0AE8173D362E}" name="月"/>
    <tableColumn id="4" xr3:uid="{AB5C8510-AF78-498B-BBC8-6899E9DE568F}" name="ワイシャツ"/>
    <tableColumn id="5" xr3:uid="{93987D7A-BE55-458E-B75E-5CF013582108}" name="カジュアルシャツ"/>
    <tableColumn id="6" xr3:uid="{A4E288EC-C18E-489C-AA60-586B3CD283D8}" name="ブラウス"/>
    <tableColumn id="7" xr3:uid="{D5D7602A-A382-4419-8C2A-C89FB69C7760}" name="スーツ"/>
    <tableColumn id="8" xr3:uid="{02378B79-B018-4E7D-B176-D1883766B082}" name="上着"/>
    <tableColumn id="9" xr3:uid="{7DF0A6D5-7481-4BC9-B21F-82E09D93B406}" name="ズボン"/>
    <tableColumn id="10" xr3:uid="{C0C88BD4-833B-401B-8D3F-AAC3557F83F3}" name="スカート"/>
    <tableColumn id="11" xr3:uid="{A4A66E97-0FC3-49BD-BBEA-3BBE0C891892}" name="セーター"/>
    <tableColumn id="12" xr3:uid="{1A5CC4CE-2DC9-4562-8FFD-48EB2015C61F}" name="カーディガン"/>
    <tableColumn id="13" xr3:uid="{3F47FF85-D42D-42AA-96B7-6D06352BF6C0}" name="ワンピース"/>
    <tableColumn id="14" xr3:uid="{F4EB1182-2A91-4979-B3FA-3389FB71E741}" name="コート"/>
    <tableColumn id="15" xr3:uid="{6B6FA96E-66B6-4728-AD3A-6F03AD74CCDD}" name="ジャンバー"/>
    <tableColumn id="16" xr3:uid="{D1DD351D-E196-4B06-B0CA-A1072BBAE0FB}" name="ダウン"/>
    <tableColumn id="17" xr3:uid="{387C3DD4-3701-46B6-B4ED-6718D0B804EA}" name="スキーウェア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ABC9EF-F672-4DB5-9C32-DAFF3856382F}" name="T_加工" displayName="T_加工" ref="A1:P624" totalsRowShown="0" headerRowDxfId="11">
  <autoFilter ref="A1:P624" xr:uid="{99ABC9EF-F672-4DB5-9C32-DAFF3856382F}"/>
  <sortState xmlns:xlrd2="http://schemas.microsoft.com/office/spreadsheetml/2017/richdata2" ref="A2:P624">
    <sortCondition ref="A2:A624"/>
    <sortCondition ref="B2:B624"/>
  </sortState>
  <tableColumns count="16">
    <tableColumn id="1" xr3:uid="{17ABC7AD-D2C2-474A-A83D-8E4324CF2A15}" name="店舗名"/>
    <tableColumn id="2" xr3:uid="{D771756C-E03B-4292-B8C4-39248FBCF090}" name="月"/>
    <tableColumn id="3" xr3:uid="{693ED1F1-5ABD-4374-8845-456493879CD3}" name="ドライ点数"/>
    <tableColumn id="4" xr3:uid="{CDEA72A9-BEB7-428D-BB51-92F74A6360AF}" name="ＹシャツＳコース点数"/>
    <tableColumn id="5" xr3:uid="{D40EE918-D156-45C0-A883-3A98BCC1009D}" name="花粉加工"/>
    <tableColumn id="6" xr3:uid="{FC350654-9120-411B-8BE0-AFC52B47ED4B}" name="スーパーリボーン加工"/>
    <tableColumn id="7" xr3:uid="{68BF3DCC-3DB5-4478-BDCB-4C6D428A8D8E}" name="撥水加工"/>
    <tableColumn id="8" xr3:uid="{4C9CA8D6-F949-486A-837D-887EE337FEB2}" name="防虫加工"/>
    <tableColumn id="9" xr3:uid="{0C22BFB4-359D-4876-B490-43AE65C18699}" name="爽快"/>
    <tableColumn id="10" xr3:uid="{4AFA154C-DE63-42D2-8600-813B9CA9AA27}" name="エコウェット"/>
    <tableColumn id="11" xr3:uid="{BC20FCEF-8AD8-45DE-BE1B-C6D5030FFFFD}" name="防臭加工"/>
    <tableColumn id="12" xr3:uid="{BFD06791-C214-4A17-8BC3-6D97A64262A0}" name="念入り"/>
    <tableColumn id="13" xr3:uid="{676163F7-3AF9-45D0-9A9A-4B1B75211B1E}" name="なめらかタッチ"/>
    <tableColumn id="14" xr3:uid="{EC061A89-E89B-4C3E-B4E0-3EB630292AFB}" name="布団類防虫"/>
    <tableColumn id="15" xr3:uid="{4E19D55F-30F4-48B6-B150-5EC98D7EACEA}" name="襟・袖念入り"/>
    <tableColumn id="16" xr3:uid="{1536E34A-80CD-431C-A1E7-F448EF5DE013}" name="復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45A0B3-2381-4C9F-A587-3C10B6B03347}" name="T_店舗マスタ" displayName="T_店舗マスタ" ref="A1:A54" totalsRowShown="0" headerRowDxfId="8" dataDxfId="9">
  <autoFilter ref="A1:A54" xr:uid="{2545A0B3-2381-4C9F-A587-3C10B6B03347}"/>
  <tableColumns count="1">
    <tableColumn id="1" xr3:uid="{F875ECF1-7D8C-4189-A648-8A7E2FE7F8DE}" name="店舗名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A0B0A0-AA8B-4B07-9523-CA17880870D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b2f709b-0024-47a9-9e18-65583757394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D067-DFC7-4962-B609-62BE73A673D5}">
  <dimension ref="A1:J6886"/>
  <sheetViews>
    <sheetView workbookViewId="0">
      <pane ySplit="1" topLeftCell="A626" activePane="bottomLeft" state="frozen"/>
      <selection pane="bottomLeft" activeCell="C27" sqref="C27"/>
    </sheetView>
  </sheetViews>
  <sheetFormatPr defaultRowHeight="18" x14ac:dyDescent="0.45"/>
  <cols>
    <col min="1" max="1" width="15" customWidth="1"/>
    <col min="5" max="8" width="13.29687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</row>
    <row r="2" spans="1:10" x14ac:dyDescent="0.45">
      <c r="A2" t="s">
        <v>56</v>
      </c>
      <c r="B2" t="s">
        <v>21</v>
      </c>
      <c r="C2">
        <v>1</v>
      </c>
      <c r="D2" t="s">
        <v>19</v>
      </c>
      <c r="E2">
        <v>1239567</v>
      </c>
      <c r="F2">
        <v>2825</v>
      </c>
      <c r="G2">
        <v>765</v>
      </c>
      <c r="J2" t="s">
        <v>9</v>
      </c>
    </row>
    <row r="3" spans="1:10" x14ac:dyDescent="0.45">
      <c r="A3" t="s">
        <v>56</v>
      </c>
      <c r="B3" t="s">
        <v>21</v>
      </c>
      <c r="C3">
        <v>1</v>
      </c>
      <c r="D3" t="s">
        <v>27</v>
      </c>
      <c r="F3">
        <v>1181</v>
      </c>
      <c r="J3" t="s">
        <v>10</v>
      </c>
    </row>
    <row r="4" spans="1:10" x14ac:dyDescent="0.45">
      <c r="A4" t="s">
        <v>56</v>
      </c>
      <c r="B4" t="s">
        <v>21</v>
      </c>
      <c r="C4">
        <v>1</v>
      </c>
      <c r="D4" t="s">
        <v>28</v>
      </c>
      <c r="F4">
        <v>461</v>
      </c>
      <c r="J4" t="s">
        <v>11</v>
      </c>
    </row>
    <row r="5" spans="1:10" x14ac:dyDescent="0.45">
      <c r="A5" t="s">
        <v>56</v>
      </c>
      <c r="B5" t="s">
        <v>21</v>
      </c>
      <c r="C5">
        <v>1</v>
      </c>
      <c r="D5" t="s">
        <v>29</v>
      </c>
      <c r="F5">
        <v>371</v>
      </c>
      <c r="J5" t="s">
        <v>12</v>
      </c>
    </row>
    <row r="6" spans="1:10" x14ac:dyDescent="0.45">
      <c r="A6" t="s">
        <v>56</v>
      </c>
      <c r="B6" t="s">
        <v>20</v>
      </c>
      <c r="C6">
        <v>1</v>
      </c>
      <c r="D6" t="s">
        <v>19</v>
      </c>
      <c r="E6">
        <v>1215172</v>
      </c>
      <c r="F6">
        <v>2546</v>
      </c>
      <c r="G6">
        <v>714</v>
      </c>
      <c r="J6" t="s">
        <v>13</v>
      </c>
    </row>
    <row r="7" spans="1:10" x14ac:dyDescent="0.45">
      <c r="A7" t="s">
        <v>56</v>
      </c>
      <c r="B7" t="s">
        <v>20</v>
      </c>
      <c r="C7">
        <v>1</v>
      </c>
      <c r="D7" t="s">
        <v>27</v>
      </c>
      <c r="F7">
        <v>968</v>
      </c>
      <c r="J7" t="s">
        <v>14</v>
      </c>
    </row>
    <row r="8" spans="1:10" x14ac:dyDescent="0.45">
      <c r="A8" t="s">
        <v>56</v>
      </c>
      <c r="B8" t="s">
        <v>20</v>
      </c>
      <c r="C8">
        <v>1</v>
      </c>
      <c r="D8" t="s">
        <v>28</v>
      </c>
      <c r="F8">
        <v>434</v>
      </c>
      <c r="J8" t="s">
        <v>15</v>
      </c>
    </row>
    <row r="9" spans="1:10" x14ac:dyDescent="0.45">
      <c r="A9" t="s">
        <v>56</v>
      </c>
      <c r="B9" t="s">
        <v>20</v>
      </c>
      <c r="C9">
        <v>1</v>
      </c>
      <c r="D9" t="s">
        <v>29</v>
      </c>
      <c r="F9">
        <v>389</v>
      </c>
    </row>
    <row r="10" spans="1:10" x14ac:dyDescent="0.45">
      <c r="A10" t="s">
        <v>56</v>
      </c>
      <c r="B10" t="s">
        <v>20</v>
      </c>
      <c r="C10">
        <v>1</v>
      </c>
      <c r="D10" t="s">
        <v>31</v>
      </c>
      <c r="H10">
        <v>115</v>
      </c>
    </row>
    <row r="11" spans="1:10" x14ac:dyDescent="0.45">
      <c r="A11" t="s">
        <v>56</v>
      </c>
      <c r="B11" t="s">
        <v>20</v>
      </c>
      <c r="C11">
        <v>1</v>
      </c>
      <c r="D11" t="s">
        <v>32</v>
      </c>
      <c r="H11">
        <v>4</v>
      </c>
    </row>
    <row r="12" spans="1:10" x14ac:dyDescent="0.45">
      <c r="A12" t="s">
        <v>56</v>
      </c>
      <c r="B12" t="s">
        <v>20</v>
      </c>
      <c r="C12">
        <v>1</v>
      </c>
      <c r="D12" t="s">
        <v>34</v>
      </c>
    </row>
    <row r="13" spans="1:10" x14ac:dyDescent="0.45">
      <c r="A13" t="s">
        <v>56</v>
      </c>
      <c r="B13" t="s">
        <v>21</v>
      </c>
      <c r="C13">
        <v>2</v>
      </c>
      <c r="D13" t="s">
        <v>19</v>
      </c>
      <c r="E13">
        <v>1198353</v>
      </c>
      <c r="F13">
        <v>2593</v>
      </c>
      <c r="G13">
        <v>758</v>
      </c>
    </row>
    <row r="14" spans="1:10" x14ac:dyDescent="0.45">
      <c r="A14" t="s">
        <v>56</v>
      </c>
      <c r="B14" t="s">
        <v>21</v>
      </c>
      <c r="C14">
        <v>2</v>
      </c>
      <c r="D14" t="s">
        <v>27</v>
      </c>
      <c r="F14">
        <v>1135</v>
      </c>
    </row>
    <row r="15" spans="1:10" x14ac:dyDescent="0.45">
      <c r="A15" t="s">
        <v>56</v>
      </c>
      <c r="B15" t="s">
        <v>21</v>
      </c>
      <c r="C15">
        <v>2</v>
      </c>
      <c r="D15" t="s">
        <v>28</v>
      </c>
      <c r="F15">
        <v>383</v>
      </c>
    </row>
    <row r="16" spans="1:10" x14ac:dyDescent="0.45">
      <c r="A16" t="s">
        <v>56</v>
      </c>
      <c r="B16" t="s">
        <v>21</v>
      </c>
      <c r="C16">
        <v>2</v>
      </c>
      <c r="D16" t="s">
        <v>29</v>
      </c>
      <c r="F16">
        <v>301</v>
      </c>
    </row>
    <row r="17" spans="1:7" x14ac:dyDescent="0.45">
      <c r="A17" t="s">
        <v>56</v>
      </c>
      <c r="B17" t="s">
        <v>20</v>
      </c>
      <c r="C17">
        <v>2</v>
      </c>
      <c r="D17" t="s">
        <v>19</v>
      </c>
      <c r="E17">
        <v>1161376</v>
      </c>
      <c r="F17">
        <v>2356</v>
      </c>
      <c r="G17">
        <v>694</v>
      </c>
    </row>
    <row r="18" spans="1:7" x14ac:dyDescent="0.45">
      <c r="A18" t="s">
        <v>56</v>
      </c>
      <c r="B18" t="s">
        <v>20</v>
      </c>
      <c r="C18">
        <v>2</v>
      </c>
      <c r="D18" t="s">
        <v>27</v>
      </c>
      <c r="F18">
        <v>975</v>
      </c>
    </row>
    <row r="19" spans="1:7" x14ac:dyDescent="0.45">
      <c r="A19" t="s">
        <v>56</v>
      </c>
      <c r="B19" t="s">
        <v>20</v>
      </c>
      <c r="C19">
        <v>2</v>
      </c>
      <c r="D19" t="s">
        <v>28</v>
      </c>
      <c r="F19">
        <v>371</v>
      </c>
    </row>
    <row r="20" spans="1:7" x14ac:dyDescent="0.45">
      <c r="A20" t="s">
        <v>56</v>
      </c>
      <c r="B20" t="s">
        <v>20</v>
      </c>
      <c r="C20">
        <v>2</v>
      </c>
      <c r="D20" t="s">
        <v>29</v>
      </c>
      <c r="F20">
        <v>274</v>
      </c>
    </row>
    <row r="21" spans="1:7" x14ac:dyDescent="0.45">
      <c r="A21" t="s">
        <v>56</v>
      </c>
      <c r="B21" t="s">
        <v>20</v>
      </c>
      <c r="C21">
        <v>2</v>
      </c>
      <c r="D21" t="s">
        <v>31</v>
      </c>
    </row>
    <row r="22" spans="1:7" x14ac:dyDescent="0.45">
      <c r="A22" t="s">
        <v>56</v>
      </c>
      <c r="B22" t="s">
        <v>20</v>
      </c>
      <c r="C22">
        <v>2</v>
      </c>
      <c r="D22" t="s">
        <v>32</v>
      </c>
    </row>
    <row r="23" spans="1:7" x14ac:dyDescent="0.45">
      <c r="A23" t="s">
        <v>56</v>
      </c>
      <c r="B23" t="s">
        <v>20</v>
      </c>
      <c r="C23">
        <v>2</v>
      </c>
      <c r="D23" t="s">
        <v>34</v>
      </c>
    </row>
    <row r="24" spans="1:7" x14ac:dyDescent="0.45">
      <c r="A24" t="s">
        <v>56</v>
      </c>
      <c r="B24" t="s">
        <v>21</v>
      </c>
      <c r="C24">
        <v>3</v>
      </c>
      <c r="D24" t="s">
        <v>19</v>
      </c>
      <c r="E24">
        <v>2478355</v>
      </c>
      <c r="F24">
        <v>4371</v>
      </c>
      <c r="G24">
        <v>845</v>
      </c>
    </row>
    <row r="25" spans="1:7" x14ac:dyDescent="0.45">
      <c r="A25" t="s">
        <v>56</v>
      </c>
      <c r="B25" t="s">
        <v>21</v>
      </c>
      <c r="C25">
        <v>3</v>
      </c>
      <c r="D25" t="s">
        <v>27</v>
      </c>
      <c r="F25">
        <v>1346</v>
      </c>
    </row>
    <row r="26" spans="1:7" x14ac:dyDescent="0.45">
      <c r="A26" t="s">
        <v>56</v>
      </c>
      <c r="B26" t="s">
        <v>21</v>
      </c>
      <c r="C26">
        <v>3</v>
      </c>
      <c r="D26" t="s">
        <v>28</v>
      </c>
      <c r="F26">
        <v>554</v>
      </c>
    </row>
    <row r="27" spans="1:7" x14ac:dyDescent="0.45">
      <c r="A27" t="s">
        <v>56</v>
      </c>
      <c r="B27" t="s">
        <v>21</v>
      </c>
      <c r="C27">
        <v>3</v>
      </c>
      <c r="D27" t="s">
        <v>29</v>
      </c>
      <c r="F27">
        <v>535</v>
      </c>
    </row>
    <row r="28" spans="1:7" x14ac:dyDescent="0.45">
      <c r="A28" t="s">
        <v>56</v>
      </c>
      <c r="B28" t="s">
        <v>20</v>
      </c>
      <c r="C28">
        <v>3</v>
      </c>
      <c r="D28" t="s">
        <v>19</v>
      </c>
      <c r="E28">
        <v>2070109</v>
      </c>
      <c r="F28">
        <v>3590</v>
      </c>
    </row>
    <row r="29" spans="1:7" x14ac:dyDescent="0.45">
      <c r="A29" t="s">
        <v>56</v>
      </c>
      <c r="B29" t="s">
        <v>20</v>
      </c>
      <c r="C29">
        <v>3</v>
      </c>
      <c r="D29" t="s">
        <v>27</v>
      </c>
      <c r="F29">
        <v>1202</v>
      </c>
    </row>
    <row r="30" spans="1:7" x14ac:dyDescent="0.45">
      <c r="A30" t="s">
        <v>56</v>
      </c>
      <c r="B30" t="s">
        <v>20</v>
      </c>
      <c r="C30">
        <v>3</v>
      </c>
      <c r="D30" t="s">
        <v>28</v>
      </c>
      <c r="F30">
        <v>549</v>
      </c>
    </row>
    <row r="31" spans="1:7" x14ac:dyDescent="0.45">
      <c r="A31" t="s">
        <v>56</v>
      </c>
      <c r="B31" t="s">
        <v>20</v>
      </c>
      <c r="C31">
        <v>3</v>
      </c>
      <c r="D31" t="s">
        <v>29</v>
      </c>
      <c r="F31">
        <v>499</v>
      </c>
    </row>
    <row r="32" spans="1:7" x14ac:dyDescent="0.45">
      <c r="A32" t="s">
        <v>56</v>
      </c>
      <c r="B32" t="s">
        <v>20</v>
      </c>
      <c r="C32">
        <v>3</v>
      </c>
      <c r="D32" t="s">
        <v>31</v>
      </c>
    </row>
    <row r="33" spans="1:7" x14ac:dyDescent="0.45">
      <c r="A33" t="s">
        <v>56</v>
      </c>
      <c r="B33" t="s">
        <v>20</v>
      </c>
      <c r="C33">
        <v>3</v>
      </c>
      <c r="D33" t="s">
        <v>32</v>
      </c>
    </row>
    <row r="34" spans="1:7" x14ac:dyDescent="0.45">
      <c r="A34" t="s">
        <v>56</v>
      </c>
      <c r="B34" t="s">
        <v>20</v>
      </c>
      <c r="C34">
        <v>3</v>
      </c>
      <c r="D34" t="s">
        <v>34</v>
      </c>
    </row>
    <row r="35" spans="1:7" x14ac:dyDescent="0.45">
      <c r="A35" t="s">
        <v>56</v>
      </c>
      <c r="B35" t="s">
        <v>21</v>
      </c>
      <c r="C35">
        <v>4</v>
      </c>
      <c r="D35" t="s">
        <v>19</v>
      </c>
      <c r="E35">
        <v>3583762</v>
      </c>
      <c r="F35">
        <v>5692</v>
      </c>
      <c r="G35">
        <v>1472</v>
      </c>
    </row>
    <row r="36" spans="1:7" x14ac:dyDescent="0.45">
      <c r="A36" t="s">
        <v>56</v>
      </c>
      <c r="B36" t="s">
        <v>21</v>
      </c>
      <c r="C36">
        <v>4</v>
      </c>
      <c r="D36" t="s">
        <v>27</v>
      </c>
      <c r="F36">
        <v>1470</v>
      </c>
    </row>
    <row r="37" spans="1:7" x14ac:dyDescent="0.45">
      <c r="A37" t="s">
        <v>56</v>
      </c>
      <c r="B37" t="s">
        <v>21</v>
      </c>
      <c r="C37">
        <v>4</v>
      </c>
      <c r="D37" t="s">
        <v>28</v>
      </c>
      <c r="F37">
        <v>738</v>
      </c>
    </row>
    <row r="38" spans="1:7" x14ac:dyDescent="0.45">
      <c r="A38" t="s">
        <v>56</v>
      </c>
      <c r="B38" t="s">
        <v>21</v>
      </c>
      <c r="C38">
        <v>4</v>
      </c>
      <c r="D38" t="s">
        <v>29</v>
      </c>
      <c r="F38">
        <v>660</v>
      </c>
    </row>
    <row r="39" spans="1:7" x14ac:dyDescent="0.45">
      <c r="A39" t="s">
        <v>56</v>
      </c>
      <c r="B39" t="s">
        <v>20</v>
      </c>
      <c r="C39">
        <v>4</v>
      </c>
      <c r="D39" t="s">
        <v>19</v>
      </c>
      <c r="E39">
        <v>3609518</v>
      </c>
      <c r="F39">
        <v>5755</v>
      </c>
      <c r="G39">
        <v>1462</v>
      </c>
    </row>
    <row r="40" spans="1:7" x14ac:dyDescent="0.45">
      <c r="A40" t="s">
        <v>56</v>
      </c>
      <c r="B40" t="s">
        <v>20</v>
      </c>
      <c r="C40">
        <v>4</v>
      </c>
      <c r="D40" t="s">
        <v>27</v>
      </c>
      <c r="F40">
        <v>1258</v>
      </c>
    </row>
    <row r="41" spans="1:7" x14ac:dyDescent="0.45">
      <c r="A41" t="s">
        <v>56</v>
      </c>
      <c r="B41" t="s">
        <v>20</v>
      </c>
      <c r="C41">
        <v>4</v>
      </c>
      <c r="D41" t="s">
        <v>28</v>
      </c>
      <c r="F41">
        <v>814</v>
      </c>
    </row>
    <row r="42" spans="1:7" x14ac:dyDescent="0.45">
      <c r="A42" t="s">
        <v>56</v>
      </c>
      <c r="B42" t="s">
        <v>20</v>
      </c>
      <c r="C42">
        <v>4</v>
      </c>
      <c r="D42" t="s">
        <v>29</v>
      </c>
      <c r="F42">
        <v>714</v>
      </c>
    </row>
    <row r="43" spans="1:7" x14ac:dyDescent="0.45">
      <c r="A43" t="s">
        <v>56</v>
      </c>
      <c r="B43" t="s">
        <v>20</v>
      </c>
      <c r="C43">
        <v>4</v>
      </c>
      <c r="D43" t="s">
        <v>31</v>
      </c>
    </row>
    <row r="44" spans="1:7" x14ac:dyDescent="0.45">
      <c r="A44" t="s">
        <v>56</v>
      </c>
      <c r="B44" t="s">
        <v>20</v>
      </c>
      <c r="C44">
        <v>4</v>
      </c>
      <c r="D44" t="s">
        <v>32</v>
      </c>
    </row>
    <row r="45" spans="1:7" x14ac:dyDescent="0.45">
      <c r="A45" t="s">
        <v>56</v>
      </c>
      <c r="B45" t="s">
        <v>20</v>
      </c>
      <c r="C45">
        <v>4</v>
      </c>
      <c r="D45" t="s">
        <v>34</v>
      </c>
    </row>
    <row r="46" spans="1:7" x14ac:dyDescent="0.45">
      <c r="A46" t="s">
        <v>56</v>
      </c>
      <c r="B46" t="s">
        <v>21</v>
      </c>
      <c r="C46">
        <v>5</v>
      </c>
      <c r="D46" t="s">
        <v>19</v>
      </c>
      <c r="E46">
        <v>3077340</v>
      </c>
      <c r="F46">
        <v>4802</v>
      </c>
      <c r="G46">
        <v>1211</v>
      </c>
    </row>
    <row r="47" spans="1:7" x14ac:dyDescent="0.45">
      <c r="A47" t="s">
        <v>56</v>
      </c>
      <c r="B47" t="s">
        <v>21</v>
      </c>
      <c r="C47">
        <v>5</v>
      </c>
      <c r="D47" t="s">
        <v>27</v>
      </c>
      <c r="F47">
        <v>1229</v>
      </c>
    </row>
    <row r="48" spans="1:7" x14ac:dyDescent="0.45">
      <c r="A48" t="s">
        <v>56</v>
      </c>
      <c r="B48" t="s">
        <v>21</v>
      </c>
      <c r="C48">
        <v>5</v>
      </c>
      <c r="D48" t="s">
        <v>28</v>
      </c>
      <c r="F48">
        <v>691</v>
      </c>
    </row>
    <row r="49" spans="1:6" x14ac:dyDescent="0.45">
      <c r="A49" t="s">
        <v>56</v>
      </c>
      <c r="B49" t="s">
        <v>21</v>
      </c>
      <c r="C49">
        <v>5</v>
      </c>
      <c r="D49" t="s">
        <v>29</v>
      </c>
      <c r="F49">
        <v>565</v>
      </c>
    </row>
    <row r="50" spans="1:6" x14ac:dyDescent="0.45">
      <c r="A50" t="s">
        <v>56</v>
      </c>
      <c r="B50" t="s">
        <v>20</v>
      </c>
      <c r="C50">
        <v>5</v>
      </c>
      <c r="D50" t="s">
        <v>19</v>
      </c>
      <c r="E50">
        <v>2422219</v>
      </c>
      <c r="F50">
        <v>3867</v>
      </c>
    </row>
    <row r="51" spans="1:6" x14ac:dyDescent="0.45">
      <c r="A51" t="s">
        <v>56</v>
      </c>
      <c r="B51" t="s">
        <v>20</v>
      </c>
      <c r="C51">
        <v>5</v>
      </c>
      <c r="D51" t="s">
        <v>27</v>
      </c>
      <c r="F51">
        <v>980</v>
      </c>
    </row>
    <row r="52" spans="1:6" x14ac:dyDescent="0.45">
      <c r="A52" t="s">
        <v>56</v>
      </c>
      <c r="B52" t="s">
        <v>20</v>
      </c>
      <c r="C52">
        <v>5</v>
      </c>
      <c r="D52" t="s">
        <v>28</v>
      </c>
      <c r="F52">
        <v>619</v>
      </c>
    </row>
    <row r="53" spans="1:6" x14ac:dyDescent="0.45">
      <c r="A53" t="s">
        <v>56</v>
      </c>
      <c r="B53" t="s">
        <v>20</v>
      </c>
      <c r="C53">
        <v>5</v>
      </c>
      <c r="D53" t="s">
        <v>29</v>
      </c>
      <c r="F53">
        <v>484</v>
      </c>
    </row>
    <row r="54" spans="1:6" x14ac:dyDescent="0.45">
      <c r="A54" t="s">
        <v>56</v>
      </c>
      <c r="B54" t="s">
        <v>20</v>
      </c>
      <c r="C54">
        <v>5</v>
      </c>
      <c r="D54" t="s">
        <v>31</v>
      </c>
    </row>
    <row r="55" spans="1:6" x14ac:dyDescent="0.45">
      <c r="A55" t="s">
        <v>56</v>
      </c>
      <c r="B55" t="s">
        <v>20</v>
      </c>
      <c r="C55">
        <v>5</v>
      </c>
      <c r="D55" t="s">
        <v>32</v>
      </c>
    </row>
    <row r="56" spans="1:6" x14ac:dyDescent="0.45">
      <c r="A56" t="s">
        <v>56</v>
      </c>
      <c r="B56" t="s">
        <v>20</v>
      </c>
      <c r="C56">
        <v>5</v>
      </c>
      <c r="D56" t="s">
        <v>34</v>
      </c>
    </row>
    <row r="57" spans="1:6" x14ac:dyDescent="0.45">
      <c r="A57" t="s">
        <v>56</v>
      </c>
      <c r="B57" t="s">
        <v>21</v>
      </c>
      <c r="C57">
        <v>6</v>
      </c>
      <c r="D57" t="s">
        <v>19</v>
      </c>
      <c r="E57">
        <v>2295669</v>
      </c>
      <c r="F57">
        <v>4100</v>
      </c>
    </row>
    <row r="58" spans="1:6" x14ac:dyDescent="0.45">
      <c r="A58" t="s">
        <v>56</v>
      </c>
      <c r="B58" t="s">
        <v>21</v>
      </c>
      <c r="C58">
        <v>6</v>
      </c>
      <c r="D58" t="s">
        <v>27</v>
      </c>
      <c r="F58">
        <v>1205</v>
      </c>
    </row>
    <row r="59" spans="1:6" x14ac:dyDescent="0.45">
      <c r="A59" t="s">
        <v>56</v>
      </c>
      <c r="B59" t="s">
        <v>21</v>
      </c>
      <c r="C59">
        <v>6</v>
      </c>
      <c r="D59" t="s">
        <v>28</v>
      </c>
      <c r="F59">
        <v>701</v>
      </c>
    </row>
    <row r="60" spans="1:6" x14ac:dyDescent="0.45">
      <c r="A60" t="s">
        <v>56</v>
      </c>
      <c r="B60" t="s">
        <v>21</v>
      </c>
      <c r="C60">
        <v>6</v>
      </c>
      <c r="D60" t="s">
        <v>29</v>
      </c>
      <c r="F60">
        <v>480</v>
      </c>
    </row>
    <row r="61" spans="1:6" x14ac:dyDescent="0.45">
      <c r="A61" t="s">
        <v>56</v>
      </c>
      <c r="B61" t="s">
        <v>20</v>
      </c>
      <c r="C61">
        <v>6</v>
      </c>
      <c r="D61" t="s">
        <v>19</v>
      </c>
      <c r="E61">
        <v>2393210</v>
      </c>
      <c r="F61">
        <v>3918</v>
      </c>
    </row>
    <row r="62" spans="1:6" x14ac:dyDescent="0.45">
      <c r="A62" t="s">
        <v>56</v>
      </c>
      <c r="B62" t="s">
        <v>20</v>
      </c>
      <c r="C62">
        <v>6</v>
      </c>
      <c r="D62" t="s">
        <v>27</v>
      </c>
      <c r="F62">
        <v>1146</v>
      </c>
    </row>
    <row r="63" spans="1:6" x14ac:dyDescent="0.45">
      <c r="A63" t="s">
        <v>56</v>
      </c>
      <c r="B63" t="s">
        <v>20</v>
      </c>
      <c r="C63">
        <v>6</v>
      </c>
      <c r="D63" t="s">
        <v>28</v>
      </c>
      <c r="F63">
        <v>640</v>
      </c>
    </row>
    <row r="64" spans="1:6" x14ac:dyDescent="0.45">
      <c r="A64" t="s">
        <v>56</v>
      </c>
      <c r="B64" t="s">
        <v>20</v>
      </c>
      <c r="C64">
        <v>6</v>
      </c>
      <c r="D64" t="s">
        <v>29</v>
      </c>
      <c r="F64">
        <v>434</v>
      </c>
    </row>
    <row r="65" spans="1:7" x14ac:dyDescent="0.45">
      <c r="A65" t="s">
        <v>56</v>
      </c>
      <c r="B65" t="s">
        <v>20</v>
      </c>
      <c r="C65">
        <v>6</v>
      </c>
      <c r="D65" t="s">
        <v>31</v>
      </c>
    </row>
    <row r="66" spans="1:7" x14ac:dyDescent="0.45">
      <c r="A66" t="s">
        <v>56</v>
      </c>
      <c r="B66" t="s">
        <v>20</v>
      </c>
      <c r="C66">
        <v>6</v>
      </c>
      <c r="D66" t="s">
        <v>32</v>
      </c>
    </row>
    <row r="67" spans="1:7" x14ac:dyDescent="0.45">
      <c r="A67" t="s">
        <v>56</v>
      </c>
      <c r="B67" t="s">
        <v>20</v>
      </c>
      <c r="C67">
        <v>6</v>
      </c>
      <c r="D67" t="s">
        <v>34</v>
      </c>
    </row>
    <row r="68" spans="1:7" x14ac:dyDescent="0.45">
      <c r="A68" t="s">
        <v>56</v>
      </c>
      <c r="B68" t="s">
        <v>21</v>
      </c>
      <c r="C68">
        <v>7</v>
      </c>
      <c r="D68" t="s">
        <v>19</v>
      </c>
      <c r="E68">
        <v>1727630</v>
      </c>
      <c r="F68">
        <v>3282</v>
      </c>
    </row>
    <row r="69" spans="1:7" x14ac:dyDescent="0.45">
      <c r="A69" t="s">
        <v>56</v>
      </c>
      <c r="B69" t="s">
        <v>21</v>
      </c>
      <c r="C69">
        <v>7</v>
      </c>
      <c r="D69" t="s">
        <v>27</v>
      </c>
      <c r="F69">
        <v>1205</v>
      </c>
    </row>
    <row r="70" spans="1:7" x14ac:dyDescent="0.45">
      <c r="A70" t="s">
        <v>56</v>
      </c>
      <c r="B70" t="s">
        <v>21</v>
      </c>
      <c r="C70">
        <v>7</v>
      </c>
      <c r="D70" t="s">
        <v>28</v>
      </c>
      <c r="F70">
        <v>616</v>
      </c>
    </row>
    <row r="71" spans="1:7" x14ac:dyDescent="0.45">
      <c r="A71" t="s">
        <v>56</v>
      </c>
      <c r="B71" t="s">
        <v>21</v>
      </c>
      <c r="C71">
        <v>7</v>
      </c>
      <c r="D71" t="s">
        <v>29</v>
      </c>
      <c r="F71">
        <v>382</v>
      </c>
    </row>
    <row r="72" spans="1:7" x14ac:dyDescent="0.45">
      <c r="A72" t="s">
        <v>56</v>
      </c>
      <c r="B72" t="s">
        <v>20</v>
      </c>
      <c r="C72">
        <v>7</v>
      </c>
      <c r="D72" t="s">
        <v>19</v>
      </c>
      <c r="E72">
        <v>1728390</v>
      </c>
      <c r="F72">
        <v>3071</v>
      </c>
    </row>
    <row r="73" spans="1:7" x14ac:dyDescent="0.45">
      <c r="A73" t="s">
        <v>56</v>
      </c>
      <c r="B73" t="s">
        <v>20</v>
      </c>
      <c r="C73">
        <v>7</v>
      </c>
      <c r="D73" t="s">
        <v>27</v>
      </c>
      <c r="F73">
        <v>1018</v>
      </c>
    </row>
    <row r="74" spans="1:7" x14ac:dyDescent="0.45">
      <c r="A74" t="s">
        <v>56</v>
      </c>
      <c r="B74" t="s">
        <v>20</v>
      </c>
      <c r="C74">
        <v>7</v>
      </c>
      <c r="D74" t="s">
        <v>28</v>
      </c>
      <c r="F74">
        <v>604</v>
      </c>
    </row>
    <row r="75" spans="1:7" x14ac:dyDescent="0.45">
      <c r="A75" t="s">
        <v>56</v>
      </c>
      <c r="B75" t="s">
        <v>20</v>
      </c>
      <c r="C75">
        <v>7</v>
      </c>
      <c r="D75" t="s">
        <v>29</v>
      </c>
      <c r="F75">
        <v>377</v>
      </c>
    </row>
    <row r="76" spans="1:7" x14ac:dyDescent="0.45">
      <c r="A76" t="s">
        <v>56</v>
      </c>
      <c r="B76" t="s">
        <v>20</v>
      </c>
      <c r="C76">
        <v>7</v>
      </c>
      <c r="D76" t="s">
        <v>31</v>
      </c>
    </row>
    <row r="77" spans="1:7" x14ac:dyDescent="0.45">
      <c r="A77" t="s">
        <v>56</v>
      </c>
      <c r="B77" t="s">
        <v>20</v>
      </c>
      <c r="C77">
        <v>7</v>
      </c>
      <c r="D77" t="s">
        <v>32</v>
      </c>
    </row>
    <row r="78" spans="1:7" x14ac:dyDescent="0.45">
      <c r="A78" t="s">
        <v>56</v>
      </c>
      <c r="B78" t="s">
        <v>20</v>
      </c>
      <c r="C78">
        <v>7</v>
      </c>
      <c r="D78" t="s">
        <v>34</v>
      </c>
    </row>
    <row r="79" spans="1:7" x14ac:dyDescent="0.45">
      <c r="A79" t="s">
        <v>56</v>
      </c>
      <c r="B79" t="s">
        <v>21</v>
      </c>
      <c r="C79">
        <v>8</v>
      </c>
      <c r="D79" t="s">
        <v>19</v>
      </c>
      <c r="E79">
        <v>1208615</v>
      </c>
      <c r="F79">
        <v>2516</v>
      </c>
      <c r="G79">
        <v>718</v>
      </c>
    </row>
    <row r="80" spans="1:7" x14ac:dyDescent="0.45">
      <c r="A80" t="s">
        <v>56</v>
      </c>
      <c r="B80" t="s">
        <v>21</v>
      </c>
      <c r="C80">
        <v>8</v>
      </c>
      <c r="D80" t="s">
        <v>27</v>
      </c>
      <c r="F80">
        <v>972</v>
      </c>
      <c r="G80">
        <v>1075</v>
      </c>
    </row>
    <row r="81" spans="1:7" x14ac:dyDescent="0.45">
      <c r="A81" t="s">
        <v>56</v>
      </c>
      <c r="B81" t="s">
        <v>21</v>
      </c>
      <c r="C81">
        <v>8</v>
      </c>
      <c r="D81" t="s">
        <v>28</v>
      </c>
      <c r="F81">
        <v>499</v>
      </c>
      <c r="G81">
        <v>898</v>
      </c>
    </row>
    <row r="82" spans="1:7" x14ac:dyDescent="0.45">
      <c r="A82" t="s">
        <v>56</v>
      </c>
      <c r="B82" t="s">
        <v>21</v>
      </c>
      <c r="C82">
        <v>8</v>
      </c>
      <c r="D82" t="s">
        <v>29</v>
      </c>
      <c r="F82">
        <v>239</v>
      </c>
      <c r="G82">
        <v>953</v>
      </c>
    </row>
    <row r="83" spans="1:7" x14ac:dyDescent="0.45">
      <c r="A83" t="s">
        <v>56</v>
      </c>
      <c r="B83" t="s">
        <v>20</v>
      </c>
      <c r="C83">
        <v>8</v>
      </c>
      <c r="D83" t="s">
        <v>19</v>
      </c>
      <c r="E83">
        <v>1124601</v>
      </c>
      <c r="F83">
        <v>2193</v>
      </c>
      <c r="G83">
        <v>679</v>
      </c>
    </row>
    <row r="84" spans="1:7" x14ac:dyDescent="0.45">
      <c r="A84" t="s">
        <v>56</v>
      </c>
      <c r="B84" t="s">
        <v>20</v>
      </c>
      <c r="C84">
        <v>8</v>
      </c>
      <c r="D84" t="s">
        <v>27</v>
      </c>
      <c r="F84">
        <v>831</v>
      </c>
      <c r="G84">
        <v>847</v>
      </c>
    </row>
    <row r="85" spans="1:7" x14ac:dyDescent="0.45">
      <c r="A85" t="s">
        <v>56</v>
      </c>
      <c r="B85" t="s">
        <v>20</v>
      </c>
      <c r="C85">
        <v>8</v>
      </c>
      <c r="D85" t="s">
        <v>28</v>
      </c>
      <c r="F85">
        <v>469</v>
      </c>
      <c r="G85">
        <v>987</v>
      </c>
    </row>
    <row r="86" spans="1:7" x14ac:dyDescent="0.45">
      <c r="A86" t="s">
        <v>56</v>
      </c>
      <c r="B86" t="s">
        <v>20</v>
      </c>
      <c r="C86">
        <v>8</v>
      </c>
      <c r="D86" t="s">
        <v>29</v>
      </c>
      <c r="F86">
        <v>231</v>
      </c>
      <c r="G86">
        <v>932</v>
      </c>
    </row>
    <row r="87" spans="1:7" x14ac:dyDescent="0.45">
      <c r="A87" t="s">
        <v>56</v>
      </c>
      <c r="B87" t="s">
        <v>20</v>
      </c>
      <c r="C87">
        <v>8</v>
      </c>
      <c r="D87" t="s">
        <v>31</v>
      </c>
    </row>
    <row r="88" spans="1:7" x14ac:dyDescent="0.45">
      <c r="A88" t="s">
        <v>56</v>
      </c>
      <c r="B88" t="s">
        <v>20</v>
      </c>
      <c r="C88">
        <v>8</v>
      </c>
      <c r="D88" t="s">
        <v>32</v>
      </c>
    </row>
    <row r="89" spans="1:7" x14ac:dyDescent="0.45">
      <c r="A89" t="s">
        <v>56</v>
      </c>
      <c r="B89" t="s">
        <v>20</v>
      </c>
      <c r="C89">
        <v>8</v>
      </c>
      <c r="D89" t="s">
        <v>34</v>
      </c>
    </row>
    <row r="90" spans="1:7" x14ac:dyDescent="0.45">
      <c r="A90" t="s">
        <v>56</v>
      </c>
      <c r="B90" t="s">
        <v>21</v>
      </c>
      <c r="C90">
        <v>9</v>
      </c>
      <c r="D90" t="s">
        <v>19</v>
      </c>
      <c r="E90">
        <v>1183086</v>
      </c>
      <c r="F90">
        <v>2569</v>
      </c>
      <c r="G90">
        <v>729</v>
      </c>
    </row>
    <row r="91" spans="1:7" x14ac:dyDescent="0.45">
      <c r="A91" t="s">
        <v>56</v>
      </c>
      <c r="B91" t="s">
        <v>21</v>
      </c>
      <c r="C91">
        <v>9</v>
      </c>
      <c r="D91" t="s">
        <v>27</v>
      </c>
      <c r="F91">
        <v>1115</v>
      </c>
    </row>
    <row r="92" spans="1:7" x14ac:dyDescent="0.45">
      <c r="A92" t="s">
        <v>56</v>
      </c>
      <c r="B92" t="s">
        <v>21</v>
      </c>
      <c r="C92">
        <v>9</v>
      </c>
      <c r="D92" t="s">
        <v>28</v>
      </c>
      <c r="F92">
        <v>508</v>
      </c>
    </row>
    <row r="93" spans="1:7" x14ac:dyDescent="0.45">
      <c r="A93" t="s">
        <v>56</v>
      </c>
      <c r="B93" t="s">
        <v>21</v>
      </c>
      <c r="C93">
        <v>9</v>
      </c>
      <c r="D93" t="s">
        <v>29</v>
      </c>
      <c r="F93">
        <v>249</v>
      </c>
    </row>
    <row r="94" spans="1:7" x14ac:dyDescent="0.45">
      <c r="A94" t="s">
        <v>56</v>
      </c>
      <c r="B94" t="s">
        <v>20</v>
      </c>
      <c r="C94">
        <v>9</v>
      </c>
      <c r="D94" t="s">
        <v>19</v>
      </c>
      <c r="E94">
        <v>1176608</v>
      </c>
      <c r="F94">
        <v>2503</v>
      </c>
      <c r="G94">
        <v>727</v>
      </c>
    </row>
    <row r="95" spans="1:7" x14ac:dyDescent="0.45">
      <c r="A95" t="s">
        <v>56</v>
      </c>
      <c r="B95" t="s">
        <v>20</v>
      </c>
      <c r="C95">
        <v>9</v>
      </c>
      <c r="D95" t="s">
        <v>27</v>
      </c>
      <c r="F95">
        <v>1003</v>
      </c>
    </row>
    <row r="96" spans="1:7" x14ac:dyDescent="0.45">
      <c r="A96" t="s">
        <v>56</v>
      </c>
      <c r="B96" t="s">
        <v>20</v>
      </c>
      <c r="C96">
        <v>9</v>
      </c>
      <c r="D96" t="s">
        <v>28</v>
      </c>
      <c r="F96">
        <v>479</v>
      </c>
    </row>
    <row r="97" spans="1:7" x14ac:dyDescent="0.45">
      <c r="A97" t="s">
        <v>56</v>
      </c>
      <c r="B97" t="s">
        <v>20</v>
      </c>
      <c r="C97">
        <v>9</v>
      </c>
      <c r="D97" t="s">
        <v>29</v>
      </c>
      <c r="F97">
        <v>266</v>
      </c>
    </row>
    <row r="98" spans="1:7" x14ac:dyDescent="0.45">
      <c r="A98" t="s">
        <v>56</v>
      </c>
      <c r="B98" t="s">
        <v>20</v>
      </c>
      <c r="C98">
        <v>9</v>
      </c>
      <c r="D98" t="s">
        <v>31</v>
      </c>
    </row>
    <row r="99" spans="1:7" x14ac:dyDescent="0.45">
      <c r="A99" t="s">
        <v>56</v>
      </c>
      <c r="B99" t="s">
        <v>20</v>
      </c>
      <c r="C99">
        <v>9</v>
      </c>
      <c r="D99" t="s">
        <v>32</v>
      </c>
    </row>
    <row r="100" spans="1:7" x14ac:dyDescent="0.45">
      <c r="A100" t="s">
        <v>56</v>
      </c>
      <c r="B100" t="s">
        <v>20</v>
      </c>
      <c r="C100">
        <v>9</v>
      </c>
      <c r="D100" t="s">
        <v>34</v>
      </c>
    </row>
    <row r="101" spans="1:7" x14ac:dyDescent="0.45">
      <c r="A101" t="s">
        <v>56</v>
      </c>
      <c r="B101" t="s">
        <v>21</v>
      </c>
      <c r="C101">
        <v>10</v>
      </c>
      <c r="D101" t="s">
        <v>19</v>
      </c>
      <c r="E101">
        <v>2032645</v>
      </c>
      <c r="F101">
        <v>4449</v>
      </c>
    </row>
    <row r="102" spans="1:7" x14ac:dyDescent="0.45">
      <c r="A102" t="s">
        <v>56</v>
      </c>
      <c r="B102" t="s">
        <v>21</v>
      </c>
      <c r="C102">
        <v>10</v>
      </c>
      <c r="D102" t="s">
        <v>27</v>
      </c>
      <c r="F102">
        <v>1595</v>
      </c>
    </row>
    <row r="103" spans="1:7" x14ac:dyDescent="0.45">
      <c r="A103" t="s">
        <v>56</v>
      </c>
      <c r="B103" t="s">
        <v>21</v>
      </c>
      <c r="C103">
        <v>10</v>
      </c>
      <c r="D103" t="s">
        <v>28</v>
      </c>
      <c r="F103">
        <v>892</v>
      </c>
    </row>
    <row r="104" spans="1:7" x14ac:dyDescent="0.45">
      <c r="A104" t="s">
        <v>56</v>
      </c>
      <c r="B104" t="s">
        <v>21</v>
      </c>
      <c r="C104">
        <v>10</v>
      </c>
      <c r="D104" t="s">
        <v>29</v>
      </c>
      <c r="F104">
        <v>483</v>
      </c>
    </row>
    <row r="105" spans="1:7" x14ac:dyDescent="0.45">
      <c r="A105" t="s">
        <v>56</v>
      </c>
      <c r="B105" t="s">
        <v>20</v>
      </c>
      <c r="C105">
        <v>10</v>
      </c>
      <c r="D105" t="s">
        <v>19</v>
      </c>
      <c r="E105">
        <v>1881240</v>
      </c>
      <c r="F105">
        <v>3794</v>
      </c>
    </row>
    <row r="106" spans="1:7" x14ac:dyDescent="0.45">
      <c r="A106" t="s">
        <v>56</v>
      </c>
      <c r="B106" t="s">
        <v>20</v>
      </c>
      <c r="C106">
        <v>10</v>
      </c>
      <c r="D106" t="s">
        <v>27</v>
      </c>
      <c r="F106">
        <v>1325</v>
      </c>
    </row>
    <row r="107" spans="1:7" x14ac:dyDescent="0.45">
      <c r="A107" t="s">
        <v>56</v>
      </c>
      <c r="B107" t="s">
        <v>20</v>
      </c>
      <c r="C107">
        <v>10</v>
      </c>
      <c r="D107" t="s">
        <v>28</v>
      </c>
      <c r="F107">
        <v>685</v>
      </c>
    </row>
    <row r="108" spans="1:7" x14ac:dyDescent="0.45">
      <c r="A108" t="s">
        <v>56</v>
      </c>
      <c r="B108" t="s">
        <v>20</v>
      </c>
      <c r="C108">
        <v>10</v>
      </c>
      <c r="D108" t="s">
        <v>29</v>
      </c>
      <c r="F108">
        <v>461</v>
      </c>
    </row>
    <row r="109" spans="1:7" x14ac:dyDescent="0.45">
      <c r="A109" t="s">
        <v>56</v>
      </c>
      <c r="B109" t="s">
        <v>20</v>
      </c>
      <c r="C109">
        <v>10</v>
      </c>
      <c r="D109" t="s">
        <v>31</v>
      </c>
    </row>
    <row r="110" spans="1:7" x14ac:dyDescent="0.45">
      <c r="A110" t="s">
        <v>56</v>
      </c>
      <c r="B110" t="s">
        <v>20</v>
      </c>
      <c r="C110">
        <v>10</v>
      </c>
      <c r="D110" t="s">
        <v>32</v>
      </c>
    </row>
    <row r="111" spans="1:7" x14ac:dyDescent="0.45">
      <c r="A111" t="s">
        <v>56</v>
      </c>
      <c r="B111" t="s">
        <v>20</v>
      </c>
      <c r="C111">
        <v>10</v>
      </c>
      <c r="D111" t="s">
        <v>34</v>
      </c>
    </row>
    <row r="112" spans="1:7" x14ac:dyDescent="0.45">
      <c r="A112" t="s">
        <v>56</v>
      </c>
      <c r="B112" t="s">
        <v>21</v>
      </c>
      <c r="C112">
        <v>11</v>
      </c>
      <c r="D112" t="s">
        <v>19</v>
      </c>
      <c r="E112">
        <v>1444965</v>
      </c>
      <c r="F112">
        <v>3173</v>
      </c>
      <c r="G112">
        <v>882</v>
      </c>
    </row>
    <row r="113" spans="1:6" x14ac:dyDescent="0.45">
      <c r="A113" t="s">
        <v>56</v>
      </c>
      <c r="B113" t="s">
        <v>21</v>
      </c>
      <c r="C113">
        <v>11</v>
      </c>
      <c r="D113" t="s">
        <v>27</v>
      </c>
      <c r="F113">
        <v>1410</v>
      </c>
    </row>
    <row r="114" spans="1:6" x14ac:dyDescent="0.45">
      <c r="A114" t="s">
        <v>56</v>
      </c>
      <c r="B114" t="s">
        <v>21</v>
      </c>
      <c r="C114">
        <v>11</v>
      </c>
      <c r="D114" t="s">
        <v>28</v>
      </c>
      <c r="F114">
        <v>534</v>
      </c>
    </row>
    <row r="115" spans="1:6" x14ac:dyDescent="0.45">
      <c r="A115" t="s">
        <v>56</v>
      </c>
      <c r="B115" t="s">
        <v>21</v>
      </c>
      <c r="C115">
        <v>11</v>
      </c>
      <c r="D115" t="s">
        <v>29</v>
      </c>
      <c r="F115">
        <v>324</v>
      </c>
    </row>
    <row r="116" spans="1:6" x14ac:dyDescent="0.45">
      <c r="A116" t="s">
        <v>56</v>
      </c>
      <c r="B116" t="s">
        <v>20</v>
      </c>
      <c r="C116">
        <v>11</v>
      </c>
      <c r="D116" t="s">
        <v>19</v>
      </c>
      <c r="E116">
        <v>1620659</v>
      </c>
      <c r="F116">
        <v>3431</v>
      </c>
    </row>
    <row r="117" spans="1:6" x14ac:dyDescent="0.45">
      <c r="A117" t="s">
        <v>56</v>
      </c>
      <c r="B117" t="s">
        <v>20</v>
      </c>
      <c r="C117">
        <v>11</v>
      </c>
      <c r="D117" t="s">
        <v>27</v>
      </c>
      <c r="F117">
        <v>1225</v>
      </c>
    </row>
    <row r="118" spans="1:6" x14ac:dyDescent="0.45">
      <c r="A118" t="s">
        <v>56</v>
      </c>
      <c r="B118" t="s">
        <v>20</v>
      </c>
      <c r="C118">
        <v>11</v>
      </c>
      <c r="D118" t="s">
        <v>28</v>
      </c>
      <c r="F118">
        <v>623</v>
      </c>
    </row>
    <row r="119" spans="1:6" x14ac:dyDescent="0.45">
      <c r="A119" t="s">
        <v>56</v>
      </c>
      <c r="B119" t="s">
        <v>20</v>
      </c>
      <c r="C119">
        <v>11</v>
      </c>
      <c r="D119" t="s">
        <v>29</v>
      </c>
      <c r="F119">
        <v>440</v>
      </c>
    </row>
    <row r="120" spans="1:6" x14ac:dyDescent="0.45">
      <c r="A120" t="s">
        <v>56</v>
      </c>
      <c r="B120" t="s">
        <v>20</v>
      </c>
      <c r="C120">
        <v>11</v>
      </c>
      <c r="D120" t="s">
        <v>31</v>
      </c>
    </row>
    <row r="121" spans="1:6" x14ac:dyDescent="0.45">
      <c r="A121" t="s">
        <v>56</v>
      </c>
      <c r="B121" t="s">
        <v>20</v>
      </c>
      <c r="C121">
        <v>11</v>
      </c>
      <c r="D121" t="s">
        <v>32</v>
      </c>
    </row>
    <row r="122" spans="1:6" x14ac:dyDescent="0.45">
      <c r="A122" t="s">
        <v>56</v>
      </c>
      <c r="B122" t="s">
        <v>20</v>
      </c>
      <c r="C122">
        <v>11</v>
      </c>
      <c r="D122" t="s">
        <v>34</v>
      </c>
    </row>
    <row r="123" spans="1:6" x14ac:dyDescent="0.45">
      <c r="A123" t="s">
        <v>56</v>
      </c>
      <c r="B123" t="s">
        <v>21</v>
      </c>
      <c r="C123">
        <v>12</v>
      </c>
      <c r="D123" t="s">
        <v>19</v>
      </c>
      <c r="E123">
        <v>1635574</v>
      </c>
      <c r="F123">
        <v>3659</v>
      </c>
    </row>
    <row r="124" spans="1:6" x14ac:dyDescent="0.45">
      <c r="A124" t="s">
        <v>56</v>
      </c>
      <c r="B124" t="s">
        <v>21</v>
      </c>
      <c r="C124">
        <v>12</v>
      </c>
      <c r="D124" t="s">
        <v>27</v>
      </c>
      <c r="F124">
        <v>1427</v>
      </c>
    </row>
    <row r="125" spans="1:6" x14ac:dyDescent="0.45">
      <c r="A125" t="s">
        <v>56</v>
      </c>
      <c r="B125" t="s">
        <v>21</v>
      </c>
      <c r="C125">
        <v>12</v>
      </c>
      <c r="D125" t="s">
        <v>28</v>
      </c>
      <c r="F125">
        <v>648</v>
      </c>
    </row>
    <row r="126" spans="1:6" x14ac:dyDescent="0.45">
      <c r="A126" t="s">
        <v>56</v>
      </c>
      <c r="B126" t="s">
        <v>21</v>
      </c>
      <c r="C126">
        <v>12</v>
      </c>
      <c r="D126" t="s">
        <v>29</v>
      </c>
      <c r="F126">
        <v>474</v>
      </c>
    </row>
    <row r="127" spans="1:6" x14ac:dyDescent="0.45">
      <c r="A127" t="s">
        <v>56</v>
      </c>
      <c r="B127" t="s">
        <v>20</v>
      </c>
      <c r="C127">
        <v>12</v>
      </c>
      <c r="D127" t="s">
        <v>19</v>
      </c>
      <c r="E127">
        <v>1744318</v>
      </c>
      <c r="F127">
        <v>3473</v>
      </c>
    </row>
    <row r="128" spans="1:6" x14ac:dyDescent="0.45">
      <c r="A128" t="s">
        <v>56</v>
      </c>
      <c r="B128" t="s">
        <v>20</v>
      </c>
      <c r="C128">
        <v>12</v>
      </c>
      <c r="D128" t="s">
        <v>27</v>
      </c>
      <c r="F128">
        <v>1186</v>
      </c>
    </row>
    <row r="129" spans="1:6" x14ac:dyDescent="0.45">
      <c r="A129" t="s">
        <v>56</v>
      </c>
      <c r="B129" t="s">
        <v>20</v>
      </c>
      <c r="C129">
        <v>12</v>
      </c>
      <c r="D129" t="s">
        <v>28</v>
      </c>
      <c r="F129">
        <v>639</v>
      </c>
    </row>
    <row r="130" spans="1:6" x14ac:dyDescent="0.45">
      <c r="A130" t="s">
        <v>56</v>
      </c>
      <c r="B130" t="s">
        <v>20</v>
      </c>
      <c r="C130">
        <v>12</v>
      </c>
      <c r="D130" t="s">
        <v>29</v>
      </c>
      <c r="F130">
        <v>528</v>
      </c>
    </row>
    <row r="131" spans="1:6" x14ac:dyDescent="0.45">
      <c r="A131" t="s">
        <v>56</v>
      </c>
      <c r="B131" t="s">
        <v>20</v>
      </c>
      <c r="C131">
        <v>12</v>
      </c>
      <c r="D131" t="s">
        <v>31</v>
      </c>
    </row>
    <row r="132" spans="1:6" x14ac:dyDescent="0.45">
      <c r="A132" t="s">
        <v>56</v>
      </c>
      <c r="B132" t="s">
        <v>20</v>
      </c>
      <c r="C132">
        <v>12</v>
      </c>
      <c r="D132" t="s">
        <v>32</v>
      </c>
    </row>
    <row r="133" spans="1:6" x14ac:dyDescent="0.45">
      <c r="A133" t="s">
        <v>56</v>
      </c>
      <c r="B133" t="s">
        <v>20</v>
      </c>
      <c r="C133">
        <v>12</v>
      </c>
      <c r="D133" t="s">
        <v>34</v>
      </c>
    </row>
    <row r="134" spans="1:6" x14ac:dyDescent="0.45">
      <c r="A134" t="s">
        <v>55</v>
      </c>
      <c r="B134" t="s">
        <v>21</v>
      </c>
      <c r="C134">
        <v>1</v>
      </c>
      <c r="D134" t="s">
        <v>19</v>
      </c>
      <c r="E134">
        <v>1443974</v>
      </c>
      <c r="F134">
        <v>3115</v>
      </c>
    </row>
    <row r="135" spans="1:6" x14ac:dyDescent="0.45">
      <c r="A135" t="s">
        <v>55</v>
      </c>
      <c r="B135" t="s">
        <v>21</v>
      </c>
      <c r="C135">
        <v>1</v>
      </c>
      <c r="D135" t="s">
        <v>27</v>
      </c>
      <c r="F135">
        <v>1373</v>
      </c>
    </row>
    <row r="136" spans="1:6" x14ac:dyDescent="0.45">
      <c r="A136" t="s">
        <v>55</v>
      </c>
      <c r="B136" t="s">
        <v>21</v>
      </c>
      <c r="C136">
        <v>1</v>
      </c>
      <c r="D136" t="s">
        <v>28</v>
      </c>
      <c r="F136">
        <v>487</v>
      </c>
    </row>
    <row r="137" spans="1:6" x14ac:dyDescent="0.45">
      <c r="A137" t="s">
        <v>55</v>
      </c>
      <c r="B137" t="s">
        <v>21</v>
      </c>
      <c r="C137">
        <v>1</v>
      </c>
      <c r="D137" t="s">
        <v>29</v>
      </c>
      <c r="F137">
        <v>430</v>
      </c>
    </row>
    <row r="138" spans="1:6" x14ac:dyDescent="0.45">
      <c r="A138" t="s">
        <v>55</v>
      </c>
      <c r="B138" t="s">
        <v>20</v>
      </c>
      <c r="C138">
        <v>1</v>
      </c>
      <c r="D138" t="s">
        <v>19</v>
      </c>
      <c r="E138">
        <v>1464300</v>
      </c>
      <c r="F138">
        <v>3060</v>
      </c>
    </row>
    <row r="139" spans="1:6" x14ac:dyDescent="0.45">
      <c r="A139" t="s">
        <v>55</v>
      </c>
      <c r="B139" t="s">
        <v>20</v>
      </c>
      <c r="C139">
        <v>1</v>
      </c>
      <c r="D139" t="s">
        <v>27</v>
      </c>
      <c r="F139">
        <v>1211</v>
      </c>
    </row>
    <row r="140" spans="1:6" x14ac:dyDescent="0.45">
      <c r="A140" t="s">
        <v>55</v>
      </c>
      <c r="B140" t="s">
        <v>20</v>
      </c>
      <c r="C140">
        <v>1</v>
      </c>
      <c r="D140" t="s">
        <v>28</v>
      </c>
      <c r="F140">
        <v>508</v>
      </c>
    </row>
    <row r="141" spans="1:6" x14ac:dyDescent="0.45">
      <c r="A141" t="s">
        <v>55</v>
      </c>
      <c r="B141" t="s">
        <v>20</v>
      </c>
      <c r="C141">
        <v>1</v>
      </c>
      <c r="D141" t="s">
        <v>29</v>
      </c>
      <c r="F141">
        <v>381</v>
      </c>
    </row>
    <row r="142" spans="1:6" x14ac:dyDescent="0.45">
      <c r="A142" t="s">
        <v>55</v>
      </c>
      <c r="B142" t="s">
        <v>20</v>
      </c>
      <c r="C142">
        <v>1</v>
      </c>
      <c r="D142" t="s">
        <v>31</v>
      </c>
    </row>
    <row r="143" spans="1:6" x14ac:dyDescent="0.45">
      <c r="A143" t="s">
        <v>55</v>
      </c>
      <c r="B143" t="s">
        <v>20</v>
      </c>
      <c r="C143">
        <v>1</v>
      </c>
      <c r="D143" t="s">
        <v>32</v>
      </c>
    </row>
    <row r="144" spans="1:6" x14ac:dyDescent="0.45">
      <c r="A144" t="s">
        <v>55</v>
      </c>
      <c r="B144" t="s">
        <v>20</v>
      </c>
      <c r="C144">
        <v>1</v>
      </c>
      <c r="D144" t="s">
        <v>34</v>
      </c>
    </row>
    <row r="145" spans="1:6" x14ac:dyDescent="0.45">
      <c r="A145" t="s">
        <v>55</v>
      </c>
      <c r="B145" t="s">
        <v>21</v>
      </c>
      <c r="C145">
        <v>2</v>
      </c>
      <c r="D145" t="s">
        <v>19</v>
      </c>
      <c r="E145">
        <v>1435408</v>
      </c>
      <c r="F145">
        <v>2914</v>
      </c>
    </row>
    <row r="146" spans="1:6" x14ac:dyDescent="0.45">
      <c r="A146" t="s">
        <v>55</v>
      </c>
      <c r="B146" t="s">
        <v>21</v>
      </c>
      <c r="C146">
        <v>2</v>
      </c>
      <c r="D146" t="s">
        <v>27</v>
      </c>
      <c r="F146">
        <v>1274</v>
      </c>
    </row>
    <row r="147" spans="1:6" x14ac:dyDescent="0.45">
      <c r="A147" t="s">
        <v>55</v>
      </c>
      <c r="B147" t="s">
        <v>21</v>
      </c>
      <c r="C147">
        <v>2</v>
      </c>
      <c r="D147" t="s">
        <v>28</v>
      </c>
      <c r="F147">
        <v>448</v>
      </c>
    </row>
    <row r="148" spans="1:6" x14ac:dyDescent="0.45">
      <c r="A148" t="s">
        <v>55</v>
      </c>
      <c r="B148" t="s">
        <v>21</v>
      </c>
      <c r="C148">
        <v>2</v>
      </c>
      <c r="D148" t="s">
        <v>29</v>
      </c>
      <c r="F148">
        <v>363</v>
      </c>
    </row>
    <row r="149" spans="1:6" x14ac:dyDescent="0.45">
      <c r="A149" t="s">
        <v>55</v>
      </c>
      <c r="B149" t="s">
        <v>20</v>
      </c>
      <c r="C149">
        <v>2</v>
      </c>
      <c r="D149" t="s">
        <v>19</v>
      </c>
      <c r="E149">
        <v>1437973</v>
      </c>
      <c r="F149">
        <v>2871</v>
      </c>
    </row>
    <row r="150" spans="1:6" x14ac:dyDescent="0.45">
      <c r="A150" t="s">
        <v>55</v>
      </c>
      <c r="B150" t="s">
        <v>20</v>
      </c>
      <c r="C150">
        <v>2</v>
      </c>
      <c r="D150" t="s">
        <v>27</v>
      </c>
      <c r="F150">
        <v>1265</v>
      </c>
    </row>
    <row r="151" spans="1:6" x14ac:dyDescent="0.45">
      <c r="A151" t="s">
        <v>55</v>
      </c>
      <c r="B151" t="s">
        <v>20</v>
      </c>
      <c r="C151">
        <v>2</v>
      </c>
      <c r="D151" t="s">
        <v>28</v>
      </c>
      <c r="F151">
        <v>461</v>
      </c>
    </row>
    <row r="152" spans="1:6" x14ac:dyDescent="0.45">
      <c r="A152" t="s">
        <v>55</v>
      </c>
      <c r="B152" t="s">
        <v>20</v>
      </c>
      <c r="C152">
        <v>2</v>
      </c>
      <c r="D152" t="s">
        <v>29</v>
      </c>
      <c r="F152">
        <v>351</v>
      </c>
    </row>
    <row r="153" spans="1:6" x14ac:dyDescent="0.45">
      <c r="A153" t="s">
        <v>55</v>
      </c>
      <c r="B153" t="s">
        <v>20</v>
      </c>
      <c r="C153">
        <v>2</v>
      </c>
      <c r="D153" t="s">
        <v>31</v>
      </c>
    </row>
    <row r="154" spans="1:6" x14ac:dyDescent="0.45">
      <c r="A154" t="s">
        <v>55</v>
      </c>
      <c r="B154" t="s">
        <v>20</v>
      </c>
      <c r="C154">
        <v>2</v>
      </c>
      <c r="D154" t="s">
        <v>32</v>
      </c>
    </row>
    <row r="155" spans="1:6" x14ac:dyDescent="0.45">
      <c r="A155" t="s">
        <v>55</v>
      </c>
      <c r="B155" t="s">
        <v>20</v>
      </c>
      <c r="C155">
        <v>2</v>
      </c>
      <c r="D155" t="s">
        <v>34</v>
      </c>
    </row>
    <row r="156" spans="1:6" x14ac:dyDescent="0.45">
      <c r="A156" t="s">
        <v>55</v>
      </c>
      <c r="B156" t="s">
        <v>21</v>
      </c>
      <c r="C156">
        <v>3</v>
      </c>
      <c r="D156" t="s">
        <v>19</v>
      </c>
      <c r="E156">
        <v>3116590</v>
      </c>
      <c r="F156">
        <v>5179</v>
      </c>
    </row>
    <row r="157" spans="1:6" x14ac:dyDescent="0.45">
      <c r="A157" t="s">
        <v>55</v>
      </c>
      <c r="B157" t="s">
        <v>21</v>
      </c>
      <c r="C157">
        <v>3</v>
      </c>
      <c r="D157" t="s">
        <v>27</v>
      </c>
      <c r="F157">
        <v>1458</v>
      </c>
    </row>
    <row r="158" spans="1:6" x14ac:dyDescent="0.45">
      <c r="A158" t="s">
        <v>55</v>
      </c>
      <c r="B158" t="s">
        <v>21</v>
      </c>
      <c r="C158">
        <v>3</v>
      </c>
      <c r="D158" t="s">
        <v>28</v>
      </c>
      <c r="F158">
        <v>829</v>
      </c>
    </row>
    <row r="159" spans="1:6" x14ac:dyDescent="0.45">
      <c r="A159" t="s">
        <v>55</v>
      </c>
      <c r="B159" t="s">
        <v>21</v>
      </c>
      <c r="C159">
        <v>3</v>
      </c>
      <c r="D159" t="s">
        <v>29</v>
      </c>
      <c r="F159">
        <v>779</v>
      </c>
    </row>
    <row r="160" spans="1:6" x14ac:dyDescent="0.45">
      <c r="A160" t="s">
        <v>55</v>
      </c>
      <c r="B160" t="s">
        <v>20</v>
      </c>
      <c r="C160">
        <v>3</v>
      </c>
      <c r="D160" t="s">
        <v>19</v>
      </c>
      <c r="E160">
        <v>2741828</v>
      </c>
      <c r="F160">
        <v>4704</v>
      </c>
    </row>
    <row r="161" spans="1:6" x14ac:dyDescent="0.45">
      <c r="A161" t="s">
        <v>55</v>
      </c>
      <c r="B161" t="s">
        <v>20</v>
      </c>
      <c r="C161">
        <v>3</v>
      </c>
      <c r="D161" t="s">
        <v>27</v>
      </c>
      <c r="F161">
        <v>1448</v>
      </c>
    </row>
    <row r="162" spans="1:6" x14ac:dyDescent="0.45">
      <c r="A162" t="s">
        <v>55</v>
      </c>
      <c r="B162" t="s">
        <v>20</v>
      </c>
      <c r="C162">
        <v>3</v>
      </c>
      <c r="D162" t="s">
        <v>28</v>
      </c>
      <c r="F162">
        <v>731</v>
      </c>
    </row>
    <row r="163" spans="1:6" x14ac:dyDescent="0.45">
      <c r="A163" t="s">
        <v>55</v>
      </c>
      <c r="B163" t="s">
        <v>20</v>
      </c>
      <c r="C163">
        <v>3</v>
      </c>
      <c r="D163" t="s">
        <v>29</v>
      </c>
      <c r="F163">
        <v>723</v>
      </c>
    </row>
    <row r="164" spans="1:6" x14ac:dyDescent="0.45">
      <c r="A164" t="s">
        <v>55</v>
      </c>
      <c r="B164" t="s">
        <v>20</v>
      </c>
      <c r="C164">
        <v>3</v>
      </c>
      <c r="D164" t="s">
        <v>31</v>
      </c>
    </row>
    <row r="165" spans="1:6" x14ac:dyDescent="0.45">
      <c r="A165" t="s">
        <v>55</v>
      </c>
      <c r="B165" t="s">
        <v>20</v>
      </c>
      <c r="C165">
        <v>3</v>
      </c>
      <c r="D165" t="s">
        <v>32</v>
      </c>
    </row>
    <row r="166" spans="1:6" x14ac:dyDescent="0.45">
      <c r="A166" t="s">
        <v>55</v>
      </c>
      <c r="B166" t="s">
        <v>20</v>
      </c>
      <c r="C166">
        <v>3</v>
      </c>
      <c r="D166" t="s">
        <v>34</v>
      </c>
    </row>
    <row r="167" spans="1:6" x14ac:dyDescent="0.45">
      <c r="A167" t="s">
        <v>55</v>
      </c>
      <c r="B167" t="s">
        <v>21</v>
      </c>
      <c r="C167">
        <v>4</v>
      </c>
      <c r="D167" t="s">
        <v>19</v>
      </c>
      <c r="E167">
        <v>4281823</v>
      </c>
      <c r="F167">
        <v>6607</v>
      </c>
    </row>
    <row r="168" spans="1:6" x14ac:dyDescent="0.45">
      <c r="A168" t="s">
        <v>55</v>
      </c>
      <c r="B168" t="s">
        <v>21</v>
      </c>
      <c r="C168">
        <v>4</v>
      </c>
      <c r="D168" t="s">
        <v>27</v>
      </c>
      <c r="F168">
        <v>1655</v>
      </c>
    </row>
    <row r="169" spans="1:6" x14ac:dyDescent="0.45">
      <c r="A169" t="s">
        <v>55</v>
      </c>
      <c r="B169" t="s">
        <v>21</v>
      </c>
      <c r="C169">
        <v>4</v>
      </c>
      <c r="D169" t="s">
        <v>28</v>
      </c>
      <c r="F169">
        <v>937</v>
      </c>
    </row>
    <row r="170" spans="1:6" x14ac:dyDescent="0.45">
      <c r="A170" t="s">
        <v>55</v>
      </c>
      <c r="B170" t="s">
        <v>21</v>
      </c>
      <c r="C170">
        <v>4</v>
      </c>
      <c r="D170" t="s">
        <v>29</v>
      </c>
      <c r="F170">
        <v>944</v>
      </c>
    </row>
    <row r="171" spans="1:6" x14ac:dyDescent="0.45">
      <c r="A171" t="s">
        <v>55</v>
      </c>
      <c r="B171" t="s">
        <v>20</v>
      </c>
      <c r="C171">
        <v>4</v>
      </c>
      <c r="D171" t="s">
        <v>19</v>
      </c>
      <c r="E171">
        <v>4495880</v>
      </c>
      <c r="F171">
        <v>7084</v>
      </c>
    </row>
    <row r="172" spans="1:6" x14ac:dyDescent="0.45">
      <c r="A172" t="s">
        <v>55</v>
      </c>
      <c r="B172" t="s">
        <v>20</v>
      </c>
      <c r="C172">
        <v>4</v>
      </c>
      <c r="D172" t="s">
        <v>27</v>
      </c>
      <c r="F172">
        <v>1516</v>
      </c>
    </row>
    <row r="173" spans="1:6" x14ac:dyDescent="0.45">
      <c r="A173" t="s">
        <v>55</v>
      </c>
      <c r="B173" t="s">
        <v>20</v>
      </c>
      <c r="C173">
        <v>4</v>
      </c>
      <c r="D173" t="s">
        <v>28</v>
      </c>
      <c r="F173">
        <v>1014</v>
      </c>
    </row>
    <row r="174" spans="1:6" x14ac:dyDescent="0.45">
      <c r="A174" t="s">
        <v>55</v>
      </c>
      <c r="B174" t="s">
        <v>20</v>
      </c>
      <c r="C174">
        <v>4</v>
      </c>
      <c r="D174" t="s">
        <v>29</v>
      </c>
      <c r="F174">
        <v>804</v>
      </c>
    </row>
    <row r="175" spans="1:6" x14ac:dyDescent="0.45">
      <c r="A175" t="s">
        <v>55</v>
      </c>
      <c r="B175" t="s">
        <v>20</v>
      </c>
      <c r="C175">
        <v>4</v>
      </c>
      <c r="D175" t="s">
        <v>31</v>
      </c>
    </row>
    <row r="176" spans="1:6" x14ac:dyDescent="0.45">
      <c r="A176" t="s">
        <v>55</v>
      </c>
      <c r="B176" t="s">
        <v>20</v>
      </c>
      <c r="C176">
        <v>4</v>
      </c>
      <c r="D176" t="s">
        <v>32</v>
      </c>
    </row>
    <row r="177" spans="1:6" x14ac:dyDescent="0.45">
      <c r="A177" t="s">
        <v>55</v>
      </c>
      <c r="B177" t="s">
        <v>20</v>
      </c>
      <c r="C177">
        <v>4</v>
      </c>
      <c r="D177" t="s">
        <v>34</v>
      </c>
    </row>
    <row r="178" spans="1:6" x14ac:dyDescent="0.45">
      <c r="A178" t="s">
        <v>55</v>
      </c>
      <c r="B178" t="s">
        <v>21</v>
      </c>
      <c r="C178">
        <v>5</v>
      </c>
      <c r="D178" t="s">
        <v>19</v>
      </c>
      <c r="E178">
        <v>3521916</v>
      </c>
      <c r="F178">
        <v>5381</v>
      </c>
    </row>
    <row r="179" spans="1:6" x14ac:dyDescent="0.45">
      <c r="A179" t="s">
        <v>55</v>
      </c>
      <c r="B179" t="s">
        <v>21</v>
      </c>
      <c r="C179">
        <v>5</v>
      </c>
      <c r="D179" t="s">
        <v>27</v>
      </c>
      <c r="F179">
        <v>1443</v>
      </c>
    </row>
    <row r="180" spans="1:6" x14ac:dyDescent="0.45">
      <c r="A180" t="s">
        <v>55</v>
      </c>
      <c r="B180" t="s">
        <v>21</v>
      </c>
      <c r="C180">
        <v>5</v>
      </c>
      <c r="D180" t="s">
        <v>28</v>
      </c>
      <c r="F180">
        <v>819</v>
      </c>
    </row>
    <row r="181" spans="1:6" x14ac:dyDescent="0.45">
      <c r="A181" t="s">
        <v>55</v>
      </c>
      <c r="B181" t="s">
        <v>21</v>
      </c>
      <c r="C181">
        <v>5</v>
      </c>
      <c r="D181" t="s">
        <v>29</v>
      </c>
      <c r="F181">
        <v>705</v>
      </c>
    </row>
    <row r="182" spans="1:6" x14ac:dyDescent="0.45">
      <c r="A182" t="s">
        <v>55</v>
      </c>
      <c r="B182" t="s">
        <v>20</v>
      </c>
      <c r="C182">
        <v>5</v>
      </c>
      <c r="D182" t="s">
        <v>19</v>
      </c>
      <c r="E182">
        <v>3330613</v>
      </c>
      <c r="F182">
        <v>5026</v>
      </c>
    </row>
    <row r="183" spans="1:6" x14ac:dyDescent="0.45">
      <c r="A183" t="s">
        <v>55</v>
      </c>
      <c r="B183" t="s">
        <v>20</v>
      </c>
      <c r="C183">
        <v>5</v>
      </c>
      <c r="D183" t="s">
        <v>27</v>
      </c>
      <c r="F183">
        <v>1417</v>
      </c>
    </row>
    <row r="184" spans="1:6" x14ac:dyDescent="0.45">
      <c r="A184" t="s">
        <v>55</v>
      </c>
      <c r="B184" t="s">
        <v>20</v>
      </c>
      <c r="C184">
        <v>5</v>
      </c>
      <c r="D184" t="s">
        <v>28</v>
      </c>
      <c r="F184">
        <v>763</v>
      </c>
    </row>
    <row r="185" spans="1:6" x14ac:dyDescent="0.45">
      <c r="A185" t="s">
        <v>55</v>
      </c>
      <c r="B185" t="s">
        <v>20</v>
      </c>
      <c r="C185">
        <v>5</v>
      </c>
      <c r="D185" t="s">
        <v>29</v>
      </c>
      <c r="F185">
        <v>626</v>
      </c>
    </row>
    <row r="186" spans="1:6" x14ac:dyDescent="0.45">
      <c r="A186" t="s">
        <v>55</v>
      </c>
      <c r="B186" t="s">
        <v>20</v>
      </c>
      <c r="C186">
        <v>5</v>
      </c>
      <c r="D186" t="s">
        <v>31</v>
      </c>
    </row>
    <row r="187" spans="1:6" x14ac:dyDescent="0.45">
      <c r="A187" t="s">
        <v>55</v>
      </c>
      <c r="B187" t="s">
        <v>20</v>
      </c>
      <c r="C187">
        <v>5</v>
      </c>
      <c r="D187" t="s">
        <v>32</v>
      </c>
    </row>
    <row r="188" spans="1:6" x14ac:dyDescent="0.45">
      <c r="A188" t="s">
        <v>55</v>
      </c>
      <c r="B188" t="s">
        <v>20</v>
      </c>
      <c r="C188">
        <v>5</v>
      </c>
      <c r="D188" t="s">
        <v>34</v>
      </c>
    </row>
    <row r="189" spans="1:6" x14ac:dyDescent="0.45">
      <c r="A189" t="s">
        <v>55</v>
      </c>
      <c r="B189" t="s">
        <v>21</v>
      </c>
      <c r="C189">
        <v>6</v>
      </c>
      <c r="D189" t="s">
        <v>19</v>
      </c>
      <c r="E189">
        <v>3089099</v>
      </c>
      <c r="F189">
        <v>5102</v>
      </c>
    </row>
    <row r="190" spans="1:6" x14ac:dyDescent="0.45">
      <c r="A190" t="s">
        <v>55</v>
      </c>
      <c r="B190" t="s">
        <v>21</v>
      </c>
      <c r="C190">
        <v>6</v>
      </c>
      <c r="D190" t="s">
        <v>27</v>
      </c>
      <c r="F190">
        <v>1470</v>
      </c>
    </row>
    <row r="191" spans="1:6" x14ac:dyDescent="0.45">
      <c r="A191" t="s">
        <v>55</v>
      </c>
      <c r="B191" t="s">
        <v>21</v>
      </c>
      <c r="C191">
        <v>6</v>
      </c>
      <c r="D191" t="s">
        <v>28</v>
      </c>
      <c r="F191">
        <v>1192</v>
      </c>
    </row>
    <row r="192" spans="1:6" x14ac:dyDescent="0.45">
      <c r="A192" t="s">
        <v>55</v>
      </c>
      <c r="B192" t="s">
        <v>21</v>
      </c>
      <c r="C192">
        <v>6</v>
      </c>
      <c r="D192" t="s">
        <v>29</v>
      </c>
      <c r="F192">
        <v>691</v>
      </c>
    </row>
    <row r="193" spans="1:6" x14ac:dyDescent="0.45">
      <c r="A193" t="s">
        <v>55</v>
      </c>
      <c r="B193" t="s">
        <v>20</v>
      </c>
      <c r="C193">
        <v>6</v>
      </c>
      <c r="D193" t="s">
        <v>19</v>
      </c>
      <c r="E193">
        <v>3022036</v>
      </c>
      <c r="F193">
        <v>4559</v>
      </c>
    </row>
    <row r="194" spans="1:6" x14ac:dyDescent="0.45">
      <c r="A194" t="s">
        <v>55</v>
      </c>
      <c r="B194" t="s">
        <v>20</v>
      </c>
      <c r="C194">
        <v>6</v>
      </c>
      <c r="D194" t="s">
        <v>27</v>
      </c>
      <c r="F194">
        <v>1453</v>
      </c>
    </row>
    <row r="195" spans="1:6" x14ac:dyDescent="0.45">
      <c r="A195" t="s">
        <v>55</v>
      </c>
      <c r="B195" t="s">
        <v>20</v>
      </c>
      <c r="C195">
        <v>6</v>
      </c>
      <c r="D195" t="s">
        <v>28</v>
      </c>
      <c r="F195">
        <v>684</v>
      </c>
    </row>
    <row r="196" spans="1:6" x14ac:dyDescent="0.45">
      <c r="A196" t="s">
        <v>55</v>
      </c>
      <c r="B196" t="s">
        <v>20</v>
      </c>
      <c r="C196">
        <v>6</v>
      </c>
      <c r="D196" t="s">
        <v>29</v>
      </c>
      <c r="F196">
        <v>652</v>
      </c>
    </row>
    <row r="197" spans="1:6" x14ac:dyDescent="0.45">
      <c r="A197" t="s">
        <v>55</v>
      </c>
      <c r="B197" t="s">
        <v>20</v>
      </c>
      <c r="C197">
        <v>6</v>
      </c>
      <c r="D197" t="s">
        <v>31</v>
      </c>
    </row>
    <row r="198" spans="1:6" x14ac:dyDescent="0.45">
      <c r="A198" t="s">
        <v>55</v>
      </c>
      <c r="B198" t="s">
        <v>20</v>
      </c>
      <c r="C198">
        <v>6</v>
      </c>
      <c r="D198" t="s">
        <v>32</v>
      </c>
    </row>
    <row r="199" spans="1:6" x14ac:dyDescent="0.45">
      <c r="A199" t="s">
        <v>55</v>
      </c>
      <c r="B199" t="s">
        <v>20</v>
      </c>
      <c r="C199">
        <v>6</v>
      </c>
      <c r="D199" t="s">
        <v>34</v>
      </c>
    </row>
    <row r="200" spans="1:6" x14ac:dyDescent="0.45">
      <c r="A200" t="s">
        <v>55</v>
      </c>
      <c r="B200" t="s">
        <v>21</v>
      </c>
      <c r="C200">
        <v>7</v>
      </c>
      <c r="D200" t="s">
        <v>19</v>
      </c>
      <c r="E200">
        <v>2329071</v>
      </c>
      <c r="F200">
        <v>4144</v>
      </c>
    </row>
    <row r="201" spans="1:6" x14ac:dyDescent="0.45">
      <c r="A201" t="s">
        <v>55</v>
      </c>
      <c r="B201" t="s">
        <v>21</v>
      </c>
      <c r="C201">
        <v>7</v>
      </c>
      <c r="D201" t="s">
        <v>27</v>
      </c>
      <c r="F201">
        <v>1517</v>
      </c>
    </row>
    <row r="202" spans="1:6" x14ac:dyDescent="0.45">
      <c r="A202" t="s">
        <v>55</v>
      </c>
      <c r="B202" t="s">
        <v>21</v>
      </c>
      <c r="C202">
        <v>7</v>
      </c>
      <c r="D202" t="s">
        <v>28</v>
      </c>
      <c r="F202">
        <v>730</v>
      </c>
    </row>
    <row r="203" spans="1:6" x14ac:dyDescent="0.45">
      <c r="A203" t="s">
        <v>55</v>
      </c>
      <c r="B203" t="s">
        <v>21</v>
      </c>
      <c r="C203">
        <v>7</v>
      </c>
      <c r="D203" t="s">
        <v>29</v>
      </c>
      <c r="F203">
        <v>573</v>
      </c>
    </row>
    <row r="204" spans="1:6" x14ac:dyDescent="0.45">
      <c r="A204" t="s">
        <v>55</v>
      </c>
      <c r="B204" t="s">
        <v>20</v>
      </c>
      <c r="C204">
        <v>7</v>
      </c>
      <c r="D204" t="s">
        <v>19</v>
      </c>
      <c r="E204">
        <v>2199207</v>
      </c>
      <c r="F204">
        <v>3715</v>
      </c>
    </row>
    <row r="205" spans="1:6" x14ac:dyDescent="0.45">
      <c r="A205" t="s">
        <v>55</v>
      </c>
      <c r="B205" t="s">
        <v>20</v>
      </c>
      <c r="C205">
        <v>7</v>
      </c>
      <c r="D205" t="s">
        <v>27</v>
      </c>
      <c r="F205">
        <v>1332</v>
      </c>
    </row>
    <row r="206" spans="1:6" x14ac:dyDescent="0.45">
      <c r="A206" t="s">
        <v>55</v>
      </c>
      <c r="B206" t="s">
        <v>20</v>
      </c>
      <c r="C206">
        <v>7</v>
      </c>
      <c r="D206" t="s">
        <v>28</v>
      </c>
      <c r="F206">
        <v>553</v>
      </c>
    </row>
    <row r="207" spans="1:6" x14ac:dyDescent="0.45">
      <c r="A207" t="s">
        <v>55</v>
      </c>
      <c r="B207" t="s">
        <v>20</v>
      </c>
      <c r="C207">
        <v>7</v>
      </c>
      <c r="D207" t="s">
        <v>29</v>
      </c>
      <c r="F207">
        <v>602</v>
      </c>
    </row>
    <row r="208" spans="1:6" x14ac:dyDescent="0.45">
      <c r="A208" t="s">
        <v>55</v>
      </c>
      <c r="B208" t="s">
        <v>20</v>
      </c>
      <c r="C208">
        <v>7</v>
      </c>
      <c r="D208" t="s">
        <v>31</v>
      </c>
    </row>
    <row r="209" spans="1:6" x14ac:dyDescent="0.45">
      <c r="A209" t="s">
        <v>55</v>
      </c>
      <c r="B209" t="s">
        <v>20</v>
      </c>
      <c r="C209">
        <v>7</v>
      </c>
      <c r="D209" t="s">
        <v>32</v>
      </c>
    </row>
    <row r="210" spans="1:6" x14ac:dyDescent="0.45">
      <c r="A210" t="s">
        <v>55</v>
      </c>
      <c r="B210" t="s">
        <v>20</v>
      </c>
      <c r="C210">
        <v>7</v>
      </c>
      <c r="D210" t="s">
        <v>34</v>
      </c>
    </row>
    <row r="211" spans="1:6" x14ac:dyDescent="0.45">
      <c r="A211" t="s">
        <v>55</v>
      </c>
      <c r="B211" t="s">
        <v>21</v>
      </c>
      <c r="C211">
        <v>8</v>
      </c>
      <c r="D211" t="s">
        <v>19</v>
      </c>
      <c r="E211">
        <v>1823337</v>
      </c>
      <c r="F211">
        <v>3424</v>
      </c>
    </row>
    <row r="212" spans="1:6" x14ac:dyDescent="0.45">
      <c r="A212" t="s">
        <v>55</v>
      </c>
      <c r="B212" t="s">
        <v>21</v>
      </c>
      <c r="C212">
        <v>8</v>
      </c>
      <c r="D212" t="s">
        <v>27</v>
      </c>
      <c r="F212">
        <v>1394</v>
      </c>
    </row>
    <row r="213" spans="1:6" x14ac:dyDescent="0.45">
      <c r="A213" t="s">
        <v>55</v>
      </c>
      <c r="B213" t="s">
        <v>21</v>
      </c>
      <c r="C213">
        <v>8</v>
      </c>
      <c r="D213" t="s">
        <v>28</v>
      </c>
      <c r="F213">
        <v>646</v>
      </c>
    </row>
    <row r="214" spans="1:6" x14ac:dyDescent="0.45">
      <c r="A214" t="s">
        <v>55</v>
      </c>
      <c r="B214" t="s">
        <v>21</v>
      </c>
      <c r="C214">
        <v>8</v>
      </c>
      <c r="D214" t="s">
        <v>29</v>
      </c>
      <c r="F214">
        <v>389</v>
      </c>
    </row>
    <row r="215" spans="1:6" x14ac:dyDescent="0.45">
      <c r="A215" t="s">
        <v>55</v>
      </c>
      <c r="B215" t="s">
        <v>20</v>
      </c>
      <c r="C215">
        <v>8</v>
      </c>
      <c r="D215" t="s">
        <v>19</v>
      </c>
      <c r="E215">
        <v>2026574</v>
      </c>
      <c r="F215">
        <v>3291</v>
      </c>
    </row>
    <row r="216" spans="1:6" x14ac:dyDescent="0.45">
      <c r="A216" t="s">
        <v>55</v>
      </c>
      <c r="B216" t="s">
        <v>20</v>
      </c>
      <c r="C216">
        <v>8</v>
      </c>
      <c r="D216" t="s">
        <v>27</v>
      </c>
      <c r="F216">
        <v>1166</v>
      </c>
    </row>
    <row r="217" spans="1:6" x14ac:dyDescent="0.45">
      <c r="A217" t="s">
        <v>55</v>
      </c>
      <c r="B217" t="s">
        <v>20</v>
      </c>
      <c r="C217">
        <v>8</v>
      </c>
      <c r="D217" t="s">
        <v>28</v>
      </c>
      <c r="F217">
        <v>607</v>
      </c>
    </row>
    <row r="218" spans="1:6" x14ac:dyDescent="0.45">
      <c r="A218" t="s">
        <v>55</v>
      </c>
      <c r="B218" t="s">
        <v>20</v>
      </c>
      <c r="C218">
        <v>8</v>
      </c>
      <c r="D218" t="s">
        <v>29</v>
      </c>
      <c r="F218">
        <v>385</v>
      </c>
    </row>
    <row r="219" spans="1:6" x14ac:dyDescent="0.45">
      <c r="A219" t="s">
        <v>55</v>
      </c>
      <c r="B219" t="s">
        <v>20</v>
      </c>
      <c r="C219">
        <v>8</v>
      </c>
      <c r="D219" t="s">
        <v>31</v>
      </c>
    </row>
    <row r="220" spans="1:6" x14ac:dyDescent="0.45">
      <c r="A220" t="s">
        <v>55</v>
      </c>
      <c r="B220" t="s">
        <v>20</v>
      </c>
      <c r="C220">
        <v>8</v>
      </c>
      <c r="D220" t="s">
        <v>32</v>
      </c>
    </row>
    <row r="221" spans="1:6" x14ac:dyDescent="0.45">
      <c r="A221" t="s">
        <v>55</v>
      </c>
      <c r="B221" t="s">
        <v>21</v>
      </c>
      <c r="C221">
        <v>9</v>
      </c>
      <c r="D221" t="s">
        <v>19</v>
      </c>
      <c r="E221">
        <v>1737769</v>
      </c>
      <c r="F221">
        <v>3494</v>
      </c>
    </row>
    <row r="222" spans="1:6" x14ac:dyDescent="0.45">
      <c r="A222" t="s">
        <v>55</v>
      </c>
      <c r="B222" t="s">
        <v>21</v>
      </c>
      <c r="C222">
        <v>9</v>
      </c>
      <c r="D222" t="s">
        <v>27</v>
      </c>
      <c r="F222">
        <v>1431</v>
      </c>
    </row>
    <row r="223" spans="1:6" x14ac:dyDescent="0.45">
      <c r="A223" t="s">
        <v>55</v>
      </c>
      <c r="B223" t="s">
        <v>21</v>
      </c>
      <c r="C223">
        <v>9</v>
      </c>
      <c r="D223" t="s">
        <v>28</v>
      </c>
      <c r="F223">
        <v>618</v>
      </c>
    </row>
    <row r="224" spans="1:6" x14ac:dyDescent="0.45">
      <c r="A224" t="s">
        <v>55</v>
      </c>
      <c r="B224" t="s">
        <v>21</v>
      </c>
      <c r="C224">
        <v>9</v>
      </c>
      <c r="D224" t="s">
        <v>29</v>
      </c>
      <c r="F224">
        <v>379</v>
      </c>
    </row>
    <row r="225" spans="1:6" x14ac:dyDescent="0.45">
      <c r="A225" t="s">
        <v>55</v>
      </c>
      <c r="B225" t="s">
        <v>20</v>
      </c>
      <c r="C225">
        <v>9</v>
      </c>
      <c r="D225" t="s">
        <v>19</v>
      </c>
      <c r="E225">
        <v>1793035</v>
      </c>
      <c r="F225">
        <v>3255</v>
      </c>
    </row>
    <row r="226" spans="1:6" x14ac:dyDescent="0.45">
      <c r="A226" t="s">
        <v>55</v>
      </c>
      <c r="B226" t="s">
        <v>20</v>
      </c>
      <c r="C226">
        <v>9</v>
      </c>
      <c r="D226" t="s">
        <v>27</v>
      </c>
      <c r="F226">
        <v>1261</v>
      </c>
    </row>
    <row r="227" spans="1:6" x14ac:dyDescent="0.45">
      <c r="A227" t="s">
        <v>55</v>
      </c>
      <c r="B227" t="s">
        <v>20</v>
      </c>
      <c r="C227">
        <v>9</v>
      </c>
      <c r="D227" t="s">
        <v>28</v>
      </c>
      <c r="F227">
        <v>581</v>
      </c>
    </row>
    <row r="228" spans="1:6" x14ac:dyDescent="0.45">
      <c r="A228" t="s">
        <v>55</v>
      </c>
      <c r="B228" t="s">
        <v>20</v>
      </c>
      <c r="C228">
        <v>9</v>
      </c>
      <c r="D228" t="s">
        <v>29</v>
      </c>
      <c r="F228">
        <v>385</v>
      </c>
    </row>
    <row r="229" spans="1:6" x14ac:dyDescent="0.45">
      <c r="A229" t="s">
        <v>55</v>
      </c>
      <c r="B229" t="s">
        <v>20</v>
      </c>
      <c r="C229">
        <v>9</v>
      </c>
      <c r="D229" t="s">
        <v>31</v>
      </c>
    </row>
    <row r="230" spans="1:6" x14ac:dyDescent="0.45">
      <c r="A230" t="s">
        <v>55</v>
      </c>
      <c r="B230" t="s">
        <v>20</v>
      </c>
      <c r="C230">
        <v>9</v>
      </c>
      <c r="D230" t="s">
        <v>32</v>
      </c>
    </row>
    <row r="231" spans="1:6" x14ac:dyDescent="0.45">
      <c r="A231" t="s">
        <v>55</v>
      </c>
      <c r="B231" t="s">
        <v>20</v>
      </c>
      <c r="C231">
        <v>9</v>
      </c>
      <c r="D231" t="s">
        <v>34</v>
      </c>
    </row>
    <row r="232" spans="1:6" x14ac:dyDescent="0.45">
      <c r="A232" t="s">
        <v>55</v>
      </c>
      <c r="B232" t="s">
        <v>21</v>
      </c>
      <c r="C232">
        <v>10</v>
      </c>
      <c r="D232" t="s">
        <v>19</v>
      </c>
      <c r="E232">
        <v>2477390</v>
      </c>
      <c r="F232">
        <v>4907</v>
      </c>
    </row>
    <row r="233" spans="1:6" x14ac:dyDescent="0.45">
      <c r="A233" t="s">
        <v>55</v>
      </c>
      <c r="B233" t="s">
        <v>21</v>
      </c>
      <c r="C233">
        <v>10</v>
      </c>
      <c r="D233" t="s">
        <v>27</v>
      </c>
      <c r="F233">
        <v>1987</v>
      </c>
    </row>
    <row r="234" spans="1:6" x14ac:dyDescent="0.45">
      <c r="A234" t="s">
        <v>55</v>
      </c>
      <c r="B234" t="s">
        <v>21</v>
      </c>
      <c r="C234">
        <v>10</v>
      </c>
      <c r="D234" t="s">
        <v>28</v>
      </c>
      <c r="F234">
        <v>843</v>
      </c>
    </row>
    <row r="235" spans="1:6" x14ac:dyDescent="0.45">
      <c r="A235" t="s">
        <v>55</v>
      </c>
      <c r="B235" t="s">
        <v>21</v>
      </c>
      <c r="C235">
        <v>10</v>
      </c>
      <c r="D235" t="s">
        <v>29</v>
      </c>
      <c r="F235">
        <v>609</v>
      </c>
    </row>
    <row r="236" spans="1:6" x14ac:dyDescent="0.45">
      <c r="A236" t="s">
        <v>55</v>
      </c>
      <c r="B236" t="s">
        <v>20</v>
      </c>
      <c r="C236">
        <v>10</v>
      </c>
      <c r="D236" t="s">
        <v>19</v>
      </c>
      <c r="E236">
        <v>2591017</v>
      </c>
      <c r="F236">
        <v>4595</v>
      </c>
    </row>
    <row r="237" spans="1:6" x14ac:dyDescent="0.45">
      <c r="A237" t="s">
        <v>55</v>
      </c>
      <c r="B237" t="s">
        <v>20</v>
      </c>
      <c r="C237">
        <v>10</v>
      </c>
      <c r="D237" t="s">
        <v>27</v>
      </c>
      <c r="F237">
        <v>1624</v>
      </c>
    </row>
    <row r="238" spans="1:6" x14ac:dyDescent="0.45">
      <c r="A238" t="s">
        <v>55</v>
      </c>
      <c r="B238" t="s">
        <v>20</v>
      </c>
      <c r="C238">
        <v>10</v>
      </c>
      <c r="D238" t="s">
        <v>28</v>
      </c>
      <c r="F238">
        <v>837</v>
      </c>
    </row>
    <row r="239" spans="1:6" x14ac:dyDescent="0.45">
      <c r="A239" t="s">
        <v>55</v>
      </c>
      <c r="B239" t="s">
        <v>20</v>
      </c>
      <c r="C239">
        <v>10</v>
      </c>
      <c r="D239" t="s">
        <v>29</v>
      </c>
      <c r="F239">
        <v>577</v>
      </c>
    </row>
    <row r="240" spans="1:6" x14ac:dyDescent="0.45">
      <c r="A240" t="s">
        <v>55</v>
      </c>
      <c r="B240" t="s">
        <v>20</v>
      </c>
      <c r="C240">
        <v>10</v>
      </c>
      <c r="D240" t="s">
        <v>31</v>
      </c>
    </row>
    <row r="241" spans="1:6" x14ac:dyDescent="0.45">
      <c r="A241" t="s">
        <v>55</v>
      </c>
      <c r="B241" t="s">
        <v>20</v>
      </c>
      <c r="C241">
        <v>10</v>
      </c>
      <c r="D241" t="s">
        <v>32</v>
      </c>
    </row>
    <row r="242" spans="1:6" x14ac:dyDescent="0.45">
      <c r="A242" t="s">
        <v>55</v>
      </c>
      <c r="B242" t="s">
        <v>20</v>
      </c>
      <c r="C242">
        <v>10</v>
      </c>
      <c r="D242" t="s">
        <v>34</v>
      </c>
    </row>
    <row r="243" spans="1:6" x14ac:dyDescent="0.45">
      <c r="A243" t="s">
        <v>55</v>
      </c>
      <c r="B243" t="s">
        <v>21</v>
      </c>
      <c r="C243">
        <v>11</v>
      </c>
      <c r="D243" t="s">
        <v>19</v>
      </c>
      <c r="E243">
        <v>2162282</v>
      </c>
      <c r="F243">
        <v>4036</v>
      </c>
    </row>
    <row r="244" spans="1:6" x14ac:dyDescent="0.45">
      <c r="A244" t="s">
        <v>55</v>
      </c>
      <c r="B244" t="s">
        <v>21</v>
      </c>
      <c r="C244">
        <v>11</v>
      </c>
      <c r="D244" t="s">
        <v>27</v>
      </c>
      <c r="F244">
        <v>1668</v>
      </c>
    </row>
    <row r="245" spans="1:6" x14ac:dyDescent="0.45">
      <c r="A245" t="s">
        <v>55</v>
      </c>
      <c r="B245" t="s">
        <v>21</v>
      </c>
      <c r="C245">
        <v>11</v>
      </c>
      <c r="D245" t="s">
        <v>28</v>
      </c>
      <c r="F245">
        <v>689</v>
      </c>
    </row>
    <row r="246" spans="1:6" x14ac:dyDescent="0.45">
      <c r="A246" t="s">
        <v>55</v>
      </c>
      <c r="B246" t="s">
        <v>21</v>
      </c>
      <c r="C246">
        <v>11</v>
      </c>
      <c r="D246" t="s">
        <v>29</v>
      </c>
      <c r="F246">
        <v>421</v>
      </c>
    </row>
    <row r="247" spans="1:6" x14ac:dyDescent="0.45">
      <c r="A247" t="s">
        <v>55</v>
      </c>
      <c r="B247" t="s">
        <v>20</v>
      </c>
      <c r="C247">
        <v>11</v>
      </c>
      <c r="D247" t="s">
        <v>19</v>
      </c>
      <c r="E247">
        <v>2050416</v>
      </c>
      <c r="F247">
        <v>4046</v>
      </c>
    </row>
    <row r="248" spans="1:6" x14ac:dyDescent="0.45">
      <c r="A248" t="s">
        <v>55</v>
      </c>
      <c r="B248" t="s">
        <v>20</v>
      </c>
      <c r="C248">
        <v>11</v>
      </c>
      <c r="D248" t="s">
        <v>27</v>
      </c>
      <c r="F248">
        <v>1452</v>
      </c>
    </row>
    <row r="249" spans="1:6" x14ac:dyDescent="0.45">
      <c r="A249" t="s">
        <v>55</v>
      </c>
      <c r="B249" t="s">
        <v>20</v>
      </c>
      <c r="C249">
        <v>11</v>
      </c>
      <c r="D249" t="s">
        <v>28</v>
      </c>
      <c r="F249">
        <v>742</v>
      </c>
    </row>
    <row r="250" spans="1:6" x14ac:dyDescent="0.45">
      <c r="A250" t="s">
        <v>55</v>
      </c>
      <c r="B250" t="s">
        <v>20</v>
      </c>
      <c r="C250">
        <v>11</v>
      </c>
      <c r="D250" t="s">
        <v>29</v>
      </c>
      <c r="F250">
        <v>595</v>
      </c>
    </row>
    <row r="251" spans="1:6" x14ac:dyDescent="0.45">
      <c r="A251" t="s">
        <v>55</v>
      </c>
      <c r="B251" t="s">
        <v>20</v>
      </c>
      <c r="C251">
        <v>11</v>
      </c>
      <c r="D251" t="s">
        <v>31</v>
      </c>
    </row>
    <row r="252" spans="1:6" x14ac:dyDescent="0.45">
      <c r="A252" t="s">
        <v>55</v>
      </c>
      <c r="B252" t="s">
        <v>20</v>
      </c>
      <c r="C252">
        <v>11</v>
      </c>
      <c r="D252" t="s">
        <v>32</v>
      </c>
    </row>
    <row r="253" spans="1:6" x14ac:dyDescent="0.45">
      <c r="A253" t="s">
        <v>55</v>
      </c>
      <c r="B253" t="s">
        <v>20</v>
      </c>
      <c r="C253">
        <v>11</v>
      </c>
      <c r="D253" t="s">
        <v>34</v>
      </c>
    </row>
    <row r="254" spans="1:6" x14ac:dyDescent="0.45">
      <c r="A254" t="s">
        <v>55</v>
      </c>
      <c r="B254" t="s">
        <v>21</v>
      </c>
      <c r="C254">
        <v>12</v>
      </c>
      <c r="D254" t="s">
        <v>19</v>
      </c>
      <c r="E254">
        <v>2086135</v>
      </c>
      <c r="F254">
        <v>4140</v>
      </c>
    </row>
    <row r="255" spans="1:6" x14ac:dyDescent="0.45">
      <c r="A255" t="s">
        <v>55</v>
      </c>
      <c r="B255" t="s">
        <v>21</v>
      </c>
      <c r="C255">
        <v>12</v>
      </c>
      <c r="D255" t="s">
        <v>27</v>
      </c>
      <c r="F255">
        <v>1565</v>
      </c>
    </row>
    <row r="256" spans="1:6" x14ac:dyDescent="0.45">
      <c r="A256" t="s">
        <v>55</v>
      </c>
      <c r="B256" t="s">
        <v>21</v>
      </c>
      <c r="C256">
        <v>12</v>
      </c>
      <c r="D256" t="s">
        <v>28</v>
      </c>
      <c r="F256">
        <v>727</v>
      </c>
    </row>
    <row r="257" spans="1:6" x14ac:dyDescent="0.45">
      <c r="A257" t="s">
        <v>55</v>
      </c>
      <c r="B257" t="s">
        <v>21</v>
      </c>
      <c r="C257">
        <v>12</v>
      </c>
      <c r="D257" t="s">
        <v>29</v>
      </c>
      <c r="F257">
        <v>592</v>
      </c>
    </row>
    <row r="258" spans="1:6" x14ac:dyDescent="0.45">
      <c r="A258" t="s">
        <v>55</v>
      </c>
      <c r="B258" t="s">
        <v>20</v>
      </c>
      <c r="C258">
        <v>12</v>
      </c>
      <c r="D258" t="s">
        <v>19</v>
      </c>
      <c r="E258">
        <v>2086297</v>
      </c>
      <c r="F258">
        <v>4006</v>
      </c>
    </row>
    <row r="259" spans="1:6" x14ac:dyDescent="0.45">
      <c r="A259" t="s">
        <v>55</v>
      </c>
      <c r="B259" t="s">
        <v>20</v>
      </c>
      <c r="C259">
        <v>12</v>
      </c>
      <c r="D259" t="s">
        <v>27</v>
      </c>
      <c r="F259">
        <v>1417</v>
      </c>
    </row>
    <row r="260" spans="1:6" x14ac:dyDescent="0.45">
      <c r="A260" t="s">
        <v>55</v>
      </c>
      <c r="B260" t="s">
        <v>20</v>
      </c>
      <c r="C260">
        <v>12</v>
      </c>
      <c r="D260" t="s">
        <v>28</v>
      </c>
      <c r="F260">
        <v>755</v>
      </c>
    </row>
    <row r="261" spans="1:6" x14ac:dyDescent="0.45">
      <c r="A261" t="s">
        <v>55</v>
      </c>
      <c r="B261" t="s">
        <v>20</v>
      </c>
      <c r="C261">
        <v>12</v>
      </c>
      <c r="D261" t="s">
        <v>29</v>
      </c>
      <c r="F261">
        <v>536</v>
      </c>
    </row>
    <row r="262" spans="1:6" x14ac:dyDescent="0.45">
      <c r="A262" t="s">
        <v>55</v>
      </c>
      <c r="B262" t="s">
        <v>20</v>
      </c>
      <c r="C262">
        <v>12</v>
      </c>
      <c r="D262" t="s">
        <v>31</v>
      </c>
    </row>
    <row r="263" spans="1:6" x14ac:dyDescent="0.45">
      <c r="A263" t="s">
        <v>55</v>
      </c>
      <c r="B263" t="s">
        <v>20</v>
      </c>
      <c r="C263">
        <v>12</v>
      </c>
      <c r="D263" t="s">
        <v>32</v>
      </c>
    </row>
    <row r="264" spans="1:6" x14ac:dyDescent="0.45">
      <c r="A264" t="s">
        <v>55</v>
      </c>
      <c r="B264" t="s">
        <v>20</v>
      </c>
      <c r="C264">
        <v>12</v>
      </c>
      <c r="D264" t="s">
        <v>34</v>
      </c>
    </row>
    <row r="265" spans="1:6" x14ac:dyDescent="0.45">
      <c r="A265" t="s">
        <v>76</v>
      </c>
      <c r="B265" t="s">
        <v>21</v>
      </c>
      <c r="C265">
        <v>1</v>
      </c>
      <c r="D265" t="s">
        <v>19</v>
      </c>
      <c r="E265">
        <v>665824</v>
      </c>
      <c r="F265">
        <v>1350</v>
      </c>
    </row>
    <row r="266" spans="1:6" x14ac:dyDescent="0.45">
      <c r="A266" t="s">
        <v>76</v>
      </c>
      <c r="B266" t="s">
        <v>21</v>
      </c>
      <c r="C266">
        <v>1</v>
      </c>
      <c r="D266" t="s">
        <v>27</v>
      </c>
      <c r="F266">
        <v>443</v>
      </c>
    </row>
    <row r="267" spans="1:6" x14ac:dyDescent="0.45">
      <c r="A267" t="s">
        <v>76</v>
      </c>
      <c r="B267" t="s">
        <v>21</v>
      </c>
      <c r="C267">
        <v>1</v>
      </c>
      <c r="D267" t="s">
        <v>28</v>
      </c>
      <c r="F267">
        <v>253</v>
      </c>
    </row>
    <row r="268" spans="1:6" x14ac:dyDescent="0.45">
      <c r="A268" t="s">
        <v>76</v>
      </c>
      <c r="B268" t="s">
        <v>21</v>
      </c>
      <c r="C268">
        <v>1</v>
      </c>
      <c r="D268" t="s">
        <v>29</v>
      </c>
      <c r="F268">
        <v>184</v>
      </c>
    </row>
    <row r="269" spans="1:6" x14ac:dyDescent="0.45">
      <c r="A269" t="s">
        <v>76</v>
      </c>
      <c r="B269" t="s">
        <v>20</v>
      </c>
      <c r="C269">
        <v>1</v>
      </c>
      <c r="D269" t="s">
        <v>19</v>
      </c>
      <c r="E269">
        <v>611820</v>
      </c>
      <c r="F269">
        <v>1205</v>
      </c>
    </row>
    <row r="270" spans="1:6" x14ac:dyDescent="0.45">
      <c r="A270" t="s">
        <v>76</v>
      </c>
      <c r="B270" t="s">
        <v>20</v>
      </c>
      <c r="C270">
        <v>1</v>
      </c>
      <c r="D270" t="s">
        <v>27</v>
      </c>
      <c r="F270">
        <v>410</v>
      </c>
    </row>
    <row r="271" spans="1:6" x14ac:dyDescent="0.45">
      <c r="A271" t="s">
        <v>76</v>
      </c>
      <c r="B271" t="s">
        <v>20</v>
      </c>
      <c r="C271">
        <v>1</v>
      </c>
      <c r="D271" t="s">
        <v>28</v>
      </c>
      <c r="F271">
        <v>240</v>
      </c>
    </row>
    <row r="272" spans="1:6" x14ac:dyDescent="0.45">
      <c r="A272" t="s">
        <v>76</v>
      </c>
      <c r="B272" t="s">
        <v>20</v>
      </c>
      <c r="C272">
        <v>1</v>
      </c>
      <c r="D272" t="s">
        <v>29</v>
      </c>
      <c r="F272">
        <v>188</v>
      </c>
    </row>
    <row r="273" spans="1:6" x14ac:dyDescent="0.45">
      <c r="A273" t="s">
        <v>76</v>
      </c>
      <c r="B273" t="s">
        <v>20</v>
      </c>
      <c r="C273">
        <v>1</v>
      </c>
      <c r="D273" t="s">
        <v>31</v>
      </c>
    </row>
    <row r="274" spans="1:6" x14ac:dyDescent="0.45">
      <c r="A274" t="s">
        <v>76</v>
      </c>
      <c r="B274" t="s">
        <v>20</v>
      </c>
      <c r="C274">
        <v>1</v>
      </c>
      <c r="D274" t="s">
        <v>32</v>
      </c>
    </row>
    <row r="275" spans="1:6" x14ac:dyDescent="0.45">
      <c r="A275" t="s">
        <v>76</v>
      </c>
      <c r="B275" t="s">
        <v>20</v>
      </c>
      <c r="C275">
        <v>1</v>
      </c>
      <c r="D275" t="s">
        <v>34</v>
      </c>
    </row>
    <row r="276" spans="1:6" x14ac:dyDescent="0.45">
      <c r="A276" t="s">
        <v>76</v>
      </c>
      <c r="B276" t="s">
        <v>21</v>
      </c>
      <c r="C276">
        <v>2</v>
      </c>
      <c r="D276" t="s">
        <v>19</v>
      </c>
      <c r="E276">
        <v>605241</v>
      </c>
      <c r="F276">
        <v>1176</v>
      </c>
    </row>
    <row r="277" spans="1:6" x14ac:dyDescent="0.45">
      <c r="A277" t="s">
        <v>76</v>
      </c>
      <c r="B277" t="s">
        <v>21</v>
      </c>
      <c r="C277">
        <v>2</v>
      </c>
      <c r="D277" t="s">
        <v>27</v>
      </c>
      <c r="F277">
        <v>481</v>
      </c>
    </row>
    <row r="278" spans="1:6" x14ac:dyDescent="0.45">
      <c r="A278" t="s">
        <v>76</v>
      </c>
      <c r="B278" t="s">
        <v>21</v>
      </c>
      <c r="C278">
        <v>2</v>
      </c>
      <c r="D278" t="s">
        <v>28</v>
      </c>
      <c r="F278">
        <v>203</v>
      </c>
    </row>
    <row r="279" spans="1:6" x14ac:dyDescent="0.45">
      <c r="A279" t="s">
        <v>76</v>
      </c>
      <c r="B279" t="s">
        <v>21</v>
      </c>
      <c r="C279">
        <v>2</v>
      </c>
      <c r="D279" t="s">
        <v>29</v>
      </c>
      <c r="F279">
        <v>156</v>
      </c>
    </row>
    <row r="280" spans="1:6" x14ac:dyDescent="0.45">
      <c r="A280" t="s">
        <v>76</v>
      </c>
      <c r="B280" t="s">
        <v>20</v>
      </c>
      <c r="C280">
        <v>2</v>
      </c>
      <c r="D280" t="s">
        <v>19</v>
      </c>
      <c r="E280">
        <v>606983</v>
      </c>
      <c r="F280">
        <v>1216</v>
      </c>
    </row>
    <row r="281" spans="1:6" x14ac:dyDescent="0.45">
      <c r="A281" t="s">
        <v>76</v>
      </c>
      <c r="B281" t="s">
        <v>20</v>
      </c>
      <c r="C281">
        <v>2</v>
      </c>
      <c r="D281" t="s">
        <v>27</v>
      </c>
      <c r="F281">
        <v>472</v>
      </c>
    </row>
    <row r="282" spans="1:6" x14ac:dyDescent="0.45">
      <c r="A282" t="s">
        <v>76</v>
      </c>
      <c r="B282" t="s">
        <v>20</v>
      </c>
      <c r="C282">
        <v>2</v>
      </c>
      <c r="D282" t="s">
        <v>28</v>
      </c>
      <c r="F282">
        <v>257</v>
      </c>
    </row>
    <row r="283" spans="1:6" x14ac:dyDescent="0.45">
      <c r="A283" t="s">
        <v>76</v>
      </c>
      <c r="B283" t="s">
        <v>20</v>
      </c>
      <c r="C283">
        <v>2</v>
      </c>
      <c r="D283" t="s">
        <v>29</v>
      </c>
      <c r="F283">
        <v>173</v>
      </c>
    </row>
    <row r="284" spans="1:6" x14ac:dyDescent="0.45">
      <c r="A284" t="s">
        <v>76</v>
      </c>
      <c r="B284" t="s">
        <v>20</v>
      </c>
      <c r="C284">
        <v>2</v>
      </c>
      <c r="D284" t="s">
        <v>31</v>
      </c>
    </row>
    <row r="285" spans="1:6" x14ac:dyDescent="0.45">
      <c r="A285" t="s">
        <v>76</v>
      </c>
      <c r="B285" t="s">
        <v>20</v>
      </c>
      <c r="C285">
        <v>2</v>
      </c>
      <c r="D285" t="s">
        <v>32</v>
      </c>
    </row>
    <row r="286" spans="1:6" x14ac:dyDescent="0.45">
      <c r="A286" t="s">
        <v>76</v>
      </c>
      <c r="B286" t="s">
        <v>20</v>
      </c>
      <c r="C286">
        <v>2</v>
      </c>
      <c r="D286" t="s">
        <v>34</v>
      </c>
    </row>
    <row r="287" spans="1:6" x14ac:dyDescent="0.45">
      <c r="A287" t="s">
        <v>76</v>
      </c>
      <c r="B287" t="s">
        <v>21</v>
      </c>
      <c r="C287">
        <v>3</v>
      </c>
      <c r="D287" t="s">
        <v>19</v>
      </c>
      <c r="E287">
        <v>1488565</v>
      </c>
      <c r="F287">
        <v>2406</v>
      </c>
    </row>
    <row r="288" spans="1:6" x14ac:dyDescent="0.45">
      <c r="A288" t="s">
        <v>76</v>
      </c>
      <c r="B288" t="s">
        <v>21</v>
      </c>
      <c r="C288">
        <v>3</v>
      </c>
      <c r="D288" t="s">
        <v>27</v>
      </c>
      <c r="F288">
        <v>558</v>
      </c>
    </row>
    <row r="289" spans="1:6" x14ac:dyDescent="0.45">
      <c r="A289" t="s">
        <v>76</v>
      </c>
      <c r="B289" t="s">
        <v>21</v>
      </c>
      <c r="C289">
        <v>3</v>
      </c>
      <c r="D289" t="s">
        <v>28</v>
      </c>
      <c r="F289">
        <v>397</v>
      </c>
    </row>
    <row r="290" spans="1:6" x14ac:dyDescent="0.45">
      <c r="A290" t="s">
        <v>76</v>
      </c>
      <c r="B290" t="s">
        <v>21</v>
      </c>
      <c r="C290">
        <v>3</v>
      </c>
      <c r="D290" t="s">
        <v>29</v>
      </c>
      <c r="F290">
        <v>344</v>
      </c>
    </row>
    <row r="291" spans="1:6" x14ac:dyDescent="0.45">
      <c r="A291" t="s">
        <v>76</v>
      </c>
      <c r="B291" t="s">
        <v>20</v>
      </c>
      <c r="C291">
        <v>3</v>
      </c>
      <c r="D291" t="s">
        <v>19</v>
      </c>
      <c r="E291">
        <v>1214568</v>
      </c>
      <c r="F291">
        <v>2008</v>
      </c>
    </row>
    <row r="292" spans="1:6" x14ac:dyDescent="0.45">
      <c r="A292" t="s">
        <v>76</v>
      </c>
      <c r="B292" t="s">
        <v>20</v>
      </c>
      <c r="C292">
        <v>3</v>
      </c>
      <c r="D292" t="s">
        <v>27</v>
      </c>
      <c r="F292">
        <v>552</v>
      </c>
    </row>
    <row r="293" spans="1:6" x14ac:dyDescent="0.45">
      <c r="A293" t="s">
        <v>76</v>
      </c>
      <c r="B293" t="s">
        <v>20</v>
      </c>
      <c r="C293">
        <v>3</v>
      </c>
      <c r="D293" t="s">
        <v>28</v>
      </c>
      <c r="F293">
        <v>335</v>
      </c>
    </row>
    <row r="294" spans="1:6" x14ac:dyDescent="0.45">
      <c r="A294" t="s">
        <v>76</v>
      </c>
      <c r="B294" t="s">
        <v>20</v>
      </c>
      <c r="C294">
        <v>3</v>
      </c>
      <c r="D294" t="s">
        <v>29</v>
      </c>
      <c r="F294">
        <v>318</v>
      </c>
    </row>
    <row r="295" spans="1:6" x14ac:dyDescent="0.45">
      <c r="A295" t="s">
        <v>76</v>
      </c>
      <c r="B295" t="s">
        <v>20</v>
      </c>
      <c r="C295">
        <v>3</v>
      </c>
      <c r="D295" t="s">
        <v>31</v>
      </c>
    </row>
    <row r="296" spans="1:6" x14ac:dyDescent="0.45">
      <c r="A296" t="s">
        <v>76</v>
      </c>
      <c r="B296" t="s">
        <v>20</v>
      </c>
      <c r="C296">
        <v>3</v>
      </c>
      <c r="D296" t="s">
        <v>32</v>
      </c>
    </row>
    <row r="297" spans="1:6" x14ac:dyDescent="0.45">
      <c r="A297" t="s">
        <v>76</v>
      </c>
      <c r="B297" t="s">
        <v>20</v>
      </c>
      <c r="C297">
        <v>3</v>
      </c>
      <c r="D297" t="s">
        <v>34</v>
      </c>
    </row>
    <row r="298" spans="1:6" x14ac:dyDescent="0.45">
      <c r="A298" t="s">
        <v>76</v>
      </c>
      <c r="B298" t="s">
        <v>21</v>
      </c>
      <c r="C298">
        <v>4</v>
      </c>
      <c r="D298" t="s">
        <v>19</v>
      </c>
      <c r="E298">
        <v>2148227</v>
      </c>
      <c r="F298">
        <v>3011</v>
      </c>
    </row>
    <row r="299" spans="1:6" x14ac:dyDescent="0.45">
      <c r="A299" t="s">
        <v>76</v>
      </c>
      <c r="B299" t="s">
        <v>21</v>
      </c>
      <c r="C299">
        <v>4</v>
      </c>
      <c r="D299" t="s">
        <v>27</v>
      </c>
      <c r="F299">
        <v>547</v>
      </c>
    </row>
    <row r="300" spans="1:6" x14ac:dyDescent="0.45">
      <c r="A300" t="s">
        <v>76</v>
      </c>
      <c r="B300" t="s">
        <v>21</v>
      </c>
      <c r="C300">
        <v>4</v>
      </c>
      <c r="D300" t="s">
        <v>28</v>
      </c>
      <c r="F300">
        <v>447</v>
      </c>
    </row>
    <row r="301" spans="1:6" x14ac:dyDescent="0.45">
      <c r="A301" t="s">
        <v>76</v>
      </c>
      <c r="B301" t="s">
        <v>21</v>
      </c>
      <c r="C301">
        <v>4</v>
      </c>
      <c r="D301" t="s">
        <v>29</v>
      </c>
      <c r="F301">
        <v>434</v>
      </c>
    </row>
    <row r="302" spans="1:6" x14ac:dyDescent="0.45">
      <c r="A302" t="s">
        <v>76</v>
      </c>
      <c r="B302" t="s">
        <v>20</v>
      </c>
      <c r="C302">
        <v>4</v>
      </c>
      <c r="D302" t="s">
        <v>19</v>
      </c>
      <c r="E302">
        <v>2157543</v>
      </c>
      <c r="F302">
        <v>3201</v>
      </c>
    </row>
    <row r="303" spans="1:6" x14ac:dyDescent="0.45">
      <c r="A303" t="s">
        <v>76</v>
      </c>
      <c r="B303" t="s">
        <v>20</v>
      </c>
      <c r="C303">
        <v>4</v>
      </c>
      <c r="D303" t="s">
        <v>27</v>
      </c>
      <c r="F303">
        <v>480</v>
      </c>
    </row>
    <row r="304" spans="1:6" x14ac:dyDescent="0.45">
      <c r="A304" t="s">
        <v>76</v>
      </c>
      <c r="B304" t="s">
        <v>20</v>
      </c>
      <c r="C304">
        <v>4</v>
      </c>
      <c r="D304" t="s">
        <v>28</v>
      </c>
      <c r="F304">
        <v>478</v>
      </c>
    </row>
    <row r="305" spans="1:6" x14ac:dyDescent="0.45">
      <c r="A305" t="s">
        <v>76</v>
      </c>
      <c r="B305" t="s">
        <v>20</v>
      </c>
      <c r="C305">
        <v>4</v>
      </c>
      <c r="D305" t="s">
        <v>29</v>
      </c>
      <c r="F305">
        <v>435</v>
      </c>
    </row>
    <row r="306" spans="1:6" x14ac:dyDescent="0.45">
      <c r="A306" t="s">
        <v>76</v>
      </c>
      <c r="B306" t="s">
        <v>20</v>
      </c>
      <c r="C306">
        <v>4</v>
      </c>
      <c r="D306" t="s">
        <v>31</v>
      </c>
    </row>
    <row r="307" spans="1:6" x14ac:dyDescent="0.45">
      <c r="A307" t="s">
        <v>76</v>
      </c>
      <c r="B307" t="s">
        <v>20</v>
      </c>
      <c r="C307">
        <v>4</v>
      </c>
      <c r="D307" t="s">
        <v>32</v>
      </c>
    </row>
    <row r="308" spans="1:6" x14ac:dyDescent="0.45">
      <c r="A308" t="s">
        <v>76</v>
      </c>
      <c r="B308" t="s">
        <v>20</v>
      </c>
      <c r="C308">
        <v>4</v>
      </c>
      <c r="D308" t="s">
        <v>34</v>
      </c>
    </row>
    <row r="309" spans="1:6" x14ac:dyDescent="0.45">
      <c r="A309" t="s">
        <v>76</v>
      </c>
      <c r="B309" t="s">
        <v>21</v>
      </c>
      <c r="C309">
        <v>5</v>
      </c>
      <c r="D309" t="s">
        <v>19</v>
      </c>
      <c r="E309">
        <v>1810711</v>
      </c>
      <c r="F309">
        <v>2540</v>
      </c>
    </row>
    <row r="310" spans="1:6" x14ac:dyDescent="0.45">
      <c r="A310" t="s">
        <v>76</v>
      </c>
      <c r="B310" t="s">
        <v>21</v>
      </c>
      <c r="C310">
        <v>5</v>
      </c>
      <c r="D310" t="s">
        <v>27</v>
      </c>
      <c r="F310">
        <v>495</v>
      </c>
    </row>
    <row r="311" spans="1:6" x14ac:dyDescent="0.45">
      <c r="A311" t="s">
        <v>76</v>
      </c>
      <c r="B311" t="s">
        <v>21</v>
      </c>
      <c r="C311">
        <v>5</v>
      </c>
      <c r="D311" t="s">
        <v>28</v>
      </c>
      <c r="F311">
        <v>422</v>
      </c>
    </row>
    <row r="312" spans="1:6" x14ac:dyDescent="0.45">
      <c r="A312" t="s">
        <v>76</v>
      </c>
      <c r="B312" t="s">
        <v>21</v>
      </c>
      <c r="C312">
        <v>5</v>
      </c>
      <c r="D312" t="s">
        <v>29</v>
      </c>
      <c r="F312">
        <v>337</v>
      </c>
    </row>
    <row r="313" spans="1:6" x14ac:dyDescent="0.45">
      <c r="A313" t="s">
        <v>76</v>
      </c>
      <c r="B313" t="s">
        <v>20</v>
      </c>
      <c r="C313">
        <v>5</v>
      </c>
      <c r="D313" t="s">
        <v>19</v>
      </c>
      <c r="E313">
        <v>1426585</v>
      </c>
      <c r="F313">
        <v>2070</v>
      </c>
    </row>
    <row r="314" spans="1:6" x14ac:dyDescent="0.45">
      <c r="A314" t="s">
        <v>76</v>
      </c>
      <c r="B314" t="s">
        <v>20</v>
      </c>
      <c r="C314">
        <v>5</v>
      </c>
      <c r="D314" t="s">
        <v>27</v>
      </c>
      <c r="F314">
        <v>416</v>
      </c>
    </row>
    <row r="315" spans="1:6" x14ac:dyDescent="0.45">
      <c r="A315" t="s">
        <v>76</v>
      </c>
      <c r="B315" t="s">
        <v>20</v>
      </c>
      <c r="C315">
        <v>5</v>
      </c>
      <c r="D315" t="s">
        <v>28</v>
      </c>
      <c r="F315">
        <v>270</v>
      </c>
    </row>
    <row r="316" spans="1:6" x14ac:dyDescent="0.45">
      <c r="A316" t="s">
        <v>76</v>
      </c>
      <c r="B316" t="s">
        <v>20</v>
      </c>
      <c r="C316">
        <v>5</v>
      </c>
      <c r="D316" t="s">
        <v>29</v>
      </c>
      <c r="F316">
        <v>223</v>
      </c>
    </row>
    <row r="317" spans="1:6" x14ac:dyDescent="0.45">
      <c r="A317" t="s">
        <v>76</v>
      </c>
      <c r="B317" t="s">
        <v>20</v>
      </c>
      <c r="C317">
        <v>5</v>
      </c>
      <c r="D317" t="s">
        <v>31</v>
      </c>
    </row>
    <row r="318" spans="1:6" x14ac:dyDescent="0.45">
      <c r="A318" t="s">
        <v>76</v>
      </c>
      <c r="B318" t="s">
        <v>20</v>
      </c>
      <c r="C318">
        <v>5</v>
      </c>
      <c r="D318" t="s">
        <v>32</v>
      </c>
    </row>
    <row r="319" spans="1:6" x14ac:dyDescent="0.45">
      <c r="A319" t="s">
        <v>76</v>
      </c>
      <c r="B319" t="s">
        <v>20</v>
      </c>
      <c r="C319">
        <v>5</v>
      </c>
      <c r="D319" t="s">
        <v>34</v>
      </c>
    </row>
    <row r="320" spans="1:6" x14ac:dyDescent="0.45">
      <c r="A320" t="s">
        <v>76</v>
      </c>
      <c r="B320" t="s">
        <v>21</v>
      </c>
      <c r="C320">
        <v>6</v>
      </c>
      <c r="D320" t="s">
        <v>19</v>
      </c>
      <c r="E320">
        <v>1711405</v>
      </c>
      <c r="F320">
        <v>2128</v>
      </c>
    </row>
    <row r="321" spans="1:6" x14ac:dyDescent="0.45">
      <c r="A321" t="s">
        <v>76</v>
      </c>
      <c r="B321" t="s">
        <v>21</v>
      </c>
      <c r="C321">
        <v>6</v>
      </c>
      <c r="D321" t="s">
        <v>27</v>
      </c>
      <c r="F321">
        <v>613</v>
      </c>
    </row>
    <row r="322" spans="1:6" x14ac:dyDescent="0.45">
      <c r="A322" t="s">
        <v>76</v>
      </c>
      <c r="B322" t="s">
        <v>21</v>
      </c>
      <c r="C322">
        <v>6</v>
      </c>
      <c r="D322" t="s">
        <v>28</v>
      </c>
      <c r="F322">
        <v>445</v>
      </c>
    </row>
    <row r="323" spans="1:6" x14ac:dyDescent="0.45">
      <c r="A323" t="s">
        <v>76</v>
      </c>
      <c r="B323" t="s">
        <v>21</v>
      </c>
      <c r="C323">
        <v>6</v>
      </c>
      <c r="D323" t="s">
        <v>29</v>
      </c>
      <c r="F323">
        <v>374</v>
      </c>
    </row>
    <row r="324" spans="1:6" x14ac:dyDescent="0.45">
      <c r="A324" t="s">
        <v>76</v>
      </c>
      <c r="B324" t="s">
        <v>20</v>
      </c>
      <c r="C324">
        <v>6</v>
      </c>
      <c r="D324" t="s">
        <v>19</v>
      </c>
      <c r="E324">
        <v>1525435</v>
      </c>
      <c r="F324">
        <v>2177</v>
      </c>
    </row>
    <row r="325" spans="1:6" x14ac:dyDescent="0.45">
      <c r="A325" t="s">
        <v>76</v>
      </c>
      <c r="B325" t="s">
        <v>20</v>
      </c>
      <c r="C325">
        <v>6</v>
      </c>
      <c r="D325" t="s">
        <v>27</v>
      </c>
      <c r="F325">
        <v>526</v>
      </c>
    </row>
    <row r="326" spans="1:6" x14ac:dyDescent="0.45">
      <c r="A326" t="s">
        <v>76</v>
      </c>
      <c r="B326" t="s">
        <v>20</v>
      </c>
      <c r="C326">
        <v>6</v>
      </c>
      <c r="D326" t="s">
        <v>28</v>
      </c>
      <c r="F326">
        <v>361</v>
      </c>
    </row>
    <row r="327" spans="1:6" x14ac:dyDescent="0.45">
      <c r="A327" t="s">
        <v>76</v>
      </c>
      <c r="B327" t="s">
        <v>20</v>
      </c>
      <c r="C327">
        <v>6</v>
      </c>
      <c r="D327" t="s">
        <v>29</v>
      </c>
      <c r="F327">
        <v>313</v>
      </c>
    </row>
    <row r="328" spans="1:6" x14ac:dyDescent="0.45">
      <c r="A328" t="s">
        <v>76</v>
      </c>
      <c r="B328" t="s">
        <v>20</v>
      </c>
      <c r="C328">
        <v>6</v>
      </c>
      <c r="D328" t="s">
        <v>31</v>
      </c>
    </row>
    <row r="329" spans="1:6" x14ac:dyDescent="0.45">
      <c r="A329" t="s">
        <v>76</v>
      </c>
      <c r="B329" t="s">
        <v>20</v>
      </c>
      <c r="C329">
        <v>6</v>
      </c>
      <c r="D329" t="s">
        <v>32</v>
      </c>
    </row>
    <row r="330" spans="1:6" x14ac:dyDescent="0.45">
      <c r="A330" t="s">
        <v>76</v>
      </c>
      <c r="B330" t="s">
        <v>20</v>
      </c>
      <c r="C330">
        <v>6</v>
      </c>
      <c r="D330" t="s">
        <v>34</v>
      </c>
    </row>
    <row r="331" spans="1:6" x14ac:dyDescent="0.45">
      <c r="A331" t="s">
        <v>76</v>
      </c>
      <c r="B331" t="s">
        <v>21</v>
      </c>
      <c r="C331">
        <v>7</v>
      </c>
      <c r="D331" t="s">
        <v>19</v>
      </c>
      <c r="E331">
        <v>1116664</v>
      </c>
      <c r="F331">
        <v>1872</v>
      </c>
    </row>
    <row r="332" spans="1:6" x14ac:dyDescent="0.45">
      <c r="A332" t="s">
        <v>76</v>
      </c>
      <c r="B332" t="s">
        <v>21</v>
      </c>
      <c r="C332">
        <v>7</v>
      </c>
      <c r="D332" t="s">
        <v>27</v>
      </c>
      <c r="F332">
        <v>519</v>
      </c>
    </row>
    <row r="333" spans="1:6" x14ac:dyDescent="0.45">
      <c r="A333" t="s">
        <v>76</v>
      </c>
      <c r="B333" t="s">
        <v>21</v>
      </c>
      <c r="C333">
        <v>7</v>
      </c>
      <c r="D333" t="s">
        <v>28</v>
      </c>
      <c r="F333">
        <v>383</v>
      </c>
    </row>
    <row r="334" spans="1:6" x14ac:dyDescent="0.45">
      <c r="A334" t="s">
        <v>76</v>
      </c>
      <c r="B334" t="s">
        <v>21</v>
      </c>
      <c r="C334">
        <v>7</v>
      </c>
      <c r="D334" t="s">
        <v>29</v>
      </c>
      <c r="F334">
        <v>269</v>
      </c>
    </row>
    <row r="335" spans="1:6" x14ac:dyDescent="0.45">
      <c r="A335" t="s">
        <v>76</v>
      </c>
      <c r="B335" t="s">
        <v>20</v>
      </c>
      <c r="C335">
        <v>7</v>
      </c>
      <c r="D335" t="s">
        <v>19</v>
      </c>
      <c r="E335">
        <v>994961</v>
      </c>
      <c r="F335">
        <v>1631</v>
      </c>
    </row>
    <row r="336" spans="1:6" x14ac:dyDescent="0.45">
      <c r="A336" t="s">
        <v>76</v>
      </c>
      <c r="B336" t="s">
        <v>20</v>
      </c>
      <c r="C336">
        <v>7</v>
      </c>
      <c r="D336" t="s">
        <v>27</v>
      </c>
      <c r="F336">
        <v>451</v>
      </c>
    </row>
    <row r="337" spans="1:6" x14ac:dyDescent="0.45">
      <c r="A337" t="s">
        <v>76</v>
      </c>
      <c r="B337" t="s">
        <v>20</v>
      </c>
      <c r="C337">
        <v>7</v>
      </c>
      <c r="D337" t="s">
        <v>28</v>
      </c>
      <c r="F337">
        <v>322</v>
      </c>
    </row>
    <row r="338" spans="1:6" x14ac:dyDescent="0.45">
      <c r="A338" t="s">
        <v>76</v>
      </c>
      <c r="B338" t="s">
        <v>20</v>
      </c>
      <c r="C338">
        <v>7</v>
      </c>
      <c r="D338" t="s">
        <v>29</v>
      </c>
      <c r="F338">
        <v>214</v>
      </c>
    </row>
    <row r="339" spans="1:6" x14ac:dyDescent="0.45">
      <c r="A339" t="s">
        <v>76</v>
      </c>
      <c r="B339" t="s">
        <v>20</v>
      </c>
      <c r="C339">
        <v>7</v>
      </c>
      <c r="D339" t="s">
        <v>31</v>
      </c>
    </row>
    <row r="340" spans="1:6" x14ac:dyDescent="0.45">
      <c r="A340" t="s">
        <v>76</v>
      </c>
      <c r="B340" t="s">
        <v>20</v>
      </c>
      <c r="C340">
        <v>7</v>
      </c>
      <c r="D340" t="s">
        <v>32</v>
      </c>
    </row>
    <row r="341" spans="1:6" x14ac:dyDescent="0.45">
      <c r="A341" t="s">
        <v>76</v>
      </c>
      <c r="B341" t="s">
        <v>20</v>
      </c>
      <c r="C341">
        <v>7</v>
      </c>
      <c r="D341" t="s">
        <v>34</v>
      </c>
    </row>
    <row r="342" spans="1:6" x14ac:dyDescent="0.45">
      <c r="A342" t="s">
        <v>76</v>
      </c>
      <c r="B342" t="s">
        <v>21</v>
      </c>
      <c r="C342">
        <v>8</v>
      </c>
      <c r="D342" t="s">
        <v>19</v>
      </c>
      <c r="E342">
        <v>787423</v>
      </c>
      <c r="F342">
        <v>1393</v>
      </c>
    </row>
    <row r="343" spans="1:6" x14ac:dyDescent="0.45">
      <c r="A343" t="s">
        <v>76</v>
      </c>
      <c r="B343" t="s">
        <v>21</v>
      </c>
      <c r="C343">
        <v>8</v>
      </c>
      <c r="D343" t="s">
        <v>27</v>
      </c>
      <c r="F343">
        <v>456</v>
      </c>
    </row>
    <row r="344" spans="1:6" x14ac:dyDescent="0.45">
      <c r="A344" t="s">
        <v>76</v>
      </c>
      <c r="B344" t="s">
        <v>21</v>
      </c>
      <c r="C344">
        <v>8</v>
      </c>
      <c r="D344" t="s">
        <v>28</v>
      </c>
      <c r="F344">
        <v>273</v>
      </c>
    </row>
    <row r="345" spans="1:6" x14ac:dyDescent="0.45">
      <c r="A345" t="s">
        <v>76</v>
      </c>
      <c r="B345" t="s">
        <v>21</v>
      </c>
      <c r="C345">
        <v>8</v>
      </c>
      <c r="D345" t="s">
        <v>29</v>
      </c>
      <c r="F345">
        <v>183</v>
      </c>
    </row>
    <row r="346" spans="1:6" x14ac:dyDescent="0.45">
      <c r="A346" t="s">
        <v>76</v>
      </c>
      <c r="B346" t="s">
        <v>20</v>
      </c>
      <c r="C346">
        <v>8</v>
      </c>
      <c r="D346" t="s">
        <v>19</v>
      </c>
      <c r="E346">
        <v>870240</v>
      </c>
      <c r="F346">
        <v>1469</v>
      </c>
    </row>
    <row r="347" spans="1:6" x14ac:dyDescent="0.45">
      <c r="A347" t="s">
        <v>76</v>
      </c>
      <c r="B347" t="s">
        <v>20</v>
      </c>
      <c r="C347">
        <v>8</v>
      </c>
      <c r="D347" t="s">
        <v>27</v>
      </c>
      <c r="F347">
        <v>442</v>
      </c>
    </row>
    <row r="348" spans="1:6" x14ac:dyDescent="0.45">
      <c r="A348" t="s">
        <v>76</v>
      </c>
      <c r="B348" t="s">
        <v>20</v>
      </c>
      <c r="C348">
        <v>8</v>
      </c>
      <c r="D348" t="s">
        <v>28</v>
      </c>
      <c r="F348">
        <v>335</v>
      </c>
    </row>
    <row r="349" spans="1:6" x14ac:dyDescent="0.45">
      <c r="A349" t="s">
        <v>76</v>
      </c>
      <c r="B349" t="s">
        <v>20</v>
      </c>
      <c r="C349">
        <v>8</v>
      </c>
      <c r="D349" t="s">
        <v>29</v>
      </c>
      <c r="F349">
        <v>172</v>
      </c>
    </row>
    <row r="350" spans="1:6" x14ac:dyDescent="0.45">
      <c r="A350" t="s">
        <v>76</v>
      </c>
      <c r="B350" t="s">
        <v>20</v>
      </c>
      <c r="C350">
        <v>8</v>
      </c>
      <c r="D350" t="s">
        <v>31</v>
      </c>
    </row>
    <row r="351" spans="1:6" x14ac:dyDescent="0.45">
      <c r="A351" t="s">
        <v>76</v>
      </c>
      <c r="B351" t="s">
        <v>20</v>
      </c>
      <c r="C351">
        <v>8</v>
      </c>
      <c r="D351" t="s">
        <v>32</v>
      </c>
    </row>
    <row r="352" spans="1:6" x14ac:dyDescent="0.45">
      <c r="A352" t="s">
        <v>76</v>
      </c>
      <c r="B352" t="s">
        <v>20</v>
      </c>
      <c r="C352">
        <v>8</v>
      </c>
      <c r="D352" t="s">
        <v>34</v>
      </c>
    </row>
    <row r="353" spans="1:6" x14ac:dyDescent="0.45">
      <c r="A353" t="s">
        <v>76</v>
      </c>
      <c r="B353" t="s">
        <v>21</v>
      </c>
      <c r="C353">
        <v>9</v>
      </c>
      <c r="D353" t="s">
        <v>19</v>
      </c>
      <c r="E353">
        <v>697385</v>
      </c>
      <c r="F353">
        <v>1289</v>
      </c>
    </row>
    <row r="354" spans="1:6" x14ac:dyDescent="0.45">
      <c r="A354" t="s">
        <v>76</v>
      </c>
      <c r="B354" t="s">
        <v>21</v>
      </c>
      <c r="C354">
        <v>9</v>
      </c>
      <c r="D354" t="s">
        <v>27</v>
      </c>
      <c r="F354">
        <v>452</v>
      </c>
    </row>
    <row r="355" spans="1:6" x14ac:dyDescent="0.45">
      <c r="A355" t="s">
        <v>76</v>
      </c>
      <c r="B355" t="s">
        <v>21</v>
      </c>
      <c r="C355">
        <v>9</v>
      </c>
      <c r="D355" t="s">
        <v>28</v>
      </c>
      <c r="F355">
        <v>264</v>
      </c>
    </row>
    <row r="356" spans="1:6" x14ac:dyDescent="0.45">
      <c r="A356" t="s">
        <v>76</v>
      </c>
      <c r="B356" t="s">
        <v>21</v>
      </c>
      <c r="C356">
        <v>9</v>
      </c>
      <c r="D356" t="s">
        <v>29</v>
      </c>
      <c r="F356">
        <v>167</v>
      </c>
    </row>
    <row r="357" spans="1:6" x14ac:dyDescent="0.45">
      <c r="A357" t="s">
        <v>76</v>
      </c>
      <c r="B357" t="s">
        <v>20</v>
      </c>
      <c r="C357">
        <v>9</v>
      </c>
      <c r="D357" t="s">
        <v>19</v>
      </c>
      <c r="E357">
        <v>770997</v>
      </c>
      <c r="F357">
        <v>1383</v>
      </c>
    </row>
    <row r="358" spans="1:6" x14ac:dyDescent="0.45">
      <c r="A358" t="s">
        <v>76</v>
      </c>
      <c r="B358" t="s">
        <v>20</v>
      </c>
      <c r="C358">
        <v>9</v>
      </c>
      <c r="D358" t="s">
        <v>27</v>
      </c>
      <c r="F358">
        <v>445</v>
      </c>
    </row>
    <row r="359" spans="1:6" x14ac:dyDescent="0.45">
      <c r="A359" t="s">
        <v>76</v>
      </c>
      <c r="B359" t="s">
        <v>20</v>
      </c>
      <c r="C359">
        <v>9</v>
      </c>
      <c r="D359" t="s">
        <v>28</v>
      </c>
      <c r="F359">
        <v>327</v>
      </c>
    </row>
    <row r="360" spans="1:6" x14ac:dyDescent="0.45">
      <c r="A360" t="s">
        <v>76</v>
      </c>
      <c r="B360" t="s">
        <v>20</v>
      </c>
      <c r="C360">
        <v>9</v>
      </c>
      <c r="D360" t="s">
        <v>29</v>
      </c>
      <c r="F360">
        <v>195</v>
      </c>
    </row>
    <row r="361" spans="1:6" x14ac:dyDescent="0.45">
      <c r="A361" t="s">
        <v>76</v>
      </c>
      <c r="B361" t="s">
        <v>20</v>
      </c>
      <c r="C361">
        <v>9</v>
      </c>
      <c r="D361" t="s">
        <v>31</v>
      </c>
    </row>
    <row r="362" spans="1:6" x14ac:dyDescent="0.45">
      <c r="A362" t="s">
        <v>76</v>
      </c>
      <c r="B362" t="s">
        <v>20</v>
      </c>
      <c r="C362">
        <v>9</v>
      </c>
      <c r="D362" t="s">
        <v>32</v>
      </c>
    </row>
    <row r="363" spans="1:6" x14ac:dyDescent="0.45">
      <c r="A363" t="s">
        <v>76</v>
      </c>
      <c r="B363" t="s">
        <v>20</v>
      </c>
      <c r="C363">
        <v>9</v>
      </c>
      <c r="D363" t="s">
        <v>34</v>
      </c>
    </row>
    <row r="364" spans="1:6" x14ac:dyDescent="0.45">
      <c r="A364" t="s">
        <v>76</v>
      </c>
      <c r="B364" t="s">
        <v>21</v>
      </c>
      <c r="C364">
        <v>10</v>
      </c>
      <c r="D364" t="s">
        <v>19</v>
      </c>
      <c r="E364">
        <v>1232425</v>
      </c>
      <c r="F364">
        <v>2295</v>
      </c>
    </row>
    <row r="365" spans="1:6" x14ac:dyDescent="0.45">
      <c r="A365" t="s">
        <v>76</v>
      </c>
      <c r="B365" t="s">
        <v>21</v>
      </c>
      <c r="C365">
        <v>10</v>
      </c>
      <c r="D365" t="s">
        <v>27</v>
      </c>
      <c r="F365">
        <v>703</v>
      </c>
    </row>
    <row r="366" spans="1:6" x14ac:dyDescent="0.45">
      <c r="A366" t="s">
        <v>76</v>
      </c>
      <c r="B366" t="s">
        <v>21</v>
      </c>
      <c r="C366">
        <v>10</v>
      </c>
      <c r="D366" t="s">
        <v>28</v>
      </c>
      <c r="F366">
        <v>461</v>
      </c>
    </row>
    <row r="367" spans="1:6" x14ac:dyDescent="0.45">
      <c r="A367" t="s">
        <v>76</v>
      </c>
      <c r="B367" t="s">
        <v>21</v>
      </c>
      <c r="C367">
        <v>10</v>
      </c>
      <c r="D367" t="s">
        <v>29</v>
      </c>
      <c r="F367">
        <v>357</v>
      </c>
    </row>
    <row r="368" spans="1:6" x14ac:dyDescent="0.45">
      <c r="A368" t="s">
        <v>76</v>
      </c>
      <c r="B368" t="s">
        <v>20</v>
      </c>
      <c r="C368">
        <v>10</v>
      </c>
      <c r="D368" t="s">
        <v>19</v>
      </c>
      <c r="E368">
        <v>1208456</v>
      </c>
      <c r="F368">
        <v>2106</v>
      </c>
    </row>
    <row r="369" spans="1:6" x14ac:dyDescent="0.45">
      <c r="A369" t="s">
        <v>76</v>
      </c>
      <c r="B369" t="s">
        <v>20</v>
      </c>
      <c r="C369">
        <v>10</v>
      </c>
      <c r="D369" t="s">
        <v>27</v>
      </c>
      <c r="F369">
        <v>627</v>
      </c>
    </row>
    <row r="370" spans="1:6" x14ac:dyDescent="0.45">
      <c r="A370" t="s">
        <v>76</v>
      </c>
      <c r="B370" t="s">
        <v>20</v>
      </c>
      <c r="C370">
        <v>10</v>
      </c>
      <c r="D370" t="s">
        <v>28</v>
      </c>
      <c r="F370">
        <v>422</v>
      </c>
    </row>
    <row r="371" spans="1:6" x14ac:dyDescent="0.45">
      <c r="A371" t="s">
        <v>76</v>
      </c>
      <c r="B371" t="s">
        <v>20</v>
      </c>
      <c r="C371">
        <v>10</v>
      </c>
      <c r="D371" t="s">
        <v>29</v>
      </c>
      <c r="F371">
        <v>300</v>
      </c>
    </row>
    <row r="372" spans="1:6" x14ac:dyDescent="0.45">
      <c r="A372" t="s">
        <v>76</v>
      </c>
      <c r="B372" t="s">
        <v>20</v>
      </c>
      <c r="C372">
        <v>10</v>
      </c>
      <c r="D372" t="s">
        <v>31</v>
      </c>
    </row>
    <row r="373" spans="1:6" x14ac:dyDescent="0.45">
      <c r="A373" t="s">
        <v>76</v>
      </c>
      <c r="B373" t="s">
        <v>20</v>
      </c>
      <c r="C373">
        <v>10</v>
      </c>
      <c r="D373" t="s">
        <v>32</v>
      </c>
    </row>
    <row r="374" spans="1:6" x14ac:dyDescent="0.45">
      <c r="A374" t="s">
        <v>76</v>
      </c>
      <c r="B374" t="s">
        <v>20</v>
      </c>
      <c r="C374">
        <v>10</v>
      </c>
      <c r="D374" t="s">
        <v>34</v>
      </c>
    </row>
    <row r="375" spans="1:6" x14ac:dyDescent="0.45">
      <c r="A375" t="s">
        <v>76</v>
      </c>
      <c r="B375" t="s">
        <v>21</v>
      </c>
      <c r="C375">
        <v>11</v>
      </c>
      <c r="D375" t="s">
        <v>19</v>
      </c>
      <c r="E375">
        <v>1020658</v>
      </c>
      <c r="F375">
        <v>1724</v>
      </c>
    </row>
    <row r="376" spans="1:6" x14ac:dyDescent="0.45">
      <c r="A376" t="s">
        <v>76</v>
      </c>
      <c r="B376" t="s">
        <v>21</v>
      </c>
      <c r="C376">
        <v>11</v>
      </c>
      <c r="D376" t="s">
        <v>27</v>
      </c>
      <c r="F376">
        <v>534</v>
      </c>
    </row>
    <row r="377" spans="1:6" x14ac:dyDescent="0.45">
      <c r="A377" t="s">
        <v>76</v>
      </c>
      <c r="B377" t="s">
        <v>21</v>
      </c>
      <c r="C377">
        <v>11</v>
      </c>
      <c r="D377" t="s">
        <v>28</v>
      </c>
      <c r="F377">
        <v>360</v>
      </c>
    </row>
    <row r="378" spans="1:6" x14ac:dyDescent="0.45">
      <c r="A378" t="s">
        <v>76</v>
      </c>
      <c r="B378" t="s">
        <v>21</v>
      </c>
      <c r="C378">
        <v>11</v>
      </c>
      <c r="D378" t="s">
        <v>29</v>
      </c>
      <c r="F378">
        <v>283</v>
      </c>
    </row>
    <row r="379" spans="1:6" x14ac:dyDescent="0.45">
      <c r="A379" t="s">
        <v>76</v>
      </c>
      <c r="B379" t="s">
        <v>20</v>
      </c>
      <c r="C379">
        <v>11</v>
      </c>
      <c r="D379" t="s">
        <v>19</v>
      </c>
      <c r="E379">
        <v>1082165</v>
      </c>
      <c r="F379">
        <v>1886</v>
      </c>
    </row>
    <row r="380" spans="1:6" x14ac:dyDescent="0.45">
      <c r="A380" t="s">
        <v>76</v>
      </c>
      <c r="B380" t="s">
        <v>20</v>
      </c>
      <c r="C380">
        <v>11</v>
      </c>
      <c r="D380" t="s">
        <v>27</v>
      </c>
      <c r="F380">
        <v>553</v>
      </c>
    </row>
    <row r="381" spans="1:6" x14ac:dyDescent="0.45">
      <c r="A381" t="s">
        <v>76</v>
      </c>
      <c r="B381" t="s">
        <v>20</v>
      </c>
      <c r="C381">
        <v>11</v>
      </c>
      <c r="D381" t="s">
        <v>28</v>
      </c>
      <c r="F381">
        <v>396</v>
      </c>
    </row>
    <row r="382" spans="1:6" x14ac:dyDescent="0.45">
      <c r="A382" t="s">
        <v>76</v>
      </c>
      <c r="B382" t="s">
        <v>20</v>
      </c>
      <c r="C382">
        <v>11</v>
      </c>
      <c r="D382" t="s">
        <v>29</v>
      </c>
      <c r="F382">
        <v>318</v>
      </c>
    </row>
    <row r="383" spans="1:6" x14ac:dyDescent="0.45">
      <c r="A383" t="s">
        <v>76</v>
      </c>
      <c r="B383" t="s">
        <v>20</v>
      </c>
      <c r="C383">
        <v>11</v>
      </c>
      <c r="D383" t="s">
        <v>31</v>
      </c>
    </row>
    <row r="384" spans="1:6" x14ac:dyDescent="0.45">
      <c r="A384" t="s">
        <v>76</v>
      </c>
      <c r="B384" t="s">
        <v>20</v>
      </c>
      <c r="C384">
        <v>11</v>
      </c>
      <c r="D384" t="s">
        <v>32</v>
      </c>
    </row>
    <row r="385" spans="1:6" x14ac:dyDescent="0.45">
      <c r="A385" t="s">
        <v>76</v>
      </c>
      <c r="B385" t="s">
        <v>20</v>
      </c>
      <c r="C385">
        <v>11</v>
      </c>
      <c r="D385" t="s">
        <v>34</v>
      </c>
    </row>
    <row r="386" spans="1:6" x14ac:dyDescent="0.45">
      <c r="A386" t="s">
        <v>76</v>
      </c>
      <c r="B386" t="s">
        <v>21</v>
      </c>
      <c r="C386">
        <v>12</v>
      </c>
      <c r="D386" t="s">
        <v>19</v>
      </c>
      <c r="E386">
        <v>1002712</v>
      </c>
      <c r="F386">
        <v>1943</v>
      </c>
    </row>
    <row r="387" spans="1:6" x14ac:dyDescent="0.45">
      <c r="A387" t="s">
        <v>76</v>
      </c>
      <c r="B387" t="s">
        <v>21</v>
      </c>
      <c r="C387">
        <v>12</v>
      </c>
      <c r="D387" t="s">
        <v>27</v>
      </c>
      <c r="F387">
        <v>555</v>
      </c>
    </row>
    <row r="388" spans="1:6" x14ac:dyDescent="0.45">
      <c r="A388" t="s">
        <v>76</v>
      </c>
      <c r="B388" t="s">
        <v>21</v>
      </c>
      <c r="C388">
        <v>12</v>
      </c>
      <c r="D388" t="s">
        <v>28</v>
      </c>
      <c r="F388">
        <v>401</v>
      </c>
    </row>
    <row r="389" spans="1:6" x14ac:dyDescent="0.45">
      <c r="A389" t="s">
        <v>76</v>
      </c>
      <c r="B389" t="s">
        <v>21</v>
      </c>
      <c r="C389">
        <v>12</v>
      </c>
      <c r="D389" t="s">
        <v>29</v>
      </c>
      <c r="F389">
        <v>302</v>
      </c>
    </row>
    <row r="390" spans="1:6" x14ac:dyDescent="0.45">
      <c r="A390" t="s">
        <v>76</v>
      </c>
      <c r="B390" t="s">
        <v>20</v>
      </c>
      <c r="C390">
        <v>12</v>
      </c>
      <c r="D390" t="s">
        <v>19</v>
      </c>
      <c r="E390">
        <v>955168</v>
      </c>
      <c r="F390">
        <v>1873</v>
      </c>
    </row>
    <row r="391" spans="1:6" x14ac:dyDescent="0.45">
      <c r="A391" t="s">
        <v>76</v>
      </c>
      <c r="B391" t="s">
        <v>20</v>
      </c>
      <c r="C391">
        <v>12</v>
      </c>
      <c r="D391" t="s">
        <v>27</v>
      </c>
      <c r="F391">
        <v>532</v>
      </c>
    </row>
    <row r="392" spans="1:6" x14ac:dyDescent="0.45">
      <c r="A392" t="s">
        <v>76</v>
      </c>
      <c r="B392" t="s">
        <v>20</v>
      </c>
      <c r="C392">
        <v>12</v>
      </c>
      <c r="D392" t="s">
        <v>28</v>
      </c>
      <c r="F392">
        <v>381</v>
      </c>
    </row>
    <row r="393" spans="1:6" x14ac:dyDescent="0.45">
      <c r="A393" t="s">
        <v>76</v>
      </c>
      <c r="B393" t="s">
        <v>20</v>
      </c>
      <c r="C393">
        <v>12</v>
      </c>
      <c r="D393" t="s">
        <v>29</v>
      </c>
      <c r="F393">
        <v>316</v>
      </c>
    </row>
    <row r="394" spans="1:6" x14ac:dyDescent="0.45">
      <c r="A394" t="s">
        <v>76</v>
      </c>
      <c r="B394" t="s">
        <v>20</v>
      </c>
      <c r="C394">
        <v>12</v>
      </c>
      <c r="D394" t="s">
        <v>31</v>
      </c>
    </row>
    <row r="395" spans="1:6" x14ac:dyDescent="0.45">
      <c r="A395" t="s">
        <v>76</v>
      </c>
      <c r="B395" t="s">
        <v>20</v>
      </c>
      <c r="C395">
        <v>12</v>
      </c>
      <c r="D395" t="s">
        <v>32</v>
      </c>
    </row>
    <row r="396" spans="1:6" x14ac:dyDescent="0.45">
      <c r="A396" t="s">
        <v>76</v>
      </c>
      <c r="B396" t="s">
        <v>20</v>
      </c>
      <c r="C396">
        <v>12</v>
      </c>
      <c r="D396" t="s">
        <v>34</v>
      </c>
    </row>
    <row r="397" spans="1:6" x14ac:dyDescent="0.45">
      <c r="A397" t="s">
        <v>80</v>
      </c>
      <c r="B397" t="s">
        <v>21</v>
      </c>
      <c r="C397">
        <v>1</v>
      </c>
      <c r="D397" t="s">
        <v>19</v>
      </c>
      <c r="E397">
        <v>598552</v>
      </c>
      <c r="F397">
        <v>1152</v>
      </c>
    </row>
    <row r="398" spans="1:6" x14ac:dyDescent="0.45">
      <c r="A398" t="s">
        <v>80</v>
      </c>
      <c r="B398" t="s">
        <v>21</v>
      </c>
      <c r="C398">
        <v>1</v>
      </c>
      <c r="D398" t="s">
        <v>27</v>
      </c>
      <c r="F398">
        <v>400</v>
      </c>
    </row>
    <row r="399" spans="1:6" x14ac:dyDescent="0.45">
      <c r="A399" t="s">
        <v>80</v>
      </c>
      <c r="B399" t="s">
        <v>21</v>
      </c>
      <c r="C399">
        <v>1</v>
      </c>
      <c r="D399" t="s">
        <v>28</v>
      </c>
      <c r="F399">
        <v>208</v>
      </c>
    </row>
    <row r="400" spans="1:6" x14ac:dyDescent="0.45">
      <c r="A400" t="s">
        <v>80</v>
      </c>
      <c r="B400" t="s">
        <v>21</v>
      </c>
      <c r="C400">
        <v>1</v>
      </c>
      <c r="D400" t="s">
        <v>29</v>
      </c>
      <c r="F400">
        <v>175</v>
      </c>
    </row>
    <row r="401" spans="1:6" x14ac:dyDescent="0.45">
      <c r="A401" t="s">
        <v>80</v>
      </c>
      <c r="B401" t="s">
        <v>20</v>
      </c>
      <c r="C401">
        <v>1</v>
      </c>
      <c r="D401" t="s">
        <v>19</v>
      </c>
      <c r="E401">
        <v>780900</v>
      </c>
      <c r="F401">
        <v>1295</v>
      </c>
    </row>
    <row r="402" spans="1:6" x14ac:dyDescent="0.45">
      <c r="A402" t="s">
        <v>80</v>
      </c>
      <c r="B402" t="s">
        <v>20</v>
      </c>
      <c r="C402">
        <v>1</v>
      </c>
      <c r="D402" t="s">
        <v>27</v>
      </c>
      <c r="F402">
        <v>332</v>
      </c>
    </row>
    <row r="403" spans="1:6" x14ac:dyDescent="0.45">
      <c r="A403" t="s">
        <v>80</v>
      </c>
      <c r="B403" t="s">
        <v>20</v>
      </c>
      <c r="C403">
        <v>1</v>
      </c>
      <c r="D403" t="s">
        <v>28</v>
      </c>
      <c r="F403">
        <v>241</v>
      </c>
    </row>
    <row r="404" spans="1:6" x14ac:dyDescent="0.45">
      <c r="A404" t="s">
        <v>80</v>
      </c>
      <c r="B404" t="s">
        <v>20</v>
      </c>
      <c r="C404">
        <v>1</v>
      </c>
      <c r="D404" t="s">
        <v>29</v>
      </c>
      <c r="F404">
        <v>268</v>
      </c>
    </row>
    <row r="405" spans="1:6" x14ac:dyDescent="0.45">
      <c r="A405" t="s">
        <v>80</v>
      </c>
      <c r="B405" t="s">
        <v>20</v>
      </c>
      <c r="C405">
        <v>1</v>
      </c>
      <c r="D405" t="s">
        <v>31</v>
      </c>
    </row>
    <row r="406" spans="1:6" x14ac:dyDescent="0.45">
      <c r="A406" t="s">
        <v>80</v>
      </c>
      <c r="B406" t="s">
        <v>20</v>
      </c>
      <c r="C406">
        <v>1</v>
      </c>
      <c r="D406" t="s">
        <v>32</v>
      </c>
    </row>
    <row r="407" spans="1:6" x14ac:dyDescent="0.45">
      <c r="A407" t="s">
        <v>80</v>
      </c>
      <c r="B407" t="s">
        <v>20</v>
      </c>
      <c r="C407">
        <v>1</v>
      </c>
      <c r="D407" t="s">
        <v>34</v>
      </c>
    </row>
    <row r="408" spans="1:6" x14ac:dyDescent="0.45">
      <c r="A408" t="s">
        <v>80</v>
      </c>
      <c r="B408" t="s">
        <v>21</v>
      </c>
      <c r="C408">
        <v>2</v>
      </c>
      <c r="D408" t="s">
        <v>19</v>
      </c>
      <c r="E408">
        <v>590486</v>
      </c>
      <c r="F408">
        <v>1109</v>
      </c>
    </row>
    <row r="409" spans="1:6" x14ac:dyDescent="0.45">
      <c r="A409" t="s">
        <v>80</v>
      </c>
      <c r="B409" t="s">
        <v>21</v>
      </c>
      <c r="C409">
        <v>2</v>
      </c>
      <c r="D409" t="s">
        <v>27</v>
      </c>
      <c r="F409">
        <v>428</v>
      </c>
    </row>
    <row r="410" spans="1:6" x14ac:dyDescent="0.45">
      <c r="A410" t="s">
        <v>80</v>
      </c>
      <c r="B410" t="s">
        <v>21</v>
      </c>
      <c r="C410">
        <v>2</v>
      </c>
      <c r="D410" t="s">
        <v>28</v>
      </c>
      <c r="F410">
        <v>188</v>
      </c>
    </row>
    <row r="411" spans="1:6" x14ac:dyDescent="0.45">
      <c r="A411" t="s">
        <v>80</v>
      </c>
      <c r="B411" t="s">
        <v>21</v>
      </c>
      <c r="C411">
        <v>2</v>
      </c>
      <c r="D411" t="s">
        <v>29</v>
      </c>
      <c r="F411">
        <v>160</v>
      </c>
    </row>
    <row r="412" spans="1:6" x14ac:dyDescent="0.45">
      <c r="A412" t="s">
        <v>80</v>
      </c>
      <c r="B412" t="s">
        <v>20</v>
      </c>
      <c r="C412">
        <v>2</v>
      </c>
      <c r="D412" t="s">
        <v>19</v>
      </c>
      <c r="E412">
        <v>562922</v>
      </c>
      <c r="F412">
        <v>897</v>
      </c>
    </row>
    <row r="413" spans="1:6" x14ac:dyDescent="0.45">
      <c r="A413" t="s">
        <v>80</v>
      </c>
      <c r="B413" t="s">
        <v>20</v>
      </c>
      <c r="C413">
        <v>2</v>
      </c>
      <c r="D413" t="s">
        <v>27</v>
      </c>
      <c r="F413">
        <v>287</v>
      </c>
    </row>
    <row r="414" spans="1:6" x14ac:dyDescent="0.45">
      <c r="A414" t="s">
        <v>80</v>
      </c>
      <c r="B414" t="s">
        <v>20</v>
      </c>
      <c r="C414">
        <v>2</v>
      </c>
      <c r="D414" t="s">
        <v>28</v>
      </c>
      <c r="F414">
        <v>167</v>
      </c>
    </row>
    <row r="415" spans="1:6" x14ac:dyDescent="0.45">
      <c r="A415" t="s">
        <v>80</v>
      </c>
      <c r="B415" t="s">
        <v>20</v>
      </c>
      <c r="C415">
        <v>2</v>
      </c>
      <c r="D415" t="s">
        <v>29</v>
      </c>
      <c r="F415">
        <v>146</v>
      </c>
    </row>
    <row r="416" spans="1:6" x14ac:dyDescent="0.45">
      <c r="A416" t="s">
        <v>80</v>
      </c>
      <c r="B416" t="s">
        <v>20</v>
      </c>
      <c r="C416">
        <v>2</v>
      </c>
      <c r="D416" t="s">
        <v>31</v>
      </c>
    </row>
    <row r="417" spans="1:8" x14ac:dyDescent="0.45">
      <c r="A417" t="s">
        <v>80</v>
      </c>
      <c r="B417" t="s">
        <v>20</v>
      </c>
      <c r="C417">
        <v>2</v>
      </c>
      <c r="D417" t="s">
        <v>32</v>
      </c>
      <c r="H417">
        <v>2</v>
      </c>
    </row>
    <row r="418" spans="1:8" x14ac:dyDescent="0.45">
      <c r="A418" t="s">
        <v>80</v>
      </c>
      <c r="B418" t="s">
        <v>20</v>
      </c>
      <c r="C418">
        <v>2</v>
      </c>
      <c r="D418" t="s">
        <v>34</v>
      </c>
      <c r="H418">
        <v>0</v>
      </c>
    </row>
    <row r="419" spans="1:8" x14ac:dyDescent="0.45">
      <c r="A419" t="s">
        <v>80</v>
      </c>
      <c r="B419" t="s">
        <v>21</v>
      </c>
      <c r="C419">
        <v>3</v>
      </c>
      <c r="D419" t="s">
        <v>19</v>
      </c>
      <c r="E419">
        <v>1243665</v>
      </c>
      <c r="F419">
        <v>2028</v>
      </c>
      <c r="G419">
        <v>599</v>
      </c>
    </row>
    <row r="420" spans="1:8" x14ac:dyDescent="0.45">
      <c r="A420" t="s">
        <v>80</v>
      </c>
      <c r="B420" t="s">
        <v>21</v>
      </c>
      <c r="C420">
        <v>3</v>
      </c>
      <c r="D420" t="s">
        <v>27</v>
      </c>
      <c r="F420">
        <v>485</v>
      </c>
    </row>
    <row r="421" spans="1:8" x14ac:dyDescent="0.45">
      <c r="A421" t="s">
        <v>80</v>
      </c>
      <c r="B421" t="s">
        <v>21</v>
      </c>
      <c r="C421">
        <v>3</v>
      </c>
      <c r="D421" t="s">
        <v>28</v>
      </c>
      <c r="F421">
        <v>301</v>
      </c>
    </row>
    <row r="422" spans="1:8" x14ac:dyDescent="0.45">
      <c r="A422" t="s">
        <v>80</v>
      </c>
      <c r="B422" t="s">
        <v>21</v>
      </c>
      <c r="C422">
        <v>3</v>
      </c>
      <c r="D422" t="s">
        <v>29</v>
      </c>
      <c r="F422">
        <v>339</v>
      </c>
    </row>
    <row r="423" spans="1:8" x14ac:dyDescent="0.45">
      <c r="A423" t="s">
        <v>80</v>
      </c>
      <c r="B423" t="s">
        <v>20</v>
      </c>
      <c r="C423">
        <v>3</v>
      </c>
      <c r="D423" t="s">
        <v>19</v>
      </c>
      <c r="E423">
        <v>1117864</v>
      </c>
      <c r="F423">
        <v>1729</v>
      </c>
      <c r="G423">
        <v>525</v>
      </c>
    </row>
    <row r="424" spans="1:8" x14ac:dyDescent="0.45">
      <c r="A424" t="s">
        <v>80</v>
      </c>
      <c r="B424" t="s">
        <v>20</v>
      </c>
      <c r="C424">
        <v>3</v>
      </c>
      <c r="D424" t="s">
        <v>27</v>
      </c>
      <c r="F424">
        <v>407</v>
      </c>
    </row>
    <row r="425" spans="1:8" x14ac:dyDescent="0.45">
      <c r="A425" t="s">
        <v>80</v>
      </c>
      <c r="B425" t="s">
        <v>20</v>
      </c>
      <c r="C425">
        <v>3</v>
      </c>
      <c r="D425" t="s">
        <v>28</v>
      </c>
      <c r="F425">
        <v>304</v>
      </c>
    </row>
    <row r="426" spans="1:8" x14ac:dyDescent="0.45">
      <c r="A426" t="s">
        <v>80</v>
      </c>
      <c r="B426" t="s">
        <v>20</v>
      </c>
      <c r="C426">
        <v>3</v>
      </c>
      <c r="D426" t="s">
        <v>29</v>
      </c>
      <c r="F426">
        <v>346</v>
      </c>
    </row>
    <row r="427" spans="1:8" x14ac:dyDescent="0.45">
      <c r="A427" t="s">
        <v>80</v>
      </c>
      <c r="B427" t="s">
        <v>20</v>
      </c>
      <c r="C427">
        <v>3</v>
      </c>
      <c r="D427" t="s">
        <v>31</v>
      </c>
      <c r="H427">
        <v>77</v>
      </c>
    </row>
    <row r="428" spans="1:8" x14ac:dyDescent="0.45">
      <c r="A428" t="s">
        <v>80</v>
      </c>
      <c r="B428" t="s">
        <v>20</v>
      </c>
      <c r="C428">
        <v>3</v>
      </c>
      <c r="D428" t="s">
        <v>32</v>
      </c>
      <c r="H428">
        <v>9</v>
      </c>
    </row>
    <row r="429" spans="1:8" x14ac:dyDescent="0.45">
      <c r="A429" t="s">
        <v>80</v>
      </c>
      <c r="B429" t="s">
        <v>20</v>
      </c>
      <c r="C429">
        <v>3</v>
      </c>
      <c r="D429" t="s">
        <v>34</v>
      </c>
      <c r="H429">
        <v>1</v>
      </c>
    </row>
    <row r="430" spans="1:8" x14ac:dyDescent="0.45">
      <c r="A430" t="s">
        <v>80</v>
      </c>
      <c r="B430" t="s">
        <v>21</v>
      </c>
      <c r="C430">
        <v>4</v>
      </c>
      <c r="D430" t="s">
        <v>19</v>
      </c>
      <c r="E430">
        <v>1709753</v>
      </c>
      <c r="F430">
        <v>2449</v>
      </c>
      <c r="G430">
        <v>662</v>
      </c>
    </row>
    <row r="431" spans="1:8" x14ac:dyDescent="0.45">
      <c r="A431" t="s">
        <v>80</v>
      </c>
      <c r="B431" t="s">
        <v>21</v>
      </c>
      <c r="C431">
        <v>4</v>
      </c>
      <c r="D431" t="s">
        <v>27</v>
      </c>
      <c r="F431">
        <v>519</v>
      </c>
    </row>
    <row r="432" spans="1:8" x14ac:dyDescent="0.45">
      <c r="A432" t="s">
        <v>80</v>
      </c>
      <c r="B432" t="s">
        <v>21</v>
      </c>
      <c r="C432">
        <v>4</v>
      </c>
      <c r="D432" t="s">
        <v>28</v>
      </c>
      <c r="F432">
        <v>387</v>
      </c>
    </row>
    <row r="433" spans="1:8" x14ac:dyDescent="0.45">
      <c r="A433" t="s">
        <v>80</v>
      </c>
      <c r="B433" t="s">
        <v>21</v>
      </c>
      <c r="C433">
        <v>4</v>
      </c>
      <c r="D433" t="s">
        <v>29</v>
      </c>
      <c r="F433">
        <v>368</v>
      </c>
    </row>
    <row r="434" spans="1:8" x14ac:dyDescent="0.45">
      <c r="A434" t="s">
        <v>80</v>
      </c>
      <c r="B434" t="s">
        <v>20</v>
      </c>
      <c r="C434">
        <v>4</v>
      </c>
      <c r="D434" t="s">
        <v>19</v>
      </c>
      <c r="E434">
        <v>1824119</v>
      </c>
      <c r="F434">
        <v>2437</v>
      </c>
    </row>
    <row r="435" spans="1:8" x14ac:dyDescent="0.45">
      <c r="A435" t="s">
        <v>80</v>
      </c>
      <c r="B435" t="s">
        <v>20</v>
      </c>
      <c r="C435">
        <v>4</v>
      </c>
      <c r="D435" t="s">
        <v>27</v>
      </c>
      <c r="F435">
        <v>358</v>
      </c>
    </row>
    <row r="436" spans="1:8" x14ac:dyDescent="0.45">
      <c r="A436" t="s">
        <v>80</v>
      </c>
      <c r="B436" t="s">
        <v>20</v>
      </c>
      <c r="C436">
        <v>4</v>
      </c>
      <c r="D436" t="s">
        <v>28</v>
      </c>
      <c r="F436">
        <v>375</v>
      </c>
    </row>
    <row r="437" spans="1:8" x14ac:dyDescent="0.45">
      <c r="A437" t="s">
        <v>80</v>
      </c>
      <c r="B437" t="s">
        <v>20</v>
      </c>
      <c r="C437">
        <v>4</v>
      </c>
      <c r="D437" t="s">
        <v>29</v>
      </c>
      <c r="F437">
        <v>394</v>
      </c>
    </row>
    <row r="438" spans="1:8" x14ac:dyDescent="0.45">
      <c r="A438" t="s">
        <v>80</v>
      </c>
      <c r="B438" t="s">
        <v>20</v>
      </c>
      <c r="C438">
        <v>4</v>
      </c>
      <c r="D438" t="s">
        <v>31</v>
      </c>
      <c r="H438">
        <v>53</v>
      </c>
    </row>
    <row r="439" spans="1:8" x14ac:dyDescent="0.45">
      <c r="A439" t="s">
        <v>80</v>
      </c>
      <c r="B439" t="s">
        <v>20</v>
      </c>
      <c r="C439">
        <v>4</v>
      </c>
      <c r="D439" t="s">
        <v>32</v>
      </c>
      <c r="H439">
        <v>7</v>
      </c>
    </row>
    <row r="440" spans="1:8" x14ac:dyDescent="0.45">
      <c r="A440" t="s">
        <v>80</v>
      </c>
      <c r="B440" t="s">
        <v>20</v>
      </c>
      <c r="C440">
        <v>4</v>
      </c>
      <c r="D440" t="s">
        <v>34</v>
      </c>
      <c r="H440">
        <v>1</v>
      </c>
    </row>
    <row r="441" spans="1:8" x14ac:dyDescent="0.45">
      <c r="A441" t="s">
        <v>80</v>
      </c>
      <c r="B441" t="s">
        <v>21</v>
      </c>
      <c r="C441">
        <v>5</v>
      </c>
      <c r="D441" t="s">
        <v>19</v>
      </c>
      <c r="E441">
        <v>1574295</v>
      </c>
      <c r="F441">
        <v>1951</v>
      </c>
      <c r="G441">
        <v>590</v>
      </c>
    </row>
    <row r="442" spans="1:8" x14ac:dyDescent="0.45">
      <c r="A442" t="s">
        <v>80</v>
      </c>
      <c r="B442" t="s">
        <v>21</v>
      </c>
      <c r="C442">
        <v>5</v>
      </c>
      <c r="D442" t="s">
        <v>27</v>
      </c>
      <c r="F442">
        <v>498</v>
      </c>
    </row>
    <row r="443" spans="1:8" x14ac:dyDescent="0.45">
      <c r="A443" t="s">
        <v>80</v>
      </c>
      <c r="B443" t="s">
        <v>21</v>
      </c>
      <c r="C443">
        <v>5</v>
      </c>
      <c r="D443" t="s">
        <v>28</v>
      </c>
      <c r="F443">
        <v>412</v>
      </c>
    </row>
    <row r="444" spans="1:8" x14ac:dyDescent="0.45">
      <c r="A444" t="s">
        <v>80</v>
      </c>
      <c r="B444" t="s">
        <v>21</v>
      </c>
      <c r="C444">
        <v>5</v>
      </c>
      <c r="D444" t="s">
        <v>29</v>
      </c>
      <c r="F444">
        <v>382</v>
      </c>
    </row>
    <row r="445" spans="1:8" x14ac:dyDescent="0.45">
      <c r="A445" t="s">
        <v>80</v>
      </c>
      <c r="B445" t="s">
        <v>20</v>
      </c>
      <c r="C445">
        <v>5</v>
      </c>
      <c r="D445" t="s">
        <v>19</v>
      </c>
      <c r="E445">
        <v>1383836</v>
      </c>
      <c r="F445">
        <v>1761</v>
      </c>
      <c r="G445">
        <v>542</v>
      </c>
    </row>
    <row r="446" spans="1:8" x14ac:dyDescent="0.45">
      <c r="A446" t="s">
        <v>80</v>
      </c>
      <c r="B446" t="s">
        <v>20</v>
      </c>
      <c r="C446">
        <v>5</v>
      </c>
      <c r="D446" t="s">
        <v>27</v>
      </c>
      <c r="F446">
        <v>389</v>
      </c>
    </row>
    <row r="447" spans="1:8" x14ac:dyDescent="0.45">
      <c r="A447" t="s">
        <v>80</v>
      </c>
      <c r="B447" t="s">
        <v>20</v>
      </c>
      <c r="C447">
        <v>5</v>
      </c>
      <c r="D447" t="s">
        <v>28</v>
      </c>
      <c r="F447">
        <v>271</v>
      </c>
    </row>
    <row r="448" spans="1:8" x14ac:dyDescent="0.45">
      <c r="A448" t="s">
        <v>80</v>
      </c>
      <c r="B448" t="s">
        <v>20</v>
      </c>
      <c r="C448">
        <v>5</v>
      </c>
      <c r="D448" t="s">
        <v>29</v>
      </c>
      <c r="F448">
        <v>263</v>
      </c>
    </row>
    <row r="449" spans="1:8" x14ac:dyDescent="0.45">
      <c r="A449" t="s">
        <v>80</v>
      </c>
      <c r="B449" t="s">
        <v>20</v>
      </c>
      <c r="C449">
        <v>5</v>
      </c>
      <c r="D449" t="s">
        <v>31</v>
      </c>
      <c r="H449">
        <v>76</v>
      </c>
    </row>
    <row r="450" spans="1:8" x14ac:dyDescent="0.45">
      <c r="A450" t="s">
        <v>80</v>
      </c>
      <c r="B450" t="s">
        <v>20</v>
      </c>
      <c r="C450">
        <v>5</v>
      </c>
      <c r="D450" t="s">
        <v>32</v>
      </c>
      <c r="H450">
        <v>6</v>
      </c>
    </row>
    <row r="451" spans="1:8" x14ac:dyDescent="0.45">
      <c r="A451" t="s">
        <v>80</v>
      </c>
      <c r="B451" t="s">
        <v>20</v>
      </c>
      <c r="C451">
        <v>5</v>
      </c>
      <c r="D451" t="s">
        <v>34</v>
      </c>
      <c r="H451">
        <v>1</v>
      </c>
    </row>
    <row r="452" spans="1:8" x14ac:dyDescent="0.45">
      <c r="A452" t="s">
        <v>80</v>
      </c>
      <c r="B452" t="s">
        <v>21</v>
      </c>
      <c r="C452">
        <v>6</v>
      </c>
      <c r="D452" t="s">
        <v>19</v>
      </c>
      <c r="E452">
        <v>1324092</v>
      </c>
      <c r="F452">
        <v>1660</v>
      </c>
      <c r="G452">
        <v>534</v>
      </c>
    </row>
    <row r="453" spans="1:8" x14ac:dyDescent="0.45">
      <c r="A453" t="s">
        <v>80</v>
      </c>
      <c r="B453" t="s">
        <v>21</v>
      </c>
      <c r="C453">
        <v>6</v>
      </c>
      <c r="D453" t="s">
        <v>27</v>
      </c>
      <c r="F453">
        <v>378</v>
      </c>
    </row>
    <row r="454" spans="1:8" x14ac:dyDescent="0.45">
      <c r="A454" t="s">
        <v>80</v>
      </c>
      <c r="B454" t="s">
        <v>21</v>
      </c>
      <c r="C454">
        <v>6</v>
      </c>
      <c r="D454" t="s">
        <v>28</v>
      </c>
      <c r="F454">
        <v>292</v>
      </c>
    </row>
    <row r="455" spans="1:8" x14ac:dyDescent="0.45">
      <c r="A455" t="s">
        <v>80</v>
      </c>
      <c r="B455" t="s">
        <v>21</v>
      </c>
      <c r="C455">
        <v>6</v>
      </c>
      <c r="D455" t="s">
        <v>29</v>
      </c>
      <c r="F455">
        <v>297</v>
      </c>
    </row>
    <row r="456" spans="1:8" x14ac:dyDescent="0.45">
      <c r="A456" t="s">
        <v>80</v>
      </c>
      <c r="B456" t="s">
        <v>20</v>
      </c>
      <c r="C456">
        <v>6</v>
      </c>
      <c r="D456" t="s">
        <v>19</v>
      </c>
      <c r="E456">
        <v>1256917</v>
      </c>
      <c r="F456">
        <v>1639</v>
      </c>
      <c r="G456">
        <v>490</v>
      </c>
    </row>
    <row r="457" spans="1:8" x14ac:dyDescent="0.45">
      <c r="A457" t="s">
        <v>80</v>
      </c>
      <c r="B457" t="s">
        <v>20</v>
      </c>
      <c r="C457">
        <v>6</v>
      </c>
      <c r="D457" t="s">
        <v>27</v>
      </c>
      <c r="F457">
        <v>395</v>
      </c>
    </row>
    <row r="458" spans="1:8" x14ac:dyDescent="0.45">
      <c r="A458" t="s">
        <v>80</v>
      </c>
      <c r="B458" t="s">
        <v>20</v>
      </c>
      <c r="C458">
        <v>6</v>
      </c>
      <c r="D458" t="s">
        <v>28</v>
      </c>
      <c r="F458">
        <v>281</v>
      </c>
    </row>
    <row r="459" spans="1:8" x14ac:dyDescent="0.45">
      <c r="A459" t="s">
        <v>80</v>
      </c>
      <c r="B459" t="s">
        <v>20</v>
      </c>
      <c r="C459">
        <v>6</v>
      </c>
      <c r="D459" t="s">
        <v>29</v>
      </c>
      <c r="F459">
        <v>262</v>
      </c>
    </row>
    <row r="460" spans="1:8" x14ac:dyDescent="0.45">
      <c r="A460" t="s">
        <v>80</v>
      </c>
      <c r="B460" t="s">
        <v>20</v>
      </c>
      <c r="C460">
        <v>6</v>
      </c>
      <c r="D460" t="s">
        <v>31</v>
      </c>
      <c r="H460">
        <v>51</v>
      </c>
    </row>
    <row r="461" spans="1:8" x14ac:dyDescent="0.45">
      <c r="A461" t="s">
        <v>80</v>
      </c>
      <c r="B461" t="s">
        <v>20</v>
      </c>
      <c r="C461">
        <v>6</v>
      </c>
      <c r="D461" t="s">
        <v>32</v>
      </c>
      <c r="H461">
        <v>7</v>
      </c>
    </row>
    <row r="462" spans="1:8" x14ac:dyDescent="0.45">
      <c r="A462" t="s">
        <v>80</v>
      </c>
      <c r="B462" t="s">
        <v>20</v>
      </c>
      <c r="C462">
        <v>6</v>
      </c>
      <c r="D462" t="s">
        <v>34</v>
      </c>
      <c r="H462">
        <v>0</v>
      </c>
    </row>
    <row r="463" spans="1:8" x14ac:dyDescent="0.45">
      <c r="A463" t="s">
        <v>80</v>
      </c>
      <c r="B463" t="s">
        <v>21</v>
      </c>
      <c r="C463">
        <v>7</v>
      </c>
      <c r="D463" t="s">
        <v>19</v>
      </c>
      <c r="E463">
        <v>1034054</v>
      </c>
      <c r="F463">
        <v>1605</v>
      </c>
      <c r="G463">
        <v>446</v>
      </c>
    </row>
    <row r="464" spans="1:8" x14ac:dyDescent="0.45">
      <c r="A464" t="s">
        <v>80</v>
      </c>
      <c r="B464" t="s">
        <v>21</v>
      </c>
      <c r="C464">
        <v>7</v>
      </c>
      <c r="D464" t="s">
        <v>27</v>
      </c>
      <c r="F464">
        <v>425</v>
      </c>
    </row>
    <row r="465" spans="1:8" x14ac:dyDescent="0.45">
      <c r="A465" t="s">
        <v>80</v>
      </c>
      <c r="B465" t="s">
        <v>21</v>
      </c>
      <c r="C465">
        <v>7</v>
      </c>
      <c r="D465" t="s">
        <v>28</v>
      </c>
      <c r="F465">
        <v>326</v>
      </c>
    </row>
    <row r="466" spans="1:8" x14ac:dyDescent="0.45">
      <c r="A466" t="s">
        <v>80</v>
      </c>
      <c r="B466" t="s">
        <v>21</v>
      </c>
      <c r="C466">
        <v>7</v>
      </c>
      <c r="D466" t="s">
        <v>29</v>
      </c>
      <c r="F466">
        <v>230</v>
      </c>
    </row>
    <row r="467" spans="1:8" x14ac:dyDescent="0.45">
      <c r="A467" t="s">
        <v>80</v>
      </c>
      <c r="B467" t="s">
        <v>20</v>
      </c>
      <c r="C467">
        <v>7</v>
      </c>
      <c r="D467" t="s">
        <v>19</v>
      </c>
      <c r="E467">
        <v>1207884</v>
      </c>
      <c r="F467">
        <v>1797</v>
      </c>
      <c r="G467">
        <v>478</v>
      </c>
    </row>
    <row r="468" spans="1:8" x14ac:dyDescent="0.45">
      <c r="A468" t="s">
        <v>80</v>
      </c>
      <c r="B468" t="s">
        <v>20</v>
      </c>
      <c r="C468">
        <v>7</v>
      </c>
      <c r="D468" t="s">
        <v>27</v>
      </c>
      <c r="F468">
        <v>351</v>
      </c>
    </row>
    <row r="469" spans="1:8" x14ac:dyDescent="0.45">
      <c r="A469" t="s">
        <v>80</v>
      </c>
      <c r="B469" t="s">
        <v>20</v>
      </c>
      <c r="C469">
        <v>7</v>
      </c>
      <c r="D469" t="s">
        <v>28</v>
      </c>
      <c r="F469">
        <v>349</v>
      </c>
    </row>
    <row r="470" spans="1:8" x14ac:dyDescent="0.45">
      <c r="A470" t="s">
        <v>80</v>
      </c>
      <c r="B470" t="s">
        <v>20</v>
      </c>
      <c r="C470">
        <v>7</v>
      </c>
      <c r="D470" t="s">
        <v>29</v>
      </c>
      <c r="F470">
        <v>279</v>
      </c>
    </row>
    <row r="471" spans="1:8" x14ac:dyDescent="0.45">
      <c r="A471" t="s">
        <v>80</v>
      </c>
      <c r="B471" t="s">
        <v>20</v>
      </c>
      <c r="C471">
        <v>7</v>
      </c>
      <c r="D471" t="s">
        <v>31</v>
      </c>
      <c r="H471">
        <v>153</v>
      </c>
    </row>
    <row r="472" spans="1:8" x14ac:dyDescent="0.45">
      <c r="A472" t="s">
        <v>80</v>
      </c>
      <c r="B472" t="s">
        <v>20</v>
      </c>
      <c r="C472">
        <v>7</v>
      </c>
      <c r="D472" t="s">
        <v>32</v>
      </c>
      <c r="H472">
        <v>4</v>
      </c>
    </row>
    <row r="473" spans="1:8" x14ac:dyDescent="0.45">
      <c r="A473" t="s">
        <v>80</v>
      </c>
      <c r="B473" t="s">
        <v>20</v>
      </c>
      <c r="C473">
        <v>7</v>
      </c>
      <c r="D473" t="s">
        <v>34</v>
      </c>
      <c r="H473">
        <v>1</v>
      </c>
    </row>
    <row r="474" spans="1:8" x14ac:dyDescent="0.45">
      <c r="A474" t="s">
        <v>80</v>
      </c>
      <c r="B474" t="s">
        <v>21</v>
      </c>
      <c r="C474">
        <v>8</v>
      </c>
      <c r="D474" t="s">
        <v>19</v>
      </c>
      <c r="E474">
        <v>729536</v>
      </c>
      <c r="F474">
        <v>1197</v>
      </c>
      <c r="G474">
        <v>396</v>
      </c>
    </row>
    <row r="475" spans="1:8" x14ac:dyDescent="0.45">
      <c r="A475" t="s">
        <v>80</v>
      </c>
      <c r="B475" t="s">
        <v>21</v>
      </c>
      <c r="C475">
        <v>8</v>
      </c>
      <c r="D475" t="s">
        <v>27</v>
      </c>
      <c r="F475">
        <v>364</v>
      </c>
      <c r="G475">
        <v>891</v>
      </c>
    </row>
    <row r="476" spans="1:8" x14ac:dyDescent="0.45">
      <c r="A476" t="s">
        <v>80</v>
      </c>
      <c r="B476" t="s">
        <v>21</v>
      </c>
      <c r="C476">
        <v>8</v>
      </c>
      <c r="D476" t="s">
        <v>28</v>
      </c>
      <c r="F476">
        <v>266</v>
      </c>
      <c r="G476">
        <v>1192</v>
      </c>
    </row>
    <row r="477" spans="1:8" x14ac:dyDescent="0.45">
      <c r="A477" t="s">
        <v>80</v>
      </c>
      <c r="B477" t="s">
        <v>21</v>
      </c>
      <c r="C477">
        <v>8</v>
      </c>
      <c r="D477" t="s">
        <v>29</v>
      </c>
      <c r="F477">
        <v>184</v>
      </c>
      <c r="G477">
        <v>728</v>
      </c>
    </row>
    <row r="478" spans="1:8" x14ac:dyDescent="0.45">
      <c r="A478" t="s">
        <v>80</v>
      </c>
      <c r="B478" t="s">
        <v>20</v>
      </c>
      <c r="C478">
        <v>8</v>
      </c>
      <c r="D478" t="s">
        <v>19</v>
      </c>
      <c r="E478">
        <v>672992</v>
      </c>
      <c r="F478">
        <v>1013</v>
      </c>
      <c r="G478">
        <v>323</v>
      </c>
    </row>
    <row r="479" spans="1:8" x14ac:dyDescent="0.45">
      <c r="A479" t="s">
        <v>80</v>
      </c>
      <c r="B479" t="s">
        <v>20</v>
      </c>
      <c r="C479">
        <v>8</v>
      </c>
      <c r="D479" t="s">
        <v>27</v>
      </c>
      <c r="F479">
        <v>271</v>
      </c>
      <c r="G479">
        <v>910</v>
      </c>
    </row>
    <row r="480" spans="1:8" x14ac:dyDescent="0.45">
      <c r="A480" t="s">
        <v>80</v>
      </c>
      <c r="B480" t="s">
        <v>20</v>
      </c>
      <c r="C480">
        <v>8</v>
      </c>
      <c r="D480" t="s">
        <v>28</v>
      </c>
      <c r="F480">
        <v>217</v>
      </c>
      <c r="G480">
        <v>1112</v>
      </c>
    </row>
    <row r="481" spans="1:8" x14ac:dyDescent="0.45">
      <c r="A481" t="s">
        <v>80</v>
      </c>
      <c r="B481" t="s">
        <v>20</v>
      </c>
      <c r="C481">
        <v>8</v>
      </c>
      <c r="D481" t="s">
        <v>29</v>
      </c>
      <c r="F481">
        <v>133</v>
      </c>
      <c r="G481">
        <v>854</v>
      </c>
    </row>
    <row r="482" spans="1:8" x14ac:dyDescent="0.45">
      <c r="A482" t="s">
        <v>80</v>
      </c>
      <c r="B482" t="s">
        <v>20</v>
      </c>
      <c r="C482">
        <v>8</v>
      </c>
      <c r="D482" t="s">
        <v>31</v>
      </c>
      <c r="H482">
        <v>23</v>
      </c>
    </row>
    <row r="483" spans="1:8" x14ac:dyDescent="0.45">
      <c r="A483" t="s">
        <v>80</v>
      </c>
      <c r="B483" t="s">
        <v>20</v>
      </c>
      <c r="C483">
        <v>8</v>
      </c>
      <c r="D483" t="s">
        <v>32</v>
      </c>
      <c r="H483">
        <v>10</v>
      </c>
    </row>
    <row r="484" spans="1:8" x14ac:dyDescent="0.45">
      <c r="A484" t="s">
        <v>80</v>
      </c>
      <c r="B484" t="s">
        <v>20</v>
      </c>
      <c r="C484">
        <v>8</v>
      </c>
      <c r="D484" t="s">
        <v>34</v>
      </c>
      <c r="H484">
        <v>0</v>
      </c>
    </row>
    <row r="485" spans="1:8" x14ac:dyDescent="0.45">
      <c r="A485" t="s">
        <v>80</v>
      </c>
      <c r="B485" t="s">
        <v>21</v>
      </c>
      <c r="C485">
        <v>9</v>
      </c>
      <c r="D485" t="s">
        <v>19</v>
      </c>
      <c r="E485">
        <v>649982</v>
      </c>
      <c r="F485">
        <v>1183</v>
      </c>
      <c r="G485">
        <v>383</v>
      </c>
    </row>
    <row r="486" spans="1:8" x14ac:dyDescent="0.45">
      <c r="A486" t="s">
        <v>80</v>
      </c>
      <c r="B486" t="s">
        <v>21</v>
      </c>
      <c r="C486">
        <v>9</v>
      </c>
      <c r="D486" t="s">
        <v>27</v>
      </c>
      <c r="F486">
        <v>411</v>
      </c>
    </row>
    <row r="487" spans="1:8" x14ac:dyDescent="0.45">
      <c r="A487" t="s">
        <v>80</v>
      </c>
      <c r="B487" t="s">
        <v>21</v>
      </c>
      <c r="C487">
        <v>9</v>
      </c>
      <c r="D487" t="s">
        <v>28</v>
      </c>
      <c r="F487">
        <v>257</v>
      </c>
    </row>
    <row r="488" spans="1:8" x14ac:dyDescent="0.45">
      <c r="A488" t="s">
        <v>80</v>
      </c>
      <c r="B488" t="s">
        <v>21</v>
      </c>
      <c r="C488">
        <v>9</v>
      </c>
      <c r="D488" t="s">
        <v>29</v>
      </c>
      <c r="F488">
        <v>164</v>
      </c>
    </row>
    <row r="489" spans="1:8" x14ac:dyDescent="0.45">
      <c r="A489" t="s">
        <v>80</v>
      </c>
      <c r="B489" t="s">
        <v>20</v>
      </c>
      <c r="C489">
        <v>9</v>
      </c>
      <c r="D489" t="s">
        <v>19</v>
      </c>
      <c r="E489">
        <v>875031</v>
      </c>
      <c r="F489">
        <v>1518</v>
      </c>
      <c r="G489">
        <v>386</v>
      </c>
    </row>
    <row r="490" spans="1:8" x14ac:dyDescent="0.45">
      <c r="A490" t="s">
        <v>80</v>
      </c>
      <c r="B490" t="s">
        <v>20</v>
      </c>
      <c r="C490">
        <v>9</v>
      </c>
      <c r="D490" t="s">
        <v>27</v>
      </c>
      <c r="F490">
        <v>356</v>
      </c>
    </row>
    <row r="491" spans="1:8" x14ac:dyDescent="0.45">
      <c r="A491" t="s">
        <v>80</v>
      </c>
      <c r="B491" t="s">
        <v>20</v>
      </c>
      <c r="C491">
        <v>9</v>
      </c>
      <c r="D491" t="s">
        <v>28</v>
      </c>
      <c r="F491">
        <v>234</v>
      </c>
    </row>
    <row r="492" spans="1:8" x14ac:dyDescent="0.45">
      <c r="A492" t="s">
        <v>80</v>
      </c>
      <c r="B492" t="s">
        <v>20</v>
      </c>
      <c r="C492">
        <v>9</v>
      </c>
      <c r="D492" t="s">
        <v>29</v>
      </c>
      <c r="F492">
        <v>184</v>
      </c>
    </row>
    <row r="493" spans="1:8" x14ac:dyDescent="0.45">
      <c r="A493" t="s">
        <v>80</v>
      </c>
      <c r="B493" t="s">
        <v>20</v>
      </c>
      <c r="C493">
        <v>9</v>
      </c>
      <c r="D493" t="s">
        <v>31</v>
      </c>
      <c r="H493">
        <v>106</v>
      </c>
    </row>
    <row r="494" spans="1:8" x14ac:dyDescent="0.45">
      <c r="A494" t="s">
        <v>80</v>
      </c>
      <c r="B494" t="s">
        <v>20</v>
      </c>
      <c r="C494">
        <v>9</v>
      </c>
      <c r="D494" t="s">
        <v>32</v>
      </c>
      <c r="H494">
        <v>10</v>
      </c>
    </row>
    <row r="495" spans="1:8" x14ac:dyDescent="0.45">
      <c r="A495" t="s">
        <v>80</v>
      </c>
      <c r="B495" t="s">
        <v>20</v>
      </c>
      <c r="C495">
        <v>9</v>
      </c>
      <c r="D495" t="s">
        <v>34</v>
      </c>
      <c r="H495">
        <v>0</v>
      </c>
    </row>
    <row r="496" spans="1:8" x14ac:dyDescent="0.45">
      <c r="A496" t="s">
        <v>80</v>
      </c>
      <c r="B496" t="s">
        <v>21</v>
      </c>
      <c r="C496">
        <v>10</v>
      </c>
      <c r="D496" t="s">
        <v>19</v>
      </c>
      <c r="E496">
        <v>926015</v>
      </c>
      <c r="F496">
        <v>1824</v>
      </c>
      <c r="G496">
        <v>497</v>
      </c>
    </row>
    <row r="497" spans="1:8" x14ac:dyDescent="0.45">
      <c r="A497" t="s">
        <v>80</v>
      </c>
      <c r="B497" t="s">
        <v>21</v>
      </c>
      <c r="C497">
        <v>10</v>
      </c>
      <c r="D497" t="s">
        <v>27</v>
      </c>
      <c r="F497">
        <v>601</v>
      </c>
    </row>
    <row r="498" spans="1:8" x14ac:dyDescent="0.45">
      <c r="A498" t="s">
        <v>80</v>
      </c>
      <c r="B498" t="s">
        <v>21</v>
      </c>
      <c r="C498">
        <v>10</v>
      </c>
      <c r="D498" t="s">
        <v>28</v>
      </c>
      <c r="F498">
        <v>334</v>
      </c>
    </row>
    <row r="499" spans="1:8" x14ac:dyDescent="0.45">
      <c r="A499" t="s">
        <v>80</v>
      </c>
      <c r="B499" t="s">
        <v>21</v>
      </c>
      <c r="C499">
        <v>10</v>
      </c>
      <c r="D499" t="s">
        <v>29</v>
      </c>
      <c r="F499">
        <v>258</v>
      </c>
    </row>
    <row r="500" spans="1:8" x14ac:dyDescent="0.45">
      <c r="A500" t="s">
        <v>80</v>
      </c>
      <c r="B500" t="s">
        <v>20</v>
      </c>
      <c r="C500">
        <v>10</v>
      </c>
      <c r="D500" t="s">
        <v>19</v>
      </c>
      <c r="E500">
        <v>1116805</v>
      </c>
      <c r="F500">
        <v>1780</v>
      </c>
      <c r="G500">
        <v>527</v>
      </c>
    </row>
    <row r="501" spans="1:8" x14ac:dyDescent="0.45">
      <c r="A501" t="s">
        <v>80</v>
      </c>
      <c r="B501" t="s">
        <v>20</v>
      </c>
      <c r="C501">
        <v>10</v>
      </c>
      <c r="D501" t="s">
        <v>27</v>
      </c>
      <c r="F501">
        <v>481</v>
      </c>
    </row>
    <row r="502" spans="1:8" x14ac:dyDescent="0.45">
      <c r="A502" t="s">
        <v>80</v>
      </c>
      <c r="B502" t="s">
        <v>20</v>
      </c>
      <c r="C502">
        <v>10</v>
      </c>
      <c r="D502" t="s">
        <v>28</v>
      </c>
      <c r="F502">
        <v>358</v>
      </c>
    </row>
    <row r="503" spans="1:8" x14ac:dyDescent="0.45">
      <c r="A503" t="s">
        <v>80</v>
      </c>
      <c r="B503" t="s">
        <v>20</v>
      </c>
      <c r="C503">
        <v>10</v>
      </c>
      <c r="D503" t="s">
        <v>29</v>
      </c>
      <c r="F503">
        <v>269</v>
      </c>
    </row>
    <row r="504" spans="1:8" x14ac:dyDescent="0.45">
      <c r="A504" t="s">
        <v>80</v>
      </c>
      <c r="B504" t="s">
        <v>20</v>
      </c>
      <c r="C504">
        <v>10</v>
      </c>
      <c r="D504" t="s">
        <v>31</v>
      </c>
      <c r="H504">
        <v>91</v>
      </c>
    </row>
    <row r="505" spans="1:8" x14ac:dyDescent="0.45">
      <c r="A505" t="s">
        <v>80</v>
      </c>
      <c r="B505" t="s">
        <v>20</v>
      </c>
      <c r="C505">
        <v>10</v>
      </c>
      <c r="D505" t="s">
        <v>32</v>
      </c>
      <c r="H505">
        <v>10</v>
      </c>
    </row>
    <row r="506" spans="1:8" x14ac:dyDescent="0.45">
      <c r="A506" t="s">
        <v>80</v>
      </c>
      <c r="B506" t="s">
        <v>20</v>
      </c>
      <c r="C506">
        <v>10</v>
      </c>
      <c r="D506" t="s">
        <v>34</v>
      </c>
      <c r="H506">
        <v>0</v>
      </c>
    </row>
    <row r="507" spans="1:8" x14ac:dyDescent="0.45">
      <c r="A507" t="s">
        <v>80</v>
      </c>
      <c r="B507" t="s">
        <v>21</v>
      </c>
      <c r="C507">
        <v>11</v>
      </c>
      <c r="D507" t="s">
        <v>19</v>
      </c>
      <c r="E507">
        <v>942939</v>
      </c>
      <c r="F507">
        <v>1632</v>
      </c>
      <c r="G507">
        <v>475</v>
      </c>
    </row>
    <row r="508" spans="1:8" x14ac:dyDescent="0.45">
      <c r="A508" t="s">
        <v>80</v>
      </c>
      <c r="B508" t="s">
        <v>21</v>
      </c>
      <c r="C508">
        <v>11</v>
      </c>
      <c r="D508" t="s">
        <v>27</v>
      </c>
      <c r="F508">
        <v>542</v>
      </c>
    </row>
    <row r="509" spans="1:8" x14ac:dyDescent="0.45">
      <c r="A509" t="s">
        <v>80</v>
      </c>
      <c r="B509" t="s">
        <v>21</v>
      </c>
      <c r="C509">
        <v>11</v>
      </c>
      <c r="D509" t="s">
        <v>28</v>
      </c>
      <c r="F509">
        <v>343</v>
      </c>
    </row>
    <row r="510" spans="1:8" x14ac:dyDescent="0.45">
      <c r="A510" t="s">
        <v>80</v>
      </c>
      <c r="B510" t="s">
        <v>21</v>
      </c>
      <c r="C510">
        <v>11</v>
      </c>
      <c r="D510" t="s">
        <v>29</v>
      </c>
      <c r="F510">
        <v>279</v>
      </c>
    </row>
    <row r="511" spans="1:8" x14ac:dyDescent="0.45">
      <c r="A511" t="s">
        <v>80</v>
      </c>
      <c r="B511" t="s">
        <v>20</v>
      </c>
      <c r="C511">
        <v>11</v>
      </c>
      <c r="D511" t="s">
        <v>19</v>
      </c>
      <c r="E511">
        <v>950008</v>
      </c>
      <c r="F511">
        <v>1570</v>
      </c>
      <c r="G511">
        <v>474</v>
      </c>
    </row>
    <row r="512" spans="1:8" x14ac:dyDescent="0.45">
      <c r="A512" t="s">
        <v>80</v>
      </c>
      <c r="B512" t="s">
        <v>20</v>
      </c>
      <c r="C512">
        <v>11</v>
      </c>
      <c r="D512" t="s">
        <v>27</v>
      </c>
      <c r="F512">
        <v>389</v>
      </c>
    </row>
    <row r="513" spans="1:8" x14ac:dyDescent="0.45">
      <c r="A513" t="s">
        <v>80</v>
      </c>
      <c r="B513" t="s">
        <v>20</v>
      </c>
      <c r="C513">
        <v>11</v>
      </c>
      <c r="D513" t="s">
        <v>28</v>
      </c>
      <c r="F513">
        <v>320</v>
      </c>
    </row>
    <row r="514" spans="1:8" x14ac:dyDescent="0.45">
      <c r="A514" t="s">
        <v>80</v>
      </c>
      <c r="B514" t="s">
        <v>20</v>
      </c>
      <c r="C514">
        <v>11</v>
      </c>
      <c r="D514" t="s">
        <v>29</v>
      </c>
      <c r="F514">
        <v>288</v>
      </c>
    </row>
    <row r="515" spans="1:8" x14ac:dyDescent="0.45">
      <c r="A515" t="s">
        <v>80</v>
      </c>
      <c r="B515" t="s">
        <v>20</v>
      </c>
      <c r="C515">
        <v>11</v>
      </c>
      <c r="D515" t="s">
        <v>31</v>
      </c>
      <c r="H515">
        <v>228</v>
      </c>
    </row>
    <row r="516" spans="1:8" x14ac:dyDescent="0.45">
      <c r="A516" t="s">
        <v>80</v>
      </c>
      <c r="B516" t="s">
        <v>20</v>
      </c>
      <c r="C516">
        <v>11</v>
      </c>
      <c r="D516" t="s">
        <v>32</v>
      </c>
      <c r="H516">
        <v>4</v>
      </c>
    </row>
    <row r="517" spans="1:8" x14ac:dyDescent="0.45">
      <c r="A517" t="s">
        <v>80</v>
      </c>
      <c r="B517" t="s">
        <v>20</v>
      </c>
      <c r="C517">
        <v>11</v>
      </c>
      <c r="D517" t="s">
        <v>34</v>
      </c>
      <c r="H517">
        <v>0</v>
      </c>
    </row>
    <row r="518" spans="1:8" x14ac:dyDescent="0.45">
      <c r="A518" t="s">
        <v>80</v>
      </c>
      <c r="B518" t="s">
        <v>21</v>
      </c>
      <c r="C518">
        <v>12</v>
      </c>
      <c r="D518" t="s">
        <v>19</v>
      </c>
      <c r="E518">
        <v>902430</v>
      </c>
      <c r="F518">
        <v>1761</v>
      </c>
      <c r="G518">
        <v>496</v>
      </c>
    </row>
    <row r="519" spans="1:8" x14ac:dyDescent="0.45">
      <c r="A519" t="s">
        <v>80</v>
      </c>
      <c r="B519" t="s">
        <v>21</v>
      </c>
      <c r="C519">
        <v>12</v>
      </c>
      <c r="D519" t="s">
        <v>27</v>
      </c>
      <c r="F519">
        <v>567</v>
      </c>
    </row>
    <row r="520" spans="1:8" x14ac:dyDescent="0.45">
      <c r="A520" t="s">
        <v>80</v>
      </c>
      <c r="B520" t="s">
        <v>21</v>
      </c>
      <c r="C520">
        <v>12</v>
      </c>
      <c r="D520" t="s">
        <v>28</v>
      </c>
      <c r="F520">
        <v>367</v>
      </c>
    </row>
    <row r="521" spans="1:8" x14ac:dyDescent="0.45">
      <c r="A521" t="s">
        <v>80</v>
      </c>
      <c r="B521" t="s">
        <v>21</v>
      </c>
      <c r="C521">
        <v>12</v>
      </c>
      <c r="D521" t="s">
        <v>29</v>
      </c>
      <c r="F521">
        <v>314</v>
      </c>
    </row>
    <row r="522" spans="1:8" x14ac:dyDescent="0.45">
      <c r="A522" t="s">
        <v>80</v>
      </c>
      <c r="B522" t="s">
        <v>20</v>
      </c>
      <c r="C522">
        <v>12</v>
      </c>
      <c r="D522" t="s">
        <v>19</v>
      </c>
      <c r="E522">
        <v>774610</v>
      </c>
      <c r="F522">
        <v>1339</v>
      </c>
      <c r="G522">
        <v>422</v>
      </c>
    </row>
    <row r="523" spans="1:8" x14ac:dyDescent="0.45">
      <c r="A523" t="s">
        <v>80</v>
      </c>
      <c r="B523" t="s">
        <v>20</v>
      </c>
      <c r="C523">
        <v>12</v>
      </c>
      <c r="D523" t="s">
        <v>27</v>
      </c>
      <c r="F523">
        <v>368</v>
      </c>
    </row>
    <row r="524" spans="1:8" x14ac:dyDescent="0.45">
      <c r="A524" t="s">
        <v>80</v>
      </c>
      <c r="B524" t="s">
        <v>20</v>
      </c>
      <c r="C524">
        <v>12</v>
      </c>
      <c r="D524" t="s">
        <v>28</v>
      </c>
      <c r="F524">
        <v>382</v>
      </c>
    </row>
    <row r="525" spans="1:8" x14ac:dyDescent="0.45">
      <c r="A525" t="s">
        <v>80</v>
      </c>
      <c r="B525" t="s">
        <v>20</v>
      </c>
      <c r="C525">
        <v>12</v>
      </c>
      <c r="D525" t="s">
        <v>29</v>
      </c>
      <c r="F525">
        <v>251</v>
      </c>
    </row>
    <row r="526" spans="1:8" x14ac:dyDescent="0.45">
      <c r="A526" t="s">
        <v>80</v>
      </c>
      <c r="B526" t="s">
        <v>20</v>
      </c>
      <c r="C526">
        <v>12</v>
      </c>
      <c r="D526" t="s">
        <v>31</v>
      </c>
      <c r="H526">
        <v>76</v>
      </c>
    </row>
    <row r="527" spans="1:8" x14ac:dyDescent="0.45">
      <c r="A527" t="s">
        <v>80</v>
      </c>
      <c r="B527" t="s">
        <v>20</v>
      </c>
      <c r="C527">
        <v>12</v>
      </c>
      <c r="D527" t="s">
        <v>32</v>
      </c>
      <c r="H527">
        <v>3</v>
      </c>
    </row>
    <row r="528" spans="1:8" x14ac:dyDescent="0.45">
      <c r="A528" t="s">
        <v>80</v>
      </c>
      <c r="B528" t="s">
        <v>20</v>
      </c>
      <c r="C528">
        <v>12</v>
      </c>
      <c r="D528" t="s">
        <v>34</v>
      </c>
      <c r="H528">
        <v>0</v>
      </c>
    </row>
    <row r="529" spans="1:8" x14ac:dyDescent="0.45">
      <c r="A529" t="s">
        <v>57</v>
      </c>
      <c r="B529" t="s">
        <v>21</v>
      </c>
      <c r="C529">
        <v>1</v>
      </c>
      <c r="D529" t="s">
        <v>19</v>
      </c>
      <c r="E529">
        <v>773735</v>
      </c>
      <c r="F529">
        <v>1987</v>
      </c>
      <c r="G529">
        <v>569</v>
      </c>
    </row>
    <row r="530" spans="1:8" x14ac:dyDescent="0.45">
      <c r="A530" t="s">
        <v>57</v>
      </c>
      <c r="B530" t="s">
        <v>21</v>
      </c>
      <c r="C530">
        <v>1</v>
      </c>
      <c r="D530" t="s">
        <v>27</v>
      </c>
      <c r="F530">
        <v>1063</v>
      </c>
    </row>
    <row r="531" spans="1:8" x14ac:dyDescent="0.45">
      <c r="A531" t="s">
        <v>57</v>
      </c>
      <c r="B531" t="s">
        <v>21</v>
      </c>
      <c r="C531">
        <v>1</v>
      </c>
      <c r="D531" t="s">
        <v>28</v>
      </c>
      <c r="F531">
        <v>298</v>
      </c>
    </row>
    <row r="532" spans="1:8" x14ac:dyDescent="0.45">
      <c r="A532" t="s">
        <v>57</v>
      </c>
      <c r="B532" t="s">
        <v>21</v>
      </c>
      <c r="C532">
        <v>1</v>
      </c>
      <c r="D532" t="s">
        <v>29</v>
      </c>
      <c r="F532">
        <v>205</v>
      </c>
    </row>
    <row r="533" spans="1:8" x14ac:dyDescent="0.45">
      <c r="A533" t="s">
        <v>57</v>
      </c>
      <c r="B533" t="s">
        <v>20</v>
      </c>
      <c r="C533">
        <v>1</v>
      </c>
      <c r="D533" t="s">
        <v>19</v>
      </c>
      <c r="E533">
        <v>884406</v>
      </c>
      <c r="F533">
        <v>2011</v>
      </c>
      <c r="G533">
        <v>615</v>
      </c>
    </row>
    <row r="534" spans="1:8" x14ac:dyDescent="0.45">
      <c r="A534" t="s">
        <v>57</v>
      </c>
      <c r="B534" t="s">
        <v>20</v>
      </c>
      <c r="C534">
        <v>1</v>
      </c>
      <c r="D534" t="s">
        <v>27</v>
      </c>
      <c r="F534">
        <v>886</v>
      </c>
    </row>
    <row r="535" spans="1:8" x14ac:dyDescent="0.45">
      <c r="A535" t="s">
        <v>57</v>
      </c>
      <c r="B535" t="s">
        <v>20</v>
      </c>
      <c r="C535">
        <v>1</v>
      </c>
      <c r="D535" t="s">
        <v>28</v>
      </c>
      <c r="F535">
        <v>327</v>
      </c>
    </row>
    <row r="536" spans="1:8" x14ac:dyDescent="0.45">
      <c r="A536" t="s">
        <v>57</v>
      </c>
      <c r="B536" t="s">
        <v>20</v>
      </c>
      <c r="C536">
        <v>1</v>
      </c>
      <c r="D536" t="s">
        <v>29</v>
      </c>
      <c r="F536">
        <v>237</v>
      </c>
    </row>
    <row r="537" spans="1:8" x14ac:dyDescent="0.45">
      <c r="A537" t="s">
        <v>57</v>
      </c>
      <c r="B537" t="s">
        <v>20</v>
      </c>
      <c r="C537">
        <v>1</v>
      </c>
      <c r="D537" t="s">
        <v>31</v>
      </c>
      <c r="H537">
        <v>60</v>
      </c>
    </row>
    <row r="538" spans="1:8" x14ac:dyDescent="0.45">
      <c r="A538" t="s">
        <v>57</v>
      </c>
      <c r="B538" t="s">
        <v>20</v>
      </c>
      <c r="C538">
        <v>1</v>
      </c>
      <c r="D538" t="s">
        <v>32</v>
      </c>
      <c r="H538">
        <v>0</v>
      </c>
    </row>
    <row r="539" spans="1:8" x14ac:dyDescent="0.45">
      <c r="A539" t="s">
        <v>57</v>
      </c>
      <c r="B539" t="s">
        <v>20</v>
      </c>
      <c r="C539">
        <v>1</v>
      </c>
      <c r="D539" t="s">
        <v>34</v>
      </c>
    </row>
    <row r="540" spans="1:8" x14ac:dyDescent="0.45">
      <c r="A540" t="s">
        <v>57</v>
      </c>
      <c r="B540" t="s">
        <v>21</v>
      </c>
      <c r="C540">
        <v>2</v>
      </c>
      <c r="D540" t="s">
        <v>19</v>
      </c>
      <c r="E540">
        <v>811164</v>
      </c>
      <c r="F540">
        <v>1994</v>
      </c>
      <c r="G540">
        <v>583</v>
      </c>
    </row>
    <row r="541" spans="1:8" x14ac:dyDescent="0.45">
      <c r="A541" t="s">
        <v>57</v>
      </c>
      <c r="B541" t="s">
        <v>21</v>
      </c>
      <c r="C541">
        <v>2</v>
      </c>
      <c r="D541" t="s">
        <v>27</v>
      </c>
      <c r="F541">
        <v>1088</v>
      </c>
    </row>
    <row r="542" spans="1:8" x14ac:dyDescent="0.45">
      <c r="A542" t="s">
        <v>57</v>
      </c>
      <c r="B542" t="s">
        <v>21</v>
      </c>
      <c r="C542">
        <v>2</v>
      </c>
      <c r="D542" t="s">
        <v>28</v>
      </c>
      <c r="F542">
        <v>278</v>
      </c>
    </row>
    <row r="543" spans="1:8" x14ac:dyDescent="0.45">
      <c r="A543" t="s">
        <v>57</v>
      </c>
      <c r="B543" t="s">
        <v>21</v>
      </c>
      <c r="C543">
        <v>2</v>
      </c>
      <c r="D543" t="s">
        <v>29</v>
      </c>
      <c r="F543">
        <v>179</v>
      </c>
    </row>
    <row r="544" spans="1:8" x14ac:dyDescent="0.45">
      <c r="A544" t="s">
        <v>57</v>
      </c>
      <c r="B544" t="s">
        <v>20</v>
      </c>
      <c r="C544">
        <v>2</v>
      </c>
      <c r="D544" t="s">
        <v>19</v>
      </c>
      <c r="E544">
        <v>749369</v>
      </c>
      <c r="F544">
        <v>1709</v>
      </c>
      <c r="G544">
        <v>525</v>
      </c>
    </row>
    <row r="545" spans="1:8" x14ac:dyDescent="0.45">
      <c r="A545" t="s">
        <v>57</v>
      </c>
      <c r="B545" t="s">
        <v>20</v>
      </c>
      <c r="C545">
        <v>2</v>
      </c>
      <c r="D545" t="s">
        <v>27</v>
      </c>
      <c r="F545">
        <v>824</v>
      </c>
    </row>
    <row r="546" spans="1:8" x14ac:dyDescent="0.45">
      <c r="A546" t="s">
        <v>57</v>
      </c>
      <c r="B546" t="s">
        <v>20</v>
      </c>
      <c r="C546">
        <v>2</v>
      </c>
      <c r="D546" t="s">
        <v>28</v>
      </c>
      <c r="F546">
        <v>257</v>
      </c>
    </row>
    <row r="547" spans="1:8" x14ac:dyDescent="0.45">
      <c r="A547" t="s">
        <v>57</v>
      </c>
      <c r="B547" t="s">
        <v>20</v>
      </c>
      <c r="C547">
        <v>2</v>
      </c>
      <c r="D547" t="s">
        <v>29</v>
      </c>
      <c r="F547">
        <v>178</v>
      </c>
    </row>
    <row r="548" spans="1:8" x14ac:dyDescent="0.45">
      <c r="A548" t="s">
        <v>57</v>
      </c>
      <c r="B548" t="s">
        <v>20</v>
      </c>
      <c r="C548">
        <v>2</v>
      </c>
      <c r="D548" t="s">
        <v>31</v>
      </c>
      <c r="H548">
        <v>48</v>
      </c>
    </row>
    <row r="549" spans="1:8" x14ac:dyDescent="0.45">
      <c r="A549" t="s">
        <v>57</v>
      </c>
      <c r="B549" t="s">
        <v>20</v>
      </c>
      <c r="C549">
        <v>2</v>
      </c>
      <c r="D549" t="s">
        <v>32</v>
      </c>
      <c r="H549">
        <v>5</v>
      </c>
    </row>
    <row r="550" spans="1:8" x14ac:dyDescent="0.45">
      <c r="A550" t="s">
        <v>57</v>
      </c>
      <c r="B550" t="s">
        <v>20</v>
      </c>
      <c r="C550">
        <v>2</v>
      </c>
      <c r="D550" t="s">
        <v>34</v>
      </c>
      <c r="H550">
        <v>3</v>
      </c>
    </row>
    <row r="551" spans="1:8" x14ac:dyDescent="0.45">
      <c r="A551" t="s">
        <v>57</v>
      </c>
      <c r="B551" t="s">
        <v>21</v>
      </c>
      <c r="C551">
        <v>3</v>
      </c>
      <c r="D551" t="s">
        <v>19</v>
      </c>
      <c r="E551">
        <v>1623776</v>
      </c>
      <c r="F551">
        <v>3102</v>
      </c>
      <c r="G551">
        <v>853</v>
      </c>
    </row>
    <row r="552" spans="1:8" x14ac:dyDescent="0.45">
      <c r="A552" t="s">
        <v>57</v>
      </c>
      <c r="B552" t="s">
        <v>21</v>
      </c>
      <c r="C552">
        <v>3</v>
      </c>
      <c r="D552" t="s">
        <v>27</v>
      </c>
      <c r="F552">
        <v>1232</v>
      </c>
    </row>
    <row r="553" spans="1:8" x14ac:dyDescent="0.45">
      <c r="A553" t="s">
        <v>57</v>
      </c>
      <c r="B553" t="s">
        <v>21</v>
      </c>
      <c r="C553">
        <v>3</v>
      </c>
      <c r="D553" t="s">
        <v>28</v>
      </c>
      <c r="F553">
        <v>411</v>
      </c>
    </row>
    <row r="554" spans="1:8" x14ac:dyDescent="0.45">
      <c r="A554" t="s">
        <v>57</v>
      </c>
      <c r="B554" t="s">
        <v>21</v>
      </c>
      <c r="C554">
        <v>3</v>
      </c>
      <c r="D554" t="s">
        <v>29</v>
      </c>
      <c r="F554">
        <v>328</v>
      </c>
    </row>
    <row r="555" spans="1:8" x14ac:dyDescent="0.45">
      <c r="A555" t="s">
        <v>57</v>
      </c>
      <c r="B555" t="s">
        <v>20</v>
      </c>
      <c r="C555">
        <v>3</v>
      </c>
      <c r="D555" t="s">
        <v>19</v>
      </c>
      <c r="E555">
        <v>1430748</v>
      </c>
      <c r="F555">
        <v>2636</v>
      </c>
      <c r="G555">
        <v>798</v>
      </c>
    </row>
    <row r="556" spans="1:8" x14ac:dyDescent="0.45">
      <c r="A556" t="s">
        <v>57</v>
      </c>
      <c r="B556" t="s">
        <v>20</v>
      </c>
      <c r="C556">
        <v>3</v>
      </c>
      <c r="D556" t="s">
        <v>27</v>
      </c>
      <c r="F556">
        <v>939</v>
      </c>
    </row>
    <row r="557" spans="1:8" x14ac:dyDescent="0.45">
      <c r="A557" t="s">
        <v>57</v>
      </c>
      <c r="B557" t="s">
        <v>20</v>
      </c>
      <c r="C557">
        <v>3</v>
      </c>
      <c r="D557" t="s">
        <v>28</v>
      </c>
      <c r="F557">
        <v>415</v>
      </c>
    </row>
    <row r="558" spans="1:8" x14ac:dyDescent="0.45">
      <c r="A558" t="s">
        <v>57</v>
      </c>
      <c r="B558" t="s">
        <v>20</v>
      </c>
      <c r="C558">
        <v>3</v>
      </c>
      <c r="D558" t="s">
        <v>29</v>
      </c>
      <c r="F558">
        <v>285</v>
      </c>
    </row>
    <row r="559" spans="1:8" x14ac:dyDescent="0.45">
      <c r="A559" t="s">
        <v>57</v>
      </c>
      <c r="B559" t="s">
        <v>20</v>
      </c>
      <c r="C559">
        <v>3</v>
      </c>
      <c r="D559" t="s">
        <v>31</v>
      </c>
      <c r="H559">
        <v>34</v>
      </c>
    </row>
    <row r="560" spans="1:8" x14ac:dyDescent="0.45">
      <c r="A560" t="s">
        <v>57</v>
      </c>
      <c r="B560" t="s">
        <v>20</v>
      </c>
      <c r="C560">
        <v>3</v>
      </c>
      <c r="D560" t="s">
        <v>32</v>
      </c>
      <c r="H560">
        <v>6</v>
      </c>
    </row>
    <row r="561" spans="1:8" x14ac:dyDescent="0.45">
      <c r="A561" t="s">
        <v>57</v>
      </c>
      <c r="B561" t="s">
        <v>20</v>
      </c>
      <c r="C561">
        <v>3</v>
      </c>
      <c r="D561" t="s">
        <v>34</v>
      </c>
      <c r="H561">
        <v>4</v>
      </c>
    </row>
    <row r="562" spans="1:8" x14ac:dyDescent="0.45">
      <c r="A562" t="s">
        <v>57</v>
      </c>
      <c r="B562" t="s">
        <v>21</v>
      </c>
      <c r="C562">
        <v>4</v>
      </c>
      <c r="D562" t="s">
        <v>19</v>
      </c>
      <c r="E562">
        <v>2041908</v>
      </c>
      <c r="F562">
        <v>3631</v>
      </c>
      <c r="G562">
        <v>432</v>
      </c>
    </row>
    <row r="563" spans="1:8" x14ac:dyDescent="0.45">
      <c r="A563" t="s">
        <v>57</v>
      </c>
      <c r="B563" t="s">
        <v>21</v>
      </c>
      <c r="C563">
        <v>4</v>
      </c>
      <c r="D563" t="s">
        <v>27</v>
      </c>
      <c r="F563">
        <v>1190</v>
      </c>
    </row>
    <row r="564" spans="1:8" x14ac:dyDescent="0.45">
      <c r="A564" t="s">
        <v>57</v>
      </c>
      <c r="B564" t="s">
        <v>21</v>
      </c>
      <c r="C564">
        <v>4</v>
      </c>
      <c r="D564" t="s">
        <v>28</v>
      </c>
      <c r="F564">
        <v>516</v>
      </c>
    </row>
    <row r="565" spans="1:8" x14ac:dyDescent="0.45">
      <c r="A565" t="s">
        <v>57</v>
      </c>
      <c r="B565" t="s">
        <v>21</v>
      </c>
      <c r="C565">
        <v>4</v>
      </c>
      <c r="D565" t="s">
        <v>29</v>
      </c>
      <c r="F565">
        <v>457</v>
      </c>
    </row>
    <row r="566" spans="1:8" x14ac:dyDescent="0.45">
      <c r="A566" t="s">
        <v>57</v>
      </c>
      <c r="B566" t="s">
        <v>20</v>
      </c>
      <c r="C566">
        <v>4</v>
      </c>
      <c r="D566" t="s">
        <v>19</v>
      </c>
      <c r="E566">
        <v>2225800</v>
      </c>
      <c r="F566">
        <v>3667</v>
      </c>
    </row>
    <row r="567" spans="1:8" x14ac:dyDescent="0.45">
      <c r="A567" t="s">
        <v>57</v>
      </c>
      <c r="B567" t="s">
        <v>20</v>
      </c>
      <c r="C567">
        <v>4</v>
      </c>
      <c r="D567" t="s">
        <v>27</v>
      </c>
      <c r="F567">
        <v>906</v>
      </c>
    </row>
    <row r="568" spans="1:8" x14ac:dyDescent="0.45">
      <c r="A568" t="s">
        <v>57</v>
      </c>
      <c r="B568" t="s">
        <v>20</v>
      </c>
      <c r="C568">
        <v>4</v>
      </c>
      <c r="D568" t="s">
        <v>28</v>
      </c>
      <c r="F568">
        <v>509</v>
      </c>
    </row>
    <row r="569" spans="1:8" x14ac:dyDescent="0.45">
      <c r="A569" t="s">
        <v>57</v>
      </c>
      <c r="B569" t="s">
        <v>20</v>
      </c>
      <c r="C569">
        <v>4</v>
      </c>
      <c r="D569" t="s">
        <v>29</v>
      </c>
      <c r="F569">
        <v>489</v>
      </c>
    </row>
    <row r="570" spans="1:8" x14ac:dyDescent="0.45">
      <c r="A570" t="s">
        <v>57</v>
      </c>
      <c r="B570" t="s">
        <v>20</v>
      </c>
      <c r="C570">
        <v>4</v>
      </c>
      <c r="D570" t="s">
        <v>31</v>
      </c>
      <c r="H570">
        <v>46</v>
      </c>
    </row>
    <row r="571" spans="1:8" x14ac:dyDescent="0.45">
      <c r="A571" t="s">
        <v>57</v>
      </c>
      <c r="B571" t="s">
        <v>20</v>
      </c>
      <c r="C571">
        <v>4</v>
      </c>
      <c r="D571" t="s">
        <v>32</v>
      </c>
      <c r="H571">
        <v>10</v>
      </c>
    </row>
    <row r="572" spans="1:8" x14ac:dyDescent="0.45">
      <c r="A572" t="s">
        <v>57</v>
      </c>
      <c r="B572" t="s">
        <v>20</v>
      </c>
      <c r="C572">
        <v>4</v>
      </c>
      <c r="D572" t="s">
        <v>34</v>
      </c>
      <c r="H572">
        <v>4</v>
      </c>
    </row>
    <row r="573" spans="1:8" x14ac:dyDescent="0.45">
      <c r="A573" t="s">
        <v>57</v>
      </c>
      <c r="B573" t="s">
        <v>21</v>
      </c>
      <c r="C573">
        <v>5</v>
      </c>
      <c r="D573" t="s">
        <v>19</v>
      </c>
      <c r="E573">
        <v>1933014</v>
      </c>
      <c r="F573">
        <v>3327</v>
      </c>
      <c r="G573">
        <v>897</v>
      </c>
    </row>
    <row r="574" spans="1:8" x14ac:dyDescent="0.45">
      <c r="A574" t="s">
        <v>57</v>
      </c>
      <c r="B574" t="s">
        <v>21</v>
      </c>
      <c r="C574">
        <v>5</v>
      </c>
      <c r="D574" t="s">
        <v>27</v>
      </c>
      <c r="F574">
        <v>1060</v>
      </c>
    </row>
    <row r="575" spans="1:8" x14ac:dyDescent="0.45">
      <c r="A575" t="s">
        <v>57</v>
      </c>
      <c r="B575" t="s">
        <v>21</v>
      </c>
      <c r="C575">
        <v>5</v>
      </c>
      <c r="D575" t="s">
        <v>28</v>
      </c>
      <c r="F575">
        <v>545</v>
      </c>
    </row>
    <row r="576" spans="1:8" x14ac:dyDescent="0.45">
      <c r="A576" t="s">
        <v>57</v>
      </c>
      <c r="B576" t="s">
        <v>21</v>
      </c>
      <c r="C576">
        <v>5</v>
      </c>
      <c r="D576" t="s">
        <v>29</v>
      </c>
      <c r="F576">
        <v>398</v>
      </c>
    </row>
    <row r="577" spans="1:8" x14ac:dyDescent="0.45">
      <c r="A577" t="s">
        <v>57</v>
      </c>
      <c r="B577" t="s">
        <v>20</v>
      </c>
      <c r="C577">
        <v>5</v>
      </c>
      <c r="D577" t="s">
        <v>19</v>
      </c>
      <c r="E577">
        <v>1598155</v>
      </c>
      <c r="F577">
        <v>2705</v>
      </c>
      <c r="G577">
        <v>758</v>
      </c>
    </row>
    <row r="578" spans="1:8" x14ac:dyDescent="0.45">
      <c r="A578" t="s">
        <v>57</v>
      </c>
      <c r="B578" t="s">
        <v>20</v>
      </c>
      <c r="C578">
        <v>5</v>
      </c>
      <c r="D578" t="s">
        <v>27</v>
      </c>
      <c r="F578">
        <v>776</v>
      </c>
    </row>
    <row r="579" spans="1:8" x14ac:dyDescent="0.45">
      <c r="A579" t="s">
        <v>57</v>
      </c>
      <c r="B579" t="s">
        <v>20</v>
      </c>
      <c r="C579">
        <v>5</v>
      </c>
      <c r="D579" t="s">
        <v>28</v>
      </c>
      <c r="F579">
        <v>432</v>
      </c>
    </row>
    <row r="580" spans="1:8" x14ac:dyDescent="0.45">
      <c r="A580" t="s">
        <v>57</v>
      </c>
      <c r="B580" t="s">
        <v>20</v>
      </c>
      <c r="C580">
        <v>5</v>
      </c>
      <c r="D580" t="s">
        <v>29</v>
      </c>
      <c r="F580">
        <v>307</v>
      </c>
    </row>
    <row r="581" spans="1:8" x14ac:dyDescent="0.45">
      <c r="A581" t="s">
        <v>57</v>
      </c>
      <c r="B581" t="s">
        <v>20</v>
      </c>
      <c r="C581">
        <v>5</v>
      </c>
      <c r="D581" t="s">
        <v>31</v>
      </c>
      <c r="H581">
        <v>77</v>
      </c>
    </row>
    <row r="582" spans="1:8" x14ac:dyDescent="0.45">
      <c r="A582" t="s">
        <v>57</v>
      </c>
      <c r="B582" t="s">
        <v>20</v>
      </c>
      <c r="C582">
        <v>5</v>
      </c>
      <c r="D582" t="s">
        <v>32</v>
      </c>
      <c r="H582">
        <v>1</v>
      </c>
    </row>
    <row r="583" spans="1:8" x14ac:dyDescent="0.45">
      <c r="A583" t="s">
        <v>57</v>
      </c>
      <c r="B583" t="s">
        <v>20</v>
      </c>
      <c r="C583">
        <v>5</v>
      </c>
      <c r="D583" t="s">
        <v>34</v>
      </c>
      <c r="H583">
        <v>3</v>
      </c>
    </row>
    <row r="584" spans="1:8" x14ac:dyDescent="0.45">
      <c r="A584" t="s">
        <v>57</v>
      </c>
      <c r="B584" t="s">
        <v>21</v>
      </c>
      <c r="C584">
        <v>6</v>
      </c>
      <c r="D584" t="s">
        <v>19</v>
      </c>
      <c r="E584">
        <v>1685803</v>
      </c>
      <c r="F584">
        <v>3118</v>
      </c>
      <c r="G584">
        <v>869</v>
      </c>
    </row>
    <row r="585" spans="1:8" x14ac:dyDescent="0.45">
      <c r="A585" t="s">
        <v>57</v>
      </c>
      <c r="B585" t="s">
        <v>21</v>
      </c>
      <c r="C585">
        <v>6</v>
      </c>
      <c r="D585" t="s">
        <v>27</v>
      </c>
      <c r="F585">
        <v>1163</v>
      </c>
    </row>
    <row r="586" spans="1:8" x14ac:dyDescent="0.45">
      <c r="A586" t="s">
        <v>57</v>
      </c>
      <c r="B586" t="s">
        <v>21</v>
      </c>
      <c r="C586">
        <v>6</v>
      </c>
      <c r="D586" t="s">
        <v>28</v>
      </c>
      <c r="F586">
        <v>509</v>
      </c>
    </row>
    <row r="587" spans="1:8" x14ac:dyDescent="0.45">
      <c r="A587" t="s">
        <v>57</v>
      </c>
      <c r="B587" t="s">
        <v>21</v>
      </c>
      <c r="C587">
        <v>6</v>
      </c>
      <c r="D587" t="s">
        <v>29</v>
      </c>
      <c r="F587">
        <v>322</v>
      </c>
    </row>
    <row r="588" spans="1:8" x14ac:dyDescent="0.45">
      <c r="A588" t="s">
        <v>57</v>
      </c>
      <c r="B588" t="s">
        <v>20</v>
      </c>
      <c r="C588">
        <v>6</v>
      </c>
      <c r="D588" t="s">
        <v>19</v>
      </c>
      <c r="E588">
        <v>1466915</v>
      </c>
      <c r="F588">
        <v>2590</v>
      </c>
      <c r="G588">
        <v>755</v>
      </c>
    </row>
    <row r="589" spans="1:8" x14ac:dyDescent="0.45">
      <c r="A589" t="s">
        <v>57</v>
      </c>
      <c r="B589" t="s">
        <v>20</v>
      </c>
      <c r="C589">
        <v>6</v>
      </c>
      <c r="D589" t="s">
        <v>27</v>
      </c>
      <c r="F589">
        <v>930</v>
      </c>
    </row>
    <row r="590" spans="1:8" x14ac:dyDescent="0.45">
      <c r="A590" t="s">
        <v>57</v>
      </c>
      <c r="B590" t="s">
        <v>20</v>
      </c>
      <c r="C590">
        <v>6</v>
      </c>
      <c r="D590" t="s">
        <v>28</v>
      </c>
      <c r="F590">
        <v>430</v>
      </c>
    </row>
    <row r="591" spans="1:8" x14ac:dyDescent="0.45">
      <c r="A591" t="s">
        <v>57</v>
      </c>
      <c r="B591" t="s">
        <v>20</v>
      </c>
      <c r="C591">
        <v>6</v>
      </c>
      <c r="D591" t="s">
        <v>29</v>
      </c>
      <c r="F591">
        <v>291</v>
      </c>
    </row>
    <row r="592" spans="1:8" x14ac:dyDescent="0.45">
      <c r="A592" t="s">
        <v>57</v>
      </c>
      <c r="B592" t="s">
        <v>20</v>
      </c>
      <c r="C592">
        <v>6</v>
      </c>
      <c r="D592" t="s">
        <v>31</v>
      </c>
      <c r="H592">
        <v>25</v>
      </c>
    </row>
    <row r="593" spans="1:8" x14ac:dyDescent="0.45">
      <c r="A593" t="s">
        <v>57</v>
      </c>
      <c r="B593" t="s">
        <v>20</v>
      </c>
      <c r="C593">
        <v>6</v>
      </c>
      <c r="D593" t="s">
        <v>32</v>
      </c>
      <c r="H593">
        <v>3</v>
      </c>
    </row>
    <row r="594" spans="1:8" x14ac:dyDescent="0.45">
      <c r="A594" t="s">
        <v>57</v>
      </c>
      <c r="B594" t="s">
        <v>20</v>
      </c>
      <c r="C594">
        <v>6</v>
      </c>
      <c r="D594" t="s">
        <v>34</v>
      </c>
      <c r="H594">
        <v>5</v>
      </c>
    </row>
    <row r="595" spans="1:8" x14ac:dyDescent="0.45">
      <c r="A595" t="s">
        <v>57</v>
      </c>
      <c r="B595" t="s">
        <v>21</v>
      </c>
      <c r="C595">
        <v>7</v>
      </c>
      <c r="D595" t="s">
        <v>19</v>
      </c>
      <c r="E595">
        <v>1166219</v>
      </c>
      <c r="F595">
        <v>2390</v>
      </c>
      <c r="G595">
        <v>747</v>
      </c>
    </row>
    <row r="596" spans="1:8" x14ac:dyDescent="0.45">
      <c r="A596" t="s">
        <v>57</v>
      </c>
      <c r="B596" t="s">
        <v>21</v>
      </c>
      <c r="C596">
        <v>7</v>
      </c>
      <c r="D596" t="s">
        <v>27</v>
      </c>
      <c r="F596">
        <v>1041</v>
      </c>
    </row>
    <row r="597" spans="1:8" x14ac:dyDescent="0.45">
      <c r="A597" t="s">
        <v>57</v>
      </c>
      <c r="B597" t="s">
        <v>21</v>
      </c>
      <c r="C597">
        <v>7</v>
      </c>
      <c r="D597" t="s">
        <v>28</v>
      </c>
      <c r="F597">
        <v>481</v>
      </c>
    </row>
    <row r="598" spans="1:8" x14ac:dyDescent="0.45">
      <c r="A598" t="s">
        <v>57</v>
      </c>
      <c r="B598" t="s">
        <v>21</v>
      </c>
      <c r="C598">
        <v>7</v>
      </c>
      <c r="D598" t="s">
        <v>29</v>
      </c>
      <c r="F598">
        <v>208</v>
      </c>
    </row>
    <row r="599" spans="1:8" x14ac:dyDescent="0.45">
      <c r="A599" t="s">
        <v>57</v>
      </c>
      <c r="B599" t="s">
        <v>20</v>
      </c>
      <c r="C599">
        <v>7</v>
      </c>
      <c r="D599" t="s">
        <v>19</v>
      </c>
      <c r="E599">
        <v>1081145</v>
      </c>
      <c r="F599">
        <v>2094</v>
      </c>
      <c r="G599">
        <v>672</v>
      </c>
    </row>
    <row r="600" spans="1:8" x14ac:dyDescent="0.45">
      <c r="A600" t="s">
        <v>57</v>
      </c>
      <c r="B600" t="s">
        <v>20</v>
      </c>
      <c r="C600">
        <v>7</v>
      </c>
      <c r="D600" t="s">
        <v>27</v>
      </c>
      <c r="F600">
        <v>803</v>
      </c>
    </row>
    <row r="601" spans="1:8" x14ac:dyDescent="0.45">
      <c r="A601" t="s">
        <v>57</v>
      </c>
      <c r="B601" t="s">
        <v>20</v>
      </c>
      <c r="C601">
        <v>7</v>
      </c>
      <c r="D601" t="s">
        <v>28</v>
      </c>
      <c r="F601">
        <v>390</v>
      </c>
    </row>
    <row r="602" spans="1:8" x14ac:dyDescent="0.45">
      <c r="A602" t="s">
        <v>57</v>
      </c>
      <c r="B602" t="s">
        <v>20</v>
      </c>
      <c r="C602">
        <v>7</v>
      </c>
      <c r="D602" t="s">
        <v>29</v>
      </c>
      <c r="F602">
        <v>201</v>
      </c>
    </row>
    <row r="603" spans="1:8" x14ac:dyDescent="0.45">
      <c r="A603" t="s">
        <v>57</v>
      </c>
      <c r="B603" t="s">
        <v>20</v>
      </c>
      <c r="C603">
        <v>7</v>
      </c>
      <c r="D603" t="s">
        <v>31</v>
      </c>
      <c r="H603">
        <v>83</v>
      </c>
    </row>
    <row r="604" spans="1:8" x14ac:dyDescent="0.45">
      <c r="A604" t="s">
        <v>57</v>
      </c>
      <c r="B604" t="s">
        <v>20</v>
      </c>
      <c r="C604">
        <v>7</v>
      </c>
      <c r="D604" t="s">
        <v>32</v>
      </c>
      <c r="H604">
        <v>7</v>
      </c>
    </row>
    <row r="605" spans="1:8" x14ac:dyDescent="0.45">
      <c r="A605" t="s">
        <v>57</v>
      </c>
      <c r="B605" t="s">
        <v>20</v>
      </c>
      <c r="C605">
        <v>7</v>
      </c>
      <c r="D605" t="s">
        <v>34</v>
      </c>
      <c r="H605">
        <v>4</v>
      </c>
    </row>
    <row r="606" spans="1:8" x14ac:dyDescent="0.45">
      <c r="A606" t="s">
        <v>57</v>
      </c>
      <c r="B606" t="s">
        <v>21</v>
      </c>
      <c r="C606">
        <v>8</v>
      </c>
      <c r="D606" t="s">
        <v>19</v>
      </c>
      <c r="E606">
        <v>868789</v>
      </c>
      <c r="F606">
        <v>2130</v>
      </c>
      <c r="G606">
        <v>645</v>
      </c>
    </row>
    <row r="607" spans="1:8" x14ac:dyDescent="0.45">
      <c r="A607" t="s">
        <v>57</v>
      </c>
      <c r="B607" t="s">
        <v>21</v>
      </c>
      <c r="C607">
        <v>8</v>
      </c>
      <c r="D607" t="s">
        <v>27</v>
      </c>
      <c r="F607">
        <v>1035</v>
      </c>
      <c r="G607">
        <v>853</v>
      </c>
    </row>
    <row r="608" spans="1:8" x14ac:dyDescent="0.45">
      <c r="A608" t="s">
        <v>57</v>
      </c>
      <c r="B608" t="s">
        <v>21</v>
      </c>
      <c r="C608">
        <v>8</v>
      </c>
      <c r="D608" t="s">
        <v>28</v>
      </c>
      <c r="F608">
        <v>437</v>
      </c>
      <c r="G608">
        <v>1012</v>
      </c>
    </row>
    <row r="609" spans="1:8" x14ac:dyDescent="0.45">
      <c r="A609" t="s">
        <v>57</v>
      </c>
      <c r="B609" t="s">
        <v>21</v>
      </c>
      <c r="C609">
        <v>8</v>
      </c>
      <c r="D609" t="s">
        <v>29</v>
      </c>
      <c r="F609">
        <v>179</v>
      </c>
      <c r="G609">
        <v>852</v>
      </c>
    </row>
    <row r="610" spans="1:8" x14ac:dyDescent="0.45">
      <c r="A610" t="s">
        <v>57</v>
      </c>
      <c r="B610" t="s">
        <v>20</v>
      </c>
      <c r="C610">
        <v>8</v>
      </c>
      <c r="D610" t="s">
        <v>19</v>
      </c>
      <c r="E610">
        <v>912225</v>
      </c>
      <c r="F610">
        <v>1865</v>
      </c>
      <c r="G610">
        <v>599</v>
      </c>
    </row>
    <row r="611" spans="1:8" x14ac:dyDescent="0.45">
      <c r="A611" t="s">
        <v>57</v>
      </c>
      <c r="B611" t="s">
        <v>20</v>
      </c>
      <c r="C611">
        <v>8</v>
      </c>
      <c r="D611" t="s">
        <v>27</v>
      </c>
      <c r="F611">
        <v>783</v>
      </c>
      <c r="G611">
        <v>1154</v>
      </c>
    </row>
    <row r="612" spans="1:8" x14ac:dyDescent="0.45">
      <c r="A612" t="s">
        <v>57</v>
      </c>
      <c r="B612" t="s">
        <v>20</v>
      </c>
      <c r="C612">
        <v>8</v>
      </c>
      <c r="D612" t="s">
        <v>28</v>
      </c>
      <c r="F612">
        <v>385</v>
      </c>
      <c r="G612">
        <v>903</v>
      </c>
    </row>
    <row r="613" spans="1:8" x14ac:dyDescent="0.45">
      <c r="A613" t="s">
        <v>57</v>
      </c>
      <c r="B613" t="s">
        <v>20</v>
      </c>
      <c r="C613">
        <v>8</v>
      </c>
      <c r="D613" t="s">
        <v>29</v>
      </c>
      <c r="F613">
        <v>194</v>
      </c>
      <c r="G613">
        <v>956</v>
      </c>
    </row>
    <row r="614" spans="1:8" x14ac:dyDescent="0.45">
      <c r="A614" t="s">
        <v>57</v>
      </c>
      <c r="B614" t="s">
        <v>20</v>
      </c>
      <c r="C614">
        <v>8</v>
      </c>
      <c r="D614" t="s">
        <v>31</v>
      </c>
      <c r="H614">
        <v>13</v>
      </c>
    </row>
    <row r="615" spans="1:8" x14ac:dyDescent="0.45">
      <c r="A615" t="s">
        <v>57</v>
      </c>
      <c r="B615" t="s">
        <v>20</v>
      </c>
      <c r="C615">
        <v>8</v>
      </c>
      <c r="D615" t="s">
        <v>32</v>
      </c>
      <c r="H615">
        <v>2</v>
      </c>
    </row>
    <row r="616" spans="1:8" x14ac:dyDescent="0.45">
      <c r="A616" t="s">
        <v>57</v>
      </c>
      <c r="B616" t="s">
        <v>20</v>
      </c>
      <c r="C616">
        <v>8</v>
      </c>
      <c r="D616" t="s">
        <v>34</v>
      </c>
      <c r="H616">
        <v>3</v>
      </c>
    </row>
    <row r="617" spans="1:8" x14ac:dyDescent="0.45">
      <c r="A617" t="s">
        <v>57</v>
      </c>
      <c r="B617" t="s">
        <v>21</v>
      </c>
      <c r="C617">
        <v>9</v>
      </c>
      <c r="D617" t="s">
        <v>19</v>
      </c>
      <c r="E617">
        <v>844719</v>
      </c>
      <c r="F617">
        <v>2207</v>
      </c>
      <c r="G617">
        <v>621</v>
      </c>
    </row>
    <row r="618" spans="1:8" x14ac:dyDescent="0.45">
      <c r="A618" t="s">
        <v>57</v>
      </c>
      <c r="B618" t="s">
        <v>21</v>
      </c>
      <c r="C618">
        <v>9</v>
      </c>
      <c r="D618" t="s">
        <v>27</v>
      </c>
      <c r="F618">
        <v>1125</v>
      </c>
    </row>
    <row r="619" spans="1:8" x14ac:dyDescent="0.45">
      <c r="A619" t="s">
        <v>57</v>
      </c>
      <c r="B619" t="s">
        <v>21</v>
      </c>
      <c r="C619">
        <v>9</v>
      </c>
      <c r="D619" t="s">
        <v>28</v>
      </c>
      <c r="F619">
        <v>389</v>
      </c>
    </row>
    <row r="620" spans="1:8" x14ac:dyDescent="0.45">
      <c r="A620" t="s">
        <v>57</v>
      </c>
      <c r="B620" t="s">
        <v>21</v>
      </c>
      <c r="C620">
        <v>9</v>
      </c>
      <c r="D620" t="s">
        <v>29</v>
      </c>
      <c r="F620">
        <v>206</v>
      </c>
    </row>
    <row r="621" spans="1:8" x14ac:dyDescent="0.45">
      <c r="A621" t="s">
        <v>57</v>
      </c>
      <c r="B621" t="s">
        <v>20</v>
      </c>
      <c r="C621">
        <v>9</v>
      </c>
      <c r="D621" t="s">
        <v>19</v>
      </c>
      <c r="E621">
        <v>809622</v>
      </c>
      <c r="F621">
        <v>1932</v>
      </c>
      <c r="G621">
        <v>595</v>
      </c>
    </row>
    <row r="622" spans="1:8" x14ac:dyDescent="0.45">
      <c r="A622" t="s">
        <v>57</v>
      </c>
      <c r="B622" t="s">
        <v>20</v>
      </c>
      <c r="C622">
        <v>9</v>
      </c>
      <c r="D622" t="s">
        <v>27</v>
      </c>
      <c r="F622">
        <v>944</v>
      </c>
    </row>
    <row r="623" spans="1:8" x14ac:dyDescent="0.45">
      <c r="A623" t="s">
        <v>57</v>
      </c>
      <c r="B623" t="s">
        <v>20</v>
      </c>
      <c r="C623">
        <v>9</v>
      </c>
      <c r="D623" t="s">
        <v>28</v>
      </c>
      <c r="F623">
        <v>441</v>
      </c>
    </row>
    <row r="624" spans="1:8" x14ac:dyDescent="0.45">
      <c r="A624" t="s">
        <v>57</v>
      </c>
      <c r="B624" t="s">
        <v>20</v>
      </c>
      <c r="C624">
        <v>9</v>
      </c>
      <c r="D624" t="s">
        <v>29</v>
      </c>
      <c r="F624">
        <v>187</v>
      </c>
    </row>
    <row r="625" spans="1:8" x14ac:dyDescent="0.45">
      <c r="A625" t="s">
        <v>57</v>
      </c>
      <c r="B625" t="s">
        <v>20</v>
      </c>
      <c r="C625">
        <v>9</v>
      </c>
      <c r="D625" t="s">
        <v>31</v>
      </c>
      <c r="H625">
        <v>57</v>
      </c>
    </row>
    <row r="626" spans="1:8" x14ac:dyDescent="0.45">
      <c r="A626" t="s">
        <v>57</v>
      </c>
      <c r="B626" t="s">
        <v>20</v>
      </c>
      <c r="C626">
        <v>9</v>
      </c>
      <c r="D626" t="s">
        <v>32</v>
      </c>
      <c r="H626">
        <v>15</v>
      </c>
    </row>
    <row r="627" spans="1:8" x14ac:dyDescent="0.45">
      <c r="A627" t="s">
        <v>57</v>
      </c>
      <c r="B627" t="s">
        <v>20</v>
      </c>
      <c r="C627">
        <v>9</v>
      </c>
      <c r="D627" t="s">
        <v>34</v>
      </c>
      <c r="H627">
        <v>2</v>
      </c>
    </row>
    <row r="628" spans="1:8" x14ac:dyDescent="0.45">
      <c r="A628" t="s">
        <v>57</v>
      </c>
      <c r="B628" t="s">
        <v>21</v>
      </c>
      <c r="C628">
        <v>10</v>
      </c>
      <c r="D628" t="s">
        <v>19</v>
      </c>
      <c r="E628">
        <v>1354050</v>
      </c>
      <c r="F628">
        <v>3333</v>
      </c>
      <c r="G628">
        <v>865</v>
      </c>
    </row>
    <row r="629" spans="1:8" x14ac:dyDescent="0.45">
      <c r="A629" t="s">
        <v>57</v>
      </c>
      <c r="B629" t="s">
        <v>21</v>
      </c>
      <c r="C629">
        <v>10</v>
      </c>
      <c r="D629" t="s">
        <v>27</v>
      </c>
      <c r="F629">
        <v>1476</v>
      </c>
    </row>
    <row r="630" spans="1:8" x14ac:dyDescent="0.45">
      <c r="A630" t="s">
        <v>57</v>
      </c>
      <c r="B630" t="s">
        <v>21</v>
      </c>
      <c r="C630">
        <v>10</v>
      </c>
      <c r="D630" t="s">
        <v>28</v>
      </c>
      <c r="F630">
        <v>584</v>
      </c>
    </row>
    <row r="631" spans="1:8" x14ac:dyDescent="0.45">
      <c r="A631" t="s">
        <v>57</v>
      </c>
      <c r="B631" t="s">
        <v>21</v>
      </c>
      <c r="C631">
        <v>10</v>
      </c>
      <c r="D631" t="s">
        <v>29</v>
      </c>
      <c r="F631">
        <v>295</v>
      </c>
    </row>
    <row r="632" spans="1:8" x14ac:dyDescent="0.45">
      <c r="A632" t="s">
        <v>57</v>
      </c>
      <c r="B632" t="s">
        <v>20</v>
      </c>
      <c r="C632">
        <v>10</v>
      </c>
      <c r="D632" t="s">
        <v>19</v>
      </c>
      <c r="E632">
        <v>1272685</v>
      </c>
      <c r="F632">
        <v>2644</v>
      </c>
      <c r="G632">
        <v>783</v>
      </c>
    </row>
    <row r="633" spans="1:8" x14ac:dyDescent="0.45">
      <c r="A633" t="s">
        <v>57</v>
      </c>
      <c r="B633" t="s">
        <v>20</v>
      </c>
      <c r="C633">
        <v>10</v>
      </c>
      <c r="D633" t="s">
        <v>27</v>
      </c>
      <c r="F633">
        <v>1078</v>
      </c>
    </row>
    <row r="634" spans="1:8" x14ac:dyDescent="0.45">
      <c r="A634" t="s">
        <v>57</v>
      </c>
      <c r="B634" t="s">
        <v>20</v>
      </c>
      <c r="C634">
        <v>10</v>
      </c>
      <c r="D634" t="s">
        <v>28</v>
      </c>
      <c r="F634">
        <v>506</v>
      </c>
    </row>
    <row r="635" spans="1:8" x14ac:dyDescent="0.45">
      <c r="A635" t="s">
        <v>57</v>
      </c>
      <c r="B635" t="s">
        <v>20</v>
      </c>
      <c r="C635">
        <v>10</v>
      </c>
      <c r="D635" t="s">
        <v>29</v>
      </c>
      <c r="F635">
        <v>322</v>
      </c>
    </row>
    <row r="636" spans="1:8" x14ac:dyDescent="0.45">
      <c r="A636" t="s">
        <v>57</v>
      </c>
      <c r="B636" t="s">
        <v>20</v>
      </c>
      <c r="C636">
        <v>10</v>
      </c>
      <c r="D636" t="s">
        <v>31</v>
      </c>
      <c r="H636">
        <v>70</v>
      </c>
    </row>
    <row r="637" spans="1:8" x14ac:dyDescent="0.45">
      <c r="A637" t="s">
        <v>57</v>
      </c>
      <c r="B637" t="s">
        <v>20</v>
      </c>
      <c r="C637">
        <v>10</v>
      </c>
      <c r="D637" t="s">
        <v>32</v>
      </c>
      <c r="H637">
        <v>2</v>
      </c>
    </row>
    <row r="638" spans="1:8" x14ac:dyDescent="0.45">
      <c r="A638" t="s">
        <v>57</v>
      </c>
      <c r="B638" t="s">
        <v>20</v>
      </c>
      <c r="C638">
        <v>10</v>
      </c>
      <c r="D638" t="s">
        <v>34</v>
      </c>
      <c r="H638">
        <v>5</v>
      </c>
    </row>
    <row r="639" spans="1:8" x14ac:dyDescent="0.45">
      <c r="A639" t="s">
        <v>57</v>
      </c>
      <c r="B639" t="s">
        <v>21</v>
      </c>
      <c r="C639">
        <v>11</v>
      </c>
      <c r="D639" t="s">
        <v>19</v>
      </c>
      <c r="E639">
        <v>1072150</v>
      </c>
      <c r="F639">
        <v>2512</v>
      </c>
      <c r="G639">
        <v>736</v>
      </c>
    </row>
    <row r="640" spans="1:8" x14ac:dyDescent="0.45">
      <c r="A640" t="s">
        <v>57</v>
      </c>
      <c r="B640" t="s">
        <v>21</v>
      </c>
      <c r="C640">
        <v>11</v>
      </c>
      <c r="D640" t="s">
        <v>27</v>
      </c>
      <c r="F640">
        <v>1297</v>
      </c>
    </row>
    <row r="641" spans="1:8" x14ac:dyDescent="0.45">
      <c r="A641" t="s">
        <v>57</v>
      </c>
      <c r="B641" t="s">
        <v>21</v>
      </c>
      <c r="C641">
        <v>11</v>
      </c>
      <c r="D641" t="s">
        <v>28</v>
      </c>
      <c r="F641">
        <v>431</v>
      </c>
    </row>
    <row r="642" spans="1:8" x14ac:dyDescent="0.45">
      <c r="A642" t="s">
        <v>57</v>
      </c>
      <c r="B642" t="s">
        <v>21</v>
      </c>
      <c r="C642">
        <v>11</v>
      </c>
      <c r="D642" t="s">
        <v>29</v>
      </c>
      <c r="F642">
        <v>265</v>
      </c>
    </row>
    <row r="643" spans="1:8" x14ac:dyDescent="0.45">
      <c r="A643" t="s">
        <v>57</v>
      </c>
      <c r="B643" t="s">
        <v>20</v>
      </c>
      <c r="C643">
        <v>11</v>
      </c>
      <c r="D643" t="s">
        <v>19</v>
      </c>
      <c r="E643">
        <v>1029501</v>
      </c>
      <c r="F643">
        <v>2298</v>
      </c>
      <c r="G643">
        <v>715</v>
      </c>
    </row>
    <row r="644" spans="1:8" x14ac:dyDescent="0.45">
      <c r="A644" t="s">
        <v>57</v>
      </c>
      <c r="B644" t="s">
        <v>20</v>
      </c>
      <c r="C644">
        <v>11</v>
      </c>
      <c r="D644" t="s">
        <v>27</v>
      </c>
      <c r="F644">
        <v>988</v>
      </c>
    </row>
    <row r="645" spans="1:8" x14ac:dyDescent="0.45">
      <c r="A645" t="s">
        <v>57</v>
      </c>
      <c r="B645" t="s">
        <v>20</v>
      </c>
      <c r="C645">
        <v>11</v>
      </c>
      <c r="D645" t="s">
        <v>28</v>
      </c>
      <c r="F645">
        <v>429</v>
      </c>
    </row>
    <row r="646" spans="1:8" x14ac:dyDescent="0.45">
      <c r="A646" t="s">
        <v>57</v>
      </c>
      <c r="B646" t="s">
        <v>20</v>
      </c>
      <c r="C646">
        <v>11</v>
      </c>
      <c r="D646" t="s">
        <v>29</v>
      </c>
      <c r="F646">
        <v>278</v>
      </c>
    </row>
    <row r="647" spans="1:8" x14ac:dyDescent="0.45">
      <c r="A647" t="s">
        <v>57</v>
      </c>
      <c r="B647" t="s">
        <v>20</v>
      </c>
      <c r="C647">
        <v>11</v>
      </c>
      <c r="D647" t="s">
        <v>31</v>
      </c>
      <c r="H647">
        <v>109</v>
      </c>
    </row>
    <row r="648" spans="1:8" x14ac:dyDescent="0.45">
      <c r="A648" t="s">
        <v>57</v>
      </c>
      <c r="B648" t="s">
        <v>20</v>
      </c>
      <c r="C648">
        <v>11</v>
      </c>
      <c r="D648" t="s">
        <v>32</v>
      </c>
      <c r="H648">
        <v>2</v>
      </c>
    </row>
    <row r="649" spans="1:8" x14ac:dyDescent="0.45">
      <c r="A649" t="s">
        <v>57</v>
      </c>
      <c r="B649" t="s">
        <v>20</v>
      </c>
      <c r="C649">
        <v>11</v>
      </c>
      <c r="D649" t="s">
        <v>34</v>
      </c>
      <c r="H649">
        <v>4</v>
      </c>
    </row>
    <row r="650" spans="1:8" x14ac:dyDescent="0.45">
      <c r="A650" t="s">
        <v>57</v>
      </c>
      <c r="B650" t="s">
        <v>21</v>
      </c>
      <c r="C650">
        <v>12</v>
      </c>
      <c r="D650" t="s">
        <v>19</v>
      </c>
      <c r="E650">
        <v>1065265</v>
      </c>
      <c r="F650">
        <v>2747</v>
      </c>
      <c r="G650">
        <v>752</v>
      </c>
    </row>
    <row r="651" spans="1:8" x14ac:dyDescent="0.45">
      <c r="A651" t="s">
        <v>57</v>
      </c>
      <c r="B651" t="s">
        <v>21</v>
      </c>
      <c r="C651">
        <v>12</v>
      </c>
      <c r="D651" t="s">
        <v>27</v>
      </c>
      <c r="F651">
        <v>1272</v>
      </c>
    </row>
    <row r="652" spans="1:8" x14ac:dyDescent="0.45">
      <c r="A652" t="s">
        <v>57</v>
      </c>
      <c r="B652" t="s">
        <v>21</v>
      </c>
      <c r="C652">
        <v>12</v>
      </c>
      <c r="D652" t="s">
        <v>28</v>
      </c>
      <c r="F652">
        <v>484</v>
      </c>
    </row>
    <row r="653" spans="1:8" x14ac:dyDescent="0.45">
      <c r="A653" t="s">
        <v>57</v>
      </c>
      <c r="B653" t="s">
        <v>21</v>
      </c>
      <c r="C653">
        <v>12</v>
      </c>
      <c r="D653" t="s">
        <v>29</v>
      </c>
      <c r="F653">
        <v>361</v>
      </c>
    </row>
    <row r="654" spans="1:8" x14ac:dyDescent="0.45">
      <c r="A654" t="s">
        <v>57</v>
      </c>
      <c r="B654" t="s">
        <v>20</v>
      </c>
      <c r="C654">
        <v>12</v>
      </c>
      <c r="D654" t="s">
        <v>19</v>
      </c>
      <c r="E654">
        <v>1105704</v>
      </c>
      <c r="F654">
        <v>2495</v>
      </c>
      <c r="G654">
        <v>707</v>
      </c>
    </row>
    <row r="655" spans="1:8" x14ac:dyDescent="0.45">
      <c r="A655" t="s">
        <v>57</v>
      </c>
      <c r="B655" t="s">
        <v>20</v>
      </c>
      <c r="C655">
        <v>12</v>
      </c>
      <c r="D655" t="s">
        <v>27</v>
      </c>
      <c r="F655">
        <v>1016</v>
      </c>
    </row>
    <row r="656" spans="1:8" x14ac:dyDescent="0.45">
      <c r="A656" t="s">
        <v>57</v>
      </c>
      <c r="B656" t="s">
        <v>20</v>
      </c>
      <c r="C656">
        <v>12</v>
      </c>
      <c r="D656" t="s">
        <v>28</v>
      </c>
      <c r="F656">
        <v>471</v>
      </c>
    </row>
    <row r="657" spans="1:8" x14ac:dyDescent="0.45">
      <c r="A657" t="s">
        <v>57</v>
      </c>
      <c r="B657" t="s">
        <v>20</v>
      </c>
      <c r="C657">
        <v>12</v>
      </c>
      <c r="D657" t="s">
        <v>29</v>
      </c>
      <c r="F657">
        <v>337</v>
      </c>
    </row>
    <row r="658" spans="1:8" x14ac:dyDescent="0.45">
      <c r="A658" t="s">
        <v>57</v>
      </c>
      <c r="B658" t="s">
        <v>20</v>
      </c>
      <c r="C658">
        <v>12</v>
      </c>
      <c r="D658" t="s">
        <v>31</v>
      </c>
      <c r="H658">
        <v>55</v>
      </c>
    </row>
    <row r="659" spans="1:8" x14ac:dyDescent="0.45">
      <c r="A659" t="s">
        <v>57</v>
      </c>
      <c r="B659" t="s">
        <v>20</v>
      </c>
      <c r="C659">
        <v>12</v>
      </c>
      <c r="D659" t="s">
        <v>32</v>
      </c>
      <c r="H659">
        <v>7</v>
      </c>
    </row>
    <row r="660" spans="1:8" x14ac:dyDescent="0.45">
      <c r="A660" t="s">
        <v>57</v>
      </c>
      <c r="B660" t="s">
        <v>20</v>
      </c>
      <c r="C660">
        <v>12</v>
      </c>
      <c r="D660" t="s">
        <v>34</v>
      </c>
      <c r="H660">
        <v>5</v>
      </c>
    </row>
    <row r="661" spans="1:8" x14ac:dyDescent="0.45">
      <c r="A661" t="s">
        <v>54</v>
      </c>
      <c r="B661" t="s">
        <v>21</v>
      </c>
      <c r="C661">
        <v>1</v>
      </c>
      <c r="D661" t="s">
        <v>19</v>
      </c>
      <c r="E661">
        <v>723012</v>
      </c>
      <c r="F661">
        <v>1426</v>
      </c>
      <c r="G661">
        <v>384</v>
      </c>
    </row>
    <row r="662" spans="1:8" x14ac:dyDescent="0.45">
      <c r="A662" t="s">
        <v>54</v>
      </c>
      <c r="B662" t="s">
        <v>21</v>
      </c>
      <c r="C662">
        <v>1</v>
      </c>
      <c r="D662" t="s">
        <v>27</v>
      </c>
      <c r="F662">
        <v>390</v>
      </c>
    </row>
    <row r="663" spans="1:8" x14ac:dyDescent="0.45">
      <c r="A663" t="s">
        <v>54</v>
      </c>
      <c r="B663" t="s">
        <v>21</v>
      </c>
      <c r="C663">
        <v>1</v>
      </c>
      <c r="D663" t="s">
        <v>28</v>
      </c>
      <c r="F663">
        <v>238</v>
      </c>
    </row>
    <row r="664" spans="1:8" x14ac:dyDescent="0.45">
      <c r="A664" t="s">
        <v>54</v>
      </c>
      <c r="B664" t="s">
        <v>21</v>
      </c>
      <c r="C664">
        <v>1</v>
      </c>
      <c r="D664" t="s">
        <v>29</v>
      </c>
      <c r="F664">
        <v>159</v>
      </c>
    </row>
    <row r="665" spans="1:8" x14ac:dyDescent="0.45">
      <c r="A665" t="s">
        <v>54</v>
      </c>
      <c r="B665" t="s">
        <v>20</v>
      </c>
      <c r="C665">
        <v>1</v>
      </c>
      <c r="D665" t="s">
        <v>19</v>
      </c>
      <c r="E665">
        <v>585727</v>
      </c>
      <c r="F665">
        <v>1050</v>
      </c>
      <c r="G665">
        <v>329</v>
      </c>
    </row>
    <row r="666" spans="1:8" x14ac:dyDescent="0.45">
      <c r="A666" t="s">
        <v>54</v>
      </c>
      <c r="B666" t="s">
        <v>20</v>
      </c>
      <c r="C666">
        <v>1</v>
      </c>
      <c r="D666" t="s">
        <v>27</v>
      </c>
      <c r="F666">
        <v>243</v>
      </c>
    </row>
    <row r="667" spans="1:8" x14ac:dyDescent="0.45">
      <c r="A667" t="s">
        <v>54</v>
      </c>
      <c r="B667" t="s">
        <v>20</v>
      </c>
      <c r="C667">
        <v>1</v>
      </c>
      <c r="D667" t="s">
        <v>28</v>
      </c>
      <c r="F667">
        <v>202</v>
      </c>
    </row>
    <row r="668" spans="1:8" x14ac:dyDescent="0.45">
      <c r="A668" t="s">
        <v>54</v>
      </c>
      <c r="B668" t="s">
        <v>20</v>
      </c>
      <c r="C668">
        <v>1</v>
      </c>
      <c r="D668" t="s">
        <v>29</v>
      </c>
      <c r="F668">
        <v>159</v>
      </c>
    </row>
    <row r="669" spans="1:8" x14ac:dyDescent="0.45">
      <c r="A669" t="s">
        <v>54</v>
      </c>
      <c r="B669" t="s">
        <v>20</v>
      </c>
      <c r="C669">
        <v>1</v>
      </c>
      <c r="D669" t="s">
        <v>31</v>
      </c>
      <c r="H669">
        <v>42</v>
      </c>
    </row>
    <row r="670" spans="1:8" x14ac:dyDescent="0.45">
      <c r="A670" t="s">
        <v>54</v>
      </c>
      <c r="B670" t="s">
        <v>20</v>
      </c>
      <c r="C670">
        <v>1</v>
      </c>
      <c r="D670" t="s">
        <v>32</v>
      </c>
      <c r="H670">
        <v>4</v>
      </c>
    </row>
    <row r="671" spans="1:8" x14ac:dyDescent="0.45">
      <c r="A671" t="s">
        <v>54</v>
      </c>
      <c r="B671" t="s">
        <v>20</v>
      </c>
      <c r="C671">
        <v>1</v>
      </c>
      <c r="D671" t="s">
        <v>34</v>
      </c>
    </row>
    <row r="672" spans="1:8" x14ac:dyDescent="0.45">
      <c r="A672" t="s">
        <v>54</v>
      </c>
      <c r="B672" t="s">
        <v>21</v>
      </c>
      <c r="C672">
        <v>2</v>
      </c>
      <c r="D672" t="s">
        <v>19</v>
      </c>
      <c r="E672">
        <v>685058</v>
      </c>
      <c r="F672">
        <v>1348</v>
      </c>
      <c r="G672">
        <v>358</v>
      </c>
    </row>
    <row r="673" spans="1:8" x14ac:dyDescent="0.45">
      <c r="A673" t="s">
        <v>54</v>
      </c>
      <c r="B673" t="s">
        <v>21</v>
      </c>
      <c r="C673">
        <v>2</v>
      </c>
      <c r="D673" t="s">
        <v>27</v>
      </c>
      <c r="F673">
        <v>378</v>
      </c>
    </row>
    <row r="674" spans="1:8" x14ac:dyDescent="0.45">
      <c r="A674" t="s">
        <v>54</v>
      </c>
      <c r="B674" t="s">
        <v>21</v>
      </c>
      <c r="C674">
        <v>2</v>
      </c>
      <c r="D674" t="s">
        <v>28</v>
      </c>
      <c r="F674">
        <v>217</v>
      </c>
    </row>
    <row r="675" spans="1:8" x14ac:dyDescent="0.45">
      <c r="A675" t="s">
        <v>54</v>
      </c>
      <c r="B675" t="s">
        <v>21</v>
      </c>
      <c r="C675">
        <v>2</v>
      </c>
      <c r="D675" t="s">
        <v>29</v>
      </c>
      <c r="F675">
        <v>147</v>
      </c>
    </row>
    <row r="676" spans="1:8" x14ac:dyDescent="0.45">
      <c r="A676" t="s">
        <v>54</v>
      </c>
      <c r="B676" t="s">
        <v>20</v>
      </c>
      <c r="C676">
        <v>2</v>
      </c>
      <c r="D676" t="s">
        <v>19</v>
      </c>
      <c r="E676">
        <v>600801</v>
      </c>
      <c r="F676">
        <v>1115</v>
      </c>
      <c r="G676">
        <v>324</v>
      </c>
    </row>
    <row r="677" spans="1:8" x14ac:dyDescent="0.45">
      <c r="A677" t="s">
        <v>54</v>
      </c>
      <c r="B677" t="s">
        <v>20</v>
      </c>
      <c r="C677">
        <v>2</v>
      </c>
      <c r="D677" t="s">
        <v>27</v>
      </c>
      <c r="F677">
        <v>269</v>
      </c>
    </row>
    <row r="678" spans="1:8" x14ac:dyDescent="0.45">
      <c r="A678" t="s">
        <v>54</v>
      </c>
      <c r="B678" t="s">
        <v>20</v>
      </c>
      <c r="C678">
        <v>2</v>
      </c>
      <c r="D678" t="s">
        <v>28</v>
      </c>
      <c r="F678">
        <v>191</v>
      </c>
    </row>
    <row r="679" spans="1:8" x14ac:dyDescent="0.45">
      <c r="A679" t="s">
        <v>54</v>
      </c>
      <c r="B679" t="s">
        <v>20</v>
      </c>
      <c r="C679">
        <v>2</v>
      </c>
      <c r="D679" t="s">
        <v>29</v>
      </c>
      <c r="F679">
        <v>131</v>
      </c>
    </row>
    <row r="680" spans="1:8" x14ac:dyDescent="0.45">
      <c r="A680" t="s">
        <v>54</v>
      </c>
      <c r="B680" t="s">
        <v>20</v>
      </c>
      <c r="C680">
        <v>2</v>
      </c>
      <c r="D680" t="s">
        <v>31</v>
      </c>
      <c r="H680">
        <v>32</v>
      </c>
    </row>
    <row r="681" spans="1:8" x14ac:dyDescent="0.45">
      <c r="A681" t="s">
        <v>54</v>
      </c>
      <c r="B681" t="s">
        <v>20</v>
      </c>
      <c r="C681">
        <v>2</v>
      </c>
      <c r="D681" t="s">
        <v>32</v>
      </c>
      <c r="H681">
        <v>1</v>
      </c>
    </row>
    <row r="682" spans="1:8" x14ac:dyDescent="0.45">
      <c r="A682" t="s">
        <v>54</v>
      </c>
      <c r="B682" t="s">
        <v>20</v>
      </c>
      <c r="C682">
        <v>2</v>
      </c>
      <c r="D682" t="s">
        <v>34</v>
      </c>
      <c r="H682">
        <v>3</v>
      </c>
    </row>
    <row r="683" spans="1:8" x14ac:dyDescent="0.45">
      <c r="A683" t="s">
        <v>54</v>
      </c>
      <c r="B683" t="s">
        <v>21</v>
      </c>
      <c r="C683">
        <v>3</v>
      </c>
      <c r="D683" t="s">
        <v>19</v>
      </c>
      <c r="E683">
        <v>1494900</v>
      </c>
      <c r="F683">
        <v>2524</v>
      </c>
      <c r="G683">
        <v>644</v>
      </c>
    </row>
    <row r="684" spans="1:8" x14ac:dyDescent="0.45">
      <c r="A684" t="s">
        <v>54</v>
      </c>
      <c r="B684" t="s">
        <v>21</v>
      </c>
      <c r="C684">
        <v>3</v>
      </c>
      <c r="D684" t="s">
        <v>27</v>
      </c>
      <c r="F684">
        <v>531</v>
      </c>
    </row>
    <row r="685" spans="1:8" x14ac:dyDescent="0.45">
      <c r="A685" t="s">
        <v>54</v>
      </c>
      <c r="B685" t="s">
        <v>21</v>
      </c>
      <c r="C685">
        <v>3</v>
      </c>
      <c r="D685" t="s">
        <v>28</v>
      </c>
      <c r="F685">
        <v>395</v>
      </c>
    </row>
    <row r="686" spans="1:8" x14ac:dyDescent="0.45">
      <c r="A686" t="s">
        <v>54</v>
      </c>
      <c r="B686" t="s">
        <v>21</v>
      </c>
      <c r="C686">
        <v>3</v>
      </c>
      <c r="D686" t="s">
        <v>29</v>
      </c>
      <c r="F686">
        <v>352</v>
      </c>
    </row>
    <row r="687" spans="1:8" x14ac:dyDescent="0.45">
      <c r="A687" t="s">
        <v>54</v>
      </c>
      <c r="B687" t="s">
        <v>20</v>
      </c>
      <c r="C687">
        <v>3</v>
      </c>
      <c r="D687" t="s">
        <v>19</v>
      </c>
      <c r="E687">
        <v>1118100</v>
      </c>
      <c r="F687">
        <v>1831</v>
      </c>
      <c r="G687">
        <v>525</v>
      </c>
    </row>
    <row r="688" spans="1:8" x14ac:dyDescent="0.45">
      <c r="A688" t="s">
        <v>54</v>
      </c>
      <c r="B688" t="s">
        <v>20</v>
      </c>
      <c r="C688">
        <v>3</v>
      </c>
      <c r="D688" t="s">
        <v>27</v>
      </c>
      <c r="F688">
        <v>367</v>
      </c>
    </row>
    <row r="689" spans="1:8" x14ac:dyDescent="0.45">
      <c r="A689" t="s">
        <v>54</v>
      </c>
      <c r="B689" t="s">
        <v>20</v>
      </c>
      <c r="C689">
        <v>3</v>
      </c>
      <c r="D689" t="s">
        <v>28</v>
      </c>
      <c r="F689">
        <v>310</v>
      </c>
    </row>
    <row r="690" spans="1:8" x14ac:dyDescent="0.45">
      <c r="A690" t="s">
        <v>54</v>
      </c>
      <c r="B690" t="s">
        <v>20</v>
      </c>
      <c r="C690">
        <v>3</v>
      </c>
      <c r="D690" t="s">
        <v>29</v>
      </c>
      <c r="F690">
        <v>295</v>
      </c>
    </row>
    <row r="691" spans="1:8" x14ac:dyDescent="0.45">
      <c r="A691" t="s">
        <v>54</v>
      </c>
      <c r="B691" t="s">
        <v>20</v>
      </c>
      <c r="C691">
        <v>3</v>
      </c>
      <c r="D691" t="s">
        <v>31</v>
      </c>
      <c r="H691">
        <v>43</v>
      </c>
    </row>
    <row r="692" spans="1:8" x14ac:dyDescent="0.45">
      <c r="A692" t="s">
        <v>54</v>
      </c>
      <c r="B692" t="s">
        <v>20</v>
      </c>
      <c r="C692">
        <v>3</v>
      </c>
      <c r="D692" t="s">
        <v>32</v>
      </c>
      <c r="H692">
        <v>6</v>
      </c>
    </row>
    <row r="693" spans="1:8" x14ac:dyDescent="0.45">
      <c r="A693" t="s">
        <v>54</v>
      </c>
      <c r="B693" t="s">
        <v>20</v>
      </c>
      <c r="C693">
        <v>3</v>
      </c>
      <c r="D693" t="s">
        <v>34</v>
      </c>
      <c r="H693">
        <v>4</v>
      </c>
    </row>
    <row r="694" spans="1:8" x14ac:dyDescent="0.45">
      <c r="A694" t="s">
        <v>54</v>
      </c>
      <c r="B694" t="s">
        <v>21</v>
      </c>
      <c r="C694">
        <v>4</v>
      </c>
      <c r="D694" t="s">
        <v>19</v>
      </c>
      <c r="E694">
        <v>1788097</v>
      </c>
      <c r="F694">
        <v>2947</v>
      </c>
      <c r="G694">
        <v>626</v>
      </c>
    </row>
    <row r="695" spans="1:8" x14ac:dyDescent="0.45">
      <c r="A695" t="s">
        <v>54</v>
      </c>
      <c r="B695" t="s">
        <v>21</v>
      </c>
      <c r="C695">
        <v>4</v>
      </c>
      <c r="D695" t="s">
        <v>27</v>
      </c>
      <c r="F695">
        <v>527</v>
      </c>
    </row>
    <row r="696" spans="1:8" x14ac:dyDescent="0.45">
      <c r="A696" t="s">
        <v>54</v>
      </c>
      <c r="B696" t="s">
        <v>21</v>
      </c>
      <c r="C696">
        <v>4</v>
      </c>
      <c r="D696" t="s">
        <v>28</v>
      </c>
      <c r="F696">
        <v>476</v>
      </c>
    </row>
    <row r="697" spans="1:8" x14ac:dyDescent="0.45">
      <c r="A697" t="s">
        <v>54</v>
      </c>
      <c r="B697" t="s">
        <v>21</v>
      </c>
      <c r="C697">
        <v>4</v>
      </c>
      <c r="D697" t="s">
        <v>29</v>
      </c>
      <c r="F697">
        <v>449</v>
      </c>
    </row>
    <row r="698" spans="1:8" x14ac:dyDescent="0.45">
      <c r="A698" t="s">
        <v>54</v>
      </c>
      <c r="B698" t="s">
        <v>20</v>
      </c>
      <c r="C698">
        <v>4</v>
      </c>
      <c r="D698" t="s">
        <v>19</v>
      </c>
      <c r="E698">
        <v>2059681</v>
      </c>
      <c r="F698">
        <v>3105</v>
      </c>
      <c r="H698">
        <v>89</v>
      </c>
    </row>
    <row r="699" spans="1:8" x14ac:dyDescent="0.45">
      <c r="A699" t="s">
        <v>54</v>
      </c>
      <c r="B699" t="s">
        <v>20</v>
      </c>
      <c r="C699">
        <v>4</v>
      </c>
      <c r="D699" t="s">
        <v>27</v>
      </c>
      <c r="F699">
        <v>446</v>
      </c>
    </row>
    <row r="700" spans="1:8" x14ac:dyDescent="0.45">
      <c r="A700" t="s">
        <v>54</v>
      </c>
      <c r="B700" t="s">
        <v>20</v>
      </c>
      <c r="C700">
        <v>4</v>
      </c>
      <c r="D700" t="s">
        <v>28</v>
      </c>
      <c r="F700">
        <v>495</v>
      </c>
    </row>
    <row r="701" spans="1:8" x14ac:dyDescent="0.45">
      <c r="A701" t="s">
        <v>54</v>
      </c>
      <c r="B701" t="s">
        <v>20</v>
      </c>
      <c r="C701">
        <v>4</v>
      </c>
      <c r="D701" t="s">
        <v>29</v>
      </c>
      <c r="F701">
        <v>471</v>
      </c>
    </row>
    <row r="702" spans="1:8" x14ac:dyDescent="0.45">
      <c r="A702" t="s">
        <v>54</v>
      </c>
      <c r="B702" t="s">
        <v>20</v>
      </c>
      <c r="C702">
        <v>4</v>
      </c>
      <c r="D702" t="s">
        <v>31</v>
      </c>
      <c r="H702">
        <v>52</v>
      </c>
    </row>
    <row r="703" spans="1:8" x14ac:dyDescent="0.45">
      <c r="A703" t="s">
        <v>54</v>
      </c>
      <c r="B703" t="s">
        <v>20</v>
      </c>
      <c r="C703">
        <v>4</v>
      </c>
      <c r="D703" t="s">
        <v>32</v>
      </c>
      <c r="H703">
        <v>10</v>
      </c>
    </row>
    <row r="704" spans="1:8" x14ac:dyDescent="0.45">
      <c r="A704" t="s">
        <v>54</v>
      </c>
      <c r="B704" t="s">
        <v>20</v>
      </c>
      <c r="C704">
        <v>4</v>
      </c>
      <c r="D704" t="s">
        <v>34</v>
      </c>
      <c r="H704">
        <v>4</v>
      </c>
    </row>
    <row r="705" spans="1:8" x14ac:dyDescent="0.45">
      <c r="A705" t="s">
        <v>54</v>
      </c>
      <c r="B705" t="s">
        <v>21</v>
      </c>
      <c r="C705">
        <v>5</v>
      </c>
      <c r="D705" t="s">
        <v>19</v>
      </c>
      <c r="E705">
        <v>1383719</v>
      </c>
      <c r="F705">
        <v>2218</v>
      </c>
      <c r="G705">
        <v>541</v>
      </c>
    </row>
    <row r="706" spans="1:8" x14ac:dyDescent="0.45">
      <c r="A706" t="s">
        <v>54</v>
      </c>
      <c r="B706" t="s">
        <v>21</v>
      </c>
      <c r="C706">
        <v>5</v>
      </c>
      <c r="D706" t="s">
        <v>27</v>
      </c>
      <c r="F706">
        <v>440</v>
      </c>
    </row>
    <row r="707" spans="1:8" x14ac:dyDescent="0.45">
      <c r="A707" t="s">
        <v>54</v>
      </c>
      <c r="B707" t="s">
        <v>21</v>
      </c>
      <c r="C707">
        <v>5</v>
      </c>
      <c r="D707" t="s">
        <v>28</v>
      </c>
      <c r="F707">
        <v>334</v>
      </c>
    </row>
    <row r="708" spans="1:8" x14ac:dyDescent="0.45">
      <c r="A708" t="s">
        <v>54</v>
      </c>
      <c r="B708" t="s">
        <v>21</v>
      </c>
      <c r="C708">
        <v>5</v>
      </c>
      <c r="D708" t="s">
        <v>29</v>
      </c>
      <c r="F708">
        <v>269</v>
      </c>
    </row>
    <row r="709" spans="1:8" x14ac:dyDescent="0.45">
      <c r="A709" t="s">
        <v>54</v>
      </c>
      <c r="B709" t="s">
        <v>20</v>
      </c>
      <c r="C709">
        <v>5</v>
      </c>
      <c r="D709" t="s">
        <v>19</v>
      </c>
      <c r="E709">
        <v>1082843</v>
      </c>
      <c r="F709">
        <v>1760</v>
      </c>
      <c r="G709">
        <v>482</v>
      </c>
    </row>
    <row r="710" spans="1:8" x14ac:dyDescent="0.45">
      <c r="A710" t="s">
        <v>54</v>
      </c>
      <c r="B710" t="s">
        <v>20</v>
      </c>
      <c r="C710">
        <v>5</v>
      </c>
      <c r="D710" t="s">
        <v>27</v>
      </c>
      <c r="F710">
        <v>305</v>
      </c>
    </row>
    <row r="711" spans="1:8" x14ac:dyDescent="0.45">
      <c r="A711" t="s">
        <v>54</v>
      </c>
      <c r="B711" t="s">
        <v>20</v>
      </c>
      <c r="C711">
        <v>5</v>
      </c>
      <c r="D711" t="s">
        <v>28</v>
      </c>
      <c r="F711">
        <v>297</v>
      </c>
    </row>
    <row r="712" spans="1:8" x14ac:dyDescent="0.45">
      <c r="A712" t="s">
        <v>54</v>
      </c>
      <c r="B712" t="s">
        <v>20</v>
      </c>
      <c r="C712">
        <v>5</v>
      </c>
      <c r="D712" t="s">
        <v>29</v>
      </c>
      <c r="F712">
        <v>216</v>
      </c>
    </row>
    <row r="713" spans="1:8" x14ac:dyDescent="0.45">
      <c r="A713" t="s">
        <v>54</v>
      </c>
      <c r="B713" t="s">
        <v>20</v>
      </c>
      <c r="C713">
        <v>5</v>
      </c>
      <c r="D713" t="s">
        <v>31</v>
      </c>
      <c r="H713">
        <v>55</v>
      </c>
    </row>
    <row r="714" spans="1:8" x14ac:dyDescent="0.45">
      <c r="A714" t="s">
        <v>54</v>
      </c>
      <c r="B714" t="s">
        <v>20</v>
      </c>
      <c r="C714">
        <v>5</v>
      </c>
      <c r="D714" t="s">
        <v>32</v>
      </c>
      <c r="H714">
        <v>5</v>
      </c>
    </row>
    <row r="715" spans="1:8" x14ac:dyDescent="0.45">
      <c r="A715" t="s">
        <v>54</v>
      </c>
      <c r="B715" t="s">
        <v>20</v>
      </c>
      <c r="C715">
        <v>5</v>
      </c>
      <c r="D715" t="s">
        <v>34</v>
      </c>
      <c r="H715">
        <v>3</v>
      </c>
    </row>
    <row r="716" spans="1:8" x14ac:dyDescent="0.45">
      <c r="A716" t="s">
        <v>54</v>
      </c>
      <c r="B716" t="s">
        <v>21</v>
      </c>
      <c r="C716">
        <v>6</v>
      </c>
      <c r="D716" t="s">
        <v>19</v>
      </c>
      <c r="E716">
        <v>1149769</v>
      </c>
      <c r="F716">
        <v>2090</v>
      </c>
      <c r="G716">
        <v>530</v>
      </c>
    </row>
    <row r="717" spans="1:8" x14ac:dyDescent="0.45">
      <c r="A717" t="s">
        <v>54</v>
      </c>
      <c r="B717" t="s">
        <v>21</v>
      </c>
      <c r="C717">
        <v>6</v>
      </c>
      <c r="D717" t="s">
        <v>27</v>
      </c>
      <c r="F717">
        <v>479</v>
      </c>
    </row>
    <row r="718" spans="1:8" x14ac:dyDescent="0.45">
      <c r="A718" t="s">
        <v>54</v>
      </c>
      <c r="B718" t="s">
        <v>21</v>
      </c>
      <c r="C718">
        <v>6</v>
      </c>
      <c r="D718" t="s">
        <v>28</v>
      </c>
      <c r="F718">
        <v>383</v>
      </c>
    </row>
    <row r="719" spans="1:8" x14ac:dyDescent="0.45">
      <c r="A719" t="s">
        <v>54</v>
      </c>
      <c r="B719" t="s">
        <v>21</v>
      </c>
      <c r="C719">
        <v>6</v>
      </c>
      <c r="D719" t="s">
        <v>29</v>
      </c>
      <c r="F719">
        <v>286</v>
      </c>
    </row>
    <row r="720" spans="1:8" x14ac:dyDescent="0.45">
      <c r="A720" t="s">
        <v>54</v>
      </c>
      <c r="B720" t="s">
        <v>20</v>
      </c>
      <c r="C720">
        <v>6</v>
      </c>
      <c r="D720" t="s">
        <v>19</v>
      </c>
      <c r="E720">
        <v>1165856</v>
      </c>
      <c r="F720">
        <v>1764</v>
      </c>
      <c r="G720">
        <v>492</v>
      </c>
    </row>
    <row r="721" spans="1:8" x14ac:dyDescent="0.45">
      <c r="A721" t="s">
        <v>54</v>
      </c>
      <c r="B721" t="s">
        <v>20</v>
      </c>
      <c r="C721">
        <v>6</v>
      </c>
      <c r="D721" t="s">
        <v>27</v>
      </c>
      <c r="F721">
        <v>343</v>
      </c>
    </row>
    <row r="722" spans="1:8" x14ac:dyDescent="0.45">
      <c r="A722" t="s">
        <v>54</v>
      </c>
      <c r="B722" t="s">
        <v>20</v>
      </c>
      <c r="C722">
        <v>6</v>
      </c>
      <c r="D722" t="s">
        <v>28</v>
      </c>
      <c r="F722">
        <v>292</v>
      </c>
    </row>
    <row r="723" spans="1:8" x14ac:dyDescent="0.45">
      <c r="A723" t="s">
        <v>54</v>
      </c>
      <c r="B723" t="s">
        <v>20</v>
      </c>
      <c r="C723">
        <v>6</v>
      </c>
      <c r="D723" t="s">
        <v>29</v>
      </c>
      <c r="F723">
        <v>254</v>
      </c>
    </row>
    <row r="724" spans="1:8" x14ac:dyDescent="0.45">
      <c r="A724" t="s">
        <v>54</v>
      </c>
      <c r="B724" t="s">
        <v>20</v>
      </c>
      <c r="C724">
        <v>6</v>
      </c>
      <c r="D724" t="s">
        <v>31</v>
      </c>
      <c r="H724">
        <v>18</v>
      </c>
    </row>
    <row r="725" spans="1:8" x14ac:dyDescent="0.45">
      <c r="A725" t="s">
        <v>54</v>
      </c>
      <c r="B725" t="s">
        <v>20</v>
      </c>
      <c r="C725">
        <v>6</v>
      </c>
      <c r="D725" t="s">
        <v>32</v>
      </c>
      <c r="H725">
        <v>6</v>
      </c>
    </row>
    <row r="726" spans="1:8" x14ac:dyDescent="0.45">
      <c r="A726" t="s">
        <v>54</v>
      </c>
      <c r="B726" t="s">
        <v>20</v>
      </c>
      <c r="C726">
        <v>6</v>
      </c>
      <c r="D726" t="s">
        <v>34</v>
      </c>
      <c r="H726">
        <v>5</v>
      </c>
    </row>
    <row r="727" spans="1:8" x14ac:dyDescent="0.45">
      <c r="A727" t="s">
        <v>54</v>
      </c>
      <c r="B727" t="s">
        <v>21</v>
      </c>
      <c r="C727">
        <v>7</v>
      </c>
      <c r="D727" t="s">
        <v>19</v>
      </c>
      <c r="E727">
        <v>967459</v>
      </c>
      <c r="F727">
        <v>1756</v>
      </c>
      <c r="G727">
        <v>498</v>
      </c>
    </row>
    <row r="728" spans="1:8" x14ac:dyDescent="0.45">
      <c r="A728" t="s">
        <v>54</v>
      </c>
      <c r="B728" t="s">
        <v>21</v>
      </c>
      <c r="C728">
        <v>7</v>
      </c>
      <c r="D728" t="s">
        <v>27</v>
      </c>
      <c r="F728">
        <v>437</v>
      </c>
    </row>
    <row r="729" spans="1:8" x14ac:dyDescent="0.45">
      <c r="A729" t="s">
        <v>54</v>
      </c>
      <c r="B729" t="s">
        <v>21</v>
      </c>
      <c r="C729">
        <v>7</v>
      </c>
      <c r="D729" t="s">
        <v>28</v>
      </c>
      <c r="F729">
        <v>364</v>
      </c>
    </row>
    <row r="730" spans="1:8" x14ac:dyDescent="0.45">
      <c r="A730" t="s">
        <v>54</v>
      </c>
      <c r="B730" t="s">
        <v>21</v>
      </c>
      <c r="C730">
        <v>7</v>
      </c>
      <c r="D730" t="s">
        <v>29</v>
      </c>
      <c r="F730">
        <v>219</v>
      </c>
    </row>
    <row r="731" spans="1:8" x14ac:dyDescent="0.45">
      <c r="A731" t="s">
        <v>54</v>
      </c>
      <c r="B731" t="s">
        <v>20</v>
      </c>
      <c r="C731">
        <v>7</v>
      </c>
      <c r="D731" t="s">
        <v>19</v>
      </c>
      <c r="E731">
        <v>922240</v>
      </c>
      <c r="F731">
        <v>1568</v>
      </c>
      <c r="G731">
        <v>429</v>
      </c>
    </row>
    <row r="732" spans="1:8" x14ac:dyDescent="0.45">
      <c r="A732" t="s">
        <v>54</v>
      </c>
      <c r="B732" t="s">
        <v>20</v>
      </c>
      <c r="C732">
        <v>7</v>
      </c>
      <c r="D732" t="s">
        <v>27</v>
      </c>
      <c r="F732">
        <v>381</v>
      </c>
    </row>
    <row r="733" spans="1:8" x14ac:dyDescent="0.45">
      <c r="A733" t="s">
        <v>54</v>
      </c>
      <c r="B733" t="s">
        <v>20</v>
      </c>
      <c r="C733">
        <v>7</v>
      </c>
      <c r="D733" t="s">
        <v>28</v>
      </c>
      <c r="F733">
        <v>278</v>
      </c>
    </row>
    <row r="734" spans="1:8" x14ac:dyDescent="0.45">
      <c r="A734" t="s">
        <v>54</v>
      </c>
      <c r="B734" t="s">
        <v>20</v>
      </c>
      <c r="C734">
        <v>7</v>
      </c>
      <c r="D734" t="s">
        <v>29</v>
      </c>
      <c r="F734">
        <v>187</v>
      </c>
    </row>
    <row r="735" spans="1:8" x14ac:dyDescent="0.45">
      <c r="A735" t="s">
        <v>54</v>
      </c>
      <c r="B735" t="s">
        <v>20</v>
      </c>
      <c r="C735">
        <v>7</v>
      </c>
      <c r="D735" t="s">
        <v>31</v>
      </c>
      <c r="H735">
        <v>76</v>
      </c>
    </row>
    <row r="736" spans="1:8" x14ac:dyDescent="0.45">
      <c r="A736" t="s">
        <v>54</v>
      </c>
      <c r="B736" t="s">
        <v>20</v>
      </c>
      <c r="C736">
        <v>7</v>
      </c>
      <c r="D736" t="s">
        <v>32</v>
      </c>
      <c r="H736">
        <v>3</v>
      </c>
    </row>
    <row r="737" spans="1:8" x14ac:dyDescent="0.45">
      <c r="A737" t="s">
        <v>54</v>
      </c>
      <c r="B737" t="s">
        <v>20</v>
      </c>
      <c r="C737">
        <v>7</v>
      </c>
      <c r="D737" t="s">
        <v>34</v>
      </c>
      <c r="H737">
        <v>3</v>
      </c>
    </row>
    <row r="738" spans="1:8" x14ac:dyDescent="0.45">
      <c r="A738" t="s">
        <v>54</v>
      </c>
      <c r="B738" t="s">
        <v>21</v>
      </c>
      <c r="C738">
        <v>8</v>
      </c>
      <c r="D738" t="s">
        <v>19</v>
      </c>
      <c r="E738">
        <v>728905</v>
      </c>
      <c r="F738">
        <v>1473</v>
      </c>
      <c r="G738">
        <v>389</v>
      </c>
    </row>
    <row r="739" spans="1:8" x14ac:dyDescent="0.45">
      <c r="A739" t="s">
        <v>54</v>
      </c>
      <c r="B739" t="s">
        <v>21</v>
      </c>
      <c r="C739">
        <v>8</v>
      </c>
      <c r="D739" t="s">
        <v>27</v>
      </c>
      <c r="F739">
        <v>448</v>
      </c>
      <c r="G739">
        <v>1066</v>
      </c>
    </row>
    <row r="740" spans="1:8" x14ac:dyDescent="0.45">
      <c r="A740" t="s">
        <v>54</v>
      </c>
      <c r="B740" t="s">
        <v>21</v>
      </c>
      <c r="C740">
        <v>8</v>
      </c>
      <c r="D740" t="s">
        <v>28</v>
      </c>
      <c r="F740">
        <v>246</v>
      </c>
      <c r="G740">
        <v>1057</v>
      </c>
    </row>
    <row r="741" spans="1:8" x14ac:dyDescent="0.45">
      <c r="A741" t="s">
        <v>54</v>
      </c>
      <c r="B741" t="s">
        <v>21</v>
      </c>
      <c r="C741">
        <v>8</v>
      </c>
      <c r="D741" t="s">
        <v>29</v>
      </c>
      <c r="F741">
        <v>125</v>
      </c>
      <c r="G741">
        <v>1103</v>
      </c>
    </row>
    <row r="742" spans="1:8" x14ac:dyDescent="0.45">
      <c r="A742" t="s">
        <v>54</v>
      </c>
      <c r="B742" t="s">
        <v>20</v>
      </c>
      <c r="C742">
        <v>8</v>
      </c>
      <c r="D742" t="s">
        <v>19</v>
      </c>
      <c r="E742">
        <v>745530</v>
      </c>
      <c r="F742">
        <v>1276</v>
      </c>
      <c r="G742">
        <v>357</v>
      </c>
    </row>
    <row r="743" spans="1:8" x14ac:dyDescent="0.45">
      <c r="A743" t="s">
        <v>54</v>
      </c>
      <c r="B743" t="s">
        <v>20</v>
      </c>
      <c r="C743">
        <v>8</v>
      </c>
      <c r="D743" t="s">
        <v>27</v>
      </c>
      <c r="F743">
        <v>284</v>
      </c>
      <c r="G743">
        <v>927</v>
      </c>
    </row>
    <row r="744" spans="1:8" x14ac:dyDescent="0.45">
      <c r="A744" t="s">
        <v>54</v>
      </c>
      <c r="B744" t="s">
        <v>20</v>
      </c>
      <c r="C744">
        <v>8</v>
      </c>
      <c r="D744" t="s">
        <v>28</v>
      </c>
      <c r="F744">
        <v>241</v>
      </c>
      <c r="G744">
        <v>897</v>
      </c>
    </row>
    <row r="745" spans="1:8" x14ac:dyDescent="0.45">
      <c r="A745" t="s">
        <v>54</v>
      </c>
      <c r="B745" t="s">
        <v>20</v>
      </c>
      <c r="C745">
        <v>8</v>
      </c>
      <c r="D745" t="s">
        <v>29</v>
      </c>
      <c r="F745">
        <v>132</v>
      </c>
      <c r="G745">
        <v>998</v>
      </c>
    </row>
    <row r="746" spans="1:8" x14ac:dyDescent="0.45">
      <c r="A746" t="s">
        <v>54</v>
      </c>
      <c r="B746" t="s">
        <v>20</v>
      </c>
      <c r="C746">
        <v>8</v>
      </c>
      <c r="D746" t="s">
        <v>31</v>
      </c>
      <c r="H746">
        <v>8</v>
      </c>
    </row>
    <row r="747" spans="1:8" x14ac:dyDescent="0.45">
      <c r="A747" t="s">
        <v>54</v>
      </c>
      <c r="B747" t="s">
        <v>20</v>
      </c>
      <c r="C747">
        <v>8</v>
      </c>
      <c r="D747" t="s">
        <v>32</v>
      </c>
      <c r="H747">
        <v>2</v>
      </c>
    </row>
    <row r="748" spans="1:8" x14ac:dyDescent="0.45">
      <c r="A748" t="s">
        <v>54</v>
      </c>
      <c r="B748" t="s">
        <v>20</v>
      </c>
      <c r="C748">
        <v>8</v>
      </c>
      <c r="D748" t="s">
        <v>34</v>
      </c>
      <c r="H748">
        <v>2</v>
      </c>
    </row>
    <row r="749" spans="1:8" x14ac:dyDescent="0.45">
      <c r="A749" t="s">
        <v>54</v>
      </c>
      <c r="B749" t="s">
        <v>21</v>
      </c>
      <c r="C749">
        <v>9</v>
      </c>
      <c r="D749" t="s">
        <v>19</v>
      </c>
      <c r="E749">
        <v>677705</v>
      </c>
      <c r="F749">
        <v>1377</v>
      </c>
      <c r="G749">
        <v>361</v>
      </c>
    </row>
    <row r="750" spans="1:8" x14ac:dyDescent="0.45">
      <c r="A750" t="s">
        <v>54</v>
      </c>
      <c r="B750" t="s">
        <v>21</v>
      </c>
      <c r="C750">
        <v>9</v>
      </c>
      <c r="D750" t="s">
        <v>27</v>
      </c>
      <c r="F750">
        <v>390</v>
      </c>
    </row>
    <row r="751" spans="1:8" x14ac:dyDescent="0.45">
      <c r="A751" t="s">
        <v>54</v>
      </c>
      <c r="B751" t="s">
        <v>21</v>
      </c>
      <c r="C751">
        <v>9</v>
      </c>
      <c r="D751" t="s">
        <v>28</v>
      </c>
      <c r="F751">
        <v>253</v>
      </c>
    </row>
    <row r="752" spans="1:8" x14ac:dyDescent="0.45">
      <c r="A752" t="s">
        <v>54</v>
      </c>
      <c r="B752" t="s">
        <v>21</v>
      </c>
      <c r="C752">
        <v>9</v>
      </c>
      <c r="D752" t="s">
        <v>29</v>
      </c>
      <c r="F752">
        <v>152</v>
      </c>
    </row>
    <row r="753" spans="1:8" x14ac:dyDescent="0.45">
      <c r="A753" t="s">
        <v>54</v>
      </c>
      <c r="B753" t="s">
        <v>20</v>
      </c>
      <c r="C753">
        <v>9</v>
      </c>
      <c r="D753" t="s">
        <v>19</v>
      </c>
      <c r="E753">
        <v>657805</v>
      </c>
      <c r="F753">
        <v>1201</v>
      </c>
      <c r="G753">
        <v>350</v>
      </c>
    </row>
    <row r="754" spans="1:8" x14ac:dyDescent="0.45">
      <c r="A754" t="s">
        <v>54</v>
      </c>
      <c r="B754" t="s">
        <v>20</v>
      </c>
      <c r="C754">
        <v>9</v>
      </c>
      <c r="D754" t="s">
        <v>27</v>
      </c>
      <c r="F754">
        <v>349</v>
      </c>
    </row>
    <row r="755" spans="1:8" x14ac:dyDescent="0.45">
      <c r="A755" t="s">
        <v>54</v>
      </c>
      <c r="B755" t="s">
        <v>20</v>
      </c>
      <c r="C755">
        <v>9</v>
      </c>
      <c r="D755" t="s">
        <v>28</v>
      </c>
      <c r="F755">
        <v>234</v>
      </c>
    </row>
    <row r="756" spans="1:8" x14ac:dyDescent="0.45">
      <c r="A756" t="s">
        <v>54</v>
      </c>
      <c r="B756" t="s">
        <v>20</v>
      </c>
      <c r="C756">
        <v>9</v>
      </c>
      <c r="D756" t="s">
        <v>29</v>
      </c>
      <c r="F756">
        <v>147</v>
      </c>
    </row>
    <row r="757" spans="1:8" x14ac:dyDescent="0.45">
      <c r="A757" t="s">
        <v>54</v>
      </c>
      <c r="B757" t="s">
        <v>20</v>
      </c>
      <c r="C757">
        <v>9</v>
      </c>
      <c r="D757" t="s">
        <v>31</v>
      </c>
      <c r="H757">
        <v>56</v>
      </c>
    </row>
    <row r="758" spans="1:8" x14ac:dyDescent="0.45">
      <c r="A758" t="s">
        <v>54</v>
      </c>
      <c r="B758" t="s">
        <v>20</v>
      </c>
      <c r="C758">
        <v>9</v>
      </c>
      <c r="D758" t="s">
        <v>32</v>
      </c>
      <c r="H758">
        <v>1</v>
      </c>
    </row>
    <row r="759" spans="1:8" x14ac:dyDescent="0.45">
      <c r="A759" t="s">
        <v>54</v>
      </c>
      <c r="B759" t="s">
        <v>20</v>
      </c>
      <c r="C759">
        <v>9</v>
      </c>
      <c r="D759" t="s">
        <v>34</v>
      </c>
      <c r="H759">
        <v>4</v>
      </c>
    </row>
    <row r="760" spans="1:8" x14ac:dyDescent="0.45">
      <c r="A760" t="s">
        <v>54</v>
      </c>
      <c r="B760" t="s">
        <v>21</v>
      </c>
      <c r="C760">
        <v>10</v>
      </c>
      <c r="D760" t="s">
        <v>19</v>
      </c>
      <c r="E760">
        <v>1077178</v>
      </c>
      <c r="F760">
        <v>2211</v>
      </c>
      <c r="G760">
        <v>570</v>
      </c>
    </row>
    <row r="761" spans="1:8" x14ac:dyDescent="0.45">
      <c r="A761" t="s">
        <v>54</v>
      </c>
      <c r="B761" t="s">
        <v>21</v>
      </c>
      <c r="C761">
        <v>10</v>
      </c>
      <c r="D761" t="s">
        <v>27</v>
      </c>
      <c r="F761">
        <v>657</v>
      </c>
    </row>
    <row r="762" spans="1:8" x14ac:dyDescent="0.45">
      <c r="A762" t="s">
        <v>54</v>
      </c>
      <c r="B762" t="s">
        <v>21</v>
      </c>
      <c r="C762">
        <v>10</v>
      </c>
      <c r="D762" t="s">
        <v>28</v>
      </c>
      <c r="F762">
        <v>431</v>
      </c>
    </row>
    <row r="763" spans="1:8" x14ac:dyDescent="0.45">
      <c r="A763" t="s">
        <v>54</v>
      </c>
      <c r="B763" t="s">
        <v>21</v>
      </c>
      <c r="C763">
        <v>10</v>
      </c>
      <c r="D763" t="s">
        <v>29</v>
      </c>
      <c r="F763">
        <v>273</v>
      </c>
    </row>
    <row r="764" spans="1:8" x14ac:dyDescent="0.45">
      <c r="A764" t="s">
        <v>54</v>
      </c>
      <c r="B764" t="s">
        <v>20</v>
      </c>
      <c r="C764">
        <v>10</v>
      </c>
      <c r="D764" t="s">
        <v>19</v>
      </c>
      <c r="E764">
        <v>1098184</v>
      </c>
      <c r="F764">
        <v>1837</v>
      </c>
      <c r="G764">
        <v>511</v>
      </c>
    </row>
    <row r="765" spans="1:8" x14ac:dyDescent="0.45">
      <c r="A765" t="s">
        <v>54</v>
      </c>
      <c r="B765" t="s">
        <v>20</v>
      </c>
      <c r="C765">
        <v>10</v>
      </c>
      <c r="D765" t="s">
        <v>27</v>
      </c>
      <c r="F765">
        <v>433</v>
      </c>
    </row>
    <row r="766" spans="1:8" x14ac:dyDescent="0.45">
      <c r="A766" t="s">
        <v>54</v>
      </c>
      <c r="B766" t="s">
        <v>20</v>
      </c>
      <c r="C766">
        <v>10</v>
      </c>
      <c r="D766" t="s">
        <v>28</v>
      </c>
      <c r="F766">
        <v>372</v>
      </c>
    </row>
    <row r="767" spans="1:8" x14ac:dyDescent="0.45">
      <c r="A767" t="s">
        <v>54</v>
      </c>
      <c r="B767" t="s">
        <v>20</v>
      </c>
      <c r="C767">
        <v>10</v>
      </c>
      <c r="D767" t="s">
        <v>29</v>
      </c>
      <c r="F767">
        <v>241</v>
      </c>
    </row>
    <row r="768" spans="1:8" x14ac:dyDescent="0.45">
      <c r="A768" t="s">
        <v>54</v>
      </c>
      <c r="B768" t="s">
        <v>20</v>
      </c>
      <c r="C768">
        <v>10</v>
      </c>
      <c r="D768" t="s">
        <v>31</v>
      </c>
      <c r="H768">
        <v>80</v>
      </c>
    </row>
    <row r="769" spans="1:8" x14ac:dyDescent="0.45">
      <c r="A769" t="s">
        <v>54</v>
      </c>
      <c r="B769" t="s">
        <v>20</v>
      </c>
      <c r="C769">
        <v>10</v>
      </c>
      <c r="D769" t="s">
        <v>32</v>
      </c>
      <c r="H769">
        <v>5</v>
      </c>
    </row>
    <row r="770" spans="1:8" x14ac:dyDescent="0.45">
      <c r="A770" t="s">
        <v>54</v>
      </c>
      <c r="B770" t="s">
        <v>20</v>
      </c>
      <c r="C770">
        <v>10</v>
      </c>
      <c r="D770" t="s">
        <v>34</v>
      </c>
      <c r="H770">
        <v>7</v>
      </c>
    </row>
    <row r="771" spans="1:8" x14ac:dyDescent="0.45">
      <c r="A771" t="s">
        <v>54</v>
      </c>
      <c r="B771" t="s">
        <v>21</v>
      </c>
      <c r="C771">
        <v>11</v>
      </c>
      <c r="D771" t="s">
        <v>19</v>
      </c>
      <c r="E771">
        <v>904568</v>
      </c>
      <c r="F771">
        <v>1698</v>
      </c>
      <c r="G771">
        <v>454</v>
      </c>
    </row>
    <row r="772" spans="1:8" x14ac:dyDescent="0.45">
      <c r="A772" t="s">
        <v>54</v>
      </c>
      <c r="B772" t="s">
        <v>21</v>
      </c>
      <c r="C772">
        <v>11</v>
      </c>
      <c r="D772" t="s">
        <v>27</v>
      </c>
      <c r="F772">
        <v>539</v>
      </c>
    </row>
    <row r="773" spans="1:8" x14ac:dyDescent="0.45">
      <c r="A773" t="s">
        <v>54</v>
      </c>
      <c r="B773" t="s">
        <v>21</v>
      </c>
      <c r="C773">
        <v>11</v>
      </c>
      <c r="D773" t="s">
        <v>28</v>
      </c>
      <c r="F773">
        <v>299</v>
      </c>
    </row>
    <row r="774" spans="1:8" x14ac:dyDescent="0.45">
      <c r="A774" t="s">
        <v>54</v>
      </c>
      <c r="B774" t="s">
        <v>21</v>
      </c>
      <c r="C774">
        <v>11</v>
      </c>
      <c r="D774" t="s">
        <v>29</v>
      </c>
      <c r="F774">
        <v>199</v>
      </c>
    </row>
    <row r="775" spans="1:8" x14ac:dyDescent="0.45">
      <c r="A775" t="s">
        <v>54</v>
      </c>
      <c r="B775" t="s">
        <v>20</v>
      </c>
      <c r="C775">
        <v>11</v>
      </c>
      <c r="D775" t="s">
        <v>19</v>
      </c>
      <c r="E775">
        <v>793558</v>
      </c>
      <c r="F775">
        <v>1544</v>
      </c>
      <c r="G775">
        <v>462</v>
      </c>
    </row>
    <row r="776" spans="1:8" x14ac:dyDescent="0.45">
      <c r="A776" t="s">
        <v>54</v>
      </c>
      <c r="B776" t="s">
        <v>20</v>
      </c>
      <c r="C776">
        <v>11</v>
      </c>
      <c r="D776" t="s">
        <v>27</v>
      </c>
      <c r="F776">
        <v>382</v>
      </c>
    </row>
    <row r="777" spans="1:8" x14ac:dyDescent="0.45">
      <c r="A777" t="s">
        <v>54</v>
      </c>
      <c r="B777" t="s">
        <v>20</v>
      </c>
      <c r="C777">
        <v>11</v>
      </c>
      <c r="D777" t="s">
        <v>28</v>
      </c>
      <c r="F777">
        <v>319</v>
      </c>
    </row>
    <row r="778" spans="1:8" x14ac:dyDescent="0.45">
      <c r="A778" t="s">
        <v>54</v>
      </c>
      <c r="B778" t="s">
        <v>20</v>
      </c>
      <c r="C778">
        <v>11</v>
      </c>
      <c r="D778" t="s">
        <v>29</v>
      </c>
      <c r="F778">
        <v>254</v>
      </c>
    </row>
    <row r="779" spans="1:8" x14ac:dyDescent="0.45">
      <c r="A779" t="s">
        <v>54</v>
      </c>
      <c r="B779" t="s">
        <v>20</v>
      </c>
      <c r="C779">
        <v>11</v>
      </c>
      <c r="D779" t="s">
        <v>31</v>
      </c>
      <c r="H779">
        <v>119</v>
      </c>
    </row>
    <row r="780" spans="1:8" x14ac:dyDescent="0.45">
      <c r="A780" t="s">
        <v>54</v>
      </c>
      <c r="B780" t="s">
        <v>20</v>
      </c>
      <c r="C780">
        <v>11</v>
      </c>
      <c r="D780" t="s">
        <v>32</v>
      </c>
      <c r="H780">
        <v>3</v>
      </c>
    </row>
    <row r="781" spans="1:8" x14ac:dyDescent="0.45">
      <c r="A781" t="s">
        <v>54</v>
      </c>
      <c r="B781" t="s">
        <v>20</v>
      </c>
      <c r="C781">
        <v>11</v>
      </c>
      <c r="D781" t="s">
        <v>34</v>
      </c>
      <c r="H781">
        <v>6</v>
      </c>
    </row>
    <row r="782" spans="1:8" x14ac:dyDescent="0.45">
      <c r="A782" t="s">
        <v>54</v>
      </c>
      <c r="B782" t="s">
        <v>21</v>
      </c>
      <c r="C782">
        <v>12</v>
      </c>
      <c r="D782" t="s">
        <v>19</v>
      </c>
      <c r="E782">
        <v>968676</v>
      </c>
      <c r="F782">
        <v>1938</v>
      </c>
      <c r="G782">
        <v>463</v>
      </c>
    </row>
    <row r="783" spans="1:8" x14ac:dyDescent="0.45">
      <c r="A783" t="s">
        <v>54</v>
      </c>
      <c r="B783" t="s">
        <v>21</v>
      </c>
      <c r="C783">
        <v>12</v>
      </c>
      <c r="D783" t="s">
        <v>27</v>
      </c>
      <c r="F783">
        <v>497</v>
      </c>
    </row>
    <row r="784" spans="1:8" x14ac:dyDescent="0.45">
      <c r="A784" t="s">
        <v>54</v>
      </c>
      <c r="B784" t="s">
        <v>21</v>
      </c>
      <c r="C784">
        <v>12</v>
      </c>
      <c r="D784" t="s">
        <v>28</v>
      </c>
      <c r="F784">
        <v>372</v>
      </c>
    </row>
    <row r="785" spans="1:8" x14ac:dyDescent="0.45">
      <c r="A785" t="s">
        <v>54</v>
      </c>
      <c r="B785" t="s">
        <v>21</v>
      </c>
      <c r="C785">
        <v>12</v>
      </c>
      <c r="D785" t="s">
        <v>29</v>
      </c>
      <c r="F785">
        <v>285</v>
      </c>
    </row>
    <row r="786" spans="1:8" x14ac:dyDescent="0.45">
      <c r="A786" t="s">
        <v>54</v>
      </c>
      <c r="B786" t="s">
        <v>20</v>
      </c>
      <c r="C786">
        <v>12</v>
      </c>
      <c r="D786" t="s">
        <v>19</v>
      </c>
      <c r="E786">
        <v>815987</v>
      </c>
      <c r="F786">
        <v>1546</v>
      </c>
      <c r="G786">
        <v>419</v>
      </c>
    </row>
    <row r="787" spans="1:8" x14ac:dyDescent="0.45">
      <c r="A787" t="s">
        <v>54</v>
      </c>
      <c r="B787" t="s">
        <v>20</v>
      </c>
      <c r="C787">
        <v>12</v>
      </c>
      <c r="D787" t="s">
        <v>27</v>
      </c>
      <c r="F787">
        <v>330</v>
      </c>
    </row>
    <row r="788" spans="1:8" x14ac:dyDescent="0.45">
      <c r="A788" t="s">
        <v>54</v>
      </c>
      <c r="B788" t="s">
        <v>20</v>
      </c>
      <c r="C788">
        <v>12</v>
      </c>
      <c r="D788" t="s">
        <v>28</v>
      </c>
      <c r="F788">
        <v>324</v>
      </c>
    </row>
    <row r="789" spans="1:8" x14ac:dyDescent="0.45">
      <c r="A789" t="s">
        <v>54</v>
      </c>
      <c r="B789" t="s">
        <v>20</v>
      </c>
      <c r="C789">
        <v>12</v>
      </c>
      <c r="D789" t="s">
        <v>29</v>
      </c>
      <c r="F789">
        <v>257</v>
      </c>
    </row>
    <row r="790" spans="1:8" x14ac:dyDescent="0.45">
      <c r="A790" t="s">
        <v>54</v>
      </c>
      <c r="B790" t="s">
        <v>20</v>
      </c>
      <c r="C790">
        <v>12</v>
      </c>
      <c r="D790" t="s">
        <v>31</v>
      </c>
      <c r="H790">
        <v>43</v>
      </c>
    </row>
    <row r="791" spans="1:8" x14ac:dyDescent="0.45">
      <c r="A791" t="s">
        <v>54</v>
      </c>
      <c r="B791" t="s">
        <v>20</v>
      </c>
      <c r="C791">
        <v>12</v>
      </c>
      <c r="D791" t="s">
        <v>32</v>
      </c>
      <c r="H791">
        <v>2</v>
      </c>
    </row>
    <row r="792" spans="1:8" x14ac:dyDescent="0.45">
      <c r="A792" t="s">
        <v>54</v>
      </c>
      <c r="B792" t="s">
        <v>20</v>
      </c>
      <c r="C792">
        <v>12</v>
      </c>
      <c r="D792" t="s">
        <v>34</v>
      </c>
      <c r="H792">
        <v>6</v>
      </c>
    </row>
    <row r="793" spans="1:8" x14ac:dyDescent="0.45">
      <c r="A793" t="s">
        <v>37</v>
      </c>
      <c r="B793" t="s">
        <v>21</v>
      </c>
      <c r="C793">
        <v>1</v>
      </c>
      <c r="D793" t="s">
        <v>19</v>
      </c>
      <c r="E793">
        <v>733675</v>
      </c>
      <c r="F793">
        <v>1998</v>
      </c>
      <c r="G793">
        <v>550</v>
      </c>
    </row>
    <row r="794" spans="1:8" x14ac:dyDescent="0.45">
      <c r="A794" t="s">
        <v>37</v>
      </c>
      <c r="B794" t="s">
        <v>21</v>
      </c>
      <c r="C794">
        <v>1</v>
      </c>
      <c r="D794" t="s">
        <v>27</v>
      </c>
      <c r="F794">
        <v>1196</v>
      </c>
    </row>
    <row r="795" spans="1:8" x14ac:dyDescent="0.45">
      <c r="A795" t="s">
        <v>37</v>
      </c>
      <c r="B795" t="s">
        <v>21</v>
      </c>
      <c r="C795">
        <v>1</v>
      </c>
      <c r="D795" t="s">
        <v>28</v>
      </c>
      <c r="F795">
        <v>259</v>
      </c>
    </row>
    <row r="796" spans="1:8" x14ac:dyDescent="0.45">
      <c r="A796" t="s">
        <v>37</v>
      </c>
      <c r="B796" t="s">
        <v>21</v>
      </c>
      <c r="C796">
        <v>1</v>
      </c>
      <c r="D796" t="s">
        <v>29</v>
      </c>
      <c r="F796">
        <v>161</v>
      </c>
    </row>
    <row r="797" spans="1:8" x14ac:dyDescent="0.45">
      <c r="A797" t="s">
        <v>37</v>
      </c>
      <c r="B797" t="s">
        <v>20</v>
      </c>
      <c r="C797">
        <v>1</v>
      </c>
      <c r="D797" t="s">
        <v>19</v>
      </c>
      <c r="E797">
        <v>567187</v>
      </c>
      <c r="F797">
        <v>1622</v>
      </c>
      <c r="G797">
        <v>442</v>
      </c>
    </row>
    <row r="798" spans="1:8" x14ac:dyDescent="0.45">
      <c r="A798" t="s">
        <v>37</v>
      </c>
      <c r="B798" t="s">
        <v>20</v>
      </c>
      <c r="C798">
        <v>1</v>
      </c>
      <c r="D798" t="s">
        <v>27</v>
      </c>
      <c r="F798">
        <v>1005</v>
      </c>
    </row>
    <row r="799" spans="1:8" x14ac:dyDescent="0.45">
      <c r="A799" t="s">
        <v>37</v>
      </c>
      <c r="B799" t="s">
        <v>20</v>
      </c>
      <c r="C799">
        <v>1</v>
      </c>
      <c r="D799" t="s">
        <v>28</v>
      </c>
      <c r="F799">
        <v>238</v>
      </c>
    </row>
    <row r="800" spans="1:8" x14ac:dyDescent="0.45">
      <c r="A800" t="s">
        <v>37</v>
      </c>
      <c r="B800" t="s">
        <v>20</v>
      </c>
      <c r="C800">
        <v>1</v>
      </c>
      <c r="D800" t="s">
        <v>29</v>
      </c>
      <c r="F800">
        <v>130</v>
      </c>
    </row>
    <row r="801" spans="1:8" x14ac:dyDescent="0.45">
      <c r="A801" t="s">
        <v>37</v>
      </c>
      <c r="B801" t="s">
        <v>20</v>
      </c>
      <c r="C801">
        <v>1</v>
      </c>
      <c r="D801" t="s">
        <v>31</v>
      </c>
      <c r="H801">
        <v>56</v>
      </c>
    </row>
    <row r="802" spans="1:8" x14ac:dyDescent="0.45">
      <c r="A802" t="s">
        <v>37</v>
      </c>
      <c r="B802" t="s">
        <v>20</v>
      </c>
      <c r="C802">
        <v>1</v>
      </c>
      <c r="D802" t="s">
        <v>32</v>
      </c>
      <c r="H802">
        <v>2</v>
      </c>
    </row>
    <row r="803" spans="1:8" x14ac:dyDescent="0.45">
      <c r="A803" t="s">
        <v>37</v>
      </c>
      <c r="B803" t="s">
        <v>20</v>
      </c>
      <c r="C803">
        <v>1</v>
      </c>
      <c r="D803" t="s">
        <v>34</v>
      </c>
    </row>
    <row r="804" spans="1:8" x14ac:dyDescent="0.45">
      <c r="A804" t="s">
        <v>37</v>
      </c>
      <c r="B804" t="s">
        <v>21</v>
      </c>
      <c r="C804">
        <v>2</v>
      </c>
      <c r="D804" t="s">
        <v>19</v>
      </c>
      <c r="E804">
        <v>611862</v>
      </c>
      <c r="F804">
        <v>1798</v>
      </c>
      <c r="G804">
        <v>506</v>
      </c>
    </row>
    <row r="805" spans="1:8" x14ac:dyDescent="0.45">
      <c r="A805" t="s">
        <v>37</v>
      </c>
      <c r="B805" t="s">
        <v>21</v>
      </c>
      <c r="C805">
        <v>2</v>
      </c>
      <c r="D805" t="s">
        <v>27</v>
      </c>
      <c r="F805">
        <v>1194</v>
      </c>
    </row>
    <row r="806" spans="1:8" x14ac:dyDescent="0.45">
      <c r="A806" t="s">
        <v>37</v>
      </c>
      <c r="B806" t="s">
        <v>21</v>
      </c>
      <c r="C806">
        <v>2</v>
      </c>
      <c r="D806" t="s">
        <v>28</v>
      </c>
      <c r="F806">
        <v>206</v>
      </c>
    </row>
    <row r="807" spans="1:8" x14ac:dyDescent="0.45">
      <c r="A807" t="s">
        <v>37</v>
      </c>
      <c r="B807" t="s">
        <v>21</v>
      </c>
      <c r="C807">
        <v>2</v>
      </c>
      <c r="D807" t="s">
        <v>29</v>
      </c>
      <c r="F807">
        <v>112</v>
      </c>
    </row>
    <row r="808" spans="1:8" x14ac:dyDescent="0.45">
      <c r="A808" t="s">
        <v>37</v>
      </c>
      <c r="B808" t="s">
        <v>20</v>
      </c>
      <c r="C808">
        <v>2</v>
      </c>
      <c r="D808" t="s">
        <v>19</v>
      </c>
      <c r="E808">
        <v>564938</v>
      </c>
      <c r="F808">
        <v>1496</v>
      </c>
      <c r="G808">
        <v>426</v>
      </c>
    </row>
    <row r="809" spans="1:8" x14ac:dyDescent="0.45">
      <c r="A809" t="s">
        <v>37</v>
      </c>
      <c r="B809" t="s">
        <v>20</v>
      </c>
      <c r="C809">
        <v>2</v>
      </c>
      <c r="D809" t="s">
        <v>27</v>
      </c>
      <c r="F809">
        <v>904</v>
      </c>
    </row>
    <row r="810" spans="1:8" x14ac:dyDescent="0.45">
      <c r="A810" t="s">
        <v>37</v>
      </c>
      <c r="B810" t="s">
        <v>20</v>
      </c>
      <c r="C810">
        <v>2</v>
      </c>
      <c r="D810" t="s">
        <v>28</v>
      </c>
      <c r="F810">
        <v>202</v>
      </c>
    </row>
    <row r="811" spans="1:8" x14ac:dyDescent="0.45">
      <c r="A811" t="s">
        <v>37</v>
      </c>
      <c r="B811" t="s">
        <v>20</v>
      </c>
      <c r="C811">
        <v>2</v>
      </c>
      <c r="D811" t="s">
        <v>29</v>
      </c>
      <c r="F811">
        <v>82</v>
      </c>
    </row>
    <row r="812" spans="1:8" x14ac:dyDescent="0.45">
      <c r="A812" t="s">
        <v>37</v>
      </c>
      <c r="B812" t="s">
        <v>20</v>
      </c>
      <c r="C812">
        <v>2</v>
      </c>
      <c r="D812" t="s">
        <v>31</v>
      </c>
      <c r="H812">
        <v>52</v>
      </c>
    </row>
    <row r="813" spans="1:8" x14ac:dyDescent="0.45">
      <c r="A813" t="s">
        <v>37</v>
      </c>
      <c r="B813" t="s">
        <v>20</v>
      </c>
      <c r="C813">
        <v>2</v>
      </c>
      <c r="D813" t="s">
        <v>32</v>
      </c>
      <c r="H813">
        <v>3</v>
      </c>
    </row>
    <row r="814" spans="1:8" x14ac:dyDescent="0.45">
      <c r="A814" t="s">
        <v>37</v>
      </c>
      <c r="B814" t="s">
        <v>20</v>
      </c>
      <c r="C814">
        <v>2</v>
      </c>
      <c r="D814" t="s">
        <v>34</v>
      </c>
      <c r="H814">
        <v>6</v>
      </c>
    </row>
    <row r="815" spans="1:8" x14ac:dyDescent="0.45">
      <c r="A815" t="s">
        <v>37</v>
      </c>
      <c r="B815" t="s">
        <v>21</v>
      </c>
      <c r="C815">
        <v>3</v>
      </c>
      <c r="D815" t="s">
        <v>19</v>
      </c>
      <c r="E815">
        <v>1335104</v>
      </c>
      <c r="F815">
        <v>2963</v>
      </c>
      <c r="G815">
        <v>800</v>
      </c>
    </row>
    <row r="816" spans="1:8" x14ac:dyDescent="0.45">
      <c r="A816" t="s">
        <v>37</v>
      </c>
      <c r="B816" t="s">
        <v>21</v>
      </c>
      <c r="C816">
        <v>3</v>
      </c>
      <c r="D816" t="s">
        <v>27</v>
      </c>
      <c r="F816">
        <v>929</v>
      </c>
    </row>
    <row r="817" spans="1:8" x14ac:dyDescent="0.45">
      <c r="A817" t="s">
        <v>37</v>
      </c>
      <c r="B817" t="s">
        <v>21</v>
      </c>
      <c r="C817">
        <v>3</v>
      </c>
      <c r="D817" t="s">
        <v>28</v>
      </c>
      <c r="F817">
        <v>361</v>
      </c>
    </row>
    <row r="818" spans="1:8" x14ac:dyDescent="0.45">
      <c r="A818" t="s">
        <v>37</v>
      </c>
      <c r="B818" t="s">
        <v>21</v>
      </c>
      <c r="C818">
        <v>3</v>
      </c>
      <c r="D818" t="s">
        <v>29</v>
      </c>
      <c r="F818">
        <v>249</v>
      </c>
    </row>
    <row r="819" spans="1:8" x14ac:dyDescent="0.45">
      <c r="A819" t="s">
        <v>37</v>
      </c>
      <c r="B819" t="s">
        <v>20</v>
      </c>
      <c r="C819">
        <v>3</v>
      </c>
      <c r="D819" t="s">
        <v>19</v>
      </c>
      <c r="E819">
        <v>1056195</v>
      </c>
      <c r="F819">
        <v>2304</v>
      </c>
      <c r="G819">
        <v>625</v>
      </c>
    </row>
    <row r="820" spans="1:8" x14ac:dyDescent="0.45">
      <c r="A820" t="s">
        <v>37</v>
      </c>
      <c r="B820" t="s">
        <v>20</v>
      </c>
      <c r="C820">
        <v>3</v>
      </c>
      <c r="D820" t="s">
        <v>27</v>
      </c>
      <c r="F820">
        <v>1154</v>
      </c>
    </row>
    <row r="821" spans="1:8" x14ac:dyDescent="0.45">
      <c r="A821" t="s">
        <v>37</v>
      </c>
      <c r="B821" t="s">
        <v>20</v>
      </c>
      <c r="C821">
        <v>3</v>
      </c>
      <c r="D821" t="s">
        <v>28</v>
      </c>
      <c r="F821">
        <v>271</v>
      </c>
    </row>
    <row r="822" spans="1:8" x14ac:dyDescent="0.45">
      <c r="A822" t="s">
        <v>37</v>
      </c>
      <c r="B822" t="s">
        <v>20</v>
      </c>
      <c r="C822">
        <v>3</v>
      </c>
      <c r="D822" t="s">
        <v>29</v>
      </c>
      <c r="F822">
        <v>192</v>
      </c>
    </row>
    <row r="823" spans="1:8" x14ac:dyDescent="0.45">
      <c r="A823" t="s">
        <v>37</v>
      </c>
      <c r="B823" t="s">
        <v>20</v>
      </c>
      <c r="C823">
        <v>3</v>
      </c>
      <c r="D823" t="s">
        <v>31</v>
      </c>
      <c r="H823">
        <v>45</v>
      </c>
    </row>
    <row r="824" spans="1:8" x14ac:dyDescent="0.45">
      <c r="A824" t="s">
        <v>37</v>
      </c>
      <c r="B824" t="s">
        <v>20</v>
      </c>
      <c r="C824">
        <v>3</v>
      </c>
      <c r="D824" t="s">
        <v>32</v>
      </c>
      <c r="H824">
        <v>2</v>
      </c>
    </row>
    <row r="825" spans="1:8" x14ac:dyDescent="0.45">
      <c r="A825" t="s">
        <v>37</v>
      </c>
      <c r="B825" t="s">
        <v>20</v>
      </c>
      <c r="C825">
        <v>3</v>
      </c>
      <c r="D825" t="s">
        <v>34</v>
      </c>
      <c r="H825">
        <v>3</v>
      </c>
    </row>
    <row r="826" spans="1:8" x14ac:dyDescent="0.45">
      <c r="A826" t="s">
        <v>37</v>
      </c>
      <c r="B826" t="s">
        <v>21</v>
      </c>
      <c r="C826">
        <v>4</v>
      </c>
      <c r="D826" t="s">
        <v>19</v>
      </c>
      <c r="E826">
        <v>1671864</v>
      </c>
      <c r="F826">
        <v>3383</v>
      </c>
      <c r="G826">
        <v>849</v>
      </c>
    </row>
    <row r="827" spans="1:8" x14ac:dyDescent="0.45">
      <c r="A827" t="s">
        <v>37</v>
      </c>
      <c r="B827" t="s">
        <v>21</v>
      </c>
      <c r="C827">
        <v>4</v>
      </c>
      <c r="D827" t="s">
        <v>27</v>
      </c>
      <c r="F827">
        <v>1386</v>
      </c>
    </row>
    <row r="828" spans="1:8" x14ac:dyDescent="0.45">
      <c r="A828" t="s">
        <v>37</v>
      </c>
      <c r="B828" t="s">
        <v>21</v>
      </c>
      <c r="C828">
        <v>4</v>
      </c>
      <c r="D828" t="s">
        <v>28</v>
      </c>
      <c r="F828">
        <v>466</v>
      </c>
    </row>
    <row r="829" spans="1:8" x14ac:dyDescent="0.45">
      <c r="A829" t="s">
        <v>37</v>
      </c>
      <c r="B829" t="s">
        <v>21</v>
      </c>
      <c r="C829">
        <v>4</v>
      </c>
      <c r="D829" t="s">
        <v>29</v>
      </c>
      <c r="F829">
        <v>297</v>
      </c>
    </row>
    <row r="830" spans="1:8" x14ac:dyDescent="0.45">
      <c r="A830" t="s">
        <v>37</v>
      </c>
      <c r="B830" t="s">
        <v>20</v>
      </c>
      <c r="C830">
        <v>4</v>
      </c>
      <c r="D830" t="s">
        <v>19</v>
      </c>
      <c r="E830">
        <v>1771940</v>
      </c>
      <c r="F830">
        <v>3330</v>
      </c>
    </row>
    <row r="831" spans="1:8" x14ac:dyDescent="0.45">
      <c r="A831" t="s">
        <v>37</v>
      </c>
      <c r="B831" t="s">
        <v>20</v>
      </c>
      <c r="C831">
        <v>4</v>
      </c>
      <c r="D831" t="s">
        <v>27</v>
      </c>
      <c r="F831">
        <v>1120</v>
      </c>
    </row>
    <row r="832" spans="1:8" x14ac:dyDescent="0.45">
      <c r="A832" t="s">
        <v>37</v>
      </c>
      <c r="B832" t="s">
        <v>20</v>
      </c>
      <c r="C832">
        <v>4</v>
      </c>
      <c r="D832" t="s">
        <v>28</v>
      </c>
      <c r="F832">
        <v>448</v>
      </c>
    </row>
    <row r="833" spans="1:8" x14ac:dyDescent="0.45">
      <c r="A833" t="s">
        <v>37</v>
      </c>
      <c r="B833" t="s">
        <v>20</v>
      </c>
      <c r="C833">
        <v>4</v>
      </c>
      <c r="D833" t="s">
        <v>29</v>
      </c>
      <c r="F833">
        <v>290</v>
      </c>
    </row>
    <row r="834" spans="1:8" x14ac:dyDescent="0.45">
      <c r="A834" t="s">
        <v>37</v>
      </c>
      <c r="B834" t="s">
        <v>20</v>
      </c>
      <c r="C834">
        <v>4</v>
      </c>
      <c r="D834" t="s">
        <v>31</v>
      </c>
      <c r="H834">
        <v>22</v>
      </c>
    </row>
    <row r="835" spans="1:8" x14ac:dyDescent="0.45">
      <c r="A835" t="s">
        <v>37</v>
      </c>
      <c r="B835" t="s">
        <v>20</v>
      </c>
      <c r="C835">
        <v>4</v>
      </c>
      <c r="D835" t="s">
        <v>32</v>
      </c>
      <c r="H835">
        <v>6</v>
      </c>
    </row>
    <row r="836" spans="1:8" x14ac:dyDescent="0.45">
      <c r="A836" t="s">
        <v>37</v>
      </c>
      <c r="B836" t="s">
        <v>20</v>
      </c>
      <c r="C836">
        <v>4</v>
      </c>
      <c r="D836" t="s">
        <v>34</v>
      </c>
      <c r="H836">
        <v>4</v>
      </c>
    </row>
    <row r="837" spans="1:8" x14ac:dyDescent="0.45">
      <c r="A837" t="s">
        <v>37</v>
      </c>
      <c r="B837" t="s">
        <v>21</v>
      </c>
      <c r="C837">
        <v>5</v>
      </c>
      <c r="D837" t="s">
        <v>19</v>
      </c>
      <c r="E837">
        <v>1481090</v>
      </c>
      <c r="F837">
        <v>2857</v>
      </c>
      <c r="G837">
        <v>707</v>
      </c>
    </row>
    <row r="838" spans="1:8" x14ac:dyDescent="0.45">
      <c r="A838" t="s">
        <v>37</v>
      </c>
      <c r="B838" t="s">
        <v>21</v>
      </c>
      <c r="C838">
        <v>5</v>
      </c>
      <c r="D838" t="s">
        <v>27</v>
      </c>
      <c r="F838">
        <v>1199</v>
      </c>
    </row>
    <row r="839" spans="1:8" x14ac:dyDescent="0.45">
      <c r="A839" t="s">
        <v>37</v>
      </c>
      <c r="B839" t="s">
        <v>21</v>
      </c>
      <c r="C839">
        <v>5</v>
      </c>
      <c r="D839" t="s">
        <v>28</v>
      </c>
      <c r="F839">
        <v>400</v>
      </c>
    </row>
    <row r="840" spans="1:8" x14ac:dyDescent="0.45">
      <c r="A840" t="s">
        <v>37</v>
      </c>
      <c r="B840" t="s">
        <v>21</v>
      </c>
      <c r="C840">
        <v>5</v>
      </c>
      <c r="D840" t="s">
        <v>29</v>
      </c>
      <c r="F840">
        <v>251</v>
      </c>
    </row>
    <row r="841" spans="1:8" x14ac:dyDescent="0.45">
      <c r="A841" t="s">
        <v>37</v>
      </c>
      <c r="B841" t="s">
        <v>20</v>
      </c>
      <c r="C841">
        <v>5</v>
      </c>
      <c r="D841" t="s">
        <v>19</v>
      </c>
      <c r="E841">
        <v>1163965</v>
      </c>
      <c r="F841">
        <v>2458</v>
      </c>
      <c r="G841">
        <v>663</v>
      </c>
    </row>
    <row r="842" spans="1:8" x14ac:dyDescent="0.45">
      <c r="A842" t="s">
        <v>37</v>
      </c>
      <c r="B842" t="s">
        <v>20</v>
      </c>
      <c r="C842">
        <v>5</v>
      </c>
      <c r="D842" t="s">
        <v>27</v>
      </c>
      <c r="F842">
        <v>1015</v>
      </c>
    </row>
    <row r="843" spans="1:8" x14ac:dyDescent="0.45">
      <c r="A843" t="s">
        <v>37</v>
      </c>
      <c r="B843" t="s">
        <v>20</v>
      </c>
      <c r="C843">
        <v>5</v>
      </c>
      <c r="D843" t="s">
        <v>28</v>
      </c>
      <c r="F843">
        <v>370</v>
      </c>
    </row>
    <row r="844" spans="1:8" x14ac:dyDescent="0.45">
      <c r="A844" t="s">
        <v>37</v>
      </c>
      <c r="B844" t="s">
        <v>20</v>
      </c>
      <c r="C844">
        <v>5</v>
      </c>
      <c r="D844" t="s">
        <v>29</v>
      </c>
      <c r="F844">
        <v>217</v>
      </c>
    </row>
    <row r="845" spans="1:8" x14ac:dyDescent="0.45">
      <c r="A845" t="s">
        <v>37</v>
      </c>
      <c r="B845" t="s">
        <v>20</v>
      </c>
      <c r="C845">
        <v>5</v>
      </c>
      <c r="D845" t="s">
        <v>31</v>
      </c>
      <c r="H845">
        <v>57</v>
      </c>
    </row>
    <row r="846" spans="1:8" x14ac:dyDescent="0.45">
      <c r="A846" t="s">
        <v>37</v>
      </c>
      <c r="B846" t="s">
        <v>20</v>
      </c>
      <c r="C846">
        <v>5</v>
      </c>
      <c r="D846" t="s">
        <v>32</v>
      </c>
      <c r="H846">
        <v>6</v>
      </c>
    </row>
    <row r="847" spans="1:8" x14ac:dyDescent="0.45">
      <c r="A847" t="s">
        <v>37</v>
      </c>
      <c r="B847" t="s">
        <v>20</v>
      </c>
      <c r="C847">
        <v>5</v>
      </c>
      <c r="D847" t="s">
        <v>34</v>
      </c>
      <c r="H847">
        <v>5</v>
      </c>
    </row>
    <row r="848" spans="1:8" x14ac:dyDescent="0.45">
      <c r="A848" t="s">
        <v>37</v>
      </c>
      <c r="B848" t="s">
        <v>21</v>
      </c>
      <c r="C848">
        <v>6</v>
      </c>
      <c r="D848" t="s">
        <v>19</v>
      </c>
      <c r="E848">
        <v>1268687</v>
      </c>
      <c r="F848">
        <v>2849</v>
      </c>
      <c r="G848">
        <v>736</v>
      </c>
    </row>
    <row r="849" spans="1:8" x14ac:dyDescent="0.45">
      <c r="A849" t="s">
        <v>37</v>
      </c>
      <c r="B849" t="s">
        <v>21</v>
      </c>
      <c r="C849">
        <v>6</v>
      </c>
      <c r="D849" t="s">
        <v>27</v>
      </c>
      <c r="F849">
        <v>1288</v>
      </c>
    </row>
    <row r="850" spans="1:8" x14ac:dyDescent="0.45">
      <c r="A850" t="s">
        <v>37</v>
      </c>
      <c r="B850" t="s">
        <v>21</v>
      </c>
      <c r="C850">
        <v>6</v>
      </c>
      <c r="D850" t="s">
        <v>28</v>
      </c>
      <c r="F850">
        <v>468</v>
      </c>
    </row>
    <row r="851" spans="1:8" x14ac:dyDescent="0.45">
      <c r="A851" t="s">
        <v>37</v>
      </c>
      <c r="B851" t="s">
        <v>21</v>
      </c>
      <c r="C851">
        <v>6</v>
      </c>
      <c r="D851" t="s">
        <v>29</v>
      </c>
      <c r="F851">
        <v>305</v>
      </c>
    </row>
    <row r="852" spans="1:8" x14ac:dyDescent="0.45">
      <c r="A852" t="s">
        <v>37</v>
      </c>
      <c r="B852" t="s">
        <v>20</v>
      </c>
      <c r="C852">
        <v>6</v>
      </c>
      <c r="D852" t="s">
        <v>19</v>
      </c>
      <c r="E852">
        <v>1070512</v>
      </c>
      <c r="F852">
        <v>2320</v>
      </c>
      <c r="G852">
        <v>606</v>
      </c>
    </row>
    <row r="853" spans="1:8" x14ac:dyDescent="0.45">
      <c r="A853" t="s">
        <v>37</v>
      </c>
      <c r="B853" t="s">
        <v>20</v>
      </c>
      <c r="C853">
        <v>6</v>
      </c>
      <c r="D853" t="s">
        <v>27</v>
      </c>
      <c r="F853">
        <v>1061</v>
      </c>
    </row>
    <row r="854" spans="1:8" x14ac:dyDescent="0.45">
      <c r="A854" t="s">
        <v>37</v>
      </c>
      <c r="B854" t="s">
        <v>20</v>
      </c>
      <c r="C854">
        <v>6</v>
      </c>
      <c r="D854" t="s">
        <v>28</v>
      </c>
      <c r="F854">
        <v>392</v>
      </c>
    </row>
    <row r="855" spans="1:8" x14ac:dyDescent="0.45">
      <c r="A855" t="s">
        <v>37</v>
      </c>
      <c r="B855" t="s">
        <v>20</v>
      </c>
      <c r="C855">
        <v>6</v>
      </c>
      <c r="D855" t="s">
        <v>29</v>
      </c>
      <c r="F855">
        <v>220</v>
      </c>
    </row>
    <row r="856" spans="1:8" x14ac:dyDescent="0.45">
      <c r="A856" t="s">
        <v>37</v>
      </c>
      <c r="B856" t="s">
        <v>20</v>
      </c>
      <c r="C856">
        <v>6</v>
      </c>
      <c r="D856" t="s">
        <v>31</v>
      </c>
      <c r="H856">
        <v>19</v>
      </c>
    </row>
    <row r="857" spans="1:8" x14ac:dyDescent="0.45">
      <c r="A857" t="s">
        <v>37</v>
      </c>
      <c r="B857" t="s">
        <v>20</v>
      </c>
      <c r="C857">
        <v>6</v>
      </c>
      <c r="D857" t="s">
        <v>32</v>
      </c>
      <c r="H857">
        <v>8</v>
      </c>
    </row>
    <row r="858" spans="1:8" x14ac:dyDescent="0.45">
      <c r="A858" t="s">
        <v>37</v>
      </c>
      <c r="B858" t="s">
        <v>20</v>
      </c>
      <c r="C858">
        <v>6</v>
      </c>
      <c r="D858" t="s">
        <v>34</v>
      </c>
      <c r="H858">
        <v>6</v>
      </c>
    </row>
    <row r="859" spans="1:8" x14ac:dyDescent="0.45">
      <c r="A859" t="s">
        <v>37</v>
      </c>
      <c r="B859" t="s">
        <v>21</v>
      </c>
      <c r="C859">
        <v>7</v>
      </c>
      <c r="D859" t="s">
        <v>19</v>
      </c>
    </row>
    <row r="860" spans="1:8" x14ac:dyDescent="0.45">
      <c r="A860" t="s">
        <v>37</v>
      </c>
      <c r="B860" t="s">
        <v>21</v>
      </c>
      <c r="C860">
        <v>7</v>
      </c>
      <c r="D860" t="s">
        <v>27</v>
      </c>
    </row>
    <row r="861" spans="1:8" x14ac:dyDescent="0.45">
      <c r="A861" t="s">
        <v>37</v>
      </c>
      <c r="B861" t="s">
        <v>21</v>
      </c>
      <c r="C861">
        <v>7</v>
      </c>
      <c r="D861" t="s">
        <v>28</v>
      </c>
    </row>
    <row r="862" spans="1:8" x14ac:dyDescent="0.45">
      <c r="A862" t="s">
        <v>37</v>
      </c>
      <c r="B862" t="s">
        <v>21</v>
      </c>
      <c r="C862">
        <v>7</v>
      </c>
      <c r="D862" t="s">
        <v>29</v>
      </c>
    </row>
    <row r="863" spans="1:8" x14ac:dyDescent="0.45">
      <c r="A863" t="s">
        <v>37</v>
      </c>
      <c r="B863" t="s">
        <v>20</v>
      </c>
      <c r="C863">
        <v>7</v>
      </c>
      <c r="D863" t="s">
        <v>19</v>
      </c>
    </row>
    <row r="864" spans="1:8" x14ac:dyDescent="0.45">
      <c r="A864" t="s">
        <v>37</v>
      </c>
      <c r="B864" t="s">
        <v>20</v>
      </c>
      <c r="C864">
        <v>7</v>
      </c>
      <c r="D864" t="s">
        <v>27</v>
      </c>
    </row>
    <row r="865" spans="1:8" x14ac:dyDescent="0.45">
      <c r="A865" t="s">
        <v>37</v>
      </c>
      <c r="B865" t="s">
        <v>20</v>
      </c>
      <c r="C865">
        <v>7</v>
      </c>
      <c r="D865" t="s">
        <v>28</v>
      </c>
    </row>
    <row r="866" spans="1:8" x14ac:dyDescent="0.45">
      <c r="A866" t="s">
        <v>37</v>
      </c>
      <c r="B866" t="s">
        <v>20</v>
      </c>
      <c r="C866">
        <v>7</v>
      </c>
      <c r="D866" t="s">
        <v>29</v>
      </c>
    </row>
    <row r="867" spans="1:8" x14ac:dyDescent="0.45">
      <c r="A867" t="s">
        <v>37</v>
      </c>
      <c r="B867" t="s">
        <v>20</v>
      </c>
      <c r="C867">
        <v>7</v>
      </c>
      <c r="D867" t="s">
        <v>31</v>
      </c>
      <c r="H867">
        <v>0</v>
      </c>
    </row>
    <row r="868" spans="1:8" x14ac:dyDescent="0.45">
      <c r="A868" t="s">
        <v>37</v>
      </c>
      <c r="B868" t="s">
        <v>20</v>
      </c>
      <c r="C868">
        <v>7</v>
      </c>
      <c r="D868" t="s">
        <v>32</v>
      </c>
      <c r="H868">
        <v>0</v>
      </c>
    </row>
    <row r="869" spans="1:8" x14ac:dyDescent="0.45">
      <c r="A869" t="s">
        <v>37</v>
      </c>
      <c r="B869" t="s">
        <v>20</v>
      </c>
      <c r="C869">
        <v>7</v>
      </c>
      <c r="D869" t="s">
        <v>34</v>
      </c>
      <c r="H869">
        <v>0</v>
      </c>
    </row>
    <row r="870" spans="1:8" x14ac:dyDescent="0.45">
      <c r="A870" t="s">
        <v>37</v>
      </c>
      <c r="B870" t="s">
        <v>21</v>
      </c>
      <c r="C870">
        <v>8</v>
      </c>
      <c r="D870" t="s">
        <v>19</v>
      </c>
      <c r="E870">
        <v>764391</v>
      </c>
      <c r="F870">
        <v>1959</v>
      </c>
      <c r="G870">
        <v>539</v>
      </c>
    </row>
    <row r="871" spans="1:8" x14ac:dyDescent="0.45">
      <c r="A871" t="s">
        <v>37</v>
      </c>
      <c r="B871" t="s">
        <v>21</v>
      </c>
      <c r="C871">
        <v>8</v>
      </c>
      <c r="D871" t="s">
        <v>27</v>
      </c>
      <c r="F871">
        <v>1107</v>
      </c>
    </row>
    <row r="872" spans="1:8" x14ac:dyDescent="0.45">
      <c r="A872" t="s">
        <v>37</v>
      </c>
      <c r="B872" t="s">
        <v>21</v>
      </c>
      <c r="C872">
        <v>8</v>
      </c>
      <c r="D872" t="s">
        <v>28</v>
      </c>
      <c r="F872">
        <v>340</v>
      </c>
      <c r="G872">
        <v>1220</v>
      </c>
    </row>
    <row r="873" spans="1:8" x14ac:dyDescent="0.45">
      <c r="A873" t="s">
        <v>37</v>
      </c>
      <c r="B873" t="s">
        <v>21</v>
      </c>
      <c r="C873">
        <v>8</v>
      </c>
      <c r="D873" t="s">
        <v>29</v>
      </c>
      <c r="F873">
        <v>128</v>
      </c>
      <c r="G873">
        <v>1018</v>
      </c>
    </row>
    <row r="874" spans="1:8" x14ac:dyDescent="0.45">
      <c r="A874" t="s">
        <v>37</v>
      </c>
      <c r="B874" t="s">
        <v>20</v>
      </c>
      <c r="C874">
        <v>8</v>
      </c>
      <c r="D874" t="s">
        <v>19</v>
      </c>
      <c r="E874">
        <v>710995</v>
      </c>
      <c r="F874">
        <v>1510</v>
      </c>
      <c r="G874">
        <v>453</v>
      </c>
    </row>
    <row r="875" spans="1:8" x14ac:dyDescent="0.45">
      <c r="A875" t="s">
        <v>37</v>
      </c>
      <c r="B875" t="s">
        <v>20</v>
      </c>
      <c r="C875">
        <v>8</v>
      </c>
      <c r="D875" t="s">
        <v>27</v>
      </c>
      <c r="F875">
        <v>779</v>
      </c>
      <c r="G875">
        <v>1023</v>
      </c>
    </row>
    <row r="876" spans="1:8" x14ac:dyDescent="0.45">
      <c r="A876" t="s">
        <v>37</v>
      </c>
      <c r="B876" t="s">
        <v>20</v>
      </c>
      <c r="C876">
        <v>8</v>
      </c>
      <c r="D876" t="s">
        <v>28</v>
      </c>
      <c r="F876">
        <v>276</v>
      </c>
      <c r="G876">
        <v>662</v>
      </c>
    </row>
    <row r="877" spans="1:8" x14ac:dyDescent="0.45">
      <c r="A877" t="s">
        <v>37</v>
      </c>
      <c r="B877" t="s">
        <v>20</v>
      </c>
      <c r="C877">
        <v>8</v>
      </c>
      <c r="D877" t="s">
        <v>29</v>
      </c>
      <c r="F877">
        <v>114</v>
      </c>
      <c r="G877">
        <v>1015</v>
      </c>
    </row>
    <row r="878" spans="1:8" x14ac:dyDescent="0.45">
      <c r="A878" t="s">
        <v>37</v>
      </c>
      <c r="B878" t="s">
        <v>20</v>
      </c>
      <c r="C878">
        <v>8</v>
      </c>
      <c r="D878" t="s">
        <v>31</v>
      </c>
      <c r="H878">
        <v>21</v>
      </c>
    </row>
    <row r="879" spans="1:8" x14ac:dyDescent="0.45">
      <c r="A879" t="s">
        <v>37</v>
      </c>
      <c r="B879" t="s">
        <v>20</v>
      </c>
      <c r="C879">
        <v>8</v>
      </c>
      <c r="D879" t="s">
        <v>32</v>
      </c>
      <c r="H879">
        <v>5</v>
      </c>
    </row>
    <row r="880" spans="1:8" x14ac:dyDescent="0.45">
      <c r="A880" t="s">
        <v>37</v>
      </c>
      <c r="B880" t="s">
        <v>20</v>
      </c>
      <c r="C880">
        <v>8</v>
      </c>
      <c r="D880" t="s">
        <v>34</v>
      </c>
      <c r="H880">
        <v>1</v>
      </c>
    </row>
    <row r="881" spans="1:8" x14ac:dyDescent="0.45">
      <c r="A881" t="s">
        <v>37</v>
      </c>
      <c r="B881" t="s">
        <v>21</v>
      </c>
      <c r="C881">
        <v>9</v>
      </c>
      <c r="D881" t="s">
        <v>19</v>
      </c>
      <c r="E881">
        <v>719935</v>
      </c>
      <c r="F881">
        <v>1982</v>
      </c>
      <c r="G881">
        <v>546</v>
      </c>
    </row>
    <row r="882" spans="1:8" x14ac:dyDescent="0.45">
      <c r="A882" t="s">
        <v>37</v>
      </c>
      <c r="B882" t="s">
        <v>21</v>
      </c>
      <c r="C882">
        <v>9</v>
      </c>
      <c r="D882" t="s">
        <v>27</v>
      </c>
      <c r="F882">
        <v>1197</v>
      </c>
    </row>
    <row r="883" spans="1:8" x14ac:dyDescent="0.45">
      <c r="A883" t="s">
        <v>37</v>
      </c>
      <c r="B883" t="s">
        <v>21</v>
      </c>
      <c r="C883">
        <v>9</v>
      </c>
      <c r="D883" t="s">
        <v>28</v>
      </c>
      <c r="F883">
        <v>350</v>
      </c>
    </row>
    <row r="884" spans="1:8" x14ac:dyDescent="0.45">
      <c r="A884" t="s">
        <v>37</v>
      </c>
      <c r="B884" t="s">
        <v>21</v>
      </c>
      <c r="C884">
        <v>9</v>
      </c>
      <c r="D884" t="s">
        <v>29</v>
      </c>
      <c r="F884">
        <v>141</v>
      </c>
    </row>
    <row r="885" spans="1:8" x14ac:dyDescent="0.45">
      <c r="A885" t="s">
        <v>37</v>
      </c>
      <c r="B885" t="s">
        <v>20</v>
      </c>
      <c r="C885">
        <v>9</v>
      </c>
      <c r="D885" t="s">
        <v>19</v>
      </c>
      <c r="E885">
        <v>706691</v>
      </c>
      <c r="F885">
        <v>2050</v>
      </c>
      <c r="G885">
        <v>483</v>
      </c>
    </row>
    <row r="886" spans="1:8" x14ac:dyDescent="0.45">
      <c r="A886" t="s">
        <v>37</v>
      </c>
      <c r="B886" t="s">
        <v>20</v>
      </c>
      <c r="C886">
        <v>9</v>
      </c>
      <c r="D886" t="s">
        <v>27</v>
      </c>
      <c r="F886">
        <v>959</v>
      </c>
    </row>
    <row r="887" spans="1:8" x14ac:dyDescent="0.45">
      <c r="A887" t="s">
        <v>37</v>
      </c>
      <c r="B887" t="s">
        <v>20</v>
      </c>
      <c r="C887">
        <v>9</v>
      </c>
      <c r="D887" t="s">
        <v>28</v>
      </c>
      <c r="F887">
        <v>299</v>
      </c>
    </row>
    <row r="888" spans="1:8" x14ac:dyDescent="0.45">
      <c r="A888" t="s">
        <v>37</v>
      </c>
      <c r="B888" t="s">
        <v>20</v>
      </c>
      <c r="C888">
        <v>9</v>
      </c>
      <c r="D888" t="s">
        <v>29</v>
      </c>
      <c r="F888">
        <v>111</v>
      </c>
    </row>
    <row r="889" spans="1:8" x14ac:dyDescent="0.45">
      <c r="A889" t="s">
        <v>37</v>
      </c>
      <c r="B889" t="s">
        <v>20</v>
      </c>
      <c r="C889">
        <v>9</v>
      </c>
      <c r="D889" t="s">
        <v>31</v>
      </c>
      <c r="H889">
        <v>92</v>
      </c>
    </row>
    <row r="890" spans="1:8" x14ac:dyDescent="0.45">
      <c r="A890" t="s">
        <v>37</v>
      </c>
      <c r="B890" t="s">
        <v>20</v>
      </c>
      <c r="C890">
        <v>9</v>
      </c>
      <c r="D890" t="s">
        <v>32</v>
      </c>
      <c r="H890">
        <v>5</v>
      </c>
    </row>
    <row r="891" spans="1:8" x14ac:dyDescent="0.45">
      <c r="A891" t="s">
        <v>37</v>
      </c>
      <c r="B891" t="s">
        <v>20</v>
      </c>
      <c r="C891">
        <v>9</v>
      </c>
      <c r="D891" t="s">
        <v>34</v>
      </c>
      <c r="H891">
        <v>3</v>
      </c>
    </row>
    <row r="892" spans="1:8" x14ac:dyDescent="0.45">
      <c r="A892" t="s">
        <v>37</v>
      </c>
      <c r="B892" t="s">
        <v>21</v>
      </c>
      <c r="C892">
        <v>10</v>
      </c>
      <c r="D892" t="s">
        <v>19</v>
      </c>
      <c r="E892">
        <v>1166383</v>
      </c>
      <c r="F892">
        <v>3200</v>
      </c>
      <c r="G892">
        <v>730</v>
      </c>
    </row>
    <row r="893" spans="1:8" x14ac:dyDescent="0.45">
      <c r="A893" t="s">
        <v>37</v>
      </c>
      <c r="B893" t="s">
        <v>21</v>
      </c>
      <c r="C893">
        <v>10</v>
      </c>
      <c r="D893" t="s">
        <v>27</v>
      </c>
      <c r="F893">
        <v>1634</v>
      </c>
    </row>
    <row r="894" spans="1:8" x14ac:dyDescent="0.45">
      <c r="A894" t="s">
        <v>37</v>
      </c>
      <c r="B894" t="s">
        <v>21</v>
      </c>
      <c r="C894">
        <v>10</v>
      </c>
      <c r="D894" t="s">
        <v>28</v>
      </c>
      <c r="F894">
        <v>555</v>
      </c>
    </row>
    <row r="895" spans="1:8" x14ac:dyDescent="0.45">
      <c r="A895" t="s">
        <v>37</v>
      </c>
      <c r="B895" t="s">
        <v>21</v>
      </c>
      <c r="C895">
        <v>10</v>
      </c>
      <c r="D895" t="s">
        <v>29</v>
      </c>
      <c r="F895">
        <v>312</v>
      </c>
    </row>
    <row r="896" spans="1:8" x14ac:dyDescent="0.45">
      <c r="A896" t="s">
        <v>37</v>
      </c>
      <c r="B896" t="s">
        <v>20</v>
      </c>
      <c r="C896">
        <v>10</v>
      </c>
      <c r="D896" t="s">
        <v>19</v>
      </c>
      <c r="E896">
        <v>1085550</v>
      </c>
      <c r="F896">
        <v>2295</v>
      </c>
      <c r="G896">
        <v>650</v>
      </c>
    </row>
    <row r="897" spans="1:8" x14ac:dyDescent="0.45">
      <c r="A897" t="s">
        <v>37</v>
      </c>
      <c r="B897" t="s">
        <v>20</v>
      </c>
      <c r="C897">
        <v>10</v>
      </c>
      <c r="D897" t="s">
        <v>27</v>
      </c>
      <c r="F897">
        <v>1175</v>
      </c>
    </row>
    <row r="898" spans="1:8" x14ac:dyDescent="0.45">
      <c r="A898" t="s">
        <v>37</v>
      </c>
      <c r="B898" t="s">
        <v>20</v>
      </c>
      <c r="C898">
        <v>10</v>
      </c>
      <c r="D898" t="s">
        <v>28</v>
      </c>
      <c r="F898">
        <v>395</v>
      </c>
    </row>
    <row r="899" spans="1:8" x14ac:dyDescent="0.45">
      <c r="A899" t="s">
        <v>37</v>
      </c>
      <c r="B899" t="s">
        <v>20</v>
      </c>
      <c r="C899">
        <v>10</v>
      </c>
      <c r="D899" t="s">
        <v>29</v>
      </c>
      <c r="F899">
        <v>199</v>
      </c>
    </row>
    <row r="900" spans="1:8" x14ac:dyDescent="0.45">
      <c r="A900" t="s">
        <v>37</v>
      </c>
      <c r="B900" t="s">
        <v>20</v>
      </c>
      <c r="C900">
        <v>10</v>
      </c>
      <c r="D900" t="s">
        <v>31</v>
      </c>
      <c r="H900">
        <v>93</v>
      </c>
    </row>
    <row r="901" spans="1:8" x14ac:dyDescent="0.45">
      <c r="A901" t="s">
        <v>37</v>
      </c>
      <c r="B901" t="s">
        <v>20</v>
      </c>
      <c r="C901">
        <v>10</v>
      </c>
      <c r="D901" t="s">
        <v>32</v>
      </c>
      <c r="H901">
        <v>8</v>
      </c>
    </row>
    <row r="902" spans="1:8" x14ac:dyDescent="0.45">
      <c r="A902" t="s">
        <v>37</v>
      </c>
      <c r="B902" t="s">
        <v>20</v>
      </c>
      <c r="C902">
        <v>10</v>
      </c>
      <c r="D902" t="s">
        <v>34</v>
      </c>
      <c r="H902">
        <v>6</v>
      </c>
    </row>
    <row r="903" spans="1:8" x14ac:dyDescent="0.45">
      <c r="A903" t="s">
        <v>37</v>
      </c>
      <c r="B903" t="s">
        <v>21</v>
      </c>
      <c r="C903">
        <v>11</v>
      </c>
      <c r="D903" t="s">
        <v>19</v>
      </c>
      <c r="E903">
        <v>961446</v>
      </c>
      <c r="F903">
        <v>2465</v>
      </c>
      <c r="G903">
        <v>639</v>
      </c>
    </row>
    <row r="904" spans="1:8" x14ac:dyDescent="0.45">
      <c r="A904" t="s">
        <v>37</v>
      </c>
      <c r="B904" t="s">
        <v>21</v>
      </c>
      <c r="C904">
        <v>11</v>
      </c>
      <c r="D904" t="s">
        <v>27</v>
      </c>
      <c r="F904">
        <v>1431</v>
      </c>
    </row>
    <row r="905" spans="1:8" x14ac:dyDescent="0.45">
      <c r="A905" t="s">
        <v>37</v>
      </c>
      <c r="B905" t="s">
        <v>21</v>
      </c>
      <c r="C905">
        <v>11</v>
      </c>
      <c r="D905" t="s">
        <v>28</v>
      </c>
      <c r="F905">
        <v>296</v>
      </c>
    </row>
    <row r="906" spans="1:8" x14ac:dyDescent="0.45">
      <c r="A906" t="s">
        <v>37</v>
      </c>
      <c r="B906" t="s">
        <v>21</v>
      </c>
      <c r="C906">
        <v>11</v>
      </c>
      <c r="D906" t="s">
        <v>29</v>
      </c>
      <c r="F906">
        <v>112</v>
      </c>
    </row>
    <row r="907" spans="1:8" x14ac:dyDescent="0.45">
      <c r="A907" t="s">
        <v>37</v>
      </c>
      <c r="B907" t="s">
        <v>20</v>
      </c>
      <c r="C907">
        <v>11</v>
      </c>
      <c r="D907" t="s">
        <v>19</v>
      </c>
      <c r="E907">
        <v>988474</v>
      </c>
      <c r="F907">
        <v>2388</v>
      </c>
      <c r="G907">
        <v>640</v>
      </c>
    </row>
    <row r="908" spans="1:8" x14ac:dyDescent="0.45">
      <c r="A908" t="s">
        <v>37</v>
      </c>
      <c r="B908" t="s">
        <v>20</v>
      </c>
      <c r="C908">
        <v>11</v>
      </c>
      <c r="D908" t="s">
        <v>27</v>
      </c>
      <c r="F908">
        <v>1123</v>
      </c>
    </row>
    <row r="909" spans="1:8" x14ac:dyDescent="0.45">
      <c r="A909" t="s">
        <v>37</v>
      </c>
      <c r="B909" t="s">
        <v>20</v>
      </c>
      <c r="C909">
        <v>11</v>
      </c>
      <c r="D909" t="s">
        <v>28</v>
      </c>
      <c r="F909">
        <v>409</v>
      </c>
    </row>
    <row r="910" spans="1:8" x14ac:dyDescent="0.45">
      <c r="A910" t="s">
        <v>37</v>
      </c>
      <c r="B910" t="s">
        <v>20</v>
      </c>
      <c r="C910">
        <v>11</v>
      </c>
      <c r="D910" t="s">
        <v>29</v>
      </c>
      <c r="F910">
        <v>237</v>
      </c>
    </row>
    <row r="911" spans="1:8" x14ac:dyDescent="0.45">
      <c r="A911" t="s">
        <v>37</v>
      </c>
      <c r="B911" t="s">
        <v>20</v>
      </c>
      <c r="C911">
        <v>11</v>
      </c>
      <c r="D911" t="s">
        <v>31</v>
      </c>
      <c r="H911">
        <v>191</v>
      </c>
    </row>
    <row r="912" spans="1:8" x14ac:dyDescent="0.45">
      <c r="A912" t="s">
        <v>37</v>
      </c>
      <c r="B912" t="s">
        <v>20</v>
      </c>
      <c r="C912">
        <v>11</v>
      </c>
      <c r="D912" t="s">
        <v>32</v>
      </c>
      <c r="H912">
        <v>6</v>
      </c>
    </row>
    <row r="913" spans="1:8" x14ac:dyDescent="0.45">
      <c r="A913" t="s">
        <v>37</v>
      </c>
      <c r="B913" t="s">
        <v>20</v>
      </c>
      <c r="C913">
        <v>11</v>
      </c>
      <c r="D913" t="s">
        <v>34</v>
      </c>
      <c r="H913">
        <v>5</v>
      </c>
    </row>
    <row r="914" spans="1:8" x14ac:dyDescent="0.45">
      <c r="A914" t="s">
        <v>37</v>
      </c>
      <c r="B914" t="s">
        <v>21</v>
      </c>
      <c r="C914">
        <v>12</v>
      </c>
      <c r="D914" t="s">
        <v>19</v>
      </c>
      <c r="E914">
        <v>1027404</v>
      </c>
      <c r="F914">
        <v>2813</v>
      </c>
      <c r="G914">
        <v>720</v>
      </c>
    </row>
    <row r="915" spans="1:8" x14ac:dyDescent="0.45">
      <c r="A915" t="s">
        <v>37</v>
      </c>
      <c r="B915" t="s">
        <v>21</v>
      </c>
      <c r="C915">
        <v>12</v>
      </c>
      <c r="D915" t="s">
        <v>27</v>
      </c>
      <c r="F915">
        <v>1493</v>
      </c>
    </row>
    <row r="916" spans="1:8" x14ac:dyDescent="0.45">
      <c r="A916" t="s">
        <v>37</v>
      </c>
      <c r="B916" t="s">
        <v>21</v>
      </c>
      <c r="C916">
        <v>12</v>
      </c>
      <c r="D916" t="s">
        <v>28</v>
      </c>
      <c r="F916">
        <v>457</v>
      </c>
    </row>
    <row r="917" spans="1:8" x14ac:dyDescent="0.45">
      <c r="A917" t="s">
        <v>37</v>
      </c>
      <c r="B917" t="s">
        <v>21</v>
      </c>
      <c r="C917">
        <v>12</v>
      </c>
      <c r="D917" t="s">
        <v>29</v>
      </c>
      <c r="F917">
        <v>273</v>
      </c>
    </row>
    <row r="918" spans="1:8" x14ac:dyDescent="0.45">
      <c r="A918" t="s">
        <v>37</v>
      </c>
      <c r="B918" t="s">
        <v>20</v>
      </c>
      <c r="C918">
        <v>12</v>
      </c>
      <c r="D918" t="s">
        <v>19</v>
      </c>
      <c r="E918">
        <v>945471</v>
      </c>
      <c r="F918">
        <v>2307</v>
      </c>
      <c r="G918">
        <v>648</v>
      </c>
    </row>
    <row r="919" spans="1:8" x14ac:dyDescent="0.45">
      <c r="A919" t="s">
        <v>37</v>
      </c>
      <c r="B919" t="s">
        <v>20</v>
      </c>
      <c r="C919">
        <v>12</v>
      </c>
      <c r="D919" t="s">
        <v>27</v>
      </c>
      <c r="F919">
        <v>1141</v>
      </c>
    </row>
    <row r="920" spans="1:8" x14ac:dyDescent="0.45">
      <c r="A920" t="s">
        <v>37</v>
      </c>
      <c r="B920" t="s">
        <v>20</v>
      </c>
      <c r="C920">
        <v>12</v>
      </c>
      <c r="D920" t="s">
        <v>28</v>
      </c>
      <c r="F920">
        <v>359</v>
      </c>
    </row>
    <row r="921" spans="1:8" x14ac:dyDescent="0.45">
      <c r="A921" t="s">
        <v>37</v>
      </c>
      <c r="B921" t="s">
        <v>20</v>
      </c>
      <c r="C921">
        <v>12</v>
      </c>
      <c r="D921" t="s">
        <v>29</v>
      </c>
      <c r="F921">
        <v>230</v>
      </c>
    </row>
    <row r="922" spans="1:8" x14ac:dyDescent="0.45">
      <c r="A922" t="s">
        <v>37</v>
      </c>
      <c r="B922" t="s">
        <v>20</v>
      </c>
      <c r="C922">
        <v>12</v>
      </c>
      <c r="D922" t="s">
        <v>31</v>
      </c>
      <c r="H922">
        <v>46</v>
      </c>
    </row>
    <row r="923" spans="1:8" x14ac:dyDescent="0.45">
      <c r="A923" t="s">
        <v>37</v>
      </c>
      <c r="B923" t="s">
        <v>20</v>
      </c>
      <c r="C923">
        <v>12</v>
      </c>
      <c r="D923" t="s">
        <v>32</v>
      </c>
      <c r="H923">
        <v>3</v>
      </c>
    </row>
    <row r="924" spans="1:8" x14ac:dyDescent="0.45">
      <c r="A924" t="s">
        <v>37</v>
      </c>
      <c r="B924" t="s">
        <v>20</v>
      </c>
      <c r="C924">
        <v>12</v>
      </c>
      <c r="D924" t="s">
        <v>34</v>
      </c>
      <c r="H924">
        <v>4</v>
      </c>
    </row>
    <row r="925" spans="1:8" x14ac:dyDescent="0.45">
      <c r="A925" t="s">
        <v>59</v>
      </c>
      <c r="B925" t="s">
        <v>21</v>
      </c>
      <c r="C925">
        <v>1</v>
      </c>
      <c r="D925" t="s">
        <v>19</v>
      </c>
      <c r="E925">
        <v>661705</v>
      </c>
      <c r="F925">
        <v>1260</v>
      </c>
      <c r="G925">
        <v>385</v>
      </c>
    </row>
    <row r="926" spans="1:8" x14ac:dyDescent="0.45">
      <c r="A926" t="s">
        <v>59</v>
      </c>
      <c r="B926" t="s">
        <v>21</v>
      </c>
      <c r="C926">
        <v>1</v>
      </c>
      <c r="D926" t="s">
        <v>27</v>
      </c>
      <c r="F926">
        <v>385</v>
      </c>
    </row>
    <row r="927" spans="1:8" x14ac:dyDescent="0.45">
      <c r="A927" t="s">
        <v>59</v>
      </c>
      <c r="B927" t="s">
        <v>21</v>
      </c>
      <c r="C927">
        <v>1</v>
      </c>
      <c r="D927" t="s">
        <v>28</v>
      </c>
      <c r="F927">
        <v>219</v>
      </c>
    </row>
    <row r="928" spans="1:8" x14ac:dyDescent="0.45">
      <c r="A928" t="s">
        <v>59</v>
      </c>
      <c r="B928" t="s">
        <v>21</v>
      </c>
      <c r="C928">
        <v>1</v>
      </c>
      <c r="D928" t="s">
        <v>29</v>
      </c>
      <c r="F928">
        <v>184</v>
      </c>
    </row>
    <row r="929" spans="1:8" x14ac:dyDescent="0.45">
      <c r="A929" t="s">
        <v>59</v>
      </c>
      <c r="B929" t="s">
        <v>20</v>
      </c>
      <c r="C929">
        <v>1</v>
      </c>
      <c r="D929" t="s">
        <v>19</v>
      </c>
      <c r="E929">
        <v>801075</v>
      </c>
      <c r="F929">
        <v>1376</v>
      </c>
      <c r="G929">
        <v>408</v>
      </c>
    </row>
    <row r="930" spans="1:8" x14ac:dyDescent="0.45">
      <c r="A930" t="s">
        <v>59</v>
      </c>
      <c r="B930" t="s">
        <v>20</v>
      </c>
      <c r="C930">
        <v>1</v>
      </c>
      <c r="D930" t="s">
        <v>27</v>
      </c>
      <c r="F930">
        <v>332</v>
      </c>
    </row>
    <row r="931" spans="1:8" x14ac:dyDescent="0.45">
      <c r="A931" t="s">
        <v>59</v>
      </c>
      <c r="B931" t="s">
        <v>20</v>
      </c>
      <c r="C931">
        <v>1</v>
      </c>
      <c r="D931" t="s">
        <v>28</v>
      </c>
      <c r="F931">
        <v>220</v>
      </c>
    </row>
    <row r="932" spans="1:8" x14ac:dyDescent="0.45">
      <c r="A932" t="s">
        <v>59</v>
      </c>
      <c r="B932" t="s">
        <v>20</v>
      </c>
      <c r="C932">
        <v>1</v>
      </c>
      <c r="D932" t="s">
        <v>29</v>
      </c>
      <c r="F932">
        <v>219</v>
      </c>
    </row>
    <row r="933" spans="1:8" x14ac:dyDescent="0.45">
      <c r="A933" t="s">
        <v>59</v>
      </c>
      <c r="B933" t="s">
        <v>20</v>
      </c>
      <c r="C933">
        <v>1</v>
      </c>
      <c r="D933" t="s">
        <v>31</v>
      </c>
      <c r="H933">
        <v>68</v>
      </c>
    </row>
    <row r="934" spans="1:8" x14ac:dyDescent="0.45">
      <c r="A934" t="s">
        <v>59</v>
      </c>
      <c r="B934" t="s">
        <v>20</v>
      </c>
      <c r="C934">
        <v>1</v>
      </c>
      <c r="D934" t="s">
        <v>32</v>
      </c>
      <c r="H934">
        <v>4</v>
      </c>
    </row>
    <row r="935" spans="1:8" x14ac:dyDescent="0.45">
      <c r="A935" t="s">
        <v>59</v>
      </c>
      <c r="B935" t="s">
        <v>20</v>
      </c>
      <c r="C935">
        <v>1</v>
      </c>
      <c r="D935" t="s">
        <v>34</v>
      </c>
    </row>
    <row r="936" spans="1:8" x14ac:dyDescent="0.45">
      <c r="A936" t="s">
        <v>59</v>
      </c>
      <c r="B936" t="s">
        <v>21</v>
      </c>
      <c r="C936">
        <v>2</v>
      </c>
      <c r="D936" t="s">
        <v>19</v>
      </c>
      <c r="E936">
        <v>660362</v>
      </c>
      <c r="F936">
        <v>1159</v>
      </c>
      <c r="G936">
        <v>353</v>
      </c>
    </row>
    <row r="937" spans="1:8" x14ac:dyDescent="0.45">
      <c r="A937" t="s">
        <v>59</v>
      </c>
      <c r="B937" t="s">
        <v>21</v>
      </c>
      <c r="C937">
        <v>2</v>
      </c>
      <c r="D937" t="s">
        <v>27</v>
      </c>
      <c r="F937">
        <v>343</v>
      </c>
    </row>
    <row r="938" spans="1:8" x14ac:dyDescent="0.45">
      <c r="A938" t="s">
        <v>59</v>
      </c>
      <c r="B938" t="s">
        <v>21</v>
      </c>
      <c r="C938">
        <v>2</v>
      </c>
      <c r="D938" t="s">
        <v>28</v>
      </c>
      <c r="F938">
        <v>207</v>
      </c>
    </row>
    <row r="939" spans="1:8" x14ac:dyDescent="0.45">
      <c r="A939" t="s">
        <v>59</v>
      </c>
      <c r="B939" t="s">
        <v>21</v>
      </c>
      <c r="C939">
        <v>2</v>
      </c>
      <c r="D939" t="s">
        <v>29</v>
      </c>
      <c r="F939">
        <v>175</v>
      </c>
    </row>
    <row r="940" spans="1:8" x14ac:dyDescent="0.45">
      <c r="A940" t="s">
        <v>59</v>
      </c>
      <c r="B940" t="s">
        <v>20</v>
      </c>
      <c r="C940">
        <v>2</v>
      </c>
      <c r="D940" t="s">
        <v>19</v>
      </c>
      <c r="E940">
        <v>641300</v>
      </c>
      <c r="F940">
        <v>1109</v>
      </c>
      <c r="G940">
        <v>317</v>
      </c>
    </row>
    <row r="941" spans="1:8" x14ac:dyDescent="0.45">
      <c r="A941" t="s">
        <v>59</v>
      </c>
      <c r="B941" t="s">
        <v>20</v>
      </c>
      <c r="C941">
        <v>2</v>
      </c>
      <c r="D941" t="s">
        <v>27</v>
      </c>
      <c r="F941">
        <v>319</v>
      </c>
    </row>
    <row r="942" spans="1:8" x14ac:dyDescent="0.45">
      <c r="A942" t="s">
        <v>59</v>
      </c>
      <c r="B942" t="s">
        <v>20</v>
      </c>
      <c r="C942">
        <v>2</v>
      </c>
      <c r="D942" t="s">
        <v>28</v>
      </c>
      <c r="F942">
        <v>169</v>
      </c>
    </row>
    <row r="943" spans="1:8" x14ac:dyDescent="0.45">
      <c r="A943" t="s">
        <v>59</v>
      </c>
      <c r="B943" t="s">
        <v>20</v>
      </c>
      <c r="C943">
        <v>2</v>
      </c>
      <c r="D943" t="s">
        <v>29</v>
      </c>
      <c r="F943">
        <v>138</v>
      </c>
    </row>
    <row r="944" spans="1:8" x14ac:dyDescent="0.45">
      <c r="A944" t="s">
        <v>59</v>
      </c>
      <c r="B944" t="s">
        <v>20</v>
      </c>
      <c r="C944">
        <v>2</v>
      </c>
      <c r="D944" t="s">
        <v>31</v>
      </c>
      <c r="H944">
        <v>49</v>
      </c>
    </row>
    <row r="945" spans="1:8" x14ac:dyDescent="0.45">
      <c r="A945" t="s">
        <v>59</v>
      </c>
      <c r="B945" t="s">
        <v>20</v>
      </c>
      <c r="C945">
        <v>2</v>
      </c>
      <c r="D945" t="s">
        <v>32</v>
      </c>
      <c r="H945">
        <v>3</v>
      </c>
    </row>
    <row r="946" spans="1:8" x14ac:dyDescent="0.45">
      <c r="A946" t="s">
        <v>59</v>
      </c>
      <c r="B946" t="s">
        <v>20</v>
      </c>
      <c r="C946">
        <v>2</v>
      </c>
      <c r="D946" t="s">
        <v>34</v>
      </c>
      <c r="H946">
        <v>4</v>
      </c>
    </row>
    <row r="947" spans="1:8" x14ac:dyDescent="0.45">
      <c r="A947" t="s">
        <v>59</v>
      </c>
      <c r="B947" t="s">
        <v>21</v>
      </c>
      <c r="C947">
        <v>3</v>
      </c>
      <c r="D947" t="s">
        <v>19</v>
      </c>
      <c r="E947">
        <v>1354831</v>
      </c>
      <c r="F947">
        <v>2179</v>
      </c>
      <c r="G947">
        <v>568</v>
      </c>
    </row>
    <row r="948" spans="1:8" x14ac:dyDescent="0.45">
      <c r="A948" t="s">
        <v>59</v>
      </c>
      <c r="B948" t="s">
        <v>21</v>
      </c>
      <c r="C948">
        <v>3</v>
      </c>
      <c r="D948" t="s">
        <v>27</v>
      </c>
      <c r="F948">
        <v>419</v>
      </c>
    </row>
    <row r="949" spans="1:8" x14ac:dyDescent="0.45">
      <c r="A949" t="s">
        <v>59</v>
      </c>
      <c r="B949" t="s">
        <v>21</v>
      </c>
      <c r="C949">
        <v>3</v>
      </c>
      <c r="D949" t="s">
        <v>28</v>
      </c>
      <c r="F949">
        <v>382</v>
      </c>
    </row>
    <row r="950" spans="1:8" x14ac:dyDescent="0.45">
      <c r="A950" t="s">
        <v>59</v>
      </c>
      <c r="B950" t="s">
        <v>21</v>
      </c>
      <c r="C950">
        <v>3</v>
      </c>
      <c r="D950" t="s">
        <v>29</v>
      </c>
      <c r="F950">
        <v>347</v>
      </c>
    </row>
    <row r="951" spans="1:8" x14ac:dyDescent="0.45">
      <c r="A951" t="s">
        <v>59</v>
      </c>
      <c r="B951" t="s">
        <v>20</v>
      </c>
      <c r="C951">
        <v>3</v>
      </c>
      <c r="D951" t="s">
        <v>19</v>
      </c>
      <c r="E951">
        <v>1322767</v>
      </c>
      <c r="F951">
        <v>2046</v>
      </c>
      <c r="G951">
        <v>561</v>
      </c>
    </row>
    <row r="952" spans="1:8" x14ac:dyDescent="0.45">
      <c r="A952" t="s">
        <v>59</v>
      </c>
      <c r="B952" t="s">
        <v>20</v>
      </c>
      <c r="C952">
        <v>3</v>
      </c>
      <c r="D952" t="s">
        <v>27</v>
      </c>
      <c r="F952">
        <v>404</v>
      </c>
    </row>
    <row r="953" spans="1:8" x14ac:dyDescent="0.45">
      <c r="A953" t="s">
        <v>59</v>
      </c>
      <c r="B953" t="s">
        <v>20</v>
      </c>
      <c r="C953">
        <v>3</v>
      </c>
      <c r="D953" t="s">
        <v>28</v>
      </c>
      <c r="F953">
        <v>296</v>
      </c>
    </row>
    <row r="954" spans="1:8" x14ac:dyDescent="0.45">
      <c r="A954" t="s">
        <v>59</v>
      </c>
      <c r="B954" t="s">
        <v>20</v>
      </c>
      <c r="C954">
        <v>3</v>
      </c>
      <c r="D954" t="s">
        <v>29</v>
      </c>
      <c r="F954">
        <v>328</v>
      </c>
    </row>
    <row r="955" spans="1:8" x14ac:dyDescent="0.45">
      <c r="A955" t="s">
        <v>59</v>
      </c>
      <c r="B955" t="s">
        <v>20</v>
      </c>
      <c r="C955">
        <v>3</v>
      </c>
      <c r="D955" t="s">
        <v>31</v>
      </c>
      <c r="H955">
        <v>41</v>
      </c>
    </row>
    <row r="956" spans="1:8" x14ac:dyDescent="0.45">
      <c r="A956" t="s">
        <v>59</v>
      </c>
      <c r="B956" t="s">
        <v>20</v>
      </c>
      <c r="C956">
        <v>3</v>
      </c>
      <c r="D956" t="s">
        <v>32</v>
      </c>
      <c r="H956">
        <v>5</v>
      </c>
    </row>
    <row r="957" spans="1:8" x14ac:dyDescent="0.45">
      <c r="A957" t="s">
        <v>59</v>
      </c>
      <c r="B957" t="s">
        <v>20</v>
      </c>
      <c r="C957">
        <v>3</v>
      </c>
      <c r="D957" t="s">
        <v>34</v>
      </c>
      <c r="H957">
        <v>5</v>
      </c>
    </row>
    <row r="958" spans="1:8" x14ac:dyDescent="0.45">
      <c r="A958" t="s">
        <v>59</v>
      </c>
      <c r="B958" t="s">
        <v>21</v>
      </c>
      <c r="C958">
        <v>4</v>
      </c>
      <c r="D958" t="s">
        <v>19</v>
      </c>
      <c r="E958">
        <v>1997615</v>
      </c>
      <c r="F958">
        <v>2789</v>
      </c>
    </row>
    <row r="959" spans="1:8" x14ac:dyDescent="0.45">
      <c r="A959" t="s">
        <v>59</v>
      </c>
      <c r="B959" t="s">
        <v>21</v>
      </c>
      <c r="C959">
        <v>4</v>
      </c>
      <c r="D959" t="s">
        <v>27</v>
      </c>
      <c r="F959">
        <v>466</v>
      </c>
    </row>
    <row r="960" spans="1:8" x14ac:dyDescent="0.45">
      <c r="A960" t="s">
        <v>59</v>
      </c>
      <c r="B960" t="s">
        <v>21</v>
      </c>
      <c r="C960">
        <v>4</v>
      </c>
      <c r="D960" t="s">
        <v>28</v>
      </c>
      <c r="F960">
        <v>417</v>
      </c>
    </row>
    <row r="961" spans="1:8" x14ac:dyDescent="0.45">
      <c r="A961" t="s">
        <v>59</v>
      </c>
      <c r="B961" t="s">
        <v>21</v>
      </c>
      <c r="C961">
        <v>4</v>
      </c>
      <c r="D961" t="s">
        <v>29</v>
      </c>
      <c r="F961">
        <v>404</v>
      </c>
    </row>
    <row r="962" spans="1:8" x14ac:dyDescent="0.45">
      <c r="A962" t="s">
        <v>59</v>
      </c>
      <c r="B962" t="s">
        <v>20</v>
      </c>
      <c r="C962">
        <v>4</v>
      </c>
      <c r="D962" t="s">
        <v>19</v>
      </c>
      <c r="E962">
        <v>1901793</v>
      </c>
      <c r="F962">
        <v>2836</v>
      </c>
      <c r="G962">
        <v>1005</v>
      </c>
    </row>
    <row r="963" spans="1:8" x14ac:dyDescent="0.45">
      <c r="A963" t="s">
        <v>59</v>
      </c>
      <c r="B963" t="s">
        <v>20</v>
      </c>
      <c r="C963">
        <v>4</v>
      </c>
      <c r="D963" t="s">
        <v>27</v>
      </c>
      <c r="F963">
        <v>433</v>
      </c>
    </row>
    <row r="964" spans="1:8" x14ac:dyDescent="0.45">
      <c r="A964" t="s">
        <v>59</v>
      </c>
      <c r="B964" t="s">
        <v>20</v>
      </c>
      <c r="C964">
        <v>4</v>
      </c>
      <c r="D964" t="s">
        <v>28</v>
      </c>
      <c r="F964">
        <v>512</v>
      </c>
    </row>
    <row r="965" spans="1:8" x14ac:dyDescent="0.45">
      <c r="A965" t="s">
        <v>59</v>
      </c>
      <c r="B965" t="s">
        <v>20</v>
      </c>
      <c r="C965">
        <v>4</v>
      </c>
      <c r="D965" t="s">
        <v>29</v>
      </c>
      <c r="F965">
        <v>416</v>
      </c>
    </row>
    <row r="966" spans="1:8" x14ac:dyDescent="0.45">
      <c r="A966" t="s">
        <v>59</v>
      </c>
      <c r="B966" t="s">
        <v>20</v>
      </c>
      <c r="C966">
        <v>4</v>
      </c>
      <c r="D966" t="s">
        <v>31</v>
      </c>
      <c r="H966">
        <v>48</v>
      </c>
    </row>
    <row r="967" spans="1:8" x14ac:dyDescent="0.45">
      <c r="A967" t="s">
        <v>59</v>
      </c>
      <c r="B967" t="s">
        <v>20</v>
      </c>
      <c r="C967">
        <v>4</v>
      </c>
      <c r="D967" t="s">
        <v>32</v>
      </c>
      <c r="H967">
        <v>6</v>
      </c>
    </row>
    <row r="968" spans="1:8" x14ac:dyDescent="0.45">
      <c r="A968" t="s">
        <v>59</v>
      </c>
      <c r="B968" t="s">
        <v>20</v>
      </c>
      <c r="C968">
        <v>4</v>
      </c>
      <c r="D968" t="s">
        <v>34</v>
      </c>
      <c r="H968">
        <v>6</v>
      </c>
    </row>
    <row r="969" spans="1:8" x14ac:dyDescent="0.45">
      <c r="A969" t="s">
        <v>59</v>
      </c>
      <c r="B969" t="s">
        <v>21</v>
      </c>
      <c r="C969">
        <v>5</v>
      </c>
      <c r="D969" t="s">
        <v>19</v>
      </c>
      <c r="E969">
        <v>1573154</v>
      </c>
      <c r="F969">
        <v>2162</v>
      </c>
      <c r="G969">
        <v>548</v>
      </c>
    </row>
    <row r="970" spans="1:8" x14ac:dyDescent="0.45">
      <c r="A970" t="s">
        <v>59</v>
      </c>
      <c r="B970" t="s">
        <v>21</v>
      </c>
      <c r="C970">
        <v>5</v>
      </c>
      <c r="D970" t="s">
        <v>27</v>
      </c>
      <c r="F970">
        <v>358</v>
      </c>
    </row>
    <row r="971" spans="1:8" x14ac:dyDescent="0.45">
      <c r="A971" t="s">
        <v>59</v>
      </c>
      <c r="B971" t="s">
        <v>21</v>
      </c>
      <c r="C971">
        <v>5</v>
      </c>
      <c r="D971" t="s">
        <v>28</v>
      </c>
      <c r="F971">
        <v>352</v>
      </c>
    </row>
    <row r="972" spans="1:8" x14ac:dyDescent="0.45">
      <c r="A972" t="s">
        <v>59</v>
      </c>
      <c r="B972" t="s">
        <v>21</v>
      </c>
      <c r="C972">
        <v>5</v>
      </c>
      <c r="D972" t="s">
        <v>29</v>
      </c>
      <c r="F972">
        <v>330</v>
      </c>
    </row>
    <row r="973" spans="1:8" x14ac:dyDescent="0.45">
      <c r="A973" t="s">
        <v>59</v>
      </c>
      <c r="B973" t="s">
        <v>20</v>
      </c>
      <c r="C973">
        <v>5</v>
      </c>
      <c r="D973" t="s">
        <v>19</v>
      </c>
      <c r="E973">
        <v>1196065</v>
      </c>
      <c r="F973">
        <v>1679</v>
      </c>
      <c r="G973">
        <v>463</v>
      </c>
    </row>
    <row r="974" spans="1:8" x14ac:dyDescent="0.45">
      <c r="A974" t="s">
        <v>59</v>
      </c>
      <c r="B974" t="s">
        <v>20</v>
      </c>
      <c r="C974">
        <v>5</v>
      </c>
      <c r="D974" t="s">
        <v>27</v>
      </c>
      <c r="F974">
        <v>298</v>
      </c>
    </row>
    <row r="975" spans="1:8" x14ac:dyDescent="0.45">
      <c r="A975" t="s">
        <v>59</v>
      </c>
      <c r="B975" t="s">
        <v>20</v>
      </c>
      <c r="C975">
        <v>5</v>
      </c>
      <c r="D975" t="s">
        <v>28</v>
      </c>
      <c r="F975">
        <v>235</v>
      </c>
    </row>
    <row r="976" spans="1:8" x14ac:dyDescent="0.45">
      <c r="A976" t="s">
        <v>59</v>
      </c>
      <c r="B976" t="s">
        <v>20</v>
      </c>
      <c r="C976">
        <v>5</v>
      </c>
      <c r="D976" t="s">
        <v>29</v>
      </c>
      <c r="F976">
        <v>208</v>
      </c>
    </row>
    <row r="977" spans="1:8" x14ac:dyDescent="0.45">
      <c r="A977" t="s">
        <v>59</v>
      </c>
      <c r="B977" t="s">
        <v>20</v>
      </c>
      <c r="C977">
        <v>5</v>
      </c>
      <c r="D977" t="s">
        <v>31</v>
      </c>
      <c r="H977">
        <v>59</v>
      </c>
    </row>
    <row r="978" spans="1:8" x14ac:dyDescent="0.45">
      <c r="A978" t="s">
        <v>59</v>
      </c>
      <c r="B978" t="s">
        <v>20</v>
      </c>
      <c r="C978">
        <v>5</v>
      </c>
      <c r="D978" t="s">
        <v>32</v>
      </c>
      <c r="H978">
        <v>8</v>
      </c>
    </row>
    <row r="979" spans="1:8" x14ac:dyDescent="0.45">
      <c r="A979" t="s">
        <v>59</v>
      </c>
      <c r="B979" t="s">
        <v>20</v>
      </c>
      <c r="C979">
        <v>5</v>
      </c>
      <c r="D979" t="s">
        <v>34</v>
      </c>
      <c r="H979">
        <v>4</v>
      </c>
    </row>
    <row r="980" spans="1:8" x14ac:dyDescent="0.45">
      <c r="A980" t="s">
        <v>59</v>
      </c>
      <c r="B980" t="s">
        <v>21</v>
      </c>
      <c r="C980">
        <v>6</v>
      </c>
      <c r="D980" t="s">
        <v>19</v>
      </c>
      <c r="E980">
        <v>1392010</v>
      </c>
      <c r="F980">
        <v>2075</v>
      </c>
      <c r="G980">
        <v>567</v>
      </c>
    </row>
    <row r="981" spans="1:8" x14ac:dyDescent="0.45">
      <c r="A981" t="s">
        <v>59</v>
      </c>
      <c r="B981" t="s">
        <v>21</v>
      </c>
      <c r="C981">
        <v>6</v>
      </c>
      <c r="D981" t="s">
        <v>27</v>
      </c>
      <c r="F981">
        <v>422</v>
      </c>
    </row>
    <row r="982" spans="1:8" x14ac:dyDescent="0.45">
      <c r="A982" t="s">
        <v>59</v>
      </c>
      <c r="B982" t="s">
        <v>21</v>
      </c>
      <c r="C982">
        <v>6</v>
      </c>
      <c r="D982" t="s">
        <v>28</v>
      </c>
      <c r="F982">
        <v>338</v>
      </c>
    </row>
    <row r="983" spans="1:8" x14ac:dyDescent="0.45">
      <c r="A983" t="s">
        <v>59</v>
      </c>
      <c r="B983" t="s">
        <v>21</v>
      </c>
      <c r="C983">
        <v>6</v>
      </c>
      <c r="D983" t="s">
        <v>29</v>
      </c>
      <c r="F983">
        <v>280</v>
      </c>
    </row>
    <row r="984" spans="1:8" x14ac:dyDescent="0.45">
      <c r="A984" t="s">
        <v>59</v>
      </c>
      <c r="B984" t="s">
        <v>20</v>
      </c>
      <c r="C984">
        <v>6</v>
      </c>
      <c r="D984" t="s">
        <v>19</v>
      </c>
      <c r="E984">
        <v>1382482</v>
      </c>
      <c r="F984">
        <v>1798</v>
      </c>
      <c r="G984">
        <v>452</v>
      </c>
    </row>
    <row r="985" spans="1:8" x14ac:dyDescent="0.45">
      <c r="A985" t="s">
        <v>59</v>
      </c>
      <c r="B985" t="s">
        <v>20</v>
      </c>
      <c r="C985">
        <v>6</v>
      </c>
      <c r="D985" t="s">
        <v>27</v>
      </c>
      <c r="F985">
        <v>348</v>
      </c>
    </row>
    <row r="986" spans="1:8" x14ac:dyDescent="0.45">
      <c r="A986" t="s">
        <v>59</v>
      </c>
      <c r="B986" t="s">
        <v>20</v>
      </c>
      <c r="C986">
        <v>6</v>
      </c>
      <c r="D986" t="s">
        <v>28</v>
      </c>
      <c r="F986">
        <v>276</v>
      </c>
    </row>
    <row r="987" spans="1:8" x14ac:dyDescent="0.45">
      <c r="A987" t="s">
        <v>59</v>
      </c>
      <c r="B987" t="s">
        <v>20</v>
      </c>
      <c r="C987">
        <v>6</v>
      </c>
      <c r="D987" t="s">
        <v>29</v>
      </c>
      <c r="F987">
        <v>233</v>
      </c>
    </row>
    <row r="988" spans="1:8" x14ac:dyDescent="0.45">
      <c r="A988" t="s">
        <v>59</v>
      </c>
      <c r="B988" t="s">
        <v>20</v>
      </c>
      <c r="C988">
        <v>6</v>
      </c>
      <c r="D988" t="s">
        <v>31</v>
      </c>
      <c r="H988">
        <v>34</v>
      </c>
    </row>
    <row r="989" spans="1:8" x14ac:dyDescent="0.45">
      <c r="A989" t="s">
        <v>59</v>
      </c>
      <c r="B989" t="s">
        <v>20</v>
      </c>
      <c r="C989">
        <v>6</v>
      </c>
      <c r="D989" t="s">
        <v>32</v>
      </c>
      <c r="H989">
        <v>6</v>
      </c>
    </row>
    <row r="990" spans="1:8" x14ac:dyDescent="0.45">
      <c r="A990" t="s">
        <v>59</v>
      </c>
      <c r="B990" t="s">
        <v>20</v>
      </c>
      <c r="C990">
        <v>6</v>
      </c>
      <c r="D990" t="s">
        <v>34</v>
      </c>
      <c r="H990">
        <v>5</v>
      </c>
    </row>
    <row r="991" spans="1:8" x14ac:dyDescent="0.45">
      <c r="A991" t="s">
        <v>59</v>
      </c>
      <c r="B991" t="s">
        <v>21</v>
      </c>
      <c r="C991">
        <v>7</v>
      </c>
      <c r="D991" t="s">
        <v>19</v>
      </c>
      <c r="E991">
        <v>1236029</v>
      </c>
      <c r="F991">
        <v>1929</v>
      </c>
      <c r="G991">
        <v>570</v>
      </c>
    </row>
    <row r="992" spans="1:8" x14ac:dyDescent="0.45">
      <c r="A992" t="s">
        <v>59</v>
      </c>
      <c r="B992" t="s">
        <v>21</v>
      </c>
      <c r="C992">
        <v>7</v>
      </c>
      <c r="D992" t="s">
        <v>27</v>
      </c>
      <c r="F992">
        <v>500</v>
      </c>
    </row>
    <row r="993" spans="1:8" x14ac:dyDescent="0.45">
      <c r="A993" t="s">
        <v>59</v>
      </c>
      <c r="B993" t="s">
        <v>21</v>
      </c>
      <c r="C993">
        <v>7</v>
      </c>
      <c r="D993" t="s">
        <v>28</v>
      </c>
      <c r="F993">
        <v>351</v>
      </c>
    </row>
    <row r="994" spans="1:8" x14ac:dyDescent="0.45">
      <c r="A994" t="s">
        <v>59</v>
      </c>
      <c r="B994" t="s">
        <v>21</v>
      </c>
      <c r="C994">
        <v>7</v>
      </c>
      <c r="D994" t="s">
        <v>29</v>
      </c>
      <c r="F994">
        <v>236</v>
      </c>
    </row>
    <row r="995" spans="1:8" x14ac:dyDescent="0.45">
      <c r="A995" t="s">
        <v>59</v>
      </c>
      <c r="B995" t="s">
        <v>20</v>
      </c>
      <c r="C995">
        <v>7</v>
      </c>
      <c r="D995" t="s">
        <v>19</v>
      </c>
      <c r="E995">
        <v>1141094</v>
      </c>
      <c r="F995">
        <v>1625</v>
      </c>
      <c r="G995">
        <v>491</v>
      </c>
    </row>
    <row r="996" spans="1:8" x14ac:dyDescent="0.45">
      <c r="A996" t="s">
        <v>59</v>
      </c>
      <c r="B996" t="s">
        <v>20</v>
      </c>
      <c r="C996">
        <v>7</v>
      </c>
      <c r="D996" t="s">
        <v>27</v>
      </c>
      <c r="F996">
        <v>354</v>
      </c>
    </row>
    <row r="997" spans="1:8" x14ac:dyDescent="0.45">
      <c r="A997" t="s">
        <v>59</v>
      </c>
      <c r="B997" t="s">
        <v>20</v>
      </c>
      <c r="C997">
        <v>7</v>
      </c>
      <c r="D997" t="s">
        <v>28</v>
      </c>
      <c r="F997">
        <v>299</v>
      </c>
    </row>
    <row r="998" spans="1:8" x14ac:dyDescent="0.45">
      <c r="A998" t="s">
        <v>59</v>
      </c>
      <c r="B998" t="s">
        <v>20</v>
      </c>
      <c r="C998">
        <v>7</v>
      </c>
      <c r="D998" t="s">
        <v>29</v>
      </c>
      <c r="F998">
        <v>219</v>
      </c>
    </row>
    <row r="999" spans="1:8" x14ac:dyDescent="0.45">
      <c r="A999" t="s">
        <v>59</v>
      </c>
      <c r="B999" t="s">
        <v>20</v>
      </c>
      <c r="C999">
        <v>7</v>
      </c>
      <c r="D999" t="s">
        <v>31</v>
      </c>
      <c r="H999">
        <v>99</v>
      </c>
    </row>
    <row r="1000" spans="1:8" x14ac:dyDescent="0.45">
      <c r="A1000" t="s">
        <v>59</v>
      </c>
      <c r="B1000" t="s">
        <v>20</v>
      </c>
      <c r="C1000">
        <v>7</v>
      </c>
      <c r="D1000" t="s">
        <v>32</v>
      </c>
      <c r="H1000">
        <v>7</v>
      </c>
    </row>
    <row r="1001" spans="1:8" x14ac:dyDescent="0.45">
      <c r="A1001" t="s">
        <v>59</v>
      </c>
      <c r="B1001" t="s">
        <v>20</v>
      </c>
      <c r="C1001">
        <v>7</v>
      </c>
      <c r="D1001" t="s">
        <v>34</v>
      </c>
      <c r="H1001">
        <v>4</v>
      </c>
    </row>
    <row r="1002" spans="1:8" x14ac:dyDescent="0.45">
      <c r="A1002" t="s">
        <v>59</v>
      </c>
      <c r="B1002" t="s">
        <v>21</v>
      </c>
      <c r="C1002">
        <v>8</v>
      </c>
      <c r="D1002" t="s">
        <v>19</v>
      </c>
      <c r="E1002">
        <v>899818</v>
      </c>
      <c r="F1002">
        <v>1429</v>
      </c>
      <c r="G1002">
        <v>423</v>
      </c>
    </row>
    <row r="1003" spans="1:8" x14ac:dyDescent="0.45">
      <c r="A1003" t="s">
        <v>59</v>
      </c>
      <c r="B1003" t="s">
        <v>21</v>
      </c>
      <c r="C1003">
        <v>8</v>
      </c>
      <c r="D1003" t="s">
        <v>27</v>
      </c>
      <c r="F1003">
        <v>380</v>
      </c>
      <c r="G1003">
        <v>944</v>
      </c>
    </row>
    <row r="1004" spans="1:8" x14ac:dyDescent="0.45">
      <c r="A1004" t="s">
        <v>59</v>
      </c>
      <c r="B1004" t="s">
        <v>21</v>
      </c>
      <c r="C1004">
        <v>8</v>
      </c>
      <c r="D1004" t="s">
        <v>28</v>
      </c>
      <c r="F1004">
        <v>303</v>
      </c>
      <c r="G1004">
        <v>853</v>
      </c>
    </row>
    <row r="1005" spans="1:8" x14ac:dyDescent="0.45">
      <c r="A1005" t="s">
        <v>59</v>
      </c>
      <c r="B1005" t="s">
        <v>21</v>
      </c>
      <c r="C1005">
        <v>8</v>
      </c>
      <c r="D1005" t="s">
        <v>29</v>
      </c>
      <c r="F1005">
        <v>204</v>
      </c>
      <c r="G1005">
        <v>832</v>
      </c>
    </row>
    <row r="1006" spans="1:8" x14ac:dyDescent="0.45">
      <c r="A1006" t="s">
        <v>59</v>
      </c>
      <c r="B1006" t="s">
        <v>20</v>
      </c>
      <c r="C1006">
        <v>8</v>
      </c>
      <c r="D1006" t="s">
        <v>19</v>
      </c>
      <c r="E1006">
        <v>898206</v>
      </c>
      <c r="F1006">
        <v>1352</v>
      </c>
      <c r="G1006">
        <v>404</v>
      </c>
    </row>
    <row r="1007" spans="1:8" x14ac:dyDescent="0.45">
      <c r="A1007" t="s">
        <v>59</v>
      </c>
      <c r="B1007" t="s">
        <v>20</v>
      </c>
      <c r="C1007">
        <v>8</v>
      </c>
      <c r="D1007" t="s">
        <v>27</v>
      </c>
      <c r="F1007">
        <v>329</v>
      </c>
      <c r="G1007">
        <v>1111</v>
      </c>
    </row>
    <row r="1008" spans="1:8" x14ac:dyDescent="0.45">
      <c r="A1008" t="s">
        <v>59</v>
      </c>
      <c r="B1008" t="s">
        <v>20</v>
      </c>
      <c r="C1008">
        <v>8</v>
      </c>
      <c r="D1008" t="s">
        <v>28</v>
      </c>
      <c r="F1008">
        <v>217</v>
      </c>
      <c r="G1008">
        <v>983</v>
      </c>
    </row>
    <row r="1009" spans="1:8" x14ac:dyDescent="0.45">
      <c r="A1009" t="s">
        <v>59</v>
      </c>
      <c r="B1009" t="s">
        <v>20</v>
      </c>
      <c r="C1009">
        <v>8</v>
      </c>
      <c r="D1009" t="s">
        <v>29</v>
      </c>
      <c r="F1009">
        <v>204</v>
      </c>
      <c r="G1009">
        <v>1041</v>
      </c>
    </row>
    <row r="1010" spans="1:8" x14ac:dyDescent="0.45">
      <c r="A1010" t="s">
        <v>59</v>
      </c>
      <c r="B1010" t="s">
        <v>20</v>
      </c>
      <c r="C1010">
        <v>8</v>
      </c>
      <c r="D1010" t="s">
        <v>31</v>
      </c>
      <c r="H1010">
        <v>20</v>
      </c>
    </row>
    <row r="1011" spans="1:8" x14ac:dyDescent="0.45">
      <c r="A1011" t="s">
        <v>59</v>
      </c>
      <c r="B1011" t="s">
        <v>20</v>
      </c>
      <c r="C1011">
        <v>8</v>
      </c>
      <c r="D1011" t="s">
        <v>32</v>
      </c>
      <c r="H1011">
        <v>9</v>
      </c>
    </row>
    <row r="1012" spans="1:8" x14ac:dyDescent="0.45">
      <c r="A1012" t="s">
        <v>59</v>
      </c>
      <c r="B1012" t="s">
        <v>20</v>
      </c>
      <c r="C1012">
        <v>8</v>
      </c>
      <c r="D1012" t="s">
        <v>34</v>
      </c>
      <c r="H1012">
        <v>4</v>
      </c>
    </row>
    <row r="1013" spans="1:8" x14ac:dyDescent="0.45">
      <c r="A1013" t="s">
        <v>59</v>
      </c>
      <c r="B1013" t="s">
        <v>21</v>
      </c>
      <c r="C1013">
        <v>9</v>
      </c>
      <c r="D1013" t="s">
        <v>19</v>
      </c>
      <c r="E1013">
        <v>913756</v>
      </c>
      <c r="F1013">
        <v>1512</v>
      </c>
      <c r="G1013">
        <v>451</v>
      </c>
    </row>
    <row r="1014" spans="1:8" x14ac:dyDescent="0.45">
      <c r="A1014" t="s">
        <v>59</v>
      </c>
      <c r="B1014" t="s">
        <v>21</v>
      </c>
      <c r="C1014">
        <v>9</v>
      </c>
      <c r="D1014" t="s">
        <v>27</v>
      </c>
      <c r="F1014">
        <v>413</v>
      </c>
    </row>
    <row r="1015" spans="1:8" x14ac:dyDescent="0.45">
      <c r="A1015" t="s">
        <v>59</v>
      </c>
      <c r="B1015" t="s">
        <v>21</v>
      </c>
      <c r="C1015">
        <v>9</v>
      </c>
      <c r="D1015" t="s">
        <v>28</v>
      </c>
      <c r="F1015">
        <v>306</v>
      </c>
    </row>
    <row r="1016" spans="1:8" x14ac:dyDescent="0.45">
      <c r="A1016" t="s">
        <v>59</v>
      </c>
      <c r="B1016" t="s">
        <v>21</v>
      </c>
      <c r="C1016">
        <v>9</v>
      </c>
      <c r="D1016" t="s">
        <v>29</v>
      </c>
      <c r="F1016">
        <v>261</v>
      </c>
    </row>
    <row r="1017" spans="1:8" x14ac:dyDescent="0.45">
      <c r="A1017" t="s">
        <v>59</v>
      </c>
      <c r="B1017" t="s">
        <v>20</v>
      </c>
      <c r="C1017">
        <v>9</v>
      </c>
      <c r="D1017" t="s">
        <v>19</v>
      </c>
      <c r="E1017">
        <v>756168</v>
      </c>
      <c r="F1017">
        <v>1252</v>
      </c>
      <c r="G1017">
        <v>399</v>
      </c>
    </row>
    <row r="1018" spans="1:8" x14ac:dyDescent="0.45">
      <c r="A1018" t="s">
        <v>59</v>
      </c>
      <c r="B1018" t="s">
        <v>20</v>
      </c>
      <c r="C1018">
        <v>9</v>
      </c>
      <c r="D1018" t="s">
        <v>27</v>
      </c>
      <c r="F1018">
        <v>350</v>
      </c>
    </row>
    <row r="1019" spans="1:8" x14ac:dyDescent="0.45">
      <c r="A1019" t="s">
        <v>59</v>
      </c>
      <c r="B1019" t="s">
        <v>20</v>
      </c>
      <c r="C1019">
        <v>9</v>
      </c>
      <c r="D1019" t="s">
        <v>28</v>
      </c>
      <c r="F1019">
        <v>272</v>
      </c>
    </row>
    <row r="1020" spans="1:8" x14ac:dyDescent="0.45">
      <c r="A1020" t="s">
        <v>59</v>
      </c>
      <c r="B1020" t="s">
        <v>20</v>
      </c>
      <c r="C1020">
        <v>9</v>
      </c>
      <c r="D1020" t="s">
        <v>29</v>
      </c>
      <c r="F1020">
        <v>175</v>
      </c>
    </row>
    <row r="1021" spans="1:8" x14ac:dyDescent="0.45">
      <c r="A1021" t="s">
        <v>59</v>
      </c>
      <c r="B1021" t="s">
        <v>20</v>
      </c>
      <c r="C1021">
        <v>9</v>
      </c>
      <c r="D1021" t="s">
        <v>31</v>
      </c>
      <c r="H1021">
        <v>50</v>
      </c>
    </row>
    <row r="1022" spans="1:8" x14ac:dyDescent="0.45">
      <c r="A1022" t="s">
        <v>59</v>
      </c>
      <c r="B1022" t="s">
        <v>20</v>
      </c>
      <c r="C1022">
        <v>9</v>
      </c>
      <c r="D1022" t="s">
        <v>32</v>
      </c>
      <c r="H1022">
        <v>7</v>
      </c>
    </row>
    <row r="1023" spans="1:8" x14ac:dyDescent="0.45">
      <c r="A1023" t="s">
        <v>59</v>
      </c>
      <c r="B1023" t="s">
        <v>20</v>
      </c>
      <c r="C1023">
        <v>9</v>
      </c>
      <c r="D1023" t="s">
        <v>34</v>
      </c>
      <c r="H1023">
        <v>1</v>
      </c>
    </row>
    <row r="1024" spans="1:8" x14ac:dyDescent="0.45">
      <c r="A1024" t="s">
        <v>59</v>
      </c>
      <c r="B1024" t="s">
        <v>21</v>
      </c>
      <c r="C1024">
        <v>10</v>
      </c>
      <c r="D1024" t="s">
        <v>19</v>
      </c>
      <c r="E1024">
        <v>1445020</v>
      </c>
      <c r="F1024">
        <v>2428</v>
      </c>
      <c r="G1024">
        <v>643</v>
      </c>
    </row>
    <row r="1025" spans="1:8" x14ac:dyDescent="0.45">
      <c r="A1025" t="s">
        <v>59</v>
      </c>
      <c r="B1025" t="s">
        <v>21</v>
      </c>
      <c r="C1025">
        <v>10</v>
      </c>
      <c r="D1025" t="s">
        <v>27</v>
      </c>
      <c r="F1025">
        <v>597</v>
      </c>
    </row>
    <row r="1026" spans="1:8" x14ac:dyDescent="0.45">
      <c r="A1026" t="s">
        <v>59</v>
      </c>
      <c r="B1026" t="s">
        <v>21</v>
      </c>
      <c r="C1026">
        <v>10</v>
      </c>
      <c r="D1026" t="s">
        <v>28</v>
      </c>
      <c r="F1026">
        <v>455</v>
      </c>
    </row>
    <row r="1027" spans="1:8" x14ac:dyDescent="0.45">
      <c r="A1027" t="s">
        <v>59</v>
      </c>
      <c r="B1027" t="s">
        <v>21</v>
      </c>
      <c r="C1027">
        <v>10</v>
      </c>
      <c r="D1027" t="s">
        <v>29</v>
      </c>
      <c r="F1027">
        <v>432</v>
      </c>
    </row>
    <row r="1028" spans="1:8" x14ac:dyDescent="0.45">
      <c r="A1028" t="s">
        <v>59</v>
      </c>
      <c r="B1028" t="s">
        <v>20</v>
      </c>
      <c r="C1028">
        <v>10</v>
      </c>
      <c r="D1028" t="s">
        <v>19</v>
      </c>
      <c r="E1028">
        <v>1154037</v>
      </c>
      <c r="F1028">
        <v>1894</v>
      </c>
      <c r="G1028">
        <v>573</v>
      </c>
    </row>
    <row r="1029" spans="1:8" x14ac:dyDescent="0.45">
      <c r="A1029" t="s">
        <v>59</v>
      </c>
      <c r="B1029" t="s">
        <v>20</v>
      </c>
      <c r="C1029">
        <v>10</v>
      </c>
      <c r="D1029" t="s">
        <v>27</v>
      </c>
      <c r="F1029">
        <v>475</v>
      </c>
    </row>
    <row r="1030" spans="1:8" x14ac:dyDescent="0.45">
      <c r="A1030" t="s">
        <v>59</v>
      </c>
      <c r="B1030" t="s">
        <v>20</v>
      </c>
      <c r="C1030">
        <v>10</v>
      </c>
      <c r="D1030" t="s">
        <v>28</v>
      </c>
      <c r="F1030">
        <v>353</v>
      </c>
    </row>
    <row r="1031" spans="1:8" x14ac:dyDescent="0.45">
      <c r="A1031" t="s">
        <v>59</v>
      </c>
      <c r="B1031" t="s">
        <v>20</v>
      </c>
      <c r="C1031">
        <v>10</v>
      </c>
      <c r="D1031" t="s">
        <v>29</v>
      </c>
      <c r="F1031">
        <v>288</v>
      </c>
    </row>
    <row r="1032" spans="1:8" x14ac:dyDescent="0.45">
      <c r="A1032" t="s">
        <v>59</v>
      </c>
      <c r="B1032" t="s">
        <v>20</v>
      </c>
      <c r="C1032">
        <v>10</v>
      </c>
      <c r="D1032" t="s">
        <v>31</v>
      </c>
      <c r="H1032">
        <v>93</v>
      </c>
    </row>
    <row r="1033" spans="1:8" x14ac:dyDescent="0.45">
      <c r="A1033" t="s">
        <v>59</v>
      </c>
      <c r="B1033" t="s">
        <v>20</v>
      </c>
      <c r="C1033">
        <v>10</v>
      </c>
      <c r="D1033" t="s">
        <v>32</v>
      </c>
      <c r="H1033">
        <v>6</v>
      </c>
    </row>
    <row r="1034" spans="1:8" x14ac:dyDescent="0.45">
      <c r="A1034" t="s">
        <v>59</v>
      </c>
      <c r="B1034" t="s">
        <v>20</v>
      </c>
      <c r="C1034">
        <v>10</v>
      </c>
      <c r="D1034" t="s">
        <v>34</v>
      </c>
      <c r="H1034">
        <v>5</v>
      </c>
    </row>
    <row r="1035" spans="1:8" x14ac:dyDescent="0.45">
      <c r="A1035" t="s">
        <v>59</v>
      </c>
      <c r="B1035" t="s">
        <v>21</v>
      </c>
      <c r="C1035">
        <v>11</v>
      </c>
      <c r="D1035" t="s">
        <v>19</v>
      </c>
      <c r="E1035">
        <v>832725</v>
      </c>
      <c r="F1035">
        <v>1446</v>
      </c>
      <c r="G1035">
        <v>442</v>
      </c>
    </row>
    <row r="1036" spans="1:8" x14ac:dyDescent="0.45">
      <c r="A1036" t="s">
        <v>59</v>
      </c>
      <c r="B1036" t="s">
        <v>21</v>
      </c>
      <c r="C1036">
        <v>11</v>
      </c>
      <c r="D1036" t="s">
        <v>27</v>
      </c>
      <c r="F1036">
        <v>470</v>
      </c>
    </row>
    <row r="1037" spans="1:8" x14ac:dyDescent="0.45">
      <c r="A1037" t="s">
        <v>59</v>
      </c>
      <c r="B1037" t="s">
        <v>21</v>
      </c>
      <c r="C1037">
        <v>11</v>
      </c>
      <c r="D1037" t="s">
        <v>28</v>
      </c>
      <c r="F1037">
        <v>245</v>
      </c>
    </row>
    <row r="1038" spans="1:8" x14ac:dyDescent="0.45">
      <c r="A1038" t="s">
        <v>59</v>
      </c>
      <c r="B1038" t="s">
        <v>21</v>
      </c>
      <c r="C1038">
        <v>11</v>
      </c>
      <c r="D1038" t="s">
        <v>29</v>
      </c>
      <c r="F1038">
        <v>129</v>
      </c>
    </row>
    <row r="1039" spans="1:8" x14ac:dyDescent="0.45">
      <c r="A1039" t="s">
        <v>59</v>
      </c>
      <c r="B1039" t="s">
        <v>20</v>
      </c>
      <c r="C1039">
        <v>11</v>
      </c>
      <c r="D1039" t="s">
        <v>19</v>
      </c>
      <c r="E1039">
        <v>850822</v>
      </c>
      <c r="F1039">
        <v>1539</v>
      </c>
      <c r="G1039">
        <v>451</v>
      </c>
    </row>
    <row r="1040" spans="1:8" x14ac:dyDescent="0.45">
      <c r="A1040" t="s">
        <v>59</v>
      </c>
      <c r="B1040" t="s">
        <v>20</v>
      </c>
      <c r="C1040">
        <v>11</v>
      </c>
      <c r="D1040" t="s">
        <v>27</v>
      </c>
      <c r="F1040">
        <v>357</v>
      </c>
    </row>
    <row r="1041" spans="1:8" x14ac:dyDescent="0.45">
      <c r="A1041" t="s">
        <v>59</v>
      </c>
      <c r="B1041" t="s">
        <v>20</v>
      </c>
      <c r="C1041">
        <v>11</v>
      </c>
      <c r="D1041" t="s">
        <v>28</v>
      </c>
      <c r="F1041">
        <v>303</v>
      </c>
    </row>
    <row r="1042" spans="1:8" x14ac:dyDescent="0.45">
      <c r="A1042" t="s">
        <v>59</v>
      </c>
      <c r="B1042" t="s">
        <v>20</v>
      </c>
      <c r="C1042">
        <v>11</v>
      </c>
      <c r="D1042" t="s">
        <v>29</v>
      </c>
      <c r="F1042">
        <v>268</v>
      </c>
    </row>
    <row r="1043" spans="1:8" x14ac:dyDescent="0.45">
      <c r="A1043" t="s">
        <v>59</v>
      </c>
      <c r="B1043" t="s">
        <v>20</v>
      </c>
      <c r="C1043">
        <v>11</v>
      </c>
      <c r="D1043" t="s">
        <v>31</v>
      </c>
      <c r="H1043">
        <v>104</v>
      </c>
    </row>
    <row r="1044" spans="1:8" x14ac:dyDescent="0.45">
      <c r="A1044" t="s">
        <v>59</v>
      </c>
      <c r="B1044" t="s">
        <v>20</v>
      </c>
      <c r="C1044">
        <v>11</v>
      </c>
      <c r="D1044" t="s">
        <v>32</v>
      </c>
      <c r="H1044">
        <v>3</v>
      </c>
    </row>
    <row r="1045" spans="1:8" x14ac:dyDescent="0.45">
      <c r="A1045" t="s">
        <v>59</v>
      </c>
      <c r="B1045" t="s">
        <v>20</v>
      </c>
      <c r="C1045">
        <v>11</v>
      </c>
      <c r="D1045" t="s">
        <v>34</v>
      </c>
      <c r="H1045">
        <v>5</v>
      </c>
    </row>
    <row r="1046" spans="1:8" x14ac:dyDescent="0.45">
      <c r="A1046" t="s">
        <v>59</v>
      </c>
      <c r="B1046" t="s">
        <v>21</v>
      </c>
      <c r="C1046">
        <v>12</v>
      </c>
      <c r="D1046" t="s">
        <v>19</v>
      </c>
      <c r="E1046">
        <v>967687</v>
      </c>
      <c r="F1046">
        <v>1705</v>
      </c>
      <c r="G1046">
        <v>481</v>
      </c>
    </row>
    <row r="1047" spans="1:8" x14ac:dyDescent="0.45">
      <c r="A1047" t="s">
        <v>59</v>
      </c>
      <c r="B1047" t="s">
        <v>21</v>
      </c>
      <c r="C1047">
        <v>12</v>
      </c>
      <c r="D1047" t="s">
        <v>27</v>
      </c>
      <c r="F1047">
        <v>474</v>
      </c>
    </row>
    <row r="1048" spans="1:8" x14ac:dyDescent="0.45">
      <c r="A1048" t="s">
        <v>59</v>
      </c>
      <c r="B1048" t="s">
        <v>21</v>
      </c>
      <c r="C1048">
        <v>12</v>
      </c>
      <c r="D1048" t="s">
        <v>28</v>
      </c>
      <c r="F1048">
        <v>321</v>
      </c>
    </row>
    <row r="1049" spans="1:8" x14ac:dyDescent="0.45">
      <c r="A1049" t="s">
        <v>59</v>
      </c>
      <c r="B1049" t="s">
        <v>21</v>
      </c>
      <c r="C1049">
        <v>12</v>
      </c>
      <c r="D1049" t="s">
        <v>29</v>
      </c>
      <c r="F1049">
        <v>261</v>
      </c>
    </row>
    <row r="1050" spans="1:8" x14ac:dyDescent="0.45">
      <c r="A1050" t="s">
        <v>59</v>
      </c>
      <c r="B1050" t="s">
        <v>20</v>
      </c>
      <c r="C1050">
        <v>12</v>
      </c>
      <c r="D1050" t="s">
        <v>19</v>
      </c>
      <c r="E1050">
        <v>977901</v>
      </c>
      <c r="F1050">
        <v>1600</v>
      </c>
      <c r="G1050">
        <v>486</v>
      </c>
    </row>
    <row r="1051" spans="1:8" x14ac:dyDescent="0.45">
      <c r="A1051" t="s">
        <v>59</v>
      </c>
      <c r="B1051" t="s">
        <v>20</v>
      </c>
      <c r="C1051">
        <v>12</v>
      </c>
      <c r="D1051" t="s">
        <v>27</v>
      </c>
      <c r="F1051">
        <v>385</v>
      </c>
    </row>
    <row r="1052" spans="1:8" x14ac:dyDescent="0.45">
      <c r="A1052" t="s">
        <v>59</v>
      </c>
      <c r="B1052" t="s">
        <v>20</v>
      </c>
      <c r="C1052">
        <v>12</v>
      </c>
      <c r="D1052" t="s">
        <v>28</v>
      </c>
      <c r="F1052">
        <v>288</v>
      </c>
    </row>
    <row r="1053" spans="1:8" x14ac:dyDescent="0.45">
      <c r="A1053" t="s">
        <v>59</v>
      </c>
      <c r="B1053" t="s">
        <v>20</v>
      </c>
      <c r="C1053">
        <v>12</v>
      </c>
      <c r="D1053" t="s">
        <v>29</v>
      </c>
      <c r="F1053">
        <v>252</v>
      </c>
    </row>
    <row r="1054" spans="1:8" x14ac:dyDescent="0.45">
      <c r="A1054" t="s">
        <v>59</v>
      </c>
      <c r="B1054" t="s">
        <v>20</v>
      </c>
      <c r="C1054">
        <v>12</v>
      </c>
      <c r="D1054" t="s">
        <v>31</v>
      </c>
      <c r="H1054">
        <v>67</v>
      </c>
    </row>
    <row r="1055" spans="1:8" x14ac:dyDescent="0.45">
      <c r="A1055" t="s">
        <v>59</v>
      </c>
      <c r="B1055" t="s">
        <v>20</v>
      </c>
      <c r="C1055">
        <v>12</v>
      </c>
      <c r="D1055" t="s">
        <v>32</v>
      </c>
      <c r="H1055">
        <v>6</v>
      </c>
    </row>
    <row r="1056" spans="1:8" x14ac:dyDescent="0.45">
      <c r="A1056" t="s">
        <v>59</v>
      </c>
      <c r="B1056" t="s">
        <v>20</v>
      </c>
      <c r="C1056">
        <v>12</v>
      </c>
      <c r="D1056" t="s">
        <v>34</v>
      </c>
      <c r="H1056">
        <v>4</v>
      </c>
    </row>
    <row r="1057" spans="1:8" x14ac:dyDescent="0.45">
      <c r="A1057" t="s">
        <v>44</v>
      </c>
      <c r="B1057" t="s">
        <v>21</v>
      </c>
      <c r="C1057">
        <v>1</v>
      </c>
      <c r="D1057" t="s">
        <v>19</v>
      </c>
      <c r="E1057">
        <v>1396843</v>
      </c>
      <c r="F1057">
        <v>2933</v>
      </c>
      <c r="G1057">
        <v>820</v>
      </c>
    </row>
    <row r="1058" spans="1:8" x14ac:dyDescent="0.45">
      <c r="A1058" t="s">
        <v>44</v>
      </c>
      <c r="B1058" t="s">
        <v>21</v>
      </c>
      <c r="C1058">
        <v>1</v>
      </c>
      <c r="D1058" t="s">
        <v>27</v>
      </c>
      <c r="F1058">
        <v>1247</v>
      </c>
    </row>
    <row r="1059" spans="1:8" x14ac:dyDescent="0.45">
      <c r="A1059" t="s">
        <v>44</v>
      </c>
      <c r="B1059" t="s">
        <v>21</v>
      </c>
      <c r="C1059">
        <v>1</v>
      </c>
      <c r="D1059" t="s">
        <v>28</v>
      </c>
      <c r="F1059">
        <v>519</v>
      </c>
    </row>
    <row r="1060" spans="1:8" x14ac:dyDescent="0.45">
      <c r="A1060" t="s">
        <v>44</v>
      </c>
      <c r="B1060" t="s">
        <v>21</v>
      </c>
      <c r="C1060">
        <v>1</v>
      </c>
      <c r="D1060" t="s">
        <v>29</v>
      </c>
      <c r="F1060">
        <v>378</v>
      </c>
    </row>
    <row r="1061" spans="1:8" x14ac:dyDescent="0.45">
      <c r="A1061" t="s">
        <v>44</v>
      </c>
      <c r="B1061" t="s">
        <v>20</v>
      </c>
      <c r="C1061">
        <v>1</v>
      </c>
      <c r="D1061" t="s">
        <v>19</v>
      </c>
      <c r="E1061">
        <v>1437515</v>
      </c>
      <c r="F1061">
        <v>2873</v>
      </c>
      <c r="G1061">
        <v>799</v>
      </c>
    </row>
    <row r="1062" spans="1:8" x14ac:dyDescent="0.45">
      <c r="A1062" t="s">
        <v>44</v>
      </c>
      <c r="B1062" t="s">
        <v>20</v>
      </c>
      <c r="C1062">
        <v>1</v>
      </c>
      <c r="D1062" t="s">
        <v>27</v>
      </c>
      <c r="F1062">
        <v>1050</v>
      </c>
    </row>
    <row r="1063" spans="1:8" x14ac:dyDescent="0.45">
      <c r="A1063" t="s">
        <v>44</v>
      </c>
      <c r="B1063" t="s">
        <v>20</v>
      </c>
      <c r="C1063">
        <v>1</v>
      </c>
      <c r="D1063" t="s">
        <v>28</v>
      </c>
      <c r="F1063">
        <v>461</v>
      </c>
    </row>
    <row r="1064" spans="1:8" x14ac:dyDescent="0.45">
      <c r="A1064" t="s">
        <v>44</v>
      </c>
      <c r="B1064" t="s">
        <v>20</v>
      </c>
      <c r="C1064">
        <v>1</v>
      </c>
      <c r="D1064" t="s">
        <v>29</v>
      </c>
      <c r="F1064">
        <v>423</v>
      </c>
    </row>
    <row r="1065" spans="1:8" x14ac:dyDescent="0.45">
      <c r="A1065" t="s">
        <v>44</v>
      </c>
      <c r="B1065" t="s">
        <v>20</v>
      </c>
      <c r="C1065">
        <v>1</v>
      </c>
      <c r="D1065" t="s">
        <v>31</v>
      </c>
      <c r="H1065">
        <v>131</v>
      </c>
    </row>
    <row r="1066" spans="1:8" x14ac:dyDescent="0.45">
      <c r="A1066" t="s">
        <v>44</v>
      </c>
      <c r="B1066" t="s">
        <v>20</v>
      </c>
      <c r="C1066">
        <v>1</v>
      </c>
      <c r="D1066" t="s">
        <v>32</v>
      </c>
      <c r="H1066">
        <v>14</v>
      </c>
    </row>
    <row r="1067" spans="1:8" x14ac:dyDescent="0.45">
      <c r="A1067" t="s">
        <v>44</v>
      </c>
      <c r="B1067" t="s">
        <v>20</v>
      </c>
      <c r="C1067">
        <v>1</v>
      </c>
      <c r="D1067" t="s">
        <v>34</v>
      </c>
    </row>
    <row r="1068" spans="1:8" x14ac:dyDescent="0.45">
      <c r="A1068" t="s">
        <v>44</v>
      </c>
      <c r="B1068" t="s">
        <v>21</v>
      </c>
      <c r="C1068">
        <v>2</v>
      </c>
      <c r="D1068" t="s">
        <v>19</v>
      </c>
      <c r="E1068">
        <v>1408569</v>
      </c>
      <c r="F1068">
        <v>2889</v>
      </c>
      <c r="G1068">
        <v>806</v>
      </c>
    </row>
    <row r="1069" spans="1:8" x14ac:dyDescent="0.45">
      <c r="A1069" t="s">
        <v>44</v>
      </c>
      <c r="B1069" t="s">
        <v>21</v>
      </c>
      <c r="C1069">
        <v>2</v>
      </c>
      <c r="D1069" t="s">
        <v>27</v>
      </c>
      <c r="F1069">
        <v>1298</v>
      </c>
    </row>
    <row r="1070" spans="1:8" x14ac:dyDescent="0.45">
      <c r="A1070" t="s">
        <v>44</v>
      </c>
      <c r="B1070" t="s">
        <v>21</v>
      </c>
      <c r="C1070">
        <v>2</v>
      </c>
      <c r="D1070" t="s">
        <v>28</v>
      </c>
      <c r="F1070">
        <v>446</v>
      </c>
    </row>
    <row r="1071" spans="1:8" x14ac:dyDescent="0.45">
      <c r="A1071" t="s">
        <v>44</v>
      </c>
      <c r="B1071" t="s">
        <v>21</v>
      </c>
      <c r="C1071">
        <v>2</v>
      </c>
      <c r="D1071" t="s">
        <v>29</v>
      </c>
      <c r="F1071">
        <v>371</v>
      </c>
    </row>
    <row r="1072" spans="1:8" x14ac:dyDescent="0.45">
      <c r="A1072" t="s">
        <v>44</v>
      </c>
      <c r="B1072" t="s">
        <v>20</v>
      </c>
      <c r="C1072">
        <v>2</v>
      </c>
      <c r="D1072" t="s">
        <v>19</v>
      </c>
      <c r="E1072">
        <v>1393171</v>
      </c>
      <c r="F1072">
        <v>2701</v>
      </c>
      <c r="G1072">
        <v>768</v>
      </c>
    </row>
    <row r="1073" spans="1:8" x14ac:dyDescent="0.45">
      <c r="A1073" t="s">
        <v>44</v>
      </c>
      <c r="B1073" t="s">
        <v>20</v>
      </c>
      <c r="C1073">
        <v>2</v>
      </c>
      <c r="D1073" t="s">
        <v>27</v>
      </c>
      <c r="F1073">
        <v>1071</v>
      </c>
    </row>
    <row r="1074" spans="1:8" x14ac:dyDescent="0.45">
      <c r="A1074" t="s">
        <v>44</v>
      </c>
      <c r="B1074" t="s">
        <v>20</v>
      </c>
      <c r="C1074">
        <v>2</v>
      </c>
      <c r="D1074" t="s">
        <v>28</v>
      </c>
      <c r="F1074">
        <v>496</v>
      </c>
    </row>
    <row r="1075" spans="1:8" x14ac:dyDescent="0.45">
      <c r="A1075" t="s">
        <v>44</v>
      </c>
      <c r="B1075" t="s">
        <v>20</v>
      </c>
      <c r="C1075">
        <v>2</v>
      </c>
      <c r="D1075" t="s">
        <v>29</v>
      </c>
      <c r="F1075">
        <v>399</v>
      </c>
    </row>
    <row r="1076" spans="1:8" x14ac:dyDescent="0.45">
      <c r="A1076" t="s">
        <v>44</v>
      </c>
      <c r="B1076" t="s">
        <v>20</v>
      </c>
      <c r="C1076">
        <v>2</v>
      </c>
      <c r="D1076" t="s">
        <v>31</v>
      </c>
      <c r="H1076">
        <v>88</v>
      </c>
    </row>
    <row r="1077" spans="1:8" x14ac:dyDescent="0.45">
      <c r="A1077" t="s">
        <v>44</v>
      </c>
      <c r="B1077" t="s">
        <v>20</v>
      </c>
      <c r="C1077">
        <v>2</v>
      </c>
      <c r="D1077" t="s">
        <v>32</v>
      </c>
      <c r="H1077">
        <v>9</v>
      </c>
    </row>
    <row r="1078" spans="1:8" x14ac:dyDescent="0.45">
      <c r="A1078" t="s">
        <v>44</v>
      </c>
      <c r="B1078" t="s">
        <v>20</v>
      </c>
      <c r="C1078">
        <v>2</v>
      </c>
      <c r="D1078" t="s">
        <v>34</v>
      </c>
      <c r="H1078">
        <v>11</v>
      </c>
    </row>
    <row r="1079" spans="1:8" x14ac:dyDescent="0.45">
      <c r="A1079" t="s">
        <v>44</v>
      </c>
      <c r="B1079" t="s">
        <v>21</v>
      </c>
      <c r="C1079">
        <v>3</v>
      </c>
      <c r="D1079" t="s">
        <v>19</v>
      </c>
      <c r="E1079">
        <v>2947360</v>
      </c>
      <c r="F1079">
        <v>5253</v>
      </c>
      <c r="G1079">
        <v>1350</v>
      </c>
    </row>
    <row r="1080" spans="1:8" x14ac:dyDescent="0.45">
      <c r="A1080" t="s">
        <v>44</v>
      </c>
      <c r="B1080" t="s">
        <v>21</v>
      </c>
      <c r="C1080">
        <v>3</v>
      </c>
      <c r="D1080" t="s">
        <v>27</v>
      </c>
      <c r="F1080">
        <v>1630</v>
      </c>
    </row>
    <row r="1081" spans="1:8" x14ac:dyDescent="0.45">
      <c r="A1081" t="s">
        <v>44</v>
      </c>
      <c r="B1081" t="s">
        <v>21</v>
      </c>
      <c r="C1081">
        <v>3</v>
      </c>
      <c r="D1081" t="s">
        <v>28</v>
      </c>
      <c r="F1081">
        <v>817</v>
      </c>
    </row>
    <row r="1082" spans="1:8" x14ac:dyDescent="0.45">
      <c r="A1082" t="s">
        <v>44</v>
      </c>
      <c r="B1082" t="s">
        <v>21</v>
      </c>
      <c r="C1082">
        <v>3</v>
      </c>
      <c r="D1082" t="s">
        <v>29</v>
      </c>
      <c r="F1082">
        <v>697</v>
      </c>
    </row>
    <row r="1083" spans="1:8" x14ac:dyDescent="0.45">
      <c r="A1083" t="s">
        <v>44</v>
      </c>
      <c r="B1083" t="s">
        <v>20</v>
      </c>
      <c r="C1083">
        <v>3</v>
      </c>
      <c r="D1083" t="s">
        <v>19</v>
      </c>
      <c r="E1083">
        <v>2561062</v>
      </c>
      <c r="F1083">
        <v>4408</v>
      </c>
    </row>
    <row r="1084" spans="1:8" x14ac:dyDescent="0.45">
      <c r="A1084" t="s">
        <v>44</v>
      </c>
      <c r="B1084" t="s">
        <v>20</v>
      </c>
      <c r="C1084">
        <v>3</v>
      </c>
      <c r="D1084" t="s">
        <v>27</v>
      </c>
      <c r="F1084">
        <v>1338</v>
      </c>
    </row>
    <row r="1085" spans="1:8" x14ac:dyDescent="0.45">
      <c r="A1085" t="s">
        <v>44</v>
      </c>
      <c r="B1085" t="s">
        <v>20</v>
      </c>
      <c r="C1085">
        <v>3</v>
      </c>
      <c r="D1085" t="s">
        <v>28</v>
      </c>
      <c r="F1085">
        <v>767</v>
      </c>
    </row>
    <row r="1086" spans="1:8" x14ac:dyDescent="0.45">
      <c r="A1086" t="s">
        <v>44</v>
      </c>
      <c r="B1086" t="s">
        <v>20</v>
      </c>
      <c r="C1086">
        <v>3</v>
      </c>
      <c r="D1086" t="s">
        <v>29</v>
      </c>
      <c r="F1086">
        <v>697</v>
      </c>
    </row>
    <row r="1087" spans="1:8" x14ac:dyDescent="0.45">
      <c r="A1087" t="s">
        <v>44</v>
      </c>
      <c r="B1087" t="s">
        <v>20</v>
      </c>
      <c r="C1087">
        <v>3</v>
      </c>
      <c r="D1087" t="s">
        <v>31</v>
      </c>
      <c r="H1087">
        <v>150</v>
      </c>
    </row>
    <row r="1088" spans="1:8" x14ac:dyDescent="0.45">
      <c r="A1088" t="s">
        <v>44</v>
      </c>
      <c r="B1088" t="s">
        <v>20</v>
      </c>
      <c r="C1088">
        <v>3</v>
      </c>
      <c r="D1088" t="s">
        <v>32</v>
      </c>
      <c r="H1088">
        <v>8</v>
      </c>
    </row>
    <row r="1089" spans="1:8" x14ac:dyDescent="0.45">
      <c r="A1089" t="s">
        <v>44</v>
      </c>
      <c r="B1089" t="s">
        <v>20</v>
      </c>
      <c r="C1089">
        <v>3</v>
      </c>
      <c r="D1089" t="s">
        <v>34</v>
      </c>
      <c r="H1089">
        <v>10</v>
      </c>
    </row>
    <row r="1090" spans="1:8" x14ac:dyDescent="0.45">
      <c r="A1090" t="s">
        <v>44</v>
      </c>
      <c r="B1090" t="s">
        <v>21</v>
      </c>
      <c r="C1090">
        <v>4</v>
      </c>
      <c r="D1090" t="s">
        <v>19</v>
      </c>
      <c r="E1090">
        <v>3441079</v>
      </c>
      <c r="F1090">
        <v>5591</v>
      </c>
      <c r="G1090">
        <v>1411</v>
      </c>
    </row>
    <row r="1091" spans="1:8" x14ac:dyDescent="0.45">
      <c r="A1091" t="s">
        <v>44</v>
      </c>
      <c r="B1091" t="s">
        <v>21</v>
      </c>
      <c r="C1091">
        <v>4</v>
      </c>
      <c r="D1091" t="s">
        <v>27</v>
      </c>
      <c r="F1091">
        <v>1563</v>
      </c>
    </row>
    <row r="1092" spans="1:8" x14ac:dyDescent="0.45">
      <c r="A1092" t="s">
        <v>44</v>
      </c>
      <c r="B1092" t="s">
        <v>21</v>
      </c>
      <c r="C1092">
        <v>4</v>
      </c>
      <c r="D1092" t="s">
        <v>28</v>
      </c>
      <c r="F1092">
        <v>917</v>
      </c>
    </row>
    <row r="1093" spans="1:8" x14ac:dyDescent="0.45">
      <c r="A1093" t="s">
        <v>44</v>
      </c>
      <c r="B1093" t="s">
        <v>21</v>
      </c>
      <c r="C1093">
        <v>4</v>
      </c>
      <c r="D1093" t="s">
        <v>29</v>
      </c>
      <c r="F1093">
        <v>797</v>
      </c>
    </row>
    <row r="1094" spans="1:8" x14ac:dyDescent="0.45">
      <c r="A1094" t="s">
        <v>44</v>
      </c>
      <c r="B1094" t="s">
        <v>20</v>
      </c>
      <c r="C1094">
        <v>4</v>
      </c>
      <c r="D1094" t="s">
        <v>19</v>
      </c>
      <c r="E1094">
        <v>3664546</v>
      </c>
      <c r="F1094">
        <v>5834</v>
      </c>
      <c r="G1094">
        <v>1406</v>
      </c>
    </row>
    <row r="1095" spans="1:8" x14ac:dyDescent="0.45">
      <c r="A1095" t="s">
        <v>44</v>
      </c>
      <c r="B1095" t="s">
        <v>20</v>
      </c>
      <c r="C1095">
        <v>4</v>
      </c>
      <c r="D1095" t="s">
        <v>27</v>
      </c>
      <c r="F1095">
        <v>1334</v>
      </c>
    </row>
    <row r="1096" spans="1:8" x14ac:dyDescent="0.45">
      <c r="A1096" t="s">
        <v>44</v>
      </c>
      <c r="B1096" t="s">
        <v>20</v>
      </c>
      <c r="C1096">
        <v>4</v>
      </c>
      <c r="D1096" t="s">
        <v>28</v>
      </c>
      <c r="F1096">
        <v>931</v>
      </c>
    </row>
    <row r="1097" spans="1:8" x14ac:dyDescent="0.45">
      <c r="A1097" t="s">
        <v>44</v>
      </c>
      <c r="B1097" t="s">
        <v>20</v>
      </c>
      <c r="C1097">
        <v>4</v>
      </c>
      <c r="D1097" t="s">
        <v>29</v>
      </c>
      <c r="F1097">
        <v>829</v>
      </c>
    </row>
    <row r="1098" spans="1:8" x14ac:dyDescent="0.45">
      <c r="A1098" t="s">
        <v>44</v>
      </c>
      <c r="B1098" t="s">
        <v>20</v>
      </c>
      <c r="C1098">
        <v>4</v>
      </c>
      <c r="D1098" t="s">
        <v>31</v>
      </c>
      <c r="H1098">
        <v>85</v>
      </c>
    </row>
    <row r="1099" spans="1:8" x14ac:dyDescent="0.45">
      <c r="A1099" t="s">
        <v>44</v>
      </c>
      <c r="B1099" t="s">
        <v>20</v>
      </c>
      <c r="C1099">
        <v>4</v>
      </c>
      <c r="D1099" t="s">
        <v>32</v>
      </c>
      <c r="H1099">
        <v>11</v>
      </c>
    </row>
    <row r="1100" spans="1:8" x14ac:dyDescent="0.45">
      <c r="A1100" t="s">
        <v>44</v>
      </c>
      <c r="B1100" t="s">
        <v>20</v>
      </c>
      <c r="C1100">
        <v>4</v>
      </c>
      <c r="D1100" t="s">
        <v>34</v>
      </c>
      <c r="H1100">
        <v>8</v>
      </c>
    </row>
    <row r="1101" spans="1:8" x14ac:dyDescent="0.45">
      <c r="A1101" t="s">
        <v>44</v>
      </c>
      <c r="B1101" t="s">
        <v>21</v>
      </c>
      <c r="C1101">
        <v>5</v>
      </c>
      <c r="D1101" t="s">
        <v>19</v>
      </c>
      <c r="E1101">
        <v>3494491</v>
      </c>
      <c r="F1101">
        <v>5260</v>
      </c>
      <c r="G1101">
        <v>1248</v>
      </c>
      <c r="H1101">
        <v>6</v>
      </c>
    </row>
    <row r="1102" spans="1:8" x14ac:dyDescent="0.45">
      <c r="A1102" t="s">
        <v>44</v>
      </c>
      <c r="B1102" t="s">
        <v>21</v>
      </c>
      <c r="C1102">
        <v>5</v>
      </c>
      <c r="D1102" t="s">
        <v>27</v>
      </c>
      <c r="F1102">
        <v>1353</v>
      </c>
    </row>
    <row r="1103" spans="1:8" x14ac:dyDescent="0.45">
      <c r="A1103" t="s">
        <v>44</v>
      </c>
      <c r="B1103" t="s">
        <v>21</v>
      </c>
      <c r="C1103">
        <v>5</v>
      </c>
      <c r="D1103" t="s">
        <v>28</v>
      </c>
      <c r="F1103">
        <v>879</v>
      </c>
    </row>
    <row r="1104" spans="1:8" x14ac:dyDescent="0.45">
      <c r="A1104" t="s">
        <v>44</v>
      </c>
      <c r="B1104" t="s">
        <v>21</v>
      </c>
      <c r="C1104">
        <v>5</v>
      </c>
      <c r="D1104" t="s">
        <v>29</v>
      </c>
      <c r="F1104">
        <v>745</v>
      </c>
    </row>
    <row r="1105" spans="1:8" x14ac:dyDescent="0.45">
      <c r="A1105" t="s">
        <v>44</v>
      </c>
      <c r="B1105" t="s">
        <v>20</v>
      </c>
      <c r="C1105">
        <v>5</v>
      </c>
      <c r="D1105" t="s">
        <v>19</v>
      </c>
      <c r="E1105">
        <v>2768264</v>
      </c>
      <c r="F1105">
        <v>4353</v>
      </c>
      <c r="H1105">
        <v>155</v>
      </c>
    </row>
    <row r="1106" spans="1:8" x14ac:dyDescent="0.45">
      <c r="A1106" t="s">
        <v>44</v>
      </c>
      <c r="B1106" t="s">
        <v>20</v>
      </c>
      <c r="C1106">
        <v>5</v>
      </c>
      <c r="D1106" t="s">
        <v>27</v>
      </c>
      <c r="F1106">
        <v>1110</v>
      </c>
    </row>
    <row r="1107" spans="1:8" x14ac:dyDescent="0.45">
      <c r="A1107" t="s">
        <v>44</v>
      </c>
      <c r="B1107" t="s">
        <v>20</v>
      </c>
      <c r="C1107">
        <v>5</v>
      </c>
      <c r="D1107" t="s">
        <v>28</v>
      </c>
      <c r="F1107">
        <v>707</v>
      </c>
    </row>
    <row r="1108" spans="1:8" x14ac:dyDescent="0.45">
      <c r="A1108" t="s">
        <v>44</v>
      </c>
      <c r="B1108" t="s">
        <v>20</v>
      </c>
      <c r="C1108">
        <v>5</v>
      </c>
      <c r="D1108" t="s">
        <v>29</v>
      </c>
      <c r="F1108">
        <v>508</v>
      </c>
    </row>
    <row r="1109" spans="1:8" x14ac:dyDescent="0.45">
      <c r="A1109" t="s">
        <v>44</v>
      </c>
      <c r="B1109" t="s">
        <v>20</v>
      </c>
      <c r="C1109">
        <v>5</v>
      </c>
      <c r="D1109" t="s">
        <v>31</v>
      </c>
      <c r="H1109">
        <v>132</v>
      </c>
    </row>
    <row r="1110" spans="1:8" x14ac:dyDescent="0.45">
      <c r="A1110" t="s">
        <v>44</v>
      </c>
      <c r="B1110" t="s">
        <v>20</v>
      </c>
      <c r="C1110">
        <v>5</v>
      </c>
      <c r="D1110" t="s">
        <v>32</v>
      </c>
      <c r="H1110">
        <v>17</v>
      </c>
    </row>
    <row r="1111" spans="1:8" x14ac:dyDescent="0.45">
      <c r="A1111" t="s">
        <v>44</v>
      </c>
      <c r="B1111" t="s">
        <v>20</v>
      </c>
      <c r="C1111">
        <v>5</v>
      </c>
      <c r="D1111" t="s">
        <v>34</v>
      </c>
      <c r="H1111">
        <v>6</v>
      </c>
    </row>
    <row r="1112" spans="1:8" x14ac:dyDescent="0.45">
      <c r="A1112" t="s">
        <v>44</v>
      </c>
      <c r="B1112" t="s">
        <v>21</v>
      </c>
      <c r="C1112">
        <v>6</v>
      </c>
      <c r="D1112" t="s">
        <v>19</v>
      </c>
      <c r="E1112">
        <v>2720442</v>
      </c>
      <c r="F1112">
        <v>4685</v>
      </c>
    </row>
    <row r="1113" spans="1:8" x14ac:dyDescent="0.45">
      <c r="A1113" t="s">
        <v>44</v>
      </c>
      <c r="B1113" t="s">
        <v>21</v>
      </c>
      <c r="C1113">
        <v>6</v>
      </c>
      <c r="D1113" t="s">
        <v>27</v>
      </c>
      <c r="F1113">
        <v>1492</v>
      </c>
    </row>
    <row r="1114" spans="1:8" x14ac:dyDescent="0.45">
      <c r="A1114" t="s">
        <v>44</v>
      </c>
      <c r="B1114" t="s">
        <v>21</v>
      </c>
      <c r="C1114">
        <v>6</v>
      </c>
      <c r="D1114" t="s">
        <v>28</v>
      </c>
      <c r="F1114">
        <v>888</v>
      </c>
    </row>
    <row r="1115" spans="1:8" x14ac:dyDescent="0.45">
      <c r="A1115" t="s">
        <v>44</v>
      </c>
      <c r="B1115" t="s">
        <v>21</v>
      </c>
      <c r="C1115">
        <v>6</v>
      </c>
      <c r="D1115" t="s">
        <v>29</v>
      </c>
      <c r="F1115">
        <v>614</v>
      </c>
    </row>
    <row r="1116" spans="1:8" x14ac:dyDescent="0.45">
      <c r="A1116" t="s">
        <v>44</v>
      </c>
      <c r="B1116" t="s">
        <v>20</v>
      </c>
      <c r="C1116">
        <v>6</v>
      </c>
      <c r="D1116" t="s">
        <v>19</v>
      </c>
      <c r="E1116">
        <v>2776241</v>
      </c>
      <c r="F1116">
        <v>4485</v>
      </c>
    </row>
    <row r="1117" spans="1:8" x14ac:dyDescent="0.45">
      <c r="A1117" t="s">
        <v>44</v>
      </c>
      <c r="B1117" t="s">
        <v>20</v>
      </c>
      <c r="C1117">
        <v>6</v>
      </c>
      <c r="D1117" t="s">
        <v>27</v>
      </c>
      <c r="F1117">
        <v>1453</v>
      </c>
    </row>
    <row r="1118" spans="1:8" x14ac:dyDescent="0.45">
      <c r="A1118" t="s">
        <v>44</v>
      </c>
      <c r="B1118" t="s">
        <v>20</v>
      </c>
      <c r="C1118">
        <v>6</v>
      </c>
      <c r="D1118" t="s">
        <v>28</v>
      </c>
      <c r="F1118">
        <v>840</v>
      </c>
    </row>
    <row r="1119" spans="1:8" x14ac:dyDescent="0.45">
      <c r="A1119" t="s">
        <v>44</v>
      </c>
      <c r="B1119" t="s">
        <v>20</v>
      </c>
      <c r="C1119">
        <v>6</v>
      </c>
      <c r="D1119" t="s">
        <v>29</v>
      </c>
      <c r="F1119">
        <v>624</v>
      </c>
    </row>
    <row r="1120" spans="1:8" x14ac:dyDescent="0.45">
      <c r="A1120" t="s">
        <v>44</v>
      </c>
      <c r="B1120" t="s">
        <v>20</v>
      </c>
      <c r="C1120">
        <v>6</v>
      </c>
      <c r="D1120" t="s">
        <v>31</v>
      </c>
      <c r="H1120">
        <v>59</v>
      </c>
    </row>
    <row r="1121" spans="1:8" x14ac:dyDescent="0.45">
      <c r="A1121" t="s">
        <v>44</v>
      </c>
      <c r="B1121" t="s">
        <v>20</v>
      </c>
      <c r="C1121">
        <v>6</v>
      </c>
      <c r="D1121" t="s">
        <v>32</v>
      </c>
      <c r="H1121">
        <v>10</v>
      </c>
    </row>
    <row r="1122" spans="1:8" x14ac:dyDescent="0.45">
      <c r="A1122" t="s">
        <v>44</v>
      </c>
      <c r="B1122" t="s">
        <v>20</v>
      </c>
      <c r="C1122">
        <v>6</v>
      </c>
      <c r="D1122" t="s">
        <v>34</v>
      </c>
      <c r="H1122">
        <v>8</v>
      </c>
    </row>
    <row r="1123" spans="1:8" x14ac:dyDescent="0.45">
      <c r="A1123" t="s">
        <v>44</v>
      </c>
      <c r="B1123" t="s">
        <v>21</v>
      </c>
      <c r="C1123">
        <v>7</v>
      </c>
      <c r="D1123" t="s">
        <v>19</v>
      </c>
      <c r="E1123">
        <v>2188730</v>
      </c>
      <c r="F1123">
        <v>3978</v>
      </c>
      <c r="H1123">
        <v>179</v>
      </c>
    </row>
    <row r="1124" spans="1:8" x14ac:dyDescent="0.45">
      <c r="A1124" t="s">
        <v>44</v>
      </c>
      <c r="B1124" t="s">
        <v>21</v>
      </c>
      <c r="C1124">
        <v>7</v>
      </c>
      <c r="D1124" t="s">
        <v>27</v>
      </c>
      <c r="F1124">
        <v>1545</v>
      </c>
    </row>
    <row r="1125" spans="1:8" x14ac:dyDescent="0.45">
      <c r="A1125" t="s">
        <v>44</v>
      </c>
      <c r="B1125" t="s">
        <v>21</v>
      </c>
      <c r="C1125">
        <v>7</v>
      </c>
      <c r="D1125" t="s">
        <v>28</v>
      </c>
      <c r="F1125">
        <v>819</v>
      </c>
    </row>
    <row r="1126" spans="1:8" x14ac:dyDescent="0.45">
      <c r="A1126" t="s">
        <v>44</v>
      </c>
      <c r="B1126" t="s">
        <v>21</v>
      </c>
      <c r="C1126">
        <v>7</v>
      </c>
      <c r="D1126" t="s">
        <v>29</v>
      </c>
      <c r="F1126">
        <v>433</v>
      </c>
    </row>
    <row r="1127" spans="1:8" x14ac:dyDescent="0.45">
      <c r="A1127" t="s">
        <v>44</v>
      </c>
      <c r="B1127" t="s">
        <v>20</v>
      </c>
      <c r="C1127">
        <v>7</v>
      </c>
      <c r="D1127" t="s">
        <v>19</v>
      </c>
      <c r="E1127">
        <v>2013847</v>
      </c>
      <c r="F1127">
        <v>3598</v>
      </c>
    </row>
    <row r="1128" spans="1:8" x14ac:dyDescent="0.45">
      <c r="A1128" t="s">
        <v>44</v>
      </c>
      <c r="B1128" t="s">
        <v>20</v>
      </c>
      <c r="C1128">
        <v>7</v>
      </c>
      <c r="D1128" t="s">
        <v>27</v>
      </c>
      <c r="F1128">
        <v>1292</v>
      </c>
    </row>
    <row r="1129" spans="1:8" x14ac:dyDescent="0.45">
      <c r="A1129" t="s">
        <v>44</v>
      </c>
      <c r="B1129" t="s">
        <v>20</v>
      </c>
      <c r="C1129">
        <v>7</v>
      </c>
      <c r="D1129" t="s">
        <v>28</v>
      </c>
      <c r="F1129">
        <v>737</v>
      </c>
    </row>
    <row r="1130" spans="1:8" x14ac:dyDescent="0.45">
      <c r="A1130" t="s">
        <v>44</v>
      </c>
      <c r="B1130" t="s">
        <v>20</v>
      </c>
      <c r="C1130">
        <v>7</v>
      </c>
      <c r="D1130" t="s">
        <v>29</v>
      </c>
      <c r="F1130">
        <v>476</v>
      </c>
    </row>
    <row r="1131" spans="1:8" x14ac:dyDescent="0.45">
      <c r="A1131" t="s">
        <v>44</v>
      </c>
      <c r="B1131" t="s">
        <v>20</v>
      </c>
      <c r="C1131">
        <v>7</v>
      </c>
      <c r="D1131" t="s">
        <v>31</v>
      </c>
      <c r="H1131">
        <v>217</v>
      </c>
    </row>
    <row r="1132" spans="1:8" x14ac:dyDescent="0.45">
      <c r="A1132" t="s">
        <v>44</v>
      </c>
      <c r="B1132" t="s">
        <v>20</v>
      </c>
      <c r="C1132">
        <v>7</v>
      </c>
      <c r="D1132" t="s">
        <v>32</v>
      </c>
      <c r="H1132">
        <v>2</v>
      </c>
    </row>
    <row r="1133" spans="1:8" x14ac:dyDescent="0.45">
      <c r="A1133" t="s">
        <v>44</v>
      </c>
      <c r="B1133" t="s">
        <v>20</v>
      </c>
      <c r="C1133">
        <v>7</v>
      </c>
      <c r="D1133" t="s">
        <v>34</v>
      </c>
      <c r="H1133">
        <v>7</v>
      </c>
    </row>
    <row r="1134" spans="1:8" x14ac:dyDescent="0.45">
      <c r="A1134" t="s">
        <v>44</v>
      </c>
      <c r="B1134" t="s">
        <v>21</v>
      </c>
      <c r="C1134">
        <v>8</v>
      </c>
      <c r="D1134" t="s">
        <v>19</v>
      </c>
      <c r="E1134">
        <v>1475237</v>
      </c>
      <c r="F1134">
        <v>3012</v>
      </c>
      <c r="G1134">
        <v>906</v>
      </c>
    </row>
    <row r="1135" spans="1:8" x14ac:dyDescent="0.45">
      <c r="A1135" t="s">
        <v>44</v>
      </c>
      <c r="B1135" t="s">
        <v>21</v>
      </c>
      <c r="C1135">
        <v>8</v>
      </c>
      <c r="D1135" t="s">
        <v>27</v>
      </c>
      <c r="F1135">
        <v>1242</v>
      </c>
      <c r="G1135">
        <v>927</v>
      </c>
    </row>
    <row r="1136" spans="1:8" x14ac:dyDescent="0.45">
      <c r="A1136" t="s">
        <v>44</v>
      </c>
      <c r="B1136" t="s">
        <v>21</v>
      </c>
      <c r="C1136">
        <v>8</v>
      </c>
      <c r="D1136" t="s">
        <v>28</v>
      </c>
      <c r="F1136">
        <v>661</v>
      </c>
      <c r="G1136">
        <v>857</v>
      </c>
    </row>
    <row r="1137" spans="1:8" x14ac:dyDescent="0.45">
      <c r="A1137" t="s">
        <v>44</v>
      </c>
      <c r="B1137" t="s">
        <v>21</v>
      </c>
      <c r="C1137">
        <v>8</v>
      </c>
      <c r="D1137" t="s">
        <v>29</v>
      </c>
      <c r="F1137">
        <v>290</v>
      </c>
      <c r="G1137">
        <v>970</v>
      </c>
    </row>
    <row r="1138" spans="1:8" x14ac:dyDescent="0.45">
      <c r="A1138" t="s">
        <v>44</v>
      </c>
      <c r="B1138" t="s">
        <v>20</v>
      </c>
      <c r="C1138">
        <v>8</v>
      </c>
      <c r="D1138" t="s">
        <v>19</v>
      </c>
      <c r="E1138">
        <v>1693532</v>
      </c>
      <c r="F1138">
        <v>2985</v>
      </c>
      <c r="G1138">
        <v>861</v>
      </c>
    </row>
    <row r="1139" spans="1:8" x14ac:dyDescent="0.45">
      <c r="A1139" t="s">
        <v>44</v>
      </c>
      <c r="B1139" t="s">
        <v>20</v>
      </c>
      <c r="C1139">
        <v>8</v>
      </c>
      <c r="D1139" t="s">
        <v>27</v>
      </c>
      <c r="F1139">
        <v>1134</v>
      </c>
      <c r="G1139">
        <v>1106</v>
      </c>
    </row>
    <row r="1140" spans="1:8" x14ac:dyDescent="0.45">
      <c r="A1140" t="s">
        <v>44</v>
      </c>
      <c r="B1140" t="s">
        <v>20</v>
      </c>
      <c r="C1140">
        <v>8</v>
      </c>
      <c r="D1140" t="s">
        <v>28</v>
      </c>
      <c r="F1140">
        <v>639</v>
      </c>
      <c r="G1140">
        <v>777</v>
      </c>
    </row>
    <row r="1141" spans="1:8" x14ac:dyDescent="0.45">
      <c r="A1141" t="s">
        <v>44</v>
      </c>
      <c r="B1141" t="s">
        <v>20</v>
      </c>
      <c r="C1141">
        <v>8</v>
      </c>
      <c r="D1141" t="s">
        <v>29</v>
      </c>
      <c r="F1141">
        <v>305</v>
      </c>
      <c r="G1141">
        <v>830</v>
      </c>
    </row>
    <row r="1142" spans="1:8" x14ac:dyDescent="0.45">
      <c r="A1142" t="s">
        <v>44</v>
      </c>
      <c r="B1142" t="s">
        <v>20</v>
      </c>
      <c r="C1142">
        <v>8</v>
      </c>
      <c r="D1142" t="s">
        <v>31</v>
      </c>
      <c r="H1142">
        <v>31</v>
      </c>
    </row>
    <row r="1143" spans="1:8" x14ac:dyDescent="0.45">
      <c r="A1143" t="s">
        <v>44</v>
      </c>
      <c r="B1143" t="s">
        <v>20</v>
      </c>
      <c r="C1143">
        <v>8</v>
      </c>
      <c r="D1143" t="s">
        <v>32</v>
      </c>
      <c r="H1143">
        <v>14</v>
      </c>
    </row>
    <row r="1144" spans="1:8" x14ac:dyDescent="0.45">
      <c r="A1144" t="s">
        <v>44</v>
      </c>
      <c r="B1144" t="s">
        <v>20</v>
      </c>
      <c r="C1144">
        <v>8</v>
      </c>
      <c r="D1144" t="s">
        <v>34</v>
      </c>
      <c r="H1144">
        <v>8</v>
      </c>
    </row>
    <row r="1145" spans="1:8" x14ac:dyDescent="0.45">
      <c r="A1145" t="s">
        <v>44</v>
      </c>
      <c r="B1145" t="s">
        <v>21</v>
      </c>
      <c r="C1145">
        <v>9</v>
      </c>
      <c r="D1145" t="s">
        <v>19</v>
      </c>
      <c r="E1145">
        <v>1548525</v>
      </c>
      <c r="F1145">
        <v>3393</v>
      </c>
      <c r="G1145">
        <v>924</v>
      </c>
    </row>
    <row r="1146" spans="1:8" x14ac:dyDescent="0.45">
      <c r="A1146" t="s">
        <v>44</v>
      </c>
      <c r="B1146" t="s">
        <v>21</v>
      </c>
      <c r="C1146">
        <v>9</v>
      </c>
      <c r="D1146" t="s">
        <v>27</v>
      </c>
      <c r="F1146">
        <v>1516</v>
      </c>
    </row>
    <row r="1147" spans="1:8" x14ac:dyDescent="0.45">
      <c r="A1147" t="s">
        <v>44</v>
      </c>
      <c r="B1147" t="s">
        <v>21</v>
      </c>
      <c r="C1147">
        <v>9</v>
      </c>
      <c r="D1147" t="s">
        <v>28</v>
      </c>
      <c r="F1147">
        <v>703</v>
      </c>
    </row>
    <row r="1148" spans="1:8" x14ac:dyDescent="0.45">
      <c r="A1148" t="s">
        <v>44</v>
      </c>
      <c r="B1148" t="s">
        <v>21</v>
      </c>
      <c r="C1148">
        <v>9</v>
      </c>
      <c r="D1148" t="s">
        <v>29</v>
      </c>
      <c r="F1148">
        <v>304</v>
      </c>
    </row>
    <row r="1149" spans="1:8" x14ac:dyDescent="0.45">
      <c r="A1149" t="s">
        <v>44</v>
      </c>
      <c r="B1149" t="s">
        <v>20</v>
      </c>
      <c r="C1149">
        <v>9</v>
      </c>
      <c r="D1149" t="s">
        <v>19</v>
      </c>
      <c r="E1149">
        <v>1567312</v>
      </c>
      <c r="F1149">
        <v>2971</v>
      </c>
      <c r="G1149">
        <v>829</v>
      </c>
    </row>
    <row r="1150" spans="1:8" x14ac:dyDescent="0.45">
      <c r="A1150" t="s">
        <v>44</v>
      </c>
      <c r="B1150" t="s">
        <v>20</v>
      </c>
      <c r="C1150">
        <v>9</v>
      </c>
      <c r="D1150" t="s">
        <v>27</v>
      </c>
      <c r="F1150">
        <v>1274</v>
      </c>
    </row>
    <row r="1151" spans="1:8" x14ac:dyDescent="0.45">
      <c r="A1151" t="s">
        <v>44</v>
      </c>
      <c r="B1151" t="s">
        <v>20</v>
      </c>
      <c r="C1151">
        <v>9</v>
      </c>
      <c r="D1151" t="s">
        <v>28</v>
      </c>
      <c r="F1151">
        <v>642</v>
      </c>
    </row>
    <row r="1152" spans="1:8" x14ac:dyDescent="0.45">
      <c r="A1152" t="s">
        <v>44</v>
      </c>
      <c r="B1152" t="s">
        <v>20</v>
      </c>
      <c r="C1152">
        <v>9</v>
      </c>
      <c r="D1152" t="s">
        <v>29</v>
      </c>
      <c r="F1152">
        <v>316</v>
      </c>
    </row>
    <row r="1153" spans="1:8" x14ac:dyDescent="0.45">
      <c r="A1153" t="s">
        <v>44</v>
      </c>
      <c r="B1153" t="s">
        <v>20</v>
      </c>
      <c r="C1153">
        <v>9</v>
      </c>
      <c r="D1153" t="s">
        <v>31</v>
      </c>
      <c r="H1153">
        <v>158</v>
      </c>
    </row>
    <row r="1154" spans="1:8" x14ac:dyDescent="0.45">
      <c r="A1154" t="s">
        <v>44</v>
      </c>
      <c r="B1154" t="s">
        <v>20</v>
      </c>
      <c r="C1154">
        <v>9</v>
      </c>
      <c r="D1154" t="s">
        <v>32</v>
      </c>
      <c r="H1154">
        <v>14</v>
      </c>
    </row>
    <row r="1155" spans="1:8" x14ac:dyDescent="0.45">
      <c r="A1155" t="s">
        <v>44</v>
      </c>
      <c r="B1155" t="s">
        <v>20</v>
      </c>
      <c r="C1155">
        <v>9</v>
      </c>
      <c r="D1155" t="s">
        <v>34</v>
      </c>
      <c r="H1155">
        <v>2</v>
      </c>
    </row>
    <row r="1156" spans="1:8" x14ac:dyDescent="0.45">
      <c r="A1156" t="s">
        <v>44</v>
      </c>
      <c r="B1156" t="s">
        <v>21</v>
      </c>
      <c r="C1156">
        <v>10</v>
      </c>
      <c r="D1156" t="s">
        <v>19</v>
      </c>
      <c r="E1156">
        <v>2388927</v>
      </c>
      <c r="F1156">
        <v>4895</v>
      </c>
      <c r="G1156">
        <v>540</v>
      </c>
    </row>
    <row r="1157" spans="1:8" x14ac:dyDescent="0.45">
      <c r="A1157" t="s">
        <v>44</v>
      </c>
      <c r="B1157" t="s">
        <v>21</v>
      </c>
      <c r="C1157">
        <v>10</v>
      </c>
      <c r="D1157" t="s">
        <v>27</v>
      </c>
      <c r="F1157">
        <v>1839</v>
      </c>
    </row>
    <row r="1158" spans="1:8" x14ac:dyDescent="0.45">
      <c r="A1158" t="s">
        <v>44</v>
      </c>
      <c r="B1158" t="s">
        <v>21</v>
      </c>
      <c r="C1158">
        <v>10</v>
      </c>
      <c r="D1158" t="s">
        <v>28</v>
      </c>
      <c r="F1158">
        <v>990</v>
      </c>
    </row>
    <row r="1159" spans="1:8" x14ac:dyDescent="0.45">
      <c r="A1159" t="s">
        <v>44</v>
      </c>
      <c r="B1159" t="s">
        <v>21</v>
      </c>
      <c r="C1159">
        <v>10</v>
      </c>
      <c r="D1159" t="s">
        <v>29</v>
      </c>
      <c r="F1159">
        <v>592</v>
      </c>
    </row>
    <row r="1160" spans="1:8" x14ac:dyDescent="0.45">
      <c r="A1160" t="s">
        <v>44</v>
      </c>
      <c r="B1160" t="s">
        <v>20</v>
      </c>
      <c r="C1160">
        <v>10</v>
      </c>
      <c r="D1160" t="s">
        <v>19</v>
      </c>
      <c r="E1160">
        <v>2147016</v>
      </c>
      <c r="F1160">
        <v>4237</v>
      </c>
    </row>
    <row r="1161" spans="1:8" x14ac:dyDescent="0.45">
      <c r="A1161" t="s">
        <v>44</v>
      </c>
      <c r="B1161" t="s">
        <v>20</v>
      </c>
      <c r="C1161">
        <v>10</v>
      </c>
      <c r="D1161" t="s">
        <v>27</v>
      </c>
      <c r="F1161">
        <v>1606</v>
      </c>
    </row>
    <row r="1162" spans="1:8" x14ac:dyDescent="0.45">
      <c r="A1162" t="s">
        <v>44</v>
      </c>
      <c r="B1162" t="s">
        <v>20</v>
      </c>
      <c r="C1162">
        <v>10</v>
      </c>
      <c r="D1162" t="s">
        <v>28</v>
      </c>
      <c r="F1162">
        <v>843</v>
      </c>
    </row>
    <row r="1163" spans="1:8" x14ac:dyDescent="0.45">
      <c r="A1163" t="s">
        <v>44</v>
      </c>
      <c r="B1163" t="s">
        <v>20</v>
      </c>
      <c r="C1163">
        <v>10</v>
      </c>
      <c r="D1163" t="s">
        <v>29</v>
      </c>
      <c r="F1163">
        <v>541</v>
      </c>
    </row>
    <row r="1164" spans="1:8" x14ac:dyDescent="0.45">
      <c r="A1164" t="s">
        <v>44</v>
      </c>
      <c r="B1164" t="s">
        <v>20</v>
      </c>
      <c r="C1164">
        <v>10</v>
      </c>
      <c r="D1164" t="s">
        <v>31</v>
      </c>
      <c r="H1164">
        <v>139</v>
      </c>
    </row>
    <row r="1165" spans="1:8" x14ac:dyDescent="0.45">
      <c r="A1165" t="s">
        <v>44</v>
      </c>
      <c r="B1165" t="s">
        <v>20</v>
      </c>
      <c r="C1165">
        <v>10</v>
      </c>
      <c r="D1165" t="s">
        <v>32</v>
      </c>
      <c r="H1165">
        <v>9</v>
      </c>
    </row>
    <row r="1166" spans="1:8" x14ac:dyDescent="0.45">
      <c r="A1166" t="s">
        <v>44</v>
      </c>
      <c r="B1166" t="s">
        <v>20</v>
      </c>
      <c r="C1166">
        <v>10</v>
      </c>
      <c r="D1166" t="s">
        <v>34</v>
      </c>
      <c r="H1166">
        <v>5</v>
      </c>
    </row>
    <row r="1167" spans="1:8" x14ac:dyDescent="0.45">
      <c r="A1167" t="s">
        <v>44</v>
      </c>
      <c r="B1167" t="s">
        <v>21</v>
      </c>
      <c r="C1167">
        <v>11</v>
      </c>
      <c r="D1167" t="s">
        <v>19</v>
      </c>
      <c r="E1167">
        <v>2275250</v>
      </c>
      <c r="F1167">
        <v>4060</v>
      </c>
      <c r="H1167">
        <v>96</v>
      </c>
    </row>
    <row r="1168" spans="1:8" x14ac:dyDescent="0.45">
      <c r="A1168" t="s">
        <v>44</v>
      </c>
      <c r="B1168" t="s">
        <v>21</v>
      </c>
      <c r="C1168">
        <v>11</v>
      </c>
      <c r="D1168" t="s">
        <v>27</v>
      </c>
      <c r="F1168">
        <v>1572</v>
      </c>
    </row>
    <row r="1169" spans="1:8" x14ac:dyDescent="0.45">
      <c r="A1169" t="s">
        <v>44</v>
      </c>
      <c r="B1169" t="s">
        <v>21</v>
      </c>
      <c r="C1169">
        <v>11</v>
      </c>
      <c r="D1169" t="s">
        <v>28</v>
      </c>
      <c r="F1169">
        <v>725</v>
      </c>
    </row>
    <row r="1170" spans="1:8" x14ac:dyDescent="0.45">
      <c r="A1170" t="s">
        <v>44</v>
      </c>
      <c r="B1170" t="s">
        <v>21</v>
      </c>
      <c r="C1170">
        <v>11</v>
      </c>
      <c r="D1170" t="s">
        <v>29</v>
      </c>
      <c r="F1170">
        <v>529</v>
      </c>
    </row>
    <row r="1171" spans="1:8" x14ac:dyDescent="0.45">
      <c r="A1171" t="s">
        <v>44</v>
      </c>
      <c r="B1171" t="s">
        <v>20</v>
      </c>
      <c r="C1171">
        <v>11</v>
      </c>
      <c r="D1171" t="s">
        <v>19</v>
      </c>
      <c r="E1171">
        <v>2150599</v>
      </c>
      <c r="F1171">
        <v>4305</v>
      </c>
    </row>
    <row r="1172" spans="1:8" x14ac:dyDescent="0.45">
      <c r="A1172" t="s">
        <v>44</v>
      </c>
      <c r="B1172" t="s">
        <v>20</v>
      </c>
      <c r="C1172">
        <v>11</v>
      </c>
      <c r="D1172" t="s">
        <v>27</v>
      </c>
      <c r="F1172">
        <v>1478</v>
      </c>
    </row>
    <row r="1173" spans="1:8" x14ac:dyDescent="0.45">
      <c r="A1173" t="s">
        <v>44</v>
      </c>
      <c r="B1173" t="s">
        <v>20</v>
      </c>
      <c r="C1173">
        <v>11</v>
      </c>
      <c r="D1173" t="s">
        <v>28</v>
      </c>
      <c r="F1173">
        <v>925</v>
      </c>
    </row>
    <row r="1174" spans="1:8" x14ac:dyDescent="0.45">
      <c r="A1174" t="s">
        <v>44</v>
      </c>
      <c r="B1174" t="s">
        <v>20</v>
      </c>
      <c r="C1174">
        <v>11</v>
      </c>
      <c r="D1174" t="s">
        <v>29</v>
      </c>
      <c r="F1174">
        <v>637</v>
      </c>
    </row>
    <row r="1175" spans="1:8" x14ac:dyDescent="0.45">
      <c r="A1175" t="s">
        <v>44</v>
      </c>
      <c r="B1175" t="s">
        <v>20</v>
      </c>
      <c r="C1175">
        <v>11</v>
      </c>
      <c r="D1175" t="s">
        <v>31</v>
      </c>
      <c r="H1175">
        <v>286</v>
      </c>
    </row>
    <row r="1176" spans="1:8" x14ac:dyDescent="0.45">
      <c r="A1176" t="s">
        <v>44</v>
      </c>
      <c r="B1176" t="s">
        <v>20</v>
      </c>
      <c r="C1176">
        <v>11</v>
      </c>
      <c r="D1176" t="s">
        <v>32</v>
      </c>
      <c r="H1176">
        <v>5</v>
      </c>
    </row>
    <row r="1177" spans="1:8" x14ac:dyDescent="0.45">
      <c r="A1177" t="s">
        <v>44</v>
      </c>
      <c r="B1177" t="s">
        <v>20</v>
      </c>
      <c r="C1177">
        <v>11</v>
      </c>
      <c r="D1177" t="s">
        <v>34</v>
      </c>
      <c r="H1177">
        <v>13</v>
      </c>
    </row>
    <row r="1178" spans="1:8" x14ac:dyDescent="0.45">
      <c r="A1178" t="s">
        <v>44</v>
      </c>
      <c r="B1178" t="s">
        <v>21</v>
      </c>
      <c r="C1178">
        <v>12</v>
      </c>
      <c r="D1178" t="s">
        <v>19</v>
      </c>
      <c r="E1178">
        <v>2097862</v>
      </c>
      <c r="F1178">
        <v>4316</v>
      </c>
      <c r="G1178">
        <v>1192</v>
      </c>
      <c r="H1178">
        <v>4</v>
      </c>
    </row>
    <row r="1179" spans="1:8" x14ac:dyDescent="0.45">
      <c r="A1179" t="s">
        <v>44</v>
      </c>
      <c r="B1179" t="s">
        <v>21</v>
      </c>
      <c r="C1179">
        <v>12</v>
      </c>
      <c r="D1179" t="s">
        <v>27</v>
      </c>
      <c r="F1179">
        <v>1232</v>
      </c>
    </row>
    <row r="1180" spans="1:8" x14ac:dyDescent="0.45">
      <c r="A1180" t="s">
        <v>44</v>
      </c>
      <c r="B1180" t="s">
        <v>21</v>
      </c>
      <c r="C1180">
        <v>12</v>
      </c>
      <c r="D1180" t="s">
        <v>28</v>
      </c>
      <c r="F1180">
        <v>843</v>
      </c>
    </row>
    <row r="1181" spans="1:8" x14ac:dyDescent="0.45">
      <c r="A1181" t="s">
        <v>44</v>
      </c>
      <c r="B1181" t="s">
        <v>21</v>
      </c>
      <c r="C1181">
        <v>12</v>
      </c>
      <c r="D1181" t="s">
        <v>29</v>
      </c>
      <c r="F1181">
        <v>654</v>
      </c>
    </row>
    <row r="1182" spans="1:8" x14ac:dyDescent="0.45">
      <c r="A1182" t="s">
        <v>44</v>
      </c>
      <c r="B1182" t="s">
        <v>20</v>
      </c>
      <c r="C1182">
        <v>12</v>
      </c>
      <c r="D1182" t="s">
        <v>19</v>
      </c>
      <c r="E1182">
        <v>2172052</v>
      </c>
      <c r="F1182">
        <v>4265</v>
      </c>
      <c r="G1182">
        <v>395</v>
      </c>
    </row>
    <row r="1183" spans="1:8" x14ac:dyDescent="0.45">
      <c r="A1183" t="s">
        <v>44</v>
      </c>
      <c r="B1183" t="s">
        <v>20</v>
      </c>
      <c r="C1183">
        <v>12</v>
      </c>
      <c r="D1183" t="s">
        <v>27</v>
      </c>
      <c r="F1183">
        <v>1472</v>
      </c>
    </row>
    <row r="1184" spans="1:8" x14ac:dyDescent="0.45">
      <c r="A1184" t="s">
        <v>44</v>
      </c>
      <c r="B1184" t="s">
        <v>20</v>
      </c>
      <c r="C1184">
        <v>12</v>
      </c>
      <c r="D1184" t="s">
        <v>28</v>
      </c>
      <c r="F1184">
        <v>912</v>
      </c>
    </row>
    <row r="1185" spans="1:8" x14ac:dyDescent="0.45">
      <c r="A1185" t="s">
        <v>44</v>
      </c>
      <c r="B1185" t="s">
        <v>20</v>
      </c>
      <c r="C1185">
        <v>12</v>
      </c>
      <c r="D1185" t="s">
        <v>29</v>
      </c>
      <c r="F1185">
        <v>685</v>
      </c>
    </row>
    <row r="1186" spans="1:8" x14ac:dyDescent="0.45">
      <c r="A1186" t="s">
        <v>44</v>
      </c>
      <c r="B1186" t="s">
        <v>20</v>
      </c>
      <c r="C1186">
        <v>12</v>
      </c>
      <c r="D1186" t="s">
        <v>31</v>
      </c>
      <c r="H1186">
        <v>134</v>
      </c>
    </row>
    <row r="1187" spans="1:8" x14ac:dyDescent="0.45">
      <c r="A1187" t="s">
        <v>44</v>
      </c>
      <c r="B1187" t="s">
        <v>20</v>
      </c>
      <c r="C1187">
        <v>12</v>
      </c>
      <c r="D1187" t="s">
        <v>32</v>
      </c>
      <c r="H1187">
        <v>4</v>
      </c>
    </row>
    <row r="1188" spans="1:8" x14ac:dyDescent="0.45">
      <c r="A1188" t="s">
        <v>44</v>
      </c>
      <c r="B1188" t="s">
        <v>20</v>
      </c>
      <c r="C1188">
        <v>12</v>
      </c>
      <c r="D1188" t="s">
        <v>34</v>
      </c>
      <c r="H1188">
        <v>9</v>
      </c>
    </row>
    <row r="1189" spans="1:8" x14ac:dyDescent="0.45">
      <c r="A1189" t="s">
        <v>41</v>
      </c>
      <c r="B1189" t="s">
        <v>21</v>
      </c>
      <c r="C1189">
        <v>1</v>
      </c>
      <c r="D1189" t="s">
        <v>19</v>
      </c>
      <c r="E1189">
        <v>1186756</v>
      </c>
      <c r="F1189">
        <v>2927</v>
      </c>
      <c r="G1189">
        <v>764</v>
      </c>
    </row>
    <row r="1190" spans="1:8" x14ac:dyDescent="0.45">
      <c r="A1190" t="s">
        <v>41</v>
      </c>
      <c r="B1190" t="s">
        <v>21</v>
      </c>
      <c r="C1190">
        <v>1</v>
      </c>
      <c r="D1190" t="s">
        <v>27</v>
      </c>
      <c r="F1190">
        <v>1444</v>
      </c>
    </row>
    <row r="1191" spans="1:8" x14ac:dyDescent="0.45">
      <c r="A1191" t="s">
        <v>41</v>
      </c>
      <c r="B1191" t="s">
        <v>21</v>
      </c>
      <c r="C1191">
        <v>1</v>
      </c>
      <c r="D1191" t="s">
        <v>28</v>
      </c>
      <c r="F1191">
        <v>448</v>
      </c>
    </row>
    <row r="1192" spans="1:8" x14ac:dyDescent="0.45">
      <c r="A1192" t="s">
        <v>41</v>
      </c>
      <c r="B1192" t="s">
        <v>21</v>
      </c>
      <c r="C1192">
        <v>1</v>
      </c>
      <c r="D1192" t="s">
        <v>29</v>
      </c>
      <c r="F1192">
        <v>265</v>
      </c>
    </row>
    <row r="1193" spans="1:8" x14ac:dyDescent="0.45">
      <c r="A1193" t="s">
        <v>41</v>
      </c>
      <c r="B1193" t="s">
        <v>20</v>
      </c>
      <c r="C1193">
        <v>1</v>
      </c>
      <c r="D1193" t="s">
        <v>19</v>
      </c>
      <c r="E1193">
        <v>1369602</v>
      </c>
      <c r="F1193">
        <v>2805</v>
      </c>
      <c r="G1193">
        <v>729</v>
      </c>
    </row>
    <row r="1194" spans="1:8" x14ac:dyDescent="0.45">
      <c r="A1194" t="s">
        <v>41</v>
      </c>
      <c r="B1194" t="s">
        <v>20</v>
      </c>
      <c r="C1194">
        <v>1</v>
      </c>
      <c r="D1194" t="s">
        <v>27</v>
      </c>
      <c r="F1194">
        <v>1212</v>
      </c>
    </row>
    <row r="1195" spans="1:8" x14ac:dyDescent="0.45">
      <c r="A1195" t="s">
        <v>41</v>
      </c>
      <c r="B1195" t="s">
        <v>20</v>
      </c>
      <c r="C1195">
        <v>1</v>
      </c>
      <c r="D1195" t="s">
        <v>28</v>
      </c>
      <c r="F1195">
        <v>419</v>
      </c>
    </row>
    <row r="1196" spans="1:8" x14ac:dyDescent="0.45">
      <c r="A1196" t="s">
        <v>41</v>
      </c>
      <c r="B1196" t="s">
        <v>20</v>
      </c>
      <c r="C1196">
        <v>1</v>
      </c>
      <c r="D1196" t="s">
        <v>29</v>
      </c>
      <c r="F1196">
        <v>316</v>
      </c>
    </row>
    <row r="1197" spans="1:8" x14ac:dyDescent="0.45">
      <c r="A1197" t="s">
        <v>41</v>
      </c>
      <c r="B1197" t="s">
        <v>20</v>
      </c>
      <c r="C1197">
        <v>1</v>
      </c>
      <c r="D1197" t="s">
        <v>31</v>
      </c>
      <c r="H1197">
        <v>85</v>
      </c>
    </row>
    <row r="1198" spans="1:8" x14ac:dyDescent="0.45">
      <c r="A1198" t="s">
        <v>41</v>
      </c>
      <c r="B1198" t="s">
        <v>20</v>
      </c>
      <c r="C1198">
        <v>1</v>
      </c>
      <c r="D1198" t="s">
        <v>32</v>
      </c>
      <c r="H1198">
        <v>12</v>
      </c>
    </row>
    <row r="1199" spans="1:8" x14ac:dyDescent="0.45">
      <c r="A1199" t="s">
        <v>41</v>
      </c>
      <c r="B1199" t="s">
        <v>20</v>
      </c>
      <c r="C1199">
        <v>1</v>
      </c>
      <c r="D1199" t="s">
        <v>34</v>
      </c>
    </row>
    <row r="1200" spans="1:8" x14ac:dyDescent="0.45">
      <c r="A1200" t="s">
        <v>41</v>
      </c>
      <c r="B1200" t="s">
        <v>21</v>
      </c>
      <c r="C1200">
        <v>2</v>
      </c>
      <c r="D1200" t="s">
        <v>19</v>
      </c>
      <c r="E1200">
        <v>1179738</v>
      </c>
      <c r="F1200">
        <v>2785</v>
      </c>
      <c r="G1200">
        <v>740</v>
      </c>
    </row>
    <row r="1201" spans="1:8" x14ac:dyDescent="0.45">
      <c r="A1201" t="s">
        <v>41</v>
      </c>
      <c r="B1201" t="s">
        <v>21</v>
      </c>
      <c r="C1201">
        <v>2</v>
      </c>
      <c r="D1201" t="s">
        <v>27</v>
      </c>
      <c r="F1201">
        <v>1557</v>
      </c>
    </row>
    <row r="1202" spans="1:8" x14ac:dyDescent="0.45">
      <c r="A1202" t="s">
        <v>41</v>
      </c>
      <c r="B1202" t="s">
        <v>21</v>
      </c>
      <c r="C1202">
        <v>2</v>
      </c>
      <c r="D1202" t="s">
        <v>28</v>
      </c>
      <c r="F1202">
        <v>364</v>
      </c>
    </row>
    <row r="1203" spans="1:8" x14ac:dyDescent="0.45">
      <c r="A1203" t="s">
        <v>41</v>
      </c>
      <c r="B1203" t="s">
        <v>21</v>
      </c>
      <c r="C1203">
        <v>2</v>
      </c>
      <c r="D1203" t="s">
        <v>29</v>
      </c>
      <c r="F1203">
        <v>247</v>
      </c>
    </row>
    <row r="1204" spans="1:8" x14ac:dyDescent="0.45">
      <c r="A1204" t="s">
        <v>41</v>
      </c>
      <c r="B1204" t="s">
        <v>20</v>
      </c>
      <c r="C1204">
        <v>2</v>
      </c>
      <c r="D1204" t="s">
        <v>19</v>
      </c>
      <c r="E1204">
        <v>1378807</v>
      </c>
      <c r="F1204">
        <v>2738</v>
      </c>
      <c r="G1204">
        <v>710</v>
      </c>
    </row>
    <row r="1205" spans="1:8" x14ac:dyDescent="0.45">
      <c r="A1205" t="s">
        <v>41</v>
      </c>
      <c r="B1205" t="s">
        <v>20</v>
      </c>
      <c r="C1205">
        <v>2</v>
      </c>
      <c r="D1205" t="s">
        <v>27</v>
      </c>
      <c r="F1205">
        <v>1304</v>
      </c>
    </row>
    <row r="1206" spans="1:8" x14ac:dyDescent="0.45">
      <c r="A1206" t="s">
        <v>41</v>
      </c>
      <c r="B1206" t="s">
        <v>20</v>
      </c>
      <c r="C1206">
        <v>2</v>
      </c>
      <c r="D1206" t="s">
        <v>28</v>
      </c>
      <c r="F1206">
        <v>381</v>
      </c>
    </row>
    <row r="1207" spans="1:8" x14ac:dyDescent="0.45">
      <c r="A1207" t="s">
        <v>41</v>
      </c>
      <c r="B1207" t="s">
        <v>20</v>
      </c>
      <c r="C1207">
        <v>2</v>
      </c>
      <c r="D1207" t="s">
        <v>29</v>
      </c>
      <c r="F1207">
        <v>281</v>
      </c>
    </row>
    <row r="1208" spans="1:8" x14ac:dyDescent="0.45">
      <c r="A1208" t="s">
        <v>41</v>
      </c>
      <c r="B1208" t="s">
        <v>20</v>
      </c>
      <c r="C1208">
        <v>2</v>
      </c>
      <c r="D1208" t="s">
        <v>31</v>
      </c>
      <c r="H1208">
        <v>109</v>
      </c>
    </row>
    <row r="1209" spans="1:8" x14ac:dyDescent="0.45">
      <c r="A1209" t="s">
        <v>41</v>
      </c>
      <c r="B1209" t="s">
        <v>20</v>
      </c>
      <c r="C1209">
        <v>2</v>
      </c>
      <c r="D1209" t="s">
        <v>32</v>
      </c>
      <c r="H1209">
        <v>9</v>
      </c>
    </row>
    <row r="1210" spans="1:8" x14ac:dyDescent="0.45">
      <c r="A1210" t="s">
        <v>41</v>
      </c>
      <c r="B1210" t="s">
        <v>20</v>
      </c>
      <c r="C1210">
        <v>2</v>
      </c>
      <c r="D1210" t="s">
        <v>34</v>
      </c>
      <c r="H1210">
        <v>24</v>
      </c>
    </row>
    <row r="1211" spans="1:8" x14ac:dyDescent="0.45">
      <c r="A1211" t="s">
        <v>41</v>
      </c>
      <c r="B1211" t="s">
        <v>21</v>
      </c>
      <c r="C1211">
        <v>3</v>
      </c>
      <c r="D1211" t="s">
        <v>19</v>
      </c>
      <c r="E1211">
        <v>2572529</v>
      </c>
      <c r="F1211">
        <v>4707</v>
      </c>
    </row>
    <row r="1212" spans="1:8" x14ac:dyDescent="0.45">
      <c r="A1212" t="s">
        <v>41</v>
      </c>
      <c r="B1212" t="s">
        <v>21</v>
      </c>
      <c r="C1212">
        <v>3</v>
      </c>
      <c r="D1212" t="s">
        <v>27</v>
      </c>
      <c r="F1212">
        <v>1779</v>
      </c>
    </row>
    <row r="1213" spans="1:8" x14ac:dyDescent="0.45">
      <c r="A1213" t="s">
        <v>41</v>
      </c>
      <c r="B1213" t="s">
        <v>21</v>
      </c>
      <c r="C1213">
        <v>3</v>
      </c>
      <c r="D1213" t="s">
        <v>28</v>
      </c>
      <c r="F1213">
        <v>6112</v>
      </c>
    </row>
    <row r="1214" spans="1:8" x14ac:dyDescent="0.45">
      <c r="A1214" t="s">
        <v>41</v>
      </c>
      <c r="B1214" t="s">
        <v>21</v>
      </c>
      <c r="C1214">
        <v>3</v>
      </c>
      <c r="D1214" t="s">
        <v>29</v>
      </c>
      <c r="F1214">
        <v>464</v>
      </c>
    </row>
    <row r="1215" spans="1:8" x14ac:dyDescent="0.45">
      <c r="A1215" t="s">
        <v>41</v>
      </c>
      <c r="B1215" t="s">
        <v>20</v>
      </c>
      <c r="C1215">
        <v>3</v>
      </c>
      <c r="D1215" t="s">
        <v>19</v>
      </c>
      <c r="E1215">
        <v>2101540</v>
      </c>
      <c r="F1215">
        <v>3827</v>
      </c>
      <c r="G1215">
        <v>1492</v>
      </c>
    </row>
    <row r="1216" spans="1:8" x14ac:dyDescent="0.45">
      <c r="A1216" t="s">
        <v>41</v>
      </c>
      <c r="B1216" t="s">
        <v>20</v>
      </c>
      <c r="C1216">
        <v>3</v>
      </c>
      <c r="D1216" t="s">
        <v>27</v>
      </c>
      <c r="F1216">
        <v>1537</v>
      </c>
    </row>
    <row r="1217" spans="1:8" x14ac:dyDescent="0.45">
      <c r="A1217" t="s">
        <v>41</v>
      </c>
      <c r="B1217" t="s">
        <v>20</v>
      </c>
      <c r="C1217">
        <v>3</v>
      </c>
      <c r="D1217" t="s">
        <v>28</v>
      </c>
      <c r="F1217">
        <v>544</v>
      </c>
    </row>
    <row r="1218" spans="1:8" x14ac:dyDescent="0.45">
      <c r="A1218" t="s">
        <v>41</v>
      </c>
      <c r="B1218" t="s">
        <v>20</v>
      </c>
      <c r="C1218">
        <v>3</v>
      </c>
      <c r="D1218" t="s">
        <v>29</v>
      </c>
      <c r="F1218">
        <v>423</v>
      </c>
    </row>
    <row r="1219" spans="1:8" x14ac:dyDescent="0.45">
      <c r="A1219" t="s">
        <v>41</v>
      </c>
      <c r="B1219" t="s">
        <v>20</v>
      </c>
      <c r="C1219">
        <v>3</v>
      </c>
      <c r="D1219" t="s">
        <v>31</v>
      </c>
      <c r="H1219">
        <v>117</v>
      </c>
    </row>
    <row r="1220" spans="1:8" x14ac:dyDescent="0.45">
      <c r="A1220" t="s">
        <v>41</v>
      </c>
      <c r="B1220" t="s">
        <v>20</v>
      </c>
      <c r="C1220">
        <v>3</v>
      </c>
      <c r="D1220" t="s">
        <v>32</v>
      </c>
      <c r="H1220">
        <v>13</v>
      </c>
    </row>
    <row r="1221" spans="1:8" x14ac:dyDescent="0.45">
      <c r="A1221" t="s">
        <v>41</v>
      </c>
      <c r="B1221" t="s">
        <v>20</v>
      </c>
      <c r="C1221">
        <v>3</v>
      </c>
      <c r="D1221" t="s">
        <v>34</v>
      </c>
      <c r="H1221">
        <v>23</v>
      </c>
    </row>
    <row r="1222" spans="1:8" x14ac:dyDescent="0.45">
      <c r="A1222" t="s">
        <v>41</v>
      </c>
      <c r="B1222" t="s">
        <v>21</v>
      </c>
      <c r="C1222">
        <v>4</v>
      </c>
      <c r="D1222" t="s">
        <v>19</v>
      </c>
      <c r="E1222">
        <v>3363008</v>
      </c>
      <c r="F1222">
        <v>5826</v>
      </c>
      <c r="G1222">
        <v>1361</v>
      </c>
    </row>
    <row r="1223" spans="1:8" x14ac:dyDescent="0.45">
      <c r="A1223" t="s">
        <v>41</v>
      </c>
      <c r="B1223" t="s">
        <v>21</v>
      </c>
      <c r="C1223">
        <v>4</v>
      </c>
      <c r="D1223" t="s">
        <v>27</v>
      </c>
      <c r="F1223">
        <v>1796</v>
      </c>
    </row>
    <row r="1224" spans="1:8" x14ac:dyDescent="0.45">
      <c r="A1224" t="s">
        <v>41</v>
      </c>
      <c r="B1224" t="s">
        <v>21</v>
      </c>
      <c r="C1224">
        <v>4</v>
      </c>
      <c r="D1224" t="s">
        <v>28</v>
      </c>
      <c r="F1224">
        <v>786</v>
      </c>
    </row>
    <row r="1225" spans="1:8" x14ac:dyDescent="0.45">
      <c r="A1225" t="s">
        <v>41</v>
      </c>
      <c r="B1225" t="s">
        <v>21</v>
      </c>
      <c r="C1225">
        <v>4</v>
      </c>
      <c r="D1225" t="s">
        <v>29</v>
      </c>
      <c r="F1225">
        <v>595</v>
      </c>
    </row>
    <row r="1226" spans="1:8" x14ac:dyDescent="0.45">
      <c r="A1226" t="s">
        <v>41</v>
      </c>
      <c r="B1226" t="s">
        <v>20</v>
      </c>
      <c r="C1226">
        <v>4</v>
      </c>
      <c r="D1226" t="s">
        <v>19</v>
      </c>
      <c r="E1226">
        <v>3604549</v>
      </c>
      <c r="F1226">
        <v>5740</v>
      </c>
      <c r="G1226">
        <v>1295</v>
      </c>
      <c r="H1226">
        <v>3</v>
      </c>
    </row>
    <row r="1227" spans="1:8" x14ac:dyDescent="0.45">
      <c r="A1227" t="s">
        <v>41</v>
      </c>
      <c r="B1227" t="s">
        <v>20</v>
      </c>
      <c r="C1227">
        <v>4</v>
      </c>
      <c r="D1227" t="s">
        <v>27</v>
      </c>
      <c r="F1227">
        <v>1401</v>
      </c>
    </row>
    <row r="1228" spans="1:8" x14ac:dyDescent="0.45">
      <c r="A1228" t="s">
        <v>41</v>
      </c>
      <c r="B1228" t="s">
        <v>20</v>
      </c>
      <c r="C1228">
        <v>4</v>
      </c>
      <c r="D1228" t="s">
        <v>28</v>
      </c>
      <c r="F1228">
        <v>785</v>
      </c>
    </row>
    <row r="1229" spans="1:8" x14ac:dyDescent="0.45">
      <c r="A1229" t="s">
        <v>41</v>
      </c>
      <c r="B1229" t="s">
        <v>20</v>
      </c>
      <c r="C1229">
        <v>4</v>
      </c>
      <c r="D1229" t="s">
        <v>29</v>
      </c>
      <c r="F1229">
        <v>615</v>
      </c>
    </row>
    <row r="1230" spans="1:8" x14ac:dyDescent="0.45">
      <c r="A1230" t="s">
        <v>41</v>
      </c>
      <c r="B1230" t="s">
        <v>20</v>
      </c>
      <c r="C1230">
        <v>4</v>
      </c>
      <c r="D1230" t="s">
        <v>31</v>
      </c>
      <c r="H1230">
        <v>93</v>
      </c>
    </row>
    <row r="1231" spans="1:8" x14ac:dyDescent="0.45">
      <c r="A1231" t="s">
        <v>41</v>
      </c>
      <c r="B1231" t="s">
        <v>20</v>
      </c>
      <c r="C1231">
        <v>4</v>
      </c>
      <c r="D1231" t="s">
        <v>32</v>
      </c>
      <c r="H1231">
        <v>13</v>
      </c>
    </row>
    <row r="1232" spans="1:8" x14ac:dyDescent="0.45">
      <c r="A1232" t="s">
        <v>41</v>
      </c>
      <c r="B1232" t="s">
        <v>20</v>
      </c>
      <c r="C1232">
        <v>4</v>
      </c>
      <c r="D1232" t="s">
        <v>34</v>
      </c>
      <c r="H1232">
        <v>23</v>
      </c>
    </row>
    <row r="1233" spans="1:8" x14ac:dyDescent="0.45">
      <c r="A1233" t="s">
        <v>41</v>
      </c>
      <c r="B1233" t="s">
        <v>21</v>
      </c>
      <c r="C1233">
        <v>5</v>
      </c>
      <c r="D1233" t="s">
        <v>19</v>
      </c>
      <c r="E1233">
        <v>2911864</v>
      </c>
      <c r="F1233">
        <v>5079</v>
      </c>
      <c r="G1233">
        <v>1103</v>
      </c>
    </row>
    <row r="1234" spans="1:8" x14ac:dyDescent="0.45">
      <c r="A1234" t="s">
        <v>41</v>
      </c>
      <c r="B1234" t="s">
        <v>21</v>
      </c>
      <c r="C1234">
        <v>5</v>
      </c>
      <c r="D1234" t="s">
        <v>27</v>
      </c>
      <c r="F1234">
        <v>1599</v>
      </c>
    </row>
    <row r="1235" spans="1:8" x14ac:dyDescent="0.45">
      <c r="A1235" t="s">
        <v>41</v>
      </c>
      <c r="B1235" t="s">
        <v>21</v>
      </c>
      <c r="C1235">
        <v>5</v>
      </c>
      <c r="D1235" t="s">
        <v>28</v>
      </c>
      <c r="F1235">
        <v>748</v>
      </c>
    </row>
    <row r="1236" spans="1:8" x14ac:dyDescent="0.45">
      <c r="A1236" t="s">
        <v>41</v>
      </c>
      <c r="B1236" t="s">
        <v>21</v>
      </c>
      <c r="C1236">
        <v>5</v>
      </c>
      <c r="D1236" t="s">
        <v>29</v>
      </c>
      <c r="F1236">
        <v>518</v>
      </c>
    </row>
    <row r="1237" spans="1:8" x14ac:dyDescent="0.45">
      <c r="A1237" t="s">
        <v>41</v>
      </c>
      <c r="B1237" t="s">
        <v>20</v>
      </c>
      <c r="C1237">
        <v>5</v>
      </c>
      <c r="D1237" t="s">
        <v>19</v>
      </c>
      <c r="E1237">
        <v>2429839</v>
      </c>
      <c r="F1237">
        <v>3940</v>
      </c>
    </row>
    <row r="1238" spans="1:8" x14ac:dyDescent="0.45">
      <c r="A1238" t="s">
        <v>41</v>
      </c>
      <c r="B1238" t="s">
        <v>20</v>
      </c>
      <c r="C1238">
        <v>5</v>
      </c>
      <c r="D1238" t="s">
        <v>27</v>
      </c>
      <c r="F1238">
        <v>1208</v>
      </c>
    </row>
    <row r="1239" spans="1:8" x14ac:dyDescent="0.45">
      <c r="A1239" t="s">
        <v>41</v>
      </c>
      <c r="B1239" t="s">
        <v>20</v>
      </c>
      <c r="C1239">
        <v>5</v>
      </c>
      <c r="D1239" t="s">
        <v>28</v>
      </c>
      <c r="F1239">
        <v>609</v>
      </c>
    </row>
    <row r="1240" spans="1:8" x14ac:dyDescent="0.45">
      <c r="A1240" t="s">
        <v>41</v>
      </c>
      <c r="B1240" t="s">
        <v>20</v>
      </c>
      <c r="C1240">
        <v>5</v>
      </c>
      <c r="D1240" t="s">
        <v>29</v>
      </c>
      <c r="F1240">
        <v>428</v>
      </c>
    </row>
    <row r="1241" spans="1:8" x14ac:dyDescent="0.45">
      <c r="A1241" t="s">
        <v>41</v>
      </c>
      <c r="B1241" t="s">
        <v>20</v>
      </c>
      <c r="C1241">
        <v>5</v>
      </c>
      <c r="D1241" t="s">
        <v>31</v>
      </c>
      <c r="H1241">
        <v>116</v>
      </c>
    </row>
    <row r="1242" spans="1:8" x14ac:dyDescent="0.45">
      <c r="A1242" t="s">
        <v>41</v>
      </c>
      <c r="B1242" t="s">
        <v>20</v>
      </c>
      <c r="C1242">
        <v>5</v>
      </c>
      <c r="D1242" t="s">
        <v>32</v>
      </c>
      <c r="H1242">
        <v>10</v>
      </c>
    </row>
    <row r="1243" spans="1:8" x14ac:dyDescent="0.45">
      <c r="A1243" t="s">
        <v>41</v>
      </c>
      <c r="B1243" t="s">
        <v>20</v>
      </c>
      <c r="C1243">
        <v>5</v>
      </c>
      <c r="D1243" t="s">
        <v>34</v>
      </c>
      <c r="H1243">
        <v>24</v>
      </c>
    </row>
    <row r="1244" spans="1:8" x14ac:dyDescent="0.45">
      <c r="A1244" t="s">
        <v>41</v>
      </c>
      <c r="B1244" t="s">
        <v>21</v>
      </c>
      <c r="C1244">
        <v>6</v>
      </c>
      <c r="D1244" t="s">
        <v>19</v>
      </c>
      <c r="E1244">
        <v>2446204</v>
      </c>
      <c r="F1244">
        <v>4518</v>
      </c>
      <c r="H1244">
        <v>9</v>
      </c>
    </row>
    <row r="1245" spans="1:8" x14ac:dyDescent="0.45">
      <c r="A1245" t="s">
        <v>41</v>
      </c>
      <c r="B1245" t="s">
        <v>21</v>
      </c>
      <c r="C1245">
        <v>6</v>
      </c>
      <c r="D1245" t="s">
        <v>27</v>
      </c>
      <c r="F1245">
        <v>1688</v>
      </c>
    </row>
    <row r="1246" spans="1:8" x14ac:dyDescent="0.45">
      <c r="A1246" t="s">
        <v>41</v>
      </c>
      <c r="B1246" t="s">
        <v>21</v>
      </c>
      <c r="C1246">
        <v>6</v>
      </c>
      <c r="D1246" t="s">
        <v>28</v>
      </c>
      <c r="F1246">
        <v>713</v>
      </c>
    </row>
    <row r="1247" spans="1:8" x14ac:dyDescent="0.45">
      <c r="A1247" t="s">
        <v>41</v>
      </c>
      <c r="B1247" t="s">
        <v>21</v>
      </c>
      <c r="C1247">
        <v>6</v>
      </c>
      <c r="D1247" t="s">
        <v>29</v>
      </c>
      <c r="F1247">
        <v>563</v>
      </c>
    </row>
    <row r="1248" spans="1:8" x14ac:dyDescent="0.45">
      <c r="A1248" t="s">
        <v>41</v>
      </c>
      <c r="B1248" t="s">
        <v>20</v>
      </c>
      <c r="C1248">
        <v>6</v>
      </c>
      <c r="D1248" t="s">
        <v>19</v>
      </c>
      <c r="E1248">
        <v>2398432</v>
      </c>
      <c r="F1248">
        <v>4161</v>
      </c>
    </row>
    <row r="1249" spans="1:8" x14ac:dyDescent="0.45">
      <c r="A1249" t="s">
        <v>41</v>
      </c>
      <c r="B1249" t="s">
        <v>20</v>
      </c>
      <c r="C1249">
        <v>6</v>
      </c>
      <c r="D1249" t="s">
        <v>27</v>
      </c>
      <c r="F1249">
        <v>1494</v>
      </c>
    </row>
    <row r="1250" spans="1:8" x14ac:dyDescent="0.45">
      <c r="A1250" t="s">
        <v>41</v>
      </c>
      <c r="B1250" t="s">
        <v>20</v>
      </c>
      <c r="C1250">
        <v>6</v>
      </c>
      <c r="D1250" t="s">
        <v>28</v>
      </c>
      <c r="F1250">
        <v>666</v>
      </c>
    </row>
    <row r="1251" spans="1:8" x14ac:dyDescent="0.45">
      <c r="A1251" t="s">
        <v>41</v>
      </c>
      <c r="B1251" t="s">
        <v>20</v>
      </c>
      <c r="C1251">
        <v>6</v>
      </c>
      <c r="D1251" t="s">
        <v>29</v>
      </c>
      <c r="F1251">
        <v>478</v>
      </c>
    </row>
    <row r="1252" spans="1:8" x14ac:dyDescent="0.45">
      <c r="A1252" t="s">
        <v>41</v>
      </c>
      <c r="B1252" t="s">
        <v>20</v>
      </c>
      <c r="C1252">
        <v>6</v>
      </c>
      <c r="D1252" t="s">
        <v>31</v>
      </c>
      <c r="H1252">
        <v>48</v>
      </c>
    </row>
    <row r="1253" spans="1:8" x14ac:dyDescent="0.45">
      <c r="A1253" t="s">
        <v>41</v>
      </c>
      <c r="B1253" t="s">
        <v>20</v>
      </c>
      <c r="C1253">
        <v>6</v>
      </c>
      <c r="D1253" t="s">
        <v>32</v>
      </c>
      <c r="H1253">
        <v>6</v>
      </c>
    </row>
    <row r="1254" spans="1:8" x14ac:dyDescent="0.45">
      <c r="A1254" t="s">
        <v>41</v>
      </c>
      <c r="B1254" t="s">
        <v>20</v>
      </c>
      <c r="C1254">
        <v>6</v>
      </c>
      <c r="D1254" t="s">
        <v>34</v>
      </c>
      <c r="H1254">
        <v>25</v>
      </c>
    </row>
    <row r="1255" spans="1:8" x14ac:dyDescent="0.45">
      <c r="A1255" t="s">
        <v>41</v>
      </c>
      <c r="B1255" t="s">
        <v>21</v>
      </c>
      <c r="C1255">
        <v>7</v>
      </c>
      <c r="D1255" t="s">
        <v>19</v>
      </c>
      <c r="E1255">
        <v>1657353</v>
      </c>
      <c r="F1255">
        <v>3475</v>
      </c>
      <c r="G1255">
        <v>921</v>
      </c>
    </row>
    <row r="1256" spans="1:8" x14ac:dyDescent="0.45">
      <c r="A1256" t="s">
        <v>41</v>
      </c>
      <c r="B1256" t="s">
        <v>21</v>
      </c>
      <c r="C1256">
        <v>7</v>
      </c>
      <c r="D1256" t="s">
        <v>27</v>
      </c>
      <c r="F1256">
        <v>1545</v>
      </c>
    </row>
    <row r="1257" spans="1:8" x14ac:dyDescent="0.45">
      <c r="A1257" t="s">
        <v>41</v>
      </c>
      <c r="B1257" t="s">
        <v>21</v>
      </c>
      <c r="C1257">
        <v>7</v>
      </c>
      <c r="D1257" t="s">
        <v>28</v>
      </c>
      <c r="F1257">
        <v>598</v>
      </c>
    </row>
    <row r="1258" spans="1:8" x14ac:dyDescent="0.45">
      <c r="A1258" t="s">
        <v>41</v>
      </c>
      <c r="B1258" t="s">
        <v>21</v>
      </c>
      <c r="C1258">
        <v>7</v>
      </c>
      <c r="D1258" t="s">
        <v>29</v>
      </c>
      <c r="F1258">
        <v>264</v>
      </c>
    </row>
    <row r="1259" spans="1:8" x14ac:dyDescent="0.45">
      <c r="A1259" t="s">
        <v>41</v>
      </c>
      <c r="B1259" t="s">
        <v>20</v>
      </c>
      <c r="C1259">
        <v>7</v>
      </c>
      <c r="D1259" t="s">
        <v>19</v>
      </c>
      <c r="E1259">
        <v>1697291</v>
      </c>
      <c r="F1259">
        <v>3186</v>
      </c>
      <c r="G1259">
        <v>870</v>
      </c>
    </row>
    <row r="1260" spans="1:8" x14ac:dyDescent="0.45">
      <c r="A1260" t="s">
        <v>41</v>
      </c>
      <c r="B1260" t="s">
        <v>20</v>
      </c>
      <c r="C1260">
        <v>7</v>
      </c>
      <c r="D1260" t="s">
        <v>27</v>
      </c>
      <c r="F1260">
        <v>1257</v>
      </c>
    </row>
    <row r="1261" spans="1:8" x14ac:dyDescent="0.45">
      <c r="A1261" t="s">
        <v>41</v>
      </c>
      <c r="B1261" t="s">
        <v>20</v>
      </c>
      <c r="C1261">
        <v>7</v>
      </c>
      <c r="D1261" t="s">
        <v>28</v>
      </c>
      <c r="F1261">
        <v>605</v>
      </c>
    </row>
    <row r="1262" spans="1:8" x14ac:dyDescent="0.45">
      <c r="A1262" t="s">
        <v>41</v>
      </c>
      <c r="B1262" t="s">
        <v>20</v>
      </c>
      <c r="C1262">
        <v>7</v>
      </c>
      <c r="D1262" t="s">
        <v>29</v>
      </c>
      <c r="F1262">
        <v>307</v>
      </c>
    </row>
    <row r="1263" spans="1:8" x14ac:dyDescent="0.45">
      <c r="A1263" t="s">
        <v>41</v>
      </c>
      <c r="B1263" t="s">
        <v>20</v>
      </c>
      <c r="C1263">
        <v>7</v>
      </c>
      <c r="D1263" t="s">
        <v>31</v>
      </c>
      <c r="H1263">
        <v>287</v>
      </c>
    </row>
    <row r="1264" spans="1:8" x14ac:dyDescent="0.45">
      <c r="A1264" t="s">
        <v>41</v>
      </c>
      <c r="B1264" t="s">
        <v>20</v>
      </c>
      <c r="C1264">
        <v>7</v>
      </c>
      <c r="D1264" t="s">
        <v>32</v>
      </c>
      <c r="H1264">
        <v>10</v>
      </c>
    </row>
    <row r="1265" spans="1:8" x14ac:dyDescent="0.45">
      <c r="A1265" t="s">
        <v>41</v>
      </c>
      <c r="B1265" t="s">
        <v>20</v>
      </c>
      <c r="C1265">
        <v>7</v>
      </c>
      <c r="D1265" t="s">
        <v>34</v>
      </c>
      <c r="H1265">
        <v>22</v>
      </c>
    </row>
    <row r="1266" spans="1:8" x14ac:dyDescent="0.45">
      <c r="A1266" t="s">
        <v>41</v>
      </c>
      <c r="B1266" t="s">
        <v>21</v>
      </c>
      <c r="C1266">
        <v>8</v>
      </c>
      <c r="D1266" t="s">
        <v>19</v>
      </c>
      <c r="E1266">
        <v>1556088</v>
      </c>
      <c r="F1266">
        <v>3248</v>
      </c>
      <c r="G1266">
        <v>836</v>
      </c>
    </row>
    <row r="1267" spans="1:8" x14ac:dyDescent="0.45">
      <c r="A1267" t="s">
        <v>41</v>
      </c>
      <c r="B1267" t="s">
        <v>21</v>
      </c>
      <c r="C1267">
        <v>8</v>
      </c>
      <c r="D1267" t="s">
        <v>27</v>
      </c>
      <c r="F1267">
        <v>1480</v>
      </c>
      <c r="G1267">
        <v>1164</v>
      </c>
    </row>
    <row r="1268" spans="1:8" x14ac:dyDescent="0.45">
      <c r="A1268" t="s">
        <v>41</v>
      </c>
      <c r="B1268" t="s">
        <v>21</v>
      </c>
      <c r="C1268">
        <v>8</v>
      </c>
      <c r="D1268" t="s">
        <v>28</v>
      </c>
      <c r="F1268">
        <v>537</v>
      </c>
      <c r="G1268">
        <v>1364</v>
      </c>
    </row>
    <row r="1269" spans="1:8" x14ac:dyDescent="0.45">
      <c r="A1269" t="s">
        <v>41</v>
      </c>
      <c r="B1269" t="s">
        <v>21</v>
      </c>
      <c r="C1269">
        <v>8</v>
      </c>
      <c r="D1269" t="s">
        <v>29</v>
      </c>
      <c r="F1269">
        <v>199</v>
      </c>
      <c r="G1269">
        <v>890</v>
      </c>
    </row>
    <row r="1270" spans="1:8" x14ac:dyDescent="0.45">
      <c r="A1270" t="s">
        <v>41</v>
      </c>
      <c r="B1270" t="s">
        <v>20</v>
      </c>
      <c r="C1270">
        <v>8</v>
      </c>
      <c r="D1270" t="s">
        <v>19</v>
      </c>
      <c r="E1270">
        <v>1480843</v>
      </c>
      <c r="F1270">
        <v>2849</v>
      </c>
      <c r="G1270">
        <v>780</v>
      </c>
    </row>
    <row r="1271" spans="1:8" x14ac:dyDescent="0.45">
      <c r="A1271" t="s">
        <v>41</v>
      </c>
      <c r="B1271" t="s">
        <v>20</v>
      </c>
      <c r="C1271">
        <v>8</v>
      </c>
      <c r="D1271" t="s">
        <v>27</v>
      </c>
      <c r="F1271">
        <v>1265</v>
      </c>
      <c r="G1271">
        <v>908</v>
      </c>
    </row>
    <row r="1272" spans="1:8" x14ac:dyDescent="0.45">
      <c r="A1272" t="s">
        <v>41</v>
      </c>
      <c r="B1272" t="s">
        <v>20</v>
      </c>
      <c r="C1272">
        <v>8</v>
      </c>
      <c r="D1272" t="s">
        <v>28</v>
      </c>
      <c r="F1272">
        <v>531</v>
      </c>
      <c r="G1272">
        <v>917</v>
      </c>
    </row>
    <row r="1273" spans="1:8" x14ac:dyDescent="0.45">
      <c r="A1273" t="s">
        <v>41</v>
      </c>
      <c r="B1273" t="s">
        <v>20</v>
      </c>
      <c r="C1273">
        <v>8</v>
      </c>
      <c r="D1273" t="s">
        <v>29</v>
      </c>
      <c r="F1273">
        <v>238</v>
      </c>
      <c r="G1273">
        <v>1470</v>
      </c>
    </row>
    <row r="1274" spans="1:8" x14ac:dyDescent="0.45">
      <c r="A1274" t="s">
        <v>41</v>
      </c>
      <c r="B1274" t="s">
        <v>20</v>
      </c>
      <c r="C1274">
        <v>8</v>
      </c>
      <c r="D1274" t="s">
        <v>31</v>
      </c>
      <c r="H1274">
        <v>34</v>
      </c>
    </row>
    <row r="1275" spans="1:8" x14ac:dyDescent="0.45">
      <c r="A1275" t="s">
        <v>41</v>
      </c>
      <c r="B1275" t="s">
        <v>20</v>
      </c>
      <c r="C1275">
        <v>8</v>
      </c>
      <c r="D1275" t="s">
        <v>32</v>
      </c>
      <c r="H1275">
        <v>20</v>
      </c>
    </row>
    <row r="1276" spans="1:8" x14ac:dyDescent="0.45">
      <c r="A1276" t="s">
        <v>41</v>
      </c>
      <c r="B1276" t="s">
        <v>20</v>
      </c>
      <c r="C1276">
        <v>8</v>
      </c>
      <c r="D1276" t="s">
        <v>34</v>
      </c>
      <c r="H1276">
        <v>15</v>
      </c>
    </row>
    <row r="1277" spans="1:8" x14ac:dyDescent="0.45">
      <c r="A1277" t="s">
        <v>41</v>
      </c>
      <c r="B1277" t="s">
        <v>21</v>
      </c>
      <c r="C1277">
        <v>9</v>
      </c>
      <c r="D1277" t="s">
        <v>19</v>
      </c>
      <c r="E1277">
        <v>1302395</v>
      </c>
      <c r="F1277">
        <v>3071</v>
      </c>
      <c r="G1277">
        <v>821</v>
      </c>
    </row>
    <row r="1278" spans="1:8" x14ac:dyDescent="0.45">
      <c r="A1278" t="s">
        <v>41</v>
      </c>
      <c r="B1278" t="s">
        <v>21</v>
      </c>
      <c r="C1278">
        <v>9</v>
      </c>
      <c r="D1278" t="s">
        <v>27</v>
      </c>
      <c r="F1278">
        <v>1601</v>
      </c>
    </row>
    <row r="1279" spans="1:8" x14ac:dyDescent="0.45">
      <c r="A1279" t="s">
        <v>41</v>
      </c>
      <c r="B1279" t="s">
        <v>21</v>
      </c>
      <c r="C1279">
        <v>9</v>
      </c>
      <c r="D1279" t="s">
        <v>28</v>
      </c>
      <c r="F1279">
        <v>514</v>
      </c>
    </row>
    <row r="1280" spans="1:8" x14ac:dyDescent="0.45">
      <c r="A1280" t="s">
        <v>41</v>
      </c>
      <c r="B1280" t="s">
        <v>21</v>
      </c>
      <c r="C1280">
        <v>9</v>
      </c>
      <c r="D1280" t="s">
        <v>29</v>
      </c>
      <c r="F1280">
        <v>249</v>
      </c>
    </row>
    <row r="1281" spans="1:8" x14ac:dyDescent="0.45">
      <c r="A1281" t="s">
        <v>41</v>
      </c>
      <c r="B1281" t="s">
        <v>20</v>
      </c>
      <c r="C1281">
        <v>9</v>
      </c>
      <c r="D1281" t="s">
        <v>19</v>
      </c>
      <c r="E1281">
        <v>1395472</v>
      </c>
      <c r="F1281">
        <v>2971</v>
      </c>
      <c r="G1281">
        <v>768</v>
      </c>
    </row>
    <row r="1282" spans="1:8" x14ac:dyDescent="0.45">
      <c r="A1282" t="s">
        <v>41</v>
      </c>
      <c r="B1282" t="s">
        <v>20</v>
      </c>
      <c r="C1282">
        <v>9</v>
      </c>
      <c r="D1282" t="s">
        <v>27</v>
      </c>
      <c r="F1282">
        <v>1405</v>
      </c>
    </row>
    <row r="1283" spans="1:8" x14ac:dyDescent="0.45">
      <c r="A1283" t="s">
        <v>41</v>
      </c>
      <c r="B1283" t="s">
        <v>20</v>
      </c>
      <c r="C1283">
        <v>9</v>
      </c>
      <c r="D1283" t="s">
        <v>28</v>
      </c>
      <c r="F1283">
        <v>545</v>
      </c>
    </row>
    <row r="1284" spans="1:8" x14ac:dyDescent="0.45">
      <c r="A1284" t="s">
        <v>41</v>
      </c>
      <c r="B1284" t="s">
        <v>20</v>
      </c>
      <c r="C1284">
        <v>9</v>
      </c>
      <c r="D1284" t="s">
        <v>29</v>
      </c>
      <c r="F1284">
        <v>231</v>
      </c>
    </row>
    <row r="1285" spans="1:8" x14ac:dyDescent="0.45">
      <c r="A1285" t="s">
        <v>41</v>
      </c>
      <c r="B1285" t="s">
        <v>20</v>
      </c>
      <c r="C1285">
        <v>9</v>
      </c>
      <c r="D1285" t="s">
        <v>31</v>
      </c>
      <c r="H1285">
        <v>150</v>
      </c>
    </row>
    <row r="1286" spans="1:8" x14ac:dyDescent="0.45">
      <c r="A1286" t="s">
        <v>41</v>
      </c>
      <c r="B1286" t="s">
        <v>20</v>
      </c>
      <c r="C1286">
        <v>9</v>
      </c>
      <c r="D1286" t="s">
        <v>32</v>
      </c>
      <c r="H1286">
        <v>13</v>
      </c>
    </row>
    <row r="1287" spans="1:8" x14ac:dyDescent="0.45">
      <c r="A1287" t="s">
        <v>41</v>
      </c>
      <c r="B1287" t="s">
        <v>20</v>
      </c>
      <c r="C1287">
        <v>9</v>
      </c>
      <c r="D1287" t="s">
        <v>34</v>
      </c>
      <c r="H1287">
        <v>7</v>
      </c>
    </row>
    <row r="1288" spans="1:8" x14ac:dyDescent="0.45">
      <c r="A1288" t="s">
        <v>41</v>
      </c>
      <c r="B1288" t="s">
        <v>21</v>
      </c>
      <c r="C1288">
        <v>10</v>
      </c>
      <c r="D1288" t="s">
        <v>19</v>
      </c>
      <c r="E1288">
        <v>2091313</v>
      </c>
      <c r="F1288">
        <v>4933</v>
      </c>
      <c r="G1288">
        <v>428</v>
      </c>
    </row>
    <row r="1289" spans="1:8" x14ac:dyDescent="0.45">
      <c r="A1289" t="s">
        <v>41</v>
      </c>
      <c r="B1289" t="s">
        <v>21</v>
      </c>
      <c r="C1289">
        <v>10</v>
      </c>
      <c r="D1289" t="s">
        <v>27</v>
      </c>
      <c r="F1289">
        <v>2117</v>
      </c>
    </row>
    <row r="1290" spans="1:8" x14ac:dyDescent="0.45">
      <c r="A1290" t="s">
        <v>41</v>
      </c>
      <c r="B1290" t="s">
        <v>21</v>
      </c>
      <c r="C1290">
        <v>10</v>
      </c>
      <c r="D1290" t="s">
        <v>28</v>
      </c>
      <c r="F1290">
        <v>831</v>
      </c>
    </row>
    <row r="1291" spans="1:8" x14ac:dyDescent="0.45">
      <c r="A1291" t="s">
        <v>41</v>
      </c>
      <c r="B1291" t="s">
        <v>21</v>
      </c>
      <c r="C1291">
        <v>10</v>
      </c>
      <c r="D1291" t="s">
        <v>29</v>
      </c>
      <c r="F1291">
        <v>471</v>
      </c>
    </row>
    <row r="1292" spans="1:8" x14ac:dyDescent="0.45">
      <c r="A1292" t="s">
        <v>41</v>
      </c>
      <c r="B1292" t="s">
        <v>20</v>
      </c>
      <c r="C1292">
        <v>10</v>
      </c>
      <c r="D1292" t="s">
        <v>19</v>
      </c>
      <c r="E1292">
        <v>1991330</v>
      </c>
      <c r="F1292">
        <v>4142</v>
      </c>
    </row>
    <row r="1293" spans="1:8" x14ac:dyDescent="0.45">
      <c r="A1293" t="s">
        <v>41</v>
      </c>
      <c r="B1293" t="s">
        <v>20</v>
      </c>
      <c r="C1293">
        <v>10</v>
      </c>
      <c r="D1293" t="s">
        <v>27</v>
      </c>
      <c r="F1293">
        <v>1812</v>
      </c>
    </row>
    <row r="1294" spans="1:8" x14ac:dyDescent="0.45">
      <c r="A1294" t="s">
        <v>41</v>
      </c>
      <c r="B1294" t="s">
        <v>20</v>
      </c>
      <c r="C1294">
        <v>10</v>
      </c>
      <c r="D1294" t="s">
        <v>28</v>
      </c>
      <c r="F1294">
        <v>743</v>
      </c>
    </row>
    <row r="1295" spans="1:8" x14ac:dyDescent="0.45">
      <c r="A1295" t="s">
        <v>41</v>
      </c>
      <c r="B1295" t="s">
        <v>20</v>
      </c>
      <c r="C1295">
        <v>10</v>
      </c>
      <c r="D1295" t="s">
        <v>29</v>
      </c>
      <c r="F1295">
        <v>394</v>
      </c>
    </row>
    <row r="1296" spans="1:8" x14ac:dyDescent="0.45">
      <c r="A1296" t="s">
        <v>41</v>
      </c>
      <c r="B1296" t="s">
        <v>20</v>
      </c>
      <c r="C1296">
        <v>10</v>
      </c>
      <c r="D1296" t="s">
        <v>31</v>
      </c>
      <c r="H1296">
        <v>161</v>
      </c>
    </row>
    <row r="1297" spans="1:8" x14ac:dyDescent="0.45">
      <c r="A1297" t="s">
        <v>41</v>
      </c>
      <c r="B1297" t="s">
        <v>20</v>
      </c>
      <c r="C1297">
        <v>10</v>
      </c>
      <c r="D1297" t="s">
        <v>32</v>
      </c>
      <c r="H1297">
        <v>12</v>
      </c>
    </row>
    <row r="1298" spans="1:8" x14ac:dyDescent="0.45">
      <c r="A1298" t="s">
        <v>41</v>
      </c>
      <c r="B1298" t="s">
        <v>20</v>
      </c>
      <c r="C1298">
        <v>10</v>
      </c>
      <c r="D1298" t="s">
        <v>34</v>
      </c>
      <c r="H1298">
        <v>19</v>
      </c>
    </row>
    <row r="1299" spans="1:8" x14ac:dyDescent="0.45">
      <c r="A1299" t="s">
        <v>41</v>
      </c>
      <c r="B1299" t="s">
        <v>21</v>
      </c>
      <c r="C1299">
        <v>11</v>
      </c>
      <c r="D1299" t="s">
        <v>19</v>
      </c>
      <c r="E1299">
        <v>1728666</v>
      </c>
      <c r="F1299">
        <v>3813</v>
      </c>
    </row>
    <row r="1300" spans="1:8" x14ac:dyDescent="0.45">
      <c r="A1300" t="s">
        <v>41</v>
      </c>
      <c r="B1300" t="s">
        <v>21</v>
      </c>
      <c r="C1300">
        <v>11</v>
      </c>
      <c r="D1300" t="s">
        <v>27</v>
      </c>
      <c r="F1300">
        <v>1903</v>
      </c>
    </row>
    <row r="1301" spans="1:8" x14ac:dyDescent="0.45">
      <c r="A1301" t="s">
        <v>41</v>
      </c>
      <c r="B1301" t="s">
        <v>21</v>
      </c>
      <c r="C1301">
        <v>11</v>
      </c>
      <c r="D1301" t="s">
        <v>28</v>
      </c>
      <c r="F1301">
        <v>551</v>
      </c>
    </row>
    <row r="1302" spans="1:8" x14ac:dyDescent="0.45">
      <c r="A1302" t="s">
        <v>41</v>
      </c>
      <c r="B1302" t="s">
        <v>21</v>
      </c>
      <c r="C1302">
        <v>11</v>
      </c>
      <c r="D1302" t="s">
        <v>29</v>
      </c>
      <c r="F1302">
        <v>389</v>
      </c>
    </row>
    <row r="1303" spans="1:8" x14ac:dyDescent="0.45">
      <c r="A1303" t="s">
        <v>41</v>
      </c>
      <c r="B1303" t="s">
        <v>20</v>
      </c>
      <c r="C1303">
        <v>11</v>
      </c>
      <c r="D1303" t="s">
        <v>19</v>
      </c>
      <c r="E1303">
        <v>1960427</v>
      </c>
      <c r="F1303">
        <v>4248</v>
      </c>
      <c r="G1303">
        <v>502</v>
      </c>
    </row>
    <row r="1304" spans="1:8" x14ac:dyDescent="0.45">
      <c r="A1304" t="s">
        <v>41</v>
      </c>
      <c r="B1304" t="s">
        <v>20</v>
      </c>
      <c r="C1304">
        <v>11</v>
      </c>
      <c r="D1304" t="s">
        <v>27</v>
      </c>
      <c r="F1304">
        <v>1664</v>
      </c>
    </row>
    <row r="1305" spans="1:8" x14ac:dyDescent="0.45">
      <c r="A1305" t="s">
        <v>41</v>
      </c>
      <c r="B1305" t="s">
        <v>20</v>
      </c>
      <c r="C1305">
        <v>11</v>
      </c>
      <c r="D1305" t="s">
        <v>28</v>
      </c>
      <c r="F1305">
        <v>778</v>
      </c>
    </row>
    <row r="1306" spans="1:8" x14ac:dyDescent="0.45">
      <c r="A1306" t="s">
        <v>41</v>
      </c>
      <c r="B1306" t="s">
        <v>20</v>
      </c>
      <c r="C1306">
        <v>11</v>
      </c>
      <c r="D1306" t="s">
        <v>29</v>
      </c>
      <c r="F1306">
        <v>514</v>
      </c>
    </row>
    <row r="1307" spans="1:8" x14ac:dyDescent="0.45">
      <c r="A1307" t="s">
        <v>41</v>
      </c>
      <c r="B1307" t="s">
        <v>20</v>
      </c>
      <c r="C1307">
        <v>11</v>
      </c>
      <c r="D1307" t="s">
        <v>31</v>
      </c>
      <c r="H1307">
        <v>257</v>
      </c>
    </row>
    <row r="1308" spans="1:8" x14ac:dyDescent="0.45">
      <c r="A1308" t="s">
        <v>41</v>
      </c>
      <c r="B1308" t="s">
        <v>20</v>
      </c>
      <c r="C1308">
        <v>11</v>
      </c>
      <c r="D1308" t="s">
        <v>32</v>
      </c>
      <c r="H1308">
        <v>5</v>
      </c>
    </row>
    <row r="1309" spans="1:8" x14ac:dyDescent="0.45">
      <c r="A1309" t="s">
        <v>41</v>
      </c>
      <c r="B1309" t="s">
        <v>20</v>
      </c>
      <c r="C1309">
        <v>11</v>
      </c>
      <c r="D1309" t="s">
        <v>34</v>
      </c>
      <c r="H1309">
        <v>19</v>
      </c>
    </row>
    <row r="1310" spans="1:8" x14ac:dyDescent="0.45">
      <c r="A1310" t="s">
        <v>41</v>
      </c>
      <c r="B1310" t="s">
        <v>21</v>
      </c>
      <c r="C1310">
        <v>12</v>
      </c>
      <c r="D1310" t="s">
        <v>19</v>
      </c>
      <c r="E1310">
        <v>1740174</v>
      </c>
      <c r="F1310">
        <v>4304</v>
      </c>
    </row>
    <row r="1311" spans="1:8" x14ac:dyDescent="0.45">
      <c r="A1311" t="s">
        <v>41</v>
      </c>
      <c r="B1311" t="s">
        <v>21</v>
      </c>
      <c r="C1311">
        <v>12</v>
      </c>
      <c r="D1311" t="s">
        <v>27</v>
      </c>
      <c r="F1311">
        <v>1949</v>
      </c>
    </row>
    <row r="1312" spans="1:8" x14ac:dyDescent="0.45">
      <c r="A1312" t="s">
        <v>41</v>
      </c>
      <c r="B1312" t="s">
        <v>21</v>
      </c>
      <c r="C1312">
        <v>12</v>
      </c>
      <c r="D1312" t="s">
        <v>28</v>
      </c>
      <c r="F1312">
        <v>726</v>
      </c>
    </row>
    <row r="1313" spans="1:8" x14ac:dyDescent="0.45">
      <c r="A1313" t="s">
        <v>41</v>
      </c>
      <c r="B1313" t="s">
        <v>21</v>
      </c>
      <c r="C1313">
        <v>12</v>
      </c>
      <c r="D1313" t="s">
        <v>29</v>
      </c>
      <c r="F1313">
        <v>487</v>
      </c>
    </row>
    <row r="1314" spans="1:8" x14ac:dyDescent="0.45">
      <c r="A1314" t="s">
        <v>41</v>
      </c>
      <c r="B1314" t="s">
        <v>20</v>
      </c>
      <c r="C1314">
        <v>12</v>
      </c>
      <c r="D1314" t="s">
        <v>19</v>
      </c>
      <c r="E1314">
        <v>2003125</v>
      </c>
      <c r="F1314">
        <v>4095</v>
      </c>
    </row>
    <row r="1315" spans="1:8" x14ac:dyDescent="0.45">
      <c r="A1315" t="s">
        <v>41</v>
      </c>
      <c r="B1315" t="s">
        <v>20</v>
      </c>
      <c r="C1315">
        <v>12</v>
      </c>
      <c r="D1315" t="s">
        <v>27</v>
      </c>
      <c r="F1315">
        <v>1705</v>
      </c>
    </row>
    <row r="1316" spans="1:8" x14ac:dyDescent="0.45">
      <c r="A1316" t="s">
        <v>41</v>
      </c>
      <c r="B1316" t="s">
        <v>20</v>
      </c>
      <c r="C1316">
        <v>12</v>
      </c>
      <c r="D1316" t="s">
        <v>28</v>
      </c>
      <c r="F1316">
        <v>684</v>
      </c>
    </row>
    <row r="1317" spans="1:8" x14ac:dyDescent="0.45">
      <c r="A1317" t="s">
        <v>41</v>
      </c>
      <c r="B1317" t="s">
        <v>20</v>
      </c>
      <c r="C1317">
        <v>12</v>
      </c>
      <c r="D1317" t="s">
        <v>29</v>
      </c>
      <c r="F1317">
        <v>489</v>
      </c>
    </row>
    <row r="1318" spans="1:8" x14ac:dyDescent="0.45">
      <c r="A1318" t="s">
        <v>41</v>
      </c>
      <c r="B1318" t="s">
        <v>20</v>
      </c>
      <c r="C1318">
        <v>12</v>
      </c>
      <c r="D1318" t="s">
        <v>31</v>
      </c>
      <c r="H1318">
        <v>80</v>
      </c>
    </row>
    <row r="1319" spans="1:8" x14ac:dyDescent="0.45">
      <c r="A1319" t="s">
        <v>41</v>
      </c>
      <c r="B1319" t="s">
        <v>20</v>
      </c>
      <c r="C1319">
        <v>12</v>
      </c>
      <c r="D1319" t="s">
        <v>32</v>
      </c>
      <c r="H1319">
        <v>7</v>
      </c>
    </row>
    <row r="1320" spans="1:8" x14ac:dyDescent="0.45">
      <c r="A1320" t="s">
        <v>41</v>
      </c>
      <c r="B1320" t="s">
        <v>20</v>
      </c>
      <c r="C1320">
        <v>12</v>
      </c>
      <c r="D1320" t="s">
        <v>34</v>
      </c>
      <c r="H1320">
        <v>27</v>
      </c>
    </row>
    <row r="1321" spans="1:8" x14ac:dyDescent="0.45">
      <c r="A1321" t="s">
        <v>81</v>
      </c>
      <c r="B1321" t="s">
        <v>21</v>
      </c>
      <c r="C1321">
        <v>1</v>
      </c>
      <c r="D1321" t="s">
        <v>19</v>
      </c>
      <c r="E1321">
        <v>673447</v>
      </c>
      <c r="F1321">
        <v>1192</v>
      </c>
      <c r="G1321">
        <v>381</v>
      </c>
    </row>
    <row r="1322" spans="1:8" x14ac:dyDescent="0.45">
      <c r="A1322" t="s">
        <v>81</v>
      </c>
      <c r="B1322" t="s">
        <v>21</v>
      </c>
      <c r="C1322">
        <v>1</v>
      </c>
      <c r="D1322" t="s">
        <v>27</v>
      </c>
      <c r="F1322">
        <v>369</v>
      </c>
    </row>
    <row r="1323" spans="1:8" x14ac:dyDescent="0.45">
      <c r="A1323" t="s">
        <v>81</v>
      </c>
      <c r="B1323" t="s">
        <v>21</v>
      </c>
      <c r="C1323">
        <v>1</v>
      </c>
      <c r="D1323" t="s">
        <v>28</v>
      </c>
      <c r="F1323">
        <v>231</v>
      </c>
    </row>
    <row r="1324" spans="1:8" x14ac:dyDescent="0.45">
      <c r="A1324" t="s">
        <v>81</v>
      </c>
      <c r="B1324" t="s">
        <v>21</v>
      </c>
      <c r="C1324">
        <v>1</v>
      </c>
      <c r="D1324" t="s">
        <v>29</v>
      </c>
      <c r="F1324">
        <v>185</v>
      </c>
    </row>
    <row r="1325" spans="1:8" x14ac:dyDescent="0.45">
      <c r="A1325" t="s">
        <v>81</v>
      </c>
      <c r="B1325" t="s">
        <v>20</v>
      </c>
      <c r="C1325">
        <v>1</v>
      </c>
      <c r="D1325" t="s">
        <v>19</v>
      </c>
      <c r="E1325">
        <v>673842</v>
      </c>
      <c r="F1325">
        <v>1128</v>
      </c>
      <c r="G1325">
        <v>354</v>
      </c>
    </row>
    <row r="1326" spans="1:8" x14ac:dyDescent="0.45">
      <c r="A1326" t="s">
        <v>81</v>
      </c>
      <c r="B1326" t="s">
        <v>20</v>
      </c>
      <c r="C1326">
        <v>1</v>
      </c>
      <c r="D1326" t="s">
        <v>27</v>
      </c>
      <c r="F1326">
        <v>349</v>
      </c>
    </row>
    <row r="1327" spans="1:8" x14ac:dyDescent="0.45">
      <c r="A1327" t="s">
        <v>81</v>
      </c>
      <c r="B1327" t="s">
        <v>20</v>
      </c>
      <c r="C1327">
        <v>1</v>
      </c>
      <c r="D1327" t="s">
        <v>28</v>
      </c>
      <c r="F1327">
        <v>215</v>
      </c>
    </row>
    <row r="1328" spans="1:8" x14ac:dyDescent="0.45">
      <c r="A1328" t="s">
        <v>81</v>
      </c>
      <c r="B1328" t="s">
        <v>20</v>
      </c>
      <c r="C1328">
        <v>1</v>
      </c>
      <c r="D1328" t="s">
        <v>29</v>
      </c>
      <c r="F1328">
        <v>206</v>
      </c>
    </row>
    <row r="1329" spans="1:8" x14ac:dyDescent="0.45">
      <c r="A1329" t="s">
        <v>81</v>
      </c>
      <c r="B1329" t="s">
        <v>20</v>
      </c>
      <c r="C1329">
        <v>1</v>
      </c>
      <c r="D1329" t="s">
        <v>31</v>
      </c>
      <c r="H1329">
        <v>59</v>
      </c>
    </row>
    <row r="1330" spans="1:8" x14ac:dyDescent="0.45">
      <c r="A1330" t="s">
        <v>81</v>
      </c>
      <c r="B1330" t="s">
        <v>20</v>
      </c>
      <c r="C1330">
        <v>1</v>
      </c>
      <c r="D1330" t="s">
        <v>32</v>
      </c>
      <c r="H1330">
        <v>6</v>
      </c>
    </row>
    <row r="1331" spans="1:8" x14ac:dyDescent="0.45">
      <c r="A1331" t="s">
        <v>81</v>
      </c>
      <c r="B1331" t="s">
        <v>20</v>
      </c>
      <c r="C1331">
        <v>1</v>
      </c>
      <c r="D1331" t="s">
        <v>34</v>
      </c>
    </row>
    <row r="1332" spans="1:8" x14ac:dyDescent="0.45">
      <c r="A1332" t="s">
        <v>81</v>
      </c>
      <c r="B1332" t="s">
        <v>21</v>
      </c>
      <c r="C1332">
        <v>2</v>
      </c>
      <c r="D1332" t="s">
        <v>19</v>
      </c>
      <c r="E1332">
        <v>533633</v>
      </c>
      <c r="F1332">
        <v>1007</v>
      </c>
      <c r="G1332">
        <v>331</v>
      </c>
    </row>
    <row r="1333" spans="1:8" x14ac:dyDescent="0.45">
      <c r="A1333" t="s">
        <v>81</v>
      </c>
      <c r="B1333" t="s">
        <v>21</v>
      </c>
      <c r="C1333">
        <v>2</v>
      </c>
      <c r="D1333" t="s">
        <v>27</v>
      </c>
      <c r="F1333">
        <v>348</v>
      </c>
    </row>
    <row r="1334" spans="1:8" x14ac:dyDescent="0.45">
      <c r="A1334" t="s">
        <v>81</v>
      </c>
      <c r="B1334" t="s">
        <v>21</v>
      </c>
      <c r="C1334">
        <v>2</v>
      </c>
      <c r="D1334" t="s">
        <v>28</v>
      </c>
      <c r="F1334">
        <v>152</v>
      </c>
    </row>
    <row r="1335" spans="1:8" x14ac:dyDescent="0.45">
      <c r="A1335" t="s">
        <v>81</v>
      </c>
      <c r="B1335" t="s">
        <v>21</v>
      </c>
      <c r="C1335">
        <v>2</v>
      </c>
      <c r="D1335" t="s">
        <v>29</v>
      </c>
      <c r="F1335">
        <v>140</v>
      </c>
    </row>
    <row r="1336" spans="1:8" x14ac:dyDescent="0.45">
      <c r="A1336" t="s">
        <v>81</v>
      </c>
      <c r="B1336" t="s">
        <v>20</v>
      </c>
      <c r="C1336">
        <v>2</v>
      </c>
      <c r="D1336" t="s">
        <v>19</v>
      </c>
      <c r="E1336">
        <v>602675</v>
      </c>
      <c r="F1336">
        <v>969</v>
      </c>
      <c r="G1336">
        <v>306</v>
      </c>
    </row>
    <row r="1337" spans="1:8" x14ac:dyDescent="0.45">
      <c r="A1337" t="s">
        <v>81</v>
      </c>
      <c r="B1337" t="s">
        <v>20</v>
      </c>
      <c r="C1337">
        <v>2</v>
      </c>
      <c r="D1337" t="s">
        <v>27</v>
      </c>
      <c r="F1337">
        <v>344</v>
      </c>
    </row>
    <row r="1338" spans="1:8" x14ac:dyDescent="0.45">
      <c r="A1338" t="s">
        <v>81</v>
      </c>
      <c r="B1338" t="s">
        <v>20</v>
      </c>
      <c r="C1338">
        <v>2</v>
      </c>
      <c r="D1338" t="s">
        <v>28</v>
      </c>
      <c r="F1338">
        <v>171</v>
      </c>
    </row>
    <row r="1339" spans="1:8" x14ac:dyDescent="0.45">
      <c r="A1339" t="s">
        <v>81</v>
      </c>
      <c r="B1339" t="s">
        <v>20</v>
      </c>
      <c r="C1339">
        <v>2</v>
      </c>
      <c r="D1339" t="s">
        <v>29</v>
      </c>
      <c r="F1339">
        <v>157</v>
      </c>
    </row>
    <row r="1340" spans="1:8" x14ac:dyDescent="0.45">
      <c r="A1340" t="s">
        <v>81</v>
      </c>
      <c r="B1340" t="s">
        <v>20</v>
      </c>
      <c r="C1340">
        <v>2</v>
      </c>
      <c r="D1340" t="s">
        <v>31</v>
      </c>
      <c r="H1340">
        <v>51</v>
      </c>
    </row>
    <row r="1341" spans="1:8" x14ac:dyDescent="0.45">
      <c r="A1341" t="s">
        <v>81</v>
      </c>
      <c r="B1341" t="s">
        <v>20</v>
      </c>
      <c r="C1341">
        <v>2</v>
      </c>
      <c r="D1341" t="s">
        <v>32</v>
      </c>
      <c r="H1341">
        <v>5</v>
      </c>
    </row>
    <row r="1342" spans="1:8" x14ac:dyDescent="0.45">
      <c r="A1342" t="s">
        <v>81</v>
      </c>
      <c r="B1342" t="s">
        <v>20</v>
      </c>
      <c r="C1342">
        <v>2</v>
      </c>
      <c r="D1342" t="s">
        <v>34</v>
      </c>
      <c r="H1342">
        <v>4</v>
      </c>
    </row>
    <row r="1343" spans="1:8" x14ac:dyDescent="0.45">
      <c r="A1343" t="s">
        <v>81</v>
      </c>
      <c r="B1343" t="s">
        <v>21</v>
      </c>
      <c r="C1343">
        <v>3</v>
      </c>
      <c r="D1343" t="s">
        <v>19</v>
      </c>
      <c r="E1343">
        <v>1600761</v>
      </c>
      <c r="F1343">
        <v>2297</v>
      </c>
      <c r="G1343">
        <v>672</v>
      </c>
    </row>
    <row r="1344" spans="1:8" x14ac:dyDescent="0.45">
      <c r="A1344" t="s">
        <v>81</v>
      </c>
      <c r="B1344" t="s">
        <v>21</v>
      </c>
      <c r="C1344">
        <v>3</v>
      </c>
      <c r="D1344" t="s">
        <v>27</v>
      </c>
      <c r="F1344">
        <v>460</v>
      </c>
    </row>
    <row r="1345" spans="1:8" x14ac:dyDescent="0.45">
      <c r="A1345" t="s">
        <v>81</v>
      </c>
      <c r="B1345" t="s">
        <v>21</v>
      </c>
      <c r="C1345">
        <v>3</v>
      </c>
      <c r="D1345" t="s">
        <v>28</v>
      </c>
      <c r="F1345">
        <v>359</v>
      </c>
    </row>
    <row r="1346" spans="1:8" x14ac:dyDescent="0.45">
      <c r="A1346" t="s">
        <v>81</v>
      </c>
      <c r="B1346" t="s">
        <v>21</v>
      </c>
      <c r="C1346">
        <v>3</v>
      </c>
      <c r="D1346" t="s">
        <v>29</v>
      </c>
      <c r="F1346">
        <v>379</v>
      </c>
    </row>
    <row r="1347" spans="1:8" x14ac:dyDescent="0.45">
      <c r="A1347" t="s">
        <v>81</v>
      </c>
      <c r="B1347" t="s">
        <v>20</v>
      </c>
      <c r="C1347">
        <v>3</v>
      </c>
      <c r="D1347" t="s">
        <v>19</v>
      </c>
      <c r="E1347">
        <v>1171864</v>
      </c>
      <c r="F1347">
        <v>1749</v>
      </c>
      <c r="G1347">
        <v>538</v>
      </c>
    </row>
    <row r="1348" spans="1:8" x14ac:dyDescent="0.45">
      <c r="A1348" t="s">
        <v>81</v>
      </c>
      <c r="B1348" t="s">
        <v>20</v>
      </c>
      <c r="C1348">
        <v>3</v>
      </c>
      <c r="D1348" t="s">
        <v>27</v>
      </c>
      <c r="F1348">
        <v>427</v>
      </c>
    </row>
    <row r="1349" spans="1:8" x14ac:dyDescent="0.45">
      <c r="A1349" t="s">
        <v>81</v>
      </c>
      <c r="B1349" t="s">
        <v>20</v>
      </c>
      <c r="C1349">
        <v>3</v>
      </c>
      <c r="D1349" t="s">
        <v>28</v>
      </c>
      <c r="F1349">
        <v>314</v>
      </c>
    </row>
    <row r="1350" spans="1:8" x14ac:dyDescent="0.45">
      <c r="A1350" t="s">
        <v>81</v>
      </c>
      <c r="B1350" t="s">
        <v>20</v>
      </c>
      <c r="C1350">
        <v>3</v>
      </c>
      <c r="D1350" t="s">
        <v>29</v>
      </c>
      <c r="F1350">
        <v>333</v>
      </c>
    </row>
    <row r="1351" spans="1:8" x14ac:dyDescent="0.45">
      <c r="A1351" t="s">
        <v>81</v>
      </c>
      <c r="B1351" t="s">
        <v>20</v>
      </c>
      <c r="C1351">
        <v>3</v>
      </c>
      <c r="D1351" t="s">
        <v>31</v>
      </c>
      <c r="H1351">
        <v>72</v>
      </c>
    </row>
    <row r="1352" spans="1:8" x14ac:dyDescent="0.45">
      <c r="A1352" t="s">
        <v>81</v>
      </c>
      <c r="B1352" t="s">
        <v>20</v>
      </c>
      <c r="C1352">
        <v>3</v>
      </c>
      <c r="D1352" t="s">
        <v>32</v>
      </c>
      <c r="H1352">
        <v>5</v>
      </c>
    </row>
    <row r="1353" spans="1:8" x14ac:dyDescent="0.45">
      <c r="A1353" t="s">
        <v>81</v>
      </c>
      <c r="B1353" t="s">
        <v>20</v>
      </c>
      <c r="C1353">
        <v>3</v>
      </c>
      <c r="D1353" t="s">
        <v>34</v>
      </c>
      <c r="H1353">
        <v>4</v>
      </c>
    </row>
    <row r="1354" spans="1:8" x14ac:dyDescent="0.45">
      <c r="A1354" t="s">
        <v>81</v>
      </c>
      <c r="B1354" t="s">
        <v>21</v>
      </c>
      <c r="C1354">
        <v>4</v>
      </c>
      <c r="D1354" t="s">
        <v>19</v>
      </c>
      <c r="E1354">
        <v>2213157</v>
      </c>
      <c r="F1354">
        <v>2897</v>
      </c>
    </row>
    <row r="1355" spans="1:8" x14ac:dyDescent="0.45">
      <c r="A1355" t="s">
        <v>81</v>
      </c>
      <c r="B1355" t="s">
        <v>21</v>
      </c>
      <c r="C1355">
        <v>4</v>
      </c>
      <c r="D1355" t="s">
        <v>27</v>
      </c>
      <c r="F1355">
        <v>504</v>
      </c>
    </row>
    <row r="1356" spans="1:8" x14ac:dyDescent="0.45">
      <c r="A1356" t="s">
        <v>81</v>
      </c>
      <c r="B1356" t="s">
        <v>21</v>
      </c>
      <c r="C1356">
        <v>4</v>
      </c>
      <c r="D1356" t="s">
        <v>28</v>
      </c>
      <c r="F1356">
        <v>441</v>
      </c>
    </row>
    <row r="1357" spans="1:8" x14ac:dyDescent="0.45">
      <c r="A1357" t="s">
        <v>81</v>
      </c>
      <c r="B1357" t="s">
        <v>21</v>
      </c>
      <c r="C1357">
        <v>4</v>
      </c>
      <c r="D1357" t="s">
        <v>29</v>
      </c>
      <c r="F1357">
        <v>424</v>
      </c>
    </row>
    <row r="1358" spans="1:8" x14ac:dyDescent="0.45">
      <c r="A1358" t="s">
        <v>81</v>
      </c>
      <c r="B1358" t="s">
        <v>20</v>
      </c>
      <c r="C1358">
        <v>4</v>
      </c>
      <c r="D1358" t="s">
        <v>19</v>
      </c>
      <c r="E1358">
        <v>2105911</v>
      </c>
      <c r="F1358">
        <v>2832</v>
      </c>
      <c r="H1358">
        <v>11</v>
      </c>
    </row>
    <row r="1359" spans="1:8" x14ac:dyDescent="0.45">
      <c r="A1359" t="s">
        <v>81</v>
      </c>
      <c r="B1359" t="s">
        <v>20</v>
      </c>
      <c r="C1359">
        <v>4</v>
      </c>
      <c r="D1359" t="s">
        <v>27</v>
      </c>
      <c r="F1359">
        <v>449</v>
      </c>
    </row>
    <row r="1360" spans="1:8" x14ac:dyDescent="0.45">
      <c r="A1360" t="s">
        <v>81</v>
      </c>
      <c r="B1360" t="s">
        <v>20</v>
      </c>
      <c r="C1360">
        <v>4</v>
      </c>
      <c r="D1360" t="s">
        <v>28</v>
      </c>
      <c r="F1360">
        <v>411</v>
      </c>
    </row>
    <row r="1361" spans="1:8" x14ac:dyDescent="0.45">
      <c r="A1361" t="s">
        <v>81</v>
      </c>
      <c r="B1361" t="s">
        <v>20</v>
      </c>
      <c r="C1361">
        <v>4</v>
      </c>
      <c r="D1361" t="s">
        <v>29</v>
      </c>
      <c r="F1361">
        <v>414</v>
      </c>
    </row>
    <row r="1362" spans="1:8" x14ac:dyDescent="0.45">
      <c r="A1362" t="s">
        <v>81</v>
      </c>
      <c r="B1362" t="s">
        <v>20</v>
      </c>
      <c r="C1362">
        <v>4</v>
      </c>
      <c r="D1362" t="s">
        <v>31</v>
      </c>
      <c r="H1362">
        <v>69</v>
      </c>
    </row>
    <row r="1363" spans="1:8" x14ac:dyDescent="0.45">
      <c r="A1363" t="s">
        <v>81</v>
      </c>
      <c r="B1363" t="s">
        <v>20</v>
      </c>
      <c r="C1363">
        <v>4</v>
      </c>
      <c r="D1363" t="s">
        <v>32</v>
      </c>
      <c r="H1363">
        <v>8</v>
      </c>
    </row>
    <row r="1364" spans="1:8" x14ac:dyDescent="0.45">
      <c r="A1364" t="s">
        <v>81</v>
      </c>
      <c r="B1364" t="s">
        <v>20</v>
      </c>
      <c r="C1364">
        <v>4</v>
      </c>
      <c r="D1364" t="s">
        <v>34</v>
      </c>
      <c r="H1364">
        <v>4</v>
      </c>
    </row>
    <row r="1365" spans="1:8" x14ac:dyDescent="0.45">
      <c r="A1365" t="s">
        <v>81</v>
      </c>
      <c r="B1365" t="s">
        <v>21</v>
      </c>
      <c r="C1365">
        <v>5</v>
      </c>
      <c r="D1365" t="s">
        <v>19</v>
      </c>
      <c r="E1365">
        <v>1880745</v>
      </c>
      <c r="F1365">
        <v>2614</v>
      </c>
      <c r="H1365">
        <v>0</v>
      </c>
    </row>
    <row r="1366" spans="1:8" x14ac:dyDescent="0.45">
      <c r="A1366" t="s">
        <v>81</v>
      </c>
      <c r="B1366" t="s">
        <v>21</v>
      </c>
      <c r="C1366">
        <v>5</v>
      </c>
      <c r="D1366" t="s">
        <v>27</v>
      </c>
      <c r="F1366">
        <v>504</v>
      </c>
    </row>
    <row r="1367" spans="1:8" x14ac:dyDescent="0.45">
      <c r="A1367" t="s">
        <v>81</v>
      </c>
      <c r="B1367" t="s">
        <v>21</v>
      </c>
      <c r="C1367">
        <v>5</v>
      </c>
      <c r="D1367" t="s">
        <v>28</v>
      </c>
      <c r="F1367">
        <v>388</v>
      </c>
    </row>
    <row r="1368" spans="1:8" x14ac:dyDescent="0.45">
      <c r="A1368" t="s">
        <v>81</v>
      </c>
      <c r="B1368" t="s">
        <v>21</v>
      </c>
      <c r="C1368">
        <v>5</v>
      </c>
      <c r="D1368" t="s">
        <v>29</v>
      </c>
      <c r="F1368">
        <v>364</v>
      </c>
    </row>
    <row r="1369" spans="1:8" x14ac:dyDescent="0.45">
      <c r="A1369" t="s">
        <v>81</v>
      </c>
      <c r="B1369" t="s">
        <v>20</v>
      </c>
      <c r="C1369">
        <v>5</v>
      </c>
      <c r="D1369" t="s">
        <v>19</v>
      </c>
      <c r="E1369">
        <v>1399382</v>
      </c>
      <c r="F1369">
        <v>1866</v>
      </c>
      <c r="G1369">
        <v>538</v>
      </c>
    </row>
    <row r="1370" spans="1:8" x14ac:dyDescent="0.45">
      <c r="A1370" t="s">
        <v>81</v>
      </c>
      <c r="B1370" t="s">
        <v>20</v>
      </c>
      <c r="C1370">
        <v>5</v>
      </c>
      <c r="D1370" t="s">
        <v>27</v>
      </c>
      <c r="F1370">
        <v>410</v>
      </c>
    </row>
    <row r="1371" spans="1:8" x14ac:dyDescent="0.45">
      <c r="A1371" t="s">
        <v>81</v>
      </c>
      <c r="B1371" t="s">
        <v>20</v>
      </c>
      <c r="C1371">
        <v>5</v>
      </c>
      <c r="D1371" t="s">
        <v>28</v>
      </c>
      <c r="F1371">
        <v>274</v>
      </c>
    </row>
    <row r="1372" spans="1:8" x14ac:dyDescent="0.45">
      <c r="A1372" t="s">
        <v>81</v>
      </c>
      <c r="B1372" t="s">
        <v>20</v>
      </c>
      <c r="C1372">
        <v>5</v>
      </c>
      <c r="D1372" t="s">
        <v>29</v>
      </c>
      <c r="F1372">
        <v>240</v>
      </c>
    </row>
    <row r="1373" spans="1:8" x14ac:dyDescent="0.45">
      <c r="A1373" t="s">
        <v>81</v>
      </c>
      <c r="B1373" t="s">
        <v>20</v>
      </c>
      <c r="C1373">
        <v>5</v>
      </c>
      <c r="D1373" t="s">
        <v>31</v>
      </c>
      <c r="H1373">
        <v>81</v>
      </c>
    </row>
    <row r="1374" spans="1:8" x14ac:dyDescent="0.45">
      <c r="A1374" t="s">
        <v>81</v>
      </c>
      <c r="B1374" t="s">
        <v>20</v>
      </c>
      <c r="C1374">
        <v>5</v>
      </c>
      <c r="D1374" t="s">
        <v>32</v>
      </c>
      <c r="H1374">
        <v>8</v>
      </c>
    </row>
    <row r="1375" spans="1:8" x14ac:dyDescent="0.45">
      <c r="A1375" t="s">
        <v>81</v>
      </c>
      <c r="B1375" t="s">
        <v>20</v>
      </c>
      <c r="C1375">
        <v>5</v>
      </c>
      <c r="D1375" t="s">
        <v>34</v>
      </c>
      <c r="H1375">
        <v>3</v>
      </c>
    </row>
    <row r="1376" spans="1:8" x14ac:dyDescent="0.45">
      <c r="A1376" t="s">
        <v>81</v>
      </c>
      <c r="B1376" t="s">
        <v>21</v>
      </c>
      <c r="C1376">
        <v>6</v>
      </c>
      <c r="D1376" t="s">
        <v>19</v>
      </c>
      <c r="E1376">
        <v>1571795</v>
      </c>
      <c r="F1376">
        <v>2076</v>
      </c>
      <c r="G1376">
        <v>651</v>
      </c>
    </row>
    <row r="1377" spans="1:8" x14ac:dyDescent="0.45">
      <c r="A1377" t="s">
        <v>81</v>
      </c>
      <c r="B1377" t="s">
        <v>21</v>
      </c>
      <c r="C1377">
        <v>6</v>
      </c>
      <c r="D1377" t="s">
        <v>27</v>
      </c>
      <c r="F1377">
        <v>536</v>
      </c>
    </row>
    <row r="1378" spans="1:8" x14ac:dyDescent="0.45">
      <c r="A1378" t="s">
        <v>81</v>
      </c>
      <c r="B1378" t="s">
        <v>21</v>
      </c>
      <c r="C1378">
        <v>6</v>
      </c>
      <c r="D1378" t="s">
        <v>28</v>
      </c>
      <c r="F1378">
        <v>364</v>
      </c>
    </row>
    <row r="1379" spans="1:8" x14ac:dyDescent="0.45">
      <c r="A1379" t="s">
        <v>81</v>
      </c>
      <c r="B1379" t="s">
        <v>21</v>
      </c>
      <c r="C1379">
        <v>6</v>
      </c>
      <c r="D1379" t="s">
        <v>29</v>
      </c>
      <c r="F1379">
        <v>345</v>
      </c>
    </row>
    <row r="1380" spans="1:8" x14ac:dyDescent="0.45">
      <c r="A1380" t="s">
        <v>81</v>
      </c>
      <c r="B1380" t="s">
        <v>20</v>
      </c>
      <c r="C1380">
        <v>6</v>
      </c>
      <c r="D1380" t="s">
        <v>19</v>
      </c>
      <c r="E1380">
        <v>1479288</v>
      </c>
      <c r="F1380">
        <v>1894</v>
      </c>
      <c r="G1380">
        <v>508</v>
      </c>
    </row>
    <row r="1381" spans="1:8" x14ac:dyDescent="0.45">
      <c r="A1381" t="s">
        <v>81</v>
      </c>
      <c r="B1381" t="s">
        <v>20</v>
      </c>
      <c r="C1381">
        <v>6</v>
      </c>
      <c r="D1381" t="s">
        <v>27</v>
      </c>
      <c r="F1381">
        <v>430</v>
      </c>
    </row>
    <row r="1382" spans="1:8" x14ac:dyDescent="0.45">
      <c r="A1382" t="s">
        <v>81</v>
      </c>
      <c r="B1382" t="s">
        <v>20</v>
      </c>
      <c r="C1382">
        <v>6</v>
      </c>
      <c r="D1382" t="s">
        <v>28</v>
      </c>
      <c r="F1382">
        <v>312</v>
      </c>
    </row>
    <row r="1383" spans="1:8" x14ac:dyDescent="0.45">
      <c r="A1383" t="s">
        <v>81</v>
      </c>
      <c r="B1383" t="s">
        <v>20</v>
      </c>
      <c r="C1383">
        <v>6</v>
      </c>
      <c r="D1383" t="s">
        <v>29</v>
      </c>
      <c r="F1383">
        <v>313</v>
      </c>
    </row>
    <row r="1384" spans="1:8" x14ac:dyDescent="0.45">
      <c r="A1384" t="s">
        <v>81</v>
      </c>
      <c r="B1384" t="s">
        <v>20</v>
      </c>
      <c r="C1384">
        <v>6</v>
      </c>
      <c r="D1384" t="s">
        <v>31</v>
      </c>
      <c r="H1384">
        <v>34</v>
      </c>
    </row>
    <row r="1385" spans="1:8" x14ac:dyDescent="0.45">
      <c r="A1385" t="s">
        <v>81</v>
      </c>
      <c r="B1385" t="s">
        <v>20</v>
      </c>
      <c r="C1385">
        <v>6</v>
      </c>
      <c r="D1385" t="s">
        <v>32</v>
      </c>
      <c r="H1385">
        <v>1</v>
      </c>
    </row>
    <row r="1386" spans="1:8" x14ac:dyDescent="0.45">
      <c r="A1386" t="s">
        <v>81</v>
      </c>
      <c r="B1386" t="s">
        <v>20</v>
      </c>
      <c r="C1386">
        <v>6</v>
      </c>
      <c r="D1386" t="s">
        <v>34</v>
      </c>
      <c r="H1386">
        <v>3</v>
      </c>
    </row>
    <row r="1387" spans="1:8" x14ac:dyDescent="0.45">
      <c r="A1387" t="s">
        <v>81</v>
      </c>
      <c r="B1387" t="s">
        <v>21</v>
      </c>
      <c r="C1387">
        <v>7</v>
      </c>
      <c r="D1387" t="s">
        <v>19</v>
      </c>
      <c r="E1387">
        <v>1209890</v>
      </c>
      <c r="F1387">
        <v>1809</v>
      </c>
      <c r="G1387">
        <v>529</v>
      </c>
    </row>
    <row r="1388" spans="1:8" x14ac:dyDescent="0.45">
      <c r="A1388" t="s">
        <v>81</v>
      </c>
      <c r="B1388" t="s">
        <v>21</v>
      </c>
      <c r="C1388">
        <v>7</v>
      </c>
      <c r="D1388" t="s">
        <v>27</v>
      </c>
      <c r="F1388">
        <v>499</v>
      </c>
    </row>
    <row r="1389" spans="1:8" x14ac:dyDescent="0.45">
      <c r="A1389" t="s">
        <v>81</v>
      </c>
      <c r="B1389" t="s">
        <v>21</v>
      </c>
      <c r="C1389">
        <v>7</v>
      </c>
      <c r="D1389" t="s">
        <v>28</v>
      </c>
      <c r="F1389">
        <v>302</v>
      </c>
    </row>
    <row r="1390" spans="1:8" x14ac:dyDescent="0.45">
      <c r="A1390" t="s">
        <v>81</v>
      </c>
      <c r="B1390" t="s">
        <v>21</v>
      </c>
      <c r="C1390">
        <v>7</v>
      </c>
      <c r="D1390" t="s">
        <v>29</v>
      </c>
      <c r="F1390">
        <v>242</v>
      </c>
    </row>
    <row r="1391" spans="1:8" x14ac:dyDescent="0.45">
      <c r="A1391" t="s">
        <v>81</v>
      </c>
      <c r="B1391" t="s">
        <v>20</v>
      </c>
      <c r="C1391">
        <v>7</v>
      </c>
      <c r="D1391" t="s">
        <v>19</v>
      </c>
      <c r="E1391">
        <v>1153628</v>
      </c>
      <c r="F1391">
        <v>1640</v>
      </c>
      <c r="G1391">
        <v>514</v>
      </c>
    </row>
    <row r="1392" spans="1:8" x14ac:dyDescent="0.45">
      <c r="A1392" t="s">
        <v>81</v>
      </c>
      <c r="B1392" t="s">
        <v>20</v>
      </c>
      <c r="C1392">
        <v>7</v>
      </c>
      <c r="D1392" t="s">
        <v>27</v>
      </c>
      <c r="F1392">
        <v>392</v>
      </c>
    </row>
    <row r="1393" spans="1:8" x14ac:dyDescent="0.45">
      <c r="A1393" t="s">
        <v>81</v>
      </c>
      <c r="B1393" t="s">
        <v>20</v>
      </c>
      <c r="C1393">
        <v>7</v>
      </c>
      <c r="D1393" t="s">
        <v>28</v>
      </c>
      <c r="F1393">
        <v>295</v>
      </c>
    </row>
    <row r="1394" spans="1:8" x14ac:dyDescent="0.45">
      <c r="A1394" t="s">
        <v>81</v>
      </c>
      <c r="B1394" t="s">
        <v>20</v>
      </c>
      <c r="C1394">
        <v>7</v>
      </c>
      <c r="D1394" t="s">
        <v>29</v>
      </c>
      <c r="F1394">
        <v>246</v>
      </c>
    </row>
    <row r="1395" spans="1:8" x14ac:dyDescent="0.45">
      <c r="A1395" t="s">
        <v>81</v>
      </c>
      <c r="B1395" t="s">
        <v>20</v>
      </c>
      <c r="C1395">
        <v>7</v>
      </c>
      <c r="D1395" t="s">
        <v>31</v>
      </c>
      <c r="H1395">
        <v>143</v>
      </c>
    </row>
    <row r="1396" spans="1:8" x14ac:dyDescent="0.45">
      <c r="A1396" t="s">
        <v>81</v>
      </c>
      <c r="B1396" t="s">
        <v>20</v>
      </c>
      <c r="C1396">
        <v>7</v>
      </c>
      <c r="D1396" t="s">
        <v>32</v>
      </c>
      <c r="H1396">
        <v>4</v>
      </c>
    </row>
    <row r="1397" spans="1:8" x14ac:dyDescent="0.45">
      <c r="A1397" t="s">
        <v>81</v>
      </c>
      <c r="B1397" t="s">
        <v>20</v>
      </c>
      <c r="C1397">
        <v>7</v>
      </c>
      <c r="D1397" t="s">
        <v>34</v>
      </c>
      <c r="H1397">
        <v>3</v>
      </c>
    </row>
    <row r="1398" spans="1:8" x14ac:dyDescent="0.45">
      <c r="A1398" t="s">
        <v>81</v>
      </c>
      <c r="B1398" t="s">
        <v>21</v>
      </c>
      <c r="C1398">
        <v>8</v>
      </c>
      <c r="D1398" t="s">
        <v>19</v>
      </c>
      <c r="E1398">
        <v>756823</v>
      </c>
      <c r="F1398">
        <v>1245</v>
      </c>
      <c r="G1398">
        <v>412</v>
      </c>
    </row>
    <row r="1399" spans="1:8" x14ac:dyDescent="0.45">
      <c r="A1399" t="s">
        <v>81</v>
      </c>
      <c r="B1399" t="s">
        <v>21</v>
      </c>
      <c r="C1399">
        <v>8</v>
      </c>
      <c r="D1399" t="s">
        <v>27</v>
      </c>
      <c r="F1399">
        <v>388</v>
      </c>
      <c r="G1399">
        <v>872</v>
      </c>
    </row>
    <row r="1400" spans="1:8" x14ac:dyDescent="0.45">
      <c r="A1400" t="s">
        <v>81</v>
      </c>
      <c r="B1400" t="s">
        <v>21</v>
      </c>
      <c r="C1400">
        <v>8</v>
      </c>
      <c r="D1400" t="s">
        <v>28</v>
      </c>
      <c r="F1400">
        <v>267</v>
      </c>
      <c r="G1400">
        <v>625</v>
      </c>
    </row>
    <row r="1401" spans="1:8" x14ac:dyDescent="0.45">
      <c r="A1401" t="s">
        <v>81</v>
      </c>
      <c r="B1401" t="s">
        <v>21</v>
      </c>
      <c r="C1401">
        <v>8</v>
      </c>
      <c r="D1401" t="s">
        <v>29</v>
      </c>
      <c r="F1401">
        <v>184</v>
      </c>
      <c r="G1401">
        <v>1172</v>
      </c>
    </row>
    <row r="1402" spans="1:8" x14ac:dyDescent="0.45">
      <c r="A1402" t="s">
        <v>81</v>
      </c>
      <c r="B1402" t="s">
        <v>20</v>
      </c>
      <c r="C1402">
        <v>8</v>
      </c>
      <c r="D1402" t="s">
        <v>19</v>
      </c>
      <c r="E1402">
        <v>771634</v>
      </c>
      <c r="F1402">
        <v>1331</v>
      </c>
      <c r="G1402">
        <v>410</v>
      </c>
    </row>
    <row r="1403" spans="1:8" x14ac:dyDescent="0.45">
      <c r="A1403" t="s">
        <v>81</v>
      </c>
      <c r="B1403" t="s">
        <v>20</v>
      </c>
      <c r="C1403">
        <v>8</v>
      </c>
      <c r="D1403" t="s">
        <v>27</v>
      </c>
      <c r="F1403">
        <v>392</v>
      </c>
      <c r="G1403">
        <v>707</v>
      </c>
    </row>
    <row r="1404" spans="1:8" x14ac:dyDescent="0.45">
      <c r="A1404" t="s">
        <v>81</v>
      </c>
      <c r="B1404" t="s">
        <v>20</v>
      </c>
      <c r="C1404">
        <v>8</v>
      </c>
      <c r="D1404" t="s">
        <v>28</v>
      </c>
      <c r="F1404">
        <v>238</v>
      </c>
      <c r="G1404">
        <v>1167</v>
      </c>
    </row>
    <row r="1405" spans="1:8" x14ac:dyDescent="0.45">
      <c r="A1405" t="s">
        <v>81</v>
      </c>
      <c r="B1405" t="s">
        <v>20</v>
      </c>
      <c r="C1405">
        <v>8</v>
      </c>
      <c r="D1405" t="s">
        <v>29</v>
      </c>
      <c r="F1405">
        <v>158</v>
      </c>
      <c r="G1405">
        <v>901</v>
      </c>
    </row>
    <row r="1406" spans="1:8" x14ac:dyDescent="0.45">
      <c r="A1406" t="s">
        <v>81</v>
      </c>
      <c r="B1406" t="s">
        <v>20</v>
      </c>
      <c r="C1406">
        <v>8</v>
      </c>
      <c r="D1406" t="s">
        <v>31</v>
      </c>
      <c r="H1406">
        <v>18</v>
      </c>
    </row>
    <row r="1407" spans="1:8" x14ac:dyDescent="0.45">
      <c r="A1407" t="s">
        <v>81</v>
      </c>
      <c r="B1407" t="s">
        <v>20</v>
      </c>
      <c r="C1407">
        <v>8</v>
      </c>
      <c r="D1407" t="s">
        <v>32</v>
      </c>
      <c r="H1407">
        <v>4</v>
      </c>
    </row>
    <row r="1408" spans="1:8" x14ac:dyDescent="0.45">
      <c r="A1408" t="s">
        <v>81</v>
      </c>
      <c r="B1408" t="s">
        <v>20</v>
      </c>
      <c r="C1408">
        <v>8</v>
      </c>
      <c r="D1408" t="s">
        <v>34</v>
      </c>
      <c r="H1408">
        <v>0</v>
      </c>
    </row>
    <row r="1409" spans="1:8" x14ac:dyDescent="0.45">
      <c r="A1409" t="s">
        <v>81</v>
      </c>
      <c r="B1409" t="s">
        <v>21</v>
      </c>
      <c r="C1409">
        <v>9</v>
      </c>
      <c r="D1409" t="s">
        <v>19</v>
      </c>
      <c r="E1409">
        <v>785536</v>
      </c>
      <c r="F1409">
        <v>1369</v>
      </c>
      <c r="G1409">
        <v>419</v>
      </c>
    </row>
    <row r="1410" spans="1:8" x14ac:dyDescent="0.45">
      <c r="A1410" t="s">
        <v>81</v>
      </c>
      <c r="B1410" t="s">
        <v>21</v>
      </c>
      <c r="C1410">
        <v>9</v>
      </c>
      <c r="D1410" t="s">
        <v>27</v>
      </c>
      <c r="F1410">
        <v>461</v>
      </c>
    </row>
    <row r="1411" spans="1:8" x14ac:dyDescent="0.45">
      <c r="A1411" t="s">
        <v>81</v>
      </c>
      <c r="B1411" t="s">
        <v>21</v>
      </c>
      <c r="C1411">
        <v>9</v>
      </c>
      <c r="D1411" t="s">
        <v>28</v>
      </c>
      <c r="F1411">
        <v>280</v>
      </c>
    </row>
    <row r="1412" spans="1:8" x14ac:dyDescent="0.45">
      <c r="A1412" t="s">
        <v>81</v>
      </c>
      <c r="B1412" t="s">
        <v>21</v>
      </c>
      <c r="C1412">
        <v>9</v>
      </c>
      <c r="D1412" t="s">
        <v>29</v>
      </c>
      <c r="F1412">
        <v>203</v>
      </c>
    </row>
    <row r="1413" spans="1:8" x14ac:dyDescent="0.45">
      <c r="A1413" t="s">
        <v>81</v>
      </c>
      <c r="B1413" t="s">
        <v>20</v>
      </c>
      <c r="C1413">
        <v>9</v>
      </c>
      <c r="D1413" t="s">
        <v>19</v>
      </c>
      <c r="E1413">
        <v>880828</v>
      </c>
      <c r="F1413">
        <v>1250</v>
      </c>
      <c r="G1413">
        <v>405</v>
      </c>
    </row>
    <row r="1414" spans="1:8" x14ac:dyDescent="0.45">
      <c r="A1414" t="s">
        <v>81</v>
      </c>
      <c r="B1414" t="s">
        <v>20</v>
      </c>
      <c r="C1414">
        <v>9</v>
      </c>
      <c r="D1414" t="s">
        <v>27</v>
      </c>
      <c r="F1414">
        <v>425</v>
      </c>
    </row>
    <row r="1415" spans="1:8" x14ac:dyDescent="0.45">
      <c r="A1415" t="s">
        <v>81</v>
      </c>
      <c r="B1415" t="s">
        <v>20</v>
      </c>
      <c r="C1415">
        <v>9</v>
      </c>
      <c r="D1415" t="s">
        <v>28</v>
      </c>
      <c r="F1415">
        <v>257</v>
      </c>
    </row>
    <row r="1416" spans="1:8" x14ac:dyDescent="0.45">
      <c r="A1416" t="s">
        <v>81</v>
      </c>
      <c r="B1416" t="s">
        <v>20</v>
      </c>
      <c r="C1416">
        <v>9</v>
      </c>
      <c r="D1416" t="s">
        <v>29</v>
      </c>
      <c r="F1416">
        <v>181</v>
      </c>
    </row>
    <row r="1417" spans="1:8" x14ac:dyDescent="0.45">
      <c r="A1417" t="s">
        <v>81</v>
      </c>
      <c r="B1417" t="s">
        <v>20</v>
      </c>
      <c r="C1417">
        <v>9</v>
      </c>
      <c r="D1417" t="s">
        <v>31</v>
      </c>
      <c r="H1417">
        <v>105</v>
      </c>
    </row>
    <row r="1418" spans="1:8" x14ac:dyDescent="0.45">
      <c r="A1418" t="s">
        <v>81</v>
      </c>
      <c r="B1418" t="s">
        <v>20</v>
      </c>
      <c r="C1418">
        <v>9</v>
      </c>
      <c r="D1418" t="s">
        <v>32</v>
      </c>
      <c r="H1418">
        <v>5</v>
      </c>
    </row>
    <row r="1419" spans="1:8" x14ac:dyDescent="0.45">
      <c r="A1419" t="s">
        <v>81</v>
      </c>
      <c r="B1419" t="s">
        <v>20</v>
      </c>
      <c r="C1419">
        <v>9</v>
      </c>
      <c r="D1419" t="s">
        <v>34</v>
      </c>
      <c r="H1419">
        <v>1</v>
      </c>
    </row>
    <row r="1420" spans="1:8" x14ac:dyDescent="0.45">
      <c r="A1420" t="s">
        <v>81</v>
      </c>
      <c r="B1420" t="s">
        <v>21</v>
      </c>
      <c r="C1420">
        <v>10</v>
      </c>
      <c r="D1420" t="s">
        <v>19</v>
      </c>
      <c r="E1420">
        <v>1378476</v>
      </c>
      <c r="F1420">
        <v>2307</v>
      </c>
      <c r="G1420">
        <v>617</v>
      </c>
    </row>
    <row r="1421" spans="1:8" x14ac:dyDescent="0.45">
      <c r="A1421" t="s">
        <v>81</v>
      </c>
      <c r="B1421" t="s">
        <v>21</v>
      </c>
      <c r="C1421">
        <v>10</v>
      </c>
      <c r="D1421" t="s">
        <v>27</v>
      </c>
      <c r="F1421">
        <v>607</v>
      </c>
    </row>
    <row r="1422" spans="1:8" x14ac:dyDescent="0.45">
      <c r="A1422" t="s">
        <v>81</v>
      </c>
      <c r="B1422" t="s">
        <v>21</v>
      </c>
      <c r="C1422">
        <v>10</v>
      </c>
      <c r="D1422" t="s">
        <v>28</v>
      </c>
      <c r="F1422">
        <v>450</v>
      </c>
    </row>
    <row r="1423" spans="1:8" x14ac:dyDescent="0.45">
      <c r="A1423" t="s">
        <v>81</v>
      </c>
      <c r="B1423" t="s">
        <v>21</v>
      </c>
      <c r="C1423">
        <v>10</v>
      </c>
      <c r="D1423" t="s">
        <v>29</v>
      </c>
      <c r="F1423">
        <v>344</v>
      </c>
    </row>
    <row r="1424" spans="1:8" x14ac:dyDescent="0.45">
      <c r="A1424" t="s">
        <v>81</v>
      </c>
      <c r="B1424" t="s">
        <v>20</v>
      </c>
      <c r="C1424">
        <v>10</v>
      </c>
      <c r="D1424" t="s">
        <v>19</v>
      </c>
      <c r="E1424">
        <v>1265325</v>
      </c>
      <c r="F1424">
        <v>1889</v>
      </c>
      <c r="G1424">
        <v>570</v>
      </c>
    </row>
    <row r="1425" spans="1:8" x14ac:dyDescent="0.45">
      <c r="A1425" t="s">
        <v>81</v>
      </c>
      <c r="B1425" t="s">
        <v>20</v>
      </c>
      <c r="C1425">
        <v>10</v>
      </c>
      <c r="D1425" t="s">
        <v>27</v>
      </c>
      <c r="F1425">
        <v>523</v>
      </c>
    </row>
    <row r="1426" spans="1:8" x14ac:dyDescent="0.45">
      <c r="A1426" t="s">
        <v>81</v>
      </c>
      <c r="B1426" t="s">
        <v>20</v>
      </c>
      <c r="C1426">
        <v>10</v>
      </c>
      <c r="D1426" t="s">
        <v>28</v>
      </c>
      <c r="F1426">
        <v>369</v>
      </c>
    </row>
    <row r="1427" spans="1:8" x14ac:dyDescent="0.45">
      <c r="A1427" t="s">
        <v>81</v>
      </c>
      <c r="B1427" t="s">
        <v>20</v>
      </c>
      <c r="C1427">
        <v>10</v>
      </c>
      <c r="D1427" t="s">
        <v>29</v>
      </c>
      <c r="F1427">
        <v>305</v>
      </c>
    </row>
    <row r="1428" spans="1:8" x14ac:dyDescent="0.45">
      <c r="A1428" t="s">
        <v>81</v>
      </c>
      <c r="B1428" t="s">
        <v>20</v>
      </c>
      <c r="C1428">
        <v>10</v>
      </c>
      <c r="D1428" t="s">
        <v>31</v>
      </c>
      <c r="H1428">
        <v>90</v>
      </c>
    </row>
    <row r="1429" spans="1:8" x14ac:dyDescent="0.45">
      <c r="A1429" t="s">
        <v>81</v>
      </c>
      <c r="B1429" t="s">
        <v>20</v>
      </c>
      <c r="C1429">
        <v>10</v>
      </c>
      <c r="D1429" t="s">
        <v>32</v>
      </c>
      <c r="H1429">
        <v>10</v>
      </c>
    </row>
    <row r="1430" spans="1:8" x14ac:dyDescent="0.45">
      <c r="A1430" t="s">
        <v>81</v>
      </c>
      <c r="B1430" t="s">
        <v>20</v>
      </c>
      <c r="C1430">
        <v>10</v>
      </c>
      <c r="D1430" t="s">
        <v>34</v>
      </c>
      <c r="H1430">
        <v>3</v>
      </c>
    </row>
    <row r="1431" spans="1:8" x14ac:dyDescent="0.45">
      <c r="A1431" t="s">
        <v>81</v>
      </c>
      <c r="B1431" t="s">
        <v>21</v>
      </c>
      <c r="C1431">
        <v>11</v>
      </c>
      <c r="D1431" t="s">
        <v>19</v>
      </c>
      <c r="E1431">
        <v>1041030</v>
      </c>
      <c r="F1431">
        <v>1692</v>
      </c>
      <c r="G1431">
        <v>528</v>
      </c>
    </row>
    <row r="1432" spans="1:8" x14ac:dyDescent="0.45">
      <c r="A1432" t="s">
        <v>81</v>
      </c>
      <c r="B1432" t="s">
        <v>21</v>
      </c>
      <c r="C1432">
        <v>11</v>
      </c>
      <c r="D1432" t="s">
        <v>27</v>
      </c>
      <c r="F1432">
        <v>553</v>
      </c>
    </row>
    <row r="1433" spans="1:8" x14ac:dyDescent="0.45">
      <c r="A1433" t="s">
        <v>81</v>
      </c>
      <c r="B1433" t="s">
        <v>21</v>
      </c>
      <c r="C1433">
        <v>11</v>
      </c>
      <c r="D1433" t="s">
        <v>28</v>
      </c>
      <c r="F1433">
        <v>332</v>
      </c>
    </row>
    <row r="1434" spans="1:8" x14ac:dyDescent="0.45">
      <c r="A1434" t="s">
        <v>81</v>
      </c>
      <c r="B1434" t="s">
        <v>21</v>
      </c>
      <c r="C1434">
        <v>11</v>
      </c>
      <c r="D1434" t="s">
        <v>29</v>
      </c>
      <c r="F1434">
        <v>278</v>
      </c>
    </row>
    <row r="1435" spans="1:8" x14ac:dyDescent="0.45">
      <c r="A1435" t="s">
        <v>81</v>
      </c>
      <c r="B1435" t="s">
        <v>20</v>
      </c>
      <c r="C1435">
        <v>11</v>
      </c>
      <c r="D1435" t="s">
        <v>19</v>
      </c>
      <c r="E1435">
        <v>1057308</v>
      </c>
      <c r="F1435">
        <v>1706</v>
      </c>
      <c r="G1435">
        <v>521</v>
      </c>
    </row>
    <row r="1436" spans="1:8" x14ac:dyDescent="0.45">
      <c r="A1436" t="s">
        <v>81</v>
      </c>
      <c r="B1436" t="s">
        <v>20</v>
      </c>
      <c r="C1436">
        <v>11</v>
      </c>
      <c r="D1436" t="s">
        <v>27</v>
      </c>
      <c r="F1436">
        <v>443</v>
      </c>
    </row>
    <row r="1437" spans="1:8" x14ac:dyDescent="0.45">
      <c r="A1437" t="s">
        <v>81</v>
      </c>
      <c r="B1437" t="s">
        <v>20</v>
      </c>
      <c r="C1437">
        <v>11</v>
      </c>
      <c r="D1437" t="s">
        <v>28</v>
      </c>
      <c r="F1437">
        <v>368</v>
      </c>
    </row>
    <row r="1438" spans="1:8" x14ac:dyDescent="0.45">
      <c r="A1438" t="s">
        <v>81</v>
      </c>
      <c r="B1438" t="s">
        <v>20</v>
      </c>
      <c r="C1438">
        <v>11</v>
      </c>
      <c r="D1438" t="s">
        <v>29</v>
      </c>
      <c r="F1438">
        <v>271</v>
      </c>
    </row>
    <row r="1439" spans="1:8" x14ac:dyDescent="0.45">
      <c r="A1439" t="s">
        <v>81</v>
      </c>
      <c r="B1439" t="s">
        <v>20</v>
      </c>
      <c r="C1439">
        <v>11</v>
      </c>
      <c r="D1439" t="s">
        <v>31</v>
      </c>
      <c r="H1439">
        <v>206</v>
      </c>
    </row>
    <row r="1440" spans="1:8" x14ac:dyDescent="0.45">
      <c r="A1440" t="s">
        <v>81</v>
      </c>
      <c r="B1440" t="s">
        <v>20</v>
      </c>
      <c r="C1440">
        <v>11</v>
      </c>
      <c r="D1440" t="s">
        <v>32</v>
      </c>
      <c r="H1440">
        <v>12</v>
      </c>
    </row>
    <row r="1441" spans="1:8" x14ac:dyDescent="0.45">
      <c r="A1441" t="s">
        <v>81</v>
      </c>
      <c r="B1441" t="s">
        <v>20</v>
      </c>
      <c r="C1441">
        <v>11</v>
      </c>
      <c r="D1441" t="s">
        <v>34</v>
      </c>
      <c r="H1441">
        <v>2</v>
      </c>
    </row>
    <row r="1442" spans="1:8" x14ac:dyDescent="0.45">
      <c r="A1442" t="s">
        <v>81</v>
      </c>
      <c r="B1442" t="s">
        <v>21</v>
      </c>
      <c r="C1442">
        <v>12</v>
      </c>
      <c r="D1442" t="s">
        <v>19</v>
      </c>
      <c r="E1442">
        <v>1157494</v>
      </c>
      <c r="F1442">
        <v>1903</v>
      </c>
      <c r="G1442">
        <v>556</v>
      </c>
    </row>
    <row r="1443" spans="1:8" x14ac:dyDescent="0.45">
      <c r="A1443" t="s">
        <v>81</v>
      </c>
      <c r="B1443" t="s">
        <v>21</v>
      </c>
      <c r="C1443">
        <v>12</v>
      </c>
      <c r="D1443" t="s">
        <v>27</v>
      </c>
      <c r="F1443">
        <v>523</v>
      </c>
    </row>
    <row r="1444" spans="1:8" x14ac:dyDescent="0.45">
      <c r="A1444" t="s">
        <v>81</v>
      </c>
      <c r="B1444" t="s">
        <v>21</v>
      </c>
      <c r="C1444">
        <v>12</v>
      </c>
      <c r="D1444" t="s">
        <v>28</v>
      </c>
      <c r="F1444">
        <v>366</v>
      </c>
    </row>
    <row r="1445" spans="1:8" x14ac:dyDescent="0.45">
      <c r="A1445" t="s">
        <v>81</v>
      </c>
      <c r="B1445" t="s">
        <v>21</v>
      </c>
      <c r="C1445">
        <v>12</v>
      </c>
      <c r="D1445" t="s">
        <v>29</v>
      </c>
      <c r="F1445">
        <v>348</v>
      </c>
    </row>
    <row r="1446" spans="1:8" x14ac:dyDescent="0.45">
      <c r="A1446" t="s">
        <v>81</v>
      </c>
      <c r="B1446" t="s">
        <v>20</v>
      </c>
      <c r="C1446">
        <v>12</v>
      </c>
      <c r="D1446" t="s">
        <v>19</v>
      </c>
      <c r="E1446">
        <v>896537</v>
      </c>
      <c r="F1446">
        <v>1417</v>
      </c>
      <c r="G1446">
        <v>441</v>
      </c>
    </row>
    <row r="1447" spans="1:8" x14ac:dyDescent="0.45">
      <c r="A1447" t="s">
        <v>81</v>
      </c>
      <c r="B1447" t="s">
        <v>20</v>
      </c>
      <c r="C1447">
        <v>12</v>
      </c>
      <c r="D1447" t="s">
        <v>27</v>
      </c>
      <c r="F1447">
        <v>397</v>
      </c>
    </row>
    <row r="1448" spans="1:8" x14ac:dyDescent="0.45">
      <c r="A1448" t="s">
        <v>81</v>
      </c>
      <c r="B1448" t="s">
        <v>20</v>
      </c>
      <c r="C1448">
        <v>12</v>
      </c>
      <c r="D1448" t="s">
        <v>28</v>
      </c>
      <c r="F1448">
        <v>280</v>
      </c>
    </row>
    <row r="1449" spans="1:8" x14ac:dyDescent="0.45">
      <c r="A1449" t="s">
        <v>81</v>
      </c>
      <c r="B1449" t="s">
        <v>20</v>
      </c>
      <c r="C1449">
        <v>12</v>
      </c>
      <c r="D1449" t="s">
        <v>29</v>
      </c>
      <c r="F1449">
        <v>237</v>
      </c>
    </row>
    <row r="1450" spans="1:8" x14ac:dyDescent="0.45">
      <c r="A1450" t="s">
        <v>81</v>
      </c>
      <c r="B1450" t="s">
        <v>20</v>
      </c>
      <c r="C1450">
        <v>12</v>
      </c>
      <c r="D1450" t="s">
        <v>31</v>
      </c>
      <c r="H1450">
        <v>76</v>
      </c>
    </row>
    <row r="1451" spans="1:8" x14ac:dyDescent="0.45">
      <c r="A1451" t="s">
        <v>81</v>
      </c>
      <c r="B1451" t="s">
        <v>20</v>
      </c>
      <c r="C1451">
        <v>12</v>
      </c>
      <c r="D1451" t="s">
        <v>32</v>
      </c>
      <c r="H1451">
        <v>5</v>
      </c>
    </row>
    <row r="1452" spans="1:8" x14ac:dyDescent="0.45">
      <c r="A1452" t="s">
        <v>81</v>
      </c>
      <c r="B1452" t="s">
        <v>20</v>
      </c>
      <c r="C1452">
        <v>12</v>
      </c>
      <c r="D1452" t="s">
        <v>34</v>
      </c>
      <c r="H1452">
        <v>3</v>
      </c>
    </row>
    <row r="1453" spans="1:8" x14ac:dyDescent="0.45">
      <c r="A1453" t="s">
        <v>72</v>
      </c>
      <c r="B1453" t="s">
        <v>21</v>
      </c>
      <c r="C1453">
        <v>1</v>
      </c>
      <c r="D1453" t="s">
        <v>19</v>
      </c>
      <c r="E1453">
        <v>977893</v>
      </c>
      <c r="F1453">
        <v>1976</v>
      </c>
      <c r="G1453">
        <v>554</v>
      </c>
    </row>
    <row r="1454" spans="1:8" x14ac:dyDescent="0.45">
      <c r="A1454" t="s">
        <v>72</v>
      </c>
      <c r="B1454" t="s">
        <v>21</v>
      </c>
      <c r="C1454">
        <v>1</v>
      </c>
      <c r="D1454" t="s">
        <v>27</v>
      </c>
      <c r="F1454">
        <v>645</v>
      </c>
    </row>
    <row r="1455" spans="1:8" x14ac:dyDescent="0.45">
      <c r="A1455" t="s">
        <v>72</v>
      </c>
      <c r="B1455" t="s">
        <v>21</v>
      </c>
      <c r="C1455">
        <v>1</v>
      </c>
      <c r="D1455" t="s">
        <v>28</v>
      </c>
      <c r="F1455">
        <v>401</v>
      </c>
    </row>
    <row r="1456" spans="1:8" x14ac:dyDescent="0.45">
      <c r="A1456" t="s">
        <v>72</v>
      </c>
      <c r="B1456" t="s">
        <v>21</v>
      </c>
      <c r="C1456">
        <v>1</v>
      </c>
      <c r="D1456" t="s">
        <v>29</v>
      </c>
      <c r="F1456">
        <v>326</v>
      </c>
    </row>
    <row r="1457" spans="1:8" x14ac:dyDescent="0.45">
      <c r="A1457" t="s">
        <v>72</v>
      </c>
      <c r="B1457" t="s">
        <v>20</v>
      </c>
      <c r="C1457">
        <v>1</v>
      </c>
      <c r="D1457" t="s">
        <v>19</v>
      </c>
      <c r="E1457">
        <v>1073017</v>
      </c>
      <c r="F1457">
        <v>1872</v>
      </c>
      <c r="G1457">
        <v>548</v>
      </c>
    </row>
    <row r="1458" spans="1:8" x14ac:dyDescent="0.45">
      <c r="A1458" t="s">
        <v>72</v>
      </c>
      <c r="B1458" t="s">
        <v>20</v>
      </c>
      <c r="C1458">
        <v>1</v>
      </c>
      <c r="D1458" t="s">
        <v>27</v>
      </c>
      <c r="F1458">
        <v>586</v>
      </c>
    </row>
    <row r="1459" spans="1:8" x14ac:dyDescent="0.45">
      <c r="A1459" t="s">
        <v>72</v>
      </c>
      <c r="B1459" t="s">
        <v>20</v>
      </c>
      <c r="C1459">
        <v>1</v>
      </c>
      <c r="D1459" t="s">
        <v>28</v>
      </c>
      <c r="F1459">
        <v>370</v>
      </c>
    </row>
    <row r="1460" spans="1:8" x14ac:dyDescent="0.45">
      <c r="A1460" t="s">
        <v>72</v>
      </c>
      <c r="B1460" t="s">
        <v>20</v>
      </c>
      <c r="C1460">
        <v>1</v>
      </c>
      <c r="D1460" t="s">
        <v>29</v>
      </c>
      <c r="F1460">
        <v>313</v>
      </c>
    </row>
    <row r="1461" spans="1:8" x14ac:dyDescent="0.45">
      <c r="A1461" t="s">
        <v>72</v>
      </c>
      <c r="B1461" t="s">
        <v>20</v>
      </c>
      <c r="C1461">
        <v>1</v>
      </c>
      <c r="D1461" t="s">
        <v>31</v>
      </c>
      <c r="H1461">
        <v>124</v>
      </c>
    </row>
    <row r="1462" spans="1:8" x14ac:dyDescent="0.45">
      <c r="A1462" t="s">
        <v>72</v>
      </c>
      <c r="B1462" t="s">
        <v>20</v>
      </c>
      <c r="C1462">
        <v>1</v>
      </c>
      <c r="D1462" t="s">
        <v>32</v>
      </c>
      <c r="H1462">
        <v>12</v>
      </c>
    </row>
    <row r="1463" spans="1:8" x14ac:dyDescent="0.45">
      <c r="A1463" t="s">
        <v>72</v>
      </c>
      <c r="B1463" t="s">
        <v>20</v>
      </c>
      <c r="C1463">
        <v>1</v>
      </c>
      <c r="D1463" t="s">
        <v>34</v>
      </c>
    </row>
    <row r="1464" spans="1:8" x14ac:dyDescent="0.45">
      <c r="A1464" t="s">
        <v>72</v>
      </c>
      <c r="B1464" t="s">
        <v>21</v>
      </c>
      <c r="C1464">
        <v>2</v>
      </c>
      <c r="D1464" t="s">
        <v>19</v>
      </c>
      <c r="E1464">
        <v>885171</v>
      </c>
      <c r="F1464">
        <v>1644</v>
      </c>
      <c r="G1464">
        <v>518</v>
      </c>
    </row>
    <row r="1465" spans="1:8" x14ac:dyDescent="0.45">
      <c r="A1465" t="s">
        <v>72</v>
      </c>
      <c r="B1465" t="s">
        <v>21</v>
      </c>
      <c r="C1465">
        <v>2</v>
      </c>
      <c r="D1465" t="s">
        <v>27</v>
      </c>
      <c r="F1465">
        <v>592</v>
      </c>
    </row>
    <row r="1466" spans="1:8" x14ac:dyDescent="0.45">
      <c r="A1466" t="s">
        <v>72</v>
      </c>
      <c r="B1466" t="s">
        <v>21</v>
      </c>
      <c r="C1466">
        <v>2</v>
      </c>
      <c r="D1466" t="s">
        <v>28</v>
      </c>
      <c r="F1466">
        <v>305</v>
      </c>
    </row>
    <row r="1467" spans="1:8" x14ac:dyDescent="0.45">
      <c r="A1467" t="s">
        <v>72</v>
      </c>
      <c r="B1467" t="s">
        <v>21</v>
      </c>
      <c r="C1467">
        <v>2</v>
      </c>
      <c r="D1467" t="s">
        <v>29</v>
      </c>
      <c r="F1467">
        <v>252</v>
      </c>
    </row>
    <row r="1468" spans="1:8" x14ac:dyDescent="0.45">
      <c r="A1468" t="s">
        <v>72</v>
      </c>
      <c r="B1468" t="s">
        <v>20</v>
      </c>
      <c r="C1468">
        <v>2</v>
      </c>
      <c r="D1468" t="s">
        <v>19</v>
      </c>
      <c r="E1468">
        <v>841277</v>
      </c>
      <c r="F1468">
        <v>1605</v>
      </c>
      <c r="G1468">
        <v>482</v>
      </c>
    </row>
    <row r="1469" spans="1:8" x14ac:dyDescent="0.45">
      <c r="A1469" t="s">
        <v>72</v>
      </c>
      <c r="B1469" t="s">
        <v>20</v>
      </c>
      <c r="C1469">
        <v>2</v>
      </c>
      <c r="D1469" t="s">
        <v>27</v>
      </c>
      <c r="F1469">
        <v>543</v>
      </c>
    </row>
    <row r="1470" spans="1:8" x14ac:dyDescent="0.45">
      <c r="A1470" t="s">
        <v>72</v>
      </c>
      <c r="B1470" t="s">
        <v>20</v>
      </c>
      <c r="C1470">
        <v>2</v>
      </c>
      <c r="D1470" t="s">
        <v>28</v>
      </c>
      <c r="F1470">
        <v>310</v>
      </c>
    </row>
    <row r="1471" spans="1:8" x14ac:dyDescent="0.45">
      <c r="A1471" t="s">
        <v>72</v>
      </c>
      <c r="B1471" t="s">
        <v>20</v>
      </c>
      <c r="C1471">
        <v>2</v>
      </c>
      <c r="D1471" t="s">
        <v>29</v>
      </c>
      <c r="F1471">
        <v>250</v>
      </c>
    </row>
    <row r="1472" spans="1:8" x14ac:dyDescent="0.45">
      <c r="A1472" t="s">
        <v>72</v>
      </c>
      <c r="B1472" t="s">
        <v>20</v>
      </c>
      <c r="C1472">
        <v>2</v>
      </c>
      <c r="D1472" t="s">
        <v>31</v>
      </c>
      <c r="H1472">
        <v>93</v>
      </c>
    </row>
    <row r="1473" spans="1:8" x14ac:dyDescent="0.45">
      <c r="A1473" t="s">
        <v>72</v>
      </c>
      <c r="B1473" t="s">
        <v>20</v>
      </c>
      <c r="C1473">
        <v>2</v>
      </c>
      <c r="D1473" t="s">
        <v>32</v>
      </c>
      <c r="H1473">
        <v>10</v>
      </c>
    </row>
    <row r="1474" spans="1:8" x14ac:dyDescent="0.45">
      <c r="A1474" t="s">
        <v>72</v>
      </c>
      <c r="B1474" t="s">
        <v>20</v>
      </c>
      <c r="C1474">
        <v>2</v>
      </c>
      <c r="D1474" t="s">
        <v>34</v>
      </c>
      <c r="H1474">
        <v>5</v>
      </c>
    </row>
    <row r="1475" spans="1:8" x14ac:dyDescent="0.45">
      <c r="A1475" t="s">
        <v>72</v>
      </c>
      <c r="B1475" t="s">
        <v>21</v>
      </c>
      <c r="C1475">
        <v>3</v>
      </c>
      <c r="D1475" t="s">
        <v>19</v>
      </c>
      <c r="E1475">
        <v>2443370</v>
      </c>
      <c r="F1475">
        <v>3784</v>
      </c>
    </row>
    <row r="1476" spans="1:8" x14ac:dyDescent="0.45">
      <c r="A1476" t="s">
        <v>72</v>
      </c>
      <c r="B1476" t="s">
        <v>21</v>
      </c>
      <c r="C1476">
        <v>3</v>
      </c>
      <c r="D1476" t="s">
        <v>27</v>
      </c>
      <c r="F1476">
        <v>845</v>
      </c>
    </row>
    <row r="1477" spans="1:8" x14ac:dyDescent="0.45">
      <c r="A1477" t="s">
        <v>72</v>
      </c>
      <c r="B1477" t="s">
        <v>21</v>
      </c>
      <c r="C1477">
        <v>3</v>
      </c>
      <c r="D1477" t="s">
        <v>28</v>
      </c>
      <c r="F1477">
        <v>620</v>
      </c>
    </row>
    <row r="1478" spans="1:8" x14ac:dyDescent="0.45">
      <c r="A1478" t="s">
        <v>72</v>
      </c>
      <c r="B1478" t="s">
        <v>21</v>
      </c>
      <c r="C1478">
        <v>3</v>
      </c>
      <c r="D1478" t="s">
        <v>29</v>
      </c>
      <c r="F1478">
        <v>625</v>
      </c>
    </row>
    <row r="1479" spans="1:8" x14ac:dyDescent="0.45">
      <c r="A1479" t="s">
        <v>72</v>
      </c>
      <c r="B1479" t="s">
        <v>20</v>
      </c>
      <c r="C1479">
        <v>3</v>
      </c>
      <c r="D1479" t="s">
        <v>19</v>
      </c>
      <c r="E1479">
        <v>1662459</v>
      </c>
      <c r="F1479">
        <v>2702</v>
      </c>
      <c r="G1479">
        <v>808</v>
      </c>
    </row>
    <row r="1480" spans="1:8" x14ac:dyDescent="0.45">
      <c r="A1480" t="s">
        <v>72</v>
      </c>
      <c r="B1480" t="s">
        <v>20</v>
      </c>
      <c r="C1480">
        <v>3</v>
      </c>
      <c r="D1480" t="s">
        <v>27</v>
      </c>
      <c r="F1480">
        <v>675</v>
      </c>
    </row>
    <row r="1481" spans="1:8" x14ac:dyDescent="0.45">
      <c r="A1481" t="s">
        <v>72</v>
      </c>
      <c r="B1481" t="s">
        <v>20</v>
      </c>
      <c r="C1481">
        <v>3</v>
      </c>
      <c r="D1481" t="s">
        <v>28</v>
      </c>
      <c r="F1481">
        <v>488</v>
      </c>
    </row>
    <row r="1482" spans="1:8" x14ac:dyDescent="0.45">
      <c r="A1482" t="s">
        <v>72</v>
      </c>
      <c r="B1482" t="s">
        <v>20</v>
      </c>
      <c r="C1482">
        <v>3</v>
      </c>
      <c r="D1482" t="s">
        <v>29</v>
      </c>
      <c r="F1482">
        <v>508</v>
      </c>
    </row>
    <row r="1483" spans="1:8" x14ac:dyDescent="0.45">
      <c r="A1483" t="s">
        <v>72</v>
      </c>
      <c r="B1483" t="s">
        <v>20</v>
      </c>
      <c r="C1483">
        <v>3</v>
      </c>
      <c r="D1483" t="s">
        <v>31</v>
      </c>
      <c r="H1483">
        <v>153</v>
      </c>
    </row>
    <row r="1484" spans="1:8" x14ac:dyDescent="0.45">
      <c r="A1484" t="s">
        <v>72</v>
      </c>
      <c r="B1484" t="s">
        <v>20</v>
      </c>
      <c r="C1484">
        <v>3</v>
      </c>
      <c r="D1484" t="s">
        <v>32</v>
      </c>
      <c r="H1484">
        <v>7</v>
      </c>
    </row>
    <row r="1485" spans="1:8" x14ac:dyDescent="0.45">
      <c r="A1485" t="s">
        <v>72</v>
      </c>
      <c r="B1485" t="s">
        <v>20</v>
      </c>
      <c r="C1485">
        <v>3</v>
      </c>
      <c r="D1485" t="s">
        <v>34</v>
      </c>
      <c r="H1485">
        <v>9</v>
      </c>
    </row>
    <row r="1486" spans="1:8" x14ac:dyDescent="0.45">
      <c r="A1486" t="s">
        <v>72</v>
      </c>
      <c r="B1486" t="s">
        <v>21</v>
      </c>
      <c r="C1486">
        <v>4</v>
      </c>
      <c r="D1486" t="s">
        <v>19</v>
      </c>
      <c r="E1486">
        <v>2688081</v>
      </c>
      <c r="F1486">
        <v>3994</v>
      </c>
      <c r="H1486">
        <v>79</v>
      </c>
    </row>
    <row r="1487" spans="1:8" x14ac:dyDescent="0.45">
      <c r="A1487" t="s">
        <v>72</v>
      </c>
      <c r="B1487" t="s">
        <v>21</v>
      </c>
      <c r="C1487">
        <v>4</v>
      </c>
      <c r="D1487" t="s">
        <v>27</v>
      </c>
      <c r="F1487">
        <v>803</v>
      </c>
    </row>
    <row r="1488" spans="1:8" x14ac:dyDescent="0.45">
      <c r="A1488" t="s">
        <v>72</v>
      </c>
      <c r="B1488" t="s">
        <v>21</v>
      </c>
      <c r="C1488">
        <v>4</v>
      </c>
      <c r="D1488" t="s">
        <v>28</v>
      </c>
      <c r="F1488">
        <v>612</v>
      </c>
    </row>
    <row r="1489" spans="1:8" x14ac:dyDescent="0.45">
      <c r="A1489" t="s">
        <v>72</v>
      </c>
      <c r="B1489" t="s">
        <v>21</v>
      </c>
      <c r="C1489">
        <v>4</v>
      </c>
      <c r="D1489" t="s">
        <v>29</v>
      </c>
      <c r="F1489">
        <v>641</v>
      </c>
    </row>
    <row r="1490" spans="1:8" x14ac:dyDescent="0.45">
      <c r="A1490" t="s">
        <v>72</v>
      </c>
      <c r="B1490" t="s">
        <v>20</v>
      </c>
      <c r="C1490">
        <v>4</v>
      </c>
      <c r="D1490" t="s">
        <v>19</v>
      </c>
      <c r="E1490">
        <v>2789795</v>
      </c>
      <c r="F1490">
        <v>4207</v>
      </c>
      <c r="G1490">
        <v>1063</v>
      </c>
    </row>
    <row r="1491" spans="1:8" x14ac:dyDescent="0.45">
      <c r="A1491" t="s">
        <v>72</v>
      </c>
      <c r="B1491" t="s">
        <v>20</v>
      </c>
      <c r="C1491">
        <v>4</v>
      </c>
      <c r="D1491" t="s">
        <v>27</v>
      </c>
      <c r="F1491">
        <v>754</v>
      </c>
    </row>
    <row r="1492" spans="1:8" x14ac:dyDescent="0.45">
      <c r="A1492" t="s">
        <v>72</v>
      </c>
      <c r="B1492" t="s">
        <v>20</v>
      </c>
      <c r="C1492">
        <v>4</v>
      </c>
      <c r="D1492" t="s">
        <v>28</v>
      </c>
      <c r="F1492">
        <v>671</v>
      </c>
    </row>
    <row r="1493" spans="1:8" x14ac:dyDescent="0.45">
      <c r="A1493" t="s">
        <v>72</v>
      </c>
      <c r="B1493" t="s">
        <v>20</v>
      </c>
      <c r="C1493">
        <v>4</v>
      </c>
      <c r="D1493" t="s">
        <v>29</v>
      </c>
      <c r="F1493">
        <v>723</v>
      </c>
    </row>
    <row r="1494" spans="1:8" x14ac:dyDescent="0.45">
      <c r="A1494" t="s">
        <v>72</v>
      </c>
      <c r="B1494" t="s">
        <v>20</v>
      </c>
      <c r="C1494">
        <v>4</v>
      </c>
      <c r="D1494" t="s">
        <v>31</v>
      </c>
      <c r="H1494">
        <v>176</v>
      </c>
    </row>
    <row r="1495" spans="1:8" x14ac:dyDescent="0.45">
      <c r="A1495" t="s">
        <v>72</v>
      </c>
      <c r="B1495" t="s">
        <v>20</v>
      </c>
      <c r="C1495">
        <v>4</v>
      </c>
      <c r="D1495" t="s">
        <v>32</v>
      </c>
      <c r="H1495">
        <v>17</v>
      </c>
    </row>
    <row r="1496" spans="1:8" x14ac:dyDescent="0.45">
      <c r="A1496" t="s">
        <v>72</v>
      </c>
      <c r="B1496" t="s">
        <v>20</v>
      </c>
      <c r="C1496">
        <v>4</v>
      </c>
      <c r="D1496" t="s">
        <v>34</v>
      </c>
      <c r="H1496">
        <v>7</v>
      </c>
    </row>
    <row r="1497" spans="1:8" x14ac:dyDescent="0.45">
      <c r="A1497" t="s">
        <v>72</v>
      </c>
      <c r="B1497" t="s">
        <v>21</v>
      </c>
      <c r="C1497">
        <v>5</v>
      </c>
      <c r="D1497" t="s">
        <v>19</v>
      </c>
      <c r="E1497">
        <v>2173256</v>
      </c>
      <c r="F1497">
        <v>3260</v>
      </c>
      <c r="G1497">
        <v>915</v>
      </c>
    </row>
    <row r="1498" spans="1:8" x14ac:dyDescent="0.45">
      <c r="A1498" t="s">
        <v>72</v>
      </c>
      <c r="B1498" t="s">
        <v>21</v>
      </c>
      <c r="C1498">
        <v>5</v>
      </c>
      <c r="D1498" t="s">
        <v>27</v>
      </c>
      <c r="F1498">
        <v>719</v>
      </c>
    </row>
    <row r="1499" spans="1:8" x14ac:dyDescent="0.45">
      <c r="A1499" t="s">
        <v>72</v>
      </c>
      <c r="B1499" t="s">
        <v>21</v>
      </c>
      <c r="C1499">
        <v>5</v>
      </c>
      <c r="D1499" t="s">
        <v>28</v>
      </c>
      <c r="F1499">
        <v>539</v>
      </c>
    </row>
    <row r="1500" spans="1:8" x14ac:dyDescent="0.45">
      <c r="A1500" t="s">
        <v>72</v>
      </c>
      <c r="B1500" t="s">
        <v>21</v>
      </c>
      <c r="C1500">
        <v>5</v>
      </c>
      <c r="D1500" t="s">
        <v>29</v>
      </c>
      <c r="F1500">
        <v>501</v>
      </c>
    </row>
    <row r="1501" spans="1:8" x14ac:dyDescent="0.45">
      <c r="A1501" t="s">
        <v>72</v>
      </c>
      <c r="B1501" t="s">
        <v>20</v>
      </c>
      <c r="C1501">
        <v>5</v>
      </c>
      <c r="D1501" t="s">
        <v>19</v>
      </c>
      <c r="E1501">
        <v>1885437</v>
      </c>
      <c r="F1501">
        <v>2967</v>
      </c>
      <c r="H1501">
        <v>0</v>
      </c>
    </row>
    <row r="1502" spans="1:8" x14ac:dyDescent="0.45">
      <c r="A1502" t="s">
        <v>72</v>
      </c>
      <c r="B1502" t="s">
        <v>20</v>
      </c>
      <c r="C1502">
        <v>5</v>
      </c>
      <c r="D1502" t="s">
        <v>27</v>
      </c>
      <c r="F1502">
        <v>660</v>
      </c>
    </row>
    <row r="1503" spans="1:8" x14ac:dyDescent="0.45">
      <c r="A1503" t="s">
        <v>72</v>
      </c>
      <c r="B1503" t="s">
        <v>20</v>
      </c>
      <c r="C1503">
        <v>5</v>
      </c>
      <c r="D1503" t="s">
        <v>28</v>
      </c>
      <c r="F1503">
        <v>440</v>
      </c>
    </row>
    <row r="1504" spans="1:8" x14ac:dyDescent="0.45">
      <c r="A1504" t="s">
        <v>72</v>
      </c>
      <c r="B1504" t="s">
        <v>20</v>
      </c>
      <c r="C1504">
        <v>5</v>
      </c>
      <c r="D1504" t="s">
        <v>29</v>
      </c>
      <c r="F1504">
        <v>445</v>
      </c>
    </row>
    <row r="1505" spans="1:8" x14ac:dyDescent="0.45">
      <c r="A1505" t="s">
        <v>72</v>
      </c>
      <c r="B1505" t="s">
        <v>20</v>
      </c>
      <c r="C1505">
        <v>5</v>
      </c>
      <c r="D1505" t="s">
        <v>31</v>
      </c>
      <c r="H1505">
        <v>128</v>
      </c>
    </row>
    <row r="1506" spans="1:8" x14ac:dyDescent="0.45">
      <c r="A1506" t="s">
        <v>72</v>
      </c>
      <c r="B1506" t="s">
        <v>20</v>
      </c>
      <c r="C1506">
        <v>5</v>
      </c>
      <c r="D1506" t="s">
        <v>32</v>
      </c>
      <c r="H1506">
        <v>17</v>
      </c>
    </row>
    <row r="1507" spans="1:8" x14ac:dyDescent="0.45">
      <c r="A1507" t="s">
        <v>72</v>
      </c>
      <c r="B1507" t="s">
        <v>20</v>
      </c>
      <c r="C1507">
        <v>5</v>
      </c>
      <c r="D1507" t="s">
        <v>34</v>
      </c>
      <c r="H1507">
        <v>7</v>
      </c>
    </row>
    <row r="1508" spans="1:8" x14ac:dyDescent="0.45">
      <c r="A1508" t="s">
        <v>72</v>
      </c>
      <c r="B1508" t="s">
        <v>21</v>
      </c>
      <c r="C1508">
        <v>6</v>
      </c>
      <c r="D1508" t="s">
        <v>19</v>
      </c>
      <c r="E1508">
        <v>1925728</v>
      </c>
      <c r="F1508">
        <v>3108</v>
      </c>
    </row>
    <row r="1509" spans="1:8" x14ac:dyDescent="0.45">
      <c r="A1509" t="s">
        <v>72</v>
      </c>
      <c r="B1509" t="s">
        <v>21</v>
      </c>
      <c r="C1509">
        <v>6</v>
      </c>
      <c r="D1509" t="s">
        <v>27</v>
      </c>
      <c r="F1509">
        <v>802</v>
      </c>
    </row>
    <row r="1510" spans="1:8" x14ac:dyDescent="0.45">
      <c r="A1510" t="s">
        <v>72</v>
      </c>
      <c r="B1510" t="s">
        <v>21</v>
      </c>
      <c r="C1510">
        <v>6</v>
      </c>
      <c r="D1510" t="s">
        <v>28</v>
      </c>
      <c r="F1510">
        <v>529</v>
      </c>
    </row>
    <row r="1511" spans="1:8" x14ac:dyDescent="0.45">
      <c r="A1511" t="s">
        <v>72</v>
      </c>
      <c r="B1511" t="s">
        <v>21</v>
      </c>
      <c r="C1511">
        <v>6</v>
      </c>
      <c r="D1511" t="s">
        <v>29</v>
      </c>
      <c r="F1511">
        <v>533</v>
      </c>
    </row>
    <row r="1512" spans="1:8" x14ac:dyDescent="0.45">
      <c r="A1512" t="s">
        <v>72</v>
      </c>
      <c r="B1512" t="s">
        <v>20</v>
      </c>
      <c r="C1512">
        <v>6</v>
      </c>
      <c r="D1512" t="s">
        <v>19</v>
      </c>
      <c r="E1512">
        <v>1763690</v>
      </c>
      <c r="F1512">
        <v>2604</v>
      </c>
    </row>
    <row r="1513" spans="1:8" x14ac:dyDescent="0.45">
      <c r="A1513" t="s">
        <v>72</v>
      </c>
      <c r="B1513" t="s">
        <v>20</v>
      </c>
      <c r="C1513">
        <v>6</v>
      </c>
      <c r="D1513" t="s">
        <v>27</v>
      </c>
      <c r="F1513">
        <v>681</v>
      </c>
    </row>
    <row r="1514" spans="1:8" x14ac:dyDescent="0.45">
      <c r="A1514" t="s">
        <v>72</v>
      </c>
      <c r="B1514" t="s">
        <v>20</v>
      </c>
      <c r="C1514">
        <v>6</v>
      </c>
      <c r="D1514" t="s">
        <v>28</v>
      </c>
      <c r="F1514">
        <v>408</v>
      </c>
    </row>
    <row r="1515" spans="1:8" x14ac:dyDescent="0.45">
      <c r="A1515" t="s">
        <v>72</v>
      </c>
      <c r="B1515" t="s">
        <v>20</v>
      </c>
      <c r="C1515">
        <v>6</v>
      </c>
      <c r="D1515" t="s">
        <v>29</v>
      </c>
      <c r="F1515">
        <v>349</v>
      </c>
    </row>
    <row r="1516" spans="1:8" x14ac:dyDescent="0.45">
      <c r="A1516" t="s">
        <v>72</v>
      </c>
      <c r="B1516" t="s">
        <v>20</v>
      </c>
      <c r="C1516">
        <v>6</v>
      </c>
      <c r="D1516" t="s">
        <v>31</v>
      </c>
      <c r="H1516">
        <v>62</v>
      </c>
    </row>
    <row r="1517" spans="1:8" x14ac:dyDescent="0.45">
      <c r="A1517" t="s">
        <v>72</v>
      </c>
      <c r="B1517" t="s">
        <v>20</v>
      </c>
      <c r="C1517">
        <v>6</v>
      </c>
      <c r="D1517" t="s">
        <v>32</v>
      </c>
      <c r="H1517">
        <v>5</v>
      </c>
    </row>
    <row r="1518" spans="1:8" x14ac:dyDescent="0.45">
      <c r="A1518" t="s">
        <v>72</v>
      </c>
      <c r="B1518" t="s">
        <v>20</v>
      </c>
      <c r="C1518">
        <v>6</v>
      </c>
      <c r="D1518" t="s">
        <v>34</v>
      </c>
      <c r="H1518">
        <v>5</v>
      </c>
    </row>
    <row r="1519" spans="1:8" x14ac:dyDescent="0.45">
      <c r="A1519" t="s">
        <v>72</v>
      </c>
      <c r="B1519" t="s">
        <v>21</v>
      </c>
      <c r="C1519">
        <v>7</v>
      </c>
      <c r="D1519" t="s">
        <v>19</v>
      </c>
      <c r="E1519">
        <v>1544921</v>
      </c>
      <c r="F1519">
        <v>2656</v>
      </c>
      <c r="G1519">
        <v>788</v>
      </c>
    </row>
    <row r="1520" spans="1:8" x14ac:dyDescent="0.45">
      <c r="A1520" t="s">
        <v>72</v>
      </c>
      <c r="B1520" t="s">
        <v>21</v>
      </c>
      <c r="C1520">
        <v>7</v>
      </c>
      <c r="D1520" t="s">
        <v>27</v>
      </c>
      <c r="F1520">
        <v>807</v>
      </c>
    </row>
    <row r="1521" spans="1:8" x14ac:dyDescent="0.45">
      <c r="A1521" t="s">
        <v>72</v>
      </c>
      <c r="B1521" t="s">
        <v>21</v>
      </c>
      <c r="C1521">
        <v>7</v>
      </c>
      <c r="D1521" t="s">
        <v>28</v>
      </c>
      <c r="F1521">
        <v>488</v>
      </c>
    </row>
    <row r="1522" spans="1:8" x14ac:dyDescent="0.45">
      <c r="A1522" t="s">
        <v>72</v>
      </c>
      <c r="B1522" t="s">
        <v>21</v>
      </c>
      <c r="C1522">
        <v>7</v>
      </c>
      <c r="D1522" t="s">
        <v>29</v>
      </c>
      <c r="F1522">
        <v>385</v>
      </c>
    </row>
    <row r="1523" spans="1:8" x14ac:dyDescent="0.45">
      <c r="A1523" t="s">
        <v>72</v>
      </c>
      <c r="B1523" t="s">
        <v>20</v>
      </c>
      <c r="C1523">
        <v>7</v>
      </c>
      <c r="D1523" t="s">
        <v>19</v>
      </c>
      <c r="E1523">
        <v>1532597</v>
      </c>
      <c r="F1523">
        <v>2563</v>
      </c>
      <c r="G1523">
        <v>734</v>
      </c>
    </row>
    <row r="1524" spans="1:8" x14ac:dyDescent="0.45">
      <c r="A1524" t="s">
        <v>72</v>
      </c>
      <c r="B1524" t="s">
        <v>20</v>
      </c>
      <c r="C1524">
        <v>7</v>
      </c>
      <c r="D1524" t="s">
        <v>27</v>
      </c>
      <c r="F1524">
        <v>711</v>
      </c>
    </row>
    <row r="1525" spans="1:8" x14ac:dyDescent="0.45">
      <c r="A1525" t="s">
        <v>72</v>
      </c>
      <c r="B1525" t="s">
        <v>20</v>
      </c>
      <c r="C1525">
        <v>7</v>
      </c>
      <c r="D1525" t="s">
        <v>28</v>
      </c>
      <c r="F1525">
        <v>469</v>
      </c>
    </row>
    <row r="1526" spans="1:8" x14ac:dyDescent="0.45">
      <c r="A1526" t="s">
        <v>72</v>
      </c>
      <c r="B1526" t="s">
        <v>20</v>
      </c>
      <c r="C1526">
        <v>7</v>
      </c>
      <c r="D1526" t="s">
        <v>29</v>
      </c>
      <c r="F1526">
        <v>393</v>
      </c>
    </row>
    <row r="1527" spans="1:8" x14ac:dyDescent="0.45">
      <c r="A1527" t="s">
        <v>72</v>
      </c>
      <c r="B1527" t="s">
        <v>20</v>
      </c>
      <c r="C1527">
        <v>7</v>
      </c>
      <c r="D1527" t="s">
        <v>31</v>
      </c>
      <c r="H1527">
        <v>297</v>
      </c>
    </row>
    <row r="1528" spans="1:8" x14ac:dyDescent="0.45">
      <c r="A1528" t="s">
        <v>72</v>
      </c>
      <c r="B1528" t="s">
        <v>20</v>
      </c>
      <c r="C1528">
        <v>7</v>
      </c>
      <c r="D1528" t="s">
        <v>32</v>
      </c>
      <c r="H1528">
        <v>8</v>
      </c>
    </row>
    <row r="1529" spans="1:8" x14ac:dyDescent="0.45">
      <c r="A1529" t="s">
        <v>72</v>
      </c>
      <c r="B1529" t="s">
        <v>20</v>
      </c>
      <c r="C1529">
        <v>7</v>
      </c>
      <c r="D1529" t="s">
        <v>34</v>
      </c>
      <c r="H1529">
        <v>3</v>
      </c>
    </row>
    <row r="1530" spans="1:8" x14ac:dyDescent="0.45">
      <c r="A1530" t="s">
        <v>72</v>
      </c>
      <c r="B1530" t="s">
        <v>21</v>
      </c>
      <c r="C1530">
        <v>8</v>
      </c>
      <c r="D1530" t="s">
        <v>19</v>
      </c>
      <c r="E1530">
        <v>1165987</v>
      </c>
      <c r="F1530">
        <v>2253</v>
      </c>
      <c r="G1530">
        <v>659</v>
      </c>
    </row>
    <row r="1531" spans="1:8" x14ac:dyDescent="0.45">
      <c r="A1531" t="s">
        <v>72</v>
      </c>
      <c r="B1531" t="s">
        <v>21</v>
      </c>
      <c r="C1531">
        <v>8</v>
      </c>
      <c r="D1531" t="s">
        <v>27</v>
      </c>
      <c r="F1531">
        <v>722</v>
      </c>
      <c r="G1531">
        <v>1092</v>
      </c>
    </row>
    <row r="1532" spans="1:8" x14ac:dyDescent="0.45">
      <c r="A1532" t="s">
        <v>72</v>
      </c>
      <c r="B1532" t="s">
        <v>21</v>
      </c>
      <c r="C1532">
        <v>8</v>
      </c>
      <c r="D1532" t="s">
        <v>28</v>
      </c>
      <c r="F1532">
        <v>441</v>
      </c>
      <c r="G1532">
        <v>745</v>
      </c>
    </row>
    <row r="1533" spans="1:8" x14ac:dyDescent="0.45">
      <c r="A1533" t="s">
        <v>72</v>
      </c>
      <c r="B1533" t="s">
        <v>21</v>
      </c>
      <c r="C1533">
        <v>8</v>
      </c>
      <c r="D1533" t="s">
        <v>29</v>
      </c>
      <c r="F1533">
        <v>307</v>
      </c>
      <c r="G1533">
        <v>739</v>
      </c>
    </row>
    <row r="1534" spans="1:8" x14ac:dyDescent="0.45">
      <c r="A1534" t="s">
        <v>72</v>
      </c>
      <c r="B1534" t="s">
        <v>20</v>
      </c>
      <c r="C1534">
        <v>8</v>
      </c>
      <c r="D1534" t="s">
        <v>19</v>
      </c>
      <c r="E1534">
        <v>1273469</v>
      </c>
      <c r="F1534">
        <v>2083</v>
      </c>
      <c r="G1534">
        <v>607</v>
      </c>
    </row>
    <row r="1535" spans="1:8" x14ac:dyDescent="0.45">
      <c r="A1535" t="s">
        <v>72</v>
      </c>
      <c r="B1535" t="s">
        <v>20</v>
      </c>
      <c r="C1535">
        <v>8</v>
      </c>
      <c r="D1535" t="s">
        <v>27</v>
      </c>
      <c r="F1535">
        <v>618</v>
      </c>
      <c r="G1535">
        <v>1086</v>
      </c>
    </row>
    <row r="1536" spans="1:8" x14ac:dyDescent="0.45">
      <c r="A1536" t="s">
        <v>72</v>
      </c>
      <c r="B1536" t="s">
        <v>20</v>
      </c>
      <c r="C1536">
        <v>8</v>
      </c>
      <c r="D1536" t="s">
        <v>28</v>
      </c>
      <c r="F1536">
        <v>437</v>
      </c>
      <c r="G1536">
        <v>1006</v>
      </c>
    </row>
    <row r="1537" spans="1:8" x14ac:dyDescent="0.45">
      <c r="A1537" t="s">
        <v>72</v>
      </c>
      <c r="B1537" t="s">
        <v>20</v>
      </c>
      <c r="C1537">
        <v>8</v>
      </c>
      <c r="D1537" t="s">
        <v>29</v>
      </c>
      <c r="F1537">
        <v>274</v>
      </c>
      <c r="G1537">
        <v>1409</v>
      </c>
    </row>
    <row r="1538" spans="1:8" x14ac:dyDescent="0.45">
      <c r="A1538" t="s">
        <v>72</v>
      </c>
      <c r="B1538" t="s">
        <v>20</v>
      </c>
      <c r="C1538">
        <v>8</v>
      </c>
      <c r="D1538" t="s">
        <v>31</v>
      </c>
      <c r="H1538">
        <v>40</v>
      </c>
    </row>
    <row r="1539" spans="1:8" x14ac:dyDescent="0.45">
      <c r="A1539" t="s">
        <v>72</v>
      </c>
      <c r="B1539" t="s">
        <v>20</v>
      </c>
      <c r="C1539">
        <v>8</v>
      </c>
      <c r="D1539" t="s">
        <v>32</v>
      </c>
      <c r="H1539">
        <v>13</v>
      </c>
    </row>
    <row r="1540" spans="1:8" x14ac:dyDescent="0.45">
      <c r="A1540" t="s">
        <v>72</v>
      </c>
      <c r="B1540" t="s">
        <v>20</v>
      </c>
      <c r="C1540">
        <v>8</v>
      </c>
      <c r="D1540" t="s">
        <v>34</v>
      </c>
      <c r="H1540">
        <v>1</v>
      </c>
    </row>
    <row r="1541" spans="1:8" x14ac:dyDescent="0.45">
      <c r="A1541" t="s">
        <v>72</v>
      </c>
      <c r="B1541" t="s">
        <v>21</v>
      </c>
      <c r="C1541">
        <v>9</v>
      </c>
      <c r="D1541" t="s">
        <v>19</v>
      </c>
      <c r="E1541">
        <v>1091584</v>
      </c>
      <c r="F1541">
        <v>2151</v>
      </c>
      <c r="G1541">
        <v>636</v>
      </c>
    </row>
    <row r="1542" spans="1:8" x14ac:dyDescent="0.45">
      <c r="A1542" t="s">
        <v>72</v>
      </c>
      <c r="B1542" t="s">
        <v>21</v>
      </c>
      <c r="C1542">
        <v>9</v>
      </c>
      <c r="D1542" t="s">
        <v>27</v>
      </c>
      <c r="F1542">
        <v>754</v>
      </c>
    </row>
    <row r="1543" spans="1:8" x14ac:dyDescent="0.45">
      <c r="A1543" t="s">
        <v>72</v>
      </c>
      <c r="B1543" t="s">
        <v>21</v>
      </c>
      <c r="C1543">
        <v>9</v>
      </c>
      <c r="D1543" t="s">
        <v>28</v>
      </c>
      <c r="F1543">
        <v>428</v>
      </c>
    </row>
    <row r="1544" spans="1:8" x14ac:dyDescent="0.45">
      <c r="A1544" t="s">
        <v>72</v>
      </c>
      <c r="B1544" t="s">
        <v>21</v>
      </c>
      <c r="C1544">
        <v>9</v>
      </c>
      <c r="D1544" t="s">
        <v>29</v>
      </c>
      <c r="F1544">
        <v>308</v>
      </c>
    </row>
    <row r="1545" spans="1:8" x14ac:dyDescent="0.45">
      <c r="A1545" t="s">
        <v>72</v>
      </c>
      <c r="B1545" t="s">
        <v>20</v>
      </c>
      <c r="C1545">
        <v>9</v>
      </c>
      <c r="D1545" t="s">
        <v>19</v>
      </c>
      <c r="E1545">
        <v>1042613</v>
      </c>
      <c r="F1545">
        <v>1949</v>
      </c>
      <c r="G1545">
        <v>594</v>
      </c>
    </row>
    <row r="1546" spans="1:8" x14ac:dyDescent="0.45">
      <c r="A1546" t="s">
        <v>72</v>
      </c>
      <c r="B1546" t="s">
        <v>20</v>
      </c>
      <c r="C1546">
        <v>9</v>
      </c>
      <c r="D1546" t="s">
        <v>27</v>
      </c>
      <c r="F1546">
        <v>656</v>
      </c>
    </row>
    <row r="1547" spans="1:8" x14ac:dyDescent="0.45">
      <c r="A1547" t="s">
        <v>72</v>
      </c>
      <c r="B1547" t="s">
        <v>20</v>
      </c>
      <c r="C1547">
        <v>9</v>
      </c>
      <c r="D1547" t="s">
        <v>28</v>
      </c>
      <c r="F1547">
        <v>399</v>
      </c>
    </row>
    <row r="1548" spans="1:8" x14ac:dyDescent="0.45">
      <c r="A1548" t="s">
        <v>72</v>
      </c>
      <c r="B1548" t="s">
        <v>20</v>
      </c>
      <c r="C1548">
        <v>9</v>
      </c>
      <c r="D1548" t="s">
        <v>29</v>
      </c>
      <c r="F1548">
        <v>270</v>
      </c>
    </row>
    <row r="1549" spans="1:8" x14ac:dyDescent="0.45">
      <c r="A1549" t="s">
        <v>72</v>
      </c>
      <c r="B1549" t="s">
        <v>20</v>
      </c>
      <c r="C1549">
        <v>9</v>
      </c>
      <c r="D1549" t="s">
        <v>31</v>
      </c>
      <c r="H1549">
        <v>175</v>
      </c>
    </row>
    <row r="1550" spans="1:8" x14ac:dyDescent="0.45">
      <c r="A1550" t="s">
        <v>72</v>
      </c>
      <c r="B1550" t="s">
        <v>20</v>
      </c>
      <c r="C1550">
        <v>9</v>
      </c>
      <c r="D1550" t="s">
        <v>32</v>
      </c>
      <c r="H1550">
        <v>13</v>
      </c>
    </row>
    <row r="1551" spans="1:8" x14ac:dyDescent="0.45">
      <c r="A1551" t="s">
        <v>72</v>
      </c>
      <c r="B1551" t="s">
        <v>20</v>
      </c>
      <c r="C1551">
        <v>9</v>
      </c>
      <c r="D1551" t="s">
        <v>34</v>
      </c>
      <c r="H1551">
        <v>3</v>
      </c>
    </row>
    <row r="1552" spans="1:8" x14ac:dyDescent="0.45">
      <c r="A1552" t="s">
        <v>72</v>
      </c>
      <c r="B1552" t="s">
        <v>21</v>
      </c>
      <c r="C1552">
        <v>10</v>
      </c>
      <c r="D1552" t="s">
        <v>19</v>
      </c>
      <c r="E1552">
        <v>1558257</v>
      </c>
      <c r="F1552">
        <v>2981</v>
      </c>
      <c r="G1552">
        <v>824</v>
      </c>
    </row>
    <row r="1553" spans="1:8" x14ac:dyDescent="0.45">
      <c r="A1553" t="s">
        <v>72</v>
      </c>
      <c r="B1553" t="s">
        <v>21</v>
      </c>
      <c r="C1553">
        <v>10</v>
      </c>
      <c r="D1553" t="s">
        <v>27</v>
      </c>
      <c r="F1553">
        <v>989</v>
      </c>
    </row>
    <row r="1554" spans="1:8" x14ac:dyDescent="0.45">
      <c r="A1554" t="s">
        <v>72</v>
      </c>
      <c r="B1554" t="s">
        <v>21</v>
      </c>
      <c r="C1554">
        <v>10</v>
      </c>
      <c r="D1554" t="s">
        <v>28</v>
      </c>
      <c r="F1554">
        <v>587</v>
      </c>
    </row>
    <row r="1555" spans="1:8" x14ac:dyDescent="0.45">
      <c r="A1555" t="s">
        <v>72</v>
      </c>
      <c r="B1555" t="s">
        <v>21</v>
      </c>
      <c r="C1555">
        <v>10</v>
      </c>
      <c r="D1555" t="s">
        <v>29</v>
      </c>
      <c r="F1555">
        <v>415</v>
      </c>
    </row>
    <row r="1556" spans="1:8" x14ac:dyDescent="0.45">
      <c r="A1556" t="s">
        <v>72</v>
      </c>
      <c r="B1556" t="s">
        <v>20</v>
      </c>
      <c r="C1556">
        <v>10</v>
      </c>
      <c r="D1556" t="s">
        <v>19</v>
      </c>
      <c r="E1556">
        <v>1424023</v>
      </c>
      <c r="F1556">
        <v>2608</v>
      </c>
      <c r="G1556">
        <v>807</v>
      </c>
    </row>
    <row r="1557" spans="1:8" x14ac:dyDescent="0.45">
      <c r="A1557" t="s">
        <v>72</v>
      </c>
      <c r="B1557" t="s">
        <v>20</v>
      </c>
      <c r="C1557">
        <v>10</v>
      </c>
      <c r="D1557" t="s">
        <v>27</v>
      </c>
      <c r="F1557">
        <v>784</v>
      </c>
    </row>
    <row r="1558" spans="1:8" x14ac:dyDescent="0.45">
      <c r="A1558" t="s">
        <v>72</v>
      </c>
      <c r="B1558" t="s">
        <v>20</v>
      </c>
      <c r="C1558">
        <v>10</v>
      </c>
      <c r="D1558" t="s">
        <v>28</v>
      </c>
      <c r="F1558">
        <v>465</v>
      </c>
    </row>
    <row r="1559" spans="1:8" x14ac:dyDescent="0.45">
      <c r="A1559" t="s">
        <v>72</v>
      </c>
      <c r="B1559" t="s">
        <v>20</v>
      </c>
      <c r="C1559">
        <v>10</v>
      </c>
      <c r="D1559" t="s">
        <v>29</v>
      </c>
      <c r="F1559">
        <v>401</v>
      </c>
    </row>
    <row r="1560" spans="1:8" x14ac:dyDescent="0.45">
      <c r="A1560" t="s">
        <v>72</v>
      </c>
      <c r="B1560" t="s">
        <v>20</v>
      </c>
      <c r="C1560">
        <v>10</v>
      </c>
      <c r="D1560" t="s">
        <v>31</v>
      </c>
      <c r="H1560">
        <v>179</v>
      </c>
    </row>
    <row r="1561" spans="1:8" x14ac:dyDescent="0.45">
      <c r="A1561" t="s">
        <v>72</v>
      </c>
      <c r="B1561" t="s">
        <v>20</v>
      </c>
      <c r="C1561">
        <v>10</v>
      </c>
      <c r="D1561" t="s">
        <v>32</v>
      </c>
      <c r="H1561">
        <v>14</v>
      </c>
    </row>
    <row r="1562" spans="1:8" x14ac:dyDescent="0.45">
      <c r="A1562" t="s">
        <v>72</v>
      </c>
      <c r="B1562" t="s">
        <v>20</v>
      </c>
      <c r="C1562">
        <v>10</v>
      </c>
      <c r="D1562" t="s">
        <v>34</v>
      </c>
      <c r="H1562">
        <v>6</v>
      </c>
    </row>
    <row r="1563" spans="1:8" x14ac:dyDescent="0.45">
      <c r="A1563" t="s">
        <v>72</v>
      </c>
      <c r="B1563" t="s">
        <v>21</v>
      </c>
      <c r="C1563">
        <v>11</v>
      </c>
      <c r="D1563" t="s">
        <v>19</v>
      </c>
      <c r="E1563">
        <v>1360544</v>
      </c>
      <c r="F1563">
        <v>2382</v>
      </c>
      <c r="G1563">
        <v>722</v>
      </c>
    </row>
    <row r="1564" spans="1:8" x14ac:dyDescent="0.45">
      <c r="A1564" t="s">
        <v>72</v>
      </c>
      <c r="B1564" t="s">
        <v>21</v>
      </c>
      <c r="C1564">
        <v>11</v>
      </c>
      <c r="D1564" t="s">
        <v>27</v>
      </c>
      <c r="F1564">
        <v>808</v>
      </c>
    </row>
    <row r="1565" spans="1:8" x14ac:dyDescent="0.45">
      <c r="A1565" t="s">
        <v>72</v>
      </c>
      <c r="B1565" t="s">
        <v>21</v>
      </c>
      <c r="C1565">
        <v>11</v>
      </c>
      <c r="D1565" t="s">
        <v>28</v>
      </c>
      <c r="F1565">
        <v>444</v>
      </c>
    </row>
    <row r="1566" spans="1:8" x14ac:dyDescent="0.45">
      <c r="A1566" t="s">
        <v>72</v>
      </c>
      <c r="B1566" t="s">
        <v>21</v>
      </c>
      <c r="C1566">
        <v>11</v>
      </c>
      <c r="D1566" t="s">
        <v>29</v>
      </c>
      <c r="F1566">
        <v>340</v>
      </c>
    </row>
    <row r="1567" spans="1:8" x14ac:dyDescent="0.45">
      <c r="A1567" t="s">
        <v>72</v>
      </c>
      <c r="B1567" t="s">
        <v>20</v>
      </c>
      <c r="C1567">
        <v>11</v>
      </c>
      <c r="D1567" t="s">
        <v>19</v>
      </c>
      <c r="E1567">
        <v>1405953</v>
      </c>
      <c r="F1567">
        <v>2527</v>
      </c>
      <c r="G1567">
        <v>712</v>
      </c>
    </row>
    <row r="1568" spans="1:8" x14ac:dyDescent="0.45">
      <c r="A1568" t="s">
        <v>72</v>
      </c>
      <c r="B1568" t="s">
        <v>20</v>
      </c>
      <c r="C1568">
        <v>11</v>
      </c>
      <c r="D1568" t="s">
        <v>27</v>
      </c>
      <c r="F1568">
        <v>728</v>
      </c>
    </row>
    <row r="1569" spans="1:8" x14ac:dyDescent="0.45">
      <c r="A1569" t="s">
        <v>72</v>
      </c>
      <c r="B1569" t="s">
        <v>20</v>
      </c>
      <c r="C1569">
        <v>11</v>
      </c>
      <c r="D1569" t="s">
        <v>28</v>
      </c>
      <c r="F1569">
        <v>532</v>
      </c>
    </row>
    <row r="1570" spans="1:8" x14ac:dyDescent="0.45">
      <c r="A1570" t="s">
        <v>72</v>
      </c>
      <c r="B1570" t="s">
        <v>20</v>
      </c>
      <c r="C1570">
        <v>11</v>
      </c>
      <c r="D1570" t="s">
        <v>29</v>
      </c>
      <c r="F1570">
        <v>438</v>
      </c>
    </row>
    <row r="1571" spans="1:8" x14ac:dyDescent="0.45">
      <c r="A1571" t="s">
        <v>72</v>
      </c>
      <c r="B1571" t="s">
        <v>20</v>
      </c>
      <c r="C1571">
        <v>11</v>
      </c>
      <c r="D1571" t="s">
        <v>31</v>
      </c>
      <c r="H1571">
        <v>233</v>
      </c>
    </row>
    <row r="1572" spans="1:8" x14ac:dyDescent="0.45">
      <c r="A1572" t="s">
        <v>72</v>
      </c>
      <c r="B1572" t="s">
        <v>20</v>
      </c>
      <c r="C1572">
        <v>11</v>
      </c>
      <c r="D1572" t="s">
        <v>32</v>
      </c>
      <c r="H1572">
        <v>6</v>
      </c>
    </row>
    <row r="1573" spans="1:8" x14ac:dyDescent="0.45">
      <c r="A1573" t="s">
        <v>72</v>
      </c>
      <c r="B1573" t="s">
        <v>20</v>
      </c>
      <c r="C1573">
        <v>11</v>
      </c>
      <c r="D1573" t="s">
        <v>34</v>
      </c>
      <c r="H1573">
        <v>4</v>
      </c>
    </row>
    <row r="1574" spans="1:8" x14ac:dyDescent="0.45">
      <c r="A1574" t="s">
        <v>72</v>
      </c>
      <c r="B1574" t="s">
        <v>21</v>
      </c>
      <c r="C1574">
        <v>12</v>
      </c>
      <c r="D1574" t="s">
        <v>19</v>
      </c>
      <c r="E1574">
        <v>1423609</v>
      </c>
      <c r="F1574">
        <v>2736</v>
      </c>
      <c r="G1574">
        <v>737</v>
      </c>
    </row>
    <row r="1575" spans="1:8" x14ac:dyDescent="0.45">
      <c r="A1575" t="s">
        <v>72</v>
      </c>
      <c r="B1575" t="s">
        <v>21</v>
      </c>
      <c r="C1575">
        <v>12</v>
      </c>
      <c r="D1575" t="s">
        <v>27</v>
      </c>
      <c r="F1575">
        <v>803</v>
      </c>
    </row>
    <row r="1576" spans="1:8" x14ac:dyDescent="0.45">
      <c r="A1576" t="s">
        <v>72</v>
      </c>
      <c r="B1576" t="s">
        <v>21</v>
      </c>
      <c r="C1576">
        <v>12</v>
      </c>
      <c r="D1576" t="s">
        <v>28</v>
      </c>
      <c r="F1576">
        <v>606</v>
      </c>
    </row>
    <row r="1577" spans="1:8" x14ac:dyDescent="0.45">
      <c r="A1577" t="s">
        <v>72</v>
      </c>
      <c r="B1577" t="s">
        <v>21</v>
      </c>
      <c r="C1577">
        <v>12</v>
      </c>
      <c r="D1577" t="s">
        <v>29</v>
      </c>
      <c r="F1577">
        <v>496</v>
      </c>
    </row>
    <row r="1578" spans="1:8" x14ac:dyDescent="0.45">
      <c r="A1578" t="s">
        <v>72</v>
      </c>
      <c r="B1578" t="s">
        <v>20</v>
      </c>
      <c r="C1578">
        <v>12</v>
      </c>
      <c r="D1578" t="s">
        <v>19</v>
      </c>
      <c r="E1578">
        <v>1329136</v>
      </c>
      <c r="F1578">
        <v>2471</v>
      </c>
      <c r="G1578">
        <v>730</v>
      </c>
    </row>
    <row r="1579" spans="1:8" x14ac:dyDescent="0.45">
      <c r="A1579" t="s">
        <v>72</v>
      </c>
      <c r="B1579" t="s">
        <v>20</v>
      </c>
      <c r="C1579">
        <v>12</v>
      </c>
      <c r="D1579" t="s">
        <v>27</v>
      </c>
      <c r="F1579">
        <v>685</v>
      </c>
    </row>
    <row r="1580" spans="1:8" x14ac:dyDescent="0.45">
      <c r="A1580" t="s">
        <v>72</v>
      </c>
      <c r="B1580" t="s">
        <v>20</v>
      </c>
      <c r="C1580">
        <v>12</v>
      </c>
      <c r="D1580" t="s">
        <v>28</v>
      </c>
      <c r="F1580">
        <v>514</v>
      </c>
    </row>
    <row r="1581" spans="1:8" x14ac:dyDescent="0.45">
      <c r="A1581" t="s">
        <v>72</v>
      </c>
      <c r="B1581" t="s">
        <v>20</v>
      </c>
      <c r="C1581">
        <v>12</v>
      </c>
      <c r="D1581" t="s">
        <v>29</v>
      </c>
      <c r="F1581">
        <v>426</v>
      </c>
    </row>
    <row r="1582" spans="1:8" x14ac:dyDescent="0.45">
      <c r="A1582" t="s">
        <v>72</v>
      </c>
      <c r="B1582" t="s">
        <v>20</v>
      </c>
      <c r="C1582">
        <v>12</v>
      </c>
      <c r="D1582" t="s">
        <v>31</v>
      </c>
      <c r="H1582">
        <v>139</v>
      </c>
    </row>
    <row r="1583" spans="1:8" x14ac:dyDescent="0.45">
      <c r="A1583" t="s">
        <v>72</v>
      </c>
      <c r="B1583" t="s">
        <v>20</v>
      </c>
      <c r="C1583">
        <v>12</v>
      </c>
      <c r="D1583" t="s">
        <v>32</v>
      </c>
      <c r="H1583">
        <v>6</v>
      </c>
    </row>
    <row r="1584" spans="1:8" x14ac:dyDescent="0.45">
      <c r="A1584" t="s">
        <v>72</v>
      </c>
      <c r="B1584" t="s">
        <v>20</v>
      </c>
      <c r="C1584">
        <v>12</v>
      </c>
      <c r="D1584" t="s">
        <v>34</v>
      </c>
      <c r="H1584">
        <v>5</v>
      </c>
    </row>
    <row r="1585" spans="1:8" x14ac:dyDescent="0.45">
      <c r="A1585" t="s">
        <v>68</v>
      </c>
      <c r="B1585" t="s">
        <v>21</v>
      </c>
      <c r="C1585">
        <v>1</v>
      </c>
      <c r="D1585" t="s">
        <v>19</v>
      </c>
      <c r="E1585">
        <v>562342</v>
      </c>
      <c r="F1585">
        <v>1612</v>
      </c>
      <c r="G1585">
        <v>467</v>
      </c>
    </row>
    <row r="1586" spans="1:8" x14ac:dyDescent="0.45">
      <c r="A1586" t="s">
        <v>68</v>
      </c>
      <c r="B1586" t="s">
        <v>21</v>
      </c>
      <c r="C1586">
        <v>1</v>
      </c>
      <c r="D1586" t="s">
        <v>27</v>
      </c>
      <c r="F1586">
        <v>926</v>
      </c>
    </row>
    <row r="1587" spans="1:8" x14ac:dyDescent="0.45">
      <c r="A1587" t="s">
        <v>68</v>
      </c>
      <c r="B1587" t="s">
        <v>21</v>
      </c>
      <c r="C1587">
        <v>1</v>
      </c>
      <c r="D1587" t="s">
        <v>28</v>
      </c>
      <c r="F1587">
        <v>263</v>
      </c>
    </row>
    <row r="1588" spans="1:8" x14ac:dyDescent="0.45">
      <c r="A1588" t="s">
        <v>68</v>
      </c>
      <c r="B1588" t="s">
        <v>21</v>
      </c>
      <c r="C1588">
        <v>1</v>
      </c>
      <c r="D1588" t="s">
        <v>29</v>
      </c>
      <c r="F1588">
        <v>161</v>
      </c>
    </row>
    <row r="1589" spans="1:8" x14ac:dyDescent="0.45">
      <c r="A1589" t="s">
        <v>68</v>
      </c>
      <c r="B1589" t="s">
        <v>20</v>
      </c>
      <c r="C1589">
        <v>1</v>
      </c>
      <c r="D1589" t="s">
        <v>19</v>
      </c>
      <c r="E1589">
        <v>567886</v>
      </c>
      <c r="F1589">
        <v>1422</v>
      </c>
      <c r="G1589">
        <v>412</v>
      </c>
    </row>
    <row r="1590" spans="1:8" x14ac:dyDescent="0.45">
      <c r="A1590" t="s">
        <v>68</v>
      </c>
      <c r="B1590" t="s">
        <v>20</v>
      </c>
      <c r="C1590">
        <v>1</v>
      </c>
      <c r="D1590" t="s">
        <v>27</v>
      </c>
      <c r="F1590">
        <v>714</v>
      </c>
    </row>
    <row r="1591" spans="1:8" x14ac:dyDescent="0.45">
      <c r="A1591" t="s">
        <v>68</v>
      </c>
      <c r="B1591" t="s">
        <v>20</v>
      </c>
      <c r="C1591">
        <v>1</v>
      </c>
      <c r="D1591" t="s">
        <v>28</v>
      </c>
      <c r="F1591">
        <v>247</v>
      </c>
    </row>
    <row r="1592" spans="1:8" x14ac:dyDescent="0.45">
      <c r="A1592" t="s">
        <v>68</v>
      </c>
      <c r="B1592" t="s">
        <v>20</v>
      </c>
      <c r="C1592">
        <v>1</v>
      </c>
      <c r="D1592" t="s">
        <v>29</v>
      </c>
      <c r="F1592">
        <v>174</v>
      </c>
    </row>
    <row r="1593" spans="1:8" x14ac:dyDescent="0.45">
      <c r="A1593" t="s">
        <v>68</v>
      </c>
      <c r="B1593" t="s">
        <v>20</v>
      </c>
      <c r="C1593">
        <v>1</v>
      </c>
      <c r="D1593" t="s">
        <v>31</v>
      </c>
      <c r="H1593">
        <v>55</v>
      </c>
    </row>
    <row r="1594" spans="1:8" x14ac:dyDescent="0.45">
      <c r="A1594" t="s">
        <v>68</v>
      </c>
      <c r="B1594" t="s">
        <v>20</v>
      </c>
      <c r="C1594">
        <v>1</v>
      </c>
      <c r="D1594" t="s">
        <v>32</v>
      </c>
      <c r="H1594">
        <v>7</v>
      </c>
    </row>
    <row r="1595" spans="1:8" x14ac:dyDescent="0.45">
      <c r="A1595" t="s">
        <v>68</v>
      </c>
      <c r="B1595" t="s">
        <v>20</v>
      </c>
      <c r="C1595">
        <v>1</v>
      </c>
      <c r="D1595" t="s">
        <v>34</v>
      </c>
    </row>
    <row r="1596" spans="1:8" x14ac:dyDescent="0.45">
      <c r="A1596" t="s">
        <v>68</v>
      </c>
      <c r="B1596" t="s">
        <v>21</v>
      </c>
      <c r="C1596">
        <v>2</v>
      </c>
      <c r="D1596" t="s">
        <v>19</v>
      </c>
      <c r="E1596">
        <v>542433</v>
      </c>
      <c r="F1596">
        <v>1522</v>
      </c>
      <c r="G1596">
        <v>413</v>
      </c>
    </row>
    <row r="1597" spans="1:8" x14ac:dyDescent="0.45">
      <c r="A1597" t="s">
        <v>68</v>
      </c>
      <c r="B1597" t="s">
        <v>21</v>
      </c>
      <c r="C1597">
        <v>2</v>
      </c>
      <c r="D1597" t="s">
        <v>27</v>
      </c>
      <c r="F1597">
        <v>928</v>
      </c>
    </row>
    <row r="1598" spans="1:8" x14ac:dyDescent="0.45">
      <c r="A1598" t="s">
        <v>68</v>
      </c>
      <c r="B1598" t="s">
        <v>21</v>
      </c>
      <c r="C1598">
        <v>2</v>
      </c>
      <c r="D1598" t="s">
        <v>28</v>
      </c>
      <c r="F1598">
        <v>243</v>
      </c>
    </row>
    <row r="1599" spans="1:8" x14ac:dyDescent="0.45">
      <c r="A1599" t="s">
        <v>68</v>
      </c>
      <c r="B1599" t="s">
        <v>21</v>
      </c>
      <c r="C1599">
        <v>2</v>
      </c>
      <c r="D1599" t="s">
        <v>29</v>
      </c>
      <c r="F1599">
        <v>138</v>
      </c>
    </row>
    <row r="1600" spans="1:8" x14ac:dyDescent="0.45">
      <c r="A1600" t="s">
        <v>68</v>
      </c>
      <c r="B1600" t="s">
        <v>20</v>
      </c>
      <c r="C1600">
        <v>2</v>
      </c>
      <c r="D1600" t="s">
        <v>19</v>
      </c>
      <c r="E1600">
        <v>559900</v>
      </c>
      <c r="F1600">
        <v>1403</v>
      </c>
      <c r="G1600">
        <v>403</v>
      </c>
    </row>
    <row r="1601" spans="1:8" x14ac:dyDescent="0.45">
      <c r="A1601" t="s">
        <v>68</v>
      </c>
      <c r="B1601" t="s">
        <v>20</v>
      </c>
      <c r="C1601">
        <v>2</v>
      </c>
      <c r="D1601" t="s">
        <v>27</v>
      </c>
      <c r="F1601">
        <v>782</v>
      </c>
    </row>
    <row r="1602" spans="1:8" x14ac:dyDescent="0.45">
      <c r="A1602" t="s">
        <v>68</v>
      </c>
      <c r="B1602" t="s">
        <v>20</v>
      </c>
      <c r="C1602">
        <v>2</v>
      </c>
      <c r="D1602" t="s">
        <v>28</v>
      </c>
      <c r="F1602">
        <v>216</v>
      </c>
    </row>
    <row r="1603" spans="1:8" x14ac:dyDescent="0.45">
      <c r="A1603" t="s">
        <v>68</v>
      </c>
      <c r="B1603" t="s">
        <v>20</v>
      </c>
      <c r="C1603">
        <v>2</v>
      </c>
      <c r="D1603" t="s">
        <v>29</v>
      </c>
      <c r="F1603">
        <v>145</v>
      </c>
    </row>
    <row r="1604" spans="1:8" x14ac:dyDescent="0.45">
      <c r="A1604" t="s">
        <v>68</v>
      </c>
      <c r="B1604" t="s">
        <v>20</v>
      </c>
      <c r="C1604">
        <v>2</v>
      </c>
      <c r="D1604" t="s">
        <v>31</v>
      </c>
      <c r="H1604">
        <v>25</v>
      </c>
    </row>
    <row r="1605" spans="1:8" x14ac:dyDescent="0.45">
      <c r="A1605" t="s">
        <v>68</v>
      </c>
      <c r="B1605" t="s">
        <v>20</v>
      </c>
      <c r="C1605">
        <v>2</v>
      </c>
      <c r="D1605" t="s">
        <v>32</v>
      </c>
      <c r="H1605">
        <v>7</v>
      </c>
    </row>
    <row r="1606" spans="1:8" x14ac:dyDescent="0.45">
      <c r="A1606" t="s">
        <v>68</v>
      </c>
      <c r="B1606" t="s">
        <v>20</v>
      </c>
      <c r="C1606">
        <v>2</v>
      </c>
      <c r="D1606" t="s">
        <v>34</v>
      </c>
      <c r="H1606">
        <v>5</v>
      </c>
    </row>
    <row r="1607" spans="1:8" x14ac:dyDescent="0.45">
      <c r="A1607" t="s">
        <v>68</v>
      </c>
      <c r="B1607" t="s">
        <v>21</v>
      </c>
      <c r="C1607">
        <v>3</v>
      </c>
      <c r="D1607" t="s">
        <v>19</v>
      </c>
      <c r="E1607">
        <v>1239965</v>
      </c>
      <c r="F1607">
        <v>2554</v>
      </c>
      <c r="G1607">
        <v>650</v>
      </c>
    </row>
    <row r="1608" spans="1:8" x14ac:dyDescent="0.45">
      <c r="A1608" t="s">
        <v>68</v>
      </c>
      <c r="B1608" t="s">
        <v>21</v>
      </c>
      <c r="C1608">
        <v>3</v>
      </c>
      <c r="D1608" t="s">
        <v>27</v>
      </c>
      <c r="F1608">
        <v>1081</v>
      </c>
    </row>
    <row r="1609" spans="1:8" x14ac:dyDescent="0.45">
      <c r="A1609" t="s">
        <v>68</v>
      </c>
      <c r="B1609" t="s">
        <v>21</v>
      </c>
      <c r="C1609">
        <v>3</v>
      </c>
      <c r="D1609" t="s">
        <v>28</v>
      </c>
      <c r="F1609">
        <v>340</v>
      </c>
    </row>
    <row r="1610" spans="1:8" x14ac:dyDescent="0.45">
      <c r="A1610" t="s">
        <v>68</v>
      </c>
      <c r="B1610" t="s">
        <v>21</v>
      </c>
      <c r="C1610">
        <v>3</v>
      </c>
      <c r="D1610" t="s">
        <v>29</v>
      </c>
      <c r="F1610">
        <v>271</v>
      </c>
    </row>
    <row r="1611" spans="1:8" x14ac:dyDescent="0.45">
      <c r="A1611" t="s">
        <v>68</v>
      </c>
      <c r="B1611" t="s">
        <v>20</v>
      </c>
      <c r="C1611">
        <v>3</v>
      </c>
      <c r="D1611" t="s">
        <v>19</v>
      </c>
      <c r="E1611">
        <v>1080359</v>
      </c>
      <c r="F1611">
        <v>2291</v>
      </c>
      <c r="G1611">
        <v>628</v>
      </c>
    </row>
    <row r="1612" spans="1:8" x14ac:dyDescent="0.45">
      <c r="A1612" t="s">
        <v>68</v>
      </c>
      <c r="B1612" t="s">
        <v>20</v>
      </c>
      <c r="C1612">
        <v>3</v>
      </c>
      <c r="D1612" t="s">
        <v>27</v>
      </c>
      <c r="F1612">
        <v>961</v>
      </c>
    </row>
    <row r="1613" spans="1:8" x14ac:dyDescent="0.45">
      <c r="A1613" t="s">
        <v>68</v>
      </c>
      <c r="B1613" t="s">
        <v>20</v>
      </c>
      <c r="C1613">
        <v>3</v>
      </c>
      <c r="D1613" t="s">
        <v>28</v>
      </c>
      <c r="F1613">
        <v>390</v>
      </c>
    </row>
    <row r="1614" spans="1:8" x14ac:dyDescent="0.45">
      <c r="A1614" t="s">
        <v>68</v>
      </c>
      <c r="B1614" t="s">
        <v>20</v>
      </c>
      <c r="C1614">
        <v>3</v>
      </c>
      <c r="D1614" t="s">
        <v>29</v>
      </c>
      <c r="F1614">
        <v>297</v>
      </c>
    </row>
    <row r="1615" spans="1:8" x14ac:dyDescent="0.45">
      <c r="A1615" t="s">
        <v>68</v>
      </c>
      <c r="B1615" t="s">
        <v>20</v>
      </c>
      <c r="C1615">
        <v>3</v>
      </c>
      <c r="D1615" t="s">
        <v>31</v>
      </c>
      <c r="H1615">
        <v>43</v>
      </c>
    </row>
    <row r="1616" spans="1:8" x14ac:dyDescent="0.45">
      <c r="A1616" t="s">
        <v>68</v>
      </c>
      <c r="B1616" t="s">
        <v>20</v>
      </c>
      <c r="C1616">
        <v>3</v>
      </c>
      <c r="D1616" t="s">
        <v>32</v>
      </c>
      <c r="H1616">
        <v>9</v>
      </c>
    </row>
    <row r="1617" spans="1:8" x14ac:dyDescent="0.45">
      <c r="A1617" t="s">
        <v>68</v>
      </c>
      <c r="B1617" t="s">
        <v>20</v>
      </c>
      <c r="C1617">
        <v>3</v>
      </c>
      <c r="D1617" t="s">
        <v>34</v>
      </c>
      <c r="H1617">
        <v>3</v>
      </c>
    </row>
    <row r="1618" spans="1:8" x14ac:dyDescent="0.45">
      <c r="A1618" t="s">
        <v>68</v>
      </c>
      <c r="B1618" t="s">
        <v>21</v>
      </c>
      <c r="C1618">
        <v>4</v>
      </c>
      <c r="D1618" t="s">
        <v>19</v>
      </c>
      <c r="E1618">
        <v>1877347</v>
      </c>
      <c r="F1618">
        <v>3455</v>
      </c>
    </row>
    <row r="1619" spans="1:8" x14ac:dyDescent="0.45">
      <c r="A1619" t="s">
        <v>68</v>
      </c>
      <c r="B1619" t="s">
        <v>21</v>
      </c>
      <c r="C1619">
        <v>4</v>
      </c>
      <c r="D1619" t="s">
        <v>27</v>
      </c>
      <c r="F1619">
        <v>1192</v>
      </c>
    </row>
    <row r="1620" spans="1:8" x14ac:dyDescent="0.45">
      <c r="A1620" t="s">
        <v>68</v>
      </c>
      <c r="B1620" t="s">
        <v>21</v>
      </c>
      <c r="C1620">
        <v>4</v>
      </c>
      <c r="D1620" t="s">
        <v>28</v>
      </c>
      <c r="F1620">
        <v>480</v>
      </c>
    </row>
    <row r="1621" spans="1:8" x14ac:dyDescent="0.45">
      <c r="A1621" t="s">
        <v>68</v>
      </c>
      <c r="B1621" t="s">
        <v>21</v>
      </c>
      <c r="C1621">
        <v>4</v>
      </c>
      <c r="D1621" t="s">
        <v>29</v>
      </c>
      <c r="F1621">
        <v>440</v>
      </c>
    </row>
    <row r="1622" spans="1:8" x14ac:dyDescent="0.45">
      <c r="A1622" t="s">
        <v>68</v>
      </c>
      <c r="B1622" t="s">
        <v>20</v>
      </c>
      <c r="C1622">
        <v>4</v>
      </c>
      <c r="D1622" t="s">
        <v>19</v>
      </c>
      <c r="E1622">
        <v>1883439</v>
      </c>
      <c r="F1622">
        <v>3289</v>
      </c>
    </row>
    <row r="1623" spans="1:8" x14ac:dyDescent="0.45">
      <c r="A1623" t="s">
        <v>68</v>
      </c>
      <c r="B1623" t="s">
        <v>20</v>
      </c>
      <c r="C1623">
        <v>4</v>
      </c>
      <c r="D1623" t="s">
        <v>27</v>
      </c>
      <c r="F1623">
        <v>947</v>
      </c>
    </row>
    <row r="1624" spans="1:8" x14ac:dyDescent="0.45">
      <c r="A1624" t="s">
        <v>68</v>
      </c>
      <c r="B1624" t="s">
        <v>20</v>
      </c>
      <c r="C1624">
        <v>4</v>
      </c>
      <c r="D1624" t="s">
        <v>28</v>
      </c>
      <c r="F1624">
        <v>493</v>
      </c>
    </row>
    <row r="1625" spans="1:8" x14ac:dyDescent="0.45">
      <c r="A1625" t="s">
        <v>68</v>
      </c>
      <c r="B1625" t="s">
        <v>20</v>
      </c>
      <c r="C1625">
        <v>4</v>
      </c>
      <c r="D1625" t="s">
        <v>29</v>
      </c>
      <c r="F1625">
        <v>437</v>
      </c>
    </row>
    <row r="1626" spans="1:8" x14ac:dyDescent="0.45">
      <c r="A1626" t="s">
        <v>68</v>
      </c>
      <c r="B1626" t="s">
        <v>20</v>
      </c>
      <c r="C1626">
        <v>4</v>
      </c>
      <c r="D1626" t="s">
        <v>31</v>
      </c>
      <c r="H1626">
        <v>42</v>
      </c>
    </row>
    <row r="1627" spans="1:8" x14ac:dyDescent="0.45">
      <c r="A1627" t="s">
        <v>68</v>
      </c>
      <c r="B1627" t="s">
        <v>20</v>
      </c>
      <c r="C1627">
        <v>4</v>
      </c>
      <c r="D1627" t="s">
        <v>32</v>
      </c>
      <c r="H1627">
        <v>5</v>
      </c>
    </row>
    <row r="1628" spans="1:8" x14ac:dyDescent="0.45">
      <c r="A1628" t="s">
        <v>68</v>
      </c>
      <c r="B1628" t="s">
        <v>20</v>
      </c>
      <c r="C1628">
        <v>4</v>
      </c>
      <c r="D1628" t="s">
        <v>34</v>
      </c>
      <c r="H1628">
        <v>3</v>
      </c>
    </row>
    <row r="1629" spans="1:8" x14ac:dyDescent="0.45">
      <c r="A1629" t="s">
        <v>68</v>
      </c>
      <c r="B1629" t="s">
        <v>21</v>
      </c>
      <c r="C1629">
        <v>5</v>
      </c>
      <c r="D1629" t="s">
        <v>19</v>
      </c>
      <c r="E1629">
        <v>1390586</v>
      </c>
      <c r="F1629">
        <v>2609</v>
      </c>
      <c r="G1629">
        <v>600</v>
      </c>
    </row>
    <row r="1630" spans="1:8" x14ac:dyDescent="0.45">
      <c r="A1630" t="s">
        <v>68</v>
      </c>
      <c r="B1630" t="s">
        <v>21</v>
      </c>
      <c r="C1630">
        <v>5</v>
      </c>
      <c r="D1630" t="s">
        <v>27</v>
      </c>
      <c r="F1630">
        <v>896</v>
      </c>
    </row>
    <row r="1631" spans="1:8" x14ac:dyDescent="0.45">
      <c r="A1631" t="s">
        <v>68</v>
      </c>
      <c r="B1631" t="s">
        <v>21</v>
      </c>
      <c r="C1631">
        <v>5</v>
      </c>
      <c r="D1631" t="s">
        <v>28</v>
      </c>
      <c r="F1631">
        <v>449</v>
      </c>
    </row>
    <row r="1632" spans="1:8" x14ac:dyDescent="0.45">
      <c r="A1632" t="s">
        <v>68</v>
      </c>
      <c r="B1632" t="s">
        <v>21</v>
      </c>
      <c r="C1632">
        <v>5</v>
      </c>
      <c r="D1632" t="s">
        <v>29</v>
      </c>
      <c r="F1632">
        <v>349</v>
      </c>
    </row>
    <row r="1633" spans="1:8" x14ac:dyDescent="0.45">
      <c r="A1633" t="s">
        <v>68</v>
      </c>
      <c r="B1633" t="s">
        <v>20</v>
      </c>
      <c r="C1633">
        <v>5</v>
      </c>
      <c r="D1633" t="s">
        <v>19</v>
      </c>
      <c r="E1633">
        <v>1230463</v>
      </c>
      <c r="F1633">
        <v>2298</v>
      </c>
      <c r="G1633">
        <v>579</v>
      </c>
    </row>
    <row r="1634" spans="1:8" x14ac:dyDescent="0.45">
      <c r="A1634" t="s">
        <v>68</v>
      </c>
      <c r="B1634" t="s">
        <v>20</v>
      </c>
      <c r="C1634">
        <v>5</v>
      </c>
      <c r="D1634" t="s">
        <v>27</v>
      </c>
      <c r="F1634">
        <v>775</v>
      </c>
    </row>
    <row r="1635" spans="1:8" x14ac:dyDescent="0.45">
      <c r="A1635" t="s">
        <v>68</v>
      </c>
      <c r="B1635" t="s">
        <v>20</v>
      </c>
      <c r="C1635">
        <v>5</v>
      </c>
      <c r="D1635" t="s">
        <v>28</v>
      </c>
      <c r="F1635">
        <v>404</v>
      </c>
    </row>
    <row r="1636" spans="1:8" x14ac:dyDescent="0.45">
      <c r="A1636" t="s">
        <v>68</v>
      </c>
      <c r="B1636" t="s">
        <v>20</v>
      </c>
      <c r="C1636">
        <v>5</v>
      </c>
      <c r="D1636" t="s">
        <v>29</v>
      </c>
      <c r="F1636">
        <v>311</v>
      </c>
    </row>
    <row r="1637" spans="1:8" x14ac:dyDescent="0.45">
      <c r="A1637" t="s">
        <v>68</v>
      </c>
      <c r="B1637" t="s">
        <v>20</v>
      </c>
      <c r="C1637">
        <v>5</v>
      </c>
      <c r="D1637" t="s">
        <v>31</v>
      </c>
      <c r="H1637">
        <v>71</v>
      </c>
    </row>
    <row r="1638" spans="1:8" x14ac:dyDescent="0.45">
      <c r="A1638" t="s">
        <v>68</v>
      </c>
      <c r="B1638" t="s">
        <v>20</v>
      </c>
      <c r="C1638">
        <v>5</v>
      </c>
      <c r="D1638" t="s">
        <v>32</v>
      </c>
      <c r="H1638">
        <v>11</v>
      </c>
    </row>
    <row r="1639" spans="1:8" x14ac:dyDescent="0.45">
      <c r="A1639" t="s">
        <v>68</v>
      </c>
      <c r="B1639" t="s">
        <v>20</v>
      </c>
      <c r="C1639">
        <v>5</v>
      </c>
      <c r="D1639" t="s">
        <v>34</v>
      </c>
      <c r="H1639">
        <v>4</v>
      </c>
    </row>
    <row r="1640" spans="1:8" x14ac:dyDescent="0.45">
      <c r="A1640" t="s">
        <v>68</v>
      </c>
      <c r="B1640" t="s">
        <v>21</v>
      </c>
      <c r="C1640">
        <v>6</v>
      </c>
      <c r="D1640" t="s">
        <v>19</v>
      </c>
      <c r="E1640">
        <v>1169522</v>
      </c>
      <c r="F1640">
        <v>2477</v>
      </c>
      <c r="G1640">
        <v>620</v>
      </c>
    </row>
    <row r="1641" spans="1:8" x14ac:dyDescent="0.45">
      <c r="A1641" t="s">
        <v>68</v>
      </c>
      <c r="B1641" t="s">
        <v>21</v>
      </c>
      <c r="C1641">
        <v>6</v>
      </c>
      <c r="D1641" t="s">
        <v>27</v>
      </c>
      <c r="F1641">
        <v>1062</v>
      </c>
    </row>
    <row r="1642" spans="1:8" x14ac:dyDescent="0.45">
      <c r="A1642" t="s">
        <v>68</v>
      </c>
      <c r="B1642" t="s">
        <v>21</v>
      </c>
      <c r="C1642">
        <v>6</v>
      </c>
      <c r="D1642" t="s">
        <v>28</v>
      </c>
      <c r="F1642">
        <v>437</v>
      </c>
    </row>
    <row r="1643" spans="1:8" x14ac:dyDescent="0.45">
      <c r="A1643" t="s">
        <v>68</v>
      </c>
      <c r="B1643" t="s">
        <v>21</v>
      </c>
      <c r="C1643">
        <v>6</v>
      </c>
      <c r="D1643" t="s">
        <v>29</v>
      </c>
      <c r="F1643">
        <v>300</v>
      </c>
    </row>
    <row r="1644" spans="1:8" x14ac:dyDescent="0.45">
      <c r="A1644" t="s">
        <v>68</v>
      </c>
      <c r="B1644" t="s">
        <v>20</v>
      </c>
      <c r="C1644">
        <v>6</v>
      </c>
      <c r="D1644" t="s">
        <v>19</v>
      </c>
      <c r="E1644">
        <v>1094243</v>
      </c>
      <c r="F1644">
        <v>2311</v>
      </c>
      <c r="G1644">
        <v>577</v>
      </c>
    </row>
    <row r="1645" spans="1:8" x14ac:dyDescent="0.45">
      <c r="A1645" t="s">
        <v>68</v>
      </c>
      <c r="B1645" t="s">
        <v>20</v>
      </c>
      <c r="C1645">
        <v>6</v>
      </c>
      <c r="D1645" t="s">
        <v>27</v>
      </c>
      <c r="F1645">
        <v>1007</v>
      </c>
    </row>
    <row r="1646" spans="1:8" x14ac:dyDescent="0.45">
      <c r="A1646" t="s">
        <v>68</v>
      </c>
      <c r="B1646" t="s">
        <v>20</v>
      </c>
      <c r="C1646">
        <v>6</v>
      </c>
      <c r="D1646" t="s">
        <v>28</v>
      </c>
      <c r="F1646">
        <v>444</v>
      </c>
    </row>
    <row r="1647" spans="1:8" x14ac:dyDescent="0.45">
      <c r="A1647" t="s">
        <v>68</v>
      </c>
      <c r="B1647" t="s">
        <v>20</v>
      </c>
      <c r="C1647">
        <v>6</v>
      </c>
      <c r="D1647" t="s">
        <v>29</v>
      </c>
      <c r="F1647">
        <v>299</v>
      </c>
    </row>
    <row r="1648" spans="1:8" x14ac:dyDescent="0.45">
      <c r="A1648" t="s">
        <v>68</v>
      </c>
      <c r="B1648" t="s">
        <v>20</v>
      </c>
      <c r="C1648">
        <v>6</v>
      </c>
      <c r="D1648" t="s">
        <v>31</v>
      </c>
      <c r="H1648">
        <v>22</v>
      </c>
    </row>
    <row r="1649" spans="1:8" x14ac:dyDescent="0.45">
      <c r="A1649" t="s">
        <v>68</v>
      </c>
      <c r="B1649" t="s">
        <v>20</v>
      </c>
      <c r="C1649">
        <v>6</v>
      </c>
      <c r="D1649" t="s">
        <v>32</v>
      </c>
      <c r="H1649">
        <v>5</v>
      </c>
    </row>
    <row r="1650" spans="1:8" x14ac:dyDescent="0.45">
      <c r="A1650" t="s">
        <v>68</v>
      </c>
      <c r="B1650" t="s">
        <v>20</v>
      </c>
      <c r="C1650">
        <v>6</v>
      </c>
      <c r="D1650" t="s">
        <v>34</v>
      </c>
      <c r="H1650">
        <v>3</v>
      </c>
    </row>
    <row r="1651" spans="1:8" x14ac:dyDescent="0.45">
      <c r="A1651" t="s">
        <v>68</v>
      </c>
      <c r="B1651" t="s">
        <v>21</v>
      </c>
      <c r="C1651">
        <v>7</v>
      </c>
      <c r="D1651" t="s">
        <v>19</v>
      </c>
      <c r="E1651">
        <v>855469</v>
      </c>
      <c r="F1651">
        <v>2024</v>
      </c>
      <c r="G1651">
        <v>574</v>
      </c>
    </row>
    <row r="1652" spans="1:8" x14ac:dyDescent="0.45">
      <c r="A1652" t="s">
        <v>68</v>
      </c>
      <c r="B1652" t="s">
        <v>21</v>
      </c>
      <c r="C1652">
        <v>7</v>
      </c>
      <c r="D1652" t="s">
        <v>27</v>
      </c>
      <c r="F1652">
        <v>1044</v>
      </c>
    </row>
    <row r="1653" spans="1:8" x14ac:dyDescent="0.45">
      <c r="A1653" t="s">
        <v>68</v>
      </c>
      <c r="B1653" t="s">
        <v>21</v>
      </c>
      <c r="C1653">
        <v>7</v>
      </c>
      <c r="D1653" t="s">
        <v>28</v>
      </c>
      <c r="F1653">
        <v>371</v>
      </c>
    </row>
    <row r="1654" spans="1:8" x14ac:dyDescent="0.45">
      <c r="A1654" t="s">
        <v>68</v>
      </c>
      <c r="B1654" t="s">
        <v>21</v>
      </c>
      <c r="C1654">
        <v>7</v>
      </c>
      <c r="D1654" t="s">
        <v>29</v>
      </c>
      <c r="F1654">
        <v>190</v>
      </c>
    </row>
    <row r="1655" spans="1:8" x14ac:dyDescent="0.45">
      <c r="A1655" t="s">
        <v>68</v>
      </c>
      <c r="B1655" t="s">
        <v>20</v>
      </c>
      <c r="C1655">
        <v>7</v>
      </c>
      <c r="D1655" t="s">
        <v>19</v>
      </c>
      <c r="E1655">
        <v>715675</v>
      </c>
      <c r="F1655">
        <v>1621</v>
      </c>
      <c r="G1655">
        <v>479</v>
      </c>
    </row>
    <row r="1656" spans="1:8" x14ac:dyDescent="0.45">
      <c r="A1656" t="s">
        <v>68</v>
      </c>
      <c r="B1656" t="s">
        <v>20</v>
      </c>
      <c r="C1656">
        <v>7</v>
      </c>
      <c r="D1656" t="s">
        <v>27</v>
      </c>
      <c r="F1656">
        <v>757</v>
      </c>
    </row>
    <row r="1657" spans="1:8" x14ac:dyDescent="0.45">
      <c r="A1657" t="s">
        <v>68</v>
      </c>
      <c r="B1657" t="s">
        <v>20</v>
      </c>
      <c r="C1657">
        <v>7</v>
      </c>
      <c r="D1657" t="s">
        <v>28</v>
      </c>
      <c r="F1657">
        <v>361</v>
      </c>
    </row>
    <row r="1658" spans="1:8" x14ac:dyDescent="0.45">
      <c r="A1658" t="s">
        <v>68</v>
      </c>
      <c r="B1658" t="s">
        <v>20</v>
      </c>
      <c r="C1658">
        <v>7</v>
      </c>
      <c r="D1658" t="s">
        <v>29</v>
      </c>
      <c r="F1658">
        <v>195</v>
      </c>
    </row>
    <row r="1659" spans="1:8" x14ac:dyDescent="0.45">
      <c r="A1659" t="s">
        <v>68</v>
      </c>
      <c r="B1659" t="s">
        <v>20</v>
      </c>
      <c r="C1659">
        <v>7</v>
      </c>
      <c r="D1659" t="s">
        <v>31</v>
      </c>
      <c r="H1659">
        <v>100</v>
      </c>
    </row>
    <row r="1660" spans="1:8" x14ac:dyDescent="0.45">
      <c r="A1660" t="s">
        <v>68</v>
      </c>
      <c r="B1660" t="s">
        <v>20</v>
      </c>
      <c r="C1660">
        <v>7</v>
      </c>
      <c r="D1660" t="s">
        <v>32</v>
      </c>
      <c r="H1660">
        <v>2</v>
      </c>
    </row>
    <row r="1661" spans="1:8" x14ac:dyDescent="0.45">
      <c r="A1661" t="s">
        <v>68</v>
      </c>
      <c r="B1661" t="s">
        <v>20</v>
      </c>
      <c r="C1661">
        <v>7</v>
      </c>
      <c r="D1661" t="s">
        <v>34</v>
      </c>
      <c r="H1661">
        <v>3</v>
      </c>
    </row>
    <row r="1662" spans="1:8" x14ac:dyDescent="0.45">
      <c r="A1662" t="s">
        <v>68</v>
      </c>
      <c r="B1662" t="s">
        <v>21</v>
      </c>
      <c r="C1662">
        <v>8</v>
      </c>
      <c r="D1662" t="s">
        <v>19</v>
      </c>
      <c r="E1662">
        <v>533011</v>
      </c>
      <c r="F1662">
        <v>1446</v>
      </c>
      <c r="G1662">
        <v>411</v>
      </c>
    </row>
    <row r="1663" spans="1:8" x14ac:dyDescent="0.45">
      <c r="A1663" t="s">
        <v>68</v>
      </c>
      <c r="B1663" t="s">
        <v>21</v>
      </c>
      <c r="C1663">
        <v>8</v>
      </c>
      <c r="D1663" t="s">
        <v>27</v>
      </c>
      <c r="F1663">
        <v>808</v>
      </c>
      <c r="G1663">
        <v>667</v>
      </c>
    </row>
    <row r="1664" spans="1:8" x14ac:dyDescent="0.45">
      <c r="A1664" t="s">
        <v>68</v>
      </c>
      <c r="B1664" t="s">
        <v>21</v>
      </c>
      <c r="C1664">
        <v>8</v>
      </c>
      <c r="D1664" t="s">
        <v>28</v>
      </c>
      <c r="F1664">
        <v>265</v>
      </c>
      <c r="G1664">
        <v>752</v>
      </c>
    </row>
    <row r="1665" spans="1:8" x14ac:dyDescent="0.45">
      <c r="A1665" t="s">
        <v>68</v>
      </c>
      <c r="B1665" t="s">
        <v>21</v>
      </c>
      <c r="C1665">
        <v>8</v>
      </c>
      <c r="D1665" t="s">
        <v>29</v>
      </c>
      <c r="F1665">
        <v>106</v>
      </c>
      <c r="G1665">
        <v>749</v>
      </c>
    </row>
    <row r="1666" spans="1:8" x14ac:dyDescent="0.45">
      <c r="A1666" t="s">
        <v>68</v>
      </c>
      <c r="B1666" t="s">
        <v>20</v>
      </c>
      <c r="C1666">
        <v>8</v>
      </c>
      <c r="D1666" t="s">
        <v>19</v>
      </c>
      <c r="E1666">
        <v>586507</v>
      </c>
      <c r="F1666">
        <v>1331</v>
      </c>
      <c r="G1666">
        <v>413</v>
      </c>
    </row>
    <row r="1667" spans="1:8" x14ac:dyDescent="0.45">
      <c r="A1667" t="s">
        <v>68</v>
      </c>
      <c r="B1667" t="s">
        <v>20</v>
      </c>
      <c r="C1667">
        <v>8</v>
      </c>
      <c r="D1667" t="s">
        <v>27</v>
      </c>
      <c r="F1667">
        <v>687</v>
      </c>
      <c r="G1667">
        <v>669</v>
      </c>
    </row>
    <row r="1668" spans="1:8" x14ac:dyDescent="0.45">
      <c r="A1668" t="s">
        <v>68</v>
      </c>
      <c r="B1668" t="s">
        <v>20</v>
      </c>
      <c r="C1668">
        <v>8</v>
      </c>
      <c r="D1668" t="s">
        <v>28</v>
      </c>
      <c r="F1668">
        <v>268</v>
      </c>
      <c r="G1668">
        <v>628</v>
      </c>
    </row>
    <row r="1669" spans="1:8" x14ac:dyDescent="0.45">
      <c r="A1669" t="s">
        <v>68</v>
      </c>
      <c r="B1669" t="s">
        <v>20</v>
      </c>
      <c r="C1669">
        <v>8</v>
      </c>
      <c r="D1669" t="s">
        <v>29</v>
      </c>
      <c r="F1669">
        <v>95</v>
      </c>
      <c r="G1669">
        <v>1005</v>
      </c>
    </row>
    <row r="1670" spans="1:8" x14ac:dyDescent="0.45">
      <c r="A1670" t="s">
        <v>68</v>
      </c>
      <c r="B1670" t="s">
        <v>20</v>
      </c>
      <c r="C1670">
        <v>8</v>
      </c>
      <c r="D1670" t="s">
        <v>31</v>
      </c>
      <c r="H1670">
        <v>9</v>
      </c>
    </row>
    <row r="1671" spans="1:8" x14ac:dyDescent="0.45">
      <c r="A1671" t="s">
        <v>68</v>
      </c>
      <c r="B1671" t="s">
        <v>20</v>
      </c>
      <c r="C1671">
        <v>8</v>
      </c>
      <c r="D1671" t="s">
        <v>32</v>
      </c>
      <c r="H1671">
        <v>2</v>
      </c>
    </row>
    <row r="1672" spans="1:8" x14ac:dyDescent="0.45">
      <c r="A1672" t="s">
        <v>68</v>
      </c>
      <c r="B1672" t="s">
        <v>20</v>
      </c>
      <c r="C1672">
        <v>8</v>
      </c>
      <c r="D1672" t="s">
        <v>34</v>
      </c>
      <c r="H1672">
        <v>2</v>
      </c>
    </row>
    <row r="1673" spans="1:8" x14ac:dyDescent="0.45">
      <c r="A1673" t="s">
        <v>68</v>
      </c>
      <c r="B1673" t="s">
        <v>21</v>
      </c>
      <c r="C1673">
        <v>9</v>
      </c>
      <c r="D1673" t="s">
        <v>19</v>
      </c>
      <c r="E1673">
        <v>557005</v>
      </c>
      <c r="F1673">
        <v>1486</v>
      </c>
      <c r="G1673">
        <v>396</v>
      </c>
    </row>
    <row r="1674" spans="1:8" x14ac:dyDescent="0.45">
      <c r="A1674" t="s">
        <v>68</v>
      </c>
      <c r="B1674" t="s">
        <v>21</v>
      </c>
      <c r="C1674">
        <v>9</v>
      </c>
      <c r="D1674" t="s">
        <v>27</v>
      </c>
      <c r="F1674">
        <v>883</v>
      </c>
    </row>
    <row r="1675" spans="1:8" x14ac:dyDescent="0.45">
      <c r="A1675" t="s">
        <v>68</v>
      </c>
      <c r="B1675" t="s">
        <v>21</v>
      </c>
      <c r="C1675">
        <v>9</v>
      </c>
      <c r="D1675" t="s">
        <v>28</v>
      </c>
      <c r="F1675">
        <v>251</v>
      </c>
    </row>
    <row r="1676" spans="1:8" x14ac:dyDescent="0.45">
      <c r="A1676" t="s">
        <v>68</v>
      </c>
      <c r="B1676" t="s">
        <v>21</v>
      </c>
      <c r="C1676">
        <v>9</v>
      </c>
      <c r="D1676" t="s">
        <v>29</v>
      </c>
      <c r="F1676">
        <v>100</v>
      </c>
    </row>
    <row r="1677" spans="1:8" x14ac:dyDescent="0.45">
      <c r="A1677" t="s">
        <v>68</v>
      </c>
      <c r="B1677" t="s">
        <v>20</v>
      </c>
      <c r="C1677">
        <v>9</v>
      </c>
      <c r="D1677" t="s">
        <v>19</v>
      </c>
      <c r="E1677">
        <v>570409</v>
      </c>
      <c r="F1677">
        <v>1506</v>
      </c>
      <c r="G1677">
        <v>423</v>
      </c>
    </row>
    <row r="1678" spans="1:8" x14ac:dyDescent="0.45">
      <c r="A1678" t="s">
        <v>68</v>
      </c>
      <c r="B1678" t="s">
        <v>20</v>
      </c>
      <c r="C1678">
        <v>9</v>
      </c>
      <c r="D1678" t="s">
        <v>27</v>
      </c>
      <c r="F1678">
        <v>850</v>
      </c>
    </row>
    <row r="1679" spans="1:8" x14ac:dyDescent="0.45">
      <c r="A1679" t="s">
        <v>68</v>
      </c>
      <c r="B1679" t="s">
        <v>20</v>
      </c>
      <c r="C1679">
        <v>9</v>
      </c>
      <c r="D1679" t="s">
        <v>28</v>
      </c>
      <c r="F1679">
        <v>285</v>
      </c>
    </row>
    <row r="1680" spans="1:8" x14ac:dyDescent="0.45">
      <c r="A1680" t="s">
        <v>68</v>
      </c>
      <c r="B1680" t="s">
        <v>20</v>
      </c>
      <c r="C1680">
        <v>9</v>
      </c>
      <c r="D1680" t="s">
        <v>29</v>
      </c>
      <c r="F1680">
        <v>120</v>
      </c>
    </row>
    <row r="1681" spans="1:8" x14ac:dyDescent="0.45">
      <c r="A1681" t="s">
        <v>68</v>
      </c>
      <c r="B1681" t="s">
        <v>20</v>
      </c>
      <c r="C1681">
        <v>9</v>
      </c>
      <c r="D1681" t="s">
        <v>31</v>
      </c>
      <c r="H1681">
        <v>103</v>
      </c>
    </row>
    <row r="1682" spans="1:8" x14ac:dyDescent="0.45">
      <c r="A1682" t="s">
        <v>68</v>
      </c>
      <c r="B1682" t="s">
        <v>20</v>
      </c>
      <c r="C1682">
        <v>9</v>
      </c>
      <c r="D1682" t="s">
        <v>32</v>
      </c>
      <c r="H1682">
        <v>7</v>
      </c>
    </row>
    <row r="1683" spans="1:8" x14ac:dyDescent="0.45">
      <c r="A1683" t="s">
        <v>68</v>
      </c>
      <c r="B1683" t="s">
        <v>20</v>
      </c>
      <c r="C1683">
        <v>9</v>
      </c>
      <c r="D1683" t="s">
        <v>34</v>
      </c>
      <c r="H1683">
        <v>2</v>
      </c>
    </row>
    <row r="1684" spans="1:8" x14ac:dyDescent="0.45">
      <c r="A1684" t="s">
        <v>68</v>
      </c>
      <c r="B1684" t="s">
        <v>21</v>
      </c>
      <c r="C1684">
        <v>10</v>
      </c>
      <c r="D1684" t="s">
        <v>19</v>
      </c>
      <c r="E1684">
        <v>1035781</v>
      </c>
      <c r="F1684">
        <v>2741</v>
      </c>
      <c r="G1684">
        <v>685</v>
      </c>
    </row>
    <row r="1685" spans="1:8" x14ac:dyDescent="0.45">
      <c r="A1685" t="s">
        <v>68</v>
      </c>
      <c r="B1685" t="s">
        <v>21</v>
      </c>
      <c r="C1685">
        <v>10</v>
      </c>
      <c r="D1685" t="s">
        <v>27</v>
      </c>
      <c r="F1685">
        <v>1439</v>
      </c>
    </row>
    <row r="1686" spans="1:8" x14ac:dyDescent="0.45">
      <c r="A1686" t="s">
        <v>68</v>
      </c>
      <c r="B1686" t="s">
        <v>21</v>
      </c>
      <c r="C1686">
        <v>10</v>
      </c>
      <c r="D1686" t="s">
        <v>28</v>
      </c>
      <c r="F1686">
        <v>518</v>
      </c>
    </row>
    <row r="1687" spans="1:8" x14ac:dyDescent="0.45">
      <c r="A1687" t="s">
        <v>68</v>
      </c>
      <c r="B1687" t="s">
        <v>21</v>
      </c>
      <c r="C1687">
        <v>10</v>
      </c>
      <c r="D1687" t="s">
        <v>29</v>
      </c>
      <c r="F1687">
        <v>276</v>
      </c>
    </row>
    <row r="1688" spans="1:8" x14ac:dyDescent="0.45">
      <c r="A1688" t="s">
        <v>68</v>
      </c>
      <c r="B1688" t="s">
        <v>20</v>
      </c>
      <c r="C1688">
        <v>10</v>
      </c>
      <c r="D1688" t="s">
        <v>19</v>
      </c>
      <c r="E1688">
        <v>906551</v>
      </c>
      <c r="F1688">
        <v>2195</v>
      </c>
      <c r="G1688">
        <v>597</v>
      </c>
    </row>
    <row r="1689" spans="1:8" x14ac:dyDescent="0.45">
      <c r="A1689" t="s">
        <v>68</v>
      </c>
      <c r="B1689" t="s">
        <v>20</v>
      </c>
      <c r="C1689">
        <v>10</v>
      </c>
      <c r="D1689" t="s">
        <v>27</v>
      </c>
      <c r="F1689">
        <v>1160</v>
      </c>
    </row>
    <row r="1690" spans="1:8" x14ac:dyDescent="0.45">
      <c r="A1690" t="s">
        <v>68</v>
      </c>
      <c r="B1690" t="s">
        <v>20</v>
      </c>
      <c r="C1690">
        <v>10</v>
      </c>
      <c r="D1690" t="s">
        <v>28</v>
      </c>
      <c r="F1690">
        <v>437</v>
      </c>
    </row>
    <row r="1691" spans="1:8" x14ac:dyDescent="0.45">
      <c r="A1691" t="s">
        <v>68</v>
      </c>
      <c r="B1691" t="s">
        <v>20</v>
      </c>
      <c r="C1691">
        <v>10</v>
      </c>
      <c r="D1691" t="s">
        <v>29</v>
      </c>
      <c r="F1691">
        <v>261</v>
      </c>
    </row>
    <row r="1692" spans="1:8" x14ac:dyDescent="0.45">
      <c r="A1692" t="s">
        <v>68</v>
      </c>
      <c r="B1692" t="s">
        <v>20</v>
      </c>
      <c r="C1692">
        <v>10</v>
      </c>
      <c r="D1692" t="s">
        <v>31</v>
      </c>
      <c r="H1692">
        <v>84</v>
      </c>
    </row>
    <row r="1693" spans="1:8" x14ac:dyDescent="0.45">
      <c r="A1693" t="s">
        <v>68</v>
      </c>
      <c r="B1693" t="s">
        <v>20</v>
      </c>
      <c r="C1693">
        <v>10</v>
      </c>
      <c r="D1693" t="s">
        <v>32</v>
      </c>
      <c r="H1693">
        <v>9</v>
      </c>
    </row>
    <row r="1694" spans="1:8" x14ac:dyDescent="0.45">
      <c r="A1694" t="s">
        <v>68</v>
      </c>
      <c r="B1694" t="s">
        <v>20</v>
      </c>
      <c r="C1694">
        <v>10</v>
      </c>
      <c r="D1694" t="s">
        <v>34</v>
      </c>
      <c r="H1694">
        <v>4</v>
      </c>
    </row>
    <row r="1695" spans="1:8" x14ac:dyDescent="0.45">
      <c r="A1695" t="s">
        <v>68</v>
      </c>
      <c r="B1695" t="s">
        <v>21</v>
      </c>
      <c r="C1695">
        <v>11</v>
      </c>
      <c r="D1695" t="s">
        <v>19</v>
      </c>
      <c r="E1695">
        <v>790294</v>
      </c>
      <c r="F1695">
        <v>1954</v>
      </c>
      <c r="G1695">
        <v>541</v>
      </c>
    </row>
    <row r="1696" spans="1:8" x14ac:dyDescent="0.45">
      <c r="A1696" t="s">
        <v>68</v>
      </c>
      <c r="B1696" t="s">
        <v>21</v>
      </c>
      <c r="C1696">
        <v>11</v>
      </c>
      <c r="D1696" t="s">
        <v>27</v>
      </c>
      <c r="F1696">
        <v>1094</v>
      </c>
    </row>
    <row r="1697" spans="1:8" x14ac:dyDescent="0.45">
      <c r="A1697" t="s">
        <v>68</v>
      </c>
      <c r="B1697" t="s">
        <v>21</v>
      </c>
      <c r="C1697">
        <v>11</v>
      </c>
      <c r="D1697" t="s">
        <v>28</v>
      </c>
      <c r="F1697">
        <v>314</v>
      </c>
    </row>
    <row r="1698" spans="1:8" x14ac:dyDescent="0.45">
      <c r="A1698" t="s">
        <v>68</v>
      </c>
      <c r="B1698" t="s">
        <v>21</v>
      </c>
      <c r="C1698">
        <v>11</v>
      </c>
      <c r="D1698" t="s">
        <v>29</v>
      </c>
      <c r="F1698">
        <v>220</v>
      </c>
    </row>
    <row r="1699" spans="1:8" x14ac:dyDescent="0.45">
      <c r="A1699" t="s">
        <v>68</v>
      </c>
      <c r="B1699" t="s">
        <v>20</v>
      </c>
      <c r="C1699">
        <v>11</v>
      </c>
      <c r="D1699" t="s">
        <v>19</v>
      </c>
      <c r="E1699">
        <v>817545</v>
      </c>
      <c r="F1699">
        <v>2015</v>
      </c>
      <c r="G1699">
        <v>596</v>
      </c>
    </row>
    <row r="1700" spans="1:8" x14ac:dyDescent="0.45">
      <c r="A1700" t="s">
        <v>68</v>
      </c>
      <c r="B1700" t="s">
        <v>20</v>
      </c>
      <c r="C1700">
        <v>11</v>
      </c>
      <c r="D1700" t="s">
        <v>27</v>
      </c>
      <c r="F1700">
        <v>943</v>
      </c>
    </row>
    <row r="1701" spans="1:8" x14ac:dyDescent="0.45">
      <c r="A1701" t="s">
        <v>68</v>
      </c>
      <c r="B1701" t="s">
        <v>20</v>
      </c>
      <c r="C1701">
        <v>11</v>
      </c>
      <c r="D1701" t="s">
        <v>28</v>
      </c>
      <c r="F1701">
        <v>422</v>
      </c>
    </row>
    <row r="1702" spans="1:8" x14ac:dyDescent="0.45">
      <c r="A1702" t="s">
        <v>68</v>
      </c>
      <c r="B1702" t="s">
        <v>20</v>
      </c>
      <c r="C1702">
        <v>11</v>
      </c>
      <c r="D1702" t="s">
        <v>29</v>
      </c>
      <c r="F1702">
        <v>236</v>
      </c>
    </row>
    <row r="1703" spans="1:8" x14ac:dyDescent="0.45">
      <c r="A1703" t="s">
        <v>68</v>
      </c>
      <c r="B1703" t="s">
        <v>20</v>
      </c>
      <c r="C1703">
        <v>11</v>
      </c>
      <c r="D1703" t="s">
        <v>31</v>
      </c>
      <c r="H1703">
        <v>177</v>
      </c>
    </row>
    <row r="1704" spans="1:8" x14ac:dyDescent="0.45">
      <c r="A1704" t="s">
        <v>68</v>
      </c>
      <c r="B1704" t="s">
        <v>20</v>
      </c>
      <c r="C1704">
        <v>11</v>
      </c>
      <c r="D1704" t="s">
        <v>32</v>
      </c>
      <c r="H1704">
        <v>4</v>
      </c>
    </row>
    <row r="1705" spans="1:8" x14ac:dyDescent="0.45">
      <c r="A1705" t="s">
        <v>68</v>
      </c>
      <c r="B1705" t="s">
        <v>20</v>
      </c>
      <c r="C1705">
        <v>11</v>
      </c>
      <c r="D1705" t="s">
        <v>34</v>
      </c>
      <c r="H1705">
        <v>5</v>
      </c>
    </row>
    <row r="1706" spans="1:8" x14ac:dyDescent="0.45">
      <c r="A1706" t="s">
        <v>68</v>
      </c>
      <c r="B1706" t="s">
        <v>21</v>
      </c>
      <c r="C1706">
        <v>12</v>
      </c>
      <c r="D1706" t="s">
        <v>19</v>
      </c>
      <c r="E1706">
        <v>873134</v>
      </c>
      <c r="F1706">
        <v>2389</v>
      </c>
      <c r="G1706">
        <v>566</v>
      </c>
    </row>
    <row r="1707" spans="1:8" x14ac:dyDescent="0.45">
      <c r="A1707" t="s">
        <v>68</v>
      </c>
      <c r="B1707" t="s">
        <v>21</v>
      </c>
      <c r="C1707">
        <v>12</v>
      </c>
      <c r="D1707" t="s">
        <v>27</v>
      </c>
      <c r="F1707">
        <v>1184</v>
      </c>
    </row>
    <row r="1708" spans="1:8" x14ac:dyDescent="0.45">
      <c r="A1708" t="s">
        <v>68</v>
      </c>
      <c r="B1708" t="s">
        <v>21</v>
      </c>
      <c r="C1708">
        <v>12</v>
      </c>
      <c r="D1708" t="s">
        <v>28</v>
      </c>
      <c r="F1708">
        <v>462</v>
      </c>
    </row>
    <row r="1709" spans="1:8" x14ac:dyDescent="0.45">
      <c r="A1709" t="s">
        <v>68</v>
      </c>
      <c r="B1709" t="s">
        <v>21</v>
      </c>
      <c r="C1709">
        <v>12</v>
      </c>
      <c r="D1709" t="s">
        <v>29</v>
      </c>
      <c r="F1709">
        <v>324</v>
      </c>
    </row>
    <row r="1710" spans="1:8" x14ac:dyDescent="0.45">
      <c r="A1710" t="s">
        <v>68</v>
      </c>
      <c r="B1710" t="s">
        <v>20</v>
      </c>
      <c r="C1710">
        <v>12</v>
      </c>
      <c r="D1710" t="s">
        <v>19</v>
      </c>
      <c r="E1710">
        <v>913965</v>
      </c>
      <c r="F1710">
        <v>2200</v>
      </c>
      <c r="G1710">
        <v>570</v>
      </c>
    </row>
    <row r="1711" spans="1:8" x14ac:dyDescent="0.45">
      <c r="A1711" t="s">
        <v>68</v>
      </c>
      <c r="B1711" t="s">
        <v>20</v>
      </c>
      <c r="C1711">
        <v>12</v>
      </c>
      <c r="D1711" t="s">
        <v>27</v>
      </c>
      <c r="F1711">
        <v>1003</v>
      </c>
    </row>
    <row r="1712" spans="1:8" x14ac:dyDescent="0.45">
      <c r="A1712" t="s">
        <v>68</v>
      </c>
      <c r="B1712" t="s">
        <v>20</v>
      </c>
      <c r="C1712">
        <v>12</v>
      </c>
      <c r="D1712" t="s">
        <v>28</v>
      </c>
      <c r="F1712">
        <v>420</v>
      </c>
    </row>
    <row r="1713" spans="1:8" x14ac:dyDescent="0.45">
      <c r="A1713" t="s">
        <v>68</v>
      </c>
      <c r="B1713" t="s">
        <v>20</v>
      </c>
      <c r="C1713">
        <v>12</v>
      </c>
      <c r="D1713" t="s">
        <v>29</v>
      </c>
      <c r="F1713">
        <v>329</v>
      </c>
    </row>
    <row r="1714" spans="1:8" x14ac:dyDescent="0.45">
      <c r="A1714" t="s">
        <v>68</v>
      </c>
      <c r="B1714" t="s">
        <v>20</v>
      </c>
      <c r="C1714">
        <v>12</v>
      </c>
      <c r="D1714" t="s">
        <v>31</v>
      </c>
      <c r="H1714">
        <v>45</v>
      </c>
    </row>
    <row r="1715" spans="1:8" x14ac:dyDescent="0.45">
      <c r="A1715" t="s">
        <v>68</v>
      </c>
      <c r="B1715" t="s">
        <v>20</v>
      </c>
      <c r="C1715">
        <v>12</v>
      </c>
      <c r="D1715" t="s">
        <v>32</v>
      </c>
      <c r="H1715">
        <v>3</v>
      </c>
    </row>
    <row r="1716" spans="1:8" x14ac:dyDescent="0.45">
      <c r="A1716" t="s">
        <v>68</v>
      </c>
      <c r="B1716" t="s">
        <v>20</v>
      </c>
      <c r="C1716">
        <v>12</v>
      </c>
      <c r="D1716" t="s">
        <v>34</v>
      </c>
      <c r="H1716">
        <v>6</v>
      </c>
    </row>
    <row r="1717" spans="1:8" x14ac:dyDescent="0.45">
      <c r="A1717" t="s">
        <v>75</v>
      </c>
      <c r="B1717" t="s">
        <v>21</v>
      </c>
      <c r="C1717">
        <v>1</v>
      </c>
      <c r="D1717" t="s">
        <v>19</v>
      </c>
      <c r="E1717">
        <v>1025882</v>
      </c>
      <c r="F1717">
        <v>1966</v>
      </c>
      <c r="G1717">
        <v>568</v>
      </c>
    </row>
    <row r="1718" spans="1:8" x14ac:dyDescent="0.45">
      <c r="A1718" t="s">
        <v>75</v>
      </c>
      <c r="B1718" t="s">
        <v>21</v>
      </c>
      <c r="C1718">
        <v>1</v>
      </c>
      <c r="D1718" t="s">
        <v>27</v>
      </c>
      <c r="F1718">
        <v>797</v>
      </c>
    </row>
    <row r="1719" spans="1:8" x14ac:dyDescent="0.45">
      <c r="A1719" t="s">
        <v>75</v>
      </c>
      <c r="B1719" t="s">
        <v>21</v>
      </c>
      <c r="C1719">
        <v>1</v>
      </c>
      <c r="D1719" t="s">
        <v>28</v>
      </c>
      <c r="F1719">
        <v>329</v>
      </c>
    </row>
    <row r="1720" spans="1:8" x14ac:dyDescent="0.45">
      <c r="A1720" t="s">
        <v>75</v>
      </c>
      <c r="B1720" t="s">
        <v>21</v>
      </c>
      <c r="C1720">
        <v>1</v>
      </c>
      <c r="D1720" t="s">
        <v>29</v>
      </c>
      <c r="F1720">
        <v>228</v>
      </c>
    </row>
    <row r="1721" spans="1:8" x14ac:dyDescent="0.45">
      <c r="A1721" t="s">
        <v>75</v>
      </c>
      <c r="B1721" t="s">
        <v>20</v>
      </c>
      <c r="C1721">
        <v>1</v>
      </c>
      <c r="D1721" t="s">
        <v>19</v>
      </c>
      <c r="E1721">
        <v>1005552</v>
      </c>
      <c r="F1721">
        <v>1817</v>
      </c>
      <c r="G1721">
        <v>552</v>
      </c>
    </row>
    <row r="1722" spans="1:8" x14ac:dyDescent="0.45">
      <c r="A1722" t="s">
        <v>75</v>
      </c>
      <c r="B1722" t="s">
        <v>20</v>
      </c>
      <c r="C1722">
        <v>1</v>
      </c>
      <c r="D1722" t="s">
        <v>27</v>
      </c>
      <c r="F1722">
        <v>655</v>
      </c>
    </row>
    <row r="1723" spans="1:8" x14ac:dyDescent="0.45">
      <c r="A1723" t="s">
        <v>75</v>
      </c>
      <c r="B1723" t="s">
        <v>20</v>
      </c>
      <c r="C1723">
        <v>1</v>
      </c>
      <c r="D1723" t="s">
        <v>28</v>
      </c>
      <c r="F1723">
        <v>324</v>
      </c>
    </row>
    <row r="1724" spans="1:8" x14ac:dyDescent="0.45">
      <c r="A1724" t="s">
        <v>75</v>
      </c>
      <c r="B1724" t="s">
        <v>20</v>
      </c>
      <c r="C1724">
        <v>1</v>
      </c>
      <c r="D1724" t="s">
        <v>29</v>
      </c>
      <c r="F1724">
        <v>361</v>
      </c>
    </row>
    <row r="1725" spans="1:8" x14ac:dyDescent="0.45">
      <c r="A1725" t="s">
        <v>75</v>
      </c>
      <c r="B1725" t="s">
        <v>20</v>
      </c>
      <c r="C1725">
        <v>1</v>
      </c>
      <c r="D1725" t="s">
        <v>31</v>
      </c>
      <c r="H1725">
        <v>100</v>
      </c>
    </row>
    <row r="1726" spans="1:8" x14ac:dyDescent="0.45">
      <c r="A1726" t="s">
        <v>75</v>
      </c>
      <c r="B1726" t="s">
        <v>20</v>
      </c>
      <c r="C1726">
        <v>1</v>
      </c>
      <c r="D1726" t="s">
        <v>32</v>
      </c>
      <c r="H1726">
        <v>5</v>
      </c>
    </row>
    <row r="1727" spans="1:8" x14ac:dyDescent="0.45">
      <c r="A1727" t="s">
        <v>75</v>
      </c>
      <c r="B1727" t="s">
        <v>20</v>
      </c>
      <c r="C1727">
        <v>1</v>
      </c>
      <c r="D1727" t="s">
        <v>34</v>
      </c>
    </row>
    <row r="1728" spans="1:8" x14ac:dyDescent="0.45">
      <c r="A1728" t="s">
        <v>75</v>
      </c>
      <c r="B1728" t="s">
        <v>21</v>
      </c>
      <c r="C1728">
        <v>2</v>
      </c>
      <c r="D1728" t="s">
        <v>19</v>
      </c>
      <c r="E1728">
        <v>960880</v>
      </c>
      <c r="F1728">
        <v>1768</v>
      </c>
      <c r="G1728">
        <v>517</v>
      </c>
    </row>
    <row r="1729" spans="1:8" x14ac:dyDescent="0.45">
      <c r="A1729" t="s">
        <v>75</v>
      </c>
      <c r="B1729" t="s">
        <v>21</v>
      </c>
      <c r="C1729">
        <v>2</v>
      </c>
      <c r="D1729" t="s">
        <v>27</v>
      </c>
      <c r="F1729">
        <v>788</v>
      </c>
    </row>
    <row r="1730" spans="1:8" x14ac:dyDescent="0.45">
      <c r="A1730" t="s">
        <v>75</v>
      </c>
      <c r="B1730" t="s">
        <v>21</v>
      </c>
      <c r="C1730">
        <v>2</v>
      </c>
      <c r="D1730" t="s">
        <v>28</v>
      </c>
      <c r="F1730">
        <v>258</v>
      </c>
    </row>
    <row r="1731" spans="1:8" x14ac:dyDescent="0.45">
      <c r="A1731" t="s">
        <v>75</v>
      </c>
      <c r="B1731" t="s">
        <v>21</v>
      </c>
      <c r="C1731">
        <v>2</v>
      </c>
      <c r="D1731" t="s">
        <v>29</v>
      </c>
      <c r="F1731">
        <v>200</v>
      </c>
    </row>
    <row r="1732" spans="1:8" x14ac:dyDescent="0.45">
      <c r="A1732" t="s">
        <v>75</v>
      </c>
      <c r="B1732" t="s">
        <v>20</v>
      </c>
      <c r="C1732">
        <v>2</v>
      </c>
      <c r="D1732" t="s">
        <v>19</v>
      </c>
      <c r="E1732">
        <v>944511</v>
      </c>
      <c r="F1732">
        <v>1725</v>
      </c>
      <c r="G1732">
        <v>504</v>
      </c>
    </row>
    <row r="1733" spans="1:8" x14ac:dyDescent="0.45">
      <c r="A1733" t="s">
        <v>75</v>
      </c>
      <c r="B1733" t="s">
        <v>20</v>
      </c>
      <c r="C1733">
        <v>2</v>
      </c>
      <c r="D1733" t="s">
        <v>27</v>
      </c>
      <c r="F1733">
        <v>678</v>
      </c>
    </row>
    <row r="1734" spans="1:8" x14ac:dyDescent="0.45">
      <c r="A1734" t="s">
        <v>75</v>
      </c>
      <c r="B1734" t="s">
        <v>20</v>
      </c>
      <c r="C1734">
        <v>2</v>
      </c>
      <c r="D1734" t="s">
        <v>28</v>
      </c>
      <c r="F1734">
        <v>307</v>
      </c>
    </row>
    <row r="1735" spans="1:8" x14ac:dyDescent="0.45">
      <c r="A1735" t="s">
        <v>75</v>
      </c>
      <c r="B1735" t="s">
        <v>20</v>
      </c>
      <c r="C1735">
        <v>2</v>
      </c>
      <c r="D1735" t="s">
        <v>29</v>
      </c>
      <c r="F1735">
        <v>237</v>
      </c>
    </row>
    <row r="1736" spans="1:8" x14ac:dyDescent="0.45">
      <c r="A1736" t="s">
        <v>75</v>
      </c>
      <c r="B1736" t="s">
        <v>20</v>
      </c>
      <c r="C1736">
        <v>2</v>
      </c>
      <c r="D1736" t="s">
        <v>31</v>
      </c>
      <c r="H1736">
        <v>99</v>
      </c>
    </row>
    <row r="1737" spans="1:8" x14ac:dyDescent="0.45">
      <c r="A1737" t="s">
        <v>75</v>
      </c>
      <c r="B1737" t="s">
        <v>20</v>
      </c>
      <c r="C1737">
        <v>2</v>
      </c>
      <c r="D1737" t="s">
        <v>32</v>
      </c>
      <c r="H1737">
        <v>14</v>
      </c>
    </row>
    <row r="1738" spans="1:8" x14ac:dyDescent="0.45">
      <c r="A1738" t="s">
        <v>75</v>
      </c>
      <c r="B1738" t="s">
        <v>20</v>
      </c>
      <c r="C1738">
        <v>2</v>
      </c>
      <c r="D1738" t="s">
        <v>34</v>
      </c>
      <c r="H1738">
        <v>18</v>
      </c>
    </row>
    <row r="1739" spans="1:8" x14ac:dyDescent="0.45">
      <c r="A1739" t="s">
        <v>75</v>
      </c>
      <c r="B1739" t="s">
        <v>21</v>
      </c>
      <c r="C1739">
        <v>3</v>
      </c>
      <c r="D1739" t="s">
        <v>19</v>
      </c>
      <c r="E1739">
        <v>2266825</v>
      </c>
      <c r="F1739">
        <v>3352</v>
      </c>
      <c r="H1739">
        <v>9</v>
      </c>
    </row>
    <row r="1740" spans="1:8" x14ac:dyDescent="0.45">
      <c r="A1740" t="s">
        <v>75</v>
      </c>
      <c r="B1740" t="s">
        <v>21</v>
      </c>
      <c r="C1740">
        <v>3</v>
      </c>
      <c r="D1740" t="s">
        <v>27</v>
      </c>
      <c r="F1740">
        <v>958</v>
      </c>
    </row>
    <row r="1741" spans="1:8" x14ac:dyDescent="0.45">
      <c r="A1741" t="s">
        <v>75</v>
      </c>
      <c r="B1741" t="s">
        <v>21</v>
      </c>
      <c r="C1741">
        <v>3</v>
      </c>
      <c r="D1741" t="s">
        <v>28</v>
      </c>
      <c r="F1741">
        <v>573</v>
      </c>
    </row>
    <row r="1742" spans="1:8" x14ac:dyDescent="0.45">
      <c r="A1742" t="s">
        <v>75</v>
      </c>
      <c r="B1742" t="s">
        <v>21</v>
      </c>
      <c r="C1742">
        <v>3</v>
      </c>
      <c r="D1742" t="s">
        <v>29</v>
      </c>
      <c r="F1742">
        <v>494</v>
      </c>
    </row>
    <row r="1743" spans="1:8" x14ac:dyDescent="0.45">
      <c r="A1743" t="s">
        <v>75</v>
      </c>
      <c r="B1743" t="s">
        <v>20</v>
      </c>
      <c r="C1743">
        <v>3</v>
      </c>
      <c r="D1743" t="s">
        <v>19</v>
      </c>
      <c r="E1743">
        <v>1548959</v>
      </c>
      <c r="F1743">
        <v>2547</v>
      </c>
      <c r="G1743">
        <v>755</v>
      </c>
    </row>
    <row r="1744" spans="1:8" x14ac:dyDescent="0.45">
      <c r="A1744" t="s">
        <v>75</v>
      </c>
      <c r="B1744" t="s">
        <v>20</v>
      </c>
      <c r="C1744">
        <v>3</v>
      </c>
      <c r="D1744" t="s">
        <v>27</v>
      </c>
      <c r="F1744">
        <v>819</v>
      </c>
    </row>
    <row r="1745" spans="1:8" x14ac:dyDescent="0.45">
      <c r="A1745" t="s">
        <v>75</v>
      </c>
      <c r="B1745" t="s">
        <v>20</v>
      </c>
      <c r="C1745">
        <v>3</v>
      </c>
      <c r="D1745" t="s">
        <v>28</v>
      </c>
      <c r="F1745">
        <v>432</v>
      </c>
    </row>
    <row r="1746" spans="1:8" x14ac:dyDescent="0.45">
      <c r="A1746" t="s">
        <v>75</v>
      </c>
      <c r="B1746" t="s">
        <v>20</v>
      </c>
      <c r="C1746">
        <v>3</v>
      </c>
      <c r="D1746" t="s">
        <v>29</v>
      </c>
      <c r="F1746">
        <v>376</v>
      </c>
    </row>
    <row r="1747" spans="1:8" x14ac:dyDescent="0.45">
      <c r="A1747" t="s">
        <v>75</v>
      </c>
      <c r="B1747" t="s">
        <v>20</v>
      </c>
      <c r="C1747">
        <v>3</v>
      </c>
      <c r="D1747" t="s">
        <v>31</v>
      </c>
      <c r="H1747">
        <v>156</v>
      </c>
    </row>
    <row r="1748" spans="1:8" x14ac:dyDescent="0.45">
      <c r="A1748" t="s">
        <v>75</v>
      </c>
      <c r="B1748" t="s">
        <v>20</v>
      </c>
      <c r="C1748">
        <v>3</v>
      </c>
      <c r="D1748" t="s">
        <v>32</v>
      </c>
      <c r="H1748">
        <v>11</v>
      </c>
    </row>
    <row r="1749" spans="1:8" x14ac:dyDescent="0.45">
      <c r="A1749" t="s">
        <v>75</v>
      </c>
      <c r="B1749" t="s">
        <v>20</v>
      </c>
      <c r="C1749">
        <v>3</v>
      </c>
      <c r="D1749" t="s">
        <v>34</v>
      </c>
      <c r="H1749">
        <v>15</v>
      </c>
    </row>
    <row r="1750" spans="1:8" x14ac:dyDescent="0.45">
      <c r="A1750" t="s">
        <v>75</v>
      </c>
      <c r="B1750" t="s">
        <v>21</v>
      </c>
      <c r="C1750">
        <v>4</v>
      </c>
      <c r="D1750" t="s">
        <v>19</v>
      </c>
      <c r="E1750">
        <v>2763429</v>
      </c>
      <c r="F1750">
        <v>3830</v>
      </c>
    </row>
    <row r="1751" spans="1:8" x14ac:dyDescent="0.45">
      <c r="A1751" t="s">
        <v>75</v>
      </c>
      <c r="B1751" t="s">
        <v>21</v>
      </c>
      <c r="C1751">
        <v>4</v>
      </c>
      <c r="D1751" t="s">
        <v>27</v>
      </c>
      <c r="F1751">
        <v>1006</v>
      </c>
    </row>
    <row r="1752" spans="1:8" x14ac:dyDescent="0.45">
      <c r="A1752" t="s">
        <v>75</v>
      </c>
      <c r="B1752" t="s">
        <v>21</v>
      </c>
      <c r="C1752">
        <v>4</v>
      </c>
      <c r="D1752" t="s">
        <v>28</v>
      </c>
      <c r="F1752">
        <v>568</v>
      </c>
    </row>
    <row r="1753" spans="1:8" x14ac:dyDescent="0.45">
      <c r="A1753" t="s">
        <v>75</v>
      </c>
      <c r="B1753" t="s">
        <v>21</v>
      </c>
      <c r="C1753">
        <v>4</v>
      </c>
      <c r="D1753" t="s">
        <v>29</v>
      </c>
      <c r="F1753">
        <v>513</v>
      </c>
    </row>
    <row r="1754" spans="1:8" x14ac:dyDescent="0.45">
      <c r="A1754" t="s">
        <v>75</v>
      </c>
      <c r="B1754" t="s">
        <v>20</v>
      </c>
      <c r="C1754">
        <v>4</v>
      </c>
      <c r="D1754" t="s">
        <v>19</v>
      </c>
      <c r="E1754">
        <v>2939297</v>
      </c>
      <c r="F1754">
        <v>4051</v>
      </c>
      <c r="G1754">
        <v>1027</v>
      </c>
    </row>
    <row r="1755" spans="1:8" x14ac:dyDescent="0.45">
      <c r="A1755" t="s">
        <v>75</v>
      </c>
      <c r="B1755" t="s">
        <v>20</v>
      </c>
      <c r="C1755">
        <v>4</v>
      </c>
      <c r="D1755" t="s">
        <v>27</v>
      </c>
      <c r="F1755">
        <v>880</v>
      </c>
    </row>
    <row r="1756" spans="1:8" x14ac:dyDescent="0.45">
      <c r="A1756" t="s">
        <v>75</v>
      </c>
      <c r="B1756" t="s">
        <v>20</v>
      </c>
      <c r="C1756">
        <v>4</v>
      </c>
      <c r="D1756" t="s">
        <v>28</v>
      </c>
      <c r="F1756">
        <v>663</v>
      </c>
    </row>
    <row r="1757" spans="1:8" x14ac:dyDescent="0.45">
      <c r="A1757" t="s">
        <v>75</v>
      </c>
      <c r="B1757" t="s">
        <v>20</v>
      </c>
      <c r="C1757">
        <v>4</v>
      </c>
      <c r="D1757" t="s">
        <v>29</v>
      </c>
      <c r="F1757">
        <v>547</v>
      </c>
    </row>
    <row r="1758" spans="1:8" x14ac:dyDescent="0.45">
      <c r="A1758" t="s">
        <v>75</v>
      </c>
      <c r="B1758" t="s">
        <v>20</v>
      </c>
      <c r="C1758">
        <v>4</v>
      </c>
      <c r="D1758" t="s">
        <v>31</v>
      </c>
      <c r="H1758">
        <v>140</v>
      </c>
    </row>
    <row r="1759" spans="1:8" x14ac:dyDescent="0.45">
      <c r="A1759" t="s">
        <v>75</v>
      </c>
      <c r="B1759" t="s">
        <v>20</v>
      </c>
      <c r="C1759">
        <v>4</v>
      </c>
      <c r="D1759" t="s">
        <v>32</v>
      </c>
      <c r="H1759">
        <v>19</v>
      </c>
    </row>
    <row r="1760" spans="1:8" x14ac:dyDescent="0.45">
      <c r="A1760" t="s">
        <v>75</v>
      </c>
      <c r="B1760" t="s">
        <v>20</v>
      </c>
      <c r="C1760">
        <v>4</v>
      </c>
      <c r="D1760" t="s">
        <v>34</v>
      </c>
      <c r="H1760">
        <v>17</v>
      </c>
    </row>
    <row r="1761" spans="1:8" x14ac:dyDescent="0.45">
      <c r="A1761" t="s">
        <v>75</v>
      </c>
      <c r="B1761" t="s">
        <v>21</v>
      </c>
      <c r="C1761">
        <v>5</v>
      </c>
      <c r="D1761" t="s">
        <v>19</v>
      </c>
      <c r="E1761">
        <v>2790896</v>
      </c>
      <c r="F1761">
        <v>3316</v>
      </c>
      <c r="G1761">
        <v>808</v>
      </c>
      <c r="H1761">
        <v>8</v>
      </c>
    </row>
    <row r="1762" spans="1:8" x14ac:dyDescent="0.45">
      <c r="A1762" t="s">
        <v>75</v>
      </c>
      <c r="B1762" t="s">
        <v>21</v>
      </c>
      <c r="C1762">
        <v>5</v>
      </c>
      <c r="D1762" t="s">
        <v>27</v>
      </c>
      <c r="F1762">
        <v>845</v>
      </c>
    </row>
    <row r="1763" spans="1:8" x14ac:dyDescent="0.45">
      <c r="A1763" t="s">
        <v>75</v>
      </c>
      <c r="B1763" t="s">
        <v>21</v>
      </c>
      <c r="C1763">
        <v>5</v>
      </c>
      <c r="D1763" t="s">
        <v>28</v>
      </c>
      <c r="F1763">
        <v>514</v>
      </c>
    </row>
    <row r="1764" spans="1:8" x14ac:dyDescent="0.45">
      <c r="A1764" t="s">
        <v>75</v>
      </c>
      <c r="B1764" t="s">
        <v>21</v>
      </c>
      <c r="C1764">
        <v>5</v>
      </c>
      <c r="D1764" t="s">
        <v>29</v>
      </c>
      <c r="F1764">
        <v>438</v>
      </c>
    </row>
    <row r="1765" spans="1:8" x14ac:dyDescent="0.45">
      <c r="A1765" t="s">
        <v>75</v>
      </c>
      <c r="B1765" t="s">
        <v>20</v>
      </c>
      <c r="C1765">
        <v>5</v>
      </c>
      <c r="D1765" t="s">
        <v>19</v>
      </c>
      <c r="E1765">
        <v>2053734</v>
      </c>
      <c r="F1765">
        <v>2762</v>
      </c>
    </row>
    <row r="1766" spans="1:8" x14ac:dyDescent="0.45">
      <c r="A1766" t="s">
        <v>75</v>
      </c>
      <c r="B1766" t="s">
        <v>20</v>
      </c>
      <c r="C1766">
        <v>5</v>
      </c>
      <c r="D1766" t="s">
        <v>27</v>
      </c>
      <c r="F1766">
        <v>691</v>
      </c>
    </row>
    <row r="1767" spans="1:8" x14ac:dyDescent="0.45">
      <c r="A1767" t="s">
        <v>75</v>
      </c>
      <c r="B1767" t="s">
        <v>20</v>
      </c>
      <c r="C1767">
        <v>5</v>
      </c>
      <c r="D1767" t="s">
        <v>28</v>
      </c>
      <c r="F1767">
        <v>430</v>
      </c>
    </row>
    <row r="1768" spans="1:8" x14ac:dyDescent="0.45">
      <c r="A1768" t="s">
        <v>75</v>
      </c>
      <c r="B1768" t="s">
        <v>20</v>
      </c>
      <c r="C1768">
        <v>5</v>
      </c>
      <c r="D1768" t="s">
        <v>29</v>
      </c>
      <c r="F1768">
        <v>364</v>
      </c>
    </row>
    <row r="1769" spans="1:8" x14ac:dyDescent="0.45">
      <c r="A1769" t="s">
        <v>75</v>
      </c>
      <c r="B1769" t="s">
        <v>20</v>
      </c>
      <c r="C1769">
        <v>5</v>
      </c>
      <c r="D1769" t="s">
        <v>31</v>
      </c>
      <c r="H1769">
        <v>139</v>
      </c>
    </row>
    <row r="1770" spans="1:8" x14ac:dyDescent="0.45">
      <c r="A1770" t="s">
        <v>75</v>
      </c>
      <c r="B1770" t="s">
        <v>20</v>
      </c>
      <c r="C1770">
        <v>5</v>
      </c>
      <c r="D1770" t="s">
        <v>32</v>
      </c>
      <c r="H1770">
        <v>12</v>
      </c>
    </row>
    <row r="1771" spans="1:8" x14ac:dyDescent="0.45">
      <c r="A1771" t="s">
        <v>75</v>
      </c>
      <c r="B1771" t="s">
        <v>20</v>
      </c>
      <c r="C1771">
        <v>5</v>
      </c>
      <c r="D1771" t="s">
        <v>34</v>
      </c>
      <c r="H1771">
        <v>13</v>
      </c>
    </row>
    <row r="1772" spans="1:8" x14ac:dyDescent="0.45">
      <c r="A1772" t="s">
        <v>75</v>
      </c>
      <c r="B1772" t="s">
        <v>21</v>
      </c>
      <c r="C1772">
        <v>6</v>
      </c>
      <c r="D1772" t="s">
        <v>19</v>
      </c>
      <c r="E1772">
        <v>1875314</v>
      </c>
      <c r="F1772">
        <v>2656</v>
      </c>
      <c r="H1772">
        <v>11</v>
      </c>
    </row>
    <row r="1773" spans="1:8" x14ac:dyDescent="0.45">
      <c r="A1773" t="s">
        <v>75</v>
      </c>
      <c r="B1773" t="s">
        <v>21</v>
      </c>
      <c r="C1773">
        <v>6</v>
      </c>
      <c r="D1773" t="s">
        <v>27</v>
      </c>
      <c r="F1773">
        <v>917</v>
      </c>
    </row>
    <row r="1774" spans="1:8" x14ac:dyDescent="0.45">
      <c r="A1774" t="s">
        <v>75</v>
      </c>
      <c r="B1774" t="s">
        <v>21</v>
      </c>
      <c r="C1774">
        <v>6</v>
      </c>
      <c r="D1774" t="s">
        <v>28</v>
      </c>
      <c r="F1774">
        <v>506</v>
      </c>
    </row>
    <row r="1775" spans="1:8" x14ac:dyDescent="0.45">
      <c r="A1775" t="s">
        <v>75</v>
      </c>
      <c r="B1775" t="s">
        <v>21</v>
      </c>
      <c r="C1775">
        <v>6</v>
      </c>
      <c r="D1775" t="s">
        <v>29</v>
      </c>
      <c r="F1775">
        <v>393</v>
      </c>
    </row>
    <row r="1776" spans="1:8" x14ac:dyDescent="0.45">
      <c r="A1776" t="s">
        <v>75</v>
      </c>
      <c r="B1776" t="s">
        <v>20</v>
      </c>
      <c r="C1776">
        <v>6</v>
      </c>
      <c r="D1776" t="s">
        <v>19</v>
      </c>
      <c r="E1776">
        <v>1862275</v>
      </c>
      <c r="F1776">
        <v>2689</v>
      </c>
      <c r="H1776">
        <v>6</v>
      </c>
    </row>
    <row r="1777" spans="1:8" x14ac:dyDescent="0.45">
      <c r="A1777" t="s">
        <v>75</v>
      </c>
      <c r="B1777" t="s">
        <v>20</v>
      </c>
      <c r="C1777">
        <v>6</v>
      </c>
      <c r="D1777" t="s">
        <v>27</v>
      </c>
      <c r="F1777">
        <v>820</v>
      </c>
    </row>
    <row r="1778" spans="1:8" x14ac:dyDescent="0.45">
      <c r="A1778" t="s">
        <v>75</v>
      </c>
      <c r="B1778" t="s">
        <v>20</v>
      </c>
      <c r="C1778">
        <v>6</v>
      </c>
      <c r="D1778" t="s">
        <v>28</v>
      </c>
      <c r="F1778">
        <v>444</v>
      </c>
    </row>
    <row r="1779" spans="1:8" x14ac:dyDescent="0.45">
      <c r="A1779" t="s">
        <v>75</v>
      </c>
      <c r="B1779" t="s">
        <v>20</v>
      </c>
      <c r="C1779">
        <v>6</v>
      </c>
      <c r="D1779" t="s">
        <v>29</v>
      </c>
      <c r="F1779">
        <v>346</v>
      </c>
    </row>
    <row r="1780" spans="1:8" x14ac:dyDescent="0.45">
      <c r="A1780" t="s">
        <v>75</v>
      </c>
      <c r="B1780" t="s">
        <v>20</v>
      </c>
      <c r="C1780">
        <v>6</v>
      </c>
      <c r="D1780" t="s">
        <v>31</v>
      </c>
      <c r="H1780">
        <v>56</v>
      </c>
    </row>
    <row r="1781" spans="1:8" x14ac:dyDescent="0.45">
      <c r="A1781" t="s">
        <v>75</v>
      </c>
      <c r="B1781" t="s">
        <v>20</v>
      </c>
      <c r="C1781">
        <v>6</v>
      </c>
      <c r="D1781" t="s">
        <v>32</v>
      </c>
      <c r="H1781">
        <v>7</v>
      </c>
    </row>
    <row r="1782" spans="1:8" x14ac:dyDescent="0.45">
      <c r="A1782" t="s">
        <v>75</v>
      </c>
      <c r="B1782" t="s">
        <v>20</v>
      </c>
      <c r="C1782">
        <v>6</v>
      </c>
      <c r="D1782" t="s">
        <v>34</v>
      </c>
      <c r="H1782">
        <v>12</v>
      </c>
    </row>
    <row r="1783" spans="1:8" x14ac:dyDescent="0.45">
      <c r="A1783" t="s">
        <v>75</v>
      </c>
      <c r="B1783" t="s">
        <v>21</v>
      </c>
      <c r="C1783">
        <v>7</v>
      </c>
      <c r="D1783" t="s">
        <v>19</v>
      </c>
      <c r="E1783">
        <v>1433317</v>
      </c>
      <c r="F1783">
        <v>2323</v>
      </c>
      <c r="G1783">
        <v>673</v>
      </c>
    </row>
    <row r="1784" spans="1:8" x14ac:dyDescent="0.45">
      <c r="A1784" t="s">
        <v>75</v>
      </c>
      <c r="B1784" t="s">
        <v>21</v>
      </c>
      <c r="C1784">
        <v>7</v>
      </c>
      <c r="D1784" t="s">
        <v>27</v>
      </c>
      <c r="F1784">
        <v>839</v>
      </c>
    </row>
    <row r="1785" spans="1:8" x14ac:dyDescent="0.45">
      <c r="A1785" t="s">
        <v>75</v>
      </c>
      <c r="B1785" t="s">
        <v>21</v>
      </c>
      <c r="C1785">
        <v>7</v>
      </c>
      <c r="D1785" t="s">
        <v>28</v>
      </c>
      <c r="F1785">
        <v>414</v>
      </c>
    </row>
    <row r="1786" spans="1:8" x14ac:dyDescent="0.45">
      <c r="A1786" t="s">
        <v>75</v>
      </c>
      <c r="B1786" t="s">
        <v>21</v>
      </c>
      <c r="C1786">
        <v>7</v>
      </c>
      <c r="D1786" t="s">
        <v>29</v>
      </c>
      <c r="F1786">
        <v>272</v>
      </c>
    </row>
    <row r="1787" spans="1:8" x14ac:dyDescent="0.45">
      <c r="A1787" t="s">
        <v>75</v>
      </c>
      <c r="B1787" t="s">
        <v>20</v>
      </c>
      <c r="C1787">
        <v>7</v>
      </c>
      <c r="D1787" t="s">
        <v>19</v>
      </c>
      <c r="E1787">
        <v>1705770</v>
      </c>
      <c r="F1787">
        <v>2225</v>
      </c>
      <c r="G1787">
        <v>658</v>
      </c>
    </row>
    <row r="1788" spans="1:8" x14ac:dyDescent="0.45">
      <c r="A1788" t="s">
        <v>75</v>
      </c>
      <c r="B1788" t="s">
        <v>20</v>
      </c>
      <c r="C1788">
        <v>7</v>
      </c>
      <c r="D1788" t="s">
        <v>27</v>
      </c>
      <c r="F1788">
        <v>680</v>
      </c>
    </row>
    <row r="1789" spans="1:8" x14ac:dyDescent="0.45">
      <c r="A1789" t="s">
        <v>75</v>
      </c>
      <c r="B1789" t="s">
        <v>20</v>
      </c>
      <c r="C1789">
        <v>7</v>
      </c>
      <c r="D1789" t="s">
        <v>28</v>
      </c>
      <c r="F1789">
        <v>442</v>
      </c>
    </row>
    <row r="1790" spans="1:8" x14ac:dyDescent="0.45">
      <c r="A1790" t="s">
        <v>75</v>
      </c>
      <c r="B1790" t="s">
        <v>20</v>
      </c>
      <c r="C1790">
        <v>7</v>
      </c>
      <c r="D1790" t="s">
        <v>29</v>
      </c>
      <c r="F1790">
        <v>296</v>
      </c>
    </row>
    <row r="1791" spans="1:8" x14ac:dyDescent="0.45">
      <c r="A1791" t="s">
        <v>75</v>
      </c>
      <c r="B1791" t="s">
        <v>20</v>
      </c>
      <c r="C1791">
        <v>7</v>
      </c>
      <c r="D1791" t="s">
        <v>31</v>
      </c>
      <c r="H1791">
        <v>242</v>
      </c>
    </row>
    <row r="1792" spans="1:8" x14ac:dyDescent="0.45">
      <c r="A1792" t="s">
        <v>75</v>
      </c>
      <c r="B1792" t="s">
        <v>20</v>
      </c>
      <c r="C1792">
        <v>7</v>
      </c>
      <c r="D1792" t="s">
        <v>32</v>
      </c>
      <c r="H1792">
        <v>11</v>
      </c>
    </row>
    <row r="1793" spans="1:8" x14ac:dyDescent="0.45">
      <c r="A1793" t="s">
        <v>75</v>
      </c>
      <c r="B1793" t="s">
        <v>20</v>
      </c>
      <c r="C1793">
        <v>7</v>
      </c>
      <c r="D1793" t="s">
        <v>34</v>
      </c>
      <c r="H1793">
        <v>15</v>
      </c>
    </row>
    <row r="1794" spans="1:8" x14ac:dyDescent="0.45">
      <c r="A1794" t="s">
        <v>75</v>
      </c>
      <c r="B1794" t="s">
        <v>21</v>
      </c>
      <c r="C1794">
        <v>8</v>
      </c>
      <c r="D1794" t="s">
        <v>19</v>
      </c>
      <c r="E1794">
        <v>1172462</v>
      </c>
      <c r="F1794">
        <v>1966</v>
      </c>
      <c r="G1794">
        <v>590</v>
      </c>
    </row>
    <row r="1795" spans="1:8" x14ac:dyDescent="0.45">
      <c r="A1795" t="s">
        <v>75</v>
      </c>
      <c r="B1795" t="s">
        <v>21</v>
      </c>
      <c r="C1795">
        <v>8</v>
      </c>
      <c r="D1795" t="s">
        <v>27</v>
      </c>
      <c r="F1795">
        <v>747</v>
      </c>
      <c r="G1795">
        <v>901</v>
      </c>
    </row>
    <row r="1796" spans="1:8" x14ac:dyDescent="0.45">
      <c r="A1796" t="s">
        <v>75</v>
      </c>
      <c r="B1796" t="s">
        <v>21</v>
      </c>
      <c r="C1796">
        <v>8</v>
      </c>
      <c r="D1796" t="s">
        <v>28</v>
      </c>
      <c r="F1796">
        <v>408</v>
      </c>
      <c r="G1796">
        <v>856</v>
      </c>
    </row>
    <row r="1797" spans="1:8" x14ac:dyDescent="0.45">
      <c r="A1797" t="s">
        <v>75</v>
      </c>
      <c r="B1797" t="s">
        <v>21</v>
      </c>
      <c r="C1797">
        <v>8</v>
      </c>
      <c r="D1797" t="s">
        <v>29</v>
      </c>
      <c r="F1797">
        <v>217</v>
      </c>
      <c r="G1797">
        <v>1156</v>
      </c>
    </row>
    <row r="1798" spans="1:8" x14ac:dyDescent="0.45">
      <c r="A1798" t="s">
        <v>75</v>
      </c>
      <c r="B1798" t="s">
        <v>20</v>
      </c>
      <c r="C1798">
        <v>8</v>
      </c>
      <c r="D1798" t="s">
        <v>19</v>
      </c>
      <c r="E1798">
        <v>1001775</v>
      </c>
      <c r="F1798">
        <v>1669</v>
      </c>
      <c r="G1798">
        <v>504</v>
      </c>
    </row>
    <row r="1799" spans="1:8" x14ac:dyDescent="0.45">
      <c r="A1799" t="s">
        <v>75</v>
      </c>
      <c r="B1799" t="s">
        <v>20</v>
      </c>
      <c r="C1799">
        <v>8</v>
      </c>
      <c r="D1799" t="s">
        <v>27</v>
      </c>
      <c r="F1799">
        <v>620</v>
      </c>
      <c r="G1799">
        <v>1097</v>
      </c>
    </row>
    <row r="1800" spans="1:8" x14ac:dyDescent="0.45">
      <c r="A1800" t="s">
        <v>75</v>
      </c>
      <c r="B1800" t="s">
        <v>20</v>
      </c>
      <c r="C1800">
        <v>8</v>
      </c>
      <c r="D1800" t="s">
        <v>28</v>
      </c>
      <c r="F1800">
        <v>329</v>
      </c>
      <c r="G1800">
        <v>1011</v>
      </c>
    </row>
    <row r="1801" spans="1:8" x14ac:dyDescent="0.45">
      <c r="A1801" t="s">
        <v>75</v>
      </c>
      <c r="B1801" t="s">
        <v>20</v>
      </c>
      <c r="C1801">
        <v>8</v>
      </c>
      <c r="D1801" t="s">
        <v>29</v>
      </c>
      <c r="F1801">
        <v>178</v>
      </c>
      <c r="G1801">
        <v>1181</v>
      </c>
    </row>
    <row r="1802" spans="1:8" x14ac:dyDescent="0.45">
      <c r="A1802" t="s">
        <v>75</v>
      </c>
      <c r="B1802" t="s">
        <v>20</v>
      </c>
      <c r="C1802">
        <v>8</v>
      </c>
      <c r="D1802" t="s">
        <v>31</v>
      </c>
      <c r="H1802">
        <v>32</v>
      </c>
    </row>
    <row r="1803" spans="1:8" x14ac:dyDescent="0.45">
      <c r="A1803" t="s">
        <v>75</v>
      </c>
      <c r="B1803" t="s">
        <v>20</v>
      </c>
      <c r="C1803">
        <v>8</v>
      </c>
      <c r="D1803" t="s">
        <v>32</v>
      </c>
      <c r="H1803">
        <v>12</v>
      </c>
    </row>
    <row r="1804" spans="1:8" x14ac:dyDescent="0.45">
      <c r="A1804" t="s">
        <v>75</v>
      </c>
      <c r="B1804" t="s">
        <v>20</v>
      </c>
      <c r="C1804">
        <v>8</v>
      </c>
      <c r="D1804" t="s">
        <v>34</v>
      </c>
      <c r="H1804">
        <v>5</v>
      </c>
    </row>
    <row r="1805" spans="1:8" x14ac:dyDescent="0.45">
      <c r="A1805" t="s">
        <v>75</v>
      </c>
      <c r="B1805" t="s">
        <v>21</v>
      </c>
      <c r="C1805">
        <v>9</v>
      </c>
      <c r="D1805" t="s">
        <v>19</v>
      </c>
      <c r="E1805">
        <v>1107378</v>
      </c>
      <c r="F1805">
        <v>1987</v>
      </c>
      <c r="G1805">
        <v>569</v>
      </c>
    </row>
    <row r="1806" spans="1:8" x14ac:dyDescent="0.45">
      <c r="A1806" t="s">
        <v>75</v>
      </c>
      <c r="B1806" t="s">
        <v>21</v>
      </c>
      <c r="C1806">
        <v>9</v>
      </c>
      <c r="D1806" t="s">
        <v>27</v>
      </c>
      <c r="F1806">
        <v>797</v>
      </c>
    </row>
    <row r="1807" spans="1:8" x14ac:dyDescent="0.45">
      <c r="A1807" t="s">
        <v>75</v>
      </c>
      <c r="B1807" t="s">
        <v>21</v>
      </c>
      <c r="C1807">
        <v>9</v>
      </c>
      <c r="D1807" t="s">
        <v>28</v>
      </c>
      <c r="F1807">
        <v>409</v>
      </c>
    </row>
    <row r="1808" spans="1:8" x14ac:dyDescent="0.45">
      <c r="A1808" t="s">
        <v>75</v>
      </c>
      <c r="B1808" t="s">
        <v>21</v>
      </c>
      <c r="C1808">
        <v>9</v>
      </c>
      <c r="D1808" t="s">
        <v>29</v>
      </c>
      <c r="F1808">
        <v>253</v>
      </c>
    </row>
    <row r="1809" spans="1:8" x14ac:dyDescent="0.45">
      <c r="A1809" t="s">
        <v>75</v>
      </c>
      <c r="B1809" t="s">
        <v>20</v>
      </c>
      <c r="C1809">
        <v>9</v>
      </c>
      <c r="D1809" t="s">
        <v>19</v>
      </c>
      <c r="E1809">
        <v>1115643</v>
      </c>
      <c r="F1809">
        <v>2007</v>
      </c>
      <c r="G1809">
        <v>560</v>
      </c>
    </row>
    <row r="1810" spans="1:8" x14ac:dyDescent="0.45">
      <c r="A1810" t="s">
        <v>75</v>
      </c>
      <c r="B1810" t="s">
        <v>20</v>
      </c>
      <c r="C1810">
        <v>9</v>
      </c>
      <c r="D1810" t="s">
        <v>27</v>
      </c>
      <c r="F1810">
        <v>765</v>
      </c>
    </row>
    <row r="1811" spans="1:8" x14ac:dyDescent="0.45">
      <c r="A1811" t="s">
        <v>75</v>
      </c>
      <c r="B1811" t="s">
        <v>20</v>
      </c>
      <c r="C1811">
        <v>9</v>
      </c>
      <c r="D1811" t="s">
        <v>28</v>
      </c>
      <c r="F1811">
        <v>442</v>
      </c>
    </row>
    <row r="1812" spans="1:8" x14ac:dyDescent="0.45">
      <c r="A1812" t="s">
        <v>75</v>
      </c>
      <c r="B1812" t="s">
        <v>20</v>
      </c>
      <c r="C1812">
        <v>9</v>
      </c>
      <c r="D1812" t="s">
        <v>29</v>
      </c>
      <c r="F1812">
        <v>245</v>
      </c>
    </row>
    <row r="1813" spans="1:8" x14ac:dyDescent="0.45">
      <c r="A1813" t="s">
        <v>75</v>
      </c>
      <c r="B1813" t="s">
        <v>20</v>
      </c>
      <c r="C1813">
        <v>9</v>
      </c>
      <c r="D1813" t="s">
        <v>31</v>
      </c>
      <c r="H1813">
        <v>212</v>
      </c>
    </row>
    <row r="1814" spans="1:8" x14ac:dyDescent="0.45">
      <c r="A1814" t="s">
        <v>75</v>
      </c>
      <c r="B1814" t="s">
        <v>20</v>
      </c>
      <c r="C1814">
        <v>9</v>
      </c>
      <c r="D1814" t="s">
        <v>32</v>
      </c>
      <c r="H1814">
        <v>3</v>
      </c>
    </row>
    <row r="1815" spans="1:8" x14ac:dyDescent="0.45">
      <c r="A1815" t="s">
        <v>75</v>
      </c>
      <c r="B1815" t="s">
        <v>20</v>
      </c>
      <c r="C1815">
        <v>9</v>
      </c>
      <c r="D1815" t="s">
        <v>34</v>
      </c>
      <c r="H1815">
        <v>11</v>
      </c>
    </row>
    <row r="1816" spans="1:8" x14ac:dyDescent="0.45">
      <c r="A1816" t="s">
        <v>75</v>
      </c>
      <c r="B1816" t="s">
        <v>21</v>
      </c>
      <c r="C1816">
        <v>10</v>
      </c>
      <c r="D1816" t="s">
        <v>19</v>
      </c>
      <c r="E1816">
        <v>1687757</v>
      </c>
      <c r="F1816">
        <v>3150</v>
      </c>
      <c r="G1816">
        <v>800</v>
      </c>
    </row>
    <row r="1817" spans="1:8" x14ac:dyDescent="0.45">
      <c r="A1817" t="s">
        <v>75</v>
      </c>
      <c r="B1817" t="s">
        <v>21</v>
      </c>
      <c r="C1817">
        <v>10</v>
      </c>
      <c r="D1817" t="s">
        <v>27</v>
      </c>
      <c r="F1817">
        <v>1155</v>
      </c>
    </row>
    <row r="1818" spans="1:8" x14ac:dyDescent="0.45">
      <c r="A1818" t="s">
        <v>75</v>
      </c>
      <c r="B1818" t="s">
        <v>21</v>
      </c>
      <c r="C1818">
        <v>10</v>
      </c>
      <c r="D1818" t="s">
        <v>28</v>
      </c>
      <c r="F1818">
        <v>564</v>
      </c>
    </row>
    <row r="1819" spans="1:8" x14ac:dyDescent="0.45">
      <c r="A1819" t="s">
        <v>75</v>
      </c>
      <c r="B1819" t="s">
        <v>21</v>
      </c>
      <c r="C1819">
        <v>10</v>
      </c>
      <c r="D1819" t="s">
        <v>29</v>
      </c>
      <c r="F1819">
        <v>341</v>
      </c>
    </row>
    <row r="1820" spans="1:8" x14ac:dyDescent="0.45">
      <c r="A1820" t="s">
        <v>75</v>
      </c>
      <c r="B1820" t="s">
        <v>20</v>
      </c>
      <c r="C1820">
        <v>10</v>
      </c>
      <c r="D1820" t="s">
        <v>19</v>
      </c>
      <c r="E1820">
        <v>1523178</v>
      </c>
      <c r="F1820">
        <v>2693</v>
      </c>
      <c r="G1820">
        <v>726</v>
      </c>
    </row>
    <row r="1821" spans="1:8" x14ac:dyDescent="0.45">
      <c r="A1821" t="s">
        <v>75</v>
      </c>
      <c r="B1821" t="s">
        <v>20</v>
      </c>
      <c r="C1821">
        <v>10</v>
      </c>
      <c r="D1821" t="s">
        <v>27</v>
      </c>
      <c r="F1821">
        <v>947</v>
      </c>
    </row>
    <row r="1822" spans="1:8" x14ac:dyDescent="0.45">
      <c r="A1822" t="s">
        <v>75</v>
      </c>
      <c r="B1822" t="s">
        <v>20</v>
      </c>
      <c r="C1822">
        <v>10</v>
      </c>
      <c r="D1822" t="s">
        <v>28</v>
      </c>
      <c r="F1822">
        <v>509</v>
      </c>
    </row>
    <row r="1823" spans="1:8" x14ac:dyDescent="0.45">
      <c r="A1823" t="s">
        <v>75</v>
      </c>
      <c r="B1823" t="s">
        <v>20</v>
      </c>
      <c r="C1823">
        <v>10</v>
      </c>
      <c r="D1823" t="s">
        <v>29</v>
      </c>
      <c r="F1823">
        <v>372</v>
      </c>
    </row>
    <row r="1824" spans="1:8" x14ac:dyDescent="0.45">
      <c r="A1824" t="s">
        <v>75</v>
      </c>
      <c r="B1824" t="s">
        <v>20</v>
      </c>
      <c r="C1824">
        <v>10</v>
      </c>
      <c r="D1824" t="s">
        <v>31</v>
      </c>
      <c r="H1824">
        <v>178</v>
      </c>
    </row>
    <row r="1825" spans="1:8" x14ac:dyDescent="0.45">
      <c r="A1825" t="s">
        <v>75</v>
      </c>
      <c r="B1825" t="s">
        <v>20</v>
      </c>
      <c r="C1825">
        <v>10</v>
      </c>
      <c r="D1825" t="s">
        <v>32</v>
      </c>
      <c r="H1825">
        <v>15</v>
      </c>
    </row>
    <row r="1826" spans="1:8" x14ac:dyDescent="0.45">
      <c r="A1826" t="s">
        <v>75</v>
      </c>
      <c r="B1826" t="s">
        <v>20</v>
      </c>
      <c r="C1826">
        <v>10</v>
      </c>
      <c r="D1826" t="s">
        <v>34</v>
      </c>
      <c r="H1826">
        <v>15</v>
      </c>
    </row>
    <row r="1827" spans="1:8" x14ac:dyDescent="0.45">
      <c r="A1827" t="s">
        <v>75</v>
      </c>
      <c r="B1827" t="s">
        <v>21</v>
      </c>
      <c r="C1827">
        <v>11</v>
      </c>
      <c r="D1827" t="s">
        <v>19</v>
      </c>
      <c r="E1827">
        <v>1495363</v>
      </c>
      <c r="F1827">
        <v>2584</v>
      </c>
      <c r="G1827">
        <v>746</v>
      </c>
    </row>
    <row r="1828" spans="1:8" x14ac:dyDescent="0.45">
      <c r="A1828" t="s">
        <v>75</v>
      </c>
      <c r="B1828" t="s">
        <v>21</v>
      </c>
      <c r="C1828">
        <v>11</v>
      </c>
      <c r="D1828" t="s">
        <v>27</v>
      </c>
      <c r="F1828">
        <v>1045</v>
      </c>
    </row>
    <row r="1829" spans="1:8" x14ac:dyDescent="0.45">
      <c r="A1829" t="s">
        <v>75</v>
      </c>
      <c r="B1829" t="s">
        <v>21</v>
      </c>
      <c r="C1829">
        <v>11</v>
      </c>
      <c r="D1829" t="s">
        <v>28</v>
      </c>
      <c r="F1829">
        <v>480</v>
      </c>
    </row>
    <row r="1830" spans="1:8" x14ac:dyDescent="0.45">
      <c r="A1830" t="s">
        <v>75</v>
      </c>
      <c r="B1830" t="s">
        <v>21</v>
      </c>
      <c r="C1830">
        <v>11</v>
      </c>
      <c r="D1830" t="s">
        <v>29</v>
      </c>
      <c r="F1830">
        <v>340</v>
      </c>
    </row>
    <row r="1831" spans="1:8" x14ac:dyDescent="0.45">
      <c r="A1831" t="s">
        <v>75</v>
      </c>
      <c r="B1831" t="s">
        <v>20</v>
      </c>
      <c r="C1831">
        <v>11</v>
      </c>
      <c r="D1831" t="s">
        <v>19</v>
      </c>
      <c r="E1831">
        <v>1504801</v>
      </c>
      <c r="F1831">
        <v>2628</v>
      </c>
      <c r="G1831">
        <v>751</v>
      </c>
    </row>
    <row r="1832" spans="1:8" x14ac:dyDescent="0.45">
      <c r="A1832" t="s">
        <v>75</v>
      </c>
      <c r="B1832" t="s">
        <v>20</v>
      </c>
      <c r="C1832">
        <v>11</v>
      </c>
      <c r="D1832" t="s">
        <v>27</v>
      </c>
      <c r="F1832">
        <v>870</v>
      </c>
    </row>
    <row r="1833" spans="1:8" x14ac:dyDescent="0.45">
      <c r="A1833" t="s">
        <v>75</v>
      </c>
      <c r="B1833" t="s">
        <v>20</v>
      </c>
      <c r="C1833">
        <v>11</v>
      </c>
      <c r="D1833" t="s">
        <v>28</v>
      </c>
      <c r="F1833">
        <v>511</v>
      </c>
    </row>
    <row r="1834" spans="1:8" x14ac:dyDescent="0.45">
      <c r="A1834" t="s">
        <v>75</v>
      </c>
      <c r="B1834" t="s">
        <v>20</v>
      </c>
      <c r="C1834">
        <v>11</v>
      </c>
      <c r="D1834" t="s">
        <v>29</v>
      </c>
      <c r="F1834">
        <v>392</v>
      </c>
    </row>
    <row r="1835" spans="1:8" x14ac:dyDescent="0.45">
      <c r="A1835" t="s">
        <v>75</v>
      </c>
      <c r="B1835" t="s">
        <v>20</v>
      </c>
      <c r="C1835">
        <v>11</v>
      </c>
      <c r="D1835" t="s">
        <v>31</v>
      </c>
      <c r="H1835">
        <v>405</v>
      </c>
    </row>
    <row r="1836" spans="1:8" x14ac:dyDescent="0.45">
      <c r="A1836" t="s">
        <v>75</v>
      </c>
      <c r="B1836" t="s">
        <v>20</v>
      </c>
      <c r="C1836">
        <v>11</v>
      </c>
      <c r="D1836" t="s">
        <v>32</v>
      </c>
      <c r="H1836">
        <v>6</v>
      </c>
    </row>
    <row r="1837" spans="1:8" x14ac:dyDescent="0.45">
      <c r="A1837" t="s">
        <v>75</v>
      </c>
      <c r="B1837" t="s">
        <v>20</v>
      </c>
      <c r="C1837">
        <v>11</v>
      </c>
      <c r="D1837" t="s">
        <v>34</v>
      </c>
      <c r="H1837">
        <v>20</v>
      </c>
    </row>
    <row r="1838" spans="1:8" x14ac:dyDescent="0.45">
      <c r="A1838" t="s">
        <v>75</v>
      </c>
      <c r="B1838" t="s">
        <v>21</v>
      </c>
      <c r="C1838">
        <v>12</v>
      </c>
      <c r="D1838" t="s">
        <v>19</v>
      </c>
      <c r="E1838">
        <v>1644598</v>
      </c>
      <c r="F1838">
        <v>2931</v>
      </c>
      <c r="G1838">
        <v>769</v>
      </c>
    </row>
    <row r="1839" spans="1:8" x14ac:dyDescent="0.45">
      <c r="A1839" t="s">
        <v>75</v>
      </c>
      <c r="B1839" t="s">
        <v>21</v>
      </c>
      <c r="C1839">
        <v>12</v>
      </c>
      <c r="D1839" t="s">
        <v>27</v>
      </c>
      <c r="F1839">
        <v>986</v>
      </c>
    </row>
    <row r="1840" spans="1:8" x14ac:dyDescent="0.45">
      <c r="A1840" t="s">
        <v>75</v>
      </c>
      <c r="B1840" t="s">
        <v>21</v>
      </c>
      <c r="C1840">
        <v>12</v>
      </c>
      <c r="D1840" t="s">
        <v>28</v>
      </c>
      <c r="F1840">
        <v>583</v>
      </c>
    </row>
    <row r="1841" spans="1:8" x14ac:dyDescent="0.45">
      <c r="A1841" t="s">
        <v>75</v>
      </c>
      <c r="B1841" t="s">
        <v>21</v>
      </c>
      <c r="C1841">
        <v>12</v>
      </c>
      <c r="D1841" t="s">
        <v>29</v>
      </c>
      <c r="F1841">
        <v>427</v>
      </c>
    </row>
    <row r="1842" spans="1:8" x14ac:dyDescent="0.45">
      <c r="A1842" t="s">
        <v>75</v>
      </c>
      <c r="B1842" t="s">
        <v>20</v>
      </c>
      <c r="C1842">
        <v>12</v>
      </c>
      <c r="D1842" t="s">
        <v>19</v>
      </c>
      <c r="E1842">
        <v>1501008</v>
      </c>
      <c r="F1842">
        <v>2563</v>
      </c>
      <c r="G1842">
        <v>700</v>
      </c>
    </row>
    <row r="1843" spans="1:8" x14ac:dyDescent="0.45">
      <c r="A1843" t="s">
        <v>75</v>
      </c>
      <c r="B1843" t="s">
        <v>20</v>
      </c>
      <c r="C1843">
        <v>12</v>
      </c>
      <c r="D1843" t="s">
        <v>27</v>
      </c>
      <c r="F1843">
        <v>812</v>
      </c>
    </row>
    <row r="1844" spans="1:8" x14ac:dyDescent="0.45">
      <c r="A1844" t="s">
        <v>75</v>
      </c>
      <c r="B1844" t="s">
        <v>20</v>
      </c>
      <c r="C1844">
        <v>12</v>
      </c>
      <c r="D1844" t="s">
        <v>28</v>
      </c>
      <c r="F1844">
        <v>507</v>
      </c>
    </row>
    <row r="1845" spans="1:8" x14ac:dyDescent="0.45">
      <c r="A1845" t="s">
        <v>75</v>
      </c>
      <c r="B1845" t="s">
        <v>20</v>
      </c>
      <c r="C1845">
        <v>12</v>
      </c>
      <c r="D1845" t="s">
        <v>29</v>
      </c>
      <c r="F1845">
        <v>396</v>
      </c>
    </row>
    <row r="1846" spans="1:8" x14ac:dyDescent="0.45">
      <c r="A1846" t="s">
        <v>75</v>
      </c>
      <c r="B1846" t="s">
        <v>20</v>
      </c>
      <c r="C1846">
        <v>12</v>
      </c>
      <c r="D1846" t="s">
        <v>31</v>
      </c>
      <c r="H1846">
        <v>128</v>
      </c>
    </row>
    <row r="1847" spans="1:8" x14ac:dyDescent="0.45">
      <c r="A1847" t="s">
        <v>75</v>
      </c>
      <c r="B1847" t="s">
        <v>20</v>
      </c>
      <c r="C1847">
        <v>12</v>
      </c>
      <c r="D1847" t="s">
        <v>32</v>
      </c>
      <c r="H1847">
        <v>10</v>
      </c>
    </row>
    <row r="1848" spans="1:8" x14ac:dyDescent="0.45">
      <c r="A1848" t="s">
        <v>75</v>
      </c>
      <c r="B1848" t="s">
        <v>20</v>
      </c>
      <c r="C1848">
        <v>12</v>
      </c>
      <c r="D1848" t="s">
        <v>34</v>
      </c>
      <c r="H1848">
        <v>20</v>
      </c>
    </row>
    <row r="1849" spans="1:8" x14ac:dyDescent="0.45">
      <c r="A1849" t="s">
        <v>43</v>
      </c>
      <c r="B1849" t="s">
        <v>21</v>
      </c>
      <c r="C1849">
        <v>1</v>
      </c>
      <c r="D1849" t="s">
        <v>19</v>
      </c>
      <c r="E1849">
        <v>1019920</v>
      </c>
      <c r="F1849">
        <v>1905</v>
      </c>
      <c r="G1849">
        <v>541</v>
      </c>
    </row>
    <row r="1850" spans="1:8" x14ac:dyDescent="0.45">
      <c r="A1850" t="s">
        <v>43</v>
      </c>
      <c r="B1850" t="s">
        <v>21</v>
      </c>
      <c r="C1850">
        <v>1</v>
      </c>
      <c r="D1850" t="s">
        <v>27</v>
      </c>
      <c r="F1850">
        <v>549</v>
      </c>
    </row>
    <row r="1851" spans="1:8" x14ac:dyDescent="0.45">
      <c r="A1851" t="s">
        <v>43</v>
      </c>
      <c r="B1851" t="s">
        <v>21</v>
      </c>
      <c r="C1851">
        <v>1</v>
      </c>
      <c r="D1851" t="s">
        <v>28</v>
      </c>
      <c r="F1851">
        <v>351</v>
      </c>
    </row>
    <row r="1852" spans="1:8" x14ac:dyDescent="0.45">
      <c r="A1852" t="s">
        <v>43</v>
      </c>
      <c r="B1852" t="s">
        <v>21</v>
      </c>
      <c r="C1852">
        <v>1</v>
      </c>
      <c r="D1852" t="s">
        <v>29</v>
      </c>
      <c r="F1852">
        <v>286</v>
      </c>
    </row>
    <row r="1853" spans="1:8" x14ac:dyDescent="0.45">
      <c r="A1853" t="s">
        <v>43</v>
      </c>
      <c r="B1853" t="s">
        <v>20</v>
      </c>
      <c r="C1853">
        <v>1</v>
      </c>
      <c r="D1853" t="s">
        <v>19</v>
      </c>
      <c r="E1853">
        <v>1101408</v>
      </c>
      <c r="F1853">
        <v>1832</v>
      </c>
      <c r="G1853">
        <v>563</v>
      </c>
    </row>
    <row r="1854" spans="1:8" x14ac:dyDescent="0.45">
      <c r="A1854" t="s">
        <v>43</v>
      </c>
      <c r="B1854" t="s">
        <v>20</v>
      </c>
      <c r="C1854">
        <v>1</v>
      </c>
      <c r="D1854" t="s">
        <v>27</v>
      </c>
      <c r="F1854">
        <v>479</v>
      </c>
    </row>
    <row r="1855" spans="1:8" x14ac:dyDescent="0.45">
      <c r="A1855" t="s">
        <v>43</v>
      </c>
      <c r="B1855" t="s">
        <v>20</v>
      </c>
      <c r="C1855">
        <v>1</v>
      </c>
      <c r="D1855" t="s">
        <v>28</v>
      </c>
      <c r="F1855">
        <v>320</v>
      </c>
    </row>
    <row r="1856" spans="1:8" x14ac:dyDescent="0.45">
      <c r="A1856" t="s">
        <v>43</v>
      </c>
      <c r="B1856" t="s">
        <v>20</v>
      </c>
      <c r="C1856">
        <v>1</v>
      </c>
      <c r="D1856" t="s">
        <v>29</v>
      </c>
      <c r="F1856">
        <v>298</v>
      </c>
    </row>
    <row r="1857" spans="1:8" x14ac:dyDescent="0.45">
      <c r="A1857" t="s">
        <v>43</v>
      </c>
      <c r="B1857" t="s">
        <v>20</v>
      </c>
      <c r="C1857">
        <v>1</v>
      </c>
      <c r="D1857" t="s">
        <v>31</v>
      </c>
      <c r="H1857">
        <v>91</v>
      </c>
    </row>
    <row r="1858" spans="1:8" x14ac:dyDescent="0.45">
      <c r="A1858" t="s">
        <v>43</v>
      </c>
      <c r="B1858" t="s">
        <v>20</v>
      </c>
      <c r="C1858">
        <v>1</v>
      </c>
      <c r="D1858" t="s">
        <v>32</v>
      </c>
      <c r="H1858">
        <v>8</v>
      </c>
    </row>
    <row r="1859" spans="1:8" x14ac:dyDescent="0.45">
      <c r="A1859" t="s">
        <v>43</v>
      </c>
      <c r="B1859" t="s">
        <v>20</v>
      </c>
      <c r="C1859">
        <v>1</v>
      </c>
      <c r="D1859" t="s">
        <v>34</v>
      </c>
    </row>
    <row r="1860" spans="1:8" x14ac:dyDescent="0.45">
      <c r="A1860" t="s">
        <v>43</v>
      </c>
      <c r="B1860" t="s">
        <v>21</v>
      </c>
      <c r="C1860">
        <v>2</v>
      </c>
      <c r="D1860" t="s">
        <v>19</v>
      </c>
      <c r="E1860">
        <v>879301</v>
      </c>
      <c r="F1860">
        <v>1716</v>
      </c>
      <c r="G1860">
        <v>481</v>
      </c>
    </row>
    <row r="1861" spans="1:8" x14ac:dyDescent="0.45">
      <c r="A1861" t="s">
        <v>43</v>
      </c>
      <c r="B1861" t="s">
        <v>21</v>
      </c>
      <c r="C1861">
        <v>2</v>
      </c>
      <c r="D1861" t="s">
        <v>27</v>
      </c>
      <c r="F1861">
        <v>578</v>
      </c>
    </row>
    <row r="1862" spans="1:8" x14ac:dyDescent="0.45">
      <c r="A1862" t="s">
        <v>43</v>
      </c>
      <c r="B1862" t="s">
        <v>21</v>
      </c>
      <c r="C1862">
        <v>2</v>
      </c>
      <c r="D1862" t="s">
        <v>28</v>
      </c>
      <c r="F1862">
        <v>265</v>
      </c>
    </row>
    <row r="1863" spans="1:8" x14ac:dyDescent="0.45">
      <c r="A1863" t="s">
        <v>43</v>
      </c>
      <c r="B1863" t="s">
        <v>21</v>
      </c>
      <c r="C1863">
        <v>2</v>
      </c>
      <c r="D1863" t="s">
        <v>29</v>
      </c>
      <c r="F1863">
        <v>242</v>
      </c>
    </row>
    <row r="1864" spans="1:8" x14ac:dyDescent="0.45">
      <c r="A1864" t="s">
        <v>43</v>
      </c>
      <c r="B1864" t="s">
        <v>20</v>
      </c>
      <c r="C1864">
        <v>2</v>
      </c>
      <c r="D1864" t="s">
        <v>19</v>
      </c>
      <c r="E1864">
        <v>1003947</v>
      </c>
      <c r="F1864">
        <v>1531</v>
      </c>
      <c r="G1864">
        <v>471</v>
      </c>
    </row>
    <row r="1865" spans="1:8" x14ac:dyDescent="0.45">
      <c r="A1865" t="s">
        <v>43</v>
      </c>
      <c r="B1865" t="s">
        <v>20</v>
      </c>
      <c r="C1865">
        <v>2</v>
      </c>
      <c r="D1865" t="s">
        <v>27</v>
      </c>
      <c r="F1865">
        <v>448</v>
      </c>
    </row>
    <row r="1866" spans="1:8" x14ac:dyDescent="0.45">
      <c r="A1866" t="s">
        <v>43</v>
      </c>
      <c r="B1866" t="s">
        <v>20</v>
      </c>
      <c r="C1866">
        <v>2</v>
      </c>
      <c r="D1866" t="s">
        <v>28</v>
      </c>
      <c r="F1866">
        <v>260</v>
      </c>
    </row>
    <row r="1867" spans="1:8" x14ac:dyDescent="0.45">
      <c r="A1867" t="s">
        <v>43</v>
      </c>
      <c r="B1867" t="s">
        <v>20</v>
      </c>
      <c r="C1867">
        <v>2</v>
      </c>
      <c r="D1867" t="s">
        <v>29</v>
      </c>
      <c r="F1867">
        <v>238</v>
      </c>
    </row>
    <row r="1868" spans="1:8" x14ac:dyDescent="0.45">
      <c r="A1868" t="s">
        <v>43</v>
      </c>
      <c r="B1868" t="s">
        <v>20</v>
      </c>
      <c r="C1868">
        <v>2</v>
      </c>
      <c r="D1868" t="s">
        <v>31</v>
      </c>
      <c r="H1868">
        <v>71</v>
      </c>
    </row>
    <row r="1869" spans="1:8" x14ac:dyDescent="0.45">
      <c r="A1869" t="s">
        <v>43</v>
      </c>
      <c r="B1869" t="s">
        <v>20</v>
      </c>
      <c r="C1869">
        <v>2</v>
      </c>
      <c r="D1869" t="s">
        <v>32</v>
      </c>
      <c r="H1869">
        <v>7</v>
      </c>
    </row>
    <row r="1870" spans="1:8" x14ac:dyDescent="0.45">
      <c r="A1870" t="s">
        <v>43</v>
      </c>
      <c r="B1870" t="s">
        <v>20</v>
      </c>
      <c r="C1870">
        <v>2</v>
      </c>
      <c r="D1870" t="s">
        <v>34</v>
      </c>
      <c r="H1870">
        <v>7</v>
      </c>
    </row>
    <row r="1871" spans="1:8" x14ac:dyDescent="0.45">
      <c r="A1871" t="s">
        <v>43</v>
      </c>
      <c r="B1871" t="s">
        <v>21</v>
      </c>
      <c r="C1871">
        <v>3</v>
      </c>
      <c r="D1871" t="s">
        <v>19</v>
      </c>
      <c r="E1871">
        <v>1968439</v>
      </c>
      <c r="F1871">
        <v>3111</v>
      </c>
    </row>
    <row r="1872" spans="1:8" x14ac:dyDescent="0.45">
      <c r="A1872" t="s">
        <v>43</v>
      </c>
      <c r="B1872" t="s">
        <v>21</v>
      </c>
      <c r="C1872">
        <v>3</v>
      </c>
      <c r="D1872" t="s">
        <v>27</v>
      </c>
      <c r="F1872">
        <v>686</v>
      </c>
    </row>
    <row r="1873" spans="1:8" x14ac:dyDescent="0.45">
      <c r="A1873" t="s">
        <v>43</v>
      </c>
      <c r="B1873" t="s">
        <v>21</v>
      </c>
      <c r="C1873">
        <v>3</v>
      </c>
      <c r="D1873" t="s">
        <v>28</v>
      </c>
      <c r="F1873">
        <v>462</v>
      </c>
    </row>
    <row r="1874" spans="1:8" x14ac:dyDescent="0.45">
      <c r="A1874" t="s">
        <v>43</v>
      </c>
      <c r="B1874" t="s">
        <v>21</v>
      </c>
      <c r="C1874">
        <v>3</v>
      </c>
      <c r="D1874" t="s">
        <v>29</v>
      </c>
      <c r="F1874">
        <v>481</v>
      </c>
    </row>
    <row r="1875" spans="1:8" x14ac:dyDescent="0.45">
      <c r="A1875" t="s">
        <v>43</v>
      </c>
      <c r="B1875" t="s">
        <v>20</v>
      </c>
      <c r="C1875">
        <v>3</v>
      </c>
      <c r="D1875" t="s">
        <v>19</v>
      </c>
      <c r="E1875">
        <v>1604434</v>
      </c>
      <c r="F1875">
        <v>2554</v>
      </c>
      <c r="G1875">
        <v>749</v>
      </c>
    </row>
    <row r="1876" spans="1:8" x14ac:dyDescent="0.45">
      <c r="A1876" t="s">
        <v>43</v>
      </c>
      <c r="B1876" t="s">
        <v>20</v>
      </c>
      <c r="C1876">
        <v>3</v>
      </c>
      <c r="D1876" t="s">
        <v>27</v>
      </c>
      <c r="F1876">
        <v>637</v>
      </c>
    </row>
    <row r="1877" spans="1:8" x14ac:dyDescent="0.45">
      <c r="A1877" t="s">
        <v>43</v>
      </c>
      <c r="B1877" t="s">
        <v>20</v>
      </c>
      <c r="C1877">
        <v>3</v>
      </c>
      <c r="D1877" t="s">
        <v>28</v>
      </c>
      <c r="F1877">
        <v>401</v>
      </c>
    </row>
    <row r="1878" spans="1:8" x14ac:dyDescent="0.45">
      <c r="A1878" t="s">
        <v>43</v>
      </c>
      <c r="B1878" t="s">
        <v>20</v>
      </c>
      <c r="C1878">
        <v>3</v>
      </c>
      <c r="D1878" t="s">
        <v>29</v>
      </c>
      <c r="F1878">
        <v>373</v>
      </c>
    </row>
    <row r="1879" spans="1:8" x14ac:dyDescent="0.45">
      <c r="A1879" t="s">
        <v>43</v>
      </c>
      <c r="B1879" t="s">
        <v>20</v>
      </c>
      <c r="C1879">
        <v>3</v>
      </c>
      <c r="D1879" t="s">
        <v>31</v>
      </c>
      <c r="H1879">
        <v>66</v>
      </c>
    </row>
    <row r="1880" spans="1:8" x14ac:dyDescent="0.45">
      <c r="A1880" t="s">
        <v>43</v>
      </c>
      <c r="B1880" t="s">
        <v>20</v>
      </c>
      <c r="C1880">
        <v>3</v>
      </c>
      <c r="D1880" t="s">
        <v>32</v>
      </c>
      <c r="H1880">
        <v>6</v>
      </c>
    </row>
    <row r="1881" spans="1:8" x14ac:dyDescent="0.45">
      <c r="A1881" t="s">
        <v>43</v>
      </c>
      <c r="B1881" t="s">
        <v>20</v>
      </c>
      <c r="C1881">
        <v>3</v>
      </c>
      <c r="D1881" t="s">
        <v>34</v>
      </c>
      <c r="H1881">
        <v>5</v>
      </c>
    </row>
    <row r="1882" spans="1:8" x14ac:dyDescent="0.45">
      <c r="A1882" t="s">
        <v>43</v>
      </c>
      <c r="B1882" t="s">
        <v>21</v>
      </c>
      <c r="C1882">
        <v>4</v>
      </c>
      <c r="D1882" t="s">
        <v>19</v>
      </c>
      <c r="E1882">
        <v>2330916</v>
      </c>
      <c r="F1882">
        <v>3588</v>
      </c>
    </row>
    <row r="1883" spans="1:8" x14ac:dyDescent="0.45">
      <c r="A1883" t="s">
        <v>43</v>
      </c>
      <c r="B1883" t="s">
        <v>21</v>
      </c>
      <c r="C1883">
        <v>4</v>
      </c>
      <c r="D1883" t="s">
        <v>27</v>
      </c>
      <c r="F1883">
        <v>755</v>
      </c>
    </row>
    <row r="1884" spans="1:8" x14ac:dyDescent="0.45">
      <c r="A1884" t="s">
        <v>43</v>
      </c>
      <c r="B1884" t="s">
        <v>21</v>
      </c>
      <c r="C1884">
        <v>4</v>
      </c>
      <c r="D1884" t="s">
        <v>28</v>
      </c>
      <c r="F1884">
        <v>567</v>
      </c>
    </row>
    <row r="1885" spans="1:8" x14ac:dyDescent="0.45">
      <c r="A1885" t="s">
        <v>43</v>
      </c>
      <c r="B1885" t="s">
        <v>21</v>
      </c>
      <c r="C1885">
        <v>4</v>
      </c>
      <c r="D1885" t="s">
        <v>29</v>
      </c>
      <c r="F1885">
        <v>573</v>
      </c>
    </row>
    <row r="1886" spans="1:8" x14ac:dyDescent="0.45">
      <c r="A1886" t="s">
        <v>43</v>
      </c>
      <c r="B1886" t="s">
        <v>20</v>
      </c>
      <c r="C1886">
        <v>4</v>
      </c>
      <c r="D1886" t="s">
        <v>19</v>
      </c>
      <c r="E1886">
        <v>2468702</v>
      </c>
      <c r="F1886">
        <v>3696</v>
      </c>
      <c r="H1886">
        <v>8</v>
      </c>
    </row>
    <row r="1887" spans="1:8" x14ac:dyDescent="0.45">
      <c r="A1887" t="s">
        <v>43</v>
      </c>
      <c r="B1887" t="s">
        <v>20</v>
      </c>
      <c r="C1887">
        <v>4</v>
      </c>
      <c r="D1887" t="s">
        <v>27</v>
      </c>
      <c r="F1887">
        <v>642</v>
      </c>
    </row>
    <row r="1888" spans="1:8" x14ac:dyDescent="0.45">
      <c r="A1888" t="s">
        <v>43</v>
      </c>
      <c r="B1888" t="s">
        <v>20</v>
      </c>
      <c r="C1888">
        <v>4</v>
      </c>
      <c r="D1888" t="s">
        <v>28</v>
      </c>
      <c r="F1888">
        <v>552</v>
      </c>
    </row>
    <row r="1889" spans="1:8" x14ac:dyDescent="0.45">
      <c r="A1889" t="s">
        <v>43</v>
      </c>
      <c r="B1889" t="s">
        <v>20</v>
      </c>
      <c r="C1889">
        <v>4</v>
      </c>
      <c r="D1889" t="s">
        <v>29</v>
      </c>
      <c r="F1889">
        <v>570</v>
      </c>
    </row>
    <row r="1890" spans="1:8" x14ac:dyDescent="0.45">
      <c r="A1890" t="s">
        <v>43</v>
      </c>
      <c r="B1890" t="s">
        <v>20</v>
      </c>
      <c r="C1890">
        <v>4</v>
      </c>
      <c r="D1890" t="s">
        <v>31</v>
      </c>
      <c r="H1890">
        <v>66</v>
      </c>
    </row>
    <row r="1891" spans="1:8" x14ac:dyDescent="0.45">
      <c r="A1891" t="s">
        <v>43</v>
      </c>
      <c r="B1891" t="s">
        <v>20</v>
      </c>
      <c r="C1891">
        <v>4</v>
      </c>
      <c r="D1891" t="s">
        <v>32</v>
      </c>
      <c r="H1891">
        <v>8</v>
      </c>
    </row>
    <row r="1892" spans="1:8" x14ac:dyDescent="0.45">
      <c r="A1892" t="s">
        <v>43</v>
      </c>
      <c r="B1892" t="s">
        <v>20</v>
      </c>
      <c r="C1892">
        <v>4</v>
      </c>
      <c r="D1892" t="s">
        <v>34</v>
      </c>
      <c r="H1892">
        <v>6</v>
      </c>
    </row>
    <row r="1893" spans="1:8" x14ac:dyDescent="0.45">
      <c r="A1893" t="s">
        <v>43</v>
      </c>
      <c r="B1893" t="s">
        <v>21</v>
      </c>
      <c r="C1893">
        <v>5</v>
      </c>
      <c r="D1893" t="s">
        <v>19</v>
      </c>
      <c r="E1893">
        <v>2010178</v>
      </c>
      <c r="F1893">
        <v>3085</v>
      </c>
    </row>
    <row r="1894" spans="1:8" x14ac:dyDescent="0.45">
      <c r="A1894" t="s">
        <v>43</v>
      </c>
      <c r="B1894" t="s">
        <v>21</v>
      </c>
      <c r="C1894">
        <v>5</v>
      </c>
      <c r="D1894" t="s">
        <v>27</v>
      </c>
      <c r="F1894">
        <v>650</v>
      </c>
    </row>
    <row r="1895" spans="1:8" x14ac:dyDescent="0.45">
      <c r="A1895" t="s">
        <v>43</v>
      </c>
      <c r="B1895" t="s">
        <v>21</v>
      </c>
      <c r="C1895">
        <v>5</v>
      </c>
      <c r="D1895" t="s">
        <v>28</v>
      </c>
      <c r="F1895">
        <v>523</v>
      </c>
    </row>
    <row r="1896" spans="1:8" x14ac:dyDescent="0.45">
      <c r="A1896" t="s">
        <v>43</v>
      </c>
      <c r="B1896" t="s">
        <v>21</v>
      </c>
      <c r="C1896">
        <v>5</v>
      </c>
      <c r="D1896" t="s">
        <v>29</v>
      </c>
      <c r="F1896">
        <v>448</v>
      </c>
    </row>
    <row r="1897" spans="1:8" x14ac:dyDescent="0.45">
      <c r="A1897" t="s">
        <v>43</v>
      </c>
      <c r="B1897" t="s">
        <v>20</v>
      </c>
      <c r="C1897">
        <v>5</v>
      </c>
      <c r="D1897" t="s">
        <v>19</v>
      </c>
      <c r="E1897">
        <v>1635385</v>
      </c>
      <c r="F1897">
        <v>2401</v>
      </c>
      <c r="G1897">
        <v>685</v>
      </c>
    </row>
    <row r="1898" spans="1:8" x14ac:dyDescent="0.45">
      <c r="A1898" t="s">
        <v>43</v>
      </c>
      <c r="B1898" t="s">
        <v>20</v>
      </c>
      <c r="C1898">
        <v>5</v>
      </c>
      <c r="D1898" t="s">
        <v>27</v>
      </c>
      <c r="F1898">
        <v>525</v>
      </c>
    </row>
    <row r="1899" spans="1:8" x14ac:dyDescent="0.45">
      <c r="A1899" t="s">
        <v>43</v>
      </c>
      <c r="B1899" t="s">
        <v>20</v>
      </c>
      <c r="C1899">
        <v>5</v>
      </c>
      <c r="D1899" t="s">
        <v>28</v>
      </c>
      <c r="F1899">
        <v>375</v>
      </c>
    </row>
    <row r="1900" spans="1:8" x14ac:dyDescent="0.45">
      <c r="A1900" t="s">
        <v>43</v>
      </c>
      <c r="B1900" t="s">
        <v>20</v>
      </c>
      <c r="C1900">
        <v>5</v>
      </c>
      <c r="D1900" t="s">
        <v>29</v>
      </c>
      <c r="F1900">
        <v>343</v>
      </c>
    </row>
    <row r="1901" spans="1:8" x14ac:dyDescent="0.45">
      <c r="A1901" t="s">
        <v>43</v>
      </c>
      <c r="B1901" t="s">
        <v>20</v>
      </c>
      <c r="C1901">
        <v>5</v>
      </c>
      <c r="D1901" t="s">
        <v>31</v>
      </c>
      <c r="H1901">
        <v>54</v>
      </c>
    </row>
    <row r="1902" spans="1:8" x14ac:dyDescent="0.45">
      <c r="A1902" t="s">
        <v>43</v>
      </c>
      <c r="B1902" t="s">
        <v>20</v>
      </c>
      <c r="C1902">
        <v>5</v>
      </c>
      <c r="D1902" t="s">
        <v>32</v>
      </c>
      <c r="H1902">
        <v>9</v>
      </c>
    </row>
    <row r="1903" spans="1:8" x14ac:dyDescent="0.45">
      <c r="A1903" t="s">
        <v>43</v>
      </c>
      <c r="B1903" t="s">
        <v>20</v>
      </c>
      <c r="C1903">
        <v>5</v>
      </c>
      <c r="D1903" t="s">
        <v>34</v>
      </c>
      <c r="H1903">
        <v>8</v>
      </c>
    </row>
    <row r="1904" spans="1:8" x14ac:dyDescent="0.45">
      <c r="A1904" t="s">
        <v>43</v>
      </c>
      <c r="B1904" t="s">
        <v>21</v>
      </c>
      <c r="C1904">
        <v>6</v>
      </c>
      <c r="D1904" t="s">
        <v>19</v>
      </c>
      <c r="E1904">
        <v>1874617</v>
      </c>
      <c r="F1904">
        <v>3015</v>
      </c>
    </row>
    <row r="1905" spans="1:8" x14ac:dyDescent="0.45">
      <c r="A1905" t="s">
        <v>43</v>
      </c>
      <c r="B1905" t="s">
        <v>21</v>
      </c>
      <c r="C1905">
        <v>6</v>
      </c>
      <c r="D1905" t="s">
        <v>27</v>
      </c>
      <c r="F1905">
        <v>658</v>
      </c>
    </row>
    <row r="1906" spans="1:8" x14ac:dyDescent="0.45">
      <c r="A1906" t="s">
        <v>43</v>
      </c>
      <c r="B1906" t="s">
        <v>21</v>
      </c>
      <c r="C1906">
        <v>6</v>
      </c>
      <c r="D1906" t="s">
        <v>28</v>
      </c>
      <c r="F1906">
        <v>513</v>
      </c>
    </row>
    <row r="1907" spans="1:8" x14ac:dyDescent="0.45">
      <c r="A1907" t="s">
        <v>43</v>
      </c>
      <c r="B1907" t="s">
        <v>21</v>
      </c>
      <c r="C1907">
        <v>6</v>
      </c>
      <c r="D1907" t="s">
        <v>29</v>
      </c>
      <c r="F1907">
        <v>492</v>
      </c>
    </row>
    <row r="1908" spans="1:8" x14ac:dyDescent="0.45">
      <c r="A1908" t="s">
        <v>43</v>
      </c>
      <c r="B1908" t="s">
        <v>20</v>
      </c>
      <c r="C1908">
        <v>6</v>
      </c>
      <c r="D1908" t="s">
        <v>19</v>
      </c>
      <c r="E1908">
        <v>1766570</v>
      </c>
      <c r="F1908">
        <v>2490</v>
      </c>
    </row>
    <row r="1909" spans="1:8" x14ac:dyDescent="0.45">
      <c r="A1909" t="s">
        <v>43</v>
      </c>
      <c r="B1909" t="s">
        <v>20</v>
      </c>
      <c r="C1909">
        <v>6</v>
      </c>
      <c r="D1909" t="s">
        <v>27</v>
      </c>
      <c r="F1909">
        <v>564</v>
      </c>
    </row>
    <row r="1910" spans="1:8" x14ac:dyDescent="0.45">
      <c r="A1910" t="s">
        <v>43</v>
      </c>
      <c r="B1910" t="s">
        <v>20</v>
      </c>
      <c r="C1910">
        <v>6</v>
      </c>
      <c r="D1910" t="s">
        <v>28</v>
      </c>
      <c r="F1910">
        <v>431</v>
      </c>
    </row>
    <row r="1911" spans="1:8" x14ac:dyDescent="0.45">
      <c r="A1911" t="s">
        <v>43</v>
      </c>
      <c r="B1911" t="s">
        <v>20</v>
      </c>
      <c r="C1911">
        <v>6</v>
      </c>
      <c r="D1911" t="s">
        <v>29</v>
      </c>
      <c r="F1911">
        <v>361</v>
      </c>
    </row>
    <row r="1912" spans="1:8" x14ac:dyDescent="0.45">
      <c r="A1912" t="s">
        <v>43</v>
      </c>
      <c r="B1912" t="s">
        <v>20</v>
      </c>
      <c r="C1912">
        <v>6</v>
      </c>
      <c r="D1912" t="s">
        <v>31</v>
      </c>
      <c r="H1912">
        <v>42</v>
      </c>
    </row>
    <row r="1913" spans="1:8" x14ac:dyDescent="0.45">
      <c r="A1913" t="s">
        <v>43</v>
      </c>
      <c r="B1913" t="s">
        <v>20</v>
      </c>
      <c r="C1913">
        <v>6</v>
      </c>
      <c r="D1913" t="s">
        <v>32</v>
      </c>
      <c r="H1913">
        <v>5</v>
      </c>
    </row>
    <row r="1914" spans="1:8" x14ac:dyDescent="0.45">
      <c r="A1914" t="s">
        <v>43</v>
      </c>
      <c r="B1914" t="s">
        <v>20</v>
      </c>
      <c r="C1914">
        <v>6</v>
      </c>
      <c r="D1914" t="s">
        <v>34</v>
      </c>
      <c r="H1914">
        <v>6</v>
      </c>
    </row>
    <row r="1915" spans="1:8" x14ac:dyDescent="0.45">
      <c r="A1915" t="s">
        <v>43</v>
      </c>
      <c r="B1915" t="s">
        <v>21</v>
      </c>
      <c r="C1915">
        <v>7</v>
      </c>
      <c r="D1915" t="s">
        <v>19</v>
      </c>
      <c r="E1915">
        <v>1674765</v>
      </c>
      <c r="F1915">
        <v>2596</v>
      </c>
      <c r="G1915">
        <v>737</v>
      </c>
    </row>
    <row r="1916" spans="1:8" x14ac:dyDescent="0.45">
      <c r="A1916" t="s">
        <v>43</v>
      </c>
      <c r="B1916" t="s">
        <v>21</v>
      </c>
      <c r="C1916">
        <v>7</v>
      </c>
      <c r="D1916" t="s">
        <v>27</v>
      </c>
      <c r="F1916">
        <v>637</v>
      </c>
    </row>
    <row r="1917" spans="1:8" x14ac:dyDescent="0.45">
      <c r="A1917" t="s">
        <v>43</v>
      </c>
      <c r="B1917" t="s">
        <v>21</v>
      </c>
      <c r="C1917">
        <v>7</v>
      </c>
      <c r="D1917" t="s">
        <v>28</v>
      </c>
      <c r="F1917">
        <v>477</v>
      </c>
    </row>
    <row r="1918" spans="1:8" x14ac:dyDescent="0.45">
      <c r="A1918" t="s">
        <v>43</v>
      </c>
      <c r="B1918" t="s">
        <v>21</v>
      </c>
      <c r="C1918">
        <v>7</v>
      </c>
      <c r="D1918" t="s">
        <v>29</v>
      </c>
      <c r="F1918">
        <v>333</v>
      </c>
    </row>
    <row r="1919" spans="1:8" x14ac:dyDescent="0.45">
      <c r="A1919" t="s">
        <v>43</v>
      </c>
      <c r="B1919" t="s">
        <v>20</v>
      </c>
      <c r="C1919">
        <v>7</v>
      </c>
      <c r="D1919" t="s">
        <v>19</v>
      </c>
      <c r="E1919">
        <v>1848514</v>
      </c>
      <c r="F1919">
        <v>2698</v>
      </c>
      <c r="H1919">
        <v>0</v>
      </c>
    </row>
    <row r="1920" spans="1:8" x14ac:dyDescent="0.45">
      <c r="A1920" t="s">
        <v>43</v>
      </c>
      <c r="B1920" t="s">
        <v>20</v>
      </c>
      <c r="C1920">
        <v>7</v>
      </c>
      <c r="D1920" t="s">
        <v>27</v>
      </c>
      <c r="F1920">
        <v>605</v>
      </c>
    </row>
    <row r="1921" spans="1:8" x14ac:dyDescent="0.45">
      <c r="A1921" t="s">
        <v>43</v>
      </c>
      <c r="B1921" t="s">
        <v>20</v>
      </c>
      <c r="C1921">
        <v>7</v>
      </c>
      <c r="D1921" t="s">
        <v>28</v>
      </c>
      <c r="F1921">
        <v>467</v>
      </c>
    </row>
    <row r="1922" spans="1:8" x14ac:dyDescent="0.45">
      <c r="A1922" t="s">
        <v>43</v>
      </c>
      <c r="B1922" t="s">
        <v>20</v>
      </c>
      <c r="C1922">
        <v>7</v>
      </c>
      <c r="D1922" t="s">
        <v>29</v>
      </c>
      <c r="F1922">
        <v>366</v>
      </c>
    </row>
    <row r="1923" spans="1:8" x14ac:dyDescent="0.45">
      <c r="A1923" t="s">
        <v>43</v>
      </c>
      <c r="B1923" t="s">
        <v>20</v>
      </c>
      <c r="C1923">
        <v>7</v>
      </c>
      <c r="D1923" t="s">
        <v>31</v>
      </c>
      <c r="H1923">
        <v>164</v>
      </c>
    </row>
    <row r="1924" spans="1:8" x14ac:dyDescent="0.45">
      <c r="A1924" t="s">
        <v>43</v>
      </c>
      <c r="B1924" t="s">
        <v>20</v>
      </c>
      <c r="C1924">
        <v>7</v>
      </c>
      <c r="D1924" t="s">
        <v>32</v>
      </c>
      <c r="H1924">
        <v>5</v>
      </c>
    </row>
    <row r="1925" spans="1:8" x14ac:dyDescent="0.45">
      <c r="A1925" t="s">
        <v>43</v>
      </c>
      <c r="B1925" t="s">
        <v>20</v>
      </c>
      <c r="C1925">
        <v>7</v>
      </c>
      <c r="D1925" t="s">
        <v>34</v>
      </c>
      <c r="H1925">
        <v>6</v>
      </c>
    </row>
    <row r="1926" spans="1:8" x14ac:dyDescent="0.45">
      <c r="A1926" t="s">
        <v>43</v>
      </c>
      <c r="B1926" t="s">
        <v>21</v>
      </c>
      <c r="C1926">
        <v>8</v>
      </c>
      <c r="D1926" t="s">
        <v>19</v>
      </c>
      <c r="E1926">
        <v>1241919</v>
      </c>
      <c r="F1926">
        <v>2043</v>
      </c>
      <c r="G1926">
        <v>584</v>
      </c>
    </row>
    <row r="1927" spans="1:8" x14ac:dyDescent="0.45">
      <c r="A1927" t="s">
        <v>43</v>
      </c>
      <c r="B1927" t="s">
        <v>21</v>
      </c>
      <c r="C1927">
        <v>8</v>
      </c>
      <c r="D1927" t="s">
        <v>27</v>
      </c>
      <c r="F1927">
        <v>498</v>
      </c>
      <c r="G1927">
        <v>1539</v>
      </c>
    </row>
    <row r="1928" spans="1:8" x14ac:dyDescent="0.45">
      <c r="A1928" t="s">
        <v>43</v>
      </c>
      <c r="B1928" t="s">
        <v>21</v>
      </c>
      <c r="C1928">
        <v>8</v>
      </c>
      <c r="D1928" t="s">
        <v>28</v>
      </c>
      <c r="F1928">
        <v>417</v>
      </c>
      <c r="G1928">
        <v>637</v>
      </c>
    </row>
    <row r="1929" spans="1:8" x14ac:dyDescent="0.45">
      <c r="A1929" t="s">
        <v>43</v>
      </c>
      <c r="B1929" t="s">
        <v>21</v>
      </c>
      <c r="C1929">
        <v>8</v>
      </c>
      <c r="D1929" t="s">
        <v>29</v>
      </c>
      <c r="F1929">
        <v>282</v>
      </c>
      <c r="G1929">
        <v>1093</v>
      </c>
    </row>
    <row r="1930" spans="1:8" x14ac:dyDescent="0.45">
      <c r="A1930" t="s">
        <v>43</v>
      </c>
      <c r="B1930" t="s">
        <v>20</v>
      </c>
      <c r="C1930">
        <v>8</v>
      </c>
      <c r="D1930" t="s">
        <v>19</v>
      </c>
      <c r="E1930">
        <v>1243436</v>
      </c>
      <c r="F1930">
        <v>1879</v>
      </c>
      <c r="G1930">
        <v>533</v>
      </c>
    </row>
    <row r="1931" spans="1:8" x14ac:dyDescent="0.45">
      <c r="A1931" t="s">
        <v>43</v>
      </c>
      <c r="B1931" t="s">
        <v>20</v>
      </c>
      <c r="C1931">
        <v>8</v>
      </c>
      <c r="D1931" t="s">
        <v>27</v>
      </c>
      <c r="F1931">
        <v>427</v>
      </c>
      <c r="G1931">
        <v>1246</v>
      </c>
    </row>
    <row r="1932" spans="1:8" x14ac:dyDescent="0.45">
      <c r="A1932" t="s">
        <v>43</v>
      </c>
      <c r="B1932" t="s">
        <v>20</v>
      </c>
      <c r="C1932">
        <v>8</v>
      </c>
      <c r="D1932" t="s">
        <v>28</v>
      </c>
      <c r="F1932">
        <v>358</v>
      </c>
      <c r="G1932">
        <v>852</v>
      </c>
    </row>
    <row r="1933" spans="1:8" x14ac:dyDescent="0.45">
      <c r="A1933" t="s">
        <v>43</v>
      </c>
      <c r="B1933" t="s">
        <v>20</v>
      </c>
      <c r="C1933">
        <v>8</v>
      </c>
      <c r="D1933" t="s">
        <v>29</v>
      </c>
      <c r="F1933">
        <v>210</v>
      </c>
      <c r="G1933">
        <v>1224</v>
      </c>
    </row>
    <row r="1934" spans="1:8" x14ac:dyDescent="0.45">
      <c r="A1934" t="s">
        <v>43</v>
      </c>
      <c r="B1934" t="s">
        <v>20</v>
      </c>
      <c r="C1934">
        <v>8</v>
      </c>
      <c r="D1934" t="s">
        <v>31</v>
      </c>
      <c r="H1934">
        <v>19</v>
      </c>
    </row>
    <row r="1935" spans="1:8" x14ac:dyDescent="0.45">
      <c r="A1935" t="s">
        <v>43</v>
      </c>
      <c r="B1935" t="s">
        <v>20</v>
      </c>
      <c r="C1935">
        <v>8</v>
      </c>
      <c r="D1935" t="s">
        <v>32</v>
      </c>
      <c r="H1935">
        <v>5</v>
      </c>
    </row>
    <row r="1936" spans="1:8" x14ac:dyDescent="0.45">
      <c r="A1936" t="s">
        <v>43</v>
      </c>
      <c r="B1936" t="s">
        <v>20</v>
      </c>
      <c r="C1936">
        <v>8</v>
      </c>
      <c r="D1936" t="s">
        <v>34</v>
      </c>
      <c r="H1936">
        <v>2</v>
      </c>
    </row>
    <row r="1937" spans="1:8" x14ac:dyDescent="0.45">
      <c r="A1937" t="s">
        <v>43</v>
      </c>
      <c r="B1937" t="s">
        <v>21</v>
      </c>
      <c r="C1937">
        <v>9</v>
      </c>
      <c r="D1937" t="s">
        <v>19</v>
      </c>
      <c r="E1937">
        <v>1121488</v>
      </c>
      <c r="F1937">
        <v>1995</v>
      </c>
      <c r="G1937">
        <v>573</v>
      </c>
    </row>
    <row r="1938" spans="1:8" x14ac:dyDescent="0.45">
      <c r="A1938" t="s">
        <v>43</v>
      </c>
      <c r="B1938" t="s">
        <v>21</v>
      </c>
      <c r="C1938">
        <v>9</v>
      </c>
      <c r="D1938" t="s">
        <v>27</v>
      </c>
      <c r="F1938">
        <v>582</v>
      </c>
    </row>
    <row r="1939" spans="1:8" x14ac:dyDescent="0.45">
      <c r="A1939" t="s">
        <v>43</v>
      </c>
      <c r="B1939" t="s">
        <v>21</v>
      </c>
      <c r="C1939">
        <v>9</v>
      </c>
      <c r="D1939" t="s">
        <v>28</v>
      </c>
      <c r="F1939">
        <v>420</v>
      </c>
    </row>
    <row r="1940" spans="1:8" x14ac:dyDescent="0.45">
      <c r="A1940" t="s">
        <v>43</v>
      </c>
      <c r="B1940" t="s">
        <v>21</v>
      </c>
      <c r="C1940">
        <v>9</v>
      </c>
      <c r="D1940" t="s">
        <v>29</v>
      </c>
      <c r="F1940">
        <v>311</v>
      </c>
    </row>
    <row r="1941" spans="1:8" x14ac:dyDescent="0.45">
      <c r="A1941" t="s">
        <v>43</v>
      </c>
      <c r="B1941" t="s">
        <v>20</v>
      </c>
      <c r="C1941">
        <v>9</v>
      </c>
      <c r="D1941" t="s">
        <v>19</v>
      </c>
      <c r="E1941">
        <v>1250265</v>
      </c>
      <c r="F1941">
        <v>2181</v>
      </c>
      <c r="G1941">
        <v>635</v>
      </c>
    </row>
    <row r="1942" spans="1:8" x14ac:dyDescent="0.45">
      <c r="A1942" t="s">
        <v>43</v>
      </c>
      <c r="B1942" t="s">
        <v>20</v>
      </c>
      <c r="C1942">
        <v>9</v>
      </c>
      <c r="D1942" t="s">
        <v>27</v>
      </c>
      <c r="F1942">
        <v>603</v>
      </c>
    </row>
    <row r="1943" spans="1:8" x14ac:dyDescent="0.45">
      <c r="A1943" t="s">
        <v>43</v>
      </c>
      <c r="B1943" t="s">
        <v>20</v>
      </c>
      <c r="C1943">
        <v>9</v>
      </c>
      <c r="D1943" t="s">
        <v>28</v>
      </c>
      <c r="F1943">
        <v>437</v>
      </c>
    </row>
    <row r="1944" spans="1:8" x14ac:dyDescent="0.45">
      <c r="A1944" t="s">
        <v>43</v>
      </c>
      <c r="B1944" t="s">
        <v>20</v>
      </c>
      <c r="C1944">
        <v>9</v>
      </c>
      <c r="D1944" t="s">
        <v>29</v>
      </c>
      <c r="F1944">
        <v>294</v>
      </c>
    </row>
    <row r="1945" spans="1:8" x14ac:dyDescent="0.45">
      <c r="A1945" t="s">
        <v>43</v>
      </c>
      <c r="B1945" t="s">
        <v>20</v>
      </c>
      <c r="C1945">
        <v>9</v>
      </c>
      <c r="D1945" t="s">
        <v>31</v>
      </c>
      <c r="H1945">
        <v>110</v>
      </c>
    </row>
    <row r="1946" spans="1:8" x14ac:dyDescent="0.45">
      <c r="A1946" t="s">
        <v>43</v>
      </c>
      <c r="B1946" t="s">
        <v>20</v>
      </c>
      <c r="C1946">
        <v>9</v>
      </c>
      <c r="D1946" t="s">
        <v>32</v>
      </c>
      <c r="H1946">
        <v>9</v>
      </c>
    </row>
    <row r="1947" spans="1:8" x14ac:dyDescent="0.45">
      <c r="A1947" t="s">
        <v>43</v>
      </c>
      <c r="B1947" t="s">
        <v>20</v>
      </c>
      <c r="C1947">
        <v>9</v>
      </c>
      <c r="D1947" t="s">
        <v>34</v>
      </c>
      <c r="H1947">
        <v>2</v>
      </c>
    </row>
    <row r="1948" spans="1:8" x14ac:dyDescent="0.45">
      <c r="A1948" t="s">
        <v>43</v>
      </c>
      <c r="B1948" t="s">
        <v>21</v>
      </c>
      <c r="C1948">
        <v>10</v>
      </c>
      <c r="D1948" t="s">
        <v>19</v>
      </c>
      <c r="E1948">
        <v>1622400</v>
      </c>
      <c r="F1948">
        <v>2931</v>
      </c>
      <c r="G1948">
        <v>778</v>
      </c>
    </row>
    <row r="1949" spans="1:8" x14ac:dyDescent="0.45">
      <c r="A1949" t="s">
        <v>43</v>
      </c>
      <c r="B1949" t="s">
        <v>21</v>
      </c>
      <c r="C1949">
        <v>10</v>
      </c>
      <c r="D1949" t="s">
        <v>27</v>
      </c>
      <c r="F1949">
        <v>800</v>
      </c>
    </row>
    <row r="1950" spans="1:8" x14ac:dyDescent="0.45">
      <c r="A1950" t="s">
        <v>43</v>
      </c>
      <c r="B1950" t="s">
        <v>21</v>
      </c>
      <c r="C1950">
        <v>10</v>
      </c>
      <c r="D1950" t="s">
        <v>28</v>
      </c>
      <c r="F1950">
        <v>583</v>
      </c>
    </row>
    <row r="1951" spans="1:8" x14ac:dyDescent="0.45">
      <c r="A1951" t="s">
        <v>43</v>
      </c>
      <c r="B1951" t="s">
        <v>21</v>
      </c>
      <c r="C1951">
        <v>10</v>
      </c>
      <c r="D1951" t="s">
        <v>29</v>
      </c>
      <c r="F1951">
        <v>410</v>
      </c>
    </row>
    <row r="1952" spans="1:8" x14ac:dyDescent="0.45">
      <c r="A1952" t="s">
        <v>43</v>
      </c>
      <c r="B1952" t="s">
        <v>20</v>
      </c>
      <c r="C1952">
        <v>10</v>
      </c>
      <c r="D1952" t="s">
        <v>19</v>
      </c>
      <c r="E1952">
        <v>1728575</v>
      </c>
      <c r="F1952">
        <v>2880</v>
      </c>
    </row>
    <row r="1953" spans="1:8" x14ac:dyDescent="0.45">
      <c r="A1953" t="s">
        <v>43</v>
      </c>
      <c r="B1953" t="s">
        <v>20</v>
      </c>
      <c r="C1953">
        <v>10</v>
      </c>
      <c r="D1953" t="s">
        <v>27</v>
      </c>
      <c r="F1953">
        <v>786</v>
      </c>
    </row>
    <row r="1954" spans="1:8" x14ac:dyDescent="0.45">
      <c r="A1954" t="s">
        <v>43</v>
      </c>
      <c r="B1954" t="s">
        <v>20</v>
      </c>
      <c r="C1954">
        <v>10</v>
      </c>
      <c r="D1954" t="s">
        <v>28</v>
      </c>
      <c r="F1954">
        <v>556</v>
      </c>
    </row>
    <row r="1955" spans="1:8" x14ac:dyDescent="0.45">
      <c r="A1955" t="s">
        <v>43</v>
      </c>
      <c r="B1955" t="s">
        <v>20</v>
      </c>
      <c r="C1955">
        <v>10</v>
      </c>
      <c r="D1955" t="s">
        <v>29</v>
      </c>
      <c r="F1955">
        <v>412</v>
      </c>
    </row>
    <row r="1956" spans="1:8" x14ac:dyDescent="0.45">
      <c r="A1956" t="s">
        <v>43</v>
      </c>
      <c r="B1956" t="s">
        <v>20</v>
      </c>
      <c r="C1956">
        <v>10</v>
      </c>
      <c r="D1956" t="s">
        <v>31</v>
      </c>
      <c r="H1956">
        <v>130</v>
      </c>
    </row>
    <row r="1957" spans="1:8" x14ac:dyDescent="0.45">
      <c r="A1957" t="s">
        <v>43</v>
      </c>
      <c r="B1957" t="s">
        <v>20</v>
      </c>
      <c r="C1957">
        <v>10</v>
      </c>
      <c r="D1957" t="s">
        <v>32</v>
      </c>
      <c r="H1957">
        <v>4</v>
      </c>
    </row>
    <row r="1958" spans="1:8" x14ac:dyDescent="0.45">
      <c r="A1958" t="s">
        <v>43</v>
      </c>
      <c r="B1958" t="s">
        <v>20</v>
      </c>
      <c r="C1958">
        <v>10</v>
      </c>
      <c r="D1958" t="s">
        <v>34</v>
      </c>
      <c r="H1958">
        <v>3</v>
      </c>
    </row>
    <row r="1959" spans="1:8" x14ac:dyDescent="0.45">
      <c r="A1959" t="s">
        <v>43</v>
      </c>
      <c r="B1959" t="s">
        <v>21</v>
      </c>
      <c r="C1959">
        <v>11</v>
      </c>
      <c r="D1959" t="s">
        <v>19</v>
      </c>
      <c r="E1959">
        <v>1283231</v>
      </c>
      <c r="F1959">
        <v>2164</v>
      </c>
      <c r="G1959">
        <v>626</v>
      </c>
    </row>
    <row r="1960" spans="1:8" x14ac:dyDescent="0.45">
      <c r="A1960" t="s">
        <v>43</v>
      </c>
      <c r="B1960" t="s">
        <v>21</v>
      </c>
      <c r="C1960">
        <v>11</v>
      </c>
      <c r="D1960" t="s">
        <v>27</v>
      </c>
      <c r="F1960">
        <v>649</v>
      </c>
    </row>
    <row r="1961" spans="1:8" x14ac:dyDescent="0.45">
      <c r="A1961" t="s">
        <v>43</v>
      </c>
      <c r="B1961" t="s">
        <v>21</v>
      </c>
      <c r="C1961">
        <v>11</v>
      </c>
      <c r="D1961" t="s">
        <v>28</v>
      </c>
      <c r="F1961">
        <v>423</v>
      </c>
    </row>
    <row r="1962" spans="1:8" x14ac:dyDescent="0.45">
      <c r="A1962" t="s">
        <v>43</v>
      </c>
      <c r="B1962" t="s">
        <v>21</v>
      </c>
      <c r="C1962">
        <v>11</v>
      </c>
      <c r="D1962" t="s">
        <v>29</v>
      </c>
      <c r="F1962">
        <v>321</v>
      </c>
    </row>
    <row r="1963" spans="1:8" x14ac:dyDescent="0.45">
      <c r="A1963" t="s">
        <v>43</v>
      </c>
      <c r="B1963" t="s">
        <v>20</v>
      </c>
      <c r="C1963">
        <v>11</v>
      </c>
      <c r="D1963" t="s">
        <v>19</v>
      </c>
      <c r="E1963">
        <v>1170503</v>
      </c>
      <c r="F1963">
        <v>2141</v>
      </c>
      <c r="G1963">
        <v>651</v>
      </c>
    </row>
    <row r="1964" spans="1:8" x14ac:dyDescent="0.45">
      <c r="A1964" t="s">
        <v>43</v>
      </c>
      <c r="B1964" t="s">
        <v>20</v>
      </c>
      <c r="C1964">
        <v>11</v>
      </c>
      <c r="D1964" t="s">
        <v>27</v>
      </c>
      <c r="F1964">
        <v>603</v>
      </c>
    </row>
    <row r="1965" spans="1:8" x14ac:dyDescent="0.45">
      <c r="A1965" t="s">
        <v>43</v>
      </c>
      <c r="B1965" t="s">
        <v>20</v>
      </c>
      <c r="C1965">
        <v>11</v>
      </c>
      <c r="D1965" t="s">
        <v>28</v>
      </c>
      <c r="F1965">
        <v>396</v>
      </c>
    </row>
    <row r="1966" spans="1:8" x14ac:dyDescent="0.45">
      <c r="A1966" t="s">
        <v>43</v>
      </c>
      <c r="B1966" t="s">
        <v>20</v>
      </c>
      <c r="C1966">
        <v>11</v>
      </c>
      <c r="D1966" t="s">
        <v>29</v>
      </c>
      <c r="F1966">
        <v>318</v>
      </c>
    </row>
    <row r="1967" spans="1:8" x14ac:dyDescent="0.45">
      <c r="A1967" t="s">
        <v>43</v>
      </c>
      <c r="B1967" t="s">
        <v>20</v>
      </c>
      <c r="C1967">
        <v>11</v>
      </c>
      <c r="D1967" t="s">
        <v>31</v>
      </c>
      <c r="H1967">
        <v>162</v>
      </c>
    </row>
    <row r="1968" spans="1:8" x14ac:dyDescent="0.45">
      <c r="A1968" t="s">
        <v>43</v>
      </c>
      <c r="B1968" t="s">
        <v>20</v>
      </c>
      <c r="C1968">
        <v>11</v>
      </c>
      <c r="D1968" t="s">
        <v>32</v>
      </c>
      <c r="H1968">
        <v>3</v>
      </c>
    </row>
    <row r="1969" spans="1:8" x14ac:dyDescent="0.45">
      <c r="A1969" t="s">
        <v>43</v>
      </c>
      <c r="B1969" t="s">
        <v>20</v>
      </c>
      <c r="C1969">
        <v>11</v>
      </c>
      <c r="D1969" t="s">
        <v>34</v>
      </c>
      <c r="H1969">
        <v>3</v>
      </c>
    </row>
    <row r="1970" spans="1:8" x14ac:dyDescent="0.45">
      <c r="A1970" t="s">
        <v>43</v>
      </c>
      <c r="B1970" t="s">
        <v>21</v>
      </c>
      <c r="C1970">
        <v>12</v>
      </c>
      <c r="D1970" t="s">
        <v>19</v>
      </c>
      <c r="E1970">
        <v>1331220</v>
      </c>
      <c r="F1970">
        <v>2429</v>
      </c>
      <c r="G1970">
        <v>635</v>
      </c>
    </row>
    <row r="1971" spans="1:8" x14ac:dyDescent="0.45">
      <c r="A1971" t="s">
        <v>43</v>
      </c>
      <c r="B1971" t="s">
        <v>21</v>
      </c>
      <c r="C1971">
        <v>12</v>
      </c>
      <c r="D1971" t="s">
        <v>27</v>
      </c>
      <c r="F1971">
        <v>705</v>
      </c>
    </row>
    <row r="1972" spans="1:8" x14ac:dyDescent="0.45">
      <c r="A1972" t="s">
        <v>43</v>
      </c>
      <c r="B1972" t="s">
        <v>21</v>
      </c>
      <c r="C1972">
        <v>12</v>
      </c>
      <c r="D1972" t="s">
        <v>28</v>
      </c>
      <c r="F1972">
        <v>462</v>
      </c>
    </row>
    <row r="1973" spans="1:8" x14ac:dyDescent="0.45">
      <c r="A1973" t="s">
        <v>43</v>
      </c>
      <c r="B1973" t="s">
        <v>21</v>
      </c>
      <c r="C1973">
        <v>12</v>
      </c>
      <c r="D1973" t="s">
        <v>29</v>
      </c>
      <c r="F1973">
        <v>352</v>
      </c>
    </row>
    <row r="1974" spans="1:8" x14ac:dyDescent="0.45">
      <c r="A1974" t="s">
        <v>43</v>
      </c>
      <c r="B1974" t="s">
        <v>20</v>
      </c>
      <c r="C1974">
        <v>12</v>
      </c>
      <c r="D1974" t="s">
        <v>19</v>
      </c>
      <c r="E1974">
        <v>1331350</v>
      </c>
      <c r="F1974">
        <v>2450</v>
      </c>
      <c r="G1974">
        <v>697</v>
      </c>
    </row>
    <row r="1975" spans="1:8" x14ac:dyDescent="0.45">
      <c r="A1975" t="s">
        <v>43</v>
      </c>
      <c r="B1975" t="s">
        <v>20</v>
      </c>
      <c r="C1975">
        <v>12</v>
      </c>
      <c r="D1975" t="s">
        <v>27</v>
      </c>
      <c r="F1975">
        <v>658</v>
      </c>
    </row>
    <row r="1976" spans="1:8" x14ac:dyDescent="0.45">
      <c r="A1976" t="s">
        <v>43</v>
      </c>
      <c r="B1976" t="s">
        <v>20</v>
      </c>
      <c r="C1976">
        <v>12</v>
      </c>
      <c r="D1976" t="s">
        <v>28</v>
      </c>
      <c r="F1976">
        <v>424</v>
      </c>
    </row>
    <row r="1977" spans="1:8" x14ac:dyDescent="0.45">
      <c r="A1977" t="s">
        <v>43</v>
      </c>
      <c r="B1977" t="s">
        <v>20</v>
      </c>
      <c r="C1977">
        <v>12</v>
      </c>
      <c r="D1977" t="s">
        <v>29</v>
      </c>
      <c r="F1977">
        <v>410</v>
      </c>
    </row>
    <row r="1978" spans="1:8" x14ac:dyDescent="0.45">
      <c r="A1978" t="s">
        <v>43</v>
      </c>
      <c r="B1978" t="s">
        <v>20</v>
      </c>
      <c r="C1978">
        <v>12</v>
      </c>
      <c r="D1978" t="s">
        <v>31</v>
      </c>
      <c r="H1978">
        <v>101</v>
      </c>
    </row>
    <row r="1979" spans="1:8" x14ac:dyDescent="0.45">
      <c r="A1979" t="s">
        <v>43</v>
      </c>
      <c r="B1979" t="s">
        <v>20</v>
      </c>
      <c r="C1979">
        <v>12</v>
      </c>
      <c r="D1979" t="s">
        <v>32</v>
      </c>
      <c r="H1979">
        <v>4</v>
      </c>
    </row>
    <row r="1980" spans="1:8" x14ac:dyDescent="0.45">
      <c r="A1980" t="s">
        <v>43</v>
      </c>
      <c r="B1980" t="s">
        <v>20</v>
      </c>
      <c r="C1980">
        <v>12</v>
      </c>
      <c r="D1980" t="s">
        <v>34</v>
      </c>
      <c r="H1980">
        <v>3</v>
      </c>
    </row>
    <row r="1981" spans="1:8" x14ac:dyDescent="0.45">
      <c r="A1981" t="s">
        <v>84</v>
      </c>
      <c r="B1981" t="s">
        <v>21</v>
      </c>
      <c r="C1981">
        <v>1</v>
      </c>
      <c r="D1981" t="s">
        <v>19</v>
      </c>
      <c r="E1981">
        <v>779411</v>
      </c>
      <c r="F1981">
        <v>1688</v>
      </c>
      <c r="G1981">
        <v>501</v>
      </c>
    </row>
    <row r="1982" spans="1:8" x14ac:dyDescent="0.45">
      <c r="A1982" t="s">
        <v>84</v>
      </c>
      <c r="B1982" t="s">
        <v>21</v>
      </c>
      <c r="C1982">
        <v>1</v>
      </c>
      <c r="D1982" t="s">
        <v>27</v>
      </c>
      <c r="F1982">
        <v>733</v>
      </c>
    </row>
    <row r="1983" spans="1:8" x14ac:dyDescent="0.45">
      <c r="A1983" t="s">
        <v>84</v>
      </c>
      <c r="B1983" t="s">
        <v>21</v>
      </c>
      <c r="C1983">
        <v>1</v>
      </c>
      <c r="D1983" t="s">
        <v>28</v>
      </c>
      <c r="F1983">
        <v>259</v>
      </c>
    </row>
    <row r="1984" spans="1:8" x14ac:dyDescent="0.45">
      <c r="A1984" t="s">
        <v>84</v>
      </c>
      <c r="B1984" t="s">
        <v>21</v>
      </c>
      <c r="C1984">
        <v>1</v>
      </c>
      <c r="D1984" t="s">
        <v>29</v>
      </c>
      <c r="F1984">
        <v>183</v>
      </c>
    </row>
    <row r="1985" spans="1:8" x14ac:dyDescent="0.45">
      <c r="A1985" t="s">
        <v>84</v>
      </c>
      <c r="B1985" t="s">
        <v>20</v>
      </c>
      <c r="C1985">
        <v>1</v>
      </c>
      <c r="D1985" t="s">
        <v>19</v>
      </c>
      <c r="E1985">
        <v>786279</v>
      </c>
      <c r="F1985">
        <v>1669</v>
      </c>
      <c r="G1985">
        <v>510</v>
      </c>
    </row>
    <row r="1986" spans="1:8" x14ac:dyDescent="0.45">
      <c r="A1986" t="s">
        <v>84</v>
      </c>
      <c r="B1986" t="s">
        <v>20</v>
      </c>
      <c r="C1986">
        <v>1</v>
      </c>
      <c r="D1986" t="s">
        <v>27</v>
      </c>
      <c r="F1986">
        <v>741</v>
      </c>
    </row>
    <row r="1987" spans="1:8" x14ac:dyDescent="0.45">
      <c r="A1987" t="s">
        <v>84</v>
      </c>
      <c r="B1987" t="s">
        <v>20</v>
      </c>
      <c r="C1987">
        <v>1</v>
      </c>
      <c r="D1987" t="s">
        <v>28</v>
      </c>
      <c r="F1987">
        <v>260</v>
      </c>
    </row>
    <row r="1988" spans="1:8" x14ac:dyDescent="0.45">
      <c r="A1988" t="s">
        <v>84</v>
      </c>
      <c r="B1988" t="s">
        <v>20</v>
      </c>
      <c r="C1988">
        <v>1</v>
      </c>
      <c r="D1988" t="s">
        <v>29</v>
      </c>
      <c r="F1988">
        <v>217</v>
      </c>
    </row>
    <row r="1989" spans="1:8" x14ac:dyDescent="0.45">
      <c r="A1989" t="s">
        <v>84</v>
      </c>
      <c r="B1989" t="s">
        <v>20</v>
      </c>
      <c r="C1989">
        <v>1</v>
      </c>
      <c r="D1989" t="s">
        <v>31</v>
      </c>
      <c r="H1989">
        <v>81</v>
      </c>
    </row>
    <row r="1990" spans="1:8" x14ac:dyDescent="0.45">
      <c r="A1990" t="s">
        <v>84</v>
      </c>
      <c r="B1990" t="s">
        <v>20</v>
      </c>
      <c r="C1990">
        <v>1</v>
      </c>
      <c r="D1990" t="s">
        <v>32</v>
      </c>
      <c r="H1990">
        <v>7</v>
      </c>
    </row>
    <row r="1991" spans="1:8" x14ac:dyDescent="0.45">
      <c r="A1991" t="s">
        <v>84</v>
      </c>
      <c r="B1991" t="s">
        <v>20</v>
      </c>
      <c r="C1991">
        <v>1</v>
      </c>
      <c r="D1991" t="s">
        <v>34</v>
      </c>
    </row>
    <row r="1992" spans="1:8" x14ac:dyDescent="0.45">
      <c r="A1992" t="s">
        <v>84</v>
      </c>
      <c r="B1992" t="s">
        <v>21</v>
      </c>
      <c r="C1992">
        <v>2</v>
      </c>
      <c r="D1992" t="s">
        <v>19</v>
      </c>
      <c r="E1992">
        <v>709243</v>
      </c>
      <c r="F1992">
        <v>1696</v>
      </c>
      <c r="G1992">
        <v>509</v>
      </c>
    </row>
    <row r="1993" spans="1:8" x14ac:dyDescent="0.45">
      <c r="A1993" t="s">
        <v>84</v>
      </c>
      <c r="B1993" t="s">
        <v>21</v>
      </c>
      <c r="C1993">
        <v>2</v>
      </c>
      <c r="D1993" t="s">
        <v>27</v>
      </c>
      <c r="F1993">
        <v>760</v>
      </c>
    </row>
    <row r="1994" spans="1:8" x14ac:dyDescent="0.45">
      <c r="A1994" t="s">
        <v>84</v>
      </c>
      <c r="B1994" t="s">
        <v>21</v>
      </c>
      <c r="C1994">
        <v>2</v>
      </c>
      <c r="D1994" t="s">
        <v>28</v>
      </c>
      <c r="F1994">
        <v>280</v>
      </c>
    </row>
    <row r="1995" spans="1:8" x14ac:dyDescent="0.45">
      <c r="A1995" t="s">
        <v>84</v>
      </c>
      <c r="B1995" t="s">
        <v>21</v>
      </c>
      <c r="C1995">
        <v>2</v>
      </c>
      <c r="D1995" t="s">
        <v>29</v>
      </c>
      <c r="F1995">
        <v>185</v>
      </c>
    </row>
    <row r="1996" spans="1:8" x14ac:dyDescent="0.45">
      <c r="A1996" t="s">
        <v>84</v>
      </c>
      <c r="B1996" t="s">
        <v>20</v>
      </c>
      <c r="C1996">
        <v>2</v>
      </c>
      <c r="D1996" t="s">
        <v>19</v>
      </c>
      <c r="E1996">
        <v>721088</v>
      </c>
      <c r="F1996">
        <v>1531</v>
      </c>
      <c r="G1996">
        <v>448</v>
      </c>
    </row>
    <row r="1997" spans="1:8" x14ac:dyDescent="0.45">
      <c r="A1997" t="s">
        <v>84</v>
      </c>
      <c r="B1997" t="s">
        <v>20</v>
      </c>
      <c r="C1997">
        <v>2</v>
      </c>
      <c r="D1997" t="s">
        <v>27</v>
      </c>
      <c r="F1997">
        <v>757</v>
      </c>
    </row>
    <row r="1998" spans="1:8" x14ac:dyDescent="0.45">
      <c r="A1998" t="s">
        <v>84</v>
      </c>
      <c r="B1998" t="s">
        <v>20</v>
      </c>
      <c r="C1998">
        <v>2</v>
      </c>
      <c r="D1998" t="s">
        <v>28</v>
      </c>
      <c r="F1998">
        <v>242</v>
      </c>
    </row>
    <row r="1999" spans="1:8" x14ac:dyDescent="0.45">
      <c r="A1999" t="s">
        <v>84</v>
      </c>
      <c r="B1999" t="s">
        <v>20</v>
      </c>
      <c r="C1999">
        <v>2</v>
      </c>
      <c r="D1999" t="s">
        <v>29</v>
      </c>
      <c r="F1999">
        <v>172</v>
      </c>
    </row>
    <row r="2000" spans="1:8" x14ac:dyDescent="0.45">
      <c r="A2000" t="s">
        <v>84</v>
      </c>
      <c r="B2000" t="s">
        <v>20</v>
      </c>
      <c r="C2000">
        <v>2</v>
      </c>
      <c r="D2000" t="s">
        <v>31</v>
      </c>
      <c r="H2000">
        <v>56</v>
      </c>
    </row>
    <row r="2001" spans="1:8" x14ac:dyDescent="0.45">
      <c r="A2001" t="s">
        <v>84</v>
      </c>
      <c r="B2001" t="s">
        <v>20</v>
      </c>
      <c r="C2001">
        <v>2</v>
      </c>
      <c r="D2001" t="s">
        <v>32</v>
      </c>
      <c r="H2001">
        <v>5</v>
      </c>
    </row>
    <row r="2002" spans="1:8" x14ac:dyDescent="0.45">
      <c r="A2002" t="s">
        <v>84</v>
      </c>
      <c r="B2002" t="s">
        <v>20</v>
      </c>
      <c r="C2002">
        <v>2</v>
      </c>
      <c r="D2002" t="s">
        <v>34</v>
      </c>
      <c r="H2002">
        <v>14</v>
      </c>
    </row>
    <row r="2003" spans="1:8" x14ac:dyDescent="0.45">
      <c r="A2003" t="s">
        <v>84</v>
      </c>
      <c r="B2003" t="s">
        <v>21</v>
      </c>
      <c r="C2003">
        <v>3</v>
      </c>
      <c r="D2003" t="s">
        <v>19</v>
      </c>
      <c r="E2003">
        <v>1588830</v>
      </c>
      <c r="F2003">
        <v>2806</v>
      </c>
      <c r="G2003">
        <v>763</v>
      </c>
    </row>
    <row r="2004" spans="1:8" x14ac:dyDescent="0.45">
      <c r="A2004" t="s">
        <v>84</v>
      </c>
      <c r="B2004" t="s">
        <v>21</v>
      </c>
      <c r="C2004">
        <v>3</v>
      </c>
      <c r="D2004" t="s">
        <v>27</v>
      </c>
      <c r="F2004">
        <v>888</v>
      </c>
    </row>
    <row r="2005" spans="1:8" x14ac:dyDescent="0.45">
      <c r="A2005" t="s">
        <v>84</v>
      </c>
      <c r="B2005" t="s">
        <v>21</v>
      </c>
      <c r="C2005">
        <v>3</v>
      </c>
      <c r="D2005" t="s">
        <v>28</v>
      </c>
      <c r="F2005">
        <v>408</v>
      </c>
    </row>
    <row r="2006" spans="1:8" x14ac:dyDescent="0.45">
      <c r="A2006" t="s">
        <v>84</v>
      </c>
      <c r="B2006" t="s">
        <v>21</v>
      </c>
      <c r="C2006">
        <v>3</v>
      </c>
      <c r="D2006" t="s">
        <v>29</v>
      </c>
      <c r="F2006">
        <v>299</v>
      </c>
    </row>
    <row r="2007" spans="1:8" x14ac:dyDescent="0.45">
      <c r="A2007" t="s">
        <v>84</v>
      </c>
      <c r="B2007" t="s">
        <v>20</v>
      </c>
      <c r="C2007">
        <v>3</v>
      </c>
      <c r="D2007" t="s">
        <v>19</v>
      </c>
      <c r="E2007">
        <v>1280014</v>
      </c>
      <c r="F2007">
        <v>2366</v>
      </c>
      <c r="G2007">
        <v>669</v>
      </c>
    </row>
    <row r="2008" spans="1:8" x14ac:dyDescent="0.45">
      <c r="A2008" t="s">
        <v>84</v>
      </c>
      <c r="B2008" t="s">
        <v>20</v>
      </c>
      <c r="C2008">
        <v>3</v>
      </c>
      <c r="D2008" t="s">
        <v>27</v>
      </c>
      <c r="F2008">
        <v>887</v>
      </c>
    </row>
    <row r="2009" spans="1:8" x14ac:dyDescent="0.45">
      <c r="A2009" t="s">
        <v>84</v>
      </c>
      <c r="B2009" t="s">
        <v>20</v>
      </c>
      <c r="C2009">
        <v>3</v>
      </c>
      <c r="D2009" t="s">
        <v>28</v>
      </c>
      <c r="F2009">
        <v>358</v>
      </c>
    </row>
    <row r="2010" spans="1:8" x14ac:dyDescent="0.45">
      <c r="A2010" t="s">
        <v>84</v>
      </c>
      <c r="B2010" t="s">
        <v>20</v>
      </c>
      <c r="C2010">
        <v>3</v>
      </c>
      <c r="D2010" t="s">
        <v>29</v>
      </c>
      <c r="F2010">
        <v>289</v>
      </c>
    </row>
    <row r="2011" spans="1:8" x14ac:dyDescent="0.45">
      <c r="A2011" t="s">
        <v>84</v>
      </c>
      <c r="B2011" t="s">
        <v>20</v>
      </c>
      <c r="C2011">
        <v>3</v>
      </c>
      <c r="D2011" t="s">
        <v>31</v>
      </c>
      <c r="H2011">
        <v>119</v>
      </c>
    </row>
    <row r="2012" spans="1:8" x14ac:dyDescent="0.45">
      <c r="A2012" t="s">
        <v>84</v>
      </c>
      <c r="B2012" t="s">
        <v>20</v>
      </c>
      <c r="C2012">
        <v>3</v>
      </c>
      <c r="D2012" t="s">
        <v>32</v>
      </c>
      <c r="H2012">
        <v>10</v>
      </c>
    </row>
    <row r="2013" spans="1:8" x14ac:dyDescent="0.45">
      <c r="A2013" t="s">
        <v>84</v>
      </c>
      <c r="B2013" t="s">
        <v>20</v>
      </c>
      <c r="C2013">
        <v>3</v>
      </c>
      <c r="D2013" t="s">
        <v>34</v>
      </c>
      <c r="H2013">
        <v>14</v>
      </c>
    </row>
    <row r="2014" spans="1:8" x14ac:dyDescent="0.45">
      <c r="A2014" t="s">
        <v>84</v>
      </c>
      <c r="B2014" t="s">
        <v>21</v>
      </c>
      <c r="C2014">
        <v>4</v>
      </c>
      <c r="D2014" t="s">
        <v>19</v>
      </c>
      <c r="E2014">
        <v>1940293</v>
      </c>
      <c r="F2014">
        <v>3374</v>
      </c>
    </row>
    <row r="2015" spans="1:8" x14ac:dyDescent="0.45">
      <c r="A2015" t="s">
        <v>84</v>
      </c>
      <c r="B2015" t="s">
        <v>21</v>
      </c>
      <c r="C2015">
        <v>4</v>
      </c>
      <c r="D2015" t="s">
        <v>27</v>
      </c>
      <c r="F2015">
        <v>994</v>
      </c>
    </row>
    <row r="2016" spans="1:8" x14ac:dyDescent="0.45">
      <c r="A2016" t="s">
        <v>84</v>
      </c>
      <c r="B2016" t="s">
        <v>21</v>
      </c>
      <c r="C2016">
        <v>4</v>
      </c>
      <c r="D2016" t="s">
        <v>28</v>
      </c>
      <c r="F2016">
        <v>468</v>
      </c>
    </row>
    <row r="2017" spans="1:8" x14ac:dyDescent="0.45">
      <c r="A2017" t="s">
        <v>84</v>
      </c>
      <c r="B2017" t="s">
        <v>21</v>
      </c>
      <c r="C2017">
        <v>4</v>
      </c>
      <c r="D2017" t="s">
        <v>29</v>
      </c>
      <c r="F2017">
        <v>381</v>
      </c>
    </row>
    <row r="2018" spans="1:8" x14ac:dyDescent="0.45">
      <c r="A2018" t="s">
        <v>84</v>
      </c>
      <c r="B2018" t="s">
        <v>20</v>
      </c>
      <c r="C2018">
        <v>4</v>
      </c>
      <c r="D2018" t="s">
        <v>19</v>
      </c>
      <c r="E2018">
        <v>2250770</v>
      </c>
      <c r="F2018">
        <v>3639</v>
      </c>
      <c r="G2018">
        <v>545</v>
      </c>
    </row>
    <row r="2019" spans="1:8" x14ac:dyDescent="0.45">
      <c r="A2019" t="s">
        <v>84</v>
      </c>
      <c r="B2019" t="s">
        <v>20</v>
      </c>
      <c r="C2019">
        <v>4</v>
      </c>
      <c r="D2019" t="s">
        <v>27</v>
      </c>
      <c r="F2019">
        <v>885</v>
      </c>
    </row>
    <row r="2020" spans="1:8" x14ac:dyDescent="0.45">
      <c r="A2020" t="s">
        <v>84</v>
      </c>
      <c r="B2020" t="s">
        <v>20</v>
      </c>
      <c r="C2020">
        <v>4</v>
      </c>
      <c r="D2020" t="s">
        <v>28</v>
      </c>
      <c r="F2020">
        <v>499</v>
      </c>
    </row>
    <row r="2021" spans="1:8" x14ac:dyDescent="0.45">
      <c r="A2021" t="s">
        <v>84</v>
      </c>
      <c r="B2021" t="s">
        <v>20</v>
      </c>
      <c r="C2021">
        <v>4</v>
      </c>
      <c r="D2021" t="s">
        <v>29</v>
      </c>
      <c r="F2021">
        <v>457</v>
      </c>
    </row>
    <row r="2022" spans="1:8" x14ac:dyDescent="0.45">
      <c r="A2022" t="s">
        <v>84</v>
      </c>
      <c r="B2022" t="s">
        <v>20</v>
      </c>
      <c r="C2022">
        <v>4</v>
      </c>
      <c r="D2022" t="s">
        <v>31</v>
      </c>
      <c r="H2022">
        <v>82</v>
      </c>
    </row>
    <row r="2023" spans="1:8" x14ac:dyDescent="0.45">
      <c r="A2023" t="s">
        <v>84</v>
      </c>
      <c r="B2023" t="s">
        <v>20</v>
      </c>
      <c r="C2023">
        <v>4</v>
      </c>
      <c r="D2023" t="s">
        <v>32</v>
      </c>
      <c r="H2023">
        <v>12</v>
      </c>
    </row>
    <row r="2024" spans="1:8" x14ac:dyDescent="0.45">
      <c r="A2024" t="s">
        <v>84</v>
      </c>
      <c r="B2024" t="s">
        <v>20</v>
      </c>
      <c r="C2024">
        <v>4</v>
      </c>
      <c r="D2024" t="s">
        <v>34</v>
      </c>
      <c r="H2024">
        <v>13</v>
      </c>
    </row>
    <row r="2025" spans="1:8" x14ac:dyDescent="0.45">
      <c r="A2025" t="s">
        <v>84</v>
      </c>
      <c r="B2025" t="s">
        <v>21</v>
      </c>
      <c r="C2025">
        <v>5</v>
      </c>
      <c r="D2025" t="s">
        <v>19</v>
      </c>
      <c r="E2025">
        <v>1847182</v>
      </c>
      <c r="F2025">
        <v>2941</v>
      </c>
      <c r="H2025">
        <v>12</v>
      </c>
    </row>
    <row r="2026" spans="1:8" x14ac:dyDescent="0.45">
      <c r="A2026" t="s">
        <v>84</v>
      </c>
      <c r="B2026" t="s">
        <v>21</v>
      </c>
      <c r="C2026">
        <v>5</v>
      </c>
      <c r="D2026" t="s">
        <v>27</v>
      </c>
      <c r="F2026">
        <v>815</v>
      </c>
    </row>
    <row r="2027" spans="1:8" x14ac:dyDescent="0.45">
      <c r="A2027" t="s">
        <v>84</v>
      </c>
      <c r="B2027" t="s">
        <v>21</v>
      </c>
      <c r="C2027">
        <v>5</v>
      </c>
      <c r="D2027" t="s">
        <v>28</v>
      </c>
      <c r="F2027">
        <v>498</v>
      </c>
    </row>
    <row r="2028" spans="1:8" x14ac:dyDescent="0.45">
      <c r="A2028" t="s">
        <v>84</v>
      </c>
      <c r="B2028" t="s">
        <v>21</v>
      </c>
      <c r="C2028">
        <v>5</v>
      </c>
      <c r="D2028" t="s">
        <v>29</v>
      </c>
      <c r="F2028">
        <v>341</v>
      </c>
    </row>
    <row r="2029" spans="1:8" x14ac:dyDescent="0.45">
      <c r="A2029" t="s">
        <v>84</v>
      </c>
      <c r="B2029" t="s">
        <v>20</v>
      </c>
      <c r="C2029">
        <v>5</v>
      </c>
      <c r="D2029" t="s">
        <v>19</v>
      </c>
      <c r="E2029">
        <v>2000738</v>
      </c>
      <c r="F2029">
        <v>3124</v>
      </c>
      <c r="H2029">
        <v>6</v>
      </c>
    </row>
    <row r="2030" spans="1:8" x14ac:dyDescent="0.45">
      <c r="A2030" t="s">
        <v>84</v>
      </c>
      <c r="B2030" t="s">
        <v>20</v>
      </c>
      <c r="C2030">
        <v>5</v>
      </c>
      <c r="D2030" t="s">
        <v>27</v>
      </c>
      <c r="F2030">
        <v>842</v>
      </c>
    </row>
    <row r="2031" spans="1:8" x14ac:dyDescent="0.45">
      <c r="A2031" t="s">
        <v>84</v>
      </c>
      <c r="B2031" t="s">
        <v>20</v>
      </c>
      <c r="C2031">
        <v>5</v>
      </c>
      <c r="D2031" t="s">
        <v>28</v>
      </c>
      <c r="F2031">
        <v>517</v>
      </c>
    </row>
    <row r="2032" spans="1:8" x14ac:dyDescent="0.45">
      <c r="A2032" t="s">
        <v>84</v>
      </c>
      <c r="B2032" t="s">
        <v>20</v>
      </c>
      <c r="C2032">
        <v>5</v>
      </c>
      <c r="D2032" t="s">
        <v>29</v>
      </c>
      <c r="F2032">
        <v>434</v>
      </c>
    </row>
    <row r="2033" spans="1:8" x14ac:dyDescent="0.45">
      <c r="A2033" t="s">
        <v>84</v>
      </c>
      <c r="B2033" t="s">
        <v>20</v>
      </c>
      <c r="C2033">
        <v>5</v>
      </c>
      <c r="D2033" t="s">
        <v>31</v>
      </c>
      <c r="H2033">
        <v>78</v>
      </c>
    </row>
    <row r="2034" spans="1:8" x14ac:dyDescent="0.45">
      <c r="A2034" t="s">
        <v>84</v>
      </c>
      <c r="B2034" t="s">
        <v>20</v>
      </c>
      <c r="C2034">
        <v>5</v>
      </c>
      <c r="D2034" t="s">
        <v>32</v>
      </c>
      <c r="H2034">
        <v>8</v>
      </c>
    </row>
    <row r="2035" spans="1:8" x14ac:dyDescent="0.45">
      <c r="A2035" t="s">
        <v>84</v>
      </c>
      <c r="B2035" t="s">
        <v>20</v>
      </c>
      <c r="C2035">
        <v>5</v>
      </c>
      <c r="D2035" t="s">
        <v>34</v>
      </c>
      <c r="H2035">
        <v>14</v>
      </c>
    </row>
    <row r="2036" spans="1:8" x14ac:dyDescent="0.45">
      <c r="A2036" t="s">
        <v>84</v>
      </c>
      <c r="B2036" t="s">
        <v>21</v>
      </c>
      <c r="C2036">
        <v>6</v>
      </c>
      <c r="D2036" t="s">
        <v>19</v>
      </c>
      <c r="E2036">
        <v>1651547</v>
      </c>
      <c r="F2036">
        <v>2674</v>
      </c>
      <c r="G2036">
        <v>796</v>
      </c>
    </row>
    <row r="2037" spans="1:8" x14ac:dyDescent="0.45">
      <c r="A2037" t="s">
        <v>84</v>
      </c>
      <c r="B2037" t="s">
        <v>21</v>
      </c>
      <c r="C2037">
        <v>6</v>
      </c>
      <c r="D2037" t="s">
        <v>27</v>
      </c>
      <c r="F2037">
        <v>904</v>
      </c>
    </row>
    <row r="2038" spans="1:8" x14ac:dyDescent="0.45">
      <c r="A2038" t="s">
        <v>84</v>
      </c>
      <c r="B2038" t="s">
        <v>21</v>
      </c>
      <c r="C2038">
        <v>6</v>
      </c>
      <c r="D2038" t="s">
        <v>28</v>
      </c>
      <c r="F2038">
        <v>432</v>
      </c>
    </row>
    <row r="2039" spans="1:8" x14ac:dyDescent="0.45">
      <c r="A2039" t="s">
        <v>84</v>
      </c>
      <c r="B2039" t="s">
        <v>21</v>
      </c>
      <c r="C2039">
        <v>6</v>
      </c>
      <c r="D2039" t="s">
        <v>29</v>
      </c>
      <c r="F2039">
        <v>364</v>
      </c>
    </row>
    <row r="2040" spans="1:8" x14ac:dyDescent="0.45">
      <c r="A2040" t="s">
        <v>84</v>
      </c>
      <c r="B2040" t="s">
        <v>20</v>
      </c>
      <c r="C2040">
        <v>6</v>
      </c>
      <c r="D2040" t="s">
        <v>19</v>
      </c>
      <c r="E2040">
        <v>1658633</v>
      </c>
      <c r="F2040">
        <v>2651</v>
      </c>
      <c r="G2040">
        <v>709</v>
      </c>
    </row>
    <row r="2041" spans="1:8" x14ac:dyDescent="0.45">
      <c r="A2041" t="s">
        <v>84</v>
      </c>
      <c r="B2041" t="s">
        <v>20</v>
      </c>
      <c r="C2041">
        <v>6</v>
      </c>
      <c r="D2041" t="s">
        <v>27</v>
      </c>
      <c r="F2041">
        <v>911</v>
      </c>
    </row>
    <row r="2042" spans="1:8" x14ac:dyDescent="0.45">
      <c r="A2042" t="s">
        <v>84</v>
      </c>
      <c r="B2042" t="s">
        <v>20</v>
      </c>
      <c r="C2042">
        <v>6</v>
      </c>
      <c r="D2042" t="s">
        <v>28</v>
      </c>
      <c r="F2042">
        <v>399</v>
      </c>
    </row>
    <row r="2043" spans="1:8" x14ac:dyDescent="0.45">
      <c r="A2043" t="s">
        <v>84</v>
      </c>
      <c r="B2043" t="s">
        <v>20</v>
      </c>
      <c r="C2043">
        <v>6</v>
      </c>
      <c r="D2043" t="s">
        <v>29</v>
      </c>
      <c r="F2043">
        <v>323</v>
      </c>
    </row>
    <row r="2044" spans="1:8" x14ac:dyDescent="0.45">
      <c r="A2044" t="s">
        <v>84</v>
      </c>
      <c r="B2044" t="s">
        <v>20</v>
      </c>
      <c r="C2044">
        <v>6</v>
      </c>
      <c r="D2044" t="s">
        <v>31</v>
      </c>
      <c r="H2044">
        <v>45</v>
      </c>
    </row>
    <row r="2045" spans="1:8" x14ac:dyDescent="0.45">
      <c r="A2045" t="s">
        <v>84</v>
      </c>
      <c r="B2045" t="s">
        <v>20</v>
      </c>
      <c r="C2045">
        <v>6</v>
      </c>
      <c r="D2045" t="s">
        <v>32</v>
      </c>
      <c r="H2045">
        <v>10</v>
      </c>
    </row>
    <row r="2046" spans="1:8" x14ac:dyDescent="0.45">
      <c r="A2046" t="s">
        <v>84</v>
      </c>
      <c r="B2046" t="s">
        <v>20</v>
      </c>
      <c r="C2046">
        <v>6</v>
      </c>
      <c r="D2046" t="s">
        <v>34</v>
      </c>
      <c r="H2046">
        <v>11</v>
      </c>
    </row>
    <row r="2047" spans="1:8" x14ac:dyDescent="0.45">
      <c r="A2047" t="s">
        <v>84</v>
      </c>
      <c r="B2047" t="s">
        <v>21</v>
      </c>
      <c r="C2047">
        <v>7</v>
      </c>
      <c r="D2047" t="s">
        <v>19</v>
      </c>
      <c r="E2047">
        <v>1208599</v>
      </c>
      <c r="F2047">
        <v>2295</v>
      </c>
      <c r="G2047">
        <v>658</v>
      </c>
    </row>
    <row r="2048" spans="1:8" x14ac:dyDescent="0.45">
      <c r="A2048" t="s">
        <v>84</v>
      </c>
      <c r="B2048" t="s">
        <v>21</v>
      </c>
      <c r="C2048">
        <v>7</v>
      </c>
      <c r="D2048" t="s">
        <v>27</v>
      </c>
      <c r="F2048">
        <v>880</v>
      </c>
    </row>
    <row r="2049" spans="1:8" x14ac:dyDescent="0.45">
      <c r="A2049" t="s">
        <v>84</v>
      </c>
      <c r="B2049" t="s">
        <v>21</v>
      </c>
      <c r="C2049">
        <v>7</v>
      </c>
      <c r="D2049" t="s">
        <v>28</v>
      </c>
      <c r="F2049">
        <v>404</v>
      </c>
    </row>
    <row r="2050" spans="1:8" x14ac:dyDescent="0.45">
      <c r="A2050" t="s">
        <v>84</v>
      </c>
      <c r="B2050" t="s">
        <v>21</v>
      </c>
      <c r="C2050">
        <v>7</v>
      </c>
      <c r="D2050" t="s">
        <v>29</v>
      </c>
      <c r="F2050">
        <v>234</v>
      </c>
    </row>
    <row r="2051" spans="1:8" x14ac:dyDescent="0.45">
      <c r="A2051" t="s">
        <v>84</v>
      </c>
      <c r="B2051" t="s">
        <v>20</v>
      </c>
      <c r="C2051">
        <v>7</v>
      </c>
      <c r="D2051" t="s">
        <v>19</v>
      </c>
      <c r="E2051">
        <v>1301321</v>
      </c>
      <c r="F2051">
        <v>2316</v>
      </c>
      <c r="G2051">
        <v>633</v>
      </c>
    </row>
    <row r="2052" spans="1:8" x14ac:dyDescent="0.45">
      <c r="A2052" t="s">
        <v>84</v>
      </c>
      <c r="B2052" t="s">
        <v>20</v>
      </c>
      <c r="C2052">
        <v>7</v>
      </c>
      <c r="D2052" t="s">
        <v>27</v>
      </c>
      <c r="F2052">
        <v>835</v>
      </c>
    </row>
    <row r="2053" spans="1:8" x14ac:dyDescent="0.45">
      <c r="A2053" t="s">
        <v>84</v>
      </c>
      <c r="B2053" t="s">
        <v>20</v>
      </c>
      <c r="C2053">
        <v>7</v>
      </c>
      <c r="D2053" t="s">
        <v>28</v>
      </c>
      <c r="F2053">
        <v>404</v>
      </c>
    </row>
    <row r="2054" spans="1:8" x14ac:dyDescent="0.45">
      <c r="A2054" t="s">
        <v>84</v>
      </c>
      <c r="B2054" t="s">
        <v>20</v>
      </c>
      <c r="C2054">
        <v>7</v>
      </c>
      <c r="D2054" t="s">
        <v>29</v>
      </c>
      <c r="F2054">
        <v>267</v>
      </c>
    </row>
    <row r="2055" spans="1:8" x14ac:dyDescent="0.45">
      <c r="A2055" t="s">
        <v>84</v>
      </c>
      <c r="B2055" t="s">
        <v>20</v>
      </c>
      <c r="C2055">
        <v>7</v>
      </c>
      <c r="D2055" t="s">
        <v>31</v>
      </c>
      <c r="H2055">
        <v>208</v>
      </c>
    </row>
    <row r="2056" spans="1:8" x14ac:dyDescent="0.45">
      <c r="A2056" t="s">
        <v>84</v>
      </c>
      <c r="B2056" t="s">
        <v>20</v>
      </c>
      <c r="C2056">
        <v>7</v>
      </c>
      <c r="D2056" t="s">
        <v>32</v>
      </c>
      <c r="H2056">
        <v>6</v>
      </c>
    </row>
    <row r="2057" spans="1:8" x14ac:dyDescent="0.45">
      <c r="A2057" t="s">
        <v>84</v>
      </c>
      <c r="B2057" t="s">
        <v>20</v>
      </c>
      <c r="C2057">
        <v>7</v>
      </c>
      <c r="D2057" t="s">
        <v>34</v>
      </c>
      <c r="H2057">
        <v>14</v>
      </c>
    </row>
    <row r="2058" spans="1:8" x14ac:dyDescent="0.45">
      <c r="A2058" t="s">
        <v>84</v>
      </c>
      <c r="B2058" t="s">
        <v>21</v>
      </c>
      <c r="C2058">
        <v>8</v>
      </c>
      <c r="D2058" t="s">
        <v>19</v>
      </c>
      <c r="E2058">
        <v>758859</v>
      </c>
      <c r="F2058">
        <v>1681</v>
      </c>
      <c r="G2058">
        <v>527</v>
      </c>
    </row>
    <row r="2059" spans="1:8" x14ac:dyDescent="0.45">
      <c r="A2059" t="s">
        <v>84</v>
      </c>
      <c r="B2059" t="s">
        <v>21</v>
      </c>
      <c r="C2059">
        <v>8</v>
      </c>
      <c r="D2059" t="s">
        <v>27</v>
      </c>
      <c r="F2059">
        <v>705</v>
      </c>
      <c r="G2059">
        <v>1076</v>
      </c>
    </row>
    <row r="2060" spans="1:8" x14ac:dyDescent="0.45">
      <c r="A2060" t="s">
        <v>84</v>
      </c>
      <c r="B2060" t="s">
        <v>21</v>
      </c>
      <c r="C2060">
        <v>8</v>
      </c>
      <c r="D2060" t="s">
        <v>28</v>
      </c>
      <c r="F2060">
        <v>343</v>
      </c>
      <c r="G2060">
        <v>822</v>
      </c>
    </row>
    <row r="2061" spans="1:8" x14ac:dyDescent="0.45">
      <c r="A2061" t="s">
        <v>84</v>
      </c>
      <c r="B2061" t="s">
        <v>21</v>
      </c>
      <c r="C2061">
        <v>8</v>
      </c>
      <c r="D2061" t="s">
        <v>29</v>
      </c>
      <c r="F2061">
        <v>177</v>
      </c>
      <c r="G2061">
        <v>1025</v>
      </c>
    </row>
    <row r="2062" spans="1:8" x14ac:dyDescent="0.45">
      <c r="A2062" t="s">
        <v>84</v>
      </c>
      <c r="B2062" t="s">
        <v>20</v>
      </c>
      <c r="C2062">
        <v>8</v>
      </c>
      <c r="D2062" t="s">
        <v>19</v>
      </c>
      <c r="E2062">
        <v>955393</v>
      </c>
      <c r="F2062">
        <v>1738</v>
      </c>
      <c r="G2062">
        <v>523</v>
      </c>
    </row>
    <row r="2063" spans="1:8" x14ac:dyDescent="0.45">
      <c r="A2063" t="s">
        <v>84</v>
      </c>
      <c r="B2063" t="s">
        <v>20</v>
      </c>
      <c r="C2063">
        <v>8</v>
      </c>
      <c r="D2063" t="s">
        <v>27</v>
      </c>
      <c r="F2063">
        <v>660</v>
      </c>
      <c r="G2063">
        <v>1132</v>
      </c>
    </row>
    <row r="2064" spans="1:8" x14ac:dyDescent="0.45">
      <c r="A2064" t="s">
        <v>84</v>
      </c>
      <c r="B2064" t="s">
        <v>20</v>
      </c>
      <c r="C2064">
        <v>8</v>
      </c>
      <c r="D2064" t="s">
        <v>28</v>
      </c>
      <c r="F2064">
        <v>322</v>
      </c>
      <c r="G2064">
        <v>1130</v>
      </c>
    </row>
    <row r="2065" spans="1:8" x14ac:dyDescent="0.45">
      <c r="A2065" t="s">
        <v>84</v>
      </c>
      <c r="B2065" t="s">
        <v>20</v>
      </c>
      <c r="C2065">
        <v>8</v>
      </c>
      <c r="D2065" t="s">
        <v>29</v>
      </c>
      <c r="F2065">
        <v>205</v>
      </c>
      <c r="G2065">
        <v>784</v>
      </c>
    </row>
    <row r="2066" spans="1:8" x14ac:dyDescent="0.45">
      <c r="A2066" t="s">
        <v>84</v>
      </c>
      <c r="B2066" t="s">
        <v>20</v>
      </c>
      <c r="C2066">
        <v>8</v>
      </c>
      <c r="D2066" t="s">
        <v>31</v>
      </c>
      <c r="H2066">
        <v>26</v>
      </c>
    </row>
    <row r="2067" spans="1:8" x14ac:dyDescent="0.45">
      <c r="A2067" t="s">
        <v>84</v>
      </c>
      <c r="B2067" t="s">
        <v>20</v>
      </c>
      <c r="C2067">
        <v>8</v>
      </c>
      <c r="D2067" t="s">
        <v>32</v>
      </c>
      <c r="H2067">
        <v>9</v>
      </c>
    </row>
    <row r="2068" spans="1:8" x14ac:dyDescent="0.45">
      <c r="A2068" t="s">
        <v>84</v>
      </c>
      <c r="B2068" t="s">
        <v>20</v>
      </c>
      <c r="C2068">
        <v>8</v>
      </c>
      <c r="D2068" t="s">
        <v>34</v>
      </c>
      <c r="H2068">
        <v>7</v>
      </c>
    </row>
    <row r="2069" spans="1:8" x14ac:dyDescent="0.45">
      <c r="A2069" t="s">
        <v>84</v>
      </c>
      <c r="B2069" t="s">
        <v>21</v>
      </c>
      <c r="C2069">
        <v>9</v>
      </c>
      <c r="D2069" t="s">
        <v>19</v>
      </c>
      <c r="E2069">
        <v>742912</v>
      </c>
      <c r="F2069">
        <v>1733</v>
      </c>
      <c r="G2069">
        <v>513</v>
      </c>
    </row>
    <row r="2070" spans="1:8" x14ac:dyDescent="0.45">
      <c r="A2070" t="s">
        <v>84</v>
      </c>
      <c r="B2070" t="s">
        <v>21</v>
      </c>
      <c r="C2070">
        <v>9</v>
      </c>
      <c r="D2070" t="s">
        <v>27</v>
      </c>
      <c r="F2070">
        <v>771</v>
      </c>
    </row>
    <row r="2071" spans="1:8" x14ac:dyDescent="0.45">
      <c r="A2071" t="s">
        <v>84</v>
      </c>
      <c r="B2071" t="s">
        <v>21</v>
      </c>
      <c r="C2071">
        <v>9</v>
      </c>
      <c r="D2071" t="s">
        <v>28</v>
      </c>
      <c r="F2071">
        <v>330</v>
      </c>
    </row>
    <row r="2072" spans="1:8" x14ac:dyDescent="0.45">
      <c r="A2072" t="s">
        <v>84</v>
      </c>
      <c r="B2072" t="s">
        <v>21</v>
      </c>
      <c r="C2072">
        <v>9</v>
      </c>
      <c r="D2072" t="s">
        <v>29</v>
      </c>
      <c r="F2072">
        <v>175</v>
      </c>
    </row>
    <row r="2073" spans="1:8" x14ac:dyDescent="0.45">
      <c r="A2073" t="s">
        <v>84</v>
      </c>
      <c r="B2073" t="s">
        <v>20</v>
      </c>
      <c r="C2073">
        <v>9</v>
      </c>
      <c r="D2073" t="s">
        <v>19</v>
      </c>
      <c r="E2073">
        <v>880758</v>
      </c>
      <c r="F2073">
        <v>1816</v>
      </c>
      <c r="G2073">
        <v>523</v>
      </c>
    </row>
    <row r="2074" spans="1:8" x14ac:dyDescent="0.45">
      <c r="A2074" t="s">
        <v>84</v>
      </c>
      <c r="B2074" t="s">
        <v>20</v>
      </c>
      <c r="C2074">
        <v>9</v>
      </c>
      <c r="D2074" t="s">
        <v>27</v>
      </c>
      <c r="F2074">
        <v>816</v>
      </c>
    </row>
    <row r="2075" spans="1:8" x14ac:dyDescent="0.45">
      <c r="A2075" t="s">
        <v>84</v>
      </c>
      <c r="B2075" t="s">
        <v>20</v>
      </c>
      <c r="C2075">
        <v>9</v>
      </c>
      <c r="D2075" t="s">
        <v>28</v>
      </c>
      <c r="F2075">
        <v>317</v>
      </c>
    </row>
    <row r="2076" spans="1:8" x14ac:dyDescent="0.45">
      <c r="A2076" t="s">
        <v>84</v>
      </c>
      <c r="B2076" t="s">
        <v>20</v>
      </c>
      <c r="C2076">
        <v>9</v>
      </c>
      <c r="D2076" t="s">
        <v>29</v>
      </c>
      <c r="F2076">
        <v>216</v>
      </c>
    </row>
    <row r="2077" spans="1:8" x14ac:dyDescent="0.45">
      <c r="A2077" t="s">
        <v>84</v>
      </c>
      <c r="B2077" t="s">
        <v>20</v>
      </c>
      <c r="C2077">
        <v>9</v>
      </c>
      <c r="D2077" t="s">
        <v>31</v>
      </c>
      <c r="H2077">
        <v>159</v>
      </c>
    </row>
    <row r="2078" spans="1:8" x14ac:dyDescent="0.45">
      <c r="A2078" t="s">
        <v>84</v>
      </c>
      <c r="B2078" t="s">
        <v>20</v>
      </c>
      <c r="C2078">
        <v>9</v>
      </c>
      <c r="D2078" t="s">
        <v>32</v>
      </c>
      <c r="H2078">
        <v>13</v>
      </c>
    </row>
    <row r="2079" spans="1:8" x14ac:dyDescent="0.45">
      <c r="A2079" t="s">
        <v>84</v>
      </c>
      <c r="B2079" t="s">
        <v>20</v>
      </c>
      <c r="C2079">
        <v>9</v>
      </c>
      <c r="D2079" t="s">
        <v>34</v>
      </c>
      <c r="H2079">
        <v>5</v>
      </c>
    </row>
    <row r="2080" spans="1:8" x14ac:dyDescent="0.45">
      <c r="A2080" t="s">
        <v>84</v>
      </c>
      <c r="B2080" t="s">
        <v>21</v>
      </c>
      <c r="C2080">
        <v>10</v>
      </c>
      <c r="D2080" t="s">
        <v>19</v>
      </c>
      <c r="E2080">
        <v>1309524</v>
      </c>
      <c r="F2080">
        <v>2815</v>
      </c>
      <c r="G2080">
        <v>733</v>
      </c>
    </row>
    <row r="2081" spans="1:8" x14ac:dyDescent="0.45">
      <c r="A2081" t="s">
        <v>84</v>
      </c>
      <c r="B2081" t="s">
        <v>21</v>
      </c>
      <c r="C2081">
        <v>10</v>
      </c>
      <c r="D2081" t="s">
        <v>27</v>
      </c>
      <c r="F2081">
        <v>1097</v>
      </c>
    </row>
    <row r="2082" spans="1:8" x14ac:dyDescent="0.45">
      <c r="A2082" t="s">
        <v>84</v>
      </c>
      <c r="B2082" t="s">
        <v>21</v>
      </c>
      <c r="C2082">
        <v>10</v>
      </c>
      <c r="D2082" t="s">
        <v>28</v>
      </c>
      <c r="F2082">
        <v>547</v>
      </c>
    </row>
    <row r="2083" spans="1:8" x14ac:dyDescent="0.45">
      <c r="A2083" t="s">
        <v>84</v>
      </c>
      <c r="B2083" t="s">
        <v>21</v>
      </c>
      <c r="C2083">
        <v>10</v>
      </c>
      <c r="D2083" t="s">
        <v>29</v>
      </c>
      <c r="F2083">
        <v>330</v>
      </c>
    </row>
    <row r="2084" spans="1:8" x14ac:dyDescent="0.45">
      <c r="A2084" t="s">
        <v>84</v>
      </c>
      <c r="B2084" t="s">
        <v>20</v>
      </c>
      <c r="C2084">
        <v>10</v>
      </c>
      <c r="D2084" t="s">
        <v>19</v>
      </c>
      <c r="E2084">
        <v>1046530</v>
      </c>
      <c r="F2084">
        <v>2132</v>
      </c>
      <c r="G2084">
        <v>628</v>
      </c>
    </row>
    <row r="2085" spans="1:8" x14ac:dyDescent="0.45">
      <c r="A2085" t="s">
        <v>84</v>
      </c>
      <c r="B2085" t="s">
        <v>20</v>
      </c>
      <c r="C2085">
        <v>10</v>
      </c>
      <c r="D2085" t="s">
        <v>27</v>
      </c>
      <c r="F2085">
        <v>930</v>
      </c>
    </row>
    <row r="2086" spans="1:8" x14ac:dyDescent="0.45">
      <c r="A2086" t="s">
        <v>84</v>
      </c>
      <c r="B2086" t="s">
        <v>20</v>
      </c>
      <c r="C2086">
        <v>10</v>
      </c>
      <c r="D2086" t="s">
        <v>28</v>
      </c>
      <c r="F2086">
        <v>376</v>
      </c>
    </row>
    <row r="2087" spans="1:8" x14ac:dyDescent="0.45">
      <c r="A2087" t="s">
        <v>84</v>
      </c>
      <c r="B2087" t="s">
        <v>20</v>
      </c>
      <c r="C2087">
        <v>10</v>
      </c>
      <c r="D2087" t="s">
        <v>29</v>
      </c>
      <c r="F2087">
        <v>226</v>
      </c>
    </row>
    <row r="2088" spans="1:8" x14ac:dyDescent="0.45">
      <c r="A2088" t="s">
        <v>84</v>
      </c>
      <c r="B2088" t="s">
        <v>20</v>
      </c>
      <c r="C2088">
        <v>10</v>
      </c>
      <c r="D2088" t="s">
        <v>31</v>
      </c>
      <c r="H2088">
        <v>101</v>
      </c>
    </row>
    <row r="2089" spans="1:8" x14ac:dyDescent="0.45">
      <c r="A2089" t="s">
        <v>84</v>
      </c>
      <c r="B2089" t="s">
        <v>20</v>
      </c>
      <c r="C2089">
        <v>10</v>
      </c>
      <c r="D2089" t="s">
        <v>32</v>
      </c>
      <c r="H2089">
        <v>9</v>
      </c>
    </row>
    <row r="2090" spans="1:8" x14ac:dyDescent="0.45">
      <c r="A2090" t="s">
        <v>84</v>
      </c>
      <c r="B2090" t="s">
        <v>20</v>
      </c>
      <c r="C2090">
        <v>10</v>
      </c>
      <c r="D2090" t="s">
        <v>34</v>
      </c>
      <c r="H2090">
        <v>15</v>
      </c>
    </row>
    <row r="2091" spans="1:8" x14ac:dyDescent="0.45">
      <c r="A2091" t="s">
        <v>84</v>
      </c>
      <c r="B2091" t="s">
        <v>21</v>
      </c>
      <c r="C2091">
        <v>11</v>
      </c>
      <c r="D2091" t="s">
        <v>19</v>
      </c>
      <c r="E2091">
        <v>931249</v>
      </c>
      <c r="F2091">
        <v>1945</v>
      </c>
      <c r="G2091">
        <v>575</v>
      </c>
    </row>
    <row r="2092" spans="1:8" x14ac:dyDescent="0.45">
      <c r="A2092" t="s">
        <v>84</v>
      </c>
      <c r="B2092" t="s">
        <v>21</v>
      </c>
      <c r="C2092">
        <v>11</v>
      </c>
      <c r="D2092" t="s">
        <v>27</v>
      </c>
      <c r="F2092">
        <v>861</v>
      </c>
    </row>
    <row r="2093" spans="1:8" x14ac:dyDescent="0.45">
      <c r="A2093" t="s">
        <v>84</v>
      </c>
      <c r="B2093" t="s">
        <v>21</v>
      </c>
      <c r="C2093">
        <v>11</v>
      </c>
      <c r="D2093" t="s">
        <v>28</v>
      </c>
      <c r="F2093">
        <v>342</v>
      </c>
    </row>
    <row r="2094" spans="1:8" x14ac:dyDescent="0.45">
      <c r="A2094" t="s">
        <v>84</v>
      </c>
      <c r="B2094" t="s">
        <v>21</v>
      </c>
      <c r="C2094">
        <v>11</v>
      </c>
      <c r="D2094" t="s">
        <v>29</v>
      </c>
      <c r="F2094">
        <v>237</v>
      </c>
    </row>
    <row r="2095" spans="1:8" x14ac:dyDescent="0.45">
      <c r="A2095" t="s">
        <v>84</v>
      </c>
      <c r="B2095" t="s">
        <v>20</v>
      </c>
      <c r="C2095">
        <v>11</v>
      </c>
      <c r="D2095" t="s">
        <v>19</v>
      </c>
      <c r="E2095">
        <v>1204100</v>
      </c>
      <c r="F2095">
        <v>2347</v>
      </c>
      <c r="G2095">
        <v>690</v>
      </c>
    </row>
    <row r="2096" spans="1:8" x14ac:dyDescent="0.45">
      <c r="A2096" t="s">
        <v>84</v>
      </c>
      <c r="B2096" t="s">
        <v>20</v>
      </c>
      <c r="C2096">
        <v>11</v>
      </c>
      <c r="D2096" t="s">
        <v>27</v>
      </c>
      <c r="F2096">
        <v>889</v>
      </c>
    </row>
    <row r="2097" spans="1:8" x14ac:dyDescent="0.45">
      <c r="A2097" t="s">
        <v>84</v>
      </c>
      <c r="B2097" t="s">
        <v>20</v>
      </c>
      <c r="C2097">
        <v>11</v>
      </c>
      <c r="D2097" t="s">
        <v>28</v>
      </c>
      <c r="F2097">
        <v>456</v>
      </c>
    </row>
    <row r="2098" spans="1:8" x14ac:dyDescent="0.45">
      <c r="A2098" t="s">
        <v>84</v>
      </c>
      <c r="B2098" t="s">
        <v>20</v>
      </c>
      <c r="C2098">
        <v>11</v>
      </c>
      <c r="D2098" t="s">
        <v>29</v>
      </c>
      <c r="F2098">
        <v>310</v>
      </c>
    </row>
    <row r="2099" spans="1:8" x14ac:dyDescent="0.45">
      <c r="A2099" t="s">
        <v>84</v>
      </c>
      <c r="B2099" t="s">
        <v>20</v>
      </c>
      <c r="C2099">
        <v>11</v>
      </c>
      <c r="D2099" t="s">
        <v>31</v>
      </c>
      <c r="H2099">
        <v>298</v>
      </c>
    </row>
    <row r="2100" spans="1:8" x14ac:dyDescent="0.45">
      <c r="A2100" t="s">
        <v>84</v>
      </c>
      <c r="B2100" t="s">
        <v>20</v>
      </c>
      <c r="C2100">
        <v>11</v>
      </c>
      <c r="D2100" t="s">
        <v>32</v>
      </c>
      <c r="H2100">
        <v>5</v>
      </c>
    </row>
    <row r="2101" spans="1:8" x14ac:dyDescent="0.45">
      <c r="A2101" t="s">
        <v>84</v>
      </c>
      <c r="B2101" t="s">
        <v>20</v>
      </c>
      <c r="C2101">
        <v>11</v>
      </c>
      <c r="D2101" t="s">
        <v>34</v>
      </c>
      <c r="H2101">
        <v>12</v>
      </c>
    </row>
    <row r="2102" spans="1:8" x14ac:dyDescent="0.45">
      <c r="A2102" t="s">
        <v>84</v>
      </c>
      <c r="B2102" t="s">
        <v>21</v>
      </c>
      <c r="C2102">
        <v>12</v>
      </c>
      <c r="D2102" t="s">
        <v>19</v>
      </c>
      <c r="E2102">
        <v>1060197</v>
      </c>
      <c r="F2102">
        <v>2392</v>
      </c>
      <c r="G2102">
        <v>651</v>
      </c>
    </row>
    <row r="2103" spans="1:8" x14ac:dyDescent="0.45">
      <c r="A2103" t="s">
        <v>84</v>
      </c>
      <c r="B2103" t="s">
        <v>21</v>
      </c>
      <c r="C2103">
        <v>12</v>
      </c>
      <c r="D2103" t="s">
        <v>27</v>
      </c>
      <c r="F2103">
        <v>886</v>
      </c>
    </row>
    <row r="2104" spans="1:8" x14ac:dyDescent="0.45">
      <c r="A2104" t="s">
        <v>84</v>
      </c>
      <c r="B2104" t="s">
        <v>21</v>
      </c>
      <c r="C2104">
        <v>12</v>
      </c>
      <c r="D2104" t="s">
        <v>28</v>
      </c>
      <c r="F2104">
        <v>485</v>
      </c>
    </row>
    <row r="2105" spans="1:8" x14ac:dyDescent="0.45">
      <c r="A2105" t="s">
        <v>84</v>
      </c>
      <c r="B2105" t="s">
        <v>21</v>
      </c>
      <c r="C2105">
        <v>12</v>
      </c>
      <c r="D2105" t="s">
        <v>29</v>
      </c>
      <c r="F2105">
        <v>326</v>
      </c>
    </row>
    <row r="2106" spans="1:8" x14ac:dyDescent="0.45">
      <c r="A2106" t="s">
        <v>84</v>
      </c>
      <c r="B2106" t="s">
        <v>20</v>
      </c>
      <c r="C2106">
        <v>12</v>
      </c>
      <c r="D2106" t="s">
        <v>19</v>
      </c>
      <c r="E2106">
        <v>1047489</v>
      </c>
      <c r="F2106">
        <v>2329</v>
      </c>
      <c r="G2106">
        <v>653</v>
      </c>
    </row>
    <row r="2107" spans="1:8" x14ac:dyDescent="0.45">
      <c r="A2107" t="s">
        <v>84</v>
      </c>
      <c r="B2107" t="s">
        <v>20</v>
      </c>
      <c r="C2107">
        <v>12</v>
      </c>
      <c r="D2107" t="s">
        <v>27</v>
      </c>
      <c r="F2107">
        <v>687</v>
      </c>
    </row>
    <row r="2108" spans="1:8" x14ac:dyDescent="0.45">
      <c r="A2108" t="s">
        <v>84</v>
      </c>
      <c r="B2108" t="s">
        <v>20</v>
      </c>
      <c r="C2108">
        <v>12</v>
      </c>
      <c r="D2108" t="s">
        <v>28</v>
      </c>
      <c r="F2108">
        <v>480</v>
      </c>
    </row>
    <row r="2109" spans="1:8" x14ac:dyDescent="0.45">
      <c r="A2109" t="s">
        <v>84</v>
      </c>
      <c r="B2109" t="s">
        <v>20</v>
      </c>
      <c r="C2109">
        <v>12</v>
      </c>
      <c r="D2109" t="s">
        <v>29</v>
      </c>
      <c r="F2109">
        <v>338</v>
      </c>
    </row>
    <row r="2110" spans="1:8" x14ac:dyDescent="0.45">
      <c r="A2110" t="s">
        <v>84</v>
      </c>
      <c r="B2110" t="s">
        <v>20</v>
      </c>
      <c r="C2110">
        <v>12</v>
      </c>
      <c r="D2110" t="s">
        <v>31</v>
      </c>
      <c r="H2110">
        <v>83</v>
      </c>
    </row>
    <row r="2111" spans="1:8" x14ac:dyDescent="0.45">
      <c r="A2111" t="s">
        <v>84</v>
      </c>
      <c r="B2111" t="s">
        <v>20</v>
      </c>
      <c r="C2111">
        <v>12</v>
      </c>
      <c r="D2111" t="s">
        <v>32</v>
      </c>
      <c r="H2111">
        <v>0</v>
      </c>
    </row>
    <row r="2112" spans="1:8" x14ac:dyDescent="0.45">
      <c r="A2112" t="s">
        <v>84</v>
      </c>
      <c r="B2112" t="s">
        <v>20</v>
      </c>
      <c r="C2112">
        <v>12</v>
      </c>
      <c r="D2112" t="s">
        <v>34</v>
      </c>
      <c r="H2112">
        <v>14</v>
      </c>
    </row>
    <row r="2113" spans="1:8" x14ac:dyDescent="0.45">
      <c r="A2113" t="s">
        <v>40</v>
      </c>
      <c r="B2113" t="s">
        <v>21</v>
      </c>
      <c r="C2113">
        <v>1</v>
      </c>
      <c r="D2113" t="s">
        <v>19</v>
      </c>
      <c r="E2113">
        <v>1150922</v>
      </c>
      <c r="F2113">
        <v>2505</v>
      </c>
      <c r="G2113">
        <v>693</v>
      </c>
    </row>
    <row r="2114" spans="1:8" x14ac:dyDescent="0.45">
      <c r="A2114" t="s">
        <v>40</v>
      </c>
      <c r="B2114" t="s">
        <v>21</v>
      </c>
      <c r="C2114">
        <v>1</v>
      </c>
      <c r="D2114" t="s">
        <v>27</v>
      </c>
      <c r="F2114">
        <v>1168</v>
      </c>
    </row>
    <row r="2115" spans="1:8" x14ac:dyDescent="0.45">
      <c r="A2115" t="s">
        <v>40</v>
      </c>
      <c r="B2115" t="s">
        <v>21</v>
      </c>
      <c r="C2115">
        <v>1</v>
      </c>
      <c r="D2115" t="s">
        <v>28</v>
      </c>
      <c r="F2115">
        <v>441</v>
      </c>
    </row>
    <row r="2116" spans="1:8" x14ac:dyDescent="0.45">
      <c r="A2116" t="s">
        <v>40</v>
      </c>
      <c r="B2116" t="s">
        <v>21</v>
      </c>
      <c r="C2116">
        <v>1</v>
      </c>
      <c r="D2116" t="s">
        <v>29</v>
      </c>
      <c r="F2116">
        <v>347</v>
      </c>
    </row>
    <row r="2117" spans="1:8" x14ac:dyDescent="0.45">
      <c r="A2117" t="s">
        <v>40</v>
      </c>
      <c r="B2117" t="s">
        <v>20</v>
      </c>
      <c r="C2117">
        <v>1</v>
      </c>
      <c r="D2117" t="s">
        <v>19</v>
      </c>
      <c r="E2117">
        <v>1227030</v>
      </c>
      <c r="F2117">
        <v>2592</v>
      </c>
      <c r="G2117">
        <v>735</v>
      </c>
    </row>
    <row r="2118" spans="1:8" x14ac:dyDescent="0.45">
      <c r="A2118" t="s">
        <v>40</v>
      </c>
      <c r="B2118" t="s">
        <v>20</v>
      </c>
      <c r="C2118">
        <v>1</v>
      </c>
      <c r="D2118" t="s">
        <v>27</v>
      </c>
      <c r="F2118">
        <v>1058</v>
      </c>
    </row>
    <row r="2119" spans="1:8" x14ac:dyDescent="0.45">
      <c r="A2119" t="s">
        <v>40</v>
      </c>
      <c r="B2119" t="s">
        <v>20</v>
      </c>
      <c r="C2119">
        <v>1</v>
      </c>
      <c r="D2119" t="s">
        <v>28</v>
      </c>
      <c r="F2119">
        <v>470</v>
      </c>
    </row>
    <row r="2120" spans="1:8" x14ac:dyDescent="0.45">
      <c r="A2120" t="s">
        <v>40</v>
      </c>
      <c r="B2120" t="s">
        <v>20</v>
      </c>
      <c r="C2120">
        <v>1</v>
      </c>
      <c r="D2120" t="s">
        <v>29</v>
      </c>
      <c r="F2120">
        <v>310</v>
      </c>
    </row>
    <row r="2121" spans="1:8" x14ac:dyDescent="0.45">
      <c r="A2121" t="s">
        <v>40</v>
      </c>
      <c r="B2121" t="s">
        <v>20</v>
      </c>
      <c r="C2121">
        <v>1</v>
      </c>
      <c r="D2121" t="s">
        <v>31</v>
      </c>
      <c r="H2121">
        <v>101</v>
      </c>
    </row>
    <row r="2122" spans="1:8" x14ac:dyDescent="0.45">
      <c r="A2122" t="s">
        <v>40</v>
      </c>
      <c r="B2122" t="s">
        <v>20</v>
      </c>
      <c r="C2122">
        <v>1</v>
      </c>
      <c r="D2122" t="s">
        <v>32</v>
      </c>
      <c r="H2122">
        <v>7</v>
      </c>
    </row>
    <row r="2123" spans="1:8" x14ac:dyDescent="0.45">
      <c r="A2123" t="s">
        <v>40</v>
      </c>
      <c r="B2123" t="s">
        <v>20</v>
      </c>
      <c r="C2123">
        <v>1</v>
      </c>
      <c r="D2123" t="s">
        <v>34</v>
      </c>
    </row>
    <row r="2124" spans="1:8" x14ac:dyDescent="0.45">
      <c r="A2124" t="s">
        <v>40</v>
      </c>
      <c r="B2124" t="s">
        <v>21</v>
      </c>
      <c r="C2124">
        <v>2</v>
      </c>
      <c r="D2124" t="s">
        <v>19</v>
      </c>
      <c r="E2124">
        <v>1142407</v>
      </c>
      <c r="F2124">
        <v>2599</v>
      </c>
      <c r="G2124">
        <v>729</v>
      </c>
    </row>
    <row r="2125" spans="1:8" x14ac:dyDescent="0.45">
      <c r="A2125" t="s">
        <v>40</v>
      </c>
      <c r="B2125" t="s">
        <v>21</v>
      </c>
      <c r="C2125">
        <v>2</v>
      </c>
      <c r="D2125" t="s">
        <v>27</v>
      </c>
      <c r="F2125">
        <v>1243</v>
      </c>
    </row>
    <row r="2126" spans="1:8" x14ac:dyDescent="0.45">
      <c r="A2126" t="s">
        <v>40</v>
      </c>
      <c r="B2126" t="s">
        <v>21</v>
      </c>
      <c r="C2126">
        <v>2</v>
      </c>
      <c r="D2126" t="s">
        <v>28</v>
      </c>
      <c r="F2126">
        <v>439</v>
      </c>
    </row>
    <row r="2127" spans="1:8" x14ac:dyDescent="0.45">
      <c r="A2127" t="s">
        <v>40</v>
      </c>
      <c r="B2127" t="s">
        <v>21</v>
      </c>
      <c r="C2127">
        <v>2</v>
      </c>
      <c r="D2127" t="s">
        <v>29</v>
      </c>
      <c r="F2127">
        <v>250</v>
      </c>
    </row>
    <row r="2128" spans="1:8" x14ac:dyDescent="0.45">
      <c r="A2128" t="s">
        <v>40</v>
      </c>
      <c r="B2128" t="s">
        <v>20</v>
      </c>
      <c r="C2128">
        <v>2</v>
      </c>
      <c r="D2128" t="s">
        <v>19</v>
      </c>
      <c r="E2128">
        <v>1004975</v>
      </c>
      <c r="F2128">
        <v>2103</v>
      </c>
      <c r="G2128">
        <v>627</v>
      </c>
    </row>
    <row r="2129" spans="1:8" x14ac:dyDescent="0.45">
      <c r="A2129" t="s">
        <v>40</v>
      </c>
      <c r="B2129" t="s">
        <v>20</v>
      </c>
      <c r="C2129">
        <v>2</v>
      </c>
      <c r="D2129" t="s">
        <v>27</v>
      </c>
      <c r="F2129">
        <v>987</v>
      </c>
    </row>
    <row r="2130" spans="1:8" x14ac:dyDescent="0.45">
      <c r="A2130" t="s">
        <v>40</v>
      </c>
      <c r="B2130" t="s">
        <v>20</v>
      </c>
      <c r="C2130">
        <v>2</v>
      </c>
      <c r="D2130" t="s">
        <v>28</v>
      </c>
      <c r="F2130">
        <v>370</v>
      </c>
    </row>
    <row r="2131" spans="1:8" x14ac:dyDescent="0.45">
      <c r="A2131" t="s">
        <v>40</v>
      </c>
      <c r="B2131" t="s">
        <v>20</v>
      </c>
      <c r="C2131">
        <v>2</v>
      </c>
      <c r="D2131" t="s">
        <v>29</v>
      </c>
      <c r="F2131">
        <v>218</v>
      </c>
    </row>
    <row r="2132" spans="1:8" x14ac:dyDescent="0.45">
      <c r="A2132" t="s">
        <v>40</v>
      </c>
      <c r="B2132" t="s">
        <v>20</v>
      </c>
      <c r="C2132">
        <v>2</v>
      </c>
      <c r="D2132" t="s">
        <v>31</v>
      </c>
      <c r="H2132">
        <v>67</v>
      </c>
    </row>
    <row r="2133" spans="1:8" x14ac:dyDescent="0.45">
      <c r="A2133" t="s">
        <v>40</v>
      </c>
      <c r="B2133" t="s">
        <v>20</v>
      </c>
      <c r="C2133">
        <v>2</v>
      </c>
      <c r="D2133" t="s">
        <v>32</v>
      </c>
      <c r="H2133">
        <v>10</v>
      </c>
    </row>
    <row r="2134" spans="1:8" x14ac:dyDescent="0.45">
      <c r="A2134" t="s">
        <v>40</v>
      </c>
      <c r="B2134" t="s">
        <v>20</v>
      </c>
      <c r="C2134">
        <v>2</v>
      </c>
      <c r="D2134" t="s">
        <v>34</v>
      </c>
      <c r="H2134">
        <v>12</v>
      </c>
    </row>
    <row r="2135" spans="1:8" x14ac:dyDescent="0.45">
      <c r="A2135" t="s">
        <v>40</v>
      </c>
      <c r="B2135" t="s">
        <v>21</v>
      </c>
      <c r="C2135">
        <v>3</v>
      </c>
      <c r="D2135" t="s">
        <v>19</v>
      </c>
      <c r="E2135">
        <v>2333385</v>
      </c>
      <c r="F2135">
        <v>4190</v>
      </c>
    </row>
    <row r="2136" spans="1:8" x14ac:dyDescent="0.45">
      <c r="A2136" t="s">
        <v>40</v>
      </c>
      <c r="B2136" t="s">
        <v>21</v>
      </c>
      <c r="C2136">
        <v>3</v>
      </c>
      <c r="D2136" t="s">
        <v>27</v>
      </c>
      <c r="F2136">
        <v>1387</v>
      </c>
    </row>
    <row r="2137" spans="1:8" x14ac:dyDescent="0.45">
      <c r="A2137" t="s">
        <v>40</v>
      </c>
      <c r="B2137" t="s">
        <v>21</v>
      </c>
      <c r="C2137">
        <v>3</v>
      </c>
      <c r="D2137" t="s">
        <v>28</v>
      </c>
      <c r="F2137">
        <v>689</v>
      </c>
    </row>
    <row r="2138" spans="1:8" x14ac:dyDescent="0.45">
      <c r="A2138" t="s">
        <v>40</v>
      </c>
      <c r="B2138" t="s">
        <v>21</v>
      </c>
      <c r="C2138">
        <v>3</v>
      </c>
      <c r="D2138" t="s">
        <v>29</v>
      </c>
      <c r="F2138">
        <v>506</v>
      </c>
    </row>
    <row r="2139" spans="1:8" x14ac:dyDescent="0.45">
      <c r="A2139" t="s">
        <v>40</v>
      </c>
      <c r="B2139" t="s">
        <v>20</v>
      </c>
      <c r="C2139">
        <v>3</v>
      </c>
      <c r="D2139" t="s">
        <v>19</v>
      </c>
      <c r="E2139">
        <v>1817093</v>
      </c>
      <c r="F2139">
        <v>3490</v>
      </c>
    </row>
    <row r="2140" spans="1:8" x14ac:dyDescent="0.45">
      <c r="A2140" t="s">
        <v>40</v>
      </c>
      <c r="B2140" t="s">
        <v>20</v>
      </c>
      <c r="C2140">
        <v>3</v>
      </c>
      <c r="D2140" t="s">
        <v>27</v>
      </c>
      <c r="F2140">
        <v>1328</v>
      </c>
    </row>
    <row r="2141" spans="1:8" x14ac:dyDescent="0.45">
      <c r="A2141" t="s">
        <v>40</v>
      </c>
      <c r="B2141" t="s">
        <v>20</v>
      </c>
      <c r="C2141">
        <v>3</v>
      </c>
      <c r="D2141" t="s">
        <v>28</v>
      </c>
      <c r="F2141">
        <v>554</v>
      </c>
    </row>
    <row r="2142" spans="1:8" x14ac:dyDescent="0.45">
      <c r="A2142" t="s">
        <v>40</v>
      </c>
      <c r="B2142" t="s">
        <v>20</v>
      </c>
      <c r="C2142">
        <v>3</v>
      </c>
      <c r="D2142" t="s">
        <v>29</v>
      </c>
      <c r="F2142">
        <v>462</v>
      </c>
    </row>
    <row r="2143" spans="1:8" x14ac:dyDescent="0.45">
      <c r="A2143" t="s">
        <v>40</v>
      </c>
      <c r="B2143" t="s">
        <v>20</v>
      </c>
      <c r="C2143">
        <v>3</v>
      </c>
      <c r="D2143" t="s">
        <v>31</v>
      </c>
      <c r="H2143">
        <v>70</v>
      </c>
    </row>
    <row r="2144" spans="1:8" x14ac:dyDescent="0.45">
      <c r="A2144" t="s">
        <v>40</v>
      </c>
      <c r="B2144" t="s">
        <v>20</v>
      </c>
      <c r="C2144">
        <v>3</v>
      </c>
      <c r="D2144" t="s">
        <v>32</v>
      </c>
      <c r="H2144">
        <v>17</v>
      </c>
    </row>
    <row r="2145" spans="1:8" x14ac:dyDescent="0.45">
      <c r="A2145" t="s">
        <v>40</v>
      </c>
      <c r="B2145" t="s">
        <v>20</v>
      </c>
      <c r="C2145">
        <v>3</v>
      </c>
      <c r="D2145" t="s">
        <v>34</v>
      </c>
      <c r="H2145">
        <v>12</v>
      </c>
    </row>
    <row r="2146" spans="1:8" x14ac:dyDescent="0.45">
      <c r="A2146" t="s">
        <v>40</v>
      </c>
      <c r="B2146" t="s">
        <v>21</v>
      </c>
      <c r="C2146">
        <v>4</v>
      </c>
      <c r="D2146" t="s">
        <v>19</v>
      </c>
      <c r="E2146">
        <v>2954449</v>
      </c>
      <c r="F2146">
        <v>5076</v>
      </c>
      <c r="G2146">
        <v>1274</v>
      </c>
      <c r="H2146">
        <v>15</v>
      </c>
    </row>
    <row r="2147" spans="1:8" x14ac:dyDescent="0.45">
      <c r="A2147" t="s">
        <v>40</v>
      </c>
      <c r="B2147" t="s">
        <v>21</v>
      </c>
      <c r="C2147">
        <v>4</v>
      </c>
      <c r="D2147" t="s">
        <v>27</v>
      </c>
      <c r="F2147">
        <v>1628</v>
      </c>
    </row>
    <row r="2148" spans="1:8" x14ac:dyDescent="0.45">
      <c r="A2148" t="s">
        <v>40</v>
      </c>
      <c r="B2148" t="s">
        <v>21</v>
      </c>
      <c r="C2148">
        <v>4</v>
      </c>
      <c r="D2148" t="s">
        <v>28</v>
      </c>
      <c r="F2148">
        <v>725</v>
      </c>
    </row>
    <row r="2149" spans="1:8" x14ac:dyDescent="0.45">
      <c r="A2149" t="s">
        <v>40</v>
      </c>
      <c r="B2149" t="s">
        <v>21</v>
      </c>
      <c r="C2149">
        <v>4</v>
      </c>
      <c r="D2149" t="s">
        <v>29</v>
      </c>
      <c r="F2149">
        <v>538</v>
      </c>
    </row>
    <row r="2150" spans="1:8" x14ac:dyDescent="0.45">
      <c r="A2150" t="s">
        <v>40</v>
      </c>
      <c r="B2150" t="s">
        <v>20</v>
      </c>
      <c r="C2150">
        <v>4</v>
      </c>
      <c r="D2150" t="s">
        <v>19</v>
      </c>
      <c r="E2150">
        <v>3241722</v>
      </c>
      <c r="F2150">
        <v>5194</v>
      </c>
      <c r="G2150">
        <v>1231</v>
      </c>
      <c r="H2150">
        <v>14</v>
      </c>
    </row>
    <row r="2151" spans="1:8" x14ac:dyDescent="0.45">
      <c r="A2151" t="s">
        <v>40</v>
      </c>
      <c r="B2151" t="s">
        <v>20</v>
      </c>
      <c r="C2151">
        <v>4</v>
      </c>
      <c r="D2151" t="s">
        <v>27</v>
      </c>
      <c r="F2151">
        <v>1210</v>
      </c>
    </row>
    <row r="2152" spans="1:8" x14ac:dyDescent="0.45">
      <c r="A2152" t="s">
        <v>40</v>
      </c>
      <c r="B2152" t="s">
        <v>20</v>
      </c>
      <c r="C2152">
        <v>4</v>
      </c>
      <c r="D2152" t="s">
        <v>28</v>
      </c>
      <c r="F2152">
        <v>811</v>
      </c>
    </row>
    <row r="2153" spans="1:8" x14ac:dyDescent="0.45">
      <c r="A2153" t="s">
        <v>40</v>
      </c>
      <c r="B2153" t="s">
        <v>20</v>
      </c>
      <c r="C2153">
        <v>4</v>
      </c>
      <c r="D2153" t="s">
        <v>29</v>
      </c>
      <c r="F2153">
        <v>638</v>
      </c>
    </row>
    <row r="2154" spans="1:8" x14ac:dyDescent="0.45">
      <c r="A2154" t="s">
        <v>40</v>
      </c>
      <c r="B2154" t="s">
        <v>20</v>
      </c>
      <c r="C2154">
        <v>4</v>
      </c>
      <c r="D2154" t="s">
        <v>31</v>
      </c>
      <c r="H2154">
        <v>98</v>
      </c>
    </row>
    <row r="2155" spans="1:8" x14ac:dyDescent="0.45">
      <c r="A2155" t="s">
        <v>40</v>
      </c>
      <c r="B2155" t="s">
        <v>20</v>
      </c>
      <c r="C2155">
        <v>4</v>
      </c>
      <c r="D2155" t="s">
        <v>32</v>
      </c>
      <c r="H2155">
        <v>13</v>
      </c>
    </row>
    <row r="2156" spans="1:8" x14ac:dyDescent="0.45">
      <c r="A2156" t="s">
        <v>40</v>
      </c>
      <c r="B2156" t="s">
        <v>20</v>
      </c>
      <c r="C2156">
        <v>4</v>
      </c>
      <c r="D2156" t="s">
        <v>34</v>
      </c>
      <c r="H2156">
        <v>9</v>
      </c>
    </row>
    <row r="2157" spans="1:8" x14ac:dyDescent="0.45">
      <c r="A2157" t="s">
        <v>40</v>
      </c>
      <c r="B2157" t="s">
        <v>21</v>
      </c>
      <c r="C2157">
        <v>5</v>
      </c>
      <c r="D2157" t="s">
        <v>19</v>
      </c>
      <c r="E2157">
        <v>2557594</v>
      </c>
      <c r="F2157">
        <v>4412</v>
      </c>
    </row>
    <row r="2158" spans="1:8" x14ac:dyDescent="0.45">
      <c r="A2158" t="s">
        <v>40</v>
      </c>
      <c r="B2158" t="s">
        <v>21</v>
      </c>
      <c r="C2158">
        <v>5</v>
      </c>
      <c r="D2158" t="s">
        <v>27</v>
      </c>
      <c r="F2158">
        <v>1274</v>
      </c>
    </row>
    <row r="2159" spans="1:8" x14ac:dyDescent="0.45">
      <c r="A2159" t="s">
        <v>40</v>
      </c>
      <c r="B2159" t="s">
        <v>21</v>
      </c>
      <c r="C2159">
        <v>5</v>
      </c>
      <c r="D2159" t="s">
        <v>28</v>
      </c>
      <c r="F2159">
        <v>751</v>
      </c>
    </row>
    <row r="2160" spans="1:8" x14ac:dyDescent="0.45">
      <c r="A2160" t="s">
        <v>40</v>
      </c>
      <c r="B2160" t="s">
        <v>21</v>
      </c>
      <c r="C2160">
        <v>5</v>
      </c>
      <c r="D2160" t="s">
        <v>29</v>
      </c>
      <c r="F2160">
        <v>550</v>
      </c>
    </row>
    <row r="2161" spans="1:8" x14ac:dyDescent="0.45">
      <c r="A2161" t="s">
        <v>40</v>
      </c>
      <c r="B2161" t="s">
        <v>20</v>
      </c>
      <c r="C2161">
        <v>5</v>
      </c>
      <c r="D2161" t="s">
        <v>19</v>
      </c>
      <c r="E2161">
        <v>2451685</v>
      </c>
      <c r="F2161">
        <v>3989</v>
      </c>
      <c r="G2161">
        <v>631</v>
      </c>
    </row>
    <row r="2162" spans="1:8" x14ac:dyDescent="0.45">
      <c r="A2162" t="s">
        <v>40</v>
      </c>
      <c r="B2162" t="s">
        <v>20</v>
      </c>
      <c r="C2162">
        <v>5</v>
      </c>
      <c r="D2162" t="s">
        <v>27</v>
      </c>
      <c r="F2162">
        <v>1053</v>
      </c>
    </row>
    <row r="2163" spans="1:8" x14ac:dyDescent="0.45">
      <c r="A2163" t="s">
        <v>40</v>
      </c>
      <c r="B2163" t="s">
        <v>20</v>
      </c>
      <c r="C2163">
        <v>5</v>
      </c>
      <c r="D2163" t="s">
        <v>28</v>
      </c>
      <c r="F2163">
        <v>603</v>
      </c>
    </row>
    <row r="2164" spans="1:8" x14ac:dyDescent="0.45">
      <c r="A2164" t="s">
        <v>40</v>
      </c>
      <c r="B2164" t="s">
        <v>20</v>
      </c>
      <c r="C2164">
        <v>5</v>
      </c>
      <c r="D2164" t="s">
        <v>29</v>
      </c>
      <c r="F2164">
        <v>422</v>
      </c>
    </row>
    <row r="2165" spans="1:8" x14ac:dyDescent="0.45">
      <c r="A2165" t="s">
        <v>40</v>
      </c>
      <c r="B2165" t="s">
        <v>20</v>
      </c>
      <c r="C2165">
        <v>5</v>
      </c>
      <c r="D2165" t="s">
        <v>31</v>
      </c>
      <c r="H2165">
        <v>115</v>
      </c>
    </row>
    <row r="2166" spans="1:8" x14ac:dyDescent="0.45">
      <c r="A2166" t="s">
        <v>40</v>
      </c>
      <c r="B2166" t="s">
        <v>20</v>
      </c>
      <c r="C2166">
        <v>5</v>
      </c>
      <c r="D2166" t="s">
        <v>32</v>
      </c>
      <c r="H2166">
        <v>11</v>
      </c>
    </row>
    <row r="2167" spans="1:8" x14ac:dyDescent="0.45">
      <c r="A2167" t="s">
        <v>40</v>
      </c>
      <c r="B2167" t="s">
        <v>20</v>
      </c>
      <c r="C2167">
        <v>5</v>
      </c>
      <c r="D2167" t="s">
        <v>34</v>
      </c>
      <c r="H2167">
        <v>11</v>
      </c>
    </row>
    <row r="2168" spans="1:8" x14ac:dyDescent="0.45">
      <c r="A2168" t="s">
        <v>40</v>
      </c>
      <c r="B2168" t="s">
        <v>21</v>
      </c>
      <c r="C2168">
        <v>6</v>
      </c>
      <c r="D2168" t="s">
        <v>19</v>
      </c>
      <c r="E2168">
        <v>2274701</v>
      </c>
      <c r="F2168">
        <v>4199</v>
      </c>
      <c r="H2168">
        <v>106</v>
      </c>
    </row>
    <row r="2169" spans="1:8" x14ac:dyDescent="0.45">
      <c r="A2169" t="s">
        <v>40</v>
      </c>
      <c r="B2169" t="s">
        <v>21</v>
      </c>
      <c r="C2169">
        <v>6</v>
      </c>
      <c r="D2169" t="s">
        <v>27</v>
      </c>
      <c r="F2169">
        <v>1403</v>
      </c>
    </row>
    <row r="2170" spans="1:8" x14ac:dyDescent="0.45">
      <c r="A2170" t="s">
        <v>40</v>
      </c>
      <c r="B2170" t="s">
        <v>21</v>
      </c>
      <c r="C2170">
        <v>6</v>
      </c>
      <c r="D2170" t="s">
        <v>28</v>
      </c>
      <c r="F2170">
        <v>696</v>
      </c>
    </row>
    <row r="2171" spans="1:8" x14ac:dyDescent="0.45">
      <c r="A2171" t="s">
        <v>40</v>
      </c>
      <c r="B2171" t="s">
        <v>21</v>
      </c>
      <c r="C2171">
        <v>6</v>
      </c>
      <c r="D2171" t="s">
        <v>29</v>
      </c>
      <c r="F2171">
        <v>449</v>
      </c>
    </row>
    <row r="2172" spans="1:8" x14ac:dyDescent="0.45">
      <c r="A2172" t="s">
        <v>40</v>
      </c>
      <c r="B2172" t="s">
        <v>20</v>
      </c>
      <c r="C2172">
        <v>6</v>
      </c>
      <c r="D2172" t="s">
        <v>19</v>
      </c>
      <c r="E2172">
        <v>2213357</v>
      </c>
      <c r="F2172">
        <v>3705</v>
      </c>
      <c r="H2172">
        <v>8</v>
      </c>
    </row>
    <row r="2173" spans="1:8" x14ac:dyDescent="0.45">
      <c r="A2173" t="s">
        <v>40</v>
      </c>
      <c r="B2173" t="s">
        <v>20</v>
      </c>
      <c r="C2173">
        <v>6</v>
      </c>
      <c r="D2173" t="s">
        <v>27</v>
      </c>
      <c r="F2173">
        <v>1202</v>
      </c>
    </row>
    <row r="2174" spans="1:8" x14ac:dyDescent="0.45">
      <c r="A2174" t="s">
        <v>40</v>
      </c>
      <c r="B2174" t="s">
        <v>20</v>
      </c>
      <c r="C2174">
        <v>6</v>
      </c>
      <c r="D2174" t="s">
        <v>28</v>
      </c>
      <c r="F2174">
        <v>630</v>
      </c>
    </row>
    <row r="2175" spans="1:8" x14ac:dyDescent="0.45">
      <c r="A2175" t="s">
        <v>40</v>
      </c>
      <c r="B2175" t="s">
        <v>20</v>
      </c>
      <c r="C2175">
        <v>6</v>
      </c>
      <c r="D2175" t="s">
        <v>29</v>
      </c>
      <c r="F2175">
        <v>415</v>
      </c>
    </row>
    <row r="2176" spans="1:8" x14ac:dyDescent="0.45">
      <c r="A2176" t="s">
        <v>40</v>
      </c>
      <c r="B2176" t="s">
        <v>20</v>
      </c>
      <c r="C2176">
        <v>6</v>
      </c>
      <c r="D2176" t="s">
        <v>31</v>
      </c>
      <c r="H2176">
        <v>46</v>
      </c>
    </row>
    <row r="2177" spans="1:8" x14ac:dyDescent="0.45">
      <c r="A2177" t="s">
        <v>40</v>
      </c>
      <c r="B2177" t="s">
        <v>20</v>
      </c>
      <c r="C2177">
        <v>6</v>
      </c>
      <c r="D2177" t="s">
        <v>32</v>
      </c>
      <c r="H2177">
        <v>7</v>
      </c>
    </row>
    <row r="2178" spans="1:8" x14ac:dyDescent="0.45">
      <c r="A2178" t="s">
        <v>40</v>
      </c>
      <c r="B2178" t="s">
        <v>20</v>
      </c>
      <c r="C2178">
        <v>6</v>
      </c>
      <c r="D2178" t="s">
        <v>34</v>
      </c>
      <c r="H2178">
        <v>11</v>
      </c>
    </row>
    <row r="2179" spans="1:8" x14ac:dyDescent="0.45">
      <c r="A2179" t="s">
        <v>40</v>
      </c>
      <c r="B2179" t="s">
        <v>21</v>
      </c>
      <c r="C2179">
        <v>7</v>
      </c>
      <c r="D2179" t="s">
        <v>19</v>
      </c>
      <c r="E2179">
        <v>1610531</v>
      </c>
      <c r="F2179">
        <v>3150</v>
      </c>
      <c r="G2179">
        <v>897</v>
      </c>
    </row>
    <row r="2180" spans="1:8" x14ac:dyDescent="0.45">
      <c r="A2180" t="s">
        <v>40</v>
      </c>
      <c r="B2180" t="s">
        <v>21</v>
      </c>
      <c r="C2180">
        <v>7</v>
      </c>
      <c r="D2180" t="s">
        <v>27</v>
      </c>
      <c r="F2180">
        <v>1343</v>
      </c>
    </row>
    <row r="2181" spans="1:8" x14ac:dyDescent="0.45">
      <c r="A2181" t="s">
        <v>40</v>
      </c>
      <c r="B2181" t="s">
        <v>21</v>
      </c>
      <c r="C2181">
        <v>7</v>
      </c>
      <c r="D2181" t="s">
        <v>28</v>
      </c>
      <c r="F2181">
        <v>560</v>
      </c>
    </row>
    <row r="2182" spans="1:8" x14ac:dyDescent="0.45">
      <c r="A2182" t="s">
        <v>40</v>
      </c>
      <c r="B2182" t="s">
        <v>21</v>
      </c>
      <c r="C2182">
        <v>7</v>
      </c>
      <c r="D2182" t="s">
        <v>29</v>
      </c>
      <c r="F2182">
        <v>318</v>
      </c>
    </row>
    <row r="2183" spans="1:8" x14ac:dyDescent="0.45">
      <c r="A2183" t="s">
        <v>40</v>
      </c>
      <c r="B2183" t="s">
        <v>20</v>
      </c>
      <c r="C2183">
        <v>7</v>
      </c>
      <c r="D2183" t="s">
        <v>19</v>
      </c>
      <c r="E2183">
        <v>2220375</v>
      </c>
      <c r="F2183">
        <v>4098</v>
      </c>
      <c r="H2183">
        <v>8</v>
      </c>
    </row>
    <row r="2184" spans="1:8" x14ac:dyDescent="0.45">
      <c r="A2184" t="s">
        <v>40</v>
      </c>
      <c r="B2184" t="s">
        <v>20</v>
      </c>
      <c r="C2184">
        <v>7</v>
      </c>
      <c r="D2184" t="s">
        <v>27</v>
      </c>
      <c r="F2184">
        <v>1455</v>
      </c>
    </row>
    <row r="2185" spans="1:8" x14ac:dyDescent="0.45">
      <c r="A2185" t="s">
        <v>40</v>
      </c>
      <c r="B2185" t="s">
        <v>20</v>
      </c>
      <c r="C2185">
        <v>7</v>
      </c>
      <c r="D2185" t="s">
        <v>28</v>
      </c>
      <c r="F2185">
        <v>743</v>
      </c>
    </row>
    <row r="2186" spans="1:8" x14ac:dyDescent="0.45">
      <c r="A2186" t="s">
        <v>40</v>
      </c>
      <c r="B2186" t="s">
        <v>20</v>
      </c>
      <c r="C2186">
        <v>7</v>
      </c>
      <c r="D2186" t="s">
        <v>29</v>
      </c>
      <c r="F2186">
        <v>440</v>
      </c>
    </row>
    <row r="2187" spans="1:8" x14ac:dyDescent="0.45">
      <c r="A2187" t="s">
        <v>40</v>
      </c>
      <c r="B2187" t="s">
        <v>20</v>
      </c>
      <c r="C2187">
        <v>7</v>
      </c>
      <c r="D2187" t="s">
        <v>31</v>
      </c>
      <c r="H2187">
        <v>240</v>
      </c>
    </row>
    <row r="2188" spans="1:8" x14ac:dyDescent="0.45">
      <c r="A2188" t="s">
        <v>40</v>
      </c>
      <c r="B2188" t="s">
        <v>20</v>
      </c>
      <c r="C2188">
        <v>7</v>
      </c>
      <c r="D2188" t="s">
        <v>32</v>
      </c>
      <c r="H2188">
        <v>8</v>
      </c>
    </row>
    <row r="2189" spans="1:8" x14ac:dyDescent="0.45">
      <c r="A2189" t="s">
        <v>40</v>
      </c>
      <c r="B2189" t="s">
        <v>20</v>
      </c>
      <c r="C2189">
        <v>7</v>
      </c>
      <c r="D2189" t="s">
        <v>34</v>
      </c>
      <c r="H2189">
        <v>15</v>
      </c>
    </row>
    <row r="2190" spans="1:8" x14ac:dyDescent="0.45">
      <c r="A2190" t="s">
        <v>40</v>
      </c>
      <c r="B2190" t="s">
        <v>21</v>
      </c>
      <c r="C2190">
        <v>8</v>
      </c>
      <c r="D2190" t="s">
        <v>19</v>
      </c>
      <c r="E2190">
        <v>1186553</v>
      </c>
      <c r="F2190">
        <v>2579</v>
      </c>
      <c r="G2190">
        <v>721</v>
      </c>
    </row>
    <row r="2191" spans="1:8" x14ac:dyDescent="0.45">
      <c r="A2191" t="s">
        <v>40</v>
      </c>
      <c r="B2191" t="s">
        <v>21</v>
      </c>
      <c r="C2191">
        <v>8</v>
      </c>
      <c r="D2191" t="s">
        <v>27</v>
      </c>
      <c r="F2191">
        <v>1104</v>
      </c>
      <c r="G2191">
        <v>618</v>
      </c>
    </row>
    <row r="2192" spans="1:8" x14ac:dyDescent="0.45">
      <c r="A2192" t="s">
        <v>40</v>
      </c>
      <c r="B2192" t="s">
        <v>21</v>
      </c>
      <c r="C2192">
        <v>8</v>
      </c>
      <c r="D2192" t="s">
        <v>28</v>
      </c>
      <c r="F2192">
        <v>482</v>
      </c>
      <c r="G2192">
        <v>1234</v>
      </c>
    </row>
    <row r="2193" spans="1:8" x14ac:dyDescent="0.45">
      <c r="A2193" t="s">
        <v>40</v>
      </c>
      <c r="B2193" t="s">
        <v>21</v>
      </c>
      <c r="C2193">
        <v>8</v>
      </c>
      <c r="D2193" t="s">
        <v>29</v>
      </c>
      <c r="F2193">
        <v>203</v>
      </c>
      <c r="G2193">
        <v>1394</v>
      </c>
    </row>
    <row r="2194" spans="1:8" x14ac:dyDescent="0.45">
      <c r="A2194" t="s">
        <v>40</v>
      </c>
      <c r="B2194" t="s">
        <v>20</v>
      </c>
      <c r="C2194">
        <v>8</v>
      </c>
      <c r="D2194" t="s">
        <v>19</v>
      </c>
      <c r="E2194">
        <v>1413894</v>
      </c>
      <c r="F2194">
        <v>2605</v>
      </c>
      <c r="G2194">
        <v>710</v>
      </c>
    </row>
    <row r="2195" spans="1:8" x14ac:dyDescent="0.45">
      <c r="A2195" t="s">
        <v>40</v>
      </c>
      <c r="B2195" t="s">
        <v>20</v>
      </c>
      <c r="C2195">
        <v>8</v>
      </c>
      <c r="D2195" t="s">
        <v>27</v>
      </c>
      <c r="F2195">
        <v>974</v>
      </c>
      <c r="G2195">
        <v>873</v>
      </c>
    </row>
    <row r="2196" spans="1:8" x14ac:dyDescent="0.45">
      <c r="A2196" t="s">
        <v>40</v>
      </c>
      <c r="B2196" t="s">
        <v>20</v>
      </c>
      <c r="C2196">
        <v>8</v>
      </c>
      <c r="D2196" t="s">
        <v>28</v>
      </c>
      <c r="F2196">
        <v>496</v>
      </c>
      <c r="G2196">
        <v>1273</v>
      </c>
    </row>
    <row r="2197" spans="1:8" x14ac:dyDescent="0.45">
      <c r="A2197" t="s">
        <v>40</v>
      </c>
      <c r="B2197" t="s">
        <v>20</v>
      </c>
      <c r="C2197">
        <v>8</v>
      </c>
      <c r="D2197" t="s">
        <v>29</v>
      </c>
      <c r="F2197">
        <v>259</v>
      </c>
      <c r="G2197">
        <v>1352</v>
      </c>
    </row>
    <row r="2198" spans="1:8" x14ac:dyDescent="0.45">
      <c r="A2198" t="s">
        <v>40</v>
      </c>
      <c r="B2198" t="s">
        <v>20</v>
      </c>
      <c r="C2198">
        <v>8</v>
      </c>
      <c r="D2198" t="s">
        <v>31</v>
      </c>
      <c r="H2198">
        <v>34</v>
      </c>
    </row>
    <row r="2199" spans="1:8" x14ac:dyDescent="0.45">
      <c r="A2199" t="s">
        <v>40</v>
      </c>
      <c r="B2199" t="s">
        <v>20</v>
      </c>
      <c r="C2199">
        <v>8</v>
      </c>
      <c r="D2199" t="s">
        <v>32</v>
      </c>
      <c r="H2199">
        <v>14</v>
      </c>
    </row>
    <row r="2200" spans="1:8" x14ac:dyDescent="0.45">
      <c r="A2200" t="s">
        <v>40</v>
      </c>
      <c r="B2200" t="s">
        <v>20</v>
      </c>
      <c r="C2200">
        <v>8</v>
      </c>
      <c r="D2200" t="s">
        <v>34</v>
      </c>
      <c r="H2200">
        <v>8</v>
      </c>
    </row>
    <row r="2201" spans="1:8" x14ac:dyDescent="0.45">
      <c r="A2201" t="s">
        <v>40</v>
      </c>
      <c r="B2201" t="s">
        <v>21</v>
      </c>
      <c r="C2201">
        <v>9</v>
      </c>
      <c r="D2201" t="s">
        <v>19</v>
      </c>
      <c r="E2201">
        <v>1121191</v>
      </c>
      <c r="F2201">
        <v>2660</v>
      </c>
      <c r="G2201">
        <v>758</v>
      </c>
    </row>
    <row r="2202" spans="1:8" x14ac:dyDescent="0.45">
      <c r="A2202" t="s">
        <v>40</v>
      </c>
      <c r="B2202" t="s">
        <v>21</v>
      </c>
      <c r="C2202">
        <v>9</v>
      </c>
      <c r="D2202" t="s">
        <v>27</v>
      </c>
      <c r="F2202">
        <v>1263</v>
      </c>
    </row>
    <row r="2203" spans="1:8" x14ac:dyDescent="0.45">
      <c r="A2203" t="s">
        <v>40</v>
      </c>
      <c r="B2203" t="s">
        <v>21</v>
      </c>
      <c r="C2203">
        <v>9</v>
      </c>
      <c r="D2203" t="s">
        <v>28</v>
      </c>
      <c r="F2203">
        <v>529</v>
      </c>
    </row>
    <row r="2204" spans="1:8" x14ac:dyDescent="0.45">
      <c r="A2204" t="s">
        <v>40</v>
      </c>
      <c r="B2204" t="s">
        <v>21</v>
      </c>
      <c r="C2204">
        <v>9</v>
      </c>
      <c r="D2204" t="s">
        <v>29</v>
      </c>
      <c r="F2204">
        <v>219</v>
      </c>
    </row>
    <row r="2205" spans="1:8" x14ac:dyDescent="0.45">
      <c r="A2205" t="s">
        <v>40</v>
      </c>
      <c r="B2205" t="s">
        <v>20</v>
      </c>
      <c r="C2205">
        <v>9</v>
      </c>
      <c r="D2205" t="s">
        <v>19</v>
      </c>
      <c r="E2205">
        <v>1250107</v>
      </c>
      <c r="F2205">
        <v>2586</v>
      </c>
      <c r="G2205">
        <v>752</v>
      </c>
    </row>
    <row r="2206" spans="1:8" x14ac:dyDescent="0.45">
      <c r="A2206" t="s">
        <v>40</v>
      </c>
      <c r="B2206" t="s">
        <v>20</v>
      </c>
      <c r="C2206">
        <v>9</v>
      </c>
      <c r="D2206" t="s">
        <v>27</v>
      </c>
      <c r="F2206">
        <v>1106</v>
      </c>
    </row>
    <row r="2207" spans="1:8" x14ac:dyDescent="0.45">
      <c r="A2207" t="s">
        <v>40</v>
      </c>
      <c r="B2207" t="s">
        <v>20</v>
      </c>
      <c r="C2207">
        <v>9</v>
      </c>
      <c r="D2207" t="s">
        <v>28</v>
      </c>
      <c r="F2207">
        <v>496</v>
      </c>
    </row>
    <row r="2208" spans="1:8" x14ac:dyDescent="0.45">
      <c r="A2208" t="s">
        <v>40</v>
      </c>
      <c r="B2208" t="s">
        <v>20</v>
      </c>
      <c r="C2208">
        <v>9</v>
      </c>
      <c r="D2208" t="s">
        <v>29</v>
      </c>
      <c r="F2208">
        <v>222</v>
      </c>
    </row>
    <row r="2209" spans="1:8" x14ac:dyDescent="0.45">
      <c r="A2209" t="s">
        <v>40</v>
      </c>
      <c r="B2209" t="s">
        <v>20</v>
      </c>
      <c r="C2209">
        <v>9</v>
      </c>
      <c r="D2209" t="s">
        <v>31</v>
      </c>
      <c r="H2209">
        <v>180</v>
      </c>
    </row>
    <row r="2210" spans="1:8" x14ac:dyDescent="0.45">
      <c r="A2210" t="s">
        <v>40</v>
      </c>
      <c r="B2210" t="s">
        <v>20</v>
      </c>
      <c r="C2210">
        <v>9</v>
      </c>
      <c r="D2210" t="s">
        <v>32</v>
      </c>
      <c r="H2210">
        <v>13</v>
      </c>
    </row>
    <row r="2211" spans="1:8" x14ac:dyDescent="0.45">
      <c r="A2211" t="s">
        <v>40</v>
      </c>
      <c r="B2211" t="s">
        <v>20</v>
      </c>
      <c r="C2211">
        <v>9</v>
      </c>
      <c r="D2211" t="s">
        <v>34</v>
      </c>
      <c r="H2211">
        <v>2</v>
      </c>
    </row>
    <row r="2212" spans="1:8" x14ac:dyDescent="0.45">
      <c r="A2212" t="s">
        <v>40</v>
      </c>
      <c r="B2212" t="s">
        <v>21</v>
      </c>
      <c r="C2212">
        <v>10</v>
      </c>
      <c r="D2212" t="s">
        <v>19</v>
      </c>
      <c r="E2212">
        <v>1928810</v>
      </c>
      <c r="F2212">
        <v>4373</v>
      </c>
      <c r="G2212">
        <v>300</v>
      </c>
      <c r="H2212">
        <v>9</v>
      </c>
    </row>
    <row r="2213" spans="1:8" x14ac:dyDescent="0.45">
      <c r="A2213" t="s">
        <v>40</v>
      </c>
      <c r="B2213" t="s">
        <v>21</v>
      </c>
      <c r="C2213">
        <v>10</v>
      </c>
      <c r="D2213" t="s">
        <v>27</v>
      </c>
      <c r="F2213">
        <v>1774</v>
      </c>
    </row>
    <row r="2214" spans="1:8" x14ac:dyDescent="0.45">
      <c r="A2214" t="s">
        <v>40</v>
      </c>
      <c r="B2214" t="s">
        <v>21</v>
      </c>
      <c r="C2214">
        <v>10</v>
      </c>
      <c r="D2214" t="s">
        <v>28</v>
      </c>
      <c r="F2214">
        <v>871</v>
      </c>
    </row>
    <row r="2215" spans="1:8" x14ac:dyDescent="0.45">
      <c r="A2215" t="s">
        <v>40</v>
      </c>
      <c r="B2215" t="s">
        <v>21</v>
      </c>
      <c r="C2215">
        <v>10</v>
      </c>
      <c r="D2215" t="s">
        <v>29</v>
      </c>
      <c r="F2215">
        <v>474</v>
      </c>
    </row>
    <row r="2216" spans="1:8" x14ac:dyDescent="0.45">
      <c r="A2216" t="s">
        <v>40</v>
      </c>
      <c r="B2216" t="s">
        <v>20</v>
      </c>
      <c r="C2216">
        <v>10</v>
      </c>
      <c r="D2216" t="s">
        <v>19</v>
      </c>
      <c r="E2216">
        <v>1814455</v>
      </c>
      <c r="F2216">
        <v>3636</v>
      </c>
    </row>
    <row r="2217" spans="1:8" x14ac:dyDescent="0.45">
      <c r="A2217" t="s">
        <v>40</v>
      </c>
      <c r="B2217" t="s">
        <v>20</v>
      </c>
      <c r="C2217">
        <v>10</v>
      </c>
      <c r="D2217" t="s">
        <v>27</v>
      </c>
      <c r="F2217">
        <v>1365</v>
      </c>
    </row>
    <row r="2218" spans="1:8" x14ac:dyDescent="0.45">
      <c r="A2218" t="s">
        <v>40</v>
      </c>
      <c r="B2218" t="s">
        <v>20</v>
      </c>
      <c r="C2218">
        <v>10</v>
      </c>
      <c r="D2218" t="s">
        <v>28</v>
      </c>
      <c r="F2218">
        <v>723</v>
      </c>
    </row>
    <row r="2219" spans="1:8" x14ac:dyDescent="0.45">
      <c r="A2219" t="s">
        <v>40</v>
      </c>
      <c r="B2219" t="s">
        <v>20</v>
      </c>
      <c r="C2219">
        <v>10</v>
      </c>
      <c r="D2219" t="s">
        <v>29</v>
      </c>
      <c r="F2219">
        <v>414</v>
      </c>
    </row>
    <row r="2220" spans="1:8" x14ac:dyDescent="0.45">
      <c r="A2220" t="s">
        <v>40</v>
      </c>
      <c r="B2220" t="s">
        <v>20</v>
      </c>
      <c r="C2220">
        <v>10</v>
      </c>
      <c r="D2220" t="s">
        <v>31</v>
      </c>
      <c r="H2220">
        <v>169</v>
      </c>
    </row>
    <row r="2221" spans="1:8" x14ac:dyDescent="0.45">
      <c r="A2221" t="s">
        <v>40</v>
      </c>
      <c r="B2221" t="s">
        <v>20</v>
      </c>
      <c r="C2221">
        <v>10</v>
      </c>
      <c r="D2221" t="s">
        <v>32</v>
      </c>
      <c r="H2221">
        <v>13</v>
      </c>
    </row>
    <row r="2222" spans="1:8" x14ac:dyDescent="0.45">
      <c r="A2222" t="s">
        <v>40</v>
      </c>
      <c r="B2222" t="s">
        <v>20</v>
      </c>
      <c r="C2222">
        <v>10</v>
      </c>
      <c r="D2222" t="s">
        <v>34</v>
      </c>
      <c r="H2222">
        <v>12</v>
      </c>
    </row>
    <row r="2223" spans="1:8" x14ac:dyDescent="0.45">
      <c r="A2223" t="s">
        <v>40</v>
      </c>
      <c r="B2223" t="s">
        <v>21</v>
      </c>
      <c r="C2223">
        <v>11</v>
      </c>
      <c r="D2223" t="s">
        <v>19</v>
      </c>
      <c r="E2223">
        <v>1609527</v>
      </c>
      <c r="F2223">
        <v>3379</v>
      </c>
      <c r="G2223">
        <v>894</v>
      </c>
    </row>
    <row r="2224" spans="1:8" x14ac:dyDescent="0.45">
      <c r="A2224" t="s">
        <v>40</v>
      </c>
      <c r="B2224" t="s">
        <v>21</v>
      </c>
      <c r="C2224">
        <v>11</v>
      </c>
      <c r="D2224" t="s">
        <v>27</v>
      </c>
      <c r="F2224">
        <v>1510</v>
      </c>
    </row>
    <row r="2225" spans="1:8" x14ac:dyDescent="0.45">
      <c r="A2225" t="s">
        <v>40</v>
      </c>
      <c r="B2225" t="s">
        <v>21</v>
      </c>
      <c r="C2225">
        <v>11</v>
      </c>
      <c r="D2225" t="s">
        <v>28</v>
      </c>
      <c r="F2225">
        <v>584</v>
      </c>
    </row>
    <row r="2226" spans="1:8" x14ac:dyDescent="0.45">
      <c r="A2226" t="s">
        <v>40</v>
      </c>
      <c r="B2226" t="s">
        <v>21</v>
      </c>
      <c r="C2226">
        <v>11</v>
      </c>
      <c r="D2226" t="s">
        <v>29</v>
      </c>
      <c r="F2226">
        <v>350</v>
      </c>
    </row>
    <row r="2227" spans="1:8" x14ac:dyDescent="0.45">
      <c r="A2227" t="s">
        <v>40</v>
      </c>
      <c r="B2227" t="s">
        <v>20</v>
      </c>
      <c r="C2227">
        <v>11</v>
      </c>
      <c r="D2227" t="s">
        <v>19</v>
      </c>
      <c r="E2227">
        <v>1794355</v>
      </c>
      <c r="F2227">
        <v>3555</v>
      </c>
      <c r="H2227">
        <v>8</v>
      </c>
    </row>
    <row r="2228" spans="1:8" x14ac:dyDescent="0.45">
      <c r="A2228" t="s">
        <v>40</v>
      </c>
      <c r="B2228" t="s">
        <v>20</v>
      </c>
      <c r="C2228">
        <v>11</v>
      </c>
      <c r="D2228" t="s">
        <v>27</v>
      </c>
      <c r="F2228">
        <v>1315</v>
      </c>
    </row>
    <row r="2229" spans="1:8" x14ac:dyDescent="0.45">
      <c r="A2229" t="s">
        <v>40</v>
      </c>
      <c r="B2229" t="s">
        <v>20</v>
      </c>
      <c r="C2229">
        <v>11</v>
      </c>
      <c r="D2229" t="s">
        <v>28</v>
      </c>
      <c r="F2229">
        <v>742</v>
      </c>
    </row>
    <row r="2230" spans="1:8" x14ac:dyDescent="0.45">
      <c r="A2230" t="s">
        <v>40</v>
      </c>
      <c r="B2230" t="s">
        <v>20</v>
      </c>
      <c r="C2230">
        <v>11</v>
      </c>
      <c r="D2230" t="s">
        <v>29</v>
      </c>
      <c r="F2230">
        <v>434</v>
      </c>
    </row>
    <row r="2231" spans="1:8" x14ac:dyDescent="0.45">
      <c r="A2231" t="s">
        <v>40</v>
      </c>
      <c r="B2231" t="s">
        <v>20</v>
      </c>
      <c r="C2231">
        <v>11</v>
      </c>
      <c r="D2231" t="s">
        <v>31</v>
      </c>
      <c r="H2231">
        <v>236</v>
      </c>
    </row>
    <row r="2232" spans="1:8" x14ac:dyDescent="0.45">
      <c r="A2232" t="s">
        <v>40</v>
      </c>
      <c r="B2232" t="s">
        <v>20</v>
      </c>
      <c r="C2232">
        <v>11</v>
      </c>
      <c r="D2232" t="s">
        <v>32</v>
      </c>
      <c r="H2232">
        <v>6</v>
      </c>
    </row>
    <row r="2233" spans="1:8" x14ac:dyDescent="0.45">
      <c r="A2233" t="s">
        <v>40</v>
      </c>
      <c r="B2233" t="s">
        <v>20</v>
      </c>
      <c r="C2233">
        <v>11</v>
      </c>
      <c r="D2233" t="s">
        <v>34</v>
      </c>
      <c r="H2233">
        <v>10</v>
      </c>
    </row>
    <row r="2234" spans="1:8" x14ac:dyDescent="0.45">
      <c r="A2234" t="s">
        <v>40</v>
      </c>
      <c r="B2234" t="s">
        <v>21</v>
      </c>
      <c r="C2234">
        <v>12</v>
      </c>
      <c r="D2234" t="s">
        <v>19</v>
      </c>
      <c r="E2234">
        <v>1649775</v>
      </c>
      <c r="F2234">
        <v>3765</v>
      </c>
      <c r="G2234">
        <v>924</v>
      </c>
    </row>
    <row r="2235" spans="1:8" x14ac:dyDescent="0.45">
      <c r="A2235" t="s">
        <v>40</v>
      </c>
      <c r="B2235" t="s">
        <v>21</v>
      </c>
      <c r="C2235">
        <v>12</v>
      </c>
      <c r="D2235" t="s">
        <v>27</v>
      </c>
      <c r="F2235">
        <v>1535</v>
      </c>
    </row>
    <row r="2236" spans="1:8" x14ac:dyDescent="0.45">
      <c r="A2236" t="s">
        <v>40</v>
      </c>
      <c r="B2236" t="s">
        <v>21</v>
      </c>
      <c r="C2236">
        <v>12</v>
      </c>
      <c r="D2236" t="s">
        <v>28</v>
      </c>
      <c r="F2236">
        <v>695</v>
      </c>
    </row>
    <row r="2237" spans="1:8" x14ac:dyDescent="0.45">
      <c r="A2237" t="s">
        <v>40</v>
      </c>
      <c r="B2237" t="s">
        <v>21</v>
      </c>
      <c r="C2237">
        <v>12</v>
      </c>
      <c r="D2237" t="s">
        <v>29</v>
      </c>
      <c r="F2237">
        <v>438</v>
      </c>
    </row>
    <row r="2238" spans="1:8" x14ac:dyDescent="0.45">
      <c r="A2238" t="s">
        <v>40</v>
      </c>
      <c r="B2238" t="s">
        <v>20</v>
      </c>
      <c r="C2238">
        <v>12</v>
      </c>
      <c r="D2238" t="s">
        <v>19</v>
      </c>
      <c r="E2238">
        <v>1716904</v>
      </c>
      <c r="F2238">
        <v>3583</v>
      </c>
      <c r="G2238">
        <v>917</v>
      </c>
    </row>
    <row r="2239" spans="1:8" x14ac:dyDescent="0.45">
      <c r="A2239" t="s">
        <v>40</v>
      </c>
      <c r="B2239" t="s">
        <v>20</v>
      </c>
      <c r="C2239">
        <v>12</v>
      </c>
      <c r="D2239" t="s">
        <v>27</v>
      </c>
      <c r="F2239">
        <v>1364</v>
      </c>
    </row>
    <row r="2240" spans="1:8" x14ac:dyDescent="0.45">
      <c r="A2240" t="s">
        <v>40</v>
      </c>
      <c r="B2240" t="s">
        <v>20</v>
      </c>
      <c r="C2240">
        <v>12</v>
      </c>
      <c r="D2240" t="s">
        <v>28</v>
      </c>
      <c r="F2240">
        <v>675</v>
      </c>
    </row>
    <row r="2241" spans="1:8" x14ac:dyDescent="0.45">
      <c r="A2241" t="s">
        <v>40</v>
      </c>
      <c r="B2241" t="s">
        <v>20</v>
      </c>
      <c r="C2241">
        <v>12</v>
      </c>
      <c r="D2241" t="s">
        <v>29</v>
      </c>
      <c r="F2241">
        <v>413</v>
      </c>
    </row>
    <row r="2242" spans="1:8" x14ac:dyDescent="0.45">
      <c r="A2242" t="s">
        <v>40</v>
      </c>
      <c r="B2242" t="s">
        <v>20</v>
      </c>
      <c r="C2242">
        <v>12</v>
      </c>
      <c r="D2242" t="s">
        <v>31</v>
      </c>
      <c r="H2242">
        <v>113</v>
      </c>
    </row>
    <row r="2243" spans="1:8" x14ac:dyDescent="0.45">
      <c r="A2243" t="s">
        <v>40</v>
      </c>
      <c r="B2243" t="s">
        <v>20</v>
      </c>
      <c r="C2243">
        <v>12</v>
      </c>
      <c r="D2243" t="s">
        <v>32</v>
      </c>
      <c r="H2243">
        <v>8</v>
      </c>
    </row>
    <row r="2244" spans="1:8" x14ac:dyDescent="0.45">
      <c r="A2244" t="s">
        <v>40</v>
      </c>
      <c r="B2244" t="s">
        <v>20</v>
      </c>
      <c r="C2244">
        <v>12</v>
      </c>
      <c r="D2244" t="s">
        <v>34</v>
      </c>
      <c r="H2244">
        <v>12</v>
      </c>
    </row>
    <row r="2245" spans="1:8" x14ac:dyDescent="0.45">
      <c r="A2245" t="s">
        <v>39</v>
      </c>
      <c r="B2245" t="s">
        <v>21</v>
      </c>
      <c r="C2245">
        <v>1</v>
      </c>
      <c r="D2245" t="s">
        <v>19</v>
      </c>
      <c r="E2245">
        <v>1047121</v>
      </c>
      <c r="F2245">
        <v>2137</v>
      </c>
      <c r="G2245">
        <v>599</v>
      </c>
    </row>
    <row r="2246" spans="1:8" x14ac:dyDescent="0.45">
      <c r="A2246" t="s">
        <v>39</v>
      </c>
      <c r="B2246" t="s">
        <v>21</v>
      </c>
      <c r="C2246">
        <v>1</v>
      </c>
      <c r="D2246" t="s">
        <v>27</v>
      </c>
      <c r="F2246">
        <v>829</v>
      </c>
    </row>
    <row r="2247" spans="1:8" x14ac:dyDescent="0.45">
      <c r="A2247" t="s">
        <v>39</v>
      </c>
      <c r="B2247" t="s">
        <v>21</v>
      </c>
      <c r="C2247">
        <v>1</v>
      </c>
      <c r="D2247" t="s">
        <v>28</v>
      </c>
      <c r="F2247">
        <v>404</v>
      </c>
    </row>
    <row r="2248" spans="1:8" x14ac:dyDescent="0.45">
      <c r="A2248" t="s">
        <v>39</v>
      </c>
      <c r="B2248" t="s">
        <v>21</v>
      </c>
      <c r="C2248">
        <v>1</v>
      </c>
      <c r="D2248" t="s">
        <v>29</v>
      </c>
      <c r="F2248">
        <v>294</v>
      </c>
    </row>
    <row r="2249" spans="1:8" x14ac:dyDescent="0.45">
      <c r="A2249" t="s">
        <v>39</v>
      </c>
      <c r="B2249" t="s">
        <v>20</v>
      </c>
      <c r="C2249">
        <v>1</v>
      </c>
      <c r="D2249" t="s">
        <v>19</v>
      </c>
      <c r="E2249">
        <v>1079345</v>
      </c>
      <c r="F2249">
        <v>2175</v>
      </c>
      <c r="G2249">
        <v>617</v>
      </c>
    </row>
    <row r="2250" spans="1:8" x14ac:dyDescent="0.45">
      <c r="A2250" t="s">
        <v>39</v>
      </c>
      <c r="B2250" t="s">
        <v>20</v>
      </c>
      <c r="C2250">
        <v>1</v>
      </c>
      <c r="D2250" t="s">
        <v>27</v>
      </c>
      <c r="F2250">
        <v>748</v>
      </c>
    </row>
    <row r="2251" spans="1:8" x14ac:dyDescent="0.45">
      <c r="A2251" t="s">
        <v>39</v>
      </c>
      <c r="B2251" t="s">
        <v>20</v>
      </c>
      <c r="C2251">
        <v>1</v>
      </c>
      <c r="D2251" t="s">
        <v>28</v>
      </c>
      <c r="F2251">
        <v>426</v>
      </c>
    </row>
    <row r="2252" spans="1:8" x14ac:dyDescent="0.45">
      <c r="A2252" t="s">
        <v>39</v>
      </c>
      <c r="B2252" t="s">
        <v>20</v>
      </c>
      <c r="C2252">
        <v>1</v>
      </c>
      <c r="D2252" t="s">
        <v>29</v>
      </c>
      <c r="F2252">
        <v>367</v>
      </c>
    </row>
    <row r="2253" spans="1:8" x14ac:dyDescent="0.45">
      <c r="A2253" t="s">
        <v>39</v>
      </c>
      <c r="B2253" t="s">
        <v>20</v>
      </c>
      <c r="C2253">
        <v>1</v>
      </c>
      <c r="D2253" t="s">
        <v>31</v>
      </c>
      <c r="H2253">
        <v>95</v>
      </c>
    </row>
    <row r="2254" spans="1:8" x14ac:dyDescent="0.45">
      <c r="A2254" t="s">
        <v>39</v>
      </c>
      <c r="B2254" t="s">
        <v>20</v>
      </c>
      <c r="C2254">
        <v>1</v>
      </c>
      <c r="D2254" t="s">
        <v>32</v>
      </c>
      <c r="H2254">
        <v>8</v>
      </c>
    </row>
    <row r="2255" spans="1:8" x14ac:dyDescent="0.45">
      <c r="A2255" t="s">
        <v>39</v>
      </c>
      <c r="B2255" t="s">
        <v>20</v>
      </c>
      <c r="C2255">
        <v>1</v>
      </c>
      <c r="D2255" t="s">
        <v>34</v>
      </c>
    </row>
    <row r="2256" spans="1:8" x14ac:dyDescent="0.45">
      <c r="A2256" t="s">
        <v>39</v>
      </c>
      <c r="B2256" t="s">
        <v>21</v>
      </c>
      <c r="C2256">
        <v>2</v>
      </c>
      <c r="D2256" t="s">
        <v>19</v>
      </c>
      <c r="E2256">
        <v>836571</v>
      </c>
      <c r="F2256">
        <v>1967</v>
      </c>
      <c r="G2256">
        <v>523</v>
      </c>
    </row>
    <row r="2257" spans="1:8" x14ac:dyDescent="0.45">
      <c r="A2257" t="s">
        <v>39</v>
      </c>
      <c r="B2257" t="s">
        <v>21</v>
      </c>
      <c r="C2257">
        <v>2</v>
      </c>
      <c r="D2257" t="s">
        <v>27</v>
      </c>
      <c r="F2257">
        <v>950</v>
      </c>
    </row>
    <row r="2258" spans="1:8" x14ac:dyDescent="0.45">
      <c r="A2258" t="s">
        <v>39</v>
      </c>
      <c r="B2258" t="s">
        <v>21</v>
      </c>
      <c r="C2258">
        <v>2</v>
      </c>
      <c r="D2258" t="s">
        <v>28</v>
      </c>
      <c r="F2258">
        <v>328</v>
      </c>
    </row>
    <row r="2259" spans="1:8" x14ac:dyDescent="0.45">
      <c r="A2259" t="s">
        <v>39</v>
      </c>
      <c r="B2259" t="s">
        <v>21</v>
      </c>
      <c r="C2259">
        <v>2</v>
      </c>
      <c r="D2259" t="s">
        <v>29</v>
      </c>
      <c r="F2259">
        <v>230</v>
      </c>
    </row>
    <row r="2260" spans="1:8" x14ac:dyDescent="0.45">
      <c r="A2260" t="s">
        <v>39</v>
      </c>
      <c r="B2260" t="s">
        <v>20</v>
      </c>
      <c r="C2260">
        <v>2</v>
      </c>
      <c r="D2260" t="s">
        <v>19</v>
      </c>
      <c r="E2260">
        <v>1059155</v>
      </c>
      <c r="F2260">
        <v>2045</v>
      </c>
      <c r="G2260">
        <v>550</v>
      </c>
    </row>
    <row r="2261" spans="1:8" x14ac:dyDescent="0.45">
      <c r="A2261" t="s">
        <v>39</v>
      </c>
      <c r="B2261" t="s">
        <v>20</v>
      </c>
      <c r="C2261">
        <v>2</v>
      </c>
      <c r="D2261" t="s">
        <v>27</v>
      </c>
      <c r="F2261">
        <v>750</v>
      </c>
    </row>
    <row r="2262" spans="1:8" x14ac:dyDescent="0.45">
      <c r="A2262" t="s">
        <v>39</v>
      </c>
      <c r="B2262" t="s">
        <v>20</v>
      </c>
      <c r="C2262">
        <v>2</v>
      </c>
      <c r="D2262" t="s">
        <v>28</v>
      </c>
      <c r="F2262">
        <v>339</v>
      </c>
    </row>
    <row r="2263" spans="1:8" x14ac:dyDescent="0.45">
      <c r="A2263" t="s">
        <v>39</v>
      </c>
      <c r="B2263" t="s">
        <v>20</v>
      </c>
      <c r="C2263">
        <v>2</v>
      </c>
      <c r="D2263" t="s">
        <v>29</v>
      </c>
      <c r="F2263">
        <v>284</v>
      </c>
    </row>
    <row r="2264" spans="1:8" x14ac:dyDescent="0.45">
      <c r="A2264" t="s">
        <v>39</v>
      </c>
      <c r="B2264" t="s">
        <v>20</v>
      </c>
      <c r="C2264">
        <v>2</v>
      </c>
      <c r="D2264" t="s">
        <v>31</v>
      </c>
      <c r="H2264">
        <v>102</v>
      </c>
    </row>
    <row r="2265" spans="1:8" x14ac:dyDescent="0.45">
      <c r="A2265" t="s">
        <v>39</v>
      </c>
      <c r="B2265" t="s">
        <v>20</v>
      </c>
      <c r="C2265">
        <v>2</v>
      </c>
      <c r="D2265" t="s">
        <v>32</v>
      </c>
      <c r="H2265">
        <v>5</v>
      </c>
    </row>
    <row r="2266" spans="1:8" x14ac:dyDescent="0.45">
      <c r="A2266" t="s">
        <v>39</v>
      </c>
      <c r="B2266" t="s">
        <v>20</v>
      </c>
      <c r="C2266">
        <v>2</v>
      </c>
      <c r="D2266" t="s">
        <v>34</v>
      </c>
      <c r="H2266">
        <v>9</v>
      </c>
    </row>
    <row r="2267" spans="1:8" x14ac:dyDescent="0.45">
      <c r="A2267" t="s">
        <v>39</v>
      </c>
      <c r="B2267" t="s">
        <v>21</v>
      </c>
      <c r="C2267">
        <v>3</v>
      </c>
      <c r="D2267" t="s">
        <v>19</v>
      </c>
      <c r="E2267">
        <v>2230220</v>
      </c>
      <c r="F2267">
        <v>3859</v>
      </c>
    </row>
    <row r="2268" spans="1:8" x14ac:dyDescent="0.45">
      <c r="A2268" t="s">
        <v>39</v>
      </c>
      <c r="B2268" t="s">
        <v>21</v>
      </c>
      <c r="C2268">
        <v>3</v>
      </c>
      <c r="D2268" t="s">
        <v>27</v>
      </c>
      <c r="F2268">
        <v>1061</v>
      </c>
    </row>
    <row r="2269" spans="1:8" x14ac:dyDescent="0.45">
      <c r="A2269" t="s">
        <v>39</v>
      </c>
      <c r="B2269" t="s">
        <v>21</v>
      </c>
      <c r="C2269">
        <v>3</v>
      </c>
      <c r="D2269" t="s">
        <v>28</v>
      </c>
      <c r="F2269">
        <v>608</v>
      </c>
    </row>
    <row r="2270" spans="1:8" x14ac:dyDescent="0.45">
      <c r="A2270" t="s">
        <v>39</v>
      </c>
      <c r="B2270" t="s">
        <v>21</v>
      </c>
      <c r="C2270">
        <v>3</v>
      </c>
      <c r="D2270" t="s">
        <v>29</v>
      </c>
      <c r="F2270">
        <v>534</v>
      </c>
    </row>
    <row r="2271" spans="1:8" x14ac:dyDescent="0.45">
      <c r="A2271" t="s">
        <v>39</v>
      </c>
      <c r="B2271" t="s">
        <v>20</v>
      </c>
      <c r="C2271">
        <v>3</v>
      </c>
      <c r="D2271" t="s">
        <v>19</v>
      </c>
      <c r="E2271">
        <v>2088429</v>
      </c>
      <c r="F2271">
        <v>3545</v>
      </c>
    </row>
    <row r="2272" spans="1:8" x14ac:dyDescent="0.45">
      <c r="A2272" t="s">
        <v>39</v>
      </c>
      <c r="B2272" t="s">
        <v>20</v>
      </c>
      <c r="C2272">
        <v>3</v>
      </c>
      <c r="D2272" t="s">
        <v>27</v>
      </c>
      <c r="F2272">
        <v>950</v>
      </c>
    </row>
    <row r="2273" spans="1:8" x14ac:dyDescent="0.45">
      <c r="A2273" t="s">
        <v>39</v>
      </c>
      <c r="B2273" t="s">
        <v>20</v>
      </c>
      <c r="C2273">
        <v>3</v>
      </c>
      <c r="D2273" t="s">
        <v>28</v>
      </c>
      <c r="F2273">
        <v>636</v>
      </c>
    </row>
    <row r="2274" spans="1:8" x14ac:dyDescent="0.45">
      <c r="A2274" t="s">
        <v>39</v>
      </c>
      <c r="B2274" t="s">
        <v>20</v>
      </c>
      <c r="C2274">
        <v>3</v>
      </c>
      <c r="D2274" t="s">
        <v>29</v>
      </c>
      <c r="F2274">
        <v>577</v>
      </c>
    </row>
    <row r="2275" spans="1:8" x14ac:dyDescent="0.45">
      <c r="A2275" t="s">
        <v>39</v>
      </c>
      <c r="B2275" t="s">
        <v>20</v>
      </c>
      <c r="C2275">
        <v>3</v>
      </c>
      <c r="D2275" t="s">
        <v>31</v>
      </c>
      <c r="H2275">
        <v>86</v>
      </c>
    </row>
    <row r="2276" spans="1:8" x14ac:dyDescent="0.45">
      <c r="A2276" t="s">
        <v>39</v>
      </c>
      <c r="B2276" t="s">
        <v>20</v>
      </c>
      <c r="C2276">
        <v>3</v>
      </c>
      <c r="D2276" t="s">
        <v>32</v>
      </c>
      <c r="H2276">
        <v>11</v>
      </c>
    </row>
    <row r="2277" spans="1:8" x14ac:dyDescent="0.45">
      <c r="A2277" t="s">
        <v>39</v>
      </c>
      <c r="B2277" t="s">
        <v>20</v>
      </c>
      <c r="C2277">
        <v>3</v>
      </c>
      <c r="D2277" t="s">
        <v>34</v>
      </c>
      <c r="H2277">
        <v>7</v>
      </c>
    </row>
    <row r="2278" spans="1:8" x14ac:dyDescent="0.45">
      <c r="A2278" t="s">
        <v>39</v>
      </c>
      <c r="B2278" t="s">
        <v>21</v>
      </c>
      <c r="C2278">
        <v>4</v>
      </c>
      <c r="D2278" t="s">
        <v>19</v>
      </c>
      <c r="E2278">
        <v>3124157</v>
      </c>
      <c r="F2278">
        <v>4802</v>
      </c>
      <c r="G2278">
        <v>1179</v>
      </c>
    </row>
    <row r="2279" spans="1:8" x14ac:dyDescent="0.45">
      <c r="A2279" t="s">
        <v>39</v>
      </c>
      <c r="B2279" t="s">
        <v>21</v>
      </c>
      <c r="C2279">
        <v>4</v>
      </c>
      <c r="D2279" t="s">
        <v>27</v>
      </c>
      <c r="F2279">
        <v>1095</v>
      </c>
    </row>
    <row r="2280" spans="1:8" x14ac:dyDescent="0.45">
      <c r="A2280" t="s">
        <v>39</v>
      </c>
      <c r="B2280" t="s">
        <v>21</v>
      </c>
      <c r="C2280">
        <v>4</v>
      </c>
      <c r="D2280" t="s">
        <v>28</v>
      </c>
      <c r="F2280">
        <v>726</v>
      </c>
    </row>
    <row r="2281" spans="1:8" x14ac:dyDescent="0.45">
      <c r="A2281" t="s">
        <v>39</v>
      </c>
      <c r="B2281" t="s">
        <v>21</v>
      </c>
      <c r="C2281">
        <v>4</v>
      </c>
      <c r="D2281" t="s">
        <v>29</v>
      </c>
      <c r="F2281">
        <v>616</v>
      </c>
    </row>
    <row r="2282" spans="1:8" x14ac:dyDescent="0.45">
      <c r="A2282" t="s">
        <v>39</v>
      </c>
      <c r="B2282" t="s">
        <v>20</v>
      </c>
      <c r="C2282">
        <v>4</v>
      </c>
      <c r="D2282" t="s">
        <v>19</v>
      </c>
      <c r="E2282">
        <v>3482865</v>
      </c>
      <c r="F2282">
        <v>5359</v>
      </c>
      <c r="G2282">
        <v>1225</v>
      </c>
      <c r="H2282">
        <v>88</v>
      </c>
    </row>
    <row r="2283" spans="1:8" x14ac:dyDescent="0.45">
      <c r="A2283" t="s">
        <v>39</v>
      </c>
      <c r="B2283" t="s">
        <v>20</v>
      </c>
      <c r="C2283">
        <v>4</v>
      </c>
      <c r="D2283" t="s">
        <v>27</v>
      </c>
      <c r="F2283">
        <v>959</v>
      </c>
    </row>
    <row r="2284" spans="1:8" x14ac:dyDescent="0.45">
      <c r="A2284" t="s">
        <v>39</v>
      </c>
      <c r="B2284" t="s">
        <v>20</v>
      </c>
      <c r="C2284">
        <v>4</v>
      </c>
      <c r="D2284" t="s">
        <v>28</v>
      </c>
      <c r="F2284">
        <v>842</v>
      </c>
    </row>
    <row r="2285" spans="1:8" x14ac:dyDescent="0.45">
      <c r="A2285" t="s">
        <v>39</v>
      </c>
      <c r="B2285" t="s">
        <v>20</v>
      </c>
      <c r="C2285">
        <v>4</v>
      </c>
      <c r="D2285" t="s">
        <v>29</v>
      </c>
      <c r="F2285">
        <v>746</v>
      </c>
    </row>
    <row r="2286" spans="1:8" x14ac:dyDescent="0.45">
      <c r="A2286" t="s">
        <v>39</v>
      </c>
      <c r="B2286" t="s">
        <v>20</v>
      </c>
      <c r="C2286">
        <v>4</v>
      </c>
      <c r="D2286" t="s">
        <v>31</v>
      </c>
      <c r="H2286">
        <v>83</v>
      </c>
    </row>
    <row r="2287" spans="1:8" x14ac:dyDescent="0.45">
      <c r="A2287" t="s">
        <v>39</v>
      </c>
      <c r="B2287" t="s">
        <v>20</v>
      </c>
      <c r="C2287">
        <v>4</v>
      </c>
      <c r="D2287" t="s">
        <v>32</v>
      </c>
      <c r="H2287">
        <v>11</v>
      </c>
    </row>
    <row r="2288" spans="1:8" x14ac:dyDescent="0.45">
      <c r="A2288" t="s">
        <v>39</v>
      </c>
      <c r="B2288" t="s">
        <v>20</v>
      </c>
      <c r="C2288">
        <v>4</v>
      </c>
      <c r="D2288" t="s">
        <v>34</v>
      </c>
      <c r="H2288">
        <v>8</v>
      </c>
    </row>
    <row r="2289" spans="1:8" x14ac:dyDescent="0.45">
      <c r="A2289" t="s">
        <v>39</v>
      </c>
      <c r="B2289" t="s">
        <v>21</v>
      </c>
      <c r="C2289">
        <v>5</v>
      </c>
      <c r="D2289" t="s">
        <v>19</v>
      </c>
      <c r="E2289">
        <v>2597320</v>
      </c>
      <c r="F2289">
        <v>3947</v>
      </c>
      <c r="H2289">
        <v>87</v>
      </c>
    </row>
    <row r="2290" spans="1:8" x14ac:dyDescent="0.45">
      <c r="A2290" t="s">
        <v>39</v>
      </c>
      <c r="B2290" t="s">
        <v>21</v>
      </c>
      <c r="C2290">
        <v>5</v>
      </c>
      <c r="D2290" t="s">
        <v>27</v>
      </c>
      <c r="F2290">
        <v>890</v>
      </c>
    </row>
    <row r="2291" spans="1:8" x14ac:dyDescent="0.45">
      <c r="A2291" t="s">
        <v>39</v>
      </c>
      <c r="B2291" t="s">
        <v>21</v>
      </c>
      <c r="C2291">
        <v>5</v>
      </c>
      <c r="D2291" t="s">
        <v>28</v>
      </c>
      <c r="F2291">
        <v>673</v>
      </c>
    </row>
    <row r="2292" spans="1:8" x14ac:dyDescent="0.45">
      <c r="A2292" t="s">
        <v>39</v>
      </c>
      <c r="B2292" t="s">
        <v>21</v>
      </c>
      <c r="C2292">
        <v>5</v>
      </c>
      <c r="D2292" t="s">
        <v>29</v>
      </c>
      <c r="F2292">
        <v>506</v>
      </c>
    </row>
    <row r="2293" spans="1:8" x14ac:dyDescent="0.45">
      <c r="A2293" t="s">
        <v>39</v>
      </c>
      <c r="B2293" t="s">
        <v>20</v>
      </c>
      <c r="C2293">
        <v>5</v>
      </c>
      <c r="D2293" t="s">
        <v>19</v>
      </c>
      <c r="E2293">
        <v>2520900</v>
      </c>
      <c r="F2293">
        <v>3607</v>
      </c>
    </row>
    <row r="2294" spans="1:8" x14ac:dyDescent="0.45">
      <c r="A2294" t="s">
        <v>39</v>
      </c>
      <c r="B2294" t="s">
        <v>20</v>
      </c>
      <c r="C2294">
        <v>5</v>
      </c>
      <c r="D2294" t="s">
        <v>27</v>
      </c>
      <c r="F2294">
        <v>750</v>
      </c>
    </row>
    <row r="2295" spans="1:8" x14ac:dyDescent="0.45">
      <c r="A2295" t="s">
        <v>39</v>
      </c>
      <c r="B2295" t="s">
        <v>20</v>
      </c>
      <c r="C2295">
        <v>5</v>
      </c>
      <c r="D2295" t="s">
        <v>28</v>
      </c>
      <c r="F2295">
        <v>578</v>
      </c>
    </row>
    <row r="2296" spans="1:8" x14ac:dyDescent="0.45">
      <c r="A2296" t="s">
        <v>39</v>
      </c>
      <c r="B2296" t="s">
        <v>20</v>
      </c>
      <c r="C2296">
        <v>5</v>
      </c>
      <c r="D2296" t="s">
        <v>29</v>
      </c>
      <c r="F2296">
        <v>459</v>
      </c>
    </row>
    <row r="2297" spans="1:8" x14ac:dyDescent="0.45">
      <c r="A2297" t="s">
        <v>39</v>
      </c>
      <c r="B2297" t="s">
        <v>20</v>
      </c>
      <c r="C2297">
        <v>5</v>
      </c>
      <c r="D2297" t="s">
        <v>31</v>
      </c>
      <c r="H2297">
        <v>132</v>
      </c>
    </row>
    <row r="2298" spans="1:8" x14ac:dyDescent="0.45">
      <c r="A2298" t="s">
        <v>39</v>
      </c>
      <c r="B2298" t="s">
        <v>20</v>
      </c>
      <c r="C2298">
        <v>5</v>
      </c>
      <c r="D2298" t="s">
        <v>32</v>
      </c>
      <c r="H2298">
        <v>12</v>
      </c>
    </row>
    <row r="2299" spans="1:8" x14ac:dyDescent="0.45">
      <c r="A2299" t="s">
        <v>39</v>
      </c>
      <c r="B2299" t="s">
        <v>20</v>
      </c>
      <c r="C2299">
        <v>5</v>
      </c>
      <c r="D2299" t="s">
        <v>34</v>
      </c>
      <c r="H2299">
        <v>8</v>
      </c>
    </row>
    <row r="2300" spans="1:8" x14ac:dyDescent="0.45">
      <c r="A2300" t="s">
        <v>39</v>
      </c>
      <c r="B2300" t="s">
        <v>21</v>
      </c>
      <c r="C2300">
        <v>6</v>
      </c>
      <c r="D2300" t="s">
        <v>19</v>
      </c>
      <c r="E2300">
        <v>2352648</v>
      </c>
      <c r="F2300">
        <v>3790</v>
      </c>
      <c r="H2300">
        <v>160</v>
      </c>
    </row>
    <row r="2301" spans="1:8" x14ac:dyDescent="0.45">
      <c r="A2301" t="s">
        <v>39</v>
      </c>
      <c r="B2301" t="s">
        <v>21</v>
      </c>
      <c r="C2301">
        <v>6</v>
      </c>
      <c r="D2301" t="s">
        <v>27</v>
      </c>
      <c r="F2301">
        <v>1038</v>
      </c>
    </row>
    <row r="2302" spans="1:8" x14ac:dyDescent="0.45">
      <c r="A2302" t="s">
        <v>39</v>
      </c>
      <c r="B2302" t="s">
        <v>21</v>
      </c>
      <c r="C2302">
        <v>6</v>
      </c>
      <c r="D2302" t="s">
        <v>28</v>
      </c>
      <c r="F2302">
        <v>649</v>
      </c>
    </row>
    <row r="2303" spans="1:8" x14ac:dyDescent="0.45">
      <c r="A2303" t="s">
        <v>39</v>
      </c>
      <c r="B2303" t="s">
        <v>21</v>
      </c>
      <c r="C2303">
        <v>6</v>
      </c>
      <c r="D2303" t="s">
        <v>29</v>
      </c>
      <c r="F2303">
        <v>483</v>
      </c>
    </row>
    <row r="2304" spans="1:8" x14ac:dyDescent="0.45">
      <c r="A2304" t="s">
        <v>39</v>
      </c>
      <c r="B2304" t="s">
        <v>20</v>
      </c>
      <c r="C2304">
        <v>6</v>
      </c>
      <c r="D2304" t="s">
        <v>19</v>
      </c>
      <c r="E2304">
        <v>2140473</v>
      </c>
      <c r="F2304">
        <v>3329</v>
      </c>
    </row>
    <row r="2305" spans="1:8" x14ac:dyDescent="0.45">
      <c r="A2305" t="s">
        <v>39</v>
      </c>
      <c r="B2305" t="s">
        <v>20</v>
      </c>
      <c r="C2305">
        <v>6</v>
      </c>
      <c r="D2305" t="s">
        <v>27</v>
      </c>
      <c r="F2305">
        <v>889</v>
      </c>
    </row>
    <row r="2306" spans="1:8" x14ac:dyDescent="0.45">
      <c r="A2306" t="s">
        <v>39</v>
      </c>
      <c r="B2306" t="s">
        <v>20</v>
      </c>
      <c r="C2306">
        <v>6</v>
      </c>
      <c r="D2306" t="s">
        <v>28</v>
      </c>
      <c r="F2306">
        <v>594</v>
      </c>
    </row>
    <row r="2307" spans="1:8" x14ac:dyDescent="0.45">
      <c r="A2307" t="s">
        <v>39</v>
      </c>
      <c r="B2307" t="s">
        <v>20</v>
      </c>
      <c r="C2307">
        <v>6</v>
      </c>
      <c r="D2307" t="s">
        <v>29</v>
      </c>
      <c r="F2307">
        <v>476</v>
      </c>
    </row>
    <row r="2308" spans="1:8" x14ac:dyDescent="0.45">
      <c r="A2308" t="s">
        <v>39</v>
      </c>
      <c r="B2308" t="s">
        <v>20</v>
      </c>
      <c r="C2308">
        <v>6</v>
      </c>
      <c r="D2308" t="s">
        <v>31</v>
      </c>
      <c r="H2308">
        <v>45</v>
      </c>
    </row>
    <row r="2309" spans="1:8" x14ac:dyDescent="0.45">
      <c r="A2309" t="s">
        <v>39</v>
      </c>
      <c r="B2309" t="s">
        <v>20</v>
      </c>
      <c r="C2309">
        <v>6</v>
      </c>
      <c r="D2309" t="s">
        <v>32</v>
      </c>
      <c r="H2309">
        <v>5</v>
      </c>
    </row>
    <row r="2310" spans="1:8" x14ac:dyDescent="0.45">
      <c r="A2310" t="s">
        <v>39</v>
      </c>
      <c r="B2310" t="s">
        <v>20</v>
      </c>
      <c r="C2310">
        <v>6</v>
      </c>
      <c r="D2310" t="s">
        <v>34</v>
      </c>
      <c r="H2310">
        <v>7</v>
      </c>
    </row>
    <row r="2311" spans="1:8" x14ac:dyDescent="0.45">
      <c r="A2311" t="s">
        <v>39</v>
      </c>
      <c r="B2311" t="s">
        <v>21</v>
      </c>
      <c r="C2311">
        <v>7</v>
      </c>
      <c r="D2311" t="s">
        <v>19</v>
      </c>
      <c r="E2311">
        <v>2509100</v>
      </c>
      <c r="F2311">
        <v>4603</v>
      </c>
    </row>
    <row r="2312" spans="1:8" x14ac:dyDescent="0.45">
      <c r="A2312" t="s">
        <v>39</v>
      </c>
      <c r="B2312" t="s">
        <v>21</v>
      </c>
      <c r="C2312">
        <v>7</v>
      </c>
      <c r="D2312" t="s">
        <v>27</v>
      </c>
      <c r="F2312">
        <v>1134</v>
      </c>
    </row>
    <row r="2313" spans="1:8" x14ac:dyDescent="0.45">
      <c r="A2313" t="s">
        <v>39</v>
      </c>
      <c r="B2313" t="s">
        <v>21</v>
      </c>
      <c r="C2313">
        <v>7</v>
      </c>
      <c r="D2313" t="s">
        <v>28</v>
      </c>
      <c r="F2313">
        <v>917</v>
      </c>
    </row>
    <row r="2314" spans="1:8" x14ac:dyDescent="0.45">
      <c r="A2314" t="s">
        <v>39</v>
      </c>
      <c r="B2314" t="s">
        <v>21</v>
      </c>
      <c r="C2314">
        <v>7</v>
      </c>
      <c r="D2314" t="s">
        <v>29</v>
      </c>
      <c r="F2314">
        <v>649</v>
      </c>
    </row>
    <row r="2315" spans="1:8" x14ac:dyDescent="0.45">
      <c r="A2315" t="s">
        <v>39</v>
      </c>
      <c r="B2315" t="s">
        <v>20</v>
      </c>
      <c r="C2315">
        <v>7</v>
      </c>
      <c r="D2315" t="s">
        <v>19</v>
      </c>
      <c r="E2315">
        <v>1589927</v>
      </c>
      <c r="F2315">
        <v>2792</v>
      </c>
      <c r="G2315">
        <v>767</v>
      </c>
    </row>
    <row r="2316" spans="1:8" x14ac:dyDescent="0.45">
      <c r="A2316" t="s">
        <v>39</v>
      </c>
      <c r="B2316" t="s">
        <v>20</v>
      </c>
      <c r="C2316">
        <v>7</v>
      </c>
      <c r="D2316" t="s">
        <v>27</v>
      </c>
      <c r="F2316">
        <v>767</v>
      </c>
    </row>
    <row r="2317" spans="1:8" x14ac:dyDescent="0.45">
      <c r="A2317" t="s">
        <v>39</v>
      </c>
      <c r="B2317" t="s">
        <v>20</v>
      </c>
      <c r="C2317">
        <v>7</v>
      </c>
      <c r="D2317" t="s">
        <v>28</v>
      </c>
      <c r="F2317">
        <v>607</v>
      </c>
    </row>
    <row r="2318" spans="1:8" x14ac:dyDescent="0.45">
      <c r="A2318" t="s">
        <v>39</v>
      </c>
      <c r="B2318" t="s">
        <v>20</v>
      </c>
      <c r="C2318">
        <v>7</v>
      </c>
      <c r="D2318" t="s">
        <v>29</v>
      </c>
      <c r="F2318">
        <v>355</v>
      </c>
    </row>
    <row r="2319" spans="1:8" x14ac:dyDescent="0.45">
      <c r="A2319" t="s">
        <v>39</v>
      </c>
      <c r="B2319" t="s">
        <v>20</v>
      </c>
      <c r="C2319">
        <v>7</v>
      </c>
      <c r="D2319" t="s">
        <v>31</v>
      </c>
      <c r="H2319">
        <v>176</v>
      </c>
    </row>
    <row r="2320" spans="1:8" x14ac:dyDescent="0.45">
      <c r="A2320" t="s">
        <v>39</v>
      </c>
      <c r="B2320" t="s">
        <v>20</v>
      </c>
      <c r="C2320">
        <v>7</v>
      </c>
      <c r="D2320" t="s">
        <v>32</v>
      </c>
      <c r="H2320">
        <v>5</v>
      </c>
    </row>
    <row r="2321" spans="1:8" x14ac:dyDescent="0.45">
      <c r="A2321" t="s">
        <v>39</v>
      </c>
      <c r="B2321" t="s">
        <v>20</v>
      </c>
      <c r="C2321">
        <v>7</v>
      </c>
      <c r="D2321" t="s">
        <v>34</v>
      </c>
      <c r="H2321">
        <v>8</v>
      </c>
    </row>
    <row r="2322" spans="1:8" x14ac:dyDescent="0.45">
      <c r="A2322" t="s">
        <v>39</v>
      </c>
      <c r="B2322" t="s">
        <v>21</v>
      </c>
      <c r="C2322">
        <v>8</v>
      </c>
      <c r="D2322" t="s">
        <v>19</v>
      </c>
      <c r="E2322">
        <v>1011666</v>
      </c>
      <c r="F2322">
        <v>2125</v>
      </c>
      <c r="G2322">
        <v>618</v>
      </c>
    </row>
    <row r="2323" spans="1:8" x14ac:dyDescent="0.45">
      <c r="A2323" t="s">
        <v>39</v>
      </c>
      <c r="B2323" t="s">
        <v>21</v>
      </c>
      <c r="C2323">
        <v>8</v>
      </c>
      <c r="D2323" t="s">
        <v>27</v>
      </c>
      <c r="F2323">
        <v>819</v>
      </c>
      <c r="G2323">
        <v>1272</v>
      </c>
    </row>
    <row r="2324" spans="1:8" x14ac:dyDescent="0.45">
      <c r="A2324" t="s">
        <v>39</v>
      </c>
      <c r="B2324" t="s">
        <v>21</v>
      </c>
      <c r="C2324">
        <v>8</v>
      </c>
      <c r="D2324" t="s">
        <v>28</v>
      </c>
      <c r="F2324">
        <v>543</v>
      </c>
      <c r="G2324">
        <v>797</v>
      </c>
    </row>
    <row r="2325" spans="1:8" x14ac:dyDescent="0.45">
      <c r="A2325" t="s">
        <v>39</v>
      </c>
      <c r="B2325" t="s">
        <v>21</v>
      </c>
      <c r="C2325">
        <v>8</v>
      </c>
      <c r="D2325" t="s">
        <v>29</v>
      </c>
      <c r="F2325">
        <v>223</v>
      </c>
      <c r="G2325">
        <v>1001</v>
      </c>
    </row>
    <row r="2326" spans="1:8" x14ac:dyDescent="0.45">
      <c r="A2326" t="s">
        <v>39</v>
      </c>
      <c r="B2326" t="s">
        <v>20</v>
      </c>
      <c r="C2326">
        <v>8</v>
      </c>
      <c r="D2326" t="s">
        <v>19</v>
      </c>
      <c r="E2326">
        <v>1098993</v>
      </c>
      <c r="F2326">
        <v>1979</v>
      </c>
      <c r="G2326">
        <v>585</v>
      </c>
    </row>
    <row r="2327" spans="1:8" x14ac:dyDescent="0.45">
      <c r="A2327" t="s">
        <v>39</v>
      </c>
      <c r="B2327" t="s">
        <v>20</v>
      </c>
      <c r="C2327">
        <v>8</v>
      </c>
      <c r="D2327" t="s">
        <v>27</v>
      </c>
      <c r="F2327">
        <v>619</v>
      </c>
      <c r="G2327">
        <v>1331</v>
      </c>
    </row>
    <row r="2328" spans="1:8" x14ac:dyDescent="0.45">
      <c r="A2328" t="s">
        <v>39</v>
      </c>
      <c r="B2328" t="s">
        <v>20</v>
      </c>
      <c r="C2328">
        <v>8</v>
      </c>
      <c r="D2328" t="s">
        <v>28</v>
      </c>
      <c r="F2328">
        <v>455</v>
      </c>
      <c r="G2328">
        <v>1370</v>
      </c>
    </row>
    <row r="2329" spans="1:8" x14ac:dyDescent="0.45">
      <c r="A2329" t="s">
        <v>39</v>
      </c>
      <c r="B2329" t="s">
        <v>20</v>
      </c>
      <c r="C2329">
        <v>8</v>
      </c>
      <c r="D2329" t="s">
        <v>29</v>
      </c>
      <c r="F2329">
        <v>227</v>
      </c>
      <c r="G2329">
        <v>999</v>
      </c>
    </row>
    <row r="2330" spans="1:8" x14ac:dyDescent="0.45">
      <c r="A2330" t="s">
        <v>39</v>
      </c>
      <c r="B2330" t="s">
        <v>20</v>
      </c>
      <c r="C2330">
        <v>8</v>
      </c>
      <c r="D2330" t="s">
        <v>31</v>
      </c>
      <c r="H2330">
        <v>25</v>
      </c>
    </row>
    <row r="2331" spans="1:8" x14ac:dyDescent="0.45">
      <c r="A2331" t="s">
        <v>39</v>
      </c>
      <c r="B2331" t="s">
        <v>20</v>
      </c>
      <c r="C2331">
        <v>8</v>
      </c>
      <c r="D2331" t="s">
        <v>32</v>
      </c>
      <c r="H2331">
        <v>11</v>
      </c>
    </row>
    <row r="2332" spans="1:8" x14ac:dyDescent="0.45">
      <c r="A2332" t="s">
        <v>39</v>
      </c>
      <c r="B2332" t="s">
        <v>20</v>
      </c>
      <c r="C2332">
        <v>8</v>
      </c>
      <c r="D2332" t="s">
        <v>34</v>
      </c>
      <c r="H2332">
        <v>6</v>
      </c>
    </row>
    <row r="2333" spans="1:8" x14ac:dyDescent="0.45">
      <c r="A2333" t="s">
        <v>39</v>
      </c>
      <c r="B2333" t="s">
        <v>21</v>
      </c>
      <c r="C2333">
        <v>9</v>
      </c>
      <c r="D2333" t="s">
        <v>19</v>
      </c>
      <c r="E2333">
        <v>1084473</v>
      </c>
      <c r="F2333">
        <v>2231</v>
      </c>
      <c r="G2333">
        <v>601</v>
      </c>
    </row>
    <row r="2334" spans="1:8" x14ac:dyDescent="0.45">
      <c r="A2334" t="s">
        <v>39</v>
      </c>
      <c r="B2334" t="s">
        <v>21</v>
      </c>
      <c r="C2334">
        <v>9</v>
      </c>
      <c r="D2334" t="s">
        <v>27</v>
      </c>
      <c r="F2334">
        <v>866</v>
      </c>
    </row>
    <row r="2335" spans="1:8" x14ac:dyDescent="0.45">
      <c r="A2335" t="s">
        <v>39</v>
      </c>
      <c r="B2335" t="s">
        <v>21</v>
      </c>
      <c r="C2335">
        <v>9</v>
      </c>
      <c r="D2335" t="s">
        <v>28</v>
      </c>
      <c r="F2335">
        <v>434</v>
      </c>
    </row>
    <row r="2336" spans="1:8" x14ac:dyDescent="0.45">
      <c r="A2336" t="s">
        <v>39</v>
      </c>
      <c r="B2336" t="s">
        <v>21</v>
      </c>
      <c r="C2336">
        <v>9</v>
      </c>
      <c r="D2336" t="s">
        <v>29</v>
      </c>
      <c r="F2336">
        <v>246</v>
      </c>
    </row>
    <row r="2337" spans="1:8" x14ac:dyDescent="0.45">
      <c r="A2337" t="s">
        <v>39</v>
      </c>
      <c r="B2337" t="s">
        <v>20</v>
      </c>
      <c r="C2337">
        <v>9</v>
      </c>
      <c r="D2337" t="s">
        <v>19</v>
      </c>
      <c r="E2337">
        <v>1121103</v>
      </c>
      <c r="F2337">
        <v>2273</v>
      </c>
      <c r="G2337">
        <v>624</v>
      </c>
    </row>
    <row r="2338" spans="1:8" x14ac:dyDescent="0.45">
      <c r="A2338" t="s">
        <v>39</v>
      </c>
      <c r="B2338" t="s">
        <v>20</v>
      </c>
      <c r="C2338">
        <v>9</v>
      </c>
      <c r="D2338" t="s">
        <v>27</v>
      </c>
      <c r="F2338">
        <v>846</v>
      </c>
    </row>
    <row r="2339" spans="1:8" x14ac:dyDescent="0.45">
      <c r="A2339" t="s">
        <v>39</v>
      </c>
      <c r="B2339" t="s">
        <v>20</v>
      </c>
      <c r="C2339">
        <v>9</v>
      </c>
      <c r="D2339" t="s">
        <v>28</v>
      </c>
      <c r="F2339">
        <v>517</v>
      </c>
    </row>
    <row r="2340" spans="1:8" x14ac:dyDescent="0.45">
      <c r="A2340" t="s">
        <v>39</v>
      </c>
      <c r="B2340" t="s">
        <v>20</v>
      </c>
      <c r="C2340">
        <v>9</v>
      </c>
      <c r="D2340" t="s">
        <v>29</v>
      </c>
      <c r="F2340">
        <v>270</v>
      </c>
    </row>
    <row r="2341" spans="1:8" x14ac:dyDescent="0.45">
      <c r="A2341" t="s">
        <v>39</v>
      </c>
      <c r="B2341" t="s">
        <v>20</v>
      </c>
      <c r="C2341">
        <v>9</v>
      </c>
      <c r="D2341" t="s">
        <v>31</v>
      </c>
      <c r="H2341">
        <v>134</v>
      </c>
    </row>
    <row r="2342" spans="1:8" x14ac:dyDescent="0.45">
      <c r="A2342" t="s">
        <v>39</v>
      </c>
      <c r="B2342" t="s">
        <v>20</v>
      </c>
      <c r="C2342">
        <v>9</v>
      </c>
      <c r="D2342" t="s">
        <v>32</v>
      </c>
      <c r="H2342">
        <v>11</v>
      </c>
    </row>
    <row r="2343" spans="1:8" x14ac:dyDescent="0.45">
      <c r="A2343" t="s">
        <v>39</v>
      </c>
      <c r="B2343" t="s">
        <v>20</v>
      </c>
      <c r="C2343">
        <v>9</v>
      </c>
      <c r="D2343" t="s">
        <v>34</v>
      </c>
      <c r="H2343">
        <v>3</v>
      </c>
    </row>
    <row r="2344" spans="1:8" x14ac:dyDescent="0.45">
      <c r="A2344" t="s">
        <v>39</v>
      </c>
      <c r="B2344" t="s">
        <v>21</v>
      </c>
      <c r="C2344">
        <v>10</v>
      </c>
      <c r="D2344" t="s">
        <v>19</v>
      </c>
      <c r="E2344">
        <v>1746860</v>
      </c>
      <c r="F2344">
        <v>3673</v>
      </c>
    </row>
    <row r="2345" spans="1:8" x14ac:dyDescent="0.45">
      <c r="A2345" t="s">
        <v>39</v>
      </c>
      <c r="B2345" t="s">
        <v>21</v>
      </c>
      <c r="C2345">
        <v>10</v>
      </c>
      <c r="D2345" t="s">
        <v>27</v>
      </c>
      <c r="F2345">
        <v>1324</v>
      </c>
    </row>
    <row r="2346" spans="1:8" x14ac:dyDescent="0.45">
      <c r="A2346" t="s">
        <v>39</v>
      </c>
      <c r="B2346" t="s">
        <v>21</v>
      </c>
      <c r="C2346">
        <v>10</v>
      </c>
      <c r="D2346" t="s">
        <v>28</v>
      </c>
      <c r="F2346">
        <v>759</v>
      </c>
    </row>
    <row r="2347" spans="1:8" x14ac:dyDescent="0.45">
      <c r="A2347" t="s">
        <v>39</v>
      </c>
      <c r="B2347" t="s">
        <v>21</v>
      </c>
      <c r="C2347">
        <v>10</v>
      </c>
      <c r="D2347" t="s">
        <v>29</v>
      </c>
      <c r="F2347">
        <v>431</v>
      </c>
    </row>
    <row r="2348" spans="1:8" x14ac:dyDescent="0.45">
      <c r="A2348" t="s">
        <v>39</v>
      </c>
      <c r="B2348" t="s">
        <v>20</v>
      </c>
      <c r="C2348">
        <v>10</v>
      </c>
      <c r="D2348" t="s">
        <v>19</v>
      </c>
      <c r="E2348">
        <v>1544784</v>
      </c>
      <c r="F2348">
        <v>3072</v>
      </c>
      <c r="G2348">
        <v>848</v>
      </c>
    </row>
    <row r="2349" spans="1:8" x14ac:dyDescent="0.45">
      <c r="A2349" t="s">
        <v>39</v>
      </c>
      <c r="B2349" t="s">
        <v>20</v>
      </c>
      <c r="C2349">
        <v>10</v>
      </c>
      <c r="D2349" t="s">
        <v>27</v>
      </c>
      <c r="F2349">
        <v>1060</v>
      </c>
    </row>
    <row r="2350" spans="1:8" x14ac:dyDescent="0.45">
      <c r="A2350" t="s">
        <v>39</v>
      </c>
      <c r="B2350" t="s">
        <v>20</v>
      </c>
      <c r="C2350">
        <v>10</v>
      </c>
      <c r="D2350" t="s">
        <v>28</v>
      </c>
      <c r="F2350">
        <v>688</v>
      </c>
    </row>
    <row r="2351" spans="1:8" x14ac:dyDescent="0.45">
      <c r="A2351" t="s">
        <v>39</v>
      </c>
      <c r="B2351" t="s">
        <v>20</v>
      </c>
      <c r="C2351">
        <v>10</v>
      </c>
      <c r="D2351" t="s">
        <v>29</v>
      </c>
      <c r="F2351">
        <v>418</v>
      </c>
    </row>
    <row r="2352" spans="1:8" x14ac:dyDescent="0.45">
      <c r="A2352" t="s">
        <v>39</v>
      </c>
      <c r="B2352" t="s">
        <v>20</v>
      </c>
      <c r="C2352">
        <v>10</v>
      </c>
      <c r="D2352" t="s">
        <v>31</v>
      </c>
      <c r="H2352">
        <v>127</v>
      </c>
    </row>
    <row r="2353" spans="1:8" x14ac:dyDescent="0.45">
      <c r="A2353" t="s">
        <v>39</v>
      </c>
      <c r="B2353" t="s">
        <v>20</v>
      </c>
      <c r="C2353">
        <v>10</v>
      </c>
      <c r="D2353" t="s">
        <v>32</v>
      </c>
      <c r="H2353">
        <v>14</v>
      </c>
    </row>
    <row r="2354" spans="1:8" x14ac:dyDescent="0.45">
      <c r="A2354" t="s">
        <v>39</v>
      </c>
      <c r="B2354" t="s">
        <v>20</v>
      </c>
      <c r="C2354">
        <v>10</v>
      </c>
      <c r="D2354" t="s">
        <v>34</v>
      </c>
      <c r="H2354">
        <v>10</v>
      </c>
    </row>
    <row r="2355" spans="1:8" x14ac:dyDescent="0.45">
      <c r="A2355" t="s">
        <v>39</v>
      </c>
      <c r="B2355" t="s">
        <v>21</v>
      </c>
      <c r="C2355">
        <v>11</v>
      </c>
      <c r="D2355" t="s">
        <v>19</v>
      </c>
      <c r="E2355">
        <v>1283244</v>
      </c>
      <c r="F2355">
        <v>2597</v>
      </c>
      <c r="G2355">
        <v>734</v>
      </c>
    </row>
    <row r="2356" spans="1:8" x14ac:dyDescent="0.45">
      <c r="A2356" t="s">
        <v>39</v>
      </c>
      <c r="B2356" t="s">
        <v>21</v>
      </c>
      <c r="C2356">
        <v>11</v>
      </c>
      <c r="D2356" t="s">
        <v>27</v>
      </c>
      <c r="F2356">
        <v>1034</v>
      </c>
    </row>
    <row r="2357" spans="1:8" x14ac:dyDescent="0.45">
      <c r="A2357" t="s">
        <v>39</v>
      </c>
      <c r="B2357" t="s">
        <v>21</v>
      </c>
      <c r="C2357">
        <v>11</v>
      </c>
      <c r="D2357" t="s">
        <v>28</v>
      </c>
      <c r="F2357">
        <v>527</v>
      </c>
    </row>
    <row r="2358" spans="1:8" x14ac:dyDescent="0.45">
      <c r="A2358" t="s">
        <v>39</v>
      </c>
      <c r="B2358" t="s">
        <v>21</v>
      </c>
      <c r="C2358">
        <v>11</v>
      </c>
      <c r="D2358" t="s">
        <v>29</v>
      </c>
      <c r="F2358">
        <v>339</v>
      </c>
    </row>
    <row r="2359" spans="1:8" x14ac:dyDescent="0.45">
      <c r="A2359" t="s">
        <v>39</v>
      </c>
      <c r="B2359" t="s">
        <v>20</v>
      </c>
      <c r="C2359">
        <v>11</v>
      </c>
      <c r="D2359" t="s">
        <v>19</v>
      </c>
      <c r="E2359">
        <v>1415062</v>
      </c>
      <c r="F2359">
        <v>2762</v>
      </c>
      <c r="G2359">
        <v>771</v>
      </c>
    </row>
    <row r="2360" spans="1:8" x14ac:dyDescent="0.45">
      <c r="A2360" t="s">
        <v>39</v>
      </c>
      <c r="B2360" t="s">
        <v>20</v>
      </c>
      <c r="C2360">
        <v>11</v>
      </c>
      <c r="D2360" t="s">
        <v>27</v>
      </c>
      <c r="F2360">
        <v>909</v>
      </c>
    </row>
    <row r="2361" spans="1:8" x14ac:dyDescent="0.45">
      <c r="A2361" t="s">
        <v>39</v>
      </c>
      <c r="B2361" t="s">
        <v>20</v>
      </c>
      <c r="C2361">
        <v>11</v>
      </c>
      <c r="D2361" t="s">
        <v>28</v>
      </c>
      <c r="F2361">
        <v>598</v>
      </c>
    </row>
    <row r="2362" spans="1:8" x14ac:dyDescent="0.45">
      <c r="A2362" t="s">
        <v>39</v>
      </c>
      <c r="B2362" t="s">
        <v>20</v>
      </c>
      <c r="C2362">
        <v>11</v>
      </c>
      <c r="D2362" t="s">
        <v>29</v>
      </c>
      <c r="F2362">
        <v>383</v>
      </c>
    </row>
    <row r="2363" spans="1:8" x14ac:dyDescent="0.45">
      <c r="A2363" t="s">
        <v>39</v>
      </c>
      <c r="B2363" t="s">
        <v>20</v>
      </c>
      <c r="C2363">
        <v>11</v>
      </c>
      <c r="D2363" t="s">
        <v>31</v>
      </c>
      <c r="H2363">
        <v>210</v>
      </c>
    </row>
    <row r="2364" spans="1:8" x14ac:dyDescent="0.45">
      <c r="A2364" t="s">
        <v>39</v>
      </c>
      <c r="B2364" t="s">
        <v>20</v>
      </c>
      <c r="C2364">
        <v>11</v>
      </c>
      <c r="D2364" t="s">
        <v>32</v>
      </c>
      <c r="H2364">
        <v>4</v>
      </c>
    </row>
    <row r="2365" spans="1:8" x14ac:dyDescent="0.45">
      <c r="A2365" t="s">
        <v>39</v>
      </c>
      <c r="B2365" t="s">
        <v>20</v>
      </c>
      <c r="C2365">
        <v>11</v>
      </c>
      <c r="D2365" t="s">
        <v>34</v>
      </c>
      <c r="H2365">
        <v>13</v>
      </c>
    </row>
    <row r="2366" spans="1:8" x14ac:dyDescent="0.45">
      <c r="A2366" t="s">
        <v>39</v>
      </c>
      <c r="B2366" t="s">
        <v>21</v>
      </c>
      <c r="C2366">
        <v>12</v>
      </c>
      <c r="D2366" t="s">
        <v>19</v>
      </c>
      <c r="E2366">
        <v>1546516</v>
      </c>
      <c r="F2366">
        <v>3240</v>
      </c>
      <c r="G2366">
        <v>817</v>
      </c>
    </row>
    <row r="2367" spans="1:8" x14ac:dyDescent="0.45">
      <c r="A2367" t="s">
        <v>39</v>
      </c>
      <c r="B2367" t="s">
        <v>21</v>
      </c>
      <c r="C2367">
        <v>12</v>
      </c>
      <c r="D2367" t="s">
        <v>27</v>
      </c>
      <c r="F2367">
        <v>1062</v>
      </c>
    </row>
    <row r="2368" spans="1:8" x14ac:dyDescent="0.45">
      <c r="A2368" t="s">
        <v>39</v>
      </c>
      <c r="B2368" t="s">
        <v>21</v>
      </c>
      <c r="C2368">
        <v>12</v>
      </c>
      <c r="D2368" t="s">
        <v>28</v>
      </c>
      <c r="F2368">
        <v>692</v>
      </c>
    </row>
    <row r="2369" spans="1:8" x14ac:dyDescent="0.45">
      <c r="A2369" t="s">
        <v>39</v>
      </c>
      <c r="B2369" t="s">
        <v>21</v>
      </c>
      <c r="C2369">
        <v>12</v>
      </c>
      <c r="D2369" t="s">
        <v>29</v>
      </c>
      <c r="F2369">
        <v>517</v>
      </c>
    </row>
    <row r="2370" spans="1:8" x14ac:dyDescent="0.45">
      <c r="A2370" t="s">
        <v>39</v>
      </c>
      <c r="B2370" t="s">
        <v>20</v>
      </c>
      <c r="C2370">
        <v>12</v>
      </c>
      <c r="D2370" t="s">
        <v>19</v>
      </c>
      <c r="E2370">
        <v>1579598</v>
      </c>
      <c r="F2370">
        <v>3159</v>
      </c>
      <c r="G2370">
        <v>816</v>
      </c>
    </row>
    <row r="2371" spans="1:8" x14ac:dyDescent="0.45">
      <c r="A2371" t="s">
        <v>39</v>
      </c>
      <c r="B2371" t="s">
        <v>20</v>
      </c>
      <c r="C2371">
        <v>12</v>
      </c>
      <c r="D2371" t="s">
        <v>27</v>
      </c>
      <c r="F2371">
        <v>990</v>
      </c>
    </row>
    <row r="2372" spans="1:8" x14ac:dyDescent="0.45">
      <c r="A2372" t="s">
        <v>39</v>
      </c>
      <c r="B2372" t="s">
        <v>20</v>
      </c>
      <c r="C2372">
        <v>12</v>
      </c>
      <c r="D2372" t="s">
        <v>28</v>
      </c>
      <c r="F2372">
        <v>680</v>
      </c>
    </row>
    <row r="2373" spans="1:8" x14ac:dyDescent="0.45">
      <c r="A2373" t="s">
        <v>39</v>
      </c>
      <c r="B2373" t="s">
        <v>20</v>
      </c>
      <c r="C2373">
        <v>12</v>
      </c>
      <c r="D2373" t="s">
        <v>29</v>
      </c>
      <c r="F2373">
        <v>462</v>
      </c>
    </row>
    <row r="2374" spans="1:8" x14ac:dyDescent="0.45">
      <c r="A2374" t="s">
        <v>39</v>
      </c>
      <c r="B2374" t="s">
        <v>20</v>
      </c>
      <c r="C2374">
        <v>12</v>
      </c>
      <c r="D2374" t="s">
        <v>31</v>
      </c>
      <c r="H2374">
        <v>84</v>
      </c>
    </row>
    <row r="2375" spans="1:8" x14ac:dyDescent="0.45">
      <c r="A2375" t="s">
        <v>39</v>
      </c>
      <c r="B2375" t="s">
        <v>20</v>
      </c>
      <c r="C2375">
        <v>12</v>
      </c>
      <c r="D2375" t="s">
        <v>32</v>
      </c>
      <c r="H2375">
        <v>4</v>
      </c>
    </row>
    <row r="2376" spans="1:8" x14ac:dyDescent="0.45">
      <c r="A2376" t="s">
        <v>39</v>
      </c>
      <c r="B2376" t="s">
        <v>20</v>
      </c>
      <c r="C2376">
        <v>12</v>
      </c>
      <c r="D2376" t="s">
        <v>34</v>
      </c>
      <c r="H2376">
        <v>12</v>
      </c>
    </row>
    <row r="2377" spans="1:8" x14ac:dyDescent="0.45">
      <c r="A2377" t="s">
        <v>36</v>
      </c>
      <c r="B2377" t="s">
        <v>21</v>
      </c>
      <c r="C2377">
        <v>1</v>
      </c>
      <c r="D2377" t="s">
        <v>19</v>
      </c>
      <c r="E2377">
        <v>1110699</v>
      </c>
      <c r="F2377">
        <v>2695</v>
      </c>
      <c r="G2377">
        <v>730</v>
      </c>
    </row>
    <row r="2378" spans="1:8" x14ac:dyDescent="0.45">
      <c r="A2378" t="s">
        <v>36</v>
      </c>
      <c r="B2378" t="s">
        <v>21</v>
      </c>
      <c r="C2378">
        <v>1</v>
      </c>
      <c r="D2378" t="s">
        <v>27</v>
      </c>
      <c r="F2378">
        <v>1273</v>
      </c>
    </row>
    <row r="2379" spans="1:8" x14ac:dyDescent="0.45">
      <c r="A2379" t="s">
        <v>36</v>
      </c>
      <c r="B2379" t="s">
        <v>21</v>
      </c>
      <c r="C2379">
        <v>1</v>
      </c>
      <c r="D2379" t="s">
        <v>28</v>
      </c>
      <c r="F2379">
        <v>441</v>
      </c>
    </row>
    <row r="2380" spans="1:8" x14ac:dyDescent="0.45">
      <c r="A2380" t="s">
        <v>36</v>
      </c>
      <c r="B2380" t="s">
        <v>21</v>
      </c>
      <c r="C2380">
        <v>1</v>
      </c>
      <c r="D2380" t="s">
        <v>29</v>
      </c>
      <c r="F2380">
        <v>307</v>
      </c>
    </row>
    <row r="2381" spans="1:8" x14ac:dyDescent="0.45">
      <c r="A2381" t="s">
        <v>36</v>
      </c>
      <c r="B2381" t="s">
        <v>20</v>
      </c>
      <c r="C2381">
        <v>1</v>
      </c>
      <c r="D2381" t="s">
        <v>19</v>
      </c>
      <c r="E2381">
        <v>1048452</v>
      </c>
      <c r="F2381">
        <v>2461</v>
      </c>
      <c r="G2381">
        <v>676</v>
      </c>
    </row>
    <row r="2382" spans="1:8" x14ac:dyDescent="0.45">
      <c r="A2382" t="s">
        <v>36</v>
      </c>
      <c r="B2382" t="s">
        <v>20</v>
      </c>
      <c r="C2382">
        <v>1</v>
      </c>
      <c r="D2382" t="s">
        <v>27</v>
      </c>
      <c r="F2382">
        <v>1107</v>
      </c>
    </row>
    <row r="2383" spans="1:8" x14ac:dyDescent="0.45">
      <c r="A2383" t="s">
        <v>36</v>
      </c>
      <c r="B2383" t="s">
        <v>20</v>
      </c>
      <c r="C2383">
        <v>1</v>
      </c>
      <c r="D2383" t="s">
        <v>28</v>
      </c>
      <c r="F2383">
        <v>458</v>
      </c>
    </row>
    <row r="2384" spans="1:8" x14ac:dyDescent="0.45">
      <c r="A2384" t="s">
        <v>36</v>
      </c>
      <c r="B2384" t="s">
        <v>20</v>
      </c>
      <c r="C2384">
        <v>1</v>
      </c>
      <c r="D2384" t="s">
        <v>29</v>
      </c>
      <c r="F2384">
        <v>298</v>
      </c>
    </row>
    <row r="2385" spans="1:8" x14ac:dyDescent="0.45">
      <c r="A2385" t="s">
        <v>36</v>
      </c>
      <c r="B2385" t="s">
        <v>20</v>
      </c>
      <c r="C2385">
        <v>1</v>
      </c>
      <c r="D2385" t="s">
        <v>31</v>
      </c>
      <c r="H2385">
        <v>95</v>
      </c>
    </row>
    <row r="2386" spans="1:8" x14ac:dyDescent="0.45">
      <c r="A2386" t="s">
        <v>36</v>
      </c>
      <c r="B2386" t="s">
        <v>20</v>
      </c>
      <c r="C2386">
        <v>1</v>
      </c>
      <c r="D2386" t="s">
        <v>32</v>
      </c>
      <c r="H2386">
        <v>8</v>
      </c>
    </row>
    <row r="2387" spans="1:8" x14ac:dyDescent="0.45">
      <c r="A2387" t="s">
        <v>36</v>
      </c>
      <c r="B2387" t="s">
        <v>20</v>
      </c>
      <c r="C2387">
        <v>1</v>
      </c>
      <c r="D2387" t="s">
        <v>34</v>
      </c>
    </row>
    <row r="2388" spans="1:8" x14ac:dyDescent="0.45">
      <c r="A2388" t="s">
        <v>36</v>
      </c>
      <c r="B2388" t="s">
        <v>21</v>
      </c>
      <c r="C2388">
        <v>2</v>
      </c>
      <c r="D2388" t="s">
        <v>19</v>
      </c>
      <c r="E2388">
        <v>1048670</v>
      </c>
      <c r="F2388">
        <v>2604</v>
      </c>
      <c r="G2388">
        <v>705</v>
      </c>
    </row>
    <row r="2389" spans="1:8" x14ac:dyDescent="0.45">
      <c r="A2389" t="s">
        <v>36</v>
      </c>
      <c r="B2389" t="s">
        <v>21</v>
      </c>
      <c r="C2389">
        <v>2</v>
      </c>
      <c r="D2389" t="s">
        <v>27</v>
      </c>
      <c r="F2389">
        <v>1363</v>
      </c>
    </row>
    <row r="2390" spans="1:8" x14ac:dyDescent="0.45">
      <c r="A2390" t="s">
        <v>36</v>
      </c>
      <c r="B2390" t="s">
        <v>21</v>
      </c>
      <c r="C2390">
        <v>2</v>
      </c>
      <c r="D2390" t="s">
        <v>28</v>
      </c>
      <c r="F2390">
        <v>382</v>
      </c>
    </row>
    <row r="2391" spans="1:8" x14ac:dyDescent="0.45">
      <c r="A2391" t="s">
        <v>36</v>
      </c>
      <c r="B2391" t="s">
        <v>21</v>
      </c>
      <c r="C2391">
        <v>2</v>
      </c>
      <c r="D2391" t="s">
        <v>29</v>
      </c>
      <c r="F2391">
        <v>268</v>
      </c>
    </row>
    <row r="2392" spans="1:8" x14ac:dyDescent="0.45">
      <c r="A2392" t="s">
        <v>36</v>
      </c>
      <c r="B2392" t="s">
        <v>20</v>
      </c>
      <c r="C2392">
        <v>2</v>
      </c>
      <c r="D2392" t="s">
        <v>19</v>
      </c>
      <c r="E2392">
        <v>966925</v>
      </c>
      <c r="F2392">
        <v>2253</v>
      </c>
      <c r="G2392">
        <v>657</v>
      </c>
    </row>
    <row r="2393" spans="1:8" x14ac:dyDescent="0.45">
      <c r="A2393" t="s">
        <v>36</v>
      </c>
      <c r="B2393" t="s">
        <v>20</v>
      </c>
      <c r="C2393">
        <v>2</v>
      </c>
      <c r="D2393" t="s">
        <v>27</v>
      </c>
      <c r="F2393">
        <v>1136</v>
      </c>
    </row>
    <row r="2394" spans="1:8" x14ac:dyDescent="0.45">
      <c r="A2394" t="s">
        <v>36</v>
      </c>
      <c r="B2394" t="s">
        <v>20</v>
      </c>
      <c r="C2394">
        <v>2</v>
      </c>
      <c r="D2394" t="s">
        <v>28</v>
      </c>
      <c r="F2394">
        <v>372</v>
      </c>
    </row>
    <row r="2395" spans="1:8" x14ac:dyDescent="0.45">
      <c r="A2395" t="s">
        <v>36</v>
      </c>
      <c r="B2395" t="s">
        <v>20</v>
      </c>
      <c r="C2395">
        <v>2</v>
      </c>
      <c r="D2395" t="s">
        <v>29</v>
      </c>
      <c r="F2395">
        <v>237</v>
      </c>
    </row>
    <row r="2396" spans="1:8" x14ac:dyDescent="0.45">
      <c r="A2396" t="s">
        <v>36</v>
      </c>
      <c r="B2396" t="s">
        <v>20</v>
      </c>
      <c r="C2396">
        <v>2</v>
      </c>
      <c r="D2396" t="s">
        <v>31</v>
      </c>
      <c r="H2396">
        <v>112</v>
      </c>
    </row>
    <row r="2397" spans="1:8" x14ac:dyDescent="0.45">
      <c r="A2397" t="s">
        <v>36</v>
      </c>
      <c r="B2397" t="s">
        <v>20</v>
      </c>
      <c r="C2397">
        <v>2</v>
      </c>
      <c r="D2397" t="s">
        <v>32</v>
      </c>
      <c r="H2397">
        <v>17</v>
      </c>
    </row>
    <row r="2398" spans="1:8" x14ac:dyDescent="0.45">
      <c r="A2398" t="s">
        <v>36</v>
      </c>
      <c r="B2398" t="s">
        <v>20</v>
      </c>
      <c r="C2398">
        <v>2</v>
      </c>
      <c r="D2398" t="s">
        <v>34</v>
      </c>
      <c r="H2398">
        <v>11</v>
      </c>
    </row>
    <row r="2399" spans="1:8" x14ac:dyDescent="0.45">
      <c r="A2399" t="s">
        <v>36</v>
      </c>
      <c r="B2399" t="s">
        <v>21</v>
      </c>
      <c r="C2399">
        <v>3</v>
      </c>
      <c r="D2399" t="s">
        <v>19</v>
      </c>
      <c r="E2399">
        <v>2504083</v>
      </c>
      <c r="F2399">
        <v>4727</v>
      </c>
    </row>
    <row r="2400" spans="1:8" x14ac:dyDescent="0.45">
      <c r="A2400" t="s">
        <v>36</v>
      </c>
      <c r="B2400" t="s">
        <v>21</v>
      </c>
      <c r="C2400">
        <v>3</v>
      </c>
      <c r="D2400" t="s">
        <v>27</v>
      </c>
      <c r="F2400">
        <v>1578</v>
      </c>
    </row>
    <row r="2401" spans="1:8" x14ac:dyDescent="0.45">
      <c r="A2401" t="s">
        <v>36</v>
      </c>
      <c r="B2401" t="s">
        <v>21</v>
      </c>
      <c r="C2401">
        <v>3</v>
      </c>
      <c r="D2401" t="s">
        <v>28</v>
      </c>
      <c r="F2401">
        <v>747</v>
      </c>
    </row>
    <row r="2402" spans="1:8" x14ac:dyDescent="0.45">
      <c r="A2402" t="s">
        <v>36</v>
      </c>
      <c r="B2402" t="s">
        <v>21</v>
      </c>
      <c r="C2402">
        <v>3</v>
      </c>
      <c r="D2402" t="s">
        <v>29</v>
      </c>
      <c r="F2402">
        <v>674</v>
      </c>
    </row>
    <row r="2403" spans="1:8" x14ac:dyDescent="0.45">
      <c r="A2403" t="s">
        <v>36</v>
      </c>
      <c r="B2403" t="s">
        <v>20</v>
      </c>
      <c r="C2403">
        <v>3</v>
      </c>
      <c r="D2403" t="s">
        <v>19</v>
      </c>
      <c r="E2403">
        <v>2039609</v>
      </c>
      <c r="F2403">
        <v>3862</v>
      </c>
    </row>
    <row r="2404" spans="1:8" x14ac:dyDescent="0.45">
      <c r="A2404" t="s">
        <v>36</v>
      </c>
      <c r="B2404" t="s">
        <v>20</v>
      </c>
      <c r="C2404">
        <v>3</v>
      </c>
      <c r="D2404" t="s">
        <v>27</v>
      </c>
      <c r="F2404">
        <v>1407</v>
      </c>
    </row>
    <row r="2405" spans="1:8" x14ac:dyDescent="0.45">
      <c r="A2405" t="s">
        <v>36</v>
      </c>
      <c r="B2405" t="s">
        <v>20</v>
      </c>
      <c r="C2405">
        <v>3</v>
      </c>
      <c r="D2405" t="s">
        <v>28</v>
      </c>
      <c r="F2405">
        <v>681</v>
      </c>
    </row>
    <row r="2406" spans="1:8" x14ac:dyDescent="0.45">
      <c r="A2406" t="s">
        <v>36</v>
      </c>
      <c r="B2406" t="s">
        <v>20</v>
      </c>
      <c r="C2406">
        <v>3</v>
      </c>
      <c r="D2406" t="s">
        <v>29</v>
      </c>
      <c r="F2406">
        <v>528</v>
      </c>
    </row>
    <row r="2407" spans="1:8" x14ac:dyDescent="0.45">
      <c r="A2407" t="s">
        <v>36</v>
      </c>
      <c r="B2407" t="s">
        <v>20</v>
      </c>
      <c r="C2407">
        <v>3</v>
      </c>
      <c r="D2407" t="s">
        <v>31</v>
      </c>
      <c r="H2407">
        <v>160</v>
      </c>
    </row>
    <row r="2408" spans="1:8" x14ac:dyDescent="0.45">
      <c r="A2408" t="s">
        <v>36</v>
      </c>
      <c r="B2408" t="s">
        <v>20</v>
      </c>
      <c r="C2408">
        <v>3</v>
      </c>
      <c r="D2408" t="s">
        <v>32</v>
      </c>
      <c r="H2408">
        <v>13</v>
      </c>
    </row>
    <row r="2409" spans="1:8" x14ac:dyDescent="0.45">
      <c r="A2409" t="s">
        <v>36</v>
      </c>
      <c r="B2409" t="s">
        <v>20</v>
      </c>
      <c r="C2409">
        <v>3</v>
      </c>
      <c r="D2409" t="s">
        <v>34</v>
      </c>
      <c r="H2409">
        <v>21</v>
      </c>
    </row>
    <row r="2410" spans="1:8" x14ac:dyDescent="0.45">
      <c r="A2410" t="s">
        <v>36</v>
      </c>
      <c r="B2410" t="s">
        <v>21</v>
      </c>
      <c r="C2410">
        <v>4</v>
      </c>
      <c r="D2410" t="s">
        <v>19</v>
      </c>
      <c r="E2410">
        <v>3483289</v>
      </c>
      <c r="F2410">
        <v>6179</v>
      </c>
      <c r="G2410">
        <v>1449</v>
      </c>
    </row>
    <row r="2411" spans="1:8" x14ac:dyDescent="0.45">
      <c r="A2411" t="s">
        <v>36</v>
      </c>
      <c r="B2411" t="s">
        <v>21</v>
      </c>
      <c r="C2411">
        <v>4</v>
      </c>
      <c r="D2411" t="s">
        <v>27</v>
      </c>
      <c r="F2411">
        <v>1875</v>
      </c>
    </row>
    <row r="2412" spans="1:8" x14ac:dyDescent="0.45">
      <c r="A2412" t="s">
        <v>36</v>
      </c>
      <c r="B2412" t="s">
        <v>21</v>
      </c>
      <c r="C2412">
        <v>4</v>
      </c>
      <c r="D2412" t="s">
        <v>28</v>
      </c>
      <c r="F2412">
        <v>933</v>
      </c>
    </row>
    <row r="2413" spans="1:8" x14ac:dyDescent="0.45">
      <c r="A2413" t="s">
        <v>36</v>
      </c>
      <c r="B2413" t="s">
        <v>21</v>
      </c>
      <c r="C2413">
        <v>4</v>
      </c>
      <c r="D2413" t="s">
        <v>29</v>
      </c>
      <c r="F2413">
        <v>759</v>
      </c>
    </row>
    <row r="2414" spans="1:8" x14ac:dyDescent="0.45">
      <c r="A2414" t="s">
        <v>36</v>
      </c>
      <c r="B2414" t="s">
        <v>20</v>
      </c>
      <c r="C2414">
        <v>4</v>
      </c>
      <c r="D2414" t="s">
        <v>19</v>
      </c>
      <c r="E2414">
        <v>3881655</v>
      </c>
      <c r="F2414">
        <v>6355</v>
      </c>
      <c r="G2414">
        <v>1379</v>
      </c>
    </row>
    <row r="2415" spans="1:8" x14ac:dyDescent="0.45">
      <c r="A2415" t="s">
        <v>36</v>
      </c>
      <c r="B2415" t="s">
        <v>20</v>
      </c>
      <c r="C2415">
        <v>4</v>
      </c>
      <c r="D2415" t="s">
        <v>27</v>
      </c>
      <c r="F2415">
        <v>1396</v>
      </c>
    </row>
    <row r="2416" spans="1:8" x14ac:dyDescent="0.45">
      <c r="A2416" t="s">
        <v>36</v>
      </c>
      <c r="B2416" t="s">
        <v>20</v>
      </c>
      <c r="C2416">
        <v>4</v>
      </c>
      <c r="D2416" t="s">
        <v>28</v>
      </c>
      <c r="F2416">
        <v>897</v>
      </c>
    </row>
    <row r="2417" spans="1:8" x14ac:dyDescent="0.45">
      <c r="A2417" t="s">
        <v>36</v>
      </c>
      <c r="B2417" t="s">
        <v>20</v>
      </c>
      <c r="C2417">
        <v>4</v>
      </c>
      <c r="D2417" t="s">
        <v>29</v>
      </c>
      <c r="F2417">
        <v>821</v>
      </c>
    </row>
    <row r="2418" spans="1:8" x14ac:dyDescent="0.45">
      <c r="A2418" t="s">
        <v>36</v>
      </c>
      <c r="B2418" t="s">
        <v>20</v>
      </c>
      <c r="C2418">
        <v>4</v>
      </c>
      <c r="D2418" t="s">
        <v>31</v>
      </c>
      <c r="H2418">
        <v>73</v>
      </c>
    </row>
    <row r="2419" spans="1:8" x14ac:dyDescent="0.45">
      <c r="A2419" t="s">
        <v>36</v>
      </c>
      <c r="B2419" t="s">
        <v>20</v>
      </c>
      <c r="C2419">
        <v>4</v>
      </c>
      <c r="D2419" t="s">
        <v>32</v>
      </c>
      <c r="H2419">
        <v>23</v>
      </c>
    </row>
    <row r="2420" spans="1:8" x14ac:dyDescent="0.45">
      <c r="A2420" t="s">
        <v>36</v>
      </c>
      <c r="B2420" t="s">
        <v>20</v>
      </c>
      <c r="C2420">
        <v>4</v>
      </c>
      <c r="D2420" t="s">
        <v>34</v>
      </c>
      <c r="H2420">
        <v>22</v>
      </c>
    </row>
    <row r="2421" spans="1:8" x14ac:dyDescent="0.45">
      <c r="A2421" t="s">
        <v>36</v>
      </c>
      <c r="B2421" t="s">
        <v>21</v>
      </c>
      <c r="C2421">
        <v>5</v>
      </c>
      <c r="D2421" t="s">
        <v>19</v>
      </c>
      <c r="E2421">
        <v>3073478</v>
      </c>
      <c r="F2421">
        <v>5180</v>
      </c>
      <c r="G2421">
        <v>1135</v>
      </c>
    </row>
    <row r="2422" spans="1:8" x14ac:dyDescent="0.45">
      <c r="A2422" t="s">
        <v>36</v>
      </c>
      <c r="B2422" t="s">
        <v>21</v>
      </c>
      <c r="C2422">
        <v>5</v>
      </c>
      <c r="D2422" t="s">
        <v>27</v>
      </c>
      <c r="F2422">
        <v>1513</v>
      </c>
    </row>
    <row r="2423" spans="1:8" x14ac:dyDescent="0.45">
      <c r="A2423" t="s">
        <v>36</v>
      </c>
      <c r="B2423" t="s">
        <v>21</v>
      </c>
      <c r="C2423">
        <v>5</v>
      </c>
      <c r="D2423" t="s">
        <v>28</v>
      </c>
      <c r="F2423">
        <v>821</v>
      </c>
    </row>
    <row r="2424" spans="1:8" x14ac:dyDescent="0.45">
      <c r="A2424" t="s">
        <v>36</v>
      </c>
      <c r="B2424" t="s">
        <v>21</v>
      </c>
      <c r="C2424">
        <v>5</v>
      </c>
      <c r="D2424" t="s">
        <v>29</v>
      </c>
      <c r="F2424">
        <v>697</v>
      </c>
    </row>
    <row r="2425" spans="1:8" x14ac:dyDescent="0.45">
      <c r="A2425" t="s">
        <v>36</v>
      </c>
      <c r="B2425" t="s">
        <v>20</v>
      </c>
      <c r="C2425">
        <v>5</v>
      </c>
      <c r="D2425" t="s">
        <v>19</v>
      </c>
      <c r="E2425">
        <v>2343499</v>
      </c>
      <c r="F2425">
        <v>3890</v>
      </c>
      <c r="H2425">
        <v>55</v>
      </c>
    </row>
    <row r="2426" spans="1:8" x14ac:dyDescent="0.45">
      <c r="A2426" t="s">
        <v>36</v>
      </c>
      <c r="B2426" t="s">
        <v>20</v>
      </c>
      <c r="C2426">
        <v>5</v>
      </c>
      <c r="D2426" t="s">
        <v>27</v>
      </c>
      <c r="F2426">
        <v>1164</v>
      </c>
    </row>
    <row r="2427" spans="1:8" x14ac:dyDescent="0.45">
      <c r="A2427" t="s">
        <v>36</v>
      </c>
      <c r="B2427" t="s">
        <v>20</v>
      </c>
      <c r="C2427">
        <v>5</v>
      </c>
      <c r="D2427" t="s">
        <v>28</v>
      </c>
      <c r="F2427">
        <v>667</v>
      </c>
    </row>
    <row r="2428" spans="1:8" x14ac:dyDescent="0.45">
      <c r="A2428" t="s">
        <v>36</v>
      </c>
      <c r="B2428" t="s">
        <v>20</v>
      </c>
      <c r="C2428">
        <v>5</v>
      </c>
      <c r="D2428" t="s">
        <v>29</v>
      </c>
      <c r="F2428">
        <v>530</v>
      </c>
    </row>
    <row r="2429" spans="1:8" x14ac:dyDescent="0.45">
      <c r="A2429" t="s">
        <v>36</v>
      </c>
      <c r="B2429" t="s">
        <v>20</v>
      </c>
      <c r="C2429">
        <v>5</v>
      </c>
      <c r="D2429" t="s">
        <v>31</v>
      </c>
      <c r="H2429">
        <v>114</v>
      </c>
    </row>
    <row r="2430" spans="1:8" x14ac:dyDescent="0.45">
      <c r="A2430" t="s">
        <v>36</v>
      </c>
      <c r="B2430" t="s">
        <v>20</v>
      </c>
      <c r="C2430">
        <v>5</v>
      </c>
      <c r="D2430" t="s">
        <v>32</v>
      </c>
      <c r="H2430">
        <v>8</v>
      </c>
    </row>
    <row r="2431" spans="1:8" x14ac:dyDescent="0.45">
      <c r="A2431" t="s">
        <v>36</v>
      </c>
      <c r="B2431" t="s">
        <v>20</v>
      </c>
      <c r="C2431">
        <v>5</v>
      </c>
      <c r="D2431" t="s">
        <v>34</v>
      </c>
      <c r="H2431">
        <v>21</v>
      </c>
    </row>
    <row r="2432" spans="1:8" x14ac:dyDescent="0.45">
      <c r="A2432" t="s">
        <v>36</v>
      </c>
      <c r="B2432" t="s">
        <v>21</v>
      </c>
      <c r="C2432">
        <v>6</v>
      </c>
      <c r="D2432" t="s">
        <v>19</v>
      </c>
      <c r="E2432">
        <v>2412715</v>
      </c>
      <c r="F2432">
        <v>4790</v>
      </c>
      <c r="G2432">
        <v>604</v>
      </c>
    </row>
    <row r="2433" spans="1:8" x14ac:dyDescent="0.45">
      <c r="A2433" t="s">
        <v>36</v>
      </c>
      <c r="B2433" t="s">
        <v>21</v>
      </c>
      <c r="C2433">
        <v>6</v>
      </c>
      <c r="D2433" t="s">
        <v>27</v>
      </c>
      <c r="F2433">
        <v>1682</v>
      </c>
    </row>
    <row r="2434" spans="1:8" x14ac:dyDescent="0.45">
      <c r="A2434" t="s">
        <v>36</v>
      </c>
      <c r="B2434" t="s">
        <v>21</v>
      </c>
      <c r="C2434">
        <v>6</v>
      </c>
      <c r="D2434" t="s">
        <v>28</v>
      </c>
      <c r="F2434">
        <v>893</v>
      </c>
    </row>
    <row r="2435" spans="1:8" x14ac:dyDescent="0.45">
      <c r="A2435" t="s">
        <v>36</v>
      </c>
      <c r="B2435" t="s">
        <v>21</v>
      </c>
      <c r="C2435">
        <v>6</v>
      </c>
      <c r="D2435" t="s">
        <v>29</v>
      </c>
      <c r="F2435">
        <v>644</v>
      </c>
    </row>
    <row r="2436" spans="1:8" x14ac:dyDescent="0.45">
      <c r="A2436" t="s">
        <v>36</v>
      </c>
      <c r="B2436" t="s">
        <v>20</v>
      </c>
      <c r="C2436">
        <v>6</v>
      </c>
      <c r="D2436" t="s">
        <v>19</v>
      </c>
      <c r="E2436">
        <v>2188895</v>
      </c>
      <c r="F2436">
        <v>3906</v>
      </c>
    </row>
    <row r="2437" spans="1:8" x14ac:dyDescent="0.45">
      <c r="A2437" t="s">
        <v>36</v>
      </c>
      <c r="B2437" t="s">
        <v>20</v>
      </c>
      <c r="C2437">
        <v>6</v>
      </c>
      <c r="D2437" t="s">
        <v>27</v>
      </c>
      <c r="F2437">
        <v>1453</v>
      </c>
    </row>
    <row r="2438" spans="1:8" x14ac:dyDescent="0.45">
      <c r="A2438" t="s">
        <v>36</v>
      </c>
      <c r="B2438" t="s">
        <v>20</v>
      </c>
      <c r="C2438">
        <v>6</v>
      </c>
      <c r="D2438" t="s">
        <v>28</v>
      </c>
      <c r="F2438">
        <v>669</v>
      </c>
    </row>
    <row r="2439" spans="1:8" x14ac:dyDescent="0.45">
      <c r="A2439" t="s">
        <v>36</v>
      </c>
      <c r="B2439" t="s">
        <v>20</v>
      </c>
      <c r="C2439">
        <v>6</v>
      </c>
      <c r="D2439" t="s">
        <v>29</v>
      </c>
      <c r="F2439">
        <v>512</v>
      </c>
    </row>
    <row r="2440" spans="1:8" x14ac:dyDescent="0.45">
      <c r="A2440" t="s">
        <v>36</v>
      </c>
      <c r="B2440" t="s">
        <v>20</v>
      </c>
      <c r="C2440">
        <v>6</v>
      </c>
      <c r="D2440" t="s">
        <v>31</v>
      </c>
      <c r="H2440">
        <v>38</v>
      </c>
    </row>
    <row r="2441" spans="1:8" x14ac:dyDescent="0.45">
      <c r="A2441" t="s">
        <v>36</v>
      </c>
      <c r="B2441" t="s">
        <v>20</v>
      </c>
      <c r="C2441">
        <v>6</v>
      </c>
      <c r="D2441" t="s">
        <v>32</v>
      </c>
      <c r="H2441">
        <v>14</v>
      </c>
    </row>
    <row r="2442" spans="1:8" x14ac:dyDescent="0.45">
      <c r="A2442" t="s">
        <v>36</v>
      </c>
      <c r="B2442" t="s">
        <v>20</v>
      </c>
      <c r="C2442">
        <v>6</v>
      </c>
      <c r="D2442" t="s">
        <v>34</v>
      </c>
      <c r="H2442">
        <v>17</v>
      </c>
    </row>
    <row r="2443" spans="1:8" x14ac:dyDescent="0.45">
      <c r="A2443" t="s">
        <v>36</v>
      </c>
      <c r="B2443" t="s">
        <v>21</v>
      </c>
      <c r="C2443">
        <v>7</v>
      </c>
      <c r="D2443" t="s">
        <v>19</v>
      </c>
      <c r="E2443">
        <v>1654677</v>
      </c>
      <c r="F2443">
        <v>3658</v>
      </c>
      <c r="G2443">
        <v>964</v>
      </c>
    </row>
    <row r="2444" spans="1:8" x14ac:dyDescent="0.45">
      <c r="A2444" t="s">
        <v>36</v>
      </c>
      <c r="B2444" t="s">
        <v>21</v>
      </c>
      <c r="C2444">
        <v>7</v>
      </c>
      <c r="D2444" t="s">
        <v>27</v>
      </c>
      <c r="F2444">
        <v>1685</v>
      </c>
    </row>
    <row r="2445" spans="1:8" x14ac:dyDescent="0.45">
      <c r="A2445" t="s">
        <v>36</v>
      </c>
      <c r="B2445" t="s">
        <v>21</v>
      </c>
      <c r="C2445">
        <v>7</v>
      </c>
      <c r="D2445" t="s">
        <v>28</v>
      </c>
      <c r="F2445">
        <v>690</v>
      </c>
    </row>
    <row r="2446" spans="1:8" x14ac:dyDescent="0.45">
      <c r="A2446" t="s">
        <v>36</v>
      </c>
      <c r="B2446" t="s">
        <v>21</v>
      </c>
      <c r="C2446">
        <v>7</v>
      </c>
      <c r="D2446" t="s">
        <v>29</v>
      </c>
      <c r="F2446">
        <v>422</v>
      </c>
    </row>
    <row r="2447" spans="1:8" x14ac:dyDescent="0.45">
      <c r="A2447" t="s">
        <v>36</v>
      </c>
      <c r="B2447" t="s">
        <v>20</v>
      </c>
      <c r="C2447">
        <v>7</v>
      </c>
      <c r="D2447" t="s">
        <v>19</v>
      </c>
      <c r="E2447">
        <v>1514522</v>
      </c>
      <c r="F2447">
        <v>3122</v>
      </c>
      <c r="G2447">
        <v>855</v>
      </c>
    </row>
    <row r="2448" spans="1:8" x14ac:dyDescent="0.45">
      <c r="A2448" t="s">
        <v>36</v>
      </c>
      <c r="B2448" t="s">
        <v>20</v>
      </c>
      <c r="C2448">
        <v>7</v>
      </c>
      <c r="D2448" t="s">
        <v>27</v>
      </c>
      <c r="F2448">
        <v>1244</v>
      </c>
    </row>
    <row r="2449" spans="1:8" x14ac:dyDescent="0.45">
      <c r="A2449" t="s">
        <v>36</v>
      </c>
      <c r="B2449" t="s">
        <v>20</v>
      </c>
      <c r="C2449">
        <v>7</v>
      </c>
      <c r="D2449" t="s">
        <v>28</v>
      </c>
      <c r="F2449">
        <v>613</v>
      </c>
    </row>
    <row r="2450" spans="1:8" x14ac:dyDescent="0.45">
      <c r="A2450" t="s">
        <v>36</v>
      </c>
      <c r="B2450" t="s">
        <v>20</v>
      </c>
      <c r="C2450">
        <v>7</v>
      </c>
      <c r="D2450" t="s">
        <v>29</v>
      </c>
      <c r="F2450">
        <v>332</v>
      </c>
    </row>
    <row r="2451" spans="1:8" x14ac:dyDescent="0.45">
      <c r="A2451" t="s">
        <v>36</v>
      </c>
      <c r="B2451" t="s">
        <v>20</v>
      </c>
      <c r="C2451">
        <v>7</v>
      </c>
      <c r="D2451" t="s">
        <v>31</v>
      </c>
      <c r="H2451">
        <v>229</v>
      </c>
    </row>
    <row r="2452" spans="1:8" x14ac:dyDescent="0.45">
      <c r="A2452" t="s">
        <v>36</v>
      </c>
      <c r="B2452" t="s">
        <v>20</v>
      </c>
      <c r="C2452">
        <v>7</v>
      </c>
      <c r="D2452" t="s">
        <v>32</v>
      </c>
      <c r="H2452">
        <v>8</v>
      </c>
    </row>
    <row r="2453" spans="1:8" x14ac:dyDescent="0.45">
      <c r="A2453" t="s">
        <v>36</v>
      </c>
      <c r="B2453" t="s">
        <v>20</v>
      </c>
      <c r="C2453">
        <v>7</v>
      </c>
      <c r="D2453" t="s">
        <v>34</v>
      </c>
      <c r="H2453">
        <v>21</v>
      </c>
    </row>
    <row r="2454" spans="1:8" x14ac:dyDescent="0.45">
      <c r="A2454" t="s">
        <v>36</v>
      </c>
      <c r="B2454" t="s">
        <v>21</v>
      </c>
      <c r="C2454">
        <v>8</v>
      </c>
      <c r="D2454" t="s">
        <v>19</v>
      </c>
      <c r="E2454">
        <v>1339195</v>
      </c>
      <c r="F2454">
        <v>2922</v>
      </c>
      <c r="G2454">
        <v>803</v>
      </c>
    </row>
    <row r="2455" spans="1:8" x14ac:dyDescent="0.45">
      <c r="A2455" t="s">
        <v>36</v>
      </c>
      <c r="B2455" t="s">
        <v>21</v>
      </c>
      <c r="C2455">
        <v>8</v>
      </c>
      <c r="D2455" t="s">
        <v>27</v>
      </c>
      <c r="F2455">
        <v>1231</v>
      </c>
      <c r="G2455">
        <v>780</v>
      </c>
    </row>
    <row r="2456" spans="1:8" x14ac:dyDescent="0.45">
      <c r="A2456" t="s">
        <v>36</v>
      </c>
      <c r="B2456" t="s">
        <v>21</v>
      </c>
      <c r="C2456">
        <v>8</v>
      </c>
      <c r="D2456" t="s">
        <v>28</v>
      </c>
      <c r="F2456">
        <v>625</v>
      </c>
      <c r="G2456">
        <v>1009</v>
      </c>
    </row>
    <row r="2457" spans="1:8" x14ac:dyDescent="0.45">
      <c r="A2457" t="s">
        <v>36</v>
      </c>
      <c r="B2457" t="s">
        <v>21</v>
      </c>
      <c r="C2457">
        <v>8</v>
      </c>
      <c r="D2457" t="s">
        <v>29</v>
      </c>
      <c r="F2457">
        <v>289</v>
      </c>
      <c r="G2457">
        <v>981</v>
      </c>
    </row>
    <row r="2458" spans="1:8" x14ac:dyDescent="0.45">
      <c r="A2458" t="s">
        <v>36</v>
      </c>
      <c r="B2458" t="s">
        <v>20</v>
      </c>
      <c r="C2458">
        <v>8</v>
      </c>
      <c r="D2458" t="s">
        <v>19</v>
      </c>
      <c r="E2458">
        <v>1347241</v>
      </c>
      <c r="F2458">
        <v>2775</v>
      </c>
      <c r="G2458">
        <v>775</v>
      </c>
    </row>
    <row r="2459" spans="1:8" x14ac:dyDescent="0.45">
      <c r="A2459" t="s">
        <v>36</v>
      </c>
      <c r="B2459" t="s">
        <v>20</v>
      </c>
      <c r="C2459">
        <v>8</v>
      </c>
      <c r="D2459" t="s">
        <v>27</v>
      </c>
      <c r="F2459">
        <v>1227</v>
      </c>
      <c r="G2459">
        <v>868</v>
      </c>
    </row>
    <row r="2460" spans="1:8" x14ac:dyDescent="0.45">
      <c r="A2460" t="s">
        <v>36</v>
      </c>
      <c r="B2460" t="s">
        <v>20</v>
      </c>
      <c r="C2460">
        <v>8</v>
      </c>
      <c r="D2460" t="s">
        <v>28</v>
      </c>
      <c r="F2460">
        <v>544</v>
      </c>
      <c r="G2460">
        <v>1179</v>
      </c>
    </row>
    <row r="2461" spans="1:8" x14ac:dyDescent="0.45">
      <c r="A2461" t="s">
        <v>36</v>
      </c>
      <c r="B2461" t="s">
        <v>20</v>
      </c>
      <c r="C2461">
        <v>8</v>
      </c>
      <c r="D2461" t="s">
        <v>29</v>
      </c>
      <c r="F2461">
        <v>243</v>
      </c>
      <c r="G2461">
        <v>911</v>
      </c>
    </row>
    <row r="2462" spans="1:8" x14ac:dyDescent="0.45">
      <c r="A2462" t="s">
        <v>36</v>
      </c>
      <c r="B2462" t="s">
        <v>20</v>
      </c>
      <c r="C2462">
        <v>8</v>
      </c>
      <c r="D2462" t="s">
        <v>31</v>
      </c>
      <c r="H2462">
        <v>31</v>
      </c>
    </row>
    <row r="2463" spans="1:8" x14ac:dyDescent="0.45">
      <c r="A2463" t="s">
        <v>36</v>
      </c>
      <c r="B2463" t="s">
        <v>20</v>
      </c>
      <c r="C2463">
        <v>8</v>
      </c>
      <c r="D2463" t="s">
        <v>32</v>
      </c>
      <c r="H2463">
        <v>11</v>
      </c>
    </row>
    <row r="2464" spans="1:8" x14ac:dyDescent="0.45">
      <c r="A2464" t="s">
        <v>36</v>
      </c>
      <c r="B2464" t="s">
        <v>20</v>
      </c>
      <c r="C2464">
        <v>8</v>
      </c>
      <c r="D2464" t="s">
        <v>34</v>
      </c>
      <c r="H2464">
        <v>13</v>
      </c>
    </row>
    <row r="2465" spans="1:8" x14ac:dyDescent="0.45">
      <c r="A2465" t="s">
        <v>36</v>
      </c>
      <c r="B2465" t="s">
        <v>21</v>
      </c>
      <c r="C2465">
        <v>9</v>
      </c>
      <c r="D2465" t="s">
        <v>19</v>
      </c>
      <c r="E2465">
        <v>1346863</v>
      </c>
      <c r="F2465">
        <v>2708</v>
      </c>
      <c r="G2465">
        <v>785</v>
      </c>
    </row>
    <row r="2466" spans="1:8" x14ac:dyDescent="0.45">
      <c r="A2466" t="s">
        <v>36</v>
      </c>
      <c r="B2466" t="s">
        <v>21</v>
      </c>
      <c r="C2466">
        <v>9</v>
      </c>
      <c r="D2466" t="s">
        <v>27</v>
      </c>
      <c r="F2466">
        <v>1348</v>
      </c>
    </row>
    <row r="2467" spans="1:8" x14ac:dyDescent="0.45">
      <c r="A2467" t="s">
        <v>36</v>
      </c>
      <c r="B2467" t="s">
        <v>21</v>
      </c>
      <c r="C2467">
        <v>9</v>
      </c>
      <c r="D2467" t="s">
        <v>28</v>
      </c>
      <c r="F2467">
        <v>536</v>
      </c>
    </row>
    <row r="2468" spans="1:8" x14ac:dyDescent="0.45">
      <c r="A2468" t="s">
        <v>36</v>
      </c>
      <c r="B2468" t="s">
        <v>21</v>
      </c>
      <c r="C2468">
        <v>9</v>
      </c>
      <c r="D2468" t="s">
        <v>29</v>
      </c>
      <c r="F2468">
        <v>230</v>
      </c>
    </row>
    <row r="2469" spans="1:8" x14ac:dyDescent="0.45">
      <c r="A2469" t="s">
        <v>36</v>
      </c>
      <c r="B2469" t="s">
        <v>20</v>
      </c>
      <c r="C2469">
        <v>9</v>
      </c>
      <c r="D2469" t="s">
        <v>19</v>
      </c>
      <c r="E2469">
        <v>1377125</v>
      </c>
      <c r="F2469">
        <v>2985</v>
      </c>
      <c r="G2469">
        <v>804</v>
      </c>
    </row>
    <row r="2470" spans="1:8" x14ac:dyDescent="0.45">
      <c r="A2470" t="s">
        <v>36</v>
      </c>
      <c r="B2470" t="s">
        <v>20</v>
      </c>
      <c r="C2470">
        <v>9</v>
      </c>
      <c r="D2470" t="s">
        <v>27</v>
      </c>
      <c r="F2470">
        <v>1396</v>
      </c>
    </row>
    <row r="2471" spans="1:8" x14ac:dyDescent="0.45">
      <c r="A2471" t="s">
        <v>36</v>
      </c>
      <c r="B2471" t="s">
        <v>20</v>
      </c>
      <c r="C2471">
        <v>9</v>
      </c>
      <c r="D2471" t="s">
        <v>28</v>
      </c>
      <c r="F2471">
        <v>604</v>
      </c>
    </row>
    <row r="2472" spans="1:8" x14ac:dyDescent="0.45">
      <c r="A2472" t="s">
        <v>36</v>
      </c>
      <c r="B2472" t="s">
        <v>20</v>
      </c>
      <c r="C2472">
        <v>9</v>
      </c>
      <c r="D2472" t="s">
        <v>29</v>
      </c>
      <c r="F2472">
        <v>303</v>
      </c>
    </row>
    <row r="2473" spans="1:8" x14ac:dyDescent="0.45">
      <c r="A2473" t="s">
        <v>36</v>
      </c>
      <c r="B2473" t="s">
        <v>20</v>
      </c>
      <c r="C2473">
        <v>9</v>
      </c>
      <c r="D2473" t="s">
        <v>31</v>
      </c>
      <c r="H2473">
        <v>92</v>
      </c>
    </row>
    <row r="2474" spans="1:8" x14ac:dyDescent="0.45">
      <c r="A2474" t="s">
        <v>36</v>
      </c>
      <c r="B2474" t="s">
        <v>20</v>
      </c>
      <c r="C2474">
        <v>9</v>
      </c>
      <c r="D2474" t="s">
        <v>32</v>
      </c>
      <c r="H2474">
        <v>7</v>
      </c>
    </row>
    <row r="2475" spans="1:8" x14ac:dyDescent="0.45">
      <c r="A2475" t="s">
        <v>36</v>
      </c>
      <c r="B2475" t="s">
        <v>20</v>
      </c>
      <c r="C2475">
        <v>9</v>
      </c>
      <c r="D2475" t="s">
        <v>34</v>
      </c>
      <c r="H2475">
        <v>3</v>
      </c>
    </row>
    <row r="2476" spans="1:8" x14ac:dyDescent="0.45">
      <c r="A2476" t="s">
        <v>36</v>
      </c>
      <c r="B2476" t="s">
        <v>21</v>
      </c>
      <c r="C2476">
        <v>10</v>
      </c>
      <c r="D2476" t="s">
        <v>19</v>
      </c>
      <c r="E2476">
        <v>1890120</v>
      </c>
      <c r="F2476">
        <v>4687</v>
      </c>
    </row>
    <row r="2477" spans="1:8" x14ac:dyDescent="0.45">
      <c r="A2477" t="s">
        <v>36</v>
      </c>
      <c r="B2477" t="s">
        <v>21</v>
      </c>
      <c r="C2477">
        <v>10</v>
      </c>
      <c r="D2477" t="s">
        <v>27</v>
      </c>
      <c r="F2477">
        <v>2036</v>
      </c>
    </row>
    <row r="2478" spans="1:8" x14ac:dyDescent="0.45">
      <c r="A2478" t="s">
        <v>36</v>
      </c>
      <c r="B2478" t="s">
        <v>21</v>
      </c>
      <c r="C2478">
        <v>10</v>
      </c>
      <c r="D2478" t="s">
        <v>28</v>
      </c>
      <c r="F2478">
        <v>945</v>
      </c>
    </row>
    <row r="2479" spans="1:8" x14ac:dyDescent="0.45">
      <c r="A2479" t="s">
        <v>36</v>
      </c>
      <c r="B2479" t="s">
        <v>21</v>
      </c>
      <c r="C2479">
        <v>10</v>
      </c>
      <c r="D2479" t="s">
        <v>29</v>
      </c>
      <c r="F2479">
        <v>529</v>
      </c>
    </row>
    <row r="2480" spans="1:8" x14ac:dyDescent="0.45">
      <c r="A2480" t="s">
        <v>36</v>
      </c>
      <c r="B2480" t="s">
        <v>20</v>
      </c>
      <c r="C2480">
        <v>10</v>
      </c>
      <c r="D2480" t="s">
        <v>19</v>
      </c>
      <c r="E2480">
        <v>1916787</v>
      </c>
      <c r="F2480">
        <v>3776</v>
      </c>
    </row>
    <row r="2481" spans="1:8" x14ac:dyDescent="0.45">
      <c r="A2481" t="s">
        <v>36</v>
      </c>
      <c r="B2481" t="s">
        <v>20</v>
      </c>
      <c r="C2481">
        <v>10</v>
      </c>
      <c r="D2481" t="s">
        <v>27</v>
      </c>
      <c r="F2481">
        <v>1641</v>
      </c>
    </row>
    <row r="2482" spans="1:8" x14ac:dyDescent="0.45">
      <c r="A2482" t="s">
        <v>36</v>
      </c>
      <c r="B2482" t="s">
        <v>20</v>
      </c>
      <c r="C2482">
        <v>10</v>
      </c>
      <c r="D2482" t="s">
        <v>28</v>
      </c>
      <c r="F2482">
        <v>712</v>
      </c>
    </row>
    <row r="2483" spans="1:8" x14ac:dyDescent="0.45">
      <c r="A2483" t="s">
        <v>36</v>
      </c>
      <c r="B2483" t="s">
        <v>20</v>
      </c>
      <c r="C2483">
        <v>10</v>
      </c>
      <c r="D2483" t="s">
        <v>29</v>
      </c>
      <c r="F2483">
        <v>433</v>
      </c>
    </row>
    <row r="2484" spans="1:8" x14ac:dyDescent="0.45">
      <c r="A2484" t="s">
        <v>36</v>
      </c>
      <c r="B2484" t="s">
        <v>20</v>
      </c>
      <c r="C2484">
        <v>10</v>
      </c>
      <c r="D2484" t="s">
        <v>31</v>
      </c>
      <c r="H2484">
        <v>174</v>
      </c>
    </row>
    <row r="2485" spans="1:8" x14ac:dyDescent="0.45">
      <c r="A2485" t="s">
        <v>36</v>
      </c>
      <c r="B2485" t="s">
        <v>20</v>
      </c>
      <c r="C2485">
        <v>10</v>
      </c>
      <c r="D2485" t="s">
        <v>32</v>
      </c>
      <c r="H2485">
        <v>13</v>
      </c>
    </row>
    <row r="2486" spans="1:8" x14ac:dyDescent="0.45">
      <c r="A2486" t="s">
        <v>36</v>
      </c>
      <c r="B2486" t="s">
        <v>20</v>
      </c>
      <c r="C2486">
        <v>10</v>
      </c>
      <c r="D2486" t="s">
        <v>34</v>
      </c>
      <c r="H2486">
        <v>13</v>
      </c>
    </row>
    <row r="2487" spans="1:8" x14ac:dyDescent="0.45">
      <c r="A2487" t="s">
        <v>36</v>
      </c>
      <c r="B2487" t="s">
        <v>21</v>
      </c>
      <c r="C2487">
        <v>11</v>
      </c>
      <c r="D2487" t="s">
        <v>19</v>
      </c>
      <c r="E2487">
        <v>1651101</v>
      </c>
      <c r="F2487">
        <v>3424</v>
      </c>
      <c r="G2487">
        <v>909</v>
      </c>
    </row>
    <row r="2488" spans="1:8" x14ac:dyDescent="0.45">
      <c r="A2488" t="s">
        <v>36</v>
      </c>
      <c r="B2488" t="s">
        <v>21</v>
      </c>
      <c r="C2488">
        <v>11</v>
      </c>
      <c r="D2488" t="s">
        <v>27</v>
      </c>
      <c r="F2488">
        <v>1559</v>
      </c>
    </row>
    <row r="2489" spans="1:8" x14ac:dyDescent="0.45">
      <c r="A2489" t="s">
        <v>36</v>
      </c>
      <c r="B2489" t="s">
        <v>21</v>
      </c>
      <c r="C2489">
        <v>11</v>
      </c>
      <c r="D2489" t="s">
        <v>28</v>
      </c>
      <c r="F2489">
        <v>644</v>
      </c>
    </row>
    <row r="2490" spans="1:8" x14ac:dyDescent="0.45">
      <c r="A2490" t="s">
        <v>36</v>
      </c>
      <c r="B2490" t="s">
        <v>21</v>
      </c>
      <c r="C2490">
        <v>11</v>
      </c>
      <c r="D2490" t="s">
        <v>29</v>
      </c>
      <c r="F2490">
        <v>453</v>
      </c>
    </row>
    <row r="2491" spans="1:8" x14ac:dyDescent="0.45">
      <c r="A2491" t="s">
        <v>36</v>
      </c>
      <c r="B2491" t="s">
        <v>20</v>
      </c>
      <c r="C2491">
        <v>11</v>
      </c>
      <c r="D2491" t="s">
        <v>19</v>
      </c>
      <c r="E2491">
        <v>1778551</v>
      </c>
      <c r="F2491">
        <v>3274</v>
      </c>
    </row>
    <row r="2492" spans="1:8" x14ac:dyDescent="0.45">
      <c r="A2492" t="s">
        <v>36</v>
      </c>
      <c r="B2492" t="s">
        <v>20</v>
      </c>
      <c r="C2492">
        <v>11</v>
      </c>
      <c r="D2492" t="s">
        <v>27</v>
      </c>
      <c r="F2492">
        <v>1391</v>
      </c>
    </row>
    <row r="2493" spans="1:8" x14ac:dyDescent="0.45">
      <c r="A2493" t="s">
        <v>36</v>
      </c>
      <c r="B2493" t="s">
        <v>20</v>
      </c>
      <c r="C2493">
        <v>11</v>
      </c>
      <c r="D2493" t="s">
        <v>28</v>
      </c>
      <c r="F2493">
        <v>703</v>
      </c>
    </row>
    <row r="2494" spans="1:8" x14ac:dyDescent="0.45">
      <c r="A2494" t="s">
        <v>36</v>
      </c>
      <c r="B2494" t="s">
        <v>20</v>
      </c>
      <c r="C2494">
        <v>11</v>
      </c>
      <c r="D2494" t="s">
        <v>29</v>
      </c>
      <c r="F2494">
        <v>443</v>
      </c>
    </row>
    <row r="2495" spans="1:8" x14ac:dyDescent="0.45">
      <c r="A2495" t="s">
        <v>36</v>
      </c>
      <c r="B2495" t="s">
        <v>20</v>
      </c>
      <c r="C2495">
        <v>11</v>
      </c>
      <c r="D2495" t="s">
        <v>31</v>
      </c>
      <c r="H2495">
        <v>297</v>
      </c>
    </row>
    <row r="2496" spans="1:8" x14ac:dyDescent="0.45">
      <c r="A2496" t="s">
        <v>36</v>
      </c>
      <c r="B2496" t="s">
        <v>20</v>
      </c>
      <c r="C2496">
        <v>11</v>
      </c>
      <c r="D2496" t="s">
        <v>32</v>
      </c>
      <c r="H2496">
        <v>5</v>
      </c>
    </row>
    <row r="2497" spans="1:8" x14ac:dyDescent="0.45">
      <c r="A2497" t="s">
        <v>36</v>
      </c>
      <c r="B2497" t="s">
        <v>20</v>
      </c>
      <c r="C2497">
        <v>11</v>
      </c>
      <c r="D2497" t="s">
        <v>34</v>
      </c>
      <c r="H2497">
        <v>15</v>
      </c>
    </row>
    <row r="2498" spans="1:8" x14ac:dyDescent="0.45">
      <c r="A2498" t="s">
        <v>36</v>
      </c>
      <c r="B2498" t="s">
        <v>21</v>
      </c>
      <c r="C2498">
        <v>12</v>
      </c>
      <c r="D2498" t="s">
        <v>19</v>
      </c>
      <c r="E2498">
        <v>2026432</v>
      </c>
      <c r="F2498">
        <v>4184</v>
      </c>
    </row>
    <row r="2499" spans="1:8" x14ac:dyDescent="0.45">
      <c r="A2499" t="s">
        <v>36</v>
      </c>
      <c r="B2499" t="s">
        <v>21</v>
      </c>
      <c r="C2499">
        <v>12</v>
      </c>
      <c r="D2499" t="s">
        <v>27</v>
      </c>
      <c r="F2499">
        <v>1658</v>
      </c>
    </row>
    <row r="2500" spans="1:8" x14ac:dyDescent="0.45">
      <c r="A2500" t="s">
        <v>36</v>
      </c>
      <c r="B2500" t="s">
        <v>21</v>
      </c>
      <c r="C2500">
        <v>12</v>
      </c>
      <c r="D2500" t="s">
        <v>28</v>
      </c>
      <c r="F2500">
        <v>880</v>
      </c>
    </row>
    <row r="2501" spans="1:8" x14ac:dyDescent="0.45">
      <c r="A2501" t="s">
        <v>36</v>
      </c>
      <c r="B2501" t="s">
        <v>21</v>
      </c>
      <c r="C2501">
        <v>12</v>
      </c>
      <c r="D2501" t="s">
        <v>29</v>
      </c>
      <c r="F2501">
        <v>595</v>
      </c>
    </row>
    <row r="2502" spans="1:8" x14ac:dyDescent="0.45">
      <c r="A2502" t="s">
        <v>36</v>
      </c>
      <c r="B2502" t="s">
        <v>20</v>
      </c>
      <c r="C2502">
        <v>12</v>
      </c>
      <c r="D2502" t="s">
        <v>19</v>
      </c>
      <c r="E2502">
        <v>1675687</v>
      </c>
      <c r="F2502">
        <v>3741</v>
      </c>
      <c r="G2502">
        <v>934</v>
      </c>
    </row>
    <row r="2503" spans="1:8" x14ac:dyDescent="0.45">
      <c r="A2503" t="s">
        <v>36</v>
      </c>
      <c r="B2503" t="s">
        <v>20</v>
      </c>
      <c r="C2503">
        <v>12</v>
      </c>
      <c r="D2503" t="s">
        <v>27</v>
      </c>
      <c r="F2503">
        <v>1467</v>
      </c>
    </row>
    <row r="2504" spans="1:8" x14ac:dyDescent="0.45">
      <c r="A2504" t="s">
        <v>36</v>
      </c>
      <c r="B2504" t="s">
        <v>20</v>
      </c>
      <c r="C2504">
        <v>12</v>
      </c>
      <c r="D2504" t="s">
        <v>28</v>
      </c>
      <c r="F2504">
        <v>752</v>
      </c>
    </row>
    <row r="2505" spans="1:8" x14ac:dyDescent="0.45">
      <c r="A2505" t="s">
        <v>36</v>
      </c>
      <c r="B2505" t="s">
        <v>20</v>
      </c>
      <c r="C2505">
        <v>12</v>
      </c>
      <c r="D2505" t="s">
        <v>29</v>
      </c>
      <c r="F2505">
        <v>550</v>
      </c>
    </row>
    <row r="2506" spans="1:8" x14ac:dyDescent="0.45">
      <c r="A2506" t="s">
        <v>36</v>
      </c>
      <c r="B2506" t="s">
        <v>20</v>
      </c>
      <c r="C2506">
        <v>12</v>
      </c>
      <c r="D2506" t="s">
        <v>31</v>
      </c>
      <c r="H2506">
        <v>99</v>
      </c>
    </row>
    <row r="2507" spans="1:8" x14ac:dyDescent="0.45">
      <c r="A2507" t="s">
        <v>36</v>
      </c>
      <c r="B2507" t="s">
        <v>20</v>
      </c>
      <c r="C2507">
        <v>12</v>
      </c>
      <c r="D2507" t="s">
        <v>32</v>
      </c>
      <c r="H2507">
        <v>4</v>
      </c>
    </row>
    <row r="2508" spans="1:8" x14ac:dyDescent="0.45">
      <c r="A2508" t="s">
        <v>36</v>
      </c>
      <c r="B2508" t="s">
        <v>20</v>
      </c>
      <c r="C2508">
        <v>12</v>
      </c>
      <c r="D2508" t="s">
        <v>34</v>
      </c>
      <c r="H2508">
        <v>19</v>
      </c>
    </row>
    <row r="2509" spans="1:8" x14ac:dyDescent="0.45">
      <c r="A2509" t="s">
        <v>48</v>
      </c>
      <c r="B2509" t="s">
        <v>21</v>
      </c>
      <c r="C2509">
        <v>1</v>
      </c>
      <c r="D2509" t="s">
        <v>19</v>
      </c>
      <c r="E2509">
        <v>877124</v>
      </c>
      <c r="F2509">
        <v>2062</v>
      </c>
      <c r="G2509">
        <v>570</v>
      </c>
    </row>
    <row r="2510" spans="1:8" x14ac:dyDescent="0.45">
      <c r="A2510" t="s">
        <v>48</v>
      </c>
      <c r="B2510" t="s">
        <v>21</v>
      </c>
      <c r="C2510">
        <v>1</v>
      </c>
      <c r="D2510" t="s">
        <v>27</v>
      </c>
      <c r="F2510">
        <v>986</v>
      </c>
    </row>
    <row r="2511" spans="1:8" x14ac:dyDescent="0.45">
      <c r="A2511" t="s">
        <v>48</v>
      </c>
      <c r="B2511" t="s">
        <v>21</v>
      </c>
      <c r="C2511">
        <v>1</v>
      </c>
      <c r="D2511" t="s">
        <v>28</v>
      </c>
      <c r="F2511">
        <v>353</v>
      </c>
    </row>
    <row r="2512" spans="1:8" x14ac:dyDescent="0.45">
      <c r="A2512" t="s">
        <v>48</v>
      </c>
      <c r="B2512" t="s">
        <v>21</v>
      </c>
      <c r="C2512">
        <v>1</v>
      </c>
      <c r="D2512" t="s">
        <v>29</v>
      </c>
      <c r="F2512">
        <v>262</v>
      </c>
    </row>
    <row r="2513" spans="1:8" x14ac:dyDescent="0.45">
      <c r="A2513" t="s">
        <v>48</v>
      </c>
      <c r="B2513" t="s">
        <v>20</v>
      </c>
      <c r="C2513">
        <v>1</v>
      </c>
      <c r="D2513" t="s">
        <v>19</v>
      </c>
      <c r="E2513">
        <v>792663</v>
      </c>
      <c r="F2513">
        <v>1764</v>
      </c>
      <c r="G2513">
        <v>495</v>
      </c>
    </row>
    <row r="2514" spans="1:8" x14ac:dyDescent="0.45">
      <c r="A2514" t="s">
        <v>48</v>
      </c>
      <c r="B2514" t="s">
        <v>20</v>
      </c>
      <c r="C2514">
        <v>1</v>
      </c>
      <c r="D2514" t="s">
        <v>27</v>
      </c>
      <c r="F2514">
        <v>724</v>
      </c>
    </row>
    <row r="2515" spans="1:8" x14ac:dyDescent="0.45">
      <c r="A2515" t="s">
        <v>48</v>
      </c>
      <c r="B2515" t="s">
        <v>20</v>
      </c>
      <c r="C2515">
        <v>1</v>
      </c>
      <c r="D2515" t="s">
        <v>28</v>
      </c>
      <c r="F2515">
        <v>310</v>
      </c>
    </row>
    <row r="2516" spans="1:8" x14ac:dyDescent="0.45">
      <c r="A2516" t="s">
        <v>48</v>
      </c>
      <c r="B2516" t="s">
        <v>20</v>
      </c>
      <c r="C2516">
        <v>1</v>
      </c>
      <c r="D2516" t="s">
        <v>29</v>
      </c>
      <c r="F2516">
        <v>232</v>
      </c>
    </row>
    <row r="2517" spans="1:8" x14ac:dyDescent="0.45">
      <c r="A2517" t="s">
        <v>48</v>
      </c>
      <c r="B2517" t="s">
        <v>20</v>
      </c>
      <c r="C2517">
        <v>1</v>
      </c>
      <c r="D2517" t="s">
        <v>31</v>
      </c>
      <c r="H2517">
        <v>65</v>
      </c>
    </row>
    <row r="2518" spans="1:8" x14ac:dyDescent="0.45">
      <c r="A2518" t="s">
        <v>48</v>
      </c>
      <c r="B2518" t="s">
        <v>20</v>
      </c>
      <c r="C2518">
        <v>1</v>
      </c>
      <c r="D2518" t="s">
        <v>32</v>
      </c>
      <c r="H2518">
        <v>4</v>
      </c>
    </row>
    <row r="2519" spans="1:8" x14ac:dyDescent="0.45">
      <c r="A2519" t="s">
        <v>48</v>
      </c>
      <c r="B2519" t="s">
        <v>20</v>
      </c>
      <c r="C2519">
        <v>1</v>
      </c>
      <c r="D2519" t="s">
        <v>34</v>
      </c>
    </row>
    <row r="2520" spans="1:8" x14ac:dyDescent="0.45">
      <c r="A2520" t="s">
        <v>48</v>
      </c>
      <c r="B2520" t="s">
        <v>21</v>
      </c>
      <c r="C2520">
        <v>2</v>
      </c>
      <c r="D2520" t="s">
        <v>19</v>
      </c>
      <c r="E2520">
        <v>750289</v>
      </c>
      <c r="F2520">
        <v>1882</v>
      </c>
      <c r="G2520">
        <v>540</v>
      </c>
    </row>
    <row r="2521" spans="1:8" x14ac:dyDescent="0.45">
      <c r="A2521" t="s">
        <v>48</v>
      </c>
      <c r="B2521" t="s">
        <v>21</v>
      </c>
      <c r="C2521">
        <v>2</v>
      </c>
      <c r="D2521" t="s">
        <v>27</v>
      </c>
      <c r="F2521">
        <v>1014</v>
      </c>
    </row>
    <row r="2522" spans="1:8" x14ac:dyDescent="0.45">
      <c r="A2522" t="s">
        <v>48</v>
      </c>
      <c r="B2522" t="s">
        <v>21</v>
      </c>
      <c r="C2522">
        <v>2</v>
      </c>
      <c r="D2522" t="s">
        <v>28</v>
      </c>
      <c r="F2522">
        <v>290</v>
      </c>
    </row>
    <row r="2523" spans="1:8" x14ac:dyDescent="0.45">
      <c r="A2523" t="s">
        <v>48</v>
      </c>
      <c r="B2523" t="s">
        <v>21</v>
      </c>
      <c r="C2523">
        <v>2</v>
      </c>
      <c r="D2523" t="s">
        <v>29</v>
      </c>
      <c r="F2523">
        <v>184</v>
      </c>
    </row>
    <row r="2524" spans="1:8" x14ac:dyDescent="0.45">
      <c r="A2524" t="s">
        <v>48</v>
      </c>
      <c r="B2524" t="s">
        <v>20</v>
      </c>
      <c r="C2524">
        <v>2</v>
      </c>
      <c r="D2524" t="s">
        <v>19</v>
      </c>
      <c r="E2524">
        <v>764206</v>
      </c>
      <c r="F2524">
        <v>1644</v>
      </c>
      <c r="G2524">
        <v>472</v>
      </c>
    </row>
    <row r="2525" spans="1:8" x14ac:dyDescent="0.45">
      <c r="A2525" t="s">
        <v>48</v>
      </c>
      <c r="B2525" t="s">
        <v>20</v>
      </c>
      <c r="C2525">
        <v>2</v>
      </c>
      <c r="D2525" t="s">
        <v>27</v>
      </c>
      <c r="F2525">
        <v>794</v>
      </c>
    </row>
    <row r="2526" spans="1:8" x14ac:dyDescent="0.45">
      <c r="A2526" t="s">
        <v>48</v>
      </c>
      <c r="B2526" t="s">
        <v>20</v>
      </c>
      <c r="C2526">
        <v>2</v>
      </c>
      <c r="D2526" t="s">
        <v>28</v>
      </c>
      <c r="F2526">
        <v>257</v>
      </c>
    </row>
    <row r="2527" spans="1:8" x14ac:dyDescent="0.45">
      <c r="A2527" t="s">
        <v>48</v>
      </c>
      <c r="B2527" t="s">
        <v>20</v>
      </c>
      <c r="C2527">
        <v>2</v>
      </c>
      <c r="D2527" t="s">
        <v>29</v>
      </c>
      <c r="F2527">
        <v>192</v>
      </c>
    </row>
    <row r="2528" spans="1:8" x14ac:dyDescent="0.45">
      <c r="A2528" t="s">
        <v>48</v>
      </c>
      <c r="B2528" t="s">
        <v>20</v>
      </c>
      <c r="C2528">
        <v>2</v>
      </c>
      <c r="D2528" t="s">
        <v>31</v>
      </c>
      <c r="H2528">
        <v>68</v>
      </c>
    </row>
    <row r="2529" spans="1:8" x14ac:dyDescent="0.45">
      <c r="A2529" t="s">
        <v>48</v>
      </c>
      <c r="B2529" t="s">
        <v>20</v>
      </c>
      <c r="C2529">
        <v>2</v>
      </c>
      <c r="D2529" t="s">
        <v>32</v>
      </c>
      <c r="H2529">
        <v>5</v>
      </c>
    </row>
    <row r="2530" spans="1:8" x14ac:dyDescent="0.45">
      <c r="A2530" t="s">
        <v>48</v>
      </c>
      <c r="B2530" t="s">
        <v>20</v>
      </c>
      <c r="C2530">
        <v>2</v>
      </c>
      <c r="D2530" t="s">
        <v>34</v>
      </c>
      <c r="H2530">
        <v>5</v>
      </c>
    </row>
    <row r="2531" spans="1:8" x14ac:dyDescent="0.45">
      <c r="A2531" t="s">
        <v>48</v>
      </c>
      <c r="B2531" t="s">
        <v>21</v>
      </c>
      <c r="C2531">
        <v>3</v>
      </c>
      <c r="D2531" t="s">
        <v>19</v>
      </c>
      <c r="E2531">
        <v>1768930</v>
      </c>
      <c r="F2531">
        <v>3398</v>
      </c>
      <c r="H2531">
        <v>6</v>
      </c>
    </row>
    <row r="2532" spans="1:8" x14ac:dyDescent="0.45">
      <c r="A2532" t="s">
        <v>48</v>
      </c>
      <c r="B2532" t="s">
        <v>21</v>
      </c>
      <c r="C2532">
        <v>3</v>
      </c>
      <c r="D2532" t="s">
        <v>27</v>
      </c>
      <c r="F2532">
        <v>1147</v>
      </c>
    </row>
    <row r="2533" spans="1:8" x14ac:dyDescent="0.45">
      <c r="A2533" t="s">
        <v>48</v>
      </c>
      <c r="B2533" t="s">
        <v>21</v>
      </c>
      <c r="C2533">
        <v>3</v>
      </c>
      <c r="D2533" t="s">
        <v>28</v>
      </c>
      <c r="F2533">
        <v>519</v>
      </c>
    </row>
    <row r="2534" spans="1:8" x14ac:dyDescent="0.45">
      <c r="A2534" t="s">
        <v>48</v>
      </c>
      <c r="B2534" t="s">
        <v>21</v>
      </c>
      <c r="C2534">
        <v>3</v>
      </c>
      <c r="D2534" t="s">
        <v>29</v>
      </c>
      <c r="F2534">
        <v>404</v>
      </c>
    </row>
    <row r="2535" spans="1:8" x14ac:dyDescent="0.45">
      <c r="A2535" t="s">
        <v>48</v>
      </c>
      <c r="B2535" t="s">
        <v>20</v>
      </c>
      <c r="C2535">
        <v>3</v>
      </c>
      <c r="D2535" t="s">
        <v>19</v>
      </c>
      <c r="E2535">
        <v>1495535</v>
      </c>
      <c r="F2535">
        <v>2665</v>
      </c>
      <c r="G2535">
        <v>722</v>
      </c>
    </row>
    <row r="2536" spans="1:8" x14ac:dyDescent="0.45">
      <c r="A2536" t="s">
        <v>48</v>
      </c>
      <c r="B2536" t="s">
        <v>20</v>
      </c>
      <c r="C2536">
        <v>3</v>
      </c>
      <c r="D2536" t="s">
        <v>27</v>
      </c>
      <c r="F2536">
        <v>960</v>
      </c>
    </row>
    <row r="2537" spans="1:8" x14ac:dyDescent="0.45">
      <c r="A2537" t="s">
        <v>48</v>
      </c>
      <c r="B2537" t="s">
        <v>20</v>
      </c>
      <c r="C2537">
        <v>3</v>
      </c>
      <c r="D2537" t="s">
        <v>28</v>
      </c>
      <c r="F2537">
        <v>426</v>
      </c>
    </row>
    <row r="2538" spans="1:8" x14ac:dyDescent="0.45">
      <c r="A2538" t="s">
        <v>48</v>
      </c>
      <c r="B2538" t="s">
        <v>20</v>
      </c>
      <c r="C2538">
        <v>3</v>
      </c>
      <c r="D2538" t="s">
        <v>29</v>
      </c>
      <c r="F2538">
        <v>320</v>
      </c>
    </row>
    <row r="2539" spans="1:8" x14ac:dyDescent="0.45">
      <c r="A2539" t="s">
        <v>48</v>
      </c>
      <c r="B2539" t="s">
        <v>20</v>
      </c>
      <c r="C2539">
        <v>3</v>
      </c>
      <c r="D2539" t="s">
        <v>31</v>
      </c>
      <c r="H2539">
        <v>56</v>
      </c>
    </row>
    <row r="2540" spans="1:8" x14ac:dyDescent="0.45">
      <c r="A2540" t="s">
        <v>48</v>
      </c>
      <c r="B2540" t="s">
        <v>20</v>
      </c>
      <c r="C2540">
        <v>3</v>
      </c>
      <c r="D2540" t="s">
        <v>32</v>
      </c>
      <c r="H2540">
        <v>9</v>
      </c>
    </row>
    <row r="2541" spans="1:8" x14ac:dyDescent="0.45">
      <c r="A2541" t="s">
        <v>48</v>
      </c>
      <c r="B2541" t="s">
        <v>20</v>
      </c>
      <c r="C2541">
        <v>3</v>
      </c>
      <c r="D2541" t="s">
        <v>34</v>
      </c>
      <c r="H2541">
        <v>8</v>
      </c>
    </row>
    <row r="2542" spans="1:8" x14ac:dyDescent="0.45">
      <c r="A2542" t="s">
        <v>48</v>
      </c>
      <c r="B2542" t="s">
        <v>21</v>
      </c>
      <c r="C2542">
        <v>4</v>
      </c>
      <c r="D2542" t="s">
        <v>19</v>
      </c>
      <c r="E2542">
        <v>2798862</v>
      </c>
      <c r="F2542">
        <v>4627</v>
      </c>
      <c r="G2542">
        <v>1033</v>
      </c>
    </row>
    <row r="2543" spans="1:8" x14ac:dyDescent="0.45">
      <c r="A2543" t="s">
        <v>48</v>
      </c>
      <c r="B2543" t="s">
        <v>21</v>
      </c>
      <c r="C2543">
        <v>4</v>
      </c>
      <c r="D2543" t="s">
        <v>27</v>
      </c>
      <c r="F2543">
        <v>1305</v>
      </c>
    </row>
    <row r="2544" spans="1:8" x14ac:dyDescent="0.45">
      <c r="A2544" t="s">
        <v>48</v>
      </c>
      <c r="B2544" t="s">
        <v>21</v>
      </c>
      <c r="C2544">
        <v>4</v>
      </c>
      <c r="D2544" t="s">
        <v>28</v>
      </c>
      <c r="F2544">
        <v>629</v>
      </c>
    </row>
    <row r="2545" spans="1:8" x14ac:dyDescent="0.45">
      <c r="A2545" t="s">
        <v>48</v>
      </c>
      <c r="B2545" t="s">
        <v>21</v>
      </c>
      <c r="C2545">
        <v>4</v>
      </c>
      <c r="D2545" t="s">
        <v>29</v>
      </c>
      <c r="F2545">
        <v>560</v>
      </c>
    </row>
    <row r="2546" spans="1:8" x14ac:dyDescent="0.45">
      <c r="A2546" t="s">
        <v>48</v>
      </c>
      <c r="B2546" t="s">
        <v>20</v>
      </c>
      <c r="C2546">
        <v>4</v>
      </c>
      <c r="D2546" t="s">
        <v>19</v>
      </c>
      <c r="E2546">
        <v>2691187</v>
      </c>
      <c r="F2546">
        <v>4165</v>
      </c>
      <c r="H2546">
        <v>6</v>
      </c>
    </row>
    <row r="2547" spans="1:8" x14ac:dyDescent="0.45">
      <c r="A2547" t="s">
        <v>48</v>
      </c>
      <c r="B2547" t="s">
        <v>20</v>
      </c>
      <c r="C2547">
        <v>4</v>
      </c>
      <c r="D2547" t="s">
        <v>27</v>
      </c>
      <c r="F2547">
        <v>948</v>
      </c>
    </row>
    <row r="2548" spans="1:8" x14ac:dyDescent="0.45">
      <c r="A2548" t="s">
        <v>48</v>
      </c>
      <c r="B2548" t="s">
        <v>20</v>
      </c>
      <c r="C2548">
        <v>4</v>
      </c>
      <c r="D2548" t="s">
        <v>28</v>
      </c>
      <c r="F2548">
        <v>576</v>
      </c>
    </row>
    <row r="2549" spans="1:8" x14ac:dyDescent="0.45">
      <c r="A2549" t="s">
        <v>48</v>
      </c>
      <c r="B2549" t="s">
        <v>20</v>
      </c>
      <c r="C2549">
        <v>4</v>
      </c>
      <c r="D2549" t="s">
        <v>29</v>
      </c>
      <c r="F2549">
        <v>527</v>
      </c>
    </row>
    <row r="2550" spans="1:8" x14ac:dyDescent="0.45">
      <c r="A2550" t="s">
        <v>48</v>
      </c>
      <c r="B2550" t="s">
        <v>20</v>
      </c>
      <c r="C2550">
        <v>4</v>
      </c>
      <c r="D2550" t="s">
        <v>31</v>
      </c>
      <c r="H2550">
        <v>57</v>
      </c>
    </row>
    <row r="2551" spans="1:8" x14ac:dyDescent="0.45">
      <c r="A2551" t="s">
        <v>48</v>
      </c>
      <c r="B2551" t="s">
        <v>20</v>
      </c>
      <c r="C2551">
        <v>4</v>
      </c>
      <c r="D2551" t="s">
        <v>32</v>
      </c>
      <c r="H2551">
        <v>8</v>
      </c>
    </row>
    <row r="2552" spans="1:8" x14ac:dyDescent="0.45">
      <c r="A2552" t="s">
        <v>48</v>
      </c>
      <c r="B2552" t="s">
        <v>20</v>
      </c>
      <c r="C2552">
        <v>4</v>
      </c>
      <c r="D2552" t="s">
        <v>34</v>
      </c>
      <c r="H2552">
        <v>7</v>
      </c>
    </row>
    <row r="2553" spans="1:8" x14ac:dyDescent="0.45">
      <c r="A2553" t="s">
        <v>48</v>
      </c>
      <c r="B2553" t="s">
        <v>21</v>
      </c>
      <c r="C2553">
        <v>5</v>
      </c>
      <c r="D2553" t="s">
        <v>19</v>
      </c>
      <c r="E2553">
        <v>2195676</v>
      </c>
      <c r="F2553">
        <v>3552</v>
      </c>
    </row>
    <row r="2554" spans="1:8" x14ac:dyDescent="0.45">
      <c r="A2554" t="s">
        <v>48</v>
      </c>
      <c r="B2554" t="s">
        <v>21</v>
      </c>
      <c r="C2554">
        <v>5</v>
      </c>
      <c r="D2554" t="s">
        <v>27</v>
      </c>
      <c r="F2554">
        <v>1061</v>
      </c>
    </row>
    <row r="2555" spans="1:8" x14ac:dyDescent="0.45">
      <c r="A2555" t="s">
        <v>48</v>
      </c>
      <c r="B2555" t="s">
        <v>21</v>
      </c>
      <c r="C2555">
        <v>5</v>
      </c>
      <c r="D2555" t="s">
        <v>28</v>
      </c>
      <c r="F2555">
        <v>533</v>
      </c>
    </row>
    <row r="2556" spans="1:8" x14ac:dyDescent="0.45">
      <c r="A2556" t="s">
        <v>48</v>
      </c>
      <c r="B2556" t="s">
        <v>21</v>
      </c>
      <c r="C2556">
        <v>5</v>
      </c>
      <c r="D2556" t="s">
        <v>29</v>
      </c>
      <c r="F2556">
        <v>454</v>
      </c>
    </row>
    <row r="2557" spans="1:8" x14ac:dyDescent="0.45">
      <c r="A2557" t="s">
        <v>48</v>
      </c>
      <c r="B2557" t="s">
        <v>20</v>
      </c>
      <c r="C2557">
        <v>5</v>
      </c>
      <c r="D2557" t="s">
        <v>19</v>
      </c>
      <c r="E2557">
        <v>1919344</v>
      </c>
      <c r="F2557">
        <v>2984</v>
      </c>
    </row>
    <row r="2558" spans="1:8" x14ac:dyDescent="0.45">
      <c r="A2558" t="s">
        <v>48</v>
      </c>
      <c r="B2558" t="s">
        <v>20</v>
      </c>
      <c r="C2558">
        <v>5</v>
      </c>
      <c r="D2558" t="s">
        <v>27</v>
      </c>
      <c r="F2558">
        <v>791</v>
      </c>
    </row>
    <row r="2559" spans="1:8" x14ac:dyDescent="0.45">
      <c r="A2559" t="s">
        <v>48</v>
      </c>
      <c r="B2559" t="s">
        <v>20</v>
      </c>
      <c r="C2559">
        <v>5</v>
      </c>
      <c r="D2559" t="s">
        <v>28</v>
      </c>
      <c r="F2559">
        <v>428</v>
      </c>
    </row>
    <row r="2560" spans="1:8" x14ac:dyDescent="0.45">
      <c r="A2560" t="s">
        <v>48</v>
      </c>
      <c r="B2560" t="s">
        <v>20</v>
      </c>
      <c r="C2560">
        <v>5</v>
      </c>
      <c r="D2560" t="s">
        <v>29</v>
      </c>
      <c r="F2560">
        <v>338</v>
      </c>
    </row>
    <row r="2561" spans="1:8" x14ac:dyDescent="0.45">
      <c r="A2561" t="s">
        <v>48</v>
      </c>
      <c r="B2561" t="s">
        <v>20</v>
      </c>
      <c r="C2561">
        <v>5</v>
      </c>
      <c r="D2561" t="s">
        <v>31</v>
      </c>
      <c r="H2561">
        <v>77</v>
      </c>
    </row>
    <row r="2562" spans="1:8" x14ac:dyDescent="0.45">
      <c r="A2562" t="s">
        <v>48</v>
      </c>
      <c r="B2562" t="s">
        <v>20</v>
      </c>
      <c r="C2562">
        <v>5</v>
      </c>
      <c r="D2562" t="s">
        <v>32</v>
      </c>
      <c r="H2562">
        <v>4</v>
      </c>
    </row>
    <row r="2563" spans="1:8" x14ac:dyDescent="0.45">
      <c r="A2563" t="s">
        <v>48</v>
      </c>
      <c r="B2563" t="s">
        <v>20</v>
      </c>
      <c r="C2563">
        <v>5</v>
      </c>
      <c r="D2563" t="s">
        <v>34</v>
      </c>
      <c r="H2563">
        <v>7</v>
      </c>
    </row>
    <row r="2564" spans="1:8" x14ac:dyDescent="0.45">
      <c r="A2564" t="s">
        <v>48</v>
      </c>
      <c r="B2564" t="s">
        <v>21</v>
      </c>
      <c r="C2564">
        <v>6</v>
      </c>
      <c r="D2564" t="s">
        <v>19</v>
      </c>
      <c r="E2564">
        <v>1966948</v>
      </c>
      <c r="F2564">
        <v>3569</v>
      </c>
      <c r="H2564">
        <v>201</v>
      </c>
    </row>
    <row r="2565" spans="1:8" x14ac:dyDescent="0.45">
      <c r="A2565" t="s">
        <v>48</v>
      </c>
      <c r="B2565" t="s">
        <v>21</v>
      </c>
      <c r="C2565">
        <v>6</v>
      </c>
      <c r="D2565" t="s">
        <v>27</v>
      </c>
      <c r="F2565">
        <v>1203</v>
      </c>
    </row>
    <row r="2566" spans="1:8" x14ac:dyDescent="0.45">
      <c r="A2566" t="s">
        <v>48</v>
      </c>
      <c r="B2566" t="s">
        <v>21</v>
      </c>
      <c r="C2566">
        <v>6</v>
      </c>
      <c r="D2566" t="s">
        <v>28</v>
      </c>
      <c r="F2566">
        <v>586</v>
      </c>
    </row>
    <row r="2567" spans="1:8" x14ac:dyDescent="0.45">
      <c r="A2567" t="s">
        <v>48</v>
      </c>
      <c r="B2567" t="s">
        <v>21</v>
      </c>
      <c r="C2567">
        <v>6</v>
      </c>
      <c r="D2567" t="s">
        <v>29</v>
      </c>
      <c r="F2567">
        <v>506</v>
      </c>
    </row>
    <row r="2568" spans="1:8" x14ac:dyDescent="0.45">
      <c r="A2568" t="s">
        <v>48</v>
      </c>
      <c r="B2568" t="s">
        <v>20</v>
      </c>
      <c r="C2568">
        <v>6</v>
      </c>
      <c r="D2568" t="s">
        <v>19</v>
      </c>
      <c r="E2568">
        <v>1854245</v>
      </c>
      <c r="F2568">
        <v>3005</v>
      </c>
    </row>
    <row r="2569" spans="1:8" x14ac:dyDescent="0.45">
      <c r="A2569" t="s">
        <v>48</v>
      </c>
      <c r="B2569" t="s">
        <v>20</v>
      </c>
      <c r="C2569">
        <v>6</v>
      </c>
      <c r="D2569" t="s">
        <v>27</v>
      </c>
      <c r="F2569">
        <v>1007</v>
      </c>
    </row>
    <row r="2570" spans="1:8" x14ac:dyDescent="0.45">
      <c r="A2570" t="s">
        <v>48</v>
      </c>
      <c r="B2570" t="s">
        <v>20</v>
      </c>
      <c r="C2570">
        <v>6</v>
      </c>
      <c r="D2570" t="s">
        <v>28</v>
      </c>
      <c r="F2570">
        <v>524</v>
      </c>
    </row>
    <row r="2571" spans="1:8" x14ac:dyDescent="0.45">
      <c r="A2571" t="s">
        <v>48</v>
      </c>
      <c r="B2571" t="s">
        <v>20</v>
      </c>
      <c r="C2571">
        <v>6</v>
      </c>
      <c r="D2571" t="s">
        <v>29</v>
      </c>
      <c r="F2571">
        <v>403</v>
      </c>
    </row>
    <row r="2572" spans="1:8" x14ac:dyDescent="0.45">
      <c r="A2572" t="s">
        <v>48</v>
      </c>
      <c r="B2572" t="s">
        <v>20</v>
      </c>
      <c r="C2572">
        <v>6</v>
      </c>
      <c r="D2572" t="s">
        <v>31</v>
      </c>
      <c r="H2572">
        <v>50</v>
      </c>
    </row>
    <row r="2573" spans="1:8" x14ac:dyDescent="0.45">
      <c r="A2573" t="s">
        <v>48</v>
      </c>
      <c r="B2573" t="s">
        <v>20</v>
      </c>
      <c r="C2573">
        <v>6</v>
      </c>
      <c r="D2573" t="s">
        <v>32</v>
      </c>
      <c r="H2573">
        <v>5</v>
      </c>
    </row>
    <row r="2574" spans="1:8" x14ac:dyDescent="0.45">
      <c r="A2574" t="s">
        <v>48</v>
      </c>
      <c r="B2574" t="s">
        <v>20</v>
      </c>
      <c r="C2574">
        <v>6</v>
      </c>
      <c r="D2574" t="s">
        <v>34</v>
      </c>
      <c r="H2574">
        <v>8</v>
      </c>
    </row>
    <row r="2575" spans="1:8" x14ac:dyDescent="0.45">
      <c r="A2575" t="s">
        <v>48</v>
      </c>
      <c r="B2575" t="s">
        <v>21</v>
      </c>
      <c r="C2575">
        <v>7</v>
      </c>
      <c r="D2575" t="s">
        <v>19</v>
      </c>
      <c r="E2575">
        <v>1193357</v>
      </c>
      <c r="F2575">
        <v>2486</v>
      </c>
      <c r="G2575">
        <v>702</v>
      </c>
    </row>
    <row r="2576" spans="1:8" x14ac:dyDescent="0.45">
      <c r="A2576" t="s">
        <v>48</v>
      </c>
      <c r="B2576" t="s">
        <v>21</v>
      </c>
      <c r="C2576">
        <v>7</v>
      </c>
      <c r="D2576" t="s">
        <v>27</v>
      </c>
      <c r="F2576">
        <v>1066</v>
      </c>
    </row>
    <row r="2577" spans="1:8" x14ac:dyDescent="0.45">
      <c r="A2577" t="s">
        <v>48</v>
      </c>
      <c r="B2577" t="s">
        <v>21</v>
      </c>
      <c r="C2577">
        <v>7</v>
      </c>
      <c r="D2577" t="s">
        <v>28</v>
      </c>
      <c r="F2577">
        <v>479</v>
      </c>
    </row>
    <row r="2578" spans="1:8" x14ac:dyDescent="0.45">
      <c r="A2578" t="s">
        <v>48</v>
      </c>
      <c r="B2578" t="s">
        <v>21</v>
      </c>
      <c r="C2578">
        <v>7</v>
      </c>
      <c r="D2578" t="s">
        <v>29</v>
      </c>
      <c r="F2578">
        <v>308</v>
      </c>
    </row>
    <row r="2579" spans="1:8" x14ac:dyDescent="0.45">
      <c r="A2579" t="s">
        <v>48</v>
      </c>
      <c r="B2579" t="s">
        <v>20</v>
      </c>
      <c r="C2579">
        <v>7</v>
      </c>
      <c r="D2579" t="s">
        <v>19</v>
      </c>
      <c r="E2579">
        <v>1181474</v>
      </c>
      <c r="F2579">
        <v>2222</v>
      </c>
      <c r="G2579">
        <v>623</v>
      </c>
    </row>
    <row r="2580" spans="1:8" x14ac:dyDescent="0.45">
      <c r="A2580" t="s">
        <v>48</v>
      </c>
      <c r="B2580" t="s">
        <v>20</v>
      </c>
      <c r="C2580">
        <v>7</v>
      </c>
      <c r="D2580" t="s">
        <v>27</v>
      </c>
      <c r="F2580">
        <v>890</v>
      </c>
    </row>
    <row r="2581" spans="1:8" x14ac:dyDescent="0.45">
      <c r="A2581" t="s">
        <v>48</v>
      </c>
      <c r="B2581" t="s">
        <v>20</v>
      </c>
      <c r="C2581">
        <v>7</v>
      </c>
      <c r="D2581" t="s">
        <v>28</v>
      </c>
      <c r="F2581">
        <v>396</v>
      </c>
    </row>
    <row r="2582" spans="1:8" x14ac:dyDescent="0.45">
      <c r="A2582" t="s">
        <v>48</v>
      </c>
      <c r="B2582" t="s">
        <v>20</v>
      </c>
      <c r="C2582">
        <v>7</v>
      </c>
      <c r="D2582" t="s">
        <v>29</v>
      </c>
      <c r="F2582">
        <v>269</v>
      </c>
    </row>
    <row r="2583" spans="1:8" x14ac:dyDescent="0.45">
      <c r="A2583" t="s">
        <v>48</v>
      </c>
      <c r="B2583" t="s">
        <v>20</v>
      </c>
      <c r="C2583">
        <v>7</v>
      </c>
      <c r="D2583" t="s">
        <v>31</v>
      </c>
      <c r="H2583">
        <v>128</v>
      </c>
    </row>
    <row r="2584" spans="1:8" x14ac:dyDescent="0.45">
      <c r="A2584" t="s">
        <v>48</v>
      </c>
      <c r="B2584" t="s">
        <v>20</v>
      </c>
      <c r="C2584">
        <v>7</v>
      </c>
      <c r="D2584" t="s">
        <v>32</v>
      </c>
      <c r="H2584">
        <v>5</v>
      </c>
    </row>
    <row r="2585" spans="1:8" x14ac:dyDescent="0.45">
      <c r="A2585" t="s">
        <v>48</v>
      </c>
      <c r="B2585" t="s">
        <v>20</v>
      </c>
      <c r="C2585">
        <v>7</v>
      </c>
      <c r="D2585" t="s">
        <v>34</v>
      </c>
      <c r="H2585">
        <v>5</v>
      </c>
    </row>
    <row r="2586" spans="1:8" x14ac:dyDescent="0.45">
      <c r="A2586" t="s">
        <v>48</v>
      </c>
      <c r="B2586" t="s">
        <v>21</v>
      </c>
      <c r="C2586">
        <v>8</v>
      </c>
      <c r="D2586" t="s">
        <v>19</v>
      </c>
      <c r="E2586">
        <v>1111183</v>
      </c>
      <c r="F2586">
        <v>2343</v>
      </c>
      <c r="G2586">
        <v>699</v>
      </c>
    </row>
    <row r="2587" spans="1:8" x14ac:dyDescent="0.45">
      <c r="A2587" t="s">
        <v>48</v>
      </c>
      <c r="B2587" t="s">
        <v>21</v>
      </c>
      <c r="C2587">
        <v>8</v>
      </c>
      <c r="D2587" t="s">
        <v>27</v>
      </c>
      <c r="F2587">
        <v>958</v>
      </c>
      <c r="G2587">
        <v>711</v>
      </c>
    </row>
    <row r="2588" spans="1:8" x14ac:dyDescent="0.45">
      <c r="A2588" t="s">
        <v>48</v>
      </c>
      <c r="B2588" t="s">
        <v>21</v>
      </c>
      <c r="C2588">
        <v>8</v>
      </c>
      <c r="D2588" t="s">
        <v>28</v>
      </c>
      <c r="F2588">
        <v>407</v>
      </c>
      <c r="G2588">
        <v>1027</v>
      </c>
    </row>
    <row r="2589" spans="1:8" x14ac:dyDescent="0.45">
      <c r="A2589" t="s">
        <v>48</v>
      </c>
      <c r="B2589" t="s">
        <v>21</v>
      </c>
      <c r="C2589">
        <v>8</v>
      </c>
      <c r="D2589" t="s">
        <v>29</v>
      </c>
      <c r="F2589">
        <v>158</v>
      </c>
      <c r="G2589">
        <v>1055</v>
      </c>
    </row>
    <row r="2590" spans="1:8" x14ac:dyDescent="0.45">
      <c r="A2590" t="s">
        <v>48</v>
      </c>
      <c r="B2590" t="s">
        <v>20</v>
      </c>
      <c r="C2590">
        <v>8</v>
      </c>
      <c r="D2590" t="s">
        <v>19</v>
      </c>
      <c r="E2590">
        <v>973517</v>
      </c>
      <c r="F2590">
        <v>1841</v>
      </c>
      <c r="G2590">
        <v>554</v>
      </c>
    </row>
    <row r="2591" spans="1:8" x14ac:dyDescent="0.45">
      <c r="A2591" t="s">
        <v>48</v>
      </c>
      <c r="B2591" t="s">
        <v>20</v>
      </c>
      <c r="C2591">
        <v>8</v>
      </c>
      <c r="D2591" t="s">
        <v>27</v>
      </c>
      <c r="F2591">
        <v>736</v>
      </c>
      <c r="G2591">
        <v>1121</v>
      </c>
    </row>
    <row r="2592" spans="1:8" x14ac:dyDescent="0.45">
      <c r="A2592" t="s">
        <v>48</v>
      </c>
      <c r="B2592" t="s">
        <v>20</v>
      </c>
      <c r="C2592">
        <v>8</v>
      </c>
      <c r="D2592" t="s">
        <v>28</v>
      </c>
      <c r="F2592">
        <v>405</v>
      </c>
      <c r="G2592">
        <v>819</v>
      </c>
    </row>
    <row r="2593" spans="1:8" x14ac:dyDescent="0.45">
      <c r="A2593" t="s">
        <v>48</v>
      </c>
      <c r="B2593" t="s">
        <v>20</v>
      </c>
      <c r="C2593">
        <v>8</v>
      </c>
      <c r="D2593" t="s">
        <v>29</v>
      </c>
      <c r="F2593">
        <v>160</v>
      </c>
      <c r="G2593">
        <v>1324</v>
      </c>
    </row>
    <row r="2594" spans="1:8" x14ac:dyDescent="0.45">
      <c r="A2594" t="s">
        <v>48</v>
      </c>
      <c r="B2594" t="s">
        <v>20</v>
      </c>
      <c r="C2594">
        <v>8</v>
      </c>
      <c r="D2594" t="s">
        <v>31</v>
      </c>
      <c r="H2594">
        <v>28</v>
      </c>
    </row>
    <row r="2595" spans="1:8" x14ac:dyDescent="0.45">
      <c r="A2595" t="s">
        <v>48</v>
      </c>
      <c r="B2595" t="s">
        <v>20</v>
      </c>
      <c r="C2595">
        <v>8</v>
      </c>
      <c r="D2595" t="s">
        <v>32</v>
      </c>
      <c r="H2595">
        <v>9</v>
      </c>
    </row>
    <row r="2596" spans="1:8" x14ac:dyDescent="0.45">
      <c r="A2596" t="s">
        <v>48</v>
      </c>
      <c r="B2596" t="s">
        <v>20</v>
      </c>
      <c r="C2596">
        <v>8</v>
      </c>
      <c r="D2596" t="s">
        <v>34</v>
      </c>
      <c r="H2596">
        <v>5</v>
      </c>
    </row>
    <row r="2597" spans="1:8" x14ac:dyDescent="0.45">
      <c r="A2597" t="s">
        <v>48</v>
      </c>
      <c r="B2597" t="s">
        <v>21</v>
      </c>
      <c r="C2597">
        <v>9</v>
      </c>
      <c r="D2597" t="s">
        <v>19</v>
      </c>
      <c r="E2597">
        <v>932996</v>
      </c>
      <c r="F2597">
        <v>2166</v>
      </c>
      <c r="G2597">
        <v>605</v>
      </c>
    </row>
    <row r="2598" spans="1:8" x14ac:dyDescent="0.45">
      <c r="A2598" t="s">
        <v>48</v>
      </c>
      <c r="B2598" t="s">
        <v>21</v>
      </c>
      <c r="C2598">
        <v>9</v>
      </c>
      <c r="D2598" t="s">
        <v>27</v>
      </c>
      <c r="F2598">
        <v>1025</v>
      </c>
    </row>
    <row r="2599" spans="1:8" x14ac:dyDescent="0.45">
      <c r="A2599" t="s">
        <v>48</v>
      </c>
      <c r="B2599" t="s">
        <v>21</v>
      </c>
      <c r="C2599">
        <v>9</v>
      </c>
      <c r="D2599" t="s">
        <v>28</v>
      </c>
      <c r="F2599">
        <v>382</v>
      </c>
    </row>
    <row r="2600" spans="1:8" x14ac:dyDescent="0.45">
      <c r="A2600" t="s">
        <v>48</v>
      </c>
      <c r="B2600" t="s">
        <v>21</v>
      </c>
      <c r="C2600">
        <v>9</v>
      </c>
      <c r="D2600" t="s">
        <v>29</v>
      </c>
      <c r="F2600">
        <v>207</v>
      </c>
    </row>
    <row r="2601" spans="1:8" x14ac:dyDescent="0.45">
      <c r="A2601" t="s">
        <v>48</v>
      </c>
      <c r="B2601" t="s">
        <v>20</v>
      </c>
      <c r="C2601">
        <v>9</v>
      </c>
      <c r="D2601" t="s">
        <v>19</v>
      </c>
      <c r="E2601">
        <v>933183</v>
      </c>
      <c r="F2601">
        <v>2086</v>
      </c>
      <c r="G2601">
        <v>612</v>
      </c>
    </row>
    <row r="2602" spans="1:8" x14ac:dyDescent="0.45">
      <c r="A2602" t="s">
        <v>48</v>
      </c>
      <c r="B2602" t="s">
        <v>20</v>
      </c>
      <c r="C2602">
        <v>9</v>
      </c>
      <c r="D2602" t="s">
        <v>27</v>
      </c>
      <c r="F2602">
        <v>912</v>
      </c>
    </row>
    <row r="2603" spans="1:8" x14ac:dyDescent="0.45">
      <c r="A2603" t="s">
        <v>48</v>
      </c>
      <c r="B2603" t="s">
        <v>20</v>
      </c>
      <c r="C2603">
        <v>9</v>
      </c>
      <c r="D2603" t="s">
        <v>28</v>
      </c>
      <c r="F2603">
        <v>413</v>
      </c>
    </row>
    <row r="2604" spans="1:8" x14ac:dyDescent="0.45">
      <c r="A2604" t="s">
        <v>48</v>
      </c>
      <c r="B2604" t="s">
        <v>20</v>
      </c>
      <c r="C2604">
        <v>9</v>
      </c>
      <c r="D2604" t="s">
        <v>29</v>
      </c>
      <c r="F2604">
        <v>202</v>
      </c>
    </row>
    <row r="2605" spans="1:8" x14ac:dyDescent="0.45">
      <c r="A2605" t="s">
        <v>48</v>
      </c>
      <c r="B2605" t="s">
        <v>20</v>
      </c>
      <c r="C2605">
        <v>9</v>
      </c>
      <c r="D2605" t="s">
        <v>31</v>
      </c>
      <c r="H2605">
        <v>140</v>
      </c>
    </row>
    <row r="2606" spans="1:8" x14ac:dyDescent="0.45">
      <c r="A2606" t="s">
        <v>48</v>
      </c>
      <c r="B2606" t="s">
        <v>20</v>
      </c>
      <c r="C2606">
        <v>9</v>
      </c>
      <c r="D2606" t="s">
        <v>32</v>
      </c>
      <c r="H2606">
        <v>11</v>
      </c>
    </row>
    <row r="2607" spans="1:8" x14ac:dyDescent="0.45">
      <c r="A2607" t="s">
        <v>48</v>
      </c>
      <c r="B2607" t="s">
        <v>20</v>
      </c>
      <c r="C2607">
        <v>9</v>
      </c>
      <c r="D2607" t="s">
        <v>34</v>
      </c>
      <c r="H2607">
        <v>2</v>
      </c>
    </row>
    <row r="2608" spans="1:8" x14ac:dyDescent="0.45">
      <c r="A2608" t="s">
        <v>48</v>
      </c>
      <c r="B2608" t="s">
        <v>21</v>
      </c>
      <c r="C2608">
        <v>10</v>
      </c>
      <c r="D2608" t="s">
        <v>19</v>
      </c>
      <c r="E2608">
        <v>1386578</v>
      </c>
      <c r="F2608">
        <v>3438</v>
      </c>
      <c r="G2608">
        <v>821</v>
      </c>
    </row>
    <row r="2609" spans="1:8" x14ac:dyDescent="0.45">
      <c r="A2609" t="s">
        <v>48</v>
      </c>
      <c r="B2609" t="s">
        <v>21</v>
      </c>
      <c r="C2609">
        <v>10</v>
      </c>
      <c r="D2609" t="s">
        <v>27</v>
      </c>
      <c r="F2609">
        <v>1478</v>
      </c>
    </row>
    <row r="2610" spans="1:8" x14ac:dyDescent="0.45">
      <c r="A2610" t="s">
        <v>48</v>
      </c>
      <c r="B2610" t="s">
        <v>21</v>
      </c>
      <c r="C2610">
        <v>10</v>
      </c>
      <c r="D2610" t="s">
        <v>28</v>
      </c>
      <c r="F2610">
        <v>658</v>
      </c>
    </row>
    <row r="2611" spans="1:8" x14ac:dyDescent="0.45">
      <c r="A2611" t="s">
        <v>48</v>
      </c>
      <c r="B2611" t="s">
        <v>21</v>
      </c>
      <c r="C2611">
        <v>10</v>
      </c>
      <c r="D2611" t="s">
        <v>29</v>
      </c>
      <c r="F2611">
        <v>382</v>
      </c>
    </row>
    <row r="2612" spans="1:8" x14ac:dyDescent="0.45">
      <c r="A2612" t="s">
        <v>48</v>
      </c>
      <c r="B2612" t="s">
        <v>20</v>
      </c>
      <c r="C2612">
        <v>10</v>
      </c>
      <c r="D2612" t="s">
        <v>19</v>
      </c>
      <c r="E2612">
        <v>1380062</v>
      </c>
      <c r="F2612">
        <v>2839</v>
      </c>
      <c r="G2612">
        <v>773</v>
      </c>
    </row>
    <row r="2613" spans="1:8" x14ac:dyDescent="0.45">
      <c r="A2613" t="s">
        <v>48</v>
      </c>
      <c r="B2613" t="s">
        <v>20</v>
      </c>
      <c r="C2613">
        <v>10</v>
      </c>
      <c r="D2613" t="s">
        <v>27</v>
      </c>
      <c r="F2613">
        <v>1117</v>
      </c>
    </row>
    <row r="2614" spans="1:8" x14ac:dyDescent="0.45">
      <c r="A2614" t="s">
        <v>48</v>
      </c>
      <c r="B2614" t="s">
        <v>20</v>
      </c>
      <c r="C2614">
        <v>10</v>
      </c>
      <c r="D2614" t="s">
        <v>28</v>
      </c>
      <c r="F2614">
        <v>526</v>
      </c>
    </row>
    <row r="2615" spans="1:8" x14ac:dyDescent="0.45">
      <c r="A2615" t="s">
        <v>48</v>
      </c>
      <c r="B2615" t="s">
        <v>20</v>
      </c>
      <c r="C2615">
        <v>10</v>
      </c>
      <c r="D2615" t="s">
        <v>29</v>
      </c>
      <c r="F2615">
        <v>309</v>
      </c>
    </row>
    <row r="2616" spans="1:8" x14ac:dyDescent="0.45">
      <c r="A2616" t="s">
        <v>48</v>
      </c>
      <c r="B2616" t="s">
        <v>20</v>
      </c>
      <c r="C2616">
        <v>10</v>
      </c>
      <c r="D2616" t="s">
        <v>31</v>
      </c>
      <c r="H2616">
        <v>133</v>
      </c>
    </row>
    <row r="2617" spans="1:8" x14ac:dyDescent="0.45">
      <c r="A2617" t="s">
        <v>48</v>
      </c>
      <c r="B2617" t="s">
        <v>20</v>
      </c>
      <c r="C2617">
        <v>10</v>
      </c>
      <c r="D2617" t="s">
        <v>32</v>
      </c>
      <c r="H2617">
        <v>9</v>
      </c>
    </row>
    <row r="2618" spans="1:8" x14ac:dyDescent="0.45">
      <c r="A2618" t="s">
        <v>48</v>
      </c>
      <c r="B2618" t="s">
        <v>20</v>
      </c>
      <c r="C2618">
        <v>10</v>
      </c>
      <c r="D2618" t="s">
        <v>34</v>
      </c>
      <c r="H2618">
        <v>6</v>
      </c>
    </row>
    <row r="2619" spans="1:8" x14ac:dyDescent="0.45">
      <c r="A2619" t="s">
        <v>48</v>
      </c>
      <c r="B2619" t="s">
        <v>21</v>
      </c>
      <c r="C2619">
        <v>11</v>
      </c>
      <c r="D2619" t="s">
        <v>19</v>
      </c>
      <c r="E2619">
        <v>1111454</v>
      </c>
      <c r="F2619">
        <v>2520</v>
      </c>
      <c r="G2619">
        <v>703</v>
      </c>
    </row>
    <row r="2620" spans="1:8" x14ac:dyDescent="0.45">
      <c r="A2620" t="s">
        <v>48</v>
      </c>
      <c r="B2620" t="s">
        <v>21</v>
      </c>
      <c r="C2620">
        <v>11</v>
      </c>
      <c r="D2620" t="s">
        <v>27</v>
      </c>
      <c r="F2620">
        <v>1264</v>
      </c>
    </row>
    <row r="2621" spans="1:8" x14ac:dyDescent="0.45">
      <c r="A2621" t="s">
        <v>48</v>
      </c>
      <c r="B2621" t="s">
        <v>21</v>
      </c>
      <c r="C2621">
        <v>11</v>
      </c>
      <c r="D2621" t="s">
        <v>28</v>
      </c>
      <c r="F2621">
        <v>415</v>
      </c>
    </row>
    <row r="2622" spans="1:8" x14ac:dyDescent="0.45">
      <c r="A2622" t="s">
        <v>48</v>
      </c>
      <c r="B2622" t="s">
        <v>21</v>
      </c>
      <c r="C2622">
        <v>11</v>
      </c>
      <c r="D2622" t="s">
        <v>29</v>
      </c>
      <c r="F2622">
        <v>267</v>
      </c>
    </row>
    <row r="2623" spans="1:8" x14ac:dyDescent="0.45">
      <c r="A2623" t="s">
        <v>48</v>
      </c>
      <c r="B2623" t="s">
        <v>20</v>
      </c>
      <c r="C2623">
        <v>11</v>
      </c>
      <c r="D2623" t="s">
        <v>19</v>
      </c>
      <c r="E2623">
        <v>1117459</v>
      </c>
      <c r="F2623">
        <v>2426</v>
      </c>
      <c r="G2623">
        <v>695</v>
      </c>
    </row>
    <row r="2624" spans="1:8" x14ac:dyDescent="0.45">
      <c r="A2624" t="s">
        <v>48</v>
      </c>
      <c r="B2624" t="s">
        <v>20</v>
      </c>
      <c r="C2624">
        <v>11</v>
      </c>
      <c r="D2624" t="s">
        <v>27</v>
      </c>
      <c r="F2624">
        <v>971</v>
      </c>
    </row>
    <row r="2625" spans="1:8" x14ac:dyDescent="0.45">
      <c r="A2625" t="s">
        <v>48</v>
      </c>
      <c r="B2625" t="s">
        <v>20</v>
      </c>
      <c r="C2625">
        <v>11</v>
      </c>
      <c r="D2625" t="s">
        <v>28</v>
      </c>
      <c r="F2625">
        <v>454</v>
      </c>
    </row>
    <row r="2626" spans="1:8" x14ac:dyDescent="0.45">
      <c r="A2626" t="s">
        <v>48</v>
      </c>
      <c r="B2626" t="s">
        <v>20</v>
      </c>
      <c r="C2626">
        <v>11</v>
      </c>
      <c r="D2626" t="s">
        <v>29</v>
      </c>
      <c r="F2626">
        <v>290</v>
      </c>
    </row>
    <row r="2627" spans="1:8" x14ac:dyDescent="0.45">
      <c r="A2627" t="s">
        <v>48</v>
      </c>
      <c r="B2627" t="s">
        <v>20</v>
      </c>
      <c r="C2627">
        <v>11</v>
      </c>
      <c r="D2627" t="s">
        <v>31</v>
      </c>
      <c r="H2627">
        <v>152</v>
      </c>
    </row>
    <row r="2628" spans="1:8" x14ac:dyDescent="0.45">
      <c r="A2628" t="s">
        <v>48</v>
      </c>
      <c r="B2628" t="s">
        <v>20</v>
      </c>
      <c r="C2628">
        <v>11</v>
      </c>
      <c r="D2628" t="s">
        <v>32</v>
      </c>
      <c r="H2628">
        <v>2</v>
      </c>
    </row>
    <row r="2629" spans="1:8" x14ac:dyDescent="0.45">
      <c r="A2629" t="s">
        <v>48</v>
      </c>
      <c r="B2629" t="s">
        <v>20</v>
      </c>
      <c r="C2629">
        <v>11</v>
      </c>
      <c r="D2629" t="s">
        <v>34</v>
      </c>
      <c r="H2629">
        <v>5</v>
      </c>
    </row>
    <row r="2630" spans="1:8" x14ac:dyDescent="0.45">
      <c r="A2630" t="s">
        <v>48</v>
      </c>
      <c r="B2630" t="s">
        <v>21</v>
      </c>
      <c r="C2630">
        <v>12</v>
      </c>
      <c r="D2630" t="s">
        <v>19</v>
      </c>
      <c r="E2630">
        <v>1295994</v>
      </c>
      <c r="F2630">
        <v>2972</v>
      </c>
      <c r="G2630">
        <v>727</v>
      </c>
    </row>
    <row r="2631" spans="1:8" x14ac:dyDescent="0.45">
      <c r="A2631" t="s">
        <v>48</v>
      </c>
      <c r="B2631" t="s">
        <v>21</v>
      </c>
      <c r="C2631">
        <v>12</v>
      </c>
      <c r="D2631" t="s">
        <v>27</v>
      </c>
      <c r="F2631">
        <v>1276</v>
      </c>
    </row>
    <row r="2632" spans="1:8" x14ac:dyDescent="0.45">
      <c r="A2632" t="s">
        <v>48</v>
      </c>
      <c r="B2632" t="s">
        <v>21</v>
      </c>
      <c r="C2632">
        <v>12</v>
      </c>
      <c r="D2632" t="s">
        <v>28</v>
      </c>
      <c r="F2632">
        <v>537</v>
      </c>
    </row>
    <row r="2633" spans="1:8" x14ac:dyDescent="0.45">
      <c r="A2633" t="s">
        <v>48</v>
      </c>
      <c r="B2633" t="s">
        <v>21</v>
      </c>
      <c r="C2633">
        <v>12</v>
      </c>
      <c r="D2633" t="s">
        <v>29</v>
      </c>
      <c r="F2633">
        <v>394</v>
      </c>
    </row>
    <row r="2634" spans="1:8" x14ac:dyDescent="0.45">
      <c r="A2634" t="s">
        <v>48</v>
      </c>
      <c r="B2634" t="s">
        <v>20</v>
      </c>
      <c r="C2634">
        <v>12</v>
      </c>
      <c r="D2634" t="s">
        <v>19</v>
      </c>
      <c r="E2634">
        <v>1306382</v>
      </c>
      <c r="F2634">
        <v>2917</v>
      </c>
      <c r="G2634">
        <v>735</v>
      </c>
    </row>
    <row r="2635" spans="1:8" x14ac:dyDescent="0.45">
      <c r="A2635" t="s">
        <v>48</v>
      </c>
      <c r="B2635" t="s">
        <v>20</v>
      </c>
      <c r="C2635">
        <v>12</v>
      </c>
      <c r="D2635" t="s">
        <v>27</v>
      </c>
      <c r="F2635">
        <v>1106</v>
      </c>
    </row>
    <row r="2636" spans="1:8" x14ac:dyDescent="0.45">
      <c r="A2636" t="s">
        <v>48</v>
      </c>
      <c r="B2636" t="s">
        <v>20</v>
      </c>
      <c r="C2636">
        <v>12</v>
      </c>
      <c r="D2636" t="s">
        <v>28</v>
      </c>
      <c r="F2636">
        <v>540</v>
      </c>
    </row>
    <row r="2637" spans="1:8" x14ac:dyDescent="0.45">
      <c r="A2637" t="s">
        <v>48</v>
      </c>
      <c r="B2637" t="s">
        <v>20</v>
      </c>
      <c r="C2637">
        <v>12</v>
      </c>
      <c r="D2637" t="s">
        <v>29</v>
      </c>
      <c r="F2637">
        <v>418</v>
      </c>
    </row>
    <row r="2638" spans="1:8" x14ac:dyDescent="0.45">
      <c r="A2638" t="s">
        <v>48</v>
      </c>
      <c r="B2638" t="s">
        <v>20</v>
      </c>
      <c r="C2638">
        <v>12</v>
      </c>
      <c r="D2638" t="s">
        <v>31</v>
      </c>
      <c r="H2638">
        <v>70</v>
      </c>
    </row>
    <row r="2639" spans="1:8" x14ac:dyDescent="0.45">
      <c r="A2639" t="s">
        <v>48</v>
      </c>
      <c r="B2639" t="s">
        <v>20</v>
      </c>
      <c r="C2639">
        <v>12</v>
      </c>
      <c r="D2639" t="s">
        <v>32</v>
      </c>
      <c r="H2639">
        <v>4</v>
      </c>
    </row>
    <row r="2640" spans="1:8" x14ac:dyDescent="0.45">
      <c r="A2640" t="s">
        <v>48</v>
      </c>
      <c r="B2640" t="s">
        <v>20</v>
      </c>
      <c r="C2640">
        <v>12</v>
      </c>
      <c r="D2640" t="s">
        <v>34</v>
      </c>
      <c r="H2640">
        <v>6</v>
      </c>
    </row>
    <row r="2641" spans="1:8" x14ac:dyDescent="0.45">
      <c r="A2641" t="s">
        <v>60</v>
      </c>
      <c r="B2641" t="s">
        <v>21</v>
      </c>
      <c r="C2641">
        <v>1</v>
      </c>
      <c r="D2641" t="s">
        <v>19</v>
      </c>
      <c r="E2641">
        <v>450249</v>
      </c>
      <c r="F2641">
        <v>948</v>
      </c>
      <c r="G2641">
        <v>227</v>
      </c>
    </row>
    <row r="2642" spans="1:8" x14ac:dyDescent="0.45">
      <c r="A2642" t="s">
        <v>60</v>
      </c>
      <c r="B2642" t="s">
        <v>21</v>
      </c>
      <c r="C2642">
        <v>1</v>
      </c>
      <c r="D2642" t="s">
        <v>27</v>
      </c>
      <c r="F2642">
        <v>333</v>
      </c>
    </row>
    <row r="2643" spans="1:8" x14ac:dyDescent="0.45">
      <c r="A2643" t="s">
        <v>60</v>
      </c>
      <c r="B2643" t="s">
        <v>21</v>
      </c>
      <c r="C2643">
        <v>1</v>
      </c>
      <c r="D2643" t="s">
        <v>28</v>
      </c>
      <c r="F2643">
        <v>129</v>
      </c>
    </row>
    <row r="2644" spans="1:8" x14ac:dyDescent="0.45">
      <c r="A2644" t="s">
        <v>60</v>
      </c>
      <c r="B2644" t="s">
        <v>21</v>
      </c>
      <c r="C2644">
        <v>1</v>
      </c>
      <c r="D2644" t="s">
        <v>29</v>
      </c>
      <c r="F2644">
        <v>74</v>
      </c>
    </row>
    <row r="2645" spans="1:8" x14ac:dyDescent="0.45">
      <c r="A2645" t="s">
        <v>60</v>
      </c>
      <c r="B2645" t="s">
        <v>20</v>
      </c>
      <c r="C2645">
        <v>1</v>
      </c>
      <c r="D2645" t="s">
        <v>19</v>
      </c>
      <c r="E2645">
        <v>471858</v>
      </c>
      <c r="F2645">
        <v>995</v>
      </c>
      <c r="G2645">
        <v>259</v>
      </c>
    </row>
    <row r="2646" spans="1:8" x14ac:dyDescent="0.45">
      <c r="A2646" t="s">
        <v>60</v>
      </c>
      <c r="B2646" t="s">
        <v>20</v>
      </c>
      <c r="C2646">
        <v>1</v>
      </c>
      <c r="D2646" t="s">
        <v>27</v>
      </c>
      <c r="F2646">
        <v>308</v>
      </c>
    </row>
    <row r="2647" spans="1:8" x14ac:dyDescent="0.45">
      <c r="A2647" t="s">
        <v>60</v>
      </c>
      <c r="B2647" t="s">
        <v>20</v>
      </c>
      <c r="C2647">
        <v>1</v>
      </c>
      <c r="D2647" t="s">
        <v>28</v>
      </c>
      <c r="F2647">
        <v>187</v>
      </c>
    </row>
    <row r="2648" spans="1:8" x14ac:dyDescent="0.45">
      <c r="A2648" t="s">
        <v>60</v>
      </c>
      <c r="B2648" t="s">
        <v>20</v>
      </c>
      <c r="C2648">
        <v>1</v>
      </c>
      <c r="D2648" t="s">
        <v>29</v>
      </c>
      <c r="F2648">
        <v>127</v>
      </c>
    </row>
    <row r="2649" spans="1:8" x14ac:dyDescent="0.45">
      <c r="A2649" t="s">
        <v>60</v>
      </c>
      <c r="B2649" t="s">
        <v>20</v>
      </c>
      <c r="C2649">
        <v>1</v>
      </c>
      <c r="D2649" t="s">
        <v>31</v>
      </c>
      <c r="H2649">
        <v>32</v>
      </c>
    </row>
    <row r="2650" spans="1:8" x14ac:dyDescent="0.45">
      <c r="A2650" t="s">
        <v>60</v>
      </c>
      <c r="B2650" t="s">
        <v>20</v>
      </c>
      <c r="C2650">
        <v>1</v>
      </c>
      <c r="D2650" t="s">
        <v>32</v>
      </c>
      <c r="H2650">
        <v>2</v>
      </c>
    </row>
    <row r="2651" spans="1:8" x14ac:dyDescent="0.45">
      <c r="A2651" t="s">
        <v>60</v>
      </c>
      <c r="B2651" t="s">
        <v>20</v>
      </c>
      <c r="C2651">
        <v>1</v>
      </c>
      <c r="D2651" t="s">
        <v>34</v>
      </c>
    </row>
    <row r="2652" spans="1:8" x14ac:dyDescent="0.45">
      <c r="A2652" t="s">
        <v>60</v>
      </c>
      <c r="B2652" t="s">
        <v>21</v>
      </c>
      <c r="C2652">
        <v>2</v>
      </c>
      <c r="D2652" t="s">
        <v>19</v>
      </c>
      <c r="E2652">
        <v>321447</v>
      </c>
      <c r="F2652">
        <v>889</v>
      </c>
      <c r="G2652">
        <v>237</v>
      </c>
    </row>
    <row r="2653" spans="1:8" x14ac:dyDescent="0.45">
      <c r="A2653" t="s">
        <v>60</v>
      </c>
      <c r="B2653" t="s">
        <v>21</v>
      </c>
      <c r="C2653">
        <v>2</v>
      </c>
      <c r="D2653" t="s">
        <v>27</v>
      </c>
      <c r="F2653">
        <v>346</v>
      </c>
    </row>
    <row r="2654" spans="1:8" x14ac:dyDescent="0.45">
      <c r="A2654" t="s">
        <v>60</v>
      </c>
      <c r="B2654" t="s">
        <v>21</v>
      </c>
      <c r="C2654">
        <v>2</v>
      </c>
      <c r="D2654" t="s">
        <v>28</v>
      </c>
      <c r="F2654">
        <v>105</v>
      </c>
    </row>
    <row r="2655" spans="1:8" x14ac:dyDescent="0.45">
      <c r="A2655" t="s">
        <v>60</v>
      </c>
      <c r="B2655" t="s">
        <v>21</v>
      </c>
      <c r="C2655">
        <v>2</v>
      </c>
      <c r="D2655" t="s">
        <v>29</v>
      </c>
      <c r="F2655">
        <v>93</v>
      </c>
    </row>
    <row r="2656" spans="1:8" x14ac:dyDescent="0.45">
      <c r="A2656" t="s">
        <v>60</v>
      </c>
      <c r="B2656" t="s">
        <v>20</v>
      </c>
      <c r="C2656">
        <v>2</v>
      </c>
      <c r="D2656" t="s">
        <v>19</v>
      </c>
      <c r="E2656">
        <v>358575</v>
      </c>
      <c r="F2656">
        <v>870</v>
      </c>
      <c r="G2656">
        <v>217</v>
      </c>
    </row>
    <row r="2657" spans="1:8" x14ac:dyDescent="0.45">
      <c r="A2657" t="s">
        <v>60</v>
      </c>
      <c r="B2657" t="s">
        <v>20</v>
      </c>
      <c r="C2657">
        <v>2</v>
      </c>
      <c r="D2657" t="s">
        <v>27</v>
      </c>
      <c r="F2657">
        <v>331</v>
      </c>
    </row>
    <row r="2658" spans="1:8" x14ac:dyDescent="0.45">
      <c r="A2658" t="s">
        <v>60</v>
      </c>
      <c r="B2658" t="s">
        <v>20</v>
      </c>
      <c r="C2658">
        <v>2</v>
      </c>
      <c r="D2658" t="s">
        <v>28</v>
      </c>
      <c r="F2658">
        <v>117</v>
      </c>
    </row>
    <row r="2659" spans="1:8" x14ac:dyDescent="0.45">
      <c r="A2659" t="s">
        <v>60</v>
      </c>
      <c r="B2659" t="s">
        <v>20</v>
      </c>
      <c r="C2659">
        <v>2</v>
      </c>
      <c r="D2659" t="s">
        <v>29</v>
      </c>
      <c r="F2659">
        <v>74</v>
      </c>
    </row>
    <row r="2660" spans="1:8" x14ac:dyDescent="0.45">
      <c r="A2660" t="s">
        <v>60</v>
      </c>
      <c r="B2660" t="s">
        <v>20</v>
      </c>
      <c r="C2660">
        <v>2</v>
      </c>
      <c r="D2660" t="s">
        <v>31</v>
      </c>
      <c r="H2660">
        <v>38</v>
      </c>
    </row>
    <row r="2661" spans="1:8" x14ac:dyDescent="0.45">
      <c r="A2661" t="s">
        <v>60</v>
      </c>
      <c r="B2661" t="s">
        <v>20</v>
      </c>
      <c r="C2661">
        <v>2</v>
      </c>
      <c r="D2661" t="s">
        <v>32</v>
      </c>
      <c r="H2661">
        <v>3</v>
      </c>
    </row>
    <row r="2662" spans="1:8" x14ac:dyDescent="0.45">
      <c r="A2662" t="s">
        <v>60</v>
      </c>
      <c r="B2662" t="s">
        <v>20</v>
      </c>
      <c r="C2662">
        <v>2</v>
      </c>
      <c r="D2662" t="s">
        <v>34</v>
      </c>
      <c r="H2662">
        <v>3</v>
      </c>
    </row>
    <row r="2663" spans="1:8" x14ac:dyDescent="0.45">
      <c r="A2663" t="s">
        <v>60</v>
      </c>
      <c r="B2663" t="s">
        <v>21</v>
      </c>
      <c r="C2663">
        <v>3</v>
      </c>
      <c r="D2663" t="s">
        <v>19</v>
      </c>
      <c r="E2663">
        <v>878301</v>
      </c>
      <c r="F2663">
        <v>1689</v>
      </c>
      <c r="G2663">
        <v>411</v>
      </c>
    </row>
    <row r="2664" spans="1:8" x14ac:dyDescent="0.45">
      <c r="A2664" t="s">
        <v>60</v>
      </c>
      <c r="B2664" t="s">
        <v>21</v>
      </c>
      <c r="C2664">
        <v>3</v>
      </c>
      <c r="D2664" t="s">
        <v>27</v>
      </c>
      <c r="F2664">
        <v>461</v>
      </c>
    </row>
    <row r="2665" spans="1:8" x14ac:dyDescent="0.45">
      <c r="A2665" t="s">
        <v>60</v>
      </c>
      <c r="B2665" t="s">
        <v>21</v>
      </c>
      <c r="C2665">
        <v>3</v>
      </c>
      <c r="D2665" t="s">
        <v>28</v>
      </c>
      <c r="F2665">
        <v>261</v>
      </c>
    </row>
    <row r="2666" spans="1:8" x14ac:dyDescent="0.45">
      <c r="A2666" t="s">
        <v>60</v>
      </c>
      <c r="B2666" t="s">
        <v>21</v>
      </c>
      <c r="C2666">
        <v>3</v>
      </c>
      <c r="D2666" t="s">
        <v>29</v>
      </c>
      <c r="F2666">
        <v>178</v>
      </c>
    </row>
    <row r="2667" spans="1:8" x14ac:dyDescent="0.45">
      <c r="A2667" t="s">
        <v>60</v>
      </c>
      <c r="B2667" t="s">
        <v>20</v>
      </c>
      <c r="C2667">
        <v>3</v>
      </c>
      <c r="D2667" t="s">
        <v>19</v>
      </c>
      <c r="E2667">
        <v>827961</v>
      </c>
      <c r="F2667">
        <v>1690</v>
      </c>
      <c r="G2667">
        <v>400</v>
      </c>
    </row>
    <row r="2668" spans="1:8" x14ac:dyDescent="0.45">
      <c r="A2668" t="s">
        <v>60</v>
      </c>
      <c r="B2668" t="s">
        <v>20</v>
      </c>
      <c r="C2668">
        <v>3</v>
      </c>
      <c r="D2668" t="s">
        <v>27</v>
      </c>
      <c r="F2668">
        <v>426</v>
      </c>
    </row>
    <row r="2669" spans="1:8" x14ac:dyDescent="0.45">
      <c r="A2669" t="s">
        <v>60</v>
      </c>
      <c r="B2669" t="s">
        <v>20</v>
      </c>
      <c r="C2669">
        <v>3</v>
      </c>
      <c r="D2669" t="s">
        <v>28</v>
      </c>
      <c r="F2669">
        <v>238</v>
      </c>
    </row>
    <row r="2670" spans="1:8" x14ac:dyDescent="0.45">
      <c r="A2670" t="s">
        <v>60</v>
      </c>
      <c r="B2670" t="s">
        <v>20</v>
      </c>
      <c r="C2670">
        <v>3</v>
      </c>
      <c r="D2670" t="s">
        <v>29</v>
      </c>
      <c r="F2670">
        <v>187</v>
      </c>
    </row>
    <row r="2671" spans="1:8" x14ac:dyDescent="0.45">
      <c r="A2671" t="s">
        <v>60</v>
      </c>
      <c r="B2671" t="s">
        <v>20</v>
      </c>
      <c r="C2671">
        <v>3</v>
      </c>
      <c r="D2671" t="s">
        <v>31</v>
      </c>
      <c r="H2671">
        <v>22</v>
      </c>
    </row>
    <row r="2672" spans="1:8" x14ac:dyDescent="0.45">
      <c r="A2672" t="s">
        <v>60</v>
      </c>
      <c r="B2672" t="s">
        <v>20</v>
      </c>
      <c r="C2672">
        <v>3</v>
      </c>
      <c r="D2672" t="s">
        <v>32</v>
      </c>
      <c r="H2672">
        <v>4</v>
      </c>
    </row>
    <row r="2673" spans="1:8" x14ac:dyDescent="0.45">
      <c r="A2673" t="s">
        <v>60</v>
      </c>
      <c r="B2673" t="s">
        <v>20</v>
      </c>
      <c r="C2673">
        <v>3</v>
      </c>
      <c r="D2673" t="s">
        <v>34</v>
      </c>
      <c r="H2673">
        <v>3</v>
      </c>
    </row>
    <row r="2674" spans="1:8" x14ac:dyDescent="0.45">
      <c r="A2674" t="s">
        <v>60</v>
      </c>
      <c r="B2674" t="s">
        <v>21</v>
      </c>
      <c r="C2674">
        <v>4</v>
      </c>
      <c r="D2674" t="s">
        <v>19</v>
      </c>
      <c r="E2674">
        <v>1137576</v>
      </c>
      <c r="F2674">
        <v>1985</v>
      </c>
      <c r="G2674">
        <v>462</v>
      </c>
    </row>
    <row r="2675" spans="1:8" x14ac:dyDescent="0.45">
      <c r="A2675" t="s">
        <v>60</v>
      </c>
      <c r="B2675" t="s">
        <v>21</v>
      </c>
      <c r="C2675">
        <v>4</v>
      </c>
      <c r="D2675" t="s">
        <v>27</v>
      </c>
      <c r="F2675">
        <v>500</v>
      </c>
    </row>
    <row r="2676" spans="1:8" x14ac:dyDescent="0.45">
      <c r="A2676" t="s">
        <v>60</v>
      </c>
      <c r="B2676" t="s">
        <v>21</v>
      </c>
      <c r="C2676">
        <v>4</v>
      </c>
      <c r="D2676" t="s">
        <v>28</v>
      </c>
      <c r="F2676">
        <v>266</v>
      </c>
    </row>
    <row r="2677" spans="1:8" x14ac:dyDescent="0.45">
      <c r="A2677" t="s">
        <v>60</v>
      </c>
      <c r="B2677" t="s">
        <v>21</v>
      </c>
      <c r="C2677">
        <v>4</v>
      </c>
      <c r="D2677" t="s">
        <v>29</v>
      </c>
      <c r="F2677">
        <v>223</v>
      </c>
    </row>
    <row r="2678" spans="1:8" x14ac:dyDescent="0.45">
      <c r="A2678" t="s">
        <v>60</v>
      </c>
      <c r="B2678" t="s">
        <v>20</v>
      </c>
      <c r="C2678">
        <v>4</v>
      </c>
      <c r="D2678" t="s">
        <v>19</v>
      </c>
      <c r="E2678">
        <v>1139994</v>
      </c>
      <c r="F2678">
        <v>2019</v>
      </c>
      <c r="G2678">
        <v>460</v>
      </c>
    </row>
    <row r="2679" spans="1:8" x14ac:dyDescent="0.45">
      <c r="A2679" t="s">
        <v>60</v>
      </c>
      <c r="B2679" t="s">
        <v>20</v>
      </c>
      <c r="C2679">
        <v>4</v>
      </c>
      <c r="D2679" t="s">
        <v>27</v>
      </c>
      <c r="F2679">
        <v>434</v>
      </c>
    </row>
    <row r="2680" spans="1:8" x14ac:dyDescent="0.45">
      <c r="A2680" t="s">
        <v>60</v>
      </c>
      <c r="B2680" t="s">
        <v>20</v>
      </c>
      <c r="C2680">
        <v>4</v>
      </c>
      <c r="D2680" t="s">
        <v>28</v>
      </c>
      <c r="F2680">
        <v>284</v>
      </c>
    </row>
    <row r="2681" spans="1:8" x14ac:dyDescent="0.45">
      <c r="A2681" t="s">
        <v>60</v>
      </c>
      <c r="B2681" t="s">
        <v>20</v>
      </c>
      <c r="C2681">
        <v>4</v>
      </c>
      <c r="D2681" t="s">
        <v>29</v>
      </c>
      <c r="F2681">
        <v>273</v>
      </c>
    </row>
    <row r="2682" spans="1:8" x14ac:dyDescent="0.45">
      <c r="A2682" t="s">
        <v>60</v>
      </c>
      <c r="B2682" t="s">
        <v>20</v>
      </c>
      <c r="C2682">
        <v>4</v>
      </c>
      <c r="D2682" t="s">
        <v>31</v>
      </c>
      <c r="H2682">
        <v>19</v>
      </c>
    </row>
    <row r="2683" spans="1:8" x14ac:dyDescent="0.45">
      <c r="A2683" t="s">
        <v>60</v>
      </c>
      <c r="B2683" t="s">
        <v>20</v>
      </c>
      <c r="C2683">
        <v>4</v>
      </c>
      <c r="D2683" t="s">
        <v>32</v>
      </c>
      <c r="H2683">
        <v>4</v>
      </c>
    </row>
    <row r="2684" spans="1:8" x14ac:dyDescent="0.45">
      <c r="A2684" t="s">
        <v>60</v>
      </c>
      <c r="B2684" t="s">
        <v>20</v>
      </c>
      <c r="C2684">
        <v>4</v>
      </c>
      <c r="D2684" t="s">
        <v>34</v>
      </c>
      <c r="H2684">
        <v>3</v>
      </c>
    </row>
    <row r="2685" spans="1:8" x14ac:dyDescent="0.45">
      <c r="A2685" t="s">
        <v>60</v>
      </c>
      <c r="B2685" t="s">
        <v>21</v>
      </c>
      <c r="C2685">
        <v>5</v>
      </c>
      <c r="D2685" t="s">
        <v>19</v>
      </c>
      <c r="E2685">
        <v>1063986</v>
      </c>
      <c r="F2685">
        <v>1868</v>
      </c>
      <c r="G2685">
        <v>423</v>
      </c>
    </row>
    <row r="2686" spans="1:8" x14ac:dyDescent="0.45">
      <c r="A2686" t="s">
        <v>60</v>
      </c>
      <c r="B2686" t="s">
        <v>21</v>
      </c>
      <c r="C2686">
        <v>5</v>
      </c>
      <c r="D2686" t="s">
        <v>27</v>
      </c>
      <c r="F2686">
        <v>433</v>
      </c>
    </row>
    <row r="2687" spans="1:8" x14ac:dyDescent="0.45">
      <c r="A2687" t="s">
        <v>60</v>
      </c>
      <c r="B2687" t="s">
        <v>21</v>
      </c>
      <c r="C2687">
        <v>5</v>
      </c>
      <c r="D2687" t="s">
        <v>28</v>
      </c>
      <c r="F2687">
        <v>255</v>
      </c>
    </row>
    <row r="2688" spans="1:8" x14ac:dyDescent="0.45">
      <c r="A2688" t="s">
        <v>60</v>
      </c>
      <c r="B2688" t="s">
        <v>21</v>
      </c>
      <c r="C2688">
        <v>5</v>
      </c>
      <c r="D2688" t="s">
        <v>29</v>
      </c>
      <c r="F2688">
        <v>196</v>
      </c>
    </row>
    <row r="2689" spans="1:8" x14ac:dyDescent="0.45">
      <c r="A2689" t="s">
        <v>60</v>
      </c>
      <c r="B2689" t="s">
        <v>20</v>
      </c>
      <c r="C2689">
        <v>5</v>
      </c>
      <c r="D2689" t="s">
        <v>19</v>
      </c>
      <c r="E2689">
        <v>1031857</v>
      </c>
      <c r="F2689">
        <v>1491</v>
      </c>
      <c r="G2689">
        <v>345</v>
      </c>
    </row>
    <row r="2690" spans="1:8" x14ac:dyDescent="0.45">
      <c r="A2690" t="s">
        <v>60</v>
      </c>
      <c r="B2690" t="s">
        <v>20</v>
      </c>
      <c r="C2690">
        <v>5</v>
      </c>
      <c r="D2690" t="s">
        <v>27</v>
      </c>
      <c r="F2690">
        <v>384</v>
      </c>
    </row>
    <row r="2691" spans="1:8" x14ac:dyDescent="0.45">
      <c r="A2691" t="s">
        <v>60</v>
      </c>
      <c r="B2691" t="s">
        <v>20</v>
      </c>
      <c r="C2691">
        <v>5</v>
      </c>
      <c r="D2691" t="s">
        <v>28</v>
      </c>
      <c r="F2691">
        <v>222</v>
      </c>
    </row>
    <row r="2692" spans="1:8" x14ac:dyDescent="0.45">
      <c r="A2692" t="s">
        <v>60</v>
      </c>
      <c r="B2692" t="s">
        <v>20</v>
      </c>
      <c r="C2692">
        <v>5</v>
      </c>
      <c r="D2692" t="s">
        <v>29</v>
      </c>
      <c r="F2692">
        <v>166</v>
      </c>
    </row>
    <row r="2693" spans="1:8" x14ac:dyDescent="0.45">
      <c r="A2693" t="s">
        <v>60</v>
      </c>
      <c r="B2693" t="s">
        <v>20</v>
      </c>
      <c r="C2693">
        <v>5</v>
      </c>
      <c r="D2693" t="s">
        <v>31</v>
      </c>
      <c r="H2693">
        <v>40</v>
      </c>
    </row>
    <row r="2694" spans="1:8" x14ac:dyDescent="0.45">
      <c r="A2694" t="s">
        <v>60</v>
      </c>
      <c r="B2694" t="s">
        <v>20</v>
      </c>
      <c r="C2694">
        <v>5</v>
      </c>
      <c r="D2694" t="s">
        <v>32</v>
      </c>
      <c r="H2694">
        <v>1</v>
      </c>
    </row>
    <row r="2695" spans="1:8" x14ac:dyDescent="0.45">
      <c r="A2695" t="s">
        <v>60</v>
      </c>
      <c r="B2695" t="s">
        <v>20</v>
      </c>
      <c r="C2695">
        <v>5</v>
      </c>
      <c r="D2695" t="s">
        <v>34</v>
      </c>
      <c r="H2695">
        <v>3</v>
      </c>
    </row>
    <row r="2696" spans="1:8" x14ac:dyDescent="0.45">
      <c r="A2696" t="s">
        <v>60</v>
      </c>
      <c r="B2696" t="s">
        <v>21</v>
      </c>
      <c r="C2696">
        <v>6</v>
      </c>
      <c r="D2696" t="s">
        <v>19</v>
      </c>
      <c r="E2696">
        <v>924914</v>
      </c>
      <c r="F2696">
        <v>1726</v>
      </c>
      <c r="G2696">
        <v>432</v>
      </c>
    </row>
    <row r="2697" spans="1:8" x14ac:dyDescent="0.45">
      <c r="A2697" t="s">
        <v>60</v>
      </c>
      <c r="B2697" t="s">
        <v>21</v>
      </c>
      <c r="C2697">
        <v>6</v>
      </c>
      <c r="D2697" t="s">
        <v>27</v>
      </c>
      <c r="F2697">
        <v>533</v>
      </c>
    </row>
    <row r="2698" spans="1:8" x14ac:dyDescent="0.45">
      <c r="A2698" t="s">
        <v>60</v>
      </c>
      <c r="B2698" t="s">
        <v>21</v>
      </c>
      <c r="C2698">
        <v>6</v>
      </c>
      <c r="D2698" t="s">
        <v>28</v>
      </c>
      <c r="F2698">
        <v>273</v>
      </c>
    </row>
    <row r="2699" spans="1:8" x14ac:dyDescent="0.45">
      <c r="A2699" t="s">
        <v>60</v>
      </c>
      <c r="B2699" t="s">
        <v>21</v>
      </c>
      <c r="C2699">
        <v>6</v>
      </c>
      <c r="D2699" t="s">
        <v>29</v>
      </c>
      <c r="F2699">
        <v>192</v>
      </c>
    </row>
    <row r="2700" spans="1:8" x14ac:dyDescent="0.45">
      <c r="A2700" t="s">
        <v>60</v>
      </c>
      <c r="B2700" t="s">
        <v>20</v>
      </c>
      <c r="C2700">
        <v>6</v>
      </c>
      <c r="D2700" t="s">
        <v>19</v>
      </c>
      <c r="E2700">
        <v>697275</v>
      </c>
      <c r="F2700">
        <v>1365</v>
      </c>
      <c r="G2700">
        <v>331</v>
      </c>
    </row>
    <row r="2701" spans="1:8" x14ac:dyDescent="0.45">
      <c r="A2701" t="s">
        <v>60</v>
      </c>
      <c r="B2701" t="s">
        <v>20</v>
      </c>
      <c r="C2701">
        <v>6</v>
      </c>
      <c r="D2701" t="s">
        <v>27</v>
      </c>
      <c r="F2701">
        <v>437</v>
      </c>
    </row>
    <row r="2702" spans="1:8" x14ac:dyDescent="0.45">
      <c r="A2702" t="s">
        <v>60</v>
      </c>
      <c r="B2702" t="s">
        <v>20</v>
      </c>
      <c r="C2702">
        <v>6</v>
      </c>
      <c r="D2702" t="s">
        <v>28</v>
      </c>
      <c r="F2702">
        <v>208</v>
      </c>
    </row>
    <row r="2703" spans="1:8" x14ac:dyDescent="0.45">
      <c r="A2703" t="s">
        <v>60</v>
      </c>
      <c r="B2703" t="s">
        <v>20</v>
      </c>
      <c r="C2703">
        <v>6</v>
      </c>
      <c r="D2703" t="s">
        <v>29</v>
      </c>
      <c r="F2703">
        <v>157</v>
      </c>
    </row>
    <row r="2704" spans="1:8" x14ac:dyDescent="0.45">
      <c r="A2704" t="s">
        <v>60</v>
      </c>
      <c r="B2704" t="s">
        <v>20</v>
      </c>
      <c r="C2704">
        <v>6</v>
      </c>
      <c r="D2704" t="s">
        <v>31</v>
      </c>
      <c r="H2704">
        <v>7</v>
      </c>
    </row>
    <row r="2705" spans="1:8" x14ac:dyDescent="0.45">
      <c r="A2705" t="s">
        <v>60</v>
      </c>
      <c r="B2705" t="s">
        <v>20</v>
      </c>
      <c r="C2705">
        <v>6</v>
      </c>
      <c r="D2705" t="s">
        <v>32</v>
      </c>
      <c r="H2705">
        <v>6</v>
      </c>
    </row>
    <row r="2706" spans="1:8" x14ac:dyDescent="0.45">
      <c r="A2706" t="s">
        <v>60</v>
      </c>
      <c r="B2706" t="s">
        <v>20</v>
      </c>
      <c r="C2706">
        <v>6</v>
      </c>
      <c r="D2706" t="s">
        <v>34</v>
      </c>
      <c r="H2706">
        <v>3</v>
      </c>
    </row>
    <row r="2707" spans="1:8" x14ac:dyDescent="0.45">
      <c r="A2707" t="s">
        <v>60</v>
      </c>
      <c r="B2707" t="s">
        <v>21</v>
      </c>
      <c r="C2707">
        <v>7</v>
      </c>
      <c r="D2707" t="s">
        <v>19</v>
      </c>
      <c r="E2707">
        <v>639589</v>
      </c>
      <c r="F2707">
        <v>1263</v>
      </c>
      <c r="G2707">
        <v>324</v>
      </c>
    </row>
    <row r="2708" spans="1:8" x14ac:dyDescent="0.45">
      <c r="A2708" t="s">
        <v>60</v>
      </c>
      <c r="B2708" t="s">
        <v>21</v>
      </c>
      <c r="C2708">
        <v>7</v>
      </c>
      <c r="D2708" t="s">
        <v>27</v>
      </c>
      <c r="F2708">
        <v>490</v>
      </c>
    </row>
    <row r="2709" spans="1:8" x14ac:dyDescent="0.45">
      <c r="A2709" t="s">
        <v>60</v>
      </c>
      <c r="B2709" t="s">
        <v>21</v>
      </c>
      <c r="C2709">
        <v>7</v>
      </c>
      <c r="D2709" t="s">
        <v>28</v>
      </c>
      <c r="F2709">
        <v>209</v>
      </c>
    </row>
    <row r="2710" spans="1:8" x14ac:dyDescent="0.45">
      <c r="A2710" t="s">
        <v>60</v>
      </c>
      <c r="B2710" t="s">
        <v>21</v>
      </c>
      <c r="C2710">
        <v>7</v>
      </c>
      <c r="D2710" t="s">
        <v>29</v>
      </c>
      <c r="F2710">
        <v>112</v>
      </c>
    </row>
    <row r="2711" spans="1:8" x14ac:dyDescent="0.45">
      <c r="A2711" t="s">
        <v>60</v>
      </c>
      <c r="B2711" t="s">
        <v>20</v>
      </c>
      <c r="C2711">
        <v>7</v>
      </c>
      <c r="D2711" t="s">
        <v>19</v>
      </c>
      <c r="E2711">
        <v>646694</v>
      </c>
      <c r="F2711">
        <v>1238</v>
      </c>
      <c r="G2711">
        <v>331</v>
      </c>
    </row>
    <row r="2712" spans="1:8" x14ac:dyDescent="0.45">
      <c r="A2712" t="s">
        <v>60</v>
      </c>
      <c r="B2712" t="s">
        <v>20</v>
      </c>
      <c r="C2712">
        <v>7</v>
      </c>
      <c r="D2712" t="s">
        <v>27</v>
      </c>
      <c r="F2712">
        <v>387</v>
      </c>
    </row>
    <row r="2713" spans="1:8" x14ac:dyDescent="0.45">
      <c r="A2713" t="s">
        <v>60</v>
      </c>
      <c r="B2713" t="s">
        <v>20</v>
      </c>
      <c r="C2713">
        <v>7</v>
      </c>
      <c r="D2713" t="s">
        <v>28</v>
      </c>
      <c r="F2713">
        <v>232</v>
      </c>
    </row>
    <row r="2714" spans="1:8" x14ac:dyDescent="0.45">
      <c r="A2714" t="s">
        <v>60</v>
      </c>
      <c r="B2714" t="s">
        <v>20</v>
      </c>
      <c r="C2714">
        <v>7</v>
      </c>
      <c r="D2714" t="s">
        <v>29</v>
      </c>
      <c r="F2714">
        <v>154</v>
      </c>
    </row>
    <row r="2715" spans="1:8" x14ac:dyDescent="0.45">
      <c r="A2715" t="s">
        <v>60</v>
      </c>
      <c r="B2715" t="s">
        <v>20</v>
      </c>
      <c r="C2715">
        <v>7</v>
      </c>
      <c r="D2715" t="s">
        <v>31</v>
      </c>
      <c r="H2715">
        <v>93</v>
      </c>
    </row>
    <row r="2716" spans="1:8" x14ac:dyDescent="0.45">
      <c r="A2716" t="s">
        <v>60</v>
      </c>
      <c r="B2716" t="s">
        <v>20</v>
      </c>
      <c r="C2716">
        <v>7</v>
      </c>
      <c r="D2716" t="s">
        <v>32</v>
      </c>
      <c r="H2716">
        <v>2</v>
      </c>
    </row>
    <row r="2717" spans="1:8" x14ac:dyDescent="0.45">
      <c r="A2717" t="s">
        <v>60</v>
      </c>
      <c r="B2717" t="s">
        <v>20</v>
      </c>
      <c r="C2717">
        <v>7</v>
      </c>
      <c r="D2717" t="s">
        <v>34</v>
      </c>
      <c r="H2717">
        <v>2</v>
      </c>
    </row>
    <row r="2718" spans="1:8" x14ac:dyDescent="0.45">
      <c r="A2718" t="s">
        <v>60</v>
      </c>
      <c r="B2718" t="s">
        <v>21</v>
      </c>
      <c r="C2718">
        <v>8</v>
      </c>
      <c r="D2718" t="s">
        <v>19</v>
      </c>
      <c r="E2718">
        <v>433579</v>
      </c>
      <c r="F2718">
        <v>902</v>
      </c>
      <c r="G2718">
        <v>235</v>
      </c>
    </row>
    <row r="2719" spans="1:8" x14ac:dyDescent="0.45">
      <c r="A2719" t="s">
        <v>60</v>
      </c>
      <c r="B2719" t="s">
        <v>21</v>
      </c>
      <c r="C2719">
        <v>8</v>
      </c>
      <c r="D2719" t="s">
        <v>27</v>
      </c>
      <c r="F2719">
        <v>320</v>
      </c>
      <c r="G2719">
        <v>1032</v>
      </c>
    </row>
    <row r="2720" spans="1:8" x14ac:dyDescent="0.45">
      <c r="A2720" t="s">
        <v>60</v>
      </c>
      <c r="B2720" t="s">
        <v>21</v>
      </c>
      <c r="C2720">
        <v>8</v>
      </c>
      <c r="D2720" t="s">
        <v>28</v>
      </c>
      <c r="F2720">
        <v>161</v>
      </c>
      <c r="G2720">
        <v>764</v>
      </c>
    </row>
    <row r="2721" spans="1:8" x14ac:dyDescent="0.45">
      <c r="A2721" t="s">
        <v>60</v>
      </c>
      <c r="B2721" t="s">
        <v>21</v>
      </c>
      <c r="C2721">
        <v>8</v>
      </c>
      <c r="D2721" t="s">
        <v>29</v>
      </c>
      <c r="F2721">
        <v>64</v>
      </c>
      <c r="G2721">
        <v>1437</v>
      </c>
    </row>
    <row r="2722" spans="1:8" x14ac:dyDescent="0.45">
      <c r="A2722" t="s">
        <v>60</v>
      </c>
      <c r="B2722" t="s">
        <v>20</v>
      </c>
      <c r="C2722">
        <v>8</v>
      </c>
      <c r="D2722" t="s">
        <v>19</v>
      </c>
      <c r="E2722">
        <v>438081</v>
      </c>
      <c r="F2722">
        <v>884</v>
      </c>
      <c r="G2722">
        <v>225</v>
      </c>
    </row>
    <row r="2723" spans="1:8" x14ac:dyDescent="0.45">
      <c r="A2723" t="s">
        <v>60</v>
      </c>
      <c r="B2723" t="s">
        <v>20</v>
      </c>
      <c r="C2723">
        <v>8</v>
      </c>
      <c r="D2723" t="s">
        <v>27</v>
      </c>
      <c r="F2723">
        <v>304</v>
      </c>
      <c r="G2723">
        <v>892</v>
      </c>
    </row>
    <row r="2724" spans="1:8" x14ac:dyDescent="0.45">
      <c r="A2724" t="s">
        <v>60</v>
      </c>
      <c r="B2724" t="s">
        <v>20</v>
      </c>
      <c r="C2724">
        <v>8</v>
      </c>
      <c r="D2724" t="s">
        <v>28</v>
      </c>
      <c r="F2724">
        <v>152</v>
      </c>
      <c r="G2724">
        <v>1269</v>
      </c>
    </row>
    <row r="2725" spans="1:8" x14ac:dyDescent="0.45">
      <c r="A2725" t="s">
        <v>60</v>
      </c>
      <c r="B2725" t="s">
        <v>20</v>
      </c>
      <c r="C2725">
        <v>8</v>
      </c>
      <c r="D2725" t="s">
        <v>29</v>
      </c>
      <c r="F2725">
        <v>83</v>
      </c>
      <c r="G2725">
        <v>868</v>
      </c>
    </row>
    <row r="2726" spans="1:8" x14ac:dyDescent="0.45">
      <c r="A2726" t="s">
        <v>60</v>
      </c>
      <c r="B2726" t="s">
        <v>20</v>
      </c>
      <c r="C2726">
        <v>8</v>
      </c>
      <c r="D2726" t="s">
        <v>31</v>
      </c>
      <c r="H2726">
        <v>7</v>
      </c>
    </row>
    <row r="2727" spans="1:8" x14ac:dyDescent="0.45">
      <c r="A2727" t="s">
        <v>60</v>
      </c>
      <c r="B2727" t="s">
        <v>20</v>
      </c>
      <c r="C2727">
        <v>8</v>
      </c>
      <c r="D2727" t="s">
        <v>32</v>
      </c>
      <c r="H2727">
        <v>4</v>
      </c>
    </row>
    <row r="2728" spans="1:8" x14ac:dyDescent="0.45">
      <c r="A2728" t="s">
        <v>60</v>
      </c>
      <c r="B2728" t="s">
        <v>20</v>
      </c>
      <c r="C2728">
        <v>8</v>
      </c>
      <c r="D2728" t="s">
        <v>34</v>
      </c>
      <c r="H2728">
        <v>2</v>
      </c>
    </row>
    <row r="2729" spans="1:8" x14ac:dyDescent="0.45">
      <c r="A2729" t="s">
        <v>60</v>
      </c>
      <c r="B2729" t="s">
        <v>21</v>
      </c>
      <c r="C2729">
        <v>9</v>
      </c>
      <c r="D2729" t="s">
        <v>19</v>
      </c>
      <c r="E2729">
        <v>428066</v>
      </c>
      <c r="F2729">
        <v>1023</v>
      </c>
      <c r="G2729">
        <v>254</v>
      </c>
    </row>
    <row r="2730" spans="1:8" x14ac:dyDescent="0.45">
      <c r="A2730" t="s">
        <v>60</v>
      </c>
      <c r="B2730" t="s">
        <v>21</v>
      </c>
      <c r="C2730">
        <v>9</v>
      </c>
      <c r="D2730" t="s">
        <v>27</v>
      </c>
      <c r="F2730">
        <v>375</v>
      </c>
    </row>
    <row r="2731" spans="1:8" x14ac:dyDescent="0.45">
      <c r="A2731" t="s">
        <v>60</v>
      </c>
      <c r="B2731" t="s">
        <v>21</v>
      </c>
      <c r="C2731">
        <v>9</v>
      </c>
      <c r="D2731" t="s">
        <v>28</v>
      </c>
      <c r="F2731">
        <v>158</v>
      </c>
    </row>
    <row r="2732" spans="1:8" x14ac:dyDescent="0.45">
      <c r="A2732" t="s">
        <v>60</v>
      </c>
      <c r="B2732" t="s">
        <v>21</v>
      </c>
      <c r="C2732">
        <v>9</v>
      </c>
      <c r="D2732" t="s">
        <v>29</v>
      </c>
      <c r="F2732">
        <v>84</v>
      </c>
    </row>
    <row r="2733" spans="1:8" x14ac:dyDescent="0.45">
      <c r="A2733" t="s">
        <v>60</v>
      </c>
      <c r="B2733" t="s">
        <v>20</v>
      </c>
      <c r="C2733">
        <v>9</v>
      </c>
      <c r="D2733" t="s">
        <v>19</v>
      </c>
      <c r="E2733">
        <v>517721</v>
      </c>
      <c r="F2733">
        <v>1255</v>
      </c>
      <c r="G2733">
        <v>297</v>
      </c>
    </row>
    <row r="2734" spans="1:8" x14ac:dyDescent="0.45">
      <c r="A2734" t="s">
        <v>60</v>
      </c>
      <c r="B2734" t="s">
        <v>20</v>
      </c>
      <c r="C2734">
        <v>9</v>
      </c>
      <c r="D2734" t="s">
        <v>27</v>
      </c>
      <c r="F2734">
        <v>404</v>
      </c>
    </row>
    <row r="2735" spans="1:8" x14ac:dyDescent="0.45">
      <c r="A2735" t="s">
        <v>60</v>
      </c>
      <c r="B2735" t="s">
        <v>20</v>
      </c>
      <c r="C2735">
        <v>9</v>
      </c>
      <c r="D2735" t="s">
        <v>28</v>
      </c>
      <c r="F2735">
        <v>200</v>
      </c>
    </row>
    <row r="2736" spans="1:8" x14ac:dyDescent="0.45">
      <c r="A2736" t="s">
        <v>60</v>
      </c>
      <c r="B2736" t="s">
        <v>20</v>
      </c>
      <c r="C2736">
        <v>9</v>
      </c>
      <c r="D2736" t="s">
        <v>29</v>
      </c>
      <c r="F2736">
        <v>91</v>
      </c>
    </row>
    <row r="2737" spans="1:8" x14ac:dyDescent="0.45">
      <c r="A2737" t="s">
        <v>60</v>
      </c>
      <c r="B2737" t="s">
        <v>20</v>
      </c>
      <c r="C2737">
        <v>9</v>
      </c>
      <c r="D2737" t="s">
        <v>31</v>
      </c>
      <c r="H2737">
        <v>61</v>
      </c>
    </row>
    <row r="2738" spans="1:8" x14ac:dyDescent="0.45">
      <c r="A2738" t="s">
        <v>60</v>
      </c>
      <c r="B2738" t="s">
        <v>20</v>
      </c>
      <c r="C2738">
        <v>9</v>
      </c>
      <c r="D2738" t="s">
        <v>32</v>
      </c>
      <c r="H2738">
        <v>10</v>
      </c>
    </row>
    <row r="2739" spans="1:8" x14ac:dyDescent="0.45">
      <c r="A2739" t="s">
        <v>60</v>
      </c>
      <c r="B2739" t="s">
        <v>20</v>
      </c>
      <c r="C2739">
        <v>9</v>
      </c>
      <c r="D2739" t="s">
        <v>34</v>
      </c>
      <c r="H2739">
        <v>0</v>
      </c>
    </row>
    <row r="2740" spans="1:8" x14ac:dyDescent="0.45">
      <c r="A2740" t="s">
        <v>60</v>
      </c>
      <c r="B2740" t="s">
        <v>21</v>
      </c>
      <c r="C2740">
        <v>10</v>
      </c>
      <c r="D2740" t="s">
        <v>19</v>
      </c>
      <c r="E2740">
        <v>659127</v>
      </c>
      <c r="F2740">
        <v>1486</v>
      </c>
      <c r="G2740">
        <v>358</v>
      </c>
    </row>
    <row r="2741" spans="1:8" x14ac:dyDescent="0.45">
      <c r="A2741" t="s">
        <v>60</v>
      </c>
      <c r="B2741" t="s">
        <v>21</v>
      </c>
      <c r="C2741">
        <v>10</v>
      </c>
      <c r="D2741" t="s">
        <v>27</v>
      </c>
      <c r="F2741">
        <v>495</v>
      </c>
    </row>
    <row r="2742" spans="1:8" x14ac:dyDescent="0.45">
      <c r="A2742" t="s">
        <v>60</v>
      </c>
      <c r="B2742" t="s">
        <v>21</v>
      </c>
      <c r="C2742">
        <v>10</v>
      </c>
      <c r="D2742" t="s">
        <v>28</v>
      </c>
      <c r="F2742">
        <v>260</v>
      </c>
    </row>
    <row r="2743" spans="1:8" x14ac:dyDescent="0.45">
      <c r="A2743" t="s">
        <v>60</v>
      </c>
      <c r="B2743" t="s">
        <v>21</v>
      </c>
      <c r="C2743">
        <v>10</v>
      </c>
      <c r="D2743" t="s">
        <v>29</v>
      </c>
      <c r="F2743">
        <v>144</v>
      </c>
    </row>
    <row r="2744" spans="1:8" x14ac:dyDescent="0.45">
      <c r="A2744" t="s">
        <v>60</v>
      </c>
      <c r="B2744" t="s">
        <v>20</v>
      </c>
      <c r="C2744">
        <v>10</v>
      </c>
      <c r="D2744" t="s">
        <v>19</v>
      </c>
      <c r="E2744">
        <v>678105</v>
      </c>
      <c r="F2744">
        <v>1393</v>
      </c>
      <c r="G2744">
        <v>352</v>
      </c>
    </row>
    <row r="2745" spans="1:8" x14ac:dyDescent="0.45">
      <c r="A2745" t="s">
        <v>60</v>
      </c>
      <c r="B2745" t="s">
        <v>20</v>
      </c>
      <c r="C2745">
        <v>10</v>
      </c>
      <c r="D2745" t="s">
        <v>27</v>
      </c>
      <c r="F2745">
        <v>438</v>
      </c>
    </row>
    <row r="2746" spans="1:8" x14ac:dyDescent="0.45">
      <c r="A2746" t="s">
        <v>60</v>
      </c>
      <c r="B2746" t="s">
        <v>20</v>
      </c>
      <c r="C2746">
        <v>10</v>
      </c>
      <c r="D2746" t="s">
        <v>28</v>
      </c>
      <c r="F2746">
        <v>249</v>
      </c>
    </row>
    <row r="2747" spans="1:8" x14ac:dyDescent="0.45">
      <c r="A2747" t="s">
        <v>60</v>
      </c>
      <c r="B2747" t="s">
        <v>20</v>
      </c>
      <c r="C2747">
        <v>10</v>
      </c>
      <c r="D2747" t="s">
        <v>29</v>
      </c>
      <c r="F2747">
        <v>143</v>
      </c>
    </row>
    <row r="2748" spans="1:8" x14ac:dyDescent="0.45">
      <c r="A2748" t="s">
        <v>60</v>
      </c>
      <c r="B2748" t="s">
        <v>20</v>
      </c>
      <c r="C2748">
        <v>10</v>
      </c>
      <c r="D2748" t="s">
        <v>31</v>
      </c>
      <c r="H2748">
        <v>53</v>
      </c>
    </row>
    <row r="2749" spans="1:8" x14ac:dyDescent="0.45">
      <c r="A2749" t="s">
        <v>60</v>
      </c>
      <c r="B2749" t="s">
        <v>20</v>
      </c>
      <c r="C2749">
        <v>10</v>
      </c>
      <c r="D2749" t="s">
        <v>32</v>
      </c>
      <c r="H2749">
        <v>1</v>
      </c>
    </row>
    <row r="2750" spans="1:8" x14ac:dyDescent="0.45">
      <c r="A2750" t="s">
        <v>60</v>
      </c>
      <c r="B2750" t="s">
        <v>20</v>
      </c>
      <c r="C2750">
        <v>10</v>
      </c>
      <c r="D2750" t="s">
        <v>34</v>
      </c>
      <c r="H2750">
        <v>2</v>
      </c>
    </row>
    <row r="2751" spans="1:8" x14ac:dyDescent="0.45">
      <c r="A2751" t="s">
        <v>60</v>
      </c>
      <c r="B2751" t="s">
        <v>21</v>
      </c>
      <c r="C2751">
        <v>11</v>
      </c>
      <c r="D2751" t="s">
        <v>19</v>
      </c>
      <c r="E2751">
        <v>500992</v>
      </c>
      <c r="F2751">
        <v>1187</v>
      </c>
      <c r="G2751">
        <v>298</v>
      </c>
    </row>
    <row r="2752" spans="1:8" x14ac:dyDescent="0.45">
      <c r="A2752" t="s">
        <v>60</v>
      </c>
      <c r="B2752" t="s">
        <v>21</v>
      </c>
      <c r="C2752">
        <v>11</v>
      </c>
      <c r="D2752" t="s">
        <v>27</v>
      </c>
      <c r="F2752">
        <v>437</v>
      </c>
    </row>
    <row r="2753" spans="1:8" x14ac:dyDescent="0.45">
      <c r="A2753" t="s">
        <v>60</v>
      </c>
      <c r="B2753" t="s">
        <v>21</v>
      </c>
      <c r="C2753">
        <v>11</v>
      </c>
      <c r="D2753" t="s">
        <v>28</v>
      </c>
      <c r="F2753">
        <v>170</v>
      </c>
    </row>
    <row r="2754" spans="1:8" x14ac:dyDescent="0.45">
      <c r="A2754" t="s">
        <v>60</v>
      </c>
      <c r="B2754" t="s">
        <v>21</v>
      </c>
      <c r="C2754">
        <v>11</v>
      </c>
      <c r="D2754" t="s">
        <v>29</v>
      </c>
      <c r="F2754">
        <v>121</v>
      </c>
    </row>
    <row r="2755" spans="1:8" x14ac:dyDescent="0.45">
      <c r="A2755" t="s">
        <v>60</v>
      </c>
      <c r="B2755" t="s">
        <v>20</v>
      </c>
      <c r="C2755">
        <v>11</v>
      </c>
      <c r="D2755" t="s">
        <v>19</v>
      </c>
      <c r="E2755">
        <v>542668</v>
      </c>
      <c r="F2755">
        <v>1202</v>
      </c>
      <c r="G2755">
        <v>320</v>
      </c>
    </row>
    <row r="2756" spans="1:8" x14ac:dyDescent="0.45">
      <c r="A2756" t="s">
        <v>60</v>
      </c>
      <c r="B2756" t="s">
        <v>20</v>
      </c>
      <c r="C2756">
        <v>11</v>
      </c>
      <c r="D2756" t="s">
        <v>27</v>
      </c>
      <c r="F2756">
        <v>396</v>
      </c>
    </row>
    <row r="2757" spans="1:8" x14ac:dyDescent="0.45">
      <c r="A2757" t="s">
        <v>60</v>
      </c>
      <c r="B2757" t="s">
        <v>20</v>
      </c>
      <c r="C2757">
        <v>11</v>
      </c>
      <c r="D2757" t="s">
        <v>28</v>
      </c>
      <c r="F2757">
        <v>224</v>
      </c>
    </row>
    <row r="2758" spans="1:8" x14ac:dyDescent="0.45">
      <c r="A2758" t="s">
        <v>60</v>
      </c>
      <c r="B2758" t="s">
        <v>20</v>
      </c>
      <c r="C2758">
        <v>11</v>
      </c>
      <c r="D2758" t="s">
        <v>29</v>
      </c>
      <c r="F2758">
        <v>160</v>
      </c>
    </row>
    <row r="2759" spans="1:8" x14ac:dyDescent="0.45">
      <c r="A2759" t="s">
        <v>60</v>
      </c>
      <c r="B2759" t="s">
        <v>20</v>
      </c>
      <c r="C2759">
        <v>11</v>
      </c>
      <c r="D2759" t="s">
        <v>31</v>
      </c>
      <c r="H2759">
        <v>92</v>
      </c>
    </row>
    <row r="2760" spans="1:8" x14ac:dyDescent="0.45">
      <c r="A2760" t="s">
        <v>60</v>
      </c>
      <c r="B2760" t="s">
        <v>20</v>
      </c>
      <c r="C2760">
        <v>11</v>
      </c>
      <c r="D2760" t="s">
        <v>32</v>
      </c>
      <c r="H2760">
        <v>0</v>
      </c>
    </row>
    <row r="2761" spans="1:8" x14ac:dyDescent="0.45">
      <c r="A2761" t="s">
        <v>60</v>
      </c>
      <c r="B2761" t="s">
        <v>20</v>
      </c>
      <c r="C2761">
        <v>11</v>
      </c>
      <c r="D2761" t="s">
        <v>34</v>
      </c>
      <c r="H2761">
        <v>2</v>
      </c>
    </row>
    <row r="2762" spans="1:8" x14ac:dyDescent="0.45">
      <c r="A2762" t="s">
        <v>60</v>
      </c>
      <c r="B2762" t="s">
        <v>21</v>
      </c>
      <c r="C2762">
        <v>12</v>
      </c>
      <c r="D2762" t="s">
        <v>19</v>
      </c>
      <c r="E2762">
        <v>576257</v>
      </c>
      <c r="F2762">
        <v>1378</v>
      </c>
      <c r="G2762">
        <v>343</v>
      </c>
    </row>
    <row r="2763" spans="1:8" x14ac:dyDescent="0.45">
      <c r="A2763" t="s">
        <v>60</v>
      </c>
      <c r="B2763" t="s">
        <v>21</v>
      </c>
      <c r="C2763">
        <v>12</v>
      </c>
      <c r="D2763" t="s">
        <v>27</v>
      </c>
      <c r="F2763">
        <v>421</v>
      </c>
    </row>
    <row r="2764" spans="1:8" x14ac:dyDescent="0.45">
      <c r="A2764" t="s">
        <v>60</v>
      </c>
      <c r="B2764" t="s">
        <v>21</v>
      </c>
      <c r="C2764">
        <v>12</v>
      </c>
      <c r="D2764" t="s">
        <v>28</v>
      </c>
      <c r="F2764">
        <v>242</v>
      </c>
    </row>
    <row r="2765" spans="1:8" x14ac:dyDescent="0.45">
      <c r="A2765" t="s">
        <v>60</v>
      </c>
      <c r="B2765" t="s">
        <v>21</v>
      </c>
      <c r="C2765">
        <v>12</v>
      </c>
      <c r="D2765" t="s">
        <v>29</v>
      </c>
      <c r="F2765">
        <v>163</v>
      </c>
    </row>
    <row r="2766" spans="1:8" x14ac:dyDescent="0.45">
      <c r="A2766" t="s">
        <v>60</v>
      </c>
      <c r="B2766" t="s">
        <v>20</v>
      </c>
      <c r="C2766">
        <v>12</v>
      </c>
      <c r="D2766" t="s">
        <v>19</v>
      </c>
      <c r="E2766">
        <v>544133</v>
      </c>
      <c r="F2766">
        <v>1291</v>
      </c>
      <c r="G2766">
        <v>308</v>
      </c>
    </row>
    <row r="2767" spans="1:8" x14ac:dyDescent="0.45">
      <c r="A2767" t="s">
        <v>60</v>
      </c>
      <c r="B2767" t="s">
        <v>20</v>
      </c>
      <c r="C2767">
        <v>12</v>
      </c>
      <c r="D2767" t="s">
        <v>27</v>
      </c>
      <c r="F2767">
        <v>427</v>
      </c>
    </row>
    <row r="2768" spans="1:8" x14ac:dyDescent="0.45">
      <c r="A2768" t="s">
        <v>60</v>
      </c>
      <c r="B2768" t="s">
        <v>20</v>
      </c>
      <c r="C2768">
        <v>12</v>
      </c>
      <c r="D2768" t="s">
        <v>28</v>
      </c>
      <c r="F2768">
        <v>252</v>
      </c>
    </row>
    <row r="2769" spans="1:8" x14ac:dyDescent="0.45">
      <c r="A2769" t="s">
        <v>60</v>
      </c>
      <c r="B2769" t="s">
        <v>20</v>
      </c>
      <c r="C2769">
        <v>12</v>
      </c>
      <c r="D2769" t="s">
        <v>29</v>
      </c>
      <c r="F2769">
        <v>141</v>
      </c>
    </row>
    <row r="2770" spans="1:8" x14ac:dyDescent="0.45">
      <c r="A2770" t="s">
        <v>60</v>
      </c>
      <c r="B2770" t="s">
        <v>20</v>
      </c>
      <c r="C2770">
        <v>12</v>
      </c>
      <c r="D2770" t="s">
        <v>31</v>
      </c>
      <c r="H2770">
        <v>40</v>
      </c>
    </row>
    <row r="2771" spans="1:8" x14ac:dyDescent="0.45">
      <c r="A2771" t="s">
        <v>60</v>
      </c>
      <c r="B2771" t="s">
        <v>20</v>
      </c>
      <c r="C2771">
        <v>12</v>
      </c>
      <c r="D2771" t="s">
        <v>32</v>
      </c>
      <c r="H2771">
        <v>1</v>
      </c>
    </row>
    <row r="2772" spans="1:8" x14ac:dyDescent="0.45">
      <c r="A2772" t="s">
        <v>60</v>
      </c>
      <c r="B2772" t="s">
        <v>20</v>
      </c>
      <c r="C2772">
        <v>12</v>
      </c>
      <c r="D2772" t="s">
        <v>34</v>
      </c>
      <c r="H2772">
        <v>2</v>
      </c>
    </row>
    <row r="2773" spans="1:8" x14ac:dyDescent="0.45">
      <c r="A2773" t="s">
        <v>53</v>
      </c>
      <c r="B2773" t="s">
        <v>21</v>
      </c>
      <c r="C2773">
        <v>1</v>
      </c>
      <c r="D2773" t="s">
        <v>19</v>
      </c>
      <c r="E2773">
        <v>612634</v>
      </c>
      <c r="F2773">
        <v>1061</v>
      </c>
      <c r="G2773">
        <v>331</v>
      </c>
    </row>
    <row r="2774" spans="1:8" x14ac:dyDescent="0.45">
      <c r="A2774" t="s">
        <v>53</v>
      </c>
      <c r="B2774" t="s">
        <v>21</v>
      </c>
      <c r="C2774">
        <v>1</v>
      </c>
      <c r="D2774" t="s">
        <v>27</v>
      </c>
      <c r="F2774">
        <v>365</v>
      </c>
    </row>
    <row r="2775" spans="1:8" x14ac:dyDescent="0.45">
      <c r="A2775" t="s">
        <v>53</v>
      </c>
      <c r="B2775" t="s">
        <v>21</v>
      </c>
      <c r="C2775">
        <v>1</v>
      </c>
      <c r="D2775" t="s">
        <v>28</v>
      </c>
      <c r="F2775">
        <v>157</v>
      </c>
    </row>
    <row r="2776" spans="1:8" x14ac:dyDescent="0.45">
      <c r="A2776" t="s">
        <v>53</v>
      </c>
      <c r="B2776" t="s">
        <v>21</v>
      </c>
      <c r="C2776">
        <v>1</v>
      </c>
      <c r="D2776" t="s">
        <v>29</v>
      </c>
      <c r="F2776">
        <v>108</v>
      </c>
    </row>
    <row r="2777" spans="1:8" x14ac:dyDescent="0.45">
      <c r="A2777" t="s">
        <v>53</v>
      </c>
      <c r="B2777" t="s">
        <v>20</v>
      </c>
      <c r="C2777">
        <v>1</v>
      </c>
      <c r="D2777" t="s">
        <v>19</v>
      </c>
      <c r="E2777">
        <v>652145</v>
      </c>
      <c r="F2777">
        <v>1049</v>
      </c>
      <c r="G2777">
        <v>311</v>
      </c>
    </row>
    <row r="2778" spans="1:8" x14ac:dyDescent="0.45">
      <c r="A2778" t="s">
        <v>53</v>
      </c>
      <c r="B2778" t="s">
        <v>20</v>
      </c>
      <c r="C2778">
        <v>1</v>
      </c>
      <c r="D2778" t="s">
        <v>27</v>
      </c>
      <c r="F2778">
        <v>324</v>
      </c>
    </row>
    <row r="2779" spans="1:8" x14ac:dyDescent="0.45">
      <c r="A2779" t="s">
        <v>53</v>
      </c>
      <c r="B2779" t="s">
        <v>20</v>
      </c>
      <c r="C2779">
        <v>1</v>
      </c>
      <c r="D2779" t="s">
        <v>28</v>
      </c>
      <c r="F2779">
        <v>143</v>
      </c>
    </row>
    <row r="2780" spans="1:8" x14ac:dyDescent="0.45">
      <c r="A2780" t="s">
        <v>53</v>
      </c>
      <c r="B2780" t="s">
        <v>20</v>
      </c>
      <c r="C2780">
        <v>1</v>
      </c>
      <c r="D2780" t="s">
        <v>29</v>
      </c>
      <c r="F2780">
        <v>126</v>
      </c>
    </row>
    <row r="2781" spans="1:8" x14ac:dyDescent="0.45">
      <c r="A2781" t="s">
        <v>53</v>
      </c>
      <c r="B2781" t="s">
        <v>20</v>
      </c>
      <c r="C2781">
        <v>1</v>
      </c>
      <c r="D2781" t="s">
        <v>31</v>
      </c>
      <c r="H2781">
        <v>24</v>
      </c>
    </row>
    <row r="2782" spans="1:8" x14ac:dyDescent="0.45">
      <c r="A2782" t="s">
        <v>53</v>
      </c>
      <c r="B2782" t="s">
        <v>20</v>
      </c>
      <c r="C2782">
        <v>1</v>
      </c>
      <c r="D2782" t="s">
        <v>32</v>
      </c>
      <c r="H2782">
        <v>3</v>
      </c>
    </row>
    <row r="2783" spans="1:8" x14ac:dyDescent="0.45">
      <c r="A2783" t="s">
        <v>53</v>
      </c>
      <c r="B2783" t="s">
        <v>20</v>
      </c>
      <c r="C2783">
        <v>1</v>
      </c>
      <c r="D2783" t="s">
        <v>34</v>
      </c>
    </row>
    <row r="2784" spans="1:8" x14ac:dyDescent="0.45">
      <c r="A2784" t="s">
        <v>53</v>
      </c>
      <c r="B2784" t="s">
        <v>21</v>
      </c>
      <c r="C2784">
        <v>2</v>
      </c>
      <c r="D2784" t="s">
        <v>19</v>
      </c>
      <c r="E2784">
        <v>688615</v>
      </c>
      <c r="F2784">
        <v>1059</v>
      </c>
      <c r="G2784">
        <v>320</v>
      </c>
    </row>
    <row r="2785" spans="1:8" x14ac:dyDescent="0.45">
      <c r="A2785" t="s">
        <v>53</v>
      </c>
      <c r="B2785" t="s">
        <v>21</v>
      </c>
      <c r="C2785">
        <v>2</v>
      </c>
      <c r="D2785" t="s">
        <v>27</v>
      </c>
      <c r="F2785">
        <v>388</v>
      </c>
    </row>
    <row r="2786" spans="1:8" x14ac:dyDescent="0.45">
      <c r="A2786" t="s">
        <v>53</v>
      </c>
      <c r="B2786" t="s">
        <v>21</v>
      </c>
      <c r="C2786">
        <v>2</v>
      </c>
      <c r="D2786" t="s">
        <v>28</v>
      </c>
      <c r="F2786">
        <v>153</v>
      </c>
    </row>
    <row r="2787" spans="1:8" x14ac:dyDescent="0.45">
      <c r="A2787" t="s">
        <v>53</v>
      </c>
      <c r="B2787" t="s">
        <v>21</v>
      </c>
      <c r="C2787">
        <v>2</v>
      </c>
      <c r="D2787" t="s">
        <v>29</v>
      </c>
      <c r="F2787">
        <v>132</v>
      </c>
    </row>
    <row r="2788" spans="1:8" x14ac:dyDescent="0.45">
      <c r="A2788" t="s">
        <v>53</v>
      </c>
      <c r="B2788" t="s">
        <v>20</v>
      </c>
      <c r="C2788">
        <v>2</v>
      </c>
      <c r="D2788" t="s">
        <v>19</v>
      </c>
      <c r="E2788">
        <v>653528</v>
      </c>
      <c r="F2788">
        <v>1015</v>
      </c>
      <c r="G2788">
        <v>297</v>
      </c>
    </row>
    <row r="2789" spans="1:8" x14ac:dyDescent="0.45">
      <c r="A2789" t="s">
        <v>53</v>
      </c>
      <c r="B2789" t="s">
        <v>20</v>
      </c>
      <c r="C2789">
        <v>2</v>
      </c>
      <c r="D2789" t="s">
        <v>27</v>
      </c>
      <c r="F2789">
        <v>335</v>
      </c>
    </row>
    <row r="2790" spans="1:8" x14ac:dyDescent="0.45">
      <c r="A2790" t="s">
        <v>53</v>
      </c>
      <c r="B2790" t="s">
        <v>20</v>
      </c>
      <c r="C2790">
        <v>2</v>
      </c>
      <c r="D2790" t="s">
        <v>28</v>
      </c>
      <c r="F2790">
        <v>157</v>
      </c>
    </row>
    <row r="2791" spans="1:8" x14ac:dyDescent="0.45">
      <c r="A2791" t="s">
        <v>53</v>
      </c>
      <c r="B2791" t="s">
        <v>20</v>
      </c>
      <c r="C2791">
        <v>2</v>
      </c>
      <c r="D2791" t="s">
        <v>29</v>
      </c>
      <c r="F2791">
        <v>121</v>
      </c>
    </row>
    <row r="2792" spans="1:8" x14ac:dyDescent="0.45">
      <c r="A2792" t="s">
        <v>53</v>
      </c>
      <c r="B2792" t="s">
        <v>20</v>
      </c>
      <c r="C2792">
        <v>2</v>
      </c>
      <c r="D2792" t="s">
        <v>31</v>
      </c>
      <c r="H2792">
        <v>31</v>
      </c>
    </row>
    <row r="2793" spans="1:8" x14ac:dyDescent="0.45">
      <c r="A2793" t="s">
        <v>53</v>
      </c>
      <c r="B2793" t="s">
        <v>20</v>
      </c>
      <c r="C2793">
        <v>2</v>
      </c>
      <c r="D2793" t="s">
        <v>32</v>
      </c>
      <c r="H2793">
        <v>2</v>
      </c>
    </row>
    <row r="2794" spans="1:8" x14ac:dyDescent="0.45">
      <c r="A2794" t="s">
        <v>53</v>
      </c>
      <c r="B2794" t="s">
        <v>20</v>
      </c>
      <c r="C2794">
        <v>2</v>
      </c>
      <c r="D2794" t="s">
        <v>34</v>
      </c>
      <c r="H2794">
        <v>1</v>
      </c>
    </row>
    <row r="2795" spans="1:8" x14ac:dyDescent="0.45">
      <c r="A2795" t="s">
        <v>53</v>
      </c>
      <c r="B2795" t="s">
        <v>21</v>
      </c>
      <c r="C2795">
        <v>3</v>
      </c>
      <c r="D2795" t="s">
        <v>19</v>
      </c>
      <c r="E2795">
        <v>1447351</v>
      </c>
      <c r="F2795">
        <v>1950</v>
      </c>
      <c r="G2795">
        <v>542</v>
      </c>
    </row>
    <row r="2796" spans="1:8" x14ac:dyDescent="0.45">
      <c r="A2796" t="s">
        <v>53</v>
      </c>
      <c r="B2796" t="s">
        <v>21</v>
      </c>
      <c r="C2796">
        <v>3</v>
      </c>
      <c r="D2796" t="s">
        <v>27</v>
      </c>
      <c r="F2796">
        <v>456</v>
      </c>
    </row>
    <row r="2797" spans="1:8" x14ac:dyDescent="0.45">
      <c r="A2797" t="s">
        <v>53</v>
      </c>
      <c r="B2797" t="s">
        <v>21</v>
      </c>
      <c r="C2797">
        <v>3</v>
      </c>
      <c r="D2797" t="s">
        <v>28</v>
      </c>
      <c r="F2797">
        <v>259</v>
      </c>
    </row>
    <row r="2798" spans="1:8" x14ac:dyDescent="0.45">
      <c r="A2798" t="s">
        <v>53</v>
      </c>
      <c r="B2798" t="s">
        <v>21</v>
      </c>
      <c r="C2798">
        <v>3</v>
      </c>
      <c r="D2798" t="s">
        <v>29</v>
      </c>
      <c r="F2798">
        <v>234</v>
      </c>
    </row>
    <row r="2799" spans="1:8" x14ac:dyDescent="0.45">
      <c r="A2799" t="s">
        <v>53</v>
      </c>
      <c r="B2799" t="s">
        <v>20</v>
      </c>
      <c r="C2799">
        <v>3</v>
      </c>
      <c r="D2799" t="s">
        <v>19</v>
      </c>
      <c r="E2799">
        <v>1181955</v>
      </c>
      <c r="F2799">
        <v>1750</v>
      </c>
      <c r="G2799">
        <v>470</v>
      </c>
    </row>
    <row r="2800" spans="1:8" x14ac:dyDescent="0.45">
      <c r="A2800" t="s">
        <v>53</v>
      </c>
      <c r="B2800" t="s">
        <v>20</v>
      </c>
      <c r="C2800">
        <v>3</v>
      </c>
      <c r="D2800" t="s">
        <v>27</v>
      </c>
      <c r="F2800">
        <v>545</v>
      </c>
    </row>
    <row r="2801" spans="1:8" x14ac:dyDescent="0.45">
      <c r="A2801" t="s">
        <v>53</v>
      </c>
      <c r="B2801" t="s">
        <v>20</v>
      </c>
      <c r="C2801">
        <v>3</v>
      </c>
      <c r="D2801" t="s">
        <v>28</v>
      </c>
      <c r="F2801">
        <v>293</v>
      </c>
    </row>
    <row r="2802" spans="1:8" x14ac:dyDescent="0.45">
      <c r="A2802" t="s">
        <v>53</v>
      </c>
      <c r="B2802" t="s">
        <v>20</v>
      </c>
      <c r="C2802">
        <v>3</v>
      </c>
      <c r="D2802" t="s">
        <v>29</v>
      </c>
      <c r="F2802">
        <v>258</v>
      </c>
    </row>
    <row r="2803" spans="1:8" x14ac:dyDescent="0.45">
      <c r="A2803" t="s">
        <v>53</v>
      </c>
      <c r="B2803" t="s">
        <v>20</v>
      </c>
      <c r="C2803">
        <v>3</v>
      </c>
      <c r="D2803" t="s">
        <v>31</v>
      </c>
      <c r="H2803">
        <v>38</v>
      </c>
    </row>
    <row r="2804" spans="1:8" x14ac:dyDescent="0.45">
      <c r="A2804" t="s">
        <v>53</v>
      </c>
      <c r="B2804" t="s">
        <v>20</v>
      </c>
      <c r="C2804">
        <v>3</v>
      </c>
      <c r="D2804" t="s">
        <v>32</v>
      </c>
      <c r="H2804">
        <v>3</v>
      </c>
    </row>
    <row r="2805" spans="1:8" x14ac:dyDescent="0.45">
      <c r="A2805" t="s">
        <v>53</v>
      </c>
      <c r="B2805" t="s">
        <v>20</v>
      </c>
      <c r="C2805">
        <v>3</v>
      </c>
      <c r="D2805" t="s">
        <v>34</v>
      </c>
      <c r="H2805">
        <v>1</v>
      </c>
    </row>
    <row r="2806" spans="1:8" x14ac:dyDescent="0.45">
      <c r="A2806" t="s">
        <v>53</v>
      </c>
      <c r="B2806" t="s">
        <v>21</v>
      </c>
      <c r="C2806">
        <v>4</v>
      </c>
      <c r="D2806" t="s">
        <v>19</v>
      </c>
      <c r="E2806">
        <v>1814359</v>
      </c>
      <c r="F2806">
        <v>2552</v>
      </c>
      <c r="H2806">
        <v>5</v>
      </c>
    </row>
    <row r="2807" spans="1:8" x14ac:dyDescent="0.45">
      <c r="A2807" t="s">
        <v>53</v>
      </c>
      <c r="B2807" t="s">
        <v>21</v>
      </c>
      <c r="C2807">
        <v>4</v>
      </c>
      <c r="D2807" t="s">
        <v>27</v>
      </c>
      <c r="F2807">
        <v>488</v>
      </c>
    </row>
    <row r="2808" spans="1:8" x14ac:dyDescent="0.45">
      <c r="A2808" t="s">
        <v>53</v>
      </c>
      <c r="B2808" t="s">
        <v>21</v>
      </c>
      <c r="C2808">
        <v>4</v>
      </c>
      <c r="D2808" t="s">
        <v>28</v>
      </c>
      <c r="F2808">
        <v>416</v>
      </c>
    </row>
    <row r="2809" spans="1:8" x14ac:dyDescent="0.45">
      <c r="A2809" t="s">
        <v>53</v>
      </c>
      <c r="B2809" t="s">
        <v>21</v>
      </c>
      <c r="C2809">
        <v>4</v>
      </c>
      <c r="D2809" t="s">
        <v>29</v>
      </c>
      <c r="F2809">
        <v>341</v>
      </c>
    </row>
    <row r="2810" spans="1:8" x14ac:dyDescent="0.45">
      <c r="A2810" t="s">
        <v>53</v>
      </c>
      <c r="B2810" t="s">
        <v>20</v>
      </c>
      <c r="C2810">
        <v>4</v>
      </c>
      <c r="D2810" t="s">
        <v>19</v>
      </c>
      <c r="E2810">
        <v>1869676</v>
      </c>
      <c r="F2810">
        <v>2549</v>
      </c>
    </row>
    <row r="2811" spans="1:8" x14ac:dyDescent="0.45">
      <c r="A2811" t="s">
        <v>53</v>
      </c>
      <c r="B2811" t="s">
        <v>20</v>
      </c>
      <c r="C2811">
        <v>4</v>
      </c>
      <c r="D2811" t="s">
        <v>27</v>
      </c>
      <c r="F2811">
        <v>424</v>
      </c>
    </row>
    <row r="2812" spans="1:8" x14ac:dyDescent="0.45">
      <c r="A2812" t="s">
        <v>53</v>
      </c>
      <c r="B2812" t="s">
        <v>20</v>
      </c>
      <c r="C2812">
        <v>4</v>
      </c>
      <c r="D2812" t="s">
        <v>28</v>
      </c>
      <c r="F2812">
        <v>364</v>
      </c>
    </row>
    <row r="2813" spans="1:8" x14ac:dyDescent="0.45">
      <c r="A2813" t="s">
        <v>53</v>
      </c>
      <c r="B2813" t="s">
        <v>20</v>
      </c>
      <c r="C2813">
        <v>4</v>
      </c>
      <c r="D2813" t="s">
        <v>29</v>
      </c>
      <c r="F2813">
        <v>329</v>
      </c>
    </row>
    <row r="2814" spans="1:8" x14ac:dyDescent="0.45">
      <c r="A2814" t="s">
        <v>53</v>
      </c>
      <c r="B2814" t="s">
        <v>20</v>
      </c>
      <c r="C2814">
        <v>4</v>
      </c>
      <c r="D2814" t="s">
        <v>31</v>
      </c>
      <c r="H2814">
        <v>27</v>
      </c>
    </row>
    <row r="2815" spans="1:8" x14ac:dyDescent="0.45">
      <c r="A2815" t="s">
        <v>53</v>
      </c>
      <c r="B2815" t="s">
        <v>20</v>
      </c>
      <c r="C2815">
        <v>4</v>
      </c>
      <c r="D2815" t="s">
        <v>32</v>
      </c>
      <c r="H2815">
        <v>4</v>
      </c>
    </row>
    <row r="2816" spans="1:8" x14ac:dyDescent="0.45">
      <c r="A2816" t="s">
        <v>53</v>
      </c>
      <c r="B2816" t="s">
        <v>20</v>
      </c>
      <c r="C2816">
        <v>4</v>
      </c>
      <c r="D2816" t="s">
        <v>34</v>
      </c>
      <c r="H2816">
        <v>2</v>
      </c>
    </row>
    <row r="2817" spans="1:8" x14ac:dyDescent="0.45">
      <c r="A2817" t="s">
        <v>53</v>
      </c>
      <c r="B2817" t="s">
        <v>21</v>
      </c>
      <c r="C2817">
        <v>5</v>
      </c>
      <c r="D2817" t="s">
        <v>19</v>
      </c>
      <c r="E2817">
        <v>1578868</v>
      </c>
      <c r="F2817">
        <v>2111</v>
      </c>
      <c r="G2817">
        <v>511</v>
      </c>
    </row>
    <row r="2818" spans="1:8" x14ac:dyDescent="0.45">
      <c r="A2818" t="s">
        <v>53</v>
      </c>
      <c r="B2818" t="s">
        <v>21</v>
      </c>
      <c r="C2818">
        <v>5</v>
      </c>
      <c r="D2818" t="s">
        <v>27</v>
      </c>
      <c r="F2818">
        <v>404</v>
      </c>
    </row>
    <row r="2819" spans="1:8" x14ac:dyDescent="0.45">
      <c r="A2819" t="s">
        <v>53</v>
      </c>
      <c r="B2819" t="s">
        <v>21</v>
      </c>
      <c r="C2819">
        <v>5</v>
      </c>
      <c r="D2819" t="s">
        <v>28</v>
      </c>
      <c r="F2819">
        <v>455</v>
      </c>
    </row>
    <row r="2820" spans="1:8" x14ac:dyDescent="0.45">
      <c r="A2820" t="s">
        <v>53</v>
      </c>
      <c r="B2820" t="s">
        <v>21</v>
      </c>
      <c r="C2820">
        <v>5</v>
      </c>
      <c r="D2820" t="s">
        <v>29</v>
      </c>
      <c r="F2820">
        <v>325</v>
      </c>
    </row>
    <row r="2821" spans="1:8" x14ac:dyDescent="0.45">
      <c r="A2821" t="s">
        <v>53</v>
      </c>
      <c r="B2821" t="s">
        <v>20</v>
      </c>
      <c r="C2821">
        <v>5</v>
      </c>
      <c r="D2821" t="s">
        <v>19</v>
      </c>
      <c r="E2821">
        <v>1490158</v>
      </c>
      <c r="F2821">
        <v>1869</v>
      </c>
      <c r="G2821">
        <v>458</v>
      </c>
    </row>
    <row r="2822" spans="1:8" x14ac:dyDescent="0.45">
      <c r="A2822" t="s">
        <v>53</v>
      </c>
      <c r="B2822" t="s">
        <v>20</v>
      </c>
      <c r="C2822">
        <v>5</v>
      </c>
      <c r="D2822" t="s">
        <v>27</v>
      </c>
      <c r="F2822">
        <v>375</v>
      </c>
    </row>
    <row r="2823" spans="1:8" x14ac:dyDescent="0.45">
      <c r="A2823" t="s">
        <v>53</v>
      </c>
      <c r="B2823" t="s">
        <v>20</v>
      </c>
      <c r="C2823">
        <v>5</v>
      </c>
      <c r="D2823" t="s">
        <v>28</v>
      </c>
      <c r="F2823">
        <v>283</v>
      </c>
    </row>
    <row r="2824" spans="1:8" x14ac:dyDescent="0.45">
      <c r="A2824" t="s">
        <v>53</v>
      </c>
      <c r="B2824" t="s">
        <v>20</v>
      </c>
      <c r="C2824">
        <v>5</v>
      </c>
      <c r="D2824" t="s">
        <v>29</v>
      </c>
      <c r="F2824">
        <v>229</v>
      </c>
    </row>
    <row r="2825" spans="1:8" x14ac:dyDescent="0.45">
      <c r="A2825" t="s">
        <v>53</v>
      </c>
      <c r="B2825" t="s">
        <v>20</v>
      </c>
      <c r="C2825">
        <v>5</v>
      </c>
      <c r="D2825" t="s">
        <v>31</v>
      </c>
      <c r="H2825">
        <v>47</v>
      </c>
    </row>
    <row r="2826" spans="1:8" x14ac:dyDescent="0.45">
      <c r="A2826" t="s">
        <v>53</v>
      </c>
      <c r="B2826" t="s">
        <v>20</v>
      </c>
      <c r="C2826">
        <v>5</v>
      </c>
      <c r="D2826" t="s">
        <v>32</v>
      </c>
      <c r="H2826">
        <v>3</v>
      </c>
    </row>
    <row r="2827" spans="1:8" x14ac:dyDescent="0.45">
      <c r="A2827" t="s">
        <v>53</v>
      </c>
      <c r="B2827" t="s">
        <v>20</v>
      </c>
      <c r="C2827">
        <v>5</v>
      </c>
      <c r="D2827" t="s">
        <v>34</v>
      </c>
      <c r="H2827">
        <v>2</v>
      </c>
    </row>
    <row r="2828" spans="1:8" x14ac:dyDescent="0.45">
      <c r="A2828" t="s">
        <v>53</v>
      </c>
      <c r="B2828" t="s">
        <v>21</v>
      </c>
      <c r="C2828">
        <v>6</v>
      </c>
      <c r="D2828" t="s">
        <v>19</v>
      </c>
      <c r="E2828">
        <v>1417415</v>
      </c>
      <c r="F2828">
        <v>1976</v>
      </c>
      <c r="G2828">
        <v>532</v>
      </c>
    </row>
    <row r="2829" spans="1:8" x14ac:dyDescent="0.45">
      <c r="A2829" t="s">
        <v>53</v>
      </c>
      <c r="B2829" t="s">
        <v>21</v>
      </c>
      <c r="C2829">
        <v>6</v>
      </c>
      <c r="D2829" t="s">
        <v>27</v>
      </c>
      <c r="F2829">
        <v>460</v>
      </c>
    </row>
    <row r="2830" spans="1:8" x14ac:dyDescent="0.45">
      <c r="A2830" t="s">
        <v>53</v>
      </c>
      <c r="B2830" t="s">
        <v>21</v>
      </c>
      <c r="C2830">
        <v>6</v>
      </c>
      <c r="D2830" t="s">
        <v>28</v>
      </c>
      <c r="F2830">
        <v>294</v>
      </c>
    </row>
    <row r="2831" spans="1:8" x14ac:dyDescent="0.45">
      <c r="A2831" t="s">
        <v>53</v>
      </c>
      <c r="B2831" t="s">
        <v>21</v>
      </c>
      <c r="C2831">
        <v>6</v>
      </c>
      <c r="D2831" t="s">
        <v>29</v>
      </c>
      <c r="F2831">
        <v>250</v>
      </c>
    </row>
    <row r="2832" spans="1:8" x14ac:dyDescent="0.45">
      <c r="A2832" t="s">
        <v>53</v>
      </c>
      <c r="B2832" t="s">
        <v>20</v>
      </c>
      <c r="C2832">
        <v>6</v>
      </c>
      <c r="D2832" t="s">
        <v>19</v>
      </c>
      <c r="E2832">
        <v>1343373</v>
      </c>
      <c r="F2832">
        <v>1793</v>
      </c>
      <c r="G2832">
        <v>477</v>
      </c>
    </row>
    <row r="2833" spans="1:8" x14ac:dyDescent="0.45">
      <c r="A2833" t="s">
        <v>53</v>
      </c>
      <c r="B2833" t="s">
        <v>20</v>
      </c>
      <c r="C2833">
        <v>6</v>
      </c>
      <c r="D2833" t="s">
        <v>27</v>
      </c>
      <c r="F2833">
        <v>479</v>
      </c>
    </row>
    <row r="2834" spans="1:8" x14ac:dyDescent="0.45">
      <c r="A2834" t="s">
        <v>53</v>
      </c>
      <c r="B2834" t="s">
        <v>20</v>
      </c>
      <c r="C2834">
        <v>6</v>
      </c>
      <c r="D2834" t="s">
        <v>28</v>
      </c>
      <c r="F2834">
        <v>291</v>
      </c>
    </row>
    <row r="2835" spans="1:8" x14ac:dyDescent="0.45">
      <c r="A2835" t="s">
        <v>53</v>
      </c>
      <c r="B2835" t="s">
        <v>20</v>
      </c>
      <c r="C2835">
        <v>6</v>
      </c>
      <c r="D2835" t="s">
        <v>29</v>
      </c>
      <c r="F2835">
        <v>241</v>
      </c>
    </row>
    <row r="2836" spans="1:8" x14ac:dyDescent="0.45">
      <c r="A2836" t="s">
        <v>53</v>
      </c>
      <c r="B2836" t="s">
        <v>20</v>
      </c>
      <c r="C2836">
        <v>6</v>
      </c>
      <c r="D2836" t="s">
        <v>31</v>
      </c>
      <c r="H2836">
        <v>24</v>
      </c>
    </row>
    <row r="2837" spans="1:8" x14ac:dyDescent="0.45">
      <c r="A2837" t="s">
        <v>53</v>
      </c>
      <c r="B2837" t="s">
        <v>20</v>
      </c>
      <c r="C2837">
        <v>6</v>
      </c>
      <c r="D2837" t="s">
        <v>32</v>
      </c>
      <c r="H2837">
        <v>0</v>
      </c>
    </row>
    <row r="2838" spans="1:8" x14ac:dyDescent="0.45">
      <c r="A2838" t="s">
        <v>53</v>
      </c>
      <c r="B2838" t="s">
        <v>20</v>
      </c>
      <c r="C2838">
        <v>6</v>
      </c>
      <c r="D2838" t="s">
        <v>34</v>
      </c>
      <c r="H2838">
        <v>1</v>
      </c>
    </row>
    <row r="2839" spans="1:8" x14ac:dyDescent="0.45">
      <c r="A2839" t="s">
        <v>53</v>
      </c>
      <c r="B2839" t="s">
        <v>21</v>
      </c>
      <c r="C2839">
        <v>7</v>
      </c>
      <c r="D2839" t="s">
        <v>19</v>
      </c>
      <c r="E2839">
        <v>1039498</v>
      </c>
      <c r="F2839">
        <v>1572</v>
      </c>
      <c r="G2839">
        <v>458</v>
      </c>
    </row>
    <row r="2840" spans="1:8" x14ac:dyDescent="0.45">
      <c r="A2840" t="s">
        <v>53</v>
      </c>
      <c r="B2840" t="s">
        <v>21</v>
      </c>
      <c r="C2840">
        <v>7</v>
      </c>
      <c r="D2840" t="s">
        <v>27</v>
      </c>
      <c r="F2840">
        <v>488</v>
      </c>
    </row>
    <row r="2841" spans="1:8" x14ac:dyDescent="0.45">
      <c r="A2841" t="s">
        <v>53</v>
      </c>
      <c r="B2841" t="s">
        <v>21</v>
      </c>
      <c r="C2841">
        <v>7</v>
      </c>
      <c r="D2841" t="s">
        <v>28</v>
      </c>
      <c r="F2841">
        <v>254</v>
      </c>
    </row>
    <row r="2842" spans="1:8" x14ac:dyDescent="0.45">
      <c r="A2842" t="s">
        <v>53</v>
      </c>
      <c r="B2842" t="s">
        <v>21</v>
      </c>
      <c r="C2842">
        <v>7</v>
      </c>
      <c r="D2842" t="s">
        <v>29</v>
      </c>
      <c r="F2842">
        <v>188</v>
      </c>
    </row>
    <row r="2843" spans="1:8" x14ac:dyDescent="0.45">
      <c r="A2843" t="s">
        <v>53</v>
      </c>
      <c r="B2843" t="s">
        <v>20</v>
      </c>
      <c r="C2843">
        <v>7</v>
      </c>
      <c r="D2843" t="s">
        <v>19</v>
      </c>
      <c r="E2843">
        <v>1030316</v>
      </c>
      <c r="F2843">
        <v>1336</v>
      </c>
      <c r="G2843">
        <v>414</v>
      </c>
    </row>
    <row r="2844" spans="1:8" x14ac:dyDescent="0.45">
      <c r="A2844" t="s">
        <v>53</v>
      </c>
      <c r="B2844" t="s">
        <v>20</v>
      </c>
      <c r="C2844">
        <v>7</v>
      </c>
      <c r="D2844" t="s">
        <v>27</v>
      </c>
      <c r="F2844">
        <v>414</v>
      </c>
    </row>
    <row r="2845" spans="1:8" x14ac:dyDescent="0.45">
      <c r="A2845" t="s">
        <v>53</v>
      </c>
      <c r="B2845" t="s">
        <v>20</v>
      </c>
      <c r="C2845">
        <v>7</v>
      </c>
      <c r="D2845" t="s">
        <v>28</v>
      </c>
      <c r="F2845">
        <v>244</v>
      </c>
    </row>
    <row r="2846" spans="1:8" x14ac:dyDescent="0.45">
      <c r="A2846" t="s">
        <v>53</v>
      </c>
      <c r="B2846" t="s">
        <v>20</v>
      </c>
      <c r="C2846">
        <v>7</v>
      </c>
      <c r="D2846" t="s">
        <v>29</v>
      </c>
      <c r="F2846">
        <v>165</v>
      </c>
    </row>
    <row r="2847" spans="1:8" x14ac:dyDescent="0.45">
      <c r="A2847" t="s">
        <v>53</v>
      </c>
      <c r="B2847" t="s">
        <v>20</v>
      </c>
      <c r="C2847">
        <v>7</v>
      </c>
      <c r="D2847" t="s">
        <v>31</v>
      </c>
      <c r="H2847">
        <v>75</v>
      </c>
    </row>
    <row r="2848" spans="1:8" x14ac:dyDescent="0.45">
      <c r="A2848" t="s">
        <v>53</v>
      </c>
      <c r="B2848" t="s">
        <v>20</v>
      </c>
      <c r="C2848">
        <v>7</v>
      </c>
      <c r="D2848" t="s">
        <v>32</v>
      </c>
      <c r="H2848">
        <v>4</v>
      </c>
    </row>
    <row r="2849" spans="1:8" x14ac:dyDescent="0.45">
      <c r="A2849" t="s">
        <v>53</v>
      </c>
      <c r="B2849" t="s">
        <v>20</v>
      </c>
      <c r="C2849">
        <v>7</v>
      </c>
      <c r="D2849" t="s">
        <v>34</v>
      </c>
      <c r="H2849">
        <v>2</v>
      </c>
    </row>
    <row r="2850" spans="1:8" x14ac:dyDescent="0.45">
      <c r="A2850" t="s">
        <v>53</v>
      </c>
      <c r="B2850" t="s">
        <v>21</v>
      </c>
      <c r="C2850">
        <v>8</v>
      </c>
      <c r="D2850" t="s">
        <v>19</v>
      </c>
      <c r="E2850">
        <v>676776</v>
      </c>
      <c r="F2850">
        <v>1110</v>
      </c>
      <c r="G2850">
        <v>315</v>
      </c>
    </row>
    <row r="2851" spans="1:8" x14ac:dyDescent="0.45">
      <c r="A2851" t="s">
        <v>53</v>
      </c>
      <c r="B2851" t="s">
        <v>21</v>
      </c>
      <c r="C2851">
        <v>8</v>
      </c>
      <c r="D2851" t="s">
        <v>27</v>
      </c>
      <c r="F2851">
        <v>376</v>
      </c>
      <c r="G2851">
        <v>1104</v>
      </c>
    </row>
    <row r="2852" spans="1:8" x14ac:dyDescent="0.45">
      <c r="A2852" t="s">
        <v>53</v>
      </c>
      <c r="B2852" t="s">
        <v>21</v>
      </c>
      <c r="C2852">
        <v>8</v>
      </c>
      <c r="D2852" t="s">
        <v>28</v>
      </c>
      <c r="F2852">
        <v>185</v>
      </c>
      <c r="G2852">
        <v>1064</v>
      </c>
    </row>
    <row r="2853" spans="1:8" x14ac:dyDescent="0.45">
      <c r="A2853" t="s">
        <v>53</v>
      </c>
      <c r="B2853" t="s">
        <v>21</v>
      </c>
      <c r="C2853">
        <v>8</v>
      </c>
      <c r="D2853" t="s">
        <v>29</v>
      </c>
      <c r="F2853">
        <v>122</v>
      </c>
      <c r="G2853">
        <v>1143</v>
      </c>
    </row>
    <row r="2854" spans="1:8" x14ac:dyDescent="0.45">
      <c r="A2854" t="s">
        <v>53</v>
      </c>
      <c r="B2854" t="s">
        <v>20</v>
      </c>
      <c r="C2854">
        <v>8</v>
      </c>
      <c r="D2854" t="s">
        <v>19</v>
      </c>
      <c r="E2854">
        <v>941768</v>
      </c>
      <c r="F2854">
        <v>1152</v>
      </c>
      <c r="G2854">
        <v>352</v>
      </c>
    </row>
    <row r="2855" spans="1:8" x14ac:dyDescent="0.45">
      <c r="A2855" t="s">
        <v>53</v>
      </c>
      <c r="B2855" t="s">
        <v>20</v>
      </c>
      <c r="C2855">
        <v>8</v>
      </c>
      <c r="D2855" t="s">
        <v>27</v>
      </c>
      <c r="F2855">
        <v>348</v>
      </c>
      <c r="G2855">
        <v>967</v>
      </c>
    </row>
    <row r="2856" spans="1:8" x14ac:dyDescent="0.45">
      <c r="A2856" t="s">
        <v>53</v>
      </c>
      <c r="B2856" t="s">
        <v>20</v>
      </c>
      <c r="C2856">
        <v>8</v>
      </c>
      <c r="D2856" t="s">
        <v>28</v>
      </c>
      <c r="F2856">
        <v>225</v>
      </c>
      <c r="G2856">
        <v>1091</v>
      </c>
    </row>
    <row r="2857" spans="1:8" x14ac:dyDescent="0.45">
      <c r="A2857" t="s">
        <v>53</v>
      </c>
      <c r="B2857" t="s">
        <v>20</v>
      </c>
      <c r="C2857">
        <v>8</v>
      </c>
      <c r="D2857" t="s">
        <v>29</v>
      </c>
      <c r="F2857">
        <v>143</v>
      </c>
      <c r="G2857">
        <v>1118</v>
      </c>
    </row>
    <row r="2858" spans="1:8" x14ac:dyDescent="0.45">
      <c r="A2858" t="s">
        <v>53</v>
      </c>
      <c r="B2858" t="s">
        <v>20</v>
      </c>
      <c r="C2858">
        <v>8</v>
      </c>
      <c r="D2858" t="s">
        <v>31</v>
      </c>
      <c r="H2858">
        <v>8</v>
      </c>
    </row>
    <row r="2859" spans="1:8" x14ac:dyDescent="0.45">
      <c r="A2859" t="s">
        <v>53</v>
      </c>
      <c r="B2859" t="s">
        <v>20</v>
      </c>
      <c r="C2859">
        <v>8</v>
      </c>
      <c r="D2859" t="s">
        <v>32</v>
      </c>
      <c r="H2859">
        <v>4</v>
      </c>
    </row>
    <row r="2860" spans="1:8" x14ac:dyDescent="0.45">
      <c r="A2860" t="s">
        <v>53</v>
      </c>
      <c r="B2860" t="s">
        <v>20</v>
      </c>
      <c r="C2860">
        <v>8</v>
      </c>
      <c r="D2860" t="s">
        <v>34</v>
      </c>
      <c r="H2860">
        <v>1</v>
      </c>
    </row>
    <row r="2861" spans="1:8" x14ac:dyDescent="0.45">
      <c r="A2861" t="s">
        <v>53</v>
      </c>
      <c r="B2861" t="s">
        <v>21</v>
      </c>
      <c r="C2861">
        <v>9</v>
      </c>
      <c r="D2861" t="s">
        <v>19</v>
      </c>
      <c r="E2861">
        <v>760796</v>
      </c>
      <c r="F2861">
        <v>1212</v>
      </c>
      <c r="G2861">
        <v>344</v>
      </c>
    </row>
    <row r="2862" spans="1:8" x14ac:dyDescent="0.45">
      <c r="A2862" t="s">
        <v>53</v>
      </c>
      <c r="B2862" t="s">
        <v>21</v>
      </c>
      <c r="C2862">
        <v>9</v>
      </c>
      <c r="D2862" t="s">
        <v>27</v>
      </c>
      <c r="F2862">
        <v>414</v>
      </c>
    </row>
    <row r="2863" spans="1:8" x14ac:dyDescent="0.45">
      <c r="A2863" t="s">
        <v>53</v>
      </c>
      <c r="B2863" t="s">
        <v>21</v>
      </c>
      <c r="C2863">
        <v>9</v>
      </c>
      <c r="D2863" t="s">
        <v>28</v>
      </c>
      <c r="F2863">
        <v>221</v>
      </c>
    </row>
    <row r="2864" spans="1:8" x14ac:dyDescent="0.45">
      <c r="A2864" t="s">
        <v>53</v>
      </c>
      <c r="B2864" t="s">
        <v>21</v>
      </c>
      <c r="C2864">
        <v>9</v>
      </c>
      <c r="D2864" t="s">
        <v>29</v>
      </c>
      <c r="F2864">
        <v>121</v>
      </c>
    </row>
    <row r="2865" spans="1:8" x14ac:dyDescent="0.45">
      <c r="A2865" t="s">
        <v>53</v>
      </c>
      <c r="B2865" t="s">
        <v>20</v>
      </c>
      <c r="C2865">
        <v>9</v>
      </c>
      <c r="D2865" t="s">
        <v>19</v>
      </c>
      <c r="E2865">
        <v>818849</v>
      </c>
      <c r="F2865">
        <v>1224</v>
      </c>
      <c r="G2865">
        <v>389</v>
      </c>
    </row>
    <row r="2866" spans="1:8" x14ac:dyDescent="0.45">
      <c r="A2866" t="s">
        <v>53</v>
      </c>
      <c r="B2866" t="s">
        <v>20</v>
      </c>
      <c r="C2866">
        <v>9</v>
      </c>
      <c r="D2866" t="s">
        <v>27</v>
      </c>
      <c r="F2866">
        <v>379</v>
      </c>
    </row>
    <row r="2867" spans="1:8" x14ac:dyDescent="0.45">
      <c r="A2867" t="s">
        <v>53</v>
      </c>
      <c r="B2867" t="s">
        <v>20</v>
      </c>
      <c r="C2867">
        <v>9</v>
      </c>
      <c r="D2867" t="s">
        <v>28</v>
      </c>
      <c r="F2867">
        <v>224</v>
      </c>
    </row>
    <row r="2868" spans="1:8" x14ac:dyDescent="0.45">
      <c r="A2868" t="s">
        <v>53</v>
      </c>
      <c r="B2868" t="s">
        <v>20</v>
      </c>
      <c r="C2868">
        <v>9</v>
      </c>
      <c r="D2868" t="s">
        <v>29</v>
      </c>
      <c r="F2868">
        <v>167</v>
      </c>
    </row>
    <row r="2869" spans="1:8" x14ac:dyDescent="0.45">
      <c r="A2869" t="s">
        <v>53</v>
      </c>
      <c r="B2869" t="s">
        <v>20</v>
      </c>
      <c r="C2869">
        <v>9</v>
      </c>
      <c r="D2869" t="s">
        <v>31</v>
      </c>
      <c r="H2869">
        <v>65</v>
      </c>
    </row>
    <row r="2870" spans="1:8" x14ac:dyDescent="0.45">
      <c r="A2870" t="s">
        <v>53</v>
      </c>
      <c r="B2870" t="s">
        <v>20</v>
      </c>
      <c r="C2870">
        <v>9</v>
      </c>
      <c r="D2870" t="s">
        <v>32</v>
      </c>
      <c r="H2870">
        <v>2</v>
      </c>
    </row>
    <row r="2871" spans="1:8" x14ac:dyDescent="0.45">
      <c r="A2871" t="s">
        <v>53</v>
      </c>
      <c r="B2871" t="s">
        <v>20</v>
      </c>
      <c r="C2871">
        <v>9</v>
      </c>
      <c r="D2871" t="s">
        <v>34</v>
      </c>
      <c r="H2871">
        <v>0</v>
      </c>
    </row>
    <row r="2872" spans="1:8" x14ac:dyDescent="0.45">
      <c r="A2872" t="s">
        <v>53</v>
      </c>
      <c r="B2872" t="s">
        <v>21</v>
      </c>
      <c r="C2872">
        <v>10</v>
      </c>
      <c r="D2872" t="s">
        <v>19</v>
      </c>
      <c r="E2872">
        <v>1132777</v>
      </c>
      <c r="F2872">
        <v>1920</v>
      </c>
      <c r="G2872">
        <v>478</v>
      </c>
    </row>
    <row r="2873" spans="1:8" x14ac:dyDescent="0.45">
      <c r="A2873" t="s">
        <v>53</v>
      </c>
      <c r="B2873" t="s">
        <v>21</v>
      </c>
      <c r="C2873">
        <v>10</v>
      </c>
      <c r="D2873" t="s">
        <v>27</v>
      </c>
      <c r="F2873">
        <v>563</v>
      </c>
    </row>
    <row r="2874" spans="1:8" x14ac:dyDescent="0.45">
      <c r="A2874" t="s">
        <v>53</v>
      </c>
      <c r="B2874" t="s">
        <v>21</v>
      </c>
      <c r="C2874">
        <v>10</v>
      </c>
      <c r="D2874" t="s">
        <v>28</v>
      </c>
      <c r="F2874">
        <v>347</v>
      </c>
    </row>
    <row r="2875" spans="1:8" x14ac:dyDescent="0.45">
      <c r="A2875" t="s">
        <v>53</v>
      </c>
      <c r="B2875" t="s">
        <v>21</v>
      </c>
      <c r="C2875">
        <v>10</v>
      </c>
      <c r="D2875" t="s">
        <v>29</v>
      </c>
      <c r="F2875">
        <v>258</v>
      </c>
    </row>
    <row r="2876" spans="1:8" x14ac:dyDescent="0.45">
      <c r="A2876" t="s">
        <v>53</v>
      </c>
      <c r="B2876" t="s">
        <v>20</v>
      </c>
      <c r="C2876">
        <v>10</v>
      </c>
      <c r="D2876" t="s">
        <v>19</v>
      </c>
      <c r="E2876">
        <v>1251515</v>
      </c>
      <c r="F2876">
        <v>1914</v>
      </c>
      <c r="G2876">
        <v>535</v>
      </c>
    </row>
    <row r="2877" spans="1:8" x14ac:dyDescent="0.45">
      <c r="A2877" t="s">
        <v>53</v>
      </c>
      <c r="B2877" t="s">
        <v>20</v>
      </c>
      <c r="C2877">
        <v>10</v>
      </c>
      <c r="D2877" t="s">
        <v>27</v>
      </c>
      <c r="F2877">
        <v>547</v>
      </c>
    </row>
    <row r="2878" spans="1:8" x14ac:dyDescent="0.45">
      <c r="A2878" t="s">
        <v>53</v>
      </c>
      <c r="B2878" t="s">
        <v>20</v>
      </c>
      <c r="C2878">
        <v>10</v>
      </c>
      <c r="D2878" t="s">
        <v>28</v>
      </c>
      <c r="F2878">
        <v>334</v>
      </c>
    </row>
    <row r="2879" spans="1:8" x14ac:dyDescent="0.45">
      <c r="A2879" t="s">
        <v>53</v>
      </c>
      <c r="B2879" t="s">
        <v>20</v>
      </c>
      <c r="C2879">
        <v>10</v>
      </c>
      <c r="D2879" t="s">
        <v>29</v>
      </c>
      <c r="F2879">
        <v>273</v>
      </c>
    </row>
    <row r="2880" spans="1:8" x14ac:dyDescent="0.45">
      <c r="A2880" t="s">
        <v>53</v>
      </c>
      <c r="B2880" t="s">
        <v>20</v>
      </c>
      <c r="C2880">
        <v>10</v>
      </c>
      <c r="D2880" t="s">
        <v>31</v>
      </c>
      <c r="H2880">
        <v>62</v>
      </c>
    </row>
    <row r="2881" spans="1:8" x14ac:dyDescent="0.45">
      <c r="A2881" t="s">
        <v>53</v>
      </c>
      <c r="B2881" t="s">
        <v>20</v>
      </c>
      <c r="C2881">
        <v>10</v>
      </c>
      <c r="D2881" t="s">
        <v>32</v>
      </c>
      <c r="H2881">
        <v>6</v>
      </c>
    </row>
    <row r="2882" spans="1:8" x14ac:dyDescent="0.45">
      <c r="A2882" t="s">
        <v>53</v>
      </c>
      <c r="B2882" t="s">
        <v>20</v>
      </c>
      <c r="C2882">
        <v>10</v>
      </c>
      <c r="D2882" t="s">
        <v>34</v>
      </c>
      <c r="H2882">
        <v>0</v>
      </c>
    </row>
    <row r="2883" spans="1:8" x14ac:dyDescent="0.45">
      <c r="A2883" t="s">
        <v>53</v>
      </c>
      <c r="B2883" t="s">
        <v>21</v>
      </c>
      <c r="C2883">
        <v>11</v>
      </c>
      <c r="D2883" t="s">
        <v>19</v>
      </c>
      <c r="E2883">
        <v>996955</v>
      </c>
      <c r="F2883">
        <v>1493</v>
      </c>
      <c r="G2883">
        <v>426</v>
      </c>
    </row>
    <row r="2884" spans="1:8" x14ac:dyDescent="0.45">
      <c r="A2884" t="s">
        <v>53</v>
      </c>
      <c r="B2884" t="s">
        <v>21</v>
      </c>
      <c r="C2884">
        <v>11</v>
      </c>
      <c r="D2884" t="s">
        <v>27</v>
      </c>
      <c r="F2884">
        <v>464</v>
      </c>
    </row>
    <row r="2885" spans="1:8" x14ac:dyDescent="0.45">
      <c r="A2885" t="s">
        <v>53</v>
      </c>
      <c r="B2885" t="s">
        <v>21</v>
      </c>
      <c r="C2885">
        <v>11</v>
      </c>
      <c r="D2885" t="s">
        <v>28</v>
      </c>
      <c r="F2885">
        <v>269</v>
      </c>
    </row>
    <row r="2886" spans="1:8" x14ac:dyDescent="0.45">
      <c r="A2886" t="s">
        <v>53</v>
      </c>
      <c r="B2886" t="s">
        <v>21</v>
      </c>
      <c r="C2886">
        <v>11</v>
      </c>
      <c r="D2886" t="s">
        <v>29</v>
      </c>
      <c r="F2886">
        <v>203</v>
      </c>
    </row>
    <row r="2887" spans="1:8" x14ac:dyDescent="0.45">
      <c r="A2887" t="s">
        <v>53</v>
      </c>
      <c r="B2887" t="s">
        <v>20</v>
      </c>
      <c r="C2887">
        <v>11</v>
      </c>
      <c r="D2887" t="s">
        <v>19</v>
      </c>
      <c r="E2887">
        <v>933410</v>
      </c>
      <c r="F2887">
        <v>1412</v>
      </c>
      <c r="G2887">
        <v>426</v>
      </c>
    </row>
    <row r="2888" spans="1:8" x14ac:dyDescent="0.45">
      <c r="A2888" t="s">
        <v>53</v>
      </c>
      <c r="B2888" t="s">
        <v>20</v>
      </c>
      <c r="C2888">
        <v>11</v>
      </c>
      <c r="D2888" t="s">
        <v>27</v>
      </c>
      <c r="F2888">
        <v>384</v>
      </c>
    </row>
    <row r="2889" spans="1:8" x14ac:dyDescent="0.45">
      <c r="A2889" t="s">
        <v>53</v>
      </c>
      <c r="B2889" t="s">
        <v>20</v>
      </c>
      <c r="C2889">
        <v>11</v>
      </c>
      <c r="D2889" t="s">
        <v>28</v>
      </c>
      <c r="F2889">
        <v>320</v>
      </c>
    </row>
    <row r="2890" spans="1:8" x14ac:dyDescent="0.45">
      <c r="A2890" t="s">
        <v>53</v>
      </c>
      <c r="B2890" t="s">
        <v>20</v>
      </c>
      <c r="C2890">
        <v>11</v>
      </c>
      <c r="D2890" t="s">
        <v>29</v>
      </c>
      <c r="F2890">
        <v>235</v>
      </c>
    </row>
    <row r="2891" spans="1:8" x14ac:dyDescent="0.45">
      <c r="A2891" t="s">
        <v>53</v>
      </c>
      <c r="B2891" t="s">
        <v>20</v>
      </c>
      <c r="C2891">
        <v>11</v>
      </c>
      <c r="D2891" t="s">
        <v>31</v>
      </c>
      <c r="H2891">
        <v>89</v>
      </c>
    </row>
    <row r="2892" spans="1:8" x14ac:dyDescent="0.45">
      <c r="A2892" t="s">
        <v>53</v>
      </c>
      <c r="B2892" t="s">
        <v>20</v>
      </c>
      <c r="C2892">
        <v>11</v>
      </c>
      <c r="D2892" t="s">
        <v>32</v>
      </c>
      <c r="H2892">
        <v>2</v>
      </c>
    </row>
    <row r="2893" spans="1:8" x14ac:dyDescent="0.45">
      <c r="A2893" t="s">
        <v>53</v>
      </c>
      <c r="B2893" t="s">
        <v>20</v>
      </c>
      <c r="C2893">
        <v>11</v>
      </c>
      <c r="D2893" t="s">
        <v>34</v>
      </c>
      <c r="H2893">
        <v>1</v>
      </c>
    </row>
    <row r="2894" spans="1:8" x14ac:dyDescent="0.45">
      <c r="A2894" t="s">
        <v>53</v>
      </c>
      <c r="B2894" t="s">
        <v>21</v>
      </c>
      <c r="C2894">
        <v>12</v>
      </c>
      <c r="D2894" t="s">
        <v>19</v>
      </c>
      <c r="E2894">
        <v>807862</v>
      </c>
      <c r="F2894">
        <v>1399</v>
      </c>
      <c r="G2894">
        <v>362</v>
      </c>
    </row>
    <row r="2895" spans="1:8" x14ac:dyDescent="0.45">
      <c r="A2895" t="s">
        <v>53</v>
      </c>
      <c r="B2895" t="s">
        <v>21</v>
      </c>
      <c r="C2895">
        <v>12</v>
      </c>
      <c r="D2895" t="s">
        <v>27</v>
      </c>
      <c r="F2895">
        <v>403</v>
      </c>
    </row>
    <row r="2896" spans="1:8" x14ac:dyDescent="0.45">
      <c r="A2896" t="s">
        <v>53</v>
      </c>
      <c r="B2896" t="s">
        <v>21</v>
      </c>
      <c r="C2896">
        <v>12</v>
      </c>
      <c r="D2896" t="s">
        <v>28</v>
      </c>
      <c r="F2896">
        <v>258</v>
      </c>
    </row>
    <row r="2897" spans="1:8" x14ac:dyDescent="0.45">
      <c r="A2897" t="s">
        <v>53</v>
      </c>
      <c r="B2897" t="s">
        <v>21</v>
      </c>
      <c r="C2897">
        <v>12</v>
      </c>
      <c r="D2897" t="s">
        <v>29</v>
      </c>
      <c r="F2897">
        <v>206</v>
      </c>
    </row>
    <row r="2898" spans="1:8" x14ac:dyDescent="0.45">
      <c r="A2898" t="s">
        <v>53</v>
      </c>
      <c r="B2898" t="s">
        <v>20</v>
      </c>
      <c r="C2898">
        <v>12</v>
      </c>
      <c r="D2898" t="s">
        <v>19</v>
      </c>
      <c r="E2898">
        <v>809125</v>
      </c>
      <c r="F2898">
        <v>1397</v>
      </c>
      <c r="G2898">
        <v>389</v>
      </c>
    </row>
    <row r="2899" spans="1:8" x14ac:dyDescent="0.45">
      <c r="A2899" t="s">
        <v>53</v>
      </c>
      <c r="B2899" t="s">
        <v>20</v>
      </c>
      <c r="C2899">
        <v>12</v>
      </c>
      <c r="D2899" t="s">
        <v>27</v>
      </c>
      <c r="F2899">
        <v>428</v>
      </c>
    </row>
    <row r="2900" spans="1:8" x14ac:dyDescent="0.45">
      <c r="A2900" t="s">
        <v>53</v>
      </c>
      <c r="B2900" t="s">
        <v>20</v>
      </c>
      <c r="C2900">
        <v>12</v>
      </c>
      <c r="D2900" t="s">
        <v>28</v>
      </c>
      <c r="F2900">
        <v>249</v>
      </c>
    </row>
    <row r="2901" spans="1:8" x14ac:dyDescent="0.45">
      <c r="A2901" t="s">
        <v>53</v>
      </c>
      <c r="B2901" t="s">
        <v>20</v>
      </c>
      <c r="C2901">
        <v>12</v>
      </c>
      <c r="D2901" t="s">
        <v>29</v>
      </c>
      <c r="F2901">
        <v>200</v>
      </c>
    </row>
    <row r="2902" spans="1:8" x14ac:dyDescent="0.45">
      <c r="A2902" t="s">
        <v>53</v>
      </c>
      <c r="B2902" t="s">
        <v>20</v>
      </c>
      <c r="C2902">
        <v>12</v>
      </c>
      <c r="D2902" t="s">
        <v>31</v>
      </c>
      <c r="H2902">
        <v>30</v>
      </c>
    </row>
    <row r="2903" spans="1:8" x14ac:dyDescent="0.45">
      <c r="A2903" t="s">
        <v>53</v>
      </c>
      <c r="B2903" t="s">
        <v>20</v>
      </c>
      <c r="C2903">
        <v>12</v>
      </c>
      <c r="D2903" t="s">
        <v>32</v>
      </c>
      <c r="H2903">
        <v>3</v>
      </c>
    </row>
    <row r="2904" spans="1:8" x14ac:dyDescent="0.45">
      <c r="A2904" t="s">
        <v>53</v>
      </c>
      <c r="B2904" t="s">
        <v>20</v>
      </c>
      <c r="C2904">
        <v>12</v>
      </c>
      <c r="D2904" t="s">
        <v>34</v>
      </c>
      <c r="H2904">
        <v>1</v>
      </c>
    </row>
    <row r="2905" spans="1:8" x14ac:dyDescent="0.45">
      <c r="A2905" t="s">
        <v>79</v>
      </c>
      <c r="B2905" t="s">
        <v>21</v>
      </c>
      <c r="C2905">
        <v>1</v>
      </c>
      <c r="D2905" t="s">
        <v>19</v>
      </c>
      <c r="E2905">
        <v>1054718</v>
      </c>
      <c r="F2905">
        <v>2087</v>
      </c>
      <c r="G2905">
        <v>601</v>
      </c>
    </row>
    <row r="2906" spans="1:8" x14ac:dyDescent="0.45">
      <c r="A2906" t="s">
        <v>79</v>
      </c>
      <c r="B2906" t="s">
        <v>21</v>
      </c>
      <c r="C2906">
        <v>1</v>
      </c>
      <c r="D2906" t="s">
        <v>27</v>
      </c>
      <c r="F2906">
        <v>797</v>
      </c>
    </row>
    <row r="2907" spans="1:8" x14ac:dyDescent="0.45">
      <c r="A2907" t="s">
        <v>79</v>
      </c>
      <c r="B2907" t="s">
        <v>21</v>
      </c>
      <c r="C2907">
        <v>1</v>
      </c>
      <c r="D2907" t="s">
        <v>28</v>
      </c>
      <c r="F2907">
        <v>364</v>
      </c>
    </row>
    <row r="2908" spans="1:8" x14ac:dyDescent="0.45">
      <c r="A2908" t="s">
        <v>79</v>
      </c>
      <c r="B2908" t="s">
        <v>21</v>
      </c>
      <c r="C2908">
        <v>1</v>
      </c>
      <c r="D2908" t="s">
        <v>29</v>
      </c>
      <c r="F2908">
        <v>294</v>
      </c>
    </row>
    <row r="2909" spans="1:8" x14ac:dyDescent="0.45">
      <c r="A2909" t="s">
        <v>79</v>
      </c>
      <c r="B2909" t="s">
        <v>20</v>
      </c>
      <c r="C2909">
        <v>1</v>
      </c>
      <c r="D2909" t="s">
        <v>19</v>
      </c>
      <c r="E2909">
        <v>1010265</v>
      </c>
      <c r="F2909">
        <v>1827</v>
      </c>
      <c r="G2909">
        <v>518</v>
      </c>
    </row>
    <row r="2910" spans="1:8" x14ac:dyDescent="0.45">
      <c r="A2910" t="s">
        <v>79</v>
      </c>
      <c r="B2910" t="s">
        <v>20</v>
      </c>
      <c r="C2910">
        <v>1</v>
      </c>
      <c r="D2910" t="s">
        <v>27</v>
      </c>
      <c r="F2910">
        <v>675</v>
      </c>
    </row>
    <row r="2911" spans="1:8" x14ac:dyDescent="0.45">
      <c r="A2911" t="s">
        <v>79</v>
      </c>
      <c r="B2911" t="s">
        <v>20</v>
      </c>
      <c r="C2911">
        <v>1</v>
      </c>
      <c r="D2911" t="s">
        <v>28</v>
      </c>
      <c r="F2911">
        <v>316</v>
      </c>
    </row>
    <row r="2912" spans="1:8" x14ac:dyDescent="0.45">
      <c r="A2912" t="s">
        <v>79</v>
      </c>
      <c r="B2912" t="s">
        <v>20</v>
      </c>
      <c r="C2912">
        <v>1</v>
      </c>
      <c r="D2912" t="s">
        <v>29</v>
      </c>
      <c r="F2912">
        <v>234</v>
      </c>
    </row>
    <row r="2913" spans="1:8" x14ac:dyDescent="0.45">
      <c r="A2913" t="s">
        <v>79</v>
      </c>
      <c r="B2913" t="s">
        <v>20</v>
      </c>
      <c r="C2913">
        <v>1</v>
      </c>
      <c r="D2913" t="s">
        <v>31</v>
      </c>
      <c r="H2913">
        <v>90</v>
      </c>
    </row>
    <row r="2914" spans="1:8" x14ac:dyDescent="0.45">
      <c r="A2914" t="s">
        <v>79</v>
      </c>
      <c r="B2914" t="s">
        <v>20</v>
      </c>
      <c r="C2914">
        <v>1</v>
      </c>
      <c r="D2914" t="s">
        <v>32</v>
      </c>
      <c r="H2914">
        <v>3</v>
      </c>
    </row>
    <row r="2915" spans="1:8" x14ac:dyDescent="0.45">
      <c r="A2915" t="s">
        <v>79</v>
      </c>
      <c r="B2915" t="s">
        <v>20</v>
      </c>
      <c r="C2915">
        <v>1</v>
      </c>
      <c r="D2915" t="s">
        <v>34</v>
      </c>
    </row>
    <row r="2916" spans="1:8" x14ac:dyDescent="0.45">
      <c r="A2916" t="s">
        <v>79</v>
      </c>
      <c r="B2916" t="s">
        <v>21</v>
      </c>
      <c r="C2916">
        <v>2</v>
      </c>
      <c r="D2916" t="s">
        <v>19</v>
      </c>
      <c r="E2916">
        <v>873281</v>
      </c>
      <c r="F2916">
        <v>1766</v>
      </c>
      <c r="G2916">
        <v>506</v>
      </c>
    </row>
    <row r="2917" spans="1:8" x14ac:dyDescent="0.45">
      <c r="A2917" t="s">
        <v>79</v>
      </c>
      <c r="B2917" t="s">
        <v>21</v>
      </c>
      <c r="C2917">
        <v>2</v>
      </c>
      <c r="D2917" t="s">
        <v>27</v>
      </c>
      <c r="F2917">
        <v>780</v>
      </c>
    </row>
    <row r="2918" spans="1:8" x14ac:dyDescent="0.45">
      <c r="A2918" t="s">
        <v>79</v>
      </c>
      <c r="B2918" t="s">
        <v>21</v>
      </c>
      <c r="C2918">
        <v>2</v>
      </c>
      <c r="D2918" t="s">
        <v>28</v>
      </c>
      <c r="F2918">
        <v>274</v>
      </c>
    </row>
    <row r="2919" spans="1:8" x14ac:dyDescent="0.45">
      <c r="A2919" t="s">
        <v>79</v>
      </c>
      <c r="B2919" t="s">
        <v>21</v>
      </c>
      <c r="C2919">
        <v>2</v>
      </c>
      <c r="D2919" t="s">
        <v>29</v>
      </c>
      <c r="F2919">
        <v>199</v>
      </c>
    </row>
    <row r="2920" spans="1:8" x14ac:dyDescent="0.45">
      <c r="A2920" t="s">
        <v>79</v>
      </c>
      <c r="B2920" t="s">
        <v>20</v>
      </c>
      <c r="C2920">
        <v>2</v>
      </c>
      <c r="D2920" t="s">
        <v>19</v>
      </c>
      <c r="E2920">
        <v>874743</v>
      </c>
      <c r="F2920">
        <v>1564</v>
      </c>
      <c r="G2920">
        <v>473</v>
      </c>
    </row>
    <row r="2921" spans="1:8" x14ac:dyDescent="0.45">
      <c r="A2921" t="s">
        <v>79</v>
      </c>
      <c r="B2921" t="s">
        <v>20</v>
      </c>
      <c r="C2921">
        <v>2</v>
      </c>
      <c r="D2921" t="s">
        <v>27</v>
      </c>
      <c r="F2921">
        <v>638</v>
      </c>
    </row>
    <row r="2922" spans="1:8" x14ac:dyDescent="0.45">
      <c r="A2922" t="s">
        <v>79</v>
      </c>
      <c r="B2922" t="s">
        <v>20</v>
      </c>
      <c r="C2922">
        <v>2</v>
      </c>
      <c r="D2922" t="s">
        <v>28</v>
      </c>
      <c r="F2922">
        <v>260</v>
      </c>
    </row>
    <row r="2923" spans="1:8" x14ac:dyDescent="0.45">
      <c r="A2923" t="s">
        <v>79</v>
      </c>
      <c r="B2923" t="s">
        <v>20</v>
      </c>
      <c r="C2923">
        <v>2</v>
      </c>
      <c r="D2923" t="s">
        <v>29</v>
      </c>
      <c r="F2923">
        <v>164</v>
      </c>
    </row>
    <row r="2924" spans="1:8" x14ac:dyDescent="0.45">
      <c r="A2924" t="s">
        <v>79</v>
      </c>
      <c r="B2924" t="s">
        <v>20</v>
      </c>
      <c r="C2924">
        <v>2</v>
      </c>
      <c r="D2924" t="s">
        <v>31</v>
      </c>
      <c r="H2924">
        <v>75</v>
      </c>
    </row>
    <row r="2925" spans="1:8" x14ac:dyDescent="0.45">
      <c r="A2925" t="s">
        <v>79</v>
      </c>
      <c r="B2925" t="s">
        <v>20</v>
      </c>
      <c r="C2925">
        <v>2</v>
      </c>
      <c r="D2925" t="s">
        <v>32</v>
      </c>
      <c r="H2925">
        <v>7</v>
      </c>
    </row>
    <row r="2926" spans="1:8" x14ac:dyDescent="0.45">
      <c r="A2926" t="s">
        <v>79</v>
      </c>
      <c r="B2926" t="s">
        <v>20</v>
      </c>
      <c r="C2926">
        <v>2</v>
      </c>
      <c r="D2926" t="s">
        <v>34</v>
      </c>
      <c r="H2926">
        <v>15</v>
      </c>
    </row>
    <row r="2927" spans="1:8" x14ac:dyDescent="0.45">
      <c r="A2927" t="s">
        <v>79</v>
      </c>
      <c r="B2927" t="s">
        <v>21</v>
      </c>
      <c r="C2927">
        <v>3</v>
      </c>
      <c r="D2927" t="s">
        <v>19</v>
      </c>
      <c r="E2927">
        <v>2244894</v>
      </c>
      <c r="F2927">
        <v>3555</v>
      </c>
      <c r="H2927">
        <v>6</v>
      </c>
    </row>
    <row r="2928" spans="1:8" x14ac:dyDescent="0.45">
      <c r="A2928" t="s">
        <v>79</v>
      </c>
      <c r="B2928" t="s">
        <v>21</v>
      </c>
      <c r="C2928">
        <v>3</v>
      </c>
      <c r="D2928" t="s">
        <v>27</v>
      </c>
      <c r="F2928">
        <v>916</v>
      </c>
    </row>
    <row r="2929" spans="1:8" x14ac:dyDescent="0.45">
      <c r="A2929" t="s">
        <v>79</v>
      </c>
      <c r="B2929" t="s">
        <v>21</v>
      </c>
      <c r="C2929">
        <v>3</v>
      </c>
      <c r="D2929" t="s">
        <v>28</v>
      </c>
      <c r="F2929">
        <v>593</v>
      </c>
    </row>
    <row r="2930" spans="1:8" x14ac:dyDescent="0.45">
      <c r="A2930" t="s">
        <v>79</v>
      </c>
      <c r="B2930" t="s">
        <v>21</v>
      </c>
      <c r="C2930">
        <v>3</v>
      </c>
      <c r="D2930" t="s">
        <v>29</v>
      </c>
      <c r="F2930">
        <v>446</v>
      </c>
    </row>
    <row r="2931" spans="1:8" x14ac:dyDescent="0.45">
      <c r="A2931" t="s">
        <v>79</v>
      </c>
      <c r="B2931" t="s">
        <v>20</v>
      </c>
      <c r="C2931">
        <v>3</v>
      </c>
      <c r="D2931" t="s">
        <v>19</v>
      </c>
      <c r="E2931">
        <v>1647207</v>
      </c>
      <c r="F2931">
        <v>2756</v>
      </c>
      <c r="G2931">
        <v>794</v>
      </c>
    </row>
    <row r="2932" spans="1:8" x14ac:dyDescent="0.45">
      <c r="A2932" t="s">
        <v>79</v>
      </c>
      <c r="B2932" t="s">
        <v>20</v>
      </c>
      <c r="C2932">
        <v>3</v>
      </c>
      <c r="D2932" t="s">
        <v>27</v>
      </c>
      <c r="F2932">
        <v>845</v>
      </c>
    </row>
    <row r="2933" spans="1:8" x14ac:dyDescent="0.45">
      <c r="A2933" t="s">
        <v>79</v>
      </c>
      <c r="B2933" t="s">
        <v>20</v>
      </c>
      <c r="C2933">
        <v>3</v>
      </c>
      <c r="D2933" t="s">
        <v>28</v>
      </c>
      <c r="F2933">
        <v>417</v>
      </c>
    </row>
    <row r="2934" spans="1:8" x14ac:dyDescent="0.45">
      <c r="A2934" t="s">
        <v>79</v>
      </c>
      <c r="B2934" t="s">
        <v>20</v>
      </c>
      <c r="C2934">
        <v>3</v>
      </c>
      <c r="D2934" t="s">
        <v>29</v>
      </c>
      <c r="F2934">
        <v>386</v>
      </c>
    </row>
    <row r="2935" spans="1:8" x14ac:dyDescent="0.45">
      <c r="A2935" t="s">
        <v>79</v>
      </c>
      <c r="B2935" t="s">
        <v>20</v>
      </c>
      <c r="C2935">
        <v>3</v>
      </c>
      <c r="D2935" t="s">
        <v>31</v>
      </c>
      <c r="H2935">
        <v>134</v>
      </c>
    </row>
    <row r="2936" spans="1:8" x14ac:dyDescent="0.45">
      <c r="A2936" t="s">
        <v>79</v>
      </c>
      <c r="B2936" t="s">
        <v>20</v>
      </c>
      <c r="C2936">
        <v>3</v>
      </c>
      <c r="D2936" t="s">
        <v>32</v>
      </c>
      <c r="H2936">
        <v>6</v>
      </c>
    </row>
    <row r="2937" spans="1:8" x14ac:dyDescent="0.45">
      <c r="A2937" t="s">
        <v>79</v>
      </c>
      <c r="B2937" t="s">
        <v>20</v>
      </c>
      <c r="C2937">
        <v>3</v>
      </c>
      <c r="D2937" t="s">
        <v>34</v>
      </c>
      <c r="H2937">
        <v>13</v>
      </c>
    </row>
    <row r="2938" spans="1:8" x14ac:dyDescent="0.45">
      <c r="A2938" t="s">
        <v>79</v>
      </c>
      <c r="B2938" t="s">
        <v>21</v>
      </c>
      <c r="C2938">
        <v>4</v>
      </c>
      <c r="D2938" t="s">
        <v>19</v>
      </c>
      <c r="E2938">
        <v>2908750</v>
      </c>
      <c r="F2938">
        <v>4481</v>
      </c>
      <c r="G2938">
        <v>1061</v>
      </c>
    </row>
    <row r="2939" spans="1:8" x14ac:dyDescent="0.45">
      <c r="A2939" t="s">
        <v>79</v>
      </c>
      <c r="B2939" t="s">
        <v>21</v>
      </c>
      <c r="C2939">
        <v>4</v>
      </c>
      <c r="D2939" t="s">
        <v>27</v>
      </c>
      <c r="F2939">
        <v>1074</v>
      </c>
    </row>
    <row r="2940" spans="1:8" x14ac:dyDescent="0.45">
      <c r="A2940" t="s">
        <v>79</v>
      </c>
      <c r="B2940" t="s">
        <v>21</v>
      </c>
      <c r="C2940">
        <v>4</v>
      </c>
      <c r="D2940" t="s">
        <v>28</v>
      </c>
      <c r="F2940">
        <v>646</v>
      </c>
    </row>
    <row r="2941" spans="1:8" x14ac:dyDescent="0.45">
      <c r="A2941" t="s">
        <v>79</v>
      </c>
      <c r="B2941" t="s">
        <v>21</v>
      </c>
      <c r="C2941">
        <v>4</v>
      </c>
      <c r="D2941" t="s">
        <v>29</v>
      </c>
      <c r="F2941">
        <v>539</v>
      </c>
    </row>
    <row r="2942" spans="1:8" x14ac:dyDescent="0.45">
      <c r="A2942" t="s">
        <v>79</v>
      </c>
      <c r="B2942" t="s">
        <v>20</v>
      </c>
      <c r="C2942">
        <v>4</v>
      </c>
      <c r="D2942" t="s">
        <v>19</v>
      </c>
      <c r="E2942">
        <v>2891995</v>
      </c>
      <c r="F2942">
        <v>4445</v>
      </c>
      <c r="G2942">
        <v>999</v>
      </c>
    </row>
    <row r="2943" spans="1:8" x14ac:dyDescent="0.45">
      <c r="A2943" t="s">
        <v>79</v>
      </c>
      <c r="B2943" t="s">
        <v>20</v>
      </c>
      <c r="C2943">
        <v>4</v>
      </c>
      <c r="D2943" t="s">
        <v>27</v>
      </c>
      <c r="F2943">
        <v>832</v>
      </c>
    </row>
    <row r="2944" spans="1:8" x14ac:dyDescent="0.45">
      <c r="A2944" t="s">
        <v>79</v>
      </c>
      <c r="B2944" t="s">
        <v>20</v>
      </c>
      <c r="C2944">
        <v>4</v>
      </c>
      <c r="D2944" t="s">
        <v>28</v>
      </c>
      <c r="F2944">
        <v>606</v>
      </c>
    </row>
    <row r="2945" spans="1:8" x14ac:dyDescent="0.45">
      <c r="A2945" t="s">
        <v>79</v>
      </c>
      <c r="B2945" t="s">
        <v>20</v>
      </c>
      <c r="C2945">
        <v>4</v>
      </c>
      <c r="D2945" t="s">
        <v>29</v>
      </c>
      <c r="F2945">
        <v>557</v>
      </c>
    </row>
    <row r="2946" spans="1:8" x14ac:dyDescent="0.45">
      <c r="A2946" t="s">
        <v>79</v>
      </c>
      <c r="B2946" t="s">
        <v>20</v>
      </c>
      <c r="C2946">
        <v>4</v>
      </c>
      <c r="D2946" t="s">
        <v>31</v>
      </c>
      <c r="H2946">
        <v>117</v>
      </c>
    </row>
    <row r="2947" spans="1:8" x14ac:dyDescent="0.45">
      <c r="A2947" t="s">
        <v>79</v>
      </c>
      <c r="B2947" t="s">
        <v>20</v>
      </c>
      <c r="C2947">
        <v>4</v>
      </c>
      <c r="D2947" t="s">
        <v>32</v>
      </c>
      <c r="H2947">
        <v>12</v>
      </c>
    </row>
    <row r="2948" spans="1:8" x14ac:dyDescent="0.45">
      <c r="A2948" t="s">
        <v>79</v>
      </c>
      <c r="B2948" t="s">
        <v>20</v>
      </c>
      <c r="C2948">
        <v>4</v>
      </c>
      <c r="D2948" t="s">
        <v>34</v>
      </c>
      <c r="H2948">
        <v>19</v>
      </c>
    </row>
    <row r="2949" spans="1:8" x14ac:dyDescent="0.45">
      <c r="A2949" t="s">
        <v>79</v>
      </c>
      <c r="B2949" t="s">
        <v>21</v>
      </c>
      <c r="C2949">
        <v>5</v>
      </c>
      <c r="D2949" t="s">
        <v>19</v>
      </c>
      <c r="E2949">
        <v>2296217</v>
      </c>
      <c r="F2949">
        <v>3380</v>
      </c>
    </row>
    <row r="2950" spans="1:8" x14ac:dyDescent="0.45">
      <c r="A2950" t="s">
        <v>79</v>
      </c>
      <c r="B2950" t="s">
        <v>21</v>
      </c>
      <c r="C2950">
        <v>5</v>
      </c>
      <c r="D2950" t="s">
        <v>27</v>
      </c>
      <c r="F2950">
        <v>839</v>
      </c>
    </row>
    <row r="2951" spans="1:8" x14ac:dyDescent="0.45">
      <c r="A2951" t="s">
        <v>79</v>
      </c>
      <c r="B2951" t="s">
        <v>21</v>
      </c>
      <c r="C2951">
        <v>5</v>
      </c>
      <c r="D2951" t="s">
        <v>28</v>
      </c>
      <c r="F2951">
        <v>578</v>
      </c>
    </row>
    <row r="2952" spans="1:8" x14ac:dyDescent="0.45">
      <c r="A2952" t="s">
        <v>79</v>
      </c>
      <c r="B2952" t="s">
        <v>21</v>
      </c>
      <c r="C2952">
        <v>5</v>
      </c>
      <c r="D2952" t="s">
        <v>29</v>
      </c>
      <c r="F2952">
        <v>457</v>
      </c>
    </row>
    <row r="2953" spans="1:8" x14ac:dyDescent="0.45">
      <c r="A2953" t="s">
        <v>79</v>
      </c>
      <c r="B2953" t="s">
        <v>20</v>
      </c>
      <c r="C2953">
        <v>5</v>
      </c>
      <c r="D2953" t="s">
        <v>19</v>
      </c>
      <c r="E2953">
        <v>2297430</v>
      </c>
      <c r="F2953">
        <v>3294</v>
      </c>
    </row>
    <row r="2954" spans="1:8" x14ac:dyDescent="0.45">
      <c r="A2954" t="s">
        <v>79</v>
      </c>
      <c r="B2954" t="s">
        <v>20</v>
      </c>
      <c r="C2954">
        <v>5</v>
      </c>
      <c r="D2954" t="s">
        <v>27</v>
      </c>
      <c r="F2954">
        <v>779</v>
      </c>
    </row>
    <row r="2955" spans="1:8" x14ac:dyDescent="0.45">
      <c r="A2955" t="s">
        <v>79</v>
      </c>
      <c r="B2955" t="s">
        <v>20</v>
      </c>
      <c r="C2955">
        <v>5</v>
      </c>
      <c r="D2955" t="s">
        <v>28</v>
      </c>
      <c r="F2955">
        <v>457</v>
      </c>
    </row>
    <row r="2956" spans="1:8" x14ac:dyDescent="0.45">
      <c r="A2956" t="s">
        <v>79</v>
      </c>
      <c r="B2956" t="s">
        <v>20</v>
      </c>
      <c r="C2956">
        <v>5</v>
      </c>
      <c r="D2956" t="s">
        <v>29</v>
      </c>
      <c r="F2956">
        <v>368</v>
      </c>
    </row>
    <row r="2957" spans="1:8" x14ac:dyDescent="0.45">
      <c r="A2957" t="s">
        <v>79</v>
      </c>
      <c r="B2957" t="s">
        <v>20</v>
      </c>
      <c r="C2957">
        <v>5</v>
      </c>
      <c r="D2957" t="s">
        <v>31</v>
      </c>
      <c r="H2957">
        <v>110</v>
      </c>
    </row>
    <row r="2958" spans="1:8" x14ac:dyDescent="0.45">
      <c r="A2958" t="s">
        <v>79</v>
      </c>
      <c r="B2958" t="s">
        <v>20</v>
      </c>
      <c r="C2958">
        <v>5</v>
      </c>
      <c r="D2958" t="s">
        <v>32</v>
      </c>
      <c r="H2958">
        <v>10</v>
      </c>
    </row>
    <row r="2959" spans="1:8" x14ac:dyDescent="0.45">
      <c r="A2959" t="s">
        <v>79</v>
      </c>
      <c r="B2959" t="s">
        <v>20</v>
      </c>
      <c r="C2959">
        <v>5</v>
      </c>
      <c r="D2959" t="s">
        <v>34</v>
      </c>
      <c r="H2959">
        <v>14</v>
      </c>
    </row>
    <row r="2960" spans="1:8" x14ac:dyDescent="0.45">
      <c r="A2960" t="s">
        <v>79</v>
      </c>
      <c r="B2960" t="s">
        <v>21</v>
      </c>
      <c r="C2960">
        <v>6</v>
      </c>
      <c r="D2960" t="s">
        <v>19</v>
      </c>
      <c r="E2960">
        <v>2203236</v>
      </c>
      <c r="F2960">
        <v>3566</v>
      </c>
      <c r="H2960">
        <v>199</v>
      </c>
    </row>
    <row r="2961" spans="1:8" x14ac:dyDescent="0.45">
      <c r="A2961" t="s">
        <v>79</v>
      </c>
      <c r="B2961" t="s">
        <v>21</v>
      </c>
      <c r="C2961">
        <v>6</v>
      </c>
      <c r="D2961" t="s">
        <v>27</v>
      </c>
      <c r="F2961">
        <v>1005</v>
      </c>
    </row>
    <row r="2962" spans="1:8" x14ac:dyDescent="0.45">
      <c r="A2962" t="s">
        <v>79</v>
      </c>
      <c r="B2962" t="s">
        <v>21</v>
      </c>
      <c r="C2962">
        <v>6</v>
      </c>
      <c r="D2962" t="s">
        <v>28</v>
      </c>
      <c r="F2962">
        <v>538</v>
      </c>
    </row>
    <row r="2963" spans="1:8" x14ac:dyDescent="0.45">
      <c r="A2963" t="s">
        <v>79</v>
      </c>
      <c r="B2963" t="s">
        <v>21</v>
      </c>
      <c r="C2963">
        <v>6</v>
      </c>
      <c r="D2963" t="s">
        <v>29</v>
      </c>
      <c r="F2963">
        <v>434</v>
      </c>
    </row>
    <row r="2964" spans="1:8" x14ac:dyDescent="0.45">
      <c r="A2964" t="s">
        <v>79</v>
      </c>
      <c r="B2964" t="s">
        <v>20</v>
      </c>
      <c r="C2964">
        <v>6</v>
      </c>
      <c r="D2964" t="s">
        <v>19</v>
      </c>
      <c r="E2964">
        <v>2343679</v>
      </c>
      <c r="F2964">
        <v>3174</v>
      </c>
      <c r="G2964">
        <v>1179</v>
      </c>
    </row>
    <row r="2965" spans="1:8" x14ac:dyDescent="0.45">
      <c r="A2965" t="s">
        <v>79</v>
      </c>
      <c r="B2965" t="s">
        <v>20</v>
      </c>
      <c r="C2965">
        <v>6</v>
      </c>
      <c r="D2965" t="s">
        <v>27</v>
      </c>
      <c r="F2965">
        <v>846</v>
      </c>
    </row>
    <row r="2966" spans="1:8" x14ac:dyDescent="0.45">
      <c r="A2966" t="s">
        <v>79</v>
      </c>
      <c r="B2966" t="s">
        <v>20</v>
      </c>
      <c r="C2966">
        <v>6</v>
      </c>
      <c r="D2966" t="s">
        <v>28</v>
      </c>
      <c r="F2966">
        <v>545</v>
      </c>
    </row>
    <row r="2967" spans="1:8" x14ac:dyDescent="0.45">
      <c r="A2967" t="s">
        <v>79</v>
      </c>
      <c r="B2967" t="s">
        <v>20</v>
      </c>
      <c r="C2967">
        <v>6</v>
      </c>
      <c r="D2967" t="s">
        <v>29</v>
      </c>
      <c r="F2967">
        <v>426</v>
      </c>
    </row>
    <row r="2968" spans="1:8" x14ac:dyDescent="0.45">
      <c r="A2968" t="s">
        <v>79</v>
      </c>
      <c r="B2968" t="s">
        <v>20</v>
      </c>
      <c r="C2968">
        <v>6</v>
      </c>
      <c r="D2968" t="s">
        <v>31</v>
      </c>
      <c r="H2968">
        <v>57</v>
      </c>
    </row>
    <row r="2969" spans="1:8" x14ac:dyDescent="0.45">
      <c r="A2969" t="s">
        <v>79</v>
      </c>
      <c r="B2969" t="s">
        <v>20</v>
      </c>
      <c r="C2969">
        <v>6</v>
      </c>
      <c r="D2969" t="s">
        <v>32</v>
      </c>
      <c r="H2969">
        <v>4</v>
      </c>
    </row>
    <row r="2970" spans="1:8" x14ac:dyDescent="0.45">
      <c r="A2970" t="s">
        <v>79</v>
      </c>
      <c r="B2970" t="s">
        <v>20</v>
      </c>
      <c r="C2970">
        <v>6</v>
      </c>
      <c r="D2970" t="s">
        <v>34</v>
      </c>
      <c r="H2970">
        <v>14</v>
      </c>
    </row>
    <row r="2971" spans="1:8" x14ac:dyDescent="0.45">
      <c r="A2971" t="s">
        <v>79</v>
      </c>
      <c r="B2971" t="s">
        <v>21</v>
      </c>
      <c r="C2971">
        <v>7</v>
      </c>
      <c r="D2971" t="s">
        <v>19</v>
      </c>
      <c r="E2971">
        <v>1692855</v>
      </c>
      <c r="F2971">
        <v>2789</v>
      </c>
      <c r="G2971">
        <v>784</v>
      </c>
    </row>
    <row r="2972" spans="1:8" x14ac:dyDescent="0.45">
      <c r="A2972" t="s">
        <v>79</v>
      </c>
      <c r="B2972" t="s">
        <v>21</v>
      </c>
      <c r="C2972">
        <v>7</v>
      </c>
      <c r="D2972" t="s">
        <v>27</v>
      </c>
      <c r="F2972">
        <v>1056</v>
      </c>
    </row>
    <row r="2973" spans="1:8" x14ac:dyDescent="0.45">
      <c r="A2973" t="s">
        <v>79</v>
      </c>
      <c r="B2973" t="s">
        <v>21</v>
      </c>
      <c r="C2973">
        <v>7</v>
      </c>
      <c r="D2973" t="s">
        <v>28</v>
      </c>
      <c r="F2973">
        <v>471</v>
      </c>
    </row>
    <row r="2974" spans="1:8" x14ac:dyDescent="0.45">
      <c r="A2974" t="s">
        <v>79</v>
      </c>
      <c r="B2974" t="s">
        <v>21</v>
      </c>
      <c r="C2974">
        <v>7</v>
      </c>
      <c r="D2974" t="s">
        <v>29</v>
      </c>
      <c r="F2974">
        <v>286</v>
      </c>
    </row>
    <row r="2975" spans="1:8" x14ac:dyDescent="0.45">
      <c r="A2975" t="s">
        <v>79</v>
      </c>
      <c r="B2975" t="s">
        <v>20</v>
      </c>
      <c r="C2975">
        <v>7</v>
      </c>
      <c r="D2975" t="s">
        <v>19</v>
      </c>
      <c r="E2975">
        <v>1625634</v>
      </c>
      <c r="F2975">
        <v>2511</v>
      </c>
      <c r="G2975">
        <v>676</v>
      </c>
    </row>
    <row r="2976" spans="1:8" x14ac:dyDescent="0.45">
      <c r="A2976" t="s">
        <v>79</v>
      </c>
      <c r="B2976" t="s">
        <v>20</v>
      </c>
      <c r="C2976">
        <v>7</v>
      </c>
      <c r="D2976" t="s">
        <v>27</v>
      </c>
      <c r="F2976">
        <v>726</v>
      </c>
    </row>
    <row r="2977" spans="1:8" x14ac:dyDescent="0.45">
      <c r="A2977" t="s">
        <v>79</v>
      </c>
      <c r="B2977" t="s">
        <v>20</v>
      </c>
      <c r="C2977">
        <v>7</v>
      </c>
      <c r="D2977" t="s">
        <v>28</v>
      </c>
      <c r="F2977">
        <v>402</v>
      </c>
    </row>
    <row r="2978" spans="1:8" x14ac:dyDescent="0.45">
      <c r="A2978" t="s">
        <v>79</v>
      </c>
      <c r="B2978" t="s">
        <v>20</v>
      </c>
      <c r="C2978">
        <v>7</v>
      </c>
      <c r="D2978" t="s">
        <v>29</v>
      </c>
      <c r="F2978">
        <v>260</v>
      </c>
    </row>
    <row r="2979" spans="1:8" x14ac:dyDescent="0.45">
      <c r="A2979" t="s">
        <v>79</v>
      </c>
      <c r="B2979" t="s">
        <v>20</v>
      </c>
      <c r="C2979">
        <v>7</v>
      </c>
      <c r="D2979" t="s">
        <v>31</v>
      </c>
      <c r="H2979">
        <v>180</v>
      </c>
    </row>
    <row r="2980" spans="1:8" x14ac:dyDescent="0.45">
      <c r="A2980" t="s">
        <v>79</v>
      </c>
      <c r="B2980" t="s">
        <v>20</v>
      </c>
      <c r="C2980">
        <v>7</v>
      </c>
      <c r="D2980" t="s">
        <v>32</v>
      </c>
      <c r="H2980">
        <v>7</v>
      </c>
    </row>
    <row r="2981" spans="1:8" x14ac:dyDescent="0.45">
      <c r="A2981" t="s">
        <v>79</v>
      </c>
      <c r="B2981" t="s">
        <v>20</v>
      </c>
      <c r="C2981">
        <v>7</v>
      </c>
      <c r="D2981" t="s">
        <v>34</v>
      </c>
      <c r="H2981">
        <v>13</v>
      </c>
    </row>
    <row r="2982" spans="1:8" x14ac:dyDescent="0.45">
      <c r="A2982" t="s">
        <v>79</v>
      </c>
      <c r="B2982" t="s">
        <v>21</v>
      </c>
      <c r="C2982">
        <v>8</v>
      </c>
      <c r="D2982" t="s">
        <v>19</v>
      </c>
      <c r="E2982">
        <v>955743</v>
      </c>
      <c r="F2982">
        <v>2041</v>
      </c>
      <c r="G2982">
        <v>610</v>
      </c>
    </row>
    <row r="2983" spans="1:8" x14ac:dyDescent="0.45">
      <c r="A2983" t="s">
        <v>79</v>
      </c>
      <c r="B2983" t="s">
        <v>21</v>
      </c>
      <c r="C2983">
        <v>8</v>
      </c>
      <c r="D2983" t="s">
        <v>27</v>
      </c>
      <c r="F2983">
        <v>857</v>
      </c>
      <c r="G2983">
        <v>1102</v>
      </c>
    </row>
    <row r="2984" spans="1:8" x14ac:dyDescent="0.45">
      <c r="A2984" t="s">
        <v>79</v>
      </c>
      <c r="B2984" t="s">
        <v>21</v>
      </c>
      <c r="C2984">
        <v>8</v>
      </c>
      <c r="D2984" t="s">
        <v>28</v>
      </c>
      <c r="F2984">
        <v>416</v>
      </c>
      <c r="G2984">
        <v>1264</v>
      </c>
    </row>
    <row r="2985" spans="1:8" x14ac:dyDescent="0.45">
      <c r="A2985" t="s">
        <v>79</v>
      </c>
      <c r="B2985" t="s">
        <v>21</v>
      </c>
      <c r="C2985">
        <v>8</v>
      </c>
      <c r="D2985" t="s">
        <v>29</v>
      </c>
      <c r="F2985">
        <v>194</v>
      </c>
      <c r="G2985">
        <v>1021</v>
      </c>
    </row>
    <row r="2986" spans="1:8" x14ac:dyDescent="0.45">
      <c r="A2986" t="s">
        <v>79</v>
      </c>
      <c r="B2986" t="s">
        <v>20</v>
      </c>
      <c r="C2986">
        <v>8</v>
      </c>
      <c r="D2986" t="s">
        <v>19</v>
      </c>
      <c r="E2986">
        <v>1069226</v>
      </c>
      <c r="F2986">
        <v>1899</v>
      </c>
      <c r="G2986">
        <v>571</v>
      </c>
    </row>
    <row r="2987" spans="1:8" x14ac:dyDescent="0.45">
      <c r="A2987" t="s">
        <v>79</v>
      </c>
      <c r="B2987" t="s">
        <v>20</v>
      </c>
      <c r="C2987">
        <v>8</v>
      </c>
      <c r="D2987" t="s">
        <v>27</v>
      </c>
      <c r="F2987">
        <v>723</v>
      </c>
      <c r="G2987">
        <v>1046</v>
      </c>
    </row>
    <row r="2988" spans="1:8" x14ac:dyDescent="0.45">
      <c r="A2988" t="s">
        <v>79</v>
      </c>
      <c r="B2988" t="s">
        <v>20</v>
      </c>
      <c r="C2988">
        <v>8</v>
      </c>
      <c r="D2988" t="s">
        <v>28</v>
      </c>
      <c r="F2988">
        <v>389</v>
      </c>
      <c r="G2988">
        <v>969</v>
      </c>
    </row>
    <row r="2989" spans="1:8" x14ac:dyDescent="0.45">
      <c r="A2989" t="s">
        <v>79</v>
      </c>
      <c r="B2989" t="s">
        <v>20</v>
      </c>
      <c r="C2989">
        <v>8</v>
      </c>
      <c r="D2989" t="s">
        <v>29</v>
      </c>
      <c r="F2989">
        <v>194</v>
      </c>
      <c r="G2989">
        <v>1103</v>
      </c>
    </row>
    <row r="2990" spans="1:8" x14ac:dyDescent="0.45">
      <c r="A2990" t="s">
        <v>79</v>
      </c>
      <c r="B2990" t="s">
        <v>20</v>
      </c>
      <c r="C2990">
        <v>8</v>
      </c>
      <c r="D2990" t="s">
        <v>31</v>
      </c>
      <c r="H2990">
        <v>21</v>
      </c>
    </row>
    <row r="2991" spans="1:8" x14ac:dyDescent="0.45">
      <c r="A2991" t="s">
        <v>79</v>
      </c>
      <c r="B2991" t="s">
        <v>20</v>
      </c>
      <c r="C2991">
        <v>8</v>
      </c>
      <c r="D2991" t="s">
        <v>32</v>
      </c>
      <c r="H2991">
        <v>13</v>
      </c>
    </row>
    <row r="2992" spans="1:8" x14ac:dyDescent="0.45">
      <c r="A2992" t="s">
        <v>79</v>
      </c>
      <c r="B2992" t="s">
        <v>20</v>
      </c>
      <c r="C2992">
        <v>8</v>
      </c>
      <c r="D2992" t="s">
        <v>34</v>
      </c>
      <c r="H2992">
        <v>5</v>
      </c>
    </row>
    <row r="2993" spans="1:8" x14ac:dyDescent="0.45">
      <c r="A2993" t="s">
        <v>79</v>
      </c>
      <c r="B2993" t="s">
        <v>21</v>
      </c>
      <c r="C2993">
        <v>9</v>
      </c>
      <c r="D2993" t="s">
        <v>19</v>
      </c>
      <c r="E2993">
        <v>977773</v>
      </c>
      <c r="F2993">
        <v>2068</v>
      </c>
      <c r="G2993">
        <v>571</v>
      </c>
    </row>
    <row r="2994" spans="1:8" x14ac:dyDescent="0.45">
      <c r="A2994" t="s">
        <v>79</v>
      </c>
      <c r="B2994" t="s">
        <v>21</v>
      </c>
      <c r="C2994">
        <v>9</v>
      </c>
      <c r="D2994" t="s">
        <v>27</v>
      </c>
      <c r="F2994">
        <v>865</v>
      </c>
    </row>
    <row r="2995" spans="1:8" x14ac:dyDescent="0.45">
      <c r="A2995" t="s">
        <v>79</v>
      </c>
      <c r="B2995" t="s">
        <v>21</v>
      </c>
      <c r="C2995">
        <v>9</v>
      </c>
      <c r="D2995" t="s">
        <v>28</v>
      </c>
      <c r="F2995">
        <v>419</v>
      </c>
    </row>
    <row r="2996" spans="1:8" x14ac:dyDescent="0.45">
      <c r="A2996" t="s">
        <v>79</v>
      </c>
      <c r="B2996" t="s">
        <v>21</v>
      </c>
      <c r="C2996">
        <v>9</v>
      </c>
      <c r="D2996" t="s">
        <v>29</v>
      </c>
      <c r="F2996">
        <v>256</v>
      </c>
    </row>
    <row r="2997" spans="1:8" x14ac:dyDescent="0.45">
      <c r="A2997" t="s">
        <v>79</v>
      </c>
      <c r="B2997" t="s">
        <v>20</v>
      </c>
      <c r="C2997">
        <v>9</v>
      </c>
      <c r="D2997" t="s">
        <v>19</v>
      </c>
      <c r="E2997">
        <v>1258025</v>
      </c>
      <c r="F2997">
        <v>2219</v>
      </c>
      <c r="G2997">
        <v>603</v>
      </c>
    </row>
    <row r="2998" spans="1:8" x14ac:dyDescent="0.45">
      <c r="A2998" t="s">
        <v>79</v>
      </c>
      <c r="B2998" t="s">
        <v>20</v>
      </c>
      <c r="C2998">
        <v>9</v>
      </c>
      <c r="D2998" t="s">
        <v>27</v>
      </c>
      <c r="F2998">
        <v>862</v>
      </c>
    </row>
    <row r="2999" spans="1:8" x14ac:dyDescent="0.45">
      <c r="A2999" t="s">
        <v>79</v>
      </c>
      <c r="B2999" t="s">
        <v>20</v>
      </c>
      <c r="C2999">
        <v>9</v>
      </c>
      <c r="D2999" t="s">
        <v>28</v>
      </c>
      <c r="F2999">
        <v>382</v>
      </c>
    </row>
    <row r="3000" spans="1:8" x14ac:dyDescent="0.45">
      <c r="A3000" t="s">
        <v>79</v>
      </c>
      <c r="B3000" t="s">
        <v>20</v>
      </c>
      <c r="C3000">
        <v>9</v>
      </c>
      <c r="D3000" t="s">
        <v>29</v>
      </c>
      <c r="F3000">
        <v>191</v>
      </c>
    </row>
    <row r="3001" spans="1:8" x14ac:dyDescent="0.45">
      <c r="A3001" t="s">
        <v>79</v>
      </c>
      <c r="B3001" t="s">
        <v>20</v>
      </c>
      <c r="C3001">
        <v>9</v>
      </c>
      <c r="D3001" t="s">
        <v>31</v>
      </c>
      <c r="H3001">
        <v>142</v>
      </c>
    </row>
    <row r="3002" spans="1:8" x14ac:dyDescent="0.45">
      <c r="A3002" t="s">
        <v>79</v>
      </c>
      <c r="B3002" t="s">
        <v>20</v>
      </c>
      <c r="C3002">
        <v>9</v>
      </c>
      <c r="D3002" t="s">
        <v>32</v>
      </c>
      <c r="H3002">
        <v>8</v>
      </c>
    </row>
    <row r="3003" spans="1:8" x14ac:dyDescent="0.45">
      <c r="A3003" t="s">
        <v>79</v>
      </c>
      <c r="B3003" t="s">
        <v>20</v>
      </c>
      <c r="C3003">
        <v>9</v>
      </c>
      <c r="D3003" t="s">
        <v>34</v>
      </c>
      <c r="H3003">
        <v>6</v>
      </c>
    </row>
    <row r="3004" spans="1:8" x14ac:dyDescent="0.45">
      <c r="A3004" t="s">
        <v>79</v>
      </c>
      <c r="B3004" t="s">
        <v>21</v>
      </c>
      <c r="C3004">
        <v>10</v>
      </c>
      <c r="D3004" t="s">
        <v>19</v>
      </c>
      <c r="E3004">
        <v>1615055</v>
      </c>
      <c r="F3004">
        <v>3295</v>
      </c>
      <c r="G3004">
        <v>848</v>
      </c>
    </row>
    <row r="3005" spans="1:8" x14ac:dyDescent="0.45">
      <c r="A3005" t="s">
        <v>79</v>
      </c>
      <c r="B3005" t="s">
        <v>21</v>
      </c>
      <c r="C3005">
        <v>10</v>
      </c>
      <c r="D3005" t="s">
        <v>27</v>
      </c>
      <c r="F3005">
        <v>1186</v>
      </c>
    </row>
    <row r="3006" spans="1:8" x14ac:dyDescent="0.45">
      <c r="A3006" t="s">
        <v>79</v>
      </c>
      <c r="B3006" t="s">
        <v>21</v>
      </c>
      <c r="C3006">
        <v>10</v>
      </c>
      <c r="D3006" t="s">
        <v>28</v>
      </c>
      <c r="F3006">
        <v>687</v>
      </c>
    </row>
    <row r="3007" spans="1:8" x14ac:dyDescent="0.45">
      <c r="A3007" t="s">
        <v>79</v>
      </c>
      <c r="B3007" t="s">
        <v>21</v>
      </c>
      <c r="C3007">
        <v>10</v>
      </c>
      <c r="D3007" t="s">
        <v>29</v>
      </c>
      <c r="F3007">
        <v>427</v>
      </c>
    </row>
    <row r="3008" spans="1:8" x14ac:dyDescent="0.45">
      <c r="A3008" t="s">
        <v>79</v>
      </c>
      <c r="B3008" t="s">
        <v>20</v>
      </c>
      <c r="C3008">
        <v>10</v>
      </c>
      <c r="D3008" t="s">
        <v>19</v>
      </c>
      <c r="E3008">
        <v>1551465</v>
      </c>
      <c r="F3008">
        <v>2691</v>
      </c>
      <c r="G3008">
        <v>790</v>
      </c>
    </row>
    <row r="3009" spans="1:8" x14ac:dyDescent="0.45">
      <c r="A3009" t="s">
        <v>79</v>
      </c>
      <c r="B3009" t="s">
        <v>20</v>
      </c>
      <c r="C3009">
        <v>10</v>
      </c>
      <c r="D3009" t="s">
        <v>27</v>
      </c>
      <c r="F3009">
        <v>1024</v>
      </c>
    </row>
    <row r="3010" spans="1:8" x14ac:dyDescent="0.45">
      <c r="A3010" t="s">
        <v>79</v>
      </c>
      <c r="B3010" t="s">
        <v>20</v>
      </c>
      <c r="C3010">
        <v>10</v>
      </c>
      <c r="D3010" t="s">
        <v>28</v>
      </c>
      <c r="F3010">
        <v>508</v>
      </c>
    </row>
    <row r="3011" spans="1:8" x14ac:dyDescent="0.45">
      <c r="A3011" t="s">
        <v>79</v>
      </c>
      <c r="B3011" t="s">
        <v>20</v>
      </c>
      <c r="C3011">
        <v>10</v>
      </c>
      <c r="D3011" t="s">
        <v>29</v>
      </c>
      <c r="F3011">
        <v>338</v>
      </c>
    </row>
    <row r="3012" spans="1:8" x14ac:dyDescent="0.45">
      <c r="A3012" t="s">
        <v>79</v>
      </c>
      <c r="B3012" t="s">
        <v>20</v>
      </c>
      <c r="C3012">
        <v>10</v>
      </c>
      <c r="D3012" t="s">
        <v>31</v>
      </c>
      <c r="H3012">
        <v>119</v>
      </c>
    </row>
    <row r="3013" spans="1:8" x14ac:dyDescent="0.45">
      <c r="A3013" t="s">
        <v>79</v>
      </c>
      <c r="B3013" t="s">
        <v>20</v>
      </c>
      <c r="C3013">
        <v>10</v>
      </c>
      <c r="D3013" t="s">
        <v>32</v>
      </c>
      <c r="H3013">
        <v>8</v>
      </c>
    </row>
    <row r="3014" spans="1:8" x14ac:dyDescent="0.45">
      <c r="A3014" t="s">
        <v>79</v>
      </c>
      <c r="B3014" t="s">
        <v>20</v>
      </c>
      <c r="C3014">
        <v>10</v>
      </c>
      <c r="D3014" t="s">
        <v>34</v>
      </c>
      <c r="H3014">
        <v>6</v>
      </c>
    </row>
    <row r="3015" spans="1:8" x14ac:dyDescent="0.45">
      <c r="A3015" t="s">
        <v>79</v>
      </c>
      <c r="B3015" t="s">
        <v>21</v>
      </c>
      <c r="C3015">
        <v>11</v>
      </c>
      <c r="D3015" t="s">
        <v>19</v>
      </c>
      <c r="E3015">
        <v>1480582</v>
      </c>
      <c r="F3015">
        <v>2760</v>
      </c>
      <c r="G3015">
        <v>725</v>
      </c>
    </row>
    <row r="3016" spans="1:8" x14ac:dyDescent="0.45">
      <c r="A3016" t="s">
        <v>79</v>
      </c>
      <c r="B3016" t="s">
        <v>21</v>
      </c>
      <c r="C3016">
        <v>11</v>
      </c>
      <c r="D3016" t="s">
        <v>27</v>
      </c>
      <c r="F3016">
        <v>974</v>
      </c>
    </row>
    <row r="3017" spans="1:8" x14ac:dyDescent="0.45">
      <c r="A3017" t="s">
        <v>79</v>
      </c>
      <c r="B3017" t="s">
        <v>21</v>
      </c>
      <c r="C3017">
        <v>11</v>
      </c>
      <c r="D3017" t="s">
        <v>28</v>
      </c>
      <c r="F3017">
        <v>533</v>
      </c>
    </row>
    <row r="3018" spans="1:8" x14ac:dyDescent="0.45">
      <c r="A3018" t="s">
        <v>79</v>
      </c>
      <c r="B3018" t="s">
        <v>21</v>
      </c>
      <c r="C3018">
        <v>11</v>
      </c>
      <c r="D3018" t="s">
        <v>29</v>
      </c>
      <c r="F3018">
        <v>378</v>
      </c>
    </row>
    <row r="3019" spans="1:8" x14ac:dyDescent="0.45">
      <c r="A3019" t="s">
        <v>79</v>
      </c>
      <c r="B3019" t="s">
        <v>20</v>
      </c>
      <c r="C3019">
        <v>11</v>
      </c>
      <c r="D3019" t="s">
        <v>19</v>
      </c>
      <c r="E3019">
        <v>1548598</v>
      </c>
      <c r="F3019">
        <v>2697</v>
      </c>
      <c r="G3019">
        <v>775</v>
      </c>
    </row>
    <row r="3020" spans="1:8" x14ac:dyDescent="0.45">
      <c r="A3020" t="s">
        <v>79</v>
      </c>
      <c r="B3020" t="s">
        <v>20</v>
      </c>
      <c r="C3020">
        <v>11</v>
      </c>
      <c r="D3020" t="s">
        <v>27</v>
      </c>
      <c r="F3020">
        <v>869</v>
      </c>
    </row>
    <row r="3021" spans="1:8" x14ac:dyDescent="0.45">
      <c r="A3021" t="s">
        <v>79</v>
      </c>
      <c r="B3021" t="s">
        <v>20</v>
      </c>
      <c r="C3021">
        <v>11</v>
      </c>
      <c r="D3021" t="s">
        <v>28</v>
      </c>
      <c r="F3021">
        <v>524</v>
      </c>
    </row>
    <row r="3022" spans="1:8" x14ac:dyDescent="0.45">
      <c r="A3022" t="s">
        <v>79</v>
      </c>
      <c r="B3022" t="s">
        <v>20</v>
      </c>
      <c r="C3022">
        <v>11</v>
      </c>
      <c r="D3022" t="s">
        <v>29</v>
      </c>
      <c r="F3022">
        <v>420</v>
      </c>
    </row>
    <row r="3023" spans="1:8" x14ac:dyDescent="0.45">
      <c r="A3023" t="s">
        <v>79</v>
      </c>
      <c r="B3023" t="s">
        <v>20</v>
      </c>
      <c r="C3023">
        <v>11</v>
      </c>
      <c r="D3023" t="s">
        <v>31</v>
      </c>
      <c r="H3023">
        <v>235</v>
      </c>
    </row>
    <row r="3024" spans="1:8" x14ac:dyDescent="0.45">
      <c r="A3024" t="s">
        <v>79</v>
      </c>
      <c r="B3024" t="s">
        <v>20</v>
      </c>
      <c r="C3024">
        <v>11</v>
      </c>
      <c r="D3024" t="s">
        <v>32</v>
      </c>
      <c r="H3024">
        <v>5</v>
      </c>
    </row>
    <row r="3025" spans="1:8" x14ac:dyDescent="0.45">
      <c r="A3025" t="s">
        <v>79</v>
      </c>
      <c r="B3025" t="s">
        <v>20</v>
      </c>
      <c r="C3025">
        <v>11</v>
      </c>
      <c r="D3025" t="s">
        <v>34</v>
      </c>
      <c r="H3025">
        <v>11</v>
      </c>
    </row>
    <row r="3026" spans="1:8" x14ac:dyDescent="0.45">
      <c r="A3026" t="s">
        <v>79</v>
      </c>
      <c r="B3026" t="s">
        <v>21</v>
      </c>
      <c r="C3026">
        <v>12</v>
      </c>
      <c r="D3026" t="s">
        <v>19</v>
      </c>
      <c r="E3026">
        <v>1532403</v>
      </c>
      <c r="F3026">
        <v>2902</v>
      </c>
      <c r="G3026">
        <v>754</v>
      </c>
    </row>
    <row r="3027" spans="1:8" x14ac:dyDescent="0.45">
      <c r="A3027" t="s">
        <v>79</v>
      </c>
      <c r="B3027" t="s">
        <v>21</v>
      </c>
      <c r="C3027">
        <v>12</v>
      </c>
      <c r="D3027" t="s">
        <v>27</v>
      </c>
      <c r="F3027">
        <v>1019</v>
      </c>
    </row>
    <row r="3028" spans="1:8" x14ac:dyDescent="0.45">
      <c r="A3028" t="s">
        <v>79</v>
      </c>
      <c r="B3028" t="s">
        <v>21</v>
      </c>
      <c r="C3028">
        <v>12</v>
      </c>
      <c r="D3028" t="s">
        <v>28</v>
      </c>
      <c r="F3028">
        <v>510</v>
      </c>
    </row>
    <row r="3029" spans="1:8" x14ac:dyDescent="0.45">
      <c r="A3029" t="s">
        <v>79</v>
      </c>
      <c r="B3029" t="s">
        <v>21</v>
      </c>
      <c r="C3029">
        <v>12</v>
      </c>
      <c r="D3029" t="s">
        <v>29</v>
      </c>
      <c r="F3029">
        <v>421</v>
      </c>
    </row>
    <row r="3030" spans="1:8" x14ac:dyDescent="0.45">
      <c r="A3030" t="s">
        <v>79</v>
      </c>
      <c r="B3030" t="s">
        <v>20</v>
      </c>
      <c r="C3030">
        <v>12</v>
      </c>
      <c r="D3030" t="s">
        <v>19</v>
      </c>
      <c r="E3030">
        <v>1237130</v>
      </c>
      <c r="F3030">
        <v>2331</v>
      </c>
      <c r="G3030">
        <v>656</v>
      </c>
    </row>
    <row r="3031" spans="1:8" x14ac:dyDescent="0.45">
      <c r="A3031" t="s">
        <v>79</v>
      </c>
      <c r="B3031" t="s">
        <v>20</v>
      </c>
      <c r="C3031">
        <v>12</v>
      </c>
      <c r="D3031" t="s">
        <v>27</v>
      </c>
      <c r="F3031">
        <v>879</v>
      </c>
    </row>
    <row r="3032" spans="1:8" x14ac:dyDescent="0.45">
      <c r="A3032" t="s">
        <v>79</v>
      </c>
      <c r="B3032" t="s">
        <v>20</v>
      </c>
      <c r="C3032">
        <v>12</v>
      </c>
      <c r="D3032" t="s">
        <v>28</v>
      </c>
      <c r="F3032">
        <v>412</v>
      </c>
    </row>
    <row r="3033" spans="1:8" x14ac:dyDescent="0.45">
      <c r="A3033" t="s">
        <v>79</v>
      </c>
      <c r="B3033" t="s">
        <v>20</v>
      </c>
      <c r="C3033">
        <v>12</v>
      </c>
      <c r="D3033" t="s">
        <v>29</v>
      </c>
      <c r="F3033">
        <v>274</v>
      </c>
    </row>
    <row r="3034" spans="1:8" x14ac:dyDescent="0.45">
      <c r="A3034" t="s">
        <v>79</v>
      </c>
      <c r="B3034" t="s">
        <v>20</v>
      </c>
      <c r="C3034">
        <v>12</v>
      </c>
      <c r="D3034" t="s">
        <v>31</v>
      </c>
      <c r="H3034">
        <v>83</v>
      </c>
    </row>
    <row r="3035" spans="1:8" x14ac:dyDescent="0.45">
      <c r="A3035" t="s">
        <v>79</v>
      </c>
      <c r="B3035" t="s">
        <v>20</v>
      </c>
      <c r="C3035">
        <v>12</v>
      </c>
      <c r="D3035" t="s">
        <v>32</v>
      </c>
      <c r="H3035">
        <v>5</v>
      </c>
    </row>
    <row r="3036" spans="1:8" x14ac:dyDescent="0.45">
      <c r="A3036" t="s">
        <v>79</v>
      </c>
      <c r="B3036" t="s">
        <v>20</v>
      </c>
      <c r="C3036">
        <v>12</v>
      </c>
      <c r="D3036" t="s">
        <v>34</v>
      </c>
      <c r="H3036">
        <v>9</v>
      </c>
    </row>
    <row r="3037" spans="1:8" x14ac:dyDescent="0.45">
      <c r="A3037" t="s">
        <v>77</v>
      </c>
      <c r="B3037" t="s">
        <v>21</v>
      </c>
      <c r="C3037">
        <v>1</v>
      </c>
      <c r="D3037" t="s">
        <v>19</v>
      </c>
      <c r="E3037">
        <v>731475</v>
      </c>
      <c r="F3037">
        <v>1466</v>
      </c>
      <c r="G3037">
        <v>438</v>
      </c>
    </row>
    <row r="3038" spans="1:8" x14ac:dyDescent="0.45">
      <c r="A3038" t="s">
        <v>77</v>
      </c>
      <c r="B3038" t="s">
        <v>21</v>
      </c>
      <c r="C3038">
        <v>1</v>
      </c>
      <c r="D3038" t="s">
        <v>27</v>
      </c>
      <c r="F3038">
        <v>559</v>
      </c>
    </row>
    <row r="3039" spans="1:8" x14ac:dyDescent="0.45">
      <c r="A3039" t="s">
        <v>77</v>
      </c>
      <c r="B3039" t="s">
        <v>21</v>
      </c>
      <c r="C3039">
        <v>1</v>
      </c>
      <c r="D3039" t="s">
        <v>28</v>
      </c>
      <c r="F3039">
        <v>259</v>
      </c>
    </row>
    <row r="3040" spans="1:8" x14ac:dyDescent="0.45">
      <c r="A3040" t="s">
        <v>77</v>
      </c>
      <c r="B3040" t="s">
        <v>21</v>
      </c>
      <c r="C3040">
        <v>1</v>
      </c>
      <c r="D3040" t="s">
        <v>29</v>
      </c>
      <c r="F3040">
        <v>179</v>
      </c>
    </row>
    <row r="3041" spans="1:8" x14ac:dyDescent="0.45">
      <c r="A3041" t="s">
        <v>77</v>
      </c>
      <c r="B3041" t="s">
        <v>20</v>
      </c>
      <c r="C3041">
        <v>1</v>
      </c>
      <c r="D3041" t="s">
        <v>19</v>
      </c>
      <c r="E3041">
        <v>898422</v>
      </c>
      <c r="F3041">
        <v>1654</v>
      </c>
      <c r="G3041">
        <v>448</v>
      </c>
    </row>
    <row r="3042" spans="1:8" x14ac:dyDescent="0.45">
      <c r="A3042" t="s">
        <v>77</v>
      </c>
      <c r="B3042" t="s">
        <v>20</v>
      </c>
      <c r="C3042">
        <v>1</v>
      </c>
      <c r="D3042" t="s">
        <v>27</v>
      </c>
      <c r="F3042">
        <v>496</v>
      </c>
    </row>
    <row r="3043" spans="1:8" x14ac:dyDescent="0.45">
      <c r="A3043" t="s">
        <v>77</v>
      </c>
      <c r="B3043" t="s">
        <v>20</v>
      </c>
      <c r="C3043">
        <v>1</v>
      </c>
      <c r="D3043" t="s">
        <v>28</v>
      </c>
      <c r="F3043">
        <v>287</v>
      </c>
    </row>
    <row r="3044" spans="1:8" x14ac:dyDescent="0.45">
      <c r="A3044" t="s">
        <v>77</v>
      </c>
      <c r="B3044" t="s">
        <v>20</v>
      </c>
      <c r="C3044">
        <v>1</v>
      </c>
      <c r="D3044" t="s">
        <v>29</v>
      </c>
      <c r="F3044">
        <v>218</v>
      </c>
    </row>
    <row r="3045" spans="1:8" x14ac:dyDescent="0.45">
      <c r="A3045" t="s">
        <v>77</v>
      </c>
      <c r="B3045" t="s">
        <v>20</v>
      </c>
      <c r="C3045">
        <v>1</v>
      </c>
      <c r="D3045" t="s">
        <v>31</v>
      </c>
      <c r="H3045">
        <v>72</v>
      </c>
    </row>
    <row r="3046" spans="1:8" x14ac:dyDescent="0.45">
      <c r="A3046" t="s">
        <v>77</v>
      </c>
      <c r="B3046" t="s">
        <v>20</v>
      </c>
      <c r="C3046">
        <v>1</v>
      </c>
      <c r="D3046" t="s">
        <v>32</v>
      </c>
      <c r="H3046">
        <v>7</v>
      </c>
    </row>
    <row r="3047" spans="1:8" x14ac:dyDescent="0.45">
      <c r="A3047" t="s">
        <v>77</v>
      </c>
      <c r="B3047" t="s">
        <v>20</v>
      </c>
      <c r="C3047">
        <v>1</v>
      </c>
      <c r="D3047" t="s">
        <v>34</v>
      </c>
    </row>
    <row r="3048" spans="1:8" x14ac:dyDescent="0.45">
      <c r="A3048" t="s">
        <v>77</v>
      </c>
      <c r="B3048" t="s">
        <v>21</v>
      </c>
      <c r="C3048">
        <v>2</v>
      </c>
      <c r="D3048" t="s">
        <v>19</v>
      </c>
      <c r="E3048">
        <v>686423</v>
      </c>
      <c r="F3048">
        <v>1279</v>
      </c>
      <c r="G3048">
        <v>381</v>
      </c>
    </row>
    <row r="3049" spans="1:8" x14ac:dyDescent="0.45">
      <c r="A3049" t="s">
        <v>77</v>
      </c>
      <c r="B3049" t="s">
        <v>21</v>
      </c>
      <c r="C3049">
        <v>2</v>
      </c>
      <c r="D3049" t="s">
        <v>27</v>
      </c>
      <c r="F3049">
        <v>515</v>
      </c>
    </row>
    <row r="3050" spans="1:8" x14ac:dyDescent="0.45">
      <c r="A3050" t="s">
        <v>77</v>
      </c>
      <c r="B3050" t="s">
        <v>21</v>
      </c>
      <c r="C3050">
        <v>2</v>
      </c>
      <c r="D3050" t="s">
        <v>28</v>
      </c>
      <c r="F3050">
        <v>226</v>
      </c>
    </row>
    <row r="3051" spans="1:8" x14ac:dyDescent="0.45">
      <c r="A3051" t="s">
        <v>77</v>
      </c>
      <c r="B3051" t="s">
        <v>21</v>
      </c>
      <c r="C3051">
        <v>2</v>
      </c>
      <c r="D3051" t="s">
        <v>29</v>
      </c>
      <c r="F3051">
        <v>158</v>
      </c>
    </row>
    <row r="3052" spans="1:8" x14ac:dyDescent="0.45">
      <c r="A3052" t="s">
        <v>77</v>
      </c>
      <c r="B3052" t="s">
        <v>20</v>
      </c>
      <c r="C3052">
        <v>2</v>
      </c>
      <c r="D3052" t="s">
        <v>19</v>
      </c>
      <c r="E3052">
        <v>754567</v>
      </c>
      <c r="F3052">
        <v>1360</v>
      </c>
      <c r="G3052">
        <v>456</v>
      </c>
    </row>
    <row r="3053" spans="1:8" x14ac:dyDescent="0.45">
      <c r="A3053" t="s">
        <v>77</v>
      </c>
      <c r="B3053" t="s">
        <v>20</v>
      </c>
      <c r="C3053">
        <v>2</v>
      </c>
      <c r="D3053" t="s">
        <v>27</v>
      </c>
      <c r="F3053">
        <v>496</v>
      </c>
    </row>
    <row r="3054" spans="1:8" x14ac:dyDescent="0.45">
      <c r="A3054" t="s">
        <v>77</v>
      </c>
      <c r="B3054" t="s">
        <v>20</v>
      </c>
      <c r="C3054">
        <v>2</v>
      </c>
      <c r="D3054" t="s">
        <v>28</v>
      </c>
      <c r="F3054">
        <v>261</v>
      </c>
    </row>
    <row r="3055" spans="1:8" x14ac:dyDescent="0.45">
      <c r="A3055" t="s">
        <v>77</v>
      </c>
      <c r="B3055" t="s">
        <v>20</v>
      </c>
      <c r="C3055">
        <v>2</v>
      </c>
      <c r="D3055" t="s">
        <v>29</v>
      </c>
      <c r="F3055">
        <v>195</v>
      </c>
    </row>
    <row r="3056" spans="1:8" x14ac:dyDescent="0.45">
      <c r="A3056" t="s">
        <v>77</v>
      </c>
      <c r="B3056" t="s">
        <v>20</v>
      </c>
      <c r="C3056">
        <v>2</v>
      </c>
      <c r="D3056" t="s">
        <v>31</v>
      </c>
      <c r="H3056">
        <v>71</v>
      </c>
    </row>
    <row r="3057" spans="1:8" x14ac:dyDescent="0.45">
      <c r="A3057" t="s">
        <v>77</v>
      </c>
      <c r="B3057" t="s">
        <v>20</v>
      </c>
      <c r="C3057">
        <v>2</v>
      </c>
      <c r="D3057" t="s">
        <v>32</v>
      </c>
      <c r="H3057">
        <v>6</v>
      </c>
    </row>
    <row r="3058" spans="1:8" x14ac:dyDescent="0.45">
      <c r="A3058" t="s">
        <v>77</v>
      </c>
      <c r="B3058" t="s">
        <v>20</v>
      </c>
      <c r="C3058">
        <v>2</v>
      </c>
      <c r="D3058" t="s">
        <v>34</v>
      </c>
      <c r="H3058">
        <v>2</v>
      </c>
    </row>
    <row r="3059" spans="1:8" x14ac:dyDescent="0.45">
      <c r="A3059" t="s">
        <v>77</v>
      </c>
      <c r="B3059" t="s">
        <v>21</v>
      </c>
      <c r="C3059">
        <v>3</v>
      </c>
      <c r="D3059" t="s">
        <v>19</v>
      </c>
      <c r="E3059">
        <v>1581893</v>
      </c>
      <c r="F3059">
        <v>2391</v>
      </c>
      <c r="G3059">
        <v>682</v>
      </c>
    </row>
    <row r="3060" spans="1:8" x14ac:dyDescent="0.45">
      <c r="A3060" t="s">
        <v>77</v>
      </c>
      <c r="B3060" t="s">
        <v>21</v>
      </c>
      <c r="C3060">
        <v>3</v>
      </c>
      <c r="D3060" t="s">
        <v>27</v>
      </c>
      <c r="F3060">
        <v>634</v>
      </c>
    </row>
    <row r="3061" spans="1:8" x14ac:dyDescent="0.45">
      <c r="A3061" t="s">
        <v>77</v>
      </c>
      <c r="B3061" t="s">
        <v>21</v>
      </c>
      <c r="C3061">
        <v>3</v>
      </c>
      <c r="D3061" t="s">
        <v>28</v>
      </c>
      <c r="F3061">
        <v>398</v>
      </c>
    </row>
    <row r="3062" spans="1:8" x14ac:dyDescent="0.45">
      <c r="A3062" t="s">
        <v>77</v>
      </c>
      <c r="B3062" t="s">
        <v>21</v>
      </c>
      <c r="C3062">
        <v>3</v>
      </c>
      <c r="D3062" t="s">
        <v>29</v>
      </c>
      <c r="F3062">
        <v>359</v>
      </c>
    </row>
    <row r="3063" spans="1:8" x14ac:dyDescent="0.45">
      <c r="A3063" t="s">
        <v>77</v>
      </c>
      <c r="B3063" t="s">
        <v>20</v>
      </c>
      <c r="C3063">
        <v>3</v>
      </c>
      <c r="D3063" t="s">
        <v>19</v>
      </c>
      <c r="E3063">
        <v>1330791</v>
      </c>
      <c r="F3063">
        <v>2204</v>
      </c>
      <c r="G3063">
        <v>669</v>
      </c>
    </row>
    <row r="3064" spans="1:8" x14ac:dyDescent="0.45">
      <c r="A3064" t="s">
        <v>77</v>
      </c>
      <c r="B3064" t="s">
        <v>20</v>
      </c>
      <c r="C3064">
        <v>3</v>
      </c>
      <c r="D3064" t="s">
        <v>27</v>
      </c>
      <c r="F3064">
        <v>557</v>
      </c>
    </row>
    <row r="3065" spans="1:8" x14ac:dyDescent="0.45">
      <c r="A3065" t="s">
        <v>77</v>
      </c>
      <c r="B3065" t="s">
        <v>20</v>
      </c>
      <c r="C3065">
        <v>3</v>
      </c>
      <c r="D3065" t="s">
        <v>28</v>
      </c>
      <c r="F3065">
        <v>430</v>
      </c>
    </row>
    <row r="3066" spans="1:8" x14ac:dyDescent="0.45">
      <c r="A3066" t="s">
        <v>77</v>
      </c>
      <c r="B3066" t="s">
        <v>20</v>
      </c>
      <c r="C3066">
        <v>3</v>
      </c>
      <c r="D3066" t="s">
        <v>29</v>
      </c>
      <c r="F3066">
        <v>348</v>
      </c>
    </row>
    <row r="3067" spans="1:8" x14ac:dyDescent="0.45">
      <c r="A3067" t="s">
        <v>77</v>
      </c>
      <c r="B3067" t="s">
        <v>20</v>
      </c>
      <c r="C3067">
        <v>3</v>
      </c>
      <c r="D3067" t="s">
        <v>31</v>
      </c>
      <c r="H3067">
        <v>68</v>
      </c>
    </row>
    <row r="3068" spans="1:8" x14ac:dyDescent="0.45">
      <c r="A3068" t="s">
        <v>77</v>
      </c>
      <c r="B3068" t="s">
        <v>20</v>
      </c>
      <c r="C3068">
        <v>3</v>
      </c>
      <c r="D3068" t="s">
        <v>32</v>
      </c>
      <c r="H3068">
        <v>18</v>
      </c>
    </row>
    <row r="3069" spans="1:8" x14ac:dyDescent="0.45">
      <c r="A3069" t="s">
        <v>77</v>
      </c>
      <c r="B3069" t="s">
        <v>20</v>
      </c>
      <c r="C3069">
        <v>3</v>
      </c>
      <c r="D3069" t="s">
        <v>34</v>
      </c>
      <c r="H3069">
        <v>3</v>
      </c>
    </row>
    <row r="3070" spans="1:8" x14ac:dyDescent="0.45">
      <c r="A3070" t="s">
        <v>77</v>
      </c>
      <c r="B3070" t="s">
        <v>21</v>
      </c>
      <c r="C3070">
        <v>4</v>
      </c>
      <c r="D3070" t="s">
        <v>19</v>
      </c>
      <c r="E3070">
        <v>2209050</v>
      </c>
      <c r="F3070">
        <v>3056</v>
      </c>
      <c r="H3070">
        <v>5</v>
      </c>
    </row>
    <row r="3071" spans="1:8" x14ac:dyDescent="0.45">
      <c r="A3071" t="s">
        <v>77</v>
      </c>
      <c r="B3071" t="s">
        <v>21</v>
      </c>
      <c r="C3071">
        <v>4</v>
      </c>
      <c r="D3071" t="s">
        <v>27</v>
      </c>
      <c r="F3071">
        <v>655</v>
      </c>
    </row>
    <row r="3072" spans="1:8" x14ac:dyDescent="0.45">
      <c r="A3072" t="s">
        <v>77</v>
      </c>
      <c r="B3072" t="s">
        <v>21</v>
      </c>
      <c r="C3072">
        <v>4</v>
      </c>
      <c r="D3072" t="s">
        <v>28</v>
      </c>
      <c r="F3072">
        <v>474</v>
      </c>
    </row>
    <row r="3073" spans="1:8" x14ac:dyDescent="0.45">
      <c r="A3073" t="s">
        <v>77</v>
      </c>
      <c r="B3073" t="s">
        <v>21</v>
      </c>
      <c r="C3073">
        <v>4</v>
      </c>
      <c r="D3073" t="s">
        <v>29</v>
      </c>
      <c r="F3073">
        <v>458</v>
      </c>
    </row>
    <row r="3074" spans="1:8" x14ac:dyDescent="0.45">
      <c r="A3074" t="s">
        <v>77</v>
      </c>
      <c r="B3074" t="s">
        <v>20</v>
      </c>
      <c r="C3074">
        <v>4</v>
      </c>
      <c r="D3074" t="s">
        <v>19</v>
      </c>
      <c r="E3074">
        <v>2231305</v>
      </c>
      <c r="F3074">
        <v>3530</v>
      </c>
      <c r="H3074">
        <v>9</v>
      </c>
    </row>
    <row r="3075" spans="1:8" x14ac:dyDescent="0.45">
      <c r="A3075" t="s">
        <v>77</v>
      </c>
      <c r="B3075" t="s">
        <v>20</v>
      </c>
      <c r="C3075">
        <v>4</v>
      </c>
      <c r="D3075" t="s">
        <v>27</v>
      </c>
      <c r="F3075">
        <v>616</v>
      </c>
    </row>
    <row r="3076" spans="1:8" x14ac:dyDescent="0.45">
      <c r="A3076" t="s">
        <v>77</v>
      </c>
      <c r="B3076" t="s">
        <v>20</v>
      </c>
      <c r="C3076">
        <v>4</v>
      </c>
      <c r="D3076" t="s">
        <v>28</v>
      </c>
      <c r="F3076">
        <v>493</v>
      </c>
    </row>
    <row r="3077" spans="1:8" x14ac:dyDescent="0.45">
      <c r="A3077" t="s">
        <v>77</v>
      </c>
      <c r="B3077" t="s">
        <v>20</v>
      </c>
      <c r="C3077">
        <v>4</v>
      </c>
      <c r="D3077" t="s">
        <v>29</v>
      </c>
      <c r="F3077">
        <v>504</v>
      </c>
    </row>
    <row r="3078" spans="1:8" x14ac:dyDescent="0.45">
      <c r="A3078" t="s">
        <v>77</v>
      </c>
      <c r="B3078" t="s">
        <v>20</v>
      </c>
      <c r="C3078">
        <v>4</v>
      </c>
      <c r="D3078" t="s">
        <v>31</v>
      </c>
      <c r="H3078">
        <v>82</v>
      </c>
    </row>
    <row r="3079" spans="1:8" x14ac:dyDescent="0.45">
      <c r="A3079" t="s">
        <v>77</v>
      </c>
      <c r="B3079" t="s">
        <v>20</v>
      </c>
      <c r="C3079">
        <v>4</v>
      </c>
      <c r="D3079" t="s">
        <v>32</v>
      </c>
      <c r="H3079">
        <v>6</v>
      </c>
    </row>
    <row r="3080" spans="1:8" x14ac:dyDescent="0.45">
      <c r="A3080" t="s">
        <v>77</v>
      </c>
      <c r="B3080" t="s">
        <v>20</v>
      </c>
      <c r="C3080">
        <v>4</v>
      </c>
      <c r="D3080" t="s">
        <v>34</v>
      </c>
      <c r="H3080">
        <v>4</v>
      </c>
    </row>
    <row r="3081" spans="1:8" x14ac:dyDescent="0.45">
      <c r="A3081" t="s">
        <v>77</v>
      </c>
      <c r="B3081" t="s">
        <v>21</v>
      </c>
      <c r="C3081">
        <v>5</v>
      </c>
      <c r="D3081" t="s">
        <v>19</v>
      </c>
      <c r="E3081">
        <v>2002095</v>
      </c>
      <c r="F3081">
        <v>2674</v>
      </c>
      <c r="H3081">
        <v>6</v>
      </c>
    </row>
    <row r="3082" spans="1:8" x14ac:dyDescent="0.45">
      <c r="A3082" t="s">
        <v>77</v>
      </c>
      <c r="B3082" t="s">
        <v>21</v>
      </c>
      <c r="C3082">
        <v>5</v>
      </c>
      <c r="D3082" t="s">
        <v>27</v>
      </c>
      <c r="F3082">
        <v>605</v>
      </c>
    </row>
    <row r="3083" spans="1:8" x14ac:dyDescent="0.45">
      <c r="A3083" t="s">
        <v>77</v>
      </c>
      <c r="B3083" t="s">
        <v>21</v>
      </c>
      <c r="C3083">
        <v>5</v>
      </c>
      <c r="D3083" t="s">
        <v>28</v>
      </c>
      <c r="F3083">
        <v>429</v>
      </c>
    </row>
    <row r="3084" spans="1:8" x14ac:dyDescent="0.45">
      <c r="A3084" t="s">
        <v>77</v>
      </c>
      <c r="B3084" t="s">
        <v>21</v>
      </c>
      <c r="C3084">
        <v>5</v>
      </c>
      <c r="D3084" t="s">
        <v>29</v>
      </c>
      <c r="F3084">
        <v>347</v>
      </c>
    </row>
    <row r="3085" spans="1:8" x14ac:dyDescent="0.45">
      <c r="A3085" t="s">
        <v>77</v>
      </c>
      <c r="B3085" t="s">
        <v>20</v>
      </c>
      <c r="C3085">
        <v>5</v>
      </c>
      <c r="D3085" t="s">
        <v>19</v>
      </c>
      <c r="E3085">
        <v>1777804</v>
      </c>
      <c r="F3085">
        <v>2430</v>
      </c>
    </row>
    <row r="3086" spans="1:8" x14ac:dyDescent="0.45">
      <c r="A3086" t="s">
        <v>77</v>
      </c>
      <c r="B3086" t="s">
        <v>20</v>
      </c>
      <c r="C3086">
        <v>5</v>
      </c>
      <c r="D3086" t="s">
        <v>27</v>
      </c>
      <c r="F3086">
        <v>558</v>
      </c>
    </row>
    <row r="3087" spans="1:8" x14ac:dyDescent="0.45">
      <c r="A3087" t="s">
        <v>77</v>
      </c>
      <c r="B3087" t="s">
        <v>20</v>
      </c>
      <c r="C3087">
        <v>5</v>
      </c>
      <c r="D3087" t="s">
        <v>28</v>
      </c>
      <c r="F3087">
        <v>382</v>
      </c>
    </row>
    <row r="3088" spans="1:8" x14ac:dyDescent="0.45">
      <c r="A3088" t="s">
        <v>77</v>
      </c>
      <c r="B3088" t="s">
        <v>20</v>
      </c>
      <c r="C3088">
        <v>5</v>
      </c>
      <c r="D3088" t="s">
        <v>29</v>
      </c>
      <c r="F3088">
        <v>268</v>
      </c>
    </row>
    <row r="3089" spans="1:8" x14ac:dyDescent="0.45">
      <c r="A3089" t="s">
        <v>77</v>
      </c>
      <c r="B3089" t="s">
        <v>20</v>
      </c>
      <c r="C3089">
        <v>5</v>
      </c>
      <c r="D3089" t="s">
        <v>31</v>
      </c>
      <c r="H3089">
        <v>94</v>
      </c>
    </row>
    <row r="3090" spans="1:8" x14ac:dyDescent="0.45">
      <c r="A3090" t="s">
        <v>77</v>
      </c>
      <c r="B3090" t="s">
        <v>20</v>
      </c>
      <c r="C3090">
        <v>5</v>
      </c>
      <c r="D3090" t="s">
        <v>32</v>
      </c>
      <c r="H3090">
        <v>9</v>
      </c>
    </row>
    <row r="3091" spans="1:8" x14ac:dyDescent="0.45">
      <c r="A3091" t="s">
        <v>77</v>
      </c>
      <c r="B3091" t="s">
        <v>20</v>
      </c>
      <c r="C3091">
        <v>5</v>
      </c>
      <c r="D3091" t="s">
        <v>34</v>
      </c>
      <c r="H3091">
        <v>3</v>
      </c>
    </row>
    <row r="3092" spans="1:8" x14ac:dyDescent="0.45">
      <c r="A3092" t="s">
        <v>77</v>
      </c>
      <c r="B3092" t="s">
        <v>21</v>
      </c>
      <c r="C3092">
        <v>6</v>
      </c>
      <c r="D3092" t="s">
        <v>19</v>
      </c>
      <c r="E3092">
        <v>1678909</v>
      </c>
      <c r="F3092">
        <v>2005</v>
      </c>
      <c r="G3092">
        <v>720</v>
      </c>
    </row>
    <row r="3093" spans="1:8" x14ac:dyDescent="0.45">
      <c r="A3093" t="s">
        <v>77</v>
      </c>
      <c r="B3093" t="s">
        <v>21</v>
      </c>
      <c r="C3093">
        <v>6</v>
      </c>
      <c r="D3093" t="s">
        <v>27</v>
      </c>
      <c r="F3093">
        <v>611</v>
      </c>
    </row>
    <row r="3094" spans="1:8" x14ac:dyDescent="0.45">
      <c r="A3094" t="s">
        <v>77</v>
      </c>
      <c r="B3094" t="s">
        <v>21</v>
      </c>
      <c r="C3094">
        <v>6</v>
      </c>
      <c r="D3094" t="s">
        <v>28</v>
      </c>
      <c r="F3094">
        <v>459</v>
      </c>
    </row>
    <row r="3095" spans="1:8" x14ac:dyDescent="0.45">
      <c r="A3095" t="s">
        <v>77</v>
      </c>
      <c r="B3095" t="s">
        <v>21</v>
      </c>
      <c r="C3095">
        <v>6</v>
      </c>
      <c r="D3095" t="s">
        <v>29</v>
      </c>
      <c r="F3095">
        <v>420</v>
      </c>
    </row>
    <row r="3096" spans="1:8" x14ac:dyDescent="0.45">
      <c r="A3096" t="s">
        <v>77</v>
      </c>
      <c r="B3096" t="s">
        <v>20</v>
      </c>
      <c r="C3096">
        <v>6</v>
      </c>
      <c r="D3096" t="s">
        <v>19</v>
      </c>
      <c r="E3096">
        <v>1654358</v>
      </c>
      <c r="F3096">
        <v>2359</v>
      </c>
      <c r="G3096">
        <v>646</v>
      </c>
    </row>
    <row r="3097" spans="1:8" x14ac:dyDescent="0.45">
      <c r="A3097" t="s">
        <v>77</v>
      </c>
      <c r="B3097" t="s">
        <v>20</v>
      </c>
      <c r="C3097">
        <v>6</v>
      </c>
      <c r="D3097" t="s">
        <v>27</v>
      </c>
      <c r="F3097">
        <v>675</v>
      </c>
    </row>
    <row r="3098" spans="1:8" x14ac:dyDescent="0.45">
      <c r="A3098" t="s">
        <v>77</v>
      </c>
      <c r="B3098" t="s">
        <v>20</v>
      </c>
      <c r="C3098">
        <v>6</v>
      </c>
      <c r="D3098" t="s">
        <v>28</v>
      </c>
      <c r="F3098">
        <v>422</v>
      </c>
    </row>
    <row r="3099" spans="1:8" x14ac:dyDescent="0.45">
      <c r="A3099" t="s">
        <v>77</v>
      </c>
      <c r="B3099" t="s">
        <v>20</v>
      </c>
      <c r="C3099">
        <v>6</v>
      </c>
      <c r="D3099" t="s">
        <v>29</v>
      </c>
      <c r="F3099">
        <v>334</v>
      </c>
    </row>
    <row r="3100" spans="1:8" x14ac:dyDescent="0.45">
      <c r="A3100" t="s">
        <v>77</v>
      </c>
      <c r="B3100" t="s">
        <v>20</v>
      </c>
      <c r="C3100">
        <v>6</v>
      </c>
      <c r="D3100" t="s">
        <v>31</v>
      </c>
      <c r="H3100">
        <v>41</v>
      </c>
    </row>
    <row r="3101" spans="1:8" x14ac:dyDescent="0.45">
      <c r="A3101" t="s">
        <v>77</v>
      </c>
      <c r="B3101" t="s">
        <v>20</v>
      </c>
      <c r="C3101">
        <v>6</v>
      </c>
      <c r="D3101" t="s">
        <v>32</v>
      </c>
      <c r="H3101">
        <v>8</v>
      </c>
    </row>
    <row r="3102" spans="1:8" x14ac:dyDescent="0.45">
      <c r="A3102" t="s">
        <v>77</v>
      </c>
      <c r="B3102" t="s">
        <v>20</v>
      </c>
      <c r="C3102">
        <v>6</v>
      </c>
      <c r="D3102" t="s">
        <v>34</v>
      </c>
      <c r="H3102">
        <v>5</v>
      </c>
    </row>
    <row r="3103" spans="1:8" x14ac:dyDescent="0.45">
      <c r="A3103" t="s">
        <v>77</v>
      </c>
      <c r="B3103" t="s">
        <v>21</v>
      </c>
      <c r="C3103">
        <v>7</v>
      </c>
      <c r="D3103" t="s">
        <v>19</v>
      </c>
      <c r="E3103">
        <v>1151088</v>
      </c>
      <c r="F3103">
        <v>1736</v>
      </c>
      <c r="G3103">
        <v>550</v>
      </c>
    </row>
    <row r="3104" spans="1:8" x14ac:dyDescent="0.45">
      <c r="A3104" t="s">
        <v>77</v>
      </c>
      <c r="B3104" t="s">
        <v>21</v>
      </c>
      <c r="C3104">
        <v>7</v>
      </c>
      <c r="D3104" t="s">
        <v>27</v>
      </c>
      <c r="F3104">
        <v>571</v>
      </c>
    </row>
    <row r="3105" spans="1:8" x14ac:dyDescent="0.45">
      <c r="A3105" t="s">
        <v>77</v>
      </c>
      <c r="B3105" t="s">
        <v>21</v>
      </c>
      <c r="C3105">
        <v>7</v>
      </c>
      <c r="D3105" t="s">
        <v>28</v>
      </c>
      <c r="F3105">
        <v>359</v>
      </c>
    </row>
    <row r="3106" spans="1:8" x14ac:dyDescent="0.45">
      <c r="A3106" t="s">
        <v>77</v>
      </c>
      <c r="B3106" t="s">
        <v>21</v>
      </c>
      <c r="C3106">
        <v>7</v>
      </c>
      <c r="D3106" t="s">
        <v>29</v>
      </c>
      <c r="F3106">
        <v>233</v>
      </c>
    </row>
    <row r="3107" spans="1:8" x14ac:dyDescent="0.45">
      <c r="A3107" t="s">
        <v>77</v>
      </c>
      <c r="B3107" t="s">
        <v>20</v>
      </c>
      <c r="C3107">
        <v>7</v>
      </c>
      <c r="D3107" t="s">
        <v>19</v>
      </c>
      <c r="E3107">
        <v>1256910</v>
      </c>
      <c r="F3107">
        <v>1919</v>
      </c>
      <c r="G3107">
        <v>612</v>
      </c>
    </row>
    <row r="3108" spans="1:8" x14ac:dyDescent="0.45">
      <c r="A3108" t="s">
        <v>77</v>
      </c>
      <c r="B3108" t="s">
        <v>20</v>
      </c>
      <c r="C3108">
        <v>7</v>
      </c>
      <c r="D3108" t="s">
        <v>27</v>
      </c>
      <c r="F3108">
        <v>534</v>
      </c>
    </row>
    <row r="3109" spans="1:8" x14ac:dyDescent="0.45">
      <c r="A3109" t="s">
        <v>77</v>
      </c>
      <c r="B3109" t="s">
        <v>20</v>
      </c>
      <c r="C3109">
        <v>7</v>
      </c>
      <c r="D3109" t="s">
        <v>28</v>
      </c>
      <c r="F3109">
        <v>385</v>
      </c>
    </row>
    <row r="3110" spans="1:8" x14ac:dyDescent="0.45">
      <c r="A3110" t="s">
        <v>77</v>
      </c>
      <c r="B3110" t="s">
        <v>20</v>
      </c>
      <c r="C3110">
        <v>7</v>
      </c>
      <c r="D3110" t="s">
        <v>29</v>
      </c>
      <c r="F3110">
        <v>260</v>
      </c>
    </row>
    <row r="3111" spans="1:8" x14ac:dyDescent="0.45">
      <c r="A3111" t="s">
        <v>77</v>
      </c>
      <c r="B3111" t="s">
        <v>20</v>
      </c>
      <c r="C3111">
        <v>7</v>
      </c>
      <c r="D3111" t="s">
        <v>31</v>
      </c>
      <c r="H3111">
        <v>158</v>
      </c>
    </row>
    <row r="3112" spans="1:8" x14ac:dyDescent="0.45">
      <c r="A3112" t="s">
        <v>77</v>
      </c>
      <c r="B3112" t="s">
        <v>20</v>
      </c>
      <c r="C3112">
        <v>7</v>
      </c>
      <c r="D3112" t="s">
        <v>32</v>
      </c>
      <c r="H3112">
        <v>4</v>
      </c>
    </row>
    <row r="3113" spans="1:8" x14ac:dyDescent="0.45">
      <c r="A3113" t="s">
        <v>77</v>
      </c>
      <c r="B3113" t="s">
        <v>20</v>
      </c>
      <c r="C3113">
        <v>7</v>
      </c>
      <c r="D3113" t="s">
        <v>34</v>
      </c>
      <c r="H3113">
        <v>4</v>
      </c>
    </row>
    <row r="3114" spans="1:8" x14ac:dyDescent="0.45">
      <c r="A3114" t="s">
        <v>77</v>
      </c>
      <c r="B3114" t="s">
        <v>21</v>
      </c>
      <c r="C3114">
        <v>8</v>
      </c>
      <c r="D3114" t="s">
        <v>19</v>
      </c>
      <c r="E3114">
        <v>782155</v>
      </c>
      <c r="F3114">
        <v>1361</v>
      </c>
      <c r="G3114">
        <v>426</v>
      </c>
    </row>
    <row r="3115" spans="1:8" x14ac:dyDescent="0.45">
      <c r="A3115" t="s">
        <v>77</v>
      </c>
      <c r="B3115" t="s">
        <v>21</v>
      </c>
      <c r="C3115">
        <v>8</v>
      </c>
      <c r="D3115" t="s">
        <v>27</v>
      </c>
      <c r="F3115">
        <v>486</v>
      </c>
      <c r="G3115">
        <v>764</v>
      </c>
    </row>
    <row r="3116" spans="1:8" x14ac:dyDescent="0.45">
      <c r="A3116" t="s">
        <v>77</v>
      </c>
      <c r="B3116" t="s">
        <v>21</v>
      </c>
      <c r="C3116">
        <v>8</v>
      </c>
      <c r="D3116" t="s">
        <v>28</v>
      </c>
      <c r="F3116">
        <v>292</v>
      </c>
      <c r="G3116">
        <v>649</v>
      </c>
    </row>
    <row r="3117" spans="1:8" x14ac:dyDescent="0.45">
      <c r="A3117" t="s">
        <v>77</v>
      </c>
      <c r="B3117" t="s">
        <v>21</v>
      </c>
      <c r="C3117">
        <v>8</v>
      </c>
      <c r="D3117" t="s">
        <v>29</v>
      </c>
      <c r="F3117">
        <v>148</v>
      </c>
      <c r="G3117">
        <v>876</v>
      </c>
    </row>
    <row r="3118" spans="1:8" x14ac:dyDescent="0.45">
      <c r="A3118" t="s">
        <v>77</v>
      </c>
      <c r="B3118" t="s">
        <v>20</v>
      </c>
      <c r="C3118">
        <v>8</v>
      </c>
      <c r="D3118" t="s">
        <v>19</v>
      </c>
      <c r="E3118">
        <v>828202</v>
      </c>
      <c r="F3118">
        <v>1331</v>
      </c>
      <c r="G3118">
        <v>421</v>
      </c>
    </row>
    <row r="3119" spans="1:8" x14ac:dyDescent="0.45">
      <c r="A3119" t="s">
        <v>77</v>
      </c>
      <c r="B3119" t="s">
        <v>20</v>
      </c>
      <c r="C3119">
        <v>8</v>
      </c>
      <c r="D3119" t="s">
        <v>27</v>
      </c>
      <c r="F3119">
        <v>422</v>
      </c>
      <c r="G3119">
        <v>1424</v>
      </c>
    </row>
    <row r="3120" spans="1:8" x14ac:dyDescent="0.45">
      <c r="A3120" t="s">
        <v>77</v>
      </c>
      <c r="B3120" t="s">
        <v>20</v>
      </c>
      <c r="C3120">
        <v>8</v>
      </c>
      <c r="D3120" t="s">
        <v>28</v>
      </c>
      <c r="F3120">
        <v>286</v>
      </c>
      <c r="G3120">
        <v>1036</v>
      </c>
    </row>
    <row r="3121" spans="1:8" x14ac:dyDescent="0.45">
      <c r="A3121" t="s">
        <v>77</v>
      </c>
      <c r="B3121" t="s">
        <v>20</v>
      </c>
      <c r="C3121">
        <v>8</v>
      </c>
      <c r="D3121" t="s">
        <v>29</v>
      </c>
      <c r="F3121">
        <v>156</v>
      </c>
      <c r="G3121">
        <v>900</v>
      </c>
    </row>
    <row r="3122" spans="1:8" x14ac:dyDescent="0.45">
      <c r="A3122" t="s">
        <v>77</v>
      </c>
      <c r="B3122" t="s">
        <v>20</v>
      </c>
      <c r="C3122">
        <v>8</v>
      </c>
      <c r="D3122" t="s">
        <v>31</v>
      </c>
      <c r="H3122">
        <v>21</v>
      </c>
    </row>
    <row r="3123" spans="1:8" x14ac:dyDescent="0.45">
      <c r="A3123" t="s">
        <v>77</v>
      </c>
      <c r="B3123" t="s">
        <v>20</v>
      </c>
      <c r="C3123">
        <v>8</v>
      </c>
      <c r="D3123" t="s">
        <v>32</v>
      </c>
      <c r="H3123">
        <v>9</v>
      </c>
    </row>
    <row r="3124" spans="1:8" x14ac:dyDescent="0.45">
      <c r="A3124" t="s">
        <v>77</v>
      </c>
      <c r="B3124" t="s">
        <v>20</v>
      </c>
      <c r="C3124">
        <v>8</v>
      </c>
      <c r="D3124" t="s">
        <v>34</v>
      </c>
      <c r="H3124">
        <v>5</v>
      </c>
    </row>
    <row r="3125" spans="1:8" x14ac:dyDescent="0.45">
      <c r="A3125" t="s">
        <v>77</v>
      </c>
      <c r="B3125" t="s">
        <v>21</v>
      </c>
      <c r="C3125">
        <v>9</v>
      </c>
      <c r="D3125" t="s">
        <v>19</v>
      </c>
      <c r="E3125">
        <v>779264</v>
      </c>
      <c r="F3125">
        <v>1434</v>
      </c>
      <c r="G3125">
        <v>420</v>
      </c>
    </row>
    <row r="3126" spans="1:8" x14ac:dyDescent="0.45">
      <c r="A3126" t="s">
        <v>77</v>
      </c>
      <c r="B3126" t="s">
        <v>21</v>
      </c>
      <c r="C3126">
        <v>9</v>
      </c>
      <c r="D3126" t="s">
        <v>27</v>
      </c>
      <c r="F3126">
        <v>562</v>
      </c>
    </row>
    <row r="3127" spans="1:8" x14ac:dyDescent="0.45">
      <c r="A3127" t="s">
        <v>77</v>
      </c>
      <c r="B3127" t="s">
        <v>21</v>
      </c>
      <c r="C3127">
        <v>9</v>
      </c>
      <c r="D3127" t="s">
        <v>28</v>
      </c>
      <c r="F3127">
        <v>313</v>
      </c>
    </row>
    <row r="3128" spans="1:8" x14ac:dyDescent="0.45">
      <c r="A3128" t="s">
        <v>77</v>
      </c>
      <c r="B3128" t="s">
        <v>21</v>
      </c>
      <c r="C3128">
        <v>9</v>
      </c>
      <c r="D3128" t="s">
        <v>29</v>
      </c>
      <c r="F3128">
        <v>183</v>
      </c>
    </row>
    <row r="3129" spans="1:8" x14ac:dyDescent="0.45">
      <c r="A3129" t="s">
        <v>77</v>
      </c>
      <c r="B3129" t="s">
        <v>20</v>
      </c>
      <c r="C3129">
        <v>9</v>
      </c>
      <c r="D3129" t="s">
        <v>19</v>
      </c>
      <c r="E3129">
        <v>932163</v>
      </c>
      <c r="F3129">
        <v>1598</v>
      </c>
      <c r="G3129">
        <v>487</v>
      </c>
    </row>
    <row r="3130" spans="1:8" x14ac:dyDescent="0.45">
      <c r="A3130" t="s">
        <v>77</v>
      </c>
      <c r="B3130" t="s">
        <v>20</v>
      </c>
      <c r="C3130">
        <v>9</v>
      </c>
      <c r="D3130" t="s">
        <v>27</v>
      </c>
      <c r="F3130">
        <v>528</v>
      </c>
    </row>
    <row r="3131" spans="1:8" x14ac:dyDescent="0.45">
      <c r="A3131" t="s">
        <v>77</v>
      </c>
      <c r="B3131" t="s">
        <v>20</v>
      </c>
      <c r="C3131">
        <v>9</v>
      </c>
      <c r="D3131" t="s">
        <v>28</v>
      </c>
      <c r="F3131">
        <v>364</v>
      </c>
    </row>
    <row r="3132" spans="1:8" x14ac:dyDescent="0.45">
      <c r="A3132" t="s">
        <v>77</v>
      </c>
      <c r="B3132" t="s">
        <v>20</v>
      </c>
      <c r="C3132">
        <v>9</v>
      </c>
      <c r="D3132" t="s">
        <v>29</v>
      </c>
      <c r="F3132">
        <v>208</v>
      </c>
    </row>
    <row r="3133" spans="1:8" x14ac:dyDescent="0.45">
      <c r="A3133" t="s">
        <v>77</v>
      </c>
      <c r="B3133" t="s">
        <v>20</v>
      </c>
      <c r="C3133">
        <v>9</v>
      </c>
      <c r="D3133" t="s">
        <v>31</v>
      </c>
      <c r="H3133">
        <v>106</v>
      </c>
    </row>
    <row r="3134" spans="1:8" x14ac:dyDescent="0.45">
      <c r="A3134" t="s">
        <v>77</v>
      </c>
      <c r="B3134" t="s">
        <v>20</v>
      </c>
      <c r="C3134">
        <v>9</v>
      </c>
      <c r="D3134" t="s">
        <v>32</v>
      </c>
      <c r="H3134">
        <v>8</v>
      </c>
    </row>
    <row r="3135" spans="1:8" x14ac:dyDescent="0.45">
      <c r="A3135" t="s">
        <v>77</v>
      </c>
      <c r="B3135" t="s">
        <v>20</v>
      </c>
      <c r="C3135">
        <v>9</v>
      </c>
      <c r="D3135" t="s">
        <v>34</v>
      </c>
      <c r="H3135">
        <v>1</v>
      </c>
    </row>
    <row r="3136" spans="1:8" x14ac:dyDescent="0.45">
      <c r="A3136" t="s">
        <v>77</v>
      </c>
      <c r="B3136" t="s">
        <v>21</v>
      </c>
      <c r="C3136">
        <v>10</v>
      </c>
      <c r="D3136" t="s">
        <v>19</v>
      </c>
      <c r="E3136">
        <v>1166992</v>
      </c>
      <c r="F3136">
        <v>2167</v>
      </c>
      <c r="G3136">
        <v>612</v>
      </c>
    </row>
    <row r="3137" spans="1:8" x14ac:dyDescent="0.45">
      <c r="A3137" t="s">
        <v>77</v>
      </c>
      <c r="B3137" t="s">
        <v>21</v>
      </c>
      <c r="C3137">
        <v>10</v>
      </c>
      <c r="D3137" t="s">
        <v>27</v>
      </c>
      <c r="F3137">
        <v>752</v>
      </c>
    </row>
    <row r="3138" spans="1:8" x14ac:dyDescent="0.45">
      <c r="A3138" t="s">
        <v>77</v>
      </c>
      <c r="B3138" t="s">
        <v>21</v>
      </c>
      <c r="C3138">
        <v>10</v>
      </c>
      <c r="D3138" t="s">
        <v>28</v>
      </c>
      <c r="F3138">
        <v>434</v>
      </c>
    </row>
    <row r="3139" spans="1:8" x14ac:dyDescent="0.45">
      <c r="A3139" t="s">
        <v>77</v>
      </c>
      <c r="B3139" t="s">
        <v>21</v>
      </c>
      <c r="C3139">
        <v>10</v>
      </c>
      <c r="D3139" t="s">
        <v>29</v>
      </c>
      <c r="F3139">
        <v>236</v>
      </c>
    </row>
    <row r="3140" spans="1:8" x14ac:dyDescent="0.45">
      <c r="A3140" t="s">
        <v>77</v>
      </c>
      <c r="B3140" t="s">
        <v>20</v>
      </c>
      <c r="C3140">
        <v>10</v>
      </c>
      <c r="D3140" t="s">
        <v>19</v>
      </c>
      <c r="E3140">
        <v>1216649</v>
      </c>
      <c r="F3140">
        <v>2079</v>
      </c>
      <c r="G3140">
        <v>614</v>
      </c>
    </row>
    <row r="3141" spans="1:8" x14ac:dyDescent="0.45">
      <c r="A3141" t="s">
        <v>77</v>
      </c>
      <c r="B3141" t="s">
        <v>20</v>
      </c>
      <c r="C3141">
        <v>10</v>
      </c>
      <c r="D3141" t="s">
        <v>27</v>
      </c>
      <c r="F3141">
        <v>652</v>
      </c>
    </row>
    <row r="3142" spans="1:8" x14ac:dyDescent="0.45">
      <c r="A3142" t="s">
        <v>77</v>
      </c>
      <c r="B3142" t="s">
        <v>20</v>
      </c>
      <c r="C3142">
        <v>10</v>
      </c>
      <c r="D3142" t="s">
        <v>28</v>
      </c>
      <c r="F3142">
        <v>405</v>
      </c>
    </row>
    <row r="3143" spans="1:8" x14ac:dyDescent="0.45">
      <c r="A3143" t="s">
        <v>77</v>
      </c>
      <c r="B3143" t="s">
        <v>20</v>
      </c>
      <c r="C3143">
        <v>10</v>
      </c>
      <c r="D3143" t="s">
        <v>29</v>
      </c>
      <c r="F3143">
        <v>264</v>
      </c>
    </row>
    <row r="3144" spans="1:8" x14ac:dyDescent="0.45">
      <c r="A3144" t="s">
        <v>77</v>
      </c>
      <c r="B3144" t="s">
        <v>20</v>
      </c>
      <c r="C3144">
        <v>10</v>
      </c>
      <c r="D3144" t="s">
        <v>31</v>
      </c>
      <c r="H3144">
        <v>108</v>
      </c>
    </row>
    <row r="3145" spans="1:8" x14ac:dyDescent="0.45">
      <c r="A3145" t="s">
        <v>77</v>
      </c>
      <c r="B3145" t="s">
        <v>20</v>
      </c>
      <c r="C3145">
        <v>10</v>
      </c>
      <c r="D3145" t="s">
        <v>32</v>
      </c>
      <c r="H3145">
        <v>15</v>
      </c>
    </row>
    <row r="3146" spans="1:8" x14ac:dyDescent="0.45">
      <c r="A3146" t="s">
        <v>77</v>
      </c>
      <c r="B3146" t="s">
        <v>20</v>
      </c>
      <c r="C3146">
        <v>10</v>
      </c>
      <c r="D3146" t="s">
        <v>34</v>
      </c>
      <c r="H3146">
        <v>7</v>
      </c>
    </row>
    <row r="3147" spans="1:8" x14ac:dyDescent="0.45">
      <c r="A3147" t="s">
        <v>77</v>
      </c>
      <c r="B3147" t="s">
        <v>21</v>
      </c>
      <c r="C3147">
        <v>11</v>
      </c>
      <c r="D3147" t="s">
        <v>19</v>
      </c>
      <c r="E3147">
        <v>1035955</v>
      </c>
      <c r="F3147">
        <v>1760</v>
      </c>
      <c r="G3147">
        <v>525</v>
      </c>
    </row>
    <row r="3148" spans="1:8" x14ac:dyDescent="0.45">
      <c r="A3148" t="s">
        <v>77</v>
      </c>
      <c r="B3148" t="s">
        <v>21</v>
      </c>
      <c r="C3148">
        <v>11</v>
      </c>
      <c r="D3148" t="s">
        <v>27</v>
      </c>
      <c r="F3148">
        <v>659</v>
      </c>
    </row>
    <row r="3149" spans="1:8" x14ac:dyDescent="0.45">
      <c r="A3149" t="s">
        <v>77</v>
      </c>
      <c r="B3149" t="s">
        <v>21</v>
      </c>
      <c r="C3149">
        <v>11</v>
      </c>
      <c r="D3149" t="s">
        <v>28</v>
      </c>
      <c r="F3149">
        <v>336</v>
      </c>
    </row>
    <row r="3150" spans="1:8" x14ac:dyDescent="0.45">
      <c r="A3150" t="s">
        <v>77</v>
      </c>
      <c r="B3150" t="s">
        <v>21</v>
      </c>
      <c r="C3150">
        <v>11</v>
      </c>
      <c r="D3150" t="s">
        <v>29</v>
      </c>
      <c r="F3150">
        <v>252</v>
      </c>
    </row>
    <row r="3151" spans="1:8" x14ac:dyDescent="0.45">
      <c r="A3151" t="s">
        <v>77</v>
      </c>
      <c r="B3151" t="s">
        <v>20</v>
      </c>
      <c r="C3151">
        <v>11</v>
      </c>
      <c r="D3151" t="s">
        <v>19</v>
      </c>
      <c r="E3151">
        <v>1160263</v>
      </c>
      <c r="F3151">
        <v>1947</v>
      </c>
      <c r="G3151">
        <v>599</v>
      </c>
    </row>
    <row r="3152" spans="1:8" x14ac:dyDescent="0.45">
      <c r="A3152" t="s">
        <v>77</v>
      </c>
      <c r="B3152" t="s">
        <v>20</v>
      </c>
      <c r="C3152">
        <v>11</v>
      </c>
      <c r="D3152" t="s">
        <v>27</v>
      </c>
      <c r="F3152">
        <v>608</v>
      </c>
    </row>
    <row r="3153" spans="1:8" x14ac:dyDescent="0.45">
      <c r="A3153" t="s">
        <v>77</v>
      </c>
      <c r="B3153" t="s">
        <v>20</v>
      </c>
      <c r="C3153">
        <v>11</v>
      </c>
      <c r="D3153" t="s">
        <v>28</v>
      </c>
      <c r="F3153">
        <v>396</v>
      </c>
    </row>
    <row r="3154" spans="1:8" x14ac:dyDescent="0.45">
      <c r="A3154" t="s">
        <v>77</v>
      </c>
      <c r="B3154" t="s">
        <v>20</v>
      </c>
      <c r="C3154">
        <v>11</v>
      </c>
      <c r="D3154" t="s">
        <v>29</v>
      </c>
      <c r="F3154">
        <v>273</v>
      </c>
    </row>
    <row r="3155" spans="1:8" x14ac:dyDescent="0.45">
      <c r="A3155" t="s">
        <v>77</v>
      </c>
      <c r="B3155" t="s">
        <v>20</v>
      </c>
      <c r="C3155">
        <v>11</v>
      </c>
      <c r="D3155" t="s">
        <v>31</v>
      </c>
      <c r="H3155">
        <v>252</v>
      </c>
    </row>
    <row r="3156" spans="1:8" x14ac:dyDescent="0.45">
      <c r="A3156" t="s">
        <v>77</v>
      </c>
      <c r="B3156" t="s">
        <v>20</v>
      </c>
      <c r="C3156">
        <v>11</v>
      </c>
      <c r="D3156" t="s">
        <v>32</v>
      </c>
      <c r="H3156">
        <v>5</v>
      </c>
    </row>
    <row r="3157" spans="1:8" x14ac:dyDescent="0.45">
      <c r="A3157" t="s">
        <v>77</v>
      </c>
      <c r="B3157" t="s">
        <v>20</v>
      </c>
      <c r="C3157">
        <v>11</v>
      </c>
      <c r="D3157" t="s">
        <v>34</v>
      </c>
      <c r="H3157">
        <v>7</v>
      </c>
    </row>
    <row r="3158" spans="1:8" x14ac:dyDescent="0.45">
      <c r="A3158" t="s">
        <v>77</v>
      </c>
      <c r="B3158" t="s">
        <v>21</v>
      </c>
      <c r="C3158">
        <v>12</v>
      </c>
      <c r="D3158" t="s">
        <v>19</v>
      </c>
      <c r="E3158">
        <v>1016628</v>
      </c>
      <c r="F3158">
        <v>1898</v>
      </c>
      <c r="G3158">
        <v>545</v>
      </c>
    </row>
    <row r="3159" spans="1:8" x14ac:dyDescent="0.45">
      <c r="A3159" t="s">
        <v>77</v>
      </c>
      <c r="B3159" t="s">
        <v>21</v>
      </c>
      <c r="C3159">
        <v>12</v>
      </c>
      <c r="D3159" t="s">
        <v>27</v>
      </c>
      <c r="F3159">
        <v>640</v>
      </c>
    </row>
    <row r="3160" spans="1:8" x14ac:dyDescent="0.45">
      <c r="A3160" t="s">
        <v>77</v>
      </c>
      <c r="B3160" t="s">
        <v>21</v>
      </c>
      <c r="C3160">
        <v>12</v>
      </c>
      <c r="D3160" t="s">
        <v>28</v>
      </c>
      <c r="F3160">
        <v>377</v>
      </c>
    </row>
    <row r="3161" spans="1:8" x14ac:dyDescent="0.45">
      <c r="A3161" t="s">
        <v>77</v>
      </c>
      <c r="B3161" t="s">
        <v>21</v>
      </c>
      <c r="C3161">
        <v>12</v>
      </c>
      <c r="D3161" t="s">
        <v>29</v>
      </c>
      <c r="F3161">
        <v>306</v>
      </c>
    </row>
    <row r="3162" spans="1:8" x14ac:dyDescent="0.45">
      <c r="A3162" t="s">
        <v>77</v>
      </c>
      <c r="B3162" t="s">
        <v>20</v>
      </c>
      <c r="C3162">
        <v>12</v>
      </c>
      <c r="D3162" t="s">
        <v>19</v>
      </c>
      <c r="E3162">
        <v>1036071</v>
      </c>
      <c r="F3162">
        <v>1999</v>
      </c>
      <c r="G3162">
        <v>572</v>
      </c>
    </row>
    <row r="3163" spans="1:8" x14ac:dyDescent="0.45">
      <c r="A3163" t="s">
        <v>77</v>
      </c>
      <c r="B3163" t="s">
        <v>20</v>
      </c>
      <c r="C3163">
        <v>12</v>
      </c>
      <c r="D3163" t="s">
        <v>27</v>
      </c>
      <c r="F3163">
        <v>605</v>
      </c>
    </row>
    <row r="3164" spans="1:8" x14ac:dyDescent="0.45">
      <c r="A3164" t="s">
        <v>77</v>
      </c>
      <c r="B3164" t="s">
        <v>20</v>
      </c>
      <c r="C3164">
        <v>12</v>
      </c>
      <c r="D3164" t="s">
        <v>28</v>
      </c>
      <c r="F3164">
        <v>421</v>
      </c>
    </row>
    <row r="3165" spans="1:8" x14ac:dyDescent="0.45">
      <c r="A3165" t="s">
        <v>77</v>
      </c>
      <c r="B3165" t="s">
        <v>20</v>
      </c>
      <c r="C3165">
        <v>12</v>
      </c>
      <c r="D3165" t="s">
        <v>29</v>
      </c>
      <c r="F3165">
        <v>266</v>
      </c>
    </row>
    <row r="3166" spans="1:8" x14ac:dyDescent="0.45">
      <c r="A3166" t="s">
        <v>77</v>
      </c>
      <c r="B3166" t="s">
        <v>20</v>
      </c>
      <c r="C3166">
        <v>12</v>
      </c>
      <c r="D3166" t="s">
        <v>31</v>
      </c>
      <c r="H3166">
        <v>109</v>
      </c>
    </row>
    <row r="3167" spans="1:8" x14ac:dyDescent="0.45">
      <c r="A3167" t="s">
        <v>77</v>
      </c>
      <c r="B3167" t="s">
        <v>20</v>
      </c>
      <c r="C3167">
        <v>12</v>
      </c>
      <c r="D3167" t="s">
        <v>32</v>
      </c>
      <c r="H3167">
        <v>2</v>
      </c>
    </row>
    <row r="3168" spans="1:8" x14ac:dyDescent="0.45">
      <c r="A3168" t="s">
        <v>77</v>
      </c>
      <c r="B3168" t="s">
        <v>20</v>
      </c>
      <c r="C3168">
        <v>12</v>
      </c>
      <c r="D3168" t="s">
        <v>34</v>
      </c>
      <c r="H3168">
        <v>4</v>
      </c>
    </row>
    <row r="3169" spans="1:8" x14ac:dyDescent="0.45">
      <c r="A3169" t="s">
        <v>82</v>
      </c>
      <c r="B3169" t="s">
        <v>21</v>
      </c>
      <c r="C3169">
        <v>1</v>
      </c>
      <c r="D3169" t="s">
        <v>19</v>
      </c>
      <c r="E3169">
        <v>582235</v>
      </c>
      <c r="F3169">
        <v>967</v>
      </c>
      <c r="G3169">
        <v>300</v>
      </c>
    </row>
    <row r="3170" spans="1:8" x14ac:dyDescent="0.45">
      <c r="A3170" t="s">
        <v>82</v>
      </c>
      <c r="B3170" t="s">
        <v>21</v>
      </c>
      <c r="C3170">
        <v>1</v>
      </c>
      <c r="D3170" t="s">
        <v>27</v>
      </c>
      <c r="F3170">
        <v>306</v>
      </c>
    </row>
    <row r="3171" spans="1:8" x14ac:dyDescent="0.45">
      <c r="A3171" t="s">
        <v>82</v>
      </c>
      <c r="B3171" t="s">
        <v>21</v>
      </c>
      <c r="C3171">
        <v>1</v>
      </c>
      <c r="D3171" t="s">
        <v>28</v>
      </c>
      <c r="F3171">
        <v>172</v>
      </c>
    </row>
    <row r="3172" spans="1:8" x14ac:dyDescent="0.45">
      <c r="A3172" t="s">
        <v>82</v>
      </c>
      <c r="B3172" t="s">
        <v>21</v>
      </c>
      <c r="C3172">
        <v>1</v>
      </c>
      <c r="D3172" t="s">
        <v>29</v>
      </c>
      <c r="F3172">
        <v>132</v>
      </c>
    </row>
    <row r="3173" spans="1:8" x14ac:dyDescent="0.45">
      <c r="A3173" t="s">
        <v>82</v>
      </c>
      <c r="B3173" t="s">
        <v>20</v>
      </c>
      <c r="C3173">
        <v>1</v>
      </c>
      <c r="D3173" t="s">
        <v>19</v>
      </c>
      <c r="E3173">
        <v>701495</v>
      </c>
      <c r="F3173">
        <v>1056</v>
      </c>
      <c r="G3173">
        <v>344</v>
      </c>
    </row>
    <row r="3174" spans="1:8" x14ac:dyDescent="0.45">
      <c r="A3174" t="s">
        <v>82</v>
      </c>
      <c r="B3174" t="s">
        <v>20</v>
      </c>
      <c r="C3174">
        <v>1</v>
      </c>
      <c r="D3174" t="s">
        <v>27</v>
      </c>
      <c r="F3174">
        <v>298</v>
      </c>
    </row>
    <row r="3175" spans="1:8" x14ac:dyDescent="0.45">
      <c r="A3175" t="s">
        <v>82</v>
      </c>
      <c r="B3175" t="s">
        <v>20</v>
      </c>
      <c r="C3175">
        <v>1</v>
      </c>
      <c r="D3175" t="s">
        <v>28</v>
      </c>
      <c r="F3175">
        <v>207</v>
      </c>
    </row>
    <row r="3176" spans="1:8" x14ac:dyDescent="0.45">
      <c r="A3176" t="s">
        <v>82</v>
      </c>
      <c r="B3176" t="s">
        <v>20</v>
      </c>
      <c r="C3176">
        <v>1</v>
      </c>
      <c r="D3176" t="s">
        <v>29</v>
      </c>
      <c r="F3176">
        <v>187</v>
      </c>
    </row>
    <row r="3177" spans="1:8" x14ac:dyDescent="0.45">
      <c r="A3177" t="s">
        <v>82</v>
      </c>
      <c r="B3177" t="s">
        <v>20</v>
      </c>
      <c r="C3177">
        <v>1</v>
      </c>
      <c r="D3177" t="s">
        <v>31</v>
      </c>
      <c r="H3177">
        <v>54</v>
      </c>
    </row>
    <row r="3178" spans="1:8" x14ac:dyDescent="0.45">
      <c r="A3178" t="s">
        <v>82</v>
      </c>
      <c r="B3178" t="s">
        <v>20</v>
      </c>
      <c r="C3178">
        <v>1</v>
      </c>
      <c r="D3178" t="s">
        <v>32</v>
      </c>
      <c r="H3178">
        <v>2</v>
      </c>
    </row>
    <row r="3179" spans="1:8" x14ac:dyDescent="0.45">
      <c r="A3179" t="s">
        <v>82</v>
      </c>
      <c r="B3179" t="s">
        <v>20</v>
      </c>
      <c r="C3179">
        <v>1</v>
      </c>
      <c r="D3179" t="s">
        <v>34</v>
      </c>
    </row>
    <row r="3180" spans="1:8" x14ac:dyDescent="0.45">
      <c r="A3180" t="s">
        <v>82</v>
      </c>
      <c r="B3180" t="s">
        <v>21</v>
      </c>
      <c r="C3180">
        <v>2</v>
      </c>
      <c r="D3180" t="s">
        <v>19</v>
      </c>
      <c r="E3180">
        <v>543125</v>
      </c>
      <c r="F3180">
        <v>943</v>
      </c>
      <c r="G3180">
        <v>296</v>
      </c>
    </row>
    <row r="3181" spans="1:8" x14ac:dyDescent="0.45">
      <c r="A3181" t="s">
        <v>82</v>
      </c>
      <c r="B3181" t="s">
        <v>21</v>
      </c>
      <c r="C3181">
        <v>2</v>
      </c>
      <c r="D3181" t="s">
        <v>27</v>
      </c>
      <c r="F3181">
        <v>320</v>
      </c>
    </row>
    <row r="3182" spans="1:8" x14ac:dyDescent="0.45">
      <c r="A3182" t="s">
        <v>82</v>
      </c>
      <c r="B3182" t="s">
        <v>21</v>
      </c>
      <c r="C3182">
        <v>2</v>
      </c>
      <c r="D3182" t="s">
        <v>28</v>
      </c>
      <c r="F3182">
        <v>164</v>
      </c>
    </row>
    <row r="3183" spans="1:8" x14ac:dyDescent="0.45">
      <c r="A3183" t="s">
        <v>82</v>
      </c>
      <c r="B3183" t="s">
        <v>21</v>
      </c>
      <c r="C3183">
        <v>2</v>
      </c>
      <c r="D3183" t="s">
        <v>29</v>
      </c>
      <c r="F3183">
        <v>117</v>
      </c>
    </row>
    <row r="3184" spans="1:8" x14ac:dyDescent="0.45">
      <c r="A3184" t="s">
        <v>82</v>
      </c>
      <c r="B3184" t="s">
        <v>20</v>
      </c>
      <c r="C3184">
        <v>2</v>
      </c>
      <c r="D3184" t="s">
        <v>19</v>
      </c>
      <c r="E3184">
        <v>573865</v>
      </c>
      <c r="F3184">
        <v>876</v>
      </c>
      <c r="G3184">
        <v>277</v>
      </c>
    </row>
    <row r="3185" spans="1:8" x14ac:dyDescent="0.45">
      <c r="A3185" t="s">
        <v>82</v>
      </c>
      <c r="B3185" t="s">
        <v>20</v>
      </c>
      <c r="C3185">
        <v>2</v>
      </c>
      <c r="D3185" t="s">
        <v>27</v>
      </c>
      <c r="F3185">
        <v>266</v>
      </c>
    </row>
    <row r="3186" spans="1:8" x14ac:dyDescent="0.45">
      <c r="A3186" t="s">
        <v>82</v>
      </c>
      <c r="B3186" t="s">
        <v>20</v>
      </c>
      <c r="C3186">
        <v>2</v>
      </c>
      <c r="D3186" t="s">
        <v>28</v>
      </c>
      <c r="F3186">
        <v>155</v>
      </c>
    </row>
    <row r="3187" spans="1:8" x14ac:dyDescent="0.45">
      <c r="A3187" t="s">
        <v>82</v>
      </c>
      <c r="B3187" t="s">
        <v>20</v>
      </c>
      <c r="C3187">
        <v>2</v>
      </c>
      <c r="D3187" t="s">
        <v>29</v>
      </c>
      <c r="F3187">
        <v>130</v>
      </c>
    </row>
    <row r="3188" spans="1:8" x14ac:dyDescent="0.45">
      <c r="A3188" t="s">
        <v>82</v>
      </c>
      <c r="B3188" t="s">
        <v>20</v>
      </c>
      <c r="C3188">
        <v>2</v>
      </c>
      <c r="D3188" t="s">
        <v>31</v>
      </c>
      <c r="H3188">
        <v>32</v>
      </c>
    </row>
    <row r="3189" spans="1:8" x14ac:dyDescent="0.45">
      <c r="A3189" t="s">
        <v>82</v>
      </c>
      <c r="B3189" t="s">
        <v>20</v>
      </c>
      <c r="C3189">
        <v>2</v>
      </c>
      <c r="D3189" t="s">
        <v>32</v>
      </c>
      <c r="H3189">
        <v>4</v>
      </c>
    </row>
    <row r="3190" spans="1:8" x14ac:dyDescent="0.45">
      <c r="A3190" t="s">
        <v>82</v>
      </c>
      <c r="B3190" t="s">
        <v>20</v>
      </c>
      <c r="C3190">
        <v>2</v>
      </c>
      <c r="D3190" t="s">
        <v>34</v>
      </c>
      <c r="H3190">
        <v>7</v>
      </c>
    </row>
    <row r="3191" spans="1:8" x14ac:dyDescent="0.45">
      <c r="A3191" t="s">
        <v>82</v>
      </c>
      <c r="B3191" t="s">
        <v>21</v>
      </c>
      <c r="C3191">
        <v>3</v>
      </c>
      <c r="D3191" t="s">
        <v>19</v>
      </c>
      <c r="E3191">
        <v>1518973</v>
      </c>
      <c r="F3191">
        <v>2008</v>
      </c>
      <c r="G3191">
        <v>543</v>
      </c>
    </row>
    <row r="3192" spans="1:8" x14ac:dyDescent="0.45">
      <c r="A3192" t="s">
        <v>82</v>
      </c>
      <c r="B3192" t="s">
        <v>21</v>
      </c>
      <c r="C3192">
        <v>3</v>
      </c>
      <c r="D3192" t="s">
        <v>27</v>
      </c>
      <c r="F3192">
        <v>387</v>
      </c>
    </row>
    <row r="3193" spans="1:8" x14ac:dyDescent="0.45">
      <c r="A3193" t="s">
        <v>82</v>
      </c>
      <c r="B3193" t="s">
        <v>21</v>
      </c>
      <c r="C3193">
        <v>3</v>
      </c>
      <c r="D3193" t="s">
        <v>28</v>
      </c>
      <c r="F3193">
        <v>285</v>
      </c>
    </row>
    <row r="3194" spans="1:8" x14ac:dyDescent="0.45">
      <c r="A3194" t="s">
        <v>82</v>
      </c>
      <c r="B3194" t="s">
        <v>21</v>
      </c>
      <c r="C3194">
        <v>3</v>
      </c>
      <c r="D3194" t="s">
        <v>29</v>
      </c>
      <c r="F3194">
        <v>298</v>
      </c>
    </row>
    <row r="3195" spans="1:8" x14ac:dyDescent="0.45">
      <c r="A3195" t="s">
        <v>82</v>
      </c>
      <c r="B3195" t="s">
        <v>20</v>
      </c>
      <c r="C3195">
        <v>3</v>
      </c>
      <c r="D3195" t="s">
        <v>19</v>
      </c>
      <c r="E3195">
        <v>1140545</v>
      </c>
      <c r="F3195">
        <v>1521</v>
      </c>
      <c r="G3195">
        <v>465</v>
      </c>
    </row>
    <row r="3196" spans="1:8" x14ac:dyDescent="0.45">
      <c r="A3196" t="s">
        <v>82</v>
      </c>
      <c r="B3196" t="s">
        <v>20</v>
      </c>
      <c r="C3196">
        <v>3</v>
      </c>
      <c r="D3196" t="s">
        <v>27</v>
      </c>
      <c r="F3196">
        <v>357</v>
      </c>
    </row>
    <row r="3197" spans="1:8" x14ac:dyDescent="0.45">
      <c r="A3197" t="s">
        <v>82</v>
      </c>
      <c r="B3197" t="s">
        <v>20</v>
      </c>
      <c r="C3197">
        <v>3</v>
      </c>
      <c r="D3197" t="s">
        <v>28</v>
      </c>
      <c r="F3197">
        <v>250</v>
      </c>
    </row>
    <row r="3198" spans="1:8" x14ac:dyDescent="0.45">
      <c r="A3198" t="s">
        <v>82</v>
      </c>
      <c r="B3198" t="s">
        <v>20</v>
      </c>
      <c r="C3198">
        <v>3</v>
      </c>
      <c r="D3198" t="s">
        <v>29</v>
      </c>
      <c r="F3198">
        <v>266</v>
      </c>
    </row>
    <row r="3199" spans="1:8" x14ac:dyDescent="0.45">
      <c r="A3199" t="s">
        <v>82</v>
      </c>
      <c r="B3199" t="s">
        <v>20</v>
      </c>
      <c r="C3199">
        <v>3</v>
      </c>
      <c r="D3199" t="s">
        <v>31</v>
      </c>
      <c r="H3199">
        <v>143</v>
      </c>
    </row>
    <row r="3200" spans="1:8" x14ac:dyDescent="0.45">
      <c r="A3200" t="s">
        <v>82</v>
      </c>
      <c r="B3200" t="s">
        <v>20</v>
      </c>
      <c r="C3200">
        <v>3</v>
      </c>
      <c r="D3200" t="s">
        <v>32</v>
      </c>
      <c r="H3200">
        <v>5</v>
      </c>
    </row>
    <row r="3201" spans="1:8" x14ac:dyDescent="0.45">
      <c r="A3201" t="s">
        <v>82</v>
      </c>
      <c r="B3201" t="s">
        <v>20</v>
      </c>
      <c r="C3201">
        <v>3</v>
      </c>
      <c r="D3201" t="s">
        <v>34</v>
      </c>
      <c r="H3201">
        <v>7</v>
      </c>
    </row>
    <row r="3202" spans="1:8" x14ac:dyDescent="0.45">
      <c r="A3202" t="s">
        <v>82</v>
      </c>
      <c r="B3202" t="s">
        <v>21</v>
      </c>
      <c r="C3202">
        <v>4</v>
      </c>
      <c r="D3202" t="s">
        <v>19</v>
      </c>
      <c r="E3202">
        <v>1923671</v>
      </c>
      <c r="F3202">
        <v>2393</v>
      </c>
    </row>
    <row r="3203" spans="1:8" x14ac:dyDescent="0.45">
      <c r="A3203" t="s">
        <v>82</v>
      </c>
      <c r="B3203" t="s">
        <v>21</v>
      </c>
      <c r="C3203">
        <v>4</v>
      </c>
      <c r="D3203" t="s">
        <v>27</v>
      </c>
      <c r="F3203">
        <v>394</v>
      </c>
    </row>
    <row r="3204" spans="1:8" x14ac:dyDescent="0.45">
      <c r="A3204" t="s">
        <v>82</v>
      </c>
      <c r="B3204" t="s">
        <v>21</v>
      </c>
      <c r="C3204">
        <v>4</v>
      </c>
      <c r="D3204" t="s">
        <v>28</v>
      </c>
      <c r="F3204">
        <v>352</v>
      </c>
    </row>
    <row r="3205" spans="1:8" x14ac:dyDescent="0.45">
      <c r="A3205" t="s">
        <v>82</v>
      </c>
      <c r="B3205" t="s">
        <v>21</v>
      </c>
      <c r="C3205">
        <v>4</v>
      </c>
      <c r="D3205" t="s">
        <v>29</v>
      </c>
      <c r="F3205">
        <v>316</v>
      </c>
    </row>
    <row r="3206" spans="1:8" x14ac:dyDescent="0.45">
      <c r="A3206" t="s">
        <v>82</v>
      </c>
      <c r="B3206" t="s">
        <v>20</v>
      </c>
      <c r="C3206">
        <v>4</v>
      </c>
      <c r="D3206" t="s">
        <v>19</v>
      </c>
      <c r="E3206">
        <v>1864108</v>
      </c>
      <c r="F3206">
        <v>2370</v>
      </c>
      <c r="G3206">
        <v>353</v>
      </c>
    </row>
    <row r="3207" spans="1:8" x14ac:dyDescent="0.45">
      <c r="A3207" t="s">
        <v>82</v>
      </c>
      <c r="B3207" t="s">
        <v>20</v>
      </c>
      <c r="C3207">
        <v>4</v>
      </c>
      <c r="D3207" t="s">
        <v>27</v>
      </c>
      <c r="F3207">
        <v>330</v>
      </c>
    </row>
    <row r="3208" spans="1:8" x14ac:dyDescent="0.45">
      <c r="A3208" t="s">
        <v>82</v>
      </c>
      <c r="B3208" t="s">
        <v>20</v>
      </c>
      <c r="C3208">
        <v>4</v>
      </c>
      <c r="D3208" t="s">
        <v>28</v>
      </c>
      <c r="F3208">
        <v>353</v>
      </c>
    </row>
    <row r="3209" spans="1:8" x14ac:dyDescent="0.45">
      <c r="A3209" t="s">
        <v>82</v>
      </c>
      <c r="B3209" t="s">
        <v>20</v>
      </c>
      <c r="C3209">
        <v>4</v>
      </c>
      <c r="D3209" t="s">
        <v>29</v>
      </c>
      <c r="F3209">
        <v>325</v>
      </c>
    </row>
    <row r="3210" spans="1:8" x14ac:dyDescent="0.45">
      <c r="A3210" t="s">
        <v>82</v>
      </c>
      <c r="B3210" t="s">
        <v>20</v>
      </c>
      <c r="C3210">
        <v>4</v>
      </c>
      <c r="D3210" t="s">
        <v>31</v>
      </c>
      <c r="H3210">
        <v>95</v>
      </c>
    </row>
    <row r="3211" spans="1:8" x14ac:dyDescent="0.45">
      <c r="A3211" t="s">
        <v>82</v>
      </c>
      <c r="B3211" t="s">
        <v>20</v>
      </c>
      <c r="C3211">
        <v>4</v>
      </c>
      <c r="D3211" t="s">
        <v>32</v>
      </c>
      <c r="H3211">
        <v>4</v>
      </c>
    </row>
    <row r="3212" spans="1:8" x14ac:dyDescent="0.45">
      <c r="A3212" t="s">
        <v>82</v>
      </c>
      <c r="B3212" t="s">
        <v>20</v>
      </c>
      <c r="C3212">
        <v>4</v>
      </c>
      <c r="D3212" t="s">
        <v>34</v>
      </c>
      <c r="H3212">
        <v>7</v>
      </c>
    </row>
    <row r="3213" spans="1:8" x14ac:dyDescent="0.45">
      <c r="A3213" t="s">
        <v>82</v>
      </c>
      <c r="B3213" t="s">
        <v>21</v>
      </c>
      <c r="C3213">
        <v>5</v>
      </c>
      <c r="D3213" t="s">
        <v>19</v>
      </c>
      <c r="E3213">
        <v>1525225</v>
      </c>
      <c r="F3213">
        <v>1883</v>
      </c>
      <c r="G3213">
        <v>544</v>
      </c>
    </row>
    <row r="3214" spans="1:8" x14ac:dyDescent="0.45">
      <c r="A3214" t="s">
        <v>82</v>
      </c>
      <c r="B3214" t="s">
        <v>21</v>
      </c>
      <c r="C3214">
        <v>5</v>
      </c>
      <c r="D3214" t="s">
        <v>27</v>
      </c>
      <c r="F3214">
        <v>366</v>
      </c>
    </row>
    <row r="3215" spans="1:8" x14ac:dyDescent="0.45">
      <c r="A3215" t="s">
        <v>82</v>
      </c>
      <c r="B3215" t="s">
        <v>21</v>
      </c>
      <c r="C3215">
        <v>5</v>
      </c>
      <c r="D3215" t="s">
        <v>28</v>
      </c>
      <c r="F3215">
        <v>288</v>
      </c>
    </row>
    <row r="3216" spans="1:8" x14ac:dyDescent="0.45">
      <c r="A3216" t="s">
        <v>82</v>
      </c>
      <c r="B3216" t="s">
        <v>21</v>
      </c>
      <c r="C3216">
        <v>5</v>
      </c>
      <c r="D3216" t="s">
        <v>29</v>
      </c>
      <c r="F3216">
        <v>276</v>
      </c>
    </row>
    <row r="3217" spans="1:8" x14ac:dyDescent="0.45">
      <c r="A3217" t="s">
        <v>82</v>
      </c>
      <c r="B3217" t="s">
        <v>20</v>
      </c>
      <c r="C3217">
        <v>5</v>
      </c>
      <c r="D3217" t="s">
        <v>19</v>
      </c>
      <c r="E3217">
        <v>1289426</v>
      </c>
      <c r="F3217">
        <v>1572</v>
      </c>
      <c r="G3217">
        <v>460</v>
      </c>
    </row>
    <row r="3218" spans="1:8" x14ac:dyDescent="0.45">
      <c r="A3218" t="s">
        <v>82</v>
      </c>
      <c r="B3218" t="s">
        <v>20</v>
      </c>
      <c r="C3218">
        <v>5</v>
      </c>
      <c r="D3218" t="s">
        <v>27</v>
      </c>
      <c r="F3218">
        <v>262</v>
      </c>
    </row>
    <row r="3219" spans="1:8" x14ac:dyDescent="0.45">
      <c r="A3219" t="s">
        <v>82</v>
      </c>
      <c r="B3219" t="s">
        <v>20</v>
      </c>
      <c r="C3219">
        <v>5</v>
      </c>
      <c r="D3219" t="s">
        <v>28</v>
      </c>
      <c r="F3219">
        <v>253</v>
      </c>
    </row>
    <row r="3220" spans="1:8" x14ac:dyDescent="0.45">
      <c r="A3220" t="s">
        <v>82</v>
      </c>
      <c r="B3220" t="s">
        <v>20</v>
      </c>
      <c r="C3220">
        <v>5</v>
      </c>
      <c r="D3220" t="s">
        <v>29</v>
      </c>
      <c r="F3220">
        <v>238</v>
      </c>
    </row>
    <row r="3221" spans="1:8" x14ac:dyDescent="0.45">
      <c r="A3221" t="s">
        <v>82</v>
      </c>
      <c r="B3221" t="s">
        <v>20</v>
      </c>
      <c r="C3221">
        <v>5</v>
      </c>
      <c r="D3221" t="s">
        <v>31</v>
      </c>
      <c r="H3221">
        <v>44</v>
      </c>
    </row>
    <row r="3222" spans="1:8" x14ac:dyDescent="0.45">
      <c r="A3222" t="s">
        <v>82</v>
      </c>
      <c r="B3222" t="s">
        <v>20</v>
      </c>
      <c r="C3222">
        <v>5</v>
      </c>
      <c r="D3222" t="s">
        <v>32</v>
      </c>
      <c r="H3222">
        <v>2</v>
      </c>
    </row>
    <row r="3223" spans="1:8" x14ac:dyDescent="0.45">
      <c r="A3223" t="s">
        <v>82</v>
      </c>
      <c r="B3223" t="s">
        <v>20</v>
      </c>
      <c r="C3223">
        <v>5</v>
      </c>
      <c r="D3223" t="s">
        <v>34</v>
      </c>
      <c r="H3223">
        <v>7</v>
      </c>
    </row>
    <row r="3224" spans="1:8" x14ac:dyDescent="0.45">
      <c r="A3224" t="s">
        <v>82</v>
      </c>
      <c r="B3224" t="s">
        <v>21</v>
      </c>
      <c r="C3224">
        <v>6</v>
      </c>
      <c r="D3224" t="s">
        <v>19</v>
      </c>
      <c r="E3224">
        <v>1426475</v>
      </c>
      <c r="F3224">
        <v>1794</v>
      </c>
      <c r="G3224">
        <v>544</v>
      </c>
    </row>
    <row r="3225" spans="1:8" x14ac:dyDescent="0.45">
      <c r="A3225" t="s">
        <v>82</v>
      </c>
      <c r="B3225" t="s">
        <v>21</v>
      </c>
      <c r="C3225">
        <v>6</v>
      </c>
      <c r="D3225" t="s">
        <v>27</v>
      </c>
      <c r="F3225">
        <v>346</v>
      </c>
    </row>
    <row r="3226" spans="1:8" x14ac:dyDescent="0.45">
      <c r="A3226" t="s">
        <v>82</v>
      </c>
      <c r="B3226" t="s">
        <v>21</v>
      </c>
      <c r="C3226">
        <v>6</v>
      </c>
      <c r="D3226" t="s">
        <v>28</v>
      </c>
      <c r="F3226">
        <v>363</v>
      </c>
    </row>
    <row r="3227" spans="1:8" x14ac:dyDescent="0.45">
      <c r="A3227" t="s">
        <v>82</v>
      </c>
      <c r="B3227" t="s">
        <v>21</v>
      </c>
      <c r="C3227">
        <v>6</v>
      </c>
      <c r="D3227" t="s">
        <v>29</v>
      </c>
      <c r="F3227">
        <v>323</v>
      </c>
    </row>
    <row r="3228" spans="1:8" x14ac:dyDescent="0.45">
      <c r="A3228" t="s">
        <v>82</v>
      </c>
      <c r="B3228" t="s">
        <v>20</v>
      </c>
      <c r="C3228">
        <v>6</v>
      </c>
      <c r="D3228" t="s">
        <v>19</v>
      </c>
      <c r="E3228">
        <v>1510440</v>
      </c>
      <c r="F3228">
        <v>1806</v>
      </c>
      <c r="G3228">
        <v>493</v>
      </c>
    </row>
    <row r="3229" spans="1:8" x14ac:dyDescent="0.45">
      <c r="A3229" t="s">
        <v>82</v>
      </c>
      <c r="B3229" t="s">
        <v>20</v>
      </c>
      <c r="C3229">
        <v>6</v>
      </c>
      <c r="D3229" t="s">
        <v>27</v>
      </c>
      <c r="F3229">
        <v>347</v>
      </c>
    </row>
    <row r="3230" spans="1:8" x14ac:dyDescent="0.45">
      <c r="A3230" t="s">
        <v>82</v>
      </c>
      <c r="B3230" t="s">
        <v>20</v>
      </c>
      <c r="C3230">
        <v>6</v>
      </c>
      <c r="D3230" t="s">
        <v>28</v>
      </c>
      <c r="F3230">
        <v>298</v>
      </c>
    </row>
    <row r="3231" spans="1:8" x14ac:dyDescent="0.45">
      <c r="A3231" t="s">
        <v>82</v>
      </c>
      <c r="B3231" t="s">
        <v>20</v>
      </c>
      <c r="C3231">
        <v>6</v>
      </c>
      <c r="D3231" t="s">
        <v>29</v>
      </c>
      <c r="F3231">
        <v>266</v>
      </c>
    </row>
    <row r="3232" spans="1:8" x14ac:dyDescent="0.45">
      <c r="A3232" t="s">
        <v>82</v>
      </c>
      <c r="B3232" t="s">
        <v>20</v>
      </c>
      <c r="C3232">
        <v>6</v>
      </c>
      <c r="D3232" t="s">
        <v>31</v>
      </c>
      <c r="H3232">
        <v>29</v>
      </c>
    </row>
    <row r="3233" spans="1:8" x14ac:dyDescent="0.45">
      <c r="A3233" t="s">
        <v>82</v>
      </c>
      <c r="B3233" t="s">
        <v>20</v>
      </c>
      <c r="C3233">
        <v>6</v>
      </c>
      <c r="D3233" t="s">
        <v>32</v>
      </c>
      <c r="H3233">
        <v>1</v>
      </c>
    </row>
    <row r="3234" spans="1:8" x14ac:dyDescent="0.45">
      <c r="A3234" t="s">
        <v>82</v>
      </c>
      <c r="B3234" t="s">
        <v>20</v>
      </c>
      <c r="C3234">
        <v>6</v>
      </c>
      <c r="D3234" t="s">
        <v>34</v>
      </c>
      <c r="H3234">
        <v>7</v>
      </c>
    </row>
    <row r="3235" spans="1:8" x14ac:dyDescent="0.45">
      <c r="A3235" t="s">
        <v>82</v>
      </c>
      <c r="B3235" t="s">
        <v>21</v>
      </c>
      <c r="C3235">
        <v>7</v>
      </c>
      <c r="D3235" t="s">
        <v>19</v>
      </c>
      <c r="E3235">
        <v>1117431</v>
      </c>
      <c r="F3235">
        <v>1445</v>
      </c>
      <c r="G3235">
        <v>467</v>
      </c>
    </row>
    <row r="3236" spans="1:8" x14ac:dyDescent="0.45">
      <c r="A3236" t="s">
        <v>82</v>
      </c>
      <c r="B3236" t="s">
        <v>21</v>
      </c>
      <c r="C3236">
        <v>7</v>
      </c>
      <c r="D3236" t="s">
        <v>27</v>
      </c>
      <c r="F3236">
        <v>347</v>
      </c>
    </row>
    <row r="3237" spans="1:8" x14ac:dyDescent="0.45">
      <c r="A3237" t="s">
        <v>82</v>
      </c>
      <c r="B3237" t="s">
        <v>21</v>
      </c>
      <c r="C3237">
        <v>7</v>
      </c>
      <c r="D3237" t="s">
        <v>28</v>
      </c>
      <c r="F3237">
        <v>294</v>
      </c>
    </row>
    <row r="3238" spans="1:8" x14ac:dyDescent="0.45">
      <c r="A3238" t="s">
        <v>82</v>
      </c>
      <c r="B3238" t="s">
        <v>21</v>
      </c>
      <c r="C3238">
        <v>7</v>
      </c>
      <c r="D3238" t="s">
        <v>29</v>
      </c>
      <c r="F3238">
        <v>242</v>
      </c>
    </row>
    <row r="3239" spans="1:8" x14ac:dyDescent="0.45">
      <c r="A3239" t="s">
        <v>82</v>
      </c>
      <c r="B3239" t="s">
        <v>20</v>
      </c>
      <c r="C3239">
        <v>7</v>
      </c>
      <c r="D3239" t="s">
        <v>19</v>
      </c>
      <c r="E3239">
        <v>1071760</v>
      </c>
      <c r="F3239">
        <v>1345</v>
      </c>
      <c r="G3239">
        <v>431</v>
      </c>
    </row>
    <row r="3240" spans="1:8" x14ac:dyDescent="0.45">
      <c r="A3240" t="s">
        <v>82</v>
      </c>
      <c r="B3240" t="s">
        <v>20</v>
      </c>
      <c r="C3240">
        <v>7</v>
      </c>
      <c r="D3240" t="s">
        <v>27</v>
      </c>
      <c r="F3240">
        <v>327</v>
      </c>
    </row>
    <row r="3241" spans="1:8" x14ac:dyDescent="0.45">
      <c r="A3241" t="s">
        <v>82</v>
      </c>
      <c r="B3241" t="s">
        <v>20</v>
      </c>
      <c r="C3241">
        <v>7</v>
      </c>
      <c r="D3241" t="s">
        <v>28</v>
      </c>
      <c r="F3241">
        <v>251</v>
      </c>
    </row>
    <row r="3242" spans="1:8" x14ac:dyDescent="0.45">
      <c r="A3242" t="s">
        <v>82</v>
      </c>
      <c r="B3242" t="s">
        <v>20</v>
      </c>
      <c r="C3242">
        <v>7</v>
      </c>
      <c r="D3242" t="s">
        <v>29</v>
      </c>
      <c r="F3242">
        <v>198</v>
      </c>
    </row>
    <row r="3243" spans="1:8" x14ac:dyDescent="0.45">
      <c r="A3243" t="s">
        <v>82</v>
      </c>
      <c r="B3243" t="s">
        <v>20</v>
      </c>
      <c r="C3243">
        <v>7</v>
      </c>
      <c r="D3243" t="s">
        <v>31</v>
      </c>
      <c r="H3243">
        <v>108</v>
      </c>
    </row>
    <row r="3244" spans="1:8" x14ac:dyDescent="0.45">
      <c r="A3244" t="s">
        <v>82</v>
      </c>
      <c r="B3244" t="s">
        <v>20</v>
      </c>
      <c r="C3244">
        <v>7</v>
      </c>
      <c r="D3244" t="s">
        <v>32</v>
      </c>
      <c r="H3244">
        <v>2</v>
      </c>
    </row>
    <row r="3245" spans="1:8" x14ac:dyDescent="0.45">
      <c r="A3245" t="s">
        <v>82</v>
      </c>
      <c r="B3245" t="s">
        <v>20</v>
      </c>
      <c r="C3245">
        <v>7</v>
      </c>
      <c r="D3245" t="s">
        <v>34</v>
      </c>
      <c r="H3245">
        <v>7</v>
      </c>
    </row>
    <row r="3246" spans="1:8" x14ac:dyDescent="0.45">
      <c r="A3246" t="s">
        <v>82</v>
      </c>
      <c r="B3246" t="s">
        <v>21</v>
      </c>
      <c r="C3246">
        <v>8</v>
      </c>
      <c r="D3246" t="s">
        <v>19</v>
      </c>
      <c r="E3246">
        <v>767041</v>
      </c>
      <c r="F3246">
        <v>1144</v>
      </c>
      <c r="G3246">
        <v>350</v>
      </c>
    </row>
    <row r="3247" spans="1:8" x14ac:dyDescent="0.45">
      <c r="A3247" t="s">
        <v>82</v>
      </c>
      <c r="B3247" t="s">
        <v>21</v>
      </c>
      <c r="C3247">
        <v>8</v>
      </c>
      <c r="D3247" t="s">
        <v>27</v>
      </c>
      <c r="F3247">
        <v>325</v>
      </c>
      <c r="G3247">
        <v>783</v>
      </c>
    </row>
    <row r="3248" spans="1:8" x14ac:dyDescent="0.45">
      <c r="A3248" t="s">
        <v>82</v>
      </c>
      <c r="B3248" t="s">
        <v>21</v>
      </c>
      <c r="C3248">
        <v>8</v>
      </c>
      <c r="D3248" t="s">
        <v>28</v>
      </c>
      <c r="F3248">
        <v>240</v>
      </c>
      <c r="G3248">
        <v>1014</v>
      </c>
    </row>
    <row r="3249" spans="1:8" x14ac:dyDescent="0.45">
      <c r="A3249" t="s">
        <v>82</v>
      </c>
      <c r="B3249" t="s">
        <v>21</v>
      </c>
      <c r="C3249">
        <v>8</v>
      </c>
      <c r="D3249" t="s">
        <v>29</v>
      </c>
      <c r="F3249">
        <v>183</v>
      </c>
      <c r="G3249">
        <v>868</v>
      </c>
    </row>
    <row r="3250" spans="1:8" x14ac:dyDescent="0.45">
      <c r="A3250" t="s">
        <v>82</v>
      </c>
      <c r="B3250" t="s">
        <v>20</v>
      </c>
      <c r="C3250">
        <v>8</v>
      </c>
      <c r="D3250" t="s">
        <v>19</v>
      </c>
      <c r="E3250">
        <v>658302</v>
      </c>
      <c r="F3250">
        <v>894</v>
      </c>
      <c r="G3250">
        <v>314</v>
      </c>
    </row>
    <row r="3251" spans="1:8" x14ac:dyDescent="0.45">
      <c r="A3251" t="s">
        <v>82</v>
      </c>
      <c r="B3251" t="s">
        <v>20</v>
      </c>
      <c r="C3251">
        <v>8</v>
      </c>
      <c r="D3251" t="s">
        <v>27</v>
      </c>
      <c r="F3251">
        <v>254</v>
      </c>
      <c r="G3251">
        <v>720</v>
      </c>
    </row>
    <row r="3252" spans="1:8" x14ac:dyDescent="0.45">
      <c r="A3252" t="s">
        <v>82</v>
      </c>
      <c r="B3252" t="s">
        <v>20</v>
      </c>
      <c r="C3252">
        <v>8</v>
      </c>
      <c r="D3252" t="s">
        <v>28</v>
      </c>
      <c r="F3252">
        <v>182</v>
      </c>
      <c r="G3252">
        <v>1066</v>
      </c>
    </row>
    <row r="3253" spans="1:8" x14ac:dyDescent="0.45">
      <c r="A3253" t="s">
        <v>82</v>
      </c>
      <c r="B3253" t="s">
        <v>20</v>
      </c>
      <c r="C3253">
        <v>8</v>
      </c>
      <c r="D3253" t="s">
        <v>29</v>
      </c>
      <c r="F3253">
        <v>122</v>
      </c>
      <c r="G3253">
        <v>815</v>
      </c>
    </row>
    <row r="3254" spans="1:8" x14ac:dyDescent="0.45">
      <c r="A3254" t="s">
        <v>82</v>
      </c>
      <c r="B3254" t="s">
        <v>20</v>
      </c>
      <c r="C3254">
        <v>8</v>
      </c>
      <c r="D3254" t="s">
        <v>31</v>
      </c>
      <c r="H3254">
        <v>16</v>
      </c>
    </row>
    <row r="3255" spans="1:8" x14ac:dyDescent="0.45">
      <c r="A3255" t="s">
        <v>82</v>
      </c>
      <c r="B3255" t="s">
        <v>20</v>
      </c>
      <c r="C3255">
        <v>8</v>
      </c>
      <c r="D3255" t="s">
        <v>32</v>
      </c>
      <c r="H3255">
        <v>2</v>
      </c>
    </row>
    <row r="3256" spans="1:8" x14ac:dyDescent="0.45">
      <c r="A3256" t="s">
        <v>82</v>
      </c>
      <c r="B3256" t="s">
        <v>20</v>
      </c>
      <c r="C3256">
        <v>8</v>
      </c>
      <c r="D3256" t="s">
        <v>34</v>
      </c>
      <c r="H3256">
        <v>3</v>
      </c>
    </row>
    <row r="3257" spans="1:8" x14ac:dyDescent="0.45">
      <c r="A3257" t="s">
        <v>82</v>
      </c>
      <c r="B3257" t="s">
        <v>21</v>
      </c>
      <c r="C3257">
        <v>9</v>
      </c>
      <c r="D3257" t="s">
        <v>19</v>
      </c>
      <c r="E3257">
        <v>700964</v>
      </c>
      <c r="F3257">
        <v>1171</v>
      </c>
      <c r="G3257">
        <v>361</v>
      </c>
    </row>
    <row r="3258" spans="1:8" x14ac:dyDescent="0.45">
      <c r="A3258" t="s">
        <v>82</v>
      </c>
      <c r="B3258" t="s">
        <v>21</v>
      </c>
      <c r="C3258">
        <v>9</v>
      </c>
      <c r="D3258" t="s">
        <v>27</v>
      </c>
      <c r="F3258">
        <v>393</v>
      </c>
    </row>
    <row r="3259" spans="1:8" x14ac:dyDescent="0.45">
      <c r="A3259" t="s">
        <v>82</v>
      </c>
      <c r="B3259" t="s">
        <v>21</v>
      </c>
      <c r="C3259">
        <v>9</v>
      </c>
      <c r="D3259" t="s">
        <v>28</v>
      </c>
      <c r="F3259">
        <v>231</v>
      </c>
    </row>
    <row r="3260" spans="1:8" x14ac:dyDescent="0.45">
      <c r="A3260" t="s">
        <v>82</v>
      </c>
      <c r="B3260" t="s">
        <v>21</v>
      </c>
      <c r="C3260">
        <v>9</v>
      </c>
      <c r="D3260" t="s">
        <v>29</v>
      </c>
      <c r="F3260">
        <v>145</v>
      </c>
    </row>
    <row r="3261" spans="1:8" x14ac:dyDescent="0.45">
      <c r="A3261" t="s">
        <v>82</v>
      </c>
      <c r="B3261" t="s">
        <v>20</v>
      </c>
      <c r="C3261">
        <v>9</v>
      </c>
      <c r="D3261" t="s">
        <v>19</v>
      </c>
      <c r="E3261">
        <v>763435</v>
      </c>
      <c r="F3261">
        <v>1086</v>
      </c>
      <c r="G3261">
        <v>341</v>
      </c>
    </row>
    <row r="3262" spans="1:8" x14ac:dyDescent="0.45">
      <c r="A3262" t="s">
        <v>82</v>
      </c>
      <c r="B3262" t="s">
        <v>20</v>
      </c>
      <c r="C3262">
        <v>9</v>
      </c>
      <c r="D3262" t="s">
        <v>27</v>
      </c>
      <c r="F3262">
        <v>290</v>
      </c>
    </row>
    <row r="3263" spans="1:8" x14ac:dyDescent="0.45">
      <c r="A3263" t="s">
        <v>82</v>
      </c>
      <c r="B3263" t="s">
        <v>20</v>
      </c>
      <c r="C3263">
        <v>9</v>
      </c>
      <c r="D3263" t="s">
        <v>28</v>
      </c>
      <c r="F3263">
        <v>251</v>
      </c>
    </row>
    <row r="3264" spans="1:8" x14ac:dyDescent="0.45">
      <c r="A3264" t="s">
        <v>82</v>
      </c>
      <c r="B3264" t="s">
        <v>20</v>
      </c>
      <c r="C3264">
        <v>9</v>
      </c>
      <c r="D3264" t="s">
        <v>29</v>
      </c>
      <c r="F3264">
        <v>166</v>
      </c>
    </row>
    <row r="3265" spans="1:8" x14ac:dyDescent="0.45">
      <c r="A3265" t="s">
        <v>82</v>
      </c>
      <c r="B3265" t="s">
        <v>20</v>
      </c>
      <c r="C3265">
        <v>9</v>
      </c>
      <c r="D3265" t="s">
        <v>31</v>
      </c>
      <c r="H3265">
        <v>94</v>
      </c>
    </row>
    <row r="3266" spans="1:8" x14ac:dyDescent="0.45">
      <c r="A3266" t="s">
        <v>82</v>
      </c>
      <c r="B3266" t="s">
        <v>20</v>
      </c>
      <c r="C3266">
        <v>9</v>
      </c>
      <c r="D3266" t="s">
        <v>32</v>
      </c>
      <c r="H3266">
        <v>3</v>
      </c>
    </row>
    <row r="3267" spans="1:8" x14ac:dyDescent="0.45">
      <c r="A3267" t="s">
        <v>82</v>
      </c>
      <c r="B3267" t="s">
        <v>20</v>
      </c>
      <c r="C3267">
        <v>9</v>
      </c>
      <c r="D3267" t="s">
        <v>34</v>
      </c>
      <c r="H3267">
        <v>6</v>
      </c>
    </row>
    <row r="3268" spans="1:8" x14ac:dyDescent="0.45">
      <c r="A3268" t="s">
        <v>82</v>
      </c>
      <c r="B3268" t="s">
        <v>21</v>
      </c>
      <c r="C3268">
        <v>10</v>
      </c>
      <c r="D3268" t="s">
        <v>19</v>
      </c>
      <c r="E3268">
        <v>1209322</v>
      </c>
      <c r="F3268">
        <v>1957</v>
      </c>
      <c r="G3268">
        <v>511</v>
      </c>
    </row>
    <row r="3269" spans="1:8" x14ac:dyDescent="0.45">
      <c r="A3269" t="s">
        <v>82</v>
      </c>
      <c r="B3269" t="s">
        <v>21</v>
      </c>
      <c r="C3269">
        <v>10</v>
      </c>
      <c r="D3269" t="s">
        <v>27</v>
      </c>
      <c r="F3269">
        <v>533</v>
      </c>
    </row>
    <row r="3270" spans="1:8" x14ac:dyDescent="0.45">
      <c r="A3270" t="s">
        <v>82</v>
      </c>
      <c r="B3270" t="s">
        <v>21</v>
      </c>
      <c r="C3270">
        <v>10</v>
      </c>
      <c r="D3270" t="s">
        <v>28</v>
      </c>
      <c r="F3270">
        <v>376</v>
      </c>
    </row>
    <row r="3271" spans="1:8" x14ac:dyDescent="0.45">
      <c r="A3271" t="s">
        <v>82</v>
      </c>
      <c r="B3271" t="s">
        <v>21</v>
      </c>
      <c r="C3271">
        <v>10</v>
      </c>
      <c r="D3271" t="s">
        <v>29</v>
      </c>
      <c r="F3271">
        <v>276</v>
      </c>
    </row>
    <row r="3272" spans="1:8" x14ac:dyDescent="0.45">
      <c r="A3272" t="s">
        <v>82</v>
      </c>
      <c r="B3272" t="s">
        <v>20</v>
      </c>
      <c r="C3272">
        <v>10</v>
      </c>
      <c r="D3272" t="s">
        <v>19</v>
      </c>
      <c r="E3272">
        <v>1079138</v>
      </c>
      <c r="F3272">
        <v>1536</v>
      </c>
      <c r="G3272">
        <v>456</v>
      </c>
    </row>
    <row r="3273" spans="1:8" x14ac:dyDescent="0.45">
      <c r="A3273" t="s">
        <v>82</v>
      </c>
      <c r="B3273" t="s">
        <v>20</v>
      </c>
      <c r="C3273">
        <v>10</v>
      </c>
      <c r="D3273" t="s">
        <v>27</v>
      </c>
      <c r="F3273">
        <v>421</v>
      </c>
    </row>
    <row r="3274" spans="1:8" x14ac:dyDescent="0.45">
      <c r="A3274" t="s">
        <v>82</v>
      </c>
      <c r="B3274" t="s">
        <v>20</v>
      </c>
      <c r="C3274">
        <v>10</v>
      </c>
      <c r="D3274" t="s">
        <v>28</v>
      </c>
      <c r="F3274">
        <v>300</v>
      </c>
    </row>
    <row r="3275" spans="1:8" x14ac:dyDescent="0.45">
      <c r="A3275" t="s">
        <v>82</v>
      </c>
      <c r="B3275" t="s">
        <v>20</v>
      </c>
      <c r="C3275">
        <v>10</v>
      </c>
      <c r="D3275" t="s">
        <v>29</v>
      </c>
      <c r="F3275">
        <v>193</v>
      </c>
    </row>
    <row r="3276" spans="1:8" x14ac:dyDescent="0.45">
      <c r="A3276" t="s">
        <v>82</v>
      </c>
      <c r="B3276" t="s">
        <v>20</v>
      </c>
      <c r="C3276">
        <v>10</v>
      </c>
      <c r="D3276" t="s">
        <v>31</v>
      </c>
      <c r="H3276">
        <v>63</v>
      </c>
    </row>
    <row r="3277" spans="1:8" x14ac:dyDescent="0.45">
      <c r="A3277" t="s">
        <v>82</v>
      </c>
      <c r="B3277" t="s">
        <v>20</v>
      </c>
      <c r="C3277">
        <v>10</v>
      </c>
      <c r="D3277" t="s">
        <v>32</v>
      </c>
      <c r="H3277">
        <v>5</v>
      </c>
    </row>
    <row r="3278" spans="1:8" x14ac:dyDescent="0.45">
      <c r="A3278" t="s">
        <v>82</v>
      </c>
      <c r="B3278" t="s">
        <v>20</v>
      </c>
      <c r="C3278">
        <v>10</v>
      </c>
      <c r="D3278" t="s">
        <v>34</v>
      </c>
      <c r="H3278">
        <v>9</v>
      </c>
    </row>
    <row r="3279" spans="1:8" x14ac:dyDescent="0.45">
      <c r="A3279" t="s">
        <v>82</v>
      </c>
      <c r="B3279" t="s">
        <v>21</v>
      </c>
      <c r="C3279">
        <v>11</v>
      </c>
      <c r="D3279" t="s">
        <v>19</v>
      </c>
      <c r="E3279">
        <v>980220</v>
      </c>
      <c r="F3279">
        <v>1414</v>
      </c>
      <c r="G3279">
        <v>439</v>
      </c>
    </row>
    <row r="3280" spans="1:8" x14ac:dyDescent="0.45">
      <c r="A3280" t="s">
        <v>82</v>
      </c>
      <c r="B3280" t="s">
        <v>21</v>
      </c>
      <c r="C3280">
        <v>11</v>
      </c>
      <c r="D3280" t="s">
        <v>27</v>
      </c>
      <c r="F3280">
        <v>400</v>
      </c>
    </row>
    <row r="3281" spans="1:8" x14ac:dyDescent="0.45">
      <c r="A3281" t="s">
        <v>82</v>
      </c>
      <c r="B3281" t="s">
        <v>21</v>
      </c>
      <c r="C3281">
        <v>11</v>
      </c>
      <c r="D3281" t="s">
        <v>28</v>
      </c>
      <c r="F3281">
        <v>280</v>
      </c>
    </row>
    <row r="3282" spans="1:8" x14ac:dyDescent="0.45">
      <c r="A3282" t="s">
        <v>82</v>
      </c>
      <c r="B3282" t="s">
        <v>21</v>
      </c>
      <c r="C3282">
        <v>11</v>
      </c>
      <c r="D3282" t="s">
        <v>29</v>
      </c>
      <c r="F3282">
        <v>212</v>
      </c>
    </row>
    <row r="3283" spans="1:8" x14ac:dyDescent="0.45">
      <c r="A3283" t="s">
        <v>82</v>
      </c>
      <c r="B3283" t="s">
        <v>20</v>
      </c>
      <c r="C3283">
        <v>11</v>
      </c>
      <c r="D3283" t="s">
        <v>19</v>
      </c>
      <c r="E3283">
        <v>892547</v>
      </c>
      <c r="F3283">
        <v>1353</v>
      </c>
      <c r="G3283">
        <v>421</v>
      </c>
    </row>
    <row r="3284" spans="1:8" x14ac:dyDescent="0.45">
      <c r="A3284" t="s">
        <v>82</v>
      </c>
      <c r="B3284" t="s">
        <v>20</v>
      </c>
      <c r="C3284">
        <v>11</v>
      </c>
      <c r="D3284" t="s">
        <v>27</v>
      </c>
      <c r="F3284">
        <v>356</v>
      </c>
    </row>
    <row r="3285" spans="1:8" x14ac:dyDescent="0.45">
      <c r="A3285" t="s">
        <v>82</v>
      </c>
      <c r="B3285" t="s">
        <v>20</v>
      </c>
      <c r="C3285">
        <v>11</v>
      </c>
      <c r="D3285" t="s">
        <v>28</v>
      </c>
      <c r="F3285">
        <v>273</v>
      </c>
    </row>
    <row r="3286" spans="1:8" x14ac:dyDescent="0.45">
      <c r="A3286" t="s">
        <v>82</v>
      </c>
      <c r="B3286" t="s">
        <v>20</v>
      </c>
      <c r="C3286">
        <v>11</v>
      </c>
      <c r="D3286" t="s">
        <v>29</v>
      </c>
      <c r="F3286">
        <v>219</v>
      </c>
    </row>
    <row r="3287" spans="1:8" x14ac:dyDescent="0.45">
      <c r="A3287" t="s">
        <v>82</v>
      </c>
      <c r="B3287" t="s">
        <v>20</v>
      </c>
      <c r="C3287">
        <v>11</v>
      </c>
      <c r="D3287" t="s">
        <v>31</v>
      </c>
      <c r="H3287">
        <v>230</v>
      </c>
    </row>
    <row r="3288" spans="1:8" x14ac:dyDescent="0.45">
      <c r="A3288" t="s">
        <v>82</v>
      </c>
      <c r="B3288" t="s">
        <v>20</v>
      </c>
      <c r="C3288">
        <v>11</v>
      </c>
      <c r="D3288" t="s">
        <v>32</v>
      </c>
      <c r="H3288">
        <v>2</v>
      </c>
    </row>
    <row r="3289" spans="1:8" x14ac:dyDescent="0.45">
      <c r="A3289" t="s">
        <v>82</v>
      </c>
      <c r="B3289" t="s">
        <v>20</v>
      </c>
      <c r="C3289">
        <v>11</v>
      </c>
      <c r="D3289" t="s">
        <v>34</v>
      </c>
      <c r="H3289">
        <v>9</v>
      </c>
    </row>
    <row r="3290" spans="1:8" x14ac:dyDescent="0.45">
      <c r="A3290" t="s">
        <v>82</v>
      </c>
      <c r="B3290" t="s">
        <v>21</v>
      </c>
      <c r="C3290">
        <v>12</v>
      </c>
      <c r="D3290" t="s">
        <v>19</v>
      </c>
      <c r="E3290">
        <v>936598</v>
      </c>
      <c r="F3290">
        <v>1457</v>
      </c>
      <c r="G3290">
        <v>422</v>
      </c>
    </row>
    <row r="3291" spans="1:8" x14ac:dyDescent="0.45">
      <c r="A3291" t="s">
        <v>82</v>
      </c>
      <c r="B3291" t="s">
        <v>21</v>
      </c>
      <c r="C3291">
        <v>12</v>
      </c>
      <c r="D3291" t="s">
        <v>27</v>
      </c>
      <c r="F3291">
        <v>412</v>
      </c>
    </row>
    <row r="3292" spans="1:8" x14ac:dyDescent="0.45">
      <c r="A3292" t="s">
        <v>82</v>
      </c>
      <c r="B3292" t="s">
        <v>21</v>
      </c>
      <c r="C3292">
        <v>12</v>
      </c>
      <c r="D3292" t="s">
        <v>28</v>
      </c>
      <c r="F3292">
        <v>279</v>
      </c>
    </row>
    <row r="3293" spans="1:8" x14ac:dyDescent="0.45">
      <c r="A3293" t="s">
        <v>82</v>
      </c>
      <c r="B3293" t="s">
        <v>21</v>
      </c>
      <c r="C3293">
        <v>12</v>
      </c>
      <c r="D3293" t="s">
        <v>29</v>
      </c>
      <c r="F3293">
        <v>218</v>
      </c>
    </row>
    <row r="3294" spans="1:8" x14ac:dyDescent="0.45">
      <c r="A3294" t="s">
        <v>82</v>
      </c>
      <c r="B3294" t="s">
        <v>20</v>
      </c>
      <c r="C3294">
        <v>12</v>
      </c>
      <c r="D3294" t="s">
        <v>19</v>
      </c>
      <c r="E3294">
        <v>824732</v>
      </c>
      <c r="F3294">
        <v>1219</v>
      </c>
      <c r="G3294">
        <v>397</v>
      </c>
    </row>
    <row r="3295" spans="1:8" x14ac:dyDescent="0.45">
      <c r="A3295" t="s">
        <v>82</v>
      </c>
      <c r="B3295" t="s">
        <v>20</v>
      </c>
      <c r="C3295">
        <v>12</v>
      </c>
      <c r="D3295" t="s">
        <v>27</v>
      </c>
      <c r="F3295">
        <v>325</v>
      </c>
    </row>
    <row r="3296" spans="1:8" x14ac:dyDescent="0.45">
      <c r="A3296" t="s">
        <v>82</v>
      </c>
      <c r="B3296" t="s">
        <v>20</v>
      </c>
      <c r="C3296">
        <v>12</v>
      </c>
      <c r="D3296" t="s">
        <v>28</v>
      </c>
      <c r="F3296">
        <v>236</v>
      </c>
    </row>
    <row r="3297" spans="1:8" x14ac:dyDescent="0.45">
      <c r="A3297" t="s">
        <v>82</v>
      </c>
      <c r="B3297" t="s">
        <v>20</v>
      </c>
      <c r="C3297">
        <v>12</v>
      </c>
      <c r="D3297" t="s">
        <v>29</v>
      </c>
      <c r="F3297">
        <v>205</v>
      </c>
    </row>
    <row r="3298" spans="1:8" x14ac:dyDescent="0.45">
      <c r="A3298" t="s">
        <v>82</v>
      </c>
      <c r="B3298" t="s">
        <v>20</v>
      </c>
      <c r="C3298">
        <v>12</v>
      </c>
      <c r="D3298" t="s">
        <v>31</v>
      </c>
      <c r="H3298">
        <v>98</v>
      </c>
    </row>
    <row r="3299" spans="1:8" x14ac:dyDescent="0.45">
      <c r="A3299" t="s">
        <v>82</v>
      </c>
      <c r="B3299" t="s">
        <v>20</v>
      </c>
      <c r="C3299">
        <v>12</v>
      </c>
      <c r="D3299" t="s">
        <v>32</v>
      </c>
      <c r="H3299">
        <v>1</v>
      </c>
    </row>
    <row r="3300" spans="1:8" x14ac:dyDescent="0.45">
      <c r="A3300" t="s">
        <v>82</v>
      </c>
      <c r="B3300" t="s">
        <v>20</v>
      </c>
      <c r="C3300">
        <v>12</v>
      </c>
      <c r="D3300" t="s">
        <v>34</v>
      </c>
      <c r="H3300">
        <v>7</v>
      </c>
    </row>
    <row r="3301" spans="1:8" x14ac:dyDescent="0.45">
      <c r="A3301" t="s">
        <v>49</v>
      </c>
      <c r="B3301" t="s">
        <v>21</v>
      </c>
      <c r="C3301">
        <v>1</v>
      </c>
      <c r="D3301" t="s">
        <v>19</v>
      </c>
      <c r="E3301">
        <v>616998</v>
      </c>
      <c r="F3301">
        <v>1708</v>
      </c>
      <c r="G3301">
        <v>481</v>
      </c>
    </row>
    <row r="3302" spans="1:8" x14ac:dyDescent="0.45">
      <c r="A3302" t="s">
        <v>49</v>
      </c>
      <c r="B3302" t="s">
        <v>21</v>
      </c>
      <c r="C3302">
        <v>1</v>
      </c>
      <c r="D3302" t="s">
        <v>27</v>
      </c>
      <c r="F3302">
        <v>1028</v>
      </c>
    </row>
    <row r="3303" spans="1:8" x14ac:dyDescent="0.45">
      <c r="A3303" t="s">
        <v>49</v>
      </c>
      <c r="B3303" t="s">
        <v>21</v>
      </c>
      <c r="C3303">
        <v>1</v>
      </c>
      <c r="D3303" t="s">
        <v>28</v>
      </c>
      <c r="F3303">
        <v>202</v>
      </c>
    </row>
    <row r="3304" spans="1:8" x14ac:dyDescent="0.45">
      <c r="A3304" t="s">
        <v>49</v>
      </c>
      <c r="B3304" t="s">
        <v>21</v>
      </c>
      <c r="C3304">
        <v>1</v>
      </c>
      <c r="D3304" t="s">
        <v>29</v>
      </c>
      <c r="F3304">
        <v>136</v>
      </c>
    </row>
    <row r="3305" spans="1:8" x14ac:dyDescent="0.45">
      <c r="A3305" t="s">
        <v>49</v>
      </c>
      <c r="B3305" t="s">
        <v>20</v>
      </c>
      <c r="C3305">
        <v>1</v>
      </c>
      <c r="D3305" t="s">
        <v>19</v>
      </c>
      <c r="E3305">
        <v>750467</v>
      </c>
      <c r="F3305">
        <v>1808</v>
      </c>
      <c r="G3305">
        <v>490</v>
      </c>
    </row>
    <row r="3306" spans="1:8" x14ac:dyDescent="0.45">
      <c r="A3306" t="s">
        <v>49</v>
      </c>
      <c r="B3306" t="s">
        <v>20</v>
      </c>
      <c r="C3306">
        <v>1</v>
      </c>
      <c r="D3306" t="s">
        <v>27</v>
      </c>
      <c r="F3306">
        <v>966</v>
      </c>
    </row>
    <row r="3307" spans="1:8" x14ac:dyDescent="0.45">
      <c r="A3307" t="s">
        <v>49</v>
      </c>
      <c r="B3307" t="s">
        <v>20</v>
      </c>
      <c r="C3307">
        <v>1</v>
      </c>
      <c r="D3307" t="s">
        <v>28</v>
      </c>
      <c r="F3307">
        <v>252</v>
      </c>
    </row>
    <row r="3308" spans="1:8" x14ac:dyDescent="0.45">
      <c r="A3308" t="s">
        <v>49</v>
      </c>
      <c r="B3308" t="s">
        <v>20</v>
      </c>
      <c r="C3308">
        <v>1</v>
      </c>
      <c r="D3308" t="s">
        <v>29</v>
      </c>
      <c r="F3308">
        <v>175</v>
      </c>
    </row>
    <row r="3309" spans="1:8" x14ac:dyDescent="0.45">
      <c r="A3309" t="s">
        <v>49</v>
      </c>
      <c r="B3309" t="s">
        <v>20</v>
      </c>
      <c r="C3309">
        <v>1</v>
      </c>
      <c r="D3309" t="s">
        <v>31</v>
      </c>
      <c r="H3309">
        <v>63</v>
      </c>
    </row>
    <row r="3310" spans="1:8" x14ac:dyDescent="0.45">
      <c r="A3310" t="s">
        <v>49</v>
      </c>
      <c r="B3310" t="s">
        <v>20</v>
      </c>
      <c r="C3310">
        <v>1</v>
      </c>
      <c r="D3310" t="s">
        <v>32</v>
      </c>
      <c r="H3310">
        <v>5</v>
      </c>
    </row>
    <row r="3311" spans="1:8" x14ac:dyDescent="0.45">
      <c r="A3311" t="s">
        <v>49</v>
      </c>
      <c r="B3311" t="s">
        <v>20</v>
      </c>
      <c r="C3311">
        <v>1</v>
      </c>
      <c r="D3311" t="s">
        <v>34</v>
      </c>
    </row>
    <row r="3312" spans="1:8" x14ac:dyDescent="0.45">
      <c r="A3312" t="s">
        <v>49</v>
      </c>
      <c r="B3312" t="s">
        <v>21</v>
      </c>
      <c r="C3312">
        <v>2</v>
      </c>
      <c r="D3312" t="s">
        <v>19</v>
      </c>
      <c r="E3312">
        <v>589411</v>
      </c>
      <c r="F3312">
        <v>1650</v>
      </c>
      <c r="G3312">
        <v>482</v>
      </c>
    </row>
    <row r="3313" spans="1:8" x14ac:dyDescent="0.45">
      <c r="A3313" t="s">
        <v>49</v>
      </c>
      <c r="B3313" t="s">
        <v>21</v>
      </c>
      <c r="C3313">
        <v>2</v>
      </c>
      <c r="D3313" t="s">
        <v>27</v>
      </c>
      <c r="F3313">
        <v>1074</v>
      </c>
    </row>
    <row r="3314" spans="1:8" x14ac:dyDescent="0.45">
      <c r="A3314" t="s">
        <v>49</v>
      </c>
      <c r="B3314" t="s">
        <v>21</v>
      </c>
      <c r="C3314">
        <v>2</v>
      </c>
      <c r="D3314" t="s">
        <v>28</v>
      </c>
      <c r="F3314">
        <v>168</v>
      </c>
    </row>
    <row r="3315" spans="1:8" x14ac:dyDescent="0.45">
      <c r="A3315" t="s">
        <v>49</v>
      </c>
      <c r="B3315" t="s">
        <v>21</v>
      </c>
      <c r="C3315">
        <v>2</v>
      </c>
      <c r="D3315" t="s">
        <v>29</v>
      </c>
      <c r="F3315">
        <v>102</v>
      </c>
    </row>
    <row r="3316" spans="1:8" x14ac:dyDescent="0.45">
      <c r="A3316" t="s">
        <v>49</v>
      </c>
      <c r="B3316" t="s">
        <v>20</v>
      </c>
      <c r="C3316">
        <v>2</v>
      </c>
      <c r="D3316" t="s">
        <v>19</v>
      </c>
      <c r="E3316">
        <v>605580</v>
      </c>
      <c r="F3316">
        <v>1543</v>
      </c>
      <c r="G3316">
        <v>447</v>
      </c>
    </row>
    <row r="3317" spans="1:8" x14ac:dyDescent="0.45">
      <c r="A3317" t="s">
        <v>49</v>
      </c>
      <c r="B3317" t="s">
        <v>20</v>
      </c>
      <c r="C3317">
        <v>2</v>
      </c>
      <c r="D3317" t="s">
        <v>27</v>
      </c>
      <c r="F3317">
        <v>929</v>
      </c>
    </row>
    <row r="3318" spans="1:8" x14ac:dyDescent="0.45">
      <c r="A3318" t="s">
        <v>49</v>
      </c>
      <c r="B3318" t="s">
        <v>20</v>
      </c>
      <c r="C3318">
        <v>2</v>
      </c>
      <c r="D3318" t="s">
        <v>28</v>
      </c>
      <c r="F3318">
        <v>190</v>
      </c>
    </row>
    <row r="3319" spans="1:8" x14ac:dyDescent="0.45">
      <c r="A3319" t="s">
        <v>49</v>
      </c>
      <c r="B3319" t="s">
        <v>20</v>
      </c>
      <c r="C3319">
        <v>2</v>
      </c>
      <c r="D3319" t="s">
        <v>29</v>
      </c>
      <c r="F3319">
        <v>117</v>
      </c>
    </row>
    <row r="3320" spans="1:8" x14ac:dyDescent="0.45">
      <c r="A3320" t="s">
        <v>49</v>
      </c>
      <c r="B3320" t="s">
        <v>20</v>
      </c>
      <c r="C3320">
        <v>2</v>
      </c>
      <c r="D3320" t="s">
        <v>31</v>
      </c>
      <c r="H3320">
        <v>67</v>
      </c>
    </row>
    <row r="3321" spans="1:8" x14ac:dyDescent="0.45">
      <c r="A3321" t="s">
        <v>49</v>
      </c>
      <c r="B3321" t="s">
        <v>20</v>
      </c>
      <c r="C3321">
        <v>2</v>
      </c>
      <c r="D3321" t="s">
        <v>32</v>
      </c>
      <c r="H3321">
        <v>5</v>
      </c>
    </row>
    <row r="3322" spans="1:8" x14ac:dyDescent="0.45">
      <c r="A3322" t="s">
        <v>49</v>
      </c>
      <c r="B3322" t="s">
        <v>20</v>
      </c>
      <c r="C3322">
        <v>2</v>
      </c>
      <c r="D3322" t="s">
        <v>34</v>
      </c>
      <c r="H3322">
        <v>10</v>
      </c>
    </row>
    <row r="3323" spans="1:8" x14ac:dyDescent="0.45">
      <c r="A3323" t="s">
        <v>49</v>
      </c>
      <c r="B3323" t="s">
        <v>21</v>
      </c>
      <c r="C3323">
        <v>3</v>
      </c>
      <c r="D3323" t="s">
        <v>19</v>
      </c>
      <c r="E3323">
        <v>1290682</v>
      </c>
      <c r="F3323">
        <v>2562</v>
      </c>
      <c r="G3323">
        <v>711</v>
      </c>
    </row>
    <row r="3324" spans="1:8" x14ac:dyDescent="0.45">
      <c r="A3324" t="s">
        <v>49</v>
      </c>
      <c r="B3324" t="s">
        <v>21</v>
      </c>
      <c r="C3324">
        <v>3</v>
      </c>
      <c r="D3324" t="s">
        <v>27</v>
      </c>
      <c r="F3324">
        <v>1207</v>
      </c>
    </row>
    <row r="3325" spans="1:8" x14ac:dyDescent="0.45">
      <c r="A3325" t="s">
        <v>49</v>
      </c>
      <c r="B3325" t="s">
        <v>21</v>
      </c>
      <c r="C3325">
        <v>3</v>
      </c>
      <c r="D3325" t="s">
        <v>28</v>
      </c>
      <c r="F3325">
        <v>306</v>
      </c>
    </row>
    <row r="3326" spans="1:8" x14ac:dyDescent="0.45">
      <c r="A3326" t="s">
        <v>49</v>
      </c>
      <c r="B3326" t="s">
        <v>21</v>
      </c>
      <c r="C3326">
        <v>3</v>
      </c>
      <c r="D3326" t="s">
        <v>29</v>
      </c>
      <c r="F3326">
        <v>218</v>
      </c>
    </row>
    <row r="3327" spans="1:8" x14ac:dyDescent="0.45">
      <c r="A3327" t="s">
        <v>49</v>
      </c>
      <c r="B3327" t="s">
        <v>20</v>
      </c>
      <c r="C3327">
        <v>3</v>
      </c>
      <c r="D3327" t="s">
        <v>19</v>
      </c>
      <c r="E3327">
        <v>1192603</v>
      </c>
      <c r="F3327">
        <v>2387</v>
      </c>
      <c r="G3327">
        <v>684</v>
      </c>
    </row>
    <row r="3328" spans="1:8" x14ac:dyDescent="0.45">
      <c r="A3328" t="s">
        <v>49</v>
      </c>
      <c r="B3328" t="s">
        <v>20</v>
      </c>
      <c r="C3328">
        <v>3</v>
      </c>
      <c r="D3328" t="s">
        <v>27</v>
      </c>
      <c r="F3328">
        <v>1187</v>
      </c>
    </row>
    <row r="3329" spans="1:8" x14ac:dyDescent="0.45">
      <c r="A3329" t="s">
        <v>49</v>
      </c>
      <c r="B3329" t="s">
        <v>20</v>
      </c>
      <c r="C3329">
        <v>3</v>
      </c>
      <c r="D3329" t="s">
        <v>28</v>
      </c>
      <c r="F3329">
        <v>321</v>
      </c>
    </row>
    <row r="3330" spans="1:8" x14ac:dyDescent="0.45">
      <c r="A3330" t="s">
        <v>49</v>
      </c>
      <c r="B3330" t="s">
        <v>20</v>
      </c>
      <c r="C3330">
        <v>3</v>
      </c>
      <c r="D3330" t="s">
        <v>29</v>
      </c>
      <c r="F3330">
        <v>240</v>
      </c>
    </row>
    <row r="3331" spans="1:8" x14ac:dyDescent="0.45">
      <c r="A3331" t="s">
        <v>49</v>
      </c>
      <c r="B3331" t="s">
        <v>20</v>
      </c>
      <c r="C3331">
        <v>3</v>
      </c>
      <c r="D3331" t="s">
        <v>31</v>
      </c>
      <c r="H3331">
        <v>68</v>
      </c>
    </row>
    <row r="3332" spans="1:8" x14ac:dyDescent="0.45">
      <c r="A3332" t="s">
        <v>49</v>
      </c>
      <c r="B3332" t="s">
        <v>20</v>
      </c>
      <c r="C3332">
        <v>3</v>
      </c>
      <c r="D3332" t="s">
        <v>32</v>
      </c>
      <c r="H3332">
        <v>10</v>
      </c>
    </row>
    <row r="3333" spans="1:8" x14ac:dyDescent="0.45">
      <c r="A3333" t="s">
        <v>49</v>
      </c>
      <c r="B3333" t="s">
        <v>20</v>
      </c>
      <c r="C3333">
        <v>3</v>
      </c>
      <c r="D3333" t="s">
        <v>34</v>
      </c>
      <c r="H3333">
        <v>10</v>
      </c>
    </row>
    <row r="3334" spans="1:8" x14ac:dyDescent="0.45">
      <c r="A3334" t="s">
        <v>49</v>
      </c>
      <c r="B3334" t="s">
        <v>21</v>
      </c>
      <c r="C3334">
        <v>4</v>
      </c>
      <c r="D3334" t="s">
        <v>19</v>
      </c>
      <c r="E3334">
        <v>1573921</v>
      </c>
      <c r="F3334">
        <v>3154</v>
      </c>
      <c r="G3334">
        <v>804</v>
      </c>
    </row>
    <row r="3335" spans="1:8" x14ac:dyDescent="0.45">
      <c r="A3335" t="s">
        <v>49</v>
      </c>
      <c r="B3335" t="s">
        <v>21</v>
      </c>
      <c r="C3335">
        <v>4</v>
      </c>
      <c r="D3335" t="s">
        <v>27</v>
      </c>
      <c r="F3335">
        <v>1357</v>
      </c>
    </row>
    <row r="3336" spans="1:8" x14ac:dyDescent="0.45">
      <c r="A3336" t="s">
        <v>49</v>
      </c>
      <c r="B3336" t="s">
        <v>21</v>
      </c>
      <c r="C3336">
        <v>4</v>
      </c>
      <c r="D3336" t="s">
        <v>28</v>
      </c>
      <c r="F3336">
        <v>448</v>
      </c>
    </row>
    <row r="3337" spans="1:8" x14ac:dyDescent="0.45">
      <c r="A3337" t="s">
        <v>49</v>
      </c>
      <c r="B3337" t="s">
        <v>21</v>
      </c>
      <c r="C3337">
        <v>4</v>
      </c>
      <c r="D3337" t="s">
        <v>29</v>
      </c>
      <c r="F3337">
        <v>308</v>
      </c>
    </row>
    <row r="3338" spans="1:8" x14ac:dyDescent="0.45">
      <c r="A3338" t="s">
        <v>49</v>
      </c>
      <c r="B3338" t="s">
        <v>20</v>
      </c>
      <c r="C3338">
        <v>4</v>
      </c>
      <c r="D3338" t="s">
        <v>19</v>
      </c>
      <c r="E3338">
        <v>1804182</v>
      </c>
      <c r="F3338">
        <v>3195</v>
      </c>
    </row>
    <row r="3339" spans="1:8" x14ac:dyDescent="0.45">
      <c r="A3339" t="s">
        <v>49</v>
      </c>
      <c r="B3339" t="s">
        <v>20</v>
      </c>
      <c r="C3339">
        <v>4</v>
      </c>
      <c r="D3339" t="s">
        <v>27</v>
      </c>
      <c r="F3339">
        <v>1190</v>
      </c>
    </row>
    <row r="3340" spans="1:8" x14ac:dyDescent="0.45">
      <c r="A3340" t="s">
        <v>49</v>
      </c>
      <c r="B3340" t="s">
        <v>20</v>
      </c>
      <c r="C3340">
        <v>4</v>
      </c>
      <c r="D3340" t="s">
        <v>28</v>
      </c>
      <c r="F3340">
        <v>424</v>
      </c>
    </row>
    <row r="3341" spans="1:8" x14ac:dyDescent="0.45">
      <c r="A3341" t="s">
        <v>49</v>
      </c>
      <c r="B3341" t="s">
        <v>20</v>
      </c>
      <c r="C3341">
        <v>4</v>
      </c>
      <c r="D3341" t="s">
        <v>29</v>
      </c>
      <c r="F3341">
        <v>305</v>
      </c>
    </row>
    <row r="3342" spans="1:8" x14ac:dyDescent="0.45">
      <c r="A3342" t="s">
        <v>49</v>
      </c>
      <c r="B3342" t="s">
        <v>20</v>
      </c>
      <c r="C3342">
        <v>4</v>
      </c>
      <c r="D3342" t="s">
        <v>31</v>
      </c>
      <c r="H3342">
        <v>42</v>
      </c>
    </row>
    <row r="3343" spans="1:8" x14ac:dyDescent="0.45">
      <c r="A3343" t="s">
        <v>49</v>
      </c>
      <c r="B3343" t="s">
        <v>20</v>
      </c>
      <c r="C3343">
        <v>4</v>
      </c>
      <c r="D3343" t="s">
        <v>32</v>
      </c>
      <c r="H3343">
        <v>9</v>
      </c>
    </row>
    <row r="3344" spans="1:8" x14ac:dyDescent="0.45">
      <c r="A3344" t="s">
        <v>49</v>
      </c>
      <c r="B3344" t="s">
        <v>20</v>
      </c>
      <c r="C3344">
        <v>4</v>
      </c>
      <c r="D3344" t="s">
        <v>34</v>
      </c>
      <c r="H3344">
        <v>11</v>
      </c>
    </row>
    <row r="3345" spans="1:8" x14ac:dyDescent="0.45">
      <c r="A3345" t="s">
        <v>49</v>
      </c>
      <c r="B3345" t="s">
        <v>21</v>
      </c>
      <c r="C3345">
        <v>5</v>
      </c>
      <c r="D3345" t="s">
        <v>19</v>
      </c>
      <c r="E3345">
        <v>1149879</v>
      </c>
      <c r="F3345">
        <v>2254</v>
      </c>
      <c r="G3345">
        <v>594</v>
      </c>
    </row>
    <row r="3346" spans="1:8" x14ac:dyDescent="0.45">
      <c r="A3346" t="s">
        <v>49</v>
      </c>
      <c r="B3346" t="s">
        <v>21</v>
      </c>
      <c r="C3346">
        <v>5</v>
      </c>
      <c r="D3346" t="s">
        <v>27</v>
      </c>
      <c r="F3346">
        <v>1023</v>
      </c>
    </row>
    <row r="3347" spans="1:8" x14ac:dyDescent="0.45">
      <c r="A3347" t="s">
        <v>49</v>
      </c>
      <c r="B3347" t="s">
        <v>21</v>
      </c>
      <c r="C3347">
        <v>5</v>
      </c>
      <c r="D3347" t="s">
        <v>28</v>
      </c>
      <c r="F3347">
        <v>312</v>
      </c>
    </row>
    <row r="3348" spans="1:8" x14ac:dyDescent="0.45">
      <c r="A3348" t="s">
        <v>49</v>
      </c>
      <c r="B3348" t="s">
        <v>21</v>
      </c>
      <c r="C3348">
        <v>5</v>
      </c>
      <c r="D3348" t="s">
        <v>29</v>
      </c>
      <c r="F3348">
        <v>211</v>
      </c>
    </row>
    <row r="3349" spans="1:8" x14ac:dyDescent="0.45">
      <c r="A3349" t="s">
        <v>49</v>
      </c>
      <c r="B3349" t="s">
        <v>20</v>
      </c>
      <c r="C3349">
        <v>5</v>
      </c>
      <c r="D3349" t="s">
        <v>19</v>
      </c>
      <c r="E3349">
        <v>1187683</v>
      </c>
      <c r="F3349">
        <v>2365</v>
      </c>
      <c r="G3349">
        <v>638</v>
      </c>
    </row>
    <row r="3350" spans="1:8" x14ac:dyDescent="0.45">
      <c r="A3350" t="s">
        <v>49</v>
      </c>
      <c r="B3350" t="s">
        <v>20</v>
      </c>
      <c r="C3350">
        <v>5</v>
      </c>
      <c r="D3350" t="s">
        <v>27</v>
      </c>
      <c r="F3350">
        <v>1041</v>
      </c>
    </row>
    <row r="3351" spans="1:8" x14ac:dyDescent="0.45">
      <c r="A3351" t="s">
        <v>49</v>
      </c>
      <c r="B3351" t="s">
        <v>20</v>
      </c>
      <c r="C3351">
        <v>5</v>
      </c>
      <c r="D3351" t="s">
        <v>28</v>
      </c>
      <c r="F3351">
        <v>357</v>
      </c>
    </row>
    <row r="3352" spans="1:8" x14ac:dyDescent="0.45">
      <c r="A3352" t="s">
        <v>49</v>
      </c>
      <c r="B3352" t="s">
        <v>20</v>
      </c>
      <c r="C3352">
        <v>5</v>
      </c>
      <c r="D3352" t="s">
        <v>29</v>
      </c>
      <c r="F3352">
        <v>266</v>
      </c>
    </row>
    <row r="3353" spans="1:8" x14ac:dyDescent="0.45">
      <c r="A3353" t="s">
        <v>49</v>
      </c>
      <c r="B3353" t="s">
        <v>20</v>
      </c>
      <c r="C3353">
        <v>5</v>
      </c>
      <c r="D3353" t="s">
        <v>31</v>
      </c>
      <c r="H3353">
        <v>41</v>
      </c>
    </row>
    <row r="3354" spans="1:8" x14ac:dyDescent="0.45">
      <c r="A3354" t="s">
        <v>49</v>
      </c>
      <c r="B3354" t="s">
        <v>20</v>
      </c>
      <c r="C3354">
        <v>5</v>
      </c>
      <c r="D3354" t="s">
        <v>32</v>
      </c>
      <c r="H3354">
        <v>8</v>
      </c>
    </row>
    <row r="3355" spans="1:8" x14ac:dyDescent="0.45">
      <c r="A3355" t="s">
        <v>49</v>
      </c>
      <c r="B3355" t="s">
        <v>20</v>
      </c>
      <c r="C3355">
        <v>5</v>
      </c>
      <c r="D3355" t="s">
        <v>34</v>
      </c>
      <c r="H3355">
        <v>12</v>
      </c>
    </row>
    <row r="3356" spans="1:8" x14ac:dyDescent="0.45">
      <c r="A3356" t="s">
        <v>49</v>
      </c>
      <c r="B3356" t="s">
        <v>21</v>
      </c>
      <c r="C3356">
        <v>6</v>
      </c>
      <c r="D3356" t="s">
        <v>19</v>
      </c>
      <c r="E3356">
        <v>1144284</v>
      </c>
      <c r="F3356">
        <v>2418</v>
      </c>
      <c r="G3356">
        <v>659</v>
      </c>
    </row>
    <row r="3357" spans="1:8" x14ac:dyDescent="0.45">
      <c r="A3357" t="s">
        <v>49</v>
      </c>
      <c r="B3357" t="s">
        <v>21</v>
      </c>
      <c r="C3357">
        <v>6</v>
      </c>
      <c r="D3357" t="s">
        <v>27</v>
      </c>
      <c r="F3357">
        <v>1136</v>
      </c>
    </row>
    <row r="3358" spans="1:8" x14ac:dyDescent="0.45">
      <c r="A3358" t="s">
        <v>49</v>
      </c>
      <c r="B3358" t="s">
        <v>21</v>
      </c>
      <c r="C3358">
        <v>6</v>
      </c>
      <c r="D3358" t="s">
        <v>28</v>
      </c>
      <c r="F3358">
        <v>382</v>
      </c>
    </row>
    <row r="3359" spans="1:8" x14ac:dyDescent="0.45">
      <c r="A3359" t="s">
        <v>49</v>
      </c>
      <c r="B3359" t="s">
        <v>21</v>
      </c>
      <c r="C3359">
        <v>6</v>
      </c>
      <c r="D3359" t="s">
        <v>29</v>
      </c>
      <c r="F3359">
        <v>267</v>
      </c>
    </row>
    <row r="3360" spans="1:8" x14ac:dyDescent="0.45">
      <c r="A3360" t="s">
        <v>49</v>
      </c>
      <c r="B3360" t="s">
        <v>20</v>
      </c>
      <c r="C3360">
        <v>6</v>
      </c>
      <c r="D3360" t="s">
        <v>19</v>
      </c>
      <c r="E3360">
        <v>953593</v>
      </c>
      <c r="F3360">
        <v>2226</v>
      </c>
      <c r="G3360">
        <v>599</v>
      </c>
    </row>
    <row r="3361" spans="1:8" x14ac:dyDescent="0.45">
      <c r="A3361" t="s">
        <v>49</v>
      </c>
      <c r="B3361" t="s">
        <v>20</v>
      </c>
      <c r="C3361">
        <v>6</v>
      </c>
      <c r="D3361" t="s">
        <v>27</v>
      </c>
      <c r="F3361">
        <v>1253</v>
      </c>
    </row>
    <row r="3362" spans="1:8" x14ac:dyDescent="0.45">
      <c r="A3362" t="s">
        <v>49</v>
      </c>
      <c r="B3362" t="s">
        <v>20</v>
      </c>
      <c r="C3362">
        <v>6</v>
      </c>
      <c r="D3362" t="s">
        <v>28</v>
      </c>
      <c r="F3362">
        <v>321</v>
      </c>
    </row>
    <row r="3363" spans="1:8" x14ac:dyDescent="0.45">
      <c r="A3363" t="s">
        <v>49</v>
      </c>
      <c r="B3363" t="s">
        <v>20</v>
      </c>
      <c r="C3363">
        <v>6</v>
      </c>
      <c r="D3363" t="s">
        <v>29</v>
      </c>
      <c r="F3363">
        <v>207</v>
      </c>
    </row>
    <row r="3364" spans="1:8" x14ac:dyDescent="0.45">
      <c r="A3364" t="s">
        <v>49</v>
      </c>
      <c r="B3364" t="s">
        <v>20</v>
      </c>
      <c r="C3364">
        <v>6</v>
      </c>
      <c r="D3364" t="s">
        <v>31</v>
      </c>
      <c r="H3364">
        <v>2</v>
      </c>
    </row>
    <row r="3365" spans="1:8" x14ac:dyDescent="0.45">
      <c r="A3365" t="s">
        <v>49</v>
      </c>
      <c r="B3365" t="s">
        <v>20</v>
      </c>
      <c r="C3365">
        <v>6</v>
      </c>
      <c r="D3365" t="s">
        <v>32</v>
      </c>
      <c r="H3365">
        <v>7</v>
      </c>
    </row>
    <row r="3366" spans="1:8" x14ac:dyDescent="0.45">
      <c r="A3366" t="s">
        <v>49</v>
      </c>
      <c r="B3366" t="s">
        <v>20</v>
      </c>
      <c r="C3366">
        <v>6</v>
      </c>
      <c r="D3366" t="s">
        <v>34</v>
      </c>
      <c r="H3366">
        <v>8</v>
      </c>
    </row>
    <row r="3367" spans="1:8" x14ac:dyDescent="0.45">
      <c r="A3367" t="s">
        <v>49</v>
      </c>
      <c r="B3367" t="s">
        <v>21</v>
      </c>
      <c r="C3367">
        <v>7</v>
      </c>
      <c r="D3367" t="s">
        <v>19</v>
      </c>
      <c r="E3367">
        <v>867308</v>
      </c>
      <c r="F3367">
        <v>2160</v>
      </c>
      <c r="G3367">
        <v>627</v>
      </c>
    </row>
    <row r="3368" spans="1:8" x14ac:dyDescent="0.45">
      <c r="A3368" t="s">
        <v>49</v>
      </c>
      <c r="B3368" t="s">
        <v>21</v>
      </c>
      <c r="C3368">
        <v>7</v>
      </c>
      <c r="D3368" t="s">
        <v>27</v>
      </c>
      <c r="F3368">
        <v>1330</v>
      </c>
    </row>
    <row r="3369" spans="1:8" x14ac:dyDescent="0.45">
      <c r="A3369" t="s">
        <v>49</v>
      </c>
      <c r="B3369" t="s">
        <v>21</v>
      </c>
      <c r="C3369">
        <v>7</v>
      </c>
      <c r="D3369" t="s">
        <v>28</v>
      </c>
      <c r="F3369">
        <v>298</v>
      </c>
    </row>
    <row r="3370" spans="1:8" x14ac:dyDescent="0.45">
      <c r="A3370" t="s">
        <v>49</v>
      </c>
      <c r="B3370" t="s">
        <v>21</v>
      </c>
      <c r="C3370">
        <v>7</v>
      </c>
      <c r="D3370" t="s">
        <v>29</v>
      </c>
      <c r="F3370">
        <v>170</v>
      </c>
    </row>
    <row r="3371" spans="1:8" x14ac:dyDescent="0.45">
      <c r="A3371" t="s">
        <v>49</v>
      </c>
      <c r="B3371" t="s">
        <v>20</v>
      </c>
      <c r="C3371">
        <v>7</v>
      </c>
      <c r="D3371" t="s">
        <v>19</v>
      </c>
      <c r="E3371">
        <v>1018404</v>
      </c>
      <c r="F3371">
        <v>2596</v>
      </c>
      <c r="G3371">
        <v>697</v>
      </c>
    </row>
    <row r="3372" spans="1:8" x14ac:dyDescent="0.45">
      <c r="A3372" t="s">
        <v>49</v>
      </c>
      <c r="B3372" t="s">
        <v>20</v>
      </c>
      <c r="C3372">
        <v>7</v>
      </c>
      <c r="D3372" t="s">
        <v>27</v>
      </c>
      <c r="F3372">
        <v>1464</v>
      </c>
    </row>
    <row r="3373" spans="1:8" x14ac:dyDescent="0.45">
      <c r="A3373" t="s">
        <v>49</v>
      </c>
      <c r="B3373" t="s">
        <v>20</v>
      </c>
      <c r="C3373">
        <v>7</v>
      </c>
      <c r="D3373" t="s">
        <v>28</v>
      </c>
      <c r="F3373">
        <v>394</v>
      </c>
    </row>
    <row r="3374" spans="1:8" x14ac:dyDescent="0.45">
      <c r="A3374" t="s">
        <v>49</v>
      </c>
      <c r="B3374" t="s">
        <v>20</v>
      </c>
      <c r="C3374">
        <v>7</v>
      </c>
      <c r="D3374" t="s">
        <v>29</v>
      </c>
      <c r="F3374">
        <v>215</v>
      </c>
    </row>
    <row r="3375" spans="1:8" x14ac:dyDescent="0.45">
      <c r="A3375" t="s">
        <v>49</v>
      </c>
      <c r="B3375" t="s">
        <v>20</v>
      </c>
      <c r="C3375">
        <v>7</v>
      </c>
      <c r="D3375" t="s">
        <v>31</v>
      </c>
      <c r="H3375">
        <v>155</v>
      </c>
    </row>
    <row r="3376" spans="1:8" x14ac:dyDescent="0.45">
      <c r="A3376" t="s">
        <v>49</v>
      </c>
      <c r="B3376" t="s">
        <v>20</v>
      </c>
      <c r="C3376">
        <v>7</v>
      </c>
      <c r="D3376" t="s">
        <v>32</v>
      </c>
      <c r="H3376">
        <v>9</v>
      </c>
    </row>
    <row r="3377" spans="1:8" x14ac:dyDescent="0.45">
      <c r="A3377" t="s">
        <v>49</v>
      </c>
      <c r="B3377" t="s">
        <v>20</v>
      </c>
      <c r="C3377">
        <v>7</v>
      </c>
      <c r="D3377" t="s">
        <v>34</v>
      </c>
      <c r="H3377">
        <v>11</v>
      </c>
    </row>
    <row r="3378" spans="1:8" x14ac:dyDescent="0.45">
      <c r="A3378" t="s">
        <v>49</v>
      </c>
      <c r="B3378" t="s">
        <v>21</v>
      </c>
      <c r="C3378">
        <v>8</v>
      </c>
      <c r="D3378" t="s">
        <v>19</v>
      </c>
      <c r="E3378">
        <v>700432</v>
      </c>
      <c r="F3378">
        <v>1670</v>
      </c>
      <c r="G3378">
        <v>473</v>
      </c>
    </row>
    <row r="3379" spans="1:8" x14ac:dyDescent="0.45">
      <c r="A3379" t="s">
        <v>49</v>
      </c>
      <c r="B3379" t="s">
        <v>21</v>
      </c>
      <c r="C3379">
        <v>8</v>
      </c>
      <c r="D3379" t="s">
        <v>27</v>
      </c>
      <c r="F3379">
        <v>914</v>
      </c>
      <c r="G3379">
        <v>918</v>
      </c>
    </row>
    <row r="3380" spans="1:8" x14ac:dyDescent="0.45">
      <c r="A3380" t="s">
        <v>49</v>
      </c>
      <c r="B3380" t="s">
        <v>21</v>
      </c>
      <c r="C3380">
        <v>8</v>
      </c>
      <c r="D3380" t="s">
        <v>28</v>
      </c>
      <c r="F3380">
        <v>265</v>
      </c>
      <c r="G3380">
        <v>948</v>
      </c>
    </row>
    <row r="3381" spans="1:8" x14ac:dyDescent="0.45">
      <c r="A3381" t="s">
        <v>49</v>
      </c>
      <c r="B3381" t="s">
        <v>21</v>
      </c>
      <c r="C3381">
        <v>8</v>
      </c>
      <c r="D3381" t="s">
        <v>29</v>
      </c>
      <c r="F3381">
        <v>131</v>
      </c>
      <c r="G3381">
        <v>746</v>
      </c>
    </row>
    <row r="3382" spans="1:8" x14ac:dyDescent="0.45">
      <c r="A3382" t="s">
        <v>49</v>
      </c>
      <c r="B3382" t="s">
        <v>20</v>
      </c>
      <c r="C3382">
        <v>8</v>
      </c>
      <c r="D3382" t="s">
        <v>19</v>
      </c>
      <c r="E3382">
        <v>768314</v>
      </c>
      <c r="F3382">
        <v>1665</v>
      </c>
      <c r="G3382">
        <v>476</v>
      </c>
    </row>
    <row r="3383" spans="1:8" x14ac:dyDescent="0.45">
      <c r="A3383" t="s">
        <v>49</v>
      </c>
      <c r="B3383" t="s">
        <v>20</v>
      </c>
      <c r="C3383">
        <v>8</v>
      </c>
      <c r="D3383" t="s">
        <v>27</v>
      </c>
      <c r="F3383">
        <v>909</v>
      </c>
      <c r="G3383">
        <v>1310</v>
      </c>
    </row>
    <row r="3384" spans="1:8" x14ac:dyDescent="0.45">
      <c r="A3384" t="s">
        <v>49</v>
      </c>
      <c r="B3384" t="s">
        <v>20</v>
      </c>
      <c r="C3384">
        <v>8</v>
      </c>
      <c r="D3384" t="s">
        <v>28</v>
      </c>
      <c r="F3384">
        <v>268</v>
      </c>
      <c r="G3384">
        <v>891</v>
      </c>
    </row>
    <row r="3385" spans="1:8" x14ac:dyDescent="0.45">
      <c r="A3385" t="s">
        <v>49</v>
      </c>
      <c r="B3385" t="s">
        <v>20</v>
      </c>
      <c r="C3385">
        <v>8</v>
      </c>
      <c r="D3385" t="s">
        <v>29</v>
      </c>
      <c r="F3385">
        <v>131</v>
      </c>
      <c r="G3385">
        <v>847</v>
      </c>
    </row>
    <row r="3386" spans="1:8" x14ac:dyDescent="0.45">
      <c r="A3386" t="s">
        <v>49</v>
      </c>
      <c r="B3386" t="s">
        <v>20</v>
      </c>
      <c r="C3386">
        <v>8</v>
      </c>
      <c r="D3386" t="s">
        <v>31</v>
      </c>
      <c r="H3386">
        <v>13</v>
      </c>
    </row>
    <row r="3387" spans="1:8" x14ac:dyDescent="0.45">
      <c r="A3387" t="s">
        <v>49</v>
      </c>
      <c r="B3387" t="s">
        <v>20</v>
      </c>
      <c r="C3387">
        <v>8</v>
      </c>
      <c r="D3387" t="s">
        <v>32</v>
      </c>
      <c r="H3387">
        <v>8</v>
      </c>
    </row>
    <row r="3388" spans="1:8" x14ac:dyDescent="0.45">
      <c r="A3388" t="s">
        <v>49</v>
      </c>
      <c r="B3388" t="s">
        <v>20</v>
      </c>
      <c r="C3388">
        <v>8</v>
      </c>
      <c r="D3388" t="s">
        <v>34</v>
      </c>
      <c r="H3388">
        <v>2</v>
      </c>
    </row>
    <row r="3389" spans="1:8" x14ac:dyDescent="0.45">
      <c r="A3389" t="s">
        <v>49</v>
      </c>
      <c r="B3389" t="s">
        <v>21</v>
      </c>
      <c r="C3389">
        <v>9</v>
      </c>
      <c r="D3389" t="s">
        <v>19</v>
      </c>
      <c r="E3389">
        <v>629146</v>
      </c>
      <c r="F3389">
        <v>1811</v>
      </c>
      <c r="G3389">
        <v>509</v>
      </c>
    </row>
    <row r="3390" spans="1:8" x14ac:dyDescent="0.45">
      <c r="A3390" t="s">
        <v>49</v>
      </c>
      <c r="B3390" t="s">
        <v>21</v>
      </c>
      <c r="C3390">
        <v>9</v>
      </c>
      <c r="D3390" t="s">
        <v>27</v>
      </c>
      <c r="F3390">
        <v>1109</v>
      </c>
    </row>
    <row r="3391" spans="1:8" x14ac:dyDescent="0.45">
      <c r="A3391" t="s">
        <v>49</v>
      </c>
      <c r="B3391" t="s">
        <v>21</v>
      </c>
      <c r="C3391">
        <v>9</v>
      </c>
      <c r="D3391" t="s">
        <v>28</v>
      </c>
      <c r="F3391">
        <v>270</v>
      </c>
    </row>
    <row r="3392" spans="1:8" x14ac:dyDescent="0.45">
      <c r="A3392" t="s">
        <v>49</v>
      </c>
      <c r="B3392" t="s">
        <v>21</v>
      </c>
      <c r="C3392">
        <v>9</v>
      </c>
      <c r="D3392" t="s">
        <v>29</v>
      </c>
      <c r="F3392">
        <v>136</v>
      </c>
    </row>
    <row r="3393" spans="1:8" x14ac:dyDescent="0.45">
      <c r="A3393" t="s">
        <v>49</v>
      </c>
      <c r="B3393" t="s">
        <v>20</v>
      </c>
      <c r="C3393">
        <v>9</v>
      </c>
      <c r="D3393" t="s">
        <v>19</v>
      </c>
      <c r="E3393">
        <v>773738</v>
      </c>
      <c r="F3393">
        <v>2024</v>
      </c>
      <c r="G3393">
        <v>554</v>
      </c>
    </row>
    <row r="3394" spans="1:8" x14ac:dyDescent="0.45">
      <c r="A3394" t="s">
        <v>49</v>
      </c>
      <c r="B3394" t="s">
        <v>20</v>
      </c>
      <c r="C3394">
        <v>9</v>
      </c>
      <c r="D3394" t="s">
        <v>27</v>
      </c>
      <c r="F3394">
        <v>1261</v>
      </c>
    </row>
    <row r="3395" spans="1:8" x14ac:dyDescent="0.45">
      <c r="A3395" t="s">
        <v>49</v>
      </c>
      <c r="B3395" t="s">
        <v>20</v>
      </c>
      <c r="C3395">
        <v>9</v>
      </c>
      <c r="D3395" t="s">
        <v>28</v>
      </c>
      <c r="F3395">
        <v>290</v>
      </c>
    </row>
    <row r="3396" spans="1:8" x14ac:dyDescent="0.45">
      <c r="A3396" t="s">
        <v>49</v>
      </c>
      <c r="B3396" t="s">
        <v>20</v>
      </c>
      <c r="C3396">
        <v>9</v>
      </c>
      <c r="D3396" t="s">
        <v>29</v>
      </c>
      <c r="F3396">
        <v>127</v>
      </c>
    </row>
    <row r="3397" spans="1:8" x14ac:dyDescent="0.45">
      <c r="A3397" t="s">
        <v>49</v>
      </c>
      <c r="B3397" t="s">
        <v>20</v>
      </c>
      <c r="C3397">
        <v>9</v>
      </c>
      <c r="D3397" t="s">
        <v>31</v>
      </c>
      <c r="H3397">
        <v>129</v>
      </c>
    </row>
    <row r="3398" spans="1:8" x14ac:dyDescent="0.45">
      <c r="A3398" t="s">
        <v>49</v>
      </c>
      <c r="B3398" t="s">
        <v>20</v>
      </c>
      <c r="C3398">
        <v>9</v>
      </c>
      <c r="D3398" t="s">
        <v>32</v>
      </c>
      <c r="H3398">
        <v>13</v>
      </c>
    </row>
    <row r="3399" spans="1:8" x14ac:dyDescent="0.45">
      <c r="A3399" t="s">
        <v>49</v>
      </c>
      <c r="B3399" t="s">
        <v>20</v>
      </c>
      <c r="C3399">
        <v>9</v>
      </c>
      <c r="D3399" t="s">
        <v>34</v>
      </c>
      <c r="H3399">
        <v>3</v>
      </c>
    </row>
    <row r="3400" spans="1:8" x14ac:dyDescent="0.45">
      <c r="A3400" t="s">
        <v>49</v>
      </c>
      <c r="B3400" t="s">
        <v>21</v>
      </c>
      <c r="C3400">
        <v>10</v>
      </c>
      <c r="D3400" t="s">
        <v>19</v>
      </c>
      <c r="E3400">
        <v>1043315</v>
      </c>
      <c r="F3400">
        <v>2654</v>
      </c>
      <c r="G3400">
        <v>657</v>
      </c>
    </row>
    <row r="3401" spans="1:8" x14ac:dyDescent="0.45">
      <c r="A3401" t="s">
        <v>49</v>
      </c>
      <c r="B3401" t="s">
        <v>21</v>
      </c>
      <c r="C3401">
        <v>10</v>
      </c>
      <c r="D3401" t="s">
        <v>27</v>
      </c>
      <c r="F3401">
        <v>1384</v>
      </c>
    </row>
    <row r="3402" spans="1:8" x14ac:dyDescent="0.45">
      <c r="A3402" t="s">
        <v>49</v>
      </c>
      <c r="B3402" t="s">
        <v>21</v>
      </c>
      <c r="C3402">
        <v>10</v>
      </c>
      <c r="D3402" t="s">
        <v>28</v>
      </c>
      <c r="F3402">
        <v>418</v>
      </c>
    </row>
    <row r="3403" spans="1:8" x14ac:dyDescent="0.45">
      <c r="A3403" t="s">
        <v>49</v>
      </c>
      <c r="B3403" t="s">
        <v>21</v>
      </c>
      <c r="C3403">
        <v>10</v>
      </c>
      <c r="D3403" t="s">
        <v>29</v>
      </c>
      <c r="F3403">
        <v>268</v>
      </c>
    </row>
    <row r="3404" spans="1:8" x14ac:dyDescent="0.45">
      <c r="A3404" t="s">
        <v>49</v>
      </c>
      <c r="B3404" t="s">
        <v>20</v>
      </c>
      <c r="C3404">
        <v>10</v>
      </c>
      <c r="D3404" t="s">
        <v>19</v>
      </c>
      <c r="E3404">
        <v>1000837</v>
      </c>
      <c r="F3404">
        <v>2372</v>
      </c>
      <c r="G3404">
        <v>663</v>
      </c>
    </row>
    <row r="3405" spans="1:8" x14ac:dyDescent="0.45">
      <c r="A3405" t="s">
        <v>49</v>
      </c>
      <c r="B3405" t="s">
        <v>20</v>
      </c>
      <c r="C3405">
        <v>10</v>
      </c>
      <c r="D3405" t="s">
        <v>27</v>
      </c>
      <c r="F3405">
        <v>1250</v>
      </c>
    </row>
    <row r="3406" spans="1:8" x14ac:dyDescent="0.45">
      <c r="A3406" t="s">
        <v>49</v>
      </c>
      <c r="B3406" t="s">
        <v>20</v>
      </c>
      <c r="C3406">
        <v>10</v>
      </c>
      <c r="D3406" t="s">
        <v>28</v>
      </c>
      <c r="F3406">
        <v>356</v>
      </c>
    </row>
    <row r="3407" spans="1:8" x14ac:dyDescent="0.45">
      <c r="A3407" t="s">
        <v>49</v>
      </c>
      <c r="B3407" t="s">
        <v>20</v>
      </c>
      <c r="C3407">
        <v>10</v>
      </c>
      <c r="D3407" t="s">
        <v>29</v>
      </c>
      <c r="F3407">
        <v>224</v>
      </c>
    </row>
    <row r="3408" spans="1:8" x14ac:dyDescent="0.45">
      <c r="A3408" t="s">
        <v>49</v>
      </c>
      <c r="B3408" t="s">
        <v>20</v>
      </c>
      <c r="C3408">
        <v>10</v>
      </c>
      <c r="D3408" t="s">
        <v>31</v>
      </c>
      <c r="H3408">
        <v>108</v>
      </c>
    </row>
    <row r="3409" spans="1:8" x14ac:dyDescent="0.45">
      <c r="A3409" t="s">
        <v>49</v>
      </c>
      <c r="B3409" t="s">
        <v>20</v>
      </c>
      <c r="C3409">
        <v>10</v>
      </c>
      <c r="D3409" t="s">
        <v>32</v>
      </c>
      <c r="H3409">
        <v>13</v>
      </c>
    </row>
    <row r="3410" spans="1:8" x14ac:dyDescent="0.45">
      <c r="A3410" t="s">
        <v>49</v>
      </c>
      <c r="B3410" t="s">
        <v>20</v>
      </c>
      <c r="C3410">
        <v>10</v>
      </c>
      <c r="D3410" t="s">
        <v>34</v>
      </c>
      <c r="H3410">
        <v>5</v>
      </c>
    </row>
    <row r="3411" spans="1:8" x14ac:dyDescent="0.45">
      <c r="A3411" t="s">
        <v>49</v>
      </c>
      <c r="B3411" t="s">
        <v>21</v>
      </c>
      <c r="C3411">
        <v>11</v>
      </c>
      <c r="D3411" t="s">
        <v>19</v>
      </c>
      <c r="E3411">
        <v>861275</v>
      </c>
      <c r="F3411">
        <v>2067</v>
      </c>
      <c r="G3411">
        <v>587</v>
      </c>
    </row>
    <row r="3412" spans="1:8" x14ac:dyDescent="0.45">
      <c r="A3412" t="s">
        <v>49</v>
      </c>
      <c r="B3412" t="s">
        <v>21</v>
      </c>
      <c r="C3412">
        <v>11</v>
      </c>
      <c r="D3412" t="s">
        <v>27</v>
      </c>
      <c r="F3412">
        <v>1204</v>
      </c>
    </row>
    <row r="3413" spans="1:8" x14ac:dyDescent="0.45">
      <c r="A3413" t="s">
        <v>49</v>
      </c>
      <c r="B3413" t="s">
        <v>21</v>
      </c>
      <c r="C3413">
        <v>11</v>
      </c>
      <c r="D3413" t="s">
        <v>28</v>
      </c>
      <c r="F3413">
        <v>282</v>
      </c>
    </row>
    <row r="3414" spans="1:8" x14ac:dyDescent="0.45">
      <c r="A3414" t="s">
        <v>49</v>
      </c>
      <c r="B3414" t="s">
        <v>21</v>
      </c>
      <c r="C3414">
        <v>11</v>
      </c>
      <c r="D3414" t="s">
        <v>29</v>
      </c>
      <c r="F3414">
        <v>174</v>
      </c>
    </row>
    <row r="3415" spans="1:8" x14ac:dyDescent="0.45">
      <c r="A3415" t="s">
        <v>49</v>
      </c>
      <c r="B3415" t="s">
        <v>20</v>
      </c>
      <c r="C3415">
        <v>11</v>
      </c>
      <c r="D3415" t="s">
        <v>19</v>
      </c>
      <c r="E3415">
        <v>861618</v>
      </c>
      <c r="F3415">
        <v>2064</v>
      </c>
      <c r="G3415">
        <v>593</v>
      </c>
    </row>
    <row r="3416" spans="1:8" x14ac:dyDescent="0.45">
      <c r="A3416" t="s">
        <v>49</v>
      </c>
      <c r="B3416" t="s">
        <v>20</v>
      </c>
      <c r="C3416">
        <v>11</v>
      </c>
      <c r="D3416" t="s">
        <v>27</v>
      </c>
      <c r="F3416">
        <v>1047</v>
      </c>
    </row>
    <row r="3417" spans="1:8" x14ac:dyDescent="0.45">
      <c r="A3417" t="s">
        <v>49</v>
      </c>
      <c r="B3417" t="s">
        <v>20</v>
      </c>
      <c r="C3417">
        <v>11</v>
      </c>
      <c r="D3417" t="s">
        <v>28</v>
      </c>
      <c r="F3417">
        <v>336</v>
      </c>
    </row>
    <row r="3418" spans="1:8" x14ac:dyDescent="0.45">
      <c r="A3418" t="s">
        <v>49</v>
      </c>
      <c r="B3418" t="s">
        <v>20</v>
      </c>
      <c r="C3418">
        <v>11</v>
      </c>
      <c r="D3418" t="s">
        <v>29</v>
      </c>
      <c r="F3418">
        <v>221</v>
      </c>
    </row>
    <row r="3419" spans="1:8" x14ac:dyDescent="0.45">
      <c r="A3419" t="s">
        <v>49</v>
      </c>
      <c r="B3419" t="s">
        <v>20</v>
      </c>
      <c r="C3419">
        <v>11</v>
      </c>
      <c r="D3419" t="s">
        <v>31</v>
      </c>
      <c r="H3419">
        <v>159</v>
      </c>
    </row>
    <row r="3420" spans="1:8" x14ac:dyDescent="0.45">
      <c r="A3420" t="s">
        <v>49</v>
      </c>
      <c r="B3420" t="s">
        <v>20</v>
      </c>
      <c r="C3420">
        <v>11</v>
      </c>
      <c r="D3420" t="s">
        <v>32</v>
      </c>
      <c r="H3420">
        <v>5</v>
      </c>
    </row>
    <row r="3421" spans="1:8" x14ac:dyDescent="0.45">
      <c r="A3421" t="s">
        <v>49</v>
      </c>
      <c r="B3421" t="s">
        <v>20</v>
      </c>
      <c r="C3421">
        <v>11</v>
      </c>
      <c r="D3421" t="s">
        <v>34</v>
      </c>
      <c r="H3421">
        <v>6</v>
      </c>
    </row>
    <row r="3422" spans="1:8" x14ac:dyDescent="0.45">
      <c r="A3422" t="s">
        <v>49</v>
      </c>
      <c r="B3422" t="s">
        <v>21</v>
      </c>
      <c r="C3422">
        <v>12</v>
      </c>
      <c r="D3422" t="s">
        <v>19</v>
      </c>
      <c r="E3422">
        <v>964399</v>
      </c>
      <c r="F3422">
        <v>2342</v>
      </c>
      <c r="G3422">
        <v>621</v>
      </c>
    </row>
    <row r="3423" spans="1:8" x14ac:dyDescent="0.45">
      <c r="A3423" t="s">
        <v>49</v>
      </c>
      <c r="B3423" t="s">
        <v>21</v>
      </c>
      <c r="C3423">
        <v>12</v>
      </c>
      <c r="D3423" t="s">
        <v>27</v>
      </c>
      <c r="F3423">
        <v>1228</v>
      </c>
    </row>
    <row r="3424" spans="1:8" x14ac:dyDescent="0.45">
      <c r="A3424" t="s">
        <v>49</v>
      </c>
      <c r="B3424" t="s">
        <v>21</v>
      </c>
      <c r="C3424">
        <v>12</v>
      </c>
      <c r="D3424" t="s">
        <v>28</v>
      </c>
      <c r="F3424">
        <v>354</v>
      </c>
    </row>
    <row r="3425" spans="1:8" x14ac:dyDescent="0.45">
      <c r="A3425" t="s">
        <v>49</v>
      </c>
      <c r="B3425" t="s">
        <v>21</v>
      </c>
      <c r="C3425">
        <v>12</v>
      </c>
      <c r="D3425" t="s">
        <v>29</v>
      </c>
      <c r="F3425">
        <v>247</v>
      </c>
    </row>
    <row r="3426" spans="1:8" x14ac:dyDescent="0.45">
      <c r="A3426" t="s">
        <v>49</v>
      </c>
      <c r="B3426" t="s">
        <v>20</v>
      </c>
      <c r="C3426">
        <v>12</v>
      </c>
      <c r="D3426" t="s">
        <v>19</v>
      </c>
      <c r="E3426">
        <v>929037</v>
      </c>
      <c r="F3426">
        <v>2258</v>
      </c>
      <c r="G3426">
        <v>619</v>
      </c>
    </row>
    <row r="3427" spans="1:8" x14ac:dyDescent="0.45">
      <c r="A3427" t="s">
        <v>49</v>
      </c>
      <c r="B3427" t="s">
        <v>20</v>
      </c>
      <c r="C3427">
        <v>12</v>
      </c>
      <c r="D3427" t="s">
        <v>27</v>
      </c>
      <c r="F3427">
        <v>1190</v>
      </c>
    </row>
    <row r="3428" spans="1:8" x14ac:dyDescent="0.45">
      <c r="A3428" t="s">
        <v>49</v>
      </c>
      <c r="B3428" t="s">
        <v>20</v>
      </c>
      <c r="C3428">
        <v>12</v>
      </c>
      <c r="D3428" t="s">
        <v>28</v>
      </c>
      <c r="F3428">
        <v>338</v>
      </c>
    </row>
    <row r="3429" spans="1:8" x14ac:dyDescent="0.45">
      <c r="A3429" t="s">
        <v>49</v>
      </c>
      <c r="B3429" t="s">
        <v>20</v>
      </c>
      <c r="C3429">
        <v>12</v>
      </c>
      <c r="D3429" t="s">
        <v>29</v>
      </c>
      <c r="F3429">
        <v>232</v>
      </c>
    </row>
    <row r="3430" spans="1:8" x14ac:dyDescent="0.45">
      <c r="A3430" t="s">
        <v>49</v>
      </c>
      <c r="B3430" t="s">
        <v>20</v>
      </c>
      <c r="C3430">
        <v>12</v>
      </c>
      <c r="D3430" t="s">
        <v>31</v>
      </c>
      <c r="H3430">
        <v>40</v>
      </c>
    </row>
    <row r="3431" spans="1:8" x14ac:dyDescent="0.45">
      <c r="A3431" t="s">
        <v>49</v>
      </c>
      <c r="B3431" t="s">
        <v>20</v>
      </c>
      <c r="C3431">
        <v>12</v>
      </c>
      <c r="D3431" t="s">
        <v>32</v>
      </c>
      <c r="H3431">
        <v>2</v>
      </c>
    </row>
    <row r="3432" spans="1:8" x14ac:dyDescent="0.45">
      <c r="A3432" t="s">
        <v>49</v>
      </c>
      <c r="B3432" t="s">
        <v>20</v>
      </c>
      <c r="C3432">
        <v>12</v>
      </c>
      <c r="D3432" t="s">
        <v>34</v>
      </c>
      <c r="H3432">
        <v>6</v>
      </c>
    </row>
    <row r="3433" spans="1:8" x14ac:dyDescent="0.45">
      <c r="A3433" t="s">
        <v>65</v>
      </c>
      <c r="B3433" t="s">
        <v>21</v>
      </c>
      <c r="C3433">
        <v>1</v>
      </c>
      <c r="D3433" t="s">
        <v>19</v>
      </c>
      <c r="E3433">
        <v>1486213</v>
      </c>
      <c r="F3433">
        <v>3584</v>
      </c>
      <c r="G3433">
        <v>1022</v>
      </c>
    </row>
    <row r="3434" spans="1:8" x14ac:dyDescent="0.45">
      <c r="A3434" t="s">
        <v>65</v>
      </c>
      <c r="B3434" t="s">
        <v>21</v>
      </c>
      <c r="C3434">
        <v>1</v>
      </c>
      <c r="D3434" t="s">
        <v>27</v>
      </c>
      <c r="F3434">
        <v>1646</v>
      </c>
    </row>
    <row r="3435" spans="1:8" x14ac:dyDescent="0.45">
      <c r="A3435" t="s">
        <v>65</v>
      </c>
      <c r="B3435" t="s">
        <v>21</v>
      </c>
      <c r="C3435">
        <v>1</v>
      </c>
      <c r="D3435" t="s">
        <v>28</v>
      </c>
      <c r="F3435">
        <v>547</v>
      </c>
    </row>
    <row r="3436" spans="1:8" x14ac:dyDescent="0.45">
      <c r="A3436" t="s">
        <v>65</v>
      </c>
      <c r="B3436" t="s">
        <v>21</v>
      </c>
      <c r="C3436">
        <v>1</v>
      </c>
      <c r="D3436" t="s">
        <v>29</v>
      </c>
      <c r="F3436">
        <v>423</v>
      </c>
    </row>
    <row r="3437" spans="1:8" x14ac:dyDescent="0.45">
      <c r="A3437" t="s">
        <v>65</v>
      </c>
      <c r="B3437" t="s">
        <v>20</v>
      </c>
      <c r="C3437">
        <v>1</v>
      </c>
      <c r="D3437" t="s">
        <v>19</v>
      </c>
      <c r="E3437">
        <v>1716981</v>
      </c>
      <c r="F3437">
        <v>3503</v>
      </c>
      <c r="G3437">
        <v>998</v>
      </c>
    </row>
    <row r="3438" spans="1:8" x14ac:dyDescent="0.45">
      <c r="A3438" t="s">
        <v>65</v>
      </c>
      <c r="B3438" t="s">
        <v>20</v>
      </c>
      <c r="C3438">
        <v>1</v>
      </c>
      <c r="D3438" t="s">
        <v>27</v>
      </c>
      <c r="F3438">
        <v>1338</v>
      </c>
    </row>
    <row r="3439" spans="1:8" x14ac:dyDescent="0.45">
      <c r="A3439" t="s">
        <v>65</v>
      </c>
      <c r="B3439" t="s">
        <v>20</v>
      </c>
      <c r="C3439">
        <v>1</v>
      </c>
      <c r="D3439" t="s">
        <v>28</v>
      </c>
      <c r="F3439">
        <v>648</v>
      </c>
    </row>
    <row r="3440" spans="1:8" x14ac:dyDescent="0.45">
      <c r="A3440" t="s">
        <v>65</v>
      </c>
      <c r="B3440" t="s">
        <v>20</v>
      </c>
      <c r="C3440">
        <v>1</v>
      </c>
      <c r="D3440" t="s">
        <v>29</v>
      </c>
      <c r="F3440">
        <v>511</v>
      </c>
    </row>
    <row r="3441" spans="1:8" x14ac:dyDescent="0.45">
      <c r="A3441" t="s">
        <v>65</v>
      </c>
      <c r="B3441" t="s">
        <v>20</v>
      </c>
      <c r="C3441">
        <v>1</v>
      </c>
      <c r="D3441" t="s">
        <v>31</v>
      </c>
      <c r="H3441">
        <v>176</v>
      </c>
    </row>
    <row r="3442" spans="1:8" x14ac:dyDescent="0.45">
      <c r="A3442" t="s">
        <v>65</v>
      </c>
      <c r="B3442" t="s">
        <v>20</v>
      </c>
      <c r="C3442">
        <v>1</v>
      </c>
      <c r="D3442" t="s">
        <v>32</v>
      </c>
      <c r="H3442">
        <v>15</v>
      </c>
    </row>
    <row r="3443" spans="1:8" x14ac:dyDescent="0.45">
      <c r="A3443" t="s">
        <v>65</v>
      </c>
      <c r="B3443" t="s">
        <v>20</v>
      </c>
      <c r="C3443">
        <v>1</v>
      </c>
      <c r="D3443" t="s">
        <v>34</v>
      </c>
    </row>
    <row r="3444" spans="1:8" x14ac:dyDescent="0.45">
      <c r="A3444" t="s">
        <v>65</v>
      </c>
      <c r="B3444" t="s">
        <v>21</v>
      </c>
      <c r="C3444">
        <v>2</v>
      </c>
      <c r="D3444" t="s">
        <v>19</v>
      </c>
      <c r="E3444">
        <v>1338505</v>
      </c>
      <c r="F3444">
        <v>3378</v>
      </c>
      <c r="G3444">
        <v>945</v>
      </c>
    </row>
    <row r="3445" spans="1:8" x14ac:dyDescent="0.45">
      <c r="A3445" t="s">
        <v>65</v>
      </c>
      <c r="B3445" t="s">
        <v>21</v>
      </c>
      <c r="C3445">
        <v>2</v>
      </c>
      <c r="D3445" t="s">
        <v>27</v>
      </c>
      <c r="F3445">
        <v>1675</v>
      </c>
    </row>
    <row r="3446" spans="1:8" x14ac:dyDescent="0.45">
      <c r="A3446" t="s">
        <v>65</v>
      </c>
      <c r="B3446" t="s">
        <v>21</v>
      </c>
      <c r="C3446">
        <v>2</v>
      </c>
      <c r="D3446" t="s">
        <v>28</v>
      </c>
      <c r="F3446">
        <v>519</v>
      </c>
    </row>
    <row r="3447" spans="1:8" x14ac:dyDescent="0.45">
      <c r="A3447" t="s">
        <v>65</v>
      </c>
      <c r="B3447" t="s">
        <v>21</v>
      </c>
      <c r="C3447">
        <v>2</v>
      </c>
      <c r="D3447" t="s">
        <v>29</v>
      </c>
      <c r="F3447">
        <v>345</v>
      </c>
    </row>
    <row r="3448" spans="1:8" x14ac:dyDescent="0.45">
      <c r="A3448" t="s">
        <v>65</v>
      </c>
      <c r="B3448" t="s">
        <v>20</v>
      </c>
      <c r="C3448">
        <v>2</v>
      </c>
      <c r="D3448" t="s">
        <v>19</v>
      </c>
      <c r="E3448">
        <v>1505346</v>
      </c>
      <c r="F3448">
        <v>3249</v>
      </c>
      <c r="G3448">
        <v>942</v>
      </c>
    </row>
    <row r="3449" spans="1:8" x14ac:dyDescent="0.45">
      <c r="A3449" t="s">
        <v>65</v>
      </c>
      <c r="B3449" t="s">
        <v>20</v>
      </c>
      <c r="C3449">
        <v>2</v>
      </c>
      <c r="D3449" t="s">
        <v>27</v>
      </c>
      <c r="F3449">
        <v>1418</v>
      </c>
    </row>
    <row r="3450" spans="1:8" x14ac:dyDescent="0.45">
      <c r="A3450" t="s">
        <v>65</v>
      </c>
      <c r="B3450" t="s">
        <v>20</v>
      </c>
      <c r="C3450">
        <v>2</v>
      </c>
      <c r="D3450" t="s">
        <v>28</v>
      </c>
      <c r="F3450">
        <v>551</v>
      </c>
    </row>
    <row r="3451" spans="1:8" x14ac:dyDescent="0.45">
      <c r="A3451" t="s">
        <v>65</v>
      </c>
      <c r="B3451" t="s">
        <v>20</v>
      </c>
      <c r="C3451">
        <v>2</v>
      </c>
      <c r="D3451" t="s">
        <v>29</v>
      </c>
      <c r="F3451">
        <v>421</v>
      </c>
    </row>
    <row r="3452" spans="1:8" x14ac:dyDescent="0.45">
      <c r="A3452" t="s">
        <v>65</v>
      </c>
      <c r="B3452" t="s">
        <v>20</v>
      </c>
      <c r="C3452">
        <v>2</v>
      </c>
      <c r="D3452" t="s">
        <v>31</v>
      </c>
      <c r="H3452">
        <v>181</v>
      </c>
    </row>
    <row r="3453" spans="1:8" x14ac:dyDescent="0.45">
      <c r="A3453" t="s">
        <v>65</v>
      </c>
      <c r="B3453" t="s">
        <v>20</v>
      </c>
      <c r="C3453">
        <v>2</v>
      </c>
      <c r="D3453" t="s">
        <v>32</v>
      </c>
      <c r="H3453">
        <v>16</v>
      </c>
    </row>
    <row r="3454" spans="1:8" x14ac:dyDescent="0.45">
      <c r="A3454" t="s">
        <v>65</v>
      </c>
      <c r="B3454" t="s">
        <v>20</v>
      </c>
      <c r="C3454">
        <v>2</v>
      </c>
      <c r="D3454" t="s">
        <v>34</v>
      </c>
      <c r="H3454">
        <v>33</v>
      </c>
    </row>
    <row r="3455" spans="1:8" x14ac:dyDescent="0.45">
      <c r="A3455" t="s">
        <v>65</v>
      </c>
      <c r="B3455" t="s">
        <v>21</v>
      </c>
      <c r="C3455">
        <v>3</v>
      </c>
      <c r="D3455" t="s">
        <v>19</v>
      </c>
      <c r="E3455">
        <v>3619600</v>
      </c>
      <c r="F3455">
        <v>6351</v>
      </c>
      <c r="G3455">
        <v>1532</v>
      </c>
    </row>
    <row r="3456" spans="1:8" x14ac:dyDescent="0.45">
      <c r="A3456" t="s">
        <v>65</v>
      </c>
      <c r="B3456" t="s">
        <v>21</v>
      </c>
      <c r="C3456">
        <v>3</v>
      </c>
      <c r="D3456" t="s">
        <v>27</v>
      </c>
      <c r="F3456">
        <v>1952</v>
      </c>
    </row>
    <row r="3457" spans="1:8" x14ac:dyDescent="0.45">
      <c r="A3457" t="s">
        <v>65</v>
      </c>
      <c r="B3457" t="s">
        <v>21</v>
      </c>
      <c r="C3457">
        <v>3</v>
      </c>
      <c r="D3457" t="s">
        <v>28</v>
      </c>
      <c r="F3457">
        <v>914</v>
      </c>
    </row>
    <row r="3458" spans="1:8" x14ac:dyDescent="0.45">
      <c r="A3458" t="s">
        <v>65</v>
      </c>
      <c r="B3458" t="s">
        <v>21</v>
      </c>
      <c r="C3458">
        <v>3</v>
      </c>
      <c r="D3458" t="s">
        <v>29</v>
      </c>
      <c r="F3458">
        <v>858</v>
      </c>
    </row>
    <row r="3459" spans="1:8" x14ac:dyDescent="0.45">
      <c r="A3459" t="s">
        <v>65</v>
      </c>
      <c r="B3459" t="s">
        <v>20</v>
      </c>
      <c r="C3459">
        <v>3</v>
      </c>
      <c r="D3459" t="s">
        <v>19</v>
      </c>
      <c r="E3459">
        <v>3031046</v>
      </c>
      <c r="F3459">
        <v>5537</v>
      </c>
      <c r="G3459">
        <v>1475</v>
      </c>
    </row>
    <row r="3460" spans="1:8" x14ac:dyDescent="0.45">
      <c r="A3460" t="s">
        <v>65</v>
      </c>
      <c r="B3460" t="s">
        <v>20</v>
      </c>
      <c r="C3460">
        <v>3</v>
      </c>
      <c r="D3460" t="s">
        <v>27</v>
      </c>
      <c r="F3460">
        <v>1804</v>
      </c>
    </row>
    <row r="3461" spans="1:8" x14ac:dyDescent="0.45">
      <c r="A3461" t="s">
        <v>65</v>
      </c>
      <c r="B3461" t="s">
        <v>20</v>
      </c>
      <c r="C3461">
        <v>3</v>
      </c>
      <c r="D3461" t="s">
        <v>28</v>
      </c>
      <c r="F3461">
        <v>899</v>
      </c>
    </row>
    <row r="3462" spans="1:8" x14ac:dyDescent="0.45">
      <c r="A3462" t="s">
        <v>65</v>
      </c>
      <c r="B3462" t="s">
        <v>20</v>
      </c>
      <c r="C3462">
        <v>3</v>
      </c>
      <c r="D3462" t="s">
        <v>29</v>
      </c>
      <c r="F3462">
        <v>795</v>
      </c>
    </row>
    <row r="3463" spans="1:8" x14ac:dyDescent="0.45">
      <c r="A3463" t="s">
        <v>65</v>
      </c>
      <c r="B3463" t="s">
        <v>20</v>
      </c>
      <c r="C3463">
        <v>3</v>
      </c>
      <c r="D3463" t="s">
        <v>31</v>
      </c>
      <c r="H3463">
        <v>191</v>
      </c>
    </row>
    <row r="3464" spans="1:8" x14ac:dyDescent="0.45">
      <c r="A3464" t="s">
        <v>65</v>
      </c>
      <c r="B3464" t="s">
        <v>20</v>
      </c>
      <c r="C3464">
        <v>3</v>
      </c>
      <c r="D3464" t="s">
        <v>32</v>
      </c>
      <c r="H3464">
        <v>11</v>
      </c>
    </row>
    <row r="3465" spans="1:8" x14ac:dyDescent="0.45">
      <c r="A3465" t="s">
        <v>65</v>
      </c>
      <c r="B3465" t="s">
        <v>20</v>
      </c>
      <c r="C3465">
        <v>3</v>
      </c>
      <c r="D3465" t="s">
        <v>34</v>
      </c>
      <c r="H3465">
        <v>29</v>
      </c>
    </row>
    <row r="3466" spans="1:8" x14ac:dyDescent="0.45">
      <c r="A3466" t="s">
        <v>65</v>
      </c>
      <c r="B3466" t="s">
        <v>21</v>
      </c>
      <c r="C3466">
        <v>4</v>
      </c>
      <c r="D3466" t="s">
        <v>19</v>
      </c>
      <c r="E3466">
        <v>4115117</v>
      </c>
      <c r="F3466">
        <v>7192</v>
      </c>
      <c r="G3466">
        <v>1746</v>
      </c>
    </row>
    <row r="3467" spans="1:8" x14ac:dyDescent="0.45">
      <c r="A3467" t="s">
        <v>65</v>
      </c>
      <c r="B3467" t="s">
        <v>21</v>
      </c>
      <c r="C3467">
        <v>4</v>
      </c>
      <c r="D3467" t="s">
        <v>27</v>
      </c>
      <c r="F3467">
        <v>2040</v>
      </c>
    </row>
    <row r="3468" spans="1:8" x14ac:dyDescent="0.45">
      <c r="A3468" t="s">
        <v>65</v>
      </c>
      <c r="B3468" t="s">
        <v>21</v>
      </c>
      <c r="C3468">
        <v>4</v>
      </c>
      <c r="D3468" t="s">
        <v>28</v>
      </c>
      <c r="F3468">
        <v>1063</v>
      </c>
    </row>
    <row r="3469" spans="1:8" x14ac:dyDescent="0.45">
      <c r="A3469" t="s">
        <v>65</v>
      </c>
      <c r="B3469" t="s">
        <v>21</v>
      </c>
      <c r="C3469">
        <v>4</v>
      </c>
      <c r="D3469" t="s">
        <v>29</v>
      </c>
      <c r="F3469">
        <v>999</v>
      </c>
    </row>
    <row r="3470" spans="1:8" x14ac:dyDescent="0.45">
      <c r="A3470" t="s">
        <v>65</v>
      </c>
      <c r="B3470" t="s">
        <v>20</v>
      </c>
      <c r="C3470">
        <v>4</v>
      </c>
      <c r="D3470" t="s">
        <v>19</v>
      </c>
      <c r="E3470">
        <v>4427337</v>
      </c>
      <c r="F3470">
        <v>7230</v>
      </c>
      <c r="G3470">
        <v>1691</v>
      </c>
    </row>
    <row r="3471" spans="1:8" x14ac:dyDescent="0.45">
      <c r="A3471" t="s">
        <v>65</v>
      </c>
      <c r="B3471" t="s">
        <v>20</v>
      </c>
      <c r="C3471">
        <v>4</v>
      </c>
      <c r="D3471" t="s">
        <v>27</v>
      </c>
      <c r="F3471">
        <v>1646</v>
      </c>
    </row>
    <row r="3472" spans="1:8" x14ac:dyDescent="0.45">
      <c r="A3472" t="s">
        <v>65</v>
      </c>
      <c r="B3472" t="s">
        <v>20</v>
      </c>
      <c r="C3472">
        <v>4</v>
      </c>
      <c r="D3472" t="s">
        <v>28</v>
      </c>
      <c r="F3472">
        <v>1060</v>
      </c>
    </row>
    <row r="3473" spans="1:8" x14ac:dyDescent="0.45">
      <c r="A3473" t="s">
        <v>65</v>
      </c>
      <c r="B3473" t="s">
        <v>20</v>
      </c>
      <c r="C3473">
        <v>4</v>
      </c>
      <c r="D3473" t="s">
        <v>29</v>
      </c>
      <c r="F3473">
        <v>957</v>
      </c>
    </row>
    <row r="3474" spans="1:8" x14ac:dyDescent="0.45">
      <c r="A3474" t="s">
        <v>65</v>
      </c>
      <c r="B3474" t="s">
        <v>20</v>
      </c>
      <c r="C3474">
        <v>4</v>
      </c>
      <c r="D3474" t="s">
        <v>31</v>
      </c>
      <c r="H3474">
        <v>191</v>
      </c>
    </row>
    <row r="3475" spans="1:8" x14ac:dyDescent="0.45">
      <c r="A3475" t="s">
        <v>65</v>
      </c>
      <c r="B3475" t="s">
        <v>20</v>
      </c>
      <c r="C3475">
        <v>4</v>
      </c>
      <c r="D3475" t="s">
        <v>32</v>
      </c>
      <c r="H3475">
        <v>21</v>
      </c>
    </row>
    <row r="3476" spans="1:8" x14ac:dyDescent="0.45">
      <c r="A3476" t="s">
        <v>65</v>
      </c>
      <c r="B3476" t="s">
        <v>20</v>
      </c>
      <c r="C3476">
        <v>4</v>
      </c>
      <c r="D3476" t="s">
        <v>34</v>
      </c>
      <c r="H3476">
        <v>30</v>
      </c>
    </row>
    <row r="3477" spans="1:8" x14ac:dyDescent="0.45">
      <c r="A3477" t="s">
        <v>65</v>
      </c>
      <c r="B3477" t="s">
        <v>21</v>
      </c>
      <c r="C3477">
        <v>5</v>
      </c>
      <c r="D3477" t="s">
        <v>19</v>
      </c>
      <c r="E3477">
        <v>3723933</v>
      </c>
      <c r="F3477">
        <v>6128</v>
      </c>
      <c r="G3477">
        <v>1431</v>
      </c>
    </row>
    <row r="3478" spans="1:8" x14ac:dyDescent="0.45">
      <c r="A3478" t="s">
        <v>65</v>
      </c>
      <c r="B3478" t="s">
        <v>21</v>
      </c>
      <c r="C3478">
        <v>5</v>
      </c>
      <c r="D3478" t="s">
        <v>27</v>
      </c>
      <c r="F3478">
        <v>1748</v>
      </c>
    </row>
    <row r="3479" spans="1:8" x14ac:dyDescent="0.45">
      <c r="A3479" t="s">
        <v>65</v>
      </c>
      <c r="B3479" t="s">
        <v>21</v>
      </c>
      <c r="C3479">
        <v>5</v>
      </c>
      <c r="D3479" t="s">
        <v>28</v>
      </c>
      <c r="F3479">
        <v>973</v>
      </c>
    </row>
    <row r="3480" spans="1:8" x14ac:dyDescent="0.45">
      <c r="A3480" t="s">
        <v>65</v>
      </c>
      <c r="B3480" t="s">
        <v>21</v>
      </c>
      <c r="C3480">
        <v>5</v>
      </c>
      <c r="D3480" t="s">
        <v>29</v>
      </c>
      <c r="F3480">
        <v>821</v>
      </c>
    </row>
    <row r="3481" spans="1:8" x14ac:dyDescent="0.45">
      <c r="A3481" t="s">
        <v>65</v>
      </c>
      <c r="B3481" t="s">
        <v>20</v>
      </c>
      <c r="C3481">
        <v>5</v>
      </c>
      <c r="D3481" t="s">
        <v>19</v>
      </c>
      <c r="E3481">
        <v>3109181</v>
      </c>
      <c r="F3481">
        <v>5137</v>
      </c>
      <c r="G3481">
        <v>1261</v>
      </c>
    </row>
    <row r="3482" spans="1:8" x14ac:dyDescent="0.45">
      <c r="A3482" t="s">
        <v>65</v>
      </c>
      <c r="B3482" t="s">
        <v>20</v>
      </c>
      <c r="C3482">
        <v>5</v>
      </c>
      <c r="D3482" t="s">
        <v>27</v>
      </c>
      <c r="F3482">
        <v>1449</v>
      </c>
    </row>
    <row r="3483" spans="1:8" x14ac:dyDescent="0.45">
      <c r="A3483" t="s">
        <v>65</v>
      </c>
      <c r="B3483" t="s">
        <v>20</v>
      </c>
      <c r="C3483">
        <v>5</v>
      </c>
      <c r="D3483" t="s">
        <v>28</v>
      </c>
      <c r="F3483">
        <v>758</v>
      </c>
    </row>
    <row r="3484" spans="1:8" x14ac:dyDescent="0.45">
      <c r="A3484" t="s">
        <v>65</v>
      </c>
      <c r="B3484" t="s">
        <v>20</v>
      </c>
      <c r="C3484">
        <v>5</v>
      </c>
      <c r="D3484" t="s">
        <v>29</v>
      </c>
      <c r="F3484">
        <v>630</v>
      </c>
    </row>
    <row r="3485" spans="1:8" x14ac:dyDescent="0.45">
      <c r="A3485" t="s">
        <v>65</v>
      </c>
      <c r="B3485" t="s">
        <v>20</v>
      </c>
      <c r="C3485">
        <v>5</v>
      </c>
      <c r="D3485" t="s">
        <v>31</v>
      </c>
      <c r="H3485">
        <v>184</v>
      </c>
    </row>
    <row r="3486" spans="1:8" x14ac:dyDescent="0.45">
      <c r="A3486" t="s">
        <v>65</v>
      </c>
      <c r="B3486" t="s">
        <v>20</v>
      </c>
      <c r="C3486">
        <v>5</v>
      </c>
      <c r="D3486" t="s">
        <v>32</v>
      </c>
      <c r="H3486">
        <v>21</v>
      </c>
    </row>
    <row r="3487" spans="1:8" x14ac:dyDescent="0.45">
      <c r="A3487" t="s">
        <v>65</v>
      </c>
      <c r="B3487" t="s">
        <v>20</v>
      </c>
      <c r="C3487">
        <v>5</v>
      </c>
      <c r="D3487" t="s">
        <v>34</v>
      </c>
      <c r="H3487">
        <v>25</v>
      </c>
    </row>
    <row r="3488" spans="1:8" x14ac:dyDescent="0.45">
      <c r="A3488" t="s">
        <v>65</v>
      </c>
      <c r="B3488" t="s">
        <v>21</v>
      </c>
      <c r="C3488">
        <v>6</v>
      </c>
      <c r="D3488" t="s">
        <v>19</v>
      </c>
      <c r="E3488">
        <v>2938515</v>
      </c>
      <c r="F3488">
        <v>5513</v>
      </c>
      <c r="G3488">
        <v>1418</v>
      </c>
    </row>
    <row r="3489" spans="1:8" x14ac:dyDescent="0.45">
      <c r="A3489" t="s">
        <v>65</v>
      </c>
      <c r="B3489" t="s">
        <v>21</v>
      </c>
      <c r="C3489">
        <v>6</v>
      </c>
      <c r="D3489" t="s">
        <v>27</v>
      </c>
      <c r="F3489">
        <v>1912</v>
      </c>
    </row>
    <row r="3490" spans="1:8" x14ac:dyDescent="0.45">
      <c r="A3490" t="s">
        <v>65</v>
      </c>
      <c r="B3490" t="s">
        <v>21</v>
      </c>
      <c r="C3490">
        <v>6</v>
      </c>
      <c r="D3490" t="s">
        <v>28</v>
      </c>
      <c r="F3490">
        <v>901</v>
      </c>
    </row>
    <row r="3491" spans="1:8" x14ac:dyDescent="0.45">
      <c r="A3491" t="s">
        <v>65</v>
      </c>
      <c r="B3491" t="s">
        <v>21</v>
      </c>
      <c r="C3491">
        <v>6</v>
      </c>
      <c r="D3491" t="s">
        <v>29</v>
      </c>
      <c r="F3491">
        <v>701</v>
      </c>
    </row>
    <row r="3492" spans="1:8" x14ac:dyDescent="0.45">
      <c r="A3492" t="s">
        <v>65</v>
      </c>
      <c r="B3492" t="s">
        <v>20</v>
      </c>
      <c r="C3492">
        <v>6</v>
      </c>
      <c r="D3492" t="s">
        <v>19</v>
      </c>
      <c r="E3492">
        <v>2994055</v>
      </c>
      <c r="F3492">
        <v>5152</v>
      </c>
      <c r="G3492">
        <v>1204</v>
      </c>
    </row>
    <row r="3493" spans="1:8" x14ac:dyDescent="0.45">
      <c r="A3493" t="s">
        <v>65</v>
      </c>
      <c r="B3493" t="s">
        <v>20</v>
      </c>
      <c r="C3493">
        <v>6</v>
      </c>
      <c r="D3493" t="s">
        <v>27</v>
      </c>
      <c r="F3493">
        <v>1638</v>
      </c>
    </row>
    <row r="3494" spans="1:8" x14ac:dyDescent="0.45">
      <c r="A3494" t="s">
        <v>65</v>
      </c>
      <c r="B3494" t="s">
        <v>20</v>
      </c>
      <c r="C3494">
        <v>6</v>
      </c>
      <c r="D3494" t="s">
        <v>28</v>
      </c>
      <c r="F3494">
        <v>899</v>
      </c>
    </row>
    <row r="3495" spans="1:8" x14ac:dyDescent="0.45">
      <c r="A3495" t="s">
        <v>65</v>
      </c>
      <c r="B3495" t="s">
        <v>20</v>
      </c>
      <c r="C3495">
        <v>6</v>
      </c>
      <c r="D3495" t="s">
        <v>29</v>
      </c>
      <c r="F3495">
        <v>633</v>
      </c>
    </row>
    <row r="3496" spans="1:8" x14ac:dyDescent="0.45">
      <c r="A3496" t="s">
        <v>65</v>
      </c>
      <c r="B3496" t="s">
        <v>20</v>
      </c>
      <c r="C3496">
        <v>6</v>
      </c>
      <c r="D3496" t="s">
        <v>31</v>
      </c>
      <c r="H3496">
        <v>80</v>
      </c>
    </row>
    <row r="3497" spans="1:8" x14ac:dyDescent="0.45">
      <c r="A3497" t="s">
        <v>65</v>
      </c>
      <c r="B3497" t="s">
        <v>20</v>
      </c>
      <c r="C3497">
        <v>6</v>
      </c>
      <c r="D3497" t="s">
        <v>32</v>
      </c>
      <c r="H3497">
        <v>16</v>
      </c>
    </row>
    <row r="3498" spans="1:8" x14ac:dyDescent="0.45">
      <c r="A3498" t="s">
        <v>65</v>
      </c>
      <c r="B3498" t="s">
        <v>20</v>
      </c>
      <c r="C3498">
        <v>6</v>
      </c>
      <c r="D3498" t="s">
        <v>34</v>
      </c>
      <c r="H3498">
        <v>7</v>
      </c>
    </row>
    <row r="3499" spans="1:8" x14ac:dyDescent="0.45">
      <c r="A3499" t="s">
        <v>65</v>
      </c>
      <c r="B3499" t="s">
        <v>21</v>
      </c>
      <c r="C3499">
        <v>7</v>
      </c>
      <c r="D3499" t="s">
        <v>19</v>
      </c>
      <c r="E3499">
        <v>2153844</v>
      </c>
      <c r="F3499">
        <v>4447</v>
      </c>
    </row>
    <row r="3500" spans="1:8" x14ac:dyDescent="0.45">
      <c r="A3500" t="s">
        <v>65</v>
      </c>
      <c r="B3500" t="s">
        <v>21</v>
      </c>
      <c r="C3500">
        <v>7</v>
      </c>
      <c r="D3500" t="s">
        <v>27</v>
      </c>
      <c r="F3500">
        <v>1734</v>
      </c>
    </row>
    <row r="3501" spans="1:8" x14ac:dyDescent="0.45">
      <c r="A3501" t="s">
        <v>65</v>
      </c>
      <c r="B3501" t="s">
        <v>21</v>
      </c>
      <c r="C3501">
        <v>7</v>
      </c>
      <c r="D3501" t="s">
        <v>28</v>
      </c>
      <c r="F3501">
        <v>809</v>
      </c>
    </row>
    <row r="3502" spans="1:8" x14ac:dyDescent="0.45">
      <c r="A3502" t="s">
        <v>65</v>
      </c>
      <c r="B3502" t="s">
        <v>21</v>
      </c>
      <c r="C3502">
        <v>7</v>
      </c>
      <c r="D3502" t="s">
        <v>29</v>
      </c>
      <c r="F3502">
        <v>553</v>
      </c>
    </row>
    <row r="3503" spans="1:8" x14ac:dyDescent="0.45">
      <c r="A3503" t="s">
        <v>65</v>
      </c>
      <c r="B3503" t="s">
        <v>20</v>
      </c>
      <c r="C3503">
        <v>7</v>
      </c>
      <c r="D3503" t="s">
        <v>19</v>
      </c>
      <c r="E3503">
        <v>2339385</v>
      </c>
      <c r="F3503">
        <v>4200</v>
      </c>
      <c r="G3503">
        <v>600</v>
      </c>
    </row>
    <row r="3504" spans="1:8" x14ac:dyDescent="0.45">
      <c r="A3504" t="s">
        <v>65</v>
      </c>
      <c r="B3504" t="s">
        <v>20</v>
      </c>
      <c r="C3504">
        <v>7</v>
      </c>
      <c r="D3504" t="s">
        <v>27</v>
      </c>
      <c r="F3504">
        <v>1388</v>
      </c>
    </row>
    <row r="3505" spans="1:8" x14ac:dyDescent="0.45">
      <c r="A3505" t="s">
        <v>65</v>
      </c>
      <c r="B3505" t="s">
        <v>20</v>
      </c>
      <c r="C3505">
        <v>7</v>
      </c>
      <c r="D3505" t="s">
        <v>28</v>
      </c>
      <c r="F3505">
        <v>868</v>
      </c>
    </row>
    <row r="3506" spans="1:8" x14ac:dyDescent="0.45">
      <c r="A3506" t="s">
        <v>65</v>
      </c>
      <c r="B3506" t="s">
        <v>20</v>
      </c>
      <c r="C3506">
        <v>7</v>
      </c>
      <c r="D3506" t="s">
        <v>29</v>
      </c>
      <c r="F3506">
        <v>536</v>
      </c>
    </row>
    <row r="3507" spans="1:8" x14ac:dyDescent="0.45">
      <c r="A3507" t="s">
        <v>65</v>
      </c>
      <c r="B3507" t="s">
        <v>20</v>
      </c>
      <c r="C3507">
        <v>7</v>
      </c>
      <c r="D3507" t="s">
        <v>31</v>
      </c>
      <c r="H3507">
        <v>305</v>
      </c>
    </row>
    <row r="3508" spans="1:8" x14ac:dyDescent="0.45">
      <c r="A3508" t="s">
        <v>65</v>
      </c>
      <c r="B3508" t="s">
        <v>20</v>
      </c>
      <c r="C3508">
        <v>7</v>
      </c>
      <c r="D3508" t="s">
        <v>32</v>
      </c>
      <c r="H3508">
        <v>25</v>
      </c>
    </row>
    <row r="3509" spans="1:8" x14ac:dyDescent="0.45">
      <c r="A3509" t="s">
        <v>65</v>
      </c>
      <c r="B3509" t="s">
        <v>20</v>
      </c>
      <c r="C3509">
        <v>7</v>
      </c>
      <c r="D3509" t="s">
        <v>34</v>
      </c>
      <c r="H3509">
        <v>29</v>
      </c>
    </row>
    <row r="3510" spans="1:8" x14ac:dyDescent="0.45">
      <c r="A3510" t="s">
        <v>65</v>
      </c>
      <c r="B3510" t="s">
        <v>21</v>
      </c>
      <c r="C3510">
        <v>8</v>
      </c>
      <c r="D3510" t="s">
        <v>19</v>
      </c>
      <c r="E3510">
        <v>1536870</v>
      </c>
      <c r="F3510">
        <v>3698</v>
      </c>
      <c r="G3510">
        <v>1073</v>
      </c>
    </row>
    <row r="3511" spans="1:8" x14ac:dyDescent="0.45">
      <c r="A3511" t="s">
        <v>65</v>
      </c>
      <c r="B3511" t="s">
        <v>21</v>
      </c>
      <c r="C3511">
        <v>8</v>
      </c>
      <c r="D3511" t="s">
        <v>27</v>
      </c>
      <c r="F3511">
        <v>1689</v>
      </c>
      <c r="G3511">
        <v>658</v>
      </c>
    </row>
    <row r="3512" spans="1:8" x14ac:dyDescent="0.45">
      <c r="A3512" t="s">
        <v>65</v>
      </c>
      <c r="B3512" t="s">
        <v>21</v>
      </c>
      <c r="C3512">
        <v>8</v>
      </c>
      <c r="D3512" t="s">
        <v>28</v>
      </c>
      <c r="F3512">
        <v>654</v>
      </c>
      <c r="G3512">
        <v>813</v>
      </c>
    </row>
    <row r="3513" spans="1:8" x14ac:dyDescent="0.45">
      <c r="A3513" t="s">
        <v>65</v>
      </c>
      <c r="B3513" t="s">
        <v>21</v>
      </c>
      <c r="C3513">
        <v>8</v>
      </c>
      <c r="D3513" t="s">
        <v>29</v>
      </c>
      <c r="F3513">
        <v>362</v>
      </c>
      <c r="G3513">
        <v>760</v>
      </c>
    </row>
    <row r="3514" spans="1:8" x14ac:dyDescent="0.45">
      <c r="A3514" t="s">
        <v>65</v>
      </c>
      <c r="B3514" t="s">
        <v>20</v>
      </c>
      <c r="C3514">
        <v>8</v>
      </c>
      <c r="D3514" t="s">
        <v>19</v>
      </c>
      <c r="E3514">
        <v>1832314</v>
      </c>
      <c r="F3514">
        <v>3511</v>
      </c>
      <c r="G3514">
        <v>483</v>
      </c>
    </row>
    <row r="3515" spans="1:8" x14ac:dyDescent="0.45">
      <c r="A3515" t="s">
        <v>65</v>
      </c>
      <c r="B3515" t="s">
        <v>20</v>
      </c>
      <c r="C3515">
        <v>8</v>
      </c>
      <c r="D3515" t="s">
        <v>27</v>
      </c>
      <c r="F3515">
        <v>1388</v>
      </c>
      <c r="G3515">
        <v>916</v>
      </c>
    </row>
    <row r="3516" spans="1:8" x14ac:dyDescent="0.45">
      <c r="A3516" t="s">
        <v>65</v>
      </c>
      <c r="B3516" t="s">
        <v>20</v>
      </c>
      <c r="C3516">
        <v>8</v>
      </c>
      <c r="D3516" t="s">
        <v>28</v>
      </c>
      <c r="F3516">
        <v>714</v>
      </c>
      <c r="G3516">
        <v>945</v>
      </c>
    </row>
    <row r="3517" spans="1:8" x14ac:dyDescent="0.45">
      <c r="A3517" t="s">
        <v>65</v>
      </c>
      <c r="B3517" t="s">
        <v>20</v>
      </c>
      <c r="C3517">
        <v>8</v>
      </c>
      <c r="D3517" t="s">
        <v>29</v>
      </c>
      <c r="F3517">
        <v>372</v>
      </c>
      <c r="G3517">
        <v>1006</v>
      </c>
    </row>
    <row r="3518" spans="1:8" x14ac:dyDescent="0.45">
      <c r="A3518" t="s">
        <v>65</v>
      </c>
      <c r="B3518" t="s">
        <v>20</v>
      </c>
      <c r="C3518">
        <v>8</v>
      </c>
      <c r="D3518" t="s">
        <v>31</v>
      </c>
      <c r="H3518">
        <v>43</v>
      </c>
    </row>
    <row r="3519" spans="1:8" x14ac:dyDescent="0.45">
      <c r="A3519" t="s">
        <v>65</v>
      </c>
      <c r="B3519" t="s">
        <v>20</v>
      </c>
      <c r="C3519">
        <v>8</v>
      </c>
      <c r="D3519" t="s">
        <v>32</v>
      </c>
      <c r="H3519">
        <v>21</v>
      </c>
    </row>
    <row r="3520" spans="1:8" x14ac:dyDescent="0.45">
      <c r="A3520" t="s">
        <v>65</v>
      </c>
      <c r="B3520" t="s">
        <v>20</v>
      </c>
      <c r="C3520">
        <v>8</v>
      </c>
      <c r="D3520" t="s">
        <v>34</v>
      </c>
      <c r="H3520">
        <v>23</v>
      </c>
    </row>
    <row r="3521" spans="1:8" x14ac:dyDescent="0.45">
      <c r="A3521" t="s">
        <v>65</v>
      </c>
      <c r="B3521" t="s">
        <v>21</v>
      </c>
      <c r="C3521">
        <v>9</v>
      </c>
      <c r="D3521" t="s">
        <v>19</v>
      </c>
      <c r="E3521">
        <v>1600201</v>
      </c>
      <c r="F3521">
        <v>3826</v>
      </c>
      <c r="G3521">
        <v>1008</v>
      </c>
    </row>
    <row r="3522" spans="1:8" x14ac:dyDescent="0.45">
      <c r="A3522" t="s">
        <v>65</v>
      </c>
      <c r="B3522" t="s">
        <v>21</v>
      </c>
      <c r="C3522">
        <v>9</v>
      </c>
      <c r="D3522" t="s">
        <v>27</v>
      </c>
      <c r="F3522">
        <v>1741</v>
      </c>
    </row>
    <row r="3523" spans="1:8" x14ac:dyDescent="0.45">
      <c r="A3523" t="s">
        <v>65</v>
      </c>
      <c r="B3523" t="s">
        <v>21</v>
      </c>
      <c r="C3523">
        <v>9</v>
      </c>
      <c r="D3523" t="s">
        <v>28</v>
      </c>
      <c r="F3523">
        <v>705</v>
      </c>
    </row>
    <row r="3524" spans="1:8" x14ac:dyDescent="0.45">
      <c r="A3524" t="s">
        <v>65</v>
      </c>
      <c r="B3524" t="s">
        <v>21</v>
      </c>
      <c r="C3524">
        <v>9</v>
      </c>
      <c r="D3524" t="s">
        <v>29</v>
      </c>
      <c r="F3524">
        <v>396</v>
      </c>
    </row>
    <row r="3525" spans="1:8" x14ac:dyDescent="0.45">
      <c r="A3525" t="s">
        <v>65</v>
      </c>
      <c r="B3525" t="s">
        <v>20</v>
      </c>
      <c r="C3525">
        <v>9</v>
      </c>
      <c r="D3525" t="s">
        <v>19</v>
      </c>
      <c r="E3525">
        <v>1573005</v>
      </c>
      <c r="F3525">
        <v>3563</v>
      </c>
      <c r="G3525">
        <v>981</v>
      </c>
    </row>
    <row r="3526" spans="1:8" x14ac:dyDescent="0.45">
      <c r="A3526" t="s">
        <v>65</v>
      </c>
      <c r="B3526" t="s">
        <v>20</v>
      </c>
      <c r="C3526">
        <v>9</v>
      </c>
      <c r="D3526" t="s">
        <v>27</v>
      </c>
      <c r="F3526">
        <v>1592</v>
      </c>
    </row>
    <row r="3527" spans="1:8" x14ac:dyDescent="0.45">
      <c r="A3527" t="s">
        <v>65</v>
      </c>
      <c r="B3527" t="s">
        <v>20</v>
      </c>
      <c r="C3527">
        <v>9</v>
      </c>
      <c r="D3527" t="s">
        <v>28</v>
      </c>
      <c r="F3527">
        <v>736</v>
      </c>
    </row>
    <row r="3528" spans="1:8" x14ac:dyDescent="0.45">
      <c r="A3528" t="s">
        <v>65</v>
      </c>
      <c r="B3528" t="s">
        <v>20</v>
      </c>
      <c r="C3528">
        <v>9</v>
      </c>
      <c r="D3528" t="s">
        <v>29</v>
      </c>
      <c r="F3528">
        <v>398</v>
      </c>
    </row>
    <row r="3529" spans="1:8" x14ac:dyDescent="0.45">
      <c r="A3529" t="s">
        <v>65</v>
      </c>
      <c r="B3529" t="s">
        <v>20</v>
      </c>
      <c r="C3529">
        <v>9</v>
      </c>
      <c r="D3529" t="s">
        <v>31</v>
      </c>
      <c r="H3529">
        <v>222</v>
      </c>
    </row>
    <row r="3530" spans="1:8" x14ac:dyDescent="0.45">
      <c r="A3530" t="s">
        <v>65</v>
      </c>
      <c r="B3530" t="s">
        <v>20</v>
      </c>
      <c r="C3530">
        <v>9</v>
      </c>
      <c r="D3530" t="s">
        <v>32</v>
      </c>
      <c r="H3530">
        <v>15</v>
      </c>
    </row>
    <row r="3531" spans="1:8" x14ac:dyDescent="0.45">
      <c r="A3531" t="s">
        <v>65</v>
      </c>
      <c r="B3531" t="s">
        <v>20</v>
      </c>
      <c r="C3531">
        <v>9</v>
      </c>
      <c r="D3531" t="s">
        <v>34</v>
      </c>
      <c r="H3531">
        <v>10</v>
      </c>
    </row>
    <row r="3532" spans="1:8" x14ac:dyDescent="0.45">
      <c r="A3532" t="s">
        <v>65</v>
      </c>
      <c r="B3532" t="s">
        <v>21</v>
      </c>
      <c r="C3532">
        <v>10</v>
      </c>
      <c r="D3532" t="s">
        <v>19</v>
      </c>
      <c r="E3532">
        <v>2767527</v>
      </c>
      <c r="F3532">
        <v>6159</v>
      </c>
    </row>
    <row r="3533" spans="1:8" x14ac:dyDescent="0.45">
      <c r="A3533" t="s">
        <v>65</v>
      </c>
      <c r="B3533" t="s">
        <v>21</v>
      </c>
      <c r="C3533">
        <v>10</v>
      </c>
      <c r="D3533" t="s">
        <v>27</v>
      </c>
      <c r="F3533">
        <v>2297</v>
      </c>
    </row>
    <row r="3534" spans="1:8" x14ac:dyDescent="0.45">
      <c r="A3534" t="s">
        <v>65</v>
      </c>
      <c r="B3534" t="s">
        <v>21</v>
      </c>
      <c r="C3534">
        <v>10</v>
      </c>
      <c r="D3534" t="s">
        <v>28</v>
      </c>
      <c r="F3534">
        <v>1124</v>
      </c>
    </row>
    <row r="3535" spans="1:8" x14ac:dyDescent="0.45">
      <c r="A3535" t="s">
        <v>65</v>
      </c>
      <c r="B3535" t="s">
        <v>21</v>
      </c>
      <c r="C3535">
        <v>10</v>
      </c>
      <c r="D3535" t="s">
        <v>29</v>
      </c>
      <c r="F3535">
        <v>848</v>
      </c>
    </row>
    <row r="3536" spans="1:8" x14ac:dyDescent="0.45">
      <c r="A3536" t="s">
        <v>65</v>
      </c>
      <c r="B3536" t="s">
        <v>20</v>
      </c>
      <c r="C3536">
        <v>10</v>
      </c>
      <c r="D3536" t="s">
        <v>19</v>
      </c>
      <c r="E3536">
        <v>2543281</v>
      </c>
      <c r="F3536">
        <v>5248</v>
      </c>
      <c r="H3536">
        <v>6</v>
      </c>
    </row>
    <row r="3537" spans="1:8" x14ac:dyDescent="0.45">
      <c r="A3537" t="s">
        <v>65</v>
      </c>
      <c r="B3537" t="s">
        <v>20</v>
      </c>
      <c r="C3537">
        <v>10</v>
      </c>
      <c r="D3537" t="s">
        <v>27</v>
      </c>
      <c r="F3537">
        <v>1968</v>
      </c>
    </row>
    <row r="3538" spans="1:8" x14ac:dyDescent="0.45">
      <c r="A3538" t="s">
        <v>65</v>
      </c>
      <c r="B3538" t="s">
        <v>20</v>
      </c>
      <c r="C3538">
        <v>10</v>
      </c>
      <c r="D3538" t="s">
        <v>28</v>
      </c>
      <c r="F3538">
        <v>948</v>
      </c>
    </row>
    <row r="3539" spans="1:8" x14ac:dyDescent="0.45">
      <c r="A3539" t="s">
        <v>65</v>
      </c>
      <c r="B3539" t="s">
        <v>20</v>
      </c>
      <c r="C3539">
        <v>10</v>
      </c>
      <c r="D3539" t="s">
        <v>29</v>
      </c>
      <c r="F3539">
        <v>661</v>
      </c>
    </row>
    <row r="3540" spans="1:8" x14ac:dyDescent="0.45">
      <c r="A3540" t="s">
        <v>65</v>
      </c>
      <c r="B3540" t="s">
        <v>20</v>
      </c>
      <c r="C3540">
        <v>10</v>
      </c>
      <c r="D3540" t="s">
        <v>31</v>
      </c>
      <c r="H3540">
        <v>279</v>
      </c>
    </row>
    <row r="3541" spans="1:8" x14ac:dyDescent="0.45">
      <c r="A3541" t="s">
        <v>65</v>
      </c>
      <c r="B3541" t="s">
        <v>20</v>
      </c>
      <c r="C3541">
        <v>10</v>
      </c>
      <c r="D3541" t="s">
        <v>32</v>
      </c>
      <c r="H3541">
        <v>21</v>
      </c>
    </row>
    <row r="3542" spans="1:8" x14ac:dyDescent="0.45">
      <c r="A3542" t="s">
        <v>65</v>
      </c>
      <c r="B3542" t="s">
        <v>20</v>
      </c>
      <c r="C3542">
        <v>10</v>
      </c>
      <c r="D3542" t="s">
        <v>34</v>
      </c>
      <c r="H3542">
        <v>30</v>
      </c>
    </row>
    <row r="3543" spans="1:8" x14ac:dyDescent="0.45">
      <c r="A3543" t="s">
        <v>65</v>
      </c>
      <c r="B3543" t="s">
        <v>21</v>
      </c>
      <c r="C3543">
        <v>11</v>
      </c>
      <c r="D3543" t="s">
        <v>19</v>
      </c>
      <c r="E3543">
        <v>2117895</v>
      </c>
      <c r="F3543">
        <v>4624</v>
      </c>
      <c r="G3543">
        <v>1736</v>
      </c>
    </row>
    <row r="3544" spans="1:8" x14ac:dyDescent="0.45">
      <c r="A3544" t="s">
        <v>65</v>
      </c>
      <c r="B3544" t="s">
        <v>21</v>
      </c>
      <c r="C3544">
        <v>11</v>
      </c>
      <c r="D3544" t="s">
        <v>27</v>
      </c>
      <c r="F3544">
        <v>2064</v>
      </c>
    </row>
    <row r="3545" spans="1:8" x14ac:dyDescent="0.45">
      <c r="A3545" t="s">
        <v>65</v>
      </c>
      <c r="B3545" t="s">
        <v>21</v>
      </c>
      <c r="C3545">
        <v>11</v>
      </c>
      <c r="D3545" t="s">
        <v>28</v>
      </c>
      <c r="F3545">
        <v>825</v>
      </c>
    </row>
    <row r="3546" spans="1:8" x14ac:dyDescent="0.45">
      <c r="A3546" t="s">
        <v>65</v>
      </c>
      <c r="B3546" t="s">
        <v>21</v>
      </c>
      <c r="C3546">
        <v>11</v>
      </c>
      <c r="D3546" t="s">
        <v>29</v>
      </c>
      <c r="F3546">
        <v>622</v>
      </c>
    </row>
    <row r="3547" spans="1:8" x14ac:dyDescent="0.45">
      <c r="A3547" t="s">
        <v>65</v>
      </c>
      <c r="B3547" t="s">
        <v>20</v>
      </c>
      <c r="C3547">
        <v>11</v>
      </c>
      <c r="D3547" t="s">
        <v>19</v>
      </c>
      <c r="E3547">
        <v>2301966</v>
      </c>
      <c r="F3547">
        <v>4699</v>
      </c>
      <c r="G3547">
        <v>1192</v>
      </c>
    </row>
    <row r="3548" spans="1:8" x14ac:dyDescent="0.45">
      <c r="A3548" t="s">
        <v>65</v>
      </c>
      <c r="B3548" t="s">
        <v>20</v>
      </c>
      <c r="C3548">
        <v>11</v>
      </c>
      <c r="D3548" t="s">
        <v>27</v>
      </c>
      <c r="F3548">
        <v>1726</v>
      </c>
    </row>
    <row r="3549" spans="1:8" x14ac:dyDescent="0.45">
      <c r="A3549" t="s">
        <v>65</v>
      </c>
      <c r="B3549" t="s">
        <v>20</v>
      </c>
      <c r="C3549">
        <v>11</v>
      </c>
      <c r="D3549" t="s">
        <v>28</v>
      </c>
      <c r="F3549">
        <v>816</v>
      </c>
    </row>
    <row r="3550" spans="1:8" x14ac:dyDescent="0.45">
      <c r="A3550" t="s">
        <v>65</v>
      </c>
      <c r="B3550" t="s">
        <v>20</v>
      </c>
      <c r="C3550">
        <v>11</v>
      </c>
      <c r="D3550" t="s">
        <v>29</v>
      </c>
      <c r="F3550">
        <v>673</v>
      </c>
    </row>
    <row r="3551" spans="1:8" x14ac:dyDescent="0.45">
      <c r="A3551" t="s">
        <v>65</v>
      </c>
      <c r="B3551" t="s">
        <v>20</v>
      </c>
      <c r="C3551">
        <v>11</v>
      </c>
      <c r="D3551" t="s">
        <v>31</v>
      </c>
      <c r="H3551">
        <v>332</v>
      </c>
    </row>
    <row r="3552" spans="1:8" x14ac:dyDescent="0.45">
      <c r="A3552" t="s">
        <v>65</v>
      </c>
      <c r="B3552" t="s">
        <v>20</v>
      </c>
      <c r="C3552">
        <v>11</v>
      </c>
      <c r="D3552" t="s">
        <v>32</v>
      </c>
      <c r="H3552">
        <v>14</v>
      </c>
    </row>
    <row r="3553" spans="1:8" x14ac:dyDescent="0.45">
      <c r="A3553" t="s">
        <v>65</v>
      </c>
      <c r="B3553" t="s">
        <v>20</v>
      </c>
      <c r="C3553">
        <v>11</v>
      </c>
      <c r="D3553" t="s">
        <v>34</v>
      </c>
      <c r="H3553">
        <v>27</v>
      </c>
    </row>
    <row r="3554" spans="1:8" x14ac:dyDescent="0.45">
      <c r="A3554" t="s">
        <v>65</v>
      </c>
      <c r="B3554" t="s">
        <v>21</v>
      </c>
      <c r="C3554">
        <v>12</v>
      </c>
      <c r="D3554" t="s">
        <v>19</v>
      </c>
      <c r="E3554">
        <v>2413841</v>
      </c>
      <c r="F3554">
        <v>5609</v>
      </c>
    </row>
    <row r="3555" spans="1:8" x14ac:dyDescent="0.45">
      <c r="A3555" t="s">
        <v>65</v>
      </c>
      <c r="B3555" t="s">
        <v>21</v>
      </c>
      <c r="C3555">
        <v>12</v>
      </c>
      <c r="D3555" t="s">
        <v>27</v>
      </c>
      <c r="F3555">
        <v>2111</v>
      </c>
    </row>
    <row r="3556" spans="1:8" x14ac:dyDescent="0.45">
      <c r="A3556" t="s">
        <v>65</v>
      </c>
      <c r="B3556" t="s">
        <v>21</v>
      </c>
      <c r="C3556">
        <v>12</v>
      </c>
      <c r="D3556" t="s">
        <v>28</v>
      </c>
      <c r="F3556">
        <v>975</v>
      </c>
    </row>
    <row r="3557" spans="1:8" x14ac:dyDescent="0.45">
      <c r="A3557" t="s">
        <v>65</v>
      </c>
      <c r="B3557" t="s">
        <v>21</v>
      </c>
      <c r="C3557">
        <v>12</v>
      </c>
      <c r="D3557" t="s">
        <v>29</v>
      </c>
      <c r="F3557">
        <v>809</v>
      </c>
    </row>
    <row r="3558" spans="1:8" x14ac:dyDescent="0.45">
      <c r="A3558" t="s">
        <v>65</v>
      </c>
      <c r="B3558" t="s">
        <v>20</v>
      </c>
      <c r="C3558">
        <v>12</v>
      </c>
      <c r="D3558" t="s">
        <v>19</v>
      </c>
      <c r="E3558">
        <v>2366552</v>
      </c>
      <c r="F3558">
        <v>5034</v>
      </c>
    </row>
    <row r="3559" spans="1:8" x14ac:dyDescent="0.45">
      <c r="A3559" t="s">
        <v>65</v>
      </c>
      <c r="B3559" t="s">
        <v>20</v>
      </c>
      <c r="C3559">
        <v>12</v>
      </c>
      <c r="D3559" t="s">
        <v>27</v>
      </c>
      <c r="F3559">
        <v>1838</v>
      </c>
    </row>
    <row r="3560" spans="1:8" x14ac:dyDescent="0.45">
      <c r="A3560" t="s">
        <v>65</v>
      </c>
      <c r="B3560" t="s">
        <v>20</v>
      </c>
      <c r="C3560">
        <v>12</v>
      </c>
      <c r="D3560" t="s">
        <v>28</v>
      </c>
      <c r="F3560">
        <v>958</v>
      </c>
    </row>
    <row r="3561" spans="1:8" x14ac:dyDescent="0.45">
      <c r="A3561" t="s">
        <v>65</v>
      </c>
      <c r="B3561" t="s">
        <v>20</v>
      </c>
      <c r="C3561">
        <v>12</v>
      </c>
      <c r="D3561" t="s">
        <v>29</v>
      </c>
      <c r="F3561">
        <v>780</v>
      </c>
    </row>
    <row r="3562" spans="1:8" x14ac:dyDescent="0.45">
      <c r="A3562" t="s">
        <v>65</v>
      </c>
      <c r="B3562" t="s">
        <v>20</v>
      </c>
      <c r="C3562">
        <v>12</v>
      </c>
      <c r="D3562" t="s">
        <v>31</v>
      </c>
      <c r="H3562">
        <v>209</v>
      </c>
    </row>
    <row r="3563" spans="1:8" x14ac:dyDescent="0.45">
      <c r="A3563" t="s">
        <v>65</v>
      </c>
      <c r="B3563" t="s">
        <v>20</v>
      </c>
      <c r="C3563">
        <v>12</v>
      </c>
      <c r="D3563" t="s">
        <v>32</v>
      </c>
      <c r="H3563">
        <v>9</v>
      </c>
    </row>
    <row r="3564" spans="1:8" x14ac:dyDescent="0.45">
      <c r="A3564" t="s">
        <v>65</v>
      </c>
      <c r="B3564" t="s">
        <v>20</v>
      </c>
      <c r="C3564">
        <v>12</v>
      </c>
      <c r="D3564" t="s">
        <v>34</v>
      </c>
      <c r="H3564">
        <v>30</v>
      </c>
    </row>
    <row r="3565" spans="1:8" x14ac:dyDescent="0.45">
      <c r="A3565" t="s">
        <v>66</v>
      </c>
      <c r="B3565" t="s">
        <v>21</v>
      </c>
      <c r="C3565">
        <v>1</v>
      </c>
      <c r="D3565" t="s">
        <v>19</v>
      </c>
      <c r="E3565">
        <v>732757</v>
      </c>
      <c r="F3565">
        <v>1902</v>
      </c>
      <c r="G3565">
        <v>534</v>
      </c>
    </row>
    <row r="3566" spans="1:8" x14ac:dyDescent="0.45">
      <c r="A3566" t="s">
        <v>66</v>
      </c>
      <c r="B3566" t="s">
        <v>21</v>
      </c>
      <c r="C3566">
        <v>1</v>
      </c>
      <c r="D3566" t="s">
        <v>27</v>
      </c>
      <c r="F3566">
        <v>981</v>
      </c>
    </row>
    <row r="3567" spans="1:8" x14ac:dyDescent="0.45">
      <c r="A3567" t="s">
        <v>66</v>
      </c>
      <c r="B3567" t="s">
        <v>21</v>
      </c>
      <c r="C3567">
        <v>1</v>
      </c>
      <c r="D3567" t="s">
        <v>28</v>
      </c>
      <c r="F3567">
        <v>317</v>
      </c>
    </row>
    <row r="3568" spans="1:8" x14ac:dyDescent="0.45">
      <c r="A3568" t="s">
        <v>66</v>
      </c>
      <c r="B3568" t="s">
        <v>21</v>
      </c>
      <c r="C3568">
        <v>1</v>
      </c>
      <c r="D3568" t="s">
        <v>29</v>
      </c>
      <c r="F3568">
        <v>216</v>
      </c>
    </row>
    <row r="3569" spans="1:8" x14ac:dyDescent="0.45">
      <c r="A3569" t="s">
        <v>66</v>
      </c>
      <c r="B3569" t="s">
        <v>20</v>
      </c>
      <c r="C3569">
        <v>1</v>
      </c>
      <c r="D3569" t="s">
        <v>19</v>
      </c>
      <c r="E3569">
        <v>806458</v>
      </c>
      <c r="F3569">
        <v>1858</v>
      </c>
      <c r="G3569">
        <v>584</v>
      </c>
    </row>
    <row r="3570" spans="1:8" x14ac:dyDescent="0.45">
      <c r="A3570" t="s">
        <v>66</v>
      </c>
      <c r="B3570" t="s">
        <v>20</v>
      </c>
      <c r="C3570">
        <v>1</v>
      </c>
      <c r="D3570" t="s">
        <v>27</v>
      </c>
      <c r="F3570">
        <v>841</v>
      </c>
    </row>
    <row r="3571" spans="1:8" x14ac:dyDescent="0.45">
      <c r="A3571" t="s">
        <v>66</v>
      </c>
      <c r="B3571" t="s">
        <v>20</v>
      </c>
      <c r="C3571">
        <v>1</v>
      </c>
      <c r="D3571" t="s">
        <v>28</v>
      </c>
      <c r="F3571">
        <v>293</v>
      </c>
    </row>
    <row r="3572" spans="1:8" x14ac:dyDescent="0.45">
      <c r="A3572" t="s">
        <v>66</v>
      </c>
      <c r="B3572" t="s">
        <v>20</v>
      </c>
      <c r="C3572">
        <v>1</v>
      </c>
      <c r="D3572" t="s">
        <v>29</v>
      </c>
      <c r="F3572">
        <v>236</v>
      </c>
    </row>
    <row r="3573" spans="1:8" x14ac:dyDescent="0.45">
      <c r="A3573" t="s">
        <v>66</v>
      </c>
      <c r="B3573" t="s">
        <v>20</v>
      </c>
      <c r="C3573">
        <v>1</v>
      </c>
      <c r="D3573" t="s">
        <v>31</v>
      </c>
      <c r="H3573">
        <v>95</v>
      </c>
    </row>
    <row r="3574" spans="1:8" x14ac:dyDescent="0.45">
      <c r="A3574" t="s">
        <v>66</v>
      </c>
      <c r="B3574" t="s">
        <v>20</v>
      </c>
      <c r="C3574">
        <v>1</v>
      </c>
      <c r="D3574" t="s">
        <v>32</v>
      </c>
      <c r="H3574">
        <v>5</v>
      </c>
    </row>
    <row r="3575" spans="1:8" x14ac:dyDescent="0.45">
      <c r="A3575" t="s">
        <v>66</v>
      </c>
      <c r="B3575" t="s">
        <v>20</v>
      </c>
      <c r="C3575">
        <v>1</v>
      </c>
      <c r="D3575" t="s">
        <v>34</v>
      </c>
    </row>
    <row r="3576" spans="1:8" x14ac:dyDescent="0.45">
      <c r="A3576" t="s">
        <v>66</v>
      </c>
      <c r="B3576" t="s">
        <v>21</v>
      </c>
      <c r="C3576">
        <v>2</v>
      </c>
      <c r="D3576" t="s">
        <v>19</v>
      </c>
      <c r="E3576">
        <v>644259</v>
      </c>
      <c r="F3576">
        <v>1755</v>
      </c>
      <c r="G3576">
        <v>526</v>
      </c>
    </row>
    <row r="3577" spans="1:8" x14ac:dyDescent="0.45">
      <c r="A3577" t="s">
        <v>66</v>
      </c>
      <c r="B3577" t="s">
        <v>21</v>
      </c>
      <c r="C3577">
        <v>2</v>
      </c>
      <c r="D3577" t="s">
        <v>27</v>
      </c>
      <c r="F3577">
        <v>965</v>
      </c>
    </row>
    <row r="3578" spans="1:8" x14ac:dyDescent="0.45">
      <c r="A3578" t="s">
        <v>66</v>
      </c>
      <c r="B3578" t="s">
        <v>21</v>
      </c>
      <c r="C3578">
        <v>2</v>
      </c>
      <c r="D3578" t="s">
        <v>28</v>
      </c>
      <c r="F3578">
        <v>276</v>
      </c>
    </row>
    <row r="3579" spans="1:8" x14ac:dyDescent="0.45">
      <c r="A3579" t="s">
        <v>66</v>
      </c>
      <c r="B3579" t="s">
        <v>21</v>
      </c>
      <c r="C3579">
        <v>2</v>
      </c>
      <c r="D3579" t="s">
        <v>29</v>
      </c>
      <c r="F3579">
        <v>174</v>
      </c>
    </row>
    <row r="3580" spans="1:8" x14ac:dyDescent="0.45">
      <c r="A3580" t="s">
        <v>66</v>
      </c>
      <c r="B3580" t="s">
        <v>20</v>
      </c>
      <c r="C3580">
        <v>2</v>
      </c>
      <c r="D3580" t="s">
        <v>19</v>
      </c>
      <c r="E3580">
        <v>705007</v>
      </c>
      <c r="F3580">
        <v>1740</v>
      </c>
      <c r="G3580">
        <v>524</v>
      </c>
    </row>
    <row r="3581" spans="1:8" x14ac:dyDescent="0.45">
      <c r="A3581" t="s">
        <v>66</v>
      </c>
      <c r="B3581" t="s">
        <v>20</v>
      </c>
      <c r="C3581">
        <v>2</v>
      </c>
      <c r="D3581" t="s">
        <v>27</v>
      </c>
      <c r="F3581">
        <v>880</v>
      </c>
    </row>
    <row r="3582" spans="1:8" x14ac:dyDescent="0.45">
      <c r="A3582" t="s">
        <v>66</v>
      </c>
      <c r="B3582" t="s">
        <v>20</v>
      </c>
      <c r="C3582">
        <v>2</v>
      </c>
      <c r="D3582" t="s">
        <v>28</v>
      </c>
      <c r="F3582">
        <v>275</v>
      </c>
    </row>
    <row r="3583" spans="1:8" x14ac:dyDescent="0.45">
      <c r="A3583" t="s">
        <v>66</v>
      </c>
      <c r="B3583" t="s">
        <v>20</v>
      </c>
      <c r="C3583">
        <v>2</v>
      </c>
      <c r="D3583" t="s">
        <v>29</v>
      </c>
      <c r="F3583">
        <v>213</v>
      </c>
    </row>
    <row r="3584" spans="1:8" x14ac:dyDescent="0.45">
      <c r="A3584" t="s">
        <v>66</v>
      </c>
      <c r="B3584" t="s">
        <v>20</v>
      </c>
      <c r="C3584">
        <v>2</v>
      </c>
      <c r="D3584" t="s">
        <v>31</v>
      </c>
      <c r="H3584">
        <v>65</v>
      </c>
    </row>
    <row r="3585" spans="1:8" x14ac:dyDescent="0.45">
      <c r="A3585" t="s">
        <v>66</v>
      </c>
      <c r="B3585" t="s">
        <v>20</v>
      </c>
      <c r="C3585">
        <v>2</v>
      </c>
      <c r="D3585" t="s">
        <v>32</v>
      </c>
      <c r="H3585">
        <v>13</v>
      </c>
    </row>
    <row r="3586" spans="1:8" x14ac:dyDescent="0.45">
      <c r="A3586" t="s">
        <v>66</v>
      </c>
      <c r="B3586" t="s">
        <v>20</v>
      </c>
      <c r="C3586">
        <v>2</v>
      </c>
      <c r="D3586" t="s">
        <v>34</v>
      </c>
      <c r="H3586">
        <v>4</v>
      </c>
    </row>
    <row r="3587" spans="1:8" x14ac:dyDescent="0.45">
      <c r="A3587" t="s">
        <v>66</v>
      </c>
      <c r="B3587" t="s">
        <v>21</v>
      </c>
      <c r="C3587">
        <v>3</v>
      </c>
      <c r="D3587" t="s">
        <v>19</v>
      </c>
      <c r="E3587">
        <v>1649943</v>
      </c>
      <c r="F3587">
        <v>3238</v>
      </c>
      <c r="G3587">
        <v>816</v>
      </c>
    </row>
    <row r="3588" spans="1:8" x14ac:dyDescent="0.45">
      <c r="A3588" t="s">
        <v>66</v>
      </c>
      <c r="B3588" t="s">
        <v>21</v>
      </c>
      <c r="C3588">
        <v>3</v>
      </c>
      <c r="D3588" t="s">
        <v>27</v>
      </c>
      <c r="F3588">
        <v>1208</v>
      </c>
    </row>
    <row r="3589" spans="1:8" x14ac:dyDescent="0.45">
      <c r="A3589" t="s">
        <v>66</v>
      </c>
      <c r="B3589" t="s">
        <v>21</v>
      </c>
      <c r="C3589">
        <v>3</v>
      </c>
      <c r="D3589" t="s">
        <v>28</v>
      </c>
      <c r="F3589">
        <v>492</v>
      </c>
    </row>
    <row r="3590" spans="1:8" x14ac:dyDescent="0.45">
      <c r="A3590" t="s">
        <v>66</v>
      </c>
      <c r="B3590" t="s">
        <v>21</v>
      </c>
      <c r="C3590">
        <v>3</v>
      </c>
      <c r="D3590" t="s">
        <v>29</v>
      </c>
      <c r="F3590">
        <v>380</v>
      </c>
    </row>
    <row r="3591" spans="1:8" x14ac:dyDescent="0.45">
      <c r="A3591" t="s">
        <v>66</v>
      </c>
      <c r="B3591" t="s">
        <v>20</v>
      </c>
      <c r="C3591">
        <v>3</v>
      </c>
      <c r="D3591" t="s">
        <v>19</v>
      </c>
      <c r="E3591">
        <v>1379156</v>
      </c>
      <c r="F3591">
        <v>2736</v>
      </c>
      <c r="G3591">
        <v>787</v>
      </c>
    </row>
    <row r="3592" spans="1:8" x14ac:dyDescent="0.45">
      <c r="A3592" t="s">
        <v>66</v>
      </c>
      <c r="B3592" t="s">
        <v>20</v>
      </c>
      <c r="C3592">
        <v>3</v>
      </c>
      <c r="D3592" t="s">
        <v>27</v>
      </c>
      <c r="F3592">
        <v>1055</v>
      </c>
    </row>
    <row r="3593" spans="1:8" x14ac:dyDescent="0.45">
      <c r="A3593" t="s">
        <v>66</v>
      </c>
      <c r="B3593" t="s">
        <v>20</v>
      </c>
      <c r="C3593">
        <v>3</v>
      </c>
      <c r="D3593" t="s">
        <v>28</v>
      </c>
      <c r="F3593">
        <v>424</v>
      </c>
    </row>
    <row r="3594" spans="1:8" x14ac:dyDescent="0.45">
      <c r="A3594" t="s">
        <v>66</v>
      </c>
      <c r="B3594" t="s">
        <v>20</v>
      </c>
      <c r="C3594">
        <v>3</v>
      </c>
      <c r="D3594" t="s">
        <v>29</v>
      </c>
      <c r="F3594">
        <v>347</v>
      </c>
    </row>
    <row r="3595" spans="1:8" x14ac:dyDescent="0.45">
      <c r="A3595" t="s">
        <v>66</v>
      </c>
      <c r="B3595" t="s">
        <v>20</v>
      </c>
      <c r="C3595">
        <v>3</v>
      </c>
      <c r="D3595" t="s">
        <v>31</v>
      </c>
      <c r="H3595">
        <v>74</v>
      </c>
    </row>
    <row r="3596" spans="1:8" x14ac:dyDescent="0.45">
      <c r="A3596" t="s">
        <v>66</v>
      </c>
      <c r="B3596" t="s">
        <v>20</v>
      </c>
      <c r="C3596">
        <v>3</v>
      </c>
      <c r="D3596" t="s">
        <v>32</v>
      </c>
      <c r="H3596">
        <v>10</v>
      </c>
    </row>
    <row r="3597" spans="1:8" x14ac:dyDescent="0.45">
      <c r="A3597" t="s">
        <v>66</v>
      </c>
      <c r="B3597" t="s">
        <v>20</v>
      </c>
      <c r="C3597">
        <v>3</v>
      </c>
      <c r="D3597" t="s">
        <v>34</v>
      </c>
      <c r="H3597">
        <v>4</v>
      </c>
    </row>
    <row r="3598" spans="1:8" x14ac:dyDescent="0.45">
      <c r="A3598" t="s">
        <v>66</v>
      </c>
      <c r="B3598" t="s">
        <v>21</v>
      </c>
      <c r="C3598">
        <v>4</v>
      </c>
      <c r="D3598" t="s">
        <v>19</v>
      </c>
      <c r="E3598">
        <v>1972168</v>
      </c>
      <c r="F3598">
        <v>3818</v>
      </c>
    </row>
    <row r="3599" spans="1:8" x14ac:dyDescent="0.45">
      <c r="A3599" t="s">
        <v>66</v>
      </c>
      <c r="B3599" t="s">
        <v>21</v>
      </c>
      <c r="C3599">
        <v>4</v>
      </c>
      <c r="D3599" t="s">
        <v>27</v>
      </c>
      <c r="F3599">
        <v>1243</v>
      </c>
    </row>
    <row r="3600" spans="1:8" x14ac:dyDescent="0.45">
      <c r="A3600" t="s">
        <v>66</v>
      </c>
      <c r="B3600" t="s">
        <v>21</v>
      </c>
      <c r="C3600">
        <v>4</v>
      </c>
      <c r="D3600" t="s">
        <v>28</v>
      </c>
      <c r="F3600">
        <v>594</v>
      </c>
    </row>
    <row r="3601" spans="1:8" x14ac:dyDescent="0.45">
      <c r="A3601" t="s">
        <v>66</v>
      </c>
      <c r="B3601" t="s">
        <v>21</v>
      </c>
      <c r="C3601">
        <v>4</v>
      </c>
      <c r="D3601" t="s">
        <v>29</v>
      </c>
      <c r="F3601">
        <v>461</v>
      </c>
    </row>
    <row r="3602" spans="1:8" x14ac:dyDescent="0.45">
      <c r="A3602" t="s">
        <v>66</v>
      </c>
      <c r="B3602" t="s">
        <v>20</v>
      </c>
      <c r="C3602">
        <v>4</v>
      </c>
      <c r="D3602" t="s">
        <v>19</v>
      </c>
      <c r="E3602">
        <v>1972765</v>
      </c>
      <c r="F3602">
        <v>3714</v>
      </c>
      <c r="H3602">
        <v>123</v>
      </c>
    </row>
    <row r="3603" spans="1:8" x14ac:dyDescent="0.45">
      <c r="A3603" t="s">
        <v>66</v>
      </c>
      <c r="B3603" t="s">
        <v>20</v>
      </c>
      <c r="C3603">
        <v>4</v>
      </c>
      <c r="D3603" t="s">
        <v>27</v>
      </c>
      <c r="F3603">
        <v>996</v>
      </c>
    </row>
    <row r="3604" spans="1:8" x14ac:dyDescent="0.45">
      <c r="A3604" t="s">
        <v>66</v>
      </c>
      <c r="B3604" t="s">
        <v>20</v>
      </c>
      <c r="C3604">
        <v>4</v>
      </c>
      <c r="D3604" t="s">
        <v>28</v>
      </c>
      <c r="F3604">
        <v>527</v>
      </c>
    </row>
    <row r="3605" spans="1:8" x14ac:dyDescent="0.45">
      <c r="A3605" t="s">
        <v>66</v>
      </c>
      <c r="B3605" t="s">
        <v>20</v>
      </c>
      <c r="C3605">
        <v>4</v>
      </c>
      <c r="D3605" t="s">
        <v>29</v>
      </c>
      <c r="F3605">
        <v>462</v>
      </c>
    </row>
    <row r="3606" spans="1:8" x14ac:dyDescent="0.45">
      <c r="A3606" t="s">
        <v>66</v>
      </c>
      <c r="B3606" t="s">
        <v>20</v>
      </c>
      <c r="C3606">
        <v>4</v>
      </c>
      <c r="D3606" t="s">
        <v>31</v>
      </c>
      <c r="H3606">
        <v>86</v>
      </c>
    </row>
    <row r="3607" spans="1:8" x14ac:dyDescent="0.45">
      <c r="A3607" t="s">
        <v>66</v>
      </c>
      <c r="B3607" t="s">
        <v>20</v>
      </c>
      <c r="C3607">
        <v>4</v>
      </c>
      <c r="D3607" t="s">
        <v>32</v>
      </c>
      <c r="H3607">
        <v>5</v>
      </c>
    </row>
    <row r="3608" spans="1:8" x14ac:dyDescent="0.45">
      <c r="A3608" t="s">
        <v>66</v>
      </c>
      <c r="B3608" t="s">
        <v>20</v>
      </c>
      <c r="C3608">
        <v>4</v>
      </c>
      <c r="D3608" t="s">
        <v>34</v>
      </c>
      <c r="H3608">
        <v>4</v>
      </c>
    </row>
    <row r="3609" spans="1:8" x14ac:dyDescent="0.45">
      <c r="A3609" t="s">
        <v>66</v>
      </c>
      <c r="B3609" t="s">
        <v>21</v>
      </c>
      <c r="C3609">
        <v>5</v>
      </c>
      <c r="D3609" t="s">
        <v>19</v>
      </c>
      <c r="E3609">
        <v>1731601</v>
      </c>
      <c r="F3609">
        <v>3223</v>
      </c>
    </row>
    <row r="3610" spans="1:8" x14ac:dyDescent="0.45">
      <c r="A3610" t="s">
        <v>66</v>
      </c>
      <c r="B3610" t="s">
        <v>21</v>
      </c>
      <c r="C3610">
        <v>5</v>
      </c>
      <c r="D3610" t="s">
        <v>27</v>
      </c>
      <c r="F3610">
        <v>1061</v>
      </c>
    </row>
    <row r="3611" spans="1:8" x14ac:dyDescent="0.45">
      <c r="A3611" t="s">
        <v>66</v>
      </c>
      <c r="B3611" t="s">
        <v>21</v>
      </c>
      <c r="C3611">
        <v>5</v>
      </c>
      <c r="D3611" t="s">
        <v>28</v>
      </c>
      <c r="F3611">
        <v>500</v>
      </c>
    </row>
    <row r="3612" spans="1:8" x14ac:dyDescent="0.45">
      <c r="A3612" t="s">
        <v>66</v>
      </c>
      <c r="B3612" t="s">
        <v>21</v>
      </c>
      <c r="C3612">
        <v>5</v>
      </c>
      <c r="D3612" t="s">
        <v>29</v>
      </c>
      <c r="F3612">
        <v>417</v>
      </c>
    </row>
    <row r="3613" spans="1:8" x14ac:dyDescent="0.45">
      <c r="A3613" t="s">
        <v>66</v>
      </c>
      <c r="B3613" t="s">
        <v>20</v>
      </c>
      <c r="C3613">
        <v>5</v>
      </c>
      <c r="D3613" t="s">
        <v>19</v>
      </c>
      <c r="E3613">
        <v>1466045</v>
      </c>
      <c r="F3613">
        <v>2684</v>
      </c>
      <c r="G3613">
        <v>757</v>
      </c>
    </row>
    <row r="3614" spans="1:8" x14ac:dyDescent="0.45">
      <c r="A3614" t="s">
        <v>66</v>
      </c>
      <c r="B3614" t="s">
        <v>20</v>
      </c>
      <c r="C3614">
        <v>5</v>
      </c>
      <c r="D3614" t="s">
        <v>27</v>
      </c>
      <c r="F3614">
        <v>890</v>
      </c>
    </row>
    <row r="3615" spans="1:8" x14ac:dyDescent="0.45">
      <c r="A3615" t="s">
        <v>66</v>
      </c>
      <c r="B3615" t="s">
        <v>20</v>
      </c>
      <c r="C3615">
        <v>5</v>
      </c>
      <c r="D3615" t="s">
        <v>28</v>
      </c>
      <c r="F3615">
        <v>425</v>
      </c>
    </row>
    <row r="3616" spans="1:8" x14ac:dyDescent="0.45">
      <c r="A3616" t="s">
        <v>66</v>
      </c>
      <c r="B3616" t="s">
        <v>20</v>
      </c>
      <c r="C3616">
        <v>5</v>
      </c>
      <c r="D3616" t="s">
        <v>29</v>
      </c>
      <c r="F3616">
        <v>299</v>
      </c>
    </row>
    <row r="3617" spans="1:8" x14ac:dyDescent="0.45">
      <c r="A3617" t="s">
        <v>66</v>
      </c>
      <c r="B3617" t="s">
        <v>20</v>
      </c>
      <c r="C3617">
        <v>5</v>
      </c>
      <c r="D3617" t="s">
        <v>31</v>
      </c>
      <c r="H3617">
        <v>96</v>
      </c>
    </row>
    <row r="3618" spans="1:8" x14ac:dyDescent="0.45">
      <c r="A3618" t="s">
        <v>66</v>
      </c>
      <c r="B3618" t="s">
        <v>20</v>
      </c>
      <c r="C3618">
        <v>5</v>
      </c>
      <c r="D3618" t="s">
        <v>32</v>
      </c>
      <c r="H3618">
        <v>6</v>
      </c>
    </row>
    <row r="3619" spans="1:8" x14ac:dyDescent="0.45">
      <c r="A3619" t="s">
        <v>66</v>
      </c>
      <c r="B3619" t="s">
        <v>20</v>
      </c>
      <c r="C3619">
        <v>5</v>
      </c>
      <c r="D3619" t="s">
        <v>34</v>
      </c>
      <c r="H3619">
        <v>4</v>
      </c>
    </row>
    <row r="3620" spans="1:8" x14ac:dyDescent="0.45">
      <c r="A3620" t="s">
        <v>66</v>
      </c>
      <c r="B3620" t="s">
        <v>21</v>
      </c>
      <c r="C3620">
        <v>6</v>
      </c>
      <c r="D3620" t="s">
        <v>19</v>
      </c>
      <c r="E3620">
        <v>1400137</v>
      </c>
      <c r="F3620">
        <v>2860</v>
      </c>
      <c r="G3620">
        <v>766</v>
      </c>
    </row>
    <row r="3621" spans="1:8" x14ac:dyDescent="0.45">
      <c r="A3621" t="s">
        <v>66</v>
      </c>
      <c r="B3621" t="s">
        <v>21</v>
      </c>
      <c r="C3621">
        <v>6</v>
      </c>
      <c r="D3621" t="s">
        <v>27</v>
      </c>
      <c r="F3621">
        <v>1081</v>
      </c>
    </row>
    <row r="3622" spans="1:8" x14ac:dyDescent="0.45">
      <c r="A3622" t="s">
        <v>66</v>
      </c>
      <c r="B3622" t="s">
        <v>21</v>
      </c>
      <c r="C3622">
        <v>6</v>
      </c>
      <c r="D3622" t="s">
        <v>28</v>
      </c>
      <c r="F3622">
        <v>474</v>
      </c>
    </row>
    <row r="3623" spans="1:8" x14ac:dyDescent="0.45">
      <c r="A3623" t="s">
        <v>66</v>
      </c>
      <c r="B3623" t="s">
        <v>21</v>
      </c>
      <c r="C3623">
        <v>6</v>
      </c>
      <c r="D3623" t="s">
        <v>29</v>
      </c>
      <c r="F3623">
        <v>321</v>
      </c>
    </row>
    <row r="3624" spans="1:8" x14ac:dyDescent="0.45">
      <c r="A3624" t="s">
        <v>66</v>
      </c>
      <c r="B3624" t="s">
        <v>20</v>
      </c>
      <c r="C3624">
        <v>6</v>
      </c>
      <c r="D3624" t="s">
        <v>19</v>
      </c>
      <c r="E3624">
        <v>1484829</v>
      </c>
      <c r="F3624">
        <v>2850</v>
      </c>
      <c r="G3624">
        <v>671</v>
      </c>
    </row>
    <row r="3625" spans="1:8" x14ac:dyDescent="0.45">
      <c r="A3625" t="s">
        <v>66</v>
      </c>
      <c r="B3625" t="s">
        <v>20</v>
      </c>
      <c r="C3625">
        <v>6</v>
      </c>
      <c r="D3625" t="s">
        <v>27</v>
      </c>
      <c r="F3625">
        <v>987</v>
      </c>
    </row>
    <row r="3626" spans="1:8" x14ac:dyDescent="0.45">
      <c r="A3626" t="s">
        <v>66</v>
      </c>
      <c r="B3626" t="s">
        <v>20</v>
      </c>
      <c r="C3626">
        <v>6</v>
      </c>
      <c r="D3626" t="s">
        <v>28</v>
      </c>
      <c r="F3626">
        <v>504</v>
      </c>
    </row>
    <row r="3627" spans="1:8" x14ac:dyDescent="0.45">
      <c r="A3627" t="s">
        <v>66</v>
      </c>
      <c r="B3627" t="s">
        <v>20</v>
      </c>
      <c r="C3627">
        <v>6</v>
      </c>
      <c r="D3627" t="s">
        <v>29</v>
      </c>
      <c r="F3627">
        <v>380</v>
      </c>
    </row>
    <row r="3628" spans="1:8" x14ac:dyDescent="0.45">
      <c r="A3628" t="s">
        <v>66</v>
      </c>
      <c r="B3628" t="s">
        <v>20</v>
      </c>
      <c r="C3628">
        <v>6</v>
      </c>
      <c r="D3628" t="s">
        <v>31</v>
      </c>
      <c r="H3628">
        <v>28</v>
      </c>
    </row>
    <row r="3629" spans="1:8" x14ac:dyDescent="0.45">
      <c r="A3629" t="s">
        <v>66</v>
      </c>
      <c r="B3629" t="s">
        <v>20</v>
      </c>
      <c r="C3629">
        <v>6</v>
      </c>
      <c r="D3629" t="s">
        <v>32</v>
      </c>
      <c r="H3629">
        <v>7</v>
      </c>
    </row>
    <row r="3630" spans="1:8" x14ac:dyDescent="0.45">
      <c r="A3630" t="s">
        <v>66</v>
      </c>
      <c r="B3630" t="s">
        <v>20</v>
      </c>
      <c r="C3630">
        <v>6</v>
      </c>
      <c r="D3630" t="s">
        <v>34</v>
      </c>
      <c r="H3630">
        <v>3</v>
      </c>
    </row>
    <row r="3631" spans="1:8" x14ac:dyDescent="0.45">
      <c r="A3631" t="s">
        <v>66</v>
      </c>
      <c r="B3631" t="s">
        <v>21</v>
      </c>
      <c r="C3631">
        <v>7</v>
      </c>
      <c r="D3631" t="s">
        <v>19</v>
      </c>
      <c r="E3631">
        <v>1078104</v>
      </c>
      <c r="F3631">
        <v>2323</v>
      </c>
      <c r="G3631">
        <v>674</v>
      </c>
    </row>
    <row r="3632" spans="1:8" x14ac:dyDescent="0.45">
      <c r="A3632" t="s">
        <v>66</v>
      </c>
      <c r="B3632" t="s">
        <v>21</v>
      </c>
      <c r="C3632">
        <v>7</v>
      </c>
      <c r="D3632" t="s">
        <v>27</v>
      </c>
      <c r="F3632">
        <v>1088</v>
      </c>
    </row>
    <row r="3633" spans="1:8" x14ac:dyDescent="0.45">
      <c r="A3633" t="s">
        <v>66</v>
      </c>
      <c r="B3633" t="s">
        <v>21</v>
      </c>
      <c r="C3633">
        <v>7</v>
      </c>
      <c r="D3633" t="s">
        <v>28</v>
      </c>
      <c r="F3633">
        <v>401</v>
      </c>
    </row>
    <row r="3634" spans="1:8" x14ac:dyDescent="0.45">
      <c r="A3634" t="s">
        <v>66</v>
      </c>
      <c r="B3634" t="s">
        <v>21</v>
      </c>
      <c r="C3634">
        <v>7</v>
      </c>
      <c r="D3634" t="s">
        <v>29</v>
      </c>
      <c r="F3634">
        <v>249</v>
      </c>
    </row>
    <row r="3635" spans="1:8" x14ac:dyDescent="0.45">
      <c r="A3635" t="s">
        <v>66</v>
      </c>
      <c r="B3635" t="s">
        <v>20</v>
      </c>
      <c r="C3635">
        <v>7</v>
      </c>
      <c r="D3635" t="s">
        <v>19</v>
      </c>
      <c r="E3635">
        <v>898103</v>
      </c>
      <c r="F3635">
        <v>1985</v>
      </c>
      <c r="G3635">
        <v>634</v>
      </c>
    </row>
    <row r="3636" spans="1:8" x14ac:dyDescent="0.45">
      <c r="A3636" t="s">
        <v>66</v>
      </c>
      <c r="B3636" t="s">
        <v>20</v>
      </c>
      <c r="C3636">
        <v>7</v>
      </c>
      <c r="D3636" t="s">
        <v>27</v>
      </c>
      <c r="F3636">
        <v>816</v>
      </c>
    </row>
    <row r="3637" spans="1:8" x14ac:dyDescent="0.45">
      <c r="A3637" t="s">
        <v>66</v>
      </c>
      <c r="B3637" t="s">
        <v>20</v>
      </c>
      <c r="C3637">
        <v>7</v>
      </c>
      <c r="D3637" t="s">
        <v>28</v>
      </c>
      <c r="F3637">
        <v>398</v>
      </c>
    </row>
    <row r="3638" spans="1:8" x14ac:dyDescent="0.45">
      <c r="A3638" t="s">
        <v>66</v>
      </c>
      <c r="B3638" t="s">
        <v>20</v>
      </c>
      <c r="C3638">
        <v>7</v>
      </c>
      <c r="D3638" t="s">
        <v>29</v>
      </c>
      <c r="F3638">
        <v>231</v>
      </c>
    </row>
    <row r="3639" spans="1:8" x14ac:dyDescent="0.45">
      <c r="A3639" t="s">
        <v>66</v>
      </c>
      <c r="B3639" t="s">
        <v>20</v>
      </c>
      <c r="C3639">
        <v>7</v>
      </c>
      <c r="D3639" t="s">
        <v>31</v>
      </c>
      <c r="H3639">
        <v>135</v>
      </c>
    </row>
    <row r="3640" spans="1:8" x14ac:dyDescent="0.45">
      <c r="A3640" t="s">
        <v>66</v>
      </c>
      <c r="B3640" t="s">
        <v>20</v>
      </c>
      <c r="C3640">
        <v>7</v>
      </c>
      <c r="D3640" t="s">
        <v>32</v>
      </c>
      <c r="H3640">
        <v>4</v>
      </c>
    </row>
    <row r="3641" spans="1:8" x14ac:dyDescent="0.45">
      <c r="A3641" t="s">
        <v>66</v>
      </c>
      <c r="B3641" t="s">
        <v>20</v>
      </c>
      <c r="C3641">
        <v>7</v>
      </c>
      <c r="D3641" t="s">
        <v>34</v>
      </c>
      <c r="H3641">
        <v>4</v>
      </c>
    </row>
    <row r="3642" spans="1:8" x14ac:dyDescent="0.45">
      <c r="A3642" t="s">
        <v>66</v>
      </c>
      <c r="B3642" t="s">
        <v>21</v>
      </c>
      <c r="C3642">
        <v>8</v>
      </c>
      <c r="D3642" t="s">
        <v>19</v>
      </c>
      <c r="E3642">
        <v>793382</v>
      </c>
      <c r="F3642">
        <v>1934</v>
      </c>
      <c r="G3642">
        <v>553</v>
      </c>
    </row>
    <row r="3643" spans="1:8" x14ac:dyDescent="0.45">
      <c r="A3643" t="s">
        <v>66</v>
      </c>
      <c r="B3643" t="s">
        <v>21</v>
      </c>
      <c r="C3643">
        <v>8</v>
      </c>
      <c r="D3643" t="s">
        <v>27</v>
      </c>
      <c r="F3643">
        <v>893</v>
      </c>
      <c r="G3643">
        <v>617</v>
      </c>
    </row>
    <row r="3644" spans="1:8" x14ac:dyDescent="0.45">
      <c r="A3644" t="s">
        <v>66</v>
      </c>
      <c r="B3644" t="s">
        <v>21</v>
      </c>
      <c r="C3644">
        <v>8</v>
      </c>
      <c r="D3644" t="s">
        <v>28</v>
      </c>
      <c r="F3644">
        <v>384</v>
      </c>
      <c r="G3644">
        <v>1164</v>
      </c>
    </row>
    <row r="3645" spans="1:8" x14ac:dyDescent="0.45">
      <c r="A3645" t="s">
        <v>66</v>
      </c>
      <c r="B3645" t="s">
        <v>21</v>
      </c>
      <c r="C3645">
        <v>8</v>
      </c>
      <c r="D3645" t="s">
        <v>29</v>
      </c>
      <c r="F3645">
        <v>191</v>
      </c>
      <c r="G3645">
        <v>908</v>
      </c>
    </row>
    <row r="3646" spans="1:8" x14ac:dyDescent="0.45">
      <c r="A3646" t="s">
        <v>66</v>
      </c>
      <c r="B3646" t="s">
        <v>20</v>
      </c>
      <c r="C3646">
        <v>8</v>
      </c>
      <c r="D3646" t="s">
        <v>19</v>
      </c>
      <c r="E3646">
        <v>740982</v>
      </c>
      <c r="F3646">
        <v>1616</v>
      </c>
      <c r="G3646">
        <v>517</v>
      </c>
    </row>
    <row r="3647" spans="1:8" x14ac:dyDescent="0.45">
      <c r="A3647" t="s">
        <v>66</v>
      </c>
      <c r="B3647" t="s">
        <v>20</v>
      </c>
      <c r="C3647">
        <v>8</v>
      </c>
      <c r="D3647" t="s">
        <v>27</v>
      </c>
      <c r="F3647">
        <v>767</v>
      </c>
      <c r="G3647">
        <v>1337</v>
      </c>
    </row>
    <row r="3648" spans="1:8" x14ac:dyDescent="0.45">
      <c r="A3648" t="s">
        <v>66</v>
      </c>
      <c r="B3648" t="s">
        <v>20</v>
      </c>
      <c r="C3648">
        <v>8</v>
      </c>
      <c r="D3648" t="s">
        <v>28</v>
      </c>
      <c r="F3648">
        <v>329</v>
      </c>
      <c r="G3648">
        <v>1392</v>
      </c>
    </row>
    <row r="3649" spans="1:8" x14ac:dyDescent="0.45">
      <c r="A3649" t="s">
        <v>66</v>
      </c>
      <c r="B3649" t="s">
        <v>20</v>
      </c>
      <c r="C3649">
        <v>8</v>
      </c>
      <c r="D3649" t="s">
        <v>29</v>
      </c>
      <c r="F3649">
        <v>165</v>
      </c>
      <c r="G3649">
        <v>961</v>
      </c>
    </row>
    <row r="3650" spans="1:8" x14ac:dyDescent="0.45">
      <c r="A3650" t="s">
        <v>66</v>
      </c>
      <c r="B3650" t="s">
        <v>20</v>
      </c>
      <c r="C3650">
        <v>8</v>
      </c>
      <c r="D3650" t="s">
        <v>31</v>
      </c>
      <c r="H3650">
        <v>11</v>
      </c>
    </row>
    <row r="3651" spans="1:8" x14ac:dyDescent="0.45">
      <c r="A3651" t="s">
        <v>66</v>
      </c>
      <c r="B3651" t="s">
        <v>20</v>
      </c>
      <c r="C3651">
        <v>8</v>
      </c>
      <c r="D3651" t="s">
        <v>32</v>
      </c>
      <c r="H3651">
        <v>3</v>
      </c>
    </row>
    <row r="3652" spans="1:8" x14ac:dyDescent="0.45">
      <c r="A3652" t="s">
        <v>66</v>
      </c>
      <c r="B3652" t="s">
        <v>20</v>
      </c>
      <c r="C3652">
        <v>8</v>
      </c>
      <c r="D3652" t="s">
        <v>34</v>
      </c>
      <c r="H3652">
        <v>1</v>
      </c>
    </row>
    <row r="3653" spans="1:8" x14ac:dyDescent="0.45">
      <c r="A3653" t="s">
        <v>66</v>
      </c>
      <c r="B3653" t="s">
        <v>21</v>
      </c>
      <c r="C3653">
        <v>9</v>
      </c>
      <c r="D3653" t="s">
        <v>19</v>
      </c>
      <c r="E3653">
        <v>707320</v>
      </c>
      <c r="F3653">
        <v>1826</v>
      </c>
      <c r="G3653">
        <v>501</v>
      </c>
    </row>
    <row r="3654" spans="1:8" x14ac:dyDescent="0.45">
      <c r="A3654" t="s">
        <v>66</v>
      </c>
      <c r="B3654" t="s">
        <v>21</v>
      </c>
      <c r="C3654">
        <v>9</v>
      </c>
      <c r="D3654" t="s">
        <v>27</v>
      </c>
      <c r="F3654">
        <v>944</v>
      </c>
    </row>
    <row r="3655" spans="1:8" x14ac:dyDescent="0.45">
      <c r="A3655" t="s">
        <v>66</v>
      </c>
      <c r="B3655" t="s">
        <v>21</v>
      </c>
      <c r="C3655">
        <v>9</v>
      </c>
      <c r="D3655" t="s">
        <v>28</v>
      </c>
      <c r="F3655">
        <v>315</v>
      </c>
    </row>
    <row r="3656" spans="1:8" x14ac:dyDescent="0.45">
      <c r="A3656" t="s">
        <v>66</v>
      </c>
      <c r="B3656" t="s">
        <v>21</v>
      </c>
      <c r="C3656">
        <v>9</v>
      </c>
      <c r="D3656" t="s">
        <v>29</v>
      </c>
      <c r="F3656">
        <v>180</v>
      </c>
    </row>
    <row r="3657" spans="1:8" x14ac:dyDescent="0.45">
      <c r="A3657" t="s">
        <v>66</v>
      </c>
      <c r="B3657" t="s">
        <v>20</v>
      </c>
      <c r="C3657">
        <v>9</v>
      </c>
      <c r="D3657" t="s">
        <v>19</v>
      </c>
      <c r="E3657">
        <v>796871</v>
      </c>
      <c r="F3657">
        <v>1952</v>
      </c>
      <c r="G3657">
        <v>575</v>
      </c>
    </row>
    <row r="3658" spans="1:8" x14ac:dyDescent="0.45">
      <c r="A3658" t="s">
        <v>66</v>
      </c>
      <c r="B3658" t="s">
        <v>20</v>
      </c>
      <c r="C3658">
        <v>9</v>
      </c>
      <c r="D3658" t="s">
        <v>27</v>
      </c>
      <c r="F3658">
        <v>1011</v>
      </c>
    </row>
    <row r="3659" spans="1:8" x14ac:dyDescent="0.45">
      <c r="A3659" t="s">
        <v>66</v>
      </c>
      <c r="B3659" t="s">
        <v>20</v>
      </c>
      <c r="C3659">
        <v>9</v>
      </c>
      <c r="D3659" t="s">
        <v>28</v>
      </c>
      <c r="F3659">
        <v>361</v>
      </c>
    </row>
    <row r="3660" spans="1:8" x14ac:dyDescent="0.45">
      <c r="A3660" t="s">
        <v>66</v>
      </c>
      <c r="B3660" t="s">
        <v>20</v>
      </c>
      <c r="C3660">
        <v>9</v>
      </c>
      <c r="D3660" t="s">
        <v>29</v>
      </c>
      <c r="F3660">
        <v>203</v>
      </c>
    </row>
    <row r="3661" spans="1:8" x14ac:dyDescent="0.45">
      <c r="A3661" t="s">
        <v>66</v>
      </c>
      <c r="B3661" t="s">
        <v>20</v>
      </c>
      <c r="C3661">
        <v>9</v>
      </c>
      <c r="D3661" t="s">
        <v>31</v>
      </c>
      <c r="H3661">
        <v>76</v>
      </c>
    </row>
    <row r="3662" spans="1:8" x14ac:dyDescent="0.45">
      <c r="A3662" t="s">
        <v>66</v>
      </c>
      <c r="B3662" t="s">
        <v>20</v>
      </c>
      <c r="C3662">
        <v>9</v>
      </c>
      <c r="D3662" t="s">
        <v>32</v>
      </c>
      <c r="H3662">
        <v>6</v>
      </c>
    </row>
    <row r="3663" spans="1:8" x14ac:dyDescent="0.45">
      <c r="A3663" t="s">
        <v>66</v>
      </c>
      <c r="B3663" t="s">
        <v>20</v>
      </c>
      <c r="C3663">
        <v>9</v>
      </c>
      <c r="D3663" t="s">
        <v>34</v>
      </c>
      <c r="H3663">
        <v>3</v>
      </c>
    </row>
    <row r="3664" spans="1:8" x14ac:dyDescent="0.45">
      <c r="A3664" t="s">
        <v>66</v>
      </c>
      <c r="B3664" t="s">
        <v>21</v>
      </c>
      <c r="C3664">
        <v>10</v>
      </c>
      <c r="D3664" t="s">
        <v>19</v>
      </c>
      <c r="E3664">
        <v>1155548</v>
      </c>
      <c r="F3664">
        <v>2955</v>
      </c>
      <c r="G3664">
        <v>756</v>
      </c>
    </row>
    <row r="3665" spans="1:8" x14ac:dyDescent="0.45">
      <c r="A3665" t="s">
        <v>66</v>
      </c>
      <c r="B3665" t="s">
        <v>21</v>
      </c>
      <c r="C3665">
        <v>10</v>
      </c>
      <c r="D3665" t="s">
        <v>27</v>
      </c>
      <c r="F3665">
        <v>1421</v>
      </c>
    </row>
    <row r="3666" spans="1:8" x14ac:dyDescent="0.45">
      <c r="A3666" t="s">
        <v>66</v>
      </c>
      <c r="B3666" t="s">
        <v>21</v>
      </c>
      <c r="C3666">
        <v>10</v>
      </c>
      <c r="D3666" t="s">
        <v>28</v>
      </c>
      <c r="F3666">
        <v>566</v>
      </c>
    </row>
    <row r="3667" spans="1:8" x14ac:dyDescent="0.45">
      <c r="A3667" t="s">
        <v>66</v>
      </c>
      <c r="B3667" t="s">
        <v>21</v>
      </c>
      <c r="C3667">
        <v>10</v>
      </c>
      <c r="D3667" t="s">
        <v>29</v>
      </c>
      <c r="F3667">
        <v>328</v>
      </c>
    </row>
    <row r="3668" spans="1:8" x14ac:dyDescent="0.45">
      <c r="A3668" t="s">
        <v>66</v>
      </c>
      <c r="B3668" t="s">
        <v>20</v>
      </c>
      <c r="C3668">
        <v>10</v>
      </c>
      <c r="D3668" t="s">
        <v>19</v>
      </c>
      <c r="E3668">
        <v>1229823</v>
      </c>
      <c r="F3668">
        <v>2540</v>
      </c>
      <c r="G3668">
        <v>763</v>
      </c>
    </row>
    <row r="3669" spans="1:8" x14ac:dyDescent="0.45">
      <c r="A3669" t="s">
        <v>66</v>
      </c>
      <c r="B3669" t="s">
        <v>20</v>
      </c>
      <c r="C3669">
        <v>10</v>
      </c>
      <c r="D3669" t="s">
        <v>27</v>
      </c>
      <c r="F3669">
        <v>1063</v>
      </c>
    </row>
    <row r="3670" spans="1:8" x14ac:dyDescent="0.45">
      <c r="A3670" t="s">
        <v>66</v>
      </c>
      <c r="B3670" t="s">
        <v>20</v>
      </c>
      <c r="C3670">
        <v>10</v>
      </c>
      <c r="D3670" t="s">
        <v>28</v>
      </c>
      <c r="F3670">
        <v>511</v>
      </c>
    </row>
    <row r="3671" spans="1:8" x14ac:dyDescent="0.45">
      <c r="A3671" t="s">
        <v>66</v>
      </c>
      <c r="B3671" t="s">
        <v>20</v>
      </c>
      <c r="C3671">
        <v>10</v>
      </c>
      <c r="D3671" t="s">
        <v>29</v>
      </c>
      <c r="F3671">
        <v>311</v>
      </c>
    </row>
    <row r="3672" spans="1:8" x14ac:dyDescent="0.45">
      <c r="A3672" t="s">
        <v>66</v>
      </c>
      <c r="B3672" t="s">
        <v>20</v>
      </c>
      <c r="C3672">
        <v>10</v>
      </c>
      <c r="D3672" t="s">
        <v>31</v>
      </c>
      <c r="H3672">
        <v>90</v>
      </c>
    </row>
    <row r="3673" spans="1:8" x14ac:dyDescent="0.45">
      <c r="A3673" t="s">
        <v>66</v>
      </c>
      <c r="B3673" t="s">
        <v>20</v>
      </c>
      <c r="C3673">
        <v>10</v>
      </c>
      <c r="D3673" t="s">
        <v>32</v>
      </c>
      <c r="H3673">
        <v>8</v>
      </c>
    </row>
    <row r="3674" spans="1:8" x14ac:dyDescent="0.45">
      <c r="A3674" t="s">
        <v>66</v>
      </c>
      <c r="B3674" t="s">
        <v>20</v>
      </c>
      <c r="C3674">
        <v>10</v>
      </c>
      <c r="D3674" t="s">
        <v>34</v>
      </c>
      <c r="H3674">
        <v>5</v>
      </c>
    </row>
    <row r="3675" spans="1:8" x14ac:dyDescent="0.45">
      <c r="A3675" t="s">
        <v>66</v>
      </c>
      <c r="B3675" t="s">
        <v>21</v>
      </c>
      <c r="C3675">
        <v>11</v>
      </c>
      <c r="D3675" t="s">
        <v>19</v>
      </c>
      <c r="E3675">
        <v>1068957</v>
      </c>
      <c r="F3675">
        <v>2439</v>
      </c>
      <c r="G3675">
        <v>666</v>
      </c>
    </row>
    <row r="3676" spans="1:8" x14ac:dyDescent="0.45">
      <c r="A3676" t="s">
        <v>66</v>
      </c>
      <c r="B3676" t="s">
        <v>21</v>
      </c>
      <c r="C3676">
        <v>11</v>
      </c>
      <c r="D3676" t="s">
        <v>27</v>
      </c>
      <c r="F3676">
        <v>1162</v>
      </c>
    </row>
    <row r="3677" spans="1:8" x14ac:dyDescent="0.45">
      <c r="A3677" t="s">
        <v>66</v>
      </c>
      <c r="B3677" t="s">
        <v>21</v>
      </c>
      <c r="C3677">
        <v>11</v>
      </c>
      <c r="D3677" t="s">
        <v>28</v>
      </c>
      <c r="F3677">
        <v>463</v>
      </c>
    </row>
    <row r="3678" spans="1:8" x14ac:dyDescent="0.45">
      <c r="A3678" t="s">
        <v>66</v>
      </c>
      <c r="B3678" t="s">
        <v>21</v>
      </c>
      <c r="C3678">
        <v>11</v>
      </c>
      <c r="D3678" t="s">
        <v>29</v>
      </c>
      <c r="F3678">
        <v>292</v>
      </c>
    </row>
    <row r="3679" spans="1:8" x14ac:dyDescent="0.45">
      <c r="A3679" t="s">
        <v>66</v>
      </c>
      <c r="B3679" t="s">
        <v>20</v>
      </c>
      <c r="C3679">
        <v>11</v>
      </c>
      <c r="D3679" t="s">
        <v>19</v>
      </c>
      <c r="E3679">
        <v>1049045</v>
      </c>
      <c r="F3679">
        <v>2405</v>
      </c>
      <c r="G3679">
        <v>682</v>
      </c>
    </row>
    <row r="3680" spans="1:8" x14ac:dyDescent="0.45">
      <c r="A3680" t="s">
        <v>66</v>
      </c>
      <c r="B3680" t="s">
        <v>20</v>
      </c>
      <c r="C3680">
        <v>11</v>
      </c>
      <c r="D3680" t="s">
        <v>27</v>
      </c>
      <c r="F3680">
        <v>990</v>
      </c>
    </row>
    <row r="3681" spans="1:8" x14ac:dyDescent="0.45">
      <c r="A3681" t="s">
        <v>66</v>
      </c>
      <c r="B3681" t="s">
        <v>20</v>
      </c>
      <c r="C3681">
        <v>11</v>
      </c>
      <c r="D3681" t="s">
        <v>28</v>
      </c>
      <c r="F3681">
        <v>464</v>
      </c>
    </row>
    <row r="3682" spans="1:8" x14ac:dyDescent="0.45">
      <c r="A3682" t="s">
        <v>66</v>
      </c>
      <c r="B3682" t="s">
        <v>20</v>
      </c>
      <c r="C3682">
        <v>11</v>
      </c>
      <c r="D3682" t="s">
        <v>29</v>
      </c>
      <c r="F3682">
        <v>316</v>
      </c>
    </row>
    <row r="3683" spans="1:8" x14ac:dyDescent="0.45">
      <c r="A3683" t="s">
        <v>66</v>
      </c>
      <c r="B3683" t="s">
        <v>20</v>
      </c>
      <c r="C3683">
        <v>11</v>
      </c>
      <c r="D3683" t="s">
        <v>31</v>
      </c>
      <c r="H3683">
        <v>185</v>
      </c>
    </row>
    <row r="3684" spans="1:8" x14ac:dyDescent="0.45">
      <c r="A3684" t="s">
        <v>66</v>
      </c>
      <c r="B3684" t="s">
        <v>20</v>
      </c>
      <c r="C3684">
        <v>11</v>
      </c>
      <c r="D3684" t="s">
        <v>32</v>
      </c>
      <c r="H3684">
        <v>3</v>
      </c>
    </row>
    <row r="3685" spans="1:8" x14ac:dyDescent="0.45">
      <c r="A3685" t="s">
        <v>66</v>
      </c>
      <c r="B3685" t="s">
        <v>20</v>
      </c>
      <c r="C3685">
        <v>11</v>
      </c>
      <c r="D3685" t="s">
        <v>34</v>
      </c>
      <c r="H3685">
        <v>6</v>
      </c>
    </row>
    <row r="3686" spans="1:8" x14ac:dyDescent="0.45">
      <c r="A3686" t="s">
        <v>66</v>
      </c>
      <c r="B3686" t="s">
        <v>21</v>
      </c>
      <c r="C3686">
        <v>12</v>
      </c>
      <c r="D3686" t="s">
        <v>19</v>
      </c>
      <c r="E3686">
        <v>1053332</v>
      </c>
      <c r="F3686">
        <v>2825</v>
      </c>
      <c r="G3686">
        <v>694</v>
      </c>
    </row>
    <row r="3687" spans="1:8" x14ac:dyDescent="0.45">
      <c r="A3687" t="s">
        <v>66</v>
      </c>
      <c r="B3687" t="s">
        <v>21</v>
      </c>
      <c r="C3687">
        <v>12</v>
      </c>
      <c r="D3687" t="s">
        <v>27</v>
      </c>
      <c r="F3687">
        <v>1270</v>
      </c>
    </row>
    <row r="3688" spans="1:8" x14ac:dyDescent="0.45">
      <c r="A3688" t="s">
        <v>66</v>
      </c>
      <c r="B3688" t="s">
        <v>21</v>
      </c>
      <c r="C3688">
        <v>12</v>
      </c>
      <c r="D3688" t="s">
        <v>28</v>
      </c>
      <c r="F3688">
        <v>539</v>
      </c>
    </row>
    <row r="3689" spans="1:8" x14ac:dyDescent="0.45">
      <c r="A3689" t="s">
        <v>66</v>
      </c>
      <c r="B3689" t="s">
        <v>21</v>
      </c>
      <c r="C3689">
        <v>12</v>
      </c>
      <c r="D3689" t="s">
        <v>29</v>
      </c>
      <c r="F3689">
        <v>391</v>
      </c>
    </row>
    <row r="3690" spans="1:8" x14ac:dyDescent="0.45">
      <c r="A3690" t="s">
        <v>66</v>
      </c>
      <c r="B3690" t="s">
        <v>20</v>
      </c>
      <c r="C3690">
        <v>12</v>
      </c>
      <c r="D3690" t="s">
        <v>19</v>
      </c>
      <c r="E3690">
        <v>979815</v>
      </c>
      <c r="F3690">
        <v>2438</v>
      </c>
      <c r="G3690">
        <v>701</v>
      </c>
    </row>
    <row r="3691" spans="1:8" x14ac:dyDescent="0.45">
      <c r="A3691" t="s">
        <v>66</v>
      </c>
      <c r="B3691" t="s">
        <v>20</v>
      </c>
      <c r="C3691">
        <v>12</v>
      </c>
      <c r="D3691" t="s">
        <v>27</v>
      </c>
      <c r="F3691">
        <v>1126</v>
      </c>
    </row>
    <row r="3692" spans="1:8" x14ac:dyDescent="0.45">
      <c r="A3692" t="s">
        <v>66</v>
      </c>
      <c r="B3692" t="s">
        <v>20</v>
      </c>
      <c r="C3692">
        <v>12</v>
      </c>
      <c r="D3692" t="s">
        <v>28</v>
      </c>
      <c r="F3692">
        <v>431</v>
      </c>
    </row>
    <row r="3693" spans="1:8" x14ac:dyDescent="0.45">
      <c r="A3693" t="s">
        <v>66</v>
      </c>
      <c r="B3693" t="s">
        <v>20</v>
      </c>
      <c r="C3693">
        <v>12</v>
      </c>
      <c r="D3693" t="s">
        <v>29</v>
      </c>
      <c r="F3693">
        <v>325</v>
      </c>
    </row>
    <row r="3694" spans="1:8" x14ac:dyDescent="0.45">
      <c r="A3694" t="s">
        <v>66</v>
      </c>
      <c r="B3694" t="s">
        <v>20</v>
      </c>
      <c r="C3694">
        <v>12</v>
      </c>
      <c r="D3694" t="s">
        <v>31</v>
      </c>
      <c r="H3694">
        <v>95</v>
      </c>
    </row>
    <row r="3695" spans="1:8" x14ac:dyDescent="0.45">
      <c r="A3695" t="s">
        <v>66</v>
      </c>
      <c r="B3695" t="s">
        <v>20</v>
      </c>
      <c r="C3695">
        <v>12</v>
      </c>
      <c r="D3695" t="s">
        <v>32</v>
      </c>
      <c r="H3695">
        <v>5</v>
      </c>
    </row>
    <row r="3696" spans="1:8" x14ac:dyDescent="0.45">
      <c r="A3696" t="s">
        <v>66</v>
      </c>
      <c r="B3696" t="s">
        <v>20</v>
      </c>
      <c r="C3696">
        <v>12</v>
      </c>
      <c r="D3696" t="s">
        <v>34</v>
      </c>
      <c r="H3696">
        <v>6</v>
      </c>
    </row>
    <row r="3697" spans="1:8" x14ac:dyDescent="0.45">
      <c r="A3697" t="s">
        <v>50</v>
      </c>
      <c r="B3697" t="s">
        <v>21</v>
      </c>
      <c r="C3697">
        <v>1</v>
      </c>
      <c r="D3697" t="s">
        <v>19</v>
      </c>
      <c r="E3697">
        <v>584085</v>
      </c>
      <c r="F3697">
        <v>1044</v>
      </c>
      <c r="G3697">
        <v>296</v>
      </c>
    </row>
    <row r="3698" spans="1:8" x14ac:dyDescent="0.45">
      <c r="A3698" t="s">
        <v>50</v>
      </c>
      <c r="B3698" t="s">
        <v>21</v>
      </c>
      <c r="C3698">
        <v>1</v>
      </c>
      <c r="D3698" t="s">
        <v>27</v>
      </c>
      <c r="F3698">
        <v>337</v>
      </c>
    </row>
    <row r="3699" spans="1:8" x14ac:dyDescent="0.45">
      <c r="A3699" t="s">
        <v>50</v>
      </c>
      <c r="B3699" t="s">
        <v>21</v>
      </c>
      <c r="C3699">
        <v>1</v>
      </c>
      <c r="D3699" t="s">
        <v>28</v>
      </c>
      <c r="F3699">
        <v>186</v>
      </c>
    </row>
    <row r="3700" spans="1:8" x14ac:dyDescent="0.45">
      <c r="A3700" t="s">
        <v>50</v>
      </c>
      <c r="B3700" t="s">
        <v>21</v>
      </c>
      <c r="C3700">
        <v>1</v>
      </c>
      <c r="D3700" t="s">
        <v>29</v>
      </c>
      <c r="F3700">
        <v>149</v>
      </c>
    </row>
    <row r="3701" spans="1:8" x14ac:dyDescent="0.45">
      <c r="A3701" t="s">
        <v>50</v>
      </c>
      <c r="B3701" t="s">
        <v>20</v>
      </c>
      <c r="C3701">
        <v>1</v>
      </c>
      <c r="D3701" t="s">
        <v>19</v>
      </c>
      <c r="E3701">
        <v>578255</v>
      </c>
      <c r="F3701">
        <v>1031</v>
      </c>
      <c r="G3701">
        <v>306</v>
      </c>
    </row>
    <row r="3702" spans="1:8" x14ac:dyDescent="0.45">
      <c r="A3702" t="s">
        <v>50</v>
      </c>
      <c r="B3702" t="s">
        <v>20</v>
      </c>
      <c r="C3702">
        <v>1</v>
      </c>
      <c r="D3702" t="s">
        <v>27</v>
      </c>
      <c r="F3702">
        <v>392</v>
      </c>
    </row>
    <row r="3703" spans="1:8" x14ac:dyDescent="0.45">
      <c r="A3703" t="s">
        <v>50</v>
      </c>
      <c r="B3703" t="s">
        <v>20</v>
      </c>
      <c r="C3703">
        <v>1</v>
      </c>
      <c r="D3703" t="s">
        <v>28</v>
      </c>
      <c r="F3703">
        <v>152</v>
      </c>
    </row>
    <row r="3704" spans="1:8" x14ac:dyDescent="0.45">
      <c r="A3704" t="s">
        <v>50</v>
      </c>
      <c r="B3704" t="s">
        <v>20</v>
      </c>
      <c r="C3704">
        <v>1</v>
      </c>
      <c r="D3704" t="s">
        <v>29</v>
      </c>
      <c r="F3704">
        <v>152</v>
      </c>
    </row>
    <row r="3705" spans="1:8" x14ac:dyDescent="0.45">
      <c r="A3705" t="s">
        <v>50</v>
      </c>
      <c r="B3705" t="s">
        <v>20</v>
      </c>
      <c r="C3705">
        <v>1</v>
      </c>
      <c r="D3705" t="s">
        <v>31</v>
      </c>
      <c r="H3705">
        <v>56</v>
      </c>
    </row>
    <row r="3706" spans="1:8" x14ac:dyDescent="0.45">
      <c r="A3706" t="s">
        <v>50</v>
      </c>
      <c r="B3706" t="s">
        <v>20</v>
      </c>
      <c r="C3706">
        <v>1</v>
      </c>
      <c r="D3706" t="s">
        <v>32</v>
      </c>
      <c r="H3706">
        <v>6</v>
      </c>
    </row>
    <row r="3707" spans="1:8" x14ac:dyDescent="0.45">
      <c r="A3707" t="s">
        <v>50</v>
      </c>
      <c r="B3707" t="s">
        <v>20</v>
      </c>
      <c r="C3707">
        <v>1</v>
      </c>
      <c r="D3707" t="s">
        <v>34</v>
      </c>
    </row>
    <row r="3708" spans="1:8" x14ac:dyDescent="0.45">
      <c r="A3708" t="s">
        <v>50</v>
      </c>
      <c r="B3708" t="s">
        <v>21</v>
      </c>
      <c r="C3708">
        <v>2</v>
      </c>
      <c r="D3708" t="s">
        <v>19</v>
      </c>
      <c r="E3708">
        <v>465790</v>
      </c>
      <c r="F3708">
        <v>892</v>
      </c>
      <c r="G3708">
        <v>278</v>
      </c>
    </row>
    <row r="3709" spans="1:8" x14ac:dyDescent="0.45">
      <c r="A3709" t="s">
        <v>50</v>
      </c>
      <c r="B3709" t="s">
        <v>21</v>
      </c>
      <c r="C3709">
        <v>2</v>
      </c>
      <c r="D3709" t="s">
        <v>27</v>
      </c>
      <c r="F3709">
        <v>374</v>
      </c>
    </row>
    <row r="3710" spans="1:8" x14ac:dyDescent="0.45">
      <c r="A3710" t="s">
        <v>50</v>
      </c>
      <c r="B3710" t="s">
        <v>21</v>
      </c>
      <c r="C3710">
        <v>2</v>
      </c>
      <c r="D3710" t="s">
        <v>28</v>
      </c>
      <c r="F3710">
        <v>141</v>
      </c>
    </row>
    <row r="3711" spans="1:8" x14ac:dyDescent="0.45">
      <c r="A3711" t="s">
        <v>50</v>
      </c>
      <c r="B3711" t="s">
        <v>21</v>
      </c>
      <c r="C3711">
        <v>2</v>
      </c>
      <c r="D3711" t="s">
        <v>29</v>
      </c>
      <c r="F3711">
        <v>125</v>
      </c>
    </row>
    <row r="3712" spans="1:8" x14ac:dyDescent="0.45">
      <c r="A3712" t="s">
        <v>50</v>
      </c>
      <c r="B3712" t="s">
        <v>20</v>
      </c>
      <c r="C3712">
        <v>2</v>
      </c>
      <c r="D3712" t="s">
        <v>19</v>
      </c>
      <c r="E3712">
        <v>435405</v>
      </c>
      <c r="F3712">
        <v>811</v>
      </c>
      <c r="G3712">
        <v>246</v>
      </c>
    </row>
    <row r="3713" spans="1:8" x14ac:dyDescent="0.45">
      <c r="A3713" t="s">
        <v>50</v>
      </c>
      <c r="B3713" t="s">
        <v>20</v>
      </c>
      <c r="C3713">
        <v>2</v>
      </c>
      <c r="D3713" t="s">
        <v>27</v>
      </c>
      <c r="F3713">
        <v>365</v>
      </c>
    </row>
    <row r="3714" spans="1:8" x14ac:dyDescent="0.45">
      <c r="A3714" t="s">
        <v>50</v>
      </c>
      <c r="B3714" t="s">
        <v>20</v>
      </c>
      <c r="C3714">
        <v>2</v>
      </c>
      <c r="D3714" t="s">
        <v>28</v>
      </c>
      <c r="F3714">
        <v>115</v>
      </c>
    </row>
    <row r="3715" spans="1:8" x14ac:dyDescent="0.45">
      <c r="A3715" t="s">
        <v>50</v>
      </c>
      <c r="B3715" t="s">
        <v>20</v>
      </c>
      <c r="C3715">
        <v>2</v>
      </c>
      <c r="D3715" t="s">
        <v>29</v>
      </c>
      <c r="F3715">
        <v>89</v>
      </c>
    </row>
    <row r="3716" spans="1:8" x14ac:dyDescent="0.45">
      <c r="A3716" t="s">
        <v>50</v>
      </c>
      <c r="B3716" t="s">
        <v>20</v>
      </c>
      <c r="C3716">
        <v>2</v>
      </c>
      <c r="D3716" t="s">
        <v>31</v>
      </c>
      <c r="H3716">
        <v>41</v>
      </c>
    </row>
    <row r="3717" spans="1:8" x14ac:dyDescent="0.45">
      <c r="A3717" t="s">
        <v>50</v>
      </c>
      <c r="B3717" t="s">
        <v>20</v>
      </c>
      <c r="C3717">
        <v>2</v>
      </c>
      <c r="D3717" t="s">
        <v>32</v>
      </c>
      <c r="H3717">
        <v>3</v>
      </c>
    </row>
    <row r="3718" spans="1:8" x14ac:dyDescent="0.45">
      <c r="A3718" t="s">
        <v>50</v>
      </c>
      <c r="B3718" t="s">
        <v>20</v>
      </c>
      <c r="C3718">
        <v>2</v>
      </c>
      <c r="D3718" t="s">
        <v>34</v>
      </c>
      <c r="H3718">
        <v>2</v>
      </c>
    </row>
    <row r="3719" spans="1:8" x14ac:dyDescent="0.45">
      <c r="A3719" t="s">
        <v>50</v>
      </c>
      <c r="B3719" t="s">
        <v>21</v>
      </c>
      <c r="C3719">
        <v>3</v>
      </c>
      <c r="D3719" t="s">
        <v>19</v>
      </c>
      <c r="E3719">
        <v>1185161</v>
      </c>
      <c r="F3719">
        <v>1834</v>
      </c>
      <c r="G3719">
        <v>518</v>
      </c>
    </row>
    <row r="3720" spans="1:8" x14ac:dyDescent="0.45">
      <c r="A3720" t="s">
        <v>50</v>
      </c>
      <c r="B3720" t="s">
        <v>21</v>
      </c>
      <c r="C3720">
        <v>3</v>
      </c>
      <c r="D3720" t="s">
        <v>27</v>
      </c>
      <c r="F3720">
        <v>396</v>
      </c>
    </row>
    <row r="3721" spans="1:8" x14ac:dyDescent="0.45">
      <c r="A3721" t="s">
        <v>50</v>
      </c>
      <c r="B3721" t="s">
        <v>21</v>
      </c>
      <c r="C3721">
        <v>3</v>
      </c>
      <c r="D3721" t="s">
        <v>28</v>
      </c>
      <c r="F3721">
        <v>239</v>
      </c>
    </row>
    <row r="3722" spans="1:8" x14ac:dyDescent="0.45">
      <c r="A3722" t="s">
        <v>50</v>
      </c>
      <c r="B3722" t="s">
        <v>21</v>
      </c>
      <c r="C3722">
        <v>3</v>
      </c>
      <c r="D3722" t="s">
        <v>29</v>
      </c>
      <c r="F3722">
        <v>171</v>
      </c>
    </row>
    <row r="3723" spans="1:8" x14ac:dyDescent="0.45">
      <c r="A3723" t="s">
        <v>50</v>
      </c>
      <c r="B3723" t="s">
        <v>20</v>
      </c>
      <c r="C3723">
        <v>3</v>
      </c>
      <c r="D3723" t="s">
        <v>19</v>
      </c>
      <c r="E3723">
        <v>1004028</v>
      </c>
      <c r="F3723">
        <v>1545</v>
      </c>
      <c r="G3723">
        <v>445</v>
      </c>
    </row>
    <row r="3724" spans="1:8" x14ac:dyDescent="0.45">
      <c r="A3724" t="s">
        <v>50</v>
      </c>
      <c r="B3724" t="s">
        <v>20</v>
      </c>
      <c r="C3724">
        <v>3</v>
      </c>
      <c r="D3724" t="s">
        <v>27</v>
      </c>
      <c r="F3724">
        <v>477</v>
      </c>
    </row>
    <row r="3725" spans="1:8" x14ac:dyDescent="0.45">
      <c r="A3725" t="s">
        <v>50</v>
      </c>
      <c r="B3725" t="s">
        <v>20</v>
      </c>
      <c r="C3725">
        <v>3</v>
      </c>
      <c r="D3725" t="s">
        <v>28</v>
      </c>
      <c r="F3725">
        <v>245</v>
      </c>
    </row>
    <row r="3726" spans="1:8" x14ac:dyDescent="0.45">
      <c r="A3726" t="s">
        <v>50</v>
      </c>
      <c r="B3726" t="s">
        <v>20</v>
      </c>
      <c r="C3726">
        <v>3</v>
      </c>
      <c r="D3726" t="s">
        <v>29</v>
      </c>
      <c r="F3726">
        <v>218</v>
      </c>
    </row>
    <row r="3727" spans="1:8" x14ac:dyDescent="0.45">
      <c r="A3727" t="s">
        <v>50</v>
      </c>
      <c r="B3727" t="s">
        <v>20</v>
      </c>
      <c r="C3727">
        <v>3</v>
      </c>
      <c r="D3727" t="s">
        <v>31</v>
      </c>
      <c r="H3727">
        <v>78</v>
      </c>
    </row>
    <row r="3728" spans="1:8" x14ac:dyDescent="0.45">
      <c r="A3728" t="s">
        <v>50</v>
      </c>
      <c r="B3728" t="s">
        <v>20</v>
      </c>
      <c r="C3728">
        <v>3</v>
      </c>
      <c r="D3728" t="s">
        <v>32</v>
      </c>
      <c r="H3728">
        <v>5</v>
      </c>
    </row>
    <row r="3729" spans="1:8" x14ac:dyDescent="0.45">
      <c r="A3729" t="s">
        <v>50</v>
      </c>
      <c r="B3729" t="s">
        <v>20</v>
      </c>
      <c r="C3729">
        <v>3</v>
      </c>
      <c r="D3729" t="s">
        <v>34</v>
      </c>
      <c r="H3729">
        <v>4</v>
      </c>
    </row>
    <row r="3730" spans="1:8" x14ac:dyDescent="0.45">
      <c r="A3730" t="s">
        <v>50</v>
      </c>
      <c r="B3730" t="s">
        <v>21</v>
      </c>
      <c r="C3730">
        <v>4</v>
      </c>
      <c r="D3730" t="s">
        <v>19</v>
      </c>
      <c r="E3730">
        <v>1616065</v>
      </c>
      <c r="F3730">
        <v>2317</v>
      </c>
      <c r="G3730">
        <v>575</v>
      </c>
    </row>
    <row r="3731" spans="1:8" x14ac:dyDescent="0.45">
      <c r="A3731" t="s">
        <v>50</v>
      </c>
      <c r="B3731" t="s">
        <v>21</v>
      </c>
      <c r="C3731">
        <v>4</v>
      </c>
      <c r="D3731" t="s">
        <v>27</v>
      </c>
      <c r="F3731">
        <v>559</v>
      </c>
    </row>
    <row r="3732" spans="1:8" x14ac:dyDescent="0.45">
      <c r="A3732" t="s">
        <v>50</v>
      </c>
      <c r="B3732" t="s">
        <v>21</v>
      </c>
      <c r="C3732">
        <v>4</v>
      </c>
      <c r="D3732" t="s">
        <v>28</v>
      </c>
      <c r="F3732">
        <v>304</v>
      </c>
    </row>
    <row r="3733" spans="1:8" x14ac:dyDescent="0.45">
      <c r="A3733" t="s">
        <v>50</v>
      </c>
      <c r="B3733" t="s">
        <v>21</v>
      </c>
      <c r="C3733">
        <v>4</v>
      </c>
      <c r="D3733" t="s">
        <v>29</v>
      </c>
      <c r="F3733">
        <v>304</v>
      </c>
    </row>
    <row r="3734" spans="1:8" x14ac:dyDescent="0.45">
      <c r="A3734" t="s">
        <v>50</v>
      </c>
      <c r="B3734" t="s">
        <v>20</v>
      </c>
      <c r="C3734">
        <v>4</v>
      </c>
      <c r="D3734" t="s">
        <v>19</v>
      </c>
      <c r="E3734">
        <v>1674619</v>
      </c>
      <c r="F3734">
        <v>2113</v>
      </c>
      <c r="G3734">
        <v>566</v>
      </c>
    </row>
    <row r="3735" spans="1:8" x14ac:dyDescent="0.45">
      <c r="A3735" t="s">
        <v>50</v>
      </c>
      <c r="B3735" t="s">
        <v>20</v>
      </c>
      <c r="C3735">
        <v>4</v>
      </c>
      <c r="D3735" t="s">
        <v>27</v>
      </c>
      <c r="F3735">
        <v>448</v>
      </c>
    </row>
    <row r="3736" spans="1:8" x14ac:dyDescent="0.45">
      <c r="A3736" t="s">
        <v>50</v>
      </c>
      <c r="B3736" t="s">
        <v>20</v>
      </c>
      <c r="C3736">
        <v>4</v>
      </c>
      <c r="D3736" t="s">
        <v>28</v>
      </c>
      <c r="F3736">
        <v>291</v>
      </c>
    </row>
    <row r="3737" spans="1:8" x14ac:dyDescent="0.45">
      <c r="A3737" t="s">
        <v>50</v>
      </c>
      <c r="B3737" t="s">
        <v>20</v>
      </c>
      <c r="C3737">
        <v>4</v>
      </c>
      <c r="D3737" t="s">
        <v>29</v>
      </c>
      <c r="F3737">
        <v>293</v>
      </c>
    </row>
    <row r="3738" spans="1:8" x14ac:dyDescent="0.45">
      <c r="A3738" t="s">
        <v>50</v>
      </c>
      <c r="B3738" t="s">
        <v>20</v>
      </c>
      <c r="C3738">
        <v>4</v>
      </c>
      <c r="D3738" t="s">
        <v>31</v>
      </c>
      <c r="H3738">
        <v>77</v>
      </c>
    </row>
    <row r="3739" spans="1:8" x14ac:dyDescent="0.45">
      <c r="A3739" t="s">
        <v>50</v>
      </c>
      <c r="B3739" t="s">
        <v>20</v>
      </c>
      <c r="C3739">
        <v>4</v>
      </c>
      <c r="D3739" t="s">
        <v>32</v>
      </c>
      <c r="H3739">
        <v>8</v>
      </c>
    </row>
    <row r="3740" spans="1:8" x14ac:dyDescent="0.45">
      <c r="A3740" t="s">
        <v>50</v>
      </c>
      <c r="B3740" t="s">
        <v>20</v>
      </c>
      <c r="C3740">
        <v>4</v>
      </c>
      <c r="D3740" t="s">
        <v>34</v>
      </c>
      <c r="H3740">
        <v>2</v>
      </c>
    </row>
    <row r="3741" spans="1:8" x14ac:dyDescent="0.45">
      <c r="A3741" t="s">
        <v>50</v>
      </c>
      <c r="B3741" t="s">
        <v>21</v>
      </c>
      <c r="C3741">
        <v>5</v>
      </c>
      <c r="D3741" t="s">
        <v>19</v>
      </c>
      <c r="E3741">
        <v>1111007</v>
      </c>
      <c r="F3741">
        <v>1635</v>
      </c>
      <c r="G3741">
        <v>442</v>
      </c>
    </row>
    <row r="3742" spans="1:8" x14ac:dyDescent="0.45">
      <c r="A3742" t="s">
        <v>50</v>
      </c>
      <c r="B3742" t="s">
        <v>21</v>
      </c>
      <c r="C3742">
        <v>5</v>
      </c>
      <c r="D3742" t="s">
        <v>27</v>
      </c>
      <c r="F3742">
        <v>442</v>
      </c>
    </row>
    <row r="3743" spans="1:8" x14ac:dyDescent="0.45">
      <c r="A3743" t="s">
        <v>50</v>
      </c>
      <c r="B3743" t="s">
        <v>21</v>
      </c>
      <c r="C3743">
        <v>5</v>
      </c>
      <c r="D3743" t="s">
        <v>28</v>
      </c>
      <c r="F3743">
        <v>251</v>
      </c>
    </row>
    <row r="3744" spans="1:8" x14ac:dyDescent="0.45">
      <c r="A3744" t="s">
        <v>50</v>
      </c>
      <c r="B3744" t="s">
        <v>21</v>
      </c>
      <c r="C3744">
        <v>5</v>
      </c>
      <c r="D3744" t="s">
        <v>29</v>
      </c>
      <c r="F3744">
        <v>200</v>
      </c>
    </row>
    <row r="3745" spans="1:8" x14ac:dyDescent="0.45">
      <c r="A3745" t="s">
        <v>50</v>
      </c>
      <c r="B3745" t="s">
        <v>20</v>
      </c>
      <c r="C3745">
        <v>5</v>
      </c>
      <c r="D3745" t="s">
        <v>19</v>
      </c>
      <c r="E3745">
        <v>1037236</v>
      </c>
      <c r="F3745">
        <v>1408</v>
      </c>
      <c r="G3745">
        <v>404</v>
      </c>
    </row>
    <row r="3746" spans="1:8" x14ac:dyDescent="0.45">
      <c r="A3746" t="s">
        <v>50</v>
      </c>
      <c r="B3746" t="s">
        <v>20</v>
      </c>
      <c r="C3746">
        <v>5</v>
      </c>
      <c r="D3746" t="s">
        <v>27</v>
      </c>
      <c r="F3746">
        <v>354</v>
      </c>
    </row>
    <row r="3747" spans="1:8" x14ac:dyDescent="0.45">
      <c r="A3747" t="s">
        <v>50</v>
      </c>
      <c r="B3747" t="s">
        <v>20</v>
      </c>
      <c r="C3747">
        <v>5</v>
      </c>
      <c r="D3747" t="s">
        <v>28</v>
      </c>
      <c r="F3747">
        <v>228</v>
      </c>
    </row>
    <row r="3748" spans="1:8" x14ac:dyDescent="0.45">
      <c r="A3748" t="s">
        <v>50</v>
      </c>
      <c r="B3748" t="s">
        <v>20</v>
      </c>
      <c r="C3748">
        <v>5</v>
      </c>
      <c r="D3748" t="s">
        <v>29</v>
      </c>
      <c r="F3748">
        <v>212</v>
      </c>
    </row>
    <row r="3749" spans="1:8" x14ac:dyDescent="0.45">
      <c r="A3749" t="s">
        <v>50</v>
      </c>
      <c r="B3749" t="s">
        <v>20</v>
      </c>
      <c r="C3749">
        <v>5</v>
      </c>
      <c r="D3749" t="s">
        <v>31</v>
      </c>
      <c r="H3749">
        <v>63</v>
      </c>
    </row>
    <row r="3750" spans="1:8" x14ac:dyDescent="0.45">
      <c r="A3750" t="s">
        <v>50</v>
      </c>
      <c r="B3750" t="s">
        <v>20</v>
      </c>
      <c r="C3750">
        <v>5</v>
      </c>
      <c r="D3750" t="s">
        <v>32</v>
      </c>
      <c r="H3750">
        <v>11</v>
      </c>
    </row>
    <row r="3751" spans="1:8" x14ac:dyDescent="0.45">
      <c r="A3751" t="s">
        <v>50</v>
      </c>
      <c r="B3751" t="s">
        <v>20</v>
      </c>
      <c r="C3751">
        <v>5</v>
      </c>
      <c r="D3751" t="s">
        <v>34</v>
      </c>
      <c r="H3751">
        <v>3</v>
      </c>
    </row>
    <row r="3752" spans="1:8" x14ac:dyDescent="0.45">
      <c r="A3752" t="s">
        <v>50</v>
      </c>
      <c r="B3752" t="s">
        <v>21</v>
      </c>
      <c r="C3752">
        <v>6</v>
      </c>
      <c r="D3752" t="s">
        <v>19</v>
      </c>
      <c r="E3752">
        <v>1090222</v>
      </c>
      <c r="F3752">
        <v>1780</v>
      </c>
      <c r="G3752">
        <v>456</v>
      </c>
    </row>
    <row r="3753" spans="1:8" x14ac:dyDescent="0.45">
      <c r="A3753" t="s">
        <v>50</v>
      </c>
      <c r="B3753" t="s">
        <v>21</v>
      </c>
      <c r="C3753">
        <v>6</v>
      </c>
      <c r="D3753" t="s">
        <v>27</v>
      </c>
      <c r="F3753">
        <v>530</v>
      </c>
    </row>
    <row r="3754" spans="1:8" x14ac:dyDescent="0.45">
      <c r="A3754" t="s">
        <v>50</v>
      </c>
      <c r="B3754" t="s">
        <v>21</v>
      </c>
      <c r="C3754">
        <v>6</v>
      </c>
      <c r="D3754" t="s">
        <v>28</v>
      </c>
      <c r="F3754">
        <v>274</v>
      </c>
    </row>
    <row r="3755" spans="1:8" x14ac:dyDescent="0.45">
      <c r="A3755" t="s">
        <v>50</v>
      </c>
      <c r="B3755" t="s">
        <v>21</v>
      </c>
      <c r="C3755">
        <v>6</v>
      </c>
      <c r="D3755" t="s">
        <v>29</v>
      </c>
      <c r="F3755">
        <v>252</v>
      </c>
    </row>
    <row r="3756" spans="1:8" x14ac:dyDescent="0.45">
      <c r="A3756" t="s">
        <v>50</v>
      </c>
      <c r="B3756" t="s">
        <v>20</v>
      </c>
      <c r="C3756">
        <v>6</v>
      </c>
      <c r="D3756" t="s">
        <v>19</v>
      </c>
      <c r="E3756">
        <v>1053629</v>
      </c>
      <c r="F3756">
        <v>1442</v>
      </c>
      <c r="G3756">
        <v>392</v>
      </c>
    </row>
    <row r="3757" spans="1:8" x14ac:dyDescent="0.45">
      <c r="A3757" t="s">
        <v>50</v>
      </c>
      <c r="B3757" t="s">
        <v>20</v>
      </c>
      <c r="C3757">
        <v>6</v>
      </c>
      <c r="D3757" t="s">
        <v>27</v>
      </c>
      <c r="F3757">
        <v>369</v>
      </c>
    </row>
    <row r="3758" spans="1:8" x14ac:dyDescent="0.45">
      <c r="A3758" t="s">
        <v>50</v>
      </c>
      <c r="B3758" t="s">
        <v>20</v>
      </c>
      <c r="C3758">
        <v>6</v>
      </c>
      <c r="D3758" t="s">
        <v>28</v>
      </c>
      <c r="F3758">
        <v>249</v>
      </c>
    </row>
    <row r="3759" spans="1:8" x14ac:dyDescent="0.45">
      <c r="A3759" t="s">
        <v>50</v>
      </c>
      <c r="B3759" t="s">
        <v>20</v>
      </c>
      <c r="C3759">
        <v>6</v>
      </c>
      <c r="D3759" t="s">
        <v>29</v>
      </c>
      <c r="F3759">
        <v>209</v>
      </c>
    </row>
    <row r="3760" spans="1:8" x14ac:dyDescent="0.45">
      <c r="A3760" t="s">
        <v>50</v>
      </c>
      <c r="B3760" t="s">
        <v>20</v>
      </c>
      <c r="C3760">
        <v>6</v>
      </c>
      <c r="D3760" t="s">
        <v>31</v>
      </c>
      <c r="H3760">
        <v>26</v>
      </c>
    </row>
    <row r="3761" spans="1:8" x14ac:dyDescent="0.45">
      <c r="A3761" t="s">
        <v>50</v>
      </c>
      <c r="B3761" t="s">
        <v>20</v>
      </c>
      <c r="C3761">
        <v>6</v>
      </c>
      <c r="D3761" t="s">
        <v>32</v>
      </c>
      <c r="H3761">
        <v>6</v>
      </c>
    </row>
    <row r="3762" spans="1:8" x14ac:dyDescent="0.45">
      <c r="A3762" t="s">
        <v>50</v>
      </c>
      <c r="B3762" t="s">
        <v>20</v>
      </c>
      <c r="C3762">
        <v>6</v>
      </c>
      <c r="D3762" t="s">
        <v>34</v>
      </c>
      <c r="H3762">
        <v>2</v>
      </c>
    </row>
    <row r="3763" spans="1:8" x14ac:dyDescent="0.45">
      <c r="A3763" t="s">
        <v>50</v>
      </c>
      <c r="B3763" t="s">
        <v>21</v>
      </c>
      <c r="C3763">
        <v>7</v>
      </c>
      <c r="D3763" t="s">
        <v>19</v>
      </c>
      <c r="E3763">
        <v>779305</v>
      </c>
      <c r="F3763">
        <v>1316</v>
      </c>
      <c r="G3763">
        <v>432</v>
      </c>
    </row>
    <row r="3764" spans="1:8" x14ac:dyDescent="0.45">
      <c r="A3764" t="s">
        <v>50</v>
      </c>
      <c r="B3764" t="s">
        <v>21</v>
      </c>
      <c r="C3764">
        <v>7</v>
      </c>
      <c r="D3764" t="s">
        <v>27</v>
      </c>
      <c r="F3764">
        <v>452</v>
      </c>
    </row>
    <row r="3765" spans="1:8" x14ac:dyDescent="0.45">
      <c r="A3765" t="s">
        <v>50</v>
      </c>
      <c r="B3765" t="s">
        <v>21</v>
      </c>
      <c r="C3765">
        <v>7</v>
      </c>
      <c r="D3765" t="s">
        <v>28</v>
      </c>
      <c r="F3765">
        <v>228</v>
      </c>
    </row>
    <row r="3766" spans="1:8" x14ac:dyDescent="0.45">
      <c r="A3766" t="s">
        <v>50</v>
      </c>
      <c r="B3766" t="s">
        <v>21</v>
      </c>
      <c r="C3766">
        <v>7</v>
      </c>
      <c r="D3766" t="s">
        <v>29</v>
      </c>
      <c r="F3766">
        <v>161</v>
      </c>
    </row>
    <row r="3767" spans="1:8" x14ac:dyDescent="0.45">
      <c r="A3767" t="s">
        <v>50</v>
      </c>
      <c r="B3767" t="s">
        <v>20</v>
      </c>
      <c r="C3767">
        <v>7</v>
      </c>
      <c r="D3767" t="s">
        <v>19</v>
      </c>
      <c r="E3767">
        <v>798729</v>
      </c>
      <c r="F3767">
        <v>1181</v>
      </c>
      <c r="G3767">
        <v>332</v>
      </c>
    </row>
    <row r="3768" spans="1:8" x14ac:dyDescent="0.45">
      <c r="A3768" t="s">
        <v>50</v>
      </c>
      <c r="B3768" t="s">
        <v>20</v>
      </c>
      <c r="C3768">
        <v>7</v>
      </c>
      <c r="D3768" t="s">
        <v>27</v>
      </c>
      <c r="F3768">
        <v>320</v>
      </c>
    </row>
    <row r="3769" spans="1:8" x14ac:dyDescent="0.45">
      <c r="A3769" t="s">
        <v>50</v>
      </c>
      <c r="B3769" t="s">
        <v>20</v>
      </c>
      <c r="C3769">
        <v>7</v>
      </c>
      <c r="D3769" t="s">
        <v>28</v>
      </c>
      <c r="F3769">
        <v>209</v>
      </c>
    </row>
    <row r="3770" spans="1:8" x14ac:dyDescent="0.45">
      <c r="A3770" t="s">
        <v>50</v>
      </c>
      <c r="B3770" t="s">
        <v>20</v>
      </c>
      <c r="C3770">
        <v>7</v>
      </c>
      <c r="D3770" t="s">
        <v>29</v>
      </c>
      <c r="F3770">
        <v>161</v>
      </c>
    </row>
    <row r="3771" spans="1:8" x14ac:dyDescent="0.45">
      <c r="A3771" t="s">
        <v>50</v>
      </c>
      <c r="B3771" t="s">
        <v>20</v>
      </c>
      <c r="C3771">
        <v>7</v>
      </c>
      <c r="D3771" t="s">
        <v>31</v>
      </c>
      <c r="H3771">
        <v>118</v>
      </c>
    </row>
    <row r="3772" spans="1:8" x14ac:dyDescent="0.45">
      <c r="A3772" t="s">
        <v>50</v>
      </c>
      <c r="B3772" t="s">
        <v>20</v>
      </c>
      <c r="C3772">
        <v>7</v>
      </c>
      <c r="D3772" t="s">
        <v>32</v>
      </c>
      <c r="H3772">
        <v>2</v>
      </c>
    </row>
    <row r="3773" spans="1:8" x14ac:dyDescent="0.45">
      <c r="A3773" t="s">
        <v>50</v>
      </c>
      <c r="B3773" t="s">
        <v>20</v>
      </c>
      <c r="C3773">
        <v>7</v>
      </c>
      <c r="D3773" t="s">
        <v>34</v>
      </c>
      <c r="H3773">
        <v>3</v>
      </c>
    </row>
    <row r="3774" spans="1:8" x14ac:dyDescent="0.45">
      <c r="A3774" t="s">
        <v>50</v>
      </c>
      <c r="B3774" t="s">
        <v>21</v>
      </c>
      <c r="C3774">
        <v>8</v>
      </c>
      <c r="D3774" t="s">
        <v>19</v>
      </c>
      <c r="E3774">
        <v>678842</v>
      </c>
      <c r="F3774">
        <v>1130</v>
      </c>
      <c r="G3774">
        <v>315</v>
      </c>
    </row>
    <row r="3775" spans="1:8" x14ac:dyDescent="0.45">
      <c r="A3775" t="s">
        <v>50</v>
      </c>
      <c r="B3775" t="s">
        <v>21</v>
      </c>
      <c r="C3775">
        <v>8</v>
      </c>
      <c r="D3775" t="s">
        <v>27</v>
      </c>
      <c r="F3775">
        <v>310</v>
      </c>
      <c r="G3775">
        <v>986</v>
      </c>
    </row>
    <row r="3776" spans="1:8" x14ac:dyDescent="0.45">
      <c r="A3776" t="s">
        <v>50</v>
      </c>
      <c r="B3776" t="s">
        <v>21</v>
      </c>
      <c r="C3776">
        <v>8</v>
      </c>
      <c r="D3776" t="s">
        <v>28</v>
      </c>
      <c r="F3776">
        <v>267</v>
      </c>
      <c r="G3776">
        <v>891</v>
      </c>
    </row>
    <row r="3777" spans="1:8" x14ac:dyDescent="0.45">
      <c r="A3777" t="s">
        <v>50</v>
      </c>
      <c r="B3777" t="s">
        <v>21</v>
      </c>
      <c r="C3777">
        <v>8</v>
      </c>
      <c r="D3777" t="s">
        <v>29</v>
      </c>
      <c r="F3777">
        <v>153</v>
      </c>
      <c r="G3777">
        <v>1105</v>
      </c>
    </row>
    <row r="3778" spans="1:8" x14ac:dyDescent="0.45">
      <c r="A3778" t="s">
        <v>50</v>
      </c>
      <c r="B3778" t="s">
        <v>20</v>
      </c>
      <c r="C3778">
        <v>8</v>
      </c>
      <c r="D3778" t="s">
        <v>19</v>
      </c>
      <c r="E3778">
        <v>688618</v>
      </c>
      <c r="F3778">
        <v>977</v>
      </c>
      <c r="G3778">
        <v>285</v>
      </c>
    </row>
    <row r="3779" spans="1:8" x14ac:dyDescent="0.45">
      <c r="A3779" t="s">
        <v>50</v>
      </c>
      <c r="B3779" t="s">
        <v>20</v>
      </c>
      <c r="C3779">
        <v>8</v>
      </c>
      <c r="D3779" t="s">
        <v>27</v>
      </c>
      <c r="F3779">
        <v>316</v>
      </c>
      <c r="G3779">
        <v>1056</v>
      </c>
    </row>
    <row r="3780" spans="1:8" x14ac:dyDescent="0.45">
      <c r="A3780" t="s">
        <v>50</v>
      </c>
      <c r="B3780" t="s">
        <v>20</v>
      </c>
      <c r="C3780">
        <v>8</v>
      </c>
      <c r="D3780" t="s">
        <v>28</v>
      </c>
      <c r="F3780">
        <v>211</v>
      </c>
      <c r="G3780">
        <v>980</v>
      </c>
    </row>
    <row r="3781" spans="1:8" x14ac:dyDescent="0.45">
      <c r="A3781" t="s">
        <v>50</v>
      </c>
      <c r="B3781" t="s">
        <v>20</v>
      </c>
      <c r="C3781">
        <v>8</v>
      </c>
      <c r="D3781" t="s">
        <v>29</v>
      </c>
      <c r="F3781">
        <v>107</v>
      </c>
      <c r="G3781">
        <v>1166</v>
      </c>
    </row>
    <row r="3782" spans="1:8" x14ac:dyDescent="0.45">
      <c r="A3782" t="s">
        <v>50</v>
      </c>
      <c r="B3782" t="s">
        <v>20</v>
      </c>
      <c r="C3782">
        <v>8</v>
      </c>
      <c r="D3782" t="s">
        <v>31</v>
      </c>
      <c r="H3782">
        <v>15</v>
      </c>
    </row>
    <row r="3783" spans="1:8" x14ac:dyDescent="0.45">
      <c r="A3783" t="s">
        <v>50</v>
      </c>
      <c r="B3783" t="s">
        <v>20</v>
      </c>
      <c r="C3783">
        <v>8</v>
      </c>
      <c r="D3783" t="s">
        <v>32</v>
      </c>
      <c r="H3783">
        <v>5</v>
      </c>
    </row>
    <row r="3784" spans="1:8" x14ac:dyDescent="0.45">
      <c r="A3784" t="s">
        <v>50</v>
      </c>
      <c r="B3784" t="s">
        <v>20</v>
      </c>
      <c r="C3784">
        <v>8</v>
      </c>
      <c r="D3784" t="s">
        <v>34</v>
      </c>
      <c r="H3784">
        <v>3</v>
      </c>
    </row>
    <row r="3785" spans="1:8" x14ac:dyDescent="0.45">
      <c r="A3785" t="s">
        <v>50</v>
      </c>
      <c r="B3785" t="s">
        <v>21</v>
      </c>
      <c r="C3785">
        <v>9</v>
      </c>
      <c r="D3785" t="s">
        <v>19</v>
      </c>
      <c r="E3785">
        <v>643488</v>
      </c>
      <c r="F3785">
        <v>1058</v>
      </c>
      <c r="G3785">
        <v>329</v>
      </c>
    </row>
    <row r="3786" spans="1:8" x14ac:dyDescent="0.45">
      <c r="A3786" t="s">
        <v>50</v>
      </c>
      <c r="B3786" t="s">
        <v>21</v>
      </c>
      <c r="C3786">
        <v>9</v>
      </c>
      <c r="D3786" t="s">
        <v>27</v>
      </c>
      <c r="F3786">
        <v>360</v>
      </c>
    </row>
    <row r="3787" spans="1:8" x14ac:dyDescent="0.45">
      <c r="A3787" t="s">
        <v>50</v>
      </c>
      <c r="B3787" t="s">
        <v>21</v>
      </c>
      <c r="C3787">
        <v>9</v>
      </c>
      <c r="D3787" t="s">
        <v>28</v>
      </c>
      <c r="F3787">
        <v>201</v>
      </c>
    </row>
    <row r="3788" spans="1:8" x14ac:dyDescent="0.45">
      <c r="A3788" t="s">
        <v>50</v>
      </c>
      <c r="B3788" t="s">
        <v>21</v>
      </c>
      <c r="C3788">
        <v>9</v>
      </c>
      <c r="D3788" t="s">
        <v>29</v>
      </c>
      <c r="F3788">
        <v>153</v>
      </c>
    </row>
    <row r="3789" spans="1:8" x14ac:dyDescent="0.45">
      <c r="A3789" t="s">
        <v>50</v>
      </c>
      <c r="B3789" t="s">
        <v>20</v>
      </c>
      <c r="C3789">
        <v>9</v>
      </c>
      <c r="D3789" t="s">
        <v>19</v>
      </c>
      <c r="E3789">
        <v>668072</v>
      </c>
      <c r="F3789">
        <v>1131</v>
      </c>
      <c r="G3789">
        <v>359</v>
      </c>
    </row>
    <row r="3790" spans="1:8" x14ac:dyDescent="0.45">
      <c r="A3790" t="s">
        <v>50</v>
      </c>
      <c r="B3790" t="s">
        <v>20</v>
      </c>
      <c r="C3790">
        <v>9</v>
      </c>
      <c r="D3790" t="s">
        <v>27</v>
      </c>
      <c r="F3790">
        <v>421</v>
      </c>
    </row>
    <row r="3791" spans="1:8" x14ac:dyDescent="0.45">
      <c r="A3791" t="s">
        <v>50</v>
      </c>
      <c r="B3791" t="s">
        <v>20</v>
      </c>
      <c r="C3791">
        <v>9</v>
      </c>
      <c r="D3791" t="s">
        <v>28</v>
      </c>
      <c r="F3791">
        <v>198</v>
      </c>
    </row>
    <row r="3792" spans="1:8" x14ac:dyDescent="0.45">
      <c r="A3792" t="s">
        <v>50</v>
      </c>
      <c r="B3792" t="s">
        <v>20</v>
      </c>
      <c r="C3792">
        <v>9</v>
      </c>
      <c r="D3792" t="s">
        <v>29</v>
      </c>
      <c r="F3792">
        <v>127</v>
      </c>
    </row>
    <row r="3793" spans="1:8" x14ac:dyDescent="0.45">
      <c r="A3793" t="s">
        <v>50</v>
      </c>
      <c r="B3793" t="s">
        <v>20</v>
      </c>
      <c r="C3793">
        <v>9</v>
      </c>
      <c r="D3793" t="s">
        <v>31</v>
      </c>
      <c r="H3793">
        <v>102</v>
      </c>
    </row>
    <row r="3794" spans="1:8" x14ac:dyDescent="0.45">
      <c r="A3794" t="s">
        <v>50</v>
      </c>
      <c r="B3794" t="s">
        <v>20</v>
      </c>
      <c r="C3794">
        <v>9</v>
      </c>
      <c r="D3794" t="s">
        <v>32</v>
      </c>
      <c r="H3794">
        <v>5</v>
      </c>
    </row>
    <row r="3795" spans="1:8" x14ac:dyDescent="0.45">
      <c r="A3795" t="s">
        <v>50</v>
      </c>
      <c r="B3795" t="s">
        <v>20</v>
      </c>
      <c r="C3795">
        <v>9</v>
      </c>
      <c r="D3795" t="s">
        <v>34</v>
      </c>
      <c r="H3795">
        <v>4</v>
      </c>
    </row>
    <row r="3796" spans="1:8" x14ac:dyDescent="0.45">
      <c r="A3796" t="s">
        <v>50</v>
      </c>
      <c r="B3796" t="s">
        <v>21</v>
      </c>
      <c r="C3796">
        <v>10</v>
      </c>
      <c r="D3796" t="s">
        <v>19</v>
      </c>
      <c r="E3796">
        <v>883545</v>
      </c>
      <c r="F3796">
        <v>1619</v>
      </c>
      <c r="G3796">
        <v>465</v>
      </c>
    </row>
    <row r="3797" spans="1:8" x14ac:dyDescent="0.45">
      <c r="A3797" t="s">
        <v>50</v>
      </c>
      <c r="B3797" t="s">
        <v>21</v>
      </c>
      <c r="C3797">
        <v>10</v>
      </c>
      <c r="D3797" t="s">
        <v>27</v>
      </c>
      <c r="F3797">
        <v>534</v>
      </c>
    </row>
    <row r="3798" spans="1:8" x14ac:dyDescent="0.45">
      <c r="A3798" t="s">
        <v>50</v>
      </c>
      <c r="B3798" t="s">
        <v>21</v>
      </c>
      <c r="C3798">
        <v>10</v>
      </c>
      <c r="D3798" t="s">
        <v>28</v>
      </c>
      <c r="F3798">
        <v>320</v>
      </c>
    </row>
    <row r="3799" spans="1:8" x14ac:dyDescent="0.45">
      <c r="A3799" t="s">
        <v>50</v>
      </c>
      <c r="B3799" t="s">
        <v>21</v>
      </c>
      <c r="C3799">
        <v>10</v>
      </c>
      <c r="D3799" t="s">
        <v>29</v>
      </c>
      <c r="F3799">
        <v>210</v>
      </c>
    </row>
    <row r="3800" spans="1:8" x14ac:dyDescent="0.45">
      <c r="A3800" t="s">
        <v>50</v>
      </c>
      <c r="B3800" t="s">
        <v>20</v>
      </c>
      <c r="C3800">
        <v>10</v>
      </c>
      <c r="D3800" t="s">
        <v>19</v>
      </c>
      <c r="E3800">
        <v>851521</v>
      </c>
      <c r="F3800">
        <v>1406</v>
      </c>
      <c r="G3800">
        <v>412</v>
      </c>
    </row>
    <row r="3801" spans="1:8" x14ac:dyDescent="0.45">
      <c r="A3801" t="s">
        <v>50</v>
      </c>
      <c r="B3801" t="s">
        <v>20</v>
      </c>
      <c r="C3801">
        <v>10</v>
      </c>
      <c r="D3801" t="s">
        <v>27</v>
      </c>
      <c r="F3801">
        <v>490</v>
      </c>
    </row>
    <row r="3802" spans="1:8" x14ac:dyDescent="0.45">
      <c r="A3802" t="s">
        <v>50</v>
      </c>
      <c r="B3802" t="s">
        <v>20</v>
      </c>
      <c r="C3802">
        <v>10</v>
      </c>
      <c r="D3802" t="s">
        <v>28</v>
      </c>
      <c r="F3802">
        <v>233</v>
      </c>
    </row>
    <row r="3803" spans="1:8" x14ac:dyDescent="0.45">
      <c r="A3803" t="s">
        <v>50</v>
      </c>
      <c r="B3803" t="s">
        <v>20</v>
      </c>
      <c r="C3803">
        <v>10</v>
      </c>
      <c r="D3803" t="s">
        <v>29</v>
      </c>
      <c r="F3803">
        <v>198</v>
      </c>
    </row>
    <row r="3804" spans="1:8" x14ac:dyDescent="0.45">
      <c r="A3804" t="s">
        <v>50</v>
      </c>
      <c r="B3804" t="s">
        <v>20</v>
      </c>
      <c r="C3804">
        <v>10</v>
      </c>
      <c r="D3804" t="s">
        <v>31</v>
      </c>
      <c r="H3804">
        <v>75</v>
      </c>
    </row>
    <row r="3805" spans="1:8" x14ac:dyDescent="0.45">
      <c r="A3805" t="s">
        <v>50</v>
      </c>
      <c r="B3805" t="s">
        <v>20</v>
      </c>
      <c r="C3805">
        <v>10</v>
      </c>
      <c r="D3805" t="s">
        <v>32</v>
      </c>
      <c r="H3805">
        <v>8</v>
      </c>
    </row>
    <row r="3806" spans="1:8" x14ac:dyDescent="0.45">
      <c r="A3806" t="s">
        <v>50</v>
      </c>
      <c r="B3806" t="s">
        <v>20</v>
      </c>
      <c r="C3806">
        <v>10</v>
      </c>
      <c r="D3806" t="s">
        <v>34</v>
      </c>
      <c r="H3806">
        <v>4</v>
      </c>
    </row>
    <row r="3807" spans="1:8" x14ac:dyDescent="0.45">
      <c r="A3807" t="s">
        <v>50</v>
      </c>
      <c r="B3807" t="s">
        <v>21</v>
      </c>
      <c r="C3807">
        <v>11</v>
      </c>
      <c r="D3807" t="s">
        <v>19</v>
      </c>
      <c r="E3807">
        <v>616851</v>
      </c>
      <c r="F3807">
        <v>1105</v>
      </c>
      <c r="G3807">
        <v>342</v>
      </c>
    </row>
    <row r="3808" spans="1:8" x14ac:dyDescent="0.45">
      <c r="A3808" t="s">
        <v>50</v>
      </c>
      <c r="B3808" t="s">
        <v>21</v>
      </c>
      <c r="C3808">
        <v>11</v>
      </c>
      <c r="D3808" t="s">
        <v>27</v>
      </c>
      <c r="F3808">
        <v>413</v>
      </c>
    </row>
    <row r="3809" spans="1:8" x14ac:dyDescent="0.45">
      <c r="A3809" t="s">
        <v>50</v>
      </c>
      <c r="B3809" t="s">
        <v>21</v>
      </c>
      <c r="C3809">
        <v>11</v>
      </c>
      <c r="D3809" t="s">
        <v>28</v>
      </c>
      <c r="F3809">
        <v>179</v>
      </c>
    </row>
    <row r="3810" spans="1:8" x14ac:dyDescent="0.45">
      <c r="A3810" t="s">
        <v>50</v>
      </c>
      <c r="B3810" t="s">
        <v>21</v>
      </c>
      <c r="C3810">
        <v>11</v>
      </c>
      <c r="D3810" t="s">
        <v>29</v>
      </c>
      <c r="F3810">
        <v>155</v>
      </c>
    </row>
    <row r="3811" spans="1:8" x14ac:dyDescent="0.45">
      <c r="A3811" t="s">
        <v>50</v>
      </c>
      <c r="B3811" t="s">
        <v>20</v>
      </c>
      <c r="C3811">
        <v>11</v>
      </c>
      <c r="D3811" t="s">
        <v>19</v>
      </c>
      <c r="E3811">
        <v>711419</v>
      </c>
      <c r="F3811">
        <v>1302</v>
      </c>
      <c r="G3811">
        <v>400</v>
      </c>
    </row>
    <row r="3812" spans="1:8" x14ac:dyDescent="0.45">
      <c r="A3812" t="s">
        <v>50</v>
      </c>
      <c r="B3812" t="s">
        <v>20</v>
      </c>
      <c r="C3812">
        <v>11</v>
      </c>
      <c r="D3812" t="s">
        <v>27</v>
      </c>
      <c r="F3812">
        <v>436</v>
      </c>
    </row>
    <row r="3813" spans="1:8" x14ac:dyDescent="0.45">
      <c r="A3813" t="s">
        <v>50</v>
      </c>
      <c r="B3813" t="s">
        <v>20</v>
      </c>
      <c r="C3813">
        <v>11</v>
      </c>
      <c r="D3813" t="s">
        <v>28</v>
      </c>
      <c r="F3813">
        <v>225</v>
      </c>
    </row>
    <row r="3814" spans="1:8" x14ac:dyDescent="0.45">
      <c r="A3814" t="s">
        <v>50</v>
      </c>
      <c r="B3814" t="s">
        <v>20</v>
      </c>
      <c r="C3814">
        <v>11</v>
      </c>
      <c r="D3814" t="s">
        <v>29</v>
      </c>
      <c r="F3814">
        <v>190</v>
      </c>
    </row>
    <row r="3815" spans="1:8" x14ac:dyDescent="0.45">
      <c r="A3815" t="s">
        <v>50</v>
      </c>
      <c r="B3815" t="s">
        <v>20</v>
      </c>
      <c r="C3815">
        <v>11</v>
      </c>
      <c r="D3815" t="s">
        <v>31</v>
      </c>
      <c r="H3815">
        <v>117</v>
      </c>
    </row>
    <row r="3816" spans="1:8" x14ac:dyDescent="0.45">
      <c r="A3816" t="s">
        <v>50</v>
      </c>
      <c r="B3816" t="s">
        <v>20</v>
      </c>
      <c r="C3816">
        <v>11</v>
      </c>
      <c r="D3816" t="s">
        <v>32</v>
      </c>
      <c r="H3816">
        <v>4</v>
      </c>
    </row>
    <row r="3817" spans="1:8" x14ac:dyDescent="0.45">
      <c r="A3817" t="s">
        <v>50</v>
      </c>
      <c r="B3817" t="s">
        <v>20</v>
      </c>
      <c r="C3817">
        <v>11</v>
      </c>
      <c r="D3817" t="s">
        <v>34</v>
      </c>
      <c r="H3817">
        <v>2</v>
      </c>
    </row>
    <row r="3818" spans="1:8" x14ac:dyDescent="0.45">
      <c r="A3818" t="s">
        <v>50</v>
      </c>
      <c r="B3818" t="s">
        <v>21</v>
      </c>
      <c r="C3818">
        <v>12</v>
      </c>
      <c r="D3818" t="s">
        <v>19</v>
      </c>
      <c r="E3818">
        <v>743385</v>
      </c>
      <c r="F3818">
        <v>1407</v>
      </c>
      <c r="G3818">
        <v>396</v>
      </c>
    </row>
    <row r="3819" spans="1:8" x14ac:dyDescent="0.45">
      <c r="A3819" t="s">
        <v>50</v>
      </c>
      <c r="B3819" t="s">
        <v>21</v>
      </c>
      <c r="C3819">
        <v>12</v>
      </c>
      <c r="D3819" t="s">
        <v>27</v>
      </c>
      <c r="F3819">
        <v>455</v>
      </c>
    </row>
    <row r="3820" spans="1:8" x14ac:dyDescent="0.45">
      <c r="A3820" t="s">
        <v>50</v>
      </c>
      <c r="B3820" t="s">
        <v>21</v>
      </c>
      <c r="C3820">
        <v>12</v>
      </c>
      <c r="D3820" t="s">
        <v>28</v>
      </c>
      <c r="F3820">
        <v>258</v>
      </c>
    </row>
    <row r="3821" spans="1:8" x14ac:dyDescent="0.45">
      <c r="A3821" t="s">
        <v>50</v>
      </c>
      <c r="B3821" t="s">
        <v>21</v>
      </c>
      <c r="C3821">
        <v>12</v>
      </c>
      <c r="D3821" t="s">
        <v>29</v>
      </c>
      <c r="F3821">
        <v>215</v>
      </c>
    </row>
    <row r="3822" spans="1:8" x14ac:dyDescent="0.45">
      <c r="A3822" t="s">
        <v>50</v>
      </c>
      <c r="B3822" t="s">
        <v>20</v>
      </c>
      <c r="C3822">
        <v>12</v>
      </c>
      <c r="D3822" t="s">
        <v>19</v>
      </c>
      <c r="E3822">
        <v>678907</v>
      </c>
      <c r="F3822">
        <v>1313</v>
      </c>
      <c r="G3822">
        <v>402</v>
      </c>
    </row>
    <row r="3823" spans="1:8" x14ac:dyDescent="0.45">
      <c r="A3823" t="s">
        <v>50</v>
      </c>
      <c r="B3823" t="s">
        <v>20</v>
      </c>
      <c r="C3823">
        <v>12</v>
      </c>
      <c r="D3823" t="s">
        <v>27</v>
      </c>
      <c r="F3823">
        <v>480</v>
      </c>
    </row>
    <row r="3824" spans="1:8" x14ac:dyDescent="0.45">
      <c r="A3824" t="s">
        <v>50</v>
      </c>
      <c r="B3824" t="s">
        <v>20</v>
      </c>
      <c r="C3824">
        <v>12</v>
      </c>
      <c r="D3824" t="s">
        <v>28</v>
      </c>
      <c r="F3824">
        <v>230</v>
      </c>
    </row>
    <row r="3825" spans="1:8" x14ac:dyDescent="0.45">
      <c r="A3825" t="s">
        <v>50</v>
      </c>
      <c r="B3825" t="s">
        <v>20</v>
      </c>
      <c r="C3825">
        <v>12</v>
      </c>
      <c r="D3825" t="s">
        <v>29</v>
      </c>
      <c r="F3825">
        <v>176</v>
      </c>
    </row>
    <row r="3826" spans="1:8" x14ac:dyDescent="0.45">
      <c r="A3826" t="s">
        <v>50</v>
      </c>
      <c r="B3826" t="s">
        <v>20</v>
      </c>
      <c r="C3826">
        <v>12</v>
      </c>
      <c r="D3826" t="s">
        <v>31</v>
      </c>
      <c r="H3826">
        <v>60</v>
      </c>
    </row>
    <row r="3827" spans="1:8" x14ac:dyDescent="0.45">
      <c r="A3827" t="s">
        <v>50</v>
      </c>
      <c r="B3827" t="s">
        <v>20</v>
      </c>
      <c r="C3827">
        <v>12</v>
      </c>
      <c r="D3827" t="s">
        <v>32</v>
      </c>
      <c r="H3827">
        <v>4</v>
      </c>
    </row>
    <row r="3828" spans="1:8" x14ac:dyDescent="0.45">
      <c r="A3828" t="s">
        <v>50</v>
      </c>
      <c r="B3828" t="s">
        <v>20</v>
      </c>
      <c r="C3828">
        <v>12</v>
      </c>
      <c r="D3828" t="s">
        <v>34</v>
      </c>
      <c r="H3828">
        <v>1</v>
      </c>
    </row>
    <row r="3829" spans="1:8" x14ac:dyDescent="0.45">
      <c r="A3829" t="s">
        <v>85</v>
      </c>
      <c r="B3829" t="s">
        <v>21</v>
      </c>
      <c r="C3829">
        <v>1</v>
      </c>
      <c r="D3829" t="s">
        <v>19</v>
      </c>
      <c r="E3829">
        <v>750774</v>
      </c>
      <c r="F3829">
        <v>1549</v>
      </c>
      <c r="G3829">
        <v>469</v>
      </c>
    </row>
    <row r="3830" spans="1:8" x14ac:dyDescent="0.45">
      <c r="A3830" t="s">
        <v>85</v>
      </c>
      <c r="B3830" t="s">
        <v>21</v>
      </c>
      <c r="C3830">
        <v>1</v>
      </c>
      <c r="D3830" t="s">
        <v>27</v>
      </c>
      <c r="F3830">
        <v>622</v>
      </c>
    </row>
    <row r="3831" spans="1:8" x14ac:dyDescent="0.45">
      <c r="A3831" t="s">
        <v>85</v>
      </c>
      <c r="B3831" t="s">
        <v>21</v>
      </c>
      <c r="C3831">
        <v>1</v>
      </c>
      <c r="D3831" t="s">
        <v>28</v>
      </c>
      <c r="F3831">
        <v>267</v>
      </c>
    </row>
    <row r="3832" spans="1:8" x14ac:dyDescent="0.45">
      <c r="A3832" t="s">
        <v>85</v>
      </c>
      <c r="B3832" t="s">
        <v>21</v>
      </c>
      <c r="C3832">
        <v>1</v>
      </c>
      <c r="D3832" t="s">
        <v>29</v>
      </c>
      <c r="F3832">
        <v>205</v>
      </c>
    </row>
    <row r="3833" spans="1:8" x14ac:dyDescent="0.45">
      <c r="A3833" t="s">
        <v>85</v>
      </c>
      <c r="B3833" t="s">
        <v>20</v>
      </c>
      <c r="C3833">
        <v>1</v>
      </c>
      <c r="D3833" t="s">
        <v>19</v>
      </c>
      <c r="E3833">
        <v>854785</v>
      </c>
      <c r="F3833">
        <v>1565</v>
      </c>
      <c r="G3833">
        <v>483</v>
      </c>
    </row>
    <row r="3834" spans="1:8" x14ac:dyDescent="0.45">
      <c r="A3834" t="s">
        <v>85</v>
      </c>
      <c r="B3834" t="s">
        <v>20</v>
      </c>
      <c r="C3834">
        <v>1</v>
      </c>
      <c r="D3834" t="s">
        <v>27</v>
      </c>
      <c r="F3834">
        <v>535</v>
      </c>
    </row>
    <row r="3835" spans="1:8" x14ac:dyDescent="0.45">
      <c r="A3835" t="s">
        <v>85</v>
      </c>
      <c r="B3835" t="s">
        <v>20</v>
      </c>
      <c r="C3835">
        <v>1</v>
      </c>
      <c r="D3835" t="s">
        <v>28</v>
      </c>
      <c r="F3835">
        <v>269</v>
      </c>
    </row>
    <row r="3836" spans="1:8" x14ac:dyDescent="0.45">
      <c r="A3836" t="s">
        <v>85</v>
      </c>
      <c r="B3836" t="s">
        <v>20</v>
      </c>
      <c r="C3836">
        <v>1</v>
      </c>
      <c r="D3836" t="s">
        <v>29</v>
      </c>
      <c r="F3836">
        <v>236</v>
      </c>
    </row>
    <row r="3837" spans="1:8" x14ac:dyDescent="0.45">
      <c r="A3837" t="s">
        <v>85</v>
      </c>
      <c r="B3837" t="s">
        <v>20</v>
      </c>
      <c r="C3837">
        <v>1</v>
      </c>
      <c r="D3837" t="s">
        <v>31</v>
      </c>
      <c r="H3837">
        <v>106</v>
      </c>
    </row>
    <row r="3838" spans="1:8" x14ac:dyDescent="0.45">
      <c r="A3838" t="s">
        <v>85</v>
      </c>
      <c r="B3838" t="s">
        <v>20</v>
      </c>
      <c r="C3838">
        <v>1</v>
      </c>
      <c r="D3838" t="s">
        <v>32</v>
      </c>
      <c r="H3838">
        <v>10</v>
      </c>
    </row>
    <row r="3839" spans="1:8" x14ac:dyDescent="0.45">
      <c r="A3839" t="s">
        <v>85</v>
      </c>
      <c r="B3839" t="s">
        <v>20</v>
      </c>
      <c r="C3839">
        <v>1</v>
      </c>
      <c r="D3839" t="s">
        <v>34</v>
      </c>
    </row>
    <row r="3840" spans="1:8" x14ac:dyDescent="0.45">
      <c r="A3840" t="s">
        <v>85</v>
      </c>
      <c r="B3840" t="s">
        <v>21</v>
      </c>
      <c r="C3840">
        <v>2</v>
      </c>
      <c r="D3840" t="s">
        <v>19</v>
      </c>
      <c r="E3840">
        <v>692705</v>
      </c>
      <c r="F3840">
        <v>1415</v>
      </c>
      <c r="G3840">
        <v>451</v>
      </c>
    </row>
    <row r="3841" spans="1:8" x14ac:dyDescent="0.45">
      <c r="A3841" t="s">
        <v>85</v>
      </c>
      <c r="B3841" t="s">
        <v>21</v>
      </c>
      <c r="C3841">
        <v>2</v>
      </c>
      <c r="D3841" t="s">
        <v>27</v>
      </c>
      <c r="F3841">
        <v>602</v>
      </c>
    </row>
    <row r="3842" spans="1:8" x14ac:dyDescent="0.45">
      <c r="A3842" t="s">
        <v>85</v>
      </c>
      <c r="B3842" t="s">
        <v>21</v>
      </c>
      <c r="C3842">
        <v>2</v>
      </c>
      <c r="D3842" t="s">
        <v>28</v>
      </c>
      <c r="F3842">
        <v>235</v>
      </c>
    </row>
    <row r="3843" spans="1:8" x14ac:dyDescent="0.45">
      <c r="A3843" t="s">
        <v>85</v>
      </c>
      <c r="B3843" t="s">
        <v>21</v>
      </c>
      <c r="C3843">
        <v>2</v>
      </c>
      <c r="D3843" t="s">
        <v>29</v>
      </c>
      <c r="F3843">
        <v>150</v>
      </c>
    </row>
    <row r="3844" spans="1:8" x14ac:dyDescent="0.45">
      <c r="A3844" t="s">
        <v>85</v>
      </c>
      <c r="B3844" t="s">
        <v>20</v>
      </c>
      <c r="C3844">
        <v>2</v>
      </c>
      <c r="D3844" t="s">
        <v>19</v>
      </c>
      <c r="E3844">
        <v>706327</v>
      </c>
      <c r="F3844">
        <v>1213</v>
      </c>
      <c r="G3844">
        <v>403</v>
      </c>
    </row>
    <row r="3845" spans="1:8" x14ac:dyDescent="0.45">
      <c r="A3845" t="s">
        <v>85</v>
      </c>
      <c r="B3845" t="s">
        <v>20</v>
      </c>
      <c r="C3845">
        <v>2</v>
      </c>
      <c r="D3845" t="s">
        <v>27</v>
      </c>
      <c r="F3845">
        <v>481</v>
      </c>
    </row>
    <row r="3846" spans="1:8" x14ac:dyDescent="0.45">
      <c r="A3846" t="s">
        <v>85</v>
      </c>
      <c r="B3846" t="s">
        <v>20</v>
      </c>
      <c r="C3846">
        <v>2</v>
      </c>
      <c r="D3846" t="s">
        <v>28</v>
      </c>
      <c r="F3846">
        <v>200</v>
      </c>
    </row>
    <row r="3847" spans="1:8" x14ac:dyDescent="0.45">
      <c r="A3847" t="s">
        <v>85</v>
      </c>
      <c r="B3847" t="s">
        <v>20</v>
      </c>
      <c r="C3847">
        <v>2</v>
      </c>
      <c r="D3847" t="s">
        <v>29</v>
      </c>
      <c r="F3847">
        <v>166</v>
      </c>
    </row>
    <row r="3848" spans="1:8" x14ac:dyDescent="0.45">
      <c r="A3848" t="s">
        <v>85</v>
      </c>
      <c r="B3848" t="s">
        <v>20</v>
      </c>
      <c r="C3848">
        <v>2</v>
      </c>
      <c r="D3848" t="s">
        <v>31</v>
      </c>
      <c r="H3848">
        <v>39</v>
      </c>
    </row>
    <row r="3849" spans="1:8" x14ac:dyDescent="0.45">
      <c r="A3849" t="s">
        <v>85</v>
      </c>
      <c r="B3849" t="s">
        <v>20</v>
      </c>
      <c r="C3849">
        <v>2</v>
      </c>
      <c r="D3849" t="s">
        <v>32</v>
      </c>
      <c r="H3849">
        <v>7</v>
      </c>
    </row>
    <row r="3850" spans="1:8" x14ac:dyDescent="0.45">
      <c r="A3850" t="s">
        <v>85</v>
      </c>
      <c r="B3850" t="s">
        <v>20</v>
      </c>
      <c r="C3850">
        <v>2</v>
      </c>
      <c r="D3850" t="s">
        <v>34</v>
      </c>
      <c r="H3850">
        <v>7</v>
      </c>
    </row>
    <row r="3851" spans="1:8" x14ac:dyDescent="0.45">
      <c r="A3851" t="s">
        <v>85</v>
      </c>
      <c r="B3851" t="s">
        <v>21</v>
      </c>
      <c r="C3851">
        <v>3</v>
      </c>
      <c r="D3851" t="s">
        <v>19</v>
      </c>
      <c r="E3851">
        <v>1805370</v>
      </c>
      <c r="F3851">
        <v>2815</v>
      </c>
      <c r="H3851">
        <v>7</v>
      </c>
    </row>
    <row r="3852" spans="1:8" x14ac:dyDescent="0.45">
      <c r="A3852" t="s">
        <v>85</v>
      </c>
      <c r="B3852" t="s">
        <v>21</v>
      </c>
      <c r="C3852">
        <v>3</v>
      </c>
      <c r="D3852" t="s">
        <v>27</v>
      </c>
      <c r="F3852">
        <v>696</v>
      </c>
    </row>
    <row r="3853" spans="1:8" x14ac:dyDescent="0.45">
      <c r="A3853" t="s">
        <v>85</v>
      </c>
      <c r="B3853" t="s">
        <v>21</v>
      </c>
      <c r="C3853">
        <v>3</v>
      </c>
      <c r="D3853" t="s">
        <v>28</v>
      </c>
      <c r="F3853">
        <v>466</v>
      </c>
    </row>
    <row r="3854" spans="1:8" x14ac:dyDescent="0.45">
      <c r="A3854" t="s">
        <v>85</v>
      </c>
      <c r="B3854" t="s">
        <v>21</v>
      </c>
      <c r="C3854">
        <v>3</v>
      </c>
      <c r="D3854" t="s">
        <v>29</v>
      </c>
      <c r="F3854">
        <v>375</v>
      </c>
    </row>
    <row r="3855" spans="1:8" x14ac:dyDescent="0.45">
      <c r="A3855" t="s">
        <v>85</v>
      </c>
      <c r="B3855" t="s">
        <v>20</v>
      </c>
      <c r="C3855">
        <v>3</v>
      </c>
      <c r="D3855" t="s">
        <v>19</v>
      </c>
      <c r="E3855">
        <v>1465778</v>
      </c>
      <c r="F3855">
        <v>2320</v>
      </c>
      <c r="G3855">
        <v>706</v>
      </c>
    </row>
    <row r="3856" spans="1:8" x14ac:dyDescent="0.45">
      <c r="A3856" t="s">
        <v>85</v>
      </c>
      <c r="B3856" t="s">
        <v>20</v>
      </c>
      <c r="C3856">
        <v>3</v>
      </c>
      <c r="D3856" t="s">
        <v>27</v>
      </c>
      <c r="F3856">
        <v>655</v>
      </c>
    </row>
    <row r="3857" spans="1:8" x14ac:dyDescent="0.45">
      <c r="A3857" t="s">
        <v>85</v>
      </c>
      <c r="B3857" t="s">
        <v>20</v>
      </c>
      <c r="C3857">
        <v>3</v>
      </c>
      <c r="D3857" t="s">
        <v>28</v>
      </c>
      <c r="F3857">
        <v>393</v>
      </c>
    </row>
    <row r="3858" spans="1:8" x14ac:dyDescent="0.45">
      <c r="A3858" t="s">
        <v>85</v>
      </c>
      <c r="B3858" t="s">
        <v>20</v>
      </c>
      <c r="C3858">
        <v>3</v>
      </c>
      <c r="D3858" t="s">
        <v>29</v>
      </c>
      <c r="F3858">
        <v>383</v>
      </c>
    </row>
    <row r="3859" spans="1:8" x14ac:dyDescent="0.45">
      <c r="A3859" t="s">
        <v>85</v>
      </c>
      <c r="B3859" t="s">
        <v>20</v>
      </c>
      <c r="C3859">
        <v>3</v>
      </c>
      <c r="D3859" t="s">
        <v>31</v>
      </c>
      <c r="H3859">
        <v>66</v>
      </c>
    </row>
    <row r="3860" spans="1:8" x14ac:dyDescent="0.45">
      <c r="A3860" t="s">
        <v>85</v>
      </c>
      <c r="B3860" t="s">
        <v>20</v>
      </c>
      <c r="C3860">
        <v>3</v>
      </c>
      <c r="D3860" t="s">
        <v>32</v>
      </c>
      <c r="H3860">
        <v>5</v>
      </c>
    </row>
    <row r="3861" spans="1:8" x14ac:dyDescent="0.45">
      <c r="A3861" t="s">
        <v>85</v>
      </c>
      <c r="B3861" t="s">
        <v>20</v>
      </c>
      <c r="C3861">
        <v>3</v>
      </c>
      <c r="D3861" t="s">
        <v>34</v>
      </c>
      <c r="H3861">
        <v>7</v>
      </c>
    </row>
    <row r="3862" spans="1:8" x14ac:dyDescent="0.45">
      <c r="A3862" t="s">
        <v>85</v>
      </c>
      <c r="B3862" t="s">
        <v>21</v>
      </c>
      <c r="C3862">
        <v>4</v>
      </c>
      <c r="D3862" t="s">
        <v>19</v>
      </c>
      <c r="E3862">
        <v>2255956</v>
      </c>
      <c r="F3862">
        <v>3265</v>
      </c>
    </row>
    <row r="3863" spans="1:8" x14ac:dyDescent="0.45">
      <c r="A3863" t="s">
        <v>85</v>
      </c>
      <c r="B3863" t="s">
        <v>21</v>
      </c>
      <c r="C3863">
        <v>4</v>
      </c>
      <c r="D3863" t="s">
        <v>27</v>
      </c>
      <c r="F3863">
        <v>741</v>
      </c>
    </row>
    <row r="3864" spans="1:8" x14ac:dyDescent="0.45">
      <c r="A3864" t="s">
        <v>85</v>
      </c>
      <c r="B3864" t="s">
        <v>21</v>
      </c>
      <c r="C3864">
        <v>4</v>
      </c>
      <c r="D3864" t="s">
        <v>28</v>
      </c>
      <c r="F3864">
        <v>451</v>
      </c>
    </row>
    <row r="3865" spans="1:8" x14ac:dyDescent="0.45">
      <c r="A3865" t="s">
        <v>85</v>
      </c>
      <c r="B3865" t="s">
        <v>21</v>
      </c>
      <c r="C3865">
        <v>4</v>
      </c>
      <c r="D3865" t="s">
        <v>29</v>
      </c>
      <c r="F3865">
        <v>479</v>
      </c>
    </row>
    <row r="3866" spans="1:8" x14ac:dyDescent="0.45">
      <c r="A3866" t="s">
        <v>85</v>
      </c>
      <c r="B3866" t="s">
        <v>20</v>
      </c>
      <c r="C3866">
        <v>4</v>
      </c>
      <c r="D3866" t="s">
        <v>19</v>
      </c>
      <c r="E3866">
        <v>2413703</v>
      </c>
      <c r="F3866">
        <v>3499</v>
      </c>
    </row>
    <row r="3867" spans="1:8" x14ac:dyDescent="0.45">
      <c r="A3867" t="s">
        <v>85</v>
      </c>
      <c r="B3867" t="s">
        <v>20</v>
      </c>
      <c r="C3867">
        <v>4</v>
      </c>
      <c r="D3867" t="s">
        <v>27</v>
      </c>
      <c r="F3867">
        <v>660</v>
      </c>
    </row>
    <row r="3868" spans="1:8" x14ac:dyDescent="0.45">
      <c r="A3868" t="s">
        <v>85</v>
      </c>
      <c r="B3868" t="s">
        <v>20</v>
      </c>
      <c r="C3868">
        <v>4</v>
      </c>
      <c r="D3868" t="s">
        <v>28</v>
      </c>
      <c r="F3868">
        <v>533</v>
      </c>
    </row>
    <row r="3869" spans="1:8" x14ac:dyDescent="0.45">
      <c r="A3869" t="s">
        <v>85</v>
      </c>
      <c r="B3869" t="s">
        <v>20</v>
      </c>
      <c r="C3869">
        <v>4</v>
      </c>
      <c r="D3869" t="s">
        <v>29</v>
      </c>
      <c r="F3869">
        <v>499</v>
      </c>
    </row>
    <row r="3870" spans="1:8" x14ac:dyDescent="0.45">
      <c r="A3870" t="s">
        <v>85</v>
      </c>
      <c r="B3870" t="s">
        <v>20</v>
      </c>
      <c r="C3870">
        <v>4</v>
      </c>
      <c r="D3870" t="s">
        <v>31</v>
      </c>
      <c r="H3870">
        <v>214</v>
      </c>
    </row>
    <row r="3871" spans="1:8" x14ac:dyDescent="0.45">
      <c r="A3871" t="s">
        <v>85</v>
      </c>
      <c r="B3871" t="s">
        <v>20</v>
      </c>
      <c r="C3871">
        <v>4</v>
      </c>
      <c r="D3871" t="s">
        <v>32</v>
      </c>
      <c r="H3871">
        <v>10</v>
      </c>
    </row>
    <row r="3872" spans="1:8" x14ac:dyDescent="0.45">
      <c r="A3872" t="s">
        <v>85</v>
      </c>
      <c r="B3872" t="s">
        <v>20</v>
      </c>
      <c r="C3872">
        <v>4</v>
      </c>
      <c r="D3872" t="s">
        <v>34</v>
      </c>
      <c r="H3872">
        <v>8</v>
      </c>
    </row>
    <row r="3873" spans="1:8" x14ac:dyDescent="0.45">
      <c r="A3873" t="s">
        <v>85</v>
      </c>
      <c r="B3873" t="s">
        <v>21</v>
      </c>
      <c r="C3873">
        <v>5</v>
      </c>
      <c r="D3873" t="s">
        <v>19</v>
      </c>
      <c r="E3873">
        <v>1970230</v>
      </c>
      <c r="F3873">
        <v>3039</v>
      </c>
      <c r="H3873">
        <v>12</v>
      </c>
    </row>
    <row r="3874" spans="1:8" x14ac:dyDescent="0.45">
      <c r="A3874" t="s">
        <v>85</v>
      </c>
      <c r="B3874" t="s">
        <v>21</v>
      </c>
      <c r="C3874">
        <v>5</v>
      </c>
      <c r="D3874" t="s">
        <v>27</v>
      </c>
      <c r="F3874">
        <v>707</v>
      </c>
    </row>
    <row r="3875" spans="1:8" x14ac:dyDescent="0.45">
      <c r="A3875" t="s">
        <v>85</v>
      </c>
      <c r="B3875" t="s">
        <v>21</v>
      </c>
      <c r="C3875">
        <v>5</v>
      </c>
      <c r="D3875" t="s">
        <v>28</v>
      </c>
      <c r="F3875">
        <v>512</v>
      </c>
    </row>
    <row r="3876" spans="1:8" x14ac:dyDescent="0.45">
      <c r="A3876" t="s">
        <v>85</v>
      </c>
      <c r="B3876" t="s">
        <v>21</v>
      </c>
      <c r="C3876">
        <v>5</v>
      </c>
      <c r="D3876" t="s">
        <v>29</v>
      </c>
      <c r="F3876">
        <v>440</v>
      </c>
    </row>
    <row r="3877" spans="1:8" x14ac:dyDescent="0.45">
      <c r="A3877" t="s">
        <v>85</v>
      </c>
      <c r="B3877" t="s">
        <v>20</v>
      </c>
      <c r="C3877">
        <v>5</v>
      </c>
      <c r="D3877" t="s">
        <v>19</v>
      </c>
      <c r="E3877">
        <v>1661552</v>
      </c>
      <c r="F3877">
        <v>2438</v>
      </c>
      <c r="G3877">
        <v>664</v>
      </c>
    </row>
    <row r="3878" spans="1:8" x14ac:dyDescent="0.45">
      <c r="A3878" t="s">
        <v>85</v>
      </c>
      <c r="B3878" t="s">
        <v>20</v>
      </c>
      <c r="C3878">
        <v>5</v>
      </c>
      <c r="D3878" t="s">
        <v>27</v>
      </c>
      <c r="F3878">
        <v>575</v>
      </c>
    </row>
    <row r="3879" spans="1:8" x14ac:dyDescent="0.45">
      <c r="A3879" t="s">
        <v>85</v>
      </c>
      <c r="B3879" t="s">
        <v>20</v>
      </c>
      <c r="C3879">
        <v>5</v>
      </c>
      <c r="D3879" t="s">
        <v>28</v>
      </c>
      <c r="F3879">
        <v>408</v>
      </c>
    </row>
    <row r="3880" spans="1:8" x14ac:dyDescent="0.45">
      <c r="A3880" t="s">
        <v>85</v>
      </c>
      <c r="B3880" t="s">
        <v>20</v>
      </c>
      <c r="C3880">
        <v>5</v>
      </c>
      <c r="D3880" t="s">
        <v>29</v>
      </c>
      <c r="F3880">
        <v>353</v>
      </c>
    </row>
    <row r="3881" spans="1:8" x14ac:dyDescent="0.45">
      <c r="A3881" t="s">
        <v>85</v>
      </c>
      <c r="B3881" t="s">
        <v>20</v>
      </c>
      <c r="C3881">
        <v>5</v>
      </c>
      <c r="D3881" t="s">
        <v>31</v>
      </c>
      <c r="H3881">
        <v>70</v>
      </c>
    </row>
    <row r="3882" spans="1:8" x14ac:dyDescent="0.45">
      <c r="A3882" t="s">
        <v>85</v>
      </c>
      <c r="B3882" t="s">
        <v>20</v>
      </c>
      <c r="C3882">
        <v>5</v>
      </c>
      <c r="D3882" t="s">
        <v>32</v>
      </c>
      <c r="H3882">
        <v>9</v>
      </c>
    </row>
    <row r="3883" spans="1:8" x14ac:dyDescent="0.45">
      <c r="A3883" t="s">
        <v>85</v>
      </c>
      <c r="B3883" t="s">
        <v>20</v>
      </c>
      <c r="C3883">
        <v>5</v>
      </c>
      <c r="D3883" t="s">
        <v>34</v>
      </c>
      <c r="H3883">
        <v>8</v>
      </c>
    </row>
    <row r="3884" spans="1:8" x14ac:dyDescent="0.45">
      <c r="A3884" t="s">
        <v>85</v>
      </c>
      <c r="B3884" t="s">
        <v>21</v>
      </c>
      <c r="C3884">
        <v>6</v>
      </c>
      <c r="D3884" t="s">
        <v>19</v>
      </c>
      <c r="E3884">
        <v>1536968</v>
      </c>
      <c r="F3884">
        <v>2818</v>
      </c>
      <c r="G3884">
        <v>693</v>
      </c>
    </row>
    <row r="3885" spans="1:8" x14ac:dyDescent="0.45">
      <c r="A3885" t="s">
        <v>85</v>
      </c>
      <c r="B3885" t="s">
        <v>21</v>
      </c>
      <c r="C3885">
        <v>6</v>
      </c>
      <c r="D3885" t="s">
        <v>27</v>
      </c>
      <c r="F3885">
        <v>676</v>
      </c>
    </row>
    <row r="3886" spans="1:8" x14ac:dyDescent="0.45">
      <c r="A3886" t="s">
        <v>85</v>
      </c>
      <c r="B3886" t="s">
        <v>21</v>
      </c>
      <c r="C3886">
        <v>6</v>
      </c>
      <c r="D3886" t="s">
        <v>28</v>
      </c>
      <c r="F3886">
        <v>403</v>
      </c>
    </row>
    <row r="3887" spans="1:8" x14ac:dyDescent="0.45">
      <c r="A3887" t="s">
        <v>85</v>
      </c>
      <c r="B3887" t="s">
        <v>21</v>
      </c>
      <c r="C3887">
        <v>6</v>
      </c>
      <c r="D3887" t="s">
        <v>29</v>
      </c>
      <c r="F3887">
        <v>309</v>
      </c>
    </row>
    <row r="3888" spans="1:8" x14ac:dyDescent="0.45">
      <c r="A3888" t="s">
        <v>85</v>
      </c>
      <c r="B3888" t="s">
        <v>20</v>
      </c>
      <c r="C3888">
        <v>6</v>
      </c>
      <c r="D3888" t="s">
        <v>19</v>
      </c>
      <c r="E3888">
        <v>1455458</v>
      </c>
      <c r="F3888">
        <v>2285</v>
      </c>
      <c r="G3888">
        <v>626</v>
      </c>
    </row>
    <row r="3889" spans="1:8" x14ac:dyDescent="0.45">
      <c r="A3889" t="s">
        <v>85</v>
      </c>
      <c r="B3889" t="s">
        <v>20</v>
      </c>
      <c r="C3889">
        <v>6</v>
      </c>
      <c r="D3889" t="s">
        <v>27</v>
      </c>
      <c r="F3889">
        <v>701</v>
      </c>
    </row>
    <row r="3890" spans="1:8" x14ac:dyDescent="0.45">
      <c r="A3890" t="s">
        <v>85</v>
      </c>
      <c r="B3890" t="s">
        <v>20</v>
      </c>
      <c r="C3890">
        <v>6</v>
      </c>
      <c r="D3890" t="s">
        <v>28</v>
      </c>
      <c r="F3890">
        <v>377</v>
      </c>
    </row>
    <row r="3891" spans="1:8" x14ac:dyDescent="0.45">
      <c r="A3891" t="s">
        <v>85</v>
      </c>
      <c r="B3891" t="s">
        <v>20</v>
      </c>
      <c r="C3891">
        <v>6</v>
      </c>
      <c r="D3891" t="s">
        <v>29</v>
      </c>
      <c r="F3891">
        <v>258</v>
      </c>
    </row>
    <row r="3892" spans="1:8" x14ac:dyDescent="0.45">
      <c r="A3892" t="s">
        <v>85</v>
      </c>
      <c r="B3892" t="s">
        <v>20</v>
      </c>
      <c r="C3892">
        <v>6</v>
      </c>
      <c r="D3892" t="s">
        <v>31</v>
      </c>
      <c r="H3892">
        <v>32</v>
      </c>
    </row>
    <row r="3893" spans="1:8" x14ac:dyDescent="0.45">
      <c r="A3893" t="s">
        <v>85</v>
      </c>
      <c r="B3893" t="s">
        <v>20</v>
      </c>
      <c r="C3893">
        <v>6</v>
      </c>
      <c r="D3893" t="s">
        <v>32</v>
      </c>
      <c r="H3893">
        <v>5</v>
      </c>
    </row>
    <row r="3894" spans="1:8" x14ac:dyDescent="0.45">
      <c r="A3894" t="s">
        <v>85</v>
      </c>
      <c r="B3894" t="s">
        <v>20</v>
      </c>
      <c r="C3894">
        <v>6</v>
      </c>
      <c r="D3894" t="s">
        <v>34</v>
      </c>
      <c r="H3894">
        <v>7</v>
      </c>
    </row>
    <row r="3895" spans="1:8" x14ac:dyDescent="0.45">
      <c r="A3895" t="s">
        <v>85</v>
      </c>
      <c r="B3895" t="s">
        <v>21</v>
      </c>
      <c r="C3895">
        <v>7</v>
      </c>
      <c r="D3895" t="s">
        <v>19</v>
      </c>
      <c r="E3895">
        <v>1251072</v>
      </c>
      <c r="F3895">
        <v>2110</v>
      </c>
      <c r="G3895">
        <v>649</v>
      </c>
    </row>
    <row r="3896" spans="1:8" x14ac:dyDescent="0.45">
      <c r="A3896" t="s">
        <v>85</v>
      </c>
      <c r="B3896" t="s">
        <v>21</v>
      </c>
      <c r="C3896">
        <v>7</v>
      </c>
      <c r="D3896" t="s">
        <v>27</v>
      </c>
      <c r="F3896">
        <v>715</v>
      </c>
    </row>
    <row r="3897" spans="1:8" x14ac:dyDescent="0.45">
      <c r="A3897" t="s">
        <v>85</v>
      </c>
      <c r="B3897" t="s">
        <v>21</v>
      </c>
      <c r="C3897">
        <v>7</v>
      </c>
      <c r="D3897" t="s">
        <v>28</v>
      </c>
      <c r="F3897">
        <v>342</v>
      </c>
    </row>
    <row r="3898" spans="1:8" x14ac:dyDescent="0.45">
      <c r="A3898" t="s">
        <v>85</v>
      </c>
      <c r="B3898" t="s">
        <v>21</v>
      </c>
      <c r="C3898">
        <v>7</v>
      </c>
      <c r="D3898" t="s">
        <v>29</v>
      </c>
      <c r="F3898">
        <v>268</v>
      </c>
    </row>
    <row r="3899" spans="1:8" x14ac:dyDescent="0.45">
      <c r="A3899" t="s">
        <v>85</v>
      </c>
      <c r="B3899" t="s">
        <v>20</v>
      </c>
      <c r="C3899">
        <v>7</v>
      </c>
      <c r="D3899" t="s">
        <v>19</v>
      </c>
      <c r="E3899">
        <v>1169319</v>
      </c>
      <c r="F3899">
        <v>1937</v>
      </c>
      <c r="G3899">
        <v>631</v>
      </c>
    </row>
    <row r="3900" spans="1:8" x14ac:dyDescent="0.45">
      <c r="A3900" t="s">
        <v>85</v>
      </c>
      <c r="B3900" t="s">
        <v>20</v>
      </c>
      <c r="C3900">
        <v>7</v>
      </c>
      <c r="D3900" t="s">
        <v>27</v>
      </c>
      <c r="F3900">
        <v>653</v>
      </c>
    </row>
    <row r="3901" spans="1:8" x14ac:dyDescent="0.45">
      <c r="A3901" t="s">
        <v>85</v>
      </c>
      <c r="B3901" t="s">
        <v>20</v>
      </c>
      <c r="C3901">
        <v>7</v>
      </c>
      <c r="D3901" t="s">
        <v>28</v>
      </c>
      <c r="F3901">
        <v>375</v>
      </c>
    </row>
    <row r="3902" spans="1:8" x14ac:dyDescent="0.45">
      <c r="A3902" t="s">
        <v>85</v>
      </c>
      <c r="B3902" t="s">
        <v>20</v>
      </c>
      <c r="C3902">
        <v>7</v>
      </c>
      <c r="D3902" t="s">
        <v>29</v>
      </c>
      <c r="F3902">
        <v>252</v>
      </c>
    </row>
    <row r="3903" spans="1:8" x14ac:dyDescent="0.45">
      <c r="A3903" t="s">
        <v>85</v>
      </c>
      <c r="B3903" t="s">
        <v>20</v>
      </c>
      <c r="C3903">
        <v>7</v>
      </c>
      <c r="D3903" t="s">
        <v>31</v>
      </c>
      <c r="H3903">
        <v>180</v>
      </c>
    </row>
    <row r="3904" spans="1:8" x14ac:dyDescent="0.45">
      <c r="A3904" t="s">
        <v>85</v>
      </c>
      <c r="B3904" t="s">
        <v>20</v>
      </c>
      <c r="C3904">
        <v>7</v>
      </c>
      <c r="D3904" t="s">
        <v>32</v>
      </c>
      <c r="H3904">
        <v>3</v>
      </c>
    </row>
    <row r="3905" spans="1:8" x14ac:dyDescent="0.45">
      <c r="A3905" t="s">
        <v>85</v>
      </c>
      <c r="B3905" t="s">
        <v>20</v>
      </c>
      <c r="C3905">
        <v>7</v>
      </c>
      <c r="D3905" t="s">
        <v>34</v>
      </c>
      <c r="H3905">
        <v>9</v>
      </c>
    </row>
    <row r="3906" spans="1:8" x14ac:dyDescent="0.45">
      <c r="A3906" t="s">
        <v>85</v>
      </c>
      <c r="B3906" t="s">
        <v>21</v>
      </c>
      <c r="C3906">
        <v>8</v>
      </c>
      <c r="D3906" t="s">
        <v>19</v>
      </c>
      <c r="E3906">
        <v>872552</v>
      </c>
      <c r="F3906">
        <v>1720</v>
      </c>
      <c r="G3906">
        <v>527</v>
      </c>
    </row>
    <row r="3907" spans="1:8" x14ac:dyDescent="0.45">
      <c r="A3907" t="s">
        <v>85</v>
      </c>
      <c r="B3907" t="s">
        <v>21</v>
      </c>
      <c r="C3907">
        <v>8</v>
      </c>
      <c r="D3907" t="s">
        <v>27</v>
      </c>
      <c r="F3907">
        <v>628</v>
      </c>
      <c r="G3907">
        <v>743</v>
      </c>
    </row>
    <row r="3908" spans="1:8" x14ac:dyDescent="0.45">
      <c r="A3908" t="s">
        <v>85</v>
      </c>
      <c r="B3908" t="s">
        <v>21</v>
      </c>
      <c r="C3908">
        <v>8</v>
      </c>
      <c r="D3908" t="s">
        <v>28</v>
      </c>
      <c r="F3908">
        <v>370</v>
      </c>
      <c r="G3908">
        <v>1153</v>
      </c>
    </row>
    <row r="3909" spans="1:8" x14ac:dyDescent="0.45">
      <c r="A3909" t="s">
        <v>85</v>
      </c>
      <c r="B3909" t="s">
        <v>21</v>
      </c>
      <c r="C3909">
        <v>8</v>
      </c>
      <c r="D3909" t="s">
        <v>29</v>
      </c>
      <c r="F3909">
        <v>189</v>
      </c>
      <c r="G3909">
        <v>902</v>
      </c>
    </row>
    <row r="3910" spans="1:8" x14ac:dyDescent="0.45">
      <c r="A3910" t="s">
        <v>85</v>
      </c>
      <c r="B3910" t="s">
        <v>20</v>
      </c>
      <c r="C3910">
        <v>8</v>
      </c>
      <c r="D3910" t="s">
        <v>19</v>
      </c>
      <c r="E3910">
        <v>789487</v>
      </c>
      <c r="F3910">
        <v>1347</v>
      </c>
      <c r="G3910">
        <v>449</v>
      </c>
    </row>
    <row r="3911" spans="1:8" x14ac:dyDescent="0.45">
      <c r="A3911" t="s">
        <v>85</v>
      </c>
      <c r="B3911" t="s">
        <v>20</v>
      </c>
      <c r="C3911">
        <v>8</v>
      </c>
      <c r="D3911" t="s">
        <v>27</v>
      </c>
      <c r="F3911">
        <v>458</v>
      </c>
      <c r="G3911">
        <v>943</v>
      </c>
    </row>
    <row r="3912" spans="1:8" x14ac:dyDescent="0.45">
      <c r="A3912" t="s">
        <v>85</v>
      </c>
      <c r="B3912" t="s">
        <v>20</v>
      </c>
      <c r="C3912">
        <v>8</v>
      </c>
      <c r="D3912" t="s">
        <v>28</v>
      </c>
      <c r="F3912">
        <v>300</v>
      </c>
      <c r="G3912">
        <v>1080</v>
      </c>
    </row>
    <row r="3913" spans="1:8" x14ac:dyDescent="0.45">
      <c r="A3913" t="s">
        <v>85</v>
      </c>
      <c r="B3913" t="s">
        <v>20</v>
      </c>
      <c r="C3913">
        <v>8</v>
      </c>
      <c r="D3913" t="s">
        <v>29</v>
      </c>
      <c r="F3913">
        <v>143</v>
      </c>
      <c r="G3913">
        <v>934</v>
      </c>
    </row>
    <row r="3914" spans="1:8" x14ac:dyDescent="0.45">
      <c r="A3914" t="s">
        <v>85</v>
      </c>
      <c r="B3914" t="s">
        <v>20</v>
      </c>
      <c r="C3914">
        <v>8</v>
      </c>
      <c r="D3914" t="s">
        <v>31</v>
      </c>
      <c r="H3914">
        <v>27</v>
      </c>
    </row>
    <row r="3915" spans="1:8" x14ac:dyDescent="0.45">
      <c r="A3915" t="s">
        <v>85</v>
      </c>
      <c r="B3915" t="s">
        <v>20</v>
      </c>
      <c r="C3915">
        <v>8</v>
      </c>
      <c r="D3915" t="s">
        <v>32</v>
      </c>
      <c r="H3915">
        <v>4</v>
      </c>
    </row>
    <row r="3916" spans="1:8" x14ac:dyDescent="0.45">
      <c r="A3916" t="s">
        <v>85</v>
      </c>
      <c r="B3916" t="s">
        <v>20</v>
      </c>
      <c r="C3916">
        <v>8</v>
      </c>
      <c r="D3916" t="s">
        <v>34</v>
      </c>
      <c r="H3916">
        <v>5</v>
      </c>
    </row>
    <row r="3917" spans="1:8" x14ac:dyDescent="0.45">
      <c r="A3917" t="s">
        <v>85</v>
      </c>
      <c r="B3917" t="s">
        <v>21</v>
      </c>
      <c r="C3917">
        <v>9</v>
      </c>
      <c r="D3917" t="s">
        <v>19</v>
      </c>
      <c r="E3917">
        <v>902619</v>
      </c>
      <c r="F3917">
        <v>1775</v>
      </c>
      <c r="G3917">
        <v>538</v>
      </c>
    </row>
    <row r="3918" spans="1:8" x14ac:dyDescent="0.45">
      <c r="A3918" t="s">
        <v>85</v>
      </c>
      <c r="B3918" t="s">
        <v>21</v>
      </c>
      <c r="C3918">
        <v>9</v>
      </c>
      <c r="D3918" t="s">
        <v>27</v>
      </c>
      <c r="F3918">
        <v>665</v>
      </c>
    </row>
    <row r="3919" spans="1:8" x14ac:dyDescent="0.45">
      <c r="A3919" t="s">
        <v>85</v>
      </c>
      <c r="B3919" t="s">
        <v>21</v>
      </c>
      <c r="C3919">
        <v>9</v>
      </c>
      <c r="D3919" t="s">
        <v>28</v>
      </c>
      <c r="F3919">
        <v>361</v>
      </c>
    </row>
    <row r="3920" spans="1:8" x14ac:dyDescent="0.45">
      <c r="A3920" t="s">
        <v>85</v>
      </c>
      <c r="B3920" t="s">
        <v>21</v>
      </c>
      <c r="C3920">
        <v>9</v>
      </c>
      <c r="D3920" t="s">
        <v>29</v>
      </c>
      <c r="F3920">
        <v>254</v>
      </c>
    </row>
    <row r="3921" spans="1:8" x14ac:dyDescent="0.45">
      <c r="A3921" t="s">
        <v>85</v>
      </c>
      <c r="B3921" t="s">
        <v>20</v>
      </c>
      <c r="C3921">
        <v>9</v>
      </c>
      <c r="D3921" t="s">
        <v>19</v>
      </c>
      <c r="E3921">
        <v>907060</v>
      </c>
      <c r="F3921">
        <v>1650</v>
      </c>
      <c r="G3921">
        <v>507</v>
      </c>
    </row>
    <row r="3922" spans="1:8" x14ac:dyDescent="0.45">
      <c r="A3922" t="s">
        <v>85</v>
      </c>
      <c r="B3922" t="s">
        <v>20</v>
      </c>
      <c r="C3922">
        <v>9</v>
      </c>
      <c r="D3922" t="s">
        <v>27</v>
      </c>
      <c r="F3922">
        <v>598</v>
      </c>
    </row>
    <row r="3923" spans="1:8" x14ac:dyDescent="0.45">
      <c r="A3923" t="s">
        <v>85</v>
      </c>
      <c r="B3923" t="s">
        <v>20</v>
      </c>
      <c r="C3923">
        <v>9</v>
      </c>
      <c r="D3923" t="s">
        <v>28</v>
      </c>
      <c r="F3923">
        <v>324</v>
      </c>
    </row>
    <row r="3924" spans="1:8" x14ac:dyDescent="0.45">
      <c r="A3924" t="s">
        <v>85</v>
      </c>
      <c r="B3924" t="s">
        <v>20</v>
      </c>
      <c r="C3924">
        <v>9</v>
      </c>
      <c r="D3924" t="s">
        <v>29</v>
      </c>
      <c r="F3924">
        <v>213</v>
      </c>
    </row>
    <row r="3925" spans="1:8" x14ac:dyDescent="0.45">
      <c r="A3925" t="s">
        <v>85</v>
      </c>
      <c r="B3925" t="s">
        <v>20</v>
      </c>
      <c r="C3925">
        <v>9</v>
      </c>
      <c r="D3925" t="s">
        <v>31</v>
      </c>
      <c r="H3925">
        <v>104</v>
      </c>
    </row>
    <row r="3926" spans="1:8" x14ac:dyDescent="0.45">
      <c r="A3926" t="s">
        <v>85</v>
      </c>
      <c r="B3926" t="s">
        <v>20</v>
      </c>
      <c r="C3926">
        <v>9</v>
      </c>
      <c r="D3926" t="s">
        <v>32</v>
      </c>
      <c r="H3926">
        <v>9</v>
      </c>
    </row>
    <row r="3927" spans="1:8" x14ac:dyDescent="0.45">
      <c r="A3927" t="s">
        <v>85</v>
      </c>
      <c r="B3927" t="s">
        <v>20</v>
      </c>
      <c r="C3927">
        <v>9</v>
      </c>
      <c r="D3927" t="s">
        <v>34</v>
      </c>
      <c r="H3927">
        <v>1</v>
      </c>
    </row>
    <row r="3928" spans="1:8" x14ac:dyDescent="0.45">
      <c r="A3928" t="s">
        <v>85</v>
      </c>
      <c r="B3928" t="s">
        <v>21</v>
      </c>
      <c r="C3928">
        <v>10</v>
      </c>
      <c r="D3928" t="s">
        <v>19</v>
      </c>
      <c r="E3928">
        <v>1290411</v>
      </c>
      <c r="F3928">
        <v>2648</v>
      </c>
      <c r="G3928">
        <v>704</v>
      </c>
    </row>
    <row r="3929" spans="1:8" x14ac:dyDescent="0.45">
      <c r="A3929" t="s">
        <v>85</v>
      </c>
      <c r="B3929" t="s">
        <v>21</v>
      </c>
      <c r="C3929">
        <v>10</v>
      </c>
      <c r="D3929" t="s">
        <v>27</v>
      </c>
      <c r="F3929">
        <v>897</v>
      </c>
    </row>
    <row r="3930" spans="1:8" x14ac:dyDescent="0.45">
      <c r="A3930" t="s">
        <v>85</v>
      </c>
      <c r="B3930" t="s">
        <v>21</v>
      </c>
      <c r="C3930">
        <v>10</v>
      </c>
      <c r="D3930" t="s">
        <v>28</v>
      </c>
      <c r="F3930">
        <v>478</v>
      </c>
    </row>
    <row r="3931" spans="1:8" x14ac:dyDescent="0.45">
      <c r="A3931" t="s">
        <v>85</v>
      </c>
      <c r="B3931" t="s">
        <v>21</v>
      </c>
      <c r="C3931">
        <v>10</v>
      </c>
      <c r="D3931" t="s">
        <v>29</v>
      </c>
      <c r="F3931">
        <v>323</v>
      </c>
    </row>
    <row r="3932" spans="1:8" x14ac:dyDescent="0.45">
      <c r="A3932" t="s">
        <v>85</v>
      </c>
      <c r="B3932" t="s">
        <v>20</v>
      </c>
      <c r="C3932">
        <v>10</v>
      </c>
      <c r="D3932" t="s">
        <v>19</v>
      </c>
      <c r="E3932">
        <v>1275322</v>
      </c>
      <c r="F3932">
        <v>2116</v>
      </c>
      <c r="G3932">
        <v>628</v>
      </c>
    </row>
    <row r="3933" spans="1:8" x14ac:dyDescent="0.45">
      <c r="A3933" t="s">
        <v>85</v>
      </c>
      <c r="B3933" t="s">
        <v>20</v>
      </c>
      <c r="C3933">
        <v>10</v>
      </c>
      <c r="D3933" t="s">
        <v>27</v>
      </c>
      <c r="F3933">
        <v>696</v>
      </c>
    </row>
    <row r="3934" spans="1:8" x14ac:dyDescent="0.45">
      <c r="A3934" t="s">
        <v>85</v>
      </c>
      <c r="B3934" t="s">
        <v>20</v>
      </c>
      <c r="C3934">
        <v>10</v>
      </c>
      <c r="D3934" t="s">
        <v>28</v>
      </c>
      <c r="F3934">
        <v>398</v>
      </c>
    </row>
    <row r="3935" spans="1:8" x14ac:dyDescent="0.45">
      <c r="A3935" t="s">
        <v>85</v>
      </c>
      <c r="B3935" t="s">
        <v>20</v>
      </c>
      <c r="C3935">
        <v>10</v>
      </c>
      <c r="D3935" t="s">
        <v>29</v>
      </c>
      <c r="F3935">
        <v>294</v>
      </c>
    </row>
    <row r="3936" spans="1:8" x14ac:dyDescent="0.45">
      <c r="A3936" t="s">
        <v>85</v>
      </c>
      <c r="B3936" t="s">
        <v>20</v>
      </c>
      <c r="C3936">
        <v>10</v>
      </c>
      <c r="D3936" t="s">
        <v>31</v>
      </c>
      <c r="H3936">
        <v>112</v>
      </c>
    </row>
    <row r="3937" spans="1:8" x14ac:dyDescent="0.45">
      <c r="A3937" t="s">
        <v>85</v>
      </c>
      <c r="B3937" t="s">
        <v>20</v>
      </c>
      <c r="C3937">
        <v>10</v>
      </c>
      <c r="D3937" t="s">
        <v>32</v>
      </c>
      <c r="H3937">
        <v>10</v>
      </c>
    </row>
    <row r="3938" spans="1:8" x14ac:dyDescent="0.45">
      <c r="A3938" t="s">
        <v>85</v>
      </c>
      <c r="B3938" t="s">
        <v>20</v>
      </c>
      <c r="C3938">
        <v>10</v>
      </c>
      <c r="D3938" t="s">
        <v>34</v>
      </c>
      <c r="H3938">
        <v>9</v>
      </c>
    </row>
    <row r="3939" spans="1:8" x14ac:dyDescent="0.45">
      <c r="A3939" t="s">
        <v>85</v>
      </c>
      <c r="B3939" t="s">
        <v>21</v>
      </c>
      <c r="C3939">
        <v>11</v>
      </c>
      <c r="D3939" t="s">
        <v>19</v>
      </c>
      <c r="E3939">
        <v>1070827</v>
      </c>
      <c r="F3939">
        <v>1839</v>
      </c>
      <c r="G3939">
        <v>581</v>
      </c>
    </row>
    <row r="3940" spans="1:8" x14ac:dyDescent="0.45">
      <c r="A3940" t="s">
        <v>85</v>
      </c>
      <c r="B3940" t="s">
        <v>21</v>
      </c>
      <c r="C3940">
        <v>11</v>
      </c>
      <c r="D3940" t="s">
        <v>27</v>
      </c>
      <c r="F3940">
        <v>772</v>
      </c>
    </row>
    <row r="3941" spans="1:8" x14ac:dyDescent="0.45">
      <c r="A3941" t="s">
        <v>85</v>
      </c>
      <c r="B3941" t="s">
        <v>21</v>
      </c>
      <c r="C3941">
        <v>11</v>
      </c>
      <c r="D3941" t="s">
        <v>28</v>
      </c>
      <c r="F3941">
        <v>373</v>
      </c>
    </row>
    <row r="3942" spans="1:8" x14ac:dyDescent="0.45">
      <c r="A3942" t="s">
        <v>85</v>
      </c>
      <c r="B3942" t="s">
        <v>21</v>
      </c>
      <c r="C3942">
        <v>11</v>
      </c>
      <c r="D3942" t="s">
        <v>29</v>
      </c>
      <c r="F3942">
        <v>272</v>
      </c>
    </row>
    <row r="3943" spans="1:8" x14ac:dyDescent="0.45">
      <c r="A3943" t="s">
        <v>85</v>
      </c>
      <c r="B3943" t="s">
        <v>20</v>
      </c>
      <c r="C3943">
        <v>11</v>
      </c>
      <c r="D3943" t="s">
        <v>19</v>
      </c>
      <c r="E3943">
        <v>1126037</v>
      </c>
      <c r="F3943">
        <v>1911</v>
      </c>
      <c r="G3943">
        <v>580</v>
      </c>
    </row>
    <row r="3944" spans="1:8" x14ac:dyDescent="0.45">
      <c r="A3944" t="s">
        <v>85</v>
      </c>
      <c r="B3944" t="s">
        <v>20</v>
      </c>
      <c r="C3944">
        <v>11</v>
      </c>
      <c r="D3944" t="s">
        <v>27</v>
      </c>
      <c r="F3944">
        <v>628</v>
      </c>
    </row>
    <row r="3945" spans="1:8" x14ac:dyDescent="0.45">
      <c r="A3945" t="s">
        <v>85</v>
      </c>
      <c r="B3945" t="s">
        <v>20</v>
      </c>
      <c r="C3945">
        <v>11</v>
      </c>
      <c r="D3945" t="s">
        <v>28</v>
      </c>
      <c r="F3945">
        <v>433</v>
      </c>
    </row>
    <row r="3946" spans="1:8" x14ac:dyDescent="0.45">
      <c r="A3946" t="s">
        <v>85</v>
      </c>
      <c r="B3946" t="s">
        <v>20</v>
      </c>
      <c r="C3946">
        <v>11</v>
      </c>
      <c r="D3946" t="s">
        <v>29</v>
      </c>
      <c r="F3946">
        <v>307</v>
      </c>
    </row>
    <row r="3947" spans="1:8" x14ac:dyDescent="0.45">
      <c r="A3947" t="s">
        <v>85</v>
      </c>
      <c r="B3947" t="s">
        <v>20</v>
      </c>
      <c r="C3947">
        <v>11</v>
      </c>
      <c r="D3947" t="s">
        <v>31</v>
      </c>
      <c r="H3947">
        <v>160</v>
      </c>
    </row>
    <row r="3948" spans="1:8" x14ac:dyDescent="0.45">
      <c r="A3948" t="s">
        <v>85</v>
      </c>
      <c r="B3948" t="s">
        <v>20</v>
      </c>
      <c r="C3948">
        <v>11</v>
      </c>
      <c r="D3948" t="s">
        <v>32</v>
      </c>
      <c r="H3948">
        <v>5</v>
      </c>
    </row>
    <row r="3949" spans="1:8" x14ac:dyDescent="0.45">
      <c r="A3949" t="s">
        <v>85</v>
      </c>
      <c r="B3949" t="s">
        <v>20</v>
      </c>
      <c r="C3949">
        <v>11</v>
      </c>
      <c r="D3949" t="s">
        <v>34</v>
      </c>
      <c r="H3949">
        <v>6</v>
      </c>
    </row>
    <row r="3950" spans="1:8" x14ac:dyDescent="0.45">
      <c r="A3950" t="s">
        <v>85</v>
      </c>
      <c r="B3950" t="s">
        <v>21</v>
      </c>
      <c r="C3950">
        <v>12</v>
      </c>
      <c r="D3950" t="s">
        <v>19</v>
      </c>
      <c r="E3950">
        <v>1201575</v>
      </c>
      <c r="F3950">
        <v>2340</v>
      </c>
      <c r="G3950">
        <v>625</v>
      </c>
    </row>
    <row r="3951" spans="1:8" x14ac:dyDescent="0.45">
      <c r="A3951" t="s">
        <v>85</v>
      </c>
      <c r="B3951" t="s">
        <v>21</v>
      </c>
      <c r="C3951">
        <v>12</v>
      </c>
      <c r="D3951" t="s">
        <v>27</v>
      </c>
      <c r="F3951">
        <v>725</v>
      </c>
    </row>
    <row r="3952" spans="1:8" x14ac:dyDescent="0.45">
      <c r="A3952" t="s">
        <v>85</v>
      </c>
      <c r="B3952" t="s">
        <v>21</v>
      </c>
      <c r="C3952">
        <v>12</v>
      </c>
      <c r="D3952" t="s">
        <v>28</v>
      </c>
      <c r="F3952">
        <v>510</v>
      </c>
    </row>
    <row r="3953" spans="1:8" x14ac:dyDescent="0.45">
      <c r="A3953" t="s">
        <v>85</v>
      </c>
      <c r="B3953" t="s">
        <v>21</v>
      </c>
      <c r="C3953">
        <v>12</v>
      </c>
      <c r="D3953" t="s">
        <v>29</v>
      </c>
      <c r="F3953">
        <v>392</v>
      </c>
    </row>
    <row r="3954" spans="1:8" x14ac:dyDescent="0.45">
      <c r="A3954" t="s">
        <v>85</v>
      </c>
      <c r="B3954" t="s">
        <v>20</v>
      </c>
      <c r="C3954">
        <v>12</v>
      </c>
      <c r="D3954" t="s">
        <v>19</v>
      </c>
      <c r="E3954">
        <v>1024083</v>
      </c>
      <c r="F3954">
        <v>2005</v>
      </c>
      <c r="G3954">
        <v>589</v>
      </c>
    </row>
    <row r="3955" spans="1:8" x14ac:dyDescent="0.45">
      <c r="A3955" t="s">
        <v>85</v>
      </c>
      <c r="B3955" t="s">
        <v>20</v>
      </c>
      <c r="C3955">
        <v>12</v>
      </c>
      <c r="D3955" t="s">
        <v>27</v>
      </c>
      <c r="F3955">
        <v>650</v>
      </c>
    </row>
    <row r="3956" spans="1:8" x14ac:dyDescent="0.45">
      <c r="A3956" t="s">
        <v>85</v>
      </c>
      <c r="B3956" t="s">
        <v>20</v>
      </c>
      <c r="C3956">
        <v>12</v>
      </c>
      <c r="D3956" t="s">
        <v>28</v>
      </c>
      <c r="F3956">
        <v>416</v>
      </c>
    </row>
    <row r="3957" spans="1:8" x14ac:dyDescent="0.45">
      <c r="A3957" t="s">
        <v>85</v>
      </c>
      <c r="B3957" t="s">
        <v>20</v>
      </c>
      <c r="C3957">
        <v>12</v>
      </c>
      <c r="D3957" t="s">
        <v>29</v>
      </c>
      <c r="F3957">
        <v>301</v>
      </c>
    </row>
    <row r="3958" spans="1:8" x14ac:dyDescent="0.45">
      <c r="A3958" t="s">
        <v>85</v>
      </c>
      <c r="B3958" t="s">
        <v>20</v>
      </c>
      <c r="C3958">
        <v>12</v>
      </c>
      <c r="D3958" t="s">
        <v>31</v>
      </c>
      <c r="H3958">
        <v>64</v>
      </c>
    </row>
    <row r="3959" spans="1:8" x14ac:dyDescent="0.45">
      <c r="A3959" t="s">
        <v>85</v>
      </c>
      <c r="B3959" t="s">
        <v>20</v>
      </c>
      <c r="C3959">
        <v>12</v>
      </c>
      <c r="D3959" t="s">
        <v>32</v>
      </c>
      <c r="H3959">
        <v>6</v>
      </c>
    </row>
    <row r="3960" spans="1:8" x14ac:dyDescent="0.45">
      <c r="A3960" t="s">
        <v>85</v>
      </c>
      <c r="B3960" t="s">
        <v>20</v>
      </c>
      <c r="C3960">
        <v>12</v>
      </c>
      <c r="D3960" t="s">
        <v>34</v>
      </c>
      <c r="H3960">
        <v>5</v>
      </c>
    </row>
    <row r="3961" spans="1:8" x14ac:dyDescent="0.45">
      <c r="A3961" t="s">
        <v>35</v>
      </c>
      <c r="B3961" t="s">
        <v>21</v>
      </c>
      <c r="C3961">
        <v>1</v>
      </c>
      <c r="D3961" t="s">
        <v>19</v>
      </c>
      <c r="E3961">
        <v>1338289</v>
      </c>
      <c r="F3961">
        <v>2731</v>
      </c>
      <c r="G3961">
        <v>678</v>
      </c>
    </row>
    <row r="3962" spans="1:8" x14ac:dyDescent="0.45">
      <c r="A3962" t="s">
        <v>35</v>
      </c>
      <c r="B3962" t="s">
        <v>21</v>
      </c>
      <c r="C3962">
        <v>1</v>
      </c>
      <c r="D3962" t="s">
        <v>27</v>
      </c>
      <c r="F3962">
        <v>1109</v>
      </c>
    </row>
    <row r="3963" spans="1:8" x14ac:dyDescent="0.45">
      <c r="A3963" t="s">
        <v>35</v>
      </c>
      <c r="B3963" t="s">
        <v>21</v>
      </c>
      <c r="C3963">
        <v>1</v>
      </c>
      <c r="D3963" t="s">
        <v>28</v>
      </c>
      <c r="F3963">
        <v>420</v>
      </c>
    </row>
    <row r="3964" spans="1:8" x14ac:dyDescent="0.45">
      <c r="A3964" t="s">
        <v>35</v>
      </c>
      <c r="B3964" t="s">
        <v>21</v>
      </c>
      <c r="C3964">
        <v>1</v>
      </c>
      <c r="D3964" t="s">
        <v>29</v>
      </c>
      <c r="F3964">
        <v>299</v>
      </c>
    </row>
    <row r="3965" spans="1:8" x14ac:dyDescent="0.45">
      <c r="A3965" t="s">
        <v>35</v>
      </c>
      <c r="B3965" t="s">
        <v>20</v>
      </c>
      <c r="C3965">
        <v>1</v>
      </c>
      <c r="D3965" t="s">
        <v>19</v>
      </c>
      <c r="E3965">
        <v>1397078</v>
      </c>
      <c r="F3965">
        <v>2518</v>
      </c>
      <c r="G3965">
        <v>644</v>
      </c>
    </row>
    <row r="3966" spans="1:8" x14ac:dyDescent="0.45">
      <c r="A3966" t="s">
        <v>35</v>
      </c>
      <c r="B3966" t="s">
        <v>20</v>
      </c>
      <c r="C3966">
        <v>1</v>
      </c>
      <c r="D3966" t="s">
        <v>27</v>
      </c>
      <c r="F3966">
        <v>931</v>
      </c>
    </row>
    <row r="3967" spans="1:8" x14ac:dyDescent="0.45">
      <c r="A3967" t="s">
        <v>35</v>
      </c>
      <c r="B3967" t="s">
        <v>20</v>
      </c>
      <c r="C3967">
        <v>1</v>
      </c>
      <c r="D3967" t="s">
        <v>28</v>
      </c>
      <c r="F3967">
        <v>412</v>
      </c>
    </row>
    <row r="3968" spans="1:8" x14ac:dyDescent="0.45">
      <c r="A3968" t="s">
        <v>35</v>
      </c>
      <c r="B3968" t="s">
        <v>20</v>
      </c>
      <c r="C3968">
        <v>1</v>
      </c>
      <c r="D3968" t="s">
        <v>29</v>
      </c>
      <c r="F3968">
        <v>315</v>
      </c>
    </row>
    <row r="3969" spans="1:8" x14ac:dyDescent="0.45">
      <c r="A3969" t="s">
        <v>35</v>
      </c>
      <c r="B3969" t="s">
        <v>20</v>
      </c>
      <c r="C3969">
        <v>1</v>
      </c>
      <c r="D3969" t="s">
        <v>31</v>
      </c>
      <c r="H3969">
        <v>105</v>
      </c>
    </row>
    <row r="3970" spans="1:8" x14ac:dyDescent="0.45">
      <c r="A3970" t="s">
        <v>35</v>
      </c>
      <c r="B3970" t="s">
        <v>20</v>
      </c>
      <c r="C3970">
        <v>1</v>
      </c>
      <c r="D3970" t="s">
        <v>32</v>
      </c>
      <c r="H3970">
        <v>12</v>
      </c>
    </row>
    <row r="3971" spans="1:8" x14ac:dyDescent="0.45">
      <c r="A3971" t="s">
        <v>35</v>
      </c>
      <c r="B3971" t="s">
        <v>20</v>
      </c>
      <c r="C3971">
        <v>1</v>
      </c>
      <c r="D3971" t="s">
        <v>34</v>
      </c>
    </row>
    <row r="3972" spans="1:8" x14ac:dyDescent="0.45">
      <c r="A3972" t="s">
        <v>35</v>
      </c>
      <c r="B3972" t="s">
        <v>21</v>
      </c>
      <c r="C3972">
        <v>2</v>
      </c>
      <c r="D3972" t="s">
        <v>19</v>
      </c>
      <c r="E3972">
        <v>1368988</v>
      </c>
      <c r="F3972">
        <v>2897</v>
      </c>
      <c r="G3972">
        <v>720</v>
      </c>
    </row>
    <row r="3973" spans="1:8" x14ac:dyDescent="0.45">
      <c r="A3973" t="s">
        <v>35</v>
      </c>
      <c r="B3973" t="s">
        <v>21</v>
      </c>
      <c r="C3973">
        <v>2</v>
      </c>
      <c r="D3973" t="s">
        <v>27</v>
      </c>
      <c r="F3973">
        <v>1229</v>
      </c>
    </row>
    <row r="3974" spans="1:8" x14ac:dyDescent="0.45">
      <c r="A3974" t="s">
        <v>35</v>
      </c>
      <c r="B3974" t="s">
        <v>21</v>
      </c>
      <c r="C3974">
        <v>2</v>
      </c>
      <c r="D3974" t="s">
        <v>28</v>
      </c>
      <c r="F3974">
        <v>412</v>
      </c>
    </row>
    <row r="3975" spans="1:8" x14ac:dyDescent="0.45">
      <c r="A3975" t="s">
        <v>35</v>
      </c>
      <c r="B3975" t="s">
        <v>21</v>
      </c>
      <c r="C3975">
        <v>2</v>
      </c>
      <c r="D3975" t="s">
        <v>29</v>
      </c>
      <c r="F3975">
        <v>303</v>
      </c>
    </row>
    <row r="3976" spans="1:8" x14ac:dyDescent="0.45">
      <c r="A3976" t="s">
        <v>35</v>
      </c>
      <c r="B3976" t="s">
        <v>20</v>
      </c>
      <c r="C3976">
        <v>2</v>
      </c>
      <c r="D3976" t="s">
        <v>19</v>
      </c>
      <c r="E3976">
        <v>1201074</v>
      </c>
      <c r="F3976">
        <v>2582</v>
      </c>
      <c r="G3976">
        <v>590</v>
      </c>
    </row>
    <row r="3977" spans="1:8" x14ac:dyDescent="0.45">
      <c r="A3977" t="s">
        <v>35</v>
      </c>
      <c r="B3977" t="s">
        <v>20</v>
      </c>
      <c r="C3977">
        <v>2</v>
      </c>
      <c r="D3977" t="s">
        <v>27</v>
      </c>
      <c r="F3977">
        <v>908</v>
      </c>
    </row>
    <row r="3978" spans="1:8" x14ac:dyDescent="0.45">
      <c r="A3978" t="s">
        <v>35</v>
      </c>
      <c r="B3978" t="s">
        <v>20</v>
      </c>
      <c r="C3978">
        <v>2</v>
      </c>
      <c r="D3978" t="s">
        <v>28</v>
      </c>
      <c r="F3978">
        <v>374</v>
      </c>
    </row>
    <row r="3979" spans="1:8" x14ac:dyDescent="0.45">
      <c r="A3979" t="s">
        <v>35</v>
      </c>
      <c r="B3979" t="s">
        <v>20</v>
      </c>
      <c r="C3979">
        <v>2</v>
      </c>
      <c r="D3979" t="s">
        <v>29</v>
      </c>
      <c r="F3979">
        <v>249</v>
      </c>
    </row>
    <row r="3980" spans="1:8" x14ac:dyDescent="0.45">
      <c r="A3980" t="s">
        <v>35</v>
      </c>
      <c r="B3980" t="s">
        <v>20</v>
      </c>
      <c r="C3980">
        <v>2</v>
      </c>
      <c r="D3980" t="s">
        <v>31</v>
      </c>
      <c r="H3980">
        <v>128</v>
      </c>
    </row>
    <row r="3981" spans="1:8" x14ac:dyDescent="0.45">
      <c r="A3981" t="s">
        <v>35</v>
      </c>
      <c r="B3981" t="s">
        <v>20</v>
      </c>
      <c r="C3981">
        <v>2</v>
      </c>
      <c r="D3981" t="s">
        <v>32</v>
      </c>
      <c r="H3981">
        <v>15</v>
      </c>
    </row>
    <row r="3982" spans="1:8" x14ac:dyDescent="0.45">
      <c r="A3982" t="s">
        <v>35</v>
      </c>
      <c r="B3982" t="s">
        <v>20</v>
      </c>
      <c r="C3982">
        <v>2</v>
      </c>
      <c r="D3982" t="s">
        <v>34</v>
      </c>
      <c r="H3982">
        <v>13</v>
      </c>
    </row>
    <row r="3983" spans="1:8" x14ac:dyDescent="0.45">
      <c r="A3983" t="s">
        <v>35</v>
      </c>
      <c r="B3983" t="s">
        <v>21</v>
      </c>
      <c r="C3983">
        <v>3</v>
      </c>
      <c r="D3983" t="s">
        <v>19</v>
      </c>
      <c r="E3983">
        <v>3127025</v>
      </c>
      <c r="F3983">
        <v>5075</v>
      </c>
      <c r="G3983">
        <v>1214</v>
      </c>
      <c r="H3983">
        <v>155</v>
      </c>
    </row>
    <row r="3984" spans="1:8" x14ac:dyDescent="0.45">
      <c r="A3984" t="s">
        <v>35</v>
      </c>
      <c r="B3984" t="s">
        <v>21</v>
      </c>
      <c r="C3984">
        <v>3</v>
      </c>
      <c r="D3984" t="s">
        <v>27</v>
      </c>
      <c r="F3984">
        <v>1474</v>
      </c>
    </row>
    <row r="3985" spans="1:8" x14ac:dyDescent="0.45">
      <c r="A3985" t="s">
        <v>35</v>
      </c>
      <c r="B3985" t="s">
        <v>21</v>
      </c>
      <c r="C3985">
        <v>3</v>
      </c>
      <c r="D3985" t="s">
        <v>28</v>
      </c>
      <c r="F3985">
        <v>760</v>
      </c>
    </row>
    <row r="3986" spans="1:8" x14ac:dyDescent="0.45">
      <c r="A3986" t="s">
        <v>35</v>
      </c>
      <c r="B3986" t="s">
        <v>21</v>
      </c>
      <c r="C3986">
        <v>3</v>
      </c>
      <c r="D3986" t="s">
        <v>29</v>
      </c>
      <c r="F3986">
        <v>642</v>
      </c>
    </row>
    <row r="3987" spans="1:8" x14ac:dyDescent="0.45">
      <c r="A3987" t="s">
        <v>35</v>
      </c>
      <c r="B3987" t="s">
        <v>20</v>
      </c>
      <c r="C3987">
        <v>3</v>
      </c>
      <c r="D3987" t="s">
        <v>19</v>
      </c>
      <c r="E3987">
        <v>2346357</v>
      </c>
      <c r="F3987">
        <v>3966</v>
      </c>
    </row>
    <row r="3988" spans="1:8" x14ac:dyDescent="0.45">
      <c r="A3988" t="s">
        <v>35</v>
      </c>
      <c r="B3988" t="s">
        <v>20</v>
      </c>
      <c r="C3988">
        <v>3</v>
      </c>
      <c r="D3988" t="s">
        <v>27</v>
      </c>
      <c r="F3988">
        <v>1145</v>
      </c>
    </row>
    <row r="3989" spans="1:8" x14ac:dyDescent="0.45">
      <c r="A3989" t="s">
        <v>35</v>
      </c>
      <c r="B3989" t="s">
        <v>20</v>
      </c>
      <c r="C3989">
        <v>3</v>
      </c>
      <c r="D3989" t="s">
        <v>28</v>
      </c>
      <c r="F3989">
        <v>642</v>
      </c>
    </row>
    <row r="3990" spans="1:8" x14ac:dyDescent="0.45">
      <c r="A3990" t="s">
        <v>35</v>
      </c>
      <c r="B3990" t="s">
        <v>20</v>
      </c>
      <c r="C3990">
        <v>3</v>
      </c>
      <c r="D3990" t="s">
        <v>29</v>
      </c>
      <c r="F3990">
        <v>481</v>
      </c>
    </row>
    <row r="3991" spans="1:8" x14ac:dyDescent="0.45">
      <c r="A3991" t="s">
        <v>35</v>
      </c>
      <c r="B3991" t="s">
        <v>20</v>
      </c>
      <c r="C3991">
        <v>3</v>
      </c>
      <c r="D3991" t="s">
        <v>31</v>
      </c>
      <c r="H3991">
        <v>150</v>
      </c>
    </row>
    <row r="3992" spans="1:8" x14ac:dyDescent="0.45">
      <c r="A3992" t="s">
        <v>35</v>
      </c>
      <c r="B3992" t="s">
        <v>20</v>
      </c>
      <c r="C3992">
        <v>3</v>
      </c>
      <c r="D3992" t="s">
        <v>32</v>
      </c>
      <c r="H3992">
        <v>22</v>
      </c>
    </row>
    <row r="3993" spans="1:8" x14ac:dyDescent="0.45">
      <c r="A3993" t="s">
        <v>35</v>
      </c>
      <c r="B3993" t="s">
        <v>20</v>
      </c>
      <c r="C3993">
        <v>3</v>
      </c>
      <c r="D3993" t="s">
        <v>34</v>
      </c>
      <c r="H3993">
        <v>13</v>
      </c>
    </row>
    <row r="3994" spans="1:8" x14ac:dyDescent="0.45">
      <c r="A3994" t="s">
        <v>35</v>
      </c>
      <c r="B3994" t="s">
        <v>21</v>
      </c>
      <c r="C3994">
        <v>4</v>
      </c>
      <c r="D3994" t="s">
        <v>19</v>
      </c>
      <c r="E3994">
        <v>3719905</v>
      </c>
      <c r="F3994">
        <v>5838</v>
      </c>
      <c r="G3994">
        <v>1339</v>
      </c>
    </row>
    <row r="3995" spans="1:8" x14ac:dyDescent="0.45">
      <c r="A3995" t="s">
        <v>35</v>
      </c>
      <c r="B3995" t="s">
        <v>21</v>
      </c>
      <c r="C3995">
        <v>4</v>
      </c>
      <c r="D3995" t="s">
        <v>27</v>
      </c>
      <c r="F3995">
        <v>1515</v>
      </c>
    </row>
    <row r="3996" spans="1:8" x14ac:dyDescent="0.45">
      <c r="A3996" t="s">
        <v>35</v>
      </c>
      <c r="B3996" t="s">
        <v>21</v>
      </c>
      <c r="C3996">
        <v>4</v>
      </c>
      <c r="D3996" t="s">
        <v>28</v>
      </c>
      <c r="F3996">
        <v>811</v>
      </c>
    </row>
    <row r="3997" spans="1:8" x14ac:dyDescent="0.45">
      <c r="A3997" t="s">
        <v>35</v>
      </c>
      <c r="B3997" t="s">
        <v>21</v>
      </c>
      <c r="C3997">
        <v>4</v>
      </c>
      <c r="D3997" t="s">
        <v>29</v>
      </c>
      <c r="F3997">
        <v>695</v>
      </c>
    </row>
    <row r="3998" spans="1:8" x14ac:dyDescent="0.45">
      <c r="A3998" t="s">
        <v>35</v>
      </c>
      <c r="B3998" t="s">
        <v>20</v>
      </c>
      <c r="C3998">
        <v>4</v>
      </c>
      <c r="D3998" t="s">
        <v>19</v>
      </c>
      <c r="E3998">
        <v>3749904</v>
      </c>
      <c r="F3998">
        <v>5815</v>
      </c>
      <c r="G3998">
        <v>1266</v>
      </c>
      <c r="H3998">
        <v>71</v>
      </c>
    </row>
    <row r="3999" spans="1:8" x14ac:dyDescent="0.45">
      <c r="A3999" t="s">
        <v>35</v>
      </c>
      <c r="B3999" t="s">
        <v>20</v>
      </c>
      <c r="C3999">
        <v>4</v>
      </c>
      <c r="D3999" t="s">
        <v>27</v>
      </c>
      <c r="F3999">
        <v>1104</v>
      </c>
    </row>
    <row r="4000" spans="1:8" x14ac:dyDescent="0.45">
      <c r="A4000" t="s">
        <v>35</v>
      </c>
      <c r="B4000" t="s">
        <v>20</v>
      </c>
      <c r="C4000">
        <v>4</v>
      </c>
      <c r="D4000" t="s">
        <v>28</v>
      </c>
      <c r="F4000">
        <v>837</v>
      </c>
    </row>
    <row r="4001" spans="1:8" x14ac:dyDescent="0.45">
      <c r="A4001" t="s">
        <v>35</v>
      </c>
      <c r="B4001" t="s">
        <v>20</v>
      </c>
      <c r="C4001">
        <v>4</v>
      </c>
      <c r="D4001" t="s">
        <v>29</v>
      </c>
      <c r="F4001">
        <v>737</v>
      </c>
    </row>
    <row r="4002" spans="1:8" x14ac:dyDescent="0.45">
      <c r="A4002" t="s">
        <v>35</v>
      </c>
      <c r="B4002" t="s">
        <v>20</v>
      </c>
      <c r="C4002">
        <v>4</v>
      </c>
      <c r="D4002" t="s">
        <v>31</v>
      </c>
      <c r="H4002">
        <v>139</v>
      </c>
    </row>
    <row r="4003" spans="1:8" x14ac:dyDescent="0.45">
      <c r="A4003" t="s">
        <v>35</v>
      </c>
      <c r="B4003" t="s">
        <v>20</v>
      </c>
      <c r="C4003">
        <v>4</v>
      </c>
      <c r="D4003" t="s">
        <v>32</v>
      </c>
      <c r="H4003">
        <v>14</v>
      </c>
    </row>
    <row r="4004" spans="1:8" x14ac:dyDescent="0.45">
      <c r="A4004" t="s">
        <v>35</v>
      </c>
      <c r="B4004" t="s">
        <v>20</v>
      </c>
      <c r="C4004">
        <v>4</v>
      </c>
      <c r="D4004" t="s">
        <v>34</v>
      </c>
      <c r="H4004">
        <v>16</v>
      </c>
    </row>
    <row r="4005" spans="1:8" x14ac:dyDescent="0.45">
      <c r="A4005" t="s">
        <v>35</v>
      </c>
      <c r="B4005" t="s">
        <v>21</v>
      </c>
      <c r="C4005">
        <v>5</v>
      </c>
      <c r="D4005" t="s">
        <v>19</v>
      </c>
      <c r="E4005">
        <v>3281803</v>
      </c>
      <c r="F4005">
        <v>4961</v>
      </c>
      <c r="G4005">
        <v>1076</v>
      </c>
    </row>
    <row r="4006" spans="1:8" x14ac:dyDescent="0.45">
      <c r="A4006" t="s">
        <v>35</v>
      </c>
      <c r="B4006" t="s">
        <v>21</v>
      </c>
      <c r="C4006">
        <v>5</v>
      </c>
      <c r="D4006" t="s">
        <v>27</v>
      </c>
      <c r="F4006">
        <v>1271</v>
      </c>
    </row>
    <row r="4007" spans="1:8" x14ac:dyDescent="0.45">
      <c r="A4007" t="s">
        <v>35</v>
      </c>
      <c r="B4007" t="s">
        <v>21</v>
      </c>
      <c r="C4007">
        <v>5</v>
      </c>
      <c r="D4007" t="s">
        <v>28</v>
      </c>
      <c r="F4007">
        <v>757</v>
      </c>
    </row>
    <row r="4008" spans="1:8" x14ac:dyDescent="0.45">
      <c r="A4008" t="s">
        <v>35</v>
      </c>
      <c r="B4008" t="s">
        <v>21</v>
      </c>
      <c r="C4008">
        <v>5</v>
      </c>
      <c r="D4008" t="s">
        <v>29</v>
      </c>
      <c r="F4008">
        <v>601</v>
      </c>
    </row>
    <row r="4009" spans="1:8" x14ac:dyDescent="0.45">
      <c r="A4009" t="s">
        <v>35</v>
      </c>
      <c r="B4009" t="s">
        <v>20</v>
      </c>
      <c r="C4009">
        <v>5</v>
      </c>
      <c r="D4009" t="s">
        <v>19</v>
      </c>
      <c r="E4009">
        <v>2703220</v>
      </c>
      <c r="F4009">
        <v>4008</v>
      </c>
    </row>
    <row r="4010" spans="1:8" x14ac:dyDescent="0.45">
      <c r="A4010" t="s">
        <v>35</v>
      </c>
      <c r="B4010" t="s">
        <v>20</v>
      </c>
      <c r="C4010">
        <v>5</v>
      </c>
      <c r="D4010" t="s">
        <v>27</v>
      </c>
      <c r="F4010">
        <v>1000</v>
      </c>
    </row>
    <row r="4011" spans="1:8" x14ac:dyDescent="0.45">
      <c r="A4011" t="s">
        <v>35</v>
      </c>
      <c r="B4011" t="s">
        <v>20</v>
      </c>
      <c r="C4011">
        <v>5</v>
      </c>
      <c r="D4011" t="s">
        <v>28</v>
      </c>
      <c r="F4011">
        <v>705</v>
      </c>
    </row>
    <row r="4012" spans="1:8" x14ac:dyDescent="0.45">
      <c r="A4012" t="s">
        <v>35</v>
      </c>
      <c r="B4012" t="s">
        <v>20</v>
      </c>
      <c r="C4012">
        <v>5</v>
      </c>
      <c r="D4012" t="s">
        <v>29</v>
      </c>
      <c r="F4012">
        <v>496</v>
      </c>
    </row>
    <row r="4013" spans="1:8" x14ac:dyDescent="0.45">
      <c r="A4013" t="s">
        <v>35</v>
      </c>
      <c r="B4013" t="s">
        <v>20</v>
      </c>
      <c r="C4013">
        <v>5</v>
      </c>
      <c r="D4013" t="s">
        <v>31</v>
      </c>
      <c r="H4013">
        <v>143</v>
      </c>
    </row>
    <row r="4014" spans="1:8" x14ac:dyDescent="0.45">
      <c r="A4014" t="s">
        <v>35</v>
      </c>
      <c r="B4014" t="s">
        <v>20</v>
      </c>
      <c r="C4014">
        <v>5</v>
      </c>
      <c r="D4014" t="s">
        <v>32</v>
      </c>
      <c r="H4014">
        <v>11</v>
      </c>
    </row>
    <row r="4015" spans="1:8" x14ac:dyDescent="0.45">
      <c r="A4015" t="s">
        <v>35</v>
      </c>
      <c r="B4015" t="s">
        <v>20</v>
      </c>
      <c r="C4015">
        <v>5</v>
      </c>
      <c r="D4015" t="s">
        <v>34</v>
      </c>
      <c r="H4015">
        <v>14</v>
      </c>
    </row>
    <row r="4016" spans="1:8" x14ac:dyDescent="0.45">
      <c r="A4016" t="s">
        <v>35</v>
      </c>
      <c r="B4016" t="s">
        <v>21</v>
      </c>
      <c r="C4016">
        <v>6</v>
      </c>
      <c r="D4016" t="s">
        <v>19</v>
      </c>
      <c r="E4016">
        <v>2760498</v>
      </c>
      <c r="F4016">
        <v>4472</v>
      </c>
      <c r="G4016">
        <v>980</v>
      </c>
    </row>
    <row r="4017" spans="1:8" x14ac:dyDescent="0.45">
      <c r="A4017" t="s">
        <v>35</v>
      </c>
      <c r="B4017" t="s">
        <v>21</v>
      </c>
      <c r="C4017">
        <v>6</v>
      </c>
      <c r="D4017" t="s">
        <v>27</v>
      </c>
      <c r="F4017">
        <v>1360</v>
      </c>
    </row>
    <row r="4018" spans="1:8" x14ac:dyDescent="0.45">
      <c r="A4018" t="s">
        <v>35</v>
      </c>
      <c r="B4018" t="s">
        <v>21</v>
      </c>
      <c r="C4018">
        <v>6</v>
      </c>
      <c r="D4018" t="s">
        <v>28</v>
      </c>
      <c r="F4018">
        <v>665</v>
      </c>
    </row>
    <row r="4019" spans="1:8" x14ac:dyDescent="0.45">
      <c r="A4019" t="s">
        <v>35</v>
      </c>
      <c r="B4019" t="s">
        <v>21</v>
      </c>
      <c r="C4019">
        <v>6</v>
      </c>
      <c r="D4019" t="s">
        <v>29</v>
      </c>
      <c r="F4019">
        <v>500</v>
      </c>
    </row>
    <row r="4020" spans="1:8" x14ac:dyDescent="0.45">
      <c r="A4020" t="s">
        <v>35</v>
      </c>
      <c r="B4020" t="s">
        <v>20</v>
      </c>
      <c r="C4020">
        <v>6</v>
      </c>
      <c r="D4020" t="s">
        <v>19</v>
      </c>
      <c r="E4020">
        <v>2520249</v>
      </c>
      <c r="F4020">
        <v>3829</v>
      </c>
      <c r="H4020">
        <v>26</v>
      </c>
    </row>
    <row r="4021" spans="1:8" x14ac:dyDescent="0.45">
      <c r="A4021" t="s">
        <v>35</v>
      </c>
      <c r="B4021" t="s">
        <v>20</v>
      </c>
      <c r="C4021">
        <v>6</v>
      </c>
      <c r="D4021" t="s">
        <v>27</v>
      </c>
      <c r="F4021">
        <v>995</v>
      </c>
    </row>
    <row r="4022" spans="1:8" x14ac:dyDescent="0.45">
      <c r="A4022" t="s">
        <v>35</v>
      </c>
      <c r="B4022" t="s">
        <v>20</v>
      </c>
      <c r="C4022">
        <v>6</v>
      </c>
      <c r="D4022" t="s">
        <v>28</v>
      </c>
      <c r="F4022">
        <v>576</v>
      </c>
    </row>
    <row r="4023" spans="1:8" x14ac:dyDescent="0.45">
      <c r="A4023" t="s">
        <v>35</v>
      </c>
      <c r="B4023" t="s">
        <v>20</v>
      </c>
      <c r="C4023">
        <v>6</v>
      </c>
      <c r="D4023" t="s">
        <v>29</v>
      </c>
      <c r="F4023">
        <v>506</v>
      </c>
    </row>
    <row r="4024" spans="1:8" x14ac:dyDescent="0.45">
      <c r="A4024" t="s">
        <v>35</v>
      </c>
      <c r="B4024" t="s">
        <v>20</v>
      </c>
      <c r="C4024">
        <v>6</v>
      </c>
      <c r="D4024" t="s">
        <v>31</v>
      </c>
      <c r="H4024">
        <v>52</v>
      </c>
    </row>
    <row r="4025" spans="1:8" x14ac:dyDescent="0.45">
      <c r="A4025" t="s">
        <v>35</v>
      </c>
      <c r="B4025" t="s">
        <v>20</v>
      </c>
      <c r="C4025">
        <v>6</v>
      </c>
      <c r="D4025" t="s">
        <v>32</v>
      </c>
      <c r="H4025">
        <v>13</v>
      </c>
    </row>
    <row r="4026" spans="1:8" x14ac:dyDescent="0.45">
      <c r="A4026" t="s">
        <v>35</v>
      </c>
      <c r="B4026" t="s">
        <v>20</v>
      </c>
      <c r="C4026">
        <v>6</v>
      </c>
      <c r="D4026" t="s">
        <v>34</v>
      </c>
      <c r="H4026">
        <v>16</v>
      </c>
    </row>
    <row r="4027" spans="1:8" x14ac:dyDescent="0.45">
      <c r="A4027" t="s">
        <v>35</v>
      </c>
      <c r="B4027" t="s">
        <v>21</v>
      </c>
      <c r="C4027">
        <v>7</v>
      </c>
      <c r="D4027" t="s">
        <v>19</v>
      </c>
      <c r="E4027">
        <v>2040673</v>
      </c>
      <c r="F4027">
        <v>3516</v>
      </c>
    </row>
    <row r="4028" spans="1:8" x14ac:dyDescent="0.45">
      <c r="A4028" t="s">
        <v>35</v>
      </c>
      <c r="B4028" t="s">
        <v>21</v>
      </c>
      <c r="C4028">
        <v>7</v>
      </c>
      <c r="D4028" t="s">
        <v>27</v>
      </c>
      <c r="F4028">
        <v>1246</v>
      </c>
    </row>
    <row r="4029" spans="1:8" x14ac:dyDescent="0.45">
      <c r="A4029" t="s">
        <v>35</v>
      </c>
      <c r="B4029" t="s">
        <v>21</v>
      </c>
      <c r="C4029">
        <v>7</v>
      </c>
      <c r="D4029" t="s">
        <v>28</v>
      </c>
      <c r="F4029">
        <v>610</v>
      </c>
    </row>
    <row r="4030" spans="1:8" x14ac:dyDescent="0.45">
      <c r="A4030" t="s">
        <v>35</v>
      </c>
      <c r="B4030" t="s">
        <v>21</v>
      </c>
      <c r="C4030">
        <v>7</v>
      </c>
      <c r="D4030" t="s">
        <v>29</v>
      </c>
      <c r="F4030">
        <v>347</v>
      </c>
    </row>
    <row r="4031" spans="1:8" x14ac:dyDescent="0.45">
      <c r="A4031" t="s">
        <v>35</v>
      </c>
      <c r="B4031" t="s">
        <v>20</v>
      </c>
      <c r="C4031">
        <v>7</v>
      </c>
      <c r="D4031" t="s">
        <v>19</v>
      </c>
      <c r="E4031">
        <v>1779152</v>
      </c>
      <c r="F4031">
        <v>3113</v>
      </c>
    </row>
    <row r="4032" spans="1:8" x14ac:dyDescent="0.45">
      <c r="A4032" t="s">
        <v>35</v>
      </c>
      <c r="B4032" t="s">
        <v>20</v>
      </c>
      <c r="C4032">
        <v>7</v>
      </c>
      <c r="D4032" t="s">
        <v>27</v>
      </c>
      <c r="F4032">
        <v>920</v>
      </c>
    </row>
    <row r="4033" spans="1:8" x14ac:dyDescent="0.45">
      <c r="A4033" t="s">
        <v>35</v>
      </c>
      <c r="B4033" t="s">
        <v>20</v>
      </c>
      <c r="C4033">
        <v>7</v>
      </c>
      <c r="D4033" t="s">
        <v>28</v>
      </c>
      <c r="F4033">
        <v>530</v>
      </c>
    </row>
    <row r="4034" spans="1:8" x14ac:dyDescent="0.45">
      <c r="A4034" t="s">
        <v>35</v>
      </c>
      <c r="B4034" t="s">
        <v>20</v>
      </c>
      <c r="C4034">
        <v>7</v>
      </c>
      <c r="D4034" t="s">
        <v>29</v>
      </c>
      <c r="F4034">
        <v>338</v>
      </c>
    </row>
    <row r="4035" spans="1:8" x14ac:dyDescent="0.45">
      <c r="A4035" t="s">
        <v>35</v>
      </c>
      <c r="B4035" t="s">
        <v>20</v>
      </c>
      <c r="C4035">
        <v>7</v>
      </c>
      <c r="D4035" t="s">
        <v>31</v>
      </c>
      <c r="H4035">
        <v>208</v>
      </c>
    </row>
    <row r="4036" spans="1:8" x14ac:dyDescent="0.45">
      <c r="A4036" t="s">
        <v>35</v>
      </c>
      <c r="B4036" t="s">
        <v>20</v>
      </c>
      <c r="C4036">
        <v>7</v>
      </c>
      <c r="D4036" t="s">
        <v>32</v>
      </c>
      <c r="H4036">
        <v>8</v>
      </c>
    </row>
    <row r="4037" spans="1:8" x14ac:dyDescent="0.45">
      <c r="A4037" t="s">
        <v>35</v>
      </c>
      <c r="B4037" t="s">
        <v>20</v>
      </c>
      <c r="C4037">
        <v>7</v>
      </c>
      <c r="D4037" t="s">
        <v>34</v>
      </c>
      <c r="H4037">
        <v>16</v>
      </c>
    </row>
    <row r="4038" spans="1:8" x14ac:dyDescent="0.45">
      <c r="A4038" t="s">
        <v>35</v>
      </c>
      <c r="B4038" t="s">
        <v>21</v>
      </c>
      <c r="C4038">
        <v>8</v>
      </c>
      <c r="D4038" t="s">
        <v>19</v>
      </c>
      <c r="E4038">
        <v>1669180</v>
      </c>
      <c r="F4038">
        <v>3251</v>
      </c>
      <c r="G4038">
        <v>714</v>
      </c>
    </row>
    <row r="4039" spans="1:8" x14ac:dyDescent="0.45">
      <c r="A4039" t="s">
        <v>35</v>
      </c>
      <c r="B4039" t="s">
        <v>21</v>
      </c>
      <c r="C4039">
        <v>8</v>
      </c>
      <c r="D4039" t="s">
        <v>27</v>
      </c>
      <c r="F4039">
        <v>1084</v>
      </c>
    </row>
    <row r="4040" spans="1:8" x14ac:dyDescent="0.45">
      <c r="A4040" t="s">
        <v>35</v>
      </c>
      <c r="B4040" t="s">
        <v>21</v>
      </c>
      <c r="C4040">
        <v>8</v>
      </c>
      <c r="D4040" t="s">
        <v>28</v>
      </c>
      <c r="F4040">
        <v>555</v>
      </c>
    </row>
    <row r="4041" spans="1:8" x14ac:dyDescent="0.45">
      <c r="A4041" t="s">
        <v>35</v>
      </c>
      <c r="B4041" t="s">
        <v>21</v>
      </c>
      <c r="C4041">
        <v>8</v>
      </c>
      <c r="D4041" t="s">
        <v>29</v>
      </c>
      <c r="F4041">
        <v>285</v>
      </c>
    </row>
    <row r="4042" spans="1:8" x14ac:dyDescent="0.45">
      <c r="A4042" t="s">
        <v>35</v>
      </c>
      <c r="B4042" t="s">
        <v>20</v>
      </c>
      <c r="C4042">
        <v>8</v>
      </c>
      <c r="D4042" t="s">
        <v>19</v>
      </c>
      <c r="E4042">
        <v>1604809</v>
      </c>
      <c r="F4042">
        <v>2864</v>
      </c>
      <c r="G4042">
        <v>698</v>
      </c>
    </row>
    <row r="4043" spans="1:8" x14ac:dyDescent="0.45">
      <c r="A4043" t="s">
        <v>35</v>
      </c>
      <c r="B4043" t="s">
        <v>20</v>
      </c>
      <c r="C4043">
        <v>8</v>
      </c>
      <c r="D4043" t="s">
        <v>27</v>
      </c>
      <c r="F4043">
        <v>909</v>
      </c>
    </row>
    <row r="4044" spans="1:8" x14ac:dyDescent="0.45">
      <c r="A4044" t="s">
        <v>35</v>
      </c>
      <c r="B4044" t="s">
        <v>20</v>
      </c>
      <c r="C4044">
        <v>8</v>
      </c>
      <c r="D4044" t="s">
        <v>28</v>
      </c>
      <c r="F4044">
        <v>484</v>
      </c>
    </row>
    <row r="4045" spans="1:8" x14ac:dyDescent="0.45">
      <c r="A4045" t="s">
        <v>35</v>
      </c>
      <c r="B4045" t="s">
        <v>20</v>
      </c>
      <c r="C4045">
        <v>8</v>
      </c>
      <c r="D4045" t="s">
        <v>29</v>
      </c>
      <c r="F4045">
        <v>276</v>
      </c>
    </row>
    <row r="4046" spans="1:8" x14ac:dyDescent="0.45">
      <c r="A4046" t="s">
        <v>35</v>
      </c>
      <c r="B4046" t="s">
        <v>20</v>
      </c>
      <c r="C4046">
        <v>8</v>
      </c>
      <c r="D4046" t="s">
        <v>31</v>
      </c>
      <c r="H4046">
        <v>28</v>
      </c>
    </row>
    <row r="4047" spans="1:8" x14ac:dyDescent="0.45">
      <c r="A4047" t="s">
        <v>35</v>
      </c>
      <c r="B4047" t="s">
        <v>20</v>
      </c>
      <c r="C4047">
        <v>8</v>
      </c>
      <c r="D4047" t="s">
        <v>32</v>
      </c>
      <c r="H4047">
        <v>23</v>
      </c>
    </row>
    <row r="4048" spans="1:8" x14ac:dyDescent="0.45">
      <c r="A4048" t="s">
        <v>35</v>
      </c>
      <c r="B4048" t="s">
        <v>20</v>
      </c>
      <c r="C4048">
        <v>8</v>
      </c>
      <c r="D4048" t="s">
        <v>34</v>
      </c>
      <c r="H4048">
        <v>3</v>
      </c>
    </row>
    <row r="4049" spans="1:8" x14ac:dyDescent="0.45">
      <c r="A4049" t="s">
        <v>35</v>
      </c>
      <c r="B4049" t="s">
        <v>21</v>
      </c>
      <c r="C4049">
        <v>9</v>
      </c>
      <c r="D4049" t="s">
        <v>19</v>
      </c>
      <c r="E4049">
        <v>1548475</v>
      </c>
      <c r="F4049">
        <v>3071</v>
      </c>
      <c r="G4049">
        <v>739</v>
      </c>
    </row>
    <row r="4050" spans="1:8" x14ac:dyDescent="0.45">
      <c r="A4050" t="s">
        <v>35</v>
      </c>
      <c r="B4050" t="s">
        <v>21</v>
      </c>
      <c r="C4050">
        <v>9</v>
      </c>
      <c r="D4050" t="s">
        <v>27</v>
      </c>
      <c r="F4050">
        <v>1105</v>
      </c>
    </row>
    <row r="4051" spans="1:8" x14ac:dyDescent="0.45">
      <c r="A4051" t="s">
        <v>35</v>
      </c>
      <c r="B4051" t="s">
        <v>21</v>
      </c>
      <c r="C4051">
        <v>9</v>
      </c>
      <c r="D4051" t="s">
        <v>28</v>
      </c>
      <c r="F4051">
        <v>533</v>
      </c>
    </row>
    <row r="4052" spans="1:8" x14ac:dyDescent="0.45">
      <c r="A4052" t="s">
        <v>35</v>
      </c>
      <c r="B4052" t="s">
        <v>21</v>
      </c>
      <c r="C4052">
        <v>9</v>
      </c>
      <c r="D4052" t="s">
        <v>29</v>
      </c>
      <c r="F4052">
        <v>345</v>
      </c>
    </row>
    <row r="4053" spans="1:8" x14ac:dyDescent="0.45">
      <c r="A4053" t="s">
        <v>35</v>
      </c>
      <c r="B4053" t="s">
        <v>20</v>
      </c>
      <c r="C4053">
        <v>9</v>
      </c>
      <c r="D4053" t="s">
        <v>19</v>
      </c>
      <c r="E4053">
        <v>1533736</v>
      </c>
      <c r="F4053">
        <v>2841</v>
      </c>
      <c r="G4053">
        <v>736</v>
      </c>
    </row>
    <row r="4054" spans="1:8" x14ac:dyDescent="0.45">
      <c r="A4054" t="s">
        <v>35</v>
      </c>
      <c r="B4054" t="s">
        <v>20</v>
      </c>
      <c r="C4054">
        <v>9</v>
      </c>
      <c r="D4054" t="s">
        <v>27</v>
      </c>
      <c r="F4054">
        <v>1076</v>
      </c>
    </row>
    <row r="4055" spans="1:8" x14ac:dyDescent="0.45">
      <c r="A4055" t="s">
        <v>35</v>
      </c>
      <c r="B4055" t="s">
        <v>20</v>
      </c>
      <c r="C4055">
        <v>9</v>
      </c>
      <c r="D4055" t="s">
        <v>28</v>
      </c>
      <c r="F4055">
        <v>488</v>
      </c>
    </row>
    <row r="4056" spans="1:8" x14ac:dyDescent="0.45">
      <c r="A4056" t="s">
        <v>35</v>
      </c>
      <c r="B4056" t="s">
        <v>20</v>
      </c>
      <c r="C4056">
        <v>9</v>
      </c>
      <c r="D4056" t="s">
        <v>29</v>
      </c>
      <c r="F4056">
        <v>247</v>
      </c>
    </row>
    <row r="4057" spans="1:8" x14ac:dyDescent="0.45">
      <c r="A4057" t="s">
        <v>35</v>
      </c>
      <c r="B4057" t="s">
        <v>20</v>
      </c>
      <c r="C4057">
        <v>9</v>
      </c>
      <c r="D4057" t="s">
        <v>31</v>
      </c>
      <c r="H4057">
        <v>218</v>
      </c>
    </row>
    <row r="4058" spans="1:8" x14ac:dyDescent="0.45">
      <c r="A4058" t="s">
        <v>35</v>
      </c>
      <c r="B4058" t="s">
        <v>20</v>
      </c>
      <c r="C4058">
        <v>9</v>
      </c>
      <c r="D4058" t="s">
        <v>32</v>
      </c>
      <c r="H4058">
        <v>15</v>
      </c>
    </row>
    <row r="4059" spans="1:8" x14ac:dyDescent="0.45">
      <c r="A4059" t="s">
        <v>35</v>
      </c>
      <c r="B4059" t="s">
        <v>20</v>
      </c>
      <c r="C4059">
        <v>9</v>
      </c>
      <c r="D4059" t="s">
        <v>34</v>
      </c>
      <c r="H4059">
        <v>8</v>
      </c>
    </row>
    <row r="4060" spans="1:8" x14ac:dyDescent="0.45">
      <c r="A4060" t="s">
        <v>35</v>
      </c>
      <c r="B4060" t="s">
        <v>21</v>
      </c>
      <c r="C4060">
        <v>10</v>
      </c>
      <c r="D4060" t="s">
        <v>19</v>
      </c>
      <c r="E4060">
        <v>2365982</v>
      </c>
      <c r="F4060">
        <v>5117</v>
      </c>
    </row>
    <row r="4061" spans="1:8" x14ac:dyDescent="0.45">
      <c r="A4061" t="s">
        <v>35</v>
      </c>
      <c r="B4061" t="s">
        <v>21</v>
      </c>
      <c r="C4061">
        <v>10</v>
      </c>
      <c r="D4061" t="s">
        <v>27</v>
      </c>
      <c r="F4061">
        <v>1704</v>
      </c>
    </row>
    <row r="4062" spans="1:8" x14ac:dyDescent="0.45">
      <c r="A4062" t="s">
        <v>35</v>
      </c>
      <c r="B4062" t="s">
        <v>21</v>
      </c>
      <c r="C4062">
        <v>10</v>
      </c>
      <c r="D4062" t="s">
        <v>28</v>
      </c>
      <c r="F4062">
        <v>853</v>
      </c>
    </row>
    <row r="4063" spans="1:8" x14ac:dyDescent="0.45">
      <c r="A4063" t="s">
        <v>35</v>
      </c>
      <c r="B4063" t="s">
        <v>21</v>
      </c>
      <c r="C4063">
        <v>10</v>
      </c>
      <c r="D4063" t="s">
        <v>29</v>
      </c>
      <c r="F4063">
        <v>528</v>
      </c>
    </row>
    <row r="4064" spans="1:8" x14ac:dyDescent="0.45">
      <c r="A4064" t="s">
        <v>35</v>
      </c>
      <c r="B4064" t="s">
        <v>20</v>
      </c>
      <c r="C4064">
        <v>10</v>
      </c>
      <c r="D4064" t="s">
        <v>19</v>
      </c>
      <c r="E4064">
        <v>2230848</v>
      </c>
      <c r="F4064">
        <v>4345</v>
      </c>
      <c r="H4064">
        <v>38</v>
      </c>
    </row>
    <row r="4065" spans="1:8" x14ac:dyDescent="0.45">
      <c r="A4065" t="s">
        <v>35</v>
      </c>
      <c r="B4065" t="s">
        <v>20</v>
      </c>
      <c r="C4065">
        <v>10</v>
      </c>
      <c r="D4065" t="s">
        <v>27</v>
      </c>
      <c r="F4065">
        <v>1328</v>
      </c>
    </row>
    <row r="4066" spans="1:8" x14ac:dyDescent="0.45">
      <c r="A4066" t="s">
        <v>35</v>
      </c>
      <c r="B4066" t="s">
        <v>20</v>
      </c>
      <c r="C4066">
        <v>10</v>
      </c>
      <c r="D4066" t="s">
        <v>28</v>
      </c>
      <c r="F4066">
        <v>685</v>
      </c>
    </row>
    <row r="4067" spans="1:8" x14ac:dyDescent="0.45">
      <c r="A4067" t="s">
        <v>35</v>
      </c>
      <c r="B4067" t="s">
        <v>20</v>
      </c>
      <c r="C4067">
        <v>10</v>
      </c>
      <c r="D4067" t="s">
        <v>29</v>
      </c>
      <c r="F4067">
        <v>528</v>
      </c>
    </row>
    <row r="4068" spans="1:8" x14ac:dyDescent="0.45">
      <c r="A4068" t="s">
        <v>35</v>
      </c>
      <c r="B4068" t="s">
        <v>20</v>
      </c>
      <c r="C4068">
        <v>10</v>
      </c>
      <c r="D4068" t="s">
        <v>31</v>
      </c>
      <c r="H4068">
        <v>229</v>
      </c>
    </row>
    <row r="4069" spans="1:8" x14ac:dyDescent="0.45">
      <c r="A4069" t="s">
        <v>35</v>
      </c>
      <c r="B4069" t="s">
        <v>20</v>
      </c>
      <c r="C4069">
        <v>10</v>
      </c>
      <c r="D4069" t="s">
        <v>32</v>
      </c>
      <c r="H4069">
        <v>19</v>
      </c>
    </row>
    <row r="4070" spans="1:8" x14ac:dyDescent="0.45">
      <c r="A4070" t="s">
        <v>35</v>
      </c>
      <c r="B4070" t="s">
        <v>20</v>
      </c>
      <c r="C4070">
        <v>10</v>
      </c>
      <c r="D4070" t="s">
        <v>34</v>
      </c>
      <c r="H4070">
        <v>14</v>
      </c>
    </row>
    <row r="4071" spans="1:8" x14ac:dyDescent="0.45">
      <c r="A4071" t="s">
        <v>35</v>
      </c>
      <c r="B4071" t="s">
        <v>21</v>
      </c>
      <c r="C4071">
        <v>11</v>
      </c>
      <c r="D4071" t="s">
        <v>19</v>
      </c>
      <c r="E4071">
        <v>1919453</v>
      </c>
      <c r="F4071">
        <v>3807</v>
      </c>
    </row>
    <row r="4072" spans="1:8" x14ac:dyDescent="0.45">
      <c r="A4072" t="s">
        <v>35</v>
      </c>
      <c r="B4072" t="s">
        <v>21</v>
      </c>
      <c r="C4072">
        <v>11</v>
      </c>
      <c r="D4072" t="s">
        <v>27</v>
      </c>
      <c r="F4072">
        <v>1404</v>
      </c>
    </row>
    <row r="4073" spans="1:8" x14ac:dyDescent="0.45">
      <c r="A4073" t="s">
        <v>35</v>
      </c>
      <c r="B4073" t="s">
        <v>21</v>
      </c>
      <c r="C4073">
        <v>11</v>
      </c>
      <c r="D4073" t="s">
        <v>28</v>
      </c>
      <c r="F4073">
        <v>577</v>
      </c>
    </row>
    <row r="4074" spans="1:8" x14ac:dyDescent="0.45">
      <c r="A4074" t="s">
        <v>35</v>
      </c>
      <c r="B4074" t="s">
        <v>21</v>
      </c>
      <c r="C4074">
        <v>11</v>
      </c>
      <c r="D4074" t="s">
        <v>29</v>
      </c>
      <c r="F4074">
        <v>441</v>
      </c>
    </row>
    <row r="4075" spans="1:8" x14ac:dyDescent="0.45">
      <c r="A4075" t="s">
        <v>35</v>
      </c>
      <c r="B4075" t="s">
        <v>20</v>
      </c>
      <c r="C4075">
        <v>11</v>
      </c>
      <c r="D4075" t="s">
        <v>19</v>
      </c>
      <c r="E4075">
        <v>1799563</v>
      </c>
      <c r="F4075">
        <v>3754</v>
      </c>
      <c r="G4075">
        <v>461</v>
      </c>
    </row>
    <row r="4076" spans="1:8" x14ac:dyDescent="0.45">
      <c r="A4076" t="s">
        <v>35</v>
      </c>
      <c r="B4076" t="s">
        <v>20</v>
      </c>
      <c r="C4076">
        <v>11</v>
      </c>
      <c r="D4076" t="s">
        <v>27</v>
      </c>
      <c r="F4076">
        <v>1295</v>
      </c>
    </row>
    <row r="4077" spans="1:8" x14ac:dyDescent="0.45">
      <c r="A4077" t="s">
        <v>35</v>
      </c>
      <c r="B4077" t="s">
        <v>20</v>
      </c>
      <c r="C4077">
        <v>11</v>
      </c>
      <c r="D4077" t="s">
        <v>28</v>
      </c>
      <c r="F4077">
        <v>620</v>
      </c>
    </row>
    <row r="4078" spans="1:8" x14ac:dyDescent="0.45">
      <c r="A4078" t="s">
        <v>35</v>
      </c>
      <c r="B4078" t="s">
        <v>20</v>
      </c>
      <c r="C4078">
        <v>11</v>
      </c>
      <c r="D4078" t="s">
        <v>29</v>
      </c>
      <c r="F4078">
        <v>434</v>
      </c>
    </row>
    <row r="4079" spans="1:8" x14ac:dyDescent="0.45">
      <c r="A4079" t="s">
        <v>35</v>
      </c>
      <c r="B4079" t="s">
        <v>20</v>
      </c>
      <c r="C4079">
        <v>11</v>
      </c>
      <c r="D4079" t="s">
        <v>31</v>
      </c>
      <c r="H4079">
        <v>356</v>
      </c>
    </row>
    <row r="4080" spans="1:8" x14ac:dyDescent="0.45">
      <c r="A4080" t="s">
        <v>35</v>
      </c>
      <c r="B4080" t="s">
        <v>20</v>
      </c>
      <c r="C4080">
        <v>11</v>
      </c>
      <c r="D4080" t="s">
        <v>32</v>
      </c>
      <c r="H4080">
        <v>7</v>
      </c>
    </row>
    <row r="4081" spans="1:8" x14ac:dyDescent="0.45">
      <c r="A4081" t="s">
        <v>35</v>
      </c>
      <c r="B4081" t="s">
        <v>20</v>
      </c>
      <c r="C4081">
        <v>11</v>
      </c>
      <c r="D4081" t="s">
        <v>34</v>
      </c>
      <c r="H4081">
        <v>16</v>
      </c>
    </row>
    <row r="4082" spans="1:8" x14ac:dyDescent="0.45">
      <c r="A4082" t="s">
        <v>35</v>
      </c>
      <c r="B4082" t="s">
        <v>21</v>
      </c>
      <c r="C4082">
        <v>12</v>
      </c>
      <c r="D4082" t="s">
        <v>19</v>
      </c>
      <c r="E4082">
        <v>2183955</v>
      </c>
      <c r="F4082">
        <v>4501</v>
      </c>
      <c r="H4082">
        <v>6</v>
      </c>
    </row>
    <row r="4083" spans="1:8" x14ac:dyDescent="0.45">
      <c r="A4083" t="s">
        <v>35</v>
      </c>
      <c r="B4083" t="s">
        <v>21</v>
      </c>
      <c r="C4083">
        <v>12</v>
      </c>
      <c r="D4083" t="s">
        <v>27</v>
      </c>
      <c r="F4083">
        <v>1528</v>
      </c>
    </row>
    <row r="4084" spans="1:8" x14ac:dyDescent="0.45">
      <c r="A4084" t="s">
        <v>35</v>
      </c>
      <c r="B4084" t="s">
        <v>21</v>
      </c>
      <c r="C4084">
        <v>12</v>
      </c>
      <c r="D4084" t="s">
        <v>28</v>
      </c>
      <c r="F4084">
        <v>830</v>
      </c>
    </row>
    <row r="4085" spans="1:8" x14ac:dyDescent="0.45">
      <c r="A4085" t="s">
        <v>35</v>
      </c>
      <c r="B4085" t="s">
        <v>21</v>
      </c>
      <c r="C4085">
        <v>12</v>
      </c>
      <c r="D4085" t="s">
        <v>29</v>
      </c>
      <c r="F4085">
        <v>629</v>
      </c>
    </row>
    <row r="4086" spans="1:8" x14ac:dyDescent="0.45">
      <c r="A4086" t="s">
        <v>35</v>
      </c>
      <c r="B4086" t="s">
        <v>20</v>
      </c>
      <c r="C4086">
        <v>12</v>
      </c>
      <c r="D4086" t="s">
        <v>19</v>
      </c>
      <c r="E4086">
        <v>2045741</v>
      </c>
      <c r="F4086">
        <v>4018</v>
      </c>
      <c r="H4086">
        <v>28</v>
      </c>
    </row>
    <row r="4087" spans="1:8" x14ac:dyDescent="0.45">
      <c r="A4087" t="s">
        <v>35</v>
      </c>
      <c r="B4087" t="s">
        <v>20</v>
      </c>
      <c r="C4087">
        <v>12</v>
      </c>
      <c r="D4087" t="s">
        <v>27</v>
      </c>
      <c r="F4087">
        <v>1277</v>
      </c>
    </row>
    <row r="4088" spans="1:8" x14ac:dyDescent="0.45">
      <c r="A4088" t="s">
        <v>35</v>
      </c>
      <c r="B4088" t="s">
        <v>20</v>
      </c>
      <c r="C4088">
        <v>12</v>
      </c>
      <c r="D4088" t="s">
        <v>28</v>
      </c>
      <c r="F4088">
        <v>632</v>
      </c>
    </row>
    <row r="4089" spans="1:8" x14ac:dyDescent="0.45">
      <c r="A4089" t="s">
        <v>35</v>
      </c>
      <c r="B4089" t="s">
        <v>20</v>
      </c>
      <c r="C4089">
        <v>12</v>
      </c>
      <c r="D4089" t="s">
        <v>29</v>
      </c>
      <c r="F4089">
        <v>390</v>
      </c>
    </row>
    <row r="4090" spans="1:8" x14ac:dyDescent="0.45">
      <c r="A4090" t="s">
        <v>35</v>
      </c>
      <c r="B4090" t="s">
        <v>20</v>
      </c>
      <c r="C4090">
        <v>12</v>
      </c>
      <c r="D4090" t="s">
        <v>31</v>
      </c>
      <c r="H4090">
        <v>133</v>
      </c>
    </row>
    <row r="4091" spans="1:8" x14ac:dyDescent="0.45">
      <c r="A4091" t="s">
        <v>35</v>
      </c>
      <c r="B4091" t="s">
        <v>20</v>
      </c>
      <c r="C4091">
        <v>12</v>
      </c>
      <c r="D4091" t="s">
        <v>32</v>
      </c>
      <c r="H4091">
        <v>9</v>
      </c>
    </row>
    <row r="4092" spans="1:8" x14ac:dyDescent="0.45">
      <c r="A4092" t="s">
        <v>35</v>
      </c>
      <c r="B4092" t="s">
        <v>20</v>
      </c>
      <c r="C4092">
        <v>12</v>
      </c>
      <c r="D4092" t="s">
        <v>34</v>
      </c>
      <c r="H4092">
        <v>16</v>
      </c>
    </row>
    <row r="4093" spans="1:8" x14ac:dyDescent="0.45">
      <c r="A4093" t="s">
        <v>70</v>
      </c>
      <c r="B4093" t="s">
        <v>21</v>
      </c>
      <c r="C4093">
        <v>1</v>
      </c>
      <c r="D4093" t="s">
        <v>19</v>
      </c>
      <c r="E4093">
        <v>824770</v>
      </c>
      <c r="F4093">
        <v>2023</v>
      </c>
      <c r="G4093">
        <v>553</v>
      </c>
    </row>
    <row r="4094" spans="1:8" x14ac:dyDescent="0.45">
      <c r="A4094" t="s">
        <v>70</v>
      </c>
      <c r="B4094" t="s">
        <v>21</v>
      </c>
      <c r="C4094">
        <v>1</v>
      </c>
      <c r="D4094" t="s">
        <v>27</v>
      </c>
      <c r="F4094">
        <v>950</v>
      </c>
    </row>
    <row r="4095" spans="1:8" x14ac:dyDescent="0.45">
      <c r="A4095" t="s">
        <v>70</v>
      </c>
      <c r="B4095" t="s">
        <v>21</v>
      </c>
      <c r="C4095">
        <v>1</v>
      </c>
      <c r="D4095" t="s">
        <v>28</v>
      </c>
      <c r="F4095">
        <v>360</v>
      </c>
    </row>
    <row r="4096" spans="1:8" x14ac:dyDescent="0.45">
      <c r="A4096" t="s">
        <v>70</v>
      </c>
      <c r="B4096" t="s">
        <v>21</v>
      </c>
      <c r="C4096">
        <v>1</v>
      </c>
      <c r="D4096" t="s">
        <v>29</v>
      </c>
      <c r="F4096">
        <v>253</v>
      </c>
    </row>
    <row r="4097" spans="1:8" x14ac:dyDescent="0.45">
      <c r="A4097" t="s">
        <v>70</v>
      </c>
      <c r="B4097" t="s">
        <v>20</v>
      </c>
      <c r="C4097">
        <v>1</v>
      </c>
      <c r="D4097" t="s">
        <v>19</v>
      </c>
      <c r="E4097">
        <v>778221</v>
      </c>
      <c r="F4097">
        <v>1785</v>
      </c>
      <c r="G4097">
        <v>491</v>
      </c>
    </row>
    <row r="4098" spans="1:8" x14ac:dyDescent="0.45">
      <c r="A4098" t="s">
        <v>70</v>
      </c>
      <c r="B4098" t="s">
        <v>20</v>
      </c>
      <c r="C4098">
        <v>1</v>
      </c>
      <c r="D4098" t="s">
        <v>27</v>
      </c>
      <c r="F4098">
        <v>770</v>
      </c>
    </row>
    <row r="4099" spans="1:8" x14ac:dyDescent="0.45">
      <c r="A4099" t="s">
        <v>70</v>
      </c>
      <c r="B4099" t="s">
        <v>20</v>
      </c>
      <c r="C4099">
        <v>1</v>
      </c>
      <c r="D4099" t="s">
        <v>28</v>
      </c>
      <c r="F4099">
        <v>307</v>
      </c>
    </row>
    <row r="4100" spans="1:8" x14ac:dyDescent="0.45">
      <c r="A4100" t="s">
        <v>70</v>
      </c>
      <c r="B4100" t="s">
        <v>20</v>
      </c>
      <c r="C4100">
        <v>1</v>
      </c>
      <c r="D4100" t="s">
        <v>29</v>
      </c>
      <c r="F4100">
        <v>247</v>
      </c>
    </row>
    <row r="4101" spans="1:8" x14ac:dyDescent="0.45">
      <c r="A4101" t="s">
        <v>70</v>
      </c>
      <c r="B4101" t="s">
        <v>20</v>
      </c>
      <c r="C4101">
        <v>1</v>
      </c>
      <c r="D4101" t="s">
        <v>31</v>
      </c>
      <c r="H4101">
        <v>94</v>
      </c>
    </row>
    <row r="4102" spans="1:8" x14ac:dyDescent="0.45">
      <c r="A4102" t="s">
        <v>70</v>
      </c>
      <c r="B4102" t="s">
        <v>20</v>
      </c>
      <c r="C4102">
        <v>1</v>
      </c>
      <c r="D4102" t="s">
        <v>32</v>
      </c>
      <c r="H4102">
        <v>2</v>
      </c>
    </row>
    <row r="4103" spans="1:8" x14ac:dyDescent="0.45">
      <c r="A4103" t="s">
        <v>70</v>
      </c>
      <c r="B4103" t="s">
        <v>20</v>
      </c>
      <c r="C4103">
        <v>1</v>
      </c>
      <c r="D4103" t="s">
        <v>34</v>
      </c>
    </row>
    <row r="4104" spans="1:8" x14ac:dyDescent="0.45">
      <c r="A4104" t="s">
        <v>70</v>
      </c>
      <c r="B4104" t="s">
        <v>21</v>
      </c>
      <c r="C4104">
        <v>2</v>
      </c>
      <c r="D4104" t="s">
        <v>19</v>
      </c>
      <c r="E4104">
        <v>711019</v>
      </c>
      <c r="F4104">
        <v>1809</v>
      </c>
      <c r="G4104">
        <v>493</v>
      </c>
    </row>
    <row r="4105" spans="1:8" x14ac:dyDescent="0.45">
      <c r="A4105" t="s">
        <v>70</v>
      </c>
      <c r="B4105" t="s">
        <v>21</v>
      </c>
      <c r="C4105">
        <v>2</v>
      </c>
      <c r="D4105" t="s">
        <v>27</v>
      </c>
      <c r="F4105">
        <v>956</v>
      </c>
    </row>
    <row r="4106" spans="1:8" x14ac:dyDescent="0.45">
      <c r="A4106" t="s">
        <v>70</v>
      </c>
      <c r="B4106" t="s">
        <v>21</v>
      </c>
      <c r="C4106">
        <v>2</v>
      </c>
      <c r="D4106" t="s">
        <v>28</v>
      </c>
      <c r="F4106">
        <v>297</v>
      </c>
    </row>
    <row r="4107" spans="1:8" x14ac:dyDescent="0.45">
      <c r="A4107" t="s">
        <v>70</v>
      </c>
      <c r="B4107" t="s">
        <v>21</v>
      </c>
      <c r="C4107">
        <v>2</v>
      </c>
      <c r="D4107" t="s">
        <v>29</v>
      </c>
      <c r="F4107">
        <v>211</v>
      </c>
    </row>
    <row r="4108" spans="1:8" x14ac:dyDescent="0.45">
      <c r="A4108" t="s">
        <v>70</v>
      </c>
      <c r="B4108" t="s">
        <v>20</v>
      </c>
      <c r="C4108">
        <v>2</v>
      </c>
      <c r="D4108" t="s">
        <v>19</v>
      </c>
      <c r="E4108">
        <v>712376</v>
      </c>
      <c r="F4108">
        <v>1578</v>
      </c>
      <c r="G4108">
        <v>434</v>
      </c>
    </row>
    <row r="4109" spans="1:8" x14ac:dyDescent="0.45">
      <c r="A4109" t="s">
        <v>70</v>
      </c>
      <c r="B4109" t="s">
        <v>20</v>
      </c>
      <c r="C4109">
        <v>2</v>
      </c>
      <c r="D4109" t="s">
        <v>27</v>
      </c>
      <c r="F4109">
        <v>702</v>
      </c>
    </row>
    <row r="4110" spans="1:8" x14ac:dyDescent="0.45">
      <c r="A4110" t="s">
        <v>70</v>
      </c>
      <c r="B4110" t="s">
        <v>20</v>
      </c>
      <c r="C4110">
        <v>2</v>
      </c>
      <c r="D4110" t="s">
        <v>28</v>
      </c>
      <c r="F4110">
        <v>258</v>
      </c>
    </row>
    <row r="4111" spans="1:8" x14ac:dyDescent="0.45">
      <c r="A4111" t="s">
        <v>70</v>
      </c>
      <c r="B4111" t="s">
        <v>20</v>
      </c>
      <c r="C4111">
        <v>2</v>
      </c>
      <c r="D4111" t="s">
        <v>29</v>
      </c>
      <c r="F4111">
        <v>212</v>
      </c>
    </row>
    <row r="4112" spans="1:8" x14ac:dyDescent="0.45">
      <c r="A4112" t="s">
        <v>70</v>
      </c>
      <c r="B4112" t="s">
        <v>20</v>
      </c>
      <c r="C4112">
        <v>2</v>
      </c>
      <c r="D4112" t="s">
        <v>31</v>
      </c>
      <c r="H4112">
        <v>58</v>
      </c>
    </row>
    <row r="4113" spans="1:8" x14ac:dyDescent="0.45">
      <c r="A4113" t="s">
        <v>70</v>
      </c>
      <c r="B4113" t="s">
        <v>20</v>
      </c>
      <c r="C4113">
        <v>2</v>
      </c>
      <c r="D4113" t="s">
        <v>32</v>
      </c>
      <c r="H4113">
        <v>4</v>
      </c>
    </row>
    <row r="4114" spans="1:8" x14ac:dyDescent="0.45">
      <c r="A4114" t="s">
        <v>70</v>
      </c>
      <c r="B4114" t="s">
        <v>20</v>
      </c>
      <c r="C4114">
        <v>2</v>
      </c>
      <c r="D4114" t="s">
        <v>34</v>
      </c>
      <c r="H4114">
        <v>5</v>
      </c>
    </row>
    <row r="4115" spans="1:8" x14ac:dyDescent="0.45">
      <c r="A4115" t="s">
        <v>70</v>
      </c>
      <c r="B4115" t="s">
        <v>21</v>
      </c>
      <c r="C4115">
        <v>3</v>
      </c>
      <c r="D4115" t="s">
        <v>19</v>
      </c>
      <c r="E4115">
        <v>1652560</v>
      </c>
      <c r="F4115">
        <v>3216</v>
      </c>
      <c r="G4115">
        <v>858</v>
      </c>
    </row>
    <row r="4116" spans="1:8" x14ac:dyDescent="0.45">
      <c r="A4116" t="s">
        <v>70</v>
      </c>
      <c r="B4116" t="s">
        <v>21</v>
      </c>
      <c r="C4116">
        <v>3</v>
      </c>
      <c r="D4116" t="s">
        <v>27</v>
      </c>
      <c r="F4116">
        <v>1074</v>
      </c>
    </row>
    <row r="4117" spans="1:8" x14ac:dyDescent="0.45">
      <c r="A4117" t="s">
        <v>70</v>
      </c>
      <c r="B4117" t="s">
        <v>21</v>
      </c>
      <c r="C4117">
        <v>3</v>
      </c>
      <c r="D4117" t="s">
        <v>28</v>
      </c>
      <c r="F4117">
        <v>507</v>
      </c>
    </row>
    <row r="4118" spans="1:8" x14ac:dyDescent="0.45">
      <c r="A4118" t="s">
        <v>70</v>
      </c>
      <c r="B4118" t="s">
        <v>21</v>
      </c>
      <c r="C4118">
        <v>3</v>
      </c>
      <c r="D4118" t="s">
        <v>29</v>
      </c>
      <c r="F4118">
        <v>431</v>
      </c>
    </row>
    <row r="4119" spans="1:8" x14ac:dyDescent="0.45">
      <c r="A4119" t="s">
        <v>70</v>
      </c>
      <c r="B4119" t="s">
        <v>20</v>
      </c>
      <c r="C4119">
        <v>3</v>
      </c>
      <c r="D4119" t="s">
        <v>19</v>
      </c>
      <c r="E4119">
        <v>1501813</v>
      </c>
      <c r="F4119">
        <v>2909</v>
      </c>
      <c r="G4119">
        <v>769</v>
      </c>
    </row>
    <row r="4120" spans="1:8" x14ac:dyDescent="0.45">
      <c r="A4120" t="s">
        <v>70</v>
      </c>
      <c r="B4120" t="s">
        <v>20</v>
      </c>
      <c r="C4120">
        <v>3</v>
      </c>
      <c r="D4120" t="s">
        <v>27</v>
      </c>
      <c r="F4120">
        <v>967</v>
      </c>
    </row>
    <row r="4121" spans="1:8" x14ac:dyDescent="0.45">
      <c r="A4121" t="s">
        <v>70</v>
      </c>
      <c r="B4121" t="s">
        <v>20</v>
      </c>
      <c r="C4121">
        <v>3</v>
      </c>
      <c r="D4121" t="s">
        <v>28</v>
      </c>
      <c r="F4121">
        <v>473</v>
      </c>
    </row>
    <row r="4122" spans="1:8" x14ac:dyDescent="0.45">
      <c r="A4122" t="s">
        <v>70</v>
      </c>
      <c r="B4122" t="s">
        <v>20</v>
      </c>
      <c r="C4122">
        <v>3</v>
      </c>
      <c r="D4122" t="s">
        <v>29</v>
      </c>
      <c r="F4122">
        <v>414</v>
      </c>
    </row>
    <row r="4123" spans="1:8" x14ac:dyDescent="0.45">
      <c r="A4123" t="s">
        <v>70</v>
      </c>
      <c r="B4123" t="s">
        <v>20</v>
      </c>
      <c r="C4123">
        <v>3</v>
      </c>
      <c r="D4123" t="s">
        <v>31</v>
      </c>
      <c r="H4123">
        <v>79</v>
      </c>
    </row>
    <row r="4124" spans="1:8" x14ac:dyDescent="0.45">
      <c r="A4124" t="s">
        <v>70</v>
      </c>
      <c r="B4124" t="s">
        <v>20</v>
      </c>
      <c r="C4124">
        <v>3</v>
      </c>
      <c r="D4124" t="s">
        <v>32</v>
      </c>
      <c r="H4124">
        <v>79</v>
      </c>
    </row>
    <row r="4125" spans="1:8" x14ac:dyDescent="0.45">
      <c r="A4125" t="s">
        <v>70</v>
      </c>
      <c r="B4125" t="s">
        <v>20</v>
      </c>
      <c r="C4125">
        <v>3</v>
      </c>
      <c r="D4125" t="s">
        <v>34</v>
      </c>
      <c r="H4125">
        <v>5</v>
      </c>
    </row>
    <row r="4126" spans="1:8" x14ac:dyDescent="0.45">
      <c r="A4126" t="s">
        <v>70</v>
      </c>
      <c r="B4126" t="s">
        <v>21</v>
      </c>
      <c r="C4126">
        <v>4</v>
      </c>
      <c r="D4126" t="s">
        <v>19</v>
      </c>
      <c r="E4126">
        <v>2185601</v>
      </c>
      <c r="F4126">
        <v>3985</v>
      </c>
      <c r="H4126">
        <v>18</v>
      </c>
    </row>
    <row r="4127" spans="1:8" x14ac:dyDescent="0.45">
      <c r="A4127" t="s">
        <v>70</v>
      </c>
      <c r="B4127" t="s">
        <v>21</v>
      </c>
      <c r="C4127">
        <v>4</v>
      </c>
      <c r="D4127" t="s">
        <v>27</v>
      </c>
      <c r="F4127">
        <v>1167</v>
      </c>
    </row>
    <row r="4128" spans="1:8" x14ac:dyDescent="0.45">
      <c r="A4128" t="s">
        <v>70</v>
      </c>
      <c r="B4128" t="s">
        <v>21</v>
      </c>
      <c r="C4128">
        <v>4</v>
      </c>
      <c r="D4128" t="s">
        <v>28</v>
      </c>
      <c r="F4128">
        <v>665</v>
      </c>
    </row>
    <row r="4129" spans="1:8" x14ac:dyDescent="0.45">
      <c r="A4129" t="s">
        <v>70</v>
      </c>
      <c r="B4129" t="s">
        <v>21</v>
      </c>
      <c r="C4129">
        <v>4</v>
      </c>
      <c r="D4129" t="s">
        <v>29</v>
      </c>
      <c r="F4129">
        <v>563</v>
      </c>
    </row>
    <row r="4130" spans="1:8" x14ac:dyDescent="0.45">
      <c r="A4130" t="s">
        <v>70</v>
      </c>
      <c r="B4130" t="s">
        <v>20</v>
      </c>
      <c r="C4130">
        <v>4</v>
      </c>
      <c r="D4130" t="s">
        <v>19</v>
      </c>
      <c r="E4130">
        <v>2397939</v>
      </c>
      <c r="F4130">
        <v>3846</v>
      </c>
      <c r="H4130">
        <v>7</v>
      </c>
    </row>
    <row r="4131" spans="1:8" x14ac:dyDescent="0.45">
      <c r="A4131" t="s">
        <v>70</v>
      </c>
      <c r="B4131" t="s">
        <v>20</v>
      </c>
      <c r="C4131">
        <v>4</v>
      </c>
      <c r="D4131" t="s">
        <v>27</v>
      </c>
      <c r="F4131">
        <v>821</v>
      </c>
    </row>
    <row r="4132" spans="1:8" x14ac:dyDescent="0.45">
      <c r="A4132" t="s">
        <v>70</v>
      </c>
      <c r="B4132" t="s">
        <v>20</v>
      </c>
      <c r="C4132">
        <v>4</v>
      </c>
      <c r="D4132" t="s">
        <v>28</v>
      </c>
      <c r="F4132">
        <v>609</v>
      </c>
    </row>
    <row r="4133" spans="1:8" x14ac:dyDescent="0.45">
      <c r="A4133" t="s">
        <v>70</v>
      </c>
      <c r="B4133" t="s">
        <v>20</v>
      </c>
      <c r="C4133">
        <v>4</v>
      </c>
      <c r="D4133" t="s">
        <v>29</v>
      </c>
      <c r="F4133">
        <v>538</v>
      </c>
    </row>
    <row r="4134" spans="1:8" x14ac:dyDescent="0.45">
      <c r="A4134" t="s">
        <v>70</v>
      </c>
      <c r="B4134" t="s">
        <v>20</v>
      </c>
      <c r="C4134">
        <v>4</v>
      </c>
      <c r="D4134" t="s">
        <v>31</v>
      </c>
      <c r="H4134">
        <v>180</v>
      </c>
    </row>
    <row r="4135" spans="1:8" x14ac:dyDescent="0.45">
      <c r="A4135" t="s">
        <v>70</v>
      </c>
      <c r="B4135" t="s">
        <v>20</v>
      </c>
      <c r="C4135">
        <v>4</v>
      </c>
      <c r="D4135" t="s">
        <v>32</v>
      </c>
      <c r="H4135">
        <v>12</v>
      </c>
    </row>
    <row r="4136" spans="1:8" x14ac:dyDescent="0.45">
      <c r="A4136" t="s">
        <v>70</v>
      </c>
      <c r="B4136" t="s">
        <v>20</v>
      </c>
      <c r="C4136">
        <v>4</v>
      </c>
      <c r="D4136" t="s">
        <v>34</v>
      </c>
      <c r="H4136">
        <v>4</v>
      </c>
    </row>
    <row r="4137" spans="1:8" x14ac:dyDescent="0.45">
      <c r="A4137" t="s">
        <v>70</v>
      </c>
      <c r="B4137" t="s">
        <v>21</v>
      </c>
      <c r="C4137">
        <v>5</v>
      </c>
      <c r="D4137" t="s">
        <v>19</v>
      </c>
      <c r="E4137">
        <v>1959557</v>
      </c>
      <c r="F4137">
        <v>3446</v>
      </c>
      <c r="H4137">
        <v>66</v>
      </c>
    </row>
    <row r="4138" spans="1:8" x14ac:dyDescent="0.45">
      <c r="A4138" t="s">
        <v>70</v>
      </c>
      <c r="B4138" t="s">
        <v>21</v>
      </c>
      <c r="C4138">
        <v>5</v>
      </c>
      <c r="D4138" t="s">
        <v>27</v>
      </c>
      <c r="F4138">
        <v>1068</v>
      </c>
    </row>
    <row r="4139" spans="1:8" x14ac:dyDescent="0.45">
      <c r="A4139" t="s">
        <v>70</v>
      </c>
      <c r="B4139" t="s">
        <v>21</v>
      </c>
      <c r="C4139">
        <v>5</v>
      </c>
      <c r="D4139" t="s">
        <v>28</v>
      </c>
      <c r="F4139">
        <v>602</v>
      </c>
    </row>
    <row r="4140" spans="1:8" x14ac:dyDescent="0.45">
      <c r="A4140" t="s">
        <v>70</v>
      </c>
      <c r="B4140" t="s">
        <v>21</v>
      </c>
      <c r="C4140">
        <v>5</v>
      </c>
      <c r="D4140" t="s">
        <v>29</v>
      </c>
      <c r="F4140">
        <v>432</v>
      </c>
    </row>
    <row r="4141" spans="1:8" x14ac:dyDescent="0.45">
      <c r="A4141" t="s">
        <v>70</v>
      </c>
      <c r="B4141" t="s">
        <v>20</v>
      </c>
      <c r="C4141">
        <v>5</v>
      </c>
      <c r="D4141" t="s">
        <v>19</v>
      </c>
      <c r="E4141">
        <v>1669875</v>
      </c>
      <c r="F4141">
        <v>2770</v>
      </c>
      <c r="G4141">
        <v>714</v>
      </c>
    </row>
    <row r="4142" spans="1:8" x14ac:dyDescent="0.45">
      <c r="A4142" t="s">
        <v>70</v>
      </c>
      <c r="B4142" t="s">
        <v>20</v>
      </c>
      <c r="C4142">
        <v>5</v>
      </c>
      <c r="D4142" t="s">
        <v>27</v>
      </c>
      <c r="F4142">
        <v>843</v>
      </c>
    </row>
    <row r="4143" spans="1:8" x14ac:dyDescent="0.45">
      <c r="A4143" t="s">
        <v>70</v>
      </c>
      <c r="B4143" t="s">
        <v>20</v>
      </c>
      <c r="C4143">
        <v>5</v>
      </c>
      <c r="D4143" t="s">
        <v>28</v>
      </c>
      <c r="F4143">
        <v>452</v>
      </c>
    </row>
    <row r="4144" spans="1:8" x14ac:dyDescent="0.45">
      <c r="A4144" t="s">
        <v>70</v>
      </c>
      <c r="B4144" t="s">
        <v>20</v>
      </c>
      <c r="C4144">
        <v>5</v>
      </c>
      <c r="D4144" t="s">
        <v>29</v>
      </c>
      <c r="F4144">
        <v>360</v>
      </c>
    </row>
    <row r="4145" spans="1:8" x14ac:dyDescent="0.45">
      <c r="A4145" t="s">
        <v>70</v>
      </c>
      <c r="B4145" t="s">
        <v>20</v>
      </c>
      <c r="C4145">
        <v>5</v>
      </c>
      <c r="D4145" t="s">
        <v>31</v>
      </c>
      <c r="H4145">
        <v>62</v>
      </c>
    </row>
    <row r="4146" spans="1:8" x14ac:dyDescent="0.45">
      <c r="A4146" t="s">
        <v>70</v>
      </c>
      <c r="B4146" t="s">
        <v>20</v>
      </c>
      <c r="C4146">
        <v>5</v>
      </c>
      <c r="D4146" t="s">
        <v>32</v>
      </c>
      <c r="H4146">
        <v>3</v>
      </c>
    </row>
    <row r="4147" spans="1:8" x14ac:dyDescent="0.45">
      <c r="A4147" t="s">
        <v>70</v>
      </c>
      <c r="B4147" t="s">
        <v>20</v>
      </c>
      <c r="C4147">
        <v>5</v>
      </c>
      <c r="D4147" t="s">
        <v>34</v>
      </c>
      <c r="H4147">
        <v>5</v>
      </c>
    </row>
    <row r="4148" spans="1:8" x14ac:dyDescent="0.45">
      <c r="A4148" t="s">
        <v>70</v>
      </c>
      <c r="B4148" t="s">
        <v>21</v>
      </c>
      <c r="C4148">
        <v>6</v>
      </c>
      <c r="D4148" t="s">
        <v>19</v>
      </c>
      <c r="E4148">
        <v>1724267</v>
      </c>
      <c r="F4148">
        <v>3232</v>
      </c>
    </row>
    <row r="4149" spans="1:8" x14ac:dyDescent="0.45">
      <c r="A4149" t="s">
        <v>70</v>
      </c>
      <c r="B4149" t="s">
        <v>21</v>
      </c>
      <c r="C4149">
        <v>6</v>
      </c>
      <c r="D4149" t="s">
        <v>27</v>
      </c>
      <c r="F4149">
        <v>1119</v>
      </c>
    </row>
    <row r="4150" spans="1:8" x14ac:dyDescent="0.45">
      <c r="A4150" t="s">
        <v>70</v>
      </c>
      <c r="B4150" t="s">
        <v>21</v>
      </c>
      <c r="C4150">
        <v>6</v>
      </c>
      <c r="D4150" t="s">
        <v>28</v>
      </c>
      <c r="F4150">
        <v>567</v>
      </c>
    </row>
    <row r="4151" spans="1:8" x14ac:dyDescent="0.45">
      <c r="A4151" t="s">
        <v>70</v>
      </c>
      <c r="B4151" t="s">
        <v>21</v>
      </c>
      <c r="C4151">
        <v>6</v>
      </c>
      <c r="D4151" t="s">
        <v>29</v>
      </c>
      <c r="F4151">
        <v>414</v>
      </c>
    </row>
    <row r="4152" spans="1:8" x14ac:dyDescent="0.45">
      <c r="A4152" t="s">
        <v>70</v>
      </c>
      <c r="B4152" t="s">
        <v>20</v>
      </c>
      <c r="C4152">
        <v>6</v>
      </c>
      <c r="D4152" t="s">
        <v>19</v>
      </c>
      <c r="E4152">
        <v>1655796</v>
      </c>
      <c r="F4152">
        <v>2718</v>
      </c>
      <c r="G4152">
        <v>721</v>
      </c>
    </row>
    <row r="4153" spans="1:8" x14ac:dyDescent="0.45">
      <c r="A4153" t="s">
        <v>70</v>
      </c>
      <c r="B4153" t="s">
        <v>20</v>
      </c>
      <c r="C4153">
        <v>6</v>
      </c>
      <c r="D4153" t="s">
        <v>27</v>
      </c>
      <c r="F4153">
        <v>935</v>
      </c>
    </row>
    <row r="4154" spans="1:8" x14ac:dyDescent="0.45">
      <c r="A4154" t="s">
        <v>70</v>
      </c>
      <c r="B4154" t="s">
        <v>20</v>
      </c>
      <c r="C4154">
        <v>6</v>
      </c>
      <c r="D4154" t="s">
        <v>28</v>
      </c>
      <c r="F4154">
        <v>523</v>
      </c>
    </row>
    <row r="4155" spans="1:8" x14ac:dyDescent="0.45">
      <c r="A4155" t="s">
        <v>70</v>
      </c>
      <c r="B4155" t="s">
        <v>20</v>
      </c>
      <c r="C4155">
        <v>6</v>
      </c>
      <c r="D4155" t="s">
        <v>29</v>
      </c>
      <c r="F4155">
        <v>343</v>
      </c>
    </row>
    <row r="4156" spans="1:8" x14ac:dyDescent="0.45">
      <c r="A4156" t="s">
        <v>70</v>
      </c>
      <c r="B4156" t="s">
        <v>20</v>
      </c>
      <c r="C4156">
        <v>6</v>
      </c>
      <c r="D4156" t="s">
        <v>31</v>
      </c>
      <c r="H4156">
        <v>46</v>
      </c>
    </row>
    <row r="4157" spans="1:8" x14ac:dyDescent="0.45">
      <c r="A4157" t="s">
        <v>70</v>
      </c>
      <c r="B4157" t="s">
        <v>20</v>
      </c>
      <c r="C4157">
        <v>6</v>
      </c>
      <c r="D4157" t="s">
        <v>32</v>
      </c>
      <c r="H4157">
        <v>7</v>
      </c>
    </row>
    <row r="4158" spans="1:8" x14ac:dyDescent="0.45">
      <c r="A4158" t="s">
        <v>70</v>
      </c>
      <c r="B4158" t="s">
        <v>20</v>
      </c>
      <c r="C4158">
        <v>6</v>
      </c>
      <c r="D4158" t="s">
        <v>34</v>
      </c>
      <c r="H4158">
        <v>4</v>
      </c>
    </row>
    <row r="4159" spans="1:8" x14ac:dyDescent="0.45">
      <c r="A4159" t="s">
        <v>70</v>
      </c>
      <c r="B4159" t="s">
        <v>21</v>
      </c>
      <c r="C4159">
        <v>7</v>
      </c>
      <c r="D4159" t="s">
        <v>19</v>
      </c>
      <c r="E4159">
        <v>1184018</v>
      </c>
      <c r="F4159">
        <v>2440</v>
      </c>
      <c r="G4159">
        <v>665</v>
      </c>
    </row>
    <row r="4160" spans="1:8" x14ac:dyDescent="0.45">
      <c r="A4160" t="s">
        <v>70</v>
      </c>
      <c r="B4160" t="s">
        <v>21</v>
      </c>
      <c r="C4160">
        <v>7</v>
      </c>
      <c r="D4160" t="s">
        <v>27</v>
      </c>
      <c r="F4160">
        <v>1030</v>
      </c>
    </row>
    <row r="4161" spans="1:8" x14ac:dyDescent="0.45">
      <c r="A4161" t="s">
        <v>70</v>
      </c>
      <c r="B4161" t="s">
        <v>21</v>
      </c>
      <c r="C4161">
        <v>7</v>
      </c>
      <c r="D4161" t="s">
        <v>28</v>
      </c>
      <c r="F4161">
        <v>466</v>
      </c>
    </row>
    <row r="4162" spans="1:8" x14ac:dyDescent="0.45">
      <c r="A4162" t="s">
        <v>70</v>
      </c>
      <c r="B4162" t="s">
        <v>21</v>
      </c>
      <c r="C4162">
        <v>7</v>
      </c>
      <c r="D4162" t="s">
        <v>29</v>
      </c>
      <c r="F4162">
        <v>261</v>
      </c>
    </row>
    <row r="4163" spans="1:8" x14ac:dyDescent="0.45">
      <c r="A4163" t="s">
        <v>70</v>
      </c>
      <c r="B4163" t="s">
        <v>20</v>
      </c>
      <c r="C4163">
        <v>7</v>
      </c>
      <c r="D4163" t="s">
        <v>19</v>
      </c>
      <c r="E4163">
        <v>1133588</v>
      </c>
      <c r="F4163">
        <v>2229</v>
      </c>
      <c r="G4163">
        <v>625</v>
      </c>
    </row>
    <row r="4164" spans="1:8" x14ac:dyDescent="0.45">
      <c r="A4164" t="s">
        <v>70</v>
      </c>
      <c r="B4164" t="s">
        <v>20</v>
      </c>
      <c r="C4164">
        <v>7</v>
      </c>
      <c r="D4164" t="s">
        <v>27</v>
      </c>
      <c r="F4164">
        <v>863</v>
      </c>
    </row>
    <row r="4165" spans="1:8" x14ac:dyDescent="0.45">
      <c r="A4165" t="s">
        <v>70</v>
      </c>
      <c r="B4165" t="s">
        <v>20</v>
      </c>
      <c r="C4165">
        <v>7</v>
      </c>
      <c r="D4165" t="s">
        <v>28</v>
      </c>
      <c r="F4165">
        <v>421</v>
      </c>
    </row>
    <row r="4166" spans="1:8" x14ac:dyDescent="0.45">
      <c r="A4166" t="s">
        <v>70</v>
      </c>
      <c r="B4166" t="s">
        <v>20</v>
      </c>
      <c r="C4166">
        <v>7</v>
      </c>
      <c r="D4166" t="s">
        <v>29</v>
      </c>
      <c r="F4166">
        <v>246</v>
      </c>
    </row>
    <row r="4167" spans="1:8" x14ac:dyDescent="0.45">
      <c r="A4167" t="s">
        <v>70</v>
      </c>
      <c r="B4167" t="s">
        <v>20</v>
      </c>
      <c r="C4167">
        <v>7</v>
      </c>
      <c r="D4167" t="s">
        <v>31</v>
      </c>
      <c r="H4167">
        <v>105</v>
      </c>
    </row>
    <row r="4168" spans="1:8" x14ac:dyDescent="0.45">
      <c r="A4168" t="s">
        <v>70</v>
      </c>
      <c r="B4168" t="s">
        <v>20</v>
      </c>
      <c r="C4168">
        <v>7</v>
      </c>
      <c r="D4168" t="s">
        <v>32</v>
      </c>
      <c r="H4168">
        <v>1</v>
      </c>
    </row>
    <row r="4169" spans="1:8" x14ac:dyDescent="0.45">
      <c r="A4169" t="s">
        <v>70</v>
      </c>
      <c r="B4169" t="s">
        <v>20</v>
      </c>
      <c r="C4169">
        <v>7</v>
      </c>
      <c r="D4169" t="s">
        <v>34</v>
      </c>
      <c r="H4169">
        <v>5</v>
      </c>
    </row>
    <row r="4170" spans="1:8" x14ac:dyDescent="0.45">
      <c r="A4170" t="s">
        <v>70</v>
      </c>
      <c r="B4170" t="s">
        <v>21</v>
      </c>
      <c r="C4170">
        <v>8</v>
      </c>
      <c r="D4170" t="s">
        <v>19</v>
      </c>
      <c r="E4170">
        <v>868966</v>
      </c>
      <c r="F4170">
        <v>2153</v>
      </c>
      <c r="G4170">
        <v>588</v>
      </c>
    </row>
    <row r="4171" spans="1:8" x14ac:dyDescent="0.45">
      <c r="A4171" t="s">
        <v>70</v>
      </c>
      <c r="B4171" t="s">
        <v>21</v>
      </c>
      <c r="C4171">
        <v>8</v>
      </c>
      <c r="D4171" t="s">
        <v>27</v>
      </c>
      <c r="F4171">
        <v>924</v>
      </c>
      <c r="G4171">
        <v>1018</v>
      </c>
    </row>
    <row r="4172" spans="1:8" x14ac:dyDescent="0.45">
      <c r="A4172" t="s">
        <v>70</v>
      </c>
      <c r="B4172" t="s">
        <v>21</v>
      </c>
      <c r="C4172">
        <v>8</v>
      </c>
      <c r="D4172" t="s">
        <v>28</v>
      </c>
      <c r="F4172">
        <v>433</v>
      </c>
      <c r="G4172">
        <v>753</v>
      </c>
    </row>
    <row r="4173" spans="1:8" x14ac:dyDescent="0.45">
      <c r="A4173" t="s">
        <v>70</v>
      </c>
      <c r="B4173" t="s">
        <v>21</v>
      </c>
      <c r="C4173">
        <v>8</v>
      </c>
      <c r="D4173" t="s">
        <v>29</v>
      </c>
      <c r="F4173">
        <v>206</v>
      </c>
      <c r="G4173">
        <v>931</v>
      </c>
    </row>
    <row r="4174" spans="1:8" x14ac:dyDescent="0.45">
      <c r="A4174" t="s">
        <v>70</v>
      </c>
      <c r="B4174" t="s">
        <v>20</v>
      </c>
      <c r="C4174">
        <v>8</v>
      </c>
      <c r="D4174" t="s">
        <v>19</v>
      </c>
      <c r="E4174">
        <v>917415</v>
      </c>
      <c r="F4174">
        <v>1964</v>
      </c>
      <c r="G4174">
        <v>541</v>
      </c>
    </row>
    <row r="4175" spans="1:8" x14ac:dyDescent="0.45">
      <c r="A4175" t="s">
        <v>70</v>
      </c>
      <c r="B4175" t="s">
        <v>20</v>
      </c>
      <c r="C4175">
        <v>8</v>
      </c>
      <c r="D4175" t="s">
        <v>27</v>
      </c>
      <c r="F4175">
        <v>828</v>
      </c>
      <c r="G4175">
        <v>733</v>
      </c>
    </row>
    <row r="4176" spans="1:8" x14ac:dyDescent="0.45">
      <c r="A4176" t="s">
        <v>70</v>
      </c>
      <c r="B4176" t="s">
        <v>20</v>
      </c>
      <c r="C4176">
        <v>8</v>
      </c>
      <c r="D4176" t="s">
        <v>28</v>
      </c>
      <c r="F4176">
        <v>397</v>
      </c>
      <c r="G4176">
        <v>916</v>
      </c>
    </row>
    <row r="4177" spans="1:8" x14ac:dyDescent="0.45">
      <c r="A4177" t="s">
        <v>70</v>
      </c>
      <c r="B4177" t="s">
        <v>20</v>
      </c>
      <c r="C4177">
        <v>8</v>
      </c>
      <c r="D4177" t="s">
        <v>29</v>
      </c>
      <c r="F4177">
        <v>218</v>
      </c>
      <c r="G4177">
        <v>968</v>
      </c>
    </row>
    <row r="4178" spans="1:8" x14ac:dyDescent="0.45">
      <c r="A4178" t="s">
        <v>70</v>
      </c>
      <c r="B4178" t="s">
        <v>20</v>
      </c>
      <c r="C4178">
        <v>8</v>
      </c>
      <c r="D4178" t="s">
        <v>31</v>
      </c>
      <c r="H4178">
        <v>13</v>
      </c>
    </row>
    <row r="4179" spans="1:8" x14ac:dyDescent="0.45">
      <c r="A4179" t="s">
        <v>70</v>
      </c>
      <c r="B4179" t="s">
        <v>20</v>
      </c>
      <c r="C4179">
        <v>8</v>
      </c>
      <c r="D4179" t="s">
        <v>32</v>
      </c>
      <c r="H4179">
        <v>5</v>
      </c>
    </row>
    <row r="4180" spans="1:8" x14ac:dyDescent="0.45">
      <c r="A4180" t="s">
        <v>70</v>
      </c>
      <c r="B4180" t="s">
        <v>20</v>
      </c>
      <c r="C4180">
        <v>8</v>
      </c>
      <c r="D4180" t="s">
        <v>34</v>
      </c>
      <c r="H4180">
        <v>3</v>
      </c>
    </row>
    <row r="4181" spans="1:8" x14ac:dyDescent="0.45">
      <c r="A4181" t="s">
        <v>70</v>
      </c>
      <c r="B4181" t="s">
        <v>21</v>
      </c>
      <c r="C4181">
        <v>9</v>
      </c>
      <c r="D4181" t="s">
        <v>19</v>
      </c>
      <c r="E4181">
        <v>793747</v>
      </c>
      <c r="F4181">
        <v>1904</v>
      </c>
      <c r="G4181">
        <v>517</v>
      </c>
    </row>
    <row r="4182" spans="1:8" x14ac:dyDescent="0.45">
      <c r="A4182" t="s">
        <v>70</v>
      </c>
      <c r="B4182" t="s">
        <v>21</v>
      </c>
      <c r="C4182">
        <v>9</v>
      </c>
      <c r="D4182" t="s">
        <v>27</v>
      </c>
      <c r="F4182">
        <v>927</v>
      </c>
    </row>
    <row r="4183" spans="1:8" x14ac:dyDescent="0.45">
      <c r="A4183" t="s">
        <v>70</v>
      </c>
      <c r="B4183" t="s">
        <v>21</v>
      </c>
      <c r="C4183">
        <v>9</v>
      </c>
      <c r="D4183" t="s">
        <v>28</v>
      </c>
      <c r="F4183">
        <v>369</v>
      </c>
    </row>
    <row r="4184" spans="1:8" x14ac:dyDescent="0.45">
      <c r="A4184" t="s">
        <v>70</v>
      </c>
      <c r="B4184" t="s">
        <v>21</v>
      </c>
      <c r="C4184">
        <v>9</v>
      </c>
      <c r="D4184" t="s">
        <v>29</v>
      </c>
      <c r="F4184">
        <v>214</v>
      </c>
    </row>
    <row r="4185" spans="1:8" x14ac:dyDescent="0.45">
      <c r="A4185" t="s">
        <v>70</v>
      </c>
      <c r="B4185" t="s">
        <v>20</v>
      </c>
      <c r="C4185">
        <v>9</v>
      </c>
      <c r="D4185" t="s">
        <v>19</v>
      </c>
      <c r="E4185">
        <v>880087</v>
      </c>
      <c r="F4185">
        <v>2031</v>
      </c>
      <c r="G4185">
        <v>593</v>
      </c>
    </row>
    <row r="4186" spans="1:8" x14ac:dyDescent="0.45">
      <c r="A4186" t="s">
        <v>70</v>
      </c>
      <c r="B4186" t="s">
        <v>20</v>
      </c>
      <c r="C4186">
        <v>9</v>
      </c>
      <c r="D4186" t="s">
        <v>27</v>
      </c>
      <c r="F4186">
        <v>991</v>
      </c>
    </row>
    <row r="4187" spans="1:8" x14ac:dyDescent="0.45">
      <c r="A4187" t="s">
        <v>70</v>
      </c>
      <c r="B4187" t="s">
        <v>20</v>
      </c>
      <c r="C4187">
        <v>9</v>
      </c>
      <c r="D4187" t="s">
        <v>28</v>
      </c>
      <c r="F4187">
        <v>392</v>
      </c>
    </row>
    <row r="4188" spans="1:8" x14ac:dyDescent="0.45">
      <c r="A4188" t="s">
        <v>70</v>
      </c>
      <c r="B4188" t="s">
        <v>20</v>
      </c>
      <c r="C4188">
        <v>9</v>
      </c>
      <c r="D4188" t="s">
        <v>29</v>
      </c>
      <c r="F4188">
        <v>193</v>
      </c>
    </row>
    <row r="4189" spans="1:8" x14ac:dyDescent="0.45">
      <c r="A4189" t="s">
        <v>70</v>
      </c>
      <c r="B4189" t="s">
        <v>20</v>
      </c>
      <c r="C4189">
        <v>9</v>
      </c>
      <c r="D4189" t="s">
        <v>31</v>
      </c>
      <c r="H4189">
        <v>111</v>
      </c>
    </row>
    <row r="4190" spans="1:8" x14ac:dyDescent="0.45">
      <c r="A4190" t="s">
        <v>70</v>
      </c>
      <c r="B4190" t="s">
        <v>20</v>
      </c>
      <c r="C4190">
        <v>9</v>
      </c>
      <c r="D4190" t="s">
        <v>32</v>
      </c>
      <c r="H4190">
        <v>6</v>
      </c>
    </row>
    <row r="4191" spans="1:8" x14ac:dyDescent="0.45">
      <c r="A4191" t="s">
        <v>70</v>
      </c>
      <c r="B4191" t="s">
        <v>20</v>
      </c>
      <c r="C4191">
        <v>9</v>
      </c>
      <c r="D4191" t="s">
        <v>34</v>
      </c>
      <c r="H4191">
        <v>1</v>
      </c>
    </row>
    <row r="4192" spans="1:8" x14ac:dyDescent="0.45">
      <c r="A4192" t="s">
        <v>70</v>
      </c>
      <c r="B4192" t="s">
        <v>21</v>
      </c>
      <c r="C4192">
        <v>10</v>
      </c>
      <c r="D4192" t="s">
        <v>19</v>
      </c>
      <c r="E4192">
        <v>1298077</v>
      </c>
      <c r="F4192">
        <v>3234</v>
      </c>
      <c r="G4192">
        <v>817</v>
      </c>
    </row>
    <row r="4193" spans="1:8" x14ac:dyDescent="0.45">
      <c r="A4193" t="s">
        <v>70</v>
      </c>
      <c r="B4193" t="s">
        <v>21</v>
      </c>
      <c r="C4193">
        <v>10</v>
      </c>
      <c r="D4193" t="s">
        <v>27</v>
      </c>
      <c r="F4193">
        <v>1407</v>
      </c>
    </row>
    <row r="4194" spans="1:8" x14ac:dyDescent="0.45">
      <c r="A4194" t="s">
        <v>70</v>
      </c>
      <c r="B4194" t="s">
        <v>21</v>
      </c>
      <c r="C4194">
        <v>10</v>
      </c>
      <c r="D4194" t="s">
        <v>28</v>
      </c>
      <c r="F4194">
        <v>667</v>
      </c>
    </row>
    <row r="4195" spans="1:8" x14ac:dyDescent="0.45">
      <c r="A4195" t="s">
        <v>70</v>
      </c>
      <c r="B4195" t="s">
        <v>21</v>
      </c>
      <c r="C4195">
        <v>10</v>
      </c>
      <c r="D4195" t="s">
        <v>29</v>
      </c>
      <c r="F4195">
        <v>325</v>
      </c>
    </row>
    <row r="4196" spans="1:8" x14ac:dyDescent="0.45">
      <c r="A4196" t="s">
        <v>70</v>
      </c>
      <c r="B4196" t="s">
        <v>20</v>
      </c>
      <c r="C4196">
        <v>10</v>
      </c>
      <c r="D4196" t="s">
        <v>19</v>
      </c>
      <c r="E4196">
        <v>1356611</v>
      </c>
      <c r="F4196">
        <v>2737</v>
      </c>
      <c r="G4196">
        <v>761</v>
      </c>
    </row>
    <row r="4197" spans="1:8" x14ac:dyDescent="0.45">
      <c r="A4197" t="s">
        <v>70</v>
      </c>
      <c r="B4197" t="s">
        <v>20</v>
      </c>
      <c r="C4197">
        <v>10</v>
      </c>
      <c r="D4197" t="s">
        <v>27</v>
      </c>
      <c r="F4197">
        <v>1110</v>
      </c>
    </row>
    <row r="4198" spans="1:8" x14ac:dyDescent="0.45">
      <c r="A4198" t="s">
        <v>70</v>
      </c>
      <c r="B4198" t="s">
        <v>20</v>
      </c>
      <c r="C4198">
        <v>10</v>
      </c>
      <c r="D4198" t="s">
        <v>28</v>
      </c>
      <c r="F4198">
        <v>533</v>
      </c>
    </row>
    <row r="4199" spans="1:8" x14ac:dyDescent="0.45">
      <c r="A4199" t="s">
        <v>70</v>
      </c>
      <c r="B4199" t="s">
        <v>20</v>
      </c>
      <c r="C4199">
        <v>10</v>
      </c>
      <c r="D4199" t="s">
        <v>29</v>
      </c>
      <c r="F4199">
        <v>358</v>
      </c>
    </row>
    <row r="4200" spans="1:8" x14ac:dyDescent="0.45">
      <c r="A4200" t="s">
        <v>70</v>
      </c>
      <c r="B4200" t="s">
        <v>20</v>
      </c>
      <c r="C4200">
        <v>10</v>
      </c>
      <c r="D4200" t="s">
        <v>31</v>
      </c>
      <c r="H4200">
        <v>73</v>
      </c>
    </row>
    <row r="4201" spans="1:8" x14ac:dyDescent="0.45">
      <c r="A4201" t="s">
        <v>70</v>
      </c>
      <c r="B4201" t="s">
        <v>20</v>
      </c>
      <c r="C4201">
        <v>10</v>
      </c>
      <c r="D4201" t="s">
        <v>32</v>
      </c>
      <c r="H4201">
        <v>5</v>
      </c>
    </row>
    <row r="4202" spans="1:8" x14ac:dyDescent="0.45">
      <c r="A4202" t="s">
        <v>70</v>
      </c>
      <c r="B4202" t="s">
        <v>20</v>
      </c>
      <c r="C4202">
        <v>10</v>
      </c>
      <c r="D4202" t="s">
        <v>34</v>
      </c>
      <c r="H4202">
        <v>4</v>
      </c>
    </row>
    <row r="4203" spans="1:8" x14ac:dyDescent="0.45">
      <c r="A4203" t="s">
        <v>70</v>
      </c>
      <c r="B4203" t="s">
        <v>21</v>
      </c>
      <c r="C4203">
        <v>11</v>
      </c>
      <c r="D4203" t="s">
        <v>19</v>
      </c>
      <c r="E4203">
        <v>1089110</v>
      </c>
      <c r="F4203">
        <v>2424</v>
      </c>
      <c r="G4203">
        <v>650</v>
      </c>
    </row>
    <row r="4204" spans="1:8" x14ac:dyDescent="0.45">
      <c r="A4204" t="s">
        <v>70</v>
      </c>
      <c r="B4204" t="s">
        <v>21</v>
      </c>
      <c r="C4204">
        <v>11</v>
      </c>
      <c r="D4204" t="s">
        <v>27</v>
      </c>
      <c r="F4204">
        <v>1106</v>
      </c>
    </row>
    <row r="4205" spans="1:8" x14ac:dyDescent="0.45">
      <c r="A4205" t="s">
        <v>70</v>
      </c>
      <c r="B4205" t="s">
        <v>21</v>
      </c>
      <c r="C4205">
        <v>11</v>
      </c>
      <c r="D4205" t="s">
        <v>28</v>
      </c>
      <c r="F4205">
        <v>463</v>
      </c>
    </row>
    <row r="4206" spans="1:8" x14ac:dyDescent="0.45">
      <c r="A4206" t="s">
        <v>70</v>
      </c>
      <c r="B4206" t="s">
        <v>21</v>
      </c>
      <c r="C4206">
        <v>11</v>
      </c>
      <c r="D4206" t="s">
        <v>29</v>
      </c>
      <c r="F4206">
        <v>288</v>
      </c>
    </row>
    <row r="4207" spans="1:8" x14ac:dyDescent="0.45">
      <c r="A4207" t="s">
        <v>70</v>
      </c>
      <c r="B4207" t="s">
        <v>20</v>
      </c>
      <c r="C4207">
        <v>11</v>
      </c>
      <c r="D4207" t="s">
        <v>19</v>
      </c>
      <c r="E4207">
        <v>1142974</v>
      </c>
      <c r="F4207">
        <v>2407</v>
      </c>
      <c r="G4207">
        <v>688</v>
      </c>
    </row>
    <row r="4208" spans="1:8" x14ac:dyDescent="0.45">
      <c r="A4208" t="s">
        <v>70</v>
      </c>
      <c r="B4208" t="s">
        <v>20</v>
      </c>
      <c r="C4208">
        <v>11</v>
      </c>
      <c r="D4208" t="s">
        <v>27</v>
      </c>
      <c r="F4208">
        <v>972</v>
      </c>
    </row>
    <row r="4209" spans="1:8" x14ac:dyDescent="0.45">
      <c r="A4209" t="s">
        <v>70</v>
      </c>
      <c r="B4209" t="s">
        <v>20</v>
      </c>
      <c r="C4209">
        <v>11</v>
      </c>
      <c r="D4209" t="s">
        <v>28</v>
      </c>
      <c r="F4209">
        <v>469</v>
      </c>
    </row>
    <row r="4210" spans="1:8" x14ac:dyDescent="0.45">
      <c r="A4210" t="s">
        <v>70</v>
      </c>
      <c r="B4210" t="s">
        <v>20</v>
      </c>
      <c r="C4210">
        <v>11</v>
      </c>
      <c r="D4210" t="s">
        <v>29</v>
      </c>
      <c r="F4210">
        <v>349</v>
      </c>
    </row>
    <row r="4211" spans="1:8" x14ac:dyDescent="0.45">
      <c r="A4211" t="s">
        <v>70</v>
      </c>
      <c r="B4211" t="s">
        <v>20</v>
      </c>
      <c r="C4211">
        <v>11</v>
      </c>
      <c r="D4211" t="s">
        <v>31</v>
      </c>
      <c r="H4211">
        <v>184</v>
      </c>
    </row>
    <row r="4212" spans="1:8" x14ac:dyDescent="0.45">
      <c r="A4212" t="s">
        <v>70</v>
      </c>
      <c r="B4212" t="s">
        <v>20</v>
      </c>
      <c r="C4212">
        <v>11</v>
      </c>
      <c r="D4212" t="s">
        <v>32</v>
      </c>
      <c r="H4212">
        <v>2</v>
      </c>
    </row>
    <row r="4213" spans="1:8" x14ac:dyDescent="0.45">
      <c r="A4213" t="s">
        <v>70</v>
      </c>
      <c r="B4213" t="s">
        <v>20</v>
      </c>
      <c r="C4213">
        <v>11</v>
      </c>
      <c r="D4213" t="s">
        <v>34</v>
      </c>
      <c r="H4213">
        <v>4</v>
      </c>
    </row>
    <row r="4214" spans="1:8" x14ac:dyDescent="0.45">
      <c r="A4214" t="s">
        <v>70</v>
      </c>
      <c r="B4214" t="s">
        <v>21</v>
      </c>
      <c r="C4214">
        <v>12</v>
      </c>
      <c r="D4214" t="s">
        <v>19</v>
      </c>
      <c r="E4214">
        <v>1204065</v>
      </c>
      <c r="F4214">
        <v>2896</v>
      </c>
      <c r="G4214">
        <v>745</v>
      </c>
    </row>
    <row r="4215" spans="1:8" x14ac:dyDescent="0.45">
      <c r="A4215" t="s">
        <v>70</v>
      </c>
      <c r="B4215" t="s">
        <v>21</v>
      </c>
      <c r="C4215">
        <v>12</v>
      </c>
      <c r="D4215" t="s">
        <v>27</v>
      </c>
      <c r="F4215">
        <v>1251</v>
      </c>
    </row>
    <row r="4216" spans="1:8" x14ac:dyDescent="0.45">
      <c r="A4216" t="s">
        <v>70</v>
      </c>
      <c r="B4216" t="s">
        <v>21</v>
      </c>
      <c r="C4216">
        <v>12</v>
      </c>
      <c r="D4216" t="s">
        <v>28</v>
      </c>
      <c r="F4216">
        <v>551</v>
      </c>
    </row>
    <row r="4217" spans="1:8" x14ac:dyDescent="0.45">
      <c r="A4217" t="s">
        <v>70</v>
      </c>
      <c r="B4217" t="s">
        <v>21</v>
      </c>
      <c r="C4217">
        <v>12</v>
      </c>
      <c r="D4217" t="s">
        <v>29</v>
      </c>
      <c r="F4217">
        <v>418</v>
      </c>
    </row>
    <row r="4218" spans="1:8" x14ac:dyDescent="0.45">
      <c r="A4218" t="s">
        <v>70</v>
      </c>
      <c r="B4218" t="s">
        <v>20</v>
      </c>
      <c r="C4218">
        <v>12</v>
      </c>
      <c r="D4218" t="s">
        <v>19</v>
      </c>
      <c r="E4218">
        <v>1205370</v>
      </c>
      <c r="F4218">
        <v>2607</v>
      </c>
      <c r="G4218">
        <v>675</v>
      </c>
    </row>
    <row r="4219" spans="1:8" x14ac:dyDescent="0.45">
      <c r="A4219" t="s">
        <v>70</v>
      </c>
      <c r="B4219" t="s">
        <v>20</v>
      </c>
      <c r="C4219">
        <v>12</v>
      </c>
      <c r="D4219" t="s">
        <v>27</v>
      </c>
      <c r="F4219">
        <v>1063</v>
      </c>
    </row>
    <row r="4220" spans="1:8" x14ac:dyDescent="0.45">
      <c r="A4220" t="s">
        <v>70</v>
      </c>
      <c r="B4220" t="s">
        <v>20</v>
      </c>
      <c r="C4220">
        <v>12</v>
      </c>
      <c r="D4220" t="s">
        <v>28</v>
      </c>
      <c r="F4220">
        <v>507</v>
      </c>
    </row>
    <row r="4221" spans="1:8" x14ac:dyDescent="0.45">
      <c r="A4221" t="s">
        <v>70</v>
      </c>
      <c r="B4221" t="s">
        <v>20</v>
      </c>
      <c r="C4221">
        <v>12</v>
      </c>
      <c r="D4221" t="s">
        <v>29</v>
      </c>
      <c r="F4221">
        <v>376</v>
      </c>
    </row>
    <row r="4222" spans="1:8" x14ac:dyDescent="0.45">
      <c r="A4222" t="s">
        <v>70</v>
      </c>
      <c r="B4222" t="s">
        <v>20</v>
      </c>
      <c r="C4222">
        <v>12</v>
      </c>
      <c r="D4222" t="s">
        <v>31</v>
      </c>
      <c r="H4222">
        <v>93</v>
      </c>
    </row>
    <row r="4223" spans="1:8" x14ac:dyDescent="0.45">
      <c r="A4223" t="s">
        <v>70</v>
      </c>
      <c r="B4223" t="s">
        <v>20</v>
      </c>
      <c r="C4223">
        <v>12</v>
      </c>
      <c r="D4223" t="s">
        <v>32</v>
      </c>
      <c r="H4223">
        <v>4</v>
      </c>
    </row>
    <row r="4224" spans="1:8" x14ac:dyDescent="0.45">
      <c r="A4224" t="s">
        <v>70</v>
      </c>
      <c r="B4224" t="s">
        <v>20</v>
      </c>
      <c r="C4224">
        <v>12</v>
      </c>
      <c r="D4224" t="s">
        <v>34</v>
      </c>
      <c r="H4224">
        <v>4</v>
      </c>
    </row>
    <row r="4225" spans="1:8" x14ac:dyDescent="0.45">
      <c r="A4225" t="s">
        <v>58</v>
      </c>
      <c r="B4225" t="s">
        <v>21</v>
      </c>
      <c r="C4225">
        <v>1</v>
      </c>
      <c r="D4225" t="s">
        <v>19</v>
      </c>
      <c r="E4225">
        <v>2370602</v>
      </c>
      <c r="F4225">
        <v>5076</v>
      </c>
      <c r="G4225">
        <v>1444</v>
      </c>
      <c r="H4225">
        <v>4</v>
      </c>
    </row>
    <row r="4226" spans="1:8" x14ac:dyDescent="0.45">
      <c r="A4226" t="s">
        <v>58</v>
      </c>
      <c r="B4226" t="s">
        <v>21</v>
      </c>
      <c r="C4226">
        <v>1</v>
      </c>
      <c r="D4226" t="s">
        <v>27</v>
      </c>
      <c r="F4226">
        <v>2302</v>
      </c>
    </row>
    <row r="4227" spans="1:8" x14ac:dyDescent="0.45">
      <c r="A4227" t="s">
        <v>58</v>
      </c>
      <c r="B4227" t="s">
        <v>21</v>
      </c>
      <c r="C4227">
        <v>1</v>
      </c>
      <c r="D4227" t="s">
        <v>28</v>
      </c>
      <c r="F4227">
        <v>868</v>
      </c>
    </row>
    <row r="4228" spans="1:8" x14ac:dyDescent="0.45">
      <c r="A4228" t="s">
        <v>58</v>
      </c>
      <c r="B4228" t="s">
        <v>21</v>
      </c>
      <c r="C4228">
        <v>1</v>
      </c>
      <c r="D4228" t="s">
        <v>29</v>
      </c>
      <c r="F4228">
        <v>619</v>
      </c>
    </row>
    <row r="4229" spans="1:8" x14ac:dyDescent="0.45">
      <c r="A4229" t="s">
        <v>58</v>
      </c>
      <c r="B4229" t="s">
        <v>20</v>
      </c>
      <c r="C4229">
        <v>1</v>
      </c>
      <c r="D4229" t="s">
        <v>19</v>
      </c>
      <c r="E4229">
        <v>2338945</v>
      </c>
      <c r="F4229">
        <v>4894</v>
      </c>
    </row>
    <row r="4230" spans="1:8" x14ac:dyDescent="0.45">
      <c r="A4230" t="s">
        <v>58</v>
      </c>
      <c r="B4230" t="s">
        <v>20</v>
      </c>
      <c r="C4230">
        <v>1</v>
      </c>
      <c r="D4230" t="s">
        <v>27</v>
      </c>
      <c r="F4230">
        <v>1974</v>
      </c>
    </row>
    <row r="4231" spans="1:8" x14ac:dyDescent="0.45">
      <c r="A4231" t="s">
        <v>58</v>
      </c>
      <c r="B4231" t="s">
        <v>20</v>
      </c>
      <c r="C4231">
        <v>1</v>
      </c>
      <c r="D4231" t="s">
        <v>28</v>
      </c>
      <c r="F4231">
        <v>904</v>
      </c>
    </row>
    <row r="4232" spans="1:8" x14ac:dyDescent="0.45">
      <c r="A4232" t="s">
        <v>58</v>
      </c>
      <c r="B4232" t="s">
        <v>20</v>
      </c>
      <c r="C4232">
        <v>1</v>
      </c>
      <c r="D4232" t="s">
        <v>29</v>
      </c>
      <c r="F4232">
        <v>698</v>
      </c>
    </row>
    <row r="4233" spans="1:8" x14ac:dyDescent="0.45">
      <c r="A4233" t="s">
        <v>58</v>
      </c>
      <c r="B4233" t="s">
        <v>20</v>
      </c>
      <c r="C4233">
        <v>1</v>
      </c>
      <c r="D4233" t="s">
        <v>31</v>
      </c>
      <c r="H4233">
        <v>165</v>
      </c>
    </row>
    <row r="4234" spans="1:8" x14ac:dyDescent="0.45">
      <c r="A4234" t="s">
        <v>58</v>
      </c>
      <c r="B4234" t="s">
        <v>20</v>
      </c>
      <c r="C4234">
        <v>1</v>
      </c>
      <c r="D4234" t="s">
        <v>32</v>
      </c>
      <c r="H4234">
        <v>13</v>
      </c>
    </row>
    <row r="4235" spans="1:8" x14ac:dyDescent="0.45">
      <c r="A4235" t="s">
        <v>58</v>
      </c>
      <c r="B4235" t="s">
        <v>20</v>
      </c>
      <c r="C4235">
        <v>1</v>
      </c>
      <c r="D4235" t="s">
        <v>34</v>
      </c>
    </row>
    <row r="4236" spans="1:8" x14ac:dyDescent="0.45">
      <c r="A4236" t="s">
        <v>58</v>
      </c>
      <c r="B4236" t="s">
        <v>21</v>
      </c>
      <c r="C4236">
        <v>2</v>
      </c>
      <c r="D4236" t="s">
        <v>19</v>
      </c>
      <c r="E4236">
        <v>2347475</v>
      </c>
      <c r="F4236">
        <v>5165</v>
      </c>
    </row>
    <row r="4237" spans="1:8" x14ac:dyDescent="0.45">
      <c r="A4237" t="s">
        <v>58</v>
      </c>
      <c r="B4237" t="s">
        <v>21</v>
      </c>
      <c r="C4237">
        <v>2</v>
      </c>
      <c r="D4237" t="s">
        <v>27</v>
      </c>
      <c r="F4237">
        <v>2414</v>
      </c>
    </row>
    <row r="4238" spans="1:8" x14ac:dyDescent="0.45">
      <c r="A4238" t="s">
        <v>58</v>
      </c>
      <c r="B4238" t="s">
        <v>21</v>
      </c>
      <c r="C4238">
        <v>2</v>
      </c>
      <c r="D4238" t="s">
        <v>28</v>
      </c>
      <c r="F4238">
        <v>849</v>
      </c>
    </row>
    <row r="4239" spans="1:8" x14ac:dyDescent="0.45">
      <c r="A4239" t="s">
        <v>58</v>
      </c>
      <c r="B4239" t="s">
        <v>21</v>
      </c>
      <c r="C4239">
        <v>2</v>
      </c>
      <c r="D4239" t="s">
        <v>29</v>
      </c>
      <c r="F4239">
        <v>609</v>
      </c>
    </row>
    <row r="4240" spans="1:8" x14ac:dyDescent="0.45">
      <c r="A4240" t="s">
        <v>58</v>
      </c>
      <c r="B4240" t="s">
        <v>20</v>
      </c>
      <c r="C4240">
        <v>2</v>
      </c>
      <c r="D4240" t="s">
        <v>19</v>
      </c>
      <c r="E4240">
        <v>2142053</v>
      </c>
      <c r="F4240">
        <v>4491</v>
      </c>
    </row>
    <row r="4241" spans="1:8" x14ac:dyDescent="0.45">
      <c r="A4241" t="s">
        <v>58</v>
      </c>
      <c r="B4241" t="s">
        <v>20</v>
      </c>
      <c r="C4241">
        <v>2</v>
      </c>
      <c r="D4241" t="s">
        <v>27</v>
      </c>
      <c r="F4241">
        <v>2067</v>
      </c>
    </row>
    <row r="4242" spans="1:8" x14ac:dyDescent="0.45">
      <c r="A4242" t="s">
        <v>58</v>
      </c>
      <c r="B4242" t="s">
        <v>20</v>
      </c>
      <c r="C4242">
        <v>2</v>
      </c>
      <c r="D4242" t="s">
        <v>28</v>
      </c>
      <c r="F4242">
        <v>743</v>
      </c>
    </row>
    <row r="4243" spans="1:8" x14ac:dyDescent="0.45">
      <c r="A4243" t="s">
        <v>58</v>
      </c>
      <c r="B4243" t="s">
        <v>20</v>
      </c>
      <c r="C4243">
        <v>2</v>
      </c>
      <c r="D4243" t="s">
        <v>29</v>
      </c>
      <c r="F4243">
        <v>531</v>
      </c>
    </row>
    <row r="4244" spans="1:8" x14ac:dyDescent="0.45">
      <c r="A4244" t="s">
        <v>58</v>
      </c>
      <c r="B4244" t="s">
        <v>20</v>
      </c>
      <c r="C4244">
        <v>2</v>
      </c>
      <c r="D4244" t="s">
        <v>31</v>
      </c>
      <c r="H4244">
        <v>149</v>
      </c>
    </row>
    <row r="4245" spans="1:8" x14ac:dyDescent="0.45">
      <c r="A4245" t="s">
        <v>58</v>
      </c>
      <c r="B4245" t="s">
        <v>20</v>
      </c>
      <c r="C4245">
        <v>2</v>
      </c>
      <c r="D4245" t="s">
        <v>32</v>
      </c>
      <c r="H4245">
        <v>19</v>
      </c>
    </row>
    <row r="4246" spans="1:8" x14ac:dyDescent="0.45">
      <c r="A4246" t="s">
        <v>58</v>
      </c>
      <c r="B4246" t="s">
        <v>20</v>
      </c>
      <c r="C4246">
        <v>2</v>
      </c>
      <c r="D4246" t="s">
        <v>34</v>
      </c>
      <c r="H4246">
        <v>20</v>
      </c>
    </row>
    <row r="4247" spans="1:8" x14ac:dyDescent="0.45">
      <c r="A4247" t="s">
        <v>58</v>
      </c>
      <c r="B4247" t="s">
        <v>21</v>
      </c>
      <c r="C4247">
        <v>3</v>
      </c>
      <c r="D4247" t="s">
        <v>19</v>
      </c>
      <c r="E4247">
        <v>4505635</v>
      </c>
      <c r="F4247">
        <v>8204</v>
      </c>
      <c r="G4247">
        <v>2075</v>
      </c>
    </row>
    <row r="4248" spans="1:8" x14ac:dyDescent="0.45">
      <c r="A4248" t="s">
        <v>58</v>
      </c>
      <c r="B4248" t="s">
        <v>21</v>
      </c>
      <c r="C4248">
        <v>3</v>
      </c>
      <c r="D4248" t="s">
        <v>27</v>
      </c>
      <c r="F4248">
        <v>2779</v>
      </c>
    </row>
    <row r="4249" spans="1:8" x14ac:dyDescent="0.45">
      <c r="A4249" t="s">
        <v>58</v>
      </c>
      <c r="B4249" t="s">
        <v>21</v>
      </c>
      <c r="C4249">
        <v>3</v>
      </c>
      <c r="D4249" t="s">
        <v>28</v>
      </c>
      <c r="F4249">
        <v>1372</v>
      </c>
    </row>
    <row r="4250" spans="1:8" x14ac:dyDescent="0.45">
      <c r="A4250" t="s">
        <v>58</v>
      </c>
      <c r="B4250" t="s">
        <v>21</v>
      </c>
      <c r="C4250">
        <v>3</v>
      </c>
      <c r="D4250" t="s">
        <v>29</v>
      </c>
      <c r="F4250">
        <v>1133</v>
      </c>
    </row>
    <row r="4251" spans="1:8" x14ac:dyDescent="0.45">
      <c r="A4251" t="s">
        <v>58</v>
      </c>
      <c r="B4251" t="s">
        <v>20</v>
      </c>
      <c r="C4251">
        <v>3</v>
      </c>
      <c r="D4251" t="s">
        <v>19</v>
      </c>
      <c r="E4251">
        <v>3711940</v>
      </c>
      <c r="F4251">
        <v>6812</v>
      </c>
      <c r="G4251">
        <v>1785</v>
      </c>
      <c r="H4251">
        <v>6</v>
      </c>
    </row>
    <row r="4252" spans="1:8" x14ac:dyDescent="0.45">
      <c r="A4252" t="s">
        <v>58</v>
      </c>
      <c r="B4252" t="s">
        <v>20</v>
      </c>
      <c r="C4252">
        <v>3</v>
      </c>
      <c r="D4252" t="s">
        <v>27</v>
      </c>
      <c r="F4252">
        <v>2334</v>
      </c>
    </row>
    <row r="4253" spans="1:8" x14ac:dyDescent="0.45">
      <c r="A4253" t="s">
        <v>58</v>
      </c>
      <c r="B4253" t="s">
        <v>20</v>
      </c>
      <c r="C4253">
        <v>3</v>
      </c>
      <c r="D4253" t="s">
        <v>28</v>
      </c>
      <c r="F4253">
        <v>1131</v>
      </c>
    </row>
    <row r="4254" spans="1:8" x14ac:dyDescent="0.45">
      <c r="A4254" t="s">
        <v>58</v>
      </c>
      <c r="B4254" t="s">
        <v>20</v>
      </c>
      <c r="C4254">
        <v>3</v>
      </c>
      <c r="D4254" t="s">
        <v>29</v>
      </c>
      <c r="F4254">
        <v>975</v>
      </c>
    </row>
    <row r="4255" spans="1:8" x14ac:dyDescent="0.45">
      <c r="A4255" t="s">
        <v>58</v>
      </c>
      <c r="B4255" t="s">
        <v>20</v>
      </c>
      <c r="C4255">
        <v>3</v>
      </c>
      <c r="D4255" t="s">
        <v>31</v>
      </c>
      <c r="H4255">
        <v>165</v>
      </c>
    </row>
    <row r="4256" spans="1:8" x14ac:dyDescent="0.45">
      <c r="A4256" t="s">
        <v>58</v>
      </c>
      <c r="B4256" t="s">
        <v>20</v>
      </c>
      <c r="C4256">
        <v>3</v>
      </c>
      <c r="D4256" t="s">
        <v>32</v>
      </c>
      <c r="H4256">
        <v>18</v>
      </c>
    </row>
    <row r="4257" spans="1:8" x14ac:dyDescent="0.45">
      <c r="A4257" t="s">
        <v>58</v>
      </c>
      <c r="B4257" t="s">
        <v>20</v>
      </c>
      <c r="C4257">
        <v>3</v>
      </c>
      <c r="D4257" t="s">
        <v>34</v>
      </c>
      <c r="H4257">
        <v>18</v>
      </c>
    </row>
    <row r="4258" spans="1:8" x14ac:dyDescent="0.45">
      <c r="A4258" t="s">
        <v>58</v>
      </c>
      <c r="B4258" t="s">
        <v>21</v>
      </c>
      <c r="C4258">
        <v>4</v>
      </c>
      <c r="D4258" t="s">
        <v>19</v>
      </c>
      <c r="E4258">
        <v>5699982</v>
      </c>
      <c r="F4258">
        <v>9459</v>
      </c>
      <c r="G4258">
        <v>2207</v>
      </c>
    </row>
    <row r="4259" spans="1:8" x14ac:dyDescent="0.45">
      <c r="A4259" t="s">
        <v>58</v>
      </c>
      <c r="B4259" t="s">
        <v>21</v>
      </c>
      <c r="C4259">
        <v>4</v>
      </c>
      <c r="D4259" t="s">
        <v>27</v>
      </c>
      <c r="F4259">
        <v>2878</v>
      </c>
    </row>
    <row r="4260" spans="1:8" x14ac:dyDescent="0.45">
      <c r="A4260" t="s">
        <v>58</v>
      </c>
      <c r="B4260" t="s">
        <v>21</v>
      </c>
      <c r="C4260">
        <v>4</v>
      </c>
      <c r="D4260" t="s">
        <v>28</v>
      </c>
      <c r="F4260">
        <v>1469</v>
      </c>
    </row>
    <row r="4261" spans="1:8" x14ac:dyDescent="0.45">
      <c r="A4261" t="s">
        <v>58</v>
      </c>
      <c r="B4261" t="s">
        <v>21</v>
      </c>
      <c r="C4261">
        <v>4</v>
      </c>
      <c r="D4261" t="s">
        <v>29</v>
      </c>
      <c r="F4261">
        <v>1251</v>
      </c>
    </row>
    <row r="4262" spans="1:8" x14ac:dyDescent="0.45">
      <c r="A4262" t="s">
        <v>58</v>
      </c>
      <c r="B4262" t="s">
        <v>20</v>
      </c>
      <c r="C4262">
        <v>4</v>
      </c>
      <c r="D4262" t="s">
        <v>19</v>
      </c>
      <c r="E4262">
        <v>6143848</v>
      </c>
      <c r="F4262">
        <v>9936</v>
      </c>
      <c r="G4262">
        <v>2212</v>
      </c>
    </row>
    <row r="4263" spans="1:8" x14ac:dyDescent="0.45">
      <c r="A4263" t="s">
        <v>58</v>
      </c>
      <c r="B4263" t="s">
        <v>20</v>
      </c>
      <c r="C4263">
        <v>4</v>
      </c>
      <c r="D4263" t="s">
        <v>27</v>
      </c>
      <c r="F4263">
        <v>2386</v>
      </c>
    </row>
    <row r="4264" spans="1:8" x14ac:dyDescent="0.45">
      <c r="A4264" t="s">
        <v>58</v>
      </c>
      <c r="B4264" t="s">
        <v>20</v>
      </c>
      <c r="C4264">
        <v>4</v>
      </c>
      <c r="D4264" t="s">
        <v>28</v>
      </c>
      <c r="F4264">
        <v>1509</v>
      </c>
    </row>
    <row r="4265" spans="1:8" x14ac:dyDescent="0.45">
      <c r="A4265" t="s">
        <v>58</v>
      </c>
      <c r="B4265" t="s">
        <v>20</v>
      </c>
      <c r="C4265">
        <v>4</v>
      </c>
      <c r="D4265" t="s">
        <v>29</v>
      </c>
      <c r="F4265">
        <v>1319</v>
      </c>
    </row>
    <row r="4266" spans="1:8" x14ac:dyDescent="0.45">
      <c r="A4266" t="s">
        <v>58</v>
      </c>
      <c r="B4266" t="s">
        <v>20</v>
      </c>
      <c r="C4266">
        <v>4</v>
      </c>
      <c r="D4266" t="s">
        <v>31</v>
      </c>
      <c r="H4266">
        <v>199</v>
      </c>
    </row>
    <row r="4267" spans="1:8" x14ac:dyDescent="0.45">
      <c r="A4267" t="s">
        <v>58</v>
      </c>
      <c r="B4267" t="s">
        <v>20</v>
      </c>
      <c r="C4267">
        <v>4</v>
      </c>
      <c r="D4267" t="s">
        <v>32</v>
      </c>
      <c r="H4267">
        <v>35</v>
      </c>
    </row>
    <row r="4268" spans="1:8" x14ac:dyDescent="0.45">
      <c r="A4268" t="s">
        <v>58</v>
      </c>
      <c r="B4268" t="s">
        <v>20</v>
      </c>
      <c r="C4268">
        <v>4</v>
      </c>
      <c r="D4268" t="s">
        <v>34</v>
      </c>
      <c r="H4268">
        <v>20</v>
      </c>
    </row>
    <row r="4269" spans="1:8" x14ac:dyDescent="0.45">
      <c r="A4269" t="s">
        <v>58</v>
      </c>
      <c r="B4269" t="s">
        <v>21</v>
      </c>
      <c r="C4269">
        <v>5</v>
      </c>
      <c r="D4269" t="s">
        <v>19</v>
      </c>
      <c r="E4269">
        <v>5156660</v>
      </c>
      <c r="F4269">
        <v>8117</v>
      </c>
      <c r="G4269">
        <v>1807</v>
      </c>
    </row>
    <row r="4270" spans="1:8" x14ac:dyDescent="0.45">
      <c r="A4270" t="s">
        <v>58</v>
      </c>
      <c r="B4270" t="s">
        <v>21</v>
      </c>
      <c r="C4270">
        <v>5</v>
      </c>
      <c r="D4270" t="s">
        <v>27</v>
      </c>
      <c r="F4270">
        <v>2420</v>
      </c>
    </row>
    <row r="4271" spans="1:8" x14ac:dyDescent="0.45">
      <c r="A4271" t="s">
        <v>58</v>
      </c>
      <c r="B4271" t="s">
        <v>21</v>
      </c>
      <c r="C4271">
        <v>5</v>
      </c>
      <c r="D4271" t="s">
        <v>28</v>
      </c>
      <c r="F4271">
        <v>1318</v>
      </c>
    </row>
    <row r="4272" spans="1:8" x14ac:dyDescent="0.45">
      <c r="A4272" t="s">
        <v>58</v>
      </c>
      <c r="B4272" t="s">
        <v>21</v>
      </c>
      <c r="C4272">
        <v>5</v>
      </c>
      <c r="D4272" t="s">
        <v>29</v>
      </c>
      <c r="F4272">
        <v>1071</v>
      </c>
    </row>
    <row r="4273" spans="1:8" x14ac:dyDescent="0.45">
      <c r="A4273" t="s">
        <v>58</v>
      </c>
      <c r="B4273" t="s">
        <v>20</v>
      </c>
      <c r="C4273">
        <v>5</v>
      </c>
      <c r="D4273" t="s">
        <v>19</v>
      </c>
      <c r="E4273">
        <v>4425419</v>
      </c>
      <c r="F4273">
        <v>7291</v>
      </c>
      <c r="G4273">
        <v>1746</v>
      </c>
    </row>
    <row r="4274" spans="1:8" x14ac:dyDescent="0.45">
      <c r="A4274" t="s">
        <v>58</v>
      </c>
      <c r="B4274" t="s">
        <v>20</v>
      </c>
      <c r="C4274">
        <v>5</v>
      </c>
      <c r="D4274" t="s">
        <v>27</v>
      </c>
      <c r="F4274">
        <v>2079</v>
      </c>
    </row>
    <row r="4275" spans="1:8" x14ac:dyDescent="0.45">
      <c r="A4275" t="s">
        <v>58</v>
      </c>
      <c r="B4275" t="s">
        <v>20</v>
      </c>
      <c r="C4275">
        <v>5</v>
      </c>
      <c r="D4275" t="s">
        <v>28</v>
      </c>
      <c r="F4275">
        <v>1224</v>
      </c>
    </row>
    <row r="4276" spans="1:8" x14ac:dyDescent="0.45">
      <c r="A4276" t="s">
        <v>58</v>
      </c>
      <c r="B4276" t="s">
        <v>20</v>
      </c>
      <c r="C4276">
        <v>5</v>
      </c>
      <c r="D4276" t="s">
        <v>29</v>
      </c>
      <c r="F4276">
        <v>959</v>
      </c>
    </row>
    <row r="4277" spans="1:8" x14ac:dyDescent="0.45">
      <c r="A4277" t="s">
        <v>58</v>
      </c>
      <c r="B4277" t="s">
        <v>20</v>
      </c>
      <c r="C4277">
        <v>5</v>
      </c>
      <c r="D4277" t="s">
        <v>31</v>
      </c>
      <c r="H4277">
        <v>218</v>
      </c>
    </row>
    <row r="4278" spans="1:8" x14ac:dyDescent="0.45">
      <c r="A4278" t="s">
        <v>58</v>
      </c>
      <c r="B4278" t="s">
        <v>20</v>
      </c>
      <c r="C4278">
        <v>5</v>
      </c>
      <c r="D4278" t="s">
        <v>32</v>
      </c>
      <c r="H4278">
        <v>35</v>
      </c>
    </row>
    <row r="4279" spans="1:8" x14ac:dyDescent="0.45">
      <c r="A4279" t="s">
        <v>58</v>
      </c>
      <c r="B4279" t="s">
        <v>20</v>
      </c>
      <c r="C4279">
        <v>5</v>
      </c>
      <c r="D4279" t="s">
        <v>34</v>
      </c>
      <c r="H4279">
        <v>20</v>
      </c>
    </row>
    <row r="4280" spans="1:8" x14ac:dyDescent="0.45">
      <c r="A4280" t="s">
        <v>58</v>
      </c>
      <c r="B4280" t="s">
        <v>21</v>
      </c>
      <c r="C4280">
        <v>6</v>
      </c>
      <c r="D4280" t="s">
        <v>19</v>
      </c>
      <c r="E4280">
        <v>4439637</v>
      </c>
      <c r="F4280">
        <v>7744</v>
      </c>
      <c r="G4280">
        <v>1958</v>
      </c>
    </row>
    <row r="4281" spans="1:8" x14ac:dyDescent="0.45">
      <c r="A4281" t="s">
        <v>58</v>
      </c>
      <c r="B4281" t="s">
        <v>21</v>
      </c>
      <c r="C4281">
        <v>6</v>
      </c>
      <c r="D4281" t="s">
        <v>27</v>
      </c>
      <c r="F4281">
        <v>2663</v>
      </c>
    </row>
    <row r="4282" spans="1:8" x14ac:dyDescent="0.45">
      <c r="A4282" t="s">
        <v>58</v>
      </c>
      <c r="B4282" t="s">
        <v>21</v>
      </c>
      <c r="C4282">
        <v>6</v>
      </c>
      <c r="D4282" t="s">
        <v>28</v>
      </c>
      <c r="F4282">
        <v>1384</v>
      </c>
    </row>
    <row r="4283" spans="1:8" x14ac:dyDescent="0.45">
      <c r="A4283" t="s">
        <v>58</v>
      </c>
      <c r="B4283" t="s">
        <v>21</v>
      </c>
      <c r="C4283">
        <v>6</v>
      </c>
      <c r="D4283" t="s">
        <v>29</v>
      </c>
      <c r="F4283">
        <v>983</v>
      </c>
    </row>
    <row r="4284" spans="1:8" x14ac:dyDescent="0.45">
      <c r="A4284" t="s">
        <v>58</v>
      </c>
      <c r="B4284" t="s">
        <v>20</v>
      </c>
      <c r="C4284">
        <v>6</v>
      </c>
      <c r="D4284" t="s">
        <v>19</v>
      </c>
      <c r="E4284">
        <v>4114381</v>
      </c>
      <c r="F4284">
        <v>7025</v>
      </c>
      <c r="G4284">
        <v>1690</v>
      </c>
      <c r="H4284">
        <v>11</v>
      </c>
    </row>
    <row r="4285" spans="1:8" x14ac:dyDescent="0.45">
      <c r="A4285" t="s">
        <v>58</v>
      </c>
      <c r="B4285" t="s">
        <v>20</v>
      </c>
      <c r="C4285">
        <v>6</v>
      </c>
      <c r="D4285" t="s">
        <v>27</v>
      </c>
      <c r="F4285">
        <v>2485</v>
      </c>
    </row>
    <row r="4286" spans="1:8" x14ac:dyDescent="0.45">
      <c r="A4286" t="s">
        <v>58</v>
      </c>
      <c r="B4286" t="s">
        <v>20</v>
      </c>
      <c r="C4286">
        <v>6</v>
      </c>
      <c r="D4286" t="s">
        <v>28</v>
      </c>
      <c r="F4286">
        <v>1256</v>
      </c>
    </row>
    <row r="4287" spans="1:8" x14ac:dyDescent="0.45">
      <c r="A4287" t="s">
        <v>58</v>
      </c>
      <c r="B4287" t="s">
        <v>20</v>
      </c>
      <c r="C4287">
        <v>6</v>
      </c>
      <c r="D4287" t="s">
        <v>29</v>
      </c>
      <c r="F4287">
        <v>896</v>
      </c>
    </row>
    <row r="4288" spans="1:8" x14ac:dyDescent="0.45">
      <c r="A4288" t="s">
        <v>58</v>
      </c>
      <c r="B4288" t="s">
        <v>20</v>
      </c>
      <c r="C4288">
        <v>6</v>
      </c>
      <c r="D4288" t="s">
        <v>31</v>
      </c>
      <c r="H4288">
        <v>95</v>
      </c>
    </row>
    <row r="4289" spans="1:8" x14ac:dyDescent="0.45">
      <c r="A4289" t="s">
        <v>58</v>
      </c>
      <c r="B4289" t="s">
        <v>20</v>
      </c>
      <c r="C4289">
        <v>6</v>
      </c>
      <c r="D4289" t="s">
        <v>32</v>
      </c>
      <c r="H4289">
        <v>14</v>
      </c>
    </row>
    <row r="4290" spans="1:8" x14ac:dyDescent="0.45">
      <c r="A4290" t="s">
        <v>58</v>
      </c>
      <c r="B4290" t="s">
        <v>20</v>
      </c>
      <c r="C4290">
        <v>6</v>
      </c>
      <c r="D4290" t="s">
        <v>34</v>
      </c>
      <c r="H4290">
        <v>18</v>
      </c>
    </row>
    <row r="4291" spans="1:8" x14ac:dyDescent="0.45">
      <c r="A4291" t="s">
        <v>58</v>
      </c>
      <c r="B4291" t="s">
        <v>21</v>
      </c>
      <c r="C4291">
        <v>7</v>
      </c>
      <c r="D4291" t="s">
        <v>19</v>
      </c>
      <c r="E4291">
        <v>3202428</v>
      </c>
      <c r="F4291">
        <v>6261</v>
      </c>
      <c r="G4291">
        <v>1692</v>
      </c>
    </row>
    <row r="4292" spans="1:8" x14ac:dyDescent="0.45">
      <c r="A4292" t="s">
        <v>58</v>
      </c>
      <c r="B4292" t="s">
        <v>21</v>
      </c>
      <c r="C4292">
        <v>7</v>
      </c>
      <c r="D4292" t="s">
        <v>27</v>
      </c>
      <c r="F4292">
        <v>2664</v>
      </c>
    </row>
    <row r="4293" spans="1:8" x14ac:dyDescent="0.45">
      <c r="A4293" t="s">
        <v>58</v>
      </c>
      <c r="B4293" t="s">
        <v>21</v>
      </c>
      <c r="C4293">
        <v>7</v>
      </c>
      <c r="D4293" t="s">
        <v>28</v>
      </c>
      <c r="F4293">
        <v>1191</v>
      </c>
    </row>
    <row r="4294" spans="1:8" x14ac:dyDescent="0.45">
      <c r="A4294" t="s">
        <v>58</v>
      </c>
      <c r="B4294" t="s">
        <v>21</v>
      </c>
      <c r="C4294">
        <v>7</v>
      </c>
      <c r="D4294" t="s">
        <v>29</v>
      </c>
      <c r="F4294">
        <v>695</v>
      </c>
    </row>
    <row r="4295" spans="1:8" x14ac:dyDescent="0.45">
      <c r="A4295" t="s">
        <v>58</v>
      </c>
      <c r="B4295" t="s">
        <v>20</v>
      </c>
      <c r="C4295">
        <v>7</v>
      </c>
      <c r="D4295" t="s">
        <v>19</v>
      </c>
      <c r="E4295">
        <v>3163233</v>
      </c>
      <c r="F4295">
        <v>5706</v>
      </c>
      <c r="G4295">
        <v>1552</v>
      </c>
    </row>
    <row r="4296" spans="1:8" x14ac:dyDescent="0.45">
      <c r="A4296" t="s">
        <v>58</v>
      </c>
      <c r="B4296" t="s">
        <v>20</v>
      </c>
      <c r="C4296">
        <v>7</v>
      </c>
      <c r="D4296" t="s">
        <v>27</v>
      </c>
      <c r="F4296">
        <v>2086</v>
      </c>
    </row>
    <row r="4297" spans="1:8" x14ac:dyDescent="0.45">
      <c r="A4297" t="s">
        <v>58</v>
      </c>
      <c r="B4297" t="s">
        <v>20</v>
      </c>
      <c r="C4297">
        <v>7</v>
      </c>
      <c r="D4297" t="s">
        <v>28</v>
      </c>
      <c r="F4297">
        <v>1093</v>
      </c>
    </row>
    <row r="4298" spans="1:8" x14ac:dyDescent="0.45">
      <c r="A4298" t="s">
        <v>58</v>
      </c>
      <c r="B4298" t="s">
        <v>20</v>
      </c>
      <c r="C4298">
        <v>7</v>
      </c>
      <c r="D4298" t="s">
        <v>29</v>
      </c>
      <c r="F4298">
        <v>715</v>
      </c>
    </row>
    <row r="4299" spans="1:8" x14ac:dyDescent="0.45">
      <c r="A4299" t="s">
        <v>58</v>
      </c>
      <c r="B4299" t="s">
        <v>20</v>
      </c>
      <c r="C4299">
        <v>7</v>
      </c>
      <c r="D4299" t="s">
        <v>31</v>
      </c>
      <c r="H4299">
        <v>404</v>
      </c>
    </row>
    <row r="4300" spans="1:8" x14ac:dyDescent="0.45">
      <c r="A4300" t="s">
        <v>58</v>
      </c>
      <c r="B4300" t="s">
        <v>20</v>
      </c>
      <c r="C4300">
        <v>7</v>
      </c>
      <c r="D4300" t="s">
        <v>32</v>
      </c>
      <c r="H4300">
        <v>14</v>
      </c>
    </row>
    <row r="4301" spans="1:8" x14ac:dyDescent="0.45">
      <c r="A4301" t="s">
        <v>58</v>
      </c>
      <c r="B4301" t="s">
        <v>20</v>
      </c>
      <c r="C4301">
        <v>7</v>
      </c>
      <c r="D4301" t="s">
        <v>34</v>
      </c>
      <c r="H4301">
        <v>21</v>
      </c>
    </row>
    <row r="4302" spans="1:8" x14ac:dyDescent="0.45">
      <c r="A4302" t="s">
        <v>58</v>
      </c>
      <c r="B4302" t="s">
        <v>21</v>
      </c>
      <c r="C4302">
        <v>8</v>
      </c>
      <c r="D4302" t="s">
        <v>19</v>
      </c>
      <c r="E4302">
        <v>2089202</v>
      </c>
      <c r="F4302">
        <v>4222</v>
      </c>
      <c r="H4302">
        <v>116</v>
      </c>
    </row>
    <row r="4303" spans="1:8" x14ac:dyDescent="0.45">
      <c r="A4303" t="s">
        <v>58</v>
      </c>
      <c r="B4303" t="s">
        <v>21</v>
      </c>
      <c r="C4303">
        <v>8</v>
      </c>
      <c r="D4303" t="s">
        <v>27</v>
      </c>
      <c r="F4303">
        <v>1751</v>
      </c>
      <c r="G4303">
        <v>724</v>
      </c>
    </row>
    <row r="4304" spans="1:8" x14ac:dyDescent="0.45">
      <c r="A4304" t="s">
        <v>58</v>
      </c>
      <c r="B4304" t="s">
        <v>21</v>
      </c>
      <c r="C4304">
        <v>8</v>
      </c>
      <c r="D4304" t="s">
        <v>28</v>
      </c>
      <c r="F4304">
        <v>848</v>
      </c>
      <c r="G4304">
        <v>636</v>
      </c>
    </row>
    <row r="4305" spans="1:8" x14ac:dyDescent="0.45">
      <c r="A4305" t="s">
        <v>58</v>
      </c>
      <c r="B4305" t="s">
        <v>21</v>
      </c>
      <c r="C4305">
        <v>8</v>
      </c>
      <c r="D4305" t="s">
        <v>29</v>
      </c>
      <c r="F4305">
        <v>405</v>
      </c>
      <c r="G4305">
        <v>1207</v>
      </c>
    </row>
    <row r="4306" spans="1:8" x14ac:dyDescent="0.45">
      <c r="A4306" t="s">
        <v>58</v>
      </c>
      <c r="B4306" t="s">
        <v>20</v>
      </c>
      <c r="C4306">
        <v>8</v>
      </c>
      <c r="D4306" t="s">
        <v>19</v>
      </c>
      <c r="E4306">
        <v>2717211</v>
      </c>
      <c r="F4306">
        <v>4995</v>
      </c>
    </row>
    <row r="4307" spans="1:8" x14ac:dyDescent="0.45">
      <c r="A4307" t="s">
        <v>58</v>
      </c>
      <c r="B4307" t="s">
        <v>20</v>
      </c>
      <c r="C4307">
        <v>8</v>
      </c>
      <c r="D4307" t="s">
        <v>27</v>
      </c>
      <c r="F4307">
        <v>2015</v>
      </c>
      <c r="G4307">
        <v>1119</v>
      </c>
    </row>
    <row r="4308" spans="1:8" x14ac:dyDescent="0.45">
      <c r="A4308" t="s">
        <v>58</v>
      </c>
      <c r="B4308" t="s">
        <v>20</v>
      </c>
      <c r="C4308">
        <v>8</v>
      </c>
      <c r="D4308" t="s">
        <v>28</v>
      </c>
      <c r="F4308">
        <v>1036</v>
      </c>
      <c r="G4308">
        <v>1063</v>
      </c>
    </row>
    <row r="4309" spans="1:8" x14ac:dyDescent="0.45">
      <c r="A4309" t="s">
        <v>58</v>
      </c>
      <c r="B4309" t="s">
        <v>20</v>
      </c>
      <c r="C4309">
        <v>8</v>
      </c>
      <c r="D4309" t="s">
        <v>29</v>
      </c>
      <c r="F4309">
        <v>536</v>
      </c>
      <c r="G4309">
        <v>881</v>
      </c>
    </row>
    <row r="4310" spans="1:8" x14ac:dyDescent="0.45">
      <c r="A4310" t="s">
        <v>58</v>
      </c>
      <c r="B4310" t="s">
        <v>20</v>
      </c>
      <c r="C4310">
        <v>8</v>
      </c>
      <c r="D4310" t="s">
        <v>31</v>
      </c>
      <c r="H4310">
        <v>68</v>
      </c>
    </row>
    <row r="4311" spans="1:8" x14ac:dyDescent="0.45">
      <c r="A4311" t="s">
        <v>58</v>
      </c>
      <c r="B4311" t="s">
        <v>20</v>
      </c>
      <c r="C4311">
        <v>8</v>
      </c>
      <c r="D4311" t="s">
        <v>32</v>
      </c>
      <c r="H4311">
        <v>23</v>
      </c>
    </row>
    <row r="4312" spans="1:8" x14ac:dyDescent="0.45">
      <c r="A4312" t="s">
        <v>58</v>
      </c>
      <c r="B4312" t="s">
        <v>20</v>
      </c>
      <c r="C4312">
        <v>8</v>
      </c>
      <c r="D4312" t="s">
        <v>34</v>
      </c>
      <c r="H4312">
        <v>17</v>
      </c>
    </row>
    <row r="4313" spans="1:8" x14ac:dyDescent="0.45">
      <c r="A4313" t="s">
        <v>58</v>
      </c>
      <c r="B4313" t="s">
        <v>21</v>
      </c>
      <c r="C4313">
        <v>9</v>
      </c>
      <c r="D4313" t="s">
        <v>19</v>
      </c>
      <c r="E4313">
        <v>2072885</v>
      </c>
      <c r="F4313">
        <v>4417</v>
      </c>
    </row>
    <row r="4314" spans="1:8" x14ac:dyDescent="0.45">
      <c r="A4314" t="s">
        <v>58</v>
      </c>
      <c r="B4314" t="s">
        <v>21</v>
      </c>
      <c r="C4314">
        <v>9</v>
      </c>
      <c r="D4314" t="s">
        <v>27</v>
      </c>
      <c r="F4314">
        <v>1938</v>
      </c>
    </row>
    <row r="4315" spans="1:8" x14ac:dyDescent="0.45">
      <c r="A4315" t="s">
        <v>58</v>
      </c>
      <c r="B4315" t="s">
        <v>21</v>
      </c>
      <c r="C4315">
        <v>9</v>
      </c>
      <c r="D4315" t="s">
        <v>28</v>
      </c>
      <c r="F4315">
        <v>844</v>
      </c>
    </row>
    <row r="4316" spans="1:8" x14ac:dyDescent="0.45">
      <c r="A4316" t="s">
        <v>58</v>
      </c>
      <c r="B4316" t="s">
        <v>21</v>
      </c>
      <c r="C4316">
        <v>9</v>
      </c>
      <c r="D4316" t="s">
        <v>29</v>
      </c>
      <c r="F4316">
        <v>511</v>
      </c>
    </row>
    <row r="4317" spans="1:8" x14ac:dyDescent="0.45">
      <c r="A4317" t="s">
        <v>58</v>
      </c>
      <c r="B4317" t="s">
        <v>20</v>
      </c>
      <c r="C4317">
        <v>9</v>
      </c>
      <c r="D4317" t="s">
        <v>19</v>
      </c>
      <c r="E4317">
        <v>2623971</v>
      </c>
      <c r="F4317">
        <v>5457</v>
      </c>
    </row>
    <row r="4318" spans="1:8" x14ac:dyDescent="0.45">
      <c r="A4318" t="s">
        <v>58</v>
      </c>
      <c r="B4318" t="s">
        <v>20</v>
      </c>
      <c r="C4318">
        <v>9</v>
      </c>
      <c r="D4318" t="s">
        <v>27</v>
      </c>
      <c r="F4318">
        <v>2365</v>
      </c>
    </row>
    <row r="4319" spans="1:8" x14ac:dyDescent="0.45">
      <c r="A4319" t="s">
        <v>58</v>
      </c>
      <c r="B4319" t="s">
        <v>20</v>
      </c>
      <c r="C4319">
        <v>9</v>
      </c>
      <c r="D4319" t="s">
        <v>28</v>
      </c>
      <c r="F4319">
        <v>1087</v>
      </c>
    </row>
    <row r="4320" spans="1:8" x14ac:dyDescent="0.45">
      <c r="A4320" t="s">
        <v>58</v>
      </c>
      <c r="B4320" t="s">
        <v>20</v>
      </c>
      <c r="C4320">
        <v>9</v>
      </c>
      <c r="D4320" t="s">
        <v>29</v>
      </c>
      <c r="F4320">
        <v>596</v>
      </c>
    </row>
    <row r="4321" spans="1:8" x14ac:dyDescent="0.45">
      <c r="A4321" t="s">
        <v>58</v>
      </c>
      <c r="B4321" t="s">
        <v>20</v>
      </c>
      <c r="C4321">
        <v>9</v>
      </c>
      <c r="D4321" t="s">
        <v>31</v>
      </c>
      <c r="H4321">
        <v>236</v>
      </c>
    </row>
    <row r="4322" spans="1:8" x14ac:dyDescent="0.45">
      <c r="A4322" t="s">
        <v>58</v>
      </c>
      <c r="B4322" t="s">
        <v>20</v>
      </c>
      <c r="C4322">
        <v>9</v>
      </c>
      <c r="D4322" t="s">
        <v>32</v>
      </c>
      <c r="H4322">
        <v>15</v>
      </c>
    </row>
    <row r="4323" spans="1:8" x14ac:dyDescent="0.45">
      <c r="A4323" t="s">
        <v>58</v>
      </c>
      <c r="B4323" t="s">
        <v>20</v>
      </c>
      <c r="C4323">
        <v>9</v>
      </c>
      <c r="D4323" t="s">
        <v>34</v>
      </c>
      <c r="H4323">
        <v>13</v>
      </c>
    </row>
    <row r="4324" spans="1:8" x14ac:dyDescent="0.45">
      <c r="A4324" t="s">
        <v>58</v>
      </c>
      <c r="B4324" t="s">
        <v>21</v>
      </c>
      <c r="C4324">
        <v>10</v>
      </c>
      <c r="D4324" t="s">
        <v>19</v>
      </c>
      <c r="E4324">
        <v>3028145</v>
      </c>
      <c r="F4324">
        <v>6355</v>
      </c>
      <c r="G4324">
        <v>1519</v>
      </c>
    </row>
    <row r="4325" spans="1:8" x14ac:dyDescent="0.45">
      <c r="A4325" t="s">
        <v>58</v>
      </c>
      <c r="B4325" t="s">
        <v>21</v>
      </c>
      <c r="C4325">
        <v>10</v>
      </c>
      <c r="D4325" t="s">
        <v>27</v>
      </c>
      <c r="F4325">
        <v>2580</v>
      </c>
    </row>
    <row r="4326" spans="1:8" x14ac:dyDescent="0.45">
      <c r="A4326" t="s">
        <v>58</v>
      </c>
      <c r="B4326" t="s">
        <v>21</v>
      </c>
      <c r="C4326">
        <v>10</v>
      </c>
      <c r="D4326" t="s">
        <v>28</v>
      </c>
      <c r="F4326">
        <v>1226</v>
      </c>
    </row>
    <row r="4327" spans="1:8" x14ac:dyDescent="0.45">
      <c r="A4327" t="s">
        <v>58</v>
      </c>
      <c r="B4327" t="s">
        <v>21</v>
      </c>
      <c r="C4327">
        <v>10</v>
      </c>
      <c r="D4327" t="s">
        <v>29</v>
      </c>
      <c r="F4327">
        <v>772</v>
      </c>
    </row>
    <row r="4328" spans="1:8" x14ac:dyDescent="0.45">
      <c r="A4328" t="s">
        <v>58</v>
      </c>
      <c r="B4328" t="s">
        <v>20</v>
      </c>
      <c r="C4328">
        <v>10</v>
      </c>
      <c r="D4328" t="s">
        <v>19</v>
      </c>
      <c r="E4328">
        <v>3380719</v>
      </c>
      <c r="F4328">
        <v>6717</v>
      </c>
      <c r="G4328">
        <v>1795</v>
      </c>
    </row>
    <row r="4329" spans="1:8" x14ac:dyDescent="0.45">
      <c r="A4329" t="s">
        <v>58</v>
      </c>
      <c r="B4329" t="s">
        <v>20</v>
      </c>
      <c r="C4329">
        <v>10</v>
      </c>
      <c r="D4329" t="s">
        <v>27</v>
      </c>
      <c r="F4329">
        <v>2798</v>
      </c>
    </row>
    <row r="4330" spans="1:8" x14ac:dyDescent="0.45">
      <c r="A4330" t="s">
        <v>58</v>
      </c>
      <c r="B4330" t="s">
        <v>20</v>
      </c>
      <c r="C4330">
        <v>10</v>
      </c>
      <c r="D4330" t="s">
        <v>28</v>
      </c>
      <c r="F4330">
        <v>1319</v>
      </c>
    </row>
    <row r="4331" spans="1:8" x14ac:dyDescent="0.45">
      <c r="A4331" t="s">
        <v>58</v>
      </c>
      <c r="B4331" t="s">
        <v>20</v>
      </c>
      <c r="C4331">
        <v>10</v>
      </c>
      <c r="D4331" t="s">
        <v>29</v>
      </c>
      <c r="F4331">
        <v>850</v>
      </c>
    </row>
    <row r="4332" spans="1:8" x14ac:dyDescent="0.45">
      <c r="A4332" t="s">
        <v>58</v>
      </c>
      <c r="B4332" t="s">
        <v>20</v>
      </c>
      <c r="C4332">
        <v>10</v>
      </c>
      <c r="D4332" t="s">
        <v>31</v>
      </c>
      <c r="H4332">
        <v>270</v>
      </c>
    </row>
    <row r="4333" spans="1:8" x14ac:dyDescent="0.45">
      <c r="A4333" t="s">
        <v>58</v>
      </c>
      <c r="B4333" t="s">
        <v>20</v>
      </c>
      <c r="C4333">
        <v>10</v>
      </c>
      <c r="D4333" t="s">
        <v>32</v>
      </c>
      <c r="H4333">
        <v>24</v>
      </c>
    </row>
    <row r="4334" spans="1:8" x14ac:dyDescent="0.45">
      <c r="A4334" t="s">
        <v>58</v>
      </c>
      <c r="B4334" t="s">
        <v>20</v>
      </c>
      <c r="C4334">
        <v>10</v>
      </c>
      <c r="D4334" t="s">
        <v>34</v>
      </c>
      <c r="H4334">
        <v>29</v>
      </c>
    </row>
    <row r="4335" spans="1:8" x14ac:dyDescent="0.45">
      <c r="A4335" t="s">
        <v>58</v>
      </c>
      <c r="B4335" t="s">
        <v>21</v>
      </c>
      <c r="C4335">
        <v>11</v>
      </c>
      <c r="D4335" t="s">
        <v>19</v>
      </c>
      <c r="E4335">
        <v>2542211</v>
      </c>
      <c r="F4335">
        <v>5154</v>
      </c>
    </row>
    <row r="4336" spans="1:8" x14ac:dyDescent="0.45">
      <c r="A4336" t="s">
        <v>58</v>
      </c>
      <c r="B4336" t="s">
        <v>21</v>
      </c>
      <c r="C4336">
        <v>11</v>
      </c>
      <c r="D4336" t="s">
        <v>27</v>
      </c>
      <c r="F4336">
        <v>2297</v>
      </c>
    </row>
    <row r="4337" spans="1:8" x14ac:dyDescent="0.45">
      <c r="A4337" t="s">
        <v>58</v>
      </c>
      <c r="B4337" t="s">
        <v>21</v>
      </c>
      <c r="C4337">
        <v>11</v>
      </c>
      <c r="D4337" t="s">
        <v>28</v>
      </c>
      <c r="F4337">
        <v>933</v>
      </c>
    </row>
    <row r="4338" spans="1:8" x14ac:dyDescent="0.45">
      <c r="A4338" t="s">
        <v>58</v>
      </c>
      <c r="B4338" t="s">
        <v>21</v>
      </c>
      <c r="C4338">
        <v>11</v>
      </c>
      <c r="D4338" t="s">
        <v>29</v>
      </c>
      <c r="F4338">
        <v>623</v>
      </c>
    </row>
    <row r="4339" spans="1:8" x14ac:dyDescent="0.45">
      <c r="A4339" t="s">
        <v>58</v>
      </c>
      <c r="B4339" t="s">
        <v>20</v>
      </c>
      <c r="C4339">
        <v>11</v>
      </c>
      <c r="D4339" t="s">
        <v>19</v>
      </c>
      <c r="E4339">
        <v>3135367</v>
      </c>
      <c r="F4339">
        <v>6249</v>
      </c>
      <c r="G4339">
        <v>1676</v>
      </c>
    </row>
    <row r="4340" spans="1:8" x14ac:dyDescent="0.45">
      <c r="A4340" t="s">
        <v>58</v>
      </c>
      <c r="B4340" t="s">
        <v>20</v>
      </c>
      <c r="C4340">
        <v>11</v>
      </c>
      <c r="D4340" t="s">
        <v>27</v>
      </c>
      <c r="F4340">
        <v>2320</v>
      </c>
    </row>
    <row r="4341" spans="1:8" x14ac:dyDescent="0.45">
      <c r="A4341" t="s">
        <v>58</v>
      </c>
      <c r="B4341" t="s">
        <v>20</v>
      </c>
      <c r="C4341">
        <v>11</v>
      </c>
      <c r="D4341" t="s">
        <v>28</v>
      </c>
      <c r="F4341">
        <v>1342</v>
      </c>
    </row>
    <row r="4342" spans="1:8" x14ac:dyDescent="0.45">
      <c r="A4342" t="s">
        <v>58</v>
      </c>
      <c r="B4342" t="s">
        <v>20</v>
      </c>
      <c r="C4342">
        <v>11</v>
      </c>
      <c r="D4342" t="s">
        <v>29</v>
      </c>
      <c r="F4342">
        <v>858</v>
      </c>
    </row>
    <row r="4343" spans="1:8" x14ac:dyDescent="0.45">
      <c r="A4343" t="s">
        <v>58</v>
      </c>
      <c r="B4343" t="s">
        <v>20</v>
      </c>
      <c r="C4343">
        <v>11</v>
      </c>
      <c r="D4343" t="s">
        <v>31</v>
      </c>
      <c r="H4343">
        <v>495</v>
      </c>
    </row>
    <row r="4344" spans="1:8" x14ac:dyDescent="0.45">
      <c r="A4344" t="s">
        <v>58</v>
      </c>
      <c r="B4344" t="s">
        <v>20</v>
      </c>
      <c r="C4344">
        <v>11</v>
      </c>
      <c r="D4344" t="s">
        <v>32</v>
      </c>
      <c r="H4344">
        <v>17</v>
      </c>
    </row>
    <row r="4345" spans="1:8" x14ac:dyDescent="0.45">
      <c r="A4345" t="s">
        <v>58</v>
      </c>
      <c r="B4345" t="s">
        <v>20</v>
      </c>
      <c r="C4345">
        <v>11</v>
      </c>
      <c r="D4345" t="s">
        <v>34</v>
      </c>
      <c r="H4345">
        <v>25</v>
      </c>
    </row>
    <row r="4346" spans="1:8" x14ac:dyDescent="0.45">
      <c r="A4346" t="s">
        <v>58</v>
      </c>
      <c r="B4346" t="s">
        <v>21</v>
      </c>
      <c r="C4346">
        <v>12</v>
      </c>
      <c r="D4346" t="s">
        <v>19</v>
      </c>
      <c r="E4346">
        <v>3074533</v>
      </c>
      <c r="F4346">
        <v>6690</v>
      </c>
      <c r="G4346">
        <v>1627</v>
      </c>
      <c r="H4346">
        <v>106</v>
      </c>
    </row>
    <row r="4347" spans="1:8" x14ac:dyDescent="0.45">
      <c r="A4347" t="s">
        <v>58</v>
      </c>
      <c r="B4347" t="s">
        <v>21</v>
      </c>
      <c r="C4347">
        <v>12</v>
      </c>
      <c r="D4347" t="s">
        <v>27</v>
      </c>
      <c r="F4347">
        <v>2710</v>
      </c>
    </row>
    <row r="4348" spans="1:8" x14ac:dyDescent="0.45">
      <c r="A4348" t="s">
        <v>58</v>
      </c>
      <c r="B4348" t="s">
        <v>21</v>
      </c>
      <c r="C4348">
        <v>12</v>
      </c>
      <c r="D4348" t="s">
        <v>28</v>
      </c>
      <c r="F4348">
        <v>1280</v>
      </c>
    </row>
    <row r="4349" spans="1:8" x14ac:dyDescent="0.45">
      <c r="A4349" t="s">
        <v>58</v>
      </c>
      <c r="B4349" t="s">
        <v>21</v>
      </c>
      <c r="C4349">
        <v>12</v>
      </c>
      <c r="D4349" t="s">
        <v>29</v>
      </c>
      <c r="F4349">
        <v>858</v>
      </c>
    </row>
    <row r="4350" spans="1:8" x14ac:dyDescent="0.45">
      <c r="A4350" t="s">
        <v>58</v>
      </c>
      <c r="B4350" t="s">
        <v>20</v>
      </c>
      <c r="C4350">
        <v>12</v>
      </c>
      <c r="D4350" t="s">
        <v>19</v>
      </c>
      <c r="E4350">
        <v>2990024</v>
      </c>
      <c r="F4350">
        <v>6221</v>
      </c>
      <c r="G4350">
        <v>1632</v>
      </c>
    </row>
    <row r="4351" spans="1:8" x14ac:dyDescent="0.45">
      <c r="A4351" t="s">
        <v>58</v>
      </c>
      <c r="B4351" t="s">
        <v>20</v>
      </c>
      <c r="C4351">
        <v>12</v>
      </c>
      <c r="D4351" t="s">
        <v>27</v>
      </c>
      <c r="F4351">
        <v>2499</v>
      </c>
    </row>
    <row r="4352" spans="1:8" x14ac:dyDescent="0.45">
      <c r="A4352" t="s">
        <v>58</v>
      </c>
      <c r="B4352" t="s">
        <v>20</v>
      </c>
      <c r="C4352">
        <v>12</v>
      </c>
      <c r="D4352" t="s">
        <v>28</v>
      </c>
      <c r="F4352">
        <v>1139</v>
      </c>
    </row>
    <row r="4353" spans="1:8" x14ac:dyDescent="0.45">
      <c r="A4353" t="s">
        <v>58</v>
      </c>
      <c r="B4353" t="s">
        <v>20</v>
      </c>
      <c r="C4353">
        <v>12</v>
      </c>
      <c r="D4353" t="s">
        <v>29</v>
      </c>
      <c r="F4353">
        <v>845</v>
      </c>
    </row>
    <row r="4354" spans="1:8" x14ac:dyDescent="0.45">
      <c r="A4354" t="s">
        <v>58</v>
      </c>
      <c r="B4354" t="s">
        <v>20</v>
      </c>
      <c r="C4354">
        <v>12</v>
      </c>
      <c r="D4354" t="s">
        <v>31</v>
      </c>
      <c r="H4354">
        <v>158</v>
      </c>
    </row>
    <row r="4355" spans="1:8" x14ac:dyDescent="0.45">
      <c r="A4355" t="s">
        <v>58</v>
      </c>
      <c r="B4355" t="s">
        <v>20</v>
      </c>
      <c r="C4355">
        <v>12</v>
      </c>
      <c r="D4355" t="s">
        <v>32</v>
      </c>
      <c r="H4355">
        <v>7</v>
      </c>
    </row>
    <row r="4356" spans="1:8" x14ac:dyDescent="0.45">
      <c r="A4356" t="s">
        <v>58</v>
      </c>
      <c r="B4356" t="s">
        <v>20</v>
      </c>
      <c r="C4356">
        <v>12</v>
      </c>
      <c r="D4356" t="s">
        <v>34</v>
      </c>
      <c r="H4356">
        <v>22</v>
      </c>
    </row>
    <row r="4357" spans="1:8" x14ac:dyDescent="0.45">
      <c r="A4357" t="s">
        <v>61</v>
      </c>
      <c r="B4357" t="s">
        <v>21</v>
      </c>
      <c r="C4357">
        <v>1</v>
      </c>
      <c r="D4357" t="s">
        <v>19</v>
      </c>
      <c r="E4357">
        <v>776112</v>
      </c>
      <c r="F4357">
        <v>1616</v>
      </c>
      <c r="G4357">
        <v>457</v>
      </c>
    </row>
    <row r="4358" spans="1:8" x14ac:dyDescent="0.45">
      <c r="A4358" t="s">
        <v>61</v>
      </c>
      <c r="B4358" t="s">
        <v>21</v>
      </c>
      <c r="C4358">
        <v>1</v>
      </c>
      <c r="D4358" t="s">
        <v>27</v>
      </c>
      <c r="F4358">
        <v>629</v>
      </c>
    </row>
    <row r="4359" spans="1:8" x14ac:dyDescent="0.45">
      <c r="A4359" t="s">
        <v>61</v>
      </c>
      <c r="B4359" t="s">
        <v>21</v>
      </c>
      <c r="C4359">
        <v>1</v>
      </c>
      <c r="D4359" t="s">
        <v>28</v>
      </c>
      <c r="F4359">
        <v>271</v>
      </c>
    </row>
    <row r="4360" spans="1:8" x14ac:dyDescent="0.45">
      <c r="A4360" t="s">
        <v>61</v>
      </c>
      <c r="B4360" t="s">
        <v>21</v>
      </c>
      <c r="C4360">
        <v>1</v>
      </c>
      <c r="D4360" t="s">
        <v>29</v>
      </c>
      <c r="F4360">
        <v>202</v>
      </c>
    </row>
    <row r="4361" spans="1:8" x14ac:dyDescent="0.45">
      <c r="A4361" t="s">
        <v>61</v>
      </c>
      <c r="B4361" t="s">
        <v>20</v>
      </c>
      <c r="C4361">
        <v>1</v>
      </c>
      <c r="D4361" t="s">
        <v>19</v>
      </c>
      <c r="E4361">
        <v>758855</v>
      </c>
      <c r="F4361">
        <v>1480</v>
      </c>
      <c r="G4361">
        <v>461</v>
      </c>
    </row>
    <row r="4362" spans="1:8" x14ac:dyDescent="0.45">
      <c r="A4362" t="s">
        <v>61</v>
      </c>
      <c r="B4362" t="s">
        <v>20</v>
      </c>
      <c r="C4362">
        <v>1</v>
      </c>
      <c r="D4362" t="s">
        <v>27</v>
      </c>
      <c r="F4362">
        <v>555</v>
      </c>
    </row>
    <row r="4363" spans="1:8" x14ac:dyDescent="0.45">
      <c r="A4363" t="s">
        <v>61</v>
      </c>
      <c r="B4363" t="s">
        <v>20</v>
      </c>
      <c r="C4363">
        <v>1</v>
      </c>
      <c r="D4363" t="s">
        <v>28</v>
      </c>
      <c r="F4363">
        <v>273</v>
      </c>
    </row>
    <row r="4364" spans="1:8" x14ac:dyDescent="0.45">
      <c r="A4364" t="s">
        <v>61</v>
      </c>
      <c r="B4364" t="s">
        <v>20</v>
      </c>
      <c r="C4364">
        <v>1</v>
      </c>
      <c r="D4364" t="s">
        <v>29</v>
      </c>
      <c r="F4364">
        <v>214</v>
      </c>
    </row>
    <row r="4365" spans="1:8" x14ac:dyDescent="0.45">
      <c r="A4365" t="s">
        <v>61</v>
      </c>
      <c r="B4365" t="s">
        <v>20</v>
      </c>
      <c r="C4365">
        <v>1</v>
      </c>
      <c r="D4365" t="s">
        <v>31</v>
      </c>
      <c r="H4365">
        <v>39</v>
      </c>
    </row>
    <row r="4366" spans="1:8" x14ac:dyDescent="0.45">
      <c r="A4366" t="s">
        <v>61</v>
      </c>
      <c r="B4366" t="s">
        <v>20</v>
      </c>
      <c r="C4366">
        <v>1</v>
      </c>
      <c r="D4366" t="s">
        <v>32</v>
      </c>
      <c r="H4366">
        <v>2</v>
      </c>
    </row>
    <row r="4367" spans="1:8" x14ac:dyDescent="0.45">
      <c r="A4367" t="s">
        <v>61</v>
      </c>
      <c r="B4367" t="s">
        <v>20</v>
      </c>
      <c r="C4367">
        <v>1</v>
      </c>
      <c r="D4367" t="s">
        <v>34</v>
      </c>
    </row>
    <row r="4368" spans="1:8" x14ac:dyDescent="0.45">
      <c r="A4368" t="s">
        <v>61</v>
      </c>
      <c r="B4368" t="s">
        <v>21</v>
      </c>
      <c r="C4368">
        <v>2</v>
      </c>
      <c r="D4368" t="s">
        <v>19</v>
      </c>
      <c r="E4368">
        <v>672981</v>
      </c>
      <c r="F4368">
        <v>1359</v>
      </c>
      <c r="G4368">
        <v>433</v>
      </c>
    </row>
    <row r="4369" spans="1:8" x14ac:dyDescent="0.45">
      <c r="A4369" t="s">
        <v>61</v>
      </c>
      <c r="B4369" t="s">
        <v>21</v>
      </c>
      <c r="C4369">
        <v>2</v>
      </c>
      <c r="D4369" t="s">
        <v>27</v>
      </c>
      <c r="F4369">
        <v>538</v>
      </c>
    </row>
    <row r="4370" spans="1:8" x14ac:dyDescent="0.45">
      <c r="A4370" t="s">
        <v>61</v>
      </c>
      <c r="B4370" t="s">
        <v>21</v>
      </c>
      <c r="C4370">
        <v>2</v>
      </c>
      <c r="D4370" t="s">
        <v>28</v>
      </c>
      <c r="F4370">
        <v>236</v>
      </c>
    </row>
    <row r="4371" spans="1:8" x14ac:dyDescent="0.45">
      <c r="A4371" t="s">
        <v>61</v>
      </c>
      <c r="B4371" t="s">
        <v>21</v>
      </c>
      <c r="C4371">
        <v>2</v>
      </c>
      <c r="D4371" t="s">
        <v>29</v>
      </c>
      <c r="F4371">
        <v>181</v>
      </c>
    </row>
    <row r="4372" spans="1:8" x14ac:dyDescent="0.45">
      <c r="A4372" t="s">
        <v>61</v>
      </c>
      <c r="B4372" t="s">
        <v>20</v>
      </c>
      <c r="C4372">
        <v>2</v>
      </c>
      <c r="D4372" t="s">
        <v>19</v>
      </c>
      <c r="E4372">
        <v>700485</v>
      </c>
      <c r="F4372">
        <v>1295</v>
      </c>
      <c r="G4372">
        <v>404</v>
      </c>
    </row>
    <row r="4373" spans="1:8" x14ac:dyDescent="0.45">
      <c r="A4373" t="s">
        <v>61</v>
      </c>
      <c r="B4373" t="s">
        <v>20</v>
      </c>
      <c r="C4373">
        <v>2</v>
      </c>
      <c r="D4373" t="s">
        <v>27</v>
      </c>
      <c r="F4373">
        <v>494</v>
      </c>
    </row>
    <row r="4374" spans="1:8" x14ac:dyDescent="0.45">
      <c r="A4374" t="s">
        <v>61</v>
      </c>
      <c r="B4374" t="s">
        <v>20</v>
      </c>
      <c r="C4374">
        <v>2</v>
      </c>
      <c r="D4374" t="s">
        <v>28</v>
      </c>
      <c r="F4374">
        <v>225</v>
      </c>
    </row>
    <row r="4375" spans="1:8" x14ac:dyDescent="0.45">
      <c r="A4375" t="s">
        <v>61</v>
      </c>
      <c r="B4375" t="s">
        <v>20</v>
      </c>
      <c r="C4375">
        <v>2</v>
      </c>
      <c r="D4375" t="s">
        <v>29</v>
      </c>
      <c r="F4375">
        <v>200</v>
      </c>
    </row>
    <row r="4376" spans="1:8" x14ac:dyDescent="0.45">
      <c r="A4376" t="s">
        <v>61</v>
      </c>
      <c r="B4376" t="s">
        <v>20</v>
      </c>
      <c r="C4376">
        <v>2</v>
      </c>
      <c r="D4376" t="s">
        <v>31</v>
      </c>
      <c r="H4376">
        <v>54</v>
      </c>
    </row>
    <row r="4377" spans="1:8" x14ac:dyDescent="0.45">
      <c r="A4377" t="s">
        <v>61</v>
      </c>
      <c r="B4377" t="s">
        <v>20</v>
      </c>
      <c r="C4377">
        <v>2</v>
      </c>
      <c r="D4377" t="s">
        <v>32</v>
      </c>
      <c r="H4377">
        <v>3</v>
      </c>
    </row>
    <row r="4378" spans="1:8" x14ac:dyDescent="0.45">
      <c r="A4378" t="s">
        <v>61</v>
      </c>
      <c r="B4378" t="s">
        <v>20</v>
      </c>
      <c r="C4378">
        <v>2</v>
      </c>
      <c r="D4378" t="s">
        <v>34</v>
      </c>
      <c r="H4378">
        <v>2</v>
      </c>
    </row>
    <row r="4379" spans="1:8" x14ac:dyDescent="0.45">
      <c r="A4379" t="s">
        <v>61</v>
      </c>
      <c r="B4379" t="s">
        <v>21</v>
      </c>
      <c r="C4379">
        <v>3</v>
      </c>
      <c r="D4379" t="s">
        <v>19</v>
      </c>
      <c r="E4379">
        <v>1445750</v>
      </c>
      <c r="F4379">
        <v>2373</v>
      </c>
      <c r="G4379">
        <v>656</v>
      </c>
    </row>
    <row r="4380" spans="1:8" x14ac:dyDescent="0.45">
      <c r="A4380" t="s">
        <v>61</v>
      </c>
      <c r="B4380" t="s">
        <v>21</v>
      </c>
      <c r="C4380">
        <v>3</v>
      </c>
      <c r="D4380" t="s">
        <v>27</v>
      </c>
      <c r="F4380">
        <v>630</v>
      </c>
    </row>
    <row r="4381" spans="1:8" x14ac:dyDescent="0.45">
      <c r="A4381" t="s">
        <v>61</v>
      </c>
      <c r="B4381" t="s">
        <v>21</v>
      </c>
      <c r="C4381">
        <v>3</v>
      </c>
      <c r="D4381" t="s">
        <v>28</v>
      </c>
      <c r="F4381">
        <v>400</v>
      </c>
    </row>
    <row r="4382" spans="1:8" x14ac:dyDescent="0.45">
      <c r="A4382" t="s">
        <v>61</v>
      </c>
      <c r="B4382" t="s">
        <v>21</v>
      </c>
      <c r="C4382">
        <v>3</v>
      </c>
      <c r="D4382" t="s">
        <v>29</v>
      </c>
      <c r="F4382">
        <v>361</v>
      </c>
    </row>
    <row r="4383" spans="1:8" x14ac:dyDescent="0.45">
      <c r="A4383" t="s">
        <v>61</v>
      </c>
      <c r="B4383" t="s">
        <v>20</v>
      </c>
      <c r="C4383">
        <v>3</v>
      </c>
      <c r="D4383" t="s">
        <v>19</v>
      </c>
      <c r="E4383">
        <v>1086977</v>
      </c>
      <c r="F4383">
        <v>2021</v>
      </c>
      <c r="G4383">
        <v>626</v>
      </c>
    </row>
    <row r="4384" spans="1:8" x14ac:dyDescent="0.45">
      <c r="A4384" t="s">
        <v>61</v>
      </c>
      <c r="B4384" t="s">
        <v>20</v>
      </c>
      <c r="C4384">
        <v>3</v>
      </c>
      <c r="D4384" t="s">
        <v>27</v>
      </c>
      <c r="F4384">
        <v>604</v>
      </c>
    </row>
    <row r="4385" spans="1:8" x14ac:dyDescent="0.45">
      <c r="A4385" t="s">
        <v>61</v>
      </c>
      <c r="B4385" t="s">
        <v>20</v>
      </c>
      <c r="C4385">
        <v>3</v>
      </c>
      <c r="D4385" t="s">
        <v>28</v>
      </c>
      <c r="F4385">
        <v>329</v>
      </c>
    </row>
    <row r="4386" spans="1:8" x14ac:dyDescent="0.45">
      <c r="A4386" t="s">
        <v>61</v>
      </c>
      <c r="B4386" t="s">
        <v>20</v>
      </c>
      <c r="C4386">
        <v>3</v>
      </c>
      <c r="D4386" t="s">
        <v>29</v>
      </c>
      <c r="F4386">
        <v>307</v>
      </c>
    </row>
    <row r="4387" spans="1:8" x14ac:dyDescent="0.45">
      <c r="A4387" t="s">
        <v>61</v>
      </c>
      <c r="B4387" t="s">
        <v>20</v>
      </c>
      <c r="C4387">
        <v>3</v>
      </c>
      <c r="D4387" t="s">
        <v>31</v>
      </c>
      <c r="H4387">
        <v>33</v>
      </c>
    </row>
    <row r="4388" spans="1:8" x14ac:dyDescent="0.45">
      <c r="A4388" t="s">
        <v>61</v>
      </c>
      <c r="B4388" t="s">
        <v>20</v>
      </c>
      <c r="C4388">
        <v>3</v>
      </c>
      <c r="D4388" t="s">
        <v>32</v>
      </c>
      <c r="H4388">
        <v>7</v>
      </c>
    </row>
    <row r="4389" spans="1:8" x14ac:dyDescent="0.45">
      <c r="A4389" t="s">
        <v>61</v>
      </c>
      <c r="B4389" t="s">
        <v>20</v>
      </c>
      <c r="C4389">
        <v>3</v>
      </c>
      <c r="D4389" t="s">
        <v>34</v>
      </c>
      <c r="H4389">
        <v>2</v>
      </c>
    </row>
    <row r="4390" spans="1:8" x14ac:dyDescent="0.45">
      <c r="A4390" t="s">
        <v>61</v>
      </c>
      <c r="B4390" t="s">
        <v>21</v>
      </c>
      <c r="C4390">
        <v>4</v>
      </c>
      <c r="D4390" t="s">
        <v>19</v>
      </c>
      <c r="E4390">
        <v>1894535</v>
      </c>
      <c r="F4390">
        <v>3032</v>
      </c>
      <c r="H4390">
        <v>157</v>
      </c>
    </row>
    <row r="4391" spans="1:8" x14ac:dyDescent="0.45">
      <c r="A4391" t="s">
        <v>61</v>
      </c>
      <c r="B4391" t="s">
        <v>21</v>
      </c>
      <c r="C4391">
        <v>4</v>
      </c>
      <c r="D4391" t="s">
        <v>27</v>
      </c>
      <c r="F4391">
        <v>789</v>
      </c>
    </row>
    <row r="4392" spans="1:8" x14ac:dyDescent="0.45">
      <c r="A4392" t="s">
        <v>61</v>
      </c>
      <c r="B4392" t="s">
        <v>21</v>
      </c>
      <c r="C4392">
        <v>4</v>
      </c>
      <c r="D4392" t="s">
        <v>28</v>
      </c>
      <c r="F4392">
        <v>455</v>
      </c>
    </row>
    <row r="4393" spans="1:8" x14ac:dyDescent="0.45">
      <c r="A4393" t="s">
        <v>61</v>
      </c>
      <c r="B4393" t="s">
        <v>21</v>
      </c>
      <c r="C4393">
        <v>4</v>
      </c>
      <c r="D4393" t="s">
        <v>29</v>
      </c>
      <c r="F4393">
        <v>436</v>
      </c>
    </row>
    <row r="4394" spans="1:8" x14ac:dyDescent="0.45">
      <c r="A4394" t="s">
        <v>61</v>
      </c>
      <c r="B4394" t="s">
        <v>20</v>
      </c>
      <c r="C4394">
        <v>4</v>
      </c>
      <c r="D4394" t="s">
        <v>19</v>
      </c>
      <c r="E4394">
        <v>1940663</v>
      </c>
      <c r="F4394">
        <v>3054</v>
      </c>
    </row>
    <row r="4395" spans="1:8" x14ac:dyDescent="0.45">
      <c r="A4395" t="s">
        <v>61</v>
      </c>
      <c r="B4395" t="s">
        <v>20</v>
      </c>
      <c r="C4395">
        <v>4</v>
      </c>
      <c r="D4395" t="s">
        <v>27</v>
      </c>
      <c r="F4395">
        <v>607</v>
      </c>
    </row>
    <row r="4396" spans="1:8" x14ac:dyDescent="0.45">
      <c r="A4396" t="s">
        <v>61</v>
      </c>
      <c r="B4396" t="s">
        <v>20</v>
      </c>
      <c r="C4396">
        <v>4</v>
      </c>
      <c r="D4396" t="s">
        <v>28</v>
      </c>
      <c r="F4396">
        <v>463</v>
      </c>
    </row>
    <row r="4397" spans="1:8" x14ac:dyDescent="0.45">
      <c r="A4397" t="s">
        <v>61</v>
      </c>
      <c r="B4397" t="s">
        <v>20</v>
      </c>
      <c r="C4397">
        <v>4</v>
      </c>
      <c r="D4397" t="s">
        <v>29</v>
      </c>
      <c r="F4397">
        <v>415</v>
      </c>
    </row>
    <row r="4398" spans="1:8" x14ac:dyDescent="0.45">
      <c r="A4398" t="s">
        <v>61</v>
      </c>
      <c r="B4398" t="s">
        <v>20</v>
      </c>
      <c r="C4398">
        <v>4</v>
      </c>
      <c r="D4398" t="s">
        <v>31</v>
      </c>
      <c r="H4398">
        <v>39</v>
      </c>
    </row>
    <row r="4399" spans="1:8" x14ac:dyDescent="0.45">
      <c r="A4399" t="s">
        <v>61</v>
      </c>
      <c r="B4399" t="s">
        <v>20</v>
      </c>
      <c r="C4399">
        <v>4</v>
      </c>
      <c r="D4399" t="s">
        <v>32</v>
      </c>
      <c r="H4399">
        <v>5</v>
      </c>
    </row>
    <row r="4400" spans="1:8" x14ac:dyDescent="0.45">
      <c r="A4400" t="s">
        <v>61</v>
      </c>
      <c r="B4400" t="s">
        <v>20</v>
      </c>
      <c r="C4400">
        <v>4</v>
      </c>
      <c r="D4400" t="s">
        <v>34</v>
      </c>
      <c r="H4400">
        <v>2</v>
      </c>
    </row>
    <row r="4401" spans="1:8" x14ac:dyDescent="0.45">
      <c r="A4401" t="s">
        <v>61</v>
      </c>
      <c r="B4401" t="s">
        <v>21</v>
      </c>
      <c r="C4401">
        <v>5</v>
      </c>
      <c r="D4401" t="s">
        <v>19</v>
      </c>
      <c r="E4401">
        <v>1722274</v>
      </c>
      <c r="F4401">
        <v>2641</v>
      </c>
      <c r="G4401">
        <v>858</v>
      </c>
    </row>
    <row r="4402" spans="1:8" x14ac:dyDescent="0.45">
      <c r="A4402" t="s">
        <v>61</v>
      </c>
      <c r="B4402" t="s">
        <v>21</v>
      </c>
      <c r="C4402">
        <v>5</v>
      </c>
      <c r="D4402" t="s">
        <v>27</v>
      </c>
      <c r="F4402">
        <v>632</v>
      </c>
    </row>
    <row r="4403" spans="1:8" x14ac:dyDescent="0.45">
      <c r="A4403" t="s">
        <v>61</v>
      </c>
      <c r="B4403" t="s">
        <v>21</v>
      </c>
      <c r="C4403">
        <v>5</v>
      </c>
      <c r="D4403" t="s">
        <v>28</v>
      </c>
      <c r="F4403">
        <v>441</v>
      </c>
    </row>
    <row r="4404" spans="1:8" x14ac:dyDescent="0.45">
      <c r="A4404" t="s">
        <v>61</v>
      </c>
      <c r="B4404" t="s">
        <v>21</v>
      </c>
      <c r="C4404">
        <v>5</v>
      </c>
      <c r="D4404" t="s">
        <v>29</v>
      </c>
      <c r="F4404">
        <v>381</v>
      </c>
    </row>
    <row r="4405" spans="1:8" x14ac:dyDescent="0.45">
      <c r="A4405" t="s">
        <v>61</v>
      </c>
      <c r="B4405" t="s">
        <v>20</v>
      </c>
      <c r="C4405">
        <v>5</v>
      </c>
      <c r="D4405" t="s">
        <v>19</v>
      </c>
      <c r="E4405">
        <v>1462472</v>
      </c>
      <c r="F4405">
        <v>2214</v>
      </c>
      <c r="G4405">
        <v>629</v>
      </c>
    </row>
    <row r="4406" spans="1:8" x14ac:dyDescent="0.45">
      <c r="A4406" t="s">
        <v>61</v>
      </c>
      <c r="B4406" t="s">
        <v>20</v>
      </c>
      <c r="C4406">
        <v>5</v>
      </c>
      <c r="D4406" t="s">
        <v>27</v>
      </c>
      <c r="F4406">
        <v>524</v>
      </c>
    </row>
    <row r="4407" spans="1:8" x14ac:dyDescent="0.45">
      <c r="A4407" t="s">
        <v>61</v>
      </c>
      <c r="B4407" t="s">
        <v>20</v>
      </c>
      <c r="C4407">
        <v>5</v>
      </c>
      <c r="D4407" t="s">
        <v>28</v>
      </c>
      <c r="F4407">
        <v>354</v>
      </c>
    </row>
    <row r="4408" spans="1:8" x14ac:dyDescent="0.45">
      <c r="A4408" t="s">
        <v>61</v>
      </c>
      <c r="B4408" t="s">
        <v>20</v>
      </c>
      <c r="C4408">
        <v>5</v>
      </c>
      <c r="D4408" t="s">
        <v>29</v>
      </c>
      <c r="F4408">
        <v>314</v>
      </c>
    </row>
    <row r="4409" spans="1:8" x14ac:dyDescent="0.45">
      <c r="A4409" t="s">
        <v>61</v>
      </c>
      <c r="B4409" t="s">
        <v>20</v>
      </c>
      <c r="C4409">
        <v>5</v>
      </c>
      <c r="D4409" t="s">
        <v>31</v>
      </c>
      <c r="H4409">
        <v>56</v>
      </c>
    </row>
    <row r="4410" spans="1:8" x14ac:dyDescent="0.45">
      <c r="A4410" t="s">
        <v>61</v>
      </c>
      <c r="B4410" t="s">
        <v>20</v>
      </c>
      <c r="C4410">
        <v>5</v>
      </c>
      <c r="D4410" t="s">
        <v>32</v>
      </c>
      <c r="H4410">
        <v>3</v>
      </c>
    </row>
    <row r="4411" spans="1:8" x14ac:dyDescent="0.45">
      <c r="A4411" t="s">
        <v>61</v>
      </c>
      <c r="B4411" t="s">
        <v>20</v>
      </c>
      <c r="C4411">
        <v>5</v>
      </c>
      <c r="D4411" t="s">
        <v>34</v>
      </c>
      <c r="H4411">
        <v>2</v>
      </c>
    </row>
    <row r="4412" spans="1:8" x14ac:dyDescent="0.45">
      <c r="A4412" t="s">
        <v>61</v>
      </c>
      <c r="B4412" t="s">
        <v>21</v>
      </c>
      <c r="C4412">
        <v>6</v>
      </c>
      <c r="D4412" t="s">
        <v>19</v>
      </c>
      <c r="E4412">
        <v>1456216</v>
      </c>
      <c r="F4412">
        <v>2427</v>
      </c>
      <c r="G4412">
        <v>690</v>
      </c>
    </row>
    <row r="4413" spans="1:8" x14ac:dyDescent="0.45">
      <c r="A4413" t="s">
        <v>61</v>
      </c>
      <c r="B4413" t="s">
        <v>21</v>
      </c>
      <c r="C4413">
        <v>6</v>
      </c>
      <c r="D4413" t="s">
        <v>27</v>
      </c>
      <c r="F4413">
        <v>669</v>
      </c>
    </row>
    <row r="4414" spans="1:8" x14ac:dyDescent="0.45">
      <c r="A4414" t="s">
        <v>61</v>
      </c>
      <c r="B4414" t="s">
        <v>21</v>
      </c>
      <c r="C4414">
        <v>6</v>
      </c>
      <c r="D4414" t="s">
        <v>28</v>
      </c>
      <c r="F4414">
        <v>406</v>
      </c>
    </row>
    <row r="4415" spans="1:8" x14ac:dyDescent="0.45">
      <c r="A4415" t="s">
        <v>61</v>
      </c>
      <c r="B4415" t="s">
        <v>21</v>
      </c>
      <c r="C4415">
        <v>6</v>
      </c>
      <c r="D4415" t="s">
        <v>29</v>
      </c>
      <c r="F4415">
        <v>336</v>
      </c>
    </row>
    <row r="4416" spans="1:8" x14ac:dyDescent="0.45">
      <c r="A4416" t="s">
        <v>61</v>
      </c>
      <c r="B4416" t="s">
        <v>20</v>
      </c>
      <c r="C4416">
        <v>6</v>
      </c>
      <c r="D4416" t="s">
        <v>19</v>
      </c>
      <c r="E4416">
        <v>1252967</v>
      </c>
      <c r="F4416">
        <v>2055</v>
      </c>
      <c r="G4416">
        <v>595</v>
      </c>
    </row>
    <row r="4417" spans="1:8" x14ac:dyDescent="0.45">
      <c r="A4417" t="s">
        <v>61</v>
      </c>
      <c r="B4417" t="s">
        <v>20</v>
      </c>
      <c r="C4417">
        <v>6</v>
      </c>
      <c r="D4417" t="s">
        <v>27</v>
      </c>
      <c r="F4417">
        <v>591</v>
      </c>
    </row>
    <row r="4418" spans="1:8" x14ac:dyDescent="0.45">
      <c r="A4418" t="s">
        <v>61</v>
      </c>
      <c r="B4418" t="s">
        <v>20</v>
      </c>
      <c r="C4418">
        <v>6</v>
      </c>
      <c r="D4418" t="s">
        <v>28</v>
      </c>
      <c r="F4418">
        <v>391</v>
      </c>
    </row>
    <row r="4419" spans="1:8" x14ac:dyDescent="0.45">
      <c r="A4419" t="s">
        <v>61</v>
      </c>
      <c r="B4419" t="s">
        <v>20</v>
      </c>
      <c r="C4419">
        <v>6</v>
      </c>
      <c r="D4419" t="s">
        <v>29</v>
      </c>
      <c r="F4419">
        <v>242</v>
      </c>
    </row>
    <row r="4420" spans="1:8" x14ac:dyDescent="0.45">
      <c r="A4420" t="s">
        <v>61</v>
      </c>
      <c r="B4420" t="s">
        <v>20</v>
      </c>
      <c r="C4420">
        <v>6</v>
      </c>
      <c r="D4420" t="s">
        <v>31</v>
      </c>
      <c r="H4420">
        <v>28</v>
      </c>
    </row>
    <row r="4421" spans="1:8" x14ac:dyDescent="0.45">
      <c r="A4421" t="s">
        <v>61</v>
      </c>
      <c r="B4421" t="s">
        <v>20</v>
      </c>
      <c r="C4421">
        <v>6</v>
      </c>
      <c r="D4421" t="s">
        <v>32</v>
      </c>
      <c r="H4421">
        <v>7</v>
      </c>
    </row>
    <row r="4422" spans="1:8" x14ac:dyDescent="0.45">
      <c r="A4422" t="s">
        <v>61</v>
      </c>
      <c r="B4422" t="s">
        <v>20</v>
      </c>
      <c r="C4422">
        <v>6</v>
      </c>
      <c r="D4422" t="s">
        <v>34</v>
      </c>
      <c r="H4422">
        <v>2</v>
      </c>
    </row>
    <row r="4423" spans="1:8" x14ac:dyDescent="0.45">
      <c r="A4423" t="s">
        <v>61</v>
      </c>
      <c r="B4423" t="s">
        <v>21</v>
      </c>
      <c r="C4423">
        <v>7</v>
      </c>
      <c r="D4423" t="s">
        <v>19</v>
      </c>
      <c r="E4423">
        <v>1004806</v>
      </c>
      <c r="F4423">
        <v>1937</v>
      </c>
      <c r="G4423">
        <v>586</v>
      </c>
    </row>
    <row r="4424" spans="1:8" x14ac:dyDescent="0.45">
      <c r="A4424" t="s">
        <v>61</v>
      </c>
      <c r="B4424" t="s">
        <v>21</v>
      </c>
      <c r="C4424">
        <v>7</v>
      </c>
      <c r="D4424" t="s">
        <v>27</v>
      </c>
      <c r="F4424">
        <v>698</v>
      </c>
    </row>
    <row r="4425" spans="1:8" x14ac:dyDescent="0.45">
      <c r="A4425" t="s">
        <v>61</v>
      </c>
      <c r="B4425" t="s">
        <v>21</v>
      </c>
      <c r="C4425">
        <v>7</v>
      </c>
      <c r="D4425" t="s">
        <v>28</v>
      </c>
      <c r="F4425">
        <v>364</v>
      </c>
    </row>
    <row r="4426" spans="1:8" x14ac:dyDescent="0.45">
      <c r="A4426" t="s">
        <v>61</v>
      </c>
      <c r="B4426" t="s">
        <v>21</v>
      </c>
      <c r="C4426">
        <v>7</v>
      </c>
      <c r="D4426" t="s">
        <v>29</v>
      </c>
      <c r="F4426">
        <v>222</v>
      </c>
    </row>
    <row r="4427" spans="1:8" x14ac:dyDescent="0.45">
      <c r="A4427" t="s">
        <v>61</v>
      </c>
      <c r="B4427" t="s">
        <v>20</v>
      </c>
      <c r="C4427">
        <v>7</v>
      </c>
      <c r="D4427" t="s">
        <v>19</v>
      </c>
      <c r="E4427">
        <v>1053592</v>
      </c>
      <c r="F4427">
        <v>1814</v>
      </c>
      <c r="G4427">
        <v>545</v>
      </c>
    </row>
    <row r="4428" spans="1:8" x14ac:dyDescent="0.45">
      <c r="A4428" t="s">
        <v>61</v>
      </c>
      <c r="B4428" t="s">
        <v>20</v>
      </c>
      <c r="C4428">
        <v>7</v>
      </c>
      <c r="D4428" t="s">
        <v>27</v>
      </c>
      <c r="F4428">
        <v>570</v>
      </c>
    </row>
    <row r="4429" spans="1:8" x14ac:dyDescent="0.45">
      <c r="A4429" t="s">
        <v>61</v>
      </c>
      <c r="B4429" t="s">
        <v>20</v>
      </c>
      <c r="C4429">
        <v>7</v>
      </c>
      <c r="D4429" t="s">
        <v>28</v>
      </c>
      <c r="F4429">
        <v>366</v>
      </c>
    </row>
    <row r="4430" spans="1:8" x14ac:dyDescent="0.45">
      <c r="A4430" t="s">
        <v>61</v>
      </c>
      <c r="B4430" t="s">
        <v>20</v>
      </c>
      <c r="C4430">
        <v>7</v>
      </c>
      <c r="D4430" t="s">
        <v>29</v>
      </c>
      <c r="F4430">
        <v>240</v>
      </c>
    </row>
    <row r="4431" spans="1:8" x14ac:dyDescent="0.45">
      <c r="A4431" t="s">
        <v>61</v>
      </c>
      <c r="B4431" t="s">
        <v>20</v>
      </c>
      <c r="C4431">
        <v>7</v>
      </c>
      <c r="D4431" t="s">
        <v>31</v>
      </c>
      <c r="H4431">
        <v>96</v>
      </c>
    </row>
    <row r="4432" spans="1:8" x14ac:dyDescent="0.45">
      <c r="A4432" t="s">
        <v>61</v>
      </c>
      <c r="B4432" t="s">
        <v>20</v>
      </c>
      <c r="C4432">
        <v>7</v>
      </c>
      <c r="D4432" t="s">
        <v>32</v>
      </c>
      <c r="H4432">
        <v>2</v>
      </c>
    </row>
    <row r="4433" spans="1:8" x14ac:dyDescent="0.45">
      <c r="A4433" t="s">
        <v>61</v>
      </c>
      <c r="B4433" t="s">
        <v>20</v>
      </c>
      <c r="C4433">
        <v>7</v>
      </c>
      <c r="D4433" t="s">
        <v>34</v>
      </c>
      <c r="H4433">
        <v>2</v>
      </c>
    </row>
    <row r="4434" spans="1:8" x14ac:dyDescent="0.45">
      <c r="A4434" t="s">
        <v>61</v>
      </c>
      <c r="B4434" t="s">
        <v>21</v>
      </c>
      <c r="C4434">
        <v>8</v>
      </c>
      <c r="D4434" t="s">
        <v>19</v>
      </c>
      <c r="E4434">
        <v>809781</v>
      </c>
      <c r="F4434">
        <v>1553</v>
      </c>
      <c r="G4434">
        <v>466</v>
      </c>
    </row>
    <row r="4435" spans="1:8" x14ac:dyDescent="0.45">
      <c r="A4435" t="s">
        <v>61</v>
      </c>
      <c r="B4435" t="s">
        <v>21</v>
      </c>
      <c r="C4435">
        <v>8</v>
      </c>
      <c r="D4435" t="s">
        <v>27</v>
      </c>
      <c r="F4435">
        <v>537</v>
      </c>
      <c r="G4435">
        <v>755</v>
      </c>
    </row>
    <row r="4436" spans="1:8" x14ac:dyDescent="0.45">
      <c r="A4436" t="s">
        <v>61</v>
      </c>
      <c r="B4436" t="s">
        <v>21</v>
      </c>
      <c r="C4436">
        <v>8</v>
      </c>
      <c r="D4436" t="s">
        <v>28</v>
      </c>
      <c r="F4436">
        <v>336</v>
      </c>
      <c r="G4436">
        <v>733</v>
      </c>
    </row>
    <row r="4437" spans="1:8" x14ac:dyDescent="0.45">
      <c r="A4437" t="s">
        <v>61</v>
      </c>
      <c r="B4437" t="s">
        <v>21</v>
      </c>
      <c r="C4437">
        <v>8</v>
      </c>
      <c r="D4437" t="s">
        <v>29</v>
      </c>
      <c r="F4437">
        <v>195</v>
      </c>
    </row>
    <row r="4438" spans="1:8" x14ac:dyDescent="0.45">
      <c r="A4438" t="s">
        <v>61</v>
      </c>
      <c r="B4438" t="s">
        <v>20</v>
      </c>
      <c r="C4438">
        <v>8</v>
      </c>
      <c r="D4438" t="s">
        <v>19</v>
      </c>
      <c r="E4438">
        <v>782195</v>
      </c>
      <c r="F4438">
        <v>1437</v>
      </c>
      <c r="G4438">
        <v>439</v>
      </c>
    </row>
    <row r="4439" spans="1:8" x14ac:dyDescent="0.45">
      <c r="A4439" t="s">
        <v>61</v>
      </c>
      <c r="B4439" t="s">
        <v>20</v>
      </c>
      <c r="C4439">
        <v>8</v>
      </c>
      <c r="D4439" t="s">
        <v>27</v>
      </c>
      <c r="F4439">
        <v>513</v>
      </c>
      <c r="G4439">
        <v>816</v>
      </c>
    </row>
    <row r="4440" spans="1:8" x14ac:dyDescent="0.45">
      <c r="A4440" t="s">
        <v>61</v>
      </c>
      <c r="B4440" t="s">
        <v>20</v>
      </c>
      <c r="C4440">
        <v>8</v>
      </c>
      <c r="D4440" t="s">
        <v>28</v>
      </c>
      <c r="F4440">
        <v>264</v>
      </c>
      <c r="G4440">
        <v>900</v>
      </c>
    </row>
    <row r="4441" spans="1:8" x14ac:dyDescent="0.45">
      <c r="A4441" t="s">
        <v>61</v>
      </c>
      <c r="B4441" t="s">
        <v>20</v>
      </c>
      <c r="C4441">
        <v>8</v>
      </c>
      <c r="D4441" t="s">
        <v>29</v>
      </c>
      <c r="F4441">
        <v>151</v>
      </c>
      <c r="G4441">
        <v>850</v>
      </c>
    </row>
    <row r="4442" spans="1:8" x14ac:dyDescent="0.45">
      <c r="A4442" t="s">
        <v>61</v>
      </c>
      <c r="B4442" t="s">
        <v>20</v>
      </c>
      <c r="C4442">
        <v>8</v>
      </c>
      <c r="D4442" t="s">
        <v>31</v>
      </c>
      <c r="H4442">
        <v>13</v>
      </c>
    </row>
    <row r="4443" spans="1:8" x14ac:dyDescent="0.45">
      <c r="A4443" t="s">
        <v>61</v>
      </c>
      <c r="B4443" t="s">
        <v>20</v>
      </c>
      <c r="C4443">
        <v>8</v>
      </c>
      <c r="D4443" t="s">
        <v>32</v>
      </c>
      <c r="H4443">
        <v>3</v>
      </c>
    </row>
    <row r="4444" spans="1:8" x14ac:dyDescent="0.45">
      <c r="A4444" t="s">
        <v>61</v>
      </c>
      <c r="B4444" t="s">
        <v>20</v>
      </c>
      <c r="C4444">
        <v>8</v>
      </c>
      <c r="D4444" t="s">
        <v>34</v>
      </c>
      <c r="H4444">
        <v>1</v>
      </c>
    </row>
    <row r="4445" spans="1:8" x14ac:dyDescent="0.45">
      <c r="A4445" t="s">
        <v>61</v>
      </c>
      <c r="B4445" t="s">
        <v>21</v>
      </c>
      <c r="C4445">
        <v>9</v>
      </c>
      <c r="D4445" t="s">
        <v>19</v>
      </c>
      <c r="E4445">
        <v>730161</v>
      </c>
      <c r="F4445">
        <v>1478</v>
      </c>
      <c r="G4445">
        <v>448</v>
      </c>
    </row>
    <row r="4446" spans="1:8" x14ac:dyDescent="0.45">
      <c r="A4446" t="s">
        <v>61</v>
      </c>
      <c r="B4446" t="s">
        <v>21</v>
      </c>
      <c r="C4446">
        <v>9</v>
      </c>
      <c r="D4446" t="s">
        <v>27</v>
      </c>
      <c r="F4446">
        <v>553</v>
      </c>
    </row>
    <row r="4447" spans="1:8" x14ac:dyDescent="0.45">
      <c r="A4447" t="s">
        <v>61</v>
      </c>
      <c r="B4447" t="s">
        <v>21</v>
      </c>
      <c r="C4447">
        <v>9</v>
      </c>
      <c r="D4447" t="s">
        <v>28</v>
      </c>
      <c r="F4447">
        <v>316</v>
      </c>
    </row>
    <row r="4448" spans="1:8" x14ac:dyDescent="0.45">
      <c r="A4448" t="s">
        <v>61</v>
      </c>
      <c r="B4448" t="s">
        <v>21</v>
      </c>
      <c r="C4448">
        <v>9</v>
      </c>
      <c r="D4448" t="s">
        <v>29</v>
      </c>
      <c r="F4448">
        <v>175</v>
      </c>
    </row>
    <row r="4449" spans="1:8" x14ac:dyDescent="0.45">
      <c r="A4449" t="s">
        <v>61</v>
      </c>
      <c r="B4449" t="s">
        <v>20</v>
      </c>
      <c r="C4449">
        <v>9</v>
      </c>
      <c r="D4449" t="s">
        <v>19</v>
      </c>
      <c r="E4449">
        <v>885306</v>
      </c>
      <c r="F4449">
        <v>1721</v>
      </c>
      <c r="G4449">
        <v>502</v>
      </c>
    </row>
    <row r="4450" spans="1:8" x14ac:dyDescent="0.45">
      <c r="A4450" t="s">
        <v>61</v>
      </c>
      <c r="B4450" t="s">
        <v>20</v>
      </c>
      <c r="C4450">
        <v>9</v>
      </c>
      <c r="D4450" t="s">
        <v>27</v>
      </c>
      <c r="F4450">
        <v>567</v>
      </c>
    </row>
    <row r="4451" spans="1:8" x14ac:dyDescent="0.45">
      <c r="A4451" t="s">
        <v>61</v>
      </c>
      <c r="B4451" t="s">
        <v>20</v>
      </c>
      <c r="C4451">
        <v>9</v>
      </c>
      <c r="D4451" t="s">
        <v>28</v>
      </c>
      <c r="F4451">
        <v>361</v>
      </c>
    </row>
    <row r="4452" spans="1:8" x14ac:dyDescent="0.45">
      <c r="A4452" t="s">
        <v>61</v>
      </c>
      <c r="B4452" t="s">
        <v>20</v>
      </c>
      <c r="C4452">
        <v>9</v>
      </c>
      <c r="D4452" t="s">
        <v>29</v>
      </c>
      <c r="F4452">
        <v>247</v>
      </c>
    </row>
    <row r="4453" spans="1:8" x14ac:dyDescent="0.45">
      <c r="A4453" t="s">
        <v>61</v>
      </c>
      <c r="B4453" t="s">
        <v>20</v>
      </c>
      <c r="C4453">
        <v>9</v>
      </c>
      <c r="D4453" t="s">
        <v>31</v>
      </c>
      <c r="H4453">
        <v>140</v>
      </c>
    </row>
    <row r="4454" spans="1:8" x14ac:dyDescent="0.45">
      <c r="A4454" t="s">
        <v>61</v>
      </c>
      <c r="B4454" t="s">
        <v>20</v>
      </c>
      <c r="C4454">
        <v>9</v>
      </c>
      <c r="D4454" t="s">
        <v>32</v>
      </c>
      <c r="H4454">
        <v>6</v>
      </c>
    </row>
    <row r="4455" spans="1:8" x14ac:dyDescent="0.45">
      <c r="A4455" t="s">
        <v>61</v>
      </c>
      <c r="B4455" t="s">
        <v>20</v>
      </c>
      <c r="C4455">
        <v>9</v>
      </c>
      <c r="D4455" t="s">
        <v>34</v>
      </c>
      <c r="H4455">
        <v>1</v>
      </c>
    </row>
    <row r="4456" spans="1:8" x14ac:dyDescent="0.45">
      <c r="A4456" t="s">
        <v>61</v>
      </c>
      <c r="B4456" t="s">
        <v>21</v>
      </c>
      <c r="C4456">
        <v>10</v>
      </c>
      <c r="D4456" t="s">
        <v>19</v>
      </c>
      <c r="E4456">
        <v>1150549</v>
      </c>
      <c r="F4456">
        <v>2322</v>
      </c>
      <c r="G4456">
        <v>586</v>
      </c>
    </row>
    <row r="4457" spans="1:8" x14ac:dyDescent="0.45">
      <c r="A4457" t="s">
        <v>61</v>
      </c>
      <c r="B4457" t="s">
        <v>21</v>
      </c>
      <c r="C4457">
        <v>10</v>
      </c>
      <c r="D4457" t="s">
        <v>27</v>
      </c>
      <c r="F4457">
        <v>761</v>
      </c>
    </row>
    <row r="4458" spans="1:8" x14ac:dyDescent="0.45">
      <c r="A4458" t="s">
        <v>61</v>
      </c>
      <c r="B4458" t="s">
        <v>21</v>
      </c>
      <c r="C4458">
        <v>10</v>
      </c>
      <c r="D4458" t="s">
        <v>28</v>
      </c>
      <c r="F4458">
        <v>455</v>
      </c>
    </row>
    <row r="4459" spans="1:8" x14ac:dyDescent="0.45">
      <c r="A4459" t="s">
        <v>61</v>
      </c>
      <c r="B4459" t="s">
        <v>21</v>
      </c>
      <c r="C4459">
        <v>10</v>
      </c>
      <c r="D4459" t="s">
        <v>29</v>
      </c>
      <c r="F4459">
        <v>298</v>
      </c>
    </row>
    <row r="4460" spans="1:8" x14ac:dyDescent="0.45">
      <c r="A4460" t="s">
        <v>61</v>
      </c>
      <c r="B4460" t="s">
        <v>20</v>
      </c>
      <c r="C4460">
        <v>10</v>
      </c>
      <c r="D4460" t="s">
        <v>19</v>
      </c>
      <c r="E4460">
        <v>1133175</v>
      </c>
      <c r="F4460">
        <v>2114</v>
      </c>
      <c r="G4460">
        <v>643</v>
      </c>
    </row>
    <row r="4461" spans="1:8" x14ac:dyDescent="0.45">
      <c r="A4461" t="s">
        <v>61</v>
      </c>
      <c r="B4461" t="s">
        <v>20</v>
      </c>
      <c r="C4461">
        <v>10</v>
      </c>
      <c r="D4461" t="s">
        <v>27</v>
      </c>
      <c r="F4461">
        <v>690</v>
      </c>
    </row>
    <row r="4462" spans="1:8" x14ac:dyDescent="0.45">
      <c r="A4462" t="s">
        <v>61</v>
      </c>
      <c r="B4462" t="s">
        <v>20</v>
      </c>
      <c r="C4462">
        <v>10</v>
      </c>
      <c r="D4462" t="s">
        <v>28</v>
      </c>
      <c r="F4462">
        <v>387</v>
      </c>
    </row>
    <row r="4463" spans="1:8" x14ac:dyDescent="0.45">
      <c r="A4463" t="s">
        <v>61</v>
      </c>
      <c r="B4463" t="s">
        <v>20</v>
      </c>
      <c r="C4463">
        <v>10</v>
      </c>
      <c r="D4463" t="s">
        <v>29</v>
      </c>
      <c r="F4463">
        <v>278</v>
      </c>
    </row>
    <row r="4464" spans="1:8" x14ac:dyDescent="0.45">
      <c r="A4464" t="s">
        <v>61</v>
      </c>
      <c r="B4464" t="s">
        <v>20</v>
      </c>
      <c r="C4464">
        <v>10</v>
      </c>
      <c r="D4464" t="s">
        <v>31</v>
      </c>
      <c r="H4464">
        <v>65</v>
      </c>
    </row>
    <row r="4465" spans="1:8" x14ac:dyDescent="0.45">
      <c r="A4465" t="s">
        <v>61</v>
      </c>
      <c r="B4465" t="s">
        <v>20</v>
      </c>
      <c r="C4465">
        <v>10</v>
      </c>
      <c r="D4465" t="s">
        <v>32</v>
      </c>
      <c r="H4465">
        <v>4</v>
      </c>
    </row>
    <row r="4466" spans="1:8" x14ac:dyDescent="0.45">
      <c r="A4466" t="s">
        <v>61</v>
      </c>
      <c r="B4466" t="s">
        <v>20</v>
      </c>
      <c r="C4466">
        <v>10</v>
      </c>
      <c r="D4466" t="s">
        <v>34</v>
      </c>
      <c r="H4466">
        <v>1</v>
      </c>
    </row>
    <row r="4467" spans="1:8" x14ac:dyDescent="0.45">
      <c r="A4467" t="s">
        <v>61</v>
      </c>
      <c r="B4467" t="s">
        <v>21</v>
      </c>
      <c r="C4467">
        <v>11</v>
      </c>
      <c r="D4467" t="s">
        <v>19</v>
      </c>
      <c r="E4467">
        <v>961865</v>
      </c>
      <c r="F4467">
        <v>1821</v>
      </c>
      <c r="G4467">
        <v>499</v>
      </c>
    </row>
    <row r="4468" spans="1:8" x14ac:dyDescent="0.45">
      <c r="A4468" t="s">
        <v>61</v>
      </c>
      <c r="B4468" t="s">
        <v>21</v>
      </c>
      <c r="C4468">
        <v>11</v>
      </c>
      <c r="D4468" t="s">
        <v>27</v>
      </c>
      <c r="F4468">
        <v>672</v>
      </c>
    </row>
    <row r="4469" spans="1:8" x14ac:dyDescent="0.45">
      <c r="A4469" t="s">
        <v>61</v>
      </c>
      <c r="B4469" t="s">
        <v>21</v>
      </c>
      <c r="C4469">
        <v>11</v>
      </c>
      <c r="D4469" t="s">
        <v>28</v>
      </c>
      <c r="F4469">
        <v>307</v>
      </c>
    </row>
    <row r="4470" spans="1:8" x14ac:dyDescent="0.45">
      <c r="A4470" t="s">
        <v>61</v>
      </c>
      <c r="B4470" t="s">
        <v>21</v>
      </c>
      <c r="C4470">
        <v>11</v>
      </c>
      <c r="D4470" t="s">
        <v>29</v>
      </c>
      <c r="F4470">
        <v>235</v>
      </c>
    </row>
    <row r="4471" spans="1:8" x14ac:dyDescent="0.45">
      <c r="A4471" t="s">
        <v>61</v>
      </c>
      <c r="B4471" t="s">
        <v>20</v>
      </c>
      <c r="C4471">
        <v>11</v>
      </c>
      <c r="D4471" t="s">
        <v>19</v>
      </c>
      <c r="E4471">
        <v>929813</v>
      </c>
      <c r="F4471">
        <v>1823</v>
      </c>
      <c r="G4471">
        <v>569</v>
      </c>
    </row>
    <row r="4472" spans="1:8" x14ac:dyDescent="0.45">
      <c r="A4472" t="s">
        <v>61</v>
      </c>
      <c r="B4472" t="s">
        <v>20</v>
      </c>
      <c r="C4472">
        <v>11</v>
      </c>
      <c r="D4472" t="s">
        <v>27</v>
      </c>
      <c r="F4472">
        <v>650</v>
      </c>
    </row>
    <row r="4473" spans="1:8" x14ac:dyDescent="0.45">
      <c r="A4473" t="s">
        <v>61</v>
      </c>
      <c r="B4473" t="s">
        <v>20</v>
      </c>
      <c r="C4473">
        <v>11</v>
      </c>
      <c r="D4473" t="s">
        <v>28</v>
      </c>
      <c r="F4473">
        <v>333</v>
      </c>
    </row>
    <row r="4474" spans="1:8" x14ac:dyDescent="0.45">
      <c r="A4474" t="s">
        <v>61</v>
      </c>
      <c r="B4474" t="s">
        <v>20</v>
      </c>
      <c r="C4474">
        <v>11</v>
      </c>
      <c r="D4474" t="s">
        <v>29</v>
      </c>
      <c r="F4474">
        <v>239</v>
      </c>
    </row>
    <row r="4475" spans="1:8" x14ac:dyDescent="0.45">
      <c r="A4475" t="s">
        <v>61</v>
      </c>
      <c r="B4475" t="s">
        <v>20</v>
      </c>
      <c r="C4475">
        <v>11</v>
      </c>
      <c r="D4475" t="s">
        <v>31</v>
      </c>
      <c r="H4475">
        <v>116</v>
      </c>
    </row>
    <row r="4476" spans="1:8" x14ac:dyDescent="0.45">
      <c r="A4476" t="s">
        <v>61</v>
      </c>
      <c r="B4476" t="s">
        <v>20</v>
      </c>
      <c r="C4476">
        <v>11</v>
      </c>
      <c r="D4476" t="s">
        <v>32</v>
      </c>
      <c r="H4476">
        <v>2</v>
      </c>
    </row>
    <row r="4477" spans="1:8" x14ac:dyDescent="0.45">
      <c r="A4477" t="s">
        <v>61</v>
      </c>
      <c r="B4477" t="s">
        <v>20</v>
      </c>
      <c r="C4477">
        <v>11</v>
      </c>
      <c r="D4477" t="s">
        <v>34</v>
      </c>
      <c r="H4477">
        <v>4</v>
      </c>
    </row>
    <row r="4478" spans="1:8" x14ac:dyDescent="0.45">
      <c r="A4478" t="s">
        <v>61</v>
      </c>
      <c r="B4478" t="s">
        <v>21</v>
      </c>
      <c r="C4478">
        <v>12</v>
      </c>
      <c r="D4478" t="s">
        <v>19</v>
      </c>
      <c r="E4478">
        <v>976580</v>
      </c>
      <c r="F4478">
        <v>2031</v>
      </c>
      <c r="G4478">
        <v>522</v>
      </c>
    </row>
    <row r="4479" spans="1:8" x14ac:dyDescent="0.45">
      <c r="A4479" t="s">
        <v>61</v>
      </c>
      <c r="B4479" t="s">
        <v>21</v>
      </c>
      <c r="C4479">
        <v>12</v>
      </c>
      <c r="D4479" t="s">
        <v>27</v>
      </c>
      <c r="F4479">
        <v>631</v>
      </c>
    </row>
    <row r="4480" spans="1:8" x14ac:dyDescent="0.45">
      <c r="A4480" t="s">
        <v>61</v>
      </c>
      <c r="B4480" t="s">
        <v>21</v>
      </c>
      <c r="C4480">
        <v>12</v>
      </c>
      <c r="D4480" t="s">
        <v>28</v>
      </c>
      <c r="F4480">
        <v>379</v>
      </c>
    </row>
    <row r="4481" spans="1:8" x14ac:dyDescent="0.45">
      <c r="A4481" t="s">
        <v>61</v>
      </c>
      <c r="B4481" t="s">
        <v>21</v>
      </c>
      <c r="C4481">
        <v>12</v>
      </c>
      <c r="D4481" t="s">
        <v>29</v>
      </c>
      <c r="F4481">
        <v>289</v>
      </c>
    </row>
    <row r="4482" spans="1:8" x14ac:dyDescent="0.45">
      <c r="A4482" t="s">
        <v>61</v>
      </c>
      <c r="B4482" t="s">
        <v>20</v>
      </c>
      <c r="C4482">
        <v>12</v>
      </c>
      <c r="D4482" t="s">
        <v>19</v>
      </c>
      <c r="E4482">
        <v>992499</v>
      </c>
      <c r="F4482">
        <v>1996</v>
      </c>
      <c r="G4482">
        <v>555</v>
      </c>
    </row>
    <row r="4483" spans="1:8" x14ac:dyDescent="0.45">
      <c r="A4483" t="s">
        <v>61</v>
      </c>
      <c r="B4483" t="s">
        <v>20</v>
      </c>
      <c r="C4483">
        <v>12</v>
      </c>
      <c r="D4483" t="s">
        <v>27</v>
      </c>
      <c r="F4483">
        <v>628</v>
      </c>
    </row>
    <row r="4484" spans="1:8" x14ac:dyDescent="0.45">
      <c r="A4484" t="s">
        <v>61</v>
      </c>
      <c r="B4484" t="s">
        <v>20</v>
      </c>
      <c r="C4484">
        <v>12</v>
      </c>
      <c r="D4484" t="s">
        <v>28</v>
      </c>
      <c r="F4484">
        <v>393</v>
      </c>
    </row>
    <row r="4485" spans="1:8" x14ac:dyDescent="0.45">
      <c r="A4485" t="s">
        <v>61</v>
      </c>
      <c r="B4485" t="s">
        <v>20</v>
      </c>
      <c r="C4485">
        <v>12</v>
      </c>
      <c r="D4485" t="s">
        <v>29</v>
      </c>
      <c r="F4485">
        <v>321</v>
      </c>
    </row>
    <row r="4486" spans="1:8" x14ac:dyDescent="0.45">
      <c r="A4486" t="s">
        <v>61</v>
      </c>
      <c r="B4486" t="s">
        <v>20</v>
      </c>
      <c r="C4486">
        <v>12</v>
      </c>
      <c r="D4486" t="s">
        <v>31</v>
      </c>
      <c r="H4486">
        <v>52</v>
      </c>
    </row>
    <row r="4487" spans="1:8" x14ac:dyDescent="0.45">
      <c r="A4487" t="s">
        <v>61</v>
      </c>
      <c r="B4487" t="s">
        <v>20</v>
      </c>
      <c r="C4487">
        <v>12</v>
      </c>
      <c r="D4487" t="s">
        <v>32</v>
      </c>
      <c r="H4487">
        <v>2</v>
      </c>
    </row>
    <row r="4488" spans="1:8" x14ac:dyDescent="0.45">
      <c r="A4488" t="s">
        <v>61</v>
      </c>
      <c r="B4488" t="s">
        <v>20</v>
      </c>
      <c r="C4488">
        <v>12</v>
      </c>
      <c r="D4488" t="s">
        <v>34</v>
      </c>
      <c r="H4488">
        <v>2</v>
      </c>
    </row>
    <row r="4489" spans="1:8" x14ac:dyDescent="0.45">
      <c r="A4489" t="s">
        <v>64</v>
      </c>
      <c r="B4489" t="s">
        <v>21</v>
      </c>
      <c r="C4489">
        <v>1</v>
      </c>
      <c r="D4489" t="s">
        <v>19</v>
      </c>
      <c r="E4489">
        <v>190246</v>
      </c>
      <c r="F4489">
        <v>379</v>
      </c>
      <c r="G4489">
        <v>105</v>
      </c>
    </row>
    <row r="4490" spans="1:8" x14ac:dyDescent="0.45">
      <c r="A4490" t="s">
        <v>64</v>
      </c>
      <c r="B4490" t="s">
        <v>21</v>
      </c>
      <c r="C4490">
        <v>1</v>
      </c>
      <c r="D4490" t="s">
        <v>27</v>
      </c>
      <c r="F4490">
        <v>158</v>
      </c>
    </row>
    <row r="4491" spans="1:8" x14ac:dyDescent="0.45">
      <c r="A4491" t="s">
        <v>64</v>
      </c>
      <c r="B4491" t="s">
        <v>21</v>
      </c>
      <c r="C4491">
        <v>1</v>
      </c>
      <c r="D4491" t="s">
        <v>28</v>
      </c>
      <c r="F4491">
        <v>74</v>
      </c>
    </row>
    <row r="4492" spans="1:8" x14ac:dyDescent="0.45">
      <c r="A4492" t="s">
        <v>64</v>
      </c>
      <c r="B4492" t="s">
        <v>21</v>
      </c>
      <c r="C4492">
        <v>1</v>
      </c>
      <c r="D4492" t="s">
        <v>29</v>
      </c>
      <c r="F4492">
        <v>39</v>
      </c>
    </row>
    <row r="4493" spans="1:8" x14ac:dyDescent="0.45">
      <c r="A4493" t="s">
        <v>64</v>
      </c>
      <c r="B4493" t="s">
        <v>20</v>
      </c>
      <c r="C4493">
        <v>1</v>
      </c>
      <c r="D4493" t="s">
        <v>19</v>
      </c>
      <c r="E4493">
        <v>158801</v>
      </c>
      <c r="F4493">
        <v>417</v>
      </c>
      <c r="G4493">
        <v>103</v>
      </c>
    </row>
    <row r="4494" spans="1:8" x14ac:dyDescent="0.45">
      <c r="A4494" t="s">
        <v>64</v>
      </c>
      <c r="B4494" t="s">
        <v>20</v>
      </c>
      <c r="C4494">
        <v>1</v>
      </c>
      <c r="D4494" t="s">
        <v>27</v>
      </c>
      <c r="F4494">
        <v>217</v>
      </c>
    </row>
    <row r="4495" spans="1:8" x14ac:dyDescent="0.45">
      <c r="A4495" t="s">
        <v>64</v>
      </c>
      <c r="B4495" t="s">
        <v>20</v>
      </c>
      <c r="C4495">
        <v>1</v>
      </c>
      <c r="D4495" t="s">
        <v>28</v>
      </c>
      <c r="F4495">
        <v>70</v>
      </c>
    </row>
    <row r="4496" spans="1:8" x14ac:dyDescent="0.45">
      <c r="A4496" t="s">
        <v>64</v>
      </c>
      <c r="B4496" t="s">
        <v>20</v>
      </c>
      <c r="C4496">
        <v>1</v>
      </c>
      <c r="D4496" t="s">
        <v>29</v>
      </c>
      <c r="F4496">
        <v>50</v>
      </c>
    </row>
    <row r="4497" spans="1:8" x14ac:dyDescent="0.45">
      <c r="A4497" t="s">
        <v>64</v>
      </c>
      <c r="B4497" t="s">
        <v>20</v>
      </c>
      <c r="C4497">
        <v>1</v>
      </c>
      <c r="D4497" t="s">
        <v>31</v>
      </c>
      <c r="H4497">
        <v>2</v>
      </c>
    </row>
    <row r="4498" spans="1:8" x14ac:dyDescent="0.45">
      <c r="A4498" t="s">
        <v>64</v>
      </c>
      <c r="B4498" t="s">
        <v>20</v>
      </c>
      <c r="C4498">
        <v>1</v>
      </c>
      <c r="D4498" t="s">
        <v>32</v>
      </c>
      <c r="H4498">
        <v>0</v>
      </c>
    </row>
    <row r="4499" spans="1:8" x14ac:dyDescent="0.45">
      <c r="A4499" t="s">
        <v>64</v>
      </c>
      <c r="B4499" t="s">
        <v>20</v>
      </c>
      <c r="C4499">
        <v>1</v>
      </c>
      <c r="D4499" t="s">
        <v>34</v>
      </c>
    </row>
    <row r="4500" spans="1:8" x14ac:dyDescent="0.45">
      <c r="A4500" t="s">
        <v>64</v>
      </c>
      <c r="B4500" t="s">
        <v>21</v>
      </c>
      <c r="C4500">
        <v>2</v>
      </c>
      <c r="D4500" t="s">
        <v>19</v>
      </c>
      <c r="E4500">
        <v>123157</v>
      </c>
      <c r="F4500">
        <v>368</v>
      </c>
      <c r="G4500">
        <v>94</v>
      </c>
    </row>
    <row r="4501" spans="1:8" x14ac:dyDescent="0.45">
      <c r="A4501" t="s">
        <v>64</v>
      </c>
      <c r="B4501" t="s">
        <v>21</v>
      </c>
      <c r="C4501">
        <v>2</v>
      </c>
      <c r="D4501" t="s">
        <v>27</v>
      </c>
      <c r="F4501">
        <v>216</v>
      </c>
    </row>
    <row r="4502" spans="1:8" x14ac:dyDescent="0.45">
      <c r="A4502" t="s">
        <v>64</v>
      </c>
      <c r="B4502" t="s">
        <v>21</v>
      </c>
      <c r="C4502">
        <v>2</v>
      </c>
      <c r="D4502" t="s">
        <v>28</v>
      </c>
      <c r="F4502">
        <v>50</v>
      </c>
    </row>
    <row r="4503" spans="1:8" x14ac:dyDescent="0.45">
      <c r="A4503" t="s">
        <v>64</v>
      </c>
      <c r="B4503" t="s">
        <v>21</v>
      </c>
      <c r="C4503">
        <v>2</v>
      </c>
      <c r="D4503" t="s">
        <v>29</v>
      </c>
      <c r="F4503">
        <v>26</v>
      </c>
    </row>
    <row r="4504" spans="1:8" x14ac:dyDescent="0.45">
      <c r="A4504" t="s">
        <v>64</v>
      </c>
      <c r="B4504" t="s">
        <v>20</v>
      </c>
      <c r="C4504">
        <v>2</v>
      </c>
      <c r="D4504" t="s">
        <v>19</v>
      </c>
      <c r="E4504">
        <v>123234</v>
      </c>
      <c r="F4504">
        <v>315</v>
      </c>
      <c r="G4504">
        <v>76</v>
      </c>
    </row>
    <row r="4505" spans="1:8" x14ac:dyDescent="0.45">
      <c r="A4505" t="s">
        <v>64</v>
      </c>
      <c r="B4505" t="s">
        <v>20</v>
      </c>
      <c r="C4505">
        <v>2</v>
      </c>
      <c r="D4505" t="s">
        <v>27</v>
      </c>
      <c r="F4505">
        <v>170</v>
      </c>
    </row>
    <row r="4506" spans="1:8" x14ac:dyDescent="0.45">
      <c r="A4506" t="s">
        <v>64</v>
      </c>
      <c r="B4506" t="s">
        <v>20</v>
      </c>
      <c r="C4506">
        <v>2</v>
      </c>
      <c r="D4506" t="s">
        <v>28</v>
      </c>
      <c r="F4506">
        <v>43</v>
      </c>
    </row>
    <row r="4507" spans="1:8" x14ac:dyDescent="0.45">
      <c r="A4507" t="s">
        <v>64</v>
      </c>
      <c r="B4507" t="s">
        <v>20</v>
      </c>
      <c r="C4507">
        <v>2</v>
      </c>
      <c r="D4507" t="s">
        <v>29</v>
      </c>
      <c r="F4507">
        <v>30</v>
      </c>
    </row>
    <row r="4508" spans="1:8" x14ac:dyDescent="0.45">
      <c r="A4508" t="s">
        <v>64</v>
      </c>
      <c r="B4508" t="s">
        <v>20</v>
      </c>
      <c r="C4508">
        <v>2</v>
      </c>
      <c r="D4508" t="s">
        <v>31</v>
      </c>
      <c r="H4508">
        <v>2</v>
      </c>
    </row>
    <row r="4509" spans="1:8" x14ac:dyDescent="0.45">
      <c r="A4509" t="s">
        <v>64</v>
      </c>
      <c r="B4509" t="s">
        <v>20</v>
      </c>
      <c r="C4509">
        <v>2</v>
      </c>
      <c r="D4509" t="s">
        <v>32</v>
      </c>
      <c r="H4509">
        <v>0</v>
      </c>
    </row>
    <row r="4510" spans="1:8" x14ac:dyDescent="0.45">
      <c r="A4510" t="s">
        <v>64</v>
      </c>
      <c r="B4510" t="s">
        <v>20</v>
      </c>
      <c r="C4510">
        <v>2</v>
      </c>
      <c r="D4510" t="s">
        <v>34</v>
      </c>
      <c r="H4510">
        <v>1</v>
      </c>
    </row>
    <row r="4511" spans="1:8" x14ac:dyDescent="0.45">
      <c r="A4511" t="s">
        <v>64</v>
      </c>
      <c r="B4511" t="s">
        <v>21</v>
      </c>
      <c r="C4511">
        <v>3</v>
      </c>
      <c r="D4511" t="s">
        <v>19</v>
      </c>
      <c r="E4511">
        <v>286135</v>
      </c>
      <c r="F4511">
        <v>592</v>
      </c>
      <c r="G4511">
        <v>155</v>
      </c>
    </row>
    <row r="4512" spans="1:8" x14ac:dyDescent="0.45">
      <c r="A4512" t="s">
        <v>64</v>
      </c>
      <c r="B4512" t="s">
        <v>21</v>
      </c>
      <c r="C4512">
        <v>3</v>
      </c>
      <c r="D4512" t="s">
        <v>27</v>
      </c>
      <c r="F4512">
        <v>220</v>
      </c>
    </row>
    <row r="4513" spans="1:8" x14ac:dyDescent="0.45">
      <c r="A4513" t="s">
        <v>64</v>
      </c>
      <c r="B4513" t="s">
        <v>21</v>
      </c>
      <c r="C4513">
        <v>3</v>
      </c>
      <c r="D4513" t="s">
        <v>28</v>
      </c>
      <c r="F4513">
        <v>79</v>
      </c>
    </row>
    <row r="4514" spans="1:8" x14ac:dyDescent="0.45">
      <c r="A4514" t="s">
        <v>64</v>
      </c>
      <c r="B4514" t="s">
        <v>21</v>
      </c>
      <c r="C4514">
        <v>3</v>
      </c>
      <c r="D4514" t="s">
        <v>29</v>
      </c>
      <c r="F4514">
        <v>48</v>
      </c>
    </row>
    <row r="4515" spans="1:8" x14ac:dyDescent="0.45">
      <c r="A4515" t="s">
        <v>64</v>
      </c>
      <c r="B4515" t="s">
        <v>20</v>
      </c>
      <c r="C4515">
        <v>3</v>
      </c>
      <c r="D4515" t="s">
        <v>19</v>
      </c>
      <c r="E4515">
        <v>221279</v>
      </c>
      <c r="F4515">
        <v>495</v>
      </c>
      <c r="G4515">
        <v>142</v>
      </c>
    </row>
    <row r="4516" spans="1:8" x14ac:dyDescent="0.45">
      <c r="A4516" t="s">
        <v>64</v>
      </c>
      <c r="B4516" t="s">
        <v>20</v>
      </c>
      <c r="C4516">
        <v>3</v>
      </c>
      <c r="D4516" t="s">
        <v>27</v>
      </c>
      <c r="F4516">
        <v>211</v>
      </c>
    </row>
    <row r="4517" spans="1:8" x14ac:dyDescent="0.45">
      <c r="A4517" t="s">
        <v>64</v>
      </c>
      <c r="B4517" t="s">
        <v>20</v>
      </c>
      <c r="C4517">
        <v>3</v>
      </c>
      <c r="D4517" t="s">
        <v>28</v>
      </c>
      <c r="F4517">
        <v>95</v>
      </c>
    </row>
    <row r="4518" spans="1:8" x14ac:dyDescent="0.45">
      <c r="A4518" t="s">
        <v>64</v>
      </c>
      <c r="B4518" t="s">
        <v>20</v>
      </c>
      <c r="C4518">
        <v>3</v>
      </c>
      <c r="D4518" t="s">
        <v>29</v>
      </c>
      <c r="F4518">
        <v>53</v>
      </c>
    </row>
    <row r="4519" spans="1:8" x14ac:dyDescent="0.45">
      <c r="A4519" t="s">
        <v>64</v>
      </c>
      <c r="B4519" t="s">
        <v>20</v>
      </c>
      <c r="C4519">
        <v>3</v>
      </c>
      <c r="D4519" t="s">
        <v>31</v>
      </c>
      <c r="H4519">
        <v>4</v>
      </c>
    </row>
    <row r="4520" spans="1:8" x14ac:dyDescent="0.45">
      <c r="A4520" t="s">
        <v>64</v>
      </c>
      <c r="B4520" t="s">
        <v>20</v>
      </c>
      <c r="C4520">
        <v>3</v>
      </c>
      <c r="D4520" t="s">
        <v>32</v>
      </c>
      <c r="H4520">
        <v>0</v>
      </c>
    </row>
    <row r="4521" spans="1:8" x14ac:dyDescent="0.45">
      <c r="A4521" t="s">
        <v>64</v>
      </c>
      <c r="B4521" t="s">
        <v>20</v>
      </c>
      <c r="C4521">
        <v>3</v>
      </c>
      <c r="D4521" t="s">
        <v>34</v>
      </c>
      <c r="H4521">
        <v>0</v>
      </c>
    </row>
    <row r="4522" spans="1:8" x14ac:dyDescent="0.45">
      <c r="A4522" t="s">
        <v>64</v>
      </c>
      <c r="B4522" t="s">
        <v>21</v>
      </c>
      <c r="C4522">
        <v>4</v>
      </c>
      <c r="D4522" t="s">
        <v>19</v>
      </c>
      <c r="E4522">
        <v>374940</v>
      </c>
      <c r="F4522">
        <v>740</v>
      </c>
      <c r="G4522">
        <v>162</v>
      </c>
    </row>
    <row r="4523" spans="1:8" x14ac:dyDescent="0.45">
      <c r="A4523" t="s">
        <v>64</v>
      </c>
      <c r="B4523" t="s">
        <v>21</v>
      </c>
      <c r="C4523">
        <v>4</v>
      </c>
      <c r="D4523" t="s">
        <v>27</v>
      </c>
      <c r="F4523">
        <v>247</v>
      </c>
    </row>
    <row r="4524" spans="1:8" x14ac:dyDescent="0.45">
      <c r="A4524" t="s">
        <v>64</v>
      </c>
      <c r="B4524" t="s">
        <v>21</v>
      </c>
      <c r="C4524">
        <v>4</v>
      </c>
      <c r="D4524" t="s">
        <v>28</v>
      </c>
      <c r="F4524">
        <v>107</v>
      </c>
    </row>
    <row r="4525" spans="1:8" x14ac:dyDescent="0.45">
      <c r="A4525" t="s">
        <v>64</v>
      </c>
      <c r="B4525" t="s">
        <v>21</v>
      </c>
      <c r="C4525">
        <v>4</v>
      </c>
      <c r="D4525" t="s">
        <v>29</v>
      </c>
      <c r="F4525">
        <v>87</v>
      </c>
    </row>
    <row r="4526" spans="1:8" x14ac:dyDescent="0.45">
      <c r="A4526" t="s">
        <v>64</v>
      </c>
      <c r="B4526" t="s">
        <v>20</v>
      </c>
      <c r="C4526">
        <v>4</v>
      </c>
      <c r="D4526" t="s">
        <v>19</v>
      </c>
      <c r="E4526">
        <v>316816</v>
      </c>
      <c r="F4526">
        <v>598</v>
      </c>
      <c r="G4526">
        <v>152</v>
      </c>
    </row>
    <row r="4527" spans="1:8" x14ac:dyDescent="0.45">
      <c r="A4527" t="s">
        <v>64</v>
      </c>
      <c r="B4527" t="s">
        <v>20</v>
      </c>
      <c r="C4527">
        <v>4</v>
      </c>
      <c r="D4527" t="s">
        <v>27</v>
      </c>
      <c r="F4527">
        <v>203</v>
      </c>
    </row>
    <row r="4528" spans="1:8" x14ac:dyDescent="0.45">
      <c r="A4528" t="s">
        <v>64</v>
      </c>
      <c r="B4528" t="s">
        <v>20</v>
      </c>
      <c r="C4528">
        <v>4</v>
      </c>
      <c r="D4528" t="s">
        <v>28</v>
      </c>
      <c r="F4528">
        <v>81</v>
      </c>
    </row>
    <row r="4529" spans="1:8" x14ac:dyDescent="0.45">
      <c r="A4529" t="s">
        <v>64</v>
      </c>
      <c r="B4529" t="s">
        <v>20</v>
      </c>
      <c r="C4529">
        <v>4</v>
      </c>
      <c r="D4529" t="s">
        <v>29</v>
      </c>
      <c r="F4529">
        <v>65</v>
      </c>
    </row>
    <row r="4530" spans="1:8" x14ac:dyDescent="0.45">
      <c r="A4530" t="s">
        <v>64</v>
      </c>
      <c r="B4530" t="s">
        <v>20</v>
      </c>
      <c r="C4530">
        <v>4</v>
      </c>
      <c r="D4530" t="s">
        <v>31</v>
      </c>
      <c r="H4530">
        <v>3</v>
      </c>
    </row>
    <row r="4531" spans="1:8" x14ac:dyDescent="0.45">
      <c r="A4531" t="s">
        <v>64</v>
      </c>
      <c r="B4531" t="s">
        <v>20</v>
      </c>
      <c r="C4531">
        <v>4</v>
      </c>
      <c r="D4531" t="s">
        <v>32</v>
      </c>
      <c r="H4531">
        <v>0</v>
      </c>
    </row>
    <row r="4532" spans="1:8" x14ac:dyDescent="0.45">
      <c r="A4532" t="s">
        <v>64</v>
      </c>
      <c r="B4532" t="s">
        <v>20</v>
      </c>
      <c r="C4532">
        <v>4</v>
      </c>
      <c r="D4532" t="s">
        <v>34</v>
      </c>
      <c r="H4532">
        <v>0</v>
      </c>
    </row>
    <row r="4533" spans="1:8" x14ac:dyDescent="0.45">
      <c r="A4533" t="s">
        <v>64</v>
      </c>
      <c r="B4533" t="s">
        <v>21</v>
      </c>
      <c r="C4533">
        <v>5</v>
      </c>
      <c r="D4533" t="s">
        <v>19</v>
      </c>
      <c r="E4533">
        <v>283166</v>
      </c>
      <c r="F4533">
        <v>591</v>
      </c>
      <c r="G4533">
        <v>135</v>
      </c>
    </row>
    <row r="4534" spans="1:8" x14ac:dyDescent="0.45">
      <c r="A4534" t="s">
        <v>64</v>
      </c>
      <c r="B4534" t="s">
        <v>21</v>
      </c>
      <c r="C4534">
        <v>5</v>
      </c>
      <c r="D4534" t="s">
        <v>27</v>
      </c>
      <c r="F4534">
        <v>216</v>
      </c>
    </row>
    <row r="4535" spans="1:8" x14ac:dyDescent="0.45">
      <c r="A4535" t="s">
        <v>64</v>
      </c>
      <c r="B4535" t="s">
        <v>21</v>
      </c>
      <c r="C4535">
        <v>5</v>
      </c>
      <c r="D4535" t="s">
        <v>28</v>
      </c>
      <c r="F4535">
        <v>103</v>
      </c>
    </row>
    <row r="4536" spans="1:8" x14ac:dyDescent="0.45">
      <c r="A4536" t="s">
        <v>64</v>
      </c>
      <c r="B4536" t="s">
        <v>21</v>
      </c>
      <c r="C4536">
        <v>5</v>
      </c>
      <c r="D4536" t="s">
        <v>29</v>
      </c>
      <c r="F4536">
        <v>82</v>
      </c>
    </row>
    <row r="4537" spans="1:8" x14ac:dyDescent="0.45">
      <c r="A4537" t="s">
        <v>64</v>
      </c>
      <c r="B4537" t="s">
        <v>20</v>
      </c>
      <c r="C4537">
        <v>5</v>
      </c>
      <c r="D4537" t="s">
        <v>19</v>
      </c>
      <c r="E4537">
        <v>288976</v>
      </c>
      <c r="F4537">
        <v>517</v>
      </c>
      <c r="G4537">
        <v>127</v>
      </c>
    </row>
    <row r="4538" spans="1:8" x14ac:dyDescent="0.45">
      <c r="A4538" t="s">
        <v>64</v>
      </c>
      <c r="B4538" t="s">
        <v>20</v>
      </c>
      <c r="C4538">
        <v>5</v>
      </c>
      <c r="D4538" t="s">
        <v>27</v>
      </c>
      <c r="F4538">
        <v>159</v>
      </c>
    </row>
    <row r="4539" spans="1:8" x14ac:dyDescent="0.45">
      <c r="A4539" t="s">
        <v>64</v>
      </c>
      <c r="B4539" t="s">
        <v>20</v>
      </c>
      <c r="C4539">
        <v>5</v>
      </c>
      <c r="D4539" t="s">
        <v>28</v>
      </c>
      <c r="F4539">
        <v>95</v>
      </c>
    </row>
    <row r="4540" spans="1:8" x14ac:dyDescent="0.45">
      <c r="A4540" t="s">
        <v>64</v>
      </c>
      <c r="B4540" t="s">
        <v>20</v>
      </c>
      <c r="C4540">
        <v>5</v>
      </c>
      <c r="D4540" t="s">
        <v>29</v>
      </c>
      <c r="F4540">
        <v>86</v>
      </c>
    </row>
    <row r="4541" spans="1:8" x14ac:dyDescent="0.45">
      <c r="A4541" t="s">
        <v>64</v>
      </c>
      <c r="B4541" t="s">
        <v>20</v>
      </c>
      <c r="C4541">
        <v>5</v>
      </c>
      <c r="D4541" t="s">
        <v>31</v>
      </c>
      <c r="H4541">
        <v>21</v>
      </c>
    </row>
    <row r="4542" spans="1:8" x14ac:dyDescent="0.45">
      <c r="A4542" t="s">
        <v>64</v>
      </c>
      <c r="B4542" t="s">
        <v>20</v>
      </c>
      <c r="C4542">
        <v>5</v>
      </c>
      <c r="D4542" t="s">
        <v>32</v>
      </c>
      <c r="H4542">
        <v>0</v>
      </c>
    </row>
    <row r="4543" spans="1:8" x14ac:dyDescent="0.45">
      <c r="A4543" t="s">
        <v>64</v>
      </c>
      <c r="B4543" t="s">
        <v>20</v>
      </c>
      <c r="C4543">
        <v>5</v>
      </c>
      <c r="D4543" t="s">
        <v>34</v>
      </c>
      <c r="H4543">
        <v>1</v>
      </c>
    </row>
    <row r="4544" spans="1:8" x14ac:dyDescent="0.45">
      <c r="A4544" t="s">
        <v>64</v>
      </c>
      <c r="B4544" t="s">
        <v>21</v>
      </c>
      <c r="C4544">
        <v>6</v>
      </c>
      <c r="D4544" t="s">
        <v>19</v>
      </c>
      <c r="E4544">
        <v>268147</v>
      </c>
      <c r="F4544">
        <v>566</v>
      </c>
      <c r="G4544">
        <v>156</v>
      </c>
    </row>
    <row r="4545" spans="1:8" x14ac:dyDescent="0.45">
      <c r="A4545" t="s">
        <v>64</v>
      </c>
      <c r="B4545" t="s">
        <v>21</v>
      </c>
      <c r="C4545">
        <v>6</v>
      </c>
      <c r="D4545" t="s">
        <v>27</v>
      </c>
      <c r="F4545">
        <v>248</v>
      </c>
    </row>
    <row r="4546" spans="1:8" x14ac:dyDescent="0.45">
      <c r="A4546" t="s">
        <v>64</v>
      </c>
      <c r="B4546" t="s">
        <v>21</v>
      </c>
      <c r="C4546">
        <v>6</v>
      </c>
      <c r="D4546" t="s">
        <v>28</v>
      </c>
      <c r="F4546">
        <v>95</v>
      </c>
    </row>
    <row r="4547" spans="1:8" x14ac:dyDescent="0.45">
      <c r="A4547" t="s">
        <v>64</v>
      </c>
      <c r="B4547" t="s">
        <v>21</v>
      </c>
      <c r="C4547">
        <v>6</v>
      </c>
      <c r="D4547" t="s">
        <v>29</v>
      </c>
      <c r="F4547">
        <v>53</v>
      </c>
    </row>
    <row r="4548" spans="1:8" x14ac:dyDescent="0.45">
      <c r="A4548" t="s">
        <v>64</v>
      </c>
      <c r="B4548" t="s">
        <v>20</v>
      </c>
      <c r="C4548">
        <v>6</v>
      </c>
      <c r="D4548" t="s">
        <v>19</v>
      </c>
      <c r="E4548">
        <v>250018</v>
      </c>
      <c r="F4548">
        <v>500</v>
      </c>
      <c r="G4548">
        <v>127</v>
      </c>
    </row>
    <row r="4549" spans="1:8" x14ac:dyDescent="0.45">
      <c r="A4549" t="s">
        <v>64</v>
      </c>
      <c r="B4549" t="s">
        <v>20</v>
      </c>
      <c r="C4549">
        <v>6</v>
      </c>
      <c r="D4549" t="s">
        <v>27</v>
      </c>
      <c r="F4549">
        <v>210</v>
      </c>
    </row>
    <row r="4550" spans="1:8" x14ac:dyDescent="0.45">
      <c r="A4550" t="s">
        <v>64</v>
      </c>
      <c r="B4550" t="s">
        <v>20</v>
      </c>
      <c r="C4550">
        <v>6</v>
      </c>
      <c r="D4550" t="s">
        <v>28</v>
      </c>
      <c r="F4550">
        <v>79</v>
      </c>
    </row>
    <row r="4551" spans="1:8" x14ac:dyDescent="0.45">
      <c r="A4551" t="s">
        <v>64</v>
      </c>
      <c r="B4551" t="s">
        <v>20</v>
      </c>
      <c r="C4551">
        <v>6</v>
      </c>
      <c r="D4551" t="s">
        <v>29</v>
      </c>
      <c r="F4551">
        <v>51</v>
      </c>
    </row>
    <row r="4552" spans="1:8" x14ac:dyDescent="0.45">
      <c r="A4552" t="s">
        <v>64</v>
      </c>
      <c r="B4552" t="s">
        <v>20</v>
      </c>
      <c r="C4552">
        <v>6</v>
      </c>
      <c r="D4552" t="s">
        <v>31</v>
      </c>
      <c r="H4552">
        <v>1</v>
      </c>
    </row>
    <row r="4553" spans="1:8" x14ac:dyDescent="0.45">
      <c r="A4553" t="s">
        <v>64</v>
      </c>
      <c r="B4553" t="s">
        <v>20</v>
      </c>
      <c r="C4553">
        <v>6</v>
      </c>
      <c r="D4553" t="s">
        <v>32</v>
      </c>
      <c r="H4553">
        <v>0</v>
      </c>
    </row>
    <row r="4554" spans="1:8" x14ac:dyDescent="0.45">
      <c r="A4554" t="s">
        <v>64</v>
      </c>
      <c r="B4554" t="s">
        <v>20</v>
      </c>
      <c r="C4554">
        <v>6</v>
      </c>
      <c r="D4554" t="s">
        <v>34</v>
      </c>
      <c r="H4554">
        <v>2</v>
      </c>
    </row>
    <row r="4555" spans="1:8" x14ac:dyDescent="0.45">
      <c r="A4555" t="s">
        <v>64</v>
      </c>
      <c r="B4555" t="s">
        <v>21</v>
      </c>
      <c r="C4555">
        <v>7</v>
      </c>
      <c r="D4555" t="s">
        <v>19</v>
      </c>
      <c r="E4555">
        <v>187088</v>
      </c>
      <c r="F4555">
        <v>475</v>
      </c>
      <c r="G4555">
        <v>131</v>
      </c>
    </row>
    <row r="4556" spans="1:8" x14ac:dyDescent="0.45">
      <c r="A4556" t="s">
        <v>64</v>
      </c>
      <c r="B4556" t="s">
        <v>21</v>
      </c>
      <c r="C4556">
        <v>7</v>
      </c>
      <c r="D4556" t="s">
        <v>27</v>
      </c>
      <c r="F4556">
        <v>240</v>
      </c>
    </row>
    <row r="4557" spans="1:8" x14ac:dyDescent="0.45">
      <c r="A4557" t="s">
        <v>64</v>
      </c>
      <c r="B4557" t="s">
        <v>21</v>
      </c>
      <c r="C4557">
        <v>7</v>
      </c>
      <c r="D4557" t="s">
        <v>28</v>
      </c>
      <c r="F4557">
        <v>101</v>
      </c>
    </row>
    <row r="4558" spans="1:8" x14ac:dyDescent="0.45">
      <c r="A4558" t="s">
        <v>64</v>
      </c>
      <c r="B4558" t="s">
        <v>21</v>
      </c>
      <c r="C4558">
        <v>7</v>
      </c>
      <c r="D4558" t="s">
        <v>29</v>
      </c>
      <c r="F4558">
        <v>39</v>
      </c>
    </row>
    <row r="4559" spans="1:8" x14ac:dyDescent="0.45">
      <c r="A4559" t="s">
        <v>64</v>
      </c>
      <c r="B4559" t="s">
        <v>20</v>
      </c>
      <c r="C4559">
        <v>7</v>
      </c>
      <c r="D4559" t="s">
        <v>19</v>
      </c>
      <c r="E4559">
        <v>258045</v>
      </c>
      <c r="F4559">
        <v>560</v>
      </c>
      <c r="G4559">
        <v>126</v>
      </c>
    </row>
    <row r="4560" spans="1:8" x14ac:dyDescent="0.45">
      <c r="A4560" t="s">
        <v>64</v>
      </c>
      <c r="B4560" t="s">
        <v>20</v>
      </c>
      <c r="C4560">
        <v>7</v>
      </c>
      <c r="D4560" t="s">
        <v>27</v>
      </c>
      <c r="F4560">
        <v>201</v>
      </c>
    </row>
    <row r="4561" spans="1:8" x14ac:dyDescent="0.45">
      <c r="A4561" t="s">
        <v>64</v>
      </c>
      <c r="B4561" t="s">
        <v>20</v>
      </c>
      <c r="C4561">
        <v>7</v>
      </c>
      <c r="D4561" t="s">
        <v>28</v>
      </c>
      <c r="F4561">
        <v>92</v>
      </c>
    </row>
    <row r="4562" spans="1:8" x14ac:dyDescent="0.45">
      <c r="A4562" t="s">
        <v>64</v>
      </c>
      <c r="B4562" t="s">
        <v>20</v>
      </c>
      <c r="C4562">
        <v>7</v>
      </c>
      <c r="D4562" t="s">
        <v>29</v>
      </c>
      <c r="F4562">
        <v>45</v>
      </c>
    </row>
    <row r="4563" spans="1:8" x14ac:dyDescent="0.45">
      <c r="A4563" t="s">
        <v>64</v>
      </c>
      <c r="B4563" t="s">
        <v>20</v>
      </c>
      <c r="C4563">
        <v>7</v>
      </c>
      <c r="D4563" t="s">
        <v>31</v>
      </c>
      <c r="H4563">
        <v>3</v>
      </c>
    </row>
    <row r="4564" spans="1:8" x14ac:dyDescent="0.45">
      <c r="A4564" t="s">
        <v>64</v>
      </c>
      <c r="B4564" t="s">
        <v>20</v>
      </c>
      <c r="C4564">
        <v>7</v>
      </c>
      <c r="D4564" t="s">
        <v>32</v>
      </c>
      <c r="H4564">
        <v>0</v>
      </c>
    </row>
    <row r="4565" spans="1:8" x14ac:dyDescent="0.45">
      <c r="A4565" t="s">
        <v>64</v>
      </c>
      <c r="B4565" t="s">
        <v>20</v>
      </c>
      <c r="C4565">
        <v>7</v>
      </c>
      <c r="D4565" t="s">
        <v>34</v>
      </c>
      <c r="H4565">
        <v>1</v>
      </c>
    </row>
    <row r="4566" spans="1:8" x14ac:dyDescent="0.45">
      <c r="A4566" t="s">
        <v>64</v>
      </c>
      <c r="B4566" t="s">
        <v>21</v>
      </c>
      <c r="C4566">
        <v>8</v>
      </c>
      <c r="D4566" t="s">
        <v>19</v>
      </c>
      <c r="E4566">
        <v>152755</v>
      </c>
      <c r="F4566">
        <v>426</v>
      </c>
      <c r="G4566">
        <v>109</v>
      </c>
    </row>
    <row r="4567" spans="1:8" x14ac:dyDescent="0.45">
      <c r="A4567" t="s">
        <v>64</v>
      </c>
      <c r="B4567" t="s">
        <v>21</v>
      </c>
      <c r="C4567">
        <v>8</v>
      </c>
      <c r="D4567" t="s">
        <v>27</v>
      </c>
      <c r="F4567">
        <v>215</v>
      </c>
      <c r="G4567">
        <v>915</v>
      </c>
    </row>
    <row r="4568" spans="1:8" x14ac:dyDescent="0.45">
      <c r="A4568" t="s">
        <v>64</v>
      </c>
      <c r="B4568" t="s">
        <v>21</v>
      </c>
      <c r="C4568">
        <v>8</v>
      </c>
      <c r="D4568" t="s">
        <v>28</v>
      </c>
      <c r="F4568">
        <v>72</v>
      </c>
      <c r="G4568">
        <v>1137</v>
      </c>
    </row>
    <row r="4569" spans="1:8" x14ac:dyDescent="0.45">
      <c r="A4569" t="s">
        <v>64</v>
      </c>
      <c r="B4569" t="s">
        <v>21</v>
      </c>
      <c r="C4569">
        <v>8</v>
      </c>
      <c r="D4569" t="s">
        <v>29</v>
      </c>
      <c r="F4569">
        <v>41</v>
      </c>
      <c r="G4569">
        <v>1024</v>
      </c>
    </row>
    <row r="4570" spans="1:8" x14ac:dyDescent="0.45">
      <c r="A4570" t="s">
        <v>64</v>
      </c>
      <c r="B4570" t="s">
        <v>20</v>
      </c>
      <c r="C4570">
        <v>8</v>
      </c>
      <c r="D4570" t="s">
        <v>19</v>
      </c>
      <c r="E4570">
        <v>199218</v>
      </c>
      <c r="F4570">
        <v>482</v>
      </c>
      <c r="G4570">
        <v>101</v>
      </c>
    </row>
    <row r="4571" spans="1:8" x14ac:dyDescent="0.45">
      <c r="A4571" t="s">
        <v>64</v>
      </c>
      <c r="B4571" t="s">
        <v>20</v>
      </c>
      <c r="C4571">
        <v>8</v>
      </c>
      <c r="D4571" t="s">
        <v>27</v>
      </c>
      <c r="F4571">
        <v>225</v>
      </c>
      <c r="G4571">
        <v>1111</v>
      </c>
    </row>
    <row r="4572" spans="1:8" x14ac:dyDescent="0.45">
      <c r="A4572" t="s">
        <v>64</v>
      </c>
      <c r="B4572" t="s">
        <v>20</v>
      </c>
      <c r="C4572">
        <v>8</v>
      </c>
      <c r="D4572" t="s">
        <v>28</v>
      </c>
      <c r="F4572">
        <v>61</v>
      </c>
      <c r="G4572">
        <v>837</v>
      </c>
    </row>
    <row r="4573" spans="1:8" x14ac:dyDescent="0.45">
      <c r="A4573" t="s">
        <v>64</v>
      </c>
      <c r="B4573" t="s">
        <v>20</v>
      </c>
      <c r="C4573">
        <v>8</v>
      </c>
      <c r="D4573" t="s">
        <v>29</v>
      </c>
      <c r="F4573">
        <v>44</v>
      </c>
      <c r="G4573">
        <v>926</v>
      </c>
    </row>
    <row r="4574" spans="1:8" x14ac:dyDescent="0.45">
      <c r="A4574" t="s">
        <v>64</v>
      </c>
      <c r="B4574" t="s">
        <v>20</v>
      </c>
      <c r="C4574">
        <v>8</v>
      </c>
      <c r="D4574" t="s">
        <v>31</v>
      </c>
      <c r="H4574">
        <v>1</v>
      </c>
    </row>
    <row r="4575" spans="1:8" x14ac:dyDescent="0.45">
      <c r="A4575" t="s">
        <v>64</v>
      </c>
      <c r="B4575" t="s">
        <v>20</v>
      </c>
      <c r="C4575">
        <v>8</v>
      </c>
      <c r="D4575" t="s">
        <v>32</v>
      </c>
      <c r="H4575">
        <v>0</v>
      </c>
    </row>
    <row r="4576" spans="1:8" x14ac:dyDescent="0.45">
      <c r="A4576" t="s">
        <v>64</v>
      </c>
      <c r="B4576" t="s">
        <v>20</v>
      </c>
      <c r="C4576">
        <v>8</v>
      </c>
      <c r="D4576" t="s">
        <v>34</v>
      </c>
      <c r="H4576">
        <v>2</v>
      </c>
    </row>
    <row r="4577" spans="1:8" x14ac:dyDescent="0.45">
      <c r="A4577" t="s">
        <v>64</v>
      </c>
      <c r="B4577" t="s">
        <v>21</v>
      </c>
      <c r="C4577">
        <v>9</v>
      </c>
      <c r="D4577" t="s">
        <v>19</v>
      </c>
      <c r="E4577">
        <v>197771</v>
      </c>
      <c r="F4577">
        <v>539</v>
      </c>
      <c r="G4577">
        <v>122</v>
      </c>
    </row>
    <row r="4578" spans="1:8" x14ac:dyDescent="0.45">
      <c r="A4578" t="s">
        <v>64</v>
      </c>
      <c r="B4578" t="s">
        <v>21</v>
      </c>
      <c r="C4578">
        <v>9</v>
      </c>
      <c r="D4578" t="s">
        <v>27</v>
      </c>
      <c r="F4578">
        <v>280</v>
      </c>
    </row>
    <row r="4579" spans="1:8" x14ac:dyDescent="0.45">
      <c r="A4579" t="s">
        <v>64</v>
      </c>
      <c r="B4579" t="s">
        <v>21</v>
      </c>
      <c r="C4579">
        <v>9</v>
      </c>
      <c r="D4579" t="s">
        <v>28</v>
      </c>
      <c r="F4579">
        <v>91</v>
      </c>
    </row>
    <row r="4580" spans="1:8" x14ac:dyDescent="0.45">
      <c r="A4580" t="s">
        <v>64</v>
      </c>
      <c r="B4580" t="s">
        <v>21</v>
      </c>
      <c r="C4580">
        <v>9</v>
      </c>
      <c r="D4580" t="s">
        <v>29</v>
      </c>
      <c r="F4580">
        <v>37</v>
      </c>
    </row>
    <row r="4581" spans="1:8" x14ac:dyDescent="0.45">
      <c r="A4581" t="s">
        <v>64</v>
      </c>
      <c r="B4581" t="s">
        <v>20</v>
      </c>
      <c r="C4581">
        <v>9</v>
      </c>
      <c r="D4581" t="s">
        <v>19</v>
      </c>
      <c r="E4581">
        <v>197826</v>
      </c>
      <c r="F4581">
        <v>490</v>
      </c>
      <c r="G4581">
        <v>118</v>
      </c>
    </row>
    <row r="4582" spans="1:8" x14ac:dyDescent="0.45">
      <c r="A4582" t="s">
        <v>64</v>
      </c>
      <c r="B4582" t="s">
        <v>20</v>
      </c>
      <c r="C4582">
        <v>9</v>
      </c>
      <c r="D4582" t="s">
        <v>27</v>
      </c>
      <c r="F4582">
        <v>249</v>
      </c>
    </row>
    <row r="4583" spans="1:8" x14ac:dyDescent="0.45">
      <c r="A4583" t="s">
        <v>64</v>
      </c>
      <c r="B4583" t="s">
        <v>20</v>
      </c>
      <c r="C4583">
        <v>9</v>
      </c>
      <c r="D4583" t="s">
        <v>28</v>
      </c>
      <c r="F4583">
        <v>84</v>
      </c>
    </row>
    <row r="4584" spans="1:8" x14ac:dyDescent="0.45">
      <c r="A4584" t="s">
        <v>64</v>
      </c>
      <c r="B4584" t="s">
        <v>20</v>
      </c>
      <c r="C4584">
        <v>9</v>
      </c>
      <c r="D4584" t="s">
        <v>29</v>
      </c>
      <c r="F4584">
        <v>49</v>
      </c>
    </row>
    <row r="4585" spans="1:8" x14ac:dyDescent="0.45">
      <c r="A4585" t="s">
        <v>64</v>
      </c>
      <c r="B4585" t="s">
        <v>20</v>
      </c>
      <c r="C4585">
        <v>9</v>
      </c>
      <c r="D4585" t="s">
        <v>31</v>
      </c>
      <c r="H4585">
        <v>2</v>
      </c>
    </row>
    <row r="4586" spans="1:8" x14ac:dyDescent="0.45">
      <c r="A4586" t="s">
        <v>64</v>
      </c>
      <c r="B4586" t="s">
        <v>20</v>
      </c>
      <c r="C4586">
        <v>9</v>
      </c>
      <c r="D4586" t="s">
        <v>32</v>
      </c>
      <c r="H4586">
        <v>0</v>
      </c>
    </row>
    <row r="4587" spans="1:8" x14ac:dyDescent="0.45">
      <c r="A4587" t="s">
        <v>64</v>
      </c>
      <c r="B4587" t="s">
        <v>20</v>
      </c>
      <c r="C4587">
        <v>9</v>
      </c>
      <c r="D4587" t="s">
        <v>34</v>
      </c>
      <c r="H4587">
        <v>1</v>
      </c>
    </row>
    <row r="4588" spans="1:8" x14ac:dyDescent="0.45">
      <c r="A4588" t="s">
        <v>64</v>
      </c>
      <c r="B4588" t="s">
        <v>21</v>
      </c>
      <c r="C4588">
        <v>10</v>
      </c>
      <c r="D4588" t="s">
        <v>19</v>
      </c>
      <c r="E4588">
        <v>255434</v>
      </c>
      <c r="F4588">
        <v>698</v>
      </c>
      <c r="G4588">
        <v>142</v>
      </c>
    </row>
    <row r="4589" spans="1:8" x14ac:dyDescent="0.45">
      <c r="A4589" t="s">
        <v>64</v>
      </c>
      <c r="B4589" t="s">
        <v>21</v>
      </c>
      <c r="C4589">
        <v>10</v>
      </c>
      <c r="D4589" t="s">
        <v>27</v>
      </c>
      <c r="F4589">
        <v>324</v>
      </c>
    </row>
    <row r="4590" spans="1:8" x14ac:dyDescent="0.45">
      <c r="A4590" t="s">
        <v>64</v>
      </c>
      <c r="B4590" t="s">
        <v>21</v>
      </c>
      <c r="C4590">
        <v>10</v>
      </c>
      <c r="D4590" t="s">
        <v>28</v>
      </c>
      <c r="F4590">
        <v>128</v>
      </c>
    </row>
    <row r="4591" spans="1:8" x14ac:dyDescent="0.45">
      <c r="A4591" t="s">
        <v>64</v>
      </c>
      <c r="B4591" t="s">
        <v>21</v>
      </c>
      <c r="C4591">
        <v>10</v>
      </c>
      <c r="D4591" t="s">
        <v>29</v>
      </c>
      <c r="F4591">
        <v>66</v>
      </c>
    </row>
    <row r="4592" spans="1:8" x14ac:dyDescent="0.45">
      <c r="A4592" t="s">
        <v>64</v>
      </c>
      <c r="B4592" t="s">
        <v>20</v>
      </c>
      <c r="C4592">
        <v>10</v>
      </c>
      <c r="D4592" t="s">
        <v>19</v>
      </c>
      <c r="E4592">
        <v>265830</v>
      </c>
      <c r="F4592">
        <v>565</v>
      </c>
      <c r="G4592">
        <v>134</v>
      </c>
    </row>
    <row r="4593" spans="1:8" x14ac:dyDescent="0.45">
      <c r="A4593" t="s">
        <v>64</v>
      </c>
      <c r="B4593" t="s">
        <v>20</v>
      </c>
      <c r="C4593">
        <v>10</v>
      </c>
      <c r="D4593" t="s">
        <v>27</v>
      </c>
      <c r="F4593">
        <v>218</v>
      </c>
    </row>
    <row r="4594" spans="1:8" x14ac:dyDescent="0.45">
      <c r="A4594" t="s">
        <v>64</v>
      </c>
      <c r="B4594" t="s">
        <v>20</v>
      </c>
      <c r="C4594">
        <v>10</v>
      </c>
      <c r="D4594" t="s">
        <v>28</v>
      </c>
      <c r="F4594">
        <v>88</v>
      </c>
    </row>
    <row r="4595" spans="1:8" x14ac:dyDescent="0.45">
      <c r="A4595" t="s">
        <v>64</v>
      </c>
      <c r="B4595" t="s">
        <v>20</v>
      </c>
      <c r="C4595">
        <v>10</v>
      </c>
      <c r="D4595" t="s">
        <v>29</v>
      </c>
      <c r="F4595">
        <v>54</v>
      </c>
    </row>
    <row r="4596" spans="1:8" x14ac:dyDescent="0.45">
      <c r="A4596" t="s">
        <v>64</v>
      </c>
      <c r="B4596" t="s">
        <v>20</v>
      </c>
      <c r="C4596">
        <v>10</v>
      </c>
      <c r="D4596" t="s">
        <v>31</v>
      </c>
      <c r="H4596">
        <v>2</v>
      </c>
    </row>
    <row r="4597" spans="1:8" x14ac:dyDescent="0.45">
      <c r="A4597" t="s">
        <v>64</v>
      </c>
      <c r="B4597" t="s">
        <v>20</v>
      </c>
      <c r="C4597">
        <v>10</v>
      </c>
      <c r="D4597" t="s">
        <v>32</v>
      </c>
      <c r="H4597">
        <v>2</v>
      </c>
    </row>
    <row r="4598" spans="1:8" x14ac:dyDescent="0.45">
      <c r="A4598" t="s">
        <v>64</v>
      </c>
      <c r="B4598" t="s">
        <v>20</v>
      </c>
      <c r="C4598">
        <v>10</v>
      </c>
      <c r="D4598" t="s">
        <v>34</v>
      </c>
      <c r="H4598">
        <v>0</v>
      </c>
    </row>
    <row r="4599" spans="1:8" x14ac:dyDescent="0.45">
      <c r="A4599" t="s">
        <v>64</v>
      </c>
      <c r="B4599" t="s">
        <v>21</v>
      </c>
      <c r="C4599">
        <v>11</v>
      </c>
      <c r="D4599" t="s">
        <v>19</v>
      </c>
      <c r="E4599">
        <v>225465</v>
      </c>
      <c r="F4599">
        <v>549</v>
      </c>
      <c r="G4599">
        <v>129</v>
      </c>
    </row>
    <row r="4600" spans="1:8" x14ac:dyDescent="0.45">
      <c r="A4600" t="s">
        <v>64</v>
      </c>
      <c r="B4600" t="s">
        <v>21</v>
      </c>
      <c r="C4600">
        <v>11</v>
      </c>
      <c r="D4600" t="s">
        <v>27</v>
      </c>
      <c r="F4600">
        <v>246</v>
      </c>
    </row>
    <row r="4601" spans="1:8" x14ac:dyDescent="0.45">
      <c r="A4601" t="s">
        <v>64</v>
      </c>
      <c r="B4601" t="s">
        <v>21</v>
      </c>
      <c r="C4601">
        <v>11</v>
      </c>
      <c r="D4601" t="s">
        <v>28</v>
      </c>
      <c r="F4601">
        <v>81</v>
      </c>
    </row>
    <row r="4602" spans="1:8" x14ac:dyDescent="0.45">
      <c r="A4602" t="s">
        <v>64</v>
      </c>
      <c r="B4602" t="s">
        <v>21</v>
      </c>
      <c r="C4602">
        <v>11</v>
      </c>
      <c r="D4602" t="s">
        <v>29</v>
      </c>
      <c r="F4602">
        <v>40</v>
      </c>
    </row>
    <row r="4603" spans="1:8" x14ac:dyDescent="0.45">
      <c r="A4603" t="s">
        <v>64</v>
      </c>
      <c r="B4603" t="s">
        <v>20</v>
      </c>
      <c r="C4603">
        <v>11</v>
      </c>
      <c r="D4603" t="s">
        <v>19</v>
      </c>
      <c r="E4603">
        <v>214585</v>
      </c>
      <c r="F4603">
        <v>549</v>
      </c>
      <c r="G4603">
        <v>140</v>
      </c>
    </row>
    <row r="4604" spans="1:8" x14ac:dyDescent="0.45">
      <c r="A4604" t="s">
        <v>64</v>
      </c>
      <c r="B4604" t="s">
        <v>20</v>
      </c>
      <c r="C4604">
        <v>11</v>
      </c>
      <c r="D4604" t="s">
        <v>27</v>
      </c>
      <c r="F4604">
        <v>259</v>
      </c>
    </row>
    <row r="4605" spans="1:8" x14ac:dyDescent="0.45">
      <c r="A4605" t="s">
        <v>64</v>
      </c>
      <c r="B4605" t="s">
        <v>20</v>
      </c>
      <c r="C4605">
        <v>11</v>
      </c>
      <c r="D4605" t="s">
        <v>28</v>
      </c>
      <c r="F4605">
        <v>112</v>
      </c>
    </row>
    <row r="4606" spans="1:8" x14ac:dyDescent="0.45">
      <c r="A4606" t="s">
        <v>64</v>
      </c>
      <c r="B4606" t="s">
        <v>20</v>
      </c>
      <c r="C4606">
        <v>11</v>
      </c>
      <c r="D4606" t="s">
        <v>29</v>
      </c>
      <c r="F4606">
        <v>74</v>
      </c>
    </row>
    <row r="4607" spans="1:8" x14ac:dyDescent="0.45">
      <c r="A4607" t="s">
        <v>64</v>
      </c>
      <c r="B4607" t="s">
        <v>20</v>
      </c>
      <c r="C4607">
        <v>11</v>
      </c>
      <c r="D4607" t="s">
        <v>31</v>
      </c>
      <c r="H4607">
        <v>7</v>
      </c>
    </row>
    <row r="4608" spans="1:8" x14ac:dyDescent="0.45">
      <c r="A4608" t="s">
        <v>64</v>
      </c>
      <c r="B4608" t="s">
        <v>20</v>
      </c>
      <c r="C4608">
        <v>11</v>
      </c>
      <c r="D4608" t="s">
        <v>32</v>
      </c>
      <c r="H4608">
        <v>0</v>
      </c>
    </row>
    <row r="4609" spans="1:8" x14ac:dyDescent="0.45">
      <c r="A4609" t="s">
        <v>64</v>
      </c>
      <c r="B4609" t="s">
        <v>20</v>
      </c>
      <c r="C4609">
        <v>11</v>
      </c>
      <c r="D4609" t="s">
        <v>34</v>
      </c>
      <c r="H4609">
        <v>1</v>
      </c>
    </row>
    <row r="4610" spans="1:8" x14ac:dyDescent="0.45">
      <c r="A4610" t="s">
        <v>64</v>
      </c>
      <c r="B4610" t="s">
        <v>21</v>
      </c>
      <c r="C4610">
        <v>12</v>
      </c>
      <c r="D4610" t="s">
        <v>19</v>
      </c>
      <c r="E4610">
        <v>219447</v>
      </c>
      <c r="F4610">
        <v>585</v>
      </c>
      <c r="G4610">
        <v>132</v>
      </c>
    </row>
    <row r="4611" spans="1:8" x14ac:dyDescent="0.45">
      <c r="A4611" t="s">
        <v>64</v>
      </c>
      <c r="B4611" t="s">
        <v>21</v>
      </c>
      <c r="C4611">
        <v>12</v>
      </c>
      <c r="D4611" t="s">
        <v>27</v>
      </c>
      <c r="F4611">
        <v>260</v>
      </c>
    </row>
    <row r="4612" spans="1:8" x14ac:dyDescent="0.45">
      <c r="A4612" t="s">
        <v>64</v>
      </c>
      <c r="B4612" t="s">
        <v>21</v>
      </c>
      <c r="C4612">
        <v>12</v>
      </c>
      <c r="D4612" t="s">
        <v>28</v>
      </c>
      <c r="F4612">
        <v>119</v>
      </c>
    </row>
    <row r="4613" spans="1:8" x14ac:dyDescent="0.45">
      <c r="A4613" t="s">
        <v>64</v>
      </c>
      <c r="B4613" t="s">
        <v>21</v>
      </c>
      <c r="C4613">
        <v>12</v>
      </c>
      <c r="D4613" t="s">
        <v>29</v>
      </c>
      <c r="F4613">
        <v>71</v>
      </c>
    </row>
    <row r="4614" spans="1:8" x14ac:dyDescent="0.45">
      <c r="A4614" t="s">
        <v>64</v>
      </c>
      <c r="B4614" t="s">
        <v>20</v>
      </c>
      <c r="C4614">
        <v>12</v>
      </c>
      <c r="D4614" t="s">
        <v>19</v>
      </c>
      <c r="E4614">
        <v>159688</v>
      </c>
      <c r="F4614">
        <v>452</v>
      </c>
      <c r="G4614">
        <v>115</v>
      </c>
    </row>
    <row r="4615" spans="1:8" x14ac:dyDescent="0.45">
      <c r="A4615" t="s">
        <v>64</v>
      </c>
      <c r="B4615" t="s">
        <v>20</v>
      </c>
      <c r="C4615">
        <v>12</v>
      </c>
      <c r="D4615" t="s">
        <v>27</v>
      </c>
      <c r="F4615">
        <v>226</v>
      </c>
    </row>
    <row r="4616" spans="1:8" x14ac:dyDescent="0.45">
      <c r="A4616" t="s">
        <v>64</v>
      </c>
      <c r="B4616" t="s">
        <v>20</v>
      </c>
      <c r="C4616">
        <v>12</v>
      </c>
      <c r="D4616" t="s">
        <v>28</v>
      </c>
      <c r="F4616">
        <v>91</v>
      </c>
    </row>
    <row r="4617" spans="1:8" x14ac:dyDescent="0.45">
      <c r="A4617" t="s">
        <v>64</v>
      </c>
      <c r="B4617" t="s">
        <v>20</v>
      </c>
      <c r="C4617">
        <v>12</v>
      </c>
      <c r="D4617" t="s">
        <v>29</v>
      </c>
      <c r="F4617">
        <v>53</v>
      </c>
    </row>
    <row r="4618" spans="1:8" x14ac:dyDescent="0.45">
      <c r="A4618" t="s">
        <v>64</v>
      </c>
      <c r="B4618" t="s">
        <v>20</v>
      </c>
      <c r="C4618">
        <v>12</v>
      </c>
      <c r="D4618" t="s">
        <v>31</v>
      </c>
      <c r="H4618">
        <v>0</v>
      </c>
    </row>
    <row r="4619" spans="1:8" x14ac:dyDescent="0.45">
      <c r="A4619" t="s">
        <v>64</v>
      </c>
      <c r="B4619" t="s">
        <v>20</v>
      </c>
      <c r="C4619">
        <v>12</v>
      </c>
      <c r="D4619" t="s">
        <v>32</v>
      </c>
      <c r="H4619">
        <v>0</v>
      </c>
    </row>
    <row r="4620" spans="1:8" x14ac:dyDescent="0.45">
      <c r="A4620" t="s">
        <v>64</v>
      </c>
      <c r="B4620" t="s">
        <v>20</v>
      </c>
      <c r="C4620">
        <v>12</v>
      </c>
      <c r="D4620" t="s">
        <v>34</v>
      </c>
      <c r="H4620">
        <v>1</v>
      </c>
    </row>
    <row r="4621" spans="1:8" x14ac:dyDescent="0.45">
      <c r="A4621" t="s">
        <v>83</v>
      </c>
      <c r="B4621" t="s">
        <v>21</v>
      </c>
      <c r="C4621">
        <v>1</v>
      </c>
      <c r="D4621" t="s">
        <v>19</v>
      </c>
      <c r="E4621">
        <v>1484219</v>
      </c>
      <c r="F4621">
        <v>3130</v>
      </c>
      <c r="G4621">
        <v>881</v>
      </c>
    </row>
    <row r="4622" spans="1:8" x14ac:dyDescent="0.45">
      <c r="A4622" t="s">
        <v>83</v>
      </c>
      <c r="B4622" t="s">
        <v>21</v>
      </c>
      <c r="C4622">
        <v>1</v>
      </c>
      <c r="D4622" t="s">
        <v>27</v>
      </c>
      <c r="F4622">
        <v>1242</v>
      </c>
    </row>
    <row r="4623" spans="1:8" x14ac:dyDescent="0.45">
      <c r="A4623" t="s">
        <v>83</v>
      </c>
      <c r="B4623" t="s">
        <v>21</v>
      </c>
      <c r="C4623">
        <v>1</v>
      </c>
      <c r="D4623" t="s">
        <v>28</v>
      </c>
      <c r="F4623">
        <v>504</v>
      </c>
    </row>
    <row r="4624" spans="1:8" x14ac:dyDescent="0.45">
      <c r="A4624" t="s">
        <v>83</v>
      </c>
      <c r="B4624" t="s">
        <v>21</v>
      </c>
      <c r="C4624">
        <v>1</v>
      </c>
      <c r="D4624" t="s">
        <v>29</v>
      </c>
      <c r="F4624">
        <v>380</v>
      </c>
    </row>
    <row r="4625" spans="1:8" x14ac:dyDescent="0.45">
      <c r="A4625" t="s">
        <v>83</v>
      </c>
      <c r="B4625" t="s">
        <v>20</v>
      </c>
      <c r="C4625">
        <v>1</v>
      </c>
      <c r="D4625" t="s">
        <v>19</v>
      </c>
      <c r="E4625">
        <v>1607222</v>
      </c>
      <c r="F4625">
        <v>3143</v>
      </c>
      <c r="G4625">
        <v>892</v>
      </c>
    </row>
    <row r="4626" spans="1:8" x14ac:dyDescent="0.45">
      <c r="A4626" t="s">
        <v>83</v>
      </c>
      <c r="B4626" t="s">
        <v>20</v>
      </c>
      <c r="C4626">
        <v>1</v>
      </c>
      <c r="D4626" t="s">
        <v>27</v>
      </c>
      <c r="F4626">
        <v>1062</v>
      </c>
    </row>
    <row r="4627" spans="1:8" x14ac:dyDescent="0.45">
      <c r="A4627" t="s">
        <v>83</v>
      </c>
      <c r="B4627" t="s">
        <v>20</v>
      </c>
      <c r="C4627">
        <v>1</v>
      </c>
      <c r="D4627" t="s">
        <v>28</v>
      </c>
      <c r="F4627">
        <v>559</v>
      </c>
    </row>
    <row r="4628" spans="1:8" x14ac:dyDescent="0.45">
      <c r="A4628" t="s">
        <v>83</v>
      </c>
      <c r="B4628" t="s">
        <v>20</v>
      </c>
      <c r="C4628">
        <v>1</v>
      </c>
      <c r="D4628" t="s">
        <v>29</v>
      </c>
      <c r="F4628">
        <v>462</v>
      </c>
    </row>
    <row r="4629" spans="1:8" x14ac:dyDescent="0.45">
      <c r="A4629" t="s">
        <v>83</v>
      </c>
      <c r="B4629" t="s">
        <v>20</v>
      </c>
      <c r="C4629">
        <v>1</v>
      </c>
      <c r="D4629" t="s">
        <v>31</v>
      </c>
      <c r="H4629">
        <v>137</v>
      </c>
    </row>
    <row r="4630" spans="1:8" x14ac:dyDescent="0.45">
      <c r="A4630" t="s">
        <v>83</v>
      </c>
      <c r="B4630" t="s">
        <v>20</v>
      </c>
      <c r="C4630">
        <v>1</v>
      </c>
      <c r="D4630" t="s">
        <v>32</v>
      </c>
      <c r="H4630">
        <v>16</v>
      </c>
    </row>
    <row r="4631" spans="1:8" x14ac:dyDescent="0.45">
      <c r="A4631" t="s">
        <v>83</v>
      </c>
      <c r="B4631" t="s">
        <v>20</v>
      </c>
      <c r="C4631">
        <v>1</v>
      </c>
      <c r="D4631" t="s">
        <v>34</v>
      </c>
    </row>
    <row r="4632" spans="1:8" x14ac:dyDescent="0.45">
      <c r="A4632" t="s">
        <v>83</v>
      </c>
      <c r="B4632" t="s">
        <v>21</v>
      </c>
      <c r="C4632">
        <v>2</v>
      </c>
      <c r="D4632" t="s">
        <v>19</v>
      </c>
      <c r="E4632">
        <v>1392059</v>
      </c>
      <c r="F4632">
        <v>3024</v>
      </c>
      <c r="G4632">
        <v>893</v>
      </c>
    </row>
    <row r="4633" spans="1:8" x14ac:dyDescent="0.45">
      <c r="A4633" t="s">
        <v>83</v>
      </c>
      <c r="B4633" t="s">
        <v>21</v>
      </c>
      <c r="C4633">
        <v>2</v>
      </c>
      <c r="D4633" t="s">
        <v>27</v>
      </c>
      <c r="F4633">
        <v>1314</v>
      </c>
    </row>
    <row r="4634" spans="1:8" x14ac:dyDescent="0.45">
      <c r="A4634" t="s">
        <v>83</v>
      </c>
      <c r="B4634" t="s">
        <v>21</v>
      </c>
      <c r="C4634">
        <v>2</v>
      </c>
      <c r="D4634" t="s">
        <v>28</v>
      </c>
      <c r="F4634">
        <v>484</v>
      </c>
    </row>
    <row r="4635" spans="1:8" x14ac:dyDescent="0.45">
      <c r="A4635" t="s">
        <v>83</v>
      </c>
      <c r="B4635" t="s">
        <v>21</v>
      </c>
      <c r="C4635">
        <v>2</v>
      </c>
      <c r="D4635" t="s">
        <v>29</v>
      </c>
      <c r="F4635">
        <v>289</v>
      </c>
    </row>
    <row r="4636" spans="1:8" x14ac:dyDescent="0.45">
      <c r="A4636" t="s">
        <v>83</v>
      </c>
      <c r="B4636" t="s">
        <v>20</v>
      </c>
      <c r="C4636">
        <v>2</v>
      </c>
      <c r="D4636" t="s">
        <v>19</v>
      </c>
      <c r="E4636">
        <v>1453445</v>
      </c>
      <c r="F4636">
        <v>2740</v>
      </c>
      <c r="G4636">
        <v>812</v>
      </c>
    </row>
    <row r="4637" spans="1:8" x14ac:dyDescent="0.45">
      <c r="A4637" t="s">
        <v>83</v>
      </c>
      <c r="B4637" t="s">
        <v>20</v>
      </c>
      <c r="C4637">
        <v>2</v>
      </c>
      <c r="D4637" t="s">
        <v>27</v>
      </c>
      <c r="F4637">
        <v>1069</v>
      </c>
    </row>
    <row r="4638" spans="1:8" x14ac:dyDescent="0.45">
      <c r="A4638" t="s">
        <v>83</v>
      </c>
      <c r="B4638" t="s">
        <v>20</v>
      </c>
      <c r="C4638">
        <v>2</v>
      </c>
      <c r="D4638" t="s">
        <v>28</v>
      </c>
      <c r="F4638">
        <v>454</v>
      </c>
    </row>
    <row r="4639" spans="1:8" x14ac:dyDescent="0.45">
      <c r="A4639" t="s">
        <v>83</v>
      </c>
      <c r="B4639" t="s">
        <v>20</v>
      </c>
      <c r="C4639">
        <v>2</v>
      </c>
      <c r="D4639" t="s">
        <v>29</v>
      </c>
      <c r="F4639">
        <v>343</v>
      </c>
    </row>
    <row r="4640" spans="1:8" x14ac:dyDescent="0.45">
      <c r="A4640" t="s">
        <v>83</v>
      </c>
      <c r="B4640" t="s">
        <v>20</v>
      </c>
      <c r="C4640">
        <v>2</v>
      </c>
      <c r="D4640" t="s">
        <v>31</v>
      </c>
      <c r="H4640">
        <v>125</v>
      </c>
    </row>
    <row r="4641" spans="1:8" x14ac:dyDescent="0.45">
      <c r="A4641" t="s">
        <v>83</v>
      </c>
      <c r="B4641" t="s">
        <v>20</v>
      </c>
      <c r="C4641">
        <v>2</v>
      </c>
      <c r="D4641" t="s">
        <v>32</v>
      </c>
      <c r="H4641">
        <v>11</v>
      </c>
    </row>
    <row r="4642" spans="1:8" x14ac:dyDescent="0.45">
      <c r="A4642" t="s">
        <v>83</v>
      </c>
      <c r="B4642" t="s">
        <v>20</v>
      </c>
      <c r="C4642">
        <v>2</v>
      </c>
      <c r="D4642" t="s">
        <v>34</v>
      </c>
      <c r="H4642">
        <v>17</v>
      </c>
    </row>
    <row r="4643" spans="1:8" x14ac:dyDescent="0.45">
      <c r="A4643" t="s">
        <v>83</v>
      </c>
      <c r="B4643" t="s">
        <v>21</v>
      </c>
      <c r="C4643">
        <v>3</v>
      </c>
      <c r="D4643" t="s">
        <v>19</v>
      </c>
      <c r="E4643">
        <v>3111415</v>
      </c>
      <c r="F4643">
        <v>5486</v>
      </c>
      <c r="G4643">
        <v>1455</v>
      </c>
      <c r="H4643">
        <v>96</v>
      </c>
    </row>
    <row r="4644" spans="1:8" x14ac:dyDescent="0.45">
      <c r="A4644" t="s">
        <v>83</v>
      </c>
      <c r="B4644" t="s">
        <v>21</v>
      </c>
      <c r="C4644">
        <v>3</v>
      </c>
      <c r="D4644" t="s">
        <v>27</v>
      </c>
      <c r="F4644">
        <v>1606</v>
      </c>
    </row>
    <row r="4645" spans="1:8" x14ac:dyDescent="0.45">
      <c r="A4645" t="s">
        <v>83</v>
      </c>
      <c r="B4645" t="s">
        <v>21</v>
      </c>
      <c r="C4645">
        <v>3</v>
      </c>
      <c r="D4645" t="s">
        <v>28</v>
      </c>
      <c r="F4645">
        <v>884</v>
      </c>
    </row>
    <row r="4646" spans="1:8" x14ac:dyDescent="0.45">
      <c r="A4646" t="s">
        <v>83</v>
      </c>
      <c r="B4646" t="s">
        <v>21</v>
      </c>
      <c r="C4646">
        <v>3</v>
      </c>
      <c r="D4646" t="s">
        <v>29</v>
      </c>
      <c r="F4646">
        <v>774</v>
      </c>
    </row>
    <row r="4647" spans="1:8" x14ac:dyDescent="0.45">
      <c r="A4647" t="s">
        <v>83</v>
      </c>
      <c r="B4647" t="s">
        <v>20</v>
      </c>
      <c r="C4647">
        <v>3</v>
      </c>
      <c r="D4647" t="s">
        <v>19</v>
      </c>
      <c r="E4647">
        <v>2623263</v>
      </c>
      <c r="F4647">
        <v>4569</v>
      </c>
    </row>
    <row r="4648" spans="1:8" x14ac:dyDescent="0.45">
      <c r="A4648" t="s">
        <v>83</v>
      </c>
      <c r="B4648" t="s">
        <v>20</v>
      </c>
      <c r="C4648">
        <v>3</v>
      </c>
      <c r="D4648" t="s">
        <v>27</v>
      </c>
      <c r="F4648">
        <v>1297</v>
      </c>
    </row>
    <row r="4649" spans="1:8" x14ac:dyDescent="0.45">
      <c r="A4649" t="s">
        <v>83</v>
      </c>
      <c r="B4649" t="s">
        <v>20</v>
      </c>
      <c r="C4649">
        <v>3</v>
      </c>
      <c r="D4649" t="s">
        <v>28</v>
      </c>
      <c r="F4649">
        <v>750</v>
      </c>
    </row>
    <row r="4650" spans="1:8" x14ac:dyDescent="0.45">
      <c r="A4650" t="s">
        <v>83</v>
      </c>
      <c r="B4650" t="s">
        <v>20</v>
      </c>
      <c r="C4650">
        <v>3</v>
      </c>
      <c r="D4650" t="s">
        <v>29</v>
      </c>
      <c r="F4650">
        <v>710</v>
      </c>
    </row>
    <row r="4651" spans="1:8" x14ac:dyDescent="0.45">
      <c r="A4651" t="s">
        <v>83</v>
      </c>
      <c r="B4651" t="s">
        <v>20</v>
      </c>
      <c r="C4651">
        <v>3</v>
      </c>
      <c r="D4651" t="s">
        <v>31</v>
      </c>
      <c r="H4651">
        <v>259</v>
      </c>
    </row>
    <row r="4652" spans="1:8" x14ac:dyDescent="0.45">
      <c r="A4652" t="s">
        <v>83</v>
      </c>
      <c r="B4652" t="s">
        <v>20</v>
      </c>
      <c r="C4652">
        <v>3</v>
      </c>
      <c r="D4652" t="s">
        <v>32</v>
      </c>
      <c r="H4652">
        <v>15</v>
      </c>
    </row>
    <row r="4653" spans="1:8" x14ac:dyDescent="0.45">
      <c r="A4653" t="s">
        <v>83</v>
      </c>
      <c r="B4653" t="s">
        <v>20</v>
      </c>
      <c r="C4653">
        <v>3</v>
      </c>
      <c r="D4653" t="s">
        <v>34</v>
      </c>
      <c r="H4653">
        <v>26</v>
      </c>
    </row>
    <row r="4654" spans="1:8" x14ac:dyDescent="0.45">
      <c r="A4654" t="s">
        <v>83</v>
      </c>
      <c r="B4654" t="s">
        <v>21</v>
      </c>
      <c r="C4654">
        <v>4</v>
      </c>
      <c r="D4654" t="s">
        <v>19</v>
      </c>
      <c r="E4654">
        <v>3895103</v>
      </c>
      <c r="F4654">
        <v>6059</v>
      </c>
      <c r="G4654">
        <v>1521</v>
      </c>
    </row>
    <row r="4655" spans="1:8" x14ac:dyDescent="0.45">
      <c r="A4655" t="s">
        <v>83</v>
      </c>
      <c r="B4655" t="s">
        <v>21</v>
      </c>
      <c r="C4655">
        <v>4</v>
      </c>
      <c r="D4655" t="s">
        <v>27</v>
      </c>
      <c r="F4655">
        <v>1609</v>
      </c>
    </row>
    <row r="4656" spans="1:8" x14ac:dyDescent="0.45">
      <c r="A4656" t="s">
        <v>83</v>
      </c>
      <c r="B4656" t="s">
        <v>21</v>
      </c>
      <c r="C4656">
        <v>4</v>
      </c>
      <c r="D4656" t="s">
        <v>28</v>
      </c>
      <c r="F4656">
        <v>884</v>
      </c>
    </row>
    <row r="4657" spans="1:8" x14ac:dyDescent="0.45">
      <c r="A4657" t="s">
        <v>83</v>
      </c>
      <c r="B4657" t="s">
        <v>21</v>
      </c>
      <c r="C4657">
        <v>4</v>
      </c>
      <c r="D4657" t="s">
        <v>29</v>
      </c>
      <c r="F4657">
        <v>847</v>
      </c>
    </row>
    <row r="4658" spans="1:8" x14ac:dyDescent="0.45">
      <c r="A4658" t="s">
        <v>83</v>
      </c>
      <c r="B4658" t="s">
        <v>20</v>
      </c>
      <c r="C4658">
        <v>4</v>
      </c>
      <c r="D4658" t="s">
        <v>19</v>
      </c>
      <c r="E4658">
        <v>4264316</v>
      </c>
      <c r="F4658">
        <v>6597</v>
      </c>
      <c r="G4658">
        <v>1605</v>
      </c>
    </row>
    <row r="4659" spans="1:8" x14ac:dyDescent="0.45">
      <c r="A4659" t="s">
        <v>83</v>
      </c>
      <c r="B4659" t="s">
        <v>20</v>
      </c>
      <c r="C4659">
        <v>4</v>
      </c>
      <c r="D4659" t="s">
        <v>27</v>
      </c>
      <c r="F4659">
        <v>1327</v>
      </c>
    </row>
    <row r="4660" spans="1:8" x14ac:dyDescent="0.45">
      <c r="A4660" t="s">
        <v>83</v>
      </c>
      <c r="B4660" t="s">
        <v>20</v>
      </c>
      <c r="C4660">
        <v>4</v>
      </c>
      <c r="D4660" t="s">
        <v>28</v>
      </c>
      <c r="F4660">
        <v>985</v>
      </c>
    </row>
    <row r="4661" spans="1:8" x14ac:dyDescent="0.45">
      <c r="A4661" t="s">
        <v>83</v>
      </c>
      <c r="B4661" t="s">
        <v>20</v>
      </c>
      <c r="C4661">
        <v>4</v>
      </c>
      <c r="D4661" t="s">
        <v>29</v>
      </c>
      <c r="F4661">
        <v>859</v>
      </c>
    </row>
    <row r="4662" spans="1:8" x14ac:dyDescent="0.45">
      <c r="A4662" t="s">
        <v>83</v>
      </c>
      <c r="B4662" t="s">
        <v>20</v>
      </c>
      <c r="C4662">
        <v>4</v>
      </c>
      <c r="D4662" t="s">
        <v>31</v>
      </c>
      <c r="H4662">
        <v>147</v>
      </c>
    </row>
    <row r="4663" spans="1:8" x14ac:dyDescent="0.45">
      <c r="A4663" t="s">
        <v>83</v>
      </c>
      <c r="B4663" t="s">
        <v>20</v>
      </c>
      <c r="C4663">
        <v>4</v>
      </c>
      <c r="D4663" t="s">
        <v>32</v>
      </c>
      <c r="H4663">
        <v>19</v>
      </c>
    </row>
    <row r="4664" spans="1:8" x14ac:dyDescent="0.45">
      <c r="A4664" t="s">
        <v>83</v>
      </c>
      <c r="B4664" t="s">
        <v>20</v>
      </c>
      <c r="C4664">
        <v>4</v>
      </c>
      <c r="D4664" t="s">
        <v>34</v>
      </c>
      <c r="H4664">
        <v>24</v>
      </c>
    </row>
    <row r="4665" spans="1:8" x14ac:dyDescent="0.45">
      <c r="A4665" t="s">
        <v>83</v>
      </c>
      <c r="B4665" t="s">
        <v>21</v>
      </c>
      <c r="C4665">
        <v>5</v>
      </c>
      <c r="D4665" t="s">
        <v>19</v>
      </c>
      <c r="E4665">
        <v>3514616</v>
      </c>
      <c r="F4665">
        <v>5528</v>
      </c>
      <c r="G4665">
        <v>1331</v>
      </c>
    </row>
    <row r="4666" spans="1:8" x14ac:dyDescent="0.45">
      <c r="A4666" t="s">
        <v>83</v>
      </c>
      <c r="B4666" t="s">
        <v>21</v>
      </c>
      <c r="C4666">
        <v>5</v>
      </c>
      <c r="D4666" t="s">
        <v>27</v>
      </c>
      <c r="F4666">
        <v>1491</v>
      </c>
    </row>
    <row r="4667" spans="1:8" x14ac:dyDescent="0.45">
      <c r="A4667" t="s">
        <v>83</v>
      </c>
      <c r="B4667" t="s">
        <v>21</v>
      </c>
      <c r="C4667">
        <v>5</v>
      </c>
      <c r="D4667" t="s">
        <v>28</v>
      </c>
      <c r="F4667">
        <v>831</v>
      </c>
    </row>
    <row r="4668" spans="1:8" x14ac:dyDescent="0.45">
      <c r="A4668" t="s">
        <v>83</v>
      </c>
      <c r="B4668" t="s">
        <v>21</v>
      </c>
      <c r="C4668">
        <v>5</v>
      </c>
      <c r="D4668" t="s">
        <v>29</v>
      </c>
      <c r="F4668">
        <v>648</v>
      </c>
    </row>
    <row r="4669" spans="1:8" x14ac:dyDescent="0.45">
      <c r="A4669" t="s">
        <v>83</v>
      </c>
      <c r="B4669" t="s">
        <v>20</v>
      </c>
      <c r="C4669">
        <v>5</v>
      </c>
      <c r="D4669" t="s">
        <v>19</v>
      </c>
      <c r="E4669">
        <v>3038266</v>
      </c>
      <c r="F4669">
        <v>4731</v>
      </c>
      <c r="G4669">
        <v>1220</v>
      </c>
    </row>
    <row r="4670" spans="1:8" x14ac:dyDescent="0.45">
      <c r="A4670" t="s">
        <v>83</v>
      </c>
      <c r="B4670" t="s">
        <v>20</v>
      </c>
      <c r="C4670">
        <v>5</v>
      </c>
      <c r="D4670" t="s">
        <v>27</v>
      </c>
      <c r="F4670">
        <v>1143</v>
      </c>
    </row>
    <row r="4671" spans="1:8" x14ac:dyDescent="0.45">
      <c r="A4671" t="s">
        <v>83</v>
      </c>
      <c r="B4671" t="s">
        <v>20</v>
      </c>
      <c r="C4671">
        <v>5</v>
      </c>
      <c r="D4671" t="s">
        <v>28</v>
      </c>
      <c r="F4671">
        <v>750</v>
      </c>
    </row>
    <row r="4672" spans="1:8" x14ac:dyDescent="0.45">
      <c r="A4672" t="s">
        <v>83</v>
      </c>
      <c r="B4672" t="s">
        <v>20</v>
      </c>
      <c r="C4672">
        <v>5</v>
      </c>
      <c r="D4672" t="s">
        <v>29</v>
      </c>
      <c r="F4672">
        <v>541</v>
      </c>
    </row>
    <row r="4673" spans="1:8" x14ac:dyDescent="0.45">
      <c r="A4673" t="s">
        <v>83</v>
      </c>
      <c r="B4673" t="s">
        <v>20</v>
      </c>
      <c r="C4673">
        <v>5</v>
      </c>
      <c r="D4673" t="s">
        <v>31</v>
      </c>
      <c r="H4673">
        <v>182</v>
      </c>
    </row>
    <row r="4674" spans="1:8" x14ac:dyDescent="0.45">
      <c r="A4674" t="s">
        <v>83</v>
      </c>
      <c r="B4674" t="s">
        <v>20</v>
      </c>
      <c r="C4674">
        <v>5</v>
      </c>
      <c r="D4674" t="s">
        <v>32</v>
      </c>
      <c r="H4674">
        <v>6</v>
      </c>
    </row>
    <row r="4675" spans="1:8" x14ac:dyDescent="0.45">
      <c r="A4675" t="s">
        <v>83</v>
      </c>
      <c r="B4675" t="s">
        <v>20</v>
      </c>
      <c r="C4675">
        <v>5</v>
      </c>
      <c r="D4675" t="s">
        <v>34</v>
      </c>
      <c r="H4675">
        <v>23</v>
      </c>
    </row>
    <row r="4676" spans="1:8" x14ac:dyDescent="0.45">
      <c r="A4676" t="s">
        <v>83</v>
      </c>
      <c r="B4676" t="s">
        <v>21</v>
      </c>
      <c r="C4676">
        <v>6</v>
      </c>
      <c r="D4676" t="s">
        <v>19</v>
      </c>
      <c r="E4676">
        <v>3081891</v>
      </c>
      <c r="F4676">
        <v>5286</v>
      </c>
      <c r="G4676">
        <v>1394</v>
      </c>
    </row>
    <row r="4677" spans="1:8" x14ac:dyDescent="0.45">
      <c r="A4677" t="s">
        <v>83</v>
      </c>
      <c r="B4677" t="s">
        <v>21</v>
      </c>
      <c r="C4677">
        <v>6</v>
      </c>
      <c r="D4677" t="s">
        <v>27</v>
      </c>
      <c r="F4677">
        <v>1621</v>
      </c>
    </row>
    <row r="4678" spans="1:8" x14ac:dyDescent="0.45">
      <c r="A4678" t="s">
        <v>83</v>
      </c>
      <c r="B4678" t="s">
        <v>21</v>
      </c>
      <c r="C4678">
        <v>6</v>
      </c>
      <c r="D4678" t="s">
        <v>28</v>
      </c>
      <c r="F4678">
        <v>830</v>
      </c>
    </row>
    <row r="4679" spans="1:8" x14ac:dyDescent="0.45">
      <c r="A4679" t="s">
        <v>83</v>
      </c>
      <c r="B4679" t="s">
        <v>21</v>
      </c>
      <c r="C4679">
        <v>6</v>
      </c>
      <c r="D4679" t="s">
        <v>29</v>
      </c>
      <c r="F4679">
        <v>641</v>
      </c>
    </row>
    <row r="4680" spans="1:8" x14ac:dyDescent="0.45">
      <c r="A4680" t="s">
        <v>83</v>
      </c>
      <c r="B4680" t="s">
        <v>20</v>
      </c>
      <c r="C4680">
        <v>6</v>
      </c>
      <c r="D4680" t="s">
        <v>19</v>
      </c>
      <c r="E4680">
        <v>3251817</v>
      </c>
      <c r="F4680">
        <v>4889</v>
      </c>
      <c r="G4680">
        <v>1264</v>
      </c>
    </row>
    <row r="4681" spans="1:8" x14ac:dyDescent="0.45">
      <c r="A4681" t="s">
        <v>83</v>
      </c>
      <c r="B4681" t="s">
        <v>20</v>
      </c>
      <c r="C4681">
        <v>6</v>
      </c>
      <c r="D4681" t="s">
        <v>27</v>
      </c>
      <c r="F4681">
        <v>1284</v>
      </c>
    </row>
    <row r="4682" spans="1:8" x14ac:dyDescent="0.45">
      <c r="A4682" t="s">
        <v>83</v>
      </c>
      <c r="B4682" t="s">
        <v>20</v>
      </c>
      <c r="C4682">
        <v>6</v>
      </c>
      <c r="D4682" t="s">
        <v>28</v>
      </c>
      <c r="F4682">
        <v>830</v>
      </c>
    </row>
    <row r="4683" spans="1:8" x14ac:dyDescent="0.45">
      <c r="A4683" t="s">
        <v>83</v>
      </c>
      <c r="B4683" t="s">
        <v>20</v>
      </c>
      <c r="C4683">
        <v>6</v>
      </c>
      <c r="D4683" t="s">
        <v>29</v>
      </c>
      <c r="F4683">
        <v>600</v>
      </c>
    </row>
    <row r="4684" spans="1:8" x14ac:dyDescent="0.45">
      <c r="A4684" t="s">
        <v>83</v>
      </c>
      <c r="B4684" t="s">
        <v>20</v>
      </c>
      <c r="C4684">
        <v>6</v>
      </c>
      <c r="D4684" t="s">
        <v>31</v>
      </c>
      <c r="H4684">
        <v>79</v>
      </c>
    </row>
    <row r="4685" spans="1:8" x14ac:dyDescent="0.45">
      <c r="A4685" t="s">
        <v>83</v>
      </c>
      <c r="B4685" t="s">
        <v>20</v>
      </c>
      <c r="C4685">
        <v>6</v>
      </c>
      <c r="D4685" t="s">
        <v>32</v>
      </c>
      <c r="H4685">
        <v>15</v>
      </c>
    </row>
    <row r="4686" spans="1:8" x14ac:dyDescent="0.45">
      <c r="A4686" t="s">
        <v>83</v>
      </c>
      <c r="B4686" t="s">
        <v>20</v>
      </c>
      <c r="C4686">
        <v>6</v>
      </c>
      <c r="D4686" t="s">
        <v>34</v>
      </c>
      <c r="H4686">
        <v>24</v>
      </c>
    </row>
    <row r="4687" spans="1:8" x14ac:dyDescent="0.45">
      <c r="A4687" t="s">
        <v>83</v>
      </c>
      <c r="B4687" t="s">
        <v>21</v>
      </c>
      <c r="C4687">
        <v>7</v>
      </c>
      <c r="D4687" t="s">
        <v>19</v>
      </c>
      <c r="E4687">
        <v>2138083</v>
      </c>
      <c r="F4687">
        <v>3749</v>
      </c>
      <c r="G4687">
        <v>739</v>
      </c>
    </row>
    <row r="4688" spans="1:8" x14ac:dyDescent="0.45">
      <c r="A4688" t="s">
        <v>83</v>
      </c>
      <c r="B4688" t="s">
        <v>21</v>
      </c>
      <c r="C4688">
        <v>7</v>
      </c>
      <c r="D4688" t="s">
        <v>27</v>
      </c>
      <c r="F4688">
        <v>1323</v>
      </c>
    </row>
    <row r="4689" spans="1:8" x14ac:dyDescent="0.45">
      <c r="A4689" t="s">
        <v>83</v>
      </c>
      <c r="B4689" t="s">
        <v>21</v>
      </c>
      <c r="C4689">
        <v>7</v>
      </c>
      <c r="D4689" t="s">
        <v>28</v>
      </c>
      <c r="F4689">
        <v>676</v>
      </c>
    </row>
    <row r="4690" spans="1:8" x14ac:dyDescent="0.45">
      <c r="A4690" t="s">
        <v>83</v>
      </c>
      <c r="B4690" t="s">
        <v>21</v>
      </c>
      <c r="C4690">
        <v>7</v>
      </c>
      <c r="D4690" t="s">
        <v>29</v>
      </c>
      <c r="F4690">
        <v>388</v>
      </c>
    </row>
    <row r="4691" spans="1:8" x14ac:dyDescent="0.45">
      <c r="A4691" t="s">
        <v>83</v>
      </c>
      <c r="B4691" t="s">
        <v>20</v>
      </c>
      <c r="C4691">
        <v>7</v>
      </c>
      <c r="D4691" t="s">
        <v>19</v>
      </c>
      <c r="E4691">
        <v>2422449</v>
      </c>
      <c r="F4691">
        <v>4237</v>
      </c>
    </row>
    <row r="4692" spans="1:8" x14ac:dyDescent="0.45">
      <c r="A4692" t="s">
        <v>83</v>
      </c>
      <c r="B4692" t="s">
        <v>20</v>
      </c>
      <c r="C4692">
        <v>7</v>
      </c>
      <c r="D4692" t="s">
        <v>27</v>
      </c>
      <c r="F4692">
        <v>1286</v>
      </c>
    </row>
    <row r="4693" spans="1:8" x14ac:dyDescent="0.45">
      <c r="A4693" t="s">
        <v>83</v>
      </c>
      <c r="B4693" t="s">
        <v>20</v>
      </c>
      <c r="C4693">
        <v>7</v>
      </c>
      <c r="D4693" t="s">
        <v>28</v>
      </c>
      <c r="F4693">
        <v>723</v>
      </c>
    </row>
    <row r="4694" spans="1:8" x14ac:dyDescent="0.45">
      <c r="A4694" t="s">
        <v>83</v>
      </c>
      <c r="B4694" t="s">
        <v>20</v>
      </c>
      <c r="C4694">
        <v>7</v>
      </c>
      <c r="D4694" t="s">
        <v>29</v>
      </c>
      <c r="F4694">
        <v>454</v>
      </c>
    </row>
    <row r="4695" spans="1:8" x14ac:dyDescent="0.45">
      <c r="A4695" t="s">
        <v>83</v>
      </c>
      <c r="B4695" t="s">
        <v>20</v>
      </c>
      <c r="C4695">
        <v>7</v>
      </c>
      <c r="D4695" t="s">
        <v>31</v>
      </c>
      <c r="H4695">
        <v>263</v>
      </c>
    </row>
    <row r="4696" spans="1:8" x14ac:dyDescent="0.45">
      <c r="A4696" t="s">
        <v>83</v>
      </c>
      <c r="B4696" t="s">
        <v>20</v>
      </c>
      <c r="C4696">
        <v>7</v>
      </c>
      <c r="D4696" t="s">
        <v>32</v>
      </c>
      <c r="H4696">
        <v>7</v>
      </c>
    </row>
    <row r="4697" spans="1:8" x14ac:dyDescent="0.45">
      <c r="A4697" t="s">
        <v>83</v>
      </c>
      <c r="B4697" t="s">
        <v>20</v>
      </c>
      <c r="C4697">
        <v>7</v>
      </c>
      <c r="D4697" t="s">
        <v>34</v>
      </c>
      <c r="H4697">
        <v>21</v>
      </c>
    </row>
    <row r="4698" spans="1:8" x14ac:dyDescent="0.45">
      <c r="A4698" t="s">
        <v>83</v>
      </c>
      <c r="B4698" t="s">
        <v>21</v>
      </c>
      <c r="C4698">
        <v>8</v>
      </c>
      <c r="D4698" t="s">
        <v>19</v>
      </c>
      <c r="E4698">
        <v>1659187</v>
      </c>
      <c r="F4698">
        <v>3409</v>
      </c>
      <c r="G4698">
        <v>984</v>
      </c>
    </row>
    <row r="4699" spans="1:8" x14ac:dyDescent="0.45">
      <c r="A4699" t="s">
        <v>83</v>
      </c>
      <c r="B4699" t="s">
        <v>21</v>
      </c>
      <c r="C4699">
        <v>8</v>
      </c>
      <c r="D4699" t="s">
        <v>27</v>
      </c>
      <c r="F4699">
        <v>1379</v>
      </c>
      <c r="G4699">
        <v>1272</v>
      </c>
    </row>
    <row r="4700" spans="1:8" x14ac:dyDescent="0.45">
      <c r="A4700" t="s">
        <v>83</v>
      </c>
      <c r="B4700" t="s">
        <v>21</v>
      </c>
      <c r="C4700">
        <v>8</v>
      </c>
      <c r="D4700" t="s">
        <v>28</v>
      </c>
      <c r="F4700">
        <v>592</v>
      </c>
      <c r="G4700">
        <v>988</v>
      </c>
    </row>
    <row r="4701" spans="1:8" x14ac:dyDescent="0.45">
      <c r="A4701" t="s">
        <v>83</v>
      </c>
      <c r="B4701" t="s">
        <v>21</v>
      </c>
      <c r="C4701">
        <v>8</v>
      </c>
      <c r="D4701" t="s">
        <v>29</v>
      </c>
      <c r="F4701">
        <v>336</v>
      </c>
      <c r="G4701">
        <v>1066</v>
      </c>
    </row>
    <row r="4702" spans="1:8" x14ac:dyDescent="0.45">
      <c r="A4702" t="s">
        <v>83</v>
      </c>
      <c r="B4702" t="s">
        <v>20</v>
      </c>
      <c r="C4702">
        <v>8</v>
      </c>
      <c r="D4702" t="s">
        <v>19</v>
      </c>
      <c r="E4702">
        <v>1761913</v>
      </c>
      <c r="F4702">
        <v>3235</v>
      </c>
    </row>
    <row r="4703" spans="1:8" x14ac:dyDescent="0.45">
      <c r="A4703" t="s">
        <v>83</v>
      </c>
      <c r="B4703" t="s">
        <v>20</v>
      </c>
      <c r="C4703">
        <v>8</v>
      </c>
      <c r="D4703" t="s">
        <v>27</v>
      </c>
      <c r="F4703">
        <v>1048</v>
      </c>
      <c r="G4703">
        <v>858</v>
      </c>
    </row>
    <row r="4704" spans="1:8" x14ac:dyDescent="0.45">
      <c r="A4704" t="s">
        <v>83</v>
      </c>
      <c r="B4704" t="s">
        <v>20</v>
      </c>
      <c r="C4704">
        <v>8</v>
      </c>
      <c r="D4704" t="s">
        <v>28</v>
      </c>
      <c r="F4704">
        <v>622</v>
      </c>
      <c r="G4704">
        <v>996</v>
      </c>
    </row>
    <row r="4705" spans="1:8" x14ac:dyDescent="0.45">
      <c r="A4705" t="s">
        <v>83</v>
      </c>
      <c r="B4705" t="s">
        <v>20</v>
      </c>
      <c r="C4705">
        <v>8</v>
      </c>
      <c r="D4705" t="s">
        <v>29</v>
      </c>
      <c r="F4705">
        <v>328</v>
      </c>
      <c r="G4705">
        <v>1114</v>
      </c>
    </row>
    <row r="4706" spans="1:8" x14ac:dyDescent="0.45">
      <c r="A4706" t="s">
        <v>83</v>
      </c>
      <c r="B4706" t="s">
        <v>20</v>
      </c>
      <c r="C4706">
        <v>8</v>
      </c>
      <c r="D4706" t="s">
        <v>31</v>
      </c>
      <c r="H4706">
        <v>41</v>
      </c>
    </row>
    <row r="4707" spans="1:8" x14ac:dyDescent="0.45">
      <c r="A4707" t="s">
        <v>83</v>
      </c>
      <c r="B4707" t="s">
        <v>20</v>
      </c>
      <c r="C4707">
        <v>8</v>
      </c>
      <c r="D4707" t="s">
        <v>32</v>
      </c>
      <c r="H4707">
        <v>10</v>
      </c>
    </row>
    <row r="4708" spans="1:8" x14ac:dyDescent="0.45">
      <c r="A4708" t="s">
        <v>83</v>
      </c>
      <c r="B4708" t="s">
        <v>20</v>
      </c>
      <c r="C4708">
        <v>8</v>
      </c>
      <c r="D4708" t="s">
        <v>34</v>
      </c>
      <c r="H4708">
        <v>9</v>
      </c>
    </row>
    <row r="4709" spans="1:8" x14ac:dyDescent="0.45">
      <c r="A4709" t="s">
        <v>83</v>
      </c>
      <c r="B4709" t="s">
        <v>21</v>
      </c>
      <c r="C4709">
        <v>9</v>
      </c>
      <c r="D4709" t="s">
        <v>19</v>
      </c>
      <c r="E4709">
        <v>1585413</v>
      </c>
      <c r="F4709">
        <v>3400</v>
      </c>
      <c r="G4709">
        <v>963</v>
      </c>
    </row>
    <row r="4710" spans="1:8" x14ac:dyDescent="0.45">
      <c r="A4710" t="s">
        <v>83</v>
      </c>
      <c r="B4710" t="s">
        <v>21</v>
      </c>
      <c r="C4710">
        <v>9</v>
      </c>
      <c r="D4710" t="s">
        <v>27</v>
      </c>
      <c r="F4710">
        <v>1328</v>
      </c>
    </row>
    <row r="4711" spans="1:8" x14ac:dyDescent="0.45">
      <c r="A4711" t="s">
        <v>83</v>
      </c>
      <c r="B4711" t="s">
        <v>21</v>
      </c>
      <c r="C4711">
        <v>9</v>
      </c>
      <c r="D4711" t="s">
        <v>28</v>
      </c>
      <c r="F4711">
        <v>589</v>
      </c>
    </row>
    <row r="4712" spans="1:8" x14ac:dyDescent="0.45">
      <c r="A4712" t="s">
        <v>83</v>
      </c>
      <c r="B4712" t="s">
        <v>21</v>
      </c>
      <c r="C4712">
        <v>9</v>
      </c>
      <c r="D4712" t="s">
        <v>29</v>
      </c>
      <c r="F4712">
        <v>379</v>
      </c>
    </row>
    <row r="4713" spans="1:8" x14ac:dyDescent="0.45">
      <c r="A4713" t="s">
        <v>83</v>
      </c>
      <c r="B4713" t="s">
        <v>20</v>
      </c>
      <c r="C4713">
        <v>9</v>
      </c>
      <c r="D4713" t="s">
        <v>19</v>
      </c>
      <c r="E4713">
        <v>1589292</v>
      </c>
      <c r="F4713">
        <v>3218</v>
      </c>
      <c r="G4713">
        <v>932</v>
      </c>
    </row>
    <row r="4714" spans="1:8" x14ac:dyDescent="0.45">
      <c r="A4714" t="s">
        <v>83</v>
      </c>
      <c r="B4714" t="s">
        <v>20</v>
      </c>
      <c r="C4714">
        <v>9</v>
      </c>
      <c r="D4714" t="s">
        <v>27</v>
      </c>
      <c r="F4714">
        <v>1325</v>
      </c>
    </row>
    <row r="4715" spans="1:8" x14ac:dyDescent="0.45">
      <c r="A4715" t="s">
        <v>83</v>
      </c>
      <c r="B4715" t="s">
        <v>20</v>
      </c>
      <c r="C4715">
        <v>9</v>
      </c>
      <c r="D4715" t="s">
        <v>28</v>
      </c>
      <c r="F4715">
        <v>603</v>
      </c>
    </row>
    <row r="4716" spans="1:8" x14ac:dyDescent="0.45">
      <c r="A4716" t="s">
        <v>83</v>
      </c>
      <c r="B4716" t="s">
        <v>20</v>
      </c>
      <c r="C4716">
        <v>9</v>
      </c>
      <c r="D4716" t="s">
        <v>29</v>
      </c>
      <c r="F4716">
        <v>299</v>
      </c>
    </row>
    <row r="4717" spans="1:8" x14ac:dyDescent="0.45">
      <c r="A4717" t="s">
        <v>83</v>
      </c>
      <c r="B4717" t="s">
        <v>20</v>
      </c>
      <c r="C4717">
        <v>9</v>
      </c>
      <c r="D4717" t="s">
        <v>31</v>
      </c>
      <c r="H4717">
        <v>219</v>
      </c>
    </row>
    <row r="4718" spans="1:8" x14ac:dyDescent="0.45">
      <c r="A4718" t="s">
        <v>83</v>
      </c>
      <c r="B4718" t="s">
        <v>20</v>
      </c>
      <c r="C4718">
        <v>9</v>
      </c>
      <c r="D4718" t="s">
        <v>32</v>
      </c>
      <c r="H4718">
        <v>11</v>
      </c>
    </row>
    <row r="4719" spans="1:8" x14ac:dyDescent="0.45">
      <c r="A4719" t="s">
        <v>83</v>
      </c>
      <c r="B4719" t="s">
        <v>20</v>
      </c>
      <c r="C4719">
        <v>9</v>
      </c>
      <c r="D4719" t="s">
        <v>34</v>
      </c>
      <c r="H4719">
        <v>5</v>
      </c>
    </row>
    <row r="4720" spans="1:8" x14ac:dyDescent="0.45">
      <c r="A4720" t="s">
        <v>83</v>
      </c>
      <c r="B4720" t="s">
        <v>21</v>
      </c>
      <c r="C4720">
        <v>10</v>
      </c>
      <c r="D4720" t="s">
        <v>19</v>
      </c>
      <c r="E4720">
        <v>2533594</v>
      </c>
      <c r="F4720">
        <v>5170</v>
      </c>
      <c r="H4720">
        <v>9</v>
      </c>
    </row>
    <row r="4721" spans="1:8" x14ac:dyDescent="0.45">
      <c r="A4721" t="s">
        <v>83</v>
      </c>
      <c r="B4721" t="s">
        <v>21</v>
      </c>
      <c r="C4721">
        <v>10</v>
      </c>
      <c r="D4721" t="s">
        <v>27</v>
      </c>
      <c r="F4721">
        <v>1811</v>
      </c>
    </row>
    <row r="4722" spans="1:8" x14ac:dyDescent="0.45">
      <c r="A4722" t="s">
        <v>83</v>
      </c>
      <c r="B4722" t="s">
        <v>21</v>
      </c>
      <c r="C4722">
        <v>10</v>
      </c>
      <c r="D4722" t="s">
        <v>28</v>
      </c>
      <c r="F4722">
        <v>918</v>
      </c>
    </row>
    <row r="4723" spans="1:8" x14ac:dyDescent="0.45">
      <c r="A4723" t="s">
        <v>83</v>
      </c>
      <c r="B4723" t="s">
        <v>21</v>
      </c>
      <c r="C4723">
        <v>10</v>
      </c>
      <c r="D4723" t="s">
        <v>29</v>
      </c>
      <c r="F4723">
        <v>564</v>
      </c>
    </row>
    <row r="4724" spans="1:8" x14ac:dyDescent="0.45">
      <c r="A4724" t="s">
        <v>83</v>
      </c>
      <c r="B4724" t="s">
        <v>20</v>
      </c>
      <c r="C4724">
        <v>10</v>
      </c>
      <c r="D4724" t="s">
        <v>19</v>
      </c>
      <c r="E4724">
        <v>2443695</v>
      </c>
      <c r="F4724">
        <v>4332</v>
      </c>
    </row>
    <row r="4725" spans="1:8" x14ac:dyDescent="0.45">
      <c r="A4725" t="s">
        <v>83</v>
      </c>
      <c r="B4725" t="s">
        <v>20</v>
      </c>
      <c r="C4725">
        <v>10</v>
      </c>
      <c r="D4725" t="s">
        <v>27</v>
      </c>
      <c r="F4725">
        <v>1457</v>
      </c>
    </row>
    <row r="4726" spans="1:8" x14ac:dyDescent="0.45">
      <c r="A4726" t="s">
        <v>83</v>
      </c>
      <c r="B4726" t="s">
        <v>20</v>
      </c>
      <c r="C4726">
        <v>10</v>
      </c>
      <c r="D4726" t="s">
        <v>28</v>
      </c>
      <c r="F4726">
        <v>822</v>
      </c>
    </row>
    <row r="4727" spans="1:8" x14ac:dyDescent="0.45">
      <c r="A4727" t="s">
        <v>83</v>
      </c>
      <c r="B4727" t="s">
        <v>20</v>
      </c>
      <c r="C4727">
        <v>10</v>
      </c>
      <c r="D4727" t="s">
        <v>29</v>
      </c>
      <c r="F4727">
        <v>537</v>
      </c>
    </row>
    <row r="4728" spans="1:8" x14ac:dyDescent="0.45">
      <c r="A4728" t="s">
        <v>83</v>
      </c>
      <c r="B4728" t="s">
        <v>20</v>
      </c>
      <c r="C4728">
        <v>10</v>
      </c>
      <c r="D4728" t="s">
        <v>31</v>
      </c>
      <c r="H4728">
        <v>214</v>
      </c>
    </row>
    <row r="4729" spans="1:8" x14ac:dyDescent="0.45">
      <c r="A4729" t="s">
        <v>83</v>
      </c>
      <c r="B4729" t="s">
        <v>20</v>
      </c>
      <c r="C4729">
        <v>10</v>
      </c>
      <c r="D4729" t="s">
        <v>32</v>
      </c>
      <c r="H4729">
        <v>19</v>
      </c>
    </row>
    <row r="4730" spans="1:8" x14ac:dyDescent="0.45">
      <c r="A4730" t="s">
        <v>83</v>
      </c>
      <c r="B4730" t="s">
        <v>20</v>
      </c>
      <c r="C4730">
        <v>10</v>
      </c>
      <c r="D4730" t="s">
        <v>34</v>
      </c>
      <c r="H4730">
        <v>11</v>
      </c>
    </row>
    <row r="4731" spans="1:8" x14ac:dyDescent="0.45">
      <c r="A4731" t="s">
        <v>83</v>
      </c>
      <c r="B4731" t="s">
        <v>21</v>
      </c>
      <c r="C4731">
        <v>11</v>
      </c>
      <c r="D4731" t="s">
        <v>19</v>
      </c>
      <c r="E4731">
        <v>2194356</v>
      </c>
      <c r="F4731">
        <v>4144</v>
      </c>
    </row>
    <row r="4732" spans="1:8" x14ac:dyDescent="0.45">
      <c r="A4732" t="s">
        <v>83</v>
      </c>
      <c r="B4732" t="s">
        <v>21</v>
      </c>
      <c r="C4732">
        <v>11</v>
      </c>
      <c r="D4732" t="s">
        <v>27</v>
      </c>
      <c r="F4732">
        <v>1557</v>
      </c>
    </row>
    <row r="4733" spans="1:8" x14ac:dyDescent="0.45">
      <c r="A4733" t="s">
        <v>83</v>
      </c>
      <c r="B4733" t="s">
        <v>21</v>
      </c>
      <c r="C4733">
        <v>11</v>
      </c>
      <c r="D4733" t="s">
        <v>28</v>
      </c>
      <c r="F4733">
        <v>774</v>
      </c>
    </row>
    <row r="4734" spans="1:8" x14ac:dyDescent="0.45">
      <c r="A4734" t="s">
        <v>83</v>
      </c>
      <c r="B4734" t="s">
        <v>21</v>
      </c>
      <c r="C4734">
        <v>11</v>
      </c>
      <c r="D4734" t="s">
        <v>29</v>
      </c>
      <c r="F4734">
        <v>482</v>
      </c>
    </row>
    <row r="4735" spans="1:8" x14ac:dyDescent="0.45">
      <c r="A4735" t="s">
        <v>83</v>
      </c>
      <c r="B4735" t="s">
        <v>20</v>
      </c>
      <c r="C4735">
        <v>11</v>
      </c>
      <c r="D4735" t="s">
        <v>19</v>
      </c>
      <c r="E4735">
        <v>2101721</v>
      </c>
      <c r="F4735">
        <v>4092</v>
      </c>
      <c r="H4735">
        <v>86</v>
      </c>
    </row>
    <row r="4736" spans="1:8" x14ac:dyDescent="0.45">
      <c r="A4736" t="s">
        <v>83</v>
      </c>
      <c r="B4736" t="s">
        <v>20</v>
      </c>
      <c r="C4736">
        <v>11</v>
      </c>
      <c r="D4736" t="s">
        <v>27</v>
      </c>
      <c r="F4736">
        <v>1354</v>
      </c>
    </row>
    <row r="4737" spans="1:8" x14ac:dyDescent="0.45">
      <c r="A4737" t="s">
        <v>83</v>
      </c>
      <c r="B4737" t="s">
        <v>20</v>
      </c>
      <c r="C4737">
        <v>11</v>
      </c>
      <c r="D4737" t="s">
        <v>28</v>
      </c>
      <c r="F4737">
        <v>777</v>
      </c>
    </row>
    <row r="4738" spans="1:8" x14ac:dyDescent="0.45">
      <c r="A4738" t="s">
        <v>83</v>
      </c>
      <c r="B4738" t="s">
        <v>20</v>
      </c>
      <c r="C4738">
        <v>11</v>
      </c>
      <c r="D4738" t="s">
        <v>29</v>
      </c>
      <c r="F4738">
        <v>554</v>
      </c>
    </row>
    <row r="4739" spans="1:8" x14ac:dyDescent="0.45">
      <c r="A4739" t="s">
        <v>83</v>
      </c>
      <c r="B4739" t="s">
        <v>20</v>
      </c>
      <c r="C4739">
        <v>11</v>
      </c>
      <c r="D4739" t="s">
        <v>31</v>
      </c>
      <c r="H4739">
        <v>405</v>
      </c>
    </row>
    <row r="4740" spans="1:8" x14ac:dyDescent="0.45">
      <c r="A4740" t="s">
        <v>83</v>
      </c>
      <c r="B4740" t="s">
        <v>20</v>
      </c>
      <c r="C4740">
        <v>11</v>
      </c>
      <c r="D4740" t="s">
        <v>32</v>
      </c>
      <c r="H4740">
        <v>6</v>
      </c>
    </row>
    <row r="4741" spans="1:8" x14ac:dyDescent="0.45">
      <c r="A4741" t="s">
        <v>83</v>
      </c>
      <c r="B4741" t="s">
        <v>20</v>
      </c>
      <c r="C4741">
        <v>11</v>
      </c>
      <c r="D4741" t="s">
        <v>34</v>
      </c>
      <c r="H4741">
        <v>13</v>
      </c>
    </row>
    <row r="4742" spans="1:8" x14ac:dyDescent="0.45">
      <c r="A4742" t="s">
        <v>83</v>
      </c>
      <c r="B4742" t="s">
        <v>21</v>
      </c>
      <c r="C4742">
        <v>12</v>
      </c>
      <c r="D4742" t="s">
        <v>19</v>
      </c>
      <c r="E4742">
        <v>2334172</v>
      </c>
      <c r="F4742">
        <v>4694</v>
      </c>
      <c r="G4742">
        <v>596</v>
      </c>
    </row>
    <row r="4743" spans="1:8" x14ac:dyDescent="0.45">
      <c r="A4743" t="s">
        <v>83</v>
      </c>
      <c r="B4743" t="s">
        <v>21</v>
      </c>
      <c r="C4743">
        <v>12</v>
      </c>
      <c r="D4743" t="s">
        <v>27</v>
      </c>
      <c r="F4743">
        <v>1551</v>
      </c>
    </row>
    <row r="4744" spans="1:8" x14ac:dyDescent="0.45">
      <c r="A4744" t="s">
        <v>83</v>
      </c>
      <c r="B4744" t="s">
        <v>21</v>
      </c>
      <c r="C4744">
        <v>12</v>
      </c>
      <c r="D4744" t="s">
        <v>28</v>
      </c>
      <c r="F4744">
        <v>882</v>
      </c>
    </row>
    <row r="4745" spans="1:8" x14ac:dyDescent="0.45">
      <c r="A4745" t="s">
        <v>83</v>
      </c>
      <c r="B4745" t="s">
        <v>21</v>
      </c>
      <c r="C4745">
        <v>12</v>
      </c>
      <c r="D4745" t="s">
        <v>29</v>
      </c>
      <c r="F4745">
        <v>667</v>
      </c>
    </row>
    <row r="4746" spans="1:8" x14ac:dyDescent="0.45">
      <c r="A4746" t="s">
        <v>83</v>
      </c>
      <c r="B4746" t="s">
        <v>20</v>
      </c>
      <c r="C4746">
        <v>12</v>
      </c>
      <c r="D4746" t="s">
        <v>19</v>
      </c>
      <c r="E4746">
        <v>2317310</v>
      </c>
      <c r="F4746">
        <v>4440</v>
      </c>
      <c r="H4746">
        <v>10</v>
      </c>
    </row>
    <row r="4747" spans="1:8" x14ac:dyDescent="0.45">
      <c r="A4747" t="s">
        <v>83</v>
      </c>
      <c r="B4747" t="s">
        <v>20</v>
      </c>
      <c r="C4747">
        <v>12</v>
      </c>
      <c r="D4747" t="s">
        <v>27</v>
      </c>
      <c r="F4747">
        <v>1375</v>
      </c>
    </row>
    <row r="4748" spans="1:8" x14ac:dyDescent="0.45">
      <c r="A4748" t="s">
        <v>83</v>
      </c>
      <c r="B4748" t="s">
        <v>20</v>
      </c>
      <c r="C4748">
        <v>12</v>
      </c>
      <c r="D4748" t="s">
        <v>28</v>
      </c>
      <c r="F4748">
        <v>870</v>
      </c>
    </row>
    <row r="4749" spans="1:8" x14ac:dyDescent="0.45">
      <c r="A4749" t="s">
        <v>83</v>
      </c>
      <c r="B4749" t="s">
        <v>20</v>
      </c>
      <c r="C4749">
        <v>12</v>
      </c>
      <c r="D4749" t="s">
        <v>29</v>
      </c>
      <c r="F4749">
        <v>650</v>
      </c>
    </row>
    <row r="4750" spans="1:8" x14ac:dyDescent="0.45">
      <c r="A4750" t="s">
        <v>83</v>
      </c>
      <c r="B4750" t="s">
        <v>20</v>
      </c>
      <c r="C4750">
        <v>12</v>
      </c>
      <c r="D4750" t="s">
        <v>31</v>
      </c>
      <c r="H4750">
        <v>184</v>
      </c>
    </row>
    <row r="4751" spans="1:8" x14ac:dyDescent="0.45">
      <c r="A4751" t="s">
        <v>83</v>
      </c>
      <c r="B4751" t="s">
        <v>20</v>
      </c>
      <c r="C4751">
        <v>12</v>
      </c>
      <c r="D4751" t="s">
        <v>32</v>
      </c>
      <c r="H4751">
        <v>11</v>
      </c>
    </row>
    <row r="4752" spans="1:8" x14ac:dyDescent="0.45">
      <c r="A4752" t="s">
        <v>83</v>
      </c>
      <c r="B4752" t="s">
        <v>20</v>
      </c>
      <c r="C4752">
        <v>12</v>
      </c>
      <c r="D4752" t="s">
        <v>34</v>
      </c>
      <c r="H4752">
        <v>11</v>
      </c>
    </row>
    <row r="4753" spans="1:8" x14ac:dyDescent="0.45">
      <c r="A4753" t="s">
        <v>73</v>
      </c>
      <c r="B4753" t="s">
        <v>21</v>
      </c>
      <c r="C4753">
        <v>1</v>
      </c>
      <c r="D4753" t="s">
        <v>19</v>
      </c>
      <c r="E4753">
        <v>981825</v>
      </c>
      <c r="F4753">
        <v>2047</v>
      </c>
      <c r="G4753">
        <v>582</v>
      </c>
    </row>
    <row r="4754" spans="1:8" x14ac:dyDescent="0.45">
      <c r="A4754" t="s">
        <v>73</v>
      </c>
      <c r="B4754" t="s">
        <v>21</v>
      </c>
      <c r="C4754">
        <v>1</v>
      </c>
      <c r="D4754" t="s">
        <v>27</v>
      </c>
      <c r="F4754">
        <v>804</v>
      </c>
    </row>
    <row r="4755" spans="1:8" x14ac:dyDescent="0.45">
      <c r="A4755" t="s">
        <v>73</v>
      </c>
      <c r="B4755" t="s">
        <v>21</v>
      </c>
      <c r="C4755">
        <v>1</v>
      </c>
      <c r="D4755" t="s">
        <v>28</v>
      </c>
      <c r="F4755">
        <v>370</v>
      </c>
    </row>
    <row r="4756" spans="1:8" x14ac:dyDescent="0.45">
      <c r="A4756" t="s">
        <v>73</v>
      </c>
      <c r="B4756" t="s">
        <v>21</v>
      </c>
      <c r="C4756">
        <v>1</v>
      </c>
      <c r="D4756" t="s">
        <v>29</v>
      </c>
      <c r="F4756">
        <v>295</v>
      </c>
    </row>
    <row r="4757" spans="1:8" x14ac:dyDescent="0.45">
      <c r="A4757" t="s">
        <v>73</v>
      </c>
      <c r="B4757" t="s">
        <v>20</v>
      </c>
      <c r="C4757">
        <v>1</v>
      </c>
      <c r="D4757" t="s">
        <v>19</v>
      </c>
      <c r="E4757">
        <v>1159892</v>
      </c>
      <c r="F4757">
        <v>2275</v>
      </c>
      <c r="G4757">
        <v>664</v>
      </c>
    </row>
    <row r="4758" spans="1:8" x14ac:dyDescent="0.45">
      <c r="A4758" t="s">
        <v>73</v>
      </c>
      <c r="B4758" t="s">
        <v>20</v>
      </c>
      <c r="C4758">
        <v>1</v>
      </c>
      <c r="D4758" t="s">
        <v>27</v>
      </c>
      <c r="F4758">
        <v>757</v>
      </c>
    </row>
    <row r="4759" spans="1:8" x14ac:dyDescent="0.45">
      <c r="A4759" t="s">
        <v>73</v>
      </c>
      <c r="B4759" t="s">
        <v>20</v>
      </c>
      <c r="C4759">
        <v>1</v>
      </c>
      <c r="D4759" t="s">
        <v>28</v>
      </c>
      <c r="F4759">
        <v>388</v>
      </c>
    </row>
    <row r="4760" spans="1:8" x14ac:dyDescent="0.45">
      <c r="A4760" t="s">
        <v>73</v>
      </c>
      <c r="B4760" t="s">
        <v>20</v>
      </c>
      <c r="C4760">
        <v>1</v>
      </c>
      <c r="D4760" t="s">
        <v>29</v>
      </c>
      <c r="F4760">
        <v>365</v>
      </c>
    </row>
    <row r="4761" spans="1:8" x14ac:dyDescent="0.45">
      <c r="A4761" t="s">
        <v>73</v>
      </c>
      <c r="B4761" t="s">
        <v>20</v>
      </c>
      <c r="C4761">
        <v>1</v>
      </c>
      <c r="D4761" t="s">
        <v>31</v>
      </c>
      <c r="H4761">
        <v>122</v>
      </c>
    </row>
    <row r="4762" spans="1:8" x14ac:dyDescent="0.45">
      <c r="A4762" t="s">
        <v>73</v>
      </c>
      <c r="B4762" t="s">
        <v>20</v>
      </c>
      <c r="C4762">
        <v>1</v>
      </c>
      <c r="D4762" t="s">
        <v>32</v>
      </c>
      <c r="H4762">
        <v>16</v>
      </c>
    </row>
    <row r="4763" spans="1:8" x14ac:dyDescent="0.45">
      <c r="A4763" t="s">
        <v>73</v>
      </c>
      <c r="B4763" t="s">
        <v>20</v>
      </c>
      <c r="C4763">
        <v>1</v>
      </c>
      <c r="D4763" t="s">
        <v>34</v>
      </c>
    </row>
    <row r="4764" spans="1:8" x14ac:dyDescent="0.45">
      <c r="A4764" t="s">
        <v>73</v>
      </c>
      <c r="B4764" t="s">
        <v>21</v>
      </c>
      <c r="C4764">
        <v>2</v>
      </c>
      <c r="D4764" t="s">
        <v>19</v>
      </c>
      <c r="E4764">
        <v>983983</v>
      </c>
      <c r="F4764">
        <v>2083</v>
      </c>
      <c r="G4764">
        <v>582</v>
      </c>
    </row>
    <row r="4765" spans="1:8" x14ac:dyDescent="0.45">
      <c r="A4765" t="s">
        <v>73</v>
      </c>
      <c r="B4765" t="s">
        <v>21</v>
      </c>
      <c r="C4765">
        <v>2</v>
      </c>
      <c r="D4765" t="s">
        <v>27</v>
      </c>
      <c r="F4765">
        <v>843</v>
      </c>
    </row>
    <row r="4766" spans="1:8" x14ac:dyDescent="0.45">
      <c r="A4766" t="s">
        <v>73</v>
      </c>
      <c r="B4766" t="s">
        <v>21</v>
      </c>
      <c r="C4766">
        <v>2</v>
      </c>
      <c r="D4766" t="s">
        <v>28</v>
      </c>
      <c r="F4766">
        <v>373</v>
      </c>
    </row>
    <row r="4767" spans="1:8" x14ac:dyDescent="0.45">
      <c r="A4767" t="s">
        <v>73</v>
      </c>
      <c r="B4767" t="s">
        <v>21</v>
      </c>
      <c r="C4767">
        <v>2</v>
      </c>
      <c r="D4767" t="s">
        <v>29</v>
      </c>
      <c r="F4767">
        <v>286</v>
      </c>
    </row>
    <row r="4768" spans="1:8" x14ac:dyDescent="0.45">
      <c r="A4768" t="s">
        <v>73</v>
      </c>
      <c r="B4768" t="s">
        <v>20</v>
      </c>
      <c r="C4768">
        <v>2</v>
      </c>
      <c r="D4768" t="s">
        <v>19</v>
      </c>
      <c r="E4768">
        <v>1155309</v>
      </c>
      <c r="F4768">
        <v>2149</v>
      </c>
      <c r="G4768">
        <v>627</v>
      </c>
    </row>
    <row r="4769" spans="1:8" x14ac:dyDescent="0.45">
      <c r="A4769" t="s">
        <v>73</v>
      </c>
      <c r="B4769" t="s">
        <v>20</v>
      </c>
      <c r="C4769">
        <v>2</v>
      </c>
      <c r="D4769" t="s">
        <v>27</v>
      </c>
      <c r="F4769">
        <v>747</v>
      </c>
    </row>
    <row r="4770" spans="1:8" x14ac:dyDescent="0.45">
      <c r="A4770" t="s">
        <v>73</v>
      </c>
      <c r="B4770" t="s">
        <v>20</v>
      </c>
      <c r="C4770">
        <v>2</v>
      </c>
      <c r="D4770" t="s">
        <v>28</v>
      </c>
      <c r="F4770">
        <v>349</v>
      </c>
    </row>
    <row r="4771" spans="1:8" x14ac:dyDescent="0.45">
      <c r="A4771" t="s">
        <v>73</v>
      </c>
      <c r="B4771" t="s">
        <v>20</v>
      </c>
      <c r="C4771">
        <v>2</v>
      </c>
      <c r="D4771" t="s">
        <v>29</v>
      </c>
      <c r="F4771">
        <v>332</v>
      </c>
    </row>
    <row r="4772" spans="1:8" x14ac:dyDescent="0.45">
      <c r="A4772" t="s">
        <v>73</v>
      </c>
      <c r="B4772" t="s">
        <v>20</v>
      </c>
      <c r="C4772">
        <v>2</v>
      </c>
      <c r="D4772" t="s">
        <v>31</v>
      </c>
      <c r="H4772">
        <v>122</v>
      </c>
    </row>
    <row r="4773" spans="1:8" x14ac:dyDescent="0.45">
      <c r="A4773" t="s">
        <v>73</v>
      </c>
      <c r="B4773" t="s">
        <v>20</v>
      </c>
      <c r="C4773">
        <v>2</v>
      </c>
      <c r="D4773" t="s">
        <v>32</v>
      </c>
      <c r="H4773">
        <v>18</v>
      </c>
    </row>
    <row r="4774" spans="1:8" x14ac:dyDescent="0.45">
      <c r="A4774" t="s">
        <v>73</v>
      </c>
      <c r="B4774" t="s">
        <v>20</v>
      </c>
      <c r="C4774">
        <v>2</v>
      </c>
      <c r="D4774" t="s">
        <v>34</v>
      </c>
      <c r="H4774">
        <v>8</v>
      </c>
    </row>
    <row r="4775" spans="1:8" x14ac:dyDescent="0.45">
      <c r="A4775" t="s">
        <v>73</v>
      </c>
      <c r="B4775" t="s">
        <v>21</v>
      </c>
      <c r="C4775">
        <v>3</v>
      </c>
      <c r="D4775" t="s">
        <v>19</v>
      </c>
      <c r="E4775">
        <v>2357229</v>
      </c>
      <c r="F4775">
        <v>3931</v>
      </c>
      <c r="H4775">
        <v>131</v>
      </c>
    </row>
    <row r="4776" spans="1:8" x14ac:dyDescent="0.45">
      <c r="A4776" t="s">
        <v>73</v>
      </c>
      <c r="B4776" t="s">
        <v>21</v>
      </c>
      <c r="C4776">
        <v>3</v>
      </c>
      <c r="D4776" t="s">
        <v>27</v>
      </c>
      <c r="F4776">
        <v>1039</v>
      </c>
    </row>
    <row r="4777" spans="1:8" x14ac:dyDescent="0.45">
      <c r="A4777" t="s">
        <v>73</v>
      </c>
      <c r="B4777" t="s">
        <v>21</v>
      </c>
      <c r="C4777">
        <v>3</v>
      </c>
      <c r="D4777" t="s">
        <v>28</v>
      </c>
      <c r="F4777">
        <v>596</v>
      </c>
    </row>
    <row r="4778" spans="1:8" x14ac:dyDescent="0.45">
      <c r="A4778" t="s">
        <v>73</v>
      </c>
      <c r="B4778" t="s">
        <v>21</v>
      </c>
      <c r="C4778">
        <v>3</v>
      </c>
      <c r="D4778" t="s">
        <v>29</v>
      </c>
      <c r="F4778">
        <v>557</v>
      </c>
    </row>
    <row r="4779" spans="1:8" x14ac:dyDescent="0.45">
      <c r="A4779" t="s">
        <v>73</v>
      </c>
      <c r="B4779" t="s">
        <v>20</v>
      </c>
      <c r="C4779">
        <v>3</v>
      </c>
      <c r="D4779" t="s">
        <v>19</v>
      </c>
      <c r="E4779">
        <v>2143817</v>
      </c>
      <c r="F4779">
        <v>3543</v>
      </c>
      <c r="G4779">
        <v>1355</v>
      </c>
      <c r="H4779">
        <v>118</v>
      </c>
    </row>
    <row r="4780" spans="1:8" x14ac:dyDescent="0.45">
      <c r="A4780" t="s">
        <v>73</v>
      </c>
      <c r="B4780" t="s">
        <v>20</v>
      </c>
      <c r="C4780">
        <v>3</v>
      </c>
      <c r="D4780" t="s">
        <v>27</v>
      </c>
      <c r="F4780">
        <v>1003</v>
      </c>
    </row>
    <row r="4781" spans="1:8" x14ac:dyDescent="0.45">
      <c r="A4781" t="s">
        <v>73</v>
      </c>
      <c r="B4781" t="s">
        <v>20</v>
      </c>
      <c r="C4781">
        <v>3</v>
      </c>
      <c r="D4781" t="s">
        <v>28</v>
      </c>
      <c r="F4781">
        <v>582</v>
      </c>
    </row>
    <row r="4782" spans="1:8" x14ac:dyDescent="0.45">
      <c r="A4782" t="s">
        <v>73</v>
      </c>
      <c r="B4782" t="s">
        <v>20</v>
      </c>
      <c r="C4782">
        <v>3</v>
      </c>
      <c r="D4782" t="s">
        <v>29</v>
      </c>
      <c r="F4782">
        <v>551</v>
      </c>
    </row>
    <row r="4783" spans="1:8" x14ac:dyDescent="0.45">
      <c r="A4783" t="s">
        <v>73</v>
      </c>
      <c r="B4783" t="s">
        <v>20</v>
      </c>
      <c r="C4783">
        <v>3</v>
      </c>
      <c r="D4783" t="s">
        <v>31</v>
      </c>
      <c r="H4783">
        <v>101</v>
      </c>
    </row>
    <row r="4784" spans="1:8" x14ac:dyDescent="0.45">
      <c r="A4784" t="s">
        <v>73</v>
      </c>
      <c r="B4784" t="s">
        <v>20</v>
      </c>
      <c r="C4784">
        <v>3</v>
      </c>
      <c r="D4784" t="s">
        <v>32</v>
      </c>
      <c r="H4784">
        <v>15</v>
      </c>
    </row>
    <row r="4785" spans="1:8" x14ac:dyDescent="0.45">
      <c r="A4785" t="s">
        <v>73</v>
      </c>
      <c r="B4785" t="s">
        <v>20</v>
      </c>
      <c r="C4785">
        <v>3</v>
      </c>
      <c r="D4785" t="s">
        <v>34</v>
      </c>
      <c r="H4785">
        <v>5</v>
      </c>
    </row>
    <row r="4786" spans="1:8" x14ac:dyDescent="0.45">
      <c r="A4786" t="s">
        <v>73</v>
      </c>
      <c r="B4786" t="s">
        <v>21</v>
      </c>
      <c r="C4786">
        <v>4</v>
      </c>
      <c r="D4786" t="s">
        <v>19</v>
      </c>
      <c r="E4786">
        <v>2707069</v>
      </c>
      <c r="F4786">
        <v>4505</v>
      </c>
      <c r="G4786">
        <v>417</v>
      </c>
    </row>
    <row r="4787" spans="1:8" x14ac:dyDescent="0.45">
      <c r="A4787" t="s">
        <v>73</v>
      </c>
      <c r="B4787" t="s">
        <v>21</v>
      </c>
      <c r="C4787">
        <v>4</v>
      </c>
      <c r="D4787" t="s">
        <v>27</v>
      </c>
      <c r="F4787">
        <v>1148</v>
      </c>
    </row>
    <row r="4788" spans="1:8" x14ac:dyDescent="0.45">
      <c r="A4788" t="s">
        <v>73</v>
      </c>
      <c r="B4788" t="s">
        <v>21</v>
      </c>
      <c r="C4788">
        <v>4</v>
      </c>
      <c r="D4788" t="s">
        <v>28</v>
      </c>
      <c r="F4788">
        <v>637</v>
      </c>
    </row>
    <row r="4789" spans="1:8" x14ac:dyDescent="0.45">
      <c r="A4789" t="s">
        <v>73</v>
      </c>
      <c r="B4789" t="s">
        <v>21</v>
      </c>
      <c r="C4789">
        <v>4</v>
      </c>
      <c r="D4789" t="s">
        <v>29</v>
      </c>
      <c r="F4789">
        <v>580</v>
      </c>
    </row>
    <row r="4790" spans="1:8" x14ac:dyDescent="0.45">
      <c r="A4790" t="s">
        <v>73</v>
      </c>
      <c r="B4790" t="s">
        <v>20</v>
      </c>
      <c r="C4790">
        <v>4</v>
      </c>
      <c r="D4790" t="s">
        <v>19</v>
      </c>
      <c r="E4790">
        <v>3579892</v>
      </c>
      <c r="F4790">
        <v>5223</v>
      </c>
      <c r="G4790">
        <v>1267</v>
      </c>
    </row>
    <row r="4791" spans="1:8" x14ac:dyDescent="0.45">
      <c r="A4791" t="s">
        <v>73</v>
      </c>
      <c r="B4791" t="s">
        <v>20</v>
      </c>
      <c r="C4791">
        <v>4</v>
      </c>
      <c r="D4791" t="s">
        <v>27</v>
      </c>
      <c r="F4791">
        <v>915</v>
      </c>
    </row>
    <row r="4792" spans="1:8" x14ac:dyDescent="0.45">
      <c r="A4792" t="s">
        <v>73</v>
      </c>
      <c r="B4792" t="s">
        <v>20</v>
      </c>
      <c r="C4792">
        <v>4</v>
      </c>
      <c r="D4792" t="s">
        <v>28</v>
      </c>
      <c r="F4792">
        <v>712</v>
      </c>
    </row>
    <row r="4793" spans="1:8" x14ac:dyDescent="0.45">
      <c r="A4793" t="s">
        <v>73</v>
      </c>
      <c r="B4793" t="s">
        <v>20</v>
      </c>
      <c r="C4793">
        <v>4</v>
      </c>
      <c r="D4793" t="s">
        <v>29</v>
      </c>
      <c r="F4793">
        <v>786</v>
      </c>
    </row>
    <row r="4794" spans="1:8" x14ac:dyDescent="0.45">
      <c r="A4794" t="s">
        <v>73</v>
      </c>
      <c r="B4794" t="s">
        <v>20</v>
      </c>
      <c r="C4794">
        <v>4</v>
      </c>
      <c r="D4794" t="s">
        <v>31</v>
      </c>
      <c r="H4794">
        <v>166</v>
      </c>
    </row>
    <row r="4795" spans="1:8" x14ac:dyDescent="0.45">
      <c r="A4795" t="s">
        <v>73</v>
      </c>
      <c r="B4795" t="s">
        <v>20</v>
      </c>
      <c r="C4795">
        <v>4</v>
      </c>
      <c r="D4795" t="s">
        <v>32</v>
      </c>
      <c r="H4795">
        <v>26</v>
      </c>
    </row>
    <row r="4796" spans="1:8" x14ac:dyDescent="0.45">
      <c r="A4796" t="s">
        <v>73</v>
      </c>
      <c r="B4796" t="s">
        <v>20</v>
      </c>
      <c r="C4796">
        <v>4</v>
      </c>
      <c r="D4796" t="s">
        <v>34</v>
      </c>
      <c r="H4796">
        <v>9</v>
      </c>
    </row>
    <row r="4797" spans="1:8" x14ac:dyDescent="0.45">
      <c r="A4797" t="s">
        <v>73</v>
      </c>
      <c r="B4797" t="s">
        <v>21</v>
      </c>
      <c r="C4797">
        <v>5</v>
      </c>
      <c r="D4797" t="s">
        <v>19</v>
      </c>
      <c r="E4797">
        <v>2356119</v>
      </c>
      <c r="F4797">
        <v>3657</v>
      </c>
    </row>
    <row r="4798" spans="1:8" x14ac:dyDescent="0.45">
      <c r="A4798" t="s">
        <v>73</v>
      </c>
      <c r="B4798" t="s">
        <v>21</v>
      </c>
      <c r="C4798">
        <v>5</v>
      </c>
      <c r="D4798" t="s">
        <v>27</v>
      </c>
      <c r="F4798">
        <v>964</v>
      </c>
    </row>
    <row r="4799" spans="1:8" x14ac:dyDescent="0.45">
      <c r="A4799" t="s">
        <v>73</v>
      </c>
      <c r="B4799" t="s">
        <v>21</v>
      </c>
      <c r="C4799">
        <v>5</v>
      </c>
      <c r="D4799" t="s">
        <v>28</v>
      </c>
      <c r="F4799">
        <v>558</v>
      </c>
    </row>
    <row r="4800" spans="1:8" x14ac:dyDescent="0.45">
      <c r="A4800" t="s">
        <v>73</v>
      </c>
      <c r="B4800" t="s">
        <v>21</v>
      </c>
      <c r="C4800">
        <v>5</v>
      </c>
      <c r="D4800" t="s">
        <v>29</v>
      </c>
      <c r="F4800">
        <v>486</v>
      </c>
    </row>
    <row r="4801" spans="1:8" x14ac:dyDescent="0.45">
      <c r="A4801" t="s">
        <v>73</v>
      </c>
      <c r="B4801" t="s">
        <v>20</v>
      </c>
      <c r="C4801">
        <v>5</v>
      </c>
      <c r="D4801" t="s">
        <v>19</v>
      </c>
      <c r="E4801">
        <v>2237462</v>
      </c>
      <c r="F4801">
        <v>3295</v>
      </c>
      <c r="H4801">
        <v>45</v>
      </c>
    </row>
    <row r="4802" spans="1:8" x14ac:dyDescent="0.45">
      <c r="A4802" t="s">
        <v>73</v>
      </c>
      <c r="B4802" t="s">
        <v>20</v>
      </c>
      <c r="C4802">
        <v>5</v>
      </c>
      <c r="D4802" t="s">
        <v>27</v>
      </c>
      <c r="F4802">
        <v>726</v>
      </c>
    </row>
    <row r="4803" spans="1:8" x14ac:dyDescent="0.45">
      <c r="A4803" t="s">
        <v>73</v>
      </c>
      <c r="B4803" t="s">
        <v>20</v>
      </c>
      <c r="C4803">
        <v>5</v>
      </c>
      <c r="D4803" t="s">
        <v>28</v>
      </c>
      <c r="F4803">
        <v>520</v>
      </c>
    </row>
    <row r="4804" spans="1:8" x14ac:dyDescent="0.45">
      <c r="A4804" t="s">
        <v>73</v>
      </c>
      <c r="B4804" t="s">
        <v>20</v>
      </c>
      <c r="C4804">
        <v>5</v>
      </c>
      <c r="D4804" t="s">
        <v>29</v>
      </c>
      <c r="F4804">
        <v>498</v>
      </c>
    </row>
    <row r="4805" spans="1:8" x14ac:dyDescent="0.45">
      <c r="A4805" t="s">
        <v>73</v>
      </c>
      <c r="B4805" t="s">
        <v>20</v>
      </c>
      <c r="C4805">
        <v>5</v>
      </c>
      <c r="D4805" t="s">
        <v>31</v>
      </c>
      <c r="H4805">
        <v>89</v>
      </c>
    </row>
    <row r="4806" spans="1:8" x14ac:dyDescent="0.45">
      <c r="A4806" t="s">
        <v>73</v>
      </c>
      <c r="B4806" t="s">
        <v>20</v>
      </c>
      <c r="C4806">
        <v>5</v>
      </c>
      <c r="D4806" t="s">
        <v>32</v>
      </c>
      <c r="H4806">
        <v>15</v>
      </c>
    </row>
    <row r="4807" spans="1:8" x14ac:dyDescent="0.45">
      <c r="A4807" t="s">
        <v>73</v>
      </c>
      <c r="B4807" t="s">
        <v>20</v>
      </c>
      <c r="C4807">
        <v>5</v>
      </c>
      <c r="D4807" t="s">
        <v>34</v>
      </c>
      <c r="H4807">
        <v>9</v>
      </c>
    </row>
    <row r="4808" spans="1:8" x14ac:dyDescent="0.45">
      <c r="A4808" t="s">
        <v>73</v>
      </c>
      <c r="B4808" t="s">
        <v>21</v>
      </c>
      <c r="C4808">
        <v>6</v>
      </c>
      <c r="D4808" t="s">
        <v>19</v>
      </c>
      <c r="E4808">
        <v>2269392</v>
      </c>
      <c r="F4808">
        <v>3744</v>
      </c>
    </row>
    <row r="4809" spans="1:8" x14ac:dyDescent="0.45">
      <c r="A4809" t="s">
        <v>73</v>
      </c>
      <c r="B4809" t="s">
        <v>21</v>
      </c>
      <c r="C4809">
        <v>6</v>
      </c>
      <c r="D4809" t="s">
        <v>27</v>
      </c>
      <c r="F4809">
        <v>1044</v>
      </c>
    </row>
    <row r="4810" spans="1:8" x14ac:dyDescent="0.45">
      <c r="A4810" t="s">
        <v>73</v>
      </c>
      <c r="B4810" t="s">
        <v>21</v>
      </c>
      <c r="C4810">
        <v>6</v>
      </c>
      <c r="D4810" t="s">
        <v>28</v>
      </c>
      <c r="F4810">
        <v>610</v>
      </c>
    </row>
    <row r="4811" spans="1:8" x14ac:dyDescent="0.45">
      <c r="A4811" t="s">
        <v>73</v>
      </c>
      <c r="B4811" t="s">
        <v>21</v>
      </c>
      <c r="C4811">
        <v>6</v>
      </c>
      <c r="D4811" t="s">
        <v>29</v>
      </c>
      <c r="F4811">
        <v>561</v>
      </c>
    </row>
    <row r="4812" spans="1:8" x14ac:dyDescent="0.45">
      <c r="A4812" t="s">
        <v>73</v>
      </c>
      <c r="B4812" t="s">
        <v>20</v>
      </c>
      <c r="C4812">
        <v>6</v>
      </c>
      <c r="D4812" t="s">
        <v>19</v>
      </c>
      <c r="E4812">
        <v>2286090</v>
      </c>
      <c r="F4812">
        <v>3229</v>
      </c>
      <c r="G4812">
        <v>605</v>
      </c>
    </row>
    <row r="4813" spans="1:8" x14ac:dyDescent="0.45">
      <c r="A4813" t="s">
        <v>73</v>
      </c>
      <c r="B4813" t="s">
        <v>20</v>
      </c>
      <c r="C4813">
        <v>6</v>
      </c>
      <c r="D4813" t="s">
        <v>27</v>
      </c>
      <c r="F4813">
        <v>826</v>
      </c>
    </row>
    <row r="4814" spans="1:8" x14ac:dyDescent="0.45">
      <c r="A4814" t="s">
        <v>73</v>
      </c>
      <c r="B4814" t="s">
        <v>20</v>
      </c>
      <c r="C4814">
        <v>6</v>
      </c>
      <c r="D4814" t="s">
        <v>28</v>
      </c>
      <c r="F4814">
        <v>488</v>
      </c>
    </row>
    <row r="4815" spans="1:8" x14ac:dyDescent="0.45">
      <c r="A4815" t="s">
        <v>73</v>
      </c>
      <c r="B4815" t="s">
        <v>20</v>
      </c>
      <c r="C4815">
        <v>6</v>
      </c>
      <c r="D4815" t="s">
        <v>29</v>
      </c>
      <c r="F4815">
        <v>429</v>
      </c>
    </row>
    <row r="4816" spans="1:8" x14ac:dyDescent="0.45">
      <c r="A4816" t="s">
        <v>73</v>
      </c>
      <c r="B4816" t="s">
        <v>20</v>
      </c>
      <c r="C4816">
        <v>6</v>
      </c>
      <c r="D4816" t="s">
        <v>31</v>
      </c>
      <c r="H4816">
        <v>61</v>
      </c>
    </row>
    <row r="4817" spans="1:8" x14ac:dyDescent="0.45">
      <c r="A4817" t="s">
        <v>73</v>
      </c>
      <c r="B4817" t="s">
        <v>20</v>
      </c>
      <c r="C4817">
        <v>6</v>
      </c>
      <c r="D4817" t="s">
        <v>32</v>
      </c>
      <c r="H4817">
        <v>10</v>
      </c>
    </row>
    <row r="4818" spans="1:8" x14ac:dyDescent="0.45">
      <c r="A4818" t="s">
        <v>73</v>
      </c>
      <c r="B4818" t="s">
        <v>20</v>
      </c>
      <c r="C4818">
        <v>6</v>
      </c>
      <c r="D4818" t="s">
        <v>34</v>
      </c>
      <c r="H4818">
        <v>8</v>
      </c>
    </row>
    <row r="4819" spans="1:8" x14ac:dyDescent="0.45">
      <c r="A4819" t="s">
        <v>73</v>
      </c>
      <c r="B4819" t="s">
        <v>21</v>
      </c>
      <c r="C4819">
        <v>7</v>
      </c>
      <c r="D4819" t="s">
        <v>19</v>
      </c>
      <c r="E4819">
        <v>1733384</v>
      </c>
      <c r="F4819">
        <v>3071</v>
      </c>
    </row>
    <row r="4820" spans="1:8" x14ac:dyDescent="0.45">
      <c r="A4820" t="s">
        <v>73</v>
      </c>
      <c r="B4820" t="s">
        <v>21</v>
      </c>
      <c r="C4820">
        <v>7</v>
      </c>
      <c r="D4820" t="s">
        <v>27</v>
      </c>
      <c r="F4820">
        <v>1051</v>
      </c>
    </row>
    <row r="4821" spans="1:8" x14ac:dyDescent="0.45">
      <c r="A4821" t="s">
        <v>73</v>
      </c>
      <c r="B4821" t="s">
        <v>21</v>
      </c>
      <c r="C4821">
        <v>7</v>
      </c>
      <c r="D4821" t="s">
        <v>28</v>
      </c>
      <c r="F4821">
        <v>531</v>
      </c>
    </row>
    <row r="4822" spans="1:8" x14ac:dyDescent="0.45">
      <c r="A4822" t="s">
        <v>73</v>
      </c>
      <c r="B4822" t="s">
        <v>21</v>
      </c>
      <c r="C4822">
        <v>7</v>
      </c>
      <c r="D4822" t="s">
        <v>29</v>
      </c>
      <c r="F4822">
        <v>373</v>
      </c>
    </row>
    <row r="4823" spans="1:8" x14ac:dyDescent="0.45">
      <c r="A4823" t="s">
        <v>73</v>
      </c>
      <c r="B4823" t="s">
        <v>20</v>
      </c>
      <c r="C4823">
        <v>7</v>
      </c>
      <c r="D4823" t="s">
        <v>19</v>
      </c>
      <c r="E4823">
        <v>1649052</v>
      </c>
      <c r="F4823">
        <v>2702</v>
      </c>
      <c r="G4823">
        <v>815</v>
      </c>
    </row>
    <row r="4824" spans="1:8" x14ac:dyDescent="0.45">
      <c r="A4824" t="s">
        <v>73</v>
      </c>
      <c r="B4824" t="s">
        <v>20</v>
      </c>
      <c r="C4824">
        <v>7</v>
      </c>
      <c r="D4824" t="s">
        <v>27</v>
      </c>
      <c r="F4824">
        <v>814</v>
      </c>
    </row>
    <row r="4825" spans="1:8" x14ac:dyDescent="0.45">
      <c r="A4825" t="s">
        <v>73</v>
      </c>
      <c r="B4825" t="s">
        <v>20</v>
      </c>
      <c r="C4825">
        <v>7</v>
      </c>
      <c r="D4825" t="s">
        <v>28</v>
      </c>
      <c r="F4825">
        <v>466</v>
      </c>
    </row>
    <row r="4826" spans="1:8" x14ac:dyDescent="0.45">
      <c r="A4826" t="s">
        <v>73</v>
      </c>
      <c r="B4826" t="s">
        <v>20</v>
      </c>
      <c r="C4826">
        <v>7</v>
      </c>
      <c r="D4826" t="s">
        <v>29</v>
      </c>
      <c r="F4826">
        <v>360</v>
      </c>
    </row>
    <row r="4827" spans="1:8" x14ac:dyDescent="0.45">
      <c r="A4827" t="s">
        <v>73</v>
      </c>
      <c r="B4827" t="s">
        <v>20</v>
      </c>
      <c r="C4827">
        <v>7</v>
      </c>
      <c r="D4827" t="s">
        <v>31</v>
      </c>
      <c r="H4827">
        <v>244</v>
      </c>
    </row>
    <row r="4828" spans="1:8" x14ac:dyDescent="0.45">
      <c r="A4828" t="s">
        <v>73</v>
      </c>
      <c r="B4828" t="s">
        <v>20</v>
      </c>
      <c r="C4828">
        <v>7</v>
      </c>
      <c r="D4828" t="s">
        <v>32</v>
      </c>
      <c r="H4828">
        <v>10</v>
      </c>
    </row>
    <row r="4829" spans="1:8" x14ac:dyDescent="0.45">
      <c r="A4829" t="s">
        <v>73</v>
      </c>
      <c r="B4829" t="s">
        <v>20</v>
      </c>
      <c r="C4829">
        <v>7</v>
      </c>
      <c r="D4829" t="s">
        <v>34</v>
      </c>
      <c r="H4829">
        <v>7</v>
      </c>
    </row>
    <row r="4830" spans="1:8" x14ac:dyDescent="0.45">
      <c r="A4830" t="s">
        <v>73</v>
      </c>
      <c r="B4830" t="s">
        <v>21</v>
      </c>
      <c r="C4830">
        <v>8</v>
      </c>
      <c r="D4830" t="s">
        <v>19</v>
      </c>
      <c r="E4830">
        <v>1065360</v>
      </c>
      <c r="F4830">
        <v>2135</v>
      </c>
      <c r="G4830">
        <v>612</v>
      </c>
    </row>
    <row r="4831" spans="1:8" x14ac:dyDescent="0.45">
      <c r="A4831" t="s">
        <v>73</v>
      </c>
      <c r="B4831" t="s">
        <v>21</v>
      </c>
      <c r="C4831">
        <v>8</v>
      </c>
      <c r="D4831" t="s">
        <v>27</v>
      </c>
      <c r="F4831">
        <v>731</v>
      </c>
      <c r="G4831">
        <v>1444</v>
      </c>
    </row>
    <row r="4832" spans="1:8" x14ac:dyDescent="0.45">
      <c r="A4832" t="s">
        <v>73</v>
      </c>
      <c r="B4832" t="s">
        <v>21</v>
      </c>
      <c r="C4832">
        <v>8</v>
      </c>
      <c r="D4832" t="s">
        <v>28</v>
      </c>
      <c r="F4832">
        <v>439</v>
      </c>
      <c r="G4832">
        <v>932</v>
      </c>
    </row>
    <row r="4833" spans="1:8" x14ac:dyDescent="0.45">
      <c r="A4833" t="s">
        <v>73</v>
      </c>
      <c r="B4833" t="s">
        <v>21</v>
      </c>
      <c r="C4833">
        <v>8</v>
      </c>
      <c r="D4833" t="s">
        <v>29</v>
      </c>
      <c r="F4833">
        <v>246</v>
      </c>
      <c r="G4833">
        <v>1378</v>
      </c>
    </row>
    <row r="4834" spans="1:8" x14ac:dyDescent="0.45">
      <c r="A4834" t="s">
        <v>73</v>
      </c>
      <c r="B4834" t="s">
        <v>20</v>
      </c>
      <c r="C4834">
        <v>8</v>
      </c>
      <c r="D4834" t="s">
        <v>19</v>
      </c>
      <c r="E4834">
        <v>1275455</v>
      </c>
      <c r="F4834">
        <v>2315</v>
      </c>
      <c r="G4834">
        <v>698</v>
      </c>
    </row>
    <row r="4835" spans="1:8" x14ac:dyDescent="0.45">
      <c r="A4835" t="s">
        <v>73</v>
      </c>
      <c r="B4835" t="s">
        <v>20</v>
      </c>
      <c r="C4835">
        <v>8</v>
      </c>
      <c r="D4835" t="s">
        <v>27</v>
      </c>
      <c r="F4835">
        <v>808</v>
      </c>
      <c r="G4835">
        <v>934</v>
      </c>
    </row>
    <row r="4836" spans="1:8" x14ac:dyDescent="0.45">
      <c r="A4836" t="s">
        <v>73</v>
      </c>
      <c r="B4836" t="s">
        <v>20</v>
      </c>
      <c r="C4836">
        <v>8</v>
      </c>
      <c r="D4836" t="s">
        <v>28</v>
      </c>
      <c r="F4836">
        <v>436</v>
      </c>
      <c r="G4836">
        <v>777</v>
      </c>
    </row>
    <row r="4837" spans="1:8" x14ac:dyDescent="0.45">
      <c r="A4837" t="s">
        <v>73</v>
      </c>
      <c r="B4837" t="s">
        <v>20</v>
      </c>
      <c r="C4837">
        <v>8</v>
      </c>
      <c r="D4837" t="s">
        <v>29</v>
      </c>
      <c r="F4837">
        <v>263</v>
      </c>
      <c r="G4837">
        <v>863</v>
      </c>
    </row>
    <row r="4838" spans="1:8" x14ac:dyDescent="0.45">
      <c r="A4838" t="s">
        <v>73</v>
      </c>
      <c r="B4838" t="s">
        <v>20</v>
      </c>
      <c r="C4838">
        <v>8</v>
      </c>
      <c r="D4838" t="s">
        <v>31</v>
      </c>
      <c r="H4838">
        <v>23</v>
      </c>
    </row>
    <row r="4839" spans="1:8" x14ac:dyDescent="0.45">
      <c r="A4839" t="s">
        <v>73</v>
      </c>
      <c r="B4839" t="s">
        <v>20</v>
      </c>
      <c r="C4839">
        <v>8</v>
      </c>
      <c r="D4839" t="s">
        <v>32</v>
      </c>
      <c r="H4839">
        <v>21</v>
      </c>
    </row>
    <row r="4840" spans="1:8" x14ac:dyDescent="0.45">
      <c r="A4840" t="s">
        <v>73</v>
      </c>
      <c r="B4840" t="s">
        <v>20</v>
      </c>
      <c r="C4840">
        <v>8</v>
      </c>
      <c r="D4840" t="s">
        <v>34</v>
      </c>
      <c r="H4840">
        <v>3</v>
      </c>
    </row>
    <row r="4841" spans="1:8" x14ac:dyDescent="0.45">
      <c r="A4841" t="s">
        <v>73</v>
      </c>
      <c r="B4841" t="s">
        <v>21</v>
      </c>
      <c r="C4841">
        <v>9</v>
      </c>
      <c r="D4841" t="s">
        <v>19</v>
      </c>
      <c r="E4841">
        <v>1138725</v>
      </c>
      <c r="F4841">
        <v>2281</v>
      </c>
      <c r="G4841">
        <v>664</v>
      </c>
    </row>
    <row r="4842" spans="1:8" x14ac:dyDescent="0.45">
      <c r="A4842" t="s">
        <v>73</v>
      </c>
      <c r="B4842" t="s">
        <v>21</v>
      </c>
      <c r="C4842">
        <v>9</v>
      </c>
      <c r="D4842" t="s">
        <v>27</v>
      </c>
      <c r="F4842">
        <v>802</v>
      </c>
    </row>
    <row r="4843" spans="1:8" x14ac:dyDescent="0.45">
      <c r="A4843" t="s">
        <v>73</v>
      </c>
      <c r="B4843" t="s">
        <v>21</v>
      </c>
      <c r="C4843">
        <v>9</v>
      </c>
      <c r="D4843" t="s">
        <v>28</v>
      </c>
      <c r="F4843">
        <v>475</v>
      </c>
    </row>
    <row r="4844" spans="1:8" x14ac:dyDescent="0.45">
      <c r="A4844" t="s">
        <v>73</v>
      </c>
      <c r="B4844" t="s">
        <v>21</v>
      </c>
      <c r="C4844">
        <v>9</v>
      </c>
      <c r="D4844" t="s">
        <v>29</v>
      </c>
      <c r="F4844">
        <v>300</v>
      </c>
    </row>
    <row r="4845" spans="1:8" x14ac:dyDescent="0.45">
      <c r="A4845" t="s">
        <v>73</v>
      </c>
      <c r="B4845" t="s">
        <v>20</v>
      </c>
      <c r="C4845">
        <v>9</v>
      </c>
      <c r="D4845" t="s">
        <v>19</v>
      </c>
      <c r="E4845">
        <v>1259411</v>
      </c>
      <c r="F4845">
        <v>2462</v>
      </c>
      <c r="G4845">
        <v>747</v>
      </c>
    </row>
    <row r="4846" spans="1:8" x14ac:dyDescent="0.45">
      <c r="A4846" t="s">
        <v>73</v>
      </c>
      <c r="B4846" t="s">
        <v>20</v>
      </c>
      <c r="C4846">
        <v>9</v>
      </c>
      <c r="D4846" t="s">
        <v>27</v>
      </c>
      <c r="F4846">
        <v>919</v>
      </c>
    </row>
    <row r="4847" spans="1:8" x14ac:dyDescent="0.45">
      <c r="A4847" t="s">
        <v>73</v>
      </c>
      <c r="B4847" t="s">
        <v>20</v>
      </c>
      <c r="C4847">
        <v>9</v>
      </c>
      <c r="D4847" t="s">
        <v>28</v>
      </c>
      <c r="F4847">
        <v>470</v>
      </c>
    </row>
    <row r="4848" spans="1:8" x14ac:dyDescent="0.45">
      <c r="A4848" t="s">
        <v>73</v>
      </c>
      <c r="B4848" t="s">
        <v>20</v>
      </c>
      <c r="C4848">
        <v>9</v>
      </c>
      <c r="D4848" t="s">
        <v>29</v>
      </c>
      <c r="F4848">
        <v>332</v>
      </c>
    </row>
    <row r="4849" spans="1:8" x14ac:dyDescent="0.45">
      <c r="A4849" t="s">
        <v>73</v>
      </c>
      <c r="B4849" t="s">
        <v>20</v>
      </c>
      <c r="C4849">
        <v>9</v>
      </c>
      <c r="D4849" t="s">
        <v>31</v>
      </c>
      <c r="H4849">
        <v>185</v>
      </c>
    </row>
    <row r="4850" spans="1:8" x14ac:dyDescent="0.45">
      <c r="A4850" t="s">
        <v>73</v>
      </c>
      <c r="B4850" t="s">
        <v>20</v>
      </c>
      <c r="C4850">
        <v>9</v>
      </c>
      <c r="D4850" t="s">
        <v>32</v>
      </c>
      <c r="H4850">
        <v>17</v>
      </c>
    </row>
    <row r="4851" spans="1:8" x14ac:dyDescent="0.45">
      <c r="A4851" t="s">
        <v>73</v>
      </c>
      <c r="B4851" t="s">
        <v>20</v>
      </c>
      <c r="C4851">
        <v>9</v>
      </c>
      <c r="D4851" t="s">
        <v>34</v>
      </c>
      <c r="H4851">
        <v>2</v>
      </c>
    </row>
    <row r="4852" spans="1:8" x14ac:dyDescent="0.45">
      <c r="A4852" t="s">
        <v>73</v>
      </c>
      <c r="B4852" t="s">
        <v>21</v>
      </c>
      <c r="C4852">
        <v>10</v>
      </c>
      <c r="D4852" t="s">
        <v>19</v>
      </c>
      <c r="E4852">
        <v>1496009</v>
      </c>
      <c r="F4852">
        <v>3179</v>
      </c>
      <c r="G4852">
        <v>849</v>
      </c>
    </row>
    <row r="4853" spans="1:8" x14ac:dyDescent="0.45">
      <c r="A4853" t="s">
        <v>73</v>
      </c>
      <c r="B4853" t="s">
        <v>21</v>
      </c>
      <c r="C4853">
        <v>10</v>
      </c>
      <c r="D4853" t="s">
        <v>27</v>
      </c>
      <c r="F4853">
        <v>1159</v>
      </c>
    </row>
    <row r="4854" spans="1:8" x14ac:dyDescent="0.45">
      <c r="A4854" t="s">
        <v>73</v>
      </c>
      <c r="B4854" t="s">
        <v>21</v>
      </c>
      <c r="C4854">
        <v>10</v>
      </c>
      <c r="D4854" t="s">
        <v>28</v>
      </c>
      <c r="F4854">
        <v>601</v>
      </c>
    </row>
    <row r="4855" spans="1:8" x14ac:dyDescent="0.45">
      <c r="A4855" t="s">
        <v>73</v>
      </c>
      <c r="B4855" t="s">
        <v>21</v>
      </c>
      <c r="C4855">
        <v>10</v>
      </c>
      <c r="D4855" t="s">
        <v>29</v>
      </c>
      <c r="F4855">
        <v>424</v>
      </c>
    </row>
    <row r="4856" spans="1:8" x14ac:dyDescent="0.45">
      <c r="A4856" t="s">
        <v>73</v>
      </c>
      <c r="B4856" t="s">
        <v>20</v>
      </c>
      <c r="C4856">
        <v>10</v>
      </c>
      <c r="D4856" t="s">
        <v>19</v>
      </c>
      <c r="E4856">
        <v>1831536</v>
      </c>
      <c r="F4856">
        <v>3374</v>
      </c>
      <c r="H4856">
        <v>230</v>
      </c>
    </row>
    <row r="4857" spans="1:8" x14ac:dyDescent="0.45">
      <c r="A4857" t="s">
        <v>73</v>
      </c>
      <c r="B4857" t="s">
        <v>20</v>
      </c>
      <c r="C4857">
        <v>10</v>
      </c>
      <c r="D4857" t="s">
        <v>27</v>
      </c>
      <c r="F4857">
        <v>1094</v>
      </c>
    </row>
    <row r="4858" spans="1:8" x14ac:dyDescent="0.45">
      <c r="A4858" t="s">
        <v>73</v>
      </c>
      <c r="B4858" t="s">
        <v>20</v>
      </c>
      <c r="C4858">
        <v>10</v>
      </c>
      <c r="D4858" t="s">
        <v>28</v>
      </c>
      <c r="F4858">
        <v>571</v>
      </c>
    </row>
    <row r="4859" spans="1:8" x14ac:dyDescent="0.45">
      <c r="A4859" t="s">
        <v>73</v>
      </c>
      <c r="B4859" t="s">
        <v>20</v>
      </c>
      <c r="C4859">
        <v>10</v>
      </c>
      <c r="D4859" t="s">
        <v>29</v>
      </c>
      <c r="F4859">
        <v>476</v>
      </c>
    </row>
    <row r="4860" spans="1:8" x14ac:dyDescent="0.45">
      <c r="A4860" t="s">
        <v>73</v>
      </c>
      <c r="B4860" t="s">
        <v>20</v>
      </c>
      <c r="C4860">
        <v>10</v>
      </c>
      <c r="D4860" t="s">
        <v>31</v>
      </c>
      <c r="H4860">
        <v>178</v>
      </c>
    </row>
    <row r="4861" spans="1:8" x14ac:dyDescent="0.45">
      <c r="A4861" t="s">
        <v>73</v>
      </c>
      <c r="B4861" t="s">
        <v>20</v>
      </c>
      <c r="C4861">
        <v>10</v>
      </c>
      <c r="D4861" t="s">
        <v>32</v>
      </c>
      <c r="H4861">
        <v>17</v>
      </c>
    </row>
    <row r="4862" spans="1:8" x14ac:dyDescent="0.45">
      <c r="A4862" t="s">
        <v>73</v>
      </c>
      <c r="B4862" t="s">
        <v>20</v>
      </c>
      <c r="C4862">
        <v>10</v>
      </c>
      <c r="D4862" t="s">
        <v>34</v>
      </c>
      <c r="H4862">
        <v>7</v>
      </c>
    </row>
    <row r="4863" spans="1:8" x14ac:dyDescent="0.45">
      <c r="A4863" t="s">
        <v>73</v>
      </c>
      <c r="B4863" t="s">
        <v>21</v>
      </c>
      <c r="C4863">
        <v>11</v>
      </c>
      <c r="D4863" t="s">
        <v>19</v>
      </c>
      <c r="E4863">
        <v>1248176</v>
      </c>
      <c r="F4863">
        <v>2456</v>
      </c>
      <c r="G4863">
        <v>691</v>
      </c>
    </row>
    <row r="4864" spans="1:8" x14ac:dyDescent="0.45">
      <c r="A4864" t="s">
        <v>73</v>
      </c>
      <c r="B4864" t="s">
        <v>21</v>
      </c>
      <c r="C4864">
        <v>11</v>
      </c>
      <c r="D4864" t="s">
        <v>27</v>
      </c>
      <c r="F4864">
        <v>957</v>
      </c>
    </row>
    <row r="4865" spans="1:8" x14ac:dyDescent="0.45">
      <c r="A4865" t="s">
        <v>73</v>
      </c>
      <c r="B4865" t="s">
        <v>21</v>
      </c>
      <c r="C4865">
        <v>11</v>
      </c>
      <c r="D4865" t="s">
        <v>28</v>
      </c>
      <c r="F4865">
        <v>465</v>
      </c>
    </row>
    <row r="4866" spans="1:8" x14ac:dyDescent="0.45">
      <c r="A4866" t="s">
        <v>73</v>
      </c>
      <c r="B4866" t="s">
        <v>21</v>
      </c>
      <c r="C4866">
        <v>11</v>
      </c>
      <c r="D4866" t="s">
        <v>29</v>
      </c>
      <c r="F4866">
        <v>335</v>
      </c>
    </row>
    <row r="4867" spans="1:8" x14ac:dyDescent="0.45">
      <c r="A4867" t="s">
        <v>73</v>
      </c>
      <c r="B4867" t="s">
        <v>20</v>
      </c>
      <c r="C4867">
        <v>11</v>
      </c>
      <c r="D4867" t="s">
        <v>19</v>
      </c>
      <c r="E4867">
        <v>1499401</v>
      </c>
      <c r="F4867">
        <v>2990</v>
      </c>
      <c r="G4867">
        <v>881</v>
      </c>
    </row>
    <row r="4868" spans="1:8" x14ac:dyDescent="0.45">
      <c r="A4868" t="s">
        <v>73</v>
      </c>
      <c r="B4868" t="s">
        <v>20</v>
      </c>
      <c r="C4868">
        <v>11</v>
      </c>
      <c r="D4868" t="s">
        <v>27</v>
      </c>
      <c r="F4868">
        <v>1022</v>
      </c>
    </row>
    <row r="4869" spans="1:8" x14ac:dyDescent="0.45">
      <c r="A4869" t="s">
        <v>73</v>
      </c>
      <c r="B4869" t="s">
        <v>20</v>
      </c>
      <c r="C4869">
        <v>11</v>
      </c>
      <c r="D4869" t="s">
        <v>28</v>
      </c>
      <c r="F4869">
        <v>517</v>
      </c>
    </row>
    <row r="4870" spans="1:8" x14ac:dyDescent="0.45">
      <c r="A4870" t="s">
        <v>73</v>
      </c>
      <c r="B4870" t="s">
        <v>20</v>
      </c>
      <c r="C4870">
        <v>11</v>
      </c>
      <c r="D4870" t="s">
        <v>29</v>
      </c>
      <c r="F4870">
        <v>449</v>
      </c>
    </row>
    <row r="4871" spans="1:8" x14ac:dyDescent="0.45">
      <c r="A4871" t="s">
        <v>73</v>
      </c>
      <c r="B4871" t="s">
        <v>20</v>
      </c>
      <c r="C4871">
        <v>11</v>
      </c>
      <c r="D4871" t="s">
        <v>31</v>
      </c>
      <c r="H4871">
        <v>214</v>
      </c>
    </row>
    <row r="4872" spans="1:8" x14ac:dyDescent="0.45">
      <c r="A4872" t="s">
        <v>73</v>
      </c>
      <c r="B4872" t="s">
        <v>20</v>
      </c>
      <c r="C4872">
        <v>11</v>
      </c>
      <c r="D4872" t="s">
        <v>32</v>
      </c>
      <c r="H4872">
        <v>7</v>
      </c>
    </row>
    <row r="4873" spans="1:8" x14ac:dyDescent="0.45">
      <c r="A4873" t="s">
        <v>73</v>
      </c>
      <c r="B4873" t="s">
        <v>20</v>
      </c>
      <c r="C4873">
        <v>11</v>
      </c>
      <c r="D4873" t="s">
        <v>34</v>
      </c>
      <c r="H4873">
        <v>5</v>
      </c>
    </row>
    <row r="4874" spans="1:8" x14ac:dyDescent="0.45">
      <c r="A4874" t="s">
        <v>73</v>
      </c>
      <c r="B4874" t="s">
        <v>21</v>
      </c>
      <c r="C4874">
        <v>12</v>
      </c>
      <c r="D4874" t="s">
        <v>19</v>
      </c>
      <c r="E4874">
        <v>1628110</v>
      </c>
      <c r="F4874">
        <v>3181</v>
      </c>
      <c r="G4874">
        <v>828</v>
      </c>
    </row>
    <row r="4875" spans="1:8" x14ac:dyDescent="0.45">
      <c r="A4875" t="s">
        <v>73</v>
      </c>
      <c r="B4875" t="s">
        <v>21</v>
      </c>
      <c r="C4875">
        <v>12</v>
      </c>
      <c r="D4875" t="s">
        <v>27</v>
      </c>
      <c r="F4875">
        <v>967</v>
      </c>
    </row>
    <row r="4876" spans="1:8" x14ac:dyDescent="0.45">
      <c r="A4876" t="s">
        <v>73</v>
      </c>
      <c r="B4876" t="s">
        <v>21</v>
      </c>
      <c r="C4876">
        <v>12</v>
      </c>
      <c r="D4876" t="s">
        <v>28</v>
      </c>
      <c r="F4876">
        <v>622</v>
      </c>
    </row>
    <row r="4877" spans="1:8" x14ac:dyDescent="0.45">
      <c r="A4877" t="s">
        <v>73</v>
      </c>
      <c r="B4877" t="s">
        <v>21</v>
      </c>
      <c r="C4877">
        <v>12</v>
      </c>
      <c r="D4877" t="s">
        <v>29</v>
      </c>
      <c r="F4877">
        <v>534</v>
      </c>
    </row>
    <row r="4878" spans="1:8" x14ac:dyDescent="0.45">
      <c r="A4878" t="s">
        <v>73</v>
      </c>
      <c r="B4878" t="s">
        <v>20</v>
      </c>
      <c r="C4878">
        <v>12</v>
      </c>
      <c r="D4878" t="s">
        <v>19</v>
      </c>
      <c r="E4878">
        <v>1629331</v>
      </c>
      <c r="F4878">
        <v>3164</v>
      </c>
      <c r="G4878">
        <v>868</v>
      </c>
    </row>
    <row r="4879" spans="1:8" x14ac:dyDescent="0.45">
      <c r="A4879" t="s">
        <v>73</v>
      </c>
      <c r="B4879" t="s">
        <v>20</v>
      </c>
      <c r="C4879">
        <v>12</v>
      </c>
      <c r="D4879" t="s">
        <v>27</v>
      </c>
      <c r="F4879">
        <v>1021</v>
      </c>
    </row>
    <row r="4880" spans="1:8" x14ac:dyDescent="0.45">
      <c r="A4880" t="s">
        <v>73</v>
      </c>
      <c r="B4880" t="s">
        <v>20</v>
      </c>
      <c r="C4880">
        <v>12</v>
      </c>
      <c r="D4880" t="s">
        <v>28</v>
      </c>
      <c r="F4880">
        <v>609</v>
      </c>
    </row>
    <row r="4881" spans="1:8" x14ac:dyDescent="0.45">
      <c r="A4881" t="s">
        <v>73</v>
      </c>
      <c r="B4881" t="s">
        <v>20</v>
      </c>
      <c r="C4881">
        <v>12</v>
      </c>
      <c r="D4881" t="s">
        <v>29</v>
      </c>
      <c r="F4881">
        <v>498</v>
      </c>
    </row>
    <row r="4882" spans="1:8" x14ac:dyDescent="0.45">
      <c r="A4882" t="s">
        <v>73</v>
      </c>
      <c r="B4882" t="s">
        <v>20</v>
      </c>
      <c r="C4882">
        <v>12</v>
      </c>
      <c r="D4882" t="s">
        <v>31</v>
      </c>
      <c r="H4882">
        <v>151</v>
      </c>
    </row>
    <row r="4883" spans="1:8" x14ac:dyDescent="0.45">
      <c r="A4883" t="s">
        <v>73</v>
      </c>
      <c r="B4883" t="s">
        <v>20</v>
      </c>
      <c r="C4883">
        <v>12</v>
      </c>
      <c r="D4883" t="s">
        <v>32</v>
      </c>
      <c r="H4883">
        <v>7</v>
      </c>
    </row>
    <row r="4884" spans="1:8" x14ac:dyDescent="0.45">
      <c r="A4884" t="s">
        <v>73</v>
      </c>
      <c r="B4884" t="s">
        <v>20</v>
      </c>
      <c r="C4884">
        <v>12</v>
      </c>
      <c r="D4884" t="s">
        <v>34</v>
      </c>
      <c r="H4884">
        <v>7</v>
      </c>
    </row>
    <row r="4885" spans="1:8" x14ac:dyDescent="0.45">
      <c r="A4885" t="s">
        <v>45</v>
      </c>
      <c r="B4885" t="s">
        <v>21</v>
      </c>
      <c r="C4885">
        <v>1</v>
      </c>
      <c r="D4885" t="s">
        <v>19</v>
      </c>
      <c r="E4885">
        <v>738482</v>
      </c>
      <c r="F4885">
        <v>1611</v>
      </c>
      <c r="G4885">
        <v>461</v>
      </c>
    </row>
    <row r="4886" spans="1:8" x14ac:dyDescent="0.45">
      <c r="A4886" t="s">
        <v>45</v>
      </c>
      <c r="B4886" t="s">
        <v>21</v>
      </c>
      <c r="C4886">
        <v>1</v>
      </c>
      <c r="D4886" t="s">
        <v>27</v>
      </c>
      <c r="F4886">
        <v>686</v>
      </c>
    </row>
    <row r="4887" spans="1:8" x14ac:dyDescent="0.45">
      <c r="A4887" t="s">
        <v>45</v>
      </c>
      <c r="B4887" t="s">
        <v>21</v>
      </c>
      <c r="C4887">
        <v>1</v>
      </c>
      <c r="D4887" t="s">
        <v>28</v>
      </c>
      <c r="F4887">
        <v>261</v>
      </c>
    </row>
    <row r="4888" spans="1:8" x14ac:dyDescent="0.45">
      <c r="A4888" t="s">
        <v>45</v>
      </c>
      <c r="B4888" t="s">
        <v>21</v>
      </c>
      <c r="C4888">
        <v>1</v>
      </c>
      <c r="D4888" t="s">
        <v>29</v>
      </c>
      <c r="F4888">
        <v>193</v>
      </c>
    </row>
    <row r="4889" spans="1:8" x14ac:dyDescent="0.45">
      <c r="A4889" t="s">
        <v>45</v>
      </c>
      <c r="B4889" t="s">
        <v>20</v>
      </c>
      <c r="C4889">
        <v>1</v>
      </c>
      <c r="D4889" t="s">
        <v>19</v>
      </c>
      <c r="E4889">
        <v>857151</v>
      </c>
      <c r="F4889">
        <v>1705</v>
      </c>
      <c r="G4889">
        <v>507</v>
      </c>
    </row>
    <row r="4890" spans="1:8" x14ac:dyDescent="0.45">
      <c r="A4890" t="s">
        <v>45</v>
      </c>
      <c r="B4890" t="s">
        <v>20</v>
      </c>
      <c r="C4890">
        <v>1</v>
      </c>
      <c r="D4890" t="s">
        <v>27</v>
      </c>
      <c r="F4890">
        <v>664</v>
      </c>
    </row>
    <row r="4891" spans="1:8" x14ac:dyDescent="0.45">
      <c r="A4891" t="s">
        <v>45</v>
      </c>
      <c r="B4891" t="s">
        <v>20</v>
      </c>
      <c r="C4891">
        <v>1</v>
      </c>
      <c r="D4891" t="s">
        <v>28</v>
      </c>
      <c r="F4891">
        <v>320</v>
      </c>
    </row>
    <row r="4892" spans="1:8" x14ac:dyDescent="0.45">
      <c r="A4892" t="s">
        <v>45</v>
      </c>
      <c r="B4892" t="s">
        <v>20</v>
      </c>
      <c r="C4892">
        <v>1</v>
      </c>
      <c r="D4892" t="s">
        <v>29</v>
      </c>
      <c r="F4892">
        <v>212</v>
      </c>
    </row>
    <row r="4893" spans="1:8" x14ac:dyDescent="0.45">
      <c r="A4893" t="s">
        <v>45</v>
      </c>
      <c r="B4893" t="s">
        <v>20</v>
      </c>
      <c r="C4893">
        <v>1</v>
      </c>
      <c r="D4893" t="s">
        <v>31</v>
      </c>
      <c r="H4893">
        <v>63</v>
      </c>
    </row>
    <row r="4894" spans="1:8" x14ac:dyDescent="0.45">
      <c r="A4894" t="s">
        <v>45</v>
      </c>
      <c r="B4894" t="s">
        <v>20</v>
      </c>
      <c r="C4894">
        <v>1</v>
      </c>
      <c r="D4894" t="s">
        <v>32</v>
      </c>
      <c r="H4894">
        <v>13</v>
      </c>
    </row>
    <row r="4895" spans="1:8" x14ac:dyDescent="0.45">
      <c r="A4895" t="s">
        <v>45</v>
      </c>
      <c r="B4895" t="s">
        <v>20</v>
      </c>
      <c r="C4895">
        <v>1</v>
      </c>
      <c r="D4895" t="s">
        <v>34</v>
      </c>
    </row>
    <row r="4896" spans="1:8" x14ac:dyDescent="0.45">
      <c r="A4896" t="s">
        <v>45</v>
      </c>
      <c r="B4896" t="s">
        <v>21</v>
      </c>
      <c r="C4896">
        <v>2</v>
      </c>
      <c r="D4896" t="s">
        <v>19</v>
      </c>
      <c r="E4896">
        <v>720345</v>
      </c>
      <c r="F4896">
        <v>1587</v>
      </c>
      <c r="G4896">
        <v>451</v>
      </c>
    </row>
    <row r="4897" spans="1:8" x14ac:dyDescent="0.45">
      <c r="A4897" t="s">
        <v>45</v>
      </c>
      <c r="B4897" t="s">
        <v>21</v>
      </c>
      <c r="C4897">
        <v>2</v>
      </c>
      <c r="D4897" t="s">
        <v>27</v>
      </c>
      <c r="F4897">
        <v>722</v>
      </c>
    </row>
    <row r="4898" spans="1:8" x14ac:dyDescent="0.45">
      <c r="A4898" t="s">
        <v>45</v>
      </c>
      <c r="B4898" t="s">
        <v>21</v>
      </c>
      <c r="C4898">
        <v>2</v>
      </c>
      <c r="D4898" t="s">
        <v>28</v>
      </c>
      <c r="F4898">
        <v>286</v>
      </c>
    </row>
    <row r="4899" spans="1:8" x14ac:dyDescent="0.45">
      <c r="A4899" t="s">
        <v>45</v>
      </c>
      <c r="B4899" t="s">
        <v>21</v>
      </c>
      <c r="C4899">
        <v>2</v>
      </c>
      <c r="D4899" t="s">
        <v>29</v>
      </c>
      <c r="F4899">
        <v>170</v>
      </c>
    </row>
    <row r="4900" spans="1:8" x14ac:dyDescent="0.45">
      <c r="A4900" t="s">
        <v>45</v>
      </c>
      <c r="B4900" t="s">
        <v>20</v>
      </c>
      <c r="C4900">
        <v>2</v>
      </c>
      <c r="D4900" t="s">
        <v>19</v>
      </c>
      <c r="E4900">
        <v>769224</v>
      </c>
      <c r="F4900">
        <v>1613</v>
      </c>
      <c r="G4900">
        <v>469</v>
      </c>
    </row>
    <row r="4901" spans="1:8" x14ac:dyDescent="0.45">
      <c r="A4901" t="s">
        <v>45</v>
      </c>
      <c r="B4901" t="s">
        <v>20</v>
      </c>
      <c r="C4901">
        <v>2</v>
      </c>
      <c r="D4901" t="s">
        <v>27</v>
      </c>
      <c r="F4901">
        <v>666</v>
      </c>
    </row>
    <row r="4902" spans="1:8" x14ac:dyDescent="0.45">
      <c r="A4902" t="s">
        <v>45</v>
      </c>
      <c r="B4902" t="s">
        <v>20</v>
      </c>
      <c r="C4902">
        <v>2</v>
      </c>
      <c r="D4902" t="s">
        <v>28</v>
      </c>
      <c r="F4902">
        <v>264</v>
      </c>
    </row>
    <row r="4903" spans="1:8" x14ac:dyDescent="0.45">
      <c r="A4903" t="s">
        <v>45</v>
      </c>
      <c r="B4903" t="s">
        <v>20</v>
      </c>
      <c r="C4903">
        <v>2</v>
      </c>
      <c r="D4903" t="s">
        <v>29</v>
      </c>
      <c r="F4903">
        <v>186</v>
      </c>
    </row>
    <row r="4904" spans="1:8" x14ac:dyDescent="0.45">
      <c r="A4904" t="s">
        <v>45</v>
      </c>
      <c r="B4904" t="s">
        <v>20</v>
      </c>
      <c r="C4904">
        <v>2</v>
      </c>
      <c r="D4904" t="s">
        <v>31</v>
      </c>
      <c r="H4904">
        <v>64</v>
      </c>
    </row>
    <row r="4905" spans="1:8" x14ac:dyDescent="0.45">
      <c r="A4905" t="s">
        <v>45</v>
      </c>
      <c r="B4905" t="s">
        <v>20</v>
      </c>
      <c r="C4905">
        <v>2</v>
      </c>
      <c r="D4905" t="s">
        <v>32</v>
      </c>
      <c r="H4905">
        <v>13</v>
      </c>
    </row>
    <row r="4906" spans="1:8" x14ac:dyDescent="0.45">
      <c r="A4906" t="s">
        <v>45</v>
      </c>
      <c r="B4906" t="s">
        <v>20</v>
      </c>
      <c r="C4906">
        <v>2</v>
      </c>
      <c r="D4906" t="s">
        <v>34</v>
      </c>
      <c r="H4906">
        <v>8</v>
      </c>
    </row>
    <row r="4907" spans="1:8" x14ac:dyDescent="0.45">
      <c r="A4907" t="s">
        <v>45</v>
      </c>
      <c r="B4907" t="s">
        <v>21</v>
      </c>
      <c r="C4907">
        <v>3</v>
      </c>
      <c r="D4907" t="s">
        <v>19</v>
      </c>
      <c r="E4907">
        <v>1604678</v>
      </c>
      <c r="F4907">
        <v>2917</v>
      </c>
      <c r="G4907">
        <v>756</v>
      </c>
    </row>
    <row r="4908" spans="1:8" x14ac:dyDescent="0.45">
      <c r="A4908" t="s">
        <v>45</v>
      </c>
      <c r="B4908" t="s">
        <v>21</v>
      </c>
      <c r="C4908">
        <v>3</v>
      </c>
      <c r="D4908" t="s">
        <v>27</v>
      </c>
      <c r="F4908">
        <v>914</v>
      </c>
    </row>
    <row r="4909" spans="1:8" x14ac:dyDescent="0.45">
      <c r="A4909" t="s">
        <v>45</v>
      </c>
      <c r="B4909" t="s">
        <v>21</v>
      </c>
      <c r="C4909">
        <v>3</v>
      </c>
      <c r="D4909" t="s">
        <v>28</v>
      </c>
      <c r="F4909">
        <v>488</v>
      </c>
    </row>
    <row r="4910" spans="1:8" x14ac:dyDescent="0.45">
      <c r="A4910" t="s">
        <v>45</v>
      </c>
      <c r="B4910" t="s">
        <v>21</v>
      </c>
      <c r="C4910">
        <v>3</v>
      </c>
      <c r="D4910" t="s">
        <v>29</v>
      </c>
      <c r="F4910">
        <v>316</v>
      </c>
    </row>
    <row r="4911" spans="1:8" x14ac:dyDescent="0.45">
      <c r="A4911" t="s">
        <v>45</v>
      </c>
      <c r="B4911" t="s">
        <v>20</v>
      </c>
      <c r="C4911">
        <v>3</v>
      </c>
      <c r="D4911" t="s">
        <v>19</v>
      </c>
      <c r="E4911">
        <v>1339066</v>
      </c>
      <c r="F4911">
        <v>2457</v>
      </c>
      <c r="G4911">
        <v>715</v>
      </c>
    </row>
    <row r="4912" spans="1:8" x14ac:dyDescent="0.45">
      <c r="A4912" t="s">
        <v>45</v>
      </c>
      <c r="B4912" t="s">
        <v>20</v>
      </c>
      <c r="C4912">
        <v>3</v>
      </c>
      <c r="D4912" t="s">
        <v>27</v>
      </c>
      <c r="F4912">
        <v>786</v>
      </c>
    </row>
    <row r="4913" spans="1:8" x14ac:dyDescent="0.45">
      <c r="A4913" t="s">
        <v>45</v>
      </c>
      <c r="B4913" t="s">
        <v>20</v>
      </c>
      <c r="C4913">
        <v>3</v>
      </c>
      <c r="D4913" t="s">
        <v>28</v>
      </c>
      <c r="F4913">
        <v>388</v>
      </c>
    </row>
    <row r="4914" spans="1:8" x14ac:dyDescent="0.45">
      <c r="A4914" t="s">
        <v>45</v>
      </c>
      <c r="B4914" t="s">
        <v>20</v>
      </c>
      <c r="C4914">
        <v>3</v>
      </c>
      <c r="D4914" t="s">
        <v>29</v>
      </c>
      <c r="F4914">
        <v>285</v>
      </c>
    </row>
    <row r="4915" spans="1:8" x14ac:dyDescent="0.45">
      <c r="A4915" t="s">
        <v>45</v>
      </c>
      <c r="B4915" t="s">
        <v>20</v>
      </c>
      <c r="C4915">
        <v>3</v>
      </c>
      <c r="D4915" t="s">
        <v>31</v>
      </c>
      <c r="H4915">
        <v>43</v>
      </c>
    </row>
    <row r="4916" spans="1:8" x14ac:dyDescent="0.45">
      <c r="A4916" t="s">
        <v>45</v>
      </c>
      <c r="B4916" t="s">
        <v>20</v>
      </c>
      <c r="C4916">
        <v>3</v>
      </c>
      <c r="D4916" t="s">
        <v>32</v>
      </c>
      <c r="H4916">
        <v>6</v>
      </c>
    </row>
    <row r="4917" spans="1:8" x14ac:dyDescent="0.45">
      <c r="A4917" t="s">
        <v>45</v>
      </c>
      <c r="B4917" t="s">
        <v>20</v>
      </c>
      <c r="C4917">
        <v>3</v>
      </c>
      <c r="D4917" t="s">
        <v>34</v>
      </c>
      <c r="H4917">
        <v>9</v>
      </c>
    </row>
    <row r="4918" spans="1:8" x14ac:dyDescent="0.45">
      <c r="A4918" t="s">
        <v>45</v>
      </c>
      <c r="B4918" t="s">
        <v>21</v>
      </c>
      <c r="C4918">
        <v>4</v>
      </c>
      <c r="D4918" t="s">
        <v>19</v>
      </c>
      <c r="E4918">
        <v>2155155</v>
      </c>
      <c r="F4918">
        <v>3630</v>
      </c>
    </row>
    <row r="4919" spans="1:8" x14ac:dyDescent="0.45">
      <c r="A4919" t="s">
        <v>45</v>
      </c>
      <c r="B4919" t="s">
        <v>21</v>
      </c>
      <c r="C4919">
        <v>4</v>
      </c>
      <c r="D4919" t="s">
        <v>27</v>
      </c>
      <c r="F4919">
        <v>971</v>
      </c>
    </row>
    <row r="4920" spans="1:8" x14ac:dyDescent="0.45">
      <c r="A4920" t="s">
        <v>45</v>
      </c>
      <c r="B4920" t="s">
        <v>21</v>
      </c>
      <c r="C4920">
        <v>4</v>
      </c>
      <c r="D4920" t="s">
        <v>28</v>
      </c>
      <c r="F4920">
        <v>559</v>
      </c>
    </row>
    <row r="4921" spans="1:8" x14ac:dyDescent="0.45">
      <c r="A4921" t="s">
        <v>45</v>
      </c>
      <c r="B4921" t="s">
        <v>21</v>
      </c>
      <c r="C4921">
        <v>4</v>
      </c>
      <c r="D4921" t="s">
        <v>29</v>
      </c>
      <c r="F4921">
        <v>487</v>
      </c>
    </row>
    <row r="4922" spans="1:8" x14ac:dyDescent="0.45">
      <c r="A4922" t="s">
        <v>45</v>
      </c>
      <c r="B4922" t="s">
        <v>20</v>
      </c>
      <c r="C4922">
        <v>4</v>
      </c>
      <c r="D4922" t="s">
        <v>19</v>
      </c>
      <c r="E4922">
        <v>2350529</v>
      </c>
      <c r="F4922">
        <v>3684</v>
      </c>
    </row>
    <row r="4923" spans="1:8" x14ac:dyDescent="0.45">
      <c r="A4923" t="s">
        <v>45</v>
      </c>
      <c r="B4923" t="s">
        <v>20</v>
      </c>
      <c r="C4923">
        <v>4</v>
      </c>
      <c r="D4923" t="s">
        <v>27</v>
      </c>
      <c r="F4923">
        <v>723</v>
      </c>
    </row>
    <row r="4924" spans="1:8" x14ac:dyDescent="0.45">
      <c r="A4924" t="s">
        <v>45</v>
      </c>
      <c r="B4924" t="s">
        <v>20</v>
      </c>
      <c r="C4924">
        <v>4</v>
      </c>
      <c r="D4924" t="s">
        <v>28</v>
      </c>
      <c r="F4924">
        <v>439</v>
      </c>
    </row>
    <row r="4925" spans="1:8" x14ac:dyDescent="0.45">
      <c r="A4925" t="s">
        <v>45</v>
      </c>
      <c r="B4925" t="s">
        <v>20</v>
      </c>
      <c r="C4925">
        <v>4</v>
      </c>
      <c r="D4925" t="s">
        <v>29</v>
      </c>
      <c r="F4925">
        <v>387</v>
      </c>
    </row>
    <row r="4926" spans="1:8" x14ac:dyDescent="0.45">
      <c r="A4926" t="s">
        <v>45</v>
      </c>
      <c r="B4926" t="s">
        <v>20</v>
      </c>
      <c r="C4926">
        <v>4</v>
      </c>
      <c r="D4926" t="s">
        <v>31</v>
      </c>
      <c r="H4926">
        <v>52</v>
      </c>
    </row>
    <row r="4927" spans="1:8" x14ac:dyDescent="0.45">
      <c r="A4927" t="s">
        <v>45</v>
      </c>
      <c r="B4927" t="s">
        <v>20</v>
      </c>
      <c r="C4927">
        <v>4</v>
      </c>
      <c r="D4927" t="s">
        <v>32</v>
      </c>
      <c r="H4927">
        <v>7</v>
      </c>
    </row>
    <row r="4928" spans="1:8" x14ac:dyDescent="0.45">
      <c r="A4928" t="s">
        <v>45</v>
      </c>
      <c r="B4928" t="s">
        <v>20</v>
      </c>
      <c r="C4928">
        <v>4</v>
      </c>
      <c r="D4928" t="s">
        <v>34</v>
      </c>
      <c r="H4928">
        <v>7</v>
      </c>
    </row>
    <row r="4929" spans="1:8" x14ac:dyDescent="0.45">
      <c r="A4929" t="s">
        <v>45</v>
      </c>
      <c r="B4929" t="s">
        <v>21</v>
      </c>
      <c r="C4929">
        <v>5</v>
      </c>
      <c r="D4929" t="s">
        <v>19</v>
      </c>
      <c r="E4929">
        <v>1845554</v>
      </c>
      <c r="F4929">
        <v>3007</v>
      </c>
    </row>
    <row r="4930" spans="1:8" x14ac:dyDescent="0.45">
      <c r="A4930" t="s">
        <v>45</v>
      </c>
      <c r="B4930" t="s">
        <v>21</v>
      </c>
      <c r="C4930">
        <v>5</v>
      </c>
      <c r="D4930" t="s">
        <v>27</v>
      </c>
      <c r="F4930">
        <v>782</v>
      </c>
    </row>
    <row r="4931" spans="1:8" x14ac:dyDescent="0.45">
      <c r="A4931" t="s">
        <v>45</v>
      </c>
      <c r="B4931" t="s">
        <v>21</v>
      </c>
      <c r="C4931">
        <v>5</v>
      </c>
      <c r="D4931" t="s">
        <v>28</v>
      </c>
      <c r="F4931">
        <v>475</v>
      </c>
    </row>
    <row r="4932" spans="1:8" x14ac:dyDescent="0.45">
      <c r="A4932" t="s">
        <v>45</v>
      </c>
      <c r="B4932" t="s">
        <v>21</v>
      </c>
      <c r="C4932">
        <v>5</v>
      </c>
      <c r="D4932" t="s">
        <v>29</v>
      </c>
      <c r="F4932">
        <v>362</v>
      </c>
    </row>
    <row r="4933" spans="1:8" x14ac:dyDescent="0.45">
      <c r="A4933" t="s">
        <v>45</v>
      </c>
      <c r="B4933" t="s">
        <v>20</v>
      </c>
      <c r="C4933">
        <v>5</v>
      </c>
      <c r="D4933" t="s">
        <v>19</v>
      </c>
      <c r="E4933">
        <v>1467698</v>
      </c>
      <c r="F4933">
        <v>2391</v>
      </c>
      <c r="G4933">
        <v>644</v>
      </c>
    </row>
    <row r="4934" spans="1:8" x14ac:dyDescent="0.45">
      <c r="A4934" t="s">
        <v>45</v>
      </c>
      <c r="B4934" t="s">
        <v>20</v>
      </c>
      <c r="C4934">
        <v>5</v>
      </c>
      <c r="D4934" t="s">
        <v>27</v>
      </c>
      <c r="F4934">
        <v>700</v>
      </c>
    </row>
    <row r="4935" spans="1:8" x14ac:dyDescent="0.45">
      <c r="A4935" t="s">
        <v>45</v>
      </c>
      <c r="B4935" t="s">
        <v>20</v>
      </c>
      <c r="C4935">
        <v>5</v>
      </c>
      <c r="D4935" t="s">
        <v>28</v>
      </c>
      <c r="F4935">
        <v>354</v>
      </c>
    </row>
    <row r="4936" spans="1:8" x14ac:dyDescent="0.45">
      <c r="A4936" t="s">
        <v>45</v>
      </c>
      <c r="B4936" t="s">
        <v>20</v>
      </c>
      <c r="C4936">
        <v>5</v>
      </c>
      <c r="D4936" t="s">
        <v>29</v>
      </c>
      <c r="F4936">
        <v>300</v>
      </c>
    </row>
    <row r="4937" spans="1:8" x14ac:dyDescent="0.45">
      <c r="A4937" t="s">
        <v>45</v>
      </c>
      <c r="B4937" t="s">
        <v>20</v>
      </c>
      <c r="C4937">
        <v>5</v>
      </c>
      <c r="D4937" t="s">
        <v>31</v>
      </c>
      <c r="H4937">
        <v>45</v>
      </c>
    </row>
    <row r="4938" spans="1:8" x14ac:dyDescent="0.45">
      <c r="A4938" t="s">
        <v>45</v>
      </c>
      <c r="B4938" t="s">
        <v>20</v>
      </c>
      <c r="C4938">
        <v>5</v>
      </c>
      <c r="D4938" t="s">
        <v>32</v>
      </c>
      <c r="H4938">
        <v>9</v>
      </c>
    </row>
    <row r="4939" spans="1:8" x14ac:dyDescent="0.45">
      <c r="A4939" t="s">
        <v>45</v>
      </c>
      <c r="B4939" t="s">
        <v>20</v>
      </c>
      <c r="C4939">
        <v>5</v>
      </c>
      <c r="D4939" t="s">
        <v>34</v>
      </c>
      <c r="H4939">
        <v>9</v>
      </c>
    </row>
    <row r="4940" spans="1:8" x14ac:dyDescent="0.45">
      <c r="A4940" t="s">
        <v>45</v>
      </c>
      <c r="B4940" t="s">
        <v>21</v>
      </c>
      <c r="C4940">
        <v>6</v>
      </c>
      <c r="D4940" t="s">
        <v>19</v>
      </c>
      <c r="E4940">
        <v>1700845</v>
      </c>
      <c r="F4940">
        <v>3046</v>
      </c>
      <c r="G4940">
        <v>794</v>
      </c>
    </row>
    <row r="4941" spans="1:8" x14ac:dyDescent="0.45">
      <c r="A4941" t="s">
        <v>45</v>
      </c>
      <c r="B4941" t="s">
        <v>21</v>
      </c>
      <c r="C4941">
        <v>6</v>
      </c>
      <c r="D4941" t="s">
        <v>27</v>
      </c>
      <c r="F4941">
        <v>950</v>
      </c>
    </row>
    <row r="4942" spans="1:8" x14ac:dyDescent="0.45">
      <c r="A4942" t="s">
        <v>45</v>
      </c>
      <c r="B4942" t="s">
        <v>21</v>
      </c>
      <c r="C4942">
        <v>6</v>
      </c>
      <c r="D4942" t="s">
        <v>28</v>
      </c>
      <c r="F4942">
        <v>469</v>
      </c>
    </row>
    <row r="4943" spans="1:8" x14ac:dyDescent="0.45">
      <c r="A4943" t="s">
        <v>45</v>
      </c>
      <c r="B4943" t="s">
        <v>21</v>
      </c>
      <c r="C4943">
        <v>6</v>
      </c>
      <c r="D4943" t="s">
        <v>29</v>
      </c>
      <c r="F4943">
        <v>327</v>
      </c>
    </row>
    <row r="4944" spans="1:8" x14ac:dyDescent="0.45">
      <c r="A4944" t="s">
        <v>45</v>
      </c>
      <c r="B4944" t="s">
        <v>20</v>
      </c>
      <c r="C4944">
        <v>6</v>
      </c>
      <c r="D4944" t="s">
        <v>19</v>
      </c>
      <c r="E4944">
        <v>1433965</v>
      </c>
      <c r="F4944">
        <v>2380</v>
      </c>
      <c r="G4944">
        <v>623</v>
      </c>
    </row>
    <row r="4945" spans="1:8" x14ac:dyDescent="0.45">
      <c r="A4945" t="s">
        <v>45</v>
      </c>
      <c r="B4945" t="s">
        <v>20</v>
      </c>
      <c r="C4945">
        <v>6</v>
      </c>
      <c r="D4945" t="s">
        <v>27</v>
      </c>
      <c r="F4945">
        <v>763</v>
      </c>
    </row>
    <row r="4946" spans="1:8" x14ac:dyDescent="0.45">
      <c r="A4946" t="s">
        <v>45</v>
      </c>
      <c r="B4946" t="s">
        <v>20</v>
      </c>
      <c r="C4946">
        <v>6</v>
      </c>
      <c r="D4946" t="s">
        <v>28</v>
      </c>
      <c r="F4946">
        <v>420</v>
      </c>
    </row>
    <row r="4947" spans="1:8" x14ac:dyDescent="0.45">
      <c r="A4947" t="s">
        <v>45</v>
      </c>
      <c r="B4947" t="s">
        <v>20</v>
      </c>
      <c r="C4947">
        <v>6</v>
      </c>
      <c r="D4947" t="s">
        <v>29</v>
      </c>
      <c r="F4947">
        <v>293</v>
      </c>
    </row>
    <row r="4948" spans="1:8" x14ac:dyDescent="0.45">
      <c r="A4948" t="s">
        <v>45</v>
      </c>
      <c r="B4948" t="s">
        <v>20</v>
      </c>
      <c r="C4948">
        <v>6</v>
      </c>
      <c r="D4948" t="s">
        <v>31</v>
      </c>
      <c r="H4948">
        <v>20</v>
      </c>
    </row>
    <row r="4949" spans="1:8" x14ac:dyDescent="0.45">
      <c r="A4949" t="s">
        <v>45</v>
      </c>
      <c r="B4949" t="s">
        <v>20</v>
      </c>
      <c r="C4949">
        <v>6</v>
      </c>
      <c r="D4949" t="s">
        <v>32</v>
      </c>
      <c r="H4949">
        <v>11</v>
      </c>
    </row>
    <row r="4950" spans="1:8" x14ac:dyDescent="0.45">
      <c r="A4950" t="s">
        <v>45</v>
      </c>
      <c r="B4950" t="s">
        <v>20</v>
      </c>
      <c r="C4950">
        <v>6</v>
      </c>
      <c r="D4950" t="s">
        <v>34</v>
      </c>
      <c r="H4950">
        <v>8</v>
      </c>
    </row>
    <row r="4951" spans="1:8" x14ac:dyDescent="0.45">
      <c r="A4951" t="s">
        <v>45</v>
      </c>
      <c r="B4951" t="s">
        <v>21</v>
      </c>
      <c r="C4951">
        <v>7</v>
      </c>
      <c r="D4951" t="s">
        <v>19</v>
      </c>
      <c r="E4951">
        <v>1196515</v>
      </c>
      <c r="F4951">
        <v>2302</v>
      </c>
      <c r="G4951">
        <v>672</v>
      </c>
    </row>
    <row r="4952" spans="1:8" x14ac:dyDescent="0.45">
      <c r="A4952" t="s">
        <v>45</v>
      </c>
      <c r="B4952" t="s">
        <v>21</v>
      </c>
      <c r="C4952">
        <v>7</v>
      </c>
      <c r="D4952" t="s">
        <v>27</v>
      </c>
      <c r="F4952">
        <v>892</v>
      </c>
    </row>
    <row r="4953" spans="1:8" x14ac:dyDescent="0.45">
      <c r="A4953" t="s">
        <v>45</v>
      </c>
      <c r="B4953" t="s">
        <v>21</v>
      </c>
      <c r="C4953">
        <v>7</v>
      </c>
      <c r="D4953" t="s">
        <v>28</v>
      </c>
      <c r="F4953">
        <v>436</v>
      </c>
    </row>
    <row r="4954" spans="1:8" x14ac:dyDescent="0.45">
      <c r="A4954" t="s">
        <v>45</v>
      </c>
      <c r="B4954" t="s">
        <v>21</v>
      </c>
      <c r="C4954">
        <v>7</v>
      </c>
      <c r="D4954" t="s">
        <v>29</v>
      </c>
      <c r="F4954">
        <v>254</v>
      </c>
    </row>
    <row r="4955" spans="1:8" x14ac:dyDescent="0.45">
      <c r="A4955" t="s">
        <v>45</v>
      </c>
      <c r="B4955" t="s">
        <v>20</v>
      </c>
      <c r="C4955">
        <v>7</v>
      </c>
      <c r="D4955" t="s">
        <v>19</v>
      </c>
      <c r="E4955">
        <v>1333295</v>
      </c>
      <c r="F4955">
        <v>2333</v>
      </c>
      <c r="G4955">
        <v>625</v>
      </c>
    </row>
    <row r="4956" spans="1:8" x14ac:dyDescent="0.45">
      <c r="A4956" t="s">
        <v>45</v>
      </c>
      <c r="B4956" t="s">
        <v>20</v>
      </c>
      <c r="C4956">
        <v>7</v>
      </c>
      <c r="D4956" t="s">
        <v>27</v>
      </c>
      <c r="F4956">
        <v>777</v>
      </c>
    </row>
    <row r="4957" spans="1:8" x14ac:dyDescent="0.45">
      <c r="A4957" t="s">
        <v>45</v>
      </c>
      <c r="B4957" t="s">
        <v>20</v>
      </c>
      <c r="C4957">
        <v>7</v>
      </c>
      <c r="D4957" t="s">
        <v>28</v>
      </c>
      <c r="F4957">
        <v>391</v>
      </c>
    </row>
    <row r="4958" spans="1:8" x14ac:dyDescent="0.45">
      <c r="A4958" t="s">
        <v>45</v>
      </c>
      <c r="B4958" t="s">
        <v>20</v>
      </c>
      <c r="C4958">
        <v>7</v>
      </c>
      <c r="D4958" t="s">
        <v>29</v>
      </c>
      <c r="F4958">
        <v>250</v>
      </c>
    </row>
    <row r="4959" spans="1:8" x14ac:dyDescent="0.45">
      <c r="A4959" t="s">
        <v>45</v>
      </c>
      <c r="B4959" t="s">
        <v>20</v>
      </c>
      <c r="C4959">
        <v>7</v>
      </c>
      <c r="D4959" t="s">
        <v>31</v>
      </c>
      <c r="H4959">
        <v>152</v>
      </c>
    </row>
    <row r="4960" spans="1:8" x14ac:dyDescent="0.45">
      <c r="A4960" t="s">
        <v>45</v>
      </c>
      <c r="B4960" t="s">
        <v>20</v>
      </c>
      <c r="C4960">
        <v>7</v>
      </c>
      <c r="D4960" t="s">
        <v>32</v>
      </c>
      <c r="H4960">
        <v>6</v>
      </c>
    </row>
    <row r="4961" spans="1:8" x14ac:dyDescent="0.45">
      <c r="A4961" t="s">
        <v>45</v>
      </c>
      <c r="B4961" t="s">
        <v>20</v>
      </c>
      <c r="C4961">
        <v>7</v>
      </c>
      <c r="D4961" t="s">
        <v>34</v>
      </c>
      <c r="H4961">
        <v>8</v>
      </c>
    </row>
    <row r="4962" spans="1:8" x14ac:dyDescent="0.45">
      <c r="A4962" t="s">
        <v>45</v>
      </c>
      <c r="B4962" t="s">
        <v>21</v>
      </c>
      <c r="C4962">
        <v>8</v>
      </c>
      <c r="D4962" t="s">
        <v>19</v>
      </c>
      <c r="E4962">
        <v>960135</v>
      </c>
      <c r="F4962">
        <v>1916</v>
      </c>
      <c r="G4962">
        <v>525</v>
      </c>
    </row>
    <row r="4963" spans="1:8" x14ac:dyDescent="0.45">
      <c r="A4963" t="s">
        <v>45</v>
      </c>
      <c r="B4963" t="s">
        <v>21</v>
      </c>
      <c r="C4963">
        <v>8</v>
      </c>
      <c r="D4963" t="s">
        <v>27</v>
      </c>
      <c r="F4963">
        <v>708</v>
      </c>
      <c r="G4963">
        <v>1152</v>
      </c>
    </row>
    <row r="4964" spans="1:8" x14ac:dyDescent="0.45">
      <c r="A4964" t="s">
        <v>45</v>
      </c>
      <c r="B4964" t="s">
        <v>21</v>
      </c>
      <c r="C4964">
        <v>8</v>
      </c>
      <c r="D4964" t="s">
        <v>28</v>
      </c>
      <c r="F4964">
        <v>411</v>
      </c>
      <c r="G4964">
        <v>989</v>
      </c>
    </row>
    <row r="4965" spans="1:8" x14ac:dyDescent="0.45">
      <c r="A4965" t="s">
        <v>45</v>
      </c>
      <c r="B4965" t="s">
        <v>21</v>
      </c>
      <c r="C4965">
        <v>8</v>
      </c>
      <c r="D4965" t="s">
        <v>29</v>
      </c>
      <c r="F4965">
        <v>191</v>
      </c>
      <c r="G4965">
        <v>1191</v>
      </c>
    </row>
    <row r="4966" spans="1:8" x14ac:dyDescent="0.45">
      <c r="A4966" t="s">
        <v>45</v>
      </c>
      <c r="B4966" t="s">
        <v>20</v>
      </c>
      <c r="C4966">
        <v>8</v>
      </c>
      <c r="D4966" t="s">
        <v>19</v>
      </c>
      <c r="E4966">
        <v>893197</v>
      </c>
      <c r="F4966">
        <v>1705</v>
      </c>
      <c r="G4966">
        <v>490</v>
      </c>
    </row>
    <row r="4967" spans="1:8" x14ac:dyDescent="0.45">
      <c r="A4967" t="s">
        <v>45</v>
      </c>
      <c r="B4967" t="s">
        <v>20</v>
      </c>
      <c r="C4967">
        <v>8</v>
      </c>
      <c r="D4967" t="s">
        <v>27</v>
      </c>
      <c r="F4967">
        <v>697</v>
      </c>
      <c r="G4967">
        <v>1167</v>
      </c>
    </row>
    <row r="4968" spans="1:8" x14ac:dyDescent="0.45">
      <c r="A4968" t="s">
        <v>45</v>
      </c>
      <c r="B4968" t="s">
        <v>20</v>
      </c>
      <c r="C4968">
        <v>8</v>
      </c>
      <c r="D4968" t="s">
        <v>28</v>
      </c>
      <c r="F4968">
        <v>362</v>
      </c>
      <c r="G4968">
        <v>969</v>
      </c>
    </row>
    <row r="4969" spans="1:8" x14ac:dyDescent="0.45">
      <c r="A4969" t="s">
        <v>45</v>
      </c>
      <c r="B4969" t="s">
        <v>20</v>
      </c>
      <c r="C4969">
        <v>8</v>
      </c>
      <c r="D4969" t="s">
        <v>29</v>
      </c>
      <c r="F4969">
        <v>158</v>
      </c>
      <c r="G4969">
        <v>1341</v>
      </c>
    </row>
    <row r="4970" spans="1:8" x14ac:dyDescent="0.45">
      <c r="A4970" t="s">
        <v>45</v>
      </c>
      <c r="B4970" t="s">
        <v>20</v>
      </c>
      <c r="C4970">
        <v>8</v>
      </c>
      <c r="D4970" t="s">
        <v>31</v>
      </c>
      <c r="H4970">
        <v>28</v>
      </c>
    </row>
    <row r="4971" spans="1:8" x14ac:dyDescent="0.45">
      <c r="A4971" t="s">
        <v>45</v>
      </c>
      <c r="B4971" t="s">
        <v>20</v>
      </c>
      <c r="C4971">
        <v>8</v>
      </c>
      <c r="D4971" t="s">
        <v>32</v>
      </c>
      <c r="H4971">
        <v>7</v>
      </c>
    </row>
    <row r="4972" spans="1:8" x14ac:dyDescent="0.45">
      <c r="A4972" t="s">
        <v>45</v>
      </c>
      <c r="B4972" t="s">
        <v>20</v>
      </c>
      <c r="C4972">
        <v>8</v>
      </c>
      <c r="D4972" t="s">
        <v>34</v>
      </c>
      <c r="H4972">
        <v>7</v>
      </c>
    </row>
    <row r="4973" spans="1:8" x14ac:dyDescent="0.45">
      <c r="A4973" t="s">
        <v>45</v>
      </c>
      <c r="B4973" t="s">
        <v>21</v>
      </c>
      <c r="C4973">
        <v>9</v>
      </c>
      <c r="D4973" t="s">
        <v>19</v>
      </c>
      <c r="E4973">
        <v>1137595</v>
      </c>
      <c r="F4973">
        <v>2204</v>
      </c>
      <c r="G4973">
        <v>564</v>
      </c>
    </row>
    <row r="4974" spans="1:8" x14ac:dyDescent="0.45">
      <c r="A4974" t="s">
        <v>45</v>
      </c>
      <c r="B4974" t="s">
        <v>21</v>
      </c>
      <c r="C4974">
        <v>9</v>
      </c>
      <c r="D4974" t="s">
        <v>27</v>
      </c>
      <c r="F4974">
        <v>917</v>
      </c>
    </row>
    <row r="4975" spans="1:8" x14ac:dyDescent="0.45">
      <c r="A4975" t="s">
        <v>45</v>
      </c>
      <c r="B4975" t="s">
        <v>21</v>
      </c>
      <c r="C4975">
        <v>9</v>
      </c>
      <c r="D4975" t="s">
        <v>28</v>
      </c>
      <c r="F4975">
        <v>429</v>
      </c>
    </row>
    <row r="4976" spans="1:8" x14ac:dyDescent="0.45">
      <c r="A4976" t="s">
        <v>45</v>
      </c>
      <c r="B4976" t="s">
        <v>21</v>
      </c>
      <c r="C4976">
        <v>9</v>
      </c>
      <c r="D4976" t="s">
        <v>29</v>
      </c>
      <c r="F4976">
        <v>252</v>
      </c>
    </row>
    <row r="4977" spans="1:8" x14ac:dyDescent="0.45">
      <c r="A4977" t="s">
        <v>45</v>
      </c>
      <c r="B4977" t="s">
        <v>20</v>
      </c>
      <c r="C4977">
        <v>9</v>
      </c>
      <c r="D4977" t="s">
        <v>19</v>
      </c>
      <c r="E4977">
        <v>1054172</v>
      </c>
      <c r="F4977">
        <v>2039</v>
      </c>
      <c r="G4977">
        <v>582</v>
      </c>
    </row>
    <row r="4978" spans="1:8" x14ac:dyDescent="0.45">
      <c r="A4978" t="s">
        <v>45</v>
      </c>
      <c r="B4978" t="s">
        <v>20</v>
      </c>
      <c r="C4978">
        <v>9</v>
      </c>
      <c r="D4978" t="s">
        <v>27</v>
      </c>
      <c r="F4978">
        <v>808</v>
      </c>
    </row>
    <row r="4979" spans="1:8" x14ac:dyDescent="0.45">
      <c r="A4979" t="s">
        <v>45</v>
      </c>
      <c r="B4979" t="s">
        <v>20</v>
      </c>
      <c r="C4979">
        <v>9</v>
      </c>
      <c r="D4979" t="s">
        <v>28</v>
      </c>
      <c r="F4979">
        <v>419</v>
      </c>
    </row>
    <row r="4980" spans="1:8" x14ac:dyDescent="0.45">
      <c r="A4980" t="s">
        <v>45</v>
      </c>
      <c r="B4980" t="s">
        <v>20</v>
      </c>
      <c r="C4980">
        <v>9</v>
      </c>
      <c r="D4980" t="s">
        <v>29</v>
      </c>
      <c r="F4980">
        <v>237</v>
      </c>
    </row>
    <row r="4981" spans="1:8" x14ac:dyDescent="0.45">
      <c r="A4981" t="s">
        <v>45</v>
      </c>
      <c r="B4981" t="s">
        <v>20</v>
      </c>
      <c r="C4981">
        <v>9</v>
      </c>
      <c r="D4981" t="s">
        <v>31</v>
      </c>
      <c r="H4981">
        <v>99</v>
      </c>
    </row>
    <row r="4982" spans="1:8" x14ac:dyDescent="0.45">
      <c r="A4982" t="s">
        <v>45</v>
      </c>
      <c r="B4982" t="s">
        <v>20</v>
      </c>
      <c r="C4982">
        <v>9</v>
      </c>
      <c r="D4982" t="s">
        <v>32</v>
      </c>
      <c r="H4982">
        <v>11</v>
      </c>
    </row>
    <row r="4983" spans="1:8" x14ac:dyDescent="0.45">
      <c r="A4983" t="s">
        <v>45</v>
      </c>
      <c r="B4983" t="s">
        <v>20</v>
      </c>
      <c r="C4983">
        <v>9</v>
      </c>
      <c r="D4983" t="s">
        <v>34</v>
      </c>
      <c r="H4983">
        <v>5</v>
      </c>
    </row>
    <row r="4984" spans="1:8" x14ac:dyDescent="0.45">
      <c r="A4984" t="s">
        <v>45</v>
      </c>
      <c r="B4984" t="s">
        <v>21</v>
      </c>
      <c r="C4984">
        <v>10</v>
      </c>
      <c r="D4984" t="s">
        <v>19</v>
      </c>
      <c r="E4984">
        <v>1475545</v>
      </c>
      <c r="F4984">
        <v>3046</v>
      </c>
      <c r="G4984">
        <v>795</v>
      </c>
    </row>
    <row r="4985" spans="1:8" x14ac:dyDescent="0.45">
      <c r="A4985" t="s">
        <v>45</v>
      </c>
      <c r="B4985" t="s">
        <v>21</v>
      </c>
      <c r="C4985">
        <v>10</v>
      </c>
      <c r="D4985" t="s">
        <v>27</v>
      </c>
      <c r="F4985">
        <v>1131</v>
      </c>
    </row>
    <row r="4986" spans="1:8" x14ac:dyDescent="0.45">
      <c r="A4986" t="s">
        <v>45</v>
      </c>
      <c r="B4986" t="s">
        <v>21</v>
      </c>
      <c r="C4986">
        <v>10</v>
      </c>
      <c r="D4986" t="s">
        <v>28</v>
      </c>
      <c r="F4986">
        <v>563</v>
      </c>
    </row>
    <row r="4987" spans="1:8" x14ac:dyDescent="0.45">
      <c r="A4987" t="s">
        <v>45</v>
      </c>
      <c r="B4987" t="s">
        <v>21</v>
      </c>
      <c r="C4987">
        <v>10</v>
      </c>
      <c r="D4987" t="s">
        <v>29</v>
      </c>
      <c r="F4987">
        <v>409</v>
      </c>
    </row>
    <row r="4988" spans="1:8" x14ac:dyDescent="0.45">
      <c r="A4988" t="s">
        <v>45</v>
      </c>
      <c r="B4988" t="s">
        <v>20</v>
      </c>
      <c r="C4988">
        <v>10</v>
      </c>
      <c r="D4988" t="s">
        <v>19</v>
      </c>
      <c r="E4988">
        <v>1498284</v>
      </c>
      <c r="F4988">
        <v>2757</v>
      </c>
      <c r="G4988">
        <v>766</v>
      </c>
    </row>
    <row r="4989" spans="1:8" x14ac:dyDescent="0.45">
      <c r="A4989" t="s">
        <v>45</v>
      </c>
      <c r="B4989" t="s">
        <v>20</v>
      </c>
      <c r="C4989">
        <v>10</v>
      </c>
      <c r="D4989" t="s">
        <v>27</v>
      </c>
      <c r="F4989">
        <v>947</v>
      </c>
    </row>
    <row r="4990" spans="1:8" x14ac:dyDescent="0.45">
      <c r="A4990" t="s">
        <v>45</v>
      </c>
      <c r="B4990" t="s">
        <v>20</v>
      </c>
      <c r="C4990">
        <v>10</v>
      </c>
      <c r="D4990" t="s">
        <v>28</v>
      </c>
      <c r="F4990">
        <v>539</v>
      </c>
    </row>
    <row r="4991" spans="1:8" x14ac:dyDescent="0.45">
      <c r="A4991" t="s">
        <v>45</v>
      </c>
      <c r="B4991" t="s">
        <v>20</v>
      </c>
      <c r="C4991">
        <v>10</v>
      </c>
      <c r="D4991" t="s">
        <v>29</v>
      </c>
      <c r="F4991">
        <v>357</v>
      </c>
    </row>
    <row r="4992" spans="1:8" x14ac:dyDescent="0.45">
      <c r="A4992" t="s">
        <v>45</v>
      </c>
      <c r="B4992" t="s">
        <v>20</v>
      </c>
      <c r="C4992">
        <v>10</v>
      </c>
      <c r="D4992" t="s">
        <v>31</v>
      </c>
      <c r="H4992">
        <v>130</v>
      </c>
    </row>
    <row r="4993" spans="1:8" x14ac:dyDescent="0.45">
      <c r="A4993" t="s">
        <v>45</v>
      </c>
      <c r="B4993" t="s">
        <v>20</v>
      </c>
      <c r="C4993">
        <v>10</v>
      </c>
      <c r="D4993" t="s">
        <v>32</v>
      </c>
      <c r="H4993">
        <v>10</v>
      </c>
    </row>
    <row r="4994" spans="1:8" x14ac:dyDescent="0.45">
      <c r="A4994" t="s">
        <v>45</v>
      </c>
      <c r="B4994" t="s">
        <v>20</v>
      </c>
      <c r="C4994">
        <v>10</v>
      </c>
      <c r="D4994" t="s">
        <v>34</v>
      </c>
      <c r="H4994">
        <v>12</v>
      </c>
    </row>
    <row r="4995" spans="1:8" x14ac:dyDescent="0.45">
      <c r="A4995" t="s">
        <v>45</v>
      </c>
      <c r="B4995" t="s">
        <v>21</v>
      </c>
      <c r="C4995">
        <v>11</v>
      </c>
      <c r="D4995" t="s">
        <v>19</v>
      </c>
      <c r="E4995">
        <v>1150805</v>
      </c>
      <c r="F4995">
        <v>2220</v>
      </c>
      <c r="G4995">
        <v>634</v>
      </c>
    </row>
    <row r="4996" spans="1:8" x14ac:dyDescent="0.45">
      <c r="A4996" t="s">
        <v>45</v>
      </c>
      <c r="B4996" t="s">
        <v>21</v>
      </c>
      <c r="C4996">
        <v>11</v>
      </c>
      <c r="D4996" t="s">
        <v>27</v>
      </c>
      <c r="F4996">
        <v>910</v>
      </c>
    </row>
    <row r="4997" spans="1:8" x14ac:dyDescent="0.45">
      <c r="A4997" t="s">
        <v>45</v>
      </c>
      <c r="B4997" t="s">
        <v>21</v>
      </c>
      <c r="C4997">
        <v>11</v>
      </c>
      <c r="D4997" t="s">
        <v>28</v>
      </c>
      <c r="F4997">
        <v>424</v>
      </c>
    </row>
    <row r="4998" spans="1:8" x14ac:dyDescent="0.45">
      <c r="A4998" t="s">
        <v>45</v>
      </c>
      <c r="B4998" t="s">
        <v>21</v>
      </c>
      <c r="C4998">
        <v>11</v>
      </c>
      <c r="D4998" t="s">
        <v>29</v>
      </c>
      <c r="F4998">
        <v>275</v>
      </c>
    </row>
    <row r="4999" spans="1:8" x14ac:dyDescent="0.45">
      <c r="A4999" t="s">
        <v>45</v>
      </c>
      <c r="B4999" t="s">
        <v>20</v>
      </c>
      <c r="C4999">
        <v>11</v>
      </c>
      <c r="D4999" t="s">
        <v>19</v>
      </c>
      <c r="E4999">
        <v>1257823</v>
      </c>
      <c r="F4999">
        <v>2373</v>
      </c>
      <c r="G4999">
        <v>633</v>
      </c>
    </row>
    <row r="5000" spans="1:8" x14ac:dyDescent="0.45">
      <c r="A5000" t="s">
        <v>45</v>
      </c>
      <c r="B5000" t="s">
        <v>20</v>
      </c>
      <c r="C5000">
        <v>11</v>
      </c>
      <c r="D5000" t="s">
        <v>27</v>
      </c>
      <c r="F5000">
        <v>782</v>
      </c>
    </row>
    <row r="5001" spans="1:8" x14ac:dyDescent="0.45">
      <c r="A5001" t="s">
        <v>45</v>
      </c>
      <c r="B5001" t="s">
        <v>20</v>
      </c>
      <c r="C5001">
        <v>11</v>
      </c>
      <c r="D5001" t="s">
        <v>28</v>
      </c>
      <c r="F5001">
        <v>430</v>
      </c>
    </row>
    <row r="5002" spans="1:8" x14ac:dyDescent="0.45">
      <c r="A5002" t="s">
        <v>45</v>
      </c>
      <c r="B5002" t="s">
        <v>20</v>
      </c>
      <c r="C5002">
        <v>11</v>
      </c>
      <c r="D5002" t="s">
        <v>29</v>
      </c>
      <c r="F5002">
        <v>293</v>
      </c>
    </row>
    <row r="5003" spans="1:8" x14ac:dyDescent="0.45">
      <c r="A5003" t="s">
        <v>45</v>
      </c>
      <c r="B5003" t="s">
        <v>20</v>
      </c>
      <c r="C5003">
        <v>11</v>
      </c>
      <c r="D5003" t="s">
        <v>31</v>
      </c>
      <c r="H5003">
        <v>121</v>
      </c>
    </row>
    <row r="5004" spans="1:8" x14ac:dyDescent="0.45">
      <c r="A5004" t="s">
        <v>45</v>
      </c>
      <c r="B5004" t="s">
        <v>20</v>
      </c>
      <c r="C5004">
        <v>11</v>
      </c>
      <c r="D5004" t="s">
        <v>32</v>
      </c>
      <c r="H5004">
        <v>4</v>
      </c>
    </row>
    <row r="5005" spans="1:8" x14ac:dyDescent="0.45">
      <c r="A5005" t="s">
        <v>45</v>
      </c>
      <c r="B5005" t="s">
        <v>20</v>
      </c>
      <c r="C5005">
        <v>11</v>
      </c>
      <c r="D5005" t="s">
        <v>34</v>
      </c>
      <c r="H5005">
        <v>9</v>
      </c>
    </row>
    <row r="5006" spans="1:8" x14ac:dyDescent="0.45">
      <c r="A5006" t="s">
        <v>45</v>
      </c>
      <c r="B5006" t="s">
        <v>21</v>
      </c>
      <c r="C5006">
        <v>12</v>
      </c>
      <c r="D5006" t="s">
        <v>19</v>
      </c>
      <c r="E5006">
        <v>1100945</v>
      </c>
      <c r="F5006">
        <v>2447</v>
      </c>
      <c r="G5006">
        <v>625</v>
      </c>
    </row>
    <row r="5007" spans="1:8" x14ac:dyDescent="0.45">
      <c r="A5007" t="s">
        <v>45</v>
      </c>
      <c r="B5007" t="s">
        <v>21</v>
      </c>
      <c r="C5007">
        <v>12</v>
      </c>
      <c r="D5007" t="s">
        <v>27</v>
      </c>
      <c r="F5007">
        <v>932</v>
      </c>
    </row>
    <row r="5008" spans="1:8" x14ac:dyDescent="0.45">
      <c r="A5008" t="s">
        <v>45</v>
      </c>
      <c r="B5008" t="s">
        <v>21</v>
      </c>
      <c r="C5008">
        <v>12</v>
      </c>
      <c r="D5008" t="s">
        <v>28</v>
      </c>
      <c r="F5008">
        <v>447</v>
      </c>
    </row>
    <row r="5009" spans="1:8" x14ac:dyDescent="0.45">
      <c r="A5009" t="s">
        <v>45</v>
      </c>
      <c r="B5009" t="s">
        <v>21</v>
      </c>
      <c r="C5009">
        <v>12</v>
      </c>
      <c r="D5009" t="s">
        <v>29</v>
      </c>
      <c r="F5009">
        <v>246</v>
      </c>
    </row>
    <row r="5010" spans="1:8" x14ac:dyDescent="0.45">
      <c r="A5010" t="s">
        <v>45</v>
      </c>
      <c r="B5010" t="s">
        <v>20</v>
      </c>
      <c r="C5010">
        <v>12</v>
      </c>
      <c r="D5010" t="s">
        <v>19</v>
      </c>
      <c r="E5010">
        <v>1085593</v>
      </c>
      <c r="F5010">
        <v>2281</v>
      </c>
      <c r="G5010">
        <v>640</v>
      </c>
    </row>
    <row r="5011" spans="1:8" x14ac:dyDescent="0.45">
      <c r="A5011" t="s">
        <v>45</v>
      </c>
      <c r="B5011" t="s">
        <v>20</v>
      </c>
      <c r="C5011">
        <v>12</v>
      </c>
      <c r="D5011" t="s">
        <v>27</v>
      </c>
      <c r="F5011">
        <v>879</v>
      </c>
    </row>
    <row r="5012" spans="1:8" x14ac:dyDescent="0.45">
      <c r="A5012" t="s">
        <v>45</v>
      </c>
      <c r="B5012" t="s">
        <v>20</v>
      </c>
      <c r="C5012">
        <v>12</v>
      </c>
      <c r="D5012" t="s">
        <v>28</v>
      </c>
      <c r="F5012">
        <v>411</v>
      </c>
    </row>
    <row r="5013" spans="1:8" x14ac:dyDescent="0.45">
      <c r="A5013" t="s">
        <v>45</v>
      </c>
      <c r="B5013" t="s">
        <v>20</v>
      </c>
      <c r="C5013">
        <v>12</v>
      </c>
      <c r="D5013" t="s">
        <v>29</v>
      </c>
      <c r="F5013">
        <v>276</v>
      </c>
    </row>
    <row r="5014" spans="1:8" x14ac:dyDescent="0.45">
      <c r="A5014" t="s">
        <v>45</v>
      </c>
      <c r="B5014" t="s">
        <v>20</v>
      </c>
      <c r="C5014">
        <v>12</v>
      </c>
      <c r="D5014" t="s">
        <v>31</v>
      </c>
      <c r="H5014">
        <v>59</v>
      </c>
    </row>
    <row r="5015" spans="1:8" x14ac:dyDescent="0.45">
      <c r="A5015" t="s">
        <v>45</v>
      </c>
      <c r="B5015" t="s">
        <v>20</v>
      </c>
      <c r="C5015">
        <v>12</v>
      </c>
      <c r="D5015" t="s">
        <v>32</v>
      </c>
      <c r="H5015">
        <v>10</v>
      </c>
    </row>
    <row r="5016" spans="1:8" x14ac:dyDescent="0.45">
      <c r="A5016" t="s">
        <v>45</v>
      </c>
      <c r="B5016" t="s">
        <v>20</v>
      </c>
      <c r="C5016">
        <v>12</v>
      </c>
      <c r="D5016" t="s">
        <v>34</v>
      </c>
      <c r="H5016">
        <v>11</v>
      </c>
    </row>
    <row r="5017" spans="1:8" x14ac:dyDescent="0.45">
      <c r="A5017" t="s">
        <v>47</v>
      </c>
      <c r="B5017" t="s">
        <v>21</v>
      </c>
      <c r="C5017">
        <v>1</v>
      </c>
      <c r="D5017" t="s">
        <v>19</v>
      </c>
      <c r="E5017">
        <v>1795135</v>
      </c>
      <c r="F5017">
        <v>3927</v>
      </c>
    </row>
    <row r="5018" spans="1:8" x14ac:dyDescent="0.45">
      <c r="A5018" t="s">
        <v>47</v>
      </c>
      <c r="B5018" t="s">
        <v>21</v>
      </c>
      <c r="C5018">
        <v>1</v>
      </c>
      <c r="D5018" t="s">
        <v>27</v>
      </c>
      <c r="F5018">
        <v>1720</v>
      </c>
    </row>
    <row r="5019" spans="1:8" x14ac:dyDescent="0.45">
      <c r="A5019" t="s">
        <v>47</v>
      </c>
      <c r="B5019" t="s">
        <v>21</v>
      </c>
      <c r="C5019">
        <v>1</v>
      </c>
      <c r="D5019" t="s">
        <v>28</v>
      </c>
      <c r="F5019">
        <v>625</v>
      </c>
    </row>
    <row r="5020" spans="1:8" x14ac:dyDescent="0.45">
      <c r="A5020" t="s">
        <v>47</v>
      </c>
      <c r="B5020" t="s">
        <v>21</v>
      </c>
      <c r="C5020">
        <v>1</v>
      </c>
      <c r="D5020" t="s">
        <v>29</v>
      </c>
      <c r="F5020">
        <v>487</v>
      </c>
    </row>
    <row r="5021" spans="1:8" x14ac:dyDescent="0.45">
      <c r="A5021" t="s">
        <v>47</v>
      </c>
      <c r="B5021" t="s">
        <v>20</v>
      </c>
      <c r="C5021">
        <v>1</v>
      </c>
      <c r="D5021" t="s">
        <v>19</v>
      </c>
      <c r="E5021">
        <v>1544072</v>
      </c>
      <c r="F5021">
        <v>3355</v>
      </c>
      <c r="G5021">
        <v>974</v>
      </c>
    </row>
    <row r="5022" spans="1:8" x14ac:dyDescent="0.45">
      <c r="A5022" t="s">
        <v>47</v>
      </c>
      <c r="B5022" t="s">
        <v>20</v>
      </c>
      <c r="C5022">
        <v>1</v>
      </c>
      <c r="D5022" t="s">
        <v>27</v>
      </c>
      <c r="F5022">
        <v>1413</v>
      </c>
    </row>
    <row r="5023" spans="1:8" x14ac:dyDescent="0.45">
      <c r="A5023" t="s">
        <v>47</v>
      </c>
      <c r="B5023" t="s">
        <v>20</v>
      </c>
      <c r="C5023">
        <v>1</v>
      </c>
      <c r="D5023" t="s">
        <v>28</v>
      </c>
      <c r="F5023">
        <v>559</v>
      </c>
    </row>
    <row r="5024" spans="1:8" x14ac:dyDescent="0.45">
      <c r="A5024" t="s">
        <v>47</v>
      </c>
      <c r="B5024" t="s">
        <v>20</v>
      </c>
      <c r="C5024">
        <v>1</v>
      </c>
      <c r="D5024" t="s">
        <v>29</v>
      </c>
      <c r="F5024">
        <v>444</v>
      </c>
    </row>
    <row r="5025" spans="1:8" x14ac:dyDescent="0.45">
      <c r="A5025" t="s">
        <v>47</v>
      </c>
      <c r="B5025" t="s">
        <v>20</v>
      </c>
      <c r="C5025">
        <v>1</v>
      </c>
      <c r="D5025" t="s">
        <v>31</v>
      </c>
      <c r="H5025">
        <v>174</v>
      </c>
    </row>
    <row r="5026" spans="1:8" x14ac:dyDescent="0.45">
      <c r="A5026" t="s">
        <v>47</v>
      </c>
      <c r="B5026" t="s">
        <v>20</v>
      </c>
      <c r="C5026">
        <v>1</v>
      </c>
      <c r="D5026" t="s">
        <v>32</v>
      </c>
      <c r="H5026">
        <v>16</v>
      </c>
    </row>
    <row r="5027" spans="1:8" x14ac:dyDescent="0.45">
      <c r="A5027" t="s">
        <v>47</v>
      </c>
      <c r="B5027" t="s">
        <v>20</v>
      </c>
      <c r="C5027">
        <v>1</v>
      </c>
      <c r="D5027" t="s">
        <v>34</v>
      </c>
    </row>
    <row r="5028" spans="1:8" x14ac:dyDescent="0.45">
      <c r="A5028" t="s">
        <v>47</v>
      </c>
      <c r="B5028" t="s">
        <v>21</v>
      </c>
      <c r="C5028">
        <v>2</v>
      </c>
      <c r="D5028" t="s">
        <v>19</v>
      </c>
      <c r="E5028">
        <v>1649853</v>
      </c>
      <c r="F5028">
        <v>3664</v>
      </c>
      <c r="G5028">
        <v>1019</v>
      </c>
    </row>
    <row r="5029" spans="1:8" x14ac:dyDescent="0.45">
      <c r="A5029" t="s">
        <v>47</v>
      </c>
      <c r="B5029" t="s">
        <v>21</v>
      </c>
      <c r="C5029">
        <v>2</v>
      </c>
      <c r="D5029" t="s">
        <v>27</v>
      </c>
      <c r="F5029">
        <v>1760</v>
      </c>
    </row>
    <row r="5030" spans="1:8" x14ac:dyDescent="0.45">
      <c r="A5030" t="s">
        <v>47</v>
      </c>
      <c r="B5030" t="s">
        <v>21</v>
      </c>
      <c r="C5030">
        <v>2</v>
      </c>
      <c r="D5030" t="s">
        <v>28</v>
      </c>
      <c r="F5030">
        <v>515</v>
      </c>
    </row>
    <row r="5031" spans="1:8" x14ac:dyDescent="0.45">
      <c r="A5031" t="s">
        <v>47</v>
      </c>
      <c r="B5031" t="s">
        <v>21</v>
      </c>
      <c r="C5031">
        <v>2</v>
      </c>
      <c r="D5031" t="s">
        <v>29</v>
      </c>
      <c r="F5031">
        <v>416</v>
      </c>
    </row>
    <row r="5032" spans="1:8" x14ac:dyDescent="0.45">
      <c r="A5032" t="s">
        <v>47</v>
      </c>
      <c r="B5032" t="s">
        <v>20</v>
      </c>
      <c r="C5032">
        <v>2</v>
      </c>
      <c r="D5032" t="s">
        <v>19</v>
      </c>
      <c r="E5032">
        <v>1443953</v>
      </c>
      <c r="F5032">
        <v>3163</v>
      </c>
      <c r="G5032">
        <v>920</v>
      </c>
    </row>
    <row r="5033" spans="1:8" x14ac:dyDescent="0.45">
      <c r="A5033" t="s">
        <v>47</v>
      </c>
      <c r="B5033" t="s">
        <v>20</v>
      </c>
      <c r="C5033">
        <v>2</v>
      </c>
      <c r="D5033" t="s">
        <v>27</v>
      </c>
      <c r="F5033">
        <v>1434</v>
      </c>
    </row>
    <row r="5034" spans="1:8" x14ac:dyDescent="0.45">
      <c r="A5034" t="s">
        <v>47</v>
      </c>
      <c r="B5034" t="s">
        <v>20</v>
      </c>
      <c r="C5034">
        <v>2</v>
      </c>
      <c r="D5034" t="s">
        <v>28</v>
      </c>
      <c r="F5034">
        <v>514</v>
      </c>
    </row>
    <row r="5035" spans="1:8" x14ac:dyDescent="0.45">
      <c r="A5035" t="s">
        <v>47</v>
      </c>
      <c r="B5035" t="s">
        <v>20</v>
      </c>
      <c r="C5035">
        <v>2</v>
      </c>
      <c r="D5035" t="s">
        <v>29</v>
      </c>
      <c r="F5035">
        <v>398</v>
      </c>
    </row>
    <row r="5036" spans="1:8" x14ac:dyDescent="0.45">
      <c r="A5036" t="s">
        <v>47</v>
      </c>
      <c r="B5036" t="s">
        <v>20</v>
      </c>
      <c r="C5036">
        <v>2</v>
      </c>
      <c r="D5036" t="s">
        <v>31</v>
      </c>
      <c r="H5036">
        <v>177</v>
      </c>
    </row>
    <row r="5037" spans="1:8" x14ac:dyDescent="0.45">
      <c r="A5037" t="s">
        <v>47</v>
      </c>
      <c r="B5037" t="s">
        <v>20</v>
      </c>
      <c r="C5037">
        <v>2</v>
      </c>
      <c r="D5037" t="s">
        <v>32</v>
      </c>
      <c r="H5037">
        <v>23</v>
      </c>
    </row>
    <row r="5038" spans="1:8" x14ac:dyDescent="0.45">
      <c r="A5038" t="s">
        <v>47</v>
      </c>
      <c r="B5038" t="s">
        <v>20</v>
      </c>
      <c r="C5038">
        <v>2</v>
      </c>
      <c r="D5038" t="s">
        <v>34</v>
      </c>
      <c r="H5038">
        <v>17</v>
      </c>
    </row>
    <row r="5039" spans="1:8" x14ac:dyDescent="0.45">
      <c r="A5039" t="s">
        <v>47</v>
      </c>
      <c r="B5039" t="s">
        <v>21</v>
      </c>
      <c r="C5039">
        <v>3</v>
      </c>
      <c r="D5039" t="s">
        <v>19</v>
      </c>
      <c r="E5039">
        <v>3660146</v>
      </c>
      <c r="F5039">
        <v>6331</v>
      </c>
      <c r="G5039">
        <v>1710</v>
      </c>
    </row>
    <row r="5040" spans="1:8" x14ac:dyDescent="0.45">
      <c r="A5040" t="s">
        <v>47</v>
      </c>
      <c r="B5040" t="s">
        <v>21</v>
      </c>
      <c r="C5040">
        <v>3</v>
      </c>
      <c r="D5040" t="s">
        <v>27</v>
      </c>
      <c r="F5040">
        <v>2023</v>
      </c>
    </row>
    <row r="5041" spans="1:8" x14ac:dyDescent="0.45">
      <c r="A5041" t="s">
        <v>47</v>
      </c>
      <c r="B5041" t="s">
        <v>21</v>
      </c>
      <c r="C5041">
        <v>3</v>
      </c>
      <c r="D5041" t="s">
        <v>28</v>
      </c>
      <c r="F5041">
        <v>990</v>
      </c>
    </row>
    <row r="5042" spans="1:8" x14ac:dyDescent="0.45">
      <c r="A5042" t="s">
        <v>47</v>
      </c>
      <c r="B5042" t="s">
        <v>21</v>
      </c>
      <c r="C5042">
        <v>3</v>
      </c>
      <c r="D5042" t="s">
        <v>29</v>
      </c>
      <c r="F5042">
        <v>856</v>
      </c>
    </row>
    <row r="5043" spans="1:8" x14ac:dyDescent="0.45">
      <c r="A5043" t="s">
        <v>47</v>
      </c>
      <c r="B5043" t="s">
        <v>20</v>
      </c>
      <c r="C5043">
        <v>3</v>
      </c>
      <c r="D5043" t="s">
        <v>19</v>
      </c>
      <c r="E5043">
        <v>2887026</v>
      </c>
      <c r="F5043">
        <v>5348</v>
      </c>
      <c r="G5043">
        <v>1508</v>
      </c>
      <c r="H5043">
        <v>5</v>
      </c>
    </row>
    <row r="5044" spans="1:8" x14ac:dyDescent="0.45">
      <c r="A5044" t="s">
        <v>47</v>
      </c>
      <c r="B5044" t="s">
        <v>20</v>
      </c>
      <c r="C5044">
        <v>3</v>
      </c>
      <c r="D5044" t="s">
        <v>27</v>
      </c>
      <c r="F5044">
        <v>1979</v>
      </c>
    </row>
    <row r="5045" spans="1:8" x14ac:dyDescent="0.45">
      <c r="A5045" t="s">
        <v>47</v>
      </c>
      <c r="B5045" t="s">
        <v>20</v>
      </c>
      <c r="C5045">
        <v>3</v>
      </c>
      <c r="D5045" t="s">
        <v>28</v>
      </c>
      <c r="F5045">
        <v>839</v>
      </c>
    </row>
    <row r="5046" spans="1:8" x14ac:dyDescent="0.45">
      <c r="A5046" t="s">
        <v>47</v>
      </c>
      <c r="B5046" t="s">
        <v>20</v>
      </c>
      <c r="C5046">
        <v>3</v>
      </c>
      <c r="D5046" t="s">
        <v>29</v>
      </c>
      <c r="F5046">
        <v>744</v>
      </c>
    </row>
    <row r="5047" spans="1:8" x14ac:dyDescent="0.45">
      <c r="A5047" t="s">
        <v>47</v>
      </c>
      <c r="B5047" t="s">
        <v>20</v>
      </c>
      <c r="C5047">
        <v>3</v>
      </c>
      <c r="D5047" t="s">
        <v>31</v>
      </c>
      <c r="H5047">
        <v>181</v>
      </c>
    </row>
    <row r="5048" spans="1:8" x14ac:dyDescent="0.45">
      <c r="A5048" t="s">
        <v>47</v>
      </c>
      <c r="B5048" t="s">
        <v>20</v>
      </c>
      <c r="C5048">
        <v>3</v>
      </c>
      <c r="D5048" t="s">
        <v>32</v>
      </c>
      <c r="H5048">
        <v>23</v>
      </c>
    </row>
    <row r="5049" spans="1:8" x14ac:dyDescent="0.45">
      <c r="A5049" t="s">
        <v>47</v>
      </c>
      <c r="B5049" t="s">
        <v>20</v>
      </c>
      <c r="C5049">
        <v>3</v>
      </c>
      <c r="D5049" t="s">
        <v>34</v>
      </c>
      <c r="H5049">
        <v>15</v>
      </c>
    </row>
    <row r="5050" spans="1:8" x14ac:dyDescent="0.45">
      <c r="A5050" t="s">
        <v>47</v>
      </c>
      <c r="B5050" t="s">
        <v>21</v>
      </c>
      <c r="C5050">
        <v>4</v>
      </c>
      <c r="D5050" t="s">
        <v>19</v>
      </c>
      <c r="E5050">
        <v>4929628</v>
      </c>
      <c r="F5050">
        <v>7885</v>
      </c>
      <c r="G5050">
        <v>1966</v>
      </c>
    </row>
    <row r="5051" spans="1:8" x14ac:dyDescent="0.45">
      <c r="A5051" t="s">
        <v>47</v>
      </c>
      <c r="B5051" t="s">
        <v>21</v>
      </c>
      <c r="C5051">
        <v>4</v>
      </c>
      <c r="D5051" t="s">
        <v>27</v>
      </c>
      <c r="F5051">
        <v>2205</v>
      </c>
    </row>
    <row r="5052" spans="1:8" x14ac:dyDescent="0.45">
      <c r="A5052" t="s">
        <v>47</v>
      </c>
      <c r="B5052" t="s">
        <v>21</v>
      </c>
      <c r="C5052">
        <v>4</v>
      </c>
      <c r="D5052" t="s">
        <v>28</v>
      </c>
      <c r="F5052">
        <v>1106</v>
      </c>
    </row>
    <row r="5053" spans="1:8" x14ac:dyDescent="0.45">
      <c r="A5053" t="s">
        <v>47</v>
      </c>
      <c r="B5053" t="s">
        <v>21</v>
      </c>
      <c r="C5053">
        <v>4</v>
      </c>
      <c r="D5053" t="s">
        <v>29</v>
      </c>
      <c r="F5053">
        <v>994</v>
      </c>
    </row>
    <row r="5054" spans="1:8" x14ac:dyDescent="0.45">
      <c r="A5054" t="s">
        <v>47</v>
      </c>
      <c r="B5054" t="s">
        <v>20</v>
      </c>
      <c r="C5054">
        <v>4</v>
      </c>
      <c r="D5054" t="s">
        <v>19</v>
      </c>
      <c r="E5054">
        <v>5085523</v>
      </c>
      <c r="F5054">
        <v>8079</v>
      </c>
      <c r="G5054">
        <v>1959</v>
      </c>
    </row>
    <row r="5055" spans="1:8" x14ac:dyDescent="0.45">
      <c r="A5055" t="s">
        <v>47</v>
      </c>
      <c r="B5055" t="s">
        <v>20</v>
      </c>
      <c r="C5055">
        <v>4</v>
      </c>
      <c r="D5055" t="s">
        <v>27</v>
      </c>
      <c r="F5055">
        <v>1793</v>
      </c>
    </row>
    <row r="5056" spans="1:8" x14ac:dyDescent="0.45">
      <c r="A5056" t="s">
        <v>47</v>
      </c>
      <c r="B5056" t="s">
        <v>20</v>
      </c>
      <c r="C5056">
        <v>4</v>
      </c>
      <c r="D5056" t="s">
        <v>28</v>
      </c>
      <c r="F5056">
        <v>1202</v>
      </c>
    </row>
    <row r="5057" spans="1:8" x14ac:dyDescent="0.45">
      <c r="A5057" t="s">
        <v>47</v>
      </c>
      <c r="B5057" t="s">
        <v>20</v>
      </c>
      <c r="C5057">
        <v>4</v>
      </c>
      <c r="D5057" t="s">
        <v>29</v>
      </c>
      <c r="F5057">
        <v>1009</v>
      </c>
    </row>
    <row r="5058" spans="1:8" x14ac:dyDescent="0.45">
      <c r="A5058" t="s">
        <v>47</v>
      </c>
      <c r="B5058" t="s">
        <v>20</v>
      </c>
      <c r="C5058">
        <v>4</v>
      </c>
      <c r="D5058" t="s">
        <v>31</v>
      </c>
      <c r="H5058">
        <v>151</v>
      </c>
    </row>
    <row r="5059" spans="1:8" x14ac:dyDescent="0.45">
      <c r="A5059" t="s">
        <v>47</v>
      </c>
      <c r="B5059" t="s">
        <v>20</v>
      </c>
      <c r="C5059">
        <v>4</v>
      </c>
      <c r="D5059" t="s">
        <v>32</v>
      </c>
      <c r="H5059">
        <v>27</v>
      </c>
    </row>
    <row r="5060" spans="1:8" x14ac:dyDescent="0.45">
      <c r="A5060" t="s">
        <v>47</v>
      </c>
      <c r="B5060" t="s">
        <v>20</v>
      </c>
      <c r="C5060">
        <v>4</v>
      </c>
      <c r="D5060" t="s">
        <v>34</v>
      </c>
      <c r="H5060">
        <v>20</v>
      </c>
    </row>
    <row r="5061" spans="1:8" x14ac:dyDescent="0.45">
      <c r="A5061" t="s">
        <v>47</v>
      </c>
      <c r="B5061" t="s">
        <v>21</v>
      </c>
      <c r="C5061">
        <v>5</v>
      </c>
      <c r="D5061" t="s">
        <v>19</v>
      </c>
      <c r="E5061">
        <v>4081035</v>
      </c>
      <c r="F5061">
        <v>6566</v>
      </c>
      <c r="G5061">
        <v>1660</v>
      </c>
    </row>
    <row r="5062" spans="1:8" x14ac:dyDescent="0.45">
      <c r="A5062" t="s">
        <v>47</v>
      </c>
      <c r="B5062" t="s">
        <v>21</v>
      </c>
      <c r="C5062">
        <v>5</v>
      </c>
      <c r="D5062" t="s">
        <v>27</v>
      </c>
      <c r="F5062">
        <v>1854</v>
      </c>
    </row>
    <row r="5063" spans="1:8" x14ac:dyDescent="0.45">
      <c r="A5063" t="s">
        <v>47</v>
      </c>
      <c r="B5063" t="s">
        <v>21</v>
      </c>
      <c r="C5063">
        <v>5</v>
      </c>
      <c r="D5063" t="s">
        <v>28</v>
      </c>
      <c r="F5063">
        <v>1050</v>
      </c>
    </row>
    <row r="5064" spans="1:8" x14ac:dyDescent="0.45">
      <c r="A5064" t="s">
        <v>47</v>
      </c>
      <c r="B5064" t="s">
        <v>21</v>
      </c>
      <c r="C5064">
        <v>5</v>
      </c>
      <c r="D5064" t="s">
        <v>29</v>
      </c>
      <c r="F5064">
        <v>828</v>
      </c>
    </row>
    <row r="5065" spans="1:8" x14ac:dyDescent="0.45">
      <c r="A5065" t="s">
        <v>47</v>
      </c>
      <c r="B5065" t="s">
        <v>20</v>
      </c>
      <c r="C5065">
        <v>5</v>
      </c>
      <c r="D5065" t="s">
        <v>19</v>
      </c>
      <c r="E5065">
        <v>3524465</v>
      </c>
      <c r="F5065">
        <v>5673</v>
      </c>
      <c r="G5065">
        <v>1482</v>
      </c>
    </row>
    <row r="5066" spans="1:8" x14ac:dyDescent="0.45">
      <c r="A5066" t="s">
        <v>47</v>
      </c>
      <c r="B5066" t="s">
        <v>20</v>
      </c>
      <c r="C5066">
        <v>5</v>
      </c>
      <c r="D5066" t="s">
        <v>27</v>
      </c>
      <c r="F5066">
        <v>1492</v>
      </c>
    </row>
    <row r="5067" spans="1:8" x14ac:dyDescent="0.45">
      <c r="A5067" t="s">
        <v>47</v>
      </c>
      <c r="B5067" t="s">
        <v>20</v>
      </c>
      <c r="C5067">
        <v>5</v>
      </c>
      <c r="D5067" t="s">
        <v>28</v>
      </c>
      <c r="F5067">
        <v>948</v>
      </c>
    </row>
    <row r="5068" spans="1:8" x14ac:dyDescent="0.45">
      <c r="A5068" t="s">
        <v>47</v>
      </c>
      <c r="B5068" t="s">
        <v>20</v>
      </c>
      <c r="C5068">
        <v>5</v>
      </c>
      <c r="D5068" t="s">
        <v>29</v>
      </c>
      <c r="F5068">
        <v>697</v>
      </c>
    </row>
    <row r="5069" spans="1:8" x14ac:dyDescent="0.45">
      <c r="A5069" t="s">
        <v>47</v>
      </c>
      <c r="B5069" t="s">
        <v>20</v>
      </c>
      <c r="C5069">
        <v>5</v>
      </c>
      <c r="D5069" t="s">
        <v>31</v>
      </c>
      <c r="H5069">
        <v>218</v>
      </c>
    </row>
    <row r="5070" spans="1:8" x14ac:dyDescent="0.45">
      <c r="A5070" t="s">
        <v>47</v>
      </c>
      <c r="B5070" t="s">
        <v>20</v>
      </c>
      <c r="C5070">
        <v>5</v>
      </c>
      <c r="D5070" t="s">
        <v>32</v>
      </c>
      <c r="H5070">
        <v>16</v>
      </c>
    </row>
    <row r="5071" spans="1:8" x14ac:dyDescent="0.45">
      <c r="A5071" t="s">
        <v>47</v>
      </c>
      <c r="B5071" t="s">
        <v>20</v>
      </c>
      <c r="C5071">
        <v>5</v>
      </c>
      <c r="D5071" t="s">
        <v>34</v>
      </c>
      <c r="H5071">
        <v>17</v>
      </c>
    </row>
    <row r="5072" spans="1:8" x14ac:dyDescent="0.45">
      <c r="A5072" t="s">
        <v>47</v>
      </c>
      <c r="B5072" t="s">
        <v>21</v>
      </c>
      <c r="C5072">
        <v>6</v>
      </c>
      <c r="D5072" t="s">
        <v>19</v>
      </c>
      <c r="E5072">
        <v>3675803</v>
      </c>
      <c r="F5072">
        <v>6522</v>
      </c>
      <c r="G5072">
        <v>1691</v>
      </c>
    </row>
    <row r="5073" spans="1:8" x14ac:dyDescent="0.45">
      <c r="A5073" t="s">
        <v>47</v>
      </c>
      <c r="B5073" t="s">
        <v>21</v>
      </c>
      <c r="C5073">
        <v>6</v>
      </c>
      <c r="D5073" t="s">
        <v>27</v>
      </c>
      <c r="F5073">
        <v>2089</v>
      </c>
    </row>
    <row r="5074" spans="1:8" x14ac:dyDescent="0.45">
      <c r="A5074" t="s">
        <v>47</v>
      </c>
      <c r="B5074" t="s">
        <v>21</v>
      </c>
      <c r="C5074">
        <v>6</v>
      </c>
      <c r="D5074" t="s">
        <v>28</v>
      </c>
      <c r="F5074">
        <v>1023</v>
      </c>
    </row>
    <row r="5075" spans="1:8" x14ac:dyDescent="0.45">
      <c r="A5075" t="s">
        <v>47</v>
      </c>
      <c r="B5075" t="s">
        <v>21</v>
      </c>
      <c r="C5075">
        <v>6</v>
      </c>
      <c r="D5075" t="s">
        <v>29</v>
      </c>
      <c r="F5075">
        <v>809</v>
      </c>
    </row>
    <row r="5076" spans="1:8" x14ac:dyDescent="0.45">
      <c r="A5076" t="s">
        <v>47</v>
      </c>
      <c r="B5076" t="s">
        <v>20</v>
      </c>
      <c r="C5076">
        <v>6</v>
      </c>
      <c r="D5076" t="s">
        <v>19</v>
      </c>
      <c r="E5076">
        <v>3277404</v>
      </c>
      <c r="F5076">
        <v>5485</v>
      </c>
      <c r="G5076">
        <v>1421</v>
      </c>
    </row>
    <row r="5077" spans="1:8" x14ac:dyDescent="0.45">
      <c r="A5077" t="s">
        <v>47</v>
      </c>
      <c r="B5077" t="s">
        <v>20</v>
      </c>
      <c r="C5077">
        <v>6</v>
      </c>
      <c r="D5077" t="s">
        <v>27</v>
      </c>
      <c r="F5077">
        <v>1824</v>
      </c>
    </row>
    <row r="5078" spans="1:8" x14ac:dyDescent="0.45">
      <c r="A5078" t="s">
        <v>47</v>
      </c>
      <c r="B5078" t="s">
        <v>20</v>
      </c>
      <c r="C5078">
        <v>6</v>
      </c>
      <c r="D5078" t="s">
        <v>28</v>
      </c>
      <c r="F5078">
        <v>903</v>
      </c>
    </row>
    <row r="5079" spans="1:8" x14ac:dyDescent="0.45">
      <c r="A5079" t="s">
        <v>47</v>
      </c>
      <c r="B5079" t="s">
        <v>20</v>
      </c>
      <c r="C5079">
        <v>6</v>
      </c>
      <c r="D5079" t="s">
        <v>29</v>
      </c>
      <c r="F5079">
        <v>698</v>
      </c>
    </row>
    <row r="5080" spans="1:8" x14ac:dyDescent="0.45">
      <c r="A5080" t="s">
        <v>47</v>
      </c>
      <c r="B5080" t="s">
        <v>20</v>
      </c>
      <c r="C5080">
        <v>6</v>
      </c>
      <c r="D5080" t="s">
        <v>31</v>
      </c>
      <c r="H5080">
        <v>85</v>
      </c>
    </row>
    <row r="5081" spans="1:8" x14ac:dyDescent="0.45">
      <c r="A5081" t="s">
        <v>47</v>
      </c>
      <c r="B5081" t="s">
        <v>20</v>
      </c>
      <c r="C5081">
        <v>6</v>
      </c>
      <c r="D5081" t="s">
        <v>32</v>
      </c>
      <c r="H5081">
        <v>13</v>
      </c>
    </row>
    <row r="5082" spans="1:8" x14ac:dyDescent="0.45">
      <c r="A5082" t="s">
        <v>47</v>
      </c>
      <c r="B5082" t="s">
        <v>20</v>
      </c>
      <c r="C5082">
        <v>6</v>
      </c>
      <c r="D5082" t="s">
        <v>34</v>
      </c>
      <c r="H5082">
        <v>17</v>
      </c>
    </row>
    <row r="5083" spans="1:8" x14ac:dyDescent="0.45">
      <c r="A5083" t="s">
        <v>47</v>
      </c>
      <c r="B5083" t="s">
        <v>21</v>
      </c>
      <c r="C5083">
        <v>7</v>
      </c>
      <c r="D5083" t="s">
        <v>19</v>
      </c>
      <c r="E5083">
        <v>2315808</v>
      </c>
      <c r="F5083">
        <v>4756</v>
      </c>
      <c r="G5083">
        <v>854</v>
      </c>
    </row>
    <row r="5084" spans="1:8" x14ac:dyDescent="0.45">
      <c r="A5084" t="s">
        <v>47</v>
      </c>
      <c r="B5084" t="s">
        <v>21</v>
      </c>
      <c r="C5084">
        <v>7</v>
      </c>
      <c r="D5084" t="s">
        <v>27</v>
      </c>
      <c r="F5084">
        <v>2005</v>
      </c>
    </row>
    <row r="5085" spans="1:8" x14ac:dyDescent="0.45">
      <c r="A5085" t="s">
        <v>47</v>
      </c>
      <c r="B5085" t="s">
        <v>21</v>
      </c>
      <c r="C5085">
        <v>7</v>
      </c>
      <c r="D5085" t="s">
        <v>28</v>
      </c>
      <c r="F5085">
        <v>832</v>
      </c>
    </row>
    <row r="5086" spans="1:8" x14ac:dyDescent="0.45">
      <c r="A5086" t="s">
        <v>47</v>
      </c>
      <c r="B5086" t="s">
        <v>21</v>
      </c>
      <c r="C5086">
        <v>7</v>
      </c>
      <c r="D5086" t="s">
        <v>29</v>
      </c>
      <c r="F5086">
        <v>524</v>
      </c>
    </row>
    <row r="5087" spans="1:8" x14ac:dyDescent="0.45">
      <c r="A5087" t="s">
        <v>47</v>
      </c>
      <c r="B5087" t="s">
        <v>20</v>
      </c>
      <c r="C5087">
        <v>7</v>
      </c>
      <c r="D5087" t="s">
        <v>19</v>
      </c>
      <c r="E5087">
        <v>2316565</v>
      </c>
      <c r="F5087">
        <v>4249</v>
      </c>
    </row>
    <row r="5088" spans="1:8" x14ac:dyDescent="0.45">
      <c r="A5088" t="s">
        <v>47</v>
      </c>
      <c r="B5088" t="s">
        <v>20</v>
      </c>
      <c r="C5088">
        <v>7</v>
      </c>
      <c r="D5088" t="s">
        <v>27</v>
      </c>
      <c r="F5088">
        <v>1573</v>
      </c>
    </row>
    <row r="5089" spans="1:8" x14ac:dyDescent="0.45">
      <c r="A5089" t="s">
        <v>47</v>
      </c>
      <c r="B5089" t="s">
        <v>20</v>
      </c>
      <c r="C5089">
        <v>7</v>
      </c>
      <c r="D5089" t="s">
        <v>28</v>
      </c>
      <c r="F5089">
        <v>794</v>
      </c>
    </row>
    <row r="5090" spans="1:8" x14ac:dyDescent="0.45">
      <c r="A5090" t="s">
        <v>47</v>
      </c>
      <c r="B5090" t="s">
        <v>20</v>
      </c>
      <c r="C5090">
        <v>7</v>
      </c>
      <c r="D5090" t="s">
        <v>29</v>
      </c>
      <c r="F5090">
        <v>503</v>
      </c>
    </row>
    <row r="5091" spans="1:8" x14ac:dyDescent="0.45">
      <c r="A5091" t="s">
        <v>47</v>
      </c>
      <c r="B5091" t="s">
        <v>20</v>
      </c>
      <c r="C5091">
        <v>7</v>
      </c>
      <c r="D5091" t="s">
        <v>31</v>
      </c>
      <c r="H5091">
        <v>366</v>
      </c>
    </row>
    <row r="5092" spans="1:8" x14ac:dyDescent="0.45">
      <c r="A5092" t="s">
        <v>47</v>
      </c>
      <c r="B5092" t="s">
        <v>20</v>
      </c>
      <c r="C5092">
        <v>7</v>
      </c>
      <c r="D5092" t="s">
        <v>32</v>
      </c>
      <c r="H5092">
        <v>14</v>
      </c>
    </row>
    <row r="5093" spans="1:8" x14ac:dyDescent="0.45">
      <c r="A5093" t="s">
        <v>47</v>
      </c>
      <c r="B5093" t="s">
        <v>20</v>
      </c>
      <c r="C5093">
        <v>7</v>
      </c>
      <c r="D5093" t="s">
        <v>34</v>
      </c>
      <c r="H5093">
        <v>16</v>
      </c>
    </row>
    <row r="5094" spans="1:8" x14ac:dyDescent="0.45">
      <c r="A5094" t="s">
        <v>47</v>
      </c>
      <c r="B5094" t="s">
        <v>21</v>
      </c>
      <c r="C5094">
        <v>8</v>
      </c>
      <c r="D5094" t="s">
        <v>19</v>
      </c>
      <c r="E5094">
        <v>1884514</v>
      </c>
      <c r="F5094">
        <v>3940</v>
      </c>
    </row>
    <row r="5095" spans="1:8" x14ac:dyDescent="0.45">
      <c r="A5095" t="s">
        <v>47</v>
      </c>
      <c r="B5095" t="s">
        <v>21</v>
      </c>
      <c r="C5095">
        <v>8</v>
      </c>
      <c r="D5095" t="s">
        <v>27</v>
      </c>
      <c r="F5095">
        <v>1651</v>
      </c>
      <c r="G5095">
        <v>1355</v>
      </c>
    </row>
    <row r="5096" spans="1:8" x14ac:dyDescent="0.45">
      <c r="A5096" t="s">
        <v>47</v>
      </c>
      <c r="B5096" t="s">
        <v>21</v>
      </c>
      <c r="C5096">
        <v>8</v>
      </c>
      <c r="D5096" t="s">
        <v>28</v>
      </c>
      <c r="F5096">
        <v>739</v>
      </c>
      <c r="G5096">
        <v>1198</v>
      </c>
    </row>
    <row r="5097" spans="1:8" x14ac:dyDescent="0.45">
      <c r="A5097" t="s">
        <v>47</v>
      </c>
      <c r="B5097" t="s">
        <v>21</v>
      </c>
      <c r="C5097">
        <v>8</v>
      </c>
      <c r="D5097" t="s">
        <v>29</v>
      </c>
      <c r="F5097">
        <v>359</v>
      </c>
      <c r="G5097">
        <v>1096</v>
      </c>
    </row>
    <row r="5098" spans="1:8" x14ac:dyDescent="0.45">
      <c r="A5098" t="s">
        <v>47</v>
      </c>
      <c r="B5098" t="s">
        <v>20</v>
      </c>
      <c r="C5098">
        <v>8</v>
      </c>
      <c r="D5098" t="s">
        <v>19</v>
      </c>
      <c r="E5098">
        <v>2013428</v>
      </c>
      <c r="F5098">
        <v>3715</v>
      </c>
      <c r="H5098">
        <v>0</v>
      </c>
    </row>
    <row r="5099" spans="1:8" x14ac:dyDescent="0.45">
      <c r="A5099" t="s">
        <v>47</v>
      </c>
      <c r="B5099" t="s">
        <v>20</v>
      </c>
      <c r="C5099">
        <v>8</v>
      </c>
      <c r="D5099" t="s">
        <v>27</v>
      </c>
      <c r="F5099">
        <v>1481</v>
      </c>
      <c r="G5099">
        <v>682</v>
      </c>
    </row>
    <row r="5100" spans="1:8" x14ac:dyDescent="0.45">
      <c r="A5100" t="s">
        <v>47</v>
      </c>
      <c r="B5100" t="s">
        <v>20</v>
      </c>
      <c r="C5100">
        <v>8</v>
      </c>
      <c r="D5100" t="s">
        <v>28</v>
      </c>
      <c r="F5100">
        <v>735</v>
      </c>
      <c r="G5100">
        <v>1129</v>
      </c>
    </row>
    <row r="5101" spans="1:8" x14ac:dyDescent="0.45">
      <c r="A5101" t="s">
        <v>47</v>
      </c>
      <c r="B5101" t="s">
        <v>20</v>
      </c>
      <c r="C5101">
        <v>8</v>
      </c>
      <c r="D5101" t="s">
        <v>29</v>
      </c>
      <c r="F5101">
        <v>369</v>
      </c>
      <c r="G5101">
        <v>852</v>
      </c>
    </row>
    <row r="5102" spans="1:8" x14ac:dyDescent="0.45">
      <c r="A5102" t="s">
        <v>47</v>
      </c>
      <c r="B5102" t="s">
        <v>20</v>
      </c>
      <c r="C5102">
        <v>8</v>
      </c>
      <c r="D5102" t="s">
        <v>31</v>
      </c>
      <c r="H5102">
        <v>39</v>
      </c>
    </row>
    <row r="5103" spans="1:8" x14ac:dyDescent="0.45">
      <c r="A5103" t="s">
        <v>47</v>
      </c>
      <c r="B5103" t="s">
        <v>20</v>
      </c>
      <c r="C5103">
        <v>8</v>
      </c>
      <c r="D5103" t="s">
        <v>32</v>
      </c>
      <c r="H5103">
        <v>24</v>
      </c>
    </row>
    <row r="5104" spans="1:8" x14ac:dyDescent="0.45">
      <c r="A5104" t="s">
        <v>47</v>
      </c>
      <c r="B5104" t="s">
        <v>20</v>
      </c>
      <c r="C5104">
        <v>8</v>
      </c>
      <c r="D5104" t="s">
        <v>34</v>
      </c>
      <c r="H5104">
        <v>11</v>
      </c>
    </row>
    <row r="5105" spans="1:8" x14ac:dyDescent="0.45">
      <c r="A5105" t="s">
        <v>47</v>
      </c>
      <c r="B5105" t="s">
        <v>21</v>
      </c>
      <c r="C5105">
        <v>9</v>
      </c>
      <c r="D5105" t="s">
        <v>19</v>
      </c>
      <c r="E5105">
        <v>1767903</v>
      </c>
      <c r="F5105">
        <v>4046</v>
      </c>
    </row>
    <row r="5106" spans="1:8" x14ac:dyDescent="0.45">
      <c r="A5106" t="s">
        <v>47</v>
      </c>
      <c r="B5106" t="s">
        <v>21</v>
      </c>
      <c r="C5106">
        <v>9</v>
      </c>
      <c r="D5106" t="s">
        <v>27</v>
      </c>
      <c r="F5106">
        <v>1842</v>
      </c>
    </row>
    <row r="5107" spans="1:8" x14ac:dyDescent="0.45">
      <c r="A5107" t="s">
        <v>47</v>
      </c>
      <c r="B5107" t="s">
        <v>21</v>
      </c>
      <c r="C5107">
        <v>9</v>
      </c>
      <c r="D5107" t="s">
        <v>28</v>
      </c>
      <c r="F5107">
        <v>739</v>
      </c>
    </row>
    <row r="5108" spans="1:8" x14ac:dyDescent="0.45">
      <c r="A5108" t="s">
        <v>47</v>
      </c>
      <c r="B5108" t="s">
        <v>21</v>
      </c>
      <c r="C5108">
        <v>9</v>
      </c>
      <c r="D5108" t="s">
        <v>29</v>
      </c>
      <c r="F5108">
        <v>416</v>
      </c>
    </row>
    <row r="5109" spans="1:8" x14ac:dyDescent="0.45">
      <c r="A5109" t="s">
        <v>47</v>
      </c>
      <c r="B5109" t="s">
        <v>20</v>
      </c>
      <c r="C5109">
        <v>9</v>
      </c>
      <c r="D5109" t="s">
        <v>19</v>
      </c>
      <c r="E5109">
        <v>1814639</v>
      </c>
      <c r="F5109">
        <v>3976</v>
      </c>
      <c r="H5109">
        <v>50</v>
      </c>
    </row>
    <row r="5110" spans="1:8" x14ac:dyDescent="0.45">
      <c r="A5110" t="s">
        <v>47</v>
      </c>
      <c r="B5110" t="s">
        <v>20</v>
      </c>
      <c r="C5110">
        <v>9</v>
      </c>
      <c r="D5110" t="s">
        <v>27</v>
      </c>
      <c r="F5110">
        <v>1827</v>
      </c>
    </row>
    <row r="5111" spans="1:8" x14ac:dyDescent="0.45">
      <c r="A5111" t="s">
        <v>47</v>
      </c>
      <c r="B5111" t="s">
        <v>20</v>
      </c>
      <c r="C5111">
        <v>9</v>
      </c>
      <c r="D5111" t="s">
        <v>28</v>
      </c>
      <c r="F5111">
        <v>731</v>
      </c>
    </row>
    <row r="5112" spans="1:8" x14ac:dyDescent="0.45">
      <c r="A5112" t="s">
        <v>47</v>
      </c>
      <c r="B5112" t="s">
        <v>20</v>
      </c>
      <c r="C5112">
        <v>9</v>
      </c>
      <c r="D5112" t="s">
        <v>29</v>
      </c>
      <c r="F5112">
        <v>401</v>
      </c>
    </row>
    <row r="5113" spans="1:8" x14ac:dyDescent="0.45">
      <c r="A5113" t="s">
        <v>47</v>
      </c>
      <c r="B5113" t="s">
        <v>20</v>
      </c>
      <c r="C5113">
        <v>9</v>
      </c>
      <c r="D5113" t="s">
        <v>31</v>
      </c>
      <c r="H5113">
        <v>279</v>
      </c>
    </row>
    <row r="5114" spans="1:8" x14ac:dyDescent="0.45">
      <c r="A5114" t="s">
        <v>47</v>
      </c>
      <c r="B5114" t="s">
        <v>20</v>
      </c>
      <c r="C5114">
        <v>9</v>
      </c>
      <c r="D5114" t="s">
        <v>32</v>
      </c>
      <c r="H5114">
        <v>18</v>
      </c>
    </row>
    <row r="5115" spans="1:8" x14ac:dyDescent="0.45">
      <c r="A5115" t="s">
        <v>47</v>
      </c>
      <c r="B5115" t="s">
        <v>20</v>
      </c>
      <c r="C5115">
        <v>9</v>
      </c>
      <c r="D5115" t="s">
        <v>34</v>
      </c>
      <c r="H5115">
        <v>9</v>
      </c>
    </row>
    <row r="5116" spans="1:8" x14ac:dyDescent="0.45">
      <c r="A5116" t="s">
        <v>47</v>
      </c>
      <c r="B5116" t="s">
        <v>21</v>
      </c>
      <c r="C5116">
        <v>10</v>
      </c>
      <c r="D5116" t="s">
        <v>19</v>
      </c>
      <c r="E5116">
        <v>2635864</v>
      </c>
      <c r="F5116">
        <v>5953</v>
      </c>
    </row>
    <row r="5117" spans="1:8" x14ac:dyDescent="0.45">
      <c r="A5117" t="s">
        <v>47</v>
      </c>
      <c r="B5117" t="s">
        <v>21</v>
      </c>
      <c r="C5117">
        <v>10</v>
      </c>
      <c r="D5117" t="s">
        <v>27</v>
      </c>
      <c r="F5117">
        <v>2363</v>
      </c>
    </row>
    <row r="5118" spans="1:8" x14ac:dyDescent="0.45">
      <c r="A5118" t="s">
        <v>47</v>
      </c>
      <c r="B5118" t="s">
        <v>21</v>
      </c>
      <c r="C5118">
        <v>10</v>
      </c>
      <c r="D5118" t="s">
        <v>28</v>
      </c>
      <c r="F5118">
        <v>1168</v>
      </c>
    </row>
    <row r="5119" spans="1:8" x14ac:dyDescent="0.45">
      <c r="A5119" t="s">
        <v>47</v>
      </c>
      <c r="B5119" t="s">
        <v>21</v>
      </c>
      <c r="C5119">
        <v>10</v>
      </c>
      <c r="D5119" t="s">
        <v>29</v>
      </c>
      <c r="F5119">
        <v>678</v>
      </c>
    </row>
    <row r="5120" spans="1:8" x14ac:dyDescent="0.45">
      <c r="A5120" t="s">
        <v>47</v>
      </c>
      <c r="B5120" t="s">
        <v>20</v>
      </c>
      <c r="C5120">
        <v>10</v>
      </c>
      <c r="D5120" t="s">
        <v>19</v>
      </c>
      <c r="E5120">
        <v>2547613</v>
      </c>
      <c r="F5120">
        <v>5250</v>
      </c>
    </row>
    <row r="5121" spans="1:8" x14ac:dyDescent="0.45">
      <c r="A5121" t="s">
        <v>47</v>
      </c>
      <c r="B5121" t="s">
        <v>20</v>
      </c>
      <c r="C5121">
        <v>10</v>
      </c>
      <c r="D5121" t="s">
        <v>27</v>
      </c>
      <c r="F5121">
        <v>2154</v>
      </c>
    </row>
    <row r="5122" spans="1:8" x14ac:dyDescent="0.45">
      <c r="A5122" t="s">
        <v>47</v>
      </c>
      <c r="B5122" t="s">
        <v>20</v>
      </c>
      <c r="C5122">
        <v>10</v>
      </c>
      <c r="D5122" t="s">
        <v>28</v>
      </c>
      <c r="F5122">
        <v>998</v>
      </c>
    </row>
    <row r="5123" spans="1:8" x14ac:dyDescent="0.45">
      <c r="A5123" t="s">
        <v>47</v>
      </c>
      <c r="B5123" t="s">
        <v>20</v>
      </c>
      <c r="C5123">
        <v>10</v>
      </c>
      <c r="D5123" t="s">
        <v>29</v>
      </c>
      <c r="F5123">
        <v>599</v>
      </c>
    </row>
    <row r="5124" spans="1:8" x14ac:dyDescent="0.45">
      <c r="A5124" t="s">
        <v>47</v>
      </c>
      <c r="B5124" t="s">
        <v>20</v>
      </c>
      <c r="C5124">
        <v>10</v>
      </c>
      <c r="D5124" t="s">
        <v>31</v>
      </c>
      <c r="H5124">
        <v>201</v>
      </c>
    </row>
    <row r="5125" spans="1:8" x14ac:dyDescent="0.45">
      <c r="A5125" t="s">
        <v>47</v>
      </c>
      <c r="B5125" t="s">
        <v>20</v>
      </c>
      <c r="C5125">
        <v>10</v>
      </c>
      <c r="D5125" t="s">
        <v>32</v>
      </c>
      <c r="H5125">
        <v>24</v>
      </c>
    </row>
    <row r="5126" spans="1:8" x14ac:dyDescent="0.45">
      <c r="A5126" t="s">
        <v>47</v>
      </c>
      <c r="B5126" t="s">
        <v>20</v>
      </c>
      <c r="C5126">
        <v>10</v>
      </c>
      <c r="D5126" t="s">
        <v>34</v>
      </c>
      <c r="H5126">
        <v>16</v>
      </c>
    </row>
    <row r="5127" spans="1:8" x14ac:dyDescent="0.45">
      <c r="A5127" t="s">
        <v>47</v>
      </c>
      <c r="B5127" t="s">
        <v>21</v>
      </c>
      <c r="C5127">
        <v>11</v>
      </c>
      <c r="D5127" t="s">
        <v>19</v>
      </c>
      <c r="E5127">
        <v>2385765</v>
      </c>
      <c r="F5127">
        <v>4894</v>
      </c>
    </row>
    <row r="5128" spans="1:8" x14ac:dyDescent="0.45">
      <c r="A5128" t="s">
        <v>47</v>
      </c>
      <c r="B5128" t="s">
        <v>21</v>
      </c>
      <c r="C5128">
        <v>11</v>
      </c>
      <c r="D5128" t="s">
        <v>27</v>
      </c>
      <c r="F5128">
        <v>2114</v>
      </c>
    </row>
    <row r="5129" spans="1:8" x14ac:dyDescent="0.45">
      <c r="A5129" t="s">
        <v>47</v>
      </c>
      <c r="B5129" t="s">
        <v>21</v>
      </c>
      <c r="C5129">
        <v>11</v>
      </c>
      <c r="D5129" t="s">
        <v>28</v>
      </c>
      <c r="F5129">
        <v>878</v>
      </c>
    </row>
    <row r="5130" spans="1:8" x14ac:dyDescent="0.45">
      <c r="A5130" t="s">
        <v>47</v>
      </c>
      <c r="B5130" t="s">
        <v>21</v>
      </c>
      <c r="C5130">
        <v>11</v>
      </c>
      <c r="D5130" t="s">
        <v>29</v>
      </c>
      <c r="F5130">
        <v>607</v>
      </c>
    </row>
    <row r="5131" spans="1:8" x14ac:dyDescent="0.45">
      <c r="A5131" t="s">
        <v>47</v>
      </c>
      <c r="B5131" t="s">
        <v>20</v>
      </c>
      <c r="C5131">
        <v>11</v>
      </c>
      <c r="D5131" t="s">
        <v>19</v>
      </c>
      <c r="E5131">
        <v>2127060</v>
      </c>
      <c r="F5131">
        <v>4814</v>
      </c>
    </row>
    <row r="5132" spans="1:8" x14ac:dyDescent="0.45">
      <c r="A5132" t="s">
        <v>47</v>
      </c>
      <c r="B5132" t="s">
        <v>20</v>
      </c>
      <c r="C5132">
        <v>11</v>
      </c>
      <c r="D5132" t="s">
        <v>27</v>
      </c>
      <c r="F5132">
        <v>1887</v>
      </c>
    </row>
    <row r="5133" spans="1:8" x14ac:dyDescent="0.45">
      <c r="A5133" t="s">
        <v>47</v>
      </c>
      <c r="B5133" t="s">
        <v>20</v>
      </c>
      <c r="C5133">
        <v>11</v>
      </c>
      <c r="D5133" t="s">
        <v>28</v>
      </c>
      <c r="F5133">
        <v>931</v>
      </c>
    </row>
    <row r="5134" spans="1:8" x14ac:dyDescent="0.45">
      <c r="A5134" t="s">
        <v>47</v>
      </c>
      <c r="B5134" t="s">
        <v>20</v>
      </c>
      <c r="C5134">
        <v>11</v>
      </c>
      <c r="D5134" t="s">
        <v>29</v>
      </c>
      <c r="F5134">
        <v>617</v>
      </c>
    </row>
    <row r="5135" spans="1:8" x14ac:dyDescent="0.45">
      <c r="A5135" t="s">
        <v>47</v>
      </c>
      <c r="B5135" t="s">
        <v>20</v>
      </c>
      <c r="C5135">
        <v>11</v>
      </c>
      <c r="D5135" t="s">
        <v>31</v>
      </c>
      <c r="H5135">
        <v>424</v>
      </c>
    </row>
    <row r="5136" spans="1:8" x14ac:dyDescent="0.45">
      <c r="A5136" t="s">
        <v>47</v>
      </c>
      <c r="B5136" t="s">
        <v>20</v>
      </c>
      <c r="C5136">
        <v>11</v>
      </c>
      <c r="D5136" t="s">
        <v>32</v>
      </c>
      <c r="H5136">
        <v>8</v>
      </c>
    </row>
    <row r="5137" spans="1:8" x14ac:dyDescent="0.45">
      <c r="A5137" t="s">
        <v>47</v>
      </c>
      <c r="B5137" t="s">
        <v>20</v>
      </c>
      <c r="C5137">
        <v>11</v>
      </c>
      <c r="D5137" t="s">
        <v>34</v>
      </c>
      <c r="H5137">
        <v>18</v>
      </c>
    </row>
    <row r="5138" spans="1:8" x14ac:dyDescent="0.45">
      <c r="A5138" t="s">
        <v>47</v>
      </c>
      <c r="B5138" t="s">
        <v>21</v>
      </c>
      <c r="C5138">
        <v>12</v>
      </c>
      <c r="D5138" t="s">
        <v>19</v>
      </c>
      <c r="E5138">
        <v>2355855</v>
      </c>
      <c r="F5138">
        <v>5265</v>
      </c>
    </row>
    <row r="5139" spans="1:8" x14ac:dyDescent="0.45">
      <c r="A5139" t="s">
        <v>47</v>
      </c>
      <c r="B5139" t="s">
        <v>21</v>
      </c>
      <c r="C5139">
        <v>12</v>
      </c>
      <c r="D5139" t="s">
        <v>27</v>
      </c>
      <c r="F5139">
        <v>2087</v>
      </c>
    </row>
    <row r="5140" spans="1:8" x14ac:dyDescent="0.45">
      <c r="A5140" t="s">
        <v>47</v>
      </c>
      <c r="B5140" t="s">
        <v>21</v>
      </c>
      <c r="C5140">
        <v>12</v>
      </c>
      <c r="D5140" t="s">
        <v>28</v>
      </c>
      <c r="F5140">
        <v>1023</v>
      </c>
    </row>
    <row r="5141" spans="1:8" x14ac:dyDescent="0.45">
      <c r="A5141" t="s">
        <v>47</v>
      </c>
      <c r="B5141" t="s">
        <v>21</v>
      </c>
      <c r="C5141">
        <v>12</v>
      </c>
      <c r="D5141" t="s">
        <v>29</v>
      </c>
      <c r="F5141">
        <v>778</v>
      </c>
    </row>
    <row r="5142" spans="1:8" x14ac:dyDescent="0.45">
      <c r="A5142" t="s">
        <v>47</v>
      </c>
      <c r="B5142" t="s">
        <v>20</v>
      </c>
      <c r="C5142">
        <v>12</v>
      </c>
      <c r="D5142" t="s">
        <v>19</v>
      </c>
      <c r="E5142">
        <v>2338428</v>
      </c>
      <c r="F5142">
        <v>4994</v>
      </c>
    </row>
    <row r="5143" spans="1:8" x14ac:dyDescent="0.45">
      <c r="A5143" t="s">
        <v>47</v>
      </c>
      <c r="B5143" t="s">
        <v>20</v>
      </c>
      <c r="C5143">
        <v>12</v>
      </c>
      <c r="D5143" t="s">
        <v>27</v>
      </c>
      <c r="F5143">
        <v>1909</v>
      </c>
    </row>
    <row r="5144" spans="1:8" x14ac:dyDescent="0.45">
      <c r="A5144" t="s">
        <v>47</v>
      </c>
      <c r="B5144" t="s">
        <v>20</v>
      </c>
      <c r="C5144">
        <v>12</v>
      </c>
      <c r="D5144" t="s">
        <v>28</v>
      </c>
      <c r="F5144">
        <v>991</v>
      </c>
    </row>
    <row r="5145" spans="1:8" x14ac:dyDescent="0.45">
      <c r="A5145" t="s">
        <v>47</v>
      </c>
      <c r="B5145" t="s">
        <v>20</v>
      </c>
      <c r="C5145">
        <v>12</v>
      </c>
      <c r="D5145" t="s">
        <v>29</v>
      </c>
      <c r="F5145">
        <v>729</v>
      </c>
    </row>
    <row r="5146" spans="1:8" x14ac:dyDescent="0.45">
      <c r="A5146" t="s">
        <v>47</v>
      </c>
      <c r="B5146" t="s">
        <v>20</v>
      </c>
      <c r="C5146">
        <v>12</v>
      </c>
      <c r="D5146" t="s">
        <v>31</v>
      </c>
      <c r="H5146">
        <v>151</v>
      </c>
    </row>
    <row r="5147" spans="1:8" x14ac:dyDescent="0.45">
      <c r="A5147" t="s">
        <v>47</v>
      </c>
      <c r="B5147" t="s">
        <v>20</v>
      </c>
      <c r="C5147">
        <v>12</v>
      </c>
      <c r="D5147" t="s">
        <v>32</v>
      </c>
      <c r="H5147">
        <v>6</v>
      </c>
    </row>
    <row r="5148" spans="1:8" x14ac:dyDescent="0.45">
      <c r="A5148" t="s">
        <v>47</v>
      </c>
      <c r="B5148" t="s">
        <v>20</v>
      </c>
      <c r="C5148">
        <v>12</v>
      </c>
      <c r="D5148" t="s">
        <v>34</v>
      </c>
      <c r="H5148">
        <v>16</v>
      </c>
    </row>
    <row r="5149" spans="1:8" x14ac:dyDescent="0.45">
      <c r="A5149" t="s">
        <v>52</v>
      </c>
      <c r="B5149" t="s">
        <v>21</v>
      </c>
      <c r="C5149">
        <v>1</v>
      </c>
      <c r="D5149" t="s">
        <v>19</v>
      </c>
      <c r="E5149">
        <v>703213</v>
      </c>
      <c r="F5149">
        <v>1200</v>
      </c>
      <c r="G5149">
        <v>333</v>
      </c>
    </row>
    <row r="5150" spans="1:8" x14ac:dyDescent="0.45">
      <c r="A5150" t="s">
        <v>52</v>
      </c>
      <c r="B5150" t="s">
        <v>21</v>
      </c>
      <c r="C5150">
        <v>1</v>
      </c>
      <c r="D5150" t="s">
        <v>27</v>
      </c>
      <c r="F5150">
        <v>357</v>
      </c>
    </row>
    <row r="5151" spans="1:8" x14ac:dyDescent="0.45">
      <c r="A5151" t="s">
        <v>52</v>
      </c>
      <c r="B5151" t="s">
        <v>21</v>
      </c>
      <c r="C5151">
        <v>1</v>
      </c>
      <c r="D5151" t="s">
        <v>28</v>
      </c>
      <c r="F5151">
        <v>205</v>
      </c>
    </row>
    <row r="5152" spans="1:8" x14ac:dyDescent="0.45">
      <c r="A5152" t="s">
        <v>52</v>
      </c>
      <c r="B5152" t="s">
        <v>21</v>
      </c>
      <c r="C5152">
        <v>1</v>
      </c>
      <c r="D5152" t="s">
        <v>29</v>
      </c>
      <c r="F5152">
        <v>151</v>
      </c>
    </row>
    <row r="5153" spans="1:8" x14ac:dyDescent="0.45">
      <c r="A5153" t="s">
        <v>52</v>
      </c>
      <c r="B5153" t="s">
        <v>20</v>
      </c>
      <c r="C5153">
        <v>1</v>
      </c>
      <c r="D5153" t="s">
        <v>19</v>
      </c>
      <c r="E5153">
        <v>595417</v>
      </c>
      <c r="F5153">
        <v>1009</v>
      </c>
      <c r="G5153">
        <v>276</v>
      </c>
    </row>
    <row r="5154" spans="1:8" x14ac:dyDescent="0.45">
      <c r="A5154" t="s">
        <v>52</v>
      </c>
      <c r="B5154" t="s">
        <v>20</v>
      </c>
      <c r="C5154">
        <v>1</v>
      </c>
      <c r="D5154" t="s">
        <v>27</v>
      </c>
      <c r="F5154">
        <v>330</v>
      </c>
    </row>
    <row r="5155" spans="1:8" x14ac:dyDescent="0.45">
      <c r="A5155" t="s">
        <v>52</v>
      </c>
      <c r="B5155" t="s">
        <v>20</v>
      </c>
      <c r="C5155">
        <v>1</v>
      </c>
      <c r="D5155" t="s">
        <v>28</v>
      </c>
      <c r="F5155">
        <v>174</v>
      </c>
    </row>
    <row r="5156" spans="1:8" x14ac:dyDescent="0.45">
      <c r="A5156" t="s">
        <v>52</v>
      </c>
      <c r="B5156" t="s">
        <v>20</v>
      </c>
      <c r="C5156">
        <v>1</v>
      </c>
      <c r="D5156" t="s">
        <v>29</v>
      </c>
      <c r="F5156">
        <v>152</v>
      </c>
    </row>
    <row r="5157" spans="1:8" x14ac:dyDescent="0.45">
      <c r="A5157" t="s">
        <v>52</v>
      </c>
      <c r="B5157" t="s">
        <v>20</v>
      </c>
      <c r="C5157">
        <v>1</v>
      </c>
      <c r="D5157" t="s">
        <v>31</v>
      </c>
      <c r="H5157">
        <v>32</v>
      </c>
    </row>
    <row r="5158" spans="1:8" x14ac:dyDescent="0.45">
      <c r="A5158" t="s">
        <v>52</v>
      </c>
      <c r="B5158" t="s">
        <v>20</v>
      </c>
      <c r="C5158">
        <v>1</v>
      </c>
      <c r="D5158" t="s">
        <v>32</v>
      </c>
      <c r="H5158">
        <v>5</v>
      </c>
    </row>
    <row r="5159" spans="1:8" x14ac:dyDescent="0.45">
      <c r="A5159" t="s">
        <v>52</v>
      </c>
      <c r="B5159" t="s">
        <v>20</v>
      </c>
      <c r="C5159">
        <v>1</v>
      </c>
      <c r="D5159" t="s">
        <v>34</v>
      </c>
    </row>
    <row r="5160" spans="1:8" x14ac:dyDescent="0.45">
      <c r="A5160" t="s">
        <v>52</v>
      </c>
      <c r="B5160" t="s">
        <v>21</v>
      </c>
      <c r="C5160">
        <v>2</v>
      </c>
      <c r="D5160" t="s">
        <v>19</v>
      </c>
      <c r="E5160">
        <v>507569</v>
      </c>
      <c r="F5160">
        <v>882</v>
      </c>
      <c r="G5160">
        <v>257</v>
      </c>
    </row>
    <row r="5161" spans="1:8" x14ac:dyDescent="0.45">
      <c r="A5161" t="s">
        <v>52</v>
      </c>
      <c r="B5161" t="s">
        <v>21</v>
      </c>
      <c r="C5161">
        <v>2</v>
      </c>
      <c r="D5161" t="s">
        <v>27</v>
      </c>
      <c r="F5161">
        <v>355</v>
      </c>
    </row>
    <row r="5162" spans="1:8" x14ac:dyDescent="0.45">
      <c r="A5162" t="s">
        <v>52</v>
      </c>
      <c r="B5162" t="s">
        <v>21</v>
      </c>
      <c r="C5162">
        <v>2</v>
      </c>
      <c r="D5162" t="s">
        <v>28</v>
      </c>
      <c r="F5162">
        <v>147</v>
      </c>
    </row>
    <row r="5163" spans="1:8" x14ac:dyDescent="0.45">
      <c r="A5163" t="s">
        <v>52</v>
      </c>
      <c r="B5163" t="s">
        <v>21</v>
      </c>
      <c r="C5163">
        <v>2</v>
      </c>
      <c r="D5163" t="s">
        <v>29</v>
      </c>
      <c r="F5163">
        <v>109</v>
      </c>
    </row>
    <row r="5164" spans="1:8" x14ac:dyDescent="0.45">
      <c r="A5164" t="s">
        <v>52</v>
      </c>
      <c r="B5164" t="s">
        <v>20</v>
      </c>
      <c r="C5164">
        <v>2</v>
      </c>
      <c r="D5164" t="s">
        <v>19</v>
      </c>
      <c r="E5164">
        <v>557215</v>
      </c>
      <c r="F5164">
        <v>855</v>
      </c>
      <c r="G5164">
        <v>249</v>
      </c>
    </row>
    <row r="5165" spans="1:8" x14ac:dyDescent="0.45">
      <c r="A5165" t="s">
        <v>52</v>
      </c>
      <c r="B5165" t="s">
        <v>20</v>
      </c>
      <c r="C5165">
        <v>2</v>
      </c>
      <c r="D5165" t="s">
        <v>27</v>
      </c>
      <c r="F5165">
        <v>297</v>
      </c>
    </row>
    <row r="5166" spans="1:8" x14ac:dyDescent="0.45">
      <c r="A5166" t="s">
        <v>52</v>
      </c>
      <c r="B5166" t="s">
        <v>20</v>
      </c>
      <c r="C5166">
        <v>2</v>
      </c>
      <c r="D5166" t="s">
        <v>28</v>
      </c>
      <c r="F5166">
        <v>158</v>
      </c>
    </row>
    <row r="5167" spans="1:8" x14ac:dyDescent="0.45">
      <c r="A5167" t="s">
        <v>52</v>
      </c>
      <c r="B5167" t="s">
        <v>20</v>
      </c>
      <c r="C5167">
        <v>2</v>
      </c>
      <c r="D5167" t="s">
        <v>29</v>
      </c>
      <c r="F5167">
        <v>126</v>
      </c>
    </row>
    <row r="5168" spans="1:8" x14ac:dyDescent="0.45">
      <c r="A5168" t="s">
        <v>52</v>
      </c>
      <c r="B5168" t="s">
        <v>20</v>
      </c>
      <c r="C5168">
        <v>2</v>
      </c>
      <c r="D5168" t="s">
        <v>31</v>
      </c>
      <c r="H5168">
        <v>23</v>
      </c>
    </row>
    <row r="5169" spans="1:8" x14ac:dyDescent="0.45">
      <c r="A5169" t="s">
        <v>52</v>
      </c>
      <c r="B5169" t="s">
        <v>20</v>
      </c>
      <c r="C5169">
        <v>2</v>
      </c>
      <c r="D5169" t="s">
        <v>32</v>
      </c>
      <c r="H5169">
        <v>4</v>
      </c>
    </row>
    <row r="5170" spans="1:8" x14ac:dyDescent="0.45">
      <c r="A5170" t="s">
        <v>52</v>
      </c>
      <c r="B5170" t="s">
        <v>20</v>
      </c>
      <c r="C5170">
        <v>2</v>
      </c>
      <c r="D5170" t="s">
        <v>34</v>
      </c>
      <c r="H5170">
        <v>5</v>
      </c>
    </row>
    <row r="5171" spans="1:8" x14ac:dyDescent="0.45">
      <c r="A5171" t="s">
        <v>52</v>
      </c>
      <c r="B5171" t="s">
        <v>21</v>
      </c>
      <c r="C5171">
        <v>3</v>
      </c>
      <c r="D5171" t="s">
        <v>19</v>
      </c>
      <c r="E5171">
        <v>1405421</v>
      </c>
      <c r="F5171">
        <v>2025</v>
      </c>
      <c r="G5171">
        <v>507</v>
      </c>
    </row>
    <row r="5172" spans="1:8" x14ac:dyDescent="0.45">
      <c r="A5172" t="s">
        <v>52</v>
      </c>
      <c r="B5172" t="s">
        <v>21</v>
      </c>
      <c r="C5172">
        <v>3</v>
      </c>
      <c r="D5172" t="s">
        <v>27</v>
      </c>
      <c r="F5172">
        <v>444</v>
      </c>
    </row>
    <row r="5173" spans="1:8" x14ac:dyDescent="0.45">
      <c r="A5173" t="s">
        <v>52</v>
      </c>
      <c r="B5173" t="s">
        <v>21</v>
      </c>
      <c r="C5173">
        <v>3</v>
      </c>
      <c r="D5173" t="s">
        <v>28</v>
      </c>
      <c r="F5173">
        <v>314</v>
      </c>
    </row>
    <row r="5174" spans="1:8" x14ac:dyDescent="0.45">
      <c r="A5174" t="s">
        <v>52</v>
      </c>
      <c r="B5174" t="s">
        <v>21</v>
      </c>
      <c r="C5174">
        <v>3</v>
      </c>
      <c r="D5174" t="s">
        <v>29</v>
      </c>
      <c r="F5174">
        <v>278</v>
      </c>
    </row>
    <row r="5175" spans="1:8" x14ac:dyDescent="0.45">
      <c r="A5175" t="s">
        <v>52</v>
      </c>
      <c r="B5175" t="s">
        <v>20</v>
      </c>
      <c r="C5175">
        <v>3</v>
      </c>
      <c r="D5175" t="s">
        <v>19</v>
      </c>
      <c r="E5175">
        <v>1313293</v>
      </c>
      <c r="F5175">
        <v>1863</v>
      </c>
      <c r="G5175">
        <v>506</v>
      </c>
    </row>
    <row r="5176" spans="1:8" x14ac:dyDescent="0.45">
      <c r="A5176" t="s">
        <v>52</v>
      </c>
      <c r="B5176" t="s">
        <v>20</v>
      </c>
      <c r="C5176">
        <v>3</v>
      </c>
      <c r="D5176" t="s">
        <v>27</v>
      </c>
      <c r="F5176">
        <v>378</v>
      </c>
    </row>
    <row r="5177" spans="1:8" x14ac:dyDescent="0.45">
      <c r="A5177" t="s">
        <v>52</v>
      </c>
      <c r="B5177" t="s">
        <v>20</v>
      </c>
      <c r="C5177">
        <v>3</v>
      </c>
      <c r="D5177" t="s">
        <v>28</v>
      </c>
      <c r="F5177">
        <v>323</v>
      </c>
    </row>
    <row r="5178" spans="1:8" x14ac:dyDescent="0.45">
      <c r="A5178" t="s">
        <v>52</v>
      </c>
      <c r="B5178" t="s">
        <v>20</v>
      </c>
      <c r="C5178">
        <v>3</v>
      </c>
      <c r="D5178" t="s">
        <v>29</v>
      </c>
      <c r="F5178">
        <v>264</v>
      </c>
    </row>
    <row r="5179" spans="1:8" x14ac:dyDescent="0.45">
      <c r="A5179" t="s">
        <v>52</v>
      </c>
      <c r="B5179" t="s">
        <v>20</v>
      </c>
      <c r="C5179">
        <v>3</v>
      </c>
      <c r="D5179" t="s">
        <v>31</v>
      </c>
      <c r="H5179">
        <v>33</v>
      </c>
    </row>
    <row r="5180" spans="1:8" x14ac:dyDescent="0.45">
      <c r="A5180" t="s">
        <v>52</v>
      </c>
      <c r="B5180" t="s">
        <v>20</v>
      </c>
      <c r="C5180">
        <v>3</v>
      </c>
      <c r="D5180" t="s">
        <v>32</v>
      </c>
      <c r="H5180">
        <v>2</v>
      </c>
    </row>
    <row r="5181" spans="1:8" x14ac:dyDescent="0.45">
      <c r="A5181" t="s">
        <v>52</v>
      </c>
      <c r="B5181" t="s">
        <v>20</v>
      </c>
      <c r="C5181">
        <v>3</v>
      </c>
      <c r="D5181" t="s">
        <v>34</v>
      </c>
      <c r="H5181">
        <v>5</v>
      </c>
    </row>
    <row r="5182" spans="1:8" x14ac:dyDescent="0.45">
      <c r="A5182" t="s">
        <v>52</v>
      </c>
      <c r="B5182" t="s">
        <v>21</v>
      </c>
      <c r="C5182">
        <v>4</v>
      </c>
      <c r="D5182" t="s">
        <v>19</v>
      </c>
      <c r="E5182">
        <v>1847965</v>
      </c>
      <c r="F5182">
        <v>2578</v>
      </c>
    </row>
    <row r="5183" spans="1:8" x14ac:dyDescent="0.45">
      <c r="A5183" t="s">
        <v>52</v>
      </c>
      <c r="B5183" t="s">
        <v>21</v>
      </c>
      <c r="C5183">
        <v>4</v>
      </c>
      <c r="D5183" t="s">
        <v>27</v>
      </c>
      <c r="F5183">
        <v>499</v>
      </c>
    </row>
    <row r="5184" spans="1:8" x14ac:dyDescent="0.45">
      <c r="A5184" t="s">
        <v>52</v>
      </c>
      <c r="B5184" t="s">
        <v>21</v>
      </c>
      <c r="C5184">
        <v>4</v>
      </c>
      <c r="D5184" t="s">
        <v>28</v>
      </c>
      <c r="F5184">
        <v>379</v>
      </c>
    </row>
    <row r="5185" spans="1:8" x14ac:dyDescent="0.45">
      <c r="A5185" t="s">
        <v>52</v>
      </c>
      <c r="B5185" t="s">
        <v>21</v>
      </c>
      <c r="C5185">
        <v>4</v>
      </c>
      <c r="D5185" t="s">
        <v>29</v>
      </c>
      <c r="F5185">
        <v>357</v>
      </c>
    </row>
    <row r="5186" spans="1:8" x14ac:dyDescent="0.45">
      <c r="A5186" t="s">
        <v>52</v>
      </c>
      <c r="B5186" t="s">
        <v>20</v>
      </c>
      <c r="C5186">
        <v>4</v>
      </c>
      <c r="D5186" t="s">
        <v>19</v>
      </c>
      <c r="E5186">
        <v>1948693</v>
      </c>
      <c r="F5186">
        <v>2635</v>
      </c>
      <c r="G5186">
        <v>1365</v>
      </c>
      <c r="H5186">
        <v>74</v>
      </c>
    </row>
    <row r="5187" spans="1:8" x14ac:dyDescent="0.45">
      <c r="A5187" t="s">
        <v>52</v>
      </c>
      <c r="B5187" t="s">
        <v>20</v>
      </c>
      <c r="C5187">
        <v>4</v>
      </c>
      <c r="D5187" t="s">
        <v>27</v>
      </c>
      <c r="F5187">
        <v>333</v>
      </c>
    </row>
    <row r="5188" spans="1:8" x14ac:dyDescent="0.45">
      <c r="A5188" t="s">
        <v>52</v>
      </c>
      <c r="B5188" t="s">
        <v>20</v>
      </c>
      <c r="C5188">
        <v>4</v>
      </c>
      <c r="D5188" t="s">
        <v>28</v>
      </c>
      <c r="F5188">
        <v>369</v>
      </c>
    </row>
    <row r="5189" spans="1:8" x14ac:dyDescent="0.45">
      <c r="A5189" t="s">
        <v>52</v>
      </c>
      <c r="B5189" t="s">
        <v>20</v>
      </c>
      <c r="C5189">
        <v>4</v>
      </c>
      <c r="D5189" t="s">
        <v>29</v>
      </c>
      <c r="F5189">
        <v>360</v>
      </c>
    </row>
    <row r="5190" spans="1:8" x14ac:dyDescent="0.45">
      <c r="A5190" t="s">
        <v>52</v>
      </c>
      <c r="B5190" t="s">
        <v>20</v>
      </c>
      <c r="C5190">
        <v>4</v>
      </c>
      <c r="D5190" t="s">
        <v>31</v>
      </c>
      <c r="H5190">
        <v>36</v>
      </c>
    </row>
    <row r="5191" spans="1:8" x14ac:dyDescent="0.45">
      <c r="A5191" t="s">
        <v>52</v>
      </c>
      <c r="B5191" t="s">
        <v>20</v>
      </c>
      <c r="C5191">
        <v>4</v>
      </c>
      <c r="D5191" t="s">
        <v>32</v>
      </c>
      <c r="H5191">
        <v>5</v>
      </c>
    </row>
    <row r="5192" spans="1:8" x14ac:dyDescent="0.45">
      <c r="A5192" t="s">
        <v>52</v>
      </c>
      <c r="B5192" t="s">
        <v>20</v>
      </c>
      <c r="C5192">
        <v>4</v>
      </c>
      <c r="D5192" t="s">
        <v>34</v>
      </c>
      <c r="H5192">
        <v>3</v>
      </c>
    </row>
    <row r="5193" spans="1:8" x14ac:dyDescent="0.45">
      <c r="A5193" t="s">
        <v>52</v>
      </c>
      <c r="B5193" t="s">
        <v>21</v>
      </c>
      <c r="C5193">
        <v>5</v>
      </c>
      <c r="D5193" t="s">
        <v>19</v>
      </c>
      <c r="E5193">
        <v>1435301</v>
      </c>
      <c r="F5193">
        <v>1925</v>
      </c>
      <c r="G5193">
        <v>464</v>
      </c>
    </row>
    <row r="5194" spans="1:8" x14ac:dyDescent="0.45">
      <c r="A5194" t="s">
        <v>52</v>
      </c>
      <c r="B5194" t="s">
        <v>21</v>
      </c>
      <c r="C5194">
        <v>5</v>
      </c>
      <c r="D5194" t="s">
        <v>27</v>
      </c>
      <c r="F5194">
        <v>430</v>
      </c>
    </row>
    <row r="5195" spans="1:8" x14ac:dyDescent="0.45">
      <c r="A5195" t="s">
        <v>52</v>
      </c>
      <c r="B5195" t="s">
        <v>21</v>
      </c>
      <c r="C5195">
        <v>5</v>
      </c>
      <c r="D5195" t="s">
        <v>28</v>
      </c>
      <c r="F5195">
        <v>320</v>
      </c>
    </row>
    <row r="5196" spans="1:8" x14ac:dyDescent="0.45">
      <c r="A5196" t="s">
        <v>52</v>
      </c>
      <c r="B5196" t="s">
        <v>21</v>
      </c>
      <c r="C5196">
        <v>5</v>
      </c>
      <c r="D5196" t="s">
        <v>29</v>
      </c>
      <c r="F5196">
        <v>248</v>
      </c>
    </row>
    <row r="5197" spans="1:8" x14ac:dyDescent="0.45">
      <c r="A5197" t="s">
        <v>52</v>
      </c>
      <c r="B5197" t="s">
        <v>20</v>
      </c>
      <c r="C5197">
        <v>5</v>
      </c>
      <c r="D5197" t="s">
        <v>19</v>
      </c>
      <c r="E5197">
        <v>1296564</v>
      </c>
      <c r="F5197">
        <v>1709</v>
      </c>
      <c r="G5197">
        <v>472</v>
      </c>
    </row>
    <row r="5198" spans="1:8" x14ac:dyDescent="0.45">
      <c r="A5198" t="s">
        <v>52</v>
      </c>
      <c r="B5198" t="s">
        <v>20</v>
      </c>
      <c r="C5198">
        <v>5</v>
      </c>
      <c r="D5198" t="s">
        <v>27</v>
      </c>
      <c r="F5198">
        <v>318</v>
      </c>
    </row>
    <row r="5199" spans="1:8" x14ac:dyDescent="0.45">
      <c r="A5199" t="s">
        <v>52</v>
      </c>
      <c r="B5199" t="s">
        <v>20</v>
      </c>
      <c r="C5199">
        <v>5</v>
      </c>
      <c r="D5199" t="s">
        <v>28</v>
      </c>
      <c r="F5199">
        <v>271</v>
      </c>
    </row>
    <row r="5200" spans="1:8" x14ac:dyDescent="0.45">
      <c r="A5200" t="s">
        <v>52</v>
      </c>
      <c r="B5200" t="s">
        <v>20</v>
      </c>
      <c r="C5200">
        <v>5</v>
      </c>
      <c r="D5200" t="s">
        <v>29</v>
      </c>
      <c r="F5200">
        <v>236</v>
      </c>
    </row>
    <row r="5201" spans="1:8" x14ac:dyDescent="0.45">
      <c r="A5201" t="s">
        <v>52</v>
      </c>
      <c r="B5201" t="s">
        <v>20</v>
      </c>
      <c r="C5201">
        <v>5</v>
      </c>
      <c r="D5201" t="s">
        <v>31</v>
      </c>
      <c r="H5201">
        <v>44</v>
      </c>
    </row>
    <row r="5202" spans="1:8" x14ac:dyDescent="0.45">
      <c r="A5202" t="s">
        <v>52</v>
      </c>
      <c r="B5202" t="s">
        <v>20</v>
      </c>
      <c r="C5202">
        <v>5</v>
      </c>
      <c r="D5202" t="s">
        <v>32</v>
      </c>
      <c r="H5202">
        <v>6</v>
      </c>
    </row>
    <row r="5203" spans="1:8" x14ac:dyDescent="0.45">
      <c r="A5203" t="s">
        <v>52</v>
      </c>
      <c r="B5203" t="s">
        <v>20</v>
      </c>
      <c r="C5203">
        <v>5</v>
      </c>
      <c r="D5203" t="s">
        <v>34</v>
      </c>
      <c r="H5203">
        <v>5</v>
      </c>
    </row>
    <row r="5204" spans="1:8" x14ac:dyDescent="0.45">
      <c r="A5204" t="s">
        <v>52</v>
      </c>
      <c r="B5204" t="s">
        <v>21</v>
      </c>
      <c r="C5204">
        <v>6</v>
      </c>
      <c r="D5204" t="s">
        <v>19</v>
      </c>
      <c r="E5204">
        <v>1472153</v>
      </c>
      <c r="F5204">
        <v>2097</v>
      </c>
      <c r="G5204">
        <v>514</v>
      </c>
    </row>
    <row r="5205" spans="1:8" x14ac:dyDescent="0.45">
      <c r="A5205" t="s">
        <v>52</v>
      </c>
      <c r="B5205" t="s">
        <v>21</v>
      </c>
      <c r="C5205">
        <v>6</v>
      </c>
      <c r="D5205" t="s">
        <v>27</v>
      </c>
      <c r="F5205">
        <v>477</v>
      </c>
    </row>
    <row r="5206" spans="1:8" x14ac:dyDescent="0.45">
      <c r="A5206" t="s">
        <v>52</v>
      </c>
      <c r="B5206" t="s">
        <v>21</v>
      </c>
      <c r="C5206">
        <v>6</v>
      </c>
      <c r="D5206" t="s">
        <v>28</v>
      </c>
      <c r="F5206">
        <v>367</v>
      </c>
    </row>
    <row r="5207" spans="1:8" x14ac:dyDescent="0.45">
      <c r="A5207" t="s">
        <v>52</v>
      </c>
      <c r="B5207" t="s">
        <v>21</v>
      </c>
      <c r="C5207">
        <v>6</v>
      </c>
      <c r="D5207" t="s">
        <v>29</v>
      </c>
      <c r="F5207">
        <v>362</v>
      </c>
    </row>
    <row r="5208" spans="1:8" x14ac:dyDescent="0.45">
      <c r="A5208" t="s">
        <v>52</v>
      </c>
      <c r="B5208" t="s">
        <v>20</v>
      </c>
      <c r="C5208">
        <v>6</v>
      </c>
      <c r="D5208" t="s">
        <v>19</v>
      </c>
      <c r="E5208">
        <v>1532694</v>
      </c>
      <c r="F5208">
        <v>1864</v>
      </c>
      <c r="G5208">
        <v>466</v>
      </c>
    </row>
    <row r="5209" spans="1:8" x14ac:dyDescent="0.45">
      <c r="A5209" t="s">
        <v>52</v>
      </c>
      <c r="B5209" t="s">
        <v>20</v>
      </c>
      <c r="C5209">
        <v>6</v>
      </c>
      <c r="D5209" t="s">
        <v>27</v>
      </c>
      <c r="F5209">
        <v>358</v>
      </c>
    </row>
    <row r="5210" spans="1:8" x14ac:dyDescent="0.45">
      <c r="A5210" t="s">
        <v>52</v>
      </c>
      <c r="B5210" t="s">
        <v>20</v>
      </c>
      <c r="C5210">
        <v>6</v>
      </c>
      <c r="D5210" t="s">
        <v>28</v>
      </c>
      <c r="F5210">
        <v>291</v>
      </c>
    </row>
    <row r="5211" spans="1:8" x14ac:dyDescent="0.45">
      <c r="A5211" t="s">
        <v>52</v>
      </c>
      <c r="B5211" t="s">
        <v>20</v>
      </c>
      <c r="C5211">
        <v>6</v>
      </c>
      <c r="D5211" t="s">
        <v>29</v>
      </c>
      <c r="F5211">
        <v>269</v>
      </c>
    </row>
    <row r="5212" spans="1:8" x14ac:dyDescent="0.45">
      <c r="A5212" t="s">
        <v>52</v>
      </c>
      <c r="B5212" t="s">
        <v>20</v>
      </c>
      <c r="C5212">
        <v>6</v>
      </c>
      <c r="D5212" t="s">
        <v>31</v>
      </c>
      <c r="H5212">
        <v>16</v>
      </c>
    </row>
    <row r="5213" spans="1:8" x14ac:dyDescent="0.45">
      <c r="A5213" t="s">
        <v>52</v>
      </c>
      <c r="B5213" t="s">
        <v>20</v>
      </c>
      <c r="C5213">
        <v>6</v>
      </c>
      <c r="D5213" t="s">
        <v>32</v>
      </c>
      <c r="H5213">
        <v>3</v>
      </c>
    </row>
    <row r="5214" spans="1:8" x14ac:dyDescent="0.45">
      <c r="A5214" t="s">
        <v>52</v>
      </c>
      <c r="B5214" t="s">
        <v>20</v>
      </c>
      <c r="C5214">
        <v>6</v>
      </c>
      <c r="D5214" t="s">
        <v>34</v>
      </c>
      <c r="H5214">
        <v>5</v>
      </c>
    </row>
    <row r="5215" spans="1:8" x14ac:dyDescent="0.45">
      <c r="A5215" t="s">
        <v>52</v>
      </c>
      <c r="B5215" t="s">
        <v>21</v>
      </c>
      <c r="C5215">
        <v>7</v>
      </c>
      <c r="D5215" t="s">
        <v>19</v>
      </c>
      <c r="E5215">
        <v>1124614</v>
      </c>
      <c r="F5215">
        <v>1592</v>
      </c>
      <c r="G5215">
        <v>463</v>
      </c>
    </row>
    <row r="5216" spans="1:8" x14ac:dyDescent="0.45">
      <c r="A5216" t="s">
        <v>52</v>
      </c>
      <c r="B5216" t="s">
        <v>21</v>
      </c>
      <c r="C5216">
        <v>7</v>
      </c>
      <c r="D5216" t="s">
        <v>27</v>
      </c>
      <c r="F5216">
        <v>436</v>
      </c>
    </row>
    <row r="5217" spans="1:8" x14ac:dyDescent="0.45">
      <c r="A5217" t="s">
        <v>52</v>
      </c>
      <c r="B5217" t="s">
        <v>21</v>
      </c>
      <c r="C5217">
        <v>7</v>
      </c>
      <c r="D5217" t="s">
        <v>28</v>
      </c>
      <c r="F5217">
        <v>306</v>
      </c>
    </row>
    <row r="5218" spans="1:8" x14ac:dyDescent="0.45">
      <c r="A5218" t="s">
        <v>52</v>
      </c>
      <c r="B5218" t="s">
        <v>21</v>
      </c>
      <c r="C5218">
        <v>7</v>
      </c>
      <c r="D5218" t="s">
        <v>29</v>
      </c>
      <c r="F5218">
        <v>218</v>
      </c>
    </row>
    <row r="5219" spans="1:8" x14ac:dyDescent="0.45">
      <c r="A5219" t="s">
        <v>52</v>
      </c>
      <c r="B5219" t="s">
        <v>20</v>
      </c>
      <c r="C5219">
        <v>7</v>
      </c>
      <c r="D5219" t="s">
        <v>19</v>
      </c>
      <c r="E5219">
        <v>941426</v>
      </c>
      <c r="F5219">
        <v>1337</v>
      </c>
      <c r="G5219">
        <v>391</v>
      </c>
    </row>
    <row r="5220" spans="1:8" x14ac:dyDescent="0.45">
      <c r="A5220" t="s">
        <v>52</v>
      </c>
      <c r="B5220" t="s">
        <v>20</v>
      </c>
      <c r="C5220">
        <v>7</v>
      </c>
      <c r="D5220" t="s">
        <v>27</v>
      </c>
      <c r="F5220">
        <v>352</v>
      </c>
    </row>
    <row r="5221" spans="1:8" x14ac:dyDescent="0.45">
      <c r="A5221" t="s">
        <v>52</v>
      </c>
      <c r="B5221" t="s">
        <v>20</v>
      </c>
      <c r="C5221">
        <v>7</v>
      </c>
      <c r="D5221" t="s">
        <v>28</v>
      </c>
      <c r="F5221">
        <v>272</v>
      </c>
    </row>
    <row r="5222" spans="1:8" x14ac:dyDescent="0.45">
      <c r="A5222" t="s">
        <v>52</v>
      </c>
      <c r="B5222" t="s">
        <v>20</v>
      </c>
      <c r="C5222">
        <v>7</v>
      </c>
      <c r="D5222" t="s">
        <v>29</v>
      </c>
      <c r="F5222">
        <v>164</v>
      </c>
    </row>
    <row r="5223" spans="1:8" x14ac:dyDescent="0.45">
      <c r="A5223" t="s">
        <v>52</v>
      </c>
      <c r="B5223" t="s">
        <v>20</v>
      </c>
      <c r="C5223">
        <v>7</v>
      </c>
      <c r="D5223" t="s">
        <v>31</v>
      </c>
      <c r="H5223">
        <v>55</v>
      </c>
    </row>
    <row r="5224" spans="1:8" x14ac:dyDescent="0.45">
      <c r="A5224" t="s">
        <v>52</v>
      </c>
      <c r="B5224" t="s">
        <v>20</v>
      </c>
      <c r="C5224">
        <v>7</v>
      </c>
      <c r="D5224" t="s">
        <v>32</v>
      </c>
      <c r="H5224">
        <v>0</v>
      </c>
    </row>
    <row r="5225" spans="1:8" x14ac:dyDescent="0.45">
      <c r="A5225" t="s">
        <v>52</v>
      </c>
      <c r="B5225" t="s">
        <v>20</v>
      </c>
      <c r="C5225">
        <v>7</v>
      </c>
      <c r="D5225" t="s">
        <v>34</v>
      </c>
      <c r="H5225">
        <v>4</v>
      </c>
    </row>
    <row r="5226" spans="1:8" x14ac:dyDescent="0.45">
      <c r="A5226" t="s">
        <v>52</v>
      </c>
      <c r="B5226" t="s">
        <v>21</v>
      </c>
      <c r="C5226">
        <v>8</v>
      </c>
      <c r="D5226" t="s">
        <v>19</v>
      </c>
      <c r="E5226">
        <v>751557</v>
      </c>
      <c r="F5226">
        <v>1226</v>
      </c>
      <c r="G5226">
        <v>341</v>
      </c>
    </row>
    <row r="5227" spans="1:8" x14ac:dyDescent="0.45">
      <c r="A5227" t="s">
        <v>52</v>
      </c>
      <c r="B5227" t="s">
        <v>21</v>
      </c>
      <c r="C5227">
        <v>8</v>
      </c>
      <c r="D5227" t="s">
        <v>27</v>
      </c>
      <c r="F5227">
        <v>347</v>
      </c>
      <c r="G5227">
        <v>840</v>
      </c>
    </row>
    <row r="5228" spans="1:8" x14ac:dyDescent="0.45">
      <c r="A5228" t="s">
        <v>52</v>
      </c>
      <c r="B5228" t="s">
        <v>21</v>
      </c>
      <c r="C5228">
        <v>8</v>
      </c>
      <c r="D5228" t="s">
        <v>28</v>
      </c>
      <c r="F5228">
        <v>254</v>
      </c>
      <c r="G5228">
        <v>958</v>
      </c>
    </row>
    <row r="5229" spans="1:8" x14ac:dyDescent="0.45">
      <c r="A5229" t="s">
        <v>52</v>
      </c>
      <c r="B5229" t="s">
        <v>21</v>
      </c>
      <c r="C5229">
        <v>8</v>
      </c>
      <c r="D5229" t="s">
        <v>29</v>
      </c>
      <c r="F5229">
        <v>136</v>
      </c>
      <c r="G5229">
        <v>1064</v>
      </c>
    </row>
    <row r="5230" spans="1:8" x14ac:dyDescent="0.45">
      <c r="A5230" t="s">
        <v>52</v>
      </c>
      <c r="B5230" t="s">
        <v>20</v>
      </c>
      <c r="C5230">
        <v>8</v>
      </c>
      <c r="D5230" t="s">
        <v>19</v>
      </c>
      <c r="E5230">
        <v>747030</v>
      </c>
      <c r="F5230">
        <v>1108</v>
      </c>
      <c r="G5230">
        <v>309</v>
      </c>
    </row>
    <row r="5231" spans="1:8" x14ac:dyDescent="0.45">
      <c r="A5231" t="s">
        <v>52</v>
      </c>
      <c r="B5231" t="s">
        <v>20</v>
      </c>
      <c r="C5231">
        <v>8</v>
      </c>
      <c r="D5231" t="s">
        <v>27</v>
      </c>
      <c r="F5231">
        <v>367</v>
      </c>
      <c r="G5231">
        <v>1020</v>
      </c>
    </row>
    <row r="5232" spans="1:8" x14ac:dyDescent="0.45">
      <c r="A5232" t="s">
        <v>52</v>
      </c>
      <c r="B5232" t="s">
        <v>20</v>
      </c>
      <c r="C5232">
        <v>8</v>
      </c>
      <c r="D5232" t="s">
        <v>28</v>
      </c>
      <c r="F5232">
        <v>222</v>
      </c>
      <c r="G5232">
        <v>950</v>
      </c>
    </row>
    <row r="5233" spans="1:8" x14ac:dyDescent="0.45">
      <c r="A5233" t="s">
        <v>52</v>
      </c>
      <c r="B5233" t="s">
        <v>20</v>
      </c>
      <c r="C5233">
        <v>8</v>
      </c>
      <c r="D5233" t="s">
        <v>29</v>
      </c>
      <c r="F5233">
        <v>117</v>
      </c>
      <c r="G5233">
        <v>1096</v>
      </c>
    </row>
    <row r="5234" spans="1:8" x14ac:dyDescent="0.45">
      <c r="A5234" t="s">
        <v>52</v>
      </c>
      <c r="B5234" t="s">
        <v>20</v>
      </c>
      <c r="C5234">
        <v>8</v>
      </c>
      <c r="D5234" t="s">
        <v>31</v>
      </c>
      <c r="H5234">
        <v>13</v>
      </c>
    </row>
    <row r="5235" spans="1:8" x14ac:dyDescent="0.45">
      <c r="A5235" t="s">
        <v>52</v>
      </c>
      <c r="B5235" t="s">
        <v>20</v>
      </c>
      <c r="C5235">
        <v>8</v>
      </c>
      <c r="D5235" t="s">
        <v>32</v>
      </c>
      <c r="H5235">
        <v>1</v>
      </c>
    </row>
    <row r="5236" spans="1:8" x14ac:dyDescent="0.45">
      <c r="A5236" t="s">
        <v>52</v>
      </c>
      <c r="B5236" t="s">
        <v>20</v>
      </c>
      <c r="C5236">
        <v>8</v>
      </c>
      <c r="D5236" t="s">
        <v>34</v>
      </c>
      <c r="H5236">
        <v>3</v>
      </c>
    </row>
    <row r="5237" spans="1:8" x14ac:dyDescent="0.45">
      <c r="A5237" t="s">
        <v>52</v>
      </c>
      <c r="B5237" t="s">
        <v>21</v>
      </c>
      <c r="C5237">
        <v>9</v>
      </c>
      <c r="D5237" t="s">
        <v>19</v>
      </c>
      <c r="E5237">
        <v>686681</v>
      </c>
      <c r="F5237">
        <v>1202</v>
      </c>
      <c r="G5237">
        <v>334</v>
      </c>
    </row>
    <row r="5238" spans="1:8" x14ac:dyDescent="0.45">
      <c r="A5238" t="s">
        <v>52</v>
      </c>
      <c r="B5238" t="s">
        <v>21</v>
      </c>
      <c r="C5238">
        <v>9</v>
      </c>
      <c r="D5238" t="s">
        <v>27</v>
      </c>
      <c r="F5238">
        <v>431</v>
      </c>
    </row>
    <row r="5239" spans="1:8" x14ac:dyDescent="0.45">
      <c r="A5239" t="s">
        <v>52</v>
      </c>
      <c r="B5239" t="s">
        <v>21</v>
      </c>
      <c r="C5239">
        <v>9</v>
      </c>
      <c r="D5239" t="s">
        <v>28</v>
      </c>
      <c r="F5239">
        <v>222</v>
      </c>
    </row>
    <row r="5240" spans="1:8" x14ac:dyDescent="0.45">
      <c r="A5240" t="s">
        <v>52</v>
      </c>
      <c r="B5240" t="s">
        <v>21</v>
      </c>
      <c r="C5240">
        <v>9</v>
      </c>
      <c r="D5240" t="s">
        <v>29</v>
      </c>
      <c r="F5240">
        <v>138</v>
      </c>
    </row>
    <row r="5241" spans="1:8" x14ac:dyDescent="0.45">
      <c r="A5241" t="s">
        <v>52</v>
      </c>
      <c r="B5241" t="s">
        <v>20</v>
      </c>
      <c r="C5241">
        <v>9</v>
      </c>
      <c r="D5241" t="s">
        <v>19</v>
      </c>
      <c r="E5241">
        <v>730148</v>
      </c>
      <c r="F5241">
        <v>1164</v>
      </c>
      <c r="G5241">
        <v>316</v>
      </c>
    </row>
    <row r="5242" spans="1:8" x14ac:dyDescent="0.45">
      <c r="A5242" t="s">
        <v>52</v>
      </c>
      <c r="B5242" t="s">
        <v>20</v>
      </c>
      <c r="C5242">
        <v>9</v>
      </c>
      <c r="D5242" t="s">
        <v>27</v>
      </c>
      <c r="F5242">
        <v>357</v>
      </c>
    </row>
    <row r="5243" spans="1:8" x14ac:dyDescent="0.45">
      <c r="A5243" t="s">
        <v>52</v>
      </c>
      <c r="B5243" t="s">
        <v>20</v>
      </c>
      <c r="C5243">
        <v>9</v>
      </c>
      <c r="D5243" t="s">
        <v>28</v>
      </c>
      <c r="F5243">
        <v>242</v>
      </c>
    </row>
    <row r="5244" spans="1:8" x14ac:dyDescent="0.45">
      <c r="A5244" t="s">
        <v>52</v>
      </c>
      <c r="B5244" t="s">
        <v>20</v>
      </c>
      <c r="C5244">
        <v>9</v>
      </c>
      <c r="D5244" t="s">
        <v>29</v>
      </c>
      <c r="F5244">
        <v>156</v>
      </c>
    </row>
    <row r="5245" spans="1:8" x14ac:dyDescent="0.45">
      <c r="A5245" t="s">
        <v>52</v>
      </c>
      <c r="B5245" t="s">
        <v>20</v>
      </c>
      <c r="C5245">
        <v>9</v>
      </c>
      <c r="D5245" t="s">
        <v>31</v>
      </c>
      <c r="H5245">
        <v>49</v>
      </c>
    </row>
    <row r="5246" spans="1:8" x14ac:dyDescent="0.45">
      <c r="A5246" t="s">
        <v>52</v>
      </c>
      <c r="B5246" t="s">
        <v>20</v>
      </c>
      <c r="C5246">
        <v>9</v>
      </c>
      <c r="D5246" t="s">
        <v>32</v>
      </c>
      <c r="H5246">
        <v>2</v>
      </c>
    </row>
    <row r="5247" spans="1:8" x14ac:dyDescent="0.45">
      <c r="A5247" t="s">
        <v>52</v>
      </c>
      <c r="B5247" t="s">
        <v>20</v>
      </c>
      <c r="C5247">
        <v>9</v>
      </c>
      <c r="D5247" t="s">
        <v>34</v>
      </c>
      <c r="H5247">
        <v>1</v>
      </c>
    </row>
    <row r="5248" spans="1:8" x14ac:dyDescent="0.45">
      <c r="A5248" t="s">
        <v>52</v>
      </c>
      <c r="B5248" t="s">
        <v>21</v>
      </c>
      <c r="C5248">
        <v>10</v>
      </c>
      <c r="D5248" t="s">
        <v>19</v>
      </c>
      <c r="E5248">
        <v>966476</v>
      </c>
      <c r="F5248">
        <v>1800</v>
      </c>
      <c r="G5248">
        <v>456</v>
      </c>
    </row>
    <row r="5249" spans="1:8" x14ac:dyDescent="0.45">
      <c r="A5249" t="s">
        <v>52</v>
      </c>
      <c r="B5249" t="s">
        <v>21</v>
      </c>
      <c r="C5249">
        <v>10</v>
      </c>
      <c r="D5249" t="s">
        <v>27</v>
      </c>
      <c r="F5249">
        <v>600</v>
      </c>
    </row>
    <row r="5250" spans="1:8" x14ac:dyDescent="0.45">
      <c r="A5250" t="s">
        <v>52</v>
      </c>
      <c r="B5250" t="s">
        <v>21</v>
      </c>
      <c r="C5250">
        <v>10</v>
      </c>
      <c r="D5250" t="s">
        <v>28</v>
      </c>
      <c r="F5250">
        <v>360</v>
      </c>
    </row>
    <row r="5251" spans="1:8" x14ac:dyDescent="0.45">
      <c r="A5251" t="s">
        <v>52</v>
      </c>
      <c r="B5251" t="s">
        <v>21</v>
      </c>
      <c r="C5251">
        <v>10</v>
      </c>
      <c r="D5251" t="s">
        <v>29</v>
      </c>
      <c r="F5251">
        <v>240</v>
      </c>
    </row>
    <row r="5252" spans="1:8" x14ac:dyDescent="0.45">
      <c r="A5252" t="s">
        <v>52</v>
      </c>
      <c r="B5252" t="s">
        <v>20</v>
      </c>
      <c r="C5252">
        <v>10</v>
      </c>
      <c r="D5252" t="s">
        <v>19</v>
      </c>
      <c r="E5252">
        <v>1179935</v>
      </c>
      <c r="F5252">
        <v>1785</v>
      </c>
      <c r="G5252">
        <v>475</v>
      </c>
    </row>
    <row r="5253" spans="1:8" x14ac:dyDescent="0.45">
      <c r="A5253" t="s">
        <v>52</v>
      </c>
      <c r="B5253" t="s">
        <v>20</v>
      </c>
      <c r="C5253">
        <v>10</v>
      </c>
      <c r="D5253" t="s">
        <v>27</v>
      </c>
      <c r="F5253">
        <v>461</v>
      </c>
    </row>
    <row r="5254" spans="1:8" x14ac:dyDescent="0.45">
      <c r="A5254" t="s">
        <v>52</v>
      </c>
      <c r="B5254" t="s">
        <v>20</v>
      </c>
      <c r="C5254">
        <v>10</v>
      </c>
      <c r="D5254" t="s">
        <v>28</v>
      </c>
      <c r="F5254">
        <v>368</v>
      </c>
    </row>
    <row r="5255" spans="1:8" x14ac:dyDescent="0.45">
      <c r="A5255" t="s">
        <v>52</v>
      </c>
      <c r="B5255" t="s">
        <v>20</v>
      </c>
      <c r="C5255">
        <v>10</v>
      </c>
      <c r="D5255" t="s">
        <v>29</v>
      </c>
      <c r="F5255">
        <v>246</v>
      </c>
    </row>
    <row r="5256" spans="1:8" x14ac:dyDescent="0.45">
      <c r="A5256" t="s">
        <v>52</v>
      </c>
      <c r="B5256" t="s">
        <v>20</v>
      </c>
      <c r="C5256">
        <v>10</v>
      </c>
      <c r="D5256" t="s">
        <v>31</v>
      </c>
      <c r="H5256">
        <v>49</v>
      </c>
    </row>
    <row r="5257" spans="1:8" x14ac:dyDescent="0.45">
      <c r="A5257" t="s">
        <v>52</v>
      </c>
      <c r="B5257" t="s">
        <v>20</v>
      </c>
      <c r="C5257">
        <v>10</v>
      </c>
      <c r="D5257" t="s">
        <v>32</v>
      </c>
      <c r="H5257">
        <v>2</v>
      </c>
    </row>
    <row r="5258" spans="1:8" x14ac:dyDescent="0.45">
      <c r="A5258" t="s">
        <v>52</v>
      </c>
      <c r="B5258" t="s">
        <v>20</v>
      </c>
      <c r="C5258">
        <v>10</v>
      </c>
      <c r="D5258" t="s">
        <v>34</v>
      </c>
      <c r="H5258">
        <v>4</v>
      </c>
    </row>
    <row r="5259" spans="1:8" x14ac:dyDescent="0.45">
      <c r="A5259" t="s">
        <v>52</v>
      </c>
      <c r="B5259" t="s">
        <v>21</v>
      </c>
      <c r="C5259">
        <v>11</v>
      </c>
      <c r="D5259" t="s">
        <v>19</v>
      </c>
      <c r="E5259">
        <v>783230</v>
      </c>
      <c r="F5259">
        <v>1387</v>
      </c>
      <c r="G5259">
        <v>382</v>
      </c>
    </row>
    <row r="5260" spans="1:8" x14ac:dyDescent="0.45">
      <c r="A5260" t="s">
        <v>52</v>
      </c>
      <c r="B5260" t="s">
        <v>21</v>
      </c>
      <c r="C5260">
        <v>11</v>
      </c>
      <c r="D5260" t="s">
        <v>27</v>
      </c>
      <c r="F5260">
        <v>479</v>
      </c>
    </row>
    <row r="5261" spans="1:8" x14ac:dyDescent="0.45">
      <c r="A5261" t="s">
        <v>52</v>
      </c>
      <c r="B5261" t="s">
        <v>21</v>
      </c>
      <c r="C5261">
        <v>11</v>
      </c>
      <c r="D5261" t="s">
        <v>28</v>
      </c>
      <c r="F5261">
        <v>270</v>
      </c>
    </row>
    <row r="5262" spans="1:8" x14ac:dyDescent="0.45">
      <c r="A5262" t="s">
        <v>52</v>
      </c>
      <c r="B5262" t="s">
        <v>21</v>
      </c>
      <c r="C5262">
        <v>11</v>
      </c>
      <c r="D5262" t="s">
        <v>29</v>
      </c>
      <c r="F5262">
        <v>193</v>
      </c>
    </row>
    <row r="5263" spans="1:8" x14ac:dyDescent="0.45">
      <c r="A5263" t="s">
        <v>52</v>
      </c>
      <c r="B5263" t="s">
        <v>20</v>
      </c>
      <c r="C5263">
        <v>11</v>
      </c>
      <c r="D5263" t="s">
        <v>19</v>
      </c>
      <c r="E5263">
        <v>785547</v>
      </c>
      <c r="F5263">
        <v>1246</v>
      </c>
      <c r="G5263">
        <v>398</v>
      </c>
    </row>
    <row r="5264" spans="1:8" x14ac:dyDescent="0.45">
      <c r="A5264" t="s">
        <v>52</v>
      </c>
      <c r="B5264" t="s">
        <v>20</v>
      </c>
      <c r="C5264">
        <v>11</v>
      </c>
      <c r="D5264" t="s">
        <v>27</v>
      </c>
      <c r="F5264">
        <v>377</v>
      </c>
    </row>
    <row r="5265" spans="1:8" x14ac:dyDescent="0.45">
      <c r="A5265" t="s">
        <v>52</v>
      </c>
      <c r="B5265" t="s">
        <v>20</v>
      </c>
      <c r="C5265">
        <v>11</v>
      </c>
      <c r="D5265" t="s">
        <v>28</v>
      </c>
      <c r="F5265">
        <v>206</v>
      </c>
    </row>
    <row r="5266" spans="1:8" x14ac:dyDescent="0.45">
      <c r="A5266" t="s">
        <v>52</v>
      </c>
      <c r="B5266" t="s">
        <v>20</v>
      </c>
      <c r="C5266">
        <v>11</v>
      </c>
      <c r="D5266" t="s">
        <v>29</v>
      </c>
      <c r="F5266">
        <v>139</v>
      </c>
    </row>
    <row r="5267" spans="1:8" x14ac:dyDescent="0.45">
      <c r="A5267" t="s">
        <v>52</v>
      </c>
      <c r="B5267" t="s">
        <v>20</v>
      </c>
      <c r="C5267">
        <v>11</v>
      </c>
      <c r="D5267" t="s">
        <v>31</v>
      </c>
      <c r="H5267">
        <v>41</v>
      </c>
    </row>
    <row r="5268" spans="1:8" x14ac:dyDescent="0.45">
      <c r="A5268" t="s">
        <v>52</v>
      </c>
      <c r="B5268" t="s">
        <v>20</v>
      </c>
      <c r="C5268">
        <v>11</v>
      </c>
      <c r="D5268" t="s">
        <v>32</v>
      </c>
      <c r="H5268">
        <v>3</v>
      </c>
    </row>
    <row r="5269" spans="1:8" x14ac:dyDescent="0.45">
      <c r="A5269" t="s">
        <v>52</v>
      </c>
      <c r="B5269" t="s">
        <v>20</v>
      </c>
      <c r="C5269">
        <v>11</v>
      </c>
      <c r="D5269" t="s">
        <v>34</v>
      </c>
      <c r="H5269">
        <v>4</v>
      </c>
    </row>
    <row r="5270" spans="1:8" x14ac:dyDescent="0.45">
      <c r="A5270" t="s">
        <v>52</v>
      </c>
      <c r="B5270" t="s">
        <v>21</v>
      </c>
      <c r="C5270">
        <v>12</v>
      </c>
      <c r="D5270" t="s">
        <v>19</v>
      </c>
      <c r="E5270">
        <v>952283</v>
      </c>
      <c r="F5270">
        <v>1509</v>
      </c>
      <c r="G5270">
        <v>364</v>
      </c>
    </row>
    <row r="5271" spans="1:8" x14ac:dyDescent="0.45">
      <c r="A5271" t="s">
        <v>52</v>
      </c>
      <c r="B5271" t="s">
        <v>21</v>
      </c>
      <c r="C5271">
        <v>12</v>
      </c>
      <c r="D5271" t="s">
        <v>27</v>
      </c>
      <c r="F5271">
        <v>472</v>
      </c>
    </row>
    <row r="5272" spans="1:8" x14ac:dyDescent="0.45">
      <c r="A5272" t="s">
        <v>52</v>
      </c>
      <c r="B5272" t="s">
        <v>21</v>
      </c>
      <c r="C5272">
        <v>12</v>
      </c>
      <c r="D5272" t="s">
        <v>28</v>
      </c>
      <c r="F5272">
        <v>249</v>
      </c>
    </row>
    <row r="5273" spans="1:8" x14ac:dyDescent="0.45">
      <c r="A5273" t="s">
        <v>52</v>
      </c>
      <c r="B5273" t="s">
        <v>21</v>
      </c>
      <c r="C5273">
        <v>12</v>
      </c>
      <c r="D5273" t="s">
        <v>29</v>
      </c>
      <c r="F5273">
        <v>222</v>
      </c>
    </row>
    <row r="5274" spans="1:8" x14ac:dyDescent="0.45">
      <c r="A5274" t="s">
        <v>52</v>
      </c>
      <c r="B5274" t="s">
        <v>20</v>
      </c>
      <c r="C5274">
        <v>12</v>
      </c>
      <c r="D5274" t="s">
        <v>19</v>
      </c>
      <c r="E5274">
        <v>864015</v>
      </c>
      <c r="F5274">
        <v>1436</v>
      </c>
      <c r="G5274">
        <v>373</v>
      </c>
    </row>
    <row r="5275" spans="1:8" x14ac:dyDescent="0.45">
      <c r="A5275" t="s">
        <v>52</v>
      </c>
      <c r="B5275" t="s">
        <v>20</v>
      </c>
      <c r="C5275">
        <v>12</v>
      </c>
      <c r="D5275" t="s">
        <v>27</v>
      </c>
      <c r="F5275">
        <v>368</v>
      </c>
    </row>
    <row r="5276" spans="1:8" x14ac:dyDescent="0.45">
      <c r="A5276" t="s">
        <v>52</v>
      </c>
      <c r="B5276" t="s">
        <v>20</v>
      </c>
      <c r="C5276">
        <v>12</v>
      </c>
      <c r="D5276" t="s">
        <v>28</v>
      </c>
      <c r="F5276">
        <v>273</v>
      </c>
    </row>
    <row r="5277" spans="1:8" x14ac:dyDescent="0.45">
      <c r="A5277" t="s">
        <v>52</v>
      </c>
      <c r="B5277" t="s">
        <v>20</v>
      </c>
      <c r="C5277">
        <v>12</v>
      </c>
      <c r="D5277" t="s">
        <v>29</v>
      </c>
      <c r="F5277">
        <v>237</v>
      </c>
    </row>
    <row r="5278" spans="1:8" x14ac:dyDescent="0.45">
      <c r="A5278" t="s">
        <v>52</v>
      </c>
      <c r="B5278" t="s">
        <v>20</v>
      </c>
      <c r="C5278">
        <v>12</v>
      </c>
      <c r="D5278" t="s">
        <v>31</v>
      </c>
      <c r="H5278">
        <v>42</v>
      </c>
    </row>
    <row r="5279" spans="1:8" x14ac:dyDescent="0.45">
      <c r="A5279" t="s">
        <v>52</v>
      </c>
      <c r="B5279" t="s">
        <v>20</v>
      </c>
      <c r="C5279">
        <v>12</v>
      </c>
      <c r="D5279" t="s">
        <v>32</v>
      </c>
      <c r="H5279">
        <v>5</v>
      </c>
    </row>
    <row r="5280" spans="1:8" x14ac:dyDescent="0.45">
      <c r="A5280" t="s">
        <v>52</v>
      </c>
      <c r="B5280" t="s">
        <v>20</v>
      </c>
      <c r="C5280">
        <v>12</v>
      </c>
      <c r="D5280" t="s">
        <v>34</v>
      </c>
      <c r="H5280">
        <v>4</v>
      </c>
    </row>
    <row r="5281" spans="1:8" x14ac:dyDescent="0.45">
      <c r="A5281" t="s">
        <v>87</v>
      </c>
      <c r="B5281" t="s">
        <v>21</v>
      </c>
      <c r="C5281">
        <v>6</v>
      </c>
      <c r="D5281" t="s">
        <v>19</v>
      </c>
      <c r="E5281">
        <v>1212636</v>
      </c>
      <c r="F5281">
        <v>2290</v>
      </c>
      <c r="G5281">
        <v>580</v>
      </c>
    </row>
    <row r="5282" spans="1:8" x14ac:dyDescent="0.45">
      <c r="A5282" t="s">
        <v>87</v>
      </c>
      <c r="B5282" t="s">
        <v>21</v>
      </c>
      <c r="C5282">
        <v>6</v>
      </c>
      <c r="D5282" t="s">
        <v>27</v>
      </c>
      <c r="F5282">
        <v>818</v>
      </c>
    </row>
    <row r="5283" spans="1:8" x14ac:dyDescent="0.45">
      <c r="A5283" t="s">
        <v>87</v>
      </c>
      <c r="B5283" t="s">
        <v>21</v>
      </c>
      <c r="C5283">
        <v>6</v>
      </c>
      <c r="D5283" t="s">
        <v>28</v>
      </c>
      <c r="F5283">
        <v>367</v>
      </c>
    </row>
    <row r="5284" spans="1:8" x14ac:dyDescent="0.45">
      <c r="A5284" t="s">
        <v>87</v>
      </c>
      <c r="B5284" t="s">
        <v>21</v>
      </c>
      <c r="C5284">
        <v>6</v>
      </c>
      <c r="D5284" t="s">
        <v>29</v>
      </c>
      <c r="F5284">
        <v>244</v>
      </c>
    </row>
    <row r="5285" spans="1:8" x14ac:dyDescent="0.45">
      <c r="A5285" t="s">
        <v>87</v>
      </c>
      <c r="B5285" t="s">
        <v>20</v>
      </c>
      <c r="C5285">
        <v>6</v>
      </c>
      <c r="D5285" t="s">
        <v>19</v>
      </c>
      <c r="E5285">
        <v>2115087</v>
      </c>
      <c r="F5285">
        <v>3358</v>
      </c>
    </row>
    <row r="5286" spans="1:8" x14ac:dyDescent="0.45">
      <c r="A5286" t="s">
        <v>87</v>
      </c>
      <c r="B5286" t="s">
        <v>20</v>
      </c>
      <c r="C5286">
        <v>6</v>
      </c>
      <c r="D5286" t="s">
        <v>27</v>
      </c>
      <c r="F5286">
        <v>923</v>
      </c>
    </row>
    <row r="5287" spans="1:8" x14ac:dyDescent="0.45">
      <c r="A5287" t="s">
        <v>87</v>
      </c>
      <c r="B5287" t="s">
        <v>20</v>
      </c>
      <c r="C5287">
        <v>6</v>
      </c>
      <c r="D5287" t="s">
        <v>28</v>
      </c>
      <c r="F5287">
        <v>618</v>
      </c>
    </row>
    <row r="5288" spans="1:8" x14ac:dyDescent="0.45">
      <c r="A5288" t="s">
        <v>87</v>
      </c>
      <c r="B5288" t="s">
        <v>20</v>
      </c>
      <c r="C5288">
        <v>6</v>
      </c>
      <c r="D5288" t="s">
        <v>29</v>
      </c>
      <c r="F5288">
        <v>512</v>
      </c>
    </row>
    <row r="5289" spans="1:8" x14ac:dyDescent="0.45">
      <c r="A5289" t="s">
        <v>87</v>
      </c>
      <c r="B5289" t="s">
        <v>20</v>
      </c>
      <c r="C5289">
        <v>6</v>
      </c>
      <c r="D5289" t="s">
        <v>31</v>
      </c>
    </row>
    <row r="5290" spans="1:8" x14ac:dyDescent="0.45">
      <c r="A5290" t="s">
        <v>87</v>
      </c>
      <c r="B5290" t="s">
        <v>20</v>
      </c>
      <c r="C5290">
        <v>6</v>
      </c>
      <c r="D5290" t="s">
        <v>32</v>
      </c>
    </row>
    <row r="5291" spans="1:8" x14ac:dyDescent="0.45">
      <c r="A5291" t="s">
        <v>87</v>
      </c>
      <c r="B5291" t="s">
        <v>20</v>
      </c>
      <c r="C5291">
        <v>6</v>
      </c>
      <c r="D5291" t="s">
        <v>34</v>
      </c>
      <c r="H5291">
        <v>16</v>
      </c>
    </row>
    <row r="5292" spans="1:8" x14ac:dyDescent="0.45">
      <c r="A5292" t="s">
        <v>87</v>
      </c>
      <c r="B5292" t="s">
        <v>21</v>
      </c>
      <c r="C5292">
        <v>7</v>
      </c>
      <c r="D5292" t="s">
        <v>19</v>
      </c>
      <c r="E5292">
        <v>935970</v>
      </c>
      <c r="F5292">
        <v>2022</v>
      </c>
      <c r="G5292">
        <v>547</v>
      </c>
    </row>
    <row r="5293" spans="1:8" x14ac:dyDescent="0.45">
      <c r="A5293" t="s">
        <v>87</v>
      </c>
      <c r="B5293" t="s">
        <v>21</v>
      </c>
      <c r="C5293">
        <v>7</v>
      </c>
      <c r="D5293" t="s">
        <v>27</v>
      </c>
      <c r="F5293">
        <v>901</v>
      </c>
    </row>
    <row r="5294" spans="1:8" x14ac:dyDescent="0.45">
      <c r="A5294" t="s">
        <v>87</v>
      </c>
      <c r="B5294" t="s">
        <v>21</v>
      </c>
      <c r="C5294">
        <v>7</v>
      </c>
      <c r="D5294" t="s">
        <v>28</v>
      </c>
      <c r="F5294">
        <v>360</v>
      </c>
    </row>
    <row r="5295" spans="1:8" x14ac:dyDescent="0.45">
      <c r="A5295" t="s">
        <v>87</v>
      </c>
      <c r="B5295" t="s">
        <v>21</v>
      </c>
      <c r="C5295">
        <v>7</v>
      </c>
      <c r="D5295" t="s">
        <v>29</v>
      </c>
      <c r="F5295">
        <v>207</v>
      </c>
    </row>
    <row r="5296" spans="1:8" x14ac:dyDescent="0.45">
      <c r="A5296" t="s">
        <v>87</v>
      </c>
      <c r="B5296" t="s">
        <v>20</v>
      </c>
      <c r="C5296">
        <v>7</v>
      </c>
      <c r="D5296" t="s">
        <v>19</v>
      </c>
      <c r="E5296">
        <v>919284</v>
      </c>
      <c r="F5296">
        <v>1862</v>
      </c>
      <c r="G5296">
        <v>535</v>
      </c>
    </row>
    <row r="5297" spans="1:8" x14ac:dyDescent="0.45">
      <c r="A5297" t="s">
        <v>87</v>
      </c>
      <c r="B5297" t="s">
        <v>20</v>
      </c>
      <c r="C5297">
        <v>7</v>
      </c>
      <c r="D5297" t="s">
        <v>27</v>
      </c>
      <c r="F5297">
        <v>773</v>
      </c>
    </row>
    <row r="5298" spans="1:8" x14ac:dyDescent="0.45">
      <c r="A5298" t="s">
        <v>87</v>
      </c>
      <c r="B5298" t="s">
        <v>20</v>
      </c>
      <c r="C5298">
        <v>7</v>
      </c>
      <c r="D5298" t="s">
        <v>28</v>
      </c>
      <c r="F5298">
        <v>362</v>
      </c>
    </row>
    <row r="5299" spans="1:8" x14ac:dyDescent="0.45">
      <c r="A5299" t="s">
        <v>87</v>
      </c>
      <c r="B5299" t="s">
        <v>20</v>
      </c>
      <c r="C5299">
        <v>7</v>
      </c>
      <c r="D5299" t="s">
        <v>29</v>
      </c>
      <c r="F5299">
        <v>194</v>
      </c>
    </row>
    <row r="5300" spans="1:8" x14ac:dyDescent="0.45">
      <c r="A5300" t="s">
        <v>87</v>
      </c>
      <c r="B5300" t="s">
        <v>20</v>
      </c>
      <c r="C5300">
        <v>7</v>
      </c>
      <c r="D5300" t="s">
        <v>31</v>
      </c>
      <c r="H5300">
        <v>167</v>
      </c>
    </row>
    <row r="5301" spans="1:8" x14ac:dyDescent="0.45">
      <c r="A5301" t="s">
        <v>87</v>
      </c>
      <c r="B5301" t="s">
        <v>20</v>
      </c>
      <c r="C5301">
        <v>7</v>
      </c>
      <c r="D5301" t="s">
        <v>32</v>
      </c>
      <c r="H5301">
        <v>3</v>
      </c>
    </row>
    <row r="5302" spans="1:8" x14ac:dyDescent="0.45">
      <c r="A5302" t="s">
        <v>87</v>
      </c>
      <c r="B5302" t="s">
        <v>20</v>
      </c>
      <c r="C5302">
        <v>7</v>
      </c>
      <c r="D5302" t="s">
        <v>34</v>
      </c>
      <c r="H5302">
        <v>14</v>
      </c>
    </row>
    <row r="5303" spans="1:8" x14ac:dyDescent="0.45">
      <c r="A5303" t="s">
        <v>62</v>
      </c>
      <c r="B5303" t="s">
        <v>21</v>
      </c>
      <c r="C5303">
        <v>1</v>
      </c>
      <c r="D5303" t="s">
        <v>19</v>
      </c>
      <c r="E5303">
        <v>1269305</v>
      </c>
      <c r="F5303">
        <v>2508</v>
      </c>
      <c r="G5303">
        <v>739</v>
      </c>
    </row>
    <row r="5304" spans="1:8" x14ac:dyDescent="0.45">
      <c r="A5304" t="s">
        <v>62</v>
      </c>
      <c r="B5304" t="s">
        <v>21</v>
      </c>
      <c r="C5304">
        <v>1</v>
      </c>
      <c r="D5304" t="s">
        <v>27</v>
      </c>
      <c r="F5304">
        <v>1045</v>
      </c>
    </row>
    <row r="5305" spans="1:8" x14ac:dyDescent="0.45">
      <c r="A5305" t="s">
        <v>62</v>
      </c>
      <c r="B5305" t="s">
        <v>21</v>
      </c>
      <c r="C5305">
        <v>1</v>
      </c>
      <c r="D5305" t="s">
        <v>28</v>
      </c>
      <c r="F5305">
        <v>456</v>
      </c>
    </row>
    <row r="5306" spans="1:8" x14ac:dyDescent="0.45">
      <c r="A5306" t="s">
        <v>62</v>
      </c>
      <c r="B5306" t="s">
        <v>21</v>
      </c>
      <c r="C5306">
        <v>1</v>
      </c>
      <c r="D5306" t="s">
        <v>29</v>
      </c>
      <c r="F5306">
        <v>298</v>
      </c>
    </row>
    <row r="5307" spans="1:8" x14ac:dyDescent="0.45">
      <c r="A5307" t="s">
        <v>62</v>
      </c>
      <c r="B5307" t="s">
        <v>20</v>
      </c>
      <c r="C5307">
        <v>1</v>
      </c>
      <c r="D5307" t="s">
        <v>19</v>
      </c>
      <c r="E5307">
        <v>1698274</v>
      </c>
      <c r="F5307">
        <v>3201</v>
      </c>
      <c r="G5307">
        <v>943</v>
      </c>
    </row>
    <row r="5308" spans="1:8" x14ac:dyDescent="0.45">
      <c r="A5308" t="s">
        <v>62</v>
      </c>
      <c r="B5308" t="s">
        <v>20</v>
      </c>
      <c r="C5308">
        <v>1</v>
      </c>
      <c r="D5308" t="s">
        <v>27</v>
      </c>
      <c r="F5308">
        <v>1221</v>
      </c>
    </row>
    <row r="5309" spans="1:8" x14ac:dyDescent="0.45">
      <c r="A5309" t="s">
        <v>62</v>
      </c>
      <c r="B5309" t="s">
        <v>20</v>
      </c>
      <c r="C5309">
        <v>1</v>
      </c>
      <c r="D5309" t="s">
        <v>28</v>
      </c>
      <c r="F5309">
        <v>625</v>
      </c>
    </row>
    <row r="5310" spans="1:8" x14ac:dyDescent="0.45">
      <c r="A5310" t="s">
        <v>62</v>
      </c>
      <c r="B5310" t="s">
        <v>20</v>
      </c>
      <c r="C5310">
        <v>1</v>
      </c>
      <c r="D5310" t="s">
        <v>29</v>
      </c>
      <c r="F5310">
        <v>503</v>
      </c>
    </row>
    <row r="5311" spans="1:8" x14ac:dyDescent="0.45">
      <c r="A5311" t="s">
        <v>62</v>
      </c>
      <c r="B5311" t="s">
        <v>20</v>
      </c>
      <c r="C5311">
        <v>1</v>
      </c>
      <c r="D5311" t="s">
        <v>31</v>
      </c>
      <c r="H5311">
        <v>171</v>
      </c>
    </row>
    <row r="5312" spans="1:8" x14ac:dyDescent="0.45">
      <c r="A5312" t="s">
        <v>62</v>
      </c>
      <c r="B5312" t="s">
        <v>20</v>
      </c>
      <c r="C5312">
        <v>1</v>
      </c>
      <c r="D5312" t="s">
        <v>32</v>
      </c>
      <c r="H5312">
        <v>10</v>
      </c>
    </row>
    <row r="5313" spans="1:8" x14ac:dyDescent="0.45">
      <c r="A5313" t="s">
        <v>62</v>
      </c>
      <c r="B5313" t="s">
        <v>20</v>
      </c>
      <c r="C5313">
        <v>1</v>
      </c>
      <c r="D5313" t="s">
        <v>34</v>
      </c>
    </row>
    <row r="5314" spans="1:8" x14ac:dyDescent="0.45">
      <c r="A5314" t="s">
        <v>62</v>
      </c>
      <c r="B5314" t="s">
        <v>21</v>
      </c>
      <c r="C5314">
        <v>2</v>
      </c>
      <c r="D5314" t="s">
        <v>19</v>
      </c>
      <c r="E5314">
        <v>1398195</v>
      </c>
      <c r="F5314">
        <v>2790</v>
      </c>
      <c r="G5314">
        <v>819</v>
      </c>
    </row>
    <row r="5315" spans="1:8" x14ac:dyDescent="0.45">
      <c r="A5315" t="s">
        <v>62</v>
      </c>
      <c r="B5315" t="s">
        <v>21</v>
      </c>
      <c r="C5315">
        <v>2</v>
      </c>
      <c r="D5315" t="s">
        <v>27</v>
      </c>
      <c r="F5315">
        <v>1262</v>
      </c>
    </row>
    <row r="5316" spans="1:8" x14ac:dyDescent="0.45">
      <c r="A5316" t="s">
        <v>62</v>
      </c>
      <c r="B5316" t="s">
        <v>21</v>
      </c>
      <c r="C5316">
        <v>2</v>
      </c>
      <c r="D5316" t="s">
        <v>28</v>
      </c>
      <c r="F5316">
        <v>435</v>
      </c>
    </row>
    <row r="5317" spans="1:8" x14ac:dyDescent="0.45">
      <c r="A5317" t="s">
        <v>62</v>
      </c>
      <c r="B5317" t="s">
        <v>21</v>
      </c>
      <c r="C5317">
        <v>2</v>
      </c>
      <c r="D5317" t="s">
        <v>29</v>
      </c>
      <c r="F5317">
        <v>365</v>
      </c>
    </row>
    <row r="5318" spans="1:8" x14ac:dyDescent="0.45">
      <c r="A5318" t="s">
        <v>62</v>
      </c>
      <c r="B5318" t="s">
        <v>20</v>
      </c>
      <c r="C5318">
        <v>2</v>
      </c>
      <c r="D5318" t="s">
        <v>19</v>
      </c>
      <c r="E5318">
        <v>1473348</v>
      </c>
      <c r="F5318">
        <v>2691</v>
      </c>
      <c r="G5318">
        <v>840</v>
      </c>
    </row>
    <row r="5319" spans="1:8" x14ac:dyDescent="0.45">
      <c r="A5319" t="s">
        <v>62</v>
      </c>
      <c r="B5319" t="s">
        <v>20</v>
      </c>
      <c r="C5319">
        <v>2</v>
      </c>
      <c r="D5319" t="s">
        <v>27</v>
      </c>
      <c r="F5319">
        <v>1215</v>
      </c>
    </row>
    <row r="5320" spans="1:8" x14ac:dyDescent="0.45">
      <c r="A5320" t="s">
        <v>62</v>
      </c>
      <c r="B5320" t="s">
        <v>20</v>
      </c>
      <c r="C5320">
        <v>2</v>
      </c>
      <c r="D5320" t="s">
        <v>28</v>
      </c>
      <c r="F5320">
        <v>546</v>
      </c>
    </row>
    <row r="5321" spans="1:8" x14ac:dyDescent="0.45">
      <c r="A5321" t="s">
        <v>62</v>
      </c>
      <c r="B5321" t="s">
        <v>20</v>
      </c>
      <c r="C5321">
        <v>2</v>
      </c>
      <c r="D5321" t="s">
        <v>29</v>
      </c>
      <c r="F5321">
        <v>404</v>
      </c>
    </row>
    <row r="5322" spans="1:8" x14ac:dyDescent="0.45">
      <c r="A5322" t="s">
        <v>62</v>
      </c>
      <c r="B5322" t="s">
        <v>20</v>
      </c>
      <c r="C5322">
        <v>2</v>
      </c>
      <c r="D5322" t="s">
        <v>31</v>
      </c>
      <c r="H5322">
        <v>164</v>
      </c>
    </row>
    <row r="5323" spans="1:8" x14ac:dyDescent="0.45">
      <c r="A5323" t="s">
        <v>62</v>
      </c>
      <c r="B5323" t="s">
        <v>20</v>
      </c>
      <c r="C5323">
        <v>2</v>
      </c>
      <c r="D5323" t="s">
        <v>32</v>
      </c>
      <c r="H5323">
        <v>13</v>
      </c>
    </row>
    <row r="5324" spans="1:8" x14ac:dyDescent="0.45">
      <c r="A5324" t="s">
        <v>62</v>
      </c>
      <c r="B5324" t="s">
        <v>20</v>
      </c>
      <c r="C5324">
        <v>2</v>
      </c>
      <c r="D5324" t="s">
        <v>34</v>
      </c>
      <c r="H5324">
        <v>7</v>
      </c>
    </row>
    <row r="5325" spans="1:8" x14ac:dyDescent="0.45">
      <c r="A5325" t="s">
        <v>62</v>
      </c>
      <c r="B5325" t="s">
        <v>21</v>
      </c>
      <c r="C5325">
        <v>3</v>
      </c>
      <c r="D5325" t="s">
        <v>19</v>
      </c>
      <c r="E5325">
        <v>3808509</v>
      </c>
      <c r="F5325">
        <v>6012</v>
      </c>
      <c r="G5325">
        <v>1565</v>
      </c>
      <c r="H5325">
        <v>16</v>
      </c>
    </row>
    <row r="5326" spans="1:8" x14ac:dyDescent="0.45">
      <c r="A5326" t="s">
        <v>62</v>
      </c>
      <c r="B5326" t="s">
        <v>21</v>
      </c>
      <c r="C5326">
        <v>3</v>
      </c>
      <c r="D5326" t="s">
        <v>27</v>
      </c>
      <c r="F5326">
        <v>1714</v>
      </c>
    </row>
    <row r="5327" spans="1:8" x14ac:dyDescent="0.45">
      <c r="A5327" t="s">
        <v>62</v>
      </c>
      <c r="B5327" t="s">
        <v>21</v>
      </c>
      <c r="C5327">
        <v>3</v>
      </c>
      <c r="D5327" t="s">
        <v>28</v>
      </c>
      <c r="F5327">
        <v>979</v>
      </c>
    </row>
    <row r="5328" spans="1:8" x14ac:dyDescent="0.45">
      <c r="A5328" t="s">
        <v>62</v>
      </c>
      <c r="B5328" t="s">
        <v>21</v>
      </c>
      <c r="C5328">
        <v>3</v>
      </c>
      <c r="D5328" t="s">
        <v>29</v>
      </c>
      <c r="F5328">
        <v>853</v>
      </c>
    </row>
    <row r="5329" spans="1:8" x14ac:dyDescent="0.45">
      <c r="A5329" t="s">
        <v>62</v>
      </c>
      <c r="B5329" t="s">
        <v>20</v>
      </c>
      <c r="C5329">
        <v>3</v>
      </c>
      <c r="D5329" t="s">
        <v>19</v>
      </c>
      <c r="E5329">
        <v>3290567</v>
      </c>
      <c r="F5329">
        <v>5193</v>
      </c>
      <c r="G5329">
        <v>1460</v>
      </c>
    </row>
    <row r="5330" spans="1:8" x14ac:dyDescent="0.45">
      <c r="A5330" t="s">
        <v>62</v>
      </c>
      <c r="B5330" t="s">
        <v>20</v>
      </c>
      <c r="C5330">
        <v>3</v>
      </c>
      <c r="D5330" t="s">
        <v>27</v>
      </c>
      <c r="F5330">
        <v>1578</v>
      </c>
    </row>
    <row r="5331" spans="1:8" x14ac:dyDescent="0.45">
      <c r="A5331" t="s">
        <v>62</v>
      </c>
      <c r="B5331" t="s">
        <v>20</v>
      </c>
      <c r="C5331">
        <v>3</v>
      </c>
      <c r="D5331" t="s">
        <v>28</v>
      </c>
      <c r="F5331">
        <v>936</v>
      </c>
    </row>
    <row r="5332" spans="1:8" x14ac:dyDescent="0.45">
      <c r="A5332" t="s">
        <v>62</v>
      </c>
      <c r="B5332" t="s">
        <v>20</v>
      </c>
      <c r="C5332">
        <v>3</v>
      </c>
      <c r="D5332" t="s">
        <v>29</v>
      </c>
      <c r="F5332">
        <v>893</v>
      </c>
    </row>
    <row r="5333" spans="1:8" x14ac:dyDescent="0.45">
      <c r="A5333" t="s">
        <v>62</v>
      </c>
      <c r="B5333" t="s">
        <v>20</v>
      </c>
      <c r="C5333">
        <v>3</v>
      </c>
      <c r="D5333" t="s">
        <v>31</v>
      </c>
      <c r="H5333">
        <v>91</v>
      </c>
    </row>
    <row r="5334" spans="1:8" x14ac:dyDescent="0.45">
      <c r="A5334" t="s">
        <v>62</v>
      </c>
      <c r="B5334" t="s">
        <v>20</v>
      </c>
      <c r="C5334">
        <v>3</v>
      </c>
      <c r="D5334" t="s">
        <v>32</v>
      </c>
      <c r="H5334">
        <v>7</v>
      </c>
    </row>
    <row r="5335" spans="1:8" x14ac:dyDescent="0.45">
      <c r="A5335" t="s">
        <v>62</v>
      </c>
      <c r="B5335" t="s">
        <v>20</v>
      </c>
      <c r="C5335">
        <v>3</v>
      </c>
      <c r="D5335" t="s">
        <v>34</v>
      </c>
      <c r="H5335">
        <v>7</v>
      </c>
    </row>
    <row r="5336" spans="1:8" x14ac:dyDescent="0.45">
      <c r="A5336" t="s">
        <v>62</v>
      </c>
      <c r="B5336" t="s">
        <v>21</v>
      </c>
      <c r="C5336">
        <v>4</v>
      </c>
      <c r="D5336" t="s">
        <v>19</v>
      </c>
      <c r="E5336">
        <v>5143753</v>
      </c>
      <c r="F5336">
        <v>7832</v>
      </c>
      <c r="G5336">
        <v>1899</v>
      </c>
    </row>
    <row r="5337" spans="1:8" x14ac:dyDescent="0.45">
      <c r="A5337" t="s">
        <v>62</v>
      </c>
      <c r="B5337" t="s">
        <v>21</v>
      </c>
      <c r="C5337">
        <v>4</v>
      </c>
      <c r="D5337" t="s">
        <v>27</v>
      </c>
      <c r="F5337">
        <v>1935</v>
      </c>
    </row>
    <row r="5338" spans="1:8" x14ac:dyDescent="0.45">
      <c r="A5338" t="s">
        <v>62</v>
      </c>
      <c r="B5338" t="s">
        <v>21</v>
      </c>
      <c r="C5338">
        <v>4</v>
      </c>
      <c r="D5338" t="s">
        <v>28</v>
      </c>
      <c r="F5338">
        <v>1192</v>
      </c>
    </row>
    <row r="5339" spans="1:8" x14ac:dyDescent="0.45">
      <c r="A5339" t="s">
        <v>62</v>
      </c>
      <c r="B5339" t="s">
        <v>21</v>
      </c>
      <c r="C5339">
        <v>4</v>
      </c>
      <c r="D5339" t="s">
        <v>29</v>
      </c>
      <c r="F5339">
        <v>1093</v>
      </c>
    </row>
    <row r="5340" spans="1:8" x14ac:dyDescent="0.45">
      <c r="A5340" t="s">
        <v>62</v>
      </c>
      <c r="B5340" t="s">
        <v>20</v>
      </c>
      <c r="C5340">
        <v>4</v>
      </c>
      <c r="D5340" t="s">
        <v>19</v>
      </c>
      <c r="E5340">
        <v>5314855</v>
      </c>
      <c r="F5340">
        <v>7821</v>
      </c>
      <c r="G5340">
        <v>1884</v>
      </c>
    </row>
    <row r="5341" spans="1:8" x14ac:dyDescent="0.45">
      <c r="A5341" t="s">
        <v>62</v>
      </c>
      <c r="B5341" t="s">
        <v>20</v>
      </c>
      <c r="C5341">
        <v>4</v>
      </c>
      <c r="D5341" t="s">
        <v>27</v>
      </c>
      <c r="F5341">
        <v>1596</v>
      </c>
    </row>
    <row r="5342" spans="1:8" x14ac:dyDescent="0.45">
      <c r="A5342" t="s">
        <v>62</v>
      </c>
      <c r="B5342" t="s">
        <v>20</v>
      </c>
      <c r="C5342">
        <v>4</v>
      </c>
      <c r="D5342" t="s">
        <v>28</v>
      </c>
      <c r="F5342">
        <v>1170</v>
      </c>
    </row>
    <row r="5343" spans="1:8" x14ac:dyDescent="0.45">
      <c r="A5343" t="s">
        <v>62</v>
      </c>
      <c r="B5343" t="s">
        <v>20</v>
      </c>
      <c r="C5343">
        <v>4</v>
      </c>
      <c r="D5343" t="s">
        <v>29</v>
      </c>
      <c r="F5343">
        <v>1093</v>
      </c>
    </row>
    <row r="5344" spans="1:8" x14ac:dyDescent="0.45">
      <c r="A5344" t="s">
        <v>62</v>
      </c>
      <c r="B5344" t="s">
        <v>20</v>
      </c>
      <c r="C5344">
        <v>4</v>
      </c>
      <c r="D5344" t="s">
        <v>31</v>
      </c>
      <c r="H5344">
        <v>104</v>
      </c>
    </row>
    <row r="5345" spans="1:8" x14ac:dyDescent="0.45">
      <c r="A5345" t="s">
        <v>62</v>
      </c>
      <c r="B5345" t="s">
        <v>20</v>
      </c>
      <c r="C5345">
        <v>4</v>
      </c>
      <c r="D5345" t="s">
        <v>32</v>
      </c>
      <c r="H5345">
        <v>17</v>
      </c>
    </row>
    <row r="5346" spans="1:8" x14ac:dyDescent="0.45">
      <c r="A5346" t="s">
        <v>62</v>
      </c>
      <c r="B5346" t="s">
        <v>20</v>
      </c>
      <c r="C5346">
        <v>4</v>
      </c>
      <c r="D5346" t="s">
        <v>34</v>
      </c>
      <c r="H5346">
        <v>8</v>
      </c>
    </row>
    <row r="5347" spans="1:8" x14ac:dyDescent="0.45">
      <c r="A5347" t="s">
        <v>62</v>
      </c>
      <c r="B5347" t="s">
        <v>21</v>
      </c>
      <c r="C5347">
        <v>5</v>
      </c>
      <c r="D5347" t="s">
        <v>19</v>
      </c>
      <c r="E5347">
        <v>3983479</v>
      </c>
      <c r="F5347">
        <v>5665</v>
      </c>
      <c r="G5347">
        <v>1405</v>
      </c>
    </row>
    <row r="5348" spans="1:8" x14ac:dyDescent="0.45">
      <c r="A5348" t="s">
        <v>62</v>
      </c>
      <c r="B5348" t="s">
        <v>21</v>
      </c>
      <c r="C5348">
        <v>5</v>
      </c>
      <c r="D5348" t="s">
        <v>27</v>
      </c>
      <c r="F5348">
        <v>1498</v>
      </c>
    </row>
    <row r="5349" spans="1:8" x14ac:dyDescent="0.45">
      <c r="A5349" t="s">
        <v>62</v>
      </c>
      <c r="B5349" t="s">
        <v>21</v>
      </c>
      <c r="C5349">
        <v>5</v>
      </c>
      <c r="D5349" t="s">
        <v>28</v>
      </c>
      <c r="F5349">
        <v>873</v>
      </c>
    </row>
    <row r="5350" spans="1:8" x14ac:dyDescent="0.45">
      <c r="A5350" t="s">
        <v>62</v>
      </c>
      <c r="B5350" t="s">
        <v>21</v>
      </c>
      <c r="C5350">
        <v>5</v>
      </c>
      <c r="D5350" t="s">
        <v>29</v>
      </c>
      <c r="F5350">
        <v>787</v>
      </c>
    </row>
    <row r="5351" spans="1:8" x14ac:dyDescent="0.45">
      <c r="A5351" t="s">
        <v>62</v>
      </c>
      <c r="B5351" t="s">
        <v>20</v>
      </c>
      <c r="C5351">
        <v>5</v>
      </c>
      <c r="D5351" t="s">
        <v>19</v>
      </c>
      <c r="E5351">
        <v>3650198</v>
      </c>
      <c r="F5351">
        <v>5237</v>
      </c>
      <c r="G5351">
        <v>1373</v>
      </c>
    </row>
    <row r="5352" spans="1:8" x14ac:dyDescent="0.45">
      <c r="A5352" t="s">
        <v>62</v>
      </c>
      <c r="B5352" t="s">
        <v>20</v>
      </c>
      <c r="C5352">
        <v>5</v>
      </c>
      <c r="D5352" t="s">
        <v>27</v>
      </c>
      <c r="F5352">
        <v>1311</v>
      </c>
    </row>
    <row r="5353" spans="1:8" x14ac:dyDescent="0.45">
      <c r="A5353" t="s">
        <v>62</v>
      </c>
      <c r="B5353" t="s">
        <v>20</v>
      </c>
      <c r="C5353">
        <v>5</v>
      </c>
      <c r="D5353" t="s">
        <v>28</v>
      </c>
      <c r="F5353">
        <v>803</v>
      </c>
    </row>
    <row r="5354" spans="1:8" x14ac:dyDescent="0.45">
      <c r="A5354" t="s">
        <v>62</v>
      </c>
      <c r="B5354" t="s">
        <v>20</v>
      </c>
      <c r="C5354">
        <v>5</v>
      </c>
      <c r="D5354" t="s">
        <v>29</v>
      </c>
      <c r="F5354">
        <v>743</v>
      </c>
    </row>
    <row r="5355" spans="1:8" x14ac:dyDescent="0.45">
      <c r="A5355" t="s">
        <v>62</v>
      </c>
      <c r="B5355" t="s">
        <v>20</v>
      </c>
      <c r="C5355">
        <v>5</v>
      </c>
      <c r="D5355" t="s">
        <v>31</v>
      </c>
      <c r="H5355">
        <v>205</v>
      </c>
    </row>
    <row r="5356" spans="1:8" x14ac:dyDescent="0.45">
      <c r="A5356" t="s">
        <v>62</v>
      </c>
      <c r="B5356" t="s">
        <v>20</v>
      </c>
      <c r="C5356">
        <v>5</v>
      </c>
      <c r="D5356" t="s">
        <v>32</v>
      </c>
      <c r="H5356">
        <v>18</v>
      </c>
    </row>
    <row r="5357" spans="1:8" x14ac:dyDescent="0.45">
      <c r="A5357" t="s">
        <v>62</v>
      </c>
      <c r="B5357" t="s">
        <v>20</v>
      </c>
      <c r="C5357">
        <v>5</v>
      </c>
      <c r="D5357" t="s">
        <v>34</v>
      </c>
      <c r="H5357">
        <v>9</v>
      </c>
    </row>
    <row r="5358" spans="1:8" x14ac:dyDescent="0.45">
      <c r="A5358" t="s">
        <v>62</v>
      </c>
      <c r="B5358" t="s">
        <v>21</v>
      </c>
      <c r="C5358">
        <v>6</v>
      </c>
      <c r="D5358" t="s">
        <v>19</v>
      </c>
      <c r="E5358">
        <v>3471853</v>
      </c>
      <c r="F5358">
        <v>5757</v>
      </c>
      <c r="G5358">
        <v>1472</v>
      </c>
      <c r="H5358">
        <v>4</v>
      </c>
    </row>
    <row r="5359" spans="1:8" x14ac:dyDescent="0.45">
      <c r="A5359" t="s">
        <v>62</v>
      </c>
      <c r="B5359" t="s">
        <v>21</v>
      </c>
      <c r="C5359">
        <v>6</v>
      </c>
      <c r="D5359" t="s">
        <v>27</v>
      </c>
      <c r="F5359">
        <v>1763</v>
      </c>
    </row>
    <row r="5360" spans="1:8" x14ac:dyDescent="0.45">
      <c r="A5360" t="s">
        <v>62</v>
      </c>
      <c r="B5360" t="s">
        <v>21</v>
      </c>
      <c r="C5360">
        <v>6</v>
      </c>
      <c r="D5360" t="s">
        <v>28</v>
      </c>
      <c r="F5360">
        <v>1041</v>
      </c>
    </row>
    <row r="5361" spans="1:8" x14ac:dyDescent="0.45">
      <c r="A5361" t="s">
        <v>62</v>
      </c>
      <c r="B5361" t="s">
        <v>21</v>
      </c>
      <c r="C5361">
        <v>6</v>
      </c>
      <c r="D5361" t="s">
        <v>29</v>
      </c>
      <c r="F5361">
        <v>823</v>
      </c>
    </row>
    <row r="5362" spans="1:8" x14ac:dyDescent="0.45">
      <c r="A5362" t="s">
        <v>62</v>
      </c>
      <c r="B5362" t="s">
        <v>20</v>
      </c>
      <c r="C5362">
        <v>6</v>
      </c>
      <c r="D5362" t="s">
        <v>19</v>
      </c>
      <c r="E5362">
        <v>3204413</v>
      </c>
      <c r="F5362">
        <v>5100</v>
      </c>
      <c r="G5362">
        <v>1286</v>
      </c>
    </row>
    <row r="5363" spans="1:8" x14ac:dyDescent="0.45">
      <c r="A5363" t="s">
        <v>62</v>
      </c>
      <c r="B5363" t="s">
        <v>20</v>
      </c>
      <c r="C5363">
        <v>6</v>
      </c>
      <c r="D5363" t="s">
        <v>27</v>
      </c>
      <c r="F5363">
        <v>1645</v>
      </c>
    </row>
    <row r="5364" spans="1:8" x14ac:dyDescent="0.45">
      <c r="A5364" t="s">
        <v>62</v>
      </c>
      <c r="B5364" t="s">
        <v>20</v>
      </c>
      <c r="C5364">
        <v>6</v>
      </c>
      <c r="D5364" t="s">
        <v>28</v>
      </c>
      <c r="F5364">
        <v>938</v>
      </c>
    </row>
    <row r="5365" spans="1:8" x14ac:dyDescent="0.45">
      <c r="A5365" t="s">
        <v>62</v>
      </c>
      <c r="B5365" t="s">
        <v>20</v>
      </c>
      <c r="C5365">
        <v>6</v>
      </c>
      <c r="D5365" t="s">
        <v>29</v>
      </c>
      <c r="F5365">
        <v>738</v>
      </c>
    </row>
    <row r="5366" spans="1:8" x14ac:dyDescent="0.45">
      <c r="A5366" t="s">
        <v>62</v>
      </c>
      <c r="B5366" t="s">
        <v>20</v>
      </c>
      <c r="C5366">
        <v>6</v>
      </c>
      <c r="D5366" t="s">
        <v>31</v>
      </c>
      <c r="H5366">
        <v>62</v>
      </c>
    </row>
    <row r="5367" spans="1:8" x14ac:dyDescent="0.45">
      <c r="A5367" t="s">
        <v>62</v>
      </c>
      <c r="B5367" t="s">
        <v>20</v>
      </c>
      <c r="C5367">
        <v>6</v>
      </c>
      <c r="D5367" t="s">
        <v>32</v>
      </c>
      <c r="H5367">
        <v>20</v>
      </c>
    </row>
    <row r="5368" spans="1:8" x14ac:dyDescent="0.45">
      <c r="A5368" t="s">
        <v>62</v>
      </c>
      <c r="B5368" t="s">
        <v>20</v>
      </c>
      <c r="C5368">
        <v>6</v>
      </c>
      <c r="D5368" t="s">
        <v>34</v>
      </c>
      <c r="H5368">
        <v>9</v>
      </c>
    </row>
    <row r="5369" spans="1:8" x14ac:dyDescent="0.45">
      <c r="A5369" t="s">
        <v>62</v>
      </c>
      <c r="B5369" t="s">
        <v>21</v>
      </c>
      <c r="C5369">
        <v>7</v>
      </c>
      <c r="D5369" t="s">
        <v>19</v>
      </c>
      <c r="E5369">
        <v>2491388</v>
      </c>
      <c r="F5369">
        <v>4416</v>
      </c>
    </row>
    <row r="5370" spans="1:8" x14ac:dyDescent="0.45">
      <c r="A5370" t="s">
        <v>62</v>
      </c>
      <c r="B5370" t="s">
        <v>21</v>
      </c>
      <c r="C5370">
        <v>7</v>
      </c>
      <c r="D5370" t="s">
        <v>27</v>
      </c>
      <c r="F5370">
        <v>1691</v>
      </c>
    </row>
    <row r="5371" spans="1:8" x14ac:dyDescent="0.45">
      <c r="A5371" t="s">
        <v>62</v>
      </c>
      <c r="B5371" t="s">
        <v>21</v>
      </c>
      <c r="C5371">
        <v>7</v>
      </c>
      <c r="D5371" t="s">
        <v>28</v>
      </c>
      <c r="F5371">
        <v>870</v>
      </c>
    </row>
    <row r="5372" spans="1:8" x14ac:dyDescent="0.45">
      <c r="A5372" t="s">
        <v>62</v>
      </c>
      <c r="B5372" t="s">
        <v>21</v>
      </c>
      <c r="C5372">
        <v>7</v>
      </c>
      <c r="D5372" t="s">
        <v>29</v>
      </c>
      <c r="F5372">
        <v>505</v>
      </c>
    </row>
    <row r="5373" spans="1:8" x14ac:dyDescent="0.45">
      <c r="A5373" t="s">
        <v>62</v>
      </c>
      <c r="B5373" t="s">
        <v>20</v>
      </c>
      <c r="C5373">
        <v>7</v>
      </c>
      <c r="D5373" t="s">
        <v>19</v>
      </c>
      <c r="E5373">
        <v>2084667</v>
      </c>
      <c r="F5373">
        <v>3684</v>
      </c>
    </row>
    <row r="5374" spans="1:8" x14ac:dyDescent="0.45">
      <c r="A5374" t="s">
        <v>62</v>
      </c>
      <c r="B5374" t="s">
        <v>20</v>
      </c>
      <c r="C5374">
        <v>7</v>
      </c>
      <c r="D5374" t="s">
        <v>27</v>
      </c>
      <c r="F5374">
        <v>1319</v>
      </c>
    </row>
    <row r="5375" spans="1:8" x14ac:dyDescent="0.45">
      <c r="A5375" t="s">
        <v>62</v>
      </c>
      <c r="B5375" t="s">
        <v>20</v>
      </c>
      <c r="C5375">
        <v>7</v>
      </c>
      <c r="D5375" t="s">
        <v>28</v>
      </c>
      <c r="F5375">
        <v>763</v>
      </c>
    </row>
    <row r="5376" spans="1:8" x14ac:dyDescent="0.45">
      <c r="A5376" t="s">
        <v>62</v>
      </c>
      <c r="B5376" t="s">
        <v>20</v>
      </c>
      <c r="C5376">
        <v>7</v>
      </c>
      <c r="D5376" t="s">
        <v>29</v>
      </c>
      <c r="F5376">
        <v>539</v>
      </c>
    </row>
    <row r="5377" spans="1:8" x14ac:dyDescent="0.45">
      <c r="A5377" t="s">
        <v>62</v>
      </c>
      <c r="B5377" t="s">
        <v>20</v>
      </c>
      <c r="C5377">
        <v>7</v>
      </c>
      <c r="D5377" t="s">
        <v>31</v>
      </c>
      <c r="H5377">
        <v>335</v>
      </c>
    </row>
    <row r="5378" spans="1:8" x14ac:dyDescent="0.45">
      <c r="A5378" t="s">
        <v>62</v>
      </c>
      <c r="B5378" t="s">
        <v>20</v>
      </c>
      <c r="C5378">
        <v>7</v>
      </c>
      <c r="D5378" t="s">
        <v>32</v>
      </c>
      <c r="H5378">
        <v>14</v>
      </c>
    </row>
    <row r="5379" spans="1:8" x14ac:dyDescent="0.45">
      <c r="A5379" t="s">
        <v>62</v>
      </c>
      <c r="B5379" t="s">
        <v>20</v>
      </c>
      <c r="C5379">
        <v>7</v>
      </c>
      <c r="D5379" t="s">
        <v>34</v>
      </c>
      <c r="H5379">
        <v>8</v>
      </c>
    </row>
    <row r="5380" spans="1:8" x14ac:dyDescent="0.45">
      <c r="A5380" t="s">
        <v>62</v>
      </c>
      <c r="B5380" t="s">
        <v>21</v>
      </c>
      <c r="C5380">
        <v>8</v>
      </c>
      <c r="D5380" t="s">
        <v>19</v>
      </c>
      <c r="E5380">
        <v>1309699</v>
      </c>
      <c r="F5380">
        <v>2511</v>
      </c>
      <c r="G5380">
        <v>782</v>
      </c>
    </row>
    <row r="5381" spans="1:8" x14ac:dyDescent="0.45">
      <c r="A5381" t="s">
        <v>62</v>
      </c>
      <c r="B5381" t="s">
        <v>21</v>
      </c>
      <c r="C5381">
        <v>8</v>
      </c>
      <c r="D5381" t="s">
        <v>27</v>
      </c>
      <c r="F5381">
        <v>1009</v>
      </c>
      <c r="G5381">
        <v>1214</v>
      </c>
    </row>
    <row r="5382" spans="1:8" x14ac:dyDescent="0.45">
      <c r="A5382" t="s">
        <v>62</v>
      </c>
      <c r="B5382" t="s">
        <v>21</v>
      </c>
      <c r="C5382">
        <v>8</v>
      </c>
      <c r="D5382" t="s">
        <v>28</v>
      </c>
      <c r="F5382">
        <v>556</v>
      </c>
      <c r="G5382">
        <v>1191</v>
      </c>
    </row>
    <row r="5383" spans="1:8" x14ac:dyDescent="0.45">
      <c r="A5383" t="s">
        <v>62</v>
      </c>
      <c r="B5383" t="s">
        <v>21</v>
      </c>
      <c r="C5383">
        <v>8</v>
      </c>
      <c r="D5383" t="s">
        <v>29</v>
      </c>
      <c r="F5383">
        <v>259</v>
      </c>
      <c r="G5383">
        <v>1022</v>
      </c>
    </row>
    <row r="5384" spans="1:8" x14ac:dyDescent="0.45">
      <c r="A5384" t="s">
        <v>62</v>
      </c>
      <c r="B5384" t="s">
        <v>20</v>
      </c>
      <c r="C5384">
        <v>8</v>
      </c>
      <c r="D5384" t="s">
        <v>19</v>
      </c>
      <c r="E5384">
        <v>1848603</v>
      </c>
      <c r="F5384">
        <v>3104</v>
      </c>
      <c r="G5384">
        <v>1213</v>
      </c>
    </row>
    <row r="5385" spans="1:8" x14ac:dyDescent="0.45">
      <c r="A5385" t="s">
        <v>62</v>
      </c>
      <c r="B5385" t="s">
        <v>20</v>
      </c>
      <c r="C5385">
        <v>8</v>
      </c>
      <c r="D5385" t="s">
        <v>27</v>
      </c>
      <c r="F5385">
        <v>1096</v>
      </c>
      <c r="G5385">
        <v>706</v>
      </c>
    </row>
    <row r="5386" spans="1:8" x14ac:dyDescent="0.45">
      <c r="A5386" t="s">
        <v>62</v>
      </c>
      <c r="B5386" t="s">
        <v>20</v>
      </c>
      <c r="C5386">
        <v>8</v>
      </c>
      <c r="D5386" t="s">
        <v>28</v>
      </c>
      <c r="F5386">
        <v>724</v>
      </c>
      <c r="G5386">
        <v>976</v>
      </c>
    </row>
    <row r="5387" spans="1:8" x14ac:dyDescent="0.45">
      <c r="A5387" t="s">
        <v>62</v>
      </c>
      <c r="B5387" t="s">
        <v>20</v>
      </c>
      <c r="C5387">
        <v>8</v>
      </c>
      <c r="D5387" t="s">
        <v>29</v>
      </c>
      <c r="F5387">
        <v>368</v>
      </c>
      <c r="G5387">
        <v>1083</v>
      </c>
    </row>
    <row r="5388" spans="1:8" x14ac:dyDescent="0.45">
      <c r="A5388" t="s">
        <v>62</v>
      </c>
      <c r="B5388" t="s">
        <v>20</v>
      </c>
      <c r="C5388">
        <v>8</v>
      </c>
      <c r="D5388" t="s">
        <v>31</v>
      </c>
      <c r="H5388">
        <v>59</v>
      </c>
    </row>
    <row r="5389" spans="1:8" x14ac:dyDescent="0.45">
      <c r="A5389" t="s">
        <v>62</v>
      </c>
      <c r="B5389" t="s">
        <v>20</v>
      </c>
      <c r="C5389">
        <v>8</v>
      </c>
      <c r="D5389" t="s">
        <v>32</v>
      </c>
      <c r="H5389">
        <v>20</v>
      </c>
    </row>
    <row r="5390" spans="1:8" x14ac:dyDescent="0.45">
      <c r="A5390" t="s">
        <v>62</v>
      </c>
      <c r="B5390" t="s">
        <v>20</v>
      </c>
      <c r="C5390">
        <v>8</v>
      </c>
      <c r="D5390" t="s">
        <v>34</v>
      </c>
      <c r="H5390">
        <v>4</v>
      </c>
    </row>
    <row r="5391" spans="1:8" x14ac:dyDescent="0.45">
      <c r="A5391" t="s">
        <v>62</v>
      </c>
      <c r="B5391" t="s">
        <v>21</v>
      </c>
      <c r="C5391">
        <v>9</v>
      </c>
      <c r="D5391" t="s">
        <v>19</v>
      </c>
      <c r="E5391">
        <v>1305105</v>
      </c>
      <c r="F5391">
        <v>2737</v>
      </c>
      <c r="G5391">
        <v>806</v>
      </c>
    </row>
    <row r="5392" spans="1:8" x14ac:dyDescent="0.45">
      <c r="A5392" t="s">
        <v>62</v>
      </c>
      <c r="B5392" t="s">
        <v>21</v>
      </c>
      <c r="C5392">
        <v>9</v>
      </c>
      <c r="D5392" t="s">
        <v>27</v>
      </c>
      <c r="F5392">
        <v>1180</v>
      </c>
    </row>
    <row r="5393" spans="1:8" x14ac:dyDescent="0.45">
      <c r="A5393" t="s">
        <v>62</v>
      </c>
      <c r="B5393" t="s">
        <v>21</v>
      </c>
      <c r="C5393">
        <v>9</v>
      </c>
      <c r="D5393" t="s">
        <v>28</v>
      </c>
      <c r="F5393">
        <v>573</v>
      </c>
    </row>
    <row r="5394" spans="1:8" x14ac:dyDescent="0.45">
      <c r="A5394" t="s">
        <v>62</v>
      </c>
      <c r="B5394" t="s">
        <v>21</v>
      </c>
      <c r="C5394">
        <v>9</v>
      </c>
      <c r="D5394" t="s">
        <v>29</v>
      </c>
      <c r="F5394">
        <v>355</v>
      </c>
    </row>
    <row r="5395" spans="1:8" x14ac:dyDescent="0.45">
      <c r="A5395" t="s">
        <v>62</v>
      </c>
      <c r="B5395" t="s">
        <v>20</v>
      </c>
      <c r="C5395">
        <v>9</v>
      </c>
      <c r="D5395" t="s">
        <v>19</v>
      </c>
      <c r="E5395">
        <v>1661747</v>
      </c>
      <c r="F5395">
        <v>3389</v>
      </c>
      <c r="G5395">
        <v>974</v>
      </c>
    </row>
    <row r="5396" spans="1:8" x14ac:dyDescent="0.45">
      <c r="A5396" t="s">
        <v>62</v>
      </c>
      <c r="B5396" t="s">
        <v>20</v>
      </c>
      <c r="C5396">
        <v>9</v>
      </c>
      <c r="D5396" t="s">
        <v>27</v>
      </c>
      <c r="F5396">
        <v>1450</v>
      </c>
    </row>
    <row r="5397" spans="1:8" x14ac:dyDescent="0.45">
      <c r="A5397" t="s">
        <v>62</v>
      </c>
      <c r="B5397" t="s">
        <v>20</v>
      </c>
      <c r="C5397">
        <v>9</v>
      </c>
      <c r="D5397" t="s">
        <v>28</v>
      </c>
      <c r="F5397">
        <v>700</v>
      </c>
    </row>
    <row r="5398" spans="1:8" x14ac:dyDescent="0.45">
      <c r="A5398" t="s">
        <v>62</v>
      </c>
      <c r="B5398" t="s">
        <v>20</v>
      </c>
      <c r="C5398">
        <v>9</v>
      </c>
      <c r="D5398" t="s">
        <v>29</v>
      </c>
      <c r="F5398">
        <v>411</v>
      </c>
    </row>
    <row r="5399" spans="1:8" x14ac:dyDescent="0.45">
      <c r="A5399" t="s">
        <v>62</v>
      </c>
      <c r="B5399" t="s">
        <v>20</v>
      </c>
      <c r="C5399">
        <v>9</v>
      </c>
      <c r="D5399" t="s">
        <v>31</v>
      </c>
      <c r="H5399">
        <v>276</v>
      </c>
    </row>
    <row r="5400" spans="1:8" x14ac:dyDescent="0.45">
      <c r="A5400" t="s">
        <v>62</v>
      </c>
      <c r="B5400" t="s">
        <v>20</v>
      </c>
      <c r="C5400">
        <v>9</v>
      </c>
      <c r="D5400" t="s">
        <v>32</v>
      </c>
      <c r="H5400">
        <v>17</v>
      </c>
    </row>
    <row r="5401" spans="1:8" x14ac:dyDescent="0.45">
      <c r="A5401" t="s">
        <v>62</v>
      </c>
      <c r="B5401" t="s">
        <v>20</v>
      </c>
      <c r="C5401">
        <v>9</v>
      </c>
      <c r="D5401" t="s">
        <v>34</v>
      </c>
      <c r="H5401">
        <v>2</v>
      </c>
    </row>
    <row r="5402" spans="1:8" x14ac:dyDescent="0.45">
      <c r="A5402" t="s">
        <v>62</v>
      </c>
      <c r="B5402" t="s">
        <v>21</v>
      </c>
      <c r="C5402">
        <v>10</v>
      </c>
      <c r="D5402" t="s">
        <v>19</v>
      </c>
      <c r="E5402">
        <v>2277154</v>
      </c>
      <c r="F5402">
        <v>4565</v>
      </c>
    </row>
    <row r="5403" spans="1:8" x14ac:dyDescent="0.45">
      <c r="A5403" t="s">
        <v>62</v>
      </c>
      <c r="B5403" t="s">
        <v>21</v>
      </c>
      <c r="C5403">
        <v>10</v>
      </c>
      <c r="D5403" t="s">
        <v>27</v>
      </c>
      <c r="F5403">
        <v>1668</v>
      </c>
    </row>
    <row r="5404" spans="1:8" x14ac:dyDescent="0.45">
      <c r="A5404" t="s">
        <v>62</v>
      </c>
      <c r="B5404" t="s">
        <v>21</v>
      </c>
      <c r="C5404">
        <v>10</v>
      </c>
      <c r="D5404" t="s">
        <v>28</v>
      </c>
      <c r="F5404">
        <v>871</v>
      </c>
    </row>
    <row r="5405" spans="1:8" x14ac:dyDescent="0.45">
      <c r="A5405" t="s">
        <v>62</v>
      </c>
      <c r="B5405" t="s">
        <v>21</v>
      </c>
      <c r="C5405">
        <v>10</v>
      </c>
      <c r="D5405" t="s">
        <v>29</v>
      </c>
      <c r="F5405">
        <v>629</v>
      </c>
    </row>
    <row r="5406" spans="1:8" x14ac:dyDescent="0.45">
      <c r="A5406" t="s">
        <v>62</v>
      </c>
      <c r="B5406" t="s">
        <v>20</v>
      </c>
      <c r="C5406">
        <v>10</v>
      </c>
      <c r="D5406" t="s">
        <v>19</v>
      </c>
      <c r="E5406">
        <v>2661420</v>
      </c>
      <c r="F5406">
        <v>4782</v>
      </c>
    </row>
    <row r="5407" spans="1:8" x14ac:dyDescent="0.45">
      <c r="A5407" t="s">
        <v>62</v>
      </c>
      <c r="B5407" t="s">
        <v>20</v>
      </c>
      <c r="C5407">
        <v>10</v>
      </c>
      <c r="D5407" t="s">
        <v>27</v>
      </c>
      <c r="F5407">
        <v>1719</v>
      </c>
    </row>
    <row r="5408" spans="1:8" x14ac:dyDescent="0.45">
      <c r="A5408" t="s">
        <v>62</v>
      </c>
      <c r="B5408" t="s">
        <v>20</v>
      </c>
      <c r="C5408">
        <v>10</v>
      </c>
      <c r="D5408" t="s">
        <v>28</v>
      </c>
      <c r="F5408">
        <v>956</v>
      </c>
    </row>
    <row r="5409" spans="1:8" x14ac:dyDescent="0.45">
      <c r="A5409" t="s">
        <v>62</v>
      </c>
      <c r="B5409" t="s">
        <v>20</v>
      </c>
      <c r="C5409">
        <v>10</v>
      </c>
      <c r="D5409" t="s">
        <v>29</v>
      </c>
      <c r="F5409">
        <v>649</v>
      </c>
    </row>
    <row r="5410" spans="1:8" x14ac:dyDescent="0.45">
      <c r="A5410" t="s">
        <v>62</v>
      </c>
      <c r="B5410" t="s">
        <v>20</v>
      </c>
      <c r="C5410">
        <v>10</v>
      </c>
      <c r="D5410" t="s">
        <v>31</v>
      </c>
      <c r="H5410">
        <v>270</v>
      </c>
    </row>
    <row r="5411" spans="1:8" x14ac:dyDescent="0.45">
      <c r="A5411" t="s">
        <v>62</v>
      </c>
      <c r="B5411" t="s">
        <v>20</v>
      </c>
      <c r="C5411">
        <v>10</v>
      </c>
      <c r="D5411" t="s">
        <v>32</v>
      </c>
      <c r="H5411">
        <v>27</v>
      </c>
    </row>
    <row r="5412" spans="1:8" x14ac:dyDescent="0.45">
      <c r="A5412" t="s">
        <v>62</v>
      </c>
      <c r="B5412" t="s">
        <v>20</v>
      </c>
      <c r="C5412">
        <v>10</v>
      </c>
      <c r="D5412" t="s">
        <v>34</v>
      </c>
      <c r="H5412">
        <v>9</v>
      </c>
    </row>
    <row r="5413" spans="1:8" x14ac:dyDescent="0.45">
      <c r="A5413" t="s">
        <v>62</v>
      </c>
      <c r="B5413" t="s">
        <v>21</v>
      </c>
      <c r="C5413">
        <v>11</v>
      </c>
      <c r="D5413" t="s">
        <v>19</v>
      </c>
      <c r="E5413">
        <v>1876258</v>
      </c>
      <c r="F5413">
        <v>3541</v>
      </c>
    </row>
    <row r="5414" spans="1:8" x14ac:dyDescent="0.45">
      <c r="A5414" t="s">
        <v>62</v>
      </c>
      <c r="B5414" t="s">
        <v>21</v>
      </c>
      <c r="C5414">
        <v>11</v>
      </c>
      <c r="D5414" t="s">
        <v>27</v>
      </c>
      <c r="F5414">
        <v>1483</v>
      </c>
    </row>
    <row r="5415" spans="1:8" x14ac:dyDescent="0.45">
      <c r="A5415" t="s">
        <v>62</v>
      </c>
      <c r="B5415" t="s">
        <v>21</v>
      </c>
      <c r="C5415">
        <v>11</v>
      </c>
      <c r="D5415" t="s">
        <v>28</v>
      </c>
      <c r="F5415">
        <v>673</v>
      </c>
    </row>
    <row r="5416" spans="1:8" x14ac:dyDescent="0.45">
      <c r="A5416" t="s">
        <v>62</v>
      </c>
      <c r="B5416" t="s">
        <v>21</v>
      </c>
      <c r="C5416">
        <v>11</v>
      </c>
      <c r="D5416" t="s">
        <v>29</v>
      </c>
      <c r="F5416">
        <v>519</v>
      </c>
    </row>
    <row r="5417" spans="1:8" x14ac:dyDescent="0.45">
      <c r="A5417" t="s">
        <v>62</v>
      </c>
      <c r="B5417" t="s">
        <v>20</v>
      </c>
      <c r="C5417">
        <v>11</v>
      </c>
      <c r="D5417" t="s">
        <v>19</v>
      </c>
      <c r="E5417">
        <v>2327260</v>
      </c>
      <c r="F5417">
        <v>4563</v>
      </c>
      <c r="G5417">
        <v>400</v>
      </c>
    </row>
    <row r="5418" spans="1:8" x14ac:dyDescent="0.45">
      <c r="A5418" t="s">
        <v>62</v>
      </c>
      <c r="B5418" t="s">
        <v>20</v>
      </c>
      <c r="C5418">
        <v>11</v>
      </c>
      <c r="D5418" t="s">
        <v>27</v>
      </c>
      <c r="F5418">
        <v>1641</v>
      </c>
    </row>
    <row r="5419" spans="1:8" x14ac:dyDescent="0.45">
      <c r="A5419" t="s">
        <v>62</v>
      </c>
      <c r="B5419" t="s">
        <v>20</v>
      </c>
      <c r="C5419">
        <v>11</v>
      </c>
      <c r="D5419" t="s">
        <v>28</v>
      </c>
      <c r="F5419">
        <v>886</v>
      </c>
    </row>
    <row r="5420" spans="1:8" x14ac:dyDescent="0.45">
      <c r="A5420" t="s">
        <v>62</v>
      </c>
      <c r="B5420" t="s">
        <v>20</v>
      </c>
      <c r="C5420">
        <v>11</v>
      </c>
      <c r="D5420" t="s">
        <v>29</v>
      </c>
      <c r="F5420">
        <v>691</v>
      </c>
    </row>
    <row r="5421" spans="1:8" x14ac:dyDescent="0.45">
      <c r="A5421" t="s">
        <v>62</v>
      </c>
      <c r="B5421" t="s">
        <v>20</v>
      </c>
      <c r="C5421">
        <v>11</v>
      </c>
      <c r="D5421" t="s">
        <v>31</v>
      </c>
      <c r="H5421">
        <v>381</v>
      </c>
    </row>
    <row r="5422" spans="1:8" x14ac:dyDescent="0.45">
      <c r="A5422" t="s">
        <v>62</v>
      </c>
      <c r="B5422" t="s">
        <v>20</v>
      </c>
      <c r="C5422">
        <v>11</v>
      </c>
      <c r="D5422" t="s">
        <v>32</v>
      </c>
      <c r="H5422">
        <v>10</v>
      </c>
    </row>
    <row r="5423" spans="1:8" x14ac:dyDescent="0.45">
      <c r="A5423" t="s">
        <v>62</v>
      </c>
      <c r="B5423" t="s">
        <v>20</v>
      </c>
      <c r="C5423">
        <v>11</v>
      </c>
      <c r="D5423" t="s">
        <v>34</v>
      </c>
      <c r="H5423">
        <v>5</v>
      </c>
    </row>
    <row r="5424" spans="1:8" x14ac:dyDescent="0.45">
      <c r="A5424" t="s">
        <v>62</v>
      </c>
      <c r="B5424" t="s">
        <v>21</v>
      </c>
      <c r="C5424">
        <v>12</v>
      </c>
      <c r="D5424" t="s">
        <v>19</v>
      </c>
      <c r="E5424">
        <v>1978973</v>
      </c>
      <c r="F5424">
        <v>3986</v>
      </c>
      <c r="G5424">
        <v>333</v>
      </c>
    </row>
    <row r="5425" spans="1:8" x14ac:dyDescent="0.45">
      <c r="A5425" t="s">
        <v>62</v>
      </c>
      <c r="B5425" t="s">
        <v>21</v>
      </c>
      <c r="C5425">
        <v>12</v>
      </c>
      <c r="D5425" t="s">
        <v>27</v>
      </c>
      <c r="F5425">
        <v>1504</v>
      </c>
    </row>
    <row r="5426" spans="1:8" x14ac:dyDescent="0.45">
      <c r="A5426" t="s">
        <v>62</v>
      </c>
      <c r="B5426" t="s">
        <v>21</v>
      </c>
      <c r="C5426">
        <v>12</v>
      </c>
      <c r="D5426" t="s">
        <v>28</v>
      </c>
      <c r="F5426">
        <v>792</v>
      </c>
    </row>
    <row r="5427" spans="1:8" x14ac:dyDescent="0.45">
      <c r="A5427" t="s">
        <v>62</v>
      </c>
      <c r="B5427" t="s">
        <v>21</v>
      </c>
      <c r="C5427">
        <v>12</v>
      </c>
      <c r="D5427" t="s">
        <v>29</v>
      </c>
      <c r="F5427">
        <v>677</v>
      </c>
    </row>
    <row r="5428" spans="1:8" x14ac:dyDescent="0.45">
      <c r="A5428" t="s">
        <v>62</v>
      </c>
      <c r="B5428" t="s">
        <v>20</v>
      </c>
      <c r="C5428">
        <v>12</v>
      </c>
      <c r="D5428" t="s">
        <v>19</v>
      </c>
      <c r="E5428">
        <v>2431908</v>
      </c>
      <c r="F5428">
        <v>4724</v>
      </c>
    </row>
    <row r="5429" spans="1:8" x14ac:dyDescent="0.45">
      <c r="A5429" t="s">
        <v>62</v>
      </c>
      <c r="B5429" t="s">
        <v>20</v>
      </c>
      <c r="C5429">
        <v>12</v>
      </c>
      <c r="D5429" t="s">
        <v>27</v>
      </c>
      <c r="F5429">
        <v>1644</v>
      </c>
    </row>
    <row r="5430" spans="1:8" x14ac:dyDescent="0.45">
      <c r="A5430" t="s">
        <v>62</v>
      </c>
      <c r="B5430" t="s">
        <v>20</v>
      </c>
      <c r="C5430">
        <v>12</v>
      </c>
      <c r="D5430" t="s">
        <v>28</v>
      </c>
      <c r="F5430">
        <v>950</v>
      </c>
    </row>
    <row r="5431" spans="1:8" x14ac:dyDescent="0.45">
      <c r="A5431" t="s">
        <v>62</v>
      </c>
      <c r="B5431" t="s">
        <v>20</v>
      </c>
      <c r="C5431">
        <v>12</v>
      </c>
      <c r="D5431" t="s">
        <v>29</v>
      </c>
      <c r="F5431">
        <v>738</v>
      </c>
    </row>
    <row r="5432" spans="1:8" x14ac:dyDescent="0.45">
      <c r="A5432" t="s">
        <v>62</v>
      </c>
      <c r="B5432" t="s">
        <v>20</v>
      </c>
      <c r="C5432">
        <v>12</v>
      </c>
      <c r="D5432" t="s">
        <v>31</v>
      </c>
      <c r="H5432">
        <v>154</v>
      </c>
    </row>
    <row r="5433" spans="1:8" x14ac:dyDescent="0.45">
      <c r="A5433" t="s">
        <v>62</v>
      </c>
      <c r="B5433" t="s">
        <v>20</v>
      </c>
      <c r="C5433">
        <v>12</v>
      </c>
      <c r="D5433" t="s">
        <v>32</v>
      </c>
      <c r="H5433">
        <v>29</v>
      </c>
    </row>
    <row r="5434" spans="1:8" x14ac:dyDescent="0.45">
      <c r="A5434" t="s">
        <v>62</v>
      </c>
      <c r="B5434" t="s">
        <v>20</v>
      </c>
      <c r="C5434">
        <v>12</v>
      </c>
      <c r="D5434" t="s">
        <v>34</v>
      </c>
      <c r="H5434">
        <v>10</v>
      </c>
    </row>
    <row r="5435" spans="1:8" x14ac:dyDescent="0.45">
      <c r="A5435" t="s">
        <v>51</v>
      </c>
      <c r="B5435" t="s">
        <v>21</v>
      </c>
      <c r="C5435">
        <v>1</v>
      </c>
      <c r="D5435" t="s">
        <v>19</v>
      </c>
      <c r="E5435">
        <v>1180056</v>
      </c>
      <c r="F5435">
        <v>2738</v>
      </c>
      <c r="G5435">
        <v>751</v>
      </c>
    </row>
    <row r="5436" spans="1:8" x14ac:dyDescent="0.45">
      <c r="A5436" t="s">
        <v>51</v>
      </c>
      <c r="B5436" t="s">
        <v>21</v>
      </c>
      <c r="C5436">
        <v>1</v>
      </c>
      <c r="D5436" t="s">
        <v>27</v>
      </c>
      <c r="F5436">
        <v>1235</v>
      </c>
    </row>
    <row r="5437" spans="1:8" x14ac:dyDescent="0.45">
      <c r="A5437" t="s">
        <v>51</v>
      </c>
      <c r="B5437" t="s">
        <v>21</v>
      </c>
      <c r="C5437">
        <v>1</v>
      </c>
      <c r="D5437" t="s">
        <v>28</v>
      </c>
      <c r="F5437">
        <v>500</v>
      </c>
    </row>
    <row r="5438" spans="1:8" x14ac:dyDescent="0.45">
      <c r="A5438" t="s">
        <v>51</v>
      </c>
      <c r="B5438" t="s">
        <v>21</v>
      </c>
      <c r="C5438">
        <v>1</v>
      </c>
      <c r="D5438" t="s">
        <v>29</v>
      </c>
      <c r="F5438">
        <v>371</v>
      </c>
    </row>
    <row r="5439" spans="1:8" x14ac:dyDescent="0.45">
      <c r="A5439" t="s">
        <v>51</v>
      </c>
      <c r="B5439" t="s">
        <v>20</v>
      </c>
      <c r="C5439">
        <v>1</v>
      </c>
      <c r="D5439" t="s">
        <v>19</v>
      </c>
      <c r="E5439">
        <v>1318000</v>
      </c>
      <c r="F5439">
        <v>2794</v>
      </c>
      <c r="G5439">
        <v>756</v>
      </c>
    </row>
    <row r="5440" spans="1:8" x14ac:dyDescent="0.45">
      <c r="A5440" t="s">
        <v>51</v>
      </c>
      <c r="B5440" t="s">
        <v>20</v>
      </c>
      <c r="C5440">
        <v>1</v>
      </c>
      <c r="D5440" t="s">
        <v>27</v>
      </c>
      <c r="F5440">
        <v>1089</v>
      </c>
    </row>
    <row r="5441" spans="1:8" x14ac:dyDescent="0.45">
      <c r="A5441" t="s">
        <v>51</v>
      </c>
      <c r="B5441" t="s">
        <v>20</v>
      </c>
      <c r="C5441">
        <v>1</v>
      </c>
      <c r="D5441" t="s">
        <v>28</v>
      </c>
      <c r="F5441">
        <v>525</v>
      </c>
    </row>
    <row r="5442" spans="1:8" x14ac:dyDescent="0.45">
      <c r="A5442" t="s">
        <v>51</v>
      </c>
      <c r="B5442" t="s">
        <v>20</v>
      </c>
      <c r="C5442">
        <v>1</v>
      </c>
      <c r="D5442" t="s">
        <v>29</v>
      </c>
      <c r="F5442">
        <v>404</v>
      </c>
    </row>
    <row r="5443" spans="1:8" x14ac:dyDescent="0.45">
      <c r="A5443" t="s">
        <v>51</v>
      </c>
      <c r="B5443" t="s">
        <v>20</v>
      </c>
      <c r="C5443">
        <v>1</v>
      </c>
      <c r="D5443" t="s">
        <v>31</v>
      </c>
      <c r="H5443">
        <v>111</v>
      </c>
    </row>
    <row r="5444" spans="1:8" x14ac:dyDescent="0.45">
      <c r="A5444" t="s">
        <v>51</v>
      </c>
      <c r="B5444" t="s">
        <v>20</v>
      </c>
      <c r="C5444">
        <v>1</v>
      </c>
      <c r="D5444" t="s">
        <v>32</v>
      </c>
      <c r="H5444">
        <v>9</v>
      </c>
    </row>
    <row r="5445" spans="1:8" x14ac:dyDescent="0.45">
      <c r="A5445" t="s">
        <v>51</v>
      </c>
      <c r="B5445" t="s">
        <v>20</v>
      </c>
      <c r="C5445">
        <v>1</v>
      </c>
      <c r="D5445" t="s">
        <v>34</v>
      </c>
    </row>
    <row r="5446" spans="1:8" x14ac:dyDescent="0.45">
      <c r="A5446" t="s">
        <v>51</v>
      </c>
      <c r="B5446" t="s">
        <v>21</v>
      </c>
      <c r="C5446">
        <v>2</v>
      </c>
      <c r="D5446" t="s">
        <v>19</v>
      </c>
      <c r="E5446">
        <v>1270878</v>
      </c>
      <c r="F5446">
        <v>2882</v>
      </c>
      <c r="G5446">
        <v>764</v>
      </c>
    </row>
    <row r="5447" spans="1:8" x14ac:dyDescent="0.45">
      <c r="A5447" t="s">
        <v>51</v>
      </c>
      <c r="B5447" t="s">
        <v>21</v>
      </c>
      <c r="C5447">
        <v>2</v>
      </c>
      <c r="D5447" t="s">
        <v>27</v>
      </c>
      <c r="F5447">
        <v>1467</v>
      </c>
    </row>
    <row r="5448" spans="1:8" x14ac:dyDescent="0.45">
      <c r="A5448" t="s">
        <v>51</v>
      </c>
      <c r="B5448" t="s">
        <v>21</v>
      </c>
      <c r="C5448">
        <v>2</v>
      </c>
      <c r="D5448" t="s">
        <v>28</v>
      </c>
      <c r="F5448">
        <v>477</v>
      </c>
    </row>
    <row r="5449" spans="1:8" x14ac:dyDescent="0.45">
      <c r="A5449" t="s">
        <v>51</v>
      </c>
      <c r="B5449" t="s">
        <v>21</v>
      </c>
      <c r="C5449">
        <v>2</v>
      </c>
      <c r="D5449" t="s">
        <v>29</v>
      </c>
      <c r="F5449">
        <v>338</v>
      </c>
    </row>
    <row r="5450" spans="1:8" x14ac:dyDescent="0.45">
      <c r="A5450" t="s">
        <v>51</v>
      </c>
      <c r="B5450" t="s">
        <v>20</v>
      </c>
      <c r="C5450">
        <v>2</v>
      </c>
      <c r="D5450" t="s">
        <v>19</v>
      </c>
      <c r="E5450">
        <v>1323897</v>
      </c>
      <c r="F5450">
        <v>2665</v>
      </c>
      <c r="G5450">
        <v>741</v>
      </c>
    </row>
    <row r="5451" spans="1:8" x14ac:dyDescent="0.45">
      <c r="A5451" t="s">
        <v>51</v>
      </c>
      <c r="B5451" t="s">
        <v>20</v>
      </c>
      <c r="C5451">
        <v>2</v>
      </c>
      <c r="D5451" t="s">
        <v>27</v>
      </c>
      <c r="F5451">
        <v>1220</v>
      </c>
    </row>
    <row r="5452" spans="1:8" x14ac:dyDescent="0.45">
      <c r="A5452" t="s">
        <v>51</v>
      </c>
      <c r="B5452" t="s">
        <v>20</v>
      </c>
      <c r="C5452">
        <v>2</v>
      </c>
      <c r="D5452" t="s">
        <v>28</v>
      </c>
      <c r="F5452">
        <v>487</v>
      </c>
    </row>
    <row r="5453" spans="1:8" x14ac:dyDescent="0.45">
      <c r="A5453" t="s">
        <v>51</v>
      </c>
      <c r="B5453" t="s">
        <v>20</v>
      </c>
      <c r="C5453">
        <v>2</v>
      </c>
      <c r="D5453" t="s">
        <v>29</v>
      </c>
      <c r="F5453">
        <v>346</v>
      </c>
    </row>
    <row r="5454" spans="1:8" x14ac:dyDescent="0.45">
      <c r="A5454" t="s">
        <v>51</v>
      </c>
      <c r="B5454" t="s">
        <v>20</v>
      </c>
      <c r="C5454">
        <v>2</v>
      </c>
      <c r="D5454" t="s">
        <v>31</v>
      </c>
      <c r="H5454">
        <v>108</v>
      </c>
    </row>
    <row r="5455" spans="1:8" x14ac:dyDescent="0.45">
      <c r="A5455" t="s">
        <v>51</v>
      </c>
      <c r="B5455" t="s">
        <v>20</v>
      </c>
      <c r="C5455">
        <v>2</v>
      </c>
      <c r="D5455" t="s">
        <v>32</v>
      </c>
      <c r="H5455">
        <v>10</v>
      </c>
    </row>
    <row r="5456" spans="1:8" x14ac:dyDescent="0.45">
      <c r="A5456" t="s">
        <v>51</v>
      </c>
      <c r="B5456" t="s">
        <v>20</v>
      </c>
      <c r="C5456">
        <v>2</v>
      </c>
      <c r="D5456" t="s">
        <v>34</v>
      </c>
      <c r="H5456">
        <v>6</v>
      </c>
    </row>
    <row r="5457" spans="1:8" x14ac:dyDescent="0.45">
      <c r="A5457" t="s">
        <v>51</v>
      </c>
      <c r="B5457" t="s">
        <v>21</v>
      </c>
      <c r="C5457">
        <v>3</v>
      </c>
      <c r="D5457" t="s">
        <v>19</v>
      </c>
      <c r="E5457">
        <v>3274435</v>
      </c>
      <c r="F5457">
        <v>5810</v>
      </c>
      <c r="G5457">
        <v>1464</v>
      </c>
    </row>
    <row r="5458" spans="1:8" x14ac:dyDescent="0.45">
      <c r="A5458" t="s">
        <v>51</v>
      </c>
      <c r="B5458" t="s">
        <v>21</v>
      </c>
      <c r="C5458">
        <v>3</v>
      </c>
      <c r="D5458" t="s">
        <v>27</v>
      </c>
      <c r="F5458">
        <v>1929</v>
      </c>
    </row>
    <row r="5459" spans="1:8" x14ac:dyDescent="0.45">
      <c r="A5459" t="s">
        <v>51</v>
      </c>
      <c r="B5459" t="s">
        <v>21</v>
      </c>
      <c r="C5459">
        <v>3</v>
      </c>
      <c r="D5459" t="s">
        <v>28</v>
      </c>
      <c r="F5459">
        <v>960</v>
      </c>
    </row>
    <row r="5460" spans="1:8" x14ac:dyDescent="0.45">
      <c r="A5460" t="s">
        <v>51</v>
      </c>
      <c r="B5460" t="s">
        <v>21</v>
      </c>
      <c r="C5460">
        <v>3</v>
      </c>
      <c r="D5460" t="s">
        <v>29</v>
      </c>
      <c r="F5460">
        <v>770</v>
      </c>
    </row>
    <row r="5461" spans="1:8" x14ac:dyDescent="0.45">
      <c r="A5461" t="s">
        <v>51</v>
      </c>
      <c r="B5461" t="s">
        <v>20</v>
      </c>
      <c r="C5461">
        <v>3</v>
      </c>
      <c r="D5461" t="s">
        <v>19</v>
      </c>
      <c r="E5461">
        <v>2552205</v>
      </c>
      <c r="F5461">
        <v>4558</v>
      </c>
    </row>
    <row r="5462" spans="1:8" x14ac:dyDescent="0.45">
      <c r="A5462" t="s">
        <v>51</v>
      </c>
      <c r="B5462" t="s">
        <v>20</v>
      </c>
      <c r="C5462">
        <v>3</v>
      </c>
      <c r="D5462" t="s">
        <v>27</v>
      </c>
      <c r="F5462">
        <v>1436</v>
      </c>
    </row>
    <row r="5463" spans="1:8" x14ac:dyDescent="0.45">
      <c r="A5463" t="s">
        <v>51</v>
      </c>
      <c r="B5463" t="s">
        <v>20</v>
      </c>
      <c r="C5463">
        <v>3</v>
      </c>
      <c r="D5463" t="s">
        <v>28</v>
      </c>
      <c r="F5463">
        <v>793</v>
      </c>
    </row>
    <row r="5464" spans="1:8" x14ac:dyDescent="0.45">
      <c r="A5464" t="s">
        <v>51</v>
      </c>
      <c r="B5464" t="s">
        <v>20</v>
      </c>
      <c r="C5464">
        <v>3</v>
      </c>
      <c r="D5464" t="s">
        <v>29</v>
      </c>
      <c r="F5464">
        <v>657</v>
      </c>
    </row>
    <row r="5465" spans="1:8" x14ac:dyDescent="0.45">
      <c r="A5465" t="s">
        <v>51</v>
      </c>
      <c r="B5465" t="s">
        <v>20</v>
      </c>
      <c r="C5465">
        <v>3</v>
      </c>
      <c r="D5465" t="s">
        <v>31</v>
      </c>
      <c r="H5465">
        <v>107</v>
      </c>
    </row>
    <row r="5466" spans="1:8" x14ac:dyDescent="0.45">
      <c r="A5466" t="s">
        <v>51</v>
      </c>
      <c r="B5466" t="s">
        <v>20</v>
      </c>
      <c r="C5466">
        <v>3</v>
      </c>
      <c r="D5466" t="s">
        <v>32</v>
      </c>
      <c r="H5466">
        <v>13</v>
      </c>
    </row>
    <row r="5467" spans="1:8" x14ac:dyDescent="0.45">
      <c r="A5467" t="s">
        <v>51</v>
      </c>
      <c r="B5467" t="s">
        <v>20</v>
      </c>
      <c r="C5467">
        <v>3</v>
      </c>
      <c r="D5467" t="s">
        <v>34</v>
      </c>
      <c r="H5467">
        <v>7</v>
      </c>
    </row>
    <row r="5468" spans="1:8" x14ac:dyDescent="0.45">
      <c r="A5468" t="s">
        <v>51</v>
      </c>
      <c r="B5468" t="s">
        <v>21</v>
      </c>
      <c r="C5468">
        <v>4</v>
      </c>
      <c r="D5468" t="s">
        <v>19</v>
      </c>
      <c r="E5468">
        <v>3708496</v>
      </c>
      <c r="F5468">
        <v>6278</v>
      </c>
      <c r="G5468">
        <v>1505</v>
      </c>
    </row>
    <row r="5469" spans="1:8" x14ac:dyDescent="0.45">
      <c r="A5469" t="s">
        <v>51</v>
      </c>
      <c r="B5469" t="s">
        <v>21</v>
      </c>
      <c r="C5469">
        <v>4</v>
      </c>
      <c r="D5469" t="s">
        <v>27</v>
      </c>
      <c r="F5469">
        <v>1882</v>
      </c>
    </row>
    <row r="5470" spans="1:8" x14ac:dyDescent="0.45">
      <c r="A5470" t="s">
        <v>51</v>
      </c>
      <c r="B5470" t="s">
        <v>21</v>
      </c>
      <c r="C5470">
        <v>4</v>
      </c>
      <c r="D5470" t="s">
        <v>28</v>
      </c>
      <c r="F5470">
        <v>1001</v>
      </c>
    </row>
    <row r="5471" spans="1:8" x14ac:dyDescent="0.45">
      <c r="A5471" t="s">
        <v>51</v>
      </c>
      <c r="B5471" t="s">
        <v>21</v>
      </c>
      <c r="C5471">
        <v>4</v>
      </c>
      <c r="D5471" t="s">
        <v>29</v>
      </c>
      <c r="F5471">
        <v>867</v>
      </c>
    </row>
    <row r="5472" spans="1:8" x14ac:dyDescent="0.45">
      <c r="A5472" t="s">
        <v>51</v>
      </c>
      <c r="B5472" t="s">
        <v>20</v>
      </c>
      <c r="C5472">
        <v>4</v>
      </c>
      <c r="D5472" t="s">
        <v>19</v>
      </c>
      <c r="E5472">
        <v>4087214</v>
      </c>
      <c r="F5472">
        <v>6481</v>
      </c>
      <c r="G5472">
        <v>1491</v>
      </c>
    </row>
    <row r="5473" spans="1:8" x14ac:dyDescent="0.45">
      <c r="A5473" t="s">
        <v>51</v>
      </c>
      <c r="B5473" t="s">
        <v>20</v>
      </c>
      <c r="C5473">
        <v>4</v>
      </c>
      <c r="D5473" t="s">
        <v>27</v>
      </c>
      <c r="F5473">
        <v>1388</v>
      </c>
    </row>
    <row r="5474" spans="1:8" x14ac:dyDescent="0.45">
      <c r="A5474" t="s">
        <v>51</v>
      </c>
      <c r="B5474" t="s">
        <v>20</v>
      </c>
      <c r="C5474">
        <v>4</v>
      </c>
      <c r="D5474" t="s">
        <v>28</v>
      </c>
      <c r="F5474">
        <v>1009</v>
      </c>
    </row>
    <row r="5475" spans="1:8" x14ac:dyDescent="0.45">
      <c r="A5475" t="s">
        <v>51</v>
      </c>
      <c r="B5475" t="s">
        <v>20</v>
      </c>
      <c r="C5475">
        <v>4</v>
      </c>
      <c r="D5475" t="s">
        <v>29</v>
      </c>
      <c r="F5475">
        <v>881</v>
      </c>
    </row>
    <row r="5476" spans="1:8" x14ac:dyDescent="0.45">
      <c r="A5476" t="s">
        <v>51</v>
      </c>
      <c r="B5476" t="s">
        <v>20</v>
      </c>
      <c r="C5476">
        <v>4</v>
      </c>
      <c r="D5476" t="s">
        <v>31</v>
      </c>
      <c r="H5476">
        <v>72</v>
      </c>
    </row>
    <row r="5477" spans="1:8" x14ac:dyDescent="0.45">
      <c r="A5477" t="s">
        <v>51</v>
      </c>
      <c r="B5477" t="s">
        <v>20</v>
      </c>
      <c r="C5477">
        <v>4</v>
      </c>
      <c r="D5477" t="s">
        <v>32</v>
      </c>
      <c r="H5477">
        <v>18</v>
      </c>
    </row>
    <row r="5478" spans="1:8" x14ac:dyDescent="0.45">
      <c r="A5478" t="s">
        <v>51</v>
      </c>
      <c r="B5478" t="s">
        <v>20</v>
      </c>
      <c r="C5478">
        <v>4</v>
      </c>
      <c r="D5478" t="s">
        <v>34</v>
      </c>
      <c r="H5478">
        <v>9</v>
      </c>
    </row>
    <row r="5479" spans="1:8" x14ac:dyDescent="0.45">
      <c r="A5479" t="s">
        <v>51</v>
      </c>
      <c r="B5479" t="s">
        <v>21</v>
      </c>
      <c r="C5479">
        <v>5</v>
      </c>
      <c r="D5479" t="s">
        <v>19</v>
      </c>
      <c r="E5479">
        <v>3186774</v>
      </c>
      <c r="F5479">
        <v>5080</v>
      </c>
      <c r="G5479">
        <v>1195</v>
      </c>
    </row>
    <row r="5480" spans="1:8" x14ac:dyDescent="0.45">
      <c r="A5480" t="s">
        <v>51</v>
      </c>
      <c r="B5480" t="s">
        <v>21</v>
      </c>
      <c r="C5480">
        <v>5</v>
      </c>
      <c r="D5480" t="s">
        <v>27</v>
      </c>
      <c r="F5480">
        <v>1474</v>
      </c>
    </row>
    <row r="5481" spans="1:8" x14ac:dyDescent="0.45">
      <c r="A5481" t="s">
        <v>51</v>
      </c>
      <c r="B5481" t="s">
        <v>21</v>
      </c>
      <c r="C5481">
        <v>5</v>
      </c>
      <c r="D5481" t="s">
        <v>28</v>
      </c>
      <c r="F5481">
        <v>842</v>
      </c>
    </row>
    <row r="5482" spans="1:8" x14ac:dyDescent="0.45">
      <c r="A5482" t="s">
        <v>51</v>
      </c>
      <c r="B5482" t="s">
        <v>21</v>
      </c>
      <c r="C5482">
        <v>5</v>
      </c>
      <c r="D5482" t="s">
        <v>29</v>
      </c>
      <c r="F5482">
        <v>676</v>
      </c>
    </row>
    <row r="5483" spans="1:8" x14ac:dyDescent="0.45">
      <c r="A5483" t="s">
        <v>51</v>
      </c>
      <c r="B5483" t="s">
        <v>20</v>
      </c>
      <c r="C5483">
        <v>5</v>
      </c>
      <c r="D5483" t="s">
        <v>19</v>
      </c>
      <c r="E5483">
        <v>2972262</v>
      </c>
      <c r="F5483">
        <v>4631</v>
      </c>
      <c r="G5483">
        <v>1145</v>
      </c>
    </row>
    <row r="5484" spans="1:8" x14ac:dyDescent="0.45">
      <c r="A5484" t="s">
        <v>51</v>
      </c>
      <c r="B5484" t="s">
        <v>20</v>
      </c>
      <c r="C5484">
        <v>5</v>
      </c>
      <c r="D5484" t="s">
        <v>27</v>
      </c>
      <c r="F5484">
        <v>1175</v>
      </c>
    </row>
    <row r="5485" spans="1:8" x14ac:dyDescent="0.45">
      <c r="A5485" t="s">
        <v>51</v>
      </c>
      <c r="B5485" t="s">
        <v>20</v>
      </c>
      <c r="C5485">
        <v>5</v>
      </c>
      <c r="D5485" t="s">
        <v>28</v>
      </c>
      <c r="F5485">
        <v>821</v>
      </c>
    </row>
    <row r="5486" spans="1:8" x14ac:dyDescent="0.45">
      <c r="A5486" t="s">
        <v>51</v>
      </c>
      <c r="B5486" t="s">
        <v>20</v>
      </c>
      <c r="C5486">
        <v>5</v>
      </c>
      <c r="D5486" t="s">
        <v>29</v>
      </c>
      <c r="F5486">
        <v>641</v>
      </c>
    </row>
    <row r="5487" spans="1:8" x14ac:dyDescent="0.45">
      <c r="A5487" t="s">
        <v>51</v>
      </c>
      <c r="B5487" t="s">
        <v>20</v>
      </c>
      <c r="C5487">
        <v>5</v>
      </c>
      <c r="D5487" t="s">
        <v>31</v>
      </c>
      <c r="H5487">
        <v>103</v>
      </c>
    </row>
    <row r="5488" spans="1:8" x14ac:dyDescent="0.45">
      <c r="A5488" t="s">
        <v>51</v>
      </c>
      <c r="B5488" t="s">
        <v>20</v>
      </c>
      <c r="C5488">
        <v>5</v>
      </c>
      <c r="D5488" t="s">
        <v>32</v>
      </c>
      <c r="H5488">
        <v>13</v>
      </c>
    </row>
    <row r="5489" spans="1:8" x14ac:dyDescent="0.45">
      <c r="A5489" t="s">
        <v>51</v>
      </c>
      <c r="B5489" t="s">
        <v>20</v>
      </c>
      <c r="C5489">
        <v>5</v>
      </c>
      <c r="D5489" t="s">
        <v>34</v>
      </c>
      <c r="H5489">
        <v>8</v>
      </c>
    </row>
    <row r="5490" spans="1:8" x14ac:dyDescent="0.45">
      <c r="A5490" t="s">
        <v>51</v>
      </c>
      <c r="B5490" t="s">
        <v>21</v>
      </c>
      <c r="C5490">
        <v>6</v>
      </c>
      <c r="D5490" t="s">
        <v>19</v>
      </c>
      <c r="E5490">
        <v>2497108</v>
      </c>
      <c r="F5490">
        <v>4595</v>
      </c>
    </row>
    <row r="5491" spans="1:8" x14ac:dyDescent="0.45">
      <c r="A5491" t="s">
        <v>51</v>
      </c>
      <c r="B5491" t="s">
        <v>21</v>
      </c>
      <c r="C5491">
        <v>6</v>
      </c>
      <c r="D5491" t="s">
        <v>27</v>
      </c>
      <c r="F5491">
        <v>1641</v>
      </c>
    </row>
    <row r="5492" spans="1:8" x14ac:dyDescent="0.45">
      <c r="A5492" t="s">
        <v>51</v>
      </c>
      <c r="B5492" t="s">
        <v>21</v>
      </c>
      <c r="C5492">
        <v>6</v>
      </c>
      <c r="D5492" t="s">
        <v>28</v>
      </c>
      <c r="F5492">
        <v>857</v>
      </c>
    </row>
    <row r="5493" spans="1:8" x14ac:dyDescent="0.45">
      <c r="A5493" t="s">
        <v>51</v>
      </c>
      <c r="B5493" t="s">
        <v>21</v>
      </c>
      <c r="C5493">
        <v>6</v>
      </c>
      <c r="D5493" t="s">
        <v>29</v>
      </c>
      <c r="F5493">
        <v>518</v>
      </c>
    </row>
    <row r="5494" spans="1:8" x14ac:dyDescent="0.45">
      <c r="A5494" t="s">
        <v>51</v>
      </c>
      <c r="B5494" t="s">
        <v>20</v>
      </c>
      <c r="C5494">
        <v>6</v>
      </c>
      <c r="D5494" t="s">
        <v>19</v>
      </c>
      <c r="E5494">
        <v>2313891</v>
      </c>
      <c r="F5494">
        <v>4034</v>
      </c>
    </row>
    <row r="5495" spans="1:8" x14ac:dyDescent="0.45">
      <c r="A5495" t="s">
        <v>51</v>
      </c>
      <c r="B5495" t="s">
        <v>20</v>
      </c>
      <c r="C5495">
        <v>6</v>
      </c>
      <c r="D5495" t="s">
        <v>27</v>
      </c>
      <c r="F5495">
        <v>1419</v>
      </c>
    </row>
    <row r="5496" spans="1:8" x14ac:dyDescent="0.45">
      <c r="A5496" t="s">
        <v>51</v>
      </c>
      <c r="B5496" t="s">
        <v>20</v>
      </c>
      <c r="C5496">
        <v>6</v>
      </c>
      <c r="D5496" t="s">
        <v>28</v>
      </c>
      <c r="F5496">
        <v>767</v>
      </c>
    </row>
    <row r="5497" spans="1:8" x14ac:dyDescent="0.45">
      <c r="A5497" t="s">
        <v>51</v>
      </c>
      <c r="B5497" t="s">
        <v>20</v>
      </c>
      <c r="C5497">
        <v>6</v>
      </c>
      <c r="D5497" t="s">
        <v>29</v>
      </c>
      <c r="F5497">
        <v>520</v>
      </c>
    </row>
    <row r="5498" spans="1:8" x14ac:dyDescent="0.45">
      <c r="A5498" t="s">
        <v>51</v>
      </c>
      <c r="B5498" t="s">
        <v>20</v>
      </c>
      <c r="C5498">
        <v>6</v>
      </c>
      <c r="D5498" t="s">
        <v>31</v>
      </c>
      <c r="H5498">
        <v>33</v>
      </c>
    </row>
    <row r="5499" spans="1:8" x14ac:dyDescent="0.45">
      <c r="A5499" t="s">
        <v>51</v>
      </c>
      <c r="B5499" t="s">
        <v>20</v>
      </c>
      <c r="C5499">
        <v>6</v>
      </c>
      <c r="D5499" t="s">
        <v>32</v>
      </c>
      <c r="H5499">
        <v>7</v>
      </c>
    </row>
    <row r="5500" spans="1:8" x14ac:dyDescent="0.45">
      <c r="A5500" t="s">
        <v>51</v>
      </c>
      <c r="B5500" t="s">
        <v>20</v>
      </c>
      <c r="C5500">
        <v>6</v>
      </c>
      <c r="D5500" t="s">
        <v>34</v>
      </c>
      <c r="H5500">
        <v>6</v>
      </c>
    </row>
    <row r="5501" spans="1:8" x14ac:dyDescent="0.45">
      <c r="A5501" t="s">
        <v>51</v>
      </c>
      <c r="B5501" t="s">
        <v>21</v>
      </c>
      <c r="C5501">
        <v>7</v>
      </c>
      <c r="D5501" t="s">
        <v>19</v>
      </c>
      <c r="E5501">
        <v>1893641</v>
      </c>
      <c r="F5501">
        <v>3717</v>
      </c>
      <c r="H5501">
        <v>8</v>
      </c>
    </row>
    <row r="5502" spans="1:8" x14ac:dyDescent="0.45">
      <c r="A5502" t="s">
        <v>51</v>
      </c>
      <c r="B5502" t="s">
        <v>21</v>
      </c>
      <c r="C5502">
        <v>7</v>
      </c>
      <c r="D5502" t="s">
        <v>27</v>
      </c>
      <c r="F5502">
        <v>1614</v>
      </c>
    </row>
    <row r="5503" spans="1:8" x14ac:dyDescent="0.45">
      <c r="A5503" t="s">
        <v>51</v>
      </c>
      <c r="B5503" t="s">
        <v>21</v>
      </c>
      <c r="C5503">
        <v>7</v>
      </c>
      <c r="D5503" t="s">
        <v>28</v>
      </c>
      <c r="F5503">
        <v>725</v>
      </c>
    </row>
    <row r="5504" spans="1:8" x14ac:dyDescent="0.45">
      <c r="A5504" t="s">
        <v>51</v>
      </c>
      <c r="B5504" t="s">
        <v>21</v>
      </c>
      <c r="C5504">
        <v>7</v>
      </c>
      <c r="D5504" t="s">
        <v>29</v>
      </c>
      <c r="F5504">
        <v>404</v>
      </c>
    </row>
    <row r="5505" spans="1:8" x14ac:dyDescent="0.45">
      <c r="A5505" t="s">
        <v>51</v>
      </c>
      <c r="B5505" t="s">
        <v>20</v>
      </c>
      <c r="C5505">
        <v>7</v>
      </c>
      <c r="D5505" t="s">
        <v>19</v>
      </c>
      <c r="E5505">
        <v>1580004</v>
      </c>
      <c r="F5505">
        <v>3150</v>
      </c>
      <c r="G5505">
        <v>893</v>
      </c>
    </row>
    <row r="5506" spans="1:8" x14ac:dyDescent="0.45">
      <c r="A5506" t="s">
        <v>51</v>
      </c>
      <c r="B5506" t="s">
        <v>20</v>
      </c>
      <c r="C5506">
        <v>7</v>
      </c>
      <c r="D5506" t="s">
        <v>27</v>
      </c>
      <c r="F5506">
        <v>1282</v>
      </c>
    </row>
    <row r="5507" spans="1:8" x14ac:dyDescent="0.45">
      <c r="A5507" t="s">
        <v>51</v>
      </c>
      <c r="B5507" t="s">
        <v>20</v>
      </c>
      <c r="C5507">
        <v>7</v>
      </c>
      <c r="D5507" t="s">
        <v>28</v>
      </c>
      <c r="F5507">
        <v>662</v>
      </c>
    </row>
    <row r="5508" spans="1:8" x14ac:dyDescent="0.45">
      <c r="A5508" t="s">
        <v>51</v>
      </c>
      <c r="B5508" t="s">
        <v>20</v>
      </c>
      <c r="C5508">
        <v>7</v>
      </c>
      <c r="D5508" t="s">
        <v>29</v>
      </c>
      <c r="F5508">
        <v>347</v>
      </c>
    </row>
    <row r="5509" spans="1:8" x14ac:dyDescent="0.45">
      <c r="A5509" t="s">
        <v>51</v>
      </c>
      <c r="B5509" t="s">
        <v>20</v>
      </c>
      <c r="C5509">
        <v>7</v>
      </c>
      <c r="D5509" t="s">
        <v>31</v>
      </c>
      <c r="H5509">
        <v>207</v>
      </c>
    </row>
    <row r="5510" spans="1:8" x14ac:dyDescent="0.45">
      <c r="A5510" t="s">
        <v>51</v>
      </c>
      <c r="B5510" t="s">
        <v>20</v>
      </c>
      <c r="C5510">
        <v>7</v>
      </c>
      <c r="D5510" t="s">
        <v>32</v>
      </c>
      <c r="H5510">
        <v>5</v>
      </c>
    </row>
    <row r="5511" spans="1:8" x14ac:dyDescent="0.45">
      <c r="A5511" t="s">
        <v>51</v>
      </c>
      <c r="B5511" t="s">
        <v>20</v>
      </c>
      <c r="C5511">
        <v>7</v>
      </c>
      <c r="D5511" t="s">
        <v>34</v>
      </c>
      <c r="H5511">
        <v>7</v>
      </c>
    </row>
    <row r="5512" spans="1:8" x14ac:dyDescent="0.45">
      <c r="A5512" t="s">
        <v>51</v>
      </c>
      <c r="B5512" t="s">
        <v>21</v>
      </c>
      <c r="C5512">
        <v>8</v>
      </c>
      <c r="D5512" t="s">
        <v>19</v>
      </c>
      <c r="E5512">
        <v>1295550</v>
      </c>
      <c r="F5512">
        <v>2861</v>
      </c>
      <c r="G5512">
        <v>769</v>
      </c>
    </row>
    <row r="5513" spans="1:8" x14ac:dyDescent="0.45">
      <c r="A5513" t="s">
        <v>51</v>
      </c>
      <c r="B5513" t="s">
        <v>21</v>
      </c>
      <c r="C5513">
        <v>8</v>
      </c>
      <c r="D5513" t="s">
        <v>27</v>
      </c>
      <c r="F5513">
        <v>1260</v>
      </c>
      <c r="G5513">
        <v>805</v>
      </c>
    </row>
    <row r="5514" spans="1:8" x14ac:dyDescent="0.45">
      <c r="A5514" t="s">
        <v>51</v>
      </c>
      <c r="B5514" t="s">
        <v>21</v>
      </c>
      <c r="C5514">
        <v>8</v>
      </c>
      <c r="D5514" t="s">
        <v>28</v>
      </c>
      <c r="F5514">
        <v>601</v>
      </c>
      <c r="G5514">
        <v>836</v>
      </c>
    </row>
    <row r="5515" spans="1:8" x14ac:dyDescent="0.45">
      <c r="A5515" t="s">
        <v>51</v>
      </c>
      <c r="B5515" t="s">
        <v>21</v>
      </c>
      <c r="C5515">
        <v>8</v>
      </c>
      <c r="D5515" t="s">
        <v>29</v>
      </c>
      <c r="F5515">
        <v>246</v>
      </c>
      <c r="G5515">
        <v>1045</v>
      </c>
    </row>
    <row r="5516" spans="1:8" x14ac:dyDescent="0.45">
      <c r="A5516" t="s">
        <v>51</v>
      </c>
      <c r="B5516" t="s">
        <v>20</v>
      </c>
      <c r="C5516">
        <v>8</v>
      </c>
      <c r="D5516" t="s">
        <v>19</v>
      </c>
      <c r="E5516">
        <v>1635049</v>
      </c>
      <c r="F5516">
        <v>2941</v>
      </c>
      <c r="G5516">
        <v>754</v>
      </c>
    </row>
    <row r="5517" spans="1:8" x14ac:dyDescent="0.45">
      <c r="A5517" t="s">
        <v>51</v>
      </c>
      <c r="B5517" t="s">
        <v>20</v>
      </c>
      <c r="C5517">
        <v>8</v>
      </c>
      <c r="D5517" t="s">
        <v>27</v>
      </c>
      <c r="F5517">
        <v>1030</v>
      </c>
      <c r="G5517">
        <v>1166</v>
      </c>
    </row>
    <row r="5518" spans="1:8" x14ac:dyDescent="0.45">
      <c r="A5518" t="s">
        <v>51</v>
      </c>
      <c r="B5518" t="s">
        <v>20</v>
      </c>
      <c r="C5518">
        <v>8</v>
      </c>
      <c r="D5518" t="s">
        <v>28</v>
      </c>
      <c r="F5518">
        <v>628</v>
      </c>
      <c r="G5518">
        <v>962</v>
      </c>
    </row>
    <row r="5519" spans="1:8" x14ac:dyDescent="0.45">
      <c r="A5519" t="s">
        <v>51</v>
      </c>
      <c r="B5519" t="s">
        <v>20</v>
      </c>
      <c r="C5519">
        <v>8</v>
      </c>
      <c r="D5519" t="s">
        <v>29</v>
      </c>
      <c r="F5519">
        <v>261</v>
      </c>
      <c r="G5519">
        <v>820</v>
      </c>
    </row>
    <row r="5520" spans="1:8" x14ac:dyDescent="0.45">
      <c r="A5520" t="s">
        <v>51</v>
      </c>
      <c r="B5520" t="s">
        <v>20</v>
      </c>
      <c r="C5520">
        <v>8</v>
      </c>
      <c r="D5520" t="s">
        <v>31</v>
      </c>
      <c r="H5520">
        <v>34</v>
      </c>
    </row>
    <row r="5521" spans="1:8" x14ac:dyDescent="0.45">
      <c r="A5521" t="s">
        <v>51</v>
      </c>
      <c r="B5521" t="s">
        <v>20</v>
      </c>
      <c r="C5521">
        <v>8</v>
      </c>
      <c r="D5521" t="s">
        <v>32</v>
      </c>
      <c r="H5521">
        <v>4</v>
      </c>
    </row>
    <row r="5522" spans="1:8" x14ac:dyDescent="0.45">
      <c r="A5522" t="s">
        <v>51</v>
      </c>
      <c r="B5522" t="s">
        <v>20</v>
      </c>
      <c r="C5522">
        <v>8</v>
      </c>
      <c r="D5522" t="s">
        <v>34</v>
      </c>
      <c r="H5522">
        <v>8</v>
      </c>
    </row>
    <row r="5523" spans="1:8" x14ac:dyDescent="0.45">
      <c r="A5523" t="s">
        <v>51</v>
      </c>
      <c r="B5523" t="s">
        <v>21</v>
      </c>
      <c r="C5523">
        <v>9</v>
      </c>
      <c r="D5523" t="s">
        <v>19</v>
      </c>
      <c r="E5523">
        <v>1307195</v>
      </c>
      <c r="F5523">
        <v>3002</v>
      </c>
      <c r="G5523">
        <v>780</v>
      </c>
    </row>
    <row r="5524" spans="1:8" x14ac:dyDescent="0.45">
      <c r="A5524" t="s">
        <v>51</v>
      </c>
      <c r="B5524" t="s">
        <v>21</v>
      </c>
      <c r="C5524">
        <v>9</v>
      </c>
      <c r="D5524" t="s">
        <v>27</v>
      </c>
      <c r="F5524">
        <v>1464</v>
      </c>
    </row>
    <row r="5525" spans="1:8" x14ac:dyDescent="0.45">
      <c r="A5525" t="s">
        <v>51</v>
      </c>
      <c r="B5525" t="s">
        <v>21</v>
      </c>
      <c r="C5525">
        <v>9</v>
      </c>
      <c r="D5525" t="s">
        <v>28</v>
      </c>
      <c r="F5525">
        <v>584</v>
      </c>
    </row>
    <row r="5526" spans="1:8" x14ac:dyDescent="0.45">
      <c r="A5526" t="s">
        <v>51</v>
      </c>
      <c r="B5526" t="s">
        <v>21</v>
      </c>
      <c r="C5526">
        <v>9</v>
      </c>
      <c r="D5526" t="s">
        <v>29</v>
      </c>
      <c r="F5526">
        <v>322</v>
      </c>
    </row>
    <row r="5527" spans="1:8" x14ac:dyDescent="0.45">
      <c r="A5527" t="s">
        <v>51</v>
      </c>
      <c r="B5527" t="s">
        <v>20</v>
      </c>
      <c r="C5527">
        <v>9</v>
      </c>
      <c r="D5527" t="s">
        <v>19</v>
      </c>
      <c r="E5527">
        <v>1467068</v>
      </c>
      <c r="F5527">
        <v>3050</v>
      </c>
      <c r="G5527">
        <v>841</v>
      </c>
    </row>
    <row r="5528" spans="1:8" x14ac:dyDescent="0.45">
      <c r="A5528" t="s">
        <v>51</v>
      </c>
      <c r="B5528" t="s">
        <v>20</v>
      </c>
      <c r="C5528">
        <v>9</v>
      </c>
      <c r="D5528" t="s">
        <v>27</v>
      </c>
      <c r="F5528">
        <v>1325</v>
      </c>
    </row>
    <row r="5529" spans="1:8" x14ac:dyDescent="0.45">
      <c r="A5529" t="s">
        <v>51</v>
      </c>
      <c r="B5529" t="s">
        <v>20</v>
      </c>
      <c r="C5529">
        <v>9</v>
      </c>
      <c r="D5529" t="s">
        <v>28</v>
      </c>
      <c r="F5529">
        <v>657</v>
      </c>
    </row>
    <row r="5530" spans="1:8" x14ac:dyDescent="0.45">
      <c r="A5530" t="s">
        <v>51</v>
      </c>
      <c r="B5530" t="s">
        <v>20</v>
      </c>
      <c r="C5530">
        <v>9</v>
      </c>
      <c r="D5530" t="s">
        <v>29</v>
      </c>
      <c r="F5530">
        <v>312</v>
      </c>
    </row>
    <row r="5531" spans="1:8" x14ac:dyDescent="0.45">
      <c r="A5531" t="s">
        <v>51</v>
      </c>
      <c r="B5531" t="s">
        <v>20</v>
      </c>
      <c r="C5531">
        <v>9</v>
      </c>
      <c r="D5531" t="s">
        <v>31</v>
      </c>
      <c r="H5531">
        <v>120</v>
      </c>
    </row>
    <row r="5532" spans="1:8" x14ac:dyDescent="0.45">
      <c r="A5532" t="s">
        <v>51</v>
      </c>
      <c r="B5532" t="s">
        <v>20</v>
      </c>
      <c r="C5532">
        <v>9</v>
      </c>
      <c r="D5532" t="s">
        <v>32</v>
      </c>
      <c r="H5532">
        <v>10</v>
      </c>
    </row>
    <row r="5533" spans="1:8" x14ac:dyDescent="0.45">
      <c r="A5533" t="s">
        <v>51</v>
      </c>
      <c r="B5533" t="s">
        <v>20</v>
      </c>
      <c r="C5533">
        <v>9</v>
      </c>
      <c r="D5533" t="s">
        <v>34</v>
      </c>
      <c r="H5533">
        <v>1</v>
      </c>
    </row>
    <row r="5534" spans="1:8" x14ac:dyDescent="0.45">
      <c r="A5534" t="s">
        <v>51</v>
      </c>
      <c r="B5534" t="s">
        <v>21</v>
      </c>
      <c r="C5534">
        <v>10</v>
      </c>
      <c r="D5534" t="s">
        <v>19</v>
      </c>
      <c r="E5534">
        <v>1984020</v>
      </c>
      <c r="F5534">
        <v>4590</v>
      </c>
    </row>
    <row r="5535" spans="1:8" x14ac:dyDescent="0.45">
      <c r="A5535" t="s">
        <v>51</v>
      </c>
      <c r="B5535" t="s">
        <v>21</v>
      </c>
      <c r="C5535">
        <v>10</v>
      </c>
      <c r="D5535" t="s">
        <v>27</v>
      </c>
      <c r="F5535">
        <v>1985</v>
      </c>
    </row>
    <row r="5536" spans="1:8" x14ac:dyDescent="0.45">
      <c r="A5536" t="s">
        <v>51</v>
      </c>
      <c r="B5536" t="s">
        <v>21</v>
      </c>
      <c r="C5536">
        <v>10</v>
      </c>
      <c r="D5536" t="s">
        <v>28</v>
      </c>
      <c r="F5536">
        <v>949</v>
      </c>
    </row>
    <row r="5537" spans="1:8" x14ac:dyDescent="0.45">
      <c r="A5537" t="s">
        <v>51</v>
      </c>
      <c r="B5537" t="s">
        <v>21</v>
      </c>
      <c r="C5537">
        <v>10</v>
      </c>
      <c r="D5537" t="s">
        <v>29</v>
      </c>
      <c r="F5537">
        <v>515</v>
      </c>
    </row>
    <row r="5538" spans="1:8" x14ac:dyDescent="0.45">
      <c r="A5538" t="s">
        <v>51</v>
      </c>
      <c r="B5538" t="s">
        <v>20</v>
      </c>
      <c r="C5538">
        <v>10</v>
      </c>
      <c r="D5538" t="s">
        <v>19</v>
      </c>
      <c r="E5538">
        <v>2010035</v>
      </c>
      <c r="F5538">
        <v>3924</v>
      </c>
      <c r="H5538">
        <v>8</v>
      </c>
    </row>
    <row r="5539" spans="1:8" x14ac:dyDescent="0.45">
      <c r="A5539" t="s">
        <v>51</v>
      </c>
      <c r="B5539" t="s">
        <v>20</v>
      </c>
      <c r="C5539">
        <v>10</v>
      </c>
      <c r="D5539" t="s">
        <v>27</v>
      </c>
      <c r="F5539">
        <v>1614</v>
      </c>
    </row>
    <row r="5540" spans="1:8" x14ac:dyDescent="0.45">
      <c r="A5540" t="s">
        <v>51</v>
      </c>
      <c r="B5540" t="s">
        <v>20</v>
      </c>
      <c r="C5540">
        <v>10</v>
      </c>
      <c r="D5540" t="s">
        <v>28</v>
      </c>
      <c r="F5540">
        <v>784</v>
      </c>
    </row>
    <row r="5541" spans="1:8" x14ac:dyDescent="0.45">
      <c r="A5541" t="s">
        <v>51</v>
      </c>
      <c r="B5541" t="s">
        <v>20</v>
      </c>
      <c r="C5541">
        <v>10</v>
      </c>
      <c r="D5541" t="s">
        <v>29</v>
      </c>
      <c r="F5541">
        <v>486</v>
      </c>
    </row>
    <row r="5542" spans="1:8" x14ac:dyDescent="0.45">
      <c r="A5542" t="s">
        <v>51</v>
      </c>
      <c r="B5542" t="s">
        <v>20</v>
      </c>
      <c r="C5542">
        <v>10</v>
      </c>
      <c r="D5542" t="s">
        <v>31</v>
      </c>
      <c r="H5542">
        <v>170</v>
      </c>
    </row>
    <row r="5543" spans="1:8" x14ac:dyDescent="0.45">
      <c r="A5543" t="s">
        <v>51</v>
      </c>
      <c r="B5543" t="s">
        <v>20</v>
      </c>
      <c r="C5543">
        <v>10</v>
      </c>
      <c r="D5543" t="s">
        <v>32</v>
      </c>
      <c r="H5543">
        <v>10</v>
      </c>
    </row>
    <row r="5544" spans="1:8" x14ac:dyDescent="0.45">
      <c r="A5544" t="s">
        <v>51</v>
      </c>
      <c r="B5544" t="s">
        <v>20</v>
      </c>
      <c r="C5544">
        <v>10</v>
      </c>
      <c r="D5544" t="s">
        <v>34</v>
      </c>
      <c r="H5544">
        <v>4</v>
      </c>
    </row>
    <row r="5545" spans="1:8" x14ac:dyDescent="0.45">
      <c r="A5545" t="s">
        <v>51</v>
      </c>
      <c r="B5545" t="s">
        <v>21</v>
      </c>
      <c r="C5545">
        <v>11</v>
      </c>
      <c r="D5545" t="s">
        <v>19</v>
      </c>
      <c r="E5545">
        <v>1632935</v>
      </c>
      <c r="F5545">
        <v>3574</v>
      </c>
      <c r="G5545">
        <v>909</v>
      </c>
    </row>
    <row r="5546" spans="1:8" x14ac:dyDescent="0.45">
      <c r="A5546" t="s">
        <v>51</v>
      </c>
      <c r="B5546" t="s">
        <v>21</v>
      </c>
      <c r="C5546">
        <v>11</v>
      </c>
      <c r="D5546" t="s">
        <v>27</v>
      </c>
      <c r="F5546">
        <v>1706</v>
      </c>
    </row>
    <row r="5547" spans="1:8" x14ac:dyDescent="0.45">
      <c r="A5547" t="s">
        <v>51</v>
      </c>
      <c r="B5547" t="s">
        <v>21</v>
      </c>
      <c r="C5547">
        <v>11</v>
      </c>
      <c r="D5547" t="s">
        <v>28</v>
      </c>
      <c r="F5547">
        <v>672</v>
      </c>
    </row>
    <row r="5548" spans="1:8" x14ac:dyDescent="0.45">
      <c r="A5548" t="s">
        <v>51</v>
      </c>
      <c r="B5548" t="s">
        <v>21</v>
      </c>
      <c r="C5548">
        <v>11</v>
      </c>
      <c r="D5548" t="s">
        <v>29</v>
      </c>
      <c r="F5548">
        <v>405</v>
      </c>
    </row>
    <row r="5549" spans="1:8" x14ac:dyDescent="0.45">
      <c r="A5549" t="s">
        <v>51</v>
      </c>
      <c r="B5549" t="s">
        <v>20</v>
      </c>
      <c r="C5549">
        <v>11</v>
      </c>
      <c r="D5549" t="s">
        <v>19</v>
      </c>
      <c r="E5549">
        <v>1876841</v>
      </c>
      <c r="F5549">
        <v>3853</v>
      </c>
    </row>
    <row r="5550" spans="1:8" x14ac:dyDescent="0.45">
      <c r="A5550" t="s">
        <v>51</v>
      </c>
      <c r="B5550" t="s">
        <v>20</v>
      </c>
      <c r="C5550">
        <v>11</v>
      </c>
      <c r="D5550" t="s">
        <v>27</v>
      </c>
      <c r="F5550">
        <v>1428</v>
      </c>
    </row>
    <row r="5551" spans="1:8" x14ac:dyDescent="0.45">
      <c r="A5551" t="s">
        <v>51</v>
      </c>
      <c r="B5551" t="s">
        <v>20</v>
      </c>
      <c r="C5551">
        <v>11</v>
      </c>
      <c r="D5551" t="s">
        <v>28</v>
      </c>
      <c r="F5551">
        <v>484</v>
      </c>
    </row>
    <row r="5552" spans="1:8" x14ac:dyDescent="0.45">
      <c r="A5552" t="s">
        <v>51</v>
      </c>
      <c r="B5552" t="s">
        <v>20</v>
      </c>
      <c r="C5552">
        <v>11</v>
      </c>
      <c r="D5552" t="s">
        <v>29</v>
      </c>
      <c r="F5552">
        <v>490</v>
      </c>
    </row>
    <row r="5553" spans="1:8" x14ac:dyDescent="0.45">
      <c r="A5553" t="s">
        <v>51</v>
      </c>
      <c r="B5553" t="s">
        <v>20</v>
      </c>
      <c r="C5553">
        <v>11</v>
      </c>
      <c r="D5553" t="s">
        <v>31</v>
      </c>
      <c r="H5553">
        <v>262</v>
      </c>
    </row>
    <row r="5554" spans="1:8" x14ac:dyDescent="0.45">
      <c r="A5554" t="s">
        <v>51</v>
      </c>
      <c r="B5554" t="s">
        <v>20</v>
      </c>
      <c r="C5554">
        <v>11</v>
      </c>
      <c r="D5554" t="s">
        <v>32</v>
      </c>
      <c r="H5554">
        <v>7</v>
      </c>
    </row>
    <row r="5555" spans="1:8" x14ac:dyDescent="0.45">
      <c r="A5555" t="s">
        <v>51</v>
      </c>
      <c r="B5555" t="s">
        <v>20</v>
      </c>
      <c r="C5555">
        <v>11</v>
      </c>
      <c r="D5555" t="s">
        <v>34</v>
      </c>
      <c r="H5555">
        <v>5</v>
      </c>
    </row>
    <row r="5556" spans="1:8" x14ac:dyDescent="0.45">
      <c r="A5556" t="s">
        <v>51</v>
      </c>
      <c r="B5556" t="s">
        <v>21</v>
      </c>
      <c r="C5556">
        <v>12</v>
      </c>
      <c r="D5556" t="s">
        <v>19</v>
      </c>
      <c r="E5556">
        <v>1767144</v>
      </c>
      <c r="F5556">
        <v>4109</v>
      </c>
    </row>
    <row r="5557" spans="1:8" x14ac:dyDescent="0.45">
      <c r="A5557" t="s">
        <v>51</v>
      </c>
      <c r="B5557" t="s">
        <v>21</v>
      </c>
      <c r="C5557">
        <v>12</v>
      </c>
      <c r="D5557" t="s">
        <v>27</v>
      </c>
      <c r="F5557">
        <v>1700</v>
      </c>
    </row>
    <row r="5558" spans="1:8" x14ac:dyDescent="0.45">
      <c r="A5558" t="s">
        <v>51</v>
      </c>
      <c r="B5558" t="s">
        <v>21</v>
      </c>
      <c r="C5558">
        <v>12</v>
      </c>
      <c r="D5558" t="s">
        <v>28</v>
      </c>
      <c r="F5558">
        <v>817</v>
      </c>
    </row>
    <row r="5559" spans="1:8" x14ac:dyDescent="0.45">
      <c r="A5559" t="s">
        <v>51</v>
      </c>
      <c r="B5559" t="s">
        <v>21</v>
      </c>
      <c r="C5559">
        <v>12</v>
      </c>
      <c r="D5559" t="s">
        <v>29</v>
      </c>
      <c r="F5559">
        <v>588</v>
      </c>
    </row>
    <row r="5560" spans="1:8" x14ac:dyDescent="0.45">
      <c r="A5560" t="s">
        <v>51</v>
      </c>
      <c r="B5560" t="s">
        <v>20</v>
      </c>
      <c r="C5560">
        <v>12</v>
      </c>
      <c r="D5560" t="s">
        <v>19</v>
      </c>
      <c r="E5560">
        <v>1807683</v>
      </c>
      <c r="F5560">
        <v>4020</v>
      </c>
      <c r="G5560">
        <v>887</v>
      </c>
      <c r="H5560">
        <v>5</v>
      </c>
    </row>
    <row r="5561" spans="1:8" x14ac:dyDescent="0.45">
      <c r="A5561" t="s">
        <v>51</v>
      </c>
      <c r="B5561" t="s">
        <v>20</v>
      </c>
      <c r="C5561">
        <v>12</v>
      </c>
      <c r="D5561" t="s">
        <v>27</v>
      </c>
      <c r="F5561">
        <v>1522</v>
      </c>
    </row>
    <row r="5562" spans="1:8" x14ac:dyDescent="0.45">
      <c r="A5562" t="s">
        <v>51</v>
      </c>
      <c r="B5562" t="s">
        <v>20</v>
      </c>
      <c r="C5562">
        <v>12</v>
      </c>
      <c r="D5562" t="s">
        <v>28</v>
      </c>
      <c r="F5562">
        <v>817</v>
      </c>
    </row>
    <row r="5563" spans="1:8" x14ac:dyDescent="0.45">
      <c r="A5563" t="s">
        <v>51</v>
      </c>
      <c r="B5563" t="s">
        <v>20</v>
      </c>
      <c r="C5563">
        <v>12</v>
      </c>
      <c r="D5563" t="s">
        <v>29</v>
      </c>
      <c r="F5563">
        <v>591</v>
      </c>
    </row>
    <row r="5564" spans="1:8" x14ac:dyDescent="0.45">
      <c r="A5564" t="s">
        <v>51</v>
      </c>
      <c r="B5564" t="s">
        <v>20</v>
      </c>
      <c r="C5564">
        <v>12</v>
      </c>
      <c r="D5564" t="s">
        <v>31</v>
      </c>
      <c r="H5564">
        <v>109</v>
      </c>
    </row>
    <row r="5565" spans="1:8" x14ac:dyDescent="0.45">
      <c r="A5565" t="s">
        <v>51</v>
      </c>
      <c r="B5565" t="s">
        <v>20</v>
      </c>
      <c r="C5565">
        <v>12</v>
      </c>
      <c r="D5565" t="s">
        <v>32</v>
      </c>
      <c r="H5565">
        <v>2</v>
      </c>
    </row>
    <row r="5566" spans="1:8" x14ac:dyDescent="0.45">
      <c r="A5566" t="s">
        <v>51</v>
      </c>
      <c r="B5566" t="s">
        <v>20</v>
      </c>
      <c r="C5566">
        <v>12</v>
      </c>
      <c r="D5566" t="s">
        <v>34</v>
      </c>
      <c r="H5566">
        <v>6</v>
      </c>
    </row>
    <row r="5567" spans="1:8" x14ac:dyDescent="0.45">
      <c r="A5567" t="s">
        <v>78</v>
      </c>
      <c r="B5567" t="s">
        <v>21</v>
      </c>
      <c r="C5567">
        <v>1</v>
      </c>
      <c r="D5567" t="s">
        <v>19</v>
      </c>
      <c r="E5567">
        <v>1153271</v>
      </c>
      <c r="F5567">
        <v>2009</v>
      </c>
      <c r="G5567">
        <v>589</v>
      </c>
    </row>
    <row r="5568" spans="1:8" x14ac:dyDescent="0.45">
      <c r="A5568" t="s">
        <v>78</v>
      </c>
      <c r="B5568" t="s">
        <v>21</v>
      </c>
      <c r="C5568">
        <v>1</v>
      </c>
      <c r="D5568" t="s">
        <v>27</v>
      </c>
      <c r="F5568">
        <v>621</v>
      </c>
    </row>
    <row r="5569" spans="1:8" x14ac:dyDescent="0.45">
      <c r="A5569" t="s">
        <v>78</v>
      </c>
      <c r="B5569" t="s">
        <v>21</v>
      </c>
      <c r="C5569">
        <v>1</v>
      </c>
      <c r="D5569" t="s">
        <v>28</v>
      </c>
      <c r="F5569">
        <v>393</v>
      </c>
    </row>
    <row r="5570" spans="1:8" x14ac:dyDescent="0.45">
      <c r="A5570" t="s">
        <v>78</v>
      </c>
      <c r="B5570" t="s">
        <v>21</v>
      </c>
      <c r="C5570">
        <v>1</v>
      </c>
      <c r="D5570" t="s">
        <v>29</v>
      </c>
      <c r="F5570">
        <v>307</v>
      </c>
    </row>
    <row r="5571" spans="1:8" x14ac:dyDescent="0.45">
      <c r="A5571" t="s">
        <v>78</v>
      </c>
      <c r="B5571" t="s">
        <v>20</v>
      </c>
      <c r="C5571">
        <v>1</v>
      </c>
      <c r="D5571" t="s">
        <v>19</v>
      </c>
      <c r="E5571">
        <v>1071506</v>
      </c>
      <c r="F5571">
        <v>1862</v>
      </c>
      <c r="G5571">
        <v>545</v>
      </c>
    </row>
    <row r="5572" spans="1:8" x14ac:dyDescent="0.45">
      <c r="A5572" t="s">
        <v>78</v>
      </c>
      <c r="B5572" t="s">
        <v>20</v>
      </c>
      <c r="C5572">
        <v>1</v>
      </c>
      <c r="D5572" t="s">
        <v>27</v>
      </c>
      <c r="F5572">
        <v>524</v>
      </c>
    </row>
    <row r="5573" spans="1:8" x14ac:dyDescent="0.45">
      <c r="A5573" t="s">
        <v>78</v>
      </c>
      <c r="B5573" t="s">
        <v>20</v>
      </c>
      <c r="C5573">
        <v>1</v>
      </c>
      <c r="D5573" t="s">
        <v>28</v>
      </c>
      <c r="F5573">
        <v>324</v>
      </c>
    </row>
    <row r="5574" spans="1:8" x14ac:dyDescent="0.45">
      <c r="A5574" t="s">
        <v>78</v>
      </c>
      <c r="B5574" t="s">
        <v>20</v>
      </c>
      <c r="C5574">
        <v>1</v>
      </c>
      <c r="D5574" t="s">
        <v>29</v>
      </c>
      <c r="F5574">
        <v>271</v>
      </c>
    </row>
    <row r="5575" spans="1:8" x14ac:dyDescent="0.45">
      <c r="A5575" t="s">
        <v>78</v>
      </c>
      <c r="B5575" t="s">
        <v>20</v>
      </c>
      <c r="C5575">
        <v>1</v>
      </c>
      <c r="D5575" t="s">
        <v>31</v>
      </c>
      <c r="H5575">
        <v>97</v>
      </c>
    </row>
    <row r="5576" spans="1:8" x14ac:dyDescent="0.45">
      <c r="A5576" t="s">
        <v>78</v>
      </c>
      <c r="B5576" t="s">
        <v>20</v>
      </c>
      <c r="C5576">
        <v>1</v>
      </c>
      <c r="D5576" t="s">
        <v>32</v>
      </c>
      <c r="H5576">
        <v>7</v>
      </c>
    </row>
    <row r="5577" spans="1:8" x14ac:dyDescent="0.45">
      <c r="A5577" t="s">
        <v>78</v>
      </c>
      <c r="B5577" t="s">
        <v>20</v>
      </c>
      <c r="C5577">
        <v>1</v>
      </c>
      <c r="D5577" t="s">
        <v>34</v>
      </c>
    </row>
    <row r="5578" spans="1:8" x14ac:dyDescent="0.45">
      <c r="A5578" t="s">
        <v>78</v>
      </c>
      <c r="B5578" t="s">
        <v>21</v>
      </c>
      <c r="C5578">
        <v>2</v>
      </c>
      <c r="D5578" t="s">
        <v>19</v>
      </c>
      <c r="E5578">
        <v>903198</v>
      </c>
      <c r="F5578">
        <v>1755</v>
      </c>
      <c r="G5578">
        <v>555</v>
      </c>
    </row>
    <row r="5579" spans="1:8" x14ac:dyDescent="0.45">
      <c r="A5579" t="s">
        <v>78</v>
      </c>
      <c r="B5579" t="s">
        <v>21</v>
      </c>
      <c r="C5579">
        <v>2</v>
      </c>
      <c r="D5579" t="s">
        <v>27</v>
      </c>
      <c r="F5579">
        <v>675</v>
      </c>
    </row>
    <row r="5580" spans="1:8" x14ac:dyDescent="0.45">
      <c r="A5580" t="s">
        <v>78</v>
      </c>
      <c r="B5580" t="s">
        <v>21</v>
      </c>
      <c r="C5580">
        <v>2</v>
      </c>
      <c r="D5580" t="s">
        <v>28</v>
      </c>
      <c r="F5580">
        <v>331</v>
      </c>
    </row>
    <row r="5581" spans="1:8" x14ac:dyDescent="0.45">
      <c r="A5581" t="s">
        <v>78</v>
      </c>
      <c r="B5581" t="s">
        <v>21</v>
      </c>
      <c r="C5581">
        <v>2</v>
      </c>
      <c r="D5581" t="s">
        <v>29</v>
      </c>
      <c r="F5581">
        <v>210</v>
      </c>
    </row>
    <row r="5582" spans="1:8" x14ac:dyDescent="0.45">
      <c r="A5582" t="s">
        <v>78</v>
      </c>
      <c r="B5582" t="s">
        <v>20</v>
      </c>
      <c r="C5582">
        <v>2</v>
      </c>
      <c r="D5582" t="s">
        <v>19</v>
      </c>
      <c r="E5582">
        <v>835007</v>
      </c>
      <c r="F5582">
        <v>1478</v>
      </c>
      <c r="G5582">
        <v>421</v>
      </c>
    </row>
    <row r="5583" spans="1:8" x14ac:dyDescent="0.45">
      <c r="A5583" t="s">
        <v>78</v>
      </c>
      <c r="B5583" t="s">
        <v>20</v>
      </c>
      <c r="C5583">
        <v>2</v>
      </c>
      <c r="D5583" t="s">
        <v>27</v>
      </c>
      <c r="F5583">
        <v>506</v>
      </c>
    </row>
    <row r="5584" spans="1:8" x14ac:dyDescent="0.45">
      <c r="A5584" t="s">
        <v>78</v>
      </c>
      <c r="B5584" t="s">
        <v>20</v>
      </c>
      <c r="C5584">
        <v>2</v>
      </c>
      <c r="D5584" t="s">
        <v>28</v>
      </c>
      <c r="F5584">
        <v>285</v>
      </c>
    </row>
    <row r="5585" spans="1:8" x14ac:dyDescent="0.45">
      <c r="A5585" t="s">
        <v>78</v>
      </c>
      <c r="B5585" t="s">
        <v>20</v>
      </c>
      <c r="C5585">
        <v>2</v>
      </c>
      <c r="D5585" t="s">
        <v>29</v>
      </c>
      <c r="F5585">
        <v>201</v>
      </c>
    </row>
    <row r="5586" spans="1:8" x14ac:dyDescent="0.45">
      <c r="A5586" t="s">
        <v>78</v>
      </c>
      <c r="B5586" t="s">
        <v>20</v>
      </c>
      <c r="C5586">
        <v>2</v>
      </c>
      <c r="D5586" t="s">
        <v>31</v>
      </c>
      <c r="H5586">
        <v>68</v>
      </c>
    </row>
    <row r="5587" spans="1:8" x14ac:dyDescent="0.45">
      <c r="A5587" t="s">
        <v>78</v>
      </c>
      <c r="B5587" t="s">
        <v>20</v>
      </c>
      <c r="C5587">
        <v>2</v>
      </c>
      <c r="D5587" t="s">
        <v>32</v>
      </c>
      <c r="H5587">
        <v>6</v>
      </c>
    </row>
    <row r="5588" spans="1:8" x14ac:dyDescent="0.45">
      <c r="A5588" t="s">
        <v>78</v>
      </c>
      <c r="B5588" t="s">
        <v>20</v>
      </c>
      <c r="C5588">
        <v>2</v>
      </c>
      <c r="D5588" t="s">
        <v>34</v>
      </c>
      <c r="H5588">
        <v>8</v>
      </c>
    </row>
    <row r="5589" spans="1:8" x14ac:dyDescent="0.45">
      <c r="A5589" t="s">
        <v>78</v>
      </c>
      <c r="B5589" t="s">
        <v>21</v>
      </c>
      <c r="C5589">
        <v>3</v>
      </c>
      <c r="D5589" t="s">
        <v>19</v>
      </c>
      <c r="E5589">
        <v>2202337</v>
      </c>
      <c r="F5589">
        <v>3347</v>
      </c>
    </row>
    <row r="5590" spans="1:8" x14ac:dyDescent="0.45">
      <c r="A5590" t="s">
        <v>78</v>
      </c>
      <c r="B5590" t="s">
        <v>21</v>
      </c>
      <c r="C5590">
        <v>3</v>
      </c>
      <c r="D5590" t="s">
        <v>27</v>
      </c>
      <c r="F5590">
        <v>913</v>
      </c>
    </row>
    <row r="5591" spans="1:8" x14ac:dyDescent="0.45">
      <c r="A5591" t="s">
        <v>78</v>
      </c>
      <c r="B5591" t="s">
        <v>21</v>
      </c>
      <c r="C5591">
        <v>3</v>
      </c>
      <c r="D5591" t="s">
        <v>28</v>
      </c>
      <c r="F5591">
        <v>579</v>
      </c>
    </row>
    <row r="5592" spans="1:8" x14ac:dyDescent="0.45">
      <c r="A5592" t="s">
        <v>78</v>
      </c>
      <c r="B5592" t="s">
        <v>21</v>
      </c>
      <c r="C5592">
        <v>3</v>
      </c>
      <c r="D5592" t="s">
        <v>29</v>
      </c>
      <c r="F5592">
        <v>522</v>
      </c>
    </row>
    <row r="5593" spans="1:8" x14ac:dyDescent="0.45">
      <c r="A5593" t="s">
        <v>78</v>
      </c>
      <c r="B5593" t="s">
        <v>20</v>
      </c>
      <c r="C5593">
        <v>3</v>
      </c>
      <c r="D5593" t="s">
        <v>19</v>
      </c>
      <c r="E5593">
        <v>1897294</v>
      </c>
      <c r="F5593">
        <v>2765</v>
      </c>
      <c r="G5593">
        <v>644</v>
      </c>
    </row>
    <row r="5594" spans="1:8" x14ac:dyDescent="0.45">
      <c r="A5594" t="s">
        <v>78</v>
      </c>
      <c r="B5594" t="s">
        <v>20</v>
      </c>
      <c r="C5594">
        <v>3</v>
      </c>
      <c r="D5594" t="s">
        <v>27</v>
      </c>
      <c r="F5594">
        <v>599</v>
      </c>
    </row>
    <row r="5595" spans="1:8" x14ac:dyDescent="0.45">
      <c r="A5595" t="s">
        <v>78</v>
      </c>
      <c r="B5595" t="s">
        <v>20</v>
      </c>
      <c r="C5595">
        <v>3</v>
      </c>
      <c r="D5595" t="s">
        <v>28</v>
      </c>
      <c r="F5595">
        <v>478</v>
      </c>
    </row>
    <row r="5596" spans="1:8" x14ac:dyDescent="0.45">
      <c r="A5596" t="s">
        <v>78</v>
      </c>
      <c r="B5596" t="s">
        <v>20</v>
      </c>
      <c r="C5596">
        <v>3</v>
      </c>
      <c r="D5596" t="s">
        <v>29</v>
      </c>
      <c r="F5596">
        <v>476</v>
      </c>
    </row>
    <row r="5597" spans="1:8" x14ac:dyDescent="0.45">
      <c r="A5597" t="s">
        <v>78</v>
      </c>
      <c r="B5597" t="s">
        <v>20</v>
      </c>
      <c r="C5597">
        <v>3</v>
      </c>
      <c r="D5597" t="s">
        <v>31</v>
      </c>
      <c r="H5597">
        <v>103</v>
      </c>
    </row>
    <row r="5598" spans="1:8" x14ac:dyDescent="0.45">
      <c r="A5598" t="s">
        <v>78</v>
      </c>
      <c r="B5598" t="s">
        <v>20</v>
      </c>
      <c r="C5598">
        <v>3</v>
      </c>
      <c r="D5598" t="s">
        <v>32</v>
      </c>
      <c r="H5598">
        <v>8</v>
      </c>
    </row>
    <row r="5599" spans="1:8" x14ac:dyDescent="0.45">
      <c r="A5599" t="s">
        <v>78</v>
      </c>
      <c r="B5599" t="s">
        <v>20</v>
      </c>
      <c r="C5599">
        <v>3</v>
      </c>
      <c r="D5599" t="s">
        <v>34</v>
      </c>
      <c r="H5599">
        <v>10</v>
      </c>
    </row>
    <row r="5600" spans="1:8" x14ac:dyDescent="0.45">
      <c r="A5600" t="s">
        <v>78</v>
      </c>
      <c r="B5600" t="s">
        <v>21</v>
      </c>
      <c r="C5600">
        <v>4</v>
      </c>
      <c r="D5600" t="s">
        <v>19</v>
      </c>
      <c r="E5600">
        <v>3019767</v>
      </c>
      <c r="F5600">
        <v>4382</v>
      </c>
      <c r="G5600">
        <v>1098</v>
      </c>
    </row>
    <row r="5601" spans="1:8" x14ac:dyDescent="0.45">
      <c r="A5601" t="s">
        <v>78</v>
      </c>
      <c r="B5601" t="s">
        <v>21</v>
      </c>
      <c r="C5601">
        <v>4</v>
      </c>
      <c r="D5601" t="s">
        <v>27</v>
      </c>
      <c r="F5601">
        <v>853</v>
      </c>
    </row>
    <row r="5602" spans="1:8" x14ac:dyDescent="0.45">
      <c r="A5602" t="s">
        <v>78</v>
      </c>
      <c r="B5602" t="s">
        <v>21</v>
      </c>
      <c r="C5602">
        <v>4</v>
      </c>
      <c r="D5602" t="s">
        <v>28</v>
      </c>
      <c r="F5602">
        <v>668</v>
      </c>
    </row>
    <row r="5603" spans="1:8" x14ac:dyDescent="0.45">
      <c r="A5603" t="s">
        <v>78</v>
      </c>
      <c r="B5603" t="s">
        <v>21</v>
      </c>
      <c r="C5603">
        <v>4</v>
      </c>
      <c r="D5603" t="s">
        <v>29</v>
      </c>
      <c r="F5603">
        <v>578</v>
      </c>
    </row>
    <row r="5604" spans="1:8" x14ac:dyDescent="0.45">
      <c r="A5604" t="s">
        <v>78</v>
      </c>
      <c r="B5604" t="s">
        <v>20</v>
      </c>
      <c r="C5604">
        <v>4</v>
      </c>
      <c r="D5604" t="s">
        <v>19</v>
      </c>
      <c r="E5604">
        <v>2943707</v>
      </c>
      <c r="F5604">
        <v>4347</v>
      </c>
      <c r="G5604">
        <v>1102</v>
      </c>
    </row>
    <row r="5605" spans="1:8" x14ac:dyDescent="0.45">
      <c r="A5605" t="s">
        <v>78</v>
      </c>
      <c r="B5605" t="s">
        <v>20</v>
      </c>
      <c r="C5605">
        <v>4</v>
      </c>
      <c r="D5605" t="s">
        <v>27</v>
      </c>
      <c r="F5605">
        <v>721</v>
      </c>
    </row>
    <row r="5606" spans="1:8" x14ac:dyDescent="0.45">
      <c r="A5606" t="s">
        <v>78</v>
      </c>
      <c r="B5606" t="s">
        <v>20</v>
      </c>
      <c r="C5606">
        <v>4</v>
      </c>
      <c r="D5606" t="s">
        <v>28</v>
      </c>
      <c r="F5606">
        <v>736</v>
      </c>
    </row>
    <row r="5607" spans="1:8" x14ac:dyDescent="0.45">
      <c r="A5607" t="s">
        <v>78</v>
      </c>
      <c r="B5607" t="s">
        <v>20</v>
      </c>
      <c r="C5607">
        <v>4</v>
      </c>
      <c r="D5607" t="s">
        <v>29</v>
      </c>
      <c r="F5607">
        <v>620</v>
      </c>
    </row>
    <row r="5608" spans="1:8" x14ac:dyDescent="0.45">
      <c r="A5608" t="s">
        <v>78</v>
      </c>
      <c r="B5608" t="s">
        <v>20</v>
      </c>
      <c r="C5608">
        <v>4</v>
      </c>
      <c r="D5608" t="s">
        <v>31</v>
      </c>
      <c r="H5608">
        <v>153</v>
      </c>
    </row>
    <row r="5609" spans="1:8" x14ac:dyDescent="0.45">
      <c r="A5609" t="s">
        <v>78</v>
      </c>
      <c r="B5609" t="s">
        <v>20</v>
      </c>
      <c r="C5609">
        <v>4</v>
      </c>
      <c r="D5609" t="s">
        <v>32</v>
      </c>
      <c r="H5609">
        <v>13</v>
      </c>
    </row>
    <row r="5610" spans="1:8" x14ac:dyDescent="0.45">
      <c r="A5610" t="s">
        <v>78</v>
      </c>
      <c r="B5610" t="s">
        <v>20</v>
      </c>
      <c r="C5610">
        <v>4</v>
      </c>
      <c r="D5610" t="s">
        <v>34</v>
      </c>
      <c r="H5610">
        <v>11</v>
      </c>
    </row>
    <row r="5611" spans="1:8" x14ac:dyDescent="0.45">
      <c r="A5611" t="s">
        <v>78</v>
      </c>
      <c r="B5611" t="s">
        <v>21</v>
      </c>
      <c r="C5611">
        <v>5</v>
      </c>
      <c r="D5611" t="s">
        <v>19</v>
      </c>
      <c r="E5611">
        <v>2452890</v>
      </c>
      <c r="F5611">
        <v>3502</v>
      </c>
    </row>
    <row r="5612" spans="1:8" x14ac:dyDescent="0.45">
      <c r="A5612" t="s">
        <v>78</v>
      </c>
      <c r="B5612" t="s">
        <v>21</v>
      </c>
      <c r="C5612">
        <v>5</v>
      </c>
      <c r="D5612" t="s">
        <v>27</v>
      </c>
      <c r="F5612">
        <v>710</v>
      </c>
    </row>
    <row r="5613" spans="1:8" x14ac:dyDescent="0.45">
      <c r="A5613" t="s">
        <v>78</v>
      </c>
      <c r="B5613" t="s">
        <v>21</v>
      </c>
      <c r="C5613">
        <v>5</v>
      </c>
      <c r="D5613" t="s">
        <v>28</v>
      </c>
      <c r="F5613">
        <v>596</v>
      </c>
    </row>
    <row r="5614" spans="1:8" x14ac:dyDescent="0.45">
      <c r="A5614" t="s">
        <v>78</v>
      </c>
      <c r="B5614" t="s">
        <v>21</v>
      </c>
      <c r="C5614">
        <v>5</v>
      </c>
      <c r="D5614" t="s">
        <v>29</v>
      </c>
      <c r="F5614">
        <v>436</v>
      </c>
    </row>
    <row r="5615" spans="1:8" x14ac:dyDescent="0.45">
      <c r="A5615" t="s">
        <v>78</v>
      </c>
      <c r="B5615" t="s">
        <v>20</v>
      </c>
      <c r="C5615">
        <v>5</v>
      </c>
      <c r="D5615" t="s">
        <v>19</v>
      </c>
      <c r="E5615">
        <v>2248516</v>
      </c>
      <c r="F5615">
        <v>2907</v>
      </c>
    </row>
    <row r="5616" spans="1:8" x14ac:dyDescent="0.45">
      <c r="A5616" t="s">
        <v>78</v>
      </c>
      <c r="B5616" t="s">
        <v>20</v>
      </c>
      <c r="C5616">
        <v>5</v>
      </c>
      <c r="D5616" t="s">
        <v>27</v>
      </c>
      <c r="F5616">
        <v>525</v>
      </c>
    </row>
    <row r="5617" spans="1:8" x14ac:dyDescent="0.45">
      <c r="A5617" t="s">
        <v>78</v>
      </c>
      <c r="B5617" t="s">
        <v>20</v>
      </c>
      <c r="C5617">
        <v>5</v>
      </c>
      <c r="D5617" t="s">
        <v>28</v>
      </c>
      <c r="F5617">
        <v>472</v>
      </c>
    </row>
    <row r="5618" spans="1:8" x14ac:dyDescent="0.45">
      <c r="A5618" t="s">
        <v>78</v>
      </c>
      <c r="B5618" t="s">
        <v>20</v>
      </c>
      <c r="C5618">
        <v>5</v>
      </c>
      <c r="D5618" t="s">
        <v>29</v>
      </c>
      <c r="F5618">
        <v>363</v>
      </c>
    </row>
    <row r="5619" spans="1:8" x14ac:dyDescent="0.45">
      <c r="A5619" t="s">
        <v>78</v>
      </c>
      <c r="B5619" t="s">
        <v>20</v>
      </c>
      <c r="C5619">
        <v>5</v>
      </c>
      <c r="D5619" t="s">
        <v>31</v>
      </c>
      <c r="H5619">
        <v>123</v>
      </c>
    </row>
    <row r="5620" spans="1:8" x14ac:dyDescent="0.45">
      <c r="A5620" t="s">
        <v>78</v>
      </c>
      <c r="B5620" t="s">
        <v>20</v>
      </c>
      <c r="C5620">
        <v>5</v>
      </c>
      <c r="D5620" t="s">
        <v>32</v>
      </c>
      <c r="H5620">
        <v>10</v>
      </c>
    </row>
    <row r="5621" spans="1:8" x14ac:dyDescent="0.45">
      <c r="A5621" t="s">
        <v>78</v>
      </c>
      <c r="B5621" t="s">
        <v>20</v>
      </c>
      <c r="C5621">
        <v>5</v>
      </c>
      <c r="D5621" t="s">
        <v>34</v>
      </c>
      <c r="H5621">
        <v>12</v>
      </c>
    </row>
    <row r="5622" spans="1:8" x14ac:dyDescent="0.45">
      <c r="A5622" t="s">
        <v>78</v>
      </c>
      <c r="B5622" t="s">
        <v>21</v>
      </c>
      <c r="C5622">
        <v>6</v>
      </c>
      <c r="D5622" t="s">
        <v>19</v>
      </c>
      <c r="E5622">
        <v>2302422</v>
      </c>
      <c r="F5622">
        <v>3199</v>
      </c>
      <c r="G5622">
        <v>1686</v>
      </c>
    </row>
    <row r="5623" spans="1:8" x14ac:dyDescent="0.45">
      <c r="A5623" t="s">
        <v>78</v>
      </c>
      <c r="B5623" t="s">
        <v>21</v>
      </c>
      <c r="C5623">
        <v>6</v>
      </c>
      <c r="D5623" t="s">
        <v>27</v>
      </c>
      <c r="F5623">
        <v>776</v>
      </c>
    </row>
    <row r="5624" spans="1:8" x14ac:dyDescent="0.45">
      <c r="A5624" t="s">
        <v>78</v>
      </c>
      <c r="B5624" t="s">
        <v>21</v>
      </c>
      <c r="C5624">
        <v>6</v>
      </c>
      <c r="D5624" t="s">
        <v>28</v>
      </c>
      <c r="F5624">
        <v>570</v>
      </c>
    </row>
    <row r="5625" spans="1:8" x14ac:dyDescent="0.45">
      <c r="A5625" t="s">
        <v>78</v>
      </c>
      <c r="B5625" t="s">
        <v>21</v>
      </c>
      <c r="C5625">
        <v>6</v>
      </c>
      <c r="D5625" t="s">
        <v>29</v>
      </c>
      <c r="F5625">
        <v>512</v>
      </c>
    </row>
    <row r="5626" spans="1:8" x14ac:dyDescent="0.45">
      <c r="A5626" t="s">
        <v>78</v>
      </c>
      <c r="B5626" t="s">
        <v>20</v>
      </c>
      <c r="C5626">
        <v>6</v>
      </c>
      <c r="D5626" t="s">
        <v>19</v>
      </c>
      <c r="E5626">
        <v>2033369</v>
      </c>
      <c r="F5626">
        <v>2876</v>
      </c>
    </row>
    <row r="5627" spans="1:8" x14ac:dyDescent="0.45">
      <c r="A5627" t="s">
        <v>78</v>
      </c>
      <c r="B5627" t="s">
        <v>20</v>
      </c>
      <c r="C5627">
        <v>6</v>
      </c>
      <c r="D5627" t="s">
        <v>27</v>
      </c>
      <c r="F5627">
        <v>668</v>
      </c>
    </row>
    <row r="5628" spans="1:8" x14ac:dyDescent="0.45">
      <c r="A5628" t="s">
        <v>78</v>
      </c>
      <c r="B5628" t="s">
        <v>20</v>
      </c>
      <c r="C5628">
        <v>6</v>
      </c>
      <c r="D5628" t="s">
        <v>28</v>
      </c>
      <c r="F5628">
        <v>500</v>
      </c>
    </row>
    <row r="5629" spans="1:8" x14ac:dyDescent="0.45">
      <c r="A5629" t="s">
        <v>78</v>
      </c>
      <c r="B5629" t="s">
        <v>20</v>
      </c>
      <c r="C5629">
        <v>6</v>
      </c>
      <c r="D5629" t="s">
        <v>29</v>
      </c>
      <c r="F5629">
        <v>431</v>
      </c>
    </row>
    <row r="5630" spans="1:8" x14ac:dyDescent="0.45">
      <c r="A5630" t="s">
        <v>78</v>
      </c>
      <c r="B5630" t="s">
        <v>20</v>
      </c>
      <c r="C5630">
        <v>6</v>
      </c>
      <c r="D5630" t="s">
        <v>31</v>
      </c>
      <c r="H5630">
        <v>71</v>
      </c>
    </row>
    <row r="5631" spans="1:8" x14ac:dyDescent="0.45">
      <c r="A5631" t="s">
        <v>78</v>
      </c>
      <c r="B5631" t="s">
        <v>20</v>
      </c>
      <c r="C5631">
        <v>6</v>
      </c>
      <c r="D5631" t="s">
        <v>32</v>
      </c>
      <c r="H5631">
        <v>7</v>
      </c>
    </row>
    <row r="5632" spans="1:8" x14ac:dyDescent="0.45">
      <c r="A5632" t="s">
        <v>78</v>
      </c>
      <c r="B5632" t="s">
        <v>20</v>
      </c>
      <c r="C5632">
        <v>6</v>
      </c>
      <c r="D5632" t="s">
        <v>34</v>
      </c>
      <c r="H5632">
        <v>11</v>
      </c>
    </row>
    <row r="5633" spans="1:8" x14ac:dyDescent="0.45">
      <c r="A5633" t="s">
        <v>78</v>
      </c>
      <c r="B5633" t="s">
        <v>21</v>
      </c>
      <c r="C5633">
        <v>7</v>
      </c>
      <c r="D5633" t="s">
        <v>19</v>
      </c>
      <c r="E5633">
        <v>1720947</v>
      </c>
      <c r="F5633">
        <v>2661</v>
      </c>
    </row>
    <row r="5634" spans="1:8" x14ac:dyDescent="0.45">
      <c r="A5634" t="s">
        <v>78</v>
      </c>
      <c r="B5634" t="s">
        <v>21</v>
      </c>
      <c r="C5634">
        <v>7</v>
      </c>
      <c r="D5634" t="s">
        <v>27</v>
      </c>
      <c r="F5634">
        <v>777</v>
      </c>
    </row>
    <row r="5635" spans="1:8" x14ac:dyDescent="0.45">
      <c r="A5635" t="s">
        <v>78</v>
      </c>
      <c r="B5635" t="s">
        <v>21</v>
      </c>
      <c r="C5635">
        <v>7</v>
      </c>
      <c r="D5635" t="s">
        <v>28</v>
      </c>
      <c r="F5635">
        <v>499</v>
      </c>
    </row>
    <row r="5636" spans="1:8" x14ac:dyDescent="0.45">
      <c r="A5636" t="s">
        <v>78</v>
      </c>
      <c r="B5636" t="s">
        <v>21</v>
      </c>
      <c r="C5636">
        <v>7</v>
      </c>
      <c r="D5636" t="s">
        <v>29</v>
      </c>
      <c r="F5636">
        <v>334</v>
      </c>
    </row>
    <row r="5637" spans="1:8" x14ac:dyDescent="0.45">
      <c r="A5637" t="s">
        <v>78</v>
      </c>
      <c r="B5637" t="s">
        <v>20</v>
      </c>
      <c r="C5637">
        <v>7</v>
      </c>
      <c r="D5637" t="s">
        <v>19</v>
      </c>
      <c r="E5637">
        <v>1914940</v>
      </c>
      <c r="F5637">
        <v>2740</v>
      </c>
    </row>
    <row r="5638" spans="1:8" x14ac:dyDescent="0.45">
      <c r="A5638" t="s">
        <v>78</v>
      </c>
      <c r="B5638" t="s">
        <v>20</v>
      </c>
      <c r="C5638">
        <v>7</v>
      </c>
      <c r="D5638" t="s">
        <v>27</v>
      </c>
      <c r="F5638">
        <v>588</v>
      </c>
    </row>
    <row r="5639" spans="1:8" x14ac:dyDescent="0.45">
      <c r="A5639" t="s">
        <v>78</v>
      </c>
      <c r="B5639" t="s">
        <v>20</v>
      </c>
      <c r="C5639">
        <v>7</v>
      </c>
      <c r="D5639" t="s">
        <v>28</v>
      </c>
      <c r="F5639">
        <v>548</v>
      </c>
    </row>
    <row r="5640" spans="1:8" x14ac:dyDescent="0.45">
      <c r="A5640" t="s">
        <v>78</v>
      </c>
      <c r="B5640" t="s">
        <v>20</v>
      </c>
      <c r="C5640">
        <v>7</v>
      </c>
      <c r="D5640" t="s">
        <v>29</v>
      </c>
      <c r="F5640">
        <v>410</v>
      </c>
    </row>
    <row r="5641" spans="1:8" x14ac:dyDescent="0.45">
      <c r="A5641" t="s">
        <v>78</v>
      </c>
      <c r="B5641" t="s">
        <v>20</v>
      </c>
      <c r="C5641">
        <v>7</v>
      </c>
      <c r="D5641" t="s">
        <v>31</v>
      </c>
      <c r="H5641">
        <v>218</v>
      </c>
    </row>
    <row r="5642" spans="1:8" x14ac:dyDescent="0.45">
      <c r="A5642" t="s">
        <v>78</v>
      </c>
      <c r="B5642" t="s">
        <v>20</v>
      </c>
      <c r="C5642">
        <v>7</v>
      </c>
      <c r="D5642" t="s">
        <v>32</v>
      </c>
      <c r="H5642">
        <v>3</v>
      </c>
    </row>
    <row r="5643" spans="1:8" x14ac:dyDescent="0.45">
      <c r="A5643" t="s">
        <v>78</v>
      </c>
      <c r="B5643" t="s">
        <v>20</v>
      </c>
      <c r="C5643">
        <v>7</v>
      </c>
      <c r="D5643" t="s">
        <v>34</v>
      </c>
      <c r="H5643">
        <v>9</v>
      </c>
    </row>
    <row r="5644" spans="1:8" x14ac:dyDescent="0.45">
      <c r="A5644" t="s">
        <v>78</v>
      </c>
      <c r="B5644" t="s">
        <v>21</v>
      </c>
      <c r="C5644">
        <v>8</v>
      </c>
      <c r="D5644" t="s">
        <v>19</v>
      </c>
      <c r="E5644">
        <v>1207563</v>
      </c>
      <c r="F5644">
        <v>2221</v>
      </c>
      <c r="G5644">
        <v>642</v>
      </c>
    </row>
    <row r="5645" spans="1:8" x14ac:dyDescent="0.45">
      <c r="A5645" t="s">
        <v>78</v>
      </c>
      <c r="B5645" t="s">
        <v>21</v>
      </c>
      <c r="C5645">
        <v>8</v>
      </c>
      <c r="D5645" t="s">
        <v>27</v>
      </c>
      <c r="F5645">
        <v>677</v>
      </c>
      <c r="G5645">
        <v>924</v>
      </c>
    </row>
    <row r="5646" spans="1:8" x14ac:dyDescent="0.45">
      <c r="A5646" t="s">
        <v>78</v>
      </c>
      <c r="B5646" t="s">
        <v>21</v>
      </c>
      <c r="C5646">
        <v>8</v>
      </c>
      <c r="D5646" t="s">
        <v>28</v>
      </c>
      <c r="F5646">
        <v>510</v>
      </c>
      <c r="G5646">
        <v>1079</v>
      </c>
    </row>
    <row r="5647" spans="1:8" x14ac:dyDescent="0.45">
      <c r="A5647" t="s">
        <v>78</v>
      </c>
      <c r="B5647" t="s">
        <v>21</v>
      </c>
      <c r="C5647">
        <v>8</v>
      </c>
      <c r="D5647" t="s">
        <v>29</v>
      </c>
      <c r="F5647">
        <v>264</v>
      </c>
      <c r="G5647">
        <v>918</v>
      </c>
    </row>
    <row r="5648" spans="1:8" x14ac:dyDescent="0.45">
      <c r="A5648" t="s">
        <v>78</v>
      </c>
      <c r="B5648" t="s">
        <v>20</v>
      </c>
      <c r="C5648">
        <v>8</v>
      </c>
      <c r="D5648" t="s">
        <v>19</v>
      </c>
      <c r="E5648">
        <v>1160909</v>
      </c>
      <c r="F5648">
        <v>1912</v>
      </c>
      <c r="G5648">
        <v>605</v>
      </c>
    </row>
    <row r="5649" spans="1:8" x14ac:dyDescent="0.45">
      <c r="A5649" t="s">
        <v>78</v>
      </c>
      <c r="B5649" t="s">
        <v>20</v>
      </c>
      <c r="C5649">
        <v>8</v>
      </c>
      <c r="D5649" t="s">
        <v>27</v>
      </c>
      <c r="F5649">
        <v>578</v>
      </c>
      <c r="G5649">
        <v>952</v>
      </c>
    </row>
    <row r="5650" spans="1:8" x14ac:dyDescent="0.45">
      <c r="A5650" t="s">
        <v>78</v>
      </c>
      <c r="B5650" t="s">
        <v>20</v>
      </c>
      <c r="C5650">
        <v>8</v>
      </c>
      <c r="D5650" t="s">
        <v>28</v>
      </c>
      <c r="F5650">
        <v>411</v>
      </c>
      <c r="G5650">
        <v>877</v>
      </c>
    </row>
    <row r="5651" spans="1:8" x14ac:dyDescent="0.45">
      <c r="A5651" t="s">
        <v>78</v>
      </c>
      <c r="B5651" t="s">
        <v>20</v>
      </c>
      <c r="C5651">
        <v>8</v>
      </c>
      <c r="D5651" t="s">
        <v>29</v>
      </c>
      <c r="F5651">
        <v>215</v>
      </c>
      <c r="G5651">
        <v>1409</v>
      </c>
    </row>
    <row r="5652" spans="1:8" x14ac:dyDescent="0.45">
      <c r="A5652" t="s">
        <v>78</v>
      </c>
      <c r="B5652" t="s">
        <v>20</v>
      </c>
      <c r="C5652">
        <v>8</v>
      </c>
      <c r="D5652" t="s">
        <v>31</v>
      </c>
      <c r="H5652">
        <v>31</v>
      </c>
    </row>
    <row r="5653" spans="1:8" x14ac:dyDescent="0.45">
      <c r="A5653" t="s">
        <v>78</v>
      </c>
      <c r="B5653" t="s">
        <v>20</v>
      </c>
      <c r="C5653">
        <v>8</v>
      </c>
      <c r="D5653" t="s">
        <v>32</v>
      </c>
      <c r="H5653">
        <v>20</v>
      </c>
    </row>
    <row r="5654" spans="1:8" x14ac:dyDescent="0.45">
      <c r="A5654" t="s">
        <v>78</v>
      </c>
      <c r="B5654" t="s">
        <v>20</v>
      </c>
      <c r="C5654">
        <v>8</v>
      </c>
      <c r="D5654" t="s">
        <v>34</v>
      </c>
      <c r="H5654">
        <v>5</v>
      </c>
    </row>
    <row r="5655" spans="1:8" x14ac:dyDescent="0.45">
      <c r="A5655" t="s">
        <v>78</v>
      </c>
      <c r="B5655" t="s">
        <v>21</v>
      </c>
      <c r="C5655">
        <v>9</v>
      </c>
      <c r="D5655" t="s">
        <v>19</v>
      </c>
      <c r="E5655">
        <v>1164191</v>
      </c>
      <c r="F5655">
        <v>2162</v>
      </c>
      <c r="G5655">
        <v>611</v>
      </c>
    </row>
    <row r="5656" spans="1:8" x14ac:dyDescent="0.45">
      <c r="A5656" t="s">
        <v>78</v>
      </c>
      <c r="B5656" t="s">
        <v>21</v>
      </c>
      <c r="C5656">
        <v>9</v>
      </c>
      <c r="D5656" t="s">
        <v>27</v>
      </c>
      <c r="F5656">
        <v>749</v>
      </c>
    </row>
    <row r="5657" spans="1:8" x14ac:dyDescent="0.45">
      <c r="A5657" t="s">
        <v>78</v>
      </c>
      <c r="B5657" t="s">
        <v>21</v>
      </c>
      <c r="C5657">
        <v>9</v>
      </c>
      <c r="D5657" t="s">
        <v>28</v>
      </c>
      <c r="F5657">
        <v>447</v>
      </c>
    </row>
    <row r="5658" spans="1:8" x14ac:dyDescent="0.45">
      <c r="A5658" t="s">
        <v>78</v>
      </c>
      <c r="B5658" t="s">
        <v>21</v>
      </c>
      <c r="C5658">
        <v>9</v>
      </c>
      <c r="D5658" t="s">
        <v>29</v>
      </c>
      <c r="F5658">
        <v>276</v>
      </c>
    </row>
    <row r="5659" spans="1:8" x14ac:dyDescent="0.45">
      <c r="A5659" t="s">
        <v>78</v>
      </c>
      <c r="B5659" t="s">
        <v>20</v>
      </c>
      <c r="C5659">
        <v>9</v>
      </c>
      <c r="D5659" t="s">
        <v>19</v>
      </c>
      <c r="E5659">
        <v>1257545</v>
      </c>
      <c r="F5659">
        <v>2141</v>
      </c>
      <c r="G5659">
        <v>610</v>
      </c>
    </row>
    <row r="5660" spans="1:8" x14ac:dyDescent="0.45">
      <c r="A5660" t="s">
        <v>78</v>
      </c>
      <c r="B5660" t="s">
        <v>20</v>
      </c>
      <c r="C5660">
        <v>9</v>
      </c>
      <c r="D5660" t="s">
        <v>27</v>
      </c>
      <c r="F5660">
        <v>661</v>
      </c>
    </row>
    <row r="5661" spans="1:8" x14ac:dyDescent="0.45">
      <c r="A5661" t="s">
        <v>78</v>
      </c>
      <c r="B5661" t="s">
        <v>20</v>
      </c>
      <c r="C5661">
        <v>9</v>
      </c>
      <c r="D5661" t="s">
        <v>28</v>
      </c>
      <c r="F5661">
        <v>419</v>
      </c>
    </row>
    <row r="5662" spans="1:8" x14ac:dyDescent="0.45">
      <c r="A5662" t="s">
        <v>78</v>
      </c>
      <c r="B5662" t="s">
        <v>20</v>
      </c>
      <c r="C5662">
        <v>9</v>
      </c>
      <c r="D5662" t="s">
        <v>29</v>
      </c>
      <c r="F5662">
        <v>292</v>
      </c>
    </row>
    <row r="5663" spans="1:8" x14ac:dyDescent="0.45">
      <c r="A5663" t="s">
        <v>78</v>
      </c>
      <c r="B5663" t="s">
        <v>20</v>
      </c>
      <c r="C5663">
        <v>9</v>
      </c>
      <c r="D5663" t="s">
        <v>31</v>
      </c>
      <c r="H5663">
        <v>184</v>
      </c>
    </row>
    <row r="5664" spans="1:8" x14ac:dyDescent="0.45">
      <c r="A5664" t="s">
        <v>78</v>
      </c>
      <c r="B5664" t="s">
        <v>20</v>
      </c>
      <c r="C5664">
        <v>9</v>
      </c>
      <c r="D5664" t="s">
        <v>32</v>
      </c>
      <c r="H5664">
        <v>11</v>
      </c>
    </row>
    <row r="5665" spans="1:8" x14ac:dyDescent="0.45">
      <c r="A5665" t="s">
        <v>78</v>
      </c>
      <c r="B5665" t="s">
        <v>20</v>
      </c>
      <c r="C5665">
        <v>9</v>
      </c>
      <c r="D5665" t="s">
        <v>34</v>
      </c>
      <c r="H5665">
        <v>4</v>
      </c>
    </row>
    <row r="5666" spans="1:8" x14ac:dyDescent="0.45">
      <c r="A5666" t="s">
        <v>78</v>
      </c>
      <c r="B5666" t="s">
        <v>21</v>
      </c>
      <c r="C5666">
        <v>10</v>
      </c>
      <c r="D5666" t="s">
        <v>19</v>
      </c>
      <c r="E5666">
        <v>1604225</v>
      </c>
      <c r="F5666">
        <v>3032</v>
      </c>
      <c r="G5666">
        <v>823</v>
      </c>
    </row>
    <row r="5667" spans="1:8" x14ac:dyDescent="0.45">
      <c r="A5667" t="s">
        <v>78</v>
      </c>
      <c r="B5667" t="s">
        <v>21</v>
      </c>
      <c r="C5667">
        <v>10</v>
      </c>
      <c r="D5667" t="s">
        <v>27</v>
      </c>
      <c r="F5667">
        <v>852</v>
      </c>
    </row>
    <row r="5668" spans="1:8" x14ac:dyDescent="0.45">
      <c r="A5668" t="s">
        <v>78</v>
      </c>
      <c r="B5668" t="s">
        <v>21</v>
      </c>
      <c r="C5668">
        <v>10</v>
      </c>
      <c r="D5668" t="s">
        <v>28</v>
      </c>
      <c r="F5668">
        <v>630</v>
      </c>
    </row>
    <row r="5669" spans="1:8" x14ac:dyDescent="0.45">
      <c r="A5669" t="s">
        <v>78</v>
      </c>
      <c r="B5669" t="s">
        <v>21</v>
      </c>
      <c r="C5669">
        <v>10</v>
      </c>
      <c r="D5669" t="s">
        <v>29</v>
      </c>
      <c r="F5669">
        <v>414</v>
      </c>
    </row>
    <row r="5670" spans="1:8" x14ac:dyDescent="0.45">
      <c r="A5670" t="s">
        <v>78</v>
      </c>
      <c r="B5670" t="s">
        <v>20</v>
      </c>
      <c r="C5670">
        <v>10</v>
      </c>
      <c r="D5670" t="s">
        <v>19</v>
      </c>
      <c r="E5670">
        <v>1777657</v>
      </c>
      <c r="F5670">
        <v>2827</v>
      </c>
    </row>
    <row r="5671" spans="1:8" x14ac:dyDescent="0.45">
      <c r="A5671" t="s">
        <v>78</v>
      </c>
      <c r="B5671" t="s">
        <v>20</v>
      </c>
      <c r="C5671">
        <v>10</v>
      </c>
      <c r="D5671" t="s">
        <v>27</v>
      </c>
      <c r="F5671">
        <v>738</v>
      </c>
    </row>
    <row r="5672" spans="1:8" x14ac:dyDescent="0.45">
      <c r="A5672" t="s">
        <v>78</v>
      </c>
      <c r="B5672" t="s">
        <v>20</v>
      </c>
      <c r="C5672">
        <v>10</v>
      </c>
      <c r="D5672" t="s">
        <v>28</v>
      </c>
      <c r="F5672">
        <v>568</v>
      </c>
    </row>
    <row r="5673" spans="1:8" x14ac:dyDescent="0.45">
      <c r="A5673" t="s">
        <v>78</v>
      </c>
      <c r="B5673" t="s">
        <v>20</v>
      </c>
      <c r="C5673">
        <v>10</v>
      </c>
      <c r="D5673" t="s">
        <v>29</v>
      </c>
      <c r="F5673">
        <v>394</v>
      </c>
    </row>
    <row r="5674" spans="1:8" x14ac:dyDescent="0.45">
      <c r="A5674" t="s">
        <v>78</v>
      </c>
      <c r="B5674" t="s">
        <v>20</v>
      </c>
      <c r="C5674">
        <v>10</v>
      </c>
      <c r="D5674" t="s">
        <v>31</v>
      </c>
      <c r="H5674">
        <v>180</v>
      </c>
    </row>
    <row r="5675" spans="1:8" x14ac:dyDescent="0.45">
      <c r="A5675" t="s">
        <v>78</v>
      </c>
      <c r="B5675" t="s">
        <v>20</v>
      </c>
      <c r="C5675">
        <v>10</v>
      </c>
      <c r="D5675" t="s">
        <v>32</v>
      </c>
      <c r="H5675">
        <v>11</v>
      </c>
    </row>
    <row r="5676" spans="1:8" x14ac:dyDescent="0.45">
      <c r="A5676" t="s">
        <v>78</v>
      </c>
      <c r="B5676" t="s">
        <v>20</v>
      </c>
      <c r="C5676">
        <v>10</v>
      </c>
      <c r="D5676" t="s">
        <v>34</v>
      </c>
      <c r="H5676">
        <v>10</v>
      </c>
    </row>
    <row r="5677" spans="1:8" x14ac:dyDescent="0.45">
      <c r="A5677" t="s">
        <v>78</v>
      </c>
      <c r="B5677" t="s">
        <v>21</v>
      </c>
      <c r="C5677">
        <v>11</v>
      </c>
      <c r="D5677" t="s">
        <v>19</v>
      </c>
      <c r="E5677">
        <v>1549054</v>
      </c>
      <c r="F5677">
        <v>2532</v>
      </c>
      <c r="G5677">
        <v>720</v>
      </c>
    </row>
    <row r="5678" spans="1:8" x14ac:dyDescent="0.45">
      <c r="A5678" t="s">
        <v>78</v>
      </c>
      <c r="B5678" t="s">
        <v>21</v>
      </c>
      <c r="C5678">
        <v>11</v>
      </c>
      <c r="D5678" t="s">
        <v>27</v>
      </c>
      <c r="F5678">
        <v>821</v>
      </c>
    </row>
    <row r="5679" spans="1:8" x14ac:dyDescent="0.45">
      <c r="A5679" t="s">
        <v>78</v>
      </c>
      <c r="B5679" t="s">
        <v>21</v>
      </c>
      <c r="C5679">
        <v>11</v>
      </c>
      <c r="D5679" t="s">
        <v>28</v>
      </c>
      <c r="F5679">
        <v>478</v>
      </c>
    </row>
    <row r="5680" spans="1:8" x14ac:dyDescent="0.45">
      <c r="A5680" t="s">
        <v>78</v>
      </c>
      <c r="B5680" t="s">
        <v>21</v>
      </c>
      <c r="C5680">
        <v>11</v>
      </c>
      <c r="D5680" t="s">
        <v>29</v>
      </c>
      <c r="F5680">
        <v>312</v>
      </c>
    </row>
    <row r="5681" spans="1:8" x14ac:dyDescent="0.45">
      <c r="A5681" t="s">
        <v>78</v>
      </c>
      <c r="B5681" t="s">
        <v>20</v>
      </c>
      <c r="C5681">
        <v>11</v>
      </c>
      <c r="D5681" t="s">
        <v>19</v>
      </c>
      <c r="E5681">
        <v>1504866</v>
      </c>
      <c r="F5681">
        <v>2567</v>
      </c>
      <c r="G5681">
        <v>768</v>
      </c>
    </row>
    <row r="5682" spans="1:8" x14ac:dyDescent="0.45">
      <c r="A5682" t="s">
        <v>78</v>
      </c>
      <c r="B5682" t="s">
        <v>20</v>
      </c>
      <c r="C5682">
        <v>11</v>
      </c>
      <c r="D5682" t="s">
        <v>27</v>
      </c>
      <c r="F5682">
        <v>633</v>
      </c>
    </row>
    <row r="5683" spans="1:8" x14ac:dyDescent="0.45">
      <c r="A5683" t="s">
        <v>78</v>
      </c>
      <c r="B5683" t="s">
        <v>20</v>
      </c>
      <c r="C5683">
        <v>11</v>
      </c>
      <c r="D5683" t="s">
        <v>28</v>
      </c>
      <c r="F5683">
        <v>498</v>
      </c>
    </row>
    <row r="5684" spans="1:8" x14ac:dyDescent="0.45">
      <c r="A5684" t="s">
        <v>78</v>
      </c>
      <c r="B5684" t="s">
        <v>20</v>
      </c>
      <c r="C5684">
        <v>11</v>
      </c>
      <c r="D5684" t="s">
        <v>29</v>
      </c>
      <c r="F5684">
        <v>361</v>
      </c>
    </row>
    <row r="5685" spans="1:8" x14ac:dyDescent="0.45">
      <c r="A5685" t="s">
        <v>78</v>
      </c>
      <c r="B5685" t="s">
        <v>20</v>
      </c>
      <c r="C5685">
        <v>11</v>
      </c>
      <c r="D5685" t="s">
        <v>31</v>
      </c>
      <c r="H5685">
        <v>322</v>
      </c>
    </row>
    <row r="5686" spans="1:8" x14ac:dyDescent="0.45">
      <c r="A5686" t="s">
        <v>78</v>
      </c>
      <c r="B5686" t="s">
        <v>20</v>
      </c>
      <c r="C5686">
        <v>11</v>
      </c>
      <c r="D5686" t="s">
        <v>32</v>
      </c>
      <c r="H5686">
        <v>6</v>
      </c>
    </row>
    <row r="5687" spans="1:8" x14ac:dyDescent="0.45">
      <c r="A5687" t="s">
        <v>78</v>
      </c>
      <c r="B5687" t="s">
        <v>20</v>
      </c>
      <c r="C5687">
        <v>11</v>
      </c>
      <c r="D5687" t="s">
        <v>34</v>
      </c>
      <c r="H5687">
        <v>8</v>
      </c>
    </row>
    <row r="5688" spans="1:8" x14ac:dyDescent="0.45">
      <c r="A5688" t="s">
        <v>78</v>
      </c>
      <c r="B5688" t="s">
        <v>21</v>
      </c>
      <c r="C5688">
        <v>12</v>
      </c>
      <c r="D5688" t="s">
        <v>19</v>
      </c>
      <c r="E5688">
        <v>1619502</v>
      </c>
      <c r="F5688">
        <v>3006</v>
      </c>
      <c r="G5688">
        <v>842</v>
      </c>
    </row>
    <row r="5689" spans="1:8" x14ac:dyDescent="0.45">
      <c r="A5689" t="s">
        <v>78</v>
      </c>
      <c r="B5689" t="s">
        <v>21</v>
      </c>
      <c r="C5689">
        <v>12</v>
      </c>
      <c r="D5689" t="s">
        <v>27</v>
      </c>
      <c r="F5689">
        <v>860</v>
      </c>
    </row>
    <row r="5690" spans="1:8" x14ac:dyDescent="0.45">
      <c r="A5690" t="s">
        <v>78</v>
      </c>
      <c r="B5690" t="s">
        <v>21</v>
      </c>
      <c r="C5690">
        <v>12</v>
      </c>
      <c r="D5690" t="s">
        <v>28</v>
      </c>
      <c r="F5690">
        <v>651</v>
      </c>
    </row>
    <row r="5691" spans="1:8" x14ac:dyDescent="0.45">
      <c r="A5691" t="s">
        <v>78</v>
      </c>
      <c r="B5691" t="s">
        <v>21</v>
      </c>
      <c r="C5691">
        <v>12</v>
      </c>
      <c r="D5691" t="s">
        <v>29</v>
      </c>
      <c r="F5691">
        <v>492</v>
      </c>
    </row>
    <row r="5692" spans="1:8" x14ac:dyDescent="0.45">
      <c r="A5692" t="s">
        <v>78</v>
      </c>
      <c r="B5692" t="s">
        <v>20</v>
      </c>
      <c r="C5692">
        <v>12</v>
      </c>
      <c r="D5692" t="s">
        <v>19</v>
      </c>
      <c r="E5692">
        <v>1543529</v>
      </c>
      <c r="F5692">
        <v>2713</v>
      </c>
      <c r="G5692">
        <v>754</v>
      </c>
    </row>
    <row r="5693" spans="1:8" x14ac:dyDescent="0.45">
      <c r="A5693" t="s">
        <v>78</v>
      </c>
      <c r="B5693" t="s">
        <v>20</v>
      </c>
      <c r="C5693">
        <v>12</v>
      </c>
      <c r="D5693" t="s">
        <v>27</v>
      </c>
      <c r="F5693">
        <v>686</v>
      </c>
    </row>
    <row r="5694" spans="1:8" x14ac:dyDescent="0.45">
      <c r="A5694" t="s">
        <v>78</v>
      </c>
      <c r="B5694" t="s">
        <v>20</v>
      </c>
      <c r="C5694">
        <v>12</v>
      </c>
      <c r="D5694" t="s">
        <v>28</v>
      </c>
      <c r="F5694">
        <v>544</v>
      </c>
    </row>
    <row r="5695" spans="1:8" x14ac:dyDescent="0.45">
      <c r="A5695" t="s">
        <v>78</v>
      </c>
      <c r="B5695" t="s">
        <v>20</v>
      </c>
      <c r="C5695">
        <v>12</v>
      </c>
      <c r="D5695" t="s">
        <v>29</v>
      </c>
      <c r="F5695">
        <v>433</v>
      </c>
    </row>
    <row r="5696" spans="1:8" x14ac:dyDescent="0.45">
      <c r="A5696" t="s">
        <v>78</v>
      </c>
      <c r="B5696" t="s">
        <v>20</v>
      </c>
      <c r="C5696">
        <v>12</v>
      </c>
      <c r="D5696" t="s">
        <v>31</v>
      </c>
      <c r="H5696">
        <v>180</v>
      </c>
    </row>
    <row r="5697" spans="1:8" x14ac:dyDescent="0.45">
      <c r="A5697" t="s">
        <v>78</v>
      </c>
      <c r="B5697" t="s">
        <v>20</v>
      </c>
      <c r="C5697">
        <v>12</v>
      </c>
      <c r="D5697" t="s">
        <v>32</v>
      </c>
      <c r="H5697">
        <v>6</v>
      </c>
    </row>
    <row r="5698" spans="1:8" x14ac:dyDescent="0.45">
      <c r="A5698" t="s">
        <v>78</v>
      </c>
      <c r="B5698" t="s">
        <v>20</v>
      </c>
      <c r="C5698">
        <v>12</v>
      </c>
      <c r="D5698" t="s">
        <v>34</v>
      </c>
      <c r="H5698">
        <v>10</v>
      </c>
    </row>
    <row r="5699" spans="1:8" x14ac:dyDescent="0.45">
      <c r="A5699" t="s">
        <v>38</v>
      </c>
      <c r="B5699" t="s">
        <v>21</v>
      </c>
      <c r="C5699">
        <v>1</v>
      </c>
      <c r="D5699" t="s">
        <v>19</v>
      </c>
      <c r="E5699">
        <v>1454711</v>
      </c>
      <c r="F5699">
        <v>2807</v>
      </c>
      <c r="G5699">
        <v>799</v>
      </c>
    </row>
    <row r="5700" spans="1:8" x14ac:dyDescent="0.45">
      <c r="A5700" t="s">
        <v>38</v>
      </c>
      <c r="B5700" t="s">
        <v>21</v>
      </c>
      <c r="C5700">
        <v>1</v>
      </c>
      <c r="D5700" t="s">
        <v>27</v>
      </c>
      <c r="F5700">
        <v>977</v>
      </c>
    </row>
    <row r="5701" spans="1:8" x14ac:dyDescent="0.45">
      <c r="A5701" t="s">
        <v>38</v>
      </c>
      <c r="B5701" t="s">
        <v>21</v>
      </c>
      <c r="C5701">
        <v>1</v>
      </c>
      <c r="D5701" t="s">
        <v>28</v>
      </c>
      <c r="F5701">
        <v>489</v>
      </c>
    </row>
    <row r="5702" spans="1:8" x14ac:dyDescent="0.45">
      <c r="A5702" t="s">
        <v>38</v>
      </c>
      <c r="B5702" t="s">
        <v>21</v>
      </c>
      <c r="C5702">
        <v>1</v>
      </c>
      <c r="D5702" t="s">
        <v>29</v>
      </c>
      <c r="F5702">
        <v>412</v>
      </c>
    </row>
    <row r="5703" spans="1:8" x14ac:dyDescent="0.45">
      <c r="A5703" t="s">
        <v>38</v>
      </c>
      <c r="B5703" t="s">
        <v>20</v>
      </c>
      <c r="C5703">
        <v>1</v>
      </c>
      <c r="D5703" t="s">
        <v>19</v>
      </c>
      <c r="E5703">
        <v>1428155</v>
      </c>
      <c r="F5703">
        <v>2650</v>
      </c>
      <c r="G5703">
        <v>770</v>
      </c>
    </row>
    <row r="5704" spans="1:8" x14ac:dyDescent="0.45">
      <c r="A5704" t="s">
        <v>38</v>
      </c>
      <c r="B5704" t="s">
        <v>20</v>
      </c>
      <c r="C5704">
        <v>1</v>
      </c>
      <c r="D5704" t="s">
        <v>27</v>
      </c>
      <c r="F5704">
        <v>784</v>
      </c>
    </row>
    <row r="5705" spans="1:8" x14ac:dyDescent="0.45">
      <c r="A5705" t="s">
        <v>38</v>
      </c>
      <c r="B5705" t="s">
        <v>20</v>
      </c>
      <c r="C5705">
        <v>1</v>
      </c>
      <c r="D5705" t="s">
        <v>28</v>
      </c>
      <c r="F5705">
        <v>496</v>
      </c>
    </row>
    <row r="5706" spans="1:8" x14ac:dyDescent="0.45">
      <c r="A5706" t="s">
        <v>38</v>
      </c>
      <c r="B5706" t="s">
        <v>20</v>
      </c>
      <c r="C5706">
        <v>1</v>
      </c>
      <c r="D5706" t="s">
        <v>29</v>
      </c>
      <c r="F5706">
        <v>371</v>
      </c>
    </row>
    <row r="5707" spans="1:8" x14ac:dyDescent="0.45">
      <c r="A5707" t="s">
        <v>38</v>
      </c>
      <c r="B5707" t="s">
        <v>20</v>
      </c>
      <c r="C5707">
        <v>1</v>
      </c>
      <c r="D5707" t="s">
        <v>31</v>
      </c>
      <c r="H5707">
        <v>129</v>
      </c>
    </row>
    <row r="5708" spans="1:8" x14ac:dyDescent="0.45">
      <c r="A5708" t="s">
        <v>38</v>
      </c>
      <c r="B5708" t="s">
        <v>20</v>
      </c>
      <c r="C5708">
        <v>1</v>
      </c>
      <c r="D5708" t="s">
        <v>32</v>
      </c>
      <c r="H5708">
        <v>11</v>
      </c>
    </row>
    <row r="5709" spans="1:8" x14ac:dyDescent="0.45">
      <c r="A5709" t="s">
        <v>38</v>
      </c>
      <c r="B5709" t="s">
        <v>20</v>
      </c>
      <c r="C5709">
        <v>1</v>
      </c>
      <c r="D5709" t="s">
        <v>34</v>
      </c>
    </row>
    <row r="5710" spans="1:8" x14ac:dyDescent="0.45">
      <c r="A5710" t="s">
        <v>38</v>
      </c>
      <c r="B5710" t="s">
        <v>21</v>
      </c>
      <c r="C5710">
        <v>2</v>
      </c>
      <c r="D5710" t="s">
        <v>19</v>
      </c>
      <c r="E5710">
        <v>1335533</v>
      </c>
      <c r="F5710">
        <v>2522</v>
      </c>
      <c r="G5710">
        <v>736</v>
      </c>
    </row>
    <row r="5711" spans="1:8" x14ac:dyDescent="0.45">
      <c r="A5711" t="s">
        <v>38</v>
      </c>
      <c r="B5711" t="s">
        <v>21</v>
      </c>
      <c r="C5711">
        <v>2</v>
      </c>
      <c r="D5711" t="s">
        <v>27</v>
      </c>
      <c r="F5711">
        <v>955</v>
      </c>
    </row>
    <row r="5712" spans="1:8" x14ac:dyDescent="0.45">
      <c r="A5712" t="s">
        <v>38</v>
      </c>
      <c r="B5712" t="s">
        <v>21</v>
      </c>
      <c r="C5712">
        <v>2</v>
      </c>
      <c r="D5712" t="s">
        <v>28</v>
      </c>
      <c r="F5712">
        <v>403</v>
      </c>
    </row>
    <row r="5713" spans="1:8" x14ac:dyDescent="0.45">
      <c r="A5713" t="s">
        <v>38</v>
      </c>
      <c r="B5713" t="s">
        <v>21</v>
      </c>
      <c r="C5713">
        <v>2</v>
      </c>
      <c r="D5713" t="s">
        <v>29</v>
      </c>
      <c r="F5713">
        <v>329</v>
      </c>
    </row>
    <row r="5714" spans="1:8" x14ac:dyDescent="0.45">
      <c r="A5714" t="s">
        <v>38</v>
      </c>
      <c r="B5714" t="s">
        <v>20</v>
      </c>
      <c r="C5714">
        <v>2</v>
      </c>
      <c r="D5714" t="s">
        <v>19</v>
      </c>
      <c r="E5714">
        <v>1471113</v>
      </c>
      <c r="F5714">
        <v>2489</v>
      </c>
      <c r="G5714">
        <v>729</v>
      </c>
    </row>
    <row r="5715" spans="1:8" x14ac:dyDescent="0.45">
      <c r="A5715" t="s">
        <v>38</v>
      </c>
      <c r="B5715" t="s">
        <v>20</v>
      </c>
      <c r="C5715">
        <v>2</v>
      </c>
      <c r="D5715" t="s">
        <v>27</v>
      </c>
      <c r="F5715">
        <v>790</v>
      </c>
    </row>
    <row r="5716" spans="1:8" x14ac:dyDescent="0.45">
      <c r="A5716" t="s">
        <v>38</v>
      </c>
      <c r="B5716" t="s">
        <v>20</v>
      </c>
      <c r="C5716">
        <v>2</v>
      </c>
      <c r="D5716" t="s">
        <v>28</v>
      </c>
      <c r="F5716">
        <v>487</v>
      </c>
    </row>
    <row r="5717" spans="1:8" x14ac:dyDescent="0.45">
      <c r="A5717" t="s">
        <v>38</v>
      </c>
      <c r="B5717" t="s">
        <v>20</v>
      </c>
      <c r="C5717">
        <v>2</v>
      </c>
      <c r="D5717" t="s">
        <v>29</v>
      </c>
      <c r="F5717">
        <v>371</v>
      </c>
    </row>
    <row r="5718" spans="1:8" x14ac:dyDescent="0.45">
      <c r="A5718" t="s">
        <v>38</v>
      </c>
      <c r="B5718" t="s">
        <v>20</v>
      </c>
      <c r="C5718">
        <v>2</v>
      </c>
      <c r="D5718" t="s">
        <v>31</v>
      </c>
      <c r="H5718">
        <v>82</v>
      </c>
    </row>
    <row r="5719" spans="1:8" x14ac:dyDescent="0.45">
      <c r="A5719" t="s">
        <v>38</v>
      </c>
      <c r="B5719" t="s">
        <v>20</v>
      </c>
      <c r="C5719">
        <v>2</v>
      </c>
      <c r="D5719" t="s">
        <v>32</v>
      </c>
      <c r="H5719">
        <v>6</v>
      </c>
    </row>
    <row r="5720" spans="1:8" x14ac:dyDescent="0.45">
      <c r="A5720" t="s">
        <v>38</v>
      </c>
      <c r="B5720" t="s">
        <v>20</v>
      </c>
      <c r="C5720">
        <v>2</v>
      </c>
      <c r="D5720" t="s">
        <v>34</v>
      </c>
      <c r="H5720">
        <v>13</v>
      </c>
    </row>
    <row r="5721" spans="1:8" x14ac:dyDescent="0.45">
      <c r="A5721" t="s">
        <v>38</v>
      </c>
      <c r="B5721" t="s">
        <v>21</v>
      </c>
      <c r="C5721">
        <v>3</v>
      </c>
      <c r="D5721" t="s">
        <v>19</v>
      </c>
      <c r="E5721">
        <v>3050456</v>
      </c>
      <c r="F5721">
        <v>4910</v>
      </c>
      <c r="G5721">
        <v>1344</v>
      </c>
    </row>
    <row r="5722" spans="1:8" x14ac:dyDescent="0.45">
      <c r="A5722" t="s">
        <v>38</v>
      </c>
      <c r="B5722" t="s">
        <v>21</v>
      </c>
      <c r="C5722">
        <v>3</v>
      </c>
      <c r="D5722" t="s">
        <v>27</v>
      </c>
      <c r="F5722">
        <v>1372</v>
      </c>
    </row>
    <row r="5723" spans="1:8" x14ac:dyDescent="0.45">
      <c r="A5723" t="s">
        <v>38</v>
      </c>
      <c r="B5723" t="s">
        <v>21</v>
      </c>
      <c r="C5723">
        <v>3</v>
      </c>
      <c r="D5723" t="s">
        <v>28</v>
      </c>
      <c r="F5723">
        <v>763</v>
      </c>
    </row>
    <row r="5724" spans="1:8" x14ac:dyDescent="0.45">
      <c r="A5724" t="s">
        <v>38</v>
      </c>
      <c r="B5724" t="s">
        <v>21</v>
      </c>
      <c r="C5724">
        <v>3</v>
      </c>
      <c r="D5724" t="s">
        <v>29</v>
      </c>
      <c r="F5724">
        <v>712</v>
      </c>
    </row>
    <row r="5725" spans="1:8" x14ac:dyDescent="0.45">
      <c r="A5725" t="s">
        <v>38</v>
      </c>
      <c r="B5725" t="s">
        <v>20</v>
      </c>
      <c r="C5725">
        <v>3</v>
      </c>
      <c r="D5725" t="s">
        <v>19</v>
      </c>
      <c r="E5725">
        <v>2685111</v>
      </c>
      <c r="F5725">
        <v>4258</v>
      </c>
    </row>
    <row r="5726" spans="1:8" x14ac:dyDescent="0.45">
      <c r="A5726" t="s">
        <v>38</v>
      </c>
      <c r="B5726" t="s">
        <v>20</v>
      </c>
      <c r="C5726">
        <v>3</v>
      </c>
      <c r="D5726" t="s">
        <v>27</v>
      </c>
      <c r="F5726">
        <v>1102</v>
      </c>
    </row>
    <row r="5727" spans="1:8" x14ac:dyDescent="0.45">
      <c r="A5727" t="s">
        <v>38</v>
      </c>
      <c r="B5727" t="s">
        <v>20</v>
      </c>
      <c r="C5727">
        <v>3</v>
      </c>
      <c r="D5727" t="s">
        <v>28</v>
      </c>
      <c r="F5727">
        <v>694</v>
      </c>
    </row>
    <row r="5728" spans="1:8" x14ac:dyDescent="0.45">
      <c r="A5728" t="s">
        <v>38</v>
      </c>
      <c r="B5728" t="s">
        <v>20</v>
      </c>
      <c r="C5728">
        <v>3</v>
      </c>
      <c r="D5728" t="s">
        <v>29</v>
      </c>
      <c r="F5728">
        <v>664</v>
      </c>
    </row>
    <row r="5729" spans="1:8" x14ac:dyDescent="0.45">
      <c r="A5729" t="s">
        <v>38</v>
      </c>
      <c r="B5729" t="s">
        <v>20</v>
      </c>
      <c r="C5729">
        <v>3</v>
      </c>
      <c r="D5729" t="s">
        <v>31</v>
      </c>
      <c r="H5729">
        <v>99</v>
      </c>
    </row>
    <row r="5730" spans="1:8" x14ac:dyDescent="0.45">
      <c r="A5730" t="s">
        <v>38</v>
      </c>
      <c r="B5730" t="s">
        <v>20</v>
      </c>
      <c r="C5730">
        <v>3</v>
      </c>
      <c r="D5730" t="s">
        <v>32</v>
      </c>
      <c r="H5730">
        <v>11</v>
      </c>
    </row>
    <row r="5731" spans="1:8" x14ac:dyDescent="0.45">
      <c r="A5731" t="s">
        <v>38</v>
      </c>
      <c r="B5731" t="s">
        <v>20</v>
      </c>
      <c r="C5731">
        <v>3</v>
      </c>
      <c r="D5731" t="s">
        <v>34</v>
      </c>
      <c r="H5731">
        <v>17</v>
      </c>
    </row>
    <row r="5732" spans="1:8" x14ac:dyDescent="0.45">
      <c r="A5732" t="s">
        <v>38</v>
      </c>
      <c r="B5732" t="s">
        <v>21</v>
      </c>
      <c r="C5732">
        <v>4</v>
      </c>
      <c r="D5732" t="s">
        <v>19</v>
      </c>
      <c r="E5732">
        <v>4134411</v>
      </c>
      <c r="F5732">
        <v>5953</v>
      </c>
      <c r="G5732">
        <v>1494</v>
      </c>
    </row>
    <row r="5733" spans="1:8" x14ac:dyDescent="0.45">
      <c r="A5733" t="s">
        <v>38</v>
      </c>
      <c r="B5733" t="s">
        <v>21</v>
      </c>
      <c r="C5733">
        <v>4</v>
      </c>
      <c r="D5733" t="s">
        <v>27</v>
      </c>
      <c r="F5733">
        <v>1227</v>
      </c>
    </row>
    <row r="5734" spans="1:8" x14ac:dyDescent="0.45">
      <c r="A5734" t="s">
        <v>38</v>
      </c>
      <c r="B5734" t="s">
        <v>21</v>
      </c>
      <c r="C5734">
        <v>4</v>
      </c>
      <c r="D5734" t="s">
        <v>28</v>
      </c>
      <c r="F5734">
        <v>885</v>
      </c>
    </row>
    <row r="5735" spans="1:8" x14ac:dyDescent="0.45">
      <c r="A5735" t="s">
        <v>38</v>
      </c>
      <c r="B5735" t="s">
        <v>21</v>
      </c>
      <c r="C5735">
        <v>4</v>
      </c>
      <c r="D5735" t="s">
        <v>29</v>
      </c>
      <c r="F5735">
        <v>878</v>
      </c>
    </row>
    <row r="5736" spans="1:8" x14ac:dyDescent="0.45">
      <c r="A5736" t="s">
        <v>38</v>
      </c>
      <c r="B5736" t="s">
        <v>20</v>
      </c>
      <c r="C5736">
        <v>4</v>
      </c>
      <c r="D5736" t="s">
        <v>19</v>
      </c>
      <c r="E5736">
        <v>4333685</v>
      </c>
      <c r="F5736">
        <v>6185</v>
      </c>
      <c r="G5736">
        <v>1491</v>
      </c>
    </row>
    <row r="5737" spans="1:8" x14ac:dyDescent="0.45">
      <c r="A5737" t="s">
        <v>38</v>
      </c>
      <c r="B5737" t="s">
        <v>20</v>
      </c>
      <c r="C5737">
        <v>4</v>
      </c>
      <c r="D5737" t="s">
        <v>27</v>
      </c>
      <c r="F5737">
        <v>1068</v>
      </c>
    </row>
    <row r="5738" spans="1:8" x14ac:dyDescent="0.45">
      <c r="A5738" t="s">
        <v>38</v>
      </c>
      <c r="B5738" t="s">
        <v>20</v>
      </c>
      <c r="C5738">
        <v>4</v>
      </c>
      <c r="D5738" t="s">
        <v>28</v>
      </c>
      <c r="F5738">
        <v>972</v>
      </c>
    </row>
    <row r="5739" spans="1:8" x14ac:dyDescent="0.45">
      <c r="A5739" t="s">
        <v>38</v>
      </c>
      <c r="B5739" t="s">
        <v>20</v>
      </c>
      <c r="C5739">
        <v>4</v>
      </c>
      <c r="D5739" t="s">
        <v>29</v>
      </c>
      <c r="F5739">
        <v>784</v>
      </c>
    </row>
    <row r="5740" spans="1:8" x14ac:dyDescent="0.45">
      <c r="A5740" t="s">
        <v>38</v>
      </c>
      <c r="B5740" t="s">
        <v>20</v>
      </c>
      <c r="C5740">
        <v>4</v>
      </c>
      <c r="D5740" t="s">
        <v>31</v>
      </c>
      <c r="H5740">
        <v>73</v>
      </c>
    </row>
    <row r="5741" spans="1:8" x14ac:dyDescent="0.45">
      <c r="A5741" t="s">
        <v>38</v>
      </c>
      <c r="B5741" t="s">
        <v>20</v>
      </c>
      <c r="C5741">
        <v>4</v>
      </c>
      <c r="D5741" t="s">
        <v>32</v>
      </c>
      <c r="H5741">
        <v>11</v>
      </c>
    </row>
    <row r="5742" spans="1:8" x14ac:dyDescent="0.45">
      <c r="A5742" t="s">
        <v>38</v>
      </c>
      <c r="B5742" t="s">
        <v>20</v>
      </c>
      <c r="C5742">
        <v>4</v>
      </c>
      <c r="D5742" t="s">
        <v>34</v>
      </c>
      <c r="H5742">
        <v>12</v>
      </c>
    </row>
    <row r="5743" spans="1:8" x14ac:dyDescent="0.45">
      <c r="A5743" t="s">
        <v>38</v>
      </c>
      <c r="B5743" t="s">
        <v>21</v>
      </c>
      <c r="C5743">
        <v>5</v>
      </c>
      <c r="D5743" t="s">
        <v>19</v>
      </c>
      <c r="E5743">
        <v>3383688</v>
      </c>
      <c r="F5743">
        <v>4974</v>
      </c>
      <c r="G5743">
        <v>1203</v>
      </c>
    </row>
    <row r="5744" spans="1:8" x14ac:dyDescent="0.45">
      <c r="A5744" t="s">
        <v>38</v>
      </c>
      <c r="B5744" t="s">
        <v>21</v>
      </c>
      <c r="C5744">
        <v>5</v>
      </c>
      <c r="D5744" t="s">
        <v>27</v>
      </c>
      <c r="F5744">
        <v>1054</v>
      </c>
    </row>
    <row r="5745" spans="1:8" x14ac:dyDescent="0.45">
      <c r="A5745" t="s">
        <v>38</v>
      </c>
      <c r="B5745" t="s">
        <v>21</v>
      </c>
      <c r="C5745">
        <v>5</v>
      </c>
      <c r="D5745" t="s">
        <v>28</v>
      </c>
      <c r="F5745">
        <v>780</v>
      </c>
    </row>
    <row r="5746" spans="1:8" x14ac:dyDescent="0.45">
      <c r="A5746" t="s">
        <v>38</v>
      </c>
      <c r="B5746" t="s">
        <v>21</v>
      </c>
      <c r="C5746">
        <v>5</v>
      </c>
      <c r="D5746" t="s">
        <v>29</v>
      </c>
      <c r="F5746">
        <v>656</v>
      </c>
    </row>
    <row r="5747" spans="1:8" x14ac:dyDescent="0.45">
      <c r="A5747" t="s">
        <v>38</v>
      </c>
      <c r="B5747" t="s">
        <v>20</v>
      </c>
      <c r="C5747">
        <v>5</v>
      </c>
      <c r="D5747" t="s">
        <v>19</v>
      </c>
      <c r="E5747">
        <v>3121130</v>
      </c>
      <c r="F5747">
        <v>4505</v>
      </c>
      <c r="G5747">
        <v>1108</v>
      </c>
    </row>
    <row r="5748" spans="1:8" x14ac:dyDescent="0.45">
      <c r="A5748" t="s">
        <v>38</v>
      </c>
      <c r="B5748" t="s">
        <v>20</v>
      </c>
      <c r="C5748">
        <v>5</v>
      </c>
      <c r="D5748" t="s">
        <v>27</v>
      </c>
      <c r="F5748">
        <v>941</v>
      </c>
    </row>
    <row r="5749" spans="1:8" x14ac:dyDescent="0.45">
      <c r="A5749" t="s">
        <v>38</v>
      </c>
      <c r="B5749" t="s">
        <v>20</v>
      </c>
      <c r="C5749">
        <v>5</v>
      </c>
      <c r="D5749" t="s">
        <v>28</v>
      </c>
      <c r="F5749">
        <v>718</v>
      </c>
    </row>
    <row r="5750" spans="1:8" x14ac:dyDescent="0.45">
      <c r="A5750" t="s">
        <v>38</v>
      </c>
      <c r="B5750" t="s">
        <v>20</v>
      </c>
      <c r="C5750">
        <v>5</v>
      </c>
      <c r="D5750" t="s">
        <v>29</v>
      </c>
      <c r="F5750">
        <v>614</v>
      </c>
    </row>
    <row r="5751" spans="1:8" x14ac:dyDescent="0.45">
      <c r="A5751" t="s">
        <v>38</v>
      </c>
      <c r="B5751" t="s">
        <v>20</v>
      </c>
      <c r="C5751">
        <v>5</v>
      </c>
      <c r="D5751" t="s">
        <v>31</v>
      </c>
      <c r="H5751">
        <v>81</v>
      </c>
    </row>
    <row r="5752" spans="1:8" x14ac:dyDescent="0.45">
      <c r="A5752" t="s">
        <v>38</v>
      </c>
      <c r="B5752" t="s">
        <v>20</v>
      </c>
      <c r="C5752">
        <v>5</v>
      </c>
      <c r="D5752" t="s">
        <v>32</v>
      </c>
      <c r="H5752">
        <v>10</v>
      </c>
    </row>
    <row r="5753" spans="1:8" x14ac:dyDescent="0.45">
      <c r="A5753" t="s">
        <v>38</v>
      </c>
      <c r="B5753" t="s">
        <v>20</v>
      </c>
      <c r="C5753">
        <v>5</v>
      </c>
      <c r="D5753" t="s">
        <v>34</v>
      </c>
      <c r="H5753">
        <v>17</v>
      </c>
    </row>
    <row r="5754" spans="1:8" x14ac:dyDescent="0.45">
      <c r="A5754" t="s">
        <v>38</v>
      </c>
      <c r="B5754" t="s">
        <v>21</v>
      </c>
      <c r="C5754">
        <v>6</v>
      </c>
      <c r="D5754" t="s">
        <v>19</v>
      </c>
      <c r="E5754">
        <v>3132412</v>
      </c>
      <c r="F5754">
        <v>4907</v>
      </c>
      <c r="G5754">
        <v>1251</v>
      </c>
    </row>
    <row r="5755" spans="1:8" x14ac:dyDescent="0.45">
      <c r="A5755" t="s">
        <v>38</v>
      </c>
      <c r="B5755" t="s">
        <v>21</v>
      </c>
      <c r="C5755">
        <v>6</v>
      </c>
      <c r="D5755" t="s">
        <v>27</v>
      </c>
      <c r="F5755">
        <v>1154</v>
      </c>
    </row>
    <row r="5756" spans="1:8" x14ac:dyDescent="0.45">
      <c r="A5756" t="s">
        <v>38</v>
      </c>
      <c r="B5756" t="s">
        <v>21</v>
      </c>
      <c r="C5756">
        <v>6</v>
      </c>
      <c r="D5756" t="s">
        <v>28</v>
      </c>
      <c r="F5756">
        <v>793</v>
      </c>
    </row>
    <row r="5757" spans="1:8" x14ac:dyDescent="0.45">
      <c r="A5757" t="s">
        <v>38</v>
      </c>
      <c r="B5757" t="s">
        <v>21</v>
      </c>
      <c r="C5757">
        <v>6</v>
      </c>
      <c r="D5757" t="s">
        <v>29</v>
      </c>
      <c r="F5757">
        <v>757</v>
      </c>
    </row>
    <row r="5758" spans="1:8" x14ac:dyDescent="0.45">
      <c r="A5758" t="s">
        <v>38</v>
      </c>
      <c r="B5758" t="s">
        <v>20</v>
      </c>
      <c r="C5758">
        <v>6</v>
      </c>
      <c r="D5758" t="s">
        <v>19</v>
      </c>
      <c r="E5758">
        <v>3120890</v>
      </c>
      <c r="F5758">
        <v>4563</v>
      </c>
      <c r="G5758">
        <v>1124</v>
      </c>
      <c r="H5758">
        <v>97</v>
      </c>
    </row>
    <row r="5759" spans="1:8" x14ac:dyDescent="0.45">
      <c r="A5759" t="s">
        <v>38</v>
      </c>
      <c r="B5759" t="s">
        <v>20</v>
      </c>
      <c r="C5759">
        <v>6</v>
      </c>
      <c r="D5759" t="s">
        <v>27</v>
      </c>
      <c r="F5759">
        <v>1119</v>
      </c>
    </row>
    <row r="5760" spans="1:8" x14ac:dyDescent="0.45">
      <c r="A5760" t="s">
        <v>38</v>
      </c>
      <c r="B5760" t="s">
        <v>20</v>
      </c>
      <c r="C5760">
        <v>6</v>
      </c>
      <c r="D5760" t="s">
        <v>28</v>
      </c>
      <c r="F5760">
        <v>819</v>
      </c>
    </row>
    <row r="5761" spans="1:8" x14ac:dyDescent="0.45">
      <c r="A5761" t="s">
        <v>38</v>
      </c>
      <c r="B5761" t="s">
        <v>20</v>
      </c>
      <c r="C5761">
        <v>6</v>
      </c>
      <c r="D5761" t="s">
        <v>29</v>
      </c>
      <c r="F5761">
        <v>693</v>
      </c>
    </row>
    <row r="5762" spans="1:8" x14ac:dyDescent="0.45">
      <c r="A5762" t="s">
        <v>38</v>
      </c>
      <c r="B5762" t="s">
        <v>20</v>
      </c>
      <c r="C5762">
        <v>6</v>
      </c>
      <c r="D5762" t="s">
        <v>31</v>
      </c>
      <c r="H5762">
        <v>56</v>
      </c>
    </row>
    <row r="5763" spans="1:8" x14ac:dyDescent="0.45">
      <c r="A5763" t="s">
        <v>38</v>
      </c>
      <c r="B5763" t="s">
        <v>20</v>
      </c>
      <c r="C5763">
        <v>6</v>
      </c>
      <c r="D5763" t="s">
        <v>32</v>
      </c>
      <c r="H5763">
        <v>7</v>
      </c>
    </row>
    <row r="5764" spans="1:8" x14ac:dyDescent="0.45">
      <c r="A5764" t="s">
        <v>38</v>
      </c>
      <c r="B5764" t="s">
        <v>20</v>
      </c>
      <c r="C5764">
        <v>6</v>
      </c>
      <c r="D5764" t="s">
        <v>34</v>
      </c>
      <c r="H5764">
        <v>15</v>
      </c>
    </row>
    <row r="5765" spans="1:8" x14ac:dyDescent="0.45">
      <c r="A5765" t="s">
        <v>38</v>
      </c>
      <c r="B5765" t="s">
        <v>21</v>
      </c>
      <c r="C5765">
        <v>7</v>
      </c>
      <c r="D5765" t="s">
        <v>19</v>
      </c>
      <c r="E5765">
        <v>2301129</v>
      </c>
      <c r="F5765">
        <v>3869</v>
      </c>
      <c r="G5765">
        <v>966</v>
      </c>
    </row>
    <row r="5766" spans="1:8" x14ac:dyDescent="0.45">
      <c r="A5766" t="s">
        <v>38</v>
      </c>
      <c r="B5766" t="s">
        <v>21</v>
      </c>
      <c r="C5766">
        <v>7</v>
      </c>
      <c r="D5766" t="s">
        <v>27</v>
      </c>
      <c r="F5766">
        <v>1136</v>
      </c>
    </row>
    <row r="5767" spans="1:8" x14ac:dyDescent="0.45">
      <c r="A5767" t="s">
        <v>38</v>
      </c>
      <c r="B5767" t="s">
        <v>21</v>
      </c>
      <c r="C5767">
        <v>7</v>
      </c>
      <c r="D5767" t="s">
        <v>28</v>
      </c>
      <c r="F5767">
        <v>715</v>
      </c>
    </row>
    <row r="5768" spans="1:8" x14ac:dyDescent="0.45">
      <c r="A5768" t="s">
        <v>38</v>
      </c>
      <c r="B5768" t="s">
        <v>21</v>
      </c>
      <c r="C5768">
        <v>7</v>
      </c>
      <c r="D5768" t="s">
        <v>29</v>
      </c>
      <c r="F5768">
        <v>453</v>
      </c>
    </row>
    <row r="5769" spans="1:8" x14ac:dyDescent="0.45">
      <c r="A5769" t="s">
        <v>38</v>
      </c>
      <c r="B5769" t="s">
        <v>20</v>
      </c>
      <c r="C5769">
        <v>7</v>
      </c>
      <c r="D5769" t="s">
        <v>19</v>
      </c>
      <c r="E5769">
        <v>2731393</v>
      </c>
      <c r="F5769">
        <v>4110</v>
      </c>
    </row>
    <row r="5770" spans="1:8" x14ac:dyDescent="0.45">
      <c r="A5770" t="s">
        <v>38</v>
      </c>
      <c r="B5770" t="s">
        <v>20</v>
      </c>
      <c r="C5770">
        <v>7</v>
      </c>
      <c r="D5770" t="s">
        <v>27</v>
      </c>
      <c r="F5770">
        <v>1123</v>
      </c>
    </row>
    <row r="5771" spans="1:8" x14ac:dyDescent="0.45">
      <c r="A5771" t="s">
        <v>38</v>
      </c>
      <c r="B5771" t="s">
        <v>20</v>
      </c>
      <c r="C5771">
        <v>7</v>
      </c>
      <c r="D5771" t="s">
        <v>28</v>
      </c>
      <c r="F5771">
        <v>670</v>
      </c>
    </row>
    <row r="5772" spans="1:8" x14ac:dyDescent="0.45">
      <c r="A5772" t="s">
        <v>38</v>
      </c>
      <c r="B5772" t="s">
        <v>20</v>
      </c>
      <c r="C5772">
        <v>7</v>
      </c>
      <c r="D5772" t="s">
        <v>29</v>
      </c>
      <c r="F5772">
        <v>481</v>
      </c>
    </row>
    <row r="5773" spans="1:8" x14ac:dyDescent="0.45">
      <c r="A5773" t="s">
        <v>38</v>
      </c>
      <c r="B5773" t="s">
        <v>20</v>
      </c>
      <c r="C5773">
        <v>7</v>
      </c>
      <c r="D5773" t="s">
        <v>31</v>
      </c>
      <c r="H5773">
        <v>165</v>
      </c>
    </row>
    <row r="5774" spans="1:8" x14ac:dyDescent="0.45">
      <c r="A5774" t="s">
        <v>38</v>
      </c>
      <c r="B5774" t="s">
        <v>20</v>
      </c>
      <c r="C5774">
        <v>7</v>
      </c>
      <c r="D5774" t="s">
        <v>32</v>
      </c>
      <c r="H5774">
        <v>5</v>
      </c>
    </row>
    <row r="5775" spans="1:8" x14ac:dyDescent="0.45">
      <c r="A5775" t="s">
        <v>38</v>
      </c>
      <c r="B5775" t="s">
        <v>20</v>
      </c>
      <c r="C5775">
        <v>7</v>
      </c>
      <c r="D5775" t="s">
        <v>34</v>
      </c>
      <c r="H5775">
        <v>16</v>
      </c>
    </row>
    <row r="5776" spans="1:8" x14ac:dyDescent="0.45">
      <c r="A5776" t="s">
        <v>38</v>
      </c>
      <c r="B5776" t="s">
        <v>21</v>
      </c>
      <c r="C5776">
        <v>8</v>
      </c>
      <c r="D5776" t="s">
        <v>19</v>
      </c>
      <c r="E5776">
        <v>1800070</v>
      </c>
      <c r="F5776">
        <v>3163</v>
      </c>
      <c r="G5776">
        <v>1089</v>
      </c>
    </row>
    <row r="5777" spans="1:8" x14ac:dyDescent="0.45">
      <c r="A5777" t="s">
        <v>38</v>
      </c>
      <c r="B5777" t="s">
        <v>21</v>
      </c>
      <c r="C5777">
        <v>8</v>
      </c>
      <c r="D5777" t="s">
        <v>27</v>
      </c>
      <c r="F5777">
        <v>946</v>
      </c>
      <c r="G5777">
        <v>932</v>
      </c>
    </row>
    <row r="5778" spans="1:8" x14ac:dyDescent="0.45">
      <c r="A5778" t="s">
        <v>38</v>
      </c>
      <c r="B5778" t="s">
        <v>21</v>
      </c>
      <c r="C5778">
        <v>8</v>
      </c>
      <c r="D5778" t="s">
        <v>28</v>
      </c>
      <c r="F5778">
        <v>636</v>
      </c>
      <c r="G5778">
        <v>886</v>
      </c>
    </row>
    <row r="5779" spans="1:8" x14ac:dyDescent="0.45">
      <c r="A5779" t="s">
        <v>38</v>
      </c>
      <c r="B5779" t="s">
        <v>21</v>
      </c>
      <c r="C5779">
        <v>8</v>
      </c>
      <c r="D5779" t="s">
        <v>29</v>
      </c>
      <c r="F5779">
        <v>379</v>
      </c>
      <c r="G5779">
        <v>747</v>
      </c>
    </row>
    <row r="5780" spans="1:8" x14ac:dyDescent="0.45">
      <c r="A5780" t="s">
        <v>38</v>
      </c>
      <c r="B5780" t="s">
        <v>20</v>
      </c>
      <c r="C5780">
        <v>8</v>
      </c>
      <c r="D5780" t="s">
        <v>19</v>
      </c>
      <c r="E5780">
        <v>1740060</v>
      </c>
      <c r="F5780">
        <v>3054</v>
      </c>
    </row>
    <row r="5781" spans="1:8" x14ac:dyDescent="0.45">
      <c r="A5781" t="s">
        <v>38</v>
      </c>
      <c r="B5781" t="s">
        <v>20</v>
      </c>
      <c r="C5781">
        <v>8</v>
      </c>
      <c r="D5781" t="s">
        <v>27</v>
      </c>
      <c r="F5781">
        <v>896</v>
      </c>
      <c r="G5781">
        <v>1120</v>
      </c>
    </row>
    <row r="5782" spans="1:8" x14ac:dyDescent="0.45">
      <c r="A5782" t="s">
        <v>38</v>
      </c>
      <c r="B5782" t="s">
        <v>20</v>
      </c>
      <c r="C5782">
        <v>8</v>
      </c>
      <c r="D5782" t="s">
        <v>28</v>
      </c>
      <c r="F5782">
        <v>607</v>
      </c>
      <c r="G5782">
        <v>774</v>
      </c>
    </row>
    <row r="5783" spans="1:8" x14ac:dyDescent="0.45">
      <c r="A5783" t="s">
        <v>38</v>
      </c>
      <c r="B5783" t="s">
        <v>20</v>
      </c>
      <c r="C5783">
        <v>8</v>
      </c>
      <c r="D5783" t="s">
        <v>29</v>
      </c>
      <c r="F5783">
        <v>348</v>
      </c>
      <c r="G5783">
        <v>1159</v>
      </c>
    </row>
    <row r="5784" spans="1:8" x14ac:dyDescent="0.45">
      <c r="A5784" t="s">
        <v>38</v>
      </c>
      <c r="B5784" t="s">
        <v>20</v>
      </c>
      <c r="C5784">
        <v>8</v>
      </c>
      <c r="D5784" t="s">
        <v>31</v>
      </c>
      <c r="H5784">
        <v>48</v>
      </c>
    </row>
    <row r="5785" spans="1:8" x14ac:dyDescent="0.45">
      <c r="A5785" t="s">
        <v>38</v>
      </c>
      <c r="B5785" t="s">
        <v>20</v>
      </c>
      <c r="C5785">
        <v>8</v>
      </c>
      <c r="D5785" t="s">
        <v>32</v>
      </c>
      <c r="H5785">
        <v>5</v>
      </c>
    </row>
    <row r="5786" spans="1:8" x14ac:dyDescent="0.45">
      <c r="A5786" t="s">
        <v>38</v>
      </c>
      <c r="B5786" t="s">
        <v>20</v>
      </c>
      <c r="C5786">
        <v>8</v>
      </c>
      <c r="D5786" t="s">
        <v>34</v>
      </c>
      <c r="H5786">
        <v>9</v>
      </c>
    </row>
    <row r="5787" spans="1:8" x14ac:dyDescent="0.45">
      <c r="A5787" t="s">
        <v>38</v>
      </c>
      <c r="B5787" t="s">
        <v>21</v>
      </c>
      <c r="C5787">
        <v>9</v>
      </c>
      <c r="D5787" t="s">
        <v>19</v>
      </c>
      <c r="E5787">
        <v>1629373</v>
      </c>
      <c r="F5787">
        <v>3026</v>
      </c>
      <c r="G5787">
        <v>838</v>
      </c>
    </row>
    <row r="5788" spans="1:8" x14ac:dyDescent="0.45">
      <c r="A5788" t="s">
        <v>38</v>
      </c>
      <c r="B5788" t="s">
        <v>21</v>
      </c>
      <c r="C5788">
        <v>9</v>
      </c>
      <c r="D5788" t="s">
        <v>27</v>
      </c>
      <c r="F5788">
        <v>969</v>
      </c>
    </row>
    <row r="5789" spans="1:8" x14ac:dyDescent="0.45">
      <c r="A5789" t="s">
        <v>38</v>
      </c>
      <c r="B5789" t="s">
        <v>21</v>
      </c>
      <c r="C5789">
        <v>9</v>
      </c>
      <c r="D5789" t="s">
        <v>28</v>
      </c>
      <c r="F5789">
        <v>619</v>
      </c>
    </row>
    <row r="5790" spans="1:8" x14ac:dyDescent="0.45">
      <c r="A5790" t="s">
        <v>38</v>
      </c>
      <c r="B5790" t="s">
        <v>21</v>
      </c>
      <c r="C5790">
        <v>9</v>
      </c>
      <c r="D5790" t="s">
        <v>29</v>
      </c>
      <c r="F5790">
        <v>381</v>
      </c>
    </row>
    <row r="5791" spans="1:8" x14ac:dyDescent="0.45">
      <c r="A5791" t="s">
        <v>38</v>
      </c>
      <c r="B5791" t="s">
        <v>20</v>
      </c>
      <c r="C5791">
        <v>9</v>
      </c>
      <c r="D5791" t="s">
        <v>19</v>
      </c>
      <c r="E5791">
        <v>1903597</v>
      </c>
      <c r="F5791">
        <v>3359</v>
      </c>
    </row>
    <row r="5792" spans="1:8" x14ac:dyDescent="0.45">
      <c r="A5792" t="s">
        <v>38</v>
      </c>
      <c r="B5792" t="s">
        <v>20</v>
      </c>
      <c r="C5792">
        <v>9</v>
      </c>
      <c r="D5792" t="s">
        <v>27</v>
      </c>
      <c r="F5792">
        <v>1101</v>
      </c>
    </row>
    <row r="5793" spans="1:8" x14ac:dyDescent="0.45">
      <c r="A5793" t="s">
        <v>38</v>
      </c>
      <c r="B5793" t="s">
        <v>20</v>
      </c>
      <c r="C5793">
        <v>9</v>
      </c>
      <c r="D5793" t="s">
        <v>28</v>
      </c>
      <c r="F5793">
        <v>629</v>
      </c>
    </row>
    <row r="5794" spans="1:8" x14ac:dyDescent="0.45">
      <c r="A5794" t="s">
        <v>38</v>
      </c>
      <c r="B5794" t="s">
        <v>20</v>
      </c>
      <c r="C5794">
        <v>9</v>
      </c>
      <c r="D5794" t="s">
        <v>29</v>
      </c>
      <c r="F5794">
        <v>364</v>
      </c>
    </row>
    <row r="5795" spans="1:8" x14ac:dyDescent="0.45">
      <c r="A5795" t="s">
        <v>38</v>
      </c>
      <c r="B5795" t="s">
        <v>20</v>
      </c>
      <c r="C5795">
        <v>9</v>
      </c>
      <c r="D5795" t="s">
        <v>31</v>
      </c>
      <c r="H5795">
        <v>150</v>
      </c>
    </row>
    <row r="5796" spans="1:8" x14ac:dyDescent="0.45">
      <c r="A5796" t="s">
        <v>38</v>
      </c>
      <c r="B5796" t="s">
        <v>20</v>
      </c>
      <c r="C5796">
        <v>9</v>
      </c>
      <c r="D5796" t="s">
        <v>32</v>
      </c>
      <c r="H5796">
        <v>12</v>
      </c>
    </row>
    <row r="5797" spans="1:8" x14ac:dyDescent="0.45">
      <c r="A5797" t="s">
        <v>38</v>
      </c>
      <c r="B5797" t="s">
        <v>20</v>
      </c>
      <c r="C5797">
        <v>9</v>
      </c>
      <c r="D5797" t="s">
        <v>34</v>
      </c>
      <c r="H5797">
        <v>6</v>
      </c>
    </row>
    <row r="5798" spans="1:8" x14ac:dyDescent="0.45">
      <c r="A5798" t="s">
        <v>38</v>
      </c>
      <c r="B5798" t="s">
        <v>21</v>
      </c>
      <c r="C5798">
        <v>10</v>
      </c>
      <c r="D5798" t="s">
        <v>19</v>
      </c>
      <c r="E5798">
        <v>2464702</v>
      </c>
      <c r="F5798">
        <v>4558</v>
      </c>
    </row>
    <row r="5799" spans="1:8" x14ac:dyDescent="0.45">
      <c r="A5799" t="s">
        <v>38</v>
      </c>
      <c r="B5799" t="s">
        <v>21</v>
      </c>
      <c r="C5799">
        <v>10</v>
      </c>
      <c r="D5799" t="s">
        <v>27</v>
      </c>
      <c r="F5799">
        <v>1469</v>
      </c>
    </row>
    <row r="5800" spans="1:8" x14ac:dyDescent="0.45">
      <c r="A5800" t="s">
        <v>38</v>
      </c>
      <c r="B5800" t="s">
        <v>21</v>
      </c>
      <c r="C5800">
        <v>10</v>
      </c>
      <c r="D5800" t="s">
        <v>28</v>
      </c>
      <c r="F5800">
        <v>842</v>
      </c>
    </row>
    <row r="5801" spans="1:8" x14ac:dyDescent="0.45">
      <c r="A5801" t="s">
        <v>38</v>
      </c>
      <c r="B5801" t="s">
        <v>21</v>
      </c>
      <c r="C5801">
        <v>10</v>
      </c>
      <c r="D5801" t="s">
        <v>29</v>
      </c>
      <c r="F5801">
        <v>619</v>
      </c>
    </row>
    <row r="5802" spans="1:8" x14ac:dyDescent="0.45">
      <c r="A5802" t="s">
        <v>38</v>
      </c>
      <c r="B5802" t="s">
        <v>20</v>
      </c>
      <c r="C5802">
        <v>10</v>
      </c>
      <c r="D5802" t="s">
        <v>19</v>
      </c>
      <c r="E5802">
        <v>2817035</v>
      </c>
      <c r="F5802">
        <v>4862</v>
      </c>
      <c r="G5802">
        <v>1299</v>
      </c>
      <c r="H5802">
        <v>123</v>
      </c>
    </row>
    <row r="5803" spans="1:8" x14ac:dyDescent="0.45">
      <c r="A5803" t="s">
        <v>38</v>
      </c>
      <c r="B5803" t="s">
        <v>20</v>
      </c>
      <c r="C5803">
        <v>10</v>
      </c>
      <c r="D5803" t="s">
        <v>27</v>
      </c>
      <c r="F5803">
        <v>1294</v>
      </c>
    </row>
    <row r="5804" spans="1:8" x14ac:dyDescent="0.45">
      <c r="A5804" t="s">
        <v>38</v>
      </c>
      <c r="B5804" t="s">
        <v>20</v>
      </c>
      <c r="C5804">
        <v>10</v>
      </c>
      <c r="D5804" t="s">
        <v>28</v>
      </c>
      <c r="F5804">
        <v>866</v>
      </c>
    </row>
    <row r="5805" spans="1:8" x14ac:dyDescent="0.45">
      <c r="A5805" t="s">
        <v>38</v>
      </c>
      <c r="B5805" t="s">
        <v>20</v>
      </c>
      <c r="C5805">
        <v>10</v>
      </c>
      <c r="D5805" t="s">
        <v>29</v>
      </c>
      <c r="F5805">
        <v>630</v>
      </c>
    </row>
    <row r="5806" spans="1:8" x14ac:dyDescent="0.45">
      <c r="A5806" t="s">
        <v>38</v>
      </c>
      <c r="B5806" t="s">
        <v>20</v>
      </c>
      <c r="C5806">
        <v>10</v>
      </c>
      <c r="D5806" t="s">
        <v>31</v>
      </c>
      <c r="H5806">
        <v>154</v>
      </c>
    </row>
    <row r="5807" spans="1:8" x14ac:dyDescent="0.45">
      <c r="A5807" t="s">
        <v>38</v>
      </c>
      <c r="B5807" t="s">
        <v>20</v>
      </c>
      <c r="C5807">
        <v>10</v>
      </c>
      <c r="D5807" t="s">
        <v>32</v>
      </c>
      <c r="H5807">
        <v>11</v>
      </c>
    </row>
    <row r="5808" spans="1:8" x14ac:dyDescent="0.45">
      <c r="A5808" t="s">
        <v>38</v>
      </c>
      <c r="B5808" t="s">
        <v>20</v>
      </c>
      <c r="C5808">
        <v>10</v>
      </c>
      <c r="D5808" t="s">
        <v>34</v>
      </c>
      <c r="H5808">
        <v>16</v>
      </c>
    </row>
    <row r="5809" spans="1:8" x14ac:dyDescent="0.45">
      <c r="A5809" t="s">
        <v>38</v>
      </c>
      <c r="B5809" t="s">
        <v>21</v>
      </c>
      <c r="C5809">
        <v>11</v>
      </c>
      <c r="D5809" t="s">
        <v>19</v>
      </c>
      <c r="E5809">
        <v>2149893</v>
      </c>
      <c r="F5809">
        <v>3673</v>
      </c>
      <c r="H5809">
        <v>70</v>
      </c>
    </row>
    <row r="5810" spans="1:8" x14ac:dyDescent="0.45">
      <c r="A5810" t="s">
        <v>38</v>
      </c>
      <c r="B5810" t="s">
        <v>21</v>
      </c>
      <c r="C5810">
        <v>11</v>
      </c>
      <c r="D5810" t="s">
        <v>27</v>
      </c>
      <c r="F5810">
        <v>1210</v>
      </c>
    </row>
    <row r="5811" spans="1:8" x14ac:dyDescent="0.45">
      <c r="A5811" t="s">
        <v>38</v>
      </c>
      <c r="B5811" t="s">
        <v>21</v>
      </c>
      <c r="C5811">
        <v>11</v>
      </c>
      <c r="D5811" t="s">
        <v>28</v>
      </c>
      <c r="F5811">
        <v>681</v>
      </c>
    </row>
    <row r="5812" spans="1:8" x14ac:dyDescent="0.45">
      <c r="A5812" t="s">
        <v>38</v>
      </c>
      <c r="B5812" t="s">
        <v>21</v>
      </c>
      <c r="C5812">
        <v>11</v>
      </c>
      <c r="D5812" t="s">
        <v>29</v>
      </c>
      <c r="F5812">
        <v>517</v>
      </c>
    </row>
    <row r="5813" spans="1:8" x14ac:dyDescent="0.45">
      <c r="A5813" t="s">
        <v>38</v>
      </c>
      <c r="B5813" t="s">
        <v>20</v>
      </c>
      <c r="C5813">
        <v>11</v>
      </c>
      <c r="D5813" t="s">
        <v>19</v>
      </c>
      <c r="E5813">
        <v>2158618</v>
      </c>
      <c r="F5813">
        <v>3840</v>
      </c>
      <c r="G5813">
        <v>702</v>
      </c>
    </row>
    <row r="5814" spans="1:8" x14ac:dyDescent="0.45">
      <c r="A5814" t="s">
        <v>38</v>
      </c>
      <c r="B5814" t="s">
        <v>20</v>
      </c>
      <c r="C5814">
        <v>11</v>
      </c>
      <c r="D5814" t="s">
        <v>27</v>
      </c>
      <c r="F5814">
        <v>1057</v>
      </c>
    </row>
    <row r="5815" spans="1:8" x14ac:dyDescent="0.45">
      <c r="A5815" t="s">
        <v>38</v>
      </c>
      <c r="B5815" t="s">
        <v>20</v>
      </c>
      <c r="C5815">
        <v>11</v>
      </c>
      <c r="D5815" t="s">
        <v>28</v>
      </c>
      <c r="F5815">
        <v>739</v>
      </c>
    </row>
    <row r="5816" spans="1:8" x14ac:dyDescent="0.45">
      <c r="A5816" t="s">
        <v>38</v>
      </c>
      <c r="B5816" t="s">
        <v>20</v>
      </c>
      <c r="C5816">
        <v>11</v>
      </c>
      <c r="D5816" t="s">
        <v>29</v>
      </c>
      <c r="F5816">
        <v>594</v>
      </c>
    </row>
    <row r="5817" spans="1:8" x14ac:dyDescent="0.45">
      <c r="A5817" t="s">
        <v>38</v>
      </c>
      <c r="B5817" t="s">
        <v>20</v>
      </c>
      <c r="C5817">
        <v>11</v>
      </c>
      <c r="D5817" t="s">
        <v>31</v>
      </c>
      <c r="H5817">
        <v>170</v>
      </c>
    </row>
    <row r="5818" spans="1:8" x14ac:dyDescent="0.45">
      <c r="A5818" t="s">
        <v>38</v>
      </c>
      <c r="B5818" t="s">
        <v>20</v>
      </c>
      <c r="C5818">
        <v>11</v>
      </c>
      <c r="D5818" t="s">
        <v>32</v>
      </c>
      <c r="H5818">
        <v>7</v>
      </c>
    </row>
    <row r="5819" spans="1:8" x14ac:dyDescent="0.45">
      <c r="A5819" t="s">
        <v>38</v>
      </c>
      <c r="B5819" t="s">
        <v>20</v>
      </c>
      <c r="C5819">
        <v>11</v>
      </c>
      <c r="D5819" t="s">
        <v>34</v>
      </c>
      <c r="H5819">
        <v>15</v>
      </c>
    </row>
    <row r="5820" spans="1:8" x14ac:dyDescent="0.45">
      <c r="A5820" t="s">
        <v>38</v>
      </c>
      <c r="B5820" t="s">
        <v>21</v>
      </c>
      <c r="C5820">
        <v>12</v>
      </c>
      <c r="D5820" t="s">
        <v>19</v>
      </c>
      <c r="E5820">
        <v>2174894</v>
      </c>
      <c r="F5820">
        <v>3992</v>
      </c>
      <c r="H5820">
        <v>8</v>
      </c>
    </row>
    <row r="5821" spans="1:8" x14ac:dyDescent="0.45">
      <c r="A5821" t="s">
        <v>38</v>
      </c>
      <c r="B5821" t="s">
        <v>21</v>
      </c>
      <c r="C5821">
        <v>12</v>
      </c>
      <c r="D5821" t="s">
        <v>27</v>
      </c>
      <c r="F5821">
        <v>1148</v>
      </c>
    </row>
    <row r="5822" spans="1:8" x14ac:dyDescent="0.45">
      <c r="A5822" t="s">
        <v>38</v>
      </c>
      <c r="B5822" t="s">
        <v>21</v>
      </c>
      <c r="C5822">
        <v>12</v>
      </c>
      <c r="D5822" t="s">
        <v>28</v>
      </c>
      <c r="F5822">
        <v>833</v>
      </c>
    </row>
    <row r="5823" spans="1:8" x14ac:dyDescent="0.45">
      <c r="A5823" t="s">
        <v>38</v>
      </c>
      <c r="B5823" t="s">
        <v>21</v>
      </c>
      <c r="C5823">
        <v>12</v>
      </c>
      <c r="D5823" t="s">
        <v>29</v>
      </c>
      <c r="F5823">
        <v>637</v>
      </c>
    </row>
    <row r="5824" spans="1:8" x14ac:dyDescent="0.45">
      <c r="A5824" t="s">
        <v>38</v>
      </c>
      <c r="B5824" t="s">
        <v>20</v>
      </c>
      <c r="C5824">
        <v>12</v>
      </c>
      <c r="D5824" t="s">
        <v>19</v>
      </c>
      <c r="E5824">
        <v>2167750</v>
      </c>
      <c r="F5824">
        <v>3883</v>
      </c>
    </row>
    <row r="5825" spans="1:8" x14ac:dyDescent="0.45">
      <c r="A5825" t="s">
        <v>38</v>
      </c>
      <c r="B5825" t="s">
        <v>20</v>
      </c>
      <c r="C5825">
        <v>12</v>
      </c>
      <c r="D5825" t="s">
        <v>27</v>
      </c>
      <c r="F5825">
        <v>1064</v>
      </c>
    </row>
    <row r="5826" spans="1:8" x14ac:dyDescent="0.45">
      <c r="A5826" t="s">
        <v>38</v>
      </c>
      <c r="B5826" t="s">
        <v>20</v>
      </c>
      <c r="C5826">
        <v>12</v>
      </c>
      <c r="D5826" t="s">
        <v>28</v>
      </c>
      <c r="F5826">
        <v>767</v>
      </c>
    </row>
    <row r="5827" spans="1:8" x14ac:dyDescent="0.45">
      <c r="A5827" t="s">
        <v>38</v>
      </c>
      <c r="B5827" t="s">
        <v>20</v>
      </c>
      <c r="C5827">
        <v>12</v>
      </c>
      <c r="D5827" t="s">
        <v>29</v>
      </c>
      <c r="F5827">
        <v>619</v>
      </c>
    </row>
    <row r="5828" spans="1:8" x14ac:dyDescent="0.45">
      <c r="A5828" t="s">
        <v>38</v>
      </c>
      <c r="B5828" t="s">
        <v>20</v>
      </c>
      <c r="C5828">
        <v>12</v>
      </c>
      <c r="D5828" t="s">
        <v>31</v>
      </c>
      <c r="H5828">
        <v>92</v>
      </c>
    </row>
    <row r="5829" spans="1:8" x14ac:dyDescent="0.45">
      <c r="A5829" t="s">
        <v>38</v>
      </c>
      <c r="B5829" t="s">
        <v>20</v>
      </c>
      <c r="C5829">
        <v>12</v>
      </c>
      <c r="D5829" t="s">
        <v>32</v>
      </c>
      <c r="H5829">
        <v>1</v>
      </c>
    </row>
    <row r="5830" spans="1:8" x14ac:dyDescent="0.45">
      <c r="A5830" t="s">
        <v>38</v>
      </c>
      <c r="B5830" t="s">
        <v>20</v>
      </c>
      <c r="C5830">
        <v>12</v>
      </c>
      <c r="D5830" t="s">
        <v>34</v>
      </c>
      <c r="H5830">
        <v>15</v>
      </c>
    </row>
    <row r="5831" spans="1:8" x14ac:dyDescent="0.45">
      <c r="A5831" t="s">
        <v>67</v>
      </c>
      <c r="B5831" t="s">
        <v>21</v>
      </c>
      <c r="C5831">
        <v>1</v>
      </c>
      <c r="D5831" t="s">
        <v>19</v>
      </c>
      <c r="E5831">
        <v>1148572</v>
      </c>
      <c r="F5831">
        <v>2568</v>
      </c>
      <c r="G5831">
        <v>746</v>
      </c>
    </row>
    <row r="5832" spans="1:8" x14ac:dyDescent="0.45">
      <c r="A5832" t="s">
        <v>67</v>
      </c>
      <c r="B5832" t="s">
        <v>21</v>
      </c>
      <c r="C5832">
        <v>1</v>
      </c>
      <c r="D5832" t="s">
        <v>27</v>
      </c>
      <c r="F5832">
        <v>1091</v>
      </c>
    </row>
    <row r="5833" spans="1:8" x14ac:dyDescent="0.45">
      <c r="A5833" t="s">
        <v>67</v>
      </c>
      <c r="B5833" t="s">
        <v>21</v>
      </c>
      <c r="C5833">
        <v>1</v>
      </c>
      <c r="D5833" t="s">
        <v>28</v>
      </c>
      <c r="F5833">
        <v>469</v>
      </c>
    </row>
    <row r="5834" spans="1:8" x14ac:dyDescent="0.45">
      <c r="A5834" t="s">
        <v>67</v>
      </c>
      <c r="B5834" t="s">
        <v>21</v>
      </c>
      <c r="C5834">
        <v>1</v>
      </c>
      <c r="D5834" t="s">
        <v>29</v>
      </c>
      <c r="F5834">
        <v>355</v>
      </c>
    </row>
    <row r="5835" spans="1:8" x14ac:dyDescent="0.45">
      <c r="A5835" t="s">
        <v>67</v>
      </c>
      <c r="B5835" t="s">
        <v>20</v>
      </c>
      <c r="C5835">
        <v>1</v>
      </c>
      <c r="D5835" t="s">
        <v>19</v>
      </c>
      <c r="E5835">
        <v>1233088</v>
      </c>
      <c r="F5835">
        <v>2448</v>
      </c>
      <c r="G5835">
        <v>704</v>
      </c>
    </row>
    <row r="5836" spans="1:8" x14ac:dyDescent="0.45">
      <c r="A5836" t="s">
        <v>67</v>
      </c>
      <c r="B5836" t="s">
        <v>20</v>
      </c>
      <c r="C5836">
        <v>1</v>
      </c>
      <c r="D5836" t="s">
        <v>27</v>
      </c>
      <c r="F5836">
        <v>870</v>
      </c>
    </row>
    <row r="5837" spans="1:8" x14ac:dyDescent="0.45">
      <c r="A5837" t="s">
        <v>67</v>
      </c>
      <c r="B5837" t="s">
        <v>20</v>
      </c>
      <c r="C5837">
        <v>1</v>
      </c>
      <c r="D5837" t="s">
        <v>28</v>
      </c>
      <c r="F5837">
        <v>488</v>
      </c>
    </row>
    <row r="5838" spans="1:8" x14ac:dyDescent="0.45">
      <c r="A5838" t="s">
        <v>67</v>
      </c>
      <c r="B5838" t="s">
        <v>20</v>
      </c>
      <c r="C5838">
        <v>1</v>
      </c>
      <c r="D5838" t="s">
        <v>29</v>
      </c>
      <c r="F5838">
        <v>384</v>
      </c>
    </row>
    <row r="5839" spans="1:8" x14ac:dyDescent="0.45">
      <c r="A5839" t="s">
        <v>67</v>
      </c>
      <c r="B5839" t="s">
        <v>20</v>
      </c>
      <c r="C5839">
        <v>1</v>
      </c>
      <c r="D5839" t="s">
        <v>31</v>
      </c>
      <c r="H5839">
        <v>116</v>
      </c>
    </row>
    <row r="5840" spans="1:8" x14ac:dyDescent="0.45">
      <c r="A5840" t="s">
        <v>67</v>
      </c>
      <c r="B5840" t="s">
        <v>20</v>
      </c>
      <c r="C5840">
        <v>1</v>
      </c>
      <c r="D5840" t="s">
        <v>32</v>
      </c>
      <c r="H5840">
        <v>12</v>
      </c>
    </row>
    <row r="5841" spans="1:8" x14ac:dyDescent="0.45">
      <c r="A5841" t="s">
        <v>67</v>
      </c>
      <c r="B5841" t="s">
        <v>20</v>
      </c>
      <c r="C5841">
        <v>1</v>
      </c>
      <c r="D5841" t="s">
        <v>34</v>
      </c>
    </row>
    <row r="5842" spans="1:8" x14ac:dyDescent="0.45">
      <c r="A5842" t="s">
        <v>67</v>
      </c>
      <c r="B5842" t="s">
        <v>21</v>
      </c>
      <c r="C5842">
        <v>2</v>
      </c>
      <c r="D5842" t="s">
        <v>19</v>
      </c>
      <c r="E5842">
        <v>1286151</v>
      </c>
      <c r="F5842">
        <v>2774</v>
      </c>
      <c r="G5842">
        <v>804</v>
      </c>
    </row>
    <row r="5843" spans="1:8" x14ac:dyDescent="0.45">
      <c r="A5843" t="s">
        <v>67</v>
      </c>
      <c r="B5843" t="s">
        <v>21</v>
      </c>
      <c r="C5843">
        <v>2</v>
      </c>
      <c r="D5843" t="s">
        <v>27</v>
      </c>
      <c r="F5843">
        <v>1172</v>
      </c>
    </row>
    <row r="5844" spans="1:8" x14ac:dyDescent="0.45">
      <c r="A5844" t="s">
        <v>67</v>
      </c>
      <c r="B5844" t="s">
        <v>21</v>
      </c>
      <c r="C5844">
        <v>2</v>
      </c>
      <c r="D5844" t="s">
        <v>28</v>
      </c>
      <c r="F5844">
        <v>479</v>
      </c>
    </row>
    <row r="5845" spans="1:8" x14ac:dyDescent="0.45">
      <c r="A5845" t="s">
        <v>67</v>
      </c>
      <c r="B5845" t="s">
        <v>21</v>
      </c>
      <c r="C5845">
        <v>2</v>
      </c>
      <c r="D5845" t="s">
        <v>29</v>
      </c>
      <c r="F5845">
        <v>389</v>
      </c>
    </row>
    <row r="5846" spans="1:8" x14ac:dyDescent="0.45">
      <c r="A5846" t="s">
        <v>67</v>
      </c>
      <c r="B5846" t="s">
        <v>20</v>
      </c>
      <c r="C5846">
        <v>2</v>
      </c>
      <c r="D5846" t="s">
        <v>19</v>
      </c>
      <c r="E5846">
        <v>1224588</v>
      </c>
      <c r="F5846">
        <v>2534</v>
      </c>
      <c r="G5846">
        <v>767</v>
      </c>
    </row>
    <row r="5847" spans="1:8" x14ac:dyDescent="0.45">
      <c r="A5847" t="s">
        <v>67</v>
      </c>
      <c r="B5847" t="s">
        <v>20</v>
      </c>
      <c r="C5847">
        <v>2</v>
      </c>
      <c r="D5847" t="s">
        <v>27</v>
      </c>
      <c r="F5847">
        <v>998</v>
      </c>
    </row>
    <row r="5848" spans="1:8" x14ac:dyDescent="0.45">
      <c r="A5848" t="s">
        <v>67</v>
      </c>
      <c r="B5848" t="s">
        <v>20</v>
      </c>
      <c r="C5848">
        <v>2</v>
      </c>
      <c r="D5848" t="s">
        <v>28</v>
      </c>
      <c r="F5848">
        <v>462</v>
      </c>
    </row>
    <row r="5849" spans="1:8" x14ac:dyDescent="0.45">
      <c r="A5849" t="s">
        <v>67</v>
      </c>
      <c r="B5849" t="s">
        <v>20</v>
      </c>
      <c r="C5849">
        <v>2</v>
      </c>
      <c r="D5849" t="s">
        <v>29</v>
      </c>
      <c r="F5849">
        <v>374</v>
      </c>
    </row>
    <row r="5850" spans="1:8" x14ac:dyDescent="0.45">
      <c r="A5850" t="s">
        <v>67</v>
      </c>
      <c r="B5850" t="s">
        <v>20</v>
      </c>
      <c r="C5850">
        <v>2</v>
      </c>
      <c r="D5850" t="s">
        <v>31</v>
      </c>
      <c r="H5850">
        <v>148</v>
      </c>
    </row>
    <row r="5851" spans="1:8" x14ac:dyDescent="0.45">
      <c r="A5851" t="s">
        <v>67</v>
      </c>
      <c r="B5851" t="s">
        <v>20</v>
      </c>
      <c r="C5851">
        <v>2</v>
      </c>
      <c r="D5851" t="s">
        <v>32</v>
      </c>
      <c r="H5851">
        <v>15</v>
      </c>
    </row>
    <row r="5852" spans="1:8" x14ac:dyDescent="0.45">
      <c r="A5852" t="s">
        <v>67</v>
      </c>
      <c r="B5852" t="s">
        <v>20</v>
      </c>
      <c r="C5852">
        <v>2</v>
      </c>
      <c r="D5852" t="s">
        <v>34</v>
      </c>
      <c r="H5852">
        <v>6</v>
      </c>
    </row>
    <row r="5853" spans="1:8" x14ac:dyDescent="0.45">
      <c r="A5853" t="s">
        <v>67</v>
      </c>
      <c r="B5853" t="s">
        <v>21</v>
      </c>
      <c r="C5853">
        <v>3</v>
      </c>
      <c r="D5853" t="s">
        <v>19</v>
      </c>
      <c r="E5853">
        <v>2434155</v>
      </c>
      <c r="F5853">
        <v>4478</v>
      </c>
    </row>
    <row r="5854" spans="1:8" x14ac:dyDescent="0.45">
      <c r="A5854" t="s">
        <v>67</v>
      </c>
      <c r="B5854" t="s">
        <v>21</v>
      </c>
      <c r="C5854">
        <v>3</v>
      </c>
      <c r="D5854" t="s">
        <v>27</v>
      </c>
      <c r="F5854">
        <v>1281</v>
      </c>
    </row>
    <row r="5855" spans="1:8" x14ac:dyDescent="0.45">
      <c r="A5855" t="s">
        <v>67</v>
      </c>
      <c r="B5855" t="s">
        <v>21</v>
      </c>
      <c r="C5855">
        <v>3</v>
      </c>
      <c r="D5855" t="s">
        <v>28</v>
      </c>
      <c r="F5855">
        <v>727</v>
      </c>
    </row>
    <row r="5856" spans="1:8" x14ac:dyDescent="0.45">
      <c r="A5856" t="s">
        <v>67</v>
      </c>
      <c r="B5856" t="s">
        <v>21</v>
      </c>
      <c r="C5856">
        <v>3</v>
      </c>
      <c r="D5856" t="s">
        <v>29</v>
      </c>
      <c r="F5856">
        <v>654</v>
      </c>
    </row>
    <row r="5857" spans="1:8" x14ac:dyDescent="0.45">
      <c r="A5857" t="s">
        <v>67</v>
      </c>
      <c r="B5857" t="s">
        <v>20</v>
      </c>
      <c r="C5857">
        <v>3</v>
      </c>
      <c r="D5857" t="s">
        <v>19</v>
      </c>
      <c r="E5857">
        <v>2176268</v>
      </c>
      <c r="F5857">
        <v>3770</v>
      </c>
    </row>
    <row r="5858" spans="1:8" x14ac:dyDescent="0.45">
      <c r="A5858" t="s">
        <v>67</v>
      </c>
      <c r="B5858" t="s">
        <v>20</v>
      </c>
      <c r="C5858">
        <v>3</v>
      </c>
      <c r="D5858" t="s">
        <v>27</v>
      </c>
      <c r="F5858">
        <v>1127</v>
      </c>
    </row>
    <row r="5859" spans="1:8" x14ac:dyDescent="0.45">
      <c r="A5859" t="s">
        <v>67</v>
      </c>
      <c r="B5859" t="s">
        <v>20</v>
      </c>
      <c r="C5859">
        <v>3</v>
      </c>
      <c r="D5859" t="s">
        <v>28</v>
      </c>
      <c r="F5859">
        <v>623</v>
      </c>
    </row>
    <row r="5860" spans="1:8" x14ac:dyDescent="0.45">
      <c r="A5860" t="s">
        <v>67</v>
      </c>
      <c r="B5860" t="s">
        <v>20</v>
      </c>
      <c r="C5860">
        <v>3</v>
      </c>
      <c r="D5860" t="s">
        <v>29</v>
      </c>
      <c r="F5860">
        <v>592</v>
      </c>
    </row>
    <row r="5861" spans="1:8" x14ac:dyDescent="0.45">
      <c r="A5861" t="s">
        <v>67</v>
      </c>
      <c r="B5861" t="s">
        <v>20</v>
      </c>
      <c r="C5861">
        <v>3</v>
      </c>
      <c r="D5861" t="s">
        <v>31</v>
      </c>
      <c r="H5861">
        <v>155</v>
      </c>
    </row>
    <row r="5862" spans="1:8" x14ac:dyDescent="0.45">
      <c r="A5862" t="s">
        <v>67</v>
      </c>
      <c r="B5862" t="s">
        <v>20</v>
      </c>
      <c r="C5862">
        <v>3</v>
      </c>
      <c r="D5862" t="s">
        <v>32</v>
      </c>
      <c r="H5862">
        <v>19</v>
      </c>
    </row>
    <row r="5863" spans="1:8" x14ac:dyDescent="0.45">
      <c r="A5863" t="s">
        <v>67</v>
      </c>
      <c r="B5863" t="s">
        <v>20</v>
      </c>
      <c r="C5863">
        <v>3</v>
      </c>
      <c r="D5863" t="s">
        <v>34</v>
      </c>
      <c r="H5863">
        <v>8</v>
      </c>
    </row>
    <row r="5864" spans="1:8" x14ac:dyDescent="0.45">
      <c r="A5864" t="s">
        <v>67</v>
      </c>
      <c r="B5864" t="s">
        <v>21</v>
      </c>
      <c r="C5864">
        <v>4</v>
      </c>
      <c r="D5864" t="s">
        <v>19</v>
      </c>
      <c r="E5864">
        <v>3234607</v>
      </c>
      <c r="F5864">
        <v>5369</v>
      </c>
      <c r="G5864">
        <v>1382</v>
      </c>
    </row>
    <row r="5865" spans="1:8" x14ac:dyDescent="0.45">
      <c r="A5865" t="s">
        <v>67</v>
      </c>
      <c r="B5865" t="s">
        <v>21</v>
      </c>
      <c r="C5865">
        <v>4</v>
      </c>
      <c r="D5865" t="s">
        <v>27</v>
      </c>
      <c r="F5865">
        <v>1406</v>
      </c>
    </row>
    <row r="5866" spans="1:8" x14ac:dyDescent="0.45">
      <c r="A5866" t="s">
        <v>67</v>
      </c>
      <c r="B5866" t="s">
        <v>21</v>
      </c>
      <c r="C5866">
        <v>4</v>
      </c>
      <c r="D5866" t="s">
        <v>28</v>
      </c>
      <c r="F5866">
        <v>784</v>
      </c>
    </row>
    <row r="5867" spans="1:8" x14ac:dyDescent="0.45">
      <c r="A5867" t="s">
        <v>67</v>
      </c>
      <c r="B5867" t="s">
        <v>21</v>
      </c>
      <c r="C5867">
        <v>4</v>
      </c>
      <c r="D5867" t="s">
        <v>29</v>
      </c>
      <c r="F5867">
        <v>777</v>
      </c>
    </row>
    <row r="5868" spans="1:8" x14ac:dyDescent="0.45">
      <c r="A5868" t="s">
        <v>67</v>
      </c>
      <c r="B5868" t="s">
        <v>20</v>
      </c>
      <c r="C5868">
        <v>4</v>
      </c>
      <c r="D5868" t="s">
        <v>19</v>
      </c>
      <c r="E5868">
        <v>3501674</v>
      </c>
      <c r="F5868">
        <v>5495</v>
      </c>
      <c r="G5868">
        <v>1404</v>
      </c>
    </row>
    <row r="5869" spans="1:8" x14ac:dyDescent="0.45">
      <c r="A5869" t="s">
        <v>67</v>
      </c>
      <c r="B5869" t="s">
        <v>20</v>
      </c>
      <c r="C5869">
        <v>4</v>
      </c>
      <c r="D5869" t="s">
        <v>27</v>
      </c>
      <c r="F5869">
        <v>1123</v>
      </c>
    </row>
    <row r="5870" spans="1:8" x14ac:dyDescent="0.45">
      <c r="A5870" t="s">
        <v>67</v>
      </c>
      <c r="B5870" t="s">
        <v>20</v>
      </c>
      <c r="C5870">
        <v>4</v>
      </c>
      <c r="D5870" t="s">
        <v>28</v>
      </c>
      <c r="F5870">
        <v>839</v>
      </c>
    </row>
    <row r="5871" spans="1:8" x14ac:dyDescent="0.45">
      <c r="A5871" t="s">
        <v>67</v>
      </c>
      <c r="B5871" t="s">
        <v>20</v>
      </c>
      <c r="C5871">
        <v>4</v>
      </c>
      <c r="D5871" t="s">
        <v>29</v>
      </c>
      <c r="F5871">
        <v>771</v>
      </c>
    </row>
    <row r="5872" spans="1:8" x14ac:dyDescent="0.45">
      <c r="A5872" t="s">
        <v>67</v>
      </c>
      <c r="B5872" t="s">
        <v>20</v>
      </c>
      <c r="C5872">
        <v>4</v>
      </c>
      <c r="D5872" t="s">
        <v>31</v>
      </c>
      <c r="H5872">
        <v>164</v>
      </c>
    </row>
    <row r="5873" spans="1:8" x14ac:dyDescent="0.45">
      <c r="A5873" t="s">
        <v>67</v>
      </c>
      <c r="B5873" t="s">
        <v>20</v>
      </c>
      <c r="C5873">
        <v>4</v>
      </c>
      <c r="D5873" t="s">
        <v>32</v>
      </c>
      <c r="H5873">
        <v>22</v>
      </c>
    </row>
    <row r="5874" spans="1:8" x14ac:dyDescent="0.45">
      <c r="A5874" t="s">
        <v>67</v>
      </c>
      <c r="B5874" t="s">
        <v>20</v>
      </c>
      <c r="C5874">
        <v>4</v>
      </c>
      <c r="D5874" t="s">
        <v>34</v>
      </c>
      <c r="H5874">
        <v>8</v>
      </c>
    </row>
    <row r="5875" spans="1:8" x14ac:dyDescent="0.45">
      <c r="A5875" t="s">
        <v>67</v>
      </c>
      <c r="B5875" t="s">
        <v>21</v>
      </c>
      <c r="C5875">
        <v>5</v>
      </c>
      <c r="D5875" t="s">
        <v>19</v>
      </c>
      <c r="E5875">
        <v>2905368</v>
      </c>
      <c r="F5875">
        <v>4704</v>
      </c>
      <c r="G5875">
        <v>1149</v>
      </c>
      <c r="H5875">
        <v>6</v>
      </c>
    </row>
    <row r="5876" spans="1:8" x14ac:dyDescent="0.45">
      <c r="A5876" t="s">
        <v>67</v>
      </c>
      <c r="B5876" t="s">
        <v>21</v>
      </c>
      <c r="C5876">
        <v>5</v>
      </c>
      <c r="D5876" t="s">
        <v>27</v>
      </c>
      <c r="F5876">
        <v>1185</v>
      </c>
    </row>
    <row r="5877" spans="1:8" x14ac:dyDescent="0.45">
      <c r="A5877" t="s">
        <v>67</v>
      </c>
      <c r="B5877" t="s">
        <v>21</v>
      </c>
      <c r="C5877">
        <v>5</v>
      </c>
      <c r="D5877" t="s">
        <v>28</v>
      </c>
      <c r="F5877">
        <v>742</v>
      </c>
    </row>
    <row r="5878" spans="1:8" x14ac:dyDescent="0.45">
      <c r="A5878" t="s">
        <v>67</v>
      </c>
      <c r="B5878" t="s">
        <v>21</v>
      </c>
      <c r="C5878">
        <v>5</v>
      </c>
      <c r="D5878" t="s">
        <v>29</v>
      </c>
      <c r="F5878">
        <v>576</v>
      </c>
    </row>
    <row r="5879" spans="1:8" x14ac:dyDescent="0.45">
      <c r="A5879" t="s">
        <v>67</v>
      </c>
      <c r="B5879" t="s">
        <v>20</v>
      </c>
      <c r="C5879">
        <v>5</v>
      </c>
      <c r="D5879" t="s">
        <v>19</v>
      </c>
      <c r="E5879">
        <v>2546156</v>
      </c>
      <c r="F5879">
        <v>4118</v>
      </c>
    </row>
    <row r="5880" spans="1:8" x14ac:dyDescent="0.45">
      <c r="A5880" t="s">
        <v>67</v>
      </c>
      <c r="B5880" t="s">
        <v>20</v>
      </c>
      <c r="C5880">
        <v>5</v>
      </c>
      <c r="D5880" t="s">
        <v>27</v>
      </c>
      <c r="F5880">
        <v>1093</v>
      </c>
    </row>
    <row r="5881" spans="1:8" x14ac:dyDescent="0.45">
      <c r="A5881" t="s">
        <v>67</v>
      </c>
      <c r="B5881" t="s">
        <v>20</v>
      </c>
      <c r="C5881">
        <v>5</v>
      </c>
      <c r="D5881" t="s">
        <v>28</v>
      </c>
      <c r="F5881">
        <v>646</v>
      </c>
    </row>
    <row r="5882" spans="1:8" x14ac:dyDescent="0.45">
      <c r="A5882" t="s">
        <v>67</v>
      </c>
      <c r="B5882" t="s">
        <v>20</v>
      </c>
      <c r="C5882">
        <v>5</v>
      </c>
      <c r="D5882" t="s">
        <v>29</v>
      </c>
      <c r="F5882">
        <v>550</v>
      </c>
    </row>
    <row r="5883" spans="1:8" x14ac:dyDescent="0.45">
      <c r="A5883" t="s">
        <v>67</v>
      </c>
      <c r="B5883" t="s">
        <v>20</v>
      </c>
      <c r="C5883">
        <v>5</v>
      </c>
      <c r="D5883" t="s">
        <v>31</v>
      </c>
      <c r="H5883">
        <v>152</v>
      </c>
    </row>
    <row r="5884" spans="1:8" x14ac:dyDescent="0.45">
      <c r="A5884" t="s">
        <v>67</v>
      </c>
      <c r="B5884" t="s">
        <v>20</v>
      </c>
      <c r="C5884">
        <v>5</v>
      </c>
      <c r="D5884" t="s">
        <v>32</v>
      </c>
      <c r="H5884">
        <v>17</v>
      </c>
    </row>
    <row r="5885" spans="1:8" x14ac:dyDescent="0.45">
      <c r="A5885" t="s">
        <v>67</v>
      </c>
      <c r="B5885" t="s">
        <v>20</v>
      </c>
      <c r="C5885">
        <v>5</v>
      </c>
      <c r="D5885" t="s">
        <v>34</v>
      </c>
      <c r="H5885">
        <v>10</v>
      </c>
    </row>
    <row r="5886" spans="1:8" x14ac:dyDescent="0.45">
      <c r="A5886" t="s">
        <v>67</v>
      </c>
      <c r="B5886" t="s">
        <v>21</v>
      </c>
      <c r="C5886">
        <v>6</v>
      </c>
      <c r="D5886" t="s">
        <v>19</v>
      </c>
      <c r="E5886">
        <v>2657017</v>
      </c>
      <c r="F5886">
        <v>4625</v>
      </c>
      <c r="H5886">
        <v>43</v>
      </c>
    </row>
    <row r="5887" spans="1:8" x14ac:dyDescent="0.45">
      <c r="A5887" t="s">
        <v>67</v>
      </c>
      <c r="B5887" t="s">
        <v>21</v>
      </c>
      <c r="C5887">
        <v>6</v>
      </c>
      <c r="D5887" t="s">
        <v>27</v>
      </c>
      <c r="F5887">
        <v>1416</v>
      </c>
    </row>
    <row r="5888" spans="1:8" x14ac:dyDescent="0.45">
      <c r="A5888" t="s">
        <v>67</v>
      </c>
      <c r="B5888" t="s">
        <v>21</v>
      </c>
      <c r="C5888">
        <v>6</v>
      </c>
      <c r="D5888" t="s">
        <v>28</v>
      </c>
      <c r="F5888">
        <v>797</v>
      </c>
    </row>
    <row r="5889" spans="1:8" x14ac:dyDescent="0.45">
      <c r="A5889" t="s">
        <v>67</v>
      </c>
      <c r="B5889" t="s">
        <v>21</v>
      </c>
      <c r="C5889">
        <v>6</v>
      </c>
      <c r="D5889" t="s">
        <v>29</v>
      </c>
      <c r="F5889">
        <v>676</v>
      </c>
    </row>
    <row r="5890" spans="1:8" x14ac:dyDescent="0.45">
      <c r="A5890" t="s">
        <v>67</v>
      </c>
      <c r="B5890" t="s">
        <v>20</v>
      </c>
      <c r="C5890">
        <v>6</v>
      </c>
      <c r="D5890" t="s">
        <v>19</v>
      </c>
      <c r="E5890">
        <v>2240625</v>
      </c>
      <c r="F5890">
        <v>3616</v>
      </c>
      <c r="H5890">
        <v>8</v>
      </c>
    </row>
    <row r="5891" spans="1:8" x14ac:dyDescent="0.45">
      <c r="A5891" t="s">
        <v>67</v>
      </c>
      <c r="B5891" t="s">
        <v>20</v>
      </c>
      <c r="C5891">
        <v>6</v>
      </c>
      <c r="D5891" t="s">
        <v>27</v>
      </c>
      <c r="F5891">
        <v>1060</v>
      </c>
    </row>
    <row r="5892" spans="1:8" x14ac:dyDescent="0.45">
      <c r="A5892" t="s">
        <v>67</v>
      </c>
      <c r="B5892" t="s">
        <v>20</v>
      </c>
      <c r="C5892">
        <v>6</v>
      </c>
      <c r="D5892" t="s">
        <v>28</v>
      </c>
      <c r="F5892">
        <v>683</v>
      </c>
    </row>
    <row r="5893" spans="1:8" x14ac:dyDescent="0.45">
      <c r="A5893" t="s">
        <v>67</v>
      </c>
      <c r="B5893" t="s">
        <v>20</v>
      </c>
      <c r="C5893">
        <v>6</v>
      </c>
      <c r="D5893" t="s">
        <v>29</v>
      </c>
      <c r="F5893">
        <v>533</v>
      </c>
    </row>
    <row r="5894" spans="1:8" x14ac:dyDescent="0.45">
      <c r="A5894" t="s">
        <v>67</v>
      </c>
      <c r="B5894" t="s">
        <v>20</v>
      </c>
      <c r="C5894">
        <v>6</v>
      </c>
      <c r="D5894" t="s">
        <v>31</v>
      </c>
      <c r="H5894">
        <v>56</v>
      </c>
    </row>
    <row r="5895" spans="1:8" x14ac:dyDescent="0.45">
      <c r="A5895" t="s">
        <v>67</v>
      </c>
      <c r="B5895" t="s">
        <v>20</v>
      </c>
      <c r="C5895">
        <v>6</v>
      </c>
      <c r="D5895" t="s">
        <v>32</v>
      </c>
      <c r="H5895">
        <v>13</v>
      </c>
    </row>
    <row r="5896" spans="1:8" x14ac:dyDescent="0.45">
      <c r="A5896" t="s">
        <v>67</v>
      </c>
      <c r="B5896" t="s">
        <v>20</v>
      </c>
      <c r="C5896">
        <v>6</v>
      </c>
      <c r="D5896" t="s">
        <v>34</v>
      </c>
      <c r="H5896">
        <v>9</v>
      </c>
    </row>
    <row r="5897" spans="1:8" x14ac:dyDescent="0.45">
      <c r="A5897" t="s">
        <v>67</v>
      </c>
      <c r="B5897" t="s">
        <v>21</v>
      </c>
      <c r="C5897">
        <v>7</v>
      </c>
      <c r="D5897" t="s">
        <v>19</v>
      </c>
      <c r="E5897">
        <v>1655656</v>
      </c>
      <c r="F5897">
        <v>3197</v>
      </c>
      <c r="G5897">
        <v>918</v>
      </c>
    </row>
    <row r="5898" spans="1:8" x14ac:dyDescent="0.45">
      <c r="A5898" t="s">
        <v>67</v>
      </c>
      <c r="B5898" t="s">
        <v>21</v>
      </c>
      <c r="C5898">
        <v>7</v>
      </c>
      <c r="D5898" t="s">
        <v>27</v>
      </c>
      <c r="F5898">
        <v>1194</v>
      </c>
    </row>
    <row r="5899" spans="1:8" x14ac:dyDescent="0.45">
      <c r="A5899" t="s">
        <v>67</v>
      </c>
      <c r="B5899" t="s">
        <v>21</v>
      </c>
      <c r="C5899">
        <v>7</v>
      </c>
      <c r="D5899" t="s">
        <v>28</v>
      </c>
      <c r="F5899">
        <v>575</v>
      </c>
    </row>
    <row r="5900" spans="1:8" x14ac:dyDescent="0.45">
      <c r="A5900" t="s">
        <v>67</v>
      </c>
      <c r="B5900" t="s">
        <v>21</v>
      </c>
      <c r="C5900">
        <v>7</v>
      </c>
      <c r="D5900" t="s">
        <v>29</v>
      </c>
      <c r="F5900">
        <v>429</v>
      </c>
    </row>
    <row r="5901" spans="1:8" x14ac:dyDescent="0.45">
      <c r="A5901" t="s">
        <v>67</v>
      </c>
      <c r="B5901" t="s">
        <v>20</v>
      </c>
      <c r="C5901">
        <v>7</v>
      </c>
      <c r="D5901" t="s">
        <v>19</v>
      </c>
      <c r="E5901">
        <v>1659149</v>
      </c>
      <c r="F5901">
        <v>3157</v>
      </c>
      <c r="G5901">
        <v>945</v>
      </c>
    </row>
    <row r="5902" spans="1:8" x14ac:dyDescent="0.45">
      <c r="A5902" t="s">
        <v>67</v>
      </c>
      <c r="B5902" t="s">
        <v>20</v>
      </c>
      <c r="C5902">
        <v>7</v>
      </c>
      <c r="D5902" t="s">
        <v>27</v>
      </c>
      <c r="F5902">
        <v>1068</v>
      </c>
    </row>
    <row r="5903" spans="1:8" x14ac:dyDescent="0.45">
      <c r="A5903" t="s">
        <v>67</v>
      </c>
      <c r="B5903" t="s">
        <v>20</v>
      </c>
      <c r="C5903">
        <v>7</v>
      </c>
      <c r="D5903" t="s">
        <v>28</v>
      </c>
      <c r="F5903">
        <v>598</v>
      </c>
    </row>
    <row r="5904" spans="1:8" x14ac:dyDescent="0.45">
      <c r="A5904" t="s">
        <v>67</v>
      </c>
      <c r="B5904" t="s">
        <v>20</v>
      </c>
      <c r="C5904">
        <v>7</v>
      </c>
      <c r="D5904" t="s">
        <v>29</v>
      </c>
      <c r="F5904">
        <v>385</v>
      </c>
    </row>
    <row r="5905" spans="1:8" x14ac:dyDescent="0.45">
      <c r="A5905" t="s">
        <v>67</v>
      </c>
      <c r="B5905" t="s">
        <v>20</v>
      </c>
      <c r="C5905">
        <v>7</v>
      </c>
      <c r="D5905" t="s">
        <v>31</v>
      </c>
      <c r="H5905">
        <v>293</v>
      </c>
    </row>
    <row r="5906" spans="1:8" x14ac:dyDescent="0.45">
      <c r="A5906" t="s">
        <v>67</v>
      </c>
      <c r="B5906" t="s">
        <v>20</v>
      </c>
      <c r="C5906">
        <v>7</v>
      </c>
      <c r="D5906" t="s">
        <v>32</v>
      </c>
      <c r="H5906">
        <v>4</v>
      </c>
    </row>
    <row r="5907" spans="1:8" x14ac:dyDescent="0.45">
      <c r="A5907" t="s">
        <v>67</v>
      </c>
      <c r="B5907" t="s">
        <v>20</v>
      </c>
      <c r="C5907">
        <v>7</v>
      </c>
      <c r="D5907" t="s">
        <v>34</v>
      </c>
      <c r="H5907">
        <v>6</v>
      </c>
    </row>
    <row r="5908" spans="1:8" x14ac:dyDescent="0.45">
      <c r="A5908" t="s">
        <v>67</v>
      </c>
      <c r="B5908" t="s">
        <v>21</v>
      </c>
      <c r="C5908">
        <v>8</v>
      </c>
      <c r="D5908" t="s">
        <v>19</v>
      </c>
      <c r="E5908">
        <v>1216517</v>
      </c>
      <c r="F5908">
        <v>2783</v>
      </c>
      <c r="G5908">
        <v>792</v>
      </c>
    </row>
    <row r="5909" spans="1:8" x14ac:dyDescent="0.45">
      <c r="A5909" t="s">
        <v>67</v>
      </c>
      <c r="B5909" t="s">
        <v>21</v>
      </c>
      <c r="C5909">
        <v>8</v>
      </c>
      <c r="D5909" t="s">
        <v>27</v>
      </c>
      <c r="F5909">
        <v>1173</v>
      </c>
      <c r="G5909">
        <v>763</v>
      </c>
    </row>
    <row r="5910" spans="1:8" x14ac:dyDescent="0.45">
      <c r="A5910" t="s">
        <v>67</v>
      </c>
      <c r="B5910" t="s">
        <v>21</v>
      </c>
      <c r="C5910">
        <v>8</v>
      </c>
      <c r="D5910" t="s">
        <v>28</v>
      </c>
      <c r="F5910">
        <v>539</v>
      </c>
      <c r="G5910">
        <v>831</v>
      </c>
    </row>
    <row r="5911" spans="1:8" x14ac:dyDescent="0.45">
      <c r="A5911" t="s">
        <v>67</v>
      </c>
      <c r="B5911" t="s">
        <v>21</v>
      </c>
      <c r="C5911">
        <v>8</v>
      </c>
      <c r="D5911" t="s">
        <v>29</v>
      </c>
      <c r="F5911">
        <v>268</v>
      </c>
      <c r="G5911">
        <v>1352</v>
      </c>
    </row>
    <row r="5912" spans="1:8" x14ac:dyDescent="0.45">
      <c r="A5912" t="s">
        <v>67</v>
      </c>
      <c r="B5912" t="s">
        <v>20</v>
      </c>
      <c r="C5912">
        <v>8</v>
      </c>
      <c r="D5912" t="s">
        <v>19</v>
      </c>
      <c r="E5912">
        <v>1308244</v>
      </c>
      <c r="F5912">
        <v>2626</v>
      </c>
      <c r="G5912">
        <v>798</v>
      </c>
    </row>
    <row r="5913" spans="1:8" x14ac:dyDescent="0.45">
      <c r="A5913" t="s">
        <v>67</v>
      </c>
      <c r="B5913" t="s">
        <v>20</v>
      </c>
      <c r="C5913">
        <v>8</v>
      </c>
      <c r="D5913" t="s">
        <v>27</v>
      </c>
      <c r="F5913">
        <v>1041</v>
      </c>
      <c r="G5913">
        <v>1176</v>
      </c>
    </row>
    <row r="5914" spans="1:8" x14ac:dyDescent="0.45">
      <c r="A5914" t="s">
        <v>67</v>
      </c>
      <c r="B5914" t="s">
        <v>20</v>
      </c>
      <c r="C5914">
        <v>8</v>
      </c>
      <c r="D5914" t="s">
        <v>28</v>
      </c>
      <c r="F5914">
        <v>573</v>
      </c>
      <c r="G5914">
        <v>1017</v>
      </c>
    </row>
    <row r="5915" spans="1:8" x14ac:dyDescent="0.45">
      <c r="A5915" t="s">
        <v>67</v>
      </c>
      <c r="B5915" t="s">
        <v>20</v>
      </c>
      <c r="C5915">
        <v>8</v>
      </c>
      <c r="D5915" t="s">
        <v>29</v>
      </c>
      <c r="F5915">
        <v>283</v>
      </c>
      <c r="G5915">
        <v>1010</v>
      </c>
    </row>
    <row r="5916" spans="1:8" x14ac:dyDescent="0.45">
      <c r="A5916" t="s">
        <v>67</v>
      </c>
      <c r="B5916" t="s">
        <v>20</v>
      </c>
      <c r="C5916">
        <v>8</v>
      </c>
      <c r="D5916" t="s">
        <v>31</v>
      </c>
      <c r="H5916">
        <v>45</v>
      </c>
    </row>
    <row r="5917" spans="1:8" x14ac:dyDescent="0.45">
      <c r="A5917" t="s">
        <v>67</v>
      </c>
      <c r="B5917" t="s">
        <v>20</v>
      </c>
      <c r="C5917">
        <v>8</v>
      </c>
      <c r="D5917" t="s">
        <v>32</v>
      </c>
      <c r="H5917">
        <v>20</v>
      </c>
    </row>
    <row r="5918" spans="1:8" x14ac:dyDescent="0.45">
      <c r="A5918" t="s">
        <v>67</v>
      </c>
      <c r="B5918" t="s">
        <v>20</v>
      </c>
      <c r="C5918">
        <v>8</v>
      </c>
      <c r="D5918" t="s">
        <v>34</v>
      </c>
      <c r="H5918">
        <v>2</v>
      </c>
    </row>
    <row r="5919" spans="1:8" x14ac:dyDescent="0.45">
      <c r="A5919" t="s">
        <v>67</v>
      </c>
      <c r="B5919" t="s">
        <v>21</v>
      </c>
      <c r="C5919">
        <v>9</v>
      </c>
      <c r="D5919" t="s">
        <v>19</v>
      </c>
      <c r="E5919">
        <v>1308805</v>
      </c>
      <c r="F5919">
        <v>3088</v>
      </c>
      <c r="G5919">
        <v>831</v>
      </c>
    </row>
    <row r="5920" spans="1:8" x14ac:dyDescent="0.45">
      <c r="A5920" t="s">
        <v>67</v>
      </c>
      <c r="B5920" t="s">
        <v>21</v>
      </c>
      <c r="C5920">
        <v>9</v>
      </c>
      <c r="D5920" t="s">
        <v>27</v>
      </c>
      <c r="F5920">
        <v>1309</v>
      </c>
    </row>
    <row r="5921" spans="1:8" x14ac:dyDescent="0.45">
      <c r="A5921" t="s">
        <v>67</v>
      </c>
      <c r="B5921" t="s">
        <v>21</v>
      </c>
      <c r="C5921">
        <v>9</v>
      </c>
      <c r="D5921" t="s">
        <v>28</v>
      </c>
      <c r="F5921">
        <v>558</v>
      </c>
    </row>
    <row r="5922" spans="1:8" x14ac:dyDescent="0.45">
      <c r="A5922" t="s">
        <v>67</v>
      </c>
      <c r="B5922" t="s">
        <v>21</v>
      </c>
      <c r="C5922">
        <v>9</v>
      </c>
      <c r="D5922" t="s">
        <v>29</v>
      </c>
      <c r="F5922">
        <v>371</v>
      </c>
    </row>
    <row r="5923" spans="1:8" x14ac:dyDescent="0.45">
      <c r="A5923" t="s">
        <v>67</v>
      </c>
      <c r="B5923" t="s">
        <v>20</v>
      </c>
      <c r="C5923">
        <v>9</v>
      </c>
      <c r="D5923" t="s">
        <v>19</v>
      </c>
      <c r="E5923">
        <v>1279148</v>
      </c>
      <c r="F5923">
        <v>2684</v>
      </c>
      <c r="G5923">
        <v>802</v>
      </c>
    </row>
    <row r="5924" spans="1:8" x14ac:dyDescent="0.45">
      <c r="A5924" t="s">
        <v>67</v>
      </c>
      <c r="B5924" t="s">
        <v>20</v>
      </c>
      <c r="C5924">
        <v>9</v>
      </c>
      <c r="D5924" t="s">
        <v>27</v>
      </c>
      <c r="F5924">
        <v>1066</v>
      </c>
    </row>
    <row r="5925" spans="1:8" x14ac:dyDescent="0.45">
      <c r="A5925" t="s">
        <v>67</v>
      </c>
      <c r="B5925" t="s">
        <v>20</v>
      </c>
      <c r="C5925">
        <v>9</v>
      </c>
      <c r="D5925" t="s">
        <v>28</v>
      </c>
      <c r="F5925">
        <v>549</v>
      </c>
    </row>
    <row r="5926" spans="1:8" x14ac:dyDescent="0.45">
      <c r="A5926" t="s">
        <v>67</v>
      </c>
      <c r="B5926" t="s">
        <v>20</v>
      </c>
      <c r="C5926">
        <v>9</v>
      </c>
      <c r="D5926" t="s">
        <v>29</v>
      </c>
      <c r="F5926">
        <v>294</v>
      </c>
    </row>
    <row r="5927" spans="1:8" x14ac:dyDescent="0.45">
      <c r="A5927" t="s">
        <v>67</v>
      </c>
      <c r="B5927" t="s">
        <v>20</v>
      </c>
      <c r="C5927">
        <v>9</v>
      </c>
      <c r="D5927" t="s">
        <v>31</v>
      </c>
      <c r="H5927">
        <v>208</v>
      </c>
    </row>
    <row r="5928" spans="1:8" x14ac:dyDescent="0.45">
      <c r="A5928" t="s">
        <v>67</v>
      </c>
      <c r="B5928" t="s">
        <v>20</v>
      </c>
      <c r="C5928">
        <v>9</v>
      </c>
      <c r="D5928" t="s">
        <v>32</v>
      </c>
      <c r="H5928">
        <v>16</v>
      </c>
    </row>
    <row r="5929" spans="1:8" x14ac:dyDescent="0.45">
      <c r="A5929" t="s">
        <v>67</v>
      </c>
      <c r="B5929" t="s">
        <v>20</v>
      </c>
      <c r="C5929">
        <v>9</v>
      </c>
      <c r="D5929" t="s">
        <v>34</v>
      </c>
      <c r="H5929">
        <v>6</v>
      </c>
    </row>
    <row r="5930" spans="1:8" x14ac:dyDescent="0.45">
      <c r="A5930" t="s">
        <v>67</v>
      </c>
      <c r="B5930" t="s">
        <v>21</v>
      </c>
      <c r="C5930">
        <v>10</v>
      </c>
      <c r="D5930" t="s">
        <v>19</v>
      </c>
      <c r="E5930">
        <v>2005248</v>
      </c>
      <c r="F5930">
        <v>4579</v>
      </c>
      <c r="G5930">
        <v>908</v>
      </c>
    </row>
    <row r="5931" spans="1:8" x14ac:dyDescent="0.45">
      <c r="A5931" t="s">
        <v>67</v>
      </c>
      <c r="B5931" t="s">
        <v>21</v>
      </c>
      <c r="C5931">
        <v>10</v>
      </c>
      <c r="D5931" t="s">
        <v>27</v>
      </c>
      <c r="F5931">
        <v>1788</v>
      </c>
    </row>
    <row r="5932" spans="1:8" x14ac:dyDescent="0.45">
      <c r="A5932" t="s">
        <v>67</v>
      </c>
      <c r="B5932" t="s">
        <v>21</v>
      </c>
      <c r="C5932">
        <v>10</v>
      </c>
      <c r="D5932" t="s">
        <v>28</v>
      </c>
      <c r="F5932">
        <v>956</v>
      </c>
    </row>
    <row r="5933" spans="1:8" x14ac:dyDescent="0.45">
      <c r="A5933" t="s">
        <v>67</v>
      </c>
      <c r="B5933" t="s">
        <v>21</v>
      </c>
      <c r="C5933">
        <v>10</v>
      </c>
      <c r="D5933" t="s">
        <v>29</v>
      </c>
      <c r="F5933">
        <v>534</v>
      </c>
    </row>
    <row r="5934" spans="1:8" x14ac:dyDescent="0.45">
      <c r="A5934" t="s">
        <v>67</v>
      </c>
      <c r="B5934" t="s">
        <v>20</v>
      </c>
      <c r="C5934">
        <v>10</v>
      </c>
      <c r="D5934" t="s">
        <v>19</v>
      </c>
      <c r="E5934">
        <v>2897094</v>
      </c>
      <c r="F5934">
        <v>4734</v>
      </c>
      <c r="G5934">
        <v>1301</v>
      </c>
    </row>
    <row r="5935" spans="1:8" x14ac:dyDescent="0.45">
      <c r="A5935" t="s">
        <v>67</v>
      </c>
      <c r="B5935" t="s">
        <v>20</v>
      </c>
      <c r="C5935">
        <v>10</v>
      </c>
      <c r="D5935" t="s">
        <v>27</v>
      </c>
      <c r="F5935">
        <v>1370</v>
      </c>
    </row>
    <row r="5936" spans="1:8" x14ac:dyDescent="0.45">
      <c r="A5936" t="s">
        <v>67</v>
      </c>
      <c r="B5936" t="s">
        <v>20</v>
      </c>
      <c r="C5936">
        <v>10</v>
      </c>
      <c r="D5936" t="s">
        <v>28</v>
      </c>
      <c r="F5936">
        <v>793</v>
      </c>
    </row>
    <row r="5937" spans="1:8" x14ac:dyDescent="0.45">
      <c r="A5937" t="s">
        <v>67</v>
      </c>
      <c r="B5937" t="s">
        <v>20</v>
      </c>
      <c r="C5937">
        <v>10</v>
      </c>
      <c r="D5937" t="s">
        <v>29</v>
      </c>
      <c r="F5937">
        <v>537</v>
      </c>
    </row>
    <row r="5938" spans="1:8" x14ac:dyDescent="0.45">
      <c r="A5938" t="s">
        <v>67</v>
      </c>
      <c r="B5938" t="s">
        <v>20</v>
      </c>
      <c r="C5938">
        <v>10</v>
      </c>
      <c r="D5938" t="s">
        <v>31</v>
      </c>
      <c r="H5938">
        <v>228</v>
      </c>
    </row>
    <row r="5939" spans="1:8" x14ac:dyDescent="0.45">
      <c r="A5939" t="s">
        <v>67</v>
      </c>
      <c r="B5939" t="s">
        <v>20</v>
      </c>
      <c r="C5939">
        <v>10</v>
      </c>
      <c r="D5939" t="s">
        <v>32</v>
      </c>
      <c r="H5939">
        <v>14</v>
      </c>
    </row>
    <row r="5940" spans="1:8" x14ac:dyDescent="0.45">
      <c r="A5940" t="s">
        <v>67</v>
      </c>
      <c r="B5940" t="s">
        <v>20</v>
      </c>
      <c r="C5940">
        <v>10</v>
      </c>
      <c r="D5940" t="s">
        <v>34</v>
      </c>
      <c r="H5940">
        <v>9</v>
      </c>
    </row>
    <row r="5941" spans="1:8" x14ac:dyDescent="0.45">
      <c r="A5941" t="s">
        <v>67</v>
      </c>
      <c r="B5941" t="s">
        <v>21</v>
      </c>
      <c r="C5941">
        <v>11</v>
      </c>
      <c r="D5941" t="s">
        <v>19</v>
      </c>
      <c r="E5941">
        <v>1548401</v>
      </c>
      <c r="F5941">
        <v>3238</v>
      </c>
      <c r="G5941">
        <v>925</v>
      </c>
    </row>
    <row r="5942" spans="1:8" x14ac:dyDescent="0.45">
      <c r="A5942" t="s">
        <v>67</v>
      </c>
      <c r="B5942" t="s">
        <v>21</v>
      </c>
      <c r="C5942">
        <v>11</v>
      </c>
      <c r="D5942" t="s">
        <v>27</v>
      </c>
      <c r="F5942">
        <v>1411</v>
      </c>
    </row>
    <row r="5943" spans="1:8" x14ac:dyDescent="0.45">
      <c r="A5943" t="s">
        <v>67</v>
      </c>
      <c r="B5943" t="s">
        <v>21</v>
      </c>
      <c r="C5943">
        <v>11</v>
      </c>
      <c r="D5943" t="s">
        <v>28</v>
      </c>
      <c r="F5943">
        <v>536</v>
      </c>
    </row>
    <row r="5944" spans="1:8" x14ac:dyDescent="0.45">
      <c r="A5944" t="s">
        <v>67</v>
      </c>
      <c r="B5944" t="s">
        <v>21</v>
      </c>
      <c r="C5944">
        <v>11</v>
      </c>
      <c r="D5944" t="s">
        <v>29</v>
      </c>
      <c r="F5944">
        <v>389</v>
      </c>
    </row>
    <row r="5945" spans="1:8" x14ac:dyDescent="0.45">
      <c r="A5945" t="s">
        <v>67</v>
      </c>
      <c r="B5945" t="s">
        <v>20</v>
      </c>
      <c r="C5945">
        <v>11</v>
      </c>
      <c r="D5945" t="s">
        <v>19</v>
      </c>
      <c r="E5945">
        <v>1709642</v>
      </c>
      <c r="F5945">
        <v>3422</v>
      </c>
      <c r="G5945">
        <v>1057</v>
      </c>
    </row>
    <row r="5946" spans="1:8" x14ac:dyDescent="0.45">
      <c r="A5946" t="s">
        <v>67</v>
      </c>
      <c r="B5946" t="s">
        <v>20</v>
      </c>
      <c r="C5946">
        <v>11</v>
      </c>
      <c r="D5946" t="s">
        <v>27</v>
      </c>
      <c r="F5946">
        <v>1143</v>
      </c>
    </row>
    <row r="5947" spans="1:8" x14ac:dyDescent="0.45">
      <c r="A5947" t="s">
        <v>67</v>
      </c>
      <c r="B5947" t="s">
        <v>20</v>
      </c>
      <c r="C5947">
        <v>11</v>
      </c>
      <c r="D5947" t="s">
        <v>28</v>
      </c>
      <c r="F5947">
        <v>686</v>
      </c>
    </row>
    <row r="5948" spans="1:8" x14ac:dyDescent="0.45">
      <c r="A5948" t="s">
        <v>67</v>
      </c>
      <c r="B5948" t="s">
        <v>20</v>
      </c>
      <c r="C5948">
        <v>11</v>
      </c>
      <c r="D5948" t="s">
        <v>29</v>
      </c>
      <c r="F5948">
        <v>479</v>
      </c>
    </row>
    <row r="5949" spans="1:8" x14ac:dyDescent="0.45">
      <c r="A5949" t="s">
        <v>67</v>
      </c>
      <c r="B5949" t="s">
        <v>20</v>
      </c>
      <c r="C5949">
        <v>11</v>
      </c>
      <c r="D5949" t="s">
        <v>31</v>
      </c>
      <c r="H5949">
        <v>298</v>
      </c>
    </row>
    <row r="5950" spans="1:8" x14ac:dyDescent="0.45">
      <c r="A5950" t="s">
        <v>67</v>
      </c>
      <c r="B5950" t="s">
        <v>20</v>
      </c>
      <c r="C5950">
        <v>11</v>
      </c>
      <c r="D5950" t="s">
        <v>32</v>
      </c>
      <c r="H5950">
        <v>8</v>
      </c>
    </row>
    <row r="5951" spans="1:8" x14ac:dyDescent="0.45">
      <c r="A5951" t="s">
        <v>67</v>
      </c>
      <c r="B5951" t="s">
        <v>20</v>
      </c>
      <c r="C5951">
        <v>11</v>
      </c>
      <c r="D5951" t="s">
        <v>34</v>
      </c>
      <c r="H5951">
        <v>6</v>
      </c>
    </row>
    <row r="5952" spans="1:8" x14ac:dyDescent="0.45">
      <c r="A5952" t="s">
        <v>67</v>
      </c>
      <c r="B5952" t="s">
        <v>21</v>
      </c>
      <c r="C5952">
        <v>12</v>
      </c>
      <c r="D5952" t="s">
        <v>19</v>
      </c>
      <c r="E5952">
        <v>1786697</v>
      </c>
      <c r="F5952">
        <v>3912</v>
      </c>
    </row>
    <row r="5953" spans="1:8" x14ac:dyDescent="0.45">
      <c r="A5953" t="s">
        <v>67</v>
      </c>
      <c r="B5953" t="s">
        <v>21</v>
      </c>
      <c r="C5953">
        <v>12</v>
      </c>
      <c r="D5953" t="s">
        <v>27</v>
      </c>
      <c r="F5953">
        <v>1459</v>
      </c>
    </row>
    <row r="5954" spans="1:8" x14ac:dyDescent="0.45">
      <c r="A5954" t="s">
        <v>67</v>
      </c>
      <c r="B5954" t="s">
        <v>21</v>
      </c>
      <c r="C5954">
        <v>12</v>
      </c>
      <c r="D5954" t="s">
        <v>28</v>
      </c>
      <c r="F5954">
        <v>749</v>
      </c>
    </row>
    <row r="5955" spans="1:8" x14ac:dyDescent="0.45">
      <c r="A5955" t="s">
        <v>67</v>
      </c>
      <c r="B5955" t="s">
        <v>21</v>
      </c>
      <c r="C5955">
        <v>12</v>
      </c>
      <c r="D5955" t="s">
        <v>29</v>
      </c>
      <c r="F5955">
        <v>588</v>
      </c>
    </row>
    <row r="5956" spans="1:8" x14ac:dyDescent="0.45">
      <c r="A5956" t="s">
        <v>67</v>
      </c>
      <c r="B5956" t="s">
        <v>20</v>
      </c>
      <c r="C5956">
        <v>12</v>
      </c>
      <c r="D5956" t="s">
        <v>19</v>
      </c>
      <c r="E5956">
        <v>1590616</v>
      </c>
      <c r="F5956">
        <v>3409</v>
      </c>
      <c r="G5956">
        <v>908</v>
      </c>
    </row>
    <row r="5957" spans="1:8" x14ac:dyDescent="0.45">
      <c r="A5957" t="s">
        <v>67</v>
      </c>
      <c r="B5957" t="s">
        <v>20</v>
      </c>
      <c r="C5957">
        <v>12</v>
      </c>
      <c r="D5957" t="s">
        <v>27</v>
      </c>
      <c r="F5957">
        <v>1182</v>
      </c>
    </row>
    <row r="5958" spans="1:8" x14ac:dyDescent="0.45">
      <c r="A5958" t="s">
        <v>67</v>
      </c>
      <c r="B5958" t="s">
        <v>20</v>
      </c>
      <c r="C5958">
        <v>12</v>
      </c>
      <c r="D5958" t="s">
        <v>28</v>
      </c>
      <c r="F5958">
        <v>679</v>
      </c>
    </row>
    <row r="5959" spans="1:8" x14ac:dyDescent="0.45">
      <c r="A5959" t="s">
        <v>67</v>
      </c>
      <c r="B5959" t="s">
        <v>20</v>
      </c>
      <c r="C5959">
        <v>12</v>
      </c>
      <c r="D5959" t="s">
        <v>29</v>
      </c>
      <c r="F5959">
        <v>538</v>
      </c>
    </row>
    <row r="5960" spans="1:8" x14ac:dyDescent="0.45">
      <c r="A5960" t="s">
        <v>67</v>
      </c>
      <c r="B5960" t="s">
        <v>20</v>
      </c>
      <c r="C5960">
        <v>12</v>
      </c>
      <c r="D5960" t="s">
        <v>31</v>
      </c>
      <c r="H5960">
        <v>143</v>
      </c>
    </row>
    <row r="5961" spans="1:8" x14ac:dyDescent="0.45">
      <c r="A5961" t="s">
        <v>67</v>
      </c>
      <c r="B5961" t="s">
        <v>20</v>
      </c>
      <c r="C5961">
        <v>12</v>
      </c>
      <c r="D5961" t="s">
        <v>32</v>
      </c>
      <c r="H5961">
        <v>6</v>
      </c>
    </row>
    <row r="5962" spans="1:8" x14ac:dyDescent="0.45">
      <c r="A5962" t="s">
        <v>67</v>
      </c>
      <c r="B5962" t="s">
        <v>20</v>
      </c>
      <c r="C5962">
        <v>12</v>
      </c>
      <c r="D5962" t="s">
        <v>34</v>
      </c>
      <c r="H5962">
        <v>12</v>
      </c>
    </row>
    <row r="5963" spans="1:8" x14ac:dyDescent="0.45">
      <c r="A5963" t="s">
        <v>63</v>
      </c>
      <c r="B5963" t="s">
        <v>21</v>
      </c>
      <c r="C5963">
        <v>1</v>
      </c>
      <c r="D5963" t="s">
        <v>19</v>
      </c>
      <c r="E5963">
        <v>1117120</v>
      </c>
      <c r="F5963">
        <v>2082</v>
      </c>
      <c r="G5963">
        <v>635</v>
      </c>
    </row>
    <row r="5964" spans="1:8" x14ac:dyDescent="0.45">
      <c r="A5964" t="s">
        <v>63</v>
      </c>
      <c r="B5964" t="s">
        <v>21</v>
      </c>
      <c r="C5964">
        <v>1</v>
      </c>
      <c r="D5964" t="s">
        <v>27</v>
      </c>
      <c r="F5964">
        <v>685</v>
      </c>
    </row>
    <row r="5965" spans="1:8" x14ac:dyDescent="0.45">
      <c r="A5965" t="s">
        <v>63</v>
      </c>
      <c r="B5965" t="s">
        <v>21</v>
      </c>
      <c r="C5965">
        <v>1</v>
      </c>
      <c r="D5965" t="s">
        <v>28</v>
      </c>
      <c r="F5965">
        <v>376</v>
      </c>
    </row>
    <row r="5966" spans="1:8" x14ac:dyDescent="0.45">
      <c r="A5966" t="s">
        <v>63</v>
      </c>
      <c r="B5966" t="s">
        <v>21</v>
      </c>
      <c r="C5966">
        <v>1</v>
      </c>
      <c r="D5966" t="s">
        <v>29</v>
      </c>
      <c r="F5966">
        <v>298</v>
      </c>
    </row>
    <row r="5967" spans="1:8" x14ac:dyDescent="0.45">
      <c r="A5967" t="s">
        <v>63</v>
      </c>
      <c r="B5967" t="s">
        <v>20</v>
      </c>
      <c r="C5967">
        <v>1</v>
      </c>
      <c r="D5967" t="s">
        <v>19</v>
      </c>
      <c r="E5967">
        <v>1277613</v>
      </c>
      <c r="F5967">
        <v>2467</v>
      </c>
      <c r="G5967">
        <v>699</v>
      </c>
    </row>
    <row r="5968" spans="1:8" x14ac:dyDescent="0.45">
      <c r="A5968" t="s">
        <v>63</v>
      </c>
      <c r="B5968" t="s">
        <v>20</v>
      </c>
      <c r="C5968">
        <v>1</v>
      </c>
      <c r="D5968" t="s">
        <v>27</v>
      </c>
      <c r="F5968">
        <v>685</v>
      </c>
    </row>
    <row r="5969" spans="1:8" x14ac:dyDescent="0.45">
      <c r="A5969" t="s">
        <v>63</v>
      </c>
      <c r="B5969" t="s">
        <v>20</v>
      </c>
      <c r="C5969">
        <v>1</v>
      </c>
      <c r="D5969" t="s">
        <v>28</v>
      </c>
      <c r="F5969">
        <v>414</v>
      </c>
    </row>
    <row r="5970" spans="1:8" x14ac:dyDescent="0.45">
      <c r="A5970" t="s">
        <v>63</v>
      </c>
      <c r="B5970" t="s">
        <v>20</v>
      </c>
      <c r="C5970">
        <v>1</v>
      </c>
      <c r="D5970" t="s">
        <v>29</v>
      </c>
      <c r="F5970">
        <v>337</v>
      </c>
    </row>
    <row r="5971" spans="1:8" x14ac:dyDescent="0.45">
      <c r="A5971" t="s">
        <v>63</v>
      </c>
      <c r="B5971" t="s">
        <v>20</v>
      </c>
      <c r="C5971">
        <v>1</v>
      </c>
      <c r="D5971" t="s">
        <v>31</v>
      </c>
      <c r="H5971">
        <v>104</v>
      </c>
    </row>
    <row r="5972" spans="1:8" x14ac:dyDescent="0.45">
      <c r="A5972" t="s">
        <v>63</v>
      </c>
      <c r="B5972" t="s">
        <v>20</v>
      </c>
      <c r="C5972">
        <v>1</v>
      </c>
      <c r="D5972" t="s">
        <v>32</v>
      </c>
      <c r="H5972">
        <v>8</v>
      </c>
    </row>
    <row r="5973" spans="1:8" x14ac:dyDescent="0.45">
      <c r="A5973" t="s">
        <v>63</v>
      </c>
      <c r="B5973" t="s">
        <v>20</v>
      </c>
      <c r="C5973">
        <v>1</v>
      </c>
      <c r="D5973" t="s">
        <v>34</v>
      </c>
    </row>
    <row r="5974" spans="1:8" x14ac:dyDescent="0.45">
      <c r="A5974" t="s">
        <v>63</v>
      </c>
      <c r="B5974" t="s">
        <v>21</v>
      </c>
      <c r="C5974">
        <v>2</v>
      </c>
      <c r="D5974" t="s">
        <v>19</v>
      </c>
      <c r="E5974">
        <v>1112495</v>
      </c>
      <c r="F5974">
        <v>2011</v>
      </c>
      <c r="G5974">
        <v>566</v>
      </c>
    </row>
    <row r="5975" spans="1:8" x14ac:dyDescent="0.45">
      <c r="A5975" t="s">
        <v>63</v>
      </c>
      <c r="B5975" t="s">
        <v>21</v>
      </c>
      <c r="C5975">
        <v>2</v>
      </c>
      <c r="D5975" t="s">
        <v>27</v>
      </c>
      <c r="F5975">
        <v>689</v>
      </c>
    </row>
    <row r="5976" spans="1:8" x14ac:dyDescent="0.45">
      <c r="A5976" t="s">
        <v>63</v>
      </c>
      <c r="B5976" t="s">
        <v>21</v>
      </c>
      <c r="C5976">
        <v>2</v>
      </c>
      <c r="D5976" t="s">
        <v>28</v>
      </c>
      <c r="F5976">
        <v>324</v>
      </c>
    </row>
    <row r="5977" spans="1:8" x14ac:dyDescent="0.45">
      <c r="A5977" t="s">
        <v>63</v>
      </c>
      <c r="B5977" t="s">
        <v>21</v>
      </c>
      <c r="C5977">
        <v>2</v>
      </c>
      <c r="D5977" t="s">
        <v>29</v>
      </c>
      <c r="F5977">
        <v>279</v>
      </c>
    </row>
    <row r="5978" spans="1:8" x14ac:dyDescent="0.45">
      <c r="A5978" t="s">
        <v>63</v>
      </c>
      <c r="B5978" t="s">
        <v>20</v>
      </c>
      <c r="C5978">
        <v>2</v>
      </c>
      <c r="D5978" t="s">
        <v>19</v>
      </c>
      <c r="E5978">
        <v>1084769</v>
      </c>
      <c r="F5978">
        <v>2116</v>
      </c>
      <c r="G5978">
        <v>579</v>
      </c>
    </row>
    <row r="5979" spans="1:8" x14ac:dyDescent="0.45">
      <c r="A5979" t="s">
        <v>63</v>
      </c>
      <c r="B5979" t="s">
        <v>20</v>
      </c>
      <c r="C5979">
        <v>2</v>
      </c>
      <c r="D5979" t="s">
        <v>27</v>
      </c>
      <c r="F5979">
        <v>718</v>
      </c>
    </row>
    <row r="5980" spans="1:8" x14ac:dyDescent="0.45">
      <c r="A5980" t="s">
        <v>63</v>
      </c>
      <c r="B5980" t="s">
        <v>20</v>
      </c>
      <c r="C5980">
        <v>2</v>
      </c>
      <c r="D5980" t="s">
        <v>28</v>
      </c>
      <c r="F5980">
        <v>335</v>
      </c>
    </row>
    <row r="5981" spans="1:8" x14ac:dyDescent="0.45">
      <c r="A5981" t="s">
        <v>63</v>
      </c>
      <c r="B5981" t="s">
        <v>20</v>
      </c>
      <c r="C5981">
        <v>2</v>
      </c>
      <c r="D5981" t="s">
        <v>29</v>
      </c>
      <c r="F5981">
        <v>259</v>
      </c>
    </row>
    <row r="5982" spans="1:8" x14ac:dyDescent="0.45">
      <c r="A5982" t="s">
        <v>63</v>
      </c>
      <c r="B5982" t="s">
        <v>20</v>
      </c>
      <c r="C5982">
        <v>2</v>
      </c>
      <c r="D5982" t="s">
        <v>31</v>
      </c>
      <c r="H5982">
        <v>102</v>
      </c>
    </row>
    <row r="5983" spans="1:8" x14ac:dyDescent="0.45">
      <c r="A5983" t="s">
        <v>63</v>
      </c>
      <c r="B5983" t="s">
        <v>20</v>
      </c>
      <c r="C5983">
        <v>2</v>
      </c>
      <c r="D5983" t="s">
        <v>32</v>
      </c>
      <c r="H5983">
        <v>10</v>
      </c>
    </row>
    <row r="5984" spans="1:8" x14ac:dyDescent="0.45">
      <c r="A5984" t="s">
        <v>63</v>
      </c>
      <c r="B5984" t="s">
        <v>20</v>
      </c>
      <c r="C5984">
        <v>2</v>
      </c>
      <c r="D5984" t="s">
        <v>34</v>
      </c>
      <c r="H5984">
        <v>6</v>
      </c>
    </row>
    <row r="5985" spans="1:8" x14ac:dyDescent="0.45">
      <c r="A5985" t="s">
        <v>63</v>
      </c>
      <c r="B5985" t="s">
        <v>21</v>
      </c>
      <c r="C5985">
        <v>3</v>
      </c>
      <c r="D5985" t="s">
        <v>19</v>
      </c>
      <c r="E5985">
        <v>2045012</v>
      </c>
      <c r="F5985">
        <v>3377</v>
      </c>
      <c r="H5985">
        <v>46</v>
      </c>
    </row>
    <row r="5986" spans="1:8" x14ac:dyDescent="0.45">
      <c r="A5986" t="s">
        <v>63</v>
      </c>
      <c r="B5986" t="s">
        <v>21</v>
      </c>
      <c r="C5986">
        <v>3</v>
      </c>
      <c r="D5986" t="s">
        <v>27</v>
      </c>
      <c r="F5986">
        <v>930</v>
      </c>
    </row>
    <row r="5987" spans="1:8" x14ac:dyDescent="0.45">
      <c r="A5987" t="s">
        <v>63</v>
      </c>
      <c r="B5987" t="s">
        <v>21</v>
      </c>
      <c r="C5987">
        <v>3</v>
      </c>
      <c r="D5987" t="s">
        <v>28</v>
      </c>
      <c r="F5987">
        <v>610</v>
      </c>
    </row>
    <row r="5988" spans="1:8" x14ac:dyDescent="0.45">
      <c r="A5988" t="s">
        <v>63</v>
      </c>
      <c r="B5988" t="s">
        <v>21</v>
      </c>
      <c r="C5988">
        <v>3</v>
      </c>
      <c r="D5988" t="s">
        <v>29</v>
      </c>
      <c r="F5988">
        <v>543</v>
      </c>
    </row>
    <row r="5989" spans="1:8" x14ac:dyDescent="0.45">
      <c r="A5989" t="s">
        <v>63</v>
      </c>
      <c r="B5989" t="s">
        <v>20</v>
      </c>
      <c r="C5989">
        <v>3</v>
      </c>
      <c r="D5989" t="s">
        <v>19</v>
      </c>
      <c r="E5989">
        <v>2166330</v>
      </c>
      <c r="F5989">
        <v>3559</v>
      </c>
      <c r="G5989">
        <v>385</v>
      </c>
    </row>
    <row r="5990" spans="1:8" x14ac:dyDescent="0.45">
      <c r="A5990" t="s">
        <v>63</v>
      </c>
      <c r="B5990" t="s">
        <v>20</v>
      </c>
      <c r="C5990">
        <v>3</v>
      </c>
      <c r="D5990" t="s">
        <v>27</v>
      </c>
      <c r="F5990">
        <v>912</v>
      </c>
    </row>
    <row r="5991" spans="1:8" x14ac:dyDescent="0.45">
      <c r="A5991" t="s">
        <v>63</v>
      </c>
      <c r="B5991" t="s">
        <v>20</v>
      </c>
      <c r="C5991">
        <v>3</v>
      </c>
      <c r="D5991" t="s">
        <v>28</v>
      </c>
      <c r="F5991">
        <v>577</v>
      </c>
    </row>
    <row r="5992" spans="1:8" x14ac:dyDescent="0.45">
      <c r="A5992" t="s">
        <v>63</v>
      </c>
      <c r="B5992" t="s">
        <v>20</v>
      </c>
      <c r="C5992">
        <v>3</v>
      </c>
      <c r="D5992" t="s">
        <v>29</v>
      </c>
      <c r="F5992">
        <v>568</v>
      </c>
    </row>
    <row r="5993" spans="1:8" x14ac:dyDescent="0.45">
      <c r="A5993" t="s">
        <v>63</v>
      </c>
      <c r="B5993" t="s">
        <v>20</v>
      </c>
      <c r="C5993">
        <v>3</v>
      </c>
      <c r="D5993" t="s">
        <v>31</v>
      </c>
      <c r="H5993">
        <v>108</v>
      </c>
    </row>
    <row r="5994" spans="1:8" x14ac:dyDescent="0.45">
      <c r="A5994" t="s">
        <v>63</v>
      </c>
      <c r="B5994" t="s">
        <v>20</v>
      </c>
      <c r="C5994">
        <v>3</v>
      </c>
      <c r="D5994" t="s">
        <v>32</v>
      </c>
      <c r="H5994">
        <v>9</v>
      </c>
    </row>
    <row r="5995" spans="1:8" x14ac:dyDescent="0.45">
      <c r="A5995" t="s">
        <v>63</v>
      </c>
      <c r="B5995" t="s">
        <v>20</v>
      </c>
      <c r="C5995">
        <v>3</v>
      </c>
      <c r="D5995" t="s">
        <v>34</v>
      </c>
      <c r="H5995">
        <v>6</v>
      </c>
    </row>
    <row r="5996" spans="1:8" x14ac:dyDescent="0.45">
      <c r="A5996" t="s">
        <v>63</v>
      </c>
      <c r="B5996" t="s">
        <v>21</v>
      </c>
      <c r="C5996">
        <v>4</v>
      </c>
      <c r="D5996" t="s">
        <v>19</v>
      </c>
      <c r="E5996">
        <v>2815485</v>
      </c>
      <c r="F5996">
        <v>4045</v>
      </c>
      <c r="G5996">
        <v>1081</v>
      </c>
    </row>
    <row r="5997" spans="1:8" x14ac:dyDescent="0.45">
      <c r="A5997" t="s">
        <v>63</v>
      </c>
      <c r="B5997" t="s">
        <v>21</v>
      </c>
      <c r="C5997">
        <v>4</v>
      </c>
      <c r="D5997" t="s">
        <v>27</v>
      </c>
      <c r="F5997">
        <v>897</v>
      </c>
    </row>
    <row r="5998" spans="1:8" x14ac:dyDescent="0.45">
      <c r="A5998" t="s">
        <v>63</v>
      </c>
      <c r="B5998" t="s">
        <v>21</v>
      </c>
      <c r="C5998">
        <v>4</v>
      </c>
      <c r="D5998" t="s">
        <v>28</v>
      </c>
      <c r="F5998">
        <v>643</v>
      </c>
    </row>
    <row r="5999" spans="1:8" x14ac:dyDescent="0.45">
      <c r="A5999" t="s">
        <v>63</v>
      </c>
      <c r="B5999" t="s">
        <v>21</v>
      </c>
      <c r="C5999">
        <v>4</v>
      </c>
      <c r="D5999" t="s">
        <v>29</v>
      </c>
      <c r="F5999">
        <v>548</v>
      </c>
    </row>
    <row r="6000" spans="1:8" x14ac:dyDescent="0.45">
      <c r="A6000" t="s">
        <v>63</v>
      </c>
      <c r="B6000" t="s">
        <v>20</v>
      </c>
      <c r="C6000">
        <v>4</v>
      </c>
      <c r="D6000" t="s">
        <v>19</v>
      </c>
      <c r="E6000">
        <v>3052249</v>
      </c>
      <c r="F6000">
        <v>4767</v>
      </c>
      <c r="G6000">
        <v>1159</v>
      </c>
    </row>
    <row r="6001" spans="1:8" x14ac:dyDescent="0.45">
      <c r="A6001" t="s">
        <v>63</v>
      </c>
      <c r="B6001" t="s">
        <v>20</v>
      </c>
      <c r="C6001">
        <v>4</v>
      </c>
      <c r="D6001" t="s">
        <v>27</v>
      </c>
      <c r="F6001">
        <v>873</v>
      </c>
    </row>
    <row r="6002" spans="1:8" x14ac:dyDescent="0.45">
      <c r="A6002" t="s">
        <v>63</v>
      </c>
      <c r="B6002" t="s">
        <v>20</v>
      </c>
      <c r="C6002">
        <v>4</v>
      </c>
      <c r="D6002" t="s">
        <v>28</v>
      </c>
      <c r="F6002">
        <v>678</v>
      </c>
    </row>
    <row r="6003" spans="1:8" x14ac:dyDescent="0.45">
      <c r="A6003" t="s">
        <v>63</v>
      </c>
      <c r="B6003" t="s">
        <v>20</v>
      </c>
      <c r="C6003">
        <v>4</v>
      </c>
      <c r="D6003" t="s">
        <v>29</v>
      </c>
      <c r="F6003">
        <v>644</v>
      </c>
    </row>
    <row r="6004" spans="1:8" x14ac:dyDescent="0.45">
      <c r="A6004" t="s">
        <v>63</v>
      </c>
      <c r="B6004" t="s">
        <v>20</v>
      </c>
      <c r="C6004">
        <v>4</v>
      </c>
      <c r="D6004" t="s">
        <v>31</v>
      </c>
      <c r="H6004">
        <v>83</v>
      </c>
    </row>
    <row r="6005" spans="1:8" x14ac:dyDescent="0.45">
      <c r="A6005" t="s">
        <v>63</v>
      </c>
      <c r="B6005" t="s">
        <v>20</v>
      </c>
      <c r="C6005">
        <v>4</v>
      </c>
      <c r="D6005" t="s">
        <v>32</v>
      </c>
      <c r="H6005">
        <v>10</v>
      </c>
    </row>
    <row r="6006" spans="1:8" x14ac:dyDescent="0.45">
      <c r="A6006" t="s">
        <v>63</v>
      </c>
      <c r="B6006" t="s">
        <v>20</v>
      </c>
      <c r="C6006">
        <v>4</v>
      </c>
      <c r="D6006" t="s">
        <v>34</v>
      </c>
      <c r="H6006">
        <v>4</v>
      </c>
    </row>
    <row r="6007" spans="1:8" x14ac:dyDescent="0.45">
      <c r="A6007" t="s">
        <v>63</v>
      </c>
      <c r="B6007" t="s">
        <v>21</v>
      </c>
      <c r="C6007">
        <v>5</v>
      </c>
      <c r="D6007" t="s">
        <v>19</v>
      </c>
      <c r="E6007">
        <v>2390854</v>
      </c>
      <c r="F6007">
        <v>3513</v>
      </c>
      <c r="G6007">
        <v>1343</v>
      </c>
      <c r="H6007">
        <v>2</v>
      </c>
    </row>
    <row r="6008" spans="1:8" x14ac:dyDescent="0.45">
      <c r="A6008" t="s">
        <v>63</v>
      </c>
      <c r="B6008" t="s">
        <v>21</v>
      </c>
      <c r="C6008">
        <v>5</v>
      </c>
      <c r="D6008" t="s">
        <v>27</v>
      </c>
      <c r="F6008">
        <v>813</v>
      </c>
    </row>
    <row r="6009" spans="1:8" x14ac:dyDescent="0.45">
      <c r="A6009" t="s">
        <v>63</v>
      </c>
      <c r="B6009" t="s">
        <v>21</v>
      </c>
      <c r="C6009">
        <v>5</v>
      </c>
      <c r="D6009" t="s">
        <v>28</v>
      </c>
      <c r="F6009">
        <v>549</v>
      </c>
    </row>
    <row r="6010" spans="1:8" x14ac:dyDescent="0.45">
      <c r="A6010" t="s">
        <v>63</v>
      </c>
      <c r="B6010" t="s">
        <v>21</v>
      </c>
      <c r="C6010">
        <v>5</v>
      </c>
      <c r="D6010" t="s">
        <v>29</v>
      </c>
      <c r="F6010">
        <v>486</v>
      </c>
    </row>
    <row r="6011" spans="1:8" x14ac:dyDescent="0.45">
      <c r="A6011" t="s">
        <v>63</v>
      </c>
      <c r="B6011" t="s">
        <v>20</v>
      </c>
      <c r="C6011">
        <v>5</v>
      </c>
      <c r="D6011" t="s">
        <v>19</v>
      </c>
      <c r="E6011">
        <v>2154031</v>
      </c>
      <c r="F6011">
        <v>3410</v>
      </c>
      <c r="H6011">
        <v>12</v>
      </c>
    </row>
    <row r="6012" spans="1:8" x14ac:dyDescent="0.45">
      <c r="A6012" t="s">
        <v>63</v>
      </c>
      <c r="B6012" t="s">
        <v>20</v>
      </c>
      <c r="C6012">
        <v>5</v>
      </c>
      <c r="D6012" t="s">
        <v>27</v>
      </c>
      <c r="F6012">
        <v>751</v>
      </c>
    </row>
    <row r="6013" spans="1:8" x14ac:dyDescent="0.45">
      <c r="A6013" t="s">
        <v>63</v>
      </c>
      <c r="B6013" t="s">
        <v>20</v>
      </c>
      <c r="C6013">
        <v>5</v>
      </c>
      <c r="D6013" t="s">
        <v>28</v>
      </c>
      <c r="F6013">
        <v>488</v>
      </c>
    </row>
    <row r="6014" spans="1:8" x14ac:dyDescent="0.45">
      <c r="A6014" t="s">
        <v>63</v>
      </c>
      <c r="B6014" t="s">
        <v>20</v>
      </c>
      <c r="C6014">
        <v>5</v>
      </c>
      <c r="D6014" t="s">
        <v>29</v>
      </c>
      <c r="F6014">
        <v>434</v>
      </c>
    </row>
    <row r="6015" spans="1:8" x14ac:dyDescent="0.45">
      <c r="A6015" t="s">
        <v>63</v>
      </c>
      <c r="B6015" t="s">
        <v>20</v>
      </c>
      <c r="C6015">
        <v>5</v>
      </c>
      <c r="D6015" t="s">
        <v>31</v>
      </c>
      <c r="H6015">
        <v>90</v>
      </c>
    </row>
    <row r="6016" spans="1:8" x14ac:dyDescent="0.45">
      <c r="A6016" t="s">
        <v>63</v>
      </c>
      <c r="B6016" t="s">
        <v>20</v>
      </c>
      <c r="C6016">
        <v>5</v>
      </c>
      <c r="D6016" t="s">
        <v>32</v>
      </c>
      <c r="H6016">
        <v>13</v>
      </c>
    </row>
    <row r="6017" spans="1:8" x14ac:dyDescent="0.45">
      <c r="A6017" t="s">
        <v>63</v>
      </c>
      <c r="B6017" t="s">
        <v>20</v>
      </c>
      <c r="C6017">
        <v>5</v>
      </c>
      <c r="D6017" t="s">
        <v>34</v>
      </c>
      <c r="H6017">
        <v>6</v>
      </c>
    </row>
    <row r="6018" spans="1:8" x14ac:dyDescent="0.45">
      <c r="A6018" t="s">
        <v>63</v>
      </c>
      <c r="B6018" t="s">
        <v>21</v>
      </c>
      <c r="C6018">
        <v>6</v>
      </c>
      <c r="D6018" t="s">
        <v>19</v>
      </c>
      <c r="E6018">
        <v>2040446</v>
      </c>
      <c r="F6018">
        <v>3262</v>
      </c>
      <c r="H6018">
        <v>7</v>
      </c>
    </row>
    <row r="6019" spans="1:8" x14ac:dyDescent="0.45">
      <c r="A6019" t="s">
        <v>63</v>
      </c>
      <c r="B6019" t="s">
        <v>21</v>
      </c>
      <c r="C6019">
        <v>6</v>
      </c>
      <c r="D6019" t="s">
        <v>27</v>
      </c>
      <c r="F6019">
        <v>855</v>
      </c>
    </row>
    <row r="6020" spans="1:8" x14ac:dyDescent="0.45">
      <c r="A6020" t="s">
        <v>63</v>
      </c>
      <c r="B6020" t="s">
        <v>21</v>
      </c>
      <c r="C6020">
        <v>6</v>
      </c>
      <c r="D6020" t="s">
        <v>28</v>
      </c>
      <c r="F6020">
        <v>518</v>
      </c>
    </row>
    <row r="6021" spans="1:8" x14ac:dyDescent="0.45">
      <c r="A6021" t="s">
        <v>63</v>
      </c>
      <c r="B6021" t="s">
        <v>21</v>
      </c>
      <c r="C6021">
        <v>6</v>
      </c>
      <c r="D6021" t="s">
        <v>29</v>
      </c>
      <c r="F6021">
        <v>432</v>
      </c>
    </row>
    <row r="6022" spans="1:8" x14ac:dyDescent="0.45">
      <c r="A6022" t="s">
        <v>63</v>
      </c>
      <c r="B6022" t="s">
        <v>20</v>
      </c>
      <c r="C6022">
        <v>6</v>
      </c>
      <c r="D6022" t="s">
        <v>19</v>
      </c>
      <c r="E6022">
        <v>2274530</v>
      </c>
      <c r="F6022">
        <v>3408</v>
      </c>
    </row>
    <row r="6023" spans="1:8" x14ac:dyDescent="0.45">
      <c r="A6023" t="s">
        <v>63</v>
      </c>
      <c r="B6023" t="s">
        <v>20</v>
      </c>
      <c r="C6023">
        <v>6</v>
      </c>
      <c r="D6023" t="s">
        <v>27</v>
      </c>
      <c r="F6023">
        <v>818</v>
      </c>
    </row>
    <row r="6024" spans="1:8" x14ac:dyDescent="0.45">
      <c r="A6024" t="s">
        <v>63</v>
      </c>
      <c r="B6024" t="s">
        <v>20</v>
      </c>
      <c r="C6024">
        <v>6</v>
      </c>
      <c r="D6024" t="s">
        <v>28</v>
      </c>
      <c r="F6024">
        <v>548</v>
      </c>
    </row>
    <row r="6025" spans="1:8" x14ac:dyDescent="0.45">
      <c r="A6025" t="s">
        <v>63</v>
      </c>
      <c r="B6025" t="s">
        <v>20</v>
      </c>
      <c r="C6025">
        <v>6</v>
      </c>
      <c r="D6025" t="s">
        <v>29</v>
      </c>
      <c r="F6025">
        <v>443</v>
      </c>
    </row>
    <row r="6026" spans="1:8" x14ac:dyDescent="0.45">
      <c r="A6026" t="s">
        <v>63</v>
      </c>
      <c r="B6026" t="s">
        <v>20</v>
      </c>
      <c r="C6026">
        <v>6</v>
      </c>
      <c r="D6026" t="s">
        <v>31</v>
      </c>
      <c r="H6026">
        <v>39</v>
      </c>
    </row>
    <row r="6027" spans="1:8" x14ac:dyDescent="0.45">
      <c r="A6027" t="s">
        <v>63</v>
      </c>
      <c r="B6027" t="s">
        <v>20</v>
      </c>
      <c r="C6027">
        <v>6</v>
      </c>
      <c r="D6027" t="s">
        <v>32</v>
      </c>
      <c r="H6027">
        <v>4</v>
      </c>
    </row>
    <row r="6028" spans="1:8" x14ac:dyDescent="0.45">
      <c r="A6028" t="s">
        <v>63</v>
      </c>
      <c r="B6028" t="s">
        <v>20</v>
      </c>
      <c r="C6028">
        <v>6</v>
      </c>
      <c r="D6028" t="s">
        <v>34</v>
      </c>
      <c r="H6028">
        <v>2</v>
      </c>
    </row>
    <row r="6029" spans="1:8" x14ac:dyDescent="0.45">
      <c r="A6029" t="s">
        <v>63</v>
      </c>
      <c r="B6029" t="s">
        <v>21</v>
      </c>
      <c r="C6029">
        <v>7</v>
      </c>
      <c r="D6029" t="s">
        <v>19</v>
      </c>
      <c r="E6029">
        <v>1847485</v>
      </c>
      <c r="F6029">
        <v>2996</v>
      </c>
    </row>
    <row r="6030" spans="1:8" x14ac:dyDescent="0.45">
      <c r="A6030" t="s">
        <v>63</v>
      </c>
      <c r="B6030" t="s">
        <v>21</v>
      </c>
      <c r="C6030">
        <v>7</v>
      </c>
      <c r="D6030" t="s">
        <v>27</v>
      </c>
      <c r="F6030">
        <v>882</v>
      </c>
    </row>
    <row r="6031" spans="1:8" x14ac:dyDescent="0.45">
      <c r="A6031" t="s">
        <v>63</v>
      </c>
      <c r="B6031" t="s">
        <v>21</v>
      </c>
      <c r="C6031">
        <v>7</v>
      </c>
      <c r="D6031" t="s">
        <v>28</v>
      </c>
      <c r="F6031">
        <v>621</v>
      </c>
    </row>
    <row r="6032" spans="1:8" x14ac:dyDescent="0.45">
      <c r="A6032" t="s">
        <v>63</v>
      </c>
      <c r="B6032" t="s">
        <v>21</v>
      </c>
      <c r="C6032">
        <v>7</v>
      </c>
      <c r="D6032" t="s">
        <v>29</v>
      </c>
      <c r="F6032">
        <v>401</v>
      </c>
    </row>
    <row r="6033" spans="1:8" x14ac:dyDescent="0.45">
      <c r="A6033" t="s">
        <v>63</v>
      </c>
      <c r="B6033" t="s">
        <v>20</v>
      </c>
      <c r="C6033">
        <v>7</v>
      </c>
      <c r="D6033" t="s">
        <v>19</v>
      </c>
      <c r="E6033">
        <v>2126832</v>
      </c>
      <c r="F6033">
        <v>3312</v>
      </c>
    </row>
    <row r="6034" spans="1:8" x14ac:dyDescent="0.45">
      <c r="A6034" t="s">
        <v>63</v>
      </c>
      <c r="B6034" t="s">
        <v>20</v>
      </c>
      <c r="C6034">
        <v>7</v>
      </c>
      <c r="D6034" t="s">
        <v>27</v>
      </c>
      <c r="F6034">
        <v>746</v>
      </c>
    </row>
    <row r="6035" spans="1:8" x14ac:dyDescent="0.45">
      <c r="A6035" t="s">
        <v>63</v>
      </c>
      <c r="B6035" t="s">
        <v>20</v>
      </c>
      <c r="C6035">
        <v>7</v>
      </c>
      <c r="D6035" t="s">
        <v>28</v>
      </c>
      <c r="F6035">
        <v>542</v>
      </c>
    </row>
    <row r="6036" spans="1:8" x14ac:dyDescent="0.45">
      <c r="A6036" t="s">
        <v>63</v>
      </c>
      <c r="B6036" t="s">
        <v>20</v>
      </c>
      <c r="C6036">
        <v>7</v>
      </c>
      <c r="D6036" t="s">
        <v>29</v>
      </c>
      <c r="F6036">
        <v>416</v>
      </c>
    </row>
    <row r="6037" spans="1:8" x14ac:dyDescent="0.45">
      <c r="A6037" t="s">
        <v>63</v>
      </c>
      <c r="B6037" t="s">
        <v>20</v>
      </c>
      <c r="C6037">
        <v>7</v>
      </c>
      <c r="D6037" t="s">
        <v>31</v>
      </c>
      <c r="H6037">
        <v>190</v>
      </c>
    </row>
    <row r="6038" spans="1:8" x14ac:dyDescent="0.45">
      <c r="A6038" t="s">
        <v>63</v>
      </c>
      <c r="B6038" t="s">
        <v>20</v>
      </c>
      <c r="C6038">
        <v>7</v>
      </c>
      <c r="D6038" t="s">
        <v>32</v>
      </c>
      <c r="H6038">
        <v>2</v>
      </c>
    </row>
    <row r="6039" spans="1:8" x14ac:dyDescent="0.45">
      <c r="A6039" t="s">
        <v>63</v>
      </c>
      <c r="B6039" t="s">
        <v>20</v>
      </c>
      <c r="C6039">
        <v>7</v>
      </c>
      <c r="D6039" t="s">
        <v>34</v>
      </c>
      <c r="H6039">
        <v>7</v>
      </c>
    </row>
    <row r="6040" spans="1:8" x14ac:dyDescent="0.45">
      <c r="A6040" t="s">
        <v>63</v>
      </c>
      <c r="B6040" t="s">
        <v>21</v>
      </c>
      <c r="C6040">
        <v>8</v>
      </c>
      <c r="D6040" t="s">
        <v>19</v>
      </c>
      <c r="E6040">
        <v>1425012</v>
      </c>
      <c r="F6040">
        <v>2315</v>
      </c>
      <c r="G6040">
        <v>678</v>
      </c>
    </row>
    <row r="6041" spans="1:8" x14ac:dyDescent="0.45">
      <c r="A6041" t="s">
        <v>63</v>
      </c>
      <c r="B6041" t="s">
        <v>21</v>
      </c>
      <c r="C6041">
        <v>8</v>
      </c>
      <c r="D6041" t="s">
        <v>27</v>
      </c>
      <c r="F6041">
        <v>696</v>
      </c>
      <c r="G6041">
        <v>1122</v>
      </c>
    </row>
    <row r="6042" spans="1:8" x14ac:dyDescent="0.45">
      <c r="A6042" t="s">
        <v>63</v>
      </c>
      <c r="B6042" t="s">
        <v>21</v>
      </c>
      <c r="C6042">
        <v>8</v>
      </c>
      <c r="D6042" t="s">
        <v>28</v>
      </c>
      <c r="F6042">
        <v>491</v>
      </c>
      <c r="G6042">
        <v>950</v>
      </c>
    </row>
    <row r="6043" spans="1:8" x14ac:dyDescent="0.45">
      <c r="A6043" t="s">
        <v>63</v>
      </c>
      <c r="B6043" t="s">
        <v>21</v>
      </c>
      <c r="C6043">
        <v>8</v>
      </c>
      <c r="D6043" t="s">
        <v>29</v>
      </c>
      <c r="F6043">
        <v>269</v>
      </c>
      <c r="G6043">
        <v>791</v>
      </c>
    </row>
    <row r="6044" spans="1:8" x14ac:dyDescent="0.45">
      <c r="A6044" t="s">
        <v>63</v>
      </c>
      <c r="B6044" t="s">
        <v>20</v>
      </c>
      <c r="C6044">
        <v>8</v>
      </c>
      <c r="D6044" t="s">
        <v>19</v>
      </c>
      <c r="E6044">
        <v>1494301</v>
      </c>
      <c r="F6044">
        <v>2175</v>
      </c>
      <c r="G6044">
        <v>635</v>
      </c>
    </row>
    <row r="6045" spans="1:8" x14ac:dyDescent="0.45">
      <c r="A6045" t="s">
        <v>63</v>
      </c>
      <c r="B6045" t="s">
        <v>20</v>
      </c>
      <c r="C6045">
        <v>8</v>
      </c>
      <c r="D6045" t="s">
        <v>27</v>
      </c>
      <c r="F6045">
        <v>608</v>
      </c>
      <c r="G6045">
        <v>1078</v>
      </c>
    </row>
    <row r="6046" spans="1:8" x14ac:dyDescent="0.45">
      <c r="A6046" t="s">
        <v>63</v>
      </c>
      <c r="B6046" t="s">
        <v>20</v>
      </c>
      <c r="C6046">
        <v>8</v>
      </c>
      <c r="D6046" t="s">
        <v>28</v>
      </c>
      <c r="F6046">
        <v>452</v>
      </c>
      <c r="G6046">
        <v>794</v>
      </c>
    </row>
    <row r="6047" spans="1:8" x14ac:dyDescent="0.45">
      <c r="A6047" t="s">
        <v>63</v>
      </c>
      <c r="B6047" t="s">
        <v>20</v>
      </c>
      <c r="C6047">
        <v>8</v>
      </c>
      <c r="D6047" t="s">
        <v>29</v>
      </c>
      <c r="F6047">
        <v>284</v>
      </c>
      <c r="G6047">
        <v>1230</v>
      </c>
    </row>
    <row r="6048" spans="1:8" x14ac:dyDescent="0.45">
      <c r="A6048" t="s">
        <v>63</v>
      </c>
      <c r="B6048" t="s">
        <v>20</v>
      </c>
      <c r="C6048">
        <v>8</v>
      </c>
      <c r="D6048" t="s">
        <v>31</v>
      </c>
      <c r="H6048">
        <v>26</v>
      </c>
    </row>
    <row r="6049" spans="1:8" x14ac:dyDescent="0.45">
      <c r="A6049" t="s">
        <v>63</v>
      </c>
      <c r="B6049" t="s">
        <v>20</v>
      </c>
      <c r="C6049">
        <v>8</v>
      </c>
      <c r="D6049" t="s">
        <v>32</v>
      </c>
      <c r="H6049">
        <v>9</v>
      </c>
    </row>
    <row r="6050" spans="1:8" x14ac:dyDescent="0.45">
      <c r="A6050" t="s">
        <v>63</v>
      </c>
      <c r="B6050" t="s">
        <v>20</v>
      </c>
      <c r="C6050">
        <v>8</v>
      </c>
      <c r="D6050" t="s">
        <v>34</v>
      </c>
      <c r="H6050">
        <v>2</v>
      </c>
    </row>
    <row r="6051" spans="1:8" x14ac:dyDescent="0.45">
      <c r="A6051" t="s">
        <v>63</v>
      </c>
      <c r="B6051" t="s">
        <v>21</v>
      </c>
      <c r="C6051">
        <v>9</v>
      </c>
      <c r="D6051" t="s">
        <v>19</v>
      </c>
      <c r="E6051">
        <v>1383263</v>
      </c>
      <c r="F6051">
        <v>2387</v>
      </c>
      <c r="G6051">
        <v>656</v>
      </c>
    </row>
    <row r="6052" spans="1:8" x14ac:dyDescent="0.45">
      <c r="A6052" t="s">
        <v>63</v>
      </c>
      <c r="B6052" t="s">
        <v>21</v>
      </c>
      <c r="C6052">
        <v>9</v>
      </c>
      <c r="D6052" t="s">
        <v>27</v>
      </c>
      <c r="F6052">
        <v>754</v>
      </c>
    </row>
    <row r="6053" spans="1:8" x14ac:dyDescent="0.45">
      <c r="A6053" t="s">
        <v>63</v>
      </c>
      <c r="B6053" t="s">
        <v>21</v>
      </c>
      <c r="C6053">
        <v>9</v>
      </c>
      <c r="D6053" t="s">
        <v>28</v>
      </c>
      <c r="F6053">
        <v>478</v>
      </c>
    </row>
    <row r="6054" spans="1:8" x14ac:dyDescent="0.45">
      <c r="A6054" t="s">
        <v>63</v>
      </c>
      <c r="B6054" t="s">
        <v>21</v>
      </c>
      <c r="C6054">
        <v>9</v>
      </c>
      <c r="D6054" t="s">
        <v>29</v>
      </c>
      <c r="F6054">
        <v>322</v>
      </c>
    </row>
    <row r="6055" spans="1:8" x14ac:dyDescent="0.45">
      <c r="A6055" t="s">
        <v>63</v>
      </c>
      <c r="B6055" t="s">
        <v>20</v>
      </c>
      <c r="C6055">
        <v>9</v>
      </c>
      <c r="D6055" t="s">
        <v>19</v>
      </c>
      <c r="E6055">
        <v>1333134</v>
      </c>
      <c r="F6055">
        <v>2208</v>
      </c>
      <c r="G6055">
        <v>688</v>
      </c>
    </row>
    <row r="6056" spans="1:8" x14ac:dyDescent="0.45">
      <c r="A6056" t="s">
        <v>63</v>
      </c>
      <c r="B6056" t="s">
        <v>20</v>
      </c>
      <c r="C6056">
        <v>9</v>
      </c>
      <c r="D6056" t="s">
        <v>27</v>
      </c>
      <c r="F6056">
        <v>708</v>
      </c>
    </row>
    <row r="6057" spans="1:8" x14ac:dyDescent="0.45">
      <c r="A6057" t="s">
        <v>63</v>
      </c>
      <c r="B6057" t="s">
        <v>20</v>
      </c>
      <c r="C6057">
        <v>9</v>
      </c>
      <c r="D6057" t="s">
        <v>28</v>
      </c>
      <c r="F6057">
        <v>440</v>
      </c>
    </row>
    <row r="6058" spans="1:8" x14ac:dyDescent="0.45">
      <c r="A6058" t="s">
        <v>63</v>
      </c>
      <c r="B6058" t="s">
        <v>20</v>
      </c>
      <c r="C6058">
        <v>9</v>
      </c>
      <c r="D6058" t="s">
        <v>29</v>
      </c>
      <c r="F6058">
        <v>314</v>
      </c>
    </row>
    <row r="6059" spans="1:8" x14ac:dyDescent="0.45">
      <c r="A6059" t="s">
        <v>63</v>
      </c>
      <c r="B6059" t="s">
        <v>20</v>
      </c>
      <c r="C6059">
        <v>9</v>
      </c>
      <c r="D6059" t="s">
        <v>31</v>
      </c>
      <c r="H6059">
        <v>134</v>
      </c>
    </row>
    <row r="6060" spans="1:8" x14ac:dyDescent="0.45">
      <c r="A6060" t="s">
        <v>63</v>
      </c>
      <c r="B6060" t="s">
        <v>20</v>
      </c>
      <c r="C6060">
        <v>9</v>
      </c>
      <c r="D6060" t="s">
        <v>32</v>
      </c>
      <c r="H6060">
        <v>10</v>
      </c>
    </row>
    <row r="6061" spans="1:8" x14ac:dyDescent="0.45">
      <c r="A6061" t="s">
        <v>63</v>
      </c>
      <c r="B6061" t="s">
        <v>20</v>
      </c>
      <c r="C6061">
        <v>9</v>
      </c>
      <c r="D6061" t="s">
        <v>34</v>
      </c>
      <c r="H6061">
        <v>2</v>
      </c>
    </row>
    <row r="6062" spans="1:8" x14ac:dyDescent="0.45">
      <c r="A6062" t="s">
        <v>63</v>
      </c>
      <c r="B6062" t="s">
        <v>21</v>
      </c>
      <c r="C6062">
        <v>10</v>
      </c>
      <c r="D6062" t="s">
        <v>19</v>
      </c>
      <c r="E6062">
        <v>2156108</v>
      </c>
      <c r="F6062">
        <v>3737</v>
      </c>
    </row>
    <row r="6063" spans="1:8" x14ac:dyDescent="0.45">
      <c r="A6063" t="s">
        <v>63</v>
      </c>
      <c r="B6063" t="s">
        <v>21</v>
      </c>
      <c r="C6063">
        <v>10</v>
      </c>
      <c r="D6063" t="s">
        <v>27</v>
      </c>
      <c r="F6063">
        <v>1166</v>
      </c>
    </row>
    <row r="6064" spans="1:8" x14ac:dyDescent="0.45">
      <c r="A6064" t="s">
        <v>63</v>
      </c>
      <c r="B6064" t="s">
        <v>21</v>
      </c>
      <c r="C6064">
        <v>10</v>
      </c>
      <c r="D6064" t="s">
        <v>28</v>
      </c>
      <c r="F6064">
        <v>733</v>
      </c>
    </row>
    <row r="6065" spans="1:8" x14ac:dyDescent="0.45">
      <c r="A6065" t="s">
        <v>63</v>
      </c>
      <c r="B6065" t="s">
        <v>21</v>
      </c>
      <c r="C6065">
        <v>10</v>
      </c>
      <c r="D6065" t="s">
        <v>29</v>
      </c>
      <c r="F6065">
        <v>542</v>
      </c>
    </row>
    <row r="6066" spans="1:8" x14ac:dyDescent="0.45">
      <c r="A6066" t="s">
        <v>63</v>
      </c>
      <c r="B6066" t="s">
        <v>20</v>
      </c>
      <c r="C6066">
        <v>10</v>
      </c>
      <c r="D6066" t="s">
        <v>19</v>
      </c>
      <c r="E6066">
        <v>2139202</v>
      </c>
      <c r="F6066">
        <v>3521</v>
      </c>
    </row>
    <row r="6067" spans="1:8" x14ac:dyDescent="0.45">
      <c r="A6067" t="s">
        <v>63</v>
      </c>
      <c r="B6067" t="s">
        <v>20</v>
      </c>
      <c r="C6067">
        <v>10</v>
      </c>
      <c r="D6067" t="s">
        <v>27</v>
      </c>
      <c r="F6067">
        <v>1114</v>
      </c>
    </row>
    <row r="6068" spans="1:8" x14ac:dyDescent="0.45">
      <c r="A6068" t="s">
        <v>63</v>
      </c>
      <c r="B6068" t="s">
        <v>20</v>
      </c>
      <c r="C6068">
        <v>10</v>
      </c>
      <c r="D6068" t="s">
        <v>28</v>
      </c>
      <c r="F6068">
        <v>690</v>
      </c>
    </row>
    <row r="6069" spans="1:8" x14ac:dyDescent="0.45">
      <c r="A6069" t="s">
        <v>63</v>
      </c>
      <c r="B6069" t="s">
        <v>20</v>
      </c>
      <c r="C6069">
        <v>10</v>
      </c>
      <c r="D6069" t="s">
        <v>29</v>
      </c>
      <c r="F6069">
        <v>538</v>
      </c>
    </row>
    <row r="6070" spans="1:8" x14ac:dyDescent="0.45">
      <c r="A6070" t="s">
        <v>63</v>
      </c>
      <c r="B6070" t="s">
        <v>20</v>
      </c>
      <c r="C6070">
        <v>10</v>
      </c>
      <c r="D6070" t="s">
        <v>31</v>
      </c>
      <c r="H6070">
        <v>190</v>
      </c>
    </row>
    <row r="6071" spans="1:8" x14ac:dyDescent="0.45">
      <c r="A6071" t="s">
        <v>63</v>
      </c>
      <c r="B6071" t="s">
        <v>20</v>
      </c>
      <c r="C6071">
        <v>10</v>
      </c>
      <c r="D6071" t="s">
        <v>32</v>
      </c>
      <c r="H6071">
        <v>15</v>
      </c>
    </row>
    <row r="6072" spans="1:8" x14ac:dyDescent="0.45">
      <c r="A6072" t="s">
        <v>63</v>
      </c>
      <c r="B6072" t="s">
        <v>20</v>
      </c>
      <c r="C6072">
        <v>10</v>
      </c>
      <c r="D6072" t="s">
        <v>34</v>
      </c>
      <c r="H6072">
        <v>6</v>
      </c>
    </row>
    <row r="6073" spans="1:8" x14ac:dyDescent="0.45">
      <c r="A6073" t="s">
        <v>63</v>
      </c>
      <c r="B6073" t="s">
        <v>21</v>
      </c>
      <c r="C6073">
        <v>11</v>
      </c>
      <c r="D6073" t="s">
        <v>19</v>
      </c>
      <c r="E6073">
        <v>1584930</v>
      </c>
      <c r="F6073">
        <v>2610</v>
      </c>
      <c r="G6073">
        <v>790</v>
      </c>
    </row>
    <row r="6074" spans="1:8" x14ac:dyDescent="0.45">
      <c r="A6074" t="s">
        <v>63</v>
      </c>
      <c r="B6074" t="s">
        <v>21</v>
      </c>
      <c r="C6074">
        <v>11</v>
      </c>
      <c r="D6074" t="s">
        <v>27</v>
      </c>
      <c r="F6074">
        <v>822</v>
      </c>
    </row>
    <row r="6075" spans="1:8" x14ac:dyDescent="0.45">
      <c r="A6075" t="s">
        <v>63</v>
      </c>
      <c r="B6075" t="s">
        <v>21</v>
      </c>
      <c r="C6075">
        <v>11</v>
      </c>
      <c r="D6075" t="s">
        <v>28</v>
      </c>
      <c r="F6075">
        <v>453</v>
      </c>
    </row>
    <row r="6076" spans="1:8" x14ac:dyDescent="0.45">
      <c r="A6076" t="s">
        <v>63</v>
      </c>
      <c r="B6076" t="s">
        <v>21</v>
      </c>
      <c r="C6076">
        <v>11</v>
      </c>
      <c r="D6076" t="s">
        <v>29</v>
      </c>
      <c r="F6076">
        <v>344</v>
      </c>
    </row>
    <row r="6077" spans="1:8" x14ac:dyDescent="0.45">
      <c r="A6077" t="s">
        <v>63</v>
      </c>
      <c r="B6077" t="s">
        <v>20</v>
      </c>
      <c r="C6077">
        <v>11</v>
      </c>
      <c r="D6077" t="s">
        <v>19</v>
      </c>
      <c r="E6077">
        <v>1510356</v>
      </c>
      <c r="F6077">
        <v>2997</v>
      </c>
      <c r="G6077">
        <v>861</v>
      </c>
    </row>
    <row r="6078" spans="1:8" x14ac:dyDescent="0.45">
      <c r="A6078" t="s">
        <v>63</v>
      </c>
      <c r="B6078" t="s">
        <v>20</v>
      </c>
      <c r="C6078">
        <v>11</v>
      </c>
      <c r="D6078" t="s">
        <v>27</v>
      </c>
      <c r="F6078">
        <v>958</v>
      </c>
    </row>
    <row r="6079" spans="1:8" x14ac:dyDescent="0.45">
      <c r="A6079" t="s">
        <v>63</v>
      </c>
      <c r="B6079" t="s">
        <v>20</v>
      </c>
      <c r="C6079">
        <v>11</v>
      </c>
      <c r="D6079" t="s">
        <v>28</v>
      </c>
      <c r="F6079">
        <v>547</v>
      </c>
    </row>
    <row r="6080" spans="1:8" x14ac:dyDescent="0.45">
      <c r="A6080" t="s">
        <v>63</v>
      </c>
      <c r="B6080" t="s">
        <v>20</v>
      </c>
      <c r="C6080">
        <v>11</v>
      </c>
      <c r="D6080" t="s">
        <v>29</v>
      </c>
      <c r="F6080">
        <v>465</v>
      </c>
    </row>
    <row r="6081" spans="1:8" x14ac:dyDescent="0.45">
      <c r="A6081" t="s">
        <v>63</v>
      </c>
      <c r="B6081" t="s">
        <v>20</v>
      </c>
      <c r="C6081">
        <v>11</v>
      </c>
      <c r="D6081" t="s">
        <v>31</v>
      </c>
      <c r="H6081">
        <v>260</v>
      </c>
    </row>
    <row r="6082" spans="1:8" x14ac:dyDescent="0.45">
      <c r="A6082" t="s">
        <v>63</v>
      </c>
      <c r="B6082" t="s">
        <v>20</v>
      </c>
      <c r="C6082">
        <v>11</v>
      </c>
      <c r="D6082" t="s">
        <v>32</v>
      </c>
      <c r="H6082">
        <v>5</v>
      </c>
    </row>
    <row r="6083" spans="1:8" x14ac:dyDescent="0.45">
      <c r="A6083" t="s">
        <v>63</v>
      </c>
      <c r="B6083" t="s">
        <v>20</v>
      </c>
      <c r="C6083">
        <v>11</v>
      </c>
      <c r="D6083" t="s">
        <v>34</v>
      </c>
      <c r="H6083">
        <v>4</v>
      </c>
    </row>
    <row r="6084" spans="1:8" x14ac:dyDescent="0.45">
      <c r="A6084" t="s">
        <v>63</v>
      </c>
      <c r="B6084" t="s">
        <v>21</v>
      </c>
      <c r="C6084">
        <v>12</v>
      </c>
      <c r="D6084" t="s">
        <v>19</v>
      </c>
      <c r="E6084">
        <v>1470889</v>
      </c>
      <c r="F6084">
        <v>2766</v>
      </c>
      <c r="G6084">
        <v>803</v>
      </c>
    </row>
    <row r="6085" spans="1:8" x14ac:dyDescent="0.45">
      <c r="A6085" t="s">
        <v>63</v>
      </c>
      <c r="B6085" t="s">
        <v>21</v>
      </c>
      <c r="C6085">
        <v>12</v>
      </c>
      <c r="D6085" t="s">
        <v>27</v>
      </c>
      <c r="F6085">
        <v>905</v>
      </c>
    </row>
    <row r="6086" spans="1:8" x14ac:dyDescent="0.45">
      <c r="A6086" t="s">
        <v>63</v>
      </c>
      <c r="B6086" t="s">
        <v>21</v>
      </c>
      <c r="C6086">
        <v>12</v>
      </c>
      <c r="D6086" t="s">
        <v>28</v>
      </c>
      <c r="F6086">
        <v>491</v>
      </c>
    </row>
    <row r="6087" spans="1:8" x14ac:dyDescent="0.45">
      <c r="A6087" t="s">
        <v>63</v>
      </c>
      <c r="B6087" t="s">
        <v>21</v>
      </c>
      <c r="C6087">
        <v>12</v>
      </c>
      <c r="D6087" t="s">
        <v>29</v>
      </c>
      <c r="F6087">
        <v>417</v>
      </c>
    </row>
    <row r="6088" spans="1:8" x14ac:dyDescent="0.45">
      <c r="A6088" t="s">
        <v>63</v>
      </c>
      <c r="B6088" t="s">
        <v>20</v>
      </c>
      <c r="C6088">
        <v>12</v>
      </c>
      <c r="D6088" t="s">
        <v>19</v>
      </c>
      <c r="E6088">
        <v>1474019</v>
      </c>
      <c r="F6088">
        <v>3129</v>
      </c>
      <c r="G6088">
        <v>843</v>
      </c>
    </row>
    <row r="6089" spans="1:8" x14ac:dyDescent="0.45">
      <c r="A6089" t="s">
        <v>63</v>
      </c>
      <c r="B6089" t="s">
        <v>20</v>
      </c>
      <c r="C6089">
        <v>12</v>
      </c>
      <c r="D6089" t="s">
        <v>27</v>
      </c>
      <c r="F6089">
        <v>1008</v>
      </c>
    </row>
    <row r="6090" spans="1:8" x14ac:dyDescent="0.45">
      <c r="A6090" t="s">
        <v>63</v>
      </c>
      <c r="B6090" t="s">
        <v>20</v>
      </c>
      <c r="C6090">
        <v>12</v>
      </c>
      <c r="D6090" t="s">
        <v>28</v>
      </c>
      <c r="F6090">
        <v>507</v>
      </c>
    </row>
    <row r="6091" spans="1:8" x14ac:dyDescent="0.45">
      <c r="A6091" t="s">
        <v>63</v>
      </c>
      <c r="B6091" t="s">
        <v>20</v>
      </c>
      <c r="C6091">
        <v>12</v>
      </c>
      <c r="D6091" t="s">
        <v>29</v>
      </c>
      <c r="F6091">
        <v>373</v>
      </c>
    </row>
    <row r="6092" spans="1:8" x14ac:dyDescent="0.45">
      <c r="A6092" t="s">
        <v>63</v>
      </c>
      <c r="B6092" t="s">
        <v>20</v>
      </c>
      <c r="C6092">
        <v>12</v>
      </c>
      <c r="D6092" t="s">
        <v>31</v>
      </c>
      <c r="H6092">
        <v>120</v>
      </c>
    </row>
    <row r="6093" spans="1:8" x14ac:dyDescent="0.45">
      <c r="A6093" t="s">
        <v>63</v>
      </c>
      <c r="B6093" t="s">
        <v>20</v>
      </c>
      <c r="C6093">
        <v>12</v>
      </c>
      <c r="D6093" t="s">
        <v>32</v>
      </c>
      <c r="H6093">
        <v>9</v>
      </c>
    </row>
    <row r="6094" spans="1:8" x14ac:dyDescent="0.45">
      <c r="A6094" t="s">
        <v>63</v>
      </c>
      <c r="B6094" t="s">
        <v>20</v>
      </c>
      <c r="C6094">
        <v>12</v>
      </c>
      <c r="D6094" t="s">
        <v>34</v>
      </c>
      <c r="H6094">
        <v>7</v>
      </c>
    </row>
    <row r="6095" spans="1:8" x14ac:dyDescent="0.45">
      <c r="A6095" t="s">
        <v>74</v>
      </c>
      <c r="B6095" t="s">
        <v>21</v>
      </c>
      <c r="C6095">
        <v>1</v>
      </c>
      <c r="D6095" t="s">
        <v>19</v>
      </c>
      <c r="E6095">
        <v>673505</v>
      </c>
      <c r="F6095">
        <v>1700</v>
      </c>
      <c r="G6095">
        <v>513</v>
      </c>
    </row>
    <row r="6096" spans="1:8" x14ac:dyDescent="0.45">
      <c r="A6096" t="s">
        <v>74</v>
      </c>
      <c r="B6096" t="s">
        <v>21</v>
      </c>
      <c r="C6096">
        <v>1</v>
      </c>
      <c r="D6096" t="s">
        <v>27</v>
      </c>
      <c r="F6096">
        <v>752</v>
      </c>
    </row>
    <row r="6097" spans="1:8" x14ac:dyDescent="0.45">
      <c r="A6097" t="s">
        <v>74</v>
      </c>
      <c r="B6097" t="s">
        <v>21</v>
      </c>
      <c r="C6097">
        <v>1</v>
      </c>
      <c r="D6097" t="s">
        <v>28</v>
      </c>
      <c r="F6097">
        <v>295</v>
      </c>
    </row>
    <row r="6098" spans="1:8" x14ac:dyDescent="0.45">
      <c r="A6098" t="s">
        <v>74</v>
      </c>
      <c r="B6098" t="s">
        <v>21</v>
      </c>
      <c r="C6098">
        <v>1</v>
      </c>
      <c r="D6098" t="s">
        <v>29</v>
      </c>
      <c r="F6098">
        <v>188</v>
      </c>
    </row>
    <row r="6099" spans="1:8" x14ac:dyDescent="0.45">
      <c r="A6099" t="s">
        <v>74</v>
      </c>
      <c r="B6099" t="s">
        <v>20</v>
      </c>
      <c r="C6099">
        <v>1</v>
      </c>
      <c r="D6099" t="s">
        <v>19</v>
      </c>
      <c r="E6099">
        <v>744898</v>
      </c>
      <c r="F6099">
        <v>1689</v>
      </c>
      <c r="G6099">
        <v>517</v>
      </c>
    </row>
    <row r="6100" spans="1:8" x14ac:dyDescent="0.45">
      <c r="A6100" t="s">
        <v>74</v>
      </c>
      <c r="B6100" t="s">
        <v>20</v>
      </c>
      <c r="C6100">
        <v>1</v>
      </c>
      <c r="D6100" t="s">
        <v>27</v>
      </c>
      <c r="F6100">
        <v>624</v>
      </c>
    </row>
    <row r="6101" spans="1:8" x14ac:dyDescent="0.45">
      <c r="A6101" t="s">
        <v>74</v>
      </c>
      <c r="B6101" t="s">
        <v>20</v>
      </c>
      <c r="C6101">
        <v>1</v>
      </c>
      <c r="D6101" t="s">
        <v>28</v>
      </c>
      <c r="F6101">
        <v>289</v>
      </c>
    </row>
    <row r="6102" spans="1:8" x14ac:dyDescent="0.45">
      <c r="A6102" t="s">
        <v>74</v>
      </c>
      <c r="B6102" t="s">
        <v>20</v>
      </c>
      <c r="C6102">
        <v>1</v>
      </c>
      <c r="D6102" t="s">
        <v>29</v>
      </c>
      <c r="F6102">
        <v>229</v>
      </c>
    </row>
    <row r="6103" spans="1:8" x14ac:dyDescent="0.45">
      <c r="A6103" t="s">
        <v>74</v>
      </c>
      <c r="B6103" t="s">
        <v>20</v>
      </c>
      <c r="C6103">
        <v>1</v>
      </c>
      <c r="D6103" t="s">
        <v>31</v>
      </c>
      <c r="H6103">
        <v>50</v>
      </c>
    </row>
    <row r="6104" spans="1:8" x14ac:dyDescent="0.45">
      <c r="A6104" t="s">
        <v>74</v>
      </c>
      <c r="B6104" t="s">
        <v>20</v>
      </c>
      <c r="C6104">
        <v>1</v>
      </c>
      <c r="D6104" t="s">
        <v>32</v>
      </c>
      <c r="H6104">
        <v>4</v>
      </c>
    </row>
    <row r="6105" spans="1:8" x14ac:dyDescent="0.45">
      <c r="A6105" t="s">
        <v>74</v>
      </c>
      <c r="B6105" t="s">
        <v>20</v>
      </c>
      <c r="C6105">
        <v>1</v>
      </c>
      <c r="D6105" t="s">
        <v>34</v>
      </c>
    </row>
    <row r="6106" spans="1:8" x14ac:dyDescent="0.45">
      <c r="A6106" t="s">
        <v>74</v>
      </c>
      <c r="B6106" t="s">
        <v>21</v>
      </c>
      <c r="C6106">
        <v>2</v>
      </c>
      <c r="D6106" t="s">
        <v>19</v>
      </c>
      <c r="E6106">
        <v>655638</v>
      </c>
      <c r="F6106">
        <v>1588</v>
      </c>
      <c r="G6106">
        <v>483</v>
      </c>
    </row>
    <row r="6107" spans="1:8" x14ac:dyDescent="0.45">
      <c r="A6107" t="s">
        <v>74</v>
      </c>
      <c r="B6107" t="s">
        <v>21</v>
      </c>
      <c r="C6107">
        <v>2</v>
      </c>
      <c r="D6107" t="s">
        <v>27</v>
      </c>
      <c r="F6107">
        <v>747</v>
      </c>
    </row>
    <row r="6108" spans="1:8" x14ac:dyDescent="0.45">
      <c r="A6108" t="s">
        <v>74</v>
      </c>
      <c r="B6108" t="s">
        <v>21</v>
      </c>
      <c r="C6108">
        <v>2</v>
      </c>
      <c r="D6108" t="s">
        <v>28</v>
      </c>
      <c r="F6108">
        <v>244</v>
      </c>
    </row>
    <row r="6109" spans="1:8" x14ac:dyDescent="0.45">
      <c r="A6109" t="s">
        <v>74</v>
      </c>
      <c r="B6109" t="s">
        <v>21</v>
      </c>
      <c r="C6109">
        <v>2</v>
      </c>
      <c r="D6109" t="s">
        <v>29</v>
      </c>
      <c r="F6109">
        <v>182</v>
      </c>
    </row>
    <row r="6110" spans="1:8" x14ac:dyDescent="0.45">
      <c r="A6110" t="s">
        <v>74</v>
      </c>
      <c r="B6110" t="s">
        <v>20</v>
      </c>
      <c r="C6110">
        <v>2</v>
      </c>
      <c r="D6110" t="s">
        <v>19</v>
      </c>
      <c r="E6110">
        <v>655907</v>
      </c>
      <c r="F6110">
        <v>1419</v>
      </c>
      <c r="G6110">
        <v>460</v>
      </c>
    </row>
    <row r="6111" spans="1:8" x14ac:dyDescent="0.45">
      <c r="A6111" t="s">
        <v>74</v>
      </c>
      <c r="B6111" t="s">
        <v>20</v>
      </c>
      <c r="C6111">
        <v>2</v>
      </c>
      <c r="D6111" t="s">
        <v>27</v>
      </c>
      <c r="F6111">
        <v>592</v>
      </c>
    </row>
    <row r="6112" spans="1:8" x14ac:dyDescent="0.45">
      <c r="A6112" t="s">
        <v>74</v>
      </c>
      <c r="B6112" t="s">
        <v>20</v>
      </c>
      <c r="C6112">
        <v>2</v>
      </c>
      <c r="D6112" t="s">
        <v>28</v>
      </c>
      <c r="F6112">
        <v>238</v>
      </c>
    </row>
    <row r="6113" spans="1:8" x14ac:dyDescent="0.45">
      <c r="A6113" t="s">
        <v>74</v>
      </c>
      <c r="B6113" t="s">
        <v>20</v>
      </c>
      <c r="C6113">
        <v>2</v>
      </c>
      <c r="D6113" t="s">
        <v>29</v>
      </c>
      <c r="F6113">
        <v>183</v>
      </c>
    </row>
    <row r="6114" spans="1:8" x14ac:dyDescent="0.45">
      <c r="A6114" t="s">
        <v>74</v>
      </c>
      <c r="B6114" t="s">
        <v>20</v>
      </c>
      <c r="C6114">
        <v>2</v>
      </c>
      <c r="D6114" t="s">
        <v>31</v>
      </c>
      <c r="H6114">
        <v>34</v>
      </c>
    </row>
    <row r="6115" spans="1:8" x14ac:dyDescent="0.45">
      <c r="A6115" t="s">
        <v>74</v>
      </c>
      <c r="B6115" t="s">
        <v>20</v>
      </c>
      <c r="C6115">
        <v>2</v>
      </c>
      <c r="D6115" t="s">
        <v>32</v>
      </c>
      <c r="H6115">
        <v>2</v>
      </c>
    </row>
    <row r="6116" spans="1:8" x14ac:dyDescent="0.45">
      <c r="A6116" t="s">
        <v>74</v>
      </c>
      <c r="B6116" t="s">
        <v>20</v>
      </c>
      <c r="C6116">
        <v>2</v>
      </c>
      <c r="D6116" t="s">
        <v>34</v>
      </c>
      <c r="H6116">
        <v>3</v>
      </c>
    </row>
    <row r="6117" spans="1:8" x14ac:dyDescent="0.45">
      <c r="A6117" t="s">
        <v>74</v>
      </c>
      <c r="B6117" t="s">
        <v>21</v>
      </c>
      <c r="C6117">
        <v>3</v>
      </c>
      <c r="D6117" t="s">
        <v>19</v>
      </c>
      <c r="E6117">
        <v>1648115</v>
      </c>
      <c r="F6117">
        <v>3128</v>
      </c>
      <c r="G6117">
        <v>830</v>
      </c>
    </row>
    <row r="6118" spans="1:8" x14ac:dyDescent="0.45">
      <c r="A6118" t="s">
        <v>74</v>
      </c>
      <c r="B6118" t="s">
        <v>21</v>
      </c>
      <c r="C6118">
        <v>3</v>
      </c>
      <c r="D6118" t="s">
        <v>27</v>
      </c>
      <c r="F6118">
        <v>914</v>
      </c>
    </row>
    <row r="6119" spans="1:8" x14ac:dyDescent="0.45">
      <c r="A6119" t="s">
        <v>74</v>
      </c>
      <c r="B6119" t="s">
        <v>21</v>
      </c>
      <c r="C6119">
        <v>3</v>
      </c>
      <c r="D6119" t="s">
        <v>28</v>
      </c>
      <c r="F6119">
        <v>380</v>
      </c>
    </row>
    <row r="6120" spans="1:8" x14ac:dyDescent="0.45">
      <c r="A6120" t="s">
        <v>74</v>
      </c>
      <c r="B6120" t="s">
        <v>21</v>
      </c>
      <c r="C6120">
        <v>3</v>
      </c>
      <c r="D6120" t="s">
        <v>29</v>
      </c>
      <c r="F6120">
        <v>367</v>
      </c>
    </row>
    <row r="6121" spans="1:8" x14ac:dyDescent="0.45">
      <c r="A6121" t="s">
        <v>74</v>
      </c>
      <c r="B6121" t="s">
        <v>20</v>
      </c>
      <c r="C6121">
        <v>3</v>
      </c>
      <c r="D6121" t="s">
        <v>19</v>
      </c>
      <c r="E6121">
        <v>1329244</v>
      </c>
      <c r="F6121">
        <v>2539</v>
      </c>
      <c r="G6121">
        <v>764</v>
      </c>
    </row>
    <row r="6122" spans="1:8" x14ac:dyDescent="0.45">
      <c r="A6122" t="s">
        <v>74</v>
      </c>
      <c r="B6122" t="s">
        <v>20</v>
      </c>
      <c r="C6122">
        <v>3</v>
      </c>
      <c r="D6122" t="s">
        <v>27</v>
      </c>
      <c r="F6122">
        <v>810</v>
      </c>
    </row>
    <row r="6123" spans="1:8" x14ac:dyDescent="0.45">
      <c r="A6123" t="s">
        <v>74</v>
      </c>
      <c r="B6123" t="s">
        <v>20</v>
      </c>
      <c r="C6123">
        <v>3</v>
      </c>
      <c r="D6123" t="s">
        <v>28</v>
      </c>
      <c r="F6123">
        <v>402</v>
      </c>
    </row>
    <row r="6124" spans="1:8" x14ac:dyDescent="0.45">
      <c r="A6124" t="s">
        <v>74</v>
      </c>
      <c r="B6124" t="s">
        <v>20</v>
      </c>
      <c r="C6124">
        <v>3</v>
      </c>
      <c r="D6124" t="s">
        <v>29</v>
      </c>
      <c r="F6124">
        <v>420</v>
      </c>
    </row>
    <row r="6125" spans="1:8" x14ac:dyDescent="0.45">
      <c r="A6125" t="s">
        <v>74</v>
      </c>
      <c r="B6125" t="s">
        <v>20</v>
      </c>
      <c r="C6125">
        <v>3</v>
      </c>
      <c r="D6125" t="s">
        <v>31</v>
      </c>
      <c r="H6125">
        <v>16</v>
      </c>
    </row>
    <row r="6126" spans="1:8" x14ac:dyDescent="0.45">
      <c r="A6126" t="s">
        <v>74</v>
      </c>
      <c r="B6126" t="s">
        <v>20</v>
      </c>
      <c r="C6126">
        <v>3</v>
      </c>
      <c r="D6126" t="s">
        <v>32</v>
      </c>
      <c r="H6126">
        <v>16</v>
      </c>
    </row>
    <row r="6127" spans="1:8" x14ac:dyDescent="0.45">
      <c r="A6127" t="s">
        <v>74</v>
      </c>
      <c r="B6127" t="s">
        <v>20</v>
      </c>
      <c r="C6127">
        <v>3</v>
      </c>
      <c r="D6127" t="s">
        <v>34</v>
      </c>
      <c r="H6127">
        <v>4</v>
      </c>
    </row>
    <row r="6128" spans="1:8" x14ac:dyDescent="0.45">
      <c r="A6128" t="s">
        <v>74</v>
      </c>
      <c r="B6128" t="s">
        <v>21</v>
      </c>
      <c r="C6128">
        <v>4</v>
      </c>
      <c r="D6128" t="s">
        <v>19</v>
      </c>
      <c r="E6128">
        <v>2130747</v>
      </c>
      <c r="F6128">
        <v>3753</v>
      </c>
    </row>
    <row r="6129" spans="1:8" x14ac:dyDescent="0.45">
      <c r="A6129" t="s">
        <v>74</v>
      </c>
      <c r="B6129" t="s">
        <v>21</v>
      </c>
      <c r="C6129">
        <v>4</v>
      </c>
      <c r="D6129" t="s">
        <v>27</v>
      </c>
      <c r="F6129">
        <v>979</v>
      </c>
    </row>
    <row r="6130" spans="1:8" x14ac:dyDescent="0.45">
      <c r="A6130" t="s">
        <v>74</v>
      </c>
      <c r="B6130" t="s">
        <v>21</v>
      </c>
      <c r="C6130">
        <v>4</v>
      </c>
      <c r="D6130" t="s">
        <v>28</v>
      </c>
      <c r="F6130">
        <v>550</v>
      </c>
    </row>
    <row r="6131" spans="1:8" x14ac:dyDescent="0.45">
      <c r="A6131" t="s">
        <v>74</v>
      </c>
      <c r="B6131" t="s">
        <v>21</v>
      </c>
      <c r="C6131">
        <v>4</v>
      </c>
      <c r="D6131" t="s">
        <v>29</v>
      </c>
      <c r="F6131">
        <v>441</v>
      </c>
    </row>
    <row r="6132" spans="1:8" x14ac:dyDescent="0.45">
      <c r="A6132" t="s">
        <v>74</v>
      </c>
      <c r="B6132" t="s">
        <v>20</v>
      </c>
      <c r="C6132">
        <v>4</v>
      </c>
      <c r="D6132" t="s">
        <v>19</v>
      </c>
      <c r="E6132">
        <v>2362074</v>
      </c>
      <c r="F6132">
        <v>3922</v>
      </c>
      <c r="G6132">
        <v>450</v>
      </c>
    </row>
    <row r="6133" spans="1:8" x14ac:dyDescent="0.45">
      <c r="A6133" t="s">
        <v>74</v>
      </c>
      <c r="B6133" t="s">
        <v>20</v>
      </c>
      <c r="C6133">
        <v>4</v>
      </c>
      <c r="D6133" t="s">
        <v>27</v>
      </c>
      <c r="F6133">
        <v>756</v>
      </c>
    </row>
    <row r="6134" spans="1:8" x14ac:dyDescent="0.45">
      <c r="A6134" t="s">
        <v>74</v>
      </c>
      <c r="B6134" t="s">
        <v>20</v>
      </c>
      <c r="C6134">
        <v>4</v>
      </c>
      <c r="D6134" t="s">
        <v>28</v>
      </c>
      <c r="F6134">
        <v>600</v>
      </c>
    </row>
    <row r="6135" spans="1:8" x14ac:dyDescent="0.45">
      <c r="A6135" t="s">
        <v>74</v>
      </c>
      <c r="B6135" t="s">
        <v>20</v>
      </c>
      <c r="C6135">
        <v>4</v>
      </c>
      <c r="D6135" t="s">
        <v>29</v>
      </c>
      <c r="F6135">
        <v>543</v>
      </c>
    </row>
    <row r="6136" spans="1:8" x14ac:dyDescent="0.45">
      <c r="A6136" t="s">
        <v>74</v>
      </c>
      <c r="B6136" t="s">
        <v>20</v>
      </c>
      <c r="C6136">
        <v>4</v>
      </c>
      <c r="D6136" t="s">
        <v>31</v>
      </c>
      <c r="H6136">
        <v>29</v>
      </c>
    </row>
    <row r="6137" spans="1:8" x14ac:dyDescent="0.45">
      <c r="A6137" t="s">
        <v>74</v>
      </c>
      <c r="B6137" t="s">
        <v>20</v>
      </c>
      <c r="C6137">
        <v>4</v>
      </c>
      <c r="D6137" t="s">
        <v>32</v>
      </c>
      <c r="H6137">
        <v>4</v>
      </c>
    </row>
    <row r="6138" spans="1:8" x14ac:dyDescent="0.45">
      <c r="A6138" t="s">
        <v>74</v>
      </c>
      <c r="B6138" t="s">
        <v>20</v>
      </c>
      <c r="C6138">
        <v>4</v>
      </c>
      <c r="D6138" t="s">
        <v>34</v>
      </c>
      <c r="H6138">
        <v>5</v>
      </c>
    </row>
    <row r="6139" spans="1:8" x14ac:dyDescent="0.45">
      <c r="A6139" t="s">
        <v>74</v>
      </c>
      <c r="B6139" t="s">
        <v>21</v>
      </c>
      <c r="C6139">
        <v>5</v>
      </c>
      <c r="D6139" t="s">
        <v>19</v>
      </c>
      <c r="E6139">
        <v>2055913</v>
      </c>
      <c r="F6139">
        <v>3362</v>
      </c>
      <c r="H6139">
        <v>8</v>
      </c>
    </row>
    <row r="6140" spans="1:8" x14ac:dyDescent="0.45">
      <c r="A6140" t="s">
        <v>74</v>
      </c>
      <c r="B6140" t="s">
        <v>21</v>
      </c>
      <c r="C6140">
        <v>5</v>
      </c>
      <c r="D6140" t="s">
        <v>27</v>
      </c>
      <c r="F6140">
        <v>863</v>
      </c>
    </row>
    <row r="6141" spans="1:8" x14ac:dyDescent="0.45">
      <c r="A6141" t="s">
        <v>74</v>
      </c>
      <c r="B6141" t="s">
        <v>21</v>
      </c>
      <c r="C6141">
        <v>5</v>
      </c>
      <c r="D6141" t="s">
        <v>28</v>
      </c>
      <c r="F6141">
        <v>462</v>
      </c>
    </row>
    <row r="6142" spans="1:8" x14ac:dyDescent="0.45">
      <c r="A6142" t="s">
        <v>74</v>
      </c>
      <c r="B6142" t="s">
        <v>21</v>
      </c>
      <c r="C6142">
        <v>5</v>
      </c>
      <c r="D6142" t="s">
        <v>29</v>
      </c>
      <c r="F6142">
        <v>376</v>
      </c>
    </row>
    <row r="6143" spans="1:8" x14ac:dyDescent="0.45">
      <c r="A6143" t="s">
        <v>74</v>
      </c>
      <c r="B6143" t="s">
        <v>20</v>
      </c>
      <c r="C6143">
        <v>5</v>
      </c>
      <c r="D6143" t="s">
        <v>19</v>
      </c>
      <c r="E6143">
        <v>1668522</v>
      </c>
      <c r="F6143">
        <v>2752</v>
      </c>
      <c r="G6143">
        <v>753</v>
      </c>
    </row>
    <row r="6144" spans="1:8" x14ac:dyDescent="0.45">
      <c r="A6144" t="s">
        <v>74</v>
      </c>
      <c r="B6144" t="s">
        <v>20</v>
      </c>
      <c r="C6144">
        <v>5</v>
      </c>
      <c r="D6144" t="s">
        <v>27</v>
      </c>
      <c r="F6144">
        <v>669</v>
      </c>
    </row>
    <row r="6145" spans="1:8" x14ac:dyDescent="0.45">
      <c r="A6145" t="s">
        <v>74</v>
      </c>
      <c r="B6145" t="s">
        <v>20</v>
      </c>
      <c r="C6145">
        <v>5</v>
      </c>
      <c r="D6145" t="s">
        <v>28</v>
      </c>
      <c r="F6145">
        <v>440</v>
      </c>
    </row>
    <row r="6146" spans="1:8" x14ac:dyDescent="0.45">
      <c r="A6146" t="s">
        <v>74</v>
      </c>
      <c r="B6146" t="s">
        <v>20</v>
      </c>
      <c r="C6146">
        <v>5</v>
      </c>
      <c r="D6146" t="s">
        <v>29</v>
      </c>
      <c r="F6146">
        <v>322</v>
      </c>
    </row>
    <row r="6147" spans="1:8" x14ac:dyDescent="0.45">
      <c r="A6147" t="s">
        <v>74</v>
      </c>
      <c r="B6147" t="s">
        <v>20</v>
      </c>
      <c r="C6147">
        <v>5</v>
      </c>
      <c r="D6147" t="s">
        <v>31</v>
      </c>
      <c r="H6147">
        <v>41</v>
      </c>
    </row>
    <row r="6148" spans="1:8" x14ac:dyDescent="0.45">
      <c r="A6148" t="s">
        <v>74</v>
      </c>
      <c r="B6148" t="s">
        <v>20</v>
      </c>
      <c r="C6148">
        <v>5</v>
      </c>
      <c r="D6148" t="s">
        <v>32</v>
      </c>
      <c r="H6148">
        <v>7</v>
      </c>
    </row>
    <row r="6149" spans="1:8" x14ac:dyDescent="0.45">
      <c r="A6149" t="s">
        <v>74</v>
      </c>
      <c r="B6149" t="s">
        <v>20</v>
      </c>
      <c r="C6149">
        <v>5</v>
      </c>
      <c r="D6149" t="s">
        <v>34</v>
      </c>
      <c r="H6149">
        <v>4</v>
      </c>
    </row>
    <row r="6150" spans="1:8" x14ac:dyDescent="0.45">
      <c r="A6150" t="s">
        <v>74</v>
      </c>
      <c r="B6150" t="s">
        <v>21</v>
      </c>
      <c r="C6150">
        <v>6</v>
      </c>
      <c r="D6150" t="s">
        <v>19</v>
      </c>
      <c r="E6150">
        <v>1724628</v>
      </c>
      <c r="F6150">
        <v>3077</v>
      </c>
      <c r="H6150">
        <v>3</v>
      </c>
    </row>
    <row r="6151" spans="1:8" x14ac:dyDescent="0.45">
      <c r="A6151" t="s">
        <v>74</v>
      </c>
      <c r="B6151" t="s">
        <v>21</v>
      </c>
      <c r="C6151">
        <v>6</v>
      </c>
      <c r="D6151" t="s">
        <v>27</v>
      </c>
      <c r="F6151">
        <v>780</v>
      </c>
    </row>
    <row r="6152" spans="1:8" x14ac:dyDescent="0.45">
      <c r="A6152" t="s">
        <v>74</v>
      </c>
      <c r="B6152" t="s">
        <v>21</v>
      </c>
      <c r="C6152">
        <v>6</v>
      </c>
      <c r="D6152" t="s">
        <v>28</v>
      </c>
      <c r="F6152">
        <v>537</v>
      </c>
    </row>
    <row r="6153" spans="1:8" x14ac:dyDescent="0.45">
      <c r="A6153" t="s">
        <v>74</v>
      </c>
      <c r="B6153" t="s">
        <v>21</v>
      </c>
      <c r="C6153">
        <v>6</v>
      </c>
      <c r="D6153" t="s">
        <v>29</v>
      </c>
      <c r="F6153">
        <v>427</v>
      </c>
    </row>
    <row r="6154" spans="1:8" x14ac:dyDescent="0.45">
      <c r="A6154" t="s">
        <v>74</v>
      </c>
      <c r="B6154" t="s">
        <v>20</v>
      </c>
      <c r="C6154">
        <v>6</v>
      </c>
      <c r="D6154" t="s">
        <v>19</v>
      </c>
      <c r="E6154">
        <v>1595761</v>
      </c>
      <c r="F6154">
        <v>2603</v>
      </c>
      <c r="G6154">
        <v>718</v>
      </c>
    </row>
    <row r="6155" spans="1:8" x14ac:dyDescent="0.45">
      <c r="A6155" t="s">
        <v>74</v>
      </c>
      <c r="B6155" t="s">
        <v>20</v>
      </c>
      <c r="C6155">
        <v>6</v>
      </c>
      <c r="D6155" t="s">
        <v>27</v>
      </c>
      <c r="F6155">
        <v>691</v>
      </c>
    </row>
    <row r="6156" spans="1:8" x14ac:dyDescent="0.45">
      <c r="A6156" t="s">
        <v>74</v>
      </c>
      <c r="B6156" t="s">
        <v>20</v>
      </c>
      <c r="C6156">
        <v>6</v>
      </c>
      <c r="D6156" t="s">
        <v>28</v>
      </c>
      <c r="F6156">
        <v>324</v>
      </c>
    </row>
    <row r="6157" spans="1:8" x14ac:dyDescent="0.45">
      <c r="A6157" t="s">
        <v>74</v>
      </c>
      <c r="B6157" t="s">
        <v>20</v>
      </c>
      <c r="C6157">
        <v>6</v>
      </c>
      <c r="D6157" t="s">
        <v>29</v>
      </c>
      <c r="F6157">
        <v>287</v>
      </c>
    </row>
    <row r="6158" spans="1:8" x14ac:dyDescent="0.45">
      <c r="A6158" t="s">
        <v>74</v>
      </c>
      <c r="B6158" t="s">
        <v>20</v>
      </c>
      <c r="C6158">
        <v>6</v>
      </c>
      <c r="D6158" t="s">
        <v>31</v>
      </c>
      <c r="H6158">
        <v>20</v>
      </c>
    </row>
    <row r="6159" spans="1:8" x14ac:dyDescent="0.45">
      <c r="A6159" t="s">
        <v>74</v>
      </c>
      <c r="B6159" t="s">
        <v>20</v>
      </c>
      <c r="C6159">
        <v>6</v>
      </c>
      <c r="D6159" t="s">
        <v>32</v>
      </c>
      <c r="H6159">
        <v>4</v>
      </c>
    </row>
    <row r="6160" spans="1:8" x14ac:dyDescent="0.45">
      <c r="A6160" t="s">
        <v>74</v>
      </c>
      <c r="B6160" t="s">
        <v>20</v>
      </c>
      <c r="C6160">
        <v>6</v>
      </c>
      <c r="D6160" t="s">
        <v>34</v>
      </c>
      <c r="H6160">
        <v>3</v>
      </c>
    </row>
    <row r="6161" spans="1:8" x14ac:dyDescent="0.45">
      <c r="A6161" t="s">
        <v>74</v>
      </c>
      <c r="B6161" t="s">
        <v>21</v>
      </c>
      <c r="C6161">
        <v>7</v>
      </c>
      <c r="D6161" t="s">
        <v>19</v>
      </c>
      <c r="E6161">
        <v>1111271</v>
      </c>
      <c r="F6161">
        <v>2247</v>
      </c>
      <c r="G6161">
        <v>701</v>
      </c>
    </row>
    <row r="6162" spans="1:8" x14ac:dyDescent="0.45">
      <c r="A6162" t="s">
        <v>74</v>
      </c>
      <c r="B6162" t="s">
        <v>21</v>
      </c>
      <c r="C6162">
        <v>7</v>
      </c>
      <c r="D6162" t="s">
        <v>27</v>
      </c>
      <c r="F6162">
        <v>873</v>
      </c>
    </row>
    <row r="6163" spans="1:8" x14ac:dyDescent="0.45">
      <c r="A6163" t="s">
        <v>74</v>
      </c>
      <c r="B6163" t="s">
        <v>21</v>
      </c>
      <c r="C6163">
        <v>7</v>
      </c>
      <c r="D6163" t="s">
        <v>28</v>
      </c>
      <c r="F6163">
        <v>376</v>
      </c>
    </row>
    <row r="6164" spans="1:8" x14ac:dyDescent="0.45">
      <c r="A6164" t="s">
        <v>74</v>
      </c>
      <c r="B6164" t="s">
        <v>21</v>
      </c>
      <c r="C6164">
        <v>7</v>
      </c>
      <c r="D6164" t="s">
        <v>29</v>
      </c>
      <c r="F6164">
        <v>205</v>
      </c>
    </row>
    <row r="6165" spans="1:8" x14ac:dyDescent="0.45">
      <c r="A6165" t="s">
        <v>74</v>
      </c>
      <c r="B6165" t="s">
        <v>20</v>
      </c>
      <c r="C6165">
        <v>7</v>
      </c>
      <c r="D6165" t="s">
        <v>19</v>
      </c>
      <c r="E6165">
        <v>1034863</v>
      </c>
      <c r="F6165">
        <v>1871</v>
      </c>
      <c r="G6165">
        <v>604</v>
      </c>
    </row>
    <row r="6166" spans="1:8" x14ac:dyDescent="0.45">
      <c r="A6166" t="s">
        <v>74</v>
      </c>
      <c r="B6166" t="s">
        <v>20</v>
      </c>
      <c r="C6166">
        <v>7</v>
      </c>
      <c r="D6166" t="s">
        <v>27</v>
      </c>
      <c r="F6166">
        <v>602</v>
      </c>
    </row>
    <row r="6167" spans="1:8" x14ac:dyDescent="0.45">
      <c r="A6167" t="s">
        <v>74</v>
      </c>
      <c r="B6167" t="s">
        <v>20</v>
      </c>
      <c r="C6167">
        <v>7</v>
      </c>
      <c r="D6167" t="s">
        <v>28</v>
      </c>
      <c r="F6167">
        <v>372</v>
      </c>
    </row>
    <row r="6168" spans="1:8" x14ac:dyDescent="0.45">
      <c r="A6168" t="s">
        <v>74</v>
      </c>
      <c r="B6168" t="s">
        <v>20</v>
      </c>
      <c r="C6168">
        <v>7</v>
      </c>
      <c r="D6168" t="s">
        <v>29</v>
      </c>
      <c r="F6168">
        <v>190</v>
      </c>
    </row>
    <row r="6169" spans="1:8" x14ac:dyDescent="0.45">
      <c r="A6169" t="s">
        <v>74</v>
      </c>
      <c r="B6169" t="s">
        <v>20</v>
      </c>
      <c r="C6169">
        <v>7</v>
      </c>
      <c r="D6169" t="s">
        <v>31</v>
      </c>
      <c r="H6169">
        <v>75</v>
      </c>
    </row>
    <row r="6170" spans="1:8" x14ac:dyDescent="0.45">
      <c r="A6170" t="s">
        <v>74</v>
      </c>
      <c r="B6170" t="s">
        <v>20</v>
      </c>
      <c r="C6170">
        <v>7</v>
      </c>
      <c r="D6170" t="s">
        <v>32</v>
      </c>
      <c r="H6170">
        <v>1</v>
      </c>
    </row>
    <row r="6171" spans="1:8" x14ac:dyDescent="0.45">
      <c r="A6171" t="s">
        <v>74</v>
      </c>
      <c r="B6171" t="s">
        <v>20</v>
      </c>
      <c r="C6171">
        <v>7</v>
      </c>
      <c r="D6171" t="s">
        <v>34</v>
      </c>
      <c r="H6171">
        <v>5</v>
      </c>
    </row>
    <row r="6172" spans="1:8" x14ac:dyDescent="0.45">
      <c r="A6172" t="s">
        <v>74</v>
      </c>
      <c r="B6172" t="s">
        <v>21</v>
      </c>
      <c r="C6172">
        <v>8</v>
      </c>
      <c r="D6172" t="s">
        <v>19</v>
      </c>
      <c r="E6172">
        <v>827298</v>
      </c>
      <c r="F6172">
        <v>1842</v>
      </c>
      <c r="G6172">
        <v>572</v>
      </c>
    </row>
    <row r="6173" spans="1:8" x14ac:dyDescent="0.45">
      <c r="A6173" t="s">
        <v>74</v>
      </c>
      <c r="B6173" t="s">
        <v>21</v>
      </c>
      <c r="C6173">
        <v>8</v>
      </c>
      <c r="D6173" t="s">
        <v>27</v>
      </c>
      <c r="F6173">
        <v>710</v>
      </c>
      <c r="G6173">
        <v>849</v>
      </c>
    </row>
    <row r="6174" spans="1:8" x14ac:dyDescent="0.45">
      <c r="A6174" t="s">
        <v>74</v>
      </c>
      <c r="B6174" t="s">
        <v>21</v>
      </c>
      <c r="C6174">
        <v>8</v>
      </c>
      <c r="D6174" t="s">
        <v>28</v>
      </c>
      <c r="F6174">
        <v>395</v>
      </c>
      <c r="G6174">
        <v>838</v>
      </c>
    </row>
    <row r="6175" spans="1:8" x14ac:dyDescent="0.45">
      <c r="A6175" t="s">
        <v>74</v>
      </c>
      <c r="B6175" t="s">
        <v>21</v>
      </c>
      <c r="C6175">
        <v>8</v>
      </c>
      <c r="D6175" t="s">
        <v>29</v>
      </c>
      <c r="F6175">
        <v>147</v>
      </c>
      <c r="G6175">
        <v>1114</v>
      </c>
    </row>
    <row r="6176" spans="1:8" x14ac:dyDescent="0.45">
      <c r="A6176" t="s">
        <v>74</v>
      </c>
      <c r="B6176" t="s">
        <v>20</v>
      </c>
      <c r="C6176">
        <v>8</v>
      </c>
      <c r="D6176" t="s">
        <v>19</v>
      </c>
      <c r="E6176">
        <v>889856</v>
      </c>
      <c r="F6176">
        <v>1769</v>
      </c>
      <c r="G6176">
        <v>566</v>
      </c>
    </row>
    <row r="6177" spans="1:8" x14ac:dyDescent="0.45">
      <c r="A6177" t="s">
        <v>74</v>
      </c>
      <c r="B6177" t="s">
        <v>20</v>
      </c>
      <c r="C6177">
        <v>8</v>
      </c>
      <c r="D6177" t="s">
        <v>27</v>
      </c>
      <c r="F6177">
        <v>612</v>
      </c>
      <c r="G6177">
        <v>913</v>
      </c>
    </row>
    <row r="6178" spans="1:8" x14ac:dyDescent="0.45">
      <c r="A6178" t="s">
        <v>74</v>
      </c>
      <c r="B6178" t="s">
        <v>20</v>
      </c>
      <c r="C6178">
        <v>8</v>
      </c>
      <c r="D6178" t="s">
        <v>28</v>
      </c>
      <c r="F6178">
        <v>386</v>
      </c>
      <c r="G6178">
        <v>1182</v>
      </c>
    </row>
    <row r="6179" spans="1:8" x14ac:dyDescent="0.45">
      <c r="A6179" t="s">
        <v>74</v>
      </c>
      <c r="B6179" t="s">
        <v>20</v>
      </c>
      <c r="C6179">
        <v>8</v>
      </c>
      <c r="D6179" t="s">
        <v>29</v>
      </c>
      <c r="F6179">
        <v>177</v>
      </c>
      <c r="G6179">
        <v>1022</v>
      </c>
    </row>
    <row r="6180" spans="1:8" x14ac:dyDescent="0.45">
      <c r="A6180" t="s">
        <v>74</v>
      </c>
      <c r="B6180" t="s">
        <v>20</v>
      </c>
      <c r="C6180">
        <v>8</v>
      </c>
      <c r="D6180" t="s">
        <v>31</v>
      </c>
      <c r="H6180">
        <v>6</v>
      </c>
    </row>
    <row r="6181" spans="1:8" x14ac:dyDescent="0.45">
      <c r="A6181" t="s">
        <v>74</v>
      </c>
      <c r="B6181" t="s">
        <v>20</v>
      </c>
      <c r="C6181">
        <v>8</v>
      </c>
      <c r="D6181" t="s">
        <v>32</v>
      </c>
      <c r="H6181">
        <v>4</v>
      </c>
    </row>
    <row r="6182" spans="1:8" x14ac:dyDescent="0.45">
      <c r="A6182" t="s">
        <v>74</v>
      </c>
      <c r="B6182" t="s">
        <v>20</v>
      </c>
      <c r="C6182">
        <v>8</v>
      </c>
      <c r="D6182" t="s">
        <v>34</v>
      </c>
      <c r="H6182">
        <v>2</v>
      </c>
    </row>
    <row r="6183" spans="1:8" x14ac:dyDescent="0.45">
      <c r="A6183" t="s">
        <v>74</v>
      </c>
      <c r="B6183" t="s">
        <v>21</v>
      </c>
      <c r="C6183">
        <v>9</v>
      </c>
      <c r="D6183" t="s">
        <v>19</v>
      </c>
      <c r="E6183">
        <v>690470</v>
      </c>
      <c r="F6183">
        <v>1716</v>
      </c>
      <c r="G6183">
        <v>479</v>
      </c>
    </row>
    <row r="6184" spans="1:8" x14ac:dyDescent="0.45">
      <c r="A6184" t="s">
        <v>74</v>
      </c>
      <c r="B6184" t="s">
        <v>21</v>
      </c>
      <c r="C6184">
        <v>9</v>
      </c>
      <c r="D6184" t="s">
        <v>27</v>
      </c>
      <c r="F6184">
        <v>714</v>
      </c>
    </row>
    <row r="6185" spans="1:8" x14ac:dyDescent="0.45">
      <c r="A6185" t="s">
        <v>74</v>
      </c>
      <c r="B6185" t="s">
        <v>21</v>
      </c>
      <c r="C6185">
        <v>9</v>
      </c>
      <c r="D6185" t="s">
        <v>28</v>
      </c>
      <c r="F6185">
        <v>318</v>
      </c>
    </row>
    <row r="6186" spans="1:8" x14ac:dyDescent="0.45">
      <c r="A6186" t="s">
        <v>74</v>
      </c>
      <c r="B6186" t="s">
        <v>21</v>
      </c>
      <c r="C6186">
        <v>9</v>
      </c>
      <c r="D6186" t="s">
        <v>29</v>
      </c>
      <c r="F6186">
        <v>151</v>
      </c>
    </row>
    <row r="6187" spans="1:8" x14ac:dyDescent="0.45">
      <c r="A6187" t="s">
        <v>74</v>
      </c>
      <c r="B6187" t="s">
        <v>20</v>
      </c>
      <c r="C6187">
        <v>9</v>
      </c>
      <c r="D6187" t="s">
        <v>19</v>
      </c>
      <c r="E6187">
        <v>884600</v>
      </c>
      <c r="F6187">
        <v>1932</v>
      </c>
      <c r="G6187">
        <v>573</v>
      </c>
    </row>
    <row r="6188" spans="1:8" x14ac:dyDescent="0.45">
      <c r="A6188" t="s">
        <v>74</v>
      </c>
      <c r="B6188" t="s">
        <v>20</v>
      </c>
      <c r="C6188">
        <v>9</v>
      </c>
      <c r="D6188" t="s">
        <v>27</v>
      </c>
      <c r="F6188">
        <v>846</v>
      </c>
    </row>
    <row r="6189" spans="1:8" x14ac:dyDescent="0.45">
      <c r="A6189" t="s">
        <v>74</v>
      </c>
      <c r="B6189" t="s">
        <v>20</v>
      </c>
      <c r="C6189">
        <v>9</v>
      </c>
      <c r="D6189" t="s">
        <v>28</v>
      </c>
      <c r="F6189">
        <v>319</v>
      </c>
    </row>
    <row r="6190" spans="1:8" x14ac:dyDescent="0.45">
      <c r="A6190" t="s">
        <v>74</v>
      </c>
      <c r="B6190" t="s">
        <v>20</v>
      </c>
      <c r="C6190">
        <v>9</v>
      </c>
      <c r="D6190" t="s">
        <v>29</v>
      </c>
      <c r="F6190">
        <v>222</v>
      </c>
    </row>
    <row r="6191" spans="1:8" x14ac:dyDescent="0.45">
      <c r="A6191" t="s">
        <v>74</v>
      </c>
      <c r="B6191" t="s">
        <v>20</v>
      </c>
      <c r="C6191">
        <v>9</v>
      </c>
      <c r="D6191" t="s">
        <v>31</v>
      </c>
      <c r="H6191">
        <v>59</v>
      </c>
    </row>
    <row r="6192" spans="1:8" x14ac:dyDescent="0.45">
      <c r="A6192" t="s">
        <v>74</v>
      </c>
      <c r="B6192" t="s">
        <v>20</v>
      </c>
      <c r="C6192">
        <v>9</v>
      </c>
      <c r="D6192" t="s">
        <v>32</v>
      </c>
      <c r="H6192">
        <v>2</v>
      </c>
    </row>
    <row r="6193" spans="1:8" x14ac:dyDescent="0.45">
      <c r="A6193" t="s">
        <v>74</v>
      </c>
      <c r="B6193" t="s">
        <v>20</v>
      </c>
      <c r="C6193">
        <v>9</v>
      </c>
      <c r="D6193" t="s">
        <v>34</v>
      </c>
      <c r="H6193">
        <v>3</v>
      </c>
    </row>
    <row r="6194" spans="1:8" x14ac:dyDescent="0.45">
      <c r="A6194" t="s">
        <v>74</v>
      </c>
      <c r="B6194" t="s">
        <v>21</v>
      </c>
      <c r="C6194">
        <v>10</v>
      </c>
      <c r="D6194" t="s">
        <v>19</v>
      </c>
      <c r="E6194">
        <v>1265873</v>
      </c>
      <c r="F6194">
        <v>3008</v>
      </c>
      <c r="G6194">
        <v>815</v>
      </c>
    </row>
    <row r="6195" spans="1:8" x14ac:dyDescent="0.45">
      <c r="A6195" t="s">
        <v>74</v>
      </c>
      <c r="B6195" t="s">
        <v>21</v>
      </c>
      <c r="C6195">
        <v>10</v>
      </c>
      <c r="D6195" t="s">
        <v>27</v>
      </c>
      <c r="F6195">
        <v>1213</v>
      </c>
    </row>
    <row r="6196" spans="1:8" x14ac:dyDescent="0.45">
      <c r="A6196" t="s">
        <v>74</v>
      </c>
      <c r="B6196" t="s">
        <v>21</v>
      </c>
      <c r="C6196">
        <v>10</v>
      </c>
      <c r="D6196" t="s">
        <v>28</v>
      </c>
      <c r="F6196">
        <v>524</v>
      </c>
    </row>
    <row r="6197" spans="1:8" x14ac:dyDescent="0.45">
      <c r="A6197" t="s">
        <v>74</v>
      </c>
      <c r="B6197" t="s">
        <v>21</v>
      </c>
      <c r="C6197">
        <v>10</v>
      </c>
      <c r="D6197" t="s">
        <v>29</v>
      </c>
      <c r="F6197">
        <v>361</v>
      </c>
    </row>
    <row r="6198" spans="1:8" x14ac:dyDescent="0.45">
      <c r="A6198" t="s">
        <v>74</v>
      </c>
      <c r="B6198" t="s">
        <v>20</v>
      </c>
      <c r="C6198">
        <v>10</v>
      </c>
      <c r="D6198" t="s">
        <v>19</v>
      </c>
      <c r="E6198">
        <v>1366241</v>
      </c>
      <c r="F6198">
        <v>2694</v>
      </c>
      <c r="G6198">
        <v>861</v>
      </c>
    </row>
    <row r="6199" spans="1:8" x14ac:dyDescent="0.45">
      <c r="A6199" t="s">
        <v>74</v>
      </c>
      <c r="B6199" t="s">
        <v>20</v>
      </c>
      <c r="C6199">
        <v>10</v>
      </c>
      <c r="D6199" t="s">
        <v>27</v>
      </c>
      <c r="F6199">
        <v>926</v>
      </c>
    </row>
    <row r="6200" spans="1:8" x14ac:dyDescent="0.45">
      <c r="A6200" t="s">
        <v>74</v>
      </c>
      <c r="B6200" t="s">
        <v>20</v>
      </c>
      <c r="C6200">
        <v>10</v>
      </c>
      <c r="D6200" t="s">
        <v>28</v>
      </c>
      <c r="F6200">
        <v>512</v>
      </c>
    </row>
    <row r="6201" spans="1:8" x14ac:dyDescent="0.45">
      <c r="A6201" t="s">
        <v>74</v>
      </c>
      <c r="B6201" t="s">
        <v>20</v>
      </c>
      <c r="C6201">
        <v>10</v>
      </c>
      <c r="D6201" t="s">
        <v>29</v>
      </c>
      <c r="F6201">
        <v>344</v>
      </c>
    </row>
    <row r="6202" spans="1:8" x14ac:dyDescent="0.45">
      <c r="A6202" t="s">
        <v>74</v>
      </c>
      <c r="B6202" t="s">
        <v>20</v>
      </c>
      <c r="C6202">
        <v>10</v>
      </c>
      <c r="D6202" t="s">
        <v>31</v>
      </c>
      <c r="H6202">
        <v>84</v>
      </c>
    </row>
    <row r="6203" spans="1:8" x14ac:dyDescent="0.45">
      <c r="A6203" t="s">
        <v>74</v>
      </c>
      <c r="B6203" t="s">
        <v>20</v>
      </c>
      <c r="C6203">
        <v>10</v>
      </c>
      <c r="D6203" t="s">
        <v>32</v>
      </c>
      <c r="H6203">
        <v>8</v>
      </c>
    </row>
    <row r="6204" spans="1:8" x14ac:dyDescent="0.45">
      <c r="A6204" t="s">
        <v>74</v>
      </c>
      <c r="B6204" t="s">
        <v>20</v>
      </c>
      <c r="C6204">
        <v>10</v>
      </c>
      <c r="D6204" t="s">
        <v>34</v>
      </c>
      <c r="H6204">
        <v>6</v>
      </c>
    </row>
    <row r="6205" spans="1:8" x14ac:dyDescent="0.45">
      <c r="A6205" t="s">
        <v>74</v>
      </c>
      <c r="B6205" t="s">
        <v>21</v>
      </c>
      <c r="C6205">
        <v>11</v>
      </c>
      <c r="D6205" t="s">
        <v>19</v>
      </c>
      <c r="E6205">
        <v>1078319</v>
      </c>
      <c r="F6205">
        <v>2376</v>
      </c>
      <c r="G6205">
        <v>672</v>
      </c>
    </row>
    <row r="6206" spans="1:8" x14ac:dyDescent="0.45">
      <c r="A6206" t="s">
        <v>74</v>
      </c>
      <c r="B6206" t="s">
        <v>21</v>
      </c>
      <c r="C6206">
        <v>11</v>
      </c>
      <c r="D6206" t="s">
        <v>27</v>
      </c>
      <c r="F6206">
        <v>1012</v>
      </c>
    </row>
    <row r="6207" spans="1:8" x14ac:dyDescent="0.45">
      <c r="A6207" t="s">
        <v>74</v>
      </c>
      <c r="B6207" t="s">
        <v>21</v>
      </c>
      <c r="C6207">
        <v>11</v>
      </c>
      <c r="D6207" t="s">
        <v>28</v>
      </c>
      <c r="F6207">
        <v>400</v>
      </c>
    </row>
    <row r="6208" spans="1:8" x14ac:dyDescent="0.45">
      <c r="A6208" t="s">
        <v>74</v>
      </c>
      <c r="B6208" t="s">
        <v>21</v>
      </c>
      <c r="C6208">
        <v>11</v>
      </c>
      <c r="D6208" t="s">
        <v>29</v>
      </c>
      <c r="F6208">
        <v>284</v>
      </c>
    </row>
    <row r="6209" spans="1:8" x14ac:dyDescent="0.45">
      <c r="A6209" t="s">
        <v>74</v>
      </c>
      <c r="B6209" t="s">
        <v>20</v>
      </c>
      <c r="C6209">
        <v>11</v>
      </c>
      <c r="D6209" t="s">
        <v>19</v>
      </c>
      <c r="E6209">
        <v>1104209</v>
      </c>
      <c r="F6209">
        <v>2303</v>
      </c>
      <c r="G6209">
        <v>706</v>
      </c>
    </row>
    <row r="6210" spans="1:8" x14ac:dyDescent="0.45">
      <c r="A6210" t="s">
        <v>74</v>
      </c>
      <c r="B6210" t="s">
        <v>20</v>
      </c>
      <c r="C6210">
        <v>11</v>
      </c>
      <c r="D6210" t="s">
        <v>27</v>
      </c>
      <c r="F6210">
        <v>782</v>
      </c>
    </row>
    <row r="6211" spans="1:8" x14ac:dyDescent="0.45">
      <c r="A6211" t="s">
        <v>74</v>
      </c>
      <c r="B6211" t="s">
        <v>20</v>
      </c>
      <c r="C6211">
        <v>11</v>
      </c>
      <c r="D6211" t="s">
        <v>28</v>
      </c>
      <c r="F6211">
        <v>482</v>
      </c>
    </row>
    <row r="6212" spans="1:8" x14ac:dyDescent="0.45">
      <c r="A6212" t="s">
        <v>74</v>
      </c>
      <c r="B6212" t="s">
        <v>20</v>
      </c>
      <c r="C6212">
        <v>11</v>
      </c>
      <c r="D6212" t="s">
        <v>29</v>
      </c>
      <c r="F6212">
        <v>348</v>
      </c>
    </row>
    <row r="6213" spans="1:8" x14ac:dyDescent="0.45">
      <c r="A6213" t="s">
        <v>74</v>
      </c>
      <c r="B6213" t="s">
        <v>20</v>
      </c>
      <c r="C6213">
        <v>11</v>
      </c>
      <c r="D6213" t="s">
        <v>31</v>
      </c>
      <c r="H6213">
        <v>109</v>
      </c>
    </row>
    <row r="6214" spans="1:8" x14ac:dyDescent="0.45">
      <c r="A6214" t="s">
        <v>74</v>
      </c>
      <c r="B6214" t="s">
        <v>20</v>
      </c>
      <c r="C6214">
        <v>11</v>
      </c>
      <c r="D6214" t="s">
        <v>32</v>
      </c>
      <c r="H6214">
        <v>1</v>
      </c>
    </row>
    <row r="6215" spans="1:8" x14ac:dyDescent="0.45">
      <c r="A6215" t="s">
        <v>74</v>
      </c>
      <c r="B6215" t="s">
        <v>20</v>
      </c>
      <c r="C6215">
        <v>11</v>
      </c>
      <c r="D6215" t="s">
        <v>34</v>
      </c>
      <c r="H6215">
        <v>6</v>
      </c>
    </row>
    <row r="6216" spans="1:8" x14ac:dyDescent="0.45">
      <c r="A6216" t="s">
        <v>74</v>
      </c>
      <c r="B6216" t="s">
        <v>21</v>
      </c>
      <c r="C6216">
        <v>12</v>
      </c>
      <c r="D6216" t="s">
        <v>19</v>
      </c>
      <c r="E6216">
        <v>1097310</v>
      </c>
      <c r="F6216">
        <v>2641</v>
      </c>
      <c r="G6216">
        <v>710</v>
      </c>
    </row>
    <row r="6217" spans="1:8" x14ac:dyDescent="0.45">
      <c r="A6217" t="s">
        <v>74</v>
      </c>
      <c r="B6217" t="s">
        <v>21</v>
      </c>
      <c r="C6217">
        <v>12</v>
      </c>
      <c r="D6217" t="s">
        <v>27</v>
      </c>
      <c r="F6217">
        <v>1010</v>
      </c>
    </row>
    <row r="6218" spans="1:8" x14ac:dyDescent="0.45">
      <c r="A6218" t="s">
        <v>74</v>
      </c>
      <c r="B6218" t="s">
        <v>21</v>
      </c>
      <c r="C6218">
        <v>12</v>
      </c>
      <c r="D6218" t="s">
        <v>28</v>
      </c>
      <c r="F6218">
        <v>467</v>
      </c>
    </row>
    <row r="6219" spans="1:8" x14ac:dyDescent="0.45">
      <c r="A6219" t="s">
        <v>74</v>
      </c>
      <c r="B6219" t="s">
        <v>21</v>
      </c>
      <c r="C6219">
        <v>12</v>
      </c>
      <c r="D6219" t="s">
        <v>29</v>
      </c>
      <c r="F6219">
        <v>352</v>
      </c>
    </row>
    <row r="6220" spans="1:8" x14ac:dyDescent="0.45">
      <c r="A6220" t="s">
        <v>74</v>
      </c>
      <c r="B6220" t="s">
        <v>20</v>
      </c>
      <c r="C6220">
        <v>12</v>
      </c>
      <c r="D6220" t="s">
        <v>19</v>
      </c>
      <c r="E6220">
        <v>1039919</v>
      </c>
      <c r="F6220">
        <v>2325</v>
      </c>
      <c r="G6220">
        <v>681</v>
      </c>
    </row>
    <row r="6221" spans="1:8" x14ac:dyDescent="0.45">
      <c r="A6221" t="s">
        <v>74</v>
      </c>
      <c r="B6221" t="s">
        <v>20</v>
      </c>
      <c r="C6221">
        <v>12</v>
      </c>
      <c r="D6221" t="s">
        <v>27</v>
      </c>
      <c r="F6221">
        <v>818</v>
      </c>
    </row>
    <row r="6222" spans="1:8" x14ac:dyDescent="0.45">
      <c r="A6222" t="s">
        <v>74</v>
      </c>
      <c r="B6222" t="s">
        <v>20</v>
      </c>
      <c r="C6222">
        <v>12</v>
      </c>
      <c r="D6222" t="s">
        <v>28</v>
      </c>
      <c r="F6222">
        <v>436</v>
      </c>
    </row>
    <row r="6223" spans="1:8" x14ac:dyDescent="0.45">
      <c r="A6223" t="s">
        <v>74</v>
      </c>
      <c r="B6223" t="s">
        <v>20</v>
      </c>
      <c r="C6223">
        <v>12</v>
      </c>
      <c r="D6223" t="s">
        <v>29</v>
      </c>
      <c r="F6223">
        <v>354</v>
      </c>
    </row>
    <row r="6224" spans="1:8" x14ac:dyDescent="0.45">
      <c r="A6224" t="s">
        <v>74</v>
      </c>
      <c r="B6224" t="s">
        <v>20</v>
      </c>
      <c r="C6224">
        <v>12</v>
      </c>
      <c r="D6224" t="s">
        <v>31</v>
      </c>
      <c r="H6224">
        <v>43</v>
      </c>
    </row>
    <row r="6225" spans="1:8" x14ac:dyDescent="0.45">
      <c r="A6225" t="s">
        <v>74</v>
      </c>
      <c r="B6225" t="s">
        <v>20</v>
      </c>
      <c r="C6225">
        <v>12</v>
      </c>
      <c r="D6225" t="s">
        <v>32</v>
      </c>
      <c r="H6225">
        <v>3</v>
      </c>
    </row>
    <row r="6226" spans="1:8" x14ac:dyDescent="0.45">
      <c r="A6226" t="s">
        <v>74</v>
      </c>
      <c r="B6226" t="s">
        <v>20</v>
      </c>
      <c r="C6226">
        <v>12</v>
      </c>
      <c r="D6226" t="s">
        <v>34</v>
      </c>
      <c r="H6226">
        <v>5</v>
      </c>
    </row>
    <row r="6227" spans="1:8" x14ac:dyDescent="0.45">
      <c r="A6227" t="s">
        <v>42</v>
      </c>
      <c r="B6227" t="s">
        <v>21</v>
      </c>
      <c r="C6227">
        <v>1</v>
      </c>
      <c r="D6227" t="s">
        <v>19</v>
      </c>
      <c r="E6227">
        <v>641546</v>
      </c>
      <c r="F6227">
        <v>1485</v>
      </c>
      <c r="G6227">
        <v>383</v>
      </c>
    </row>
    <row r="6228" spans="1:8" x14ac:dyDescent="0.45">
      <c r="A6228" t="s">
        <v>42</v>
      </c>
      <c r="B6228" t="s">
        <v>21</v>
      </c>
      <c r="C6228">
        <v>1</v>
      </c>
      <c r="D6228" t="s">
        <v>27</v>
      </c>
      <c r="F6228">
        <v>673</v>
      </c>
    </row>
    <row r="6229" spans="1:8" x14ac:dyDescent="0.45">
      <c r="A6229" t="s">
        <v>42</v>
      </c>
      <c r="B6229" t="s">
        <v>21</v>
      </c>
      <c r="C6229">
        <v>1</v>
      </c>
      <c r="D6229" t="s">
        <v>28</v>
      </c>
      <c r="F6229">
        <v>242</v>
      </c>
    </row>
    <row r="6230" spans="1:8" x14ac:dyDescent="0.45">
      <c r="A6230" t="s">
        <v>42</v>
      </c>
      <c r="B6230" t="s">
        <v>21</v>
      </c>
      <c r="C6230">
        <v>1</v>
      </c>
      <c r="D6230" t="s">
        <v>29</v>
      </c>
      <c r="F6230">
        <v>135</v>
      </c>
    </row>
    <row r="6231" spans="1:8" x14ac:dyDescent="0.45">
      <c r="A6231" t="s">
        <v>42</v>
      </c>
      <c r="B6231" t="s">
        <v>20</v>
      </c>
      <c r="C6231">
        <v>1</v>
      </c>
      <c r="D6231" t="s">
        <v>19</v>
      </c>
      <c r="E6231">
        <v>654195</v>
      </c>
      <c r="F6231">
        <v>1476</v>
      </c>
      <c r="G6231">
        <v>388</v>
      </c>
    </row>
    <row r="6232" spans="1:8" x14ac:dyDescent="0.45">
      <c r="A6232" t="s">
        <v>42</v>
      </c>
      <c r="B6232" t="s">
        <v>20</v>
      </c>
      <c r="C6232">
        <v>1</v>
      </c>
      <c r="D6232" t="s">
        <v>27</v>
      </c>
      <c r="F6232">
        <v>643</v>
      </c>
    </row>
    <row r="6233" spans="1:8" x14ac:dyDescent="0.45">
      <c r="A6233" t="s">
        <v>42</v>
      </c>
      <c r="B6233" t="s">
        <v>20</v>
      </c>
      <c r="C6233">
        <v>1</v>
      </c>
      <c r="D6233" t="s">
        <v>28</v>
      </c>
      <c r="F6233">
        <v>258</v>
      </c>
    </row>
    <row r="6234" spans="1:8" x14ac:dyDescent="0.45">
      <c r="A6234" t="s">
        <v>42</v>
      </c>
      <c r="B6234" t="s">
        <v>20</v>
      </c>
      <c r="C6234">
        <v>1</v>
      </c>
      <c r="D6234" t="s">
        <v>29</v>
      </c>
      <c r="F6234">
        <v>131</v>
      </c>
    </row>
    <row r="6235" spans="1:8" x14ac:dyDescent="0.45">
      <c r="A6235" t="s">
        <v>42</v>
      </c>
      <c r="B6235" t="s">
        <v>20</v>
      </c>
      <c r="C6235">
        <v>1</v>
      </c>
      <c r="D6235" t="s">
        <v>31</v>
      </c>
      <c r="H6235">
        <v>45</v>
      </c>
    </row>
    <row r="6236" spans="1:8" x14ac:dyDescent="0.45">
      <c r="A6236" t="s">
        <v>42</v>
      </c>
      <c r="B6236" t="s">
        <v>20</v>
      </c>
      <c r="C6236">
        <v>1</v>
      </c>
      <c r="D6236" t="s">
        <v>32</v>
      </c>
      <c r="H6236">
        <v>5</v>
      </c>
    </row>
    <row r="6237" spans="1:8" x14ac:dyDescent="0.45">
      <c r="A6237" t="s">
        <v>42</v>
      </c>
      <c r="B6237" t="s">
        <v>20</v>
      </c>
      <c r="C6237">
        <v>1</v>
      </c>
      <c r="D6237" t="s">
        <v>34</v>
      </c>
    </row>
    <row r="6238" spans="1:8" x14ac:dyDescent="0.45">
      <c r="A6238" t="s">
        <v>42</v>
      </c>
      <c r="B6238" t="s">
        <v>21</v>
      </c>
      <c r="C6238">
        <v>2</v>
      </c>
      <c r="D6238" t="s">
        <v>19</v>
      </c>
      <c r="E6238">
        <v>600487</v>
      </c>
      <c r="F6238">
        <v>1477</v>
      </c>
      <c r="G6238">
        <v>403</v>
      </c>
    </row>
    <row r="6239" spans="1:8" x14ac:dyDescent="0.45">
      <c r="A6239" t="s">
        <v>42</v>
      </c>
      <c r="B6239" t="s">
        <v>21</v>
      </c>
      <c r="C6239">
        <v>2</v>
      </c>
      <c r="D6239" t="s">
        <v>27</v>
      </c>
      <c r="F6239">
        <v>770</v>
      </c>
    </row>
    <row r="6240" spans="1:8" x14ac:dyDescent="0.45">
      <c r="A6240" t="s">
        <v>42</v>
      </c>
      <c r="B6240" t="s">
        <v>21</v>
      </c>
      <c r="C6240">
        <v>2</v>
      </c>
      <c r="D6240" t="s">
        <v>28</v>
      </c>
      <c r="F6240">
        <v>219</v>
      </c>
    </row>
    <row r="6241" spans="1:8" x14ac:dyDescent="0.45">
      <c r="A6241" t="s">
        <v>42</v>
      </c>
      <c r="B6241" t="s">
        <v>21</v>
      </c>
      <c r="C6241">
        <v>2</v>
      </c>
      <c r="D6241" t="s">
        <v>29</v>
      </c>
      <c r="F6241">
        <v>155</v>
      </c>
    </row>
    <row r="6242" spans="1:8" x14ac:dyDescent="0.45">
      <c r="A6242" t="s">
        <v>42</v>
      </c>
      <c r="B6242" t="s">
        <v>20</v>
      </c>
      <c r="C6242">
        <v>2</v>
      </c>
      <c r="D6242" t="s">
        <v>19</v>
      </c>
      <c r="E6242">
        <v>621110</v>
      </c>
      <c r="F6242">
        <v>1387</v>
      </c>
      <c r="G6242">
        <v>377</v>
      </c>
    </row>
    <row r="6243" spans="1:8" x14ac:dyDescent="0.45">
      <c r="A6243" t="s">
        <v>42</v>
      </c>
      <c r="B6243" t="s">
        <v>20</v>
      </c>
      <c r="C6243">
        <v>2</v>
      </c>
      <c r="D6243" t="s">
        <v>27</v>
      </c>
      <c r="F6243">
        <v>659</v>
      </c>
    </row>
    <row r="6244" spans="1:8" x14ac:dyDescent="0.45">
      <c r="A6244" t="s">
        <v>42</v>
      </c>
      <c r="B6244" t="s">
        <v>20</v>
      </c>
      <c r="C6244">
        <v>2</v>
      </c>
      <c r="D6244" t="s">
        <v>28</v>
      </c>
      <c r="F6244">
        <v>220</v>
      </c>
    </row>
    <row r="6245" spans="1:8" x14ac:dyDescent="0.45">
      <c r="A6245" t="s">
        <v>42</v>
      </c>
      <c r="B6245" t="s">
        <v>20</v>
      </c>
      <c r="C6245">
        <v>2</v>
      </c>
      <c r="D6245" t="s">
        <v>29</v>
      </c>
      <c r="F6245">
        <v>128</v>
      </c>
    </row>
    <row r="6246" spans="1:8" x14ac:dyDescent="0.45">
      <c r="A6246" t="s">
        <v>42</v>
      </c>
      <c r="B6246" t="s">
        <v>20</v>
      </c>
      <c r="C6246">
        <v>2</v>
      </c>
      <c r="D6246" t="s">
        <v>31</v>
      </c>
      <c r="H6246">
        <v>54</v>
      </c>
    </row>
    <row r="6247" spans="1:8" x14ac:dyDescent="0.45">
      <c r="A6247" t="s">
        <v>42</v>
      </c>
      <c r="B6247" t="s">
        <v>20</v>
      </c>
      <c r="C6247">
        <v>2</v>
      </c>
      <c r="D6247" t="s">
        <v>32</v>
      </c>
      <c r="H6247">
        <v>8</v>
      </c>
    </row>
    <row r="6248" spans="1:8" x14ac:dyDescent="0.45">
      <c r="A6248" t="s">
        <v>42</v>
      </c>
      <c r="B6248" t="s">
        <v>20</v>
      </c>
      <c r="C6248">
        <v>2</v>
      </c>
      <c r="D6248" t="s">
        <v>34</v>
      </c>
      <c r="H6248">
        <v>14</v>
      </c>
    </row>
    <row r="6249" spans="1:8" x14ac:dyDescent="0.45">
      <c r="A6249" t="s">
        <v>42</v>
      </c>
      <c r="B6249" t="s">
        <v>21</v>
      </c>
      <c r="C6249">
        <v>3</v>
      </c>
      <c r="D6249" t="s">
        <v>19</v>
      </c>
      <c r="E6249">
        <v>1366007</v>
      </c>
      <c r="F6249">
        <v>2511</v>
      </c>
      <c r="G6249">
        <v>638</v>
      </c>
    </row>
    <row r="6250" spans="1:8" x14ac:dyDescent="0.45">
      <c r="A6250" t="s">
        <v>42</v>
      </c>
      <c r="B6250" t="s">
        <v>21</v>
      </c>
      <c r="C6250">
        <v>3</v>
      </c>
      <c r="D6250" t="s">
        <v>27</v>
      </c>
      <c r="F6250">
        <v>865</v>
      </c>
    </row>
    <row r="6251" spans="1:8" x14ac:dyDescent="0.45">
      <c r="A6251" t="s">
        <v>42</v>
      </c>
      <c r="B6251" t="s">
        <v>21</v>
      </c>
      <c r="C6251">
        <v>3</v>
      </c>
      <c r="D6251" t="s">
        <v>28</v>
      </c>
      <c r="F6251">
        <v>400</v>
      </c>
    </row>
    <row r="6252" spans="1:8" x14ac:dyDescent="0.45">
      <c r="A6252" t="s">
        <v>42</v>
      </c>
      <c r="B6252" t="s">
        <v>21</v>
      </c>
      <c r="C6252">
        <v>3</v>
      </c>
      <c r="D6252" t="s">
        <v>29</v>
      </c>
      <c r="F6252">
        <v>294</v>
      </c>
    </row>
    <row r="6253" spans="1:8" x14ac:dyDescent="0.45">
      <c r="A6253" t="s">
        <v>42</v>
      </c>
      <c r="B6253" t="s">
        <v>20</v>
      </c>
      <c r="C6253">
        <v>3</v>
      </c>
      <c r="D6253" t="s">
        <v>19</v>
      </c>
      <c r="E6253">
        <v>1196174</v>
      </c>
      <c r="F6253">
        <v>2305</v>
      </c>
      <c r="G6253">
        <v>577</v>
      </c>
    </row>
    <row r="6254" spans="1:8" x14ac:dyDescent="0.45">
      <c r="A6254" t="s">
        <v>42</v>
      </c>
      <c r="B6254" t="s">
        <v>20</v>
      </c>
      <c r="C6254">
        <v>3</v>
      </c>
      <c r="D6254" t="s">
        <v>27</v>
      </c>
      <c r="F6254">
        <v>868</v>
      </c>
    </row>
    <row r="6255" spans="1:8" x14ac:dyDescent="0.45">
      <c r="A6255" t="s">
        <v>42</v>
      </c>
      <c r="B6255" t="s">
        <v>20</v>
      </c>
      <c r="C6255">
        <v>3</v>
      </c>
      <c r="D6255" t="s">
        <v>28</v>
      </c>
      <c r="F6255">
        <v>346</v>
      </c>
    </row>
    <row r="6256" spans="1:8" x14ac:dyDescent="0.45">
      <c r="A6256" t="s">
        <v>42</v>
      </c>
      <c r="B6256" t="s">
        <v>20</v>
      </c>
      <c r="C6256">
        <v>3</v>
      </c>
      <c r="D6256" t="s">
        <v>29</v>
      </c>
      <c r="F6256">
        <v>285</v>
      </c>
    </row>
    <row r="6257" spans="1:8" x14ac:dyDescent="0.45">
      <c r="A6257" t="s">
        <v>42</v>
      </c>
      <c r="B6257" t="s">
        <v>20</v>
      </c>
      <c r="C6257">
        <v>3</v>
      </c>
      <c r="D6257" t="s">
        <v>31</v>
      </c>
      <c r="H6257">
        <v>41</v>
      </c>
    </row>
    <row r="6258" spans="1:8" x14ac:dyDescent="0.45">
      <c r="A6258" t="s">
        <v>42</v>
      </c>
      <c r="B6258" t="s">
        <v>20</v>
      </c>
      <c r="C6258">
        <v>3</v>
      </c>
      <c r="D6258" t="s">
        <v>32</v>
      </c>
      <c r="H6258">
        <v>3</v>
      </c>
    </row>
    <row r="6259" spans="1:8" x14ac:dyDescent="0.45">
      <c r="A6259" t="s">
        <v>42</v>
      </c>
      <c r="B6259" t="s">
        <v>20</v>
      </c>
      <c r="C6259">
        <v>3</v>
      </c>
      <c r="D6259" t="s">
        <v>34</v>
      </c>
      <c r="H6259">
        <v>15</v>
      </c>
    </row>
    <row r="6260" spans="1:8" x14ac:dyDescent="0.45">
      <c r="A6260" t="s">
        <v>42</v>
      </c>
      <c r="B6260" t="s">
        <v>21</v>
      </c>
      <c r="C6260">
        <v>4</v>
      </c>
      <c r="D6260" t="s">
        <v>19</v>
      </c>
      <c r="E6260">
        <v>1683809</v>
      </c>
      <c r="F6260">
        <v>2930</v>
      </c>
      <c r="G6260">
        <v>694</v>
      </c>
    </row>
    <row r="6261" spans="1:8" x14ac:dyDescent="0.45">
      <c r="A6261" t="s">
        <v>42</v>
      </c>
      <c r="B6261" t="s">
        <v>21</v>
      </c>
      <c r="C6261">
        <v>4</v>
      </c>
      <c r="D6261" t="s">
        <v>27</v>
      </c>
      <c r="F6261">
        <v>980</v>
      </c>
    </row>
    <row r="6262" spans="1:8" x14ac:dyDescent="0.45">
      <c r="A6262" t="s">
        <v>42</v>
      </c>
      <c r="B6262" t="s">
        <v>21</v>
      </c>
      <c r="C6262">
        <v>4</v>
      </c>
      <c r="D6262" t="s">
        <v>28</v>
      </c>
      <c r="F6262">
        <v>348</v>
      </c>
    </row>
    <row r="6263" spans="1:8" x14ac:dyDescent="0.45">
      <c r="A6263" t="s">
        <v>42</v>
      </c>
      <c r="B6263" t="s">
        <v>21</v>
      </c>
      <c r="C6263">
        <v>4</v>
      </c>
      <c r="D6263" t="s">
        <v>29</v>
      </c>
      <c r="F6263">
        <v>347</v>
      </c>
    </row>
    <row r="6264" spans="1:8" x14ac:dyDescent="0.45">
      <c r="A6264" t="s">
        <v>42</v>
      </c>
      <c r="B6264" t="s">
        <v>20</v>
      </c>
      <c r="C6264">
        <v>4</v>
      </c>
      <c r="D6264" t="s">
        <v>19</v>
      </c>
      <c r="E6264">
        <v>1983785</v>
      </c>
      <c r="F6264">
        <v>3262</v>
      </c>
    </row>
    <row r="6265" spans="1:8" x14ac:dyDescent="0.45">
      <c r="A6265" t="s">
        <v>42</v>
      </c>
      <c r="B6265" t="s">
        <v>20</v>
      </c>
      <c r="C6265">
        <v>4</v>
      </c>
      <c r="D6265" t="s">
        <v>27</v>
      </c>
      <c r="F6265">
        <v>827</v>
      </c>
    </row>
    <row r="6266" spans="1:8" x14ac:dyDescent="0.45">
      <c r="A6266" t="s">
        <v>42</v>
      </c>
      <c r="B6266" t="s">
        <v>20</v>
      </c>
      <c r="C6266">
        <v>4</v>
      </c>
      <c r="D6266" t="s">
        <v>28</v>
      </c>
      <c r="F6266">
        <v>450</v>
      </c>
    </row>
    <row r="6267" spans="1:8" x14ac:dyDescent="0.45">
      <c r="A6267" t="s">
        <v>42</v>
      </c>
      <c r="B6267" t="s">
        <v>20</v>
      </c>
      <c r="C6267">
        <v>4</v>
      </c>
      <c r="D6267" t="s">
        <v>29</v>
      </c>
      <c r="F6267">
        <v>367</v>
      </c>
    </row>
    <row r="6268" spans="1:8" x14ac:dyDescent="0.45">
      <c r="A6268" t="s">
        <v>42</v>
      </c>
      <c r="B6268" t="s">
        <v>20</v>
      </c>
      <c r="C6268">
        <v>4</v>
      </c>
      <c r="D6268" t="s">
        <v>31</v>
      </c>
      <c r="H6268">
        <v>53</v>
      </c>
    </row>
    <row r="6269" spans="1:8" x14ac:dyDescent="0.45">
      <c r="A6269" t="s">
        <v>42</v>
      </c>
      <c r="B6269" t="s">
        <v>20</v>
      </c>
      <c r="C6269">
        <v>4</v>
      </c>
      <c r="D6269" t="s">
        <v>32</v>
      </c>
      <c r="H6269">
        <v>14</v>
      </c>
    </row>
    <row r="6270" spans="1:8" x14ac:dyDescent="0.45">
      <c r="A6270" t="s">
        <v>42</v>
      </c>
      <c r="B6270" t="s">
        <v>20</v>
      </c>
      <c r="C6270">
        <v>4</v>
      </c>
      <c r="D6270" t="s">
        <v>34</v>
      </c>
      <c r="H6270">
        <v>15</v>
      </c>
    </row>
    <row r="6271" spans="1:8" x14ac:dyDescent="0.45">
      <c r="A6271" t="s">
        <v>42</v>
      </c>
      <c r="B6271" t="s">
        <v>21</v>
      </c>
      <c r="C6271">
        <v>5</v>
      </c>
      <c r="D6271" t="s">
        <v>19</v>
      </c>
      <c r="E6271">
        <v>1643103</v>
      </c>
      <c r="F6271">
        <v>2818</v>
      </c>
      <c r="G6271">
        <v>629</v>
      </c>
    </row>
    <row r="6272" spans="1:8" x14ac:dyDescent="0.45">
      <c r="A6272" t="s">
        <v>42</v>
      </c>
      <c r="B6272" t="s">
        <v>21</v>
      </c>
      <c r="C6272">
        <v>5</v>
      </c>
      <c r="D6272" t="s">
        <v>27</v>
      </c>
      <c r="F6272">
        <v>845</v>
      </c>
    </row>
    <row r="6273" spans="1:8" x14ac:dyDescent="0.45">
      <c r="A6273" t="s">
        <v>42</v>
      </c>
      <c r="B6273" t="s">
        <v>21</v>
      </c>
      <c r="C6273">
        <v>5</v>
      </c>
      <c r="D6273" t="s">
        <v>28</v>
      </c>
      <c r="F6273">
        <v>434</v>
      </c>
    </row>
    <row r="6274" spans="1:8" x14ac:dyDescent="0.45">
      <c r="A6274" t="s">
        <v>42</v>
      </c>
      <c r="B6274" t="s">
        <v>21</v>
      </c>
      <c r="C6274">
        <v>5</v>
      </c>
      <c r="D6274" t="s">
        <v>29</v>
      </c>
      <c r="F6274">
        <v>317</v>
      </c>
    </row>
    <row r="6275" spans="1:8" x14ac:dyDescent="0.45">
      <c r="A6275" t="s">
        <v>42</v>
      </c>
      <c r="B6275" t="s">
        <v>20</v>
      </c>
      <c r="C6275">
        <v>5</v>
      </c>
      <c r="D6275" t="s">
        <v>19</v>
      </c>
      <c r="E6275">
        <v>1376282</v>
      </c>
      <c r="F6275">
        <v>2249</v>
      </c>
      <c r="G6275">
        <v>570</v>
      </c>
    </row>
    <row r="6276" spans="1:8" x14ac:dyDescent="0.45">
      <c r="A6276" t="s">
        <v>42</v>
      </c>
      <c r="B6276" t="s">
        <v>20</v>
      </c>
      <c r="C6276">
        <v>5</v>
      </c>
      <c r="D6276" t="s">
        <v>27</v>
      </c>
      <c r="F6276">
        <v>721</v>
      </c>
    </row>
    <row r="6277" spans="1:8" x14ac:dyDescent="0.45">
      <c r="A6277" t="s">
        <v>42</v>
      </c>
      <c r="B6277" t="s">
        <v>20</v>
      </c>
      <c r="C6277">
        <v>5</v>
      </c>
      <c r="D6277" t="s">
        <v>28</v>
      </c>
      <c r="F6277">
        <v>379</v>
      </c>
    </row>
    <row r="6278" spans="1:8" x14ac:dyDescent="0.45">
      <c r="A6278" t="s">
        <v>42</v>
      </c>
      <c r="B6278" t="s">
        <v>20</v>
      </c>
      <c r="C6278">
        <v>5</v>
      </c>
      <c r="D6278" t="s">
        <v>29</v>
      </c>
      <c r="F6278">
        <v>204</v>
      </c>
    </row>
    <row r="6279" spans="1:8" x14ac:dyDescent="0.45">
      <c r="A6279" t="s">
        <v>42</v>
      </c>
      <c r="B6279" t="s">
        <v>20</v>
      </c>
      <c r="C6279">
        <v>5</v>
      </c>
      <c r="D6279" t="s">
        <v>31</v>
      </c>
      <c r="H6279">
        <v>85</v>
      </c>
    </row>
    <row r="6280" spans="1:8" x14ac:dyDescent="0.45">
      <c r="A6280" t="s">
        <v>42</v>
      </c>
      <c r="B6280" t="s">
        <v>20</v>
      </c>
      <c r="C6280">
        <v>5</v>
      </c>
      <c r="D6280" t="s">
        <v>32</v>
      </c>
      <c r="H6280">
        <v>10</v>
      </c>
    </row>
    <row r="6281" spans="1:8" x14ac:dyDescent="0.45">
      <c r="A6281" t="s">
        <v>42</v>
      </c>
      <c r="B6281" t="s">
        <v>20</v>
      </c>
      <c r="C6281">
        <v>5</v>
      </c>
      <c r="D6281" t="s">
        <v>34</v>
      </c>
      <c r="H6281">
        <v>12</v>
      </c>
    </row>
    <row r="6282" spans="1:8" x14ac:dyDescent="0.45">
      <c r="A6282" t="s">
        <v>42</v>
      </c>
      <c r="B6282" t="s">
        <v>21</v>
      </c>
      <c r="C6282">
        <v>6</v>
      </c>
      <c r="D6282" t="s">
        <v>19</v>
      </c>
    </row>
    <row r="6283" spans="1:8" x14ac:dyDescent="0.45">
      <c r="A6283" t="s">
        <v>42</v>
      </c>
      <c r="B6283" t="s">
        <v>21</v>
      </c>
      <c r="C6283">
        <v>6</v>
      </c>
      <c r="D6283" t="s">
        <v>27</v>
      </c>
    </row>
    <row r="6284" spans="1:8" x14ac:dyDescent="0.45">
      <c r="A6284" t="s">
        <v>42</v>
      </c>
      <c r="B6284" t="s">
        <v>21</v>
      </c>
      <c r="C6284">
        <v>6</v>
      </c>
      <c r="D6284" t="s">
        <v>28</v>
      </c>
    </row>
    <row r="6285" spans="1:8" x14ac:dyDescent="0.45">
      <c r="A6285" t="s">
        <v>42</v>
      </c>
      <c r="B6285" t="s">
        <v>21</v>
      </c>
      <c r="C6285">
        <v>6</v>
      </c>
      <c r="D6285" t="s">
        <v>29</v>
      </c>
    </row>
    <row r="6286" spans="1:8" x14ac:dyDescent="0.45">
      <c r="A6286" t="s">
        <v>42</v>
      </c>
      <c r="B6286" t="s">
        <v>20</v>
      </c>
      <c r="C6286">
        <v>6</v>
      </c>
      <c r="D6286" t="s">
        <v>19</v>
      </c>
    </row>
    <row r="6287" spans="1:8" x14ac:dyDescent="0.45">
      <c r="A6287" t="s">
        <v>42</v>
      </c>
      <c r="B6287" t="s">
        <v>20</v>
      </c>
      <c r="C6287">
        <v>6</v>
      </c>
      <c r="D6287" t="s">
        <v>27</v>
      </c>
    </row>
    <row r="6288" spans="1:8" x14ac:dyDescent="0.45">
      <c r="A6288" t="s">
        <v>42</v>
      </c>
      <c r="B6288" t="s">
        <v>20</v>
      </c>
      <c r="C6288">
        <v>6</v>
      </c>
      <c r="D6288" t="s">
        <v>28</v>
      </c>
    </row>
    <row r="6289" spans="1:8" x14ac:dyDescent="0.45">
      <c r="A6289" t="s">
        <v>42</v>
      </c>
      <c r="B6289" t="s">
        <v>20</v>
      </c>
      <c r="C6289">
        <v>6</v>
      </c>
      <c r="D6289" t="s">
        <v>29</v>
      </c>
    </row>
    <row r="6290" spans="1:8" x14ac:dyDescent="0.45">
      <c r="A6290" t="s">
        <v>42</v>
      </c>
      <c r="B6290" t="s">
        <v>20</v>
      </c>
      <c r="C6290">
        <v>6</v>
      </c>
      <c r="D6290" t="s">
        <v>31</v>
      </c>
      <c r="H6290">
        <v>29</v>
      </c>
    </row>
    <row r="6291" spans="1:8" x14ac:dyDescent="0.45">
      <c r="A6291" t="s">
        <v>42</v>
      </c>
      <c r="B6291" t="s">
        <v>20</v>
      </c>
      <c r="C6291">
        <v>6</v>
      </c>
      <c r="D6291" t="s">
        <v>32</v>
      </c>
      <c r="H6291">
        <v>4</v>
      </c>
    </row>
    <row r="6292" spans="1:8" x14ac:dyDescent="0.45">
      <c r="A6292" t="s">
        <v>42</v>
      </c>
      <c r="B6292" t="s">
        <v>20</v>
      </c>
      <c r="C6292">
        <v>6</v>
      </c>
      <c r="D6292" t="s">
        <v>34</v>
      </c>
    </row>
    <row r="6293" spans="1:8" x14ac:dyDescent="0.45">
      <c r="A6293" t="s">
        <v>42</v>
      </c>
      <c r="B6293" t="s">
        <v>21</v>
      </c>
      <c r="C6293">
        <v>7</v>
      </c>
      <c r="D6293" t="s">
        <v>19</v>
      </c>
    </row>
    <row r="6294" spans="1:8" x14ac:dyDescent="0.45">
      <c r="A6294" t="s">
        <v>42</v>
      </c>
      <c r="B6294" t="s">
        <v>21</v>
      </c>
      <c r="C6294">
        <v>7</v>
      </c>
      <c r="D6294" t="s">
        <v>27</v>
      </c>
    </row>
    <row r="6295" spans="1:8" x14ac:dyDescent="0.45">
      <c r="A6295" t="s">
        <v>42</v>
      </c>
      <c r="B6295" t="s">
        <v>21</v>
      </c>
      <c r="C6295">
        <v>7</v>
      </c>
      <c r="D6295" t="s">
        <v>28</v>
      </c>
    </row>
    <row r="6296" spans="1:8" x14ac:dyDescent="0.45">
      <c r="A6296" t="s">
        <v>42</v>
      </c>
      <c r="B6296" t="s">
        <v>21</v>
      </c>
      <c r="C6296">
        <v>7</v>
      </c>
      <c r="D6296" t="s">
        <v>29</v>
      </c>
    </row>
    <row r="6297" spans="1:8" x14ac:dyDescent="0.45">
      <c r="A6297" t="s">
        <v>42</v>
      </c>
      <c r="B6297" t="s">
        <v>20</v>
      </c>
      <c r="C6297">
        <v>7</v>
      </c>
      <c r="D6297" t="s">
        <v>19</v>
      </c>
    </row>
    <row r="6298" spans="1:8" x14ac:dyDescent="0.45">
      <c r="A6298" t="s">
        <v>42</v>
      </c>
      <c r="B6298" t="s">
        <v>20</v>
      </c>
      <c r="C6298">
        <v>7</v>
      </c>
      <c r="D6298" t="s">
        <v>27</v>
      </c>
    </row>
    <row r="6299" spans="1:8" x14ac:dyDescent="0.45">
      <c r="A6299" t="s">
        <v>42</v>
      </c>
      <c r="B6299" t="s">
        <v>20</v>
      </c>
      <c r="C6299">
        <v>7</v>
      </c>
      <c r="D6299" t="s">
        <v>28</v>
      </c>
    </row>
    <row r="6300" spans="1:8" x14ac:dyDescent="0.45">
      <c r="A6300" t="s">
        <v>42</v>
      </c>
      <c r="B6300" t="s">
        <v>20</v>
      </c>
      <c r="C6300">
        <v>7</v>
      </c>
      <c r="D6300" t="s">
        <v>29</v>
      </c>
    </row>
    <row r="6301" spans="1:8" x14ac:dyDescent="0.45">
      <c r="A6301" t="s">
        <v>42</v>
      </c>
      <c r="B6301" t="s">
        <v>20</v>
      </c>
      <c r="C6301">
        <v>7</v>
      </c>
      <c r="D6301" t="s">
        <v>31</v>
      </c>
    </row>
    <row r="6302" spans="1:8" x14ac:dyDescent="0.45">
      <c r="A6302" t="s">
        <v>42</v>
      </c>
      <c r="B6302" t="s">
        <v>20</v>
      </c>
      <c r="C6302">
        <v>7</v>
      </c>
      <c r="D6302" t="s">
        <v>32</v>
      </c>
    </row>
    <row r="6303" spans="1:8" x14ac:dyDescent="0.45">
      <c r="A6303" t="s">
        <v>42</v>
      </c>
      <c r="B6303" t="s">
        <v>20</v>
      </c>
      <c r="C6303">
        <v>7</v>
      </c>
      <c r="D6303" t="s">
        <v>34</v>
      </c>
    </row>
    <row r="6304" spans="1:8" x14ac:dyDescent="0.45">
      <c r="A6304" t="s">
        <v>42</v>
      </c>
      <c r="B6304" t="s">
        <v>21</v>
      </c>
      <c r="C6304">
        <v>8</v>
      </c>
      <c r="D6304" t="s">
        <v>19</v>
      </c>
      <c r="E6304">
        <v>774827</v>
      </c>
      <c r="F6304">
        <v>1705</v>
      </c>
      <c r="G6304">
        <v>428</v>
      </c>
    </row>
    <row r="6305" spans="1:8" x14ac:dyDescent="0.45">
      <c r="A6305" t="s">
        <v>42</v>
      </c>
      <c r="B6305" t="s">
        <v>21</v>
      </c>
      <c r="C6305">
        <v>8</v>
      </c>
      <c r="D6305" t="s">
        <v>27</v>
      </c>
      <c r="F6305">
        <v>779</v>
      </c>
      <c r="G6305">
        <v>1133</v>
      </c>
    </row>
    <row r="6306" spans="1:8" x14ac:dyDescent="0.45">
      <c r="A6306" t="s">
        <v>42</v>
      </c>
      <c r="B6306" t="s">
        <v>21</v>
      </c>
      <c r="C6306">
        <v>8</v>
      </c>
      <c r="D6306" t="s">
        <v>28</v>
      </c>
      <c r="F6306">
        <v>261</v>
      </c>
      <c r="G6306">
        <v>960</v>
      </c>
    </row>
    <row r="6307" spans="1:8" x14ac:dyDescent="0.45">
      <c r="A6307" t="s">
        <v>42</v>
      </c>
      <c r="B6307" t="s">
        <v>21</v>
      </c>
      <c r="C6307">
        <v>8</v>
      </c>
      <c r="D6307" t="s">
        <v>29</v>
      </c>
      <c r="F6307">
        <v>104</v>
      </c>
      <c r="G6307">
        <v>1239</v>
      </c>
    </row>
    <row r="6308" spans="1:8" x14ac:dyDescent="0.45">
      <c r="A6308" t="s">
        <v>42</v>
      </c>
      <c r="B6308" t="s">
        <v>20</v>
      </c>
      <c r="C6308">
        <v>8</v>
      </c>
      <c r="D6308" t="s">
        <v>19</v>
      </c>
      <c r="E6308">
        <v>713186</v>
      </c>
      <c r="F6308">
        <v>1490</v>
      </c>
      <c r="G6308">
        <v>407</v>
      </c>
    </row>
    <row r="6309" spans="1:8" x14ac:dyDescent="0.45">
      <c r="A6309" t="s">
        <v>42</v>
      </c>
      <c r="B6309" t="s">
        <v>20</v>
      </c>
      <c r="C6309">
        <v>8</v>
      </c>
      <c r="D6309" t="s">
        <v>27</v>
      </c>
      <c r="F6309">
        <v>643</v>
      </c>
      <c r="G6309">
        <v>979</v>
      </c>
    </row>
    <row r="6310" spans="1:8" x14ac:dyDescent="0.45">
      <c r="A6310" t="s">
        <v>42</v>
      </c>
      <c r="B6310" t="s">
        <v>20</v>
      </c>
      <c r="C6310">
        <v>8</v>
      </c>
      <c r="D6310" t="s">
        <v>28</v>
      </c>
      <c r="F6310">
        <v>251</v>
      </c>
      <c r="G6310">
        <v>873</v>
      </c>
    </row>
    <row r="6311" spans="1:8" x14ac:dyDescent="0.45">
      <c r="A6311" t="s">
        <v>42</v>
      </c>
      <c r="B6311" t="s">
        <v>20</v>
      </c>
      <c r="C6311">
        <v>8</v>
      </c>
      <c r="D6311" t="s">
        <v>29</v>
      </c>
      <c r="F6311">
        <v>106</v>
      </c>
      <c r="G6311">
        <v>730</v>
      </c>
    </row>
    <row r="6312" spans="1:8" x14ac:dyDescent="0.45">
      <c r="A6312" t="s">
        <v>42</v>
      </c>
      <c r="B6312" t="s">
        <v>20</v>
      </c>
      <c r="C6312">
        <v>8</v>
      </c>
      <c r="D6312" t="s">
        <v>31</v>
      </c>
      <c r="H6312">
        <v>26</v>
      </c>
    </row>
    <row r="6313" spans="1:8" x14ac:dyDescent="0.45">
      <c r="A6313" t="s">
        <v>42</v>
      </c>
      <c r="B6313" t="s">
        <v>20</v>
      </c>
      <c r="C6313">
        <v>8</v>
      </c>
      <c r="D6313" t="s">
        <v>32</v>
      </c>
      <c r="H6313">
        <v>10</v>
      </c>
    </row>
    <row r="6314" spans="1:8" x14ac:dyDescent="0.45">
      <c r="A6314" t="s">
        <v>42</v>
      </c>
      <c r="B6314" t="s">
        <v>20</v>
      </c>
      <c r="C6314">
        <v>8</v>
      </c>
      <c r="D6314" t="s">
        <v>34</v>
      </c>
      <c r="H6314">
        <v>8</v>
      </c>
    </row>
    <row r="6315" spans="1:8" x14ac:dyDescent="0.45">
      <c r="A6315" t="s">
        <v>42</v>
      </c>
      <c r="B6315" t="s">
        <v>21</v>
      </c>
      <c r="C6315">
        <v>9</v>
      </c>
      <c r="D6315" t="s">
        <v>19</v>
      </c>
      <c r="E6315">
        <v>651160</v>
      </c>
      <c r="F6315">
        <v>1500</v>
      </c>
      <c r="G6315">
        <v>401</v>
      </c>
    </row>
    <row r="6316" spans="1:8" x14ac:dyDescent="0.45">
      <c r="A6316" t="s">
        <v>42</v>
      </c>
      <c r="B6316" t="s">
        <v>21</v>
      </c>
      <c r="C6316">
        <v>9</v>
      </c>
      <c r="D6316" t="s">
        <v>27</v>
      </c>
      <c r="F6316">
        <v>777</v>
      </c>
    </row>
    <row r="6317" spans="1:8" x14ac:dyDescent="0.45">
      <c r="A6317" t="s">
        <v>42</v>
      </c>
      <c r="B6317" t="s">
        <v>21</v>
      </c>
      <c r="C6317">
        <v>9</v>
      </c>
      <c r="D6317" t="s">
        <v>28</v>
      </c>
      <c r="F6317">
        <v>232</v>
      </c>
    </row>
    <row r="6318" spans="1:8" x14ac:dyDescent="0.45">
      <c r="A6318" t="s">
        <v>42</v>
      </c>
      <c r="B6318" t="s">
        <v>21</v>
      </c>
      <c r="C6318">
        <v>9</v>
      </c>
      <c r="D6318" t="s">
        <v>29</v>
      </c>
      <c r="F6318">
        <v>128</v>
      </c>
    </row>
    <row r="6319" spans="1:8" x14ac:dyDescent="0.45">
      <c r="A6319" t="s">
        <v>42</v>
      </c>
      <c r="B6319" t="s">
        <v>20</v>
      </c>
      <c r="C6319">
        <v>9</v>
      </c>
      <c r="D6319" t="s">
        <v>19</v>
      </c>
      <c r="E6319">
        <v>748920</v>
      </c>
      <c r="F6319">
        <v>1691</v>
      </c>
      <c r="G6319">
        <v>464</v>
      </c>
    </row>
    <row r="6320" spans="1:8" x14ac:dyDescent="0.45">
      <c r="A6320" t="s">
        <v>42</v>
      </c>
      <c r="B6320" t="s">
        <v>20</v>
      </c>
      <c r="C6320">
        <v>9</v>
      </c>
      <c r="D6320" t="s">
        <v>27</v>
      </c>
      <c r="F6320">
        <v>636</v>
      </c>
    </row>
    <row r="6321" spans="1:8" x14ac:dyDescent="0.45">
      <c r="A6321" t="s">
        <v>42</v>
      </c>
      <c r="B6321" t="s">
        <v>20</v>
      </c>
      <c r="C6321">
        <v>9</v>
      </c>
      <c r="D6321" t="s">
        <v>28</v>
      </c>
      <c r="F6321">
        <v>313</v>
      </c>
    </row>
    <row r="6322" spans="1:8" x14ac:dyDescent="0.45">
      <c r="A6322" t="s">
        <v>42</v>
      </c>
      <c r="B6322" t="s">
        <v>20</v>
      </c>
      <c r="C6322">
        <v>9</v>
      </c>
      <c r="D6322" t="s">
        <v>29</v>
      </c>
      <c r="F6322">
        <v>162</v>
      </c>
    </row>
    <row r="6323" spans="1:8" x14ac:dyDescent="0.45">
      <c r="A6323" t="s">
        <v>42</v>
      </c>
      <c r="B6323" t="s">
        <v>20</v>
      </c>
      <c r="C6323">
        <v>9</v>
      </c>
      <c r="D6323" t="s">
        <v>31</v>
      </c>
      <c r="H6323">
        <v>123</v>
      </c>
    </row>
    <row r="6324" spans="1:8" x14ac:dyDescent="0.45">
      <c r="A6324" t="s">
        <v>42</v>
      </c>
      <c r="B6324" t="s">
        <v>20</v>
      </c>
      <c r="C6324">
        <v>9</v>
      </c>
      <c r="D6324" t="s">
        <v>32</v>
      </c>
      <c r="H6324">
        <v>8</v>
      </c>
    </row>
    <row r="6325" spans="1:8" x14ac:dyDescent="0.45">
      <c r="A6325" t="s">
        <v>42</v>
      </c>
      <c r="B6325" t="s">
        <v>20</v>
      </c>
      <c r="C6325">
        <v>9</v>
      </c>
      <c r="D6325" t="s">
        <v>34</v>
      </c>
      <c r="H6325">
        <v>1</v>
      </c>
    </row>
    <row r="6326" spans="1:8" x14ac:dyDescent="0.45">
      <c r="A6326" t="s">
        <v>42</v>
      </c>
      <c r="B6326" t="s">
        <v>21</v>
      </c>
      <c r="C6326">
        <v>10</v>
      </c>
      <c r="D6326" t="s">
        <v>19</v>
      </c>
      <c r="E6326">
        <v>1101147</v>
      </c>
      <c r="F6326">
        <v>2513</v>
      </c>
      <c r="G6326">
        <v>575</v>
      </c>
    </row>
    <row r="6327" spans="1:8" x14ac:dyDescent="0.45">
      <c r="A6327" t="s">
        <v>42</v>
      </c>
      <c r="B6327" t="s">
        <v>21</v>
      </c>
      <c r="C6327">
        <v>10</v>
      </c>
      <c r="D6327" t="s">
        <v>27</v>
      </c>
      <c r="F6327">
        <v>1050</v>
      </c>
    </row>
    <row r="6328" spans="1:8" x14ac:dyDescent="0.45">
      <c r="A6328" t="s">
        <v>42</v>
      </c>
      <c r="B6328" t="s">
        <v>21</v>
      </c>
      <c r="C6328">
        <v>10</v>
      </c>
      <c r="D6328" t="s">
        <v>28</v>
      </c>
      <c r="F6328">
        <v>450</v>
      </c>
    </row>
    <row r="6329" spans="1:8" x14ac:dyDescent="0.45">
      <c r="A6329" t="s">
        <v>42</v>
      </c>
      <c r="B6329" t="s">
        <v>21</v>
      </c>
      <c r="C6329">
        <v>10</v>
      </c>
      <c r="D6329" t="s">
        <v>29</v>
      </c>
      <c r="F6329">
        <v>296</v>
      </c>
    </row>
    <row r="6330" spans="1:8" x14ac:dyDescent="0.45">
      <c r="A6330" t="s">
        <v>42</v>
      </c>
      <c r="B6330" t="s">
        <v>20</v>
      </c>
      <c r="C6330">
        <v>10</v>
      </c>
      <c r="D6330" t="s">
        <v>19</v>
      </c>
      <c r="E6330">
        <v>1031058</v>
      </c>
      <c r="F6330">
        <v>2095</v>
      </c>
      <c r="G6330">
        <v>533</v>
      </c>
    </row>
    <row r="6331" spans="1:8" x14ac:dyDescent="0.45">
      <c r="A6331" t="s">
        <v>42</v>
      </c>
      <c r="B6331" t="s">
        <v>20</v>
      </c>
      <c r="C6331">
        <v>10</v>
      </c>
      <c r="D6331" t="s">
        <v>27</v>
      </c>
      <c r="F6331">
        <v>832</v>
      </c>
    </row>
    <row r="6332" spans="1:8" x14ac:dyDescent="0.45">
      <c r="A6332" t="s">
        <v>42</v>
      </c>
      <c r="B6332" t="s">
        <v>20</v>
      </c>
      <c r="C6332">
        <v>10</v>
      </c>
      <c r="D6332" t="s">
        <v>28</v>
      </c>
      <c r="F6332">
        <v>371</v>
      </c>
    </row>
    <row r="6333" spans="1:8" x14ac:dyDescent="0.45">
      <c r="A6333" t="s">
        <v>42</v>
      </c>
      <c r="B6333" t="s">
        <v>20</v>
      </c>
      <c r="C6333">
        <v>10</v>
      </c>
      <c r="D6333" t="s">
        <v>29</v>
      </c>
      <c r="F6333">
        <v>233</v>
      </c>
    </row>
    <row r="6334" spans="1:8" x14ac:dyDescent="0.45">
      <c r="A6334" t="s">
        <v>42</v>
      </c>
      <c r="B6334" t="s">
        <v>20</v>
      </c>
      <c r="C6334">
        <v>10</v>
      </c>
      <c r="D6334" t="s">
        <v>31</v>
      </c>
      <c r="H6334">
        <v>105</v>
      </c>
    </row>
    <row r="6335" spans="1:8" x14ac:dyDescent="0.45">
      <c r="A6335" t="s">
        <v>42</v>
      </c>
      <c r="B6335" t="s">
        <v>20</v>
      </c>
      <c r="C6335">
        <v>10</v>
      </c>
      <c r="D6335" t="s">
        <v>32</v>
      </c>
      <c r="H6335">
        <v>6</v>
      </c>
    </row>
    <row r="6336" spans="1:8" x14ac:dyDescent="0.45">
      <c r="A6336" t="s">
        <v>42</v>
      </c>
      <c r="B6336" t="s">
        <v>20</v>
      </c>
      <c r="C6336">
        <v>10</v>
      </c>
      <c r="D6336" t="s">
        <v>34</v>
      </c>
      <c r="H6336">
        <v>8</v>
      </c>
    </row>
    <row r="6337" spans="1:8" x14ac:dyDescent="0.45">
      <c r="A6337" t="s">
        <v>42</v>
      </c>
      <c r="B6337" t="s">
        <v>21</v>
      </c>
      <c r="C6337">
        <v>11</v>
      </c>
      <c r="D6337" t="s">
        <v>19</v>
      </c>
      <c r="E6337">
        <v>880574</v>
      </c>
      <c r="F6337">
        <v>1889</v>
      </c>
      <c r="G6337">
        <v>493</v>
      </c>
    </row>
    <row r="6338" spans="1:8" x14ac:dyDescent="0.45">
      <c r="A6338" t="s">
        <v>42</v>
      </c>
      <c r="B6338" t="s">
        <v>21</v>
      </c>
      <c r="C6338">
        <v>11</v>
      </c>
      <c r="D6338" t="s">
        <v>27</v>
      </c>
      <c r="F6338">
        <v>855</v>
      </c>
    </row>
    <row r="6339" spans="1:8" x14ac:dyDescent="0.45">
      <c r="A6339" t="s">
        <v>42</v>
      </c>
      <c r="B6339" t="s">
        <v>21</v>
      </c>
      <c r="C6339">
        <v>11</v>
      </c>
      <c r="D6339" t="s">
        <v>28</v>
      </c>
      <c r="F6339">
        <v>328</v>
      </c>
    </row>
    <row r="6340" spans="1:8" x14ac:dyDescent="0.45">
      <c r="A6340" t="s">
        <v>42</v>
      </c>
      <c r="B6340" t="s">
        <v>21</v>
      </c>
      <c r="C6340">
        <v>11</v>
      </c>
      <c r="D6340" t="s">
        <v>29</v>
      </c>
      <c r="F6340">
        <v>226</v>
      </c>
    </row>
    <row r="6341" spans="1:8" x14ac:dyDescent="0.45">
      <c r="A6341" t="s">
        <v>42</v>
      </c>
      <c r="B6341" t="s">
        <v>20</v>
      </c>
      <c r="C6341">
        <v>11</v>
      </c>
      <c r="D6341" t="s">
        <v>19</v>
      </c>
      <c r="E6341">
        <v>855276</v>
      </c>
      <c r="F6341">
        <v>1804</v>
      </c>
      <c r="G6341">
        <v>460</v>
      </c>
    </row>
    <row r="6342" spans="1:8" x14ac:dyDescent="0.45">
      <c r="A6342" t="s">
        <v>42</v>
      </c>
      <c r="B6342" t="s">
        <v>20</v>
      </c>
      <c r="C6342">
        <v>11</v>
      </c>
      <c r="D6342" t="s">
        <v>27</v>
      </c>
      <c r="F6342">
        <v>741</v>
      </c>
    </row>
    <row r="6343" spans="1:8" x14ac:dyDescent="0.45">
      <c r="A6343" t="s">
        <v>42</v>
      </c>
      <c r="B6343" t="s">
        <v>20</v>
      </c>
      <c r="C6343">
        <v>11</v>
      </c>
      <c r="D6343" t="s">
        <v>28</v>
      </c>
      <c r="F6343">
        <v>343</v>
      </c>
    </row>
    <row r="6344" spans="1:8" x14ac:dyDescent="0.45">
      <c r="A6344" t="s">
        <v>42</v>
      </c>
      <c r="B6344" t="s">
        <v>20</v>
      </c>
      <c r="C6344">
        <v>11</v>
      </c>
      <c r="D6344" t="s">
        <v>29</v>
      </c>
      <c r="F6344">
        <v>230</v>
      </c>
    </row>
    <row r="6345" spans="1:8" x14ac:dyDescent="0.45">
      <c r="A6345" t="s">
        <v>42</v>
      </c>
      <c r="B6345" t="s">
        <v>20</v>
      </c>
      <c r="C6345">
        <v>11</v>
      </c>
      <c r="D6345" t="s">
        <v>31</v>
      </c>
      <c r="H6345">
        <v>146</v>
      </c>
    </row>
    <row r="6346" spans="1:8" x14ac:dyDescent="0.45">
      <c r="A6346" t="s">
        <v>42</v>
      </c>
      <c r="B6346" t="s">
        <v>20</v>
      </c>
      <c r="C6346">
        <v>11</v>
      </c>
      <c r="D6346" t="s">
        <v>32</v>
      </c>
      <c r="H6346">
        <v>5</v>
      </c>
    </row>
    <row r="6347" spans="1:8" x14ac:dyDescent="0.45">
      <c r="A6347" t="s">
        <v>42</v>
      </c>
      <c r="B6347" t="s">
        <v>20</v>
      </c>
      <c r="C6347">
        <v>11</v>
      </c>
      <c r="D6347" t="s">
        <v>34</v>
      </c>
      <c r="H6347">
        <v>7</v>
      </c>
    </row>
    <row r="6348" spans="1:8" x14ac:dyDescent="0.45">
      <c r="A6348" t="s">
        <v>42</v>
      </c>
      <c r="B6348" t="s">
        <v>21</v>
      </c>
      <c r="C6348">
        <v>12</v>
      </c>
      <c r="D6348" t="s">
        <v>19</v>
      </c>
      <c r="E6348">
        <v>952961</v>
      </c>
      <c r="F6348">
        <v>2191</v>
      </c>
      <c r="G6348">
        <v>521</v>
      </c>
    </row>
    <row r="6349" spans="1:8" x14ac:dyDescent="0.45">
      <c r="A6349" t="s">
        <v>42</v>
      </c>
      <c r="B6349" t="s">
        <v>21</v>
      </c>
      <c r="C6349">
        <v>12</v>
      </c>
      <c r="D6349" t="s">
        <v>27</v>
      </c>
      <c r="F6349">
        <v>891</v>
      </c>
    </row>
    <row r="6350" spans="1:8" x14ac:dyDescent="0.45">
      <c r="A6350" t="s">
        <v>42</v>
      </c>
      <c r="B6350" t="s">
        <v>21</v>
      </c>
      <c r="C6350">
        <v>12</v>
      </c>
      <c r="D6350" t="s">
        <v>28</v>
      </c>
      <c r="F6350">
        <v>377</v>
      </c>
    </row>
    <row r="6351" spans="1:8" x14ac:dyDescent="0.45">
      <c r="A6351" t="s">
        <v>42</v>
      </c>
      <c r="B6351" t="s">
        <v>21</v>
      </c>
      <c r="C6351">
        <v>12</v>
      </c>
      <c r="D6351" t="s">
        <v>29</v>
      </c>
      <c r="F6351">
        <v>257</v>
      </c>
    </row>
    <row r="6352" spans="1:8" x14ac:dyDescent="0.45">
      <c r="A6352" t="s">
        <v>42</v>
      </c>
      <c r="B6352" t="s">
        <v>20</v>
      </c>
      <c r="C6352">
        <v>12</v>
      </c>
      <c r="D6352" t="s">
        <v>19</v>
      </c>
      <c r="E6352">
        <v>926945</v>
      </c>
      <c r="F6352">
        <v>2063</v>
      </c>
      <c r="G6352">
        <v>517</v>
      </c>
    </row>
    <row r="6353" spans="1:8" x14ac:dyDescent="0.45">
      <c r="A6353" t="s">
        <v>42</v>
      </c>
      <c r="B6353" t="s">
        <v>20</v>
      </c>
      <c r="C6353">
        <v>12</v>
      </c>
      <c r="D6353" t="s">
        <v>27</v>
      </c>
      <c r="F6353">
        <v>841</v>
      </c>
    </row>
    <row r="6354" spans="1:8" x14ac:dyDescent="0.45">
      <c r="A6354" t="s">
        <v>42</v>
      </c>
      <c r="B6354" t="s">
        <v>20</v>
      </c>
      <c r="C6354">
        <v>12</v>
      </c>
      <c r="D6354" t="s">
        <v>28</v>
      </c>
      <c r="F6354">
        <v>369</v>
      </c>
    </row>
    <row r="6355" spans="1:8" x14ac:dyDescent="0.45">
      <c r="A6355" t="s">
        <v>42</v>
      </c>
      <c r="B6355" t="s">
        <v>20</v>
      </c>
      <c r="C6355">
        <v>12</v>
      </c>
      <c r="D6355" t="s">
        <v>29</v>
      </c>
      <c r="F6355">
        <v>263</v>
      </c>
    </row>
    <row r="6356" spans="1:8" x14ac:dyDescent="0.45">
      <c r="A6356" t="s">
        <v>42</v>
      </c>
      <c r="B6356" t="s">
        <v>20</v>
      </c>
      <c r="C6356">
        <v>12</v>
      </c>
      <c r="D6356" t="s">
        <v>31</v>
      </c>
      <c r="H6356">
        <v>56</v>
      </c>
    </row>
    <row r="6357" spans="1:8" x14ac:dyDescent="0.45">
      <c r="A6357" t="s">
        <v>42</v>
      </c>
      <c r="B6357" t="s">
        <v>20</v>
      </c>
      <c r="C6357">
        <v>12</v>
      </c>
      <c r="D6357" t="s">
        <v>32</v>
      </c>
      <c r="H6357">
        <v>8</v>
      </c>
    </row>
    <row r="6358" spans="1:8" x14ac:dyDescent="0.45">
      <c r="A6358" t="s">
        <v>42</v>
      </c>
      <c r="B6358" t="s">
        <v>20</v>
      </c>
      <c r="C6358">
        <v>12</v>
      </c>
      <c r="D6358" t="s">
        <v>34</v>
      </c>
      <c r="H6358">
        <v>8</v>
      </c>
    </row>
    <row r="6359" spans="1:8" x14ac:dyDescent="0.45">
      <c r="A6359" t="s">
        <v>46</v>
      </c>
      <c r="B6359" t="s">
        <v>21</v>
      </c>
      <c r="C6359">
        <v>1</v>
      </c>
      <c r="D6359" t="s">
        <v>19</v>
      </c>
      <c r="E6359">
        <v>1617550</v>
      </c>
      <c r="F6359">
        <v>3145</v>
      </c>
      <c r="G6359">
        <v>830</v>
      </c>
    </row>
    <row r="6360" spans="1:8" x14ac:dyDescent="0.45">
      <c r="A6360" t="s">
        <v>46</v>
      </c>
      <c r="B6360" t="s">
        <v>21</v>
      </c>
      <c r="C6360">
        <v>1</v>
      </c>
      <c r="D6360" t="s">
        <v>27</v>
      </c>
      <c r="F6360">
        <v>1176</v>
      </c>
    </row>
    <row r="6361" spans="1:8" x14ac:dyDescent="0.45">
      <c r="A6361" t="s">
        <v>46</v>
      </c>
      <c r="B6361" t="s">
        <v>21</v>
      </c>
      <c r="C6361">
        <v>1</v>
      </c>
      <c r="D6361" t="s">
        <v>28</v>
      </c>
      <c r="F6361">
        <v>522</v>
      </c>
    </row>
    <row r="6362" spans="1:8" x14ac:dyDescent="0.45">
      <c r="A6362" t="s">
        <v>46</v>
      </c>
      <c r="B6362" t="s">
        <v>21</v>
      </c>
      <c r="C6362">
        <v>1</v>
      </c>
      <c r="D6362" t="s">
        <v>29</v>
      </c>
      <c r="F6362">
        <v>361</v>
      </c>
    </row>
    <row r="6363" spans="1:8" x14ac:dyDescent="0.45">
      <c r="A6363" t="s">
        <v>46</v>
      </c>
      <c r="B6363" t="s">
        <v>20</v>
      </c>
      <c r="C6363">
        <v>1</v>
      </c>
      <c r="D6363" t="s">
        <v>19</v>
      </c>
      <c r="E6363">
        <v>1550086</v>
      </c>
      <c r="F6363">
        <v>2811</v>
      </c>
      <c r="G6363">
        <v>788</v>
      </c>
    </row>
    <row r="6364" spans="1:8" x14ac:dyDescent="0.45">
      <c r="A6364" t="s">
        <v>46</v>
      </c>
      <c r="B6364" t="s">
        <v>20</v>
      </c>
      <c r="C6364">
        <v>1</v>
      </c>
      <c r="D6364" t="s">
        <v>27</v>
      </c>
      <c r="F6364">
        <v>931</v>
      </c>
    </row>
    <row r="6365" spans="1:8" x14ac:dyDescent="0.45">
      <c r="A6365" t="s">
        <v>46</v>
      </c>
      <c r="B6365" t="s">
        <v>20</v>
      </c>
      <c r="C6365">
        <v>1</v>
      </c>
      <c r="D6365" t="s">
        <v>28</v>
      </c>
      <c r="F6365">
        <v>531</v>
      </c>
    </row>
    <row r="6366" spans="1:8" x14ac:dyDescent="0.45">
      <c r="A6366" t="s">
        <v>46</v>
      </c>
      <c r="B6366" t="s">
        <v>20</v>
      </c>
      <c r="C6366">
        <v>1</v>
      </c>
      <c r="D6366" t="s">
        <v>29</v>
      </c>
      <c r="F6366">
        <v>364</v>
      </c>
    </row>
    <row r="6367" spans="1:8" x14ac:dyDescent="0.45">
      <c r="A6367" t="s">
        <v>46</v>
      </c>
      <c r="B6367" t="s">
        <v>20</v>
      </c>
      <c r="C6367">
        <v>1</v>
      </c>
      <c r="D6367" t="s">
        <v>31</v>
      </c>
      <c r="H6367">
        <v>149</v>
      </c>
    </row>
    <row r="6368" spans="1:8" x14ac:dyDescent="0.45">
      <c r="A6368" t="s">
        <v>46</v>
      </c>
      <c r="B6368" t="s">
        <v>20</v>
      </c>
      <c r="C6368">
        <v>1</v>
      </c>
      <c r="D6368" t="s">
        <v>32</v>
      </c>
      <c r="H6368">
        <v>10</v>
      </c>
    </row>
    <row r="6369" spans="1:8" x14ac:dyDescent="0.45">
      <c r="A6369" t="s">
        <v>46</v>
      </c>
      <c r="B6369" t="s">
        <v>20</v>
      </c>
      <c r="C6369">
        <v>1</v>
      </c>
      <c r="D6369" t="s">
        <v>34</v>
      </c>
    </row>
    <row r="6370" spans="1:8" x14ac:dyDescent="0.45">
      <c r="A6370" t="s">
        <v>46</v>
      </c>
      <c r="B6370" t="s">
        <v>21</v>
      </c>
      <c r="C6370">
        <v>2</v>
      </c>
      <c r="D6370" t="s">
        <v>19</v>
      </c>
      <c r="E6370">
        <v>1375302</v>
      </c>
      <c r="F6370">
        <v>2664</v>
      </c>
      <c r="G6370">
        <v>754</v>
      </c>
    </row>
    <row r="6371" spans="1:8" x14ac:dyDescent="0.45">
      <c r="A6371" t="s">
        <v>46</v>
      </c>
      <c r="B6371" t="s">
        <v>21</v>
      </c>
      <c r="C6371">
        <v>2</v>
      </c>
      <c r="D6371" t="s">
        <v>27</v>
      </c>
      <c r="F6371">
        <v>1161</v>
      </c>
    </row>
    <row r="6372" spans="1:8" x14ac:dyDescent="0.45">
      <c r="A6372" t="s">
        <v>46</v>
      </c>
      <c r="B6372" t="s">
        <v>21</v>
      </c>
      <c r="C6372">
        <v>2</v>
      </c>
      <c r="D6372" t="s">
        <v>28</v>
      </c>
      <c r="F6372">
        <v>451</v>
      </c>
    </row>
    <row r="6373" spans="1:8" x14ac:dyDescent="0.45">
      <c r="A6373" t="s">
        <v>46</v>
      </c>
      <c r="B6373" t="s">
        <v>21</v>
      </c>
      <c r="C6373">
        <v>2</v>
      </c>
      <c r="D6373" t="s">
        <v>29</v>
      </c>
      <c r="F6373">
        <v>308</v>
      </c>
    </row>
    <row r="6374" spans="1:8" x14ac:dyDescent="0.45">
      <c r="A6374" t="s">
        <v>46</v>
      </c>
      <c r="B6374" t="s">
        <v>20</v>
      </c>
      <c r="C6374">
        <v>2</v>
      </c>
      <c r="D6374" t="s">
        <v>19</v>
      </c>
      <c r="E6374">
        <v>1400695</v>
      </c>
      <c r="F6374">
        <v>2308</v>
      </c>
      <c r="G6374">
        <v>663</v>
      </c>
    </row>
    <row r="6375" spans="1:8" x14ac:dyDescent="0.45">
      <c r="A6375" t="s">
        <v>46</v>
      </c>
      <c r="B6375" t="s">
        <v>20</v>
      </c>
      <c r="C6375">
        <v>2</v>
      </c>
      <c r="D6375" t="s">
        <v>27</v>
      </c>
      <c r="F6375">
        <v>877</v>
      </c>
    </row>
    <row r="6376" spans="1:8" x14ac:dyDescent="0.45">
      <c r="A6376" t="s">
        <v>46</v>
      </c>
      <c r="B6376" t="s">
        <v>20</v>
      </c>
      <c r="C6376">
        <v>2</v>
      </c>
      <c r="D6376" t="s">
        <v>28</v>
      </c>
      <c r="F6376">
        <v>437</v>
      </c>
    </row>
    <row r="6377" spans="1:8" x14ac:dyDescent="0.45">
      <c r="A6377" t="s">
        <v>46</v>
      </c>
      <c r="B6377" t="s">
        <v>20</v>
      </c>
      <c r="C6377">
        <v>2</v>
      </c>
      <c r="D6377" t="s">
        <v>29</v>
      </c>
      <c r="F6377">
        <v>295</v>
      </c>
    </row>
    <row r="6378" spans="1:8" x14ac:dyDescent="0.45">
      <c r="A6378" t="s">
        <v>46</v>
      </c>
      <c r="B6378" t="s">
        <v>20</v>
      </c>
      <c r="C6378">
        <v>2</v>
      </c>
      <c r="D6378" t="s">
        <v>31</v>
      </c>
      <c r="H6378">
        <v>112</v>
      </c>
    </row>
    <row r="6379" spans="1:8" x14ac:dyDescent="0.45">
      <c r="A6379" t="s">
        <v>46</v>
      </c>
      <c r="B6379" t="s">
        <v>20</v>
      </c>
      <c r="C6379">
        <v>2</v>
      </c>
      <c r="D6379" t="s">
        <v>32</v>
      </c>
      <c r="H6379">
        <v>15</v>
      </c>
    </row>
    <row r="6380" spans="1:8" x14ac:dyDescent="0.45">
      <c r="A6380" t="s">
        <v>46</v>
      </c>
      <c r="B6380" t="s">
        <v>20</v>
      </c>
      <c r="C6380">
        <v>2</v>
      </c>
      <c r="D6380" t="s">
        <v>34</v>
      </c>
      <c r="H6380">
        <v>24</v>
      </c>
    </row>
    <row r="6381" spans="1:8" x14ac:dyDescent="0.45">
      <c r="A6381" t="s">
        <v>46</v>
      </c>
      <c r="B6381" t="s">
        <v>21</v>
      </c>
      <c r="C6381">
        <v>3</v>
      </c>
      <c r="D6381" t="s">
        <v>19</v>
      </c>
      <c r="E6381">
        <v>3183885</v>
      </c>
      <c r="F6381">
        <v>5192</v>
      </c>
      <c r="G6381">
        <v>1267</v>
      </c>
    </row>
    <row r="6382" spans="1:8" x14ac:dyDescent="0.45">
      <c r="A6382" t="s">
        <v>46</v>
      </c>
      <c r="B6382" t="s">
        <v>21</v>
      </c>
      <c r="C6382">
        <v>3</v>
      </c>
      <c r="D6382" t="s">
        <v>27</v>
      </c>
      <c r="F6382">
        <v>1474</v>
      </c>
    </row>
    <row r="6383" spans="1:8" x14ac:dyDescent="0.45">
      <c r="A6383" t="s">
        <v>46</v>
      </c>
      <c r="B6383" t="s">
        <v>21</v>
      </c>
      <c r="C6383">
        <v>3</v>
      </c>
      <c r="D6383" t="s">
        <v>28</v>
      </c>
      <c r="F6383">
        <v>805</v>
      </c>
    </row>
    <row r="6384" spans="1:8" x14ac:dyDescent="0.45">
      <c r="A6384" t="s">
        <v>46</v>
      </c>
      <c r="B6384" t="s">
        <v>21</v>
      </c>
      <c r="C6384">
        <v>3</v>
      </c>
      <c r="D6384" t="s">
        <v>29</v>
      </c>
      <c r="F6384">
        <v>669</v>
      </c>
    </row>
    <row r="6385" spans="1:8" x14ac:dyDescent="0.45">
      <c r="A6385" t="s">
        <v>46</v>
      </c>
      <c r="B6385" t="s">
        <v>20</v>
      </c>
      <c r="C6385">
        <v>3</v>
      </c>
      <c r="D6385" t="s">
        <v>19</v>
      </c>
      <c r="E6385">
        <v>2679065</v>
      </c>
      <c r="F6385">
        <v>4187</v>
      </c>
    </row>
    <row r="6386" spans="1:8" x14ac:dyDescent="0.45">
      <c r="A6386" t="s">
        <v>46</v>
      </c>
      <c r="B6386" t="s">
        <v>20</v>
      </c>
      <c r="C6386">
        <v>3</v>
      </c>
      <c r="D6386" t="s">
        <v>27</v>
      </c>
      <c r="F6386">
        <v>1171</v>
      </c>
    </row>
    <row r="6387" spans="1:8" x14ac:dyDescent="0.45">
      <c r="A6387" t="s">
        <v>46</v>
      </c>
      <c r="B6387" t="s">
        <v>20</v>
      </c>
      <c r="C6387">
        <v>3</v>
      </c>
      <c r="D6387" t="s">
        <v>28</v>
      </c>
      <c r="F6387">
        <v>723</v>
      </c>
    </row>
    <row r="6388" spans="1:8" x14ac:dyDescent="0.45">
      <c r="A6388" t="s">
        <v>46</v>
      </c>
      <c r="B6388" t="s">
        <v>20</v>
      </c>
      <c r="C6388">
        <v>3</v>
      </c>
      <c r="D6388" t="s">
        <v>29</v>
      </c>
      <c r="F6388">
        <v>598</v>
      </c>
    </row>
    <row r="6389" spans="1:8" x14ac:dyDescent="0.45">
      <c r="A6389" t="s">
        <v>46</v>
      </c>
      <c r="B6389" t="s">
        <v>20</v>
      </c>
      <c r="C6389">
        <v>3</v>
      </c>
      <c r="D6389" t="s">
        <v>31</v>
      </c>
      <c r="H6389">
        <v>181</v>
      </c>
    </row>
    <row r="6390" spans="1:8" x14ac:dyDescent="0.45">
      <c r="A6390" t="s">
        <v>46</v>
      </c>
      <c r="B6390" t="s">
        <v>20</v>
      </c>
      <c r="C6390">
        <v>3</v>
      </c>
      <c r="D6390" t="s">
        <v>32</v>
      </c>
      <c r="H6390">
        <v>21</v>
      </c>
    </row>
    <row r="6391" spans="1:8" x14ac:dyDescent="0.45">
      <c r="A6391" t="s">
        <v>46</v>
      </c>
      <c r="B6391" t="s">
        <v>20</v>
      </c>
      <c r="C6391">
        <v>3</v>
      </c>
      <c r="D6391" t="s">
        <v>34</v>
      </c>
      <c r="H6391">
        <v>30</v>
      </c>
    </row>
    <row r="6392" spans="1:8" x14ac:dyDescent="0.45">
      <c r="A6392" t="s">
        <v>46</v>
      </c>
      <c r="B6392" t="s">
        <v>21</v>
      </c>
      <c r="C6392">
        <v>4</v>
      </c>
      <c r="D6392" t="s">
        <v>19</v>
      </c>
      <c r="E6392">
        <v>4105855</v>
      </c>
      <c r="F6392">
        <v>6073</v>
      </c>
      <c r="G6392">
        <v>1414</v>
      </c>
    </row>
    <row r="6393" spans="1:8" x14ac:dyDescent="0.45">
      <c r="A6393" t="s">
        <v>46</v>
      </c>
      <c r="B6393" t="s">
        <v>21</v>
      </c>
      <c r="C6393">
        <v>4</v>
      </c>
      <c r="D6393" t="s">
        <v>27</v>
      </c>
      <c r="F6393">
        <v>1474</v>
      </c>
    </row>
    <row r="6394" spans="1:8" x14ac:dyDescent="0.45">
      <c r="A6394" t="s">
        <v>46</v>
      </c>
      <c r="B6394" t="s">
        <v>21</v>
      </c>
      <c r="C6394">
        <v>4</v>
      </c>
      <c r="D6394" t="s">
        <v>28</v>
      </c>
      <c r="F6394">
        <v>867</v>
      </c>
    </row>
    <row r="6395" spans="1:8" x14ac:dyDescent="0.45">
      <c r="A6395" t="s">
        <v>46</v>
      </c>
      <c r="B6395" t="s">
        <v>21</v>
      </c>
      <c r="C6395">
        <v>4</v>
      </c>
      <c r="D6395" t="s">
        <v>29</v>
      </c>
      <c r="F6395">
        <v>700</v>
      </c>
    </row>
    <row r="6396" spans="1:8" x14ac:dyDescent="0.45">
      <c r="A6396" t="s">
        <v>46</v>
      </c>
      <c r="B6396" t="s">
        <v>20</v>
      </c>
      <c r="C6396">
        <v>4</v>
      </c>
      <c r="D6396" t="s">
        <v>19</v>
      </c>
      <c r="E6396">
        <v>4263445</v>
      </c>
      <c r="F6396">
        <v>6129</v>
      </c>
      <c r="G6396">
        <v>1414</v>
      </c>
    </row>
    <row r="6397" spans="1:8" x14ac:dyDescent="0.45">
      <c r="A6397" t="s">
        <v>46</v>
      </c>
      <c r="B6397" t="s">
        <v>20</v>
      </c>
      <c r="C6397">
        <v>4</v>
      </c>
      <c r="D6397" t="s">
        <v>27</v>
      </c>
      <c r="F6397">
        <v>1270</v>
      </c>
    </row>
    <row r="6398" spans="1:8" x14ac:dyDescent="0.45">
      <c r="A6398" t="s">
        <v>46</v>
      </c>
      <c r="B6398" t="s">
        <v>20</v>
      </c>
      <c r="C6398">
        <v>4</v>
      </c>
      <c r="D6398" t="s">
        <v>28</v>
      </c>
      <c r="F6398">
        <v>899</v>
      </c>
    </row>
    <row r="6399" spans="1:8" x14ac:dyDescent="0.45">
      <c r="A6399" t="s">
        <v>46</v>
      </c>
      <c r="B6399" t="s">
        <v>20</v>
      </c>
      <c r="C6399">
        <v>4</v>
      </c>
      <c r="D6399" t="s">
        <v>29</v>
      </c>
      <c r="F6399">
        <v>790</v>
      </c>
    </row>
    <row r="6400" spans="1:8" x14ac:dyDescent="0.45">
      <c r="A6400" t="s">
        <v>46</v>
      </c>
      <c r="B6400" t="s">
        <v>20</v>
      </c>
      <c r="C6400">
        <v>4</v>
      </c>
      <c r="D6400" t="s">
        <v>31</v>
      </c>
      <c r="H6400">
        <v>135</v>
      </c>
    </row>
    <row r="6401" spans="1:8" x14ac:dyDescent="0.45">
      <c r="A6401" t="s">
        <v>46</v>
      </c>
      <c r="B6401" t="s">
        <v>20</v>
      </c>
      <c r="C6401">
        <v>4</v>
      </c>
      <c r="D6401" t="s">
        <v>32</v>
      </c>
      <c r="H6401">
        <v>23</v>
      </c>
    </row>
    <row r="6402" spans="1:8" x14ac:dyDescent="0.45">
      <c r="A6402" t="s">
        <v>46</v>
      </c>
      <c r="B6402" t="s">
        <v>20</v>
      </c>
      <c r="C6402">
        <v>4</v>
      </c>
      <c r="D6402" t="s">
        <v>34</v>
      </c>
      <c r="H6402">
        <v>30</v>
      </c>
    </row>
    <row r="6403" spans="1:8" x14ac:dyDescent="0.45">
      <c r="A6403" t="s">
        <v>46</v>
      </c>
      <c r="B6403" t="s">
        <v>21</v>
      </c>
      <c r="C6403">
        <v>5</v>
      </c>
      <c r="D6403" t="s">
        <v>19</v>
      </c>
      <c r="E6403">
        <v>3303895</v>
      </c>
      <c r="F6403">
        <v>4914</v>
      </c>
      <c r="G6403">
        <v>1112</v>
      </c>
      <c r="H6403">
        <v>2</v>
      </c>
    </row>
    <row r="6404" spans="1:8" x14ac:dyDescent="0.45">
      <c r="A6404" t="s">
        <v>46</v>
      </c>
      <c r="B6404" t="s">
        <v>21</v>
      </c>
      <c r="C6404">
        <v>5</v>
      </c>
      <c r="D6404" t="s">
        <v>27</v>
      </c>
      <c r="F6404">
        <v>1284</v>
      </c>
    </row>
    <row r="6405" spans="1:8" x14ac:dyDescent="0.45">
      <c r="A6405" t="s">
        <v>46</v>
      </c>
      <c r="B6405" t="s">
        <v>21</v>
      </c>
      <c r="C6405">
        <v>5</v>
      </c>
      <c r="D6405" t="s">
        <v>28</v>
      </c>
      <c r="F6405">
        <v>760</v>
      </c>
    </row>
    <row r="6406" spans="1:8" x14ac:dyDescent="0.45">
      <c r="A6406" t="s">
        <v>46</v>
      </c>
      <c r="B6406" t="s">
        <v>21</v>
      </c>
      <c r="C6406">
        <v>5</v>
      </c>
      <c r="D6406" t="s">
        <v>29</v>
      </c>
      <c r="F6406">
        <v>542</v>
      </c>
    </row>
    <row r="6407" spans="1:8" x14ac:dyDescent="0.45">
      <c r="A6407" t="s">
        <v>46</v>
      </c>
      <c r="B6407" t="s">
        <v>20</v>
      </c>
      <c r="C6407">
        <v>5</v>
      </c>
      <c r="D6407" t="s">
        <v>19</v>
      </c>
      <c r="E6407">
        <v>3020437</v>
      </c>
      <c r="F6407">
        <v>4438</v>
      </c>
      <c r="G6407">
        <v>1102</v>
      </c>
    </row>
    <row r="6408" spans="1:8" x14ac:dyDescent="0.45">
      <c r="A6408" t="s">
        <v>46</v>
      </c>
      <c r="B6408" t="s">
        <v>20</v>
      </c>
      <c r="C6408">
        <v>5</v>
      </c>
      <c r="D6408" t="s">
        <v>27</v>
      </c>
      <c r="F6408">
        <v>1126</v>
      </c>
    </row>
    <row r="6409" spans="1:8" x14ac:dyDescent="0.45">
      <c r="A6409" t="s">
        <v>46</v>
      </c>
      <c r="B6409" t="s">
        <v>20</v>
      </c>
      <c r="C6409">
        <v>5</v>
      </c>
      <c r="D6409" t="s">
        <v>28</v>
      </c>
      <c r="F6409">
        <v>668</v>
      </c>
    </row>
    <row r="6410" spans="1:8" x14ac:dyDescent="0.45">
      <c r="A6410" t="s">
        <v>46</v>
      </c>
      <c r="B6410" t="s">
        <v>20</v>
      </c>
      <c r="C6410">
        <v>5</v>
      </c>
      <c r="D6410" t="s">
        <v>29</v>
      </c>
      <c r="F6410">
        <v>543</v>
      </c>
    </row>
    <row r="6411" spans="1:8" x14ac:dyDescent="0.45">
      <c r="A6411" t="s">
        <v>46</v>
      </c>
      <c r="B6411" t="s">
        <v>20</v>
      </c>
      <c r="C6411">
        <v>5</v>
      </c>
      <c r="D6411" t="s">
        <v>31</v>
      </c>
      <c r="H6411">
        <v>143</v>
      </c>
    </row>
    <row r="6412" spans="1:8" x14ac:dyDescent="0.45">
      <c r="A6412" t="s">
        <v>46</v>
      </c>
      <c r="B6412" t="s">
        <v>20</v>
      </c>
      <c r="C6412">
        <v>5</v>
      </c>
      <c r="D6412" t="s">
        <v>32</v>
      </c>
      <c r="H6412">
        <v>21</v>
      </c>
    </row>
    <row r="6413" spans="1:8" x14ac:dyDescent="0.45">
      <c r="A6413" t="s">
        <v>46</v>
      </c>
      <c r="B6413" t="s">
        <v>20</v>
      </c>
      <c r="C6413">
        <v>5</v>
      </c>
      <c r="D6413" t="s">
        <v>34</v>
      </c>
      <c r="H6413">
        <v>32</v>
      </c>
    </row>
    <row r="6414" spans="1:8" x14ac:dyDescent="0.45">
      <c r="A6414" t="s">
        <v>46</v>
      </c>
      <c r="B6414" t="s">
        <v>21</v>
      </c>
      <c r="C6414">
        <v>6</v>
      </c>
      <c r="D6414" t="s">
        <v>19</v>
      </c>
      <c r="E6414">
        <v>3034963</v>
      </c>
      <c r="F6414">
        <v>4824</v>
      </c>
      <c r="G6414">
        <v>1171</v>
      </c>
    </row>
    <row r="6415" spans="1:8" x14ac:dyDescent="0.45">
      <c r="A6415" t="s">
        <v>46</v>
      </c>
      <c r="B6415" t="s">
        <v>21</v>
      </c>
      <c r="C6415">
        <v>6</v>
      </c>
      <c r="D6415" t="s">
        <v>27</v>
      </c>
      <c r="F6415">
        <v>1434</v>
      </c>
    </row>
    <row r="6416" spans="1:8" x14ac:dyDescent="0.45">
      <c r="A6416" t="s">
        <v>46</v>
      </c>
      <c r="B6416" t="s">
        <v>21</v>
      </c>
      <c r="C6416">
        <v>6</v>
      </c>
      <c r="D6416" t="s">
        <v>28</v>
      </c>
      <c r="F6416">
        <v>750</v>
      </c>
    </row>
    <row r="6417" spans="1:8" x14ac:dyDescent="0.45">
      <c r="A6417" t="s">
        <v>46</v>
      </c>
      <c r="B6417" t="s">
        <v>21</v>
      </c>
      <c r="C6417">
        <v>6</v>
      </c>
      <c r="D6417" t="s">
        <v>29</v>
      </c>
      <c r="F6417">
        <v>628</v>
      </c>
    </row>
    <row r="6418" spans="1:8" x14ac:dyDescent="0.45">
      <c r="A6418" t="s">
        <v>46</v>
      </c>
      <c r="B6418" t="s">
        <v>20</v>
      </c>
      <c r="C6418">
        <v>6</v>
      </c>
      <c r="D6418" t="s">
        <v>19</v>
      </c>
      <c r="E6418">
        <v>3048466</v>
      </c>
      <c r="F6418">
        <v>4430</v>
      </c>
      <c r="G6418">
        <v>1102</v>
      </c>
    </row>
    <row r="6419" spans="1:8" x14ac:dyDescent="0.45">
      <c r="A6419" t="s">
        <v>46</v>
      </c>
      <c r="B6419" t="s">
        <v>20</v>
      </c>
      <c r="C6419">
        <v>6</v>
      </c>
      <c r="D6419" t="s">
        <v>27</v>
      </c>
      <c r="F6419">
        <v>1289</v>
      </c>
    </row>
    <row r="6420" spans="1:8" x14ac:dyDescent="0.45">
      <c r="A6420" t="s">
        <v>46</v>
      </c>
      <c r="B6420" t="s">
        <v>20</v>
      </c>
      <c r="C6420">
        <v>6</v>
      </c>
      <c r="D6420" t="s">
        <v>28</v>
      </c>
      <c r="F6420">
        <v>752</v>
      </c>
    </row>
    <row r="6421" spans="1:8" x14ac:dyDescent="0.45">
      <c r="A6421" t="s">
        <v>46</v>
      </c>
      <c r="B6421" t="s">
        <v>20</v>
      </c>
      <c r="C6421">
        <v>6</v>
      </c>
      <c r="D6421" t="s">
        <v>29</v>
      </c>
      <c r="F6421">
        <v>553</v>
      </c>
    </row>
    <row r="6422" spans="1:8" x14ac:dyDescent="0.45">
      <c r="A6422" t="s">
        <v>46</v>
      </c>
      <c r="B6422" t="s">
        <v>20</v>
      </c>
      <c r="C6422">
        <v>6</v>
      </c>
      <c r="D6422" t="s">
        <v>31</v>
      </c>
      <c r="H6422">
        <v>118</v>
      </c>
    </row>
    <row r="6423" spans="1:8" x14ac:dyDescent="0.45">
      <c r="A6423" t="s">
        <v>46</v>
      </c>
      <c r="B6423" t="s">
        <v>20</v>
      </c>
      <c r="C6423">
        <v>6</v>
      </c>
      <c r="D6423" t="s">
        <v>32</v>
      </c>
      <c r="H6423">
        <v>14</v>
      </c>
    </row>
    <row r="6424" spans="1:8" x14ac:dyDescent="0.45">
      <c r="A6424" t="s">
        <v>46</v>
      </c>
      <c r="B6424" t="s">
        <v>20</v>
      </c>
      <c r="C6424">
        <v>6</v>
      </c>
      <c r="D6424" t="s">
        <v>34</v>
      </c>
      <c r="H6424">
        <v>26</v>
      </c>
    </row>
    <row r="6425" spans="1:8" x14ac:dyDescent="0.45">
      <c r="A6425" t="s">
        <v>46</v>
      </c>
      <c r="B6425" t="s">
        <v>21</v>
      </c>
      <c r="C6425">
        <v>7</v>
      </c>
      <c r="D6425" t="s">
        <v>19</v>
      </c>
      <c r="E6425">
        <v>2391292</v>
      </c>
      <c r="F6425">
        <v>3997</v>
      </c>
    </row>
    <row r="6426" spans="1:8" x14ac:dyDescent="0.45">
      <c r="A6426" t="s">
        <v>46</v>
      </c>
      <c r="B6426" t="s">
        <v>21</v>
      </c>
      <c r="C6426">
        <v>7</v>
      </c>
      <c r="D6426" t="s">
        <v>27</v>
      </c>
      <c r="F6426">
        <v>1406</v>
      </c>
    </row>
    <row r="6427" spans="1:8" x14ac:dyDescent="0.45">
      <c r="A6427" t="s">
        <v>46</v>
      </c>
      <c r="B6427" t="s">
        <v>21</v>
      </c>
      <c r="C6427">
        <v>7</v>
      </c>
      <c r="D6427" t="s">
        <v>28</v>
      </c>
      <c r="F6427">
        <v>638</v>
      </c>
    </row>
    <row r="6428" spans="1:8" x14ac:dyDescent="0.45">
      <c r="A6428" t="s">
        <v>46</v>
      </c>
      <c r="B6428" t="s">
        <v>21</v>
      </c>
      <c r="C6428">
        <v>7</v>
      </c>
      <c r="D6428" t="s">
        <v>29</v>
      </c>
      <c r="F6428">
        <v>413</v>
      </c>
    </row>
    <row r="6429" spans="1:8" x14ac:dyDescent="0.45">
      <c r="A6429" t="s">
        <v>46</v>
      </c>
      <c r="B6429" t="s">
        <v>20</v>
      </c>
      <c r="C6429">
        <v>7</v>
      </c>
      <c r="D6429" t="s">
        <v>19</v>
      </c>
      <c r="E6429">
        <v>2410696</v>
      </c>
      <c r="F6429">
        <v>3765</v>
      </c>
    </row>
    <row r="6430" spans="1:8" x14ac:dyDescent="0.45">
      <c r="A6430" t="s">
        <v>46</v>
      </c>
      <c r="B6430" t="s">
        <v>20</v>
      </c>
      <c r="C6430">
        <v>7</v>
      </c>
      <c r="D6430" t="s">
        <v>27</v>
      </c>
      <c r="F6430">
        <v>1124</v>
      </c>
    </row>
    <row r="6431" spans="1:8" x14ac:dyDescent="0.45">
      <c r="A6431" t="s">
        <v>46</v>
      </c>
      <c r="B6431" t="s">
        <v>20</v>
      </c>
      <c r="C6431">
        <v>7</v>
      </c>
      <c r="D6431" t="s">
        <v>28</v>
      </c>
      <c r="F6431">
        <v>684</v>
      </c>
    </row>
    <row r="6432" spans="1:8" x14ac:dyDescent="0.45">
      <c r="A6432" t="s">
        <v>46</v>
      </c>
      <c r="B6432" t="s">
        <v>20</v>
      </c>
      <c r="C6432">
        <v>7</v>
      </c>
      <c r="D6432" t="s">
        <v>29</v>
      </c>
      <c r="F6432">
        <v>460</v>
      </c>
    </row>
    <row r="6433" spans="1:8" x14ac:dyDescent="0.45">
      <c r="A6433" t="s">
        <v>46</v>
      </c>
      <c r="B6433" t="s">
        <v>20</v>
      </c>
      <c r="C6433">
        <v>7</v>
      </c>
      <c r="D6433" t="s">
        <v>31</v>
      </c>
      <c r="H6433">
        <v>243</v>
      </c>
    </row>
    <row r="6434" spans="1:8" x14ac:dyDescent="0.45">
      <c r="A6434" t="s">
        <v>46</v>
      </c>
      <c r="B6434" t="s">
        <v>20</v>
      </c>
      <c r="C6434">
        <v>7</v>
      </c>
      <c r="D6434" t="s">
        <v>32</v>
      </c>
      <c r="H6434">
        <v>3</v>
      </c>
    </row>
    <row r="6435" spans="1:8" x14ac:dyDescent="0.45">
      <c r="A6435" t="s">
        <v>46</v>
      </c>
      <c r="B6435" t="s">
        <v>20</v>
      </c>
      <c r="C6435">
        <v>7</v>
      </c>
      <c r="D6435" t="s">
        <v>34</v>
      </c>
      <c r="H6435">
        <v>30</v>
      </c>
    </row>
    <row r="6436" spans="1:8" x14ac:dyDescent="0.45">
      <c r="A6436" t="s">
        <v>46</v>
      </c>
      <c r="B6436" t="s">
        <v>21</v>
      </c>
      <c r="C6436">
        <v>8</v>
      </c>
      <c r="D6436" t="s">
        <v>19</v>
      </c>
      <c r="E6436">
        <v>1850143</v>
      </c>
      <c r="F6436">
        <v>3243</v>
      </c>
    </row>
    <row r="6437" spans="1:8" x14ac:dyDescent="0.45">
      <c r="A6437" t="s">
        <v>46</v>
      </c>
      <c r="B6437" t="s">
        <v>21</v>
      </c>
      <c r="C6437">
        <v>8</v>
      </c>
      <c r="D6437" t="s">
        <v>27</v>
      </c>
      <c r="F6437">
        <v>1118</v>
      </c>
      <c r="G6437">
        <v>790</v>
      </c>
    </row>
    <row r="6438" spans="1:8" x14ac:dyDescent="0.45">
      <c r="A6438" t="s">
        <v>46</v>
      </c>
      <c r="B6438" t="s">
        <v>21</v>
      </c>
      <c r="C6438">
        <v>8</v>
      </c>
      <c r="D6438" t="s">
        <v>28</v>
      </c>
      <c r="F6438">
        <v>608</v>
      </c>
      <c r="G6438">
        <v>991</v>
      </c>
    </row>
    <row r="6439" spans="1:8" x14ac:dyDescent="0.45">
      <c r="A6439" t="s">
        <v>46</v>
      </c>
      <c r="B6439" t="s">
        <v>21</v>
      </c>
      <c r="C6439">
        <v>8</v>
      </c>
      <c r="D6439" t="s">
        <v>29</v>
      </c>
      <c r="F6439">
        <v>370</v>
      </c>
      <c r="G6439">
        <v>1263</v>
      </c>
    </row>
    <row r="6440" spans="1:8" x14ac:dyDescent="0.45">
      <c r="A6440" t="s">
        <v>46</v>
      </c>
      <c r="B6440" t="s">
        <v>20</v>
      </c>
      <c r="C6440">
        <v>8</v>
      </c>
      <c r="D6440" t="s">
        <v>19</v>
      </c>
      <c r="E6440">
        <v>1851402</v>
      </c>
      <c r="F6440">
        <v>3200</v>
      </c>
    </row>
    <row r="6441" spans="1:8" x14ac:dyDescent="0.45">
      <c r="A6441" t="s">
        <v>46</v>
      </c>
      <c r="B6441" t="s">
        <v>20</v>
      </c>
      <c r="C6441">
        <v>8</v>
      </c>
      <c r="D6441" t="s">
        <v>27</v>
      </c>
      <c r="F6441">
        <v>1160</v>
      </c>
      <c r="G6441">
        <v>720</v>
      </c>
    </row>
    <row r="6442" spans="1:8" x14ac:dyDescent="0.45">
      <c r="A6442" t="s">
        <v>46</v>
      </c>
      <c r="B6442" t="s">
        <v>20</v>
      </c>
      <c r="C6442">
        <v>8</v>
      </c>
      <c r="D6442" t="s">
        <v>28</v>
      </c>
      <c r="F6442">
        <v>577</v>
      </c>
      <c r="G6442">
        <v>752</v>
      </c>
    </row>
    <row r="6443" spans="1:8" x14ac:dyDescent="0.45">
      <c r="A6443" t="s">
        <v>46</v>
      </c>
      <c r="B6443" t="s">
        <v>20</v>
      </c>
      <c r="C6443">
        <v>8</v>
      </c>
      <c r="D6443" t="s">
        <v>29</v>
      </c>
      <c r="F6443">
        <v>376</v>
      </c>
      <c r="G6443">
        <v>1301</v>
      </c>
    </row>
    <row r="6444" spans="1:8" x14ac:dyDescent="0.45">
      <c r="A6444" t="s">
        <v>46</v>
      </c>
      <c r="B6444" t="s">
        <v>20</v>
      </c>
      <c r="C6444">
        <v>8</v>
      </c>
      <c r="D6444" t="s">
        <v>31</v>
      </c>
      <c r="H6444">
        <v>34</v>
      </c>
    </row>
    <row r="6445" spans="1:8" x14ac:dyDescent="0.45">
      <c r="A6445" t="s">
        <v>46</v>
      </c>
      <c r="B6445" t="s">
        <v>20</v>
      </c>
      <c r="C6445">
        <v>8</v>
      </c>
      <c r="D6445" t="s">
        <v>32</v>
      </c>
      <c r="H6445">
        <v>14</v>
      </c>
    </row>
    <row r="6446" spans="1:8" x14ac:dyDescent="0.45">
      <c r="A6446" t="s">
        <v>46</v>
      </c>
      <c r="B6446" t="s">
        <v>20</v>
      </c>
      <c r="C6446">
        <v>8</v>
      </c>
      <c r="D6446" t="s">
        <v>34</v>
      </c>
      <c r="H6446">
        <v>21</v>
      </c>
    </row>
    <row r="6447" spans="1:8" x14ac:dyDescent="0.45">
      <c r="A6447" t="s">
        <v>46</v>
      </c>
      <c r="B6447" t="s">
        <v>21</v>
      </c>
      <c r="C6447">
        <v>9</v>
      </c>
      <c r="D6447" t="s">
        <v>19</v>
      </c>
      <c r="E6447">
        <v>1866846</v>
      </c>
      <c r="F6447">
        <v>3519</v>
      </c>
      <c r="H6447">
        <v>155</v>
      </c>
    </row>
    <row r="6448" spans="1:8" x14ac:dyDescent="0.45">
      <c r="A6448" t="s">
        <v>46</v>
      </c>
      <c r="B6448" t="s">
        <v>21</v>
      </c>
      <c r="C6448">
        <v>9</v>
      </c>
      <c r="D6448" t="s">
        <v>27</v>
      </c>
      <c r="F6448">
        <v>1237</v>
      </c>
    </row>
    <row r="6449" spans="1:8" x14ac:dyDescent="0.45">
      <c r="A6449" t="s">
        <v>46</v>
      </c>
      <c r="B6449" t="s">
        <v>21</v>
      </c>
      <c r="C6449">
        <v>9</v>
      </c>
      <c r="D6449" t="s">
        <v>28</v>
      </c>
      <c r="F6449">
        <v>693</v>
      </c>
    </row>
    <row r="6450" spans="1:8" x14ac:dyDescent="0.45">
      <c r="A6450" t="s">
        <v>46</v>
      </c>
      <c r="B6450" t="s">
        <v>21</v>
      </c>
      <c r="C6450">
        <v>9</v>
      </c>
      <c r="D6450" t="s">
        <v>29</v>
      </c>
      <c r="F6450">
        <v>449</v>
      </c>
    </row>
    <row r="6451" spans="1:8" x14ac:dyDescent="0.45">
      <c r="A6451" t="s">
        <v>46</v>
      </c>
      <c r="B6451" t="s">
        <v>20</v>
      </c>
      <c r="C6451">
        <v>9</v>
      </c>
      <c r="D6451" t="s">
        <v>19</v>
      </c>
      <c r="E6451">
        <v>2124582</v>
      </c>
      <c r="F6451">
        <v>3571</v>
      </c>
      <c r="H6451">
        <v>9</v>
      </c>
    </row>
    <row r="6452" spans="1:8" x14ac:dyDescent="0.45">
      <c r="A6452" t="s">
        <v>46</v>
      </c>
      <c r="B6452" t="s">
        <v>20</v>
      </c>
      <c r="C6452">
        <v>9</v>
      </c>
      <c r="D6452" t="s">
        <v>27</v>
      </c>
      <c r="F6452">
        <v>1263</v>
      </c>
    </row>
    <row r="6453" spans="1:8" x14ac:dyDescent="0.45">
      <c r="A6453" t="s">
        <v>46</v>
      </c>
      <c r="B6453" t="s">
        <v>20</v>
      </c>
      <c r="C6453">
        <v>9</v>
      </c>
      <c r="D6453" t="s">
        <v>28</v>
      </c>
      <c r="F6453">
        <v>673</v>
      </c>
    </row>
    <row r="6454" spans="1:8" x14ac:dyDescent="0.45">
      <c r="A6454" t="s">
        <v>46</v>
      </c>
      <c r="B6454" t="s">
        <v>20</v>
      </c>
      <c r="C6454">
        <v>9</v>
      </c>
      <c r="D6454" t="s">
        <v>29</v>
      </c>
      <c r="F6454">
        <v>382</v>
      </c>
    </row>
    <row r="6455" spans="1:8" x14ac:dyDescent="0.45">
      <c r="A6455" t="s">
        <v>46</v>
      </c>
      <c r="B6455" t="s">
        <v>20</v>
      </c>
      <c r="C6455">
        <v>9</v>
      </c>
      <c r="D6455" t="s">
        <v>31</v>
      </c>
      <c r="H6455">
        <v>198</v>
      </c>
    </row>
    <row r="6456" spans="1:8" x14ac:dyDescent="0.45">
      <c r="A6456" t="s">
        <v>46</v>
      </c>
      <c r="B6456" t="s">
        <v>20</v>
      </c>
      <c r="C6456">
        <v>9</v>
      </c>
      <c r="D6456" t="s">
        <v>32</v>
      </c>
      <c r="H6456">
        <v>16</v>
      </c>
    </row>
    <row r="6457" spans="1:8" x14ac:dyDescent="0.45">
      <c r="A6457" t="s">
        <v>46</v>
      </c>
      <c r="B6457" t="s">
        <v>20</v>
      </c>
      <c r="C6457">
        <v>9</v>
      </c>
      <c r="D6457" t="s">
        <v>34</v>
      </c>
      <c r="H6457">
        <v>9</v>
      </c>
    </row>
    <row r="6458" spans="1:8" x14ac:dyDescent="0.45">
      <c r="A6458" t="s">
        <v>46</v>
      </c>
      <c r="B6458" t="s">
        <v>21</v>
      </c>
      <c r="C6458">
        <v>10</v>
      </c>
      <c r="D6458" t="s">
        <v>19</v>
      </c>
      <c r="E6458">
        <v>2823168</v>
      </c>
      <c r="F6458">
        <v>5305</v>
      </c>
      <c r="G6458">
        <v>1301</v>
      </c>
      <c r="H6458">
        <v>64</v>
      </c>
    </row>
    <row r="6459" spans="1:8" x14ac:dyDescent="0.45">
      <c r="A6459" t="s">
        <v>46</v>
      </c>
      <c r="B6459" t="s">
        <v>21</v>
      </c>
      <c r="C6459">
        <v>10</v>
      </c>
      <c r="D6459" t="s">
        <v>27</v>
      </c>
      <c r="F6459">
        <v>1681</v>
      </c>
    </row>
    <row r="6460" spans="1:8" x14ac:dyDescent="0.45">
      <c r="A6460" t="s">
        <v>46</v>
      </c>
      <c r="B6460" t="s">
        <v>21</v>
      </c>
      <c r="C6460">
        <v>10</v>
      </c>
      <c r="D6460" t="s">
        <v>28</v>
      </c>
      <c r="F6460">
        <v>959</v>
      </c>
    </row>
    <row r="6461" spans="1:8" x14ac:dyDescent="0.45">
      <c r="A6461" t="s">
        <v>46</v>
      </c>
      <c r="B6461" t="s">
        <v>21</v>
      </c>
      <c r="C6461">
        <v>10</v>
      </c>
      <c r="D6461" t="s">
        <v>29</v>
      </c>
      <c r="F6461">
        <v>633</v>
      </c>
    </row>
    <row r="6462" spans="1:8" x14ac:dyDescent="0.45">
      <c r="A6462" t="s">
        <v>46</v>
      </c>
      <c r="B6462" t="s">
        <v>20</v>
      </c>
      <c r="C6462">
        <v>10</v>
      </c>
      <c r="D6462" t="s">
        <v>19</v>
      </c>
      <c r="E6462">
        <v>2884722</v>
      </c>
      <c r="F6462">
        <v>4746</v>
      </c>
      <c r="G6462">
        <v>1204</v>
      </c>
    </row>
    <row r="6463" spans="1:8" x14ac:dyDescent="0.45">
      <c r="A6463" t="s">
        <v>46</v>
      </c>
      <c r="B6463" t="s">
        <v>20</v>
      </c>
      <c r="C6463">
        <v>10</v>
      </c>
      <c r="D6463" t="s">
        <v>27</v>
      </c>
      <c r="F6463">
        <v>1533</v>
      </c>
    </row>
    <row r="6464" spans="1:8" x14ac:dyDescent="0.45">
      <c r="A6464" t="s">
        <v>46</v>
      </c>
      <c r="B6464" t="s">
        <v>20</v>
      </c>
      <c r="C6464">
        <v>10</v>
      </c>
      <c r="D6464" t="s">
        <v>28</v>
      </c>
      <c r="F6464">
        <v>983</v>
      </c>
    </row>
    <row r="6465" spans="1:8" x14ac:dyDescent="0.45">
      <c r="A6465" t="s">
        <v>46</v>
      </c>
      <c r="B6465" t="s">
        <v>20</v>
      </c>
      <c r="C6465">
        <v>10</v>
      </c>
      <c r="D6465" t="s">
        <v>29</v>
      </c>
      <c r="F6465">
        <v>608</v>
      </c>
    </row>
    <row r="6466" spans="1:8" x14ac:dyDescent="0.45">
      <c r="A6466" t="s">
        <v>46</v>
      </c>
      <c r="B6466" t="s">
        <v>20</v>
      </c>
      <c r="C6466">
        <v>10</v>
      </c>
      <c r="D6466" t="s">
        <v>31</v>
      </c>
      <c r="H6466">
        <v>249</v>
      </c>
    </row>
    <row r="6467" spans="1:8" x14ac:dyDescent="0.45">
      <c r="A6467" t="s">
        <v>46</v>
      </c>
      <c r="B6467" t="s">
        <v>20</v>
      </c>
      <c r="C6467">
        <v>10</v>
      </c>
      <c r="D6467" t="s">
        <v>32</v>
      </c>
      <c r="H6467">
        <v>17</v>
      </c>
    </row>
    <row r="6468" spans="1:8" x14ac:dyDescent="0.45">
      <c r="A6468" t="s">
        <v>46</v>
      </c>
      <c r="B6468" t="s">
        <v>20</v>
      </c>
      <c r="C6468">
        <v>10</v>
      </c>
      <c r="D6468" t="s">
        <v>34</v>
      </c>
      <c r="H6468">
        <v>27</v>
      </c>
    </row>
    <row r="6469" spans="1:8" x14ac:dyDescent="0.45">
      <c r="A6469" t="s">
        <v>46</v>
      </c>
      <c r="B6469" t="s">
        <v>21</v>
      </c>
      <c r="C6469">
        <v>11</v>
      </c>
      <c r="D6469" t="s">
        <v>19</v>
      </c>
      <c r="E6469">
        <v>2367121</v>
      </c>
      <c r="F6469">
        <v>4099</v>
      </c>
    </row>
    <row r="6470" spans="1:8" x14ac:dyDescent="0.45">
      <c r="A6470" t="s">
        <v>46</v>
      </c>
      <c r="B6470" t="s">
        <v>21</v>
      </c>
      <c r="C6470">
        <v>11</v>
      </c>
      <c r="D6470" t="s">
        <v>27</v>
      </c>
      <c r="F6470">
        <v>1555</v>
      </c>
    </row>
    <row r="6471" spans="1:8" x14ac:dyDescent="0.45">
      <c r="A6471" t="s">
        <v>46</v>
      </c>
      <c r="B6471" t="s">
        <v>21</v>
      </c>
      <c r="C6471">
        <v>11</v>
      </c>
      <c r="D6471" t="s">
        <v>28</v>
      </c>
      <c r="F6471">
        <v>762</v>
      </c>
    </row>
    <row r="6472" spans="1:8" x14ac:dyDescent="0.45">
      <c r="A6472" t="s">
        <v>46</v>
      </c>
      <c r="B6472" t="s">
        <v>21</v>
      </c>
      <c r="C6472">
        <v>11</v>
      </c>
      <c r="D6472" t="s">
        <v>29</v>
      </c>
      <c r="F6472">
        <v>537</v>
      </c>
    </row>
    <row r="6473" spans="1:8" x14ac:dyDescent="0.45">
      <c r="A6473" t="s">
        <v>46</v>
      </c>
      <c r="B6473" t="s">
        <v>20</v>
      </c>
      <c r="C6473">
        <v>11</v>
      </c>
      <c r="D6473" t="s">
        <v>19</v>
      </c>
      <c r="E6473">
        <v>2266931</v>
      </c>
      <c r="F6473">
        <v>3944</v>
      </c>
      <c r="G6473">
        <v>670</v>
      </c>
    </row>
    <row r="6474" spans="1:8" x14ac:dyDescent="0.45">
      <c r="A6474" t="s">
        <v>46</v>
      </c>
      <c r="B6474" t="s">
        <v>20</v>
      </c>
      <c r="C6474">
        <v>11</v>
      </c>
      <c r="D6474" t="s">
        <v>27</v>
      </c>
      <c r="F6474">
        <v>1252</v>
      </c>
    </row>
    <row r="6475" spans="1:8" x14ac:dyDescent="0.45">
      <c r="A6475" t="s">
        <v>46</v>
      </c>
      <c r="B6475" t="s">
        <v>20</v>
      </c>
      <c r="C6475">
        <v>11</v>
      </c>
      <c r="D6475" t="s">
        <v>28</v>
      </c>
      <c r="F6475">
        <v>745</v>
      </c>
    </row>
    <row r="6476" spans="1:8" x14ac:dyDescent="0.45">
      <c r="A6476" t="s">
        <v>46</v>
      </c>
      <c r="B6476" t="s">
        <v>20</v>
      </c>
      <c r="C6476">
        <v>11</v>
      </c>
      <c r="D6476" t="s">
        <v>29</v>
      </c>
      <c r="F6476">
        <v>531</v>
      </c>
    </row>
    <row r="6477" spans="1:8" x14ac:dyDescent="0.45">
      <c r="A6477" t="s">
        <v>46</v>
      </c>
      <c r="B6477" t="s">
        <v>20</v>
      </c>
      <c r="C6477">
        <v>11</v>
      </c>
      <c r="D6477" t="s">
        <v>31</v>
      </c>
      <c r="H6477">
        <v>275</v>
      </c>
    </row>
    <row r="6478" spans="1:8" x14ac:dyDescent="0.45">
      <c r="A6478" t="s">
        <v>46</v>
      </c>
      <c r="B6478" t="s">
        <v>20</v>
      </c>
      <c r="C6478">
        <v>11</v>
      </c>
      <c r="D6478" t="s">
        <v>32</v>
      </c>
      <c r="H6478">
        <v>9</v>
      </c>
    </row>
    <row r="6479" spans="1:8" x14ac:dyDescent="0.45">
      <c r="A6479" t="s">
        <v>46</v>
      </c>
      <c r="B6479" t="s">
        <v>20</v>
      </c>
      <c r="C6479">
        <v>11</v>
      </c>
      <c r="D6479" t="s">
        <v>34</v>
      </c>
      <c r="H6479">
        <v>22</v>
      </c>
    </row>
    <row r="6480" spans="1:8" x14ac:dyDescent="0.45">
      <c r="A6480" t="s">
        <v>46</v>
      </c>
      <c r="B6480" t="s">
        <v>21</v>
      </c>
      <c r="C6480">
        <v>12</v>
      </c>
      <c r="D6480" t="s">
        <v>19</v>
      </c>
      <c r="E6480">
        <v>2170226</v>
      </c>
      <c r="F6480">
        <v>4250</v>
      </c>
      <c r="H6480">
        <v>11</v>
      </c>
    </row>
    <row r="6481" spans="1:8" x14ac:dyDescent="0.45">
      <c r="A6481" t="s">
        <v>46</v>
      </c>
      <c r="B6481" t="s">
        <v>21</v>
      </c>
      <c r="C6481">
        <v>12</v>
      </c>
      <c r="D6481" t="s">
        <v>27</v>
      </c>
      <c r="F6481">
        <v>1440</v>
      </c>
    </row>
    <row r="6482" spans="1:8" x14ac:dyDescent="0.45">
      <c r="A6482" t="s">
        <v>46</v>
      </c>
      <c r="B6482" t="s">
        <v>21</v>
      </c>
      <c r="C6482">
        <v>12</v>
      </c>
      <c r="D6482" t="s">
        <v>28</v>
      </c>
      <c r="F6482">
        <v>700</v>
      </c>
    </row>
    <row r="6483" spans="1:8" x14ac:dyDescent="0.45">
      <c r="A6483" t="s">
        <v>46</v>
      </c>
      <c r="B6483" t="s">
        <v>21</v>
      </c>
      <c r="C6483">
        <v>12</v>
      </c>
      <c r="D6483" t="s">
        <v>29</v>
      </c>
      <c r="F6483">
        <v>579</v>
      </c>
    </row>
    <row r="6484" spans="1:8" x14ac:dyDescent="0.45">
      <c r="A6484" t="s">
        <v>46</v>
      </c>
      <c r="B6484" t="s">
        <v>20</v>
      </c>
      <c r="C6484">
        <v>12</v>
      </c>
      <c r="D6484" t="s">
        <v>19</v>
      </c>
      <c r="E6484">
        <v>2243077</v>
      </c>
      <c r="F6484">
        <v>4059</v>
      </c>
    </row>
    <row r="6485" spans="1:8" x14ac:dyDescent="0.45">
      <c r="A6485" t="s">
        <v>46</v>
      </c>
      <c r="B6485" t="s">
        <v>20</v>
      </c>
      <c r="C6485">
        <v>12</v>
      </c>
      <c r="D6485" t="s">
        <v>27</v>
      </c>
      <c r="F6485">
        <v>1298</v>
      </c>
    </row>
    <row r="6486" spans="1:8" x14ac:dyDescent="0.45">
      <c r="A6486" t="s">
        <v>46</v>
      </c>
      <c r="B6486" t="s">
        <v>20</v>
      </c>
      <c r="C6486">
        <v>12</v>
      </c>
      <c r="D6486" t="s">
        <v>28</v>
      </c>
      <c r="F6486">
        <v>734</v>
      </c>
    </row>
    <row r="6487" spans="1:8" x14ac:dyDescent="0.45">
      <c r="A6487" t="s">
        <v>46</v>
      </c>
      <c r="B6487" t="s">
        <v>20</v>
      </c>
      <c r="C6487">
        <v>12</v>
      </c>
      <c r="D6487" t="s">
        <v>29</v>
      </c>
      <c r="F6487">
        <v>516</v>
      </c>
    </row>
    <row r="6488" spans="1:8" x14ac:dyDescent="0.45">
      <c r="A6488" t="s">
        <v>46</v>
      </c>
      <c r="B6488" t="s">
        <v>20</v>
      </c>
      <c r="C6488">
        <v>12</v>
      </c>
      <c r="D6488" t="s">
        <v>31</v>
      </c>
      <c r="H6488">
        <v>138</v>
      </c>
    </row>
    <row r="6489" spans="1:8" x14ac:dyDescent="0.45">
      <c r="A6489" t="s">
        <v>46</v>
      </c>
      <c r="B6489" t="s">
        <v>20</v>
      </c>
      <c r="C6489">
        <v>12</v>
      </c>
      <c r="D6489" t="s">
        <v>32</v>
      </c>
      <c r="H6489">
        <v>10</v>
      </c>
    </row>
    <row r="6490" spans="1:8" x14ac:dyDescent="0.45">
      <c r="A6490" t="s">
        <v>46</v>
      </c>
      <c r="B6490" t="s">
        <v>20</v>
      </c>
      <c r="C6490">
        <v>12</v>
      </c>
      <c r="D6490" t="s">
        <v>34</v>
      </c>
      <c r="H6490">
        <v>24</v>
      </c>
    </row>
    <row r="6491" spans="1:8" x14ac:dyDescent="0.45">
      <c r="A6491" t="s">
        <v>86</v>
      </c>
      <c r="B6491" t="s">
        <v>21</v>
      </c>
      <c r="C6491">
        <v>1</v>
      </c>
      <c r="D6491" t="s">
        <v>19</v>
      </c>
      <c r="E6491">
        <v>755456</v>
      </c>
      <c r="F6491">
        <v>1427</v>
      </c>
      <c r="G6491">
        <v>438</v>
      </c>
    </row>
    <row r="6492" spans="1:8" x14ac:dyDescent="0.45">
      <c r="A6492" t="s">
        <v>86</v>
      </c>
      <c r="B6492" t="s">
        <v>21</v>
      </c>
      <c r="C6492">
        <v>1</v>
      </c>
      <c r="D6492" t="s">
        <v>27</v>
      </c>
      <c r="F6492">
        <v>428</v>
      </c>
    </row>
    <row r="6493" spans="1:8" x14ac:dyDescent="0.45">
      <c r="A6493" t="s">
        <v>86</v>
      </c>
      <c r="B6493" t="s">
        <v>21</v>
      </c>
      <c r="C6493">
        <v>1</v>
      </c>
      <c r="D6493" t="s">
        <v>28</v>
      </c>
      <c r="F6493">
        <v>273</v>
      </c>
    </row>
    <row r="6494" spans="1:8" x14ac:dyDescent="0.45">
      <c r="A6494" t="s">
        <v>86</v>
      </c>
      <c r="B6494" t="s">
        <v>21</v>
      </c>
      <c r="C6494">
        <v>1</v>
      </c>
      <c r="D6494" t="s">
        <v>29</v>
      </c>
      <c r="F6494">
        <v>234</v>
      </c>
    </row>
    <row r="6495" spans="1:8" x14ac:dyDescent="0.45">
      <c r="A6495" t="s">
        <v>86</v>
      </c>
      <c r="B6495" t="s">
        <v>20</v>
      </c>
      <c r="C6495">
        <v>1</v>
      </c>
      <c r="D6495" t="s">
        <v>19</v>
      </c>
      <c r="E6495">
        <v>978155</v>
      </c>
      <c r="F6495">
        <v>1641</v>
      </c>
      <c r="G6495">
        <v>525</v>
      </c>
    </row>
    <row r="6496" spans="1:8" x14ac:dyDescent="0.45">
      <c r="A6496" t="s">
        <v>86</v>
      </c>
      <c r="B6496" t="s">
        <v>20</v>
      </c>
      <c r="C6496">
        <v>1</v>
      </c>
      <c r="D6496" t="s">
        <v>27</v>
      </c>
      <c r="F6496">
        <v>411</v>
      </c>
    </row>
    <row r="6497" spans="1:8" x14ac:dyDescent="0.45">
      <c r="A6497" t="s">
        <v>86</v>
      </c>
      <c r="B6497" t="s">
        <v>20</v>
      </c>
      <c r="C6497">
        <v>1</v>
      </c>
      <c r="D6497" t="s">
        <v>28</v>
      </c>
      <c r="F6497">
        <v>335</v>
      </c>
    </row>
    <row r="6498" spans="1:8" x14ac:dyDescent="0.45">
      <c r="A6498" t="s">
        <v>86</v>
      </c>
      <c r="B6498" t="s">
        <v>20</v>
      </c>
      <c r="C6498">
        <v>1</v>
      </c>
      <c r="D6498" t="s">
        <v>29</v>
      </c>
      <c r="F6498">
        <v>309</v>
      </c>
    </row>
    <row r="6499" spans="1:8" x14ac:dyDescent="0.45">
      <c r="A6499" t="s">
        <v>86</v>
      </c>
      <c r="B6499" t="s">
        <v>20</v>
      </c>
      <c r="C6499">
        <v>1</v>
      </c>
      <c r="D6499" t="s">
        <v>31</v>
      </c>
      <c r="H6499">
        <v>120</v>
      </c>
    </row>
    <row r="6500" spans="1:8" x14ac:dyDescent="0.45">
      <c r="A6500" t="s">
        <v>86</v>
      </c>
      <c r="B6500" t="s">
        <v>20</v>
      </c>
      <c r="C6500">
        <v>1</v>
      </c>
      <c r="D6500" t="s">
        <v>32</v>
      </c>
      <c r="H6500">
        <v>9</v>
      </c>
    </row>
    <row r="6501" spans="1:8" x14ac:dyDescent="0.45">
      <c r="A6501" t="s">
        <v>86</v>
      </c>
      <c r="B6501" t="s">
        <v>20</v>
      </c>
      <c r="C6501">
        <v>1</v>
      </c>
      <c r="D6501" t="s">
        <v>34</v>
      </c>
    </row>
    <row r="6502" spans="1:8" x14ac:dyDescent="0.45">
      <c r="A6502" t="s">
        <v>86</v>
      </c>
      <c r="B6502" t="s">
        <v>21</v>
      </c>
      <c r="C6502">
        <v>2</v>
      </c>
      <c r="D6502" t="s">
        <v>19</v>
      </c>
      <c r="E6502">
        <v>701945</v>
      </c>
      <c r="F6502">
        <v>1246</v>
      </c>
      <c r="G6502">
        <v>409</v>
      </c>
    </row>
    <row r="6503" spans="1:8" x14ac:dyDescent="0.45">
      <c r="A6503" t="s">
        <v>86</v>
      </c>
      <c r="B6503" t="s">
        <v>21</v>
      </c>
      <c r="C6503">
        <v>2</v>
      </c>
      <c r="D6503" t="s">
        <v>27</v>
      </c>
      <c r="F6503">
        <v>389</v>
      </c>
    </row>
    <row r="6504" spans="1:8" x14ac:dyDescent="0.45">
      <c r="A6504" t="s">
        <v>86</v>
      </c>
      <c r="B6504" t="s">
        <v>21</v>
      </c>
      <c r="C6504">
        <v>2</v>
      </c>
      <c r="D6504" t="s">
        <v>28</v>
      </c>
      <c r="F6504">
        <v>245</v>
      </c>
    </row>
    <row r="6505" spans="1:8" x14ac:dyDescent="0.45">
      <c r="A6505" t="s">
        <v>86</v>
      </c>
      <c r="B6505" t="s">
        <v>21</v>
      </c>
      <c r="C6505">
        <v>2</v>
      </c>
      <c r="D6505" t="s">
        <v>29</v>
      </c>
      <c r="F6505">
        <v>197</v>
      </c>
    </row>
    <row r="6506" spans="1:8" x14ac:dyDescent="0.45">
      <c r="A6506" t="s">
        <v>86</v>
      </c>
      <c r="B6506" t="s">
        <v>20</v>
      </c>
      <c r="C6506">
        <v>2</v>
      </c>
      <c r="D6506" t="s">
        <v>19</v>
      </c>
      <c r="E6506">
        <v>821498</v>
      </c>
      <c r="F6506">
        <v>1307</v>
      </c>
      <c r="G6506">
        <v>436</v>
      </c>
    </row>
    <row r="6507" spans="1:8" x14ac:dyDescent="0.45">
      <c r="A6507" t="s">
        <v>86</v>
      </c>
      <c r="B6507" t="s">
        <v>20</v>
      </c>
      <c r="C6507">
        <v>2</v>
      </c>
      <c r="D6507" t="s">
        <v>27</v>
      </c>
      <c r="F6507">
        <v>385</v>
      </c>
    </row>
    <row r="6508" spans="1:8" x14ac:dyDescent="0.45">
      <c r="A6508" t="s">
        <v>86</v>
      </c>
      <c r="B6508" t="s">
        <v>20</v>
      </c>
      <c r="C6508">
        <v>2</v>
      </c>
      <c r="D6508" t="s">
        <v>28</v>
      </c>
      <c r="F6508">
        <v>232</v>
      </c>
    </row>
    <row r="6509" spans="1:8" x14ac:dyDescent="0.45">
      <c r="A6509" t="s">
        <v>86</v>
      </c>
      <c r="B6509" t="s">
        <v>20</v>
      </c>
      <c r="C6509">
        <v>2</v>
      </c>
      <c r="D6509" t="s">
        <v>29</v>
      </c>
      <c r="F6509">
        <v>218</v>
      </c>
    </row>
    <row r="6510" spans="1:8" x14ac:dyDescent="0.45">
      <c r="A6510" t="s">
        <v>86</v>
      </c>
      <c r="B6510" t="s">
        <v>20</v>
      </c>
      <c r="C6510">
        <v>2</v>
      </c>
      <c r="D6510" t="s">
        <v>31</v>
      </c>
      <c r="H6510">
        <v>94</v>
      </c>
    </row>
    <row r="6511" spans="1:8" x14ac:dyDescent="0.45">
      <c r="A6511" t="s">
        <v>86</v>
      </c>
      <c r="B6511" t="s">
        <v>20</v>
      </c>
      <c r="C6511">
        <v>2</v>
      </c>
      <c r="D6511" t="s">
        <v>32</v>
      </c>
      <c r="H6511">
        <v>8</v>
      </c>
    </row>
    <row r="6512" spans="1:8" x14ac:dyDescent="0.45">
      <c r="A6512" t="s">
        <v>86</v>
      </c>
      <c r="B6512" t="s">
        <v>20</v>
      </c>
      <c r="C6512">
        <v>2</v>
      </c>
      <c r="D6512" t="s">
        <v>34</v>
      </c>
      <c r="H6512">
        <v>4</v>
      </c>
    </row>
    <row r="6513" spans="1:8" x14ac:dyDescent="0.45">
      <c r="A6513" t="s">
        <v>86</v>
      </c>
      <c r="B6513" t="s">
        <v>21</v>
      </c>
      <c r="C6513">
        <v>3</v>
      </c>
      <c r="D6513" t="s">
        <v>19</v>
      </c>
      <c r="E6513">
        <v>1682262</v>
      </c>
      <c r="F6513">
        <v>2635</v>
      </c>
      <c r="G6513">
        <v>760</v>
      </c>
    </row>
    <row r="6514" spans="1:8" x14ac:dyDescent="0.45">
      <c r="A6514" t="s">
        <v>86</v>
      </c>
      <c r="B6514" t="s">
        <v>21</v>
      </c>
      <c r="C6514">
        <v>3</v>
      </c>
      <c r="D6514" t="s">
        <v>27</v>
      </c>
      <c r="F6514">
        <v>526</v>
      </c>
    </row>
    <row r="6515" spans="1:8" x14ac:dyDescent="0.45">
      <c r="A6515" t="s">
        <v>86</v>
      </c>
      <c r="B6515" t="s">
        <v>21</v>
      </c>
      <c r="C6515">
        <v>3</v>
      </c>
      <c r="D6515" t="s">
        <v>28</v>
      </c>
      <c r="F6515">
        <v>416</v>
      </c>
    </row>
    <row r="6516" spans="1:8" x14ac:dyDescent="0.45">
      <c r="A6516" t="s">
        <v>86</v>
      </c>
      <c r="B6516" t="s">
        <v>21</v>
      </c>
      <c r="C6516">
        <v>3</v>
      </c>
      <c r="D6516" t="s">
        <v>29</v>
      </c>
      <c r="F6516">
        <v>419</v>
      </c>
    </row>
    <row r="6517" spans="1:8" x14ac:dyDescent="0.45">
      <c r="A6517" t="s">
        <v>86</v>
      </c>
      <c r="B6517" t="s">
        <v>20</v>
      </c>
      <c r="C6517">
        <v>3</v>
      </c>
      <c r="D6517" t="s">
        <v>19</v>
      </c>
      <c r="E6517">
        <v>1748744</v>
      </c>
      <c r="F6517">
        <v>2637</v>
      </c>
    </row>
    <row r="6518" spans="1:8" x14ac:dyDescent="0.45">
      <c r="A6518" t="s">
        <v>86</v>
      </c>
      <c r="B6518" t="s">
        <v>20</v>
      </c>
      <c r="C6518">
        <v>3</v>
      </c>
      <c r="D6518" t="s">
        <v>27</v>
      </c>
      <c r="F6518">
        <v>476</v>
      </c>
    </row>
    <row r="6519" spans="1:8" x14ac:dyDescent="0.45">
      <c r="A6519" t="s">
        <v>86</v>
      </c>
      <c r="B6519" t="s">
        <v>20</v>
      </c>
      <c r="C6519">
        <v>3</v>
      </c>
      <c r="D6519" t="s">
        <v>28</v>
      </c>
      <c r="F6519">
        <v>446</v>
      </c>
    </row>
    <row r="6520" spans="1:8" x14ac:dyDescent="0.45">
      <c r="A6520" t="s">
        <v>86</v>
      </c>
      <c r="B6520" t="s">
        <v>20</v>
      </c>
      <c r="C6520">
        <v>3</v>
      </c>
      <c r="D6520" t="s">
        <v>29</v>
      </c>
      <c r="F6520">
        <v>426</v>
      </c>
    </row>
    <row r="6521" spans="1:8" x14ac:dyDescent="0.45">
      <c r="A6521" t="s">
        <v>86</v>
      </c>
      <c r="B6521" t="s">
        <v>20</v>
      </c>
      <c r="C6521">
        <v>3</v>
      </c>
      <c r="D6521" t="s">
        <v>31</v>
      </c>
      <c r="H6521">
        <v>172</v>
      </c>
    </row>
    <row r="6522" spans="1:8" x14ac:dyDescent="0.45">
      <c r="A6522" t="s">
        <v>86</v>
      </c>
      <c r="B6522" t="s">
        <v>20</v>
      </c>
      <c r="C6522">
        <v>3</v>
      </c>
      <c r="D6522" t="s">
        <v>32</v>
      </c>
      <c r="H6522">
        <v>7</v>
      </c>
    </row>
    <row r="6523" spans="1:8" x14ac:dyDescent="0.45">
      <c r="A6523" t="s">
        <v>86</v>
      </c>
      <c r="B6523" t="s">
        <v>20</v>
      </c>
      <c r="C6523">
        <v>3</v>
      </c>
      <c r="D6523" t="s">
        <v>34</v>
      </c>
      <c r="H6523">
        <v>3</v>
      </c>
    </row>
    <row r="6524" spans="1:8" x14ac:dyDescent="0.45">
      <c r="A6524" t="s">
        <v>86</v>
      </c>
      <c r="B6524" t="s">
        <v>21</v>
      </c>
      <c r="C6524">
        <v>4</v>
      </c>
      <c r="D6524" t="s">
        <v>19</v>
      </c>
      <c r="E6524">
        <v>2049383</v>
      </c>
      <c r="F6524">
        <v>2903</v>
      </c>
    </row>
    <row r="6525" spans="1:8" x14ac:dyDescent="0.45">
      <c r="A6525" t="s">
        <v>86</v>
      </c>
      <c r="B6525" t="s">
        <v>21</v>
      </c>
      <c r="C6525">
        <v>4</v>
      </c>
      <c r="D6525" t="s">
        <v>27</v>
      </c>
      <c r="F6525">
        <v>507</v>
      </c>
    </row>
    <row r="6526" spans="1:8" x14ac:dyDescent="0.45">
      <c r="A6526" t="s">
        <v>86</v>
      </c>
      <c r="B6526" t="s">
        <v>21</v>
      </c>
      <c r="C6526">
        <v>4</v>
      </c>
      <c r="D6526" t="s">
        <v>28</v>
      </c>
      <c r="F6526">
        <v>465</v>
      </c>
    </row>
    <row r="6527" spans="1:8" x14ac:dyDescent="0.45">
      <c r="A6527" t="s">
        <v>86</v>
      </c>
      <c r="B6527" t="s">
        <v>21</v>
      </c>
      <c r="C6527">
        <v>4</v>
      </c>
      <c r="D6527" t="s">
        <v>29</v>
      </c>
      <c r="F6527">
        <v>442</v>
      </c>
    </row>
    <row r="6528" spans="1:8" x14ac:dyDescent="0.45">
      <c r="A6528" t="s">
        <v>86</v>
      </c>
      <c r="B6528" t="s">
        <v>20</v>
      </c>
      <c r="C6528">
        <v>4</v>
      </c>
      <c r="D6528" t="s">
        <v>19</v>
      </c>
      <c r="E6528">
        <v>2568308</v>
      </c>
      <c r="F6528">
        <v>3737</v>
      </c>
    </row>
    <row r="6529" spans="1:8" x14ac:dyDescent="0.45">
      <c r="A6529" t="s">
        <v>86</v>
      </c>
      <c r="B6529" t="s">
        <v>20</v>
      </c>
      <c r="C6529">
        <v>4</v>
      </c>
      <c r="D6529" t="s">
        <v>27</v>
      </c>
      <c r="F6529">
        <v>488</v>
      </c>
    </row>
    <row r="6530" spans="1:8" x14ac:dyDescent="0.45">
      <c r="A6530" t="s">
        <v>86</v>
      </c>
      <c r="B6530" t="s">
        <v>20</v>
      </c>
      <c r="C6530">
        <v>4</v>
      </c>
      <c r="D6530" t="s">
        <v>28</v>
      </c>
      <c r="F6530">
        <v>595</v>
      </c>
    </row>
    <row r="6531" spans="1:8" x14ac:dyDescent="0.45">
      <c r="A6531" t="s">
        <v>86</v>
      </c>
      <c r="B6531" t="s">
        <v>20</v>
      </c>
      <c r="C6531">
        <v>4</v>
      </c>
      <c r="D6531" t="s">
        <v>29</v>
      </c>
      <c r="F6531">
        <v>528</v>
      </c>
    </row>
    <row r="6532" spans="1:8" x14ac:dyDescent="0.45">
      <c r="A6532" t="s">
        <v>86</v>
      </c>
      <c r="B6532" t="s">
        <v>20</v>
      </c>
      <c r="C6532">
        <v>4</v>
      </c>
      <c r="D6532" t="s">
        <v>31</v>
      </c>
      <c r="H6532">
        <v>124</v>
      </c>
    </row>
    <row r="6533" spans="1:8" x14ac:dyDescent="0.45">
      <c r="A6533" t="s">
        <v>86</v>
      </c>
      <c r="B6533" t="s">
        <v>20</v>
      </c>
      <c r="C6533">
        <v>4</v>
      </c>
      <c r="D6533" t="s">
        <v>32</v>
      </c>
      <c r="H6533">
        <v>6</v>
      </c>
    </row>
    <row r="6534" spans="1:8" x14ac:dyDescent="0.45">
      <c r="A6534" t="s">
        <v>86</v>
      </c>
      <c r="B6534" t="s">
        <v>20</v>
      </c>
      <c r="C6534">
        <v>4</v>
      </c>
      <c r="D6534" t="s">
        <v>34</v>
      </c>
      <c r="H6534">
        <v>4</v>
      </c>
    </row>
    <row r="6535" spans="1:8" x14ac:dyDescent="0.45">
      <c r="A6535" t="s">
        <v>86</v>
      </c>
      <c r="B6535" t="s">
        <v>21</v>
      </c>
      <c r="C6535">
        <v>5</v>
      </c>
      <c r="D6535" t="s">
        <v>19</v>
      </c>
      <c r="E6535">
        <v>1923910</v>
      </c>
      <c r="F6535">
        <v>2614</v>
      </c>
    </row>
    <row r="6536" spans="1:8" x14ac:dyDescent="0.45">
      <c r="A6536" t="s">
        <v>86</v>
      </c>
      <c r="B6536" t="s">
        <v>21</v>
      </c>
      <c r="C6536">
        <v>5</v>
      </c>
      <c r="D6536" t="s">
        <v>27</v>
      </c>
      <c r="F6536">
        <v>431</v>
      </c>
    </row>
    <row r="6537" spans="1:8" x14ac:dyDescent="0.45">
      <c r="A6537" t="s">
        <v>86</v>
      </c>
      <c r="B6537" t="s">
        <v>21</v>
      </c>
      <c r="C6537">
        <v>5</v>
      </c>
      <c r="D6537" t="s">
        <v>28</v>
      </c>
      <c r="F6537">
        <v>437</v>
      </c>
    </row>
    <row r="6538" spans="1:8" x14ac:dyDescent="0.45">
      <c r="A6538" t="s">
        <v>86</v>
      </c>
      <c r="B6538" t="s">
        <v>21</v>
      </c>
      <c r="C6538">
        <v>5</v>
      </c>
      <c r="D6538" t="s">
        <v>29</v>
      </c>
      <c r="F6538">
        <v>374</v>
      </c>
    </row>
    <row r="6539" spans="1:8" x14ac:dyDescent="0.45">
      <c r="A6539" t="s">
        <v>86</v>
      </c>
      <c r="B6539" t="s">
        <v>20</v>
      </c>
      <c r="C6539">
        <v>5</v>
      </c>
      <c r="D6539" t="s">
        <v>19</v>
      </c>
      <c r="E6539">
        <v>2067334</v>
      </c>
      <c r="F6539">
        <v>2632</v>
      </c>
      <c r="H6539">
        <v>3</v>
      </c>
    </row>
    <row r="6540" spans="1:8" x14ac:dyDescent="0.45">
      <c r="A6540" t="s">
        <v>86</v>
      </c>
      <c r="B6540" t="s">
        <v>20</v>
      </c>
      <c r="C6540">
        <v>5</v>
      </c>
      <c r="D6540" t="s">
        <v>27</v>
      </c>
      <c r="F6540">
        <v>394</v>
      </c>
    </row>
    <row r="6541" spans="1:8" x14ac:dyDescent="0.45">
      <c r="A6541" t="s">
        <v>86</v>
      </c>
      <c r="B6541" t="s">
        <v>20</v>
      </c>
      <c r="C6541">
        <v>5</v>
      </c>
      <c r="D6541" t="s">
        <v>28</v>
      </c>
      <c r="F6541">
        <v>401</v>
      </c>
    </row>
    <row r="6542" spans="1:8" x14ac:dyDescent="0.45">
      <c r="A6542" t="s">
        <v>86</v>
      </c>
      <c r="B6542" t="s">
        <v>20</v>
      </c>
      <c r="C6542">
        <v>5</v>
      </c>
      <c r="D6542" t="s">
        <v>29</v>
      </c>
      <c r="F6542">
        <v>342</v>
      </c>
    </row>
    <row r="6543" spans="1:8" x14ac:dyDescent="0.45">
      <c r="A6543" t="s">
        <v>86</v>
      </c>
      <c r="B6543" t="s">
        <v>20</v>
      </c>
      <c r="C6543">
        <v>5</v>
      </c>
      <c r="D6543" t="s">
        <v>31</v>
      </c>
      <c r="H6543">
        <v>98</v>
      </c>
    </row>
    <row r="6544" spans="1:8" x14ac:dyDescent="0.45">
      <c r="A6544" t="s">
        <v>86</v>
      </c>
      <c r="B6544" t="s">
        <v>20</v>
      </c>
      <c r="C6544">
        <v>5</v>
      </c>
      <c r="D6544" t="s">
        <v>32</v>
      </c>
      <c r="H6544">
        <v>11</v>
      </c>
    </row>
    <row r="6545" spans="1:8" x14ac:dyDescent="0.45">
      <c r="A6545" t="s">
        <v>86</v>
      </c>
      <c r="B6545" t="s">
        <v>20</v>
      </c>
      <c r="C6545">
        <v>5</v>
      </c>
      <c r="D6545" t="s">
        <v>34</v>
      </c>
      <c r="H6545">
        <v>4</v>
      </c>
    </row>
    <row r="6546" spans="1:8" x14ac:dyDescent="0.45">
      <c r="A6546" t="s">
        <v>86</v>
      </c>
      <c r="B6546" t="s">
        <v>21</v>
      </c>
      <c r="C6546">
        <v>6</v>
      </c>
      <c r="D6546" t="s">
        <v>19</v>
      </c>
      <c r="E6546">
        <v>1718780</v>
      </c>
      <c r="F6546">
        <v>2147</v>
      </c>
      <c r="G6546">
        <v>705</v>
      </c>
    </row>
    <row r="6547" spans="1:8" x14ac:dyDescent="0.45">
      <c r="A6547" t="s">
        <v>86</v>
      </c>
      <c r="B6547" t="s">
        <v>21</v>
      </c>
      <c r="C6547">
        <v>6</v>
      </c>
      <c r="D6547" t="s">
        <v>27</v>
      </c>
      <c r="F6547">
        <v>463</v>
      </c>
    </row>
    <row r="6548" spans="1:8" x14ac:dyDescent="0.45">
      <c r="A6548" t="s">
        <v>86</v>
      </c>
      <c r="B6548" t="s">
        <v>21</v>
      </c>
      <c r="C6548">
        <v>6</v>
      </c>
      <c r="D6548" t="s">
        <v>28</v>
      </c>
      <c r="F6548">
        <v>406</v>
      </c>
    </row>
    <row r="6549" spans="1:8" x14ac:dyDescent="0.45">
      <c r="A6549" t="s">
        <v>86</v>
      </c>
      <c r="B6549" t="s">
        <v>21</v>
      </c>
      <c r="C6549">
        <v>6</v>
      </c>
      <c r="D6549" t="s">
        <v>29</v>
      </c>
      <c r="F6549">
        <v>340</v>
      </c>
    </row>
    <row r="6550" spans="1:8" x14ac:dyDescent="0.45">
      <c r="A6550" t="s">
        <v>86</v>
      </c>
      <c r="B6550" t="s">
        <v>20</v>
      </c>
      <c r="C6550">
        <v>6</v>
      </c>
      <c r="D6550" t="s">
        <v>19</v>
      </c>
      <c r="E6550">
        <v>2065958</v>
      </c>
      <c r="F6550">
        <v>2726</v>
      </c>
    </row>
    <row r="6551" spans="1:8" x14ac:dyDescent="0.45">
      <c r="A6551" t="s">
        <v>86</v>
      </c>
      <c r="B6551" t="s">
        <v>20</v>
      </c>
      <c r="C6551">
        <v>6</v>
      </c>
      <c r="D6551" t="s">
        <v>27</v>
      </c>
      <c r="F6551">
        <v>504</v>
      </c>
    </row>
    <row r="6552" spans="1:8" x14ac:dyDescent="0.45">
      <c r="A6552" t="s">
        <v>86</v>
      </c>
      <c r="B6552" t="s">
        <v>20</v>
      </c>
      <c r="C6552">
        <v>6</v>
      </c>
      <c r="D6552" t="s">
        <v>28</v>
      </c>
      <c r="F6552">
        <v>470</v>
      </c>
    </row>
    <row r="6553" spans="1:8" x14ac:dyDescent="0.45">
      <c r="A6553" t="s">
        <v>86</v>
      </c>
      <c r="B6553" t="s">
        <v>20</v>
      </c>
      <c r="C6553">
        <v>6</v>
      </c>
      <c r="D6553" t="s">
        <v>29</v>
      </c>
      <c r="F6553">
        <v>404</v>
      </c>
    </row>
    <row r="6554" spans="1:8" x14ac:dyDescent="0.45">
      <c r="A6554" t="s">
        <v>86</v>
      </c>
      <c r="B6554" t="s">
        <v>20</v>
      </c>
      <c r="C6554">
        <v>6</v>
      </c>
      <c r="D6554" t="s">
        <v>31</v>
      </c>
      <c r="H6554">
        <v>52</v>
      </c>
    </row>
    <row r="6555" spans="1:8" x14ac:dyDescent="0.45">
      <c r="A6555" t="s">
        <v>86</v>
      </c>
      <c r="B6555" t="s">
        <v>20</v>
      </c>
      <c r="C6555">
        <v>6</v>
      </c>
      <c r="D6555" t="s">
        <v>32</v>
      </c>
      <c r="H6555">
        <v>4</v>
      </c>
    </row>
    <row r="6556" spans="1:8" x14ac:dyDescent="0.45">
      <c r="A6556" t="s">
        <v>86</v>
      </c>
      <c r="B6556" t="s">
        <v>20</v>
      </c>
      <c r="C6556">
        <v>6</v>
      </c>
      <c r="D6556" t="s">
        <v>34</v>
      </c>
      <c r="H6556">
        <v>4</v>
      </c>
    </row>
    <row r="6557" spans="1:8" x14ac:dyDescent="0.45">
      <c r="A6557" t="s">
        <v>86</v>
      </c>
      <c r="B6557" t="s">
        <v>21</v>
      </c>
      <c r="C6557">
        <v>7</v>
      </c>
      <c r="D6557" t="s">
        <v>19</v>
      </c>
      <c r="E6557">
        <v>1236997</v>
      </c>
      <c r="F6557">
        <v>1897</v>
      </c>
      <c r="G6557">
        <v>612</v>
      </c>
    </row>
    <row r="6558" spans="1:8" x14ac:dyDescent="0.45">
      <c r="A6558" t="s">
        <v>86</v>
      </c>
      <c r="B6558" t="s">
        <v>21</v>
      </c>
      <c r="C6558">
        <v>7</v>
      </c>
      <c r="D6558" t="s">
        <v>27</v>
      </c>
      <c r="F6558">
        <v>446</v>
      </c>
    </row>
    <row r="6559" spans="1:8" x14ac:dyDescent="0.45">
      <c r="A6559" t="s">
        <v>86</v>
      </c>
      <c r="B6559" t="s">
        <v>21</v>
      </c>
      <c r="C6559">
        <v>7</v>
      </c>
      <c r="D6559" t="s">
        <v>28</v>
      </c>
      <c r="F6559">
        <v>381</v>
      </c>
    </row>
    <row r="6560" spans="1:8" x14ac:dyDescent="0.45">
      <c r="A6560" t="s">
        <v>86</v>
      </c>
      <c r="B6560" t="s">
        <v>21</v>
      </c>
      <c r="C6560">
        <v>7</v>
      </c>
      <c r="D6560" t="s">
        <v>29</v>
      </c>
      <c r="F6560">
        <v>261</v>
      </c>
    </row>
    <row r="6561" spans="1:8" x14ac:dyDescent="0.45">
      <c r="A6561" t="s">
        <v>86</v>
      </c>
      <c r="B6561" t="s">
        <v>20</v>
      </c>
      <c r="C6561">
        <v>7</v>
      </c>
      <c r="D6561" t="s">
        <v>19</v>
      </c>
      <c r="E6561">
        <v>1516037</v>
      </c>
      <c r="F6561">
        <v>2171</v>
      </c>
      <c r="G6561">
        <v>683</v>
      </c>
    </row>
    <row r="6562" spans="1:8" x14ac:dyDescent="0.45">
      <c r="A6562" t="s">
        <v>86</v>
      </c>
      <c r="B6562" t="s">
        <v>20</v>
      </c>
      <c r="C6562">
        <v>7</v>
      </c>
      <c r="D6562" t="s">
        <v>27</v>
      </c>
      <c r="F6562">
        <v>461</v>
      </c>
    </row>
    <row r="6563" spans="1:8" x14ac:dyDescent="0.45">
      <c r="A6563" t="s">
        <v>86</v>
      </c>
      <c r="B6563" t="s">
        <v>20</v>
      </c>
      <c r="C6563">
        <v>7</v>
      </c>
      <c r="D6563" t="s">
        <v>28</v>
      </c>
      <c r="F6563">
        <v>398</v>
      </c>
    </row>
    <row r="6564" spans="1:8" x14ac:dyDescent="0.45">
      <c r="A6564" t="s">
        <v>86</v>
      </c>
      <c r="B6564" t="s">
        <v>20</v>
      </c>
      <c r="C6564">
        <v>7</v>
      </c>
      <c r="D6564" t="s">
        <v>29</v>
      </c>
      <c r="F6564">
        <v>335</v>
      </c>
    </row>
    <row r="6565" spans="1:8" x14ac:dyDescent="0.45">
      <c r="A6565" t="s">
        <v>86</v>
      </c>
      <c r="B6565" t="s">
        <v>20</v>
      </c>
      <c r="C6565">
        <v>7</v>
      </c>
      <c r="D6565" t="s">
        <v>31</v>
      </c>
      <c r="H6565">
        <v>213</v>
      </c>
    </row>
    <row r="6566" spans="1:8" x14ac:dyDescent="0.45">
      <c r="A6566" t="s">
        <v>86</v>
      </c>
      <c r="B6566" t="s">
        <v>20</v>
      </c>
      <c r="C6566">
        <v>7</v>
      </c>
      <c r="D6566" t="s">
        <v>32</v>
      </c>
      <c r="H6566">
        <v>8</v>
      </c>
    </row>
    <row r="6567" spans="1:8" x14ac:dyDescent="0.45">
      <c r="A6567" t="s">
        <v>86</v>
      </c>
      <c r="B6567" t="s">
        <v>20</v>
      </c>
      <c r="C6567">
        <v>7</v>
      </c>
      <c r="D6567" t="s">
        <v>34</v>
      </c>
      <c r="H6567">
        <v>4</v>
      </c>
    </row>
    <row r="6568" spans="1:8" x14ac:dyDescent="0.45">
      <c r="A6568" t="s">
        <v>86</v>
      </c>
      <c r="B6568" t="s">
        <v>21</v>
      </c>
      <c r="C6568">
        <v>8</v>
      </c>
      <c r="D6568" t="s">
        <v>19</v>
      </c>
      <c r="E6568">
        <v>851085</v>
      </c>
      <c r="F6568">
        <v>1455</v>
      </c>
      <c r="G6568">
        <v>454</v>
      </c>
    </row>
    <row r="6569" spans="1:8" x14ac:dyDescent="0.45">
      <c r="A6569" t="s">
        <v>86</v>
      </c>
      <c r="B6569" t="s">
        <v>21</v>
      </c>
      <c r="C6569">
        <v>8</v>
      </c>
      <c r="D6569" t="s">
        <v>27</v>
      </c>
      <c r="F6569">
        <v>364</v>
      </c>
      <c r="G6569">
        <v>1184</v>
      </c>
    </row>
    <row r="6570" spans="1:8" x14ac:dyDescent="0.45">
      <c r="A6570" t="s">
        <v>86</v>
      </c>
      <c r="B6570" t="s">
        <v>21</v>
      </c>
      <c r="C6570">
        <v>8</v>
      </c>
      <c r="D6570" t="s">
        <v>28</v>
      </c>
      <c r="F6570">
        <v>313</v>
      </c>
      <c r="G6570">
        <v>833</v>
      </c>
    </row>
    <row r="6571" spans="1:8" x14ac:dyDescent="0.45">
      <c r="A6571" t="s">
        <v>86</v>
      </c>
      <c r="B6571" t="s">
        <v>21</v>
      </c>
      <c r="C6571">
        <v>8</v>
      </c>
      <c r="D6571" t="s">
        <v>29</v>
      </c>
      <c r="F6571">
        <v>182</v>
      </c>
      <c r="G6571">
        <v>916</v>
      </c>
    </row>
    <row r="6572" spans="1:8" x14ac:dyDescent="0.45">
      <c r="A6572" t="s">
        <v>86</v>
      </c>
      <c r="B6572" t="s">
        <v>20</v>
      </c>
      <c r="C6572">
        <v>8</v>
      </c>
      <c r="D6572" t="s">
        <v>19</v>
      </c>
      <c r="E6572">
        <v>953476</v>
      </c>
      <c r="F6572">
        <v>1405</v>
      </c>
      <c r="G6572">
        <v>450</v>
      </c>
    </row>
    <row r="6573" spans="1:8" x14ac:dyDescent="0.45">
      <c r="A6573" t="s">
        <v>86</v>
      </c>
      <c r="B6573" t="s">
        <v>20</v>
      </c>
      <c r="C6573">
        <v>8</v>
      </c>
      <c r="D6573" t="s">
        <v>27</v>
      </c>
      <c r="F6573">
        <v>342</v>
      </c>
      <c r="G6573">
        <v>1040</v>
      </c>
    </row>
    <row r="6574" spans="1:8" x14ac:dyDescent="0.45">
      <c r="A6574" t="s">
        <v>86</v>
      </c>
      <c r="B6574" t="s">
        <v>20</v>
      </c>
      <c r="C6574">
        <v>8</v>
      </c>
      <c r="D6574" t="s">
        <v>28</v>
      </c>
      <c r="F6574">
        <v>299</v>
      </c>
      <c r="G6574">
        <v>962</v>
      </c>
    </row>
    <row r="6575" spans="1:8" x14ac:dyDescent="0.45">
      <c r="A6575" t="s">
        <v>86</v>
      </c>
      <c r="B6575" t="s">
        <v>20</v>
      </c>
      <c r="C6575">
        <v>8</v>
      </c>
      <c r="D6575" t="s">
        <v>29</v>
      </c>
      <c r="F6575">
        <v>193</v>
      </c>
    </row>
    <row r="6576" spans="1:8" x14ac:dyDescent="0.45">
      <c r="A6576" t="s">
        <v>86</v>
      </c>
      <c r="B6576" t="s">
        <v>20</v>
      </c>
      <c r="C6576">
        <v>8</v>
      </c>
      <c r="D6576" t="s">
        <v>31</v>
      </c>
      <c r="H6576">
        <v>42</v>
      </c>
    </row>
    <row r="6577" spans="1:8" x14ac:dyDescent="0.45">
      <c r="A6577" t="s">
        <v>86</v>
      </c>
      <c r="B6577" t="s">
        <v>20</v>
      </c>
      <c r="C6577">
        <v>8</v>
      </c>
      <c r="D6577" t="s">
        <v>32</v>
      </c>
      <c r="H6577">
        <v>8</v>
      </c>
    </row>
    <row r="6578" spans="1:8" x14ac:dyDescent="0.45">
      <c r="A6578" t="s">
        <v>86</v>
      </c>
      <c r="B6578" t="s">
        <v>20</v>
      </c>
      <c r="C6578">
        <v>8</v>
      </c>
      <c r="D6578" t="s">
        <v>34</v>
      </c>
      <c r="H6578">
        <v>2</v>
      </c>
    </row>
    <row r="6579" spans="1:8" x14ac:dyDescent="0.45">
      <c r="A6579" t="s">
        <v>86</v>
      </c>
      <c r="B6579" t="s">
        <v>21</v>
      </c>
      <c r="C6579">
        <v>9</v>
      </c>
      <c r="D6579" t="s">
        <v>19</v>
      </c>
      <c r="E6579">
        <v>929155</v>
      </c>
      <c r="F6579">
        <v>1547</v>
      </c>
      <c r="G6579">
        <v>448</v>
      </c>
    </row>
    <row r="6580" spans="1:8" x14ac:dyDescent="0.45">
      <c r="A6580" t="s">
        <v>86</v>
      </c>
      <c r="B6580" t="s">
        <v>21</v>
      </c>
      <c r="C6580">
        <v>9</v>
      </c>
      <c r="D6580" t="s">
        <v>27</v>
      </c>
      <c r="F6580">
        <v>390</v>
      </c>
    </row>
    <row r="6581" spans="1:8" x14ac:dyDescent="0.45">
      <c r="A6581" t="s">
        <v>86</v>
      </c>
      <c r="B6581" t="s">
        <v>21</v>
      </c>
      <c r="C6581">
        <v>9</v>
      </c>
      <c r="D6581" t="s">
        <v>28</v>
      </c>
      <c r="F6581">
        <v>312</v>
      </c>
    </row>
    <row r="6582" spans="1:8" x14ac:dyDescent="0.45">
      <c r="A6582" t="s">
        <v>86</v>
      </c>
      <c r="B6582" t="s">
        <v>21</v>
      </c>
      <c r="C6582">
        <v>9</v>
      </c>
      <c r="D6582" t="s">
        <v>29</v>
      </c>
      <c r="F6582">
        <v>275</v>
      </c>
    </row>
    <row r="6583" spans="1:8" x14ac:dyDescent="0.45">
      <c r="A6583" t="s">
        <v>86</v>
      </c>
      <c r="B6583" t="s">
        <v>20</v>
      </c>
      <c r="C6583">
        <v>9</v>
      </c>
      <c r="D6583" t="s">
        <v>19</v>
      </c>
      <c r="E6583">
        <v>997132</v>
      </c>
      <c r="F6583">
        <v>1636</v>
      </c>
      <c r="G6583">
        <v>508</v>
      </c>
    </row>
    <row r="6584" spans="1:8" x14ac:dyDescent="0.45">
      <c r="A6584" t="s">
        <v>86</v>
      </c>
      <c r="B6584" t="s">
        <v>20</v>
      </c>
      <c r="C6584">
        <v>9</v>
      </c>
      <c r="D6584" t="s">
        <v>27</v>
      </c>
      <c r="F6584">
        <v>449</v>
      </c>
    </row>
    <row r="6585" spans="1:8" x14ac:dyDescent="0.45">
      <c r="A6585" t="s">
        <v>86</v>
      </c>
      <c r="B6585" t="s">
        <v>20</v>
      </c>
      <c r="C6585">
        <v>9</v>
      </c>
      <c r="D6585" t="s">
        <v>28</v>
      </c>
      <c r="F6585">
        <v>380</v>
      </c>
    </row>
    <row r="6586" spans="1:8" x14ac:dyDescent="0.45">
      <c r="A6586" t="s">
        <v>86</v>
      </c>
      <c r="B6586" t="s">
        <v>20</v>
      </c>
      <c r="C6586">
        <v>9</v>
      </c>
      <c r="D6586" t="s">
        <v>29</v>
      </c>
      <c r="F6586">
        <v>259</v>
      </c>
    </row>
    <row r="6587" spans="1:8" x14ac:dyDescent="0.45">
      <c r="A6587" t="s">
        <v>86</v>
      </c>
      <c r="B6587" t="s">
        <v>20</v>
      </c>
      <c r="C6587">
        <v>9</v>
      </c>
      <c r="D6587" t="s">
        <v>31</v>
      </c>
      <c r="H6587">
        <v>149</v>
      </c>
    </row>
    <row r="6588" spans="1:8" x14ac:dyDescent="0.45">
      <c r="A6588" t="s">
        <v>86</v>
      </c>
      <c r="B6588" t="s">
        <v>20</v>
      </c>
      <c r="C6588">
        <v>9</v>
      </c>
      <c r="D6588" t="s">
        <v>32</v>
      </c>
      <c r="H6588">
        <v>8</v>
      </c>
    </row>
    <row r="6589" spans="1:8" x14ac:dyDescent="0.45">
      <c r="A6589" t="s">
        <v>86</v>
      </c>
      <c r="B6589" t="s">
        <v>20</v>
      </c>
      <c r="C6589">
        <v>9</v>
      </c>
      <c r="D6589" t="s">
        <v>34</v>
      </c>
      <c r="H6589">
        <v>2</v>
      </c>
    </row>
    <row r="6590" spans="1:8" x14ac:dyDescent="0.45">
      <c r="A6590" t="s">
        <v>86</v>
      </c>
      <c r="B6590" t="s">
        <v>21</v>
      </c>
      <c r="C6590">
        <v>10</v>
      </c>
      <c r="D6590" t="s">
        <v>19</v>
      </c>
      <c r="E6590">
        <v>1347016</v>
      </c>
      <c r="F6590">
        <v>2464</v>
      </c>
      <c r="G6590">
        <v>707</v>
      </c>
    </row>
    <row r="6591" spans="1:8" x14ac:dyDescent="0.45">
      <c r="A6591" t="s">
        <v>86</v>
      </c>
      <c r="B6591" t="s">
        <v>21</v>
      </c>
      <c r="C6591">
        <v>10</v>
      </c>
      <c r="D6591" t="s">
        <v>27</v>
      </c>
      <c r="F6591">
        <v>645</v>
      </c>
    </row>
    <row r="6592" spans="1:8" x14ac:dyDescent="0.45">
      <c r="A6592" t="s">
        <v>86</v>
      </c>
      <c r="B6592" t="s">
        <v>21</v>
      </c>
      <c r="C6592">
        <v>10</v>
      </c>
      <c r="D6592" t="s">
        <v>28</v>
      </c>
      <c r="F6592">
        <v>485</v>
      </c>
    </row>
    <row r="6593" spans="1:8" x14ac:dyDescent="0.45">
      <c r="A6593" t="s">
        <v>86</v>
      </c>
      <c r="B6593" t="s">
        <v>21</v>
      </c>
      <c r="C6593">
        <v>10</v>
      </c>
      <c r="D6593" t="s">
        <v>29</v>
      </c>
      <c r="F6593">
        <v>344</v>
      </c>
    </row>
    <row r="6594" spans="1:8" x14ac:dyDescent="0.45">
      <c r="A6594" t="s">
        <v>86</v>
      </c>
      <c r="B6594" t="s">
        <v>20</v>
      </c>
      <c r="C6594">
        <v>10</v>
      </c>
      <c r="D6594" t="s">
        <v>19</v>
      </c>
      <c r="E6594">
        <v>1456027</v>
      </c>
      <c r="F6594">
        <v>2203</v>
      </c>
      <c r="G6594">
        <v>695</v>
      </c>
    </row>
    <row r="6595" spans="1:8" x14ac:dyDescent="0.45">
      <c r="A6595" t="s">
        <v>86</v>
      </c>
      <c r="B6595" t="s">
        <v>20</v>
      </c>
      <c r="C6595">
        <v>10</v>
      </c>
      <c r="D6595" t="s">
        <v>27</v>
      </c>
      <c r="F6595">
        <v>539</v>
      </c>
    </row>
    <row r="6596" spans="1:8" x14ac:dyDescent="0.45">
      <c r="A6596" t="s">
        <v>86</v>
      </c>
      <c r="B6596" t="s">
        <v>20</v>
      </c>
      <c r="C6596">
        <v>10</v>
      </c>
      <c r="D6596" t="s">
        <v>28</v>
      </c>
      <c r="F6596">
        <v>413</v>
      </c>
    </row>
    <row r="6597" spans="1:8" x14ac:dyDescent="0.45">
      <c r="A6597" t="s">
        <v>86</v>
      </c>
      <c r="B6597" t="s">
        <v>20</v>
      </c>
      <c r="C6597">
        <v>10</v>
      </c>
      <c r="D6597" t="s">
        <v>29</v>
      </c>
      <c r="F6597">
        <v>324</v>
      </c>
    </row>
    <row r="6598" spans="1:8" x14ac:dyDescent="0.45">
      <c r="A6598" t="s">
        <v>86</v>
      </c>
      <c r="B6598" t="s">
        <v>20</v>
      </c>
      <c r="C6598">
        <v>10</v>
      </c>
      <c r="D6598" t="s">
        <v>31</v>
      </c>
      <c r="H6598">
        <v>161</v>
      </c>
    </row>
    <row r="6599" spans="1:8" x14ac:dyDescent="0.45">
      <c r="A6599" t="s">
        <v>86</v>
      </c>
      <c r="B6599" t="s">
        <v>20</v>
      </c>
      <c r="C6599">
        <v>10</v>
      </c>
      <c r="D6599" t="s">
        <v>32</v>
      </c>
      <c r="H6599">
        <v>11</v>
      </c>
    </row>
    <row r="6600" spans="1:8" x14ac:dyDescent="0.45">
      <c r="A6600" t="s">
        <v>86</v>
      </c>
      <c r="B6600" t="s">
        <v>20</v>
      </c>
      <c r="C6600">
        <v>10</v>
      </c>
      <c r="D6600" t="s">
        <v>34</v>
      </c>
      <c r="H6600">
        <v>3</v>
      </c>
    </row>
    <row r="6601" spans="1:8" x14ac:dyDescent="0.45">
      <c r="A6601" t="s">
        <v>86</v>
      </c>
      <c r="B6601" t="s">
        <v>21</v>
      </c>
      <c r="C6601">
        <v>11</v>
      </c>
      <c r="D6601" t="s">
        <v>19</v>
      </c>
      <c r="E6601">
        <v>1055272</v>
      </c>
      <c r="F6601">
        <v>1707</v>
      </c>
      <c r="G6601">
        <v>538</v>
      </c>
    </row>
    <row r="6602" spans="1:8" x14ac:dyDescent="0.45">
      <c r="A6602" t="s">
        <v>86</v>
      </c>
      <c r="B6602" t="s">
        <v>21</v>
      </c>
      <c r="C6602">
        <v>11</v>
      </c>
      <c r="D6602" t="s">
        <v>27</v>
      </c>
      <c r="F6602">
        <v>460</v>
      </c>
    </row>
    <row r="6603" spans="1:8" x14ac:dyDescent="0.45">
      <c r="A6603" t="s">
        <v>86</v>
      </c>
      <c r="B6603" t="s">
        <v>21</v>
      </c>
      <c r="C6603">
        <v>11</v>
      </c>
      <c r="D6603" t="s">
        <v>28</v>
      </c>
      <c r="F6603">
        <v>338</v>
      </c>
    </row>
    <row r="6604" spans="1:8" x14ac:dyDescent="0.45">
      <c r="A6604" t="s">
        <v>86</v>
      </c>
      <c r="B6604" t="s">
        <v>21</v>
      </c>
      <c r="C6604">
        <v>11</v>
      </c>
      <c r="D6604" t="s">
        <v>29</v>
      </c>
      <c r="F6604">
        <v>232</v>
      </c>
    </row>
    <row r="6605" spans="1:8" x14ac:dyDescent="0.45">
      <c r="A6605" t="s">
        <v>86</v>
      </c>
      <c r="B6605" t="s">
        <v>20</v>
      </c>
      <c r="C6605">
        <v>11</v>
      </c>
      <c r="D6605" t="s">
        <v>19</v>
      </c>
      <c r="E6605">
        <v>1173623</v>
      </c>
      <c r="F6605">
        <v>1935</v>
      </c>
      <c r="G6605">
        <v>607</v>
      </c>
    </row>
    <row r="6606" spans="1:8" x14ac:dyDescent="0.45">
      <c r="A6606" t="s">
        <v>86</v>
      </c>
      <c r="B6606" t="s">
        <v>20</v>
      </c>
      <c r="C6606">
        <v>11</v>
      </c>
      <c r="D6606" t="s">
        <v>27</v>
      </c>
      <c r="F6606">
        <v>513</v>
      </c>
    </row>
    <row r="6607" spans="1:8" x14ac:dyDescent="0.45">
      <c r="A6607" t="s">
        <v>86</v>
      </c>
      <c r="B6607" t="s">
        <v>20</v>
      </c>
      <c r="C6607">
        <v>11</v>
      </c>
      <c r="D6607" t="s">
        <v>28</v>
      </c>
      <c r="F6607">
        <v>368</v>
      </c>
    </row>
    <row r="6608" spans="1:8" x14ac:dyDescent="0.45">
      <c r="A6608" t="s">
        <v>86</v>
      </c>
      <c r="B6608" t="s">
        <v>20</v>
      </c>
      <c r="C6608">
        <v>11</v>
      </c>
      <c r="D6608" t="s">
        <v>29</v>
      </c>
      <c r="F6608">
        <v>265</v>
      </c>
    </row>
    <row r="6609" spans="1:8" x14ac:dyDescent="0.45">
      <c r="A6609" t="s">
        <v>86</v>
      </c>
      <c r="B6609" t="s">
        <v>20</v>
      </c>
      <c r="C6609">
        <v>11</v>
      </c>
      <c r="D6609" t="s">
        <v>31</v>
      </c>
      <c r="H6609">
        <v>182</v>
      </c>
    </row>
    <row r="6610" spans="1:8" x14ac:dyDescent="0.45">
      <c r="A6610" t="s">
        <v>86</v>
      </c>
      <c r="B6610" t="s">
        <v>20</v>
      </c>
      <c r="C6610">
        <v>11</v>
      </c>
      <c r="D6610" t="s">
        <v>32</v>
      </c>
      <c r="H6610">
        <v>4</v>
      </c>
    </row>
    <row r="6611" spans="1:8" x14ac:dyDescent="0.45">
      <c r="A6611" t="s">
        <v>86</v>
      </c>
      <c r="B6611" t="s">
        <v>20</v>
      </c>
      <c r="C6611">
        <v>11</v>
      </c>
      <c r="D6611" t="s">
        <v>34</v>
      </c>
      <c r="H6611">
        <v>3</v>
      </c>
    </row>
    <row r="6612" spans="1:8" x14ac:dyDescent="0.45">
      <c r="A6612" t="s">
        <v>86</v>
      </c>
      <c r="B6612" t="s">
        <v>21</v>
      </c>
      <c r="C6612">
        <v>12</v>
      </c>
      <c r="D6612" t="s">
        <v>19</v>
      </c>
      <c r="E6612">
        <v>1324764</v>
      </c>
      <c r="F6612">
        <v>2259</v>
      </c>
      <c r="G6612">
        <v>639</v>
      </c>
    </row>
    <row r="6613" spans="1:8" x14ac:dyDescent="0.45">
      <c r="A6613" t="s">
        <v>86</v>
      </c>
      <c r="B6613" t="s">
        <v>21</v>
      </c>
      <c r="C6613">
        <v>12</v>
      </c>
      <c r="D6613" t="s">
        <v>27</v>
      </c>
      <c r="F6613">
        <v>490</v>
      </c>
    </row>
    <row r="6614" spans="1:8" x14ac:dyDescent="0.45">
      <c r="A6614" t="s">
        <v>86</v>
      </c>
      <c r="B6614" t="s">
        <v>21</v>
      </c>
      <c r="C6614">
        <v>12</v>
      </c>
      <c r="D6614" t="s">
        <v>28</v>
      </c>
      <c r="F6614">
        <v>428</v>
      </c>
    </row>
    <row r="6615" spans="1:8" x14ac:dyDescent="0.45">
      <c r="A6615" t="s">
        <v>86</v>
      </c>
      <c r="B6615" t="s">
        <v>21</v>
      </c>
      <c r="C6615">
        <v>12</v>
      </c>
      <c r="D6615" t="s">
        <v>29</v>
      </c>
      <c r="F6615">
        <v>386</v>
      </c>
    </row>
    <row r="6616" spans="1:8" x14ac:dyDescent="0.45">
      <c r="A6616" t="s">
        <v>86</v>
      </c>
      <c r="B6616" t="s">
        <v>20</v>
      </c>
      <c r="C6616">
        <v>12</v>
      </c>
      <c r="D6616" t="s">
        <v>19</v>
      </c>
      <c r="E6616">
        <v>1246611</v>
      </c>
      <c r="F6616">
        <v>2224</v>
      </c>
      <c r="G6616">
        <v>650</v>
      </c>
    </row>
    <row r="6617" spans="1:8" x14ac:dyDescent="0.45">
      <c r="A6617" t="s">
        <v>86</v>
      </c>
      <c r="B6617" t="s">
        <v>20</v>
      </c>
      <c r="C6617">
        <v>12</v>
      </c>
      <c r="D6617" t="s">
        <v>27</v>
      </c>
      <c r="F6617">
        <v>491</v>
      </c>
    </row>
    <row r="6618" spans="1:8" x14ac:dyDescent="0.45">
      <c r="A6618" t="s">
        <v>86</v>
      </c>
      <c r="B6618" t="s">
        <v>20</v>
      </c>
      <c r="C6618">
        <v>12</v>
      </c>
      <c r="D6618" t="s">
        <v>28</v>
      </c>
      <c r="F6618">
        <v>448</v>
      </c>
    </row>
    <row r="6619" spans="1:8" x14ac:dyDescent="0.45">
      <c r="A6619" t="s">
        <v>86</v>
      </c>
      <c r="B6619" t="s">
        <v>20</v>
      </c>
      <c r="C6619">
        <v>12</v>
      </c>
      <c r="D6619" t="s">
        <v>29</v>
      </c>
      <c r="F6619">
        <v>389</v>
      </c>
    </row>
    <row r="6620" spans="1:8" x14ac:dyDescent="0.45">
      <c r="A6620" t="s">
        <v>86</v>
      </c>
      <c r="B6620" t="s">
        <v>20</v>
      </c>
      <c r="C6620">
        <v>12</v>
      </c>
      <c r="D6620" t="s">
        <v>31</v>
      </c>
      <c r="H6620">
        <v>118</v>
      </c>
    </row>
    <row r="6621" spans="1:8" x14ac:dyDescent="0.45">
      <c r="A6621" t="s">
        <v>86</v>
      </c>
      <c r="B6621" t="s">
        <v>20</v>
      </c>
      <c r="C6621">
        <v>12</v>
      </c>
      <c r="D6621" t="s">
        <v>32</v>
      </c>
      <c r="H6621">
        <v>2</v>
      </c>
    </row>
    <row r="6622" spans="1:8" x14ac:dyDescent="0.45">
      <c r="A6622" t="s">
        <v>86</v>
      </c>
      <c r="B6622" t="s">
        <v>20</v>
      </c>
      <c r="C6622">
        <v>12</v>
      </c>
      <c r="D6622" t="s">
        <v>34</v>
      </c>
      <c r="H6622">
        <v>3</v>
      </c>
    </row>
    <row r="6623" spans="1:8" x14ac:dyDescent="0.45">
      <c r="A6623" t="s">
        <v>71</v>
      </c>
      <c r="B6623" t="s">
        <v>21</v>
      </c>
      <c r="C6623">
        <v>1</v>
      </c>
      <c r="D6623" t="s">
        <v>19</v>
      </c>
      <c r="E6623">
        <v>878982</v>
      </c>
      <c r="F6623">
        <v>2385</v>
      </c>
      <c r="G6623">
        <v>688</v>
      </c>
    </row>
    <row r="6624" spans="1:8" x14ac:dyDescent="0.45">
      <c r="A6624" t="s">
        <v>71</v>
      </c>
      <c r="B6624" t="s">
        <v>21</v>
      </c>
      <c r="C6624">
        <v>1</v>
      </c>
      <c r="D6624" t="s">
        <v>27</v>
      </c>
      <c r="F6624">
        <v>1290</v>
      </c>
    </row>
    <row r="6625" spans="1:8" x14ac:dyDescent="0.45">
      <c r="A6625" t="s">
        <v>71</v>
      </c>
      <c r="B6625" t="s">
        <v>21</v>
      </c>
      <c r="C6625">
        <v>1</v>
      </c>
      <c r="D6625" t="s">
        <v>28</v>
      </c>
      <c r="F6625">
        <v>442</v>
      </c>
    </row>
    <row r="6626" spans="1:8" x14ac:dyDescent="0.45">
      <c r="A6626" t="s">
        <v>71</v>
      </c>
      <c r="B6626" t="s">
        <v>21</v>
      </c>
      <c r="C6626">
        <v>1</v>
      </c>
      <c r="D6626" t="s">
        <v>29</v>
      </c>
      <c r="F6626">
        <v>267</v>
      </c>
    </row>
    <row r="6627" spans="1:8" x14ac:dyDescent="0.45">
      <c r="A6627" t="s">
        <v>71</v>
      </c>
      <c r="B6627" t="s">
        <v>20</v>
      </c>
      <c r="C6627">
        <v>1</v>
      </c>
      <c r="D6627" t="s">
        <v>19</v>
      </c>
      <c r="E6627">
        <v>954205</v>
      </c>
      <c r="F6627">
        <v>2448</v>
      </c>
      <c r="G6627">
        <v>678</v>
      </c>
    </row>
    <row r="6628" spans="1:8" x14ac:dyDescent="0.45">
      <c r="A6628" t="s">
        <v>71</v>
      </c>
      <c r="B6628" t="s">
        <v>20</v>
      </c>
      <c r="C6628">
        <v>1</v>
      </c>
      <c r="D6628" t="s">
        <v>27</v>
      </c>
      <c r="F6628">
        <v>1138</v>
      </c>
    </row>
    <row r="6629" spans="1:8" x14ac:dyDescent="0.45">
      <c r="A6629" t="s">
        <v>71</v>
      </c>
      <c r="B6629" t="s">
        <v>20</v>
      </c>
      <c r="C6629">
        <v>1</v>
      </c>
      <c r="D6629" t="s">
        <v>28</v>
      </c>
      <c r="F6629">
        <v>396</v>
      </c>
    </row>
    <row r="6630" spans="1:8" x14ac:dyDescent="0.45">
      <c r="A6630" t="s">
        <v>71</v>
      </c>
      <c r="B6630" t="s">
        <v>20</v>
      </c>
      <c r="C6630">
        <v>1</v>
      </c>
      <c r="D6630" t="s">
        <v>29</v>
      </c>
      <c r="F6630">
        <v>275</v>
      </c>
    </row>
    <row r="6631" spans="1:8" x14ac:dyDescent="0.45">
      <c r="A6631" t="s">
        <v>71</v>
      </c>
      <c r="B6631" t="s">
        <v>20</v>
      </c>
      <c r="C6631">
        <v>1</v>
      </c>
      <c r="D6631" t="s">
        <v>31</v>
      </c>
      <c r="H6631">
        <v>90</v>
      </c>
    </row>
    <row r="6632" spans="1:8" x14ac:dyDescent="0.45">
      <c r="A6632" t="s">
        <v>71</v>
      </c>
      <c r="B6632" t="s">
        <v>20</v>
      </c>
      <c r="C6632">
        <v>1</v>
      </c>
      <c r="D6632" t="s">
        <v>32</v>
      </c>
      <c r="H6632">
        <v>10</v>
      </c>
    </row>
    <row r="6633" spans="1:8" x14ac:dyDescent="0.45">
      <c r="A6633" t="s">
        <v>71</v>
      </c>
      <c r="B6633" t="s">
        <v>20</v>
      </c>
      <c r="C6633">
        <v>1</v>
      </c>
      <c r="D6633" t="s">
        <v>34</v>
      </c>
    </row>
    <row r="6634" spans="1:8" x14ac:dyDescent="0.45">
      <c r="A6634" t="s">
        <v>71</v>
      </c>
      <c r="B6634" t="s">
        <v>21</v>
      </c>
      <c r="C6634">
        <v>2</v>
      </c>
      <c r="D6634" t="s">
        <v>19</v>
      </c>
      <c r="E6634">
        <v>881323</v>
      </c>
      <c r="F6634">
        <v>2393</v>
      </c>
      <c r="G6634">
        <v>631</v>
      </c>
    </row>
    <row r="6635" spans="1:8" x14ac:dyDescent="0.45">
      <c r="A6635" t="s">
        <v>71</v>
      </c>
      <c r="B6635" t="s">
        <v>21</v>
      </c>
      <c r="C6635">
        <v>2</v>
      </c>
      <c r="D6635" t="s">
        <v>27</v>
      </c>
      <c r="F6635">
        <v>1300</v>
      </c>
    </row>
    <row r="6636" spans="1:8" x14ac:dyDescent="0.45">
      <c r="A6636" t="s">
        <v>71</v>
      </c>
      <c r="B6636" t="s">
        <v>21</v>
      </c>
      <c r="C6636">
        <v>2</v>
      </c>
      <c r="D6636" t="s">
        <v>28</v>
      </c>
      <c r="F6636">
        <v>422</v>
      </c>
    </row>
    <row r="6637" spans="1:8" x14ac:dyDescent="0.45">
      <c r="A6637" t="s">
        <v>71</v>
      </c>
      <c r="B6637" t="s">
        <v>21</v>
      </c>
      <c r="C6637">
        <v>2</v>
      </c>
      <c r="D6637" t="s">
        <v>29</v>
      </c>
      <c r="F6637">
        <v>239</v>
      </c>
    </row>
    <row r="6638" spans="1:8" x14ac:dyDescent="0.45">
      <c r="A6638" t="s">
        <v>71</v>
      </c>
      <c r="B6638" t="s">
        <v>20</v>
      </c>
      <c r="C6638">
        <v>2</v>
      </c>
      <c r="D6638" t="s">
        <v>19</v>
      </c>
      <c r="E6638">
        <v>843634</v>
      </c>
      <c r="F6638">
        <v>2125</v>
      </c>
      <c r="G6638">
        <v>612</v>
      </c>
    </row>
    <row r="6639" spans="1:8" x14ac:dyDescent="0.45">
      <c r="A6639" t="s">
        <v>71</v>
      </c>
      <c r="B6639" t="s">
        <v>20</v>
      </c>
      <c r="C6639">
        <v>2</v>
      </c>
      <c r="D6639" t="s">
        <v>27</v>
      </c>
      <c r="F6639">
        <v>1148</v>
      </c>
    </row>
    <row r="6640" spans="1:8" x14ac:dyDescent="0.45">
      <c r="A6640" t="s">
        <v>71</v>
      </c>
      <c r="B6640" t="s">
        <v>20</v>
      </c>
      <c r="C6640">
        <v>2</v>
      </c>
      <c r="D6640" t="s">
        <v>28</v>
      </c>
      <c r="F6640">
        <v>366</v>
      </c>
    </row>
    <row r="6641" spans="1:8" x14ac:dyDescent="0.45">
      <c r="A6641" t="s">
        <v>71</v>
      </c>
      <c r="B6641" t="s">
        <v>20</v>
      </c>
      <c r="C6641">
        <v>2</v>
      </c>
      <c r="D6641" t="s">
        <v>29</v>
      </c>
      <c r="F6641">
        <v>231</v>
      </c>
    </row>
    <row r="6642" spans="1:8" x14ac:dyDescent="0.45">
      <c r="A6642" t="s">
        <v>71</v>
      </c>
      <c r="B6642" t="s">
        <v>20</v>
      </c>
      <c r="C6642">
        <v>2</v>
      </c>
      <c r="D6642" t="s">
        <v>31</v>
      </c>
      <c r="H6642">
        <v>84</v>
      </c>
    </row>
    <row r="6643" spans="1:8" x14ac:dyDescent="0.45">
      <c r="A6643" t="s">
        <v>71</v>
      </c>
      <c r="B6643" t="s">
        <v>20</v>
      </c>
      <c r="C6643">
        <v>2</v>
      </c>
      <c r="D6643" t="s">
        <v>32</v>
      </c>
      <c r="H6643">
        <v>7</v>
      </c>
    </row>
    <row r="6644" spans="1:8" x14ac:dyDescent="0.45">
      <c r="A6644" t="s">
        <v>71</v>
      </c>
      <c r="B6644" t="s">
        <v>20</v>
      </c>
      <c r="C6644">
        <v>2</v>
      </c>
      <c r="D6644" t="s">
        <v>34</v>
      </c>
      <c r="H6644">
        <v>8</v>
      </c>
    </row>
    <row r="6645" spans="1:8" x14ac:dyDescent="0.45">
      <c r="A6645" t="s">
        <v>71</v>
      </c>
      <c r="B6645" t="s">
        <v>21</v>
      </c>
      <c r="C6645">
        <v>3</v>
      </c>
      <c r="D6645" t="s">
        <v>19</v>
      </c>
      <c r="E6645">
        <v>1962140</v>
      </c>
      <c r="F6645">
        <v>3888</v>
      </c>
    </row>
    <row r="6646" spans="1:8" x14ac:dyDescent="0.45">
      <c r="A6646" t="s">
        <v>71</v>
      </c>
      <c r="B6646" t="s">
        <v>21</v>
      </c>
      <c r="C6646">
        <v>3</v>
      </c>
      <c r="D6646" t="s">
        <v>27</v>
      </c>
      <c r="F6646">
        <v>1417</v>
      </c>
    </row>
    <row r="6647" spans="1:8" x14ac:dyDescent="0.45">
      <c r="A6647" t="s">
        <v>71</v>
      </c>
      <c r="B6647" t="s">
        <v>21</v>
      </c>
      <c r="C6647">
        <v>3</v>
      </c>
      <c r="D6647" t="s">
        <v>28</v>
      </c>
      <c r="F6647">
        <v>645</v>
      </c>
    </row>
    <row r="6648" spans="1:8" x14ac:dyDescent="0.45">
      <c r="A6648" t="s">
        <v>71</v>
      </c>
      <c r="B6648" t="s">
        <v>21</v>
      </c>
      <c r="C6648">
        <v>3</v>
      </c>
      <c r="D6648" t="s">
        <v>29</v>
      </c>
      <c r="F6648">
        <v>512</v>
      </c>
    </row>
    <row r="6649" spans="1:8" x14ac:dyDescent="0.45">
      <c r="A6649" t="s">
        <v>71</v>
      </c>
      <c r="B6649" t="s">
        <v>20</v>
      </c>
      <c r="C6649">
        <v>3</v>
      </c>
      <c r="D6649" t="s">
        <v>19</v>
      </c>
      <c r="E6649">
        <v>1714188</v>
      </c>
      <c r="F6649">
        <v>3465</v>
      </c>
      <c r="G6649">
        <v>927</v>
      </c>
    </row>
    <row r="6650" spans="1:8" x14ac:dyDescent="0.45">
      <c r="A6650" t="s">
        <v>71</v>
      </c>
      <c r="B6650" t="s">
        <v>20</v>
      </c>
      <c r="C6650">
        <v>3</v>
      </c>
      <c r="D6650" t="s">
        <v>27</v>
      </c>
      <c r="F6650">
        <v>1401</v>
      </c>
    </row>
    <row r="6651" spans="1:8" x14ac:dyDescent="0.45">
      <c r="A6651" t="s">
        <v>71</v>
      </c>
      <c r="B6651" t="s">
        <v>20</v>
      </c>
      <c r="C6651">
        <v>3</v>
      </c>
      <c r="D6651" t="s">
        <v>28</v>
      </c>
      <c r="F6651">
        <v>561</v>
      </c>
    </row>
    <row r="6652" spans="1:8" x14ac:dyDescent="0.45">
      <c r="A6652" t="s">
        <v>71</v>
      </c>
      <c r="B6652" t="s">
        <v>20</v>
      </c>
      <c r="C6652">
        <v>3</v>
      </c>
      <c r="D6652" t="s">
        <v>29</v>
      </c>
      <c r="F6652">
        <v>465</v>
      </c>
    </row>
    <row r="6653" spans="1:8" x14ac:dyDescent="0.45">
      <c r="A6653" t="s">
        <v>71</v>
      </c>
      <c r="B6653" t="s">
        <v>20</v>
      </c>
      <c r="C6653">
        <v>3</v>
      </c>
      <c r="D6653" t="s">
        <v>31</v>
      </c>
      <c r="H6653">
        <v>76</v>
      </c>
    </row>
    <row r="6654" spans="1:8" x14ac:dyDescent="0.45">
      <c r="A6654" t="s">
        <v>71</v>
      </c>
      <c r="B6654" t="s">
        <v>20</v>
      </c>
      <c r="C6654">
        <v>3</v>
      </c>
      <c r="D6654" t="s">
        <v>32</v>
      </c>
      <c r="H6654">
        <v>76</v>
      </c>
    </row>
    <row r="6655" spans="1:8" x14ac:dyDescent="0.45">
      <c r="A6655" t="s">
        <v>71</v>
      </c>
      <c r="B6655" t="s">
        <v>20</v>
      </c>
      <c r="C6655">
        <v>3</v>
      </c>
      <c r="D6655" t="s">
        <v>34</v>
      </c>
      <c r="H6655">
        <v>8</v>
      </c>
    </row>
    <row r="6656" spans="1:8" x14ac:dyDescent="0.45">
      <c r="A6656" t="s">
        <v>71</v>
      </c>
      <c r="B6656" t="s">
        <v>21</v>
      </c>
      <c r="C6656">
        <v>4</v>
      </c>
      <c r="D6656" t="s">
        <v>19</v>
      </c>
      <c r="E6656">
        <v>2566995</v>
      </c>
      <c r="F6656">
        <v>4721</v>
      </c>
      <c r="H6656">
        <v>6</v>
      </c>
    </row>
    <row r="6657" spans="1:8" x14ac:dyDescent="0.45">
      <c r="A6657" t="s">
        <v>71</v>
      </c>
      <c r="B6657" t="s">
        <v>21</v>
      </c>
      <c r="C6657">
        <v>4</v>
      </c>
      <c r="D6657" t="s">
        <v>27</v>
      </c>
      <c r="F6657">
        <v>1583</v>
      </c>
    </row>
    <row r="6658" spans="1:8" x14ac:dyDescent="0.45">
      <c r="A6658" t="s">
        <v>71</v>
      </c>
      <c r="B6658" t="s">
        <v>21</v>
      </c>
      <c r="C6658">
        <v>4</v>
      </c>
      <c r="D6658" t="s">
        <v>28</v>
      </c>
      <c r="F6658">
        <v>749</v>
      </c>
    </row>
    <row r="6659" spans="1:8" x14ac:dyDescent="0.45">
      <c r="A6659" t="s">
        <v>71</v>
      </c>
      <c r="B6659" t="s">
        <v>21</v>
      </c>
      <c r="C6659">
        <v>4</v>
      </c>
      <c r="D6659" t="s">
        <v>29</v>
      </c>
      <c r="F6659">
        <v>614</v>
      </c>
    </row>
    <row r="6660" spans="1:8" x14ac:dyDescent="0.45">
      <c r="A6660" t="s">
        <v>71</v>
      </c>
      <c r="B6660" t="s">
        <v>20</v>
      </c>
      <c r="C6660">
        <v>4</v>
      </c>
      <c r="D6660" t="s">
        <v>19</v>
      </c>
      <c r="E6660">
        <v>2663014</v>
      </c>
      <c r="F6660">
        <v>4844</v>
      </c>
    </row>
    <row r="6661" spans="1:8" x14ac:dyDescent="0.45">
      <c r="A6661" t="s">
        <v>71</v>
      </c>
      <c r="B6661" t="s">
        <v>20</v>
      </c>
      <c r="C6661">
        <v>4</v>
      </c>
      <c r="D6661" t="s">
        <v>27</v>
      </c>
      <c r="F6661">
        <v>1296</v>
      </c>
    </row>
    <row r="6662" spans="1:8" x14ac:dyDescent="0.45">
      <c r="A6662" t="s">
        <v>71</v>
      </c>
      <c r="B6662" t="s">
        <v>20</v>
      </c>
      <c r="C6662">
        <v>4</v>
      </c>
      <c r="D6662" t="s">
        <v>28</v>
      </c>
      <c r="F6662">
        <v>798</v>
      </c>
    </row>
    <row r="6663" spans="1:8" x14ac:dyDescent="0.45">
      <c r="A6663" t="s">
        <v>71</v>
      </c>
      <c r="B6663" t="s">
        <v>20</v>
      </c>
      <c r="C6663">
        <v>4</v>
      </c>
      <c r="D6663" t="s">
        <v>29</v>
      </c>
      <c r="F6663">
        <v>672</v>
      </c>
    </row>
    <row r="6664" spans="1:8" x14ac:dyDescent="0.45">
      <c r="A6664" t="s">
        <v>71</v>
      </c>
      <c r="B6664" t="s">
        <v>20</v>
      </c>
      <c r="C6664">
        <v>4</v>
      </c>
      <c r="D6664" t="s">
        <v>31</v>
      </c>
      <c r="H6664">
        <v>45</v>
      </c>
    </row>
    <row r="6665" spans="1:8" x14ac:dyDescent="0.45">
      <c r="A6665" t="s">
        <v>71</v>
      </c>
      <c r="B6665" t="s">
        <v>20</v>
      </c>
      <c r="C6665">
        <v>4</v>
      </c>
      <c r="D6665" t="s">
        <v>32</v>
      </c>
      <c r="H6665">
        <v>19</v>
      </c>
    </row>
    <row r="6666" spans="1:8" x14ac:dyDescent="0.45">
      <c r="A6666" t="s">
        <v>71</v>
      </c>
      <c r="B6666" t="s">
        <v>20</v>
      </c>
      <c r="C6666">
        <v>4</v>
      </c>
      <c r="D6666" t="s">
        <v>34</v>
      </c>
      <c r="H6666">
        <v>9</v>
      </c>
    </row>
    <row r="6667" spans="1:8" x14ac:dyDescent="0.45">
      <c r="A6667" t="s">
        <v>71</v>
      </c>
      <c r="B6667" t="s">
        <v>21</v>
      </c>
      <c r="C6667">
        <v>5</v>
      </c>
      <c r="D6667" t="s">
        <v>19</v>
      </c>
      <c r="E6667">
        <v>2389316</v>
      </c>
      <c r="F6667">
        <v>4324</v>
      </c>
      <c r="H6667">
        <v>352</v>
      </c>
    </row>
    <row r="6668" spans="1:8" x14ac:dyDescent="0.45">
      <c r="A6668" t="s">
        <v>71</v>
      </c>
      <c r="B6668" t="s">
        <v>21</v>
      </c>
      <c r="C6668">
        <v>5</v>
      </c>
      <c r="D6668" t="s">
        <v>27</v>
      </c>
      <c r="F6668">
        <v>1314</v>
      </c>
    </row>
    <row r="6669" spans="1:8" x14ac:dyDescent="0.45">
      <c r="A6669" t="s">
        <v>71</v>
      </c>
      <c r="B6669" t="s">
        <v>21</v>
      </c>
      <c r="C6669">
        <v>5</v>
      </c>
      <c r="D6669" t="s">
        <v>28</v>
      </c>
      <c r="F6669">
        <v>807</v>
      </c>
    </row>
    <row r="6670" spans="1:8" x14ac:dyDescent="0.45">
      <c r="A6670" t="s">
        <v>71</v>
      </c>
      <c r="B6670" t="s">
        <v>21</v>
      </c>
      <c r="C6670">
        <v>5</v>
      </c>
      <c r="D6670" t="s">
        <v>29</v>
      </c>
      <c r="F6670">
        <v>618</v>
      </c>
    </row>
    <row r="6671" spans="1:8" x14ac:dyDescent="0.45">
      <c r="A6671" t="s">
        <v>71</v>
      </c>
      <c r="B6671" t="s">
        <v>20</v>
      </c>
      <c r="C6671">
        <v>5</v>
      </c>
      <c r="D6671" t="s">
        <v>19</v>
      </c>
      <c r="E6671">
        <v>1920619</v>
      </c>
      <c r="F6671">
        <v>3418</v>
      </c>
    </row>
    <row r="6672" spans="1:8" x14ac:dyDescent="0.45">
      <c r="A6672" t="s">
        <v>71</v>
      </c>
      <c r="B6672" t="s">
        <v>20</v>
      </c>
      <c r="C6672">
        <v>5</v>
      </c>
      <c r="D6672" t="s">
        <v>27</v>
      </c>
      <c r="F6672">
        <v>1086</v>
      </c>
    </row>
    <row r="6673" spans="1:8" x14ac:dyDescent="0.45">
      <c r="A6673" t="s">
        <v>71</v>
      </c>
      <c r="B6673" t="s">
        <v>20</v>
      </c>
      <c r="C6673">
        <v>5</v>
      </c>
      <c r="D6673" t="s">
        <v>28</v>
      </c>
      <c r="F6673">
        <v>616</v>
      </c>
    </row>
    <row r="6674" spans="1:8" x14ac:dyDescent="0.45">
      <c r="A6674" t="s">
        <v>71</v>
      </c>
      <c r="B6674" t="s">
        <v>20</v>
      </c>
      <c r="C6674">
        <v>5</v>
      </c>
      <c r="D6674" t="s">
        <v>29</v>
      </c>
      <c r="F6674">
        <v>418</v>
      </c>
    </row>
    <row r="6675" spans="1:8" x14ac:dyDescent="0.45">
      <c r="A6675" t="s">
        <v>71</v>
      </c>
      <c r="B6675" t="s">
        <v>20</v>
      </c>
      <c r="C6675">
        <v>5</v>
      </c>
      <c r="D6675" t="s">
        <v>31</v>
      </c>
      <c r="H6675">
        <v>91</v>
      </c>
    </row>
    <row r="6676" spans="1:8" x14ac:dyDescent="0.45">
      <c r="A6676" t="s">
        <v>71</v>
      </c>
      <c r="B6676" t="s">
        <v>20</v>
      </c>
      <c r="C6676">
        <v>5</v>
      </c>
      <c r="D6676" t="s">
        <v>32</v>
      </c>
      <c r="H6676">
        <v>7</v>
      </c>
    </row>
    <row r="6677" spans="1:8" x14ac:dyDescent="0.45">
      <c r="A6677" t="s">
        <v>71</v>
      </c>
      <c r="B6677" t="s">
        <v>20</v>
      </c>
      <c r="C6677">
        <v>5</v>
      </c>
      <c r="D6677" t="s">
        <v>34</v>
      </c>
      <c r="H6677">
        <v>9</v>
      </c>
    </row>
    <row r="6678" spans="1:8" x14ac:dyDescent="0.45">
      <c r="A6678" t="s">
        <v>71</v>
      </c>
      <c r="B6678" t="s">
        <v>21</v>
      </c>
      <c r="C6678">
        <v>6</v>
      </c>
      <c r="D6678" t="s">
        <v>19</v>
      </c>
      <c r="E6678">
        <v>1704755</v>
      </c>
      <c r="F6678">
        <v>3461</v>
      </c>
      <c r="G6678">
        <v>914</v>
      </c>
    </row>
    <row r="6679" spans="1:8" x14ac:dyDescent="0.45">
      <c r="A6679" t="s">
        <v>71</v>
      </c>
      <c r="B6679" t="s">
        <v>21</v>
      </c>
      <c r="C6679">
        <v>6</v>
      </c>
      <c r="D6679" t="s">
        <v>27</v>
      </c>
      <c r="F6679">
        <v>1372</v>
      </c>
    </row>
    <row r="6680" spans="1:8" x14ac:dyDescent="0.45">
      <c r="A6680" t="s">
        <v>71</v>
      </c>
      <c r="B6680" t="s">
        <v>21</v>
      </c>
      <c r="C6680">
        <v>6</v>
      </c>
      <c r="D6680" t="s">
        <v>28</v>
      </c>
      <c r="F6680">
        <v>652</v>
      </c>
    </row>
    <row r="6681" spans="1:8" x14ac:dyDescent="0.45">
      <c r="A6681" t="s">
        <v>71</v>
      </c>
      <c r="B6681" t="s">
        <v>21</v>
      </c>
      <c r="C6681">
        <v>6</v>
      </c>
      <c r="D6681" t="s">
        <v>29</v>
      </c>
      <c r="F6681">
        <v>420</v>
      </c>
    </row>
    <row r="6682" spans="1:8" x14ac:dyDescent="0.45">
      <c r="A6682" t="s">
        <v>71</v>
      </c>
      <c r="B6682" t="s">
        <v>20</v>
      </c>
      <c r="C6682">
        <v>6</v>
      </c>
      <c r="D6682" t="s">
        <v>19</v>
      </c>
      <c r="E6682">
        <v>1862213</v>
      </c>
      <c r="F6682">
        <v>3470</v>
      </c>
    </row>
    <row r="6683" spans="1:8" x14ac:dyDescent="0.45">
      <c r="A6683" t="s">
        <v>71</v>
      </c>
      <c r="B6683" t="s">
        <v>20</v>
      </c>
      <c r="C6683">
        <v>6</v>
      </c>
      <c r="D6683" t="s">
        <v>27</v>
      </c>
      <c r="F6683">
        <v>1304</v>
      </c>
    </row>
    <row r="6684" spans="1:8" x14ac:dyDescent="0.45">
      <c r="A6684" t="s">
        <v>71</v>
      </c>
      <c r="B6684" t="s">
        <v>20</v>
      </c>
      <c r="C6684">
        <v>6</v>
      </c>
      <c r="D6684" t="s">
        <v>28</v>
      </c>
      <c r="F6684">
        <v>625</v>
      </c>
    </row>
    <row r="6685" spans="1:8" x14ac:dyDescent="0.45">
      <c r="A6685" t="s">
        <v>71</v>
      </c>
      <c r="B6685" t="s">
        <v>20</v>
      </c>
      <c r="C6685">
        <v>6</v>
      </c>
      <c r="D6685" t="s">
        <v>29</v>
      </c>
      <c r="F6685">
        <v>447</v>
      </c>
    </row>
    <row r="6686" spans="1:8" x14ac:dyDescent="0.45">
      <c r="A6686" t="s">
        <v>71</v>
      </c>
      <c r="B6686" t="s">
        <v>20</v>
      </c>
      <c r="C6686">
        <v>6</v>
      </c>
      <c r="D6686" t="s">
        <v>31</v>
      </c>
      <c r="H6686">
        <v>38</v>
      </c>
    </row>
    <row r="6687" spans="1:8" x14ac:dyDescent="0.45">
      <c r="A6687" t="s">
        <v>71</v>
      </c>
      <c r="B6687" t="s">
        <v>20</v>
      </c>
      <c r="C6687">
        <v>6</v>
      </c>
      <c r="D6687" t="s">
        <v>32</v>
      </c>
      <c r="H6687">
        <v>3</v>
      </c>
    </row>
    <row r="6688" spans="1:8" x14ac:dyDescent="0.45">
      <c r="A6688" t="s">
        <v>71</v>
      </c>
      <c r="B6688" t="s">
        <v>20</v>
      </c>
      <c r="C6688">
        <v>6</v>
      </c>
      <c r="D6688" t="s">
        <v>34</v>
      </c>
      <c r="H6688">
        <v>6</v>
      </c>
    </row>
    <row r="6689" spans="1:8" x14ac:dyDescent="0.45">
      <c r="A6689" t="s">
        <v>71</v>
      </c>
      <c r="B6689" t="s">
        <v>21</v>
      </c>
      <c r="C6689">
        <v>7</v>
      </c>
      <c r="D6689" t="s">
        <v>19</v>
      </c>
      <c r="E6689">
        <v>1397109</v>
      </c>
      <c r="F6689">
        <v>3035</v>
      </c>
      <c r="G6689">
        <v>831</v>
      </c>
    </row>
    <row r="6690" spans="1:8" x14ac:dyDescent="0.45">
      <c r="A6690" t="s">
        <v>71</v>
      </c>
      <c r="B6690" t="s">
        <v>21</v>
      </c>
      <c r="C6690">
        <v>7</v>
      </c>
      <c r="D6690" t="s">
        <v>27</v>
      </c>
      <c r="F6690">
        <v>1402</v>
      </c>
    </row>
    <row r="6691" spans="1:8" x14ac:dyDescent="0.45">
      <c r="A6691" t="s">
        <v>71</v>
      </c>
      <c r="B6691" t="s">
        <v>21</v>
      </c>
      <c r="C6691">
        <v>7</v>
      </c>
      <c r="D6691" t="s">
        <v>28</v>
      </c>
      <c r="F6691">
        <v>607</v>
      </c>
    </row>
    <row r="6692" spans="1:8" x14ac:dyDescent="0.45">
      <c r="A6692" t="s">
        <v>71</v>
      </c>
      <c r="B6692" t="s">
        <v>21</v>
      </c>
      <c r="C6692">
        <v>7</v>
      </c>
      <c r="D6692" t="s">
        <v>29</v>
      </c>
      <c r="F6692">
        <v>289</v>
      </c>
    </row>
    <row r="6693" spans="1:8" x14ac:dyDescent="0.45">
      <c r="A6693" t="s">
        <v>71</v>
      </c>
      <c r="B6693" t="s">
        <v>20</v>
      </c>
      <c r="C6693">
        <v>7</v>
      </c>
      <c r="D6693" t="s">
        <v>19</v>
      </c>
      <c r="E6693">
        <v>1172361</v>
      </c>
      <c r="F6693">
        <v>2474</v>
      </c>
      <c r="G6693">
        <v>698</v>
      </c>
    </row>
    <row r="6694" spans="1:8" x14ac:dyDescent="0.45">
      <c r="A6694" t="s">
        <v>71</v>
      </c>
      <c r="B6694" t="s">
        <v>20</v>
      </c>
      <c r="C6694">
        <v>7</v>
      </c>
      <c r="D6694" t="s">
        <v>27</v>
      </c>
      <c r="F6694">
        <v>1077</v>
      </c>
    </row>
    <row r="6695" spans="1:8" x14ac:dyDescent="0.45">
      <c r="A6695" t="s">
        <v>71</v>
      </c>
      <c r="B6695" t="s">
        <v>20</v>
      </c>
      <c r="C6695">
        <v>7</v>
      </c>
      <c r="D6695" t="s">
        <v>28</v>
      </c>
      <c r="F6695">
        <v>481</v>
      </c>
    </row>
    <row r="6696" spans="1:8" x14ac:dyDescent="0.45">
      <c r="A6696" t="s">
        <v>71</v>
      </c>
      <c r="B6696" t="s">
        <v>20</v>
      </c>
      <c r="C6696">
        <v>7</v>
      </c>
      <c r="D6696" t="s">
        <v>29</v>
      </c>
      <c r="F6696">
        <v>277</v>
      </c>
    </row>
    <row r="6697" spans="1:8" x14ac:dyDescent="0.45">
      <c r="A6697" t="s">
        <v>71</v>
      </c>
      <c r="B6697" t="s">
        <v>20</v>
      </c>
      <c r="C6697">
        <v>7</v>
      </c>
      <c r="D6697" t="s">
        <v>31</v>
      </c>
      <c r="H6697">
        <v>170</v>
      </c>
    </row>
    <row r="6698" spans="1:8" x14ac:dyDescent="0.45">
      <c r="A6698" t="s">
        <v>71</v>
      </c>
      <c r="B6698" t="s">
        <v>20</v>
      </c>
      <c r="C6698">
        <v>7</v>
      </c>
      <c r="D6698" t="s">
        <v>32</v>
      </c>
      <c r="H6698">
        <v>5</v>
      </c>
    </row>
    <row r="6699" spans="1:8" x14ac:dyDescent="0.45">
      <c r="A6699" t="s">
        <v>71</v>
      </c>
      <c r="B6699" t="s">
        <v>20</v>
      </c>
      <c r="C6699">
        <v>7</v>
      </c>
      <c r="D6699" t="s">
        <v>34</v>
      </c>
      <c r="H6699">
        <v>4</v>
      </c>
    </row>
    <row r="6700" spans="1:8" x14ac:dyDescent="0.45">
      <c r="A6700" t="s">
        <v>71</v>
      </c>
      <c r="B6700" t="s">
        <v>21</v>
      </c>
      <c r="C6700">
        <v>8</v>
      </c>
      <c r="D6700" t="s">
        <v>19</v>
      </c>
      <c r="E6700">
        <v>1004836</v>
      </c>
      <c r="F6700">
        <v>2524</v>
      </c>
      <c r="G6700">
        <v>703</v>
      </c>
    </row>
    <row r="6701" spans="1:8" x14ac:dyDescent="0.45">
      <c r="A6701" t="s">
        <v>71</v>
      </c>
      <c r="B6701" t="s">
        <v>21</v>
      </c>
      <c r="C6701">
        <v>8</v>
      </c>
      <c r="D6701" t="s">
        <v>27</v>
      </c>
      <c r="F6701">
        <v>1181</v>
      </c>
      <c r="G6701">
        <v>793</v>
      </c>
    </row>
    <row r="6702" spans="1:8" x14ac:dyDescent="0.45">
      <c r="A6702" t="s">
        <v>71</v>
      </c>
      <c r="B6702" t="s">
        <v>21</v>
      </c>
      <c r="C6702">
        <v>8</v>
      </c>
      <c r="D6702" t="s">
        <v>28</v>
      </c>
      <c r="F6702">
        <v>601</v>
      </c>
      <c r="G6702">
        <v>1118</v>
      </c>
    </row>
    <row r="6703" spans="1:8" x14ac:dyDescent="0.45">
      <c r="A6703" t="s">
        <v>71</v>
      </c>
      <c r="B6703" t="s">
        <v>21</v>
      </c>
      <c r="C6703">
        <v>8</v>
      </c>
      <c r="D6703" t="s">
        <v>29</v>
      </c>
      <c r="F6703">
        <v>218</v>
      </c>
      <c r="G6703">
        <v>990</v>
      </c>
    </row>
    <row r="6704" spans="1:8" x14ac:dyDescent="0.45">
      <c r="A6704" t="s">
        <v>71</v>
      </c>
      <c r="B6704" t="s">
        <v>20</v>
      </c>
      <c r="C6704">
        <v>8</v>
      </c>
      <c r="D6704" t="s">
        <v>19</v>
      </c>
      <c r="E6704">
        <v>1039857</v>
      </c>
      <c r="F6704">
        <v>2261</v>
      </c>
      <c r="G6704">
        <v>647</v>
      </c>
    </row>
    <row r="6705" spans="1:8" x14ac:dyDescent="0.45">
      <c r="A6705" t="s">
        <v>71</v>
      </c>
      <c r="B6705" t="s">
        <v>20</v>
      </c>
      <c r="C6705">
        <v>8</v>
      </c>
      <c r="D6705" t="s">
        <v>27</v>
      </c>
      <c r="F6705">
        <v>1005</v>
      </c>
      <c r="G6705">
        <v>1047</v>
      </c>
    </row>
    <row r="6706" spans="1:8" x14ac:dyDescent="0.45">
      <c r="A6706" t="s">
        <v>71</v>
      </c>
      <c r="B6706" t="s">
        <v>20</v>
      </c>
      <c r="C6706">
        <v>8</v>
      </c>
      <c r="D6706" t="s">
        <v>28</v>
      </c>
      <c r="F6706">
        <v>509</v>
      </c>
      <c r="G6706">
        <v>765</v>
      </c>
    </row>
    <row r="6707" spans="1:8" x14ac:dyDescent="0.45">
      <c r="A6707" t="s">
        <v>71</v>
      </c>
      <c r="B6707" t="s">
        <v>20</v>
      </c>
      <c r="C6707">
        <v>8</v>
      </c>
      <c r="D6707" t="s">
        <v>29</v>
      </c>
      <c r="F6707">
        <v>218</v>
      </c>
      <c r="G6707">
        <v>1127</v>
      </c>
    </row>
    <row r="6708" spans="1:8" x14ac:dyDescent="0.45">
      <c r="A6708" t="s">
        <v>71</v>
      </c>
      <c r="B6708" t="s">
        <v>20</v>
      </c>
      <c r="C6708">
        <v>8</v>
      </c>
      <c r="D6708" t="s">
        <v>31</v>
      </c>
      <c r="H6708">
        <v>16</v>
      </c>
    </row>
    <row r="6709" spans="1:8" x14ac:dyDescent="0.45">
      <c r="A6709" t="s">
        <v>71</v>
      </c>
      <c r="B6709" t="s">
        <v>20</v>
      </c>
      <c r="C6709">
        <v>8</v>
      </c>
      <c r="D6709" t="s">
        <v>32</v>
      </c>
      <c r="H6709">
        <v>12</v>
      </c>
    </row>
    <row r="6710" spans="1:8" x14ac:dyDescent="0.45">
      <c r="A6710" t="s">
        <v>71</v>
      </c>
      <c r="B6710" t="s">
        <v>20</v>
      </c>
      <c r="C6710">
        <v>8</v>
      </c>
      <c r="D6710" t="s">
        <v>34</v>
      </c>
      <c r="H6710">
        <v>3</v>
      </c>
    </row>
    <row r="6711" spans="1:8" x14ac:dyDescent="0.45">
      <c r="A6711" t="s">
        <v>71</v>
      </c>
      <c r="B6711" t="s">
        <v>21</v>
      </c>
      <c r="C6711">
        <v>9</v>
      </c>
      <c r="D6711" t="s">
        <v>19</v>
      </c>
      <c r="E6711">
        <v>955391</v>
      </c>
      <c r="F6711">
        <v>2630</v>
      </c>
      <c r="G6711">
        <v>712</v>
      </c>
    </row>
    <row r="6712" spans="1:8" x14ac:dyDescent="0.45">
      <c r="A6712" t="s">
        <v>71</v>
      </c>
      <c r="B6712" t="s">
        <v>21</v>
      </c>
      <c r="C6712">
        <v>9</v>
      </c>
      <c r="D6712" t="s">
        <v>27</v>
      </c>
      <c r="F6712">
        <v>1413</v>
      </c>
    </row>
    <row r="6713" spans="1:8" x14ac:dyDescent="0.45">
      <c r="A6713" t="s">
        <v>71</v>
      </c>
      <c r="B6713" t="s">
        <v>21</v>
      </c>
      <c r="C6713">
        <v>9</v>
      </c>
      <c r="D6713" t="s">
        <v>28</v>
      </c>
      <c r="F6713">
        <v>525</v>
      </c>
    </row>
    <row r="6714" spans="1:8" x14ac:dyDescent="0.45">
      <c r="A6714" t="s">
        <v>71</v>
      </c>
      <c r="B6714" t="s">
        <v>21</v>
      </c>
      <c r="C6714">
        <v>9</v>
      </c>
      <c r="D6714" t="s">
        <v>29</v>
      </c>
      <c r="F6714">
        <v>209</v>
      </c>
    </row>
    <row r="6715" spans="1:8" x14ac:dyDescent="0.45">
      <c r="A6715" t="s">
        <v>71</v>
      </c>
      <c r="B6715" t="s">
        <v>20</v>
      </c>
      <c r="C6715">
        <v>9</v>
      </c>
      <c r="D6715" t="s">
        <v>19</v>
      </c>
      <c r="E6715">
        <v>1132965</v>
      </c>
      <c r="F6715">
        <v>2725</v>
      </c>
      <c r="G6715">
        <v>745</v>
      </c>
    </row>
    <row r="6716" spans="1:8" x14ac:dyDescent="0.45">
      <c r="A6716" t="s">
        <v>71</v>
      </c>
      <c r="B6716" t="s">
        <v>20</v>
      </c>
      <c r="C6716">
        <v>9</v>
      </c>
      <c r="D6716" t="s">
        <v>27</v>
      </c>
      <c r="F6716">
        <v>1301</v>
      </c>
    </row>
    <row r="6717" spans="1:8" x14ac:dyDescent="0.45">
      <c r="A6717" t="s">
        <v>71</v>
      </c>
      <c r="B6717" t="s">
        <v>20</v>
      </c>
      <c r="C6717">
        <v>9</v>
      </c>
      <c r="D6717" t="s">
        <v>28</v>
      </c>
      <c r="F6717">
        <v>572</v>
      </c>
    </row>
    <row r="6718" spans="1:8" x14ac:dyDescent="0.45">
      <c r="A6718" t="s">
        <v>71</v>
      </c>
      <c r="B6718" t="s">
        <v>20</v>
      </c>
      <c r="C6718">
        <v>9</v>
      </c>
      <c r="D6718" t="s">
        <v>29</v>
      </c>
      <c r="F6718">
        <v>263</v>
      </c>
    </row>
    <row r="6719" spans="1:8" x14ac:dyDescent="0.45">
      <c r="A6719" t="s">
        <v>71</v>
      </c>
      <c r="B6719" t="s">
        <v>20</v>
      </c>
      <c r="C6719">
        <v>9</v>
      </c>
      <c r="D6719" t="s">
        <v>31</v>
      </c>
      <c r="H6719">
        <v>116</v>
      </c>
    </row>
    <row r="6720" spans="1:8" x14ac:dyDescent="0.45">
      <c r="A6720" t="s">
        <v>71</v>
      </c>
      <c r="B6720" t="s">
        <v>20</v>
      </c>
      <c r="C6720">
        <v>9</v>
      </c>
      <c r="D6720" t="s">
        <v>32</v>
      </c>
      <c r="H6720">
        <v>14</v>
      </c>
    </row>
    <row r="6721" spans="1:8" x14ac:dyDescent="0.45">
      <c r="A6721" t="s">
        <v>71</v>
      </c>
      <c r="B6721" t="s">
        <v>20</v>
      </c>
      <c r="C6721">
        <v>9</v>
      </c>
      <c r="D6721" t="s">
        <v>34</v>
      </c>
      <c r="H6721">
        <v>1</v>
      </c>
    </row>
    <row r="6722" spans="1:8" x14ac:dyDescent="0.45">
      <c r="A6722" t="s">
        <v>71</v>
      </c>
      <c r="B6722" t="s">
        <v>21</v>
      </c>
      <c r="C6722">
        <v>10</v>
      </c>
      <c r="D6722" t="s">
        <v>19</v>
      </c>
      <c r="E6722">
        <v>1631711</v>
      </c>
      <c r="F6722">
        <v>4170</v>
      </c>
      <c r="G6722">
        <v>1040</v>
      </c>
    </row>
    <row r="6723" spans="1:8" x14ac:dyDescent="0.45">
      <c r="A6723" t="s">
        <v>71</v>
      </c>
      <c r="B6723" t="s">
        <v>21</v>
      </c>
      <c r="C6723">
        <v>10</v>
      </c>
      <c r="D6723" t="s">
        <v>27</v>
      </c>
      <c r="F6723">
        <v>1848</v>
      </c>
    </row>
    <row r="6724" spans="1:8" x14ac:dyDescent="0.45">
      <c r="A6724" t="s">
        <v>71</v>
      </c>
      <c r="B6724" t="s">
        <v>21</v>
      </c>
      <c r="C6724">
        <v>10</v>
      </c>
      <c r="D6724" t="s">
        <v>28</v>
      </c>
      <c r="F6724">
        <v>870</v>
      </c>
    </row>
    <row r="6725" spans="1:8" x14ac:dyDescent="0.45">
      <c r="A6725" t="s">
        <v>71</v>
      </c>
      <c r="B6725" t="s">
        <v>21</v>
      </c>
      <c r="C6725">
        <v>10</v>
      </c>
      <c r="D6725" t="s">
        <v>29</v>
      </c>
      <c r="F6725">
        <v>502</v>
      </c>
    </row>
    <row r="6726" spans="1:8" x14ac:dyDescent="0.45">
      <c r="A6726" t="s">
        <v>71</v>
      </c>
      <c r="B6726" t="s">
        <v>20</v>
      </c>
      <c r="C6726">
        <v>10</v>
      </c>
      <c r="D6726" t="s">
        <v>19</v>
      </c>
      <c r="E6726">
        <v>1631750</v>
      </c>
      <c r="F6726">
        <v>3732</v>
      </c>
      <c r="G6726">
        <v>1004</v>
      </c>
    </row>
    <row r="6727" spans="1:8" x14ac:dyDescent="0.45">
      <c r="A6727" t="s">
        <v>71</v>
      </c>
      <c r="B6727" t="s">
        <v>20</v>
      </c>
      <c r="C6727">
        <v>10</v>
      </c>
      <c r="D6727" t="s">
        <v>27</v>
      </c>
      <c r="F6727">
        <v>1600</v>
      </c>
    </row>
    <row r="6728" spans="1:8" x14ac:dyDescent="0.45">
      <c r="A6728" t="s">
        <v>71</v>
      </c>
      <c r="B6728" t="s">
        <v>20</v>
      </c>
      <c r="C6728">
        <v>10</v>
      </c>
      <c r="D6728" t="s">
        <v>28</v>
      </c>
      <c r="F6728">
        <v>798</v>
      </c>
    </row>
    <row r="6729" spans="1:8" x14ac:dyDescent="0.45">
      <c r="A6729" t="s">
        <v>71</v>
      </c>
      <c r="B6729" t="s">
        <v>20</v>
      </c>
      <c r="C6729">
        <v>10</v>
      </c>
      <c r="D6729" t="s">
        <v>29</v>
      </c>
      <c r="F6729">
        <v>473</v>
      </c>
    </row>
    <row r="6730" spans="1:8" x14ac:dyDescent="0.45">
      <c r="A6730" t="s">
        <v>71</v>
      </c>
      <c r="B6730" t="s">
        <v>20</v>
      </c>
      <c r="C6730">
        <v>10</v>
      </c>
      <c r="D6730" t="s">
        <v>31</v>
      </c>
      <c r="H6730">
        <v>166</v>
      </c>
    </row>
    <row r="6731" spans="1:8" x14ac:dyDescent="0.45">
      <c r="A6731" t="s">
        <v>71</v>
      </c>
      <c r="B6731" t="s">
        <v>20</v>
      </c>
      <c r="C6731">
        <v>10</v>
      </c>
      <c r="D6731" t="s">
        <v>32</v>
      </c>
      <c r="H6731">
        <v>17</v>
      </c>
    </row>
    <row r="6732" spans="1:8" x14ac:dyDescent="0.45">
      <c r="A6732" t="s">
        <v>71</v>
      </c>
      <c r="B6732" t="s">
        <v>20</v>
      </c>
      <c r="C6732">
        <v>10</v>
      </c>
      <c r="D6732" t="s">
        <v>34</v>
      </c>
      <c r="H6732">
        <v>6</v>
      </c>
    </row>
    <row r="6733" spans="1:8" x14ac:dyDescent="0.45">
      <c r="A6733" t="s">
        <v>71</v>
      </c>
      <c r="B6733" t="s">
        <v>21</v>
      </c>
      <c r="C6733">
        <v>11</v>
      </c>
      <c r="D6733" t="s">
        <v>19</v>
      </c>
      <c r="E6733">
        <v>1217205</v>
      </c>
      <c r="F6733">
        <v>3089</v>
      </c>
      <c r="G6733">
        <v>802</v>
      </c>
    </row>
    <row r="6734" spans="1:8" x14ac:dyDescent="0.45">
      <c r="A6734" t="s">
        <v>71</v>
      </c>
      <c r="B6734" t="s">
        <v>21</v>
      </c>
      <c r="C6734">
        <v>11</v>
      </c>
      <c r="D6734" t="s">
        <v>27</v>
      </c>
      <c r="F6734">
        <v>1525</v>
      </c>
    </row>
    <row r="6735" spans="1:8" x14ac:dyDescent="0.45">
      <c r="A6735" t="s">
        <v>71</v>
      </c>
      <c r="B6735" t="s">
        <v>21</v>
      </c>
      <c r="C6735">
        <v>11</v>
      </c>
      <c r="D6735" t="s">
        <v>28</v>
      </c>
      <c r="F6735">
        <v>559</v>
      </c>
    </row>
    <row r="6736" spans="1:8" x14ac:dyDescent="0.45">
      <c r="A6736" t="s">
        <v>71</v>
      </c>
      <c r="B6736" t="s">
        <v>21</v>
      </c>
      <c r="C6736">
        <v>11</v>
      </c>
      <c r="D6736" t="s">
        <v>29</v>
      </c>
      <c r="F6736">
        <v>376</v>
      </c>
    </row>
    <row r="6737" spans="1:8" x14ac:dyDescent="0.45">
      <c r="A6737" t="s">
        <v>71</v>
      </c>
      <c r="B6737" t="s">
        <v>20</v>
      </c>
      <c r="C6737">
        <v>11</v>
      </c>
      <c r="D6737" t="s">
        <v>19</v>
      </c>
      <c r="E6737">
        <v>1281603</v>
      </c>
      <c r="F6737">
        <v>3121</v>
      </c>
      <c r="G6737">
        <v>840</v>
      </c>
    </row>
    <row r="6738" spans="1:8" x14ac:dyDescent="0.45">
      <c r="A6738" t="s">
        <v>71</v>
      </c>
      <c r="B6738" t="s">
        <v>20</v>
      </c>
      <c r="C6738">
        <v>11</v>
      </c>
      <c r="D6738" t="s">
        <v>27</v>
      </c>
      <c r="F6738">
        <v>1423</v>
      </c>
    </row>
    <row r="6739" spans="1:8" x14ac:dyDescent="0.45">
      <c r="A6739" t="s">
        <v>71</v>
      </c>
      <c r="B6739" t="s">
        <v>20</v>
      </c>
      <c r="C6739">
        <v>11</v>
      </c>
      <c r="D6739" t="s">
        <v>28</v>
      </c>
      <c r="F6739">
        <v>642</v>
      </c>
    </row>
    <row r="6740" spans="1:8" x14ac:dyDescent="0.45">
      <c r="A6740" t="s">
        <v>71</v>
      </c>
      <c r="B6740" t="s">
        <v>20</v>
      </c>
      <c r="C6740">
        <v>11</v>
      </c>
      <c r="D6740" t="s">
        <v>29</v>
      </c>
      <c r="F6740">
        <v>424</v>
      </c>
    </row>
    <row r="6741" spans="1:8" x14ac:dyDescent="0.45">
      <c r="A6741" t="s">
        <v>71</v>
      </c>
      <c r="B6741" t="s">
        <v>20</v>
      </c>
      <c r="C6741">
        <v>11</v>
      </c>
      <c r="D6741" t="s">
        <v>31</v>
      </c>
      <c r="H6741">
        <v>219</v>
      </c>
    </row>
    <row r="6742" spans="1:8" x14ac:dyDescent="0.45">
      <c r="A6742" t="s">
        <v>71</v>
      </c>
      <c r="B6742" t="s">
        <v>20</v>
      </c>
      <c r="C6742">
        <v>11</v>
      </c>
      <c r="D6742" t="s">
        <v>32</v>
      </c>
      <c r="H6742">
        <v>8</v>
      </c>
    </row>
    <row r="6743" spans="1:8" x14ac:dyDescent="0.45">
      <c r="A6743" t="s">
        <v>71</v>
      </c>
      <c r="B6743" t="s">
        <v>20</v>
      </c>
      <c r="C6743">
        <v>11</v>
      </c>
      <c r="D6743" t="s">
        <v>34</v>
      </c>
      <c r="H6743">
        <v>6</v>
      </c>
    </row>
    <row r="6744" spans="1:8" x14ac:dyDescent="0.45">
      <c r="A6744" t="s">
        <v>71</v>
      </c>
      <c r="B6744" t="s">
        <v>21</v>
      </c>
      <c r="C6744">
        <v>12</v>
      </c>
      <c r="D6744" t="s">
        <v>19</v>
      </c>
      <c r="E6744">
        <v>1320779</v>
      </c>
      <c r="F6744">
        <v>3513</v>
      </c>
      <c r="G6744">
        <v>833</v>
      </c>
    </row>
    <row r="6745" spans="1:8" x14ac:dyDescent="0.45">
      <c r="A6745" t="s">
        <v>71</v>
      </c>
      <c r="B6745" t="s">
        <v>21</v>
      </c>
      <c r="C6745">
        <v>12</v>
      </c>
      <c r="D6745" t="s">
        <v>27</v>
      </c>
      <c r="F6745">
        <v>1601</v>
      </c>
    </row>
    <row r="6746" spans="1:8" x14ac:dyDescent="0.45">
      <c r="A6746" t="s">
        <v>71</v>
      </c>
      <c r="B6746" t="s">
        <v>21</v>
      </c>
      <c r="C6746">
        <v>12</v>
      </c>
      <c r="D6746" t="s">
        <v>28</v>
      </c>
      <c r="F6746">
        <v>731</v>
      </c>
    </row>
    <row r="6747" spans="1:8" x14ac:dyDescent="0.45">
      <c r="A6747" t="s">
        <v>71</v>
      </c>
      <c r="B6747" t="s">
        <v>21</v>
      </c>
      <c r="C6747">
        <v>12</v>
      </c>
      <c r="D6747" t="s">
        <v>29</v>
      </c>
      <c r="F6747">
        <v>483</v>
      </c>
    </row>
    <row r="6748" spans="1:8" x14ac:dyDescent="0.45">
      <c r="A6748" t="s">
        <v>71</v>
      </c>
      <c r="B6748" t="s">
        <v>20</v>
      </c>
      <c r="C6748">
        <v>12</v>
      </c>
      <c r="D6748" t="s">
        <v>19</v>
      </c>
      <c r="E6748">
        <v>1347230</v>
      </c>
      <c r="F6748">
        <v>3325</v>
      </c>
      <c r="G6748">
        <v>860</v>
      </c>
    </row>
    <row r="6749" spans="1:8" x14ac:dyDescent="0.45">
      <c r="A6749" t="s">
        <v>71</v>
      </c>
      <c r="B6749" t="s">
        <v>20</v>
      </c>
      <c r="C6749">
        <v>12</v>
      </c>
      <c r="D6749" t="s">
        <v>27</v>
      </c>
      <c r="F6749">
        <v>1455</v>
      </c>
    </row>
    <row r="6750" spans="1:8" x14ac:dyDescent="0.45">
      <c r="A6750" t="s">
        <v>71</v>
      </c>
      <c r="B6750" t="s">
        <v>20</v>
      </c>
      <c r="C6750">
        <v>12</v>
      </c>
      <c r="D6750" t="s">
        <v>28</v>
      </c>
      <c r="F6750">
        <v>657</v>
      </c>
    </row>
    <row r="6751" spans="1:8" x14ac:dyDescent="0.45">
      <c r="A6751" t="s">
        <v>71</v>
      </c>
      <c r="B6751" t="s">
        <v>20</v>
      </c>
      <c r="C6751">
        <v>12</v>
      </c>
      <c r="D6751" t="s">
        <v>29</v>
      </c>
      <c r="F6751">
        <v>457</v>
      </c>
    </row>
    <row r="6752" spans="1:8" x14ac:dyDescent="0.45">
      <c r="A6752" t="s">
        <v>71</v>
      </c>
      <c r="B6752" t="s">
        <v>20</v>
      </c>
      <c r="C6752">
        <v>12</v>
      </c>
      <c r="D6752" t="s">
        <v>31</v>
      </c>
      <c r="H6752">
        <v>74</v>
      </c>
    </row>
    <row r="6753" spans="1:8" x14ac:dyDescent="0.45">
      <c r="A6753" t="s">
        <v>71</v>
      </c>
      <c r="B6753" t="s">
        <v>20</v>
      </c>
      <c r="C6753">
        <v>12</v>
      </c>
      <c r="D6753" t="s">
        <v>32</v>
      </c>
      <c r="H6753">
        <v>5</v>
      </c>
    </row>
    <row r="6754" spans="1:8" x14ac:dyDescent="0.45">
      <c r="A6754" t="s">
        <v>71</v>
      </c>
      <c r="B6754" t="s">
        <v>20</v>
      </c>
      <c r="C6754">
        <v>12</v>
      </c>
      <c r="D6754" t="s">
        <v>34</v>
      </c>
      <c r="H6754">
        <v>6</v>
      </c>
    </row>
    <row r="6755" spans="1:8" x14ac:dyDescent="0.45">
      <c r="A6755" t="s">
        <v>69</v>
      </c>
      <c r="B6755" t="s">
        <v>21</v>
      </c>
      <c r="C6755">
        <v>1</v>
      </c>
      <c r="D6755" t="s">
        <v>19</v>
      </c>
      <c r="E6755">
        <v>862931</v>
      </c>
      <c r="F6755">
        <v>1892</v>
      </c>
      <c r="G6755">
        <v>524</v>
      </c>
    </row>
    <row r="6756" spans="1:8" x14ac:dyDescent="0.45">
      <c r="A6756" t="s">
        <v>69</v>
      </c>
      <c r="B6756" t="s">
        <v>21</v>
      </c>
      <c r="C6756">
        <v>1</v>
      </c>
      <c r="D6756" t="s">
        <v>27</v>
      </c>
      <c r="F6756">
        <v>726</v>
      </c>
    </row>
    <row r="6757" spans="1:8" x14ac:dyDescent="0.45">
      <c r="A6757" t="s">
        <v>69</v>
      </c>
      <c r="B6757" t="s">
        <v>21</v>
      </c>
      <c r="C6757">
        <v>1</v>
      </c>
      <c r="D6757" t="s">
        <v>28</v>
      </c>
      <c r="F6757">
        <v>342</v>
      </c>
    </row>
    <row r="6758" spans="1:8" x14ac:dyDescent="0.45">
      <c r="A6758" t="s">
        <v>69</v>
      </c>
      <c r="B6758" t="s">
        <v>21</v>
      </c>
      <c r="C6758">
        <v>1</v>
      </c>
      <c r="D6758" t="s">
        <v>29</v>
      </c>
      <c r="F6758">
        <v>251</v>
      </c>
    </row>
    <row r="6759" spans="1:8" x14ac:dyDescent="0.45">
      <c r="A6759" t="s">
        <v>69</v>
      </c>
      <c r="B6759" t="s">
        <v>20</v>
      </c>
      <c r="C6759">
        <v>1</v>
      </c>
      <c r="D6759" t="s">
        <v>19</v>
      </c>
      <c r="E6759">
        <v>1014771</v>
      </c>
      <c r="F6759">
        <v>2062</v>
      </c>
      <c r="G6759">
        <v>593</v>
      </c>
    </row>
    <row r="6760" spans="1:8" x14ac:dyDescent="0.45">
      <c r="A6760" t="s">
        <v>69</v>
      </c>
      <c r="B6760" t="s">
        <v>20</v>
      </c>
      <c r="C6760">
        <v>1</v>
      </c>
      <c r="D6760" t="s">
        <v>27</v>
      </c>
      <c r="F6760">
        <v>691</v>
      </c>
    </row>
    <row r="6761" spans="1:8" x14ac:dyDescent="0.45">
      <c r="A6761" t="s">
        <v>69</v>
      </c>
      <c r="B6761" t="s">
        <v>20</v>
      </c>
      <c r="C6761">
        <v>1</v>
      </c>
      <c r="D6761" t="s">
        <v>28</v>
      </c>
      <c r="F6761">
        <v>414</v>
      </c>
    </row>
    <row r="6762" spans="1:8" x14ac:dyDescent="0.45">
      <c r="A6762" t="s">
        <v>69</v>
      </c>
      <c r="B6762" t="s">
        <v>20</v>
      </c>
      <c r="C6762">
        <v>1</v>
      </c>
      <c r="D6762" t="s">
        <v>29</v>
      </c>
      <c r="F6762">
        <v>343</v>
      </c>
    </row>
    <row r="6763" spans="1:8" x14ac:dyDescent="0.45">
      <c r="A6763" t="s">
        <v>69</v>
      </c>
      <c r="B6763" t="s">
        <v>20</v>
      </c>
      <c r="C6763">
        <v>1</v>
      </c>
      <c r="D6763" t="s">
        <v>31</v>
      </c>
      <c r="H6763">
        <v>116</v>
      </c>
    </row>
    <row r="6764" spans="1:8" x14ac:dyDescent="0.45">
      <c r="A6764" t="s">
        <v>69</v>
      </c>
      <c r="B6764" t="s">
        <v>20</v>
      </c>
      <c r="C6764">
        <v>1</v>
      </c>
      <c r="D6764" t="s">
        <v>32</v>
      </c>
      <c r="H6764">
        <v>9</v>
      </c>
    </row>
    <row r="6765" spans="1:8" x14ac:dyDescent="0.45">
      <c r="A6765" t="s">
        <v>69</v>
      </c>
      <c r="B6765" t="s">
        <v>20</v>
      </c>
      <c r="C6765">
        <v>1</v>
      </c>
      <c r="D6765" t="s">
        <v>34</v>
      </c>
    </row>
    <row r="6766" spans="1:8" x14ac:dyDescent="0.45">
      <c r="A6766" t="s">
        <v>69</v>
      </c>
      <c r="B6766" t="s">
        <v>21</v>
      </c>
      <c r="C6766">
        <v>2</v>
      </c>
      <c r="D6766" t="s">
        <v>19</v>
      </c>
      <c r="E6766">
        <v>814316</v>
      </c>
      <c r="F6766">
        <v>1765</v>
      </c>
      <c r="G6766">
        <v>501</v>
      </c>
    </row>
    <row r="6767" spans="1:8" x14ac:dyDescent="0.45">
      <c r="A6767" t="s">
        <v>69</v>
      </c>
      <c r="B6767" t="s">
        <v>21</v>
      </c>
      <c r="C6767">
        <v>2</v>
      </c>
      <c r="D6767" t="s">
        <v>27</v>
      </c>
      <c r="F6767">
        <v>773</v>
      </c>
    </row>
    <row r="6768" spans="1:8" x14ac:dyDescent="0.45">
      <c r="A6768" t="s">
        <v>69</v>
      </c>
      <c r="B6768" t="s">
        <v>21</v>
      </c>
      <c r="C6768">
        <v>2</v>
      </c>
      <c r="D6768" t="s">
        <v>28</v>
      </c>
      <c r="F6768">
        <v>292</v>
      </c>
    </row>
    <row r="6769" spans="1:8" x14ac:dyDescent="0.45">
      <c r="A6769" t="s">
        <v>69</v>
      </c>
      <c r="B6769" t="s">
        <v>21</v>
      </c>
      <c r="C6769">
        <v>2</v>
      </c>
      <c r="D6769" t="s">
        <v>29</v>
      </c>
      <c r="F6769">
        <v>237</v>
      </c>
    </row>
    <row r="6770" spans="1:8" x14ac:dyDescent="0.45">
      <c r="A6770" t="s">
        <v>69</v>
      </c>
      <c r="B6770" t="s">
        <v>20</v>
      </c>
      <c r="C6770">
        <v>2</v>
      </c>
      <c r="D6770" t="s">
        <v>19</v>
      </c>
      <c r="E6770">
        <v>842307</v>
      </c>
      <c r="F6770">
        <v>1739</v>
      </c>
      <c r="G6770">
        <v>511</v>
      </c>
    </row>
    <row r="6771" spans="1:8" x14ac:dyDescent="0.45">
      <c r="A6771" t="s">
        <v>69</v>
      </c>
      <c r="B6771" t="s">
        <v>20</v>
      </c>
      <c r="C6771">
        <v>2</v>
      </c>
      <c r="D6771" t="s">
        <v>27</v>
      </c>
      <c r="F6771">
        <v>717</v>
      </c>
    </row>
    <row r="6772" spans="1:8" x14ac:dyDescent="0.45">
      <c r="A6772" t="s">
        <v>69</v>
      </c>
      <c r="B6772" t="s">
        <v>20</v>
      </c>
      <c r="C6772">
        <v>2</v>
      </c>
      <c r="D6772" t="s">
        <v>28</v>
      </c>
      <c r="F6772">
        <v>298</v>
      </c>
    </row>
    <row r="6773" spans="1:8" x14ac:dyDescent="0.45">
      <c r="A6773" t="s">
        <v>69</v>
      </c>
      <c r="B6773" t="s">
        <v>20</v>
      </c>
      <c r="C6773">
        <v>2</v>
      </c>
      <c r="D6773" t="s">
        <v>29</v>
      </c>
      <c r="F6773">
        <v>231</v>
      </c>
    </row>
    <row r="6774" spans="1:8" x14ac:dyDescent="0.45">
      <c r="A6774" t="s">
        <v>69</v>
      </c>
      <c r="B6774" t="s">
        <v>20</v>
      </c>
      <c r="C6774">
        <v>2</v>
      </c>
      <c r="D6774" t="s">
        <v>31</v>
      </c>
      <c r="H6774">
        <v>102</v>
      </c>
    </row>
    <row r="6775" spans="1:8" x14ac:dyDescent="0.45">
      <c r="A6775" t="s">
        <v>69</v>
      </c>
      <c r="B6775" t="s">
        <v>20</v>
      </c>
      <c r="C6775">
        <v>2</v>
      </c>
      <c r="D6775" t="s">
        <v>32</v>
      </c>
      <c r="H6775">
        <v>9</v>
      </c>
    </row>
    <row r="6776" spans="1:8" x14ac:dyDescent="0.45">
      <c r="A6776" t="s">
        <v>69</v>
      </c>
      <c r="B6776" t="s">
        <v>20</v>
      </c>
      <c r="C6776">
        <v>2</v>
      </c>
      <c r="D6776" t="s">
        <v>34</v>
      </c>
      <c r="H6776">
        <v>9</v>
      </c>
    </row>
    <row r="6777" spans="1:8" x14ac:dyDescent="0.45">
      <c r="A6777" t="s">
        <v>69</v>
      </c>
      <c r="B6777" t="s">
        <v>21</v>
      </c>
      <c r="C6777">
        <v>3</v>
      </c>
      <c r="D6777" t="s">
        <v>19</v>
      </c>
      <c r="E6777">
        <v>1969845</v>
      </c>
      <c r="F6777">
        <v>3361</v>
      </c>
      <c r="H6777">
        <v>4</v>
      </c>
    </row>
    <row r="6778" spans="1:8" x14ac:dyDescent="0.45">
      <c r="A6778" t="s">
        <v>69</v>
      </c>
      <c r="B6778" t="s">
        <v>21</v>
      </c>
      <c r="C6778">
        <v>3</v>
      </c>
      <c r="D6778" t="s">
        <v>27</v>
      </c>
      <c r="F6778">
        <v>922</v>
      </c>
    </row>
    <row r="6779" spans="1:8" x14ac:dyDescent="0.45">
      <c r="A6779" t="s">
        <v>69</v>
      </c>
      <c r="B6779" t="s">
        <v>21</v>
      </c>
      <c r="C6779">
        <v>3</v>
      </c>
      <c r="D6779" t="s">
        <v>28</v>
      </c>
      <c r="F6779">
        <v>603</v>
      </c>
    </row>
    <row r="6780" spans="1:8" x14ac:dyDescent="0.45">
      <c r="A6780" t="s">
        <v>69</v>
      </c>
      <c r="B6780" t="s">
        <v>21</v>
      </c>
      <c r="C6780">
        <v>3</v>
      </c>
      <c r="D6780" t="s">
        <v>29</v>
      </c>
      <c r="F6780">
        <v>605</v>
      </c>
    </row>
    <row r="6781" spans="1:8" x14ac:dyDescent="0.45">
      <c r="A6781" t="s">
        <v>69</v>
      </c>
      <c r="B6781" t="s">
        <v>20</v>
      </c>
      <c r="C6781">
        <v>3</v>
      </c>
      <c r="D6781" t="s">
        <v>19</v>
      </c>
      <c r="E6781">
        <v>1595981</v>
      </c>
      <c r="F6781">
        <v>2907</v>
      </c>
      <c r="G6781">
        <v>857</v>
      </c>
    </row>
    <row r="6782" spans="1:8" x14ac:dyDescent="0.45">
      <c r="A6782" t="s">
        <v>69</v>
      </c>
      <c r="B6782" t="s">
        <v>20</v>
      </c>
      <c r="C6782">
        <v>3</v>
      </c>
      <c r="D6782" t="s">
        <v>27</v>
      </c>
      <c r="F6782">
        <v>843</v>
      </c>
    </row>
    <row r="6783" spans="1:8" x14ac:dyDescent="0.45">
      <c r="A6783" t="s">
        <v>69</v>
      </c>
      <c r="B6783" t="s">
        <v>20</v>
      </c>
      <c r="C6783">
        <v>3</v>
      </c>
      <c r="D6783" t="s">
        <v>28</v>
      </c>
      <c r="F6783">
        <v>492</v>
      </c>
    </row>
    <row r="6784" spans="1:8" x14ac:dyDescent="0.45">
      <c r="A6784" t="s">
        <v>69</v>
      </c>
      <c r="B6784" t="s">
        <v>20</v>
      </c>
      <c r="C6784">
        <v>3</v>
      </c>
      <c r="D6784" t="s">
        <v>29</v>
      </c>
      <c r="F6784">
        <v>483</v>
      </c>
    </row>
    <row r="6785" spans="1:8" x14ac:dyDescent="0.45">
      <c r="A6785" t="s">
        <v>69</v>
      </c>
      <c r="B6785" t="s">
        <v>20</v>
      </c>
      <c r="C6785">
        <v>3</v>
      </c>
      <c r="D6785" t="s">
        <v>31</v>
      </c>
      <c r="H6785">
        <v>129</v>
      </c>
    </row>
    <row r="6786" spans="1:8" x14ac:dyDescent="0.45">
      <c r="A6786" t="s">
        <v>69</v>
      </c>
      <c r="B6786" t="s">
        <v>20</v>
      </c>
      <c r="C6786">
        <v>3</v>
      </c>
      <c r="D6786" t="s">
        <v>32</v>
      </c>
      <c r="H6786">
        <v>129</v>
      </c>
    </row>
    <row r="6787" spans="1:8" x14ac:dyDescent="0.45">
      <c r="A6787" t="s">
        <v>69</v>
      </c>
      <c r="B6787" t="s">
        <v>20</v>
      </c>
      <c r="C6787">
        <v>3</v>
      </c>
      <c r="D6787" t="s">
        <v>34</v>
      </c>
      <c r="H6787">
        <v>5</v>
      </c>
    </row>
    <row r="6788" spans="1:8" x14ac:dyDescent="0.45">
      <c r="A6788" t="s">
        <v>69</v>
      </c>
      <c r="B6788" t="s">
        <v>21</v>
      </c>
      <c r="C6788">
        <v>4</v>
      </c>
      <c r="D6788" t="s">
        <v>19</v>
      </c>
      <c r="E6788">
        <v>2368312</v>
      </c>
      <c r="F6788">
        <v>3701</v>
      </c>
      <c r="G6788">
        <v>772</v>
      </c>
    </row>
    <row r="6789" spans="1:8" x14ac:dyDescent="0.45">
      <c r="A6789" t="s">
        <v>69</v>
      </c>
      <c r="B6789" t="s">
        <v>21</v>
      </c>
      <c r="C6789">
        <v>4</v>
      </c>
      <c r="D6789" t="s">
        <v>27</v>
      </c>
      <c r="F6789">
        <v>881</v>
      </c>
    </row>
    <row r="6790" spans="1:8" x14ac:dyDescent="0.45">
      <c r="A6790" t="s">
        <v>69</v>
      </c>
      <c r="B6790" t="s">
        <v>21</v>
      </c>
      <c r="C6790">
        <v>4</v>
      </c>
      <c r="D6790" t="s">
        <v>28</v>
      </c>
      <c r="F6790">
        <v>550</v>
      </c>
    </row>
    <row r="6791" spans="1:8" x14ac:dyDescent="0.45">
      <c r="A6791" t="s">
        <v>69</v>
      </c>
      <c r="B6791" t="s">
        <v>21</v>
      </c>
      <c r="C6791">
        <v>4</v>
      </c>
      <c r="D6791" t="s">
        <v>29</v>
      </c>
      <c r="F6791">
        <v>511</v>
      </c>
    </row>
    <row r="6792" spans="1:8" x14ac:dyDescent="0.45">
      <c r="A6792" t="s">
        <v>69</v>
      </c>
      <c r="B6792" t="s">
        <v>20</v>
      </c>
      <c r="C6792">
        <v>4</v>
      </c>
      <c r="D6792" t="s">
        <v>19</v>
      </c>
      <c r="E6792">
        <v>2389885</v>
      </c>
      <c r="F6792">
        <v>3941</v>
      </c>
    </row>
    <row r="6793" spans="1:8" x14ac:dyDescent="0.45">
      <c r="A6793" t="s">
        <v>69</v>
      </c>
      <c r="B6793" t="s">
        <v>20</v>
      </c>
      <c r="C6793">
        <v>4</v>
      </c>
      <c r="D6793" t="s">
        <v>27</v>
      </c>
      <c r="F6793">
        <v>888</v>
      </c>
    </row>
    <row r="6794" spans="1:8" x14ac:dyDescent="0.45">
      <c r="A6794" t="s">
        <v>69</v>
      </c>
      <c r="B6794" t="s">
        <v>20</v>
      </c>
      <c r="C6794">
        <v>4</v>
      </c>
      <c r="D6794" t="s">
        <v>28</v>
      </c>
      <c r="F6794">
        <v>582</v>
      </c>
    </row>
    <row r="6795" spans="1:8" x14ac:dyDescent="0.45">
      <c r="A6795" t="s">
        <v>69</v>
      </c>
      <c r="B6795" t="s">
        <v>20</v>
      </c>
      <c r="C6795">
        <v>4</v>
      </c>
      <c r="D6795" t="s">
        <v>29</v>
      </c>
      <c r="F6795">
        <v>561</v>
      </c>
    </row>
    <row r="6796" spans="1:8" x14ac:dyDescent="0.45">
      <c r="A6796" t="s">
        <v>69</v>
      </c>
      <c r="B6796" t="s">
        <v>20</v>
      </c>
      <c r="C6796">
        <v>4</v>
      </c>
      <c r="D6796" t="s">
        <v>31</v>
      </c>
      <c r="H6796">
        <v>110</v>
      </c>
    </row>
    <row r="6797" spans="1:8" x14ac:dyDescent="0.45">
      <c r="A6797" t="s">
        <v>69</v>
      </c>
      <c r="B6797" t="s">
        <v>20</v>
      </c>
      <c r="C6797">
        <v>4</v>
      </c>
      <c r="D6797" t="s">
        <v>32</v>
      </c>
      <c r="H6797">
        <v>5</v>
      </c>
    </row>
    <row r="6798" spans="1:8" x14ac:dyDescent="0.45">
      <c r="A6798" t="s">
        <v>69</v>
      </c>
      <c r="B6798" t="s">
        <v>20</v>
      </c>
      <c r="C6798">
        <v>4</v>
      </c>
      <c r="D6798" t="s">
        <v>34</v>
      </c>
      <c r="H6798">
        <v>9</v>
      </c>
    </row>
    <row r="6799" spans="1:8" x14ac:dyDescent="0.45">
      <c r="A6799" t="s">
        <v>69</v>
      </c>
      <c r="B6799" t="s">
        <v>21</v>
      </c>
      <c r="C6799">
        <v>5</v>
      </c>
      <c r="D6799" t="s">
        <v>19</v>
      </c>
      <c r="E6799">
        <v>1919985</v>
      </c>
      <c r="F6799">
        <v>3109</v>
      </c>
      <c r="G6799">
        <v>966</v>
      </c>
    </row>
    <row r="6800" spans="1:8" x14ac:dyDescent="0.45">
      <c r="A6800" t="s">
        <v>69</v>
      </c>
      <c r="B6800" t="s">
        <v>21</v>
      </c>
      <c r="C6800">
        <v>5</v>
      </c>
      <c r="D6800" t="s">
        <v>27</v>
      </c>
      <c r="F6800">
        <v>825</v>
      </c>
    </row>
    <row r="6801" spans="1:8" x14ac:dyDescent="0.45">
      <c r="A6801" t="s">
        <v>69</v>
      </c>
      <c r="B6801" t="s">
        <v>21</v>
      </c>
      <c r="C6801">
        <v>5</v>
      </c>
      <c r="D6801" t="s">
        <v>28</v>
      </c>
      <c r="F6801">
        <v>496</v>
      </c>
    </row>
    <row r="6802" spans="1:8" x14ac:dyDescent="0.45">
      <c r="A6802" t="s">
        <v>69</v>
      </c>
      <c r="B6802" t="s">
        <v>21</v>
      </c>
      <c r="C6802">
        <v>5</v>
      </c>
      <c r="D6802" t="s">
        <v>29</v>
      </c>
      <c r="F6802">
        <v>435</v>
      </c>
    </row>
    <row r="6803" spans="1:8" x14ac:dyDescent="0.45">
      <c r="A6803" t="s">
        <v>69</v>
      </c>
      <c r="B6803" t="s">
        <v>20</v>
      </c>
      <c r="C6803">
        <v>5</v>
      </c>
      <c r="D6803" t="s">
        <v>19</v>
      </c>
      <c r="E6803">
        <v>1788042</v>
      </c>
      <c r="F6803">
        <v>2900</v>
      </c>
      <c r="G6803">
        <v>823</v>
      </c>
    </row>
    <row r="6804" spans="1:8" x14ac:dyDescent="0.45">
      <c r="A6804" t="s">
        <v>69</v>
      </c>
      <c r="B6804" t="s">
        <v>20</v>
      </c>
      <c r="C6804">
        <v>5</v>
      </c>
      <c r="D6804" t="s">
        <v>27</v>
      </c>
      <c r="F6804">
        <v>732</v>
      </c>
    </row>
    <row r="6805" spans="1:8" x14ac:dyDescent="0.45">
      <c r="A6805" t="s">
        <v>69</v>
      </c>
      <c r="B6805" t="s">
        <v>20</v>
      </c>
      <c r="C6805">
        <v>5</v>
      </c>
      <c r="D6805" t="s">
        <v>28</v>
      </c>
      <c r="F6805">
        <v>467</v>
      </c>
    </row>
    <row r="6806" spans="1:8" x14ac:dyDescent="0.45">
      <c r="A6806" t="s">
        <v>69</v>
      </c>
      <c r="B6806" t="s">
        <v>20</v>
      </c>
      <c r="C6806">
        <v>5</v>
      </c>
      <c r="D6806" t="s">
        <v>29</v>
      </c>
      <c r="F6806">
        <v>372</v>
      </c>
    </row>
    <row r="6807" spans="1:8" x14ac:dyDescent="0.45">
      <c r="A6807" t="s">
        <v>69</v>
      </c>
      <c r="B6807" t="s">
        <v>20</v>
      </c>
      <c r="C6807">
        <v>5</v>
      </c>
      <c r="D6807" t="s">
        <v>31</v>
      </c>
      <c r="H6807">
        <v>130</v>
      </c>
    </row>
    <row r="6808" spans="1:8" x14ac:dyDescent="0.45">
      <c r="A6808" t="s">
        <v>69</v>
      </c>
      <c r="B6808" t="s">
        <v>20</v>
      </c>
      <c r="C6808">
        <v>5</v>
      </c>
      <c r="D6808" t="s">
        <v>32</v>
      </c>
      <c r="H6808">
        <v>12</v>
      </c>
    </row>
    <row r="6809" spans="1:8" x14ac:dyDescent="0.45">
      <c r="A6809" t="s">
        <v>69</v>
      </c>
      <c r="B6809" t="s">
        <v>20</v>
      </c>
      <c r="C6809">
        <v>5</v>
      </c>
      <c r="D6809" t="s">
        <v>34</v>
      </c>
      <c r="H6809">
        <v>9</v>
      </c>
    </row>
    <row r="6810" spans="1:8" x14ac:dyDescent="0.45">
      <c r="A6810" t="s">
        <v>69</v>
      </c>
      <c r="B6810" t="s">
        <v>21</v>
      </c>
      <c r="C6810">
        <v>6</v>
      </c>
      <c r="D6810" t="s">
        <v>19</v>
      </c>
      <c r="E6810">
        <v>1743728</v>
      </c>
      <c r="F6810">
        <v>3009</v>
      </c>
      <c r="G6810">
        <v>959</v>
      </c>
    </row>
    <row r="6811" spans="1:8" x14ac:dyDescent="0.45">
      <c r="A6811" t="s">
        <v>69</v>
      </c>
      <c r="B6811" t="s">
        <v>21</v>
      </c>
      <c r="C6811">
        <v>6</v>
      </c>
      <c r="D6811" t="s">
        <v>27</v>
      </c>
      <c r="F6811">
        <v>895</v>
      </c>
    </row>
    <row r="6812" spans="1:8" x14ac:dyDescent="0.45">
      <c r="A6812" t="s">
        <v>69</v>
      </c>
      <c r="B6812" t="s">
        <v>21</v>
      </c>
      <c r="C6812">
        <v>6</v>
      </c>
      <c r="D6812" t="s">
        <v>28</v>
      </c>
      <c r="F6812">
        <v>474</v>
      </c>
    </row>
    <row r="6813" spans="1:8" x14ac:dyDescent="0.45">
      <c r="A6813" t="s">
        <v>69</v>
      </c>
      <c r="B6813" t="s">
        <v>21</v>
      </c>
      <c r="C6813">
        <v>6</v>
      </c>
      <c r="D6813" t="s">
        <v>29</v>
      </c>
      <c r="F6813">
        <v>418</v>
      </c>
    </row>
    <row r="6814" spans="1:8" x14ac:dyDescent="0.45">
      <c r="A6814" t="s">
        <v>69</v>
      </c>
      <c r="B6814" t="s">
        <v>20</v>
      </c>
      <c r="C6814">
        <v>6</v>
      </c>
      <c r="D6814" t="s">
        <v>19</v>
      </c>
      <c r="E6814">
        <v>1627737</v>
      </c>
      <c r="F6814">
        <v>2639</v>
      </c>
      <c r="G6814">
        <v>683</v>
      </c>
    </row>
    <row r="6815" spans="1:8" x14ac:dyDescent="0.45">
      <c r="A6815" t="s">
        <v>69</v>
      </c>
      <c r="B6815" t="s">
        <v>20</v>
      </c>
      <c r="C6815">
        <v>6</v>
      </c>
      <c r="D6815" t="s">
        <v>27</v>
      </c>
      <c r="F6815">
        <v>825</v>
      </c>
    </row>
    <row r="6816" spans="1:8" x14ac:dyDescent="0.45">
      <c r="A6816" t="s">
        <v>69</v>
      </c>
      <c r="B6816" t="s">
        <v>20</v>
      </c>
      <c r="C6816">
        <v>6</v>
      </c>
      <c r="D6816" t="s">
        <v>28</v>
      </c>
      <c r="F6816">
        <v>442</v>
      </c>
    </row>
    <row r="6817" spans="1:8" x14ac:dyDescent="0.45">
      <c r="A6817" t="s">
        <v>69</v>
      </c>
      <c r="B6817" t="s">
        <v>20</v>
      </c>
      <c r="C6817">
        <v>6</v>
      </c>
      <c r="D6817" t="s">
        <v>29</v>
      </c>
      <c r="F6817">
        <v>344</v>
      </c>
    </row>
    <row r="6818" spans="1:8" x14ac:dyDescent="0.45">
      <c r="A6818" t="s">
        <v>69</v>
      </c>
      <c r="B6818" t="s">
        <v>20</v>
      </c>
      <c r="C6818">
        <v>6</v>
      </c>
      <c r="D6818" t="s">
        <v>31</v>
      </c>
      <c r="H6818">
        <v>38</v>
      </c>
    </row>
    <row r="6819" spans="1:8" x14ac:dyDescent="0.45">
      <c r="A6819" t="s">
        <v>69</v>
      </c>
      <c r="B6819" t="s">
        <v>20</v>
      </c>
      <c r="C6819">
        <v>6</v>
      </c>
      <c r="D6819" t="s">
        <v>32</v>
      </c>
      <c r="H6819">
        <v>9</v>
      </c>
    </row>
    <row r="6820" spans="1:8" x14ac:dyDescent="0.45">
      <c r="A6820" t="s">
        <v>69</v>
      </c>
      <c r="B6820" t="s">
        <v>20</v>
      </c>
      <c r="C6820">
        <v>6</v>
      </c>
      <c r="D6820" t="s">
        <v>34</v>
      </c>
      <c r="H6820">
        <v>9</v>
      </c>
    </row>
    <row r="6821" spans="1:8" x14ac:dyDescent="0.45">
      <c r="A6821" t="s">
        <v>69</v>
      </c>
      <c r="B6821" t="s">
        <v>21</v>
      </c>
      <c r="C6821">
        <v>7</v>
      </c>
      <c r="D6821" t="s">
        <v>19</v>
      </c>
      <c r="E6821">
        <v>1224353</v>
      </c>
      <c r="F6821">
        <v>2393</v>
      </c>
      <c r="G6821">
        <v>738</v>
      </c>
    </row>
    <row r="6822" spans="1:8" x14ac:dyDescent="0.45">
      <c r="A6822" t="s">
        <v>69</v>
      </c>
      <c r="B6822" t="s">
        <v>21</v>
      </c>
      <c r="C6822">
        <v>7</v>
      </c>
      <c r="D6822" t="s">
        <v>27</v>
      </c>
      <c r="F6822">
        <v>870</v>
      </c>
    </row>
    <row r="6823" spans="1:8" x14ac:dyDescent="0.45">
      <c r="A6823" t="s">
        <v>69</v>
      </c>
      <c r="B6823" t="s">
        <v>21</v>
      </c>
      <c r="C6823">
        <v>7</v>
      </c>
      <c r="D6823" t="s">
        <v>28</v>
      </c>
      <c r="F6823">
        <v>471</v>
      </c>
    </row>
    <row r="6824" spans="1:8" x14ac:dyDescent="0.45">
      <c r="A6824" t="s">
        <v>69</v>
      </c>
      <c r="B6824" t="s">
        <v>21</v>
      </c>
      <c r="C6824">
        <v>7</v>
      </c>
      <c r="D6824" t="s">
        <v>29</v>
      </c>
      <c r="F6824">
        <v>306</v>
      </c>
    </row>
    <row r="6825" spans="1:8" x14ac:dyDescent="0.45">
      <c r="A6825" t="s">
        <v>69</v>
      </c>
      <c r="B6825" t="s">
        <v>20</v>
      </c>
      <c r="C6825">
        <v>7</v>
      </c>
      <c r="D6825" t="s">
        <v>19</v>
      </c>
      <c r="E6825">
        <v>1109980</v>
      </c>
      <c r="F6825">
        <v>2115</v>
      </c>
      <c r="G6825">
        <v>657</v>
      </c>
    </row>
    <row r="6826" spans="1:8" x14ac:dyDescent="0.45">
      <c r="A6826" t="s">
        <v>69</v>
      </c>
      <c r="B6826" t="s">
        <v>20</v>
      </c>
      <c r="C6826">
        <v>7</v>
      </c>
      <c r="D6826" t="s">
        <v>27</v>
      </c>
      <c r="F6826">
        <v>733</v>
      </c>
    </row>
    <row r="6827" spans="1:8" x14ac:dyDescent="0.45">
      <c r="A6827" t="s">
        <v>69</v>
      </c>
      <c r="B6827" t="s">
        <v>20</v>
      </c>
      <c r="C6827">
        <v>7</v>
      </c>
      <c r="D6827" t="s">
        <v>28</v>
      </c>
      <c r="F6827">
        <v>427</v>
      </c>
    </row>
    <row r="6828" spans="1:8" x14ac:dyDescent="0.45">
      <c r="A6828" t="s">
        <v>69</v>
      </c>
      <c r="B6828" t="s">
        <v>20</v>
      </c>
      <c r="C6828">
        <v>7</v>
      </c>
      <c r="D6828" t="s">
        <v>29</v>
      </c>
      <c r="F6828">
        <v>260</v>
      </c>
    </row>
    <row r="6829" spans="1:8" x14ac:dyDescent="0.45">
      <c r="A6829" t="s">
        <v>69</v>
      </c>
      <c r="B6829" t="s">
        <v>20</v>
      </c>
      <c r="C6829">
        <v>7</v>
      </c>
      <c r="D6829" t="s">
        <v>31</v>
      </c>
      <c r="H6829">
        <v>178</v>
      </c>
    </row>
    <row r="6830" spans="1:8" x14ac:dyDescent="0.45">
      <c r="A6830" t="s">
        <v>69</v>
      </c>
      <c r="B6830" t="s">
        <v>20</v>
      </c>
      <c r="C6830">
        <v>7</v>
      </c>
      <c r="D6830" t="s">
        <v>32</v>
      </c>
      <c r="H6830">
        <v>6</v>
      </c>
    </row>
    <row r="6831" spans="1:8" x14ac:dyDescent="0.45">
      <c r="A6831" t="s">
        <v>69</v>
      </c>
      <c r="B6831" t="s">
        <v>20</v>
      </c>
      <c r="C6831">
        <v>7</v>
      </c>
      <c r="D6831" t="s">
        <v>34</v>
      </c>
      <c r="H6831">
        <v>7</v>
      </c>
    </row>
    <row r="6832" spans="1:8" x14ac:dyDescent="0.45">
      <c r="A6832" t="s">
        <v>69</v>
      </c>
      <c r="B6832" t="s">
        <v>21</v>
      </c>
      <c r="C6832">
        <v>8</v>
      </c>
      <c r="D6832" t="s">
        <v>19</v>
      </c>
      <c r="E6832">
        <v>926922</v>
      </c>
      <c r="F6832">
        <v>1988</v>
      </c>
      <c r="G6832">
        <v>576</v>
      </c>
    </row>
    <row r="6833" spans="1:8" x14ac:dyDescent="0.45">
      <c r="A6833" t="s">
        <v>69</v>
      </c>
      <c r="B6833" t="s">
        <v>21</v>
      </c>
      <c r="C6833">
        <v>8</v>
      </c>
      <c r="D6833" t="s">
        <v>27</v>
      </c>
      <c r="F6833">
        <v>798</v>
      </c>
      <c r="G6833">
        <v>1188</v>
      </c>
    </row>
    <row r="6834" spans="1:8" x14ac:dyDescent="0.45">
      <c r="A6834" t="s">
        <v>69</v>
      </c>
      <c r="B6834" t="s">
        <v>21</v>
      </c>
      <c r="C6834">
        <v>8</v>
      </c>
      <c r="D6834" t="s">
        <v>28</v>
      </c>
      <c r="F6834">
        <v>426</v>
      </c>
      <c r="G6834">
        <v>1030</v>
      </c>
    </row>
    <row r="6835" spans="1:8" x14ac:dyDescent="0.45">
      <c r="A6835" t="s">
        <v>69</v>
      </c>
      <c r="B6835" t="s">
        <v>21</v>
      </c>
      <c r="C6835">
        <v>8</v>
      </c>
      <c r="D6835" t="s">
        <v>29</v>
      </c>
      <c r="F6835">
        <v>222</v>
      </c>
      <c r="G6835">
        <v>1017</v>
      </c>
    </row>
    <row r="6836" spans="1:8" x14ac:dyDescent="0.45">
      <c r="A6836" t="s">
        <v>69</v>
      </c>
      <c r="B6836" t="s">
        <v>20</v>
      </c>
      <c r="C6836">
        <v>8</v>
      </c>
      <c r="D6836" t="s">
        <v>19</v>
      </c>
      <c r="E6836">
        <v>995398</v>
      </c>
      <c r="F6836">
        <v>1867</v>
      </c>
      <c r="G6836">
        <v>564</v>
      </c>
    </row>
    <row r="6837" spans="1:8" x14ac:dyDescent="0.45">
      <c r="A6837" t="s">
        <v>69</v>
      </c>
      <c r="B6837" t="s">
        <v>20</v>
      </c>
      <c r="C6837">
        <v>8</v>
      </c>
      <c r="D6837" t="s">
        <v>27</v>
      </c>
      <c r="F6837">
        <v>702</v>
      </c>
      <c r="G6837">
        <v>812</v>
      </c>
    </row>
    <row r="6838" spans="1:8" x14ac:dyDescent="0.45">
      <c r="A6838" t="s">
        <v>69</v>
      </c>
      <c r="B6838" t="s">
        <v>20</v>
      </c>
      <c r="C6838">
        <v>8</v>
      </c>
      <c r="D6838" t="s">
        <v>28</v>
      </c>
      <c r="F6838">
        <v>387</v>
      </c>
      <c r="G6838">
        <v>967</v>
      </c>
    </row>
    <row r="6839" spans="1:8" x14ac:dyDescent="0.45">
      <c r="A6839" t="s">
        <v>69</v>
      </c>
      <c r="B6839" t="s">
        <v>20</v>
      </c>
      <c r="C6839">
        <v>8</v>
      </c>
      <c r="D6839" t="s">
        <v>29</v>
      </c>
      <c r="F6839">
        <v>214</v>
      </c>
      <c r="G6839">
        <v>1075</v>
      </c>
    </row>
    <row r="6840" spans="1:8" x14ac:dyDescent="0.45">
      <c r="A6840" t="s">
        <v>69</v>
      </c>
      <c r="B6840" t="s">
        <v>20</v>
      </c>
      <c r="C6840">
        <v>8</v>
      </c>
      <c r="D6840" t="s">
        <v>31</v>
      </c>
      <c r="H6840">
        <v>24</v>
      </c>
    </row>
    <row r="6841" spans="1:8" x14ac:dyDescent="0.45">
      <c r="A6841" t="s">
        <v>69</v>
      </c>
      <c r="B6841" t="s">
        <v>20</v>
      </c>
      <c r="C6841">
        <v>8</v>
      </c>
      <c r="D6841" t="s">
        <v>32</v>
      </c>
      <c r="H6841">
        <v>13</v>
      </c>
    </row>
    <row r="6842" spans="1:8" x14ac:dyDescent="0.45">
      <c r="A6842" t="s">
        <v>69</v>
      </c>
      <c r="B6842" t="s">
        <v>20</v>
      </c>
      <c r="C6842">
        <v>8</v>
      </c>
      <c r="D6842" t="s">
        <v>34</v>
      </c>
      <c r="H6842">
        <v>5</v>
      </c>
    </row>
    <row r="6843" spans="1:8" x14ac:dyDescent="0.45">
      <c r="A6843" t="s">
        <v>69</v>
      </c>
      <c r="B6843" t="s">
        <v>21</v>
      </c>
      <c r="C6843">
        <v>9</v>
      </c>
      <c r="D6843" t="s">
        <v>19</v>
      </c>
      <c r="E6843">
        <v>878900</v>
      </c>
      <c r="F6843">
        <v>1944</v>
      </c>
      <c r="G6843">
        <v>536</v>
      </c>
    </row>
    <row r="6844" spans="1:8" x14ac:dyDescent="0.45">
      <c r="A6844" t="s">
        <v>69</v>
      </c>
      <c r="B6844" t="s">
        <v>21</v>
      </c>
      <c r="C6844">
        <v>9</v>
      </c>
      <c r="D6844" t="s">
        <v>27</v>
      </c>
      <c r="F6844">
        <v>754</v>
      </c>
    </row>
    <row r="6845" spans="1:8" x14ac:dyDescent="0.45">
      <c r="A6845" t="s">
        <v>69</v>
      </c>
      <c r="B6845" t="s">
        <v>21</v>
      </c>
      <c r="C6845">
        <v>9</v>
      </c>
      <c r="D6845" t="s">
        <v>28</v>
      </c>
      <c r="F6845">
        <v>418</v>
      </c>
    </row>
    <row r="6846" spans="1:8" x14ac:dyDescent="0.45">
      <c r="A6846" t="s">
        <v>69</v>
      </c>
      <c r="B6846" t="s">
        <v>21</v>
      </c>
      <c r="C6846">
        <v>9</v>
      </c>
      <c r="D6846" t="s">
        <v>29</v>
      </c>
      <c r="F6846">
        <v>267</v>
      </c>
    </row>
    <row r="6847" spans="1:8" x14ac:dyDescent="0.45">
      <c r="A6847" t="s">
        <v>69</v>
      </c>
      <c r="B6847" t="s">
        <v>20</v>
      </c>
      <c r="C6847">
        <v>9</v>
      </c>
      <c r="D6847" t="s">
        <v>19</v>
      </c>
      <c r="E6847">
        <v>958216</v>
      </c>
      <c r="F6847">
        <v>1998</v>
      </c>
      <c r="G6847">
        <v>594</v>
      </c>
    </row>
    <row r="6848" spans="1:8" x14ac:dyDescent="0.45">
      <c r="A6848" t="s">
        <v>69</v>
      </c>
      <c r="B6848" t="s">
        <v>20</v>
      </c>
      <c r="C6848">
        <v>9</v>
      </c>
      <c r="D6848" t="s">
        <v>27</v>
      </c>
      <c r="F6848">
        <v>852</v>
      </c>
    </row>
    <row r="6849" spans="1:8" x14ac:dyDescent="0.45">
      <c r="A6849" t="s">
        <v>69</v>
      </c>
      <c r="B6849" t="s">
        <v>20</v>
      </c>
      <c r="C6849">
        <v>9</v>
      </c>
      <c r="D6849" t="s">
        <v>28</v>
      </c>
      <c r="F6849">
        <v>423</v>
      </c>
    </row>
    <row r="6850" spans="1:8" x14ac:dyDescent="0.45">
      <c r="A6850" t="s">
        <v>69</v>
      </c>
      <c r="B6850" t="s">
        <v>20</v>
      </c>
      <c r="C6850">
        <v>9</v>
      </c>
      <c r="D6850" t="s">
        <v>29</v>
      </c>
      <c r="F6850">
        <v>218</v>
      </c>
    </row>
    <row r="6851" spans="1:8" x14ac:dyDescent="0.45">
      <c r="A6851" t="s">
        <v>69</v>
      </c>
      <c r="B6851" t="s">
        <v>20</v>
      </c>
      <c r="C6851">
        <v>9</v>
      </c>
      <c r="D6851" t="s">
        <v>31</v>
      </c>
      <c r="H6851">
        <v>135</v>
      </c>
    </row>
    <row r="6852" spans="1:8" x14ac:dyDescent="0.45">
      <c r="A6852" t="s">
        <v>69</v>
      </c>
      <c r="B6852" t="s">
        <v>20</v>
      </c>
      <c r="C6852">
        <v>9</v>
      </c>
      <c r="D6852" t="s">
        <v>32</v>
      </c>
      <c r="H6852">
        <v>11</v>
      </c>
    </row>
    <row r="6853" spans="1:8" x14ac:dyDescent="0.45">
      <c r="A6853" t="s">
        <v>69</v>
      </c>
      <c r="B6853" t="s">
        <v>20</v>
      </c>
      <c r="C6853">
        <v>9</v>
      </c>
      <c r="D6853" t="s">
        <v>34</v>
      </c>
      <c r="H6853">
        <v>2</v>
      </c>
    </row>
    <row r="6854" spans="1:8" x14ac:dyDescent="0.45">
      <c r="A6854" t="s">
        <v>69</v>
      </c>
      <c r="B6854" t="s">
        <v>21</v>
      </c>
      <c r="C6854">
        <v>10</v>
      </c>
      <c r="D6854" t="s">
        <v>19</v>
      </c>
      <c r="E6854">
        <v>1320003</v>
      </c>
      <c r="F6854">
        <v>2906</v>
      </c>
      <c r="G6854">
        <v>759</v>
      </c>
    </row>
    <row r="6855" spans="1:8" x14ac:dyDescent="0.45">
      <c r="A6855" t="s">
        <v>69</v>
      </c>
      <c r="B6855" t="s">
        <v>21</v>
      </c>
      <c r="C6855">
        <v>10</v>
      </c>
      <c r="D6855" t="s">
        <v>27</v>
      </c>
      <c r="F6855">
        <v>980</v>
      </c>
    </row>
    <row r="6856" spans="1:8" x14ac:dyDescent="0.45">
      <c r="A6856" t="s">
        <v>69</v>
      </c>
      <c r="B6856" t="s">
        <v>21</v>
      </c>
      <c r="C6856">
        <v>10</v>
      </c>
      <c r="D6856" t="s">
        <v>28</v>
      </c>
      <c r="F6856">
        <v>592</v>
      </c>
    </row>
    <row r="6857" spans="1:8" x14ac:dyDescent="0.45">
      <c r="A6857" t="s">
        <v>69</v>
      </c>
      <c r="B6857" t="s">
        <v>21</v>
      </c>
      <c r="C6857">
        <v>10</v>
      </c>
      <c r="D6857" t="s">
        <v>29</v>
      </c>
      <c r="F6857">
        <v>387</v>
      </c>
    </row>
    <row r="6858" spans="1:8" x14ac:dyDescent="0.45">
      <c r="A6858" t="s">
        <v>69</v>
      </c>
      <c r="B6858" t="s">
        <v>20</v>
      </c>
      <c r="C6858">
        <v>10</v>
      </c>
      <c r="D6858" t="s">
        <v>19</v>
      </c>
      <c r="E6858">
        <v>1376709</v>
      </c>
      <c r="F6858">
        <v>2692</v>
      </c>
      <c r="G6858">
        <v>774</v>
      </c>
    </row>
    <row r="6859" spans="1:8" x14ac:dyDescent="0.45">
      <c r="A6859" t="s">
        <v>69</v>
      </c>
      <c r="B6859" t="s">
        <v>20</v>
      </c>
      <c r="C6859">
        <v>10</v>
      </c>
      <c r="D6859" t="s">
        <v>27</v>
      </c>
      <c r="F6859">
        <v>926</v>
      </c>
    </row>
    <row r="6860" spans="1:8" x14ac:dyDescent="0.45">
      <c r="A6860" t="s">
        <v>69</v>
      </c>
      <c r="B6860" t="s">
        <v>20</v>
      </c>
      <c r="C6860">
        <v>10</v>
      </c>
      <c r="D6860" t="s">
        <v>28</v>
      </c>
      <c r="F6860">
        <v>529</v>
      </c>
    </row>
    <row r="6861" spans="1:8" x14ac:dyDescent="0.45">
      <c r="A6861" t="s">
        <v>69</v>
      </c>
      <c r="B6861" t="s">
        <v>20</v>
      </c>
      <c r="C6861">
        <v>10</v>
      </c>
      <c r="D6861" t="s">
        <v>29</v>
      </c>
      <c r="F6861">
        <v>389</v>
      </c>
    </row>
    <row r="6862" spans="1:8" x14ac:dyDescent="0.45">
      <c r="A6862" t="s">
        <v>69</v>
      </c>
      <c r="B6862" t="s">
        <v>20</v>
      </c>
      <c r="C6862">
        <v>10</v>
      </c>
      <c r="D6862" t="s">
        <v>31</v>
      </c>
      <c r="H6862">
        <v>161</v>
      </c>
    </row>
    <row r="6863" spans="1:8" x14ac:dyDescent="0.45">
      <c r="A6863" t="s">
        <v>69</v>
      </c>
      <c r="B6863" t="s">
        <v>20</v>
      </c>
      <c r="C6863">
        <v>10</v>
      </c>
      <c r="D6863" t="s">
        <v>32</v>
      </c>
      <c r="H6863">
        <v>14</v>
      </c>
    </row>
    <row r="6864" spans="1:8" x14ac:dyDescent="0.45">
      <c r="A6864" t="s">
        <v>69</v>
      </c>
      <c r="B6864" t="s">
        <v>20</v>
      </c>
      <c r="C6864">
        <v>10</v>
      </c>
      <c r="D6864" t="s">
        <v>34</v>
      </c>
      <c r="H6864">
        <v>7</v>
      </c>
    </row>
    <row r="6865" spans="1:8" x14ac:dyDescent="0.45">
      <c r="A6865" t="s">
        <v>69</v>
      </c>
      <c r="B6865" t="s">
        <v>21</v>
      </c>
      <c r="C6865">
        <v>11</v>
      </c>
      <c r="D6865" t="s">
        <v>19</v>
      </c>
      <c r="E6865">
        <v>1149250</v>
      </c>
      <c r="F6865">
        <v>2341</v>
      </c>
      <c r="G6865">
        <v>639</v>
      </c>
    </row>
    <row r="6866" spans="1:8" x14ac:dyDescent="0.45">
      <c r="A6866" t="s">
        <v>69</v>
      </c>
      <c r="B6866" t="s">
        <v>21</v>
      </c>
      <c r="C6866">
        <v>11</v>
      </c>
      <c r="D6866" t="s">
        <v>27</v>
      </c>
      <c r="F6866">
        <v>888</v>
      </c>
    </row>
    <row r="6867" spans="1:8" x14ac:dyDescent="0.45">
      <c r="A6867" t="s">
        <v>69</v>
      </c>
      <c r="B6867" t="s">
        <v>21</v>
      </c>
      <c r="C6867">
        <v>11</v>
      </c>
      <c r="D6867" t="s">
        <v>28</v>
      </c>
      <c r="F6867">
        <v>443</v>
      </c>
    </row>
    <row r="6868" spans="1:8" x14ac:dyDescent="0.45">
      <c r="A6868" t="s">
        <v>69</v>
      </c>
      <c r="B6868" t="s">
        <v>21</v>
      </c>
      <c r="C6868">
        <v>11</v>
      </c>
      <c r="D6868" t="s">
        <v>29</v>
      </c>
      <c r="F6868">
        <v>332</v>
      </c>
    </row>
    <row r="6869" spans="1:8" x14ac:dyDescent="0.45">
      <c r="A6869" t="s">
        <v>69</v>
      </c>
      <c r="B6869" t="s">
        <v>20</v>
      </c>
      <c r="C6869">
        <v>11</v>
      </c>
      <c r="D6869" t="s">
        <v>19</v>
      </c>
      <c r="E6869">
        <v>1183817</v>
      </c>
      <c r="F6869">
        <v>2491</v>
      </c>
      <c r="G6869">
        <v>700</v>
      </c>
    </row>
    <row r="6870" spans="1:8" x14ac:dyDescent="0.45">
      <c r="A6870" t="s">
        <v>69</v>
      </c>
      <c r="B6870" t="s">
        <v>20</v>
      </c>
      <c r="C6870">
        <v>11</v>
      </c>
      <c r="D6870" t="s">
        <v>27</v>
      </c>
      <c r="F6870">
        <v>877</v>
      </c>
    </row>
    <row r="6871" spans="1:8" x14ac:dyDescent="0.45">
      <c r="A6871" t="s">
        <v>69</v>
      </c>
      <c r="B6871" t="s">
        <v>20</v>
      </c>
      <c r="C6871">
        <v>11</v>
      </c>
      <c r="D6871" t="s">
        <v>28</v>
      </c>
      <c r="F6871">
        <v>512</v>
      </c>
    </row>
    <row r="6872" spans="1:8" x14ac:dyDescent="0.45">
      <c r="A6872" t="s">
        <v>69</v>
      </c>
      <c r="B6872" t="s">
        <v>20</v>
      </c>
      <c r="C6872">
        <v>11</v>
      </c>
      <c r="D6872" t="s">
        <v>29</v>
      </c>
      <c r="F6872">
        <v>378</v>
      </c>
    </row>
    <row r="6873" spans="1:8" x14ac:dyDescent="0.45">
      <c r="A6873" t="s">
        <v>69</v>
      </c>
      <c r="B6873" t="s">
        <v>20</v>
      </c>
      <c r="C6873">
        <v>11</v>
      </c>
      <c r="D6873" t="s">
        <v>31</v>
      </c>
      <c r="H6873">
        <v>255</v>
      </c>
    </row>
    <row r="6874" spans="1:8" x14ac:dyDescent="0.45">
      <c r="A6874" t="s">
        <v>69</v>
      </c>
      <c r="B6874" t="s">
        <v>20</v>
      </c>
      <c r="C6874">
        <v>11</v>
      </c>
      <c r="D6874" t="s">
        <v>32</v>
      </c>
      <c r="H6874">
        <v>6</v>
      </c>
    </row>
    <row r="6875" spans="1:8" x14ac:dyDescent="0.45">
      <c r="A6875" t="s">
        <v>69</v>
      </c>
      <c r="B6875" t="s">
        <v>20</v>
      </c>
      <c r="C6875">
        <v>11</v>
      </c>
      <c r="D6875" t="s">
        <v>34</v>
      </c>
      <c r="H6875">
        <v>6</v>
      </c>
    </row>
    <row r="6876" spans="1:8" x14ac:dyDescent="0.45">
      <c r="A6876" t="s">
        <v>69</v>
      </c>
      <c r="B6876" t="s">
        <v>21</v>
      </c>
      <c r="C6876">
        <v>12</v>
      </c>
      <c r="D6876" t="s">
        <v>19</v>
      </c>
      <c r="E6876">
        <v>1242818</v>
      </c>
      <c r="F6876">
        <v>2674</v>
      </c>
      <c r="G6876">
        <v>714</v>
      </c>
    </row>
    <row r="6877" spans="1:8" x14ac:dyDescent="0.45">
      <c r="A6877" t="s">
        <v>69</v>
      </c>
      <c r="B6877" t="s">
        <v>21</v>
      </c>
      <c r="C6877">
        <v>12</v>
      </c>
      <c r="D6877" t="s">
        <v>27</v>
      </c>
      <c r="F6877">
        <v>881</v>
      </c>
    </row>
    <row r="6878" spans="1:8" x14ac:dyDescent="0.45">
      <c r="A6878" t="s">
        <v>69</v>
      </c>
      <c r="B6878" t="s">
        <v>21</v>
      </c>
      <c r="C6878">
        <v>12</v>
      </c>
      <c r="D6878" t="s">
        <v>28</v>
      </c>
      <c r="F6878">
        <v>531</v>
      </c>
    </row>
    <row r="6879" spans="1:8" x14ac:dyDescent="0.45">
      <c r="A6879" t="s">
        <v>69</v>
      </c>
      <c r="B6879" t="s">
        <v>21</v>
      </c>
      <c r="C6879">
        <v>12</v>
      </c>
      <c r="D6879" t="s">
        <v>29</v>
      </c>
      <c r="F6879">
        <v>452</v>
      </c>
    </row>
    <row r="6880" spans="1:8" x14ac:dyDescent="0.45">
      <c r="A6880" t="s">
        <v>69</v>
      </c>
      <c r="B6880" t="s">
        <v>20</v>
      </c>
      <c r="C6880">
        <v>12</v>
      </c>
      <c r="D6880" t="s">
        <v>19</v>
      </c>
      <c r="E6880">
        <v>1332042</v>
      </c>
      <c r="F6880">
        <v>2767</v>
      </c>
      <c r="G6880">
        <v>765</v>
      </c>
    </row>
    <row r="6881" spans="1:8" x14ac:dyDescent="0.45">
      <c r="A6881" t="s">
        <v>69</v>
      </c>
      <c r="B6881" t="s">
        <v>20</v>
      </c>
      <c r="C6881">
        <v>12</v>
      </c>
      <c r="D6881" t="s">
        <v>27</v>
      </c>
      <c r="F6881">
        <v>911</v>
      </c>
    </row>
    <row r="6882" spans="1:8" x14ac:dyDescent="0.45">
      <c r="A6882" t="s">
        <v>69</v>
      </c>
      <c r="B6882" t="s">
        <v>20</v>
      </c>
      <c r="C6882">
        <v>12</v>
      </c>
      <c r="D6882" t="s">
        <v>28</v>
      </c>
      <c r="F6882">
        <v>556</v>
      </c>
    </row>
    <row r="6883" spans="1:8" x14ac:dyDescent="0.45">
      <c r="A6883" t="s">
        <v>69</v>
      </c>
      <c r="B6883" t="s">
        <v>20</v>
      </c>
      <c r="C6883">
        <v>12</v>
      </c>
      <c r="D6883" t="s">
        <v>29</v>
      </c>
      <c r="F6883">
        <v>443</v>
      </c>
    </row>
    <row r="6884" spans="1:8" x14ac:dyDescent="0.45">
      <c r="A6884" t="s">
        <v>69</v>
      </c>
      <c r="B6884" t="s">
        <v>20</v>
      </c>
      <c r="C6884">
        <v>12</v>
      </c>
      <c r="D6884" t="s">
        <v>31</v>
      </c>
      <c r="H6884">
        <v>106</v>
      </c>
    </row>
    <row r="6885" spans="1:8" x14ac:dyDescent="0.45">
      <c r="A6885" t="s">
        <v>69</v>
      </c>
      <c r="B6885" t="s">
        <v>20</v>
      </c>
      <c r="C6885">
        <v>12</v>
      </c>
      <c r="D6885" t="s">
        <v>32</v>
      </c>
      <c r="H6885">
        <v>8</v>
      </c>
    </row>
    <row r="6886" spans="1:8" x14ac:dyDescent="0.45">
      <c r="A6886" t="s">
        <v>69</v>
      </c>
      <c r="B6886" t="s">
        <v>20</v>
      </c>
      <c r="C6886">
        <v>12</v>
      </c>
      <c r="D6886" t="s">
        <v>34</v>
      </c>
      <c r="H6886">
        <v>8</v>
      </c>
    </row>
  </sheetData>
  <phoneticPr fontId="2"/>
  <dataValidations count="3">
    <dataValidation type="list" allowBlank="1" showInputMessage="1" showErrorMessage="1" sqref="B2:B20000" xr:uid="{44656040-E6E7-4939-BD3E-93B254445B95}">
      <formula1>"本年,前年"</formula1>
    </dataValidation>
    <dataValidation type="list" allowBlank="1" showInputMessage="1" showErrorMessage="1" sqref="C2:C20000" xr:uid="{ADA8EE5F-98A8-450A-935E-90D538533ED7}">
      <formula1>"8,9,10,11,12,1,2,3,4,5,6,7"</formula1>
    </dataValidation>
    <dataValidation type="list" allowBlank="1" showInputMessage="1" showErrorMessage="1" sqref="D2:D20000" xr:uid="{145A47E4-487D-4EB7-B1EF-CB432C238A07}">
      <formula1>"全体,ワイシャツ,ズボン,ジャケット,アプリ,BD,ダイヤモンド"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396A-734F-47CD-B45D-FADAE6E808F6}">
  <dimension ref="A1:Q1235"/>
  <sheetViews>
    <sheetView workbookViewId="0">
      <pane ySplit="1" topLeftCell="A14" activePane="bottomLeft" state="frozen"/>
      <selection pane="bottomLeft" activeCell="E3" sqref="E3"/>
    </sheetView>
  </sheetViews>
  <sheetFormatPr defaultRowHeight="18" x14ac:dyDescent="0.45"/>
  <cols>
    <col min="1" max="1" width="16.69921875" customWidth="1"/>
    <col min="4" max="4" width="11.59765625" customWidth="1"/>
    <col min="5" max="5" width="17" customWidth="1"/>
    <col min="6" max="6" width="9.796875" customWidth="1"/>
    <col min="10" max="11" width="9.796875" customWidth="1"/>
    <col min="12" max="12" width="13.3984375" customWidth="1"/>
    <col min="13" max="13" width="11.59765625" customWidth="1"/>
    <col min="15" max="15" width="11.59765625" customWidth="1"/>
    <col min="17" max="17" width="13.3984375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27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28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</row>
    <row r="2" spans="1:17" x14ac:dyDescent="0.45">
      <c r="A2" t="s">
        <v>56</v>
      </c>
      <c r="B2" t="s">
        <v>20</v>
      </c>
      <c r="C2">
        <v>1</v>
      </c>
      <c r="D2">
        <v>968</v>
      </c>
      <c r="E2">
        <v>32</v>
      </c>
      <c r="F2">
        <v>34</v>
      </c>
      <c r="G2">
        <v>182</v>
      </c>
      <c r="H2">
        <v>14</v>
      </c>
      <c r="I2">
        <v>130</v>
      </c>
      <c r="J2">
        <v>28</v>
      </c>
      <c r="K2">
        <v>98</v>
      </c>
      <c r="L2">
        <v>19</v>
      </c>
      <c r="M2">
        <v>23</v>
      </c>
      <c r="N2">
        <v>52</v>
      </c>
      <c r="O2">
        <v>48</v>
      </c>
      <c r="P2">
        <v>10</v>
      </c>
      <c r="Q2">
        <v>7</v>
      </c>
    </row>
    <row r="3" spans="1:17" x14ac:dyDescent="0.45">
      <c r="A3" t="s">
        <v>56</v>
      </c>
      <c r="B3" t="s">
        <v>21</v>
      </c>
      <c r="C3">
        <v>1</v>
      </c>
      <c r="D3">
        <v>1181</v>
      </c>
      <c r="E3">
        <v>46</v>
      </c>
      <c r="F3">
        <v>22</v>
      </c>
      <c r="G3">
        <v>185</v>
      </c>
      <c r="H3">
        <v>15</v>
      </c>
      <c r="I3">
        <v>123</v>
      </c>
      <c r="J3">
        <v>22</v>
      </c>
      <c r="K3">
        <v>92</v>
      </c>
      <c r="L3">
        <v>21</v>
      </c>
      <c r="M3">
        <v>26</v>
      </c>
      <c r="N3">
        <v>56</v>
      </c>
      <c r="O3">
        <v>31</v>
      </c>
      <c r="P3">
        <v>18</v>
      </c>
      <c r="Q3">
        <v>2</v>
      </c>
    </row>
    <row r="4" spans="1:17" x14ac:dyDescent="0.45">
      <c r="A4" t="s">
        <v>56</v>
      </c>
      <c r="B4" t="s">
        <v>20</v>
      </c>
      <c r="C4">
        <v>2</v>
      </c>
      <c r="D4">
        <v>975</v>
      </c>
      <c r="E4">
        <v>25</v>
      </c>
      <c r="F4">
        <v>28</v>
      </c>
      <c r="G4">
        <v>104</v>
      </c>
      <c r="H4">
        <v>50</v>
      </c>
      <c r="I4">
        <v>166</v>
      </c>
      <c r="J4">
        <v>11</v>
      </c>
      <c r="K4">
        <v>71</v>
      </c>
      <c r="L4">
        <v>21</v>
      </c>
      <c r="M4">
        <v>24</v>
      </c>
      <c r="N4">
        <v>47</v>
      </c>
      <c r="O4">
        <v>31</v>
      </c>
      <c r="P4">
        <v>20</v>
      </c>
      <c r="Q4">
        <v>2</v>
      </c>
    </row>
    <row r="5" spans="1:17" x14ac:dyDescent="0.45">
      <c r="A5" t="s">
        <v>56</v>
      </c>
      <c r="B5" t="s">
        <v>21</v>
      </c>
      <c r="C5">
        <v>2</v>
      </c>
      <c r="D5">
        <v>1135</v>
      </c>
      <c r="E5">
        <v>29</v>
      </c>
      <c r="F5">
        <v>26</v>
      </c>
      <c r="G5">
        <v>81</v>
      </c>
      <c r="H5">
        <v>57</v>
      </c>
      <c r="I5">
        <v>199</v>
      </c>
      <c r="J5">
        <v>20</v>
      </c>
      <c r="K5">
        <v>124</v>
      </c>
      <c r="L5">
        <v>26</v>
      </c>
      <c r="M5">
        <v>19</v>
      </c>
      <c r="N5">
        <v>62</v>
      </c>
      <c r="O5">
        <v>22</v>
      </c>
      <c r="P5">
        <v>17</v>
      </c>
      <c r="Q5">
        <v>2</v>
      </c>
    </row>
    <row r="6" spans="1:17" x14ac:dyDescent="0.45">
      <c r="A6" t="s">
        <v>56</v>
      </c>
      <c r="B6" t="s">
        <v>20</v>
      </c>
      <c r="C6">
        <v>3</v>
      </c>
      <c r="D6">
        <v>1202</v>
      </c>
      <c r="E6">
        <v>54</v>
      </c>
      <c r="F6">
        <v>44</v>
      </c>
      <c r="G6">
        <v>203</v>
      </c>
      <c r="H6">
        <v>22</v>
      </c>
      <c r="I6">
        <v>177</v>
      </c>
      <c r="J6">
        <v>24</v>
      </c>
      <c r="K6">
        <v>134</v>
      </c>
      <c r="L6">
        <v>27</v>
      </c>
      <c r="M6">
        <v>22</v>
      </c>
      <c r="N6">
        <v>160</v>
      </c>
      <c r="O6">
        <v>111</v>
      </c>
      <c r="P6">
        <v>110</v>
      </c>
      <c r="Q6">
        <v>5</v>
      </c>
    </row>
    <row r="7" spans="1:17" x14ac:dyDescent="0.45">
      <c r="A7" t="s">
        <v>56</v>
      </c>
      <c r="B7" t="s">
        <v>21</v>
      </c>
      <c r="C7">
        <v>3</v>
      </c>
      <c r="D7">
        <v>1346</v>
      </c>
      <c r="E7">
        <v>45</v>
      </c>
      <c r="F7">
        <v>51</v>
      </c>
      <c r="G7">
        <v>209</v>
      </c>
      <c r="H7">
        <v>38</v>
      </c>
      <c r="I7">
        <v>188</v>
      </c>
      <c r="J7">
        <v>26</v>
      </c>
      <c r="K7">
        <v>194</v>
      </c>
      <c r="L7">
        <v>58</v>
      </c>
      <c r="M7">
        <v>29</v>
      </c>
      <c r="N7">
        <v>272</v>
      </c>
      <c r="O7">
        <v>129</v>
      </c>
      <c r="P7">
        <v>202</v>
      </c>
      <c r="Q7">
        <v>18</v>
      </c>
    </row>
    <row r="8" spans="1:17" x14ac:dyDescent="0.45">
      <c r="A8" t="s">
        <v>56</v>
      </c>
      <c r="B8" t="s">
        <v>20</v>
      </c>
      <c r="C8">
        <v>4</v>
      </c>
      <c r="D8">
        <v>1258</v>
      </c>
      <c r="E8">
        <v>90</v>
      </c>
      <c r="F8">
        <v>80</v>
      </c>
      <c r="G8">
        <v>273</v>
      </c>
      <c r="H8">
        <v>50</v>
      </c>
      <c r="I8">
        <v>285</v>
      </c>
      <c r="J8">
        <v>68</v>
      </c>
      <c r="K8">
        <v>499</v>
      </c>
      <c r="L8">
        <v>171</v>
      </c>
      <c r="M8">
        <v>71</v>
      </c>
      <c r="N8">
        <v>539</v>
      </c>
      <c r="O8">
        <v>210</v>
      </c>
      <c r="P8">
        <v>256</v>
      </c>
      <c r="Q8">
        <v>10</v>
      </c>
    </row>
    <row r="9" spans="1:17" x14ac:dyDescent="0.45">
      <c r="A9" t="s">
        <v>56</v>
      </c>
      <c r="B9" t="s">
        <v>21</v>
      </c>
      <c r="C9">
        <v>4</v>
      </c>
      <c r="D9">
        <v>1470</v>
      </c>
      <c r="E9">
        <v>48</v>
      </c>
      <c r="F9">
        <v>52</v>
      </c>
      <c r="G9">
        <v>248</v>
      </c>
      <c r="H9">
        <v>56</v>
      </c>
      <c r="I9">
        <v>265</v>
      </c>
      <c r="J9">
        <v>68</v>
      </c>
      <c r="K9">
        <v>497</v>
      </c>
      <c r="L9">
        <v>161</v>
      </c>
      <c r="M9">
        <v>62</v>
      </c>
      <c r="N9">
        <v>491</v>
      </c>
      <c r="O9">
        <v>194</v>
      </c>
      <c r="P9">
        <v>221</v>
      </c>
      <c r="Q9">
        <v>11</v>
      </c>
    </row>
    <row r="10" spans="1:17" x14ac:dyDescent="0.45">
      <c r="A10" t="s">
        <v>56</v>
      </c>
      <c r="B10" t="s">
        <v>20</v>
      </c>
      <c r="C10">
        <v>5</v>
      </c>
      <c r="D10">
        <v>980</v>
      </c>
      <c r="E10">
        <v>79</v>
      </c>
      <c r="F10">
        <v>73</v>
      </c>
      <c r="G10">
        <v>216</v>
      </c>
      <c r="H10">
        <v>62</v>
      </c>
      <c r="I10">
        <v>241</v>
      </c>
      <c r="J10">
        <v>41</v>
      </c>
      <c r="K10">
        <v>245</v>
      </c>
      <c r="L10">
        <v>127</v>
      </c>
      <c r="M10">
        <v>44</v>
      </c>
      <c r="N10">
        <v>228</v>
      </c>
      <c r="O10">
        <v>154</v>
      </c>
      <c r="P10">
        <v>134</v>
      </c>
      <c r="Q10">
        <v>6</v>
      </c>
    </row>
    <row r="11" spans="1:17" x14ac:dyDescent="0.45">
      <c r="A11" t="s">
        <v>56</v>
      </c>
      <c r="B11" t="s">
        <v>21</v>
      </c>
      <c r="C11">
        <v>5</v>
      </c>
      <c r="D11">
        <v>1229</v>
      </c>
      <c r="E11">
        <v>104</v>
      </c>
      <c r="F11">
        <v>85</v>
      </c>
      <c r="G11">
        <v>224</v>
      </c>
      <c r="H11">
        <v>46</v>
      </c>
      <c r="I11">
        <v>277</v>
      </c>
      <c r="J11">
        <v>61</v>
      </c>
      <c r="K11">
        <v>333</v>
      </c>
      <c r="L11">
        <v>126</v>
      </c>
      <c r="M11">
        <v>61</v>
      </c>
      <c r="N11">
        <v>275</v>
      </c>
      <c r="O11">
        <v>212</v>
      </c>
      <c r="P11">
        <v>142</v>
      </c>
      <c r="Q11">
        <v>7</v>
      </c>
    </row>
    <row r="12" spans="1:17" x14ac:dyDescent="0.45">
      <c r="A12" t="s">
        <v>56</v>
      </c>
      <c r="B12" t="s">
        <v>20</v>
      </c>
      <c r="C12">
        <v>6</v>
      </c>
      <c r="D12">
        <v>1146</v>
      </c>
      <c r="E12">
        <v>87</v>
      </c>
      <c r="F12">
        <v>92</v>
      </c>
      <c r="G12">
        <v>156</v>
      </c>
      <c r="H12">
        <v>64</v>
      </c>
      <c r="I12">
        <v>325</v>
      </c>
      <c r="J12">
        <v>62</v>
      </c>
      <c r="K12">
        <v>191</v>
      </c>
      <c r="L12">
        <v>96</v>
      </c>
      <c r="M12">
        <v>53</v>
      </c>
      <c r="N12">
        <v>148</v>
      </c>
      <c r="O12">
        <v>109</v>
      </c>
      <c r="P12">
        <v>74</v>
      </c>
      <c r="Q12">
        <v>2</v>
      </c>
    </row>
    <row r="13" spans="1:17" x14ac:dyDescent="0.45">
      <c r="A13" t="s">
        <v>56</v>
      </c>
      <c r="B13" t="s">
        <v>21</v>
      </c>
      <c r="C13">
        <v>6</v>
      </c>
      <c r="D13">
        <v>1205</v>
      </c>
      <c r="E13">
        <v>95</v>
      </c>
      <c r="F13">
        <v>73</v>
      </c>
      <c r="G13">
        <v>169</v>
      </c>
      <c r="H13">
        <v>49</v>
      </c>
      <c r="I13">
        <v>310</v>
      </c>
      <c r="J13">
        <v>43</v>
      </c>
      <c r="K13">
        <v>148</v>
      </c>
      <c r="L13">
        <v>123</v>
      </c>
      <c r="M13">
        <v>48</v>
      </c>
      <c r="N13">
        <v>158</v>
      </c>
      <c r="O13">
        <v>116</v>
      </c>
      <c r="P13">
        <v>66</v>
      </c>
      <c r="Q13">
        <v>1</v>
      </c>
    </row>
    <row r="14" spans="1:17" x14ac:dyDescent="0.45">
      <c r="A14" t="s">
        <v>56</v>
      </c>
      <c r="B14" t="s">
        <v>20</v>
      </c>
      <c r="C14">
        <v>7</v>
      </c>
      <c r="D14">
        <v>1018</v>
      </c>
      <c r="E14">
        <v>82</v>
      </c>
      <c r="F14">
        <v>74</v>
      </c>
      <c r="G14">
        <v>96</v>
      </c>
      <c r="H14">
        <v>52</v>
      </c>
      <c r="I14">
        <v>356</v>
      </c>
      <c r="J14">
        <v>25</v>
      </c>
      <c r="K14">
        <v>62</v>
      </c>
      <c r="L14">
        <v>40</v>
      </c>
      <c r="M14">
        <v>42</v>
      </c>
      <c r="N14">
        <v>62</v>
      </c>
      <c r="O14">
        <v>48</v>
      </c>
      <c r="P14">
        <v>29</v>
      </c>
      <c r="Q14">
        <v>1</v>
      </c>
    </row>
    <row r="15" spans="1:17" x14ac:dyDescent="0.45">
      <c r="A15" t="s">
        <v>56</v>
      </c>
      <c r="B15" t="s">
        <v>21</v>
      </c>
      <c r="C15">
        <v>7</v>
      </c>
      <c r="D15">
        <v>1205</v>
      </c>
      <c r="E15">
        <v>52</v>
      </c>
      <c r="F15">
        <v>48</v>
      </c>
      <c r="G15">
        <v>99</v>
      </c>
      <c r="H15">
        <v>55</v>
      </c>
      <c r="I15">
        <v>322</v>
      </c>
      <c r="J15">
        <v>35</v>
      </c>
      <c r="K15">
        <v>66</v>
      </c>
      <c r="L15">
        <v>48</v>
      </c>
      <c r="M15">
        <v>43</v>
      </c>
      <c r="N15">
        <v>70</v>
      </c>
      <c r="O15">
        <v>41</v>
      </c>
      <c r="P15">
        <v>26</v>
      </c>
      <c r="Q15">
        <v>1</v>
      </c>
    </row>
    <row r="16" spans="1:17" x14ac:dyDescent="0.45">
      <c r="A16" t="s">
        <v>56</v>
      </c>
      <c r="B16" t="s">
        <v>20</v>
      </c>
      <c r="C16">
        <v>8</v>
      </c>
      <c r="D16">
        <v>831</v>
      </c>
      <c r="E16">
        <v>36</v>
      </c>
      <c r="F16">
        <v>36</v>
      </c>
      <c r="G16">
        <v>60</v>
      </c>
      <c r="H16">
        <v>28</v>
      </c>
      <c r="I16">
        <v>276</v>
      </c>
      <c r="J16">
        <v>21</v>
      </c>
      <c r="K16">
        <v>23</v>
      </c>
      <c r="L16">
        <v>17</v>
      </c>
      <c r="M16">
        <v>33</v>
      </c>
      <c r="N16">
        <v>32</v>
      </c>
      <c r="O16">
        <v>15</v>
      </c>
      <c r="P16">
        <v>10</v>
      </c>
      <c r="Q16">
        <v>0</v>
      </c>
    </row>
    <row r="17" spans="1:17" x14ac:dyDescent="0.45">
      <c r="A17" t="s">
        <v>56</v>
      </c>
      <c r="B17" t="s">
        <v>21</v>
      </c>
      <c r="C17">
        <v>8</v>
      </c>
      <c r="D17">
        <v>972</v>
      </c>
      <c r="E17">
        <v>33</v>
      </c>
      <c r="F17">
        <v>60</v>
      </c>
      <c r="G17">
        <v>68</v>
      </c>
      <c r="H17">
        <v>19</v>
      </c>
      <c r="I17">
        <v>279</v>
      </c>
      <c r="J17">
        <v>18</v>
      </c>
      <c r="K17">
        <v>32</v>
      </c>
      <c r="L17">
        <v>29</v>
      </c>
      <c r="M17">
        <v>49</v>
      </c>
      <c r="N17">
        <v>36</v>
      </c>
      <c r="O17">
        <v>21</v>
      </c>
      <c r="P17">
        <v>11</v>
      </c>
      <c r="Q17">
        <v>1</v>
      </c>
    </row>
    <row r="18" spans="1:17" x14ac:dyDescent="0.45">
      <c r="A18" t="s">
        <v>56</v>
      </c>
      <c r="B18" t="s">
        <v>20</v>
      </c>
      <c r="C18">
        <v>9</v>
      </c>
      <c r="D18">
        <v>1003</v>
      </c>
      <c r="E18">
        <v>41</v>
      </c>
      <c r="F18">
        <v>53</v>
      </c>
      <c r="G18">
        <v>60</v>
      </c>
      <c r="H18">
        <v>40</v>
      </c>
      <c r="I18">
        <v>285</v>
      </c>
      <c r="J18">
        <v>52</v>
      </c>
      <c r="K18">
        <v>15</v>
      </c>
      <c r="L18">
        <v>14</v>
      </c>
      <c r="M18">
        <v>45</v>
      </c>
      <c r="N18">
        <v>16</v>
      </c>
      <c r="O18">
        <v>21</v>
      </c>
      <c r="P18">
        <v>6</v>
      </c>
      <c r="Q18">
        <v>0</v>
      </c>
    </row>
    <row r="19" spans="1:17" x14ac:dyDescent="0.45">
      <c r="A19" t="s">
        <v>56</v>
      </c>
      <c r="B19" t="s">
        <v>21</v>
      </c>
      <c r="C19">
        <v>9</v>
      </c>
      <c r="D19">
        <v>1114</v>
      </c>
      <c r="E19">
        <v>35</v>
      </c>
      <c r="F19">
        <v>34</v>
      </c>
      <c r="G19">
        <v>75</v>
      </c>
      <c r="H19">
        <v>15</v>
      </c>
      <c r="I19">
        <v>288</v>
      </c>
      <c r="J19">
        <v>21</v>
      </c>
      <c r="K19">
        <v>26</v>
      </c>
      <c r="L19">
        <v>14</v>
      </c>
      <c r="M19">
        <v>46</v>
      </c>
      <c r="N19">
        <v>14</v>
      </c>
      <c r="O19">
        <v>14</v>
      </c>
      <c r="P19">
        <v>5</v>
      </c>
      <c r="Q19">
        <v>0</v>
      </c>
    </row>
    <row r="20" spans="1:17" x14ac:dyDescent="0.45">
      <c r="A20" t="s">
        <v>56</v>
      </c>
      <c r="B20" t="s">
        <v>20</v>
      </c>
      <c r="C20">
        <v>10</v>
      </c>
      <c r="D20">
        <v>1325</v>
      </c>
      <c r="E20">
        <v>114</v>
      </c>
      <c r="F20">
        <v>110</v>
      </c>
      <c r="G20">
        <v>88</v>
      </c>
      <c r="H20">
        <v>107</v>
      </c>
      <c r="I20">
        <v>412</v>
      </c>
      <c r="J20">
        <v>67</v>
      </c>
      <c r="K20">
        <v>50</v>
      </c>
      <c r="L20">
        <v>56</v>
      </c>
      <c r="M20">
        <v>58</v>
      </c>
      <c r="N20">
        <v>59</v>
      </c>
      <c r="O20">
        <v>45</v>
      </c>
      <c r="P20">
        <v>21</v>
      </c>
      <c r="Q20">
        <v>5</v>
      </c>
    </row>
    <row r="21" spans="1:17" x14ac:dyDescent="0.45">
      <c r="A21" t="s">
        <v>56</v>
      </c>
      <c r="B21" t="s">
        <v>21</v>
      </c>
      <c r="C21">
        <v>10</v>
      </c>
      <c r="D21">
        <v>1595</v>
      </c>
      <c r="E21">
        <v>94</v>
      </c>
      <c r="F21">
        <v>140</v>
      </c>
      <c r="G21">
        <v>222</v>
      </c>
      <c r="H21">
        <v>45</v>
      </c>
      <c r="I21">
        <v>454</v>
      </c>
      <c r="J21">
        <v>83</v>
      </c>
      <c r="K21">
        <v>98</v>
      </c>
      <c r="L21">
        <v>77</v>
      </c>
      <c r="M21">
        <v>90</v>
      </c>
      <c r="N21">
        <v>73</v>
      </c>
      <c r="O21">
        <v>62</v>
      </c>
      <c r="P21">
        <v>28</v>
      </c>
      <c r="Q21">
        <v>2</v>
      </c>
    </row>
    <row r="22" spans="1:17" x14ac:dyDescent="0.45">
      <c r="A22" t="s">
        <v>56</v>
      </c>
      <c r="B22" t="s">
        <v>20</v>
      </c>
      <c r="C22">
        <v>11</v>
      </c>
      <c r="D22">
        <v>1225</v>
      </c>
      <c r="E22">
        <v>101</v>
      </c>
      <c r="F22">
        <v>89</v>
      </c>
      <c r="G22">
        <v>119</v>
      </c>
      <c r="H22">
        <v>107</v>
      </c>
      <c r="I22">
        <v>309</v>
      </c>
      <c r="J22">
        <v>45</v>
      </c>
      <c r="K22">
        <v>82</v>
      </c>
      <c r="L22">
        <v>43</v>
      </c>
      <c r="M22">
        <v>63</v>
      </c>
      <c r="N22">
        <v>50</v>
      </c>
      <c r="O22">
        <v>52</v>
      </c>
      <c r="P22">
        <v>19</v>
      </c>
      <c r="Q22">
        <v>3</v>
      </c>
    </row>
    <row r="23" spans="1:17" x14ac:dyDescent="0.45">
      <c r="A23" t="s">
        <v>56</v>
      </c>
      <c r="B23" t="s">
        <v>21</v>
      </c>
      <c r="C23">
        <v>11</v>
      </c>
      <c r="D23">
        <v>1410</v>
      </c>
      <c r="E23">
        <v>69</v>
      </c>
      <c r="F23">
        <v>51</v>
      </c>
      <c r="G23">
        <v>140</v>
      </c>
      <c r="H23">
        <v>48</v>
      </c>
      <c r="I23">
        <v>255</v>
      </c>
      <c r="J23">
        <v>19</v>
      </c>
      <c r="K23">
        <v>41</v>
      </c>
      <c r="L23">
        <v>32</v>
      </c>
      <c r="M23">
        <v>38</v>
      </c>
      <c r="N23">
        <v>45</v>
      </c>
      <c r="O23">
        <v>43</v>
      </c>
      <c r="P23">
        <v>15</v>
      </c>
      <c r="Q23">
        <v>0</v>
      </c>
    </row>
    <row r="24" spans="1:17" x14ac:dyDescent="0.45">
      <c r="A24" t="s">
        <v>56</v>
      </c>
      <c r="B24" t="s">
        <v>20</v>
      </c>
      <c r="C24">
        <v>12</v>
      </c>
      <c r="D24">
        <v>1186</v>
      </c>
      <c r="E24">
        <v>51</v>
      </c>
      <c r="F24">
        <v>66</v>
      </c>
      <c r="G24">
        <v>230</v>
      </c>
      <c r="H24">
        <v>54</v>
      </c>
      <c r="I24">
        <v>253</v>
      </c>
      <c r="J24">
        <v>36</v>
      </c>
      <c r="K24">
        <v>111</v>
      </c>
      <c r="L24">
        <v>50</v>
      </c>
      <c r="M24">
        <v>28</v>
      </c>
      <c r="N24">
        <v>66</v>
      </c>
      <c r="O24">
        <v>59</v>
      </c>
      <c r="P24">
        <v>34</v>
      </c>
      <c r="Q24">
        <v>3</v>
      </c>
    </row>
    <row r="25" spans="1:17" x14ac:dyDescent="0.45">
      <c r="A25" t="s">
        <v>56</v>
      </c>
      <c r="B25" t="s">
        <v>21</v>
      </c>
      <c r="C25">
        <v>12</v>
      </c>
      <c r="D25">
        <v>1427</v>
      </c>
      <c r="E25">
        <v>59</v>
      </c>
      <c r="F25">
        <v>57</v>
      </c>
      <c r="G25">
        <v>212</v>
      </c>
      <c r="H25">
        <v>56</v>
      </c>
      <c r="I25">
        <v>283</v>
      </c>
      <c r="J25">
        <v>42</v>
      </c>
      <c r="K25">
        <v>111</v>
      </c>
      <c r="L25">
        <v>43</v>
      </c>
      <c r="M25">
        <v>46</v>
      </c>
      <c r="N25">
        <v>82</v>
      </c>
      <c r="O25">
        <v>56</v>
      </c>
      <c r="P25">
        <v>11</v>
      </c>
      <c r="Q25">
        <v>0</v>
      </c>
    </row>
    <row r="26" spans="1:17" x14ac:dyDescent="0.45">
      <c r="A26" t="s">
        <v>55</v>
      </c>
      <c r="B26" t="s">
        <v>20</v>
      </c>
      <c r="C26">
        <v>1</v>
      </c>
      <c r="D26">
        <v>1211</v>
      </c>
      <c r="E26">
        <v>60</v>
      </c>
      <c r="F26">
        <v>18</v>
      </c>
      <c r="G26">
        <v>171</v>
      </c>
      <c r="H26">
        <v>8</v>
      </c>
      <c r="I26">
        <v>179</v>
      </c>
      <c r="J26">
        <v>28</v>
      </c>
      <c r="K26">
        <v>106</v>
      </c>
      <c r="L26">
        <v>25</v>
      </c>
      <c r="M26">
        <v>28</v>
      </c>
      <c r="N26">
        <v>57</v>
      </c>
      <c r="O26">
        <v>41</v>
      </c>
      <c r="P26">
        <v>27</v>
      </c>
      <c r="Q26">
        <v>0</v>
      </c>
    </row>
    <row r="27" spans="1:17" x14ac:dyDescent="0.45">
      <c r="A27" t="s">
        <v>55</v>
      </c>
      <c r="B27" t="s">
        <v>21</v>
      </c>
      <c r="C27">
        <v>1</v>
      </c>
      <c r="D27">
        <v>1373</v>
      </c>
      <c r="E27">
        <v>42</v>
      </c>
      <c r="F27">
        <v>33</v>
      </c>
      <c r="G27">
        <v>149</v>
      </c>
      <c r="H27">
        <v>17</v>
      </c>
      <c r="I27">
        <v>143</v>
      </c>
      <c r="J27">
        <v>12</v>
      </c>
      <c r="K27">
        <v>111</v>
      </c>
      <c r="L27">
        <v>22</v>
      </c>
      <c r="M27">
        <v>24</v>
      </c>
      <c r="N27">
        <v>47</v>
      </c>
      <c r="O27">
        <v>49</v>
      </c>
      <c r="P27">
        <v>29</v>
      </c>
      <c r="Q27">
        <v>3</v>
      </c>
    </row>
    <row r="28" spans="1:17" x14ac:dyDescent="0.45">
      <c r="A28" t="s">
        <v>55</v>
      </c>
      <c r="B28" t="s">
        <v>20</v>
      </c>
      <c r="C28">
        <v>2</v>
      </c>
      <c r="D28">
        <v>1265</v>
      </c>
      <c r="E28">
        <v>55</v>
      </c>
      <c r="F28">
        <v>29</v>
      </c>
      <c r="G28">
        <v>103</v>
      </c>
      <c r="H28">
        <v>17</v>
      </c>
      <c r="I28">
        <v>205</v>
      </c>
      <c r="J28">
        <v>22</v>
      </c>
      <c r="K28">
        <v>85</v>
      </c>
      <c r="L28">
        <v>26</v>
      </c>
      <c r="M28">
        <v>21</v>
      </c>
      <c r="N28">
        <v>59</v>
      </c>
      <c r="O28">
        <v>32</v>
      </c>
      <c r="P28">
        <v>16</v>
      </c>
      <c r="Q28">
        <v>16</v>
      </c>
    </row>
    <row r="29" spans="1:17" x14ac:dyDescent="0.45">
      <c r="A29" t="s">
        <v>55</v>
      </c>
      <c r="B29" t="s">
        <v>21</v>
      </c>
      <c r="C29">
        <v>2</v>
      </c>
      <c r="D29">
        <v>1274</v>
      </c>
      <c r="E29">
        <v>57</v>
      </c>
      <c r="F29">
        <v>38</v>
      </c>
      <c r="G29">
        <v>77</v>
      </c>
      <c r="H29">
        <v>77</v>
      </c>
      <c r="I29">
        <v>220</v>
      </c>
      <c r="J29">
        <v>25</v>
      </c>
      <c r="K29">
        <v>101</v>
      </c>
      <c r="L29">
        <v>25</v>
      </c>
      <c r="M29">
        <v>31</v>
      </c>
      <c r="N29">
        <v>51</v>
      </c>
      <c r="O29">
        <v>35</v>
      </c>
      <c r="P29">
        <v>18</v>
      </c>
      <c r="Q29">
        <v>10</v>
      </c>
    </row>
    <row r="30" spans="1:17" x14ac:dyDescent="0.45">
      <c r="A30" t="s">
        <v>55</v>
      </c>
      <c r="B30" t="s">
        <v>20</v>
      </c>
      <c r="C30">
        <v>3</v>
      </c>
      <c r="D30">
        <v>1448</v>
      </c>
      <c r="E30">
        <v>68</v>
      </c>
      <c r="F30">
        <v>67</v>
      </c>
      <c r="G30">
        <v>271</v>
      </c>
      <c r="H30">
        <v>14</v>
      </c>
      <c r="I30">
        <v>214</v>
      </c>
      <c r="J30">
        <v>41</v>
      </c>
      <c r="K30">
        <v>149</v>
      </c>
      <c r="L30">
        <v>57</v>
      </c>
      <c r="M30">
        <v>44</v>
      </c>
      <c r="N30">
        <v>240</v>
      </c>
      <c r="O30">
        <v>118</v>
      </c>
      <c r="P30">
        <v>135</v>
      </c>
      <c r="Q30">
        <v>12</v>
      </c>
    </row>
    <row r="31" spans="1:17" x14ac:dyDescent="0.45">
      <c r="A31" t="s">
        <v>55</v>
      </c>
      <c r="B31" t="s">
        <v>21</v>
      </c>
      <c r="C31">
        <v>3</v>
      </c>
      <c r="D31">
        <v>1458</v>
      </c>
      <c r="E31">
        <v>88</v>
      </c>
      <c r="F31">
        <v>79</v>
      </c>
      <c r="G31">
        <v>237</v>
      </c>
      <c r="H31">
        <v>51</v>
      </c>
      <c r="I31">
        <v>279</v>
      </c>
      <c r="J31">
        <v>49</v>
      </c>
      <c r="K31">
        <v>187</v>
      </c>
      <c r="L31">
        <v>61</v>
      </c>
      <c r="M31">
        <v>45</v>
      </c>
      <c r="N31">
        <v>0</v>
      </c>
      <c r="O31">
        <v>157</v>
      </c>
      <c r="P31">
        <v>188</v>
      </c>
      <c r="Q31">
        <v>12</v>
      </c>
    </row>
    <row r="32" spans="1:17" x14ac:dyDescent="0.45">
      <c r="A32" t="s">
        <v>55</v>
      </c>
      <c r="B32" t="s">
        <v>20</v>
      </c>
      <c r="C32">
        <v>4</v>
      </c>
      <c r="D32">
        <v>1516</v>
      </c>
      <c r="E32">
        <v>80</v>
      </c>
      <c r="F32">
        <v>115</v>
      </c>
      <c r="G32">
        <v>327</v>
      </c>
      <c r="H32">
        <v>71</v>
      </c>
      <c r="I32">
        <v>343</v>
      </c>
      <c r="J32">
        <v>88</v>
      </c>
      <c r="K32">
        <v>579</v>
      </c>
      <c r="L32">
        <v>173</v>
      </c>
      <c r="M32">
        <v>85</v>
      </c>
      <c r="N32">
        <v>493</v>
      </c>
      <c r="O32">
        <v>351</v>
      </c>
      <c r="P32">
        <v>312</v>
      </c>
      <c r="Q32">
        <v>5</v>
      </c>
    </row>
    <row r="33" spans="1:17" x14ac:dyDescent="0.45">
      <c r="A33" t="s">
        <v>55</v>
      </c>
      <c r="B33" t="s">
        <v>21</v>
      </c>
      <c r="C33">
        <v>4</v>
      </c>
      <c r="D33">
        <v>1655</v>
      </c>
      <c r="E33">
        <v>99</v>
      </c>
      <c r="F33">
        <v>88</v>
      </c>
      <c r="G33">
        <v>286</v>
      </c>
      <c r="H33">
        <v>91</v>
      </c>
      <c r="I33">
        <v>320</v>
      </c>
      <c r="J33">
        <v>83</v>
      </c>
      <c r="K33">
        <v>472</v>
      </c>
      <c r="L33">
        <v>159</v>
      </c>
      <c r="M33">
        <v>83</v>
      </c>
      <c r="N33">
        <v>419</v>
      </c>
      <c r="O33">
        <v>249</v>
      </c>
      <c r="P33">
        <v>264</v>
      </c>
      <c r="Q33">
        <v>9</v>
      </c>
    </row>
    <row r="34" spans="1:17" x14ac:dyDescent="0.45">
      <c r="A34" t="s">
        <v>55</v>
      </c>
      <c r="B34" t="s">
        <v>20</v>
      </c>
      <c r="C34">
        <v>5</v>
      </c>
      <c r="D34">
        <v>1417</v>
      </c>
      <c r="E34">
        <v>104</v>
      </c>
      <c r="F34">
        <v>73</v>
      </c>
      <c r="G34">
        <v>208</v>
      </c>
      <c r="H34">
        <v>55</v>
      </c>
      <c r="I34">
        <v>339</v>
      </c>
      <c r="J34">
        <v>55</v>
      </c>
      <c r="K34">
        <v>316</v>
      </c>
      <c r="L34">
        <v>129</v>
      </c>
      <c r="M34">
        <v>63</v>
      </c>
      <c r="N34">
        <v>253</v>
      </c>
      <c r="O34">
        <v>173</v>
      </c>
      <c r="P34">
        <v>145</v>
      </c>
      <c r="Q34">
        <v>1</v>
      </c>
    </row>
    <row r="35" spans="1:17" x14ac:dyDescent="0.45">
      <c r="A35" t="s">
        <v>55</v>
      </c>
      <c r="B35" t="s">
        <v>21</v>
      </c>
      <c r="C35">
        <v>5</v>
      </c>
      <c r="D35">
        <v>1443</v>
      </c>
      <c r="E35">
        <v>111</v>
      </c>
      <c r="F35">
        <v>63</v>
      </c>
      <c r="G35">
        <v>261</v>
      </c>
      <c r="H35">
        <v>34</v>
      </c>
      <c r="I35">
        <v>313</v>
      </c>
      <c r="J35">
        <v>66</v>
      </c>
      <c r="K35">
        <v>315</v>
      </c>
      <c r="L35">
        <v>129</v>
      </c>
      <c r="M35">
        <v>43</v>
      </c>
      <c r="N35">
        <v>298</v>
      </c>
      <c r="O35">
        <v>185</v>
      </c>
      <c r="P35">
        <v>142</v>
      </c>
      <c r="Q35">
        <v>3</v>
      </c>
    </row>
    <row r="36" spans="1:17" x14ac:dyDescent="0.45">
      <c r="A36" t="s">
        <v>55</v>
      </c>
      <c r="B36" t="s">
        <v>20</v>
      </c>
      <c r="C36">
        <v>6</v>
      </c>
      <c r="D36">
        <v>1453</v>
      </c>
      <c r="E36">
        <v>108</v>
      </c>
      <c r="F36">
        <v>85</v>
      </c>
      <c r="G36">
        <v>186</v>
      </c>
      <c r="H36">
        <v>50</v>
      </c>
      <c r="I36">
        <v>254</v>
      </c>
      <c r="J36">
        <v>42</v>
      </c>
      <c r="K36">
        <v>143</v>
      </c>
      <c r="L36">
        <v>72</v>
      </c>
      <c r="M36">
        <v>62</v>
      </c>
      <c r="N36">
        <v>117</v>
      </c>
      <c r="O36">
        <v>102</v>
      </c>
      <c r="P36">
        <v>77</v>
      </c>
      <c r="Q36">
        <v>11</v>
      </c>
    </row>
    <row r="37" spans="1:17" x14ac:dyDescent="0.45">
      <c r="A37" t="s">
        <v>55</v>
      </c>
      <c r="B37" t="s">
        <v>21</v>
      </c>
      <c r="C37">
        <v>6</v>
      </c>
      <c r="D37">
        <v>1470</v>
      </c>
      <c r="E37">
        <v>127</v>
      </c>
      <c r="F37">
        <v>90</v>
      </c>
      <c r="G37">
        <v>221</v>
      </c>
      <c r="H37">
        <v>56</v>
      </c>
      <c r="I37">
        <v>321</v>
      </c>
      <c r="J37">
        <v>81</v>
      </c>
      <c r="K37">
        <v>164</v>
      </c>
      <c r="L37">
        <v>95</v>
      </c>
      <c r="M37">
        <v>68</v>
      </c>
      <c r="N37">
        <v>145</v>
      </c>
      <c r="O37">
        <v>136</v>
      </c>
      <c r="P37">
        <v>73</v>
      </c>
      <c r="Q37">
        <v>4</v>
      </c>
    </row>
    <row r="38" spans="1:17" x14ac:dyDescent="0.45">
      <c r="A38" t="s">
        <v>55</v>
      </c>
      <c r="B38" t="s">
        <v>20</v>
      </c>
      <c r="C38">
        <v>7</v>
      </c>
      <c r="D38">
        <v>1332</v>
      </c>
      <c r="E38">
        <v>67</v>
      </c>
      <c r="F38">
        <v>54</v>
      </c>
      <c r="G38">
        <v>126</v>
      </c>
      <c r="H38">
        <v>21</v>
      </c>
      <c r="I38">
        <v>292</v>
      </c>
      <c r="J38">
        <v>38</v>
      </c>
      <c r="K38">
        <v>62</v>
      </c>
      <c r="L38">
        <v>36</v>
      </c>
      <c r="M38">
        <v>39</v>
      </c>
      <c r="N38">
        <v>57</v>
      </c>
      <c r="O38">
        <v>58</v>
      </c>
      <c r="P38">
        <v>30</v>
      </c>
      <c r="Q38">
        <v>4</v>
      </c>
    </row>
    <row r="39" spans="1:17" x14ac:dyDescent="0.45">
      <c r="A39" t="s">
        <v>55</v>
      </c>
      <c r="B39" t="s">
        <v>21</v>
      </c>
      <c r="C39">
        <v>7</v>
      </c>
      <c r="D39">
        <v>1517</v>
      </c>
      <c r="E39">
        <v>90</v>
      </c>
      <c r="F39">
        <v>77</v>
      </c>
      <c r="G39">
        <v>102</v>
      </c>
      <c r="H39">
        <v>60</v>
      </c>
      <c r="I39">
        <v>368</v>
      </c>
      <c r="J39">
        <v>41</v>
      </c>
      <c r="K39">
        <v>65</v>
      </c>
      <c r="L39">
        <v>44</v>
      </c>
      <c r="M39">
        <v>43</v>
      </c>
      <c r="N39">
        <v>89</v>
      </c>
      <c r="O39">
        <v>71</v>
      </c>
      <c r="P39">
        <v>22</v>
      </c>
      <c r="Q39">
        <v>8</v>
      </c>
    </row>
    <row r="40" spans="1:17" x14ac:dyDescent="0.45">
      <c r="A40" t="s">
        <v>55</v>
      </c>
      <c r="B40" t="s">
        <v>20</v>
      </c>
      <c r="C40">
        <v>8</v>
      </c>
      <c r="D40">
        <v>1166</v>
      </c>
      <c r="E40">
        <v>77</v>
      </c>
      <c r="F40">
        <v>95</v>
      </c>
      <c r="G40">
        <v>64</v>
      </c>
      <c r="H40">
        <v>16</v>
      </c>
      <c r="I40">
        <v>299</v>
      </c>
      <c r="J40">
        <v>31</v>
      </c>
      <c r="K40">
        <v>54</v>
      </c>
      <c r="L40">
        <v>17</v>
      </c>
      <c r="M40">
        <v>45</v>
      </c>
      <c r="N40">
        <v>43</v>
      </c>
      <c r="O40">
        <v>36</v>
      </c>
      <c r="P40">
        <v>13</v>
      </c>
      <c r="Q40">
        <v>0</v>
      </c>
    </row>
    <row r="41" spans="1:17" x14ac:dyDescent="0.45">
      <c r="A41" t="s">
        <v>55</v>
      </c>
      <c r="B41" t="s">
        <v>21</v>
      </c>
      <c r="C41">
        <v>8</v>
      </c>
      <c r="D41">
        <v>1394</v>
      </c>
      <c r="E41">
        <v>79</v>
      </c>
      <c r="F41">
        <v>39</v>
      </c>
      <c r="G41">
        <v>108</v>
      </c>
      <c r="H41">
        <v>16</v>
      </c>
      <c r="I41">
        <v>316</v>
      </c>
      <c r="J41">
        <v>27</v>
      </c>
      <c r="K41">
        <v>29</v>
      </c>
      <c r="L41">
        <v>15</v>
      </c>
      <c r="M41">
        <v>42</v>
      </c>
      <c r="N41">
        <v>24</v>
      </c>
      <c r="O41">
        <v>17</v>
      </c>
      <c r="P41">
        <v>13</v>
      </c>
      <c r="Q41">
        <v>2</v>
      </c>
    </row>
    <row r="42" spans="1:17" x14ac:dyDescent="0.45">
      <c r="A42" t="s">
        <v>55</v>
      </c>
      <c r="B42" t="s">
        <v>20</v>
      </c>
      <c r="C42">
        <v>9</v>
      </c>
      <c r="D42">
        <v>1261</v>
      </c>
      <c r="E42">
        <v>74</v>
      </c>
      <c r="F42">
        <v>63</v>
      </c>
      <c r="G42">
        <v>73</v>
      </c>
      <c r="H42">
        <v>47</v>
      </c>
      <c r="I42">
        <v>310</v>
      </c>
      <c r="J42">
        <v>34</v>
      </c>
      <c r="K42">
        <v>42</v>
      </c>
      <c r="L42">
        <v>25</v>
      </c>
      <c r="M42">
        <v>68</v>
      </c>
      <c r="N42">
        <v>30</v>
      </c>
      <c r="O42">
        <v>25</v>
      </c>
      <c r="P42">
        <v>12</v>
      </c>
      <c r="Q42">
        <v>0</v>
      </c>
    </row>
    <row r="43" spans="1:17" x14ac:dyDescent="0.45">
      <c r="A43" t="s">
        <v>55</v>
      </c>
      <c r="B43" t="s">
        <v>21</v>
      </c>
      <c r="C43">
        <v>9</v>
      </c>
      <c r="D43">
        <v>1431</v>
      </c>
      <c r="E43">
        <v>65</v>
      </c>
      <c r="F43">
        <v>69</v>
      </c>
      <c r="G43">
        <v>102</v>
      </c>
      <c r="H43">
        <v>23</v>
      </c>
      <c r="I43">
        <v>317</v>
      </c>
      <c r="J43">
        <v>48</v>
      </c>
      <c r="K43">
        <v>42</v>
      </c>
      <c r="L43">
        <v>44</v>
      </c>
      <c r="M43">
        <v>51</v>
      </c>
      <c r="N43">
        <v>47</v>
      </c>
      <c r="O43">
        <v>35</v>
      </c>
      <c r="P43">
        <v>13</v>
      </c>
      <c r="Q43">
        <v>0</v>
      </c>
    </row>
    <row r="44" spans="1:17" x14ac:dyDescent="0.45">
      <c r="A44" t="s">
        <v>55</v>
      </c>
      <c r="B44" t="s">
        <v>20</v>
      </c>
      <c r="C44">
        <v>10</v>
      </c>
      <c r="D44">
        <v>1624</v>
      </c>
      <c r="E44">
        <v>134</v>
      </c>
      <c r="F44">
        <v>114</v>
      </c>
      <c r="G44">
        <v>114</v>
      </c>
      <c r="H44">
        <v>75</v>
      </c>
      <c r="I44">
        <v>450</v>
      </c>
      <c r="J44">
        <v>69</v>
      </c>
      <c r="K44">
        <v>69</v>
      </c>
      <c r="L44">
        <v>53</v>
      </c>
      <c r="M44">
        <v>93</v>
      </c>
      <c r="N44">
        <v>60</v>
      </c>
      <c r="O44">
        <v>65</v>
      </c>
      <c r="P44">
        <v>31</v>
      </c>
      <c r="Q44">
        <v>2</v>
      </c>
    </row>
    <row r="45" spans="1:17" x14ac:dyDescent="0.45">
      <c r="A45" t="s">
        <v>55</v>
      </c>
      <c r="B45" t="s">
        <v>21</v>
      </c>
      <c r="C45">
        <v>10</v>
      </c>
      <c r="D45">
        <v>1987</v>
      </c>
      <c r="E45">
        <v>149</v>
      </c>
      <c r="F45">
        <v>109</v>
      </c>
      <c r="G45">
        <v>183</v>
      </c>
      <c r="H45">
        <v>32</v>
      </c>
      <c r="I45">
        <v>379</v>
      </c>
      <c r="J45">
        <v>47</v>
      </c>
      <c r="K45">
        <v>66</v>
      </c>
      <c r="L45">
        <v>60</v>
      </c>
      <c r="M45">
        <v>73</v>
      </c>
      <c r="N45">
        <v>63</v>
      </c>
      <c r="O45">
        <v>52</v>
      </c>
      <c r="P45">
        <v>31</v>
      </c>
      <c r="Q45">
        <v>1</v>
      </c>
    </row>
    <row r="46" spans="1:17" x14ac:dyDescent="0.45">
      <c r="A46" t="s">
        <v>55</v>
      </c>
      <c r="B46" t="s">
        <v>20</v>
      </c>
      <c r="C46">
        <v>11</v>
      </c>
      <c r="D46">
        <v>1452</v>
      </c>
      <c r="E46">
        <v>113</v>
      </c>
      <c r="F46">
        <v>95</v>
      </c>
      <c r="G46">
        <v>157</v>
      </c>
      <c r="H46">
        <v>52</v>
      </c>
      <c r="I46">
        <v>325</v>
      </c>
      <c r="J46">
        <v>56</v>
      </c>
      <c r="K46">
        <v>76</v>
      </c>
      <c r="L46">
        <v>43</v>
      </c>
      <c r="M46">
        <v>58</v>
      </c>
      <c r="N46">
        <v>63</v>
      </c>
      <c r="O46">
        <v>57</v>
      </c>
      <c r="P46">
        <v>31</v>
      </c>
      <c r="Q46">
        <v>1</v>
      </c>
    </row>
    <row r="47" spans="1:17" x14ac:dyDescent="0.45">
      <c r="A47" t="s">
        <v>55</v>
      </c>
      <c r="B47" t="s">
        <v>21</v>
      </c>
      <c r="C47">
        <v>11</v>
      </c>
      <c r="D47">
        <v>1668</v>
      </c>
      <c r="E47">
        <v>86</v>
      </c>
      <c r="F47">
        <v>67</v>
      </c>
      <c r="G47">
        <v>153</v>
      </c>
      <c r="H47">
        <v>55</v>
      </c>
      <c r="I47">
        <v>338</v>
      </c>
      <c r="J47">
        <v>41</v>
      </c>
      <c r="K47">
        <v>112</v>
      </c>
      <c r="L47">
        <v>43</v>
      </c>
      <c r="M47">
        <v>39</v>
      </c>
      <c r="N47">
        <v>61</v>
      </c>
      <c r="O47">
        <v>68</v>
      </c>
      <c r="P47">
        <v>32</v>
      </c>
      <c r="Q47">
        <v>2</v>
      </c>
    </row>
    <row r="48" spans="1:17" x14ac:dyDescent="0.45">
      <c r="A48" t="s">
        <v>55</v>
      </c>
      <c r="B48" t="s">
        <v>20</v>
      </c>
      <c r="C48">
        <v>12</v>
      </c>
      <c r="D48">
        <v>1417</v>
      </c>
      <c r="E48">
        <v>84</v>
      </c>
      <c r="F48">
        <v>71</v>
      </c>
      <c r="G48">
        <v>226</v>
      </c>
      <c r="H48">
        <v>18</v>
      </c>
      <c r="I48">
        <v>280</v>
      </c>
      <c r="J48">
        <v>50</v>
      </c>
      <c r="K48">
        <v>110</v>
      </c>
      <c r="L48">
        <v>56</v>
      </c>
      <c r="M48">
        <v>44</v>
      </c>
      <c r="N48">
        <v>75</v>
      </c>
      <c r="O48">
        <v>77</v>
      </c>
      <c r="P48">
        <v>31</v>
      </c>
      <c r="Q48">
        <v>0</v>
      </c>
    </row>
    <row r="49" spans="1:17" x14ac:dyDescent="0.45">
      <c r="A49" t="s">
        <v>55</v>
      </c>
      <c r="B49" t="s">
        <v>21</v>
      </c>
      <c r="C49">
        <v>12</v>
      </c>
      <c r="D49">
        <v>1565</v>
      </c>
      <c r="E49">
        <v>84</v>
      </c>
      <c r="F49">
        <v>99</v>
      </c>
      <c r="G49">
        <v>229</v>
      </c>
      <c r="H49">
        <v>38</v>
      </c>
      <c r="I49">
        <v>262</v>
      </c>
      <c r="J49">
        <v>42</v>
      </c>
      <c r="K49">
        <v>130</v>
      </c>
      <c r="L49">
        <v>48</v>
      </c>
      <c r="M49">
        <v>77</v>
      </c>
      <c r="N49">
        <v>74</v>
      </c>
      <c r="O49">
        <v>69</v>
      </c>
      <c r="P49">
        <v>28</v>
      </c>
      <c r="Q49">
        <v>1</v>
      </c>
    </row>
    <row r="50" spans="1:17" x14ac:dyDescent="0.45">
      <c r="A50" t="s">
        <v>76</v>
      </c>
      <c r="B50" t="s">
        <v>20</v>
      </c>
      <c r="C50">
        <v>1</v>
      </c>
      <c r="D50">
        <v>410</v>
      </c>
      <c r="E50">
        <v>29</v>
      </c>
      <c r="F50">
        <v>16</v>
      </c>
      <c r="G50">
        <v>73</v>
      </c>
      <c r="H50">
        <v>2</v>
      </c>
      <c r="I50">
        <v>69</v>
      </c>
      <c r="J50">
        <v>14</v>
      </c>
      <c r="K50">
        <v>61</v>
      </c>
      <c r="L50">
        <v>21</v>
      </c>
      <c r="M50">
        <v>5</v>
      </c>
      <c r="N50">
        <v>24</v>
      </c>
      <c r="O50">
        <v>27</v>
      </c>
      <c r="P50">
        <v>15</v>
      </c>
      <c r="Q50">
        <v>0</v>
      </c>
    </row>
    <row r="51" spans="1:17" x14ac:dyDescent="0.45">
      <c r="A51" t="s">
        <v>76</v>
      </c>
      <c r="B51" t="s">
        <v>21</v>
      </c>
      <c r="C51">
        <v>1</v>
      </c>
      <c r="D51">
        <v>443</v>
      </c>
      <c r="E51">
        <v>32</v>
      </c>
      <c r="F51">
        <v>13</v>
      </c>
      <c r="G51">
        <v>79</v>
      </c>
      <c r="H51">
        <v>3</v>
      </c>
      <c r="I51">
        <v>74</v>
      </c>
      <c r="J51">
        <v>10</v>
      </c>
      <c r="K51">
        <v>77</v>
      </c>
      <c r="L51">
        <v>17</v>
      </c>
      <c r="M51">
        <v>14</v>
      </c>
      <c r="N51">
        <v>19</v>
      </c>
      <c r="O51">
        <v>28</v>
      </c>
      <c r="P51">
        <v>12</v>
      </c>
      <c r="Q51">
        <v>1</v>
      </c>
    </row>
    <row r="52" spans="1:17" x14ac:dyDescent="0.45">
      <c r="A52" t="s">
        <v>76</v>
      </c>
      <c r="B52" t="s">
        <v>20</v>
      </c>
      <c r="C52">
        <v>2</v>
      </c>
      <c r="D52">
        <v>472</v>
      </c>
      <c r="E52">
        <v>22</v>
      </c>
      <c r="F52">
        <v>15</v>
      </c>
      <c r="G52">
        <v>65</v>
      </c>
      <c r="H52">
        <v>15</v>
      </c>
      <c r="I52">
        <v>86</v>
      </c>
      <c r="J52">
        <v>12</v>
      </c>
      <c r="K52">
        <v>43</v>
      </c>
      <c r="L52">
        <v>21</v>
      </c>
      <c r="M52">
        <v>7</v>
      </c>
      <c r="N52">
        <v>27</v>
      </c>
      <c r="O52">
        <v>25</v>
      </c>
      <c r="P52">
        <v>12</v>
      </c>
      <c r="Q52">
        <v>0</v>
      </c>
    </row>
    <row r="53" spans="1:17" x14ac:dyDescent="0.45">
      <c r="A53" t="s">
        <v>76</v>
      </c>
      <c r="B53" t="s">
        <v>21</v>
      </c>
      <c r="C53">
        <v>2</v>
      </c>
      <c r="D53">
        <v>481</v>
      </c>
      <c r="E53">
        <v>15</v>
      </c>
      <c r="F53">
        <v>10</v>
      </c>
      <c r="G53">
        <v>17</v>
      </c>
      <c r="H53">
        <v>53</v>
      </c>
      <c r="I53">
        <v>119</v>
      </c>
      <c r="J53">
        <v>10</v>
      </c>
      <c r="K53">
        <v>42</v>
      </c>
      <c r="L53">
        <v>17</v>
      </c>
      <c r="M53">
        <v>13</v>
      </c>
      <c r="N53">
        <v>27</v>
      </c>
      <c r="O53">
        <v>18</v>
      </c>
      <c r="P53">
        <v>13</v>
      </c>
      <c r="Q53">
        <v>0</v>
      </c>
    </row>
    <row r="54" spans="1:17" x14ac:dyDescent="0.45">
      <c r="A54" t="s">
        <v>76</v>
      </c>
      <c r="B54" t="s">
        <v>20</v>
      </c>
      <c r="C54">
        <v>3</v>
      </c>
      <c r="D54">
        <v>552</v>
      </c>
      <c r="E54">
        <v>34</v>
      </c>
      <c r="F54">
        <v>31</v>
      </c>
      <c r="G54">
        <v>108</v>
      </c>
      <c r="H54">
        <v>3</v>
      </c>
      <c r="I54">
        <v>84</v>
      </c>
      <c r="J54">
        <v>20</v>
      </c>
      <c r="K54">
        <v>57</v>
      </c>
      <c r="L54">
        <v>31</v>
      </c>
      <c r="M54">
        <v>14</v>
      </c>
      <c r="N54">
        <v>126</v>
      </c>
      <c r="O54">
        <v>64</v>
      </c>
      <c r="P54">
        <v>68</v>
      </c>
      <c r="Q54">
        <v>1</v>
      </c>
    </row>
    <row r="55" spans="1:17" x14ac:dyDescent="0.45">
      <c r="A55" t="s">
        <v>76</v>
      </c>
      <c r="B55" t="s">
        <v>21</v>
      </c>
      <c r="C55">
        <v>3</v>
      </c>
      <c r="D55">
        <v>558</v>
      </c>
      <c r="E55">
        <v>44</v>
      </c>
      <c r="F55">
        <v>34</v>
      </c>
      <c r="G55">
        <v>119</v>
      </c>
      <c r="H55">
        <v>14</v>
      </c>
      <c r="I55">
        <v>111</v>
      </c>
      <c r="J55">
        <v>19</v>
      </c>
      <c r="K55">
        <v>119</v>
      </c>
      <c r="L55">
        <v>38</v>
      </c>
      <c r="M55">
        <v>6</v>
      </c>
      <c r="N55">
        <v>225</v>
      </c>
      <c r="O55">
        <v>92</v>
      </c>
      <c r="P55">
        <v>97</v>
      </c>
      <c r="Q55">
        <v>5</v>
      </c>
    </row>
    <row r="56" spans="1:17" x14ac:dyDescent="0.45">
      <c r="A56" t="s">
        <v>76</v>
      </c>
      <c r="B56" t="s">
        <v>20</v>
      </c>
      <c r="C56">
        <v>4</v>
      </c>
      <c r="D56">
        <v>480</v>
      </c>
      <c r="E56">
        <v>59</v>
      </c>
      <c r="F56">
        <v>67</v>
      </c>
      <c r="G56">
        <v>135</v>
      </c>
      <c r="H56">
        <v>8</v>
      </c>
      <c r="I56">
        <v>154</v>
      </c>
      <c r="J56">
        <v>67</v>
      </c>
      <c r="K56">
        <v>252</v>
      </c>
      <c r="L56">
        <v>105</v>
      </c>
      <c r="M56">
        <v>53</v>
      </c>
      <c r="N56">
        <v>342</v>
      </c>
      <c r="O56">
        <v>172</v>
      </c>
      <c r="P56">
        <v>168</v>
      </c>
      <c r="Q56">
        <v>3</v>
      </c>
    </row>
    <row r="57" spans="1:17" x14ac:dyDescent="0.45">
      <c r="A57" t="s">
        <v>76</v>
      </c>
      <c r="B57" t="s">
        <v>21</v>
      </c>
      <c r="C57">
        <v>4</v>
      </c>
      <c r="D57">
        <v>547</v>
      </c>
      <c r="E57">
        <v>40</v>
      </c>
      <c r="F57">
        <v>52</v>
      </c>
      <c r="G57">
        <v>119</v>
      </c>
      <c r="H57">
        <v>50</v>
      </c>
      <c r="I57">
        <v>163</v>
      </c>
      <c r="J57">
        <v>63</v>
      </c>
      <c r="K57">
        <v>248</v>
      </c>
      <c r="L57">
        <v>90</v>
      </c>
      <c r="M57">
        <v>49</v>
      </c>
      <c r="N57">
        <v>314</v>
      </c>
      <c r="O57">
        <v>119</v>
      </c>
      <c r="P57">
        <v>130</v>
      </c>
      <c r="Q57">
        <v>5</v>
      </c>
    </row>
    <row r="58" spans="1:17" x14ac:dyDescent="0.45">
      <c r="A58" t="s">
        <v>76</v>
      </c>
      <c r="B58" t="s">
        <v>20</v>
      </c>
      <c r="C58">
        <v>5</v>
      </c>
      <c r="D58">
        <v>416</v>
      </c>
      <c r="E58">
        <v>48</v>
      </c>
      <c r="F58">
        <v>65</v>
      </c>
      <c r="G58">
        <v>72</v>
      </c>
      <c r="H58">
        <v>14</v>
      </c>
      <c r="I58">
        <v>112</v>
      </c>
      <c r="J58">
        <v>26</v>
      </c>
      <c r="K58">
        <v>155</v>
      </c>
      <c r="L58">
        <v>63</v>
      </c>
      <c r="M58">
        <v>21</v>
      </c>
      <c r="N58">
        <v>182</v>
      </c>
      <c r="O58">
        <v>120</v>
      </c>
      <c r="P58">
        <v>83</v>
      </c>
      <c r="Q58">
        <v>1</v>
      </c>
    </row>
    <row r="59" spans="1:17" x14ac:dyDescent="0.45">
      <c r="A59" t="s">
        <v>76</v>
      </c>
      <c r="B59" t="s">
        <v>21</v>
      </c>
      <c r="C59">
        <v>5</v>
      </c>
      <c r="D59">
        <v>495</v>
      </c>
      <c r="E59">
        <v>72</v>
      </c>
      <c r="F59">
        <v>45</v>
      </c>
      <c r="G59">
        <v>105</v>
      </c>
      <c r="H59">
        <v>27</v>
      </c>
      <c r="I59">
        <v>164</v>
      </c>
      <c r="J59">
        <v>32</v>
      </c>
      <c r="K59">
        <v>125</v>
      </c>
      <c r="L59">
        <v>59</v>
      </c>
      <c r="M59">
        <v>28</v>
      </c>
      <c r="N59">
        <v>245</v>
      </c>
      <c r="O59">
        <v>121</v>
      </c>
      <c r="P59">
        <v>58</v>
      </c>
      <c r="Q59">
        <v>2</v>
      </c>
    </row>
    <row r="60" spans="1:17" x14ac:dyDescent="0.45">
      <c r="A60" t="s">
        <v>76</v>
      </c>
      <c r="B60" t="s">
        <v>20</v>
      </c>
      <c r="C60">
        <v>6</v>
      </c>
      <c r="D60">
        <v>526</v>
      </c>
      <c r="E60">
        <v>28</v>
      </c>
      <c r="F60">
        <v>62</v>
      </c>
      <c r="G60">
        <v>94</v>
      </c>
      <c r="H60">
        <v>38</v>
      </c>
      <c r="I60">
        <v>165</v>
      </c>
      <c r="J60">
        <v>37</v>
      </c>
      <c r="K60">
        <v>80</v>
      </c>
      <c r="L60">
        <v>36</v>
      </c>
      <c r="M60">
        <v>26</v>
      </c>
      <c r="N60">
        <v>129</v>
      </c>
      <c r="O60">
        <v>64</v>
      </c>
      <c r="P60">
        <v>30</v>
      </c>
      <c r="Q60">
        <v>2</v>
      </c>
    </row>
    <row r="61" spans="1:17" x14ac:dyDescent="0.45">
      <c r="A61" t="s">
        <v>76</v>
      </c>
      <c r="B61" t="s">
        <v>21</v>
      </c>
      <c r="C61">
        <v>6</v>
      </c>
      <c r="D61">
        <v>613</v>
      </c>
      <c r="E61">
        <v>52</v>
      </c>
      <c r="F61">
        <v>47</v>
      </c>
      <c r="G61">
        <v>116</v>
      </c>
      <c r="H61">
        <v>21</v>
      </c>
      <c r="I61">
        <v>171</v>
      </c>
      <c r="J61">
        <v>48</v>
      </c>
      <c r="K61">
        <v>75</v>
      </c>
      <c r="L61">
        <v>54</v>
      </c>
      <c r="M61">
        <v>41</v>
      </c>
      <c r="N61">
        <v>119</v>
      </c>
      <c r="O61">
        <v>74</v>
      </c>
      <c r="P61">
        <v>57</v>
      </c>
      <c r="Q61">
        <v>2</v>
      </c>
    </row>
    <row r="62" spans="1:17" x14ac:dyDescent="0.45">
      <c r="A62" t="s">
        <v>76</v>
      </c>
      <c r="B62" t="s">
        <v>20</v>
      </c>
      <c r="C62">
        <v>7</v>
      </c>
      <c r="D62">
        <v>451</v>
      </c>
      <c r="E62">
        <v>56</v>
      </c>
      <c r="F62">
        <v>31</v>
      </c>
      <c r="G62">
        <v>57</v>
      </c>
      <c r="H62">
        <v>12</v>
      </c>
      <c r="I62">
        <v>134</v>
      </c>
      <c r="J62">
        <v>12</v>
      </c>
      <c r="K62">
        <v>19</v>
      </c>
      <c r="L62">
        <v>29</v>
      </c>
      <c r="M62">
        <v>23</v>
      </c>
      <c r="N62">
        <v>28</v>
      </c>
      <c r="O62">
        <v>41</v>
      </c>
      <c r="P62">
        <v>9</v>
      </c>
      <c r="Q62">
        <v>1</v>
      </c>
    </row>
    <row r="63" spans="1:17" x14ac:dyDescent="0.45">
      <c r="A63" t="s">
        <v>76</v>
      </c>
      <c r="B63" t="s">
        <v>21</v>
      </c>
      <c r="C63">
        <v>7</v>
      </c>
      <c r="D63">
        <v>519</v>
      </c>
      <c r="E63">
        <v>57</v>
      </c>
      <c r="F63">
        <v>52</v>
      </c>
      <c r="G63">
        <v>42</v>
      </c>
      <c r="H63">
        <v>37</v>
      </c>
      <c r="I63">
        <v>186</v>
      </c>
      <c r="J63">
        <v>24</v>
      </c>
      <c r="K63">
        <v>28</v>
      </c>
      <c r="L63">
        <v>34</v>
      </c>
      <c r="M63">
        <v>32</v>
      </c>
      <c r="N63">
        <v>45</v>
      </c>
      <c r="O63">
        <v>29</v>
      </c>
      <c r="P63">
        <v>15</v>
      </c>
      <c r="Q63">
        <v>0</v>
      </c>
    </row>
    <row r="64" spans="1:17" x14ac:dyDescent="0.45">
      <c r="A64" t="s">
        <v>76</v>
      </c>
      <c r="B64" t="s">
        <v>20</v>
      </c>
      <c r="C64">
        <v>8</v>
      </c>
      <c r="D64">
        <v>442</v>
      </c>
      <c r="E64">
        <v>52</v>
      </c>
      <c r="F64">
        <v>28</v>
      </c>
      <c r="G64">
        <v>24</v>
      </c>
      <c r="H64">
        <v>26</v>
      </c>
      <c r="I64">
        <v>166</v>
      </c>
      <c r="J64">
        <v>17</v>
      </c>
      <c r="K64">
        <v>31</v>
      </c>
      <c r="L64">
        <v>29</v>
      </c>
      <c r="M64">
        <v>21</v>
      </c>
      <c r="N64">
        <v>16</v>
      </c>
      <c r="O64">
        <v>29</v>
      </c>
      <c r="P64">
        <v>6</v>
      </c>
      <c r="Q64">
        <v>0</v>
      </c>
    </row>
    <row r="65" spans="1:17" x14ac:dyDescent="0.45">
      <c r="A65" t="s">
        <v>76</v>
      </c>
      <c r="B65" t="s">
        <v>21</v>
      </c>
      <c r="C65">
        <v>8</v>
      </c>
      <c r="D65">
        <v>456</v>
      </c>
      <c r="E65">
        <v>45</v>
      </c>
      <c r="F65">
        <v>23</v>
      </c>
      <c r="G65">
        <v>42</v>
      </c>
      <c r="H65">
        <v>7</v>
      </c>
      <c r="I65">
        <v>125</v>
      </c>
      <c r="J65">
        <v>15</v>
      </c>
      <c r="K65">
        <v>30</v>
      </c>
      <c r="L65">
        <v>10</v>
      </c>
      <c r="M65">
        <v>15</v>
      </c>
      <c r="N65">
        <v>17</v>
      </c>
      <c r="O65">
        <v>23</v>
      </c>
      <c r="P65">
        <v>3</v>
      </c>
      <c r="Q65">
        <v>1</v>
      </c>
    </row>
    <row r="66" spans="1:17" x14ac:dyDescent="0.45">
      <c r="A66" t="s">
        <v>76</v>
      </c>
      <c r="B66" t="s">
        <v>20</v>
      </c>
      <c r="C66">
        <v>9</v>
      </c>
      <c r="D66">
        <v>445</v>
      </c>
      <c r="E66">
        <v>35</v>
      </c>
      <c r="F66">
        <v>29</v>
      </c>
      <c r="G66">
        <v>24</v>
      </c>
      <c r="H66">
        <v>40</v>
      </c>
      <c r="I66">
        <v>180</v>
      </c>
      <c r="J66">
        <v>30</v>
      </c>
      <c r="K66">
        <v>14</v>
      </c>
      <c r="L66">
        <v>6</v>
      </c>
      <c r="M66">
        <v>21</v>
      </c>
      <c r="N66">
        <v>7</v>
      </c>
      <c r="O66">
        <v>17</v>
      </c>
      <c r="P66">
        <v>0</v>
      </c>
      <c r="Q66">
        <v>0</v>
      </c>
    </row>
    <row r="67" spans="1:17" x14ac:dyDescent="0.45">
      <c r="A67" t="s">
        <v>76</v>
      </c>
      <c r="B67" t="s">
        <v>21</v>
      </c>
      <c r="C67">
        <v>9</v>
      </c>
      <c r="D67">
        <v>452</v>
      </c>
      <c r="E67">
        <v>40</v>
      </c>
      <c r="F67">
        <v>36</v>
      </c>
      <c r="G67">
        <v>42</v>
      </c>
      <c r="H67">
        <v>8</v>
      </c>
      <c r="I67">
        <v>121</v>
      </c>
      <c r="J67">
        <v>12</v>
      </c>
      <c r="K67">
        <v>8</v>
      </c>
      <c r="L67">
        <v>15</v>
      </c>
      <c r="M67">
        <v>19</v>
      </c>
      <c r="N67">
        <v>15</v>
      </c>
      <c r="O67">
        <v>15</v>
      </c>
      <c r="P67">
        <v>7</v>
      </c>
      <c r="Q67">
        <v>4</v>
      </c>
    </row>
    <row r="68" spans="1:17" x14ac:dyDescent="0.45">
      <c r="A68" t="s">
        <v>76</v>
      </c>
      <c r="B68" t="s">
        <v>20</v>
      </c>
      <c r="C68">
        <v>10</v>
      </c>
      <c r="D68">
        <v>627</v>
      </c>
      <c r="E68">
        <v>79</v>
      </c>
      <c r="F68">
        <v>84</v>
      </c>
      <c r="G68">
        <v>59</v>
      </c>
      <c r="H68">
        <v>52</v>
      </c>
      <c r="I68">
        <v>221</v>
      </c>
      <c r="J68">
        <v>58</v>
      </c>
      <c r="K68">
        <v>27</v>
      </c>
      <c r="L68">
        <v>25</v>
      </c>
      <c r="M68">
        <v>39</v>
      </c>
      <c r="N68">
        <v>25</v>
      </c>
      <c r="O68">
        <v>35</v>
      </c>
      <c r="P68">
        <v>10</v>
      </c>
      <c r="Q68">
        <v>0</v>
      </c>
    </row>
    <row r="69" spans="1:17" x14ac:dyDescent="0.45">
      <c r="A69" t="s">
        <v>76</v>
      </c>
      <c r="B69" t="s">
        <v>21</v>
      </c>
      <c r="C69">
        <v>10</v>
      </c>
      <c r="D69">
        <v>703</v>
      </c>
      <c r="E69">
        <v>69</v>
      </c>
      <c r="F69">
        <v>65</v>
      </c>
      <c r="G69">
        <v>122</v>
      </c>
      <c r="H69">
        <v>9</v>
      </c>
      <c r="I69">
        <v>192</v>
      </c>
      <c r="J69">
        <v>45</v>
      </c>
      <c r="K69">
        <v>60</v>
      </c>
      <c r="L69">
        <v>38</v>
      </c>
      <c r="M69">
        <v>38</v>
      </c>
      <c r="N69">
        <v>57</v>
      </c>
      <c r="O69">
        <v>33</v>
      </c>
      <c r="P69">
        <v>22</v>
      </c>
      <c r="Q69">
        <v>2</v>
      </c>
    </row>
    <row r="70" spans="1:17" x14ac:dyDescent="0.45">
      <c r="A70" t="s">
        <v>76</v>
      </c>
      <c r="B70" t="s">
        <v>20</v>
      </c>
      <c r="C70">
        <v>11</v>
      </c>
      <c r="D70">
        <v>553</v>
      </c>
      <c r="E70">
        <v>52</v>
      </c>
      <c r="F70">
        <v>58</v>
      </c>
      <c r="G70">
        <v>104</v>
      </c>
      <c r="H70">
        <v>18</v>
      </c>
      <c r="I70">
        <v>163</v>
      </c>
      <c r="J70">
        <v>38</v>
      </c>
      <c r="K70">
        <v>35</v>
      </c>
      <c r="L70">
        <v>24</v>
      </c>
      <c r="M70">
        <v>34</v>
      </c>
      <c r="N70">
        <v>51</v>
      </c>
      <c r="O70">
        <v>27</v>
      </c>
      <c r="P70">
        <v>7</v>
      </c>
      <c r="Q70">
        <v>2</v>
      </c>
    </row>
    <row r="71" spans="1:17" x14ac:dyDescent="0.45">
      <c r="A71" t="s">
        <v>76</v>
      </c>
      <c r="B71" t="s">
        <v>21</v>
      </c>
      <c r="C71">
        <v>11</v>
      </c>
      <c r="D71">
        <v>534</v>
      </c>
      <c r="E71">
        <v>22</v>
      </c>
      <c r="F71">
        <v>49</v>
      </c>
      <c r="G71">
        <v>69</v>
      </c>
      <c r="H71">
        <v>44</v>
      </c>
      <c r="I71">
        <v>179</v>
      </c>
      <c r="J71">
        <v>28</v>
      </c>
      <c r="K71">
        <v>48</v>
      </c>
      <c r="L71">
        <v>18</v>
      </c>
      <c r="M71">
        <v>28</v>
      </c>
      <c r="N71">
        <v>36</v>
      </c>
      <c r="O71">
        <v>18</v>
      </c>
      <c r="P71">
        <v>1</v>
      </c>
      <c r="Q71">
        <v>0</v>
      </c>
    </row>
    <row r="72" spans="1:17" x14ac:dyDescent="0.45">
      <c r="A72" t="s">
        <v>76</v>
      </c>
      <c r="B72" t="s">
        <v>20</v>
      </c>
      <c r="C72">
        <v>12</v>
      </c>
      <c r="D72">
        <v>532</v>
      </c>
      <c r="E72">
        <v>48</v>
      </c>
      <c r="F72">
        <v>41</v>
      </c>
      <c r="G72">
        <v>108</v>
      </c>
      <c r="H72">
        <v>12</v>
      </c>
      <c r="I72">
        <v>129</v>
      </c>
      <c r="J72">
        <v>28</v>
      </c>
      <c r="K72">
        <v>55</v>
      </c>
      <c r="L72">
        <v>33</v>
      </c>
      <c r="M72">
        <v>15</v>
      </c>
      <c r="N72">
        <v>51</v>
      </c>
      <c r="O72">
        <v>49</v>
      </c>
      <c r="P72">
        <v>13</v>
      </c>
      <c r="Q72">
        <v>1</v>
      </c>
    </row>
    <row r="73" spans="1:17" x14ac:dyDescent="0.45">
      <c r="A73" t="s">
        <v>76</v>
      </c>
      <c r="B73" t="s">
        <v>21</v>
      </c>
      <c r="C73">
        <v>12</v>
      </c>
      <c r="D73">
        <v>555</v>
      </c>
      <c r="E73">
        <v>54</v>
      </c>
      <c r="F73">
        <v>54</v>
      </c>
      <c r="G73">
        <v>93</v>
      </c>
      <c r="H73">
        <v>18</v>
      </c>
      <c r="I73">
        <v>114</v>
      </c>
      <c r="J73">
        <v>21</v>
      </c>
      <c r="K73">
        <v>71</v>
      </c>
      <c r="L73">
        <v>29</v>
      </c>
      <c r="M73">
        <v>25</v>
      </c>
      <c r="N73">
        <v>58</v>
      </c>
      <c r="O73">
        <v>43</v>
      </c>
      <c r="P73">
        <v>13</v>
      </c>
      <c r="Q73">
        <v>0</v>
      </c>
    </row>
    <row r="74" spans="1:17" x14ac:dyDescent="0.45">
      <c r="A74" t="s">
        <v>80</v>
      </c>
      <c r="B74" t="s">
        <v>20</v>
      </c>
      <c r="C74">
        <v>1</v>
      </c>
      <c r="D74">
        <v>332</v>
      </c>
      <c r="E74">
        <v>22</v>
      </c>
      <c r="F74">
        <v>20</v>
      </c>
      <c r="G74">
        <v>89</v>
      </c>
      <c r="H74">
        <v>3</v>
      </c>
      <c r="I74">
        <v>55</v>
      </c>
      <c r="J74">
        <v>20</v>
      </c>
      <c r="K74">
        <v>69</v>
      </c>
      <c r="L74">
        <v>13</v>
      </c>
      <c r="M74">
        <v>17</v>
      </c>
      <c r="N74">
        <v>32</v>
      </c>
      <c r="O74">
        <v>24</v>
      </c>
      <c r="P74">
        <v>10</v>
      </c>
      <c r="Q74">
        <v>2</v>
      </c>
    </row>
    <row r="75" spans="1:17" x14ac:dyDescent="0.45">
      <c r="A75" t="s">
        <v>80</v>
      </c>
      <c r="B75" t="s">
        <v>21</v>
      </c>
      <c r="C75">
        <v>1</v>
      </c>
      <c r="D75">
        <v>400</v>
      </c>
      <c r="E75">
        <v>10</v>
      </c>
      <c r="F75">
        <v>11</v>
      </c>
      <c r="G75">
        <v>71</v>
      </c>
      <c r="H75">
        <v>5</v>
      </c>
      <c r="I75">
        <v>78</v>
      </c>
      <c r="J75">
        <v>9</v>
      </c>
      <c r="K75">
        <v>39</v>
      </c>
      <c r="L75">
        <v>16</v>
      </c>
      <c r="M75">
        <v>12</v>
      </c>
      <c r="N75">
        <v>21</v>
      </c>
      <c r="O75">
        <v>23</v>
      </c>
      <c r="P75">
        <v>16</v>
      </c>
      <c r="Q75">
        <v>2</v>
      </c>
    </row>
    <row r="76" spans="1:17" x14ac:dyDescent="0.45">
      <c r="A76" t="s">
        <v>80</v>
      </c>
      <c r="B76" t="s">
        <v>20</v>
      </c>
      <c r="C76">
        <v>2</v>
      </c>
      <c r="D76">
        <v>287</v>
      </c>
      <c r="E76">
        <v>8</v>
      </c>
      <c r="F76">
        <v>10</v>
      </c>
      <c r="G76">
        <v>24</v>
      </c>
      <c r="H76">
        <v>27</v>
      </c>
      <c r="I76">
        <v>92</v>
      </c>
      <c r="J76">
        <v>7</v>
      </c>
      <c r="K76">
        <v>27</v>
      </c>
      <c r="L76">
        <v>10</v>
      </c>
      <c r="M76">
        <v>9</v>
      </c>
      <c r="N76">
        <v>18</v>
      </c>
      <c r="O76">
        <v>21</v>
      </c>
      <c r="P76">
        <v>13</v>
      </c>
      <c r="Q76">
        <v>0</v>
      </c>
    </row>
    <row r="77" spans="1:17" x14ac:dyDescent="0.45">
      <c r="A77" t="s">
        <v>80</v>
      </c>
      <c r="B77" t="s">
        <v>21</v>
      </c>
      <c r="C77">
        <v>2</v>
      </c>
      <c r="D77">
        <v>428</v>
      </c>
      <c r="E77">
        <v>12</v>
      </c>
      <c r="F77">
        <v>9</v>
      </c>
      <c r="G77">
        <v>19</v>
      </c>
      <c r="H77">
        <v>27</v>
      </c>
      <c r="I77">
        <v>101</v>
      </c>
      <c r="J77">
        <v>10</v>
      </c>
      <c r="K77">
        <v>27</v>
      </c>
      <c r="L77">
        <v>10</v>
      </c>
      <c r="M77">
        <v>6</v>
      </c>
      <c r="N77">
        <v>23</v>
      </c>
      <c r="O77">
        <v>12</v>
      </c>
      <c r="P77">
        <v>11</v>
      </c>
      <c r="Q77">
        <v>0</v>
      </c>
    </row>
    <row r="78" spans="1:17" x14ac:dyDescent="0.45">
      <c r="A78" t="s">
        <v>80</v>
      </c>
      <c r="B78" t="s">
        <v>20</v>
      </c>
      <c r="C78">
        <v>3</v>
      </c>
      <c r="D78">
        <v>407</v>
      </c>
      <c r="E78">
        <v>24</v>
      </c>
      <c r="F78">
        <v>31</v>
      </c>
      <c r="G78">
        <v>113</v>
      </c>
      <c r="H78">
        <v>1</v>
      </c>
      <c r="I78">
        <v>70</v>
      </c>
      <c r="J78">
        <v>19</v>
      </c>
      <c r="K78">
        <v>54</v>
      </c>
      <c r="L78">
        <v>20</v>
      </c>
      <c r="M78">
        <v>16</v>
      </c>
      <c r="N78">
        <v>67</v>
      </c>
      <c r="O78">
        <v>47</v>
      </c>
      <c r="P78">
        <v>37</v>
      </c>
      <c r="Q78">
        <v>3</v>
      </c>
    </row>
    <row r="79" spans="1:17" x14ac:dyDescent="0.45">
      <c r="A79" t="s">
        <v>80</v>
      </c>
      <c r="B79" t="s">
        <v>21</v>
      </c>
      <c r="C79">
        <v>3</v>
      </c>
      <c r="D79">
        <v>485</v>
      </c>
      <c r="E79">
        <v>14</v>
      </c>
      <c r="F79">
        <v>31</v>
      </c>
      <c r="G79">
        <v>99</v>
      </c>
      <c r="H79">
        <v>9</v>
      </c>
      <c r="I79">
        <v>79</v>
      </c>
      <c r="J79">
        <v>21</v>
      </c>
      <c r="K79">
        <v>99</v>
      </c>
      <c r="L79">
        <v>28</v>
      </c>
      <c r="M79">
        <v>17</v>
      </c>
      <c r="N79">
        <v>98</v>
      </c>
      <c r="O79">
        <v>67</v>
      </c>
      <c r="P79">
        <v>36</v>
      </c>
      <c r="Q79">
        <v>2</v>
      </c>
    </row>
    <row r="80" spans="1:17" x14ac:dyDescent="0.45">
      <c r="A80" t="s">
        <v>80</v>
      </c>
      <c r="B80" t="s">
        <v>20</v>
      </c>
      <c r="C80">
        <v>4</v>
      </c>
      <c r="D80">
        <v>358</v>
      </c>
      <c r="E80">
        <v>21</v>
      </c>
      <c r="F80">
        <v>33</v>
      </c>
      <c r="G80">
        <v>131</v>
      </c>
      <c r="H80">
        <v>11</v>
      </c>
      <c r="I80">
        <v>109</v>
      </c>
      <c r="J80">
        <v>29</v>
      </c>
      <c r="K80">
        <v>209</v>
      </c>
      <c r="L80">
        <v>77</v>
      </c>
      <c r="M80">
        <v>48</v>
      </c>
      <c r="N80">
        <v>172</v>
      </c>
      <c r="O80">
        <v>122</v>
      </c>
      <c r="P80">
        <v>86</v>
      </c>
      <c r="Q80">
        <v>8</v>
      </c>
    </row>
    <row r="81" spans="1:17" x14ac:dyDescent="0.45">
      <c r="A81" t="s">
        <v>80</v>
      </c>
      <c r="B81" t="s">
        <v>21</v>
      </c>
      <c r="C81">
        <v>4</v>
      </c>
      <c r="D81">
        <v>519</v>
      </c>
      <c r="E81">
        <v>35</v>
      </c>
      <c r="F81">
        <v>28</v>
      </c>
      <c r="G81">
        <v>86</v>
      </c>
      <c r="H81">
        <v>54</v>
      </c>
      <c r="I81">
        <v>174</v>
      </c>
      <c r="J81">
        <v>21</v>
      </c>
      <c r="K81">
        <v>134</v>
      </c>
      <c r="L81">
        <v>73</v>
      </c>
      <c r="M81">
        <v>31</v>
      </c>
      <c r="N81">
        <v>155</v>
      </c>
      <c r="O81">
        <v>117</v>
      </c>
      <c r="P81">
        <v>90</v>
      </c>
      <c r="Q81">
        <v>4</v>
      </c>
    </row>
    <row r="82" spans="1:17" x14ac:dyDescent="0.45">
      <c r="A82" t="s">
        <v>80</v>
      </c>
      <c r="B82" t="s">
        <v>20</v>
      </c>
      <c r="C82">
        <v>5</v>
      </c>
      <c r="D82">
        <v>340</v>
      </c>
      <c r="E82">
        <v>25</v>
      </c>
      <c r="F82">
        <v>13</v>
      </c>
      <c r="G82">
        <v>86</v>
      </c>
      <c r="H82">
        <v>8</v>
      </c>
      <c r="I82">
        <v>117</v>
      </c>
      <c r="J82">
        <v>10</v>
      </c>
      <c r="K82">
        <v>101</v>
      </c>
      <c r="L82">
        <v>37</v>
      </c>
      <c r="M82">
        <v>28</v>
      </c>
      <c r="N82">
        <v>106</v>
      </c>
      <c r="O82">
        <v>75</v>
      </c>
      <c r="P82">
        <v>65</v>
      </c>
      <c r="Q82">
        <v>1</v>
      </c>
    </row>
    <row r="83" spans="1:17" x14ac:dyDescent="0.45">
      <c r="A83" t="s">
        <v>80</v>
      </c>
      <c r="B83" t="s">
        <v>21</v>
      </c>
      <c r="C83">
        <v>5</v>
      </c>
      <c r="D83">
        <v>389</v>
      </c>
      <c r="E83">
        <v>28</v>
      </c>
      <c r="F83">
        <v>31</v>
      </c>
      <c r="G83">
        <v>61</v>
      </c>
      <c r="H83">
        <v>27</v>
      </c>
      <c r="I83">
        <v>125</v>
      </c>
      <c r="J83">
        <v>29</v>
      </c>
      <c r="K83">
        <v>118</v>
      </c>
      <c r="L83">
        <v>42</v>
      </c>
      <c r="M83">
        <v>30</v>
      </c>
      <c r="N83">
        <v>113</v>
      </c>
      <c r="O83">
        <v>85</v>
      </c>
      <c r="P83">
        <v>75</v>
      </c>
      <c r="Q83">
        <v>2</v>
      </c>
    </row>
    <row r="84" spans="1:17" x14ac:dyDescent="0.45">
      <c r="A84" t="s">
        <v>80</v>
      </c>
      <c r="B84" t="s">
        <v>20</v>
      </c>
      <c r="C84">
        <v>6</v>
      </c>
      <c r="D84">
        <v>395</v>
      </c>
      <c r="E84">
        <v>36</v>
      </c>
      <c r="F84">
        <v>20</v>
      </c>
      <c r="G84">
        <v>68</v>
      </c>
      <c r="H84">
        <v>17</v>
      </c>
      <c r="I84">
        <v>124</v>
      </c>
      <c r="J84">
        <v>24</v>
      </c>
      <c r="K84">
        <v>59</v>
      </c>
      <c r="L84">
        <v>25</v>
      </c>
      <c r="M84">
        <v>13</v>
      </c>
      <c r="N84">
        <v>51</v>
      </c>
      <c r="O84">
        <v>48</v>
      </c>
      <c r="P84">
        <v>29</v>
      </c>
      <c r="Q84">
        <v>0</v>
      </c>
    </row>
    <row r="85" spans="1:17" x14ac:dyDescent="0.45">
      <c r="A85" t="s">
        <v>80</v>
      </c>
      <c r="B85" t="s">
        <v>21</v>
      </c>
      <c r="C85">
        <v>6</v>
      </c>
      <c r="D85">
        <v>378</v>
      </c>
      <c r="E85">
        <v>37</v>
      </c>
      <c r="F85">
        <v>32</v>
      </c>
      <c r="G85">
        <v>66</v>
      </c>
      <c r="H85">
        <v>17</v>
      </c>
      <c r="I85">
        <v>112</v>
      </c>
      <c r="J85">
        <v>13</v>
      </c>
      <c r="K85">
        <v>60</v>
      </c>
      <c r="L85">
        <v>34</v>
      </c>
      <c r="M85">
        <v>20</v>
      </c>
      <c r="N85">
        <v>61</v>
      </c>
      <c r="O85">
        <v>52</v>
      </c>
      <c r="P85">
        <v>32</v>
      </c>
      <c r="Q85">
        <v>0</v>
      </c>
    </row>
    <row r="86" spans="1:17" x14ac:dyDescent="0.45">
      <c r="A86" t="s">
        <v>80</v>
      </c>
      <c r="B86" t="s">
        <v>20</v>
      </c>
      <c r="C86">
        <v>7</v>
      </c>
      <c r="D86">
        <v>351</v>
      </c>
      <c r="E86">
        <v>22</v>
      </c>
      <c r="F86">
        <v>38</v>
      </c>
      <c r="G86">
        <v>69</v>
      </c>
      <c r="H86">
        <v>11</v>
      </c>
      <c r="I86">
        <v>114</v>
      </c>
      <c r="J86">
        <v>9</v>
      </c>
      <c r="K86">
        <v>31</v>
      </c>
      <c r="L86">
        <v>11</v>
      </c>
      <c r="M86">
        <v>14</v>
      </c>
      <c r="N86">
        <v>28</v>
      </c>
      <c r="O86">
        <v>27</v>
      </c>
      <c r="P86">
        <v>18</v>
      </c>
      <c r="Q86">
        <v>0</v>
      </c>
    </row>
    <row r="87" spans="1:17" x14ac:dyDescent="0.45">
      <c r="A87" t="s">
        <v>80</v>
      </c>
      <c r="B87" t="s">
        <v>21</v>
      </c>
      <c r="C87">
        <v>7</v>
      </c>
      <c r="D87">
        <v>425</v>
      </c>
      <c r="E87">
        <v>37</v>
      </c>
      <c r="F87">
        <v>25</v>
      </c>
      <c r="G87">
        <v>38</v>
      </c>
      <c r="H87">
        <v>26</v>
      </c>
      <c r="I87">
        <v>137</v>
      </c>
      <c r="J87">
        <v>16</v>
      </c>
      <c r="K87">
        <v>26</v>
      </c>
      <c r="L87">
        <v>18</v>
      </c>
      <c r="M87">
        <v>14</v>
      </c>
      <c r="N87">
        <v>27</v>
      </c>
      <c r="O87">
        <v>31</v>
      </c>
      <c r="P87">
        <v>14</v>
      </c>
      <c r="Q87">
        <v>3</v>
      </c>
    </row>
    <row r="88" spans="1:17" x14ac:dyDescent="0.45">
      <c r="A88" t="s">
        <v>80</v>
      </c>
      <c r="B88" t="s">
        <v>20</v>
      </c>
      <c r="C88">
        <v>8</v>
      </c>
      <c r="D88">
        <v>271</v>
      </c>
      <c r="E88">
        <v>20</v>
      </c>
      <c r="F88">
        <v>32</v>
      </c>
      <c r="G88">
        <v>18</v>
      </c>
      <c r="H88">
        <v>9</v>
      </c>
      <c r="I88">
        <v>97</v>
      </c>
      <c r="J88">
        <v>7</v>
      </c>
      <c r="K88">
        <v>16</v>
      </c>
      <c r="L88">
        <v>17</v>
      </c>
      <c r="M88">
        <v>11</v>
      </c>
      <c r="N88">
        <v>4</v>
      </c>
      <c r="O88">
        <v>12</v>
      </c>
      <c r="P88">
        <v>2</v>
      </c>
      <c r="Q88">
        <v>0</v>
      </c>
    </row>
    <row r="89" spans="1:17" x14ac:dyDescent="0.45">
      <c r="A89" t="s">
        <v>80</v>
      </c>
      <c r="B89" t="s">
        <v>21</v>
      </c>
      <c r="C89">
        <v>8</v>
      </c>
      <c r="D89">
        <v>364</v>
      </c>
      <c r="E89">
        <v>15</v>
      </c>
      <c r="F89">
        <v>30</v>
      </c>
      <c r="G89">
        <v>35</v>
      </c>
      <c r="H89">
        <v>2</v>
      </c>
      <c r="I89">
        <v>125</v>
      </c>
      <c r="J89">
        <v>18</v>
      </c>
      <c r="K89">
        <v>16</v>
      </c>
      <c r="L89">
        <v>6</v>
      </c>
      <c r="M89">
        <v>13</v>
      </c>
      <c r="N89">
        <v>19</v>
      </c>
      <c r="O89">
        <v>10</v>
      </c>
      <c r="P89">
        <v>4</v>
      </c>
      <c r="Q89">
        <v>0</v>
      </c>
    </row>
    <row r="90" spans="1:17" x14ac:dyDescent="0.45">
      <c r="A90" t="s">
        <v>80</v>
      </c>
      <c r="B90" t="s">
        <v>20</v>
      </c>
      <c r="C90">
        <v>9</v>
      </c>
      <c r="D90">
        <v>356</v>
      </c>
      <c r="E90">
        <v>11</v>
      </c>
      <c r="F90">
        <v>18</v>
      </c>
      <c r="G90">
        <v>27</v>
      </c>
      <c r="H90">
        <v>23</v>
      </c>
      <c r="I90">
        <v>106</v>
      </c>
      <c r="J90">
        <v>21</v>
      </c>
      <c r="K90">
        <v>9</v>
      </c>
      <c r="L90">
        <v>10</v>
      </c>
      <c r="M90">
        <v>19</v>
      </c>
      <c r="N90">
        <v>16</v>
      </c>
      <c r="O90">
        <v>10</v>
      </c>
      <c r="P90">
        <v>3</v>
      </c>
      <c r="Q90">
        <v>0</v>
      </c>
    </row>
    <row r="91" spans="1:17" x14ac:dyDescent="0.45">
      <c r="A91" t="s">
        <v>80</v>
      </c>
      <c r="B91" t="s">
        <v>21</v>
      </c>
      <c r="C91">
        <v>9</v>
      </c>
      <c r="D91">
        <v>411</v>
      </c>
      <c r="E91">
        <v>21</v>
      </c>
      <c r="F91">
        <v>20</v>
      </c>
      <c r="G91">
        <v>28</v>
      </c>
      <c r="H91">
        <v>3</v>
      </c>
      <c r="I91">
        <v>135</v>
      </c>
      <c r="J91">
        <v>14</v>
      </c>
      <c r="K91">
        <v>11</v>
      </c>
      <c r="L91">
        <v>8</v>
      </c>
      <c r="M91">
        <v>14</v>
      </c>
      <c r="N91">
        <v>7</v>
      </c>
      <c r="O91">
        <v>10</v>
      </c>
      <c r="P91">
        <v>4</v>
      </c>
      <c r="Q91">
        <v>0</v>
      </c>
    </row>
    <row r="92" spans="1:17" x14ac:dyDescent="0.45">
      <c r="A92" t="s">
        <v>80</v>
      </c>
      <c r="B92" t="s">
        <v>20</v>
      </c>
      <c r="C92">
        <v>10</v>
      </c>
      <c r="D92">
        <v>481</v>
      </c>
      <c r="E92">
        <v>53</v>
      </c>
      <c r="F92">
        <v>55</v>
      </c>
      <c r="G92">
        <v>41</v>
      </c>
      <c r="H92">
        <v>39</v>
      </c>
      <c r="I92">
        <v>191</v>
      </c>
      <c r="J92">
        <v>39</v>
      </c>
      <c r="K92">
        <v>32</v>
      </c>
      <c r="L92">
        <v>20</v>
      </c>
      <c r="M92">
        <v>28</v>
      </c>
      <c r="N92">
        <v>21</v>
      </c>
      <c r="O92">
        <v>24</v>
      </c>
      <c r="P92">
        <v>11</v>
      </c>
      <c r="Q92">
        <v>0</v>
      </c>
    </row>
    <row r="93" spans="1:17" x14ac:dyDescent="0.45">
      <c r="A93" t="s">
        <v>80</v>
      </c>
      <c r="B93" t="s">
        <v>21</v>
      </c>
      <c r="C93">
        <v>10</v>
      </c>
      <c r="D93">
        <v>601</v>
      </c>
      <c r="E93">
        <v>37</v>
      </c>
      <c r="F93">
        <v>58</v>
      </c>
      <c r="G93">
        <v>69</v>
      </c>
      <c r="H93">
        <v>2</v>
      </c>
      <c r="I93">
        <v>146</v>
      </c>
      <c r="J93">
        <v>36</v>
      </c>
      <c r="K93">
        <v>24</v>
      </c>
      <c r="L93">
        <v>25</v>
      </c>
      <c r="M93">
        <v>25</v>
      </c>
      <c r="N93">
        <v>34</v>
      </c>
      <c r="O93">
        <v>23</v>
      </c>
      <c r="P93">
        <v>9</v>
      </c>
      <c r="Q93">
        <v>0</v>
      </c>
    </row>
    <row r="94" spans="1:17" x14ac:dyDescent="0.45">
      <c r="A94" t="s">
        <v>80</v>
      </c>
      <c r="B94" t="s">
        <v>20</v>
      </c>
      <c r="C94">
        <v>11</v>
      </c>
      <c r="D94">
        <v>389</v>
      </c>
      <c r="E94">
        <v>25</v>
      </c>
      <c r="F94">
        <v>32</v>
      </c>
      <c r="G94">
        <v>84</v>
      </c>
      <c r="H94">
        <v>30</v>
      </c>
      <c r="I94">
        <v>140</v>
      </c>
      <c r="J94">
        <v>26</v>
      </c>
      <c r="K94">
        <v>45</v>
      </c>
      <c r="L94">
        <v>20</v>
      </c>
      <c r="M94">
        <v>33</v>
      </c>
      <c r="N94">
        <v>21</v>
      </c>
      <c r="O94">
        <v>51</v>
      </c>
      <c r="P94">
        <v>9</v>
      </c>
      <c r="Q94">
        <v>2</v>
      </c>
    </row>
    <row r="95" spans="1:17" x14ac:dyDescent="0.45">
      <c r="A95" t="s">
        <v>80</v>
      </c>
      <c r="B95" t="s">
        <v>21</v>
      </c>
      <c r="C95">
        <v>11</v>
      </c>
      <c r="D95">
        <v>541</v>
      </c>
      <c r="E95">
        <v>39</v>
      </c>
      <c r="F95">
        <v>27</v>
      </c>
      <c r="G95">
        <v>74</v>
      </c>
      <c r="H95">
        <v>55</v>
      </c>
      <c r="I95">
        <v>182</v>
      </c>
      <c r="J95">
        <v>22</v>
      </c>
      <c r="K95">
        <v>36</v>
      </c>
      <c r="L95">
        <v>16</v>
      </c>
      <c r="M95">
        <v>20</v>
      </c>
      <c r="N95">
        <v>27</v>
      </c>
      <c r="O95">
        <v>22</v>
      </c>
      <c r="P95">
        <v>13</v>
      </c>
      <c r="Q95">
        <v>2</v>
      </c>
    </row>
    <row r="96" spans="1:17" x14ac:dyDescent="0.45">
      <c r="A96" t="s">
        <v>80</v>
      </c>
      <c r="B96" t="s">
        <v>20</v>
      </c>
      <c r="C96">
        <v>12</v>
      </c>
      <c r="D96">
        <v>368</v>
      </c>
      <c r="E96">
        <v>21</v>
      </c>
      <c r="F96">
        <v>32</v>
      </c>
      <c r="G96">
        <v>67</v>
      </c>
      <c r="H96">
        <v>18</v>
      </c>
      <c r="I96">
        <v>111</v>
      </c>
      <c r="J96">
        <v>13</v>
      </c>
      <c r="K96">
        <v>36</v>
      </c>
      <c r="L96">
        <v>10</v>
      </c>
      <c r="M96">
        <v>10</v>
      </c>
      <c r="N96">
        <v>34</v>
      </c>
      <c r="O96">
        <v>16</v>
      </c>
      <c r="P96">
        <v>14</v>
      </c>
      <c r="Q96">
        <v>0</v>
      </c>
    </row>
    <row r="97" spans="1:17" x14ac:dyDescent="0.45">
      <c r="A97" t="s">
        <v>80</v>
      </c>
      <c r="B97" t="s">
        <v>21</v>
      </c>
      <c r="C97">
        <v>12</v>
      </c>
      <c r="D97">
        <v>567</v>
      </c>
      <c r="E97">
        <v>13</v>
      </c>
      <c r="F97">
        <v>14</v>
      </c>
      <c r="G97">
        <v>128</v>
      </c>
      <c r="H97">
        <v>20</v>
      </c>
      <c r="I97">
        <v>131</v>
      </c>
      <c r="J97">
        <v>17</v>
      </c>
      <c r="K97">
        <v>50</v>
      </c>
      <c r="L97">
        <v>24</v>
      </c>
      <c r="M97">
        <v>19</v>
      </c>
      <c r="N97">
        <v>21</v>
      </c>
      <c r="O97">
        <v>27</v>
      </c>
      <c r="P97">
        <v>8</v>
      </c>
      <c r="Q97">
        <v>4</v>
      </c>
    </row>
    <row r="98" spans="1:17" x14ac:dyDescent="0.45">
      <c r="A98" t="s">
        <v>57</v>
      </c>
      <c r="B98" t="s">
        <v>20</v>
      </c>
      <c r="C98">
        <v>1</v>
      </c>
      <c r="D98">
        <v>886</v>
      </c>
      <c r="E98">
        <v>50</v>
      </c>
      <c r="F98">
        <v>32</v>
      </c>
      <c r="G98">
        <v>113</v>
      </c>
      <c r="H98">
        <v>6</v>
      </c>
      <c r="I98">
        <v>130</v>
      </c>
      <c r="J98">
        <v>24</v>
      </c>
      <c r="K98">
        <v>89</v>
      </c>
      <c r="L98">
        <v>22</v>
      </c>
      <c r="M98">
        <v>9</v>
      </c>
      <c r="N98">
        <v>28</v>
      </c>
      <c r="O98">
        <v>13</v>
      </c>
      <c r="P98">
        <v>10</v>
      </c>
      <c r="Q98">
        <v>0</v>
      </c>
    </row>
    <row r="99" spans="1:17" x14ac:dyDescent="0.45">
      <c r="A99" t="s">
        <v>57</v>
      </c>
      <c r="B99" t="s">
        <v>21</v>
      </c>
      <c r="C99">
        <v>1</v>
      </c>
      <c r="D99">
        <v>1063</v>
      </c>
      <c r="E99">
        <v>16</v>
      </c>
      <c r="F99">
        <v>29</v>
      </c>
      <c r="G99">
        <v>111</v>
      </c>
      <c r="H99">
        <v>4</v>
      </c>
      <c r="I99">
        <v>133</v>
      </c>
      <c r="J99">
        <v>7</v>
      </c>
      <c r="K99">
        <v>70</v>
      </c>
      <c r="L99">
        <v>19</v>
      </c>
      <c r="M99">
        <v>12</v>
      </c>
      <c r="N99">
        <v>26</v>
      </c>
      <c r="O99">
        <v>10</v>
      </c>
      <c r="P99">
        <v>13</v>
      </c>
      <c r="Q99">
        <v>0</v>
      </c>
    </row>
    <row r="100" spans="1:17" x14ac:dyDescent="0.45">
      <c r="A100" t="s">
        <v>57</v>
      </c>
      <c r="B100" t="s">
        <v>20</v>
      </c>
      <c r="C100">
        <v>2</v>
      </c>
      <c r="D100">
        <v>824</v>
      </c>
      <c r="E100">
        <v>23</v>
      </c>
      <c r="F100">
        <v>12</v>
      </c>
      <c r="G100">
        <v>82</v>
      </c>
      <c r="H100">
        <v>7</v>
      </c>
      <c r="I100">
        <v>113</v>
      </c>
      <c r="J100">
        <v>12</v>
      </c>
      <c r="K100">
        <v>52</v>
      </c>
      <c r="L100">
        <v>19</v>
      </c>
      <c r="M100">
        <v>8</v>
      </c>
      <c r="N100">
        <v>24</v>
      </c>
      <c r="O100">
        <v>12</v>
      </c>
      <c r="P100">
        <v>12</v>
      </c>
      <c r="Q100">
        <v>1</v>
      </c>
    </row>
    <row r="101" spans="1:17" x14ac:dyDescent="0.45">
      <c r="A101" t="s">
        <v>57</v>
      </c>
      <c r="B101" t="s">
        <v>21</v>
      </c>
      <c r="C101">
        <v>2</v>
      </c>
      <c r="D101">
        <v>1088</v>
      </c>
      <c r="E101">
        <v>16</v>
      </c>
      <c r="F101">
        <v>17</v>
      </c>
      <c r="G101">
        <v>76</v>
      </c>
      <c r="H101">
        <v>24</v>
      </c>
      <c r="I101">
        <v>146</v>
      </c>
      <c r="J101">
        <v>13</v>
      </c>
      <c r="K101">
        <v>57</v>
      </c>
      <c r="L101">
        <v>18</v>
      </c>
      <c r="M101">
        <v>15</v>
      </c>
      <c r="N101">
        <v>33</v>
      </c>
      <c r="O101">
        <v>16</v>
      </c>
      <c r="P101">
        <v>11</v>
      </c>
      <c r="Q101">
        <v>2</v>
      </c>
    </row>
    <row r="102" spans="1:17" x14ac:dyDescent="0.45">
      <c r="A102" t="s">
        <v>57</v>
      </c>
      <c r="B102" t="s">
        <v>20</v>
      </c>
      <c r="C102">
        <v>3</v>
      </c>
      <c r="D102">
        <v>939</v>
      </c>
      <c r="E102">
        <v>35</v>
      </c>
      <c r="F102">
        <v>36</v>
      </c>
      <c r="G102">
        <v>173</v>
      </c>
      <c r="H102">
        <v>1</v>
      </c>
      <c r="I102">
        <v>144</v>
      </c>
      <c r="J102">
        <v>26</v>
      </c>
      <c r="K102">
        <v>85</v>
      </c>
      <c r="L102">
        <v>15</v>
      </c>
      <c r="M102">
        <v>30</v>
      </c>
      <c r="N102">
        <v>122</v>
      </c>
      <c r="O102">
        <v>57</v>
      </c>
      <c r="P102">
        <v>71</v>
      </c>
      <c r="Q102">
        <v>10</v>
      </c>
    </row>
    <row r="103" spans="1:17" x14ac:dyDescent="0.45">
      <c r="A103" t="s">
        <v>57</v>
      </c>
      <c r="B103" t="s">
        <v>21</v>
      </c>
      <c r="C103">
        <v>3</v>
      </c>
      <c r="D103">
        <v>1232</v>
      </c>
      <c r="E103">
        <v>40</v>
      </c>
      <c r="F103">
        <v>32</v>
      </c>
      <c r="G103">
        <v>178</v>
      </c>
      <c r="H103">
        <v>8</v>
      </c>
      <c r="I103">
        <v>146</v>
      </c>
      <c r="J103">
        <v>16</v>
      </c>
      <c r="K103">
        <v>99</v>
      </c>
      <c r="L103">
        <v>32</v>
      </c>
      <c r="M103">
        <v>10</v>
      </c>
      <c r="N103">
        <v>165</v>
      </c>
      <c r="O103">
        <v>79</v>
      </c>
      <c r="P103">
        <v>108</v>
      </c>
      <c r="Q103">
        <v>2</v>
      </c>
    </row>
    <row r="104" spans="1:17" x14ac:dyDescent="0.45">
      <c r="A104" t="s">
        <v>57</v>
      </c>
      <c r="B104" t="s">
        <v>20</v>
      </c>
      <c r="C104">
        <v>4</v>
      </c>
      <c r="D104">
        <v>906</v>
      </c>
      <c r="E104">
        <v>68</v>
      </c>
      <c r="F104">
        <v>58</v>
      </c>
      <c r="G104">
        <v>233</v>
      </c>
      <c r="H104">
        <v>8</v>
      </c>
      <c r="I104">
        <v>162</v>
      </c>
      <c r="J104">
        <v>29</v>
      </c>
      <c r="K104">
        <v>237</v>
      </c>
      <c r="L104">
        <v>91</v>
      </c>
      <c r="M104">
        <v>32</v>
      </c>
      <c r="N104">
        <v>281</v>
      </c>
      <c r="O104">
        <v>132</v>
      </c>
      <c r="P104">
        <v>156</v>
      </c>
      <c r="Q104">
        <v>5</v>
      </c>
    </row>
    <row r="105" spans="1:17" x14ac:dyDescent="0.45">
      <c r="A105" t="s">
        <v>57</v>
      </c>
      <c r="B105" t="s">
        <v>21</v>
      </c>
      <c r="C105">
        <v>4</v>
      </c>
      <c r="D105">
        <v>1190</v>
      </c>
      <c r="E105">
        <v>33</v>
      </c>
      <c r="F105">
        <v>49</v>
      </c>
      <c r="G105">
        <v>195</v>
      </c>
      <c r="H105">
        <v>23</v>
      </c>
      <c r="I105">
        <v>207</v>
      </c>
      <c r="J105">
        <v>23</v>
      </c>
      <c r="K105">
        <v>243</v>
      </c>
      <c r="L105">
        <v>69</v>
      </c>
      <c r="M105">
        <v>26</v>
      </c>
      <c r="N105">
        <v>220</v>
      </c>
      <c r="O105">
        <v>97</v>
      </c>
      <c r="P105">
        <v>124</v>
      </c>
      <c r="Q105">
        <v>3</v>
      </c>
    </row>
    <row r="106" spans="1:17" x14ac:dyDescent="0.45">
      <c r="A106" t="s">
        <v>57</v>
      </c>
      <c r="B106" t="s">
        <v>20</v>
      </c>
      <c r="C106">
        <v>5</v>
      </c>
      <c r="D106">
        <v>776</v>
      </c>
      <c r="E106">
        <v>55</v>
      </c>
      <c r="F106">
        <v>33</v>
      </c>
      <c r="G106">
        <v>151</v>
      </c>
      <c r="H106">
        <v>5</v>
      </c>
      <c r="I106">
        <v>178</v>
      </c>
      <c r="J106">
        <v>36</v>
      </c>
      <c r="K106">
        <v>181</v>
      </c>
      <c r="L106">
        <v>61</v>
      </c>
      <c r="M106">
        <v>25</v>
      </c>
      <c r="N106">
        <v>167</v>
      </c>
      <c r="O106">
        <v>61</v>
      </c>
      <c r="P106">
        <v>81</v>
      </c>
      <c r="Q106">
        <v>8</v>
      </c>
    </row>
    <row r="107" spans="1:17" x14ac:dyDescent="0.45">
      <c r="A107" t="s">
        <v>57</v>
      </c>
      <c r="B107" t="s">
        <v>21</v>
      </c>
      <c r="C107">
        <v>5</v>
      </c>
      <c r="D107">
        <v>1060</v>
      </c>
      <c r="E107">
        <v>51</v>
      </c>
      <c r="F107">
        <v>43</v>
      </c>
      <c r="G107">
        <v>174</v>
      </c>
      <c r="H107">
        <v>15</v>
      </c>
      <c r="I107">
        <v>240</v>
      </c>
      <c r="J107">
        <v>37</v>
      </c>
      <c r="K107">
        <v>158</v>
      </c>
      <c r="L107">
        <v>76</v>
      </c>
      <c r="M107">
        <v>25</v>
      </c>
      <c r="N107">
        <v>148</v>
      </c>
      <c r="O107">
        <v>83</v>
      </c>
      <c r="P107">
        <v>81</v>
      </c>
      <c r="Q107">
        <v>6</v>
      </c>
    </row>
    <row r="108" spans="1:17" x14ac:dyDescent="0.45">
      <c r="A108" t="s">
        <v>57</v>
      </c>
      <c r="B108" t="s">
        <v>20</v>
      </c>
      <c r="C108">
        <v>6</v>
      </c>
      <c r="D108">
        <v>930</v>
      </c>
      <c r="E108">
        <v>48</v>
      </c>
      <c r="F108">
        <v>32</v>
      </c>
      <c r="G108">
        <v>156</v>
      </c>
      <c r="H108">
        <v>9</v>
      </c>
      <c r="I108">
        <v>197</v>
      </c>
      <c r="J108">
        <v>22</v>
      </c>
      <c r="K108">
        <v>62</v>
      </c>
      <c r="L108">
        <v>20</v>
      </c>
      <c r="M108">
        <v>28</v>
      </c>
      <c r="N108">
        <v>86</v>
      </c>
      <c r="O108">
        <v>47</v>
      </c>
      <c r="P108">
        <v>24</v>
      </c>
      <c r="Q108">
        <v>7</v>
      </c>
    </row>
    <row r="109" spans="1:17" x14ac:dyDescent="0.45">
      <c r="A109" t="s">
        <v>57</v>
      </c>
      <c r="B109" t="s">
        <v>21</v>
      </c>
      <c r="C109">
        <v>6</v>
      </c>
      <c r="D109">
        <v>1163</v>
      </c>
      <c r="E109">
        <v>62</v>
      </c>
      <c r="F109">
        <v>45</v>
      </c>
      <c r="G109">
        <v>151</v>
      </c>
      <c r="H109">
        <v>14</v>
      </c>
      <c r="I109">
        <v>232</v>
      </c>
      <c r="J109">
        <v>43</v>
      </c>
      <c r="K109">
        <v>72</v>
      </c>
      <c r="L109">
        <v>45</v>
      </c>
      <c r="M109">
        <v>41</v>
      </c>
      <c r="N109">
        <v>105</v>
      </c>
      <c r="O109">
        <v>59</v>
      </c>
      <c r="P109">
        <v>47</v>
      </c>
      <c r="Q109">
        <v>3</v>
      </c>
    </row>
    <row r="110" spans="1:17" x14ac:dyDescent="0.45">
      <c r="A110" t="s">
        <v>57</v>
      </c>
      <c r="B110" t="s">
        <v>20</v>
      </c>
      <c r="C110">
        <v>7</v>
      </c>
      <c r="D110">
        <v>803</v>
      </c>
      <c r="E110">
        <v>35</v>
      </c>
      <c r="F110">
        <v>39</v>
      </c>
      <c r="G110">
        <v>91</v>
      </c>
      <c r="H110">
        <v>4</v>
      </c>
      <c r="I110">
        <v>196</v>
      </c>
      <c r="J110">
        <v>16</v>
      </c>
      <c r="K110">
        <v>29</v>
      </c>
      <c r="L110">
        <v>30</v>
      </c>
      <c r="M110">
        <v>28</v>
      </c>
      <c r="N110">
        <v>45</v>
      </c>
      <c r="O110">
        <v>21</v>
      </c>
      <c r="P110">
        <v>8</v>
      </c>
      <c r="Q110">
        <v>0</v>
      </c>
    </row>
    <row r="111" spans="1:17" x14ac:dyDescent="0.45">
      <c r="A111" t="s">
        <v>57</v>
      </c>
      <c r="B111" t="s">
        <v>21</v>
      </c>
      <c r="C111">
        <v>7</v>
      </c>
      <c r="D111">
        <v>1044</v>
      </c>
      <c r="E111">
        <v>27</v>
      </c>
      <c r="F111">
        <v>35</v>
      </c>
      <c r="G111">
        <v>94</v>
      </c>
      <c r="H111">
        <v>25</v>
      </c>
      <c r="I111">
        <v>282</v>
      </c>
      <c r="J111">
        <v>14</v>
      </c>
      <c r="K111">
        <v>22</v>
      </c>
      <c r="L111">
        <v>14</v>
      </c>
      <c r="M111">
        <v>28</v>
      </c>
      <c r="N111">
        <v>60</v>
      </c>
      <c r="O111">
        <v>23</v>
      </c>
      <c r="P111">
        <v>13</v>
      </c>
      <c r="Q111">
        <v>0</v>
      </c>
    </row>
    <row r="112" spans="1:17" x14ac:dyDescent="0.45">
      <c r="A112" t="s">
        <v>57</v>
      </c>
      <c r="B112" t="s">
        <v>20</v>
      </c>
      <c r="C112">
        <v>8</v>
      </c>
      <c r="D112">
        <v>783</v>
      </c>
      <c r="E112">
        <v>25</v>
      </c>
      <c r="F112">
        <v>38</v>
      </c>
      <c r="G112">
        <v>55</v>
      </c>
      <c r="H112">
        <v>7</v>
      </c>
      <c r="I112">
        <v>218</v>
      </c>
      <c r="J112">
        <v>18</v>
      </c>
      <c r="K112">
        <v>12</v>
      </c>
      <c r="L112">
        <v>14</v>
      </c>
      <c r="M112">
        <v>23</v>
      </c>
      <c r="N112">
        <v>14</v>
      </c>
      <c r="O112">
        <v>17</v>
      </c>
      <c r="P112">
        <v>5</v>
      </c>
      <c r="Q112">
        <v>0</v>
      </c>
    </row>
    <row r="113" spans="1:17" x14ac:dyDescent="0.45">
      <c r="A113" t="s">
        <v>57</v>
      </c>
      <c r="B113" t="s">
        <v>21</v>
      </c>
      <c r="C113">
        <v>8</v>
      </c>
      <c r="D113">
        <v>1035</v>
      </c>
      <c r="E113">
        <v>37</v>
      </c>
      <c r="F113">
        <v>42</v>
      </c>
      <c r="G113">
        <v>70</v>
      </c>
      <c r="H113">
        <v>3</v>
      </c>
      <c r="I113">
        <v>254</v>
      </c>
      <c r="J113">
        <v>15</v>
      </c>
      <c r="K113">
        <v>11</v>
      </c>
      <c r="L113">
        <v>8</v>
      </c>
      <c r="M113">
        <v>18</v>
      </c>
      <c r="N113">
        <v>18</v>
      </c>
      <c r="O113">
        <v>4</v>
      </c>
      <c r="P113">
        <v>3</v>
      </c>
      <c r="Q113">
        <v>0</v>
      </c>
    </row>
    <row r="114" spans="1:17" x14ac:dyDescent="0.45">
      <c r="A114" t="s">
        <v>57</v>
      </c>
      <c r="B114" t="s">
        <v>20</v>
      </c>
      <c r="C114">
        <v>9</v>
      </c>
      <c r="D114">
        <v>944</v>
      </c>
      <c r="E114">
        <v>17</v>
      </c>
      <c r="F114">
        <v>38</v>
      </c>
      <c r="G114">
        <v>84</v>
      </c>
      <c r="H114">
        <v>6</v>
      </c>
      <c r="I114">
        <v>271</v>
      </c>
      <c r="J114">
        <v>18</v>
      </c>
      <c r="K114">
        <v>16</v>
      </c>
      <c r="L114">
        <v>12</v>
      </c>
      <c r="M114">
        <v>15</v>
      </c>
      <c r="N114">
        <v>15</v>
      </c>
      <c r="O114">
        <v>5</v>
      </c>
      <c r="P114">
        <v>3</v>
      </c>
      <c r="Q114">
        <v>0</v>
      </c>
    </row>
    <row r="115" spans="1:17" x14ac:dyDescent="0.45">
      <c r="A115" t="s">
        <v>57</v>
      </c>
      <c r="B115" t="s">
        <v>21</v>
      </c>
      <c r="C115">
        <v>9</v>
      </c>
      <c r="D115">
        <v>1125</v>
      </c>
      <c r="E115">
        <v>38</v>
      </c>
      <c r="F115">
        <v>16</v>
      </c>
      <c r="G115">
        <v>77</v>
      </c>
      <c r="H115">
        <v>7</v>
      </c>
      <c r="I115">
        <v>225</v>
      </c>
      <c r="J115">
        <v>12</v>
      </c>
      <c r="K115">
        <v>40</v>
      </c>
      <c r="L115">
        <v>20</v>
      </c>
      <c r="M115">
        <v>9</v>
      </c>
      <c r="N115">
        <v>26</v>
      </c>
      <c r="O115">
        <v>16</v>
      </c>
      <c r="P115">
        <v>3</v>
      </c>
      <c r="Q115">
        <v>0</v>
      </c>
    </row>
    <row r="116" spans="1:17" x14ac:dyDescent="0.45">
      <c r="A116" t="s">
        <v>57</v>
      </c>
      <c r="B116" t="s">
        <v>20</v>
      </c>
      <c r="C116">
        <v>10</v>
      </c>
      <c r="D116">
        <v>1078</v>
      </c>
      <c r="E116">
        <v>70</v>
      </c>
      <c r="F116">
        <v>47</v>
      </c>
      <c r="G116">
        <v>120</v>
      </c>
      <c r="H116">
        <v>16</v>
      </c>
      <c r="I116">
        <v>285</v>
      </c>
      <c r="J116">
        <v>38</v>
      </c>
      <c r="K116">
        <v>39</v>
      </c>
      <c r="L116">
        <v>29</v>
      </c>
      <c r="M116">
        <v>40</v>
      </c>
      <c r="N116">
        <v>57</v>
      </c>
      <c r="O116">
        <v>28</v>
      </c>
      <c r="P116">
        <v>18</v>
      </c>
      <c r="Q116">
        <v>0</v>
      </c>
    </row>
    <row r="117" spans="1:17" x14ac:dyDescent="0.45">
      <c r="A117" t="s">
        <v>57</v>
      </c>
      <c r="B117" t="s">
        <v>21</v>
      </c>
      <c r="C117">
        <v>10</v>
      </c>
      <c r="D117">
        <v>1476</v>
      </c>
      <c r="E117">
        <v>51</v>
      </c>
      <c r="F117">
        <v>75</v>
      </c>
      <c r="G117">
        <v>174</v>
      </c>
      <c r="H117">
        <v>9</v>
      </c>
      <c r="I117">
        <v>290</v>
      </c>
      <c r="J117">
        <v>38</v>
      </c>
      <c r="K117">
        <v>30</v>
      </c>
      <c r="L117">
        <v>27</v>
      </c>
      <c r="M117">
        <v>54</v>
      </c>
      <c r="N117">
        <v>51</v>
      </c>
      <c r="O117">
        <v>31</v>
      </c>
      <c r="P117">
        <v>17</v>
      </c>
      <c r="Q117">
        <v>1</v>
      </c>
    </row>
    <row r="118" spans="1:17" x14ac:dyDescent="0.45">
      <c r="A118" t="s">
        <v>57</v>
      </c>
      <c r="B118" t="s">
        <v>20</v>
      </c>
      <c r="C118">
        <v>11</v>
      </c>
      <c r="D118">
        <v>988</v>
      </c>
      <c r="E118">
        <v>55</v>
      </c>
      <c r="F118">
        <v>28</v>
      </c>
      <c r="G118">
        <v>124</v>
      </c>
      <c r="H118">
        <v>13</v>
      </c>
      <c r="I118">
        <v>210</v>
      </c>
      <c r="J118">
        <v>21</v>
      </c>
      <c r="K118">
        <v>50</v>
      </c>
      <c r="L118">
        <v>18</v>
      </c>
      <c r="M118">
        <v>19</v>
      </c>
      <c r="N118">
        <v>547</v>
      </c>
      <c r="O118">
        <v>34</v>
      </c>
      <c r="P118">
        <v>17</v>
      </c>
      <c r="Q118">
        <v>0</v>
      </c>
    </row>
    <row r="119" spans="1:17" x14ac:dyDescent="0.45">
      <c r="A119" t="s">
        <v>57</v>
      </c>
      <c r="B119" t="s">
        <v>21</v>
      </c>
      <c r="C119">
        <v>11</v>
      </c>
      <c r="D119">
        <v>1297</v>
      </c>
      <c r="E119">
        <v>51</v>
      </c>
      <c r="F119">
        <v>36</v>
      </c>
      <c r="G119">
        <v>113</v>
      </c>
      <c r="H119">
        <v>13</v>
      </c>
      <c r="I119">
        <v>222</v>
      </c>
      <c r="J119">
        <v>13</v>
      </c>
      <c r="K119">
        <v>33</v>
      </c>
      <c r="L119">
        <v>19</v>
      </c>
      <c r="M119">
        <v>24</v>
      </c>
      <c r="N119">
        <v>46</v>
      </c>
      <c r="O119">
        <v>22</v>
      </c>
      <c r="P119">
        <v>11</v>
      </c>
      <c r="Q119">
        <v>0</v>
      </c>
    </row>
    <row r="120" spans="1:17" x14ac:dyDescent="0.45">
      <c r="A120" t="s">
        <v>57</v>
      </c>
      <c r="B120" t="s">
        <v>20</v>
      </c>
      <c r="C120">
        <v>12</v>
      </c>
      <c r="D120">
        <v>1016</v>
      </c>
      <c r="E120">
        <v>29</v>
      </c>
      <c r="F120">
        <v>27</v>
      </c>
      <c r="G120">
        <v>186</v>
      </c>
      <c r="H120">
        <v>6</v>
      </c>
      <c r="I120">
        <v>166</v>
      </c>
      <c r="J120">
        <v>20</v>
      </c>
      <c r="K120">
        <v>69</v>
      </c>
      <c r="L120">
        <v>17</v>
      </c>
      <c r="M120">
        <v>25</v>
      </c>
      <c r="N120">
        <v>55</v>
      </c>
      <c r="O120">
        <v>33</v>
      </c>
      <c r="P120">
        <v>17</v>
      </c>
      <c r="Q120">
        <v>1</v>
      </c>
    </row>
    <row r="121" spans="1:17" x14ac:dyDescent="0.45">
      <c r="A121" t="s">
        <v>57</v>
      </c>
      <c r="B121" t="s">
        <v>21</v>
      </c>
      <c r="C121">
        <v>12</v>
      </c>
      <c r="D121">
        <v>1272</v>
      </c>
      <c r="E121">
        <v>30</v>
      </c>
      <c r="F121">
        <v>29</v>
      </c>
      <c r="G121">
        <v>177</v>
      </c>
      <c r="H121">
        <v>3</v>
      </c>
      <c r="I121">
        <v>196</v>
      </c>
      <c r="J121">
        <v>25</v>
      </c>
      <c r="K121">
        <v>67</v>
      </c>
      <c r="L121">
        <v>26</v>
      </c>
      <c r="M121">
        <v>29</v>
      </c>
      <c r="N121">
        <v>61</v>
      </c>
      <c r="O121">
        <v>35</v>
      </c>
      <c r="P121">
        <v>13</v>
      </c>
      <c r="Q121">
        <v>0</v>
      </c>
    </row>
    <row r="122" spans="1:17" x14ac:dyDescent="0.45">
      <c r="A122" t="s">
        <v>54</v>
      </c>
      <c r="B122" t="s">
        <v>20</v>
      </c>
      <c r="C122">
        <v>1</v>
      </c>
      <c r="D122">
        <v>243</v>
      </c>
      <c r="E122">
        <v>13</v>
      </c>
      <c r="F122">
        <v>11</v>
      </c>
      <c r="G122">
        <v>69</v>
      </c>
      <c r="H122">
        <v>4</v>
      </c>
      <c r="I122">
        <v>68</v>
      </c>
      <c r="J122">
        <v>14</v>
      </c>
      <c r="K122">
        <v>34</v>
      </c>
      <c r="L122">
        <v>9</v>
      </c>
      <c r="M122">
        <v>14</v>
      </c>
      <c r="N122">
        <v>18</v>
      </c>
      <c r="O122">
        <v>11</v>
      </c>
      <c r="P122">
        <v>13</v>
      </c>
      <c r="Q122">
        <v>9</v>
      </c>
    </row>
    <row r="123" spans="1:17" x14ac:dyDescent="0.45">
      <c r="A123" t="s">
        <v>54</v>
      </c>
      <c r="B123" t="s">
        <v>21</v>
      </c>
      <c r="C123">
        <v>1</v>
      </c>
      <c r="D123">
        <v>390</v>
      </c>
      <c r="E123">
        <v>18</v>
      </c>
      <c r="F123">
        <v>18</v>
      </c>
      <c r="G123">
        <v>66</v>
      </c>
      <c r="H123">
        <v>11</v>
      </c>
      <c r="I123">
        <v>118</v>
      </c>
      <c r="J123">
        <v>10</v>
      </c>
      <c r="K123">
        <v>57</v>
      </c>
      <c r="L123">
        <v>19</v>
      </c>
      <c r="M123">
        <v>16</v>
      </c>
      <c r="N123">
        <v>23</v>
      </c>
      <c r="O123">
        <v>28</v>
      </c>
      <c r="P123">
        <v>10</v>
      </c>
      <c r="Q123">
        <v>6</v>
      </c>
    </row>
    <row r="124" spans="1:17" x14ac:dyDescent="0.45">
      <c r="A124" t="s">
        <v>54</v>
      </c>
      <c r="B124" t="s">
        <v>20</v>
      </c>
      <c r="C124">
        <v>2</v>
      </c>
      <c r="D124">
        <v>269</v>
      </c>
      <c r="E124">
        <v>10</v>
      </c>
      <c r="F124">
        <v>26</v>
      </c>
      <c r="G124">
        <v>42</v>
      </c>
      <c r="H124">
        <v>15</v>
      </c>
      <c r="I124">
        <v>98</v>
      </c>
      <c r="J124">
        <v>13</v>
      </c>
      <c r="K124">
        <v>42</v>
      </c>
      <c r="L124">
        <v>12</v>
      </c>
      <c r="M124">
        <v>14</v>
      </c>
      <c r="N124">
        <v>25</v>
      </c>
      <c r="O124">
        <v>25</v>
      </c>
      <c r="P124">
        <v>9</v>
      </c>
      <c r="Q124">
        <v>2</v>
      </c>
    </row>
    <row r="125" spans="1:17" x14ac:dyDescent="0.45">
      <c r="A125" t="s">
        <v>54</v>
      </c>
      <c r="B125" t="s">
        <v>21</v>
      </c>
      <c r="C125">
        <v>2</v>
      </c>
      <c r="D125">
        <v>378</v>
      </c>
      <c r="E125">
        <v>12</v>
      </c>
      <c r="F125">
        <v>29</v>
      </c>
      <c r="G125">
        <v>43</v>
      </c>
      <c r="H125">
        <v>27</v>
      </c>
      <c r="I125">
        <v>121</v>
      </c>
      <c r="J125">
        <v>11</v>
      </c>
      <c r="K125">
        <v>43</v>
      </c>
      <c r="L125">
        <v>18</v>
      </c>
      <c r="M125">
        <v>12</v>
      </c>
      <c r="N125">
        <v>31</v>
      </c>
      <c r="O125">
        <v>17</v>
      </c>
      <c r="P125">
        <v>12</v>
      </c>
      <c r="Q125">
        <v>2</v>
      </c>
    </row>
    <row r="126" spans="1:17" x14ac:dyDescent="0.45">
      <c r="A126" t="s">
        <v>54</v>
      </c>
      <c r="B126" t="s">
        <v>20</v>
      </c>
      <c r="C126">
        <v>3</v>
      </c>
      <c r="D126">
        <v>367</v>
      </c>
      <c r="E126">
        <v>14</v>
      </c>
      <c r="F126">
        <v>34</v>
      </c>
      <c r="G126">
        <v>101</v>
      </c>
      <c r="H126">
        <v>9</v>
      </c>
      <c r="I126">
        <v>100</v>
      </c>
      <c r="J126">
        <v>18</v>
      </c>
      <c r="K126">
        <v>67</v>
      </c>
      <c r="L126">
        <v>23</v>
      </c>
      <c r="M126">
        <v>17</v>
      </c>
      <c r="N126">
        <v>86</v>
      </c>
      <c r="O126">
        <v>53</v>
      </c>
      <c r="P126">
        <v>47</v>
      </c>
      <c r="Q126">
        <v>6</v>
      </c>
    </row>
    <row r="127" spans="1:17" x14ac:dyDescent="0.45">
      <c r="A127" t="s">
        <v>54</v>
      </c>
      <c r="B127" t="s">
        <v>21</v>
      </c>
      <c r="C127">
        <v>3</v>
      </c>
      <c r="D127">
        <v>531</v>
      </c>
      <c r="E127">
        <v>38</v>
      </c>
      <c r="F127">
        <v>39</v>
      </c>
      <c r="G127">
        <v>144</v>
      </c>
      <c r="H127">
        <v>15</v>
      </c>
      <c r="I127">
        <v>133</v>
      </c>
      <c r="J127">
        <v>25</v>
      </c>
      <c r="K127">
        <v>137</v>
      </c>
      <c r="L127">
        <v>39</v>
      </c>
      <c r="M127">
        <v>35</v>
      </c>
      <c r="N127">
        <v>143</v>
      </c>
      <c r="O127">
        <v>92</v>
      </c>
      <c r="P127">
        <v>109</v>
      </c>
      <c r="Q127">
        <v>8</v>
      </c>
    </row>
    <row r="128" spans="1:17" x14ac:dyDescent="0.45">
      <c r="A128" t="s">
        <v>54</v>
      </c>
      <c r="B128" t="s">
        <v>20</v>
      </c>
      <c r="C128">
        <v>4</v>
      </c>
      <c r="D128">
        <v>446</v>
      </c>
      <c r="E128">
        <v>14</v>
      </c>
      <c r="F128">
        <v>49</v>
      </c>
      <c r="G128">
        <v>184</v>
      </c>
      <c r="H128">
        <v>10</v>
      </c>
      <c r="I128">
        <v>174</v>
      </c>
      <c r="J128">
        <v>37</v>
      </c>
      <c r="K128">
        <v>272</v>
      </c>
      <c r="L128">
        <v>73</v>
      </c>
      <c r="M128">
        <v>55</v>
      </c>
      <c r="N128">
        <v>222</v>
      </c>
      <c r="O128">
        <v>178</v>
      </c>
      <c r="P128">
        <v>190</v>
      </c>
      <c r="Q128">
        <v>0</v>
      </c>
    </row>
    <row r="129" spans="1:17" x14ac:dyDescent="0.45">
      <c r="A129" t="s">
        <v>54</v>
      </c>
      <c r="B129" t="s">
        <v>21</v>
      </c>
      <c r="C129">
        <v>4</v>
      </c>
      <c r="D129">
        <v>527</v>
      </c>
      <c r="E129">
        <v>16</v>
      </c>
      <c r="F129">
        <v>43</v>
      </c>
      <c r="G129">
        <v>166</v>
      </c>
      <c r="H129">
        <v>35</v>
      </c>
      <c r="I129">
        <v>201</v>
      </c>
      <c r="J129">
        <v>47</v>
      </c>
      <c r="K129">
        <v>216</v>
      </c>
      <c r="L129">
        <v>89</v>
      </c>
      <c r="M129">
        <v>40</v>
      </c>
      <c r="N129">
        <v>156</v>
      </c>
      <c r="O129">
        <v>132</v>
      </c>
      <c r="P129">
        <v>97</v>
      </c>
      <c r="Q129">
        <v>12</v>
      </c>
    </row>
    <row r="130" spans="1:17" x14ac:dyDescent="0.45">
      <c r="A130" t="s">
        <v>54</v>
      </c>
      <c r="B130" t="s">
        <v>20</v>
      </c>
      <c r="C130">
        <v>5</v>
      </c>
      <c r="D130">
        <v>305</v>
      </c>
      <c r="E130">
        <v>13</v>
      </c>
      <c r="F130">
        <v>26</v>
      </c>
      <c r="G130">
        <v>79</v>
      </c>
      <c r="H130">
        <v>15</v>
      </c>
      <c r="I130">
        <v>146</v>
      </c>
      <c r="J130">
        <v>22</v>
      </c>
      <c r="K130">
        <v>91</v>
      </c>
      <c r="L130">
        <v>62</v>
      </c>
      <c r="M130">
        <v>29</v>
      </c>
      <c r="N130">
        <v>98</v>
      </c>
      <c r="O130">
        <v>88</v>
      </c>
      <c r="P130">
        <v>53</v>
      </c>
      <c r="Q130">
        <v>0</v>
      </c>
    </row>
    <row r="131" spans="1:17" x14ac:dyDescent="0.45">
      <c r="A131" t="s">
        <v>54</v>
      </c>
      <c r="B131" t="s">
        <v>21</v>
      </c>
      <c r="C131">
        <v>5</v>
      </c>
      <c r="D131">
        <v>440</v>
      </c>
      <c r="E131">
        <v>27</v>
      </c>
      <c r="F131">
        <v>35</v>
      </c>
      <c r="G131">
        <v>97</v>
      </c>
      <c r="H131">
        <v>17</v>
      </c>
      <c r="I131">
        <v>159</v>
      </c>
      <c r="J131">
        <v>37</v>
      </c>
      <c r="K131">
        <v>134</v>
      </c>
      <c r="L131">
        <v>59</v>
      </c>
      <c r="M131">
        <v>28</v>
      </c>
      <c r="N131">
        <v>130</v>
      </c>
      <c r="O131">
        <v>113</v>
      </c>
      <c r="P131">
        <v>72</v>
      </c>
      <c r="Q131">
        <v>0</v>
      </c>
    </row>
    <row r="132" spans="1:17" x14ac:dyDescent="0.45">
      <c r="A132" t="s">
        <v>54</v>
      </c>
      <c r="B132" t="s">
        <v>20</v>
      </c>
      <c r="C132">
        <v>6</v>
      </c>
      <c r="D132">
        <v>343</v>
      </c>
      <c r="E132">
        <v>9</v>
      </c>
      <c r="F132">
        <v>50</v>
      </c>
      <c r="G132">
        <v>72</v>
      </c>
      <c r="H132">
        <v>19</v>
      </c>
      <c r="I132">
        <v>130</v>
      </c>
      <c r="J132">
        <v>19</v>
      </c>
      <c r="K132">
        <v>71</v>
      </c>
      <c r="L132">
        <v>45</v>
      </c>
      <c r="M132">
        <v>26</v>
      </c>
      <c r="N132">
        <v>55</v>
      </c>
      <c r="O132">
        <v>60</v>
      </c>
      <c r="P132">
        <v>39</v>
      </c>
      <c r="Q132">
        <v>0</v>
      </c>
    </row>
    <row r="133" spans="1:17" x14ac:dyDescent="0.45">
      <c r="A133" t="s">
        <v>54</v>
      </c>
      <c r="B133" t="s">
        <v>21</v>
      </c>
      <c r="C133">
        <v>6</v>
      </c>
      <c r="D133">
        <v>479</v>
      </c>
      <c r="E133">
        <v>35</v>
      </c>
      <c r="F133">
        <v>45</v>
      </c>
      <c r="G133">
        <v>113</v>
      </c>
      <c r="H133">
        <v>18</v>
      </c>
      <c r="I133">
        <v>171</v>
      </c>
      <c r="J133">
        <v>21</v>
      </c>
      <c r="K133">
        <v>64</v>
      </c>
      <c r="L133">
        <v>52</v>
      </c>
      <c r="M133">
        <v>26</v>
      </c>
      <c r="N133">
        <v>49</v>
      </c>
      <c r="O133">
        <v>69</v>
      </c>
      <c r="P133">
        <v>30</v>
      </c>
      <c r="Q133">
        <v>0</v>
      </c>
    </row>
    <row r="134" spans="1:17" x14ac:dyDescent="0.45">
      <c r="A134" t="s">
        <v>54</v>
      </c>
      <c r="B134" t="s">
        <v>20</v>
      </c>
      <c r="C134">
        <v>7</v>
      </c>
      <c r="D134">
        <v>381</v>
      </c>
      <c r="E134">
        <v>8</v>
      </c>
      <c r="F134">
        <v>33</v>
      </c>
      <c r="G134">
        <v>55</v>
      </c>
      <c r="H134">
        <v>5</v>
      </c>
      <c r="I134">
        <v>128</v>
      </c>
      <c r="J134">
        <v>11</v>
      </c>
      <c r="K134">
        <v>36</v>
      </c>
      <c r="L134">
        <v>17</v>
      </c>
      <c r="M134">
        <v>28</v>
      </c>
      <c r="N134">
        <v>32</v>
      </c>
      <c r="O134">
        <v>27</v>
      </c>
      <c r="P134">
        <v>22</v>
      </c>
      <c r="Q134">
        <v>0</v>
      </c>
    </row>
    <row r="135" spans="1:17" x14ac:dyDescent="0.45">
      <c r="A135" t="s">
        <v>54</v>
      </c>
      <c r="B135" t="s">
        <v>21</v>
      </c>
      <c r="C135">
        <v>7</v>
      </c>
      <c r="D135">
        <v>437</v>
      </c>
      <c r="E135">
        <v>40</v>
      </c>
      <c r="F135">
        <v>40</v>
      </c>
      <c r="G135">
        <v>78</v>
      </c>
      <c r="H135">
        <v>27</v>
      </c>
      <c r="I135">
        <v>202</v>
      </c>
      <c r="J135">
        <v>13</v>
      </c>
      <c r="K135">
        <v>32</v>
      </c>
      <c r="L135">
        <v>11</v>
      </c>
      <c r="M135">
        <v>26</v>
      </c>
      <c r="N135">
        <v>36</v>
      </c>
      <c r="O135">
        <v>37</v>
      </c>
      <c r="P135">
        <v>25</v>
      </c>
      <c r="Q135">
        <v>0</v>
      </c>
    </row>
    <row r="136" spans="1:17" x14ac:dyDescent="0.45">
      <c r="A136" t="s">
        <v>54</v>
      </c>
      <c r="B136" t="s">
        <v>20</v>
      </c>
      <c r="C136">
        <v>8</v>
      </c>
      <c r="D136">
        <v>284</v>
      </c>
      <c r="E136">
        <v>16</v>
      </c>
      <c r="F136">
        <v>32</v>
      </c>
      <c r="G136">
        <v>36</v>
      </c>
      <c r="H136">
        <v>6</v>
      </c>
      <c r="I136">
        <v>128</v>
      </c>
      <c r="J136">
        <v>11</v>
      </c>
      <c r="K136">
        <v>19</v>
      </c>
      <c r="L136">
        <v>11</v>
      </c>
      <c r="M136">
        <v>39</v>
      </c>
      <c r="N136">
        <v>16</v>
      </c>
      <c r="O136">
        <v>7</v>
      </c>
      <c r="P136">
        <v>14</v>
      </c>
      <c r="Q136">
        <v>0</v>
      </c>
    </row>
    <row r="137" spans="1:17" x14ac:dyDescent="0.45">
      <c r="A137" t="s">
        <v>54</v>
      </c>
      <c r="B137" t="s">
        <v>21</v>
      </c>
      <c r="C137">
        <v>8</v>
      </c>
      <c r="D137">
        <v>448</v>
      </c>
      <c r="E137">
        <v>6</v>
      </c>
      <c r="F137">
        <v>38</v>
      </c>
      <c r="G137">
        <v>36</v>
      </c>
      <c r="H137">
        <v>3</v>
      </c>
      <c r="I137">
        <v>140</v>
      </c>
      <c r="J137">
        <v>10</v>
      </c>
      <c r="K137">
        <v>12</v>
      </c>
      <c r="L137">
        <v>17</v>
      </c>
      <c r="M137">
        <v>26</v>
      </c>
      <c r="N137">
        <v>9</v>
      </c>
      <c r="O137">
        <v>22</v>
      </c>
      <c r="P137">
        <v>8</v>
      </c>
      <c r="Q137">
        <v>0</v>
      </c>
    </row>
    <row r="138" spans="1:17" x14ac:dyDescent="0.45">
      <c r="A138" t="s">
        <v>54</v>
      </c>
      <c r="B138" t="s">
        <v>20</v>
      </c>
      <c r="C138">
        <v>9</v>
      </c>
      <c r="D138">
        <v>349</v>
      </c>
      <c r="E138">
        <v>17</v>
      </c>
      <c r="F138">
        <v>40</v>
      </c>
      <c r="G138">
        <v>41</v>
      </c>
      <c r="H138">
        <v>22</v>
      </c>
      <c r="I138">
        <v>135</v>
      </c>
      <c r="J138">
        <v>14</v>
      </c>
      <c r="K138">
        <v>21</v>
      </c>
      <c r="L138">
        <v>10</v>
      </c>
      <c r="M138">
        <v>26</v>
      </c>
      <c r="N138">
        <v>9</v>
      </c>
      <c r="O138">
        <v>15</v>
      </c>
      <c r="P138">
        <v>8</v>
      </c>
      <c r="Q138">
        <v>0</v>
      </c>
    </row>
    <row r="139" spans="1:17" x14ac:dyDescent="0.45">
      <c r="A139" t="s">
        <v>54</v>
      </c>
      <c r="B139" t="s">
        <v>21</v>
      </c>
      <c r="C139">
        <v>9</v>
      </c>
      <c r="D139">
        <v>390</v>
      </c>
      <c r="E139">
        <v>21</v>
      </c>
      <c r="F139">
        <v>38</v>
      </c>
      <c r="G139">
        <v>51</v>
      </c>
      <c r="H139">
        <v>10</v>
      </c>
      <c r="I139">
        <v>125</v>
      </c>
      <c r="J139">
        <v>10</v>
      </c>
      <c r="K139">
        <v>19</v>
      </c>
      <c r="L139">
        <v>9</v>
      </c>
      <c r="M139">
        <v>17</v>
      </c>
      <c r="N139">
        <v>11</v>
      </c>
      <c r="O139">
        <v>24</v>
      </c>
      <c r="P139">
        <v>6</v>
      </c>
      <c r="Q139">
        <v>0</v>
      </c>
    </row>
    <row r="140" spans="1:17" x14ac:dyDescent="0.45">
      <c r="A140" t="s">
        <v>54</v>
      </c>
      <c r="B140" t="s">
        <v>20</v>
      </c>
      <c r="C140">
        <v>10</v>
      </c>
      <c r="D140">
        <v>433</v>
      </c>
      <c r="E140">
        <v>27</v>
      </c>
      <c r="F140">
        <v>58</v>
      </c>
      <c r="G140">
        <v>68</v>
      </c>
      <c r="H140">
        <v>37</v>
      </c>
      <c r="I140">
        <v>196</v>
      </c>
      <c r="J140">
        <v>24</v>
      </c>
      <c r="K140">
        <v>38</v>
      </c>
      <c r="L140">
        <v>23</v>
      </c>
      <c r="M140">
        <v>41</v>
      </c>
      <c r="N140">
        <v>27</v>
      </c>
      <c r="O140">
        <v>36</v>
      </c>
      <c r="P140">
        <v>11</v>
      </c>
      <c r="Q140">
        <v>4</v>
      </c>
    </row>
    <row r="141" spans="1:17" x14ac:dyDescent="0.45">
      <c r="A141" t="s">
        <v>54</v>
      </c>
      <c r="B141" t="s">
        <v>21</v>
      </c>
      <c r="C141">
        <v>10</v>
      </c>
      <c r="D141">
        <v>657</v>
      </c>
      <c r="E141">
        <v>22</v>
      </c>
      <c r="F141">
        <v>71</v>
      </c>
      <c r="G141">
        <v>110</v>
      </c>
      <c r="H141">
        <v>14</v>
      </c>
      <c r="I141">
        <v>220</v>
      </c>
      <c r="J141">
        <v>31</v>
      </c>
      <c r="K141">
        <v>45</v>
      </c>
      <c r="L141">
        <v>48</v>
      </c>
      <c r="M141">
        <v>48</v>
      </c>
      <c r="N141">
        <v>40</v>
      </c>
      <c r="O141">
        <v>30</v>
      </c>
      <c r="P141">
        <v>16</v>
      </c>
      <c r="Q141">
        <v>0</v>
      </c>
    </row>
    <row r="142" spans="1:17" x14ac:dyDescent="0.45">
      <c r="A142" t="s">
        <v>54</v>
      </c>
      <c r="B142" t="s">
        <v>20</v>
      </c>
      <c r="C142">
        <v>11</v>
      </c>
      <c r="D142">
        <v>382</v>
      </c>
      <c r="E142">
        <v>19</v>
      </c>
      <c r="F142">
        <v>34</v>
      </c>
      <c r="G142">
        <v>79</v>
      </c>
      <c r="H142">
        <v>37</v>
      </c>
      <c r="I142">
        <v>161</v>
      </c>
      <c r="J142">
        <v>27</v>
      </c>
      <c r="K142">
        <v>41</v>
      </c>
      <c r="L142">
        <v>20</v>
      </c>
      <c r="M142">
        <v>27</v>
      </c>
      <c r="N142">
        <v>25</v>
      </c>
      <c r="O142">
        <v>34</v>
      </c>
      <c r="P142">
        <v>14</v>
      </c>
      <c r="Q142">
        <v>0</v>
      </c>
    </row>
    <row r="143" spans="1:17" x14ac:dyDescent="0.45">
      <c r="A143" t="s">
        <v>54</v>
      </c>
      <c r="B143" t="s">
        <v>21</v>
      </c>
      <c r="C143">
        <v>11</v>
      </c>
      <c r="D143">
        <v>539</v>
      </c>
      <c r="E143">
        <v>33</v>
      </c>
      <c r="F143">
        <v>30</v>
      </c>
      <c r="G143">
        <v>62</v>
      </c>
      <c r="H143">
        <v>30</v>
      </c>
      <c r="I143">
        <v>169</v>
      </c>
      <c r="J143">
        <v>19</v>
      </c>
      <c r="K143">
        <v>37</v>
      </c>
      <c r="L143">
        <v>21</v>
      </c>
      <c r="M143">
        <v>36</v>
      </c>
      <c r="N143">
        <v>15</v>
      </c>
      <c r="O143">
        <v>31</v>
      </c>
      <c r="P143">
        <v>6</v>
      </c>
      <c r="Q143">
        <v>6</v>
      </c>
    </row>
    <row r="144" spans="1:17" x14ac:dyDescent="0.45">
      <c r="A144" t="s">
        <v>54</v>
      </c>
      <c r="B144" t="s">
        <v>20</v>
      </c>
      <c r="C144">
        <v>12</v>
      </c>
      <c r="D144">
        <v>330</v>
      </c>
      <c r="E144">
        <v>20</v>
      </c>
      <c r="F144">
        <v>18</v>
      </c>
      <c r="G144">
        <v>105</v>
      </c>
      <c r="H144">
        <v>10</v>
      </c>
      <c r="I144">
        <v>141</v>
      </c>
      <c r="J144">
        <v>16</v>
      </c>
      <c r="K144">
        <v>74</v>
      </c>
      <c r="L144">
        <v>22</v>
      </c>
      <c r="M144">
        <v>16</v>
      </c>
      <c r="N144">
        <v>28</v>
      </c>
      <c r="O144">
        <v>44</v>
      </c>
      <c r="P144">
        <v>13</v>
      </c>
      <c r="Q144">
        <v>0</v>
      </c>
    </row>
    <row r="145" spans="1:17" x14ac:dyDescent="0.45">
      <c r="A145" t="s">
        <v>54</v>
      </c>
      <c r="B145" t="s">
        <v>21</v>
      </c>
      <c r="C145">
        <v>12</v>
      </c>
      <c r="D145">
        <v>497</v>
      </c>
      <c r="E145">
        <v>28</v>
      </c>
      <c r="F145">
        <v>41</v>
      </c>
      <c r="G145">
        <v>103</v>
      </c>
      <c r="H145">
        <v>18</v>
      </c>
      <c r="I145">
        <v>169</v>
      </c>
      <c r="J145">
        <v>33</v>
      </c>
      <c r="K145">
        <v>76</v>
      </c>
      <c r="L145">
        <v>26</v>
      </c>
      <c r="M145">
        <v>23</v>
      </c>
      <c r="N145">
        <v>34</v>
      </c>
      <c r="O145">
        <v>32</v>
      </c>
      <c r="P145">
        <v>9</v>
      </c>
      <c r="Q145">
        <v>0</v>
      </c>
    </row>
    <row r="146" spans="1:17" x14ac:dyDescent="0.45">
      <c r="A146" t="s">
        <v>37</v>
      </c>
      <c r="B146" t="s">
        <v>20</v>
      </c>
      <c r="C146">
        <v>1</v>
      </c>
      <c r="D146">
        <v>1005</v>
      </c>
      <c r="E146">
        <v>25</v>
      </c>
      <c r="F146">
        <v>21</v>
      </c>
      <c r="G146">
        <v>94</v>
      </c>
      <c r="H146">
        <v>1</v>
      </c>
      <c r="I146">
        <v>105</v>
      </c>
      <c r="J146">
        <v>13</v>
      </c>
      <c r="K146">
        <v>53</v>
      </c>
      <c r="L146">
        <v>11</v>
      </c>
      <c r="M146">
        <v>11</v>
      </c>
      <c r="N146">
        <v>17</v>
      </c>
      <c r="O146">
        <v>18</v>
      </c>
      <c r="P146">
        <v>12</v>
      </c>
      <c r="Q146">
        <v>1</v>
      </c>
    </row>
    <row r="147" spans="1:17" x14ac:dyDescent="0.45">
      <c r="A147" t="s">
        <v>37</v>
      </c>
      <c r="B147" t="s">
        <v>21</v>
      </c>
      <c r="C147">
        <v>1</v>
      </c>
      <c r="D147">
        <v>1196</v>
      </c>
      <c r="E147">
        <v>28</v>
      </c>
      <c r="F147">
        <v>10</v>
      </c>
      <c r="G147">
        <v>117</v>
      </c>
      <c r="H147">
        <v>1</v>
      </c>
      <c r="I147">
        <v>105</v>
      </c>
      <c r="J147">
        <v>6</v>
      </c>
      <c r="K147">
        <v>69</v>
      </c>
      <c r="L147">
        <v>18</v>
      </c>
      <c r="M147">
        <v>15</v>
      </c>
      <c r="N147">
        <v>37</v>
      </c>
      <c r="O147">
        <v>22</v>
      </c>
      <c r="P147">
        <v>14</v>
      </c>
      <c r="Q147">
        <v>0</v>
      </c>
    </row>
    <row r="148" spans="1:17" x14ac:dyDescent="0.45">
      <c r="A148" t="s">
        <v>37</v>
      </c>
      <c r="B148" t="s">
        <v>20</v>
      </c>
      <c r="C148">
        <v>2</v>
      </c>
      <c r="D148">
        <v>904</v>
      </c>
      <c r="E148">
        <v>28</v>
      </c>
      <c r="F148">
        <v>9</v>
      </c>
      <c r="G148">
        <v>50</v>
      </c>
      <c r="H148">
        <v>15</v>
      </c>
      <c r="I148">
        <v>115</v>
      </c>
      <c r="J148">
        <v>12</v>
      </c>
      <c r="K148">
        <v>60</v>
      </c>
      <c r="L148">
        <v>14</v>
      </c>
      <c r="M148">
        <v>13</v>
      </c>
      <c r="N148">
        <v>14</v>
      </c>
      <c r="O148">
        <v>18</v>
      </c>
      <c r="P148">
        <v>11</v>
      </c>
      <c r="Q148">
        <v>0</v>
      </c>
    </row>
    <row r="149" spans="1:17" x14ac:dyDescent="0.45">
      <c r="A149" t="s">
        <v>37</v>
      </c>
      <c r="B149" t="s">
        <v>21</v>
      </c>
      <c r="C149">
        <v>2</v>
      </c>
      <c r="D149">
        <v>1194</v>
      </c>
      <c r="E149">
        <v>20</v>
      </c>
      <c r="F149">
        <v>12</v>
      </c>
      <c r="G149">
        <v>28</v>
      </c>
      <c r="H149">
        <v>45</v>
      </c>
      <c r="I149">
        <v>132</v>
      </c>
      <c r="J149">
        <v>14</v>
      </c>
      <c r="K149">
        <v>49</v>
      </c>
      <c r="L149">
        <v>16</v>
      </c>
      <c r="M149">
        <v>5</v>
      </c>
      <c r="N149">
        <v>22</v>
      </c>
      <c r="O149">
        <v>16</v>
      </c>
      <c r="P149">
        <v>12</v>
      </c>
      <c r="Q149">
        <v>2</v>
      </c>
    </row>
    <row r="150" spans="1:17" x14ac:dyDescent="0.45">
      <c r="A150" t="s">
        <v>37</v>
      </c>
      <c r="B150" t="s">
        <v>20</v>
      </c>
      <c r="C150">
        <v>3</v>
      </c>
      <c r="D150">
        <v>1154</v>
      </c>
      <c r="E150">
        <v>37</v>
      </c>
      <c r="F150">
        <v>20</v>
      </c>
      <c r="G150">
        <v>94</v>
      </c>
      <c r="H150">
        <v>12</v>
      </c>
      <c r="I150">
        <v>95</v>
      </c>
      <c r="J150">
        <v>17</v>
      </c>
      <c r="K150">
        <v>92</v>
      </c>
      <c r="L150">
        <v>27</v>
      </c>
      <c r="M150">
        <v>13</v>
      </c>
      <c r="N150">
        <v>92</v>
      </c>
      <c r="O150">
        <v>58</v>
      </c>
      <c r="P150">
        <v>65</v>
      </c>
      <c r="Q150">
        <v>3</v>
      </c>
    </row>
    <row r="151" spans="1:17" x14ac:dyDescent="0.45">
      <c r="A151" t="s">
        <v>37</v>
      </c>
      <c r="B151" t="s">
        <v>21</v>
      </c>
      <c r="C151">
        <v>3</v>
      </c>
      <c r="D151">
        <v>1431</v>
      </c>
      <c r="E151">
        <v>62</v>
      </c>
      <c r="F151">
        <v>14</v>
      </c>
      <c r="G151">
        <v>127</v>
      </c>
      <c r="H151">
        <v>8</v>
      </c>
      <c r="I151">
        <v>130</v>
      </c>
      <c r="J151">
        <v>23</v>
      </c>
      <c r="K151">
        <v>131</v>
      </c>
      <c r="L151">
        <v>24</v>
      </c>
      <c r="M151">
        <v>20</v>
      </c>
      <c r="N151">
        <v>159</v>
      </c>
      <c r="O151">
        <v>84</v>
      </c>
      <c r="P151">
        <v>90</v>
      </c>
      <c r="Q151">
        <v>4</v>
      </c>
    </row>
    <row r="152" spans="1:17" x14ac:dyDescent="0.45">
      <c r="A152" t="s">
        <v>37</v>
      </c>
      <c r="B152" t="s">
        <v>20</v>
      </c>
      <c r="C152">
        <v>4</v>
      </c>
      <c r="D152">
        <v>1120</v>
      </c>
      <c r="E152">
        <v>67</v>
      </c>
      <c r="F152">
        <v>43</v>
      </c>
      <c r="G152">
        <v>128</v>
      </c>
      <c r="H152">
        <v>16</v>
      </c>
      <c r="I152">
        <v>162</v>
      </c>
      <c r="J152">
        <v>43</v>
      </c>
      <c r="K152">
        <v>260</v>
      </c>
      <c r="L152">
        <v>109</v>
      </c>
      <c r="M152">
        <v>28</v>
      </c>
      <c r="N152">
        <v>212</v>
      </c>
      <c r="O152">
        <v>135</v>
      </c>
      <c r="P152">
        <v>109</v>
      </c>
      <c r="Q152">
        <v>2</v>
      </c>
    </row>
    <row r="153" spans="1:17" x14ac:dyDescent="0.45">
      <c r="A153" t="s">
        <v>37</v>
      </c>
      <c r="B153" t="s">
        <v>21</v>
      </c>
      <c r="C153">
        <v>4</v>
      </c>
      <c r="D153">
        <v>1386</v>
      </c>
      <c r="E153">
        <v>48</v>
      </c>
      <c r="F153">
        <v>15</v>
      </c>
      <c r="G153">
        <v>130</v>
      </c>
      <c r="H153">
        <v>39</v>
      </c>
      <c r="I153">
        <v>195</v>
      </c>
      <c r="J153">
        <v>32</v>
      </c>
      <c r="K153">
        <v>295</v>
      </c>
      <c r="L153">
        <v>93</v>
      </c>
      <c r="M153">
        <v>23</v>
      </c>
      <c r="N153">
        <v>146</v>
      </c>
      <c r="O153">
        <v>107</v>
      </c>
      <c r="P153">
        <v>85</v>
      </c>
      <c r="Q153">
        <v>0</v>
      </c>
    </row>
    <row r="154" spans="1:17" x14ac:dyDescent="0.45">
      <c r="A154" t="s">
        <v>37</v>
      </c>
      <c r="B154" t="s">
        <v>20</v>
      </c>
      <c r="C154">
        <v>5</v>
      </c>
      <c r="D154">
        <v>1015</v>
      </c>
      <c r="E154">
        <v>63</v>
      </c>
      <c r="F154">
        <v>27</v>
      </c>
      <c r="G154">
        <v>107</v>
      </c>
      <c r="H154">
        <v>15</v>
      </c>
      <c r="I154">
        <v>153</v>
      </c>
      <c r="J154">
        <v>33</v>
      </c>
      <c r="K154">
        <v>110</v>
      </c>
      <c r="L154">
        <v>47</v>
      </c>
      <c r="M154">
        <v>15</v>
      </c>
      <c r="N154">
        <v>83</v>
      </c>
      <c r="O154">
        <v>71</v>
      </c>
      <c r="P154">
        <v>39</v>
      </c>
      <c r="Q154">
        <v>1</v>
      </c>
    </row>
    <row r="155" spans="1:17" x14ac:dyDescent="0.45">
      <c r="A155" t="s">
        <v>37</v>
      </c>
      <c r="B155" t="s">
        <v>21</v>
      </c>
      <c r="C155">
        <v>5</v>
      </c>
      <c r="D155">
        <v>1199</v>
      </c>
      <c r="E155">
        <v>78</v>
      </c>
      <c r="F155">
        <v>31</v>
      </c>
      <c r="G155">
        <v>116</v>
      </c>
      <c r="H155">
        <v>14</v>
      </c>
      <c r="I155">
        <v>172</v>
      </c>
      <c r="J155">
        <v>26</v>
      </c>
      <c r="K155">
        <v>163</v>
      </c>
      <c r="L155">
        <v>55</v>
      </c>
      <c r="M155">
        <v>10</v>
      </c>
      <c r="N155">
        <v>91</v>
      </c>
      <c r="O155">
        <v>85</v>
      </c>
      <c r="P155">
        <v>59</v>
      </c>
      <c r="Q155">
        <v>0</v>
      </c>
    </row>
    <row r="156" spans="1:17" x14ac:dyDescent="0.45">
      <c r="A156" t="s">
        <v>37</v>
      </c>
      <c r="B156" t="s">
        <v>20</v>
      </c>
      <c r="C156">
        <v>6</v>
      </c>
      <c r="D156">
        <v>1061</v>
      </c>
      <c r="E156">
        <v>57</v>
      </c>
      <c r="F156">
        <v>50</v>
      </c>
      <c r="G156">
        <v>81</v>
      </c>
      <c r="H156">
        <v>30</v>
      </c>
      <c r="I156">
        <v>212</v>
      </c>
      <c r="J156">
        <v>11</v>
      </c>
      <c r="K156">
        <v>52</v>
      </c>
      <c r="L156">
        <v>34</v>
      </c>
      <c r="M156">
        <v>15</v>
      </c>
      <c r="N156">
        <v>48</v>
      </c>
      <c r="O156">
        <v>46</v>
      </c>
      <c r="P156">
        <v>21</v>
      </c>
      <c r="Q156">
        <v>0</v>
      </c>
    </row>
    <row r="157" spans="1:17" x14ac:dyDescent="0.45">
      <c r="A157" t="s">
        <v>37</v>
      </c>
      <c r="B157" t="s">
        <v>21</v>
      </c>
      <c r="C157">
        <v>6</v>
      </c>
      <c r="D157">
        <v>1288</v>
      </c>
      <c r="E157">
        <v>42</v>
      </c>
      <c r="F157">
        <v>32</v>
      </c>
      <c r="G157">
        <v>123</v>
      </c>
      <c r="H157">
        <v>14</v>
      </c>
      <c r="I157">
        <v>217</v>
      </c>
      <c r="J157">
        <v>30</v>
      </c>
      <c r="K157">
        <v>78</v>
      </c>
      <c r="L157">
        <v>38</v>
      </c>
      <c r="M157">
        <v>13</v>
      </c>
      <c r="N157">
        <v>81</v>
      </c>
      <c r="O157">
        <v>64</v>
      </c>
      <c r="P157">
        <v>21</v>
      </c>
      <c r="Q157">
        <v>0</v>
      </c>
    </row>
    <row r="158" spans="1:17" x14ac:dyDescent="0.45">
      <c r="A158" t="s">
        <v>37</v>
      </c>
      <c r="B158" t="s">
        <v>20</v>
      </c>
      <c r="C158">
        <v>8</v>
      </c>
      <c r="D158">
        <v>779</v>
      </c>
      <c r="E158">
        <v>23</v>
      </c>
      <c r="F158">
        <v>18</v>
      </c>
      <c r="G158">
        <v>40</v>
      </c>
      <c r="H158">
        <v>24</v>
      </c>
      <c r="I158">
        <v>179</v>
      </c>
      <c r="J158">
        <v>8</v>
      </c>
      <c r="K158">
        <v>13</v>
      </c>
      <c r="L158">
        <v>6</v>
      </c>
      <c r="M158">
        <v>14</v>
      </c>
      <c r="N158">
        <v>9</v>
      </c>
      <c r="O158">
        <v>18</v>
      </c>
      <c r="P158">
        <v>3</v>
      </c>
      <c r="Q158">
        <v>0</v>
      </c>
    </row>
    <row r="159" spans="1:17" x14ac:dyDescent="0.45">
      <c r="A159" t="s">
        <v>37</v>
      </c>
      <c r="B159" t="s">
        <v>21</v>
      </c>
      <c r="C159">
        <v>8</v>
      </c>
      <c r="D159">
        <v>1107</v>
      </c>
      <c r="E159">
        <v>39</v>
      </c>
      <c r="F159">
        <v>28</v>
      </c>
      <c r="G159">
        <v>63</v>
      </c>
      <c r="H159">
        <v>14</v>
      </c>
      <c r="I159">
        <v>212</v>
      </c>
      <c r="J159">
        <v>6</v>
      </c>
      <c r="K159">
        <v>16</v>
      </c>
      <c r="L159">
        <v>18</v>
      </c>
      <c r="M159">
        <v>19</v>
      </c>
      <c r="N159">
        <v>7</v>
      </c>
      <c r="O159">
        <v>20</v>
      </c>
      <c r="P159">
        <v>3</v>
      </c>
      <c r="Q159">
        <v>0</v>
      </c>
    </row>
    <row r="160" spans="1:17" x14ac:dyDescent="0.45">
      <c r="A160" t="s">
        <v>37</v>
      </c>
      <c r="B160" t="s">
        <v>20</v>
      </c>
      <c r="C160">
        <v>9</v>
      </c>
      <c r="D160">
        <v>959</v>
      </c>
      <c r="E160">
        <v>46</v>
      </c>
      <c r="F160">
        <v>36</v>
      </c>
      <c r="G160">
        <v>20</v>
      </c>
      <c r="H160">
        <v>23</v>
      </c>
      <c r="I160">
        <v>196</v>
      </c>
      <c r="J160">
        <v>23</v>
      </c>
      <c r="K160">
        <v>10</v>
      </c>
      <c r="L160">
        <v>6</v>
      </c>
      <c r="M160">
        <v>31</v>
      </c>
      <c r="N160">
        <v>10</v>
      </c>
      <c r="O160">
        <v>11</v>
      </c>
      <c r="P160">
        <v>5</v>
      </c>
      <c r="Q160">
        <v>0</v>
      </c>
    </row>
    <row r="161" spans="1:17" x14ac:dyDescent="0.45">
      <c r="A161" t="s">
        <v>37</v>
      </c>
      <c r="B161" t="s">
        <v>21</v>
      </c>
      <c r="C161">
        <v>9</v>
      </c>
      <c r="D161">
        <v>1197</v>
      </c>
      <c r="E161">
        <v>43</v>
      </c>
      <c r="F161">
        <v>19</v>
      </c>
      <c r="G161">
        <v>66</v>
      </c>
      <c r="H161">
        <v>7</v>
      </c>
      <c r="I161">
        <v>201</v>
      </c>
      <c r="J161">
        <v>15</v>
      </c>
      <c r="K161">
        <v>10</v>
      </c>
      <c r="L161">
        <v>8</v>
      </c>
      <c r="M161">
        <v>18</v>
      </c>
      <c r="N161">
        <v>6</v>
      </c>
      <c r="O161">
        <v>12</v>
      </c>
      <c r="P161">
        <v>2</v>
      </c>
      <c r="Q161">
        <v>0</v>
      </c>
    </row>
    <row r="162" spans="1:17" x14ac:dyDescent="0.45">
      <c r="A162" t="s">
        <v>37</v>
      </c>
      <c r="B162" t="s">
        <v>20</v>
      </c>
      <c r="C162">
        <v>10</v>
      </c>
      <c r="D162">
        <v>1175</v>
      </c>
      <c r="E162">
        <v>66</v>
      </c>
      <c r="F162">
        <v>74</v>
      </c>
      <c r="G162">
        <v>44</v>
      </c>
      <c r="H162">
        <v>49</v>
      </c>
      <c r="I162">
        <v>247</v>
      </c>
      <c r="J162">
        <v>24</v>
      </c>
      <c r="K162">
        <v>20</v>
      </c>
      <c r="L162">
        <v>21</v>
      </c>
      <c r="M162">
        <v>22</v>
      </c>
      <c r="N162">
        <v>27</v>
      </c>
      <c r="O162">
        <v>19</v>
      </c>
      <c r="P162">
        <v>9</v>
      </c>
      <c r="Q162">
        <v>0</v>
      </c>
    </row>
    <row r="163" spans="1:17" x14ac:dyDescent="0.45">
      <c r="A163" t="s">
        <v>37</v>
      </c>
      <c r="B163" t="s">
        <v>21</v>
      </c>
      <c r="C163">
        <v>10</v>
      </c>
      <c r="D163">
        <v>1634</v>
      </c>
      <c r="E163">
        <v>88</v>
      </c>
      <c r="F163">
        <v>71</v>
      </c>
      <c r="G163">
        <v>166</v>
      </c>
      <c r="H163">
        <v>9</v>
      </c>
      <c r="I163">
        <v>259</v>
      </c>
      <c r="J163">
        <v>39</v>
      </c>
      <c r="K163">
        <v>51</v>
      </c>
      <c r="L163">
        <v>25</v>
      </c>
      <c r="M163">
        <v>32</v>
      </c>
      <c r="N163">
        <v>34</v>
      </c>
      <c r="O163">
        <v>25</v>
      </c>
      <c r="P163">
        <v>9</v>
      </c>
      <c r="Q163">
        <v>0</v>
      </c>
    </row>
    <row r="164" spans="1:17" x14ac:dyDescent="0.45">
      <c r="A164" t="s">
        <v>37</v>
      </c>
      <c r="B164" t="s">
        <v>20</v>
      </c>
      <c r="C164">
        <v>11</v>
      </c>
      <c r="D164">
        <v>1123</v>
      </c>
      <c r="E164">
        <v>76</v>
      </c>
      <c r="F164">
        <v>30</v>
      </c>
      <c r="G164">
        <v>100</v>
      </c>
      <c r="H164">
        <v>41</v>
      </c>
      <c r="I164">
        <v>211</v>
      </c>
      <c r="J164">
        <v>32</v>
      </c>
      <c r="K164">
        <v>81</v>
      </c>
      <c r="L164">
        <v>19</v>
      </c>
      <c r="M164">
        <v>27</v>
      </c>
      <c r="N164">
        <v>36</v>
      </c>
      <c r="O164">
        <v>29</v>
      </c>
      <c r="P164">
        <v>14</v>
      </c>
      <c r="Q164">
        <v>0</v>
      </c>
    </row>
    <row r="165" spans="1:17" x14ac:dyDescent="0.45">
      <c r="A165" t="s">
        <v>37</v>
      </c>
      <c r="B165" t="s">
        <v>21</v>
      </c>
      <c r="C165">
        <v>11</v>
      </c>
      <c r="D165">
        <v>1431</v>
      </c>
      <c r="E165">
        <v>64</v>
      </c>
      <c r="F165">
        <v>34</v>
      </c>
      <c r="G165">
        <v>68</v>
      </c>
      <c r="H165">
        <v>44</v>
      </c>
      <c r="I165">
        <v>228</v>
      </c>
      <c r="J165">
        <v>23</v>
      </c>
      <c r="K165">
        <v>48</v>
      </c>
      <c r="L165">
        <v>18</v>
      </c>
      <c r="M165">
        <v>15</v>
      </c>
      <c r="N165">
        <v>25</v>
      </c>
      <c r="O165">
        <v>12</v>
      </c>
      <c r="P165">
        <v>6</v>
      </c>
      <c r="Q165">
        <v>0</v>
      </c>
    </row>
    <row r="166" spans="1:17" x14ac:dyDescent="0.45">
      <c r="A166" t="s">
        <v>37</v>
      </c>
      <c r="B166" t="s">
        <v>20</v>
      </c>
      <c r="C166">
        <v>12</v>
      </c>
      <c r="D166">
        <v>1176</v>
      </c>
      <c r="E166">
        <v>62</v>
      </c>
      <c r="F166">
        <v>20</v>
      </c>
      <c r="G166">
        <v>125</v>
      </c>
      <c r="H166">
        <v>9</v>
      </c>
      <c r="I166">
        <v>158</v>
      </c>
      <c r="J166">
        <v>16</v>
      </c>
      <c r="K166">
        <v>66</v>
      </c>
      <c r="L166">
        <v>37</v>
      </c>
      <c r="M166">
        <v>20</v>
      </c>
      <c r="N166">
        <v>37</v>
      </c>
      <c r="O166">
        <v>60</v>
      </c>
      <c r="P166">
        <v>11</v>
      </c>
      <c r="Q166">
        <v>0</v>
      </c>
    </row>
    <row r="167" spans="1:17" x14ac:dyDescent="0.45">
      <c r="A167" t="s">
        <v>37</v>
      </c>
      <c r="B167" t="s">
        <v>21</v>
      </c>
      <c r="C167">
        <v>12</v>
      </c>
      <c r="D167">
        <v>1493</v>
      </c>
      <c r="E167">
        <v>59</v>
      </c>
      <c r="F167">
        <v>40</v>
      </c>
      <c r="G167">
        <v>155</v>
      </c>
      <c r="H167">
        <v>21</v>
      </c>
      <c r="I167">
        <v>187</v>
      </c>
      <c r="J167">
        <v>26</v>
      </c>
      <c r="K167">
        <v>46</v>
      </c>
      <c r="L167">
        <v>18</v>
      </c>
      <c r="M167">
        <v>19</v>
      </c>
      <c r="N167">
        <v>41</v>
      </c>
      <c r="O167">
        <v>45</v>
      </c>
      <c r="P167">
        <v>14</v>
      </c>
      <c r="Q167">
        <v>0</v>
      </c>
    </row>
    <row r="168" spans="1:17" x14ac:dyDescent="0.45">
      <c r="A168" t="s">
        <v>59</v>
      </c>
      <c r="B168" t="s">
        <v>20</v>
      </c>
      <c r="C168">
        <v>1</v>
      </c>
      <c r="D168">
        <v>332</v>
      </c>
      <c r="E168">
        <v>15</v>
      </c>
      <c r="F168">
        <v>12</v>
      </c>
      <c r="G168">
        <v>82</v>
      </c>
      <c r="H168">
        <v>14</v>
      </c>
      <c r="I168">
        <v>90</v>
      </c>
      <c r="J168">
        <v>6</v>
      </c>
      <c r="K168">
        <v>41</v>
      </c>
      <c r="L168">
        <v>8</v>
      </c>
      <c r="M168">
        <v>19</v>
      </c>
      <c r="N168">
        <v>28</v>
      </c>
      <c r="O168">
        <v>29</v>
      </c>
      <c r="P168">
        <v>11</v>
      </c>
      <c r="Q168">
        <v>4</v>
      </c>
    </row>
    <row r="169" spans="1:17" x14ac:dyDescent="0.45">
      <c r="A169" t="s">
        <v>59</v>
      </c>
      <c r="B169" t="s">
        <v>21</v>
      </c>
      <c r="C169">
        <v>1</v>
      </c>
      <c r="D169">
        <v>372</v>
      </c>
      <c r="E169">
        <v>17</v>
      </c>
      <c r="F169">
        <v>15</v>
      </c>
      <c r="G169">
        <v>83</v>
      </c>
      <c r="H169">
        <v>3</v>
      </c>
      <c r="I169">
        <v>89</v>
      </c>
      <c r="J169">
        <v>9</v>
      </c>
      <c r="K169">
        <v>47</v>
      </c>
      <c r="L169">
        <v>8</v>
      </c>
      <c r="M169">
        <v>19</v>
      </c>
      <c r="N169">
        <v>39</v>
      </c>
      <c r="O169">
        <v>29</v>
      </c>
      <c r="P169">
        <v>10</v>
      </c>
      <c r="Q169">
        <v>0</v>
      </c>
    </row>
    <row r="170" spans="1:17" x14ac:dyDescent="0.45">
      <c r="A170" t="s">
        <v>59</v>
      </c>
      <c r="B170" t="s">
        <v>20</v>
      </c>
      <c r="C170">
        <v>2</v>
      </c>
      <c r="D170">
        <v>319</v>
      </c>
      <c r="E170">
        <v>9</v>
      </c>
      <c r="F170">
        <v>4</v>
      </c>
      <c r="G170">
        <v>43</v>
      </c>
      <c r="H170">
        <v>19</v>
      </c>
      <c r="I170">
        <v>98</v>
      </c>
      <c r="J170">
        <v>3</v>
      </c>
      <c r="K170">
        <v>18</v>
      </c>
      <c r="L170">
        <v>7</v>
      </c>
      <c r="M170">
        <v>6</v>
      </c>
      <c r="N170">
        <v>19</v>
      </c>
      <c r="O170">
        <v>74</v>
      </c>
      <c r="P170">
        <v>7</v>
      </c>
      <c r="Q170">
        <v>4</v>
      </c>
    </row>
    <row r="171" spans="1:17" x14ac:dyDescent="0.45">
      <c r="A171" t="s">
        <v>59</v>
      </c>
      <c r="B171" t="s">
        <v>21</v>
      </c>
      <c r="C171">
        <v>2</v>
      </c>
      <c r="D171">
        <v>343</v>
      </c>
      <c r="E171">
        <v>30</v>
      </c>
      <c r="F171">
        <v>7</v>
      </c>
      <c r="G171">
        <v>48</v>
      </c>
      <c r="H171">
        <v>38</v>
      </c>
      <c r="I171">
        <v>101</v>
      </c>
      <c r="J171">
        <v>14</v>
      </c>
      <c r="K171">
        <v>35</v>
      </c>
      <c r="L171">
        <v>11</v>
      </c>
      <c r="M171">
        <v>13</v>
      </c>
      <c r="N171">
        <v>17</v>
      </c>
      <c r="O171">
        <v>47</v>
      </c>
      <c r="P171">
        <v>13</v>
      </c>
      <c r="Q171">
        <v>4</v>
      </c>
    </row>
    <row r="172" spans="1:17" x14ac:dyDescent="0.45">
      <c r="A172" t="s">
        <v>59</v>
      </c>
      <c r="B172" t="s">
        <v>20</v>
      </c>
      <c r="C172">
        <v>3</v>
      </c>
      <c r="D172">
        <v>404</v>
      </c>
      <c r="E172">
        <v>24</v>
      </c>
      <c r="F172">
        <v>36</v>
      </c>
      <c r="G172">
        <v>100</v>
      </c>
      <c r="H172">
        <v>9</v>
      </c>
      <c r="I172">
        <v>85</v>
      </c>
      <c r="J172">
        <v>17</v>
      </c>
      <c r="K172">
        <v>50</v>
      </c>
      <c r="L172">
        <v>13</v>
      </c>
      <c r="M172">
        <v>18</v>
      </c>
      <c r="N172">
        <v>97</v>
      </c>
      <c r="O172">
        <v>63</v>
      </c>
      <c r="P172">
        <v>60</v>
      </c>
      <c r="Q172">
        <v>7</v>
      </c>
    </row>
    <row r="173" spans="1:17" x14ac:dyDescent="0.45">
      <c r="A173" t="s">
        <v>59</v>
      </c>
      <c r="B173" t="s">
        <v>21</v>
      </c>
      <c r="C173">
        <v>3</v>
      </c>
      <c r="D173">
        <v>419</v>
      </c>
      <c r="E173">
        <v>14</v>
      </c>
      <c r="F173">
        <v>27</v>
      </c>
      <c r="G173">
        <v>127</v>
      </c>
      <c r="H173">
        <v>30</v>
      </c>
      <c r="I173">
        <v>138</v>
      </c>
      <c r="J173">
        <v>25</v>
      </c>
      <c r="K173">
        <v>58</v>
      </c>
      <c r="L173">
        <v>14</v>
      </c>
      <c r="M173">
        <v>32</v>
      </c>
      <c r="N173">
        <v>135</v>
      </c>
      <c r="O173">
        <v>80</v>
      </c>
      <c r="P173">
        <v>75</v>
      </c>
      <c r="Q173">
        <v>9</v>
      </c>
    </row>
    <row r="174" spans="1:17" x14ac:dyDescent="0.45">
      <c r="A174" t="s">
        <v>59</v>
      </c>
      <c r="B174" t="s">
        <v>20</v>
      </c>
      <c r="C174">
        <v>5</v>
      </c>
      <c r="D174">
        <v>298</v>
      </c>
      <c r="E174">
        <v>20</v>
      </c>
      <c r="F174">
        <v>13</v>
      </c>
      <c r="G174">
        <v>74</v>
      </c>
      <c r="H174">
        <v>16</v>
      </c>
      <c r="I174">
        <v>83</v>
      </c>
      <c r="J174">
        <v>8</v>
      </c>
      <c r="K174">
        <v>42</v>
      </c>
      <c r="L174">
        <v>23</v>
      </c>
      <c r="M174">
        <v>24</v>
      </c>
      <c r="N174">
        <v>104</v>
      </c>
      <c r="O174">
        <v>99</v>
      </c>
      <c r="P174">
        <v>84</v>
      </c>
      <c r="Q174">
        <v>14</v>
      </c>
    </row>
    <row r="175" spans="1:17" x14ac:dyDescent="0.45">
      <c r="A175" t="s">
        <v>59</v>
      </c>
      <c r="B175" t="s">
        <v>21</v>
      </c>
      <c r="C175">
        <v>5</v>
      </c>
      <c r="D175">
        <v>358</v>
      </c>
      <c r="E175">
        <v>23</v>
      </c>
      <c r="F175">
        <v>19</v>
      </c>
      <c r="G175">
        <v>114</v>
      </c>
      <c r="H175">
        <v>36</v>
      </c>
      <c r="I175">
        <v>149</v>
      </c>
      <c r="J175">
        <v>24</v>
      </c>
      <c r="K175">
        <v>73</v>
      </c>
      <c r="L175">
        <v>37</v>
      </c>
      <c r="M175">
        <v>24</v>
      </c>
      <c r="N175">
        <v>145</v>
      </c>
      <c r="O175">
        <v>141</v>
      </c>
      <c r="P175">
        <v>93</v>
      </c>
      <c r="Q175">
        <v>0</v>
      </c>
    </row>
    <row r="176" spans="1:17" x14ac:dyDescent="0.45">
      <c r="A176" t="s">
        <v>59</v>
      </c>
      <c r="B176" t="s">
        <v>20</v>
      </c>
      <c r="C176">
        <v>6</v>
      </c>
      <c r="D176">
        <v>348</v>
      </c>
      <c r="E176">
        <v>24</v>
      </c>
      <c r="F176">
        <v>23</v>
      </c>
      <c r="G176">
        <v>73</v>
      </c>
      <c r="H176">
        <v>34</v>
      </c>
      <c r="I176">
        <v>119</v>
      </c>
      <c r="J176">
        <v>11</v>
      </c>
      <c r="K176">
        <v>41</v>
      </c>
      <c r="L176">
        <v>33</v>
      </c>
      <c r="M176">
        <v>32</v>
      </c>
      <c r="N176">
        <v>84</v>
      </c>
      <c r="O176">
        <v>99</v>
      </c>
      <c r="P176">
        <v>34</v>
      </c>
      <c r="Q176">
        <v>6</v>
      </c>
    </row>
    <row r="177" spans="1:17" x14ac:dyDescent="0.45">
      <c r="A177" t="s">
        <v>59</v>
      </c>
      <c r="B177" t="s">
        <v>21</v>
      </c>
      <c r="C177">
        <v>6</v>
      </c>
      <c r="D177">
        <v>422</v>
      </c>
      <c r="E177">
        <v>27</v>
      </c>
      <c r="F177">
        <v>35</v>
      </c>
      <c r="G177">
        <v>86</v>
      </c>
      <c r="H177">
        <v>28</v>
      </c>
      <c r="I177">
        <v>155</v>
      </c>
      <c r="J177">
        <v>20</v>
      </c>
      <c r="K177">
        <v>48</v>
      </c>
      <c r="L177">
        <v>15</v>
      </c>
      <c r="M177">
        <v>34</v>
      </c>
      <c r="N177">
        <v>75</v>
      </c>
      <c r="O177">
        <v>75</v>
      </c>
      <c r="P177">
        <v>43</v>
      </c>
      <c r="Q177">
        <v>12</v>
      </c>
    </row>
    <row r="178" spans="1:17" x14ac:dyDescent="0.45">
      <c r="A178" t="s">
        <v>59</v>
      </c>
      <c r="B178" t="s">
        <v>20</v>
      </c>
      <c r="C178">
        <v>7</v>
      </c>
      <c r="D178">
        <v>354</v>
      </c>
      <c r="E178">
        <v>27</v>
      </c>
      <c r="F178">
        <v>25</v>
      </c>
      <c r="G178">
        <v>53</v>
      </c>
      <c r="H178">
        <v>26</v>
      </c>
      <c r="I178">
        <v>134</v>
      </c>
      <c r="J178">
        <v>13</v>
      </c>
      <c r="K178">
        <v>16</v>
      </c>
      <c r="L178">
        <v>10</v>
      </c>
      <c r="M178">
        <v>12</v>
      </c>
      <c r="N178">
        <v>36</v>
      </c>
      <c r="O178">
        <v>38</v>
      </c>
      <c r="P178">
        <v>10</v>
      </c>
      <c r="Q178">
        <v>4</v>
      </c>
    </row>
    <row r="179" spans="1:17" x14ac:dyDescent="0.45">
      <c r="A179" t="s">
        <v>59</v>
      </c>
      <c r="B179" t="s">
        <v>21</v>
      </c>
      <c r="C179">
        <v>7</v>
      </c>
      <c r="D179">
        <v>500</v>
      </c>
      <c r="E179">
        <v>26</v>
      </c>
      <c r="F179">
        <v>25</v>
      </c>
      <c r="G179">
        <v>47</v>
      </c>
      <c r="H179">
        <v>46</v>
      </c>
      <c r="I179">
        <v>184</v>
      </c>
      <c r="J179">
        <v>19</v>
      </c>
      <c r="K179">
        <v>9</v>
      </c>
      <c r="L179">
        <v>9</v>
      </c>
      <c r="M179">
        <v>17</v>
      </c>
      <c r="N179">
        <v>38</v>
      </c>
      <c r="O179">
        <v>44</v>
      </c>
      <c r="P179">
        <v>15</v>
      </c>
      <c r="Q179">
        <v>5</v>
      </c>
    </row>
    <row r="180" spans="1:17" x14ac:dyDescent="0.45">
      <c r="A180" t="s">
        <v>59</v>
      </c>
      <c r="B180" t="s">
        <v>20</v>
      </c>
      <c r="C180">
        <v>8</v>
      </c>
      <c r="D180">
        <v>329</v>
      </c>
      <c r="E180">
        <v>14</v>
      </c>
      <c r="F180">
        <v>24</v>
      </c>
      <c r="G180">
        <v>39</v>
      </c>
      <c r="H180">
        <v>18</v>
      </c>
      <c r="I180">
        <v>132</v>
      </c>
      <c r="J180">
        <v>14</v>
      </c>
      <c r="K180">
        <v>7</v>
      </c>
      <c r="L180">
        <v>12</v>
      </c>
      <c r="M180">
        <v>30</v>
      </c>
      <c r="N180">
        <v>22</v>
      </c>
      <c r="O180">
        <v>12</v>
      </c>
      <c r="P180">
        <v>5</v>
      </c>
      <c r="Q180">
        <v>0</v>
      </c>
    </row>
    <row r="181" spans="1:17" x14ac:dyDescent="0.45">
      <c r="A181" t="s">
        <v>59</v>
      </c>
      <c r="B181" t="s">
        <v>21</v>
      </c>
      <c r="C181">
        <v>8</v>
      </c>
      <c r="D181">
        <v>380</v>
      </c>
      <c r="E181">
        <v>15</v>
      </c>
      <c r="F181">
        <v>15</v>
      </c>
      <c r="G181">
        <v>60</v>
      </c>
      <c r="H181">
        <v>11</v>
      </c>
      <c r="I181">
        <v>141</v>
      </c>
      <c r="J181">
        <v>11</v>
      </c>
      <c r="K181">
        <v>16</v>
      </c>
      <c r="L181">
        <v>10</v>
      </c>
      <c r="M181">
        <v>25</v>
      </c>
      <c r="N181">
        <v>16</v>
      </c>
      <c r="O181">
        <v>22</v>
      </c>
      <c r="P181">
        <v>8</v>
      </c>
      <c r="Q181">
        <v>10</v>
      </c>
    </row>
    <row r="182" spans="1:17" x14ac:dyDescent="0.45">
      <c r="A182" t="s">
        <v>59</v>
      </c>
      <c r="B182" t="s">
        <v>20</v>
      </c>
      <c r="C182">
        <v>9</v>
      </c>
      <c r="D182">
        <v>350</v>
      </c>
      <c r="E182">
        <v>12</v>
      </c>
      <c r="F182">
        <v>26</v>
      </c>
      <c r="G182">
        <v>34</v>
      </c>
      <c r="H182">
        <v>14</v>
      </c>
      <c r="I182">
        <v>150</v>
      </c>
      <c r="J182">
        <v>11</v>
      </c>
      <c r="K182">
        <v>8</v>
      </c>
      <c r="L182">
        <v>3</v>
      </c>
      <c r="M182">
        <v>24</v>
      </c>
      <c r="N182">
        <v>6</v>
      </c>
      <c r="O182">
        <v>32</v>
      </c>
      <c r="P182">
        <v>5</v>
      </c>
      <c r="Q182">
        <v>0</v>
      </c>
    </row>
    <row r="183" spans="1:17" x14ac:dyDescent="0.45">
      <c r="A183" t="s">
        <v>59</v>
      </c>
      <c r="B183" t="s">
        <v>21</v>
      </c>
      <c r="C183">
        <v>9</v>
      </c>
      <c r="D183">
        <v>413</v>
      </c>
      <c r="E183">
        <v>33</v>
      </c>
      <c r="F183">
        <v>33</v>
      </c>
      <c r="G183">
        <v>68</v>
      </c>
      <c r="H183">
        <v>11</v>
      </c>
      <c r="I183">
        <v>133</v>
      </c>
      <c r="J183">
        <v>7</v>
      </c>
      <c r="K183">
        <v>2</v>
      </c>
      <c r="L183">
        <v>7</v>
      </c>
      <c r="M183">
        <v>31</v>
      </c>
      <c r="N183">
        <v>21</v>
      </c>
      <c r="O183">
        <v>18</v>
      </c>
      <c r="P183">
        <v>12</v>
      </c>
      <c r="Q183">
        <v>0</v>
      </c>
    </row>
    <row r="184" spans="1:17" x14ac:dyDescent="0.45">
      <c r="A184" t="s">
        <v>59</v>
      </c>
      <c r="B184" t="s">
        <v>20</v>
      </c>
      <c r="C184">
        <v>10</v>
      </c>
      <c r="D184">
        <v>475</v>
      </c>
      <c r="E184">
        <v>26</v>
      </c>
      <c r="F184">
        <v>41</v>
      </c>
      <c r="G184">
        <v>46</v>
      </c>
      <c r="H184">
        <v>61</v>
      </c>
      <c r="I184">
        <v>205</v>
      </c>
      <c r="J184">
        <v>27</v>
      </c>
      <c r="K184">
        <v>31</v>
      </c>
      <c r="L184">
        <v>29</v>
      </c>
      <c r="M184">
        <v>28</v>
      </c>
      <c r="N184">
        <v>26</v>
      </c>
      <c r="O184">
        <v>39</v>
      </c>
      <c r="P184">
        <v>14</v>
      </c>
      <c r="Q184">
        <v>0</v>
      </c>
    </row>
    <row r="185" spans="1:17" x14ac:dyDescent="0.45">
      <c r="A185" t="s">
        <v>59</v>
      </c>
      <c r="B185" t="s">
        <v>21</v>
      </c>
      <c r="C185">
        <v>10</v>
      </c>
      <c r="D185">
        <v>597</v>
      </c>
      <c r="E185">
        <v>48</v>
      </c>
      <c r="F185">
        <v>48</v>
      </c>
      <c r="G185">
        <v>108</v>
      </c>
      <c r="H185">
        <v>56</v>
      </c>
      <c r="I185">
        <v>186</v>
      </c>
      <c r="J185">
        <v>32</v>
      </c>
      <c r="K185">
        <v>40</v>
      </c>
      <c r="L185">
        <v>31</v>
      </c>
      <c r="M185">
        <v>28</v>
      </c>
      <c r="N185">
        <v>60</v>
      </c>
      <c r="O185">
        <v>53</v>
      </c>
      <c r="P185">
        <v>15</v>
      </c>
      <c r="Q185">
        <v>2</v>
      </c>
    </row>
    <row r="186" spans="1:17" x14ac:dyDescent="0.45">
      <c r="A186" t="s">
        <v>59</v>
      </c>
      <c r="B186" t="s">
        <v>20</v>
      </c>
      <c r="C186">
        <v>11</v>
      </c>
      <c r="D186">
        <v>357</v>
      </c>
      <c r="E186">
        <v>25</v>
      </c>
      <c r="F186">
        <v>24</v>
      </c>
      <c r="G186">
        <v>45</v>
      </c>
      <c r="H186">
        <v>68</v>
      </c>
      <c r="I186">
        <v>165</v>
      </c>
      <c r="J186">
        <v>22</v>
      </c>
      <c r="K186">
        <v>21</v>
      </c>
      <c r="L186">
        <v>17</v>
      </c>
      <c r="M186">
        <v>22</v>
      </c>
      <c r="N186">
        <v>39</v>
      </c>
      <c r="O186">
        <v>44</v>
      </c>
      <c r="P186">
        <v>8</v>
      </c>
      <c r="Q186">
        <v>0</v>
      </c>
    </row>
    <row r="187" spans="1:17" x14ac:dyDescent="0.45">
      <c r="A187" t="s">
        <v>59</v>
      </c>
      <c r="B187" t="s">
        <v>21</v>
      </c>
      <c r="C187">
        <v>11</v>
      </c>
      <c r="D187">
        <v>470</v>
      </c>
      <c r="E187">
        <v>20</v>
      </c>
      <c r="F187">
        <v>26</v>
      </c>
      <c r="G187">
        <v>46</v>
      </c>
      <c r="H187">
        <v>39</v>
      </c>
      <c r="I187">
        <v>125</v>
      </c>
      <c r="J187">
        <v>12</v>
      </c>
      <c r="K187">
        <v>23</v>
      </c>
      <c r="L187">
        <v>11</v>
      </c>
      <c r="M187">
        <v>24</v>
      </c>
      <c r="N187">
        <v>27</v>
      </c>
      <c r="O187">
        <v>27</v>
      </c>
      <c r="P187">
        <v>10</v>
      </c>
      <c r="Q187">
        <v>0</v>
      </c>
    </row>
    <row r="188" spans="1:17" x14ac:dyDescent="0.45">
      <c r="A188" t="s">
        <v>44</v>
      </c>
      <c r="B188" t="s">
        <v>20</v>
      </c>
      <c r="C188">
        <v>1</v>
      </c>
      <c r="D188">
        <v>1050</v>
      </c>
      <c r="E188">
        <v>34</v>
      </c>
      <c r="F188">
        <v>27</v>
      </c>
      <c r="G188">
        <v>212</v>
      </c>
      <c r="H188">
        <v>18</v>
      </c>
      <c r="I188">
        <v>167</v>
      </c>
      <c r="J188">
        <v>29</v>
      </c>
      <c r="K188">
        <v>125</v>
      </c>
      <c r="L188">
        <v>17</v>
      </c>
      <c r="M188">
        <v>29</v>
      </c>
      <c r="N188">
        <v>40</v>
      </c>
      <c r="O188">
        <v>55</v>
      </c>
      <c r="P188">
        <v>18</v>
      </c>
      <c r="Q188">
        <v>5</v>
      </c>
    </row>
    <row r="189" spans="1:17" x14ac:dyDescent="0.45">
      <c r="A189" t="s">
        <v>44</v>
      </c>
      <c r="B189" t="s">
        <v>21</v>
      </c>
      <c r="C189">
        <v>1</v>
      </c>
      <c r="D189">
        <v>1247</v>
      </c>
      <c r="E189">
        <v>36</v>
      </c>
      <c r="F189">
        <v>34</v>
      </c>
      <c r="G189">
        <v>206</v>
      </c>
      <c r="H189">
        <v>9</v>
      </c>
      <c r="I189">
        <v>178</v>
      </c>
      <c r="J189">
        <v>22</v>
      </c>
      <c r="K189">
        <v>114</v>
      </c>
      <c r="L189">
        <v>29</v>
      </c>
      <c r="M189">
        <v>20</v>
      </c>
      <c r="N189">
        <v>60</v>
      </c>
      <c r="O189">
        <v>46</v>
      </c>
      <c r="P189">
        <v>25</v>
      </c>
      <c r="Q189">
        <v>8</v>
      </c>
    </row>
    <row r="190" spans="1:17" x14ac:dyDescent="0.45">
      <c r="A190" t="s">
        <v>44</v>
      </c>
      <c r="B190" t="s">
        <v>20</v>
      </c>
      <c r="C190">
        <v>2</v>
      </c>
      <c r="D190">
        <v>1072</v>
      </c>
      <c r="E190">
        <v>37</v>
      </c>
      <c r="F190">
        <v>36</v>
      </c>
      <c r="G190">
        <v>176</v>
      </c>
      <c r="H190">
        <v>49</v>
      </c>
      <c r="I190">
        <v>197</v>
      </c>
      <c r="J190">
        <v>20</v>
      </c>
      <c r="K190">
        <v>103</v>
      </c>
      <c r="L190">
        <v>17</v>
      </c>
      <c r="M190">
        <v>17</v>
      </c>
      <c r="N190">
        <v>43</v>
      </c>
      <c r="O190">
        <v>32</v>
      </c>
      <c r="P190">
        <v>18</v>
      </c>
      <c r="Q190">
        <v>13</v>
      </c>
    </row>
    <row r="191" spans="1:17" x14ac:dyDescent="0.45">
      <c r="A191" t="s">
        <v>44</v>
      </c>
      <c r="B191" t="s">
        <v>21</v>
      </c>
      <c r="C191">
        <v>2</v>
      </c>
      <c r="D191">
        <v>1298</v>
      </c>
      <c r="E191">
        <v>28</v>
      </c>
      <c r="F191">
        <v>20</v>
      </c>
      <c r="G191">
        <v>121</v>
      </c>
      <c r="H191">
        <v>66</v>
      </c>
      <c r="I191">
        <v>242</v>
      </c>
      <c r="J191">
        <v>26</v>
      </c>
      <c r="K191">
        <v>89</v>
      </c>
      <c r="L191">
        <v>20</v>
      </c>
      <c r="M191">
        <v>23</v>
      </c>
      <c r="N191">
        <v>56</v>
      </c>
      <c r="O191">
        <v>44</v>
      </c>
      <c r="P191">
        <v>18</v>
      </c>
      <c r="Q191">
        <v>19</v>
      </c>
    </row>
    <row r="192" spans="1:17" x14ac:dyDescent="0.45">
      <c r="A192" t="s">
        <v>44</v>
      </c>
      <c r="B192" t="s">
        <v>20</v>
      </c>
      <c r="C192">
        <v>3</v>
      </c>
      <c r="D192">
        <v>1338</v>
      </c>
      <c r="E192">
        <v>47</v>
      </c>
      <c r="F192">
        <v>74</v>
      </c>
      <c r="G192">
        <v>299</v>
      </c>
      <c r="H192">
        <v>25</v>
      </c>
      <c r="I192">
        <v>250</v>
      </c>
      <c r="J192">
        <v>48</v>
      </c>
      <c r="K192">
        <v>201</v>
      </c>
      <c r="L192">
        <v>37</v>
      </c>
      <c r="M192">
        <v>49</v>
      </c>
      <c r="N192">
        <v>160</v>
      </c>
      <c r="O192">
        <v>122</v>
      </c>
      <c r="P192">
        <v>90</v>
      </c>
      <c r="Q192">
        <v>7</v>
      </c>
    </row>
    <row r="193" spans="1:17" x14ac:dyDescent="0.45">
      <c r="A193" t="s">
        <v>44</v>
      </c>
      <c r="B193" t="s">
        <v>21</v>
      </c>
      <c r="C193">
        <v>3</v>
      </c>
      <c r="D193">
        <v>1630</v>
      </c>
      <c r="E193">
        <v>45</v>
      </c>
      <c r="F193">
        <v>67</v>
      </c>
      <c r="G193">
        <v>319</v>
      </c>
      <c r="H193">
        <v>30</v>
      </c>
      <c r="I193">
        <v>304</v>
      </c>
      <c r="J193">
        <v>41</v>
      </c>
      <c r="K193">
        <v>230</v>
      </c>
      <c r="L193">
        <v>64</v>
      </c>
      <c r="M193">
        <v>52</v>
      </c>
      <c r="N193">
        <v>246</v>
      </c>
      <c r="O193">
        <v>174</v>
      </c>
      <c r="P193">
        <v>158</v>
      </c>
      <c r="Q193">
        <v>13</v>
      </c>
    </row>
    <row r="194" spans="1:17" x14ac:dyDescent="0.45">
      <c r="A194" t="s">
        <v>44</v>
      </c>
      <c r="B194" t="s">
        <v>20</v>
      </c>
      <c r="C194">
        <v>4</v>
      </c>
      <c r="D194">
        <v>1334</v>
      </c>
      <c r="E194">
        <v>80</v>
      </c>
      <c r="F194">
        <v>89</v>
      </c>
      <c r="G194">
        <v>347</v>
      </c>
      <c r="H194">
        <v>57</v>
      </c>
      <c r="I194">
        <v>311</v>
      </c>
      <c r="J194">
        <v>59</v>
      </c>
      <c r="K194">
        <v>361</v>
      </c>
      <c r="L194">
        <v>128</v>
      </c>
      <c r="M194">
        <v>86</v>
      </c>
      <c r="N194">
        <v>359</v>
      </c>
      <c r="O194">
        <v>290</v>
      </c>
      <c r="P194">
        <v>270</v>
      </c>
      <c r="Q194">
        <v>23</v>
      </c>
    </row>
    <row r="195" spans="1:17" x14ac:dyDescent="0.45">
      <c r="A195" t="s">
        <v>44</v>
      </c>
      <c r="B195" t="s">
        <v>21</v>
      </c>
      <c r="C195">
        <v>4</v>
      </c>
      <c r="D195">
        <v>1563</v>
      </c>
      <c r="E195">
        <v>71</v>
      </c>
      <c r="F195">
        <v>78</v>
      </c>
      <c r="G195">
        <v>344</v>
      </c>
      <c r="H195">
        <v>59</v>
      </c>
      <c r="I195">
        <v>329</v>
      </c>
      <c r="J195">
        <v>56</v>
      </c>
      <c r="K195">
        <v>359</v>
      </c>
      <c r="L195">
        <v>111</v>
      </c>
      <c r="M195">
        <v>58</v>
      </c>
      <c r="N195">
        <v>283</v>
      </c>
      <c r="O195">
        <v>178</v>
      </c>
      <c r="P195">
        <v>177</v>
      </c>
      <c r="Q195">
        <v>7</v>
      </c>
    </row>
    <row r="196" spans="1:17" x14ac:dyDescent="0.45">
      <c r="A196" t="s">
        <v>44</v>
      </c>
      <c r="B196" t="s">
        <v>20</v>
      </c>
      <c r="C196">
        <v>5</v>
      </c>
      <c r="D196">
        <v>1110</v>
      </c>
      <c r="E196">
        <v>76</v>
      </c>
      <c r="F196">
        <v>94</v>
      </c>
      <c r="G196">
        <v>221</v>
      </c>
      <c r="H196">
        <v>47</v>
      </c>
      <c r="I196">
        <v>311</v>
      </c>
      <c r="J196">
        <v>49</v>
      </c>
      <c r="K196">
        <v>208</v>
      </c>
      <c r="L196">
        <v>78</v>
      </c>
      <c r="M196">
        <v>49</v>
      </c>
      <c r="N196">
        <v>183</v>
      </c>
      <c r="O196">
        <v>159</v>
      </c>
      <c r="P196">
        <v>125</v>
      </c>
      <c r="Q196">
        <v>2</v>
      </c>
    </row>
    <row r="197" spans="1:17" x14ac:dyDescent="0.45">
      <c r="A197" t="s">
        <v>44</v>
      </c>
      <c r="B197" t="s">
        <v>21</v>
      </c>
      <c r="C197">
        <v>5</v>
      </c>
      <c r="D197">
        <v>1353</v>
      </c>
      <c r="E197">
        <v>88</v>
      </c>
      <c r="F197">
        <v>53</v>
      </c>
      <c r="G197">
        <v>328</v>
      </c>
      <c r="H197">
        <v>77</v>
      </c>
      <c r="I197">
        <v>347</v>
      </c>
      <c r="J197">
        <v>56</v>
      </c>
      <c r="K197">
        <v>196</v>
      </c>
      <c r="L197">
        <v>87</v>
      </c>
      <c r="M197">
        <v>39</v>
      </c>
      <c r="N197">
        <v>275</v>
      </c>
      <c r="O197">
        <v>222</v>
      </c>
      <c r="P197">
        <v>167</v>
      </c>
      <c r="Q197">
        <v>11</v>
      </c>
    </row>
    <row r="198" spans="1:17" x14ac:dyDescent="0.45">
      <c r="A198" t="s">
        <v>44</v>
      </c>
      <c r="B198" t="s">
        <v>20</v>
      </c>
      <c r="C198">
        <v>6</v>
      </c>
      <c r="D198">
        <v>1453</v>
      </c>
      <c r="E198">
        <v>50</v>
      </c>
      <c r="F198">
        <v>82</v>
      </c>
      <c r="G198">
        <v>251</v>
      </c>
      <c r="H198">
        <v>36</v>
      </c>
      <c r="I198">
        <v>381</v>
      </c>
      <c r="J198">
        <v>42</v>
      </c>
      <c r="K198">
        <v>115</v>
      </c>
      <c r="L198">
        <v>67</v>
      </c>
      <c r="M198">
        <v>32</v>
      </c>
      <c r="N198">
        <v>125</v>
      </c>
      <c r="O198">
        <v>111</v>
      </c>
      <c r="P198">
        <v>77</v>
      </c>
      <c r="Q198">
        <v>5</v>
      </c>
    </row>
    <row r="199" spans="1:17" x14ac:dyDescent="0.45">
      <c r="A199" t="s">
        <v>44</v>
      </c>
      <c r="B199" t="s">
        <v>21</v>
      </c>
      <c r="C199">
        <v>6</v>
      </c>
      <c r="D199">
        <v>1492</v>
      </c>
      <c r="E199">
        <v>99</v>
      </c>
      <c r="F199">
        <v>70</v>
      </c>
      <c r="G199">
        <v>243</v>
      </c>
      <c r="H199">
        <v>48</v>
      </c>
      <c r="I199">
        <v>466</v>
      </c>
      <c r="J199">
        <v>50</v>
      </c>
      <c r="K199">
        <v>167</v>
      </c>
      <c r="L199">
        <v>79</v>
      </c>
      <c r="M199">
        <v>59</v>
      </c>
      <c r="N199">
        <v>105</v>
      </c>
      <c r="O199">
        <v>125</v>
      </c>
      <c r="P199">
        <v>66</v>
      </c>
      <c r="Q199">
        <v>1</v>
      </c>
    </row>
    <row r="200" spans="1:17" x14ac:dyDescent="0.45">
      <c r="A200" t="s">
        <v>44</v>
      </c>
      <c r="B200" t="s">
        <v>20</v>
      </c>
      <c r="C200">
        <v>7</v>
      </c>
      <c r="D200">
        <v>1292</v>
      </c>
      <c r="E200">
        <v>58</v>
      </c>
      <c r="F200">
        <v>87</v>
      </c>
      <c r="G200">
        <v>136</v>
      </c>
      <c r="H200">
        <v>49</v>
      </c>
      <c r="I200">
        <v>375</v>
      </c>
      <c r="J200">
        <v>25</v>
      </c>
      <c r="K200">
        <v>65</v>
      </c>
      <c r="L200">
        <v>28</v>
      </c>
      <c r="M200">
        <v>53</v>
      </c>
      <c r="N200">
        <v>39</v>
      </c>
      <c r="O200">
        <v>52</v>
      </c>
      <c r="P200">
        <v>22</v>
      </c>
      <c r="Q200">
        <v>1</v>
      </c>
    </row>
    <row r="201" spans="1:17" x14ac:dyDescent="0.45">
      <c r="A201" t="s">
        <v>44</v>
      </c>
      <c r="B201" t="s">
        <v>21</v>
      </c>
      <c r="C201">
        <v>7</v>
      </c>
      <c r="D201">
        <v>1545</v>
      </c>
      <c r="E201">
        <v>62</v>
      </c>
      <c r="F201">
        <v>71</v>
      </c>
      <c r="G201">
        <v>137</v>
      </c>
      <c r="H201">
        <v>73</v>
      </c>
      <c r="I201">
        <v>473</v>
      </c>
      <c r="J201">
        <v>36</v>
      </c>
      <c r="K201">
        <v>74</v>
      </c>
      <c r="L201">
        <v>41</v>
      </c>
      <c r="M201">
        <v>51</v>
      </c>
      <c r="N201">
        <v>52</v>
      </c>
      <c r="O201">
        <v>46</v>
      </c>
      <c r="P201">
        <v>24</v>
      </c>
      <c r="Q201">
        <v>0</v>
      </c>
    </row>
    <row r="202" spans="1:17" x14ac:dyDescent="0.45">
      <c r="A202" t="s">
        <v>44</v>
      </c>
      <c r="B202" t="s">
        <v>20</v>
      </c>
      <c r="C202">
        <v>8</v>
      </c>
      <c r="D202">
        <v>1134</v>
      </c>
      <c r="E202">
        <v>44</v>
      </c>
      <c r="F202">
        <v>45</v>
      </c>
      <c r="G202">
        <v>101</v>
      </c>
      <c r="H202">
        <v>35</v>
      </c>
      <c r="I202">
        <v>359</v>
      </c>
      <c r="J202">
        <v>28</v>
      </c>
      <c r="K202">
        <v>29</v>
      </c>
      <c r="L202">
        <v>15</v>
      </c>
      <c r="M202">
        <v>54</v>
      </c>
      <c r="N202">
        <v>12</v>
      </c>
      <c r="O202">
        <v>34</v>
      </c>
      <c r="P202">
        <v>11</v>
      </c>
      <c r="Q202">
        <v>0</v>
      </c>
    </row>
    <row r="203" spans="1:17" x14ac:dyDescent="0.45">
      <c r="A203" t="s">
        <v>44</v>
      </c>
      <c r="B203" t="s">
        <v>21</v>
      </c>
      <c r="C203">
        <v>8</v>
      </c>
      <c r="D203">
        <v>1242</v>
      </c>
      <c r="E203">
        <v>21</v>
      </c>
      <c r="F203">
        <v>46</v>
      </c>
      <c r="G203">
        <v>108</v>
      </c>
      <c r="H203">
        <v>12</v>
      </c>
      <c r="I203">
        <v>385</v>
      </c>
      <c r="J203">
        <v>46</v>
      </c>
      <c r="K203">
        <v>32</v>
      </c>
      <c r="L203">
        <v>27</v>
      </c>
      <c r="M203">
        <v>24</v>
      </c>
      <c r="N203">
        <v>11</v>
      </c>
      <c r="O203">
        <v>20</v>
      </c>
      <c r="P203">
        <v>10</v>
      </c>
      <c r="Q203">
        <v>0</v>
      </c>
    </row>
    <row r="204" spans="1:17" x14ac:dyDescent="0.45">
      <c r="A204" t="s">
        <v>44</v>
      </c>
      <c r="B204" t="s">
        <v>20</v>
      </c>
      <c r="C204">
        <v>9</v>
      </c>
      <c r="D204">
        <v>1274</v>
      </c>
      <c r="E204">
        <v>46</v>
      </c>
      <c r="F204">
        <v>60</v>
      </c>
      <c r="G204">
        <v>89</v>
      </c>
      <c r="H204">
        <v>44</v>
      </c>
      <c r="I204">
        <v>397</v>
      </c>
      <c r="J204">
        <v>29</v>
      </c>
      <c r="K204">
        <v>52</v>
      </c>
      <c r="L204">
        <v>17</v>
      </c>
      <c r="M204">
        <v>53</v>
      </c>
      <c r="N204">
        <v>14</v>
      </c>
      <c r="O204">
        <v>19</v>
      </c>
      <c r="P204">
        <v>5</v>
      </c>
      <c r="Q204">
        <v>0</v>
      </c>
    </row>
    <row r="205" spans="1:17" x14ac:dyDescent="0.45">
      <c r="A205" t="s">
        <v>44</v>
      </c>
      <c r="B205" t="s">
        <v>21</v>
      </c>
      <c r="C205">
        <v>9</v>
      </c>
      <c r="D205">
        <v>1516</v>
      </c>
      <c r="E205">
        <v>53</v>
      </c>
      <c r="F205">
        <v>81</v>
      </c>
      <c r="G205">
        <v>136</v>
      </c>
      <c r="H205">
        <v>15</v>
      </c>
      <c r="I205">
        <v>370</v>
      </c>
      <c r="J205">
        <v>22</v>
      </c>
      <c r="K205">
        <v>30</v>
      </c>
      <c r="L205">
        <v>17</v>
      </c>
      <c r="M205">
        <v>41</v>
      </c>
      <c r="N205">
        <v>32</v>
      </c>
      <c r="O205">
        <v>43</v>
      </c>
      <c r="P205">
        <v>6</v>
      </c>
      <c r="Q205">
        <v>0</v>
      </c>
    </row>
    <row r="206" spans="1:17" x14ac:dyDescent="0.45">
      <c r="A206" t="s">
        <v>44</v>
      </c>
      <c r="B206" t="s">
        <v>20</v>
      </c>
      <c r="C206">
        <v>10</v>
      </c>
      <c r="D206">
        <v>1606</v>
      </c>
      <c r="E206">
        <v>86</v>
      </c>
      <c r="F206">
        <v>76</v>
      </c>
      <c r="G206">
        <v>126</v>
      </c>
      <c r="H206">
        <v>124</v>
      </c>
      <c r="I206">
        <v>504</v>
      </c>
      <c r="J206">
        <v>58</v>
      </c>
      <c r="K206">
        <v>47</v>
      </c>
      <c r="L206">
        <v>20</v>
      </c>
      <c r="M206">
        <v>58</v>
      </c>
      <c r="N206">
        <v>32</v>
      </c>
      <c r="O206">
        <v>44</v>
      </c>
      <c r="P206">
        <v>11</v>
      </c>
      <c r="Q206">
        <v>4</v>
      </c>
    </row>
    <row r="207" spans="1:17" x14ac:dyDescent="0.45">
      <c r="A207" t="s">
        <v>44</v>
      </c>
      <c r="B207" t="s">
        <v>21</v>
      </c>
      <c r="C207">
        <v>10</v>
      </c>
      <c r="D207">
        <v>1839</v>
      </c>
      <c r="E207">
        <v>103</v>
      </c>
      <c r="F207">
        <v>114</v>
      </c>
      <c r="G207">
        <v>268</v>
      </c>
      <c r="H207">
        <v>18</v>
      </c>
      <c r="I207">
        <v>444</v>
      </c>
      <c r="J207">
        <v>68</v>
      </c>
      <c r="K207">
        <v>88</v>
      </c>
      <c r="L207">
        <v>58</v>
      </c>
      <c r="M207">
        <v>67</v>
      </c>
      <c r="N207">
        <v>58</v>
      </c>
      <c r="O207">
        <v>65</v>
      </c>
      <c r="P207">
        <v>23</v>
      </c>
      <c r="Q207">
        <v>1</v>
      </c>
    </row>
    <row r="208" spans="1:17" x14ac:dyDescent="0.45">
      <c r="A208" t="s">
        <v>44</v>
      </c>
      <c r="B208" t="s">
        <v>20</v>
      </c>
      <c r="C208">
        <v>11</v>
      </c>
      <c r="D208">
        <v>1478</v>
      </c>
      <c r="E208">
        <v>84</v>
      </c>
      <c r="F208">
        <v>71</v>
      </c>
      <c r="G208">
        <v>254</v>
      </c>
      <c r="H208">
        <v>86</v>
      </c>
      <c r="I208">
        <v>452</v>
      </c>
      <c r="J208">
        <v>49</v>
      </c>
      <c r="K208">
        <v>91</v>
      </c>
      <c r="L208">
        <v>57</v>
      </c>
      <c r="M208">
        <v>54</v>
      </c>
      <c r="N208">
        <v>54</v>
      </c>
      <c r="O208">
        <v>70</v>
      </c>
      <c r="P208">
        <v>37</v>
      </c>
      <c r="Q208">
        <v>2</v>
      </c>
    </row>
    <row r="209" spans="1:17" x14ac:dyDescent="0.45">
      <c r="A209" t="s">
        <v>44</v>
      </c>
      <c r="B209" t="s">
        <v>21</v>
      </c>
      <c r="C209">
        <v>11</v>
      </c>
      <c r="D209">
        <v>1572</v>
      </c>
      <c r="E209">
        <v>62</v>
      </c>
      <c r="F209">
        <v>85</v>
      </c>
      <c r="G209">
        <v>238</v>
      </c>
      <c r="H209">
        <v>73</v>
      </c>
      <c r="I209">
        <v>332</v>
      </c>
      <c r="J209">
        <v>52</v>
      </c>
      <c r="K209">
        <v>87</v>
      </c>
      <c r="L209">
        <v>27</v>
      </c>
      <c r="M209">
        <v>37</v>
      </c>
      <c r="N209">
        <v>56</v>
      </c>
      <c r="O209">
        <v>116</v>
      </c>
      <c r="P209">
        <v>20</v>
      </c>
      <c r="Q209">
        <v>3</v>
      </c>
    </row>
    <row r="210" spans="1:17" x14ac:dyDescent="0.45">
      <c r="A210" t="s">
        <v>44</v>
      </c>
      <c r="B210" t="s">
        <v>20</v>
      </c>
      <c r="C210">
        <v>12</v>
      </c>
      <c r="D210">
        <v>1472</v>
      </c>
      <c r="E210">
        <v>56</v>
      </c>
      <c r="F210">
        <v>74</v>
      </c>
      <c r="G210">
        <v>336</v>
      </c>
      <c r="H210">
        <v>65</v>
      </c>
      <c r="I210">
        <v>332</v>
      </c>
      <c r="J210">
        <v>45</v>
      </c>
      <c r="K210">
        <v>123</v>
      </c>
      <c r="L210">
        <v>39</v>
      </c>
      <c r="M210">
        <v>37</v>
      </c>
      <c r="N210">
        <v>83</v>
      </c>
      <c r="O210">
        <v>61</v>
      </c>
      <c r="P210">
        <v>27</v>
      </c>
      <c r="Q210">
        <v>1</v>
      </c>
    </row>
    <row r="211" spans="1:17" x14ac:dyDescent="0.45">
      <c r="A211" t="s">
        <v>44</v>
      </c>
      <c r="B211" t="s">
        <v>21</v>
      </c>
      <c r="C211">
        <v>12</v>
      </c>
      <c r="D211">
        <v>1598</v>
      </c>
      <c r="E211">
        <v>66</v>
      </c>
      <c r="F211">
        <v>80</v>
      </c>
      <c r="G211">
        <v>301</v>
      </c>
      <c r="H211">
        <v>35</v>
      </c>
      <c r="I211">
        <v>312</v>
      </c>
      <c r="J211">
        <v>46</v>
      </c>
      <c r="K211">
        <v>138</v>
      </c>
      <c r="L211">
        <v>40</v>
      </c>
      <c r="M211">
        <v>38</v>
      </c>
      <c r="N211">
        <v>68</v>
      </c>
      <c r="O211">
        <v>63</v>
      </c>
      <c r="P211">
        <v>25</v>
      </c>
      <c r="Q211">
        <v>1</v>
      </c>
    </row>
    <row r="212" spans="1:17" x14ac:dyDescent="0.45">
      <c r="A212" t="s">
        <v>41</v>
      </c>
      <c r="B212" t="s">
        <v>20</v>
      </c>
      <c r="C212">
        <v>1</v>
      </c>
      <c r="D212">
        <v>1212</v>
      </c>
      <c r="E212">
        <v>79</v>
      </c>
      <c r="F212">
        <v>29</v>
      </c>
      <c r="G212">
        <v>116</v>
      </c>
      <c r="H212">
        <v>30</v>
      </c>
      <c r="I212">
        <v>160</v>
      </c>
      <c r="J212">
        <v>41</v>
      </c>
      <c r="K212">
        <v>133</v>
      </c>
      <c r="L212">
        <v>43</v>
      </c>
      <c r="M212">
        <v>36</v>
      </c>
      <c r="N212">
        <v>51</v>
      </c>
      <c r="O212">
        <v>50</v>
      </c>
      <c r="P212">
        <v>21</v>
      </c>
      <c r="Q212">
        <v>7</v>
      </c>
    </row>
    <row r="213" spans="1:17" x14ac:dyDescent="0.45">
      <c r="A213" t="s">
        <v>41</v>
      </c>
      <c r="B213" t="s">
        <v>21</v>
      </c>
      <c r="C213">
        <v>1</v>
      </c>
      <c r="D213">
        <v>1444</v>
      </c>
      <c r="E213">
        <v>99</v>
      </c>
      <c r="F213">
        <v>34</v>
      </c>
      <c r="G213">
        <v>144</v>
      </c>
      <c r="H213">
        <v>10</v>
      </c>
      <c r="I213">
        <v>178</v>
      </c>
      <c r="J213">
        <v>33</v>
      </c>
      <c r="K213">
        <v>115</v>
      </c>
      <c r="L213">
        <v>56</v>
      </c>
      <c r="M213">
        <v>40</v>
      </c>
      <c r="N213">
        <v>23</v>
      </c>
      <c r="O213">
        <v>46</v>
      </c>
      <c r="P213">
        <v>19</v>
      </c>
      <c r="Q213">
        <v>6</v>
      </c>
    </row>
    <row r="214" spans="1:17" x14ac:dyDescent="0.45">
      <c r="A214" t="s">
        <v>41</v>
      </c>
      <c r="B214" t="s">
        <v>20</v>
      </c>
      <c r="C214">
        <v>2</v>
      </c>
      <c r="D214">
        <v>1304</v>
      </c>
      <c r="E214">
        <v>78</v>
      </c>
      <c r="F214">
        <v>49</v>
      </c>
      <c r="G214">
        <v>84</v>
      </c>
      <c r="H214">
        <v>60</v>
      </c>
      <c r="I214">
        <v>186</v>
      </c>
      <c r="J214">
        <v>22</v>
      </c>
      <c r="K214">
        <v>108</v>
      </c>
      <c r="L214">
        <v>39</v>
      </c>
      <c r="M214">
        <v>38</v>
      </c>
      <c r="N214">
        <v>42</v>
      </c>
      <c r="O214">
        <v>36</v>
      </c>
      <c r="P214">
        <v>18</v>
      </c>
      <c r="Q214">
        <v>1</v>
      </c>
    </row>
    <row r="215" spans="1:17" x14ac:dyDescent="0.45">
      <c r="A215" t="s">
        <v>41</v>
      </c>
      <c r="B215" t="s">
        <v>21</v>
      </c>
      <c r="C215">
        <v>2</v>
      </c>
      <c r="D215">
        <v>1557</v>
      </c>
      <c r="E215">
        <v>54</v>
      </c>
      <c r="F215">
        <v>12</v>
      </c>
      <c r="G215">
        <v>57</v>
      </c>
      <c r="H215">
        <v>71</v>
      </c>
      <c r="I215">
        <v>224</v>
      </c>
      <c r="J215">
        <v>21</v>
      </c>
      <c r="K215">
        <v>111</v>
      </c>
      <c r="L215">
        <v>29</v>
      </c>
      <c r="M215">
        <v>9</v>
      </c>
      <c r="N215">
        <v>35</v>
      </c>
      <c r="O215">
        <v>48</v>
      </c>
      <c r="P215">
        <v>10</v>
      </c>
      <c r="Q215">
        <v>2</v>
      </c>
    </row>
    <row r="216" spans="1:17" x14ac:dyDescent="0.45">
      <c r="A216" t="s">
        <v>41</v>
      </c>
      <c r="B216" t="s">
        <v>20</v>
      </c>
      <c r="C216">
        <v>3</v>
      </c>
      <c r="D216">
        <v>1537</v>
      </c>
      <c r="E216">
        <v>85</v>
      </c>
      <c r="F216">
        <v>43</v>
      </c>
      <c r="G216">
        <v>18</v>
      </c>
      <c r="H216">
        <v>27</v>
      </c>
      <c r="I216">
        <v>179</v>
      </c>
      <c r="J216">
        <v>35</v>
      </c>
      <c r="K216">
        <v>168</v>
      </c>
      <c r="L216">
        <v>71</v>
      </c>
      <c r="M216">
        <v>37</v>
      </c>
      <c r="N216">
        <v>153</v>
      </c>
      <c r="O216">
        <v>76</v>
      </c>
      <c r="P216">
        <v>109</v>
      </c>
      <c r="Q216">
        <v>7</v>
      </c>
    </row>
    <row r="217" spans="1:17" x14ac:dyDescent="0.45">
      <c r="A217" t="s">
        <v>41</v>
      </c>
      <c r="B217" t="s">
        <v>21</v>
      </c>
      <c r="C217">
        <v>3</v>
      </c>
      <c r="D217">
        <v>1779</v>
      </c>
      <c r="E217">
        <v>106</v>
      </c>
      <c r="F217">
        <v>74</v>
      </c>
      <c r="G217">
        <v>189</v>
      </c>
      <c r="H217">
        <v>20</v>
      </c>
      <c r="I217">
        <v>216</v>
      </c>
      <c r="J217">
        <v>52</v>
      </c>
      <c r="K217">
        <v>273</v>
      </c>
      <c r="L217">
        <v>69</v>
      </c>
      <c r="M217">
        <v>32</v>
      </c>
      <c r="N217">
        <v>276</v>
      </c>
      <c r="O217">
        <v>142</v>
      </c>
      <c r="P217">
        <v>176</v>
      </c>
      <c r="Q217">
        <v>5</v>
      </c>
    </row>
    <row r="218" spans="1:17" x14ac:dyDescent="0.45">
      <c r="A218" t="s">
        <v>41</v>
      </c>
      <c r="B218" t="s">
        <v>20</v>
      </c>
      <c r="C218">
        <v>4</v>
      </c>
      <c r="D218">
        <v>1401</v>
      </c>
      <c r="E218">
        <v>149</v>
      </c>
      <c r="F218">
        <v>62</v>
      </c>
      <c r="G218">
        <v>226</v>
      </c>
      <c r="H218">
        <v>53</v>
      </c>
      <c r="I218">
        <v>285</v>
      </c>
      <c r="J218">
        <v>89</v>
      </c>
      <c r="K218">
        <v>528</v>
      </c>
      <c r="L218">
        <v>175</v>
      </c>
      <c r="M218">
        <v>82</v>
      </c>
      <c r="N218">
        <v>428</v>
      </c>
      <c r="O218">
        <v>320</v>
      </c>
      <c r="P218">
        <v>226</v>
      </c>
      <c r="Q218">
        <v>12</v>
      </c>
    </row>
    <row r="219" spans="1:17" x14ac:dyDescent="0.45">
      <c r="A219" t="s">
        <v>41</v>
      </c>
      <c r="B219" t="s">
        <v>21</v>
      </c>
      <c r="C219">
        <v>4</v>
      </c>
      <c r="D219">
        <v>1796</v>
      </c>
      <c r="E219">
        <v>157</v>
      </c>
      <c r="F219">
        <v>70</v>
      </c>
      <c r="G219">
        <v>231</v>
      </c>
      <c r="H219">
        <v>72</v>
      </c>
      <c r="I219">
        <v>342</v>
      </c>
      <c r="J219">
        <v>106</v>
      </c>
      <c r="K219">
        <v>475</v>
      </c>
      <c r="L219">
        <v>172</v>
      </c>
      <c r="M219">
        <v>66</v>
      </c>
      <c r="N219">
        <v>279</v>
      </c>
      <c r="O219">
        <v>206</v>
      </c>
      <c r="P219">
        <v>194</v>
      </c>
      <c r="Q219">
        <v>4</v>
      </c>
    </row>
    <row r="220" spans="1:17" x14ac:dyDescent="0.45">
      <c r="A220" t="s">
        <v>41</v>
      </c>
      <c r="B220" t="s">
        <v>20</v>
      </c>
      <c r="C220">
        <v>5</v>
      </c>
      <c r="D220">
        <v>1208</v>
      </c>
      <c r="E220">
        <v>140</v>
      </c>
      <c r="F220">
        <v>66</v>
      </c>
      <c r="G220">
        <v>163</v>
      </c>
      <c r="H220">
        <v>77</v>
      </c>
      <c r="I220">
        <v>264</v>
      </c>
      <c r="J220">
        <v>50</v>
      </c>
      <c r="K220">
        <v>238</v>
      </c>
      <c r="L220">
        <v>104</v>
      </c>
      <c r="M220">
        <v>54</v>
      </c>
      <c r="N220">
        <v>194</v>
      </c>
      <c r="O220">
        <v>126</v>
      </c>
      <c r="P220">
        <v>86</v>
      </c>
      <c r="Q220">
        <v>5</v>
      </c>
    </row>
    <row r="221" spans="1:17" x14ac:dyDescent="0.45">
      <c r="A221" t="s">
        <v>41</v>
      </c>
      <c r="B221" t="s">
        <v>21</v>
      </c>
      <c r="C221">
        <v>5</v>
      </c>
      <c r="D221">
        <v>1599</v>
      </c>
      <c r="E221">
        <v>155</v>
      </c>
      <c r="F221">
        <v>83</v>
      </c>
      <c r="G221">
        <v>210</v>
      </c>
      <c r="H221">
        <v>76</v>
      </c>
      <c r="I221">
        <v>335</v>
      </c>
      <c r="J221">
        <v>82</v>
      </c>
      <c r="K221">
        <v>299</v>
      </c>
      <c r="L221">
        <v>129</v>
      </c>
      <c r="M221">
        <v>58</v>
      </c>
      <c r="N221">
        <v>238</v>
      </c>
      <c r="O221">
        <v>232</v>
      </c>
      <c r="P221">
        <v>117</v>
      </c>
      <c r="Q221">
        <v>1</v>
      </c>
    </row>
    <row r="222" spans="1:17" x14ac:dyDescent="0.45">
      <c r="A222" t="s">
        <v>41</v>
      </c>
      <c r="B222" t="s">
        <v>20</v>
      </c>
      <c r="C222">
        <v>6</v>
      </c>
      <c r="D222">
        <v>1494</v>
      </c>
      <c r="E222">
        <v>138</v>
      </c>
      <c r="F222">
        <v>83</v>
      </c>
      <c r="G222">
        <v>132</v>
      </c>
      <c r="H222">
        <v>75</v>
      </c>
      <c r="I222">
        <v>305</v>
      </c>
      <c r="J222">
        <v>60</v>
      </c>
      <c r="K222">
        <v>129</v>
      </c>
      <c r="L222">
        <v>647</v>
      </c>
      <c r="M222">
        <v>69</v>
      </c>
      <c r="N222">
        <v>126</v>
      </c>
      <c r="O222">
        <v>119</v>
      </c>
      <c r="P222">
        <v>49</v>
      </c>
      <c r="Q222">
        <v>8</v>
      </c>
    </row>
    <row r="223" spans="1:17" x14ac:dyDescent="0.45">
      <c r="A223" t="s">
        <v>41</v>
      </c>
      <c r="B223" t="s">
        <v>21</v>
      </c>
      <c r="C223">
        <v>6</v>
      </c>
      <c r="D223">
        <v>1688</v>
      </c>
      <c r="E223">
        <v>185</v>
      </c>
      <c r="F223">
        <v>69</v>
      </c>
      <c r="G223">
        <v>205</v>
      </c>
      <c r="H223">
        <v>77</v>
      </c>
      <c r="I223">
        <v>333</v>
      </c>
      <c r="J223">
        <v>53</v>
      </c>
      <c r="K223">
        <v>133</v>
      </c>
      <c r="L223">
        <v>81</v>
      </c>
      <c r="M223">
        <v>60</v>
      </c>
      <c r="N223">
        <v>120</v>
      </c>
      <c r="O223">
        <v>94</v>
      </c>
      <c r="P223">
        <v>51</v>
      </c>
      <c r="Q223">
        <v>1</v>
      </c>
    </row>
    <row r="224" spans="1:17" x14ac:dyDescent="0.45">
      <c r="A224" t="s">
        <v>41</v>
      </c>
      <c r="B224" t="s">
        <v>20</v>
      </c>
      <c r="C224">
        <v>7</v>
      </c>
      <c r="D224">
        <v>1257</v>
      </c>
      <c r="E224">
        <v>91</v>
      </c>
      <c r="F224">
        <v>110</v>
      </c>
      <c r="G224">
        <v>89</v>
      </c>
      <c r="H224">
        <v>43</v>
      </c>
      <c r="I224">
        <v>335</v>
      </c>
      <c r="J224">
        <v>30</v>
      </c>
      <c r="K224">
        <v>62</v>
      </c>
      <c r="L224">
        <v>36</v>
      </c>
      <c r="M224">
        <v>51</v>
      </c>
      <c r="N224">
        <v>37</v>
      </c>
      <c r="O224">
        <v>43</v>
      </c>
      <c r="P224">
        <v>10</v>
      </c>
      <c r="Q224">
        <v>0</v>
      </c>
    </row>
    <row r="225" spans="1:17" x14ac:dyDescent="0.45">
      <c r="A225" t="s">
        <v>41</v>
      </c>
      <c r="B225" t="s">
        <v>21</v>
      </c>
      <c r="C225">
        <v>7</v>
      </c>
      <c r="D225">
        <v>1545</v>
      </c>
      <c r="E225">
        <v>150</v>
      </c>
      <c r="F225">
        <v>70</v>
      </c>
      <c r="G225">
        <v>58</v>
      </c>
      <c r="H225">
        <v>69</v>
      </c>
      <c r="I225">
        <v>411</v>
      </c>
      <c r="J225">
        <v>41</v>
      </c>
      <c r="K225">
        <v>49</v>
      </c>
      <c r="L225">
        <v>40</v>
      </c>
      <c r="M225">
        <v>30</v>
      </c>
      <c r="N225">
        <v>34</v>
      </c>
      <c r="O225">
        <v>39</v>
      </c>
      <c r="P225">
        <v>10</v>
      </c>
      <c r="Q225">
        <v>0</v>
      </c>
    </row>
    <row r="226" spans="1:17" x14ac:dyDescent="0.45">
      <c r="A226" t="s">
        <v>41</v>
      </c>
      <c r="B226" t="s">
        <v>20</v>
      </c>
      <c r="C226">
        <v>8</v>
      </c>
      <c r="D226">
        <v>1265</v>
      </c>
      <c r="E226">
        <v>111</v>
      </c>
      <c r="F226">
        <v>71</v>
      </c>
      <c r="G226">
        <v>86</v>
      </c>
      <c r="H226">
        <v>24</v>
      </c>
      <c r="I226">
        <v>296</v>
      </c>
      <c r="J226">
        <v>33</v>
      </c>
      <c r="K226">
        <v>20</v>
      </c>
      <c r="L226">
        <v>19</v>
      </c>
      <c r="M226">
        <v>45</v>
      </c>
      <c r="N226">
        <v>27</v>
      </c>
      <c r="O226">
        <v>13</v>
      </c>
      <c r="P226">
        <v>2</v>
      </c>
      <c r="Q226">
        <v>0</v>
      </c>
    </row>
    <row r="227" spans="1:17" x14ac:dyDescent="0.45">
      <c r="A227" t="s">
        <v>41</v>
      </c>
      <c r="B227" t="s">
        <v>21</v>
      </c>
      <c r="C227">
        <v>8</v>
      </c>
      <c r="D227">
        <v>1480</v>
      </c>
      <c r="E227">
        <v>139</v>
      </c>
      <c r="F227">
        <v>62</v>
      </c>
      <c r="G227">
        <v>73</v>
      </c>
      <c r="H227">
        <v>15</v>
      </c>
      <c r="I227">
        <v>332</v>
      </c>
      <c r="J227">
        <v>37</v>
      </c>
      <c r="K227">
        <v>37</v>
      </c>
      <c r="L227">
        <v>41</v>
      </c>
      <c r="M227">
        <v>46</v>
      </c>
      <c r="N227">
        <v>33</v>
      </c>
      <c r="O227">
        <v>29</v>
      </c>
      <c r="P227">
        <v>6</v>
      </c>
      <c r="Q227">
        <v>0</v>
      </c>
    </row>
    <row r="228" spans="1:17" x14ac:dyDescent="0.45">
      <c r="A228" t="s">
        <v>41</v>
      </c>
      <c r="B228" t="s">
        <v>20</v>
      </c>
      <c r="C228">
        <v>9</v>
      </c>
      <c r="D228">
        <v>1405</v>
      </c>
      <c r="E228">
        <v>114</v>
      </c>
      <c r="F228">
        <v>78</v>
      </c>
      <c r="G228">
        <v>62</v>
      </c>
      <c r="H228">
        <v>53</v>
      </c>
      <c r="I228">
        <v>330</v>
      </c>
      <c r="J228">
        <v>40</v>
      </c>
      <c r="K228">
        <v>38</v>
      </c>
      <c r="L228">
        <v>32</v>
      </c>
      <c r="M228">
        <v>55</v>
      </c>
      <c r="N228">
        <v>28</v>
      </c>
      <c r="O228">
        <v>23</v>
      </c>
      <c r="P228">
        <v>3</v>
      </c>
      <c r="Q228">
        <v>0</v>
      </c>
    </row>
    <row r="229" spans="1:17" x14ac:dyDescent="0.45">
      <c r="A229" t="s">
        <v>41</v>
      </c>
      <c r="B229" t="s">
        <v>21</v>
      </c>
      <c r="C229">
        <v>9</v>
      </c>
      <c r="D229">
        <v>1601</v>
      </c>
      <c r="E229">
        <v>99</v>
      </c>
      <c r="F229">
        <v>42</v>
      </c>
      <c r="G229">
        <v>87</v>
      </c>
      <c r="H229">
        <v>19</v>
      </c>
      <c r="I229">
        <v>300</v>
      </c>
      <c r="J229">
        <v>26</v>
      </c>
      <c r="K229">
        <v>42</v>
      </c>
      <c r="L229">
        <v>25</v>
      </c>
      <c r="M229">
        <v>31</v>
      </c>
      <c r="N229">
        <v>20</v>
      </c>
      <c r="O229">
        <v>23</v>
      </c>
      <c r="P229">
        <v>7</v>
      </c>
      <c r="Q229">
        <v>0</v>
      </c>
    </row>
    <row r="230" spans="1:17" x14ac:dyDescent="0.45">
      <c r="A230" t="s">
        <v>41</v>
      </c>
      <c r="B230" t="s">
        <v>20</v>
      </c>
      <c r="C230">
        <v>10</v>
      </c>
      <c r="D230">
        <v>1812</v>
      </c>
      <c r="E230">
        <v>198</v>
      </c>
      <c r="F230">
        <v>95</v>
      </c>
      <c r="G230">
        <v>84</v>
      </c>
      <c r="H230">
        <v>91</v>
      </c>
      <c r="I230">
        <v>472</v>
      </c>
      <c r="J230">
        <v>72</v>
      </c>
      <c r="K230">
        <v>76</v>
      </c>
      <c r="L230">
        <v>64</v>
      </c>
      <c r="M230">
        <v>72</v>
      </c>
      <c r="N230">
        <v>43</v>
      </c>
      <c r="O230">
        <v>70</v>
      </c>
      <c r="P230">
        <v>21</v>
      </c>
      <c r="Q230">
        <v>0</v>
      </c>
    </row>
    <row r="231" spans="1:17" x14ac:dyDescent="0.45">
      <c r="A231" t="s">
        <v>41</v>
      </c>
      <c r="B231" t="s">
        <v>21</v>
      </c>
      <c r="C231">
        <v>10</v>
      </c>
      <c r="D231">
        <v>2117</v>
      </c>
      <c r="E231">
        <v>224</v>
      </c>
      <c r="F231">
        <v>140</v>
      </c>
      <c r="G231">
        <v>203</v>
      </c>
      <c r="H231">
        <v>39</v>
      </c>
      <c r="I231">
        <v>411</v>
      </c>
      <c r="J231">
        <v>75</v>
      </c>
      <c r="K231">
        <v>116</v>
      </c>
      <c r="L231">
        <v>83</v>
      </c>
      <c r="M231">
        <v>68</v>
      </c>
      <c r="N231">
        <v>47</v>
      </c>
      <c r="O231">
        <v>69</v>
      </c>
      <c r="P231">
        <v>13</v>
      </c>
      <c r="Q231">
        <v>0</v>
      </c>
    </row>
    <row r="232" spans="1:17" x14ac:dyDescent="0.45">
      <c r="A232" t="s">
        <v>41</v>
      </c>
      <c r="B232" t="s">
        <v>20</v>
      </c>
      <c r="C232">
        <v>11</v>
      </c>
      <c r="D232">
        <v>1664</v>
      </c>
      <c r="E232">
        <v>141</v>
      </c>
      <c r="F232">
        <v>90</v>
      </c>
      <c r="G232">
        <v>154</v>
      </c>
      <c r="H232">
        <v>83</v>
      </c>
      <c r="I232">
        <v>336</v>
      </c>
      <c r="J232">
        <v>77</v>
      </c>
      <c r="K232">
        <v>132</v>
      </c>
      <c r="L232">
        <v>67</v>
      </c>
      <c r="M232">
        <v>73</v>
      </c>
      <c r="N232">
        <v>71</v>
      </c>
      <c r="O232">
        <v>48</v>
      </c>
      <c r="P232">
        <v>23</v>
      </c>
      <c r="Q232">
        <v>2</v>
      </c>
    </row>
    <row r="233" spans="1:17" x14ac:dyDescent="0.45">
      <c r="A233" t="s">
        <v>41</v>
      </c>
      <c r="B233" t="s">
        <v>21</v>
      </c>
      <c r="C233">
        <v>11</v>
      </c>
      <c r="D233">
        <v>1903</v>
      </c>
      <c r="E233">
        <v>121</v>
      </c>
      <c r="F233">
        <v>55</v>
      </c>
      <c r="G233">
        <v>134</v>
      </c>
      <c r="H233">
        <v>89</v>
      </c>
      <c r="I233">
        <v>271</v>
      </c>
      <c r="J233">
        <v>49</v>
      </c>
      <c r="K233">
        <v>102</v>
      </c>
      <c r="L233">
        <v>42</v>
      </c>
      <c r="M233">
        <v>31</v>
      </c>
      <c r="N233">
        <v>47</v>
      </c>
      <c r="O233">
        <v>50</v>
      </c>
      <c r="P233">
        <v>19</v>
      </c>
      <c r="Q233">
        <v>0</v>
      </c>
    </row>
    <row r="234" spans="1:17" x14ac:dyDescent="0.45">
      <c r="A234" t="s">
        <v>41</v>
      </c>
      <c r="B234" t="s">
        <v>20</v>
      </c>
      <c r="C234">
        <v>12</v>
      </c>
      <c r="D234">
        <v>1705</v>
      </c>
      <c r="E234">
        <v>130</v>
      </c>
      <c r="F234">
        <v>77</v>
      </c>
      <c r="G234">
        <v>221</v>
      </c>
      <c r="H234">
        <v>81</v>
      </c>
      <c r="I234">
        <v>256</v>
      </c>
      <c r="J234">
        <v>55</v>
      </c>
      <c r="K234">
        <v>149</v>
      </c>
      <c r="L234">
        <v>62</v>
      </c>
      <c r="M234">
        <v>66</v>
      </c>
      <c r="N234">
        <v>75</v>
      </c>
      <c r="O234">
        <v>62</v>
      </c>
      <c r="P234">
        <v>30</v>
      </c>
      <c r="Q234">
        <v>2</v>
      </c>
    </row>
    <row r="235" spans="1:17" x14ac:dyDescent="0.45">
      <c r="A235" t="s">
        <v>41</v>
      </c>
      <c r="B235" t="s">
        <v>21</v>
      </c>
      <c r="C235">
        <v>12</v>
      </c>
      <c r="D235">
        <v>1949</v>
      </c>
      <c r="E235">
        <v>139</v>
      </c>
      <c r="F235">
        <v>69</v>
      </c>
      <c r="G235">
        <v>237</v>
      </c>
      <c r="H235">
        <v>71</v>
      </c>
      <c r="I235">
        <v>315</v>
      </c>
      <c r="J235">
        <v>57</v>
      </c>
      <c r="K235">
        <v>148</v>
      </c>
      <c r="L235">
        <v>55</v>
      </c>
      <c r="M235">
        <v>43</v>
      </c>
      <c r="N235">
        <v>63</v>
      </c>
      <c r="O235">
        <v>70</v>
      </c>
      <c r="P235">
        <v>22</v>
      </c>
      <c r="Q235">
        <v>4</v>
      </c>
    </row>
    <row r="236" spans="1:17" x14ac:dyDescent="0.45">
      <c r="A236" t="s">
        <v>81</v>
      </c>
      <c r="B236" t="s">
        <v>20</v>
      </c>
      <c r="C236">
        <v>1</v>
      </c>
      <c r="D236">
        <v>349</v>
      </c>
      <c r="E236">
        <v>5</v>
      </c>
      <c r="F236">
        <v>18</v>
      </c>
      <c r="G236">
        <v>80</v>
      </c>
      <c r="H236">
        <v>11</v>
      </c>
      <c r="I236">
        <v>53</v>
      </c>
      <c r="J236">
        <v>13</v>
      </c>
      <c r="K236">
        <v>42</v>
      </c>
      <c r="L236">
        <v>7</v>
      </c>
      <c r="M236">
        <v>13</v>
      </c>
      <c r="N236">
        <v>22</v>
      </c>
      <c r="O236">
        <v>21</v>
      </c>
      <c r="P236">
        <v>3</v>
      </c>
      <c r="Q236">
        <v>0</v>
      </c>
    </row>
    <row r="237" spans="1:17" x14ac:dyDescent="0.45">
      <c r="A237" t="s">
        <v>81</v>
      </c>
      <c r="B237" t="s">
        <v>21</v>
      </c>
      <c r="C237">
        <v>1</v>
      </c>
      <c r="D237">
        <v>369</v>
      </c>
      <c r="E237">
        <v>8</v>
      </c>
      <c r="F237">
        <v>15</v>
      </c>
      <c r="G237">
        <v>71</v>
      </c>
      <c r="H237">
        <v>9</v>
      </c>
      <c r="I237">
        <v>72</v>
      </c>
      <c r="J237">
        <v>20</v>
      </c>
      <c r="K237">
        <v>60</v>
      </c>
      <c r="L237">
        <v>15</v>
      </c>
      <c r="M237">
        <v>11</v>
      </c>
      <c r="N237">
        <v>17</v>
      </c>
      <c r="O237">
        <v>20</v>
      </c>
      <c r="P237">
        <v>10</v>
      </c>
      <c r="Q237">
        <v>0</v>
      </c>
    </row>
    <row r="238" spans="1:17" x14ac:dyDescent="0.45">
      <c r="A238" t="s">
        <v>81</v>
      </c>
      <c r="B238" t="s">
        <v>20</v>
      </c>
      <c r="C238">
        <v>2</v>
      </c>
      <c r="D238">
        <v>344</v>
      </c>
      <c r="E238">
        <v>6</v>
      </c>
      <c r="F238">
        <v>13</v>
      </c>
      <c r="G238">
        <v>51</v>
      </c>
      <c r="H238">
        <v>23</v>
      </c>
      <c r="I238">
        <v>62</v>
      </c>
      <c r="J238">
        <v>13</v>
      </c>
      <c r="K238">
        <v>36</v>
      </c>
      <c r="L238">
        <v>21</v>
      </c>
      <c r="M238">
        <v>8</v>
      </c>
      <c r="N238">
        <v>19</v>
      </c>
      <c r="O238">
        <v>17</v>
      </c>
      <c r="P238">
        <v>4</v>
      </c>
      <c r="Q238">
        <v>0</v>
      </c>
    </row>
    <row r="239" spans="1:17" x14ac:dyDescent="0.45">
      <c r="A239" t="s">
        <v>81</v>
      </c>
      <c r="B239" t="s">
        <v>21</v>
      </c>
      <c r="C239">
        <v>2</v>
      </c>
      <c r="D239">
        <v>348</v>
      </c>
      <c r="E239">
        <v>9</v>
      </c>
      <c r="F239">
        <v>16</v>
      </c>
      <c r="G239">
        <v>17</v>
      </c>
      <c r="H239">
        <v>35</v>
      </c>
      <c r="I239">
        <v>85</v>
      </c>
      <c r="J239">
        <v>6</v>
      </c>
      <c r="K239">
        <v>44</v>
      </c>
      <c r="L239">
        <v>6</v>
      </c>
      <c r="M239">
        <v>11</v>
      </c>
      <c r="N239">
        <v>24</v>
      </c>
      <c r="O239">
        <v>22</v>
      </c>
      <c r="P239">
        <v>11</v>
      </c>
      <c r="Q239">
        <v>6</v>
      </c>
    </row>
    <row r="240" spans="1:17" x14ac:dyDescent="0.45">
      <c r="A240" t="s">
        <v>81</v>
      </c>
      <c r="B240" t="s">
        <v>20</v>
      </c>
      <c r="C240">
        <v>3</v>
      </c>
      <c r="D240">
        <v>427</v>
      </c>
      <c r="E240">
        <v>10</v>
      </c>
      <c r="F240">
        <v>29</v>
      </c>
      <c r="G240">
        <v>122</v>
      </c>
      <c r="H240">
        <v>10</v>
      </c>
      <c r="I240">
        <v>56</v>
      </c>
      <c r="J240">
        <v>24</v>
      </c>
      <c r="K240">
        <v>56</v>
      </c>
      <c r="L240">
        <v>18</v>
      </c>
      <c r="M240">
        <v>15</v>
      </c>
      <c r="N240">
        <v>90</v>
      </c>
      <c r="O240">
        <v>55</v>
      </c>
      <c r="P240">
        <v>41</v>
      </c>
      <c r="Q240">
        <v>6</v>
      </c>
    </row>
    <row r="241" spans="1:17" x14ac:dyDescent="0.45">
      <c r="A241" t="s">
        <v>81</v>
      </c>
      <c r="B241" t="s">
        <v>21</v>
      </c>
      <c r="C241">
        <v>3</v>
      </c>
      <c r="D241">
        <v>460</v>
      </c>
      <c r="E241">
        <v>23</v>
      </c>
      <c r="F241">
        <v>35</v>
      </c>
      <c r="G241">
        <v>128</v>
      </c>
      <c r="H241">
        <v>21</v>
      </c>
      <c r="I241">
        <v>91</v>
      </c>
      <c r="J241">
        <v>22</v>
      </c>
      <c r="K241">
        <v>73</v>
      </c>
      <c r="L241">
        <v>32</v>
      </c>
      <c r="M241">
        <v>22</v>
      </c>
      <c r="N241">
        <v>179</v>
      </c>
      <c r="O241">
        <v>93</v>
      </c>
      <c r="P241">
        <v>115</v>
      </c>
      <c r="Q241">
        <v>3</v>
      </c>
    </row>
    <row r="242" spans="1:17" x14ac:dyDescent="0.45">
      <c r="A242" t="s">
        <v>81</v>
      </c>
      <c r="B242" t="s">
        <v>20</v>
      </c>
      <c r="C242">
        <v>4</v>
      </c>
      <c r="D242">
        <v>449</v>
      </c>
      <c r="E242">
        <v>15</v>
      </c>
      <c r="F242">
        <v>52</v>
      </c>
      <c r="G242">
        <v>132</v>
      </c>
      <c r="H242">
        <v>25</v>
      </c>
      <c r="I242">
        <v>124</v>
      </c>
      <c r="J242">
        <v>35</v>
      </c>
      <c r="K242">
        <v>232</v>
      </c>
      <c r="L242">
        <v>81</v>
      </c>
      <c r="M242">
        <v>31</v>
      </c>
      <c r="N242">
        <v>237</v>
      </c>
      <c r="O242">
        <v>181</v>
      </c>
      <c r="P242">
        <v>165</v>
      </c>
      <c r="Q242">
        <v>10</v>
      </c>
    </row>
    <row r="243" spans="1:17" x14ac:dyDescent="0.45">
      <c r="A243" t="s">
        <v>81</v>
      </c>
      <c r="B243" t="s">
        <v>21</v>
      </c>
      <c r="C243">
        <v>4</v>
      </c>
      <c r="D243">
        <v>504</v>
      </c>
      <c r="E243">
        <v>28</v>
      </c>
      <c r="F243">
        <v>34</v>
      </c>
      <c r="G243">
        <v>136</v>
      </c>
      <c r="H243">
        <v>32</v>
      </c>
      <c r="I243">
        <v>133</v>
      </c>
      <c r="J243">
        <v>39</v>
      </c>
      <c r="K243">
        <v>237</v>
      </c>
      <c r="L243">
        <v>95</v>
      </c>
      <c r="M243">
        <v>30</v>
      </c>
      <c r="N243">
        <v>184</v>
      </c>
      <c r="O243">
        <v>133</v>
      </c>
      <c r="P243">
        <v>129</v>
      </c>
      <c r="Q243">
        <v>14</v>
      </c>
    </row>
    <row r="244" spans="1:17" x14ac:dyDescent="0.45">
      <c r="A244" t="s">
        <v>81</v>
      </c>
      <c r="B244" t="s">
        <v>20</v>
      </c>
      <c r="C244">
        <v>5</v>
      </c>
      <c r="D244">
        <v>410</v>
      </c>
      <c r="E244">
        <v>22</v>
      </c>
      <c r="F244">
        <v>23</v>
      </c>
      <c r="G244">
        <v>77</v>
      </c>
      <c r="H244">
        <v>29</v>
      </c>
      <c r="I244">
        <v>110</v>
      </c>
      <c r="J244">
        <v>14</v>
      </c>
      <c r="K244">
        <v>112</v>
      </c>
      <c r="L244">
        <v>47</v>
      </c>
      <c r="M244">
        <v>18</v>
      </c>
      <c r="N244">
        <v>127</v>
      </c>
      <c r="O244">
        <v>86</v>
      </c>
      <c r="P244">
        <v>65</v>
      </c>
      <c r="Q244">
        <v>13</v>
      </c>
    </row>
    <row r="245" spans="1:17" x14ac:dyDescent="0.45">
      <c r="A245" t="s">
        <v>81</v>
      </c>
      <c r="B245" t="s">
        <v>21</v>
      </c>
      <c r="C245">
        <v>5</v>
      </c>
      <c r="D245">
        <v>504</v>
      </c>
      <c r="E245">
        <v>35</v>
      </c>
      <c r="F245">
        <v>30</v>
      </c>
      <c r="G245">
        <v>134</v>
      </c>
      <c r="H245">
        <v>38</v>
      </c>
      <c r="I245">
        <v>130</v>
      </c>
      <c r="J245">
        <v>32</v>
      </c>
      <c r="K245">
        <v>186</v>
      </c>
      <c r="L245">
        <v>77</v>
      </c>
      <c r="M245">
        <v>30</v>
      </c>
      <c r="N245">
        <v>143</v>
      </c>
      <c r="O245">
        <v>150</v>
      </c>
      <c r="P245">
        <v>97</v>
      </c>
      <c r="Q245">
        <v>4</v>
      </c>
    </row>
    <row r="246" spans="1:17" x14ac:dyDescent="0.45">
      <c r="A246" t="s">
        <v>81</v>
      </c>
      <c r="B246" t="s">
        <v>20</v>
      </c>
      <c r="C246">
        <v>6</v>
      </c>
      <c r="D246">
        <v>430</v>
      </c>
      <c r="E246">
        <v>20</v>
      </c>
      <c r="F246">
        <v>20</v>
      </c>
      <c r="G246">
        <v>103</v>
      </c>
      <c r="H246">
        <v>20</v>
      </c>
      <c r="I246">
        <v>98</v>
      </c>
      <c r="J246">
        <v>20</v>
      </c>
      <c r="K246">
        <v>65</v>
      </c>
      <c r="L246">
        <v>39</v>
      </c>
      <c r="M246">
        <v>23</v>
      </c>
      <c r="N246">
        <v>77</v>
      </c>
      <c r="O246">
        <v>74</v>
      </c>
      <c r="P246">
        <v>49</v>
      </c>
      <c r="Q246">
        <v>0</v>
      </c>
    </row>
    <row r="247" spans="1:17" x14ac:dyDescent="0.45">
      <c r="A247" t="s">
        <v>81</v>
      </c>
      <c r="B247" t="s">
        <v>21</v>
      </c>
      <c r="C247">
        <v>6</v>
      </c>
      <c r="D247">
        <v>536</v>
      </c>
      <c r="E247">
        <v>46</v>
      </c>
      <c r="F247">
        <v>27</v>
      </c>
      <c r="G247">
        <v>101</v>
      </c>
      <c r="H247">
        <v>23</v>
      </c>
      <c r="I247">
        <v>125</v>
      </c>
      <c r="J247">
        <v>43</v>
      </c>
      <c r="K247">
        <v>53</v>
      </c>
      <c r="L247">
        <v>54</v>
      </c>
      <c r="M247">
        <v>22</v>
      </c>
      <c r="N247">
        <v>91</v>
      </c>
      <c r="O247">
        <v>63</v>
      </c>
      <c r="P247">
        <v>51</v>
      </c>
      <c r="Q247">
        <v>4</v>
      </c>
    </row>
    <row r="248" spans="1:17" x14ac:dyDescent="0.45">
      <c r="A248" t="s">
        <v>81</v>
      </c>
      <c r="B248" t="s">
        <v>20</v>
      </c>
      <c r="C248">
        <v>7</v>
      </c>
      <c r="D248">
        <v>392</v>
      </c>
      <c r="E248">
        <v>20</v>
      </c>
      <c r="F248">
        <v>34</v>
      </c>
      <c r="G248">
        <v>57</v>
      </c>
      <c r="H248">
        <v>24</v>
      </c>
      <c r="I248">
        <v>115</v>
      </c>
      <c r="J248">
        <v>27</v>
      </c>
      <c r="K248">
        <v>30</v>
      </c>
      <c r="L248">
        <v>20</v>
      </c>
      <c r="M248">
        <v>25</v>
      </c>
      <c r="N248">
        <v>29</v>
      </c>
      <c r="O248">
        <v>41</v>
      </c>
      <c r="P248">
        <v>19</v>
      </c>
      <c r="Q248">
        <v>7</v>
      </c>
    </row>
    <row r="249" spans="1:17" x14ac:dyDescent="0.45">
      <c r="A249" t="s">
        <v>81</v>
      </c>
      <c r="B249" t="s">
        <v>21</v>
      </c>
      <c r="C249">
        <v>7</v>
      </c>
      <c r="D249">
        <v>499</v>
      </c>
      <c r="E249">
        <v>23</v>
      </c>
      <c r="F249">
        <v>27</v>
      </c>
      <c r="G249">
        <v>62</v>
      </c>
      <c r="H249">
        <v>36</v>
      </c>
      <c r="I249">
        <v>142</v>
      </c>
      <c r="J249">
        <v>17</v>
      </c>
      <c r="K249">
        <v>25</v>
      </c>
      <c r="L249">
        <v>11</v>
      </c>
      <c r="M249">
        <v>17</v>
      </c>
      <c r="N249">
        <v>28</v>
      </c>
      <c r="O249">
        <v>40</v>
      </c>
      <c r="P249">
        <v>10</v>
      </c>
      <c r="Q249">
        <v>0</v>
      </c>
    </row>
    <row r="250" spans="1:17" x14ac:dyDescent="0.45">
      <c r="A250" t="s">
        <v>81</v>
      </c>
      <c r="B250" t="s">
        <v>20</v>
      </c>
      <c r="C250">
        <v>8</v>
      </c>
      <c r="D250">
        <v>392</v>
      </c>
      <c r="E250">
        <v>15</v>
      </c>
      <c r="F250">
        <v>14</v>
      </c>
      <c r="G250">
        <v>45</v>
      </c>
      <c r="H250">
        <v>11</v>
      </c>
      <c r="I250">
        <v>113</v>
      </c>
      <c r="J250">
        <v>10</v>
      </c>
      <c r="K250">
        <v>13</v>
      </c>
      <c r="L250">
        <v>3</v>
      </c>
      <c r="M250">
        <v>21</v>
      </c>
      <c r="N250">
        <v>10</v>
      </c>
      <c r="O250">
        <v>18</v>
      </c>
      <c r="P250">
        <v>10</v>
      </c>
      <c r="Q250">
        <v>0</v>
      </c>
    </row>
    <row r="251" spans="1:17" x14ac:dyDescent="0.45">
      <c r="A251" t="s">
        <v>81</v>
      </c>
      <c r="B251" t="s">
        <v>21</v>
      </c>
      <c r="C251">
        <v>8</v>
      </c>
      <c r="D251">
        <v>388</v>
      </c>
      <c r="E251">
        <v>17</v>
      </c>
      <c r="F251">
        <v>18</v>
      </c>
      <c r="G251">
        <v>49</v>
      </c>
      <c r="H251">
        <v>6</v>
      </c>
      <c r="I251">
        <v>113</v>
      </c>
      <c r="J251">
        <v>11</v>
      </c>
      <c r="K251">
        <v>13</v>
      </c>
      <c r="L251">
        <v>5</v>
      </c>
      <c r="M251">
        <v>15</v>
      </c>
      <c r="N251">
        <v>10</v>
      </c>
      <c r="O251">
        <v>18</v>
      </c>
      <c r="P251">
        <v>5</v>
      </c>
      <c r="Q251">
        <v>0</v>
      </c>
    </row>
    <row r="252" spans="1:17" x14ac:dyDescent="0.45">
      <c r="A252" t="s">
        <v>81</v>
      </c>
      <c r="B252" t="s">
        <v>20</v>
      </c>
      <c r="C252">
        <v>9</v>
      </c>
      <c r="D252">
        <v>425</v>
      </c>
      <c r="E252">
        <v>14</v>
      </c>
      <c r="F252">
        <v>20</v>
      </c>
      <c r="G252">
        <v>25</v>
      </c>
      <c r="H252">
        <v>29</v>
      </c>
      <c r="I252">
        <v>131</v>
      </c>
      <c r="J252">
        <v>17</v>
      </c>
      <c r="K252">
        <v>8</v>
      </c>
      <c r="L252">
        <v>2</v>
      </c>
      <c r="M252">
        <v>23</v>
      </c>
      <c r="N252">
        <v>7</v>
      </c>
      <c r="O252">
        <v>11</v>
      </c>
      <c r="P252">
        <v>3</v>
      </c>
      <c r="Q252">
        <v>0</v>
      </c>
    </row>
    <row r="253" spans="1:17" x14ac:dyDescent="0.45">
      <c r="A253" t="s">
        <v>81</v>
      </c>
      <c r="B253" t="s">
        <v>21</v>
      </c>
      <c r="C253">
        <v>9</v>
      </c>
      <c r="D253">
        <v>461</v>
      </c>
      <c r="E253">
        <v>21</v>
      </c>
      <c r="F253">
        <v>32</v>
      </c>
      <c r="G253">
        <v>68</v>
      </c>
      <c r="H253">
        <v>14</v>
      </c>
      <c r="I253">
        <v>120</v>
      </c>
      <c r="J253">
        <v>17</v>
      </c>
      <c r="K253">
        <v>14</v>
      </c>
      <c r="L253">
        <v>7</v>
      </c>
      <c r="M253">
        <v>21</v>
      </c>
      <c r="N253">
        <v>9</v>
      </c>
      <c r="O253">
        <v>17</v>
      </c>
      <c r="P253">
        <v>3</v>
      </c>
      <c r="Q253">
        <v>0</v>
      </c>
    </row>
    <row r="254" spans="1:17" x14ac:dyDescent="0.45">
      <c r="A254" t="s">
        <v>81</v>
      </c>
      <c r="B254" t="s">
        <v>20</v>
      </c>
      <c r="C254">
        <v>10</v>
      </c>
      <c r="D254">
        <v>523</v>
      </c>
      <c r="E254">
        <v>42</v>
      </c>
      <c r="F254">
        <v>49</v>
      </c>
      <c r="G254">
        <v>45</v>
      </c>
      <c r="H254">
        <v>51</v>
      </c>
      <c r="I254">
        <v>177</v>
      </c>
      <c r="J254">
        <v>33</v>
      </c>
      <c r="K254">
        <v>40</v>
      </c>
      <c r="L254">
        <v>27</v>
      </c>
      <c r="M254">
        <v>30</v>
      </c>
      <c r="N254">
        <v>18</v>
      </c>
      <c r="O254">
        <v>28</v>
      </c>
      <c r="P254">
        <v>11</v>
      </c>
      <c r="Q254">
        <v>0</v>
      </c>
    </row>
    <row r="255" spans="1:17" x14ac:dyDescent="0.45">
      <c r="A255" t="s">
        <v>81</v>
      </c>
      <c r="B255" t="s">
        <v>21</v>
      </c>
      <c r="C255">
        <v>10</v>
      </c>
      <c r="D255">
        <v>607</v>
      </c>
      <c r="E255">
        <v>71</v>
      </c>
      <c r="F255">
        <v>51</v>
      </c>
      <c r="G255">
        <v>109</v>
      </c>
      <c r="H255">
        <v>33</v>
      </c>
      <c r="I255">
        <v>199</v>
      </c>
      <c r="J255">
        <v>45</v>
      </c>
      <c r="K255">
        <v>51</v>
      </c>
      <c r="L255">
        <v>28</v>
      </c>
      <c r="M255">
        <v>36</v>
      </c>
      <c r="N255">
        <v>65</v>
      </c>
      <c r="O255">
        <v>41</v>
      </c>
      <c r="P255">
        <v>15</v>
      </c>
      <c r="Q255">
        <v>0</v>
      </c>
    </row>
    <row r="256" spans="1:17" x14ac:dyDescent="0.45">
      <c r="A256" t="s">
        <v>81</v>
      </c>
      <c r="B256" t="s">
        <v>20</v>
      </c>
      <c r="C256">
        <v>11</v>
      </c>
      <c r="D256">
        <v>443</v>
      </c>
      <c r="E256">
        <v>33</v>
      </c>
      <c r="F256">
        <v>33</v>
      </c>
      <c r="G256">
        <v>90</v>
      </c>
      <c r="H256">
        <v>23</v>
      </c>
      <c r="I256">
        <v>168</v>
      </c>
      <c r="J256">
        <v>27</v>
      </c>
      <c r="K256">
        <v>57</v>
      </c>
      <c r="L256">
        <v>21</v>
      </c>
      <c r="M256">
        <v>29</v>
      </c>
      <c r="N256">
        <v>45</v>
      </c>
      <c r="O256">
        <v>28</v>
      </c>
      <c r="P256">
        <v>9</v>
      </c>
      <c r="Q256">
        <v>2</v>
      </c>
    </row>
    <row r="257" spans="1:17" x14ac:dyDescent="0.45">
      <c r="A257" t="s">
        <v>81</v>
      </c>
      <c r="B257" t="s">
        <v>21</v>
      </c>
      <c r="C257">
        <v>11</v>
      </c>
      <c r="D257">
        <v>553</v>
      </c>
      <c r="E257">
        <v>39</v>
      </c>
      <c r="F257">
        <v>36</v>
      </c>
      <c r="G257">
        <v>80</v>
      </c>
      <c r="H257">
        <v>35</v>
      </c>
      <c r="I257">
        <v>149</v>
      </c>
      <c r="J257">
        <v>26</v>
      </c>
      <c r="K257">
        <v>41</v>
      </c>
      <c r="L257">
        <v>21</v>
      </c>
      <c r="M257">
        <v>25</v>
      </c>
      <c r="N257">
        <v>29</v>
      </c>
      <c r="O257">
        <v>31</v>
      </c>
      <c r="P257">
        <v>13</v>
      </c>
      <c r="Q257">
        <v>1</v>
      </c>
    </row>
    <row r="258" spans="1:17" x14ac:dyDescent="0.45">
      <c r="A258" t="s">
        <v>72</v>
      </c>
      <c r="B258" t="s">
        <v>20</v>
      </c>
      <c r="C258">
        <v>1</v>
      </c>
      <c r="D258">
        <v>586</v>
      </c>
      <c r="E258">
        <v>14</v>
      </c>
      <c r="F258">
        <v>38</v>
      </c>
      <c r="G258">
        <v>115</v>
      </c>
      <c r="H258">
        <v>7</v>
      </c>
      <c r="I258">
        <v>108</v>
      </c>
      <c r="J258">
        <v>18</v>
      </c>
      <c r="K258">
        <v>55</v>
      </c>
      <c r="L258">
        <v>13</v>
      </c>
      <c r="M258">
        <v>19</v>
      </c>
      <c r="N258">
        <v>34</v>
      </c>
      <c r="O258">
        <v>27</v>
      </c>
      <c r="P258">
        <v>14</v>
      </c>
      <c r="Q258">
        <v>4</v>
      </c>
    </row>
    <row r="259" spans="1:17" x14ac:dyDescent="0.45">
      <c r="A259" t="s">
        <v>72</v>
      </c>
      <c r="B259" t="s">
        <v>21</v>
      </c>
      <c r="C259">
        <v>1</v>
      </c>
      <c r="D259">
        <v>645</v>
      </c>
      <c r="E259">
        <v>14</v>
      </c>
      <c r="F259">
        <v>26</v>
      </c>
      <c r="G259">
        <v>139</v>
      </c>
      <c r="H259">
        <v>16</v>
      </c>
      <c r="I259">
        <v>135</v>
      </c>
      <c r="J259">
        <v>16</v>
      </c>
      <c r="K259">
        <v>60</v>
      </c>
      <c r="L259">
        <v>24</v>
      </c>
      <c r="M259">
        <v>13</v>
      </c>
      <c r="N259">
        <v>23</v>
      </c>
      <c r="O259">
        <v>22</v>
      </c>
      <c r="P259">
        <v>12</v>
      </c>
      <c r="Q259">
        <v>0</v>
      </c>
    </row>
    <row r="260" spans="1:17" x14ac:dyDescent="0.45">
      <c r="A260" t="s">
        <v>72</v>
      </c>
      <c r="B260" t="s">
        <v>20</v>
      </c>
      <c r="C260">
        <v>2</v>
      </c>
      <c r="D260">
        <v>544</v>
      </c>
      <c r="E260">
        <v>22</v>
      </c>
      <c r="F260">
        <v>16</v>
      </c>
      <c r="G260">
        <v>69</v>
      </c>
      <c r="H260">
        <v>42</v>
      </c>
      <c r="I260">
        <v>133</v>
      </c>
      <c r="J260">
        <v>13</v>
      </c>
      <c r="K260">
        <v>49</v>
      </c>
      <c r="L260">
        <v>9</v>
      </c>
      <c r="M260">
        <v>14</v>
      </c>
      <c r="N260">
        <v>34</v>
      </c>
      <c r="O260">
        <v>6</v>
      </c>
      <c r="P260">
        <v>4</v>
      </c>
      <c r="Q260">
        <v>4</v>
      </c>
    </row>
    <row r="261" spans="1:17" x14ac:dyDescent="0.45">
      <c r="A261" t="s">
        <v>72</v>
      </c>
      <c r="B261" t="s">
        <v>21</v>
      </c>
      <c r="C261">
        <v>2</v>
      </c>
      <c r="D261">
        <v>592</v>
      </c>
      <c r="E261">
        <v>11</v>
      </c>
      <c r="F261">
        <v>19</v>
      </c>
      <c r="G261">
        <v>53</v>
      </c>
      <c r="H261">
        <v>61</v>
      </c>
      <c r="I261">
        <v>154</v>
      </c>
      <c r="J261">
        <v>12</v>
      </c>
      <c r="K261">
        <v>46</v>
      </c>
      <c r="L261">
        <v>11</v>
      </c>
      <c r="M261">
        <v>18</v>
      </c>
      <c r="N261">
        <v>46</v>
      </c>
      <c r="O261">
        <v>35</v>
      </c>
      <c r="P261">
        <v>15</v>
      </c>
      <c r="Q261">
        <v>4</v>
      </c>
    </row>
    <row r="262" spans="1:17" x14ac:dyDescent="0.45">
      <c r="A262" t="s">
        <v>72</v>
      </c>
      <c r="B262" t="s">
        <v>20</v>
      </c>
      <c r="C262">
        <v>3</v>
      </c>
      <c r="D262">
        <v>675</v>
      </c>
      <c r="E262">
        <v>18</v>
      </c>
      <c r="F262">
        <v>41</v>
      </c>
      <c r="G262">
        <v>166</v>
      </c>
      <c r="H262">
        <v>22</v>
      </c>
      <c r="I262">
        <v>124</v>
      </c>
      <c r="J262">
        <v>31</v>
      </c>
      <c r="K262">
        <v>73</v>
      </c>
      <c r="L262">
        <v>26</v>
      </c>
      <c r="M262">
        <v>44</v>
      </c>
      <c r="N262">
        <v>121</v>
      </c>
      <c r="O262">
        <v>67</v>
      </c>
      <c r="P262">
        <v>67</v>
      </c>
      <c r="Q262">
        <v>12</v>
      </c>
    </row>
    <row r="263" spans="1:17" x14ac:dyDescent="0.45">
      <c r="A263" t="s">
        <v>72</v>
      </c>
      <c r="B263" t="s">
        <v>21</v>
      </c>
      <c r="C263">
        <v>3</v>
      </c>
      <c r="D263">
        <v>845</v>
      </c>
      <c r="E263">
        <v>29</v>
      </c>
      <c r="F263">
        <v>74</v>
      </c>
      <c r="G263">
        <v>193</v>
      </c>
      <c r="H263">
        <v>30</v>
      </c>
      <c r="I263">
        <v>176</v>
      </c>
      <c r="J263">
        <v>49</v>
      </c>
      <c r="K263">
        <v>134</v>
      </c>
      <c r="L263">
        <v>36</v>
      </c>
      <c r="M263">
        <v>39</v>
      </c>
      <c r="N263">
        <v>217</v>
      </c>
      <c r="O263">
        <v>150</v>
      </c>
      <c r="P263">
        <v>138</v>
      </c>
      <c r="Q263">
        <v>12</v>
      </c>
    </row>
    <row r="264" spans="1:17" x14ac:dyDescent="0.45">
      <c r="A264" t="s">
        <v>72</v>
      </c>
      <c r="B264" t="s">
        <v>20</v>
      </c>
      <c r="C264">
        <v>4</v>
      </c>
      <c r="D264">
        <v>754</v>
      </c>
      <c r="E264">
        <v>39</v>
      </c>
      <c r="F264">
        <v>66</v>
      </c>
      <c r="G264">
        <v>253</v>
      </c>
      <c r="H264">
        <v>20</v>
      </c>
      <c r="I264">
        <v>147</v>
      </c>
      <c r="J264">
        <v>54</v>
      </c>
      <c r="K264">
        <v>228</v>
      </c>
      <c r="L264">
        <v>112</v>
      </c>
      <c r="M264">
        <v>84</v>
      </c>
      <c r="N264">
        <v>225</v>
      </c>
      <c r="O264">
        <v>222</v>
      </c>
      <c r="P264">
        <v>194</v>
      </c>
      <c r="Q264">
        <v>2</v>
      </c>
    </row>
    <row r="265" spans="1:17" x14ac:dyDescent="0.45">
      <c r="A265" t="s">
        <v>72</v>
      </c>
      <c r="B265" t="s">
        <v>21</v>
      </c>
      <c r="C265">
        <v>4</v>
      </c>
      <c r="D265">
        <v>803</v>
      </c>
      <c r="E265">
        <v>31</v>
      </c>
      <c r="F265">
        <v>65</v>
      </c>
      <c r="G265">
        <v>214</v>
      </c>
      <c r="H265">
        <v>29</v>
      </c>
      <c r="I265">
        <v>179</v>
      </c>
      <c r="J265">
        <v>51</v>
      </c>
      <c r="K265">
        <v>259</v>
      </c>
      <c r="L265">
        <v>83</v>
      </c>
      <c r="M265">
        <v>61</v>
      </c>
      <c r="N265">
        <v>176</v>
      </c>
      <c r="O265">
        <v>206</v>
      </c>
      <c r="P265">
        <v>132</v>
      </c>
      <c r="Q265">
        <v>18</v>
      </c>
    </row>
    <row r="266" spans="1:17" x14ac:dyDescent="0.45">
      <c r="A266" t="s">
        <v>72</v>
      </c>
      <c r="B266" t="s">
        <v>20</v>
      </c>
      <c r="C266">
        <v>8</v>
      </c>
      <c r="D266">
        <v>618</v>
      </c>
      <c r="E266">
        <v>30</v>
      </c>
      <c r="F266">
        <v>148</v>
      </c>
      <c r="G266">
        <v>72</v>
      </c>
      <c r="H266">
        <v>16</v>
      </c>
      <c r="I266">
        <v>172</v>
      </c>
      <c r="J266">
        <v>25</v>
      </c>
      <c r="K266">
        <v>27</v>
      </c>
      <c r="L266">
        <v>16</v>
      </c>
      <c r="M266">
        <v>19</v>
      </c>
      <c r="N266">
        <v>14</v>
      </c>
      <c r="O266">
        <v>28</v>
      </c>
      <c r="P266">
        <v>9</v>
      </c>
      <c r="Q266">
        <v>0</v>
      </c>
    </row>
    <row r="267" spans="1:17" x14ac:dyDescent="0.45">
      <c r="A267" t="s">
        <v>72</v>
      </c>
      <c r="B267" t="s">
        <v>21</v>
      </c>
      <c r="C267">
        <v>8</v>
      </c>
      <c r="D267">
        <v>722</v>
      </c>
      <c r="E267">
        <v>43</v>
      </c>
      <c r="F267">
        <v>53</v>
      </c>
      <c r="G267">
        <v>77</v>
      </c>
      <c r="H267">
        <v>17</v>
      </c>
      <c r="I267">
        <v>175</v>
      </c>
      <c r="J267">
        <v>26</v>
      </c>
      <c r="K267">
        <v>15</v>
      </c>
      <c r="L267">
        <v>14</v>
      </c>
      <c r="M267">
        <v>26</v>
      </c>
      <c r="N267">
        <v>29</v>
      </c>
      <c r="O267">
        <v>28</v>
      </c>
      <c r="P267">
        <v>8</v>
      </c>
      <c r="Q267">
        <v>0</v>
      </c>
    </row>
    <row r="268" spans="1:17" x14ac:dyDescent="0.45">
      <c r="A268" t="s">
        <v>72</v>
      </c>
      <c r="B268" t="s">
        <v>20</v>
      </c>
      <c r="C268">
        <v>9</v>
      </c>
      <c r="D268">
        <v>658</v>
      </c>
      <c r="E268">
        <v>30</v>
      </c>
      <c r="F268">
        <v>35</v>
      </c>
      <c r="G268">
        <v>40</v>
      </c>
      <c r="H268">
        <v>42</v>
      </c>
      <c r="I268">
        <v>191</v>
      </c>
      <c r="J268">
        <v>25</v>
      </c>
      <c r="K268">
        <v>15</v>
      </c>
      <c r="L268">
        <v>16</v>
      </c>
      <c r="M268">
        <v>32</v>
      </c>
      <c r="N268">
        <v>16</v>
      </c>
      <c r="O268">
        <v>21</v>
      </c>
      <c r="P268">
        <v>7</v>
      </c>
      <c r="Q268">
        <v>0</v>
      </c>
    </row>
    <row r="269" spans="1:17" x14ac:dyDescent="0.45">
      <c r="A269" t="s">
        <v>72</v>
      </c>
      <c r="B269" t="s">
        <v>21</v>
      </c>
      <c r="C269">
        <v>9</v>
      </c>
      <c r="D269">
        <v>754</v>
      </c>
      <c r="E269">
        <v>41</v>
      </c>
      <c r="F269">
        <v>30</v>
      </c>
      <c r="G269">
        <v>87</v>
      </c>
      <c r="H269">
        <v>13</v>
      </c>
      <c r="I269">
        <v>172</v>
      </c>
      <c r="J269">
        <v>34</v>
      </c>
      <c r="K269">
        <v>5</v>
      </c>
      <c r="L269">
        <v>14</v>
      </c>
      <c r="M269">
        <v>28</v>
      </c>
      <c r="N269">
        <v>17</v>
      </c>
      <c r="O269">
        <v>23</v>
      </c>
      <c r="P269">
        <v>6</v>
      </c>
      <c r="Q269">
        <v>2</v>
      </c>
    </row>
    <row r="270" spans="1:17" x14ac:dyDescent="0.45">
      <c r="A270" t="s">
        <v>72</v>
      </c>
      <c r="B270" t="s">
        <v>20</v>
      </c>
      <c r="C270">
        <v>10</v>
      </c>
      <c r="D270">
        <v>784</v>
      </c>
      <c r="E270">
        <v>88</v>
      </c>
      <c r="F270">
        <v>56</v>
      </c>
      <c r="G270">
        <v>60</v>
      </c>
      <c r="H270">
        <v>71</v>
      </c>
      <c r="I270">
        <v>214</v>
      </c>
      <c r="J270">
        <v>45</v>
      </c>
      <c r="K270">
        <v>34</v>
      </c>
      <c r="L270">
        <v>19</v>
      </c>
      <c r="M270">
        <v>31</v>
      </c>
      <c r="N270">
        <v>31</v>
      </c>
      <c r="O270">
        <v>52</v>
      </c>
      <c r="P270">
        <v>18</v>
      </c>
      <c r="Q270">
        <v>2</v>
      </c>
    </row>
    <row r="271" spans="1:17" x14ac:dyDescent="0.45">
      <c r="A271" t="s">
        <v>72</v>
      </c>
      <c r="B271" t="s">
        <v>21</v>
      </c>
      <c r="C271">
        <v>10</v>
      </c>
      <c r="D271">
        <v>989</v>
      </c>
      <c r="E271">
        <v>51</v>
      </c>
      <c r="F271">
        <v>57</v>
      </c>
      <c r="G271">
        <v>150</v>
      </c>
      <c r="H271">
        <v>13</v>
      </c>
      <c r="I271">
        <v>235</v>
      </c>
      <c r="J271">
        <v>56</v>
      </c>
      <c r="K271">
        <v>29</v>
      </c>
      <c r="L271">
        <v>31</v>
      </c>
      <c r="M271">
        <v>64</v>
      </c>
      <c r="N271">
        <v>42</v>
      </c>
      <c r="O271">
        <v>42</v>
      </c>
      <c r="P271">
        <v>13</v>
      </c>
      <c r="Q271">
        <v>4</v>
      </c>
    </row>
    <row r="272" spans="1:17" x14ac:dyDescent="0.45">
      <c r="A272" t="s">
        <v>72</v>
      </c>
      <c r="B272" t="s">
        <v>20</v>
      </c>
      <c r="C272">
        <v>11</v>
      </c>
      <c r="D272">
        <v>728</v>
      </c>
      <c r="E272">
        <v>36</v>
      </c>
      <c r="F272">
        <v>34</v>
      </c>
      <c r="G272">
        <v>67</v>
      </c>
      <c r="H272">
        <v>119</v>
      </c>
      <c r="I272">
        <v>291</v>
      </c>
      <c r="J272">
        <v>43</v>
      </c>
      <c r="K272">
        <v>53</v>
      </c>
      <c r="L272">
        <v>29</v>
      </c>
      <c r="M272">
        <v>42</v>
      </c>
      <c r="N272">
        <v>36</v>
      </c>
      <c r="O272">
        <v>23</v>
      </c>
      <c r="P272">
        <v>17</v>
      </c>
      <c r="Q272">
        <v>2</v>
      </c>
    </row>
    <row r="273" spans="1:17" x14ac:dyDescent="0.45">
      <c r="A273" t="s">
        <v>72</v>
      </c>
      <c r="B273" t="s">
        <v>21</v>
      </c>
      <c r="C273">
        <v>11</v>
      </c>
      <c r="D273">
        <v>808</v>
      </c>
      <c r="E273">
        <v>30</v>
      </c>
      <c r="F273">
        <v>36</v>
      </c>
      <c r="G273">
        <v>126</v>
      </c>
      <c r="H273">
        <v>20</v>
      </c>
      <c r="I273">
        <v>161</v>
      </c>
      <c r="J273">
        <v>24</v>
      </c>
      <c r="K273">
        <v>54</v>
      </c>
      <c r="L273">
        <v>26</v>
      </c>
      <c r="M273">
        <v>45</v>
      </c>
      <c r="N273">
        <v>29</v>
      </c>
      <c r="O273">
        <v>32</v>
      </c>
      <c r="P273">
        <v>14</v>
      </c>
      <c r="Q273">
        <v>1</v>
      </c>
    </row>
    <row r="274" spans="1:17" x14ac:dyDescent="0.45">
      <c r="A274" t="s">
        <v>72</v>
      </c>
      <c r="B274" t="s">
        <v>20</v>
      </c>
      <c r="C274">
        <v>12</v>
      </c>
      <c r="D274">
        <v>685</v>
      </c>
      <c r="E274">
        <v>32</v>
      </c>
      <c r="F274">
        <v>44</v>
      </c>
      <c r="G274">
        <v>119</v>
      </c>
      <c r="H274">
        <v>53</v>
      </c>
      <c r="I274">
        <v>226</v>
      </c>
      <c r="J274">
        <v>46</v>
      </c>
      <c r="K274">
        <v>66</v>
      </c>
      <c r="L274">
        <v>16</v>
      </c>
      <c r="M274">
        <v>21</v>
      </c>
      <c r="N274">
        <v>42</v>
      </c>
      <c r="O274">
        <v>40</v>
      </c>
      <c r="P274">
        <v>18</v>
      </c>
      <c r="Q274">
        <v>2</v>
      </c>
    </row>
    <row r="275" spans="1:17" x14ac:dyDescent="0.45">
      <c r="A275" t="s">
        <v>72</v>
      </c>
      <c r="B275" t="s">
        <v>21</v>
      </c>
      <c r="C275">
        <v>12</v>
      </c>
      <c r="D275">
        <v>803</v>
      </c>
      <c r="E275">
        <v>17</v>
      </c>
      <c r="F275">
        <v>29</v>
      </c>
      <c r="G275">
        <v>200</v>
      </c>
      <c r="H275">
        <v>20</v>
      </c>
      <c r="I275">
        <v>183</v>
      </c>
      <c r="J275">
        <v>27</v>
      </c>
      <c r="K275">
        <v>50</v>
      </c>
      <c r="L275">
        <v>24</v>
      </c>
      <c r="M275">
        <v>32</v>
      </c>
      <c r="N275">
        <v>53</v>
      </c>
      <c r="O275">
        <v>57</v>
      </c>
      <c r="P275">
        <v>21</v>
      </c>
      <c r="Q275">
        <v>3</v>
      </c>
    </row>
    <row r="276" spans="1:17" x14ac:dyDescent="0.45">
      <c r="A276" t="s">
        <v>68</v>
      </c>
      <c r="B276" t="s">
        <v>20</v>
      </c>
      <c r="C276">
        <v>1</v>
      </c>
      <c r="D276">
        <v>714</v>
      </c>
      <c r="E276">
        <v>8</v>
      </c>
      <c r="F276">
        <v>11</v>
      </c>
      <c r="G276">
        <v>54</v>
      </c>
      <c r="H276">
        <v>67</v>
      </c>
      <c r="I276">
        <v>161</v>
      </c>
      <c r="J276">
        <v>13</v>
      </c>
      <c r="K276">
        <v>44</v>
      </c>
      <c r="L276">
        <v>9</v>
      </c>
      <c r="M276">
        <v>6</v>
      </c>
      <c r="N276">
        <v>17</v>
      </c>
      <c r="O276">
        <v>12</v>
      </c>
      <c r="P276">
        <v>10</v>
      </c>
      <c r="Q276">
        <v>0</v>
      </c>
    </row>
    <row r="277" spans="1:17" x14ac:dyDescent="0.45">
      <c r="A277" t="s">
        <v>68</v>
      </c>
      <c r="B277" t="s">
        <v>21</v>
      </c>
      <c r="C277">
        <v>1</v>
      </c>
      <c r="D277">
        <v>926</v>
      </c>
      <c r="E277">
        <v>15</v>
      </c>
      <c r="F277">
        <v>9</v>
      </c>
      <c r="G277">
        <v>86</v>
      </c>
      <c r="H277">
        <v>36</v>
      </c>
      <c r="I277">
        <v>142</v>
      </c>
      <c r="J277">
        <v>2</v>
      </c>
      <c r="K277">
        <v>36</v>
      </c>
      <c r="L277">
        <v>10</v>
      </c>
      <c r="M277">
        <v>10</v>
      </c>
      <c r="N277">
        <v>20</v>
      </c>
      <c r="O277">
        <v>10</v>
      </c>
      <c r="P277">
        <v>10</v>
      </c>
      <c r="Q277">
        <v>3</v>
      </c>
    </row>
    <row r="278" spans="1:17" x14ac:dyDescent="0.45">
      <c r="A278" t="s">
        <v>68</v>
      </c>
      <c r="B278" t="s">
        <v>20</v>
      </c>
      <c r="C278">
        <v>2</v>
      </c>
      <c r="D278">
        <v>782</v>
      </c>
      <c r="E278">
        <v>8</v>
      </c>
      <c r="F278">
        <v>10</v>
      </c>
      <c r="G278">
        <v>11</v>
      </c>
      <c r="H278">
        <v>77</v>
      </c>
      <c r="I278">
        <v>158</v>
      </c>
      <c r="J278">
        <v>4</v>
      </c>
      <c r="K278">
        <v>27</v>
      </c>
      <c r="L278">
        <v>6</v>
      </c>
      <c r="M278">
        <v>12</v>
      </c>
      <c r="N278">
        <v>27</v>
      </c>
      <c r="O278">
        <v>11</v>
      </c>
      <c r="P278">
        <v>8</v>
      </c>
      <c r="Q278">
        <v>4</v>
      </c>
    </row>
    <row r="279" spans="1:17" x14ac:dyDescent="0.45">
      <c r="A279" t="s">
        <v>68</v>
      </c>
      <c r="B279" t="s">
        <v>21</v>
      </c>
      <c r="C279">
        <v>2</v>
      </c>
      <c r="D279">
        <v>928</v>
      </c>
      <c r="E279">
        <v>12</v>
      </c>
      <c r="F279">
        <v>5</v>
      </c>
      <c r="G279">
        <v>41</v>
      </c>
      <c r="H279">
        <v>55</v>
      </c>
      <c r="I279">
        <v>169</v>
      </c>
      <c r="J279">
        <v>7</v>
      </c>
      <c r="K279">
        <v>39</v>
      </c>
      <c r="L279">
        <v>10</v>
      </c>
      <c r="M279">
        <v>8</v>
      </c>
      <c r="N279">
        <v>17</v>
      </c>
      <c r="O279">
        <v>4</v>
      </c>
      <c r="P279">
        <v>9</v>
      </c>
      <c r="Q279">
        <v>0</v>
      </c>
    </row>
    <row r="280" spans="1:17" x14ac:dyDescent="0.45">
      <c r="A280" t="s">
        <v>68</v>
      </c>
      <c r="B280" t="s">
        <v>20</v>
      </c>
      <c r="C280">
        <v>3</v>
      </c>
      <c r="D280">
        <v>961</v>
      </c>
      <c r="E280">
        <v>10</v>
      </c>
      <c r="F280">
        <v>26</v>
      </c>
      <c r="G280">
        <v>21</v>
      </c>
      <c r="H280">
        <v>174</v>
      </c>
      <c r="I280">
        <v>299</v>
      </c>
      <c r="J280">
        <v>27</v>
      </c>
      <c r="K280">
        <v>70</v>
      </c>
      <c r="L280">
        <v>12</v>
      </c>
      <c r="M280">
        <v>17</v>
      </c>
      <c r="N280">
        <v>95</v>
      </c>
      <c r="O280">
        <v>72</v>
      </c>
      <c r="P280">
        <v>77</v>
      </c>
      <c r="Q280">
        <v>0</v>
      </c>
    </row>
    <row r="281" spans="1:17" x14ac:dyDescent="0.45">
      <c r="A281" t="s">
        <v>68</v>
      </c>
      <c r="B281" t="s">
        <v>21</v>
      </c>
      <c r="C281">
        <v>3</v>
      </c>
      <c r="D281">
        <v>1081</v>
      </c>
      <c r="E281">
        <v>11</v>
      </c>
      <c r="F281">
        <v>34</v>
      </c>
      <c r="G281">
        <v>112</v>
      </c>
      <c r="H281">
        <v>59</v>
      </c>
      <c r="I281">
        <v>151</v>
      </c>
      <c r="J281">
        <v>17</v>
      </c>
      <c r="K281">
        <v>81</v>
      </c>
      <c r="L281">
        <v>28</v>
      </c>
      <c r="M281">
        <v>14</v>
      </c>
      <c r="N281">
        <v>157</v>
      </c>
      <c r="O281">
        <v>60</v>
      </c>
      <c r="P281">
        <v>96</v>
      </c>
      <c r="Q281">
        <v>1</v>
      </c>
    </row>
    <row r="282" spans="1:17" x14ac:dyDescent="0.45">
      <c r="A282" t="s">
        <v>68</v>
      </c>
      <c r="B282" t="s">
        <v>20</v>
      </c>
      <c r="C282">
        <v>4</v>
      </c>
      <c r="D282">
        <v>947</v>
      </c>
      <c r="E282">
        <v>24</v>
      </c>
      <c r="F282">
        <v>34</v>
      </c>
      <c r="G282">
        <v>150</v>
      </c>
      <c r="H282">
        <v>135</v>
      </c>
      <c r="I282">
        <v>256</v>
      </c>
      <c r="J282">
        <v>31</v>
      </c>
      <c r="K282">
        <v>22</v>
      </c>
      <c r="L282">
        <v>79</v>
      </c>
      <c r="M282">
        <v>34</v>
      </c>
      <c r="N282">
        <v>184</v>
      </c>
      <c r="O282">
        <v>180</v>
      </c>
      <c r="P282">
        <v>136</v>
      </c>
      <c r="Q282">
        <v>14</v>
      </c>
    </row>
    <row r="283" spans="1:17" x14ac:dyDescent="0.45">
      <c r="A283" t="s">
        <v>68</v>
      </c>
      <c r="B283" t="s">
        <v>21</v>
      </c>
      <c r="C283">
        <v>4</v>
      </c>
      <c r="D283">
        <v>1192</v>
      </c>
      <c r="E283">
        <v>24</v>
      </c>
      <c r="F283">
        <v>27</v>
      </c>
      <c r="G283">
        <v>146</v>
      </c>
      <c r="H283">
        <v>122</v>
      </c>
      <c r="I283">
        <v>247</v>
      </c>
      <c r="J283">
        <v>34</v>
      </c>
      <c r="K283">
        <v>227</v>
      </c>
      <c r="L283">
        <v>84</v>
      </c>
      <c r="M283">
        <v>37</v>
      </c>
      <c r="N283">
        <v>200</v>
      </c>
      <c r="O283">
        <v>144</v>
      </c>
      <c r="P283">
        <v>112</v>
      </c>
      <c r="Q283">
        <v>3</v>
      </c>
    </row>
    <row r="284" spans="1:17" x14ac:dyDescent="0.45">
      <c r="A284" t="s">
        <v>68</v>
      </c>
      <c r="B284" t="s">
        <v>20</v>
      </c>
      <c r="C284">
        <v>5</v>
      </c>
      <c r="D284">
        <v>775</v>
      </c>
      <c r="E284">
        <v>23</v>
      </c>
      <c r="F284">
        <v>15</v>
      </c>
      <c r="G284">
        <v>78</v>
      </c>
      <c r="H284">
        <v>129</v>
      </c>
      <c r="I284">
        <v>266</v>
      </c>
      <c r="J284">
        <v>40</v>
      </c>
      <c r="K284">
        <v>108</v>
      </c>
      <c r="L284">
        <v>41</v>
      </c>
      <c r="M284">
        <v>19</v>
      </c>
      <c r="N284">
        <v>131</v>
      </c>
      <c r="O284">
        <v>85</v>
      </c>
      <c r="P284">
        <v>56</v>
      </c>
      <c r="Q284">
        <v>3</v>
      </c>
    </row>
    <row r="285" spans="1:17" x14ac:dyDescent="0.45">
      <c r="A285" t="s">
        <v>68</v>
      </c>
      <c r="B285" t="s">
        <v>21</v>
      </c>
      <c r="C285">
        <v>5</v>
      </c>
      <c r="D285">
        <v>896</v>
      </c>
      <c r="E285">
        <v>31</v>
      </c>
      <c r="F285">
        <v>28</v>
      </c>
      <c r="G285">
        <v>122</v>
      </c>
      <c r="H285">
        <v>107</v>
      </c>
      <c r="I285">
        <v>244</v>
      </c>
      <c r="J285">
        <v>32</v>
      </c>
      <c r="K285">
        <v>106</v>
      </c>
      <c r="L285">
        <v>56</v>
      </c>
      <c r="M285">
        <v>21</v>
      </c>
      <c r="N285">
        <v>105</v>
      </c>
      <c r="O285">
        <v>110</v>
      </c>
      <c r="P285">
        <v>65</v>
      </c>
      <c r="Q285">
        <v>4</v>
      </c>
    </row>
    <row r="286" spans="1:17" x14ac:dyDescent="0.45">
      <c r="A286" t="s">
        <v>68</v>
      </c>
      <c r="B286" t="s">
        <v>20</v>
      </c>
      <c r="C286">
        <v>6</v>
      </c>
      <c r="D286">
        <v>1007</v>
      </c>
      <c r="E286">
        <v>17</v>
      </c>
      <c r="F286">
        <v>21</v>
      </c>
      <c r="G286">
        <v>67</v>
      </c>
      <c r="H286">
        <v>133</v>
      </c>
      <c r="I286">
        <v>311</v>
      </c>
      <c r="J286">
        <v>24</v>
      </c>
      <c r="K286">
        <v>48</v>
      </c>
      <c r="L286">
        <v>29</v>
      </c>
      <c r="M286">
        <v>15</v>
      </c>
      <c r="N286">
        <v>56</v>
      </c>
      <c r="O286">
        <v>48</v>
      </c>
      <c r="P286">
        <v>25</v>
      </c>
      <c r="Q286">
        <v>0</v>
      </c>
    </row>
    <row r="287" spans="1:17" x14ac:dyDescent="0.45">
      <c r="A287" t="s">
        <v>68</v>
      </c>
      <c r="B287" t="s">
        <v>21</v>
      </c>
      <c r="C287">
        <v>6</v>
      </c>
      <c r="D287">
        <v>1062</v>
      </c>
      <c r="E287">
        <v>20</v>
      </c>
      <c r="F287">
        <v>33</v>
      </c>
      <c r="G287">
        <v>105</v>
      </c>
      <c r="H287">
        <v>82</v>
      </c>
      <c r="I287">
        <v>252</v>
      </c>
      <c r="J287">
        <v>31</v>
      </c>
      <c r="K287">
        <v>87</v>
      </c>
      <c r="L287">
        <v>42</v>
      </c>
      <c r="M287">
        <v>23</v>
      </c>
      <c r="N287">
        <v>68</v>
      </c>
      <c r="O287">
        <v>58</v>
      </c>
      <c r="P287">
        <v>34</v>
      </c>
      <c r="Q287">
        <v>0</v>
      </c>
    </row>
    <row r="288" spans="1:17" x14ac:dyDescent="0.45">
      <c r="A288" t="s">
        <v>68</v>
      </c>
      <c r="B288" t="s">
        <v>20</v>
      </c>
      <c r="C288">
        <v>7</v>
      </c>
      <c r="D288">
        <v>745</v>
      </c>
      <c r="E288">
        <v>2</v>
      </c>
      <c r="F288">
        <v>18</v>
      </c>
      <c r="G288">
        <v>15</v>
      </c>
      <c r="H288">
        <v>85</v>
      </c>
      <c r="I288">
        <v>276</v>
      </c>
      <c r="J288">
        <v>7</v>
      </c>
      <c r="K288">
        <v>25</v>
      </c>
      <c r="L288">
        <v>10</v>
      </c>
      <c r="M288">
        <v>7</v>
      </c>
      <c r="N288">
        <v>35</v>
      </c>
      <c r="O288">
        <v>18</v>
      </c>
      <c r="P288">
        <v>7</v>
      </c>
      <c r="Q288">
        <v>0</v>
      </c>
    </row>
    <row r="289" spans="1:17" x14ac:dyDescent="0.45">
      <c r="A289" t="s">
        <v>68</v>
      </c>
      <c r="B289" t="s">
        <v>21</v>
      </c>
      <c r="C289">
        <v>7</v>
      </c>
      <c r="D289">
        <v>1044</v>
      </c>
      <c r="E289">
        <v>21</v>
      </c>
      <c r="F289">
        <v>16</v>
      </c>
      <c r="G289">
        <v>44</v>
      </c>
      <c r="H289">
        <v>72</v>
      </c>
      <c r="I289">
        <v>270</v>
      </c>
      <c r="J289">
        <v>21</v>
      </c>
      <c r="K289">
        <v>18</v>
      </c>
      <c r="L289">
        <v>15</v>
      </c>
      <c r="M289">
        <v>23</v>
      </c>
      <c r="N289">
        <v>33</v>
      </c>
      <c r="O289">
        <v>25</v>
      </c>
      <c r="P289">
        <v>11</v>
      </c>
      <c r="Q289">
        <v>4</v>
      </c>
    </row>
    <row r="290" spans="1:17" x14ac:dyDescent="0.45">
      <c r="A290" t="s">
        <v>68</v>
      </c>
      <c r="B290" t="s">
        <v>20</v>
      </c>
      <c r="C290">
        <v>8</v>
      </c>
      <c r="D290">
        <v>687</v>
      </c>
      <c r="E290">
        <v>17</v>
      </c>
      <c r="F290">
        <v>29</v>
      </c>
      <c r="G290">
        <v>15</v>
      </c>
      <c r="H290">
        <v>40</v>
      </c>
      <c r="I290">
        <v>211</v>
      </c>
      <c r="J290">
        <v>4</v>
      </c>
      <c r="K290">
        <v>16</v>
      </c>
      <c r="L290">
        <v>10</v>
      </c>
      <c r="M290">
        <v>15</v>
      </c>
      <c r="N290">
        <v>5</v>
      </c>
      <c r="O290">
        <v>12</v>
      </c>
      <c r="P290">
        <v>6</v>
      </c>
      <c r="Q290">
        <v>0</v>
      </c>
    </row>
    <row r="291" spans="1:17" x14ac:dyDescent="0.45">
      <c r="A291" t="s">
        <v>68</v>
      </c>
      <c r="B291" t="s">
        <v>21</v>
      </c>
      <c r="C291">
        <v>8</v>
      </c>
      <c r="D291">
        <v>808</v>
      </c>
      <c r="E291">
        <v>14</v>
      </c>
      <c r="F291">
        <v>18</v>
      </c>
      <c r="G291">
        <v>36</v>
      </c>
      <c r="H291">
        <v>28</v>
      </c>
      <c r="I291">
        <v>196</v>
      </c>
      <c r="J291">
        <v>10</v>
      </c>
      <c r="K291">
        <v>18</v>
      </c>
      <c r="L291">
        <v>12</v>
      </c>
      <c r="M291">
        <v>7</v>
      </c>
      <c r="N291">
        <v>9</v>
      </c>
      <c r="O291">
        <v>19</v>
      </c>
      <c r="P291">
        <v>8</v>
      </c>
      <c r="Q291">
        <v>0</v>
      </c>
    </row>
    <row r="292" spans="1:17" x14ac:dyDescent="0.45">
      <c r="A292" t="s">
        <v>68</v>
      </c>
      <c r="B292" t="s">
        <v>20</v>
      </c>
      <c r="C292">
        <v>9</v>
      </c>
      <c r="D292">
        <v>850</v>
      </c>
      <c r="E292">
        <v>13</v>
      </c>
      <c r="F292">
        <v>21</v>
      </c>
      <c r="G292">
        <v>22</v>
      </c>
      <c r="H292">
        <v>50</v>
      </c>
      <c r="I292">
        <v>214</v>
      </c>
      <c r="J292">
        <v>19</v>
      </c>
      <c r="K292">
        <v>9</v>
      </c>
      <c r="L292">
        <v>12</v>
      </c>
      <c r="M292">
        <v>25</v>
      </c>
      <c r="N292">
        <v>12</v>
      </c>
      <c r="O292">
        <v>12</v>
      </c>
      <c r="P292">
        <v>2</v>
      </c>
      <c r="Q292">
        <v>0</v>
      </c>
    </row>
    <row r="293" spans="1:17" x14ac:dyDescent="0.45">
      <c r="A293" t="s">
        <v>68</v>
      </c>
      <c r="B293" t="s">
        <v>21</v>
      </c>
      <c r="C293">
        <v>9</v>
      </c>
      <c r="D293">
        <v>883</v>
      </c>
      <c r="E293">
        <v>28</v>
      </c>
      <c r="F293">
        <v>16</v>
      </c>
      <c r="G293">
        <v>34</v>
      </c>
      <c r="H293">
        <v>17</v>
      </c>
      <c r="I293">
        <v>173</v>
      </c>
      <c r="J293">
        <v>8</v>
      </c>
      <c r="K293">
        <v>9</v>
      </c>
      <c r="L293">
        <v>8</v>
      </c>
      <c r="M293">
        <v>11</v>
      </c>
      <c r="N293">
        <v>12</v>
      </c>
      <c r="O293">
        <v>15</v>
      </c>
      <c r="P293">
        <v>2</v>
      </c>
      <c r="Q293">
        <v>0</v>
      </c>
    </row>
    <row r="294" spans="1:17" x14ac:dyDescent="0.45">
      <c r="A294" t="s">
        <v>68</v>
      </c>
      <c r="B294" t="s">
        <v>20</v>
      </c>
      <c r="C294">
        <v>10</v>
      </c>
      <c r="D294">
        <v>1160</v>
      </c>
      <c r="E294">
        <v>21</v>
      </c>
      <c r="F294">
        <v>22</v>
      </c>
      <c r="G294">
        <v>30</v>
      </c>
      <c r="H294">
        <v>132</v>
      </c>
      <c r="I294">
        <v>337</v>
      </c>
      <c r="J294">
        <v>31</v>
      </c>
      <c r="K294">
        <v>8</v>
      </c>
      <c r="L294">
        <v>20</v>
      </c>
      <c r="M294">
        <v>19</v>
      </c>
      <c r="N294">
        <v>16</v>
      </c>
      <c r="O294">
        <v>14</v>
      </c>
      <c r="P294">
        <v>13</v>
      </c>
      <c r="Q294">
        <v>0</v>
      </c>
    </row>
    <row r="295" spans="1:17" x14ac:dyDescent="0.45">
      <c r="A295" t="s">
        <v>68</v>
      </c>
      <c r="B295" t="s">
        <v>21</v>
      </c>
      <c r="C295">
        <v>10</v>
      </c>
      <c r="D295">
        <v>1439</v>
      </c>
      <c r="E295">
        <v>35</v>
      </c>
      <c r="F295">
        <v>31</v>
      </c>
      <c r="G295">
        <v>107</v>
      </c>
      <c r="H295">
        <v>68</v>
      </c>
      <c r="I295">
        <v>327</v>
      </c>
      <c r="J295">
        <v>37</v>
      </c>
      <c r="K295">
        <v>30</v>
      </c>
      <c r="L295">
        <v>19</v>
      </c>
      <c r="M295">
        <v>25</v>
      </c>
      <c r="N295">
        <v>37</v>
      </c>
      <c r="O295">
        <v>35</v>
      </c>
      <c r="P295">
        <v>9</v>
      </c>
      <c r="Q295">
        <v>0</v>
      </c>
    </row>
    <row r="296" spans="1:17" x14ac:dyDescent="0.45">
      <c r="A296" t="s">
        <v>68</v>
      </c>
      <c r="B296" t="s">
        <v>20</v>
      </c>
      <c r="C296">
        <v>11</v>
      </c>
      <c r="D296">
        <v>943</v>
      </c>
      <c r="E296">
        <v>21</v>
      </c>
      <c r="F296">
        <v>41</v>
      </c>
      <c r="G296">
        <v>17</v>
      </c>
      <c r="H296">
        <v>160</v>
      </c>
      <c r="I296">
        <v>349</v>
      </c>
      <c r="J296">
        <v>24</v>
      </c>
      <c r="K296">
        <v>33</v>
      </c>
      <c r="L296">
        <v>22</v>
      </c>
      <c r="M296">
        <v>10</v>
      </c>
      <c r="N296">
        <v>30</v>
      </c>
      <c r="O296">
        <v>26</v>
      </c>
      <c r="P296">
        <v>9</v>
      </c>
      <c r="Q296">
        <v>0</v>
      </c>
    </row>
    <row r="297" spans="1:17" x14ac:dyDescent="0.45">
      <c r="A297" t="s">
        <v>68</v>
      </c>
      <c r="B297" t="s">
        <v>21</v>
      </c>
      <c r="C297">
        <v>11</v>
      </c>
      <c r="D297">
        <v>1094</v>
      </c>
      <c r="E297">
        <v>18</v>
      </c>
      <c r="F297">
        <v>18</v>
      </c>
      <c r="G297">
        <v>57</v>
      </c>
      <c r="H297">
        <v>79</v>
      </c>
      <c r="I297">
        <v>208</v>
      </c>
      <c r="J297">
        <v>27</v>
      </c>
      <c r="K297">
        <v>26</v>
      </c>
      <c r="L297">
        <v>10</v>
      </c>
      <c r="M297">
        <v>25</v>
      </c>
      <c r="N297">
        <v>28</v>
      </c>
      <c r="O297">
        <v>19</v>
      </c>
      <c r="P297">
        <v>5</v>
      </c>
      <c r="Q297">
        <v>0</v>
      </c>
    </row>
    <row r="298" spans="1:17" x14ac:dyDescent="0.45">
      <c r="A298" t="s">
        <v>68</v>
      </c>
      <c r="B298" t="s">
        <v>20</v>
      </c>
      <c r="C298">
        <v>12</v>
      </c>
      <c r="D298">
        <v>1003</v>
      </c>
      <c r="E298">
        <v>22</v>
      </c>
      <c r="F298">
        <v>36</v>
      </c>
      <c r="G298">
        <v>33</v>
      </c>
      <c r="H298">
        <v>188</v>
      </c>
      <c r="I298">
        <v>316</v>
      </c>
      <c r="J298">
        <v>40</v>
      </c>
      <c r="K298">
        <v>62</v>
      </c>
      <c r="L298">
        <v>13</v>
      </c>
      <c r="M298">
        <v>13</v>
      </c>
      <c r="N298">
        <v>27</v>
      </c>
      <c r="O298">
        <v>36</v>
      </c>
      <c r="P298">
        <v>12</v>
      </c>
      <c r="Q298">
        <v>0</v>
      </c>
    </row>
    <row r="299" spans="1:17" x14ac:dyDescent="0.45">
      <c r="A299" t="s">
        <v>68</v>
      </c>
      <c r="B299" t="s">
        <v>21</v>
      </c>
      <c r="C299">
        <v>12</v>
      </c>
      <c r="D299">
        <v>1184</v>
      </c>
      <c r="E299">
        <v>9</v>
      </c>
      <c r="F299">
        <v>25</v>
      </c>
      <c r="G299">
        <v>155</v>
      </c>
      <c r="H299">
        <v>61</v>
      </c>
      <c r="I299">
        <v>237</v>
      </c>
      <c r="J299">
        <v>32</v>
      </c>
      <c r="K299">
        <v>34</v>
      </c>
      <c r="L299">
        <v>19</v>
      </c>
      <c r="M299">
        <v>24</v>
      </c>
      <c r="N299">
        <v>33</v>
      </c>
      <c r="O299">
        <v>30</v>
      </c>
      <c r="P299">
        <v>14</v>
      </c>
      <c r="Q299">
        <v>0</v>
      </c>
    </row>
    <row r="300" spans="1:17" x14ac:dyDescent="0.45">
      <c r="A300" t="s">
        <v>75</v>
      </c>
      <c r="B300" t="s">
        <v>20</v>
      </c>
      <c r="C300">
        <v>1</v>
      </c>
      <c r="D300">
        <v>655</v>
      </c>
      <c r="E300">
        <v>26</v>
      </c>
      <c r="F300">
        <v>23</v>
      </c>
      <c r="G300">
        <v>112</v>
      </c>
      <c r="H300">
        <v>6</v>
      </c>
      <c r="I300">
        <v>88</v>
      </c>
      <c r="J300">
        <v>21</v>
      </c>
      <c r="K300">
        <v>76</v>
      </c>
      <c r="L300">
        <v>21</v>
      </c>
      <c r="M300">
        <v>21</v>
      </c>
      <c r="N300">
        <v>52</v>
      </c>
      <c r="O300">
        <v>38</v>
      </c>
      <c r="P300">
        <v>16</v>
      </c>
      <c r="Q300">
        <v>5</v>
      </c>
    </row>
    <row r="301" spans="1:17" x14ac:dyDescent="0.45">
      <c r="A301" t="s">
        <v>75</v>
      </c>
      <c r="B301" t="s">
        <v>21</v>
      </c>
      <c r="C301">
        <v>1</v>
      </c>
      <c r="D301">
        <v>797</v>
      </c>
      <c r="E301">
        <v>58</v>
      </c>
      <c r="F301">
        <v>20</v>
      </c>
      <c r="G301">
        <v>91</v>
      </c>
      <c r="H301">
        <v>11</v>
      </c>
      <c r="I301">
        <v>107</v>
      </c>
      <c r="J301">
        <v>27</v>
      </c>
      <c r="K301">
        <v>59</v>
      </c>
      <c r="L301">
        <v>23</v>
      </c>
      <c r="M301">
        <v>15</v>
      </c>
      <c r="N301">
        <v>46</v>
      </c>
      <c r="O301">
        <v>39</v>
      </c>
      <c r="P301">
        <v>7</v>
      </c>
      <c r="Q301">
        <v>0</v>
      </c>
    </row>
    <row r="302" spans="1:17" x14ac:dyDescent="0.45">
      <c r="A302" t="s">
        <v>75</v>
      </c>
      <c r="B302" t="s">
        <v>20</v>
      </c>
      <c r="C302">
        <v>2</v>
      </c>
      <c r="D302">
        <v>678</v>
      </c>
      <c r="E302">
        <v>25</v>
      </c>
      <c r="F302">
        <v>14</v>
      </c>
      <c r="G302">
        <v>81</v>
      </c>
      <c r="H302">
        <v>22</v>
      </c>
      <c r="I302">
        <v>117</v>
      </c>
      <c r="J302">
        <v>16</v>
      </c>
      <c r="K302">
        <v>52</v>
      </c>
      <c r="L302">
        <v>19</v>
      </c>
      <c r="M302">
        <v>14</v>
      </c>
      <c r="N302">
        <v>24</v>
      </c>
      <c r="O302">
        <v>35</v>
      </c>
      <c r="P302">
        <v>5</v>
      </c>
      <c r="Q302">
        <v>2</v>
      </c>
    </row>
    <row r="303" spans="1:17" x14ac:dyDescent="0.45">
      <c r="A303" t="s">
        <v>75</v>
      </c>
      <c r="B303" t="s">
        <v>21</v>
      </c>
      <c r="C303">
        <v>2</v>
      </c>
      <c r="D303">
        <v>788</v>
      </c>
      <c r="E303">
        <v>21</v>
      </c>
      <c r="F303">
        <v>20</v>
      </c>
      <c r="G303">
        <v>34</v>
      </c>
      <c r="H303">
        <v>61</v>
      </c>
      <c r="I303">
        <v>133</v>
      </c>
      <c r="J303">
        <v>13</v>
      </c>
      <c r="K303">
        <v>70</v>
      </c>
      <c r="L303">
        <v>24</v>
      </c>
      <c r="M303">
        <v>18</v>
      </c>
      <c r="N303">
        <v>52</v>
      </c>
      <c r="O303">
        <v>28</v>
      </c>
      <c r="P303">
        <v>17</v>
      </c>
      <c r="Q303">
        <v>9</v>
      </c>
    </row>
    <row r="304" spans="1:17" x14ac:dyDescent="0.45">
      <c r="A304" t="s">
        <v>75</v>
      </c>
      <c r="B304" t="s">
        <v>20</v>
      </c>
      <c r="C304">
        <v>3</v>
      </c>
      <c r="D304">
        <v>819</v>
      </c>
      <c r="E304">
        <v>39</v>
      </c>
      <c r="F304">
        <v>44</v>
      </c>
      <c r="G304">
        <v>139</v>
      </c>
      <c r="H304">
        <v>16</v>
      </c>
      <c r="I304">
        <v>102</v>
      </c>
      <c r="J304">
        <v>20</v>
      </c>
      <c r="K304">
        <v>90</v>
      </c>
      <c r="L304">
        <v>25</v>
      </c>
      <c r="M304">
        <v>33</v>
      </c>
      <c r="N304">
        <v>100</v>
      </c>
      <c r="O304">
        <v>73</v>
      </c>
      <c r="P304">
        <v>76</v>
      </c>
      <c r="Q304">
        <v>13</v>
      </c>
    </row>
    <row r="305" spans="1:17" x14ac:dyDescent="0.45">
      <c r="A305" t="s">
        <v>75</v>
      </c>
      <c r="B305" t="s">
        <v>21</v>
      </c>
      <c r="C305">
        <v>3</v>
      </c>
      <c r="D305">
        <v>958</v>
      </c>
      <c r="E305">
        <v>60</v>
      </c>
      <c r="F305">
        <v>46</v>
      </c>
      <c r="G305">
        <v>173</v>
      </c>
      <c r="H305">
        <v>27</v>
      </c>
      <c r="I305">
        <v>179</v>
      </c>
      <c r="J305">
        <v>44</v>
      </c>
      <c r="K305">
        <v>121</v>
      </c>
      <c r="L305">
        <v>36</v>
      </c>
      <c r="M305">
        <v>50</v>
      </c>
      <c r="N305">
        <v>206</v>
      </c>
      <c r="O305">
        <v>130</v>
      </c>
      <c r="P305">
        <v>132</v>
      </c>
      <c r="Q305">
        <v>12</v>
      </c>
    </row>
    <row r="306" spans="1:17" x14ac:dyDescent="0.45">
      <c r="A306" t="s">
        <v>75</v>
      </c>
      <c r="B306" t="s">
        <v>20</v>
      </c>
      <c r="C306">
        <v>4</v>
      </c>
      <c r="D306">
        <v>880</v>
      </c>
      <c r="E306">
        <v>78</v>
      </c>
      <c r="F306">
        <v>41</v>
      </c>
      <c r="G306">
        <v>215</v>
      </c>
      <c r="H306">
        <v>21</v>
      </c>
      <c r="I306">
        <v>223</v>
      </c>
      <c r="J306">
        <v>60</v>
      </c>
      <c r="K306">
        <v>304</v>
      </c>
      <c r="L306">
        <v>98</v>
      </c>
      <c r="M306">
        <v>64</v>
      </c>
      <c r="N306">
        <v>281</v>
      </c>
      <c r="O306">
        <v>223</v>
      </c>
      <c r="P306">
        <v>195</v>
      </c>
      <c r="Q306">
        <v>6</v>
      </c>
    </row>
    <row r="307" spans="1:17" x14ac:dyDescent="0.45">
      <c r="A307" t="s">
        <v>75</v>
      </c>
      <c r="B307" t="s">
        <v>21</v>
      </c>
      <c r="C307">
        <v>4</v>
      </c>
      <c r="D307">
        <v>1006</v>
      </c>
      <c r="E307">
        <v>69</v>
      </c>
      <c r="F307">
        <v>56</v>
      </c>
      <c r="G307">
        <v>182</v>
      </c>
      <c r="H307">
        <v>59</v>
      </c>
      <c r="I307">
        <v>173</v>
      </c>
      <c r="J307">
        <v>61</v>
      </c>
      <c r="K307">
        <v>238</v>
      </c>
      <c r="L307">
        <v>102</v>
      </c>
      <c r="M307">
        <v>64</v>
      </c>
      <c r="N307">
        <v>271</v>
      </c>
      <c r="O307">
        <v>168</v>
      </c>
      <c r="P307">
        <v>136</v>
      </c>
      <c r="Q307">
        <v>9</v>
      </c>
    </row>
    <row r="308" spans="1:17" x14ac:dyDescent="0.45">
      <c r="A308" t="s">
        <v>75</v>
      </c>
      <c r="B308" t="s">
        <v>20</v>
      </c>
      <c r="C308">
        <v>5</v>
      </c>
      <c r="D308">
        <v>691</v>
      </c>
      <c r="E308">
        <v>70</v>
      </c>
      <c r="F308">
        <v>34</v>
      </c>
      <c r="G308">
        <v>139</v>
      </c>
      <c r="H308">
        <v>27</v>
      </c>
      <c r="I308">
        <v>152</v>
      </c>
      <c r="J308">
        <v>35</v>
      </c>
      <c r="K308">
        <v>98</v>
      </c>
      <c r="L308">
        <v>44</v>
      </c>
      <c r="M308">
        <v>43</v>
      </c>
      <c r="N308">
        <v>177</v>
      </c>
      <c r="O308">
        <v>116</v>
      </c>
      <c r="P308">
        <v>70</v>
      </c>
      <c r="Q308">
        <v>4</v>
      </c>
    </row>
    <row r="309" spans="1:17" x14ac:dyDescent="0.45">
      <c r="A309" t="s">
        <v>75</v>
      </c>
      <c r="B309" t="s">
        <v>21</v>
      </c>
      <c r="C309">
        <v>5</v>
      </c>
      <c r="D309">
        <v>845</v>
      </c>
      <c r="E309">
        <v>44</v>
      </c>
      <c r="F309">
        <v>47</v>
      </c>
      <c r="G309">
        <v>146</v>
      </c>
      <c r="H309">
        <v>51</v>
      </c>
      <c r="I309">
        <v>186</v>
      </c>
      <c r="J309">
        <v>47</v>
      </c>
      <c r="K309">
        <v>196</v>
      </c>
      <c r="L309">
        <v>112</v>
      </c>
      <c r="M309">
        <v>39</v>
      </c>
      <c r="N309">
        <v>203</v>
      </c>
      <c r="O309">
        <v>128</v>
      </c>
      <c r="P309">
        <v>93</v>
      </c>
      <c r="Q309">
        <v>12</v>
      </c>
    </row>
    <row r="310" spans="1:17" x14ac:dyDescent="0.45">
      <c r="A310" t="s">
        <v>75</v>
      </c>
      <c r="B310" t="s">
        <v>20</v>
      </c>
      <c r="C310">
        <v>6</v>
      </c>
      <c r="D310">
        <v>820</v>
      </c>
      <c r="E310">
        <v>59</v>
      </c>
      <c r="F310">
        <v>67</v>
      </c>
      <c r="G310">
        <v>113</v>
      </c>
      <c r="H310">
        <v>48</v>
      </c>
      <c r="I310">
        <v>194</v>
      </c>
      <c r="J310">
        <v>47</v>
      </c>
      <c r="K310">
        <v>87</v>
      </c>
      <c r="L310">
        <v>38</v>
      </c>
      <c r="M310">
        <v>42</v>
      </c>
      <c r="N310">
        <v>97</v>
      </c>
      <c r="O310">
        <v>91</v>
      </c>
      <c r="P310">
        <v>38</v>
      </c>
      <c r="Q310">
        <v>7</v>
      </c>
    </row>
    <row r="311" spans="1:17" x14ac:dyDescent="0.45">
      <c r="A311" t="s">
        <v>75</v>
      </c>
      <c r="B311" t="s">
        <v>21</v>
      </c>
      <c r="C311">
        <v>6</v>
      </c>
      <c r="D311">
        <v>917</v>
      </c>
      <c r="E311">
        <v>62</v>
      </c>
      <c r="F311">
        <v>53</v>
      </c>
      <c r="G311">
        <v>125</v>
      </c>
      <c r="H311">
        <v>24</v>
      </c>
      <c r="I311">
        <v>185</v>
      </c>
      <c r="J311">
        <v>24</v>
      </c>
      <c r="K311">
        <v>74</v>
      </c>
      <c r="L311">
        <v>32</v>
      </c>
      <c r="M311">
        <v>53</v>
      </c>
      <c r="N311">
        <v>111</v>
      </c>
      <c r="O311">
        <v>61</v>
      </c>
      <c r="P311">
        <v>40</v>
      </c>
      <c r="Q311">
        <v>2</v>
      </c>
    </row>
    <row r="312" spans="1:17" x14ac:dyDescent="0.45">
      <c r="A312" t="s">
        <v>75</v>
      </c>
      <c r="B312" t="s">
        <v>20</v>
      </c>
      <c r="C312">
        <v>7</v>
      </c>
      <c r="D312">
        <v>680</v>
      </c>
      <c r="E312">
        <v>63</v>
      </c>
      <c r="F312">
        <v>46</v>
      </c>
      <c r="G312">
        <v>57</v>
      </c>
      <c r="H312">
        <v>28</v>
      </c>
      <c r="I312">
        <v>178</v>
      </c>
      <c r="J312">
        <v>19</v>
      </c>
      <c r="K312">
        <v>43</v>
      </c>
      <c r="L312">
        <v>13</v>
      </c>
      <c r="M312">
        <v>37</v>
      </c>
      <c r="N312">
        <v>39</v>
      </c>
      <c r="O312">
        <v>52</v>
      </c>
      <c r="P312">
        <v>17</v>
      </c>
      <c r="Q312">
        <v>4</v>
      </c>
    </row>
    <row r="313" spans="1:17" x14ac:dyDescent="0.45">
      <c r="A313" t="s">
        <v>75</v>
      </c>
      <c r="B313" t="s">
        <v>21</v>
      </c>
      <c r="C313">
        <v>7</v>
      </c>
      <c r="D313">
        <v>839</v>
      </c>
      <c r="E313">
        <v>47</v>
      </c>
      <c r="F313">
        <v>46</v>
      </c>
      <c r="G313">
        <v>42</v>
      </c>
      <c r="H313">
        <v>53</v>
      </c>
      <c r="I313">
        <v>215</v>
      </c>
      <c r="J313">
        <v>30</v>
      </c>
      <c r="K313">
        <v>33</v>
      </c>
      <c r="L313">
        <v>34</v>
      </c>
      <c r="M313">
        <v>51</v>
      </c>
      <c r="N313">
        <v>51</v>
      </c>
      <c r="O313">
        <v>60</v>
      </c>
      <c r="P313">
        <v>15</v>
      </c>
      <c r="Q313">
        <v>0</v>
      </c>
    </row>
    <row r="314" spans="1:17" x14ac:dyDescent="0.45">
      <c r="A314" t="s">
        <v>75</v>
      </c>
      <c r="B314" t="s">
        <v>20</v>
      </c>
      <c r="C314">
        <v>8</v>
      </c>
      <c r="D314">
        <v>620</v>
      </c>
      <c r="E314">
        <v>37</v>
      </c>
      <c r="F314">
        <v>27</v>
      </c>
      <c r="G314">
        <v>34</v>
      </c>
      <c r="H314">
        <v>10</v>
      </c>
      <c r="I314">
        <v>147</v>
      </c>
      <c r="J314">
        <v>27</v>
      </c>
      <c r="K314">
        <v>11</v>
      </c>
      <c r="L314">
        <v>16</v>
      </c>
      <c r="M314">
        <v>25</v>
      </c>
      <c r="N314">
        <v>22</v>
      </c>
      <c r="O314">
        <v>26</v>
      </c>
      <c r="P314">
        <v>1</v>
      </c>
      <c r="Q314">
        <v>1</v>
      </c>
    </row>
    <row r="315" spans="1:17" x14ac:dyDescent="0.45">
      <c r="A315" t="s">
        <v>75</v>
      </c>
      <c r="B315" t="s">
        <v>21</v>
      </c>
      <c r="C315">
        <v>8</v>
      </c>
      <c r="D315">
        <v>747</v>
      </c>
      <c r="E315">
        <v>38</v>
      </c>
      <c r="F315">
        <v>32</v>
      </c>
      <c r="G315">
        <v>61</v>
      </c>
      <c r="H315">
        <v>15</v>
      </c>
      <c r="I315">
        <v>196</v>
      </c>
      <c r="J315">
        <v>28</v>
      </c>
      <c r="K315">
        <v>11</v>
      </c>
      <c r="L315">
        <v>12</v>
      </c>
      <c r="M315">
        <v>38</v>
      </c>
      <c r="N315">
        <v>27</v>
      </c>
      <c r="O315">
        <v>44</v>
      </c>
      <c r="P315">
        <v>8</v>
      </c>
      <c r="Q315">
        <v>0</v>
      </c>
    </row>
    <row r="316" spans="1:17" x14ac:dyDescent="0.45">
      <c r="A316" t="s">
        <v>75</v>
      </c>
      <c r="B316" t="s">
        <v>20</v>
      </c>
      <c r="C316">
        <v>9</v>
      </c>
      <c r="D316">
        <v>765</v>
      </c>
      <c r="E316">
        <v>52</v>
      </c>
      <c r="F316">
        <v>34</v>
      </c>
      <c r="G316">
        <v>35</v>
      </c>
      <c r="H316">
        <v>44</v>
      </c>
      <c r="I316">
        <v>218</v>
      </c>
      <c r="J316">
        <v>22</v>
      </c>
      <c r="K316">
        <v>14</v>
      </c>
      <c r="L316">
        <v>6</v>
      </c>
      <c r="M316">
        <v>28</v>
      </c>
      <c r="N316">
        <v>21</v>
      </c>
      <c r="O316">
        <v>34</v>
      </c>
      <c r="P316">
        <v>6</v>
      </c>
      <c r="Q316">
        <v>0</v>
      </c>
    </row>
    <row r="317" spans="1:17" x14ac:dyDescent="0.45">
      <c r="A317" t="s">
        <v>75</v>
      </c>
      <c r="B317" t="s">
        <v>21</v>
      </c>
      <c r="C317">
        <v>9</v>
      </c>
      <c r="D317">
        <v>797</v>
      </c>
      <c r="E317">
        <v>37</v>
      </c>
      <c r="F317">
        <v>33</v>
      </c>
      <c r="G317">
        <v>68</v>
      </c>
      <c r="H317">
        <v>23</v>
      </c>
      <c r="I317">
        <v>199</v>
      </c>
      <c r="J317">
        <v>41</v>
      </c>
      <c r="K317">
        <v>4</v>
      </c>
      <c r="L317">
        <v>11</v>
      </c>
      <c r="M317">
        <v>46</v>
      </c>
      <c r="N317">
        <v>30</v>
      </c>
      <c r="O317">
        <v>15</v>
      </c>
      <c r="P317">
        <v>5</v>
      </c>
      <c r="Q317">
        <v>2</v>
      </c>
    </row>
    <row r="318" spans="1:17" x14ac:dyDescent="0.45">
      <c r="A318" t="s">
        <v>75</v>
      </c>
      <c r="B318" t="s">
        <v>20</v>
      </c>
      <c r="C318">
        <v>10</v>
      </c>
      <c r="D318">
        <v>947</v>
      </c>
      <c r="E318">
        <v>55</v>
      </c>
      <c r="F318">
        <v>50</v>
      </c>
      <c r="G318">
        <v>63</v>
      </c>
      <c r="H318">
        <v>68</v>
      </c>
      <c r="I318">
        <v>249</v>
      </c>
      <c r="J318">
        <v>45</v>
      </c>
      <c r="K318">
        <v>33</v>
      </c>
      <c r="L318">
        <v>13</v>
      </c>
      <c r="M318">
        <v>62</v>
      </c>
      <c r="N318">
        <v>34</v>
      </c>
      <c r="O318">
        <v>47</v>
      </c>
      <c r="P318">
        <v>9</v>
      </c>
      <c r="Q318">
        <v>1</v>
      </c>
    </row>
    <row r="319" spans="1:17" x14ac:dyDescent="0.45">
      <c r="A319" t="s">
        <v>75</v>
      </c>
      <c r="B319" t="s">
        <v>21</v>
      </c>
      <c r="C319">
        <v>10</v>
      </c>
      <c r="D319">
        <v>1155</v>
      </c>
      <c r="E319">
        <v>75</v>
      </c>
      <c r="F319">
        <v>60</v>
      </c>
      <c r="G319">
        <v>109</v>
      </c>
      <c r="H319">
        <v>29</v>
      </c>
      <c r="I319">
        <v>263</v>
      </c>
      <c r="J319">
        <v>64</v>
      </c>
      <c r="K319">
        <v>54</v>
      </c>
      <c r="L319">
        <v>26</v>
      </c>
      <c r="M319">
        <v>80</v>
      </c>
      <c r="N319">
        <v>75</v>
      </c>
      <c r="O319">
        <v>65</v>
      </c>
      <c r="P319">
        <v>17</v>
      </c>
      <c r="Q319">
        <v>2</v>
      </c>
    </row>
    <row r="320" spans="1:17" x14ac:dyDescent="0.45">
      <c r="A320" t="s">
        <v>75</v>
      </c>
      <c r="B320" t="s">
        <v>20</v>
      </c>
      <c r="C320">
        <v>11</v>
      </c>
      <c r="D320">
        <v>870</v>
      </c>
      <c r="E320">
        <v>74</v>
      </c>
      <c r="F320">
        <v>43</v>
      </c>
      <c r="G320">
        <v>131</v>
      </c>
      <c r="H320">
        <v>72</v>
      </c>
      <c r="I320">
        <v>213</v>
      </c>
      <c r="J320">
        <v>35</v>
      </c>
      <c r="K320">
        <v>47</v>
      </c>
      <c r="L320">
        <v>22</v>
      </c>
      <c r="M320">
        <v>63</v>
      </c>
      <c r="N320">
        <v>66</v>
      </c>
      <c r="O320">
        <v>78</v>
      </c>
      <c r="P320">
        <v>17</v>
      </c>
      <c r="Q320">
        <v>0</v>
      </c>
    </row>
    <row r="321" spans="1:17" x14ac:dyDescent="0.45">
      <c r="A321" t="s">
        <v>75</v>
      </c>
      <c r="B321" t="s">
        <v>21</v>
      </c>
      <c r="C321">
        <v>11</v>
      </c>
      <c r="D321">
        <v>1045</v>
      </c>
      <c r="E321">
        <v>46</v>
      </c>
      <c r="F321">
        <v>30</v>
      </c>
      <c r="G321">
        <v>85</v>
      </c>
      <c r="H321">
        <v>73</v>
      </c>
      <c r="I321">
        <v>214</v>
      </c>
      <c r="J321">
        <v>38</v>
      </c>
      <c r="K321">
        <v>41</v>
      </c>
      <c r="L321">
        <v>32</v>
      </c>
      <c r="M321">
        <v>56</v>
      </c>
      <c r="N321">
        <v>53</v>
      </c>
      <c r="O321">
        <v>49</v>
      </c>
      <c r="P321">
        <v>13</v>
      </c>
      <c r="Q321">
        <v>1</v>
      </c>
    </row>
    <row r="322" spans="1:17" x14ac:dyDescent="0.45">
      <c r="A322" t="s">
        <v>75</v>
      </c>
      <c r="B322" t="s">
        <v>20</v>
      </c>
      <c r="C322">
        <v>12</v>
      </c>
      <c r="D322">
        <v>812</v>
      </c>
      <c r="E322">
        <v>54</v>
      </c>
      <c r="F322">
        <v>31</v>
      </c>
      <c r="G322">
        <v>143</v>
      </c>
      <c r="H322">
        <v>34</v>
      </c>
      <c r="I322">
        <v>170</v>
      </c>
      <c r="J322">
        <v>60</v>
      </c>
      <c r="K322">
        <v>86</v>
      </c>
      <c r="L322">
        <v>40</v>
      </c>
      <c r="M322">
        <v>51</v>
      </c>
      <c r="N322">
        <v>55</v>
      </c>
      <c r="O322">
        <v>56</v>
      </c>
      <c r="P322">
        <v>26</v>
      </c>
      <c r="Q322">
        <v>3</v>
      </c>
    </row>
    <row r="323" spans="1:17" x14ac:dyDescent="0.45">
      <c r="A323" t="s">
        <v>75</v>
      </c>
      <c r="B323" t="s">
        <v>21</v>
      </c>
      <c r="C323">
        <v>12</v>
      </c>
      <c r="D323">
        <v>986</v>
      </c>
      <c r="E323">
        <v>55</v>
      </c>
      <c r="F323">
        <v>31</v>
      </c>
      <c r="G323">
        <v>162</v>
      </c>
      <c r="H323">
        <v>42</v>
      </c>
      <c r="I323">
        <v>202</v>
      </c>
      <c r="J323">
        <v>49</v>
      </c>
      <c r="K323">
        <v>97</v>
      </c>
      <c r="L323">
        <v>43</v>
      </c>
      <c r="M323">
        <v>52</v>
      </c>
      <c r="N323">
        <v>84</v>
      </c>
      <c r="O323">
        <v>61</v>
      </c>
      <c r="P323">
        <v>17</v>
      </c>
      <c r="Q323">
        <v>5</v>
      </c>
    </row>
    <row r="324" spans="1:17" x14ac:dyDescent="0.45">
      <c r="A324" t="s">
        <v>43</v>
      </c>
      <c r="B324" t="s">
        <v>20</v>
      </c>
      <c r="C324">
        <v>1</v>
      </c>
      <c r="D324">
        <v>479</v>
      </c>
      <c r="E324">
        <v>28</v>
      </c>
      <c r="F324">
        <v>18</v>
      </c>
      <c r="G324">
        <v>109</v>
      </c>
      <c r="H324">
        <v>2</v>
      </c>
      <c r="I324">
        <v>83</v>
      </c>
      <c r="J324">
        <v>18</v>
      </c>
      <c r="K324">
        <v>68</v>
      </c>
      <c r="L324">
        <v>14</v>
      </c>
      <c r="M324">
        <v>16</v>
      </c>
      <c r="N324">
        <v>25</v>
      </c>
      <c r="O324">
        <v>39</v>
      </c>
      <c r="P324">
        <v>12</v>
      </c>
      <c r="Q324">
        <v>12</v>
      </c>
    </row>
    <row r="325" spans="1:17" x14ac:dyDescent="0.45">
      <c r="A325" t="s">
        <v>43</v>
      </c>
      <c r="B325" t="s">
        <v>21</v>
      </c>
      <c r="C325">
        <v>1</v>
      </c>
      <c r="D325">
        <v>549</v>
      </c>
      <c r="E325">
        <v>26</v>
      </c>
      <c r="F325">
        <v>21</v>
      </c>
      <c r="G325">
        <v>121</v>
      </c>
      <c r="H325">
        <v>4</v>
      </c>
      <c r="I325">
        <v>90</v>
      </c>
      <c r="J325">
        <v>17</v>
      </c>
      <c r="K325">
        <v>77</v>
      </c>
      <c r="L325">
        <v>8</v>
      </c>
      <c r="M325">
        <v>15</v>
      </c>
      <c r="N325">
        <v>34</v>
      </c>
      <c r="O325">
        <v>51</v>
      </c>
      <c r="P325">
        <v>14</v>
      </c>
      <c r="Q325">
        <v>11</v>
      </c>
    </row>
    <row r="326" spans="1:17" x14ac:dyDescent="0.45">
      <c r="A326" t="s">
        <v>43</v>
      </c>
      <c r="B326" t="s">
        <v>20</v>
      </c>
      <c r="C326">
        <v>2</v>
      </c>
      <c r="D326">
        <v>448</v>
      </c>
      <c r="E326">
        <v>24</v>
      </c>
      <c r="F326">
        <v>16</v>
      </c>
      <c r="G326">
        <v>63</v>
      </c>
      <c r="H326">
        <v>39</v>
      </c>
      <c r="I326">
        <v>94</v>
      </c>
      <c r="J326">
        <v>13</v>
      </c>
      <c r="K326">
        <v>53</v>
      </c>
      <c r="L326">
        <v>10</v>
      </c>
      <c r="M326">
        <v>12</v>
      </c>
      <c r="N326">
        <v>27</v>
      </c>
      <c r="O326">
        <v>58</v>
      </c>
      <c r="P326">
        <v>17</v>
      </c>
      <c r="Q326">
        <v>1</v>
      </c>
    </row>
    <row r="327" spans="1:17" x14ac:dyDescent="0.45">
      <c r="A327" t="s">
        <v>43</v>
      </c>
      <c r="B327" t="s">
        <v>21</v>
      </c>
      <c r="C327">
        <v>2</v>
      </c>
      <c r="D327">
        <v>578</v>
      </c>
      <c r="E327">
        <v>16</v>
      </c>
      <c r="F327">
        <v>16</v>
      </c>
      <c r="G327">
        <v>61</v>
      </c>
      <c r="H327">
        <v>29</v>
      </c>
      <c r="I327">
        <v>107</v>
      </c>
      <c r="J327">
        <v>13</v>
      </c>
      <c r="K327">
        <v>66</v>
      </c>
      <c r="L327">
        <v>10</v>
      </c>
      <c r="M327">
        <v>10</v>
      </c>
      <c r="N327">
        <v>19</v>
      </c>
      <c r="O327">
        <v>51</v>
      </c>
      <c r="P327">
        <v>10</v>
      </c>
      <c r="Q327">
        <v>2</v>
      </c>
    </row>
    <row r="328" spans="1:17" x14ac:dyDescent="0.45">
      <c r="A328" t="s">
        <v>43</v>
      </c>
      <c r="B328" t="s">
        <v>20</v>
      </c>
      <c r="C328">
        <v>3</v>
      </c>
      <c r="D328">
        <v>637</v>
      </c>
      <c r="E328">
        <v>17</v>
      </c>
      <c r="F328">
        <v>36</v>
      </c>
      <c r="G328">
        <v>150</v>
      </c>
      <c r="H328">
        <v>4</v>
      </c>
      <c r="I328">
        <v>89</v>
      </c>
      <c r="J328">
        <v>18</v>
      </c>
      <c r="K328">
        <v>84</v>
      </c>
      <c r="L328">
        <v>16</v>
      </c>
      <c r="M328">
        <v>23</v>
      </c>
      <c r="N328">
        <v>96</v>
      </c>
      <c r="O328">
        <v>93</v>
      </c>
      <c r="P328">
        <v>93</v>
      </c>
      <c r="Q328">
        <v>7</v>
      </c>
    </row>
    <row r="329" spans="1:17" x14ac:dyDescent="0.45">
      <c r="A329" t="s">
        <v>43</v>
      </c>
      <c r="B329" t="s">
        <v>21</v>
      </c>
      <c r="C329">
        <v>3</v>
      </c>
      <c r="D329">
        <v>686</v>
      </c>
      <c r="E329">
        <v>48</v>
      </c>
      <c r="F329">
        <v>31</v>
      </c>
      <c r="G329">
        <v>145</v>
      </c>
      <c r="H329">
        <v>17</v>
      </c>
      <c r="I329">
        <v>105</v>
      </c>
      <c r="J329">
        <v>22</v>
      </c>
      <c r="K329">
        <v>114</v>
      </c>
      <c r="L329">
        <v>25</v>
      </c>
      <c r="M329">
        <v>13</v>
      </c>
      <c r="N329">
        <v>161</v>
      </c>
      <c r="O329">
        <v>149</v>
      </c>
      <c r="P329">
        <v>144</v>
      </c>
      <c r="Q329">
        <v>10</v>
      </c>
    </row>
    <row r="330" spans="1:17" x14ac:dyDescent="0.45">
      <c r="A330" t="s">
        <v>43</v>
      </c>
      <c r="B330" t="s">
        <v>20</v>
      </c>
      <c r="C330">
        <v>4</v>
      </c>
      <c r="D330">
        <v>642</v>
      </c>
      <c r="E330">
        <v>52</v>
      </c>
      <c r="F330">
        <v>56</v>
      </c>
      <c r="G330">
        <v>182</v>
      </c>
      <c r="H330">
        <v>8</v>
      </c>
      <c r="I330">
        <v>121</v>
      </c>
      <c r="J330">
        <v>45</v>
      </c>
      <c r="K330">
        <v>147</v>
      </c>
      <c r="L330">
        <v>56</v>
      </c>
      <c r="M330">
        <v>38</v>
      </c>
      <c r="N330">
        <v>224</v>
      </c>
      <c r="O330">
        <v>282</v>
      </c>
      <c r="P330">
        <v>190</v>
      </c>
      <c r="Q330">
        <v>16</v>
      </c>
    </row>
    <row r="331" spans="1:17" x14ac:dyDescent="0.45">
      <c r="A331" t="s">
        <v>43</v>
      </c>
      <c r="B331" t="s">
        <v>21</v>
      </c>
      <c r="C331">
        <v>4</v>
      </c>
      <c r="D331">
        <v>755</v>
      </c>
      <c r="E331">
        <v>25</v>
      </c>
      <c r="F331">
        <v>40</v>
      </c>
      <c r="G331">
        <v>165</v>
      </c>
      <c r="H331">
        <v>26</v>
      </c>
      <c r="I331">
        <v>170</v>
      </c>
      <c r="J331">
        <v>39</v>
      </c>
      <c r="K331">
        <v>167</v>
      </c>
      <c r="L331">
        <v>59</v>
      </c>
      <c r="M331">
        <v>28</v>
      </c>
      <c r="N331">
        <v>201</v>
      </c>
      <c r="O331">
        <v>205</v>
      </c>
      <c r="P331">
        <v>167</v>
      </c>
      <c r="Q331">
        <v>10</v>
      </c>
    </row>
    <row r="332" spans="1:17" x14ac:dyDescent="0.45">
      <c r="A332" t="s">
        <v>43</v>
      </c>
      <c r="B332" t="s">
        <v>20</v>
      </c>
      <c r="C332">
        <v>5</v>
      </c>
      <c r="D332">
        <v>525</v>
      </c>
      <c r="E332">
        <v>24</v>
      </c>
      <c r="F332">
        <v>28</v>
      </c>
      <c r="G332">
        <v>110</v>
      </c>
      <c r="H332">
        <v>14</v>
      </c>
      <c r="I332">
        <v>116</v>
      </c>
      <c r="J332">
        <v>29</v>
      </c>
      <c r="K332">
        <v>81</v>
      </c>
      <c r="L332">
        <v>47</v>
      </c>
      <c r="M332">
        <v>29</v>
      </c>
      <c r="N332">
        <v>126</v>
      </c>
      <c r="O332">
        <v>136</v>
      </c>
      <c r="P332">
        <v>79</v>
      </c>
      <c r="Q332">
        <v>13</v>
      </c>
    </row>
    <row r="333" spans="1:17" x14ac:dyDescent="0.45">
      <c r="A333" t="s">
        <v>43</v>
      </c>
      <c r="B333" t="s">
        <v>21</v>
      </c>
      <c r="C333">
        <v>5</v>
      </c>
      <c r="D333">
        <v>650</v>
      </c>
      <c r="E333">
        <v>61</v>
      </c>
      <c r="F333">
        <v>39</v>
      </c>
      <c r="G333">
        <v>142</v>
      </c>
      <c r="H333">
        <v>33</v>
      </c>
      <c r="I333">
        <v>178</v>
      </c>
      <c r="J333">
        <v>27</v>
      </c>
      <c r="K333">
        <v>102</v>
      </c>
      <c r="L333">
        <v>48</v>
      </c>
      <c r="M333">
        <v>37</v>
      </c>
      <c r="N333">
        <v>116</v>
      </c>
      <c r="O333">
        <v>177</v>
      </c>
      <c r="P333">
        <v>75</v>
      </c>
      <c r="Q333">
        <v>8</v>
      </c>
    </row>
    <row r="334" spans="1:17" x14ac:dyDescent="0.45">
      <c r="A334" t="s">
        <v>43</v>
      </c>
      <c r="B334" t="s">
        <v>20</v>
      </c>
      <c r="C334">
        <v>6</v>
      </c>
      <c r="D334">
        <v>564</v>
      </c>
      <c r="E334">
        <v>26</v>
      </c>
      <c r="F334">
        <v>46</v>
      </c>
      <c r="G334">
        <v>101</v>
      </c>
      <c r="H334">
        <v>20</v>
      </c>
      <c r="I334">
        <v>157</v>
      </c>
      <c r="J334">
        <v>32</v>
      </c>
      <c r="K334">
        <v>56</v>
      </c>
      <c r="L334">
        <v>28</v>
      </c>
      <c r="M334">
        <v>22</v>
      </c>
      <c r="N334">
        <v>82</v>
      </c>
      <c r="O334">
        <v>106</v>
      </c>
      <c r="P334">
        <v>39</v>
      </c>
      <c r="Q334">
        <v>9</v>
      </c>
    </row>
    <row r="335" spans="1:17" x14ac:dyDescent="0.45">
      <c r="A335" t="s">
        <v>43</v>
      </c>
      <c r="B335" t="s">
        <v>21</v>
      </c>
      <c r="C335">
        <v>6</v>
      </c>
      <c r="D335">
        <v>658</v>
      </c>
      <c r="E335">
        <v>49</v>
      </c>
      <c r="F335">
        <v>46</v>
      </c>
      <c r="G335">
        <v>123</v>
      </c>
      <c r="H335">
        <v>14</v>
      </c>
      <c r="I335">
        <v>143</v>
      </c>
      <c r="J335">
        <v>36</v>
      </c>
      <c r="K335">
        <v>46</v>
      </c>
      <c r="L335">
        <v>35</v>
      </c>
      <c r="M335">
        <v>24</v>
      </c>
      <c r="N335">
        <v>102</v>
      </c>
      <c r="O335">
        <v>157</v>
      </c>
      <c r="P335">
        <v>59</v>
      </c>
      <c r="Q335">
        <v>4</v>
      </c>
    </row>
    <row r="336" spans="1:17" x14ac:dyDescent="0.45">
      <c r="A336" t="s">
        <v>43</v>
      </c>
      <c r="B336" t="s">
        <v>20</v>
      </c>
      <c r="C336">
        <v>7</v>
      </c>
      <c r="D336">
        <v>605</v>
      </c>
      <c r="E336">
        <v>29</v>
      </c>
      <c r="F336">
        <v>59</v>
      </c>
      <c r="G336">
        <v>73</v>
      </c>
      <c r="H336">
        <v>18</v>
      </c>
      <c r="I336">
        <v>166</v>
      </c>
      <c r="J336">
        <v>24</v>
      </c>
      <c r="K336">
        <v>11</v>
      </c>
      <c r="L336">
        <v>20</v>
      </c>
      <c r="M336">
        <v>21</v>
      </c>
      <c r="N336">
        <v>32</v>
      </c>
      <c r="O336">
        <v>100</v>
      </c>
      <c r="P336">
        <v>23</v>
      </c>
      <c r="Q336">
        <v>2</v>
      </c>
    </row>
    <row r="337" spans="1:17" x14ac:dyDescent="0.45">
      <c r="A337" t="s">
        <v>43</v>
      </c>
      <c r="B337" t="s">
        <v>21</v>
      </c>
      <c r="C337">
        <v>7</v>
      </c>
      <c r="D337">
        <v>637</v>
      </c>
      <c r="E337">
        <v>30</v>
      </c>
      <c r="F337">
        <v>60</v>
      </c>
      <c r="G337">
        <v>55</v>
      </c>
      <c r="H337">
        <v>38</v>
      </c>
      <c r="I337">
        <v>223</v>
      </c>
      <c r="J337">
        <v>30</v>
      </c>
      <c r="K337">
        <v>35</v>
      </c>
      <c r="L337">
        <v>12</v>
      </c>
      <c r="M337">
        <v>23</v>
      </c>
      <c r="N337">
        <v>34</v>
      </c>
      <c r="O337">
        <v>52</v>
      </c>
      <c r="P337">
        <v>26</v>
      </c>
      <c r="Q337">
        <v>4</v>
      </c>
    </row>
    <row r="338" spans="1:17" x14ac:dyDescent="0.45">
      <c r="A338" t="s">
        <v>43</v>
      </c>
      <c r="B338" t="s">
        <v>20</v>
      </c>
      <c r="C338">
        <v>8</v>
      </c>
      <c r="D338">
        <v>427</v>
      </c>
      <c r="E338">
        <v>42</v>
      </c>
      <c r="F338">
        <v>53</v>
      </c>
      <c r="G338">
        <v>36</v>
      </c>
      <c r="H338">
        <v>16</v>
      </c>
      <c r="I338">
        <v>161</v>
      </c>
      <c r="J338">
        <v>22</v>
      </c>
      <c r="K338">
        <v>8</v>
      </c>
      <c r="L338">
        <v>13</v>
      </c>
      <c r="M338">
        <v>13</v>
      </c>
      <c r="N338">
        <v>16</v>
      </c>
      <c r="O338">
        <v>42</v>
      </c>
      <c r="P338">
        <v>7</v>
      </c>
      <c r="Q338">
        <v>0</v>
      </c>
    </row>
    <row r="339" spans="1:17" x14ac:dyDescent="0.45">
      <c r="A339" t="s">
        <v>43</v>
      </c>
      <c r="B339" t="s">
        <v>21</v>
      </c>
      <c r="C339">
        <v>8</v>
      </c>
      <c r="D339">
        <v>498</v>
      </c>
      <c r="E339">
        <v>29</v>
      </c>
      <c r="F339">
        <v>57</v>
      </c>
      <c r="G339">
        <v>82</v>
      </c>
      <c r="H339">
        <v>8</v>
      </c>
      <c r="I339">
        <v>175</v>
      </c>
      <c r="J339">
        <v>26</v>
      </c>
      <c r="K339">
        <v>12</v>
      </c>
      <c r="L339">
        <v>2</v>
      </c>
      <c r="M339">
        <v>18</v>
      </c>
      <c r="N339">
        <v>21</v>
      </c>
      <c r="O339">
        <v>36</v>
      </c>
      <c r="P339">
        <v>1</v>
      </c>
      <c r="Q339">
        <v>0</v>
      </c>
    </row>
    <row r="340" spans="1:17" x14ac:dyDescent="0.45">
      <c r="A340" t="s">
        <v>43</v>
      </c>
      <c r="B340" t="s">
        <v>20</v>
      </c>
      <c r="C340">
        <v>9</v>
      </c>
      <c r="D340">
        <v>603</v>
      </c>
      <c r="E340">
        <v>33</v>
      </c>
      <c r="F340">
        <v>46</v>
      </c>
      <c r="G340">
        <v>64</v>
      </c>
      <c r="H340">
        <v>31</v>
      </c>
      <c r="I340">
        <v>216</v>
      </c>
      <c r="J340">
        <v>35</v>
      </c>
      <c r="K340">
        <v>7</v>
      </c>
      <c r="L340">
        <v>7</v>
      </c>
      <c r="M340">
        <v>20</v>
      </c>
      <c r="N340">
        <v>12</v>
      </c>
      <c r="O340">
        <v>14</v>
      </c>
      <c r="P340">
        <v>5</v>
      </c>
      <c r="Q340">
        <v>2</v>
      </c>
    </row>
    <row r="341" spans="1:17" x14ac:dyDescent="0.45">
      <c r="A341" t="s">
        <v>43</v>
      </c>
      <c r="B341" t="s">
        <v>21</v>
      </c>
      <c r="C341">
        <v>9</v>
      </c>
      <c r="D341">
        <v>582</v>
      </c>
      <c r="E341">
        <v>52</v>
      </c>
      <c r="F341">
        <v>36</v>
      </c>
      <c r="G341">
        <v>95</v>
      </c>
      <c r="H341">
        <v>15</v>
      </c>
      <c r="I341">
        <v>187</v>
      </c>
      <c r="J341">
        <v>16</v>
      </c>
      <c r="K341">
        <v>10</v>
      </c>
      <c r="L341">
        <v>10</v>
      </c>
      <c r="M341">
        <v>15</v>
      </c>
      <c r="N341">
        <v>12</v>
      </c>
      <c r="O341">
        <v>33</v>
      </c>
      <c r="P341">
        <v>12</v>
      </c>
      <c r="Q341">
        <v>1</v>
      </c>
    </row>
    <row r="342" spans="1:17" x14ac:dyDescent="0.45">
      <c r="A342" t="s">
        <v>43</v>
      </c>
      <c r="B342" t="s">
        <v>20</v>
      </c>
      <c r="C342">
        <v>10</v>
      </c>
      <c r="D342">
        <v>786</v>
      </c>
      <c r="E342">
        <v>75</v>
      </c>
      <c r="F342">
        <v>72</v>
      </c>
      <c r="G342">
        <v>78</v>
      </c>
      <c r="H342">
        <v>46</v>
      </c>
      <c r="I342">
        <v>259</v>
      </c>
      <c r="J342">
        <v>35</v>
      </c>
      <c r="K342">
        <v>26</v>
      </c>
      <c r="L342">
        <v>22</v>
      </c>
      <c r="M342">
        <v>27</v>
      </c>
      <c r="N342">
        <v>36</v>
      </c>
      <c r="O342">
        <v>72</v>
      </c>
      <c r="P342">
        <v>18</v>
      </c>
      <c r="Q342">
        <v>2</v>
      </c>
    </row>
    <row r="343" spans="1:17" x14ac:dyDescent="0.45">
      <c r="A343" t="s">
        <v>43</v>
      </c>
      <c r="B343" t="s">
        <v>21</v>
      </c>
      <c r="C343">
        <v>10</v>
      </c>
      <c r="D343">
        <v>800</v>
      </c>
      <c r="E343">
        <v>81</v>
      </c>
      <c r="F343">
        <v>82</v>
      </c>
      <c r="G343">
        <v>110</v>
      </c>
      <c r="H343">
        <v>8</v>
      </c>
      <c r="I343">
        <v>249</v>
      </c>
      <c r="J343">
        <v>28</v>
      </c>
      <c r="K343">
        <v>45</v>
      </c>
      <c r="L343">
        <v>34</v>
      </c>
      <c r="M343">
        <v>34</v>
      </c>
      <c r="N343">
        <v>49</v>
      </c>
      <c r="O343">
        <v>73</v>
      </c>
      <c r="P343">
        <v>26</v>
      </c>
      <c r="Q343">
        <v>8</v>
      </c>
    </row>
    <row r="344" spans="1:17" x14ac:dyDescent="0.45">
      <c r="A344" t="s">
        <v>43</v>
      </c>
      <c r="B344" t="s">
        <v>20</v>
      </c>
      <c r="C344">
        <v>11</v>
      </c>
      <c r="D344">
        <v>603</v>
      </c>
      <c r="E344">
        <v>38</v>
      </c>
      <c r="F344">
        <v>29</v>
      </c>
      <c r="G344">
        <v>84</v>
      </c>
      <c r="H344">
        <v>38</v>
      </c>
      <c r="I344">
        <v>152</v>
      </c>
      <c r="J344">
        <v>27</v>
      </c>
      <c r="K344">
        <v>31</v>
      </c>
      <c r="L344">
        <v>12</v>
      </c>
      <c r="M344">
        <v>20</v>
      </c>
      <c r="N344">
        <v>41</v>
      </c>
      <c r="O344">
        <v>66</v>
      </c>
      <c r="P344">
        <v>22</v>
      </c>
      <c r="Q344">
        <v>0</v>
      </c>
    </row>
    <row r="345" spans="1:17" x14ac:dyDescent="0.45">
      <c r="A345" t="s">
        <v>43</v>
      </c>
      <c r="B345" t="s">
        <v>21</v>
      </c>
      <c r="C345">
        <v>11</v>
      </c>
      <c r="D345">
        <v>649</v>
      </c>
      <c r="E345">
        <v>24</v>
      </c>
      <c r="F345">
        <v>23</v>
      </c>
      <c r="G345">
        <v>99</v>
      </c>
      <c r="H345">
        <v>14</v>
      </c>
      <c r="I345">
        <v>159</v>
      </c>
      <c r="J345">
        <v>14</v>
      </c>
      <c r="K345">
        <v>41</v>
      </c>
      <c r="L345">
        <v>13</v>
      </c>
      <c r="M345">
        <v>15</v>
      </c>
      <c r="N345">
        <v>41</v>
      </c>
      <c r="O345">
        <v>45</v>
      </c>
      <c r="P345">
        <v>23</v>
      </c>
      <c r="Q345">
        <v>4</v>
      </c>
    </row>
    <row r="346" spans="1:17" x14ac:dyDescent="0.45">
      <c r="A346" t="s">
        <v>43</v>
      </c>
      <c r="B346" t="s">
        <v>20</v>
      </c>
      <c r="C346">
        <v>12</v>
      </c>
      <c r="D346">
        <v>658</v>
      </c>
      <c r="E346">
        <v>25</v>
      </c>
      <c r="F346">
        <v>29</v>
      </c>
      <c r="G346">
        <v>138</v>
      </c>
      <c r="H346">
        <v>11</v>
      </c>
      <c r="I346">
        <v>142</v>
      </c>
      <c r="J346">
        <v>16</v>
      </c>
      <c r="K346">
        <v>72</v>
      </c>
      <c r="L346">
        <v>25</v>
      </c>
      <c r="M346">
        <v>15</v>
      </c>
      <c r="N346">
        <v>42</v>
      </c>
      <c r="O346">
        <v>54</v>
      </c>
      <c r="P346">
        <v>14</v>
      </c>
      <c r="Q346">
        <v>2</v>
      </c>
    </row>
    <row r="347" spans="1:17" x14ac:dyDescent="0.45">
      <c r="A347" t="s">
        <v>43</v>
      </c>
      <c r="B347" t="s">
        <v>21</v>
      </c>
      <c r="C347">
        <v>12</v>
      </c>
      <c r="D347">
        <v>705</v>
      </c>
      <c r="E347">
        <v>21</v>
      </c>
      <c r="F347">
        <v>39</v>
      </c>
      <c r="G347">
        <v>110</v>
      </c>
      <c r="H347">
        <v>22</v>
      </c>
      <c r="I347">
        <v>184</v>
      </c>
      <c r="J347">
        <v>19</v>
      </c>
      <c r="K347">
        <v>71</v>
      </c>
      <c r="L347">
        <v>22</v>
      </c>
      <c r="M347">
        <v>13</v>
      </c>
      <c r="N347">
        <v>55</v>
      </c>
      <c r="O347">
        <v>69</v>
      </c>
      <c r="P347">
        <v>21</v>
      </c>
      <c r="Q347">
        <v>2</v>
      </c>
    </row>
    <row r="348" spans="1:17" x14ac:dyDescent="0.45">
      <c r="A348" t="s">
        <v>84</v>
      </c>
      <c r="B348" t="s">
        <v>20</v>
      </c>
      <c r="C348">
        <v>1</v>
      </c>
      <c r="D348">
        <v>741</v>
      </c>
      <c r="E348">
        <v>20</v>
      </c>
      <c r="F348">
        <v>18</v>
      </c>
      <c r="G348">
        <v>95</v>
      </c>
      <c r="H348">
        <v>6</v>
      </c>
      <c r="I348">
        <v>104</v>
      </c>
      <c r="J348">
        <v>16</v>
      </c>
      <c r="K348">
        <v>81</v>
      </c>
      <c r="L348">
        <v>17</v>
      </c>
      <c r="M348">
        <v>18</v>
      </c>
      <c r="N348">
        <v>24</v>
      </c>
      <c r="O348">
        <v>38</v>
      </c>
      <c r="P348">
        <v>9</v>
      </c>
      <c r="Q348">
        <v>1</v>
      </c>
    </row>
    <row r="349" spans="1:17" x14ac:dyDescent="0.45">
      <c r="A349" t="s">
        <v>84</v>
      </c>
      <c r="B349" t="s">
        <v>21</v>
      </c>
      <c r="C349">
        <v>1</v>
      </c>
      <c r="D349">
        <v>733</v>
      </c>
      <c r="E349">
        <v>29</v>
      </c>
      <c r="F349">
        <v>26</v>
      </c>
      <c r="G349">
        <v>86</v>
      </c>
      <c r="H349">
        <v>9</v>
      </c>
      <c r="I349">
        <v>108</v>
      </c>
      <c r="J349">
        <v>23</v>
      </c>
      <c r="K349">
        <v>81</v>
      </c>
      <c r="L349">
        <v>14</v>
      </c>
      <c r="M349">
        <v>20</v>
      </c>
      <c r="N349">
        <v>21</v>
      </c>
      <c r="O349">
        <v>34</v>
      </c>
      <c r="P349">
        <v>9</v>
      </c>
      <c r="Q349">
        <v>1</v>
      </c>
    </row>
    <row r="350" spans="1:17" x14ac:dyDescent="0.45">
      <c r="A350" t="s">
        <v>84</v>
      </c>
      <c r="B350" t="s">
        <v>20</v>
      </c>
      <c r="C350">
        <v>2</v>
      </c>
      <c r="D350">
        <v>757</v>
      </c>
      <c r="E350">
        <v>21</v>
      </c>
      <c r="F350">
        <v>13</v>
      </c>
      <c r="G350">
        <v>57</v>
      </c>
      <c r="H350">
        <v>25</v>
      </c>
      <c r="I350">
        <v>120</v>
      </c>
      <c r="J350">
        <v>13</v>
      </c>
      <c r="K350">
        <v>58</v>
      </c>
      <c r="L350">
        <v>15</v>
      </c>
      <c r="M350">
        <v>9</v>
      </c>
      <c r="N350">
        <v>18</v>
      </c>
      <c r="O350">
        <v>24</v>
      </c>
      <c r="P350">
        <v>11</v>
      </c>
      <c r="Q350">
        <v>9</v>
      </c>
    </row>
    <row r="351" spans="1:17" x14ac:dyDescent="0.45">
      <c r="A351" t="s">
        <v>84</v>
      </c>
      <c r="B351" t="s">
        <v>21</v>
      </c>
      <c r="C351">
        <v>2</v>
      </c>
      <c r="D351">
        <v>760</v>
      </c>
      <c r="E351">
        <v>24</v>
      </c>
      <c r="F351">
        <v>12</v>
      </c>
      <c r="G351">
        <v>48</v>
      </c>
      <c r="H351">
        <v>44</v>
      </c>
      <c r="I351">
        <v>172</v>
      </c>
      <c r="J351">
        <v>11</v>
      </c>
      <c r="K351">
        <v>93</v>
      </c>
      <c r="L351">
        <v>14</v>
      </c>
      <c r="M351">
        <v>14</v>
      </c>
      <c r="N351">
        <v>20</v>
      </c>
      <c r="O351">
        <v>69</v>
      </c>
      <c r="P351">
        <v>12</v>
      </c>
      <c r="Q351">
        <v>3</v>
      </c>
    </row>
    <row r="352" spans="1:17" x14ac:dyDescent="0.45">
      <c r="A352" t="s">
        <v>84</v>
      </c>
      <c r="B352" t="s">
        <v>20</v>
      </c>
      <c r="C352">
        <v>3</v>
      </c>
      <c r="D352">
        <v>887</v>
      </c>
      <c r="E352">
        <v>40</v>
      </c>
      <c r="F352">
        <v>27</v>
      </c>
      <c r="G352">
        <v>116</v>
      </c>
      <c r="H352">
        <v>7</v>
      </c>
      <c r="I352">
        <v>123</v>
      </c>
      <c r="J352">
        <v>19</v>
      </c>
      <c r="K352">
        <v>126</v>
      </c>
      <c r="L352">
        <v>29</v>
      </c>
      <c r="M352">
        <v>22</v>
      </c>
      <c r="N352">
        <v>103</v>
      </c>
      <c r="O352">
        <v>70</v>
      </c>
      <c r="P352">
        <v>52</v>
      </c>
      <c r="Q352">
        <v>13</v>
      </c>
    </row>
    <row r="353" spans="1:17" x14ac:dyDescent="0.45">
      <c r="A353" t="s">
        <v>84</v>
      </c>
      <c r="B353" t="s">
        <v>21</v>
      </c>
      <c r="C353">
        <v>3</v>
      </c>
      <c r="D353">
        <v>888</v>
      </c>
      <c r="E353">
        <v>33</v>
      </c>
      <c r="F353">
        <v>36</v>
      </c>
      <c r="G353">
        <v>129</v>
      </c>
      <c r="H353">
        <v>16</v>
      </c>
      <c r="I353">
        <v>150</v>
      </c>
      <c r="J353">
        <v>22</v>
      </c>
      <c r="K353">
        <v>180</v>
      </c>
      <c r="L353">
        <v>41</v>
      </c>
      <c r="M353">
        <v>36</v>
      </c>
      <c r="N353">
        <v>138</v>
      </c>
      <c r="O353">
        <v>92</v>
      </c>
      <c r="P353">
        <v>100</v>
      </c>
      <c r="Q353">
        <v>17</v>
      </c>
    </row>
    <row r="354" spans="1:17" x14ac:dyDescent="0.45">
      <c r="A354" t="s">
        <v>84</v>
      </c>
      <c r="B354" t="s">
        <v>20</v>
      </c>
      <c r="C354">
        <v>4</v>
      </c>
      <c r="D354">
        <v>885</v>
      </c>
      <c r="E354">
        <v>61</v>
      </c>
      <c r="F354">
        <v>42</v>
      </c>
      <c r="G354">
        <v>180</v>
      </c>
      <c r="H354">
        <v>17</v>
      </c>
      <c r="I354">
        <v>177</v>
      </c>
      <c r="J354">
        <v>42</v>
      </c>
      <c r="K354">
        <v>299</v>
      </c>
      <c r="L354">
        <v>99</v>
      </c>
      <c r="M354">
        <v>48</v>
      </c>
      <c r="N354">
        <v>221</v>
      </c>
      <c r="O354">
        <v>219</v>
      </c>
      <c r="P354">
        <v>155</v>
      </c>
      <c r="Q354">
        <v>9</v>
      </c>
    </row>
    <row r="355" spans="1:17" x14ac:dyDescent="0.45">
      <c r="A355" t="s">
        <v>84</v>
      </c>
      <c r="B355" t="s">
        <v>21</v>
      </c>
      <c r="C355">
        <v>4</v>
      </c>
      <c r="D355">
        <v>994</v>
      </c>
      <c r="E355">
        <v>46</v>
      </c>
      <c r="F355">
        <v>34</v>
      </c>
      <c r="G355">
        <v>143</v>
      </c>
      <c r="H355">
        <v>37</v>
      </c>
      <c r="I355">
        <v>228</v>
      </c>
      <c r="J355">
        <v>32</v>
      </c>
      <c r="K355">
        <v>260</v>
      </c>
      <c r="L355">
        <v>75</v>
      </c>
      <c r="M355">
        <v>41</v>
      </c>
      <c r="N355">
        <v>168</v>
      </c>
      <c r="O355">
        <v>288</v>
      </c>
      <c r="P355">
        <v>95</v>
      </c>
      <c r="Q355">
        <v>13</v>
      </c>
    </row>
    <row r="356" spans="1:17" x14ac:dyDescent="0.45">
      <c r="A356" t="s">
        <v>84</v>
      </c>
      <c r="B356" t="s">
        <v>20</v>
      </c>
      <c r="C356">
        <v>5</v>
      </c>
      <c r="D356">
        <v>842</v>
      </c>
      <c r="E356">
        <v>53</v>
      </c>
      <c r="F356">
        <v>53</v>
      </c>
      <c r="G356">
        <v>159</v>
      </c>
      <c r="H356">
        <v>46</v>
      </c>
      <c r="I356">
        <v>225</v>
      </c>
      <c r="J356">
        <v>43</v>
      </c>
      <c r="K356">
        <v>165</v>
      </c>
      <c r="L356">
        <v>41</v>
      </c>
      <c r="M356">
        <v>52</v>
      </c>
      <c r="N356">
        <v>130</v>
      </c>
      <c r="O356">
        <v>144</v>
      </c>
      <c r="P356">
        <v>78</v>
      </c>
      <c r="Q356">
        <v>5</v>
      </c>
    </row>
    <row r="357" spans="1:17" x14ac:dyDescent="0.45">
      <c r="A357" t="s">
        <v>84</v>
      </c>
      <c r="B357" t="s">
        <v>21</v>
      </c>
      <c r="C357">
        <v>5</v>
      </c>
      <c r="D357">
        <v>815</v>
      </c>
      <c r="E357">
        <v>63</v>
      </c>
      <c r="F357">
        <v>57</v>
      </c>
      <c r="G357">
        <v>137</v>
      </c>
      <c r="H357">
        <v>47</v>
      </c>
      <c r="I357">
        <v>265</v>
      </c>
      <c r="J357">
        <v>31</v>
      </c>
      <c r="K357">
        <v>135</v>
      </c>
      <c r="L357">
        <v>58</v>
      </c>
      <c r="M357">
        <v>35</v>
      </c>
      <c r="N357">
        <v>141</v>
      </c>
      <c r="O357">
        <v>126</v>
      </c>
      <c r="P357">
        <v>91</v>
      </c>
      <c r="Q357">
        <v>8</v>
      </c>
    </row>
    <row r="358" spans="1:17" x14ac:dyDescent="0.45">
      <c r="A358" t="s">
        <v>84</v>
      </c>
      <c r="B358" t="s">
        <v>20</v>
      </c>
      <c r="C358">
        <v>6</v>
      </c>
      <c r="D358">
        <v>911</v>
      </c>
      <c r="E358">
        <v>85</v>
      </c>
      <c r="F358">
        <v>26</v>
      </c>
      <c r="G358">
        <v>98</v>
      </c>
      <c r="H358">
        <v>33</v>
      </c>
      <c r="I358">
        <v>191</v>
      </c>
      <c r="J358">
        <v>25</v>
      </c>
      <c r="K358">
        <v>74</v>
      </c>
      <c r="L358">
        <v>38</v>
      </c>
      <c r="M358">
        <v>20</v>
      </c>
      <c r="N358">
        <v>50</v>
      </c>
      <c r="O358">
        <v>75</v>
      </c>
      <c r="P358">
        <v>42</v>
      </c>
      <c r="Q358">
        <v>0</v>
      </c>
    </row>
    <row r="359" spans="1:17" x14ac:dyDescent="0.45">
      <c r="A359" t="s">
        <v>84</v>
      </c>
      <c r="B359" t="s">
        <v>21</v>
      </c>
      <c r="C359">
        <v>6</v>
      </c>
      <c r="D359">
        <v>904</v>
      </c>
      <c r="E359">
        <v>51</v>
      </c>
      <c r="F359">
        <v>59</v>
      </c>
      <c r="G359">
        <v>104</v>
      </c>
      <c r="H359">
        <v>34</v>
      </c>
      <c r="I359">
        <v>191</v>
      </c>
      <c r="J359">
        <v>29</v>
      </c>
      <c r="K359">
        <v>106</v>
      </c>
      <c r="L359">
        <v>32</v>
      </c>
      <c r="M359">
        <v>46</v>
      </c>
      <c r="N359">
        <v>64</v>
      </c>
      <c r="O359">
        <v>73</v>
      </c>
      <c r="P359">
        <v>37</v>
      </c>
      <c r="Q359">
        <v>4</v>
      </c>
    </row>
    <row r="360" spans="1:17" x14ac:dyDescent="0.45">
      <c r="A360" t="s">
        <v>84</v>
      </c>
      <c r="B360" t="s">
        <v>20</v>
      </c>
      <c r="C360">
        <v>7</v>
      </c>
      <c r="D360">
        <v>835</v>
      </c>
      <c r="E360">
        <v>26</v>
      </c>
      <c r="F360">
        <v>47</v>
      </c>
      <c r="G360">
        <v>71</v>
      </c>
      <c r="H360">
        <v>23</v>
      </c>
      <c r="I360">
        <v>206</v>
      </c>
      <c r="J360">
        <v>20</v>
      </c>
      <c r="K360">
        <v>37</v>
      </c>
      <c r="L360">
        <v>15</v>
      </c>
      <c r="M360">
        <v>29</v>
      </c>
      <c r="N360">
        <v>23</v>
      </c>
      <c r="O360">
        <v>45</v>
      </c>
      <c r="P360">
        <v>12</v>
      </c>
      <c r="Q360">
        <v>0</v>
      </c>
    </row>
    <row r="361" spans="1:17" x14ac:dyDescent="0.45">
      <c r="A361" t="s">
        <v>84</v>
      </c>
      <c r="B361" t="s">
        <v>21</v>
      </c>
      <c r="C361">
        <v>7</v>
      </c>
      <c r="D361">
        <v>880</v>
      </c>
      <c r="E361">
        <v>54</v>
      </c>
      <c r="F361">
        <v>38</v>
      </c>
      <c r="G361">
        <v>41</v>
      </c>
      <c r="H361">
        <v>37</v>
      </c>
      <c r="I361">
        <v>235</v>
      </c>
      <c r="J361">
        <v>16</v>
      </c>
      <c r="K361">
        <v>17</v>
      </c>
      <c r="L361">
        <v>26</v>
      </c>
      <c r="M361">
        <v>32</v>
      </c>
      <c r="N361">
        <v>25</v>
      </c>
      <c r="O361">
        <v>45</v>
      </c>
      <c r="P361">
        <v>6</v>
      </c>
      <c r="Q361">
        <v>2</v>
      </c>
    </row>
    <row r="362" spans="1:17" x14ac:dyDescent="0.45">
      <c r="A362" t="s">
        <v>84</v>
      </c>
      <c r="B362" t="s">
        <v>20</v>
      </c>
      <c r="C362">
        <v>8</v>
      </c>
      <c r="D362">
        <v>660</v>
      </c>
      <c r="E362">
        <v>37</v>
      </c>
      <c r="F362">
        <v>39</v>
      </c>
      <c r="G362">
        <v>40</v>
      </c>
      <c r="H362">
        <v>23</v>
      </c>
      <c r="I362">
        <v>177</v>
      </c>
      <c r="J362">
        <v>17</v>
      </c>
      <c r="K362">
        <v>26</v>
      </c>
      <c r="L362">
        <v>9</v>
      </c>
      <c r="M362">
        <v>16</v>
      </c>
      <c r="N362">
        <v>16</v>
      </c>
      <c r="O362">
        <v>19</v>
      </c>
      <c r="P362">
        <v>6</v>
      </c>
      <c r="Q362">
        <v>0</v>
      </c>
    </row>
    <row r="363" spans="1:17" x14ac:dyDescent="0.45">
      <c r="A363" t="s">
        <v>84</v>
      </c>
      <c r="B363" t="s">
        <v>21</v>
      </c>
      <c r="C363">
        <v>8</v>
      </c>
      <c r="D363">
        <v>705</v>
      </c>
      <c r="E363">
        <v>23</v>
      </c>
      <c r="F363">
        <v>38</v>
      </c>
      <c r="G363">
        <v>70</v>
      </c>
      <c r="H363">
        <v>8</v>
      </c>
      <c r="I363">
        <v>199</v>
      </c>
      <c r="J363">
        <v>14</v>
      </c>
      <c r="K363">
        <v>12</v>
      </c>
      <c r="L363">
        <v>12</v>
      </c>
      <c r="M363">
        <v>23</v>
      </c>
      <c r="N363">
        <v>10</v>
      </c>
      <c r="O363">
        <v>21</v>
      </c>
      <c r="P363">
        <v>8</v>
      </c>
      <c r="Q363">
        <v>0</v>
      </c>
    </row>
    <row r="364" spans="1:17" x14ac:dyDescent="0.45">
      <c r="A364" t="s">
        <v>84</v>
      </c>
      <c r="B364" t="s">
        <v>20</v>
      </c>
      <c r="C364">
        <v>9</v>
      </c>
      <c r="D364">
        <v>816</v>
      </c>
      <c r="E364">
        <v>40</v>
      </c>
      <c r="F364">
        <v>32</v>
      </c>
      <c r="G364">
        <v>35</v>
      </c>
      <c r="H364">
        <v>36</v>
      </c>
      <c r="I364">
        <v>173</v>
      </c>
      <c r="J364">
        <v>21</v>
      </c>
      <c r="K364">
        <v>10</v>
      </c>
      <c r="L364">
        <v>6</v>
      </c>
      <c r="M364">
        <v>28</v>
      </c>
      <c r="N364">
        <v>18</v>
      </c>
      <c r="O364">
        <v>21</v>
      </c>
      <c r="P364">
        <v>3</v>
      </c>
      <c r="Q364">
        <v>0</v>
      </c>
    </row>
    <row r="365" spans="1:17" x14ac:dyDescent="0.45">
      <c r="A365" t="s">
        <v>84</v>
      </c>
      <c r="B365" t="s">
        <v>21</v>
      </c>
      <c r="C365">
        <v>9</v>
      </c>
      <c r="D365">
        <v>771</v>
      </c>
      <c r="E365">
        <v>52</v>
      </c>
      <c r="F365">
        <v>35</v>
      </c>
      <c r="G365">
        <v>58</v>
      </c>
      <c r="H365">
        <v>9</v>
      </c>
      <c r="I365">
        <v>186</v>
      </c>
      <c r="J365">
        <v>17</v>
      </c>
      <c r="K365">
        <v>18</v>
      </c>
      <c r="L365">
        <v>12</v>
      </c>
      <c r="M365">
        <v>29</v>
      </c>
      <c r="N365">
        <v>13</v>
      </c>
      <c r="O365">
        <v>15</v>
      </c>
      <c r="P365">
        <v>4</v>
      </c>
      <c r="Q365">
        <v>0</v>
      </c>
    </row>
    <row r="366" spans="1:17" x14ac:dyDescent="0.45">
      <c r="A366" t="s">
        <v>84</v>
      </c>
      <c r="B366" t="s">
        <v>20</v>
      </c>
      <c r="C366">
        <v>10</v>
      </c>
      <c r="D366">
        <v>930</v>
      </c>
      <c r="E366">
        <v>59</v>
      </c>
      <c r="F366">
        <v>71</v>
      </c>
      <c r="G366">
        <v>33</v>
      </c>
      <c r="H366">
        <v>60</v>
      </c>
      <c r="I366">
        <v>258</v>
      </c>
      <c r="J366">
        <v>24</v>
      </c>
      <c r="K366">
        <v>28</v>
      </c>
      <c r="L366">
        <v>20</v>
      </c>
      <c r="M366">
        <v>31</v>
      </c>
      <c r="N366">
        <v>14</v>
      </c>
      <c r="O366">
        <v>27</v>
      </c>
      <c r="P366">
        <v>3</v>
      </c>
      <c r="Q366">
        <v>0</v>
      </c>
    </row>
    <row r="367" spans="1:17" x14ac:dyDescent="0.45">
      <c r="A367" t="s">
        <v>84</v>
      </c>
      <c r="B367" t="s">
        <v>21</v>
      </c>
      <c r="C367">
        <v>10</v>
      </c>
      <c r="D367">
        <v>1097</v>
      </c>
      <c r="E367">
        <v>75</v>
      </c>
      <c r="F367">
        <v>80</v>
      </c>
      <c r="G367">
        <v>119</v>
      </c>
      <c r="H367">
        <v>16</v>
      </c>
      <c r="I367">
        <v>291</v>
      </c>
      <c r="J367">
        <v>57</v>
      </c>
      <c r="K367">
        <v>25</v>
      </c>
      <c r="L367">
        <v>21</v>
      </c>
      <c r="M367">
        <v>37</v>
      </c>
      <c r="N367">
        <v>42</v>
      </c>
      <c r="O367">
        <v>52</v>
      </c>
      <c r="P367">
        <v>11</v>
      </c>
      <c r="Q367">
        <v>0</v>
      </c>
    </row>
    <row r="368" spans="1:17" x14ac:dyDescent="0.45">
      <c r="A368" t="s">
        <v>84</v>
      </c>
      <c r="B368" t="s">
        <v>20</v>
      </c>
      <c r="C368">
        <v>11</v>
      </c>
      <c r="D368">
        <v>889</v>
      </c>
      <c r="E368">
        <v>72</v>
      </c>
      <c r="F368">
        <v>53</v>
      </c>
      <c r="G368">
        <v>66</v>
      </c>
      <c r="H368">
        <v>69</v>
      </c>
      <c r="I368">
        <v>290</v>
      </c>
      <c r="J368">
        <v>37</v>
      </c>
      <c r="K368">
        <v>56</v>
      </c>
      <c r="L368">
        <v>17</v>
      </c>
      <c r="M368">
        <v>43</v>
      </c>
      <c r="N368">
        <v>23</v>
      </c>
      <c r="O368">
        <v>35</v>
      </c>
      <c r="P368">
        <v>17</v>
      </c>
      <c r="Q368">
        <v>2</v>
      </c>
    </row>
    <row r="369" spans="1:17" x14ac:dyDescent="0.45">
      <c r="A369" t="s">
        <v>84</v>
      </c>
      <c r="B369" t="s">
        <v>21</v>
      </c>
      <c r="C369">
        <v>11</v>
      </c>
      <c r="D369">
        <v>861</v>
      </c>
      <c r="E369">
        <v>43</v>
      </c>
      <c r="F369">
        <v>31</v>
      </c>
      <c r="G369">
        <v>65</v>
      </c>
      <c r="H369">
        <v>35</v>
      </c>
      <c r="I369">
        <v>194</v>
      </c>
      <c r="J369">
        <v>24</v>
      </c>
      <c r="K369">
        <v>39</v>
      </c>
      <c r="L369">
        <v>8</v>
      </c>
      <c r="M369">
        <v>25</v>
      </c>
      <c r="N369">
        <v>27</v>
      </c>
      <c r="O369">
        <v>28</v>
      </c>
      <c r="P369">
        <v>5</v>
      </c>
      <c r="Q369">
        <v>0</v>
      </c>
    </row>
    <row r="370" spans="1:17" x14ac:dyDescent="0.45">
      <c r="A370" t="s">
        <v>84</v>
      </c>
      <c r="B370" t="s">
        <v>20</v>
      </c>
      <c r="C370">
        <v>12</v>
      </c>
      <c r="D370">
        <v>867</v>
      </c>
      <c r="E370">
        <v>58</v>
      </c>
      <c r="F370">
        <v>23</v>
      </c>
      <c r="G370">
        <v>143</v>
      </c>
      <c r="H370">
        <v>30</v>
      </c>
      <c r="I370">
        <v>215</v>
      </c>
      <c r="J370">
        <v>25</v>
      </c>
      <c r="K370">
        <v>86</v>
      </c>
      <c r="L370">
        <v>29</v>
      </c>
      <c r="M370">
        <v>30</v>
      </c>
      <c r="N370">
        <v>28</v>
      </c>
      <c r="O370">
        <v>53</v>
      </c>
      <c r="P370">
        <v>10</v>
      </c>
      <c r="Q370">
        <v>1</v>
      </c>
    </row>
    <row r="371" spans="1:17" x14ac:dyDescent="0.45">
      <c r="A371" t="s">
        <v>84</v>
      </c>
      <c r="B371" t="s">
        <v>21</v>
      </c>
      <c r="C371">
        <v>12</v>
      </c>
      <c r="D371">
        <v>886</v>
      </c>
      <c r="E371">
        <v>73</v>
      </c>
      <c r="F371">
        <v>34</v>
      </c>
      <c r="G371">
        <v>140</v>
      </c>
      <c r="H371">
        <v>26</v>
      </c>
      <c r="I371">
        <v>236</v>
      </c>
      <c r="J371">
        <v>19</v>
      </c>
      <c r="K371">
        <v>57</v>
      </c>
      <c r="L371">
        <v>28</v>
      </c>
      <c r="M371">
        <v>39</v>
      </c>
      <c r="N371">
        <v>46</v>
      </c>
      <c r="O371">
        <v>43</v>
      </c>
      <c r="P371">
        <v>10</v>
      </c>
      <c r="Q371">
        <v>0</v>
      </c>
    </row>
    <row r="372" spans="1:17" x14ac:dyDescent="0.45">
      <c r="A372" t="s">
        <v>40</v>
      </c>
      <c r="B372" t="s">
        <v>20</v>
      </c>
      <c r="C372">
        <v>1</v>
      </c>
      <c r="D372">
        <v>1058</v>
      </c>
      <c r="E372">
        <v>41</v>
      </c>
      <c r="F372">
        <v>24</v>
      </c>
      <c r="G372">
        <v>133</v>
      </c>
      <c r="H372">
        <v>12</v>
      </c>
      <c r="I372">
        <v>174</v>
      </c>
      <c r="J372">
        <v>15</v>
      </c>
      <c r="K372">
        <v>113</v>
      </c>
      <c r="L372">
        <v>30</v>
      </c>
      <c r="M372">
        <v>15</v>
      </c>
      <c r="N372">
        <v>41</v>
      </c>
      <c r="O372">
        <v>41</v>
      </c>
      <c r="P372">
        <v>21</v>
      </c>
      <c r="Q372">
        <v>1</v>
      </c>
    </row>
    <row r="373" spans="1:17" x14ac:dyDescent="0.45">
      <c r="A373" t="s">
        <v>40</v>
      </c>
      <c r="B373" t="s">
        <v>21</v>
      </c>
      <c r="C373">
        <v>1</v>
      </c>
      <c r="D373">
        <v>1168</v>
      </c>
      <c r="E373">
        <v>45</v>
      </c>
      <c r="F373">
        <v>12</v>
      </c>
      <c r="G373">
        <v>122</v>
      </c>
      <c r="H373">
        <v>8</v>
      </c>
      <c r="I373">
        <v>201</v>
      </c>
      <c r="J373">
        <v>17</v>
      </c>
      <c r="K373">
        <v>102</v>
      </c>
      <c r="L373">
        <v>40</v>
      </c>
      <c r="M373">
        <v>12</v>
      </c>
      <c r="N373">
        <v>44</v>
      </c>
      <c r="O373">
        <v>33</v>
      </c>
      <c r="P373">
        <v>24</v>
      </c>
      <c r="Q373">
        <v>2</v>
      </c>
    </row>
    <row r="374" spans="1:17" x14ac:dyDescent="0.45">
      <c r="A374" t="s">
        <v>40</v>
      </c>
      <c r="B374" t="s">
        <v>20</v>
      </c>
      <c r="C374">
        <v>2</v>
      </c>
      <c r="D374">
        <v>987</v>
      </c>
      <c r="E374">
        <v>38</v>
      </c>
      <c r="F374">
        <v>18</v>
      </c>
      <c r="G374">
        <v>78</v>
      </c>
      <c r="H374">
        <v>24</v>
      </c>
      <c r="I374">
        <v>173</v>
      </c>
      <c r="J374">
        <v>9</v>
      </c>
      <c r="K374">
        <v>100</v>
      </c>
      <c r="L374">
        <v>25</v>
      </c>
      <c r="M374">
        <v>16</v>
      </c>
      <c r="N374">
        <v>39</v>
      </c>
      <c r="O374">
        <v>32</v>
      </c>
      <c r="P374">
        <v>5</v>
      </c>
      <c r="Q374">
        <v>2</v>
      </c>
    </row>
    <row r="375" spans="1:17" x14ac:dyDescent="0.45">
      <c r="A375" t="s">
        <v>40</v>
      </c>
      <c r="B375" t="s">
        <v>21</v>
      </c>
      <c r="C375">
        <v>2</v>
      </c>
      <c r="D375">
        <v>1243</v>
      </c>
      <c r="E375">
        <v>43</v>
      </c>
      <c r="F375">
        <v>16</v>
      </c>
      <c r="G375">
        <v>57</v>
      </c>
      <c r="H375">
        <v>59</v>
      </c>
      <c r="I375">
        <v>235</v>
      </c>
      <c r="J375">
        <v>9</v>
      </c>
      <c r="K375">
        <v>107</v>
      </c>
      <c r="L375">
        <v>24</v>
      </c>
      <c r="M375">
        <v>19</v>
      </c>
      <c r="N375">
        <v>55</v>
      </c>
      <c r="O375">
        <v>44</v>
      </c>
      <c r="P375">
        <v>20</v>
      </c>
      <c r="Q375">
        <v>4</v>
      </c>
    </row>
    <row r="376" spans="1:17" x14ac:dyDescent="0.45">
      <c r="A376" t="s">
        <v>40</v>
      </c>
      <c r="B376" t="s">
        <v>20</v>
      </c>
      <c r="C376">
        <v>3</v>
      </c>
      <c r="D376">
        <v>1328</v>
      </c>
      <c r="E376">
        <v>41</v>
      </c>
      <c r="F376">
        <v>45</v>
      </c>
      <c r="G376">
        <v>178</v>
      </c>
      <c r="H376">
        <v>18</v>
      </c>
      <c r="I376">
        <v>203</v>
      </c>
      <c r="J376">
        <v>24</v>
      </c>
      <c r="K376">
        <v>155</v>
      </c>
      <c r="L376">
        <v>36</v>
      </c>
      <c r="M376">
        <v>25</v>
      </c>
      <c r="N376">
        <v>113</v>
      </c>
      <c r="O376">
        <v>83</v>
      </c>
      <c r="P376">
        <v>88</v>
      </c>
      <c r="Q376">
        <v>14</v>
      </c>
    </row>
    <row r="377" spans="1:17" x14ac:dyDescent="0.45">
      <c r="A377" t="s">
        <v>40</v>
      </c>
      <c r="B377" t="s">
        <v>21</v>
      </c>
      <c r="C377">
        <v>3</v>
      </c>
      <c r="D377">
        <v>1387</v>
      </c>
      <c r="E377">
        <v>80</v>
      </c>
      <c r="F377">
        <v>53</v>
      </c>
      <c r="G377">
        <v>220</v>
      </c>
      <c r="H377">
        <v>19</v>
      </c>
      <c r="I377">
        <v>242</v>
      </c>
      <c r="J377">
        <v>45</v>
      </c>
      <c r="K377">
        <v>224</v>
      </c>
      <c r="L377">
        <v>49</v>
      </c>
      <c r="M377">
        <v>40</v>
      </c>
      <c r="N377">
        <v>203</v>
      </c>
      <c r="O377">
        <v>121</v>
      </c>
      <c r="P377">
        <v>144</v>
      </c>
      <c r="Q377">
        <v>18</v>
      </c>
    </row>
    <row r="378" spans="1:17" x14ac:dyDescent="0.45">
      <c r="A378" t="s">
        <v>40</v>
      </c>
      <c r="B378" t="s">
        <v>20</v>
      </c>
      <c r="C378">
        <v>4</v>
      </c>
      <c r="D378">
        <v>1210</v>
      </c>
      <c r="E378">
        <v>78</v>
      </c>
      <c r="F378">
        <v>77</v>
      </c>
      <c r="G378">
        <v>227</v>
      </c>
      <c r="H378">
        <v>18</v>
      </c>
      <c r="I378">
        <v>300</v>
      </c>
      <c r="J378">
        <v>65</v>
      </c>
      <c r="K378">
        <v>479</v>
      </c>
      <c r="L378">
        <v>132</v>
      </c>
      <c r="M378">
        <v>69</v>
      </c>
      <c r="N378">
        <v>346</v>
      </c>
      <c r="O378">
        <v>249</v>
      </c>
      <c r="P378">
        <v>220</v>
      </c>
      <c r="Q378">
        <v>10</v>
      </c>
    </row>
    <row r="379" spans="1:17" x14ac:dyDescent="0.45">
      <c r="A379" t="s">
        <v>40</v>
      </c>
      <c r="B379" t="s">
        <v>21</v>
      </c>
      <c r="C379">
        <v>4</v>
      </c>
      <c r="D379">
        <v>1628</v>
      </c>
      <c r="E379">
        <v>79</v>
      </c>
      <c r="F379">
        <v>47</v>
      </c>
      <c r="G379">
        <v>188</v>
      </c>
      <c r="H379">
        <v>32</v>
      </c>
      <c r="I379">
        <v>290</v>
      </c>
      <c r="J379">
        <v>60</v>
      </c>
      <c r="K379">
        <v>432</v>
      </c>
      <c r="L379">
        <v>127</v>
      </c>
      <c r="M379">
        <v>43</v>
      </c>
      <c r="N379">
        <v>268</v>
      </c>
      <c r="O379">
        <v>205</v>
      </c>
      <c r="P379">
        <v>165</v>
      </c>
      <c r="Q379">
        <v>10</v>
      </c>
    </row>
    <row r="380" spans="1:17" x14ac:dyDescent="0.45">
      <c r="A380" t="s">
        <v>40</v>
      </c>
      <c r="B380" t="s">
        <v>20</v>
      </c>
      <c r="C380">
        <v>5</v>
      </c>
      <c r="D380">
        <v>1053</v>
      </c>
      <c r="E380">
        <v>104</v>
      </c>
      <c r="F380">
        <v>33</v>
      </c>
      <c r="G380">
        <v>180</v>
      </c>
      <c r="H380">
        <v>32</v>
      </c>
      <c r="I380">
        <v>240</v>
      </c>
      <c r="J380">
        <v>35</v>
      </c>
      <c r="K380">
        <v>323</v>
      </c>
      <c r="L380">
        <v>100</v>
      </c>
      <c r="M380">
        <v>54</v>
      </c>
      <c r="N380">
        <v>201</v>
      </c>
      <c r="O380">
        <v>173</v>
      </c>
      <c r="P380">
        <v>85</v>
      </c>
      <c r="Q380">
        <v>2</v>
      </c>
    </row>
    <row r="381" spans="1:17" x14ac:dyDescent="0.45">
      <c r="A381" t="s">
        <v>40</v>
      </c>
      <c r="B381" t="s">
        <v>21</v>
      </c>
      <c r="C381">
        <v>5</v>
      </c>
      <c r="D381">
        <v>1274</v>
      </c>
      <c r="E381">
        <v>114</v>
      </c>
      <c r="F381">
        <v>77</v>
      </c>
      <c r="G381">
        <v>238</v>
      </c>
      <c r="H381">
        <v>29</v>
      </c>
      <c r="I381">
        <v>302</v>
      </c>
      <c r="J381">
        <v>61</v>
      </c>
      <c r="K381">
        <v>308</v>
      </c>
      <c r="L381">
        <v>105</v>
      </c>
      <c r="M381">
        <v>42</v>
      </c>
      <c r="N381">
        <v>197</v>
      </c>
      <c r="O381">
        <v>149</v>
      </c>
      <c r="P381">
        <v>94</v>
      </c>
      <c r="Q381">
        <v>5</v>
      </c>
    </row>
    <row r="382" spans="1:17" x14ac:dyDescent="0.45">
      <c r="A382" t="s">
        <v>40</v>
      </c>
      <c r="B382" t="s">
        <v>20</v>
      </c>
      <c r="C382">
        <v>6</v>
      </c>
      <c r="D382">
        <v>1202</v>
      </c>
      <c r="E382">
        <v>101</v>
      </c>
      <c r="F382">
        <v>47</v>
      </c>
      <c r="G382">
        <v>134</v>
      </c>
      <c r="H382">
        <v>38</v>
      </c>
      <c r="I382">
        <v>311</v>
      </c>
      <c r="J382">
        <v>25</v>
      </c>
      <c r="K382">
        <v>135</v>
      </c>
      <c r="L382">
        <v>56</v>
      </c>
      <c r="M382">
        <v>47</v>
      </c>
      <c r="N382">
        <v>95</v>
      </c>
      <c r="O382">
        <v>131</v>
      </c>
      <c r="P382">
        <v>59</v>
      </c>
      <c r="Q382">
        <v>0</v>
      </c>
    </row>
    <row r="383" spans="1:17" x14ac:dyDescent="0.45">
      <c r="A383" t="s">
        <v>40</v>
      </c>
      <c r="B383" t="s">
        <v>21</v>
      </c>
      <c r="C383">
        <v>6</v>
      </c>
      <c r="D383">
        <v>1403</v>
      </c>
      <c r="E383">
        <v>90</v>
      </c>
      <c r="F383">
        <v>59</v>
      </c>
      <c r="G383">
        <v>149</v>
      </c>
      <c r="H383">
        <v>34</v>
      </c>
      <c r="I383">
        <v>338</v>
      </c>
      <c r="J383">
        <v>41</v>
      </c>
      <c r="K383">
        <v>161</v>
      </c>
      <c r="L383">
        <v>83</v>
      </c>
      <c r="M383">
        <v>49</v>
      </c>
      <c r="N383">
        <v>137</v>
      </c>
      <c r="O383">
        <v>134</v>
      </c>
      <c r="P383">
        <v>68</v>
      </c>
      <c r="Q383">
        <v>5</v>
      </c>
    </row>
    <row r="384" spans="1:17" x14ac:dyDescent="0.45">
      <c r="A384" t="s">
        <v>40</v>
      </c>
      <c r="B384" t="s">
        <v>20</v>
      </c>
      <c r="C384">
        <v>7</v>
      </c>
      <c r="D384">
        <v>1455</v>
      </c>
      <c r="E384">
        <v>133</v>
      </c>
      <c r="F384">
        <v>69</v>
      </c>
      <c r="G384">
        <v>142</v>
      </c>
      <c r="H384">
        <v>41</v>
      </c>
      <c r="I384">
        <v>374</v>
      </c>
      <c r="J384">
        <v>37</v>
      </c>
      <c r="K384">
        <v>90</v>
      </c>
      <c r="L384">
        <v>39</v>
      </c>
      <c r="M384">
        <v>45</v>
      </c>
      <c r="N384">
        <v>91</v>
      </c>
      <c r="O384">
        <v>75</v>
      </c>
      <c r="P384">
        <v>26</v>
      </c>
      <c r="Q384">
        <v>0</v>
      </c>
    </row>
    <row r="385" spans="1:17" x14ac:dyDescent="0.45">
      <c r="A385" t="s">
        <v>40</v>
      </c>
      <c r="B385" t="s">
        <v>21</v>
      </c>
      <c r="C385">
        <v>7</v>
      </c>
      <c r="D385">
        <v>1343</v>
      </c>
      <c r="E385">
        <v>63</v>
      </c>
      <c r="F385">
        <v>23</v>
      </c>
      <c r="G385">
        <v>60</v>
      </c>
      <c r="H385">
        <v>54</v>
      </c>
      <c r="I385">
        <v>337</v>
      </c>
      <c r="J385">
        <v>4</v>
      </c>
      <c r="K385">
        <v>42</v>
      </c>
      <c r="L385">
        <v>27</v>
      </c>
      <c r="M385">
        <v>34</v>
      </c>
      <c r="N385">
        <v>49</v>
      </c>
      <c r="O385">
        <v>52</v>
      </c>
      <c r="P385">
        <v>23</v>
      </c>
      <c r="Q385">
        <v>0</v>
      </c>
    </row>
    <row r="386" spans="1:17" x14ac:dyDescent="0.45">
      <c r="A386" t="s">
        <v>40</v>
      </c>
      <c r="B386" t="s">
        <v>20</v>
      </c>
      <c r="C386">
        <v>8</v>
      </c>
      <c r="D386">
        <v>974</v>
      </c>
      <c r="E386">
        <v>75</v>
      </c>
      <c r="F386">
        <v>64</v>
      </c>
      <c r="G386">
        <v>62</v>
      </c>
      <c r="H386">
        <v>29</v>
      </c>
      <c r="I386">
        <v>271</v>
      </c>
      <c r="J386">
        <v>22</v>
      </c>
      <c r="K386">
        <v>32</v>
      </c>
      <c r="L386">
        <v>13</v>
      </c>
      <c r="M386">
        <v>27</v>
      </c>
      <c r="N386">
        <v>28</v>
      </c>
      <c r="O386">
        <v>37</v>
      </c>
      <c r="P386">
        <v>13</v>
      </c>
      <c r="Q386">
        <v>0</v>
      </c>
    </row>
    <row r="387" spans="1:17" x14ac:dyDescent="0.45">
      <c r="A387" t="s">
        <v>40</v>
      </c>
      <c r="B387" t="s">
        <v>21</v>
      </c>
      <c r="C387">
        <v>8</v>
      </c>
      <c r="D387">
        <v>1104</v>
      </c>
      <c r="E387">
        <v>80</v>
      </c>
      <c r="F387">
        <v>47</v>
      </c>
      <c r="G387">
        <v>68</v>
      </c>
      <c r="H387">
        <v>13</v>
      </c>
      <c r="I387">
        <v>278</v>
      </c>
      <c r="J387">
        <v>17</v>
      </c>
      <c r="K387">
        <v>25</v>
      </c>
      <c r="L387">
        <v>26</v>
      </c>
      <c r="M387">
        <v>22</v>
      </c>
      <c r="N387">
        <v>36</v>
      </c>
      <c r="O387">
        <v>26</v>
      </c>
      <c r="P387">
        <v>6</v>
      </c>
      <c r="Q387">
        <v>5</v>
      </c>
    </row>
    <row r="388" spans="1:17" x14ac:dyDescent="0.45">
      <c r="A388" t="s">
        <v>40</v>
      </c>
      <c r="B388" t="s">
        <v>20</v>
      </c>
      <c r="C388">
        <v>9</v>
      </c>
      <c r="D388">
        <v>1106</v>
      </c>
      <c r="E388">
        <v>60</v>
      </c>
      <c r="F388">
        <v>54</v>
      </c>
      <c r="G388">
        <v>34</v>
      </c>
      <c r="H388">
        <v>38</v>
      </c>
      <c r="I388">
        <v>308</v>
      </c>
      <c r="J388">
        <v>39</v>
      </c>
      <c r="K388">
        <v>26</v>
      </c>
      <c r="L388">
        <v>19</v>
      </c>
      <c r="M388">
        <v>54</v>
      </c>
      <c r="N388">
        <v>30</v>
      </c>
      <c r="O388">
        <v>22</v>
      </c>
      <c r="P388">
        <v>8</v>
      </c>
      <c r="Q388">
        <v>0</v>
      </c>
    </row>
    <row r="389" spans="1:17" x14ac:dyDescent="0.45">
      <c r="A389" t="s">
        <v>40</v>
      </c>
      <c r="B389" t="s">
        <v>21</v>
      </c>
      <c r="C389">
        <v>9</v>
      </c>
      <c r="D389">
        <v>1263</v>
      </c>
      <c r="E389">
        <v>52</v>
      </c>
      <c r="F389">
        <v>42</v>
      </c>
      <c r="G389">
        <v>87</v>
      </c>
      <c r="H389">
        <v>4</v>
      </c>
      <c r="I389">
        <v>308</v>
      </c>
      <c r="J389">
        <v>14</v>
      </c>
      <c r="K389">
        <v>24</v>
      </c>
      <c r="L389">
        <v>11</v>
      </c>
      <c r="M389">
        <v>27</v>
      </c>
      <c r="N389">
        <v>9</v>
      </c>
      <c r="O389">
        <v>24</v>
      </c>
      <c r="P389">
        <v>6</v>
      </c>
      <c r="Q389">
        <v>1</v>
      </c>
    </row>
    <row r="390" spans="1:17" x14ac:dyDescent="0.45">
      <c r="A390" t="s">
        <v>40</v>
      </c>
      <c r="B390" t="s">
        <v>20</v>
      </c>
      <c r="C390">
        <v>10</v>
      </c>
      <c r="D390">
        <v>1365</v>
      </c>
      <c r="E390">
        <v>112</v>
      </c>
      <c r="F390">
        <v>86</v>
      </c>
      <c r="G390">
        <v>67</v>
      </c>
      <c r="H390">
        <v>95</v>
      </c>
      <c r="I390">
        <v>443</v>
      </c>
      <c r="J390">
        <v>48</v>
      </c>
      <c r="K390">
        <v>42</v>
      </c>
      <c r="L390">
        <v>37</v>
      </c>
      <c r="M390">
        <v>58</v>
      </c>
      <c r="N390">
        <v>34</v>
      </c>
      <c r="O390">
        <v>61</v>
      </c>
      <c r="P390">
        <v>18</v>
      </c>
      <c r="Q390">
        <v>1</v>
      </c>
    </row>
    <row r="391" spans="1:17" x14ac:dyDescent="0.45">
      <c r="A391" t="s">
        <v>40</v>
      </c>
      <c r="B391" t="s">
        <v>21</v>
      </c>
      <c r="C391">
        <v>10</v>
      </c>
      <c r="D391">
        <v>1774</v>
      </c>
      <c r="E391">
        <v>124</v>
      </c>
      <c r="F391">
        <v>110</v>
      </c>
      <c r="G391">
        <v>203</v>
      </c>
      <c r="H391">
        <v>24</v>
      </c>
      <c r="I391">
        <v>460</v>
      </c>
      <c r="J391">
        <v>58</v>
      </c>
      <c r="K391">
        <v>72</v>
      </c>
      <c r="L391">
        <v>39</v>
      </c>
      <c r="M391">
        <v>70</v>
      </c>
      <c r="N391">
        <v>59</v>
      </c>
      <c r="O391">
        <v>59</v>
      </c>
      <c r="P391">
        <v>15</v>
      </c>
      <c r="Q391">
        <v>0</v>
      </c>
    </row>
    <row r="392" spans="1:17" x14ac:dyDescent="0.45">
      <c r="A392" t="s">
        <v>40</v>
      </c>
      <c r="B392" t="s">
        <v>20</v>
      </c>
      <c r="C392">
        <v>11</v>
      </c>
      <c r="D392">
        <v>1315</v>
      </c>
      <c r="E392">
        <v>108</v>
      </c>
      <c r="F392">
        <v>67</v>
      </c>
      <c r="G392">
        <v>126</v>
      </c>
      <c r="H392">
        <v>79</v>
      </c>
      <c r="I392">
        <v>413</v>
      </c>
      <c r="J392">
        <v>55</v>
      </c>
      <c r="K392">
        <v>97</v>
      </c>
      <c r="L392">
        <v>32</v>
      </c>
      <c r="M392">
        <v>45</v>
      </c>
      <c r="N392">
        <v>54</v>
      </c>
      <c r="O392">
        <v>54</v>
      </c>
      <c r="P392">
        <v>17</v>
      </c>
      <c r="Q392">
        <v>0</v>
      </c>
    </row>
    <row r="393" spans="1:17" x14ac:dyDescent="0.45">
      <c r="A393" t="s">
        <v>40</v>
      </c>
      <c r="B393" t="s">
        <v>21</v>
      </c>
      <c r="C393">
        <v>11</v>
      </c>
      <c r="D393">
        <v>1510</v>
      </c>
      <c r="E393">
        <v>98</v>
      </c>
      <c r="F393">
        <v>56</v>
      </c>
      <c r="G393">
        <v>113</v>
      </c>
      <c r="H393">
        <v>69</v>
      </c>
      <c r="I393">
        <v>350</v>
      </c>
      <c r="J393">
        <v>29</v>
      </c>
      <c r="K393">
        <v>93</v>
      </c>
      <c r="L393">
        <v>38</v>
      </c>
      <c r="M393">
        <v>41</v>
      </c>
      <c r="N393">
        <v>36</v>
      </c>
      <c r="O393">
        <v>41</v>
      </c>
      <c r="P393">
        <v>12</v>
      </c>
      <c r="Q393">
        <v>2</v>
      </c>
    </row>
    <row r="394" spans="1:17" x14ac:dyDescent="0.45">
      <c r="A394" t="s">
        <v>40</v>
      </c>
      <c r="B394" t="s">
        <v>20</v>
      </c>
      <c r="C394">
        <v>12</v>
      </c>
      <c r="D394">
        <v>1364</v>
      </c>
      <c r="E394">
        <v>75</v>
      </c>
      <c r="F394">
        <v>67</v>
      </c>
      <c r="G394">
        <v>178</v>
      </c>
      <c r="H394">
        <v>24</v>
      </c>
      <c r="I394">
        <v>309</v>
      </c>
      <c r="J394">
        <v>38</v>
      </c>
      <c r="K394">
        <v>137</v>
      </c>
      <c r="L394">
        <v>50</v>
      </c>
      <c r="M394">
        <v>41</v>
      </c>
      <c r="N394">
        <v>63</v>
      </c>
      <c r="O394">
        <v>79</v>
      </c>
      <c r="P394">
        <v>27</v>
      </c>
      <c r="Q394">
        <v>4</v>
      </c>
    </row>
    <row r="395" spans="1:17" x14ac:dyDescent="0.45">
      <c r="A395" t="s">
        <v>40</v>
      </c>
      <c r="B395" t="s">
        <v>21</v>
      </c>
      <c r="C395">
        <v>12</v>
      </c>
      <c r="D395">
        <v>1535</v>
      </c>
      <c r="E395">
        <v>77</v>
      </c>
      <c r="F395">
        <v>57</v>
      </c>
      <c r="G395">
        <v>192</v>
      </c>
      <c r="H395">
        <v>30</v>
      </c>
      <c r="I395">
        <v>331</v>
      </c>
      <c r="J395">
        <v>44</v>
      </c>
      <c r="K395">
        <v>129</v>
      </c>
      <c r="L395">
        <v>42</v>
      </c>
      <c r="M395">
        <v>37</v>
      </c>
      <c r="N395">
        <v>59</v>
      </c>
      <c r="O395">
        <v>81</v>
      </c>
      <c r="P395">
        <v>22</v>
      </c>
      <c r="Q395">
        <v>3</v>
      </c>
    </row>
    <row r="396" spans="1:17" x14ac:dyDescent="0.45">
      <c r="A396" t="s">
        <v>39</v>
      </c>
      <c r="B396" t="s">
        <v>20</v>
      </c>
      <c r="C396">
        <v>1</v>
      </c>
      <c r="D396">
        <v>748</v>
      </c>
      <c r="E396">
        <v>31</v>
      </c>
      <c r="F396">
        <v>28</v>
      </c>
      <c r="G396">
        <v>169</v>
      </c>
      <c r="H396">
        <v>13</v>
      </c>
      <c r="I396">
        <v>146</v>
      </c>
      <c r="J396">
        <v>16</v>
      </c>
      <c r="K396">
        <v>70</v>
      </c>
      <c r="L396">
        <v>15</v>
      </c>
      <c r="M396">
        <v>22</v>
      </c>
      <c r="N396">
        <v>30</v>
      </c>
      <c r="O396">
        <v>30</v>
      </c>
      <c r="P396">
        <v>15</v>
      </c>
      <c r="Q396">
        <v>6</v>
      </c>
    </row>
    <row r="397" spans="1:17" x14ac:dyDescent="0.45">
      <c r="A397" t="s">
        <v>39</v>
      </c>
      <c r="B397" t="s">
        <v>21</v>
      </c>
      <c r="C397">
        <v>1</v>
      </c>
      <c r="D397">
        <v>829</v>
      </c>
      <c r="E397">
        <v>16</v>
      </c>
      <c r="F397">
        <v>41</v>
      </c>
      <c r="G397">
        <v>130</v>
      </c>
      <c r="H397">
        <v>8</v>
      </c>
      <c r="I397">
        <v>157</v>
      </c>
      <c r="J397">
        <v>17</v>
      </c>
      <c r="K397">
        <v>66</v>
      </c>
      <c r="L397">
        <v>18</v>
      </c>
      <c r="M397">
        <v>28</v>
      </c>
      <c r="N397">
        <v>25</v>
      </c>
      <c r="O397">
        <v>35</v>
      </c>
      <c r="P397">
        <v>11</v>
      </c>
      <c r="Q397">
        <v>2</v>
      </c>
    </row>
    <row r="398" spans="1:17" x14ac:dyDescent="0.45">
      <c r="A398" t="s">
        <v>39</v>
      </c>
      <c r="B398" t="s">
        <v>20</v>
      </c>
      <c r="C398">
        <v>2</v>
      </c>
      <c r="D398">
        <v>750</v>
      </c>
      <c r="E398">
        <v>45</v>
      </c>
      <c r="F398">
        <v>29</v>
      </c>
      <c r="G398">
        <v>100</v>
      </c>
      <c r="H398">
        <v>30</v>
      </c>
      <c r="I398">
        <v>131</v>
      </c>
      <c r="J398">
        <v>13</v>
      </c>
      <c r="K398">
        <v>58</v>
      </c>
      <c r="L398">
        <v>19</v>
      </c>
      <c r="M398">
        <v>20</v>
      </c>
      <c r="N398">
        <v>36</v>
      </c>
      <c r="O398">
        <v>40</v>
      </c>
      <c r="P398">
        <v>13</v>
      </c>
      <c r="Q398">
        <v>11</v>
      </c>
    </row>
    <row r="399" spans="1:17" x14ac:dyDescent="0.45">
      <c r="A399" t="s">
        <v>39</v>
      </c>
      <c r="B399" t="s">
        <v>21</v>
      </c>
      <c r="C399">
        <v>2</v>
      </c>
      <c r="D399">
        <v>950</v>
      </c>
      <c r="E399">
        <v>19</v>
      </c>
      <c r="F399">
        <v>11</v>
      </c>
      <c r="G399">
        <v>47</v>
      </c>
      <c r="H399">
        <v>71</v>
      </c>
      <c r="I399">
        <v>199</v>
      </c>
      <c r="J399">
        <v>11</v>
      </c>
      <c r="K399">
        <v>78</v>
      </c>
      <c r="L399">
        <v>18</v>
      </c>
      <c r="M399">
        <v>14</v>
      </c>
      <c r="N399">
        <v>42</v>
      </c>
      <c r="O399">
        <v>7</v>
      </c>
      <c r="P399">
        <v>11</v>
      </c>
      <c r="Q399">
        <v>2</v>
      </c>
    </row>
    <row r="400" spans="1:17" x14ac:dyDescent="0.45">
      <c r="A400" t="s">
        <v>39</v>
      </c>
      <c r="B400" t="s">
        <v>20</v>
      </c>
      <c r="C400">
        <v>3</v>
      </c>
      <c r="D400">
        <v>950</v>
      </c>
      <c r="E400">
        <v>55</v>
      </c>
      <c r="F400">
        <v>62</v>
      </c>
      <c r="G400">
        <v>204</v>
      </c>
      <c r="H400">
        <v>24</v>
      </c>
      <c r="I400">
        <v>184</v>
      </c>
      <c r="J400">
        <v>33</v>
      </c>
      <c r="K400">
        <v>129</v>
      </c>
      <c r="L400">
        <v>29</v>
      </c>
      <c r="M400">
        <v>36</v>
      </c>
      <c r="N400">
        <v>162</v>
      </c>
      <c r="O400">
        <v>99</v>
      </c>
      <c r="P400">
        <v>87</v>
      </c>
      <c r="Q400">
        <v>12</v>
      </c>
    </row>
    <row r="401" spans="1:17" x14ac:dyDescent="0.45">
      <c r="A401" t="s">
        <v>39</v>
      </c>
      <c r="B401" t="s">
        <v>21</v>
      </c>
      <c r="C401">
        <v>3</v>
      </c>
      <c r="D401">
        <v>1061</v>
      </c>
      <c r="E401">
        <v>47</v>
      </c>
      <c r="F401">
        <v>46</v>
      </c>
      <c r="G401">
        <v>194</v>
      </c>
      <c r="H401">
        <v>28</v>
      </c>
      <c r="I401">
        <v>190</v>
      </c>
      <c r="J401">
        <v>48</v>
      </c>
      <c r="K401">
        <v>152</v>
      </c>
      <c r="L401">
        <v>58</v>
      </c>
      <c r="M401">
        <v>28</v>
      </c>
      <c r="N401">
        <v>258</v>
      </c>
      <c r="O401">
        <v>127</v>
      </c>
      <c r="P401">
        <v>175</v>
      </c>
      <c r="Q401">
        <v>5</v>
      </c>
    </row>
    <row r="402" spans="1:17" x14ac:dyDescent="0.45">
      <c r="A402" t="s">
        <v>39</v>
      </c>
      <c r="B402" t="s">
        <v>20</v>
      </c>
      <c r="C402">
        <v>4</v>
      </c>
      <c r="D402">
        <v>959</v>
      </c>
      <c r="E402">
        <v>65</v>
      </c>
      <c r="F402">
        <v>58</v>
      </c>
      <c r="G402">
        <v>285</v>
      </c>
      <c r="H402">
        <v>62</v>
      </c>
      <c r="I402">
        <v>236</v>
      </c>
      <c r="J402">
        <v>87</v>
      </c>
      <c r="K402">
        <v>367</v>
      </c>
      <c r="L402">
        <v>130</v>
      </c>
      <c r="M402">
        <v>86</v>
      </c>
      <c r="N402">
        <v>407</v>
      </c>
      <c r="O402">
        <v>280</v>
      </c>
      <c r="P402">
        <v>287</v>
      </c>
      <c r="Q402">
        <v>15</v>
      </c>
    </row>
    <row r="403" spans="1:17" x14ac:dyDescent="0.45">
      <c r="A403" t="s">
        <v>39</v>
      </c>
      <c r="B403" t="s">
        <v>21</v>
      </c>
      <c r="C403">
        <v>4</v>
      </c>
      <c r="D403">
        <v>1095</v>
      </c>
      <c r="E403">
        <v>51</v>
      </c>
      <c r="F403">
        <v>29</v>
      </c>
      <c r="G403">
        <v>238</v>
      </c>
      <c r="H403">
        <v>72</v>
      </c>
      <c r="I403">
        <v>251</v>
      </c>
      <c r="J403">
        <v>75</v>
      </c>
      <c r="K403">
        <v>380</v>
      </c>
      <c r="L403">
        <v>114</v>
      </c>
      <c r="M403">
        <v>55</v>
      </c>
      <c r="N403">
        <v>374</v>
      </c>
      <c r="O403">
        <v>250</v>
      </c>
      <c r="P403">
        <v>220</v>
      </c>
      <c r="Q403">
        <v>1</v>
      </c>
    </row>
    <row r="404" spans="1:17" x14ac:dyDescent="0.45">
      <c r="A404" t="s">
        <v>39</v>
      </c>
      <c r="B404" t="s">
        <v>20</v>
      </c>
      <c r="C404">
        <v>5</v>
      </c>
      <c r="D404">
        <v>750</v>
      </c>
      <c r="E404">
        <v>49</v>
      </c>
      <c r="F404">
        <v>69</v>
      </c>
      <c r="G404">
        <v>155</v>
      </c>
      <c r="H404">
        <v>68</v>
      </c>
      <c r="I404">
        <v>243</v>
      </c>
      <c r="J404">
        <v>61</v>
      </c>
      <c r="K404">
        <v>207</v>
      </c>
      <c r="L404">
        <v>78</v>
      </c>
      <c r="M404">
        <v>45</v>
      </c>
      <c r="N404">
        <v>207</v>
      </c>
      <c r="O404">
        <v>174</v>
      </c>
      <c r="P404">
        <v>129</v>
      </c>
      <c r="Q404">
        <v>5</v>
      </c>
    </row>
    <row r="405" spans="1:17" x14ac:dyDescent="0.45">
      <c r="A405" t="s">
        <v>39</v>
      </c>
      <c r="B405" t="s">
        <v>21</v>
      </c>
      <c r="C405">
        <v>5</v>
      </c>
      <c r="D405">
        <v>890</v>
      </c>
      <c r="E405">
        <v>72</v>
      </c>
      <c r="F405">
        <v>45</v>
      </c>
      <c r="G405">
        <v>170</v>
      </c>
      <c r="H405">
        <v>107</v>
      </c>
      <c r="I405">
        <v>308</v>
      </c>
      <c r="J405">
        <v>55</v>
      </c>
      <c r="K405">
        <v>192</v>
      </c>
      <c r="L405">
        <v>96</v>
      </c>
      <c r="M405">
        <v>49</v>
      </c>
      <c r="N405">
        <v>242</v>
      </c>
      <c r="O405">
        <v>193</v>
      </c>
      <c r="P405">
        <v>154</v>
      </c>
      <c r="Q405">
        <v>1</v>
      </c>
    </row>
    <row r="406" spans="1:17" x14ac:dyDescent="0.45">
      <c r="A406" t="s">
        <v>39</v>
      </c>
      <c r="B406" t="s">
        <v>20</v>
      </c>
      <c r="C406">
        <v>6</v>
      </c>
      <c r="D406">
        <v>889</v>
      </c>
      <c r="E406">
        <v>66</v>
      </c>
      <c r="F406">
        <v>54</v>
      </c>
      <c r="G406">
        <v>138</v>
      </c>
      <c r="H406">
        <v>114</v>
      </c>
      <c r="I406">
        <v>295</v>
      </c>
      <c r="J406">
        <v>28</v>
      </c>
      <c r="K406">
        <v>77</v>
      </c>
      <c r="L406">
        <v>59</v>
      </c>
      <c r="M406">
        <v>34</v>
      </c>
      <c r="N406">
        <v>140</v>
      </c>
      <c r="O406">
        <v>117</v>
      </c>
      <c r="P406">
        <v>85</v>
      </c>
      <c r="Q406">
        <v>4</v>
      </c>
    </row>
    <row r="407" spans="1:17" x14ac:dyDescent="0.45">
      <c r="A407" t="s">
        <v>39</v>
      </c>
      <c r="B407" t="s">
        <v>21</v>
      </c>
      <c r="C407">
        <v>6</v>
      </c>
      <c r="D407">
        <v>1038</v>
      </c>
      <c r="E407">
        <v>68</v>
      </c>
      <c r="F407">
        <v>67</v>
      </c>
      <c r="G407">
        <v>126</v>
      </c>
      <c r="H407">
        <v>86</v>
      </c>
      <c r="I407">
        <v>294</v>
      </c>
      <c r="J407">
        <v>43</v>
      </c>
      <c r="K407">
        <v>99</v>
      </c>
      <c r="L407">
        <v>83</v>
      </c>
      <c r="M407">
        <v>40</v>
      </c>
      <c r="N407">
        <v>138</v>
      </c>
      <c r="O407">
        <v>111</v>
      </c>
      <c r="P407">
        <v>73</v>
      </c>
      <c r="Q407">
        <v>7</v>
      </c>
    </row>
    <row r="408" spans="1:17" x14ac:dyDescent="0.45">
      <c r="A408" t="s">
        <v>39</v>
      </c>
      <c r="B408" t="s">
        <v>20</v>
      </c>
      <c r="C408">
        <v>7</v>
      </c>
      <c r="D408">
        <v>780</v>
      </c>
      <c r="E408">
        <v>66</v>
      </c>
      <c r="F408">
        <v>43</v>
      </c>
      <c r="G408">
        <v>87</v>
      </c>
      <c r="H408">
        <v>55</v>
      </c>
      <c r="I408">
        <v>311</v>
      </c>
      <c r="J408">
        <v>22</v>
      </c>
      <c r="K408">
        <v>58</v>
      </c>
      <c r="L408">
        <v>49</v>
      </c>
      <c r="M408">
        <v>39</v>
      </c>
      <c r="N408">
        <v>68</v>
      </c>
      <c r="O408">
        <v>53</v>
      </c>
      <c r="P408">
        <v>28</v>
      </c>
      <c r="Q408">
        <v>0</v>
      </c>
    </row>
    <row r="409" spans="1:17" x14ac:dyDescent="0.45">
      <c r="A409" t="s">
        <v>39</v>
      </c>
      <c r="B409" t="s">
        <v>21</v>
      </c>
      <c r="C409">
        <v>7</v>
      </c>
      <c r="D409">
        <v>1134</v>
      </c>
      <c r="E409">
        <v>63</v>
      </c>
      <c r="F409">
        <v>92</v>
      </c>
      <c r="G409">
        <v>169</v>
      </c>
      <c r="H409">
        <v>78</v>
      </c>
      <c r="I409">
        <v>426</v>
      </c>
      <c r="J409">
        <v>59</v>
      </c>
      <c r="K409">
        <v>88</v>
      </c>
      <c r="L409">
        <v>88</v>
      </c>
      <c r="M409">
        <v>86</v>
      </c>
      <c r="N409">
        <v>153</v>
      </c>
      <c r="O409">
        <v>142</v>
      </c>
      <c r="P409">
        <v>83</v>
      </c>
      <c r="Q409">
        <v>7</v>
      </c>
    </row>
    <row r="410" spans="1:17" x14ac:dyDescent="0.45">
      <c r="A410" t="s">
        <v>39</v>
      </c>
      <c r="B410" t="s">
        <v>20</v>
      </c>
      <c r="C410">
        <v>8</v>
      </c>
      <c r="D410">
        <v>619</v>
      </c>
      <c r="E410">
        <v>32</v>
      </c>
      <c r="F410">
        <v>48</v>
      </c>
      <c r="G410">
        <v>48</v>
      </c>
      <c r="H410">
        <v>30</v>
      </c>
      <c r="I410">
        <v>257</v>
      </c>
      <c r="J410">
        <v>29</v>
      </c>
      <c r="K410">
        <v>12</v>
      </c>
      <c r="L410">
        <v>15</v>
      </c>
      <c r="M410">
        <v>20</v>
      </c>
      <c r="N410">
        <v>9</v>
      </c>
      <c r="O410">
        <v>10</v>
      </c>
      <c r="P410">
        <v>7</v>
      </c>
      <c r="Q410">
        <v>4</v>
      </c>
    </row>
    <row r="411" spans="1:17" x14ac:dyDescent="0.45">
      <c r="A411" t="s">
        <v>39</v>
      </c>
      <c r="B411" t="s">
        <v>21</v>
      </c>
      <c r="C411">
        <v>8</v>
      </c>
      <c r="D411">
        <v>819</v>
      </c>
      <c r="E411">
        <v>25</v>
      </c>
      <c r="F411">
        <v>34</v>
      </c>
      <c r="G411">
        <v>66</v>
      </c>
      <c r="H411">
        <v>20</v>
      </c>
      <c r="I411">
        <v>324</v>
      </c>
      <c r="J411">
        <v>11</v>
      </c>
      <c r="K411">
        <v>15</v>
      </c>
      <c r="L411">
        <v>12</v>
      </c>
      <c r="M411">
        <v>25</v>
      </c>
      <c r="N411">
        <v>6</v>
      </c>
      <c r="O411">
        <v>25</v>
      </c>
      <c r="P411">
        <v>12</v>
      </c>
      <c r="Q411">
        <v>2</v>
      </c>
    </row>
    <row r="412" spans="1:17" x14ac:dyDescent="0.45">
      <c r="A412" t="s">
        <v>39</v>
      </c>
      <c r="B412" t="s">
        <v>20</v>
      </c>
      <c r="C412">
        <v>9</v>
      </c>
      <c r="D412">
        <v>846</v>
      </c>
      <c r="E412">
        <v>39</v>
      </c>
      <c r="F412">
        <v>59</v>
      </c>
      <c r="G412">
        <v>36</v>
      </c>
      <c r="H412">
        <v>48</v>
      </c>
      <c r="I412">
        <v>315</v>
      </c>
      <c r="J412">
        <v>29</v>
      </c>
      <c r="K412">
        <v>9</v>
      </c>
      <c r="L412">
        <v>5</v>
      </c>
      <c r="M412">
        <v>34</v>
      </c>
      <c r="N412">
        <v>17</v>
      </c>
      <c r="O412">
        <v>23</v>
      </c>
      <c r="P412">
        <v>10</v>
      </c>
      <c r="Q412">
        <v>0</v>
      </c>
    </row>
    <row r="413" spans="1:17" x14ac:dyDescent="0.45">
      <c r="A413" t="s">
        <v>39</v>
      </c>
      <c r="B413" t="s">
        <v>21</v>
      </c>
      <c r="C413">
        <v>9</v>
      </c>
      <c r="D413">
        <v>866</v>
      </c>
      <c r="E413">
        <v>46</v>
      </c>
      <c r="F413">
        <v>60</v>
      </c>
      <c r="G413">
        <v>87</v>
      </c>
      <c r="H413">
        <v>12</v>
      </c>
      <c r="I413">
        <v>242</v>
      </c>
      <c r="J413">
        <v>35</v>
      </c>
      <c r="K413">
        <v>18</v>
      </c>
      <c r="L413">
        <v>27</v>
      </c>
      <c r="M413">
        <v>38</v>
      </c>
      <c r="N413">
        <v>16</v>
      </c>
      <c r="O413">
        <v>16</v>
      </c>
      <c r="P413">
        <v>9</v>
      </c>
      <c r="Q413">
        <v>2</v>
      </c>
    </row>
    <row r="414" spans="1:17" x14ac:dyDescent="0.45">
      <c r="A414" t="s">
        <v>39</v>
      </c>
      <c r="B414" t="s">
        <v>20</v>
      </c>
      <c r="C414">
        <v>10</v>
      </c>
      <c r="D414">
        <v>1060</v>
      </c>
      <c r="E414">
        <v>57</v>
      </c>
      <c r="F414">
        <v>107</v>
      </c>
      <c r="G414">
        <v>71</v>
      </c>
      <c r="H414">
        <v>117</v>
      </c>
      <c r="I414">
        <v>406</v>
      </c>
      <c r="J414">
        <v>40</v>
      </c>
      <c r="K414">
        <v>42</v>
      </c>
      <c r="L414">
        <v>37</v>
      </c>
      <c r="M414">
        <v>40</v>
      </c>
      <c r="N414">
        <v>34</v>
      </c>
      <c r="O414">
        <v>21</v>
      </c>
      <c r="P414">
        <v>17</v>
      </c>
      <c r="Q414">
        <v>2</v>
      </c>
    </row>
    <row r="415" spans="1:17" x14ac:dyDescent="0.45">
      <c r="A415" t="s">
        <v>39</v>
      </c>
      <c r="B415" t="s">
        <v>21</v>
      </c>
      <c r="C415">
        <v>10</v>
      </c>
      <c r="D415">
        <v>1324</v>
      </c>
      <c r="E415">
        <v>94</v>
      </c>
      <c r="F415">
        <v>101</v>
      </c>
      <c r="G415">
        <v>161</v>
      </c>
      <c r="H415">
        <v>51</v>
      </c>
      <c r="I415">
        <v>366</v>
      </c>
      <c r="J415">
        <v>75</v>
      </c>
      <c r="K415">
        <v>63</v>
      </c>
      <c r="L415">
        <v>68</v>
      </c>
      <c r="M415">
        <v>76</v>
      </c>
      <c r="N415">
        <v>62</v>
      </c>
      <c r="O415">
        <v>54</v>
      </c>
      <c r="P415">
        <v>18</v>
      </c>
      <c r="Q415">
        <v>0</v>
      </c>
    </row>
    <row r="416" spans="1:17" x14ac:dyDescent="0.45">
      <c r="A416" t="s">
        <v>39</v>
      </c>
      <c r="B416" t="s">
        <v>20</v>
      </c>
      <c r="C416">
        <v>11</v>
      </c>
      <c r="D416">
        <v>909</v>
      </c>
      <c r="E416">
        <v>76</v>
      </c>
      <c r="F416">
        <v>61</v>
      </c>
      <c r="G416">
        <v>131</v>
      </c>
      <c r="H416">
        <v>65</v>
      </c>
      <c r="I416">
        <v>296</v>
      </c>
      <c r="J416">
        <v>46</v>
      </c>
      <c r="K416">
        <v>54</v>
      </c>
      <c r="L416">
        <v>33</v>
      </c>
      <c r="M416">
        <v>31</v>
      </c>
      <c r="N416">
        <v>52</v>
      </c>
      <c r="O416">
        <v>37</v>
      </c>
      <c r="P416">
        <v>16</v>
      </c>
      <c r="Q416">
        <v>0</v>
      </c>
    </row>
    <row r="417" spans="1:17" x14ac:dyDescent="0.45">
      <c r="A417" t="s">
        <v>39</v>
      </c>
      <c r="B417" t="s">
        <v>21</v>
      </c>
      <c r="C417">
        <v>11</v>
      </c>
      <c r="D417">
        <v>1034</v>
      </c>
      <c r="E417">
        <v>55</v>
      </c>
      <c r="F417">
        <v>46</v>
      </c>
      <c r="G417">
        <v>79</v>
      </c>
      <c r="H417">
        <v>86</v>
      </c>
      <c r="I417">
        <v>302</v>
      </c>
      <c r="J417">
        <v>27</v>
      </c>
      <c r="K417">
        <v>72</v>
      </c>
      <c r="L417">
        <v>42</v>
      </c>
      <c r="M417">
        <v>34</v>
      </c>
      <c r="N417">
        <v>27</v>
      </c>
      <c r="O417">
        <v>35</v>
      </c>
      <c r="P417">
        <v>12</v>
      </c>
      <c r="Q417">
        <v>0</v>
      </c>
    </row>
    <row r="418" spans="1:17" x14ac:dyDescent="0.45">
      <c r="A418" t="s">
        <v>39</v>
      </c>
      <c r="B418" t="s">
        <v>20</v>
      </c>
      <c r="C418">
        <v>12</v>
      </c>
      <c r="D418">
        <v>990</v>
      </c>
      <c r="E418">
        <v>52</v>
      </c>
      <c r="F418">
        <v>40</v>
      </c>
      <c r="G418">
        <v>217</v>
      </c>
      <c r="H418">
        <v>46</v>
      </c>
      <c r="I418">
        <v>258</v>
      </c>
      <c r="J418">
        <v>37</v>
      </c>
      <c r="K418">
        <v>110</v>
      </c>
      <c r="L418">
        <v>45</v>
      </c>
      <c r="M418">
        <v>47</v>
      </c>
      <c r="N418">
        <v>68</v>
      </c>
      <c r="O418">
        <v>56</v>
      </c>
      <c r="P418">
        <v>31</v>
      </c>
      <c r="Q418">
        <v>1</v>
      </c>
    </row>
    <row r="419" spans="1:17" x14ac:dyDescent="0.45">
      <c r="A419" t="s">
        <v>39</v>
      </c>
      <c r="B419" t="s">
        <v>21</v>
      </c>
      <c r="C419">
        <v>12</v>
      </c>
      <c r="D419">
        <v>1062</v>
      </c>
      <c r="E419">
        <v>40</v>
      </c>
      <c r="F419">
        <v>55</v>
      </c>
      <c r="G419">
        <v>203</v>
      </c>
      <c r="H419">
        <v>66</v>
      </c>
      <c r="I419">
        <v>295</v>
      </c>
      <c r="J419">
        <v>39</v>
      </c>
      <c r="K419">
        <v>113</v>
      </c>
      <c r="L419">
        <v>40</v>
      </c>
      <c r="M419">
        <v>42</v>
      </c>
      <c r="N419">
        <v>43</v>
      </c>
      <c r="O419">
        <v>57</v>
      </c>
      <c r="P419">
        <v>22</v>
      </c>
      <c r="Q419">
        <v>0</v>
      </c>
    </row>
    <row r="420" spans="1:17" x14ac:dyDescent="0.45">
      <c r="A420" t="s">
        <v>36</v>
      </c>
      <c r="B420" t="s">
        <v>20</v>
      </c>
      <c r="C420">
        <v>1</v>
      </c>
      <c r="D420">
        <v>1107</v>
      </c>
      <c r="E420">
        <v>27</v>
      </c>
      <c r="F420">
        <v>13</v>
      </c>
      <c r="G420">
        <v>166</v>
      </c>
      <c r="H420">
        <v>16</v>
      </c>
      <c r="I420">
        <v>173</v>
      </c>
      <c r="J420">
        <v>16</v>
      </c>
      <c r="K420">
        <v>92</v>
      </c>
      <c r="L420">
        <v>26</v>
      </c>
      <c r="M420">
        <v>17</v>
      </c>
      <c r="N420">
        <v>33</v>
      </c>
      <c r="O420">
        <v>27</v>
      </c>
      <c r="P420">
        <v>7</v>
      </c>
      <c r="Q420">
        <v>5</v>
      </c>
    </row>
    <row r="421" spans="1:17" x14ac:dyDescent="0.45">
      <c r="A421" t="s">
        <v>36</v>
      </c>
      <c r="B421" t="s">
        <v>21</v>
      </c>
      <c r="C421">
        <v>1</v>
      </c>
      <c r="D421">
        <v>1273</v>
      </c>
      <c r="E421">
        <v>50</v>
      </c>
      <c r="F421">
        <v>20</v>
      </c>
      <c r="G421">
        <v>164</v>
      </c>
      <c r="H421">
        <v>10</v>
      </c>
      <c r="I421">
        <v>157</v>
      </c>
      <c r="J421">
        <v>27</v>
      </c>
      <c r="K421">
        <v>87</v>
      </c>
      <c r="L421">
        <v>28</v>
      </c>
      <c r="M421">
        <v>15</v>
      </c>
      <c r="N421">
        <v>41</v>
      </c>
      <c r="O421">
        <v>33</v>
      </c>
      <c r="P421">
        <v>26</v>
      </c>
      <c r="Q421">
        <v>2</v>
      </c>
    </row>
    <row r="422" spans="1:17" x14ac:dyDescent="0.45">
      <c r="A422" t="s">
        <v>36</v>
      </c>
      <c r="B422" t="s">
        <v>20</v>
      </c>
      <c r="C422">
        <v>2</v>
      </c>
      <c r="D422">
        <v>1136</v>
      </c>
      <c r="E422">
        <v>26</v>
      </c>
      <c r="F422">
        <v>14</v>
      </c>
      <c r="G422">
        <v>102</v>
      </c>
      <c r="H422">
        <v>15</v>
      </c>
      <c r="I422">
        <v>176</v>
      </c>
      <c r="J422">
        <v>12</v>
      </c>
      <c r="K422">
        <v>49</v>
      </c>
      <c r="L422">
        <v>16</v>
      </c>
      <c r="M422">
        <v>15</v>
      </c>
      <c r="N422">
        <v>42</v>
      </c>
      <c r="O422">
        <v>28</v>
      </c>
      <c r="P422">
        <v>25</v>
      </c>
      <c r="Q422">
        <v>13</v>
      </c>
    </row>
    <row r="423" spans="1:17" x14ac:dyDescent="0.45">
      <c r="A423" t="s">
        <v>36</v>
      </c>
      <c r="B423" t="s">
        <v>21</v>
      </c>
      <c r="C423">
        <v>2</v>
      </c>
      <c r="D423">
        <v>1363</v>
      </c>
      <c r="E423">
        <v>34</v>
      </c>
      <c r="F423">
        <v>14</v>
      </c>
      <c r="G423">
        <v>67</v>
      </c>
      <c r="H423">
        <v>53</v>
      </c>
      <c r="I423">
        <v>222</v>
      </c>
      <c r="J423">
        <v>9</v>
      </c>
      <c r="K423">
        <v>96</v>
      </c>
      <c r="L423">
        <v>29</v>
      </c>
      <c r="M423">
        <v>16</v>
      </c>
      <c r="N423">
        <v>42</v>
      </c>
      <c r="O423">
        <v>24</v>
      </c>
      <c r="P423">
        <v>12</v>
      </c>
      <c r="Q423">
        <v>2</v>
      </c>
    </row>
    <row r="424" spans="1:17" x14ac:dyDescent="0.45">
      <c r="A424" t="s">
        <v>36</v>
      </c>
      <c r="B424" t="s">
        <v>20</v>
      </c>
      <c r="C424">
        <v>3</v>
      </c>
      <c r="D424">
        <v>1407</v>
      </c>
      <c r="E424">
        <v>45</v>
      </c>
      <c r="F424">
        <v>52</v>
      </c>
      <c r="G424">
        <v>256</v>
      </c>
      <c r="H424">
        <v>20</v>
      </c>
      <c r="I424">
        <v>233</v>
      </c>
      <c r="J424">
        <v>23</v>
      </c>
      <c r="K424">
        <v>124</v>
      </c>
      <c r="L424">
        <v>27</v>
      </c>
      <c r="M424">
        <v>23</v>
      </c>
      <c r="N424">
        <v>165</v>
      </c>
      <c r="O424">
        <v>103</v>
      </c>
      <c r="P424">
        <v>110</v>
      </c>
      <c r="Q424">
        <v>9</v>
      </c>
    </row>
    <row r="425" spans="1:17" x14ac:dyDescent="0.45">
      <c r="A425" t="s">
        <v>36</v>
      </c>
      <c r="B425" t="s">
        <v>21</v>
      </c>
      <c r="C425">
        <v>3</v>
      </c>
      <c r="D425">
        <v>1578</v>
      </c>
      <c r="E425">
        <v>49</v>
      </c>
      <c r="F425">
        <v>52</v>
      </c>
      <c r="G425">
        <v>264</v>
      </c>
      <c r="H425">
        <v>26</v>
      </c>
      <c r="I425">
        <v>235</v>
      </c>
      <c r="J425">
        <v>49</v>
      </c>
      <c r="K425">
        <v>164</v>
      </c>
      <c r="L425">
        <v>54</v>
      </c>
      <c r="M425">
        <v>25</v>
      </c>
      <c r="N425">
        <v>299</v>
      </c>
      <c r="O425">
        <v>159</v>
      </c>
      <c r="P425">
        <v>160</v>
      </c>
      <c r="Q425">
        <v>9</v>
      </c>
    </row>
    <row r="426" spans="1:17" x14ac:dyDescent="0.45">
      <c r="A426" t="s">
        <v>36</v>
      </c>
      <c r="B426" t="s">
        <v>20</v>
      </c>
      <c r="C426">
        <v>4</v>
      </c>
      <c r="D426">
        <v>1396</v>
      </c>
      <c r="E426">
        <v>89</v>
      </c>
      <c r="F426">
        <v>72</v>
      </c>
      <c r="G426">
        <v>352</v>
      </c>
      <c r="H426">
        <v>40</v>
      </c>
      <c r="I426">
        <v>287</v>
      </c>
      <c r="J426">
        <v>88</v>
      </c>
      <c r="K426">
        <v>560</v>
      </c>
      <c r="L426">
        <v>176</v>
      </c>
      <c r="M426">
        <v>69</v>
      </c>
      <c r="N426">
        <v>512</v>
      </c>
      <c r="O426">
        <v>264</v>
      </c>
      <c r="P426">
        <v>329</v>
      </c>
      <c r="Q426">
        <v>24</v>
      </c>
    </row>
    <row r="427" spans="1:17" x14ac:dyDescent="0.45">
      <c r="A427" t="s">
        <v>36</v>
      </c>
      <c r="B427" t="s">
        <v>21</v>
      </c>
      <c r="C427">
        <v>4</v>
      </c>
      <c r="D427">
        <v>1875</v>
      </c>
      <c r="E427">
        <v>75</v>
      </c>
      <c r="F427">
        <v>63</v>
      </c>
      <c r="G427">
        <v>247</v>
      </c>
      <c r="H427">
        <v>62</v>
      </c>
      <c r="I427">
        <v>439</v>
      </c>
      <c r="J427">
        <v>67</v>
      </c>
      <c r="K427">
        <v>441</v>
      </c>
      <c r="L427">
        <v>143</v>
      </c>
      <c r="M427">
        <v>57</v>
      </c>
      <c r="N427">
        <v>373</v>
      </c>
      <c r="O427">
        <v>189</v>
      </c>
      <c r="P427">
        <v>244</v>
      </c>
      <c r="Q427">
        <v>15</v>
      </c>
    </row>
    <row r="428" spans="1:17" x14ac:dyDescent="0.45">
      <c r="A428" t="s">
        <v>36</v>
      </c>
      <c r="B428" t="s">
        <v>20</v>
      </c>
      <c r="C428">
        <v>5</v>
      </c>
      <c r="D428">
        <v>1164</v>
      </c>
      <c r="E428">
        <v>59</v>
      </c>
      <c r="F428">
        <v>36</v>
      </c>
      <c r="G428">
        <v>225</v>
      </c>
      <c r="H428">
        <v>45</v>
      </c>
      <c r="I428">
        <v>273</v>
      </c>
      <c r="J428">
        <v>64</v>
      </c>
      <c r="K428">
        <v>158</v>
      </c>
      <c r="L428">
        <v>75</v>
      </c>
      <c r="M428">
        <v>27</v>
      </c>
      <c r="N428">
        <v>250</v>
      </c>
      <c r="O428">
        <v>131</v>
      </c>
      <c r="P428">
        <v>125</v>
      </c>
      <c r="Q428">
        <v>4</v>
      </c>
    </row>
    <row r="429" spans="1:17" x14ac:dyDescent="0.45">
      <c r="A429" t="s">
        <v>36</v>
      </c>
      <c r="B429" t="s">
        <v>21</v>
      </c>
      <c r="C429">
        <v>5</v>
      </c>
      <c r="D429">
        <v>1513</v>
      </c>
      <c r="E429">
        <v>69</v>
      </c>
      <c r="F429">
        <v>49</v>
      </c>
      <c r="G429">
        <v>286</v>
      </c>
      <c r="H429">
        <v>48</v>
      </c>
      <c r="I429">
        <v>324</v>
      </c>
      <c r="J429">
        <v>64</v>
      </c>
      <c r="K429">
        <v>275</v>
      </c>
      <c r="L429">
        <v>128</v>
      </c>
      <c r="M429">
        <v>26</v>
      </c>
      <c r="N429">
        <v>337</v>
      </c>
      <c r="O429">
        <v>205</v>
      </c>
      <c r="P429">
        <v>175</v>
      </c>
      <c r="Q429">
        <v>13</v>
      </c>
    </row>
    <row r="430" spans="1:17" x14ac:dyDescent="0.45">
      <c r="A430" t="s">
        <v>36</v>
      </c>
      <c r="B430" t="s">
        <v>20</v>
      </c>
      <c r="C430">
        <v>6</v>
      </c>
      <c r="D430">
        <v>1453</v>
      </c>
      <c r="E430">
        <v>65</v>
      </c>
      <c r="F430">
        <v>36</v>
      </c>
      <c r="G430">
        <v>190</v>
      </c>
      <c r="H430">
        <v>47</v>
      </c>
      <c r="I430">
        <v>307</v>
      </c>
      <c r="J430">
        <v>36</v>
      </c>
      <c r="K430">
        <v>102</v>
      </c>
      <c r="L430">
        <v>42</v>
      </c>
      <c r="M430">
        <v>36</v>
      </c>
      <c r="N430">
        <v>129</v>
      </c>
      <c r="O430">
        <v>111</v>
      </c>
      <c r="P430">
        <v>59</v>
      </c>
      <c r="Q430">
        <v>0</v>
      </c>
    </row>
    <row r="431" spans="1:17" x14ac:dyDescent="0.45">
      <c r="A431" t="s">
        <v>36</v>
      </c>
      <c r="B431" t="s">
        <v>21</v>
      </c>
      <c r="C431">
        <v>6</v>
      </c>
      <c r="D431">
        <v>1682</v>
      </c>
      <c r="E431">
        <v>71</v>
      </c>
      <c r="F431">
        <v>68</v>
      </c>
      <c r="G431">
        <v>267</v>
      </c>
      <c r="H431">
        <v>41</v>
      </c>
      <c r="I431">
        <v>410</v>
      </c>
      <c r="J431">
        <v>67</v>
      </c>
      <c r="K431">
        <v>120</v>
      </c>
      <c r="L431">
        <v>100</v>
      </c>
      <c r="M431">
        <v>58</v>
      </c>
      <c r="N431">
        <v>145</v>
      </c>
      <c r="O431">
        <v>108</v>
      </c>
      <c r="P431">
        <v>62</v>
      </c>
      <c r="Q431">
        <v>2</v>
      </c>
    </row>
    <row r="432" spans="1:17" x14ac:dyDescent="0.45">
      <c r="A432" t="s">
        <v>36</v>
      </c>
      <c r="B432" t="s">
        <v>20</v>
      </c>
      <c r="C432">
        <v>7</v>
      </c>
      <c r="D432">
        <v>1244</v>
      </c>
      <c r="E432">
        <v>69</v>
      </c>
      <c r="F432">
        <v>51</v>
      </c>
      <c r="G432">
        <v>98</v>
      </c>
      <c r="H432">
        <v>35</v>
      </c>
      <c r="I432">
        <v>3472</v>
      </c>
      <c r="J432">
        <v>43</v>
      </c>
      <c r="K432">
        <v>46</v>
      </c>
      <c r="L432">
        <v>26</v>
      </c>
      <c r="M432">
        <v>35</v>
      </c>
      <c r="N432">
        <v>62</v>
      </c>
      <c r="O432">
        <v>49</v>
      </c>
      <c r="P432">
        <v>39</v>
      </c>
      <c r="Q432">
        <v>0</v>
      </c>
    </row>
    <row r="433" spans="1:17" x14ac:dyDescent="0.45">
      <c r="A433" t="s">
        <v>36</v>
      </c>
      <c r="B433" t="s">
        <v>21</v>
      </c>
      <c r="C433">
        <v>7</v>
      </c>
      <c r="D433">
        <v>1685</v>
      </c>
      <c r="E433">
        <v>61</v>
      </c>
      <c r="F433">
        <v>46</v>
      </c>
      <c r="G433">
        <v>105</v>
      </c>
      <c r="H433">
        <v>50</v>
      </c>
      <c r="I433">
        <v>406</v>
      </c>
      <c r="J433">
        <v>35</v>
      </c>
      <c r="K433">
        <v>29</v>
      </c>
      <c r="L433">
        <v>29</v>
      </c>
      <c r="M433">
        <v>23</v>
      </c>
      <c r="N433">
        <v>59</v>
      </c>
      <c r="O433">
        <v>32</v>
      </c>
      <c r="P433">
        <v>11</v>
      </c>
      <c r="Q433">
        <v>1</v>
      </c>
    </row>
    <row r="434" spans="1:17" x14ac:dyDescent="0.45">
      <c r="A434" t="s">
        <v>36</v>
      </c>
      <c r="B434" t="s">
        <v>20</v>
      </c>
      <c r="C434">
        <v>8</v>
      </c>
      <c r="D434">
        <v>1227</v>
      </c>
      <c r="E434">
        <v>47</v>
      </c>
      <c r="F434">
        <v>60</v>
      </c>
      <c r="G434">
        <v>77</v>
      </c>
      <c r="H434">
        <v>22</v>
      </c>
      <c r="I434">
        <v>308</v>
      </c>
      <c r="J434">
        <v>31</v>
      </c>
      <c r="K434">
        <v>17</v>
      </c>
      <c r="L434">
        <v>10</v>
      </c>
      <c r="M434">
        <v>23</v>
      </c>
      <c r="N434">
        <v>20</v>
      </c>
      <c r="O434">
        <v>19</v>
      </c>
      <c r="P434">
        <v>2</v>
      </c>
      <c r="Q434">
        <v>0</v>
      </c>
    </row>
    <row r="435" spans="1:17" x14ac:dyDescent="0.45">
      <c r="A435" t="s">
        <v>36</v>
      </c>
      <c r="B435" t="s">
        <v>21</v>
      </c>
      <c r="C435">
        <v>8</v>
      </c>
      <c r="D435">
        <v>1231</v>
      </c>
      <c r="E435">
        <v>37</v>
      </c>
      <c r="F435">
        <v>31</v>
      </c>
      <c r="G435">
        <v>121</v>
      </c>
      <c r="H435">
        <v>14</v>
      </c>
      <c r="I435">
        <v>360</v>
      </c>
      <c r="J435">
        <v>33</v>
      </c>
      <c r="K435">
        <v>15</v>
      </c>
      <c r="L435">
        <v>9</v>
      </c>
      <c r="M435">
        <v>26</v>
      </c>
      <c r="N435">
        <v>28</v>
      </c>
      <c r="O435">
        <v>18</v>
      </c>
      <c r="P435">
        <v>8</v>
      </c>
      <c r="Q435">
        <v>0</v>
      </c>
    </row>
    <row r="436" spans="1:17" x14ac:dyDescent="0.45">
      <c r="A436" t="s">
        <v>36</v>
      </c>
      <c r="B436" t="s">
        <v>20</v>
      </c>
      <c r="C436">
        <v>9</v>
      </c>
      <c r="D436">
        <v>1396</v>
      </c>
      <c r="E436">
        <v>47</v>
      </c>
      <c r="F436">
        <v>45</v>
      </c>
      <c r="G436">
        <v>49</v>
      </c>
      <c r="H436">
        <v>46</v>
      </c>
      <c r="I436">
        <v>395</v>
      </c>
      <c r="J436">
        <v>44</v>
      </c>
      <c r="K436">
        <v>20</v>
      </c>
      <c r="L436">
        <v>10</v>
      </c>
      <c r="M436">
        <v>45</v>
      </c>
      <c r="N436">
        <v>25</v>
      </c>
      <c r="O436">
        <v>16</v>
      </c>
      <c r="P436">
        <v>7</v>
      </c>
      <c r="Q436">
        <v>0</v>
      </c>
    </row>
    <row r="437" spans="1:17" x14ac:dyDescent="0.45">
      <c r="A437" t="s">
        <v>36</v>
      </c>
      <c r="B437" t="s">
        <v>21</v>
      </c>
      <c r="C437">
        <v>9</v>
      </c>
      <c r="D437">
        <v>1348</v>
      </c>
      <c r="E437">
        <v>56</v>
      </c>
      <c r="F437">
        <v>32</v>
      </c>
      <c r="G437">
        <v>88</v>
      </c>
      <c r="H437">
        <v>8</v>
      </c>
      <c r="I437">
        <v>319</v>
      </c>
      <c r="J437">
        <v>30</v>
      </c>
      <c r="K437">
        <v>15</v>
      </c>
      <c r="L437">
        <v>9</v>
      </c>
      <c r="M437">
        <v>31</v>
      </c>
      <c r="N437">
        <v>13</v>
      </c>
      <c r="O437">
        <v>30</v>
      </c>
      <c r="P437">
        <v>6</v>
      </c>
      <c r="Q437">
        <v>0</v>
      </c>
    </row>
    <row r="438" spans="1:17" x14ac:dyDescent="0.45">
      <c r="A438" t="s">
        <v>36</v>
      </c>
      <c r="B438" t="s">
        <v>20</v>
      </c>
      <c r="C438">
        <v>10</v>
      </c>
      <c r="D438">
        <v>1641</v>
      </c>
      <c r="E438">
        <v>76</v>
      </c>
      <c r="F438">
        <v>76</v>
      </c>
      <c r="G438">
        <v>88</v>
      </c>
      <c r="H438">
        <v>74</v>
      </c>
      <c r="I438">
        <v>405</v>
      </c>
      <c r="J438">
        <v>74</v>
      </c>
      <c r="K438">
        <v>47</v>
      </c>
      <c r="L438">
        <v>42</v>
      </c>
      <c r="M438">
        <v>48</v>
      </c>
      <c r="N438">
        <v>35</v>
      </c>
      <c r="O438">
        <v>44</v>
      </c>
      <c r="P438">
        <v>17</v>
      </c>
      <c r="Q438">
        <v>6</v>
      </c>
    </row>
    <row r="439" spans="1:17" x14ac:dyDescent="0.45">
      <c r="A439" t="s">
        <v>36</v>
      </c>
      <c r="B439" t="s">
        <v>21</v>
      </c>
      <c r="C439">
        <v>10</v>
      </c>
      <c r="D439">
        <v>2036</v>
      </c>
      <c r="E439">
        <v>107</v>
      </c>
      <c r="F439">
        <v>104</v>
      </c>
      <c r="G439">
        <v>233</v>
      </c>
      <c r="H439">
        <v>33</v>
      </c>
      <c r="I439">
        <v>482</v>
      </c>
      <c r="J439">
        <v>62</v>
      </c>
      <c r="K439">
        <v>45</v>
      </c>
      <c r="L439">
        <v>57</v>
      </c>
      <c r="M439">
        <v>77</v>
      </c>
      <c r="N439">
        <v>52</v>
      </c>
      <c r="O439">
        <v>41</v>
      </c>
      <c r="P439">
        <v>15</v>
      </c>
      <c r="Q439">
        <v>2</v>
      </c>
    </row>
    <row r="440" spans="1:17" x14ac:dyDescent="0.45">
      <c r="A440" t="s">
        <v>36</v>
      </c>
      <c r="B440" t="s">
        <v>20</v>
      </c>
      <c r="C440">
        <v>11</v>
      </c>
      <c r="D440">
        <v>1391</v>
      </c>
      <c r="E440">
        <v>66</v>
      </c>
      <c r="F440">
        <v>48</v>
      </c>
      <c r="G440">
        <v>159</v>
      </c>
      <c r="H440">
        <v>57</v>
      </c>
      <c r="I440">
        <v>367</v>
      </c>
      <c r="J440">
        <v>36</v>
      </c>
      <c r="K440">
        <v>48</v>
      </c>
      <c r="L440">
        <v>42</v>
      </c>
      <c r="M440">
        <v>35</v>
      </c>
      <c r="N440">
        <v>38</v>
      </c>
      <c r="O440">
        <v>38</v>
      </c>
      <c r="P440">
        <v>10</v>
      </c>
      <c r="Q440">
        <v>0</v>
      </c>
    </row>
    <row r="441" spans="1:17" x14ac:dyDescent="0.45">
      <c r="A441" t="s">
        <v>36</v>
      </c>
      <c r="B441" t="s">
        <v>21</v>
      </c>
      <c r="C441">
        <v>11</v>
      </c>
      <c r="D441">
        <v>1559</v>
      </c>
      <c r="E441">
        <v>58</v>
      </c>
      <c r="F441">
        <v>32</v>
      </c>
      <c r="G441">
        <v>142</v>
      </c>
      <c r="H441">
        <v>90</v>
      </c>
      <c r="I441">
        <v>356</v>
      </c>
      <c r="J441">
        <v>15</v>
      </c>
      <c r="K441">
        <v>71</v>
      </c>
      <c r="L441">
        <v>30</v>
      </c>
      <c r="M441">
        <v>27</v>
      </c>
      <c r="N441">
        <v>41</v>
      </c>
      <c r="O441">
        <v>36</v>
      </c>
      <c r="P441">
        <v>15</v>
      </c>
      <c r="Q441">
        <v>0</v>
      </c>
    </row>
    <row r="442" spans="1:17" x14ac:dyDescent="0.45">
      <c r="A442" t="s">
        <v>36</v>
      </c>
      <c r="B442" t="s">
        <v>20</v>
      </c>
      <c r="C442">
        <v>12</v>
      </c>
      <c r="D442">
        <v>1467</v>
      </c>
      <c r="E442">
        <v>97</v>
      </c>
      <c r="F442">
        <v>43</v>
      </c>
      <c r="G442">
        <v>236</v>
      </c>
      <c r="H442">
        <v>47</v>
      </c>
      <c r="I442">
        <v>315</v>
      </c>
      <c r="J442">
        <v>38</v>
      </c>
      <c r="K442">
        <v>103</v>
      </c>
      <c r="L442">
        <v>59</v>
      </c>
      <c r="M442">
        <v>38</v>
      </c>
      <c r="N442">
        <v>76</v>
      </c>
      <c r="O442">
        <v>46</v>
      </c>
      <c r="P442">
        <v>27</v>
      </c>
      <c r="Q442">
        <v>0</v>
      </c>
    </row>
    <row r="443" spans="1:17" x14ac:dyDescent="0.45">
      <c r="A443" t="s">
        <v>36</v>
      </c>
      <c r="B443" t="s">
        <v>21</v>
      </c>
      <c r="C443">
        <v>12</v>
      </c>
      <c r="D443">
        <v>1658</v>
      </c>
      <c r="E443">
        <v>82</v>
      </c>
      <c r="F443">
        <v>61</v>
      </c>
      <c r="G443">
        <v>266</v>
      </c>
      <c r="H443">
        <v>37</v>
      </c>
      <c r="I443">
        <v>391</v>
      </c>
      <c r="J443">
        <v>55</v>
      </c>
      <c r="K443">
        <v>129</v>
      </c>
      <c r="L443">
        <v>53</v>
      </c>
      <c r="M443">
        <v>32</v>
      </c>
      <c r="N443">
        <v>87</v>
      </c>
      <c r="O443">
        <v>72</v>
      </c>
      <c r="P443">
        <v>24</v>
      </c>
      <c r="Q443">
        <v>0</v>
      </c>
    </row>
    <row r="444" spans="1:17" x14ac:dyDescent="0.45">
      <c r="A444" t="s">
        <v>48</v>
      </c>
      <c r="B444" t="s">
        <v>20</v>
      </c>
      <c r="C444">
        <v>1</v>
      </c>
      <c r="D444">
        <v>724</v>
      </c>
      <c r="E444">
        <v>41</v>
      </c>
      <c r="F444">
        <v>16</v>
      </c>
      <c r="G444">
        <v>129</v>
      </c>
      <c r="H444">
        <v>11</v>
      </c>
      <c r="I444">
        <v>119</v>
      </c>
      <c r="J444">
        <v>13</v>
      </c>
      <c r="K444">
        <v>68</v>
      </c>
      <c r="L444">
        <v>13</v>
      </c>
      <c r="M444">
        <v>16</v>
      </c>
      <c r="N444">
        <v>22</v>
      </c>
      <c r="O444">
        <v>25</v>
      </c>
      <c r="P444">
        <v>13</v>
      </c>
      <c r="Q444">
        <v>0</v>
      </c>
    </row>
    <row r="445" spans="1:17" x14ac:dyDescent="0.45">
      <c r="A445" t="s">
        <v>48</v>
      </c>
      <c r="B445" t="s">
        <v>21</v>
      </c>
      <c r="C445">
        <v>1</v>
      </c>
      <c r="D445">
        <v>986</v>
      </c>
      <c r="E445">
        <v>26</v>
      </c>
      <c r="F445">
        <v>15</v>
      </c>
      <c r="G445">
        <v>138</v>
      </c>
      <c r="H445">
        <v>15</v>
      </c>
      <c r="I445">
        <v>133</v>
      </c>
      <c r="J445">
        <v>29</v>
      </c>
      <c r="K445">
        <v>74</v>
      </c>
      <c r="L445">
        <v>18</v>
      </c>
      <c r="M445">
        <v>20</v>
      </c>
      <c r="N445">
        <v>31</v>
      </c>
      <c r="O445">
        <v>16</v>
      </c>
      <c r="P445">
        <v>15</v>
      </c>
      <c r="Q445">
        <v>1</v>
      </c>
    </row>
    <row r="446" spans="1:17" x14ac:dyDescent="0.45">
      <c r="A446" t="s">
        <v>48</v>
      </c>
      <c r="B446" t="s">
        <v>20</v>
      </c>
      <c r="C446">
        <v>2</v>
      </c>
      <c r="D446">
        <v>794</v>
      </c>
      <c r="E446">
        <v>24</v>
      </c>
      <c r="F446">
        <v>16</v>
      </c>
      <c r="G446">
        <v>80</v>
      </c>
      <c r="H446">
        <v>27</v>
      </c>
      <c r="I446">
        <v>116</v>
      </c>
      <c r="J446">
        <v>11</v>
      </c>
      <c r="K446">
        <v>39</v>
      </c>
      <c r="L446">
        <v>15</v>
      </c>
      <c r="M446">
        <v>6</v>
      </c>
      <c r="N446">
        <v>30</v>
      </c>
      <c r="O446">
        <v>22</v>
      </c>
      <c r="P446">
        <v>10</v>
      </c>
      <c r="Q446">
        <v>2</v>
      </c>
    </row>
    <row r="447" spans="1:17" x14ac:dyDescent="0.45">
      <c r="A447" t="s">
        <v>48</v>
      </c>
      <c r="B447" t="s">
        <v>21</v>
      </c>
      <c r="C447">
        <v>2</v>
      </c>
      <c r="D447">
        <v>1014</v>
      </c>
      <c r="E447">
        <v>24</v>
      </c>
      <c r="F447">
        <v>12</v>
      </c>
      <c r="G447">
        <v>68</v>
      </c>
      <c r="H447">
        <v>36</v>
      </c>
      <c r="I447">
        <v>146</v>
      </c>
      <c r="J447">
        <v>11</v>
      </c>
      <c r="K447">
        <v>74</v>
      </c>
      <c r="L447">
        <v>27</v>
      </c>
      <c r="M447">
        <v>5</v>
      </c>
      <c r="N447">
        <v>30</v>
      </c>
      <c r="O447">
        <v>11</v>
      </c>
      <c r="P447">
        <v>12</v>
      </c>
      <c r="Q447">
        <v>0</v>
      </c>
    </row>
    <row r="448" spans="1:17" x14ac:dyDescent="0.45">
      <c r="A448" t="s">
        <v>48</v>
      </c>
      <c r="B448" t="s">
        <v>20</v>
      </c>
      <c r="C448">
        <v>3</v>
      </c>
      <c r="D448">
        <v>960</v>
      </c>
      <c r="E448">
        <v>33</v>
      </c>
      <c r="F448">
        <v>34</v>
      </c>
      <c r="G448">
        <v>156</v>
      </c>
      <c r="H448">
        <v>13</v>
      </c>
      <c r="I448">
        <v>144</v>
      </c>
      <c r="J448">
        <v>29</v>
      </c>
      <c r="K448">
        <v>94</v>
      </c>
      <c r="L448">
        <v>34</v>
      </c>
      <c r="M448">
        <v>37</v>
      </c>
      <c r="N448">
        <v>116</v>
      </c>
      <c r="O448">
        <v>52</v>
      </c>
      <c r="P448">
        <v>88</v>
      </c>
      <c r="Q448">
        <v>3</v>
      </c>
    </row>
    <row r="449" spans="1:17" x14ac:dyDescent="0.45">
      <c r="A449" t="s">
        <v>48</v>
      </c>
      <c r="B449" t="s">
        <v>21</v>
      </c>
      <c r="C449">
        <v>3</v>
      </c>
      <c r="D449">
        <v>1147</v>
      </c>
      <c r="E449">
        <v>37</v>
      </c>
      <c r="F449">
        <v>26</v>
      </c>
      <c r="G449">
        <v>178</v>
      </c>
      <c r="H449">
        <v>50</v>
      </c>
      <c r="I449">
        <v>188</v>
      </c>
      <c r="J449">
        <v>16</v>
      </c>
      <c r="K449">
        <v>121</v>
      </c>
      <c r="L449">
        <v>47</v>
      </c>
      <c r="M449">
        <v>22</v>
      </c>
      <c r="N449">
        <v>204</v>
      </c>
      <c r="O449">
        <v>96</v>
      </c>
      <c r="P449">
        <v>104</v>
      </c>
      <c r="Q449">
        <v>1</v>
      </c>
    </row>
    <row r="450" spans="1:17" x14ac:dyDescent="0.45">
      <c r="A450" t="s">
        <v>48</v>
      </c>
      <c r="B450" t="s">
        <v>20</v>
      </c>
      <c r="C450">
        <v>4</v>
      </c>
      <c r="D450">
        <v>948</v>
      </c>
      <c r="E450">
        <v>62</v>
      </c>
      <c r="F450">
        <v>37</v>
      </c>
      <c r="G450">
        <v>211</v>
      </c>
      <c r="H450">
        <v>78</v>
      </c>
      <c r="I450">
        <v>202</v>
      </c>
      <c r="J450">
        <v>53</v>
      </c>
      <c r="K450">
        <v>323</v>
      </c>
      <c r="L450">
        <v>118</v>
      </c>
      <c r="M450">
        <v>51</v>
      </c>
      <c r="N450">
        <v>322</v>
      </c>
      <c r="O450">
        <v>215</v>
      </c>
      <c r="P450">
        <v>216</v>
      </c>
      <c r="Q450">
        <v>21</v>
      </c>
    </row>
    <row r="451" spans="1:17" x14ac:dyDescent="0.45">
      <c r="A451" t="s">
        <v>48</v>
      </c>
      <c r="B451" t="s">
        <v>21</v>
      </c>
      <c r="C451">
        <v>4</v>
      </c>
      <c r="D451">
        <v>1305</v>
      </c>
      <c r="E451">
        <v>51</v>
      </c>
      <c r="F451">
        <v>55</v>
      </c>
      <c r="G451">
        <v>213</v>
      </c>
      <c r="H451">
        <v>55</v>
      </c>
      <c r="I451">
        <v>223</v>
      </c>
      <c r="J451">
        <v>91</v>
      </c>
      <c r="K451">
        <v>304</v>
      </c>
      <c r="L451">
        <v>130</v>
      </c>
      <c r="M451">
        <v>69</v>
      </c>
      <c r="N451">
        <v>305</v>
      </c>
      <c r="O451">
        <v>168</v>
      </c>
      <c r="P451">
        <v>170</v>
      </c>
      <c r="Q451">
        <v>36</v>
      </c>
    </row>
    <row r="452" spans="1:17" x14ac:dyDescent="0.45">
      <c r="A452" t="s">
        <v>48</v>
      </c>
      <c r="B452" t="s">
        <v>20</v>
      </c>
      <c r="C452">
        <v>5</v>
      </c>
      <c r="D452">
        <v>791</v>
      </c>
      <c r="E452">
        <v>60</v>
      </c>
      <c r="F452">
        <v>36</v>
      </c>
      <c r="G452">
        <v>129</v>
      </c>
      <c r="H452">
        <v>53</v>
      </c>
      <c r="I452">
        <v>186</v>
      </c>
      <c r="J452">
        <v>48</v>
      </c>
      <c r="K452">
        <v>170</v>
      </c>
      <c r="L452">
        <v>84</v>
      </c>
      <c r="M452">
        <v>42</v>
      </c>
      <c r="N452">
        <v>187</v>
      </c>
      <c r="O452">
        <v>139</v>
      </c>
      <c r="P452">
        <v>111</v>
      </c>
      <c r="Q452">
        <v>4</v>
      </c>
    </row>
    <row r="453" spans="1:17" x14ac:dyDescent="0.45">
      <c r="A453" t="s">
        <v>48</v>
      </c>
      <c r="B453" t="s">
        <v>21</v>
      </c>
      <c r="C453">
        <v>5</v>
      </c>
      <c r="D453">
        <v>1061</v>
      </c>
      <c r="E453">
        <v>54</v>
      </c>
      <c r="F453">
        <v>54</v>
      </c>
      <c r="G453">
        <v>157</v>
      </c>
      <c r="H453">
        <v>85</v>
      </c>
      <c r="I453">
        <v>230</v>
      </c>
      <c r="J453">
        <v>53</v>
      </c>
      <c r="K453">
        <v>166</v>
      </c>
      <c r="L453">
        <v>90</v>
      </c>
      <c r="M453">
        <v>41</v>
      </c>
      <c r="N453">
        <v>216</v>
      </c>
      <c r="O453">
        <v>130</v>
      </c>
      <c r="P453">
        <v>115</v>
      </c>
      <c r="Q453">
        <v>9</v>
      </c>
    </row>
    <row r="454" spans="1:17" x14ac:dyDescent="0.45">
      <c r="A454" t="s">
        <v>48</v>
      </c>
      <c r="B454" t="s">
        <v>20</v>
      </c>
      <c r="C454">
        <v>6</v>
      </c>
      <c r="D454">
        <v>1007</v>
      </c>
      <c r="E454">
        <v>40</v>
      </c>
      <c r="F454">
        <v>44</v>
      </c>
      <c r="G454">
        <v>151</v>
      </c>
      <c r="H454">
        <v>58</v>
      </c>
      <c r="I454">
        <v>243</v>
      </c>
      <c r="J454">
        <v>37</v>
      </c>
      <c r="K454">
        <v>80</v>
      </c>
      <c r="L454">
        <v>56</v>
      </c>
      <c r="M454">
        <v>32</v>
      </c>
      <c r="N454">
        <v>91</v>
      </c>
      <c r="O454">
        <v>109</v>
      </c>
      <c r="P454">
        <v>42</v>
      </c>
      <c r="Q454">
        <v>0</v>
      </c>
    </row>
    <row r="455" spans="1:17" x14ac:dyDescent="0.45">
      <c r="A455" t="s">
        <v>48</v>
      </c>
      <c r="B455" t="s">
        <v>21</v>
      </c>
      <c r="C455">
        <v>6</v>
      </c>
      <c r="D455">
        <v>1203</v>
      </c>
      <c r="E455">
        <v>63</v>
      </c>
      <c r="F455">
        <v>36</v>
      </c>
      <c r="G455">
        <v>178</v>
      </c>
      <c r="H455">
        <v>72</v>
      </c>
      <c r="I455">
        <v>264</v>
      </c>
      <c r="J455">
        <v>51</v>
      </c>
      <c r="K455">
        <v>104</v>
      </c>
      <c r="L455">
        <v>49</v>
      </c>
      <c r="M455">
        <v>43</v>
      </c>
      <c r="N455">
        <v>121</v>
      </c>
      <c r="O455">
        <v>100</v>
      </c>
      <c r="P455">
        <v>60</v>
      </c>
      <c r="Q455">
        <v>6</v>
      </c>
    </row>
    <row r="456" spans="1:17" x14ac:dyDescent="0.45">
      <c r="A456" t="s">
        <v>48</v>
      </c>
      <c r="B456" t="s">
        <v>20</v>
      </c>
      <c r="C456">
        <v>7</v>
      </c>
      <c r="D456">
        <v>890</v>
      </c>
      <c r="E456">
        <v>56</v>
      </c>
      <c r="F456">
        <v>40</v>
      </c>
      <c r="G456">
        <v>74</v>
      </c>
      <c r="H456">
        <v>32</v>
      </c>
      <c r="I456">
        <v>186</v>
      </c>
      <c r="J456">
        <v>24</v>
      </c>
      <c r="K456">
        <v>38</v>
      </c>
      <c r="L456">
        <v>24</v>
      </c>
      <c r="M456">
        <v>24</v>
      </c>
      <c r="N456">
        <v>42</v>
      </c>
      <c r="O456">
        <v>30</v>
      </c>
      <c r="P456">
        <v>14</v>
      </c>
      <c r="Q456">
        <v>0</v>
      </c>
    </row>
    <row r="457" spans="1:17" x14ac:dyDescent="0.45">
      <c r="A457" t="s">
        <v>48</v>
      </c>
      <c r="B457" t="s">
        <v>21</v>
      </c>
      <c r="C457">
        <v>7</v>
      </c>
      <c r="D457">
        <v>1066</v>
      </c>
      <c r="E457">
        <v>33</v>
      </c>
      <c r="F457">
        <v>40</v>
      </c>
      <c r="G457">
        <v>80</v>
      </c>
      <c r="H457">
        <v>51</v>
      </c>
      <c r="I457">
        <v>281</v>
      </c>
      <c r="J457">
        <v>24</v>
      </c>
      <c r="K457">
        <v>39</v>
      </c>
      <c r="L457">
        <v>23</v>
      </c>
      <c r="M457">
        <v>29</v>
      </c>
      <c r="N457">
        <v>46</v>
      </c>
      <c r="O457">
        <v>21</v>
      </c>
      <c r="P457">
        <v>15</v>
      </c>
      <c r="Q457">
        <v>1</v>
      </c>
    </row>
    <row r="458" spans="1:17" x14ac:dyDescent="0.45">
      <c r="A458" t="s">
        <v>48</v>
      </c>
      <c r="B458" t="s">
        <v>20</v>
      </c>
      <c r="C458">
        <v>8</v>
      </c>
      <c r="D458">
        <v>736</v>
      </c>
      <c r="E458">
        <v>30</v>
      </c>
      <c r="F458">
        <v>29</v>
      </c>
      <c r="G458">
        <v>52</v>
      </c>
      <c r="H458">
        <v>15</v>
      </c>
      <c r="I458">
        <v>241</v>
      </c>
      <c r="J458">
        <v>23</v>
      </c>
      <c r="K458">
        <v>12</v>
      </c>
      <c r="L458">
        <v>12</v>
      </c>
      <c r="M458">
        <v>15</v>
      </c>
      <c r="N458">
        <v>8</v>
      </c>
      <c r="O458">
        <v>14</v>
      </c>
      <c r="P458">
        <v>5</v>
      </c>
      <c r="Q458">
        <v>2</v>
      </c>
    </row>
    <row r="459" spans="1:17" x14ac:dyDescent="0.45">
      <c r="A459" t="s">
        <v>48</v>
      </c>
      <c r="B459" t="s">
        <v>21</v>
      </c>
      <c r="C459">
        <v>8</v>
      </c>
      <c r="D459">
        <v>958</v>
      </c>
      <c r="E459">
        <v>44</v>
      </c>
      <c r="F459">
        <v>38</v>
      </c>
      <c r="G459">
        <v>50</v>
      </c>
      <c r="H459">
        <v>3</v>
      </c>
      <c r="I459">
        <v>239</v>
      </c>
      <c r="J459">
        <v>19</v>
      </c>
      <c r="K459">
        <v>14</v>
      </c>
      <c r="L459">
        <v>14</v>
      </c>
      <c r="M459">
        <v>24</v>
      </c>
      <c r="N459">
        <v>14</v>
      </c>
      <c r="O459">
        <v>19</v>
      </c>
      <c r="P459">
        <v>9</v>
      </c>
      <c r="Q459">
        <v>0</v>
      </c>
    </row>
    <row r="460" spans="1:17" x14ac:dyDescent="0.45">
      <c r="A460" t="s">
        <v>48</v>
      </c>
      <c r="B460" t="s">
        <v>20</v>
      </c>
      <c r="C460">
        <v>9</v>
      </c>
      <c r="D460">
        <v>912</v>
      </c>
      <c r="E460">
        <v>40</v>
      </c>
      <c r="F460">
        <v>29</v>
      </c>
      <c r="G460">
        <v>36</v>
      </c>
      <c r="H460">
        <v>62</v>
      </c>
      <c r="I460">
        <v>273</v>
      </c>
      <c r="J460">
        <v>28</v>
      </c>
      <c r="K460">
        <v>7</v>
      </c>
      <c r="L460">
        <v>6</v>
      </c>
      <c r="M460">
        <v>45</v>
      </c>
      <c r="N460">
        <v>15</v>
      </c>
      <c r="O460">
        <v>8</v>
      </c>
      <c r="P460">
        <v>4</v>
      </c>
      <c r="Q460">
        <v>1</v>
      </c>
    </row>
    <row r="461" spans="1:17" x14ac:dyDescent="0.45">
      <c r="A461" t="s">
        <v>48</v>
      </c>
      <c r="B461" t="s">
        <v>21</v>
      </c>
      <c r="C461">
        <v>9</v>
      </c>
      <c r="D461">
        <v>1025</v>
      </c>
      <c r="E461">
        <v>41</v>
      </c>
      <c r="F461">
        <v>32</v>
      </c>
      <c r="G461">
        <v>80</v>
      </c>
      <c r="H461">
        <v>15</v>
      </c>
      <c r="I461">
        <v>208</v>
      </c>
      <c r="J461">
        <v>30</v>
      </c>
      <c r="K461">
        <v>24</v>
      </c>
      <c r="L461">
        <v>12</v>
      </c>
      <c r="M461">
        <v>28</v>
      </c>
      <c r="N461">
        <v>20</v>
      </c>
      <c r="O461">
        <v>19</v>
      </c>
      <c r="P461">
        <v>20</v>
      </c>
      <c r="Q461">
        <v>0</v>
      </c>
    </row>
    <row r="462" spans="1:17" x14ac:dyDescent="0.45">
      <c r="A462" t="s">
        <v>48</v>
      </c>
      <c r="B462" t="s">
        <v>20</v>
      </c>
      <c r="C462">
        <v>10</v>
      </c>
      <c r="D462">
        <v>1117</v>
      </c>
      <c r="E462">
        <v>95</v>
      </c>
      <c r="F462">
        <v>64</v>
      </c>
      <c r="G462">
        <v>77</v>
      </c>
      <c r="H462">
        <v>74</v>
      </c>
      <c r="I462">
        <v>321</v>
      </c>
      <c r="J462">
        <v>49</v>
      </c>
      <c r="K462">
        <v>45</v>
      </c>
      <c r="L462">
        <v>28</v>
      </c>
      <c r="M462">
        <v>41</v>
      </c>
      <c r="N462">
        <v>34</v>
      </c>
      <c r="O462">
        <v>42</v>
      </c>
      <c r="P462">
        <v>11</v>
      </c>
      <c r="Q462">
        <v>0</v>
      </c>
    </row>
    <row r="463" spans="1:17" x14ac:dyDescent="0.45">
      <c r="A463" t="s">
        <v>48</v>
      </c>
      <c r="B463" t="s">
        <v>21</v>
      </c>
      <c r="C463">
        <v>10</v>
      </c>
      <c r="D463">
        <v>1478</v>
      </c>
      <c r="E463">
        <v>69</v>
      </c>
      <c r="F463">
        <v>74</v>
      </c>
      <c r="G463">
        <v>130</v>
      </c>
      <c r="H463">
        <v>44</v>
      </c>
      <c r="I463">
        <v>368</v>
      </c>
      <c r="J463">
        <v>46</v>
      </c>
      <c r="K463">
        <v>44</v>
      </c>
      <c r="L463">
        <v>38</v>
      </c>
      <c r="M463">
        <v>52</v>
      </c>
      <c r="N463">
        <v>38</v>
      </c>
      <c r="O463">
        <v>31</v>
      </c>
      <c r="P463">
        <v>7</v>
      </c>
      <c r="Q463">
        <v>0</v>
      </c>
    </row>
    <row r="464" spans="1:17" x14ac:dyDescent="0.45">
      <c r="A464" t="s">
        <v>48</v>
      </c>
      <c r="B464" t="s">
        <v>20</v>
      </c>
      <c r="C464">
        <v>11</v>
      </c>
      <c r="D464">
        <v>971</v>
      </c>
      <c r="E464">
        <v>84</v>
      </c>
      <c r="F464">
        <v>53</v>
      </c>
      <c r="G464">
        <v>91</v>
      </c>
      <c r="H464">
        <v>67</v>
      </c>
      <c r="I464">
        <v>246</v>
      </c>
      <c r="J464">
        <v>53</v>
      </c>
      <c r="K464">
        <v>33</v>
      </c>
      <c r="L464">
        <v>30</v>
      </c>
      <c r="M464">
        <v>48</v>
      </c>
      <c r="N464">
        <v>30</v>
      </c>
      <c r="O464">
        <v>30</v>
      </c>
      <c r="P464">
        <v>13</v>
      </c>
      <c r="Q464">
        <v>2</v>
      </c>
    </row>
    <row r="465" spans="1:17" x14ac:dyDescent="0.45">
      <c r="A465" t="s">
        <v>48</v>
      </c>
      <c r="B465" t="s">
        <v>21</v>
      </c>
      <c r="C465">
        <v>11</v>
      </c>
      <c r="D465">
        <v>1264</v>
      </c>
      <c r="E465">
        <v>50</v>
      </c>
      <c r="F465">
        <v>48</v>
      </c>
      <c r="G465">
        <v>92</v>
      </c>
      <c r="H465">
        <v>38</v>
      </c>
      <c r="I465">
        <v>213</v>
      </c>
      <c r="J465">
        <v>41</v>
      </c>
      <c r="K465">
        <v>46</v>
      </c>
      <c r="L465">
        <v>25</v>
      </c>
      <c r="M465">
        <v>30</v>
      </c>
      <c r="N465">
        <v>35</v>
      </c>
      <c r="O465">
        <v>23</v>
      </c>
      <c r="P465">
        <v>11</v>
      </c>
      <c r="Q465">
        <v>0</v>
      </c>
    </row>
    <row r="466" spans="1:17" x14ac:dyDescent="0.45">
      <c r="A466" t="s">
        <v>48</v>
      </c>
      <c r="B466" t="s">
        <v>20</v>
      </c>
      <c r="C466">
        <v>12</v>
      </c>
      <c r="D466">
        <v>1106</v>
      </c>
      <c r="E466">
        <v>49</v>
      </c>
      <c r="F466">
        <v>55</v>
      </c>
      <c r="G466">
        <v>203</v>
      </c>
      <c r="H466">
        <v>54</v>
      </c>
      <c r="I466">
        <v>199</v>
      </c>
      <c r="J466">
        <v>49</v>
      </c>
      <c r="K466">
        <v>58</v>
      </c>
      <c r="L466">
        <v>41</v>
      </c>
      <c r="M466">
        <v>49</v>
      </c>
      <c r="N466">
        <v>62</v>
      </c>
      <c r="O466">
        <v>75</v>
      </c>
      <c r="P466">
        <v>14</v>
      </c>
      <c r="Q466">
        <v>3</v>
      </c>
    </row>
    <row r="467" spans="1:17" x14ac:dyDescent="0.45">
      <c r="A467" t="s">
        <v>48</v>
      </c>
      <c r="B467" t="s">
        <v>21</v>
      </c>
      <c r="C467">
        <v>12</v>
      </c>
      <c r="D467">
        <v>1276</v>
      </c>
      <c r="E467">
        <v>59</v>
      </c>
      <c r="F467">
        <v>72</v>
      </c>
      <c r="G467">
        <v>189</v>
      </c>
      <c r="H467">
        <v>36</v>
      </c>
      <c r="I467">
        <v>224</v>
      </c>
      <c r="J467">
        <v>43</v>
      </c>
      <c r="K467">
        <v>70</v>
      </c>
      <c r="L467">
        <v>31</v>
      </c>
      <c r="M467">
        <v>27</v>
      </c>
      <c r="N467">
        <v>58</v>
      </c>
      <c r="O467">
        <v>27</v>
      </c>
      <c r="P467">
        <v>21</v>
      </c>
      <c r="Q467">
        <v>0</v>
      </c>
    </row>
    <row r="468" spans="1:17" x14ac:dyDescent="0.45">
      <c r="A468" t="s">
        <v>60</v>
      </c>
      <c r="B468" t="s">
        <v>20</v>
      </c>
      <c r="C468">
        <v>1</v>
      </c>
      <c r="D468">
        <v>308</v>
      </c>
      <c r="E468">
        <v>15</v>
      </c>
      <c r="F468">
        <v>10</v>
      </c>
      <c r="G468">
        <v>64</v>
      </c>
      <c r="H468">
        <v>9</v>
      </c>
      <c r="I468">
        <v>67</v>
      </c>
      <c r="J468">
        <v>3</v>
      </c>
      <c r="K468">
        <v>25</v>
      </c>
      <c r="L468">
        <v>5</v>
      </c>
      <c r="M468">
        <v>3</v>
      </c>
      <c r="N468">
        <v>21</v>
      </c>
      <c r="O468">
        <v>9</v>
      </c>
      <c r="P468">
        <v>6</v>
      </c>
      <c r="Q468">
        <v>0</v>
      </c>
    </row>
    <row r="469" spans="1:17" x14ac:dyDescent="0.45">
      <c r="A469" t="s">
        <v>60</v>
      </c>
      <c r="B469" t="s">
        <v>21</v>
      </c>
      <c r="C469">
        <v>1</v>
      </c>
      <c r="D469">
        <v>333</v>
      </c>
      <c r="E469">
        <v>9</v>
      </c>
      <c r="F469">
        <v>5</v>
      </c>
      <c r="G469">
        <v>39</v>
      </c>
      <c r="H469">
        <v>6</v>
      </c>
      <c r="I469">
        <v>46</v>
      </c>
      <c r="J469">
        <v>8</v>
      </c>
      <c r="K469">
        <v>19</v>
      </c>
      <c r="L469">
        <v>13</v>
      </c>
      <c r="M469">
        <v>7</v>
      </c>
      <c r="N469">
        <v>19</v>
      </c>
      <c r="O469">
        <v>7</v>
      </c>
      <c r="P469">
        <v>4</v>
      </c>
      <c r="Q469">
        <v>0</v>
      </c>
    </row>
    <row r="470" spans="1:17" x14ac:dyDescent="0.45">
      <c r="A470" t="s">
        <v>60</v>
      </c>
      <c r="B470" t="s">
        <v>20</v>
      </c>
      <c r="C470">
        <v>2</v>
      </c>
      <c r="D470">
        <v>331</v>
      </c>
      <c r="E470">
        <v>3</v>
      </c>
      <c r="F470">
        <v>1</v>
      </c>
      <c r="G470">
        <v>28</v>
      </c>
      <c r="H470">
        <v>9</v>
      </c>
      <c r="I470">
        <v>50</v>
      </c>
      <c r="J470">
        <v>2</v>
      </c>
      <c r="K470">
        <v>14</v>
      </c>
      <c r="L470">
        <v>6</v>
      </c>
      <c r="M470">
        <v>4</v>
      </c>
      <c r="N470">
        <v>23</v>
      </c>
      <c r="O470">
        <v>18</v>
      </c>
      <c r="P470">
        <v>7</v>
      </c>
      <c r="Q470">
        <v>0</v>
      </c>
    </row>
    <row r="471" spans="1:17" x14ac:dyDescent="0.45">
      <c r="A471" t="s">
        <v>60</v>
      </c>
      <c r="B471" t="s">
        <v>21</v>
      </c>
      <c r="C471">
        <v>2</v>
      </c>
      <c r="D471">
        <v>346</v>
      </c>
      <c r="E471">
        <v>3</v>
      </c>
      <c r="F471">
        <v>4</v>
      </c>
      <c r="G471">
        <v>26</v>
      </c>
      <c r="H471">
        <v>17</v>
      </c>
      <c r="I471">
        <v>47</v>
      </c>
      <c r="J471">
        <v>4</v>
      </c>
      <c r="K471">
        <v>22</v>
      </c>
      <c r="L471">
        <v>7</v>
      </c>
      <c r="M471">
        <v>13</v>
      </c>
      <c r="N471">
        <v>16</v>
      </c>
      <c r="O471">
        <v>10</v>
      </c>
      <c r="P471">
        <v>2</v>
      </c>
      <c r="Q471">
        <v>0</v>
      </c>
    </row>
    <row r="472" spans="1:17" x14ac:dyDescent="0.45">
      <c r="A472" t="s">
        <v>60</v>
      </c>
      <c r="B472" t="s">
        <v>20</v>
      </c>
      <c r="C472">
        <v>3</v>
      </c>
      <c r="D472">
        <v>426</v>
      </c>
      <c r="E472">
        <v>4</v>
      </c>
      <c r="F472">
        <v>20</v>
      </c>
      <c r="G472">
        <v>81</v>
      </c>
      <c r="H472">
        <v>7</v>
      </c>
      <c r="I472">
        <v>92</v>
      </c>
      <c r="J472">
        <v>15</v>
      </c>
      <c r="K472">
        <v>48</v>
      </c>
      <c r="L472">
        <v>18</v>
      </c>
      <c r="M472">
        <v>14</v>
      </c>
      <c r="N472">
        <v>77</v>
      </c>
      <c r="O472">
        <v>38</v>
      </c>
      <c r="P472">
        <v>42</v>
      </c>
      <c r="Q472">
        <v>4</v>
      </c>
    </row>
    <row r="473" spans="1:17" x14ac:dyDescent="0.45">
      <c r="A473" t="s">
        <v>60</v>
      </c>
      <c r="B473" t="s">
        <v>21</v>
      </c>
      <c r="C473">
        <v>3</v>
      </c>
      <c r="D473">
        <v>477</v>
      </c>
      <c r="E473">
        <v>5</v>
      </c>
      <c r="F473">
        <v>43</v>
      </c>
      <c r="G473">
        <v>69</v>
      </c>
      <c r="H473">
        <v>12</v>
      </c>
      <c r="I473">
        <v>117</v>
      </c>
      <c r="J473">
        <v>5</v>
      </c>
      <c r="K473">
        <v>39</v>
      </c>
      <c r="L473">
        <v>16</v>
      </c>
      <c r="M473">
        <v>15</v>
      </c>
      <c r="N473">
        <v>88</v>
      </c>
      <c r="O473">
        <v>30</v>
      </c>
      <c r="P473">
        <v>71</v>
      </c>
      <c r="Q473">
        <v>2</v>
      </c>
    </row>
    <row r="474" spans="1:17" x14ac:dyDescent="0.45">
      <c r="A474" t="s">
        <v>60</v>
      </c>
      <c r="B474" t="s">
        <v>20</v>
      </c>
      <c r="C474">
        <v>4</v>
      </c>
      <c r="D474">
        <v>434</v>
      </c>
      <c r="E474">
        <v>18</v>
      </c>
      <c r="F474">
        <v>30</v>
      </c>
      <c r="G474">
        <v>107</v>
      </c>
      <c r="H474">
        <v>16</v>
      </c>
      <c r="I474">
        <v>93</v>
      </c>
      <c r="J474">
        <v>25</v>
      </c>
      <c r="K474">
        <v>120</v>
      </c>
      <c r="L474">
        <v>45</v>
      </c>
      <c r="M474">
        <v>36</v>
      </c>
      <c r="N474">
        <v>149</v>
      </c>
      <c r="O474">
        <v>65</v>
      </c>
      <c r="P474">
        <v>85</v>
      </c>
      <c r="Q474">
        <v>5</v>
      </c>
    </row>
    <row r="475" spans="1:17" x14ac:dyDescent="0.45">
      <c r="A475" t="s">
        <v>60</v>
      </c>
      <c r="B475" t="s">
        <v>21</v>
      </c>
      <c r="C475">
        <v>4</v>
      </c>
      <c r="D475">
        <v>500</v>
      </c>
      <c r="E475">
        <v>21</v>
      </c>
      <c r="F475">
        <v>29</v>
      </c>
      <c r="G475">
        <v>73</v>
      </c>
      <c r="H475">
        <v>27</v>
      </c>
      <c r="I475">
        <v>107</v>
      </c>
      <c r="J475">
        <v>25</v>
      </c>
      <c r="K475">
        <v>126</v>
      </c>
      <c r="L475">
        <v>46</v>
      </c>
      <c r="M475">
        <v>18</v>
      </c>
      <c r="N475">
        <v>107</v>
      </c>
      <c r="O475">
        <v>69</v>
      </c>
      <c r="P475">
        <v>51</v>
      </c>
      <c r="Q475">
        <v>13</v>
      </c>
    </row>
    <row r="476" spans="1:17" x14ac:dyDescent="0.45">
      <c r="A476" t="s">
        <v>60</v>
      </c>
      <c r="B476" t="s">
        <v>20</v>
      </c>
      <c r="C476">
        <v>5</v>
      </c>
      <c r="D476">
        <v>384</v>
      </c>
      <c r="E476">
        <v>16</v>
      </c>
      <c r="F476">
        <v>20</v>
      </c>
      <c r="G476">
        <v>71</v>
      </c>
      <c r="H476">
        <v>12</v>
      </c>
      <c r="I476">
        <v>92</v>
      </c>
      <c r="J476">
        <v>3</v>
      </c>
      <c r="K476">
        <v>55</v>
      </c>
      <c r="L476">
        <v>20</v>
      </c>
      <c r="M476">
        <v>11</v>
      </c>
      <c r="N476">
        <v>93</v>
      </c>
      <c r="O476">
        <v>53</v>
      </c>
      <c r="P476">
        <v>34</v>
      </c>
      <c r="Q476">
        <v>0</v>
      </c>
    </row>
    <row r="477" spans="1:17" x14ac:dyDescent="0.45">
      <c r="A477" t="s">
        <v>60</v>
      </c>
      <c r="B477" t="s">
        <v>21</v>
      </c>
      <c r="C477">
        <v>5</v>
      </c>
      <c r="D477">
        <v>433</v>
      </c>
      <c r="E477">
        <v>17</v>
      </c>
      <c r="F477">
        <v>36</v>
      </c>
      <c r="G477">
        <v>82</v>
      </c>
      <c r="H477">
        <v>24</v>
      </c>
      <c r="I477">
        <v>101</v>
      </c>
      <c r="J477">
        <v>27</v>
      </c>
      <c r="K477">
        <v>99</v>
      </c>
      <c r="L477">
        <v>38</v>
      </c>
      <c r="M477">
        <v>17</v>
      </c>
      <c r="N477">
        <v>128</v>
      </c>
      <c r="O477">
        <v>53</v>
      </c>
      <c r="P477">
        <v>68</v>
      </c>
      <c r="Q477">
        <v>0</v>
      </c>
    </row>
    <row r="478" spans="1:17" x14ac:dyDescent="0.45">
      <c r="A478" t="s">
        <v>60</v>
      </c>
      <c r="B478" t="s">
        <v>20</v>
      </c>
      <c r="C478">
        <v>6</v>
      </c>
      <c r="D478">
        <v>437</v>
      </c>
      <c r="E478">
        <v>17</v>
      </c>
      <c r="F478">
        <v>22</v>
      </c>
      <c r="G478">
        <v>50</v>
      </c>
      <c r="H478">
        <v>21</v>
      </c>
      <c r="I478">
        <v>101</v>
      </c>
      <c r="J478">
        <v>3</v>
      </c>
      <c r="K478">
        <v>28</v>
      </c>
      <c r="L478">
        <v>23</v>
      </c>
      <c r="M478">
        <v>9</v>
      </c>
      <c r="N478">
        <v>44</v>
      </c>
      <c r="O478">
        <v>24</v>
      </c>
      <c r="P478">
        <v>30</v>
      </c>
      <c r="Q478">
        <v>0</v>
      </c>
    </row>
    <row r="479" spans="1:17" x14ac:dyDescent="0.45">
      <c r="A479" t="s">
        <v>60</v>
      </c>
      <c r="B479" t="s">
        <v>21</v>
      </c>
      <c r="C479">
        <v>6</v>
      </c>
      <c r="D479">
        <v>497</v>
      </c>
      <c r="E479">
        <v>13</v>
      </c>
      <c r="F479">
        <v>36</v>
      </c>
      <c r="G479">
        <v>77</v>
      </c>
      <c r="H479">
        <v>7</v>
      </c>
      <c r="I479">
        <v>124</v>
      </c>
      <c r="J479">
        <v>16</v>
      </c>
      <c r="K479">
        <v>35</v>
      </c>
      <c r="L479">
        <v>21</v>
      </c>
      <c r="M479">
        <v>19</v>
      </c>
      <c r="N479">
        <v>48</v>
      </c>
      <c r="O479">
        <v>35</v>
      </c>
      <c r="P479">
        <v>30</v>
      </c>
      <c r="Q479">
        <v>10</v>
      </c>
    </row>
    <row r="480" spans="1:17" x14ac:dyDescent="0.45">
      <c r="A480" t="s">
        <v>60</v>
      </c>
      <c r="B480" t="s">
        <v>20</v>
      </c>
      <c r="C480">
        <v>7</v>
      </c>
      <c r="D480">
        <v>387</v>
      </c>
      <c r="E480">
        <v>5</v>
      </c>
      <c r="F480">
        <v>5</v>
      </c>
      <c r="G480">
        <v>38</v>
      </c>
      <c r="H480">
        <v>11</v>
      </c>
      <c r="I480">
        <v>129</v>
      </c>
      <c r="J480">
        <v>5</v>
      </c>
      <c r="K480">
        <v>11</v>
      </c>
      <c r="L480">
        <v>12</v>
      </c>
      <c r="M480">
        <v>15</v>
      </c>
      <c r="N480">
        <v>19</v>
      </c>
      <c r="O480">
        <v>7</v>
      </c>
      <c r="P480">
        <v>6</v>
      </c>
      <c r="Q480">
        <v>0</v>
      </c>
    </row>
    <row r="481" spans="1:17" x14ac:dyDescent="0.45">
      <c r="A481" t="s">
        <v>60</v>
      </c>
      <c r="B481" t="s">
        <v>21</v>
      </c>
      <c r="C481">
        <v>7</v>
      </c>
      <c r="D481">
        <v>490</v>
      </c>
      <c r="E481">
        <v>7</v>
      </c>
      <c r="F481">
        <v>12</v>
      </c>
      <c r="G481">
        <v>36</v>
      </c>
      <c r="H481">
        <v>11</v>
      </c>
      <c r="I481">
        <v>114</v>
      </c>
      <c r="J481">
        <v>10</v>
      </c>
      <c r="K481">
        <v>9</v>
      </c>
      <c r="L481">
        <v>9</v>
      </c>
      <c r="M481">
        <v>6</v>
      </c>
      <c r="N481">
        <v>17</v>
      </c>
      <c r="O481">
        <v>9</v>
      </c>
      <c r="P481">
        <v>9</v>
      </c>
      <c r="Q481">
        <v>0</v>
      </c>
    </row>
    <row r="482" spans="1:17" x14ac:dyDescent="0.45">
      <c r="A482" t="s">
        <v>60</v>
      </c>
      <c r="B482" t="s">
        <v>20</v>
      </c>
      <c r="C482">
        <v>8</v>
      </c>
      <c r="D482">
        <v>304</v>
      </c>
      <c r="E482">
        <v>11</v>
      </c>
      <c r="F482">
        <v>15</v>
      </c>
      <c r="G482">
        <v>25</v>
      </c>
      <c r="H482">
        <v>11</v>
      </c>
      <c r="I482">
        <v>80</v>
      </c>
      <c r="J482">
        <v>3</v>
      </c>
      <c r="K482">
        <v>3</v>
      </c>
      <c r="L482">
        <v>2</v>
      </c>
      <c r="M482">
        <v>6</v>
      </c>
      <c r="N482">
        <v>10</v>
      </c>
      <c r="O482">
        <v>3</v>
      </c>
      <c r="P482">
        <v>1</v>
      </c>
      <c r="Q482">
        <v>0</v>
      </c>
    </row>
    <row r="483" spans="1:17" x14ac:dyDescent="0.45">
      <c r="A483" t="s">
        <v>60</v>
      </c>
      <c r="B483" t="s">
        <v>21</v>
      </c>
      <c r="C483">
        <v>8</v>
      </c>
      <c r="D483">
        <v>320</v>
      </c>
      <c r="E483">
        <v>3</v>
      </c>
      <c r="F483">
        <v>3</v>
      </c>
      <c r="G483">
        <v>23</v>
      </c>
      <c r="H483">
        <v>7</v>
      </c>
      <c r="I483">
        <v>110</v>
      </c>
      <c r="J483">
        <v>10</v>
      </c>
      <c r="K483">
        <v>5</v>
      </c>
      <c r="L483">
        <v>8</v>
      </c>
      <c r="M483">
        <v>8</v>
      </c>
      <c r="N483">
        <v>7</v>
      </c>
      <c r="O483">
        <v>5</v>
      </c>
      <c r="P483">
        <v>4</v>
      </c>
      <c r="Q483">
        <v>0</v>
      </c>
    </row>
    <row r="484" spans="1:17" x14ac:dyDescent="0.45">
      <c r="A484" t="s">
        <v>60</v>
      </c>
      <c r="B484" t="s">
        <v>20</v>
      </c>
      <c r="C484">
        <v>9</v>
      </c>
      <c r="D484">
        <v>404</v>
      </c>
      <c r="E484">
        <v>7</v>
      </c>
      <c r="F484">
        <v>9</v>
      </c>
      <c r="G484">
        <v>17</v>
      </c>
      <c r="H484">
        <v>30</v>
      </c>
      <c r="I484">
        <v>129</v>
      </c>
      <c r="J484">
        <v>16</v>
      </c>
      <c r="K484">
        <v>23</v>
      </c>
      <c r="L484">
        <v>3</v>
      </c>
      <c r="M484">
        <v>16</v>
      </c>
      <c r="N484">
        <v>11</v>
      </c>
      <c r="O484">
        <v>6</v>
      </c>
      <c r="P484">
        <v>3</v>
      </c>
      <c r="Q484">
        <v>0</v>
      </c>
    </row>
    <row r="485" spans="1:17" x14ac:dyDescent="0.45">
      <c r="A485" t="s">
        <v>60</v>
      </c>
      <c r="B485" t="s">
        <v>21</v>
      </c>
      <c r="C485">
        <v>9</v>
      </c>
      <c r="D485">
        <v>375</v>
      </c>
      <c r="E485">
        <v>11</v>
      </c>
      <c r="F485">
        <v>12</v>
      </c>
      <c r="G485">
        <v>72</v>
      </c>
      <c r="H485">
        <v>10</v>
      </c>
      <c r="I485">
        <v>90</v>
      </c>
      <c r="J485">
        <v>11</v>
      </c>
      <c r="K485">
        <v>10</v>
      </c>
      <c r="L485">
        <v>14</v>
      </c>
      <c r="M485">
        <v>5</v>
      </c>
      <c r="N485">
        <v>10</v>
      </c>
      <c r="O485">
        <v>6</v>
      </c>
      <c r="P485">
        <v>4</v>
      </c>
      <c r="Q485">
        <v>0</v>
      </c>
    </row>
    <row r="486" spans="1:17" x14ac:dyDescent="0.45">
      <c r="A486" t="s">
        <v>60</v>
      </c>
      <c r="B486" t="s">
        <v>20</v>
      </c>
      <c r="C486">
        <v>10</v>
      </c>
      <c r="D486">
        <v>438</v>
      </c>
      <c r="E486">
        <v>13</v>
      </c>
      <c r="F486">
        <v>37</v>
      </c>
      <c r="G486">
        <v>31</v>
      </c>
      <c r="H486">
        <v>41</v>
      </c>
      <c r="I486">
        <v>156</v>
      </c>
      <c r="J486">
        <v>23</v>
      </c>
      <c r="K486">
        <v>11</v>
      </c>
      <c r="L486">
        <v>11</v>
      </c>
      <c r="M486">
        <v>18</v>
      </c>
      <c r="N486">
        <v>17</v>
      </c>
      <c r="O486">
        <v>14</v>
      </c>
      <c r="P486">
        <v>3</v>
      </c>
      <c r="Q486">
        <v>2</v>
      </c>
    </row>
    <row r="487" spans="1:17" x14ac:dyDescent="0.45">
      <c r="A487" t="s">
        <v>60</v>
      </c>
      <c r="B487" t="s">
        <v>21</v>
      </c>
      <c r="C487">
        <v>10</v>
      </c>
      <c r="D487">
        <v>495</v>
      </c>
      <c r="E487">
        <v>43</v>
      </c>
      <c r="F487">
        <v>17</v>
      </c>
      <c r="G487">
        <v>60</v>
      </c>
      <c r="H487">
        <v>19</v>
      </c>
      <c r="I487">
        <v>147</v>
      </c>
      <c r="J487">
        <v>17</v>
      </c>
      <c r="K487">
        <v>18</v>
      </c>
      <c r="L487">
        <v>21</v>
      </c>
      <c r="M487">
        <v>23</v>
      </c>
      <c r="N487">
        <v>29</v>
      </c>
      <c r="O487">
        <v>16</v>
      </c>
      <c r="P487">
        <v>4</v>
      </c>
      <c r="Q487">
        <v>0</v>
      </c>
    </row>
    <row r="488" spans="1:17" x14ac:dyDescent="0.45">
      <c r="A488" t="s">
        <v>60</v>
      </c>
      <c r="B488" t="s">
        <v>20</v>
      </c>
      <c r="C488">
        <v>11</v>
      </c>
      <c r="D488">
        <v>396</v>
      </c>
      <c r="E488">
        <v>16</v>
      </c>
      <c r="F488">
        <v>18</v>
      </c>
      <c r="G488">
        <v>51</v>
      </c>
      <c r="H488">
        <v>40</v>
      </c>
      <c r="I488">
        <v>122</v>
      </c>
      <c r="J488">
        <v>12</v>
      </c>
      <c r="K488">
        <v>13</v>
      </c>
      <c r="L488">
        <v>11</v>
      </c>
      <c r="M488">
        <v>15</v>
      </c>
      <c r="N488">
        <v>8</v>
      </c>
      <c r="O488">
        <v>13</v>
      </c>
      <c r="P488">
        <v>7</v>
      </c>
      <c r="Q488">
        <v>0</v>
      </c>
    </row>
    <row r="489" spans="1:17" x14ac:dyDescent="0.45">
      <c r="A489" t="s">
        <v>60</v>
      </c>
      <c r="B489" t="s">
        <v>21</v>
      </c>
      <c r="C489">
        <v>11</v>
      </c>
      <c r="D489">
        <v>437</v>
      </c>
      <c r="E489">
        <v>10</v>
      </c>
      <c r="F489">
        <v>13</v>
      </c>
      <c r="G489">
        <v>29</v>
      </c>
      <c r="H489">
        <v>27</v>
      </c>
      <c r="I489">
        <v>97</v>
      </c>
      <c r="J489">
        <v>25</v>
      </c>
      <c r="K489">
        <v>9</v>
      </c>
      <c r="L489">
        <v>5</v>
      </c>
      <c r="M489">
        <v>16</v>
      </c>
      <c r="N489">
        <v>14</v>
      </c>
      <c r="O489">
        <v>7</v>
      </c>
      <c r="P489">
        <v>4</v>
      </c>
      <c r="Q489">
        <v>0</v>
      </c>
    </row>
    <row r="490" spans="1:17" x14ac:dyDescent="0.45">
      <c r="A490" t="s">
        <v>60</v>
      </c>
      <c r="B490" t="s">
        <v>20</v>
      </c>
      <c r="C490">
        <v>12</v>
      </c>
      <c r="D490">
        <v>427</v>
      </c>
      <c r="E490">
        <v>11</v>
      </c>
      <c r="F490">
        <v>19</v>
      </c>
      <c r="G490">
        <v>62</v>
      </c>
      <c r="H490">
        <v>16</v>
      </c>
      <c r="I490">
        <v>134</v>
      </c>
      <c r="J490">
        <v>14</v>
      </c>
      <c r="K490">
        <v>31</v>
      </c>
      <c r="L490">
        <v>16</v>
      </c>
      <c r="M490">
        <v>13</v>
      </c>
      <c r="N490">
        <v>17</v>
      </c>
      <c r="O490">
        <v>9</v>
      </c>
      <c r="P490">
        <v>6</v>
      </c>
      <c r="Q490">
        <v>0</v>
      </c>
    </row>
    <row r="491" spans="1:17" x14ac:dyDescent="0.45">
      <c r="A491" t="s">
        <v>60</v>
      </c>
      <c r="B491" t="s">
        <v>21</v>
      </c>
      <c r="C491">
        <v>12</v>
      </c>
      <c r="D491">
        <v>421</v>
      </c>
      <c r="E491">
        <v>10</v>
      </c>
      <c r="F491">
        <v>18</v>
      </c>
      <c r="G491">
        <v>70</v>
      </c>
      <c r="H491">
        <v>15</v>
      </c>
      <c r="I491">
        <v>116</v>
      </c>
      <c r="J491">
        <v>17</v>
      </c>
      <c r="K491">
        <v>21</v>
      </c>
      <c r="L491">
        <v>11</v>
      </c>
      <c r="M491">
        <v>17</v>
      </c>
      <c r="N491">
        <v>25</v>
      </c>
      <c r="O491">
        <v>18</v>
      </c>
      <c r="P491">
        <v>5</v>
      </c>
      <c r="Q491">
        <v>0</v>
      </c>
    </row>
    <row r="492" spans="1:17" x14ac:dyDescent="0.45">
      <c r="A492" t="s">
        <v>53</v>
      </c>
      <c r="B492" t="s">
        <v>20</v>
      </c>
      <c r="C492">
        <v>1</v>
      </c>
      <c r="D492">
        <v>324</v>
      </c>
      <c r="E492">
        <v>12</v>
      </c>
      <c r="F492">
        <v>4</v>
      </c>
      <c r="G492">
        <v>47</v>
      </c>
      <c r="H492">
        <v>4</v>
      </c>
      <c r="I492">
        <v>65</v>
      </c>
      <c r="J492">
        <v>5</v>
      </c>
      <c r="K492">
        <v>61</v>
      </c>
      <c r="L492">
        <v>10</v>
      </c>
      <c r="M492">
        <v>4</v>
      </c>
      <c r="N492">
        <v>20</v>
      </c>
      <c r="O492">
        <v>28</v>
      </c>
      <c r="P492">
        <v>8</v>
      </c>
      <c r="Q492">
        <v>0</v>
      </c>
    </row>
    <row r="493" spans="1:17" x14ac:dyDescent="0.45">
      <c r="A493" t="s">
        <v>53</v>
      </c>
      <c r="B493" t="s">
        <v>21</v>
      </c>
      <c r="C493">
        <v>1</v>
      </c>
      <c r="D493">
        <v>365</v>
      </c>
      <c r="E493">
        <v>14</v>
      </c>
      <c r="F493">
        <v>6</v>
      </c>
      <c r="G493">
        <v>48</v>
      </c>
      <c r="H493">
        <v>2</v>
      </c>
      <c r="I493">
        <v>60</v>
      </c>
      <c r="J493">
        <v>3</v>
      </c>
      <c r="K493">
        <v>59</v>
      </c>
      <c r="L493">
        <v>15</v>
      </c>
      <c r="M493">
        <v>10</v>
      </c>
      <c r="N493">
        <v>21</v>
      </c>
      <c r="O493">
        <v>20</v>
      </c>
      <c r="P493">
        <v>10</v>
      </c>
      <c r="Q493">
        <v>4</v>
      </c>
    </row>
    <row r="494" spans="1:17" x14ac:dyDescent="0.45">
      <c r="A494" t="s">
        <v>53</v>
      </c>
      <c r="B494" t="s">
        <v>20</v>
      </c>
      <c r="C494">
        <v>2</v>
      </c>
      <c r="D494">
        <v>335</v>
      </c>
      <c r="E494">
        <v>9</v>
      </c>
      <c r="F494">
        <v>8</v>
      </c>
      <c r="G494">
        <v>29</v>
      </c>
      <c r="H494">
        <v>6</v>
      </c>
      <c r="I494">
        <v>60</v>
      </c>
      <c r="J494">
        <v>5</v>
      </c>
      <c r="K494">
        <v>33</v>
      </c>
      <c r="L494">
        <v>7</v>
      </c>
      <c r="M494">
        <v>19</v>
      </c>
      <c r="N494">
        <v>25</v>
      </c>
      <c r="O494">
        <v>20</v>
      </c>
      <c r="P494">
        <v>10</v>
      </c>
      <c r="Q494">
        <v>8</v>
      </c>
    </row>
    <row r="495" spans="1:17" x14ac:dyDescent="0.45">
      <c r="A495" t="s">
        <v>53</v>
      </c>
      <c r="B495" t="s">
        <v>21</v>
      </c>
      <c r="C495">
        <v>2</v>
      </c>
      <c r="D495">
        <v>388</v>
      </c>
      <c r="E495">
        <v>11</v>
      </c>
      <c r="F495">
        <v>15</v>
      </c>
      <c r="G495">
        <v>30</v>
      </c>
      <c r="H495">
        <v>11</v>
      </c>
      <c r="I495">
        <v>59</v>
      </c>
      <c r="J495">
        <v>8</v>
      </c>
      <c r="K495">
        <v>38</v>
      </c>
      <c r="L495">
        <v>8</v>
      </c>
      <c r="M495">
        <v>13</v>
      </c>
      <c r="N495">
        <v>20</v>
      </c>
      <c r="O495">
        <v>15</v>
      </c>
      <c r="P495">
        <v>13</v>
      </c>
      <c r="Q495">
        <v>2</v>
      </c>
    </row>
    <row r="496" spans="1:17" x14ac:dyDescent="0.45">
      <c r="A496" t="s">
        <v>53</v>
      </c>
      <c r="B496" t="s">
        <v>20</v>
      </c>
      <c r="C496">
        <v>3</v>
      </c>
      <c r="D496">
        <v>454</v>
      </c>
      <c r="E496">
        <v>38</v>
      </c>
      <c r="F496">
        <v>22</v>
      </c>
      <c r="G496">
        <v>84</v>
      </c>
      <c r="H496">
        <v>3</v>
      </c>
      <c r="I496">
        <v>88</v>
      </c>
      <c r="J496">
        <v>22</v>
      </c>
      <c r="K496">
        <v>84</v>
      </c>
      <c r="L496">
        <v>22</v>
      </c>
      <c r="M496">
        <v>13</v>
      </c>
      <c r="N496">
        <v>74</v>
      </c>
      <c r="O496">
        <v>60</v>
      </c>
      <c r="P496">
        <v>61</v>
      </c>
      <c r="Q496">
        <v>4</v>
      </c>
    </row>
    <row r="497" spans="1:17" x14ac:dyDescent="0.45">
      <c r="A497" t="s">
        <v>53</v>
      </c>
      <c r="B497" t="s">
        <v>21</v>
      </c>
      <c r="C497">
        <v>3</v>
      </c>
      <c r="D497">
        <v>456</v>
      </c>
      <c r="E497">
        <v>30</v>
      </c>
      <c r="F497">
        <v>14</v>
      </c>
      <c r="G497">
        <v>78</v>
      </c>
      <c r="H497">
        <v>2</v>
      </c>
      <c r="I497">
        <v>83</v>
      </c>
      <c r="J497">
        <v>18</v>
      </c>
      <c r="K497">
        <v>93</v>
      </c>
      <c r="L497">
        <v>25</v>
      </c>
      <c r="M497">
        <v>16</v>
      </c>
      <c r="N497">
        <v>141</v>
      </c>
      <c r="O497">
        <v>110</v>
      </c>
      <c r="P497">
        <v>101</v>
      </c>
      <c r="Q497">
        <v>7</v>
      </c>
    </row>
    <row r="498" spans="1:17" x14ac:dyDescent="0.45">
      <c r="A498" t="s">
        <v>53</v>
      </c>
      <c r="B498" t="s">
        <v>20</v>
      </c>
      <c r="C498">
        <v>4</v>
      </c>
      <c r="D498">
        <v>424</v>
      </c>
      <c r="E498">
        <v>57</v>
      </c>
      <c r="F498">
        <v>29</v>
      </c>
      <c r="G498">
        <v>94</v>
      </c>
      <c r="H498">
        <v>23</v>
      </c>
      <c r="I498">
        <v>126</v>
      </c>
      <c r="J498">
        <v>36</v>
      </c>
      <c r="K498">
        <v>234</v>
      </c>
      <c r="L498">
        <v>67</v>
      </c>
      <c r="M498">
        <v>31</v>
      </c>
      <c r="N498">
        <v>147</v>
      </c>
      <c r="O498">
        <v>161</v>
      </c>
      <c r="P498">
        <v>144</v>
      </c>
      <c r="Q498">
        <v>0</v>
      </c>
    </row>
    <row r="499" spans="1:17" x14ac:dyDescent="0.45">
      <c r="A499" t="s">
        <v>53</v>
      </c>
      <c r="B499" t="s">
        <v>21</v>
      </c>
      <c r="C499">
        <v>4</v>
      </c>
      <c r="D499">
        <v>488</v>
      </c>
      <c r="E499">
        <v>59</v>
      </c>
      <c r="F499">
        <v>21</v>
      </c>
      <c r="G499">
        <v>102</v>
      </c>
      <c r="H499">
        <v>12</v>
      </c>
      <c r="I499">
        <v>163</v>
      </c>
      <c r="J499">
        <v>39</v>
      </c>
      <c r="K499">
        <v>225</v>
      </c>
      <c r="L499">
        <v>82</v>
      </c>
      <c r="M499">
        <v>21</v>
      </c>
      <c r="N499">
        <v>119</v>
      </c>
      <c r="O499">
        <v>141</v>
      </c>
      <c r="P499">
        <v>132</v>
      </c>
      <c r="Q499">
        <v>3</v>
      </c>
    </row>
    <row r="500" spans="1:17" x14ac:dyDescent="0.45">
      <c r="A500" t="s">
        <v>53</v>
      </c>
      <c r="B500" t="s">
        <v>20</v>
      </c>
      <c r="C500">
        <v>5</v>
      </c>
      <c r="D500">
        <v>375</v>
      </c>
      <c r="E500">
        <v>17</v>
      </c>
      <c r="F500">
        <v>14</v>
      </c>
      <c r="G500">
        <v>72</v>
      </c>
      <c r="H500">
        <v>28</v>
      </c>
      <c r="I500">
        <v>111</v>
      </c>
      <c r="J500">
        <v>16</v>
      </c>
      <c r="K500">
        <v>106</v>
      </c>
      <c r="L500">
        <v>56</v>
      </c>
      <c r="M500">
        <v>19</v>
      </c>
      <c r="N500">
        <v>108</v>
      </c>
      <c r="O500">
        <v>119</v>
      </c>
      <c r="P500">
        <v>82</v>
      </c>
      <c r="Q500">
        <v>4</v>
      </c>
    </row>
    <row r="501" spans="1:17" x14ac:dyDescent="0.45">
      <c r="A501" t="s">
        <v>53</v>
      </c>
      <c r="B501" t="s">
        <v>21</v>
      </c>
      <c r="C501">
        <v>5</v>
      </c>
      <c r="D501">
        <v>404</v>
      </c>
      <c r="E501">
        <v>37</v>
      </c>
      <c r="F501">
        <v>20</v>
      </c>
      <c r="G501">
        <v>113</v>
      </c>
      <c r="H501">
        <v>15</v>
      </c>
      <c r="I501">
        <v>139</v>
      </c>
      <c r="J501">
        <v>27</v>
      </c>
      <c r="K501">
        <v>105</v>
      </c>
      <c r="L501">
        <v>48</v>
      </c>
      <c r="M501">
        <v>13</v>
      </c>
      <c r="N501">
        <v>90</v>
      </c>
      <c r="O501">
        <v>110</v>
      </c>
      <c r="P501">
        <v>54</v>
      </c>
      <c r="Q501">
        <v>0</v>
      </c>
    </row>
    <row r="502" spans="1:17" x14ac:dyDescent="0.45">
      <c r="A502" t="s">
        <v>53</v>
      </c>
      <c r="B502" t="s">
        <v>20</v>
      </c>
      <c r="C502">
        <v>6</v>
      </c>
      <c r="D502">
        <v>479</v>
      </c>
      <c r="E502">
        <v>31</v>
      </c>
      <c r="F502">
        <v>31</v>
      </c>
      <c r="G502">
        <v>50</v>
      </c>
      <c r="H502">
        <v>20</v>
      </c>
      <c r="I502">
        <v>136</v>
      </c>
      <c r="J502">
        <v>18</v>
      </c>
      <c r="K502">
        <v>55</v>
      </c>
      <c r="L502">
        <v>33</v>
      </c>
      <c r="M502">
        <v>19</v>
      </c>
      <c r="N502">
        <v>42</v>
      </c>
      <c r="O502">
        <v>61</v>
      </c>
      <c r="P502">
        <v>46</v>
      </c>
      <c r="Q502">
        <v>0</v>
      </c>
    </row>
    <row r="503" spans="1:17" x14ac:dyDescent="0.45">
      <c r="A503" t="s">
        <v>53</v>
      </c>
      <c r="B503" t="s">
        <v>21</v>
      </c>
      <c r="C503">
        <v>6</v>
      </c>
      <c r="D503">
        <v>460</v>
      </c>
      <c r="E503">
        <v>51</v>
      </c>
      <c r="F503">
        <v>23</v>
      </c>
      <c r="G503">
        <v>70</v>
      </c>
      <c r="H503">
        <v>5</v>
      </c>
      <c r="I503">
        <v>110</v>
      </c>
      <c r="J503">
        <v>18</v>
      </c>
      <c r="K503">
        <v>83</v>
      </c>
      <c r="L503">
        <v>30</v>
      </c>
      <c r="M503">
        <v>29</v>
      </c>
      <c r="N503">
        <v>49</v>
      </c>
      <c r="O503">
        <v>69</v>
      </c>
      <c r="P503">
        <v>48</v>
      </c>
      <c r="Q503">
        <v>0</v>
      </c>
    </row>
    <row r="504" spans="1:17" x14ac:dyDescent="0.45">
      <c r="A504" t="s">
        <v>53</v>
      </c>
      <c r="B504" t="s">
        <v>20</v>
      </c>
      <c r="C504">
        <v>7</v>
      </c>
      <c r="D504">
        <v>367</v>
      </c>
      <c r="E504">
        <v>38</v>
      </c>
      <c r="F504">
        <v>23</v>
      </c>
      <c r="G504">
        <v>29</v>
      </c>
      <c r="H504">
        <v>10</v>
      </c>
      <c r="I504">
        <v>114</v>
      </c>
      <c r="J504">
        <v>14</v>
      </c>
      <c r="K504">
        <v>36</v>
      </c>
      <c r="L504">
        <v>12</v>
      </c>
      <c r="M504">
        <v>16</v>
      </c>
      <c r="N504">
        <v>18</v>
      </c>
      <c r="O504">
        <v>28</v>
      </c>
      <c r="P504">
        <v>10</v>
      </c>
      <c r="Q504">
        <v>1</v>
      </c>
    </row>
    <row r="505" spans="1:17" x14ac:dyDescent="0.45">
      <c r="A505" t="s">
        <v>53</v>
      </c>
      <c r="B505" t="s">
        <v>21</v>
      </c>
      <c r="C505">
        <v>7</v>
      </c>
      <c r="D505">
        <v>488</v>
      </c>
      <c r="E505">
        <v>31</v>
      </c>
      <c r="F505">
        <v>17</v>
      </c>
      <c r="G505">
        <v>40</v>
      </c>
      <c r="H505">
        <v>19</v>
      </c>
      <c r="I505">
        <v>102</v>
      </c>
      <c r="J505">
        <v>27</v>
      </c>
      <c r="K505">
        <v>27</v>
      </c>
      <c r="L505">
        <v>19</v>
      </c>
      <c r="M505">
        <v>16</v>
      </c>
      <c r="N505">
        <v>28</v>
      </c>
      <c r="O505">
        <v>39</v>
      </c>
      <c r="P505">
        <v>14</v>
      </c>
      <c r="Q505">
        <v>0</v>
      </c>
    </row>
    <row r="506" spans="1:17" x14ac:dyDescent="0.45">
      <c r="A506" t="s">
        <v>53</v>
      </c>
      <c r="B506" t="s">
        <v>20</v>
      </c>
      <c r="C506">
        <v>8</v>
      </c>
      <c r="D506">
        <v>348</v>
      </c>
      <c r="E506">
        <v>30</v>
      </c>
      <c r="F506">
        <v>14</v>
      </c>
      <c r="G506">
        <v>24</v>
      </c>
      <c r="H506">
        <v>6</v>
      </c>
      <c r="I506">
        <v>103</v>
      </c>
      <c r="J506">
        <v>17</v>
      </c>
      <c r="K506">
        <v>9</v>
      </c>
      <c r="L506">
        <v>8</v>
      </c>
      <c r="M506">
        <v>14</v>
      </c>
      <c r="N506">
        <v>8</v>
      </c>
      <c r="O506">
        <v>14</v>
      </c>
      <c r="P506">
        <v>2</v>
      </c>
      <c r="Q506">
        <v>0</v>
      </c>
    </row>
    <row r="507" spans="1:17" x14ac:dyDescent="0.45">
      <c r="A507" t="s">
        <v>53</v>
      </c>
      <c r="B507" t="s">
        <v>21</v>
      </c>
      <c r="C507">
        <v>8</v>
      </c>
      <c r="D507">
        <v>376</v>
      </c>
      <c r="E507">
        <v>16</v>
      </c>
      <c r="F507">
        <v>22</v>
      </c>
      <c r="G507">
        <v>30</v>
      </c>
      <c r="H507">
        <v>0</v>
      </c>
      <c r="I507">
        <v>74</v>
      </c>
      <c r="J507">
        <v>12</v>
      </c>
      <c r="K507">
        <v>12</v>
      </c>
      <c r="L507">
        <v>5</v>
      </c>
      <c r="M507">
        <v>24</v>
      </c>
      <c r="N507">
        <v>12</v>
      </c>
      <c r="O507">
        <v>14</v>
      </c>
      <c r="P507">
        <v>3</v>
      </c>
      <c r="Q507">
        <v>2</v>
      </c>
    </row>
    <row r="508" spans="1:17" x14ac:dyDescent="0.45">
      <c r="A508" t="s">
        <v>53</v>
      </c>
      <c r="B508" t="s">
        <v>20</v>
      </c>
      <c r="C508">
        <v>9</v>
      </c>
      <c r="D508">
        <v>379</v>
      </c>
      <c r="E508">
        <v>35</v>
      </c>
      <c r="F508">
        <v>15</v>
      </c>
      <c r="G508">
        <v>27</v>
      </c>
      <c r="H508">
        <v>13</v>
      </c>
      <c r="I508">
        <v>102</v>
      </c>
      <c r="J508">
        <v>22</v>
      </c>
      <c r="K508">
        <v>12</v>
      </c>
      <c r="L508">
        <v>11</v>
      </c>
      <c r="M508">
        <v>26</v>
      </c>
      <c r="N508">
        <v>18</v>
      </c>
      <c r="O508">
        <v>19</v>
      </c>
      <c r="P508">
        <v>4</v>
      </c>
      <c r="Q508">
        <v>0</v>
      </c>
    </row>
    <row r="509" spans="1:17" x14ac:dyDescent="0.45">
      <c r="A509" t="s">
        <v>53</v>
      </c>
      <c r="B509" t="s">
        <v>21</v>
      </c>
      <c r="C509">
        <v>9</v>
      </c>
      <c r="D509">
        <v>414</v>
      </c>
      <c r="E509">
        <v>23</v>
      </c>
      <c r="F509">
        <v>25</v>
      </c>
      <c r="G509">
        <v>84</v>
      </c>
      <c r="H509">
        <v>2</v>
      </c>
      <c r="I509">
        <v>89</v>
      </c>
      <c r="J509">
        <v>12</v>
      </c>
      <c r="K509">
        <v>4</v>
      </c>
      <c r="L509">
        <v>7</v>
      </c>
      <c r="M509">
        <v>11</v>
      </c>
      <c r="N509">
        <v>9</v>
      </c>
      <c r="O509">
        <v>19</v>
      </c>
      <c r="P509">
        <v>3</v>
      </c>
      <c r="Q509">
        <v>0</v>
      </c>
    </row>
    <row r="510" spans="1:17" x14ac:dyDescent="0.45">
      <c r="A510" t="s">
        <v>53</v>
      </c>
      <c r="B510" t="s">
        <v>20</v>
      </c>
      <c r="C510">
        <v>10</v>
      </c>
      <c r="D510">
        <v>547</v>
      </c>
      <c r="E510">
        <v>81</v>
      </c>
      <c r="F510">
        <v>63</v>
      </c>
      <c r="G510">
        <v>37</v>
      </c>
      <c r="H510">
        <v>13</v>
      </c>
      <c r="I510">
        <v>173</v>
      </c>
      <c r="J510">
        <v>19</v>
      </c>
      <c r="K510">
        <v>57</v>
      </c>
      <c r="L510">
        <v>23</v>
      </c>
      <c r="M510">
        <v>42</v>
      </c>
      <c r="N510">
        <v>29</v>
      </c>
      <c r="O510">
        <v>39</v>
      </c>
      <c r="P510">
        <v>7</v>
      </c>
      <c r="Q510">
        <v>0</v>
      </c>
    </row>
    <row r="511" spans="1:17" x14ac:dyDescent="0.45">
      <c r="A511" t="s">
        <v>53</v>
      </c>
      <c r="B511" t="s">
        <v>21</v>
      </c>
      <c r="C511">
        <v>10</v>
      </c>
      <c r="D511">
        <v>563</v>
      </c>
      <c r="E511">
        <v>55</v>
      </c>
      <c r="F511">
        <v>67</v>
      </c>
      <c r="G511">
        <v>70</v>
      </c>
      <c r="H511">
        <v>4</v>
      </c>
      <c r="I511">
        <v>161</v>
      </c>
      <c r="J511">
        <v>32</v>
      </c>
      <c r="K511">
        <v>49</v>
      </c>
      <c r="L511">
        <v>21</v>
      </c>
      <c r="M511">
        <v>44</v>
      </c>
      <c r="N511">
        <v>24</v>
      </c>
      <c r="O511">
        <v>45</v>
      </c>
      <c r="P511">
        <v>16</v>
      </c>
      <c r="Q511">
        <v>0</v>
      </c>
    </row>
    <row r="512" spans="1:17" x14ac:dyDescent="0.45">
      <c r="A512" t="s">
        <v>53</v>
      </c>
      <c r="B512" t="s">
        <v>20</v>
      </c>
      <c r="C512">
        <v>11</v>
      </c>
      <c r="D512">
        <v>384</v>
      </c>
      <c r="E512">
        <v>33</v>
      </c>
      <c r="F512">
        <v>29</v>
      </c>
      <c r="G512">
        <v>58</v>
      </c>
      <c r="H512">
        <v>7</v>
      </c>
      <c r="I512">
        <v>153</v>
      </c>
      <c r="J512">
        <v>23</v>
      </c>
      <c r="K512">
        <v>34</v>
      </c>
      <c r="L512">
        <v>21</v>
      </c>
      <c r="M512">
        <v>27</v>
      </c>
      <c r="N512">
        <v>31</v>
      </c>
      <c r="O512">
        <v>26</v>
      </c>
      <c r="P512">
        <v>17</v>
      </c>
      <c r="Q512">
        <v>0</v>
      </c>
    </row>
    <row r="513" spans="1:17" x14ac:dyDescent="0.45">
      <c r="A513" t="s">
        <v>53</v>
      </c>
      <c r="B513" t="s">
        <v>21</v>
      </c>
      <c r="C513">
        <v>11</v>
      </c>
      <c r="D513">
        <v>464</v>
      </c>
      <c r="E513">
        <v>30</v>
      </c>
      <c r="F513">
        <v>32</v>
      </c>
      <c r="G513">
        <v>62</v>
      </c>
      <c r="H513">
        <v>6</v>
      </c>
      <c r="I513">
        <v>127</v>
      </c>
      <c r="J513">
        <v>17</v>
      </c>
      <c r="K513">
        <v>39</v>
      </c>
      <c r="L513">
        <v>22</v>
      </c>
      <c r="M513">
        <v>23</v>
      </c>
      <c r="N513">
        <v>19</v>
      </c>
      <c r="O513">
        <v>47</v>
      </c>
      <c r="P513">
        <v>15</v>
      </c>
      <c r="Q513">
        <v>1</v>
      </c>
    </row>
    <row r="514" spans="1:17" x14ac:dyDescent="0.45">
      <c r="A514" t="s">
        <v>53</v>
      </c>
      <c r="B514" t="s">
        <v>20</v>
      </c>
      <c r="C514">
        <v>12</v>
      </c>
      <c r="D514">
        <v>428</v>
      </c>
      <c r="E514">
        <v>22</v>
      </c>
      <c r="F514">
        <v>21</v>
      </c>
      <c r="G514">
        <v>64</v>
      </c>
      <c r="H514">
        <v>2</v>
      </c>
      <c r="I514">
        <v>99</v>
      </c>
      <c r="J514">
        <v>13</v>
      </c>
      <c r="K514">
        <v>55</v>
      </c>
      <c r="L514">
        <v>18</v>
      </c>
      <c r="M514">
        <v>10</v>
      </c>
      <c r="N514">
        <v>26</v>
      </c>
      <c r="O514">
        <v>39</v>
      </c>
      <c r="P514">
        <v>9</v>
      </c>
      <c r="Q514">
        <v>0</v>
      </c>
    </row>
    <row r="515" spans="1:17" x14ac:dyDescent="0.45">
      <c r="A515" t="s">
        <v>53</v>
      </c>
      <c r="B515" t="s">
        <v>21</v>
      </c>
      <c r="C515">
        <v>12</v>
      </c>
      <c r="D515">
        <v>403</v>
      </c>
      <c r="E515">
        <v>24</v>
      </c>
      <c r="F515">
        <v>20</v>
      </c>
      <c r="G515">
        <v>73</v>
      </c>
      <c r="H515">
        <v>8</v>
      </c>
      <c r="I515">
        <v>107</v>
      </c>
      <c r="J515">
        <v>15</v>
      </c>
      <c r="K515">
        <v>45</v>
      </c>
      <c r="L515">
        <v>23</v>
      </c>
      <c r="M515">
        <v>17</v>
      </c>
      <c r="N515">
        <v>19</v>
      </c>
      <c r="O515">
        <v>34</v>
      </c>
      <c r="P515">
        <v>9</v>
      </c>
      <c r="Q515">
        <v>0</v>
      </c>
    </row>
    <row r="516" spans="1:17" x14ac:dyDescent="0.45">
      <c r="A516" t="s">
        <v>79</v>
      </c>
      <c r="B516" t="s">
        <v>20</v>
      </c>
      <c r="C516">
        <v>1</v>
      </c>
      <c r="D516">
        <v>675</v>
      </c>
      <c r="E516">
        <v>38</v>
      </c>
      <c r="F516">
        <v>21</v>
      </c>
      <c r="G516">
        <v>108</v>
      </c>
      <c r="H516">
        <v>14</v>
      </c>
      <c r="I516">
        <v>117</v>
      </c>
      <c r="J516">
        <v>21</v>
      </c>
      <c r="K516">
        <v>86</v>
      </c>
      <c r="L516">
        <v>23</v>
      </c>
      <c r="M516">
        <v>19</v>
      </c>
      <c r="N516">
        <v>28</v>
      </c>
      <c r="O516">
        <v>29</v>
      </c>
      <c r="P516">
        <v>5</v>
      </c>
      <c r="Q516">
        <v>5</v>
      </c>
    </row>
    <row r="517" spans="1:17" x14ac:dyDescent="0.45">
      <c r="A517" t="s">
        <v>79</v>
      </c>
      <c r="B517" t="s">
        <v>21</v>
      </c>
      <c r="C517">
        <v>1</v>
      </c>
      <c r="D517">
        <v>797</v>
      </c>
      <c r="E517">
        <v>27</v>
      </c>
      <c r="F517">
        <v>24</v>
      </c>
      <c r="G517">
        <v>131</v>
      </c>
      <c r="H517">
        <v>17</v>
      </c>
      <c r="I517">
        <v>136</v>
      </c>
      <c r="J517">
        <v>20</v>
      </c>
      <c r="K517">
        <v>77</v>
      </c>
      <c r="L517">
        <v>18</v>
      </c>
      <c r="M517">
        <v>24</v>
      </c>
      <c r="N517">
        <v>30</v>
      </c>
      <c r="O517">
        <v>43</v>
      </c>
      <c r="P517">
        <v>15</v>
      </c>
      <c r="Q517">
        <v>6</v>
      </c>
    </row>
    <row r="518" spans="1:17" x14ac:dyDescent="0.45">
      <c r="A518" t="s">
        <v>79</v>
      </c>
      <c r="B518" t="s">
        <v>20</v>
      </c>
      <c r="C518">
        <v>2</v>
      </c>
      <c r="D518">
        <v>638</v>
      </c>
      <c r="E518">
        <v>21</v>
      </c>
      <c r="F518">
        <v>12</v>
      </c>
      <c r="G518">
        <v>44</v>
      </c>
      <c r="H518">
        <v>38</v>
      </c>
      <c r="I518">
        <v>130</v>
      </c>
      <c r="J518">
        <v>18</v>
      </c>
      <c r="K518">
        <v>73</v>
      </c>
      <c r="L518">
        <v>32</v>
      </c>
      <c r="M518">
        <v>8</v>
      </c>
      <c r="N518">
        <v>23</v>
      </c>
      <c r="O518">
        <v>20</v>
      </c>
      <c r="P518">
        <v>21</v>
      </c>
      <c r="Q518">
        <v>7</v>
      </c>
    </row>
    <row r="519" spans="1:17" x14ac:dyDescent="0.45">
      <c r="A519" t="s">
        <v>79</v>
      </c>
      <c r="B519" t="s">
        <v>21</v>
      </c>
      <c r="C519">
        <v>2</v>
      </c>
      <c r="D519">
        <v>779</v>
      </c>
      <c r="E519">
        <v>22</v>
      </c>
      <c r="F519">
        <v>12</v>
      </c>
      <c r="G519">
        <v>52</v>
      </c>
      <c r="H519">
        <v>51</v>
      </c>
      <c r="I519">
        <v>152</v>
      </c>
      <c r="J519">
        <v>16</v>
      </c>
      <c r="K519">
        <v>79</v>
      </c>
      <c r="L519">
        <v>38</v>
      </c>
      <c r="M519">
        <v>15</v>
      </c>
      <c r="N519">
        <v>31</v>
      </c>
      <c r="O519">
        <v>29</v>
      </c>
      <c r="P519">
        <v>14</v>
      </c>
      <c r="Q519">
        <v>7</v>
      </c>
    </row>
    <row r="520" spans="1:17" x14ac:dyDescent="0.45">
      <c r="A520" t="s">
        <v>79</v>
      </c>
      <c r="B520" t="s">
        <v>20</v>
      </c>
      <c r="C520">
        <v>3</v>
      </c>
      <c r="D520">
        <v>845</v>
      </c>
      <c r="E520">
        <v>31</v>
      </c>
      <c r="F520">
        <v>48</v>
      </c>
      <c r="G520">
        <v>140</v>
      </c>
      <c r="H520">
        <v>20</v>
      </c>
      <c r="I520">
        <v>126</v>
      </c>
      <c r="J520">
        <v>36</v>
      </c>
      <c r="K520">
        <v>115</v>
      </c>
      <c r="L520">
        <v>31</v>
      </c>
      <c r="M520">
        <v>25</v>
      </c>
      <c r="N520">
        <v>112</v>
      </c>
      <c r="O520">
        <v>112</v>
      </c>
      <c r="P520">
        <v>95</v>
      </c>
      <c r="Q520">
        <v>6</v>
      </c>
    </row>
    <row r="521" spans="1:17" x14ac:dyDescent="0.45">
      <c r="A521" t="s">
        <v>79</v>
      </c>
      <c r="B521" t="s">
        <v>21</v>
      </c>
      <c r="C521">
        <v>3</v>
      </c>
      <c r="D521">
        <v>916</v>
      </c>
      <c r="E521">
        <v>41</v>
      </c>
      <c r="F521">
        <v>56</v>
      </c>
      <c r="G521">
        <v>173</v>
      </c>
      <c r="H521">
        <v>14</v>
      </c>
      <c r="I521">
        <v>197</v>
      </c>
      <c r="J521">
        <v>53</v>
      </c>
      <c r="K521">
        <v>191</v>
      </c>
      <c r="L521">
        <v>62</v>
      </c>
      <c r="M521">
        <v>38</v>
      </c>
      <c r="N521">
        <v>180</v>
      </c>
      <c r="O521">
        <v>172</v>
      </c>
      <c r="P521">
        <v>155</v>
      </c>
      <c r="Q521">
        <v>13</v>
      </c>
    </row>
    <row r="522" spans="1:17" x14ac:dyDescent="0.45">
      <c r="A522" t="s">
        <v>79</v>
      </c>
      <c r="B522" t="s">
        <v>20</v>
      </c>
      <c r="C522">
        <v>4</v>
      </c>
      <c r="D522">
        <v>832</v>
      </c>
      <c r="E522">
        <v>52</v>
      </c>
      <c r="F522">
        <v>93</v>
      </c>
      <c r="G522">
        <v>200</v>
      </c>
      <c r="H522">
        <v>22</v>
      </c>
      <c r="I522">
        <v>171</v>
      </c>
      <c r="J522">
        <v>93</v>
      </c>
      <c r="K522">
        <v>422</v>
      </c>
      <c r="L522">
        <v>162</v>
      </c>
      <c r="M522">
        <v>72</v>
      </c>
      <c r="N522">
        <v>278</v>
      </c>
      <c r="O522">
        <v>294</v>
      </c>
      <c r="P522">
        <v>198</v>
      </c>
      <c r="Q522">
        <v>11</v>
      </c>
    </row>
    <row r="523" spans="1:17" x14ac:dyDescent="0.45">
      <c r="A523" t="s">
        <v>79</v>
      </c>
      <c r="B523" t="s">
        <v>21</v>
      </c>
      <c r="C523">
        <v>4</v>
      </c>
      <c r="D523">
        <v>1074</v>
      </c>
      <c r="E523">
        <v>34</v>
      </c>
      <c r="F523">
        <v>77</v>
      </c>
      <c r="G523">
        <v>211</v>
      </c>
      <c r="H523">
        <v>39</v>
      </c>
      <c r="I523">
        <v>246</v>
      </c>
      <c r="J523">
        <v>75</v>
      </c>
      <c r="K523">
        <v>344</v>
      </c>
      <c r="L523">
        <v>146</v>
      </c>
      <c r="M523">
        <v>63</v>
      </c>
      <c r="N523">
        <v>229</v>
      </c>
      <c r="O523">
        <v>259</v>
      </c>
      <c r="P523">
        <v>174</v>
      </c>
      <c r="Q523">
        <v>22</v>
      </c>
    </row>
    <row r="524" spans="1:17" x14ac:dyDescent="0.45">
      <c r="A524" t="s">
        <v>79</v>
      </c>
      <c r="B524" t="s">
        <v>20</v>
      </c>
      <c r="C524">
        <v>5</v>
      </c>
      <c r="D524">
        <v>779</v>
      </c>
      <c r="E524">
        <v>59</v>
      </c>
      <c r="F524">
        <v>58</v>
      </c>
      <c r="G524">
        <v>150</v>
      </c>
      <c r="H524">
        <v>160</v>
      </c>
      <c r="I524">
        <v>190</v>
      </c>
      <c r="J524">
        <v>46</v>
      </c>
      <c r="K524">
        <v>192</v>
      </c>
      <c r="L524">
        <v>94</v>
      </c>
      <c r="M524">
        <v>35</v>
      </c>
      <c r="N524">
        <v>117</v>
      </c>
      <c r="O524">
        <v>233</v>
      </c>
      <c r="P524">
        <v>112</v>
      </c>
      <c r="Q524">
        <v>23</v>
      </c>
    </row>
    <row r="525" spans="1:17" x14ac:dyDescent="0.45">
      <c r="A525" t="s">
        <v>79</v>
      </c>
      <c r="B525" t="s">
        <v>21</v>
      </c>
      <c r="C525">
        <v>5</v>
      </c>
      <c r="D525">
        <v>839</v>
      </c>
      <c r="E525">
        <v>48</v>
      </c>
      <c r="F525">
        <v>48</v>
      </c>
      <c r="G525">
        <v>185</v>
      </c>
      <c r="H525">
        <v>58</v>
      </c>
      <c r="I525">
        <v>224</v>
      </c>
      <c r="J525">
        <v>38</v>
      </c>
      <c r="K525">
        <v>187</v>
      </c>
      <c r="L525">
        <v>92</v>
      </c>
      <c r="M525">
        <v>36</v>
      </c>
      <c r="N525">
        <v>130</v>
      </c>
      <c r="O525">
        <v>178</v>
      </c>
      <c r="P525">
        <v>82</v>
      </c>
      <c r="Q525">
        <v>1</v>
      </c>
    </row>
    <row r="526" spans="1:17" x14ac:dyDescent="0.45">
      <c r="A526" t="s">
        <v>79</v>
      </c>
      <c r="B526" t="s">
        <v>20</v>
      </c>
      <c r="C526">
        <v>6</v>
      </c>
      <c r="D526">
        <v>846</v>
      </c>
      <c r="E526">
        <v>47</v>
      </c>
      <c r="F526">
        <v>85</v>
      </c>
      <c r="G526">
        <v>169</v>
      </c>
      <c r="H526">
        <v>21</v>
      </c>
      <c r="I526">
        <v>202</v>
      </c>
      <c r="J526">
        <v>43</v>
      </c>
      <c r="K526">
        <v>110</v>
      </c>
      <c r="L526">
        <v>57</v>
      </c>
      <c r="M526">
        <v>49</v>
      </c>
      <c r="N526">
        <v>59</v>
      </c>
      <c r="O526">
        <v>106</v>
      </c>
      <c r="P526">
        <v>44</v>
      </c>
      <c r="Q526">
        <v>4</v>
      </c>
    </row>
    <row r="527" spans="1:17" x14ac:dyDescent="0.45">
      <c r="A527" t="s">
        <v>79</v>
      </c>
      <c r="B527" t="s">
        <v>21</v>
      </c>
      <c r="C527">
        <v>6</v>
      </c>
      <c r="D527">
        <v>1005</v>
      </c>
      <c r="E527">
        <v>60</v>
      </c>
      <c r="F527">
        <v>70</v>
      </c>
      <c r="G527">
        <v>159</v>
      </c>
      <c r="H527">
        <v>20</v>
      </c>
      <c r="I527">
        <v>218</v>
      </c>
      <c r="J527">
        <v>33</v>
      </c>
      <c r="K527">
        <v>121</v>
      </c>
      <c r="L527">
        <v>87</v>
      </c>
      <c r="M527">
        <v>68</v>
      </c>
      <c r="N527">
        <v>85</v>
      </c>
      <c r="O527">
        <v>137</v>
      </c>
      <c r="P527">
        <v>60</v>
      </c>
      <c r="Q527">
        <v>6</v>
      </c>
    </row>
    <row r="528" spans="1:17" x14ac:dyDescent="0.45">
      <c r="A528" t="s">
        <v>79</v>
      </c>
      <c r="B528" t="s">
        <v>20</v>
      </c>
      <c r="C528">
        <v>7</v>
      </c>
      <c r="D528">
        <v>726</v>
      </c>
      <c r="E528">
        <v>61</v>
      </c>
      <c r="F528">
        <v>79</v>
      </c>
      <c r="G528">
        <v>66</v>
      </c>
      <c r="H528">
        <v>20</v>
      </c>
      <c r="I528">
        <v>202</v>
      </c>
      <c r="J528">
        <v>20</v>
      </c>
      <c r="K528">
        <v>34</v>
      </c>
      <c r="L528">
        <v>56</v>
      </c>
      <c r="M528">
        <v>24</v>
      </c>
      <c r="N528">
        <v>44</v>
      </c>
      <c r="O528">
        <v>60</v>
      </c>
      <c r="P528">
        <v>29</v>
      </c>
      <c r="Q528">
        <v>0</v>
      </c>
    </row>
    <row r="529" spans="1:17" x14ac:dyDescent="0.45">
      <c r="A529" t="s">
        <v>79</v>
      </c>
      <c r="B529" t="s">
        <v>21</v>
      </c>
      <c r="C529">
        <v>7</v>
      </c>
      <c r="D529">
        <v>1056</v>
      </c>
      <c r="E529">
        <v>43</v>
      </c>
      <c r="F529">
        <v>52</v>
      </c>
      <c r="G529">
        <v>75</v>
      </c>
      <c r="H529">
        <v>40</v>
      </c>
      <c r="I529">
        <v>288</v>
      </c>
      <c r="J529">
        <v>30</v>
      </c>
      <c r="K529">
        <v>41</v>
      </c>
      <c r="L529">
        <v>27</v>
      </c>
      <c r="M529">
        <v>34</v>
      </c>
      <c r="N529">
        <v>37</v>
      </c>
      <c r="O529">
        <v>66</v>
      </c>
      <c r="P529">
        <v>31</v>
      </c>
      <c r="Q529">
        <v>3</v>
      </c>
    </row>
    <row r="530" spans="1:17" x14ac:dyDescent="0.45">
      <c r="A530" t="s">
        <v>79</v>
      </c>
      <c r="B530" t="s">
        <v>20</v>
      </c>
      <c r="C530">
        <v>8</v>
      </c>
      <c r="D530">
        <v>723</v>
      </c>
      <c r="E530">
        <v>52</v>
      </c>
      <c r="F530">
        <v>36</v>
      </c>
      <c r="G530">
        <v>61</v>
      </c>
      <c r="H530">
        <v>22</v>
      </c>
      <c r="I530">
        <v>227</v>
      </c>
      <c r="J530">
        <v>17</v>
      </c>
      <c r="K530">
        <v>21</v>
      </c>
      <c r="L530">
        <v>17</v>
      </c>
      <c r="M530">
        <v>25</v>
      </c>
      <c r="N530">
        <v>15</v>
      </c>
      <c r="O530">
        <v>13</v>
      </c>
      <c r="P530">
        <v>4</v>
      </c>
      <c r="Q530">
        <v>0</v>
      </c>
    </row>
    <row r="531" spans="1:17" x14ac:dyDescent="0.45">
      <c r="A531" t="s">
        <v>79</v>
      </c>
      <c r="B531" t="s">
        <v>21</v>
      </c>
      <c r="C531">
        <v>8</v>
      </c>
      <c r="D531">
        <v>857</v>
      </c>
      <c r="E531">
        <v>39</v>
      </c>
      <c r="F531">
        <v>52</v>
      </c>
      <c r="G531">
        <v>68</v>
      </c>
      <c r="H531">
        <v>9</v>
      </c>
      <c r="I531">
        <v>225</v>
      </c>
      <c r="J531">
        <v>30</v>
      </c>
      <c r="K531">
        <v>24</v>
      </c>
      <c r="L531">
        <v>16</v>
      </c>
      <c r="M531">
        <v>22</v>
      </c>
      <c r="N531">
        <v>12</v>
      </c>
      <c r="O531">
        <v>20</v>
      </c>
      <c r="P531">
        <v>7</v>
      </c>
      <c r="Q531">
        <v>0</v>
      </c>
    </row>
    <row r="532" spans="1:17" x14ac:dyDescent="0.45">
      <c r="A532" t="s">
        <v>79</v>
      </c>
      <c r="B532" t="s">
        <v>20</v>
      </c>
      <c r="C532">
        <v>9</v>
      </c>
      <c r="D532">
        <v>862</v>
      </c>
      <c r="E532">
        <v>40</v>
      </c>
      <c r="F532">
        <v>33</v>
      </c>
      <c r="G532">
        <v>42</v>
      </c>
      <c r="H532">
        <v>51</v>
      </c>
      <c r="I532">
        <v>232</v>
      </c>
      <c r="J532">
        <v>42</v>
      </c>
      <c r="K532">
        <v>19</v>
      </c>
      <c r="L532">
        <v>8</v>
      </c>
      <c r="M532">
        <v>47</v>
      </c>
      <c r="N532">
        <v>24</v>
      </c>
      <c r="O532">
        <v>28</v>
      </c>
      <c r="P532">
        <v>9</v>
      </c>
      <c r="Q532">
        <v>0</v>
      </c>
    </row>
    <row r="533" spans="1:17" x14ac:dyDescent="0.45">
      <c r="A533" t="s">
        <v>79</v>
      </c>
      <c r="B533" t="s">
        <v>21</v>
      </c>
      <c r="C533">
        <v>9</v>
      </c>
      <c r="D533">
        <v>865</v>
      </c>
      <c r="E533">
        <v>41</v>
      </c>
      <c r="F533">
        <v>41</v>
      </c>
      <c r="G533">
        <v>103</v>
      </c>
      <c r="H533">
        <v>28</v>
      </c>
      <c r="I533">
        <v>227</v>
      </c>
      <c r="J533">
        <v>39</v>
      </c>
      <c r="K533">
        <v>15</v>
      </c>
      <c r="L533">
        <v>9</v>
      </c>
      <c r="M533">
        <v>20</v>
      </c>
      <c r="N533">
        <v>19</v>
      </c>
      <c r="O533">
        <v>16</v>
      </c>
      <c r="P533">
        <v>6</v>
      </c>
      <c r="Q533">
        <v>0</v>
      </c>
    </row>
    <row r="534" spans="1:17" x14ac:dyDescent="0.45">
      <c r="A534" t="s">
        <v>79</v>
      </c>
      <c r="B534" t="s">
        <v>20</v>
      </c>
      <c r="C534">
        <v>10</v>
      </c>
      <c r="D534">
        <v>1024</v>
      </c>
      <c r="E534">
        <v>66</v>
      </c>
      <c r="F534">
        <v>61</v>
      </c>
      <c r="G534">
        <v>48</v>
      </c>
      <c r="H534">
        <v>101</v>
      </c>
      <c r="I534">
        <v>302</v>
      </c>
      <c r="J534">
        <v>64</v>
      </c>
      <c r="K534">
        <v>19</v>
      </c>
      <c r="L534">
        <v>35</v>
      </c>
      <c r="M534">
        <v>47</v>
      </c>
      <c r="N534">
        <v>21</v>
      </c>
      <c r="O534">
        <v>55</v>
      </c>
      <c r="P534">
        <v>8</v>
      </c>
      <c r="Q534">
        <v>0</v>
      </c>
    </row>
    <row r="535" spans="1:17" x14ac:dyDescent="0.45">
      <c r="A535" t="s">
        <v>79</v>
      </c>
      <c r="B535" t="s">
        <v>21</v>
      </c>
      <c r="C535">
        <v>10</v>
      </c>
      <c r="D535">
        <v>1186</v>
      </c>
      <c r="E535">
        <v>94</v>
      </c>
      <c r="F535">
        <v>81</v>
      </c>
      <c r="G535">
        <v>180</v>
      </c>
      <c r="H535">
        <v>34</v>
      </c>
      <c r="I535">
        <v>374</v>
      </c>
      <c r="J535">
        <v>38</v>
      </c>
      <c r="K535">
        <v>55</v>
      </c>
      <c r="L535">
        <v>56</v>
      </c>
      <c r="M535">
        <v>61</v>
      </c>
      <c r="N535">
        <v>42</v>
      </c>
      <c r="O535">
        <v>48</v>
      </c>
      <c r="P535">
        <v>27</v>
      </c>
      <c r="Q535">
        <v>0</v>
      </c>
    </row>
    <row r="536" spans="1:17" x14ac:dyDescent="0.45">
      <c r="A536" t="s">
        <v>79</v>
      </c>
      <c r="B536" t="s">
        <v>20</v>
      </c>
      <c r="C536">
        <v>11</v>
      </c>
      <c r="D536">
        <v>869</v>
      </c>
      <c r="E536">
        <v>59</v>
      </c>
      <c r="F536">
        <v>40</v>
      </c>
      <c r="G536">
        <v>69</v>
      </c>
      <c r="H536">
        <v>146</v>
      </c>
      <c r="I536">
        <v>341</v>
      </c>
      <c r="J536">
        <v>57</v>
      </c>
      <c r="K536">
        <v>52</v>
      </c>
      <c r="L536">
        <v>39</v>
      </c>
      <c r="M536">
        <v>50</v>
      </c>
      <c r="N536">
        <v>35</v>
      </c>
      <c r="O536">
        <v>62</v>
      </c>
      <c r="P536">
        <v>13</v>
      </c>
      <c r="Q536">
        <v>0</v>
      </c>
    </row>
    <row r="537" spans="1:17" x14ac:dyDescent="0.45">
      <c r="A537" t="s">
        <v>79</v>
      </c>
      <c r="B537" t="s">
        <v>21</v>
      </c>
      <c r="C537">
        <v>11</v>
      </c>
      <c r="D537">
        <v>974</v>
      </c>
      <c r="E537">
        <v>37</v>
      </c>
      <c r="F537">
        <v>76</v>
      </c>
      <c r="G537">
        <v>127</v>
      </c>
      <c r="H537">
        <v>71</v>
      </c>
      <c r="I537">
        <v>254</v>
      </c>
      <c r="J537">
        <v>38</v>
      </c>
      <c r="K537">
        <v>65</v>
      </c>
      <c r="L537">
        <v>35</v>
      </c>
      <c r="M537">
        <v>23</v>
      </c>
      <c r="N537">
        <v>43</v>
      </c>
      <c r="O537">
        <v>63</v>
      </c>
      <c r="P537">
        <v>16</v>
      </c>
      <c r="Q537">
        <v>0</v>
      </c>
    </row>
    <row r="538" spans="1:17" x14ac:dyDescent="0.45">
      <c r="A538" t="s">
        <v>79</v>
      </c>
      <c r="B538" t="s">
        <v>20</v>
      </c>
      <c r="C538">
        <v>12</v>
      </c>
      <c r="D538">
        <v>879</v>
      </c>
      <c r="E538">
        <v>30</v>
      </c>
      <c r="F538">
        <v>34</v>
      </c>
      <c r="G538">
        <v>129</v>
      </c>
      <c r="H538">
        <v>22</v>
      </c>
      <c r="I538">
        <v>162</v>
      </c>
      <c r="J538">
        <v>37</v>
      </c>
      <c r="K538">
        <v>76</v>
      </c>
      <c r="L538">
        <v>34</v>
      </c>
      <c r="M538">
        <v>24</v>
      </c>
      <c r="N538">
        <v>38</v>
      </c>
      <c r="O538">
        <v>52</v>
      </c>
      <c r="P538">
        <v>16</v>
      </c>
      <c r="Q538">
        <v>2</v>
      </c>
    </row>
    <row r="539" spans="1:17" x14ac:dyDescent="0.45">
      <c r="A539" t="s">
        <v>79</v>
      </c>
      <c r="B539" t="s">
        <v>21</v>
      </c>
      <c r="C539">
        <v>12</v>
      </c>
      <c r="D539">
        <v>1019</v>
      </c>
      <c r="E539">
        <v>53</v>
      </c>
      <c r="F539">
        <v>40</v>
      </c>
      <c r="G539">
        <v>164</v>
      </c>
      <c r="H539">
        <v>37</v>
      </c>
      <c r="I539">
        <v>195</v>
      </c>
      <c r="J539">
        <v>42</v>
      </c>
      <c r="K539">
        <v>80</v>
      </c>
      <c r="L539">
        <v>59</v>
      </c>
      <c r="M539">
        <v>33</v>
      </c>
      <c r="N539">
        <v>50</v>
      </c>
      <c r="O539">
        <v>70</v>
      </c>
      <c r="P539">
        <v>22</v>
      </c>
      <c r="Q539">
        <v>4</v>
      </c>
    </row>
    <row r="540" spans="1:17" x14ac:dyDescent="0.45">
      <c r="A540" t="s">
        <v>77</v>
      </c>
      <c r="B540" t="s">
        <v>20</v>
      </c>
      <c r="C540">
        <v>1</v>
      </c>
      <c r="D540">
        <v>496</v>
      </c>
      <c r="E540">
        <v>29</v>
      </c>
      <c r="F540">
        <v>20</v>
      </c>
      <c r="G540">
        <v>94</v>
      </c>
      <c r="H540">
        <v>1</v>
      </c>
      <c r="I540">
        <v>83</v>
      </c>
      <c r="J540">
        <v>14</v>
      </c>
      <c r="K540">
        <v>38</v>
      </c>
      <c r="L540">
        <v>13</v>
      </c>
      <c r="M540">
        <v>9</v>
      </c>
      <c r="N540">
        <v>31</v>
      </c>
      <c r="O540">
        <v>25</v>
      </c>
      <c r="P540">
        <v>11</v>
      </c>
      <c r="Q540">
        <v>0</v>
      </c>
    </row>
    <row r="541" spans="1:17" x14ac:dyDescent="0.45">
      <c r="A541" t="s">
        <v>77</v>
      </c>
      <c r="B541" t="s">
        <v>21</v>
      </c>
      <c r="C541">
        <v>1</v>
      </c>
      <c r="D541">
        <v>559</v>
      </c>
      <c r="E541">
        <v>43</v>
      </c>
      <c r="F541">
        <v>21</v>
      </c>
      <c r="G541">
        <v>78</v>
      </c>
      <c r="H541">
        <v>7</v>
      </c>
      <c r="I541">
        <v>96</v>
      </c>
      <c r="J541">
        <v>14</v>
      </c>
      <c r="K541">
        <v>51</v>
      </c>
      <c r="L541">
        <v>15</v>
      </c>
      <c r="M541">
        <v>13</v>
      </c>
      <c r="N541">
        <v>24</v>
      </c>
      <c r="O541">
        <v>27</v>
      </c>
      <c r="P541">
        <v>9</v>
      </c>
      <c r="Q541">
        <v>5</v>
      </c>
    </row>
    <row r="542" spans="1:17" x14ac:dyDescent="0.45">
      <c r="A542" t="s">
        <v>77</v>
      </c>
      <c r="B542" t="s">
        <v>20</v>
      </c>
      <c r="C542">
        <v>2</v>
      </c>
      <c r="D542">
        <v>496</v>
      </c>
      <c r="E542">
        <v>27</v>
      </c>
      <c r="F542">
        <v>18</v>
      </c>
      <c r="G542">
        <v>56</v>
      </c>
      <c r="H542">
        <v>16</v>
      </c>
      <c r="I542">
        <v>104</v>
      </c>
      <c r="J542">
        <v>13</v>
      </c>
      <c r="K542">
        <v>41</v>
      </c>
      <c r="L542">
        <v>14</v>
      </c>
      <c r="M542">
        <v>7</v>
      </c>
      <c r="N542">
        <v>13</v>
      </c>
      <c r="O542">
        <v>36</v>
      </c>
      <c r="P542">
        <v>9</v>
      </c>
      <c r="Q542">
        <v>3</v>
      </c>
    </row>
    <row r="543" spans="1:17" x14ac:dyDescent="0.45">
      <c r="A543" t="s">
        <v>77</v>
      </c>
      <c r="B543" t="s">
        <v>21</v>
      </c>
      <c r="C543">
        <v>2</v>
      </c>
      <c r="D543">
        <v>515</v>
      </c>
      <c r="E543">
        <v>31</v>
      </c>
      <c r="F543">
        <v>4</v>
      </c>
      <c r="G543">
        <v>33</v>
      </c>
      <c r="H543">
        <v>33</v>
      </c>
      <c r="I543">
        <v>105</v>
      </c>
      <c r="J543">
        <v>15</v>
      </c>
      <c r="K543">
        <v>42</v>
      </c>
      <c r="L543">
        <v>7</v>
      </c>
      <c r="M543">
        <v>5</v>
      </c>
      <c r="N543">
        <v>25</v>
      </c>
      <c r="O543">
        <v>23</v>
      </c>
      <c r="P543">
        <v>6</v>
      </c>
      <c r="Q543">
        <v>0</v>
      </c>
    </row>
    <row r="544" spans="1:17" x14ac:dyDescent="0.45">
      <c r="A544" t="s">
        <v>77</v>
      </c>
      <c r="B544" t="s">
        <v>20</v>
      </c>
      <c r="C544">
        <v>3</v>
      </c>
      <c r="D544">
        <v>557</v>
      </c>
      <c r="E544">
        <v>39</v>
      </c>
      <c r="F544">
        <v>29</v>
      </c>
      <c r="G544">
        <v>137</v>
      </c>
      <c r="H544">
        <v>18</v>
      </c>
      <c r="I544">
        <v>104</v>
      </c>
      <c r="J544">
        <v>19</v>
      </c>
      <c r="K544">
        <v>99</v>
      </c>
      <c r="L544">
        <v>36</v>
      </c>
      <c r="M544">
        <v>17</v>
      </c>
      <c r="N544">
        <v>117</v>
      </c>
      <c r="O544">
        <v>62</v>
      </c>
      <c r="P544">
        <v>47</v>
      </c>
      <c r="Q544">
        <v>8</v>
      </c>
    </row>
    <row r="545" spans="1:17" x14ac:dyDescent="0.45">
      <c r="A545" t="s">
        <v>77</v>
      </c>
      <c r="B545" t="s">
        <v>21</v>
      </c>
      <c r="C545">
        <v>3</v>
      </c>
      <c r="D545">
        <v>634</v>
      </c>
      <c r="E545">
        <v>28</v>
      </c>
      <c r="F545">
        <v>44</v>
      </c>
      <c r="G545">
        <v>106</v>
      </c>
      <c r="H545">
        <v>13</v>
      </c>
      <c r="I545">
        <v>119</v>
      </c>
      <c r="J545">
        <v>30</v>
      </c>
      <c r="K545">
        <v>113</v>
      </c>
      <c r="L545">
        <v>35</v>
      </c>
      <c r="M545">
        <v>40</v>
      </c>
      <c r="N545">
        <v>177</v>
      </c>
      <c r="O545">
        <v>75</v>
      </c>
      <c r="P545">
        <v>93</v>
      </c>
      <c r="Q545">
        <v>4</v>
      </c>
    </row>
    <row r="546" spans="1:17" x14ac:dyDescent="0.45">
      <c r="A546" t="s">
        <v>77</v>
      </c>
      <c r="B546" t="s">
        <v>20</v>
      </c>
      <c r="C546">
        <v>4</v>
      </c>
      <c r="D546">
        <v>616</v>
      </c>
      <c r="E546">
        <v>49</v>
      </c>
      <c r="F546">
        <v>56</v>
      </c>
      <c r="G546">
        <v>151</v>
      </c>
      <c r="H546">
        <v>15</v>
      </c>
      <c r="I546">
        <v>138</v>
      </c>
      <c r="J546">
        <v>52</v>
      </c>
      <c r="K546">
        <v>256</v>
      </c>
      <c r="L546">
        <v>105</v>
      </c>
      <c r="M546">
        <v>62</v>
      </c>
      <c r="N546">
        <v>253</v>
      </c>
      <c r="O546">
        <v>175</v>
      </c>
      <c r="P546">
        <v>129</v>
      </c>
      <c r="Q546">
        <v>4</v>
      </c>
    </row>
    <row r="547" spans="1:17" x14ac:dyDescent="0.45">
      <c r="A547" t="s">
        <v>77</v>
      </c>
      <c r="B547" t="s">
        <v>21</v>
      </c>
      <c r="C547">
        <v>4</v>
      </c>
      <c r="D547">
        <v>655</v>
      </c>
      <c r="E547">
        <v>46</v>
      </c>
      <c r="F547">
        <v>38</v>
      </c>
      <c r="G547">
        <v>150</v>
      </c>
      <c r="H547">
        <v>27</v>
      </c>
      <c r="I547">
        <v>143</v>
      </c>
      <c r="J547">
        <v>51</v>
      </c>
      <c r="K547">
        <v>207</v>
      </c>
      <c r="L547">
        <v>85</v>
      </c>
      <c r="M547">
        <v>54</v>
      </c>
      <c r="N547">
        <v>250</v>
      </c>
      <c r="O547">
        <v>107</v>
      </c>
      <c r="P547">
        <v>108</v>
      </c>
      <c r="Q547">
        <v>10</v>
      </c>
    </row>
    <row r="548" spans="1:17" x14ac:dyDescent="0.45">
      <c r="A548" t="s">
        <v>77</v>
      </c>
      <c r="B548" t="s">
        <v>20</v>
      </c>
      <c r="C548">
        <v>5</v>
      </c>
      <c r="D548">
        <v>558</v>
      </c>
      <c r="E548">
        <v>47</v>
      </c>
      <c r="F548">
        <v>52</v>
      </c>
      <c r="G548">
        <v>110</v>
      </c>
      <c r="H548">
        <v>11</v>
      </c>
      <c r="I548">
        <v>142</v>
      </c>
      <c r="J548">
        <v>50</v>
      </c>
      <c r="K548">
        <v>104</v>
      </c>
      <c r="L548">
        <v>62</v>
      </c>
      <c r="M548">
        <v>36</v>
      </c>
      <c r="N548">
        <v>151</v>
      </c>
      <c r="O548">
        <v>105</v>
      </c>
      <c r="P548">
        <v>68</v>
      </c>
      <c r="Q548">
        <v>2</v>
      </c>
    </row>
    <row r="549" spans="1:17" x14ac:dyDescent="0.45">
      <c r="A549" t="s">
        <v>77</v>
      </c>
      <c r="B549" t="s">
        <v>21</v>
      </c>
      <c r="C549">
        <v>5</v>
      </c>
      <c r="D549">
        <v>605</v>
      </c>
      <c r="E549">
        <v>42</v>
      </c>
      <c r="F549">
        <v>26</v>
      </c>
      <c r="G549">
        <v>112</v>
      </c>
      <c r="H549">
        <v>30</v>
      </c>
      <c r="I549">
        <v>163</v>
      </c>
      <c r="J549">
        <v>43</v>
      </c>
      <c r="K549">
        <v>133</v>
      </c>
      <c r="L549">
        <v>82</v>
      </c>
      <c r="M549">
        <v>34</v>
      </c>
      <c r="N549">
        <v>204</v>
      </c>
      <c r="O549">
        <v>108</v>
      </c>
      <c r="P549">
        <v>80</v>
      </c>
      <c r="Q549">
        <v>2</v>
      </c>
    </row>
    <row r="550" spans="1:17" x14ac:dyDescent="0.45">
      <c r="A550" t="s">
        <v>77</v>
      </c>
      <c r="B550" t="s">
        <v>20</v>
      </c>
      <c r="C550">
        <v>6</v>
      </c>
      <c r="D550">
        <v>675</v>
      </c>
      <c r="E550">
        <v>50</v>
      </c>
      <c r="F550">
        <v>27</v>
      </c>
      <c r="G550">
        <v>98</v>
      </c>
      <c r="H550">
        <v>3</v>
      </c>
      <c r="I550">
        <v>1485</v>
      </c>
      <c r="J550">
        <v>32</v>
      </c>
      <c r="K550">
        <v>73</v>
      </c>
      <c r="L550">
        <v>39</v>
      </c>
      <c r="M550">
        <v>25</v>
      </c>
      <c r="N550">
        <v>69</v>
      </c>
      <c r="O550">
        <v>70</v>
      </c>
      <c r="P550">
        <v>42</v>
      </c>
      <c r="Q550">
        <v>0</v>
      </c>
    </row>
    <row r="551" spans="1:17" x14ac:dyDescent="0.45">
      <c r="A551" t="s">
        <v>77</v>
      </c>
      <c r="B551" t="s">
        <v>21</v>
      </c>
      <c r="C551">
        <v>6</v>
      </c>
      <c r="D551">
        <v>611</v>
      </c>
      <c r="E551">
        <v>60</v>
      </c>
      <c r="F551">
        <v>50</v>
      </c>
      <c r="G551">
        <v>109</v>
      </c>
      <c r="H551">
        <v>23</v>
      </c>
      <c r="I551">
        <v>178</v>
      </c>
      <c r="J551">
        <v>37</v>
      </c>
      <c r="K551">
        <v>59</v>
      </c>
      <c r="L551">
        <v>33</v>
      </c>
      <c r="M551">
        <v>34</v>
      </c>
      <c r="N551">
        <v>88</v>
      </c>
      <c r="O551">
        <v>62</v>
      </c>
      <c r="P551">
        <v>33</v>
      </c>
      <c r="Q551">
        <v>3</v>
      </c>
    </row>
    <row r="552" spans="1:17" x14ac:dyDescent="0.45">
      <c r="A552" t="s">
        <v>77</v>
      </c>
      <c r="B552" t="s">
        <v>20</v>
      </c>
      <c r="C552">
        <v>7</v>
      </c>
      <c r="D552">
        <v>534</v>
      </c>
      <c r="E552">
        <v>45</v>
      </c>
      <c r="F552">
        <v>30</v>
      </c>
      <c r="G552">
        <v>61</v>
      </c>
      <c r="H552">
        <v>28</v>
      </c>
      <c r="I552">
        <v>159</v>
      </c>
      <c r="J552">
        <v>18</v>
      </c>
      <c r="K552">
        <v>37</v>
      </c>
      <c r="L552">
        <v>24</v>
      </c>
      <c r="M552">
        <v>27</v>
      </c>
      <c r="N552">
        <v>45</v>
      </c>
      <c r="O552">
        <v>50</v>
      </c>
      <c r="P552">
        <v>19</v>
      </c>
      <c r="Q552">
        <v>2</v>
      </c>
    </row>
    <row r="553" spans="1:17" x14ac:dyDescent="0.45">
      <c r="A553" t="s">
        <v>77</v>
      </c>
      <c r="B553" t="s">
        <v>21</v>
      </c>
      <c r="C553">
        <v>7</v>
      </c>
      <c r="D553">
        <v>571</v>
      </c>
      <c r="E553">
        <v>36</v>
      </c>
      <c r="F553">
        <v>16</v>
      </c>
      <c r="G553">
        <v>40</v>
      </c>
      <c r="H553">
        <v>32</v>
      </c>
      <c r="I553">
        <v>176</v>
      </c>
      <c r="J553">
        <v>23</v>
      </c>
      <c r="K553">
        <v>23</v>
      </c>
      <c r="L553">
        <v>17</v>
      </c>
      <c r="M553">
        <v>12</v>
      </c>
      <c r="N553">
        <v>34</v>
      </c>
      <c r="O553">
        <v>35</v>
      </c>
      <c r="P553">
        <v>14</v>
      </c>
      <c r="Q553">
        <v>0</v>
      </c>
    </row>
    <row r="554" spans="1:17" x14ac:dyDescent="0.45">
      <c r="A554" t="s">
        <v>77</v>
      </c>
      <c r="B554" t="s">
        <v>20</v>
      </c>
      <c r="C554">
        <v>8</v>
      </c>
      <c r="D554">
        <v>422</v>
      </c>
      <c r="E554">
        <v>36</v>
      </c>
      <c r="F554">
        <v>147</v>
      </c>
      <c r="G554">
        <v>31</v>
      </c>
      <c r="H554">
        <v>15</v>
      </c>
      <c r="I554">
        <v>127</v>
      </c>
      <c r="J554">
        <v>13</v>
      </c>
      <c r="K554">
        <v>6</v>
      </c>
      <c r="L554">
        <v>5</v>
      </c>
      <c r="M554">
        <v>13</v>
      </c>
      <c r="N554">
        <v>20</v>
      </c>
      <c r="O554">
        <v>15</v>
      </c>
      <c r="P554">
        <v>4</v>
      </c>
      <c r="Q554">
        <v>0</v>
      </c>
    </row>
    <row r="555" spans="1:17" x14ac:dyDescent="0.45">
      <c r="A555" t="s">
        <v>77</v>
      </c>
      <c r="B555" t="s">
        <v>21</v>
      </c>
      <c r="C555">
        <v>8</v>
      </c>
      <c r="D555">
        <v>486</v>
      </c>
      <c r="E555">
        <v>25</v>
      </c>
      <c r="F555">
        <v>15</v>
      </c>
      <c r="G555">
        <v>44</v>
      </c>
      <c r="H555">
        <v>7</v>
      </c>
      <c r="I555">
        <v>75</v>
      </c>
      <c r="J555">
        <v>15</v>
      </c>
      <c r="K555">
        <v>6</v>
      </c>
      <c r="L555">
        <v>7</v>
      </c>
      <c r="M555">
        <v>15</v>
      </c>
      <c r="N555">
        <v>18</v>
      </c>
      <c r="O555">
        <v>16</v>
      </c>
      <c r="P555">
        <v>6</v>
      </c>
      <c r="Q555">
        <v>0</v>
      </c>
    </row>
    <row r="556" spans="1:17" x14ac:dyDescent="0.45">
      <c r="A556" t="s">
        <v>77</v>
      </c>
      <c r="B556" t="s">
        <v>20</v>
      </c>
      <c r="C556">
        <v>9</v>
      </c>
      <c r="D556">
        <v>528</v>
      </c>
      <c r="E556">
        <v>31</v>
      </c>
      <c r="F556">
        <v>18</v>
      </c>
      <c r="G556">
        <v>45</v>
      </c>
      <c r="H556">
        <v>35</v>
      </c>
      <c r="I556">
        <v>180</v>
      </c>
      <c r="J556">
        <v>30</v>
      </c>
      <c r="K556">
        <v>14</v>
      </c>
      <c r="L556">
        <v>9</v>
      </c>
      <c r="M556">
        <v>22</v>
      </c>
      <c r="N556">
        <v>12</v>
      </c>
      <c r="O556">
        <v>34</v>
      </c>
      <c r="P556">
        <v>8</v>
      </c>
      <c r="Q556">
        <v>0</v>
      </c>
    </row>
    <row r="557" spans="1:17" x14ac:dyDescent="0.45">
      <c r="A557" t="s">
        <v>77</v>
      </c>
      <c r="B557" t="s">
        <v>21</v>
      </c>
      <c r="C557">
        <v>9</v>
      </c>
      <c r="D557">
        <v>562</v>
      </c>
      <c r="E557">
        <v>32</v>
      </c>
      <c r="F557">
        <v>25</v>
      </c>
      <c r="G557">
        <v>48</v>
      </c>
      <c r="H557">
        <v>10</v>
      </c>
      <c r="I557">
        <v>137</v>
      </c>
      <c r="J557">
        <v>19</v>
      </c>
      <c r="K557">
        <v>13</v>
      </c>
      <c r="L557">
        <v>7</v>
      </c>
      <c r="M557">
        <v>20</v>
      </c>
      <c r="N557">
        <v>18</v>
      </c>
      <c r="O557">
        <v>18</v>
      </c>
      <c r="P557">
        <v>4</v>
      </c>
      <c r="Q557">
        <v>0</v>
      </c>
    </row>
    <row r="558" spans="1:17" x14ac:dyDescent="0.45">
      <c r="A558" t="s">
        <v>77</v>
      </c>
      <c r="B558" t="s">
        <v>20</v>
      </c>
      <c r="C558">
        <v>10</v>
      </c>
      <c r="D558">
        <v>658</v>
      </c>
      <c r="E558">
        <v>52</v>
      </c>
      <c r="F558">
        <v>60</v>
      </c>
      <c r="G558">
        <v>61</v>
      </c>
      <c r="H558">
        <v>48</v>
      </c>
      <c r="I558">
        <v>202</v>
      </c>
      <c r="J558">
        <v>38</v>
      </c>
      <c r="K558">
        <v>34</v>
      </c>
      <c r="L558">
        <v>28</v>
      </c>
      <c r="M558">
        <v>36</v>
      </c>
      <c r="N558">
        <v>29</v>
      </c>
      <c r="O558">
        <v>48</v>
      </c>
      <c r="P558">
        <v>11</v>
      </c>
      <c r="Q558">
        <v>0</v>
      </c>
    </row>
    <row r="559" spans="1:17" x14ac:dyDescent="0.45">
      <c r="A559" t="s">
        <v>77</v>
      </c>
      <c r="B559" t="s">
        <v>21</v>
      </c>
      <c r="C559">
        <v>10</v>
      </c>
      <c r="D559">
        <v>752</v>
      </c>
      <c r="E559">
        <v>46</v>
      </c>
      <c r="F559">
        <v>44</v>
      </c>
      <c r="G559">
        <v>95</v>
      </c>
      <c r="H559">
        <v>17</v>
      </c>
      <c r="I559">
        <v>203</v>
      </c>
      <c r="J559">
        <v>45</v>
      </c>
      <c r="K559">
        <v>38</v>
      </c>
      <c r="L559">
        <v>16</v>
      </c>
      <c r="M559">
        <v>34</v>
      </c>
      <c r="N559">
        <v>48</v>
      </c>
      <c r="O559">
        <v>50</v>
      </c>
      <c r="P559">
        <v>11</v>
      </c>
      <c r="Q559">
        <v>1</v>
      </c>
    </row>
    <row r="560" spans="1:17" x14ac:dyDescent="0.45">
      <c r="A560" t="s">
        <v>77</v>
      </c>
      <c r="B560" t="s">
        <v>20</v>
      </c>
      <c r="C560">
        <v>11</v>
      </c>
      <c r="D560">
        <v>608</v>
      </c>
      <c r="E560">
        <v>51</v>
      </c>
      <c r="F560">
        <v>33</v>
      </c>
      <c r="G560">
        <v>78</v>
      </c>
      <c r="H560">
        <v>32</v>
      </c>
      <c r="I560">
        <v>154</v>
      </c>
      <c r="J560">
        <v>24</v>
      </c>
      <c r="K560">
        <v>45</v>
      </c>
      <c r="L560">
        <v>23</v>
      </c>
      <c r="M560">
        <v>43</v>
      </c>
      <c r="N560">
        <v>49</v>
      </c>
      <c r="O560">
        <v>41</v>
      </c>
      <c r="P560">
        <v>17</v>
      </c>
      <c r="Q560">
        <v>0</v>
      </c>
    </row>
    <row r="561" spans="1:17" x14ac:dyDescent="0.45">
      <c r="A561" t="s">
        <v>77</v>
      </c>
      <c r="B561" t="s">
        <v>21</v>
      </c>
      <c r="C561">
        <v>11</v>
      </c>
      <c r="D561">
        <v>659</v>
      </c>
      <c r="E561">
        <v>41</v>
      </c>
      <c r="F561">
        <v>27</v>
      </c>
      <c r="G561">
        <v>70</v>
      </c>
      <c r="H561">
        <v>28</v>
      </c>
      <c r="I561">
        <v>159</v>
      </c>
      <c r="J561">
        <v>25</v>
      </c>
      <c r="K561">
        <v>19</v>
      </c>
      <c r="L561">
        <v>12</v>
      </c>
      <c r="M561">
        <v>30</v>
      </c>
      <c r="N561">
        <v>35</v>
      </c>
      <c r="O561">
        <v>37</v>
      </c>
      <c r="P561">
        <v>9</v>
      </c>
      <c r="Q561">
        <v>3</v>
      </c>
    </row>
    <row r="562" spans="1:17" x14ac:dyDescent="0.45">
      <c r="A562" t="s">
        <v>77</v>
      </c>
      <c r="B562" t="s">
        <v>20</v>
      </c>
      <c r="C562">
        <v>12</v>
      </c>
      <c r="D562">
        <v>605</v>
      </c>
      <c r="E562">
        <v>36</v>
      </c>
      <c r="F562">
        <v>55</v>
      </c>
      <c r="G562">
        <v>107</v>
      </c>
      <c r="H562">
        <v>9</v>
      </c>
      <c r="I562">
        <v>159</v>
      </c>
      <c r="J562">
        <v>30</v>
      </c>
      <c r="K562">
        <v>75</v>
      </c>
      <c r="L562">
        <v>33</v>
      </c>
      <c r="M562">
        <v>23</v>
      </c>
      <c r="N562">
        <v>32</v>
      </c>
      <c r="O562">
        <v>43</v>
      </c>
      <c r="P562">
        <v>13</v>
      </c>
      <c r="Q562">
        <v>4</v>
      </c>
    </row>
    <row r="563" spans="1:17" x14ac:dyDescent="0.45">
      <c r="A563" t="s">
        <v>77</v>
      </c>
      <c r="B563" t="s">
        <v>21</v>
      </c>
      <c r="C563">
        <v>12</v>
      </c>
      <c r="D563">
        <v>640</v>
      </c>
      <c r="E563">
        <v>42</v>
      </c>
      <c r="F563">
        <v>22</v>
      </c>
      <c r="G563">
        <v>96</v>
      </c>
      <c r="H563">
        <v>14</v>
      </c>
      <c r="I563">
        <v>129</v>
      </c>
      <c r="J563">
        <v>17</v>
      </c>
      <c r="K563">
        <v>45</v>
      </c>
      <c r="L563">
        <v>13</v>
      </c>
      <c r="M563">
        <v>23</v>
      </c>
      <c r="N563">
        <v>46</v>
      </c>
      <c r="O563">
        <v>35</v>
      </c>
      <c r="P563">
        <v>16</v>
      </c>
      <c r="Q563">
        <v>0</v>
      </c>
    </row>
    <row r="564" spans="1:17" x14ac:dyDescent="0.45">
      <c r="A564" t="s">
        <v>82</v>
      </c>
      <c r="B564" t="s">
        <v>20</v>
      </c>
      <c r="C564">
        <v>1</v>
      </c>
      <c r="D564">
        <v>298</v>
      </c>
      <c r="E564">
        <v>24</v>
      </c>
      <c r="F564">
        <v>13</v>
      </c>
      <c r="G564">
        <v>50</v>
      </c>
      <c r="H564">
        <v>7</v>
      </c>
      <c r="I564">
        <v>64</v>
      </c>
      <c r="J564">
        <v>12</v>
      </c>
      <c r="K564">
        <v>38</v>
      </c>
      <c r="L564">
        <v>11</v>
      </c>
      <c r="M564">
        <v>8</v>
      </c>
      <c r="N564">
        <v>15</v>
      </c>
      <c r="O564">
        <v>23</v>
      </c>
      <c r="P564">
        <v>3</v>
      </c>
      <c r="Q564">
        <v>0</v>
      </c>
    </row>
    <row r="565" spans="1:17" x14ac:dyDescent="0.45">
      <c r="A565" t="s">
        <v>82</v>
      </c>
      <c r="B565" t="s">
        <v>21</v>
      </c>
      <c r="C565">
        <v>1</v>
      </c>
      <c r="D565">
        <v>306</v>
      </c>
      <c r="E565">
        <v>16</v>
      </c>
      <c r="F565">
        <v>15</v>
      </c>
      <c r="G565">
        <v>42</v>
      </c>
      <c r="H565">
        <v>5</v>
      </c>
      <c r="I565">
        <v>53</v>
      </c>
      <c r="J565">
        <v>9</v>
      </c>
      <c r="K565">
        <v>51</v>
      </c>
      <c r="L565">
        <v>11</v>
      </c>
      <c r="M565">
        <v>7</v>
      </c>
      <c r="N565">
        <v>17</v>
      </c>
      <c r="O565">
        <v>21</v>
      </c>
      <c r="P565">
        <v>14</v>
      </c>
      <c r="Q565">
        <v>5</v>
      </c>
    </row>
    <row r="566" spans="1:17" x14ac:dyDescent="0.45">
      <c r="A566" t="s">
        <v>82</v>
      </c>
      <c r="B566" t="s">
        <v>20</v>
      </c>
      <c r="C566">
        <v>2</v>
      </c>
      <c r="D566">
        <v>266</v>
      </c>
      <c r="E566">
        <v>29</v>
      </c>
      <c r="F566">
        <v>20</v>
      </c>
      <c r="G566">
        <v>28</v>
      </c>
      <c r="H566">
        <v>13</v>
      </c>
      <c r="I566">
        <v>58</v>
      </c>
      <c r="J566">
        <v>10</v>
      </c>
      <c r="K566">
        <v>32</v>
      </c>
      <c r="L566">
        <v>12</v>
      </c>
      <c r="M566">
        <v>9</v>
      </c>
      <c r="N566">
        <v>11</v>
      </c>
      <c r="O566">
        <v>17</v>
      </c>
      <c r="P566">
        <v>8</v>
      </c>
      <c r="Q566">
        <v>0</v>
      </c>
    </row>
    <row r="567" spans="1:17" x14ac:dyDescent="0.45">
      <c r="A567" t="s">
        <v>82</v>
      </c>
      <c r="B567" t="s">
        <v>21</v>
      </c>
      <c r="C567">
        <v>2</v>
      </c>
      <c r="D567">
        <v>320</v>
      </c>
      <c r="E567">
        <v>21</v>
      </c>
      <c r="F567">
        <v>11</v>
      </c>
      <c r="G567">
        <v>18</v>
      </c>
      <c r="H567">
        <v>27</v>
      </c>
      <c r="I567">
        <v>72</v>
      </c>
      <c r="J567">
        <v>6</v>
      </c>
      <c r="K567">
        <v>40</v>
      </c>
      <c r="L567">
        <v>11</v>
      </c>
      <c r="M567">
        <v>3</v>
      </c>
      <c r="N567">
        <v>18</v>
      </c>
      <c r="O567">
        <v>16</v>
      </c>
      <c r="P567">
        <v>7</v>
      </c>
      <c r="Q567">
        <v>0</v>
      </c>
    </row>
    <row r="568" spans="1:17" x14ac:dyDescent="0.45">
      <c r="A568" t="s">
        <v>82</v>
      </c>
      <c r="B568" t="s">
        <v>20</v>
      </c>
      <c r="C568">
        <v>3</v>
      </c>
      <c r="D568">
        <v>357</v>
      </c>
      <c r="E568">
        <v>29</v>
      </c>
      <c r="F568">
        <v>32</v>
      </c>
      <c r="G568">
        <v>61</v>
      </c>
      <c r="H568">
        <v>6</v>
      </c>
      <c r="I568">
        <v>64</v>
      </c>
      <c r="J568">
        <v>13</v>
      </c>
      <c r="K568">
        <v>67</v>
      </c>
      <c r="L568">
        <v>20</v>
      </c>
      <c r="M568">
        <v>6</v>
      </c>
      <c r="N568">
        <v>69</v>
      </c>
      <c r="O568">
        <v>44</v>
      </c>
      <c r="P568">
        <v>51</v>
      </c>
      <c r="Q568">
        <v>6</v>
      </c>
    </row>
    <row r="569" spans="1:17" x14ac:dyDescent="0.45">
      <c r="A569" t="s">
        <v>82</v>
      </c>
      <c r="B569" t="s">
        <v>21</v>
      </c>
      <c r="C569">
        <v>3</v>
      </c>
      <c r="D569">
        <v>387</v>
      </c>
      <c r="E569">
        <v>21</v>
      </c>
      <c r="F569">
        <v>44</v>
      </c>
      <c r="G569">
        <v>66</v>
      </c>
      <c r="H569">
        <v>15</v>
      </c>
      <c r="I569">
        <v>74</v>
      </c>
      <c r="J569">
        <v>26</v>
      </c>
      <c r="K569">
        <v>124</v>
      </c>
      <c r="L569">
        <v>43</v>
      </c>
      <c r="M569">
        <v>36</v>
      </c>
      <c r="N569">
        <v>128</v>
      </c>
      <c r="O569">
        <v>75</v>
      </c>
      <c r="P569">
        <v>107</v>
      </c>
      <c r="Q569">
        <v>18</v>
      </c>
    </row>
    <row r="570" spans="1:17" x14ac:dyDescent="0.45">
      <c r="A570" t="s">
        <v>82</v>
      </c>
      <c r="B570" t="s">
        <v>20</v>
      </c>
      <c r="C570">
        <v>4</v>
      </c>
      <c r="D570">
        <v>330</v>
      </c>
      <c r="E570">
        <v>67</v>
      </c>
      <c r="F570">
        <v>46</v>
      </c>
      <c r="G570">
        <v>96</v>
      </c>
      <c r="H570">
        <v>21</v>
      </c>
      <c r="I570">
        <v>103</v>
      </c>
      <c r="J570">
        <v>48</v>
      </c>
      <c r="K570">
        <v>221</v>
      </c>
      <c r="L570">
        <v>77</v>
      </c>
      <c r="M570">
        <v>26</v>
      </c>
      <c r="N570">
        <v>158</v>
      </c>
      <c r="O570">
        <v>135</v>
      </c>
      <c r="P570">
        <v>124</v>
      </c>
      <c r="Q570">
        <v>5</v>
      </c>
    </row>
    <row r="571" spans="1:17" x14ac:dyDescent="0.45">
      <c r="A571" t="s">
        <v>82</v>
      </c>
      <c r="B571" t="s">
        <v>21</v>
      </c>
      <c r="C571">
        <v>4</v>
      </c>
      <c r="D571">
        <v>394</v>
      </c>
      <c r="E571">
        <v>53</v>
      </c>
      <c r="F571">
        <v>47</v>
      </c>
      <c r="G571">
        <v>78</v>
      </c>
      <c r="H571">
        <v>25</v>
      </c>
      <c r="I571">
        <v>104</v>
      </c>
      <c r="J571">
        <v>30</v>
      </c>
      <c r="K571">
        <v>225</v>
      </c>
      <c r="L571">
        <v>83</v>
      </c>
      <c r="M571">
        <v>28</v>
      </c>
      <c r="N571">
        <v>170</v>
      </c>
      <c r="O571">
        <v>131</v>
      </c>
      <c r="P571">
        <v>95</v>
      </c>
      <c r="Q571">
        <v>10</v>
      </c>
    </row>
    <row r="572" spans="1:17" x14ac:dyDescent="0.45">
      <c r="A572" t="s">
        <v>82</v>
      </c>
      <c r="B572" t="s">
        <v>20</v>
      </c>
      <c r="C572">
        <v>5</v>
      </c>
      <c r="D572">
        <v>262</v>
      </c>
      <c r="E572">
        <v>41</v>
      </c>
      <c r="F572">
        <v>39</v>
      </c>
      <c r="G572">
        <v>70</v>
      </c>
      <c r="H572">
        <v>16</v>
      </c>
      <c r="I572">
        <v>78</v>
      </c>
      <c r="J572">
        <v>12</v>
      </c>
      <c r="K572">
        <v>88</v>
      </c>
      <c r="L572">
        <v>45</v>
      </c>
      <c r="M572">
        <v>8</v>
      </c>
      <c r="N572">
        <v>88</v>
      </c>
      <c r="O572">
        <v>89</v>
      </c>
      <c r="P572">
        <v>34</v>
      </c>
      <c r="Q572">
        <v>8</v>
      </c>
    </row>
    <row r="573" spans="1:17" x14ac:dyDescent="0.45">
      <c r="A573" t="s">
        <v>82</v>
      </c>
      <c r="B573" t="s">
        <v>21</v>
      </c>
      <c r="C573">
        <v>5</v>
      </c>
      <c r="D573">
        <v>366</v>
      </c>
      <c r="E573">
        <v>63</v>
      </c>
      <c r="F573">
        <v>65</v>
      </c>
      <c r="G573">
        <v>71</v>
      </c>
      <c r="H573">
        <v>20</v>
      </c>
      <c r="I573">
        <v>104</v>
      </c>
      <c r="J573">
        <v>40</v>
      </c>
      <c r="K573">
        <v>99</v>
      </c>
      <c r="L573">
        <v>48</v>
      </c>
      <c r="M573">
        <v>21</v>
      </c>
      <c r="N573">
        <v>101</v>
      </c>
      <c r="O573">
        <v>85</v>
      </c>
      <c r="P573">
        <v>42</v>
      </c>
      <c r="Q573">
        <v>2</v>
      </c>
    </row>
    <row r="574" spans="1:17" x14ac:dyDescent="0.45">
      <c r="A574" t="s">
        <v>82</v>
      </c>
      <c r="B574" t="s">
        <v>20</v>
      </c>
      <c r="C574">
        <v>6</v>
      </c>
      <c r="D574">
        <v>347</v>
      </c>
      <c r="E574">
        <v>34</v>
      </c>
      <c r="F574">
        <v>52</v>
      </c>
      <c r="G574">
        <v>50</v>
      </c>
      <c r="H574">
        <v>24</v>
      </c>
      <c r="I574">
        <v>108</v>
      </c>
      <c r="J574">
        <v>16</v>
      </c>
      <c r="K574">
        <v>91</v>
      </c>
      <c r="L574">
        <v>44</v>
      </c>
      <c r="M574">
        <v>23</v>
      </c>
      <c r="N574">
        <v>63</v>
      </c>
      <c r="O574">
        <v>66</v>
      </c>
      <c r="P574">
        <v>31</v>
      </c>
      <c r="Q574">
        <v>13</v>
      </c>
    </row>
    <row r="575" spans="1:17" x14ac:dyDescent="0.45">
      <c r="A575" t="s">
        <v>82</v>
      </c>
      <c r="B575" t="s">
        <v>21</v>
      </c>
      <c r="C575">
        <v>6</v>
      </c>
      <c r="D575">
        <v>346</v>
      </c>
      <c r="E575">
        <v>47</v>
      </c>
      <c r="F575">
        <v>64</v>
      </c>
      <c r="G575">
        <v>95</v>
      </c>
      <c r="H575">
        <v>23</v>
      </c>
      <c r="I575">
        <v>136</v>
      </c>
      <c r="J575">
        <v>25</v>
      </c>
      <c r="K575">
        <v>78</v>
      </c>
      <c r="L575">
        <v>46</v>
      </c>
      <c r="M575">
        <v>14</v>
      </c>
      <c r="N575">
        <v>50</v>
      </c>
      <c r="O575">
        <v>59</v>
      </c>
      <c r="P575">
        <v>27</v>
      </c>
      <c r="Q575">
        <v>4</v>
      </c>
    </row>
    <row r="576" spans="1:17" x14ac:dyDescent="0.45">
      <c r="A576" t="s">
        <v>82</v>
      </c>
      <c r="B576" t="s">
        <v>20</v>
      </c>
      <c r="C576">
        <v>7</v>
      </c>
      <c r="D576">
        <v>327</v>
      </c>
      <c r="E576">
        <v>36</v>
      </c>
      <c r="F576">
        <v>43</v>
      </c>
      <c r="G576">
        <v>43</v>
      </c>
      <c r="H576">
        <v>58</v>
      </c>
      <c r="I576">
        <v>79</v>
      </c>
      <c r="J576">
        <v>7</v>
      </c>
      <c r="K576">
        <v>17</v>
      </c>
      <c r="L576">
        <v>10</v>
      </c>
      <c r="M576">
        <v>16</v>
      </c>
      <c r="N576">
        <v>22</v>
      </c>
      <c r="O576">
        <v>41</v>
      </c>
      <c r="P576">
        <v>18</v>
      </c>
      <c r="Q576">
        <v>0</v>
      </c>
    </row>
    <row r="577" spans="1:17" x14ac:dyDescent="0.45">
      <c r="A577" t="s">
        <v>82</v>
      </c>
      <c r="B577" t="s">
        <v>21</v>
      </c>
      <c r="C577">
        <v>7</v>
      </c>
      <c r="D577">
        <v>347</v>
      </c>
      <c r="E577">
        <v>32</v>
      </c>
      <c r="F577">
        <v>48</v>
      </c>
      <c r="G577">
        <v>55</v>
      </c>
      <c r="H577">
        <v>12</v>
      </c>
      <c r="I577">
        <v>101</v>
      </c>
      <c r="J577">
        <v>12</v>
      </c>
      <c r="K577">
        <v>24</v>
      </c>
      <c r="L577">
        <v>23</v>
      </c>
      <c r="M577">
        <v>16</v>
      </c>
      <c r="N577">
        <v>22</v>
      </c>
      <c r="O577">
        <v>37</v>
      </c>
      <c r="P577">
        <v>12</v>
      </c>
      <c r="Q577">
        <v>6</v>
      </c>
    </row>
    <row r="578" spans="1:17" x14ac:dyDescent="0.45">
      <c r="A578" t="s">
        <v>82</v>
      </c>
      <c r="B578" t="s">
        <v>20</v>
      </c>
      <c r="C578">
        <v>8</v>
      </c>
      <c r="D578">
        <v>254</v>
      </c>
      <c r="E578">
        <v>20</v>
      </c>
      <c r="F578">
        <v>22</v>
      </c>
      <c r="G578">
        <v>15</v>
      </c>
      <c r="H578">
        <v>6</v>
      </c>
      <c r="I578">
        <v>69</v>
      </c>
      <c r="J578">
        <v>10</v>
      </c>
      <c r="K578">
        <v>11</v>
      </c>
      <c r="L578">
        <v>6</v>
      </c>
      <c r="M578">
        <v>10</v>
      </c>
      <c r="N578">
        <v>5</v>
      </c>
      <c r="O578">
        <v>16</v>
      </c>
      <c r="P578">
        <v>2</v>
      </c>
      <c r="Q578">
        <v>0</v>
      </c>
    </row>
    <row r="579" spans="1:17" x14ac:dyDescent="0.45">
      <c r="A579" t="s">
        <v>82</v>
      </c>
      <c r="B579" t="s">
        <v>21</v>
      </c>
      <c r="C579">
        <v>8</v>
      </c>
      <c r="D579">
        <v>325</v>
      </c>
      <c r="E579">
        <v>34</v>
      </c>
      <c r="F579">
        <v>42</v>
      </c>
      <c r="G579">
        <v>47</v>
      </c>
      <c r="H579">
        <v>10</v>
      </c>
      <c r="I579">
        <v>77</v>
      </c>
      <c r="J579">
        <v>12</v>
      </c>
      <c r="K579">
        <v>7</v>
      </c>
      <c r="L579">
        <v>14</v>
      </c>
      <c r="M579">
        <v>14</v>
      </c>
      <c r="N579">
        <v>15</v>
      </c>
      <c r="O579">
        <v>7</v>
      </c>
      <c r="P579">
        <v>5</v>
      </c>
      <c r="Q579">
        <v>0</v>
      </c>
    </row>
    <row r="580" spans="1:17" x14ac:dyDescent="0.45">
      <c r="A580" t="s">
        <v>82</v>
      </c>
      <c r="B580" t="s">
        <v>20</v>
      </c>
      <c r="C580">
        <v>9</v>
      </c>
      <c r="D580">
        <v>290</v>
      </c>
      <c r="E580">
        <v>16</v>
      </c>
      <c r="F580">
        <v>33</v>
      </c>
      <c r="G580">
        <v>15</v>
      </c>
      <c r="H580">
        <v>17</v>
      </c>
      <c r="I580">
        <v>111</v>
      </c>
      <c r="J580">
        <v>19</v>
      </c>
      <c r="K580">
        <v>8</v>
      </c>
      <c r="L580">
        <v>6</v>
      </c>
      <c r="M580">
        <v>17</v>
      </c>
      <c r="N580">
        <v>20</v>
      </c>
      <c r="O580">
        <v>19</v>
      </c>
      <c r="P580">
        <v>1</v>
      </c>
      <c r="Q580">
        <v>0</v>
      </c>
    </row>
    <row r="581" spans="1:17" x14ac:dyDescent="0.45">
      <c r="A581" t="s">
        <v>82</v>
      </c>
      <c r="B581" t="s">
        <v>21</v>
      </c>
      <c r="C581">
        <v>9</v>
      </c>
      <c r="D581">
        <v>393</v>
      </c>
      <c r="E581">
        <v>41</v>
      </c>
      <c r="F581">
        <v>43</v>
      </c>
      <c r="G581">
        <v>29</v>
      </c>
      <c r="H581">
        <v>1</v>
      </c>
      <c r="I581">
        <v>97</v>
      </c>
      <c r="J581">
        <v>10</v>
      </c>
      <c r="K581">
        <v>4</v>
      </c>
      <c r="L581">
        <v>8</v>
      </c>
      <c r="M581">
        <v>22</v>
      </c>
      <c r="N581">
        <v>10</v>
      </c>
      <c r="O581">
        <v>12</v>
      </c>
      <c r="P581">
        <v>1</v>
      </c>
      <c r="Q581">
        <v>0</v>
      </c>
    </row>
    <row r="582" spans="1:17" x14ac:dyDescent="0.45">
      <c r="A582" t="s">
        <v>82</v>
      </c>
      <c r="B582" t="s">
        <v>20</v>
      </c>
      <c r="C582">
        <v>10</v>
      </c>
      <c r="D582">
        <v>421</v>
      </c>
      <c r="E582">
        <v>60</v>
      </c>
      <c r="F582">
        <v>66</v>
      </c>
      <c r="G582">
        <v>16</v>
      </c>
      <c r="H582">
        <v>44</v>
      </c>
      <c r="I582">
        <v>163</v>
      </c>
      <c r="J582">
        <v>30</v>
      </c>
      <c r="K582">
        <v>20</v>
      </c>
      <c r="L582">
        <v>30</v>
      </c>
      <c r="M582">
        <v>27</v>
      </c>
      <c r="N582">
        <v>15</v>
      </c>
      <c r="O582">
        <v>41</v>
      </c>
      <c r="P582">
        <v>5</v>
      </c>
      <c r="Q582">
        <v>0</v>
      </c>
    </row>
    <row r="583" spans="1:17" x14ac:dyDescent="0.45">
      <c r="A583" t="s">
        <v>82</v>
      </c>
      <c r="B583" t="s">
        <v>21</v>
      </c>
      <c r="C583">
        <v>10</v>
      </c>
      <c r="D583">
        <v>533</v>
      </c>
      <c r="E583">
        <v>73</v>
      </c>
      <c r="F583">
        <v>88</v>
      </c>
      <c r="G583">
        <v>84</v>
      </c>
      <c r="H583">
        <v>9</v>
      </c>
      <c r="I583">
        <v>140</v>
      </c>
      <c r="J583">
        <v>44</v>
      </c>
      <c r="K583">
        <v>30</v>
      </c>
      <c r="L583">
        <v>44</v>
      </c>
      <c r="M583">
        <v>38</v>
      </c>
      <c r="N583">
        <v>23</v>
      </c>
      <c r="O583">
        <v>30</v>
      </c>
      <c r="P583">
        <v>5</v>
      </c>
      <c r="Q583">
        <v>0</v>
      </c>
    </row>
    <row r="584" spans="1:17" x14ac:dyDescent="0.45">
      <c r="A584" t="s">
        <v>82</v>
      </c>
      <c r="B584" t="s">
        <v>20</v>
      </c>
      <c r="C584">
        <v>11</v>
      </c>
      <c r="D584">
        <v>356</v>
      </c>
      <c r="E584">
        <v>62</v>
      </c>
      <c r="F584">
        <v>47</v>
      </c>
      <c r="G584">
        <v>60</v>
      </c>
      <c r="H584">
        <v>28</v>
      </c>
      <c r="I584">
        <v>106</v>
      </c>
      <c r="J584">
        <v>16</v>
      </c>
      <c r="K584">
        <v>31</v>
      </c>
      <c r="L584">
        <v>13</v>
      </c>
      <c r="M584">
        <v>21</v>
      </c>
      <c r="N584">
        <v>26</v>
      </c>
      <c r="O584">
        <v>25</v>
      </c>
      <c r="P584">
        <v>17</v>
      </c>
      <c r="Q584">
        <v>0</v>
      </c>
    </row>
    <row r="585" spans="1:17" x14ac:dyDescent="0.45">
      <c r="A585" t="s">
        <v>82</v>
      </c>
      <c r="B585" t="s">
        <v>21</v>
      </c>
      <c r="C585">
        <v>11</v>
      </c>
      <c r="D585">
        <v>400</v>
      </c>
      <c r="E585">
        <v>40</v>
      </c>
      <c r="F585">
        <v>61</v>
      </c>
      <c r="G585">
        <v>38</v>
      </c>
      <c r="H585">
        <v>32</v>
      </c>
      <c r="I585">
        <v>119</v>
      </c>
      <c r="J585">
        <v>14</v>
      </c>
      <c r="K585">
        <v>32</v>
      </c>
      <c r="L585">
        <v>21</v>
      </c>
      <c r="M585">
        <v>24</v>
      </c>
      <c r="N585">
        <v>25</v>
      </c>
      <c r="O585">
        <v>27</v>
      </c>
      <c r="P585">
        <v>13</v>
      </c>
      <c r="Q585">
        <v>0</v>
      </c>
    </row>
    <row r="586" spans="1:17" x14ac:dyDescent="0.45">
      <c r="A586" t="s">
        <v>82</v>
      </c>
      <c r="B586" t="s">
        <v>20</v>
      </c>
      <c r="C586">
        <v>12</v>
      </c>
      <c r="D586">
        <v>325</v>
      </c>
      <c r="E586">
        <v>27</v>
      </c>
      <c r="F586">
        <v>50</v>
      </c>
      <c r="G586">
        <v>61</v>
      </c>
      <c r="H586">
        <v>7</v>
      </c>
      <c r="I586">
        <v>68</v>
      </c>
      <c r="J586">
        <v>22</v>
      </c>
      <c r="K586">
        <v>45</v>
      </c>
      <c r="L586">
        <v>19</v>
      </c>
      <c r="M586">
        <v>19</v>
      </c>
      <c r="N586">
        <v>28</v>
      </c>
      <c r="O586">
        <v>25</v>
      </c>
      <c r="P586">
        <v>3</v>
      </c>
      <c r="Q586">
        <v>0</v>
      </c>
    </row>
    <row r="587" spans="1:17" x14ac:dyDescent="0.45">
      <c r="A587" t="s">
        <v>82</v>
      </c>
      <c r="B587" t="s">
        <v>21</v>
      </c>
      <c r="C587">
        <v>12</v>
      </c>
      <c r="D587">
        <v>412</v>
      </c>
      <c r="E587">
        <v>52</v>
      </c>
      <c r="F587">
        <v>36</v>
      </c>
      <c r="G587">
        <v>76</v>
      </c>
      <c r="H587">
        <v>13</v>
      </c>
      <c r="I587">
        <v>97</v>
      </c>
      <c r="J587">
        <v>17</v>
      </c>
      <c r="K587">
        <v>63</v>
      </c>
      <c r="L587">
        <v>20</v>
      </c>
      <c r="M587">
        <v>12</v>
      </c>
      <c r="N587">
        <v>25</v>
      </c>
      <c r="O587">
        <v>26</v>
      </c>
      <c r="P587">
        <v>9</v>
      </c>
      <c r="Q587">
        <v>0</v>
      </c>
    </row>
    <row r="588" spans="1:17" x14ac:dyDescent="0.45">
      <c r="A588" t="s">
        <v>49</v>
      </c>
      <c r="B588" t="s">
        <v>20</v>
      </c>
      <c r="C588">
        <v>1</v>
      </c>
      <c r="D588">
        <v>966</v>
      </c>
      <c r="E588">
        <v>24</v>
      </c>
      <c r="F588">
        <v>26</v>
      </c>
      <c r="G588">
        <v>108</v>
      </c>
      <c r="H588">
        <v>4</v>
      </c>
      <c r="I588">
        <v>77</v>
      </c>
      <c r="J588">
        <v>11</v>
      </c>
      <c r="K588">
        <v>53</v>
      </c>
      <c r="L588">
        <v>19</v>
      </c>
      <c r="M588">
        <v>19</v>
      </c>
      <c r="N588">
        <v>35</v>
      </c>
      <c r="O588">
        <v>36</v>
      </c>
      <c r="P588">
        <v>8</v>
      </c>
      <c r="Q588">
        <v>0</v>
      </c>
    </row>
    <row r="589" spans="1:17" x14ac:dyDescent="0.45">
      <c r="A589" t="s">
        <v>49</v>
      </c>
      <c r="B589" t="s">
        <v>21</v>
      </c>
      <c r="C589">
        <v>1</v>
      </c>
      <c r="D589">
        <v>1028</v>
      </c>
      <c r="E589">
        <v>16</v>
      </c>
      <c r="F589">
        <v>14</v>
      </c>
      <c r="G589">
        <v>74</v>
      </c>
      <c r="H589">
        <v>5</v>
      </c>
      <c r="I589">
        <v>86</v>
      </c>
      <c r="J589">
        <v>19</v>
      </c>
      <c r="K589">
        <v>53</v>
      </c>
      <c r="L589">
        <v>21</v>
      </c>
      <c r="M589">
        <v>14</v>
      </c>
      <c r="N589">
        <v>34</v>
      </c>
      <c r="O589">
        <v>18</v>
      </c>
      <c r="P589">
        <v>3</v>
      </c>
      <c r="Q589">
        <v>3</v>
      </c>
    </row>
    <row r="590" spans="1:17" x14ac:dyDescent="0.45">
      <c r="A590" t="s">
        <v>49</v>
      </c>
      <c r="B590" t="s">
        <v>20</v>
      </c>
      <c r="C590">
        <v>2</v>
      </c>
      <c r="D590">
        <v>929</v>
      </c>
      <c r="E590">
        <v>115</v>
      </c>
      <c r="F590">
        <v>20</v>
      </c>
      <c r="G590">
        <v>73</v>
      </c>
      <c r="H590">
        <v>15</v>
      </c>
      <c r="I590">
        <v>86</v>
      </c>
      <c r="J590">
        <v>11</v>
      </c>
      <c r="K590">
        <v>32</v>
      </c>
      <c r="L590">
        <v>15</v>
      </c>
      <c r="M590">
        <v>10</v>
      </c>
      <c r="N590">
        <v>21</v>
      </c>
      <c r="O590">
        <v>15</v>
      </c>
      <c r="P590">
        <v>11</v>
      </c>
      <c r="Q590">
        <v>0</v>
      </c>
    </row>
    <row r="591" spans="1:17" x14ac:dyDescent="0.45">
      <c r="A591" t="s">
        <v>49</v>
      </c>
      <c r="B591" t="s">
        <v>21</v>
      </c>
      <c r="C591">
        <v>2</v>
      </c>
      <c r="D591">
        <v>1074</v>
      </c>
      <c r="E591">
        <v>19</v>
      </c>
      <c r="F591">
        <v>14</v>
      </c>
      <c r="G591">
        <v>40</v>
      </c>
      <c r="H591">
        <v>32</v>
      </c>
      <c r="I591">
        <v>96</v>
      </c>
      <c r="J591">
        <v>17</v>
      </c>
      <c r="K591">
        <v>33</v>
      </c>
      <c r="L591">
        <v>12</v>
      </c>
      <c r="M591">
        <v>9</v>
      </c>
      <c r="N591">
        <v>22</v>
      </c>
      <c r="O591">
        <v>17</v>
      </c>
      <c r="P591">
        <v>9</v>
      </c>
      <c r="Q591">
        <v>0</v>
      </c>
    </row>
    <row r="592" spans="1:17" x14ac:dyDescent="0.45">
      <c r="A592" t="s">
        <v>49</v>
      </c>
      <c r="B592" t="s">
        <v>20</v>
      </c>
      <c r="C592">
        <v>3</v>
      </c>
      <c r="D592">
        <v>1187</v>
      </c>
      <c r="E592">
        <v>23</v>
      </c>
      <c r="F592">
        <v>15</v>
      </c>
      <c r="G592">
        <v>136</v>
      </c>
      <c r="H592">
        <v>12</v>
      </c>
      <c r="I592">
        <v>105</v>
      </c>
      <c r="J592">
        <v>27</v>
      </c>
      <c r="K592">
        <v>82</v>
      </c>
      <c r="L592">
        <v>18</v>
      </c>
      <c r="M592">
        <v>14</v>
      </c>
      <c r="N592">
        <v>97</v>
      </c>
      <c r="O592">
        <v>58</v>
      </c>
      <c r="P592">
        <v>61</v>
      </c>
      <c r="Q592">
        <v>10</v>
      </c>
    </row>
    <row r="593" spans="1:17" x14ac:dyDescent="0.45">
      <c r="A593" t="s">
        <v>49</v>
      </c>
      <c r="B593" t="s">
        <v>21</v>
      </c>
      <c r="C593">
        <v>3</v>
      </c>
      <c r="D593">
        <v>1207</v>
      </c>
      <c r="E593">
        <v>29</v>
      </c>
      <c r="F593">
        <v>30</v>
      </c>
      <c r="G593">
        <v>100</v>
      </c>
      <c r="H593">
        <v>9</v>
      </c>
      <c r="I593">
        <v>99</v>
      </c>
      <c r="J593">
        <v>18</v>
      </c>
      <c r="K593">
        <v>96</v>
      </c>
      <c r="L593">
        <v>24</v>
      </c>
      <c r="M593">
        <v>17</v>
      </c>
      <c r="N593">
        <v>131</v>
      </c>
      <c r="O593">
        <v>58</v>
      </c>
      <c r="P593">
        <v>99</v>
      </c>
      <c r="Q593">
        <v>4</v>
      </c>
    </row>
    <row r="594" spans="1:17" x14ac:dyDescent="0.45">
      <c r="A594" t="s">
        <v>49</v>
      </c>
      <c r="B594" t="s">
        <v>20</v>
      </c>
      <c r="C594">
        <v>4</v>
      </c>
      <c r="D594">
        <v>1190</v>
      </c>
      <c r="E594">
        <v>38</v>
      </c>
      <c r="F594">
        <v>23</v>
      </c>
      <c r="G594">
        <v>168</v>
      </c>
      <c r="H594">
        <v>7</v>
      </c>
      <c r="I594">
        <v>123</v>
      </c>
      <c r="J594">
        <v>44</v>
      </c>
      <c r="K594">
        <v>216</v>
      </c>
      <c r="L594">
        <v>73</v>
      </c>
      <c r="M594">
        <v>35</v>
      </c>
      <c r="N594">
        <v>220</v>
      </c>
      <c r="O594">
        <v>109</v>
      </c>
      <c r="P594">
        <v>136</v>
      </c>
      <c r="Q594">
        <v>0</v>
      </c>
    </row>
    <row r="595" spans="1:17" x14ac:dyDescent="0.45">
      <c r="A595" t="s">
        <v>49</v>
      </c>
      <c r="B595" t="s">
        <v>21</v>
      </c>
      <c r="C595">
        <v>4</v>
      </c>
      <c r="D595">
        <v>1357</v>
      </c>
      <c r="E595">
        <v>44</v>
      </c>
      <c r="F595">
        <v>34</v>
      </c>
      <c r="G595">
        <v>167</v>
      </c>
      <c r="H595">
        <v>28</v>
      </c>
      <c r="I595">
        <v>168</v>
      </c>
      <c r="J595">
        <v>43</v>
      </c>
      <c r="K595">
        <v>195</v>
      </c>
      <c r="L595">
        <v>74</v>
      </c>
      <c r="M595">
        <v>29</v>
      </c>
      <c r="N595">
        <v>157</v>
      </c>
      <c r="O595">
        <v>61</v>
      </c>
      <c r="P595">
        <v>74</v>
      </c>
      <c r="Q595">
        <v>0</v>
      </c>
    </row>
    <row r="596" spans="1:17" x14ac:dyDescent="0.45">
      <c r="A596" t="s">
        <v>49</v>
      </c>
      <c r="B596" t="s">
        <v>20</v>
      </c>
      <c r="C596">
        <v>5</v>
      </c>
      <c r="D596">
        <v>1041</v>
      </c>
      <c r="E596">
        <v>32</v>
      </c>
      <c r="F596">
        <v>22</v>
      </c>
      <c r="G596">
        <v>138</v>
      </c>
      <c r="H596">
        <v>18</v>
      </c>
      <c r="I596">
        <v>138</v>
      </c>
      <c r="J596">
        <v>25</v>
      </c>
      <c r="K596">
        <v>101</v>
      </c>
      <c r="L596">
        <v>44</v>
      </c>
      <c r="M596">
        <v>23</v>
      </c>
      <c r="N596">
        <v>89</v>
      </c>
      <c r="O596">
        <v>52</v>
      </c>
      <c r="P596">
        <v>28</v>
      </c>
      <c r="Q596">
        <v>0</v>
      </c>
    </row>
    <row r="597" spans="1:17" x14ac:dyDescent="0.45">
      <c r="A597" t="s">
        <v>49</v>
      </c>
      <c r="B597" t="s">
        <v>21</v>
      </c>
      <c r="C597">
        <v>5</v>
      </c>
      <c r="D597">
        <v>1023</v>
      </c>
      <c r="E597">
        <v>32</v>
      </c>
      <c r="F597">
        <v>17</v>
      </c>
      <c r="G597">
        <v>104</v>
      </c>
      <c r="H597">
        <v>16</v>
      </c>
      <c r="I597">
        <v>134</v>
      </c>
      <c r="J597">
        <v>32</v>
      </c>
      <c r="K597">
        <v>85</v>
      </c>
      <c r="L597">
        <v>42</v>
      </c>
      <c r="M597">
        <v>22</v>
      </c>
      <c r="N597">
        <v>103</v>
      </c>
      <c r="O597">
        <v>64</v>
      </c>
      <c r="P597">
        <v>34</v>
      </c>
      <c r="Q597">
        <v>0</v>
      </c>
    </row>
    <row r="598" spans="1:17" x14ac:dyDescent="0.45">
      <c r="A598" t="s">
        <v>49</v>
      </c>
      <c r="B598" t="s">
        <v>20</v>
      </c>
      <c r="C598">
        <v>6</v>
      </c>
      <c r="D598">
        <v>1253</v>
      </c>
      <c r="E598">
        <v>17</v>
      </c>
      <c r="F598">
        <v>20</v>
      </c>
      <c r="G598">
        <v>108</v>
      </c>
      <c r="H598">
        <v>32</v>
      </c>
      <c r="I598">
        <v>158</v>
      </c>
      <c r="J598">
        <v>22</v>
      </c>
      <c r="K598">
        <v>63</v>
      </c>
      <c r="L598">
        <v>20</v>
      </c>
      <c r="M598">
        <v>20</v>
      </c>
      <c r="N598">
        <v>38</v>
      </c>
      <c r="O598">
        <v>31</v>
      </c>
      <c r="P598">
        <v>13</v>
      </c>
      <c r="Q598">
        <v>0</v>
      </c>
    </row>
    <row r="599" spans="1:17" x14ac:dyDescent="0.45">
      <c r="A599" t="s">
        <v>49</v>
      </c>
      <c r="B599" t="s">
        <v>21</v>
      </c>
      <c r="C599">
        <v>6</v>
      </c>
      <c r="D599">
        <v>1136</v>
      </c>
      <c r="E599">
        <v>40</v>
      </c>
      <c r="F599">
        <v>33</v>
      </c>
      <c r="G599">
        <v>127</v>
      </c>
      <c r="H599">
        <v>22</v>
      </c>
      <c r="I599">
        <v>165</v>
      </c>
      <c r="J599">
        <v>33</v>
      </c>
      <c r="K599">
        <v>65</v>
      </c>
      <c r="L599">
        <v>45</v>
      </c>
      <c r="M599">
        <v>19</v>
      </c>
      <c r="N599">
        <v>65</v>
      </c>
      <c r="O599">
        <v>54</v>
      </c>
      <c r="P599">
        <v>23</v>
      </c>
      <c r="Q599">
        <v>0</v>
      </c>
    </row>
    <row r="600" spans="1:17" x14ac:dyDescent="0.45">
      <c r="A600" t="s">
        <v>49</v>
      </c>
      <c r="B600" t="s">
        <v>20</v>
      </c>
      <c r="C600">
        <v>7</v>
      </c>
      <c r="D600">
        <v>1443</v>
      </c>
      <c r="E600">
        <v>32</v>
      </c>
      <c r="F600">
        <v>25</v>
      </c>
      <c r="G600">
        <v>114</v>
      </c>
      <c r="H600">
        <v>21</v>
      </c>
      <c r="I600">
        <v>214</v>
      </c>
      <c r="J600">
        <v>23</v>
      </c>
      <c r="K600">
        <v>38</v>
      </c>
      <c r="L600">
        <v>19</v>
      </c>
      <c r="M600">
        <v>25</v>
      </c>
      <c r="N600">
        <v>43</v>
      </c>
      <c r="O600">
        <v>42</v>
      </c>
      <c r="P600">
        <v>22</v>
      </c>
      <c r="Q600">
        <v>0</v>
      </c>
    </row>
    <row r="601" spans="1:17" x14ac:dyDescent="0.45">
      <c r="A601" t="s">
        <v>49</v>
      </c>
      <c r="B601" t="s">
        <v>21</v>
      </c>
      <c r="C601">
        <v>7</v>
      </c>
      <c r="D601">
        <v>1330</v>
      </c>
      <c r="E601">
        <v>22</v>
      </c>
      <c r="F601">
        <v>21</v>
      </c>
      <c r="G601">
        <v>56</v>
      </c>
      <c r="H601">
        <v>42</v>
      </c>
      <c r="I601">
        <v>173</v>
      </c>
      <c r="J601">
        <v>23</v>
      </c>
      <c r="K601">
        <v>24</v>
      </c>
      <c r="L601">
        <v>11</v>
      </c>
      <c r="M601">
        <v>12</v>
      </c>
      <c r="N601">
        <v>22</v>
      </c>
      <c r="O601">
        <v>15</v>
      </c>
      <c r="P601">
        <v>9</v>
      </c>
      <c r="Q601">
        <v>0</v>
      </c>
    </row>
    <row r="602" spans="1:17" x14ac:dyDescent="0.45">
      <c r="A602" t="s">
        <v>49</v>
      </c>
      <c r="B602" t="s">
        <v>20</v>
      </c>
      <c r="C602">
        <v>8</v>
      </c>
      <c r="D602">
        <v>909</v>
      </c>
      <c r="E602">
        <v>33</v>
      </c>
      <c r="F602">
        <v>27</v>
      </c>
      <c r="G602">
        <v>57</v>
      </c>
      <c r="H602">
        <v>19</v>
      </c>
      <c r="I602">
        <v>145</v>
      </c>
      <c r="J602">
        <v>11</v>
      </c>
      <c r="K602">
        <v>3</v>
      </c>
      <c r="L602">
        <v>4</v>
      </c>
      <c r="M602">
        <v>12</v>
      </c>
      <c r="N602">
        <v>14</v>
      </c>
      <c r="O602">
        <v>7</v>
      </c>
      <c r="P602">
        <v>13</v>
      </c>
      <c r="Q602">
        <v>0</v>
      </c>
    </row>
    <row r="603" spans="1:17" x14ac:dyDescent="0.45">
      <c r="A603" t="s">
        <v>49</v>
      </c>
      <c r="B603" t="s">
        <v>21</v>
      </c>
      <c r="C603">
        <v>8</v>
      </c>
      <c r="D603">
        <v>914</v>
      </c>
      <c r="E603">
        <v>36</v>
      </c>
      <c r="F603">
        <v>17</v>
      </c>
      <c r="G603">
        <v>64</v>
      </c>
      <c r="H603">
        <v>11</v>
      </c>
      <c r="I603">
        <v>143</v>
      </c>
      <c r="J603">
        <v>25</v>
      </c>
      <c r="K603">
        <v>10</v>
      </c>
      <c r="L603">
        <v>4</v>
      </c>
      <c r="M603">
        <v>14</v>
      </c>
      <c r="N603">
        <v>17</v>
      </c>
      <c r="O603">
        <v>9</v>
      </c>
      <c r="P603">
        <v>7</v>
      </c>
      <c r="Q603">
        <v>0</v>
      </c>
    </row>
    <row r="604" spans="1:17" x14ac:dyDescent="0.45">
      <c r="A604" t="s">
        <v>49</v>
      </c>
      <c r="B604" t="s">
        <v>20</v>
      </c>
      <c r="C604">
        <v>9</v>
      </c>
      <c r="D604">
        <v>1261</v>
      </c>
      <c r="E604">
        <v>23</v>
      </c>
      <c r="F604">
        <v>23</v>
      </c>
      <c r="G604">
        <v>30</v>
      </c>
      <c r="H604">
        <v>50</v>
      </c>
      <c r="I604">
        <v>199</v>
      </c>
      <c r="J604">
        <v>18</v>
      </c>
      <c r="K604">
        <v>7</v>
      </c>
      <c r="L604">
        <v>4</v>
      </c>
      <c r="M604">
        <v>30</v>
      </c>
      <c r="N604">
        <v>16</v>
      </c>
      <c r="O604">
        <v>22</v>
      </c>
      <c r="P604">
        <v>5</v>
      </c>
      <c r="Q604">
        <v>0</v>
      </c>
    </row>
    <row r="605" spans="1:17" x14ac:dyDescent="0.45">
      <c r="A605" t="s">
        <v>49</v>
      </c>
      <c r="B605" t="s">
        <v>21</v>
      </c>
      <c r="C605">
        <v>9</v>
      </c>
      <c r="D605">
        <v>1109</v>
      </c>
      <c r="E605">
        <v>39</v>
      </c>
      <c r="F605">
        <v>28</v>
      </c>
      <c r="G605">
        <v>69</v>
      </c>
      <c r="H605">
        <v>13</v>
      </c>
      <c r="I605">
        <v>139</v>
      </c>
      <c r="J605">
        <v>26</v>
      </c>
      <c r="K605">
        <v>6</v>
      </c>
      <c r="L605">
        <v>10</v>
      </c>
      <c r="M605">
        <v>14</v>
      </c>
      <c r="N605">
        <v>5</v>
      </c>
      <c r="O605">
        <v>12</v>
      </c>
      <c r="P605">
        <v>0</v>
      </c>
      <c r="Q605">
        <v>0</v>
      </c>
    </row>
    <row r="606" spans="1:17" x14ac:dyDescent="0.45">
      <c r="A606" t="s">
        <v>49</v>
      </c>
      <c r="B606" t="s">
        <v>20</v>
      </c>
      <c r="C606">
        <v>10</v>
      </c>
      <c r="D606">
        <v>1250</v>
      </c>
      <c r="E606">
        <v>38</v>
      </c>
      <c r="F606">
        <v>66</v>
      </c>
      <c r="G606">
        <v>60</v>
      </c>
      <c r="H606">
        <v>62</v>
      </c>
      <c r="I606">
        <v>187</v>
      </c>
      <c r="J606">
        <v>29</v>
      </c>
      <c r="K606">
        <v>35</v>
      </c>
      <c r="L606">
        <v>28</v>
      </c>
      <c r="M606">
        <v>42</v>
      </c>
      <c r="N606">
        <v>41</v>
      </c>
      <c r="O606">
        <v>29</v>
      </c>
      <c r="P606">
        <v>8</v>
      </c>
      <c r="Q606">
        <v>0</v>
      </c>
    </row>
    <row r="607" spans="1:17" x14ac:dyDescent="0.45">
      <c r="A607" t="s">
        <v>49</v>
      </c>
      <c r="B607" t="s">
        <v>21</v>
      </c>
      <c r="C607">
        <v>10</v>
      </c>
      <c r="D607">
        <v>1384</v>
      </c>
      <c r="E607">
        <v>49</v>
      </c>
      <c r="F607">
        <v>43</v>
      </c>
      <c r="G607">
        <v>155</v>
      </c>
      <c r="H607">
        <v>19</v>
      </c>
      <c r="I607">
        <v>183</v>
      </c>
      <c r="J607">
        <v>43</v>
      </c>
      <c r="K607">
        <v>47</v>
      </c>
      <c r="L607">
        <v>27</v>
      </c>
      <c r="M607">
        <v>34</v>
      </c>
      <c r="N607">
        <v>45</v>
      </c>
      <c r="O607">
        <v>23</v>
      </c>
      <c r="P607">
        <v>6</v>
      </c>
      <c r="Q607">
        <v>0</v>
      </c>
    </row>
    <row r="608" spans="1:17" x14ac:dyDescent="0.45">
      <c r="A608" t="s">
        <v>49</v>
      </c>
      <c r="B608" t="s">
        <v>20</v>
      </c>
      <c r="C608">
        <v>11</v>
      </c>
      <c r="D608">
        <v>1047</v>
      </c>
      <c r="E608">
        <v>40</v>
      </c>
      <c r="F608">
        <v>22</v>
      </c>
      <c r="G608">
        <v>114</v>
      </c>
      <c r="H608">
        <v>26</v>
      </c>
      <c r="I608">
        <v>148</v>
      </c>
      <c r="J608">
        <v>48</v>
      </c>
      <c r="K608">
        <v>38</v>
      </c>
      <c r="L608">
        <v>25</v>
      </c>
      <c r="M608">
        <v>27</v>
      </c>
      <c r="N608">
        <v>30</v>
      </c>
      <c r="O608">
        <v>38</v>
      </c>
      <c r="P608">
        <v>10</v>
      </c>
      <c r="Q608">
        <v>0</v>
      </c>
    </row>
    <row r="609" spans="1:17" x14ac:dyDescent="0.45">
      <c r="A609" t="s">
        <v>49</v>
      </c>
      <c r="B609" t="s">
        <v>21</v>
      </c>
      <c r="C609">
        <v>11</v>
      </c>
      <c r="D609">
        <v>1204</v>
      </c>
      <c r="E609">
        <v>34</v>
      </c>
      <c r="F609">
        <v>25</v>
      </c>
      <c r="G609">
        <v>70</v>
      </c>
      <c r="H609">
        <v>35</v>
      </c>
      <c r="I609">
        <v>150</v>
      </c>
      <c r="J609">
        <v>27</v>
      </c>
      <c r="K609">
        <v>39</v>
      </c>
      <c r="L609">
        <v>16</v>
      </c>
      <c r="M609">
        <v>21</v>
      </c>
      <c r="N609">
        <v>33</v>
      </c>
      <c r="O609">
        <v>31</v>
      </c>
      <c r="P609">
        <v>5</v>
      </c>
      <c r="Q609">
        <v>0</v>
      </c>
    </row>
    <row r="610" spans="1:17" x14ac:dyDescent="0.45">
      <c r="A610" t="s">
        <v>49</v>
      </c>
      <c r="B610" t="s">
        <v>20</v>
      </c>
      <c r="C610">
        <v>12</v>
      </c>
      <c r="D610">
        <v>1190</v>
      </c>
      <c r="E610">
        <v>31</v>
      </c>
      <c r="F610">
        <v>20</v>
      </c>
      <c r="G610">
        <v>138</v>
      </c>
      <c r="H610">
        <v>14</v>
      </c>
      <c r="I610">
        <v>117</v>
      </c>
      <c r="J610">
        <v>27</v>
      </c>
      <c r="K610">
        <v>62</v>
      </c>
      <c r="L610">
        <v>28</v>
      </c>
      <c r="M610">
        <v>20</v>
      </c>
      <c r="N610">
        <v>29</v>
      </c>
      <c r="O610">
        <v>51</v>
      </c>
      <c r="P610">
        <v>12</v>
      </c>
      <c r="Q610">
        <v>1</v>
      </c>
    </row>
    <row r="611" spans="1:17" x14ac:dyDescent="0.45">
      <c r="A611" t="s">
        <v>49</v>
      </c>
      <c r="B611" t="s">
        <v>21</v>
      </c>
      <c r="C611">
        <v>12</v>
      </c>
      <c r="D611">
        <v>1228</v>
      </c>
      <c r="E611">
        <v>37</v>
      </c>
      <c r="F611">
        <v>14</v>
      </c>
      <c r="G611">
        <v>148</v>
      </c>
      <c r="H611">
        <v>19</v>
      </c>
      <c r="I611">
        <v>127</v>
      </c>
      <c r="J611">
        <v>27</v>
      </c>
      <c r="K611">
        <v>38</v>
      </c>
      <c r="L611">
        <v>22</v>
      </c>
      <c r="M611">
        <v>14</v>
      </c>
      <c r="N611">
        <v>49</v>
      </c>
      <c r="O611">
        <v>57</v>
      </c>
      <c r="P611">
        <v>10</v>
      </c>
      <c r="Q611">
        <v>0</v>
      </c>
    </row>
    <row r="612" spans="1:17" x14ac:dyDescent="0.45">
      <c r="A612" t="s">
        <v>65</v>
      </c>
      <c r="B612" t="s">
        <v>20</v>
      </c>
      <c r="C612">
        <v>1</v>
      </c>
      <c r="D612">
        <v>1338</v>
      </c>
      <c r="E612">
        <v>77</v>
      </c>
      <c r="F612">
        <v>43</v>
      </c>
      <c r="G612">
        <v>247</v>
      </c>
      <c r="H612">
        <v>1</v>
      </c>
      <c r="I612">
        <v>187</v>
      </c>
      <c r="J612">
        <v>34</v>
      </c>
      <c r="K612">
        <v>104</v>
      </c>
      <c r="L612">
        <v>31</v>
      </c>
      <c r="M612">
        <v>49</v>
      </c>
      <c r="N612">
        <v>65</v>
      </c>
      <c r="O612">
        <v>39</v>
      </c>
      <c r="P612">
        <v>26</v>
      </c>
      <c r="Q612">
        <v>3</v>
      </c>
    </row>
    <row r="613" spans="1:17" x14ac:dyDescent="0.45">
      <c r="A613" t="s">
        <v>65</v>
      </c>
      <c r="B613" t="s">
        <v>21</v>
      </c>
      <c r="C613">
        <v>1</v>
      </c>
      <c r="D613">
        <v>1646</v>
      </c>
      <c r="E613">
        <v>82</v>
      </c>
      <c r="F613">
        <v>42</v>
      </c>
      <c r="G613">
        <v>220</v>
      </c>
      <c r="H613">
        <v>1</v>
      </c>
      <c r="I613">
        <v>190</v>
      </c>
      <c r="J613">
        <v>43</v>
      </c>
      <c r="K613">
        <v>140</v>
      </c>
      <c r="L613">
        <v>30</v>
      </c>
      <c r="M613">
        <v>40</v>
      </c>
      <c r="N613">
        <v>51</v>
      </c>
      <c r="O613">
        <v>30</v>
      </c>
      <c r="P613">
        <v>31</v>
      </c>
      <c r="Q613">
        <v>0</v>
      </c>
    </row>
    <row r="614" spans="1:17" x14ac:dyDescent="0.45">
      <c r="A614" t="s">
        <v>65</v>
      </c>
      <c r="B614" t="s">
        <v>20</v>
      </c>
      <c r="C614">
        <v>2</v>
      </c>
      <c r="D614">
        <v>1418</v>
      </c>
      <c r="E614">
        <v>64</v>
      </c>
      <c r="F614">
        <v>32</v>
      </c>
      <c r="G614">
        <v>167</v>
      </c>
      <c r="H614">
        <v>1</v>
      </c>
      <c r="I614">
        <v>226</v>
      </c>
      <c r="J614">
        <v>16</v>
      </c>
      <c r="K614">
        <v>99</v>
      </c>
      <c r="L614">
        <v>21</v>
      </c>
      <c r="M614">
        <v>49</v>
      </c>
      <c r="N614">
        <v>32</v>
      </c>
      <c r="O614">
        <v>60</v>
      </c>
      <c r="P614">
        <v>17</v>
      </c>
      <c r="Q614">
        <v>15</v>
      </c>
    </row>
    <row r="615" spans="1:17" x14ac:dyDescent="0.45">
      <c r="A615" t="s">
        <v>65</v>
      </c>
      <c r="B615" t="s">
        <v>21</v>
      </c>
      <c r="C615">
        <v>2</v>
      </c>
      <c r="D615">
        <v>1675</v>
      </c>
      <c r="E615">
        <v>50</v>
      </c>
      <c r="F615">
        <v>36</v>
      </c>
      <c r="G615">
        <v>97</v>
      </c>
      <c r="H615">
        <v>9</v>
      </c>
      <c r="I615">
        <v>272</v>
      </c>
      <c r="J615">
        <v>44</v>
      </c>
      <c r="K615">
        <v>133</v>
      </c>
      <c r="L615">
        <v>28</v>
      </c>
      <c r="M615">
        <v>30</v>
      </c>
      <c r="N615">
        <v>45</v>
      </c>
      <c r="O615">
        <v>41</v>
      </c>
      <c r="P615">
        <v>22</v>
      </c>
      <c r="Q615">
        <v>4</v>
      </c>
    </row>
    <row r="616" spans="1:17" x14ac:dyDescent="0.45">
      <c r="A616" t="s">
        <v>65</v>
      </c>
      <c r="B616" t="s">
        <v>20</v>
      </c>
      <c r="C616">
        <v>3</v>
      </c>
      <c r="D616">
        <v>1804</v>
      </c>
      <c r="E616">
        <v>96</v>
      </c>
      <c r="F616">
        <v>90</v>
      </c>
      <c r="G616">
        <v>349</v>
      </c>
      <c r="H616">
        <v>2</v>
      </c>
      <c r="I616">
        <v>245</v>
      </c>
      <c r="J616">
        <v>62</v>
      </c>
      <c r="K616">
        <v>217</v>
      </c>
      <c r="L616">
        <v>66</v>
      </c>
      <c r="M616">
        <v>75</v>
      </c>
      <c r="N616">
        <v>203</v>
      </c>
      <c r="O616">
        <v>141</v>
      </c>
      <c r="P616">
        <v>148</v>
      </c>
      <c r="Q616">
        <v>13</v>
      </c>
    </row>
    <row r="617" spans="1:17" x14ac:dyDescent="0.45">
      <c r="A617" t="s">
        <v>65</v>
      </c>
      <c r="B617" t="s">
        <v>21</v>
      </c>
      <c r="C617">
        <v>3</v>
      </c>
      <c r="D617">
        <v>1953</v>
      </c>
      <c r="E617">
        <v>85</v>
      </c>
      <c r="F617">
        <v>81</v>
      </c>
      <c r="G617">
        <v>331</v>
      </c>
      <c r="H617">
        <v>10</v>
      </c>
      <c r="I617">
        <v>274</v>
      </c>
      <c r="J617">
        <v>73</v>
      </c>
      <c r="K617">
        <v>303</v>
      </c>
      <c r="L617">
        <v>82</v>
      </c>
      <c r="M617">
        <v>58</v>
      </c>
      <c r="N617">
        <v>366</v>
      </c>
      <c r="O617">
        <v>186</v>
      </c>
      <c r="P617">
        <v>274</v>
      </c>
      <c r="Q617">
        <v>11</v>
      </c>
    </row>
    <row r="618" spans="1:17" x14ac:dyDescent="0.45">
      <c r="A618" t="s">
        <v>65</v>
      </c>
      <c r="B618" t="s">
        <v>20</v>
      </c>
      <c r="C618">
        <v>4</v>
      </c>
      <c r="D618">
        <v>1646</v>
      </c>
      <c r="E618">
        <v>110</v>
      </c>
      <c r="F618">
        <v>83</v>
      </c>
      <c r="G618">
        <v>417</v>
      </c>
      <c r="H618">
        <v>1</v>
      </c>
      <c r="I618">
        <v>3018</v>
      </c>
      <c r="J618">
        <v>107</v>
      </c>
      <c r="K618">
        <v>552</v>
      </c>
      <c r="L618">
        <v>186</v>
      </c>
      <c r="M618">
        <v>105</v>
      </c>
      <c r="N618">
        <v>519</v>
      </c>
      <c r="O618">
        <v>298</v>
      </c>
      <c r="P618">
        <v>296</v>
      </c>
      <c r="Q618">
        <v>17</v>
      </c>
    </row>
    <row r="619" spans="1:17" x14ac:dyDescent="0.45">
      <c r="A619" t="s">
        <v>65</v>
      </c>
      <c r="B619" t="s">
        <v>21</v>
      </c>
      <c r="C619">
        <v>4</v>
      </c>
      <c r="D619">
        <v>2040</v>
      </c>
      <c r="E619">
        <v>120</v>
      </c>
      <c r="F619">
        <v>92</v>
      </c>
      <c r="G619">
        <v>358</v>
      </c>
      <c r="H619">
        <v>23</v>
      </c>
      <c r="I619">
        <v>367</v>
      </c>
      <c r="J619">
        <v>91</v>
      </c>
      <c r="K619">
        <v>496</v>
      </c>
      <c r="L619">
        <v>176</v>
      </c>
      <c r="M619">
        <v>82</v>
      </c>
      <c r="N619">
        <v>424</v>
      </c>
      <c r="O619">
        <v>260</v>
      </c>
      <c r="P619">
        <v>219</v>
      </c>
      <c r="Q619">
        <v>25</v>
      </c>
    </row>
    <row r="620" spans="1:17" x14ac:dyDescent="0.45">
      <c r="A620" t="s">
        <v>65</v>
      </c>
      <c r="B620" t="s">
        <v>20</v>
      </c>
      <c r="C620">
        <v>5</v>
      </c>
      <c r="D620">
        <v>1447</v>
      </c>
      <c r="E620">
        <v>128</v>
      </c>
      <c r="F620">
        <v>50</v>
      </c>
      <c r="G620">
        <v>234</v>
      </c>
      <c r="H620">
        <v>4</v>
      </c>
      <c r="I620">
        <v>291</v>
      </c>
      <c r="J620">
        <v>64</v>
      </c>
      <c r="K620">
        <v>302</v>
      </c>
      <c r="L620">
        <v>133</v>
      </c>
      <c r="M620">
        <v>71</v>
      </c>
      <c r="N620">
        <v>313</v>
      </c>
      <c r="O620">
        <v>161</v>
      </c>
      <c r="P620">
        <v>149</v>
      </c>
      <c r="Q620">
        <v>22</v>
      </c>
    </row>
    <row r="621" spans="1:17" x14ac:dyDescent="0.45">
      <c r="A621" t="s">
        <v>65</v>
      </c>
      <c r="B621" t="s">
        <v>21</v>
      </c>
      <c r="C621">
        <v>5</v>
      </c>
      <c r="D621">
        <v>1748</v>
      </c>
      <c r="E621">
        <v>135</v>
      </c>
      <c r="F621">
        <v>87</v>
      </c>
      <c r="G621">
        <v>307</v>
      </c>
      <c r="H621">
        <v>36</v>
      </c>
      <c r="I621">
        <v>336</v>
      </c>
      <c r="J621">
        <v>83</v>
      </c>
      <c r="K621">
        <v>358</v>
      </c>
      <c r="L621">
        <v>178</v>
      </c>
      <c r="M621">
        <v>72</v>
      </c>
      <c r="N621">
        <v>316</v>
      </c>
      <c r="O621">
        <v>233</v>
      </c>
      <c r="P621">
        <v>156</v>
      </c>
      <c r="Q621">
        <v>14</v>
      </c>
    </row>
    <row r="622" spans="1:17" x14ac:dyDescent="0.45">
      <c r="A622" t="s">
        <v>65</v>
      </c>
      <c r="B622" t="s">
        <v>20</v>
      </c>
      <c r="C622">
        <v>6</v>
      </c>
      <c r="D622">
        <v>1638</v>
      </c>
      <c r="E622">
        <v>140</v>
      </c>
      <c r="F622">
        <v>87</v>
      </c>
      <c r="G622">
        <v>249</v>
      </c>
      <c r="H622">
        <v>5</v>
      </c>
      <c r="I622">
        <v>381</v>
      </c>
      <c r="J622">
        <v>69</v>
      </c>
      <c r="K622">
        <v>153</v>
      </c>
      <c r="L622">
        <v>89</v>
      </c>
      <c r="M622">
        <v>100</v>
      </c>
      <c r="N622">
        <v>202</v>
      </c>
      <c r="O622">
        <v>110</v>
      </c>
      <c r="P622">
        <v>78</v>
      </c>
      <c r="Q622">
        <v>5</v>
      </c>
    </row>
    <row r="623" spans="1:17" x14ac:dyDescent="0.45">
      <c r="A623" t="s">
        <v>65</v>
      </c>
      <c r="B623" t="s">
        <v>21</v>
      </c>
      <c r="C623">
        <v>6</v>
      </c>
      <c r="D623">
        <v>1912</v>
      </c>
      <c r="E623">
        <v>89</v>
      </c>
      <c r="F623">
        <v>85</v>
      </c>
      <c r="G623">
        <v>234</v>
      </c>
      <c r="H623">
        <v>41</v>
      </c>
      <c r="I623">
        <v>391</v>
      </c>
      <c r="J623">
        <v>77</v>
      </c>
      <c r="K623">
        <v>169</v>
      </c>
      <c r="L623">
        <v>111</v>
      </c>
      <c r="M623">
        <v>91</v>
      </c>
      <c r="N623">
        <v>127</v>
      </c>
      <c r="O623">
        <v>143</v>
      </c>
      <c r="P623">
        <v>69</v>
      </c>
      <c r="Q623">
        <v>6</v>
      </c>
    </row>
    <row r="624" spans="1:17" x14ac:dyDescent="0.45">
      <c r="A624" t="s">
        <v>65</v>
      </c>
      <c r="B624" t="s">
        <v>20</v>
      </c>
      <c r="C624">
        <v>7</v>
      </c>
      <c r="D624">
        <v>1388</v>
      </c>
      <c r="E624">
        <v>89</v>
      </c>
      <c r="F624">
        <v>71</v>
      </c>
      <c r="G624">
        <v>164</v>
      </c>
      <c r="H624">
        <v>10</v>
      </c>
      <c r="I624">
        <v>374</v>
      </c>
      <c r="J624">
        <v>47</v>
      </c>
      <c r="K624">
        <v>56</v>
      </c>
      <c r="L624">
        <v>33</v>
      </c>
      <c r="M624">
        <v>71</v>
      </c>
      <c r="N624">
        <v>85</v>
      </c>
      <c r="O624">
        <v>52</v>
      </c>
      <c r="P624">
        <v>26</v>
      </c>
      <c r="Q624">
        <v>1</v>
      </c>
    </row>
    <row r="625" spans="1:17" x14ac:dyDescent="0.45">
      <c r="A625" t="s">
        <v>65</v>
      </c>
      <c r="B625" t="s">
        <v>21</v>
      </c>
      <c r="C625">
        <v>7</v>
      </c>
      <c r="D625">
        <v>1734</v>
      </c>
      <c r="E625">
        <v>92</v>
      </c>
      <c r="F625">
        <v>89</v>
      </c>
      <c r="G625">
        <v>133</v>
      </c>
      <c r="H625">
        <v>20</v>
      </c>
      <c r="I625">
        <v>415</v>
      </c>
      <c r="J625">
        <v>41</v>
      </c>
      <c r="K625">
        <v>94</v>
      </c>
      <c r="L625">
        <v>45</v>
      </c>
      <c r="M625">
        <v>82</v>
      </c>
      <c r="N625">
        <v>62</v>
      </c>
      <c r="O625">
        <v>56</v>
      </c>
      <c r="P625">
        <v>26</v>
      </c>
      <c r="Q625">
        <v>0</v>
      </c>
    </row>
    <row r="626" spans="1:17" x14ac:dyDescent="0.45">
      <c r="A626" t="s">
        <v>65</v>
      </c>
      <c r="B626" t="s">
        <v>20</v>
      </c>
      <c r="C626">
        <v>8</v>
      </c>
      <c r="D626">
        <v>1388</v>
      </c>
      <c r="E626">
        <v>98</v>
      </c>
      <c r="F626">
        <v>44</v>
      </c>
      <c r="G626">
        <v>140</v>
      </c>
      <c r="H626">
        <v>4</v>
      </c>
      <c r="I626">
        <v>355</v>
      </c>
      <c r="J626">
        <v>32</v>
      </c>
      <c r="K626">
        <v>29</v>
      </c>
      <c r="L626">
        <v>18</v>
      </c>
      <c r="M626">
        <v>62</v>
      </c>
      <c r="N626">
        <v>25</v>
      </c>
      <c r="O626">
        <v>46</v>
      </c>
      <c r="P626">
        <v>13</v>
      </c>
      <c r="Q626">
        <v>0</v>
      </c>
    </row>
    <row r="627" spans="1:17" x14ac:dyDescent="0.45">
      <c r="A627" t="s">
        <v>65</v>
      </c>
      <c r="B627" t="s">
        <v>21</v>
      </c>
      <c r="C627">
        <v>8</v>
      </c>
      <c r="D627">
        <v>1689</v>
      </c>
      <c r="E627">
        <v>99</v>
      </c>
      <c r="F627">
        <v>52</v>
      </c>
      <c r="G627">
        <v>120</v>
      </c>
      <c r="H627">
        <v>6</v>
      </c>
      <c r="I627">
        <v>329</v>
      </c>
      <c r="J627">
        <v>35</v>
      </c>
      <c r="K627">
        <v>28</v>
      </c>
      <c r="L627">
        <v>24</v>
      </c>
      <c r="M627">
        <v>51</v>
      </c>
      <c r="N627">
        <v>35</v>
      </c>
      <c r="O627">
        <v>25</v>
      </c>
      <c r="P627">
        <v>12</v>
      </c>
      <c r="Q627">
        <v>0</v>
      </c>
    </row>
    <row r="628" spans="1:17" x14ac:dyDescent="0.45">
      <c r="A628" t="s">
        <v>65</v>
      </c>
      <c r="B628" t="s">
        <v>20</v>
      </c>
      <c r="C628">
        <v>9</v>
      </c>
      <c r="D628">
        <v>1592</v>
      </c>
      <c r="E628">
        <v>88</v>
      </c>
      <c r="F628">
        <v>48</v>
      </c>
      <c r="G628">
        <v>111</v>
      </c>
      <c r="H628">
        <v>12</v>
      </c>
      <c r="I628">
        <v>399</v>
      </c>
      <c r="J628">
        <v>58</v>
      </c>
      <c r="K628">
        <v>15</v>
      </c>
      <c r="L628">
        <v>21</v>
      </c>
      <c r="M628">
        <v>79</v>
      </c>
      <c r="N628">
        <v>12</v>
      </c>
      <c r="O628">
        <v>22</v>
      </c>
      <c r="P628">
        <v>7</v>
      </c>
      <c r="Q628">
        <v>0</v>
      </c>
    </row>
    <row r="629" spans="1:17" x14ac:dyDescent="0.45">
      <c r="A629" t="s">
        <v>65</v>
      </c>
      <c r="B629" t="s">
        <v>21</v>
      </c>
      <c r="C629">
        <v>9</v>
      </c>
      <c r="D629">
        <v>1741</v>
      </c>
      <c r="E629">
        <v>119</v>
      </c>
      <c r="F629">
        <v>57</v>
      </c>
      <c r="G629">
        <v>136</v>
      </c>
      <c r="H629">
        <v>10</v>
      </c>
      <c r="I629">
        <v>345</v>
      </c>
      <c r="J629">
        <v>40</v>
      </c>
      <c r="K629">
        <v>65</v>
      </c>
      <c r="L629">
        <v>34</v>
      </c>
      <c r="M629">
        <v>79</v>
      </c>
      <c r="N629">
        <v>18</v>
      </c>
      <c r="O629">
        <v>26</v>
      </c>
      <c r="P629">
        <v>10</v>
      </c>
      <c r="Q629">
        <v>4</v>
      </c>
    </row>
    <row r="630" spans="1:17" x14ac:dyDescent="0.45">
      <c r="A630" t="s">
        <v>65</v>
      </c>
      <c r="B630" t="s">
        <v>20</v>
      </c>
      <c r="C630">
        <v>10</v>
      </c>
      <c r="D630">
        <v>1968</v>
      </c>
      <c r="E630">
        <v>164</v>
      </c>
      <c r="F630">
        <v>140</v>
      </c>
      <c r="G630">
        <v>182</v>
      </c>
      <c r="H630">
        <v>17</v>
      </c>
      <c r="I630">
        <v>481</v>
      </c>
      <c r="J630">
        <v>93</v>
      </c>
      <c r="K630">
        <v>113</v>
      </c>
      <c r="L630">
        <v>65</v>
      </c>
      <c r="M630">
        <v>114</v>
      </c>
      <c r="N630">
        <v>75</v>
      </c>
      <c r="O630">
        <v>27</v>
      </c>
      <c r="P630">
        <v>0</v>
      </c>
      <c r="Q630">
        <v>0</v>
      </c>
    </row>
    <row r="631" spans="1:17" x14ac:dyDescent="0.45">
      <c r="A631" t="s">
        <v>65</v>
      </c>
      <c r="B631" t="s">
        <v>21</v>
      </c>
      <c r="C631">
        <v>10</v>
      </c>
      <c r="D631">
        <v>2297</v>
      </c>
      <c r="E631">
        <v>161</v>
      </c>
      <c r="F631">
        <v>147</v>
      </c>
      <c r="G631">
        <v>317</v>
      </c>
      <c r="H631">
        <v>15</v>
      </c>
      <c r="I631">
        <v>454</v>
      </c>
      <c r="J631">
        <v>128</v>
      </c>
      <c r="K631">
        <v>117</v>
      </c>
      <c r="L631">
        <v>82</v>
      </c>
      <c r="M631">
        <v>101</v>
      </c>
      <c r="N631">
        <v>80</v>
      </c>
      <c r="O631">
        <v>72</v>
      </c>
      <c r="P631">
        <v>32</v>
      </c>
      <c r="Q631">
        <v>0</v>
      </c>
    </row>
    <row r="632" spans="1:17" x14ac:dyDescent="0.45">
      <c r="A632" t="s">
        <v>65</v>
      </c>
      <c r="B632" t="s">
        <v>20</v>
      </c>
      <c r="C632">
        <v>11</v>
      </c>
      <c r="D632">
        <v>1726</v>
      </c>
      <c r="E632">
        <v>108</v>
      </c>
      <c r="F632">
        <v>119</v>
      </c>
      <c r="G632">
        <v>231</v>
      </c>
      <c r="H632">
        <v>202</v>
      </c>
      <c r="I632">
        <v>19</v>
      </c>
      <c r="J632">
        <v>387</v>
      </c>
      <c r="K632">
        <v>72</v>
      </c>
      <c r="L632">
        <v>96</v>
      </c>
      <c r="M632">
        <v>47</v>
      </c>
      <c r="N632">
        <v>103</v>
      </c>
      <c r="O632">
        <v>88</v>
      </c>
      <c r="P632">
        <v>24</v>
      </c>
      <c r="Q632">
        <v>1</v>
      </c>
    </row>
    <row r="633" spans="1:17" x14ac:dyDescent="0.45">
      <c r="A633" t="s">
        <v>65</v>
      </c>
      <c r="B633" t="s">
        <v>21</v>
      </c>
      <c r="C633">
        <v>11</v>
      </c>
      <c r="D633">
        <v>2064</v>
      </c>
      <c r="E633">
        <v>128</v>
      </c>
      <c r="F633">
        <v>86</v>
      </c>
      <c r="G633">
        <v>231</v>
      </c>
      <c r="H633">
        <v>26</v>
      </c>
      <c r="I633">
        <v>335</v>
      </c>
      <c r="J633">
        <v>58</v>
      </c>
      <c r="K633">
        <v>120</v>
      </c>
      <c r="L633">
        <v>39</v>
      </c>
      <c r="M633">
        <v>67</v>
      </c>
      <c r="N633">
        <v>46</v>
      </c>
      <c r="O633">
        <v>50</v>
      </c>
      <c r="P633">
        <v>17</v>
      </c>
      <c r="Q633">
        <v>2</v>
      </c>
    </row>
    <row r="634" spans="1:17" x14ac:dyDescent="0.45">
      <c r="A634" t="s">
        <v>65</v>
      </c>
      <c r="B634" t="s">
        <v>20</v>
      </c>
      <c r="C634">
        <v>12</v>
      </c>
      <c r="D634">
        <v>1838</v>
      </c>
      <c r="E634">
        <v>110</v>
      </c>
      <c r="F634">
        <v>102</v>
      </c>
      <c r="G634">
        <v>333</v>
      </c>
      <c r="H634">
        <v>33</v>
      </c>
      <c r="I634">
        <v>372</v>
      </c>
      <c r="J634">
        <v>74</v>
      </c>
      <c r="K634">
        <v>126</v>
      </c>
      <c r="L634">
        <v>63</v>
      </c>
      <c r="M634">
        <v>83</v>
      </c>
      <c r="N634">
        <v>96</v>
      </c>
      <c r="O634">
        <v>81</v>
      </c>
      <c r="P634">
        <v>43</v>
      </c>
      <c r="Q634">
        <v>3</v>
      </c>
    </row>
    <row r="635" spans="1:17" x14ac:dyDescent="0.45">
      <c r="A635" t="s">
        <v>65</v>
      </c>
      <c r="B635" t="s">
        <v>21</v>
      </c>
      <c r="C635">
        <v>12</v>
      </c>
      <c r="D635">
        <v>2111</v>
      </c>
      <c r="E635">
        <v>153</v>
      </c>
      <c r="F635">
        <v>108</v>
      </c>
      <c r="G635">
        <v>354</v>
      </c>
      <c r="H635">
        <v>21</v>
      </c>
      <c r="I635">
        <v>362</v>
      </c>
      <c r="J635">
        <v>80</v>
      </c>
      <c r="K635">
        <v>146</v>
      </c>
      <c r="L635">
        <v>58</v>
      </c>
      <c r="M635">
        <v>98</v>
      </c>
      <c r="N635">
        <v>107</v>
      </c>
      <c r="O635">
        <v>76</v>
      </c>
      <c r="P635">
        <v>29</v>
      </c>
      <c r="Q635">
        <v>1</v>
      </c>
    </row>
    <row r="636" spans="1:17" x14ac:dyDescent="0.45">
      <c r="A636" t="s">
        <v>66</v>
      </c>
      <c r="B636" t="s">
        <v>20</v>
      </c>
      <c r="C636">
        <v>1</v>
      </c>
      <c r="D636">
        <v>841</v>
      </c>
      <c r="E636">
        <v>15</v>
      </c>
      <c r="F636">
        <v>21</v>
      </c>
      <c r="G636">
        <v>95</v>
      </c>
      <c r="H636">
        <v>32</v>
      </c>
      <c r="I636">
        <v>113</v>
      </c>
      <c r="J636">
        <v>23</v>
      </c>
      <c r="K636">
        <v>96</v>
      </c>
      <c r="L636">
        <v>21</v>
      </c>
      <c r="M636">
        <v>18</v>
      </c>
      <c r="N636">
        <v>40</v>
      </c>
      <c r="O636">
        <v>32</v>
      </c>
      <c r="P636">
        <v>21</v>
      </c>
      <c r="Q636">
        <v>0</v>
      </c>
    </row>
    <row r="637" spans="1:17" x14ac:dyDescent="0.45">
      <c r="A637" t="s">
        <v>66</v>
      </c>
      <c r="B637" t="s">
        <v>21</v>
      </c>
      <c r="C637">
        <v>1</v>
      </c>
      <c r="D637">
        <v>981</v>
      </c>
      <c r="E637">
        <v>19</v>
      </c>
      <c r="F637">
        <v>21</v>
      </c>
      <c r="G637">
        <v>98</v>
      </c>
      <c r="H637">
        <v>25</v>
      </c>
      <c r="I637">
        <v>152</v>
      </c>
      <c r="J637">
        <v>11</v>
      </c>
      <c r="K637">
        <v>65</v>
      </c>
      <c r="L637">
        <v>15</v>
      </c>
      <c r="M637">
        <v>18</v>
      </c>
      <c r="N637">
        <v>17</v>
      </c>
      <c r="O637">
        <v>26</v>
      </c>
      <c r="P637">
        <v>8</v>
      </c>
      <c r="Q637">
        <v>2</v>
      </c>
    </row>
    <row r="638" spans="1:17" x14ac:dyDescent="0.45">
      <c r="A638" t="s">
        <v>66</v>
      </c>
      <c r="B638" t="s">
        <v>20</v>
      </c>
      <c r="C638">
        <v>2</v>
      </c>
      <c r="D638">
        <v>880</v>
      </c>
      <c r="E638">
        <v>20</v>
      </c>
      <c r="F638">
        <v>17</v>
      </c>
      <c r="G638">
        <v>55</v>
      </c>
      <c r="H638">
        <v>51</v>
      </c>
      <c r="I638">
        <v>146</v>
      </c>
      <c r="J638">
        <v>15</v>
      </c>
      <c r="K638">
        <v>44</v>
      </c>
      <c r="L638">
        <v>14</v>
      </c>
      <c r="M638">
        <v>9</v>
      </c>
      <c r="N638">
        <v>13</v>
      </c>
      <c r="O638">
        <v>18</v>
      </c>
      <c r="P638">
        <v>7</v>
      </c>
      <c r="Q638">
        <v>14</v>
      </c>
    </row>
    <row r="639" spans="1:17" x14ac:dyDescent="0.45">
      <c r="A639" t="s">
        <v>66</v>
      </c>
      <c r="B639" t="s">
        <v>21</v>
      </c>
      <c r="C639">
        <v>2</v>
      </c>
      <c r="D639">
        <v>965</v>
      </c>
      <c r="E639">
        <v>18</v>
      </c>
      <c r="F639">
        <v>11</v>
      </c>
      <c r="G639">
        <v>64</v>
      </c>
      <c r="H639">
        <v>20</v>
      </c>
      <c r="I639">
        <v>155</v>
      </c>
      <c r="J639">
        <v>8</v>
      </c>
      <c r="K639">
        <v>56</v>
      </c>
      <c r="L639">
        <v>15</v>
      </c>
      <c r="M639">
        <v>13</v>
      </c>
      <c r="N639">
        <v>16</v>
      </c>
      <c r="O639">
        <v>18</v>
      </c>
      <c r="P639">
        <v>9</v>
      </c>
      <c r="Q639">
        <v>8</v>
      </c>
    </row>
    <row r="640" spans="1:17" x14ac:dyDescent="0.45">
      <c r="A640" t="s">
        <v>66</v>
      </c>
      <c r="B640" t="s">
        <v>20</v>
      </c>
      <c r="C640">
        <v>3</v>
      </c>
      <c r="D640">
        <v>1055</v>
      </c>
      <c r="E640">
        <v>28</v>
      </c>
      <c r="F640">
        <v>28</v>
      </c>
      <c r="G640">
        <v>136</v>
      </c>
      <c r="H640">
        <v>28</v>
      </c>
      <c r="I640">
        <v>169</v>
      </c>
      <c r="J640">
        <v>22</v>
      </c>
      <c r="K640">
        <v>97</v>
      </c>
      <c r="L640">
        <v>30</v>
      </c>
      <c r="M640">
        <v>20</v>
      </c>
      <c r="N640">
        <v>103</v>
      </c>
      <c r="O640">
        <v>86</v>
      </c>
      <c r="P640">
        <v>107</v>
      </c>
      <c r="Q640">
        <v>13</v>
      </c>
    </row>
    <row r="641" spans="1:17" x14ac:dyDescent="0.45">
      <c r="A641" t="s">
        <v>66</v>
      </c>
      <c r="B641" t="s">
        <v>21</v>
      </c>
      <c r="C641">
        <v>3</v>
      </c>
      <c r="D641">
        <v>1211</v>
      </c>
      <c r="E641">
        <v>32</v>
      </c>
      <c r="F641">
        <v>21</v>
      </c>
      <c r="G641">
        <v>119</v>
      </c>
      <c r="H641">
        <v>33</v>
      </c>
      <c r="I641">
        <v>209</v>
      </c>
      <c r="J641">
        <v>23</v>
      </c>
      <c r="K641">
        <v>126</v>
      </c>
      <c r="L641">
        <v>38</v>
      </c>
      <c r="M641">
        <v>32</v>
      </c>
      <c r="N641">
        <v>174</v>
      </c>
      <c r="O641">
        <v>108</v>
      </c>
      <c r="P641">
        <v>123</v>
      </c>
      <c r="Q641">
        <v>10</v>
      </c>
    </row>
    <row r="642" spans="1:17" x14ac:dyDescent="0.45">
      <c r="A642" t="s">
        <v>66</v>
      </c>
      <c r="B642" t="s">
        <v>20</v>
      </c>
      <c r="C642">
        <v>4</v>
      </c>
      <c r="D642">
        <v>996</v>
      </c>
      <c r="E642">
        <v>38</v>
      </c>
      <c r="F642">
        <v>47</v>
      </c>
      <c r="G642">
        <v>184</v>
      </c>
      <c r="H642">
        <v>75</v>
      </c>
      <c r="I642">
        <v>201</v>
      </c>
      <c r="J642">
        <v>68</v>
      </c>
      <c r="K642">
        <v>295</v>
      </c>
      <c r="L642">
        <v>107</v>
      </c>
      <c r="M642">
        <v>38</v>
      </c>
      <c r="N642">
        <v>237</v>
      </c>
      <c r="O642">
        <v>204</v>
      </c>
      <c r="P642">
        <v>170</v>
      </c>
      <c r="Q642">
        <v>4</v>
      </c>
    </row>
    <row r="643" spans="1:17" x14ac:dyDescent="0.45">
      <c r="A643" t="s">
        <v>66</v>
      </c>
      <c r="B643" t="s">
        <v>21</v>
      </c>
      <c r="C643">
        <v>4</v>
      </c>
      <c r="D643">
        <v>1241</v>
      </c>
      <c r="E643">
        <v>16</v>
      </c>
      <c r="F643">
        <v>58</v>
      </c>
      <c r="G643">
        <v>188</v>
      </c>
      <c r="H643">
        <v>62</v>
      </c>
      <c r="I643">
        <v>283</v>
      </c>
      <c r="J643">
        <v>55</v>
      </c>
      <c r="K643">
        <v>254</v>
      </c>
      <c r="L643">
        <v>105</v>
      </c>
      <c r="M643">
        <v>36</v>
      </c>
      <c r="N643">
        <v>187</v>
      </c>
      <c r="O643">
        <v>173</v>
      </c>
      <c r="P643">
        <v>156</v>
      </c>
      <c r="Q643">
        <v>7</v>
      </c>
    </row>
    <row r="644" spans="1:17" x14ac:dyDescent="0.45">
      <c r="A644" t="s">
        <v>66</v>
      </c>
      <c r="B644" t="s">
        <v>20</v>
      </c>
      <c r="C644">
        <v>5</v>
      </c>
      <c r="D644">
        <v>890</v>
      </c>
      <c r="E644">
        <v>27</v>
      </c>
      <c r="F644">
        <v>42</v>
      </c>
      <c r="G644">
        <v>124</v>
      </c>
      <c r="H644">
        <v>42</v>
      </c>
      <c r="I644">
        <v>195</v>
      </c>
      <c r="J644">
        <v>25</v>
      </c>
      <c r="K644">
        <v>115</v>
      </c>
      <c r="L644">
        <v>58</v>
      </c>
      <c r="M644">
        <v>24</v>
      </c>
      <c r="N644">
        <v>152</v>
      </c>
      <c r="O644">
        <v>104</v>
      </c>
      <c r="P644">
        <v>86</v>
      </c>
      <c r="Q644">
        <v>2</v>
      </c>
    </row>
    <row r="645" spans="1:17" x14ac:dyDescent="0.45">
      <c r="A645" t="s">
        <v>66</v>
      </c>
      <c r="B645" t="s">
        <v>21</v>
      </c>
      <c r="C645">
        <v>5</v>
      </c>
      <c r="D645">
        <v>1063</v>
      </c>
      <c r="E645">
        <v>20</v>
      </c>
      <c r="F645">
        <v>38</v>
      </c>
      <c r="G645">
        <v>178</v>
      </c>
      <c r="H645">
        <v>60</v>
      </c>
      <c r="I645">
        <v>214</v>
      </c>
      <c r="J645">
        <v>30</v>
      </c>
      <c r="K645">
        <v>178</v>
      </c>
      <c r="L645">
        <v>78</v>
      </c>
      <c r="M645">
        <v>25</v>
      </c>
      <c r="N645">
        <v>175</v>
      </c>
      <c r="O645">
        <v>144</v>
      </c>
      <c r="P645">
        <v>96</v>
      </c>
      <c r="Q645">
        <v>6</v>
      </c>
    </row>
    <row r="646" spans="1:17" x14ac:dyDescent="0.45">
      <c r="A646" t="s">
        <v>66</v>
      </c>
      <c r="B646" t="s">
        <v>20</v>
      </c>
      <c r="C646">
        <v>6</v>
      </c>
      <c r="D646">
        <v>987</v>
      </c>
      <c r="E646">
        <v>28</v>
      </c>
      <c r="F646">
        <v>49</v>
      </c>
      <c r="G646">
        <v>161</v>
      </c>
      <c r="H646">
        <v>42</v>
      </c>
      <c r="I646">
        <v>208</v>
      </c>
      <c r="J646">
        <v>32</v>
      </c>
      <c r="K646">
        <v>112</v>
      </c>
      <c r="L646">
        <v>52</v>
      </c>
      <c r="M646">
        <v>38</v>
      </c>
      <c r="N646">
        <v>86</v>
      </c>
      <c r="O646">
        <v>96</v>
      </c>
      <c r="P646">
        <v>71</v>
      </c>
      <c r="Q646">
        <v>0</v>
      </c>
    </row>
    <row r="647" spans="1:17" x14ac:dyDescent="0.45">
      <c r="A647" t="s">
        <v>66</v>
      </c>
      <c r="B647" t="s">
        <v>21</v>
      </c>
      <c r="C647">
        <v>6</v>
      </c>
      <c r="D647">
        <v>1081</v>
      </c>
      <c r="E647">
        <v>29</v>
      </c>
      <c r="F647">
        <v>46</v>
      </c>
      <c r="G647">
        <v>117</v>
      </c>
      <c r="H647">
        <v>56</v>
      </c>
      <c r="I647">
        <v>246</v>
      </c>
      <c r="J647">
        <v>44</v>
      </c>
      <c r="K647">
        <v>119</v>
      </c>
      <c r="L647">
        <v>53</v>
      </c>
      <c r="M647">
        <v>35</v>
      </c>
      <c r="N647">
        <v>100</v>
      </c>
      <c r="O647">
        <v>77</v>
      </c>
      <c r="P647">
        <v>50</v>
      </c>
      <c r="Q647">
        <v>2</v>
      </c>
    </row>
    <row r="648" spans="1:17" x14ac:dyDescent="0.45">
      <c r="A648" t="s">
        <v>66</v>
      </c>
      <c r="B648" t="s">
        <v>20</v>
      </c>
      <c r="C648">
        <v>7</v>
      </c>
      <c r="D648">
        <v>816</v>
      </c>
      <c r="E648">
        <v>23</v>
      </c>
      <c r="F648">
        <v>51</v>
      </c>
      <c r="G648">
        <v>68</v>
      </c>
      <c r="H648">
        <v>39</v>
      </c>
      <c r="I648">
        <v>224</v>
      </c>
      <c r="J648">
        <v>21</v>
      </c>
      <c r="K648">
        <v>19</v>
      </c>
      <c r="L648">
        <v>12</v>
      </c>
      <c r="M648">
        <v>21</v>
      </c>
      <c r="N648">
        <v>36</v>
      </c>
      <c r="O648">
        <v>25</v>
      </c>
      <c r="P648">
        <v>13</v>
      </c>
      <c r="Q648">
        <v>0</v>
      </c>
    </row>
    <row r="649" spans="1:17" x14ac:dyDescent="0.45">
      <c r="A649" t="s">
        <v>66</v>
      </c>
      <c r="B649" t="s">
        <v>21</v>
      </c>
      <c r="C649">
        <v>7</v>
      </c>
      <c r="D649">
        <v>1089</v>
      </c>
      <c r="E649">
        <v>8</v>
      </c>
      <c r="F649">
        <v>31</v>
      </c>
      <c r="G649">
        <v>106</v>
      </c>
      <c r="H649">
        <v>29</v>
      </c>
      <c r="I649">
        <v>229</v>
      </c>
      <c r="J649">
        <v>17</v>
      </c>
      <c r="K649">
        <v>41</v>
      </c>
      <c r="L649">
        <v>30</v>
      </c>
      <c r="M649">
        <v>28</v>
      </c>
      <c r="N649">
        <v>46</v>
      </c>
      <c r="O649">
        <v>38</v>
      </c>
      <c r="P649">
        <v>23</v>
      </c>
      <c r="Q649">
        <v>0</v>
      </c>
    </row>
    <row r="650" spans="1:17" x14ac:dyDescent="0.45">
      <c r="A650" t="s">
        <v>66</v>
      </c>
      <c r="B650" t="s">
        <v>20</v>
      </c>
      <c r="C650">
        <v>8</v>
      </c>
      <c r="D650">
        <v>767</v>
      </c>
      <c r="E650">
        <v>11</v>
      </c>
      <c r="F650">
        <v>30</v>
      </c>
      <c r="G650">
        <v>49</v>
      </c>
      <c r="H650">
        <v>13</v>
      </c>
      <c r="I650">
        <v>199</v>
      </c>
      <c r="J650">
        <v>10</v>
      </c>
      <c r="K650">
        <v>14</v>
      </c>
      <c r="L650">
        <v>15</v>
      </c>
      <c r="M650">
        <v>14</v>
      </c>
      <c r="N650">
        <v>8</v>
      </c>
      <c r="O650">
        <v>19</v>
      </c>
      <c r="P650">
        <v>14</v>
      </c>
      <c r="Q650">
        <v>0</v>
      </c>
    </row>
    <row r="651" spans="1:17" x14ac:dyDescent="0.45">
      <c r="A651" t="s">
        <v>66</v>
      </c>
      <c r="B651" t="s">
        <v>21</v>
      </c>
      <c r="C651">
        <v>8</v>
      </c>
      <c r="D651">
        <v>893</v>
      </c>
      <c r="E651">
        <v>13</v>
      </c>
      <c r="F651">
        <v>26</v>
      </c>
      <c r="G651">
        <v>69</v>
      </c>
      <c r="H651">
        <v>18</v>
      </c>
      <c r="I651">
        <v>238</v>
      </c>
      <c r="J651">
        <v>18</v>
      </c>
      <c r="K651">
        <v>37</v>
      </c>
      <c r="L651">
        <v>15</v>
      </c>
      <c r="M651">
        <v>18</v>
      </c>
      <c r="N651">
        <v>10</v>
      </c>
      <c r="O651">
        <v>32</v>
      </c>
      <c r="P651">
        <v>7</v>
      </c>
    </row>
    <row r="652" spans="1:17" x14ac:dyDescent="0.45">
      <c r="A652" t="s">
        <v>66</v>
      </c>
      <c r="B652" t="s">
        <v>20</v>
      </c>
      <c r="C652">
        <v>9</v>
      </c>
      <c r="D652">
        <v>1011</v>
      </c>
      <c r="E652">
        <v>14</v>
      </c>
      <c r="F652">
        <v>30</v>
      </c>
      <c r="G652">
        <v>57</v>
      </c>
      <c r="H652">
        <v>29</v>
      </c>
      <c r="I652">
        <v>198</v>
      </c>
      <c r="J652">
        <v>24</v>
      </c>
      <c r="K652">
        <v>20</v>
      </c>
      <c r="L652">
        <v>9</v>
      </c>
      <c r="M652">
        <v>32</v>
      </c>
      <c r="N652">
        <v>11</v>
      </c>
      <c r="O652">
        <v>13</v>
      </c>
      <c r="P652">
        <v>6</v>
      </c>
      <c r="Q652">
        <v>2</v>
      </c>
    </row>
    <row r="653" spans="1:17" x14ac:dyDescent="0.45">
      <c r="A653" t="s">
        <v>66</v>
      </c>
      <c r="B653" t="s">
        <v>21</v>
      </c>
      <c r="C653">
        <v>9</v>
      </c>
      <c r="D653">
        <v>944</v>
      </c>
      <c r="E653">
        <v>7</v>
      </c>
      <c r="F653">
        <v>39</v>
      </c>
      <c r="G653">
        <v>52</v>
      </c>
      <c r="H653">
        <v>11</v>
      </c>
      <c r="I653">
        <v>190</v>
      </c>
      <c r="J653">
        <v>21</v>
      </c>
      <c r="K653">
        <v>14</v>
      </c>
      <c r="L653">
        <v>11</v>
      </c>
      <c r="M653">
        <v>18</v>
      </c>
      <c r="N653">
        <v>7</v>
      </c>
      <c r="O653">
        <v>24</v>
      </c>
      <c r="P653">
        <v>4</v>
      </c>
      <c r="Q653">
        <v>0</v>
      </c>
    </row>
    <row r="654" spans="1:17" x14ac:dyDescent="0.45">
      <c r="A654" t="s">
        <v>66</v>
      </c>
      <c r="B654" t="s">
        <v>20</v>
      </c>
      <c r="C654">
        <v>10</v>
      </c>
      <c r="D654">
        <v>1062</v>
      </c>
      <c r="E654">
        <v>21</v>
      </c>
      <c r="F654">
        <v>67</v>
      </c>
      <c r="G654">
        <v>60</v>
      </c>
      <c r="H654">
        <v>76</v>
      </c>
      <c r="I654">
        <v>316</v>
      </c>
      <c r="J654">
        <v>38</v>
      </c>
      <c r="K654">
        <v>27</v>
      </c>
      <c r="L654">
        <v>23</v>
      </c>
      <c r="M654">
        <v>49</v>
      </c>
      <c r="N654">
        <v>40</v>
      </c>
      <c r="O654">
        <v>31</v>
      </c>
      <c r="P654">
        <v>19</v>
      </c>
      <c r="Q654">
        <v>0</v>
      </c>
    </row>
    <row r="655" spans="1:17" x14ac:dyDescent="0.45">
      <c r="A655" t="s">
        <v>66</v>
      </c>
      <c r="B655" t="s">
        <v>21</v>
      </c>
      <c r="C655">
        <v>10</v>
      </c>
      <c r="D655">
        <v>1422</v>
      </c>
      <c r="E655">
        <v>35</v>
      </c>
      <c r="F655">
        <v>58</v>
      </c>
      <c r="G655">
        <v>134</v>
      </c>
      <c r="H655">
        <v>35</v>
      </c>
      <c r="I655">
        <v>329</v>
      </c>
      <c r="J655">
        <v>55</v>
      </c>
      <c r="K655">
        <v>62</v>
      </c>
      <c r="L655">
        <v>31</v>
      </c>
      <c r="M655">
        <v>38</v>
      </c>
      <c r="N655">
        <v>31</v>
      </c>
      <c r="O655">
        <v>25</v>
      </c>
      <c r="P655">
        <v>11</v>
      </c>
      <c r="Q655">
        <v>4</v>
      </c>
    </row>
    <row r="656" spans="1:17" x14ac:dyDescent="0.45">
      <c r="A656" t="s">
        <v>66</v>
      </c>
      <c r="B656" t="s">
        <v>20</v>
      </c>
      <c r="C656">
        <v>11</v>
      </c>
      <c r="D656">
        <v>990</v>
      </c>
      <c r="E656">
        <v>26</v>
      </c>
      <c r="F656">
        <v>69</v>
      </c>
      <c r="G656">
        <v>113</v>
      </c>
      <c r="H656">
        <v>78</v>
      </c>
      <c r="I656">
        <v>244</v>
      </c>
      <c r="J656">
        <v>33</v>
      </c>
      <c r="K656">
        <v>36</v>
      </c>
      <c r="L656">
        <v>26</v>
      </c>
      <c r="M656">
        <v>38</v>
      </c>
      <c r="N656">
        <v>29</v>
      </c>
      <c r="O656">
        <v>27</v>
      </c>
      <c r="P656">
        <v>20</v>
      </c>
      <c r="Q656">
        <v>0</v>
      </c>
    </row>
    <row r="657" spans="1:17" x14ac:dyDescent="0.45">
      <c r="A657" t="s">
        <v>66</v>
      </c>
      <c r="B657" t="s">
        <v>21</v>
      </c>
      <c r="C657">
        <v>11</v>
      </c>
      <c r="D657">
        <v>1162</v>
      </c>
      <c r="E657">
        <v>44</v>
      </c>
      <c r="F657">
        <v>32</v>
      </c>
      <c r="G657">
        <v>132</v>
      </c>
      <c r="H657">
        <v>42</v>
      </c>
      <c r="I657">
        <v>248</v>
      </c>
      <c r="J657">
        <v>16</v>
      </c>
      <c r="K657">
        <v>47</v>
      </c>
      <c r="L657">
        <v>12</v>
      </c>
      <c r="M657">
        <v>40</v>
      </c>
      <c r="N657">
        <v>28</v>
      </c>
      <c r="O657">
        <v>27</v>
      </c>
      <c r="P657">
        <v>12</v>
      </c>
      <c r="Q657">
        <v>0</v>
      </c>
    </row>
    <row r="658" spans="1:17" x14ac:dyDescent="0.45">
      <c r="A658" t="s">
        <v>66</v>
      </c>
      <c r="B658" t="s">
        <v>20</v>
      </c>
      <c r="C658">
        <v>12</v>
      </c>
      <c r="D658">
        <v>1126</v>
      </c>
      <c r="E658">
        <v>28</v>
      </c>
      <c r="F658">
        <v>34</v>
      </c>
      <c r="G658">
        <v>132</v>
      </c>
      <c r="H658">
        <v>41</v>
      </c>
      <c r="I658">
        <v>176</v>
      </c>
      <c r="J658">
        <v>19</v>
      </c>
      <c r="K658">
        <v>76</v>
      </c>
      <c r="L658">
        <v>23</v>
      </c>
      <c r="M658">
        <v>16</v>
      </c>
      <c r="N658">
        <v>40</v>
      </c>
      <c r="O658">
        <v>38</v>
      </c>
      <c r="P658">
        <v>13</v>
      </c>
      <c r="Q658">
        <v>2</v>
      </c>
    </row>
    <row r="659" spans="1:17" x14ac:dyDescent="0.45">
      <c r="A659" t="s">
        <v>66</v>
      </c>
      <c r="B659" t="s">
        <v>21</v>
      </c>
      <c r="C659">
        <v>12</v>
      </c>
      <c r="D659">
        <v>1270</v>
      </c>
      <c r="E659">
        <v>32</v>
      </c>
      <c r="F659">
        <v>32</v>
      </c>
      <c r="G659">
        <v>213</v>
      </c>
      <c r="H659">
        <v>32</v>
      </c>
      <c r="I659">
        <v>238</v>
      </c>
      <c r="J659">
        <v>21</v>
      </c>
      <c r="K659">
        <v>89</v>
      </c>
      <c r="L659">
        <v>26</v>
      </c>
      <c r="M659">
        <v>22</v>
      </c>
      <c r="N659">
        <v>30</v>
      </c>
      <c r="O659">
        <v>37</v>
      </c>
      <c r="P659">
        <v>15</v>
      </c>
      <c r="Q659">
        <v>2</v>
      </c>
    </row>
    <row r="660" spans="1:17" x14ac:dyDescent="0.45">
      <c r="A660" t="s">
        <v>50</v>
      </c>
      <c r="B660" t="s">
        <v>20</v>
      </c>
      <c r="C660">
        <v>1</v>
      </c>
      <c r="D660">
        <v>392</v>
      </c>
      <c r="E660">
        <v>21</v>
      </c>
      <c r="F660">
        <v>11</v>
      </c>
      <c r="G660">
        <v>55</v>
      </c>
      <c r="H660">
        <v>0</v>
      </c>
      <c r="I660">
        <v>37</v>
      </c>
      <c r="J660">
        <v>6</v>
      </c>
      <c r="K660">
        <v>17</v>
      </c>
      <c r="L660">
        <v>6</v>
      </c>
      <c r="M660">
        <v>13</v>
      </c>
      <c r="N660">
        <v>23</v>
      </c>
      <c r="O660">
        <v>18</v>
      </c>
      <c r="P660">
        <v>7</v>
      </c>
      <c r="Q660">
        <v>0</v>
      </c>
    </row>
    <row r="661" spans="1:17" x14ac:dyDescent="0.45">
      <c r="A661" t="s">
        <v>50</v>
      </c>
      <c r="B661" t="s">
        <v>21</v>
      </c>
      <c r="C661">
        <v>1</v>
      </c>
      <c r="D661">
        <v>337</v>
      </c>
      <c r="E661">
        <v>22</v>
      </c>
      <c r="F661">
        <v>8</v>
      </c>
      <c r="G661">
        <v>44</v>
      </c>
      <c r="H661">
        <v>2</v>
      </c>
      <c r="I661">
        <v>70</v>
      </c>
      <c r="J661">
        <v>9</v>
      </c>
      <c r="K661">
        <v>24</v>
      </c>
      <c r="L661">
        <v>6</v>
      </c>
      <c r="M661">
        <v>8</v>
      </c>
      <c r="N661">
        <v>33</v>
      </c>
      <c r="O661">
        <v>14</v>
      </c>
      <c r="P661">
        <v>9</v>
      </c>
      <c r="Q661">
        <v>0</v>
      </c>
    </row>
    <row r="662" spans="1:17" x14ac:dyDescent="0.45">
      <c r="A662" t="s">
        <v>50</v>
      </c>
      <c r="B662" t="s">
        <v>20</v>
      </c>
      <c r="C662">
        <v>2</v>
      </c>
      <c r="D662">
        <v>365</v>
      </c>
      <c r="E662">
        <v>26</v>
      </c>
      <c r="F662">
        <v>6</v>
      </c>
      <c r="G662">
        <v>35</v>
      </c>
      <c r="H662">
        <v>1</v>
      </c>
      <c r="I662">
        <v>45</v>
      </c>
      <c r="J662">
        <v>9</v>
      </c>
      <c r="K662">
        <v>19</v>
      </c>
      <c r="L662">
        <v>10</v>
      </c>
      <c r="M662">
        <v>7</v>
      </c>
      <c r="N662">
        <v>18</v>
      </c>
      <c r="O662">
        <v>14</v>
      </c>
      <c r="P662">
        <v>6</v>
      </c>
      <c r="Q662">
        <v>2</v>
      </c>
    </row>
    <row r="663" spans="1:17" x14ac:dyDescent="0.45">
      <c r="A663" t="s">
        <v>50</v>
      </c>
      <c r="B663" t="s">
        <v>21</v>
      </c>
      <c r="C663">
        <v>2</v>
      </c>
      <c r="D663">
        <v>374</v>
      </c>
      <c r="E663">
        <v>24</v>
      </c>
      <c r="F663">
        <v>12</v>
      </c>
      <c r="G663">
        <v>19</v>
      </c>
      <c r="H663">
        <v>16</v>
      </c>
      <c r="I663">
        <v>67</v>
      </c>
      <c r="J663">
        <v>11</v>
      </c>
      <c r="K663">
        <v>18</v>
      </c>
      <c r="L663">
        <v>6</v>
      </c>
      <c r="M663">
        <v>13</v>
      </c>
      <c r="N663">
        <v>20</v>
      </c>
      <c r="O663">
        <v>9</v>
      </c>
      <c r="P663">
        <v>9</v>
      </c>
      <c r="Q663">
        <v>0</v>
      </c>
    </row>
    <row r="664" spans="1:17" x14ac:dyDescent="0.45">
      <c r="A664" t="s">
        <v>50</v>
      </c>
      <c r="B664" t="s">
        <v>20</v>
      </c>
      <c r="C664">
        <v>3</v>
      </c>
      <c r="D664">
        <v>477</v>
      </c>
      <c r="E664">
        <v>29</v>
      </c>
      <c r="F664">
        <v>23</v>
      </c>
      <c r="G664">
        <v>74</v>
      </c>
      <c r="H664">
        <v>5</v>
      </c>
      <c r="I664">
        <v>72</v>
      </c>
      <c r="J664">
        <v>8</v>
      </c>
      <c r="K664">
        <v>41</v>
      </c>
      <c r="L664">
        <v>14</v>
      </c>
      <c r="M664">
        <v>17</v>
      </c>
      <c r="N664">
        <v>52</v>
      </c>
      <c r="O664">
        <v>63</v>
      </c>
      <c r="P664">
        <v>42</v>
      </c>
      <c r="Q664">
        <v>16</v>
      </c>
    </row>
    <row r="665" spans="1:17" x14ac:dyDescent="0.45">
      <c r="A665" t="s">
        <v>50</v>
      </c>
      <c r="B665" t="s">
        <v>21</v>
      </c>
      <c r="C665">
        <v>3</v>
      </c>
      <c r="D665">
        <v>493</v>
      </c>
      <c r="E665">
        <v>32</v>
      </c>
      <c r="F665">
        <v>20</v>
      </c>
      <c r="G665">
        <v>79</v>
      </c>
      <c r="H665">
        <v>5</v>
      </c>
      <c r="I665">
        <v>79</v>
      </c>
      <c r="J665">
        <v>18</v>
      </c>
      <c r="K665">
        <v>40</v>
      </c>
      <c r="L665">
        <v>9</v>
      </c>
      <c r="M665">
        <v>34</v>
      </c>
      <c r="N665">
        <v>110</v>
      </c>
      <c r="O665">
        <v>66</v>
      </c>
      <c r="P665">
        <v>82</v>
      </c>
      <c r="Q665">
        <v>12</v>
      </c>
    </row>
    <row r="666" spans="1:17" x14ac:dyDescent="0.45">
      <c r="A666" t="s">
        <v>50</v>
      </c>
      <c r="B666" t="s">
        <v>20</v>
      </c>
      <c r="C666">
        <v>4</v>
      </c>
      <c r="D666">
        <v>448</v>
      </c>
      <c r="E666">
        <v>28</v>
      </c>
      <c r="F666">
        <v>30</v>
      </c>
      <c r="G666">
        <v>105</v>
      </c>
      <c r="H666">
        <v>8</v>
      </c>
      <c r="I666">
        <v>78</v>
      </c>
      <c r="J666">
        <v>20</v>
      </c>
      <c r="K666">
        <v>107</v>
      </c>
      <c r="L666">
        <v>35</v>
      </c>
      <c r="M666">
        <v>15</v>
      </c>
      <c r="N666">
        <v>142</v>
      </c>
      <c r="O666">
        <v>137</v>
      </c>
      <c r="P666">
        <v>134</v>
      </c>
      <c r="Q666">
        <v>0</v>
      </c>
    </row>
    <row r="667" spans="1:17" x14ac:dyDescent="0.45">
      <c r="A667" t="s">
        <v>50</v>
      </c>
      <c r="B667" t="s">
        <v>21</v>
      </c>
      <c r="C667">
        <v>4</v>
      </c>
      <c r="D667">
        <v>559</v>
      </c>
      <c r="E667">
        <v>29</v>
      </c>
      <c r="F667">
        <v>27</v>
      </c>
      <c r="G667">
        <v>86</v>
      </c>
      <c r="H667">
        <v>18</v>
      </c>
      <c r="I667">
        <v>120</v>
      </c>
      <c r="J667">
        <v>24</v>
      </c>
      <c r="K667">
        <v>146</v>
      </c>
      <c r="L667">
        <v>51</v>
      </c>
      <c r="M667">
        <v>41</v>
      </c>
      <c r="N667">
        <v>180</v>
      </c>
      <c r="O667">
        <v>102</v>
      </c>
      <c r="P667">
        <v>106</v>
      </c>
      <c r="Q667">
        <v>7</v>
      </c>
    </row>
    <row r="668" spans="1:17" x14ac:dyDescent="0.45">
      <c r="A668" t="s">
        <v>50</v>
      </c>
      <c r="B668" t="s">
        <v>20</v>
      </c>
      <c r="C668">
        <v>5</v>
      </c>
      <c r="D668">
        <v>354</v>
      </c>
      <c r="E668">
        <v>30</v>
      </c>
      <c r="F668">
        <v>17</v>
      </c>
      <c r="G668">
        <v>76</v>
      </c>
      <c r="H668">
        <v>13</v>
      </c>
      <c r="I668">
        <v>71</v>
      </c>
      <c r="J668">
        <v>7</v>
      </c>
      <c r="K668">
        <v>32</v>
      </c>
      <c r="L668">
        <v>18</v>
      </c>
      <c r="M668">
        <v>9</v>
      </c>
      <c r="N668">
        <v>86</v>
      </c>
      <c r="O668">
        <v>53</v>
      </c>
      <c r="P668">
        <v>57</v>
      </c>
      <c r="Q668">
        <v>12</v>
      </c>
    </row>
    <row r="669" spans="1:17" x14ac:dyDescent="0.45">
      <c r="A669" t="s">
        <v>50</v>
      </c>
      <c r="B669" t="s">
        <v>21</v>
      </c>
      <c r="C669">
        <v>5</v>
      </c>
      <c r="D669">
        <v>442</v>
      </c>
      <c r="E669">
        <v>37</v>
      </c>
      <c r="F669">
        <v>9</v>
      </c>
      <c r="G669">
        <v>61</v>
      </c>
      <c r="H669">
        <v>17</v>
      </c>
      <c r="I669">
        <v>111</v>
      </c>
      <c r="J669">
        <v>14</v>
      </c>
      <c r="K669">
        <v>63</v>
      </c>
      <c r="L669">
        <v>19</v>
      </c>
      <c r="M669">
        <v>15</v>
      </c>
      <c r="N669">
        <v>87</v>
      </c>
      <c r="O669">
        <v>75</v>
      </c>
      <c r="P669">
        <v>60</v>
      </c>
      <c r="Q669">
        <v>6</v>
      </c>
    </row>
    <row r="670" spans="1:17" x14ac:dyDescent="0.45">
      <c r="A670" t="s">
        <v>50</v>
      </c>
      <c r="B670" t="s">
        <v>20</v>
      </c>
      <c r="C670">
        <v>6</v>
      </c>
      <c r="D670">
        <v>369</v>
      </c>
      <c r="E670">
        <v>31</v>
      </c>
      <c r="F670">
        <v>20</v>
      </c>
      <c r="G670">
        <v>66</v>
      </c>
      <c r="H670">
        <v>9</v>
      </c>
      <c r="I670">
        <v>92</v>
      </c>
      <c r="J670">
        <v>11</v>
      </c>
      <c r="K670">
        <v>25</v>
      </c>
      <c r="L670">
        <v>15</v>
      </c>
      <c r="M670">
        <v>24</v>
      </c>
      <c r="N670">
        <v>61</v>
      </c>
      <c r="O670">
        <v>42</v>
      </c>
      <c r="P670">
        <v>19</v>
      </c>
      <c r="Q670">
        <v>0</v>
      </c>
    </row>
    <row r="671" spans="1:17" x14ac:dyDescent="0.45">
      <c r="A671" t="s">
        <v>50</v>
      </c>
      <c r="B671" t="s">
        <v>21</v>
      </c>
      <c r="C671">
        <v>6</v>
      </c>
      <c r="D671">
        <v>530</v>
      </c>
      <c r="E671">
        <v>53</v>
      </c>
      <c r="F671">
        <v>12</v>
      </c>
      <c r="G671">
        <v>62</v>
      </c>
      <c r="H671">
        <v>8</v>
      </c>
      <c r="I671">
        <v>99</v>
      </c>
      <c r="J671">
        <v>17</v>
      </c>
      <c r="K671">
        <v>34</v>
      </c>
      <c r="L671">
        <v>19</v>
      </c>
      <c r="M671">
        <v>16</v>
      </c>
      <c r="N671">
        <v>57</v>
      </c>
      <c r="O671">
        <v>37</v>
      </c>
      <c r="P671">
        <v>28</v>
      </c>
      <c r="Q671">
        <v>7</v>
      </c>
    </row>
    <row r="672" spans="1:17" x14ac:dyDescent="0.45">
      <c r="A672" t="s">
        <v>50</v>
      </c>
      <c r="B672" t="s">
        <v>20</v>
      </c>
      <c r="C672">
        <v>7</v>
      </c>
      <c r="D672">
        <v>320</v>
      </c>
      <c r="E672">
        <v>45</v>
      </c>
      <c r="F672">
        <v>21</v>
      </c>
      <c r="G672">
        <v>29</v>
      </c>
      <c r="H672">
        <v>5</v>
      </c>
      <c r="I672">
        <v>80</v>
      </c>
      <c r="J672">
        <v>14</v>
      </c>
      <c r="K672">
        <v>21</v>
      </c>
      <c r="L672">
        <v>3</v>
      </c>
      <c r="M672">
        <v>12</v>
      </c>
      <c r="N672">
        <v>24</v>
      </c>
      <c r="O672">
        <v>23</v>
      </c>
      <c r="P672">
        <v>16</v>
      </c>
      <c r="Q672">
        <v>1</v>
      </c>
    </row>
    <row r="673" spans="1:17" x14ac:dyDescent="0.45">
      <c r="A673" t="s">
        <v>50</v>
      </c>
      <c r="B673" t="s">
        <v>21</v>
      </c>
      <c r="C673">
        <v>7</v>
      </c>
      <c r="D673">
        <v>452</v>
      </c>
      <c r="E673">
        <v>55</v>
      </c>
      <c r="F673">
        <v>19</v>
      </c>
      <c r="G673">
        <v>22</v>
      </c>
      <c r="H673">
        <v>20</v>
      </c>
      <c r="I673">
        <v>120</v>
      </c>
      <c r="J673">
        <v>8</v>
      </c>
      <c r="K673">
        <v>16</v>
      </c>
      <c r="L673">
        <v>9</v>
      </c>
      <c r="M673">
        <v>10</v>
      </c>
      <c r="N673">
        <v>17</v>
      </c>
      <c r="O673">
        <v>37</v>
      </c>
      <c r="P673">
        <v>11</v>
      </c>
      <c r="Q673">
        <v>4</v>
      </c>
    </row>
    <row r="674" spans="1:17" x14ac:dyDescent="0.45">
      <c r="A674" t="s">
        <v>50</v>
      </c>
      <c r="B674" t="s">
        <v>20</v>
      </c>
      <c r="C674">
        <v>8</v>
      </c>
      <c r="D674">
        <v>316</v>
      </c>
      <c r="E674">
        <v>28</v>
      </c>
      <c r="F674">
        <v>14</v>
      </c>
      <c r="G674">
        <v>26</v>
      </c>
      <c r="H674">
        <v>2</v>
      </c>
      <c r="I674">
        <v>98</v>
      </c>
      <c r="J674">
        <v>8</v>
      </c>
      <c r="K674">
        <v>10</v>
      </c>
      <c r="L674">
        <v>6</v>
      </c>
      <c r="M674">
        <v>15</v>
      </c>
      <c r="N674">
        <v>16</v>
      </c>
      <c r="O674">
        <v>16</v>
      </c>
      <c r="P674">
        <v>6</v>
      </c>
      <c r="Q674">
        <v>0</v>
      </c>
    </row>
    <row r="675" spans="1:17" x14ac:dyDescent="0.45">
      <c r="A675" t="s">
        <v>50</v>
      </c>
      <c r="B675" t="s">
        <v>21</v>
      </c>
      <c r="C675">
        <v>8</v>
      </c>
      <c r="D675">
        <v>310</v>
      </c>
      <c r="E675">
        <v>28</v>
      </c>
      <c r="F675">
        <v>8</v>
      </c>
      <c r="G675">
        <v>45</v>
      </c>
      <c r="H675">
        <v>5</v>
      </c>
      <c r="I675">
        <v>122</v>
      </c>
      <c r="J675">
        <v>14</v>
      </c>
      <c r="K675">
        <v>8</v>
      </c>
      <c r="L675">
        <v>4</v>
      </c>
      <c r="M675">
        <v>4</v>
      </c>
      <c r="N675">
        <v>8</v>
      </c>
      <c r="O675">
        <v>12</v>
      </c>
      <c r="P675">
        <v>5</v>
      </c>
      <c r="Q675">
        <v>0</v>
      </c>
    </row>
    <row r="676" spans="1:17" x14ac:dyDescent="0.45">
      <c r="A676" t="s">
        <v>50</v>
      </c>
      <c r="B676" t="s">
        <v>20</v>
      </c>
      <c r="C676">
        <v>9</v>
      </c>
      <c r="D676">
        <v>421</v>
      </c>
      <c r="E676">
        <v>36</v>
      </c>
      <c r="F676">
        <v>12</v>
      </c>
      <c r="G676">
        <v>13</v>
      </c>
      <c r="H676">
        <v>18</v>
      </c>
      <c r="I676">
        <v>108</v>
      </c>
      <c r="J676">
        <v>12</v>
      </c>
      <c r="K676">
        <v>4</v>
      </c>
      <c r="L676">
        <v>4</v>
      </c>
      <c r="M676">
        <v>18</v>
      </c>
      <c r="N676">
        <v>7</v>
      </c>
      <c r="O676">
        <v>15</v>
      </c>
      <c r="P676">
        <v>4</v>
      </c>
      <c r="Q676">
        <v>0</v>
      </c>
    </row>
    <row r="677" spans="1:17" x14ac:dyDescent="0.45">
      <c r="A677" t="s">
        <v>50</v>
      </c>
      <c r="B677" t="s">
        <v>21</v>
      </c>
      <c r="C677">
        <v>9</v>
      </c>
      <c r="D677">
        <v>360</v>
      </c>
      <c r="E677">
        <v>35</v>
      </c>
      <c r="F677">
        <v>16</v>
      </c>
      <c r="G677">
        <v>42</v>
      </c>
      <c r="H677">
        <v>3</v>
      </c>
      <c r="I677">
        <v>76</v>
      </c>
      <c r="J677">
        <v>10</v>
      </c>
      <c r="K677">
        <v>3</v>
      </c>
      <c r="L677">
        <v>9</v>
      </c>
      <c r="M677">
        <v>13</v>
      </c>
      <c r="N677">
        <v>14</v>
      </c>
      <c r="O677">
        <v>22</v>
      </c>
      <c r="P677">
        <v>3</v>
      </c>
      <c r="Q677">
        <v>0</v>
      </c>
    </row>
    <row r="678" spans="1:17" x14ac:dyDescent="0.45">
      <c r="A678" t="s">
        <v>50</v>
      </c>
      <c r="B678" t="s">
        <v>20</v>
      </c>
      <c r="C678">
        <v>10</v>
      </c>
      <c r="D678">
        <v>490</v>
      </c>
      <c r="E678">
        <v>48</v>
      </c>
      <c r="F678">
        <v>24</v>
      </c>
      <c r="G678">
        <v>33</v>
      </c>
      <c r="H678">
        <v>24</v>
      </c>
      <c r="I678">
        <v>109</v>
      </c>
      <c r="J678">
        <v>16</v>
      </c>
      <c r="K678">
        <v>28</v>
      </c>
      <c r="L678">
        <v>13</v>
      </c>
      <c r="M678">
        <v>27</v>
      </c>
      <c r="N678">
        <v>32</v>
      </c>
      <c r="O678">
        <v>21</v>
      </c>
      <c r="P678">
        <v>3</v>
      </c>
      <c r="Q678">
        <v>0</v>
      </c>
    </row>
    <row r="679" spans="1:17" x14ac:dyDescent="0.45">
      <c r="A679" t="s">
        <v>50</v>
      </c>
      <c r="B679" t="s">
        <v>21</v>
      </c>
      <c r="C679">
        <v>10</v>
      </c>
      <c r="D679">
        <v>534</v>
      </c>
      <c r="E679">
        <v>61</v>
      </c>
      <c r="F679">
        <v>16</v>
      </c>
      <c r="G679">
        <v>57</v>
      </c>
      <c r="H679">
        <v>5</v>
      </c>
      <c r="I679">
        <v>152</v>
      </c>
      <c r="J679">
        <v>18</v>
      </c>
      <c r="K679">
        <v>22</v>
      </c>
      <c r="L679">
        <v>10</v>
      </c>
      <c r="M679">
        <v>14</v>
      </c>
      <c r="N679">
        <v>33</v>
      </c>
      <c r="O679">
        <v>39</v>
      </c>
      <c r="P679">
        <v>37</v>
      </c>
      <c r="Q679">
        <v>0</v>
      </c>
    </row>
    <row r="680" spans="1:17" x14ac:dyDescent="0.45">
      <c r="A680" t="s">
        <v>50</v>
      </c>
      <c r="B680" t="s">
        <v>20</v>
      </c>
      <c r="C680">
        <v>11</v>
      </c>
      <c r="D680">
        <v>436</v>
      </c>
      <c r="E680">
        <v>33</v>
      </c>
      <c r="F680">
        <v>18</v>
      </c>
      <c r="G680">
        <v>60</v>
      </c>
      <c r="H680">
        <v>19</v>
      </c>
      <c r="I680">
        <v>108</v>
      </c>
      <c r="J680">
        <v>16</v>
      </c>
      <c r="K680">
        <v>25</v>
      </c>
      <c r="L680">
        <v>8</v>
      </c>
      <c r="M680">
        <v>16</v>
      </c>
      <c r="N680">
        <v>21</v>
      </c>
      <c r="O680">
        <v>35</v>
      </c>
      <c r="P680">
        <v>7</v>
      </c>
      <c r="Q680">
        <v>0</v>
      </c>
    </row>
    <row r="681" spans="1:17" x14ac:dyDescent="0.45">
      <c r="A681" t="s">
        <v>50</v>
      </c>
      <c r="B681" t="s">
        <v>21</v>
      </c>
      <c r="C681">
        <v>11</v>
      </c>
      <c r="D681">
        <v>413</v>
      </c>
      <c r="E681">
        <v>26</v>
      </c>
      <c r="F681">
        <v>16</v>
      </c>
      <c r="G681">
        <v>38</v>
      </c>
      <c r="H681">
        <v>9</v>
      </c>
      <c r="I681">
        <v>87</v>
      </c>
      <c r="J681">
        <v>15</v>
      </c>
      <c r="K681">
        <v>18</v>
      </c>
      <c r="L681">
        <v>10</v>
      </c>
      <c r="M681">
        <v>10</v>
      </c>
      <c r="N681">
        <v>34</v>
      </c>
      <c r="O681">
        <v>23</v>
      </c>
      <c r="P681">
        <v>9</v>
      </c>
      <c r="Q681">
        <v>0</v>
      </c>
    </row>
    <row r="682" spans="1:17" x14ac:dyDescent="0.45">
      <c r="A682" t="s">
        <v>50</v>
      </c>
      <c r="B682" t="s">
        <v>20</v>
      </c>
      <c r="C682">
        <v>12</v>
      </c>
      <c r="D682">
        <v>480</v>
      </c>
      <c r="E682">
        <v>32</v>
      </c>
      <c r="F682">
        <v>21</v>
      </c>
      <c r="G682">
        <v>60</v>
      </c>
      <c r="H682">
        <v>3</v>
      </c>
      <c r="I682">
        <v>87</v>
      </c>
      <c r="J682">
        <v>14</v>
      </c>
      <c r="K682">
        <v>31</v>
      </c>
      <c r="L682">
        <v>9</v>
      </c>
      <c r="M682">
        <v>8</v>
      </c>
      <c r="N682">
        <v>22</v>
      </c>
      <c r="O682">
        <v>30</v>
      </c>
      <c r="P682">
        <v>9</v>
      </c>
      <c r="Q682">
        <v>0</v>
      </c>
    </row>
    <row r="683" spans="1:17" x14ac:dyDescent="0.45">
      <c r="A683" t="s">
        <v>50</v>
      </c>
      <c r="B683" t="s">
        <v>21</v>
      </c>
      <c r="C683">
        <v>12</v>
      </c>
      <c r="D683">
        <v>455</v>
      </c>
      <c r="E683">
        <v>26</v>
      </c>
      <c r="F683">
        <v>12</v>
      </c>
      <c r="G683">
        <v>74</v>
      </c>
      <c r="H683">
        <v>5</v>
      </c>
      <c r="I683">
        <v>88</v>
      </c>
      <c r="J683">
        <v>13</v>
      </c>
      <c r="K683">
        <v>34</v>
      </c>
      <c r="L683">
        <v>10</v>
      </c>
      <c r="M683">
        <v>19</v>
      </c>
      <c r="N683">
        <v>27</v>
      </c>
      <c r="O683">
        <v>33</v>
      </c>
      <c r="P683">
        <v>9</v>
      </c>
      <c r="Q683">
        <v>2</v>
      </c>
    </row>
    <row r="684" spans="1:17" x14ac:dyDescent="0.45">
      <c r="A684" t="s">
        <v>85</v>
      </c>
      <c r="B684" t="s">
        <v>20</v>
      </c>
      <c r="C684">
        <v>1</v>
      </c>
      <c r="D684">
        <v>535</v>
      </c>
      <c r="E684">
        <v>26</v>
      </c>
      <c r="F684">
        <v>22</v>
      </c>
      <c r="G684">
        <v>107</v>
      </c>
      <c r="H684">
        <v>4</v>
      </c>
      <c r="I684">
        <v>75</v>
      </c>
      <c r="J684">
        <v>17</v>
      </c>
      <c r="K684">
        <v>84</v>
      </c>
      <c r="L684">
        <v>14</v>
      </c>
      <c r="M684">
        <v>13</v>
      </c>
      <c r="N684">
        <v>25</v>
      </c>
      <c r="O684">
        <v>24</v>
      </c>
      <c r="P684">
        <v>9</v>
      </c>
      <c r="Q684">
        <v>2</v>
      </c>
    </row>
    <row r="685" spans="1:17" x14ac:dyDescent="0.45">
      <c r="A685" t="s">
        <v>85</v>
      </c>
      <c r="B685" t="s">
        <v>21</v>
      </c>
      <c r="C685">
        <v>1</v>
      </c>
      <c r="D685">
        <v>622</v>
      </c>
      <c r="E685">
        <v>32</v>
      </c>
      <c r="F685">
        <v>18</v>
      </c>
      <c r="G685">
        <v>88</v>
      </c>
      <c r="H685">
        <v>7</v>
      </c>
      <c r="I685">
        <v>99</v>
      </c>
      <c r="J685">
        <v>9</v>
      </c>
      <c r="K685">
        <v>46</v>
      </c>
      <c r="L685">
        <v>13</v>
      </c>
      <c r="M685">
        <v>13</v>
      </c>
      <c r="N685">
        <v>51</v>
      </c>
      <c r="O685">
        <v>26</v>
      </c>
      <c r="P685">
        <v>7</v>
      </c>
      <c r="Q685">
        <v>0</v>
      </c>
    </row>
    <row r="686" spans="1:17" x14ac:dyDescent="0.45">
      <c r="A686" t="s">
        <v>85</v>
      </c>
      <c r="B686" t="s">
        <v>20</v>
      </c>
      <c r="C686">
        <v>2</v>
      </c>
      <c r="D686">
        <v>481</v>
      </c>
      <c r="E686">
        <v>16</v>
      </c>
      <c r="F686">
        <v>20</v>
      </c>
      <c r="G686">
        <v>41</v>
      </c>
      <c r="H686">
        <v>13</v>
      </c>
      <c r="I686">
        <v>88</v>
      </c>
      <c r="J686">
        <v>5</v>
      </c>
      <c r="K686">
        <v>40</v>
      </c>
      <c r="L686">
        <v>13</v>
      </c>
      <c r="M686">
        <v>15</v>
      </c>
      <c r="N686">
        <v>26</v>
      </c>
      <c r="O686">
        <v>29</v>
      </c>
      <c r="P686">
        <v>4</v>
      </c>
      <c r="Q686">
        <v>1</v>
      </c>
    </row>
    <row r="687" spans="1:17" x14ac:dyDescent="0.45">
      <c r="A687" t="s">
        <v>85</v>
      </c>
      <c r="B687" t="s">
        <v>21</v>
      </c>
      <c r="C687">
        <v>2</v>
      </c>
      <c r="D687">
        <v>602</v>
      </c>
      <c r="E687">
        <v>11</v>
      </c>
      <c r="F687">
        <v>17</v>
      </c>
      <c r="G687">
        <v>52</v>
      </c>
      <c r="H687">
        <v>29</v>
      </c>
      <c r="I687">
        <v>123</v>
      </c>
      <c r="J687">
        <v>13</v>
      </c>
      <c r="K687">
        <v>53</v>
      </c>
      <c r="L687">
        <v>22</v>
      </c>
      <c r="M687">
        <v>18</v>
      </c>
      <c r="N687">
        <v>36</v>
      </c>
      <c r="O687">
        <v>27</v>
      </c>
      <c r="P687">
        <v>12</v>
      </c>
      <c r="Q687">
        <v>2</v>
      </c>
    </row>
    <row r="688" spans="1:17" x14ac:dyDescent="0.45">
      <c r="A688" t="s">
        <v>85</v>
      </c>
      <c r="B688" t="s">
        <v>20</v>
      </c>
      <c r="C688">
        <v>3</v>
      </c>
      <c r="D688">
        <v>655</v>
      </c>
      <c r="E688">
        <v>27</v>
      </c>
      <c r="F688">
        <v>44</v>
      </c>
      <c r="G688">
        <v>138</v>
      </c>
      <c r="H688">
        <v>9</v>
      </c>
      <c r="I688">
        <v>118</v>
      </c>
      <c r="J688">
        <v>27</v>
      </c>
      <c r="K688">
        <v>87</v>
      </c>
      <c r="L688">
        <v>23</v>
      </c>
      <c r="M688">
        <v>22</v>
      </c>
      <c r="N688">
        <v>123</v>
      </c>
      <c r="O688">
        <v>62</v>
      </c>
      <c r="P688">
        <v>75</v>
      </c>
      <c r="Q688">
        <v>2</v>
      </c>
    </row>
    <row r="689" spans="1:17" x14ac:dyDescent="0.45">
      <c r="A689" t="s">
        <v>85</v>
      </c>
      <c r="B689" t="s">
        <v>21</v>
      </c>
      <c r="C689">
        <v>3</v>
      </c>
      <c r="D689">
        <v>696</v>
      </c>
      <c r="E689">
        <v>40</v>
      </c>
      <c r="F689">
        <v>52</v>
      </c>
      <c r="G689">
        <v>138</v>
      </c>
      <c r="H689">
        <v>16</v>
      </c>
      <c r="I689">
        <v>148</v>
      </c>
      <c r="J689">
        <v>18</v>
      </c>
      <c r="K689">
        <v>121</v>
      </c>
      <c r="L689">
        <v>37</v>
      </c>
      <c r="M689">
        <v>27</v>
      </c>
      <c r="N689">
        <v>151</v>
      </c>
      <c r="O689">
        <v>102</v>
      </c>
      <c r="P689">
        <v>118</v>
      </c>
      <c r="Q689">
        <v>9</v>
      </c>
    </row>
    <row r="690" spans="1:17" x14ac:dyDescent="0.45">
      <c r="A690" t="s">
        <v>85</v>
      </c>
      <c r="B690" t="s">
        <v>20</v>
      </c>
      <c r="C690">
        <v>4</v>
      </c>
      <c r="D690">
        <v>660</v>
      </c>
      <c r="E690">
        <v>26</v>
      </c>
      <c r="F690">
        <v>54</v>
      </c>
      <c r="G690">
        <v>171</v>
      </c>
      <c r="H690">
        <v>15</v>
      </c>
      <c r="I690">
        <v>139</v>
      </c>
      <c r="J690">
        <v>27</v>
      </c>
      <c r="K690">
        <v>255</v>
      </c>
      <c r="L690">
        <v>103</v>
      </c>
      <c r="M690">
        <v>69</v>
      </c>
      <c r="N690">
        <v>306</v>
      </c>
      <c r="O690">
        <v>241</v>
      </c>
      <c r="P690">
        <v>175</v>
      </c>
      <c r="Q690">
        <v>8</v>
      </c>
    </row>
    <row r="691" spans="1:17" x14ac:dyDescent="0.45">
      <c r="A691" t="s">
        <v>85</v>
      </c>
      <c r="B691" t="s">
        <v>21</v>
      </c>
      <c r="C691">
        <v>4</v>
      </c>
      <c r="D691">
        <v>741</v>
      </c>
      <c r="E691">
        <v>24</v>
      </c>
      <c r="F691">
        <v>50</v>
      </c>
      <c r="G691">
        <v>156</v>
      </c>
      <c r="H691">
        <v>25</v>
      </c>
      <c r="I691">
        <v>141</v>
      </c>
      <c r="J691">
        <v>30</v>
      </c>
      <c r="K691">
        <v>254</v>
      </c>
      <c r="L691">
        <v>113</v>
      </c>
      <c r="M691">
        <v>63</v>
      </c>
      <c r="N691">
        <v>233</v>
      </c>
      <c r="O691">
        <v>152</v>
      </c>
      <c r="P691">
        <v>125</v>
      </c>
      <c r="Q691">
        <v>8</v>
      </c>
    </row>
    <row r="692" spans="1:17" x14ac:dyDescent="0.45">
      <c r="A692" t="s">
        <v>85</v>
      </c>
      <c r="B692" t="s">
        <v>20</v>
      </c>
      <c r="C692">
        <v>5</v>
      </c>
      <c r="D692">
        <v>575</v>
      </c>
      <c r="E692">
        <v>38</v>
      </c>
      <c r="F692">
        <v>42</v>
      </c>
      <c r="G692">
        <v>127</v>
      </c>
      <c r="H692">
        <v>12</v>
      </c>
      <c r="I692">
        <v>150</v>
      </c>
      <c r="J692">
        <v>41</v>
      </c>
      <c r="K692">
        <v>86</v>
      </c>
      <c r="L692">
        <v>53</v>
      </c>
      <c r="M692">
        <v>26</v>
      </c>
      <c r="N692">
        <v>164</v>
      </c>
      <c r="O692">
        <v>127</v>
      </c>
      <c r="P692">
        <v>68</v>
      </c>
      <c r="Q692">
        <v>4</v>
      </c>
    </row>
    <row r="693" spans="1:17" x14ac:dyDescent="0.45">
      <c r="A693" t="s">
        <v>85</v>
      </c>
      <c r="B693" t="s">
        <v>21</v>
      </c>
      <c r="C693">
        <v>5</v>
      </c>
      <c r="D693">
        <v>707</v>
      </c>
      <c r="E693">
        <v>54</v>
      </c>
      <c r="F693">
        <v>46</v>
      </c>
      <c r="G693">
        <v>193</v>
      </c>
      <c r="H693">
        <v>19</v>
      </c>
      <c r="I693">
        <v>175</v>
      </c>
      <c r="J693">
        <v>44</v>
      </c>
      <c r="K693">
        <v>149</v>
      </c>
      <c r="L693">
        <v>80</v>
      </c>
      <c r="M693">
        <v>35</v>
      </c>
      <c r="N693">
        <v>179</v>
      </c>
      <c r="O693">
        <v>128</v>
      </c>
      <c r="P693">
        <v>90</v>
      </c>
      <c r="Q693">
        <v>1</v>
      </c>
    </row>
    <row r="694" spans="1:17" x14ac:dyDescent="0.45">
      <c r="A694" t="s">
        <v>85</v>
      </c>
      <c r="B694" t="s">
        <v>20</v>
      </c>
      <c r="C694">
        <v>6</v>
      </c>
      <c r="D694">
        <v>701</v>
      </c>
      <c r="E694">
        <v>52</v>
      </c>
      <c r="F694">
        <v>41</v>
      </c>
      <c r="G694">
        <v>99</v>
      </c>
      <c r="H694">
        <v>18</v>
      </c>
      <c r="I694">
        <v>166</v>
      </c>
      <c r="J694">
        <v>36</v>
      </c>
      <c r="K694">
        <v>65</v>
      </c>
      <c r="L694">
        <v>54</v>
      </c>
      <c r="M694">
        <v>24</v>
      </c>
      <c r="N694">
        <v>82</v>
      </c>
      <c r="O694">
        <v>75</v>
      </c>
      <c r="P694">
        <v>27</v>
      </c>
      <c r="Q694">
        <v>1</v>
      </c>
    </row>
    <row r="695" spans="1:17" x14ac:dyDescent="0.45">
      <c r="A695" t="s">
        <v>85</v>
      </c>
      <c r="B695" t="s">
        <v>21</v>
      </c>
      <c r="C695">
        <v>6</v>
      </c>
      <c r="D695">
        <v>676</v>
      </c>
      <c r="E695">
        <v>38</v>
      </c>
      <c r="F695">
        <v>53</v>
      </c>
      <c r="G695">
        <v>108</v>
      </c>
      <c r="H695">
        <v>13</v>
      </c>
      <c r="I695">
        <v>167</v>
      </c>
      <c r="J695">
        <v>31</v>
      </c>
      <c r="K695">
        <v>58</v>
      </c>
      <c r="L695">
        <v>42</v>
      </c>
      <c r="M695">
        <v>35</v>
      </c>
      <c r="N695">
        <v>75</v>
      </c>
      <c r="O695">
        <v>82</v>
      </c>
      <c r="P695">
        <v>42</v>
      </c>
      <c r="Q695">
        <v>10</v>
      </c>
    </row>
    <row r="696" spans="1:17" x14ac:dyDescent="0.45">
      <c r="A696" t="s">
        <v>85</v>
      </c>
      <c r="B696" t="s">
        <v>20</v>
      </c>
      <c r="C696">
        <v>7</v>
      </c>
      <c r="D696">
        <v>653</v>
      </c>
      <c r="E696">
        <v>23</v>
      </c>
      <c r="F696">
        <v>22</v>
      </c>
      <c r="G696">
        <v>76</v>
      </c>
      <c r="H696">
        <v>14</v>
      </c>
      <c r="I696">
        <v>190</v>
      </c>
      <c r="J696">
        <v>11</v>
      </c>
      <c r="K696">
        <v>26</v>
      </c>
      <c r="L696">
        <v>24</v>
      </c>
      <c r="M696">
        <v>25</v>
      </c>
      <c r="N696">
        <v>40</v>
      </c>
      <c r="O696">
        <v>40</v>
      </c>
      <c r="P696">
        <v>11</v>
      </c>
      <c r="Q696">
        <v>0</v>
      </c>
    </row>
    <row r="697" spans="1:17" x14ac:dyDescent="0.45">
      <c r="A697" t="s">
        <v>85</v>
      </c>
      <c r="B697" t="s">
        <v>21</v>
      </c>
      <c r="C697">
        <v>7</v>
      </c>
      <c r="D697">
        <v>715</v>
      </c>
      <c r="E697">
        <v>25</v>
      </c>
      <c r="F697">
        <v>52</v>
      </c>
      <c r="G697">
        <v>87</v>
      </c>
      <c r="H697">
        <v>27</v>
      </c>
      <c r="I697">
        <v>171</v>
      </c>
      <c r="J697">
        <v>25</v>
      </c>
      <c r="K697">
        <v>27</v>
      </c>
      <c r="L697">
        <v>22</v>
      </c>
      <c r="M697">
        <v>17</v>
      </c>
      <c r="N697">
        <v>40</v>
      </c>
      <c r="O697">
        <v>44</v>
      </c>
      <c r="P697">
        <v>23</v>
      </c>
      <c r="Q697">
        <v>2</v>
      </c>
    </row>
    <row r="698" spans="1:17" x14ac:dyDescent="0.45">
      <c r="A698" t="s">
        <v>85</v>
      </c>
      <c r="B698" t="s">
        <v>20</v>
      </c>
      <c r="C698">
        <v>8</v>
      </c>
      <c r="D698">
        <v>458</v>
      </c>
      <c r="E698">
        <v>40</v>
      </c>
      <c r="F698">
        <v>27</v>
      </c>
      <c r="G698">
        <v>45</v>
      </c>
      <c r="H698">
        <v>6</v>
      </c>
      <c r="I698">
        <v>182</v>
      </c>
      <c r="J698">
        <v>17</v>
      </c>
      <c r="K698">
        <v>10</v>
      </c>
      <c r="L698">
        <v>12</v>
      </c>
      <c r="M698">
        <v>14</v>
      </c>
      <c r="N698">
        <v>8</v>
      </c>
      <c r="O698">
        <v>18</v>
      </c>
      <c r="P698">
        <v>10</v>
      </c>
      <c r="Q698">
        <v>0</v>
      </c>
    </row>
    <row r="699" spans="1:17" x14ac:dyDescent="0.45">
      <c r="A699" t="s">
        <v>85</v>
      </c>
      <c r="B699" t="s">
        <v>21</v>
      </c>
      <c r="C699">
        <v>8</v>
      </c>
      <c r="D699">
        <v>628</v>
      </c>
      <c r="E699">
        <v>32</v>
      </c>
      <c r="F699">
        <v>24</v>
      </c>
      <c r="G699">
        <v>60</v>
      </c>
      <c r="H699">
        <v>15</v>
      </c>
      <c r="I699">
        <v>207</v>
      </c>
      <c r="J699">
        <v>14</v>
      </c>
      <c r="K699">
        <v>22</v>
      </c>
      <c r="L699">
        <v>15</v>
      </c>
      <c r="M699">
        <v>17</v>
      </c>
      <c r="N699">
        <v>17</v>
      </c>
      <c r="O699">
        <v>22</v>
      </c>
      <c r="P699">
        <v>4</v>
      </c>
      <c r="Q699">
        <v>0</v>
      </c>
    </row>
    <row r="700" spans="1:17" x14ac:dyDescent="0.45">
      <c r="A700" t="s">
        <v>85</v>
      </c>
      <c r="B700" t="s">
        <v>20</v>
      </c>
      <c r="C700">
        <v>9</v>
      </c>
      <c r="D700">
        <v>598</v>
      </c>
      <c r="E700">
        <v>23</v>
      </c>
      <c r="F700">
        <v>41</v>
      </c>
      <c r="G700">
        <v>40</v>
      </c>
      <c r="H700">
        <v>31</v>
      </c>
      <c r="I700">
        <v>188</v>
      </c>
      <c r="J700">
        <v>20</v>
      </c>
      <c r="K700">
        <v>22</v>
      </c>
      <c r="L700">
        <v>4</v>
      </c>
      <c r="M700">
        <v>28</v>
      </c>
      <c r="N700">
        <v>15</v>
      </c>
      <c r="O700">
        <v>19</v>
      </c>
      <c r="P700">
        <v>6</v>
      </c>
      <c r="Q700">
        <v>0</v>
      </c>
    </row>
    <row r="701" spans="1:17" x14ac:dyDescent="0.45">
      <c r="A701" t="s">
        <v>85</v>
      </c>
      <c r="B701" t="s">
        <v>21</v>
      </c>
      <c r="C701">
        <v>9</v>
      </c>
      <c r="D701">
        <v>665</v>
      </c>
      <c r="E701">
        <v>14</v>
      </c>
      <c r="F701">
        <v>37</v>
      </c>
      <c r="G701">
        <v>85</v>
      </c>
      <c r="H701">
        <v>11</v>
      </c>
      <c r="I701">
        <v>172</v>
      </c>
      <c r="J701">
        <v>30</v>
      </c>
      <c r="K701">
        <v>12</v>
      </c>
      <c r="L701">
        <v>7</v>
      </c>
      <c r="M701">
        <v>26</v>
      </c>
      <c r="N701">
        <v>17</v>
      </c>
      <c r="O701">
        <v>13</v>
      </c>
      <c r="P701">
        <v>9</v>
      </c>
      <c r="Q701">
        <v>0</v>
      </c>
    </row>
    <row r="702" spans="1:17" x14ac:dyDescent="0.45">
      <c r="A702" t="s">
        <v>85</v>
      </c>
      <c r="B702" t="s">
        <v>20</v>
      </c>
      <c r="C702">
        <v>10</v>
      </c>
      <c r="D702">
        <v>696</v>
      </c>
      <c r="E702">
        <v>45</v>
      </c>
      <c r="F702">
        <v>52</v>
      </c>
      <c r="G702">
        <v>84</v>
      </c>
      <c r="H702">
        <v>48</v>
      </c>
      <c r="I702">
        <v>211</v>
      </c>
      <c r="J702">
        <v>44</v>
      </c>
      <c r="K702">
        <v>22</v>
      </c>
      <c r="L702">
        <v>25</v>
      </c>
      <c r="M702">
        <v>31</v>
      </c>
      <c r="N702">
        <v>34</v>
      </c>
      <c r="O702">
        <v>43</v>
      </c>
      <c r="P702">
        <v>18</v>
      </c>
      <c r="Q702">
        <v>0</v>
      </c>
    </row>
    <row r="703" spans="1:17" x14ac:dyDescent="0.45">
      <c r="A703" t="s">
        <v>85</v>
      </c>
      <c r="B703" t="s">
        <v>21</v>
      </c>
      <c r="C703">
        <v>10</v>
      </c>
      <c r="D703">
        <v>897</v>
      </c>
      <c r="E703">
        <v>73</v>
      </c>
      <c r="F703">
        <v>42</v>
      </c>
      <c r="G703">
        <v>145</v>
      </c>
      <c r="H703">
        <v>9</v>
      </c>
      <c r="I703">
        <v>259</v>
      </c>
      <c r="J703">
        <v>35</v>
      </c>
      <c r="K703">
        <v>19</v>
      </c>
      <c r="L703">
        <v>33</v>
      </c>
      <c r="M703">
        <v>37</v>
      </c>
      <c r="N703">
        <v>30</v>
      </c>
      <c r="O703">
        <v>47</v>
      </c>
      <c r="P703">
        <v>7</v>
      </c>
      <c r="Q703">
        <v>0</v>
      </c>
    </row>
    <row r="704" spans="1:17" x14ac:dyDescent="0.45">
      <c r="A704" t="s">
        <v>85</v>
      </c>
      <c r="B704" t="s">
        <v>20</v>
      </c>
      <c r="C704">
        <v>11</v>
      </c>
      <c r="D704">
        <v>628</v>
      </c>
      <c r="E704">
        <v>48</v>
      </c>
      <c r="F704">
        <v>45</v>
      </c>
      <c r="G704">
        <v>104</v>
      </c>
      <c r="H704">
        <v>29</v>
      </c>
      <c r="I704">
        <v>205</v>
      </c>
      <c r="J704">
        <v>28</v>
      </c>
      <c r="K704">
        <v>38</v>
      </c>
      <c r="L704">
        <v>30</v>
      </c>
      <c r="M704">
        <v>35</v>
      </c>
      <c r="N704">
        <v>33</v>
      </c>
      <c r="O704">
        <v>17</v>
      </c>
      <c r="P704">
        <v>10</v>
      </c>
      <c r="Q704">
        <v>0</v>
      </c>
    </row>
    <row r="705" spans="1:17" x14ac:dyDescent="0.45">
      <c r="A705" t="s">
        <v>85</v>
      </c>
      <c r="B705" t="s">
        <v>21</v>
      </c>
      <c r="C705">
        <v>11</v>
      </c>
      <c r="D705">
        <v>772</v>
      </c>
      <c r="E705">
        <v>21</v>
      </c>
      <c r="F705">
        <v>29</v>
      </c>
      <c r="G705">
        <v>109</v>
      </c>
      <c r="H705">
        <v>13</v>
      </c>
      <c r="I705">
        <v>173</v>
      </c>
      <c r="J705">
        <v>25</v>
      </c>
      <c r="K705">
        <v>33</v>
      </c>
      <c r="L705">
        <v>22</v>
      </c>
      <c r="M705">
        <v>23</v>
      </c>
      <c r="N705">
        <v>26</v>
      </c>
      <c r="O705">
        <v>27</v>
      </c>
      <c r="P705">
        <v>2</v>
      </c>
      <c r="Q705">
        <v>0</v>
      </c>
    </row>
    <row r="706" spans="1:17" x14ac:dyDescent="0.45">
      <c r="A706" t="s">
        <v>85</v>
      </c>
      <c r="B706" t="s">
        <v>20</v>
      </c>
      <c r="C706">
        <v>12</v>
      </c>
      <c r="D706">
        <v>650</v>
      </c>
      <c r="E706">
        <v>27</v>
      </c>
      <c r="F706">
        <v>32</v>
      </c>
      <c r="G706">
        <v>133</v>
      </c>
      <c r="H706">
        <v>7</v>
      </c>
      <c r="I706">
        <v>172</v>
      </c>
      <c r="J706">
        <v>15</v>
      </c>
      <c r="K706">
        <v>76</v>
      </c>
      <c r="L706">
        <v>32</v>
      </c>
      <c r="M706">
        <v>28</v>
      </c>
      <c r="N706">
        <v>41</v>
      </c>
      <c r="O706">
        <v>48</v>
      </c>
      <c r="P706">
        <v>7</v>
      </c>
      <c r="Q706">
        <v>2</v>
      </c>
    </row>
    <row r="707" spans="1:17" x14ac:dyDescent="0.45">
      <c r="A707" t="s">
        <v>85</v>
      </c>
      <c r="B707" t="s">
        <v>21</v>
      </c>
      <c r="C707">
        <v>12</v>
      </c>
      <c r="D707">
        <v>725</v>
      </c>
      <c r="E707">
        <v>45</v>
      </c>
      <c r="F707">
        <v>55</v>
      </c>
      <c r="G707">
        <v>173</v>
      </c>
      <c r="H707">
        <v>14</v>
      </c>
      <c r="I707">
        <v>193</v>
      </c>
      <c r="J707">
        <v>24</v>
      </c>
      <c r="K707">
        <v>69</v>
      </c>
      <c r="L707">
        <v>30</v>
      </c>
      <c r="M707">
        <v>24</v>
      </c>
      <c r="N707">
        <v>56</v>
      </c>
      <c r="O707">
        <v>45</v>
      </c>
      <c r="P707">
        <v>10</v>
      </c>
      <c r="Q707">
        <v>0</v>
      </c>
    </row>
    <row r="708" spans="1:17" x14ac:dyDescent="0.45">
      <c r="A708" t="s">
        <v>35</v>
      </c>
      <c r="B708" t="s">
        <v>20</v>
      </c>
      <c r="C708">
        <v>1</v>
      </c>
      <c r="D708">
        <v>931</v>
      </c>
      <c r="E708">
        <v>20</v>
      </c>
      <c r="F708">
        <v>15</v>
      </c>
      <c r="G708">
        <v>125</v>
      </c>
      <c r="H708">
        <v>4</v>
      </c>
      <c r="I708">
        <v>146</v>
      </c>
      <c r="J708">
        <v>18</v>
      </c>
      <c r="K708">
        <v>54</v>
      </c>
      <c r="L708">
        <v>23</v>
      </c>
      <c r="M708">
        <v>18</v>
      </c>
      <c r="N708">
        <v>34</v>
      </c>
      <c r="O708">
        <v>31</v>
      </c>
      <c r="P708">
        <v>16</v>
      </c>
      <c r="Q708">
        <v>0</v>
      </c>
    </row>
    <row r="709" spans="1:17" x14ac:dyDescent="0.45">
      <c r="A709" t="s">
        <v>35</v>
      </c>
      <c r="B709" t="s">
        <v>21</v>
      </c>
      <c r="C709">
        <v>1</v>
      </c>
      <c r="D709">
        <v>1109</v>
      </c>
      <c r="E709">
        <v>30</v>
      </c>
      <c r="F709">
        <v>19</v>
      </c>
      <c r="G709">
        <v>142</v>
      </c>
      <c r="H709">
        <v>2</v>
      </c>
      <c r="I709">
        <v>146</v>
      </c>
      <c r="J709">
        <v>27</v>
      </c>
      <c r="K709">
        <v>90</v>
      </c>
      <c r="L709">
        <v>23</v>
      </c>
      <c r="M709">
        <v>14</v>
      </c>
      <c r="N709">
        <v>34</v>
      </c>
      <c r="O709">
        <v>46</v>
      </c>
      <c r="P709">
        <v>16</v>
      </c>
      <c r="Q709">
        <v>6</v>
      </c>
    </row>
    <row r="710" spans="1:17" x14ac:dyDescent="0.45">
      <c r="A710" t="s">
        <v>35</v>
      </c>
      <c r="B710" t="s">
        <v>20</v>
      </c>
      <c r="C710">
        <v>2</v>
      </c>
      <c r="D710">
        <v>911</v>
      </c>
      <c r="E710">
        <v>38</v>
      </c>
      <c r="F710">
        <v>20</v>
      </c>
      <c r="G710">
        <v>82</v>
      </c>
      <c r="H710">
        <v>29</v>
      </c>
      <c r="I710">
        <v>159</v>
      </c>
      <c r="J710">
        <v>9</v>
      </c>
      <c r="K710">
        <v>32</v>
      </c>
      <c r="L710">
        <v>15</v>
      </c>
      <c r="M710">
        <v>20</v>
      </c>
      <c r="N710">
        <v>39</v>
      </c>
      <c r="O710">
        <v>59</v>
      </c>
      <c r="P710">
        <v>12</v>
      </c>
      <c r="Q710">
        <v>4</v>
      </c>
    </row>
    <row r="711" spans="1:17" x14ac:dyDescent="0.45">
      <c r="A711" t="s">
        <v>35</v>
      </c>
      <c r="B711" t="s">
        <v>21</v>
      </c>
      <c r="C711">
        <v>2</v>
      </c>
      <c r="D711">
        <v>1229</v>
      </c>
      <c r="E711">
        <v>36</v>
      </c>
      <c r="F711">
        <v>29</v>
      </c>
      <c r="G711">
        <v>65</v>
      </c>
      <c r="H711">
        <v>47</v>
      </c>
      <c r="I711">
        <v>199</v>
      </c>
      <c r="J711">
        <v>31</v>
      </c>
      <c r="K711">
        <v>55</v>
      </c>
      <c r="L711">
        <v>20</v>
      </c>
      <c r="M711">
        <v>27</v>
      </c>
      <c r="N711">
        <v>56</v>
      </c>
      <c r="O711">
        <v>43</v>
      </c>
      <c r="P711">
        <v>20</v>
      </c>
      <c r="Q711">
        <v>2</v>
      </c>
    </row>
    <row r="712" spans="1:17" x14ac:dyDescent="0.45">
      <c r="A712" t="s">
        <v>35</v>
      </c>
      <c r="B712" t="s">
        <v>20</v>
      </c>
      <c r="C712">
        <v>3</v>
      </c>
      <c r="D712">
        <v>1146</v>
      </c>
      <c r="E712">
        <v>36</v>
      </c>
      <c r="F712">
        <v>28</v>
      </c>
      <c r="G712">
        <v>195</v>
      </c>
      <c r="H712">
        <v>11</v>
      </c>
      <c r="I712">
        <v>216</v>
      </c>
      <c r="J712">
        <v>23</v>
      </c>
      <c r="K712">
        <v>124</v>
      </c>
      <c r="L712">
        <v>42</v>
      </c>
      <c r="M712">
        <v>33</v>
      </c>
      <c r="N712">
        <v>175</v>
      </c>
      <c r="O712">
        <v>126</v>
      </c>
      <c r="P712">
        <v>129</v>
      </c>
      <c r="Q712">
        <v>5</v>
      </c>
    </row>
    <row r="713" spans="1:17" x14ac:dyDescent="0.45">
      <c r="A713" t="s">
        <v>35</v>
      </c>
      <c r="B713" t="s">
        <v>21</v>
      </c>
      <c r="C713">
        <v>3</v>
      </c>
      <c r="D713">
        <v>1474</v>
      </c>
      <c r="E713">
        <v>37</v>
      </c>
      <c r="F713">
        <v>40</v>
      </c>
      <c r="G713">
        <v>218</v>
      </c>
      <c r="H713">
        <v>14</v>
      </c>
      <c r="I713">
        <v>269</v>
      </c>
      <c r="J713">
        <v>56</v>
      </c>
      <c r="K713">
        <v>199</v>
      </c>
      <c r="L713">
        <v>39</v>
      </c>
      <c r="M713">
        <v>49</v>
      </c>
      <c r="N713">
        <v>265</v>
      </c>
      <c r="O713">
        <v>187</v>
      </c>
      <c r="P713">
        <v>219</v>
      </c>
      <c r="Q713">
        <v>23</v>
      </c>
    </row>
    <row r="714" spans="1:17" x14ac:dyDescent="0.45">
      <c r="A714" t="s">
        <v>35</v>
      </c>
      <c r="B714" t="s">
        <v>20</v>
      </c>
      <c r="C714">
        <v>4</v>
      </c>
      <c r="D714">
        <v>1104</v>
      </c>
      <c r="E714">
        <v>38</v>
      </c>
      <c r="F714">
        <v>52</v>
      </c>
      <c r="G714">
        <v>244</v>
      </c>
      <c r="H714">
        <v>21</v>
      </c>
      <c r="I714">
        <v>288</v>
      </c>
      <c r="J714">
        <v>89</v>
      </c>
      <c r="K714">
        <v>412</v>
      </c>
      <c r="L714">
        <v>131</v>
      </c>
      <c r="M714">
        <v>79</v>
      </c>
      <c r="N714">
        <v>444</v>
      </c>
      <c r="O714">
        <v>312</v>
      </c>
      <c r="P714">
        <v>300</v>
      </c>
      <c r="Q714">
        <v>21</v>
      </c>
    </row>
    <row r="715" spans="1:17" x14ac:dyDescent="0.45">
      <c r="A715" t="s">
        <v>35</v>
      </c>
      <c r="B715" t="s">
        <v>21</v>
      </c>
      <c r="C715">
        <v>4</v>
      </c>
      <c r="D715">
        <v>1515</v>
      </c>
      <c r="E715">
        <v>49</v>
      </c>
      <c r="F715">
        <v>53</v>
      </c>
      <c r="G715">
        <v>202</v>
      </c>
      <c r="H715">
        <v>72</v>
      </c>
      <c r="I715">
        <v>328</v>
      </c>
      <c r="J715">
        <v>82</v>
      </c>
      <c r="K715">
        <v>417</v>
      </c>
      <c r="L715">
        <v>115</v>
      </c>
      <c r="M715">
        <v>62</v>
      </c>
      <c r="N715">
        <v>307</v>
      </c>
      <c r="O715">
        <v>272</v>
      </c>
      <c r="P715">
        <v>265</v>
      </c>
      <c r="Q715">
        <v>15</v>
      </c>
    </row>
    <row r="716" spans="1:17" x14ac:dyDescent="0.45">
      <c r="A716" t="s">
        <v>35</v>
      </c>
      <c r="B716" t="s">
        <v>20</v>
      </c>
      <c r="C716">
        <v>5</v>
      </c>
      <c r="D716">
        <v>1000</v>
      </c>
      <c r="E716">
        <v>43</v>
      </c>
      <c r="F716">
        <v>32</v>
      </c>
      <c r="G716">
        <v>146</v>
      </c>
      <c r="H716">
        <v>33</v>
      </c>
      <c r="I716">
        <v>214</v>
      </c>
      <c r="J716">
        <v>59</v>
      </c>
      <c r="K716">
        <v>178</v>
      </c>
      <c r="L716">
        <v>92</v>
      </c>
      <c r="M716">
        <v>39</v>
      </c>
      <c r="N716">
        <v>181</v>
      </c>
      <c r="O716">
        <v>215</v>
      </c>
      <c r="P716">
        <v>117</v>
      </c>
      <c r="Q716">
        <v>12</v>
      </c>
    </row>
    <row r="717" spans="1:17" x14ac:dyDescent="0.45">
      <c r="A717" t="s">
        <v>35</v>
      </c>
      <c r="B717" t="s">
        <v>21</v>
      </c>
      <c r="C717">
        <v>5</v>
      </c>
      <c r="D717">
        <v>1271</v>
      </c>
      <c r="E717">
        <v>56</v>
      </c>
      <c r="F717">
        <v>44</v>
      </c>
      <c r="G717">
        <v>232</v>
      </c>
      <c r="H717">
        <v>36</v>
      </c>
      <c r="I717">
        <v>283</v>
      </c>
      <c r="J717">
        <v>62</v>
      </c>
      <c r="K717">
        <v>204</v>
      </c>
      <c r="L717">
        <v>109</v>
      </c>
      <c r="M717">
        <v>47</v>
      </c>
      <c r="N717">
        <v>230</v>
      </c>
      <c r="O717">
        <v>208</v>
      </c>
      <c r="P717">
        <v>155</v>
      </c>
      <c r="Q717">
        <v>21</v>
      </c>
    </row>
    <row r="718" spans="1:17" x14ac:dyDescent="0.45">
      <c r="A718" t="s">
        <v>35</v>
      </c>
      <c r="B718" t="s">
        <v>20</v>
      </c>
      <c r="C718">
        <v>6</v>
      </c>
      <c r="D718">
        <v>1061</v>
      </c>
      <c r="E718">
        <v>56</v>
      </c>
      <c r="F718">
        <v>48</v>
      </c>
      <c r="G718">
        <v>162</v>
      </c>
      <c r="H718">
        <v>27</v>
      </c>
      <c r="I718">
        <v>200</v>
      </c>
      <c r="J718">
        <v>37</v>
      </c>
      <c r="K718">
        <v>70</v>
      </c>
      <c r="L718">
        <v>39</v>
      </c>
      <c r="M718">
        <v>341</v>
      </c>
      <c r="N718">
        <v>95</v>
      </c>
      <c r="O718">
        <v>164</v>
      </c>
      <c r="P718">
        <v>70</v>
      </c>
      <c r="Q718">
        <v>2</v>
      </c>
    </row>
    <row r="719" spans="1:17" x14ac:dyDescent="0.45">
      <c r="A719" t="s">
        <v>35</v>
      </c>
      <c r="B719" t="s">
        <v>21</v>
      </c>
      <c r="C719">
        <v>6</v>
      </c>
      <c r="D719">
        <v>1360</v>
      </c>
      <c r="E719">
        <v>63</v>
      </c>
      <c r="F719">
        <v>42</v>
      </c>
      <c r="G719">
        <v>137</v>
      </c>
      <c r="H719">
        <v>21</v>
      </c>
      <c r="I719">
        <v>296</v>
      </c>
      <c r="J719">
        <v>62</v>
      </c>
      <c r="K719">
        <v>95</v>
      </c>
      <c r="L719">
        <v>79</v>
      </c>
      <c r="M719">
        <v>56</v>
      </c>
      <c r="N719">
        <v>123</v>
      </c>
      <c r="O719">
        <v>164</v>
      </c>
      <c r="P719">
        <v>77</v>
      </c>
      <c r="Q719">
        <v>18</v>
      </c>
    </row>
    <row r="720" spans="1:17" x14ac:dyDescent="0.45">
      <c r="A720" t="s">
        <v>35</v>
      </c>
      <c r="B720" t="s">
        <v>20</v>
      </c>
      <c r="C720">
        <v>7</v>
      </c>
      <c r="D720">
        <v>920</v>
      </c>
      <c r="E720">
        <v>40</v>
      </c>
      <c r="F720">
        <v>42</v>
      </c>
      <c r="G720">
        <v>97</v>
      </c>
      <c r="H720">
        <v>14</v>
      </c>
      <c r="I720">
        <v>234</v>
      </c>
      <c r="J720">
        <v>36</v>
      </c>
      <c r="K720">
        <v>32</v>
      </c>
      <c r="L720">
        <v>17</v>
      </c>
      <c r="M720">
        <v>29</v>
      </c>
      <c r="N720">
        <v>29</v>
      </c>
      <c r="O720">
        <v>54</v>
      </c>
      <c r="P720">
        <v>29</v>
      </c>
      <c r="Q720">
        <v>2</v>
      </c>
    </row>
    <row r="721" spans="1:17" x14ac:dyDescent="0.45">
      <c r="A721" t="s">
        <v>35</v>
      </c>
      <c r="B721" t="s">
        <v>21</v>
      </c>
      <c r="C721">
        <v>7</v>
      </c>
      <c r="D721">
        <v>1246</v>
      </c>
      <c r="E721">
        <v>47</v>
      </c>
      <c r="F721">
        <v>45</v>
      </c>
      <c r="G721">
        <v>83</v>
      </c>
      <c r="H721">
        <v>35</v>
      </c>
      <c r="I721">
        <v>331</v>
      </c>
      <c r="J721">
        <v>27</v>
      </c>
      <c r="K721">
        <v>35</v>
      </c>
      <c r="L721">
        <v>24</v>
      </c>
      <c r="M721">
        <v>40</v>
      </c>
      <c r="N721">
        <v>55</v>
      </c>
      <c r="O721">
        <v>55</v>
      </c>
      <c r="P721">
        <v>24</v>
      </c>
      <c r="Q721">
        <v>0</v>
      </c>
    </row>
    <row r="722" spans="1:17" x14ac:dyDescent="0.45">
      <c r="A722" t="s">
        <v>35</v>
      </c>
      <c r="B722" t="s">
        <v>20</v>
      </c>
      <c r="C722">
        <v>8</v>
      </c>
      <c r="D722">
        <v>909</v>
      </c>
      <c r="E722">
        <v>62</v>
      </c>
      <c r="F722">
        <v>40</v>
      </c>
      <c r="G722">
        <v>64</v>
      </c>
      <c r="H722">
        <v>14</v>
      </c>
      <c r="I722">
        <v>249</v>
      </c>
      <c r="J722">
        <v>25</v>
      </c>
      <c r="K722">
        <v>15</v>
      </c>
      <c r="L722">
        <v>16</v>
      </c>
      <c r="M722">
        <v>36</v>
      </c>
      <c r="N722">
        <v>20</v>
      </c>
      <c r="O722">
        <v>19</v>
      </c>
      <c r="P722">
        <v>11</v>
      </c>
      <c r="Q722">
        <v>0</v>
      </c>
    </row>
    <row r="723" spans="1:17" x14ac:dyDescent="0.45">
      <c r="A723" t="s">
        <v>35</v>
      </c>
      <c r="B723" t="s">
        <v>21</v>
      </c>
      <c r="C723">
        <v>8</v>
      </c>
      <c r="D723">
        <v>1084</v>
      </c>
      <c r="E723">
        <v>35</v>
      </c>
      <c r="F723">
        <v>30</v>
      </c>
      <c r="G723">
        <v>75</v>
      </c>
      <c r="H723">
        <v>2</v>
      </c>
      <c r="I723">
        <v>296</v>
      </c>
      <c r="J723">
        <v>26</v>
      </c>
      <c r="K723">
        <v>25</v>
      </c>
      <c r="L723">
        <v>22</v>
      </c>
      <c r="M723">
        <v>43</v>
      </c>
      <c r="N723">
        <v>26</v>
      </c>
      <c r="O723">
        <v>39</v>
      </c>
      <c r="P723">
        <v>19</v>
      </c>
      <c r="Q723">
        <v>0</v>
      </c>
    </row>
    <row r="724" spans="1:17" x14ac:dyDescent="0.45">
      <c r="A724" t="s">
        <v>35</v>
      </c>
      <c r="B724" t="s">
        <v>20</v>
      </c>
      <c r="C724">
        <v>9</v>
      </c>
      <c r="D724">
        <v>1076</v>
      </c>
      <c r="E724">
        <v>47</v>
      </c>
      <c r="F724">
        <v>38</v>
      </c>
      <c r="G724">
        <v>29</v>
      </c>
      <c r="H724">
        <v>34</v>
      </c>
      <c r="I724">
        <v>302</v>
      </c>
      <c r="J724">
        <v>43</v>
      </c>
      <c r="K724">
        <v>37</v>
      </c>
      <c r="L724">
        <v>18</v>
      </c>
      <c r="M724">
        <v>43</v>
      </c>
      <c r="N724">
        <v>22</v>
      </c>
      <c r="O724">
        <v>44</v>
      </c>
      <c r="P724">
        <v>13</v>
      </c>
      <c r="Q724">
        <v>0</v>
      </c>
    </row>
    <row r="725" spans="1:17" x14ac:dyDescent="0.45">
      <c r="A725" t="s">
        <v>35</v>
      </c>
      <c r="B725" t="s">
        <v>21</v>
      </c>
      <c r="C725">
        <v>9</v>
      </c>
      <c r="D725">
        <v>1105</v>
      </c>
      <c r="E725">
        <v>42</v>
      </c>
      <c r="F725">
        <v>59</v>
      </c>
      <c r="G725">
        <v>113</v>
      </c>
      <c r="H725">
        <v>6</v>
      </c>
      <c r="I725">
        <v>262</v>
      </c>
      <c r="J725">
        <v>30</v>
      </c>
      <c r="K725">
        <v>20</v>
      </c>
      <c r="L725">
        <v>20</v>
      </c>
      <c r="M725">
        <v>30</v>
      </c>
      <c r="N725">
        <v>24</v>
      </c>
      <c r="O725">
        <v>31</v>
      </c>
      <c r="P725">
        <v>16</v>
      </c>
      <c r="Q725">
        <v>0</v>
      </c>
    </row>
    <row r="726" spans="1:17" x14ac:dyDescent="0.45">
      <c r="A726" t="s">
        <v>35</v>
      </c>
      <c r="B726" t="s">
        <v>20</v>
      </c>
      <c r="C726">
        <v>10</v>
      </c>
      <c r="D726">
        <v>1328</v>
      </c>
      <c r="E726">
        <v>86</v>
      </c>
      <c r="F726">
        <v>78</v>
      </c>
      <c r="G726">
        <v>72</v>
      </c>
      <c r="H726">
        <v>70</v>
      </c>
      <c r="I726">
        <v>360</v>
      </c>
      <c r="J726">
        <v>49</v>
      </c>
      <c r="K726">
        <v>65</v>
      </c>
      <c r="L726">
        <v>33</v>
      </c>
      <c r="M726">
        <v>62</v>
      </c>
      <c r="N726">
        <v>55</v>
      </c>
      <c r="O726">
        <v>95</v>
      </c>
      <c r="P726">
        <v>28</v>
      </c>
      <c r="Q726">
        <v>10</v>
      </c>
    </row>
    <row r="727" spans="1:17" x14ac:dyDescent="0.45">
      <c r="A727" t="s">
        <v>35</v>
      </c>
      <c r="B727" t="s">
        <v>21</v>
      </c>
      <c r="C727">
        <v>10</v>
      </c>
      <c r="D727">
        <v>1686</v>
      </c>
      <c r="E727">
        <v>97</v>
      </c>
      <c r="F727">
        <v>93</v>
      </c>
      <c r="G727">
        <v>158</v>
      </c>
      <c r="H727">
        <v>18</v>
      </c>
      <c r="I727">
        <v>415</v>
      </c>
      <c r="J727">
        <v>64</v>
      </c>
      <c r="K727">
        <v>41</v>
      </c>
      <c r="L727">
        <v>53</v>
      </c>
      <c r="M727">
        <v>67</v>
      </c>
      <c r="N727">
        <v>57</v>
      </c>
      <c r="O727">
        <v>97</v>
      </c>
      <c r="P727">
        <v>23</v>
      </c>
      <c r="Q727">
        <v>0</v>
      </c>
    </row>
    <row r="728" spans="1:17" x14ac:dyDescent="0.45">
      <c r="A728" t="s">
        <v>35</v>
      </c>
      <c r="B728" t="s">
        <v>20</v>
      </c>
      <c r="C728">
        <v>11</v>
      </c>
      <c r="D728">
        <v>1295</v>
      </c>
      <c r="E728">
        <v>57</v>
      </c>
      <c r="F728">
        <v>113</v>
      </c>
      <c r="G728">
        <v>109</v>
      </c>
      <c r="H728">
        <v>73</v>
      </c>
      <c r="I728">
        <v>321</v>
      </c>
      <c r="J728">
        <v>58</v>
      </c>
      <c r="K728">
        <v>44</v>
      </c>
      <c r="L728">
        <v>31</v>
      </c>
      <c r="M728">
        <v>56</v>
      </c>
      <c r="N728">
        <v>50</v>
      </c>
      <c r="O728">
        <v>58</v>
      </c>
      <c r="P728">
        <v>22</v>
      </c>
      <c r="Q728">
        <v>6</v>
      </c>
    </row>
    <row r="729" spans="1:17" x14ac:dyDescent="0.45">
      <c r="A729" t="s">
        <v>35</v>
      </c>
      <c r="B729" t="s">
        <v>21</v>
      </c>
      <c r="C729">
        <v>11</v>
      </c>
      <c r="D729">
        <v>1404</v>
      </c>
      <c r="E729">
        <v>69</v>
      </c>
      <c r="F729">
        <v>35</v>
      </c>
      <c r="G729">
        <v>121</v>
      </c>
      <c r="H729">
        <v>18</v>
      </c>
      <c r="I729">
        <v>298</v>
      </c>
      <c r="J729">
        <v>49</v>
      </c>
      <c r="K729">
        <v>48</v>
      </c>
      <c r="L729">
        <v>26</v>
      </c>
      <c r="M729">
        <v>28</v>
      </c>
      <c r="N729">
        <v>44</v>
      </c>
      <c r="O729">
        <v>72</v>
      </c>
      <c r="P729">
        <v>13</v>
      </c>
      <c r="Q729">
        <v>2</v>
      </c>
    </row>
    <row r="730" spans="1:17" x14ac:dyDescent="0.45">
      <c r="A730" t="s">
        <v>35</v>
      </c>
      <c r="B730" t="s">
        <v>20</v>
      </c>
      <c r="C730">
        <v>12</v>
      </c>
      <c r="D730">
        <v>1277</v>
      </c>
      <c r="E730">
        <v>46</v>
      </c>
      <c r="F730">
        <v>40</v>
      </c>
      <c r="G730">
        <v>188</v>
      </c>
      <c r="H730">
        <v>19</v>
      </c>
      <c r="I730">
        <v>286</v>
      </c>
      <c r="J730">
        <v>44</v>
      </c>
      <c r="K730">
        <v>59</v>
      </c>
      <c r="L730">
        <v>50</v>
      </c>
      <c r="M730">
        <v>38</v>
      </c>
      <c r="N730">
        <v>51</v>
      </c>
      <c r="O730">
        <v>78</v>
      </c>
      <c r="P730">
        <v>26</v>
      </c>
      <c r="Q730">
        <v>2</v>
      </c>
    </row>
    <row r="731" spans="1:17" x14ac:dyDescent="0.45">
      <c r="A731" t="s">
        <v>35</v>
      </c>
      <c r="B731" t="s">
        <v>21</v>
      </c>
      <c r="C731">
        <v>12</v>
      </c>
      <c r="D731">
        <v>1528</v>
      </c>
      <c r="E731">
        <v>71</v>
      </c>
      <c r="F731">
        <v>82</v>
      </c>
      <c r="G731">
        <v>237</v>
      </c>
      <c r="H731">
        <v>12</v>
      </c>
      <c r="I731">
        <v>301</v>
      </c>
      <c r="J731">
        <v>72</v>
      </c>
      <c r="K731">
        <v>107</v>
      </c>
      <c r="L731">
        <v>47</v>
      </c>
      <c r="M731">
        <v>51</v>
      </c>
      <c r="N731">
        <v>61</v>
      </c>
      <c r="O731">
        <v>74</v>
      </c>
      <c r="P731">
        <v>21</v>
      </c>
      <c r="Q731">
        <v>4</v>
      </c>
    </row>
    <row r="732" spans="1:17" x14ac:dyDescent="0.45">
      <c r="A732" t="s">
        <v>70</v>
      </c>
      <c r="B732" t="s">
        <v>20</v>
      </c>
      <c r="C732">
        <v>1</v>
      </c>
      <c r="D732">
        <v>770</v>
      </c>
      <c r="E732">
        <v>16</v>
      </c>
      <c r="F732">
        <v>22</v>
      </c>
      <c r="G732">
        <v>122</v>
      </c>
      <c r="H732">
        <v>30</v>
      </c>
      <c r="I732">
        <v>111</v>
      </c>
      <c r="J732">
        <v>7</v>
      </c>
      <c r="K732">
        <v>53</v>
      </c>
      <c r="L732">
        <v>15</v>
      </c>
      <c r="M732">
        <v>15</v>
      </c>
      <c r="N732">
        <v>19</v>
      </c>
      <c r="O732">
        <v>41</v>
      </c>
      <c r="P732">
        <v>7</v>
      </c>
      <c r="Q732">
        <v>2</v>
      </c>
    </row>
    <row r="733" spans="1:17" x14ac:dyDescent="0.45">
      <c r="A733" t="s">
        <v>70</v>
      </c>
      <c r="B733" t="s">
        <v>21</v>
      </c>
      <c r="C733">
        <v>1</v>
      </c>
      <c r="D733">
        <v>950</v>
      </c>
      <c r="E733">
        <v>15</v>
      </c>
      <c r="F733">
        <v>17</v>
      </c>
      <c r="G733">
        <v>130</v>
      </c>
      <c r="H733">
        <v>25</v>
      </c>
      <c r="I733">
        <v>168</v>
      </c>
      <c r="J733">
        <v>11</v>
      </c>
      <c r="K733">
        <v>40</v>
      </c>
      <c r="L733">
        <v>5</v>
      </c>
      <c r="M733">
        <v>8</v>
      </c>
      <c r="N733">
        <v>22</v>
      </c>
      <c r="O733">
        <v>23</v>
      </c>
      <c r="P733">
        <v>10</v>
      </c>
      <c r="Q733">
        <v>4</v>
      </c>
    </row>
    <row r="734" spans="1:17" x14ac:dyDescent="0.45">
      <c r="A734" t="s">
        <v>70</v>
      </c>
      <c r="B734" t="s">
        <v>20</v>
      </c>
      <c r="C734">
        <v>2</v>
      </c>
      <c r="D734">
        <v>702</v>
      </c>
      <c r="E734">
        <v>8</v>
      </c>
      <c r="F734">
        <v>15</v>
      </c>
      <c r="G734">
        <v>88</v>
      </c>
      <c r="H734">
        <v>25</v>
      </c>
      <c r="I734">
        <v>103</v>
      </c>
      <c r="J734">
        <v>15</v>
      </c>
      <c r="K734">
        <v>26</v>
      </c>
      <c r="L734">
        <v>7</v>
      </c>
      <c r="M734">
        <v>6</v>
      </c>
      <c r="N734">
        <v>25</v>
      </c>
      <c r="O734">
        <v>27</v>
      </c>
      <c r="P734">
        <v>11</v>
      </c>
      <c r="Q734">
        <v>3</v>
      </c>
    </row>
    <row r="735" spans="1:17" x14ac:dyDescent="0.45">
      <c r="A735" t="s">
        <v>70</v>
      </c>
      <c r="B735" t="s">
        <v>21</v>
      </c>
      <c r="C735">
        <v>2</v>
      </c>
      <c r="D735">
        <v>956</v>
      </c>
      <c r="E735">
        <v>14</v>
      </c>
      <c r="F735">
        <v>8</v>
      </c>
      <c r="G735">
        <v>80</v>
      </c>
      <c r="H735">
        <v>45</v>
      </c>
      <c r="I735">
        <v>167</v>
      </c>
      <c r="J735">
        <v>6</v>
      </c>
      <c r="K735">
        <v>36</v>
      </c>
      <c r="L735">
        <v>7</v>
      </c>
      <c r="M735">
        <v>10</v>
      </c>
      <c r="N735">
        <v>26</v>
      </c>
      <c r="O735">
        <v>22</v>
      </c>
      <c r="P735">
        <v>8</v>
      </c>
      <c r="Q735">
        <v>5</v>
      </c>
    </row>
    <row r="736" spans="1:17" x14ac:dyDescent="0.45">
      <c r="A736" t="s">
        <v>70</v>
      </c>
      <c r="B736" t="s">
        <v>20</v>
      </c>
      <c r="C736">
        <v>3</v>
      </c>
      <c r="D736">
        <v>967</v>
      </c>
      <c r="E736">
        <v>31</v>
      </c>
      <c r="F736">
        <v>57</v>
      </c>
      <c r="G736">
        <v>190</v>
      </c>
      <c r="H736">
        <v>34</v>
      </c>
      <c r="I736">
        <v>151</v>
      </c>
      <c r="J736">
        <v>16</v>
      </c>
      <c r="K736">
        <v>107</v>
      </c>
      <c r="L736">
        <v>25</v>
      </c>
      <c r="M736">
        <v>31</v>
      </c>
      <c r="N736">
        <v>97</v>
      </c>
      <c r="O736">
        <v>89</v>
      </c>
      <c r="P736">
        <v>83</v>
      </c>
      <c r="Q736">
        <v>20</v>
      </c>
    </row>
    <row r="737" spans="1:17" x14ac:dyDescent="0.45">
      <c r="A737" t="s">
        <v>70</v>
      </c>
      <c r="B737" t="s">
        <v>21</v>
      </c>
      <c r="C737">
        <v>3</v>
      </c>
      <c r="D737">
        <v>1074</v>
      </c>
      <c r="E737">
        <v>37</v>
      </c>
      <c r="F737">
        <v>30</v>
      </c>
      <c r="G737">
        <v>151</v>
      </c>
      <c r="H737">
        <v>44</v>
      </c>
      <c r="I737">
        <v>195</v>
      </c>
      <c r="J737">
        <v>39</v>
      </c>
      <c r="K737">
        <v>114</v>
      </c>
      <c r="L737">
        <v>38</v>
      </c>
      <c r="M737">
        <v>29</v>
      </c>
      <c r="N737">
        <v>159</v>
      </c>
      <c r="O737">
        <v>113</v>
      </c>
      <c r="P737">
        <v>113</v>
      </c>
      <c r="Q737">
        <v>14</v>
      </c>
    </row>
    <row r="738" spans="1:17" x14ac:dyDescent="0.45">
      <c r="A738" t="s">
        <v>70</v>
      </c>
      <c r="B738" t="s">
        <v>20</v>
      </c>
      <c r="C738">
        <v>4</v>
      </c>
      <c r="D738">
        <v>821</v>
      </c>
      <c r="E738">
        <v>56</v>
      </c>
      <c r="F738">
        <v>30</v>
      </c>
      <c r="G738">
        <v>204</v>
      </c>
      <c r="H738">
        <v>37</v>
      </c>
      <c r="I738">
        <v>229</v>
      </c>
      <c r="J738">
        <v>48</v>
      </c>
      <c r="K738">
        <v>242</v>
      </c>
      <c r="L738">
        <v>86</v>
      </c>
      <c r="M738">
        <v>53</v>
      </c>
      <c r="N738">
        <v>289</v>
      </c>
      <c r="O738">
        <v>237</v>
      </c>
      <c r="P738">
        <v>166</v>
      </c>
      <c r="Q738">
        <v>9</v>
      </c>
    </row>
    <row r="739" spans="1:17" x14ac:dyDescent="0.45">
      <c r="A739" t="s">
        <v>70</v>
      </c>
      <c r="B739" t="s">
        <v>21</v>
      </c>
      <c r="C739">
        <v>4</v>
      </c>
      <c r="D739">
        <v>1167</v>
      </c>
      <c r="E739">
        <v>22</v>
      </c>
      <c r="F739">
        <v>57</v>
      </c>
      <c r="G739">
        <v>227</v>
      </c>
      <c r="H739">
        <v>76</v>
      </c>
      <c r="I739">
        <v>271</v>
      </c>
      <c r="J739">
        <v>64</v>
      </c>
      <c r="K739">
        <v>205</v>
      </c>
      <c r="L739">
        <v>91</v>
      </c>
      <c r="M739">
        <v>39</v>
      </c>
      <c r="N739">
        <v>213</v>
      </c>
      <c r="O739">
        <v>167</v>
      </c>
      <c r="P739">
        <v>159</v>
      </c>
      <c r="Q739">
        <v>13</v>
      </c>
    </row>
    <row r="740" spans="1:17" x14ac:dyDescent="0.45">
      <c r="A740" t="s">
        <v>70</v>
      </c>
      <c r="B740" t="s">
        <v>20</v>
      </c>
      <c r="C740">
        <v>5</v>
      </c>
      <c r="D740">
        <v>844</v>
      </c>
      <c r="E740">
        <v>57</v>
      </c>
      <c r="F740">
        <v>29</v>
      </c>
      <c r="G740">
        <v>155</v>
      </c>
      <c r="H740">
        <v>63</v>
      </c>
      <c r="I740">
        <v>219</v>
      </c>
      <c r="J740">
        <v>33</v>
      </c>
      <c r="K740">
        <v>132</v>
      </c>
      <c r="L740">
        <v>52</v>
      </c>
      <c r="M740">
        <v>33</v>
      </c>
      <c r="N740">
        <v>141</v>
      </c>
      <c r="O740">
        <v>138</v>
      </c>
      <c r="P740">
        <v>72</v>
      </c>
      <c r="Q740">
        <v>7</v>
      </c>
    </row>
    <row r="741" spans="1:17" x14ac:dyDescent="0.45">
      <c r="A741" t="s">
        <v>70</v>
      </c>
      <c r="B741" t="s">
        <v>21</v>
      </c>
      <c r="C741">
        <v>5</v>
      </c>
      <c r="D741">
        <v>1063</v>
      </c>
      <c r="E741">
        <v>43</v>
      </c>
      <c r="F741">
        <v>33</v>
      </c>
      <c r="G741">
        <v>198</v>
      </c>
      <c r="H741">
        <v>81</v>
      </c>
      <c r="I741">
        <v>202</v>
      </c>
      <c r="J741">
        <v>36</v>
      </c>
      <c r="K741">
        <v>195</v>
      </c>
      <c r="L741">
        <v>52</v>
      </c>
      <c r="M741">
        <v>30</v>
      </c>
      <c r="N741">
        <v>186</v>
      </c>
      <c r="O741">
        <v>151</v>
      </c>
      <c r="P741">
        <v>101</v>
      </c>
      <c r="Q741">
        <v>3</v>
      </c>
    </row>
    <row r="742" spans="1:17" x14ac:dyDescent="0.45">
      <c r="A742" t="s">
        <v>70</v>
      </c>
      <c r="B742" t="s">
        <v>20</v>
      </c>
      <c r="C742">
        <v>6</v>
      </c>
      <c r="D742">
        <v>935</v>
      </c>
      <c r="E742">
        <v>31</v>
      </c>
      <c r="F742">
        <v>20</v>
      </c>
      <c r="G742">
        <v>174</v>
      </c>
      <c r="H742">
        <v>45</v>
      </c>
      <c r="I742">
        <v>231</v>
      </c>
      <c r="J742">
        <v>29</v>
      </c>
      <c r="K742">
        <v>89</v>
      </c>
      <c r="L742">
        <v>46</v>
      </c>
      <c r="M742">
        <v>29</v>
      </c>
      <c r="N742">
        <v>63</v>
      </c>
      <c r="O742">
        <v>82</v>
      </c>
      <c r="P742">
        <v>23</v>
      </c>
      <c r="Q742">
        <v>2</v>
      </c>
    </row>
    <row r="743" spans="1:17" x14ac:dyDescent="0.45">
      <c r="A743" t="s">
        <v>70</v>
      </c>
      <c r="B743" t="s">
        <v>21</v>
      </c>
      <c r="C743">
        <v>6</v>
      </c>
      <c r="D743">
        <v>1119</v>
      </c>
      <c r="E743">
        <v>67</v>
      </c>
      <c r="F743">
        <v>44</v>
      </c>
      <c r="G743">
        <v>150</v>
      </c>
      <c r="H743">
        <v>46</v>
      </c>
      <c r="I743">
        <v>259</v>
      </c>
      <c r="J743">
        <v>20</v>
      </c>
      <c r="K743">
        <v>63</v>
      </c>
      <c r="L743">
        <v>52</v>
      </c>
      <c r="M743">
        <v>28</v>
      </c>
      <c r="N743">
        <v>90</v>
      </c>
      <c r="O743">
        <v>99</v>
      </c>
      <c r="P743">
        <v>36</v>
      </c>
      <c r="Q743">
        <v>7</v>
      </c>
    </row>
    <row r="744" spans="1:17" x14ac:dyDescent="0.45">
      <c r="A744" t="s">
        <v>70</v>
      </c>
      <c r="B744" t="s">
        <v>20</v>
      </c>
      <c r="C744">
        <v>7</v>
      </c>
      <c r="D744">
        <v>862</v>
      </c>
      <c r="E744">
        <v>29</v>
      </c>
      <c r="F744">
        <v>15</v>
      </c>
      <c r="G744">
        <v>83</v>
      </c>
      <c r="H744">
        <v>14</v>
      </c>
      <c r="I744">
        <v>224</v>
      </c>
      <c r="J744">
        <v>14</v>
      </c>
      <c r="K744">
        <v>34</v>
      </c>
      <c r="L744">
        <v>28</v>
      </c>
      <c r="M744">
        <v>23</v>
      </c>
      <c r="N744">
        <v>40</v>
      </c>
      <c r="O744">
        <v>35</v>
      </c>
      <c r="P744">
        <v>15</v>
      </c>
      <c r="Q744">
        <v>0</v>
      </c>
    </row>
    <row r="745" spans="1:17" x14ac:dyDescent="0.45">
      <c r="A745" t="s">
        <v>70</v>
      </c>
      <c r="B745" t="s">
        <v>21</v>
      </c>
      <c r="C745">
        <v>7</v>
      </c>
      <c r="D745">
        <v>1030</v>
      </c>
      <c r="E745">
        <v>39</v>
      </c>
      <c r="F745">
        <v>40</v>
      </c>
      <c r="G745">
        <v>97</v>
      </c>
      <c r="H745">
        <v>33</v>
      </c>
      <c r="I745">
        <v>256</v>
      </c>
      <c r="J745">
        <v>27</v>
      </c>
      <c r="K745">
        <v>23</v>
      </c>
      <c r="L745">
        <v>19</v>
      </c>
      <c r="M745">
        <v>12</v>
      </c>
      <c r="N745">
        <v>39</v>
      </c>
      <c r="O745">
        <v>48</v>
      </c>
      <c r="P745">
        <v>13</v>
      </c>
      <c r="Q745">
        <v>0</v>
      </c>
    </row>
    <row r="746" spans="1:17" x14ac:dyDescent="0.45">
      <c r="A746" t="s">
        <v>70</v>
      </c>
      <c r="B746" t="s">
        <v>20</v>
      </c>
      <c r="C746">
        <v>8</v>
      </c>
      <c r="D746">
        <v>828</v>
      </c>
      <c r="E746">
        <v>27</v>
      </c>
      <c r="F746">
        <v>35</v>
      </c>
      <c r="G746">
        <v>61</v>
      </c>
      <c r="H746">
        <v>35</v>
      </c>
      <c r="I746">
        <v>226</v>
      </c>
      <c r="J746">
        <v>7</v>
      </c>
      <c r="K746">
        <v>9</v>
      </c>
      <c r="L746">
        <v>8</v>
      </c>
      <c r="M746">
        <v>18</v>
      </c>
      <c r="N746">
        <v>4</v>
      </c>
      <c r="O746">
        <v>14</v>
      </c>
      <c r="P746">
        <v>5</v>
      </c>
      <c r="Q746">
        <v>0</v>
      </c>
    </row>
    <row r="747" spans="1:17" x14ac:dyDescent="0.45">
      <c r="A747" t="s">
        <v>70</v>
      </c>
      <c r="B747" t="s">
        <v>21</v>
      </c>
      <c r="C747">
        <v>8</v>
      </c>
      <c r="D747">
        <v>924</v>
      </c>
      <c r="E747">
        <v>23</v>
      </c>
      <c r="F747">
        <v>31</v>
      </c>
      <c r="G747">
        <v>88</v>
      </c>
      <c r="H747">
        <v>18</v>
      </c>
      <c r="I747">
        <v>243</v>
      </c>
      <c r="J747">
        <v>21</v>
      </c>
      <c r="K747">
        <v>13</v>
      </c>
      <c r="L747">
        <v>7</v>
      </c>
      <c r="M747">
        <v>10</v>
      </c>
      <c r="N747">
        <v>17</v>
      </c>
      <c r="O747">
        <v>13</v>
      </c>
      <c r="P747">
        <v>8</v>
      </c>
      <c r="Q747">
        <v>0</v>
      </c>
    </row>
    <row r="748" spans="1:17" x14ac:dyDescent="0.45">
      <c r="A748" t="s">
        <v>70</v>
      </c>
      <c r="B748" t="s">
        <v>20</v>
      </c>
      <c r="C748">
        <v>9</v>
      </c>
      <c r="D748">
        <v>991</v>
      </c>
      <c r="E748">
        <v>31</v>
      </c>
      <c r="F748">
        <v>29</v>
      </c>
      <c r="G748">
        <v>53</v>
      </c>
      <c r="H748">
        <v>33</v>
      </c>
      <c r="I748">
        <v>219</v>
      </c>
      <c r="J748">
        <v>24</v>
      </c>
      <c r="K748">
        <v>7</v>
      </c>
      <c r="L748">
        <v>8</v>
      </c>
      <c r="M748">
        <v>32</v>
      </c>
      <c r="N748">
        <v>13</v>
      </c>
      <c r="O748">
        <v>24</v>
      </c>
      <c r="P748">
        <v>5</v>
      </c>
      <c r="Q748">
        <v>0</v>
      </c>
    </row>
    <row r="749" spans="1:17" x14ac:dyDescent="0.45">
      <c r="A749" t="s">
        <v>70</v>
      </c>
      <c r="B749" t="s">
        <v>21</v>
      </c>
      <c r="C749">
        <v>9</v>
      </c>
      <c r="D749">
        <v>927</v>
      </c>
      <c r="E749">
        <v>13</v>
      </c>
      <c r="F749">
        <v>31</v>
      </c>
      <c r="G749">
        <v>64</v>
      </c>
      <c r="H749">
        <v>25</v>
      </c>
      <c r="I749">
        <v>214</v>
      </c>
      <c r="J749">
        <v>21</v>
      </c>
      <c r="K749">
        <v>8</v>
      </c>
      <c r="L749">
        <v>10</v>
      </c>
      <c r="M749">
        <v>24</v>
      </c>
      <c r="N749">
        <v>23</v>
      </c>
      <c r="O749">
        <v>15</v>
      </c>
      <c r="P749">
        <v>6</v>
      </c>
      <c r="Q749">
        <v>0</v>
      </c>
    </row>
    <row r="750" spans="1:17" x14ac:dyDescent="0.45">
      <c r="A750" t="s">
        <v>70</v>
      </c>
      <c r="B750" t="s">
        <v>20</v>
      </c>
      <c r="C750">
        <v>10</v>
      </c>
      <c r="D750">
        <v>1110</v>
      </c>
      <c r="E750">
        <v>46</v>
      </c>
      <c r="F750">
        <v>55</v>
      </c>
      <c r="G750">
        <v>80</v>
      </c>
      <c r="H750">
        <v>90</v>
      </c>
      <c r="I750">
        <v>307</v>
      </c>
      <c r="J750">
        <v>36</v>
      </c>
      <c r="K750">
        <v>37</v>
      </c>
      <c r="L750">
        <v>22</v>
      </c>
      <c r="M750">
        <v>45</v>
      </c>
      <c r="N750">
        <v>33</v>
      </c>
      <c r="O750">
        <v>44</v>
      </c>
      <c r="P750">
        <v>12</v>
      </c>
      <c r="Q750">
        <v>2</v>
      </c>
    </row>
    <row r="751" spans="1:17" x14ac:dyDescent="0.45">
      <c r="A751" t="s">
        <v>70</v>
      </c>
      <c r="B751" t="s">
        <v>21</v>
      </c>
      <c r="C751">
        <v>10</v>
      </c>
      <c r="D751">
        <v>1407</v>
      </c>
      <c r="E751">
        <v>37</v>
      </c>
      <c r="F751">
        <v>54</v>
      </c>
      <c r="G751">
        <v>147</v>
      </c>
      <c r="H751">
        <v>57</v>
      </c>
      <c r="I751">
        <v>354</v>
      </c>
      <c r="J751">
        <v>37</v>
      </c>
      <c r="K751">
        <v>28</v>
      </c>
      <c r="L751">
        <v>32</v>
      </c>
      <c r="M751">
        <v>32</v>
      </c>
      <c r="N751">
        <v>57</v>
      </c>
      <c r="O751">
        <v>44</v>
      </c>
      <c r="P751">
        <v>7</v>
      </c>
      <c r="Q751">
        <v>3</v>
      </c>
    </row>
    <row r="752" spans="1:17" x14ac:dyDescent="0.45">
      <c r="A752" t="s">
        <v>70</v>
      </c>
      <c r="B752" t="s">
        <v>20</v>
      </c>
      <c r="C752">
        <v>11</v>
      </c>
      <c r="D752">
        <v>972</v>
      </c>
      <c r="E752">
        <v>33</v>
      </c>
      <c r="F752">
        <v>44</v>
      </c>
      <c r="G752">
        <v>113</v>
      </c>
      <c r="H752">
        <v>85</v>
      </c>
      <c r="I752">
        <v>249</v>
      </c>
      <c r="J752">
        <v>27</v>
      </c>
      <c r="K752">
        <v>38</v>
      </c>
      <c r="L752">
        <v>20</v>
      </c>
      <c r="M752">
        <v>38</v>
      </c>
      <c r="N752">
        <v>30</v>
      </c>
      <c r="O752">
        <v>32</v>
      </c>
      <c r="P752">
        <v>14</v>
      </c>
      <c r="Q752">
        <v>0</v>
      </c>
    </row>
    <row r="753" spans="1:17" x14ac:dyDescent="0.45">
      <c r="A753" t="s">
        <v>70</v>
      </c>
      <c r="B753" t="s">
        <v>21</v>
      </c>
      <c r="C753">
        <v>11</v>
      </c>
      <c r="D753">
        <v>1106</v>
      </c>
      <c r="E753">
        <v>32</v>
      </c>
      <c r="F753">
        <v>48</v>
      </c>
      <c r="G753">
        <v>119</v>
      </c>
      <c r="H753">
        <v>41</v>
      </c>
      <c r="I753">
        <v>236</v>
      </c>
      <c r="J753">
        <v>18</v>
      </c>
      <c r="K753">
        <v>26</v>
      </c>
      <c r="L753">
        <v>21</v>
      </c>
      <c r="M753">
        <v>16</v>
      </c>
      <c r="N753">
        <v>33</v>
      </c>
      <c r="O753">
        <v>31</v>
      </c>
      <c r="P753">
        <v>15</v>
      </c>
      <c r="Q753">
        <v>0</v>
      </c>
    </row>
    <row r="754" spans="1:17" x14ac:dyDescent="0.45">
      <c r="A754" t="s">
        <v>70</v>
      </c>
      <c r="B754" t="s">
        <v>20</v>
      </c>
      <c r="C754">
        <v>12</v>
      </c>
      <c r="D754">
        <v>1063</v>
      </c>
      <c r="E754">
        <v>25</v>
      </c>
      <c r="F754">
        <v>35</v>
      </c>
      <c r="G754">
        <v>171</v>
      </c>
      <c r="H754">
        <v>64</v>
      </c>
      <c r="I754">
        <v>213</v>
      </c>
      <c r="J754">
        <v>24</v>
      </c>
      <c r="K754">
        <v>46</v>
      </c>
      <c r="L754">
        <v>26</v>
      </c>
      <c r="M754">
        <v>20</v>
      </c>
      <c r="N754">
        <v>43</v>
      </c>
      <c r="O754">
        <v>44</v>
      </c>
      <c r="P754">
        <v>23</v>
      </c>
      <c r="Q754">
        <v>0</v>
      </c>
    </row>
    <row r="755" spans="1:17" x14ac:dyDescent="0.45">
      <c r="A755" t="s">
        <v>70</v>
      </c>
      <c r="B755" t="s">
        <v>21</v>
      </c>
      <c r="C755">
        <v>12</v>
      </c>
      <c r="D755">
        <v>1251</v>
      </c>
      <c r="E755">
        <v>29</v>
      </c>
      <c r="F755">
        <v>26</v>
      </c>
      <c r="G755">
        <v>192</v>
      </c>
      <c r="H755">
        <v>48</v>
      </c>
      <c r="I755">
        <v>224</v>
      </c>
      <c r="J755">
        <v>23</v>
      </c>
      <c r="K755">
        <v>69</v>
      </c>
      <c r="L755">
        <v>30</v>
      </c>
      <c r="M755">
        <v>23</v>
      </c>
      <c r="N755">
        <v>48</v>
      </c>
      <c r="O755">
        <v>51</v>
      </c>
      <c r="P755">
        <v>19</v>
      </c>
      <c r="Q755">
        <v>2</v>
      </c>
    </row>
    <row r="756" spans="1:17" x14ac:dyDescent="0.45">
      <c r="A756" t="s">
        <v>58</v>
      </c>
      <c r="B756" t="s">
        <v>20</v>
      </c>
      <c r="C756">
        <v>1</v>
      </c>
      <c r="D756">
        <v>1974</v>
      </c>
      <c r="E756">
        <v>91</v>
      </c>
      <c r="F756">
        <v>50</v>
      </c>
      <c r="G756">
        <v>306</v>
      </c>
      <c r="H756">
        <v>36</v>
      </c>
      <c r="I756">
        <v>344</v>
      </c>
      <c r="J756">
        <v>52</v>
      </c>
      <c r="K756">
        <v>166</v>
      </c>
      <c r="L756">
        <v>45</v>
      </c>
      <c r="M756">
        <v>46</v>
      </c>
      <c r="N756">
        <v>73</v>
      </c>
      <c r="O756">
        <v>63</v>
      </c>
      <c r="P756">
        <v>29</v>
      </c>
      <c r="Q756">
        <v>9</v>
      </c>
    </row>
    <row r="757" spans="1:17" x14ac:dyDescent="0.45">
      <c r="A757" t="s">
        <v>58</v>
      </c>
      <c r="B757" t="s">
        <v>21</v>
      </c>
      <c r="C757">
        <v>1</v>
      </c>
      <c r="D757">
        <v>2302</v>
      </c>
      <c r="E757">
        <v>74</v>
      </c>
      <c r="F757">
        <v>66</v>
      </c>
      <c r="G757">
        <v>306</v>
      </c>
      <c r="H757">
        <v>14</v>
      </c>
      <c r="I757">
        <v>305</v>
      </c>
      <c r="J757">
        <v>39</v>
      </c>
      <c r="K757">
        <v>135</v>
      </c>
      <c r="L757">
        <v>57</v>
      </c>
      <c r="M757">
        <v>27</v>
      </c>
      <c r="N757">
        <v>73</v>
      </c>
      <c r="O757">
        <v>69</v>
      </c>
      <c r="P757">
        <v>41</v>
      </c>
      <c r="Q757">
        <v>4</v>
      </c>
    </row>
    <row r="758" spans="1:17" x14ac:dyDescent="0.45">
      <c r="A758" t="s">
        <v>58</v>
      </c>
      <c r="B758" t="s">
        <v>20</v>
      </c>
      <c r="C758">
        <v>2</v>
      </c>
      <c r="D758">
        <v>2067</v>
      </c>
      <c r="E758">
        <v>87</v>
      </c>
      <c r="F758">
        <v>37</v>
      </c>
      <c r="G758">
        <v>202</v>
      </c>
      <c r="H758">
        <v>46</v>
      </c>
      <c r="I758">
        <v>314</v>
      </c>
      <c r="J758">
        <v>48</v>
      </c>
      <c r="K758">
        <v>134</v>
      </c>
      <c r="L758">
        <v>40</v>
      </c>
      <c r="M758">
        <v>39</v>
      </c>
      <c r="N758">
        <v>51</v>
      </c>
      <c r="O758">
        <v>59</v>
      </c>
      <c r="P758">
        <v>26</v>
      </c>
      <c r="Q758">
        <v>1</v>
      </c>
    </row>
    <row r="759" spans="1:17" x14ac:dyDescent="0.45">
      <c r="A759" t="s">
        <v>58</v>
      </c>
      <c r="B759" t="s">
        <v>21</v>
      </c>
      <c r="C759">
        <v>2</v>
      </c>
      <c r="D759">
        <v>2414</v>
      </c>
      <c r="E759">
        <v>97</v>
      </c>
      <c r="F759">
        <v>39</v>
      </c>
      <c r="G759">
        <v>187</v>
      </c>
      <c r="H759">
        <v>110</v>
      </c>
      <c r="I759">
        <v>443</v>
      </c>
      <c r="J759">
        <v>48</v>
      </c>
      <c r="K759">
        <v>162</v>
      </c>
      <c r="L759">
        <v>57</v>
      </c>
      <c r="M759">
        <v>33</v>
      </c>
      <c r="N759">
        <v>91</v>
      </c>
      <c r="O759">
        <v>73</v>
      </c>
      <c r="P759">
        <v>33</v>
      </c>
      <c r="Q759">
        <v>6</v>
      </c>
    </row>
    <row r="760" spans="1:17" x14ac:dyDescent="0.45">
      <c r="A760" t="s">
        <v>58</v>
      </c>
      <c r="B760" t="s">
        <v>20</v>
      </c>
      <c r="C760">
        <v>3</v>
      </c>
      <c r="D760">
        <v>2334</v>
      </c>
      <c r="E760">
        <v>97</v>
      </c>
      <c r="F760">
        <v>124</v>
      </c>
      <c r="G760">
        <v>334</v>
      </c>
      <c r="H760">
        <v>32</v>
      </c>
      <c r="I760">
        <v>363</v>
      </c>
      <c r="J760">
        <v>60</v>
      </c>
      <c r="K760">
        <v>210</v>
      </c>
      <c r="L760">
        <v>66</v>
      </c>
      <c r="M760">
        <v>64</v>
      </c>
      <c r="N760">
        <v>218</v>
      </c>
      <c r="O760">
        <v>173</v>
      </c>
      <c r="P760">
        <v>130</v>
      </c>
      <c r="Q760">
        <v>12</v>
      </c>
    </row>
    <row r="761" spans="1:17" x14ac:dyDescent="0.45">
      <c r="A761" t="s">
        <v>58</v>
      </c>
      <c r="B761" t="s">
        <v>21</v>
      </c>
      <c r="C761">
        <v>3</v>
      </c>
      <c r="D761">
        <v>2779</v>
      </c>
      <c r="E761">
        <v>111</v>
      </c>
      <c r="F761">
        <v>93</v>
      </c>
      <c r="G761">
        <v>417</v>
      </c>
      <c r="H761">
        <v>38</v>
      </c>
      <c r="I761">
        <v>499</v>
      </c>
      <c r="J761">
        <v>80</v>
      </c>
      <c r="K761">
        <v>289</v>
      </c>
      <c r="L761">
        <v>86</v>
      </c>
      <c r="M761">
        <v>76</v>
      </c>
      <c r="N761">
        <v>363</v>
      </c>
      <c r="O761">
        <v>211</v>
      </c>
      <c r="P761">
        <v>241</v>
      </c>
      <c r="Q761">
        <v>11</v>
      </c>
    </row>
    <row r="762" spans="1:17" x14ac:dyDescent="0.45">
      <c r="A762" t="s">
        <v>58</v>
      </c>
      <c r="B762" t="s">
        <v>20</v>
      </c>
      <c r="C762">
        <v>4</v>
      </c>
      <c r="D762">
        <v>2386</v>
      </c>
      <c r="E762">
        <v>111</v>
      </c>
      <c r="F762">
        <v>146</v>
      </c>
      <c r="G762">
        <v>509</v>
      </c>
      <c r="H762">
        <v>42</v>
      </c>
      <c r="I762">
        <v>503</v>
      </c>
      <c r="J762">
        <v>135</v>
      </c>
      <c r="K762">
        <v>733</v>
      </c>
      <c r="L762">
        <v>273</v>
      </c>
      <c r="M762">
        <v>141</v>
      </c>
      <c r="N762">
        <v>659</v>
      </c>
      <c r="O762">
        <v>424</v>
      </c>
      <c r="P762">
        <v>394</v>
      </c>
      <c r="Q762">
        <v>22</v>
      </c>
    </row>
    <row r="763" spans="1:17" x14ac:dyDescent="0.45">
      <c r="A763" t="s">
        <v>58</v>
      </c>
      <c r="B763" t="s">
        <v>21</v>
      </c>
      <c r="C763">
        <v>4</v>
      </c>
      <c r="D763">
        <v>2878</v>
      </c>
      <c r="E763">
        <v>107</v>
      </c>
      <c r="F763">
        <v>108</v>
      </c>
      <c r="G763">
        <v>438</v>
      </c>
      <c r="H763">
        <v>101</v>
      </c>
      <c r="I763">
        <v>571</v>
      </c>
      <c r="J763">
        <v>109</v>
      </c>
      <c r="K763">
        <v>646</v>
      </c>
      <c r="L763">
        <v>209</v>
      </c>
      <c r="M763">
        <v>98</v>
      </c>
      <c r="N763">
        <v>513</v>
      </c>
      <c r="O763">
        <v>339</v>
      </c>
      <c r="P763">
        <v>289</v>
      </c>
      <c r="Q763">
        <v>18</v>
      </c>
    </row>
    <row r="764" spans="1:17" x14ac:dyDescent="0.45">
      <c r="A764" t="s">
        <v>58</v>
      </c>
      <c r="B764" t="s">
        <v>20</v>
      </c>
      <c r="C764">
        <v>5</v>
      </c>
      <c r="D764">
        <v>2079</v>
      </c>
      <c r="E764">
        <v>145</v>
      </c>
      <c r="F764">
        <v>103</v>
      </c>
      <c r="G764">
        <v>377</v>
      </c>
      <c r="H764">
        <v>101</v>
      </c>
      <c r="I764">
        <v>492</v>
      </c>
      <c r="J764">
        <v>79</v>
      </c>
      <c r="K764">
        <v>359</v>
      </c>
      <c r="L764">
        <v>167</v>
      </c>
      <c r="M764">
        <v>95</v>
      </c>
      <c r="N764">
        <v>330</v>
      </c>
      <c r="O764">
        <v>309</v>
      </c>
      <c r="P764">
        <v>224</v>
      </c>
      <c r="Q764">
        <v>13</v>
      </c>
    </row>
    <row r="765" spans="1:17" x14ac:dyDescent="0.45">
      <c r="A765" t="s">
        <v>58</v>
      </c>
      <c r="B765" t="s">
        <v>21</v>
      </c>
      <c r="C765">
        <v>5</v>
      </c>
      <c r="D765">
        <v>2420</v>
      </c>
      <c r="E765">
        <v>189</v>
      </c>
      <c r="F765">
        <v>94</v>
      </c>
      <c r="G765">
        <v>450</v>
      </c>
      <c r="H765">
        <v>53</v>
      </c>
      <c r="I765">
        <v>446</v>
      </c>
      <c r="J765">
        <v>102</v>
      </c>
      <c r="K765">
        <v>371</v>
      </c>
      <c r="L765">
        <v>167</v>
      </c>
      <c r="M765">
        <v>61</v>
      </c>
      <c r="N765">
        <v>395</v>
      </c>
      <c r="O765">
        <v>268</v>
      </c>
      <c r="P765">
        <v>207</v>
      </c>
      <c r="Q765">
        <v>16</v>
      </c>
    </row>
    <row r="766" spans="1:17" x14ac:dyDescent="0.45">
      <c r="A766" t="s">
        <v>58</v>
      </c>
      <c r="B766" t="s">
        <v>20</v>
      </c>
      <c r="C766">
        <v>6</v>
      </c>
      <c r="D766">
        <v>2485</v>
      </c>
      <c r="E766">
        <v>107</v>
      </c>
      <c r="F766">
        <v>97</v>
      </c>
      <c r="G766">
        <v>298</v>
      </c>
      <c r="H766">
        <v>101</v>
      </c>
      <c r="I766">
        <v>570</v>
      </c>
      <c r="J766">
        <v>53</v>
      </c>
      <c r="K766">
        <v>162</v>
      </c>
      <c r="L766">
        <v>116</v>
      </c>
      <c r="M766">
        <v>70</v>
      </c>
      <c r="N766">
        <v>164</v>
      </c>
      <c r="O766">
        <v>167</v>
      </c>
      <c r="P766">
        <v>66</v>
      </c>
      <c r="Q766">
        <v>6</v>
      </c>
    </row>
    <row r="767" spans="1:17" x14ac:dyDescent="0.45">
      <c r="A767" t="s">
        <v>58</v>
      </c>
      <c r="B767" t="s">
        <v>21</v>
      </c>
      <c r="C767">
        <v>6</v>
      </c>
      <c r="D767">
        <v>2663</v>
      </c>
      <c r="E767">
        <v>113</v>
      </c>
      <c r="F767">
        <v>108</v>
      </c>
      <c r="G767">
        <v>382</v>
      </c>
      <c r="H767">
        <v>73</v>
      </c>
      <c r="I767">
        <v>632</v>
      </c>
      <c r="J767">
        <v>89</v>
      </c>
      <c r="K767">
        <v>203</v>
      </c>
      <c r="L767">
        <v>110</v>
      </c>
      <c r="M767">
        <v>78</v>
      </c>
      <c r="N767">
        <v>221</v>
      </c>
      <c r="O767">
        <v>194</v>
      </c>
      <c r="P767">
        <v>106</v>
      </c>
      <c r="Q767">
        <v>14</v>
      </c>
    </row>
    <row r="768" spans="1:17" x14ac:dyDescent="0.45">
      <c r="A768" t="s">
        <v>58</v>
      </c>
      <c r="B768" t="s">
        <v>20</v>
      </c>
      <c r="C768">
        <v>7</v>
      </c>
      <c r="D768">
        <v>2086</v>
      </c>
      <c r="E768">
        <v>109</v>
      </c>
      <c r="F768">
        <v>95</v>
      </c>
      <c r="G768">
        <v>192</v>
      </c>
      <c r="H768">
        <v>74</v>
      </c>
      <c r="I768">
        <v>522</v>
      </c>
      <c r="J768">
        <v>62</v>
      </c>
      <c r="K768">
        <v>94</v>
      </c>
      <c r="L768">
        <v>62</v>
      </c>
      <c r="M768">
        <v>65</v>
      </c>
      <c r="N768">
        <v>82</v>
      </c>
      <c r="O768">
        <v>92</v>
      </c>
      <c r="P768">
        <v>46</v>
      </c>
      <c r="Q768">
        <v>0</v>
      </c>
    </row>
    <row r="769" spans="1:17" x14ac:dyDescent="0.45">
      <c r="A769" t="s">
        <v>58</v>
      </c>
      <c r="B769" t="s">
        <v>21</v>
      </c>
      <c r="C769">
        <v>7</v>
      </c>
      <c r="D769">
        <v>2664</v>
      </c>
      <c r="E769">
        <v>126</v>
      </c>
      <c r="F769">
        <v>79</v>
      </c>
      <c r="G769">
        <v>196</v>
      </c>
      <c r="H769">
        <v>91</v>
      </c>
      <c r="I769">
        <v>639</v>
      </c>
      <c r="J769">
        <v>51</v>
      </c>
      <c r="K769">
        <v>103</v>
      </c>
      <c r="L769">
        <v>58</v>
      </c>
      <c r="M769">
        <v>63</v>
      </c>
      <c r="N769">
        <v>79</v>
      </c>
      <c r="O769">
        <v>78</v>
      </c>
      <c r="P769">
        <v>43</v>
      </c>
      <c r="Q769">
        <v>8</v>
      </c>
    </row>
    <row r="770" spans="1:17" x14ac:dyDescent="0.45">
      <c r="A770" t="s">
        <v>58</v>
      </c>
      <c r="B770" t="s">
        <v>20</v>
      </c>
      <c r="C770">
        <v>8</v>
      </c>
      <c r="D770">
        <v>2015</v>
      </c>
      <c r="E770">
        <v>96</v>
      </c>
      <c r="F770">
        <v>91</v>
      </c>
      <c r="G770">
        <v>126</v>
      </c>
      <c r="H770">
        <v>55</v>
      </c>
      <c r="I770">
        <v>560</v>
      </c>
      <c r="J770">
        <v>58</v>
      </c>
      <c r="K770">
        <v>33</v>
      </c>
      <c r="L770">
        <v>28</v>
      </c>
      <c r="M770">
        <v>55</v>
      </c>
      <c r="N770">
        <v>29</v>
      </c>
      <c r="O770">
        <v>39</v>
      </c>
      <c r="P770">
        <v>15</v>
      </c>
      <c r="Q770">
        <v>2</v>
      </c>
    </row>
    <row r="771" spans="1:17" x14ac:dyDescent="0.45">
      <c r="A771" t="s">
        <v>58</v>
      </c>
      <c r="B771" t="s">
        <v>21</v>
      </c>
      <c r="C771">
        <v>8</v>
      </c>
      <c r="D771">
        <v>1751</v>
      </c>
      <c r="E771">
        <v>74</v>
      </c>
      <c r="F771">
        <v>66</v>
      </c>
      <c r="G771">
        <v>123</v>
      </c>
      <c r="H771">
        <v>12</v>
      </c>
      <c r="I771">
        <v>464</v>
      </c>
      <c r="J771">
        <v>40</v>
      </c>
      <c r="K771">
        <v>47</v>
      </c>
      <c r="L771">
        <v>26</v>
      </c>
      <c r="M771">
        <v>51</v>
      </c>
      <c r="N771">
        <v>53</v>
      </c>
      <c r="O771">
        <v>41</v>
      </c>
      <c r="P771">
        <v>21</v>
      </c>
      <c r="Q771">
        <v>0</v>
      </c>
    </row>
    <row r="772" spans="1:17" x14ac:dyDescent="0.45">
      <c r="A772" t="s">
        <v>58</v>
      </c>
      <c r="B772" t="s">
        <v>20</v>
      </c>
      <c r="C772">
        <v>9</v>
      </c>
      <c r="D772">
        <v>2365</v>
      </c>
      <c r="E772">
        <v>99</v>
      </c>
      <c r="F772">
        <v>86</v>
      </c>
      <c r="G772">
        <v>122</v>
      </c>
      <c r="H772">
        <v>107</v>
      </c>
      <c r="I772">
        <v>629</v>
      </c>
      <c r="J772">
        <v>87</v>
      </c>
      <c r="K772">
        <v>60</v>
      </c>
      <c r="L772">
        <v>48</v>
      </c>
      <c r="M772">
        <v>79</v>
      </c>
      <c r="N772">
        <v>32</v>
      </c>
      <c r="O772">
        <v>45</v>
      </c>
      <c r="P772">
        <v>13</v>
      </c>
      <c r="Q772">
        <v>0</v>
      </c>
    </row>
    <row r="773" spans="1:17" x14ac:dyDescent="0.45">
      <c r="A773" t="s">
        <v>58</v>
      </c>
      <c r="B773" t="s">
        <v>21</v>
      </c>
      <c r="C773">
        <v>9</v>
      </c>
      <c r="D773">
        <v>1938</v>
      </c>
      <c r="E773">
        <v>85</v>
      </c>
      <c r="F773">
        <v>97</v>
      </c>
      <c r="G773">
        <v>183</v>
      </c>
      <c r="H773">
        <v>29</v>
      </c>
      <c r="I773">
        <v>422</v>
      </c>
      <c r="J773">
        <v>67</v>
      </c>
      <c r="K773">
        <v>27</v>
      </c>
      <c r="L773">
        <v>19</v>
      </c>
      <c r="M773">
        <v>48</v>
      </c>
      <c r="N773">
        <v>37</v>
      </c>
      <c r="O773">
        <v>43</v>
      </c>
      <c r="P773">
        <v>18</v>
      </c>
      <c r="Q773">
        <v>2</v>
      </c>
    </row>
    <row r="774" spans="1:17" x14ac:dyDescent="0.45">
      <c r="A774" t="s">
        <v>58</v>
      </c>
      <c r="B774" t="s">
        <v>20</v>
      </c>
      <c r="C774">
        <v>10</v>
      </c>
      <c r="D774">
        <v>2798</v>
      </c>
      <c r="E774">
        <v>120</v>
      </c>
      <c r="F774">
        <v>157</v>
      </c>
      <c r="G774">
        <v>203</v>
      </c>
      <c r="H774">
        <v>177</v>
      </c>
      <c r="I774">
        <v>755</v>
      </c>
      <c r="J774">
        <v>117</v>
      </c>
      <c r="K774">
        <v>69</v>
      </c>
      <c r="L774">
        <v>56</v>
      </c>
      <c r="M774">
        <v>83</v>
      </c>
      <c r="N774">
        <v>73</v>
      </c>
      <c r="O774">
        <v>70</v>
      </c>
      <c r="P774">
        <v>37</v>
      </c>
      <c r="Q774">
        <v>3</v>
      </c>
    </row>
    <row r="775" spans="1:17" x14ac:dyDescent="0.45">
      <c r="A775" t="s">
        <v>58</v>
      </c>
      <c r="B775" t="s">
        <v>21</v>
      </c>
      <c r="C775">
        <v>10</v>
      </c>
      <c r="D775">
        <v>2579</v>
      </c>
      <c r="E775">
        <v>141</v>
      </c>
      <c r="F775">
        <v>125</v>
      </c>
      <c r="G775">
        <v>285</v>
      </c>
      <c r="H775">
        <v>30</v>
      </c>
      <c r="I775">
        <v>538</v>
      </c>
      <c r="J775">
        <v>89</v>
      </c>
      <c r="K775">
        <v>74</v>
      </c>
      <c r="L775">
        <v>73</v>
      </c>
      <c r="M775">
        <v>117</v>
      </c>
      <c r="N775">
        <v>74</v>
      </c>
      <c r="O775">
        <v>81</v>
      </c>
      <c r="P775">
        <v>39</v>
      </c>
      <c r="Q775">
        <v>0</v>
      </c>
    </row>
    <row r="776" spans="1:17" x14ac:dyDescent="0.45">
      <c r="A776" t="s">
        <v>58</v>
      </c>
      <c r="B776" t="s">
        <v>20</v>
      </c>
      <c r="C776">
        <v>11</v>
      </c>
      <c r="D776">
        <v>2320</v>
      </c>
      <c r="E776">
        <v>180</v>
      </c>
      <c r="F776">
        <v>96</v>
      </c>
      <c r="G776">
        <v>309</v>
      </c>
      <c r="H776">
        <v>114</v>
      </c>
      <c r="I776">
        <v>663</v>
      </c>
      <c r="J776">
        <v>79</v>
      </c>
      <c r="K776">
        <v>95</v>
      </c>
      <c r="L776">
        <v>69</v>
      </c>
      <c r="M776">
        <v>81</v>
      </c>
      <c r="N776">
        <v>103</v>
      </c>
      <c r="O776">
        <v>100</v>
      </c>
      <c r="P776">
        <v>47</v>
      </c>
      <c r="Q776">
        <v>1</v>
      </c>
    </row>
    <row r="777" spans="1:17" x14ac:dyDescent="0.45">
      <c r="A777" t="s">
        <v>58</v>
      </c>
      <c r="B777" t="s">
        <v>21</v>
      </c>
      <c r="C777">
        <v>11</v>
      </c>
      <c r="D777">
        <v>2297</v>
      </c>
      <c r="E777">
        <v>127</v>
      </c>
      <c r="F777">
        <v>53</v>
      </c>
      <c r="G777">
        <v>226</v>
      </c>
      <c r="H777">
        <v>70</v>
      </c>
      <c r="I777">
        <v>473</v>
      </c>
      <c r="J777">
        <v>60</v>
      </c>
      <c r="K777">
        <v>100</v>
      </c>
      <c r="L777">
        <v>43</v>
      </c>
      <c r="M777">
        <v>69</v>
      </c>
      <c r="N777">
        <v>53</v>
      </c>
      <c r="O777">
        <v>60</v>
      </c>
      <c r="P777">
        <v>30</v>
      </c>
      <c r="Q777">
        <v>0</v>
      </c>
    </row>
    <row r="778" spans="1:17" x14ac:dyDescent="0.45">
      <c r="A778" t="s">
        <v>58</v>
      </c>
      <c r="B778" t="s">
        <v>20</v>
      </c>
      <c r="C778">
        <v>12</v>
      </c>
      <c r="D778">
        <v>2499</v>
      </c>
      <c r="E778">
        <v>139</v>
      </c>
      <c r="F778">
        <v>101</v>
      </c>
      <c r="G778">
        <v>360</v>
      </c>
      <c r="H778">
        <v>40</v>
      </c>
      <c r="I778">
        <v>464</v>
      </c>
      <c r="J778">
        <v>52</v>
      </c>
      <c r="K778">
        <v>164</v>
      </c>
      <c r="L778">
        <v>63</v>
      </c>
      <c r="M778">
        <v>62</v>
      </c>
      <c r="N778">
        <v>100</v>
      </c>
      <c r="O778">
        <v>82</v>
      </c>
      <c r="P778">
        <v>37</v>
      </c>
      <c r="Q778">
        <v>3</v>
      </c>
    </row>
    <row r="779" spans="1:17" x14ac:dyDescent="0.45">
      <c r="A779" t="s">
        <v>58</v>
      </c>
      <c r="B779" t="s">
        <v>21</v>
      </c>
      <c r="C779">
        <v>12</v>
      </c>
      <c r="D779">
        <v>2710</v>
      </c>
      <c r="E779">
        <v>107</v>
      </c>
      <c r="F779">
        <v>77</v>
      </c>
      <c r="G779">
        <v>404</v>
      </c>
      <c r="H779">
        <v>53</v>
      </c>
      <c r="I779">
        <v>538</v>
      </c>
      <c r="J779">
        <v>58</v>
      </c>
      <c r="K779">
        <v>202</v>
      </c>
      <c r="L779">
        <v>64</v>
      </c>
      <c r="M779">
        <v>61</v>
      </c>
      <c r="N779">
        <v>117</v>
      </c>
      <c r="O779">
        <v>85</v>
      </c>
      <c r="P779">
        <v>49</v>
      </c>
      <c r="Q779">
        <v>0</v>
      </c>
    </row>
    <row r="780" spans="1:17" x14ac:dyDescent="0.45">
      <c r="A780" t="s">
        <v>61</v>
      </c>
      <c r="B780" t="s">
        <v>20</v>
      </c>
      <c r="C780">
        <v>1</v>
      </c>
      <c r="D780">
        <v>555</v>
      </c>
      <c r="E780">
        <v>30</v>
      </c>
      <c r="F780">
        <v>11</v>
      </c>
      <c r="G780">
        <v>80</v>
      </c>
      <c r="H780">
        <v>32</v>
      </c>
      <c r="I780">
        <v>86</v>
      </c>
      <c r="J780">
        <v>21</v>
      </c>
      <c r="K780">
        <v>28</v>
      </c>
      <c r="L780">
        <v>17</v>
      </c>
      <c r="M780">
        <v>11</v>
      </c>
      <c r="N780">
        <v>36</v>
      </c>
      <c r="O780">
        <v>30</v>
      </c>
      <c r="P780">
        <v>6</v>
      </c>
      <c r="Q780">
        <v>0</v>
      </c>
    </row>
    <row r="781" spans="1:17" x14ac:dyDescent="0.45">
      <c r="A781" t="s">
        <v>61</v>
      </c>
      <c r="B781" t="s">
        <v>21</v>
      </c>
      <c r="C781">
        <v>1</v>
      </c>
      <c r="D781">
        <v>629</v>
      </c>
      <c r="E781">
        <v>30</v>
      </c>
      <c r="F781">
        <v>17</v>
      </c>
      <c r="G781">
        <v>94</v>
      </c>
      <c r="H781">
        <v>16</v>
      </c>
      <c r="I781">
        <v>100</v>
      </c>
      <c r="J781">
        <v>12</v>
      </c>
      <c r="K781">
        <v>62</v>
      </c>
      <c r="L781">
        <v>17</v>
      </c>
      <c r="M781">
        <v>17</v>
      </c>
      <c r="N781">
        <v>38</v>
      </c>
      <c r="O781">
        <v>20</v>
      </c>
      <c r="P781">
        <v>15</v>
      </c>
      <c r="Q781">
        <v>0</v>
      </c>
    </row>
    <row r="782" spans="1:17" x14ac:dyDescent="0.45">
      <c r="A782" t="s">
        <v>61</v>
      </c>
      <c r="B782" t="s">
        <v>20</v>
      </c>
      <c r="C782">
        <v>2</v>
      </c>
      <c r="D782">
        <v>494</v>
      </c>
      <c r="E782">
        <v>19</v>
      </c>
      <c r="F782">
        <v>7</v>
      </c>
      <c r="G782">
        <v>61</v>
      </c>
      <c r="H782">
        <v>37</v>
      </c>
      <c r="I782">
        <v>98</v>
      </c>
      <c r="J782">
        <v>15</v>
      </c>
      <c r="K782">
        <v>41</v>
      </c>
      <c r="L782">
        <v>14</v>
      </c>
      <c r="M782">
        <v>10</v>
      </c>
      <c r="N782">
        <v>25</v>
      </c>
      <c r="O782">
        <v>22</v>
      </c>
      <c r="P782">
        <v>12</v>
      </c>
      <c r="Q782">
        <v>2</v>
      </c>
    </row>
    <row r="783" spans="1:17" x14ac:dyDescent="0.45">
      <c r="A783" t="s">
        <v>61</v>
      </c>
      <c r="B783" t="s">
        <v>21</v>
      </c>
      <c r="C783">
        <v>2</v>
      </c>
      <c r="D783">
        <v>538</v>
      </c>
      <c r="E783">
        <v>9</v>
      </c>
      <c r="F783">
        <v>10</v>
      </c>
      <c r="G783">
        <v>39</v>
      </c>
      <c r="H783">
        <v>43</v>
      </c>
      <c r="I783">
        <v>133</v>
      </c>
      <c r="J783">
        <v>12</v>
      </c>
      <c r="K783">
        <v>49</v>
      </c>
      <c r="L783">
        <v>19</v>
      </c>
      <c r="M783">
        <v>17</v>
      </c>
      <c r="N783">
        <v>35</v>
      </c>
      <c r="O783">
        <v>28</v>
      </c>
      <c r="P783">
        <v>5</v>
      </c>
      <c r="Q783">
        <v>6</v>
      </c>
    </row>
    <row r="784" spans="1:17" x14ac:dyDescent="0.45">
      <c r="A784" t="s">
        <v>61</v>
      </c>
      <c r="B784" t="s">
        <v>20</v>
      </c>
      <c r="C784">
        <v>3</v>
      </c>
      <c r="D784">
        <v>604</v>
      </c>
      <c r="E784">
        <v>22</v>
      </c>
      <c r="F784">
        <v>49</v>
      </c>
      <c r="G784">
        <v>112</v>
      </c>
      <c r="H784">
        <v>19</v>
      </c>
      <c r="I784">
        <v>117</v>
      </c>
      <c r="J784">
        <v>25</v>
      </c>
      <c r="K784">
        <v>62</v>
      </c>
      <c r="L784">
        <v>17</v>
      </c>
      <c r="M784">
        <v>12</v>
      </c>
      <c r="N784">
        <v>94</v>
      </c>
      <c r="O784">
        <v>55</v>
      </c>
      <c r="P784">
        <v>43</v>
      </c>
      <c r="Q784">
        <v>0</v>
      </c>
    </row>
    <row r="785" spans="1:17" x14ac:dyDescent="0.45">
      <c r="A785" t="s">
        <v>61</v>
      </c>
      <c r="B785" t="s">
        <v>21</v>
      </c>
      <c r="C785">
        <v>3</v>
      </c>
      <c r="D785">
        <v>630</v>
      </c>
      <c r="E785">
        <v>29</v>
      </c>
      <c r="F785">
        <v>33</v>
      </c>
      <c r="G785">
        <v>139</v>
      </c>
      <c r="H785">
        <v>22</v>
      </c>
      <c r="I785">
        <v>124</v>
      </c>
      <c r="J785">
        <v>23</v>
      </c>
      <c r="K785">
        <v>83</v>
      </c>
      <c r="L785">
        <v>30</v>
      </c>
      <c r="M785">
        <v>15</v>
      </c>
      <c r="N785">
        <v>144</v>
      </c>
      <c r="O785">
        <v>72</v>
      </c>
      <c r="P785">
        <v>101</v>
      </c>
      <c r="Q785">
        <v>0</v>
      </c>
    </row>
    <row r="786" spans="1:17" x14ac:dyDescent="0.45">
      <c r="A786" t="s">
        <v>61</v>
      </c>
      <c r="B786" t="s">
        <v>20</v>
      </c>
      <c r="C786">
        <v>4</v>
      </c>
      <c r="D786">
        <v>607</v>
      </c>
      <c r="E786">
        <v>45</v>
      </c>
      <c r="F786">
        <v>33</v>
      </c>
      <c r="G786">
        <v>167</v>
      </c>
      <c r="H786">
        <v>29</v>
      </c>
      <c r="I786">
        <v>169</v>
      </c>
      <c r="J786">
        <v>46</v>
      </c>
      <c r="K786">
        <v>235</v>
      </c>
      <c r="L786">
        <v>94</v>
      </c>
      <c r="M786">
        <v>54</v>
      </c>
      <c r="N786">
        <v>236</v>
      </c>
      <c r="O786">
        <v>136</v>
      </c>
      <c r="P786">
        <v>150</v>
      </c>
      <c r="Q786">
        <v>3</v>
      </c>
    </row>
    <row r="787" spans="1:17" x14ac:dyDescent="0.45">
      <c r="A787" t="s">
        <v>61</v>
      </c>
      <c r="B787" t="s">
        <v>21</v>
      </c>
      <c r="C787">
        <v>4</v>
      </c>
      <c r="D787">
        <v>789</v>
      </c>
      <c r="E787">
        <v>47</v>
      </c>
      <c r="F787">
        <v>34</v>
      </c>
      <c r="G787">
        <v>134</v>
      </c>
      <c r="H787">
        <v>56</v>
      </c>
      <c r="I787">
        <v>179</v>
      </c>
      <c r="J787">
        <v>31</v>
      </c>
      <c r="K787">
        <v>233</v>
      </c>
      <c r="L787">
        <v>87</v>
      </c>
      <c r="M787">
        <v>37</v>
      </c>
      <c r="N787">
        <v>182</v>
      </c>
      <c r="O787">
        <v>98</v>
      </c>
      <c r="P787">
        <v>89</v>
      </c>
      <c r="Q787">
        <v>6</v>
      </c>
    </row>
    <row r="788" spans="1:17" x14ac:dyDescent="0.45">
      <c r="A788" t="s">
        <v>61</v>
      </c>
      <c r="B788" t="s">
        <v>20</v>
      </c>
      <c r="C788">
        <v>5</v>
      </c>
      <c r="D788">
        <v>524</v>
      </c>
      <c r="E788">
        <v>44</v>
      </c>
      <c r="F788">
        <v>22</v>
      </c>
      <c r="G788">
        <v>92</v>
      </c>
      <c r="H788">
        <v>49</v>
      </c>
      <c r="I788">
        <v>157</v>
      </c>
      <c r="J788">
        <v>13</v>
      </c>
      <c r="K788">
        <v>103</v>
      </c>
      <c r="L788">
        <v>39</v>
      </c>
      <c r="M788">
        <v>25</v>
      </c>
      <c r="N788">
        <v>136</v>
      </c>
      <c r="O788">
        <v>98</v>
      </c>
      <c r="P788">
        <v>110</v>
      </c>
      <c r="Q788">
        <v>5</v>
      </c>
    </row>
    <row r="789" spans="1:17" x14ac:dyDescent="0.45">
      <c r="A789" t="s">
        <v>61</v>
      </c>
      <c r="B789" t="s">
        <v>21</v>
      </c>
      <c r="C789">
        <v>5</v>
      </c>
      <c r="D789">
        <v>632</v>
      </c>
      <c r="E789">
        <v>49</v>
      </c>
      <c r="F789">
        <v>33</v>
      </c>
      <c r="G789">
        <v>136</v>
      </c>
      <c r="H789">
        <v>59</v>
      </c>
      <c r="I789">
        <v>201</v>
      </c>
      <c r="J789">
        <v>55</v>
      </c>
      <c r="K789">
        <v>124</v>
      </c>
      <c r="L789">
        <v>59</v>
      </c>
      <c r="M789">
        <v>23</v>
      </c>
      <c r="N789">
        <v>153</v>
      </c>
      <c r="O789">
        <v>98</v>
      </c>
      <c r="P789">
        <v>77</v>
      </c>
      <c r="Q789">
        <v>2</v>
      </c>
    </row>
    <row r="790" spans="1:17" x14ac:dyDescent="0.45">
      <c r="A790" t="s">
        <v>61</v>
      </c>
      <c r="B790" t="s">
        <v>20</v>
      </c>
      <c r="C790">
        <v>6</v>
      </c>
      <c r="D790">
        <v>591</v>
      </c>
      <c r="E790">
        <v>66</v>
      </c>
      <c r="F790">
        <v>35</v>
      </c>
      <c r="G790">
        <v>66</v>
      </c>
      <c r="H790">
        <v>41</v>
      </c>
      <c r="I790">
        <v>215</v>
      </c>
      <c r="J790">
        <v>23</v>
      </c>
      <c r="K790">
        <v>49</v>
      </c>
      <c r="L790">
        <v>30</v>
      </c>
      <c r="M790">
        <v>34</v>
      </c>
      <c r="N790">
        <v>52</v>
      </c>
      <c r="O790">
        <v>67</v>
      </c>
      <c r="P790">
        <v>30</v>
      </c>
      <c r="Q790">
        <v>6</v>
      </c>
    </row>
    <row r="791" spans="1:17" x14ac:dyDescent="0.45">
      <c r="A791" t="s">
        <v>61</v>
      </c>
      <c r="B791" t="s">
        <v>21</v>
      </c>
      <c r="C791">
        <v>6</v>
      </c>
      <c r="D791">
        <v>669</v>
      </c>
      <c r="E791">
        <v>57</v>
      </c>
      <c r="F791">
        <v>28</v>
      </c>
      <c r="G791">
        <v>91</v>
      </c>
      <c r="H791">
        <v>48</v>
      </c>
      <c r="I791">
        <v>182</v>
      </c>
      <c r="J791">
        <v>32</v>
      </c>
      <c r="K791">
        <v>78</v>
      </c>
      <c r="L791">
        <v>45</v>
      </c>
      <c r="M791">
        <v>56</v>
      </c>
      <c r="N791">
        <v>106</v>
      </c>
      <c r="O791">
        <v>62</v>
      </c>
      <c r="P791">
        <v>35</v>
      </c>
      <c r="Q791">
        <v>5</v>
      </c>
    </row>
    <row r="792" spans="1:17" x14ac:dyDescent="0.45">
      <c r="A792" t="s">
        <v>61</v>
      </c>
      <c r="B792" t="s">
        <v>20</v>
      </c>
      <c r="C792">
        <v>7</v>
      </c>
      <c r="D792">
        <v>570</v>
      </c>
      <c r="E792">
        <v>52</v>
      </c>
      <c r="F792">
        <v>28</v>
      </c>
      <c r="G792">
        <v>48</v>
      </c>
      <c r="H792">
        <v>32</v>
      </c>
      <c r="I792">
        <v>181</v>
      </c>
      <c r="J792">
        <v>15</v>
      </c>
      <c r="K792">
        <v>28</v>
      </c>
      <c r="L792">
        <v>15</v>
      </c>
      <c r="M792">
        <v>25</v>
      </c>
      <c r="N792">
        <v>17</v>
      </c>
      <c r="O792">
        <v>22</v>
      </c>
      <c r="P792">
        <v>9</v>
      </c>
      <c r="Q792">
        <v>0</v>
      </c>
    </row>
    <row r="793" spans="1:17" x14ac:dyDescent="0.45">
      <c r="A793" t="s">
        <v>61</v>
      </c>
      <c r="B793" t="s">
        <v>21</v>
      </c>
      <c r="C793">
        <v>7</v>
      </c>
      <c r="D793">
        <v>698</v>
      </c>
      <c r="E793">
        <v>54</v>
      </c>
      <c r="F793">
        <v>25</v>
      </c>
      <c r="G793">
        <v>59</v>
      </c>
      <c r="H793">
        <v>39</v>
      </c>
      <c r="I793">
        <v>191</v>
      </c>
      <c r="J793">
        <v>19</v>
      </c>
      <c r="K793">
        <v>32</v>
      </c>
      <c r="L793">
        <v>20</v>
      </c>
      <c r="M793">
        <v>17</v>
      </c>
      <c r="N793">
        <v>24</v>
      </c>
      <c r="O793">
        <v>29</v>
      </c>
      <c r="P793">
        <v>16</v>
      </c>
      <c r="Q793">
        <v>1</v>
      </c>
    </row>
    <row r="794" spans="1:17" x14ac:dyDescent="0.45">
      <c r="A794" t="s">
        <v>61</v>
      </c>
      <c r="B794" t="s">
        <v>20</v>
      </c>
      <c r="C794">
        <v>8</v>
      </c>
      <c r="D794">
        <v>513</v>
      </c>
      <c r="E794">
        <v>35</v>
      </c>
      <c r="F794">
        <v>37</v>
      </c>
      <c r="G794">
        <v>40</v>
      </c>
      <c r="H794">
        <v>10</v>
      </c>
      <c r="I794">
        <v>138</v>
      </c>
      <c r="J794">
        <v>25</v>
      </c>
      <c r="K794">
        <v>17</v>
      </c>
      <c r="L794">
        <v>4</v>
      </c>
      <c r="M794">
        <v>23</v>
      </c>
      <c r="N794">
        <v>4</v>
      </c>
      <c r="O794">
        <v>19</v>
      </c>
      <c r="P794">
        <v>6</v>
      </c>
      <c r="Q794">
        <v>0</v>
      </c>
    </row>
    <row r="795" spans="1:17" x14ac:dyDescent="0.45">
      <c r="A795" t="s">
        <v>61</v>
      </c>
      <c r="B795" t="s">
        <v>21</v>
      </c>
      <c r="C795">
        <v>8</v>
      </c>
      <c r="D795">
        <v>537</v>
      </c>
      <c r="E795">
        <v>18</v>
      </c>
      <c r="F795">
        <v>27</v>
      </c>
      <c r="G795">
        <v>49</v>
      </c>
      <c r="H795">
        <v>26</v>
      </c>
      <c r="I795">
        <v>178</v>
      </c>
      <c r="J795">
        <v>12</v>
      </c>
      <c r="K795">
        <v>29</v>
      </c>
      <c r="L795">
        <v>12</v>
      </c>
      <c r="M795">
        <v>18</v>
      </c>
      <c r="N795">
        <v>18</v>
      </c>
      <c r="O795">
        <v>14</v>
      </c>
      <c r="P795">
        <v>8</v>
      </c>
      <c r="Q795">
        <v>0</v>
      </c>
    </row>
    <row r="796" spans="1:17" x14ac:dyDescent="0.45">
      <c r="A796" t="s">
        <v>61</v>
      </c>
      <c r="B796" t="s">
        <v>20</v>
      </c>
      <c r="C796">
        <v>9</v>
      </c>
      <c r="D796">
        <v>567</v>
      </c>
      <c r="E796">
        <v>29</v>
      </c>
      <c r="F796">
        <v>28</v>
      </c>
      <c r="G796">
        <v>33</v>
      </c>
      <c r="H796">
        <v>66</v>
      </c>
      <c r="I796">
        <v>211</v>
      </c>
      <c r="J796">
        <v>19</v>
      </c>
      <c r="K796">
        <v>19</v>
      </c>
      <c r="L796">
        <v>14</v>
      </c>
      <c r="M796">
        <v>42</v>
      </c>
      <c r="N796">
        <v>15</v>
      </c>
      <c r="O796">
        <v>17</v>
      </c>
      <c r="P796">
        <v>5</v>
      </c>
      <c r="Q796">
        <v>0</v>
      </c>
    </row>
    <row r="797" spans="1:17" x14ac:dyDescent="0.45">
      <c r="A797" t="s">
        <v>61</v>
      </c>
      <c r="B797" t="s">
        <v>21</v>
      </c>
      <c r="C797">
        <v>9</v>
      </c>
      <c r="D797">
        <v>553</v>
      </c>
      <c r="E797">
        <v>35</v>
      </c>
      <c r="F797">
        <v>32</v>
      </c>
      <c r="G797">
        <v>66</v>
      </c>
      <c r="H797">
        <v>17</v>
      </c>
      <c r="I797">
        <v>166</v>
      </c>
      <c r="J797">
        <v>18</v>
      </c>
      <c r="K797">
        <v>9</v>
      </c>
      <c r="L797">
        <v>10</v>
      </c>
      <c r="M797">
        <v>25</v>
      </c>
      <c r="N797">
        <v>12</v>
      </c>
      <c r="O797">
        <v>16</v>
      </c>
      <c r="P797">
        <v>6</v>
      </c>
      <c r="Q797">
        <v>0</v>
      </c>
    </row>
    <row r="798" spans="1:17" x14ac:dyDescent="0.45">
      <c r="A798" t="s">
        <v>61</v>
      </c>
      <c r="B798" t="s">
        <v>20</v>
      </c>
      <c r="C798">
        <v>10</v>
      </c>
      <c r="D798">
        <v>690</v>
      </c>
      <c r="E798">
        <v>59</v>
      </c>
      <c r="F798">
        <v>58</v>
      </c>
      <c r="G798">
        <v>47</v>
      </c>
      <c r="H798">
        <v>59</v>
      </c>
      <c r="I798">
        <v>219</v>
      </c>
      <c r="J798">
        <v>31</v>
      </c>
      <c r="K798">
        <v>43</v>
      </c>
      <c r="L798">
        <v>22</v>
      </c>
      <c r="M798">
        <v>34</v>
      </c>
      <c r="N798">
        <v>35</v>
      </c>
      <c r="O798">
        <v>40</v>
      </c>
      <c r="P798">
        <v>9</v>
      </c>
      <c r="Q798">
        <v>0</v>
      </c>
    </row>
    <row r="799" spans="1:17" x14ac:dyDescent="0.45">
      <c r="A799" t="s">
        <v>61</v>
      </c>
      <c r="B799" t="s">
        <v>21</v>
      </c>
      <c r="C799">
        <v>10</v>
      </c>
      <c r="D799">
        <v>761</v>
      </c>
      <c r="E799">
        <v>55</v>
      </c>
      <c r="F799">
        <v>45</v>
      </c>
      <c r="G799">
        <v>89</v>
      </c>
      <c r="H799">
        <v>32</v>
      </c>
      <c r="I799">
        <v>224</v>
      </c>
      <c r="J799">
        <v>45</v>
      </c>
      <c r="K799">
        <v>31</v>
      </c>
      <c r="L799">
        <v>19</v>
      </c>
      <c r="M799">
        <v>57</v>
      </c>
      <c r="N799">
        <v>49</v>
      </c>
      <c r="O799">
        <v>42</v>
      </c>
      <c r="P799">
        <v>12</v>
      </c>
      <c r="Q799">
        <v>0</v>
      </c>
    </row>
    <row r="800" spans="1:17" x14ac:dyDescent="0.45">
      <c r="A800" t="s">
        <v>61</v>
      </c>
      <c r="B800" t="s">
        <v>20</v>
      </c>
      <c r="C800">
        <v>11</v>
      </c>
      <c r="D800">
        <v>650</v>
      </c>
      <c r="E800">
        <v>43</v>
      </c>
      <c r="F800">
        <v>42</v>
      </c>
      <c r="G800">
        <v>78</v>
      </c>
      <c r="H800">
        <v>32</v>
      </c>
      <c r="I800">
        <v>178</v>
      </c>
      <c r="J800">
        <v>28</v>
      </c>
      <c r="K800">
        <v>47</v>
      </c>
      <c r="L800">
        <v>11</v>
      </c>
      <c r="M800">
        <v>44</v>
      </c>
      <c r="N800">
        <v>45</v>
      </c>
      <c r="O800">
        <v>31</v>
      </c>
      <c r="P800">
        <v>18</v>
      </c>
      <c r="Q800">
        <v>0</v>
      </c>
    </row>
    <row r="801" spans="1:17" x14ac:dyDescent="0.45">
      <c r="A801" t="s">
        <v>61</v>
      </c>
      <c r="B801" t="s">
        <v>21</v>
      </c>
      <c r="C801">
        <v>11</v>
      </c>
      <c r="D801">
        <v>672</v>
      </c>
      <c r="E801">
        <v>32</v>
      </c>
      <c r="F801">
        <v>36</v>
      </c>
      <c r="G801">
        <v>84</v>
      </c>
      <c r="H801">
        <v>30</v>
      </c>
      <c r="I801">
        <v>142</v>
      </c>
      <c r="J801">
        <v>24</v>
      </c>
      <c r="K801">
        <v>31</v>
      </c>
      <c r="L801">
        <v>18</v>
      </c>
      <c r="M801">
        <v>33</v>
      </c>
      <c r="N801">
        <v>24</v>
      </c>
      <c r="O801">
        <v>30</v>
      </c>
      <c r="P801">
        <v>11</v>
      </c>
      <c r="Q801">
        <v>0</v>
      </c>
    </row>
    <row r="802" spans="1:17" x14ac:dyDescent="0.45">
      <c r="A802" t="s">
        <v>61</v>
      </c>
      <c r="B802" t="s">
        <v>20</v>
      </c>
      <c r="C802">
        <v>12</v>
      </c>
      <c r="D802">
        <v>628</v>
      </c>
      <c r="E802">
        <v>61</v>
      </c>
      <c r="F802">
        <v>38</v>
      </c>
      <c r="G802">
        <v>123</v>
      </c>
      <c r="H802">
        <v>34</v>
      </c>
      <c r="I802">
        <v>155</v>
      </c>
      <c r="J802">
        <v>36</v>
      </c>
      <c r="K802">
        <v>65</v>
      </c>
      <c r="L802">
        <v>35</v>
      </c>
      <c r="M802">
        <v>26</v>
      </c>
      <c r="N802">
        <v>39</v>
      </c>
      <c r="O802">
        <v>24</v>
      </c>
      <c r="P802">
        <v>13</v>
      </c>
      <c r="Q802">
        <v>0</v>
      </c>
    </row>
    <row r="803" spans="1:17" x14ac:dyDescent="0.45">
      <c r="A803" t="s">
        <v>61</v>
      </c>
      <c r="B803" t="s">
        <v>21</v>
      </c>
      <c r="C803">
        <v>12</v>
      </c>
      <c r="D803">
        <v>631</v>
      </c>
      <c r="E803">
        <v>43</v>
      </c>
      <c r="F803">
        <v>37</v>
      </c>
      <c r="G803">
        <v>110</v>
      </c>
      <c r="H803">
        <v>21</v>
      </c>
      <c r="I803">
        <v>143</v>
      </c>
      <c r="J803">
        <v>21</v>
      </c>
      <c r="K803">
        <v>69</v>
      </c>
      <c r="L803">
        <v>22</v>
      </c>
      <c r="M803">
        <v>26</v>
      </c>
      <c r="N803">
        <v>44</v>
      </c>
      <c r="O803">
        <v>41</v>
      </c>
      <c r="P803">
        <v>9</v>
      </c>
      <c r="Q803">
        <v>0</v>
      </c>
    </row>
    <row r="804" spans="1:17" x14ac:dyDescent="0.45">
      <c r="A804" t="s">
        <v>64</v>
      </c>
      <c r="B804" t="s">
        <v>20</v>
      </c>
      <c r="C804">
        <v>1</v>
      </c>
      <c r="D804">
        <v>217</v>
      </c>
      <c r="E804">
        <v>2</v>
      </c>
      <c r="F804">
        <v>0</v>
      </c>
      <c r="G804">
        <v>27</v>
      </c>
      <c r="H804">
        <v>0</v>
      </c>
      <c r="I804">
        <v>29</v>
      </c>
      <c r="J804">
        <v>2</v>
      </c>
      <c r="K804">
        <v>7</v>
      </c>
      <c r="L804">
        <v>1</v>
      </c>
      <c r="M804">
        <v>2</v>
      </c>
      <c r="N804">
        <v>4</v>
      </c>
      <c r="O804">
        <v>4</v>
      </c>
      <c r="P804">
        <v>4</v>
      </c>
      <c r="Q804">
        <v>0</v>
      </c>
    </row>
    <row r="805" spans="1:17" x14ac:dyDescent="0.45">
      <c r="A805" t="s">
        <v>64</v>
      </c>
      <c r="B805" t="s">
        <v>21</v>
      </c>
      <c r="C805">
        <v>1</v>
      </c>
      <c r="D805">
        <v>158</v>
      </c>
      <c r="E805">
        <v>8</v>
      </c>
      <c r="F805">
        <v>0</v>
      </c>
      <c r="G805">
        <v>23</v>
      </c>
      <c r="H805">
        <v>2</v>
      </c>
      <c r="I805">
        <v>40</v>
      </c>
      <c r="J805">
        <v>3</v>
      </c>
      <c r="K805">
        <v>28</v>
      </c>
      <c r="L805">
        <v>6</v>
      </c>
      <c r="M805">
        <v>9</v>
      </c>
      <c r="N805">
        <v>3</v>
      </c>
      <c r="O805">
        <v>5</v>
      </c>
      <c r="P805">
        <v>5</v>
      </c>
      <c r="Q805">
        <v>1</v>
      </c>
    </row>
    <row r="806" spans="1:17" x14ac:dyDescent="0.45">
      <c r="A806" t="s">
        <v>64</v>
      </c>
      <c r="B806" t="s">
        <v>20</v>
      </c>
      <c r="C806">
        <v>2</v>
      </c>
      <c r="D806">
        <v>170</v>
      </c>
      <c r="E806">
        <v>6</v>
      </c>
      <c r="F806">
        <v>1</v>
      </c>
      <c r="G806">
        <v>12</v>
      </c>
      <c r="H806">
        <v>1</v>
      </c>
      <c r="I806">
        <v>21</v>
      </c>
      <c r="J806">
        <v>3</v>
      </c>
      <c r="K806">
        <v>6</v>
      </c>
      <c r="L806">
        <v>1</v>
      </c>
      <c r="M806">
        <v>0</v>
      </c>
      <c r="N806">
        <v>4</v>
      </c>
      <c r="O806">
        <v>2</v>
      </c>
      <c r="P806">
        <v>3</v>
      </c>
      <c r="Q806">
        <v>4</v>
      </c>
    </row>
    <row r="807" spans="1:17" x14ac:dyDescent="0.45">
      <c r="A807" t="s">
        <v>64</v>
      </c>
      <c r="B807" t="s">
        <v>21</v>
      </c>
      <c r="C807">
        <v>2</v>
      </c>
      <c r="D807">
        <v>216</v>
      </c>
      <c r="E807">
        <v>12</v>
      </c>
      <c r="F807">
        <v>1</v>
      </c>
      <c r="G807">
        <v>11</v>
      </c>
      <c r="H807">
        <v>2</v>
      </c>
      <c r="I807">
        <v>33</v>
      </c>
      <c r="J807">
        <v>0</v>
      </c>
      <c r="K807">
        <v>6</v>
      </c>
      <c r="L807">
        <v>3</v>
      </c>
      <c r="M807">
        <v>0</v>
      </c>
      <c r="N807">
        <v>6</v>
      </c>
      <c r="O807">
        <v>2</v>
      </c>
      <c r="P807">
        <v>2</v>
      </c>
      <c r="Q807">
        <v>0</v>
      </c>
    </row>
    <row r="808" spans="1:17" x14ac:dyDescent="0.45">
      <c r="A808" t="s">
        <v>64</v>
      </c>
      <c r="B808" t="s">
        <v>20</v>
      </c>
      <c r="C808">
        <v>3</v>
      </c>
      <c r="D808">
        <v>211</v>
      </c>
      <c r="E808">
        <v>1</v>
      </c>
      <c r="F808">
        <v>2</v>
      </c>
      <c r="G808">
        <v>36</v>
      </c>
      <c r="H808">
        <v>2</v>
      </c>
      <c r="I808">
        <v>44</v>
      </c>
      <c r="J808">
        <v>1</v>
      </c>
      <c r="K808">
        <v>23</v>
      </c>
      <c r="L808">
        <v>1</v>
      </c>
      <c r="M808">
        <v>6</v>
      </c>
      <c r="N808">
        <v>12</v>
      </c>
      <c r="O808">
        <v>16</v>
      </c>
      <c r="P808">
        <v>16</v>
      </c>
      <c r="Q808">
        <v>6</v>
      </c>
    </row>
    <row r="809" spans="1:17" x14ac:dyDescent="0.45">
      <c r="A809" t="s">
        <v>64</v>
      </c>
      <c r="B809" t="s">
        <v>21</v>
      </c>
      <c r="C809">
        <v>3</v>
      </c>
      <c r="D809">
        <v>220</v>
      </c>
      <c r="E809">
        <v>15</v>
      </c>
      <c r="F809">
        <v>4</v>
      </c>
      <c r="G809">
        <v>19</v>
      </c>
      <c r="H809">
        <v>3</v>
      </c>
      <c r="I809">
        <v>48</v>
      </c>
      <c r="J809">
        <v>4</v>
      </c>
      <c r="K809">
        <v>39</v>
      </c>
      <c r="L809">
        <v>7</v>
      </c>
      <c r="M809">
        <v>11</v>
      </c>
      <c r="N809">
        <v>16</v>
      </c>
      <c r="O809">
        <v>23</v>
      </c>
      <c r="P809">
        <v>26</v>
      </c>
      <c r="Q809">
        <v>2</v>
      </c>
    </row>
    <row r="810" spans="1:17" x14ac:dyDescent="0.45">
      <c r="A810" t="s">
        <v>64</v>
      </c>
      <c r="B810" t="s">
        <v>20</v>
      </c>
      <c r="C810">
        <v>4</v>
      </c>
      <c r="D810">
        <v>203</v>
      </c>
      <c r="E810">
        <v>4</v>
      </c>
      <c r="F810">
        <v>2</v>
      </c>
      <c r="G810">
        <v>21</v>
      </c>
      <c r="H810">
        <v>5</v>
      </c>
      <c r="I810">
        <v>46</v>
      </c>
      <c r="J810">
        <v>15</v>
      </c>
      <c r="K810">
        <v>42</v>
      </c>
      <c r="L810">
        <v>5</v>
      </c>
      <c r="M810">
        <v>7</v>
      </c>
      <c r="N810">
        <v>23</v>
      </c>
      <c r="O810">
        <v>38</v>
      </c>
      <c r="P810">
        <v>24</v>
      </c>
      <c r="Q810">
        <v>0</v>
      </c>
    </row>
    <row r="811" spans="1:17" x14ac:dyDescent="0.45">
      <c r="A811" t="s">
        <v>64</v>
      </c>
      <c r="B811" t="s">
        <v>21</v>
      </c>
      <c r="C811">
        <v>4</v>
      </c>
      <c r="D811">
        <v>247</v>
      </c>
      <c r="E811">
        <v>6</v>
      </c>
      <c r="F811">
        <v>5</v>
      </c>
      <c r="G811">
        <v>43</v>
      </c>
      <c r="H811">
        <v>8</v>
      </c>
      <c r="I811">
        <v>53</v>
      </c>
      <c r="J811">
        <v>6</v>
      </c>
      <c r="K811">
        <v>39</v>
      </c>
      <c r="L811">
        <v>12</v>
      </c>
      <c r="M811">
        <v>7</v>
      </c>
      <c r="N811">
        <v>24</v>
      </c>
      <c r="O811">
        <v>50</v>
      </c>
      <c r="P811">
        <v>18</v>
      </c>
      <c r="Q811">
        <v>8</v>
      </c>
    </row>
    <row r="812" spans="1:17" x14ac:dyDescent="0.45">
      <c r="A812" t="s">
        <v>64</v>
      </c>
      <c r="B812" t="s">
        <v>20</v>
      </c>
      <c r="C812">
        <v>5</v>
      </c>
      <c r="D812">
        <v>159</v>
      </c>
      <c r="E812">
        <v>7</v>
      </c>
      <c r="F812">
        <v>2</v>
      </c>
      <c r="G812">
        <v>50</v>
      </c>
      <c r="H812">
        <v>4</v>
      </c>
      <c r="I812">
        <v>27</v>
      </c>
      <c r="J812">
        <v>2</v>
      </c>
      <c r="K812">
        <v>24</v>
      </c>
      <c r="L812">
        <v>7</v>
      </c>
      <c r="M812">
        <v>2</v>
      </c>
      <c r="N812">
        <v>17</v>
      </c>
      <c r="O812">
        <v>37</v>
      </c>
      <c r="P812">
        <v>13</v>
      </c>
      <c r="Q812">
        <v>1</v>
      </c>
    </row>
    <row r="813" spans="1:17" x14ac:dyDescent="0.45">
      <c r="A813" t="s">
        <v>64</v>
      </c>
      <c r="B813" t="s">
        <v>21</v>
      </c>
      <c r="C813">
        <v>5</v>
      </c>
      <c r="D813">
        <v>216</v>
      </c>
      <c r="E813">
        <v>11</v>
      </c>
      <c r="F813">
        <v>2</v>
      </c>
      <c r="G813">
        <v>35</v>
      </c>
      <c r="H813">
        <v>7</v>
      </c>
      <c r="I813">
        <v>50</v>
      </c>
      <c r="J813">
        <v>6</v>
      </c>
      <c r="K813">
        <v>36</v>
      </c>
      <c r="L813">
        <v>9</v>
      </c>
      <c r="M813">
        <v>4</v>
      </c>
      <c r="N813">
        <v>8</v>
      </c>
      <c r="O813">
        <v>10</v>
      </c>
      <c r="P813">
        <v>7</v>
      </c>
      <c r="Q813">
        <v>4</v>
      </c>
    </row>
    <row r="814" spans="1:17" x14ac:dyDescent="0.45">
      <c r="A814" t="s">
        <v>64</v>
      </c>
      <c r="B814" t="s">
        <v>20</v>
      </c>
      <c r="C814">
        <v>6</v>
      </c>
      <c r="D814">
        <v>210</v>
      </c>
      <c r="E814">
        <v>15</v>
      </c>
      <c r="F814">
        <v>2</v>
      </c>
      <c r="G814">
        <v>18</v>
      </c>
      <c r="H814">
        <v>3</v>
      </c>
      <c r="I814">
        <v>47</v>
      </c>
      <c r="J814">
        <v>5</v>
      </c>
      <c r="K814">
        <v>24</v>
      </c>
      <c r="L814">
        <v>0</v>
      </c>
      <c r="M814">
        <v>4</v>
      </c>
      <c r="N814">
        <v>4</v>
      </c>
      <c r="O814">
        <v>12</v>
      </c>
      <c r="P814">
        <v>7</v>
      </c>
      <c r="Q814">
        <v>0</v>
      </c>
    </row>
    <row r="815" spans="1:17" x14ac:dyDescent="0.45">
      <c r="A815" t="s">
        <v>64</v>
      </c>
      <c r="B815" t="s">
        <v>21</v>
      </c>
      <c r="C815">
        <v>6</v>
      </c>
      <c r="D815">
        <v>248</v>
      </c>
      <c r="E815">
        <v>11</v>
      </c>
      <c r="F815">
        <v>3</v>
      </c>
      <c r="G815">
        <v>28</v>
      </c>
      <c r="H815">
        <v>2</v>
      </c>
      <c r="I815">
        <v>51</v>
      </c>
      <c r="J815">
        <v>7</v>
      </c>
      <c r="K815">
        <v>15</v>
      </c>
      <c r="L815">
        <v>15</v>
      </c>
      <c r="M815">
        <v>4</v>
      </c>
      <c r="N815">
        <v>7</v>
      </c>
      <c r="O815">
        <v>21</v>
      </c>
      <c r="P815">
        <v>6</v>
      </c>
      <c r="Q815">
        <v>0</v>
      </c>
    </row>
    <row r="816" spans="1:17" x14ac:dyDescent="0.45">
      <c r="A816" t="s">
        <v>64</v>
      </c>
      <c r="B816" t="s">
        <v>20</v>
      </c>
      <c r="C816">
        <v>7</v>
      </c>
      <c r="D816">
        <v>201</v>
      </c>
      <c r="E816">
        <v>12</v>
      </c>
      <c r="F816">
        <v>22</v>
      </c>
      <c r="G816">
        <v>13</v>
      </c>
      <c r="H816">
        <v>1</v>
      </c>
      <c r="I816">
        <v>50</v>
      </c>
      <c r="J816">
        <v>7</v>
      </c>
      <c r="K816">
        <v>16</v>
      </c>
      <c r="L816">
        <v>2</v>
      </c>
      <c r="M816">
        <v>13</v>
      </c>
      <c r="N816">
        <v>7</v>
      </c>
      <c r="O816">
        <v>10</v>
      </c>
      <c r="P816">
        <v>9</v>
      </c>
      <c r="Q816">
        <v>0</v>
      </c>
    </row>
    <row r="817" spans="1:17" x14ac:dyDescent="0.45">
      <c r="A817" t="s">
        <v>64</v>
      </c>
      <c r="B817" t="s">
        <v>21</v>
      </c>
      <c r="C817">
        <v>7</v>
      </c>
      <c r="D817">
        <v>240</v>
      </c>
      <c r="E817">
        <v>1</v>
      </c>
      <c r="F817">
        <v>4</v>
      </c>
      <c r="G817">
        <v>10</v>
      </c>
      <c r="H817">
        <v>4</v>
      </c>
      <c r="I817">
        <v>74</v>
      </c>
      <c r="J817">
        <v>5</v>
      </c>
      <c r="K817">
        <v>11</v>
      </c>
      <c r="L817">
        <v>6</v>
      </c>
      <c r="M817">
        <v>4</v>
      </c>
      <c r="N817">
        <v>4</v>
      </c>
      <c r="O817">
        <v>6</v>
      </c>
      <c r="P817">
        <v>3</v>
      </c>
      <c r="Q817">
        <v>0</v>
      </c>
    </row>
    <row r="818" spans="1:17" x14ac:dyDescent="0.45">
      <c r="A818" t="s">
        <v>64</v>
      </c>
      <c r="B818" t="s">
        <v>20</v>
      </c>
      <c r="C818">
        <v>8</v>
      </c>
      <c r="D818">
        <v>225</v>
      </c>
      <c r="E818">
        <v>9</v>
      </c>
      <c r="F818">
        <v>26</v>
      </c>
      <c r="G818">
        <v>14</v>
      </c>
      <c r="H818">
        <v>11</v>
      </c>
      <c r="I818">
        <v>39</v>
      </c>
      <c r="J818">
        <v>5</v>
      </c>
      <c r="K818">
        <v>7</v>
      </c>
      <c r="L818">
        <v>0</v>
      </c>
      <c r="M818">
        <v>24</v>
      </c>
      <c r="N818">
        <v>5</v>
      </c>
      <c r="O818">
        <v>3</v>
      </c>
      <c r="P818">
        <v>3</v>
      </c>
      <c r="Q818">
        <v>0</v>
      </c>
    </row>
    <row r="819" spans="1:17" x14ac:dyDescent="0.45">
      <c r="A819" t="s">
        <v>64</v>
      </c>
      <c r="B819" t="s">
        <v>21</v>
      </c>
      <c r="C819">
        <v>8</v>
      </c>
      <c r="D819">
        <v>215</v>
      </c>
      <c r="E819">
        <v>7</v>
      </c>
      <c r="F819">
        <v>6</v>
      </c>
      <c r="G819">
        <v>14</v>
      </c>
      <c r="H819">
        <v>9</v>
      </c>
      <c r="I819">
        <v>48</v>
      </c>
      <c r="J819">
        <v>2</v>
      </c>
      <c r="K819">
        <v>3</v>
      </c>
      <c r="L819">
        <v>1</v>
      </c>
      <c r="M819">
        <v>9</v>
      </c>
      <c r="N819">
        <v>1</v>
      </c>
      <c r="O819">
        <v>1</v>
      </c>
      <c r="P819">
        <v>1</v>
      </c>
      <c r="Q819">
        <v>0</v>
      </c>
    </row>
    <row r="820" spans="1:17" x14ac:dyDescent="0.45">
      <c r="A820" t="s">
        <v>64</v>
      </c>
      <c r="B820" t="s">
        <v>20</v>
      </c>
      <c r="C820">
        <v>9</v>
      </c>
      <c r="D820">
        <v>249</v>
      </c>
      <c r="E820">
        <v>4</v>
      </c>
      <c r="F820">
        <v>8</v>
      </c>
      <c r="G820">
        <v>16</v>
      </c>
      <c r="H820">
        <v>2</v>
      </c>
      <c r="I820">
        <v>49</v>
      </c>
      <c r="J820">
        <v>6</v>
      </c>
      <c r="K820">
        <v>4</v>
      </c>
      <c r="L820">
        <v>1</v>
      </c>
      <c r="M820">
        <v>4</v>
      </c>
      <c r="N820">
        <v>2</v>
      </c>
      <c r="O820">
        <v>5</v>
      </c>
      <c r="P820">
        <v>2</v>
      </c>
      <c r="Q820">
        <v>0</v>
      </c>
    </row>
    <row r="821" spans="1:17" x14ac:dyDescent="0.45">
      <c r="A821" t="s">
        <v>64</v>
      </c>
      <c r="B821" t="s">
        <v>21</v>
      </c>
      <c r="C821">
        <v>9</v>
      </c>
      <c r="D821">
        <v>280</v>
      </c>
      <c r="E821">
        <v>16</v>
      </c>
      <c r="F821">
        <v>4</v>
      </c>
      <c r="G821">
        <v>13</v>
      </c>
      <c r="H821">
        <v>1</v>
      </c>
      <c r="I821">
        <v>59</v>
      </c>
      <c r="J821">
        <v>1</v>
      </c>
      <c r="K821">
        <v>1</v>
      </c>
      <c r="L821">
        <v>4</v>
      </c>
      <c r="M821">
        <v>10</v>
      </c>
      <c r="N821">
        <v>7</v>
      </c>
      <c r="O821">
        <v>5</v>
      </c>
      <c r="P821">
        <v>5</v>
      </c>
      <c r="Q821">
        <v>0</v>
      </c>
    </row>
    <row r="822" spans="1:17" x14ac:dyDescent="0.45">
      <c r="A822" t="s">
        <v>64</v>
      </c>
      <c r="B822" t="s">
        <v>20</v>
      </c>
      <c r="C822">
        <v>10</v>
      </c>
      <c r="D822">
        <v>218</v>
      </c>
      <c r="E822">
        <v>18</v>
      </c>
      <c r="F822">
        <v>26</v>
      </c>
      <c r="G822">
        <v>16</v>
      </c>
      <c r="H822">
        <v>2</v>
      </c>
      <c r="I822">
        <v>46</v>
      </c>
      <c r="J822">
        <v>11</v>
      </c>
      <c r="K822">
        <v>27</v>
      </c>
      <c r="L822">
        <v>7</v>
      </c>
      <c r="M822">
        <v>18</v>
      </c>
      <c r="N822">
        <v>2</v>
      </c>
      <c r="O822">
        <v>6</v>
      </c>
      <c r="P822">
        <v>5</v>
      </c>
      <c r="Q822">
        <v>0</v>
      </c>
    </row>
    <row r="823" spans="1:17" x14ac:dyDescent="0.45">
      <c r="A823" t="s">
        <v>64</v>
      </c>
      <c r="B823" t="s">
        <v>21</v>
      </c>
      <c r="C823">
        <v>10</v>
      </c>
      <c r="D823">
        <v>324</v>
      </c>
      <c r="E823">
        <v>24</v>
      </c>
      <c r="F823">
        <v>15</v>
      </c>
      <c r="G823">
        <v>19</v>
      </c>
      <c r="H823">
        <v>5</v>
      </c>
      <c r="I823">
        <v>80</v>
      </c>
      <c r="J823">
        <v>4</v>
      </c>
      <c r="K823">
        <v>18</v>
      </c>
      <c r="L823">
        <v>10</v>
      </c>
      <c r="M823">
        <v>13</v>
      </c>
      <c r="N823">
        <v>5</v>
      </c>
      <c r="O823">
        <v>10</v>
      </c>
      <c r="P823">
        <v>3</v>
      </c>
      <c r="Q823">
        <v>0</v>
      </c>
    </row>
    <row r="824" spans="1:17" x14ac:dyDescent="0.45">
      <c r="A824" t="s">
        <v>64</v>
      </c>
      <c r="B824" t="s">
        <v>20</v>
      </c>
      <c r="C824">
        <v>11</v>
      </c>
      <c r="D824">
        <v>259</v>
      </c>
      <c r="E824">
        <v>17</v>
      </c>
      <c r="F824">
        <v>7</v>
      </c>
      <c r="G824">
        <v>36</v>
      </c>
      <c r="H824">
        <v>4</v>
      </c>
      <c r="I824">
        <v>63</v>
      </c>
      <c r="J824">
        <v>6</v>
      </c>
      <c r="K824">
        <v>8</v>
      </c>
      <c r="L824">
        <v>2</v>
      </c>
      <c r="M824">
        <v>0</v>
      </c>
      <c r="N824">
        <v>3</v>
      </c>
      <c r="O824">
        <v>7</v>
      </c>
      <c r="P824">
        <v>2</v>
      </c>
      <c r="Q824">
        <v>0</v>
      </c>
    </row>
    <row r="825" spans="1:17" x14ac:dyDescent="0.45">
      <c r="A825" t="s">
        <v>64</v>
      </c>
      <c r="B825" t="s">
        <v>21</v>
      </c>
      <c r="C825">
        <v>11</v>
      </c>
      <c r="D825">
        <v>246</v>
      </c>
      <c r="E825">
        <v>29</v>
      </c>
      <c r="F825">
        <v>11</v>
      </c>
      <c r="G825">
        <v>12</v>
      </c>
      <c r="H825">
        <v>1</v>
      </c>
      <c r="I825">
        <v>57</v>
      </c>
      <c r="J825">
        <v>6</v>
      </c>
      <c r="K825">
        <v>21</v>
      </c>
      <c r="L825">
        <v>2</v>
      </c>
      <c r="M825">
        <v>8</v>
      </c>
      <c r="N825">
        <v>5</v>
      </c>
      <c r="O825">
        <v>12</v>
      </c>
      <c r="P825">
        <v>5</v>
      </c>
      <c r="Q825">
        <v>0</v>
      </c>
    </row>
    <row r="826" spans="1:17" x14ac:dyDescent="0.45">
      <c r="A826" t="s">
        <v>64</v>
      </c>
      <c r="B826" t="s">
        <v>20</v>
      </c>
      <c r="C826">
        <v>12</v>
      </c>
      <c r="D826">
        <v>226</v>
      </c>
      <c r="E826">
        <v>3</v>
      </c>
      <c r="F826">
        <v>2</v>
      </c>
      <c r="G826">
        <v>26</v>
      </c>
      <c r="H826">
        <v>3</v>
      </c>
      <c r="I826">
        <v>50</v>
      </c>
      <c r="J826">
        <v>1</v>
      </c>
      <c r="K826">
        <v>14</v>
      </c>
      <c r="L826">
        <v>6</v>
      </c>
      <c r="M826">
        <v>3</v>
      </c>
      <c r="N826">
        <v>13</v>
      </c>
      <c r="O826">
        <v>8</v>
      </c>
      <c r="P826">
        <v>1</v>
      </c>
      <c r="Q826">
        <v>0</v>
      </c>
    </row>
    <row r="827" spans="1:17" x14ac:dyDescent="0.45">
      <c r="A827" t="s">
        <v>64</v>
      </c>
      <c r="B827" t="s">
        <v>21</v>
      </c>
      <c r="C827">
        <v>12</v>
      </c>
      <c r="D827">
        <v>260</v>
      </c>
      <c r="E827">
        <v>7</v>
      </c>
      <c r="F827">
        <v>4</v>
      </c>
      <c r="G827">
        <v>43</v>
      </c>
      <c r="H827">
        <v>3</v>
      </c>
      <c r="I827">
        <v>56</v>
      </c>
      <c r="J827">
        <v>1</v>
      </c>
      <c r="K827">
        <v>25</v>
      </c>
      <c r="L827">
        <v>5</v>
      </c>
      <c r="M827">
        <v>3</v>
      </c>
      <c r="N827">
        <v>7</v>
      </c>
      <c r="O827">
        <v>11</v>
      </c>
      <c r="P827">
        <v>9</v>
      </c>
      <c r="Q827">
        <v>0</v>
      </c>
    </row>
    <row r="828" spans="1:17" x14ac:dyDescent="0.45">
      <c r="A828" t="s">
        <v>83</v>
      </c>
      <c r="B828" t="s">
        <v>20</v>
      </c>
      <c r="C828">
        <v>1</v>
      </c>
      <c r="D828">
        <v>1062</v>
      </c>
      <c r="E828">
        <v>53</v>
      </c>
      <c r="F828">
        <v>100</v>
      </c>
      <c r="G828">
        <v>171</v>
      </c>
      <c r="H828">
        <v>21</v>
      </c>
      <c r="I828">
        <v>189</v>
      </c>
      <c r="J828">
        <v>44</v>
      </c>
      <c r="K828">
        <v>107</v>
      </c>
      <c r="L828">
        <v>34</v>
      </c>
      <c r="M828">
        <v>25</v>
      </c>
      <c r="N828">
        <v>47</v>
      </c>
      <c r="O828">
        <v>43</v>
      </c>
      <c r="P828">
        <v>17</v>
      </c>
      <c r="Q828">
        <v>2</v>
      </c>
    </row>
    <row r="829" spans="1:17" x14ac:dyDescent="0.45">
      <c r="A829" t="s">
        <v>83</v>
      </c>
      <c r="B829" t="s">
        <v>21</v>
      </c>
      <c r="C829">
        <v>1</v>
      </c>
      <c r="D829">
        <v>1242</v>
      </c>
      <c r="E829">
        <v>65</v>
      </c>
      <c r="F829">
        <v>109</v>
      </c>
      <c r="G829">
        <v>176</v>
      </c>
      <c r="H829">
        <v>14</v>
      </c>
      <c r="I829">
        <v>190</v>
      </c>
      <c r="J829">
        <v>32</v>
      </c>
      <c r="K829">
        <v>117</v>
      </c>
      <c r="L829">
        <v>28</v>
      </c>
      <c r="M829">
        <v>24</v>
      </c>
      <c r="N829">
        <v>41</v>
      </c>
      <c r="O829">
        <v>49</v>
      </c>
      <c r="P829">
        <v>29</v>
      </c>
      <c r="Q829">
        <v>7</v>
      </c>
    </row>
    <row r="830" spans="1:17" x14ac:dyDescent="0.45">
      <c r="A830" t="s">
        <v>83</v>
      </c>
      <c r="B830" t="s">
        <v>20</v>
      </c>
      <c r="C830">
        <v>2</v>
      </c>
      <c r="D830">
        <v>1069</v>
      </c>
      <c r="E830">
        <v>37</v>
      </c>
      <c r="F830">
        <v>87</v>
      </c>
      <c r="G830">
        <v>79</v>
      </c>
      <c r="H830">
        <v>52</v>
      </c>
      <c r="I830">
        <v>197</v>
      </c>
      <c r="J830">
        <v>33</v>
      </c>
      <c r="K830">
        <v>87</v>
      </c>
      <c r="L830">
        <v>21</v>
      </c>
      <c r="M830">
        <v>22</v>
      </c>
      <c r="N830">
        <v>41</v>
      </c>
      <c r="O830">
        <v>55</v>
      </c>
      <c r="P830">
        <v>24</v>
      </c>
      <c r="Q830">
        <v>2</v>
      </c>
    </row>
    <row r="831" spans="1:17" x14ac:dyDescent="0.45">
      <c r="A831" t="s">
        <v>83</v>
      </c>
      <c r="B831" t="s">
        <v>21</v>
      </c>
      <c r="C831">
        <v>2</v>
      </c>
      <c r="D831">
        <v>1314</v>
      </c>
      <c r="E831">
        <v>42</v>
      </c>
      <c r="F831">
        <v>113</v>
      </c>
      <c r="G831">
        <v>46</v>
      </c>
      <c r="H831">
        <v>97</v>
      </c>
      <c r="I831">
        <v>294</v>
      </c>
      <c r="J831">
        <v>56</v>
      </c>
      <c r="K831">
        <v>108</v>
      </c>
      <c r="L831">
        <v>23</v>
      </c>
      <c r="M831">
        <v>21</v>
      </c>
      <c r="N831">
        <v>50</v>
      </c>
      <c r="O831">
        <v>59</v>
      </c>
      <c r="P831">
        <v>21</v>
      </c>
      <c r="Q831">
        <v>11</v>
      </c>
    </row>
    <row r="832" spans="1:17" x14ac:dyDescent="0.45">
      <c r="A832" t="s">
        <v>83</v>
      </c>
      <c r="B832" t="s">
        <v>20</v>
      </c>
      <c r="C832">
        <v>3</v>
      </c>
      <c r="D832">
        <v>1297</v>
      </c>
      <c r="E832">
        <v>60</v>
      </c>
      <c r="F832">
        <v>172</v>
      </c>
      <c r="G832">
        <v>246</v>
      </c>
      <c r="H832">
        <v>34</v>
      </c>
      <c r="I832">
        <v>203</v>
      </c>
      <c r="J832">
        <v>55</v>
      </c>
      <c r="K832">
        <v>176</v>
      </c>
      <c r="L832">
        <v>47</v>
      </c>
      <c r="M832">
        <v>34</v>
      </c>
      <c r="N832">
        <v>169</v>
      </c>
      <c r="O832">
        <v>101</v>
      </c>
      <c r="P832">
        <v>99</v>
      </c>
      <c r="Q832">
        <v>9</v>
      </c>
    </row>
    <row r="833" spans="1:17" x14ac:dyDescent="0.45">
      <c r="A833" t="s">
        <v>83</v>
      </c>
      <c r="B833" t="s">
        <v>21</v>
      </c>
      <c r="C833">
        <v>3</v>
      </c>
      <c r="D833">
        <v>1606</v>
      </c>
      <c r="E833">
        <v>59</v>
      </c>
      <c r="F833">
        <v>198</v>
      </c>
      <c r="G833">
        <v>246</v>
      </c>
      <c r="H833">
        <v>63</v>
      </c>
      <c r="I833">
        <v>300</v>
      </c>
      <c r="J833">
        <v>81</v>
      </c>
      <c r="K833">
        <v>201</v>
      </c>
      <c r="L833">
        <v>41</v>
      </c>
      <c r="M833">
        <v>50</v>
      </c>
      <c r="N833">
        <v>257</v>
      </c>
      <c r="O833">
        <v>178</v>
      </c>
      <c r="P833">
        <v>164</v>
      </c>
      <c r="Q833">
        <v>6</v>
      </c>
    </row>
    <row r="834" spans="1:17" x14ac:dyDescent="0.45">
      <c r="A834" t="s">
        <v>83</v>
      </c>
      <c r="B834" t="s">
        <v>20</v>
      </c>
      <c r="C834">
        <v>4</v>
      </c>
      <c r="D834">
        <v>1327</v>
      </c>
      <c r="E834">
        <v>109</v>
      </c>
      <c r="F834">
        <v>188</v>
      </c>
      <c r="G834">
        <v>295</v>
      </c>
      <c r="H834">
        <v>65</v>
      </c>
      <c r="I834">
        <v>309</v>
      </c>
      <c r="J834">
        <v>88</v>
      </c>
      <c r="K834">
        <v>457</v>
      </c>
      <c r="L834">
        <v>180</v>
      </c>
      <c r="M834">
        <v>116</v>
      </c>
      <c r="N834">
        <v>391</v>
      </c>
      <c r="O834">
        <v>352</v>
      </c>
      <c r="P834">
        <v>220</v>
      </c>
      <c r="Q834">
        <v>43</v>
      </c>
    </row>
    <row r="835" spans="1:17" x14ac:dyDescent="0.45">
      <c r="A835" t="s">
        <v>83</v>
      </c>
      <c r="B835" t="s">
        <v>21</v>
      </c>
      <c r="C835">
        <v>4</v>
      </c>
      <c r="D835">
        <v>1609</v>
      </c>
      <c r="E835">
        <v>63</v>
      </c>
      <c r="F835">
        <v>150</v>
      </c>
      <c r="G835">
        <v>259</v>
      </c>
      <c r="H835">
        <v>99</v>
      </c>
      <c r="I835">
        <v>346</v>
      </c>
      <c r="J835">
        <v>85</v>
      </c>
      <c r="K835">
        <v>376</v>
      </c>
      <c r="L835">
        <v>140</v>
      </c>
      <c r="M835">
        <v>82</v>
      </c>
      <c r="N835">
        <v>315</v>
      </c>
      <c r="O835">
        <v>246</v>
      </c>
      <c r="P835">
        <v>148</v>
      </c>
      <c r="Q835">
        <v>17</v>
      </c>
    </row>
    <row r="836" spans="1:17" x14ac:dyDescent="0.45">
      <c r="A836" t="s">
        <v>83</v>
      </c>
      <c r="B836" t="s">
        <v>20</v>
      </c>
      <c r="C836">
        <v>5</v>
      </c>
      <c r="D836">
        <v>1143</v>
      </c>
      <c r="E836">
        <v>111</v>
      </c>
      <c r="F836">
        <v>193</v>
      </c>
      <c r="G836">
        <v>185</v>
      </c>
      <c r="H836">
        <v>58</v>
      </c>
      <c r="I836">
        <v>297</v>
      </c>
      <c r="J836">
        <v>54</v>
      </c>
      <c r="K836">
        <v>264</v>
      </c>
      <c r="L836">
        <v>120</v>
      </c>
      <c r="M836">
        <v>75</v>
      </c>
      <c r="N836">
        <v>191</v>
      </c>
      <c r="O836">
        <v>203</v>
      </c>
      <c r="P836">
        <v>99</v>
      </c>
      <c r="Q836">
        <v>17</v>
      </c>
    </row>
    <row r="837" spans="1:17" x14ac:dyDescent="0.45">
      <c r="A837" t="s">
        <v>83</v>
      </c>
      <c r="B837" t="s">
        <v>21</v>
      </c>
      <c r="C837">
        <v>5</v>
      </c>
      <c r="D837">
        <v>1491</v>
      </c>
      <c r="E837">
        <v>81</v>
      </c>
      <c r="F837">
        <v>166</v>
      </c>
      <c r="G837">
        <v>178</v>
      </c>
      <c r="H837">
        <v>88</v>
      </c>
      <c r="I837">
        <v>335</v>
      </c>
      <c r="J837">
        <v>79</v>
      </c>
      <c r="K837">
        <v>258</v>
      </c>
      <c r="L837">
        <v>121</v>
      </c>
      <c r="M837">
        <v>69</v>
      </c>
      <c r="N837">
        <v>278</v>
      </c>
      <c r="O837">
        <v>218</v>
      </c>
      <c r="P837">
        <v>129</v>
      </c>
      <c r="Q837">
        <v>17</v>
      </c>
    </row>
    <row r="838" spans="1:17" x14ac:dyDescent="0.45">
      <c r="A838" t="s">
        <v>83</v>
      </c>
      <c r="B838" t="s">
        <v>20</v>
      </c>
      <c r="C838">
        <v>6</v>
      </c>
      <c r="D838">
        <v>1284</v>
      </c>
      <c r="E838">
        <v>93</v>
      </c>
      <c r="F838">
        <v>233</v>
      </c>
      <c r="G838">
        <v>167</v>
      </c>
      <c r="H838">
        <v>97</v>
      </c>
      <c r="I838">
        <v>351</v>
      </c>
      <c r="J838">
        <v>76</v>
      </c>
      <c r="K838">
        <v>115</v>
      </c>
      <c r="L838">
        <v>69</v>
      </c>
      <c r="M838">
        <v>71</v>
      </c>
      <c r="N838">
        <v>134</v>
      </c>
      <c r="O838">
        <v>156</v>
      </c>
      <c r="P838">
        <v>69</v>
      </c>
      <c r="Q838">
        <v>9</v>
      </c>
    </row>
    <row r="839" spans="1:17" x14ac:dyDescent="0.45">
      <c r="A839" t="s">
        <v>83</v>
      </c>
      <c r="B839" t="s">
        <v>21</v>
      </c>
      <c r="C839">
        <v>6</v>
      </c>
      <c r="D839">
        <v>1613</v>
      </c>
      <c r="E839">
        <v>83</v>
      </c>
      <c r="F839">
        <v>229</v>
      </c>
      <c r="G839">
        <v>186</v>
      </c>
      <c r="H839">
        <v>77</v>
      </c>
      <c r="I839">
        <v>354</v>
      </c>
      <c r="J839">
        <v>84</v>
      </c>
      <c r="K839">
        <v>118</v>
      </c>
      <c r="L839">
        <v>87</v>
      </c>
      <c r="M839">
        <v>90</v>
      </c>
      <c r="N839">
        <v>141</v>
      </c>
      <c r="O839">
        <v>145</v>
      </c>
      <c r="P839">
        <v>68</v>
      </c>
      <c r="Q839">
        <v>7</v>
      </c>
    </row>
    <row r="840" spans="1:17" x14ac:dyDescent="0.45">
      <c r="A840" t="s">
        <v>83</v>
      </c>
      <c r="B840" t="s">
        <v>20</v>
      </c>
      <c r="C840">
        <v>7</v>
      </c>
      <c r="D840">
        <v>1286</v>
      </c>
      <c r="E840">
        <v>97</v>
      </c>
      <c r="F840">
        <v>241</v>
      </c>
      <c r="G840">
        <v>93</v>
      </c>
      <c r="H840">
        <v>42</v>
      </c>
      <c r="I840">
        <v>349</v>
      </c>
      <c r="J840">
        <v>44</v>
      </c>
      <c r="K840">
        <v>45</v>
      </c>
      <c r="L840">
        <v>36</v>
      </c>
      <c r="M840">
        <v>43</v>
      </c>
      <c r="N840">
        <v>52</v>
      </c>
      <c r="O840">
        <v>72</v>
      </c>
      <c r="P840">
        <v>32</v>
      </c>
      <c r="Q840">
        <v>6</v>
      </c>
    </row>
    <row r="841" spans="1:17" x14ac:dyDescent="0.45">
      <c r="A841" t="s">
        <v>83</v>
      </c>
      <c r="B841" t="s">
        <v>21</v>
      </c>
      <c r="C841">
        <v>7</v>
      </c>
      <c r="D841">
        <v>1323</v>
      </c>
      <c r="E841">
        <v>59</v>
      </c>
      <c r="F841">
        <v>167</v>
      </c>
      <c r="G841">
        <v>63</v>
      </c>
      <c r="H841">
        <v>68</v>
      </c>
      <c r="I841">
        <v>367</v>
      </c>
      <c r="J841">
        <v>53</v>
      </c>
      <c r="K841">
        <v>43</v>
      </c>
      <c r="L841">
        <v>41</v>
      </c>
      <c r="M841">
        <v>58</v>
      </c>
      <c r="N841">
        <v>55</v>
      </c>
      <c r="O841">
        <v>51</v>
      </c>
      <c r="P841">
        <v>19</v>
      </c>
      <c r="Q841">
        <v>0</v>
      </c>
    </row>
    <row r="842" spans="1:17" x14ac:dyDescent="0.45">
      <c r="A842" t="s">
        <v>83</v>
      </c>
      <c r="B842" t="s">
        <v>20</v>
      </c>
      <c r="C842">
        <v>8</v>
      </c>
      <c r="D842">
        <v>1048</v>
      </c>
      <c r="E842">
        <v>63</v>
      </c>
      <c r="F842">
        <v>161</v>
      </c>
      <c r="G842">
        <v>60</v>
      </c>
      <c r="H842">
        <v>50</v>
      </c>
      <c r="I842">
        <v>328</v>
      </c>
      <c r="J842">
        <v>42</v>
      </c>
      <c r="K842">
        <v>49</v>
      </c>
      <c r="L842">
        <v>41</v>
      </c>
      <c r="M842">
        <v>39</v>
      </c>
      <c r="N842">
        <v>5</v>
      </c>
      <c r="O842">
        <v>20</v>
      </c>
      <c r="P842">
        <v>3</v>
      </c>
      <c r="Q842">
        <v>0</v>
      </c>
    </row>
    <row r="843" spans="1:17" x14ac:dyDescent="0.45">
      <c r="A843" t="s">
        <v>83</v>
      </c>
      <c r="B843" t="s">
        <v>21</v>
      </c>
      <c r="C843">
        <v>8</v>
      </c>
      <c r="D843">
        <v>1379</v>
      </c>
      <c r="E843">
        <v>58</v>
      </c>
      <c r="F843">
        <v>144</v>
      </c>
      <c r="G843">
        <v>91</v>
      </c>
      <c r="H843">
        <v>23</v>
      </c>
      <c r="I843">
        <v>291</v>
      </c>
      <c r="J843">
        <v>48</v>
      </c>
      <c r="K843">
        <v>20</v>
      </c>
      <c r="L843">
        <v>27</v>
      </c>
      <c r="M843">
        <v>42</v>
      </c>
      <c r="N843">
        <v>18</v>
      </c>
      <c r="O843">
        <v>28</v>
      </c>
      <c r="P843">
        <v>7</v>
      </c>
      <c r="Q843">
        <v>0</v>
      </c>
    </row>
    <row r="844" spans="1:17" x14ac:dyDescent="0.45">
      <c r="A844" t="s">
        <v>83</v>
      </c>
      <c r="B844" t="s">
        <v>20</v>
      </c>
      <c r="C844">
        <v>9</v>
      </c>
      <c r="D844">
        <v>1325</v>
      </c>
      <c r="E844">
        <v>67</v>
      </c>
      <c r="F844">
        <v>135</v>
      </c>
      <c r="G844">
        <v>34</v>
      </c>
      <c r="H844">
        <v>78</v>
      </c>
      <c r="I844">
        <v>365</v>
      </c>
      <c r="J844">
        <v>62</v>
      </c>
      <c r="K844">
        <v>26</v>
      </c>
      <c r="L844">
        <v>28</v>
      </c>
      <c r="M844">
        <v>70</v>
      </c>
      <c r="N844">
        <v>9</v>
      </c>
      <c r="O844">
        <v>30</v>
      </c>
      <c r="P844">
        <v>3</v>
      </c>
      <c r="Q844">
        <v>0</v>
      </c>
    </row>
    <row r="845" spans="1:17" x14ac:dyDescent="0.45">
      <c r="A845" t="s">
        <v>83</v>
      </c>
      <c r="B845" t="s">
        <v>21</v>
      </c>
      <c r="C845">
        <v>9</v>
      </c>
      <c r="D845">
        <v>1328</v>
      </c>
      <c r="E845">
        <v>87</v>
      </c>
      <c r="F845">
        <v>125</v>
      </c>
      <c r="G845">
        <v>97</v>
      </c>
      <c r="H845">
        <v>15</v>
      </c>
      <c r="I845">
        <v>292</v>
      </c>
      <c r="J845">
        <v>44</v>
      </c>
      <c r="K845">
        <v>30</v>
      </c>
      <c r="L845">
        <v>28</v>
      </c>
      <c r="M845">
        <v>41</v>
      </c>
      <c r="N845">
        <v>25</v>
      </c>
      <c r="O845">
        <v>29</v>
      </c>
      <c r="P845">
        <v>6</v>
      </c>
      <c r="Q845">
        <v>0</v>
      </c>
    </row>
    <row r="846" spans="1:17" x14ac:dyDescent="0.45">
      <c r="A846" t="s">
        <v>83</v>
      </c>
      <c r="B846" t="s">
        <v>20</v>
      </c>
      <c r="C846">
        <v>10</v>
      </c>
      <c r="D846">
        <v>1457</v>
      </c>
      <c r="E846">
        <v>104</v>
      </c>
      <c r="F846">
        <v>196</v>
      </c>
      <c r="G846">
        <v>59</v>
      </c>
      <c r="H846">
        <v>148</v>
      </c>
      <c r="I846">
        <v>496</v>
      </c>
      <c r="J846">
        <v>86</v>
      </c>
      <c r="K846">
        <v>27</v>
      </c>
      <c r="L846">
        <v>57</v>
      </c>
      <c r="M846">
        <v>87</v>
      </c>
      <c r="N846">
        <v>63</v>
      </c>
      <c r="O846">
        <v>63</v>
      </c>
      <c r="P846">
        <v>26</v>
      </c>
      <c r="Q846">
        <v>8</v>
      </c>
    </row>
    <row r="847" spans="1:17" x14ac:dyDescent="0.45">
      <c r="A847" t="s">
        <v>83</v>
      </c>
      <c r="B847" t="s">
        <v>21</v>
      </c>
      <c r="C847">
        <v>10</v>
      </c>
      <c r="D847">
        <v>1811</v>
      </c>
      <c r="E847">
        <v>132</v>
      </c>
      <c r="F847">
        <v>190</v>
      </c>
      <c r="G847">
        <v>202</v>
      </c>
      <c r="H847">
        <v>61</v>
      </c>
      <c r="I847">
        <v>438</v>
      </c>
      <c r="J847">
        <v>92</v>
      </c>
      <c r="K847">
        <v>88</v>
      </c>
      <c r="L847">
        <v>59</v>
      </c>
      <c r="M847">
        <v>90</v>
      </c>
      <c r="N847">
        <v>54</v>
      </c>
      <c r="O847">
        <v>65</v>
      </c>
      <c r="P847">
        <v>38</v>
      </c>
      <c r="Q847">
        <v>1</v>
      </c>
    </row>
    <row r="848" spans="1:17" x14ac:dyDescent="0.45">
      <c r="A848" t="s">
        <v>83</v>
      </c>
      <c r="B848" t="s">
        <v>20</v>
      </c>
      <c r="C848">
        <v>11</v>
      </c>
      <c r="D848">
        <v>1354</v>
      </c>
      <c r="E848">
        <v>84</v>
      </c>
      <c r="F848">
        <v>146</v>
      </c>
      <c r="G848">
        <v>125</v>
      </c>
      <c r="H848">
        <v>108</v>
      </c>
      <c r="I848">
        <v>383</v>
      </c>
      <c r="J848">
        <v>82</v>
      </c>
      <c r="K848">
        <v>56</v>
      </c>
      <c r="L848">
        <v>54</v>
      </c>
      <c r="M848">
        <v>76</v>
      </c>
      <c r="N848">
        <v>50</v>
      </c>
      <c r="O848">
        <v>61</v>
      </c>
      <c r="P848">
        <v>19</v>
      </c>
      <c r="Q848">
        <v>4</v>
      </c>
    </row>
    <row r="849" spans="1:17" x14ac:dyDescent="0.45">
      <c r="A849" t="s">
        <v>83</v>
      </c>
      <c r="B849" t="s">
        <v>21</v>
      </c>
      <c r="C849">
        <v>11</v>
      </c>
      <c r="D849">
        <v>155</v>
      </c>
      <c r="E849">
        <v>98</v>
      </c>
      <c r="F849">
        <v>169</v>
      </c>
      <c r="G849">
        <v>127</v>
      </c>
      <c r="H849">
        <v>100</v>
      </c>
      <c r="I849">
        <v>404</v>
      </c>
      <c r="J849">
        <v>60</v>
      </c>
      <c r="K849">
        <v>72</v>
      </c>
      <c r="L849">
        <v>41</v>
      </c>
      <c r="M849">
        <v>51</v>
      </c>
      <c r="N849">
        <v>51</v>
      </c>
      <c r="O849">
        <v>67</v>
      </c>
      <c r="P849">
        <v>19</v>
      </c>
      <c r="Q849">
        <v>0</v>
      </c>
    </row>
    <row r="850" spans="1:17" x14ac:dyDescent="0.45">
      <c r="A850" t="s">
        <v>83</v>
      </c>
      <c r="B850" t="s">
        <v>20</v>
      </c>
      <c r="C850">
        <v>12</v>
      </c>
      <c r="D850">
        <v>1375</v>
      </c>
      <c r="E850">
        <v>84</v>
      </c>
      <c r="F850">
        <v>163</v>
      </c>
      <c r="G850">
        <v>222</v>
      </c>
      <c r="H850">
        <v>72</v>
      </c>
      <c r="I850">
        <v>336</v>
      </c>
      <c r="J850">
        <v>62</v>
      </c>
      <c r="K850">
        <v>117</v>
      </c>
      <c r="L850">
        <v>55</v>
      </c>
      <c r="M850">
        <v>45</v>
      </c>
      <c r="N850">
        <v>63</v>
      </c>
      <c r="O850">
        <v>81</v>
      </c>
      <c r="P850">
        <v>23</v>
      </c>
      <c r="Q850">
        <v>0</v>
      </c>
    </row>
    <row r="851" spans="1:17" x14ac:dyDescent="0.45">
      <c r="A851" t="s">
        <v>83</v>
      </c>
      <c r="B851" t="s">
        <v>21</v>
      </c>
      <c r="C851">
        <v>12</v>
      </c>
      <c r="D851">
        <v>1551</v>
      </c>
      <c r="E851">
        <v>83</v>
      </c>
      <c r="F851">
        <v>149</v>
      </c>
      <c r="G851">
        <v>223</v>
      </c>
      <c r="H851">
        <v>55</v>
      </c>
      <c r="I851">
        <v>355</v>
      </c>
      <c r="J851">
        <v>71</v>
      </c>
      <c r="K851">
        <v>123</v>
      </c>
      <c r="L851">
        <v>78</v>
      </c>
      <c r="M851">
        <v>57</v>
      </c>
      <c r="N851">
        <v>59</v>
      </c>
      <c r="O851">
        <v>84</v>
      </c>
      <c r="P851">
        <v>24</v>
      </c>
      <c r="Q851">
        <v>1</v>
      </c>
    </row>
    <row r="852" spans="1:17" x14ac:dyDescent="0.45">
      <c r="A852" t="s">
        <v>73</v>
      </c>
      <c r="B852" t="s">
        <v>20</v>
      </c>
      <c r="C852">
        <v>1</v>
      </c>
      <c r="D852">
        <v>759</v>
      </c>
      <c r="E852">
        <v>37</v>
      </c>
      <c r="F852">
        <v>26</v>
      </c>
      <c r="G852">
        <v>170</v>
      </c>
      <c r="H852">
        <v>18</v>
      </c>
      <c r="I852">
        <v>87</v>
      </c>
      <c r="J852">
        <v>26</v>
      </c>
      <c r="K852">
        <v>70</v>
      </c>
      <c r="L852">
        <v>18</v>
      </c>
      <c r="M852">
        <v>28</v>
      </c>
      <c r="N852">
        <v>39</v>
      </c>
      <c r="O852">
        <v>32</v>
      </c>
      <c r="P852">
        <v>16</v>
      </c>
      <c r="Q852">
        <v>5</v>
      </c>
    </row>
    <row r="853" spans="1:17" x14ac:dyDescent="0.45">
      <c r="A853" t="s">
        <v>73</v>
      </c>
      <c r="B853" t="s">
        <v>21</v>
      </c>
      <c r="C853">
        <v>1</v>
      </c>
      <c r="D853">
        <v>804</v>
      </c>
      <c r="E853">
        <v>29</v>
      </c>
      <c r="F853">
        <v>15</v>
      </c>
      <c r="G853">
        <v>143</v>
      </c>
      <c r="H853">
        <v>16</v>
      </c>
      <c r="I853">
        <v>119</v>
      </c>
      <c r="J853">
        <v>23</v>
      </c>
      <c r="K853">
        <v>55</v>
      </c>
      <c r="L853">
        <v>23</v>
      </c>
      <c r="M853">
        <v>24</v>
      </c>
      <c r="N853">
        <v>35</v>
      </c>
      <c r="O853">
        <v>22</v>
      </c>
      <c r="P853">
        <v>15</v>
      </c>
      <c r="Q853">
        <v>9</v>
      </c>
    </row>
    <row r="854" spans="1:17" x14ac:dyDescent="0.45">
      <c r="A854" t="s">
        <v>73</v>
      </c>
      <c r="B854" t="s">
        <v>20</v>
      </c>
      <c r="C854">
        <v>2</v>
      </c>
      <c r="D854">
        <v>746</v>
      </c>
      <c r="E854">
        <v>27</v>
      </c>
      <c r="F854">
        <v>29</v>
      </c>
      <c r="G854">
        <v>105</v>
      </c>
      <c r="H854">
        <v>29</v>
      </c>
      <c r="I854">
        <v>104</v>
      </c>
      <c r="J854">
        <v>30</v>
      </c>
      <c r="K854">
        <v>62</v>
      </c>
      <c r="L854">
        <v>18</v>
      </c>
      <c r="M854">
        <v>26</v>
      </c>
      <c r="N854">
        <v>47</v>
      </c>
      <c r="O854">
        <v>47</v>
      </c>
      <c r="P854">
        <v>18</v>
      </c>
      <c r="Q854">
        <v>8</v>
      </c>
    </row>
    <row r="855" spans="1:17" x14ac:dyDescent="0.45">
      <c r="A855" t="s">
        <v>73</v>
      </c>
      <c r="B855" t="s">
        <v>21</v>
      </c>
      <c r="C855">
        <v>2</v>
      </c>
      <c r="D855">
        <v>843</v>
      </c>
      <c r="E855">
        <v>48</v>
      </c>
      <c r="F855">
        <v>12</v>
      </c>
      <c r="G855">
        <v>67</v>
      </c>
      <c r="H855">
        <v>63</v>
      </c>
      <c r="I855">
        <v>200</v>
      </c>
      <c r="J855">
        <v>24</v>
      </c>
      <c r="K855">
        <v>58</v>
      </c>
      <c r="L855">
        <v>16</v>
      </c>
      <c r="M855">
        <v>22</v>
      </c>
      <c r="N855">
        <v>40</v>
      </c>
      <c r="O855">
        <v>28</v>
      </c>
      <c r="P855">
        <v>14</v>
      </c>
      <c r="Q855">
        <v>6</v>
      </c>
    </row>
    <row r="856" spans="1:17" x14ac:dyDescent="0.45">
      <c r="A856" t="s">
        <v>73</v>
      </c>
      <c r="B856" t="s">
        <v>20</v>
      </c>
      <c r="C856">
        <v>3</v>
      </c>
      <c r="D856">
        <v>1039</v>
      </c>
      <c r="E856">
        <v>53</v>
      </c>
      <c r="F856">
        <v>37</v>
      </c>
      <c r="G856">
        <v>179</v>
      </c>
      <c r="H856">
        <v>39</v>
      </c>
      <c r="I856">
        <v>168</v>
      </c>
      <c r="J856">
        <v>39</v>
      </c>
      <c r="K856">
        <v>173</v>
      </c>
      <c r="L856">
        <v>46</v>
      </c>
      <c r="M856">
        <v>42</v>
      </c>
      <c r="N856">
        <v>252</v>
      </c>
      <c r="O856">
        <v>130</v>
      </c>
      <c r="P856">
        <v>154</v>
      </c>
      <c r="Q856">
        <v>23</v>
      </c>
    </row>
    <row r="857" spans="1:17" x14ac:dyDescent="0.45">
      <c r="A857" t="s">
        <v>73</v>
      </c>
      <c r="B857" t="s">
        <v>21</v>
      </c>
      <c r="C857">
        <v>3</v>
      </c>
      <c r="D857">
        <v>1039</v>
      </c>
      <c r="E857">
        <v>53</v>
      </c>
      <c r="F857">
        <v>37</v>
      </c>
      <c r="G857">
        <v>179</v>
      </c>
      <c r="H857">
        <v>39</v>
      </c>
      <c r="I857">
        <v>168</v>
      </c>
      <c r="J857">
        <v>39</v>
      </c>
      <c r="K857">
        <v>173</v>
      </c>
      <c r="L857">
        <v>46</v>
      </c>
      <c r="M857">
        <v>42</v>
      </c>
      <c r="N857">
        <v>252</v>
      </c>
      <c r="O857">
        <v>130</v>
      </c>
      <c r="P857">
        <v>154</v>
      </c>
      <c r="Q857">
        <v>23</v>
      </c>
    </row>
    <row r="858" spans="1:17" x14ac:dyDescent="0.45">
      <c r="A858" t="s">
        <v>73</v>
      </c>
      <c r="B858" t="s">
        <v>20</v>
      </c>
      <c r="C858">
        <v>4</v>
      </c>
      <c r="D858">
        <v>915</v>
      </c>
      <c r="E858">
        <v>70</v>
      </c>
      <c r="F858">
        <v>85</v>
      </c>
      <c r="G858">
        <v>254</v>
      </c>
      <c r="H858">
        <v>27</v>
      </c>
      <c r="I858">
        <v>167</v>
      </c>
      <c r="J858">
        <v>93</v>
      </c>
      <c r="K858">
        <v>349</v>
      </c>
      <c r="L858">
        <v>123</v>
      </c>
      <c r="M858">
        <v>101</v>
      </c>
      <c r="N858">
        <v>402</v>
      </c>
      <c r="O858">
        <v>294</v>
      </c>
      <c r="P858">
        <v>245</v>
      </c>
      <c r="Q858">
        <v>13</v>
      </c>
    </row>
    <row r="859" spans="1:17" x14ac:dyDescent="0.45">
      <c r="A859" t="s">
        <v>73</v>
      </c>
      <c r="B859" t="s">
        <v>21</v>
      </c>
      <c r="C859">
        <v>4</v>
      </c>
      <c r="D859">
        <v>1148</v>
      </c>
      <c r="E859">
        <v>59</v>
      </c>
      <c r="F859">
        <v>54</v>
      </c>
      <c r="G859">
        <v>212</v>
      </c>
      <c r="H859">
        <v>25</v>
      </c>
      <c r="I859">
        <v>214</v>
      </c>
      <c r="J859">
        <v>67</v>
      </c>
      <c r="K859">
        <v>270</v>
      </c>
      <c r="L859">
        <v>130</v>
      </c>
      <c r="M859">
        <v>70</v>
      </c>
      <c r="N859">
        <v>283</v>
      </c>
      <c r="O859">
        <v>194</v>
      </c>
      <c r="P859">
        <v>154</v>
      </c>
      <c r="Q859">
        <v>9</v>
      </c>
    </row>
    <row r="860" spans="1:17" x14ac:dyDescent="0.45">
      <c r="A860" t="s">
        <v>73</v>
      </c>
      <c r="B860" t="s">
        <v>20</v>
      </c>
      <c r="C860">
        <v>5</v>
      </c>
      <c r="D860">
        <v>726</v>
      </c>
      <c r="E860">
        <v>67</v>
      </c>
      <c r="F860">
        <v>38</v>
      </c>
      <c r="G860">
        <v>165</v>
      </c>
      <c r="H860">
        <v>35</v>
      </c>
      <c r="I860">
        <v>175</v>
      </c>
      <c r="J860">
        <v>65</v>
      </c>
      <c r="K860">
        <v>182</v>
      </c>
      <c r="L860">
        <v>82</v>
      </c>
      <c r="M860">
        <v>49</v>
      </c>
      <c r="N860">
        <v>146</v>
      </c>
      <c r="O860">
        <v>139</v>
      </c>
      <c r="P860">
        <v>81</v>
      </c>
      <c r="Q860">
        <v>4</v>
      </c>
    </row>
    <row r="861" spans="1:17" x14ac:dyDescent="0.45">
      <c r="A861" t="s">
        <v>73</v>
      </c>
      <c r="B861" t="s">
        <v>21</v>
      </c>
      <c r="C861">
        <v>5</v>
      </c>
      <c r="D861">
        <v>964</v>
      </c>
      <c r="E861">
        <v>56</v>
      </c>
      <c r="F861">
        <v>50</v>
      </c>
      <c r="G861">
        <v>173</v>
      </c>
      <c r="H861">
        <v>63</v>
      </c>
      <c r="I861">
        <v>209</v>
      </c>
      <c r="J861">
        <v>61</v>
      </c>
      <c r="K861">
        <v>126</v>
      </c>
      <c r="L861">
        <v>79</v>
      </c>
      <c r="M861">
        <v>47</v>
      </c>
      <c r="N861">
        <v>184</v>
      </c>
      <c r="O861">
        <v>150</v>
      </c>
      <c r="P861">
        <v>92</v>
      </c>
      <c r="Q861">
        <v>10</v>
      </c>
    </row>
    <row r="862" spans="1:17" x14ac:dyDescent="0.45">
      <c r="A862" t="s">
        <v>73</v>
      </c>
      <c r="B862" t="s">
        <v>20</v>
      </c>
      <c r="C862">
        <v>6</v>
      </c>
      <c r="D862">
        <v>829</v>
      </c>
      <c r="E862">
        <v>53</v>
      </c>
      <c r="F862">
        <v>53</v>
      </c>
      <c r="G862">
        <v>121</v>
      </c>
      <c r="H862">
        <v>42</v>
      </c>
      <c r="I862">
        <v>200</v>
      </c>
      <c r="J862">
        <v>47</v>
      </c>
      <c r="K862">
        <v>145</v>
      </c>
      <c r="L862">
        <v>66</v>
      </c>
      <c r="M862">
        <v>43</v>
      </c>
      <c r="N862">
        <v>128</v>
      </c>
      <c r="O862">
        <v>112</v>
      </c>
      <c r="P862">
        <v>69</v>
      </c>
      <c r="Q862">
        <v>3</v>
      </c>
    </row>
    <row r="863" spans="1:17" x14ac:dyDescent="0.45">
      <c r="A863" t="s">
        <v>73</v>
      </c>
      <c r="B863" t="s">
        <v>21</v>
      </c>
      <c r="C863">
        <v>6</v>
      </c>
      <c r="D863">
        <v>1044</v>
      </c>
      <c r="E863">
        <v>54</v>
      </c>
      <c r="F863">
        <v>51</v>
      </c>
      <c r="G863">
        <v>173</v>
      </c>
      <c r="H863">
        <v>31</v>
      </c>
      <c r="I863">
        <v>217</v>
      </c>
      <c r="J863">
        <v>50</v>
      </c>
      <c r="K863">
        <v>95</v>
      </c>
      <c r="L863">
        <v>69</v>
      </c>
      <c r="M863">
        <v>53</v>
      </c>
      <c r="N863">
        <v>102</v>
      </c>
      <c r="O863">
        <v>117</v>
      </c>
      <c r="P863">
        <v>59</v>
      </c>
      <c r="Q863">
        <v>0</v>
      </c>
    </row>
    <row r="864" spans="1:17" x14ac:dyDescent="0.45">
      <c r="A864" t="s">
        <v>73</v>
      </c>
      <c r="B864" t="s">
        <v>20</v>
      </c>
      <c r="C864">
        <v>7</v>
      </c>
      <c r="D864">
        <v>814</v>
      </c>
      <c r="E864">
        <v>67</v>
      </c>
      <c r="F864">
        <v>48</v>
      </c>
      <c r="G864">
        <v>70</v>
      </c>
      <c r="H864">
        <v>22</v>
      </c>
      <c r="I864">
        <v>186</v>
      </c>
      <c r="J864">
        <v>31</v>
      </c>
      <c r="K864">
        <v>40</v>
      </c>
      <c r="L864">
        <v>33</v>
      </c>
      <c r="M864">
        <v>36</v>
      </c>
      <c r="N864">
        <v>59</v>
      </c>
      <c r="O864">
        <v>53</v>
      </c>
      <c r="P864">
        <v>23</v>
      </c>
      <c r="Q864">
        <v>0</v>
      </c>
    </row>
    <row r="865" spans="1:17" x14ac:dyDescent="0.45">
      <c r="A865" t="s">
        <v>73</v>
      </c>
      <c r="B865" t="s">
        <v>21</v>
      </c>
      <c r="C865">
        <v>7</v>
      </c>
      <c r="D865">
        <v>1050</v>
      </c>
      <c r="E865">
        <v>66</v>
      </c>
      <c r="F865">
        <v>61</v>
      </c>
      <c r="G865">
        <v>93</v>
      </c>
      <c r="H865">
        <v>36</v>
      </c>
      <c r="I865">
        <v>224</v>
      </c>
      <c r="J865">
        <v>44</v>
      </c>
      <c r="K865">
        <v>57</v>
      </c>
      <c r="L865">
        <v>30</v>
      </c>
      <c r="M865">
        <v>49</v>
      </c>
      <c r="N865">
        <v>56</v>
      </c>
      <c r="O865">
        <v>59</v>
      </c>
      <c r="P865">
        <v>29</v>
      </c>
      <c r="Q865">
        <v>2</v>
      </c>
    </row>
    <row r="866" spans="1:17" x14ac:dyDescent="0.45">
      <c r="A866" t="s">
        <v>73</v>
      </c>
      <c r="B866" t="s">
        <v>20</v>
      </c>
      <c r="C866">
        <v>8</v>
      </c>
      <c r="D866">
        <v>808</v>
      </c>
      <c r="E866">
        <v>29</v>
      </c>
      <c r="F866">
        <v>39</v>
      </c>
      <c r="G866">
        <v>66</v>
      </c>
      <c r="H866">
        <v>10</v>
      </c>
      <c r="I866">
        <v>185</v>
      </c>
      <c r="J866">
        <v>30</v>
      </c>
      <c r="K866">
        <v>21</v>
      </c>
      <c r="L866">
        <v>11</v>
      </c>
      <c r="M866">
        <v>36</v>
      </c>
      <c r="N866">
        <v>10</v>
      </c>
      <c r="O866">
        <v>28</v>
      </c>
      <c r="P866">
        <v>5</v>
      </c>
      <c r="Q866">
        <v>0</v>
      </c>
    </row>
    <row r="867" spans="1:17" x14ac:dyDescent="0.45">
      <c r="A867" t="s">
        <v>73</v>
      </c>
      <c r="B867" t="s">
        <v>21</v>
      </c>
      <c r="C867">
        <v>8</v>
      </c>
      <c r="D867">
        <v>731</v>
      </c>
      <c r="E867">
        <v>31</v>
      </c>
      <c r="F867">
        <v>53</v>
      </c>
      <c r="G867">
        <v>74</v>
      </c>
      <c r="H867">
        <v>14</v>
      </c>
      <c r="I867">
        <v>199</v>
      </c>
      <c r="J867">
        <v>33</v>
      </c>
      <c r="K867">
        <v>13</v>
      </c>
      <c r="L867">
        <v>18</v>
      </c>
      <c r="M867">
        <v>35</v>
      </c>
      <c r="N867">
        <v>20</v>
      </c>
      <c r="O867">
        <v>19</v>
      </c>
      <c r="P867">
        <v>7</v>
      </c>
      <c r="Q867">
        <v>2</v>
      </c>
    </row>
    <row r="868" spans="1:17" x14ac:dyDescent="0.45">
      <c r="A868" t="s">
        <v>73</v>
      </c>
      <c r="B868" t="s">
        <v>20</v>
      </c>
      <c r="C868">
        <v>9</v>
      </c>
      <c r="D868">
        <v>919</v>
      </c>
      <c r="E868">
        <v>32</v>
      </c>
      <c r="F868">
        <v>38</v>
      </c>
      <c r="G868">
        <v>49</v>
      </c>
      <c r="H868">
        <v>45</v>
      </c>
      <c r="I868">
        <v>242</v>
      </c>
      <c r="J868">
        <v>43</v>
      </c>
      <c r="K868">
        <v>16</v>
      </c>
      <c r="L868">
        <v>9</v>
      </c>
      <c r="M868">
        <v>53</v>
      </c>
      <c r="N868">
        <v>13</v>
      </c>
      <c r="O868">
        <v>16</v>
      </c>
      <c r="P868">
        <v>11</v>
      </c>
      <c r="Q868">
        <v>0</v>
      </c>
    </row>
    <row r="869" spans="1:17" x14ac:dyDescent="0.45">
      <c r="A869" t="s">
        <v>73</v>
      </c>
      <c r="B869" t="s">
        <v>21</v>
      </c>
      <c r="C869">
        <v>9</v>
      </c>
      <c r="D869">
        <v>802</v>
      </c>
      <c r="E869">
        <v>26</v>
      </c>
      <c r="F869">
        <v>40</v>
      </c>
      <c r="G869">
        <v>74</v>
      </c>
      <c r="H869">
        <v>11</v>
      </c>
      <c r="I869">
        <v>225</v>
      </c>
      <c r="J869">
        <v>31</v>
      </c>
      <c r="K869">
        <v>14</v>
      </c>
      <c r="L869">
        <v>13</v>
      </c>
      <c r="M869">
        <v>58</v>
      </c>
      <c r="N869">
        <v>20</v>
      </c>
      <c r="O869">
        <v>34</v>
      </c>
      <c r="P869">
        <v>13</v>
      </c>
      <c r="Q869">
        <v>1</v>
      </c>
    </row>
    <row r="870" spans="1:17" x14ac:dyDescent="0.45">
      <c r="A870" t="s">
        <v>73</v>
      </c>
      <c r="B870" t="s">
        <v>20</v>
      </c>
      <c r="C870">
        <v>10</v>
      </c>
      <c r="D870">
        <v>1094</v>
      </c>
      <c r="E870">
        <v>65</v>
      </c>
      <c r="F870">
        <v>66</v>
      </c>
      <c r="G870">
        <v>75</v>
      </c>
      <c r="H870">
        <v>89</v>
      </c>
      <c r="I870">
        <v>292</v>
      </c>
      <c r="J870">
        <v>80</v>
      </c>
      <c r="K870">
        <v>39</v>
      </c>
      <c r="L870">
        <v>36</v>
      </c>
      <c r="M870">
        <v>74</v>
      </c>
      <c r="N870">
        <v>45</v>
      </c>
      <c r="O870">
        <v>44</v>
      </c>
      <c r="P870">
        <v>21</v>
      </c>
      <c r="Q870">
        <v>0</v>
      </c>
    </row>
    <row r="871" spans="1:17" x14ac:dyDescent="0.45">
      <c r="A871" t="s">
        <v>73</v>
      </c>
      <c r="B871" t="s">
        <v>21</v>
      </c>
      <c r="C871">
        <v>10</v>
      </c>
      <c r="D871">
        <v>1159</v>
      </c>
      <c r="E871">
        <v>63</v>
      </c>
      <c r="F871">
        <v>98</v>
      </c>
      <c r="G871">
        <v>149</v>
      </c>
      <c r="H871">
        <v>32</v>
      </c>
      <c r="I871">
        <v>264</v>
      </c>
      <c r="J871">
        <v>45</v>
      </c>
      <c r="K871">
        <v>47</v>
      </c>
      <c r="L871">
        <v>43</v>
      </c>
      <c r="M871">
        <v>61</v>
      </c>
      <c r="N871">
        <v>38</v>
      </c>
      <c r="O871">
        <v>49</v>
      </c>
      <c r="P871">
        <v>11</v>
      </c>
      <c r="Q871">
        <v>2</v>
      </c>
    </row>
    <row r="872" spans="1:17" x14ac:dyDescent="0.45">
      <c r="A872" t="s">
        <v>73</v>
      </c>
      <c r="B872" t="s">
        <v>20</v>
      </c>
      <c r="C872">
        <v>11</v>
      </c>
      <c r="D872">
        <v>1022</v>
      </c>
      <c r="E872">
        <v>71</v>
      </c>
      <c r="F872">
        <v>96</v>
      </c>
      <c r="G872">
        <v>102</v>
      </c>
      <c r="H872">
        <v>82</v>
      </c>
      <c r="I872">
        <v>245</v>
      </c>
      <c r="J872">
        <v>44</v>
      </c>
      <c r="K872">
        <v>51</v>
      </c>
      <c r="L872">
        <v>30</v>
      </c>
      <c r="M872">
        <v>58</v>
      </c>
      <c r="N872">
        <v>53</v>
      </c>
      <c r="O872">
        <v>62</v>
      </c>
      <c r="P872">
        <v>10</v>
      </c>
      <c r="Q872">
        <v>1</v>
      </c>
    </row>
    <row r="873" spans="1:17" x14ac:dyDescent="0.45">
      <c r="A873" t="s">
        <v>73</v>
      </c>
      <c r="B873" t="s">
        <v>21</v>
      </c>
      <c r="C873">
        <v>11</v>
      </c>
      <c r="D873">
        <v>957</v>
      </c>
      <c r="E873">
        <v>32</v>
      </c>
      <c r="F873">
        <v>46</v>
      </c>
      <c r="G873">
        <v>129</v>
      </c>
      <c r="H873">
        <v>38</v>
      </c>
      <c r="I873">
        <v>203</v>
      </c>
      <c r="J873">
        <v>27</v>
      </c>
      <c r="K873">
        <v>40</v>
      </c>
      <c r="L873">
        <v>34</v>
      </c>
      <c r="M873">
        <v>44</v>
      </c>
      <c r="N873">
        <v>34</v>
      </c>
      <c r="O873">
        <v>35</v>
      </c>
      <c r="P873">
        <v>16</v>
      </c>
      <c r="Q873">
        <v>3</v>
      </c>
    </row>
    <row r="874" spans="1:17" x14ac:dyDescent="0.45">
      <c r="A874" t="s">
        <v>73</v>
      </c>
      <c r="B874" t="s">
        <v>20</v>
      </c>
      <c r="C874">
        <v>12</v>
      </c>
      <c r="D874">
        <v>1021</v>
      </c>
      <c r="E874">
        <v>39</v>
      </c>
      <c r="F874">
        <v>45</v>
      </c>
      <c r="G874">
        <v>187</v>
      </c>
      <c r="H874">
        <v>33</v>
      </c>
      <c r="I874">
        <v>166</v>
      </c>
      <c r="J874">
        <v>36</v>
      </c>
      <c r="K874">
        <v>70</v>
      </c>
      <c r="L874">
        <v>22</v>
      </c>
      <c r="M874">
        <v>57</v>
      </c>
      <c r="N874">
        <v>49</v>
      </c>
      <c r="O874">
        <v>58</v>
      </c>
      <c r="P874">
        <v>10</v>
      </c>
      <c r="Q874">
        <v>4</v>
      </c>
    </row>
    <row r="875" spans="1:17" x14ac:dyDescent="0.45">
      <c r="A875" t="s">
        <v>73</v>
      </c>
      <c r="B875" t="s">
        <v>21</v>
      </c>
      <c r="C875">
        <v>12</v>
      </c>
      <c r="D875">
        <v>967</v>
      </c>
      <c r="E875">
        <v>29</v>
      </c>
      <c r="F875">
        <v>61</v>
      </c>
      <c r="G875">
        <v>222</v>
      </c>
      <c r="H875">
        <v>35</v>
      </c>
      <c r="I875">
        <v>206</v>
      </c>
      <c r="J875">
        <v>57</v>
      </c>
      <c r="K875">
        <v>76</v>
      </c>
      <c r="L875">
        <v>38</v>
      </c>
      <c r="M875">
        <v>47</v>
      </c>
      <c r="N875">
        <v>63</v>
      </c>
      <c r="O875">
        <v>48</v>
      </c>
      <c r="P875">
        <v>19</v>
      </c>
      <c r="Q875">
        <v>0</v>
      </c>
    </row>
    <row r="876" spans="1:17" x14ac:dyDescent="0.45">
      <c r="A876" t="s">
        <v>45</v>
      </c>
      <c r="B876" t="s">
        <v>20</v>
      </c>
      <c r="C876">
        <v>1</v>
      </c>
      <c r="D876">
        <v>664</v>
      </c>
      <c r="E876">
        <v>43</v>
      </c>
      <c r="F876">
        <v>8</v>
      </c>
      <c r="G876">
        <v>101</v>
      </c>
      <c r="H876">
        <v>8</v>
      </c>
      <c r="I876">
        <v>124</v>
      </c>
      <c r="J876">
        <v>3</v>
      </c>
      <c r="K876">
        <v>78</v>
      </c>
      <c r="L876">
        <v>15</v>
      </c>
      <c r="M876">
        <v>12</v>
      </c>
      <c r="N876">
        <v>40</v>
      </c>
      <c r="O876">
        <v>39</v>
      </c>
      <c r="P876">
        <v>16</v>
      </c>
      <c r="Q876">
        <v>0</v>
      </c>
    </row>
    <row r="877" spans="1:17" x14ac:dyDescent="0.45">
      <c r="A877" t="s">
        <v>45</v>
      </c>
      <c r="B877" t="s">
        <v>21</v>
      </c>
      <c r="C877">
        <v>1</v>
      </c>
      <c r="D877">
        <v>686</v>
      </c>
      <c r="E877">
        <v>30</v>
      </c>
      <c r="F877">
        <v>17</v>
      </c>
      <c r="G877">
        <v>87</v>
      </c>
      <c r="H877">
        <v>5</v>
      </c>
      <c r="I877">
        <v>92</v>
      </c>
      <c r="J877">
        <v>5</v>
      </c>
      <c r="K877">
        <v>49</v>
      </c>
      <c r="L877">
        <v>11</v>
      </c>
      <c r="M877">
        <v>15</v>
      </c>
      <c r="N877">
        <v>23</v>
      </c>
      <c r="O877">
        <v>41</v>
      </c>
      <c r="P877">
        <v>13</v>
      </c>
      <c r="Q877">
        <v>5</v>
      </c>
    </row>
    <row r="878" spans="1:17" x14ac:dyDescent="0.45">
      <c r="A878" t="s">
        <v>45</v>
      </c>
      <c r="B878" t="s">
        <v>20</v>
      </c>
      <c r="C878">
        <v>2</v>
      </c>
      <c r="D878">
        <v>666</v>
      </c>
      <c r="E878">
        <v>19</v>
      </c>
      <c r="F878">
        <v>14</v>
      </c>
      <c r="G878">
        <v>70</v>
      </c>
      <c r="H878">
        <v>24</v>
      </c>
      <c r="I878">
        <v>118</v>
      </c>
      <c r="J878">
        <v>6</v>
      </c>
      <c r="K878">
        <v>40</v>
      </c>
      <c r="L878">
        <v>18</v>
      </c>
      <c r="M878">
        <v>15</v>
      </c>
      <c r="N878">
        <v>53</v>
      </c>
      <c r="O878">
        <v>53</v>
      </c>
      <c r="P878">
        <v>11</v>
      </c>
      <c r="Q878">
        <v>1</v>
      </c>
    </row>
    <row r="879" spans="1:17" x14ac:dyDescent="0.45">
      <c r="A879" t="s">
        <v>45</v>
      </c>
      <c r="B879" t="s">
        <v>21</v>
      </c>
      <c r="C879">
        <v>2</v>
      </c>
      <c r="D879">
        <v>722</v>
      </c>
      <c r="E879">
        <v>19</v>
      </c>
      <c r="F879">
        <v>22</v>
      </c>
      <c r="G879">
        <v>44</v>
      </c>
      <c r="H879">
        <v>23</v>
      </c>
      <c r="I879">
        <v>145</v>
      </c>
      <c r="J879">
        <v>7</v>
      </c>
      <c r="K879">
        <v>65</v>
      </c>
      <c r="L879">
        <v>13</v>
      </c>
      <c r="M879">
        <v>112</v>
      </c>
      <c r="N879">
        <v>25</v>
      </c>
      <c r="O879">
        <v>24</v>
      </c>
      <c r="P879">
        <v>7</v>
      </c>
      <c r="Q879">
        <v>2</v>
      </c>
    </row>
    <row r="880" spans="1:17" x14ac:dyDescent="0.45">
      <c r="A880" t="s">
        <v>45</v>
      </c>
      <c r="B880" t="s">
        <v>20</v>
      </c>
      <c r="C880">
        <v>3</v>
      </c>
      <c r="D880">
        <v>786</v>
      </c>
      <c r="E880">
        <v>80</v>
      </c>
      <c r="F880">
        <v>29</v>
      </c>
      <c r="G880">
        <v>136</v>
      </c>
      <c r="H880">
        <v>9</v>
      </c>
      <c r="I880">
        <v>160</v>
      </c>
      <c r="J880">
        <v>13</v>
      </c>
      <c r="K880">
        <v>73</v>
      </c>
      <c r="L880">
        <v>27</v>
      </c>
      <c r="M880">
        <v>25</v>
      </c>
      <c r="N880">
        <v>78</v>
      </c>
      <c r="O880">
        <v>53</v>
      </c>
      <c r="P880">
        <v>68</v>
      </c>
      <c r="Q880">
        <v>10</v>
      </c>
    </row>
    <row r="881" spans="1:17" x14ac:dyDescent="0.45">
      <c r="A881" t="s">
        <v>45</v>
      </c>
      <c r="B881" t="s">
        <v>21</v>
      </c>
      <c r="C881">
        <v>3</v>
      </c>
      <c r="D881">
        <v>914</v>
      </c>
      <c r="E881">
        <v>41</v>
      </c>
      <c r="F881">
        <v>33</v>
      </c>
      <c r="G881">
        <v>127</v>
      </c>
      <c r="H881">
        <v>12</v>
      </c>
      <c r="I881">
        <v>162</v>
      </c>
      <c r="J881">
        <v>29</v>
      </c>
      <c r="K881">
        <v>109</v>
      </c>
      <c r="L881">
        <v>39</v>
      </c>
      <c r="M881">
        <v>26</v>
      </c>
      <c r="N881">
        <v>134</v>
      </c>
      <c r="O881">
        <v>105</v>
      </c>
      <c r="P881">
        <v>114</v>
      </c>
      <c r="Q881">
        <v>22</v>
      </c>
    </row>
    <row r="882" spans="1:17" x14ac:dyDescent="0.45">
      <c r="A882" t="s">
        <v>45</v>
      </c>
      <c r="B882" t="s">
        <v>20</v>
      </c>
      <c r="C882">
        <v>4</v>
      </c>
      <c r="D882">
        <v>723</v>
      </c>
      <c r="E882">
        <v>61</v>
      </c>
      <c r="F882">
        <v>51</v>
      </c>
      <c r="G882">
        <v>154</v>
      </c>
      <c r="H882">
        <v>9</v>
      </c>
      <c r="I882">
        <v>184</v>
      </c>
      <c r="J882">
        <v>33</v>
      </c>
      <c r="K882">
        <v>267</v>
      </c>
      <c r="L882">
        <v>93</v>
      </c>
      <c r="M882">
        <v>53</v>
      </c>
      <c r="N882">
        <v>322</v>
      </c>
      <c r="O882">
        <v>166</v>
      </c>
      <c r="P882">
        <v>241</v>
      </c>
      <c r="Q882">
        <v>16</v>
      </c>
    </row>
    <row r="883" spans="1:17" x14ac:dyDescent="0.45">
      <c r="A883" t="s">
        <v>45</v>
      </c>
      <c r="B883" t="s">
        <v>21</v>
      </c>
      <c r="C883">
        <v>4</v>
      </c>
      <c r="D883">
        <v>971</v>
      </c>
      <c r="E883">
        <v>52</v>
      </c>
      <c r="F883">
        <v>41</v>
      </c>
      <c r="G883">
        <v>164</v>
      </c>
      <c r="H883">
        <v>12</v>
      </c>
      <c r="I883">
        <v>224</v>
      </c>
      <c r="J883">
        <v>27</v>
      </c>
      <c r="K883">
        <v>292</v>
      </c>
      <c r="L883">
        <v>67</v>
      </c>
      <c r="M883">
        <v>37</v>
      </c>
      <c r="N883">
        <v>213</v>
      </c>
      <c r="O883">
        <v>149</v>
      </c>
      <c r="P883">
        <v>125</v>
      </c>
      <c r="Q883">
        <v>24</v>
      </c>
    </row>
    <row r="884" spans="1:17" x14ac:dyDescent="0.45">
      <c r="A884" t="s">
        <v>45</v>
      </c>
      <c r="B884" t="s">
        <v>20</v>
      </c>
      <c r="C884">
        <v>5</v>
      </c>
      <c r="D884">
        <v>700</v>
      </c>
      <c r="E884">
        <v>53</v>
      </c>
      <c r="F884">
        <v>27</v>
      </c>
      <c r="G884">
        <v>98</v>
      </c>
      <c r="H884">
        <v>9</v>
      </c>
      <c r="I884">
        <v>140</v>
      </c>
      <c r="J884">
        <v>11</v>
      </c>
      <c r="K884">
        <v>82</v>
      </c>
      <c r="L884">
        <v>31</v>
      </c>
      <c r="M884">
        <v>22</v>
      </c>
      <c r="N884">
        <v>145</v>
      </c>
      <c r="O884">
        <v>99</v>
      </c>
      <c r="P884">
        <v>75</v>
      </c>
      <c r="Q884">
        <v>7</v>
      </c>
    </row>
    <row r="885" spans="1:17" x14ac:dyDescent="0.45">
      <c r="A885" t="s">
        <v>45</v>
      </c>
      <c r="B885" t="s">
        <v>21</v>
      </c>
      <c r="C885">
        <v>5</v>
      </c>
      <c r="D885">
        <v>782</v>
      </c>
      <c r="E885">
        <v>53</v>
      </c>
      <c r="F885">
        <v>38</v>
      </c>
      <c r="G885">
        <v>154</v>
      </c>
      <c r="H885">
        <v>21</v>
      </c>
      <c r="I885">
        <v>207</v>
      </c>
      <c r="J885">
        <v>11</v>
      </c>
      <c r="K885">
        <v>143</v>
      </c>
      <c r="L885">
        <v>38</v>
      </c>
      <c r="M885">
        <v>20</v>
      </c>
      <c r="N885">
        <v>206</v>
      </c>
      <c r="O885">
        <v>163</v>
      </c>
      <c r="P885">
        <v>123</v>
      </c>
      <c r="Q885">
        <v>6</v>
      </c>
    </row>
    <row r="886" spans="1:17" x14ac:dyDescent="0.45">
      <c r="A886" t="s">
        <v>45</v>
      </c>
      <c r="B886" t="s">
        <v>20</v>
      </c>
      <c r="C886">
        <v>6</v>
      </c>
      <c r="D886">
        <v>763</v>
      </c>
      <c r="E886">
        <v>64</v>
      </c>
      <c r="F886">
        <v>21</v>
      </c>
      <c r="G886">
        <v>100</v>
      </c>
      <c r="H886">
        <v>27</v>
      </c>
      <c r="I886">
        <v>191</v>
      </c>
      <c r="J886">
        <v>9</v>
      </c>
      <c r="K886">
        <v>72</v>
      </c>
      <c r="L886">
        <v>44</v>
      </c>
      <c r="M886">
        <v>12</v>
      </c>
      <c r="N886">
        <v>70</v>
      </c>
      <c r="O886">
        <v>60</v>
      </c>
      <c r="P886">
        <v>46</v>
      </c>
      <c r="Q886">
        <v>7</v>
      </c>
    </row>
    <row r="887" spans="1:17" x14ac:dyDescent="0.45">
      <c r="A887" t="s">
        <v>45</v>
      </c>
      <c r="B887" t="s">
        <v>21</v>
      </c>
      <c r="C887">
        <v>6</v>
      </c>
      <c r="D887">
        <v>950</v>
      </c>
      <c r="E887">
        <v>72</v>
      </c>
      <c r="F887">
        <v>43</v>
      </c>
      <c r="G887">
        <v>124</v>
      </c>
      <c r="H887">
        <v>9</v>
      </c>
      <c r="I887">
        <v>221</v>
      </c>
      <c r="J887">
        <v>23</v>
      </c>
      <c r="K887">
        <v>66</v>
      </c>
      <c r="L887">
        <v>58</v>
      </c>
      <c r="M887">
        <v>40</v>
      </c>
      <c r="N887">
        <v>126</v>
      </c>
      <c r="O887">
        <v>96</v>
      </c>
      <c r="P887">
        <v>46</v>
      </c>
      <c r="Q887">
        <v>5</v>
      </c>
    </row>
    <row r="888" spans="1:17" x14ac:dyDescent="0.45">
      <c r="A888" t="s">
        <v>45</v>
      </c>
      <c r="B888" t="s">
        <v>20</v>
      </c>
      <c r="C888">
        <v>7</v>
      </c>
      <c r="D888">
        <v>777</v>
      </c>
      <c r="E888">
        <v>76</v>
      </c>
      <c r="F888">
        <v>25</v>
      </c>
      <c r="G888">
        <v>69</v>
      </c>
      <c r="H888">
        <v>16</v>
      </c>
      <c r="I888">
        <v>173</v>
      </c>
      <c r="J888">
        <v>20</v>
      </c>
      <c r="K888">
        <v>46</v>
      </c>
      <c r="L888">
        <v>34</v>
      </c>
      <c r="M888">
        <v>25</v>
      </c>
      <c r="N888">
        <v>30</v>
      </c>
      <c r="O888">
        <v>50</v>
      </c>
      <c r="P888">
        <v>16</v>
      </c>
      <c r="Q888">
        <v>0</v>
      </c>
    </row>
    <row r="889" spans="1:17" x14ac:dyDescent="0.45">
      <c r="A889" t="s">
        <v>45</v>
      </c>
      <c r="B889" t="s">
        <v>21</v>
      </c>
      <c r="C889">
        <v>7</v>
      </c>
      <c r="D889">
        <v>892</v>
      </c>
      <c r="E889">
        <v>59</v>
      </c>
      <c r="F889">
        <v>29</v>
      </c>
      <c r="G889">
        <v>61</v>
      </c>
      <c r="H889">
        <v>27</v>
      </c>
      <c r="I889">
        <v>245</v>
      </c>
      <c r="J889">
        <v>14</v>
      </c>
      <c r="K889">
        <v>30</v>
      </c>
      <c r="L889">
        <v>10</v>
      </c>
      <c r="M889">
        <v>15</v>
      </c>
      <c r="N889">
        <v>42</v>
      </c>
      <c r="O889">
        <v>52</v>
      </c>
      <c r="P889">
        <v>20</v>
      </c>
      <c r="Q889">
        <v>0</v>
      </c>
    </row>
    <row r="890" spans="1:17" x14ac:dyDescent="0.45">
      <c r="A890" t="s">
        <v>45</v>
      </c>
      <c r="B890" t="s">
        <v>20</v>
      </c>
      <c r="C890">
        <v>8</v>
      </c>
      <c r="D890">
        <v>697</v>
      </c>
      <c r="E890">
        <v>46</v>
      </c>
      <c r="F890">
        <v>25</v>
      </c>
      <c r="G890">
        <v>37</v>
      </c>
      <c r="H890">
        <v>21</v>
      </c>
      <c r="I890">
        <v>224</v>
      </c>
      <c r="J890">
        <v>10</v>
      </c>
      <c r="K890">
        <v>14</v>
      </c>
      <c r="L890">
        <v>9</v>
      </c>
      <c r="M890">
        <v>18</v>
      </c>
      <c r="N890">
        <v>13</v>
      </c>
      <c r="O890">
        <v>19</v>
      </c>
      <c r="P890">
        <v>6</v>
      </c>
      <c r="Q890">
        <v>0</v>
      </c>
    </row>
    <row r="891" spans="1:17" x14ac:dyDescent="0.45">
      <c r="A891" t="s">
        <v>45</v>
      </c>
      <c r="B891" t="s">
        <v>21</v>
      </c>
      <c r="C891">
        <v>8</v>
      </c>
      <c r="D891">
        <v>708</v>
      </c>
      <c r="E891">
        <v>47</v>
      </c>
      <c r="F891">
        <v>25</v>
      </c>
      <c r="G891">
        <v>68</v>
      </c>
      <c r="H891">
        <v>10</v>
      </c>
      <c r="I891">
        <v>204</v>
      </c>
      <c r="J891">
        <v>13</v>
      </c>
      <c r="K891">
        <v>19</v>
      </c>
      <c r="L891">
        <v>9</v>
      </c>
      <c r="M891">
        <v>26</v>
      </c>
      <c r="N891">
        <v>18</v>
      </c>
      <c r="O891">
        <v>16</v>
      </c>
      <c r="P891">
        <v>10</v>
      </c>
      <c r="Q891">
        <v>0</v>
      </c>
    </row>
    <row r="892" spans="1:17" x14ac:dyDescent="0.45">
      <c r="A892" t="s">
        <v>45</v>
      </c>
      <c r="B892" t="s">
        <v>20</v>
      </c>
      <c r="C892">
        <v>9</v>
      </c>
      <c r="D892">
        <v>808</v>
      </c>
      <c r="E892">
        <v>56</v>
      </c>
      <c r="F892">
        <v>33</v>
      </c>
      <c r="G892">
        <v>59</v>
      </c>
      <c r="H892">
        <v>42</v>
      </c>
      <c r="I892">
        <v>235</v>
      </c>
      <c r="J892">
        <v>8</v>
      </c>
      <c r="K892">
        <v>27</v>
      </c>
      <c r="L892">
        <v>10</v>
      </c>
      <c r="M892">
        <v>23</v>
      </c>
      <c r="N892">
        <v>28</v>
      </c>
      <c r="O892">
        <v>31</v>
      </c>
      <c r="P892">
        <v>6</v>
      </c>
      <c r="Q892">
        <v>2</v>
      </c>
    </row>
    <row r="893" spans="1:17" x14ac:dyDescent="0.45">
      <c r="A893" t="s">
        <v>45</v>
      </c>
      <c r="B893" t="s">
        <v>21</v>
      </c>
      <c r="C893">
        <v>9</v>
      </c>
      <c r="D893">
        <v>917</v>
      </c>
      <c r="E893">
        <v>52</v>
      </c>
      <c r="F893">
        <v>35</v>
      </c>
      <c r="G893">
        <v>97</v>
      </c>
      <c r="H893">
        <v>4</v>
      </c>
      <c r="I893">
        <v>214</v>
      </c>
      <c r="J893">
        <v>16</v>
      </c>
      <c r="K893">
        <v>12</v>
      </c>
      <c r="L893">
        <v>9</v>
      </c>
      <c r="M893">
        <v>25</v>
      </c>
      <c r="N893">
        <v>28</v>
      </c>
      <c r="O893">
        <v>26</v>
      </c>
      <c r="P893">
        <v>8</v>
      </c>
      <c r="Q893">
        <v>0</v>
      </c>
    </row>
    <row r="894" spans="1:17" x14ac:dyDescent="0.45">
      <c r="A894" t="s">
        <v>45</v>
      </c>
      <c r="B894" t="s">
        <v>20</v>
      </c>
      <c r="C894">
        <v>10</v>
      </c>
      <c r="D894">
        <v>947</v>
      </c>
      <c r="E894">
        <v>79</v>
      </c>
      <c r="F894">
        <v>48</v>
      </c>
      <c r="G894">
        <v>88</v>
      </c>
      <c r="H894">
        <v>60</v>
      </c>
      <c r="I894">
        <v>286</v>
      </c>
      <c r="J894">
        <v>19</v>
      </c>
      <c r="K894">
        <v>31</v>
      </c>
      <c r="L894">
        <v>22</v>
      </c>
      <c r="M894">
        <v>39</v>
      </c>
      <c r="N894">
        <v>37</v>
      </c>
      <c r="O894">
        <v>46</v>
      </c>
      <c r="P894">
        <v>29</v>
      </c>
      <c r="Q894">
        <v>2</v>
      </c>
    </row>
    <row r="895" spans="1:17" x14ac:dyDescent="0.45">
      <c r="A895" t="s">
        <v>45</v>
      </c>
      <c r="B895" t="s">
        <v>21</v>
      </c>
      <c r="C895">
        <v>10</v>
      </c>
      <c r="D895">
        <v>1131</v>
      </c>
      <c r="E895">
        <v>85</v>
      </c>
      <c r="F895">
        <v>38</v>
      </c>
      <c r="G895">
        <v>144</v>
      </c>
      <c r="H895">
        <v>11</v>
      </c>
      <c r="I895">
        <v>271</v>
      </c>
      <c r="J895">
        <v>26</v>
      </c>
      <c r="K895">
        <v>37</v>
      </c>
      <c r="L895">
        <v>25</v>
      </c>
      <c r="M895">
        <v>38</v>
      </c>
      <c r="N895">
        <v>57</v>
      </c>
      <c r="O895">
        <v>59</v>
      </c>
      <c r="P895">
        <v>25</v>
      </c>
      <c r="Q895">
        <v>4</v>
      </c>
    </row>
    <row r="896" spans="1:17" x14ac:dyDescent="0.45">
      <c r="A896" t="s">
        <v>45</v>
      </c>
      <c r="B896" t="s">
        <v>20</v>
      </c>
      <c r="C896">
        <v>11</v>
      </c>
      <c r="D896">
        <v>782</v>
      </c>
      <c r="E896">
        <v>65</v>
      </c>
      <c r="F896">
        <v>32</v>
      </c>
      <c r="G896">
        <v>90</v>
      </c>
      <c r="H896">
        <v>50</v>
      </c>
      <c r="I896">
        <v>244</v>
      </c>
      <c r="J896">
        <v>25</v>
      </c>
      <c r="K896">
        <v>77</v>
      </c>
      <c r="L896">
        <v>31</v>
      </c>
      <c r="M896">
        <v>31</v>
      </c>
      <c r="N896">
        <v>57</v>
      </c>
      <c r="O896">
        <v>73</v>
      </c>
      <c r="P896">
        <v>23</v>
      </c>
      <c r="Q896">
        <v>0</v>
      </c>
    </row>
    <row r="897" spans="1:17" x14ac:dyDescent="0.45">
      <c r="A897" t="s">
        <v>45</v>
      </c>
      <c r="B897" t="s">
        <v>21</v>
      </c>
      <c r="C897">
        <v>11</v>
      </c>
      <c r="D897">
        <v>910</v>
      </c>
      <c r="E897">
        <v>46</v>
      </c>
      <c r="F897">
        <v>27</v>
      </c>
      <c r="G897">
        <v>85</v>
      </c>
      <c r="H897">
        <v>34</v>
      </c>
      <c r="I897">
        <v>212</v>
      </c>
      <c r="J897">
        <v>18</v>
      </c>
      <c r="K897">
        <v>59</v>
      </c>
      <c r="L897">
        <v>23</v>
      </c>
      <c r="M897">
        <v>32</v>
      </c>
      <c r="N897">
        <v>46</v>
      </c>
      <c r="O897">
        <v>32</v>
      </c>
      <c r="P897">
        <v>16</v>
      </c>
      <c r="Q897">
        <v>4</v>
      </c>
    </row>
    <row r="898" spans="1:17" x14ac:dyDescent="0.45">
      <c r="A898" t="s">
        <v>45</v>
      </c>
      <c r="B898" t="s">
        <v>20</v>
      </c>
      <c r="C898">
        <v>12</v>
      </c>
      <c r="D898">
        <v>879</v>
      </c>
      <c r="E898">
        <v>64</v>
      </c>
      <c r="F898">
        <v>10</v>
      </c>
      <c r="G898">
        <v>113</v>
      </c>
      <c r="H898">
        <v>6</v>
      </c>
      <c r="I898">
        <v>171</v>
      </c>
      <c r="J898">
        <v>11</v>
      </c>
      <c r="K898">
        <v>64</v>
      </c>
      <c r="L898">
        <v>24</v>
      </c>
      <c r="M898">
        <v>21</v>
      </c>
      <c r="N898">
        <v>57</v>
      </c>
      <c r="O898">
        <v>50</v>
      </c>
      <c r="P898">
        <v>17</v>
      </c>
      <c r="Q898">
        <v>5</v>
      </c>
    </row>
    <row r="899" spans="1:17" x14ac:dyDescent="0.45">
      <c r="A899" t="s">
        <v>45</v>
      </c>
      <c r="B899" t="s">
        <v>21</v>
      </c>
      <c r="C899">
        <v>12</v>
      </c>
      <c r="D899">
        <v>932</v>
      </c>
      <c r="E899">
        <v>51</v>
      </c>
      <c r="F899">
        <v>26</v>
      </c>
      <c r="G899">
        <v>126</v>
      </c>
      <c r="H899">
        <v>11</v>
      </c>
      <c r="I899">
        <v>213</v>
      </c>
      <c r="J899">
        <v>27</v>
      </c>
      <c r="K899">
        <v>68</v>
      </c>
      <c r="L899">
        <v>29</v>
      </c>
      <c r="M899">
        <v>23</v>
      </c>
      <c r="N899">
        <v>39</v>
      </c>
      <c r="O899">
        <v>50</v>
      </c>
      <c r="P899">
        <v>27</v>
      </c>
      <c r="Q899">
        <v>0</v>
      </c>
    </row>
    <row r="900" spans="1:17" x14ac:dyDescent="0.45">
      <c r="A900" t="s">
        <v>47</v>
      </c>
      <c r="B900" t="s">
        <v>20</v>
      </c>
      <c r="C900">
        <v>1</v>
      </c>
      <c r="D900">
        <v>1413</v>
      </c>
      <c r="E900">
        <v>82</v>
      </c>
      <c r="F900">
        <v>51</v>
      </c>
      <c r="G900">
        <v>199</v>
      </c>
      <c r="H900">
        <v>14</v>
      </c>
      <c r="I900">
        <v>181</v>
      </c>
      <c r="J900">
        <v>51</v>
      </c>
      <c r="K900">
        <v>107</v>
      </c>
      <c r="L900">
        <v>33</v>
      </c>
      <c r="M900">
        <v>22</v>
      </c>
      <c r="N900">
        <v>67</v>
      </c>
      <c r="O900">
        <v>50</v>
      </c>
      <c r="P900">
        <v>19</v>
      </c>
      <c r="Q900">
        <v>14</v>
      </c>
    </row>
    <row r="901" spans="1:17" x14ac:dyDescent="0.45">
      <c r="A901" t="s">
        <v>47</v>
      </c>
      <c r="B901" t="s">
        <v>21</v>
      </c>
      <c r="C901">
        <v>1</v>
      </c>
      <c r="D901">
        <v>1720</v>
      </c>
      <c r="E901">
        <v>84</v>
      </c>
      <c r="F901">
        <v>41</v>
      </c>
      <c r="G901">
        <v>217</v>
      </c>
      <c r="H901">
        <v>18</v>
      </c>
      <c r="I901">
        <v>238</v>
      </c>
      <c r="J901">
        <v>26</v>
      </c>
      <c r="K901">
        <v>137</v>
      </c>
      <c r="L901">
        <v>34</v>
      </c>
      <c r="M901">
        <v>33</v>
      </c>
      <c r="N901">
        <v>54</v>
      </c>
      <c r="O901">
        <v>63</v>
      </c>
      <c r="P901">
        <v>28</v>
      </c>
      <c r="Q901">
        <v>2</v>
      </c>
    </row>
    <row r="902" spans="1:17" x14ac:dyDescent="0.45">
      <c r="A902" t="s">
        <v>47</v>
      </c>
      <c r="B902" t="s">
        <v>20</v>
      </c>
      <c r="C902">
        <v>2</v>
      </c>
      <c r="D902">
        <v>1434</v>
      </c>
      <c r="E902">
        <v>39</v>
      </c>
      <c r="F902">
        <v>35</v>
      </c>
      <c r="G902">
        <v>127</v>
      </c>
      <c r="H902">
        <v>48</v>
      </c>
      <c r="I902">
        <v>214</v>
      </c>
      <c r="J902">
        <v>23</v>
      </c>
      <c r="K902">
        <v>92</v>
      </c>
      <c r="L902">
        <v>32</v>
      </c>
      <c r="M902">
        <v>25</v>
      </c>
      <c r="N902">
        <v>49</v>
      </c>
      <c r="O902">
        <v>41</v>
      </c>
      <c r="P902">
        <v>9</v>
      </c>
      <c r="Q902">
        <v>15</v>
      </c>
    </row>
    <row r="903" spans="1:17" x14ac:dyDescent="0.45">
      <c r="A903" t="s">
        <v>47</v>
      </c>
      <c r="B903" t="s">
        <v>21</v>
      </c>
      <c r="C903">
        <v>2</v>
      </c>
      <c r="D903">
        <v>1760</v>
      </c>
      <c r="E903">
        <v>61</v>
      </c>
      <c r="F903">
        <v>25</v>
      </c>
      <c r="G903">
        <v>82</v>
      </c>
      <c r="H903">
        <v>124</v>
      </c>
      <c r="I903">
        <v>299</v>
      </c>
      <c r="J903">
        <v>29</v>
      </c>
      <c r="K903">
        <v>125</v>
      </c>
      <c r="L903">
        <v>28</v>
      </c>
      <c r="M903">
        <v>38</v>
      </c>
      <c r="N903">
        <v>49</v>
      </c>
      <c r="O903">
        <v>57</v>
      </c>
      <c r="P903">
        <v>24</v>
      </c>
      <c r="Q903">
        <v>15</v>
      </c>
    </row>
    <row r="904" spans="1:17" x14ac:dyDescent="0.45">
      <c r="A904" t="s">
        <v>47</v>
      </c>
      <c r="B904" t="s">
        <v>20</v>
      </c>
      <c r="C904">
        <v>3</v>
      </c>
      <c r="D904">
        <v>1979</v>
      </c>
      <c r="E904">
        <v>89</v>
      </c>
      <c r="F904">
        <v>78</v>
      </c>
      <c r="G904">
        <v>303</v>
      </c>
      <c r="H904">
        <v>18</v>
      </c>
      <c r="I904">
        <v>204</v>
      </c>
      <c r="J904">
        <v>44</v>
      </c>
      <c r="K904">
        <v>151</v>
      </c>
      <c r="L904">
        <v>42</v>
      </c>
      <c r="M904">
        <v>46</v>
      </c>
      <c r="N904">
        <v>241</v>
      </c>
      <c r="O904">
        <v>127</v>
      </c>
      <c r="P904">
        <v>140</v>
      </c>
      <c r="Q904">
        <v>14</v>
      </c>
    </row>
    <row r="905" spans="1:17" x14ac:dyDescent="0.45">
      <c r="A905" t="s">
        <v>47</v>
      </c>
      <c r="B905" t="s">
        <v>21</v>
      </c>
      <c r="C905">
        <v>3</v>
      </c>
      <c r="D905">
        <v>2023</v>
      </c>
      <c r="E905">
        <v>96</v>
      </c>
      <c r="F905">
        <v>99</v>
      </c>
      <c r="G905">
        <v>335</v>
      </c>
      <c r="H905">
        <v>20</v>
      </c>
      <c r="I905">
        <v>299</v>
      </c>
      <c r="J905">
        <v>53</v>
      </c>
      <c r="K905">
        <v>255</v>
      </c>
      <c r="L905">
        <v>72</v>
      </c>
      <c r="M905">
        <v>56</v>
      </c>
      <c r="N905">
        <v>429</v>
      </c>
      <c r="O905">
        <v>188</v>
      </c>
      <c r="P905">
        <v>253</v>
      </c>
      <c r="Q905">
        <v>20</v>
      </c>
    </row>
    <row r="906" spans="1:17" x14ac:dyDescent="0.45">
      <c r="A906" t="s">
        <v>47</v>
      </c>
      <c r="B906" t="s">
        <v>20</v>
      </c>
      <c r="C906">
        <v>4</v>
      </c>
      <c r="D906">
        <v>1793</v>
      </c>
      <c r="E906">
        <v>132</v>
      </c>
      <c r="F906">
        <v>112</v>
      </c>
      <c r="G906">
        <v>445</v>
      </c>
      <c r="H906">
        <v>41</v>
      </c>
      <c r="I906">
        <v>383</v>
      </c>
      <c r="J906">
        <v>149</v>
      </c>
      <c r="K906">
        <v>593</v>
      </c>
      <c r="L906">
        <v>203</v>
      </c>
      <c r="M906">
        <v>110</v>
      </c>
      <c r="N906">
        <v>692</v>
      </c>
      <c r="O906">
        <v>364</v>
      </c>
      <c r="P906">
        <v>361</v>
      </c>
      <c r="Q906">
        <v>22</v>
      </c>
    </row>
    <row r="907" spans="1:17" x14ac:dyDescent="0.45">
      <c r="A907" t="s">
        <v>47</v>
      </c>
      <c r="B907" t="s">
        <v>21</v>
      </c>
      <c r="C907">
        <v>4</v>
      </c>
      <c r="D907">
        <v>2205</v>
      </c>
      <c r="E907">
        <v>135</v>
      </c>
      <c r="F907">
        <v>84</v>
      </c>
      <c r="G907">
        <v>362</v>
      </c>
      <c r="H907">
        <v>65</v>
      </c>
      <c r="I907">
        <v>375</v>
      </c>
      <c r="J907">
        <v>113</v>
      </c>
      <c r="K907">
        <v>568</v>
      </c>
      <c r="L907">
        <v>184</v>
      </c>
      <c r="M907">
        <v>76</v>
      </c>
      <c r="N907">
        <v>520</v>
      </c>
      <c r="O907">
        <v>327</v>
      </c>
      <c r="P907">
        <v>310</v>
      </c>
      <c r="Q907">
        <v>25</v>
      </c>
    </row>
    <row r="908" spans="1:17" x14ac:dyDescent="0.45">
      <c r="A908" t="s">
        <v>47</v>
      </c>
      <c r="B908" t="s">
        <v>20</v>
      </c>
      <c r="C908">
        <v>5</v>
      </c>
      <c r="D908">
        <v>1492</v>
      </c>
      <c r="E908">
        <v>138</v>
      </c>
      <c r="F908">
        <v>85</v>
      </c>
      <c r="G908">
        <v>252</v>
      </c>
      <c r="H908">
        <v>59</v>
      </c>
      <c r="I908">
        <v>418</v>
      </c>
      <c r="J908">
        <v>74</v>
      </c>
      <c r="K908">
        <v>323</v>
      </c>
      <c r="L908">
        <v>138</v>
      </c>
      <c r="M908">
        <v>45</v>
      </c>
      <c r="N908">
        <v>295</v>
      </c>
      <c r="O908">
        <v>256</v>
      </c>
      <c r="P908">
        <v>185</v>
      </c>
      <c r="Q908">
        <v>9</v>
      </c>
    </row>
    <row r="909" spans="1:17" x14ac:dyDescent="0.45">
      <c r="A909" t="s">
        <v>47</v>
      </c>
      <c r="B909" t="s">
        <v>21</v>
      </c>
      <c r="C909">
        <v>5</v>
      </c>
      <c r="D909">
        <v>1854</v>
      </c>
      <c r="E909">
        <v>144</v>
      </c>
      <c r="F909">
        <v>93</v>
      </c>
      <c r="G909">
        <v>337</v>
      </c>
      <c r="H909">
        <v>63</v>
      </c>
      <c r="I909">
        <v>443</v>
      </c>
      <c r="J909">
        <v>81</v>
      </c>
      <c r="K909">
        <v>311</v>
      </c>
      <c r="L909">
        <v>142</v>
      </c>
      <c r="M909">
        <v>63</v>
      </c>
      <c r="N909">
        <v>383</v>
      </c>
      <c r="O909">
        <v>259</v>
      </c>
      <c r="P909">
        <v>204</v>
      </c>
      <c r="Q909">
        <v>8</v>
      </c>
    </row>
    <row r="910" spans="1:17" x14ac:dyDescent="0.45">
      <c r="A910" t="s">
        <v>47</v>
      </c>
      <c r="B910" t="s">
        <v>20</v>
      </c>
      <c r="C910">
        <v>6</v>
      </c>
      <c r="D910">
        <v>1824</v>
      </c>
      <c r="E910">
        <v>138</v>
      </c>
      <c r="F910">
        <v>121</v>
      </c>
      <c r="G910">
        <v>250</v>
      </c>
      <c r="H910">
        <v>56</v>
      </c>
      <c r="I910">
        <v>366</v>
      </c>
      <c r="J910">
        <v>56</v>
      </c>
      <c r="K910">
        <v>131</v>
      </c>
      <c r="L910">
        <v>77</v>
      </c>
      <c r="M910">
        <v>76</v>
      </c>
      <c r="N910">
        <v>189</v>
      </c>
      <c r="O910">
        <v>153</v>
      </c>
      <c r="P910">
        <v>99</v>
      </c>
      <c r="Q910">
        <v>2</v>
      </c>
    </row>
    <row r="911" spans="1:17" x14ac:dyDescent="0.45">
      <c r="A911" t="s">
        <v>47</v>
      </c>
      <c r="B911" t="s">
        <v>21</v>
      </c>
      <c r="C911">
        <v>6</v>
      </c>
      <c r="D911">
        <v>2089</v>
      </c>
      <c r="E911">
        <v>115</v>
      </c>
      <c r="F911">
        <v>138</v>
      </c>
      <c r="G911">
        <v>296</v>
      </c>
      <c r="H911">
        <v>67</v>
      </c>
      <c r="I911">
        <v>428</v>
      </c>
      <c r="J911">
        <v>95</v>
      </c>
      <c r="K911">
        <v>172</v>
      </c>
      <c r="L911">
        <v>110</v>
      </c>
      <c r="M911">
        <v>86</v>
      </c>
      <c r="N911">
        <v>219</v>
      </c>
      <c r="O911">
        <v>188</v>
      </c>
      <c r="P911">
        <v>109</v>
      </c>
      <c r="Q911">
        <v>5</v>
      </c>
    </row>
    <row r="912" spans="1:17" x14ac:dyDescent="0.45">
      <c r="A912" t="s">
        <v>47</v>
      </c>
      <c r="B912" t="s">
        <v>20</v>
      </c>
      <c r="C912">
        <v>7</v>
      </c>
      <c r="D912">
        <v>1573</v>
      </c>
      <c r="E912">
        <v>78</v>
      </c>
      <c r="F912">
        <v>102</v>
      </c>
      <c r="G912">
        <v>160</v>
      </c>
      <c r="H912">
        <v>41</v>
      </c>
      <c r="I912">
        <v>386</v>
      </c>
      <c r="J912">
        <v>44</v>
      </c>
      <c r="K912">
        <v>45</v>
      </c>
      <c r="L912">
        <v>40</v>
      </c>
      <c r="M912">
        <v>47</v>
      </c>
      <c r="N912">
        <v>73</v>
      </c>
      <c r="O912">
        <v>65</v>
      </c>
      <c r="P912">
        <v>44</v>
      </c>
      <c r="Q912">
        <v>8</v>
      </c>
    </row>
    <row r="913" spans="1:17" x14ac:dyDescent="0.45">
      <c r="A913" t="s">
        <v>47</v>
      </c>
      <c r="B913" t="s">
        <v>21</v>
      </c>
      <c r="C913">
        <v>7</v>
      </c>
      <c r="D913">
        <v>2005</v>
      </c>
      <c r="E913">
        <v>66</v>
      </c>
      <c r="F913">
        <v>111</v>
      </c>
      <c r="G913">
        <v>100</v>
      </c>
      <c r="H913">
        <v>108</v>
      </c>
      <c r="I913">
        <v>466</v>
      </c>
      <c r="J913">
        <v>54</v>
      </c>
      <c r="K913">
        <v>74</v>
      </c>
      <c r="L913">
        <v>66</v>
      </c>
      <c r="M913">
        <v>45</v>
      </c>
      <c r="N913">
        <v>70</v>
      </c>
      <c r="O913">
        <v>86</v>
      </c>
      <c r="P913">
        <v>37</v>
      </c>
      <c r="Q913">
        <v>3</v>
      </c>
    </row>
    <row r="914" spans="1:17" x14ac:dyDescent="0.45">
      <c r="A914" t="s">
        <v>47</v>
      </c>
      <c r="B914" t="s">
        <v>20</v>
      </c>
      <c r="C914">
        <v>8</v>
      </c>
      <c r="D914">
        <v>1481</v>
      </c>
      <c r="E914">
        <v>94</v>
      </c>
      <c r="F914">
        <v>95</v>
      </c>
      <c r="G914">
        <v>116</v>
      </c>
      <c r="H914">
        <v>39</v>
      </c>
      <c r="I914">
        <v>405</v>
      </c>
      <c r="J914">
        <v>43</v>
      </c>
      <c r="K914">
        <v>40</v>
      </c>
      <c r="L914">
        <v>14</v>
      </c>
      <c r="M914">
        <v>35</v>
      </c>
      <c r="N914">
        <v>41</v>
      </c>
      <c r="O914">
        <v>40</v>
      </c>
      <c r="P914">
        <v>16</v>
      </c>
      <c r="Q914">
        <v>0</v>
      </c>
    </row>
    <row r="915" spans="1:17" x14ac:dyDescent="0.45">
      <c r="A915" t="s">
        <v>47</v>
      </c>
      <c r="B915" t="s">
        <v>21</v>
      </c>
      <c r="C915">
        <v>8</v>
      </c>
      <c r="D915">
        <v>1651</v>
      </c>
      <c r="E915">
        <v>73</v>
      </c>
      <c r="F915">
        <v>73</v>
      </c>
      <c r="G915">
        <v>119</v>
      </c>
      <c r="H915">
        <v>11</v>
      </c>
      <c r="I915">
        <v>422</v>
      </c>
      <c r="J915">
        <v>45</v>
      </c>
      <c r="K915">
        <v>31</v>
      </c>
      <c r="L915">
        <v>24</v>
      </c>
      <c r="M915">
        <v>48</v>
      </c>
      <c r="N915">
        <v>33</v>
      </c>
      <c r="O915">
        <v>20</v>
      </c>
      <c r="P915">
        <v>13</v>
      </c>
      <c r="Q915">
        <v>0</v>
      </c>
    </row>
    <row r="916" spans="1:17" x14ac:dyDescent="0.45">
      <c r="A916" t="s">
        <v>47</v>
      </c>
      <c r="B916" t="s">
        <v>20</v>
      </c>
      <c r="C916">
        <v>9</v>
      </c>
      <c r="D916">
        <v>1827</v>
      </c>
      <c r="E916">
        <v>63</v>
      </c>
      <c r="F916">
        <v>68</v>
      </c>
      <c r="G916">
        <v>62</v>
      </c>
      <c r="H916">
        <v>87</v>
      </c>
      <c r="I916">
        <v>470</v>
      </c>
      <c r="J916">
        <v>62</v>
      </c>
      <c r="K916">
        <v>23</v>
      </c>
      <c r="L916">
        <v>21</v>
      </c>
      <c r="M916">
        <v>62</v>
      </c>
      <c r="N916">
        <v>26</v>
      </c>
      <c r="O916">
        <v>29</v>
      </c>
      <c r="P916">
        <v>13</v>
      </c>
      <c r="Q916">
        <v>0</v>
      </c>
    </row>
    <row r="917" spans="1:17" x14ac:dyDescent="0.45">
      <c r="A917" t="s">
        <v>47</v>
      </c>
      <c r="B917" t="s">
        <v>21</v>
      </c>
      <c r="C917">
        <v>9</v>
      </c>
      <c r="D917">
        <v>1842</v>
      </c>
      <c r="E917">
        <v>79</v>
      </c>
      <c r="F917">
        <v>107</v>
      </c>
      <c r="G917">
        <v>163</v>
      </c>
      <c r="H917">
        <v>16</v>
      </c>
      <c r="I917">
        <v>369</v>
      </c>
      <c r="J917">
        <v>53</v>
      </c>
      <c r="K917">
        <v>27</v>
      </c>
      <c r="L917">
        <v>23</v>
      </c>
      <c r="M917">
        <v>50</v>
      </c>
      <c r="N917">
        <v>47</v>
      </c>
      <c r="O917">
        <v>47</v>
      </c>
      <c r="P917">
        <v>12</v>
      </c>
      <c r="Q917">
        <v>0</v>
      </c>
    </row>
    <row r="918" spans="1:17" x14ac:dyDescent="0.45">
      <c r="A918" t="s">
        <v>47</v>
      </c>
      <c r="B918" t="s">
        <v>20</v>
      </c>
      <c r="C918">
        <v>10</v>
      </c>
      <c r="D918">
        <v>2154</v>
      </c>
      <c r="E918">
        <v>150</v>
      </c>
      <c r="F918">
        <v>147</v>
      </c>
      <c r="G918">
        <v>107</v>
      </c>
      <c r="H918">
        <v>141</v>
      </c>
      <c r="I918">
        <v>578</v>
      </c>
      <c r="J918">
        <v>90</v>
      </c>
      <c r="K918">
        <v>53</v>
      </c>
      <c r="L918">
        <v>68</v>
      </c>
      <c r="M918">
        <v>77</v>
      </c>
      <c r="N918">
        <v>62</v>
      </c>
      <c r="O918">
        <v>72</v>
      </c>
      <c r="P918">
        <v>32</v>
      </c>
      <c r="Q918">
        <v>0</v>
      </c>
    </row>
    <row r="919" spans="1:17" x14ac:dyDescent="0.45">
      <c r="A919" t="s">
        <v>47</v>
      </c>
      <c r="B919" t="s">
        <v>21</v>
      </c>
      <c r="C919">
        <v>10</v>
      </c>
      <c r="D919">
        <v>2363</v>
      </c>
      <c r="E919">
        <v>143</v>
      </c>
      <c r="F919">
        <v>173</v>
      </c>
      <c r="G919">
        <v>280</v>
      </c>
      <c r="H919">
        <v>33</v>
      </c>
      <c r="I919">
        <v>592</v>
      </c>
      <c r="J919">
        <v>93</v>
      </c>
      <c r="K919">
        <v>99</v>
      </c>
      <c r="L919">
        <v>63</v>
      </c>
      <c r="M919">
        <v>83</v>
      </c>
      <c r="N919">
        <v>69</v>
      </c>
      <c r="O919">
        <v>76</v>
      </c>
      <c r="P919">
        <v>31</v>
      </c>
      <c r="Q919">
        <v>4</v>
      </c>
    </row>
    <row r="920" spans="1:17" x14ac:dyDescent="0.45">
      <c r="A920" t="s">
        <v>47</v>
      </c>
      <c r="B920" t="s">
        <v>20</v>
      </c>
      <c r="C920">
        <v>11</v>
      </c>
      <c r="D920">
        <v>1887</v>
      </c>
      <c r="E920">
        <v>122</v>
      </c>
      <c r="F920">
        <v>97</v>
      </c>
      <c r="G920">
        <v>221</v>
      </c>
      <c r="H920">
        <v>94</v>
      </c>
      <c r="I920">
        <v>452</v>
      </c>
      <c r="J920">
        <v>73</v>
      </c>
      <c r="K920">
        <v>90</v>
      </c>
      <c r="L920">
        <v>38</v>
      </c>
      <c r="M920">
        <v>62</v>
      </c>
      <c r="N920">
        <v>60</v>
      </c>
      <c r="O920">
        <v>66</v>
      </c>
      <c r="P920">
        <v>37</v>
      </c>
      <c r="Q920">
        <v>0</v>
      </c>
    </row>
    <row r="921" spans="1:17" x14ac:dyDescent="0.45">
      <c r="A921" t="s">
        <v>47</v>
      </c>
      <c r="B921" t="s">
        <v>21</v>
      </c>
      <c r="C921">
        <v>11</v>
      </c>
      <c r="D921">
        <v>2114</v>
      </c>
      <c r="E921">
        <v>138</v>
      </c>
      <c r="F921">
        <v>80</v>
      </c>
      <c r="G921">
        <v>178</v>
      </c>
      <c r="H921">
        <v>116</v>
      </c>
      <c r="I921">
        <v>476</v>
      </c>
      <c r="J921">
        <v>55</v>
      </c>
      <c r="K921">
        <v>86</v>
      </c>
      <c r="L921">
        <v>49</v>
      </c>
      <c r="M921">
        <v>54</v>
      </c>
      <c r="N921">
        <v>83</v>
      </c>
      <c r="O921">
        <v>95</v>
      </c>
      <c r="P921">
        <v>24</v>
      </c>
      <c r="Q921">
        <v>0</v>
      </c>
    </row>
    <row r="922" spans="1:17" x14ac:dyDescent="0.45">
      <c r="A922" t="s">
        <v>47</v>
      </c>
      <c r="B922" t="s">
        <v>20</v>
      </c>
      <c r="C922">
        <v>12</v>
      </c>
      <c r="D922">
        <v>1909</v>
      </c>
      <c r="E922">
        <v>89</v>
      </c>
      <c r="F922">
        <v>59</v>
      </c>
      <c r="G922">
        <v>334</v>
      </c>
      <c r="H922">
        <v>28</v>
      </c>
      <c r="I922">
        <v>371</v>
      </c>
      <c r="J922">
        <v>59</v>
      </c>
      <c r="K922">
        <v>142</v>
      </c>
      <c r="L922">
        <v>52</v>
      </c>
      <c r="M922">
        <v>54</v>
      </c>
      <c r="N922">
        <v>93</v>
      </c>
      <c r="O922">
        <v>103</v>
      </c>
      <c r="P922">
        <v>38</v>
      </c>
      <c r="Q922">
        <v>3</v>
      </c>
    </row>
    <row r="923" spans="1:17" x14ac:dyDescent="0.45">
      <c r="A923" t="s">
        <v>47</v>
      </c>
      <c r="B923" t="s">
        <v>21</v>
      </c>
      <c r="C923">
        <v>12</v>
      </c>
      <c r="D923">
        <v>2087</v>
      </c>
      <c r="E923">
        <v>87</v>
      </c>
      <c r="F923">
        <v>65</v>
      </c>
      <c r="G923">
        <v>366</v>
      </c>
      <c r="H923">
        <v>54</v>
      </c>
      <c r="I923">
        <v>408</v>
      </c>
      <c r="J923">
        <v>58</v>
      </c>
      <c r="K923">
        <v>120</v>
      </c>
      <c r="L923">
        <v>43</v>
      </c>
      <c r="M923">
        <v>61</v>
      </c>
      <c r="N923">
        <v>105</v>
      </c>
      <c r="O923">
        <v>83</v>
      </c>
      <c r="P923">
        <v>41</v>
      </c>
      <c r="Q923">
        <v>2</v>
      </c>
    </row>
    <row r="924" spans="1:17" x14ac:dyDescent="0.45">
      <c r="A924" t="s">
        <v>52</v>
      </c>
      <c r="B924" t="s">
        <v>20</v>
      </c>
      <c r="C924">
        <v>1</v>
      </c>
      <c r="D924">
        <v>330</v>
      </c>
      <c r="E924">
        <v>34</v>
      </c>
      <c r="F924">
        <v>4</v>
      </c>
      <c r="G924">
        <v>55</v>
      </c>
      <c r="H924">
        <v>6</v>
      </c>
      <c r="I924">
        <v>53</v>
      </c>
      <c r="J924">
        <v>9</v>
      </c>
      <c r="K924">
        <v>43</v>
      </c>
      <c r="L924">
        <v>16</v>
      </c>
      <c r="M924">
        <v>7</v>
      </c>
      <c r="N924">
        <v>16</v>
      </c>
      <c r="O924">
        <v>11</v>
      </c>
      <c r="P924">
        <v>12</v>
      </c>
      <c r="Q924">
        <v>3</v>
      </c>
    </row>
    <row r="925" spans="1:17" x14ac:dyDescent="0.45">
      <c r="A925" t="s">
        <v>52</v>
      </c>
      <c r="B925" t="s">
        <v>21</v>
      </c>
      <c r="C925">
        <v>1</v>
      </c>
      <c r="D925">
        <v>357</v>
      </c>
      <c r="E925">
        <v>16</v>
      </c>
      <c r="F925">
        <v>13</v>
      </c>
      <c r="G925">
        <v>60</v>
      </c>
      <c r="H925">
        <v>8</v>
      </c>
      <c r="I925">
        <v>76</v>
      </c>
      <c r="J925">
        <v>12</v>
      </c>
      <c r="K925">
        <v>55</v>
      </c>
      <c r="L925">
        <v>22</v>
      </c>
      <c r="M925">
        <v>18</v>
      </c>
      <c r="N925">
        <v>22</v>
      </c>
      <c r="O925">
        <v>39</v>
      </c>
      <c r="P925">
        <v>7</v>
      </c>
      <c r="Q925">
        <v>0</v>
      </c>
    </row>
    <row r="926" spans="1:17" x14ac:dyDescent="0.45">
      <c r="A926" t="s">
        <v>52</v>
      </c>
      <c r="B926" t="s">
        <v>20</v>
      </c>
      <c r="C926">
        <v>2</v>
      </c>
      <c r="D926">
        <v>297</v>
      </c>
      <c r="E926">
        <v>14</v>
      </c>
      <c r="F926">
        <v>4</v>
      </c>
      <c r="G926">
        <v>35</v>
      </c>
      <c r="H926">
        <v>22</v>
      </c>
      <c r="I926">
        <v>63</v>
      </c>
      <c r="J926">
        <v>6</v>
      </c>
      <c r="K926">
        <v>37</v>
      </c>
      <c r="L926">
        <v>10</v>
      </c>
      <c r="M926">
        <v>8</v>
      </c>
      <c r="N926">
        <v>17</v>
      </c>
      <c r="O926">
        <v>19</v>
      </c>
      <c r="P926">
        <v>7</v>
      </c>
      <c r="Q926">
        <v>3</v>
      </c>
    </row>
    <row r="927" spans="1:17" x14ac:dyDescent="0.45">
      <c r="A927" t="s">
        <v>52</v>
      </c>
      <c r="B927" t="s">
        <v>21</v>
      </c>
      <c r="C927">
        <v>2</v>
      </c>
      <c r="D927">
        <v>355</v>
      </c>
      <c r="E927">
        <v>26</v>
      </c>
      <c r="F927">
        <v>8</v>
      </c>
      <c r="G927">
        <v>36</v>
      </c>
      <c r="H927">
        <v>23</v>
      </c>
      <c r="I927">
        <v>63</v>
      </c>
      <c r="J927">
        <v>1</v>
      </c>
      <c r="K927">
        <v>38</v>
      </c>
      <c r="L927">
        <v>10</v>
      </c>
      <c r="M927">
        <v>7</v>
      </c>
      <c r="N927">
        <v>11</v>
      </c>
      <c r="O927">
        <v>17</v>
      </c>
      <c r="P927">
        <v>4</v>
      </c>
      <c r="Q927">
        <v>4</v>
      </c>
    </row>
    <row r="928" spans="1:17" x14ac:dyDescent="0.45">
      <c r="A928" t="s">
        <v>52</v>
      </c>
      <c r="B928" t="s">
        <v>20</v>
      </c>
      <c r="C928">
        <v>3</v>
      </c>
      <c r="D928">
        <v>378</v>
      </c>
      <c r="E928">
        <v>36</v>
      </c>
      <c r="F928">
        <v>34</v>
      </c>
      <c r="G928">
        <v>105</v>
      </c>
      <c r="H928">
        <v>5</v>
      </c>
      <c r="I928">
        <v>87</v>
      </c>
      <c r="J928">
        <v>17</v>
      </c>
      <c r="K928">
        <v>118</v>
      </c>
      <c r="L928">
        <v>24</v>
      </c>
      <c r="M928">
        <v>6</v>
      </c>
      <c r="N928">
        <v>84</v>
      </c>
      <c r="O928">
        <v>65</v>
      </c>
      <c r="P928">
        <v>60</v>
      </c>
      <c r="Q928">
        <v>2</v>
      </c>
    </row>
    <row r="929" spans="1:17" x14ac:dyDescent="0.45">
      <c r="A929" t="s">
        <v>52</v>
      </c>
      <c r="B929" t="s">
        <v>21</v>
      </c>
      <c r="C929">
        <v>3</v>
      </c>
      <c r="D929">
        <v>444</v>
      </c>
      <c r="E929">
        <v>39</v>
      </c>
      <c r="F929">
        <v>22</v>
      </c>
      <c r="G929">
        <v>94</v>
      </c>
      <c r="H929">
        <v>21</v>
      </c>
      <c r="I929">
        <v>105</v>
      </c>
      <c r="J929">
        <v>29</v>
      </c>
      <c r="K929">
        <v>170</v>
      </c>
      <c r="L929">
        <v>36</v>
      </c>
      <c r="M929">
        <v>16</v>
      </c>
      <c r="N929">
        <v>110</v>
      </c>
      <c r="O929">
        <v>86</v>
      </c>
      <c r="P929">
        <v>73</v>
      </c>
      <c r="Q929">
        <v>8</v>
      </c>
    </row>
    <row r="930" spans="1:17" x14ac:dyDescent="0.45">
      <c r="A930" t="s">
        <v>52</v>
      </c>
      <c r="B930" t="s">
        <v>20</v>
      </c>
      <c r="C930">
        <v>4</v>
      </c>
      <c r="D930">
        <v>334</v>
      </c>
      <c r="E930">
        <v>53</v>
      </c>
      <c r="F930">
        <v>53</v>
      </c>
      <c r="G930">
        <v>113</v>
      </c>
      <c r="H930">
        <v>25</v>
      </c>
      <c r="I930">
        <v>120</v>
      </c>
      <c r="J930">
        <v>52</v>
      </c>
      <c r="K930">
        <v>256</v>
      </c>
      <c r="L930">
        <v>97</v>
      </c>
      <c r="M930">
        <v>66</v>
      </c>
      <c r="N930">
        <v>213</v>
      </c>
      <c r="O930">
        <v>157</v>
      </c>
      <c r="P930">
        <v>128</v>
      </c>
      <c r="Q930">
        <v>5</v>
      </c>
    </row>
    <row r="931" spans="1:17" x14ac:dyDescent="0.45">
      <c r="A931" t="s">
        <v>52</v>
      </c>
      <c r="B931" t="s">
        <v>21</v>
      </c>
      <c r="C931">
        <v>4</v>
      </c>
      <c r="D931">
        <v>499</v>
      </c>
      <c r="E931">
        <v>50</v>
      </c>
      <c r="F931">
        <v>30</v>
      </c>
      <c r="G931">
        <v>108</v>
      </c>
      <c r="H931">
        <v>46</v>
      </c>
      <c r="I931">
        <v>124</v>
      </c>
      <c r="J931">
        <v>31</v>
      </c>
      <c r="K931">
        <v>215</v>
      </c>
      <c r="L931">
        <v>93</v>
      </c>
      <c r="M931">
        <v>31</v>
      </c>
      <c r="N931">
        <v>184</v>
      </c>
      <c r="O931">
        <v>131</v>
      </c>
      <c r="P931">
        <v>85</v>
      </c>
      <c r="Q931">
        <v>12</v>
      </c>
    </row>
    <row r="932" spans="1:17" x14ac:dyDescent="0.45">
      <c r="A932" t="s">
        <v>52</v>
      </c>
      <c r="B932" t="s">
        <v>20</v>
      </c>
      <c r="C932">
        <v>5</v>
      </c>
      <c r="D932">
        <v>318</v>
      </c>
      <c r="E932">
        <v>44</v>
      </c>
      <c r="F932">
        <v>38</v>
      </c>
      <c r="G932">
        <v>92</v>
      </c>
      <c r="H932">
        <v>20</v>
      </c>
      <c r="I932">
        <v>78</v>
      </c>
      <c r="J932">
        <v>30</v>
      </c>
      <c r="K932">
        <v>139</v>
      </c>
      <c r="L932">
        <v>58</v>
      </c>
      <c r="M932">
        <v>34</v>
      </c>
      <c r="N932">
        <v>91</v>
      </c>
      <c r="O932">
        <v>58</v>
      </c>
      <c r="P932">
        <v>50</v>
      </c>
      <c r="Q932">
        <v>0</v>
      </c>
    </row>
    <row r="933" spans="1:17" x14ac:dyDescent="0.45">
      <c r="A933" t="s">
        <v>52</v>
      </c>
      <c r="B933" t="s">
        <v>21</v>
      </c>
      <c r="C933">
        <v>5</v>
      </c>
      <c r="D933">
        <v>430</v>
      </c>
      <c r="E933">
        <v>33</v>
      </c>
      <c r="F933">
        <v>35</v>
      </c>
      <c r="G933">
        <v>80</v>
      </c>
      <c r="H933">
        <v>20</v>
      </c>
      <c r="I933">
        <v>115</v>
      </c>
      <c r="J933">
        <v>32</v>
      </c>
      <c r="K933">
        <v>160</v>
      </c>
      <c r="L933">
        <v>57</v>
      </c>
      <c r="M933">
        <v>14</v>
      </c>
      <c r="N933">
        <v>101</v>
      </c>
      <c r="O933">
        <v>79</v>
      </c>
      <c r="P933">
        <v>58</v>
      </c>
      <c r="Q933">
        <v>0</v>
      </c>
    </row>
    <row r="934" spans="1:17" x14ac:dyDescent="0.45">
      <c r="A934" t="s">
        <v>52</v>
      </c>
      <c r="B934" t="s">
        <v>20</v>
      </c>
      <c r="C934">
        <v>6</v>
      </c>
      <c r="D934">
        <v>358</v>
      </c>
      <c r="E934">
        <v>34</v>
      </c>
      <c r="F934">
        <v>42</v>
      </c>
      <c r="G934">
        <v>67</v>
      </c>
      <c r="H934">
        <v>28</v>
      </c>
      <c r="I934">
        <v>113</v>
      </c>
      <c r="J934">
        <v>32</v>
      </c>
      <c r="K934">
        <v>77</v>
      </c>
      <c r="L934">
        <v>34</v>
      </c>
      <c r="M934">
        <v>36</v>
      </c>
      <c r="N934">
        <v>74</v>
      </c>
      <c r="O934">
        <v>81</v>
      </c>
      <c r="P934">
        <v>51</v>
      </c>
      <c r="Q934">
        <v>0</v>
      </c>
    </row>
    <row r="935" spans="1:17" x14ac:dyDescent="0.45">
      <c r="A935" t="s">
        <v>52</v>
      </c>
      <c r="B935" t="s">
        <v>21</v>
      </c>
      <c r="C935">
        <v>6</v>
      </c>
      <c r="D935">
        <v>477</v>
      </c>
      <c r="E935">
        <v>46</v>
      </c>
      <c r="F935">
        <v>38</v>
      </c>
      <c r="G935">
        <v>89</v>
      </c>
      <c r="H935">
        <v>24</v>
      </c>
      <c r="I935">
        <v>103</v>
      </c>
      <c r="J935">
        <v>7</v>
      </c>
      <c r="K935">
        <v>46</v>
      </c>
      <c r="L935">
        <v>39</v>
      </c>
      <c r="M935">
        <v>34</v>
      </c>
      <c r="N935">
        <v>65</v>
      </c>
      <c r="O935">
        <v>63</v>
      </c>
      <c r="P935">
        <v>35</v>
      </c>
      <c r="Q935">
        <v>2</v>
      </c>
    </row>
    <row r="936" spans="1:17" x14ac:dyDescent="0.45">
      <c r="A936" t="s">
        <v>52</v>
      </c>
      <c r="B936" t="s">
        <v>20</v>
      </c>
      <c r="C936">
        <v>7</v>
      </c>
      <c r="D936">
        <v>352</v>
      </c>
      <c r="E936">
        <v>41</v>
      </c>
      <c r="F936">
        <v>43</v>
      </c>
      <c r="G936">
        <v>47</v>
      </c>
      <c r="H936">
        <v>13</v>
      </c>
      <c r="I936">
        <v>118</v>
      </c>
      <c r="J936">
        <v>22</v>
      </c>
      <c r="K936">
        <v>39</v>
      </c>
      <c r="L936">
        <v>13</v>
      </c>
      <c r="M936">
        <v>19</v>
      </c>
      <c r="N936">
        <v>10</v>
      </c>
      <c r="O936">
        <v>24</v>
      </c>
      <c r="P936">
        <v>9</v>
      </c>
      <c r="Q936">
        <v>0</v>
      </c>
    </row>
    <row r="937" spans="1:17" x14ac:dyDescent="0.45">
      <c r="A937" t="s">
        <v>52</v>
      </c>
      <c r="B937" t="s">
        <v>21</v>
      </c>
      <c r="C937">
        <v>7</v>
      </c>
      <c r="D937">
        <v>436</v>
      </c>
      <c r="E937">
        <v>16</v>
      </c>
      <c r="F937">
        <v>50</v>
      </c>
      <c r="G937">
        <v>38</v>
      </c>
      <c r="H937">
        <v>29</v>
      </c>
      <c r="I937">
        <v>136</v>
      </c>
      <c r="J937">
        <v>19</v>
      </c>
      <c r="K937">
        <v>18</v>
      </c>
      <c r="L937">
        <v>16</v>
      </c>
      <c r="M937">
        <v>17</v>
      </c>
      <c r="N937">
        <v>37</v>
      </c>
      <c r="O937">
        <v>44</v>
      </c>
      <c r="P937">
        <v>12</v>
      </c>
      <c r="Q937">
        <v>0</v>
      </c>
    </row>
    <row r="938" spans="1:17" x14ac:dyDescent="0.45">
      <c r="A938" t="s">
        <v>52</v>
      </c>
      <c r="B938" t="s">
        <v>20</v>
      </c>
      <c r="C938">
        <v>8</v>
      </c>
      <c r="D938">
        <v>367</v>
      </c>
      <c r="E938">
        <v>28</v>
      </c>
      <c r="F938">
        <v>26</v>
      </c>
      <c r="G938">
        <v>21</v>
      </c>
      <c r="H938">
        <v>9</v>
      </c>
      <c r="I938">
        <v>108</v>
      </c>
      <c r="J938">
        <v>5</v>
      </c>
      <c r="K938">
        <v>10</v>
      </c>
      <c r="L938">
        <v>18</v>
      </c>
      <c r="M938">
        <v>9</v>
      </c>
      <c r="N938">
        <v>8</v>
      </c>
      <c r="O938">
        <v>16</v>
      </c>
      <c r="P938">
        <v>4</v>
      </c>
      <c r="Q938">
        <v>0</v>
      </c>
    </row>
    <row r="939" spans="1:17" x14ac:dyDescent="0.45">
      <c r="A939" t="s">
        <v>52</v>
      </c>
      <c r="B939" t="s">
        <v>21</v>
      </c>
      <c r="C939">
        <v>8</v>
      </c>
      <c r="D939">
        <v>347</v>
      </c>
      <c r="E939">
        <v>34</v>
      </c>
      <c r="F939">
        <v>31</v>
      </c>
      <c r="G939">
        <v>21</v>
      </c>
      <c r="H939">
        <v>5</v>
      </c>
      <c r="I939">
        <v>125</v>
      </c>
      <c r="J939">
        <v>7</v>
      </c>
      <c r="K939">
        <v>16</v>
      </c>
      <c r="L939">
        <v>12</v>
      </c>
      <c r="M939">
        <v>16</v>
      </c>
      <c r="N939">
        <v>18</v>
      </c>
      <c r="O939">
        <v>20</v>
      </c>
      <c r="P939">
        <v>8</v>
      </c>
      <c r="Q939">
        <v>0</v>
      </c>
    </row>
    <row r="940" spans="1:17" x14ac:dyDescent="0.45">
      <c r="A940" t="s">
        <v>52</v>
      </c>
      <c r="B940" t="s">
        <v>20</v>
      </c>
      <c r="C940">
        <v>9</v>
      </c>
      <c r="D940">
        <v>357</v>
      </c>
      <c r="E940">
        <v>44</v>
      </c>
      <c r="F940">
        <v>40</v>
      </c>
      <c r="G940">
        <v>34</v>
      </c>
      <c r="H940">
        <v>10</v>
      </c>
      <c r="I940">
        <v>106</v>
      </c>
      <c r="J940">
        <v>16</v>
      </c>
      <c r="K940">
        <v>11</v>
      </c>
      <c r="L940">
        <v>3</v>
      </c>
      <c r="M940">
        <v>13</v>
      </c>
      <c r="N940">
        <v>6</v>
      </c>
      <c r="O940">
        <v>13</v>
      </c>
      <c r="P940">
        <v>7</v>
      </c>
      <c r="Q940">
        <v>0</v>
      </c>
    </row>
    <row r="941" spans="1:17" x14ac:dyDescent="0.45">
      <c r="A941" t="s">
        <v>52</v>
      </c>
      <c r="B941" t="s">
        <v>21</v>
      </c>
      <c r="C941">
        <v>9</v>
      </c>
      <c r="D941">
        <v>431</v>
      </c>
      <c r="E941">
        <v>25</v>
      </c>
      <c r="F941">
        <v>40</v>
      </c>
      <c r="G941">
        <v>28</v>
      </c>
      <c r="H941">
        <v>8</v>
      </c>
      <c r="I941">
        <v>93</v>
      </c>
      <c r="J941">
        <v>8</v>
      </c>
      <c r="K941">
        <v>13</v>
      </c>
      <c r="L941">
        <v>11</v>
      </c>
      <c r="M941">
        <v>24</v>
      </c>
      <c r="N941">
        <v>12</v>
      </c>
      <c r="O941">
        <v>12</v>
      </c>
      <c r="P941">
        <v>8</v>
      </c>
      <c r="Q941">
        <v>1</v>
      </c>
    </row>
    <row r="942" spans="1:17" x14ac:dyDescent="0.45">
      <c r="A942" t="s">
        <v>52</v>
      </c>
      <c r="B942" t="s">
        <v>20</v>
      </c>
      <c r="C942">
        <v>10</v>
      </c>
      <c r="D942">
        <v>461</v>
      </c>
      <c r="E942">
        <v>55</v>
      </c>
      <c r="F942">
        <v>88</v>
      </c>
      <c r="G942">
        <v>52</v>
      </c>
      <c r="H942">
        <v>44</v>
      </c>
      <c r="I942">
        <v>164</v>
      </c>
      <c r="J942">
        <v>32</v>
      </c>
      <c r="K942">
        <v>30</v>
      </c>
      <c r="L942">
        <v>35</v>
      </c>
      <c r="M942">
        <v>44</v>
      </c>
      <c r="N942">
        <v>32</v>
      </c>
      <c r="O942">
        <v>29</v>
      </c>
      <c r="P942">
        <v>14</v>
      </c>
      <c r="Q942">
        <v>0</v>
      </c>
    </row>
    <row r="943" spans="1:17" x14ac:dyDescent="0.45">
      <c r="A943" t="s">
        <v>52</v>
      </c>
      <c r="B943" t="s">
        <v>21</v>
      </c>
      <c r="C943">
        <v>10</v>
      </c>
      <c r="D943">
        <v>600</v>
      </c>
      <c r="E943">
        <v>35</v>
      </c>
      <c r="F943">
        <v>60</v>
      </c>
      <c r="G943">
        <v>89</v>
      </c>
      <c r="H943">
        <v>23</v>
      </c>
      <c r="I943">
        <v>149</v>
      </c>
      <c r="J943">
        <v>18</v>
      </c>
      <c r="K943">
        <v>20</v>
      </c>
      <c r="L943">
        <v>20</v>
      </c>
      <c r="M943">
        <v>34</v>
      </c>
      <c r="N943">
        <v>18</v>
      </c>
      <c r="O943">
        <v>10</v>
      </c>
      <c r="P943">
        <v>11</v>
      </c>
      <c r="Q943">
        <v>0</v>
      </c>
    </row>
    <row r="944" spans="1:17" x14ac:dyDescent="0.45">
      <c r="A944" t="s">
        <v>52</v>
      </c>
      <c r="B944" t="s">
        <v>20</v>
      </c>
      <c r="C944">
        <v>11</v>
      </c>
      <c r="D944">
        <v>377</v>
      </c>
      <c r="E944">
        <v>27</v>
      </c>
      <c r="F944">
        <v>30</v>
      </c>
      <c r="G944">
        <v>34</v>
      </c>
      <c r="H944">
        <v>33</v>
      </c>
      <c r="I944">
        <v>96</v>
      </c>
      <c r="J944">
        <v>16</v>
      </c>
      <c r="K944">
        <v>27</v>
      </c>
      <c r="L944">
        <v>32</v>
      </c>
      <c r="M944">
        <v>19</v>
      </c>
      <c r="N944">
        <v>32</v>
      </c>
      <c r="O944">
        <v>20</v>
      </c>
      <c r="P944">
        <v>6</v>
      </c>
      <c r="Q944">
        <v>0</v>
      </c>
    </row>
    <row r="945" spans="1:17" x14ac:dyDescent="0.45">
      <c r="A945" t="s">
        <v>52</v>
      </c>
      <c r="B945" t="s">
        <v>21</v>
      </c>
      <c r="C945">
        <v>11</v>
      </c>
      <c r="D945">
        <v>479</v>
      </c>
      <c r="E945">
        <v>36</v>
      </c>
      <c r="F945">
        <v>21</v>
      </c>
      <c r="G945">
        <v>65</v>
      </c>
      <c r="H945">
        <v>29</v>
      </c>
      <c r="I945">
        <v>134</v>
      </c>
      <c r="J945">
        <v>14</v>
      </c>
      <c r="K945">
        <v>28</v>
      </c>
      <c r="L945">
        <v>20</v>
      </c>
      <c r="M945">
        <v>14</v>
      </c>
      <c r="N945">
        <v>10</v>
      </c>
      <c r="O945">
        <v>22</v>
      </c>
      <c r="P945">
        <v>3</v>
      </c>
      <c r="Q945">
        <v>1</v>
      </c>
    </row>
    <row r="946" spans="1:17" x14ac:dyDescent="0.45">
      <c r="A946" t="s">
        <v>52</v>
      </c>
      <c r="B946" t="s">
        <v>20</v>
      </c>
      <c r="C946">
        <v>12</v>
      </c>
      <c r="D946">
        <v>368</v>
      </c>
      <c r="E946">
        <v>35</v>
      </c>
      <c r="F946">
        <v>25</v>
      </c>
      <c r="G946">
        <v>70</v>
      </c>
      <c r="H946">
        <v>28</v>
      </c>
      <c r="I946">
        <v>94</v>
      </c>
      <c r="J946">
        <v>21</v>
      </c>
      <c r="K946">
        <v>62</v>
      </c>
      <c r="L946">
        <v>26</v>
      </c>
      <c r="M946">
        <v>20</v>
      </c>
      <c r="N946">
        <v>31</v>
      </c>
      <c r="O946">
        <v>33</v>
      </c>
      <c r="P946">
        <v>10</v>
      </c>
      <c r="Q946">
        <v>0</v>
      </c>
    </row>
    <row r="947" spans="1:17" x14ac:dyDescent="0.45">
      <c r="A947" t="s">
        <v>52</v>
      </c>
      <c r="B947" t="s">
        <v>21</v>
      </c>
      <c r="C947">
        <v>12</v>
      </c>
      <c r="D947">
        <v>472</v>
      </c>
      <c r="E947">
        <v>35</v>
      </c>
      <c r="F947">
        <v>13</v>
      </c>
      <c r="G947">
        <v>71</v>
      </c>
      <c r="H947">
        <v>23</v>
      </c>
      <c r="I947">
        <v>87</v>
      </c>
      <c r="J947">
        <v>18</v>
      </c>
      <c r="K947">
        <v>47</v>
      </c>
      <c r="L947">
        <v>31</v>
      </c>
      <c r="M947">
        <v>22</v>
      </c>
      <c r="N947">
        <v>35</v>
      </c>
      <c r="O947">
        <v>36</v>
      </c>
      <c r="P947">
        <v>18</v>
      </c>
      <c r="Q947">
        <v>2</v>
      </c>
    </row>
    <row r="948" spans="1:17" x14ac:dyDescent="0.45">
      <c r="A948" t="s">
        <v>87</v>
      </c>
      <c r="B948" t="s">
        <v>20</v>
      </c>
      <c r="C948">
        <v>6</v>
      </c>
      <c r="D948">
        <v>923</v>
      </c>
      <c r="E948">
        <v>67</v>
      </c>
      <c r="F948">
        <v>45</v>
      </c>
      <c r="G948">
        <v>211</v>
      </c>
      <c r="H948">
        <v>33</v>
      </c>
      <c r="I948">
        <v>240</v>
      </c>
      <c r="J948">
        <v>33</v>
      </c>
      <c r="K948">
        <v>94</v>
      </c>
      <c r="L948">
        <v>63</v>
      </c>
      <c r="M948">
        <v>44</v>
      </c>
      <c r="N948">
        <v>170</v>
      </c>
      <c r="O948">
        <v>100</v>
      </c>
      <c r="P948">
        <v>112</v>
      </c>
      <c r="Q948">
        <v>5</v>
      </c>
    </row>
    <row r="949" spans="1:17" x14ac:dyDescent="0.45">
      <c r="A949" t="s">
        <v>87</v>
      </c>
      <c r="B949" t="s">
        <v>21</v>
      </c>
      <c r="C949">
        <v>6</v>
      </c>
      <c r="D949">
        <v>818</v>
      </c>
      <c r="E949">
        <v>67</v>
      </c>
      <c r="F949">
        <v>36</v>
      </c>
      <c r="G949">
        <v>88</v>
      </c>
      <c r="H949">
        <v>33</v>
      </c>
      <c r="I949">
        <v>178</v>
      </c>
      <c r="J949">
        <v>39</v>
      </c>
      <c r="K949">
        <v>73</v>
      </c>
      <c r="L949">
        <v>42</v>
      </c>
      <c r="M949">
        <v>37</v>
      </c>
      <c r="N949">
        <v>80</v>
      </c>
      <c r="O949">
        <v>69</v>
      </c>
      <c r="P949">
        <v>20</v>
      </c>
      <c r="Q949">
        <v>4</v>
      </c>
    </row>
    <row r="950" spans="1:17" x14ac:dyDescent="0.45">
      <c r="A950" t="s">
        <v>87</v>
      </c>
      <c r="B950" t="s">
        <v>20</v>
      </c>
      <c r="C950">
        <v>7</v>
      </c>
      <c r="D950">
        <v>773</v>
      </c>
      <c r="E950">
        <v>62</v>
      </c>
      <c r="F950">
        <v>32</v>
      </c>
      <c r="G950">
        <v>68</v>
      </c>
      <c r="H950">
        <v>21</v>
      </c>
      <c r="I950">
        <v>192</v>
      </c>
      <c r="J950">
        <v>26</v>
      </c>
      <c r="K950">
        <v>27</v>
      </c>
      <c r="L950">
        <v>17</v>
      </c>
      <c r="M950">
        <v>42</v>
      </c>
      <c r="N950">
        <v>32</v>
      </c>
      <c r="O950">
        <v>26</v>
      </c>
      <c r="P950">
        <v>12</v>
      </c>
      <c r="Q950">
        <v>0</v>
      </c>
    </row>
    <row r="951" spans="1:17" x14ac:dyDescent="0.45">
      <c r="A951" t="s">
        <v>87</v>
      </c>
      <c r="B951" t="s">
        <v>21</v>
      </c>
      <c r="C951">
        <v>7</v>
      </c>
      <c r="D951">
        <v>901</v>
      </c>
      <c r="E951">
        <v>33</v>
      </c>
      <c r="F951">
        <v>34</v>
      </c>
      <c r="G951">
        <v>55</v>
      </c>
      <c r="H951">
        <v>43</v>
      </c>
      <c r="I951">
        <v>205</v>
      </c>
      <c r="J951">
        <v>32</v>
      </c>
      <c r="K951">
        <v>53</v>
      </c>
      <c r="L951">
        <v>24</v>
      </c>
      <c r="M951">
        <v>34</v>
      </c>
      <c r="N951">
        <v>35</v>
      </c>
      <c r="O951">
        <v>24</v>
      </c>
      <c r="P951">
        <v>12</v>
      </c>
      <c r="Q951">
        <v>2</v>
      </c>
    </row>
    <row r="952" spans="1:17" x14ac:dyDescent="0.45">
      <c r="A952" t="s">
        <v>62</v>
      </c>
      <c r="B952" t="s">
        <v>20</v>
      </c>
      <c r="C952">
        <v>1</v>
      </c>
      <c r="D952">
        <v>1221</v>
      </c>
      <c r="E952">
        <v>50</v>
      </c>
      <c r="F952">
        <v>28</v>
      </c>
      <c r="G952">
        <v>233</v>
      </c>
      <c r="H952">
        <v>17</v>
      </c>
      <c r="I952">
        <v>209</v>
      </c>
      <c r="J952">
        <v>27</v>
      </c>
      <c r="K952">
        <v>91</v>
      </c>
      <c r="L952">
        <v>27</v>
      </c>
      <c r="M952">
        <v>38</v>
      </c>
      <c r="N952">
        <v>86</v>
      </c>
      <c r="O952">
        <v>47</v>
      </c>
      <c r="P952">
        <v>11</v>
      </c>
      <c r="Q952">
        <v>1</v>
      </c>
    </row>
    <row r="953" spans="1:17" x14ac:dyDescent="0.45">
      <c r="A953" t="s">
        <v>62</v>
      </c>
      <c r="B953" t="s">
        <v>21</v>
      </c>
      <c r="C953">
        <v>1</v>
      </c>
      <c r="D953">
        <v>1045</v>
      </c>
      <c r="E953">
        <v>19</v>
      </c>
      <c r="F953">
        <v>14</v>
      </c>
      <c r="G953">
        <v>186</v>
      </c>
      <c r="H953">
        <v>7</v>
      </c>
      <c r="I953">
        <v>142</v>
      </c>
      <c r="J953">
        <v>28</v>
      </c>
      <c r="K953">
        <v>96</v>
      </c>
      <c r="L953">
        <v>19</v>
      </c>
      <c r="M953">
        <v>25</v>
      </c>
      <c r="N953">
        <v>50</v>
      </c>
      <c r="O953">
        <v>38</v>
      </c>
      <c r="P953">
        <v>24</v>
      </c>
      <c r="Q953">
        <v>4</v>
      </c>
    </row>
    <row r="954" spans="1:17" x14ac:dyDescent="0.45">
      <c r="A954" t="s">
        <v>62</v>
      </c>
      <c r="B954" t="s">
        <v>20</v>
      </c>
      <c r="C954">
        <v>2</v>
      </c>
      <c r="D954">
        <v>1215</v>
      </c>
      <c r="E954">
        <v>38</v>
      </c>
      <c r="F954">
        <v>29</v>
      </c>
      <c r="G954">
        <v>170</v>
      </c>
      <c r="H954">
        <v>61</v>
      </c>
      <c r="I954">
        <v>239</v>
      </c>
      <c r="J954">
        <v>26</v>
      </c>
      <c r="K954">
        <v>78</v>
      </c>
      <c r="L954">
        <v>24</v>
      </c>
      <c r="M954">
        <v>34</v>
      </c>
      <c r="N954">
        <v>53</v>
      </c>
      <c r="O954">
        <v>40</v>
      </c>
      <c r="P954">
        <v>22</v>
      </c>
      <c r="Q954">
        <v>13</v>
      </c>
    </row>
    <row r="955" spans="1:17" x14ac:dyDescent="0.45">
      <c r="A955" t="s">
        <v>62</v>
      </c>
      <c r="B955" t="s">
        <v>21</v>
      </c>
      <c r="C955">
        <v>2</v>
      </c>
      <c r="D955">
        <v>1262</v>
      </c>
      <c r="E955">
        <v>36</v>
      </c>
      <c r="F955">
        <v>39</v>
      </c>
      <c r="G955">
        <v>68</v>
      </c>
      <c r="H955">
        <v>86</v>
      </c>
      <c r="I955">
        <v>233</v>
      </c>
      <c r="J955">
        <v>37</v>
      </c>
      <c r="K955">
        <v>85</v>
      </c>
      <c r="L955">
        <v>26</v>
      </c>
      <c r="M955">
        <v>38</v>
      </c>
      <c r="N955">
        <v>70</v>
      </c>
      <c r="O955">
        <v>47</v>
      </c>
      <c r="P955">
        <v>21</v>
      </c>
      <c r="Q955">
        <v>19</v>
      </c>
    </row>
    <row r="956" spans="1:17" x14ac:dyDescent="0.45">
      <c r="A956" t="s">
        <v>62</v>
      </c>
      <c r="B956" t="s">
        <v>20</v>
      </c>
      <c r="C956">
        <v>3</v>
      </c>
      <c r="D956">
        <v>1578</v>
      </c>
      <c r="E956">
        <v>56</v>
      </c>
      <c r="F956">
        <v>60</v>
      </c>
      <c r="G956">
        <v>368</v>
      </c>
      <c r="H956">
        <v>19</v>
      </c>
      <c r="I956">
        <v>245</v>
      </c>
      <c r="J956">
        <v>59</v>
      </c>
      <c r="K956">
        <v>158</v>
      </c>
      <c r="L956">
        <v>38</v>
      </c>
      <c r="M956">
        <v>59</v>
      </c>
      <c r="N956">
        <v>290</v>
      </c>
      <c r="O956">
        <v>148</v>
      </c>
      <c r="P956">
        <v>159</v>
      </c>
      <c r="Q956">
        <v>2</v>
      </c>
    </row>
    <row r="957" spans="1:17" x14ac:dyDescent="0.45">
      <c r="A957" t="s">
        <v>62</v>
      </c>
      <c r="B957" t="s">
        <v>21</v>
      </c>
      <c r="C957">
        <v>3</v>
      </c>
      <c r="D957">
        <v>1714</v>
      </c>
      <c r="E957">
        <v>89</v>
      </c>
      <c r="F957">
        <v>54</v>
      </c>
      <c r="G957">
        <v>353</v>
      </c>
      <c r="H957">
        <v>26</v>
      </c>
      <c r="I957">
        <v>313</v>
      </c>
      <c r="J957">
        <v>69</v>
      </c>
      <c r="K957">
        <v>221</v>
      </c>
      <c r="L957">
        <v>71</v>
      </c>
      <c r="M957">
        <v>74</v>
      </c>
      <c r="N957">
        <v>391</v>
      </c>
      <c r="O957">
        <v>182</v>
      </c>
      <c r="P957">
        <v>261</v>
      </c>
      <c r="Q957">
        <v>54</v>
      </c>
    </row>
    <row r="958" spans="1:17" x14ac:dyDescent="0.45">
      <c r="A958" t="s">
        <v>62</v>
      </c>
      <c r="B958" t="s">
        <v>20</v>
      </c>
      <c r="C958">
        <v>4</v>
      </c>
      <c r="D958">
        <v>1596</v>
      </c>
      <c r="E958">
        <v>109</v>
      </c>
      <c r="F958">
        <v>91</v>
      </c>
      <c r="G958">
        <v>468</v>
      </c>
      <c r="H958">
        <v>36</v>
      </c>
      <c r="I958">
        <v>337</v>
      </c>
      <c r="J958">
        <v>133</v>
      </c>
      <c r="K958">
        <v>598</v>
      </c>
      <c r="L958">
        <v>162</v>
      </c>
      <c r="M958">
        <v>134</v>
      </c>
      <c r="N958">
        <v>733</v>
      </c>
      <c r="O958">
        <v>403</v>
      </c>
      <c r="P958">
        <v>402</v>
      </c>
      <c r="Q958">
        <v>12</v>
      </c>
    </row>
    <row r="959" spans="1:17" x14ac:dyDescent="0.45">
      <c r="A959" t="s">
        <v>62</v>
      </c>
      <c r="B959" t="s">
        <v>21</v>
      </c>
      <c r="C959">
        <v>4</v>
      </c>
      <c r="D959">
        <v>1935</v>
      </c>
      <c r="E959">
        <v>87</v>
      </c>
      <c r="F959">
        <v>88</v>
      </c>
      <c r="G959">
        <v>421</v>
      </c>
      <c r="H959">
        <v>91</v>
      </c>
      <c r="I959">
        <v>395</v>
      </c>
      <c r="J959">
        <v>130</v>
      </c>
      <c r="K959">
        <v>500</v>
      </c>
      <c r="L959">
        <v>169</v>
      </c>
      <c r="M959">
        <v>117</v>
      </c>
      <c r="N959">
        <v>661</v>
      </c>
      <c r="O959">
        <v>297</v>
      </c>
      <c r="P959">
        <v>355</v>
      </c>
      <c r="Q959">
        <v>34</v>
      </c>
    </row>
    <row r="960" spans="1:17" x14ac:dyDescent="0.45">
      <c r="A960" t="s">
        <v>62</v>
      </c>
      <c r="B960" t="s">
        <v>20</v>
      </c>
      <c r="C960">
        <v>5</v>
      </c>
      <c r="D960">
        <v>1311</v>
      </c>
      <c r="E960">
        <v>76</v>
      </c>
      <c r="F960">
        <v>82</v>
      </c>
      <c r="G960">
        <v>310</v>
      </c>
      <c r="H960">
        <v>55</v>
      </c>
      <c r="I960">
        <v>267</v>
      </c>
      <c r="J960">
        <v>73</v>
      </c>
      <c r="K960">
        <v>239</v>
      </c>
      <c r="L960">
        <v>122</v>
      </c>
      <c r="M960">
        <v>75</v>
      </c>
      <c r="N960">
        <v>355</v>
      </c>
      <c r="O960">
        <v>228</v>
      </c>
      <c r="P960">
        <v>209</v>
      </c>
      <c r="Q960">
        <v>17</v>
      </c>
    </row>
    <row r="961" spans="1:17" x14ac:dyDescent="0.45">
      <c r="A961" t="s">
        <v>62</v>
      </c>
      <c r="B961" t="s">
        <v>21</v>
      </c>
      <c r="C961">
        <v>5</v>
      </c>
      <c r="D961">
        <v>1498</v>
      </c>
      <c r="E961">
        <v>104</v>
      </c>
      <c r="F961">
        <v>70</v>
      </c>
      <c r="G961">
        <v>301</v>
      </c>
      <c r="H961">
        <v>58</v>
      </c>
      <c r="I961">
        <v>330</v>
      </c>
      <c r="J961">
        <v>86</v>
      </c>
      <c r="K961">
        <v>249</v>
      </c>
      <c r="L961">
        <v>116</v>
      </c>
      <c r="M961">
        <v>86</v>
      </c>
      <c r="N961">
        <v>347</v>
      </c>
      <c r="O961">
        <v>207</v>
      </c>
      <c r="P961">
        <v>196</v>
      </c>
      <c r="Q961">
        <v>24</v>
      </c>
    </row>
    <row r="962" spans="1:17" x14ac:dyDescent="0.45">
      <c r="A962" t="s">
        <v>62</v>
      </c>
      <c r="B962" t="s">
        <v>20</v>
      </c>
      <c r="C962">
        <v>6</v>
      </c>
      <c r="D962">
        <v>1645</v>
      </c>
      <c r="E962">
        <v>75</v>
      </c>
      <c r="F962">
        <v>75</v>
      </c>
      <c r="G962">
        <v>273</v>
      </c>
      <c r="H962">
        <v>89</v>
      </c>
      <c r="I962">
        <v>390</v>
      </c>
      <c r="J962">
        <v>70</v>
      </c>
      <c r="K962">
        <v>106</v>
      </c>
      <c r="L962">
        <v>72</v>
      </c>
      <c r="M962">
        <v>72</v>
      </c>
      <c r="N962">
        <v>201</v>
      </c>
      <c r="O962">
        <v>153</v>
      </c>
      <c r="P962">
        <v>73</v>
      </c>
      <c r="Q962">
        <v>24</v>
      </c>
    </row>
    <row r="963" spans="1:17" x14ac:dyDescent="0.45">
      <c r="A963" t="s">
        <v>62</v>
      </c>
      <c r="B963" t="s">
        <v>21</v>
      </c>
      <c r="C963">
        <v>6</v>
      </c>
      <c r="D963">
        <v>1763</v>
      </c>
      <c r="E963">
        <v>102</v>
      </c>
      <c r="F963">
        <v>92</v>
      </c>
      <c r="G963">
        <v>332</v>
      </c>
      <c r="H963">
        <v>62</v>
      </c>
      <c r="I963">
        <v>410</v>
      </c>
      <c r="J963">
        <v>80</v>
      </c>
      <c r="K963">
        <v>207</v>
      </c>
      <c r="L963">
        <v>123</v>
      </c>
      <c r="M963">
        <v>91</v>
      </c>
      <c r="N963">
        <v>198</v>
      </c>
      <c r="O963">
        <v>152</v>
      </c>
      <c r="P963">
        <v>104</v>
      </c>
      <c r="Q963">
        <v>3</v>
      </c>
    </row>
    <row r="964" spans="1:17" x14ac:dyDescent="0.45">
      <c r="A964" t="s">
        <v>62</v>
      </c>
      <c r="B964" t="s">
        <v>20</v>
      </c>
      <c r="C964">
        <v>7</v>
      </c>
      <c r="D964">
        <v>1319</v>
      </c>
      <c r="E964">
        <v>87</v>
      </c>
      <c r="F964">
        <v>48</v>
      </c>
      <c r="G964">
        <v>153</v>
      </c>
      <c r="H964">
        <v>64</v>
      </c>
      <c r="I964">
        <v>392</v>
      </c>
      <c r="J964">
        <v>35</v>
      </c>
      <c r="K964">
        <v>34</v>
      </c>
      <c r="L964">
        <v>52</v>
      </c>
      <c r="M964">
        <v>50</v>
      </c>
      <c r="N964">
        <v>83</v>
      </c>
      <c r="O964">
        <v>52</v>
      </c>
      <c r="P964">
        <v>24</v>
      </c>
      <c r="Q964">
        <v>2</v>
      </c>
    </row>
    <row r="965" spans="1:17" x14ac:dyDescent="0.45">
      <c r="A965" t="s">
        <v>62</v>
      </c>
      <c r="B965" t="s">
        <v>21</v>
      </c>
      <c r="C965">
        <v>7</v>
      </c>
      <c r="D965">
        <v>1691</v>
      </c>
      <c r="E965">
        <v>72</v>
      </c>
      <c r="F965">
        <v>82</v>
      </c>
      <c r="G965">
        <v>161</v>
      </c>
      <c r="H965">
        <v>84</v>
      </c>
      <c r="I965">
        <v>461</v>
      </c>
      <c r="J965">
        <v>42</v>
      </c>
      <c r="K965">
        <v>58</v>
      </c>
      <c r="L965">
        <v>43</v>
      </c>
      <c r="M965">
        <v>72</v>
      </c>
      <c r="N965">
        <v>95</v>
      </c>
      <c r="O965">
        <v>79</v>
      </c>
      <c r="P965">
        <v>38</v>
      </c>
      <c r="Q965">
        <v>9</v>
      </c>
    </row>
    <row r="966" spans="1:17" x14ac:dyDescent="0.45">
      <c r="A966" t="s">
        <v>62</v>
      </c>
      <c r="B966" t="s">
        <v>20</v>
      </c>
      <c r="C966">
        <v>8</v>
      </c>
      <c r="D966">
        <v>1094</v>
      </c>
      <c r="E966">
        <v>71</v>
      </c>
      <c r="F966">
        <v>37</v>
      </c>
      <c r="G966">
        <v>111</v>
      </c>
      <c r="H966">
        <v>43</v>
      </c>
      <c r="I966">
        <v>378</v>
      </c>
      <c r="J966">
        <v>37</v>
      </c>
      <c r="K966">
        <v>30</v>
      </c>
      <c r="L966">
        <v>16</v>
      </c>
      <c r="M966">
        <v>41</v>
      </c>
      <c r="N966">
        <v>37</v>
      </c>
      <c r="O966">
        <v>41</v>
      </c>
      <c r="P966">
        <v>11</v>
      </c>
      <c r="Q966">
        <v>0</v>
      </c>
    </row>
    <row r="967" spans="1:17" x14ac:dyDescent="0.45">
      <c r="A967" t="s">
        <v>62</v>
      </c>
      <c r="B967" t="s">
        <v>21</v>
      </c>
      <c r="C967">
        <v>8</v>
      </c>
      <c r="D967">
        <v>1009</v>
      </c>
      <c r="E967">
        <v>40</v>
      </c>
      <c r="F967">
        <v>39</v>
      </c>
      <c r="G967">
        <v>101</v>
      </c>
      <c r="H967">
        <v>7</v>
      </c>
      <c r="I967">
        <v>321</v>
      </c>
      <c r="J967">
        <v>18</v>
      </c>
      <c r="K967">
        <v>23</v>
      </c>
      <c r="L967">
        <v>27</v>
      </c>
      <c r="M967">
        <v>26</v>
      </c>
      <c r="N967">
        <v>27</v>
      </c>
      <c r="O967">
        <v>29</v>
      </c>
      <c r="P967">
        <v>4</v>
      </c>
      <c r="Q967">
        <v>0</v>
      </c>
    </row>
    <row r="968" spans="1:17" x14ac:dyDescent="0.45">
      <c r="A968" t="s">
        <v>62</v>
      </c>
      <c r="B968" t="s">
        <v>20</v>
      </c>
      <c r="C968">
        <v>9</v>
      </c>
      <c r="D968">
        <v>1450</v>
      </c>
      <c r="E968">
        <v>71</v>
      </c>
      <c r="F968">
        <v>54</v>
      </c>
      <c r="G968">
        <v>80</v>
      </c>
      <c r="H968">
        <v>96</v>
      </c>
      <c r="I968">
        <v>402</v>
      </c>
      <c r="J968">
        <v>43</v>
      </c>
      <c r="K968">
        <v>37</v>
      </c>
      <c r="L968">
        <v>29</v>
      </c>
      <c r="M968">
        <v>67</v>
      </c>
      <c r="N968">
        <v>23</v>
      </c>
      <c r="O968">
        <v>40</v>
      </c>
      <c r="P968">
        <v>5</v>
      </c>
      <c r="Q968">
        <v>4</v>
      </c>
    </row>
    <row r="969" spans="1:17" x14ac:dyDescent="0.45">
      <c r="A969" t="s">
        <v>62</v>
      </c>
      <c r="B969" t="s">
        <v>21</v>
      </c>
      <c r="C969">
        <v>9</v>
      </c>
      <c r="D969">
        <v>1180</v>
      </c>
      <c r="E969">
        <v>57</v>
      </c>
      <c r="F969">
        <v>44</v>
      </c>
      <c r="G969">
        <v>145</v>
      </c>
      <c r="H969">
        <v>5</v>
      </c>
      <c r="I969">
        <v>267</v>
      </c>
      <c r="J969">
        <v>30</v>
      </c>
      <c r="K969">
        <v>13</v>
      </c>
      <c r="L969">
        <v>22</v>
      </c>
      <c r="M969">
        <v>56</v>
      </c>
      <c r="N969">
        <v>34</v>
      </c>
      <c r="O969">
        <v>34</v>
      </c>
      <c r="P969">
        <v>8</v>
      </c>
      <c r="Q969">
        <v>0</v>
      </c>
    </row>
    <row r="970" spans="1:17" x14ac:dyDescent="0.45">
      <c r="A970" t="s">
        <v>62</v>
      </c>
      <c r="B970" t="s">
        <v>20</v>
      </c>
      <c r="C970">
        <v>10</v>
      </c>
      <c r="D970">
        <v>1719</v>
      </c>
      <c r="E970">
        <v>117</v>
      </c>
      <c r="F970">
        <v>112</v>
      </c>
      <c r="G970">
        <v>174</v>
      </c>
      <c r="H970">
        <v>152</v>
      </c>
      <c r="I970">
        <v>521</v>
      </c>
      <c r="J970">
        <v>70</v>
      </c>
      <c r="K970">
        <v>76</v>
      </c>
      <c r="L970">
        <v>55</v>
      </c>
      <c r="M970">
        <v>105</v>
      </c>
      <c r="N970">
        <v>84</v>
      </c>
      <c r="O970">
        <v>87</v>
      </c>
      <c r="P970">
        <v>41</v>
      </c>
      <c r="Q970">
        <v>0</v>
      </c>
    </row>
    <row r="971" spans="1:17" x14ac:dyDescent="0.45">
      <c r="A971" t="s">
        <v>62</v>
      </c>
      <c r="B971" t="s">
        <v>21</v>
      </c>
      <c r="C971">
        <v>10</v>
      </c>
      <c r="D971">
        <v>1668</v>
      </c>
      <c r="E971">
        <v>103</v>
      </c>
      <c r="F971">
        <v>95</v>
      </c>
      <c r="G971">
        <v>254</v>
      </c>
      <c r="H971">
        <v>24</v>
      </c>
      <c r="I971">
        <v>374</v>
      </c>
      <c r="J971">
        <v>89</v>
      </c>
      <c r="K971">
        <v>90</v>
      </c>
      <c r="L971">
        <v>63</v>
      </c>
      <c r="M971">
        <v>101</v>
      </c>
      <c r="N971">
        <v>76</v>
      </c>
      <c r="O971">
        <v>49</v>
      </c>
      <c r="P971">
        <v>29</v>
      </c>
      <c r="Q971">
        <v>0</v>
      </c>
    </row>
    <row r="972" spans="1:17" x14ac:dyDescent="0.45">
      <c r="A972" t="s">
        <v>62</v>
      </c>
      <c r="B972" t="s">
        <v>20</v>
      </c>
      <c r="C972">
        <v>11</v>
      </c>
      <c r="D972">
        <v>1641</v>
      </c>
      <c r="E972">
        <v>98</v>
      </c>
      <c r="F972">
        <v>91</v>
      </c>
      <c r="G972">
        <v>259</v>
      </c>
      <c r="H972">
        <v>66</v>
      </c>
      <c r="I972">
        <v>384</v>
      </c>
      <c r="J972">
        <v>75</v>
      </c>
      <c r="K972">
        <v>80</v>
      </c>
      <c r="L972">
        <v>62</v>
      </c>
      <c r="M972">
        <v>75</v>
      </c>
      <c r="N972">
        <v>90</v>
      </c>
      <c r="O972">
        <v>78</v>
      </c>
      <c r="P972">
        <v>15</v>
      </c>
      <c r="Q972">
        <v>0</v>
      </c>
    </row>
    <row r="973" spans="1:17" x14ac:dyDescent="0.45">
      <c r="A973" t="s">
        <v>62</v>
      </c>
      <c r="B973" t="s">
        <v>21</v>
      </c>
      <c r="C973">
        <v>11</v>
      </c>
      <c r="D973">
        <v>1483</v>
      </c>
      <c r="E973">
        <v>51</v>
      </c>
      <c r="F973">
        <v>49</v>
      </c>
      <c r="G973">
        <v>183</v>
      </c>
      <c r="H973">
        <v>67</v>
      </c>
      <c r="I973">
        <v>316</v>
      </c>
      <c r="J973">
        <v>46</v>
      </c>
      <c r="K973">
        <v>50</v>
      </c>
      <c r="L973">
        <v>32</v>
      </c>
      <c r="M973">
        <v>59</v>
      </c>
      <c r="N973">
        <v>63</v>
      </c>
      <c r="O973">
        <v>41</v>
      </c>
      <c r="P973">
        <v>26</v>
      </c>
      <c r="Q973">
        <v>0</v>
      </c>
    </row>
    <row r="974" spans="1:17" x14ac:dyDescent="0.45">
      <c r="A974" t="s">
        <v>62</v>
      </c>
      <c r="B974" t="s">
        <v>20</v>
      </c>
      <c r="C974">
        <v>12</v>
      </c>
      <c r="D974">
        <v>1644</v>
      </c>
      <c r="E974">
        <v>83</v>
      </c>
      <c r="F974">
        <v>70</v>
      </c>
      <c r="G974">
        <v>361</v>
      </c>
      <c r="H974">
        <v>35</v>
      </c>
      <c r="I974">
        <v>305</v>
      </c>
      <c r="J974">
        <v>52</v>
      </c>
      <c r="K974">
        <v>119</v>
      </c>
      <c r="L974">
        <v>52</v>
      </c>
      <c r="M974">
        <v>60</v>
      </c>
      <c r="N974">
        <v>116</v>
      </c>
      <c r="O974">
        <v>93</v>
      </c>
      <c r="P974">
        <v>29</v>
      </c>
      <c r="Q974">
        <v>0</v>
      </c>
    </row>
    <row r="975" spans="1:17" x14ac:dyDescent="0.45">
      <c r="A975" t="s">
        <v>62</v>
      </c>
      <c r="B975" t="s">
        <v>21</v>
      </c>
      <c r="C975">
        <v>12</v>
      </c>
      <c r="D975">
        <v>1504</v>
      </c>
      <c r="E975">
        <v>49</v>
      </c>
      <c r="F975">
        <v>49</v>
      </c>
      <c r="G975">
        <v>320</v>
      </c>
      <c r="H975">
        <v>35</v>
      </c>
      <c r="I975">
        <v>269</v>
      </c>
      <c r="J975">
        <v>63</v>
      </c>
      <c r="K975">
        <v>93</v>
      </c>
      <c r="L975">
        <v>44</v>
      </c>
      <c r="M975">
        <v>52</v>
      </c>
      <c r="N975">
        <v>88</v>
      </c>
      <c r="O975">
        <v>61</v>
      </c>
      <c r="P975">
        <v>31</v>
      </c>
      <c r="Q975">
        <v>0</v>
      </c>
    </row>
    <row r="976" spans="1:17" x14ac:dyDescent="0.45">
      <c r="A976" t="s">
        <v>51</v>
      </c>
      <c r="B976" t="s">
        <v>20</v>
      </c>
      <c r="C976">
        <v>1</v>
      </c>
      <c r="D976">
        <v>1089</v>
      </c>
      <c r="E976">
        <v>52</v>
      </c>
      <c r="F976">
        <v>30</v>
      </c>
      <c r="G976">
        <v>197</v>
      </c>
      <c r="H976">
        <v>19</v>
      </c>
      <c r="I976">
        <v>183</v>
      </c>
      <c r="J976">
        <v>23</v>
      </c>
      <c r="K976">
        <v>104</v>
      </c>
      <c r="L976">
        <v>32</v>
      </c>
      <c r="M976">
        <v>33</v>
      </c>
      <c r="N976">
        <v>53</v>
      </c>
      <c r="O976">
        <v>59</v>
      </c>
      <c r="P976">
        <v>16</v>
      </c>
      <c r="Q976">
        <v>0</v>
      </c>
    </row>
    <row r="977" spans="1:17" x14ac:dyDescent="0.45">
      <c r="A977" t="s">
        <v>51</v>
      </c>
      <c r="B977" t="s">
        <v>21</v>
      </c>
      <c r="C977">
        <v>1</v>
      </c>
      <c r="D977">
        <v>1235</v>
      </c>
      <c r="E977">
        <v>35</v>
      </c>
      <c r="F977">
        <v>32</v>
      </c>
      <c r="G977">
        <v>201</v>
      </c>
      <c r="H977">
        <v>25</v>
      </c>
      <c r="I977">
        <v>181</v>
      </c>
      <c r="J977">
        <v>20</v>
      </c>
      <c r="K977">
        <v>58</v>
      </c>
      <c r="L977">
        <v>38</v>
      </c>
      <c r="M977">
        <v>25</v>
      </c>
      <c r="N977">
        <v>43</v>
      </c>
      <c r="O977">
        <v>47</v>
      </c>
      <c r="P977">
        <v>20</v>
      </c>
      <c r="Q977">
        <v>0</v>
      </c>
    </row>
    <row r="978" spans="1:17" x14ac:dyDescent="0.45">
      <c r="A978" t="s">
        <v>51</v>
      </c>
      <c r="B978" t="s">
        <v>20</v>
      </c>
      <c r="C978">
        <v>2</v>
      </c>
      <c r="D978">
        <v>1220</v>
      </c>
      <c r="E978">
        <v>32</v>
      </c>
      <c r="F978">
        <v>9</v>
      </c>
      <c r="G978">
        <v>130</v>
      </c>
      <c r="H978">
        <v>56</v>
      </c>
      <c r="I978">
        <v>235</v>
      </c>
      <c r="J978">
        <v>12</v>
      </c>
      <c r="K978">
        <v>68</v>
      </c>
      <c r="L978">
        <v>18</v>
      </c>
      <c r="M978">
        <v>30</v>
      </c>
      <c r="N978">
        <v>51</v>
      </c>
      <c r="O978">
        <v>49</v>
      </c>
      <c r="P978">
        <v>17</v>
      </c>
      <c r="Q978">
        <v>9</v>
      </c>
    </row>
    <row r="979" spans="1:17" x14ac:dyDescent="0.45">
      <c r="A979" t="s">
        <v>51</v>
      </c>
      <c r="B979" t="s">
        <v>21</v>
      </c>
      <c r="C979">
        <v>2</v>
      </c>
      <c r="D979">
        <v>1467</v>
      </c>
      <c r="E979">
        <v>47</v>
      </c>
      <c r="F979">
        <v>28</v>
      </c>
      <c r="G979">
        <v>98</v>
      </c>
      <c r="H979">
        <v>94</v>
      </c>
      <c r="I979">
        <v>272</v>
      </c>
      <c r="J979">
        <v>24</v>
      </c>
      <c r="K979">
        <v>59</v>
      </c>
      <c r="L979">
        <v>26</v>
      </c>
      <c r="M979">
        <v>18</v>
      </c>
      <c r="N979">
        <v>48</v>
      </c>
      <c r="O979">
        <v>38</v>
      </c>
      <c r="P979">
        <v>17</v>
      </c>
      <c r="Q979">
        <v>8</v>
      </c>
    </row>
    <row r="980" spans="1:17" x14ac:dyDescent="0.45">
      <c r="A980" t="s">
        <v>51</v>
      </c>
      <c r="B980" t="s">
        <v>20</v>
      </c>
      <c r="C980">
        <v>3</v>
      </c>
      <c r="D980">
        <v>1436</v>
      </c>
      <c r="E980">
        <v>60</v>
      </c>
      <c r="F980">
        <v>59</v>
      </c>
      <c r="G980">
        <v>273</v>
      </c>
      <c r="H980">
        <v>27</v>
      </c>
      <c r="I980">
        <v>280</v>
      </c>
      <c r="J980">
        <v>24</v>
      </c>
      <c r="K980">
        <v>145</v>
      </c>
      <c r="L980">
        <v>46</v>
      </c>
      <c r="M980">
        <v>50</v>
      </c>
      <c r="N980">
        <v>211</v>
      </c>
      <c r="O980">
        <v>153</v>
      </c>
      <c r="P980">
        <v>131</v>
      </c>
      <c r="Q980">
        <v>2</v>
      </c>
    </row>
    <row r="981" spans="1:17" x14ac:dyDescent="0.45">
      <c r="A981" t="s">
        <v>51</v>
      </c>
      <c r="B981" t="s">
        <v>21</v>
      </c>
      <c r="C981">
        <v>3</v>
      </c>
      <c r="D981">
        <v>1929</v>
      </c>
      <c r="E981">
        <v>87</v>
      </c>
      <c r="F981">
        <v>60</v>
      </c>
      <c r="G981">
        <v>331</v>
      </c>
      <c r="H981">
        <v>48</v>
      </c>
      <c r="I981">
        <v>323</v>
      </c>
      <c r="J981">
        <v>62</v>
      </c>
      <c r="K981">
        <v>196</v>
      </c>
      <c r="L981">
        <v>60</v>
      </c>
      <c r="M981">
        <v>63</v>
      </c>
      <c r="N981">
        <v>319</v>
      </c>
      <c r="O981">
        <v>204</v>
      </c>
      <c r="P981">
        <v>215</v>
      </c>
      <c r="Q981">
        <v>24</v>
      </c>
    </row>
    <row r="982" spans="1:17" x14ac:dyDescent="0.45">
      <c r="A982" t="s">
        <v>51</v>
      </c>
      <c r="B982" t="s">
        <v>20</v>
      </c>
      <c r="C982">
        <v>4</v>
      </c>
      <c r="D982">
        <v>1388</v>
      </c>
      <c r="E982">
        <v>63</v>
      </c>
      <c r="F982">
        <v>76</v>
      </c>
      <c r="G982">
        <v>356</v>
      </c>
      <c r="H982">
        <v>44</v>
      </c>
      <c r="I982">
        <v>338</v>
      </c>
      <c r="J982">
        <v>114</v>
      </c>
      <c r="K982">
        <v>473</v>
      </c>
      <c r="L982">
        <v>173</v>
      </c>
      <c r="M982">
        <v>98</v>
      </c>
      <c r="N982">
        <v>499</v>
      </c>
      <c r="O982">
        <v>324</v>
      </c>
      <c r="P982">
        <v>314</v>
      </c>
      <c r="Q982">
        <v>7</v>
      </c>
    </row>
    <row r="983" spans="1:17" x14ac:dyDescent="0.45">
      <c r="A983" t="s">
        <v>51</v>
      </c>
      <c r="B983" t="s">
        <v>21</v>
      </c>
      <c r="C983">
        <v>4</v>
      </c>
      <c r="D983">
        <v>1882</v>
      </c>
      <c r="E983">
        <v>65</v>
      </c>
      <c r="F983">
        <v>69</v>
      </c>
      <c r="G983">
        <v>336</v>
      </c>
      <c r="H983">
        <v>73</v>
      </c>
      <c r="I983">
        <v>378</v>
      </c>
      <c r="J983">
        <v>82</v>
      </c>
      <c r="K983">
        <v>359</v>
      </c>
      <c r="L983">
        <v>114</v>
      </c>
      <c r="M983">
        <v>84</v>
      </c>
      <c r="N983">
        <v>403</v>
      </c>
      <c r="O983">
        <v>256</v>
      </c>
      <c r="P983">
        <v>238</v>
      </c>
      <c r="Q983">
        <v>12</v>
      </c>
    </row>
    <row r="984" spans="1:17" x14ac:dyDescent="0.45">
      <c r="A984" t="s">
        <v>51</v>
      </c>
      <c r="B984" t="s">
        <v>20</v>
      </c>
      <c r="C984">
        <v>5</v>
      </c>
      <c r="D984">
        <v>1175</v>
      </c>
      <c r="E984">
        <v>56</v>
      </c>
      <c r="F984">
        <v>47</v>
      </c>
      <c r="G984">
        <v>276</v>
      </c>
      <c r="H984">
        <v>62</v>
      </c>
      <c r="I984">
        <v>347</v>
      </c>
      <c r="J984">
        <v>56</v>
      </c>
      <c r="K984">
        <v>200</v>
      </c>
      <c r="L984">
        <v>99</v>
      </c>
      <c r="M984">
        <v>48</v>
      </c>
      <c r="N984">
        <v>261</v>
      </c>
      <c r="O984">
        <v>202</v>
      </c>
      <c r="P984">
        <v>132</v>
      </c>
      <c r="Q984">
        <v>16</v>
      </c>
    </row>
    <row r="985" spans="1:17" x14ac:dyDescent="0.45">
      <c r="A985" t="s">
        <v>51</v>
      </c>
      <c r="B985" t="s">
        <v>21</v>
      </c>
      <c r="C985">
        <v>5</v>
      </c>
      <c r="D985">
        <v>1474</v>
      </c>
      <c r="E985">
        <v>67</v>
      </c>
      <c r="F985">
        <v>61</v>
      </c>
      <c r="G985">
        <v>284</v>
      </c>
      <c r="H985">
        <v>63</v>
      </c>
      <c r="I985">
        <v>335</v>
      </c>
      <c r="J985">
        <v>70</v>
      </c>
      <c r="K985">
        <v>264</v>
      </c>
      <c r="L985">
        <v>117</v>
      </c>
      <c r="M985">
        <v>68</v>
      </c>
      <c r="N985">
        <v>268</v>
      </c>
      <c r="O985">
        <v>186</v>
      </c>
      <c r="P985">
        <v>149</v>
      </c>
      <c r="Q985">
        <v>8</v>
      </c>
    </row>
    <row r="986" spans="1:17" x14ac:dyDescent="0.45">
      <c r="A986" t="s">
        <v>51</v>
      </c>
      <c r="B986" t="s">
        <v>20</v>
      </c>
      <c r="C986">
        <v>6</v>
      </c>
      <c r="D986">
        <v>1419</v>
      </c>
      <c r="E986">
        <v>55</v>
      </c>
      <c r="F986">
        <v>64</v>
      </c>
      <c r="G986">
        <v>191</v>
      </c>
      <c r="H986">
        <v>94</v>
      </c>
      <c r="I986">
        <v>405</v>
      </c>
      <c r="J986">
        <v>37</v>
      </c>
      <c r="K986">
        <v>93</v>
      </c>
      <c r="L986">
        <v>70</v>
      </c>
      <c r="M986">
        <v>57</v>
      </c>
      <c r="N986">
        <v>126</v>
      </c>
      <c r="O986">
        <v>91</v>
      </c>
      <c r="P986">
        <v>63</v>
      </c>
      <c r="Q986">
        <v>6</v>
      </c>
    </row>
    <row r="987" spans="1:17" x14ac:dyDescent="0.45">
      <c r="A987" t="s">
        <v>51</v>
      </c>
      <c r="B987" t="s">
        <v>21</v>
      </c>
      <c r="C987">
        <v>6</v>
      </c>
      <c r="D987">
        <v>1641</v>
      </c>
      <c r="E987">
        <v>63</v>
      </c>
      <c r="F987">
        <v>65</v>
      </c>
      <c r="G987">
        <v>222</v>
      </c>
      <c r="H987">
        <v>70</v>
      </c>
      <c r="I987">
        <v>435</v>
      </c>
      <c r="J987">
        <v>54</v>
      </c>
      <c r="K987">
        <v>137</v>
      </c>
      <c r="L987">
        <v>75</v>
      </c>
      <c r="M987">
        <v>67</v>
      </c>
      <c r="N987">
        <v>142</v>
      </c>
      <c r="O987">
        <v>92</v>
      </c>
      <c r="P987">
        <v>64</v>
      </c>
      <c r="Q987">
        <v>15</v>
      </c>
    </row>
    <row r="988" spans="1:17" x14ac:dyDescent="0.45">
      <c r="A988" t="s">
        <v>51</v>
      </c>
      <c r="B988" t="s">
        <v>20</v>
      </c>
      <c r="C988">
        <v>7</v>
      </c>
      <c r="D988">
        <v>1282</v>
      </c>
      <c r="E988">
        <v>44</v>
      </c>
      <c r="F988">
        <v>47</v>
      </c>
      <c r="G988">
        <v>115</v>
      </c>
      <c r="H988">
        <v>38</v>
      </c>
      <c r="I988">
        <v>376</v>
      </c>
      <c r="J988">
        <v>21</v>
      </c>
      <c r="K988">
        <v>36</v>
      </c>
      <c r="L988">
        <v>23</v>
      </c>
      <c r="M988">
        <v>39</v>
      </c>
      <c r="N988">
        <v>28</v>
      </c>
      <c r="O988">
        <v>36</v>
      </c>
      <c r="P988">
        <v>19</v>
      </c>
      <c r="Q988">
        <v>2</v>
      </c>
    </row>
    <row r="989" spans="1:17" x14ac:dyDescent="0.45">
      <c r="A989" t="s">
        <v>51</v>
      </c>
      <c r="B989" t="s">
        <v>21</v>
      </c>
      <c r="C989">
        <v>7</v>
      </c>
      <c r="D989">
        <v>1614</v>
      </c>
      <c r="E989">
        <v>53</v>
      </c>
      <c r="F989">
        <v>49</v>
      </c>
      <c r="G989">
        <v>111</v>
      </c>
      <c r="H989">
        <v>63</v>
      </c>
      <c r="I989">
        <v>426</v>
      </c>
      <c r="J989">
        <v>35</v>
      </c>
      <c r="K989">
        <v>43</v>
      </c>
      <c r="L989">
        <v>41</v>
      </c>
      <c r="M989">
        <v>51</v>
      </c>
      <c r="N989">
        <v>74</v>
      </c>
      <c r="O989">
        <v>63</v>
      </c>
      <c r="P989">
        <v>26</v>
      </c>
      <c r="Q989">
        <v>1</v>
      </c>
    </row>
    <row r="990" spans="1:17" x14ac:dyDescent="0.45">
      <c r="A990" t="s">
        <v>51</v>
      </c>
      <c r="B990" t="s">
        <v>20</v>
      </c>
      <c r="C990">
        <v>8</v>
      </c>
      <c r="D990">
        <v>1030</v>
      </c>
      <c r="E990">
        <v>63</v>
      </c>
      <c r="F990">
        <v>42</v>
      </c>
      <c r="G990">
        <v>86</v>
      </c>
      <c r="H990">
        <v>32</v>
      </c>
      <c r="I990">
        <v>382</v>
      </c>
      <c r="J990">
        <v>20</v>
      </c>
      <c r="K990">
        <v>46</v>
      </c>
      <c r="L990">
        <v>18</v>
      </c>
      <c r="M990">
        <v>45</v>
      </c>
      <c r="N990">
        <v>27</v>
      </c>
      <c r="O990">
        <v>25</v>
      </c>
      <c r="P990">
        <v>9</v>
      </c>
      <c r="Q990">
        <v>0</v>
      </c>
    </row>
    <row r="991" spans="1:17" x14ac:dyDescent="0.45">
      <c r="A991" t="s">
        <v>51</v>
      </c>
      <c r="B991" t="s">
        <v>21</v>
      </c>
      <c r="C991">
        <v>8</v>
      </c>
      <c r="D991">
        <v>1260</v>
      </c>
      <c r="E991">
        <v>46</v>
      </c>
      <c r="F991">
        <v>42</v>
      </c>
      <c r="G991">
        <v>90</v>
      </c>
      <c r="H991">
        <v>19</v>
      </c>
      <c r="I991">
        <v>351</v>
      </c>
      <c r="J991">
        <v>23</v>
      </c>
      <c r="K991">
        <v>24</v>
      </c>
      <c r="L991">
        <v>19</v>
      </c>
      <c r="M991">
        <v>33</v>
      </c>
      <c r="N991">
        <v>13</v>
      </c>
      <c r="O991">
        <v>8</v>
      </c>
      <c r="P991">
        <v>7</v>
      </c>
      <c r="Q991">
        <v>4</v>
      </c>
    </row>
    <row r="992" spans="1:17" x14ac:dyDescent="0.45">
      <c r="A992" t="s">
        <v>51</v>
      </c>
      <c r="B992" t="s">
        <v>20</v>
      </c>
      <c r="C992">
        <v>9</v>
      </c>
      <c r="D992">
        <v>1325</v>
      </c>
      <c r="E992">
        <v>77</v>
      </c>
      <c r="F992">
        <v>46</v>
      </c>
      <c r="G992">
        <v>67</v>
      </c>
      <c r="H992">
        <v>60</v>
      </c>
      <c r="I992">
        <v>440</v>
      </c>
      <c r="J992">
        <v>37</v>
      </c>
      <c r="K992">
        <v>26</v>
      </c>
      <c r="L992">
        <v>23</v>
      </c>
      <c r="M992">
        <v>68</v>
      </c>
      <c r="N992">
        <v>24</v>
      </c>
      <c r="O992">
        <v>21</v>
      </c>
      <c r="P992">
        <v>6</v>
      </c>
      <c r="Q992">
        <v>2</v>
      </c>
    </row>
    <row r="993" spans="1:17" x14ac:dyDescent="0.45">
      <c r="A993" t="s">
        <v>51</v>
      </c>
      <c r="B993" t="s">
        <v>21</v>
      </c>
      <c r="C993">
        <v>9</v>
      </c>
      <c r="D993">
        <v>1464</v>
      </c>
      <c r="E993">
        <v>59</v>
      </c>
      <c r="F993">
        <v>44</v>
      </c>
      <c r="G993">
        <v>98</v>
      </c>
      <c r="H993">
        <v>25</v>
      </c>
      <c r="I993">
        <v>334</v>
      </c>
      <c r="J993">
        <v>28</v>
      </c>
      <c r="K993">
        <v>27</v>
      </c>
      <c r="L993">
        <v>29</v>
      </c>
      <c r="M993">
        <v>37</v>
      </c>
      <c r="N993">
        <v>26</v>
      </c>
      <c r="O993">
        <v>28</v>
      </c>
      <c r="P993">
        <v>10</v>
      </c>
      <c r="Q993">
        <v>0</v>
      </c>
    </row>
    <row r="994" spans="1:17" x14ac:dyDescent="0.45">
      <c r="A994" t="s">
        <v>51</v>
      </c>
      <c r="B994" t="s">
        <v>20</v>
      </c>
      <c r="C994">
        <v>10</v>
      </c>
      <c r="D994">
        <v>1614</v>
      </c>
      <c r="E994">
        <v>79</v>
      </c>
      <c r="F994">
        <v>79</v>
      </c>
      <c r="G994">
        <v>102</v>
      </c>
      <c r="H994">
        <v>112</v>
      </c>
      <c r="I994">
        <v>478</v>
      </c>
      <c r="J994">
        <v>61</v>
      </c>
      <c r="K994">
        <v>49</v>
      </c>
      <c r="L994">
        <v>43</v>
      </c>
      <c r="M994">
        <v>49</v>
      </c>
      <c r="N994">
        <v>48</v>
      </c>
      <c r="O994">
        <v>48</v>
      </c>
      <c r="P994">
        <v>26</v>
      </c>
      <c r="Q994">
        <v>0</v>
      </c>
    </row>
    <row r="995" spans="1:17" x14ac:dyDescent="0.45">
      <c r="A995" t="s">
        <v>51</v>
      </c>
      <c r="B995" t="s">
        <v>21</v>
      </c>
      <c r="C995">
        <v>10</v>
      </c>
      <c r="D995">
        <v>1958</v>
      </c>
      <c r="E995">
        <v>96</v>
      </c>
      <c r="F995">
        <v>103</v>
      </c>
      <c r="G995">
        <v>260</v>
      </c>
      <c r="H995">
        <v>46</v>
      </c>
      <c r="I995">
        <v>451</v>
      </c>
      <c r="J995">
        <v>64</v>
      </c>
      <c r="K995">
        <v>42</v>
      </c>
      <c r="L995">
        <v>33</v>
      </c>
      <c r="M995">
        <v>59</v>
      </c>
      <c r="N995">
        <v>52</v>
      </c>
      <c r="O995">
        <v>53</v>
      </c>
      <c r="P995">
        <v>35</v>
      </c>
      <c r="Q995">
        <v>0</v>
      </c>
    </row>
    <row r="996" spans="1:17" x14ac:dyDescent="0.45">
      <c r="A996" t="s">
        <v>51</v>
      </c>
      <c r="B996" t="s">
        <v>20</v>
      </c>
      <c r="C996">
        <v>11</v>
      </c>
      <c r="D996">
        <v>1428</v>
      </c>
      <c r="E996">
        <v>77</v>
      </c>
      <c r="F996">
        <v>67</v>
      </c>
      <c r="G996">
        <v>187</v>
      </c>
      <c r="H996">
        <v>106</v>
      </c>
      <c r="I996">
        <v>474</v>
      </c>
      <c r="J996">
        <v>49</v>
      </c>
      <c r="K996">
        <v>81</v>
      </c>
      <c r="L996">
        <v>31</v>
      </c>
      <c r="M996">
        <v>71</v>
      </c>
      <c r="N996">
        <v>75</v>
      </c>
      <c r="O996">
        <v>50</v>
      </c>
      <c r="P996">
        <v>23</v>
      </c>
      <c r="Q996">
        <v>0</v>
      </c>
    </row>
    <row r="997" spans="1:17" x14ac:dyDescent="0.45">
      <c r="A997" t="s">
        <v>51</v>
      </c>
      <c r="B997" t="s">
        <v>21</v>
      </c>
      <c r="C997">
        <v>11</v>
      </c>
      <c r="D997">
        <v>1706</v>
      </c>
      <c r="E997">
        <v>51</v>
      </c>
      <c r="F997">
        <v>47</v>
      </c>
      <c r="G997">
        <v>153</v>
      </c>
      <c r="H997">
        <v>103</v>
      </c>
      <c r="I997">
        <v>390</v>
      </c>
      <c r="J997">
        <v>38</v>
      </c>
      <c r="K997">
        <v>55</v>
      </c>
      <c r="L997">
        <v>18</v>
      </c>
      <c r="M997">
        <v>41</v>
      </c>
      <c r="N997">
        <v>39</v>
      </c>
      <c r="O997">
        <v>68</v>
      </c>
      <c r="P997">
        <v>22</v>
      </c>
      <c r="Q997">
        <v>2</v>
      </c>
    </row>
    <row r="998" spans="1:17" x14ac:dyDescent="0.45">
      <c r="A998" t="s">
        <v>51</v>
      </c>
      <c r="B998" t="s">
        <v>20</v>
      </c>
      <c r="C998">
        <v>12</v>
      </c>
      <c r="D998">
        <v>1522</v>
      </c>
      <c r="E998">
        <v>63</v>
      </c>
      <c r="F998">
        <v>56</v>
      </c>
      <c r="G998">
        <v>256</v>
      </c>
      <c r="H998">
        <v>50</v>
      </c>
      <c r="I998">
        <v>366</v>
      </c>
      <c r="J998">
        <v>32</v>
      </c>
      <c r="K998">
        <v>99</v>
      </c>
      <c r="L998">
        <v>53</v>
      </c>
      <c r="M998">
        <v>62</v>
      </c>
      <c r="N998">
        <v>75</v>
      </c>
      <c r="O998">
        <v>94</v>
      </c>
      <c r="P998">
        <v>26</v>
      </c>
      <c r="Q998">
        <v>0</v>
      </c>
    </row>
    <row r="999" spans="1:17" x14ac:dyDescent="0.45">
      <c r="A999" t="s">
        <v>51</v>
      </c>
      <c r="B999" t="s">
        <v>21</v>
      </c>
      <c r="C999">
        <v>12</v>
      </c>
      <c r="D999">
        <v>1700</v>
      </c>
      <c r="E999">
        <v>62</v>
      </c>
      <c r="F999">
        <v>47</v>
      </c>
      <c r="G999">
        <v>263</v>
      </c>
      <c r="H999">
        <v>64</v>
      </c>
      <c r="I999">
        <v>348</v>
      </c>
      <c r="J999">
        <v>54</v>
      </c>
      <c r="K999">
        <v>102</v>
      </c>
      <c r="L999">
        <v>58</v>
      </c>
      <c r="M999">
        <v>55</v>
      </c>
      <c r="N999">
        <v>67</v>
      </c>
      <c r="O999">
        <v>76</v>
      </c>
      <c r="P999">
        <v>23</v>
      </c>
      <c r="Q999">
        <v>2</v>
      </c>
    </row>
    <row r="1000" spans="1:17" x14ac:dyDescent="0.45">
      <c r="A1000" t="s">
        <v>78</v>
      </c>
      <c r="B1000" t="s">
        <v>20</v>
      </c>
      <c r="C1000">
        <v>1</v>
      </c>
      <c r="D1000">
        <v>524</v>
      </c>
      <c r="E1000">
        <v>32</v>
      </c>
      <c r="F1000">
        <v>34</v>
      </c>
      <c r="G1000">
        <v>105</v>
      </c>
      <c r="H1000">
        <v>8</v>
      </c>
      <c r="I1000">
        <v>108</v>
      </c>
      <c r="J1000">
        <v>25</v>
      </c>
      <c r="K1000">
        <v>84</v>
      </c>
      <c r="L1000">
        <v>27</v>
      </c>
      <c r="M1000">
        <v>24</v>
      </c>
      <c r="N1000">
        <v>26</v>
      </c>
      <c r="O1000">
        <v>36</v>
      </c>
      <c r="P1000">
        <v>18</v>
      </c>
      <c r="Q1000">
        <v>1</v>
      </c>
    </row>
    <row r="1001" spans="1:17" x14ac:dyDescent="0.45">
      <c r="A1001" t="s">
        <v>78</v>
      </c>
      <c r="B1001" t="s">
        <v>21</v>
      </c>
      <c r="C1001">
        <v>1</v>
      </c>
      <c r="D1001">
        <v>621</v>
      </c>
      <c r="E1001">
        <v>29</v>
      </c>
      <c r="F1001">
        <v>25</v>
      </c>
      <c r="G1001">
        <v>114</v>
      </c>
      <c r="H1001">
        <v>11</v>
      </c>
      <c r="I1001">
        <v>153</v>
      </c>
      <c r="J1001">
        <v>28</v>
      </c>
      <c r="K1001">
        <v>84</v>
      </c>
      <c r="L1001">
        <v>14</v>
      </c>
      <c r="M1001">
        <v>23</v>
      </c>
      <c r="N1001">
        <v>54</v>
      </c>
      <c r="O1001">
        <v>43</v>
      </c>
      <c r="P1001">
        <v>18</v>
      </c>
      <c r="Q1001">
        <v>6</v>
      </c>
    </row>
    <row r="1002" spans="1:17" x14ac:dyDescent="0.45">
      <c r="A1002" t="s">
        <v>78</v>
      </c>
      <c r="B1002" t="s">
        <v>20</v>
      </c>
      <c r="C1002">
        <v>2</v>
      </c>
      <c r="D1002">
        <v>506</v>
      </c>
      <c r="E1002">
        <v>25</v>
      </c>
      <c r="F1002">
        <v>30</v>
      </c>
      <c r="G1002">
        <v>75</v>
      </c>
      <c r="H1002">
        <v>20</v>
      </c>
      <c r="I1002">
        <v>125</v>
      </c>
      <c r="J1002">
        <v>17</v>
      </c>
      <c r="K1002">
        <v>36</v>
      </c>
      <c r="L1002">
        <v>19</v>
      </c>
      <c r="M1002">
        <v>12</v>
      </c>
      <c r="N1002">
        <v>26</v>
      </c>
      <c r="O1002">
        <v>25</v>
      </c>
      <c r="P1002">
        <v>7</v>
      </c>
      <c r="Q1002">
        <v>1</v>
      </c>
    </row>
    <row r="1003" spans="1:17" x14ac:dyDescent="0.45">
      <c r="A1003" t="s">
        <v>78</v>
      </c>
      <c r="B1003" t="s">
        <v>21</v>
      </c>
      <c r="C1003">
        <v>2</v>
      </c>
      <c r="D1003">
        <v>675</v>
      </c>
      <c r="E1003">
        <v>34</v>
      </c>
      <c r="F1003">
        <v>24</v>
      </c>
      <c r="G1003">
        <v>40</v>
      </c>
      <c r="H1003">
        <v>56</v>
      </c>
      <c r="I1003">
        <v>192</v>
      </c>
      <c r="J1003">
        <v>21</v>
      </c>
      <c r="K1003">
        <v>59</v>
      </c>
      <c r="L1003">
        <v>20</v>
      </c>
      <c r="M1003">
        <v>13</v>
      </c>
      <c r="N1003">
        <v>28</v>
      </c>
      <c r="O1003">
        <v>33</v>
      </c>
      <c r="P1003">
        <v>11</v>
      </c>
      <c r="Q1003">
        <v>6</v>
      </c>
    </row>
    <row r="1004" spans="1:17" x14ac:dyDescent="0.45">
      <c r="A1004" t="s">
        <v>78</v>
      </c>
      <c r="B1004" t="s">
        <v>20</v>
      </c>
      <c r="C1004">
        <v>3</v>
      </c>
      <c r="D1004">
        <v>599</v>
      </c>
      <c r="E1004">
        <v>32</v>
      </c>
      <c r="F1004">
        <v>59</v>
      </c>
      <c r="G1004">
        <v>166</v>
      </c>
      <c r="H1004">
        <v>10</v>
      </c>
      <c r="I1004">
        <v>137</v>
      </c>
      <c r="J1004">
        <v>28</v>
      </c>
      <c r="K1004">
        <v>97</v>
      </c>
      <c r="L1004">
        <v>28</v>
      </c>
      <c r="M1004">
        <v>23</v>
      </c>
      <c r="N1004">
        <v>122</v>
      </c>
      <c r="O1004">
        <v>80</v>
      </c>
      <c r="P1004">
        <v>80</v>
      </c>
      <c r="Q1004">
        <v>2</v>
      </c>
    </row>
    <row r="1005" spans="1:17" x14ac:dyDescent="0.45">
      <c r="A1005" t="s">
        <v>78</v>
      </c>
      <c r="B1005" t="s">
        <v>21</v>
      </c>
      <c r="C1005">
        <v>3</v>
      </c>
      <c r="D1005">
        <v>913</v>
      </c>
      <c r="E1005">
        <v>46</v>
      </c>
      <c r="F1005">
        <v>75</v>
      </c>
      <c r="G1005">
        <v>154</v>
      </c>
      <c r="H1005">
        <v>17</v>
      </c>
      <c r="I1005">
        <v>194</v>
      </c>
      <c r="J1005">
        <v>58</v>
      </c>
      <c r="K1005">
        <v>145</v>
      </c>
      <c r="L1005">
        <v>38</v>
      </c>
      <c r="M1005">
        <v>40</v>
      </c>
      <c r="N1005">
        <v>194</v>
      </c>
      <c r="O1005">
        <v>115</v>
      </c>
      <c r="P1005">
        <v>95</v>
      </c>
      <c r="Q1005">
        <v>9</v>
      </c>
    </row>
    <row r="1006" spans="1:17" x14ac:dyDescent="0.45">
      <c r="A1006" t="s">
        <v>78</v>
      </c>
      <c r="B1006" t="s">
        <v>20</v>
      </c>
      <c r="C1006">
        <v>4</v>
      </c>
      <c r="D1006">
        <v>721</v>
      </c>
      <c r="E1006">
        <v>47</v>
      </c>
      <c r="F1006">
        <v>101</v>
      </c>
      <c r="G1006">
        <v>211</v>
      </c>
      <c r="H1006">
        <v>26</v>
      </c>
      <c r="I1006">
        <v>262</v>
      </c>
      <c r="J1006">
        <v>81</v>
      </c>
      <c r="K1006">
        <v>303</v>
      </c>
      <c r="L1006">
        <v>132</v>
      </c>
      <c r="M1006">
        <v>70</v>
      </c>
      <c r="N1006">
        <v>277</v>
      </c>
      <c r="O1006">
        <v>265</v>
      </c>
      <c r="P1006">
        <v>185</v>
      </c>
      <c r="Q1006">
        <v>7</v>
      </c>
    </row>
    <row r="1007" spans="1:17" x14ac:dyDescent="0.45">
      <c r="A1007" t="s">
        <v>78</v>
      </c>
      <c r="B1007" t="s">
        <v>21</v>
      </c>
      <c r="C1007">
        <v>4</v>
      </c>
      <c r="D1007">
        <v>853</v>
      </c>
      <c r="E1007">
        <v>67</v>
      </c>
      <c r="F1007">
        <v>93</v>
      </c>
      <c r="G1007">
        <v>144</v>
      </c>
      <c r="H1007">
        <v>34</v>
      </c>
      <c r="I1007">
        <v>252</v>
      </c>
      <c r="J1007">
        <v>58</v>
      </c>
      <c r="K1007">
        <v>358</v>
      </c>
      <c r="L1007">
        <v>113</v>
      </c>
      <c r="M1007">
        <v>70</v>
      </c>
      <c r="N1007">
        <v>243</v>
      </c>
      <c r="O1007">
        <v>185</v>
      </c>
      <c r="P1007">
        <v>190</v>
      </c>
      <c r="Q1007">
        <v>22</v>
      </c>
    </row>
    <row r="1008" spans="1:17" x14ac:dyDescent="0.45">
      <c r="A1008" t="s">
        <v>78</v>
      </c>
      <c r="B1008" t="s">
        <v>20</v>
      </c>
      <c r="C1008">
        <v>5</v>
      </c>
      <c r="D1008">
        <v>525</v>
      </c>
      <c r="E1008">
        <v>62</v>
      </c>
      <c r="F1008">
        <v>59</v>
      </c>
      <c r="G1008">
        <v>120</v>
      </c>
      <c r="H1008">
        <v>18</v>
      </c>
      <c r="I1008">
        <v>191</v>
      </c>
      <c r="J1008">
        <v>54</v>
      </c>
      <c r="K1008">
        <v>177</v>
      </c>
      <c r="L1008">
        <v>53</v>
      </c>
      <c r="M1008">
        <v>37</v>
      </c>
      <c r="N1008">
        <v>142</v>
      </c>
      <c r="O1008">
        <v>150</v>
      </c>
      <c r="P1008">
        <v>89</v>
      </c>
      <c r="Q1008">
        <v>14</v>
      </c>
    </row>
    <row r="1009" spans="1:17" x14ac:dyDescent="0.45">
      <c r="A1009" t="s">
        <v>78</v>
      </c>
      <c r="B1009" t="s">
        <v>21</v>
      </c>
      <c r="C1009">
        <v>5</v>
      </c>
      <c r="D1009">
        <v>710</v>
      </c>
      <c r="E1009">
        <v>77</v>
      </c>
      <c r="F1009">
        <v>65</v>
      </c>
      <c r="G1009">
        <v>152</v>
      </c>
      <c r="H1009">
        <v>44</v>
      </c>
      <c r="I1009">
        <v>231</v>
      </c>
      <c r="J1009">
        <v>52</v>
      </c>
      <c r="K1009">
        <v>212</v>
      </c>
      <c r="L1009">
        <v>108</v>
      </c>
      <c r="M1009">
        <v>31</v>
      </c>
      <c r="N1009">
        <v>199</v>
      </c>
      <c r="O1009">
        <v>156</v>
      </c>
      <c r="P1009">
        <v>105</v>
      </c>
      <c r="Q1009">
        <v>4</v>
      </c>
    </row>
    <row r="1010" spans="1:17" x14ac:dyDescent="0.45">
      <c r="A1010" t="s">
        <v>78</v>
      </c>
      <c r="B1010" t="s">
        <v>20</v>
      </c>
      <c r="C1010">
        <v>6</v>
      </c>
      <c r="D1010">
        <v>668</v>
      </c>
      <c r="E1010">
        <v>60</v>
      </c>
      <c r="F1010">
        <v>101</v>
      </c>
      <c r="G1010">
        <v>106</v>
      </c>
      <c r="H1010">
        <v>50</v>
      </c>
      <c r="I1010">
        <v>226</v>
      </c>
      <c r="J1010">
        <v>42</v>
      </c>
      <c r="K1010">
        <v>73</v>
      </c>
      <c r="L1010">
        <v>58</v>
      </c>
      <c r="M1010">
        <v>44</v>
      </c>
      <c r="N1010">
        <v>66</v>
      </c>
      <c r="O1010">
        <v>98</v>
      </c>
      <c r="P1010">
        <v>35</v>
      </c>
      <c r="Q1010">
        <v>1</v>
      </c>
    </row>
    <row r="1011" spans="1:17" x14ac:dyDescent="0.45">
      <c r="A1011" t="s">
        <v>78</v>
      </c>
      <c r="B1011" t="s">
        <v>21</v>
      </c>
      <c r="C1011">
        <v>6</v>
      </c>
      <c r="D1011">
        <v>776</v>
      </c>
      <c r="E1011">
        <v>92</v>
      </c>
      <c r="F1011">
        <v>89</v>
      </c>
      <c r="G1011">
        <v>141</v>
      </c>
      <c r="H1011">
        <v>32</v>
      </c>
      <c r="I1011">
        <v>220</v>
      </c>
      <c r="J1011">
        <v>38</v>
      </c>
      <c r="K1011">
        <v>143</v>
      </c>
      <c r="L1011">
        <v>70</v>
      </c>
      <c r="M1011">
        <v>41</v>
      </c>
      <c r="N1011">
        <v>84</v>
      </c>
      <c r="O1011">
        <v>123</v>
      </c>
      <c r="P1011">
        <v>57</v>
      </c>
      <c r="Q1011">
        <v>2</v>
      </c>
    </row>
    <row r="1012" spans="1:17" x14ac:dyDescent="0.45">
      <c r="A1012" t="s">
        <v>78</v>
      </c>
      <c r="B1012" t="s">
        <v>20</v>
      </c>
      <c r="C1012">
        <v>7</v>
      </c>
      <c r="D1012">
        <v>589</v>
      </c>
      <c r="E1012">
        <v>35</v>
      </c>
      <c r="F1012">
        <v>81</v>
      </c>
      <c r="G1012">
        <v>78</v>
      </c>
      <c r="H1012">
        <v>20</v>
      </c>
      <c r="I1012">
        <v>237</v>
      </c>
      <c r="J1012">
        <v>42</v>
      </c>
      <c r="K1012">
        <v>68</v>
      </c>
      <c r="L1012">
        <v>32</v>
      </c>
      <c r="M1012">
        <v>36</v>
      </c>
      <c r="N1012">
        <v>63</v>
      </c>
      <c r="O1012">
        <v>70</v>
      </c>
      <c r="P1012">
        <v>46</v>
      </c>
      <c r="Q1012">
        <v>1</v>
      </c>
    </row>
    <row r="1013" spans="1:17" x14ac:dyDescent="0.45">
      <c r="A1013" t="s">
        <v>78</v>
      </c>
      <c r="B1013" t="s">
        <v>21</v>
      </c>
      <c r="C1013">
        <v>7</v>
      </c>
      <c r="D1013">
        <v>777</v>
      </c>
      <c r="E1013">
        <v>50</v>
      </c>
      <c r="F1013">
        <v>57</v>
      </c>
      <c r="G1013">
        <v>73</v>
      </c>
      <c r="H1013">
        <v>42</v>
      </c>
      <c r="I1013">
        <v>241</v>
      </c>
      <c r="J1013">
        <v>36</v>
      </c>
      <c r="K1013">
        <v>58</v>
      </c>
      <c r="L1013">
        <v>29</v>
      </c>
      <c r="M1013">
        <v>32</v>
      </c>
      <c r="N1013">
        <v>67</v>
      </c>
      <c r="O1013">
        <v>49</v>
      </c>
      <c r="P1013">
        <v>23</v>
      </c>
      <c r="Q1013">
        <v>3</v>
      </c>
    </row>
    <row r="1014" spans="1:17" x14ac:dyDescent="0.45">
      <c r="A1014" t="s">
        <v>78</v>
      </c>
      <c r="B1014" t="s">
        <v>20</v>
      </c>
      <c r="C1014">
        <v>8</v>
      </c>
      <c r="D1014">
        <v>578</v>
      </c>
      <c r="E1014">
        <v>40</v>
      </c>
      <c r="F1014">
        <v>67</v>
      </c>
      <c r="G1014">
        <v>49</v>
      </c>
      <c r="H1014">
        <v>18</v>
      </c>
      <c r="I1014">
        <v>229</v>
      </c>
      <c r="J1014">
        <v>44</v>
      </c>
      <c r="K1014">
        <v>12</v>
      </c>
      <c r="L1014">
        <v>19</v>
      </c>
      <c r="M1014">
        <v>21</v>
      </c>
      <c r="N1014">
        <v>17</v>
      </c>
      <c r="O1014">
        <v>12</v>
      </c>
      <c r="P1014">
        <v>3</v>
      </c>
      <c r="Q1014">
        <v>0</v>
      </c>
    </row>
    <row r="1015" spans="1:17" x14ac:dyDescent="0.45">
      <c r="A1015" t="s">
        <v>78</v>
      </c>
      <c r="B1015" t="s">
        <v>21</v>
      </c>
      <c r="C1015">
        <v>8</v>
      </c>
      <c r="D1015">
        <v>677</v>
      </c>
      <c r="E1015">
        <v>35</v>
      </c>
      <c r="F1015">
        <v>88</v>
      </c>
      <c r="G1015">
        <v>75</v>
      </c>
      <c r="H1015">
        <v>13</v>
      </c>
      <c r="I1015">
        <v>241</v>
      </c>
      <c r="J1015">
        <v>16</v>
      </c>
      <c r="K1015">
        <v>15</v>
      </c>
      <c r="L1015">
        <v>23</v>
      </c>
      <c r="M1015">
        <v>21</v>
      </c>
      <c r="N1015">
        <v>11</v>
      </c>
      <c r="O1015">
        <v>21</v>
      </c>
      <c r="P1015">
        <v>9</v>
      </c>
      <c r="Q1015">
        <v>0</v>
      </c>
    </row>
    <row r="1016" spans="1:17" x14ac:dyDescent="0.45">
      <c r="A1016" t="s">
        <v>78</v>
      </c>
      <c r="B1016" t="s">
        <v>20</v>
      </c>
      <c r="C1016">
        <v>9</v>
      </c>
      <c r="D1016">
        <v>661</v>
      </c>
      <c r="E1016">
        <v>38</v>
      </c>
      <c r="F1016">
        <v>76</v>
      </c>
      <c r="G1016">
        <v>60</v>
      </c>
      <c r="H1016">
        <v>48</v>
      </c>
      <c r="I1016">
        <v>218</v>
      </c>
      <c r="J1016">
        <v>42</v>
      </c>
      <c r="K1016">
        <v>19</v>
      </c>
      <c r="L1016">
        <v>18</v>
      </c>
      <c r="M1016">
        <v>35</v>
      </c>
      <c r="N1016">
        <v>9</v>
      </c>
      <c r="O1016">
        <v>21</v>
      </c>
      <c r="P1016">
        <v>7</v>
      </c>
      <c r="Q1016">
        <v>0</v>
      </c>
    </row>
    <row r="1017" spans="1:17" x14ac:dyDescent="0.45">
      <c r="A1017" t="s">
        <v>78</v>
      </c>
      <c r="B1017" t="s">
        <v>21</v>
      </c>
      <c r="C1017">
        <v>9</v>
      </c>
      <c r="D1017">
        <v>749</v>
      </c>
      <c r="E1017">
        <v>40</v>
      </c>
      <c r="F1017">
        <v>71</v>
      </c>
      <c r="G1017">
        <v>64</v>
      </c>
      <c r="H1017">
        <v>16</v>
      </c>
      <c r="I1017">
        <v>223</v>
      </c>
      <c r="J1017">
        <v>28</v>
      </c>
      <c r="K1017">
        <v>28</v>
      </c>
      <c r="L1017">
        <v>17</v>
      </c>
      <c r="M1017">
        <v>31</v>
      </c>
      <c r="N1017">
        <v>19</v>
      </c>
      <c r="O1017">
        <v>8</v>
      </c>
      <c r="P1017">
        <v>9</v>
      </c>
      <c r="Q1017">
        <v>2</v>
      </c>
    </row>
    <row r="1018" spans="1:17" x14ac:dyDescent="0.45">
      <c r="A1018" t="s">
        <v>78</v>
      </c>
      <c r="B1018" t="s">
        <v>20</v>
      </c>
      <c r="C1018">
        <v>10</v>
      </c>
      <c r="D1018">
        <v>738</v>
      </c>
      <c r="E1018">
        <v>93</v>
      </c>
      <c r="F1018">
        <v>146</v>
      </c>
      <c r="G1018">
        <v>57</v>
      </c>
      <c r="H1018">
        <v>92</v>
      </c>
      <c r="I1018">
        <v>340</v>
      </c>
      <c r="J1018">
        <v>70</v>
      </c>
      <c r="K1018">
        <v>54</v>
      </c>
      <c r="L1018">
        <v>35</v>
      </c>
      <c r="M1018">
        <v>37</v>
      </c>
      <c r="N1018">
        <v>32</v>
      </c>
      <c r="O1018">
        <v>32</v>
      </c>
      <c r="P1018">
        <v>19</v>
      </c>
      <c r="Q1018">
        <v>0</v>
      </c>
    </row>
    <row r="1019" spans="1:17" x14ac:dyDescent="0.45">
      <c r="A1019" t="s">
        <v>78</v>
      </c>
      <c r="B1019" t="s">
        <v>21</v>
      </c>
      <c r="C1019">
        <v>10</v>
      </c>
      <c r="D1019">
        <v>852</v>
      </c>
      <c r="E1019">
        <v>99</v>
      </c>
      <c r="F1019">
        <v>84</v>
      </c>
      <c r="G1019">
        <v>133</v>
      </c>
      <c r="H1019">
        <v>24</v>
      </c>
      <c r="I1019">
        <v>305</v>
      </c>
      <c r="J1019">
        <v>42</v>
      </c>
      <c r="K1019">
        <v>50</v>
      </c>
      <c r="L1019">
        <v>39</v>
      </c>
      <c r="M1019">
        <v>41</v>
      </c>
      <c r="N1019">
        <v>44</v>
      </c>
      <c r="O1019">
        <v>71</v>
      </c>
      <c r="P1019">
        <v>23</v>
      </c>
      <c r="Q1019">
        <v>0</v>
      </c>
    </row>
    <row r="1020" spans="1:17" x14ac:dyDescent="0.45">
      <c r="A1020" t="s">
        <v>78</v>
      </c>
      <c r="B1020" t="s">
        <v>20</v>
      </c>
      <c r="C1020">
        <v>11</v>
      </c>
      <c r="D1020">
        <v>633</v>
      </c>
      <c r="E1020">
        <v>68</v>
      </c>
      <c r="F1020">
        <v>98</v>
      </c>
      <c r="G1020">
        <v>69</v>
      </c>
      <c r="H1020">
        <v>76</v>
      </c>
      <c r="I1020">
        <v>265</v>
      </c>
      <c r="J1020">
        <v>66</v>
      </c>
      <c r="K1020">
        <v>52</v>
      </c>
      <c r="L1020">
        <v>27</v>
      </c>
      <c r="M1020">
        <v>440</v>
      </c>
      <c r="N1020">
        <v>39</v>
      </c>
      <c r="O1020">
        <v>52</v>
      </c>
      <c r="P1020">
        <v>17</v>
      </c>
      <c r="Q1020">
        <v>0</v>
      </c>
    </row>
    <row r="1021" spans="1:17" x14ac:dyDescent="0.45">
      <c r="A1021" t="s">
        <v>78</v>
      </c>
      <c r="B1021" t="s">
        <v>21</v>
      </c>
      <c r="C1021">
        <v>11</v>
      </c>
      <c r="D1021">
        <v>821</v>
      </c>
      <c r="E1021">
        <v>73</v>
      </c>
      <c r="F1021">
        <v>95</v>
      </c>
      <c r="G1021">
        <v>99</v>
      </c>
      <c r="H1021">
        <v>34</v>
      </c>
      <c r="I1021">
        <v>226</v>
      </c>
      <c r="J1021">
        <v>26</v>
      </c>
      <c r="K1021">
        <v>46</v>
      </c>
      <c r="L1021">
        <v>29</v>
      </c>
      <c r="M1021">
        <v>29</v>
      </c>
      <c r="N1021">
        <v>42</v>
      </c>
      <c r="O1021">
        <v>48</v>
      </c>
      <c r="P1021">
        <v>10</v>
      </c>
      <c r="Q1021">
        <v>0</v>
      </c>
    </row>
    <row r="1022" spans="1:17" x14ac:dyDescent="0.45">
      <c r="A1022" t="s">
        <v>78</v>
      </c>
      <c r="B1022" t="s">
        <v>20</v>
      </c>
      <c r="C1022">
        <v>12</v>
      </c>
      <c r="D1022">
        <v>686</v>
      </c>
      <c r="E1022">
        <v>35</v>
      </c>
      <c r="F1022">
        <v>61</v>
      </c>
      <c r="G1022">
        <v>127</v>
      </c>
      <c r="H1022">
        <v>30</v>
      </c>
      <c r="I1022">
        <v>216</v>
      </c>
      <c r="J1022">
        <v>41</v>
      </c>
      <c r="K1022">
        <v>63</v>
      </c>
      <c r="L1022">
        <v>53</v>
      </c>
      <c r="M1022">
        <v>45</v>
      </c>
      <c r="N1022">
        <v>40</v>
      </c>
      <c r="O1022">
        <v>59</v>
      </c>
      <c r="P1022">
        <v>18</v>
      </c>
      <c r="Q1022">
        <v>6</v>
      </c>
    </row>
    <row r="1023" spans="1:17" x14ac:dyDescent="0.45">
      <c r="A1023" t="s">
        <v>78</v>
      </c>
      <c r="B1023" t="s">
        <v>21</v>
      </c>
      <c r="C1023">
        <v>12</v>
      </c>
      <c r="D1023">
        <v>860</v>
      </c>
      <c r="E1023">
        <v>53</v>
      </c>
      <c r="F1023">
        <v>68</v>
      </c>
      <c r="G1023">
        <v>175</v>
      </c>
      <c r="H1023">
        <v>18</v>
      </c>
      <c r="I1023">
        <v>253</v>
      </c>
      <c r="J1023">
        <v>40</v>
      </c>
      <c r="K1023">
        <v>71</v>
      </c>
      <c r="L1023">
        <v>39</v>
      </c>
      <c r="M1023">
        <v>43</v>
      </c>
      <c r="N1023">
        <v>59</v>
      </c>
      <c r="O1023">
        <v>57</v>
      </c>
      <c r="P1023">
        <v>13</v>
      </c>
      <c r="Q1023">
        <v>3</v>
      </c>
    </row>
    <row r="1024" spans="1:17" x14ac:dyDescent="0.45">
      <c r="A1024" t="s">
        <v>38</v>
      </c>
      <c r="B1024" t="s">
        <v>20</v>
      </c>
      <c r="C1024">
        <v>1</v>
      </c>
      <c r="D1024">
        <v>784</v>
      </c>
      <c r="E1024">
        <v>68</v>
      </c>
      <c r="F1024">
        <v>47</v>
      </c>
      <c r="G1024">
        <v>152</v>
      </c>
      <c r="H1024">
        <v>3</v>
      </c>
      <c r="I1024">
        <v>163</v>
      </c>
      <c r="J1024">
        <v>24</v>
      </c>
      <c r="K1024">
        <v>104</v>
      </c>
      <c r="L1024">
        <v>28</v>
      </c>
      <c r="M1024">
        <v>26</v>
      </c>
      <c r="N1024">
        <v>65</v>
      </c>
      <c r="O1024">
        <v>45</v>
      </c>
      <c r="P1024">
        <v>20</v>
      </c>
      <c r="Q1024">
        <v>8</v>
      </c>
    </row>
    <row r="1025" spans="1:17" x14ac:dyDescent="0.45">
      <c r="A1025" t="s">
        <v>38</v>
      </c>
      <c r="B1025" t="s">
        <v>21</v>
      </c>
      <c r="C1025">
        <v>1</v>
      </c>
      <c r="D1025">
        <v>977</v>
      </c>
      <c r="E1025">
        <v>45</v>
      </c>
      <c r="F1025">
        <v>31</v>
      </c>
      <c r="G1025">
        <v>143</v>
      </c>
      <c r="H1025">
        <v>7</v>
      </c>
      <c r="I1025">
        <v>169</v>
      </c>
      <c r="J1025">
        <v>42</v>
      </c>
      <c r="K1025">
        <v>99</v>
      </c>
      <c r="L1025">
        <v>21</v>
      </c>
      <c r="M1025">
        <v>23</v>
      </c>
      <c r="N1025">
        <v>67</v>
      </c>
      <c r="O1025">
        <v>33</v>
      </c>
      <c r="P1025">
        <v>23</v>
      </c>
      <c r="Q1025">
        <v>3</v>
      </c>
    </row>
    <row r="1026" spans="1:17" x14ac:dyDescent="0.45">
      <c r="A1026" t="s">
        <v>38</v>
      </c>
      <c r="B1026" t="s">
        <v>20</v>
      </c>
      <c r="C1026">
        <v>2</v>
      </c>
      <c r="D1026">
        <v>790</v>
      </c>
      <c r="E1026">
        <v>49</v>
      </c>
      <c r="F1026">
        <v>16</v>
      </c>
      <c r="G1026">
        <v>90</v>
      </c>
      <c r="H1026">
        <v>60</v>
      </c>
      <c r="I1026">
        <v>193</v>
      </c>
      <c r="J1026">
        <v>23</v>
      </c>
      <c r="K1026">
        <v>74</v>
      </c>
      <c r="L1026">
        <v>20</v>
      </c>
      <c r="M1026">
        <v>22</v>
      </c>
      <c r="N1026">
        <v>79</v>
      </c>
      <c r="O1026">
        <v>52</v>
      </c>
      <c r="P1026">
        <v>14</v>
      </c>
      <c r="Q1026">
        <v>4</v>
      </c>
    </row>
    <row r="1027" spans="1:17" x14ac:dyDescent="0.45">
      <c r="A1027" t="s">
        <v>38</v>
      </c>
      <c r="B1027" t="s">
        <v>21</v>
      </c>
      <c r="C1027">
        <v>2</v>
      </c>
      <c r="D1027">
        <v>955</v>
      </c>
      <c r="E1027">
        <v>30</v>
      </c>
      <c r="F1027">
        <v>37</v>
      </c>
      <c r="G1027">
        <v>91</v>
      </c>
      <c r="H1027">
        <v>56</v>
      </c>
      <c r="I1027">
        <v>183</v>
      </c>
      <c r="J1027">
        <v>34</v>
      </c>
      <c r="K1027">
        <v>99</v>
      </c>
      <c r="L1027">
        <v>24</v>
      </c>
      <c r="M1027">
        <v>17</v>
      </c>
      <c r="N1027">
        <v>67</v>
      </c>
      <c r="O1027">
        <v>41</v>
      </c>
      <c r="P1027">
        <v>20</v>
      </c>
      <c r="Q1027">
        <v>9</v>
      </c>
    </row>
    <row r="1028" spans="1:17" x14ac:dyDescent="0.45">
      <c r="A1028" t="s">
        <v>38</v>
      </c>
      <c r="B1028" t="s">
        <v>20</v>
      </c>
      <c r="C1028">
        <v>3</v>
      </c>
      <c r="D1028">
        <v>1102</v>
      </c>
      <c r="E1028">
        <v>100</v>
      </c>
      <c r="F1028">
        <v>69</v>
      </c>
      <c r="G1028">
        <v>259</v>
      </c>
      <c r="H1028">
        <v>7</v>
      </c>
      <c r="I1028">
        <v>181</v>
      </c>
      <c r="J1028">
        <v>37</v>
      </c>
      <c r="K1028">
        <v>121</v>
      </c>
      <c r="L1028">
        <v>40</v>
      </c>
      <c r="M1028">
        <v>41</v>
      </c>
      <c r="N1028">
        <v>209</v>
      </c>
      <c r="O1028">
        <v>97</v>
      </c>
      <c r="P1028">
        <v>113</v>
      </c>
      <c r="Q1028">
        <v>34</v>
      </c>
    </row>
    <row r="1029" spans="1:17" x14ac:dyDescent="0.45">
      <c r="A1029" t="s">
        <v>38</v>
      </c>
      <c r="B1029" t="s">
        <v>21</v>
      </c>
      <c r="C1029">
        <v>3</v>
      </c>
      <c r="D1029">
        <v>1372</v>
      </c>
      <c r="E1029">
        <v>72</v>
      </c>
      <c r="F1029">
        <v>68</v>
      </c>
      <c r="G1029">
        <v>237</v>
      </c>
      <c r="H1029">
        <v>10</v>
      </c>
      <c r="I1029">
        <v>202</v>
      </c>
      <c r="J1029">
        <v>40</v>
      </c>
      <c r="K1029">
        <v>174</v>
      </c>
      <c r="L1029">
        <v>50</v>
      </c>
      <c r="M1029">
        <v>45</v>
      </c>
      <c r="N1029">
        <v>292</v>
      </c>
      <c r="O1029">
        <v>138</v>
      </c>
      <c r="P1029">
        <v>161</v>
      </c>
      <c r="Q1029">
        <v>30</v>
      </c>
    </row>
    <row r="1030" spans="1:17" x14ac:dyDescent="0.45">
      <c r="A1030" t="s">
        <v>38</v>
      </c>
      <c r="B1030" t="s">
        <v>20</v>
      </c>
      <c r="C1030">
        <v>4</v>
      </c>
      <c r="D1030">
        <v>1068</v>
      </c>
      <c r="E1030">
        <v>85</v>
      </c>
      <c r="F1030">
        <v>79</v>
      </c>
      <c r="G1030">
        <v>318</v>
      </c>
      <c r="H1030">
        <v>10</v>
      </c>
      <c r="I1030">
        <v>255</v>
      </c>
      <c r="J1030">
        <v>76</v>
      </c>
      <c r="K1030">
        <v>369</v>
      </c>
      <c r="L1030">
        <v>128</v>
      </c>
      <c r="M1030">
        <v>65</v>
      </c>
      <c r="N1030">
        <v>551</v>
      </c>
      <c r="O1030">
        <v>262</v>
      </c>
      <c r="P1030">
        <v>319</v>
      </c>
      <c r="Q1030">
        <v>25</v>
      </c>
    </row>
    <row r="1031" spans="1:17" x14ac:dyDescent="0.45">
      <c r="A1031" t="s">
        <v>38</v>
      </c>
      <c r="B1031" t="s">
        <v>21</v>
      </c>
      <c r="C1031">
        <v>4</v>
      </c>
      <c r="D1031">
        <v>1227</v>
      </c>
      <c r="E1031">
        <v>66</v>
      </c>
      <c r="F1031">
        <v>73</v>
      </c>
      <c r="G1031">
        <v>289</v>
      </c>
      <c r="H1031">
        <v>33</v>
      </c>
      <c r="I1031">
        <v>278</v>
      </c>
      <c r="J1031">
        <v>78</v>
      </c>
      <c r="K1031">
        <v>318</v>
      </c>
      <c r="L1031">
        <v>144</v>
      </c>
      <c r="M1031">
        <v>76</v>
      </c>
      <c r="N1031">
        <v>510</v>
      </c>
      <c r="O1031">
        <v>244</v>
      </c>
      <c r="P1031">
        <v>243</v>
      </c>
      <c r="Q1031">
        <v>33</v>
      </c>
    </row>
    <row r="1032" spans="1:17" x14ac:dyDescent="0.45">
      <c r="A1032" t="s">
        <v>38</v>
      </c>
      <c r="B1032" t="s">
        <v>20</v>
      </c>
      <c r="C1032">
        <v>5</v>
      </c>
      <c r="D1032">
        <v>941</v>
      </c>
      <c r="E1032">
        <v>102</v>
      </c>
      <c r="F1032">
        <v>56</v>
      </c>
      <c r="G1032">
        <v>232</v>
      </c>
      <c r="H1032">
        <v>16</v>
      </c>
      <c r="I1032">
        <v>276</v>
      </c>
      <c r="J1032">
        <v>39</v>
      </c>
      <c r="K1032">
        <v>238</v>
      </c>
      <c r="L1032">
        <v>85</v>
      </c>
      <c r="M1032">
        <v>48</v>
      </c>
      <c r="N1032">
        <v>326</v>
      </c>
      <c r="O1032">
        <v>174</v>
      </c>
      <c r="P1032">
        <v>164</v>
      </c>
      <c r="Q1032">
        <v>5</v>
      </c>
    </row>
    <row r="1033" spans="1:17" x14ac:dyDescent="0.45">
      <c r="A1033" t="s">
        <v>38</v>
      </c>
      <c r="B1033" t="s">
        <v>21</v>
      </c>
      <c r="C1033">
        <v>5</v>
      </c>
      <c r="D1033">
        <v>1054</v>
      </c>
      <c r="E1033">
        <v>128</v>
      </c>
      <c r="F1033">
        <v>73</v>
      </c>
      <c r="G1033">
        <v>256</v>
      </c>
      <c r="H1033">
        <v>17</v>
      </c>
      <c r="I1033">
        <v>274</v>
      </c>
      <c r="J1033">
        <v>52</v>
      </c>
      <c r="K1033">
        <v>259</v>
      </c>
      <c r="L1033">
        <v>101</v>
      </c>
      <c r="M1033">
        <v>42</v>
      </c>
      <c r="N1033">
        <v>350</v>
      </c>
      <c r="O1033">
        <v>206</v>
      </c>
      <c r="P1033">
        <v>170</v>
      </c>
      <c r="Q1033">
        <v>29</v>
      </c>
    </row>
    <row r="1034" spans="1:17" x14ac:dyDescent="0.45">
      <c r="A1034" t="s">
        <v>38</v>
      </c>
      <c r="B1034" t="s">
        <v>20</v>
      </c>
      <c r="C1034">
        <v>6</v>
      </c>
      <c r="D1034">
        <v>1119</v>
      </c>
      <c r="E1034">
        <v>103</v>
      </c>
      <c r="F1034">
        <v>69</v>
      </c>
      <c r="G1034">
        <v>217</v>
      </c>
      <c r="H1034">
        <v>49</v>
      </c>
      <c r="I1034">
        <v>310</v>
      </c>
      <c r="J1034">
        <v>42</v>
      </c>
      <c r="K1034">
        <v>118</v>
      </c>
      <c r="L1034">
        <v>64</v>
      </c>
      <c r="M1034">
        <v>41</v>
      </c>
      <c r="N1034">
        <v>178</v>
      </c>
      <c r="O1034">
        <v>119</v>
      </c>
      <c r="P1034">
        <v>95</v>
      </c>
      <c r="Q1034">
        <v>4</v>
      </c>
    </row>
    <row r="1035" spans="1:17" x14ac:dyDescent="0.45">
      <c r="A1035" t="s">
        <v>38</v>
      </c>
      <c r="B1035" t="s">
        <v>21</v>
      </c>
      <c r="C1035">
        <v>6</v>
      </c>
      <c r="D1035">
        <v>1154</v>
      </c>
      <c r="E1035">
        <v>110</v>
      </c>
      <c r="F1035">
        <v>87</v>
      </c>
      <c r="G1035">
        <v>209</v>
      </c>
      <c r="H1035">
        <v>23</v>
      </c>
      <c r="I1035">
        <v>284</v>
      </c>
      <c r="J1035">
        <v>47</v>
      </c>
      <c r="K1035">
        <v>153</v>
      </c>
      <c r="L1035">
        <v>77</v>
      </c>
      <c r="M1035">
        <v>54</v>
      </c>
      <c r="N1035">
        <v>232</v>
      </c>
      <c r="O1035">
        <v>132</v>
      </c>
      <c r="P1035">
        <v>95</v>
      </c>
      <c r="Q1035">
        <v>3</v>
      </c>
    </row>
    <row r="1036" spans="1:17" x14ac:dyDescent="0.45">
      <c r="A1036" t="s">
        <v>38</v>
      </c>
      <c r="B1036" t="s">
        <v>20</v>
      </c>
      <c r="C1036">
        <v>7</v>
      </c>
      <c r="D1036">
        <v>1123</v>
      </c>
      <c r="E1036">
        <v>100</v>
      </c>
      <c r="F1036">
        <v>59</v>
      </c>
      <c r="G1036">
        <v>164</v>
      </c>
      <c r="H1036">
        <v>35</v>
      </c>
      <c r="I1036">
        <v>284</v>
      </c>
      <c r="J1036">
        <v>31</v>
      </c>
      <c r="K1036">
        <v>80</v>
      </c>
      <c r="L1036">
        <v>36</v>
      </c>
      <c r="M1036">
        <v>32</v>
      </c>
      <c r="N1036">
        <v>94</v>
      </c>
      <c r="O1036">
        <v>92</v>
      </c>
      <c r="P1036">
        <v>49</v>
      </c>
      <c r="Q1036">
        <v>0</v>
      </c>
    </row>
    <row r="1037" spans="1:17" x14ac:dyDescent="0.45">
      <c r="A1037" t="s">
        <v>38</v>
      </c>
      <c r="B1037" t="s">
        <v>21</v>
      </c>
      <c r="C1037">
        <v>7</v>
      </c>
      <c r="D1037">
        <v>1136</v>
      </c>
      <c r="E1037">
        <v>61</v>
      </c>
      <c r="F1037">
        <v>85</v>
      </c>
      <c r="G1037">
        <v>95</v>
      </c>
      <c r="H1037">
        <v>76</v>
      </c>
      <c r="I1037">
        <v>379</v>
      </c>
      <c r="J1037">
        <v>42</v>
      </c>
      <c r="K1037">
        <v>56</v>
      </c>
      <c r="L1037">
        <v>36</v>
      </c>
      <c r="M1037">
        <v>39</v>
      </c>
      <c r="N1037">
        <v>92</v>
      </c>
      <c r="O1037">
        <v>48</v>
      </c>
      <c r="P1037">
        <v>33</v>
      </c>
      <c r="Q1037">
        <v>2</v>
      </c>
    </row>
    <row r="1038" spans="1:17" x14ac:dyDescent="0.45">
      <c r="A1038" t="s">
        <v>38</v>
      </c>
      <c r="B1038" t="s">
        <v>20</v>
      </c>
      <c r="C1038">
        <v>8</v>
      </c>
      <c r="D1038">
        <v>896</v>
      </c>
      <c r="E1038">
        <v>92</v>
      </c>
      <c r="F1038">
        <v>55</v>
      </c>
      <c r="G1038">
        <v>87</v>
      </c>
      <c r="H1038">
        <v>30</v>
      </c>
      <c r="I1038">
        <v>286</v>
      </c>
      <c r="J1038">
        <v>18</v>
      </c>
      <c r="K1038">
        <v>40</v>
      </c>
      <c r="L1038">
        <v>31</v>
      </c>
      <c r="M1038">
        <v>43</v>
      </c>
      <c r="N1038">
        <v>21</v>
      </c>
      <c r="O1038">
        <v>21</v>
      </c>
      <c r="P1038">
        <v>9</v>
      </c>
      <c r="Q1038">
        <v>0</v>
      </c>
    </row>
    <row r="1039" spans="1:17" x14ac:dyDescent="0.45">
      <c r="A1039" t="s">
        <v>38</v>
      </c>
      <c r="B1039" t="s">
        <v>21</v>
      </c>
      <c r="C1039">
        <v>8</v>
      </c>
      <c r="D1039">
        <v>946</v>
      </c>
      <c r="E1039">
        <v>95</v>
      </c>
      <c r="F1039">
        <v>49</v>
      </c>
      <c r="G1039">
        <v>106</v>
      </c>
      <c r="H1039">
        <v>4</v>
      </c>
      <c r="I1039">
        <v>279</v>
      </c>
      <c r="J1039">
        <v>29</v>
      </c>
      <c r="K1039">
        <v>44</v>
      </c>
      <c r="L1039">
        <v>32</v>
      </c>
      <c r="M1039">
        <v>60</v>
      </c>
      <c r="N1039">
        <v>52</v>
      </c>
      <c r="O1039">
        <v>36</v>
      </c>
      <c r="P1039">
        <v>25</v>
      </c>
      <c r="Q1039">
        <v>0</v>
      </c>
    </row>
    <row r="1040" spans="1:17" x14ac:dyDescent="0.45">
      <c r="A1040" t="s">
        <v>38</v>
      </c>
      <c r="B1040" t="s">
        <v>20</v>
      </c>
      <c r="C1040">
        <v>9</v>
      </c>
      <c r="D1040">
        <v>1012</v>
      </c>
      <c r="E1040">
        <v>123</v>
      </c>
      <c r="F1040">
        <v>84</v>
      </c>
      <c r="G1040">
        <v>62</v>
      </c>
      <c r="H1040">
        <v>33</v>
      </c>
      <c r="I1040">
        <v>303</v>
      </c>
      <c r="J1040">
        <v>57</v>
      </c>
      <c r="K1040">
        <v>30</v>
      </c>
      <c r="L1040">
        <v>22</v>
      </c>
      <c r="M1040">
        <v>54</v>
      </c>
      <c r="N1040">
        <v>33</v>
      </c>
      <c r="O1040">
        <v>44</v>
      </c>
      <c r="P1040">
        <v>12</v>
      </c>
      <c r="Q1040">
        <v>0</v>
      </c>
    </row>
    <row r="1041" spans="1:17" x14ac:dyDescent="0.45">
      <c r="A1041" t="s">
        <v>38</v>
      </c>
      <c r="B1041" t="s">
        <v>21</v>
      </c>
      <c r="C1041">
        <v>9</v>
      </c>
      <c r="D1041">
        <v>969</v>
      </c>
      <c r="E1041">
        <v>75</v>
      </c>
      <c r="F1041">
        <v>45</v>
      </c>
      <c r="G1041">
        <v>119</v>
      </c>
      <c r="H1041">
        <v>8</v>
      </c>
      <c r="I1041">
        <v>278</v>
      </c>
      <c r="J1041">
        <v>35</v>
      </c>
      <c r="K1041">
        <v>65</v>
      </c>
      <c r="L1041">
        <v>28</v>
      </c>
      <c r="M1041">
        <v>36</v>
      </c>
      <c r="N1041">
        <v>34</v>
      </c>
      <c r="O1041">
        <v>40</v>
      </c>
      <c r="P1041">
        <v>15</v>
      </c>
      <c r="Q1041">
        <v>0</v>
      </c>
    </row>
    <row r="1042" spans="1:17" x14ac:dyDescent="0.45">
      <c r="A1042" t="s">
        <v>38</v>
      </c>
      <c r="B1042" t="s">
        <v>20</v>
      </c>
      <c r="C1042">
        <v>10</v>
      </c>
      <c r="D1042">
        <v>1294</v>
      </c>
      <c r="E1042">
        <v>163</v>
      </c>
      <c r="F1042">
        <v>118</v>
      </c>
      <c r="G1042">
        <v>95</v>
      </c>
      <c r="H1042">
        <v>104</v>
      </c>
      <c r="I1042">
        <v>449</v>
      </c>
      <c r="J1042">
        <v>63</v>
      </c>
      <c r="K1042">
        <v>82</v>
      </c>
      <c r="L1042">
        <v>43</v>
      </c>
      <c r="M1042">
        <v>80</v>
      </c>
      <c r="N1042">
        <v>90</v>
      </c>
      <c r="O1042">
        <v>72</v>
      </c>
      <c r="P1042">
        <v>44</v>
      </c>
      <c r="Q1042">
        <v>2</v>
      </c>
    </row>
    <row r="1043" spans="1:17" x14ac:dyDescent="0.45">
      <c r="A1043" t="s">
        <v>38</v>
      </c>
      <c r="B1043" t="s">
        <v>21</v>
      </c>
      <c r="C1043">
        <v>10</v>
      </c>
      <c r="D1043">
        <v>1469</v>
      </c>
      <c r="E1043">
        <v>103</v>
      </c>
      <c r="F1043">
        <v>76</v>
      </c>
      <c r="G1043">
        <v>210</v>
      </c>
      <c r="H1043">
        <v>10</v>
      </c>
      <c r="I1043">
        <v>376</v>
      </c>
      <c r="J1043">
        <v>75</v>
      </c>
      <c r="K1043">
        <v>83</v>
      </c>
      <c r="L1043">
        <v>61</v>
      </c>
      <c r="M1043">
        <v>57</v>
      </c>
      <c r="N1043">
        <v>98</v>
      </c>
      <c r="O1043">
        <v>81</v>
      </c>
      <c r="P1043">
        <v>32</v>
      </c>
      <c r="Q1043">
        <v>0</v>
      </c>
    </row>
    <row r="1044" spans="1:17" x14ac:dyDescent="0.45">
      <c r="A1044" t="s">
        <v>38</v>
      </c>
      <c r="B1044" t="s">
        <v>20</v>
      </c>
      <c r="C1044">
        <v>11</v>
      </c>
      <c r="D1044">
        <v>1057</v>
      </c>
      <c r="E1044">
        <v>100</v>
      </c>
      <c r="F1044">
        <v>72</v>
      </c>
      <c r="G1044">
        <v>150</v>
      </c>
      <c r="H1044">
        <v>81</v>
      </c>
      <c r="I1044">
        <v>389</v>
      </c>
      <c r="J1044">
        <v>57</v>
      </c>
      <c r="K1044">
        <v>91</v>
      </c>
      <c r="L1044">
        <v>59</v>
      </c>
      <c r="M1044">
        <v>58</v>
      </c>
      <c r="N1044">
        <v>110</v>
      </c>
      <c r="O1044">
        <v>71</v>
      </c>
      <c r="P1044">
        <v>31</v>
      </c>
      <c r="Q1044">
        <v>4</v>
      </c>
    </row>
    <row r="1045" spans="1:17" x14ac:dyDescent="0.45">
      <c r="A1045" t="s">
        <v>38</v>
      </c>
      <c r="B1045" t="s">
        <v>21</v>
      </c>
      <c r="C1045">
        <v>11</v>
      </c>
      <c r="D1045">
        <v>1210</v>
      </c>
      <c r="E1045">
        <v>94</v>
      </c>
      <c r="F1045">
        <v>48</v>
      </c>
      <c r="G1045">
        <v>150</v>
      </c>
      <c r="H1045">
        <v>41</v>
      </c>
      <c r="I1045">
        <v>300</v>
      </c>
      <c r="J1045">
        <v>44</v>
      </c>
      <c r="K1045">
        <v>102</v>
      </c>
      <c r="L1045">
        <v>38</v>
      </c>
      <c r="M1045">
        <v>60</v>
      </c>
      <c r="N1045">
        <v>85</v>
      </c>
      <c r="O1045">
        <v>58</v>
      </c>
      <c r="P1045">
        <v>30</v>
      </c>
      <c r="Q1045">
        <v>0</v>
      </c>
    </row>
    <row r="1046" spans="1:17" x14ac:dyDescent="0.45">
      <c r="A1046" t="s">
        <v>38</v>
      </c>
      <c r="B1046" t="s">
        <v>20</v>
      </c>
      <c r="C1046">
        <v>12</v>
      </c>
      <c r="D1046">
        <v>1064</v>
      </c>
      <c r="E1046">
        <v>87</v>
      </c>
      <c r="F1046">
        <v>72</v>
      </c>
      <c r="G1046">
        <v>215</v>
      </c>
      <c r="H1046">
        <v>15</v>
      </c>
      <c r="I1046">
        <v>279</v>
      </c>
      <c r="J1046">
        <v>35</v>
      </c>
      <c r="K1046">
        <v>124</v>
      </c>
      <c r="L1046">
        <v>37</v>
      </c>
      <c r="M1046">
        <v>40</v>
      </c>
      <c r="N1046">
        <v>114</v>
      </c>
      <c r="O1046">
        <v>93</v>
      </c>
      <c r="P1046">
        <v>35</v>
      </c>
      <c r="Q1046">
        <v>5</v>
      </c>
    </row>
    <row r="1047" spans="1:17" x14ac:dyDescent="0.45">
      <c r="A1047" t="s">
        <v>38</v>
      </c>
      <c r="B1047" t="s">
        <v>21</v>
      </c>
      <c r="C1047">
        <v>12</v>
      </c>
      <c r="D1047">
        <v>1148</v>
      </c>
      <c r="E1047">
        <v>58</v>
      </c>
      <c r="F1047">
        <v>70</v>
      </c>
      <c r="G1047">
        <v>230</v>
      </c>
      <c r="H1047">
        <v>26</v>
      </c>
      <c r="I1047">
        <v>324</v>
      </c>
      <c r="J1047">
        <v>52</v>
      </c>
      <c r="K1047">
        <v>142</v>
      </c>
      <c r="L1047">
        <v>59</v>
      </c>
      <c r="M1047">
        <v>65</v>
      </c>
      <c r="N1047">
        <v>127</v>
      </c>
      <c r="O1047">
        <v>91</v>
      </c>
      <c r="P1047">
        <v>33</v>
      </c>
      <c r="Q1047">
        <v>3</v>
      </c>
    </row>
    <row r="1048" spans="1:17" x14ac:dyDescent="0.45">
      <c r="A1048" t="s">
        <v>67</v>
      </c>
      <c r="B1048" t="s">
        <v>20</v>
      </c>
      <c r="C1048">
        <v>1</v>
      </c>
      <c r="D1048">
        <v>870</v>
      </c>
      <c r="E1048">
        <v>23</v>
      </c>
      <c r="F1048">
        <v>27</v>
      </c>
      <c r="G1048">
        <v>154</v>
      </c>
      <c r="H1048">
        <v>21</v>
      </c>
      <c r="I1048">
        <v>192</v>
      </c>
      <c r="J1048">
        <v>23</v>
      </c>
      <c r="K1048">
        <v>88</v>
      </c>
      <c r="L1048">
        <v>24</v>
      </c>
      <c r="M1048">
        <v>21</v>
      </c>
      <c r="N1048">
        <v>36</v>
      </c>
      <c r="O1048">
        <v>50</v>
      </c>
      <c r="P1048">
        <v>19</v>
      </c>
      <c r="Q1048">
        <v>2</v>
      </c>
    </row>
    <row r="1049" spans="1:17" x14ac:dyDescent="0.45">
      <c r="A1049" t="s">
        <v>67</v>
      </c>
      <c r="B1049" t="s">
        <v>21</v>
      </c>
      <c r="C1049">
        <v>1</v>
      </c>
      <c r="D1049">
        <v>1091</v>
      </c>
      <c r="E1049">
        <v>20</v>
      </c>
      <c r="F1049">
        <v>18</v>
      </c>
      <c r="G1049">
        <v>153</v>
      </c>
      <c r="H1049">
        <v>20</v>
      </c>
      <c r="I1049">
        <v>207</v>
      </c>
      <c r="J1049">
        <v>72</v>
      </c>
      <c r="K1049">
        <v>72</v>
      </c>
      <c r="L1049">
        <v>27</v>
      </c>
      <c r="M1049">
        <v>40</v>
      </c>
      <c r="N1049">
        <v>46</v>
      </c>
      <c r="O1049">
        <v>39</v>
      </c>
      <c r="P1049">
        <v>22</v>
      </c>
      <c r="Q1049">
        <v>5</v>
      </c>
    </row>
    <row r="1050" spans="1:17" x14ac:dyDescent="0.45">
      <c r="A1050" t="s">
        <v>67</v>
      </c>
      <c r="B1050" t="s">
        <v>20</v>
      </c>
      <c r="C1050">
        <v>2</v>
      </c>
      <c r="D1050">
        <v>998</v>
      </c>
      <c r="E1050">
        <v>29</v>
      </c>
      <c r="F1050">
        <v>30</v>
      </c>
      <c r="G1050">
        <v>95</v>
      </c>
      <c r="H1050">
        <v>57</v>
      </c>
      <c r="I1050">
        <v>228</v>
      </c>
      <c r="J1050">
        <v>29</v>
      </c>
      <c r="K1050">
        <v>75</v>
      </c>
      <c r="L1050">
        <v>33</v>
      </c>
      <c r="M1050">
        <v>26</v>
      </c>
      <c r="N1050">
        <v>48</v>
      </c>
      <c r="O1050">
        <v>49</v>
      </c>
      <c r="P1050">
        <v>16</v>
      </c>
      <c r="Q1050">
        <v>3</v>
      </c>
    </row>
    <row r="1051" spans="1:17" x14ac:dyDescent="0.45">
      <c r="A1051" t="s">
        <v>67</v>
      </c>
      <c r="B1051" t="s">
        <v>21</v>
      </c>
      <c r="C1051">
        <v>2</v>
      </c>
      <c r="D1051">
        <v>1172</v>
      </c>
      <c r="E1051">
        <v>29</v>
      </c>
      <c r="F1051">
        <v>36</v>
      </c>
      <c r="G1051">
        <v>67</v>
      </c>
      <c r="H1051">
        <v>112</v>
      </c>
      <c r="I1051">
        <v>293</v>
      </c>
      <c r="J1051">
        <v>29</v>
      </c>
      <c r="K1051">
        <v>75</v>
      </c>
      <c r="L1051">
        <v>34</v>
      </c>
      <c r="M1051">
        <v>25</v>
      </c>
      <c r="N1051">
        <v>67</v>
      </c>
      <c r="O1051">
        <v>37</v>
      </c>
      <c r="P1051">
        <v>27</v>
      </c>
      <c r="Q1051">
        <v>9</v>
      </c>
    </row>
    <row r="1052" spans="1:17" x14ac:dyDescent="0.45">
      <c r="A1052" t="s">
        <v>67</v>
      </c>
      <c r="B1052" t="s">
        <v>20</v>
      </c>
      <c r="C1052">
        <v>3</v>
      </c>
      <c r="D1052">
        <v>1127</v>
      </c>
      <c r="E1052">
        <v>31</v>
      </c>
      <c r="F1052">
        <v>60</v>
      </c>
      <c r="G1052">
        <v>209</v>
      </c>
      <c r="H1052">
        <v>25</v>
      </c>
      <c r="I1052">
        <v>214</v>
      </c>
      <c r="J1052">
        <v>53</v>
      </c>
      <c r="K1052">
        <v>109</v>
      </c>
      <c r="L1052">
        <v>35</v>
      </c>
      <c r="M1052">
        <v>40</v>
      </c>
      <c r="N1052">
        <v>198</v>
      </c>
      <c r="O1052">
        <v>83</v>
      </c>
      <c r="P1052">
        <v>97</v>
      </c>
      <c r="Q1052">
        <v>8</v>
      </c>
    </row>
    <row r="1053" spans="1:17" x14ac:dyDescent="0.45">
      <c r="A1053" t="s">
        <v>67</v>
      </c>
      <c r="B1053" t="s">
        <v>21</v>
      </c>
      <c r="C1053">
        <v>3</v>
      </c>
      <c r="D1053">
        <v>1281</v>
      </c>
      <c r="E1053">
        <v>46</v>
      </c>
      <c r="F1053">
        <v>72</v>
      </c>
      <c r="G1053">
        <v>225</v>
      </c>
      <c r="H1053">
        <v>33</v>
      </c>
      <c r="I1053">
        <v>260</v>
      </c>
      <c r="J1053">
        <v>50</v>
      </c>
      <c r="K1053">
        <v>149</v>
      </c>
      <c r="L1053">
        <v>54</v>
      </c>
      <c r="M1053">
        <v>47</v>
      </c>
      <c r="N1053">
        <v>279</v>
      </c>
      <c r="O1053">
        <v>137</v>
      </c>
      <c r="P1053">
        <v>170</v>
      </c>
      <c r="Q1053">
        <v>17</v>
      </c>
    </row>
    <row r="1054" spans="1:17" x14ac:dyDescent="0.45">
      <c r="A1054" t="s">
        <v>67</v>
      </c>
      <c r="B1054" t="s">
        <v>20</v>
      </c>
      <c r="C1054">
        <v>4</v>
      </c>
      <c r="D1054">
        <v>1123</v>
      </c>
      <c r="E1054">
        <v>70</v>
      </c>
      <c r="F1054">
        <v>74</v>
      </c>
      <c r="G1054">
        <v>257</v>
      </c>
      <c r="H1054">
        <v>37</v>
      </c>
      <c r="I1054">
        <v>339</v>
      </c>
      <c r="J1054">
        <v>118</v>
      </c>
      <c r="K1054">
        <v>371</v>
      </c>
      <c r="L1054">
        <v>143</v>
      </c>
      <c r="M1054">
        <v>76</v>
      </c>
      <c r="N1054">
        <v>468</v>
      </c>
      <c r="O1054">
        <v>264</v>
      </c>
      <c r="P1054">
        <v>249</v>
      </c>
      <c r="Q1054">
        <v>13</v>
      </c>
    </row>
    <row r="1055" spans="1:17" x14ac:dyDescent="0.45">
      <c r="A1055" t="s">
        <v>67</v>
      </c>
      <c r="B1055" t="s">
        <v>21</v>
      </c>
      <c r="C1055">
        <v>4</v>
      </c>
      <c r="D1055">
        <v>1406</v>
      </c>
      <c r="E1055">
        <v>35</v>
      </c>
      <c r="F1055">
        <v>56</v>
      </c>
      <c r="G1055">
        <v>223</v>
      </c>
      <c r="H1055">
        <v>64</v>
      </c>
      <c r="I1055">
        <v>321</v>
      </c>
      <c r="J1055">
        <v>102</v>
      </c>
      <c r="K1055">
        <v>384</v>
      </c>
      <c r="L1055">
        <v>126</v>
      </c>
      <c r="M1055">
        <v>71</v>
      </c>
      <c r="N1055">
        <v>396</v>
      </c>
      <c r="O1055">
        <v>214</v>
      </c>
      <c r="P1055">
        <v>216</v>
      </c>
      <c r="Q1055">
        <v>11</v>
      </c>
    </row>
    <row r="1056" spans="1:17" x14ac:dyDescent="0.45">
      <c r="A1056" t="s">
        <v>67</v>
      </c>
      <c r="B1056" t="s">
        <v>20</v>
      </c>
      <c r="C1056">
        <v>5</v>
      </c>
      <c r="D1056">
        <v>1093</v>
      </c>
      <c r="E1056">
        <v>66</v>
      </c>
      <c r="F1056">
        <v>39</v>
      </c>
      <c r="G1056">
        <v>172</v>
      </c>
      <c r="H1056">
        <v>66</v>
      </c>
      <c r="I1056">
        <v>295</v>
      </c>
      <c r="J1056">
        <v>58</v>
      </c>
      <c r="K1056">
        <v>168</v>
      </c>
      <c r="L1056">
        <v>72</v>
      </c>
      <c r="M1056">
        <v>45</v>
      </c>
      <c r="N1056">
        <v>250</v>
      </c>
      <c r="O1056">
        <v>240</v>
      </c>
      <c r="P1056">
        <v>132</v>
      </c>
      <c r="Q1056">
        <v>16</v>
      </c>
    </row>
    <row r="1057" spans="1:17" x14ac:dyDescent="0.45">
      <c r="A1057" t="s">
        <v>67</v>
      </c>
      <c r="B1057" t="s">
        <v>21</v>
      </c>
      <c r="C1057">
        <v>5</v>
      </c>
      <c r="D1057">
        <v>1185</v>
      </c>
      <c r="E1057">
        <v>72</v>
      </c>
      <c r="F1057">
        <v>53</v>
      </c>
      <c r="G1057">
        <v>206</v>
      </c>
      <c r="H1057">
        <v>54</v>
      </c>
      <c r="I1057">
        <v>335</v>
      </c>
      <c r="J1057">
        <v>63</v>
      </c>
      <c r="K1057">
        <v>243</v>
      </c>
      <c r="L1057">
        <v>113</v>
      </c>
      <c r="M1057">
        <v>62</v>
      </c>
      <c r="N1057">
        <v>283</v>
      </c>
      <c r="O1057">
        <v>270</v>
      </c>
      <c r="P1057">
        <v>167</v>
      </c>
      <c r="Q1057">
        <v>8</v>
      </c>
    </row>
    <row r="1058" spans="1:17" x14ac:dyDescent="0.45">
      <c r="A1058" t="s">
        <v>67</v>
      </c>
      <c r="B1058" t="s">
        <v>20</v>
      </c>
      <c r="C1058">
        <v>6</v>
      </c>
      <c r="D1058">
        <v>1060</v>
      </c>
      <c r="E1058">
        <v>65</v>
      </c>
      <c r="F1058">
        <v>56</v>
      </c>
      <c r="G1058">
        <v>169</v>
      </c>
      <c r="H1058">
        <v>48</v>
      </c>
      <c r="I1058">
        <v>318</v>
      </c>
      <c r="J1058">
        <v>60</v>
      </c>
      <c r="K1058">
        <v>105</v>
      </c>
      <c r="L1058">
        <v>61</v>
      </c>
      <c r="M1058">
        <v>51</v>
      </c>
      <c r="N1058">
        <v>103</v>
      </c>
      <c r="O1058">
        <v>103</v>
      </c>
      <c r="P1058">
        <v>71</v>
      </c>
      <c r="Q1058">
        <v>8</v>
      </c>
    </row>
    <row r="1059" spans="1:17" x14ac:dyDescent="0.45">
      <c r="A1059" t="s">
        <v>67</v>
      </c>
      <c r="B1059" t="s">
        <v>21</v>
      </c>
      <c r="C1059">
        <v>6</v>
      </c>
      <c r="D1059">
        <v>1416</v>
      </c>
      <c r="E1059">
        <v>79</v>
      </c>
      <c r="F1059">
        <v>52</v>
      </c>
      <c r="G1059">
        <v>215</v>
      </c>
      <c r="H1059">
        <v>72</v>
      </c>
      <c r="I1059">
        <v>342</v>
      </c>
      <c r="J1059">
        <v>71</v>
      </c>
      <c r="K1059">
        <v>129</v>
      </c>
      <c r="L1059">
        <v>67</v>
      </c>
      <c r="M1059">
        <v>59</v>
      </c>
      <c r="N1059">
        <v>166</v>
      </c>
      <c r="O1059">
        <v>146</v>
      </c>
      <c r="P1059">
        <v>93</v>
      </c>
      <c r="Q1059">
        <v>8</v>
      </c>
    </row>
    <row r="1060" spans="1:17" x14ac:dyDescent="0.45">
      <c r="A1060" t="s">
        <v>67</v>
      </c>
      <c r="B1060" t="s">
        <v>20</v>
      </c>
      <c r="C1060">
        <v>7</v>
      </c>
      <c r="D1060">
        <v>1068</v>
      </c>
      <c r="E1060">
        <v>60</v>
      </c>
      <c r="F1060">
        <v>55</v>
      </c>
      <c r="G1060">
        <v>104</v>
      </c>
      <c r="H1060">
        <v>41</v>
      </c>
      <c r="I1060">
        <v>304</v>
      </c>
      <c r="J1060">
        <v>37</v>
      </c>
      <c r="K1060">
        <v>40</v>
      </c>
      <c r="L1060">
        <v>27</v>
      </c>
      <c r="M1060">
        <v>46</v>
      </c>
      <c r="N1060">
        <v>46</v>
      </c>
      <c r="O1060">
        <v>55</v>
      </c>
      <c r="P1060">
        <v>32</v>
      </c>
      <c r="Q1060">
        <v>1</v>
      </c>
    </row>
    <row r="1061" spans="1:17" x14ac:dyDescent="0.45">
      <c r="A1061" t="s">
        <v>67</v>
      </c>
      <c r="B1061" t="s">
        <v>21</v>
      </c>
      <c r="C1061">
        <v>7</v>
      </c>
      <c r="D1061">
        <v>1194</v>
      </c>
      <c r="E1061">
        <v>57</v>
      </c>
      <c r="F1061">
        <v>50</v>
      </c>
      <c r="G1061">
        <v>84</v>
      </c>
      <c r="H1061">
        <v>66</v>
      </c>
      <c r="I1061">
        <v>315</v>
      </c>
      <c r="J1061">
        <v>24</v>
      </c>
      <c r="K1061">
        <v>39</v>
      </c>
      <c r="L1061">
        <v>30</v>
      </c>
      <c r="M1061">
        <v>50</v>
      </c>
      <c r="N1061">
        <v>55</v>
      </c>
      <c r="O1061">
        <v>51</v>
      </c>
      <c r="P1061">
        <v>36</v>
      </c>
      <c r="Q1061">
        <v>0</v>
      </c>
    </row>
    <row r="1062" spans="1:17" x14ac:dyDescent="0.45">
      <c r="A1062" t="s">
        <v>67</v>
      </c>
      <c r="B1062" t="s">
        <v>20</v>
      </c>
      <c r="C1062">
        <v>8</v>
      </c>
      <c r="D1062">
        <v>1041</v>
      </c>
      <c r="E1062">
        <v>39</v>
      </c>
      <c r="F1062">
        <v>55</v>
      </c>
      <c r="G1062">
        <v>74</v>
      </c>
      <c r="H1062">
        <v>39</v>
      </c>
      <c r="I1062">
        <v>347</v>
      </c>
      <c r="J1062">
        <v>32</v>
      </c>
      <c r="K1062">
        <v>10</v>
      </c>
      <c r="L1062">
        <v>13</v>
      </c>
      <c r="M1062">
        <v>28</v>
      </c>
      <c r="N1062">
        <v>21</v>
      </c>
      <c r="O1062">
        <v>21</v>
      </c>
      <c r="P1062">
        <v>4</v>
      </c>
      <c r="Q1062">
        <v>0</v>
      </c>
    </row>
    <row r="1063" spans="1:17" x14ac:dyDescent="0.45">
      <c r="A1063" t="s">
        <v>67</v>
      </c>
      <c r="B1063" t="s">
        <v>21</v>
      </c>
      <c r="C1063">
        <v>8</v>
      </c>
      <c r="D1063">
        <v>1173</v>
      </c>
      <c r="E1063">
        <v>23</v>
      </c>
      <c r="F1063">
        <v>57</v>
      </c>
      <c r="G1063">
        <v>73</v>
      </c>
      <c r="H1063">
        <v>10</v>
      </c>
      <c r="I1063">
        <v>308</v>
      </c>
      <c r="J1063">
        <v>32</v>
      </c>
      <c r="K1063">
        <v>23</v>
      </c>
      <c r="L1063">
        <v>25</v>
      </c>
      <c r="M1063">
        <v>38</v>
      </c>
      <c r="N1063">
        <v>24</v>
      </c>
      <c r="O1063">
        <v>23</v>
      </c>
      <c r="P1063">
        <v>15</v>
      </c>
      <c r="Q1063">
        <v>0</v>
      </c>
    </row>
    <row r="1064" spans="1:17" x14ac:dyDescent="0.45">
      <c r="A1064" t="s">
        <v>67</v>
      </c>
      <c r="B1064" t="s">
        <v>20</v>
      </c>
      <c r="C1064">
        <v>9</v>
      </c>
      <c r="D1064">
        <v>1066</v>
      </c>
      <c r="E1064">
        <v>47</v>
      </c>
      <c r="F1064">
        <v>63</v>
      </c>
      <c r="G1064">
        <v>45</v>
      </c>
      <c r="H1064">
        <v>53</v>
      </c>
      <c r="I1064">
        <v>360</v>
      </c>
      <c r="J1064">
        <v>50</v>
      </c>
      <c r="K1064">
        <v>15</v>
      </c>
      <c r="L1064">
        <v>18</v>
      </c>
      <c r="M1064">
        <v>48</v>
      </c>
      <c r="N1064">
        <v>18</v>
      </c>
      <c r="O1064">
        <v>20</v>
      </c>
      <c r="P1064">
        <v>7</v>
      </c>
      <c r="Q1064">
        <v>0</v>
      </c>
    </row>
    <row r="1065" spans="1:17" x14ac:dyDescent="0.45">
      <c r="A1065" t="s">
        <v>67</v>
      </c>
      <c r="B1065" t="s">
        <v>21</v>
      </c>
      <c r="C1065">
        <v>9</v>
      </c>
      <c r="D1065">
        <v>1309</v>
      </c>
      <c r="E1065">
        <v>44</v>
      </c>
      <c r="F1065">
        <v>58</v>
      </c>
      <c r="G1065">
        <v>118</v>
      </c>
      <c r="H1065">
        <v>38</v>
      </c>
      <c r="I1065">
        <v>313</v>
      </c>
      <c r="J1065">
        <v>48</v>
      </c>
      <c r="K1065">
        <v>49</v>
      </c>
      <c r="L1065">
        <v>27</v>
      </c>
      <c r="M1065">
        <v>48</v>
      </c>
      <c r="N1065">
        <v>40</v>
      </c>
      <c r="O1065">
        <v>26</v>
      </c>
      <c r="P1065">
        <v>14</v>
      </c>
      <c r="Q1065">
        <v>5</v>
      </c>
    </row>
    <row r="1066" spans="1:17" x14ac:dyDescent="0.45">
      <c r="A1066" t="s">
        <v>67</v>
      </c>
      <c r="B1066" t="s">
        <v>20</v>
      </c>
      <c r="C1066">
        <v>10</v>
      </c>
      <c r="D1066">
        <v>1370</v>
      </c>
      <c r="E1066">
        <v>69</v>
      </c>
      <c r="F1066">
        <v>70</v>
      </c>
      <c r="G1066">
        <v>89</v>
      </c>
      <c r="H1066">
        <v>145</v>
      </c>
      <c r="I1066">
        <v>467</v>
      </c>
      <c r="J1066">
        <v>66</v>
      </c>
      <c r="K1066">
        <v>58</v>
      </c>
      <c r="L1066">
        <v>40</v>
      </c>
      <c r="M1066">
        <v>55</v>
      </c>
      <c r="N1066">
        <v>51</v>
      </c>
      <c r="O1066">
        <v>48</v>
      </c>
      <c r="P1066">
        <v>10</v>
      </c>
      <c r="Q1066">
        <v>0</v>
      </c>
    </row>
    <row r="1067" spans="1:17" x14ac:dyDescent="0.45">
      <c r="A1067" t="s">
        <v>67</v>
      </c>
      <c r="B1067" t="s">
        <v>21</v>
      </c>
      <c r="C1067">
        <v>10</v>
      </c>
      <c r="D1067">
        <v>1788</v>
      </c>
      <c r="E1067">
        <v>90</v>
      </c>
      <c r="F1067">
        <v>96</v>
      </c>
      <c r="G1067">
        <v>224</v>
      </c>
      <c r="H1067">
        <v>36</v>
      </c>
      <c r="I1067">
        <v>502</v>
      </c>
      <c r="J1067">
        <v>76</v>
      </c>
      <c r="K1067">
        <v>76</v>
      </c>
      <c r="L1067">
        <v>67</v>
      </c>
      <c r="M1067">
        <v>75</v>
      </c>
      <c r="N1067">
        <v>61</v>
      </c>
      <c r="O1067">
        <v>51</v>
      </c>
      <c r="P1067">
        <v>22</v>
      </c>
      <c r="Q1067">
        <v>0</v>
      </c>
    </row>
    <row r="1068" spans="1:17" x14ac:dyDescent="0.45">
      <c r="A1068" t="s">
        <v>67</v>
      </c>
      <c r="B1068" t="s">
        <v>20</v>
      </c>
      <c r="C1068">
        <v>11</v>
      </c>
      <c r="D1068">
        <v>1143</v>
      </c>
      <c r="E1068">
        <v>56</v>
      </c>
      <c r="F1068">
        <v>83</v>
      </c>
      <c r="G1068">
        <v>147</v>
      </c>
      <c r="H1068">
        <v>69</v>
      </c>
      <c r="I1068">
        <v>352</v>
      </c>
      <c r="J1068">
        <v>65</v>
      </c>
      <c r="K1068">
        <v>82</v>
      </c>
      <c r="L1068">
        <v>23</v>
      </c>
      <c r="M1068">
        <v>58</v>
      </c>
      <c r="N1068">
        <v>39</v>
      </c>
      <c r="O1068">
        <v>47</v>
      </c>
      <c r="P1068">
        <v>27</v>
      </c>
      <c r="Q1068">
        <v>2</v>
      </c>
    </row>
    <row r="1069" spans="1:17" x14ac:dyDescent="0.45">
      <c r="A1069" t="s">
        <v>67</v>
      </c>
      <c r="B1069" t="s">
        <v>21</v>
      </c>
      <c r="C1069">
        <v>11</v>
      </c>
      <c r="D1069">
        <v>1441</v>
      </c>
      <c r="E1069">
        <v>66</v>
      </c>
      <c r="F1069">
        <v>65</v>
      </c>
      <c r="G1069">
        <v>106</v>
      </c>
      <c r="H1069">
        <v>74</v>
      </c>
      <c r="I1069">
        <v>302</v>
      </c>
      <c r="J1069">
        <v>46</v>
      </c>
      <c r="K1069">
        <v>60</v>
      </c>
      <c r="L1069">
        <v>30</v>
      </c>
      <c r="M1069">
        <v>35</v>
      </c>
      <c r="N1069">
        <v>60</v>
      </c>
      <c r="O1069">
        <v>40</v>
      </c>
      <c r="P1069">
        <v>15</v>
      </c>
      <c r="Q1069">
        <v>0</v>
      </c>
    </row>
    <row r="1070" spans="1:17" x14ac:dyDescent="0.45">
      <c r="A1070" t="s">
        <v>67</v>
      </c>
      <c r="B1070" t="s">
        <v>20</v>
      </c>
      <c r="C1070">
        <v>12</v>
      </c>
      <c r="D1070">
        <v>1182</v>
      </c>
      <c r="E1070">
        <v>45</v>
      </c>
      <c r="F1070">
        <v>60</v>
      </c>
      <c r="G1070">
        <v>199</v>
      </c>
      <c r="H1070">
        <v>38</v>
      </c>
      <c r="I1070">
        <v>274</v>
      </c>
      <c r="J1070">
        <v>54</v>
      </c>
      <c r="K1070">
        <v>95</v>
      </c>
      <c r="L1070">
        <v>43</v>
      </c>
      <c r="M1070">
        <v>40</v>
      </c>
      <c r="N1070">
        <v>46</v>
      </c>
      <c r="O1070">
        <v>47</v>
      </c>
      <c r="P1070">
        <v>24</v>
      </c>
      <c r="Q1070">
        <v>0</v>
      </c>
    </row>
    <row r="1071" spans="1:17" x14ac:dyDescent="0.45">
      <c r="A1071" t="s">
        <v>67</v>
      </c>
      <c r="B1071" t="s">
        <v>21</v>
      </c>
      <c r="C1071">
        <v>12</v>
      </c>
      <c r="D1071">
        <v>1459</v>
      </c>
      <c r="E1071">
        <v>41</v>
      </c>
      <c r="F1071">
        <v>53</v>
      </c>
      <c r="G1071">
        <v>256</v>
      </c>
      <c r="H1071">
        <v>51</v>
      </c>
      <c r="I1071">
        <v>316</v>
      </c>
      <c r="J1071">
        <v>67</v>
      </c>
      <c r="K1071">
        <v>102</v>
      </c>
      <c r="L1071">
        <v>50</v>
      </c>
      <c r="M1071">
        <v>59</v>
      </c>
      <c r="N1071">
        <v>74</v>
      </c>
      <c r="O1071">
        <v>52</v>
      </c>
      <c r="P1071">
        <v>22</v>
      </c>
      <c r="Q1071">
        <v>0</v>
      </c>
    </row>
    <row r="1072" spans="1:17" x14ac:dyDescent="0.45">
      <c r="A1072" t="s">
        <v>63</v>
      </c>
      <c r="B1072" t="s">
        <v>20</v>
      </c>
      <c r="C1072">
        <v>1</v>
      </c>
      <c r="D1072">
        <v>685</v>
      </c>
      <c r="E1072">
        <v>30</v>
      </c>
      <c r="F1072">
        <v>27</v>
      </c>
      <c r="G1072">
        <v>117</v>
      </c>
      <c r="H1072">
        <v>9</v>
      </c>
      <c r="I1072">
        <v>114</v>
      </c>
      <c r="J1072">
        <v>20</v>
      </c>
      <c r="K1072">
        <v>62</v>
      </c>
      <c r="L1072">
        <v>16</v>
      </c>
      <c r="M1072">
        <v>21</v>
      </c>
      <c r="N1072">
        <v>55</v>
      </c>
      <c r="O1072">
        <v>65</v>
      </c>
      <c r="P1072">
        <v>16</v>
      </c>
      <c r="Q1072">
        <v>2</v>
      </c>
    </row>
    <row r="1073" spans="1:17" x14ac:dyDescent="0.45">
      <c r="A1073" t="s">
        <v>63</v>
      </c>
      <c r="B1073" t="s">
        <v>21</v>
      </c>
      <c r="C1073">
        <v>1</v>
      </c>
      <c r="D1073">
        <v>685</v>
      </c>
      <c r="E1073">
        <v>39</v>
      </c>
      <c r="F1073">
        <v>33</v>
      </c>
      <c r="G1073">
        <v>107</v>
      </c>
      <c r="H1073">
        <v>5</v>
      </c>
      <c r="I1073">
        <v>113</v>
      </c>
      <c r="J1073">
        <v>14</v>
      </c>
      <c r="K1073">
        <v>83</v>
      </c>
      <c r="L1073">
        <v>27</v>
      </c>
      <c r="M1073">
        <v>12</v>
      </c>
      <c r="N1073">
        <v>62</v>
      </c>
      <c r="O1073">
        <v>52</v>
      </c>
      <c r="P1073">
        <v>11</v>
      </c>
      <c r="Q1073">
        <v>14</v>
      </c>
    </row>
    <row r="1074" spans="1:17" x14ac:dyDescent="0.45">
      <c r="A1074" t="s">
        <v>63</v>
      </c>
      <c r="B1074" t="s">
        <v>20</v>
      </c>
      <c r="C1074">
        <v>2</v>
      </c>
      <c r="D1074">
        <v>718</v>
      </c>
      <c r="E1074">
        <v>25</v>
      </c>
      <c r="F1074">
        <v>21</v>
      </c>
      <c r="G1074">
        <v>68</v>
      </c>
      <c r="H1074">
        <v>40</v>
      </c>
      <c r="I1074">
        <v>135</v>
      </c>
      <c r="J1074">
        <v>8</v>
      </c>
      <c r="K1074">
        <v>57</v>
      </c>
      <c r="L1074">
        <v>14</v>
      </c>
      <c r="M1074">
        <v>17</v>
      </c>
      <c r="N1074">
        <v>33</v>
      </c>
      <c r="O1074">
        <v>35</v>
      </c>
      <c r="P1074">
        <v>11</v>
      </c>
      <c r="Q1074">
        <v>17</v>
      </c>
    </row>
    <row r="1075" spans="1:17" x14ac:dyDescent="0.45">
      <c r="A1075" t="s">
        <v>63</v>
      </c>
      <c r="B1075" t="s">
        <v>21</v>
      </c>
      <c r="C1075">
        <v>2</v>
      </c>
      <c r="D1075">
        <v>689</v>
      </c>
      <c r="E1075">
        <v>42</v>
      </c>
      <c r="F1075">
        <v>47</v>
      </c>
      <c r="G1075">
        <v>35</v>
      </c>
      <c r="H1075">
        <v>57</v>
      </c>
      <c r="I1075">
        <v>159</v>
      </c>
      <c r="J1075">
        <v>17</v>
      </c>
      <c r="K1075">
        <v>52</v>
      </c>
      <c r="L1075">
        <v>19</v>
      </c>
      <c r="M1075">
        <v>15</v>
      </c>
      <c r="N1075">
        <v>44</v>
      </c>
      <c r="O1075">
        <v>53</v>
      </c>
      <c r="P1075">
        <v>17</v>
      </c>
      <c r="Q1075">
        <v>9</v>
      </c>
    </row>
    <row r="1076" spans="1:17" x14ac:dyDescent="0.45">
      <c r="A1076" t="s">
        <v>63</v>
      </c>
      <c r="B1076" t="s">
        <v>20</v>
      </c>
      <c r="C1076">
        <v>3</v>
      </c>
      <c r="D1076">
        <v>912</v>
      </c>
      <c r="E1076">
        <v>41</v>
      </c>
      <c r="F1076">
        <v>50</v>
      </c>
      <c r="G1076">
        <v>204</v>
      </c>
      <c r="H1076">
        <v>14</v>
      </c>
      <c r="I1076">
        <v>128</v>
      </c>
      <c r="J1076">
        <v>20</v>
      </c>
      <c r="K1076">
        <v>75</v>
      </c>
      <c r="L1076">
        <v>22</v>
      </c>
      <c r="M1076">
        <v>22</v>
      </c>
      <c r="N1076">
        <v>118</v>
      </c>
      <c r="O1076">
        <v>105</v>
      </c>
      <c r="P1076">
        <v>87</v>
      </c>
      <c r="Q1076">
        <v>25</v>
      </c>
    </row>
    <row r="1077" spans="1:17" x14ac:dyDescent="0.45">
      <c r="A1077" t="s">
        <v>63</v>
      </c>
      <c r="B1077" t="s">
        <v>21</v>
      </c>
      <c r="C1077">
        <v>3</v>
      </c>
      <c r="D1077">
        <v>930</v>
      </c>
      <c r="E1077">
        <v>46</v>
      </c>
      <c r="F1077">
        <v>56</v>
      </c>
      <c r="G1077">
        <v>171</v>
      </c>
      <c r="H1077">
        <v>24</v>
      </c>
      <c r="I1077">
        <v>178</v>
      </c>
      <c r="J1077">
        <v>26</v>
      </c>
      <c r="K1077">
        <v>102</v>
      </c>
      <c r="L1077">
        <v>19</v>
      </c>
      <c r="M1077">
        <v>30</v>
      </c>
      <c r="N1077">
        <v>166</v>
      </c>
      <c r="O1077">
        <v>133</v>
      </c>
      <c r="P1077">
        <v>108</v>
      </c>
      <c r="Q1077">
        <v>12</v>
      </c>
    </row>
    <row r="1078" spans="1:17" x14ac:dyDescent="0.45">
      <c r="A1078" t="s">
        <v>63</v>
      </c>
      <c r="B1078" t="s">
        <v>20</v>
      </c>
      <c r="C1078">
        <v>4</v>
      </c>
      <c r="D1078">
        <v>873</v>
      </c>
      <c r="E1078">
        <v>46</v>
      </c>
      <c r="F1078">
        <v>54</v>
      </c>
      <c r="G1078">
        <v>206</v>
      </c>
      <c r="H1078">
        <v>19</v>
      </c>
      <c r="I1078">
        <v>197</v>
      </c>
      <c r="J1078">
        <v>54</v>
      </c>
      <c r="K1078">
        <v>276</v>
      </c>
      <c r="L1078">
        <v>80</v>
      </c>
      <c r="M1078">
        <v>54</v>
      </c>
      <c r="N1078">
        <v>341</v>
      </c>
      <c r="O1078">
        <v>284</v>
      </c>
      <c r="P1078">
        <v>200</v>
      </c>
      <c r="Q1078">
        <v>23</v>
      </c>
    </row>
    <row r="1079" spans="1:17" x14ac:dyDescent="0.45">
      <c r="A1079" t="s">
        <v>63</v>
      </c>
      <c r="B1079" t="s">
        <v>21</v>
      </c>
      <c r="C1079">
        <v>4</v>
      </c>
      <c r="D1079">
        <v>897</v>
      </c>
      <c r="E1079">
        <v>56</v>
      </c>
      <c r="F1079">
        <v>66</v>
      </c>
      <c r="G1079">
        <v>153</v>
      </c>
      <c r="H1079">
        <v>43</v>
      </c>
      <c r="I1079">
        <v>208</v>
      </c>
      <c r="J1079">
        <v>47</v>
      </c>
      <c r="K1079">
        <v>232</v>
      </c>
      <c r="L1079">
        <v>96</v>
      </c>
      <c r="M1079">
        <v>48</v>
      </c>
      <c r="N1079">
        <v>272</v>
      </c>
      <c r="O1079">
        <v>205</v>
      </c>
      <c r="P1079">
        <v>151</v>
      </c>
      <c r="Q1079">
        <v>11</v>
      </c>
    </row>
    <row r="1080" spans="1:17" x14ac:dyDescent="0.45">
      <c r="A1080" t="s">
        <v>63</v>
      </c>
      <c r="B1080" t="s">
        <v>20</v>
      </c>
      <c r="C1080">
        <v>5</v>
      </c>
      <c r="D1080">
        <v>751</v>
      </c>
      <c r="E1080">
        <v>59</v>
      </c>
      <c r="F1080">
        <v>32</v>
      </c>
      <c r="G1080">
        <v>154</v>
      </c>
      <c r="H1080">
        <v>13</v>
      </c>
      <c r="I1080">
        <v>142</v>
      </c>
      <c r="J1080">
        <v>33</v>
      </c>
      <c r="K1080">
        <v>130</v>
      </c>
      <c r="L1080">
        <v>47</v>
      </c>
      <c r="M1080">
        <v>29</v>
      </c>
      <c r="N1080">
        <v>182</v>
      </c>
      <c r="O1080">
        <v>140</v>
      </c>
      <c r="P1080">
        <v>116</v>
      </c>
      <c r="Q1080">
        <v>9</v>
      </c>
    </row>
    <row r="1081" spans="1:17" x14ac:dyDescent="0.45">
      <c r="A1081" t="s">
        <v>63</v>
      </c>
      <c r="B1081" t="s">
        <v>21</v>
      </c>
      <c r="C1081">
        <v>5</v>
      </c>
      <c r="D1081">
        <v>813</v>
      </c>
      <c r="E1081">
        <v>50</v>
      </c>
      <c r="F1081">
        <v>56</v>
      </c>
      <c r="G1081">
        <v>133</v>
      </c>
      <c r="H1081">
        <v>56</v>
      </c>
      <c r="I1081">
        <v>229</v>
      </c>
      <c r="J1081">
        <v>56</v>
      </c>
      <c r="K1081">
        <v>141</v>
      </c>
      <c r="L1081">
        <v>51</v>
      </c>
      <c r="M1081">
        <v>56</v>
      </c>
      <c r="N1081">
        <v>223</v>
      </c>
      <c r="O1081">
        <v>191</v>
      </c>
      <c r="P1081">
        <v>101</v>
      </c>
      <c r="Q1081">
        <v>5</v>
      </c>
    </row>
    <row r="1082" spans="1:17" x14ac:dyDescent="0.45">
      <c r="A1082" t="s">
        <v>63</v>
      </c>
      <c r="B1082" t="s">
        <v>20</v>
      </c>
      <c r="C1082">
        <v>6</v>
      </c>
      <c r="D1082">
        <v>818</v>
      </c>
      <c r="E1082">
        <v>54</v>
      </c>
      <c r="F1082">
        <v>44</v>
      </c>
      <c r="G1082">
        <v>100</v>
      </c>
      <c r="H1082">
        <v>35</v>
      </c>
      <c r="I1082">
        <v>223</v>
      </c>
      <c r="J1082">
        <v>29</v>
      </c>
      <c r="K1082">
        <v>79</v>
      </c>
      <c r="L1082">
        <v>55</v>
      </c>
      <c r="M1082">
        <v>32</v>
      </c>
      <c r="N1082">
        <v>107</v>
      </c>
      <c r="O1082">
        <v>107</v>
      </c>
      <c r="P1082">
        <v>57</v>
      </c>
      <c r="Q1082">
        <v>15</v>
      </c>
    </row>
    <row r="1083" spans="1:17" x14ac:dyDescent="0.45">
      <c r="A1083" t="s">
        <v>63</v>
      </c>
      <c r="B1083" t="s">
        <v>21</v>
      </c>
      <c r="C1083">
        <v>6</v>
      </c>
      <c r="D1083">
        <v>855</v>
      </c>
      <c r="E1083">
        <v>50</v>
      </c>
      <c r="F1083">
        <v>52</v>
      </c>
      <c r="G1083">
        <v>126</v>
      </c>
      <c r="H1083">
        <v>31</v>
      </c>
      <c r="I1083">
        <v>201</v>
      </c>
      <c r="J1083">
        <v>44</v>
      </c>
      <c r="K1083">
        <v>66</v>
      </c>
      <c r="L1083">
        <v>39</v>
      </c>
      <c r="M1083">
        <v>27</v>
      </c>
      <c r="N1083">
        <v>131</v>
      </c>
      <c r="O1083">
        <v>141</v>
      </c>
      <c r="P1083">
        <v>83</v>
      </c>
      <c r="Q1083">
        <v>8</v>
      </c>
    </row>
    <row r="1084" spans="1:17" x14ac:dyDescent="0.45">
      <c r="A1084" t="s">
        <v>63</v>
      </c>
      <c r="B1084" t="s">
        <v>20</v>
      </c>
      <c r="C1084">
        <v>7</v>
      </c>
      <c r="D1084">
        <v>746</v>
      </c>
      <c r="E1084">
        <v>62</v>
      </c>
      <c r="F1084">
        <v>69</v>
      </c>
      <c r="G1084">
        <v>89</v>
      </c>
      <c r="H1084">
        <v>30</v>
      </c>
      <c r="I1084">
        <v>206</v>
      </c>
      <c r="J1084">
        <v>28</v>
      </c>
      <c r="K1084">
        <v>51</v>
      </c>
      <c r="L1084">
        <v>19</v>
      </c>
      <c r="M1084">
        <v>31</v>
      </c>
      <c r="N1084">
        <v>39</v>
      </c>
      <c r="O1084">
        <v>63</v>
      </c>
      <c r="P1084">
        <v>41</v>
      </c>
      <c r="Q1084">
        <v>0</v>
      </c>
    </row>
    <row r="1085" spans="1:17" x14ac:dyDescent="0.45">
      <c r="A1085" t="s">
        <v>63</v>
      </c>
      <c r="B1085" t="s">
        <v>21</v>
      </c>
      <c r="C1085">
        <v>7</v>
      </c>
      <c r="D1085">
        <v>822</v>
      </c>
      <c r="E1085">
        <v>57</v>
      </c>
      <c r="F1085">
        <v>52</v>
      </c>
      <c r="G1085">
        <v>62</v>
      </c>
      <c r="H1085">
        <v>79</v>
      </c>
      <c r="I1085">
        <v>307</v>
      </c>
      <c r="J1085">
        <v>20</v>
      </c>
      <c r="K1085">
        <v>21</v>
      </c>
      <c r="L1085">
        <v>18</v>
      </c>
      <c r="M1085">
        <v>28</v>
      </c>
      <c r="N1085">
        <v>45</v>
      </c>
      <c r="O1085">
        <v>76</v>
      </c>
      <c r="P1085">
        <v>31</v>
      </c>
      <c r="Q1085">
        <v>7</v>
      </c>
    </row>
    <row r="1086" spans="1:17" x14ac:dyDescent="0.45">
      <c r="A1086" t="s">
        <v>63</v>
      </c>
      <c r="B1086" t="s">
        <v>20</v>
      </c>
      <c r="C1086">
        <v>8</v>
      </c>
      <c r="D1086">
        <v>608</v>
      </c>
      <c r="E1086">
        <v>64</v>
      </c>
      <c r="F1086">
        <v>52</v>
      </c>
      <c r="G1086">
        <v>47</v>
      </c>
      <c r="H1086">
        <v>25</v>
      </c>
      <c r="I1086">
        <v>207</v>
      </c>
      <c r="J1086">
        <v>23</v>
      </c>
      <c r="K1086">
        <v>25</v>
      </c>
      <c r="L1086">
        <v>10</v>
      </c>
      <c r="M1086">
        <v>23</v>
      </c>
      <c r="N1086">
        <v>16</v>
      </c>
      <c r="O1086">
        <v>34</v>
      </c>
      <c r="P1086">
        <v>13</v>
      </c>
      <c r="Q1086">
        <v>8</v>
      </c>
    </row>
    <row r="1087" spans="1:17" x14ac:dyDescent="0.45">
      <c r="A1087" t="s">
        <v>63</v>
      </c>
      <c r="B1087" t="s">
        <v>21</v>
      </c>
      <c r="C1087">
        <v>8</v>
      </c>
      <c r="D1087">
        <v>696</v>
      </c>
      <c r="E1087">
        <v>45</v>
      </c>
      <c r="F1087">
        <v>41</v>
      </c>
      <c r="G1087">
        <v>79</v>
      </c>
      <c r="H1087">
        <v>12</v>
      </c>
      <c r="I1087">
        <v>233</v>
      </c>
      <c r="J1087">
        <v>15</v>
      </c>
      <c r="K1087">
        <v>21</v>
      </c>
      <c r="L1087">
        <v>16</v>
      </c>
      <c r="M1087">
        <v>31</v>
      </c>
      <c r="N1087">
        <v>14</v>
      </c>
      <c r="O1087">
        <v>41</v>
      </c>
      <c r="P1087">
        <v>20</v>
      </c>
      <c r="Q1087">
        <v>1</v>
      </c>
    </row>
    <row r="1088" spans="1:17" x14ac:dyDescent="0.45">
      <c r="A1088" t="s">
        <v>63</v>
      </c>
      <c r="B1088" t="s">
        <v>20</v>
      </c>
      <c r="C1088">
        <v>9</v>
      </c>
      <c r="D1088">
        <v>708</v>
      </c>
      <c r="E1088">
        <v>63</v>
      </c>
      <c r="F1088">
        <v>50</v>
      </c>
      <c r="G1088">
        <v>54</v>
      </c>
      <c r="H1088">
        <v>53</v>
      </c>
      <c r="I1088">
        <v>217</v>
      </c>
      <c r="J1088">
        <v>37</v>
      </c>
      <c r="K1088">
        <v>16</v>
      </c>
      <c r="L1088">
        <v>15</v>
      </c>
      <c r="M1088">
        <v>26</v>
      </c>
      <c r="N1088">
        <v>24</v>
      </c>
      <c r="O1088">
        <v>34</v>
      </c>
      <c r="P1088">
        <v>9</v>
      </c>
      <c r="Q1088">
        <v>1</v>
      </c>
    </row>
    <row r="1089" spans="1:17" x14ac:dyDescent="0.45">
      <c r="A1089" t="s">
        <v>63</v>
      </c>
      <c r="B1089" t="s">
        <v>21</v>
      </c>
      <c r="C1089">
        <v>9</v>
      </c>
      <c r="D1089">
        <v>754</v>
      </c>
      <c r="E1089">
        <v>54</v>
      </c>
      <c r="F1089">
        <v>48</v>
      </c>
      <c r="G1089">
        <v>83</v>
      </c>
      <c r="H1089">
        <v>14</v>
      </c>
      <c r="I1089">
        <v>223</v>
      </c>
      <c r="J1089">
        <v>18</v>
      </c>
      <c r="K1089">
        <v>18</v>
      </c>
      <c r="L1089">
        <v>20</v>
      </c>
      <c r="M1089">
        <v>26</v>
      </c>
      <c r="N1089">
        <v>36</v>
      </c>
      <c r="O1089">
        <v>44</v>
      </c>
      <c r="P1089">
        <v>14</v>
      </c>
      <c r="Q1089">
        <v>0</v>
      </c>
    </row>
    <row r="1090" spans="1:17" x14ac:dyDescent="0.45">
      <c r="A1090" t="s">
        <v>63</v>
      </c>
      <c r="B1090" t="s">
        <v>20</v>
      </c>
      <c r="C1090">
        <v>10</v>
      </c>
      <c r="D1090">
        <v>1114</v>
      </c>
      <c r="E1090">
        <v>65</v>
      </c>
      <c r="F1090">
        <v>63</v>
      </c>
      <c r="G1090">
        <v>90</v>
      </c>
      <c r="H1090">
        <v>95</v>
      </c>
      <c r="I1090">
        <v>364</v>
      </c>
      <c r="J1090">
        <v>59</v>
      </c>
      <c r="K1090">
        <v>55</v>
      </c>
      <c r="L1090">
        <v>38</v>
      </c>
      <c r="M1090">
        <v>33</v>
      </c>
      <c r="N1090">
        <v>50</v>
      </c>
      <c r="O1090">
        <v>74</v>
      </c>
      <c r="P1090">
        <v>32</v>
      </c>
      <c r="Q1090">
        <v>3</v>
      </c>
    </row>
    <row r="1091" spans="1:17" x14ac:dyDescent="0.45">
      <c r="A1091" t="s">
        <v>63</v>
      </c>
      <c r="B1091" t="s">
        <v>21</v>
      </c>
      <c r="C1091">
        <v>10</v>
      </c>
      <c r="D1091">
        <v>1166</v>
      </c>
      <c r="E1091">
        <v>113</v>
      </c>
      <c r="F1091">
        <v>63</v>
      </c>
      <c r="G1091">
        <v>181</v>
      </c>
      <c r="H1091">
        <v>29</v>
      </c>
      <c r="I1091">
        <v>310</v>
      </c>
      <c r="J1091">
        <v>42</v>
      </c>
      <c r="K1091">
        <v>44</v>
      </c>
      <c r="L1091">
        <v>43</v>
      </c>
      <c r="M1091">
        <v>45</v>
      </c>
      <c r="N1091">
        <v>65</v>
      </c>
      <c r="O1091">
        <v>91</v>
      </c>
      <c r="P1091">
        <v>36</v>
      </c>
      <c r="Q1091">
        <v>3</v>
      </c>
    </row>
    <row r="1092" spans="1:17" x14ac:dyDescent="0.45">
      <c r="A1092" t="s">
        <v>63</v>
      </c>
      <c r="B1092" t="s">
        <v>20</v>
      </c>
      <c r="C1092">
        <v>11</v>
      </c>
      <c r="D1092">
        <v>958</v>
      </c>
      <c r="E1092">
        <v>36</v>
      </c>
      <c r="F1092">
        <v>40</v>
      </c>
      <c r="G1092">
        <v>112</v>
      </c>
      <c r="H1092">
        <v>98</v>
      </c>
      <c r="I1092">
        <v>251</v>
      </c>
      <c r="J1092">
        <v>35</v>
      </c>
      <c r="K1092">
        <v>57</v>
      </c>
      <c r="L1092">
        <v>21</v>
      </c>
      <c r="M1092">
        <v>44</v>
      </c>
      <c r="N1092">
        <v>43</v>
      </c>
      <c r="O1092">
        <v>79</v>
      </c>
      <c r="P1092">
        <v>19</v>
      </c>
      <c r="Q1092">
        <v>2</v>
      </c>
    </row>
    <row r="1093" spans="1:17" x14ac:dyDescent="0.45">
      <c r="A1093" t="s">
        <v>63</v>
      </c>
      <c r="B1093" t="s">
        <v>21</v>
      </c>
      <c r="C1093">
        <v>11</v>
      </c>
      <c r="D1093">
        <v>822</v>
      </c>
      <c r="E1093">
        <v>39</v>
      </c>
      <c r="F1093">
        <v>37</v>
      </c>
      <c r="G1093">
        <v>74</v>
      </c>
      <c r="H1093">
        <v>40</v>
      </c>
      <c r="I1093">
        <v>210</v>
      </c>
      <c r="J1093">
        <v>22</v>
      </c>
      <c r="K1093">
        <v>54</v>
      </c>
      <c r="L1093">
        <v>32</v>
      </c>
      <c r="M1093">
        <v>19</v>
      </c>
      <c r="N1093">
        <v>58</v>
      </c>
      <c r="O1093">
        <v>73</v>
      </c>
      <c r="P1093">
        <v>33</v>
      </c>
      <c r="Q1093">
        <v>4</v>
      </c>
    </row>
    <row r="1094" spans="1:17" x14ac:dyDescent="0.45">
      <c r="A1094" t="s">
        <v>63</v>
      </c>
      <c r="B1094" t="s">
        <v>20</v>
      </c>
      <c r="C1094">
        <v>12</v>
      </c>
      <c r="D1094">
        <v>1008</v>
      </c>
      <c r="E1094">
        <v>47</v>
      </c>
      <c r="F1094">
        <v>43</v>
      </c>
      <c r="G1094">
        <v>118</v>
      </c>
      <c r="H1094">
        <v>17</v>
      </c>
      <c r="I1094">
        <v>179</v>
      </c>
      <c r="J1094">
        <v>20</v>
      </c>
      <c r="K1094">
        <v>85</v>
      </c>
      <c r="L1094">
        <v>27</v>
      </c>
      <c r="M1094">
        <v>31</v>
      </c>
      <c r="N1094">
        <v>60</v>
      </c>
      <c r="O1094">
        <v>79</v>
      </c>
      <c r="P1094">
        <v>33</v>
      </c>
      <c r="Q1094">
        <v>4</v>
      </c>
    </row>
    <row r="1095" spans="1:17" x14ac:dyDescent="0.45">
      <c r="A1095" t="s">
        <v>63</v>
      </c>
      <c r="B1095" t="s">
        <v>21</v>
      </c>
      <c r="C1095">
        <v>12</v>
      </c>
      <c r="D1095">
        <v>905</v>
      </c>
      <c r="E1095">
        <v>50</v>
      </c>
      <c r="F1095">
        <v>36</v>
      </c>
      <c r="G1095">
        <v>120</v>
      </c>
      <c r="H1095">
        <v>35</v>
      </c>
      <c r="I1095">
        <v>182</v>
      </c>
      <c r="J1095">
        <v>32</v>
      </c>
      <c r="K1095">
        <v>78</v>
      </c>
      <c r="L1095">
        <v>30</v>
      </c>
      <c r="M1095">
        <v>29</v>
      </c>
      <c r="N1095">
        <v>63</v>
      </c>
      <c r="O1095">
        <v>85</v>
      </c>
      <c r="P1095">
        <v>34</v>
      </c>
      <c r="Q1095">
        <v>0</v>
      </c>
    </row>
    <row r="1096" spans="1:17" x14ac:dyDescent="0.45">
      <c r="A1096" t="s">
        <v>74</v>
      </c>
      <c r="B1096" t="s">
        <v>20</v>
      </c>
      <c r="C1096">
        <v>1</v>
      </c>
      <c r="D1096">
        <v>624</v>
      </c>
      <c r="E1096">
        <v>10</v>
      </c>
      <c r="F1096">
        <v>25</v>
      </c>
      <c r="G1096">
        <v>106</v>
      </c>
      <c r="H1096">
        <v>14</v>
      </c>
      <c r="I1096">
        <v>110</v>
      </c>
      <c r="J1096">
        <v>35</v>
      </c>
      <c r="K1096">
        <v>76</v>
      </c>
      <c r="L1096">
        <v>11</v>
      </c>
      <c r="M1096">
        <v>16</v>
      </c>
      <c r="N1096">
        <v>29</v>
      </c>
      <c r="O1096">
        <v>41</v>
      </c>
      <c r="P1096">
        <v>9</v>
      </c>
      <c r="Q1096">
        <v>2</v>
      </c>
    </row>
    <row r="1097" spans="1:17" x14ac:dyDescent="0.45">
      <c r="A1097" t="s">
        <v>74</v>
      </c>
      <c r="B1097" t="s">
        <v>21</v>
      </c>
      <c r="C1097">
        <v>1</v>
      </c>
      <c r="D1097">
        <v>752</v>
      </c>
      <c r="E1097">
        <v>11</v>
      </c>
      <c r="F1097">
        <v>21</v>
      </c>
      <c r="G1097">
        <v>122</v>
      </c>
      <c r="H1097">
        <v>14</v>
      </c>
      <c r="I1097">
        <v>107</v>
      </c>
      <c r="J1097">
        <v>24</v>
      </c>
      <c r="K1097">
        <v>55</v>
      </c>
      <c r="L1097">
        <v>13</v>
      </c>
      <c r="M1097">
        <v>14</v>
      </c>
      <c r="N1097">
        <v>25</v>
      </c>
      <c r="O1097">
        <v>30</v>
      </c>
      <c r="P1097">
        <v>7</v>
      </c>
      <c r="Q1097">
        <v>4</v>
      </c>
    </row>
    <row r="1098" spans="1:17" x14ac:dyDescent="0.45">
      <c r="A1098" t="s">
        <v>74</v>
      </c>
      <c r="B1098" t="s">
        <v>20</v>
      </c>
      <c r="C1098">
        <v>2</v>
      </c>
      <c r="D1098">
        <v>623</v>
      </c>
      <c r="E1098">
        <v>7</v>
      </c>
      <c r="F1098">
        <v>15</v>
      </c>
      <c r="G1098">
        <v>64</v>
      </c>
      <c r="H1098">
        <v>35</v>
      </c>
      <c r="I1098">
        <v>120</v>
      </c>
      <c r="J1098">
        <v>5</v>
      </c>
      <c r="K1098">
        <v>51</v>
      </c>
      <c r="L1098">
        <v>10</v>
      </c>
      <c r="M1098">
        <v>11</v>
      </c>
      <c r="N1098">
        <v>23</v>
      </c>
      <c r="O1098">
        <v>18</v>
      </c>
      <c r="P1098">
        <v>15</v>
      </c>
      <c r="Q1098">
        <v>2</v>
      </c>
    </row>
    <row r="1099" spans="1:17" x14ac:dyDescent="0.45">
      <c r="A1099" t="s">
        <v>74</v>
      </c>
      <c r="B1099" t="s">
        <v>21</v>
      </c>
      <c r="C1099">
        <v>2</v>
      </c>
      <c r="D1099">
        <v>747</v>
      </c>
      <c r="E1099">
        <v>17</v>
      </c>
      <c r="F1099">
        <v>19</v>
      </c>
      <c r="G1099">
        <v>65</v>
      </c>
      <c r="H1099">
        <v>30</v>
      </c>
      <c r="I1099">
        <v>117</v>
      </c>
      <c r="J1099">
        <v>25</v>
      </c>
      <c r="K1099">
        <v>71</v>
      </c>
      <c r="L1099">
        <v>15</v>
      </c>
      <c r="M1099">
        <v>12</v>
      </c>
      <c r="N1099">
        <v>35</v>
      </c>
      <c r="O1099">
        <v>30</v>
      </c>
      <c r="P1099">
        <v>11</v>
      </c>
      <c r="Q1099">
        <v>5</v>
      </c>
    </row>
    <row r="1100" spans="1:17" x14ac:dyDescent="0.45">
      <c r="A1100" t="s">
        <v>74</v>
      </c>
      <c r="B1100" t="s">
        <v>20</v>
      </c>
      <c r="C1100">
        <v>3</v>
      </c>
      <c r="D1100">
        <v>914</v>
      </c>
      <c r="E1100">
        <v>31</v>
      </c>
      <c r="F1100">
        <v>59</v>
      </c>
      <c r="G1100">
        <v>124</v>
      </c>
      <c r="H1100">
        <v>29</v>
      </c>
      <c r="I1100">
        <v>152</v>
      </c>
      <c r="J1100">
        <v>32</v>
      </c>
      <c r="K1100">
        <v>132</v>
      </c>
      <c r="L1100">
        <v>38</v>
      </c>
      <c r="M1100">
        <v>40</v>
      </c>
      <c r="N1100">
        <v>215</v>
      </c>
      <c r="O1100">
        <v>134</v>
      </c>
      <c r="P1100">
        <v>127</v>
      </c>
      <c r="Q1100">
        <v>12</v>
      </c>
    </row>
    <row r="1101" spans="1:17" x14ac:dyDescent="0.45">
      <c r="A1101" t="s">
        <v>74</v>
      </c>
      <c r="B1101" t="s">
        <v>21</v>
      </c>
      <c r="C1101">
        <v>3</v>
      </c>
      <c r="D1101">
        <v>914</v>
      </c>
      <c r="E1101">
        <v>31</v>
      </c>
      <c r="F1101">
        <v>59</v>
      </c>
      <c r="G1101">
        <v>124</v>
      </c>
      <c r="H1101">
        <v>29</v>
      </c>
      <c r="I1101">
        <v>152</v>
      </c>
      <c r="J1101">
        <v>32</v>
      </c>
      <c r="K1101">
        <v>132</v>
      </c>
      <c r="L1101">
        <v>38</v>
      </c>
      <c r="M1101">
        <v>40</v>
      </c>
      <c r="N1101">
        <v>215</v>
      </c>
      <c r="O1101">
        <v>134</v>
      </c>
      <c r="P1101">
        <v>127</v>
      </c>
      <c r="Q1101">
        <v>12</v>
      </c>
    </row>
    <row r="1102" spans="1:17" x14ac:dyDescent="0.45">
      <c r="A1102" t="s">
        <v>74</v>
      </c>
      <c r="B1102" t="s">
        <v>20</v>
      </c>
      <c r="C1102">
        <v>4</v>
      </c>
      <c r="D1102">
        <v>756</v>
      </c>
      <c r="E1102">
        <v>29</v>
      </c>
      <c r="F1102">
        <v>55</v>
      </c>
      <c r="G1102">
        <v>200</v>
      </c>
      <c r="H1102">
        <v>42</v>
      </c>
      <c r="I1102">
        <v>219</v>
      </c>
      <c r="J1102">
        <v>66</v>
      </c>
      <c r="K1102">
        <v>297</v>
      </c>
      <c r="L1102">
        <v>108</v>
      </c>
      <c r="M1102">
        <v>57</v>
      </c>
      <c r="N1102">
        <v>319</v>
      </c>
      <c r="O1102">
        <v>232</v>
      </c>
      <c r="P1102">
        <v>185</v>
      </c>
      <c r="Q1102">
        <v>4</v>
      </c>
    </row>
    <row r="1103" spans="1:17" x14ac:dyDescent="0.45">
      <c r="A1103" t="s">
        <v>74</v>
      </c>
      <c r="B1103" t="s">
        <v>21</v>
      </c>
      <c r="C1103">
        <v>4</v>
      </c>
      <c r="D1103">
        <v>979</v>
      </c>
      <c r="E1103">
        <v>53</v>
      </c>
      <c r="F1103">
        <v>51</v>
      </c>
      <c r="G1103">
        <v>176</v>
      </c>
      <c r="H1103">
        <v>59</v>
      </c>
      <c r="I1103">
        <v>232</v>
      </c>
      <c r="J1103">
        <v>43</v>
      </c>
      <c r="K1103">
        <v>286</v>
      </c>
      <c r="L1103">
        <v>81</v>
      </c>
      <c r="M1103">
        <v>38</v>
      </c>
      <c r="N1103">
        <v>273</v>
      </c>
      <c r="O1103">
        <v>128</v>
      </c>
      <c r="P1103">
        <v>122</v>
      </c>
      <c r="Q1103">
        <v>15</v>
      </c>
    </row>
    <row r="1104" spans="1:17" x14ac:dyDescent="0.45">
      <c r="A1104" t="s">
        <v>74</v>
      </c>
      <c r="B1104" t="s">
        <v>20</v>
      </c>
      <c r="C1104">
        <v>5</v>
      </c>
      <c r="D1104">
        <v>676</v>
      </c>
      <c r="E1104">
        <v>32</v>
      </c>
      <c r="F1104">
        <v>53</v>
      </c>
      <c r="G1104">
        <v>145</v>
      </c>
      <c r="H1104">
        <v>35</v>
      </c>
      <c r="I1104">
        <v>180</v>
      </c>
      <c r="J1104">
        <v>28</v>
      </c>
      <c r="K1104">
        <v>165</v>
      </c>
      <c r="L1104">
        <v>65</v>
      </c>
      <c r="M1104">
        <v>37</v>
      </c>
      <c r="N1104">
        <v>162</v>
      </c>
      <c r="O1104">
        <v>133</v>
      </c>
      <c r="P1104">
        <v>79</v>
      </c>
      <c r="Q1104">
        <v>2</v>
      </c>
    </row>
    <row r="1105" spans="1:17" x14ac:dyDescent="0.45">
      <c r="A1105" t="s">
        <v>74</v>
      </c>
      <c r="B1105" t="s">
        <v>21</v>
      </c>
      <c r="C1105">
        <v>5</v>
      </c>
      <c r="D1105">
        <v>863</v>
      </c>
      <c r="E1105">
        <v>45</v>
      </c>
      <c r="F1105">
        <v>46</v>
      </c>
      <c r="G1105">
        <v>154</v>
      </c>
      <c r="H1105">
        <v>56</v>
      </c>
      <c r="I1105">
        <v>202</v>
      </c>
      <c r="J1105">
        <v>63</v>
      </c>
      <c r="K1105">
        <v>186</v>
      </c>
      <c r="L1105">
        <v>71</v>
      </c>
      <c r="M1105">
        <v>34</v>
      </c>
      <c r="N1105">
        <v>183</v>
      </c>
      <c r="O1105">
        <v>144</v>
      </c>
      <c r="P1105">
        <v>107</v>
      </c>
      <c r="Q1105">
        <v>0</v>
      </c>
    </row>
    <row r="1106" spans="1:17" x14ac:dyDescent="0.45">
      <c r="A1106" t="s">
        <v>74</v>
      </c>
      <c r="B1106" t="s">
        <v>20</v>
      </c>
      <c r="C1106">
        <v>6</v>
      </c>
      <c r="D1106">
        <v>691</v>
      </c>
      <c r="E1106">
        <v>53</v>
      </c>
      <c r="F1106">
        <v>52</v>
      </c>
      <c r="G1106">
        <v>118</v>
      </c>
      <c r="H1106">
        <v>33</v>
      </c>
      <c r="I1106">
        <v>230</v>
      </c>
      <c r="J1106">
        <v>35</v>
      </c>
      <c r="K1106">
        <v>114</v>
      </c>
      <c r="L1106">
        <v>62</v>
      </c>
      <c r="M1106">
        <v>32</v>
      </c>
      <c r="N1106">
        <v>96</v>
      </c>
      <c r="O1106">
        <v>93</v>
      </c>
      <c r="P1106">
        <v>33</v>
      </c>
      <c r="Q1106">
        <v>0</v>
      </c>
    </row>
    <row r="1107" spans="1:17" x14ac:dyDescent="0.45">
      <c r="A1107" t="s">
        <v>74</v>
      </c>
      <c r="B1107" t="s">
        <v>21</v>
      </c>
      <c r="C1107">
        <v>6</v>
      </c>
      <c r="D1107">
        <v>950</v>
      </c>
      <c r="E1107">
        <v>47</v>
      </c>
      <c r="F1107">
        <v>62</v>
      </c>
      <c r="G1107">
        <v>130</v>
      </c>
      <c r="H1107">
        <v>50</v>
      </c>
      <c r="I1107">
        <v>256</v>
      </c>
      <c r="J1107">
        <v>56</v>
      </c>
      <c r="K1107">
        <v>103</v>
      </c>
      <c r="L1107">
        <v>65</v>
      </c>
      <c r="M1107">
        <v>45</v>
      </c>
      <c r="N1107">
        <v>119</v>
      </c>
      <c r="O1107">
        <v>87</v>
      </c>
      <c r="P1107">
        <v>46</v>
      </c>
      <c r="Q1107">
        <v>7</v>
      </c>
    </row>
    <row r="1108" spans="1:17" x14ac:dyDescent="0.45">
      <c r="A1108" t="s">
        <v>74</v>
      </c>
      <c r="B1108" t="s">
        <v>20</v>
      </c>
      <c r="C1108">
        <v>7</v>
      </c>
      <c r="D1108">
        <v>602</v>
      </c>
      <c r="E1108">
        <v>24</v>
      </c>
      <c r="F1108">
        <v>38</v>
      </c>
      <c r="G1108">
        <v>82</v>
      </c>
      <c r="H1108">
        <v>29</v>
      </c>
      <c r="I1108">
        <v>204</v>
      </c>
      <c r="J1108">
        <v>40</v>
      </c>
      <c r="K1108">
        <v>54</v>
      </c>
      <c r="L1108">
        <v>31</v>
      </c>
      <c r="M1108">
        <v>17</v>
      </c>
      <c r="N1108">
        <v>30</v>
      </c>
      <c r="O1108">
        <v>31</v>
      </c>
      <c r="P1108">
        <v>16</v>
      </c>
      <c r="Q1108">
        <v>0</v>
      </c>
    </row>
    <row r="1109" spans="1:17" x14ac:dyDescent="0.45">
      <c r="A1109" t="s">
        <v>74</v>
      </c>
      <c r="B1109" t="s">
        <v>21</v>
      </c>
      <c r="C1109">
        <v>7</v>
      </c>
      <c r="D1109">
        <v>873</v>
      </c>
      <c r="E1109">
        <v>22</v>
      </c>
      <c r="F1109">
        <v>59</v>
      </c>
      <c r="G1109">
        <v>68</v>
      </c>
      <c r="H1109">
        <v>42</v>
      </c>
      <c r="I1109">
        <v>216</v>
      </c>
      <c r="J1109">
        <v>34</v>
      </c>
      <c r="K1109">
        <v>29</v>
      </c>
      <c r="L1109">
        <v>19</v>
      </c>
      <c r="M1109">
        <v>32</v>
      </c>
      <c r="N1109">
        <v>47</v>
      </c>
      <c r="O1109">
        <v>55</v>
      </c>
      <c r="P1109">
        <v>23</v>
      </c>
      <c r="Q1109">
        <v>0</v>
      </c>
    </row>
    <row r="1110" spans="1:17" x14ac:dyDescent="0.45">
      <c r="A1110" t="s">
        <v>74</v>
      </c>
      <c r="B1110" t="s">
        <v>20</v>
      </c>
      <c r="C1110">
        <v>8</v>
      </c>
      <c r="D1110">
        <v>612</v>
      </c>
      <c r="E1110">
        <v>27</v>
      </c>
      <c r="F1110">
        <v>45</v>
      </c>
      <c r="G1110">
        <v>68</v>
      </c>
      <c r="H1110">
        <v>17</v>
      </c>
      <c r="I1110">
        <v>169</v>
      </c>
      <c r="J1110">
        <v>35</v>
      </c>
      <c r="K1110">
        <v>15</v>
      </c>
      <c r="L1110">
        <v>7</v>
      </c>
      <c r="M1110">
        <v>15</v>
      </c>
      <c r="N1110">
        <v>21</v>
      </c>
      <c r="O1110">
        <v>27</v>
      </c>
      <c r="P1110">
        <v>1</v>
      </c>
      <c r="Q1110">
        <v>0</v>
      </c>
    </row>
    <row r="1111" spans="1:17" x14ac:dyDescent="0.45">
      <c r="A1111" t="s">
        <v>74</v>
      </c>
      <c r="B1111" t="s">
        <v>21</v>
      </c>
      <c r="C1111">
        <v>8</v>
      </c>
      <c r="D1111">
        <v>710</v>
      </c>
      <c r="E1111">
        <v>27</v>
      </c>
      <c r="F1111">
        <v>46</v>
      </c>
      <c r="G1111">
        <v>64</v>
      </c>
      <c r="H1111">
        <v>14</v>
      </c>
      <c r="I1111">
        <v>196</v>
      </c>
      <c r="J1111">
        <v>33</v>
      </c>
      <c r="K1111">
        <v>22</v>
      </c>
      <c r="L1111">
        <v>11</v>
      </c>
      <c r="M1111">
        <v>19</v>
      </c>
      <c r="N1111">
        <v>26</v>
      </c>
      <c r="O1111">
        <v>11</v>
      </c>
      <c r="P1111">
        <v>4</v>
      </c>
      <c r="Q1111">
        <v>0</v>
      </c>
    </row>
    <row r="1112" spans="1:17" x14ac:dyDescent="0.45">
      <c r="A1112" t="s">
        <v>74</v>
      </c>
      <c r="B1112" t="s">
        <v>20</v>
      </c>
      <c r="C1112">
        <v>9</v>
      </c>
      <c r="D1112">
        <v>846</v>
      </c>
      <c r="E1112">
        <v>26</v>
      </c>
      <c r="F1112">
        <v>46</v>
      </c>
      <c r="G1112">
        <v>53</v>
      </c>
      <c r="H1112">
        <v>36</v>
      </c>
      <c r="I1112">
        <v>185</v>
      </c>
      <c r="J1112">
        <v>26</v>
      </c>
      <c r="K1112">
        <v>12</v>
      </c>
      <c r="L1112">
        <v>16</v>
      </c>
      <c r="M1112">
        <v>21</v>
      </c>
      <c r="N1112">
        <v>29</v>
      </c>
      <c r="O1112">
        <v>24</v>
      </c>
      <c r="P1112">
        <v>9</v>
      </c>
      <c r="Q1112">
        <v>0</v>
      </c>
    </row>
    <row r="1113" spans="1:17" x14ac:dyDescent="0.45">
      <c r="A1113" t="s">
        <v>74</v>
      </c>
      <c r="B1113" t="s">
        <v>21</v>
      </c>
      <c r="C1113">
        <v>9</v>
      </c>
      <c r="D1113">
        <v>714</v>
      </c>
      <c r="E1113">
        <v>22</v>
      </c>
      <c r="F1113">
        <v>59</v>
      </c>
      <c r="G1113">
        <v>66</v>
      </c>
      <c r="H1113">
        <v>11</v>
      </c>
      <c r="I1113">
        <v>169</v>
      </c>
      <c r="J1113">
        <v>34</v>
      </c>
      <c r="K1113">
        <v>34</v>
      </c>
      <c r="L1113">
        <v>24</v>
      </c>
      <c r="M1113">
        <v>27</v>
      </c>
      <c r="N1113">
        <v>15</v>
      </c>
      <c r="O1113">
        <v>20</v>
      </c>
      <c r="P1113">
        <v>6</v>
      </c>
      <c r="Q1113">
        <v>0</v>
      </c>
    </row>
    <row r="1114" spans="1:17" x14ac:dyDescent="0.45">
      <c r="A1114" t="s">
        <v>74</v>
      </c>
      <c r="B1114" t="s">
        <v>20</v>
      </c>
      <c r="C1114">
        <v>10</v>
      </c>
      <c r="D1114">
        <v>926</v>
      </c>
      <c r="E1114">
        <v>63</v>
      </c>
      <c r="F1114">
        <v>61</v>
      </c>
      <c r="G1114">
        <v>81</v>
      </c>
      <c r="H1114">
        <v>90</v>
      </c>
      <c r="I1114">
        <v>297</v>
      </c>
      <c r="J1114">
        <v>44</v>
      </c>
      <c r="K1114">
        <v>44</v>
      </c>
      <c r="L1114">
        <v>35</v>
      </c>
      <c r="M1114">
        <v>48</v>
      </c>
      <c r="N1114">
        <v>43</v>
      </c>
      <c r="O1114">
        <v>51</v>
      </c>
      <c r="P1114">
        <v>21</v>
      </c>
      <c r="Q1114">
        <v>0</v>
      </c>
    </row>
    <row r="1115" spans="1:17" x14ac:dyDescent="0.45">
      <c r="A1115" t="s">
        <v>74</v>
      </c>
      <c r="B1115" t="s">
        <v>21</v>
      </c>
      <c r="C1115">
        <v>10</v>
      </c>
      <c r="D1115">
        <v>1213</v>
      </c>
      <c r="E1115">
        <v>46</v>
      </c>
      <c r="F1115">
        <v>75</v>
      </c>
      <c r="G1115">
        <v>153</v>
      </c>
      <c r="H1115">
        <v>24</v>
      </c>
      <c r="I1115">
        <v>235</v>
      </c>
      <c r="J1115">
        <v>57</v>
      </c>
      <c r="K1115">
        <v>54</v>
      </c>
      <c r="L1115">
        <v>42</v>
      </c>
      <c r="M1115">
        <v>41</v>
      </c>
      <c r="N1115">
        <v>39</v>
      </c>
      <c r="O1115">
        <v>52</v>
      </c>
      <c r="P1115">
        <v>22</v>
      </c>
      <c r="Q1115">
        <v>0</v>
      </c>
    </row>
    <row r="1116" spans="1:17" x14ac:dyDescent="0.45">
      <c r="A1116" t="s">
        <v>74</v>
      </c>
      <c r="B1116" t="s">
        <v>20</v>
      </c>
      <c r="C1116">
        <v>11</v>
      </c>
      <c r="D1116">
        <v>782</v>
      </c>
      <c r="E1116">
        <v>23</v>
      </c>
      <c r="F1116">
        <v>46</v>
      </c>
      <c r="G1116">
        <v>126</v>
      </c>
      <c r="H1116">
        <v>76</v>
      </c>
      <c r="I1116">
        <v>271</v>
      </c>
      <c r="J1116">
        <v>31</v>
      </c>
      <c r="K1116">
        <v>85</v>
      </c>
      <c r="L1116">
        <v>24</v>
      </c>
      <c r="M1116">
        <v>29</v>
      </c>
      <c r="N1116">
        <v>69</v>
      </c>
      <c r="O1116">
        <v>40</v>
      </c>
      <c r="P1116">
        <v>20</v>
      </c>
      <c r="Q1116">
        <v>0</v>
      </c>
    </row>
    <row r="1117" spans="1:17" x14ac:dyDescent="0.45">
      <c r="A1117" t="s">
        <v>74</v>
      </c>
      <c r="B1117" t="s">
        <v>21</v>
      </c>
      <c r="C1117">
        <v>11</v>
      </c>
      <c r="D1117">
        <v>1012</v>
      </c>
      <c r="E1117">
        <v>44</v>
      </c>
      <c r="F1117">
        <v>40</v>
      </c>
      <c r="G1117">
        <v>88</v>
      </c>
      <c r="H1117">
        <v>42</v>
      </c>
      <c r="I1117">
        <v>207</v>
      </c>
      <c r="J1117">
        <v>22</v>
      </c>
      <c r="K1117">
        <v>36</v>
      </c>
      <c r="L1117">
        <v>29</v>
      </c>
      <c r="M1117">
        <v>29</v>
      </c>
      <c r="N1117">
        <v>29</v>
      </c>
      <c r="O1117">
        <v>37</v>
      </c>
      <c r="P1117">
        <v>6</v>
      </c>
      <c r="Q1117">
        <v>0</v>
      </c>
    </row>
    <row r="1118" spans="1:17" x14ac:dyDescent="0.45">
      <c r="A1118" t="s">
        <v>74</v>
      </c>
      <c r="B1118" t="s">
        <v>20</v>
      </c>
      <c r="C1118">
        <v>12</v>
      </c>
      <c r="D1118">
        <v>818</v>
      </c>
      <c r="E1118">
        <v>40</v>
      </c>
      <c r="F1118">
        <v>50</v>
      </c>
      <c r="G1118">
        <v>153</v>
      </c>
      <c r="H1118">
        <v>45</v>
      </c>
      <c r="I1118">
        <v>202</v>
      </c>
      <c r="J1118">
        <v>46</v>
      </c>
      <c r="K1118">
        <v>69</v>
      </c>
      <c r="L1118">
        <v>23</v>
      </c>
      <c r="M1118">
        <v>25</v>
      </c>
      <c r="N1118">
        <v>46</v>
      </c>
      <c r="O1118">
        <v>37</v>
      </c>
      <c r="P1118">
        <v>15</v>
      </c>
      <c r="Q1118">
        <v>0</v>
      </c>
    </row>
    <row r="1119" spans="1:17" x14ac:dyDescent="0.45">
      <c r="A1119" t="s">
        <v>74</v>
      </c>
      <c r="B1119" t="s">
        <v>21</v>
      </c>
      <c r="C1119">
        <v>12</v>
      </c>
      <c r="D1119">
        <v>1010</v>
      </c>
      <c r="E1119">
        <v>56</v>
      </c>
      <c r="F1119">
        <v>48</v>
      </c>
      <c r="G1119">
        <v>144</v>
      </c>
      <c r="H1119">
        <v>42</v>
      </c>
      <c r="I1119">
        <v>228</v>
      </c>
      <c r="J1119">
        <v>53</v>
      </c>
      <c r="K1119">
        <v>85</v>
      </c>
      <c r="L1119">
        <v>33</v>
      </c>
      <c r="M1119">
        <v>27</v>
      </c>
      <c r="N1119">
        <v>45</v>
      </c>
      <c r="O1119">
        <v>60</v>
      </c>
      <c r="P1119">
        <v>12</v>
      </c>
      <c r="Q1119">
        <v>1</v>
      </c>
    </row>
    <row r="1120" spans="1:17" x14ac:dyDescent="0.45">
      <c r="A1120" t="s">
        <v>42</v>
      </c>
      <c r="B1120" t="s">
        <v>20</v>
      </c>
      <c r="C1120">
        <v>1</v>
      </c>
      <c r="D1120">
        <v>638</v>
      </c>
      <c r="E1120">
        <v>43</v>
      </c>
      <c r="F1120">
        <v>16</v>
      </c>
      <c r="G1120">
        <v>71</v>
      </c>
      <c r="H1120">
        <v>12</v>
      </c>
      <c r="I1120">
        <v>124</v>
      </c>
      <c r="J1120">
        <v>18</v>
      </c>
      <c r="K1120">
        <v>73</v>
      </c>
      <c r="L1120">
        <v>25</v>
      </c>
      <c r="M1120">
        <v>14</v>
      </c>
      <c r="N1120">
        <v>24</v>
      </c>
      <c r="O1120">
        <v>21</v>
      </c>
      <c r="P1120">
        <v>9</v>
      </c>
      <c r="Q1120">
        <v>0</v>
      </c>
    </row>
    <row r="1121" spans="1:17" x14ac:dyDescent="0.45">
      <c r="A1121" t="s">
        <v>42</v>
      </c>
      <c r="B1121" t="s">
        <v>21</v>
      </c>
      <c r="C1121">
        <v>1</v>
      </c>
      <c r="D1121">
        <v>673</v>
      </c>
      <c r="E1121">
        <v>31</v>
      </c>
      <c r="F1121">
        <v>24</v>
      </c>
      <c r="G1121">
        <v>65</v>
      </c>
      <c r="H1121">
        <v>11</v>
      </c>
      <c r="I1121">
        <v>123</v>
      </c>
      <c r="J1121">
        <v>30</v>
      </c>
      <c r="K1121">
        <v>83</v>
      </c>
      <c r="L1121">
        <v>18</v>
      </c>
      <c r="M1121">
        <v>18</v>
      </c>
      <c r="N1121">
        <v>19</v>
      </c>
      <c r="O1121">
        <v>20</v>
      </c>
      <c r="P1121">
        <v>13</v>
      </c>
      <c r="Q1121">
        <v>0</v>
      </c>
    </row>
    <row r="1122" spans="1:17" x14ac:dyDescent="0.45">
      <c r="A1122" t="s">
        <v>42</v>
      </c>
      <c r="B1122" t="s">
        <v>20</v>
      </c>
      <c r="C1122">
        <v>2</v>
      </c>
      <c r="D1122">
        <v>659</v>
      </c>
      <c r="E1122">
        <v>30</v>
      </c>
      <c r="F1122">
        <v>15</v>
      </c>
      <c r="G1122">
        <v>59</v>
      </c>
      <c r="H1122">
        <v>20</v>
      </c>
      <c r="I1122">
        <v>91</v>
      </c>
      <c r="J1122">
        <v>19</v>
      </c>
      <c r="K1122">
        <v>70</v>
      </c>
      <c r="L1122">
        <v>17</v>
      </c>
      <c r="M1122">
        <v>21</v>
      </c>
      <c r="N1122">
        <v>18</v>
      </c>
      <c r="O1122">
        <v>11</v>
      </c>
      <c r="P1122">
        <v>14</v>
      </c>
      <c r="Q1122">
        <v>0</v>
      </c>
    </row>
    <row r="1123" spans="1:17" x14ac:dyDescent="0.45">
      <c r="A1123" t="s">
        <v>42</v>
      </c>
      <c r="B1123" t="s">
        <v>21</v>
      </c>
      <c r="C1123">
        <v>2</v>
      </c>
      <c r="D1123">
        <v>770</v>
      </c>
      <c r="E1123">
        <v>30</v>
      </c>
      <c r="F1123">
        <v>4</v>
      </c>
      <c r="G1123">
        <v>29</v>
      </c>
      <c r="H1123">
        <v>40</v>
      </c>
      <c r="I1123">
        <v>124</v>
      </c>
      <c r="J1123">
        <v>16</v>
      </c>
      <c r="K1123">
        <v>50</v>
      </c>
      <c r="L1123">
        <v>22</v>
      </c>
      <c r="M1123">
        <v>9</v>
      </c>
      <c r="N1123">
        <v>31</v>
      </c>
      <c r="O1123">
        <v>16</v>
      </c>
      <c r="P1123">
        <v>11</v>
      </c>
      <c r="Q1123">
        <v>0</v>
      </c>
    </row>
    <row r="1124" spans="1:17" x14ac:dyDescent="0.45">
      <c r="A1124" t="s">
        <v>42</v>
      </c>
      <c r="B1124" t="s">
        <v>20</v>
      </c>
      <c r="C1124">
        <v>3</v>
      </c>
      <c r="D1124">
        <v>868</v>
      </c>
      <c r="E1124">
        <v>35</v>
      </c>
      <c r="F1124">
        <v>32</v>
      </c>
      <c r="G1124">
        <v>104</v>
      </c>
      <c r="H1124">
        <v>13</v>
      </c>
      <c r="I1124">
        <v>127</v>
      </c>
      <c r="J1124">
        <v>28</v>
      </c>
      <c r="K1124">
        <v>113</v>
      </c>
      <c r="L1124">
        <v>31</v>
      </c>
      <c r="M1124">
        <v>28</v>
      </c>
      <c r="N1124">
        <v>95</v>
      </c>
      <c r="O1124">
        <v>42</v>
      </c>
      <c r="P1124">
        <v>57</v>
      </c>
      <c r="Q1124">
        <v>4</v>
      </c>
    </row>
    <row r="1125" spans="1:17" x14ac:dyDescent="0.45">
      <c r="A1125" t="s">
        <v>42</v>
      </c>
      <c r="B1125" t="s">
        <v>21</v>
      </c>
      <c r="C1125">
        <v>3</v>
      </c>
      <c r="D1125">
        <v>865</v>
      </c>
      <c r="E1125">
        <v>42</v>
      </c>
      <c r="F1125">
        <v>25</v>
      </c>
      <c r="G1125">
        <v>134</v>
      </c>
      <c r="H1125">
        <v>20</v>
      </c>
      <c r="I1125">
        <v>141</v>
      </c>
      <c r="J1125">
        <v>34</v>
      </c>
      <c r="K1125">
        <v>130</v>
      </c>
      <c r="L1125">
        <v>35</v>
      </c>
      <c r="M1125">
        <v>29</v>
      </c>
      <c r="N1125">
        <v>126</v>
      </c>
      <c r="O1125">
        <v>59</v>
      </c>
      <c r="P1125">
        <v>86</v>
      </c>
      <c r="Q1125">
        <v>18</v>
      </c>
    </row>
    <row r="1126" spans="1:17" x14ac:dyDescent="0.45">
      <c r="A1126" t="s">
        <v>42</v>
      </c>
      <c r="B1126" t="s">
        <v>20</v>
      </c>
      <c r="C1126">
        <v>4</v>
      </c>
      <c r="D1126">
        <v>827</v>
      </c>
      <c r="E1126">
        <v>50</v>
      </c>
      <c r="F1126">
        <v>39</v>
      </c>
      <c r="G1126">
        <v>158</v>
      </c>
      <c r="H1126">
        <v>40</v>
      </c>
      <c r="I1126">
        <v>156</v>
      </c>
      <c r="J1126">
        <v>65</v>
      </c>
      <c r="K1126">
        <v>279</v>
      </c>
      <c r="L1126">
        <v>87</v>
      </c>
      <c r="M1126">
        <v>55</v>
      </c>
      <c r="N1126">
        <v>252</v>
      </c>
      <c r="O1126">
        <v>129</v>
      </c>
      <c r="P1126">
        <v>166</v>
      </c>
      <c r="Q1126">
        <v>0</v>
      </c>
    </row>
    <row r="1127" spans="1:17" x14ac:dyDescent="0.45">
      <c r="A1127" t="s">
        <v>42</v>
      </c>
      <c r="B1127" t="s">
        <v>21</v>
      </c>
      <c r="C1127">
        <v>4</v>
      </c>
      <c r="D1127">
        <v>980</v>
      </c>
      <c r="E1127">
        <v>46</v>
      </c>
      <c r="F1127">
        <v>37</v>
      </c>
      <c r="G1127">
        <v>147</v>
      </c>
      <c r="H1127">
        <v>32</v>
      </c>
      <c r="I1127">
        <v>165</v>
      </c>
      <c r="J1127">
        <v>46</v>
      </c>
      <c r="K1127">
        <v>167</v>
      </c>
      <c r="L1127">
        <v>69</v>
      </c>
      <c r="M1127">
        <v>42</v>
      </c>
      <c r="N1127">
        <v>178</v>
      </c>
      <c r="O1127">
        <v>75</v>
      </c>
      <c r="P1127">
        <v>106</v>
      </c>
      <c r="Q1127">
        <v>10</v>
      </c>
    </row>
    <row r="1128" spans="1:17" x14ac:dyDescent="0.45">
      <c r="A1128" t="s">
        <v>42</v>
      </c>
      <c r="B1128" t="s">
        <v>20</v>
      </c>
      <c r="C1128">
        <v>5</v>
      </c>
      <c r="D1128">
        <v>721</v>
      </c>
      <c r="E1128">
        <v>51</v>
      </c>
      <c r="F1128">
        <v>29</v>
      </c>
      <c r="G1128">
        <v>94</v>
      </c>
      <c r="H1128">
        <v>74</v>
      </c>
      <c r="I1128">
        <v>212</v>
      </c>
      <c r="J1128">
        <v>35</v>
      </c>
      <c r="K1128">
        <v>99</v>
      </c>
      <c r="L1128">
        <v>41</v>
      </c>
      <c r="M1128">
        <v>35</v>
      </c>
      <c r="N1128">
        <v>126</v>
      </c>
      <c r="O1128">
        <v>78</v>
      </c>
      <c r="P1128">
        <v>59</v>
      </c>
      <c r="Q1128">
        <v>0</v>
      </c>
    </row>
    <row r="1129" spans="1:17" x14ac:dyDescent="0.45">
      <c r="A1129" t="s">
        <v>42</v>
      </c>
      <c r="B1129" t="s">
        <v>21</v>
      </c>
      <c r="C1129">
        <v>5</v>
      </c>
      <c r="D1129">
        <v>845</v>
      </c>
      <c r="E1129">
        <v>78</v>
      </c>
      <c r="F1129">
        <v>25</v>
      </c>
      <c r="G1129">
        <v>130</v>
      </c>
      <c r="H1129">
        <v>49</v>
      </c>
      <c r="I1129">
        <v>217</v>
      </c>
      <c r="J1129">
        <v>44</v>
      </c>
      <c r="K1129">
        <v>199</v>
      </c>
      <c r="L1129">
        <v>91</v>
      </c>
      <c r="M1129">
        <v>29</v>
      </c>
      <c r="N1129">
        <v>158</v>
      </c>
      <c r="O1129">
        <v>95</v>
      </c>
      <c r="P1129">
        <v>65</v>
      </c>
      <c r="Q1129">
        <v>0</v>
      </c>
    </row>
    <row r="1130" spans="1:17" x14ac:dyDescent="0.45">
      <c r="A1130" t="s">
        <v>42</v>
      </c>
      <c r="B1130" t="s">
        <v>20</v>
      </c>
      <c r="C1130">
        <v>8</v>
      </c>
      <c r="D1130">
        <v>643</v>
      </c>
      <c r="E1130">
        <v>48</v>
      </c>
      <c r="F1130">
        <v>36</v>
      </c>
      <c r="G1130">
        <v>37</v>
      </c>
      <c r="H1130">
        <v>18</v>
      </c>
      <c r="I1130">
        <v>153</v>
      </c>
      <c r="J1130">
        <v>17</v>
      </c>
      <c r="K1130">
        <v>8</v>
      </c>
      <c r="L1130">
        <v>19</v>
      </c>
      <c r="M1130">
        <v>23</v>
      </c>
      <c r="N1130">
        <v>8</v>
      </c>
      <c r="O1130">
        <v>10</v>
      </c>
      <c r="P1130">
        <v>3</v>
      </c>
      <c r="Q1130">
        <v>0</v>
      </c>
    </row>
    <row r="1131" spans="1:17" x14ac:dyDescent="0.45">
      <c r="A1131" t="s">
        <v>42</v>
      </c>
      <c r="B1131" t="s">
        <v>21</v>
      </c>
      <c r="C1131">
        <v>8</v>
      </c>
      <c r="D1131">
        <v>779</v>
      </c>
      <c r="E1131">
        <v>50</v>
      </c>
      <c r="F1131">
        <v>39</v>
      </c>
      <c r="G1131">
        <v>37</v>
      </c>
      <c r="H1131">
        <v>6</v>
      </c>
      <c r="I1131">
        <v>167</v>
      </c>
      <c r="J1131">
        <v>30</v>
      </c>
      <c r="K1131">
        <v>20</v>
      </c>
      <c r="L1131">
        <v>7</v>
      </c>
      <c r="M1131">
        <v>29</v>
      </c>
      <c r="N1131">
        <v>19</v>
      </c>
      <c r="O1131">
        <v>12</v>
      </c>
      <c r="P1131">
        <v>2</v>
      </c>
      <c r="Q1131">
        <v>0</v>
      </c>
    </row>
    <row r="1132" spans="1:17" x14ac:dyDescent="0.45">
      <c r="A1132" t="s">
        <v>42</v>
      </c>
      <c r="B1132" t="s">
        <v>20</v>
      </c>
      <c r="C1132">
        <v>9</v>
      </c>
      <c r="D1132">
        <v>777</v>
      </c>
      <c r="E1132">
        <v>46</v>
      </c>
      <c r="F1132">
        <v>38</v>
      </c>
      <c r="G1132">
        <v>43</v>
      </c>
      <c r="H1132">
        <v>39</v>
      </c>
      <c r="I1132">
        <v>171</v>
      </c>
      <c r="J1132">
        <v>40</v>
      </c>
      <c r="K1132">
        <v>23</v>
      </c>
      <c r="L1132">
        <v>17</v>
      </c>
      <c r="M1132">
        <v>42</v>
      </c>
      <c r="N1132">
        <v>9</v>
      </c>
      <c r="O1132">
        <v>9</v>
      </c>
      <c r="P1132">
        <v>1</v>
      </c>
      <c r="Q1132">
        <v>0</v>
      </c>
    </row>
    <row r="1133" spans="1:17" x14ac:dyDescent="0.45">
      <c r="A1133" t="s">
        <v>42</v>
      </c>
      <c r="B1133" t="s">
        <v>21</v>
      </c>
      <c r="C1133">
        <v>9</v>
      </c>
      <c r="D1133">
        <v>777</v>
      </c>
      <c r="E1133">
        <v>38</v>
      </c>
      <c r="F1133">
        <v>22</v>
      </c>
      <c r="G1133">
        <v>54</v>
      </c>
      <c r="H1133">
        <v>13</v>
      </c>
      <c r="I1133">
        <v>124</v>
      </c>
      <c r="J1133">
        <v>24</v>
      </c>
      <c r="K1133">
        <v>14</v>
      </c>
      <c r="L1133">
        <v>8</v>
      </c>
      <c r="M1133">
        <v>18</v>
      </c>
      <c r="N1133">
        <v>16</v>
      </c>
      <c r="O1133">
        <v>8</v>
      </c>
      <c r="P1133">
        <v>4</v>
      </c>
      <c r="Q1133">
        <v>0</v>
      </c>
    </row>
    <row r="1134" spans="1:17" x14ac:dyDescent="0.45">
      <c r="A1134" t="s">
        <v>42</v>
      </c>
      <c r="B1134" t="s">
        <v>20</v>
      </c>
      <c r="C1134">
        <v>10</v>
      </c>
      <c r="D1134">
        <v>832</v>
      </c>
      <c r="E1134">
        <v>87</v>
      </c>
      <c r="F1134">
        <v>27</v>
      </c>
      <c r="G1134">
        <v>44</v>
      </c>
      <c r="H1134">
        <v>70</v>
      </c>
      <c r="I1134">
        <v>216</v>
      </c>
      <c r="J1134">
        <v>36</v>
      </c>
      <c r="K1134">
        <v>38</v>
      </c>
      <c r="L1134">
        <v>40</v>
      </c>
      <c r="M1134">
        <v>36</v>
      </c>
      <c r="N1134">
        <v>24</v>
      </c>
      <c r="O1134">
        <v>35</v>
      </c>
      <c r="P1134">
        <v>10</v>
      </c>
      <c r="Q1134">
        <v>0</v>
      </c>
    </row>
    <row r="1135" spans="1:17" x14ac:dyDescent="0.45">
      <c r="A1135" t="s">
        <v>42</v>
      </c>
      <c r="B1135" t="s">
        <v>21</v>
      </c>
      <c r="C1135">
        <v>10</v>
      </c>
      <c r="D1135">
        <v>1047</v>
      </c>
      <c r="E1135">
        <v>70</v>
      </c>
      <c r="F1135">
        <v>48</v>
      </c>
      <c r="G1135">
        <v>132</v>
      </c>
      <c r="H1135">
        <v>20</v>
      </c>
      <c r="I1135">
        <v>219</v>
      </c>
      <c r="J1135">
        <v>44</v>
      </c>
      <c r="K1135">
        <v>44</v>
      </c>
      <c r="L1135">
        <v>39</v>
      </c>
      <c r="M1135">
        <v>51</v>
      </c>
      <c r="N1135">
        <v>31</v>
      </c>
      <c r="O1135">
        <v>27</v>
      </c>
      <c r="P1135">
        <v>20</v>
      </c>
      <c r="Q1135">
        <v>0</v>
      </c>
    </row>
    <row r="1136" spans="1:17" x14ac:dyDescent="0.45">
      <c r="A1136" t="s">
        <v>42</v>
      </c>
      <c r="B1136" t="s">
        <v>20</v>
      </c>
      <c r="C1136">
        <v>11</v>
      </c>
      <c r="D1136">
        <v>741</v>
      </c>
      <c r="E1136">
        <v>45</v>
      </c>
      <c r="F1136">
        <v>41</v>
      </c>
      <c r="G1136">
        <v>65</v>
      </c>
      <c r="H1136">
        <v>54</v>
      </c>
      <c r="I1136">
        <v>185</v>
      </c>
      <c r="J1136">
        <v>33</v>
      </c>
      <c r="K1136">
        <v>15</v>
      </c>
      <c r="L1136">
        <v>24</v>
      </c>
      <c r="M1136">
        <v>37</v>
      </c>
      <c r="N1136">
        <v>24</v>
      </c>
      <c r="O1136">
        <v>21</v>
      </c>
      <c r="P1136">
        <v>15</v>
      </c>
      <c r="Q1136">
        <v>0</v>
      </c>
    </row>
    <row r="1137" spans="1:17" x14ac:dyDescent="0.45">
      <c r="A1137" t="s">
        <v>42</v>
      </c>
      <c r="B1137" t="s">
        <v>21</v>
      </c>
      <c r="C1137">
        <v>11</v>
      </c>
      <c r="D1137">
        <v>855</v>
      </c>
      <c r="E1137">
        <v>52</v>
      </c>
      <c r="F1137">
        <v>22</v>
      </c>
      <c r="G1137">
        <v>72</v>
      </c>
      <c r="H1137">
        <v>41</v>
      </c>
      <c r="I1137">
        <v>180</v>
      </c>
      <c r="J1137">
        <v>15</v>
      </c>
      <c r="K1137">
        <v>53</v>
      </c>
      <c r="L1137">
        <v>21</v>
      </c>
      <c r="M1137">
        <v>25</v>
      </c>
      <c r="N1137">
        <v>27</v>
      </c>
      <c r="O1137">
        <v>33</v>
      </c>
      <c r="P1137">
        <v>9</v>
      </c>
      <c r="Q1137">
        <v>0</v>
      </c>
    </row>
    <row r="1138" spans="1:17" x14ac:dyDescent="0.45">
      <c r="A1138" t="s">
        <v>42</v>
      </c>
      <c r="B1138" t="s">
        <v>20</v>
      </c>
      <c r="C1138">
        <v>12</v>
      </c>
      <c r="D1138">
        <v>841</v>
      </c>
      <c r="E1138">
        <v>35</v>
      </c>
      <c r="F1138">
        <v>25</v>
      </c>
      <c r="G1138">
        <v>108</v>
      </c>
      <c r="H1138">
        <v>24</v>
      </c>
      <c r="I1138">
        <v>168</v>
      </c>
      <c r="J1138">
        <v>36</v>
      </c>
      <c r="K1138">
        <v>87</v>
      </c>
      <c r="L1138">
        <v>44</v>
      </c>
      <c r="M1138">
        <v>30</v>
      </c>
      <c r="N1138">
        <v>39</v>
      </c>
      <c r="O1138">
        <v>32</v>
      </c>
      <c r="P1138">
        <v>16</v>
      </c>
      <c r="Q1138">
        <v>0</v>
      </c>
    </row>
    <row r="1139" spans="1:17" x14ac:dyDescent="0.45">
      <c r="A1139" t="s">
        <v>42</v>
      </c>
      <c r="B1139" t="s">
        <v>21</v>
      </c>
      <c r="C1139">
        <v>12</v>
      </c>
      <c r="D1139">
        <v>891</v>
      </c>
      <c r="E1139">
        <v>33</v>
      </c>
      <c r="F1139">
        <v>29</v>
      </c>
      <c r="G1139">
        <v>139</v>
      </c>
      <c r="H1139">
        <v>40</v>
      </c>
      <c r="I1139">
        <v>149</v>
      </c>
      <c r="J1139">
        <v>28</v>
      </c>
      <c r="K1139">
        <v>92</v>
      </c>
      <c r="L1139">
        <v>29</v>
      </c>
      <c r="M1139">
        <v>22</v>
      </c>
      <c r="N1139">
        <v>35</v>
      </c>
      <c r="O1139">
        <v>24</v>
      </c>
      <c r="P1139">
        <v>18</v>
      </c>
      <c r="Q1139">
        <v>0</v>
      </c>
    </row>
    <row r="1140" spans="1:17" x14ac:dyDescent="0.45">
      <c r="A1140" t="s">
        <v>46</v>
      </c>
      <c r="B1140" t="s">
        <v>20</v>
      </c>
      <c r="C1140">
        <v>1</v>
      </c>
      <c r="D1140">
        <v>931</v>
      </c>
      <c r="E1140">
        <v>51</v>
      </c>
      <c r="F1140">
        <v>31</v>
      </c>
      <c r="G1140">
        <v>136</v>
      </c>
      <c r="H1140">
        <v>8</v>
      </c>
      <c r="I1140">
        <v>199</v>
      </c>
      <c r="J1140">
        <v>30</v>
      </c>
      <c r="K1140">
        <v>135</v>
      </c>
      <c r="L1140">
        <v>55</v>
      </c>
      <c r="M1140">
        <v>47</v>
      </c>
      <c r="N1140">
        <v>65</v>
      </c>
      <c r="O1140">
        <v>71</v>
      </c>
      <c r="P1140">
        <v>29</v>
      </c>
      <c r="Q1140">
        <v>2</v>
      </c>
    </row>
    <row r="1141" spans="1:17" x14ac:dyDescent="0.45">
      <c r="A1141" t="s">
        <v>46</v>
      </c>
      <c r="B1141" t="s">
        <v>21</v>
      </c>
      <c r="C1141">
        <v>1</v>
      </c>
      <c r="D1141">
        <v>1176</v>
      </c>
      <c r="E1141">
        <v>37</v>
      </c>
      <c r="F1141">
        <v>66</v>
      </c>
      <c r="G1141">
        <v>173</v>
      </c>
      <c r="H1141">
        <v>7</v>
      </c>
      <c r="I1141">
        <v>187</v>
      </c>
      <c r="J1141">
        <v>27</v>
      </c>
      <c r="K1141">
        <v>120</v>
      </c>
      <c r="L1141">
        <v>44</v>
      </c>
      <c r="M1141">
        <v>48</v>
      </c>
      <c r="N1141">
        <v>77</v>
      </c>
      <c r="O1141">
        <v>65</v>
      </c>
      <c r="P1141">
        <v>24</v>
      </c>
      <c r="Q1141">
        <v>10</v>
      </c>
    </row>
    <row r="1142" spans="1:17" x14ac:dyDescent="0.45">
      <c r="A1142" t="s">
        <v>46</v>
      </c>
      <c r="B1142" t="s">
        <v>20</v>
      </c>
      <c r="C1142">
        <v>2</v>
      </c>
      <c r="D1142">
        <v>877</v>
      </c>
      <c r="E1142">
        <v>28</v>
      </c>
      <c r="F1142">
        <v>23</v>
      </c>
      <c r="G1142">
        <v>131</v>
      </c>
      <c r="H1142">
        <v>21</v>
      </c>
      <c r="I1142">
        <v>187</v>
      </c>
      <c r="J1142">
        <v>16</v>
      </c>
      <c r="K1142">
        <v>96</v>
      </c>
      <c r="L1142">
        <v>26</v>
      </c>
      <c r="M1142">
        <v>17</v>
      </c>
      <c r="N1142">
        <v>31</v>
      </c>
      <c r="O1142">
        <v>34</v>
      </c>
      <c r="P1142">
        <v>18</v>
      </c>
      <c r="Q1142">
        <v>7</v>
      </c>
    </row>
    <row r="1143" spans="1:17" x14ac:dyDescent="0.45">
      <c r="A1143" t="s">
        <v>46</v>
      </c>
      <c r="B1143" t="s">
        <v>21</v>
      </c>
      <c r="C1143">
        <v>2</v>
      </c>
      <c r="D1143">
        <v>1161</v>
      </c>
      <c r="E1143">
        <v>27</v>
      </c>
      <c r="F1143">
        <v>24</v>
      </c>
      <c r="G1143">
        <v>79</v>
      </c>
      <c r="H1143">
        <v>65</v>
      </c>
      <c r="I1143">
        <v>272</v>
      </c>
      <c r="J1143">
        <v>20</v>
      </c>
      <c r="K1143">
        <v>103</v>
      </c>
      <c r="L1143">
        <v>16</v>
      </c>
      <c r="M1143">
        <v>25</v>
      </c>
      <c r="N1143">
        <v>59</v>
      </c>
      <c r="O1143">
        <v>50</v>
      </c>
      <c r="P1143">
        <v>18</v>
      </c>
      <c r="Q1143">
        <v>9</v>
      </c>
    </row>
    <row r="1144" spans="1:17" x14ac:dyDescent="0.45">
      <c r="A1144" t="s">
        <v>46</v>
      </c>
      <c r="B1144" t="s">
        <v>20</v>
      </c>
      <c r="C1144">
        <v>3</v>
      </c>
      <c r="D1144">
        <v>1171</v>
      </c>
      <c r="E1144">
        <v>60</v>
      </c>
      <c r="F1144">
        <v>51</v>
      </c>
      <c r="G1144">
        <v>226</v>
      </c>
      <c r="H1144">
        <v>12</v>
      </c>
      <c r="I1144">
        <v>222</v>
      </c>
      <c r="J1144">
        <v>44</v>
      </c>
      <c r="K1144">
        <v>182</v>
      </c>
      <c r="L1144">
        <v>48</v>
      </c>
      <c r="M1144">
        <v>59</v>
      </c>
      <c r="N1144">
        <v>192</v>
      </c>
      <c r="O1144">
        <v>130</v>
      </c>
      <c r="P1144">
        <v>131</v>
      </c>
      <c r="Q1144">
        <v>21</v>
      </c>
    </row>
    <row r="1145" spans="1:17" x14ac:dyDescent="0.45">
      <c r="A1145" t="s">
        <v>46</v>
      </c>
      <c r="B1145" t="s">
        <v>21</v>
      </c>
      <c r="C1145">
        <v>3</v>
      </c>
      <c r="D1145">
        <v>1474</v>
      </c>
      <c r="E1145">
        <v>48</v>
      </c>
      <c r="F1145">
        <v>59</v>
      </c>
      <c r="G1145">
        <v>258</v>
      </c>
      <c r="H1145">
        <v>7</v>
      </c>
      <c r="I1145">
        <v>283</v>
      </c>
      <c r="J1145">
        <v>68</v>
      </c>
      <c r="K1145">
        <v>286</v>
      </c>
      <c r="L1145">
        <v>59</v>
      </c>
      <c r="M1145">
        <v>72</v>
      </c>
      <c r="N1145">
        <v>281</v>
      </c>
      <c r="O1145">
        <v>170</v>
      </c>
      <c r="P1145">
        <v>192</v>
      </c>
      <c r="Q1145">
        <v>33</v>
      </c>
    </row>
    <row r="1146" spans="1:17" x14ac:dyDescent="0.45">
      <c r="A1146" t="s">
        <v>46</v>
      </c>
      <c r="B1146" t="s">
        <v>20</v>
      </c>
      <c r="C1146">
        <v>4</v>
      </c>
      <c r="D1146">
        <v>1270</v>
      </c>
      <c r="E1146">
        <v>67</v>
      </c>
      <c r="F1146">
        <v>90</v>
      </c>
      <c r="G1146">
        <v>295</v>
      </c>
      <c r="H1146">
        <v>20</v>
      </c>
      <c r="I1146">
        <v>260</v>
      </c>
      <c r="J1146">
        <v>66</v>
      </c>
      <c r="K1146">
        <v>426</v>
      </c>
      <c r="L1146">
        <v>134</v>
      </c>
      <c r="M1146">
        <v>111</v>
      </c>
      <c r="N1146">
        <v>463</v>
      </c>
      <c r="O1146">
        <v>300</v>
      </c>
      <c r="P1146">
        <v>343</v>
      </c>
      <c r="Q1146">
        <v>27</v>
      </c>
    </row>
    <row r="1147" spans="1:17" x14ac:dyDescent="0.45">
      <c r="A1147" t="s">
        <v>46</v>
      </c>
      <c r="B1147" t="s">
        <v>21</v>
      </c>
      <c r="C1147">
        <v>4</v>
      </c>
      <c r="D1147">
        <v>1474</v>
      </c>
      <c r="E1147">
        <v>58</v>
      </c>
      <c r="F1147">
        <v>78</v>
      </c>
      <c r="G1147">
        <v>246</v>
      </c>
      <c r="H1147">
        <v>39</v>
      </c>
      <c r="I1147">
        <v>330</v>
      </c>
      <c r="J1147">
        <v>79</v>
      </c>
      <c r="K1147">
        <v>485</v>
      </c>
      <c r="L1147">
        <v>137</v>
      </c>
      <c r="M1147">
        <v>84</v>
      </c>
      <c r="N1147">
        <v>410</v>
      </c>
      <c r="O1147">
        <v>262</v>
      </c>
      <c r="P1147">
        <v>316</v>
      </c>
      <c r="Q1147">
        <v>30</v>
      </c>
    </row>
    <row r="1148" spans="1:17" x14ac:dyDescent="0.45">
      <c r="A1148" t="s">
        <v>46</v>
      </c>
      <c r="B1148" t="s">
        <v>20</v>
      </c>
      <c r="C1148">
        <v>5</v>
      </c>
      <c r="D1148">
        <v>1126</v>
      </c>
      <c r="E1148">
        <v>41</v>
      </c>
      <c r="F1148">
        <v>75</v>
      </c>
      <c r="G1148">
        <v>193</v>
      </c>
      <c r="H1148">
        <v>15</v>
      </c>
      <c r="I1148">
        <v>265</v>
      </c>
      <c r="J1148">
        <v>43</v>
      </c>
      <c r="K1148">
        <v>259</v>
      </c>
      <c r="L1148">
        <v>99</v>
      </c>
      <c r="M1148">
        <v>62</v>
      </c>
      <c r="N1148">
        <v>250</v>
      </c>
      <c r="O1148">
        <v>171</v>
      </c>
      <c r="P1148">
        <v>170</v>
      </c>
      <c r="Q1148">
        <v>14</v>
      </c>
    </row>
    <row r="1149" spans="1:17" x14ac:dyDescent="0.45">
      <c r="A1149" t="s">
        <v>46</v>
      </c>
      <c r="B1149" t="s">
        <v>21</v>
      </c>
      <c r="C1149">
        <v>5</v>
      </c>
      <c r="D1149">
        <v>1284</v>
      </c>
      <c r="E1149">
        <v>93</v>
      </c>
      <c r="F1149">
        <v>81</v>
      </c>
      <c r="G1149">
        <v>194</v>
      </c>
      <c r="H1149">
        <v>27</v>
      </c>
      <c r="I1149">
        <v>334</v>
      </c>
      <c r="J1149">
        <v>60</v>
      </c>
      <c r="K1149">
        <v>266</v>
      </c>
      <c r="L1149">
        <v>78</v>
      </c>
      <c r="M1149">
        <v>61</v>
      </c>
      <c r="N1149">
        <v>307</v>
      </c>
      <c r="O1149">
        <v>249</v>
      </c>
      <c r="P1149">
        <v>172</v>
      </c>
      <c r="Q1149">
        <v>13</v>
      </c>
    </row>
    <row r="1150" spans="1:17" x14ac:dyDescent="0.45">
      <c r="A1150" t="s">
        <v>46</v>
      </c>
      <c r="B1150" t="s">
        <v>20</v>
      </c>
      <c r="C1150">
        <v>6</v>
      </c>
      <c r="D1150">
        <v>1289</v>
      </c>
      <c r="E1150">
        <v>57</v>
      </c>
      <c r="F1150">
        <v>82</v>
      </c>
      <c r="G1150">
        <v>187</v>
      </c>
      <c r="H1150">
        <v>31</v>
      </c>
      <c r="I1150">
        <v>318</v>
      </c>
      <c r="J1150">
        <v>21</v>
      </c>
      <c r="K1150">
        <v>123</v>
      </c>
      <c r="L1150">
        <v>77</v>
      </c>
      <c r="M1150">
        <v>56</v>
      </c>
      <c r="N1150">
        <v>160</v>
      </c>
      <c r="O1150">
        <v>185</v>
      </c>
      <c r="P1150">
        <v>102</v>
      </c>
      <c r="Q1150">
        <v>19</v>
      </c>
    </row>
    <row r="1151" spans="1:17" x14ac:dyDescent="0.45">
      <c r="A1151" t="s">
        <v>46</v>
      </c>
      <c r="B1151" t="s">
        <v>21</v>
      </c>
      <c r="C1151">
        <v>6</v>
      </c>
      <c r="D1151">
        <v>1434</v>
      </c>
      <c r="E1151">
        <v>68</v>
      </c>
      <c r="F1151">
        <v>91</v>
      </c>
      <c r="G1151">
        <v>188</v>
      </c>
      <c r="H1151">
        <v>21</v>
      </c>
      <c r="I1151">
        <v>287</v>
      </c>
      <c r="J1151">
        <v>42</v>
      </c>
      <c r="K1151">
        <v>184</v>
      </c>
      <c r="L1151">
        <v>131</v>
      </c>
      <c r="M1151">
        <v>71</v>
      </c>
      <c r="N1151">
        <v>161</v>
      </c>
      <c r="O1151">
        <v>146</v>
      </c>
      <c r="P1151">
        <v>103</v>
      </c>
      <c r="Q1151">
        <v>5</v>
      </c>
    </row>
    <row r="1152" spans="1:17" x14ac:dyDescent="0.45">
      <c r="A1152" t="s">
        <v>46</v>
      </c>
      <c r="B1152" t="s">
        <v>20</v>
      </c>
      <c r="C1152">
        <v>7</v>
      </c>
      <c r="D1152">
        <v>1124</v>
      </c>
      <c r="E1152">
        <v>73</v>
      </c>
      <c r="F1152">
        <v>73</v>
      </c>
      <c r="G1152">
        <v>108</v>
      </c>
      <c r="H1152">
        <v>28</v>
      </c>
      <c r="I1152">
        <v>316</v>
      </c>
      <c r="J1152">
        <v>25</v>
      </c>
      <c r="K1152">
        <v>60</v>
      </c>
      <c r="L1152">
        <v>43</v>
      </c>
      <c r="M1152">
        <v>51</v>
      </c>
      <c r="N1152">
        <v>73</v>
      </c>
      <c r="O1152">
        <v>62</v>
      </c>
      <c r="P1152">
        <v>39</v>
      </c>
      <c r="Q1152">
        <v>4</v>
      </c>
    </row>
    <row r="1153" spans="1:17" x14ac:dyDescent="0.45">
      <c r="A1153" t="s">
        <v>46</v>
      </c>
      <c r="B1153" t="s">
        <v>21</v>
      </c>
      <c r="C1153">
        <v>7</v>
      </c>
      <c r="D1153">
        <v>1406</v>
      </c>
      <c r="E1153">
        <v>59</v>
      </c>
      <c r="F1153">
        <v>92</v>
      </c>
      <c r="G1153">
        <v>71</v>
      </c>
      <c r="H1153">
        <v>58</v>
      </c>
      <c r="I1153">
        <v>372</v>
      </c>
      <c r="J1153">
        <v>26</v>
      </c>
      <c r="K1153">
        <v>57</v>
      </c>
      <c r="L1153">
        <v>33</v>
      </c>
      <c r="M1153">
        <v>56</v>
      </c>
      <c r="N1153">
        <v>73</v>
      </c>
      <c r="O1153">
        <v>78</v>
      </c>
      <c r="P1153">
        <v>41</v>
      </c>
      <c r="Q1153">
        <v>0</v>
      </c>
    </row>
    <row r="1154" spans="1:17" x14ac:dyDescent="0.45">
      <c r="A1154" t="s">
        <v>46</v>
      </c>
      <c r="B1154" t="s">
        <v>20</v>
      </c>
      <c r="C1154">
        <v>8</v>
      </c>
      <c r="D1154">
        <v>1159</v>
      </c>
      <c r="E1154">
        <v>42</v>
      </c>
      <c r="F1154">
        <v>66</v>
      </c>
      <c r="G1154">
        <v>89</v>
      </c>
      <c r="H1154">
        <v>9</v>
      </c>
      <c r="I1154">
        <v>275</v>
      </c>
      <c r="J1154">
        <v>22</v>
      </c>
      <c r="K1154">
        <v>60</v>
      </c>
      <c r="L1154">
        <v>36</v>
      </c>
      <c r="M1154">
        <v>42</v>
      </c>
      <c r="N1154">
        <v>17</v>
      </c>
      <c r="O1154">
        <v>47</v>
      </c>
      <c r="P1154">
        <v>13</v>
      </c>
      <c r="Q1154">
        <v>2</v>
      </c>
    </row>
    <row r="1155" spans="1:17" x14ac:dyDescent="0.45">
      <c r="A1155" t="s">
        <v>46</v>
      </c>
      <c r="B1155" t="s">
        <v>21</v>
      </c>
      <c r="C1155">
        <v>8</v>
      </c>
      <c r="D1155">
        <v>1118</v>
      </c>
      <c r="E1155">
        <v>35</v>
      </c>
      <c r="F1155">
        <v>103</v>
      </c>
      <c r="G1155">
        <v>117</v>
      </c>
      <c r="H1155">
        <v>4</v>
      </c>
      <c r="I1155">
        <v>273</v>
      </c>
      <c r="J1155">
        <v>25</v>
      </c>
      <c r="K1155">
        <v>32</v>
      </c>
      <c r="L1155">
        <v>42</v>
      </c>
      <c r="M1155">
        <v>47</v>
      </c>
      <c r="N1155">
        <v>53</v>
      </c>
      <c r="O1155">
        <v>47</v>
      </c>
      <c r="P1155">
        <v>26</v>
      </c>
      <c r="Q1155">
        <v>3</v>
      </c>
    </row>
    <row r="1156" spans="1:17" x14ac:dyDescent="0.45">
      <c r="A1156" t="s">
        <v>46</v>
      </c>
      <c r="B1156" t="s">
        <v>20</v>
      </c>
      <c r="C1156">
        <v>9</v>
      </c>
      <c r="D1156">
        <v>1263</v>
      </c>
      <c r="E1156">
        <v>58</v>
      </c>
      <c r="F1156">
        <v>127</v>
      </c>
      <c r="G1156">
        <v>76</v>
      </c>
      <c r="H1156">
        <v>48</v>
      </c>
      <c r="I1156">
        <v>373</v>
      </c>
      <c r="J1156">
        <v>45</v>
      </c>
      <c r="K1156">
        <v>43</v>
      </c>
      <c r="L1156">
        <v>24</v>
      </c>
      <c r="M1156">
        <v>78</v>
      </c>
      <c r="N1156">
        <v>34</v>
      </c>
      <c r="O1156">
        <v>58</v>
      </c>
      <c r="P1156">
        <v>23</v>
      </c>
      <c r="Q1156">
        <v>2</v>
      </c>
    </row>
    <row r="1157" spans="1:17" x14ac:dyDescent="0.45">
      <c r="A1157" t="s">
        <v>46</v>
      </c>
      <c r="B1157" t="s">
        <v>21</v>
      </c>
      <c r="C1157">
        <v>9</v>
      </c>
      <c r="D1157">
        <v>1237</v>
      </c>
      <c r="E1157">
        <v>74</v>
      </c>
      <c r="F1157">
        <v>94</v>
      </c>
      <c r="G1157">
        <v>153</v>
      </c>
      <c r="H1157">
        <v>7</v>
      </c>
      <c r="I1157">
        <v>321</v>
      </c>
      <c r="J1157">
        <v>30</v>
      </c>
      <c r="K1157">
        <v>53</v>
      </c>
      <c r="L1157">
        <v>42</v>
      </c>
      <c r="M1157">
        <v>67</v>
      </c>
      <c r="N1157">
        <v>41</v>
      </c>
      <c r="O1157">
        <v>44</v>
      </c>
      <c r="P1157">
        <v>22</v>
      </c>
      <c r="Q1157">
        <v>2</v>
      </c>
    </row>
    <row r="1158" spans="1:17" x14ac:dyDescent="0.45">
      <c r="A1158" t="s">
        <v>46</v>
      </c>
      <c r="B1158" t="s">
        <v>20</v>
      </c>
      <c r="C1158">
        <v>10</v>
      </c>
      <c r="D1158">
        <v>1533</v>
      </c>
      <c r="E1158">
        <v>119</v>
      </c>
      <c r="F1158">
        <v>119</v>
      </c>
      <c r="G1158">
        <v>129</v>
      </c>
      <c r="H1158">
        <v>54</v>
      </c>
      <c r="I1158">
        <v>402</v>
      </c>
      <c r="J1158">
        <v>58</v>
      </c>
      <c r="K1158">
        <v>79</v>
      </c>
      <c r="L1158">
        <v>63</v>
      </c>
      <c r="M1158">
        <v>103</v>
      </c>
      <c r="N1158">
        <v>86</v>
      </c>
      <c r="O1158">
        <v>85</v>
      </c>
      <c r="P1158">
        <v>48</v>
      </c>
      <c r="Q1158">
        <v>0</v>
      </c>
    </row>
    <row r="1159" spans="1:17" x14ac:dyDescent="0.45">
      <c r="A1159" t="s">
        <v>46</v>
      </c>
      <c r="B1159" t="s">
        <v>21</v>
      </c>
      <c r="C1159">
        <v>10</v>
      </c>
      <c r="D1159">
        <v>1681</v>
      </c>
      <c r="E1159">
        <v>114</v>
      </c>
      <c r="F1159">
        <v>134</v>
      </c>
      <c r="G1159">
        <v>262</v>
      </c>
      <c r="H1159">
        <v>7</v>
      </c>
      <c r="I1159">
        <v>415</v>
      </c>
      <c r="J1159">
        <v>69</v>
      </c>
      <c r="K1159">
        <v>106</v>
      </c>
      <c r="L1159">
        <v>89</v>
      </c>
      <c r="M1159">
        <v>106</v>
      </c>
      <c r="N1159">
        <v>127</v>
      </c>
      <c r="O1159">
        <v>124</v>
      </c>
      <c r="P1159">
        <v>53</v>
      </c>
      <c r="Q1159">
        <v>2</v>
      </c>
    </row>
    <row r="1160" spans="1:17" x14ac:dyDescent="0.45">
      <c r="A1160" t="s">
        <v>46</v>
      </c>
      <c r="B1160" t="s">
        <v>20</v>
      </c>
      <c r="C1160">
        <v>11</v>
      </c>
      <c r="D1160">
        <v>1252</v>
      </c>
      <c r="E1160">
        <v>53</v>
      </c>
      <c r="F1160">
        <v>66</v>
      </c>
      <c r="G1160">
        <v>162</v>
      </c>
      <c r="H1160">
        <v>48</v>
      </c>
      <c r="I1160">
        <v>353</v>
      </c>
      <c r="J1160">
        <v>60</v>
      </c>
      <c r="K1160">
        <v>87</v>
      </c>
      <c r="L1160">
        <v>46</v>
      </c>
      <c r="M1160">
        <v>66</v>
      </c>
      <c r="N1160">
        <v>85</v>
      </c>
      <c r="O1160">
        <v>92</v>
      </c>
      <c r="P1160">
        <v>28</v>
      </c>
      <c r="Q1160">
        <v>6</v>
      </c>
    </row>
    <row r="1161" spans="1:17" x14ac:dyDescent="0.45">
      <c r="A1161" t="s">
        <v>46</v>
      </c>
      <c r="B1161" t="s">
        <v>21</v>
      </c>
      <c r="C1161">
        <v>11</v>
      </c>
      <c r="D1161">
        <v>1555</v>
      </c>
      <c r="E1161">
        <v>74</v>
      </c>
      <c r="F1161">
        <v>83</v>
      </c>
      <c r="G1161">
        <v>170</v>
      </c>
      <c r="H1161">
        <v>54</v>
      </c>
      <c r="I1161">
        <v>370</v>
      </c>
      <c r="J1161">
        <v>54</v>
      </c>
      <c r="K1161">
        <v>101</v>
      </c>
      <c r="L1161">
        <v>46</v>
      </c>
      <c r="M1161">
        <v>59</v>
      </c>
      <c r="N1161">
        <v>76</v>
      </c>
      <c r="O1161">
        <v>89</v>
      </c>
      <c r="P1161">
        <v>44</v>
      </c>
      <c r="Q1161">
        <v>0</v>
      </c>
    </row>
    <row r="1162" spans="1:17" x14ac:dyDescent="0.45">
      <c r="A1162" t="s">
        <v>46</v>
      </c>
      <c r="B1162" t="s">
        <v>20</v>
      </c>
      <c r="C1162">
        <v>12</v>
      </c>
      <c r="D1162">
        <v>1298</v>
      </c>
      <c r="E1162">
        <v>56</v>
      </c>
      <c r="F1162">
        <v>76</v>
      </c>
      <c r="G1162">
        <v>200</v>
      </c>
      <c r="H1162">
        <v>12</v>
      </c>
      <c r="I1162">
        <v>278</v>
      </c>
      <c r="J1162">
        <v>28</v>
      </c>
      <c r="K1162">
        <v>140</v>
      </c>
      <c r="L1162">
        <v>63</v>
      </c>
      <c r="M1162">
        <v>46</v>
      </c>
      <c r="N1162">
        <v>87</v>
      </c>
      <c r="O1162">
        <v>89</v>
      </c>
      <c r="P1162">
        <v>33</v>
      </c>
      <c r="Q1162">
        <v>2</v>
      </c>
    </row>
    <row r="1163" spans="1:17" x14ac:dyDescent="0.45">
      <c r="A1163" t="s">
        <v>46</v>
      </c>
      <c r="B1163" t="s">
        <v>21</v>
      </c>
      <c r="C1163">
        <v>12</v>
      </c>
      <c r="D1163">
        <v>1440</v>
      </c>
      <c r="E1163">
        <v>61</v>
      </c>
      <c r="F1163">
        <v>67</v>
      </c>
      <c r="G1163">
        <v>223</v>
      </c>
      <c r="H1163">
        <v>39</v>
      </c>
      <c r="I1163">
        <v>279</v>
      </c>
      <c r="J1163">
        <v>49</v>
      </c>
      <c r="K1163">
        <v>159</v>
      </c>
      <c r="L1163">
        <v>53</v>
      </c>
      <c r="M1163">
        <v>56</v>
      </c>
      <c r="N1163">
        <v>117</v>
      </c>
      <c r="O1163">
        <v>117</v>
      </c>
      <c r="P1163">
        <v>38</v>
      </c>
      <c r="Q1163">
        <v>4</v>
      </c>
    </row>
    <row r="1164" spans="1:17" x14ac:dyDescent="0.45">
      <c r="A1164" t="s">
        <v>86</v>
      </c>
      <c r="B1164" t="s">
        <v>20</v>
      </c>
      <c r="C1164">
        <v>1</v>
      </c>
      <c r="D1164">
        <v>411</v>
      </c>
      <c r="E1164">
        <v>34</v>
      </c>
      <c r="F1164">
        <v>22</v>
      </c>
      <c r="G1164">
        <v>129</v>
      </c>
      <c r="H1164">
        <v>14</v>
      </c>
      <c r="I1164">
        <v>83</v>
      </c>
      <c r="J1164">
        <v>17</v>
      </c>
      <c r="K1164">
        <v>47</v>
      </c>
      <c r="L1164">
        <v>13</v>
      </c>
      <c r="M1164">
        <v>8</v>
      </c>
      <c r="N1164">
        <v>28</v>
      </c>
      <c r="O1164">
        <v>39</v>
      </c>
      <c r="P1164">
        <v>14</v>
      </c>
      <c r="Q1164">
        <v>0</v>
      </c>
    </row>
    <row r="1165" spans="1:17" x14ac:dyDescent="0.45">
      <c r="A1165" t="s">
        <v>86</v>
      </c>
      <c r="B1165" t="s">
        <v>21</v>
      </c>
      <c r="C1165">
        <v>1</v>
      </c>
      <c r="D1165">
        <v>428</v>
      </c>
      <c r="E1165">
        <v>25</v>
      </c>
      <c r="F1165">
        <v>24</v>
      </c>
      <c r="G1165">
        <v>92</v>
      </c>
      <c r="H1165">
        <v>7</v>
      </c>
      <c r="I1165">
        <v>75</v>
      </c>
      <c r="J1165">
        <v>18</v>
      </c>
      <c r="K1165">
        <v>25</v>
      </c>
      <c r="L1165">
        <v>9</v>
      </c>
      <c r="M1165">
        <v>14</v>
      </c>
      <c r="N1165">
        <v>28</v>
      </c>
      <c r="O1165">
        <v>23</v>
      </c>
      <c r="P1165">
        <v>10</v>
      </c>
      <c r="Q1165">
        <v>3</v>
      </c>
    </row>
    <row r="1166" spans="1:17" x14ac:dyDescent="0.45">
      <c r="A1166" t="s">
        <v>86</v>
      </c>
      <c r="B1166" t="s">
        <v>20</v>
      </c>
      <c r="C1166">
        <v>2</v>
      </c>
      <c r="D1166">
        <v>385</v>
      </c>
      <c r="E1166">
        <v>32</v>
      </c>
      <c r="F1166">
        <v>28</v>
      </c>
      <c r="G1166">
        <v>56</v>
      </c>
      <c r="H1166">
        <v>24</v>
      </c>
      <c r="I1166">
        <v>99</v>
      </c>
      <c r="J1166">
        <v>4</v>
      </c>
      <c r="K1166">
        <v>32</v>
      </c>
      <c r="L1166">
        <v>7</v>
      </c>
      <c r="M1166">
        <v>15</v>
      </c>
      <c r="N1166">
        <v>28</v>
      </c>
      <c r="O1166">
        <v>30</v>
      </c>
      <c r="P1166">
        <v>7</v>
      </c>
      <c r="Q1166">
        <v>16</v>
      </c>
    </row>
    <row r="1167" spans="1:17" x14ac:dyDescent="0.45">
      <c r="A1167" t="s">
        <v>86</v>
      </c>
      <c r="B1167" t="s">
        <v>21</v>
      </c>
      <c r="C1167">
        <v>2</v>
      </c>
      <c r="D1167">
        <v>389</v>
      </c>
      <c r="E1167">
        <v>24</v>
      </c>
      <c r="F1167">
        <v>19</v>
      </c>
      <c r="G1167">
        <v>43</v>
      </c>
      <c r="H1167">
        <v>40</v>
      </c>
      <c r="I1167">
        <v>120</v>
      </c>
      <c r="J1167">
        <v>15</v>
      </c>
      <c r="K1167">
        <v>47</v>
      </c>
      <c r="L1167">
        <v>8</v>
      </c>
      <c r="M1167">
        <v>14</v>
      </c>
      <c r="N1167">
        <v>22</v>
      </c>
      <c r="O1167">
        <v>30</v>
      </c>
      <c r="P1167">
        <v>19</v>
      </c>
      <c r="Q1167">
        <v>1</v>
      </c>
    </row>
    <row r="1168" spans="1:17" x14ac:dyDescent="0.45">
      <c r="A1168" t="s">
        <v>86</v>
      </c>
      <c r="B1168" t="s">
        <v>20</v>
      </c>
      <c r="C1168">
        <v>3</v>
      </c>
      <c r="D1168">
        <v>476</v>
      </c>
      <c r="E1168">
        <v>31</v>
      </c>
      <c r="F1168">
        <v>78</v>
      </c>
      <c r="G1168">
        <v>133</v>
      </c>
      <c r="H1168">
        <v>23</v>
      </c>
      <c r="I1168">
        <v>111</v>
      </c>
      <c r="J1168">
        <v>22</v>
      </c>
      <c r="K1168">
        <v>101</v>
      </c>
      <c r="L1168">
        <v>27</v>
      </c>
      <c r="M1168">
        <v>25</v>
      </c>
      <c r="N1168">
        <v>118</v>
      </c>
      <c r="O1168">
        <v>95</v>
      </c>
      <c r="P1168">
        <v>88</v>
      </c>
      <c r="Q1168">
        <v>8</v>
      </c>
    </row>
    <row r="1169" spans="1:17" x14ac:dyDescent="0.45">
      <c r="A1169" t="s">
        <v>86</v>
      </c>
      <c r="B1169" t="s">
        <v>21</v>
      </c>
      <c r="C1169">
        <v>3</v>
      </c>
      <c r="D1169">
        <v>526</v>
      </c>
      <c r="E1169">
        <v>27</v>
      </c>
      <c r="F1169">
        <v>59</v>
      </c>
      <c r="G1169">
        <v>115</v>
      </c>
      <c r="H1169">
        <v>14</v>
      </c>
      <c r="I1169">
        <v>103</v>
      </c>
      <c r="J1169">
        <v>27</v>
      </c>
      <c r="K1169">
        <v>122</v>
      </c>
      <c r="L1169">
        <v>30</v>
      </c>
      <c r="M1169">
        <v>25</v>
      </c>
      <c r="N1169">
        <v>130</v>
      </c>
      <c r="O1169">
        <v>118</v>
      </c>
      <c r="P1169">
        <v>110</v>
      </c>
      <c r="Q1169">
        <v>8</v>
      </c>
    </row>
    <row r="1170" spans="1:17" x14ac:dyDescent="0.45">
      <c r="A1170" t="s">
        <v>86</v>
      </c>
      <c r="B1170" t="s">
        <v>20</v>
      </c>
      <c r="C1170">
        <v>4</v>
      </c>
      <c r="D1170">
        <v>492</v>
      </c>
      <c r="E1170">
        <v>61</v>
      </c>
      <c r="F1170">
        <v>105</v>
      </c>
      <c r="G1170">
        <v>175</v>
      </c>
      <c r="H1170">
        <v>30</v>
      </c>
      <c r="I1170">
        <v>173</v>
      </c>
      <c r="J1170">
        <v>40</v>
      </c>
      <c r="K1170">
        <v>287</v>
      </c>
      <c r="L1170">
        <v>103</v>
      </c>
      <c r="M1170">
        <v>46</v>
      </c>
      <c r="N1170">
        <v>238</v>
      </c>
      <c r="O1170">
        <v>266</v>
      </c>
      <c r="P1170">
        <v>164</v>
      </c>
      <c r="Q1170">
        <v>8</v>
      </c>
    </row>
    <row r="1171" spans="1:17" x14ac:dyDescent="0.45">
      <c r="A1171" t="s">
        <v>86</v>
      </c>
      <c r="B1171" t="s">
        <v>21</v>
      </c>
      <c r="C1171">
        <v>4</v>
      </c>
      <c r="D1171">
        <v>507</v>
      </c>
      <c r="E1171">
        <v>47</v>
      </c>
      <c r="F1171">
        <v>52</v>
      </c>
      <c r="G1171">
        <v>133</v>
      </c>
      <c r="H1171">
        <v>52</v>
      </c>
      <c r="I1171">
        <v>161</v>
      </c>
      <c r="J1171">
        <v>28</v>
      </c>
      <c r="K1171">
        <v>189</v>
      </c>
      <c r="L1171">
        <v>72</v>
      </c>
      <c r="M1171">
        <v>45</v>
      </c>
      <c r="N1171">
        <v>149</v>
      </c>
      <c r="O1171">
        <v>172</v>
      </c>
      <c r="P1171">
        <v>114</v>
      </c>
      <c r="Q1171">
        <v>11</v>
      </c>
    </row>
    <row r="1172" spans="1:17" x14ac:dyDescent="0.45">
      <c r="A1172" t="s">
        <v>86</v>
      </c>
      <c r="B1172" t="s">
        <v>20</v>
      </c>
      <c r="C1172">
        <v>5</v>
      </c>
      <c r="D1172">
        <v>394</v>
      </c>
      <c r="E1172">
        <v>70</v>
      </c>
      <c r="F1172">
        <v>89</v>
      </c>
      <c r="G1172">
        <v>99</v>
      </c>
      <c r="H1172">
        <v>31</v>
      </c>
      <c r="I1172">
        <v>127</v>
      </c>
      <c r="J1172">
        <v>41</v>
      </c>
      <c r="K1172">
        <v>171</v>
      </c>
      <c r="L1172">
        <v>61</v>
      </c>
      <c r="M1172">
        <v>23</v>
      </c>
      <c r="N1172">
        <v>125</v>
      </c>
      <c r="O1172">
        <v>167</v>
      </c>
      <c r="P1172">
        <v>81</v>
      </c>
      <c r="Q1172">
        <v>2</v>
      </c>
    </row>
    <row r="1173" spans="1:17" x14ac:dyDescent="0.45">
      <c r="A1173" t="s">
        <v>86</v>
      </c>
      <c r="B1173" t="s">
        <v>21</v>
      </c>
      <c r="C1173">
        <v>5</v>
      </c>
      <c r="D1173">
        <v>431</v>
      </c>
      <c r="E1173">
        <v>79</v>
      </c>
      <c r="F1173">
        <v>40</v>
      </c>
      <c r="G1173">
        <v>119</v>
      </c>
      <c r="H1173">
        <v>43</v>
      </c>
      <c r="I1173">
        <v>165</v>
      </c>
      <c r="J1173">
        <v>20</v>
      </c>
      <c r="K1173">
        <v>115</v>
      </c>
      <c r="L1173">
        <v>71</v>
      </c>
      <c r="M1173">
        <v>53</v>
      </c>
      <c r="N1173">
        <v>113</v>
      </c>
      <c r="O1173">
        <v>121</v>
      </c>
      <c r="P1173">
        <v>66</v>
      </c>
      <c r="Q1173">
        <v>4</v>
      </c>
    </row>
    <row r="1174" spans="1:17" x14ac:dyDescent="0.45">
      <c r="A1174" t="s">
        <v>86</v>
      </c>
      <c r="B1174" t="s">
        <v>20</v>
      </c>
      <c r="C1174">
        <v>6</v>
      </c>
      <c r="D1174">
        <v>504</v>
      </c>
      <c r="E1174">
        <v>58</v>
      </c>
      <c r="F1174">
        <v>93</v>
      </c>
      <c r="G1174">
        <v>109</v>
      </c>
      <c r="H1174">
        <v>40</v>
      </c>
      <c r="I1174">
        <v>172</v>
      </c>
      <c r="J1174">
        <v>32</v>
      </c>
      <c r="K1174">
        <v>89</v>
      </c>
      <c r="L1174">
        <v>32</v>
      </c>
      <c r="M1174">
        <v>27</v>
      </c>
      <c r="N1174">
        <v>75</v>
      </c>
      <c r="O1174">
        <v>86</v>
      </c>
      <c r="P1174">
        <v>66</v>
      </c>
      <c r="Q1174">
        <v>0</v>
      </c>
    </row>
    <row r="1175" spans="1:17" x14ac:dyDescent="0.45">
      <c r="A1175" t="s">
        <v>86</v>
      </c>
      <c r="B1175" t="s">
        <v>21</v>
      </c>
      <c r="C1175">
        <v>6</v>
      </c>
      <c r="D1175">
        <v>463</v>
      </c>
      <c r="E1175">
        <v>46</v>
      </c>
      <c r="F1175">
        <v>80</v>
      </c>
      <c r="G1175">
        <v>112</v>
      </c>
      <c r="H1175">
        <v>14</v>
      </c>
      <c r="I1175">
        <v>163</v>
      </c>
      <c r="J1175">
        <v>33</v>
      </c>
      <c r="K1175">
        <v>87</v>
      </c>
      <c r="L1175">
        <v>61</v>
      </c>
      <c r="M1175">
        <v>34</v>
      </c>
      <c r="N1175">
        <v>77</v>
      </c>
      <c r="O1175">
        <v>90</v>
      </c>
      <c r="P1175">
        <v>53</v>
      </c>
      <c r="Q1175">
        <v>0</v>
      </c>
    </row>
    <row r="1176" spans="1:17" x14ac:dyDescent="0.45">
      <c r="A1176" t="s">
        <v>86</v>
      </c>
      <c r="B1176" t="s">
        <v>20</v>
      </c>
      <c r="C1176">
        <v>7</v>
      </c>
      <c r="D1176">
        <v>461</v>
      </c>
      <c r="E1176">
        <v>55</v>
      </c>
      <c r="F1176">
        <v>75</v>
      </c>
      <c r="G1176">
        <v>63</v>
      </c>
      <c r="H1176">
        <v>17</v>
      </c>
      <c r="I1176">
        <v>145</v>
      </c>
      <c r="J1176">
        <v>21</v>
      </c>
      <c r="K1176">
        <v>60</v>
      </c>
      <c r="L1176">
        <v>19</v>
      </c>
      <c r="M1176">
        <v>24</v>
      </c>
      <c r="N1176">
        <v>44</v>
      </c>
      <c r="O1176">
        <v>53</v>
      </c>
      <c r="P1176">
        <v>18</v>
      </c>
      <c r="Q1176">
        <v>1</v>
      </c>
    </row>
    <row r="1177" spans="1:17" x14ac:dyDescent="0.45">
      <c r="A1177" t="s">
        <v>86</v>
      </c>
      <c r="B1177" t="s">
        <v>21</v>
      </c>
      <c r="C1177">
        <v>7</v>
      </c>
      <c r="D1177">
        <v>446</v>
      </c>
      <c r="E1177">
        <v>37</v>
      </c>
      <c r="F1177">
        <v>58</v>
      </c>
      <c r="G1177">
        <v>53</v>
      </c>
      <c r="H1177">
        <v>23</v>
      </c>
      <c r="I1177">
        <v>198</v>
      </c>
      <c r="J1177">
        <v>10</v>
      </c>
      <c r="K1177">
        <v>55</v>
      </c>
      <c r="L1177">
        <v>23</v>
      </c>
      <c r="M1177">
        <v>17</v>
      </c>
      <c r="N1177">
        <v>31</v>
      </c>
      <c r="O1177">
        <v>50</v>
      </c>
      <c r="P1177">
        <v>15</v>
      </c>
      <c r="Q1177">
        <v>0</v>
      </c>
    </row>
    <row r="1178" spans="1:17" x14ac:dyDescent="0.45">
      <c r="A1178" t="s">
        <v>86</v>
      </c>
      <c r="B1178" t="s">
        <v>20</v>
      </c>
      <c r="C1178">
        <v>8</v>
      </c>
      <c r="D1178">
        <v>342</v>
      </c>
      <c r="E1178">
        <v>23</v>
      </c>
      <c r="F1178">
        <v>47</v>
      </c>
      <c r="G1178">
        <v>43</v>
      </c>
      <c r="H1178">
        <v>9</v>
      </c>
      <c r="I1178">
        <v>145</v>
      </c>
      <c r="J1178">
        <v>17</v>
      </c>
      <c r="K1178">
        <v>22</v>
      </c>
      <c r="L1178">
        <v>10</v>
      </c>
      <c r="M1178">
        <v>14</v>
      </c>
      <c r="N1178">
        <v>14</v>
      </c>
      <c r="O1178">
        <v>31</v>
      </c>
      <c r="P1178">
        <v>6</v>
      </c>
      <c r="Q1178">
        <v>0</v>
      </c>
    </row>
    <row r="1179" spans="1:17" x14ac:dyDescent="0.45">
      <c r="A1179" t="s">
        <v>86</v>
      </c>
      <c r="B1179" t="s">
        <v>21</v>
      </c>
      <c r="C1179">
        <v>8</v>
      </c>
      <c r="D1179">
        <v>364</v>
      </c>
      <c r="E1179">
        <v>27</v>
      </c>
      <c r="F1179">
        <v>56</v>
      </c>
      <c r="G1179">
        <v>43</v>
      </c>
      <c r="H1179">
        <v>8</v>
      </c>
      <c r="I1179">
        <v>154</v>
      </c>
      <c r="J1179">
        <v>16</v>
      </c>
      <c r="K1179">
        <v>13</v>
      </c>
      <c r="L1179">
        <v>8</v>
      </c>
      <c r="M1179">
        <v>27</v>
      </c>
      <c r="N1179">
        <v>14</v>
      </c>
      <c r="O1179">
        <v>14</v>
      </c>
      <c r="P1179">
        <v>7</v>
      </c>
      <c r="Q1179">
        <v>0</v>
      </c>
    </row>
    <row r="1180" spans="1:17" x14ac:dyDescent="0.45">
      <c r="A1180" t="s">
        <v>86</v>
      </c>
      <c r="B1180" t="s">
        <v>20</v>
      </c>
      <c r="C1180">
        <v>9</v>
      </c>
      <c r="D1180">
        <v>449</v>
      </c>
      <c r="E1180">
        <v>28</v>
      </c>
      <c r="F1180">
        <v>44</v>
      </c>
      <c r="G1180">
        <v>38</v>
      </c>
      <c r="H1180">
        <v>45</v>
      </c>
      <c r="I1180">
        <v>198</v>
      </c>
      <c r="J1180">
        <v>13</v>
      </c>
      <c r="K1180">
        <v>12</v>
      </c>
      <c r="L1180">
        <v>7</v>
      </c>
      <c r="M1180">
        <v>27</v>
      </c>
      <c r="N1180">
        <v>26</v>
      </c>
      <c r="O1180">
        <v>21</v>
      </c>
      <c r="P1180">
        <v>10</v>
      </c>
      <c r="Q1180">
        <v>0</v>
      </c>
    </row>
    <row r="1181" spans="1:17" x14ac:dyDescent="0.45">
      <c r="A1181" t="s">
        <v>86</v>
      </c>
      <c r="B1181" t="s">
        <v>21</v>
      </c>
      <c r="C1181">
        <v>9</v>
      </c>
      <c r="D1181">
        <v>390</v>
      </c>
      <c r="E1181">
        <v>32</v>
      </c>
      <c r="F1181">
        <v>50</v>
      </c>
      <c r="G1181">
        <v>63</v>
      </c>
      <c r="H1181">
        <v>11</v>
      </c>
      <c r="I1181">
        <v>113</v>
      </c>
      <c r="J1181">
        <v>15</v>
      </c>
      <c r="K1181">
        <v>20</v>
      </c>
      <c r="L1181">
        <v>8</v>
      </c>
      <c r="M1181">
        <v>29</v>
      </c>
      <c r="N1181">
        <v>15</v>
      </c>
      <c r="O1181">
        <v>24</v>
      </c>
      <c r="P1181">
        <v>3</v>
      </c>
      <c r="Q1181">
        <v>0</v>
      </c>
    </row>
    <row r="1182" spans="1:17" x14ac:dyDescent="0.45">
      <c r="A1182" t="s">
        <v>86</v>
      </c>
      <c r="B1182" t="s">
        <v>20</v>
      </c>
      <c r="C1182">
        <v>10</v>
      </c>
      <c r="D1182">
        <v>535</v>
      </c>
      <c r="E1182">
        <v>73</v>
      </c>
      <c r="F1182">
        <v>78</v>
      </c>
      <c r="G1182">
        <v>31</v>
      </c>
      <c r="H1182">
        <v>68</v>
      </c>
      <c r="I1182">
        <v>224</v>
      </c>
      <c r="J1182">
        <v>25</v>
      </c>
      <c r="K1182">
        <v>24</v>
      </c>
      <c r="L1182">
        <v>15</v>
      </c>
      <c r="M1182">
        <v>55</v>
      </c>
      <c r="N1182">
        <v>33</v>
      </c>
      <c r="O1182">
        <v>35</v>
      </c>
      <c r="P1182">
        <v>11</v>
      </c>
      <c r="Q1182">
        <v>0</v>
      </c>
    </row>
    <row r="1183" spans="1:17" x14ac:dyDescent="0.45">
      <c r="A1183" t="s">
        <v>86</v>
      </c>
      <c r="B1183" t="s">
        <v>21</v>
      </c>
      <c r="C1183">
        <v>10</v>
      </c>
      <c r="D1183">
        <v>645</v>
      </c>
      <c r="E1183">
        <v>91</v>
      </c>
      <c r="F1183">
        <v>91</v>
      </c>
      <c r="G1183">
        <v>106</v>
      </c>
      <c r="H1183">
        <v>29</v>
      </c>
      <c r="I1183">
        <v>203</v>
      </c>
      <c r="J1183">
        <v>51</v>
      </c>
      <c r="K1183">
        <v>40</v>
      </c>
      <c r="L1183">
        <v>33</v>
      </c>
      <c r="M1183">
        <v>45</v>
      </c>
      <c r="N1183">
        <v>43</v>
      </c>
      <c r="O1183">
        <v>59</v>
      </c>
      <c r="P1183">
        <v>16</v>
      </c>
      <c r="Q1183">
        <v>0</v>
      </c>
    </row>
    <row r="1184" spans="1:17" x14ac:dyDescent="0.45">
      <c r="A1184" t="s">
        <v>86</v>
      </c>
      <c r="B1184" t="s">
        <v>20</v>
      </c>
      <c r="C1184">
        <v>11</v>
      </c>
      <c r="D1184">
        <v>510</v>
      </c>
      <c r="E1184">
        <v>62</v>
      </c>
      <c r="F1184">
        <v>73</v>
      </c>
      <c r="G1184">
        <v>72</v>
      </c>
      <c r="H1184">
        <v>19</v>
      </c>
      <c r="I1184">
        <v>159</v>
      </c>
      <c r="J1184">
        <v>21</v>
      </c>
      <c r="K1184">
        <v>33</v>
      </c>
      <c r="L1184">
        <v>16</v>
      </c>
      <c r="M1184">
        <v>28</v>
      </c>
      <c r="N1184">
        <v>26</v>
      </c>
      <c r="O1184">
        <v>43</v>
      </c>
      <c r="P1184">
        <v>15</v>
      </c>
      <c r="Q1184">
        <v>2</v>
      </c>
    </row>
    <row r="1185" spans="1:17" x14ac:dyDescent="0.45">
      <c r="A1185" t="s">
        <v>86</v>
      </c>
      <c r="B1185" t="s">
        <v>21</v>
      </c>
      <c r="C1185">
        <v>11</v>
      </c>
      <c r="D1185">
        <v>460</v>
      </c>
      <c r="E1185">
        <v>52</v>
      </c>
      <c r="F1185">
        <v>45</v>
      </c>
      <c r="G1185">
        <v>71</v>
      </c>
      <c r="H1185">
        <v>25</v>
      </c>
      <c r="I1185">
        <v>151</v>
      </c>
      <c r="J1185">
        <v>22</v>
      </c>
      <c r="K1185">
        <v>31</v>
      </c>
      <c r="L1185">
        <v>20</v>
      </c>
      <c r="M1185">
        <v>26</v>
      </c>
      <c r="N1185">
        <v>26</v>
      </c>
      <c r="O1185">
        <v>34</v>
      </c>
      <c r="P1185">
        <v>16</v>
      </c>
      <c r="Q1185">
        <v>1</v>
      </c>
    </row>
    <row r="1186" spans="1:17" x14ac:dyDescent="0.45">
      <c r="A1186" t="s">
        <v>86</v>
      </c>
      <c r="B1186" t="s">
        <v>20</v>
      </c>
      <c r="C1186">
        <v>12</v>
      </c>
      <c r="D1186">
        <v>491</v>
      </c>
      <c r="E1186">
        <v>63</v>
      </c>
      <c r="F1186">
        <v>63</v>
      </c>
      <c r="G1186">
        <v>113</v>
      </c>
      <c r="H1186">
        <v>16</v>
      </c>
      <c r="I1186">
        <v>131</v>
      </c>
      <c r="J1186">
        <v>24</v>
      </c>
      <c r="K1186">
        <v>73</v>
      </c>
      <c r="L1186">
        <v>30</v>
      </c>
      <c r="M1186">
        <v>19</v>
      </c>
      <c r="N1186">
        <v>41</v>
      </c>
      <c r="O1186">
        <v>54</v>
      </c>
      <c r="P1186">
        <v>11</v>
      </c>
      <c r="Q1186">
        <v>0</v>
      </c>
    </row>
    <row r="1187" spans="1:17" x14ac:dyDescent="0.45">
      <c r="A1187" t="s">
        <v>86</v>
      </c>
      <c r="B1187" t="s">
        <v>21</v>
      </c>
      <c r="C1187">
        <v>12</v>
      </c>
      <c r="D1187">
        <v>490</v>
      </c>
      <c r="E1187">
        <v>33</v>
      </c>
      <c r="F1187">
        <v>76</v>
      </c>
      <c r="G1187">
        <v>134</v>
      </c>
      <c r="H1187">
        <v>39</v>
      </c>
      <c r="I1187">
        <v>139</v>
      </c>
      <c r="J1187">
        <v>39</v>
      </c>
      <c r="K1187">
        <v>68</v>
      </c>
      <c r="L1187">
        <v>32</v>
      </c>
      <c r="M1187">
        <v>17</v>
      </c>
      <c r="N1187">
        <v>32</v>
      </c>
      <c r="O1187">
        <v>47</v>
      </c>
      <c r="P1187">
        <v>16</v>
      </c>
      <c r="Q1187">
        <v>0</v>
      </c>
    </row>
    <row r="1188" spans="1:17" x14ac:dyDescent="0.45">
      <c r="A1188" t="s">
        <v>71</v>
      </c>
      <c r="B1188" t="s">
        <v>20</v>
      </c>
      <c r="C1188">
        <v>1</v>
      </c>
      <c r="D1188">
        <v>1138</v>
      </c>
      <c r="E1188">
        <v>24</v>
      </c>
      <c r="F1188">
        <v>25</v>
      </c>
      <c r="G1188">
        <v>114</v>
      </c>
      <c r="H1188">
        <v>75</v>
      </c>
      <c r="I1188">
        <v>219</v>
      </c>
      <c r="J1188">
        <v>14</v>
      </c>
      <c r="K1188">
        <v>82</v>
      </c>
      <c r="L1188">
        <v>22</v>
      </c>
      <c r="M1188">
        <v>41</v>
      </c>
      <c r="N1188">
        <v>45</v>
      </c>
      <c r="O1188">
        <v>36</v>
      </c>
      <c r="P1188">
        <v>10</v>
      </c>
      <c r="Q1188">
        <v>0</v>
      </c>
    </row>
    <row r="1189" spans="1:17" x14ac:dyDescent="0.45">
      <c r="A1189" t="s">
        <v>71</v>
      </c>
      <c r="B1189" t="s">
        <v>21</v>
      </c>
      <c r="C1189">
        <v>1</v>
      </c>
      <c r="D1189">
        <v>1290</v>
      </c>
      <c r="E1189">
        <v>33</v>
      </c>
      <c r="F1189">
        <v>25</v>
      </c>
      <c r="G1189">
        <v>74</v>
      </c>
      <c r="H1189">
        <v>115</v>
      </c>
      <c r="I1189">
        <v>313</v>
      </c>
      <c r="J1189">
        <v>34</v>
      </c>
      <c r="K1189">
        <v>73</v>
      </c>
      <c r="L1189">
        <v>23</v>
      </c>
      <c r="M1189">
        <v>18</v>
      </c>
      <c r="N1189">
        <v>30</v>
      </c>
      <c r="O1189">
        <v>18</v>
      </c>
      <c r="P1189">
        <v>6</v>
      </c>
      <c r="Q1189">
        <v>0</v>
      </c>
    </row>
    <row r="1190" spans="1:17" x14ac:dyDescent="0.45">
      <c r="A1190" t="s">
        <v>71</v>
      </c>
      <c r="B1190" t="s">
        <v>20</v>
      </c>
      <c r="C1190">
        <v>2</v>
      </c>
      <c r="D1190">
        <v>1148</v>
      </c>
      <c r="E1190">
        <v>20</v>
      </c>
      <c r="F1190">
        <v>7</v>
      </c>
      <c r="G1190">
        <v>39</v>
      </c>
      <c r="H1190">
        <v>122</v>
      </c>
      <c r="I1190">
        <v>284</v>
      </c>
      <c r="J1190">
        <v>15</v>
      </c>
      <c r="K1190">
        <v>32</v>
      </c>
      <c r="L1190">
        <v>10</v>
      </c>
      <c r="M1190">
        <v>18</v>
      </c>
      <c r="N1190">
        <v>30</v>
      </c>
      <c r="O1190">
        <v>24</v>
      </c>
      <c r="P1190">
        <v>8</v>
      </c>
      <c r="Q1190">
        <v>7</v>
      </c>
    </row>
    <row r="1191" spans="1:17" x14ac:dyDescent="0.45">
      <c r="A1191" t="s">
        <v>71</v>
      </c>
      <c r="B1191" t="s">
        <v>21</v>
      </c>
      <c r="C1191">
        <v>2</v>
      </c>
      <c r="D1191">
        <v>1300</v>
      </c>
      <c r="E1191">
        <v>20</v>
      </c>
      <c r="F1191">
        <v>18</v>
      </c>
      <c r="G1191">
        <v>38</v>
      </c>
      <c r="H1191">
        <v>123</v>
      </c>
      <c r="I1191">
        <v>329</v>
      </c>
      <c r="J1191">
        <v>16</v>
      </c>
      <c r="K1191">
        <v>45</v>
      </c>
      <c r="L1191">
        <v>5</v>
      </c>
      <c r="M1191">
        <v>9</v>
      </c>
      <c r="N1191">
        <v>29</v>
      </c>
      <c r="O1191">
        <v>33</v>
      </c>
      <c r="P1191">
        <v>10</v>
      </c>
      <c r="Q1191">
        <v>5</v>
      </c>
    </row>
    <row r="1192" spans="1:17" x14ac:dyDescent="0.45">
      <c r="A1192" t="s">
        <v>71</v>
      </c>
      <c r="B1192" t="s">
        <v>20</v>
      </c>
      <c r="C1192">
        <v>3</v>
      </c>
      <c r="D1192">
        <v>1401</v>
      </c>
      <c r="E1192">
        <v>34</v>
      </c>
      <c r="F1192">
        <v>32</v>
      </c>
      <c r="G1192">
        <v>106</v>
      </c>
      <c r="H1192">
        <v>157</v>
      </c>
      <c r="I1192">
        <v>323</v>
      </c>
      <c r="J1192">
        <v>28</v>
      </c>
      <c r="K1192">
        <v>93</v>
      </c>
      <c r="L1192">
        <v>34</v>
      </c>
      <c r="M1192">
        <v>26</v>
      </c>
      <c r="N1192">
        <v>150</v>
      </c>
      <c r="O1192">
        <v>93</v>
      </c>
      <c r="P1192">
        <v>83</v>
      </c>
      <c r="Q1192">
        <v>14</v>
      </c>
    </row>
    <row r="1193" spans="1:17" x14ac:dyDescent="0.45">
      <c r="A1193" t="s">
        <v>71</v>
      </c>
      <c r="B1193" t="s">
        <v>21</v>
      </c>
      <c r="C1193">
        <v>3</v>
      </c>
      <c r="D1193">
        <v>1417</v>
      </c>
      <c r="E1193">
        <v>35</v>
      </c>
      <c r="F1193">
        <v>35</v>
      </c>
      <c r="G1193">
        <v>143</v>
      </c>
      <c r="H1193">
        <v>133</v>
      </c>
      <c r="I1193">
        <v>354</v>
      </c>
      <c r="J1193">
        <v>42</v>
      </c>
      <c r="K1193">
        <v>99</v>
      </c>
      <c r="L1193">
        <v>40</v>
      </c>
      <c r="M1193">
        <v>37</v>
      </c>
      <c r="N1193">
        <v>240</v>
      </c>
      <c r="O1193">
        <v>92</v>
      </c>
      <c r="P1193">
        <v>126</v>
      </c>
      <c r="Q1193">
        <v>9</v>
      </c>
    </row>
    <row r="1194" spans="1:17" x14ac:dyDescent="0.45">
      <c r="A1194" t="s">
        <v>71</v>
      </c>
      <c r="B1194" t="s">
        <v>20</v>
      </c>
      <c r="C1194">
        <v>4</v>
      </c>
      <c r="D1194">
        <v>1296</v>
      </c>
      <c r="E1194">
        <v>25</v>
      </c>
      <c r="F1194">
        <v>35</v>
      </c>
      <c r="G1194">
        <v>187</v>
      </c>
      <c r="H1194">
        <v>223</v>
      </c>
      <c r="I1194">
        <v>452</v>
      </c>
      <c r="J1194">
        <v>68</v>
      </c>
      <c r="K1194">
        <v>274</v>
      </c>
      <c r="L1194">
        <v>82</v>
      </c>
      <c r="M1194">
        <v>67</v>
      </c>
      <c r="N1194">
        <v>383</v>
      </c>
      <c r="O1194">
        <v>221</v>
      </c>
      <c r="P1194">
        <v>185</v>
      </c>
      <c r="Q1194">
        <v>2</v>
      </c>
    </row>
    <row r="1195" spans="1:17" x14ac:dyDescent="0.45">
      <c r="A1195" t="s">
        <v>71</v>
      </c>
      <c r="B1195" t="s">
        <v>21</v>
      </c>
      <c r="C1195">
        <v>4</v>
      </c>
      <c r="D1195">
        <v>1583</v>
      </c>
      <c r="E1195">
        <v>31</v>
      </c>
      <c r="F1195">
        <v>34</v>
      </c>
      <c r="G1195">
        <v>180</v>
      </c>
      <c r="H1195">
        <v>220</v>
      </c>
      <c r="I1195">
        <v>456</v>
      </c>
      <c r="J1195">
        <v>69</v>
      </c>
      <c r="K1195">
        <v>213</v>
      </c>
      <c r="L1195">
        <v>89</v>
      </c>
      <c r="M1195">
        <v>49</v>
      </c>
      <c r="N1195">
        <v>329</v>
      </c>
      <c r="O1195">
        <v>155</v>
      </c>
      <c r="P1195">
        <v>162</v>
      </c>
      <c r="Q1195">
        <v>12</v>
      </c>
    </row>
    <row r="1196" spans="1:17" x14ac:dyDescent="0.45">
      <c r="A1196" t="s">
        <v>71</v>
      </c>
      <c r="B1196" t="s">
        <v>20</v>
      </c>
      <c r="C1196">
        <v>5</v>
      </c>
      <c r="D1196">
        <v>1086</v>
      </c>
      <c r="E1196">
        <v>47</v>
      </c>
      <c r="F1196">
        <v>30</v>
      </c>
      <c r="G1196">
        <v>126</v>
      </c>
      <c r="H1196">
        <v>153</v>
      </c>
      <c r="I1196">
        <v>398</v>
      </c>
      <c r="J1196">
        <v>40</v>
      </c>
      <c r="K1196">
        <v>124</v>
      </c>
      <c r="L1196">
        <v>75</v>
      </c>
      <c r="M1196">
        <v>38</v>
      </c>
      <c r="N1196">
        <v>184</v>
      </c>
      <c r="O1196">
        <v>110</v>
      </c>
      <c r="P1196">
        <v>90</v>
      </c>
      <c r="Q1196">
        <v>6</v>
      </c>
    </row>
    <row r="1197" spans="1:17" x14ac:dyDescent="0.45">
      <c r="A1197" t="s">
        <v>71</v>
      </c>
      <c r="B1197" t="s">
        <v>21</v>
      </c>
      <c r="C1197">
        <v>5</v>
      </c>
      <c r="D1197">
        <v>1314</v>
      </c>
      <c r="E1197">
        <v>48</v>
      </c>
      <c r="F1197">
        <v>49</v>
      </c>
      <c r="G1197">
        <v>132</v>
      </c>
      <c r="H1197">
        <v>259</v>
      </c>
      <c r="I1197">
        <v>539</v>
      </c>
      <c r="J1197">
        <v>43</v>
      </c>
      <c r="K1197">
        <v>178</v>
      </c>
      <c r="L1197">
        <v>76</v>
      </c>
      <c r="M1197">
        <v>39</v>
      </c>
      <c r="N1197">
        <v>213</v>
      </c>
      <c r="O1197">
        <v>197</v>
      </c>
      <c r="P1197">
        <v>121</v>
      </c>
      <c r="Q1197">
        <v>7</v>
      </c>
    </row>
    <row r="1198" spans="1:17" x14ac:dyDescent="0.45">
      <c r="A1198" t="s">
        <v>71</v>
      </c>
      <c r="B1198" t="s">
        <v>20</v>
      </c>
      <c r="C1198">
        <v>6</v>
      </c>
      <c r="D1198">
        <v>1304</v>
      </c>
      <c r="E1198">
        <v>65</v>
      </c>
      <c r="F1198">
        <v>41</v>
      </c>
      <c r="G1198">
        <v>121</v>
      </c>
      <c r="H1198">
        <v>154</v>
      </c>
      <c r="I1198">
        <v>372</v>
      </c>
      <c r="J1198">
        <v>39</v>
      </c>
      <c r="K1198">
        <v>101</v>
      </c>
      <c r="L1198">
        <v>46</v>
      </c>
      <c r="M1198">
        <v>34</v>
      </c>
      <c r="N1198">
        <v>114</v>
      </c>
      <c r="O1198">
        <v>91</v>
      </c>
      <c r="P1198">
        <v>44</v>
      </c>
      <c r="Q1198">
        <v>0</v>
      </c>
    </row>
    <row r="1199" spans="1:17" x14ac:dyDescent="0.45">
      <c r="A1199" t="s">
        <v>71</v>
      </c>
      <c r="B1199" t="s">
        <v>21</v>
      </c>
      <c r="C1199">
        <v>6</v>
      </c>
      <c r="D1199">
        <v>1372</v>
      </c>
      <c r="E1199">
        <v>38</v>
      </c>
      <c r="F1199">
        <v>39</v>
      </c>
      <c r="G1199">
        <v>102</v>
      </c>
      <c r="H1199">
        <v>139</v>
      </c>
      <c r="I1199">
        <v>439</v>
      </c>
      <c r="J1199">
        <v>37</v>
      </c>
      <c r="K1199">
        <v>67</v>
      </c>
      <c r="L1199">
        <v>56</v>
      </c>
      <c r="M1199">
        <v>34</v>
      </c>
      <c r="N1199">
        <v>128</v>
      </c>
      <c r="O1199">
        <v>101</v>
      </c>
      <c r="P1199">
        <v>46</v>
      </c>
      <c r="Q1199">
        <v>0</v>
      </c>
    </row>
    <row r="1200" spans="1:17" x14ac:dyDescent="0.45">
      <c r="A1200" t="s">
        <v>71</v>
      </c>
      <c r="B1200" t="s">
        <v>20</v>
      </c>
      <c r="C1200">
        <v>7</v>
      </c>
      <c r="D1200">
        <v>1077</v>
      </c>
      <c r="E1200">
        <v>26</v>
      </c>
      <c r="F1200">
        <v>32</v>
      </c>
      <c r="G1200">
        <v>48</v>
      </c>
      <c r="H1200">
        <v>72</v>
      </c>
      <c r="I1200">
        <v>314</v>
      </c>
      <c r="J1200">
        <v>21</v>
      </c>
      <c r="K1200">
        <v>17</v>
      </c>
      <c r="L1200">
        <v>27</v>
      </c>
      <c r="M1200">
        <v>34</v>
      </c>
      <c r="N1200">
        <v>61</v>
      </c>
      <c r="O1200">
        <v>34</v>
      </c>
      <c r="P1200">
        <v>17</v>
      </c>
      <c r="Q1200">
        <v>1</v>
      </c>
    </row>
    <row r="1201" spans="1:17" x14ac:dyDescent="0.45">
      <c r="A1201" t="s">
        <v>71</v>
      </c>
      <c r="B1201" t="s">
        <v>21</v>
      </c>
      <c r="C1201">
        <v>7</v>
      </c>
      <c r="D1201">
        <v>1402</v>
      </c>
      <c r="E1201">
        <v>29</v>
      </c>
      <c r="F1201">
        <v>44</v>
      </c>
      <c r="G1201">
        <v>57</v>
      </c>
      <c r="H1201">
        <v>99</v>
      </c>
      <c r="I1201">
        <v>440</v>
      </c>
      <c r="J1201">
        <v>24</v>
      </c>
      <c r="K1201">
        <v>31</v>
      </c>
      <c r="L1201">
        <v>26</v>
      </c>
      <c r="M1201">
        <v>51</v>
      </c>
      <c r="N1201">
        <v>60</v>
      </c>
      <c r="O1201">
        <v>41</v>
      </c>
      <c r="P1201">
        <v>15</v>
      </c>
      <c r="Q1201">
        <v>5</v>
      </c>
    </row>
    <row r="1202" spans="1:17" x14ac:dyDescent="0.45">
      <c r="A1202" t="s">
        <v>71</v>
      </c>
      <c r="B1202" t="s">
        <v>20</v>
      </c>
      <c r="C1202">
        <v>8</v>
      </c>
      <c r="D1202">
        <v>1005</v>
      </c>
      <c r="E1202">
        <v>43</v>
      </c>
      <c r="F1202">
        <v>28</v>
      </c>
      <c r="G1202">
        <v>30</v>
      </c>
      <c r="H1202">
        <v>79</v>
      </c>
      <c r="I1202">
        <v>373</v>
      </c>
      <c r="J1202">
        <v>14</v>
      </c>
      <c r="K1202">
        <v>12</v>
      </c>
      <c r="L1202">
        <v>4</v>
      </c>
      <c r="M1202">
        <v>23</v>
      </c>
      <c r="N1202">
        <v>19</v>
      </c>
      <c r="O1202">
        <v>22</v>
      </c>
      <c r="P1202">
        <v>10</v>
      </c>
      <c r="Q1202">
        <v>0</v>
      </c>
    </row>
    <row r="1203" spans="1:17" x14ac:dyDescent="0.45">
      <c r="A1203" t="s">
        <v>71</v>
      </c>
      <c r="B1203" t="s">
        <v>21</v>
      </c>
      <c r="C1203">
        <v>8</v>
      </c>
      <c r="D1203">
        <v>1181</v>
      </c>
      <c r="E1203">
        <v>38</v>
      </c>
      <c r="F1203">
        <v>38</v>
      </c>
      <c r="G1203">
        <v>51</v>
      </c>
      <c r="H1203">
        <v>65</v>
      </c>
      <c r="I1203">
        <v>430</v>
      </c>
      <c r="J1203">
        <v>24</v>
      </c>
      <c r="K1203">
        <v>25</v>
      </c>
      <c r="L1203">
        <v>7</v>
      </c>
      <c r="M1203">
        <v>23</v>
      </c>
      <c r="N1203">
        <v>22</v>
      </c>
      <c r="O1203">
        <v>9</v>
      </c>
      <c r="P1203">
        <v>7</v>
      </c>
      <c r="Q1203">
        <v>0</v>
      </c>
    </row>
    <row r="1204" spans="1:17" x14ac:dyDescent="0.45">
      <c r="A1204" t="s">
        <v>71</v>
      </c>
      <c r="B1204" t="s">
        <v>20</v>
      </c>
      <c r="C1204">
        <v>9</v>
      </c>
      <c r="D1204">
        <v>1301</v>
      </c>
      <c r="E1204">
        <v>53</v>
      </c>
      <c r="F1204">
        <v>50</v>
      </c>
      <c r="G1204">
        <v>62</v>
      </c>
      <c r="H1204">
        <v>78</v>
      </c>
      <c r="I1204">
        <v>406</v>
      </c>
      <c r="J1204">
        <v>36</v>
      </c>
      <c r="K1204">
        <v>23</v>
      </c>
      <c r="L1204">
        <v>16</v>
      </c>
      <c r="M1204">
        <v>49</v>
      </c>
      <c r="N1204">
        <v>15</v>
      </c>
      <c r="O1204">
        <v>16</v>
      </c>
      <c r="P1204">
        <v>3</v>
      </c>
      <c r="Q1204">
        <v>0</v>
      </c>
    </row>
    <row r="1205" spans="1:17" x14ac:dyDescent="0.45">
      <c r="A1205" t="s">
        <v>71</v>
      </c>
      <c r="B1205" t="s">
        <v>21</v>
      </c>
      <c r="C1205">
        <v>9</v>
      </c>
      <c r="D1205">
        <v>1413</v>
      </c>
      <c r="E1205">
        <v>35</v>
      </c>
      <c r="F1205">
        <v>35</v>
      </c>
      <c r="G1205">
        <v>47</v>
      </c>
      <c r="H1205">
        <v>70</v>
      </c>
      <c r="I1205">
        <v>401</v>
      </c>
      <c r="J1205">
        <v>21</v>
      </c>
      <c r="K1205">
        <v>7</v>
      </c>
      <c r="L1205">
        <v>17</v>
      </c>
      <c r="M1205">
        <v>25</v>
      </c>
      <c r="N1205">
        <v>18</v>
      </c>
      <c r="O1205">
        <v>15</v>
      </c>
      <c r="P1205">
        <v>11</v>
      </c>
      <c r="Q1205">
        <v>2</v>
      </c>
    </row>
    <row r="1206" spans="1:17" x14ac:dyDescent="0.45">
      <c r="A1206" t="s">
        <v>71</v>
      </c>
      <c r="B1206" t="s">
        <v>20</v>
      </c>
      <c r="C1206">
        <v>10</v>
      </c>
      <c r="D1206">
        <v>1600</v>
      </c>
      <c r="E1206">
        <v>64</v>
      </c>
      <c r="F1206">
        <v>60</v>
      </c>
      <c r="G1206">
        <v>85</v>
      </c>
      <c r="H1206">
        <v>194</v>
      </c>
      <c r="I1206">
        <v>571</v>
      </c>
      <c r="J1206">
        <v>58</v>
      </c>
      <c r="K1206">
        <v>52</v>
      </c>
      <c r="L1206">
        <v>31</v>
      </c>
      <c r="M1206">
        <v>45</v>
      </c>
      <c r="N1206">
        <v>64</v>
      </c>
      <c r="O1206">
        <v>54</v>
      </c>
      <c r="P1206">
        <v>9</v>
      </c>
      <c r="Q1206">
        <v>1</v>
      </c>
    </row>
    <row r="1207" spans="1:17" x14ac:dyDescent="0.45">
      <c r="A1207" t="s">
        <v>71</v>
      </c>
      <c r="B1207" t="s">
        <v>21</v>
      </c>
      <c r="C1207">
        <v>10</v>
      </c>
      <c r="D1207">
        <v>1848</v>
      </c>
      <c r="E1207">
        <v>79</v>
      </c>
      <c r="F1207">
        <v>111</v>
      </c>
      <c r="G1207">
        <v>138</v>
      </c>
      <c r="H1207">
        <v>180</v>
      </c>
      <c r="I1207">
        <v>593</v>
      </c>
      <c r="J1207">
        <v>42</v>
      </c>
      <c r="K1207">
        <v>68</v>
      </c>
      <c r="L1207">
        <v>46</v>
      </c>
      <c r="M1207">
        <v>57</v>
      </c>
      <c r="N1207">
        <v>49</v>
      </c>
      <c r="O1207">
        <v>45</v>
      </c>
      <c r="P1207">
        <v>15</v>
      </c>
      <c r="Q1207">
        <v>0</v>
      </c>
    </row>
    <row r="1208" spans="1:17" x14ac:dyDescent="0.45">
      <c r="A1208" t="s">
        <v>71</v>
      </c>
      <c r="B1208" t="s">
        <v>20</v>
      </c>
      <c r="C1208">
        <v>11</v>
      </c>
      <c r="D1208">
        <v>1423</v>
      </c>
      <c r="E1208">
        <v>42</v>
      </c>
      <c r="F1208">
        <v>32</v>
      </c>
      <c r="G1208">
        <v>102</v>
      </c>
      <c r="H1208">
        <v>194</v>
      </c>
      <c r="I1208">
        <v>448</v>
      </c>
      <c r="J1208">
        <v>31</v>
      </c>
      <c r="K1208">
        <v>45</v>
      </c>
      <c r="L1208">
        <v>16</v>
      </c>
      <c r="M1208">
        <v>39</v>
      </c>
      <c r="N1208">
        <v>44</v>
      </c>
      <c r="O1208">
        <v>38</v>
      </c>
      <c r="P1208">
        <v>8</v>
      </c>
      <c r="Q1208">
        <v>0</v>
      </c>
    </row>
    <row r="1209" spans="1:17" x14ac:dyDescent="0.45">
      <c r="A1209" t="s">
        <v>71</v>
      </c>
      <c r="B1209" t="s">
        <v>21</v>
      </c>
      <c r="C1209">
        <v>11</v>
      </c>
      <c r="D1209">
        <v>1525</v>
      </c>
      <c r="E1209">
        <v>50</v>
      </c>
      <c r="F1209">
        <v>34</v>
      </c>
      <c r="G1209">
        <v>159</v>
      </c>
      <c r="H1209">
        <v>101</v>
      </c>
      <c r="I1209">
        <v>363</v>
      </c>
      <c r="J1209">
        <v>36</v>
      </c>
      <c r="K1209">
        <v>37</v>
      </c>
      <c r="L1209">
        <v>20</v>
      </c>
      <c r="M1209">
        <v>34</v>
      </c>
      <c r="N1209">
        <v>42</v>
      </c>
      <c r="O1209">
        <v>23</v>
      </c>
      <c r="P1209">
        <v>7</v>
      </c>
      <c r="Q1209">
        <v>0</v>
      </c>
    </row>
    <row r="1210" spans="1:17" x14ac:dyDescent="0.45">
      <c r="A1210" t="s">
        <v>71</v>
      </c>
      <c r="B1210" t="s">
        <v>20</v>
      </c>
      <c r="C1210">
        <v>12</v>
      </c>
      <c r="D1210">
        <v>1455</v>
      </c>
      <c r="E1210">
        <v>34</v>
      </c>
      <c r="F1210">
        <v>45</v>
      </c>
      <c r="G1210">
        <v>101</v>
      </c>
      <c r="H1210">
        <v>181</v>
      </c>
      <c r="I1210">
        <v>440</v>
      </c>
      <c r="J1210">
        <v>32</v>
      </c>
      <c r="K1210">
        <v>105</v>
      </c>
      <c r="L1210">
        <v>25</v>
      </c>
      <c r="M1210">
        <v>57</v>
      </c>
      <c r="N1210">
        <v>55</v>
      </c>
      <c r="O1210">
        <v>37</v>
      </c>
      <c r="P1210">
        <v>17</v>
      </c>
      <c r="Q1210">
        <v>0</v>
      </c>
    </row>
    <row r="1211" spans="1:17" x14ac:dyDescent="0.45">
      <c r="A1211" t="s">
        <v>71</v>
      </c>
      <c r="B1211" t="s">
        <v>21</v>
      </c>
      <c r="C1211">
        <v>12</v>
      </c>
      <c r="D1211">
        <v>1601</v>
      </c>
      <c r="E1211">
        <v>41</v>
      </c>
      <c r="F1211">
        <v>44</v>
      </c>
      <c r="G1211">
        <v>134</v>
      </c>
      <c r="H1211">
        <v>199</v>
      </c>
      <c r="I1211">
        <v>479</v>
      </c>
      <c r="J1211">
        <v>19</v>
      </c>
      <c r="K1211">
        <v>83</v>
      </c>
      <c r="L1211">
        <v>39</v>
      </c>
      <c r="M1211">
        <v>27</v>
      </c>
      <c r="N1211">
        <v>56</v>
      </c>
      <c r="O1211">
        <v>38</v>
      </c>
      <c r="P1211">
        <v>14</v>
      </c>
      <c r="Q1211">
        <v>0</v>
      </c>
    </row>
    <row r="1212" spans="1:17" x14ac:dyDescent="0.45">
      <c r="A1212" t="s">
        <v>69</v>
      </c>
      <c r="B1212" t="s">
        <v>20</v>
      </c>
      <c r="C1212">
        <v>1</v>
      </c>
      <c r="D1212">
        <v>691</v>
      </c>
      <c r="E1212">
        <v>27</v>
      </c>
      <c r="F1212">
        <v>17</v>
      </c>
      <c r="G1212">
        <v>138</v>
      </c>
      <c r="H1212">
        <v>15</v>
      </c>
      <c r="I1212">
        <v>156</v>
      </c>
      <c r="J1212">
        <v>41</v>
      </c>
      <c r="K1212">
        <v>49</v>
      </c>
      <c r="L1212">
        <v>27</v>
      </c>
      <c r="M1212">
        <v>25</v>
      </c>
      <c r="N1212">
        <v>33</v>
      </c>
      <c r="O1212">
        <v>23</v>
      </c>
      <c r="P1212">
        <v>13</v>
      </c>
      <c r="Q1212">
        <v>5</v>
      </c>
    </row>
    <row r="1213" spans="1:17" x14ac:dyDescent="0.45">
      <c r="A1213" t="s">
        <v>69</v>
      </c>
      <c r="B1213" t="s">
        <v>21</v>
      </c>
      <c r="C1213">
        <v>1</v>
      </c>
      <c r="D1213">
        <v>726</v>
      </c>
      <c r="E1213">
        <v>43</v>
      </c>
      <c r="F1213">
        <v>31</v>
      </c>
      <c r="G1213">
        <v>103</v>
      </c>
      <c r="H1213">
        <v>7</v>
      </c>
      <c r="I1213">
        <v>130</v>
      </c>
      <c r="J1213">
        <v>30</v>
      </c>
      <c r="K1213">
        <v>92</v>
      </c>
      <c r="L1213">
        <v>18</v>
      </c>
      <c r="M1213">
        <v>17</v>
      </c>
      <c r="N1213">
        <v>27</v>
      </c>
      <c r="O1213">
        <v>34</v>
      </c>
      <c r="P1213">
        <v>12</v>
      </c>
      <c r="Q1213">
        <v>2</v>
      </c>
    </row>
    <row r="1214" spans="1:17" x14ac:dyDescent="0.45">
      <c r="A1214" t="s">
        <v>69</v>
      </c>
      <c r="B1214" t="s">
        <v>20</v>
      </c>
      <c r="C1214">
        <v>2</v>
      </c>
      <c r="D1214">
        <v>717</v>
      </c>
      <c r="E1214">
        <v>10</v>
      </c>
      <c r="F1214">
        <v>15</v>
      </c>
      <c r="G1214">
        <v>74</v>
      </c>
      <c r="H1214">
        <v>41</v>
      </c>
      <c r="I1214">
        <v>145</v>
      </c>
      <c r="J1214">
        <v>32</v>
      </c>
      <c r="K1214">
        <v>47</v>
      </c>
      <c r="L1214">
        <v>16</v>
      </c>
      <c r="M1214">
        <v>13</v>
      </c>
      <c r="N1214">
        <v>25</v>
      </c>
      <c r="O1214">
        <v>21</v>
      </c>
      <c r="P1214">
        <v>15</v>
      </c>
      <c r="Q1214">
        <v>7</v>
      </c>
    </row>
    <row r="1215" spans="1:17" x14ac:dyDescent="0.45">
      <c r="A1215" t="s">
        <v>69</v>
      </c>
      <c r="B1215" t="s">
        <v>21</v>
      </c>
      <c r="C1215">
        <v>2</v>
      </c>
      <c r="D1215">
        <v>773</v>
      </c>
      <c r="E1215">
        <v>25</v>
      </c>
      <c r="F1215">
        <v>14</v>
      </c>
      <c r="G1215">
        <v>55</v>
      </c>
      <c r="H1215">
        <v>38</v>
      </c>
      <c r="I1215">
        <v>165</v>
      </c>
      <c r="J1215">
        <v>35</v>
      </c>
      <c r="K1215">
        <v>52</v>
      </c>
      <c r="L1215">
        <v>16</v>
      </c>
      <c r="M1215">
        <v>18</v>
      </c>
      <c r="N1215">
        <v>39</v>
      </c>
      <c r="O1215">
        <v>24</v>
      </c>
      <c r="P1215">
        <v>9</v>
      </c>
      <c r="Q1215">
        <v>0</v>
      </c>
    </row>
    <row r="1216" spans="1:17" x14ac:dyDescent="0.45">
      <c r="A1216" t="s">
        <v>69</v>
      </c>
      <c r="B1216" t="s">
        <v>20</v>
      </c>
      <c r="C1216">
        <v>3</v>
      </c>
      <c r="D1216">
        <v>843</v>
      </c>
      <c r="E1216">
        <v>24</v>
      </c>
      <c r="F1216">
        <v>50</v>
      </c>
      <c r="G1216">
        <v>189</v>
      </c>
      <c r="H1216">
        <v>25</v>
      </c>
      <c r="I1216">
        <v>128</v>
      </c>
      <c r="J1216">
        <v>41</v>
      </c>
      <c r="K1216">
        <v>86</v>
      </c>
      <c r="L1216">
        <v>27</v>
      </c>
      <c r="M1216">
        <v>29</v>
      </c>
      <c r="N1216">
        <v>113</v>
      </c>
      <c r="O1216">
        <v>66</v>
      </c>
      <c r="P1216">
        <v>65</v>
      </c>
      <c r="Q1216">
        <v>7</v>
      </c>
    </row>
    <row r="1217" spans="1:17" x14ac:dyDescent="0.45">
      <c r="A1217" t="s">
        <v>69</v>
      </c>
      <c r="B1217" t="s">
        <v>21</v>
      </c>
      <c r="C1217">
        <v>3</v>
      </c>
      <c r="D1217">
        <v>922</v>
      </c>
      <c r="E1217">
        <v>55</v>
      </c>
      <c r="F1217">
        <v>48</v>
      </c>
      <c r="G1217">
        <v>194</v>
      </c>
      <c r="H1217">
        <v>27</v>
      </c>
      <c r="I1217">
        <v>158</v>
      </c>
      <c r="J1217">
        <v>44</v>
      </c>
      <c r="K1217">
        <v>109</v>
      </c>
      <c r="L1217">
        <v>34</v>
      </c>
      <c r="M1217">
        <v>41</v>
      </c>
      <c r="N1217">
        <v>188</v>
      </c>
      <c r="O1217">
        <v>97</v>
      </c>
      <c r="P1217">
        <v>136</v>
      </c>
      <c r="Q1217">
        <v>7</v>
      </c>
    </row>
    <row r="1218" spans="1:17" x14ac:dyDescent="0.45">
      <c r="A1218" t="s">
        <v>69</v>
      </c>
      <c r="B1218" t="s">
        <v>20</v>
      </c>
      <c r="C1218">
        <v>4</v>
      </c>
      <c r="D1218">
        <v>888</v>
      </c>
      <c r="E1218">
        <v>38</v>
      </c>
      <c r="F1218">
        <v>48</v>
      </c>
      <c r="G1218">
        <v>225</v>
      </c>
      <c r="H1218">
        <v>39</v>
      </c>
      <c r="I1218">
        <v>172</v>
      </c>
      <c r="J1218">
        <v>59</v>
      </c>
      <c r="K1218">
        <v>289</v>
      </c>
      <c r="L1218">
        <v>79</v>
      </c>
      <c r="M1218">
        <v>55</v>
      </c>
      <c r="N1218">
        <v>271</v>
      </c>
      <c r="O1218">
        <v>204</v>
      </c>
      <c r="P1218">
        <v>223</v>
      </c>
      <c r="Q1218">
        <v>7</v>
      </c>
    </row>
    <row r="1219" spans="1:17" x14ac:dyDescent="0.45">
      <c r="A1219" t="s">
        <v>69</v>
      </c>
      <c r="B1219" t="s">
        <v>21</v>
      </c>
      <c r="C1219">
        <v>4</v>
      </c>
      <c r="D1219">
        <v>881</v>
      </c>
      <c r="E1219">
        <v>27</v>
      </c>
      <c r="F1219">
        <v>57</v>
      </c>
      <c r="G1219">
        <v>161</v>
      </c>
      <c r="H1219">
        <v>57</v>
      </c>
      <c r="I1219">
        <v>208</v>
      </c>
      <c r="J1219">
        <v>65</v>
      </c>
      <c r="K1219">
        <v>263</v>
      </c>
      <c r="L1219">
        <v>80</v>
      </c>
      <c r="M1219">
        <v>56</v>
      </c>
      <c r="N1219">
        <v>246</v>
      </c>
      <c r="O1219">
        <v>173</v>
      </c>
      <c r="P1219">
        <v>172</v>
      </c>
      <c r="Q1219">
        <v>20</v>
      </c>
    </row>
    <row r="1220" spans="1:17" x14ac:dyDescent="0.45">
      <c r="A1220" t="s">
        <v>69</v>
      </c>
      <c r="B1220" t="s">
        <v>20</v>
      </c>
      <c r="C1220">
        <v>5</v>
      </c>
      <c r="D1220">
        <v>732</v>
      </c>
      <c r="E1220">
        <v>43</v>
      </c>
      <c r="F1220">
        <v>28</v>
      </c>
      <c r="G1220">
        <v>144</v>
      </c>
      <c r="H1220">
        <v>36</v>
      </c>
      <c r="I1220">
        <v>181</v>
      </c>
      <c r="J1220">
        <v>51</v>
      </c>
      <c r="K1220">
        <v>168</v>
      </c>
      <c r="L1220">
        <v>77</v>
      </c>
      <c r="M1220">
        <v>35</v>
      </c>
      <c r="N1220">
        <v>177</v>
      </c>
      <c r="O1220">
        <v>136</v>
      </c>
      <c r="P1220">
        <v>109</v>
      </c>
      <c r="Q1220">
        <v>11</v>
      </c>
    </row>
    <row r="1221" spans="1:17" x14ac:dyDescent="0.45">
      <c r="A1221" t="s">
        <v>69</v>
      </c>
      <c r="B1221" t="s">
        <v>21</v>
      </c>
      <c r="C1221">
        <v>5</v>
      </c>
      <c r="D1221">
        <v>825</v>
      </c>
      <c r="E1221">
        <v>44</v>
      </c>
      <c r="F1221">
        <v>38</v>
      </c>
      <c r="G1221">
        <v>172</v>
      </c>
      <c r="H1221">
        <v>33</v>
      </c>
      <c r="I1221">
        <v>182</v>
      </c>
      <c r="J1221">
        <v>51</v>
      </c>
      <c r="K1221">
        <v>169</v>
      </c>
      <c r="L1221">
        <v>67</v>
      </c>
      <c r="M1221">
        <v>45</v>
      </c>
      <c r="N1221">
        <v>180</v>
      </c>
      <c r="O1221">
        <v>117</v>
      </c>
      <c r="P1221">
        <v>116</v>
      </c>
      <c r="Q1221">
        <v>0</v>
      </c>
    </row>
    <row r="1222" spans="1:17" x14ac:dyDescent="0.45">
      <c r="A1222" t="s">
        <v>69</v>
      </c>
      <c r="B1222" t="s">
        <v>20</v>
      </c>
      <c r="C1222">
        <v>6</v>
      </c>
      <c r="D1222">
        <v>825</v>
      </c>
      <c r="E1222">
        <v>40</v>
      </c>
      <c r="F1222">
        <v>58</v>
      </c>
      <c r="G1222">
        <v>112</v>
      </c>
      <c r="H1222">
        <v>26</v>
      </c>
      <c r="I1222">
        <v>201</v>
      </c>
      <c r="J1222">
        <v>36</v>
      </c>
      <c r="K1222">
        <v>40</v>
      </c>
      <c r="L1222">
        <v>48</v>
      </c>
      <c r="M1222">
        <v>28</v>
      </c>
      <c r="N1222">
        <v>98</v>
      </c>
      <c r="O1222">
        <v>91</v>
      </c>
      <c r="P1222">
        <v>41</v>
      </c>
      <c r="Q1222">
        <v>2</v>
      </c>
    </row>
    <row r="1223" spans="1:17" x14ac:dyDescent="0.45">
      <c r="A1223" t="s">
        <v>69</v>
      </c>
      <c r="B1223" t="s">
        <v>21</v>
      </c>
      <c r="C1223">
        <v>6</v>
      </c>
      <c r="D1223">
        <v>895</v>
      </c>
      <c r="E1223">
        <v>60</v>
      </c>
      <c r="F1223">
        <v>38</v>
      </c>
      <c r="G1223">
        <v>126</v>
      </c>
      <c r="H1223">
        <v>42</v>
      </c>
      <c r="I1223">
        <v>196</v>
      </c>
      <c r="J1223">
        <v>47</v>
      </c>
      <c r="K1223">
        <v>100</v>
      </c>
      <c r="L1223">
        <v>64</v>
      </c>
      <c r="M1223">
        <v>35</v>
      </c>
      <c r="N1223">
        <v>120</v>
      </c>
      <c r="O1223">
        <v>91</v>
      </c>
      <c r="P1223">
        <v>52</v>
      </c>
      <c r="Q1223">
        <v>0</v>
      </c>
    </row>
    <row r="1224" spans="1:17" x14ac:dyDescent="0.45">
      <c r="A1224" t="s">
        <v>69</v>
      </c>
      <c r="B1224" t="s">
        <v>20</v>
      </c>
      <c r="C1224">
        <v>7</v>
      </c>
      <c r="D1224">
        <v>733</v>
      </c>
      <c r="E1224">
        <v>34</v>
      </c>
      <c r="F1224">
        <v>43</v>
      </c>
      <c r="G1224">
        <v>60</v>
      </c>
      <c r="H1224">
        <v>29</v>
      </c>
      <c r="I1224">
        <v>223</v>
      </c>
      <c r="J1224">
        <v>18</v>
      </c>
      <c r="K1224">
        <v>33</v>
      </c>
      <c r="L1224">
        <v>18</v>
      </c>
      <c r="M1224">
        <v>17</v>
      </c>
      <c r="N1224">
        <v>33</v>
      </c>
      <c r="O1224">
        <v>48</v>
      </c>
      <c r="P1224">
        <v>17</v>
      </c>
      <c r="Q1224">
        <v>0</v>
      </c>
    </row>
    <row r="1225" spans="1:17" x14ac:dyDescent="0.45">
      <c r="A1225" t="s">
        <v>69</v>
      </c>
      <c r="B1225" t="s">
        <v>21</v>
      </c>
      <c r="C1225">
        <v>7</v>
      </c>
      <c r="D1225">
        <v>870</v>
      </c>
      <c r="E1225">
        <v>38</v>
      </c>
      <c r="F1225">
        <v>30</v>
      </c>
      <c r="G1225">
        <v>61</v>
      </c>
      <c r="H1225">
        <v>60</v>
      </c>
      <c r="I1225">
        <v>282</v>
      </c>
      <c r="J1225">
        <v>31</v>
      </c>
      <c r="K1225">
        <v>24</v>
      </c>
      <c r="L1225">
        <v>17</v>
      </c>
      <c r="M1225">
        <v>300</v>
      </c>
      <c r="N1225">
        <v>36</v>
      </c>
      <c r="O1225">
        <v>47</v>
      </c>
      <c r="P1225">
        <v>29</v>
      </c>
      <c r="Q1225">
        <v>0</v>
      </c>
    </row>
    <row r="1226" spans="1:17" x14ac:dyDescent="0.45">
      <c r="A1226" t="s">
        <v>69</v>
      </c>
      <c r="B1226" t="s">
        <v>20</v>
      </c>
      <c r="C1226">
        <v>8</v>
      </c>
      <c r="D1226">
        <v>702</v>
      </c>
      <c r="E1226">
        <v>30</v>
      </c>
      <c r="F1226">
        <v>38</v>
      </c>
      <c r="G1226">
        <v>41</v>
      </c>
      <c r="H1226">
        <v>21</v>
      </c>
      <c r="I1226">
        <v>209</v>
      </c>
      <c r="J1226">
        <v>20</v>
      </c>
      <c r="K1226">
        <v>13</v>
      </c>
      <c r="L1226">
        <v>16</v>
      </c>
      <c r="M1226">
        <v>25</v>
      </c>
      <c r="N1226">
        <v>12</v>
      </c>
      <c r="O1226">
        <v>10</v>
      </c>
      <c r="P1226">
        <v>7</v>
      </c>
      <c r="Q1226">
        <v>0</v>
      </c>
    </row>
    <row r="1227" spans="1:17" x14ac:dyDescent="0.45">
      <c r="A1227" t="s">
        <v>69</v>
      </c>
      <c r="B1227" t="s">
        <v>21</v>
      </c>
      <c r="C1227">
        <v>8</v>
      </c>
      <c r="D1227">
        <v>798</v>
      </c>
      <c r="E1227">
        <v>36</v>
      </c>
      <c r="F1227">
        <v>41</v>
      </c>
      <c r="G1227">
        <v>76</v>
      </c>
      <c r="H1227">
        <v>13</v>
      </c>
      <c r="I1227">
        <v>236</v>
      </c>
      <c r="J1227">
        <v>33</v>
      </c>
      <c r="K1227">
        <v>5</v>
      </c>
      <c r="L1227">
        <v>10</v>
      </c>
      <c r="M1227">
        <v>18</v>
      </c>
      <c r="N1227">
        <v>20</v>
      </c>
      <c r="O1227">
        <v>11</v>
      </c>
      <c r="P1227">
        <v>8</v>
      </c>
      <c r="Q1227">
        <v>0</v>
      </c>
    </row>
    <row r="1228" spans="1:17" x14ac:dyDescent="0.45">
      <c r="A1228" t="s">
        <v>69</v>
      </c>
      <c r="B1228" t="s">
        <v>20</v>
      </c>
      <c r="C1228">
        <v>9</v>
      </c>
      <c r="D1228">
        <v>852</v>
      </c>
      <c r="E1228">
        <v>35</v>
      </c>
      <c r="F1228">
        <v>27</v>
      </c>
      <c r="G1228">
        <v>54</v>
      </c>
      <c r="H1228">
        <v>30</v>
      </c>
      <c r="I1228">
        <v>241</v>
      </c>
      <c r="J1228">
        <v>41</v>
      </c>
      <c r="K1228">
        <v>23</v>
      </c>
      <c r="L1228">
        <v>13</v>
      </c>
      <c r="M1228">
        <v>36</v>
      </c>
      <c r="N1228">
        <v>3</v>
      </c>
      <c r="O1228">
        <v>14</v>
      </c>
      <c r="P1228">
        <v>7</v>
      </c>
      <c r="Q1228">
        <v>0</v>
      </c>
    </row>
    <row r="1229" spans="1:17" x14ac:dyDescent="0.45">
      <c r="A1229" t="s">
        <v>69</v>
      </c>
      <c r="B1229" t="s">
        <v>21</v>
      </c>
      <c r="C1229">
        <v>9</v>
      </c>
      <c r="D1229">
        <v>754</v>
      </c>
      <c r="E1229">
        <v>43</v>
      </c>
      <c r="F1229">
        <v>11</v>
      </c>
      <c r="G1229">
        <v>92</v>
      </c>
      <c r="H1229">
        <v>7</v>
      </c>
      <c r="I1229">
        <v>201</v>
      </c>
      <c r="J1229">
        <v>47</v>
      </c>
      <c r="K1229">
        <v>20</v>
      </c>
      <c r="L1229">
        <v>9</v>
      </c>
      <c r="M1229">
        <v>40</v>
      </c>
      <c r="N1229">
        <v>18</v>
      </c>
      <c r="O1229">
        <v>22</v>
      </c>
      <c r="P1229">
        <v>8</v>
      </c>
      <c r="Q1229">
        <v>0</v>
      </c>
    </row>
    <row r="1230" spans="1:17" x14ac:dyDescent="0.45">
      <c r="A1230" t="s">
        <v>69</v>
      </c>
      <c r="B1230" t="s">
        <v>20</v>
      </c>
      <c r="C1230">
        <v>10</v>
      </c>
      <c r="D1230">
        <v>926</v>
      </c>
      <c r="E1230">
        <v>61</v>
      </c>
      <c r="F1230">
        <v>34</v>
      </c>
      <c r="G1230">
        <v>52</v>
      </c>
      <c r="H1230">
        <v>98</v>
      </c>
      <c r="I1230">
        <v>339</v>
      </c>
      <c r="J1230">
        <v>78</v>
      </c>
      <c r="K1230">
        <v>38</v>
      </c>
      <c r="L1230">
        <v>19</v>
      </c>
      <c r="M1230">
        <v>43</v>
      </c>
      <c r="N1230">
        <v>51</v>
      </c>
      <c r="O1230">
        <v>35</v>
      </c>
      <c r="P1230">
        <v>19</v>
      </c>
      <c r="Q1230">
        <v>0</v>
      </c>
    </row>
    <row r="1231" spans="1:17" x14ac:dyDescent="0.45">
      <c r="A1231" t="s">
        <v>69</v>
      </c>
      <c r="B1231" t="s">
        <v>21</v>
      </c>
      <c r="C1231">
        <v>10</v>
      </c>
      <c r="D1231">
        <v>980</v>
      </c>
      <c r="E1231">
        <v>89</v>
      </c>
      <c r="F1231">
        <v>68</v>
      </c>
      <c r="G1231">
        <v>159</v>
      </c>
      <c r="H1231">
        <v>10</v>
      </c>
      <c r="I1231">
        <v>284</v>
      </c>
      <c r="J1231">
        <v>72</v>
      </c>
      <c r="K1231">
        <v>48</v>
      </c>
      <c r="L1231">
        <v>34</v>
      </c>
      <c r="M1231">
        <v>42</v>
      </c>
      <c r="N1231">
        <v>39</v>
      </c>
      <c r="O1231">
        <v>25</v>
      </c>
      <c r="P1231">
        <v>12</v>
      </c>
      <c r="Q1231">
        <v>2</v>
      </c>
    </row>
    <row r="1232" spans="1:17" x14ac:dyDescent="0.45">
      <c r="A1232" t="s">
        <v>69</v>
      </c>
      <c r="B1232" t="s">
        <v>20</v>
      </c>
      <c r="C1232">
        <v>11</v>
      </c>
      <c r="D1232">
        <v>877</v>
      </c>
      <c r="E1232">
        <v>45</v>
      </c>
      <c r="F1232">
        <v>46</v>
      </c>
      <c r="G1232">
        <v>75</v>
      </c>
      <c r="H1232">
        <v>115</v>
      </c>
      <c r="I1232">
        <v>292</v>
      </c>
      <c r="J1232">
        <v>35</v>
      </c>
      <c r="K1232">
        <v>43</v>
      </c>
      <c r="L1232">
        <v>21</v>
      </c>
      <c r="M1232">
        <v>42</v>
      </c>
      <c r="N1232">
        <v>31</v>
      </c>
      <c r="O1232">
        <v>32</v>
      </c>
      <c r="P1232">
        <v>9</v>
      </c>
      <c r="Q1232">
        <v>1</v>
      </c>
    </row>
    <row r="1233" spans="1:17" x14ac:dyDescent="0.45">
      <c r="A1233" t="s">
        <v>69</v>
      </c>
      <c r="B1233" t="s">
        <v>21</v>
      </c>
      <c r="C1233">
        <v>11</v>
      </c>
      <c r="D1233">
        <v>888</v>
      </c>
      <c r="E1233">
        <v>42</v>
      </c>
      <c r="F1233">
        <v>36</v>
      </c>
      <c r="G1233">
        <v>125</v>
      </c>
      <c r="H1233">
        <v>25</v>
      </c>
      <c r="I1233">
        <v>193</v>
      </c>
      <c r="J1233">
        <v>39</v>
      </c>
      <c r="K1233">
        <v>47</v>
      </c>
      <c r="L1233">
        <v>18</v>
      </c>
      <c r="M1233">
        <v>40</v>
      </c>
      <c r="N1233">
        <v>39</v>
      </c>
      <c r="O1233">
        <v>23</v>
      </c>
      <c r="P1233">
        <v>16</v>
      </c>
      <c r="Q1233">
        <v>1</v>
      </c>
    </row>
    <row r="1234" spans="1:17" x14ac:dyDescent="0.45">
      <c r="A1234" t="s">
        <v>69</v>
      </c>
      <c r="B1234" t="s">
        <v>20</v>
      </c>
      <c r="C1234">
        <v>12</v>
      </c>
      <c r="D1234">
        <v>911</v>
      </c>
      <c r="E1234">
        <v>38</v>
      </c>
      <c r="F1234">
        <v>66</v>
      </c>
      <c r="G1234">
        <v>174</v>
      </c>
      <c r="H1234">
        <v>44</v>
      </c>
      <c r="I1234">
        <v>237</v>
      </c>
      <c r="J1234">
        <v>43</v>
      </c>
      <c r="K1234">
        <v>78</v>
      </c>
      <c r="L1234">
        <v>43</v>
      </c>
      <c r="M1234">
        <v>39</v>
      </c>
      <c r="N1234">
        <v>58</v>
      </c>
      <c r="O1234">
        <v>44</v>
      </c>
      <c r="P1234">
        <v>12</v>
      </c>
      <c r="Q1234">
        <v>0</v>
      </c>
    </row>
    <row r="1235" spans="1:17" x14ac:dyDescent="0.45">
      <c r="A1235" t="s">
        <v>69</v>
      </c>
      <c r="B1235" t="s">
        <v>21</v>
      </c>
      <c r="C1235">
        <v>12</v>
      </c>
      <c r="D1235">
        <v>882</v>
      </c>
      <c r="E1235">
        <v>27</v>
      </c>
      <c r="F1235">
        <v>38</v>
      </c>
      <c r="G1235">
        <v>190</v>
      </c>
      <c r="H1235">
        <v>25</v>
      </c>
      <c r="I1235">
        <v>196</v>
      </c>
      <c r="J1235">
        <v>58</v>
      </c>
      <c r="K1235">
        <v>73</v>
      </c>
      <c r="L1235">
        <v>44</v>
      </c>
      <c r="M1235">
        <v>42</v>
      </c>
      <c r="N1235">
        <v>42</v>
      </c>
      <c r="O1235">
        <v>44</v>
      </c>
      <c r="P1235">
        <v>16</v>
      </c>
      <c r="Q1235">
        <v>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34D7-2B14-4D11-ACDE-F8252893CD71}">
  <dimension ref="A1:P624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1" max="1" width="16.69921875" customWidth="1"/>
    <col min="3" max="3" width="11.59765625" customWidth="1"/>
    <col min="4" max="4" width="20.59765625" customWidth="1"/>
    <col min="5" max="5" width="9.796875" customWidth="1"/>
    <col min="6" max="6" width="20.59765625" customWidth="1"/>
    <col min="7" max="8" width="9.796875" customWidth="1"/>
    <col min="10" max="10" width="13.3984375" customWidth="1"/>
    <col min="11" max="11" width="9.796875" customWidth="1"/>
    <col min="13" max="13" width="15.19921875" customWidth="1"/>
    <col min="14" max="14" width="11.59765625" customWidth="1"/>
    <col min="15" max="15" width="13.3984375" customWidth="1"/>
  </cols>
  <sheetData>
    <row r="1" spans="1:16" x14ac:dyDescent="0.45">
      <c r="A1" s="1" t="s">
        <v>0</v>
      </c>
      <c r="B1" s="1" t="s">
        <v>2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</row>
    <row r="2" spans="1:16" x14ac:dyDescent="0.45">
      <c r="A2" t="s">
        <v>56</v>
      </c>
      <c r="B2">
        <v>1</v>
      </c>
      <c r="C2">
        <v>1578</v>
      </c>
      <c r="D2">
        <v>968</v>
      </c>
      <c r="E2">
        <v>0</v>
      </c>
      <c r="F2">
        <v>18</v>
      </c>
      <c r="G2">
        <v>9</v>
      </c>
      <c r="H2">
        <v>4</v>
      </c>
      <c r="I2">
        <v>148</v>
      </c>
      <c r="J2">
        <v>5</v>
      </c>
      <c r="K2">
        <v>10</v>
      </c>
      <c r="L2">
        <v>37</v>
      </c>
      <c r="M2">
        <v>0</v>
      </c>
      <c r="N2">
        <v>0</v>
      </c>
      <c r="O2">
        <v>0</v>
      </c>
      <c r="P2">
        <v>0</v>
      </c>
    </row>
    <row r="3" spans="1:16" x14ac:dyDescent="0.45">
      <c r="A3" t="s">
        <v>56</v>
      </c>
      <c r="B3">
        <v>2</v>
      </c>
      <c r="C3">
        <v>1381</v>
      </c>
      <c r="D3">
        <v>975</v>
      </c>
      <c r="E3">
        <v>0</v>
      </c>
      <c r="F3">
        <v>16</v>
      </c>
      <c r="G3">
        <v>14</v>
      </c>
      <c r="H3">
        <v>0</v>
      </c>
      <c r="I3">
        <v>126</v>
      </c>
      <c r="J3">
        <v>0</v>
      </c>
      <c r="K3">
        <v>1</v>
      </c>
      <c r="L3">
        <v>39</v>
      </c>
      <c r="M3">
        <v>0</v>
      </c>
      <c r="N3">
        <v>0</v>
      </c>
      <c r="O3">
        <v>2</v>
      </c>
      <c r="P3">
        <v>2</v>
      </c>
    </row>
    <row r="4" spans="1:16" x14ac:dyDescent="0.45">
      <c r="A4" t="s">
        <v>56</v>
      </c>
      <c r="B4">
        <v>3</v>
      </c>
      <c r="C4">
        <v>2388</v>
      </c>
      <c r="D4">
        <v>1202</v>
      </c>
      <c r="E4">
        <v>4</v>
      </c>
      <c r="F4">
        <v>14</v>
      </c>
      <c r="G4">
        <v>55</v>
      </c>
      <c r="H4">
        <v>21</v>
      </c>
      <c r="I4">
        <v>223</v>
      </c>
      <c r="J4">
        <v>0</v>
      </c>
      <c r="K4">
        <v>0</v>
      </c>
      <c r="L4">
        <v>31</v>
      </c>
      <c r="M4">
        <v>0</v>
      </c>
      <c r="N4">
        <v>0</v>
      </c>
      <c r="O4">
        <v>4</v>
      </c>
      <c r="P4">
        <v>5</v>
      </c>
    </row>
    <row r="5" spans="1:16" x14ac:dyDescent="0.45">
      <c r="A5" t="s">
        <v>56</v>
      </c>
      <c r="B5">
        <v>4</v>
      </c>
      <c r="C5">
        <v>4497</v>
      </c>
      <c r="D5">
        <v>1258</v>
      </c>
      <c r="E5">
        <v>0</v>
      </c>
      <c r="F5">
        <v>28</v>
      </c>
      <c r="G5">
        <v>61</v>
      </c>
      <c r="H5">
        <v>60</v>
      </c>
      <c r="I5">
        <v>239</v>
      </c>
      <c r="J5">
        <v>2</v>
      </c>
      <c r="K5">
        <v>0</v>
      </c>
      <c r="L5">
        <v>33</v>
      </c>
      <c r="M5">
        <v>0</v>
      </c>
      <c r="N5">
        <v>0</v>
      </c>
      <c r="O5">
        <v>3</v>
      </c>
      <c r="P5">
        <v>9</v>
      </c>
    </row>
    <row r="6" spans="1:16" x14ac:dyDescent="0.45">
      <c r="A6" t="s">
        <v>56</v>
      </c>
      <c r="B6">
        <v>5</v>
      </c>
      <c r="C6">
        <v>2887</v>
      </c>
      <c r="D6">
        <v>980</v>
      </c>
      <c r="E6">
        <v>0</v>
      </c>
      <c r="F6">
        <v>0</v>
      </c>
      <c r="G6">
        <v>19</v>
      </c>
      <c r="H6">
        <v>35</v>
      </c>
      <c r="I6">
        <v>167</v>
      </c>
      <c r="J6">
        <v>0</v>
      </c>
      <c r="K6">
        <v>0</v>
      </c>
      <c r="L6">
        <v>15</v>
      </c>
      <c r="M6">
        <v>0</v>
      </c>
      <c r="N6">
        <v>0</v>
      </c>
      <c r="O6">
        <v>0</v>
      </c>
      <c r="P6">
        <v>8</v>
      </c>
    </row>
    <row r="7" spans="1:16" x14ac:dyDescent="0.45">
      <c r="A7" t="s">
        <v>56</v>
      </c>
      <c r="B7">
        <v>6</v>
      </c>
      <c r="C7">
        <v>2772</v>
      </c>
      <c r="D7">
        <v>1146</v>
      </c>
      <c r="E7">
        <v>0</v>
      </c>
      <c r="F7">
        <v>0</v>
      </c>
      <c r="G7">
        <v>35</v>
      </c>
      <c r="H7">
        <v>16</v>
      </c>
      <c r="I7">
        <v>261</v>
      </c>
      <c r="J7">
        <v>2</v>
      </c>
      <c r="K7">
        <v>1</v>
      </c>
      <c r="L7">
        <v>23</v>
      </c>
      <c r="M7">
        <v>0</v>
      </c>
      <c r="N7">
        <v>0</v>
      </c>
      <c r="O7">
        <v>1</v>
      </c>
      <c r="P7">
        <v>1</v>
      </c>
    </row>
    <row r="8" spans="1:16" x14ac:dyDescent="0.45">
      <c r="A8" t="s">
        <v>56</v>
      </c>
      <c r="B8">
        <v>7</v>
      </c>
      <c r="C8">
        <v>2053</v>
      </c>
      <c r="D8">
        <v>1018</v>
      </c>
      <c r="E8">
        <v>0</v>
      </c>
      <c r="F8">
        <v>0</v>
      </c>
      <c r="G8">
        <v>10</v>
      </c>
      <c r="H8">
        <v>23</v>
      </c>
      <c r="I8">
        <v>346</v>
      </c>
      <c r="J8">
        <v>9</v>
      </c>
      <c r="K8">
        <v>0</v>
      </c>
      <c r="L8">
        <v>27</v>
      </c>
      <c r="M8">
        <v>0</v>
      </c>
      <c r="N8">
        <v>0</v>
      </c>
      <c r="O8">
        <v>0</v>
      </c>
      <c r="P8">
        <v>3</v>
      </c>
    </row>
    <row r="9" spans="1:16" x14ac:dyDescent="0.45">
      <c r="A9" t="s">
        <v>56</v>
      </c>
      <c r="B9">
        <v>8</v>
      </c>
      <c r="C9">
        <v>1362</v>
      </c>
      <c r="D9">
        <v>831</v>
      </c>
      <c r="E9">
        <v>0</v>
      </c>
      <c r="F9">
        <v>0</v>
      </c>
      <c r="G9">
        <v>10</v>
      </c>
      <c r="H9">
        <v>0</v>
      </c>
      <c r="I9">
        <v>227</v>
      </c>
      <c r="J9">
        <v>9</v>
      </c>
      <c r="K9">
        <v>0</v>
      </c>
      <c r="L9">
        <v>33</v>
      </c>
      <c r="M9">
        <v>0</v>
      </c>
      <c r="N9">
        <v>0</v>
      </c>
      <c r="O9">
        <v>0</v>
      </c>
      <c r="P9">
        <v>4</v>
      </c>
    </row>
    <row r="10" spans="1:16" x14ac:dyDescent="0.45">
      <c r="A10" t="s">
        <v>56</v>
      </c>
      <c r="B10">
        <v>9</v>
      </c>
      <c r="C10">
        <v>1500</v>
      </c>
      <c r="D10">
        <v>1003</v>
      </c>
      <c r="E10">
        <v>0</v>
      </c>
      <c r="F10">
        <v>0</v>
      </c>
      <c r="G10">
        <v>9</v>
      </c>
      <c r="H10">
        <v>0</v>
      </c>
      <c r="I10">
        <v>195</v>
      </c>
      <c r="J10">
        <v>9</v>
      </c>
      <c r="K10">
        <v>4</v>
      </c>
      <c r="L10">
        <v>29</v>
      </c>
      <c r="M10">
        <v>0</v>
      </c>
      <c r="N10">
        <v>0</v>
      </c>
      <c r="O10">
        <v>0</v>
      </c>
      <c r="P10">
        <v>1</v>
      </c>
    </row>
    <row r="11" spans="1:16" x14ac:dyDescent="0.45">
      <c r="A11" t="s">
        <v>56</v>
      </c>
      <c r="B11">
        <v>10</v>
      </c>
      <c r="C11">
        <v>2469</v>
      </c>
      <c r="D11">
        <v>1325</v>
      </c>
      <c r="E11">
        <v>0</v>
      </c>
      <c r="F11">
        <v>0</v>
      </c>
      <c r="G11">
        <v>12</v>
      </c>
      <c r="H11">
        <v>0</v>
      </c>
      <c r="I11">
        <v>294</v>
      </c>
      <c r="J11">
        <v>11</v>
      </c>
      <c r="K11">
        <v>1</v>
      </c>
      <c r="L11">
        <v>61</v>
      </c>
      <c r="M11">
        <v>0</v>
      </c>
      <c r="N11">
        <v>0</v>
      </c>
      <c r="O11">
        <v>0</v>
      </c>
    </row>
    <row r="12" spans="1:16" x14ac:dyDescent="0.45">
      <c r="A12" t="s">
        <v>56</v>
      </c>
      <c r="B12">
        <v>11</v>
      </c>
      <c r="C12">
        <v>2206</v>
      </c>
      <c r="D12">
        <v>1225</v>
      </c>
      <c r="E12">
        <v>0</v>
      </c>
      <c r="F12">
        <v>4</v>
      </c>
      <c r="G12">
        <v>8</v>
      </c>
      <c r="H12">
        <v>0</v>
      </c>
      <c r="I12">
        <v>202</v>
      </c>
      <c r="J12">
        <v>5</v>
      </c>
      <c r="K12">
        <v>20</v>
      </c>
      <c r="L12">
        <v>43</v>
      </c>
      <c r="M12">
        <v>0</v>
      </c>
      <c r="N12">
        <v>0</v>
      </c>
      <c r="O12">
        <v>0</v>
      </c>
      <c r="P12">
        <v>2</v>
      </c>
    </row>
    <row r="13" spans="1:16" x14ac:dyDescent="0.45">
      <c r="A13" t="s">
        <v>56</v>
      </c>
      <c r="B13">
        <v>12</v>
      </c>
      <c r="C13">
        <v>2287</v>
      </c>
      <c r="D13">
        <v>1186</v>
      </c>
      <c r="E13">
        <v>0</v>
      </c>
      <c r="F13">
        <v>9</v>
      </c>
      <c r="G13">
        <v>27</v>
      </c>
      <c r="H13">
        <v>0</v>
      </c>
      <c r="I13">
        <v>230</v>
      </c>
      <c r="J13">
        <v>2</v>
      </c>
      <c r="K13">
        <v>10</v>
      </c>
      <c r="L13">
        <v>47</v>
      </c>
      <c r="M13">
        <v>0</v>
      </c>
      <c r="N13">
        <v>0</v>
      </c>
      <c r="O13">
        <v>0</v>
      </c>
      <c r="P13">
        <v>2</v>
      </c>
    </row>
    <row r="14" spans="1:16" x14ac:dyDescent="0.45">
      <c r="A14" t="s">
        <v>55</v>
      </c>
      <c r="B14">
        <v>1</v>
      </c>
      <c r="C14">
        <v>1849</v>
      </c>
      <c r="D14">
        <v>1211</v>
      </c>
      <c r="E14">
        <v>0</v>
      </c>
      <c r="F14">
        <v>7</v>
      </c>
      <c r="G14">
        <v>17</v>
      </c>
      <c r="H14">
        <v>9</v>
      </c>
      <c r="I14">
        <v>176</v>
      </c>
      <c r="J14">
        <v>0</v>
      </c>
      <c r="K14">
        <v>61</v>
      </c>
      <c r="L14">
        <v>19</v>
      </c>
      <c r="M14">
        <v>0</v>
      </c>
      <c r="N14">
        <v>0</v>
      </c>
      <c r="O14">
        <v>0</v>
      </c>
      <c r="P14">
        <v>2</v>
      </c>
    </row>
    <row r="15" spans="1:16" x14ac:dyDescent="0.45">
      <c r="A15" t="s">
        <v>55</v>
      </c>
      <c r="B15">
        <v>2</v>
      </c>
      <c r="C15">
        <v>1606</v>
      </c>
      <c r="D15">
        <v>1265</v>
      </c>
      <c r="E15">
        <v>0</v>
      </c>
      <c r="F15">
        <v>9</v>
      </c>
      <c r="G15">
        <v>34</v>
      </c>
      <c r="H15">
        <v>2</v>
      </c>
      <c r="I15">
        <v>186</v>
      </c>
      <c r="J15">
        <v>0</v>
      </c>
      <c r="K15">
        <v>71</v>
      </c>
      <c r="L15">
        <v>6</v>
      </c>
      <c r="M15">
        <v>0</v>
      </c>
      <c r="N15">
        <v>0</v>
      </c>
      <c r="O15">
        <v>0</v>
      </c>
      <c r="P15">
        <v>2</v>
      </c>
    </row>
    <row r="16" spans="1:16" x14ac:dyDescent="0.45">
      <c r="A16" t="s">
        <v>55</v>
      </c>
      <c r="B16">
        <v>3</v>
      </c>
      <c r="C16">
        <v>3256</v>
      </c>
      <c r="D16">
        <v>1448</v>
      </c>
      <c r="E16">
        <v>0</v>
      </c>
      <c r="F16">
        <v>2</v>
      </c>
      <c r="G16">
        <v>136</v>
      </c>
      <c r="H16">
        <v>36</v>
      </c>
      <c r="I16">
        <v>253</v>
      </c>
      <c r="J16">
        <v>1</v>
      </c>
      <c r="K16">
        <v>36</v>
      </c>
      <c r="L16">
        <v>13</v>
      </c>
      <c r="M16">
        <v>0</v>
      </c>
      <c r="N16">
        <v>0</v>
      </c>
      <c r="O16">
        <v>0</v>
      </c>
      <c r="P16">
        <v>2</v>
      </c>
    </row>
    <row r="17" spans="1:15" x14ac:dyDescent="0.45">
      <c r="A17" t="s">
        <v>55</v>
      </c>
      <c r="B17">
        <v>4</v>
      </c>
      <c r="C17">
        <v>5568</v>
      </c>
      <c r="D17">
        <v>1516</v>
      </c>
      <c r="E17">
        <v>0</v>
      </c>
      <c r="F17">
        <v>1</v>
      </c>
      <c r="G17">
        <v>151</v>
      </c>
      <c r="H17">
        <v>120</v>
      </c>
      <c r="I17">
        <v>337</v>
      </c>
      <c r="J17">
        <v>3</v>
      </c>
      <c r="K17">
        <v>19</v>
      </c>
      <c r="L17">
        <v>6</v>
      </c>
      <c r="M17">
        <v>0</v>
      </c>
      <c r="N17">
        <v>0</v>
      </c>
      <c r="O17">
        <v>1</v>
      </c>
    </row>
    <row r="18" spans="1:15" x14ac:dyDescent="0.45">
      <c r="A18" t="s">
        <v>55</v>
      </c>
      <c r="B18">
        <v>5</v>
      </c>
      <c r="C18">
        <v>3609</v>
      </c>
      <c r="D18">
        <v>1417</v>
      </c>
      <c r="E18">
        <v>0</v>
      </c>
      <c r="F18">
        <v>0</v>
      </c>
      <c r="G18">
        <v>70</v>
      </c>
      <c r="H18">
        <v>63</v>
      </c>
      <c r="I18">
        <v>269</v>
      </c>
      <c r="J18">
        <v>2</v>
      </c>
      <c r="K18">
        <v>49</v>
      </c>
      <c r="L18">
        <v>6</v>
      </c>
      <c r="M18">
        <v>0</v>
      </c>
      <c r="N18">
        <v>0</v>
      </c>
      <c r="O18">
        <v>1</v>
      </c>
    </row>
    <row r="19" spans="1:15" x14ac:dyDescent="0.45">
      <c r="A19" t="s">
        <v>55</v>
      </c>
      <c r="B19">
        <v>6</v>
      </c>
      <c r="C19">
        <v>3106</v>
      </c>
      <c r="D19">
        <v>1453</v>
      </c>
      <c r="E19">
        <v>0</v>
      </c>
      <c r="F19">
        <v>0</v>
      </c>
      <c r="G19">
        <v>80</v>
      </c>
      <c r="H19">
        <v>39</v>
      </c>
      <c r="I19">
        <v>380</v>
      </c>
      <c r="J19">
        <v>1</v>
      </c>
      <c r="K19">
        <v>35</v>
      </c>
      <c r="L19">
        <v>19</v>
      </c>
      <c r="M19">
        <v>0</v>
      </c>
      <c r="N19">
        <v>0</v>
      </c>
      <c r="O19">
        <v>0</v>
      </c>
    </row>
    <row r="20" spans="1:15" x14ac:dyDescent="0.45">
      <c r="A20" t="s">
        <v>55</v>
      </c>
      <c r="B20">
        <v>7</v>
      </c>
      <c r="C20">
        <v>2383</v>
      </c>
      <c r="D20">
        <v>1332</v>
      </c>
      <c r="E20">
        <v>0</v>
      </c>
      <c r="F20">
        <v>0</v>
      </c>
      <c r="G20">
        <v>86</v>
      </c>
      <c r="H20">
        <v>16</v>
      </c>
      <c r="I20">
        <v>484</v>
      </c>
      <c r="J20">
        <v>4</v>
      </c>
      <c r="K20">
        <v>5</v>
      </c>
      <c r="L20">
        <v>4</v>
      </c>
      <c r="M20">
        <v>0</v>
      </c>
      <c r="N20">
        <v>1</v>
      </c>
      <c r="O20">
        <v>0</v>
      </c>
    </row>
    <row r="21" spans="1:15" x14ac:dyDescent="0.45">
      <c r="A21" t="s">
        <v>55</v>
      </c>
      <c r="B21">
        <v>8</v>
      </c>
      <c r="C21">
        <v>2125</v>
      </c>
      <c r="D21">
        <v>1166</v>
      </c>
      <c r="E21">
        <v>2</v>
      </c>
      <c r="F21">
        <v>0</v>
      </c>
      <c r="G21">
        <v>49</v>
      </c>
      <c r="H21">
        <v>15</v>
      </c>
      <c r="I21">
        <v>527</v>
      </c>
      <c r="J21">
        <v>2</v>
      </c>
      <c r="K21">
        <v>8</v>
      </c>
      <c r="L21">
        <v>16</v>
      </c>
      <c r="M21">
        <v>0</v>
      </c>
      <c r="N21">
        <v>0</v>
      </c>
      <c r="O21">
        <v>0</v>
      </c>
    </row>
    <row r="22" spans="1:15" x14ac:dyDescent="0.45">
      <c r="A22" t="s">
        <v>55</v>
      </c>
      <c r="B22">
        <v>9</v>
      </c>
      <c r="C22">
        <v>1994</v>
      </c>
      <c r="D22">
        <v>1261</v>
      </c>
      <c r="E22">
        <v>0</v>
      </c>
      <c r="F22">
        <v>0</v>
      </c>
      <c r="G22">
        <v>38</v>
      </c>
      <c r="H22">
        <v>4</v>
      </c>
      <c r="I22">
        <v>400</v>
      </c>
      <c r="J22">
        <v>4</v>
      </c>
      <c r="K22">
        <v>22</v>
      </c>
      <c r="L22">
        <v>20</v>
      </c>
      <c r="M22">
        <v>0</v>
      </c>
      <c r="N22">
        <v>0</v>
      </c>
      <c r="O22">
        <v>0</v>
      </c>
    </row>
    <row r="23" spans="1:15" x14ac:dyDescent="0.45">
      <c r="A23" t="s">
        <v>55</v>
      </c>
      <c r="B23">
        <v>10</v>
      </c>
      <c r="C23">
        <v>2971</v>
      </c>
      <c r="D23">
        <v>1624</v>
      </c>
      <c r="E23">
        <v>0</v>
      </c>
      <c r="F23">
        <v>0</v>
      </c>
      <c r="G23">
        <v>57</v>
      </c>
      <c r="H23">
        <v>9</v>
      </c>
      <c r="I23">
        <v>415</v>
      </c>
      <c r="J23">
        <v>1</v>
      </c>
      <c r="K23">
        <v>66</v>
      </c>
      <c r="L23">
        <v>32</v>
      </c>
      <c r="M23">
        <v>0</v>
      </c>
      <c r="N23">
        <v>0</v>
      </c>
      <c r="O23">
        <v>0</v>
      </c>
    </row>
    <row r="24" spans="1:15" x14ac:dyDescent="0.45">
      <c r="A24" t="s">
        <v>55</v>
      </c>
      <c r="B24">
        <v>11</v>
      </c>
      <c r="C24">
        <v>2594</v>
      </c>
      <c r="D24">
        <v>1452</v>
      </c>
      <c r="E24">
        <v>0</v>
      </c>
      <c r="F24">
        <v>8</v>
      </c>
      <c r="G24">
        <v>34</v>
      </c>
      <c r="H24">
        <v>18</v>
      </c>
      <c r="I24">
        <v>370</v>
      </c>
      <c r="J24">
        <v>0</v>
      </c>
      <c r="K24">
        <v>93</v>
      </c>
      <c r="L24">
        <v>20</v>
      </c>
      <c r="M24">
        <v>0</v>
      </c>
      <c r="N24">
        <v>0</v>
      </c>
      <c r="O24">
        <v>0</v>
      </c>
    </row>
    <row r="25" spans="1:15" x14ac:dyDescent="0.45">
      <c r="A25" t="s">
        <v>55</v>
      </c>
      <c r="B25">
        <v>12</v>
      </c>
      <c r="C25">
        <v>2589</v>
      </c>
      <c r="D25">
        <v>1417</v>
      </c>
      <c r="E25">
        <v>0</v>
      </c>
      <c r="F25">
        <v>11</v>
      </c>
      <c r="G25">
        <v>94</v>
      </c>
      <c r="H25">
        <v>4</v>
      </c>
      <c r="I25">
        <v>322</v>
      </c>
      <c r="J25">
        <v>1</v>
      </c>
      <c r="K25">
        <v>74</v>
      </c>
      <c r="L25">
        <v>21</v>
      </c>
      <c r="M25">
        <v>0</v>
      </c>
      <c r="N25">
        <v>0</v>
      </c>
      <c r="O25">
        <v>0</v>
      </c>
    </row>
    <row r="26" spans="1:15" x14ac:dyDescent="0.45">
      <c r="A26" t="s">
        <v>76</v>
      </c>
      <c r="B26">
        <v>1</v>
      </c>
      <c r="C26">
        <v>795</v>
      </c>
      <c r="D26">
        <v>328</v>
      </c>
      <c r="E26">
        <v>0</v>
      </c>
      <c r="F26">
        <v>11</v>
      </c>
      <c r="G26">
        <v>16</v>
      </c>
      <c r="H26">
        <v>1</v>
      </c>
      <c r="I26">
        <v>62</v>
      </c>
      <c r="J26">
        <v>45</v>
      </c>
      <c r="K26">
        <v>11</v>
      </c>
      <c r="L26">
        <v>41</v>
      </c>
      <c r="M26">
        <v>0</v>
      </c>
      <c r="N26">
        <v>0</v>
      </c>
      <c r="O26">
        <v>0</v>
      </c>
    </row>
    <row r="27" spans="1:15" x14ac:dyDescent="0.45">
      <c r="A27" t="s">
        <v>76</v>
      </c>
      <c r="B27">
        <v>2</v>
      </c>
      <c r="C27">
        <v>744</v>
      </c>
      <c r="D27">
        <v>384</v>
      </c>
      <c r="E27">
        <v>0</v>
      </c>
      <c r="F27">
        <v>12</v>
      </c>
      <c r="G27">
        <v>10</v>
      </c>
      <c r="H27">
        <v>2</v>
      </c>
      <c r="I27">
        <v>60</v>
      </c>
      <c r="J27">
        <v>43</v>
      </c>
      <c r="K27">
        <v>4</v>
      </c>
      <c r="L27">
        <v>51</v>
      </c>
      <c r="M27">
        <v>0</v>
      </c>
      <c r="N27">
        <v>0</v>
      </c>
      <c r="O27">
        <v>0</v>
      </c>
    </row>
    <row r="28" spans="1:15" x14ac:dyDescent="0.45">
      <c r="A28" t="s">
        <v>76</v>
      </c>
      <c r="B28">
        <v>3</v>
      </c>
      <c r="C28">
        <v>1456</v>
      </c>
      <c r="D28">
        <v>430</v>
      </c>
      <c r="E28">
        <v>0</v>
      </c>
      <c r="F28">
        <v>0</v>
      </c>
      <c r="G28">
        <v>68</v>
      </c>
      <c r="H28">
        <v>36</v>
      </c>
      <c r="I28">
        <v>148</v>
      </c>
      <c r="J28">
        <v>73</v>
      </c>
      <c r="K28">
        <v>12</v>
      </c>
      <c r="L28">
        <v>51</v>
      </c>
      <c r="M28">
        <v>0</v>
      </c>
      <c r="N28">
        <v>0</v>
      </c>
      <c r="O28">
        <v>0</v>
      </c>
    </row>
    <row r="29" spans="1:15" x14ac:dyDescent="0.45">
      <c r="A29" t="s">
        <v>76</v>
      </c>
      <c r="B29">
        <v>4</v>
      </c>
      <c r="C29">
        <v>2721</v>
      </c>
      <c r="D29">
        <v>480</v>
      </c>
      <c r="E29">
        <v>1</v>
      </c>
      <c r="F29">
        <v>0</v>
      </c>
      <c r="G29">
        <v>73</v>
      </c>
      <c r="H29">
        <v>99</v>
      </c>
      <c r="I29">
        <v>186</v>
      </c>
      <c r="J29">
        <v>85</v>
      </c>
      <c r="K29">
        <v>14</v>
      </c>
      <c r="L29">
        <v>61</v>
      </c>
      <c r="M29">
        <v>0</v>
      </c>
      <c r="N29">
        <v>1</v>
      </c>
      <c r="O29">
        <v>1</v>
      </c>
    </row>
    <row r="30" spans="1:15" x14ac:dyDescent="0.45">
      <c r="A30" t="s">
        <v>76</v>
      </c>
      <c r="B30">
        <v>5</v>
      </c>
      <c r="C30">
        <v>1654</v>
      </c>
      <c r="D30">
        <v>416</v>
      </c>
      <c r="E30">
        <v>0</v>
      </c>
      <c r="F30">
        <v>0</v>
      </c>
      <c r="G30">
        <v>48</v>
      </c>
      <c r="H30">
        <v>29</v>
      </c>
      <c r="I30">
        <v>116</v>
      </c>
      <c r="J30">
        <v>52</v>
      </c>
      <c r="K30">
        <v>4</v>
      </c>
      <c r="L30">
        <v>31</v>
      </c>
      <c r="M30">
        <v>0</v>
      </c>
      <c r="N30">
        <v>5</v>
      </c>
      <c r="O30">
        <v>0</v>
      </c>
    </row>
    <row r="31" spans="1:15" x14ac:dyDescent="0.45">
      <c r="A31" t="s">
        <v>76</v>
      </c>
      <c r="B31">
        <v>6</v>
      </c>
      <c r="C31">
        <v>1651</v>
      </c>
      <c r="D31">
        <v>526</v>
      </c>
      <c r="E31">
        <v>0</v>
      </c>
      <c r="F31">
        <v>0</v>
      </c>
      <c r="G31">
        <v>48</v>
      </c>
      <c r="H31">
        <v>17</v>
      </c>
      <c r="I31">
        <v>130</v>
      </c>
      <c r="J31">
        <v>84</v>
      </c>
      <c r="K31">
        <v>13</v>
      </c>
      <c r="L31">
        <v>57</v>
      </c>
      <c r="M31">
        <v>0</v>
      </c>
      <c r="N31">
        <v>7</v>
      </c>
      <c r="O31">
        <v>0</v>
      </c>
    </row>
    <row r="32" spans="1:15" x14ac:dyDescent="0.45">
      <c r="A32" t="s">
        <v>76</v>
      </c>
      <c r="B32">
        <v>7</v>
      </c>
      <c r="C32">
        <v>1180</v>
      </c>
      <c r="D32">
        <v>451</v>
      </c>
      <c r="E32">
        <v>0</v>
      </c>
      <c r="F32">
        <v>0</v>
      </c>
      <c r="G32">
        <v>27</v>
      </c>
      <c r="H32">
        <v>11</v>
      </c>
      <c r="I32">
        <v>104</v>
      </c>
      <c r="J32">
        <v>73</v>
      </c>
      <c r="K32">
        <v>25</v>
      </c>
      <c r="L32">
        <v>54</v>
      </c>
      <c r="M32">
        <v>0</v>
      </c>
      <c r="N32">
        <v>0</v>
      </c>
      <c r="O32">
        <v>0</v>
      </c>
    </row>
    <row r="33" spans="1:15" x14ac:dyDescent="0.45">
      <c r="A33" t="s">
        <v>76</v>
      </c>
      <c r="B33">
        <v>8</v>
      </c>
      <c r="C33">
        <v>1027</v>
      </c>
      <c r="D33">
        <v>375</v>
      </c>
      <c r="E33">
        <v>0</v>
      </c>
      <c r="F33">
        <v>0</v>
      </c>
      <c r="G33">
        <v>15</v>
      </c>
      <c r="H33">
        <v>6</v>
      </c>
      <c r="I33">
        <v>114</v>
      </c>
      <c r="J33">
        <v>77</v>
      </c>
      <c r="K33">
        <v>26</v>
      </c>
      <c r="L33">
        <v>34</v>
      </c>
      <c r="M33">
        <v>0</v>
      </c>
      <c r="N33">
        <v>0</v>
      </c>
      <c r="O33">
        <v>0</v>
      </c>
    </row>
    <row r="34" spans="1:15" x14ac:dyDescent="0.45">
      <c r="A34" t="s">
        <v>76</v>
      </c>
      <c r="B34">
        <v>9</v>
      </c>
      <c r="C34">
        <v>938</v>
      </c>
      <c r="D34">
        <v>352</v>
      </c>
      <c r="E34">
        <v>0</v>
      </c>
      <c r="F34">
        <v>0</v>
      </c>
      <c r="G34">
        <v>9</v>
      </c>
      <c r="H34">
        <v>3</v>
      </c>
      <c r="I34">
        <v>137</v>
      </c>
      <c r="J34">
        <v>106</v>
      </c>
      <c r="K34">
        <v>37</v>
      </c>
      <c r="L34">
        <v>38</v>
      </c>
      <c r="M34">
        <v>0</v>
      </c>
      <c r="N34">
        <v>0</v>
      </c>
      <c r="O34">
        <v>0</v>
      </c>
    </row>
    <row r="35" spans="1:15" x14ac:dyDescent="0.45">
      <c r="A35" t="s">
        <v>76</v>
      </c>
      <c r="B35">
        <v>10</v>
      </c>
      <c r="C35">
        <v>1479</v>
      </c>
      <c r="D35">
        <v>483</v>
      </c>
      <c r="E35">
        <v>0</v>
      </c>
      <c r="F35">
        <v>4</v>
      </c>
      <c r="G35">
        <v>9</v>
      </c>
      <c r="H35">
        <v>6</v>
      </c>
      <c r="I35">
        <v>169</v>
      </c>
      <c r="J35">
        <v>130</v>
      </c>
      <c r="K35">
        <v>50</v>
      </c>
      <c r="L35">
        <v>51</v>
      </c>
      <c r="M35">
        <v>0</v>
      </c>
      <c r="N35">
        <v>0</v>
      </c>
      <c r="O35">
        <v>0</v>
      </c>
    </row>
    <row r="36" spans="1:15" x14ac:dyDescent="0.45">
      <c r="A36" t="s">
        <v>76</v>
      </c>
      <c r="B36">
        <v>11</v>
      </c>
      <c r="C36">
        <v>1333</v>
      </c>
      <c r="D36">
        <v>433</v>
      </c>
      <c r="E36">
        <v>0</v>
      </c>
      <c r="F36">
        <v>8</v>
      </c>
      <c r="G36">
        <v>10</v>
      </c>
      <c r="H36">
        <v>2</v>
      </c>
      <c r="I36">
        <v>155</v>
      </c>
      <c r="J36">
        <v>102</v>
      </c>
      <c r="K36">
        <v>38</v>
      </c>
      <c r="L36">
        <v>73</v>
      </c>
      <c r="M36">
        <v>0</v>
      </c>
      <c r="N36">
        <v>0</v>
      </c>
      <c r="O36">
        <v>0</v>
      </c>
    </row>
    <row r="37" spans="1:15" x14ac:dyDescent="0.45">
      <c r="A37" t="s">
        <v>76</v>
      </c>
      <c r="B37">
        <v>12</v>
      </c>
      <c r="C37">
        <v>1341</v>
      </c>
      <c r="D37">
        <v>455</v>
      </c>
      <c r="E37">
        <v>0</v>
      </c>
      <c r="F37">
        <v>11</v>
      </c>
      <c r="G37">
        <v>44</v>
      </c>
      <c r="H37">
        <v>0</v>
      </c>
      <c r="I37">
        <v>134</v>
      </c>
      <c r="J37">
        <v>69</v>
      </c>
      <c r="K37">
        <v>12</v>
      </c>
      <c r="L37">
        <v>77</v>
      </c>
      <c r="M37">
        <v>0</v>
      </c>
      <c r="N37">
        <v>0</v>
      </c>
      <c r="O37">
        <v>0</v>
      </c>
    </row>
    <row r="38" spans="1:15" x14ac:dyDescent="0.45">
      <c r="A38" t="s">
        <v>80</v>
      </c>
      <c r="B38">
        <v>1</v>
      </c>
      <c r="C38">
        <v>963</v>
      </c>
      <c r="D38">
        <v>250</v>
      </c>
      <c r="E38">
        <v>0</v>
      </c>
      <c r="F38">
        <v>16</v>
      </c>
      <c r="G38">
        <v>8</v>
      </c>
      <c r="H38">
        <v>2</v>
      </c>
      <c r="I38">
        <v>265</v>
      </c>
      <c r="J38">
        <v>46</v>
      </c>
      <c r="K38">
        <v>35</v>
      </c>
      <c r="L38">
        <v>64</v>
      </c>
      <c r="M38">
        <v>0</v>
      </c>
      <c r="N38">
        <v>0</v>
      </c>
      <c r="O38">
        <v>0</v>
      </c>
    </row>
    <row r="39" spans="1:15" x14ac:dyDescent="0.45">
      <c r="A39" t="s">
        <v>80</v>
      </c>
      <c r="B39">
        <v>2</v>
      </c>
      <c r="C39">
        <v>610</v>
      </c>
      <c r="D39">
        <v>217</v>
      </c>
      <c r="E39">
        <v>0</v>
      </c>
      <c r="F39">
        <v>4</v>
      </c>
      <c r="G39">
        <v>9</v>
      </c>
      <c r="H39">
        <v>2</v>
      </c>
      <c r="I39">
        <v>177</v>
      </c>
      <c r="J39">
        <v>22</v>
      </c>
      <c r="K39">
        <v>32</v>
      </c>
      <c r="L39">
        <v>17</v>
      </c>
      <c r="M39">
        <v>0</v>
      </c>
      <c r="N39">
        <v>0</v>
      </c>
      <c r="O39">
        <v>0</v>
      </c>
    </row>
    <row r="40" spans="1:15" x14ac:dyDescent="0.45">
      <c r="A40" t="s">
        <v>80</v>
      </c>
      <c r="B40">
        <v>3</v>
      </c>
      <c r="C40">
        <v>1322</v>
      </c>
      <c r="D40">
        <v>313</v>
      </c>
      <c r="E40">
        <v>7</v>
      </c>
      <c r="F40">
        <v>0</v>
      </c>
      <c r="G40">
        <v>38</v>
      </c>
      <c r="H40">
        <v>23</v>
      </c>
      <c r="I40">
        <v>384</v>
      </c>
      <c r="J40">
        <v>32</v>
      </c>
      <c r="K40">
        <v>20</v>
      </c>
      <c r="L40">
        <v>60</v>
      </c>
      <c r="M40">
        <v>0</v>
      </c>
      <c r="N40">
        <v>0</v>
      </c>
      <c r="O40">
        <v>0</v>
      </c>
    </row>
    <row r="41" spans="1:15" x14ac:dyDescent="0.45">
      <c r="A41" t="s">
        <v>80</v>
      </c>
      <c r="B41">
        <v>4</v>
      </c>
      <c r="C41">
        <v>2079</v>
      </c>
      <c r="D41">
        <v>358</v>
      </c>
      <c r="E41">
        <v>0</v>
      </c>
      <c r="F41">
        <v>0</v>
      </c>
      <c r="G41">
        <v>33</v>
      </c>
      <c r="H41">
        <v>56</v>
      </c>
      <c r="I41">
        <v>560</v>
      </c>
      <c r="J41">
        <v>26</v>
      </c>
      <c r="K41">
        <v>12</v>
      </c>
      <c r="L41">
        <v>42</v>
      </c>
      <c r="M41">
        <v>0</v>
      </c>
      <c r="N41">
        <v>0</v>
      </c>
      <c r="O41">
        <v>1</v>
      </c>
    </row>
    <row r="42" spans="1:15" x14ac:dyDescent="0.45">
      <c r="A42" t="s">
        <v>80</v>
      </c>
      <c r="B42">
        <v>5</v>
      </c>
      <c r="C42">
        <v>1421</v>
      </c>
      <c r="D42">
        <v>340</v>
      </c>
      <c r="E42">
        <v>0</v>
      </c>
      <c r="F42">
        <v>0</v>
      </c>
      <c r="G42">
        <v>26</v>
      </c>
      <c r="H42">
        <v>54</v>
      </c>
      <c r="I42">
        <v>390</v>
      </c>
      <c r="J42">
        <v>25</v>
      </c>
      <c r="K42">
        <v>13</v>
      </c>
      <c r="L42">
        <v>26</v>
      </c>
      <c r="M42">
        <v>0</v>
      </c>
      <c r="N42">
        <v>0</v>
      </c>
      <c r="O42">
        <v>0</v>
      </c>
    </row>
    <row r="43" spans="1:15" x14ac:dyDescent="0.45">
      <c r="A43" t="s">
        <v>80</v>
      </c>
      <c r="B43">
        <v>6</v>
      </c>
      <c r="C43">
        <v>1244</v>
      </c>
      <c r="D43">
        <v>395</v>
      </c>
      <c r="E43">
        <v>0</v>
      </c>
      <c r="F43">
        <v>0</v>
      </c>
      <c r="G43">
        <v>17</v>
      </c>
      <c r="H43">
        <v>17</v>
      </c>
      <c r="I43">
        <v>361</v>
      </c>
      <c r="J43">
        <v>32</v>
      </c>
      <c r="K43">
        <v>7</v>
      </c>
      <c r="L43">
        <v>58</v>
      </c>
      <c r="M43">
        <v>0</v>
      </c>
      <c r="N43">
        <v>0</v>
      </c>
      <c r="O43">
        <v>0</v>
      </c>
    </row>
    <row r="44" spans="1:15" x14ac:dyDescent="0.45">
      <c r="A44" t="s">
        <v>80</v>
      </c>
      <c r="B44">
        <v>7</v>
      </c>
      <c r="C44">
        <v>1446</v>
      </c>
      <c r="D44">
        <v>351</v>
      </c>
      <c r="E44">
        <v>0</v>
      </c>
      <c r="F44">
        <v>0</v>
      </c>
      <c r="G44">
        <v>12</v>
      </c>
      <c r="H44">
        <v>5</v>
      </c>
      <c r="I44">
        <v>408</v>
      </c>
      <c r="J44">
        <v>63</v>
      </c>
      <c r="K44">
        <v>27</v>
      </c>
      <c r="L44">
        <v>37</v>
      </c>
      <c r="M44">
        <v>0</v>
      </c>
      <c r="N44">
        <v>0</v>
      </c>
      <c r="O44">
        <v>0</v>
      </c>
    </row>
    <row r="45" spans="1:15" x14ac:dyDescent="0.45">
      <c r="A45" t="s">
        <v>80</v>
      </c>
      <c r="B45">
        <v>8</v>
      </c>
      <c r="C45">
        <v>742</v>
      </c>
      <c r="D45">
        <v>223</v>
      </c>
      <c r="E45">
        <v>0</v>
      </c>
      <c r="F45">
        <v>0</v>
      </c>
      <c r="G45">
        <v>2</v>
      </c>
      <c r="H45">
        <v>1</v>
      </c>
      <c r="I45">
        <v>238</v>
      </c>
      <c r="J45">
        <v>27</v>
      </c>
      <c r="K45">
        <v>18</v>
      </c>
      <c r="L45">
        <v>66</v>
      </c>
      <c r="M45">
        <v>0</v>
      </c>
      <c r="N45">
        <v>0</v>
      </c>
      <c r="O45">
        <v>0</v>
      </c>
    </row>
    <row r="46" spans="1:15" x14ac:dyDescent="0.45">
      <c r="A46" t="s">
        <v>80</v>
      </c>
      <c r="B46">
        <v>9</v>
      </c>
      <c r="C46">
        <v>1162</v>
      </c>
      <c r="D46">
        <v>299</v>
      </c>
      <c r="E46">
        <v>0</v>
      </c>
      <c r="F46">
        <v>0</v>
      </c>
      <c r="G46">
        <v>3</v>
      </c>
      <c r="H46">
        <v>1</v>
      </c>
      <c r="I46">
        <v>303</v>
      </c>
      <c r="J46">
        <v>49</v>
      </c>
      <c r="K46">
        <v>38</v>
      </c>
      <c r="L46">
        <v>77</v>
      </c>
      <c r="M46">
        <v>0</v>
      </c>
      <c r="N46">
        <v>2</v>
      </c>
      <c r="O46">
        <v>0</v>
      </c>
    </row>
    <row r="47" spans="1:15" x14ac:dyDescent="0.45">
      <c r="A47" t="s">
        <v>80</v>
      </c>
      <c r="B47">
        <v>10</v>
      </c>
      <c r="C47">
        <v>1296</v>
      </c>
      <c r="D47">
        <v>379</v>
      </c>
      <c r="E47">
        <v>0</v>
      </c>
      <c r="F47">
        <v>0</v>
      </c>
      <c r="G47">
        <v>3</v>
      </c>
      <c r="H47">
        <v>0</v>
      </c>
      <c r="I47">
        <v>385</v>
      </c>
      <c r="J47">
        <v>38</v>
      </c>
      <c r="K47">
        <v>46</v>
      </c>
      <c r="L47">
        <v>119</v>
      </c>
      <c r="M47">
        <v>0</v>
      </c>
      <c r="N47">
        <v>0</v>
      </c>
      <c r="O47">
        <v>0</v>
      </c>
    </row>
    <row r="48" spans="1:15" x14ac:dyDescent="0.45">
      <c r="A48" t="s">
        <v>80</v>
      </c>
      <c r="B48">
        <v>11</v>
      </c>
      <c r="C48">
        <v>1181</v>
      </c>
      <c r="D48">
        <v>340</v>
      </c>
      <c r="E48">
        <v>0</v>
      </c>
      <c r="F48">
        <v>2</v>
      </c>
      <c r="G48">
        <v>7</v>
      </c>
      <c r="H48">
        <v>7</v>
      </c>
      <c r="I48">
        <v>333</v>
      </c>
      <c r="J48">
        <v>35</v>
      </c>
      <c r="K48">
        <v>28</v>
      </c>
      <c r="L48">
        <v>103</v>
      </c>
      <c r="M48">
        <v>0</v>
      </c>
      <c r="N48">
        <v>0</v>
      </c>
      <c r="O48">
        <v>0</v>
      </c>
    </row>
    <row r="49" spans="1:15" x14ac:dyDescent="0.45">
      <c r="A49" t="s">
        <v>80</v>
      </c>
      <c r="B49">
        <v>12</v>
      </c>
      <c r="C49">
        <v>971</v>
      </c>
      <c r="D49">
        <v>292</v>
      </c>
      <c r="E49">
        <v>0</v>
      </c>
      <c r="F49">
        <v>7</v>
      </c>
      <c r="G49">
        <v>6</v>
      </c>
      <c r="H49">
        <v>0</v>
      </c>
      <c r="I49">
        <v>317</v>
      </c>
      <c r="J49">
        <v>21</v>
      </c>
      <c r="K49">
        <v>15</v>
      </c>
      <c r="L49">
        <v>62</v>
      </c>
      <c r="M49">
        <v>0</v>
      </c>
      <c r="N49">
        <v>0</v>
      </c>
      <c r="O49">
        <v>0</v>
      </c>
    </row>
    <row r="50" spans="1:15" x14ac:dyDescent="0.45">
      <c r="A50" t="s">
        <v>57</v>
      </c>
      <c r="B50">
        <v>1</v>
      </c>
      <c r="C50">
        <v>1125</v>
      </c>
      <c r="D50">
        <v>886</v>
      </c>
      <c r="E50">
        <v>0</v>
      </c>
      <c r="F50">
        <v>12</v>
      </c>
      <c r="G50">
        <v>10</v>
      </c>
      <c r="H50">
        <v>0</v>
      </c>
      <c r="I50">
        <v>98</v>
      </c>
      <c r="J50">
        <v>0</v>
      </c>
      <c r="K50">
        <v>0</v>
      </c>
      <c r="L50">
        <v>27</v>
      </c>
      <c r="M50">
        <v>0</v>
      </c>
      <c r="N50">
        <v>0</v>
      </c>
      <c r="O50">
        <v>1</v>
      </c>
    </row>
    <row r="51" spans="1:15" x14ac:dyDescent="0.45">
      <c r="A51" t="s">
        <v>57</v>
      </c>
      <c r="B51">
        <v>2</v>
      </c>
      <c r="C51">
        <v>885</v>
      </c>
      <c r="D51">
        <v>824</v>
      </c>
      <c r="E51">
        <v>0</v>
      </c>
      <c r="F51">
        <v>13</v>
      </c>
      <c r="G51">
        <v>7</v>
      </c>
      <c r="H51">
        <v>0</v>
      </c>
      <c r="I51">
        <v>103</v>
      </c>
      <c r="J51">
        <v>3</v>
      </c>
      <c r="K51">
        <v>0</v>
      </c>
      <c r="L51">
        <v>12</v>
      </c>
      <c r="M51">
        <v>0</v>
      </c>
      <c r="N51">
        <v>0</v>
      </c>
      <c r="O51">
        <v>0</v>
      </c>
    </row>
    <row r="52" spans="1:15" x14ac:dyDescent="0.45">
      <c r="A52" t="s">
        <v>57</v>
      </c>
      <c r="B52">
        <v>3</v>
      </c>
      <c r="C52">
        <v>1697</v>
      </c>
      <c r="D52">
        <v>939</v>
      </c>
      <c r="E52">
        <v>4</v>
      </c>
      <c r="F52">
        <v>2</v>
      </c>
      <c r="G52">
        <v>23</v>
      </c>
      <c r="H52">
        <v>7</v>
      </c>
      <c r="I52">
        <v>232</v>
      </c>
      <c r="J52">
        <v>4</v>
      </c>
      <c r="K52">
        <v>1</v>
      </c>
      <c r="L52">
        <v>25</v>
      </c>
      <c r="M52">
        <v>0</v>
      </c>
      <c r="N52">
        <v>0</v>
      </c>
      <c r="O52">
        <v>0</v>
      </c>
    </row>
    <row r="53" spans="1:15" x14ac:dyDescent="0.45">
      <c r="A53" t="s">
        <v>57</v>
      </c>
      <c r="B53">
        <v>4</v>
      </c>
      <c r="C53">
        <v>2761</v>
      </c>
      <c r="D53">
        <v>906</v>
      </c>
      <c r="E53">
        <v>0</v>
      </c>
      <c r="F53">
        <v>0</v>
      </c>
      <c r="G53">
        <v>40</v>
      </c>
      <c r="H53">
        <v>60</v>
      </c>
      <c r="I53">
        <v>261</v>
      </c>
      <c r="J53">
        <v>0</v>
      </c>
      <c r="K53">
        <v>0</v>
      </c>
      <c r="L53">
        <v>34</v>
      </c>
      <c r="M53">
        <v>0</v>
      </c>
      <c r="N53">
        <v>0</v>
      </c>
      <c r="O53">
        <v>3</v>
      </c>
    </row>
    <row r="54" spans="1:15" x14ac:dyDescent="0.45">
      <c r="A54" t="s">
        <v>57</v>
      </c>
      <c r="B54">
        <v>5</v>
      </c>
      <c r="C54">
        <v>1929</v>
      </c>
      <c r="D54">
        <v>776</v>
      </c>
      <c r="E54">
        <v>0</v>
      </c>
      <c r="F54">
        <v>0</v>
      </c>
      <c r="G54">
        <v>27</v>
      </c>
      <c r="H54">
        <v>11</v>
      </c>
      <c r="I54">
        <v>254</v>
      </c>
      <c r="J54">
        <v>2</v>
      </c>
      <c r="K54">
        <v>0</v>
      </c>
      <c r="L54">
        <v>33</v>
      </c>
      <c r="M54">
        <v>0</v>
      </c>
      <c r="N54">
        <v>0</v>
      </c>
      <c r="O54">
        <v>0</v>
      </c>
    </row>
    <row r="55" spans="1:15" x14ac:dyDescent="0.45">
      <c r="A55" t="s">
        <v>57</v>
      </c>
      <c r="B55">
        <v>6</v>
      </c>
      <c r="C55">
        <v>1660</v>
      </c>
      <c r="D55">
        <v>930</v>
      </c>
      <c r="E55">
        <v>0</v>
      </c>
      <c r="F55">
        <v>0</v>
      </c>
      <c r="G55">
        <v>19</v>
      </c>
      <c r="H55">
        <v>4</v>
      </c>
      <c r="I55">
        <v>268</v>
      </c>
      <c r="J55">
        <v>0</v>
      </c>
      <c r="K55">
        <v>0</v>
      </c>
      <c r="L55">
        <v>30</v>
      </c>
      <c r="M55">
        <v>0</v>
      </c>
      <c r="N55">
        <v>0</v>
      </c>
      <c r="O55">
        <v>0</v>
      </c>
    </row>
    <row r="56" spans="1:15" x14ac:dyDescent="0.45">
      <c r="A56" t="s">
        <v>57</v>
      </c>
      <c r="B56">
        <v>7</v>
      </c>
      <c r="C56">
        <v>1291</v>
      </c>
      <c r="D56">
        <v>803</v>
      </c>
      <c r="E56">
        <v>0</v>
      </c>
      <c r="F56">
        <v>0</v>
      </c>
      <c r="G56">
        <v>2</v>
      </c>
      <c r="H56">
        <v>1</v>
      </c>
      <c r="I56">
        <v>217</v>
      </c>
      <c r="J56">
        <v>10</v>
      </c>
      <c r="K56">
        <v>0</v>
      </c>
      <c r="L56">
        <v>11</v>
      </c>
      <c r="M56">
        <v>0</v>
      </c>
      <c r="N56">
        <v>0</v>
      </c>
      <c r="O56">
        <v>0</v>
      </c>
    </row>
    <row r="57" spans="1:15" x14ac:dyDescent="0.45">
      <c r="A57" t="s">
        <v>57</v>
      </c>
      <c r="B57">
        <v>8</v>
      </c>
      <c r="C57">
        <v>1082</v>
      </c>
      <c r="D57">
        <v>783</v>
      </c>
      <c r="E57">
        <v>0</v>
      </c>
      <c r="F57">
        <v>0</v>
      </c>
      <c r="G57">
        <v>1</v>
      </c>
      <c r="H57">
        <v>0</v>
      </c>
      <c r="I57">
        <v>265</v>
      </c>
      <c r="J57">
        <v>7</v>
      </c>
      <c r="K57">
        <v>0</v>
      </c>
      <c r="L57">
        <v>23</v>
      </c>
      <c r="M57">
        <v>0</v>
      </c>
      <c r="N57">
        <v>0</v>
      </c>
      <c r="O57">
        <v>0</v>
      </c>
    </row>
    <row r="58" spans="1:15" x14ac:dyDescent="0.45">
      <c r="A58" t="s">
        <v>57</v>
      </c>
      <c r="B58">
        <v>9</v>
      </c>
      <c r="C58">
        <v>988</v>
      </c>
      <c r="D58">
        <v>944</v>
      </c>
      <c r="E58">
        <v>0</v>
      </c>
      <c r="F58">
        <v>0</v>
      </c>
      <c r="G58">
        <v>2</v>
      </c>
      <c r="H58">
        <v>1</v>
      </c>
      <c r="I58">
        <v>208</v>
      </c>
      <c r="J58">
        <v>3</v>
      </c>
      <c r="K58">
        <v>14</v>
      </c>
      <c r="L58">
        <v>29</v>
      </c>
      <c r="M58">
        <v>0</v>
      </c>
      <c r="N58">
        <v>0</v>
      </c>
      <c r="O58">
        <v>0</v>
      </c>
    </row>
    <row r="59" spans="1:15" x14ac:dyDescent="0.45">
      <c r="A59" t="s">
        <v>57</v>
      </c>
      <c r="B59">
        <v>10</v>
      </c>
      <c r="C59">
        <v>1566</v>
      </c>
      <c r="D59">
        <v>1078</v>
      </c>
      <c r="E59">
        <v>0</v>
      </c>
      <c r="F59">
        <v>0</v>
      </c>
      <c r="G59">
        <v>2</v>
      </c>
      <c r="H59">
        <v>2</v>
      </c>
      <c r="I59">
        <v>251</v>
      </c>
      <c r="J59">
        <v>16</v>
      </c>
      <c r="K59">
        <v>4</v>
      </c>
      <c r="L59">
        <v>24</v>
      </c>
      <c r="M59">
        <v>0</v>
      </c>
      <c r="N59">
        <v>0</v>
      </c>
      <c r="O59">
        <v>0</v>
      </c>
    </row>
    <row r="60" spans="1:15" x14ac:dyDescent="0.45">
      <c r="A60" t="s">
        <v>57</v>
      </c>
      <c r="B60">
        <v>11</v>
      </c>
      <c r="C60">
        <v>1310</v>
      </c>
      <c r="D60">
        <v>988</v>
      </c>
      <c r="E60">
        <v>0</v>
      </c>
      <c r="F60">
        <v>4</v>
      </c>
      <c r="G60">
        <v>1</v>
      </c>
      <c r="H60">
        <v>0</v>
      </c>
      <c r="I60">
        <v>199</v>
      </c>
      <c r="J60">
        <v>5</v>
      </c>
      <c r="K60">
        <v>1</v>
      </c>
      <c r="L60">
        <v>21</v>
      </c>
      <c r="M60">
        <v>0</v>
      </c>
      <c r="N60">
        <v>0</v>
      </c>
      <c r="O60">
        <v>0</v>
      </c>
    </row>
    <row r="61" spans="1:15" x14ac:dyDescent="0.45">
      <c r="A61" t="s">
        <v>57</v>
      </c>
      <c r="B61">
        <v>12</v>
      </c>
      <c r="C61">
        <v>1479</v>
      </c>
      <c r="D61">
        <v>1016</v>
      </c>
      <c r="E61">
        <v>0</v>
      </c>
      <c r="F61">
        <v>8</v>
      </c>
      <c r="G61">
        <v>3</v>
      </c>
      <c r="H61">
        <v>2</v>
      </c>
      <c r="I61">
        <v>252</v>
      </c>
      <c r="J61">
        <v>1</v>
      </c>
      <c r="K61">
        <v>3</v>
      </c>
      <c r="L61">
        <v>23</v>
      </c>
      <c r="M61">
        <v>0</v>
      </c>
      <c r="N61">
        <v>0</v>
      </c>
      <c r="O61">
        <v>1</v>
      </c>
    </row>
    <row r="62" spans="1:15" x14ac:dyDescent="0.45">
      <c r="A62" t="s">
        <v>54</v>
      </c>
      <c r="B62">
        <v>1</v>
      </c>
      <c r="C62">
        <v>807</v>
      </c>
      <c r="D62">
        <v>243</v>
      </c>
      <c r="E62">
        <v>0</v>
      </c>
      <c r="F62">
        <v>3</v>
      </c>
      <c r="G62">
        <v>12</v>
      </c>
      <c r="H62">
        <v>0</v>
      </c>
      <c r="I62">
        <v>46</v>
      </c>
      <c r="J62">
        <v>1</v>
      </c>
      <c r="K62">
        <v>0</v>
      </c>
      <c r="L62">
        <v>7</v>
      </c>
      <c r="M62">
        <v>0</v>
      </c>
      <c r="N62">
        <v>0</v>
      </c>
      <c r="O62">
        <v>0</v>
      </c>
    </row>
    <row r="63" spans="1:15" x14ac:dyDescent="0.45">
      <c r="A63" t="s">
        <v>54</v>
      </c>
      <c r="B63">
        <v>2</v>
      </c>
      <c r="C63">
        <v>846</v>
      </c>
      <c r="D63">
        <v>269</v>
      </c>
      <c r="E63">
        <v>0</v>
      </c>
      <c r="F63">
        <v>2</v>
      </c>
      <c r="G63">
        <v>9</v>
      </c>
      <c r="H63">
        <v>0</v>
      </c>
      <c r="I63">
        <v>57</v>
      </c>
      <c r="J63">
        <v>0</v>
      </c>
      <c r="K63">
        <v>2</v>
      </c>
      <c r="L63">
        <v>11</v>
      </c>
      <c r="M63">
        <v>0</v>
      </c>
      <c r="N63">
        <v>0</v>
      </c>
      <c r="O63">
        <v>0</v>
      </c>
    </row>
    <row r="64" spans="1:15" x14ac:dyDescent="0.45">
      <c r="A64" t="s">
        <v>54</v>
      </c>
      <c r="B64">
        <v>3</v>
      </c>
      <c r="C64">
        <v>1464</v>
      </c>
      <c r="D64">
        <v>367</v>
      </c>
      <c r="E64">
        <v>0</v>
      </c>
      <c r="F64">
        <v>0</v>
      </c>
      <c r="G64">
        <v>33</v>
      </c>
      <c r="H64">
        <v>2</v>
      </c>
      <c r="I64">
        <v>67</v>
      </c>
      <c r="J64">
        <v>0</v>
      </c>
      <c r="K64">
        <v>0</v>
      </c>
      <c r="L64">
        <v>21</v>
      </c>
      <c r="M64">
        <v>0</v>
      </c>
      <c r="N64">
        <v>0</v>
      </c>
      <c r="O64">
        <v>0</v>
      </c>
    </row>
    <row r="65" spans="1:15" x14ac:dyDescent="0.45">
      <c r="A65" t="s">
        <v>54</v>
      </c>
      <c r="B65">
        <v>4</v>
      </c>
      <c r="C65">
        <v>2659</v>
      </c>
      <c r="D65">
        <v>446</v>
      </c>
      <c r="E65">
        <v>0</v>
      </c>
      <c r="F65">
        <v>0</v>
      </c>
      <c r="G65">
        <v>47</v>
      </c>
      <c r="H65">
        <v>16</v>
      </c>
      <c r="I65">
        <v>122</v>
      </c>
      <c r="J65">
        <v>3</v>
      </c>
      <c r="K65">
        <v>0</v>
      </c>
      <c r="L65">
        <v>16</v>
      </c>
      <c r="M65">
        <v>0</v>
      </c>
      <c r="N65">
        <v>0</v>
      </c>
      <c r="O65">
        <v>0</v>
      </c>
    </row>
    <row r="66" spans="1:15" x14ac:dyDescent="0.45">
      <c r="A66" t="s">
        <v>54</v>
      </c>
      <c r="B66">
        <v>5</v>
      </c>
      <c r="C66">
        <v>1455</v>
      </c>
      <c r="D66">
        <v>305</v>
      </c>
      <c r="E66">
        <v>0</v>
      </c>
      <c r="F66">
        <v>0</v>
      </c>
      <c r="G66">
        <v>17</v>
      </c>
      <c r="H66">
        <v>4</v>
      </c>
      <c r="I66">
        <v>71</v>
      </c>
      <c r="J66">
        <v>0</v>
      </c>
      <c r="K66">
        <v>0</v>
      </c>
      <c r="L66">
        <v>10</v>
      </c>
      <c r="M66">
        <v>0</v>
      </c>
      <c r="N66">
        <v>0</v>
      </c>
      <c r="O66">
        <v>0</v>
      </c>
    </row>
    <row r="67" spans="1:15" x14ac:dyDescent="0.45">
      <c r="A67" t="s">
        <v>54</v>
      </c>
      <c r="B67">
        <v>6</v>
      </c>
      <c r="C67">
        <v>1421</v>
      </c>
      <c r="D67">
        <v>343</v>
      </c>
      <c r="E67">
        <v>0</v>
      </c>
      <c r="F67">
        <v>0</v>
      </c>
      <c r="G67">
        <v>6</v>
      </c>
      <c r="H67">
        <v>0</v>
      </c>
      <c r="I67">
        <v>65</v>
      </c>
      <c r="J67">
        <v>0</v>
      </c>
      <c r="K67">
        <v>0</v>
      </c>
      <c r="L67">
        <v>5</v>
      </c>
      <c r="M67">
        <v>0</v>
      </c>
      <c r="N67">
        <v>0</v>
      </c>
      <c r="O67">
        <v>0</v>
      </c>
    </row>
    <row r="68" spans="1:15" x14ac:dyDescent="0.45">
      <c r="A68" t="s">
        <v>54</v>
      </c>
      <c r="B68">
        <v>7</v>
      </c>
      <c r="C68">
        <v>1187</v>
      </c>
      <c r="D68">
        <v>381</v>
      </c>
      <c r="E68">
        <v>0</v>
      </c>
      <c r="F68">
        <v>0</v>
      </c>
      <c r="G68">
        <v>4</v>
      </c>
      <c r="H68">
        <v>1</v>
      </c>
      <c r="I68">
        <v>92</v>
      </c>
      <c r="J68">
        <v>2</v>
      </c>
      <c r="K68">
        <v>0</v>
      </c>
      <c r="L68">
        <v>11</v>
      </c>
      <c r="M68">
        <v>0</v>
      </c>
      <c r="N68">
        <v>0</v>
      </c>
      <c r="O68">
        <v>0</v>
      </c>
    </row>
    <row r="69" spans="1:15" x14ac:dyDescent="0.45">
      <c r="A69" t="s">
        <v>54</v>
      </c>
      <c r="B69">
        <v>8</v>
      </c>
      <c r="C69">
        <v>992</v>
      </c>
      <c r="D69">
        <v>284</v>
      </c>
      <c r="E69">
        <v>0</v>
      </c>
      <c r="F69">
        <v>0</v>
      </c>
      <c r="G69">
        <v>6</v>
      </c>
      <c r="H69">
        <v>0</v>
      </c>
      <c r="I69">
        <v>70</v>
      </c>
      <c r="J69">
        <v>2</v>
      </c>
      <c r="K69">
        <v>0</v>
      </c>
      <c r="L69">
        <v>10</v>
      </c>
      <c r="M69">
        <v>0</v>
      </c>
      <c r="N69">
        <v>0</v>
      </c>
      <c r="O69">
        <v>0</v>
      </c>
    </row>
    <row r="70" spans="1:15" x14ac:dyDescent="0.45">
      <c r="A70" t="s">
        <v>54</v>
      </c>
      <c r="B70">
        <v>9</v>
      </c>
      <c r="C70">
        <v>852</v>
      </c>
      <c r="D70">
        <v>349</v>
      </c>
      <c r="E70">
        <v>0</v>
      </c>
      <c r="F70">
        <v>0</v>
      </c>
      <c r="G70">
        <v>5</v>
      </c>
      <c r="H70">
        <v>0</v>
      </c>
      <c r="I70">
        <v>63</v>
      </c>
      <c r="J70">
        <v>0</v>
      </c>
      <c r="K70">
        <v>0</v>
      </c>
      <c r="L70">
        <v>14</v>
      </c>
      <c r="M70">
        <v>0</v>
      </c>
      <c r="N70">
        <v>0</v>
      </c>
      <c r="O70">
        <v>0</v>
      </c>
    </row>
    <row r="71" spans="1:15" x14ac:dyDescent="0.45">
      <c r="A71" t="s">
        <v>54</v>
      </c>
      <c r="B71">
        <v>10</v>
      </c>
      <c r="C71">
        <v>1404</v>
      </c>
      <c r="D71">
        <v>433</v>
      </c>
      <c r="E71">
        <v>0</v>
      </c>
      <c r="F71">
        <v>0</v>
      </c>
      <c r="G71">
        <v>12</v>
      </c>
      <c r="H71">
        <v>0</v>
      </c>
      <c r="I71">
        <v>84</v>
      </c>
      <c r="J71">
        <v>7</v>
      </c>
      <c r="K71">
        <v>3</v>
      </c>
      <c r="L71">
        <v>5</v>
      </c>
      <c r="M71">
        <v>0</v>
      </c>
      <c r="N71">
        <v>0</v>
      </c>
      <c r="O71">
        <v>0</v>
      </c>
    </row>
    <row r="72" spans="1:15" x14ac:dyDescent="0.45">
      <c r="A72" t="s">
        <v>54</v>
      </c>
      <c r="B72">
        <v>11</v>
      </c>
      <c r="C72">
        <v>1162</v>
      </c>
      <c r="D72">
        <v>382</v>
      </c>
      <c r="E72">
        <v>0</v>
      </c>
      <c r="F72">
        <v>1</v>
      </c>
      <c r="G72">
        <v>14</v>
      </c>
      <c r="H72">
        <v>0</v>
      </c>
      <c r="I72">
        <v>122</v>
      </c>
      <c r="J72">
        <v>0</v>
      </c>
      <c r="K72">
        <v>0</v>
      </c>
      <c r="L72">
        <v>6</v>
      </c>
      <c r="M72">
        <v>0</v>
      </c>
      <c r="N72">
        <v>0</v>
      </c>
      <c r="O72">
        <v>0</v>
      </c>
    </row>
    <row r="73" spans="1:15" x14ac:dyDescent="0.45">
      <c r="A73" t="s">
        <v>54</v>
      </c>
      <c r="B73">
        <v>12</v>
      </c>
      <c r="C73">
        <v>1216</v>
      </c>
      <c r="D73">
        <v>330</v>
      </c>
      <c r="E73">
        <v>0</v>
      </c>
      <c r="F73">
        <v>1</v>
      </c>
      <c r="G73">
        <v>8</v>
      </c>
      <c r="H73">
        <v>0</v>
      </c>
      <c r="I73">
        <v>73</v>
      </c>
      <c r="J73">
        <v>0</v>
      </c>
      <c r="K73">
        <v>0</v>
      </c>
      <c r="L73">
        <v>8</v>
      </c>
      <c r="M73">
        <v>0</v>
      </c>
      <c r="N73">
        <v>0</v>
      </c>
      <c r="O73">
        <v>0</v>
      </c>
    </row>
    <row r="74" spans="1:15" x14ac:dyDescent="0.45">
      <c r="A74" t="s">
        <v>37</v>
      </c>
      <c r="B74">
        <v>1</v>
      </c>
      <c r="C74">
        <v>681</v>
      </c>
      <c r="D74">
        <v>1005</v>
      </c>
      <c r="E74">
        <v>0</v>
      </c>
      <c r="F74">
        <v>3</v>
      </c>
      <c r="G74">
        <v>6</v>
      </c>
      <c r="H74">
        <v>2</v>
      </c>
      <c r="I74">
        <v>55</v>
      </c>
      <c r="J74">
        <v>16</v>
      </c>
      <c r="K74">
        <v>2</v>
      </c>
      <c r="L74">
        <v>31</v>
      </c>
      <c r="M74">
        <v>0</v>
      </c>
      <c r="N74">
        <v>0</v>
      </c>
      <c r="O74">
        <v>4</v>
      </c>
    </row>
    <row r="75" spans="1:15" x14ac:dyDescent="0.45">
      <c r="A75" t="s">
        <v>37</v>
      </c>
      <c r="B75">
        <v>2</v>
      </c>
      <c r="C75">
        <v>592</v>
      </c>
      <c r="D75">
        <v>904</v>
      </c>
      <c r="E75">
        <v>0</v>
      </c>
      <c r="F75">
        <v>1</v>
      </c>
      <c r="G75">
        <v>4</v>
      </c>
      <c r="H75">
        <v>0</v>
      </c>
      <c r="I75">
        <v>49</v>
      </c>
      <c r="J75">
        <v>18</v>
      </c>
      <c r="K75">
        <v>1</v>
      </c>
      <c r="L75">
        <v>20</v>
      </c>
      <c r="M75">
        <v>0</v>
      </c>
      <c r="N75">
        <v>0</v>
      </c>
      <c r="O75">
        <v>0</v>
      </c>
    </row>
    <row r="76" spans="1:15" x14ac:dyDescent="0.45">
      <c r="A76" t="s">
        <v>37</v>
      </c>
      <c r="B76">
        <v>3</v>
      </c>
      <c r="C76">
        <v>1150</v>
      </c>
      <c r="D76">
        <v>1154</v>
      </c>
      <c r="E76">
        <v>1</v>
      </c>
      <c r="F76">
        <v>1</v>
      </c>
      <c r="G76">
        <v>11</v>
      </c>
      <c r="H76">
        <v>1</v>
      </c>
      <c r="I76">
        <v>61</v>
      </c>
      <c r="J76">
        <v>12</v>
      </c>
      <c r="K76">
        <v>0</v>
      </c>
      <c r="L76">
        <v>27</v>
      </c>
      <c r="M76">
        <v>0</v>
      </c>
      <c r="N76">
        <v>0</v>
      </c>
      <c r="O76">
        <v>2</v>
      </c>
    </row>
    <row r="77" spans="1:15" x14ac:dyDescent="0.45">
      <c r="A77" t="s">
        <v>37</v>
      </c>
      <c r="B77">
        <v>4</v>
      </c>
      <c r="C77">
        <v>2210</v>
      </c>
      <c r="D77">
        <v>1120</v>
      </c>
      <c r="E77">
        <v>0</v>
      </c>
      <c r="F77">
        <v>1</v>
      </c>
      <c r="G77">
        <v>22</v>
      </c>
      <c r="H77">
        <v>18</v>
      </c>
      <c r="I77">
        <v>117</v>
      </c>
      <c r="J77">
        <v>19</v>
      </c>
      <c r="K77">
        <v>0</v>
      </c>
      <c r="L77">
        <v>28</v>
      </c>
      <c r="M77">
        <v>0</v>
      </c>
      <c r="N77">
        <v>0</v>
      </c>
      <c r="O77">
        <v>0</v>
      </c>
    </row>
    <row r="78" spans="1:15" x14ac:dyDescent="0.45">
      <c r="A78" t="s">
        <v>37</v>
      </c>
      <c r="B78">
        <v>5</v>
      </c>
      <c r="C78">
        <v>1443</v>
      </c>
      <c r="D78">
        <v>1015</v>
      </c>
      <c r="E78">
        <v>0</v>
      </c>
      <c r="F78">
        <v>0</v>
      </c>
      <c r="G78">
        <v>12</v>
      </c>
      <c r="H78">
        <v>3</v>
      </c>
      <c r="I78">
        <v>101</v>
      </c>
      <c r="J78">
        <v>14</v>
      </c>
      <c r="K78">
        <v>1</v>
      </c>
      <c r="L78">
        <v>28</v>
      </c>
      <c r="M78">
        <v>0</v>
      </c>
      <c r="N78">
        <v>0</v>
      </c>
      <c r="O78">
        <v>0</v>
      </c>
    </row>
    <row r="79" spans="1:15" x14ac:dyDescent="0.45">
      <c r="A79" t="s">
        <v>37</v>
      </c>
      <c r="B79">
        <v>6</v>
      </c>
      <c r="C79">
        <v>1259</v>
      </c>
      <c r="D79">
        <v>1061</v>
      </c>
      <c r="E79">
        <v>0</v>
      </c>
      <c r="F79">
        <v>0</v>
      </c>
      <c r="G79">
        <v>12</v>
      </c>
      <c r="H79">
        <v>1</v>
      </c>
      <c r="I79">
        <v>79</v>
      </c>
      <c r="J79">
        <v>20</v>
      </c>
      <c r="K79">
        <v>0</v>
      </c>
      <c r="L79">
        <v>18</v>
      </c>
      <c r="M79">
        <v>0</v>
      </c>
      <c r="N79">
        <v>0</v>
      </c>
      <c r="O79">
        <v>1</v>
      </c>
    </row>
    <row r="80" spans="1:15" x14ac:dyDescent="0.45">
      <c r="A80" t="s">
        <v>37</v>
      </c>
      <c r="B80">
        <v>8</v>
      </c>
      <c r="C80">
        <v>731</v>
      </c>
      <c r="D80">
        <v>779</v>
      </c>
      <c r="E80">
        <v>0</v>
      </c>
      <c r="F80">
        <v>0</v>
      </c>
      <c r="G80">
        <v>2</v>
      </c>
      <c r="H80">
        <v>4</v>
      </c>
      <c r="I80">
        <v>119</v>
      </c>
      <c r="J80">
        <v>43</v>
      </c>
      <c r="K80">
        <v>0</v>
      </c>
      <c r="L80">
        <v>31</v>
      </c>
      <c r="M80">
        <v>0</v>
      </c>
      <c r="N80">
        <v>0</v>
      </c>
      <c r="O80">
        <v>1</v>
      </c>
    </row>
    <row r="81" spans="1:15" x14ac:dyDescent="0.45">
      <c r="A81" t="s">
        <v>37</v>
      </c>
      <c r="B81">
        <v>9</v>
      </c>
      <c r="C81">
        <v>1091</v>
      </c>
      <c r="D81">
        <v>959</v>
      </c>
      <c r="E81">
        <v>0</v>
      </c>
      <c r="F81">
        <v>0</v>
      </c>
      <c r="G81">
        <v>4</v>
      </c>
      <c r="H81">
        <v>0</v>
      </c>
      <c r="I81">
        <v>77</v>
      </c>
      <c r="J81">
        <v>65</v>
      </c>
      <c r="K81">
        <v>12</v>
      </c>
      <c r="L81">
        <v>29</v>
      </c>
      <c r="M81">
        <v>0</v>
      </c>
      <c r="N81">
        <v>0</v>
      </c>
      <c r="O81">
        <v>0</v>
      </c>
    </row>
    <row r="82" spans="1:15" x14ac:dyDescent="0.45">
      <c r="A82" t="s">
        <v>37</v>
      </c>
      <c r="B82">
        <v>10</v>
      </c>
      <c r="C82">
        <v>1120</v>
      </c>
      <c r="D82">
        <v>1175</v>
      </c>
      <c r="E82">
        <v>0</v>
      </c>
      <c r="F82">
        <v>0</v>
      </c>
      <c r="G82">
        <v>6</v>
      </c>
      <c r="H82">
        <v>1</v>
      </c>
      <c r="I82">
        <v>117</v>
      </c>
      <c r="J82">
        <v>37</v>
      </c>
      <c r="K82">
        <v>15</v>
      </c>
      <c r="L82">
        <v>41</v>
      </c>
      <c r="M82">
        <v>0</v>
      </c>
      <c r="N82">
        <v>0</v>
      </c>
      <c r="O82">
        <v>0</v>
      </c>
    </row>
    <row r="83" spans="1:15" x14ac:dyDescent="0.45">
      <c r="A83" t="s">
        <v>37</v>
      </c>
      <c r="B83">
        <v>11</v>
      </c>
      <c r="C83">
        <v>1265</v>
      </c>
      <c r="D83">
        <v>1123</v>
      </c>
      <c r="E83">
        <v>0</v>
      </c>
      <c r="F83">
        <v>1</v>
      </c>
      <c r="G83">
        <v>11</v>
      </c>
      <c r="H83">
        <v>0</v>
      </c>
      <c r="I83">
        <v>122</v>
      </c>
      <c r="J83">
        <v>16</v>
      </c>
      <c r="K83">
        <v>19</v>
      </c>
      <c r="L83">
        <v>46</v>
      </c>
      <c r="M83">
        <v>1</v>
      </c>
      <c r="N83">
        <v>0</v>
      </c>
      <c r="O83">
        <v>1</v>
      </c>
    </row>
    <row r="84" spans="1:15" x14ac:dyDescent="0.45">
      <c r="A84" t="s">
        <v>37</v>
      </c>
      <c r="B84">
        <v>12</v>
      </c>
      <c r="C84">
        <v>1166</v>
      </c>
      <c r="D84">
        <v>1141</v>
      </c>
      <c r="E84">
        <v>0</v>
      </c>
      <c r="F84">
        <v>3</v>
      </c>
      <c r="G84">
        <v>11</v>
      </c>
      <c r="H84">
        <v>1</v>
      </c>
      <c r="I84">
        <v>129</v>
      </c>
      <c r="J84">
        <v>7</v>
      </c>
      <c r="K84">
        <v>5</v>
      </c>
      <c r="L84">
        <v>44</v>
      </c>
      <c r="M84">
        <v>2</v>
      </c>
      <c r="N84">
        <v>0</v>
      </c>
      <c r="O84">
        <v>0</v>
      </c>
    </row>
    <row r="85" spans="1:15" x14ac:dyDescent="0.45">
      <c r="A85" t="s">
        <v>59</v>
      </c>
      <c r="B85">
        <v>1</v>
      </c>
      <c r="C85">
        <v>1044</v>
      </c>
      <c r="D85">
        <v>332</v>
      </c>
      <c r="E85">
        <v>0</v>
      </c>
      <c r="F85">
        <v>4</v>
      </c>
      <c r="G85">
        <v>16</v>
      </c>
      <c r="H85">
        <v>0</v>
      </c>
      <c r="I85">
        <v>96</v>
      </c>
      <c r="J85">
        <v>0</v>
      </c>
      <c r="K85">
        <v>10</v>
      </c>
      <c r="L85">
        <v>4</v>
      </c>
      <c r="M85">
        <v>0</v>
      </c>
      <c r="N85">
        <v>0</v>
      </c>
      <c r="O85">
        <v>0</v>
      </c>
    </row>
    <row r="86" spans="1:15" x14ac:dyDescent="0.45">
      <c r="A86" t="s">
        <v>59</v>
      </c>
      <c r="B86">
        <v>2</v>
      </c>
      <c r="C86">
        <v>790</v>
      </c>
      <c r="D86">
        <v>319</v>
      </c>
      <c r="E86">
        <v>0</v>
      </c>
      <c r="F86">
        <v>6</v>
      </c>
      <c r="G86">
        <v>29</v>
      </c>
      <c r="H86">
        <v>0</v>
      </c>
      <c r="I86">
        <v>43</v>
      </c>
      <c r="J86">
        <v>0</v>
      </c>
      <c r="K86">
        <v>0</v>
      </c>
      <c r="L86">
        <v>13</v>
      </c>
      <c r="M86">
        <v>0</v>
      </c>
      <c r="N86">
        <v>0</v>
      </c>
      <c r="O86">
        <v>0</v>
      </c>
    </row>
    <row r="87" spans="1:15" x14ac:dyDescent="0.45">
      <c r="A87" t="s">
        <v>59</v>
      </c>
      <c r="B87">
        <v>3</v>
      </c>
      <c r="C87">
        <v>1642</v>
      </c>
      <c r="D87">
        <v>404</v>
      </c>
      <c r="E87">
        <v>0</v>
      </c>
      <c r="F87">
        <v>0</v>
      </c>
      <c r="G87">
        <v>79</v>
      </c>
      <c r="H87">
        <v>3</v>
      </c>
      <c r="I87">
        <v>96</v>
      </c>
      <c r="J87">
        <v>0</v>
      </c>
      <c r="K87">
        <v>0</v>
      </c>
      <c r="L87">
        <v>4</v>
      </c>
      <c r="M87">
        <v>0</v>
      </c>
      <c r="N87">
        <v>0</v>
      </c>
      <c r="O87">
        <v>0</v>
      </c>
    </row>
    <row r="88" spans="1:15" x14ac:dyDescent="0.45">
      <c r="A88" t="s">
        <v>59</v>
      </c>
      <c r="B88">
        <v>4</v>
      </c>
      <c r="C88">
        <v>2403</v>
      </c>
      <c r="D88">
        <v>433</v>
      </c>
      <c r="E88">
        <v>0</v>
      </c>
      <c r="F88">
        <v>0</v>
      </c>
      <c r="G88">
        <v>85</v>
      </c>
      <c r="H88">
        <v>19</v>
      </c>
      <c r="I88">
        <v>136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</row>
    <row r="89" spans="1:15" x14ac:dyDescent="0.45">
      <c r="A89" t="s">
        <v>59</v>
      </c>
      <c r="B89">
        <v>5</v>
      </c>
      <c r="C89">
        <v>1381</v>
      </c>
      <c r="D89">
        <v>298</v>
      </c>
      <c r="E89">
        <v>0</v>
      </c>
      <c r="F89">
        <v>0</v>
      </c>
      <c r="G89">
        <v>41</v>
      </c>
      <c r="H89">
        <v>4</v>
      </c>
      <c r="I89">
        <v>77</v>
      </c>
      <c r="J89">
        <v>0</v>
      </c>
      <c r="K89">
        <v>0</v>
      </c>
      <c r="L89">
        <v>11</v>
      </c>
      <c r="M89">
        <v>0</v>
      </c>
      <c r="N89">
        <v>0</v>
      </c>
      <c r="O89">
        <v>0</v>
      </c>
    </row>
    <row r="90" spans="1:15" x14ac:dyDescent="0.45">
      <c r="A90" t="s">
        <v>59</v>
      </c>
      <c r="B90">
        <v>6</v>
      </c>
      <c r="C90">
        <v>1414</v>
      </c>
      <c r="D90">
        <v>384</v>
      </c>
      <c r="E90">
        <v>0</v>
      </c>
      <c r="F90">
        <v>1</v>
      </c>
      <c r="G90">
        <v>65</v>
      </c>
      <c r="H90">
        <v>2</v>
      </c>
      <c r="I90">
        <v>78</v>
      </c>
      <c r="J90">
        <v>0</v>
      </c>
      <c r="K90">
        <v>0</v>
      </c>
      <c r="L90">
        <v>11</v>
      </c>
      <c r="M90">
        <v>0</v>
      </c>
      <c r="N90">
        <v>0</v>
      </c>
      <c r="O90">
        <v>0</v>
      </c>
    </row>
    <row r="91" spans="1:15" x14ac:dyDescent="0.45">
      <c r="A91" t="s">
        <v>59</v>
      </c>
      <c r="B91">
        <v>7</v>
      </c>
      <c r="C91">
        <v>1271</v>
      </c>
      <c r="D91">
        <v>354</v>
      </c>
      <c r="E91">
        <v>0</v>
      </c>
      <c r="F91">
        <v>0</v>
      </c>
      <c r="G91">
        <v>38</v>
      </c>
      <c r="H91">
        <v>0</v>
      </c>
      <c r="I91">
        <v>115</v>
      </c>
      <c r="J91">
        <v>0</v>
      </c>
      <c r="K91">
        <v>0</v>
      </c>
      <c r="L91">
        <v>3</v>
      </c>
      <c r="M91">
        <v>0</v>
      </c>
      <c r="N91">
        <v>0</v>
      </c>
      <c r="O91">
        <v>0</v>
      </c>
    </row>
    <row r="92" spans="1:15" x14ac:dyDescent="0.45">
      <c r="A92" t="s">
        <v>59</v>
      </c>
      <c r="B92">
        <v>8</v>
      </c>
      <c r="C92">
        <v>1023</v>
      </c>
      <c r="D92">
        <v>329</v>
      </c>
      <c r="E92">
        <v>0</v>
      </c>
      <c r="F92">
        <v>0</v>
      </c>
      <c r="G92">
        <v>30</v>
      </c>
      <c r="H92">
        <v>0</v>
      </c>
      <c r="I92">
        <v>142</v>
      </c>
      <c r="J92">
        <v>0</v>
      </c>
      <c r="K92">
        <v>2</v>
      </c>
      <c r="L92">
        <v>0</v>
      </c>
      <c r="M92">
        <v>0</v>
      </c>
      <c r="N92">
        <v>0</v>
      </c>
      <c r="O92">
        <v>0</v>
      </c>
    </row>
    <row r="93" spans="1:15" x14ac:dyDescent="0.45">
      <c r="A93" t="s">
        <v>59</v>
      </c>
      <c r="B93">
        <v>9</v>
      </c>
      <c r="C93">
        <v>902</v>
      </c>
      <c r="D93">
        <v>350</v>
      </c>
      <c r="E93">
        <v>0</v>
      </c>
      <c r="F93">
        <v>0</v>
      </c>
      <c r="G93">
        <v>15</v>
      </c>
      <c r="H93">
        <v>0</v>
      </c>
      <c r="I93">
        <v>101</v>
      </c>
      <c r="J93">
        <v>6</v>
      </c>
      <c r="K93">
        <v>7</v>
      </c>
      <c r="L93">
        <v>0</v>
      </c>
      <c r="M93">
        <v>0</v>
      </c>
      <c r="N93">
        <v>2</v>
      </c>
      <c r="O93">
        <v>0</v>
      </c>
    </row>
    <row r="94" spans="1:15" x14ac:dyDescent="0.45">
      <c r="A94" t="s">
        <v>59</v>
      </c>
      <c r="B94">
        <v>10</v>
      </c>
      <c r="C94">
        <v>1419</v>
      </c>
      <c r="D94">
        <v>475</v>
      </c>
      <c r="E94">
        <v>0</v>
      </c>
      <c r="F94">
        <v>4</v>
      </c>
      <c r="G94">
        <v>20</v>
      </c>
      <c r="H94">
        <v>0</v>
      </c>
      <c r="I94">
        <v>153</v>
      </c>
      <c r="J94">
        <v>1</v>
      </c>
      <c r="K94">
        <v>2</v>
      </c>
      <c r="L94">
        <v>29</v>
      </c>
      <c r="M94">
        <v>0</v>
      </c>
      <c r="N94">
        <v>0</v>
      </c>
      <c r="O94">
        <v>0</v>
      </c>
    </row>
    <row r="95" spans="1:15" x14ac:dyDescent="0.45">
      <c r="A95" t="s">
        <v>59</v>
      </c>
      <c r="B95">
        <v>11</v>
      </c>
      <c r="C95">
        <v>1182</v>
      </c>
      <c r="D95">
        <v>357</v>
      </c>
      <c r="E95">
        <v>0</v>
      </c>
      <c r="F95">
        <v>4</v>
      </c>
      <c r="G95">
        <v>30</v>
      </c>
      <c r="H95">
        <v>0</v>
      </c>
      <c r="I95">
        <v>151</v>
      </c>
      <c r="J95">
        <v>5</v>
      </c>
      <c r="K95">
        <v>3</v>
      </c>
      <c r="L95">
        <v>13</v>
      </c>
      <c r="M95">
        <v>0</v>
      </c>
      <c r="N95">
        <v>0</v>
      </c>
      <c r="O95">
        <v>0</v>
      </c>
    </row>
    <row r="96" spans="1:15" x14ac:dyDescent="0.45">
      <c r="A96" t="s">
        <v>59</v>
      </c>
      <c r="B96">
        <v>12</v>
      </c>
      <c r="C96">
        <v>1215</v>
      </c>
      <c r="D96">
        <v>385</v>
      </c>
      <c r="E96">
        <v>0</v>
      </c>
      <c r="F96">
        <v>5</v>
      </c>
      <c r="G96">
        <v>57</v>
      </c>
      <c r="H96">
        <v>0</v>
      </c>
      <c r="I96">
        <v>123</v>
      </c>
      <c r="J96">
        <v>1</v>
      </c>
      <c r="K96">
        <v>4</v>
      </c>
      <c r="L96">
        <v>5</v>
      </c>
      <c r="M96">
        <v>0</v>
      </c>
      <c r="N96">
        <v>1</v>
      </c>
      <c r="O96">
        <v>0</v>
      </c>
    </row>
    <row r="97" spans="1:15" x14ac:dyDescent="0.45">
      <c r="A97" t="s">
        <v>44</v>
      </c>
      <c r="B97">
        <v>1</v>
      </c>
      <c r="C97">
        <v>1823</v>
      </c>
      <c r="D97">
        <v>1050</v>
      </c>
      <c r="E97">
        <v>0</v>
      </c>
      <c r="F97">
        <v>13</v>
      </c>
      <c r="G97">
        <v>23</v>
      </c>
      <c r="H97">
        <v>10</v>
      </c>
      <c r="I97">
        <v>179</v>
      </c>
      <c r="J97">
        <v>1</v>
      </c>
      <c r="K97">
        <v>12</v>
      </c>
      <c r="L97">
        <v>59</v>
      </c>
      <c r="M97">
        <v>0</v>
      </c>
      <c r="N97">
        <v>0</v>
      </c>
      <c r="O97">
        <v>0</v>
      </c>
    </row>
    <row r="98" spans="1:15" x14ac:dyDescent="0.45">
      <c r="A98" t="s">
        <v>44</v>
      </c>
      <c r="B98">
        <v>2</v>
      </c>
      <c r="C98">
        <v>1630</v>
      </c>
      <c r="D98">
        <v>1071</v>
      </c>
      <c r="E98">
        <v>0</v>
      </c>
      <c r="F98">
        <v>8</v>
      </c>
      <c r="G98">
        <v>15</v>
      </c>
      <c r="H98">
        <v>5</v>
      </c>
      <c r="I98">
        <v>154</v>
      </c>
      <c r="J98">
        <v>1</v>
      </c>
      <c r="K98">
        <v>2</v>
      </c>
      <c r="L98">
        <v>56</v>
      </c>
      <c r="M98">
        <v>0</v>
      </c>
      <c r="N98">
        <v>0</v>
      </c>
      <c r="O98">
        <v>1</v>
      </c>
    </row>
    <row r="99" spans="1:15" x14ac:dyDescent="0.45">
      <c r="A99" t="s">
        <v>44</v>
      </c>
      <c r="B99">
        <v>3</v>
      </c>
      <c r="C99">
        <v>3070</v>
      </c>
      <c r="D99">
        <v>1338</v>
      </c>
      <c r="E99">
        <v>2</v>
      </c>
      <c r="F99">
        <v>2</v>
      </c>
      <c r="G99">
        <v>98</v>
      </c>
      <c r="H99">
        <v>44</v>
      </c>
      <c r="I99">
        <v>256</v>
      </c>
      <c r="J99">
        <v>3</v>
      </c>
      <c r="K99">
        <v>4</v>
      </c>
      <c r="L99">
        <v>64</v>
      </c>
      <c r="M99">
        <v>0</v>
      </c>
      <c r="N99">
        <v>0</v>
      </c>
      <c r="O99">
        <v>0</v>
      </c>
    </row>
    <row r="100" spans="1:15" x14ac:dyDescent="0.45">
      <c r="A100" t="s">
        <v>44</v>
      </c>
      <c r="B100">
        <v>4</v>
      </c>
      <c r="C100">
        <v>4500</v>
      </c>
      <c r="D100">
        <v>1334</v>
      </c>
      <c r="E100">
        <v>2</v>
      </c>
      <c r="F100">
        <v>0</v>
      </c>
      <c r="G100">
        <v>88</v>
      </c>
      <c r="H100">
        <v>46</v>
      </c>
      <c r="I100">
        <v>288</v>
      </c>
      <c r="J100">
        <v>4</v>
      </c>
      <c r="K100">
        <v>4</v>
      </c>
      <c r="L100">
        <v>56</v>
      </c>
      <c r="M100">
        <v>0</v>
      </c>
      <c r="N100">
        <v>4</v>
      </c>
      <c r="O100">
        <v>5</v>
      </c>
    </row>
    <row r="101" spans="1:15" x14ac:dyDescent="0.45">
      <c r="A101" t="s">
        <v>44</v>
      </c>
      <c r="B101">
        <v>5</v>
      </c>
      <c r="C101">
        <v>3243</v>
      </c>
      <c r="D101">
        <v>1110</v>
      </c>
      <c r="E101">
        <v>0</v>
      </c>
      <c r="F101">
        <v>0</v>
      </c>
      <c r="G101">
        <v>44</v>
      </c>
      <c r="H101">
        <v>66</v>
      </c>
      <c r="I101">
        <v>267</v>
      </c>
      <c r="J101">
        <v>6</v>
      </c>
      <c r="K101">
        <v>1</v>
      </c>
      <c r="L101">
        <v>64</v>
      </c>
      <c r="M101">
        <v>0</v>
      </c>
      <c r="N101">
        <v>0</v>
      </c>
      <c r="O101">
        <v>0</v>
      </c>
    </row>
    <row r="102" spans="1:15" x14ac:dyDescent="0.45">
      <c r="A102" t="s">
        <v>44</v>
      </c>
      <c r="B102">
        <v>6</v>
      </c>
      <c r="C102">
        <v>3032</v>
      </c>
      <c r="D102">
        <v>1453</v>
      </c>
      <c r="E102">
        <v>0</v>
      </c>
      <c r="F102">
        <v>0</v>
      </c>
      <c r="G102">
        <v>75</v>
      </c>
      <c r="H102">
        <v>14</v>
      </c>
      <c r="I102">
        <v>362</v>
      </c>
      <c r="J102">
        <v>7</v>
      </c>
      <c r="K102">
        <v>0</v>
      </c>
      <c r="L102">
        <v>78</v>
      </c>
      <c r="M102">
        <v>0</v>
      </c>
      <c r="N102">
        <v>2</v>
      </c>
      <c r="O102">
        <v>0</v>
      </c>
    </row>
    <row r="103" spans="1:15" x14ac:dyDescent="0.45">
      <c r="A103" t="s">
        <v>44</v>
      </c>
      <c r="B103">
        <v>7</v>
      </c>
      <c r="C103">
        <v>2306</v>
      </c>
      <c r="D103">
        <v>1292</v>
      </c>
      <c r="E103">
        <v>0</v>
      </c>
      <c r="F103">
        <v>0</v>
      </c>
      <c r="G103">
        <v>20</v>
      </c>
      <c r="H103">
        <v>2</v>
      </c>
      <c r="I103">
        <v>396</v>
      </c>
      <c r="J103">
        <v>20</v>
      </c>
      <c r="K103">
        <v>0</v>
      </c>
      <c r="L103">
        <v>64</v>
      </c>
      <c r="M103">
        <v>0</v>
      </c>
      <c r="N103">
        <v>0</v>
      </c>
      <c r="O103">
        <v>0</v>
      </c>
    </row>
    <row r="104" spans="1:15" x14ac:dyDescent="0.45">
      <c r="A104" t="s">
        <v>44</v>
      </c>
      <c r="B104">
        <v>8</v>
      </c>
      <c r="C104">
        <v>1851</v>
      </c>
      <c r="D104">
        <v>1134</v>
      </c>
      <c r="E104">
        <v>0</v>
      </c>
      <c r="F104">
        <v>0</v>
      </c>
      <c r="G104">
        <v>33</v>
      </c>
      <c r="H104">
        <v>8</v>
      </c>
      <c r="I104">
        <v>411</v>
      </c>
      <c r="J104">
        <v>14</v>
      </c>
      <c r="K104">
        <v>0</v>
      </c>
      <c r="L104">
        <v>41</v>
      </c>
      <c r="M104">
        <v>0</v>
      </c>
      <c r="N104">
        <v>3</v>
      </c>
      <c r="O104">
        <v>0</v>
      </c>
    </row>
    <row r="105" spans="1:15" x14ac:dyDescent="0.45">
      <c r="A105" t="s">
        <v>44</v>
      </c>
      <c r="B105">
        <v>9</v>
      </c>
      <c r="C105">
        <v>1697</v>
      </c>
      <c r="D105">
        <v>1274</v>
      </c>
      <c r="E105">
        <v>0</v>
      </c>
      <c r="F105">
        <v>0</v>
      </c>
      <c r="G105">
        <v>21</v>
      </c>
      <c r="H105">
        <v>2</v>
      </c>
      <c r="I105">
        <v>350</v>
      </c>
      <c r="J105">
        <v>10</v>
      </c>
      <c r="K105">
        <v>12</v>
      </c>
      <c r="L105">
        <v>73</v>
      </c>
      <c r="M105">
        <v>0</v>
      </c>
      <c r="N105">
        <v>0</v>
      </c>
      <c r="O105">
        <v>0</v>
      </c>
    </row>
    <row r="106" spans="1:15" x14ac:dyDescent="0.45">
      <c r="A106" t="s">
        <v>44</v>
      </c>
      <c r="B106">
        <v>10</v>
      </c>
      <c r="C106">
        <v>2631</v>
      </c>
      <c r="D106">
        <v>1606</v>
      </c>
      <c r="E106">
        <v>0</v>
      </c>
      <c r="F106">
        <v>1</v>
      </c>
      <c r="G106">
        <v>16</v>
      </c>
      <c r="H106">
        <v>4</v>
      </c>
      <c r="I106">
        <v>291</v>
      </c>
      <c r="J106">
        <v>8</v>
      </c>
      <c r="K106">
        <v>28</v>
      </c>
      <c r="L106">
        <v>100</v>
      </c>
      <c r="M106">
        <v>0</v>
      </c>
      <c r="N106">
        <v>0</v>
      </c>
      <c r="O106">
        <v>0</v>
      </c>
    </row>
    <row r="107" spans="1:15" x14ac:dyDescent="0.45">
      <c r="A107" t="s">
        <v>44</v>
      </c>
      <c r="B107">
        <v>11</v>
      </c>
      <c r="C107">
        <v>2827</v>
      </c>
      <c r="D107">
        <v>1478</v>
      </c>
      <c r="E107">
        <v>0</v>
      </c>
      <c r="F107">
        <v>13</v>
      </c>
      <c r="G107">
        <v>30</v>
      </c>
      <c r="H107">
        <v>0</v>
      </c>
      <c r="I107">
        <v>365</v>
      </c>
      <c r="J107">
        <v>9</v>
      </c>
      <c r="K107">
        <v>80</v>
      </c>
      <c r="L107">
        <v>96</v>
      </c>
      <c r="M107">
        <v>0</v>
      </c>
      <c r="N107">
        <v>0</v>
      </c>
      <c r="O107">
        <v>2</v>
      </c>
    </row>
    <row r="108" spans="1:15" x14ac:dyDescent="0.45">
      <c r="A108" t="s">
        <v>44</v>
      </c>
      <c r="B108">
        <v>12</v>
      </c>
      <c r="C108">
        <v>2793</v>
      </c>
      <c r="D108">
        <v>1472</v>
      </c>
      <c r="E108">
        <v>0</v>
      </c>
      <c r="F108">
        <v>8</v>
      </c>
      <c r="G108">
        <v>60</v>
      </c>
      <c r="H108">
        <v>12</v>
      </c>
      <c r="I108">
        <v>267</v>
      </c>
      <c r="J108">
        <v>5</v>
      </c>
      <c r="K108">
        <v>26</v>
      </c>
      <c r="L108">
        <v>84</v>
      </c>
      <c r="M108">
        <v>0</v>
      </c>
      <c r="N108">
        <v>0</v>
      </c>
      <c r="O108">
        <v>0</v>
      </c>
    </row>
    <row r="109" spans="1:15" x14ac:dyDescent="0.45">
      <c r="A109" t="s">
        <v>41</v>
      </c>
      <c r="B109">
        <v>1</v>
      </c>
      <c r="C109">
        <v>1593</v>
      </c>
      <c r="D109">
        <v>1212</v>
      </c>
      <c r="E109">
        <v>0</v>
      </c>
      <c r="F109">
        <v>25</v>
      </c>
      <c r="G109">
        <v>45</v>
      </c>
      <c r="H109">
        <v>6</v>
      </c>
      <c r="I109">
        <v>192</v>
      </c>
      <c r="J109">
        <v>57</v>
      </c>
      <c r="K109">
        <v>15</v>
      </c>
      <c r="L109">
        <v>87</v>
      </c>
      <c r="M109">
        <v>0</v>
      </c>
      <c r="N109">
        <v>0</v>
      </c>
      <c r="O109">
        <v>0</v>
      </c>
    </row>
    <row r="110" spans="1:15" x14ac:dyDescent="0.45">
      <c r="A110" t="s">
        <v>41</v>
      </c>
      <c r="B110">
        <v>2</v>
      </c>
      <c r="C110">
        <v>1434</v>
      </c>
      <c r="D110">
        <v>1304</v>
      </c>
      <c r="E110">
        <v>0</v>
      </c>
      <c r="F110">
        <v>10</v>
      </c>
      <c r="G110">
        <v>23</v>
      </c>
      <c r="H110">
        <v>10</v>
      </c>
      <c r="I110">
        <v>176</v>
      </c>
      <c r="J110">
        <v>52</v>
      </c>
      <c r="K110">
        <v>11</v>
      </c>
      <c r="L110">
        <v>79</v>
      </c>
      <c r="M110">
        <v>0</v>
      </c>
      <c r="N110">
        <v>0</v>
      </c>
      <c r="O110">
        <v>0</v>
      </c>
    </row>
    <row r="111" spans="1:15" x14ac:dyDescent="0.45">
      <c r="A111" t="s">
        <v>41</v>
      </c>
      <c r="B111">
        <v>3</v>
      </c>
      <c r="C111">
        <v>2290</v>
      </c>
      <c r="D111">
        <v>1537</v>
      </c>
      <c r="E111">
        <v>3</v>
      </c>
      <c r="F111">
        <v>0</v>
      </c>
      <c r="G111">
        <v>122</v>
      </c>
      <c r="H111">
        <v>84</v>
      </c>
      <c r="I111">
        <v>287</v>
      </c>
      <c r="J111">
        <v>69</v>
      </c>
      <c r="K111">
        <v>11</v>
      </c>
      <c r="L111">
        <v>109</v>
      </c>
      <c r="M111">
        <v>0</v>
      </c>
      <c r="N111">
        <v>0</v>
      </c>
      <c r="O111">
        <v>1</v>
      </c>
    </row>
    <row r="112" spans="1:15" x14ac:dyDescent="0.45">
      <c r="A112" t="s">
        <v>41</v>
      </c>
      <c r="B112">
        <v>4</v>
      </c>
      <c r="C112">
        <v>4339</v>
      </c>
      <c r="D112">
        <v>1401</v>
      </c>
      <c r="E112">
        <v>3</v>
      </c>
      <c r="F112">
        <v>1</v>
      </c>
      <c r="G112">
        <v>94</v>
      </c>
      <c r="H112">
        <v>167</v>
      </c>
      <c r="I112">
        <v>471</v>
      </c>
      <c r="J112">
        <v>106</v>
      </c>
      <c r="K112">
        <v>4</v>
      </c>
      <c r="L112">
        <v>96</v>
      </c>
      <c r="M112">
        <v>0</v>
      </c>
      <c r="N112">
        <v>0</v>
      </c>
      <c r="O112">
        <v>7</v>
      </c>
    </row>
    <row r="113" spans="1:15" x14ac:dyDescent="0.45">
      <c r="A113" t="s">
        <v>41</v>
      </c>
      <c r="B113">
        <v>5</v>
      </c>
      <c r="C113">
        <v>2677</v>
      </c>
      <c r="D113">
        <v>1208</v>
      </c>
      <c r="E113">
        <v>0</v>
      </c>
      <c r="F113">
        <v>0</v>
      </c>
      <c r="G113">
        <v>64</v>
      </c>
      <c r="H113">
        <v>65</v>
      </c>
      <c r="I113">
        <v>320</v>
      </c>
      <c r="J113">
        <v>99</v>
      </c>
      <c r="K113">
        <v>12</v>
      </c>
      <c r="L113">
        <v>69</v>
      </c>
      <c r="M113">
        <v>0</v>
      </c>
      <c r="N113">
        <v>0</v>
      </c>
      <c r="O113">
        <v>10</v>
      </c>
    </row>
    <row r="114" spans="1:15" x14ac:dyDescent="0.45">
      <c r="A114" t="s">
        <v>41</v>
      </c>
      <c r="B114">
        <v>6</v>
      </c>
      <c r="C114">
        <v>2667</v>
      </c>
      <c r="D114">
        <v>1494</v>
      </c>
      <c r="E114">
        <v>0</v>
      </c>
      <c r="F114">
        <v>0</v>
      </c>
      <c r="G114">
        <v>65</v>
      </c>
      <c r="H114">
        <v>55</v>
      </c>
      <c r="I114">
        <v>391</v>
      </c>
      <c r="J114">
        <v>104</v>
      </c>
      <c r="K114">
        <v>7</v>
      </c>
      <c r="L114">
        <v>140</v>
      </c>
      <c r="M114">
        <v>0</v>
      </c>
      <c r="N114">
        <v>1</v>
      </c>
      <c r="O114">
        <v>1</v>
      </c>
    </row>
    <row r="115" spans="1:15" x14ac:dyDescent="0.45">
      <c r="A115" t="s">
        <v>41</v>
      </c>
      <c r="B115">
        <v>7</v>
      </c>
      <c r="C115">
        <v>1929</v>
      </c>
      <c r="D115">
        <v>1257</v>
      </c>
      <c r="E115">
        <v>0</v>
      </c>
      <c r="F115">
        <v>0</v>
      </c>
      <c r="G115">
        <v>33</v>
      </c>
      <c r="H115">
        <v>16</v>
      </c>
      <c r="I115">
        <v>379</v>
      </c>
      <c r="J115">
        <v>134</v>
      </c>
      <c r="K115">
        <v>5</v>
      </c>
      <c r="L115">
        <v>108</v>
      </c>
      <c r="M115">
        <v>0</v>
      </c>
      <c r="N115">
        <v>0</v>
      </c>
      <c r="O115">
        <v>0</v>
      </c>
    </row>
    <row r="116" spans="1:15" x14ac:dyDescent="0.45">
      <c r="A116" t="s">
        <v>41</v>
      </c>
      <c r="B116">
        <v>8</v>
      </c>
      <c r="C116">
        <v>1584</v>
      </c>
      <c r="D116">
        <v>1265</v>
      </c>
      <c r="E116">
        <v>0</v>
      </c>
      <c r="F116">
        <v>0</v>
      </c>
      <c r="G116">
        <v>10</v>
      </c>
      <c r="H116">
        <v>0</v>
      </c>
      <c r="I116">
        <v>256</v>
      </c>
      <c r="J116">
        <v>128</v>
      </c>
      <c r="K116">
        <v>1</v>
      </c>
      <c r="L116">
        <v>88</v>
      </c>
      <c r="M116">
        <v>0</v>
      </c>
      <c r="N116">
        <v>0</v>
      </c>
      <c r="O116">
        <v>0</v>
      </c>
    </row>
    <row r="117" spans="1:15" x14ac:dyDescent="0.45">
      <c r="A117" t="s">
        <v>41</v>
      </c>
      <c r="B117">
        <v>9</v>
      </c>
      <c r="C117">
        <v>1566</v>
      </c>
      <c r="D117">
        <v>1405</v>
      </c>
      <c r="E117">
        <v>0</v>
      </c>
      <c r="F117">
        <v>0</v>
      </c>
      <c r="G117">
        <v>20</v>
      </c>
      <c r="H117">
        <v>3</v>
      </c>
      <c r="I117">
        <v>177</v>
      </c>
      <c r="J117">
        <v>101</v>
      </c>
      <c r="K117">
        <v>0</v>
      </c>
      <c r="L117">
        <v>112</v>
      </c>
      <c r="M117">
        <v>0</v>
      </c>
      <c r="N117">
        <v>0</v>
      </c>
      <c r="O117">
        <v>0</v>
      </c>
    </row>
    <row r="118" spans="1:15" x14ac:dyDescent="0.45">
      <c r="A118" t="s">
        <v>41</v>
      </c>
      <c r="B118">
        <v>10</v>
      </c>
      <c r="C118">
        <v>2330</v>
      </c>
      <c r="D118">
        <v>1812</v>
      </c>
      <c r="E118">
        <v>0</v>
      </c>
      <c r="F118">
        <v>9</v>
      </c>
      <c r="G118">
        <v>33</v>
      </c>
      <c r="H118">
        <v>1</v>
      </c>
      <c r="I118">
        <v>259</v>
      </c>
      <c r="J118">
        <v>134</v>
      </c>
      <c r="K118">
        <v>10</v>
      </c>
      <c r="L118">
        <v>110</v>
      </c>
      <c r="M118">
        <v>1</v>
      </c>
      <c r="N118">
        <v>0</v>
      </c>
      <c r="O118">
        <v>2</v>
      </c>
    </row>
    <row r="119" spans="1:15" x14ac:dyDescent="0.45">
      <c r="A119" t="s">
        <v>41</v>
      </c>
      <c r="B119">
        <v>11</v>
      </c>
      <c r="C119">
        <v>2584</v>
      </c>
      <c r="D119">
        <v>1664</v>
      </c>
      <c r="E119">
        <v>0</v>
      </c>
      <c r="F119">
        <v>25</v>
      </c>
      <c r="G119">
        <v>39</v>
      </c>
      <c r="H119">
        <v>0</v>
      </c>
      <c r="I119">
        <v>279</v>
      </c>
      <c r="J119">
        <v>86</v>
      </c>
      <c r="K119">
        <v>36</v>
      </c>
      <c r="L119">
        <v>92</v>
      </c>
      <c r="M119">
        <v>0</v>
      </c>
      <c r="N119">
        <v>0</v>
      </c>
      <c r="O119">
        <v>0</v>
      </c>
    </row>
    <row r="120" spans="1:15" x14ac:dyDescent="0.45">
      <c r="A120" t="s">
        <v>41</v>
      </c>
      <c r="B120">
        <v>12</v>
      </c>
      <c r="C120">
        <v>2390</v>
      </c>
      <c r="D120">
        <v>1705</v>
      </c>
      <c r="E120">
        <v>0</v>
      </c>
      <c r="F120">
        <v>16</v>
      </c>
      <c r="G120">
        <v>73</v>
      </c>
      <c r="H120">
        <v>3</v>
      </c>
      <c r="I120">
        <v>350</v>
      </c>
      <c r="J120">
        <v>100</v>
      </c>
      <c r="K120">
        <v>24</v>
      </c>
      <c r="L120">
        <v>84</v>
      </c>
      <c r="M120">
        <v>0</v>
      </c>
      <c r="N120">
        <v>0</v>
      </c>
      <c r="O120">
        <v>0</v>
      </c>
    </row>
    <row r="121" spans="1:15" x14ac:dyDescent="0.45">
      <c r="A121" t="s">
        <v>81</v>
      </c>
      <c r="B121">
        <v>1</v>
      </c>
      <c r="C121">
        <v>779</v>
      </c>
      <c r="D121">
        <v>262</v>
      </c>
      <c r="E121">
        <v>0</v>
      </c>
      <c r="F121">
        <v>18</v>
      </c>
      <c r="G121">
        <v>12</v>
      </c>
      <c r="H121">
        <v>1</v>
      </c>
      <c r="I121">
        <v>344</v>
      </c>
      <c r="J121">
        <v>28</v>
      </c>
      <c r="K121">
        <v>4</v>
      </c>
      <c r="L121">
        <v>28</v>
      </c>
      <c r="M121">
        <v>0</v>
      </c>
      <c r="N121">
        <v>0</v>
      </c>
      <c r="O121">
        <v>0</v>
      </c>
    </row>
    <row r="122" spans="1:15" x14ac:dyDescent="0.45">
      <c r="A122" t="s">
        <v>81</v>
      </c>
      <c r="B122">
        <v>2</v>
      </c>
      <c r="C122">
        <v>625</v>
      </c>
      <c r="D122">
        <v>285</v>
      </c>
      <c r="E122">
        <v>0</v>
      </c>
      <c r="F122">
        <v>7</v>
      </c>
      <c r="G122">
        <v>11</v>
      </c>
      <c r="H122">
        <v>10</v>
      </c>
      <c r="I122">
        <v>213</v>
      </c>
      <c r="J122">
        <v>36</v>
      </c>
      <c r="K122">
        <v>8</v>
      </c>
      <c r="L122">
        <v>23</v>
      </c>
      <c r="M122">
        <v>0</v>
      </c>
      <c r="N122">
        <v>0</v>
      </c>
      <c r="O122">
        <v>0</v>
      </c>
    </row>
    <row r="123" spans="1:15" x14ac:dyDescent="0.45">
      <c r="A123" t="s">
        <v>81</v>
      </c>
      <c r="B123">
        <v>3</v>
      </c>
      <c r="C123">
        <v>1322</v>
      </c>
      <c r="D123">
        <v>343</v>
      </c>
      <c r="E123">
        <v>4</v>
      </c>
      <c r="F123">
        <v>1</v>
      </c>
      <c r="G123">
        <v>49</v>
      </c>
      <c r="H123">
        <v>44</v>
      </c>
      <c r="I123">
        <v>538</v>
      </c>
      <c r="J123">
        <v>41</v>
      </c>
      <c r="K123">
        <v>13</v>
      </c>
      <c r="L123">
        <v>36</v>
      </c>
      <c r="M123">
        <v>0</v>
      </c>
      <c r="N123">
        <v>0</v>
      </c>
      <c r="O123">
        <v>1</v>
      </c>
    </row>
    <row r="124" spans="1:15" x14ac:dyDescent="0.45">
      <c r="A124" t="s">
        <v>81</v>
      </c>
      <c r="B124">
        <v>4</v>
      </c>
      <c r="C124">
        <v>2383</v>
      </c>
      <c r="D124">
        <v>449</v>
      </c>
      <c r="E124">
        <v>3</v>
      </c>
      <c r="F124">
        <v>4</v>
      </c>
      <c r="G124">
        <v>73</v>
      </c>
      <c r="H124">
        <v>110</v>
      </c>
      <c r="I124">
        <v>880</v>
      </c>
      <c r="J124">
        <v>35</v>
      </c>
      <c r="K124">
        <v>4</v>
      </c>
      <c r="L124">
        <v>37</v>
      </c>
      <c r="M124">
        <v>0</v>
      </c>
      <c r="N124">
        <v>0</v>
      </c>
      <c r="O124">
        <v>5</v>
      </c>
    </row>
    <row r="125" spans="1:15" x14ac:dyDescent="0.45">
      <c r="A125" t="s">
        <v>81</v>
      </c>
      <c r="B125">
        <v>5</v>
      </c>
      <c r="C125">
        <v>1456</v>
      </c>
      <c r="D125">
        <v>410</v>
      </c>
      <c r="E125">
        <v>0</v>
      </c>
      <c r="F125">
        <v>1</v>
      </c>
      <c r="G125">
        <v>31</v>
      </c>
      <c r="H125">
        <v>51</v>
      </c>
      <c r="I125">
        <v>541</v>
      </c>
      <c r="J125">
        <v>20</v>
      </c>
      <c r="K125">
        <v>9</v>
      </c>
      <c r="L125">
        <v>19</v>
      </c>
      <c r="M125">
        <v>0</v>
      </c>
      <c r="N125">
        <v>0</v>
      </c>
      <c r="O125">
        <v>2</v>
      </c>
    </row>
    <row r="126" spans="1:15" x14ac:dyDescent="0.45">
      <c r="A126" t="s">
        <v>81</v>
      </c>
      <c r="B126">
        <v>6</v>
      </c>
      <c r="C126">
        <v>1464</v>
      </c>
      <c r="D126">
        <v>430</v>
      </c>
      <c r="E126">
        <v>0</v>
      </c>
      <c r="F126">
        <v>0</v>
      </c>
      <c r="G126">
        <v>20</v>
      </c>
      <c r="H126">
        <v>20</v>
      </c>
      <c r="I126">
        <v>566</v>
      </c>
      <c r="J126">
        <v>32</v>
      </c>
      <c r="K126">
        <v>2</v>
      </c>
      <c r="L126">
        <v>26</v>
      </c>
      <c r="M126">
        <v>0</v>
      </c>
      <c r="N126">
        <v>0</v>
      </c>
      <c r="O126">
        <v>1</v>
      </c>
    </row>
    <row r="127" spans="1:15" x14ac:dyDescent="0.45">
      <c r="A127" t="s">
        <v>81</v>
      </c>
      <c r="B127">
        <v>7</v>
      </c>
      <c r="C127">
        <v>1248</v>
      </c>
      <c r="D127">
        <v>392</v>
      </c>
      <c r="E127">
        <v>0</v>
      </c>
      <c r="F127">
        <v>4</v>
      </c>
      <c r="G127">
        <v>14</v>
      </c>
      <c r="H127">
        <v>6</v>
      </c>
      <c r="I127">
        <v>467</v>
      </c>
      <c r="J127">
        <v>97</v>
      </c>
      <c r="K127">
        <v>22</v>
      </c>
      <c r="L127">
        <v>44</v>
      </c>
      <c r="M127">
        <v>0</v>
      </c>
      <c r="N127">
        <v>0</v>
      </c>
      <c r="O127">
        <v>0</v>
      </c>
    </row>
    <row r="128" spans="1:15" x14ac:dyDescent="0.45">
      <c r="A128" t="s">
        <v>81</v>
      </c>
      <c r="B128">
        <v>8</v>
      </c>
      <c r="C128">
        <v>939</v>
      </c>
      <c r="D128">
        <v>254</v>
      </c>
      <c r="E128">
        <v>0</v>
      </c>
      <c r="F128">
        <v>1</v>
      </c>
      <c r="G128">
        <v>4</v>
      </c>
      <c r="H128">
        <v>0</v>
      </c>
      <c r="I128">
        <v>310</v>
      </c>
      <c r="J128">
        <v>60</v>
      </c>
      <c r="K128">
        <v>19</v>
      </c>
      <c r="L128">
        <v>25</v>
      </c>
      <c r="M128">
        <v>0</v>
      </c>
      <c r="N128">
        <v>0</v>
      </c>
      <c r="O128">
        <v>0</v>
      </c>
    </row>
    <row r="129" spans="1:15" x14ac:dyDescent="0.45">
      <c r="A129" t="s">
        <v>81</v>
      </c>
      <c r="B129">
        <v>9</v>
      </c>
      <c r="C129">
        <v>825</v>
      </c>
      <c r="D129">
        <v>328</v>
      </c>
      <c r="E129">
        <v>0</v>
      </c>
      <c r="F129">
        <v>0</v>
      </c>
      <c r="G129">
        <v>3</v>
      </c>
      <c r="H129">
        <v>3</v>
      </c>
      <c r="I129">
        <v>322</v>
      </c>
      <c r="J129">
        <v>54</v>
      </c>
      <c r="K129">
        <v>18</v>
      </c>
      <c r="L129">
        <v>37</v>
      </c>
      <c r="M129">
        <v>0</v>
      </c>
      <c r="N129">
        <v>0</v>
      </c>
      <c r="O129">
        <v>0</v>
      </c>
    </row>
    <row r="130" spans="1:15" x14ac:dyDescent="0.45">
      <c r="A130" t="s">
        <v>81</v>
      </c>
      <c r="B130">
        <v>10</v>
      </c>
      <c r="C130">
        <v>1366</v>
      </c>
      <c r="D130">
        <v>406</v>
      </c>
      <c r="E130">
        <v>0</v>
      </c>
      <c r="F130">
        <v>2</v>
      </c>
      <c r="G130">
        <v>8</v>
      </c>
      <c r="H130">
        <v>0</v>
      </c>
      <c r="I130">
        <v>487</v>
      </c>
      <c r="J130">
        <v>145</v>
      </c>
      <c r="K130">
        <v>43</v>
      </c>
      <c r="L130">
        <v>44</v>
      </c>
      <c r="M130">
        <v>0</v>
      </c>
      <c r="N130">
        <v>0</v>
      </c>
      <c r="O130">
        <v>0</v>
      </c>
    </row>
    <row r="131" spans="1:15" x14ac:dyDescent="0.45">
      <c r="A131" t="s">
        <v>81</v>
      </c>
      <c r="B131">
        <v>11</v>
      </c>
      <c r="C131">
        <v>1263</v>
      </c>
      <c r="D131">
        <v>339</v>
      </c>
      <c r="E131">
        <v>0</v>
      </c>
      <c r="F131">
        <v>23</v>
      </c>
      <c r="G131">
        <v>11</v>
      </c>
      <c r="H131">
        <v>7</v>
      </c>
      <c r="I131">
        <v>441</v>
      </c>
      <c r="J131">
        <v>95</v>
      </c>
      <c r="K131">
        <v>28</v>
      </c>
      <c r="L131">
        <v>31</v>
      </c>
      <c r="M131">
        <v>0</v>
      </c>
      <c r="N131">
        <v>0</v>
      </c>
      <c r="O131">
        <v>0</v>
      </c>
    </row>
    <row r="132" spans="1:15" x14ac:dyDescent="0.45">
      <c r="A132" t="s">
        <v>81</v>
      </c>
      <c r="B132">
        <v>12</v>
      </c>
      <c r="C132">
        <v>1020</v>
      </c>
      <c r="D132">
        <v>307</v>
      </c>
      <c r="E132">
        <v>0</v>
      </c>
      <c r="F132">
        <v>13</v>
      </c>
      <c r="G132">
        <v>13</v>
      </c>
      <c r="H132">
        <v>4</v>
      </c>
      <c r="I132">
        <v>439</v>
      </c>
      <c r="J132">
        <v>54</v>
      </c>
      <c r="K132">
        <v>18</v>
      </c>
      <c r="L132">
        <v>17</v>
      </c>
      <c r="M132">
        <v>0</v>
      </c>
      <c r="N132">
        <v>0</v>
      </c>
      <c r="O132">
        <v>0</v>
      </c>
    </row>
    <row r="133" spans="1:15" x14ac:dyDescent="0.45">
      <c r="A133" t="s">
        <v>72</v>
      </c>
      <c r="B133">
        <v>1</v>
      </c>
      <c r="C133">
        <v>1286</v>
      </c>
      <c r="D133">
        <v>569</v>
      </c>
      <c r="E133">
        <v>0</v>
      </c>
      <c r="F133">
        <v>23</v>
      </c>
      <c r="G133">
        <v>53</v>
      </c>
      <c r="H133">
        <v>11</v>
      </c>
      <c r="I133">
        <v>402</v>
      </c>
      <c r="J133">
        <v>0</v>
      </c>
      <c r="K133">
        <v>62</v>
      </c>
      <c r="L133">
        <v>220</v>
      </c>
      <c r="M133">
        <v>0</v>
      </c>
      <c r="N133">
        <v>0</v>
      </c>
      <c r="O133">
        <v>0</v>
      </c>
    </row>
    <row r="134" spans="1:15" x14ac:dyDescent="0.45">
      <c r="A134" t="s">
        <v>72</v>
      </c>
      <c r="B134">
        <v>2</v>
      </c>
      <c r="C134">
        <v>1061</v>
      </c>
      <c r="D134">
        <v>518</v>
      </c>
      <c r="E134">
        <v>0</v>
      </c>
      <c r="F134">
        <v>20</v>
      </c>
      <c r="G134">
        <v>28</v>
      </c>
      <c r="H134">
        <v>1</v>
      </c>
      <c r="I134">
        <v>303</v>
      </c>
      <c r="J134">
        <v>0</v>
      </c>
      <c r="K134">
        <v>14</v>
      </c>
      <c r="L134">
        <v>149</v>
      </c>
      <c r="M134">
        <v>0</v>
      </c>
      <c r="N134">
        <v>0</v>
      </c>
      <c r="O134">
        <v>0</v>
      </c>
    </row>
    <row r="135" spans="1:15" x14ac:dyDescent="0.45">
      <c r="A135" t="s">
        <v>72</v>
      </c>
      <c r="B135">
        <v>3</v>
      </c>
      <c r="C135">
        <v>2027</v>
      </c>
      <c r="D135">
        <v>646</v>
      </c>
      <c r="E135">
        <v>0</v>
      </c>
      <c r="F135">
        <v>4</v>
      </c>
      <c r="G135">
        <v>217</v>
      </c>
      <c r="H135">
        <v>196</v>
      </c>
      <c r="I135">
        <v>380</v>
      </c>
      <c r="J135">
        <v>0</v>
      </c>
      <c r="K135">
        <v>13</v>
      </c>
      <c r="L135">
        <v>233</v>
      </c>
      <c r="M135">
        <v>0</v>
      </c>
      <c r="N135">
        <v>0</v>
      </c>
      <c r="O135">
        <v>1</v>
      </c>
    </row>
    <row r="136" spans="1:15" x14ac:dyDescent="0.45">
      <c r="A136" t="s">
        <v>72</v>
      </c>
      <c r="B136">
        <v>4</v>
      </c>
      <c r="C136">
        <v>3453</v>
      </c>
      <c r="D136">
        <v>754</v>
      </c>
      <c r="E136">
        <v>1</v>
      </c>
      <c r="F136">
        <v>2</v>
      </c>
      <c r="G136">
        <v>133</v>
      </c>
      <c r="H136">
        <v>302</v>
      </c>
      <c r="I136">
        <v>583</v>
      </c>
      <c r="J136">
        <v>0</v>
      </c>
      <c r="K136">
        <v>10</v>
      </c>
      <c r="L136">
        <v>242</v>
      </c>
      <c r="M136">
        <v>0</v>
      </c>
      <c r="N136">
        <v>0</v>
      </c>
      <c r="O136">
        <v>1</v>
      </c>
    </row>
    <row r="137" spans="1:15" x14ac:dyDescent="0.45">
      <c r="A137" t="s">
        <v>72</v>
      </c>
      <c r="B137">
        <v>5</v>
      </c>
      <c r="C137">
        <v>2307</v>
      </c>
      <c r="D137">
        <v>660</v>
      </c>
      <c r="E137">
        <v>0</v>
      </c>
      <c r="F137">
        <v>0</v>
      </c>
      <c r="G137">
        <v>113</v>
      </c>
      <c r="H137">
        <v>144</v>
      </c>
      <c r="I137">
        <v>407</v>
      </c>
      <c r="J137">
        <v>0</v>
      </c>
      <c r="K137">
        <v>2</v>
      </c>
      <c r="L137">
        <v>217</v>
      </c>
      <c r="M137">
        <v>0</v>
      </c>
      <c r="N137">
        <v>0</v>
      </c>
      <c r="O137">
        <v>1</v>
      </c>
    </row>
    <row r="138" spans="1:15" x14ac:dyDescent="0.45">
      <c r="A138" t="s">
        <v>72</v>
      </c>
      <c r="B138">
        <v>6</v>
      </c>
      <c r="C138">
        <v>1923</v>
      </c>
      <c r="D138">
        <v>681</v>
      </c>
      <c r="E138">
        <v>0</v>
      </c>
      <c r="F138">
        <v>0</v>
      </c>
      <c r="G138">
        <v>162</v>
      </c>
      <c r="H138">
        <v>111</v>
      </c>
      <c r="I138">
        <v>417</v>
      </c>
      <c r="J138">
        <v>1</v>
      </c>
      <c r="K138">
        <v>13</v>
      </c>
      <c r="L138">
        <v>224</v>
      </c>
      <c r="M138">
        <v>0</v>
      </c>
      <c r="N138">
        <v>0</v>
      </c>
      <c r="O138">
        <v>3</v>
      </c>
    </row>
    <row r="139" spans="1:15" x14ac:dyDescent="0.45">
      <c r="A139" t="s">
        <v>72</v>
      </c>
      <c r="B139">
        <v>7</v>
      </c>
      <c r="C139">
        <v>1852</v>
      </c>
      <c r="D139">
        <v>711</v>
      </c>
      <c r="E139">
        <v>0</v>
      </c>
      <c r="F139">
        <v>0</v>
      </c>
      <c r="G139">
        <v>103</v>
      </c>
      <c r="H139">
        <v>62</v>
      </c>
      <c r="I139">
        <v>507</v>
      </c>
      <c r="J139">
        <v>1</v>
      </c>
      <c r="K139">
        <v>12</v>
      </c>
      <c r="L139">
        <v>236</v>
      </c>
      <c r="M139">
        <v>0</v>
      </c>
      <c r="N139">
        <v>0</v>
      </c>
      <c r="O139">
        <v>1</v>
      </c>
    </row>
    <row r="140" spans="1:15" x14ac:dyDescent="0.45">
      <c r="A140" t="s">
        <v>72</v>
      </c>
      <c r="B140">
        <v>8</v>
      </c>
      <c r="C140">
        <v>1465</v>
      </c>
      <c r="D140">
        <v>579</v>
      </c>
      <c r="E140">
        <v>0</v>
      </c>
      <c r="F140">
        <v>0</v>
      </c>
      <c r="G140">
        <v>65</v>
      </c>
      <c r="H140">
        <v>4</v>
      </c>
      <c r="I140">
        <v>481</v>
      </c>
      <c r="J140">
        <v>2</v>
      </c>
      <c r="K140">
        <v>13</v>
      </c>
      <c r="L140">
        <v>173</v>
      </c>
      <c r="M140">
        <v>0</v>
      </c>
      <c r="N140">
        <v>2</v>
      </c>
      <c r="O140">
        <v>0</v>
      </c>
    </row>
    <row r="141" spans="1:15" x14ac:dyDescent="0.45">
      <c r="A141" t="s">
        <v>72</v>
      </c>
      <c r="B141">
        <v>9</v>
      </c>
      <c r="C141">
        <v>1293</v>
      </c>
      <c r="D141">
        <v>622</v>
      </c>
      <c r="E141">
        <v>0</v>
      </c>
      <c r="F141">
        <v>1</v>
      </c>
      <c r="G141">
        <v>46</v>
      </c>
      <c r="H141">
        <v>0</v>
      </c>
      <c r="I141">
        <v>385</v>
      </c>
      <c r="J141">
        <v>0</v>
      </c>
      <c r="K141">
        <v>20</v>
      </c>
      <c r="L141">
        <v>178</v>
      </c>
      <c r="M141">
        <v>0</v>
      </c>
      <c r="N141">
        <v>0</v>
      </c>
      <c r="O141">
        <v>0</v>
      </c>
    </row>
    <row r="142" spans="1:15" x14ac:dyDescent="0.45">
      <c r="A142" t="s">
        <v>72</v>
      </c>
      <c r="B142">
        <v>10</v>
      </c>
      <c r="C142">
        <v>1824</v>
      </c>
      <c r="D142">
        <v>749</v>
      </c>
      <c r="E142">
        <v>0</v>
      </c>
      <c r="F142">
        <v>13</v>
      </c>
      <c r="G142">
        <v>59</v>
      </c>
      <c r="H142">
        <v>15</v>
      </c>
      <c r="I142">
        <v>470</v>
      </c>
      <c r="J142">
        <v>2</v>
      </c>
      <c r="K142">
        <v>69</v>
      </c>
      <c r="L142">
        <v>212</v>
      </c>
      <c r="M142">
        <v>0</v>
      </c>
      <c r="N142">
        <v>1</v>
      </c>
      <c r="O142">
        <v>2</v>
      </c>
    </row>
    <row r="143" spans="1:15" x14ac:dyDescent="0.45">
      <c r="A143" t="s">
        <v>72</v>
      </c>
      <c r="B143">
        <v>11</v>
      </c>
      <c r="C143">
        <v>1799</v>
      </c>
      <c r="D143">
        <v>683</v>
      </c>
      <c r="E143">
        <v>0</v>
      </c>
      <c r="F143">
        <v>45</v>
      </c>
      <c r="G143">
        <v>48</v>
      </c>
      <c r="H143">
        <v>0</v>
      </c>
      <c r="I143">
        <v>502</v>
      </c>
      <c r="J143">
        <v>5</v>
      </c>
      <c r="K143">
        <v>88</v>
      </c>
      <c r="L143">
        <v>217</v>
      </c>
      <c r="M143">
        <v>0</v>
      </c>
      <c r="N143">
        <v>0</v>
      </c>
      <c r="O143">
        <v>0</v>
      </c>
    </row>
    <row r="144" spans="1:15" x14ac:dyDescent="0.45">
      <c r="A144" t="s">
        <v>72</v>
      </c>
      <c r="B144">
        <v>12</v>
      </c>
      <c r="C144">
        <v>1786</v>
      </c>
      <c r="D144">
        <v>661</v>
      </c>
      <c r="E144">
        <v>0</v>
      </c>
      <c r="F144">
        <v>36</v>
      </c>
      <c r="G144">
        <v>115</v>
      </c>
      <c r="H144">
        <v>7</v>
      </c>
      <c r="I144">
        <v>500</v>
      </c>
      <c r="J144">
        <v>0</v>
      </c>
      <c r="K144">
        <v>95</v>
      </c>
      <c r="L144">
        <v>209</v>
      </c>
      <c r="M144">
        <v>0</v>
      </c>
      <c r="N144">
        <v>0</v>
      </c>
      <c r="O144">
        <v>0</v>
      </c>
    </row>
    <row r="145" spans="1:16" x14ac:dyDescent="0.45">
      <c r="A145" t="s">
        <v>68</v>
      </c>
      <c r="B145">
        <v>1</v>
      </c>
      <c r="C145">
        <v>708</v>
      </c>
      <c r="D145">
        <v>666</v>
      </c>
      <c r="E145">
        <v>0</v>
      </c>
      <c r="F145">
        <v>2</v>
      </c>
      <c r="G145">
        <v>10</v>
      </c>
      <c r="H145">
        <v>1</v>
      </c>
      <c r="I145">
        <v>63</v>
      </c>
      <c r="J145">
        <v>8</v>
      </c>
      <c r="K145">
        <v>2</v>
      </c>
      <c r="L145">
        <v>33</v>
      </c>
      <c r="M145">
        <v>0</v>
      </c>
      <c r="N145">
        <v>0</v>
      </c>
      <c r="O145">
        <v>1</v>
      </c>
      <c r="P145">
        <v>1</v>
      </c>
    </row>
    <row r="146" spans="1:16" x14ac:dyDescent="0.45">
      <c r="A146" t="s">
        <v>68</v>
      </c>
      <c r="B146">
        <v>2</v>
      </c>
      <c r="C146">
        <v>621</v>
      </c>
      <c r="D146">
        <v>731</v>
      </c>
      <c r="E146">
        <v>2</v>
      </c>
      <c r="F146">
        <v>0</v>
      </c>
      <c r="G146">
        <v>23</v>
      </c>
      <c r="H146">
        <v>8</v>
      </c>
      <c r="I146">
        <v>67</v>
      </c>
      <c r="J146">
        <v>13</v>
      </c>
      <c r="K146">
        <v>0</v>
      </c>
      <c r="L146">
        <v>71</v>
      </c>
      <c r="M146">
        <v>0</v>
      </c>
      <c r="N146">
        <v>0</v>
      </c>
      <c r="O146">
        <v>0</v>
      </c>
      <c r="P146">
        <v>0</v>
      </c>
    </row>
    <row r="147" spans="1:16" x14ac:dyDescent="0.45">
      <c r="A147" t="s">
        <v>68</v>
      </c>
      <c r="B147">
        <v>3</v>
      </c>
      <c r="C147">
        <v>1330</v>
      </c>
      <c r="D147">
        <v>889</v>
      </c>
      <c r="E147">
        <v>0</v>
      </c>
      <c r="F147">
        <v>2</v>
      </c>
      <c r="G147">
        <v>34</v>
      </c>
      <c r="H147">
        <v>12</v>
      </c>
      <c r="I147">
        <v>127</v>
      </c>
      <c r="J147">
        <v>11</v>
      </c>
      <c r="K147">
        <v>8</v>
      </c>
      <c r="L147">
        <v>66</v>
      </c>
      <c r="M147">
        <v>0</v>
      </c>
      <c r="N147">
        <v>0</v>
      </c>
      <c r="O147">
        <v>0</v>
      </c>
      <c r="P147">
        <v>1</v>
      </c>
    </row>
    <row r="148" spans="1:16" x14ac:dyDescent="0.45">
      <c r="A148" t="s">
        <v>68</v>
      </c>
      <c r="B148">
        <v>4</v>
      </c>
      <c r="C148">
        <v>2342</v>
      </c>
      <c r="D148">
        <v>947</v>
      </c>
      <c r="E148">
        <v>2</v>
      </c>
      <c r="F148">
        <v>1</v>
      </c>
      <c r="G148">
        <v>60</v>
      </c>
      <c r="H148">
        <v>50</v>
      </c>
      <c r="I148">
        <v>225</v>
      </c>
      <c r="J148">
        <v>11</v>
      </c>
      <c r="K148">
        <v>0</v>
      </c>
      <c r="L148">
        <v>85</v>
      </c>
      <c r="M148">
        <v>0</v>
      </c>
      <c r="N148">
        <v>0</v>
      </c>
      <c r="O148">
        <v>3</v>
      </c>
      <c r="P148">
        <v>4</v>
      </c>
    </row>
    <row r="149" spans="1:16" x14ac:dyDescent="0.45">
      <c r="A149" t="s">
        <v>68</v>
      </c>
      <c r="B149">
        <v>5</v>
      </c>
      <c r="C149">
        <v>1523</v>
      </c>
      <c r="D149">
        <v>775</v>
      </c>
      <c r="E149">
        <v>0</v>
      </c>
      <c r="F149">
        <v>0</v>
      </c>
      <c r="G149">
        <v>33</v>
      </c>
      <c r="H149">
        <v>17</v>
      </c>
      <c r="I149">
        <v>185</v>
      </c>
      <c r="J149">
        <v>20</v>
      </c>
      <c r="K149">
        <v>0</v>
      </c>
      <c r="L149">
        <v>38</v>
      </c>
      <c r="M149">
        <v>0</v>
      </c>
      <c r="N149">
        <v>0</v>
      </c>
      <c r="O149">
        <v>0</v>
      </c>
      <c r="P149">
        <v>1</v>
      </c>
    </row>
    <row r="150" spans="1:16" x14ac:dyDescent="0.45">
      <c r="A150" t="s">
        <v>68</v>
      </c>
      <c r="B150">
        <v>6</v>
      </c>
      <c r="C150">
        <v>1304</v>
      </c>
      <c r="D150">
        <v>1007</v>
      </c>
      <c r="E150">
        <v>0</v>
      </c>
      <c r="F150">
        <v>4</v>
      </c>
      <c r="G150">
        <v>19</v>
      </c>
      <c r="H150">
        <v>6</v>
      </c>
      <c r="I150">
        <v>154</v>
      </c>
      <c r="J150">
        <v>18</v>
      </c>
      <c r="K150">
        <v>13</v>
      </c>
      <c r="L150">
        <v>59</v>
      </c>
      <c r="M150">
        <v>0</v>
      </c>
      <c r="N150">
        <v>0</v>
      </c>
      <c r="O150">
        <v>4</v>
      </c>
      <c r="P150">
        <v>5</v>
      </c>
    </row>
    <row r="151" spans="1:16" x14ac:dyDescent="0.45">
      <c r="A151" t="s">
        <v>68</v>
      </c>
      <c r="B151">
        <v>7</v>
      </c>
      <c r="C151">
        <v>864</v>
      </c>
      <c r="D151">
        <v>757</v>
      </c>
      <c r="E151">
        <v>0</v>
      </c>
      <c r="F151">
        <v>0</v>
      </c>
      <c r="G151">
        <v>13</v>
      </c>
      <c r="H151">
        <v>10</v>
      </c>
      <c r="I151">
        <v>141</v>
      </c>
      <c r="J151">
        <v>39</v>
      </c>
      <c r="K151">
        <v>0</v>
      </c>
      <c r="L151">
        <v>40</v>
      </c>
      <c r="M151">
        <v>0</v>
      </c>
      <c r="N151">
        <v>0</v>
      </c>
      <c r="O151">
        <v>0</v>
      </c>
      <c r="P151">
        <v>3</v>
      </c>
    </row>
    <row r="152" spans="1:16" x14ac:dyDescent="0.45">
      <c r="A152" t="s">
        <v>68</v>
      </c>
      <c r="B152">
        <v>8</v>
      </c>
      <c r="C152">
        <v>644</v>
      </c>
      <c r="D152">
        <v>621</v>
      </c>
      <c r="E152">
        <v>0</v>
      </c>
      <c r="F152">
        <v>0</v>
      </c>
      <c r="G152">
        <v>6</v>
      </c>
      <c r="H152">
        <v>0</v>
      </c>
      <c r="I152">
        <v>142</v>
      </c>
      <c r="J152">
        <v>29</v>
      </c>
      <c r="K152">
        <v>0</v>
      </c>
      <c r="L152">
        <v>48</v>
      </c>
      <c r="M152">
        <v>0</v>
      </c>
      <c r="N152">
        <v>0</v>
      </c>
      <c r="O152">
        <v>0</v>
      </c>
    </row>
    <row r="153" spans="1:16" x14ac:dyDescent="0.45">
      <c r="A153" t="s">
        <v>68</v>
      </c>
      <c r="B153">
        <v>9</v>
      </c>
      <c r="C153">
        <v>656</v>
      </c>
      <c r="D153">
        <v>777</v>
      </c>
      <c r="E153">
        <v>0</v>
      </c>
      <c r="F153">
        <v>0</v>
      </c>
      <c r="G153">
        <v>5</v>
      </c>
      <c r="H153">
        <v>4</v>
      </c>
      <c r="I153">
        <v>101</v>
      </c>
      <c r="J153">
        <v>39</v>
      </c>
      <c r="K153">
        <v>3</v>
      </c>
      <c r="L153">
        <v>70</v>
      </c>
      <c r="M153">
        <v>0</v>
      </c>
      <c r="N153">
        <v>0</v>
      </c>
      <c r="O153">
        <v>0</v>
      </c>
      <c r="P153">
        <v>0</v>
      </c>
    </row>
    <row r="154" spans="1:16" x14ac:dyDescent="0.45">
      <c r="A154" t="s">
        <v>68</v>
      </c>
      <c r="B154">
        <v>10</v>
      </c>
      <c r="C154">
        <v>1035</v>
      </c>
      <c r="D154">
        <v>1022</v>
      </c>
      <c r="E154">
        <v>0</v>
      </c>
      <c r="F154">
        <v>0</v>
      </c>
      <c r="G154">
        <v>12</v>
      </c>
      <c r="H154">
        <v>11</v>
      </c>
      <c r="I154">
        <v>196</v>
      </c>
      <c r="J154">
        <v>31</v>
      </c>
      <c r="K154">
        <v>36</v>
      </c>
      <c r="L154">
        <v>120</v>
      </c>
      <c r="M154">
        <v>0</v>
      </c>
      <c r="N154">
        <v>0</v>
      </c>
      <c r="O154">
        <v>1</v>
      </c>
      <c r="P154">
        <v>5</v>
      </c>
    </row>
    <row r="155" spans="1:16" x14ac:dyDescent="0.45">
      <c r="A155" t="s">
        <v>68</v>
      </c>
      <c r="B155">
        <v>11</v>
      </c>
      <c r="C155">
        <v>1072</v>
      </c>
      <c r="D155">
        <v>845</v>
      </c>
      <c r="E155">
        <v>0</v>
      </c>
      <c r="F155">
        <v>12</v>
      </c>
      <c r="G155">
        <v>23</v>
      </c>
      <c r="H155">
        <v>8</v>
      </c>
      <c r="I155">
        <v>153</v>
      </c>
      <c r="J155">
        <v>23</v>
      </c>
      <c r="K155">
        <v>11</v>
      </c>
      <c r="L155">
        <v>57</v>
      </c>
      <c r="M155">
        <v>0</v>
      </c>
      <c r="N155">
        <v>0</v>
      </c>
      <c r="O155">
        <v>2</v>
      </c>
      <c r="P155">
        <v>4</v>
      </c>
    </row>
    <row r="156" spans="1:16" x14ac:dyDescent="0.45">
      <c r="A156" t="s">
        <v>68</v>
      </c>
      <c r="B156">
        <v>12</v>
      </c>
      <c r="C156">
        <v>1197</v>
      </c>
      <c r="D156">
        <v>910</v>
      </c>
      <c r="E156">
        <v>0</v>
      </c>
      <c r="F156">
        <v>3</v>
      </c>
      <c r="G156">
        <v>14</v>
      </c>
      <c r="H156">
        <v>0</v>
      </c>
      <c r="I156">
        <v>170</v>
      </c>
      <c r="J156">
        <v>15</v>
      </c>
      <c r="K156">
        <v>10</v>
      </c>
      <c r="L156">
        <v>59</v>
      </c>
      <c r="M156">
        <v>0</v>
      </c>
      <c r="N156">
        <v>0</v>
      </c>
      <c r="O156">
        <v>0</v>
      </c>
      <c r="P156">
        <v>2</v>
      </c>
    </row>
    <row r="157" spans="1:16" x14ac:dyDescent="0.45">
      <c r="A157" t="s">
        <v>75</v>
      </c>
      <c r="B157">
        <v>1</v>
      </c>
      <c r="C157">
        <v>1162</v>
      </c>
      <c r="D157">
        <v>512</v>
      </c>
      <c r="E157">
        <v>0</v>
      </c>
      <c r="F157">
        <v>23</v>
      </c>
      <c r="G157">
        <v>33</v>
      </c>
      <c r="H157">
        <v>30</v>
      </c>
      <c r="I157">
        <v>151</v>
      </c>
      <c r="J157">
        <v>107</v>
      </c>
      <c r="K157">
        <v>20</v>
      </c>
      <c r="L157">
        <v>105</v>
      </c>
      <c r="M157">
        <v>0</v>
      </c>
      <c r="N157">
        <v>0</v>
      </c>
      <c r="O157">
        <v>0</v>
      </c>
      <c r="P157">
        <v>0</v>
      </c>
    </row>
    <row r="158" spans="1:16" x14ac:dyDescent="0.45">
      <c r="A158" t="s">
        <v>75</v>
      </c>
      <c r="B158">
        <v>2</v>
      </c>
      <c r="C158">
        <v>1047</v>
      </c>
      <c r="D158">
        <v>510</v>
      </c>
      <c r="E158">
        <v>0</v>
      </c>
      <c r="F158">
        <v>34</v>
      </c>
      <c r="G158">
        <v>25</v>
      </c>
      <c r="H158">
        <v>44</v>
      </c>
      <c r="I158">
        <v>175</v>
      </c>
      <c r="J158">
        <v>94</v>
      </c>
      <c r="K158">
        <v>19</v>
      </c>
      <c r="L158">
        <v>121</v>
      </c>
      <c r="M158">
        <v>0</v>
      </c>
      <c r="N158">
        <v>1</v>
      </c>
      <c r="O158">
        <v>0</v>
      </c>
      <c r="P158">
        <v>2</v>
      </c>
    </row>
    <row r="159" spans="1:16" x14ac:dyDescent="0.45">
      <c r="A159" t="s">
        <v>75</v>
      </c>
      <c r="B159">
        <v>3</v>
      </c>
      <c r="C159">
        <v>1728</v>
      </c>
      <c r="D159">
        <v>616</v>
      </c>
      <c r="E159">
        <v>2</v>
      </c>
      <c r="F159">
        <v>11</v>
      </c>
      <c r="G159">
        <v>128</v>
      </c>
      <c r="H159">
        <v>129</v>
      </c>
      <c r="I159">
        <v>204</v>
      </c>
      <c r="J159">
        <v>103</v>
      </c>
      <c r="K159">
        <v>23</v>
      </c>
      <c r="L159">
        <v>149</v>
      </c>
      <c r="M159">
        <v>0</v>
      </c>
      <c r="N159">
        <v>2</v>
      </c>
      <c r="O159">
        <v>2</v>
      </c>
      <c r="P159">
        <v>7</v>
      </c>
    </row>
    <row r="160" spans="1:16" x14ac:dyDescent="0.45">
      <c r="A160" t="s">
        <v>75</v>
      </c>
      <c r="B160">
        <v>4</v>
      </c>
      <c r="C160">
        <v>3171</v>
      </c>
      <c r="D160">
        <v>880</v>
      </c>
      <c r="E160">
        <v>5</v>
      </c>
      <c r="F160">
        <v>7</v>
      </c>
      <c r="G160">
        <v>181</v>
      </c>
      <c r="H160">
        <v>325</v>
      </c>
      <c r="I160">
        <v>451</v>
      </c>
      <c r="J160">
        <v>205</v>
      </c>
      <c r="K160">
        <v>26</v>
      </c>
      <c r="L160">
        <v>197</v>
      </c>
      <c r="M160">
        <v>0</v>
      </c>
      <c r="N160">
        <v>11</v>
      </c>
      <c r="O160">
        <v>7</v>
      </c>
      <c r="P160">
        <v>8</v>
      </c>
    </row>
    <row r="161" spans="1:16" x14ac:dyDescent="0.45">
      <c r="A161" t="s">
        <v>75</v>
      </c>
      <c r="B161">
        <v>5</v>
      </c>
      <c r="C161">
        <v>2071</v>
      </c>
      <c r="D161">
        <v>691</v>
      </c>
      <c r="E161">
        <v>0</v>
      </c>
      <c r="F161">
        <v>5</v>
      </c>
      <c r="G161">
        <v>97</v>
      </c>
      <c r="H161">
        <v>198</v>
      </c>
      <c r="I161">
        <v>346</v>
      </c>
      <c r="J161">
        <v>161</v>
      </c>
      <c r="K161">
        <v>28</v>
      </c>
      <c r="L161">
        <v>172</v>
      </c>
      <c r="M161">
        <v>0</v>
      </c>
      <c r="N161">
        <v>8</v>
      </c>
      <c r="O161">
        <v>4</v>
      </c>
      <c r="P161">
        <v>14</v>
      </c>
    </row>
    <row r="162" spans="1:16" x14ac:dyDescent="0.45">
      <c r="A162" t="s">
        <v>75</v>
      </c>
      <c r="B162">
        <v>6</v>
      </c>
      <c r="C162">
        <v>1869</v>
      </c>
      <c r="D162">
        <v>820</v>
      </c>
      <c r="E162">
        <v>0</v>
      </c>
      <c r="F162">
        <v>2</v>
      </c>
      <c r="G162">
        <v>45</v>
      </c>
      <c r="H162">
        <v>129</v>
      </c>
      <c r="I162">
        <v>325</v>
      </c>
      <c r="J162">
        <v>208</v>
      </c>
      <c r="K162">
        <v>27</v>
      </c>
      <c r="L162">
        <v>170</v>
      </c>
      <c r="M162">
        <v>0</v>
      </c>
      <c r="N162">
        <v>25</v>
      </c>
      <c r="O162">
        <v>1</v>
      </c>
      <c r="P162">
        <v>6</v>
      </c>
    </row>
    <row r="163" spans="1:16" x14ac:dyDescent="0.45">
      <c r="A163" t="s">
        <v>75</v>
      </c>
      <c r="B163">
        <v>7</v>
      </c>
      <c r="C163">
        <v>1545</v>
      </c>
      <c r="D163">
        <v>680</v>
      </c>
      <c r="E163">
        <v>0</v>
      </c>
      <c r="F163">
        <v>1</v>
      </c>
      <c r="G163">
        <v>53</v>
      </c>
      <c r="H163">
        <v>30</v>
      </c>
      <c r="I163">
        <v>293</v>
      </c>
      <c r="J163">
        <v>212</v>
      </c>
      <c r="K163">
        <v>30</v>
      </c>
      <c r="L163">
        <v>148</v>
      </c>
      <c r="M163">
        <v>0</v>
      </c>
      <c r="N163">
        <v>23</v>
      </c>
      <c r="O163">
        <v>0</v>
      </c>
      <c r="P163">
        <v>12</v>
      </c>
    </row>
    <row r="164" spans="1:16" x14ac:dyDescent="0.45">
      <c r="A164" t="s">
        <v>75</v>
      </c>
      <c r="B164">
        <v>8</v>
      </c>
      <c r="C164">
        <v>1049</v>
      </c>
      <c r="D164">
        <v>488</v>
      </c>
      <c r="E164">
        <v>0</v>
      </c>
      <c r="F164">
        <v>7</v>
      </c>
      <c r="G164">
        <v>7</v>
      </c>
      <c r="H164">
        <v>9</v>
      </c>
      <c r="I164">
        <v>182</v>
      </c>
      <c r="J164">
        <v>148</v>
      </c>
      <c r="K164">
        <v>17</v>
      </c>
      <c r="L164">
        <v>115</v>
      </c>
      <c r="M164">
        <v>0</v>
      </c>
      <c r="N164">
        <v>7</v>
      </c>
      <c r="O164">
        <v>0</v>
      </c>
      <c r="P164">
        <v>16</v>
      </c>
    </row>
    <row r="165" spans="1:16" x14ac:dyDescent="0.45">
      <c r="A165" t="s">
        <v>75</v>
      </c>
      <c r="B165">
        <v>9</v>
      </c>
      <c r="C165">
        <v>1242</v>
      </c>
      <c r="D165">
        <v>586</v>
      </c>
      <c r="E165">
        <v>0</v>
      </c>
      <c r="F165">
        <v>9</v>
      </c>
      <c r="G165">
        <v>21</v>
      </c>
      <c r="H165">
        <v>17</v>
      </c>
      <c r="I165">
        <v>243</v>
      </c>
      <c r="J165">
        <v>204</v>
      </c>
      <c r="K165">
        <v>58</v>
      </c>
      <c r="L165">
        <v>149</v>
      </c>
      <c r="M165">
        <v>0</v>
      </c>
      <c r="N165">
        <v>0</v>
      </c>
      <c r="O165">
        <v>0</v>
      </c>
      <c r="P165">
        <v>0</v>
      </c>
    </row>
    <row r="166" spans="1:16" x14ac:dyDescent="0.45">
      <c r="A166" t="s">
        <v>75</v>
      </c>
      <c r="B166">
        <v>10</v>
      </c>
      <c r="C166">
        <v>1746</v>
      </c>
      <c r="D166">
        <v>709</v>
      </c>
      <c r="E166">
        <v>0</v>
      </c>
      <c r="F166">
        <v>24</v>
      </c>
      <c r="G166">
        <v>28</v>
      </c>
      <c r="H166">
        <v>38</v>
      </c>
      <c r="I166">
        <v>273</v>
      </c>
      <c r="J166">
        <v>220</v>
      </c>
      <c r="K166">
        <v>99</v>
      </c>
      <c r="L166">
        <v>163</v>
      </c>
      <c r="M166">
        <v>0</v>
      </c>
      <c r="N166">
        <v>5</v>
      </c>
      <c r="O166">
        <v>0</v>
      </c>
    </row>
    <row r="167" spans="1:16" x14ac:dyDescent="0.45">
      <c r="A167" t="s">
        <v>75</v>
      </c>
      <c r="B167">
        <v>11</v>
      </c>
      <c r="C167">
        <v>1758</v>
      </c>
      <c r="D167">
        <v>640</v>
      </c>
      <c r="E167">
        <v>0</v>
      </c>
      <c r="F167">
        <v>17</v>
      </c>
      <c r="G167">
        <v>27</v>
      </c>
      <c r="H167">
        <v>71</v>
      </c>
      <c r="I167">
        <v>297</v>
      </c>
      <c r="J167">
        <v>210</v>
      </c>
      <c r="K167">
        <v>61</v>
      </c>
      <c r="L167">
        <v>139</v>
      </c>
      <c r="M167">
        <v>0</v>
      </c>
      <c r="N167">
        <v>0</v>
      </c>
      <c r="O167">
        <v>0</v>
      </c>
      <c r="P167">
        <v>13</v>
      </c>
    </row>
    <row r="168" spans="1:16" x14ac:dyDescent="0.45">
      <c r="A168" t="s">
        <v>75</v>
      </c>
      <c r="B168">
        <v>12</v>
      </c>
      <c r="C168">
        <v>1751</v>
      </c>
      <c r="D168">
        <v>622</v>
      </c>
      <c r="E168">
        <v>0</v>
      </c>
      <c r="F168">
        <v>23</v>
      </c>
      <c r="G168">
        <v>65</v>
      </c>
      <c r="H168">
        <v>21</v>
      </c>
      <c r="I168">
        <v>242</v>
      </c>
      <c r="J168">
        <v>165</v>
      </c>
      <c r="K168">
        <v>51</v>
      </c>
      <c r="L168">
        <v>169</v>
      </c>
      <c r="M168">
        <v>0</v>
      </c>
      <c r="N168">
        <v>3</v>
      </c>
      <c r="O168">
        <v>0</v>
      </c>
      <c r="P168">
        <v>4</v>
      </c>
    </row>
    <row r="169" spans="1:16" x14ac:dyDescent="0.45">
      <c r="A169" t="s">
        <v>43</v>
      </c>
      <c r="B169">
        <v>1</v>
      </c>
      <c r="C169">
        <v>1353</v>
      </c>
      <c r="D169">
        <v>479</v>
      </c>
      <c r="E169">
        <v>0</v>
      </c>
      <c r="F169">
        <v>6</v>
      </c>
      <c r="G169">
        <v>35</v>
      </c>
      <c r="H169">
        <v>0</v>
      </c>
      <c r="I169">
        <v>182</v>
      </c>
      <c r="J169">
        <v>38</v>
      </c>
      <c r="K169">
        <v>1</v>
      </c>
      <c r="L169">
        <v>23</v>
      </c>
      <c r="M169">
        <v>0</v>
      </c>
      <c r="N169">
        <v>0</v>
      </c>
      <c r="O169">
        <v>0</v>
      </c>
      <c r="P169">
        <v>2</v>
      </c>
    </row>
    <row r="170" spans="1:16" x14ac:dyDescent="0.45">
      <c r="A170" t="s">
        <v>43</v>
      </c>
      <c r="B170">
        <v>2</v>
      </c>
      <c r="C170">
        <v>1083</v>
      </c>
      <c r="D170">
        <v>448</v>
      </c>
      <c r="E170">
        <v>0</v>
      </c>
      <c r="F170">
        <v>3</v>
      </c>
      <c r="G170">
        <v>15</v>
      </c>
      <c r="H170">
        <v>0</v>
      </c>
      <c r="I170">
        <v>128</v>
      </c>
      <c r="J170">
        <v>25</v>
      </c>
      <c r="K170">
        <v>0</v>
      </c>
      <c r="L170">
        <v>10</v>
      </c>
      <c r="M170">
        <v>0</v>
      </c>
      <c r="N170">
        <v>0</v>
      </c>
      <c r="O170">
        <v>0</v>
      </c>
      <c r="P170">
        <v>5</v>
      </c>
    </row>
    <row r="171" spans="1:16" x14ac:dyDescent="0.45">
      <c r="A171" t="s">
        <v>43</v>
      </c>
      <c r="B171">
        <v>3</v>
      </c>
      <c r="C171">
        <v>1917</v>
      </c>
      <c r="D171">
        <v>637</v>
      </c>
      <c r="E171">
        <v>1</v>
      </c>
      <c r="F171">
        <v>1</v>
      </c>
      <c r="G171">
        <v>130</v>
      </c>
      <c r="H171">
        <v>7</v>
      </c>
      <c r="I171">
        <v>186</v>
      </c>
      <c r="J171">
        <v>60</v>
      </c>
      <c r="K171">
        <v>3</v>
      </c>
      <c r="L171">
        <v>16</v>
      </c>
      <c r="M171">
        <v>0</v>
      </c>
      <c r="N171">
        <v>0</v>
      </c>
      <c r="O171">
        <v>0</v>
      </c>
      <c r="P171">
        <v>1</v>
      </c>
    </row>
    <row r="172" spans="1:16" x14ac:dyDescent="0.45">
      <c r="A172" t="s">
        <v>43</v>
      </c>
      <c r="B172">
        <v>4</v>
      </c>
      <c r="C172">
        <v>3054</v>
      </c>
      <c r="D172">
        <v>642</v>
      </c>
      <c r="E172">
        <v>2</v>
      </c>
      <c r="F172">
        <v>2</v>
      </c>
      <c r="G172">
        <v>132</v>
      </c>
      <c r="H172">
        <v>18</v>
      </c>
      <c r="I172">
        <v>225</v>
      </c>
      <c r="J172">
        <v>62</v>
      </c>
      <c r="K172">
        <v>0</v>
      </c>
      <c r="L172">
        <v>19</v>
      </c>
      <c r="M172">
        <v>0</v>
      </c>
      <c r="N172">
        <v>0</v>
      </c>
      <c r="O172">
        <v>2</v>
      </c>
      <c r="P172">
        <v>1</v>
      </c>
    </row>
    <row r="173" spans="1:16" x14ac:dyDescent="0.45">
      <c r="A173" t="s">
        <v>43</v>
      </c>
      <c r="B173">
        <v>5</v>
      </c>
      <c r="C173">
        <v>1876</v>
      </c>
      <c r="D173">
        <v>525</v>
      </c>
      <c r="E173">
        <v>0</v>
      </c>
      <c r="F173">
        <v>0</v>
      </c>
      <c r="G173">
        <v>78</v>
      </c>
      <c r="H173">
        <v>11</v>
      </c>
      <c r="I173">
        <v>152</v>
      </c>
      <c r="J173">
        <v>51</v>
      </c>
      <c r="K173">
        <v>1</v>
      </c>
      <c r="L173">
        <v>20</v>
      </c>
      <c r="M173">
        <v>0</v>
      </c>
      <c r="N173">
        <v>0</v>
      </c>
      <c r="O173">
        <v>0</v>
      </c>
      <c r="P173">
        <v>1</v>
      </c>
    </row>
    <row r="174" spans="1:16" x14ac:dyDescent="0.45">
      <c r="A174" t="s">
        <v>43</v>
      </c>
      <c r="B174">
        <v>6</v>
      </c>
      <c r="C174">
        <v>1926</v>
      </c>
      <c r="D174">
        <v>564</v>
      </c>
      <c r="E174">
        <v>0</v>
      </c>
      <c r="F174">
        <v>0</v>
      </c>
      <c r="G174">
        <v>68</v>
      </c>
      <c r="H174">
        <v>2</v>
      </c>
      <c r="I174">
        <v>290</v>
      </c>
      <c r="J174">
        <v>45</v>
      </c>
      <c r="K174">
        <v>2</v>
      </c>
      <c r="L174">
        <v>26</v>
      </c>
      <c r="M174">
        <v>0</v>
      </c>
      <c r="N174">
        <v>0</v>
      </c>
      <c r="O174">
        <v>0</v>
      </c>
      <c r="P174">
        <v>0</v>
      </c>
    </row>
    <row r="175" spans="1:16" x14ac:dyDescent="0.45">
      <c r="A175" t="s">
        <v>43</v>
      </c>
      <c r="B175">
        <v>7</v>
      </c>
      <c r="C175">
        <v>2093</v>
      </c>
      <c r="D175">
        <v>605</v>
      </c>
      <c r="E175">
        <v>0</v>
      </c>
      <c r="F175">
        <v>0</v>
      </c>
      <c r="G175">
        <v>47</v>
      </c>
      <c r="H175">
        <v>0</v>
      </c>
      <c r="I175">
        <v>250</v>
      </c>
      <c r="J175">
        <v>94</v>
      </c>
      <c r="K175">
        <v>0</v>
      </c>
      <c r="L175">
        <v>22</v>
      </c>
      <c r="M175">
        <v>0</v>
      </c>
      <c r="N175">
        <v>0</v>
      </c>
      <c r="O175">
        <v>0</v>
      </c>
      <c r="P175">
        <v>6</v>
      </c>
    </row>
    <row r="176" spans="1:16" x14ac:dyDescent="0.45">
      <c r="A176" t="s">
        <v>43</v>
      </c>
      <c r="B176">
        <v>8</v>
      </c>
      <c r="C176">
        <v>1452</v>
      </c>
      <c r="D176">
        <v>427</v>
      </c>
      <c r="E176">
        <v>0</v>
      </c>
      <c r="F176">
        <v>0</v>
      </c>
      <c r="G176">
        <v>41</v>
      </c>
      <c r="H176">
        <v>0</v>
      </c>
      <c r="I176">
        <v>180</v>
      </c>
      <c r="J176">
        <v>84</v>
      </c>
      <c r="K176">
        <v>1</v>
      </c>
      <c r="L176">
        <v>23</v>
      </c>
      <c r="M176">
        <v>0</v>
      </c>
      <c r="N176">
        <v>0</v>
      </c>
      <c r="O176">
        <v>0</v>
      </c>
    </row>
    <row r="177" spans="1:16" x14ac:dyDescent="0.45">
      <c r="A177" t="s">
        <v>43</v>
      </c>
      <c r="B177">
        <v>9</v>
      </c>
      <c r="C177">
        <v>1578</v>
      </c>
      <c r="D177">
        <v>603</v>
      </c>
      <c r="E177">
        <v>0</v>
      </c>
      <c r="F177">
        <v>0</v>
      </c>
      <c r="G177">
        <v>28</v>
      </c>
      <c r="H177">
        <v>0</v>
      </c>
      <c r="I177">
        <v>174</v>
      </c>
      <c r="J177">
        <v>79</v>
      </c>
      <c r="K177">
        <v>9</v>
      </c>
      <c r="L177">
        <v>46</v>
      </c>
      <c r="M177">
        <v>0</v>
      </c>
      <c r="N177">
        <v>0</v>
      </c>
      <c r="O177">
        <v>0</v>
      </c>
      <c r="P177">
        <v>0</v>
      </c>
    </row>
    <row r="178" spans="1:16" x14ac:dyDescent="0.45">
      <c r="A178" t="s">
        <v>43</v>
      </c>
      <c r="B178">
        <v>10</v>
      </c>
      <c r="C178">
        <v>2094</v>
      </c>
      <c r="D178">
        <v>786</v>
      </c>
      <c r="E178">
        <v>0</v>
      </c>
      <c r="F178">
        <v>1</v>
      </c>
      <c r="G178">
        <v>40</v>
      </c>
      <c r="H178">
        <v>0</v>
      </c>
      <c r="I178">
        <v>241</v>
      </c>
      <c r="J178">
        <v>119</v>
      </c>
      <c r="K178">
        <v>32</v>
      </c>
      <c r="L178">
        <v>44</v>
      </c>
      <c r="M178">
        <v>0</v>
      </c>
      <c r="N178">
        <v>0</v>
      </c>
      <c r="O178">
        <v>0</v>
      </c>
      <c r="P178">
        <v>2</v>
      </c>
    </row>
    <row r="179" spans="1:16" x14ac:dyDescent="0.45">
      <c r="A179" t="s">
        <v>43</v>
      </c>
      <c r="B179">
        <v>11</v>
      </c>
      <c r="C179">
        <v>1538</v>
      </c>
      <c r="D179">
        <v>603</v>
      </c>
      <c r="E179">
        <v>0</v>
      </c>
      <c r="F179">
        <v>2</v>
      </c>
      <c r="G179">
        <v>18</v>
      </c>
      <c r="H179">
        <v>0</v>
      </c>
      <c r="I179">
        <v>229</v>
      </c>
      <c r="J179">
        <v>39</v>
      </c>
      <c r="K179">
        <v>8</v>
      </c>
      <c r="L179">
        <v>23</v>
      </c>
      <c r="M179">
        <v>0</v>
      </c>
      <c r="N179">
        <v>0</v>
      </c>
      <c r="O179">
        <v>0</v>
      </c>
      <c r="P179">
        <v>2</v>
      </c>
    </row>
    <row r="180" spans="1:16" x14ac:dyDescent="0.45">
      <c r="A180" t="s">
        <v>43</v>
      </c>
      <c r="B180">
        <v>12</v>
      </c>
      <c r="C180">
        <v>1792</v>
      </c>
      <c r="D180">
        <v>658</v>
      </c>
      <c r="E180">
        <v>0</v>
      </c>
      <c r="F180">
        <v>1</v>
      </c>
      <c r="G180">
        <v>62</v>
      </c>
      <c r="H180">
        <v>0</v>
      </c>
      <c r="I180">
        <v>189</v>
      </c>
      <c r="J180">
        <v>68</v>
      </c>
      <c r="K180">
        <v>12</v>
      </c>
      <c r="L180">
        <v>27</v>
      </c>
      <c r="M180">
        <v>0</v>
      </c>
      <c r="N180">
        <v>0</v>
      </c>
      <c r="O180">
        <v>1</v>
      </c>
      <c r="P180">
        <v>8</v>
      </c>
    </row>
    <row r="181" spans="1:16" x14ac:dyDescent="0.45">
      <c r="A181" t="s">
        <v>84</v>
      </c>
      <c r="B181">
        <v>1</v>
      </c>
      <c r="C181">
        <v>928</v>
      </c>
      <c r="D181">
        <v>654</v>
      </c>
      <c r="E181">
        <v>0</v>
      </c>
      <c r="F181">
        <v>22</v>
      </c>
      <c r="G181">
        <v>13</v>
      </c>
      <c r="H181">
        <v>0</v>
      </c>
      <c r="I181">
        <v>218</v>
      </c>
      <c r="J181">
        <v>40</v>
      </c>
      <c r="K181">
        <v>5</v>
      </c>
      <c r="L181">
        <v>61</v>
      </c>
      <c r="M181">
        <v>0</v>
      </c>
      <c r="N181">
        <v>0</v>
      </c>
      <c r="O181">
        <v>0</v>
      </c>
      <c r="P181">
        <v>1</v>
      </c>
    </row>
    <row r="182" spans="1:16" x14ac:dyDescent="0.45">
      <c r="A182" t="s">
        <v>84</v>
      </c>
      <c r="B182">
        <v>2</v>
      </c>
      <c r="C182">
        <v>774</v>
      </c>
      <c r="D182">
        <v>688</v>
      </c>
      <c r="E182">
        <v>0</v>
      </c>
      <c r="F182">
        <v>11</v>
      </c>
      <c r="G182">
        <v>17</v>
      </c>
      <c r="H182">
        <v>1</v>
      </c>
      <c r="I182">
        <v>199</v>
      </c>
      <c r="J182">
        <v>32</v>
      </c>
      <c r="K182">
        <v>8</v>
      </c>
      <c r="L182">
        <v>65</v>
      </c>
      <c r="M182">
        <v>0</v>
      </c>
      <c r="N182">
        <v>0</v>
      </c>
      <c r="O182">
        <v>0</v>
      </c>
      <c r="P182">
        <v>1</v>
      </c>
    </row>
    <row r="183" spans="1:16" x14ac:dyDescent="0.45">
      <c r="A183" t="s">
        <v>84</v>
      </c>
      <c r="B183">
        <v>3</v>
      </c>
      <c r="C183">
        <v>1479</v>
      </c>
      <c r="D183">
        <v>781</v>
      </c>
      <c r="E183">
        <v>5</v>
      </c>
      <c r="F183">
        <v>0</v>
      </c>
      <c r="G183">
        <v>70</v>
      </c>
      <c r="H183">
        <v>50</v>
      </c>
      <c r="I183">
        <v>373</v>
      </c>
      <c r="J183">
        <v>53</v>
      </c>
      <c r="K183">
        <v>15</v>
      </c>
      <c r="L183">
        <v>115</v>
      </c>
      <c r="M183">
        <v>0</v>
      </c>
      <c r="N183">
        <v>0</v>
      </c>
      <c r="O183">
        <v>5</v>
      </c>
      <c r="P183">
        <v>5</v>
      </c>
    </row>
    <row r="184" spans="1:16" x14ac:dyDescent="0.45">
      <c r="A184" t="s">
        <v>84</v>
      </c>
      <c r="B184">
        <v>4</v>
      </c>
      <c r="C184">
        <v>2754</v>
      </c>
      <c r="D184">
        <v>885</v>
      </c>
      <c r="E184">
        <v>6</v>
      </c>
      <c r="F184">
        <v>0</v>
      </c>
      <c r="G184">
        <v>25</v>
      </c>
      <c r="H184">
        <v>118</v>
      </c>
      <c r="I184">
        <v>696</v>
      </c>
      <c r="J184">
        <v>85</v>
      </c>
      <c r="K184">
        <v>6</v>
      </c>
      <c r="L184">
        <v>115</v>
      </c>
      <c r="M184">
        <v>0</v>
      </c>
      <c r="N184">
        <v>5</v>
      </c>
      <c r="O184">
        <v>3</v>
      </c>
      <c r="P184">
        <v>1</v>
      </c>
    </row>
    <row r="185" spans="1:16" x14ac:dyDescent="0.45">
      <c r="A185" t="s">
        <v>84</v>
      </c>
      <c r="B185">
        <v>5</v>
      </c>
      <c r="C185">
        <v>2282</v>
      </c>
      <c r="D185">
        <v>842</v>
      </c>
      <c r="E185">
        <v>0</v>
      </c>
      <c r="F185">
        <v>0</v>
      </c>
      <c r="G185">
        <v>14</v>
      </c>
      <c r="H185">
        <v>76</v>
      </c>
      <c r="I185">
        <v>594</v>
      </c>
      <c r="J185">
        <v>96</v>
      </c>
      <c r="K185">
        <v>23</v>
      </c>
      <c r="L185">
        <v>91</v>
      </c>
      <c r="M185">
        <v>0</v>
      </c>
      <c r="N185">
        <v>4</v>
      </c>
      <c r="O185">
        <v>1</v>
      </c>
      <c r="P185">
        <v>5</v>
      </c>
    </row>
    <row r="186" spans="1:16" x14ac:dyDescent="0.45">
      <c r="A186" t="s">
        <v>84</v>
      </c>
      <c r="B186">
        <v>6</v>
      </c>
      <c r="C186">
        <v>1740</v>
      </c>
      <c r="D186">
        <v>911</v>
      </c>
      <c r="E186">
        <v>0</v>
      </c>
      <c r="F186">
        <v>0</v>
      </c>
      <c r="G186">
        <v>34</v>
      </c>
      <c r="H186">
        <v>12</v>
      </c>
      <c r="I186">
        <v>480</v>
      </c>
      <c r="J186">
        <v>64</v>
      </c>
      <c r="K186">
        <v>0</v>
      </c>
      <c r="L186">
        <v>110</v>
      </c>
      <c r="M186">
        <v>0</v>
      </c>
      <c r="N186">
        <v>2</v>
      </c>
      <c r="O186">
        <v>0</v>
      </c>
      <c r="P186">
        <v>0</v>
      </c>
    </row>
    <row r="187" spans="1:16" x14ac:dyDescent="0.45">
      <c r="A187" t="s">
        <v>84</v>
      </c>
      <c r="B187">
        <v>7</v>
      </c>
      <c r="C187">
        <v>1481</v>
      </c>
      <c r="D187">
        <v>835</v>
      </c>
      <c r="E187">
        <v>0</v>
      </c>
      <c r="F187">
        <v>0</v>
      </c>
      <c r="G187">
        <v>17</v>
      </c>
      <c r="H187">
        <v>7</v>
      </c>
      <c r="I187">
        <v>371</v>
      </c>
      <c r="J187">
        <v>139</v>
      </c>
      <c r="K187">
        <v>16</v>
      </c>
      <c r="L187">
        <v>126</v>
      </c>
      <c r="M187">
        <v>0</v>
      </c>
      <c r="N187">
        <v>0</v>
      </c>
      <c r="O187">
        <v>0</v>
      </c>
      <c r="P187">
        <v>3</v>
      </c>
    </row>
    <row r="188" spans="1:16" x14ac:dyDescent="0.45">
      <c r="A188" t="s">
        <v>84</v>
      </c>
      <c r="B188">
        <v>8</v>
      </c>
      <c r="C188">
        <v>1078</v>
      </c>
      <c r="D188">
        <v>561</v>
      </c>
      <c r="E188">
        <v>0</v>
      </c>
      <c r="F188">
        <v>0</v>
      </c>
      <c r="G188">
        <v>3</v>
      </c>
      <c r="H188">
        <v>0</v>
      </c>
      <c r="I188">
        <v>260</v>
      </c>
      <c r="J188">
        <v>117</v>
      </c>
      <c r="K188">
        <v>7</v>
      </c>
      <c r="L188">
        <v>66</v>
      </c>
      <c r="M188">
        <v>0</v>
      </c>
      <c r="N188">
        <v>0</v>
      </c>
      <c r="O188">
        <v>0</v>
      </c>
      <c r="P188">
        <v>3</v>
      </c>
    </row>
    <row r="189" spans="1:16" x14ac:dyDescent="0.45">
      <c r="A189" t="s">
        <v>84</v>
      </c>
      <c r="B189">
        <v>9</v>
      </c>
      <c r="C189">
        <v>1000</v>
      </c>
      <c r="D189">
        <v>715</v>
      </c>
      <c r="E189">
        <v>0</v>
      </c>
      <c r="F189">
        <v>0</v>
      </c>
      <c r="G189">
        <v>7</v>
      </c>
      <c r="H189">
        <v>0</v>
      </c>
      <c r="I189">
        <v>255</v>
      </c>
      <c r="J189">
        <v>102</v>
      </c>
      <c r="K189">
        <v>25</v>
      </c>
      <c r="L189">
        <v>78</v>
      </c>
      <c r="M189">
        <v>0</v>
      </c>
      <c r="N189">
        <v>0</v>
      </c>
      <c r="O189">
        <v>0</v>
      </c>
      <c r="P189">
        <v>0</v>
      </c>
    </row>
    <row r="190" spans="1:16" x14ac:dyDescent="0.45">
      <c r="A190" t="s">
        <v>84</v>
      </c>
      <c r="B190">
        <v>10</v>
      </c>
      <c r="C190">
        <v>1202</v>
      </c>
      <c r="D190">
        <v>825</v>
      </c>
      <c r="E190">
        <v>0</v>
      </c>
      <c r="F190">
        <v>0</v>
      </c>
      <c r="G190">
        <v>6</v>
      </c>
      <c r="H190">
        <v>20</v>
      </c>
      <c r="I190">
        <v>232</v>
      </c>
      <c r="J190">
        <v>117</v>
      </c>
      <c r="K190">
        <v>14</v>
      </c>
      <c r="L190">
        <v>69</v>
      </c>
      <c r="M190">
        <v>0</v>
      </c>
      <c r="N190">
        <v>1</v>
      </c>
      <c r="O190">
        <v>0</v>
      </c>
    </row>
    <row r="191" spans="1:16" x14ac:dyDescent="0.45">
      <c r="A191" t="s">
        <v>84</v>
      </c>
      <c r="B191">
        <v>11</v>
      </c>
      <c r="C191">
        <v>1458</v>
      </c>
      <c r="D191">
        <v>795</v>
      </c>
      <c r="E191">
        <v>0</v>
      </c>
      <c r="F191">
        <v>12</v>
      </c>
      <c r="G191">
        <v>16</v>
      </c>
      <c r="H191">
        <v>8</v>
      </c>
      <c r="I191">
        <v>327</v>
      </c>
      <c r="J191">
        <v>100</v>
      </c>
      <c r="K191">
        <v>10</v>
      </c>
      <c r="L191">
        <v>113</v>
      </c>
      <c r="M191">
        <v>0</v>
      </c>
      <c r="N191">
        <v>1</v>
      </c>
      <c r="O191">
        <v>0</v>
      </c>
      <c r="P191">
        <v>5</v>
      </c>
    </row>
    <row r="192" spans="1:16" x14ac:dyDescent="0.45">
      <c r="A192" t="s">
        <v>84</v>
      </c>
      <c r="B192">
        <v>12</v>
      </c>
      <c r="C192">
        <v>1462</v>
      </c>
      <c r="D192">
        <v>764</v>
      </c>
      <c r="E192">
        <v>0</v>
      </c>
      <c r="F192">
        <v>25</v>
      </c>
      <c r="G192">
        <v>28</v>
      </c>
      <c r="H192">
        <v>9</v>
      </c>
      <c r="I192">
        <v>209</v>
      </c>
      <c r="J192">
        <v>76</v>
      </c>
      <c r="K192">
        <v>11</v>
      </c>
      <c r="L192">
        <v>72</v>
      </c>
      <c r="M192">
        <v>0</v>
      </c>
      <c r="N192">
        <v>1</v>
      </c>
      <c r="O192">
        <v>0</v>
      </c>
      <c r="P192">
        <v>3</v>
      </c>
    </row>
    <row r="193" spans="1:16" x14ac:dyDescent="0.45">
      <c r="A193" t="s">
        <v>40</v>
      </c>
      <c r="B193">
        <v>1</v>
      </c>
      <c r="C193">
        <v>1534</v>
      </c>
      <c r="D193">
        <v>1058</v>
      </c>
      <c r="E193">
        <v>0</v>
      </c>
      <c r="F193">
        <v>8</v>
      </c>
      <c r="G193">
        <v>37</v>
      </c>
      <c r="H193">
        <v>5</v>
      </c>
      <c r="I193">
        <v>211</v>
      </c>
      <c r="J193">
        <v>11</v>
      </c>
      <c r="K193">
        <v>30</v>
      </c>
      <c r="L193">
        <v>147</v>
      </c>
      <c r="M193">
        <v>0</v>
      </c>
      <c r="N193">
        <v>0</v>
      </c>
      <c r="O193">
        <v>1</v>
      </c>
      <c r="P193">
        <v>5</v>
      </c>
    </row>
    <row r="194" spans="1:16" x14ac:dyDescent="0.45">
      <c r="A194" t="s">
        <v>40</v>
      </c>
      <c r="B194">
        <v>2</v>
      </c>
      <c r="C194">
        <v>1116</v>
      </c>
      <c r="D194">
        <v>987</v>
      </c>
      <c r="E194">
        <v>0</v>
      </c>
      <c r="F194">
        <v>12</v>
      </c>
      <c r="G194">
        <v>16</v>
      </c>
      <c r="H194">
        <v>14</v>
      </c>
      <c r="I194">
        <v>173</v>
      </c>
      <c r="J194">
        <v>13</v>
      </c>
      <c r="K194">
        <v>6</v>
      </c>
      <c r="L194">
        <v>149</v>
      </c>
      <c r="M194">
        <v>0</v>
      </c>
      <c r="N194">
        <v>0</v>
      </c>
      <c r="O194">
        <v>0</v>
      </c>
      <c r="P194">
        <v>2</v>
      </c>
    </row>
    <row r="195" spans="1:16" x14ac:dyDescent="0.45">
      <c r="A195" t="s">
        <v>40</v>
      </c>
      <c r="B195">
        <v>3</v>
      </c>
      <c r="C195">
        <v>2162</v>
      </c>
      <c r="D195">
        <v>1328</v>
      </c>
      <c r="E195">
        <v>3</v>
      </c>
      <c r="F195">
        <v>2</v>
      </c>
      <c r="G195">
        <v>81</v>
      </c>
      <c r="H195">
        <v>42</v>
      </c>
      <c r="I195">
        <v>343</v>
      </c>
      <c r="J195">
        <v>11</v>
      </c>
      <c r="K195">
        <v>2</v>
      </c>
      <c r="L195">
        <v>175</v>
      </c>
      <c r="M195">
        <v>0</v>
      </c>
      <c r="N195">
        <v>0</v>
      </c>
      <c r="O195">
        <v>4</v>
      </c>
      <c r="P195">
        <v>8</v>
      </c>
    </row>
    <row r="196" spans="1:16" x14ac:dyDescent="0.45">
      <c r="A196" t="s">
        <v>40</v>
      </c>
      <c r="B196">
        <v>4</v>
      </c>
      <c r="C196">
        <v>3984</v>
      </c>
      <c r="D196">
        <v>1210</v>
      </c>
      <c r="E196">
        <v>4</v>
      </c>
      <c r="F196">
        <v>1</v>
      </c>
      <c r="G196">
        <v>144</v>
      </c>
      <c r="H196">
        <v>183</v>
      </c>
      <c r="I196">
        <v>454</v>
      </c>
      <c r="J196">
        <v>14</v>
      </c>
      <c r="K196">
        <v>0</v>
      </c>
      <c r="L196">
        <v>166</v>
      </c>
      <c r="M196">
        <v>0</v>
      </c>
      <c r="N196">
        <v>2</v>
      </c>
      <c r="O196">
        <v>15</v>
      </c>
      <c r="P196">
        <v>10</v>
      </c>
    </row>
    <row r="197" spans="1:16" x14ac:dyDescent="0.45">
      <c r="A197" t="s">
        <v>40</v>
      </c>
      <c r="B197">
        <v>5</v>
      </c>
      <c r="C197">
        <v>2936</v>
      </c>
      <c r="D197">
        <v>1053</v>
      </c>
      <c r="E197">
        <v>0</v>
      </c>
      <c r="F197">
        <v>0</v>
      </c>
      <c r="G197">
        <v>110</v>
      </c>
      <c r="H197">
        <v>87</v>
      </c>
      <c r="I197">
        <v>367</v>
      </c>
      <c r="J197">
        <v>13</v>
      </c>
      <c r="K197">
        <v>0</v>
      </c>
      <c r="L197">
        <v>119</v>
      </c>
      <c r="M197">
        <v>0</v>
      </c>
      <c r="N197">
        <v>0</v>
      </c>
      <c r="O197">
        <v>3</v>
      </c>
      <c r="P197">
        <v>7</v>
      </c>
    </row>
    <row r="198" spans="1:16" x14ac:dyDescent="0.45">
      <c r="A198" t="s">
        <v>40</v>
      </c>
      <c r="B198">
        <v>6</v>
      </c>
      <c r="C198">
        <v>2503</v>
      </c>
      <c r="D198">
        <v>1202</v>
      </c>
      <c r="E198">
        <v>0</v>
      </c>
      <c r="F198">
        <v>0</v>
      </c>
      <c r="G198">
        <v>88</v>
      </c>
      <c r="H198">
        <v>20</v>
      </c>
      <c r="I198">
        <v>382</v>
      </c>
      <c r="J198">
        <v>34</v>
      </c>
      <c r="K198">
        <v>1</v>
      </c>
      <c r="L198">
        <v>141</v>
      </c>
      <c r="M198">
        <v>0</v>
      </c>
      <c r="N198">
        <v>1</v>
      </c>
      <c r="O198">
        <v>0</v>
      </c>
      <c r="P198">
        <v>12</v>
      </c>
    </row>
    <row r="199" spans="1:16" x14ac:dyDescent="0.45">
      <c r="A199" t="s">
        <v>40</v>
      </c>
      <c r="B199">
        <v>7</v>
      </c>
      <c r="C199">
        <v>2643</v>
      </c>
      <c r="D199">
        <v>1455</v>
      </c>
      <c r="E199">
        <v>0</v>
      </c>
      <c r="F199">
        <v>0</v>
      </c>
      <c r="G199">
        <v>79</v>
      </c>
      <c r="H199">
        <v>15</v>
      </c>
      <c r="I199">
        <v>412</v>
      </c>
      <c r="J199">
        <v>107</v>
      </c>
      <c r="K199">
        <v>4</v>
      </c>
      <c r="L199">
        <v>133</v>
      </c>
      <c r="M199">
        <v>0</v>
      </c>
      <c r="N199">
        <v>2</v>
      </c>
      <c r="O199">
        <v>0</v>
      </c>
      <c r="P199">
        <v>11</v>
      </c>
    </row>
    <row r="200" spans="1:16" x14ac:dyDescent="0.45">
      <c r="A200" t="s">
        <v>40</v>
      </c>
      <c r="B200">
        <v>8</v>
      </c>
      <c r="C200">
        <v>1631</v>
      </c>
      <c r="D200">
        <v>974</v>
      </c>
      <c r="E200">
        <v>0</v>
      </c>
      <c r="F200">
        <v>0</v>
      </c>
      <c r="G200">
        <v>52</v>
      </c>
      <c r="H200">
        <v>2</v>
      </c>
      <c r="I200">
        <v>348</v>
      </c>
      <c r="J200">
        <v>39</v>
      </c>
      <c r="K200">
        <v>0</v>
      </c>
      <c r="L200">
        <v>89</v>
      </c>
      <c r="M200">
        <v>0</v>
      </c>
      <c r="N200">
        <v>4</v>
      </c>
      <c r="O200">
        <v>0</v>
      </c>
    </row>
    <row r="201" spans="1:16" x14ac:dyDescent="0.45">
      <c r="A201" t="s">
        <v>40</v>
      </c>
      <c r="B201">
        <v>9</v>
      </c>
      <c r="C201">
        <v>1480</v>
      </c>
      <c r="D201">
        <v>1106</v>
      </c>
      <c r="E201">
        <v>0</v>
      </c>
      <c r="F201">
        <v>0</v>
      </c>
      <c r="G201">
        <v>26</v>
      </c>
      <c r="H201">
        <v>4</v>
      </c>
      <c r="I201">
        <v>338</v>
      </c>
      <c r="J201">
        <v>39</v>
      </c>
      <c r="K201">
        <v>43</v>
      </c>
      <c r="L201">
        <v>106</v>
      </c>
      <c r="M201">
        <v>0</v>
      </c>
      <c r="N201">
        <v>0</v>
      </c>
      <c r="O201">
        <v>1</v>
      </c>
      <c r="P201">
        <v>3</v>
      </c>
    </row>
    <row r="202" spans="1:16" x14ac:dyDescent="0.45">
      <c r="A202" t="s">
        <v>40</v>
      </c>
      <c r="B202">
        <v>10</v>
      </c>
      <c r="C202">
        <v>2271</v>
      </c>
      <c r="D202">
        <v>1365</v>
      </c>
      <c r="E202">
        <v>0</v>
      </c>
      <c r="F202">
        <v>1</v>
      </c>
      <c r="G202">
        <v>33</v>
      </c>
      <c r="H202">
        <v>0</v>
      </c>
      <c r="I202">
        <v>382</v>
      </c>
      <c r="J202">
        <v>25</v>
      </c>
      <c r="K202">
        <v>41</v>
      </c>
      <c r="L202">
        <v>164</v>
      </c>
      <c r="M202">
        <v>0</v>
      </c>
      <c r="N202">
        <v>1</v>
      </c>
      <c r="O202">
        <v>0</v>
      </c>
      <c r="P202">
        <v>2</v>
      </c>
    </row>
    <row r="203" spans="1:16" x14ac:dyDescent="0.45">
      <c r="A203" t="s">
        <v>40</v>
      </c>
      <c r="B203">
        <v>11</v>
      </c>
      <c r="C203">
        <v>2240</v>
      </c>
      <c r="D203">
        <v>1315</v>
      </c>
      <c r="E203">
        <v>0</v>
      </c>
      <c r="F203">
        <v>13</v>
      </c>
      <c r="G203">
        <v>46</v>
      </c>
      <c r="H203">
        <v>1</v>
      </c>
      <c r="I203">
        <v>357</v>
      </c>
      <c r="J203">
        <v>23</v>
      </c>
      <c r="K203">
        <v>86</v>
      </c>
      <c r="L203">
        <v>109</v>
      </c>
      <c r="M203">
        <v>0</v>
      </c>
      <c r="N203">
        <v>1</v>
      </c>
      <c r="O203">
        <v>0</v>
      </c>
      <c r="P203">
        <v>2</v>
      </c>
    </row>
    <row r="204" spans="1:16" x14ac:dyDescent="0.45">
      <c r="A204" t="s">
        <v>40</v>
      </c>
      <c r="B204">
        <v>12</v>
      </c>
      <c r="C204">
        <v>2219</v>
      </c>
      <c r="D204">
        <v>1364</v>
      </c>
      <c r="E204">
        <v>0</v>
      </c>
      <c r="F204">
        <v>21</v>
      </c>
      <c r="G204">
        <v>93</v>
      </c>
      <c r="H204">
        <v>4</v>
      </c>
      <c r="I204">
        <v>387</v>
      </c>
      <c r="J204">
        <v>11</v>
      </c>
      <c r="K204">
        <v>56</v>
      </c>
      <c r="L204">
        <v>199</v>
      </c>
      <c r="M204">
        <v>0</v>
      </c>
      <c r="N204">
        <v>0</v>
      </c>
      <c r="O204">
        <v>0</v>
      </c>
      <c r="P204">
        <v>12</v>
      </c>
    </row>
    <row r="205" spans="1:16" x14ac:dyDescent="0.45">
      <c r="A205" t="s">
        <v>39</v>
      </c>
      <c r="B205">
        <v>1</v>
      </c>
      <c r="C205">
        <v>1427</v>
      </c>
      <c r="D205">
        <v>748</v>
      </c>
      <c r="E205">
        <v>0</v>
      </c>
      <c r="F205">
        <v>4</v>
      </c>
      <c r="G205">
        <v>18</v>
      </c>
      <c r="H205">
        <v>7</v>
      </c>
      <c r="I205">
        <v>105</v>
      </c>
      <c r="J205">
        <v>4</v>
      </c>
      <c r="K205">
        <v>24</v>
      </c>
      <c r="L205">
        <v>33</v>
      </c>
      <c r="M205">
        <v>0</v>
      </c>
      <c r="N205">
        <v>0</v>
      </c>
      <c r="O205">
        <v>2</v>
      </c>
      <c r="P205">
        <v>3</v>
      </c>
    </row>
    <row r="206" spans="1:16" x14ac:dyDescent="0.45">
      <c r="A206" t="s">
        <v>39</v>
      </c>
      <c r="B206">
        <v>2</v>
      </c>
      <c r="C206">
        <v>1295</v>
      </c>
      <c r="D206">
        <v>750</v>
      </c>
      <c r="E206">
        <v>0</v>
      </c>
      <c r="F206">
        <v>2</v>
      </c>
      <c r="G206">
        <v>18</v>
      </c>
      <c r="H206">
        <v>14</v>
      </c>
      <c r="I206">
        <v>123</v>
      </c>
      <c r="J206">
        <v>5</v>
      </c>
      <c r="K206">
        <v>29</v>
      </c>
      <c r="L206">
        <v>31</v>
      </c>
      <c r="M206">
        <v>0</v>
      </c>
      <c r="N206">
        <v>0</v>
      </c>
      <c r="O206">
        <v>1</v>
      </c>
      <c r="P206">
        <v>2</v>
      </c>
    </row>
    <row r="207" spans="1:16" x14ac:dyDescent="0.45">
      <c r="A207" t="s">
        <v>39</v>
      </c>
      <c r="B207">
        <v>3</v>
      </c>
      <c r="C207">
        <v>2595</v>
      </c>
      <c r="D207">
        <v>950</v>
      </c>
      <c r="E207">
        <v>1</v>
      </c>
      <c r="F207">
        <v>7</v>
      </c>
      <c r="G207">
        <v>87</v>
      </c>
      <c r="H207">
        <v>35</v>
      </c>
      <c r="I207">
        <v>185</v>
      </c>
      <c r="J207">
        <v>6</v>
      </c>
      <c r="K207">
        <v>27</v>
      </c>
      <c r="L207">
        <v>78</v>
      </c>
      <c r="M207">
        <v>0</v>
      </c>
      <c r="N207">
        <v>0</v>
      </c>
      <c r="O207">
        <v>3</v>
      </c>
      <c r="P207">
        <v>6</v>
      </c>
    </row>
    <row r="208" spans="1:16" x14ac:dyDescent="0.45">
      <c r="A208" t="s">
        <v>39</v>
      </c>
      <c r="B208">
        <v>4</v>
      </c>
      <c r="C208">
        <v>4400</v>
      </c>
      <c r="D208">
        <v>959</v>
      </c>
      <c r="E208">
        <v>0</v>
      </c>
      <c r="F208">
        <v>3</v>
      </c>
      <c r="G208">
        <v>75</v>
      </c>
      <c r="H208">
        <v>50</v>
      </c>
      <c r="I208">
        <v>202</v>
      </c>
      <c r="J208">
        <v>21</v>
      </c>
      <c r="K208">
        <v>22</v>
      </c>
      <c r="L208">
        <v>70</v>
      </c>
      <c r="M208">
        <v>0</v>
      </c>
      <c r="N208">
        <v>0</v>
      </c>
      <c r="O208">
        <v>18</v>
      </c>
      <c r="P208">
        <v>4</v>
      </c>
    </row>
    <row r="209" spans="1:16" x14ac:dyDescent="0.45">
      <c r="A209" t="s">
        <v>39</v>
      </c>
      <c r="B209">
        <v>5</v>
      </c>
      <c r="C209">
        <v>2857</v>
      </c>
      <c r="D209">
        <v>750</v>
      </c>
      <c r="E209">
        <v>0</v>
      </c>
      <c r="F209">
        <v>2</v>
      </c>
      <c r="G209">
        <v>83</v>
      </c>
      <c r="H209">
        <v>41</v>
      </c>
      <c r="I209">
        <v>177</v>
      </c>
      <c r="J209">
        <v>14</v>
      </c>
      <c r="K209">
        <v>8</v>
      </c>
      <c r="L209">
        <v>54</v>
      </c>
      <c r="M209">
        <v>0</v>
      </c>
      <c r="N209">
        <v>0</v>
      </c>
      <c r="O209">
        <v>3</v>
      </c>
      <c r="P209">
        <v>5</v>
      </c>
    </row>
    <row r="210" spans="1:16" x14ac:dyDescent="0.45">
      <c r="A210" t="s">
        <v>39</v>
      </c>
      <c r="B210">
        <v>6</v>
      </c>
      <c r="C210">
        <v>2440</v>
      </c>
      <c r="D210">
        <v>889</v>
      </c>
      <c r="E210">
        <v>0</v>
      </c>
      <c r="F210">
        <v>0</v>
      </c>
      <c r="G210">
        <v>54</v>
      </c>
      <c r="H210">
        <v>17</v>
      </c>
      <c r="I210">
        <v>249</v>
      </c>
      <c r="J210">
        <v>5</v>
      </c>
      <c r="K210">
        <v>19</v>
      </c>
      <c r="L210">
        <v>41</v>
      </c>
      <c r="M210">
        <v>0</v>
      </c>
      <c r="N210">
        <v>0</v>
      </c>
      <c r="O210">
        <v>1</v>
      </c>
      <c r="P210">
        <v>1</v>
      </c>
    </row>
    <row r="211" spans="1:16" x14ac:dyDescent="0.45">
      <c r="A211" t="s">
        <v>39</v>
      </c>
      <c r="B211">
        <v>7</v>
      </c>
      <c r="C211">
        <v>2053</v>
      </c>
      <c r="D211">
        <v>739</v>
      </c>
      <c r="E211">
        <v>0</v>
      </c>
      <c r="F211">
        <v>1</v>
      </c>
      <c r="G211">
        <v>10</v>
      </c>
      <c r="H211">
        <v>16</v>
      </c>
      <c r="I211">
        <v>245</v>
      </c>
      <c r="J211">
        <v>52</v>
      </c>
      <c r="K211">
        <v>6</v>
      </c>
      <c r="L211">
        <v>63</v>
      </c>
      <c r="M211">
        <v>0</v>
      </c>
      <c r="N211">
        <v>0</v>
      </c>
      <c r="O211">
        <v>0</v>
      </c>
      <c r="P211">
        <v>12</v>
      </c>
    </row>
    <row r="212" spans="1:16" x14ac:dyDescent="0.45">
      <c r="A212" t="s">
        <v>39</v>
      </c>
      <c r="B212">
        <v>8</v>
      </c>
      <c r="C212">
        <v>1360</v>
      </c>
      <c r="D212">
        <v>619</v>
      </c>
      <c r="E212">
        <v>0</v>
      </c>
      <c r="F212">
        <v>0</v>
      </c>
      <c r="G212">
        <v>12</v>
      </c>
      <c r="H212">
        <v>2</v>
      </c>
      <c r="I212">
        <v>155</v>
      </c>
      <c r="J212">
        <v>24</v>
      </c>
      <c r="K212">
        <v>3</v>
      </c>
      <c r="L212">
        <v>23</v>
      </c>
      <c r="M212">
        <v>0</v>
      </c>
      <c r="N212">
        <v>0</v>
      </c>
      <c r="O212">
        <v>0</v>
      </c>
    </row>
    <row r="213" spans="1:16" x14ac:dyDescent="0.45">
      <c r="A213" t="s">
        <v>39</v>
      </c>
      <c r="B213">
        <v>9</v>
      </c>
      <c r="C213">
        <v>1427</v>
      </c>
      <c r="D213">
        <v>846</v>
      </c>
      <c r="E213">
        <v>0</v>
      </c>
      <c r="F213">
        <v>0</v>
      </c>
      <c r="G213">
        <v>22</v>
      </c>
      <c r="H213">
        <v>5</v>
      </c>
      <c r="I213">
        <v>169</v>
      </c>
      <c r="J213">
        <v>32</v>
      </c>
      <c r="K213">
        <v>20</v>
      </c>
      <c r="L213">
        <v>45</v>
      </c>
      <c r="M213">
        <v>0</v>
      </c>
      <c r="N213">
        <v>0</v>
      </c>
      <c r="O213">
        <v>0</v>
      </c>
      <c r="P213">
        <v>3</v>
      </c>
    </row>
    <row r="214" spans="1:16" x14ac:dyDescent="0.45">
      <c r="A214" t="s">
        <v>39</v>
      </c>
      <c r="B214">
        <v>10</v>
      </c>
      <c r="C214">
        <v>2012</v>
      </c>
      <c r="D214">
        <v>1060</v>
      </c>
      <c r="E214">
        <v>0</v>
      </c>
      <c r="F214">
        <v>1</v>
      </c>
      <c r="G214">
        <v>0</v>
      </c>
      <c r="H214">
        <v>34</v>
      </c>
      <c r="I214">
        <v>175</v>
      </c>
      <c r="J214">
        <v>28</v>
      </c>
      <c r="K214">
        <v>47</v>
      </c>
      <c r="L214">
        <v>60</v>
      </c>
      <c r="M214">
        <v>0</v>
      </c>
      <c r="N214">
        <v>0</v>
      </c>
      <c r="O214">
        <v>0</v>
      </c>
      <c r="P214">
        <v>13</v>
      </c>
    </row>
    <row r="215" spans="1:16" x14ac:dyDescent="0.45">
      <c r="A215" t="s">
        <v>39</v>
      </c>
      <c r="B215">
        <v>11</v>
      </c>
      <c r="C215">
        <v>1853</v>
      </c>
      <c r="D215">
        <v>909</v>
      </c>
      <c r="E215">
        <v>0</v>
      </c>
      <c r="F215">
        <v>12</v>
      </c>
      <c r="G215">
        <v>21</v>
      </c>
      <c r="H215">
        <v>8</v>
      </c>
      <c r="I215">
        <v>122</v>
      </c>
      <c r="J215">
        <v>21</v>
      </c>
      <c r="K215">
        <v>30</v>
      </c>
      <c r="L215">
        <v>51</v>
      </c>
      <c r="M215">
        <v>0</v>
      </c>
      <c r="N215">
        <v>0</v>
      </c>
      <c r="O215">
        <v>1</v>
      </c>
      <c r="P215">
        <v>1</v>
      </c>
    </row>
    <row r="216" spans="1:16" x14ac:dyDescent="0.45">
      <c r="A216" t="s">
        <v>39</v>
      </c>
      <c r="B216">
        <v>12</v>
      </c>
      <c r="C216">
        <v>2169</v>
      </c>
      <c r="D216">
        <v>990</v>
      </c>
      <c r="E216">
        <v>0</v>
      </c>
      <c r="F216">
        <v>10</v>
      </c>
      <c r="G216">
        <v>39</v>
      </c>
      <c r="H216">
        <v>6</v>
      </c>
      <c r="I216">
        <v>214</v>
      </c>
      <c r="J216">
        <v>14</v>
      </c>
      <c r="K216">
        <v>22</v>
      </c>
      <c r="L216">
        <v>65</v>
      </c>
      <c r="M216">
        <v>0</v>
      </c>
      <c r="N216">
        <v>0</v>
      </c>
      <c r="O216">
        <v>3</v>
      </c>
      <c r="P216">
        <v>2</v>
      </c>
    </row>
    <row r="217" spans="1:16" x14ac:dyDescent="0.45">
      <c r="A217" t="s">
        <v>36</v>
      </c>
      <c r="B217">
        <v>1</v>
      </c>
      <c r="C217">
        <v>1354</v>
      </c>
      <c r="D217">
        <v>1107</v>
      </c>
      <c r="E217">
        <v>0</v>
      </c>
      <c r="F217">
        <v>4</v>
      </c>
      <c r="G217">
        <v>16</v>
      </c>
      <c r="H217">
        <v>15</v>
      </c>
      <c r="I217">
        <v>86</v>
      </c>
      <c r="J217">
        <v>14</v>
      </c>
      <c r="K217">
        <v>3</v>
      </c>
      <c r="L217">
        <v>27</v>
      </c>
      <c r="M217">
        <v>0</v>
      </c>
      <c r="N217">
        <v>0</v>
      </c>
      <c r="O217">
        <v>0</v>
      </c>
      <c r="P217">
        <v>1</v>
      </c>
    </row>
    <row r="218" spans="1:16" x14ac:dyDescent="0.45">
      <c r="A218" t="s">
        <v>36</v>
      </c>
      <c r="B218">
        <v>2</v>
      </c>
      <c r="C218">
        <v>1117</v>
      </c>
      <c r="D218">
        <v>1136</v>
      </c>
      <c r="E218">
        <v>0</v>
      </c>
      <c r="F218">
        <v>5</v>
      </c>
      <c r="G218">
        <v>44</v>
      </c>
      <c r="H218">
        <v>17</v>
      </c>
      <c r="I218">
        <v>65</v>
      </c>
      <c r="J218">
        <v>19</v>
      </c>
      <c r="K218">
        <v>4</v>
      </c>
      <c r="L218">
        <v>37</v>
      </c>
      <c r="M218">
        <v>0</v>
      </c>
      <c r="N218">
        <v>0</v>
      </c>
      <c r="O218">
        <v>0</v>
      </c>
      <c r="P218">
        <v>3</v>
      </c>
    </row>
    <row r="219" spans="1:16" x14ac:dyDescent="0.45">
      <c r="A219" t="s">
        <v>36</v>
      </c>
      <c r="B219">
        <v>3</v>
      </c>
      <c r="C219">
        <v>2455</v>
      </c>
      <c r="D219">
        <v>1407</v>
      </c>
      <c r="E219">
        <v>10</v>
      </c>
      <c r="F219">
        <v>0</v>
      </c>
      <c r="G219">
        <v>149</v>
      </c>
      <c r="H219">
        <v>56</v>
      </c>
      <c r="I219">
        <v>185</v>
      </c>
      <c r="J219">
        <v>45</v>
      </c>
      <c r="K219">
        <v>4</v>
      </c>
      <c r="L219">
        <v>27</v>
      </c>
      <c r="M219">
        <v>0</v>
      </c>
      <c r="N219">
        <v>0</v>
      </c>
      <c r="O219">
        <v>1</v>
      </c>
      <c r="P219">
        <v>9</v>
      </c>
    </row>
    <row r="220" spans="1:16" x14ac:dyDescent="0.45">
      <c r="A220" t="s">
        <v>36</v>
      </c>
      <c r="B220">
        <v>4</v>
      </c>
      <c r="C220">
        <v>4959</v>
      </c>
      <c r="D220">
        <v>1396</v>
      </c>
      <c r="E220">
        <v>1</v>
      </c>
      <c r="F220">
        <v>0</v>
      </c>
      <c r="G220">
        <v>156</v>
      </c>
      <c r="H220">
        <v>97</v>
      </c>
      <c r="I220">
        <v>190</v>
      </c>
      <c r="J220">
        <v>15</v>
      </c>
      <c r="K220">
        <v>3</v>
      </c>
      <c r="L220">
        <v>35</v>
      </c>
      <c r="M220">
        <v>0</v>
      </c>
      <c r="N220">
        <v>1</v>
      </c>
      <c r="O220">
        <v>7</v>
      </c>
      <c r="P220">
        <v>6</v>
      </c>
    </row>
    <row r="221" spans="1:16" x14ac:dyDescent="0.45">
      <c r="A221" t="s">
        <v>36</v>
      </c>
      <c r="B221">
        <v>5</v>
      </c>
      <c r="C221">
        <v>2726</v>
      </c>
      <c r="D221">
        <v>1164</v>
      </c>
      <c r="E221">
        <v>0</v>
      </c>
      <c r="F221">
        <v>2</v>
      </c>
      <c r="G221">
        <v>73</v>
      </c>
      <c r="H221">
        <v>71</v>
      </c>
      <c r="I221">
        <v>192</v>
      </c>
      <c r="J221">
        <v>37</v>
      </c>
      <c r="K221">
        <v>0</v>
      </c>
      <c r="L221">
        <v>21</v>
      </c>
      <c r="M221">
        <v>0</v>
      </c>
      <c r="N221">
        <v>2</v>
      </c>
      <c r="O221">
        <v>0</v>
      </c>
      <c r="P221">
        <v>1</v>
      </c>
    </row>
    <row r="222" spans="1:16" x14ac:dyDescent="0.45">
      <c r="A222" t="s">
        <v>36</v>
      </c>
      <c r="B222">
        <v>6</v>
      </c>
      <c r="C222">
        <v>2453</v>
      </c>
      <c r="D222">
        <v>1453</v>
      </c>
      <c r="E222">
        <v>1</v>
      </c>
      <c r="F222">
        <v>0</v>
      </c>
      <c r="G222">
        <v>76</v>
      </c>
      <c r="H222">
        <v>13</v>
      </c>
      <c r="I222">
        <v>262</v>
      </c>
      <c r="J222">
        <v>26</v>
      </c>
      <c r="K222">
        <v>4</v>
      </c>
      <c r="L222">
        <v>40</v>
      </c>
      <c r="M222">
        <v>0</v>
      </c>
      <c r="N222">
        <v>0</v>
      </c>
      <c r="O222">
        <v>0</v>
      </c>
      <c r="P222">
        <v>7</v>
      </c>
    </row>
    <row r="223" spans="1:16" x14ac:dyDescent="0.45">
      <c r="A223" t="s">
        <v>36</v>
      </c>
      <c r="B223">
        <v>7</v>
      </c>
      <c r="C223">
        <v>1878</v>
      </c>
      <c r="D223">
        <v>1244</v>
      </c>
      <c r="E223">
        <v>0</v>
      </c>
      <c r="F223">
        <v>0</v>
      </c>
      <c r="G223">
        <v>63</v>
      </c>
      <c r="H223">
        <v>17</v>
      </c>
      <c r="I223">
        <v>204</v>
      </c>
      <c r="J223">
        <v>61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21</v>
      </c>
    </row>
    <row r="224" spans="1:16" x14ac:dyDescent="0.45">
      <c r="A224" t="s">
        <v>36</v>
      </c>
      <c r="B224">
        <v>8</v>
      </c>
      <c r="C224">
        <v>1548</v>
      </c>
      <c r="D224">
        <v>1227</v>
      </c>
      <c r="E224">
        <v>0</v>
      </c>
      <c r="F224">
        <v>1</v>
      </c>
      <c r="G224">
        <v>25</v>
      </c>
      <c r="H224">
        <v>5</v>
      </c>
      <c r="I224">
        <v>206</v>
      </c>
      <c r="J224">
        <v>80</v>
      </c>
      <c r="K224">
        <v>1</v>
      </c>
      <c r="L224">
        <v>35</v>
      </c>
      <c r="M224">
        <v>0</v>
      </c>
      <c r="N224">
        <v>0</v>
      </c>
      <c r="O224">
        <v>0</v>
      </c>
    </row>
    <row r="225" spans="1:16" x14ac:dyDescent="0.45">
      <c r="A225" t="s">
        <v>36</v>
      </c>
      <c r="B225">
        <v>9</v>
      </c>
      <c r="C225">
        <v>1589</v>
      </c>
      <c r="D225">
        <v>1396</v>
      </c>
      <c r="E225">
        <v>0</v>
      </c>
      <c r="F225">
        <v>5</v>
      </c>
      <c r="G225">
        <v>29</v>
      </c>
      <c r="H225">
        <v>12</v>
      </c>
      <c r="I225">
        <v>187</v>
      </c>
      <c r="J225">
        <v>68</v>
      </c>
      <c r="K225">
        <v>24</v>
      </c>
      <c r="L225">
        <v>35</v>
      </c>
      <c r="M225">
        <v>0</v>
      </c>
      <c r="N225">
        <v>0</v>
      </c>
      <c r="O225">
        <v>0</v>
      </c>
    </row>
    <row r="226" spans="1:16" x14ac:dyDescent="0.45">
      <c r="A226" t="s">
        <v>36</v>
      </c>
      <c r="B226">
        <v>10</v>
      </c>
      <c r="C226">
        <v>2135</v>
      </c>
      <c r="D226">
        <v>1641</v>
      </c>
      <c r="E226">
        <v>0</v>
      </c>
      <c r="F226">
        <v>2</v>
      </c>
      <c r="G226">
        <v>38</v>
      </c>
      <c r="H226">
        <v>23</v>
      </c>
      <c r="I226">
        <v>204</v>
      </c>
      <c r="J226">
        <v>71</v>
      </c>
      <c r="K226">
        <v>39</v>
      </c>
      <c r="L226">
        <v>45</v>
      </c>
      <c r="M226">
        <v>0</v>
      </c>
      <c r="N226">
        <v>0</v>
      </c>
      <c r="O226">
        <v>0</v>
      </c>
    </row>
    <row r="227" spans="1:16" x14ac:dyDescent="0.45">
      <c r="A227" t="s">
        <v>36</v>
      </c>
      <c r="B227">
        <v>11</v>
      </c>
      <c r="C227">
        <v>1883</v>
      </c>
      <c r="D227">
        <v>1391</v>
      </c>
      <c r="E227">
        <v>0</v>
      </c>
      <c r="F227">
        <v>2</v>
      </c>
      <c r="G227">
        <v>31</v>
      </c>
      <c r="H227">
        <v>24</v>
      </c>
      <c r="I227">
        <v>154</v>
      </c>
      <c r="J227">
        <v>54</v>
      </c>
      <c r="K227">
        <v>12</v>
      </c>
      <c r="L227">
        <v>40</v>
      </c>
      <c r="M227">
        <v>0</v>
      </c>
      <c r="N227">
        <v>1</v>
      </c>
      <c r="O227">
        <v>1</v>
      </c>
      <c r="P227">
        <v>8</v>
      </c>
    </row>
    <row r="228" spans="1:16" x14ac:dyDescent="0.45">
      <c r="A228" t="s">
        <v>36</v>
      </c>
      <c r="B228">
        <v>12</v>
      </c>
      <c r="C228">
        <v>2274</v>
      </c>
      <c r="D228">
        <v>1467</v>
      </c>
      <c r="E228">
        <v>0</v>
      </c>
      <c r="F228">
        <v>8</v>
      </c>
      <c r="G228">
        <v>67</v>
      </c>
      <c r="H228">
        <v>11</v>
      </c>
      <c r="I228">
        <v>183</v>
      </c>
      <c r="J228">
        <v>47</v>
      </c>
      <c r="K228">
        <v>27</v>
      </c>
      <c r="L228">
        <v>36</v>
      </c>
      <c r="M228">
        <v>0</v>
      </c>
      <c r="N228">
        <v>0</v>
      </c>
      <c r="O228">
        <v>0</v>
      </c>
      <c r="P228">
        <v>2</v>
      </c>
    </row>
    <row r="229" spans="1:16" x14ac:dyDescent="0.45">
      <c r="A229" t="s">
        <v>48</v>
      </c>
      <c r="B229">
        <v>1</v>
      </c>
      <c r="C229">
        <v>1040</v>
      </c>
      <c r="D229">
        <v>724</v>
      </c>
      <c r="E229">
        <v>0</v>
      </c>
      <c r="F229">
        <v>7</v>
      </c>
      <c r="G229">
        <v>14</v>
      </c>
      <c r="H229">
        <v>0</v>
      </c>
      <c r="I229">
        <v>96</v>
      </c>
      <c r="J229">
        <v>4</v>
      </c>
      <c r="K229">
        <v>0</v>
      </c>
      <c r="L229">
        <v>48</v>
      </c>
      <c r="M229">
        <v>0</v>
      </c>
      <c r="N229">
        <v>0</v>
      </c>
      <c r="O229">
        <v>0</v>
      </c>
      <c r="P229">
        <v>1</v>
      </c>
    </row>
    <row r="230" spans="1:16" x14ac:dyDescent="0.45">
      <c r="A230" t="s">
        <v>48</v>
      </c>
      <c r="B230">
        <v>2</v>
      </c>
      <c r="C230">
        <v>850</v>
      </c>
      <c r="D230">
        <v>794</v>
      </c>
      <c r="E230">
        <v>0</v>
      </c>
      <c r="F230">
        <v>9</v>
      </c>
      <c r="G230">
        <v>21</v>
      </c>
      <c r="H230">
        <v>1</v>
      </c>
      <c r="I230">
        <v>104</v>
      </c>
      <c r="J230">
        <v>1</v>
      </c>
      <c r="K230">
        <v>0</v>
      </c>
      <c r="L230">
        <v>58</v>
      </c>
      <c r="M230">
        <v>0</v>
      </c>
      <c r="N230">
        <v>0</v>
      </c>
      <c r="O230">
        <v>0</v>
      </c>
      <c r="P230">
        <v>0</v>
      </c>
    </row>
    <row r="231" spans="1:16" x14ac:dyDescent="0.45">
      <c r="A231" t="s">
        <v>48</v>
      </c>
      <c r="B231">
        <v>3</v>
      </c>
      <c r="C231">
        <v>1705</v>
      </c>
      <c r="D231">
        <v>960</v>
      </c>
      <c r="E231">
        <v>4</v>
      </c>
      <c r="F231">
        <v>2</v>
      </c>
      <c r="G231">
        <v>109</v>
      </c>
      <c r="H231">
        <v>17</v>
      </c>
      <c r="I231">
        <v>165</v>
      </c>
      <c r="J231">
        <v>6</v>
      </c>
      <c r="K231">
        <v>0</v>
      </c>
      <c r="L231">
        <v>72</v>
      </c>
      <c r="M231">
        <v>0</v>
      </c>
      <c r="N231">
        <v>0</v>
      </c>
      <c r="O231">
        <v>1</v>
      </c>
      <c r="P231">
        <v>1</v>
      </c>
    </row>
    <row r="232" spans="1:16" x14ac:dyDescent="0.45">
      <c r="A232" t="s">
        <v>48</v>
      </c>
      <c r="B232">
        <v>4</v>
      </c>
      <c r="C232">
        <v>3217</v>
      </c>
      <c r="D232">
        <v>948</v>
      </c>
      <c r="E232">
        <v>0</v>
      </c>
      <c r="F232">
        <v>5</v>
      </c>
      <c r="G232">
        <v>106</v>
      </c>
      <c r="H232">
        <v>69</v>
      </c>
      <c r="I232">
        <v>267</v>
      </c>
      <c r="J232">
        <v>3</v>
      </c>
      <c r="K232">
        <v>0</v>
      </c>
      <c r="L232">
        <v>75</v>
      </c>
      <c r="M232">
        <v>0</v>
      </c>
      <c r="N232">
        <v>0</v>
      </c>
      <c r="O232">
        <v>1</v>
      </c>
      <c r="P232">
        <v>5</v>
      </c>
    </row>
    <row r="233" spans="1:16" x14ac:dyDescent="0.45">
      <c r="A233" t="s">
        <v>48</v>
      </c>
      <c r="B233">
        <v>5</v>
      </c>
      <c r="C233">
        <v>2193</v>
      </c>
      <c r="D233">
        <v>791</v>
      </c>
      <c r="E233">
        <v>0</v>
      </c>
      <c r="F233">
        <v>2</v>
      </c>
      <c r="G233">
        <v>60</v>
      </c>
      <c r="H233">
        <v>65</v>
      </c>
      <c r="I233">
        <v>197</v>
      </c>
      <c r="J233">
        <v>10</v>
      </c>
      <c r="K233">
        <v>0</v>
      </c>
      <c r="L233">
        <v>86</v>
      </c>
      <c r="M233">
        <v>0</v>
      </c>
      <c r="N233">
        <v>0</v>
      </c>
      <c r="O233">
        <v>1</v>
      </c>
      <c r="P233">
        <v>1</v>
      </c>
    </row>
    <row r="234" spans="1:16" x14ac:dyDescent="0.45">
      <c r="A234" t="s">
        <v>48</v>
      </c>
      <c r="B234">
        <v>6</v>
      </c>
      <c r="C234">
        <v>1998</v>
      </c>
      <c r="D234">
        <v>1007</v>
      </c>
      <c r="E234">
        <v>0</v>
      </c>
      <c r="F234">
        <v>3</v>
      </c>
      <c r="G234">
        <v>31</v>
      </c>
      <c r="H234">
        <v>18</v>
      </c>
      <c r="I234">
        <v>319</v>
      </c>
      <c r="J234">
        <v>5</v>
      </c>
      <c r="K234">
        <v>1</v>
      </c>
      <c r="L234">
        <v>139</v>
      </c>
      <c r="M234">
        <v>0</v>
      </c>
      <c r="N234">
        <v>0</v>
      </c>
      <c r="O234">
        <v>0</v>
      </c>
      <c r="P234">
        <v>4</v>
      </c>
    </row>
    <row r="235" spans="1:16" x14ac:dyDescent="0.45">
      <c r="A235" t="s">
        <v>48</v>
      </c>
      <c r="B235">
        <v>7</v>
      </c>
      <c r="C235">
        <v>1332</v>
      </c>
      <c r="D235">
        <v>890</v>
      </c>
      <c r="E235">
        <v>0</v>
      </c>
      <c r="F235">
        <v>0</v>
      </c>
      <c r="G235">
        <v>15</v>
      </c>
      <c r="H235">
        <v>3</v>
      </c>
      <c r="I235">
        <v>252</v>
      </c>
      <c r="J235">
        <v>14</v>
      </c>
      <c r="K235">
        <v>0</v>
      </c>
      <c r="L235">
        <v>109</v>
      </c>
      <c r="M235">
        <v>0</v>
      </c>
      <c r="N235">
        <v>0</v>
      </c>
      <c r="O235">
        <v>0</v>
      </c>
      <c r="P235">
        <v>7</v>
      </c>
    </row>
    <row r="236" spans="1:16" x14ac:dyDescent="0.45">
      <c r="A236" t="s">
        <v>48</v>
      </c>
      <c r="B236">
        <v>8</v>
      </c>
      <c r="C236">
        <v>1105</v>
      </c>
      <c r="D236">
        <v>736</v>
      </c>
      <c r="E236">
        <v>0</v>
      </c>
      <c r="F236">
        <v>0</v>
      </c>
      <c r="G236">
        <v>16</v>
      </c>
      <c r="H236">
        <v>0</v>
      </c>
      <c r="I236">
        <v>208</v>
      </c>
      <c r="J236">
        <v>4</v>
      </c>
      <c r="K236">
        <v>0</v>
      </c>
      <c r="L236">
        <v>70</v>
      </c>
      <c r="M236">
        <v>0</v>
      </c>
      <c r="N236">
        <v>0</v>
      </c>
      <c r="O236">
        <v>0</v>
      </c>
    </row>
    <row r="237" spans="1:16" x14ac:dyDescent="0.45">
      <c r="A237" t="s">
        <v>48</v>
      </c>
      <c r="B237">
        <v>9</v>
      </c>
      <c r="C237">
        <v>1174</v>
      </c>
      <c r="D237">
        <v>912</v>
      </c>
      <c r="E237">
        <v>0</v>
      </c>
      <c r="F237">
        <v>0</v>
      </c>
      <c r="G237">
        <v>7</v>
      </c>
      <c r="H237">
        <v>0</v>
      </c>
      <c r="I237">
        <v>214</v>
      </c>
      <c r="J237">
        <v>13</v>
      </c>
      <c r="K237">
        <v>8</v>
      </c>
      <c r="L237">
        <v>78</v>
      </c>
      <c r="M237">
        <v>0</v>
      </c>
      <c r="N237">
        <v>0</v>
      </c>
      <c r="O237">
        <v>0</v>
      </c>
      <c r="P237">
        <v>9</v>
      </c>
    </row>
    <row r="238" spans="1:16" x14ac:dyDescent="0.45">
      <c r="A238" t="s">
        <v>48</v>
      </c>
      <c r="B238">
        <v>10</v>
      </c>
      <c r="C238">
        <v>1722</v>
      </c>
      <c r="D238">
        <v>1117</v>
      </c>
      <c r="E238">
        <v>0</v>
      </c>
      <c r="F238">
        <v>0</v>
      </c>
      <c r="G238">
        <v>24</v>
      </c>
      <c r="H238">
        <v>12</v>
      </c>
      <c r="I238">
        <v>213</v>
      </c>
      <c r="J238">
        <v>12</v>
      </c>
      <c r="K238">
        <v>12</v>
      </c>
      <c r="L238">
        <v>107</v>
      </c>
      <c r="M238">
        <v>0</v>
      </c>
      <c r="N238">
        <v>0</v>
      </c>
      <c r="O238">
        <v>0</v>
      </c>
      <c r="P238">
        <v>0</v>
      </c>
    </row>
    <row r="239" spans="1:16" x14ac:dyDescent="0.45">
      <c r="A239" t="s">
        <v>48</v>
      </c>
      <c r="B239">
        <v>11</v>
      </c>
      <c r="C239">
        <v>1455</v>
      </c>
      <c r="D239">
        <v>971</v>
      </c>
      <c r="E239">
        <v>0</v>
      </c>
      <c r="F239">
        <v>2</v>
      </c>
      <c r="G239">
        <v>17</v>
      </c>
      <c r="H239">
        <v>5</v>
      </c>
      <c r="I239">
        <v>185</v>
      </c>
      <c r="J239">
        <v>4</v>
      </c>
      <c r="K239">
        <v>7</v>
      </c>
      <c r="L239">
        <v>85</v>
      </c>
      <c r="M239">
        <v>0</v>
      </c>
      <c r="N239">
        <v>0</v>
      </c>
      <c r="O239">
        <v>1</v>
      </c>
      <c r="P239">
        <v>1</v>
      </c>
    </row>
    <row r="240" spans="1:16" x14ac:dyDescent="0.45">
      <c r="A240" t="s">
        <v>48</v>
      </c>
      <c r="B240">
        <v>12</v>
      </c>
      <c r="C240">
        <v>1811</v>
      </c>
      <c r="D240">
        <v>1106</v>
      </c>
      <c r="E240">
        <v>0</v>
      </c>
      <c r="F240">
        <v>11</v>
      </c>
      <c r="G240">
        <v>34</v>
      </c>
      <c r="H240">
        <v>0</v>
      </c>
      <c r="I240">
        <v>251</v>
      </c>
      <c r="J240">
        <v>18</v>
      </c>
      <c r="K240">
        <v>4</v>
      </c>
      <c r="L240">
        <v>77</v>
      </c>
      <c r="M240">
        <v>0</v>
      </c>
      <c r="N240">
        <v>0</v>
      </c>
      <c r="O240">
        <v>0</v>
      </c>
      <c r="P240">
        <v>0</v>
      </c>
    </row>
    <row r="241" spans="1:15" x14ac:dyDescent="0.45">
      <c r="A241" t="s">
        <v>60</v>
      </c>
      <c r="B241">
        <v>1</v>
      </c>
      <c r="C241">
        <v>687</v>
      </c>
      <c r="D241">
        <v>308</v>
      </c>
      <c r="E241">
        <v>0</v>
      </c>
      <c r="F241">
        <v>7</v>
      </c>
      <c r="G241">
        <v>10</v>
      </c>
      <c r="H241">
        <v>4</v>
      </c>
      <c r="I241">
        <v>68</v>
      </c>
      <c r="J241">
        <v>0</v>
      </c>
      <c r="K241">
        <v>8</v>
      </c>
      <c r="L241">
        <v>12</v>
      </c>
      <c r="M241">
        <v>0</v>
      </c>
      <c r="N241">
        <v>0</v>
      </c>
      <c r="O241">
        <v>0</v>
      </c>
    </row>
    <row r="242" spans="1:15" x14ac:dyDescent="0.45">
      <c r="A242" t="s">
        <v>60</v>
      </c>
      <c r="B242">
        <v>2</v>
      </c>
      <c r="C242">
        <v>539</v>
      </c>
      <c r="D242">
        <v>331</v>
      </c>
      <c r="E242">
        <v>0</v>
      </c>
      <c r="F242">
        <v>2</v>
      </c>
      <c r="G242">
        <v>6</v>
      </c>
      <c r="H242">
        <v>8</v>
      </c>
      <c r="I242">
        <v>39</v>
      </c>
      <c r="J242">
        <v>0</v>
      </c>
      <c r="K242">
        <v>0</v>
      </c>
      <c r="L242">
        <v>7</v>
      </c>
      <c r="M242">
        <v>0</v>
      </c>
      <c r="N242">
        <v>0</v>
      </c>
      <c r="O242">
        <v>0</v>
      </c>
    </row>
    <row r="243" spans="1:15" x14ac:dyDescent="0.45">
      <c r="A243" t="s">
        <v>60</v>
      </c>
      <c r="B243">
        <v>3</v>
      </c>
      <c r="C243">
        <v>1264</v>
      </c>
      <c r="D243">
        <v>426</v>
      </c>
      <c r="E243">
        <v>3</v>
      </c>
      <c r="F243">
        <v>1</v>
      </c>
      <c r="G243">
        <v>36</v>
      </c>
      <c r="H243">
        <v>26</v>
      </c>
      <c r="I243">
        <v>73</v>
      </c>
      <c r="J243">
        <v>7</v>
      </c>
      <c r="K243">
        <v>3</v>
      </c>
      <c r="L243">
        <v>23</v>
      </c>
      <c r="M243">
        <v>0</v>
      </c>
      <c r="N243">
        <v>0</v>
      </c>
      <c r="O243">
        <v>0</v>
      </c>
    </row>
    <row r="244" spans="1:15" x14ac:dyDescent="0.45">
      <c r="A244" t="s">
        <v>60</v>
      </c>
      <c r="B244">
        <v>4</v>
      </c>
      <c r="C244">
        <v>1585</v>
      </c>
      <c r="D244">
        <v>434</v>
      </c>
      <c r="E244">
        <v>0</v>
      </c>
      <c r="F244">
        <v>3</v>
      </c>
      <c r="G244">
        <v>34</v>
      </c>
      <c r="H244">
        <v>72</v>
      </c>
      <c r="I244">
        <v>71</v>
      </c>
      <c r="J244">
        <v>3</v>
      </c>
      <c r="K244">
        <v>0</v>
      </c>
      <c r="L244">
        <v>45</v>
      </c>
      <c r="M244">
        <v>0</v>
      </c>
      <c r="N244">
        <v>2</v>
      </c>
      <c r="O244">
        <v>1</v>
      </c>
    </row>
    <row r="245" spans="1:15" x14ac:dyDescent="0.45">
      <c r="A245" t="s">
        <v>60</v>
      </c>
      <c r="B245">
        <v>5</v>
      </c>
      <c r="C245">
        <v>1107</v>
      </c>
      <c r="D245">
        <v>384</v>
      </c>
      <c r="E245">
        <v>0</v>
      </c>
      <c r="F245">
        <v>0</v>
      </c>
      <c r="G245">
        <v>46</v>
      </c>
      <c r="H245">
        <v>30</v>
      </c>
      <c r="I245">
        <v>70</v>
      </c>
      <c r="J245">
        <v>0</v>
      </c>
      <c r="K245">
        <v>2</v>
      </c>
      <c r="L245">
        <v>22</v>
      </c>
      <c r="M245">
        <v>0</v>
      </c>
      <c r="N245">
        <v>0</v>
      </c>
      <c r="O245">
        <v>2</v>
      </c>
    </row>
    <row r="246" spans="1:15" x14ac:dyDescent="0.45">
      <c r="A246" t="s">
        <v>60</v>
      </c>
      <c r="B246">
        <v>6</v>
      </c>
      <c r="C246">
        <v>928</v>
      </c>
      <c r="D246">
        <v>437</v>
      </c>
      <c r="E246">
        <v>0</v>
      </c>
      <c r="F246">
        <v>0</v>
      </c>
      <c r="G246">
        <v>24</v>
      </c>
      <c r="H246">
        <v>18</v>
      </c>
      <c r="I246">
        <v>101</v>
      </c>
      <c r="J246">
        <v>1</v>
      </c>
      <c r="K246">
        <v>0</v>
      </c>
      <c r="L246">
        <v>22</v>
      </c>
      <c r="M246">
        <v>0</v>
      </c>
      <c r="N246">
        <v>1</v>
      </c>
      <c r="O246">
        <v>0</v>
      </c>
    </row>
    <row r="247" spans="1:15" x14ac:dyDescent="0.45">
      <c r="A247" t="s">
        <v>60</v>
      </c>
      <c r="B247">
        <v>7</v>
      </c>
      <c r="C247">
        <v>851</v>
      </c>
      <c r="D247">
        <v>387</v>
      </c>
      <c r="E247">
        <v>0</v>
      </c>
      <c r="F247">
        <v>0</v>
      </c>
      <c r="G247">
        <v>12</v>
      </c>
      <c r="H247">
        <v>13</v>
      </c>
      <c r="I247">
        <v>123</v>
      </c>
      <c r="J247">
        <v>14</v>
      </c>
      <c r="K247">
        <v>0</v>
      </c>
      <c r="L247">
        <v>37</v>
      </c>
      <c r="M247">
        <v>0</v>
      </c>
      <c r="N247">
        <v>0</v>
      </c>
      <c r="O247">
        <v>0</v>
      </c>
    </row>
    <row r="248" spans="1:15" x14ac:dyDescent="0.45">
      <c r="A248" t="s">
        <v>60</v>
      </c>
      <c r="B248">
        <v>8</v>
      </c>
      <c r="C248">
        <v>580</v>
      </c>
      <c r="D248">
        <v>304</v>
      </c>
      <c r="E248">
        <v>0</v>
      </c>
      <c r="F248">
        <v>0</v>
      </c>
      <c r="G248">
        <v>2</v>
      </c>
      <c r="H248">
        <v>0</v>
      </c>
      <c r="I248">
        <v>102</v>
      </c>
      <c r="J248">
        <v>9</v>
      </c>
      <c r="K248">
        <v>0</v>
      </c>
      <c r="L248">
        <v>11</v>
      </c>
      <c r="M248">
        <v>0</v>
      </c>
      <c r="N248">
        <v>0</v>
      </c>
      <c r="O248">
        <v>0</v>
      </c>
    </row>
    <row r="249" spans="1:15" x14ac:dyDescent="0.45">
      <c r="A249" t="s">
        <v>60</v>
      </c>
      <c r="B249">
        <v>9</v>
      </c>
      <c r="C249">
        <v>851</v>
      </c>
      <c r="D249">
        <v>404</v>
      </c>
      <c r="E249">
        <v>0</v>
      </c>
      <c r="F249">
        <v>0</v>
      </c>
      <c r="G249">
        <v>4</v>
      </c>
      <c r="H249">
        <v>11</v>
      </c>
      <c r="I249">
        <v>88</v>
      </c>
      <c r="J249">
        <v>14</v>
      </c>
      <c r="K249">
        <v>27</v>
      </c>
      <c r="L249">
        <v>28</v>
      </c>
      <c r="M249">
        <v>0</v>
      </c>
      <c r="N249">
        <v>0</v>
      </c>
      <c r="O249">
        <v>0</v>
      </c>
    </row>
    <row r="250" spans="1:15" x14ac:dyDescent="0.45">
      <c r="A250" t="s">
        <v>60</v>
      </c>
      <c r="B250">
        <v>10</v>
      </c>
      <c r="C250">
        <v>955</v>
      </c>
      <c r="D250">
        <v>438</v>
      </c>
      <c r="E250">
        <v>0</v>
      </c>
      <c r="F250">
        <v>0</v>
      </c>
      <c r="G250">
        <v>16</v>
      </c>
      <c r="H250">
        <v>4</v>
      </c>
      <c r="I250">
        <v>76</v>
      </c>
      <c r="J250">
        <v>8</v>
      </c>
      <c r="K250">
        <v>12</v>
      </c>
      <c r="L250">
        <v>30</v>
      </c>
      <c r="M250">
        <v>0</v>
      </c>
      <c r="N250">
        <v>0</v>
      </c>
      <c r="O250">
        <v>0</v>
      </c>
    </row>
    <row r="251" spans="1:15" x14ac:dyDescent="0.45">
      <c r="A251" t="s">
        <v>60</v>
      </c>
      <c r="B251">
        <v>11</v>
      </c>
      <c r="C251">
        <v>806</v>
      </c>
      <c r="D251">
        <v>396</v>
      </c>
      <c r="E251">
        <v>0</v>
      </c>
      <c r="F251">
        <v>3</v>
      </c>
      <c r="G251">
        <v>10</v>
      </c>
      <c r="H251">
        <v>0</v>
      </c>
      <c r="I251">
        <v>59</v>
      </c>
      <c r="J251">
        <v>0</v>
      </c>
      <c r="K251">
        <v>8</v>
      </c>
      <c r="L251">
        <v>27</v>
      </c>
      <c r="M251">
        <v>0</v>
      </c>
      <c r="N251">
        <v>0</v>
      </c>
      <c r="O251">
        <v>1</v>
      </c>
    </row>
    <row r="252" spans="1:15" x14ac:dyDescent="0.45">
      <c r="A252" t="s">
        <v>60</v>
      </c>
      <c r="B252">
        <v>12</v>
      </c>
      <c r="C252">
        <v>864</v>
      </c>
      <c r="D252">
        <v>427</v>
      </c>
      <c r="E252">
        <v>0</v>
      </c>
      <c r="F252">
        <v>14</v>
      </c>
      <c r="G252">
        <v>7</v>
      </c>
      <c r="H252">
        <v>2</v>
      </c>
      <c r="I252">
        <v>79</v>
      </c>
      <c r="J252">
        <v>4</v>
      </c>
      <c r="K252">
        <v>5</v>
      </c>
      <c r="L252">
        <v>26</v>
      </c>
      <c r="M252">
        <v>0</v>
      </c>
      <c r="N252">
        <v>0</v>
      </c>
      <c r="O252">
        <v>0</v>
      </c>
    </row>
    <row r="253" spans="1:15" x14ac:dyDescent="0.45">
      <c r="A253" t="s">
        <v>53</v>
      </c>
      <c r="B253">
        <v>1</v>
      </c>
      <c r="C253">
        <v>725</v>
      </c>
      <c r="D253">
        <v>324</v>
      </c>
      <c r="E253">
        <v>0</v>
      </c>
      <c r="F253">
        <v>6</v>
      </c>
      <c r="G253">
        <v>13</v>
      </c>
      <c r="H253">
        <v>10</v>
      </c>
      <c r="I253">
        <v>127</v>
      </c>
      <c r="J253">
        <v>3</v>
      </c>
      <c r="K253">
        <v>3</v>
      </c>
      <c r="L253">
        <v>19</v>
      </c>
      <c r="M253">
        <v>0</v>
      </c>
      <c r="N253">
        <v>0</v>
      </c>
      <c r="O253">
        <v>1</v>
      </c>
    </row>
    <row r="254" spans="1:15" x14ac:dyDescent="0.45">
      <c r="A254" t="s">
        <v>53</v>
      </c>
      <c r="B254">
        <v>2</v>
      </c>
      <c r="C254">
        <v>680</v>
      </c>
      <c r="D254">
        <v>335</v>
      </c>
      <c r="E254">
        <v>0</v>
      </c>
      <c r="F254">
        <v>1</v>
      </c>
      <c r="G254">
        <v>17</v>
      </c>
      <c r="H254">
        <v>10</v>
      </c>
      <c r="I254">
        <v>85</v>
      </c>
      <c r="J254">
        <v>1</v>
      </c>
      <c r="K254">
        <v>0</v>
      </c>
      <c r="L254">
        <v>9</v>
      </c>
      <c r="M254">
        <v>0</v>
      </c>
      <c r="N254">
        <v>2</v>
      </c>
      <c r="O254">
        <v>0</v>
      </c>
    </row>
    <row r="255" spans="1:15" x14ac:dyDescent="0.45">
      <c r="A255" t="s">
        <v>53</v>
      </c>
      <c r="B255">
        <v>3</v>
      </c>
      <c r="C255">
        <v>1205</v>
      </c>
      <c r="D255">
        <v>545</v>
      </c>
      <c r="E255">
        <v>4</v>
      </c>
      <c r="F255">
        <v>0</v>
      </c>
      <c r="G255">
        <v>61</v>
      </c>
      <c r="H255">
        <v>40</v>
      </c>
      <c r="I255">
        <v>75</v>
      </c>
      <c r="J255">
        <v>3</v>
      </c>
      <c r="K255">
        <v>12</v>
      </c>
      <c r="L255">
        <v>22</v>
      </c>
      <c r="M255">
        <v>0</v>
      </c>
      <c r="N255">
        <v>0</v>
      </c>
      <c r="O255">
        <v>1</v>
      </c>
    </row>
    <row r="256" spans="1:15" x14ac:dyDescent="0.45">
      <c r="A256" t="s">
        <v>53</v>
      </c>
      <c r="B256">
        <v>4</v>
      </c>
      <c r="C256">
        <v>2125</v>
      </c>
      <c r="D256">
        <v>424</v>
      </c>
      <c r="E256">
        <v>0</v>
      </c>
      <c r="F256">
        <v>1</v>
      </c>
      <c r="G256">
        <v>106</v>
      </c>
      <c r="H256">
        <v>99</v>
      </c>
      <c r="I256">
        <v>203</v>
      </c>
      <c r="J256">
        <v>4</v>
      </c>
      <c r="K256">
        <v>5</v>
      </c>
      <c r="L256">
        <v>29</v>
      </c>
      <c r="M256">
        <v>0</v>
      </c>
      <c r="N256">
        <v>11</v>
      </c>
      <c r="O256">
        <v>9</v>
      </c>
    </row>
    <row r="257" spans="1:15" x14ac:dyDescent="0.45">
      <c r="A257" t="s">
        <v>53</v>
      </c>
      <c r="B257">
        <v>5</v>
      </c>
      <c r="C257">
        <v>1494</v>
      </c>
      <c r="D257">
        <v>375</v>
      </c>
      <c r="E257">
        <v>0</v>
      </c>
      <c r="F257">
        <v>0</v>
      </c>
      <c r="G257">
        <v>94</v>
      </c>
      <c r="H257">
        <v>75</v>
      </c>
      <c r="I257">
        <v>145</v>
      </c>
      <c r="J257">
        <v>3</v>
      </c>
      <c r="K257">
        <v>10</v>
      </c>
      <c r="L257">
        <v>49</v>
      </c>
      <c r="M257">
        <v>0</v>
      </c>
      <c r="N257">
        <v>11</v>
      </c>
      <c r="O257">
        <v>1</v>
      </c>
    </row>
    <row r="258" spans="1:15" x14ac:dyDescent="0.45">
      <c r="A258" t="s">
        <v>53</v>
      </c>
      <c r="B258">
        <v>6</v>
      </c>
      <c r="C258">
        <v>1314</v>
      </c>
      <c r="D258">
        <v>479</v>
      </c>
      <c r="E258">
        <v>0</v>
      </c>
      <c r="F258">
        <v>0</v>
      </c>
      <c r="G258">
        <v>64</v>
      </c>
      <c r="H258">
        <v>33</v>
      </c>
      <c r="I258">
        <v>228</v>
      </c>
      <c r="J258">
        <v>4</v>
      </c>
      <c r="K258">
        <v>6</v>
      </c>
      <c r="L258">
        <v>52</v>
      </c>
      <c r="M258">
        <v>0</v>
      </c>
      <c r="N258">
        <v>25</v>
      </c>
      <c r="O258">
        <v>1</v>
      </c>
    </row>
    <row r="259" spans="1:15" x14ac:dyDescent="0.45">
      <c r="A259" t="s">
        <v>53</v>
      </c>
      <c r="B259">
        <v>7</v>
      </c>
      <c r="C259">
        <v>969</v>
      </c>
      <c r="D259">
        <v>367</v>
      </c>
      <c r="E259">
        <v>0</v>
      </c>
      <c r="F259">
        <v>0</v>
      </c>
      <c r="G259">
        <v>27</v>
      </c>
      <c r="H259">
        <v>11</v>
      </c>
      <c r="I259">
        <v>244</v>
      </c>
      <c r="J259">
        <v>3</v>
      </c>
      <c r="K259">
        <v>0</v>
      </c>
      <c r="L259">
        <v>52</v>
      </c>
      <c r="M259">
        <v>0</v>
      </c>
      <c r="N259">
        <v>13</v>
      </c>
      <c r="O259">
        <v>0</v>
      </c>
    </row>
    <row r="260" spans="1:15" x14ac:dyDescent="0.45">
      <c r="A260" t="s">
        <v>53</v>
      </c>
      <c r="B260">
        <v>8</v>
      </c>
      <c r="C260">
        <v>804</v>
      </c>
      <c r="D260">
        <v>348</v>
      </c>
      <c r="E260">
        <v>0</v>
      </c>
      <c r="F260">
        <v>0</v>
      </c>
      <c r="G260">
        <v>13</v>
      </c>
      <c r="H260">
        <v>4</v>
      </c>
      <c r="I260">
        <v>172</v>
      </c>
      <c r="J260">
        <v>6</v>
      </c>
      <c r="K260">
        <v>0</v>
      </c>
      <c r="L260">
        <v>16</v>
      </c>
      <c r="M260">
        <v>0</v>
      </c>
      <c r="N260">
        <v>15</v>
      </c>
      <c r="O260">
        <v>0</v>
      </c>
    </row>
    <row r="261" spans="1:15" x14ac:dyDescent="0.45">
      <c r="A261" t="s">
        <v>53</v>
      </c>
      <c r="B261">
        <v>9</v>
      </c>
      <c r="C261">
        <v>845</v>
      </c>
      <c r="D261">
        <v>379</v>
      </c>
      <c r="E261">
        <v>0</v>
      </c>
      <c r="F261">
        <v>0</v>
      </c>
      <c r="G261">
        <v>28</v>
      </c>
      <c r="H261">
        <v>1</v>
      </c>
      <c r="I261">
        <v>169</v>
      </c>
      <c r="J261">
        <v>3</v>
      </c>
      <c r="K261">
        <v>38</v>
      </c>
      <c r="L261">
        <v>26</v>
      </c>
      <c r="M261">
        <v>0</v>
      </c>
      <c r="N261">
        <v>5</v>
      </c>
      <c r="O261">
        <v>0</v>
      </c>
    </row>
    <row r="262" spans="1:15" x14ac:dyDescent="0.45">
      <c r="A262" t="s">
        <v>53</v>
      </c>
      <c r="B262">
        <v>10</v>
      </c>
      <c r="C262">
        <v>1367</v>
      </c>
      <c r="D262">
        <v>547</v>
      </c>
      <c r="E262">
        <v>0</v>
      </c>
      <c r="F262">
        <v>0</v>
      </c>
      <c r="G262">
        <v>21</v>
      </c>
      <c r="H262">
        <v>3</v>
      </c>
      <c r="I262">
        <v>183</v>
      </c>
      <c r="J262">
        <v>10</v>
      </c>
      <c r="K262">
        <v>58</v>
      </c>
      <c r="L262">
        <v>31</v>
      </c>
      <c r="M262">
        <v>0</v>
      </c>
      <c r="N262">
        <v>9</v>
      </c>
      <c r="O262">
        <v>1</v>
      </c>
    </row>
    <row r="263" spans="1:15" x14ac:dyDescent="0.45">
      <c r="A263" t="s">
        <v>53</v>
      </c>
      <c r="B263">
        <v>11</v>
      </c>
      <c r="C263">
        <v>1028</v>
      </c>
      <c r="D263">
        <v>384</v>
      </c>
      <c r="E263">
        <v>0</v>
      </c>
      <c r="F263">
        <v>1</v>
      </c>
      <c r="G263">
        <v>21</v>
      </c>
      <c r="H263">
        <v>3</v>
      </c>
      <c r="I263">
        <v>154</v>
      </c>
      <c r="J263">
        <v>12</v>
      </c>
      <c r="K263">
        <v>24</v>
      </c>
      <c r="L263">
        <v>45</v>
      </c>
      <c r="M263">
        <v>0</v>
      </c>
      <c r="N263">
        <v>8</v>
      </c>
      <c r="O263">
        <v>7</v>
      </c>
    </row>
    <row r="264" spans="1:15" x14ac:dyDescent="0.45">
      <c r="A264" t="s">
        <v>53</v>
      </c>
      <c r="B264">
        <v>12</v>
      </c>
      <c r="C264">
        <v>969</v>
      </c>
      <c r="D264">
        <v>428</v>
      </c>
      <c r="E264">
        <v>0</v>
      </c>
      <c r="F264">
        <v>6</v>
      </c>
      <c r="G264">
        <v>27</v>
      </c>
      <c r="H264">
        <v>7</v>
      </c>
      <c r="I264">
        <v>140</v>
      </c>
      <c r="J264">
        <v>4</v>
      </c>
      <c r="K264">
        <v>11</v>
      </c>
      <c r="L264">
        <v>22</v>
      </c>
      <c r="M264">
        <v>0</v>
      </c>
      <c r="N264">
        <v>0</v>
      </c>
      <c r="O264">
        <v>1</v>
      </c>
    </row>
    <row r="265" spans="1:15" x14ac:dyDescent="0.45">
      <c r="A265" t="s">
        <v>79</v>
      </c>
      <c r="B265">
        <v>1</v>
      </c>
      <c r="C265">
        <v>1152</v>
      </c>
      <c r="D265">
        <v>437</v>
      </c>
      <c r="E265">
        <v>0</v>
      </c>
      <c r="F265">
        <v>64</v>
      </c>
      <c r="G265">
        <v>15</v>
      </c>
      <c r="H265">
        <v>0</v>
      </c>
      <c r="I265">
        <v>255</v>
      </c>
      <c r="J265">
        <v>25</v>
      </c>
      <c r="K265">
        <v>16</v>
      </c>
      <c r="L265">
        <v>26</v>
      </c>
      <c r="M265">
        <v>0</v>
      </c>
      <c r="N265">
        <v>0</v>
      </c>
      <c r="O265">
        <v>2</v>
      </c>
    </row>
    <row r="266" spans="1:15" x14ac:dyDescent="0.45">
      <c r="A266" t="s">
        <v>79</v>
      </c>
      <c r="B266">
        <v>2</v>
      </c>
      <c r="C266">
        <v>926</v>
      </c>
      <c r="D266">
        <v>431</v>
      </c>
      <c r="E266">
        <v>0</v>
      </c>
      <c r="F266">
        <v>39</v>
      </c>
      <c r="G266">
        <v>33</v>
      </c>
      <c r="H266">
        <v>0</v>
      </c>
      <c r="I266">
        <v>232</v>
      </c>
      <c r="J266">
        <v>15</v>
      </c>
      <c r="K266">
        <v>24</v>
      </c>
      <c r="L266">
        <v>34</v>
      </c>
      <c r="M266">
        <v>1</v>
      </c>
      <c r="N266">
        <v>0</v>
      </c>
      <c r="O266">
        <v>0</v>
      </c>
    </row>
    <row r="267" spans="1:15" x14ac:dyDescent="0.45">
      <c r="A267" t="s">
        <v>79</v>
      </c>
      <c r="B267">
        <v>3</v>
      </c>
      <c r="C267">
        <v>1911</v>
      </c>
      <c r="D267">
        <v>588</v>
      </c>
      <c r="E267">
        <v>10</v>
      </c>
      <c r="F267">
        <v>21</v>
      </c>
      <c r="G267">
        <v>84</v>
      </c>
      <c r="H267">
        <v>50</v>
      </c>
      <c r="I267">
        <v>508</v>
      </c>
      <c r="J267">
        <v>28</v>
      </c>
      <c r="K267">
        <v>13</v>
      </c>
      <c r="L267">
        <v>44</v>
      </c>
      <c r="M267">
        <v>0</v>
      </c>
      <c r="N267">
        <v>2</v>
      </c>
      <c r="O267">
        <v>0</v>
      </c>
    </row>
    <row r="268" spans="1:15" x14ac:dyDescent="0.45">
      <c r="A268" t="s">
        <v>79</v>
      </c>
      <c r="B268">
        <v>4</v>
      </c>
      <c r="C268">
        <v>3613</v>
      </c>
      <c r="D268">
        <v>832</v>
      </c>
      <c r="E268">
        <v>2</v>
      </c>
      <c r="F268">
        <v>3</v>
      </c>
      <c r="G268">
        <v>24</v>
      </c>
      <c r="H268">
        <v>281</v>
      </c>
      <c r="I268">
        <v>765</v>
      </c>
      <c r="J268">
        <v>37</v>
      </c>
      <c r="K268">
        <v>20</v>
      </c>
      <c r="L268">
        <v>45</v>
      </c>
      <c r="M268">
        <v>0</v>
      </c>
      <c r="N268">
        <v>12</v>
      </c>
      <c r="O268">
        <v>0</v>
      </c>
    </row>
    <row r="269" spans="1:15" x14ac:dyDescent="0.45">
      <c r="A269" t="s">
        <v>79</v>
      </c>
      <c r="B269">
        <v>5</v>
      </c>
      <c r="C269">
        <v>2515</v>
      </c>
      <c r="D269">
        <v>779</v>
      </c>
      <c r="E269">
        <v>0</v>
      </c>
      <c r="F269">
        <v>0</v>
      </c>
      <c r="G269">
        <v>49</v>
      </c>
      <c r="H269">
        <v>110</v>
      </c>
      <c r="I269">
        <v>562</v>
      </c>
      <c r="J269">
        <v>18</v>
      </c>
      <c r="K269">
        <v>8</v>
      </c>
      <c r="L269">
        <v>27</v>
      </c>
      <c r="M269">
        <v>0</v>
      </c>
      <c r="N269">
        <v>31</v>
      </c>
      <c r="O269">
        <v>0</v>
      </c>
    </row>
    <row r="270" spans="1:15" x14ac:dyDescent="0.45">
      <c r="A270" t="s">
        <v>79</v>
      </c>
      <c r="B270">
        <v>6</v>
      </c>
      <c r="C270">
        <v>2328</v>
      </c>
      <c r="D270">
        <v>846</v>
      </c>
      <c r="E270">
        <v>0</v>
      </c>
      <c r="F270">
        <v>3</v>
      </c>
      <c r="G270">
        <v>49</v>
      </c>
      <c r="H270">
        <v>49</v>
      </c>
      <c r="I270">
        <v>572</v>
      </c>
      <c r="J270">
        <v>21</v>
      </c>
      <c r="K270">
        <v>16</v>
      </c>
      <c r="L270">
        <v>30</v>
      </c>
      <c r="M270">
        <v>0</v>
      </c>
      <c r="N270">
        <v>33</v>
      </c>
      <c r="O270">
        <v>0</v>
      </c>
    </row>
    <row r="271" spans="1:15" x14ac:dyDescent="0.45">
      <c r="A271" t="s">
        <v>79</v>
      </c>
      <c r="B271">
        <v>7</v>
      </c>
      <c r="C271">
        <v>1785</v>
      </c>
      <c r="D271">
        <v>726</v>
      </c>
      <c r="E271">
        <v>0</v>
      </c>
      <c r="F271">
        <v>0</v>
      </c>
      <c r="G271">
        <v>24</v>
      </c>
      <c r="H271">
        <v>17</v>
      </c>
      <c r="I271">
        <v>451</v>
      </c>
      <c r="J271">
        <v>55</v>
      </c>
      <c r="K271">
        <v>28</v>
      </c>
      <c r="L271">
        <v>28</v>
      </c>
      <c r="M271">
        <v>0</v>
      </c>
      <c r="N271">
        <v>14</v>
      </c>
      <c r="O271">
        <v>0</v>
      </c>
    </row>
    <row r="272" spans="1:15" x14ac:dyDescent="0.45">
      <c r="A272" t="s">
        <v>79</v>
      </c>
      <c r="B272">
        <v>8</v>
      </c>
      <c r="C272">
        <v>1176</v>
      </c>
      <c r="D272">
        <v>512</v>
      </c>
      <c r="E272">
        <v>0</v>
      </c>
      <c r="F272">
        <v>0</v>
      </c>
      <c r="G272">
        <v>2</v>
      </c>
      <c r="H272">
        <v>2</v>
      </c>
      <c r="I272">
        <v>257</v>
      </c>
      <c r="J272">
        <v>33</v>
      </c>
      <c r="K272">
        <v>17</v>
      </c>
      <c r="L272">
        <v>22</v>
      </c>
      <c r="M272">
        <v>0</v>
      </c>
      <c r="N272">
        <v>0</v>
      </c>
      <c r="O272">
        <v>0</v>
      </c>
    </row>
    <row r="273" spans="1:16" x14ac:dyDescent="0.45">
      <c r="A273" t="s">
        <v>79</v>
      </c>
      <c r="B273">
        <v>9</v>
      </c>
      <c r="C273">
        <v>1357</v>
      </c>
      <c r="D273">
        <v>600</v>
      </c>
      <c r="E273">
        <v>0</v>
      </c>
      <c r="F273">
        <v>0</v>
      </c>
      <c r="G273">
        <v>4</v>
      </c>
      <c r="H273">
        <v>3</v>
      </c>
      <c r="I273">
        <v>380</v>
      </c>
      <c r="J273">
        <v>55</v>
      </c>
      <c r="K273">
        <v>51</v>
      </c>
      <c r="L273">
        <v>24</v>
      </c>
      <c r="M273">
        <v>0</v>
      </c>
      <c r="N273">
        <v>0</v>
      </c>
      <c r="O273">
        <v>0</v>
      </c>
      <c r="P273">
        <v>0</v>
      </c>
    </row>
    <row r="274" spans="1:16" x14ac:dyDescent="0.45">
      <c r="A274" t="s">
        <v>79</v>
      </c>
      <c r="B274">
        <v>10</v>
      </c>
      <c r="C274">
        <v>1667</v>
      </c>
      <c r="D274">
        <v>690</v>
      </c>
      <c r="E274">
        <v>0</v>
      </c>
      <c r="F274">
        <v>5</v>
      </c>
      <c r="G274">
        <v>17</v>
      </c>
      <c r="H274">
        <v>0</v>
      </c>
      <c r="I274">
        <v>370</v>
      </c>
      <c r="J274">
        <v>123</v>
      </c>
      <c r="K274">
        <v>22</v>
      </c>
      <c r="L274">
        <v>30</v>
      </c>
      <c r="M274">
        <v>0</v>
      </c>
      <c r="N274">
        <v>4</v>
      </c>
      <c r="O274">
        <v>0</v>
      </c>
    </row>
    <row r="275" spans="1:16" x14ac:dyDescent="0.45">
      <c r="A275" t="s">
        <v>79</v>
      </c>
      <c r="B275">
        <v>11</v>
      </c>
      <c r="C275">
        <v>1828</v>
      </c>
      <c r="D275">
        <v>604</v>
      </c>
      <c r="E275">
        <v>0</v>
      </c>
      <c r="F275">
        <v>60</v>
      </c>
      <c r="G275">
        <v>23</v>
      </c>
      <c r="H275">
        <v>0</v>
      </c>
      <c r="I275">
        <v>479</v>
      </c>
      <c r="J275">
        <v>58</v>
      </c>
      <c r="K275">
        <v>34</v>
      </c>
      <c r="L275">
        <v>33</v>
      </c>
      <c r="M275">
        <v>0</v>
      </c>
      <c r="N275">
        <v>1</v>
      </c>
      <c r="O275">
        <v>3</v>
      </c>
      <c r="P275">
        <v>10</v>
      </c>
    </row>
    <row r="276" spans="1:16" x14ac:dyDescent="0.45">
      <c r="A276" t="s">
        <v>79</v>
      </c>
      <c r="B276">
        <v>12</v>
      </c>
      <c r="C276">
        <v>1452</v>
      </c>
      <c r="D276">
        <v>616</v>
      </c>
      <c r="E276">
        <v>0</v>
      </c>
      <c r="F276">
        <v>54</v>
      </c>
      <c r="G276">
        <v>45</v>
      </c>
      <c r="H276">
        <v>0</v>
      </c>
      <c r="I276">
        <v>325</v>
      </c>
      <c r="J276">
        <v>26</v>
      </c>
      <c r="K276">
        <v>18</v>
      </c>
      <c r="L276">
        <v>50</v>
      </c>
      <c r="M276">
        <v>0</v>
      </c>
      <c r="N276">
        <v>0</v>
      </c>
      <c r="O276">
        <v>0</v>
      </c>
      <c r="P276">
        <v>11</v>
      </c>
    </row>
    <row r="277" spans="1:16" x14ac:dyDescent="0.45">
      <c r="A277" t="s">
        <v>77</v>
      </c>
      <c r="B277">
        <v>1</v>
      </c>
      <c r="C277">
        <v>1158</v>
      </c>
      <c r="D277">
        <v>393</v>
      </c>
      <c r="E277">
        <v>0</v>
      </c>
      <c r="F277">
        <v>16</v>
      </c>
      <c r="G277">
        <v>39</v>
      </c>
      <c r="H277">
        <v>15</v>
      </c>
      <c r="I277">
        <v>84</v>
      </c>
      <c r="J277">
        <v>48</v>
      </c>
      <c r="K277">
        <v>14</v>
      </c>
      <c r="L277">
        <v>47</v>
      </c>
      <c r="M277">
        <v>0</v>
      </c>
      <c r="N277">
        <v>0</v>
      </c>
      <c r="O277">
        <v>0</v>
      </c>
      <c r="P277">
        <v>2</v>
      </c>
    </row>
    <row r="278" spans="1:16" x14ac:dyDescent="0.45">
      <c r="A278" t="s">
        <v>77</v>
      </c>
      <c r="B278">
        <v>2</v>
      </c>
      <c r="C278">
        <v>864</v>
      </c>
      <c r="D278">
        <v>349</v>
      </c>
      <c r="E278">
        <v>0</v>
      </c>
      <c r="F278">
        <v>5</v>
      </c>
      <c r="G278">
        <v>24</v>
      </c>
      <c r="H278">
        <v>12</v>
      </c>
      <c r="I278">
        <v>85</v>
      </c>
      <c r="J278">
        <v>49</v>
      </c>
      <c r="K278">
        <v>12</v>
      </c>
      <c r="L278">
        <v>50</v>
      </c>
      <c r="M278">
        <v>0</v>
      </c>
      <c r="N278">
        <v>0</v>
      </c>
      <c r="O278">
        <v>0</v>
      </c>
      <c r="P278">
        <v>4</v>
      </c>
    </row>
    <row r="279" spans="1:16" x14ac:dyDescent="0.45">
      <c r="A279" t="s">
        <v>77</v>
      </c>
      <c r="B279">
        <v>3</v>
      </c>
      <c r="C279">
        <v>1647</v>
      </c>
      <c r="D279">
        <v>429</v>
      </c>
      <c r="E279">
        <v>0</v>
      </c>
      <c r="F279">
        <v>2</v>
      </c>
      <c r="G279">
        <v>77</v>
      </c>
      <c r="H279">
        <v>53</v>
      </c>
      <c r="I279">
        <v>91</v>
      </c>
      <c r="J279">
        <v>42</v>
      </c>
      <c r="K279">
        <v>21</v>
      </c>
      <c r="L279">
        <v>46</v>
      </c>
      <c r="M279">
        <v>0</v>
      </c>
      <c r="N279">
        <v>0</v>
      </c>
      <c r="O279">
        <v>0</v>
      </c>
      <c r="P279">
        <v>0</v>
      </c>
    </row>
    <row r="280" spans="1:16" x14ac:dyDescent="0.45">
      <c r="A280" t="s">
        <v>77</v>
      </c>
      <c r="B280">
        <v>4</v>
      </c>
      <c r="C280">
        <v>2914</v>
      </c>
      <c r="D280">
        <v>616</v>
      </c>
      <c r="E280">
        <v>0</v>
      </c>
      <c r="F280">
        <v>0</v>
      </c>
      <c r="G280">
        <v>45</v>
      </c>
      <c r="H280">
        <v>128</v>
      </c>
      <c r="I280">
        <v>151</v>
      </c>
      <c r="J280">
        <v>64</v>
      </c>
      <c r="K280">
        <v>4</v>
      </c>
      <c r="L280">
        <v>62</v>
      </c>
      <c r="M280">
        <v>0</v>
      </c>
      <c r="N280">
        <v>0</v>
      </c>
      <c r="O280">
        <v>4</v>
      </c>
      <c r="P280">
        <v>0</v>
      </c>
    </row>
    <row r="281" spans="1:16" x14ac:dyDescent="0.45">
      <c r="A281" t="s">
        <v>77</v>
      </c>
      <c r="B281">
        <v>5</v>
      </c>
      <c r="C281">
        <v>1872</v>
      </c>
      <c r="D281">
        <v>558</v>
      </c>
      <c r="E281">
        <v>0</v>
      </c>
      <c r="F281">
        <v>2</v>
      </c>
      <c r="G281">
        <v>27</v>
      </c>
      <c r="H281">
        <v>78</v>
      </c>
      <c r="I281">
        <v>153</v>
      </c>
      <c r="J281">
        <v>48</v>
      </c>
      <c r="K281">
        <v>7</v>
      </c>
      <c r="L281">
        <v>59</v>
      </c>
      <c r="M281">
        <v>0</v>
      </c>
      <c r="N281">
        <v>8</v>
      </c>
      <c r="O281">
        <v>2</v>
      </c>
      <c r="P281">
        <v>2</v>
      </c>
    </row>
    <row r="282" spans="1:16" x14ac:dyDescent="0.45">
      <c r="A282" t="s">
        <v>77</v>
      </c>
      <c r="B282">
        <v>6</v>
      </c>
      <c r="C282">
        <v>1684</v>
      </c>
      <c r="D282">
        <v>675</v>
      </c>
      <c r="E282">
        <v>0</v>
      </c>
      <c r="F282">
        <v>0</v>
      </c>
      <c r="G282">
        <v>23</v>
      </c>
      <c r="H282">
        <v>60</v>
      </c>
      <c r="I282">
        <v>170</v>
      </c>
      <c r="J282">
        <v>69</v>
      </c>
      <c r="K282">
        <v>23</v>
      </c>
      <c r="L282">
        <v>75</v>
      </c>
      <c r="M282">
        <v>0</v>
      </c>
      <c r="N282">
        <v>13</v>
      </c>
      <c r="O282">
        <v>0</v>
      </c>
      <c r="P282">
        <v>2</v>
      </c>
    </row>
    <row r="283" spans="1:16" x14ac:dyDescent="0.45">
      <c r="A283" t="s">
        <v>77</v>
      </c>
      <c r="B283">
        <v>7</v>
      </c>
      <c r="C283">
        <v>1385</v>
      </c>
      <c r="D283">
        <v>534</v>
      </c>
      <c r="E283">
        <v>0</v>
      </c>
      <c r="F283">
        <v>1</v>
      </c>
      <c r="G283">
        <v>37</v>
      </c>
      <c r="H283">
        <v>28</v>
      </c>
      <c r="I283">
        <v>109</v>
      </c>
      <c r="J283">
        <v>70</v>
      </c>
      <c r="K283">
        <v>25</v>
      </c>
      <c r="L283">
        <v>67</v>
      </c>
      <c r="M283">
        <v>0</v>
      </c>
      <c r="N283">
        <v>3</v>
      </c>
      <c r="O283">
        <v>0</v>
      </c>
      <c r="P283">
        <v>5</v>
      </c>
    </row>
    <row r="284" spans="1:16" x14ac:dyDescent="0.45">
      <c r="A284" t="s">
        <v>77</v>
      </c>
      <c r="B284">
        <v>8</v>
      </c>
      <c r="C284">
        <v>909</v>
      </c>
      <c r="D284">
        <v>311</v>
      </c>
      <c r="E284">
        <v>0</v>
      </c>
      <c r="F284">
        <v>0</v>
      </c>
      <c r="G284">
        <v>15</v>
      </c>
      <c r="H284">
        <v>17</v>
      </c>
      <c r="I284">
        <v>143</v>
      </c>
      <c r="J284">
        <v>70</v>
      </c>
      <c r="K284">
        <v>12</v>
      </c>
      <c r="L284">
        <v>44</v>
      </c>
      <c r="M284">
        <v>0</v>
      </c>
      <c r="N284">
        <v>0</v>
      </c>
      <c r="O284">
        <v>0</v>
      </c>
      <c r="P284">
        <v>2</v>
      </c>
    </row>
    <row r="285" spans="1:16" x14ac:dyDescent="0.45">
      <c r="A285" t="s">
        <v>77</v>
      </c>
      <c r="B285">
        <v>9</v>
      </c>
      <c r="C285">
        <v>1070</v>
      </c>
      <c r="D285">
        <v>385</v>
      </c>
      <c r="E285">
        <v>0</v>
      </c>
      <c r="F285">
        <v>3</v>
      </c>
      <c r="G285">
        <v>21</v>
      </c>
      <c r="H285">
        <v>12</v>
      </c>
      <c r="I285">
        <v>142</v>
      </c>
      <c r="J285">
        <v>84</v>
      </c>
      <c r="K285">
        <v>33</v>
      </c>
      <c r="L285">
        <v>47</v>
      </c>
      <c r="M285">
        <v>0</v>
      </c>
      <c r="N285">
        <v>1</v>
      </c>
      <c r="O285">
        <v>1</v>
      </c>
      <c r="P285">
        <v>1</v>
      </c>
    </row>
    <row r="286" spans="1:16" x14ac:dyDescent="0.45">
      <c r="A286" t="s">
        <v>77</v>
      </c>
      <c r="B286">
        <v>10</v>
      </c>
      <c r="C286">
        <v>1439</v>
      </c>
      <c r="D286">
        <v>492</v>
      </c>
      <c r="E286">
        <v>0</v>
      </c>
      <c r="F286">
        <v>16</v>
      </c>
      <c r="G286">
        <v>42</v>
      </c>
      <c r="H286">
        <v>14</v>
      </c>
      <c r="I286">
        <v>162</v>
      </c>
      <c r="J286">
        <v>75</v>
      </c>
      <c r="K286">
        <v>30</v>
      </c>
      <c r="L286">
        <v>80</v>
      </c>
      <c r="M286">
        <v>0</v>
      </c>
      <c r="N286">
        <v>0</v>
      </c>
      <c r="O286">
        <v>0</v>
      </c>
    </row>
    <row r="287" spans="1:16" x14ac:dyDescent="0.45">
      <c r="A287" t="s">
        <v>77</v>
      </c>
      <c r="B287">
        <v>11</v>
      </c>
      <c r="C287">
        <v>1339</v>
      </c>
      <c r="D287">
        <v>463</v>
      </c>
      <c r="E287">
        <v>0</v>
      </c>
      <c r="F287">
        <v>45</v>
      </c>
      <c r="G287">
        <v>28</v>
      </c>
      <c r="H287">
        <v>36</v>
      </c>
      <c r="I287">
        <v>167</v>
      </c>
      <c r="J287">
        <v>77</v>
      </c>
      <c r="K287">
        <v>31</v>
      </c>
      <c r="L287">
        <v>42</v>
      </c>
      <c r="M287">
        <v>0</v>
      </c>
      <c r="N287">
        <v>0</v>
      </c>
      <c r="O287">
        <v>3</v>
      </c>
      <c r="P287">
        <v>3</v>
      </c>
    </row>
    <row r="288" spans="1:16" x14ac:dyDescent="0.45">
      <c r="A288" t="s">
        <v>77</v>
      </c>
      <c r="B288">
        <v>12</v>
      </c>
      <c r="C288">
        <v>1394</v>
      </c>
      <c r="D288">
        <v>415</v>
      </c>
      <c r="E288">
        <v>0</v>
      </c>
      <c r="F288">
        <v>7</v>
      </c>
      <c r="G288">
        <v>53</v>
      </c>
      <c r="H288">
        <v>8</v>
      </c>
      <c r="I288">
        <v>127</v>
      </c>
      <c r="J288">
        <v>69</v>
      </c>
      <c r="K288">
        <v>20</v>
      </c>
      <c r="L288">
        <v>41</v>
      </c>
      <c r="M288">
        <v>0</v>
      </c>
      <c r="N288">
        <v>0</v>
      </c>
      <c r="O288">
        <v>0</v>
      </c>
      <c r="P288">
        <v>1</v>
      </c>
    </row>
    <row r="289" spans="1:16" x14ac:dyDescent="0.45">
      <c r="A289" t="s">
        <v>82</v>
      </c>
      <c r="B289">
        <v>1</v>
      </c>
      <c r="C289">
        <v>758</v>
      </c>
      <c r="D289">
        <v>152</v>
      </c>
      <c r="E289">
        <v>0</v>
      </c>
      <c r="F289">
        <v>52</v>
      </c>
      <c r="G289">
        <v>34</v>
      </c>
      <c r="H289">
        <v>13</v>
      </c>
      <c r="I289">
        <v>228</v>
      </c>
      <c r="J289">
        <v>72</v>
      </c>
      <c r="K289">
        <v>39</v>
      </c>
      <c r="L289">
        <v>22</v>
      </c>
      <c r="M289">
        <v>0</v>
      </c>
      <c r="N289">
        <v>0</v>
      </c>
      <c r="O289">
        <v>0</v>
      </c>
      <c r="P289">
        <v>0</v>
      </c>
    </row>
    <row r="290" spans="1:16" x14ac:dyDescent="0.45">
      <c r="A290" t="s">
        <v>82</v>
      </c>
      <c r="B290">
        <v>2</v>
      </c>
      <c r="C290">
        <v>610</v>
      </c>
      <c r="D290">
        <v>139</v>
      </c>
      <c r="E290">
        <v>0</v>
      </c>
      <c r="F290">
        <v>23</v>
      </c>
      <c r="G290">
        <v>29</v>
      </c>
      <c r="H290">
        <v>7</v>
      </c>
      <c r="I290">
        <v>203</v>
      </c>
      <c r="J290">
        <v>40</v>
      </c>
      <c r="K290">
        <v>10</v>
      </c>
      <c r="L290">
        <v>17</v>
      </c>
      <c r="M290">
        <v>0</v>
      </c>
      <c r="N290">
        <v>2</v>
      </c>
      <c r="O290">
        <v>0</v>
      </c>
      <c r="P290">
        <v>3</v>
      </c>
    </row>
    <row r="291" spans="1:16" x14ac:dyDescent="0.45">
      <c r="A291" t="s">
        <v>82</v>
      </c>
      <c r="B291">
        <v>3</v>
      </c>
      <c r="C291">
        <v>1164</v>
      </c>
      <c r="D291">
        <v>175</v>
      </c>
      <c r="E291">
        <v>7</v>
      </c>
      <c r="F291">
        <v>20</v>
      </c>
      <c r="G291">
        <v>140</v>
      </c>
      <c r="H291">
        <v>58</v>
      </c>
      <c r="I291">
        <v>401</v>
      </c>
      <c r="J291">
        <v>70</v>
      </c>
      <c r="K291">
        <v>10</v>
      </c>
      <c r="L291">
        <v>27</v>
      </c>
      <c r="M291">
        <v>0</v>
      </c>
      <c r="N291">
        <v>2</v>
      </c>
      <c r="O291">
        <v>1</v>
      </c>
      <c r="P291">
        <v>3</v>
      </c>
    </row>
    <row r="292" spans="1:16" x14ac:dyDescent="0.45">
      <c r="A292" t="s">
        <v>82</v>
      </c>
      <c r="B292">
        <v>4</v>
      </c>
      <c r="C292">
        <v>2040</v>
      </c>
      <c r="D292">
        <v>330</v>
      </c>
      <c r="E292">
        <v>7</v>
      </c>
      <c r="F292">
        <v>49</v>
      </c>
      <c r="G292">
        <v>117</v>
      </c>
      <c r="H292">
        <v>138</v>
      </c>
      <c r="I292">
        <v>529</v>
      </c>
      <c r="J292">
        <v>79</v>
      </c>
      <c r="K292">
        <v>29</v>
      </c>
      <c r="L292">
        <v>13</v>
      </c>
      <c r="M292">
        <v>0</v>
      </c>
      <c r="N292">
        <v>28</v>
      </c>
      <c r="O292">
        <v>11</v>
      </c>
      <c r="P292">
        <v>0</v>
      </c>
    </row>
    <row r="293" spans="1:16" x14ac:dyDescent="0.45">
      <c r="A293" t="s">
        <v>82</v>
      </c>
      <c r="B293">
        <v>5</v>
      </c>
      <c r="C293">
        <v>1310</v>
      </c>
      <c r="D293">
        <v>262</v>
      </c>
      <c r="E293">
        <v>0</v>
      </c>
      <c r="F293">
        <v>14</v>
      </c>
      <c r="G293">
        <v>95</v>
      </c>
      <c r="H293">
        <v>83</v>
      </c>
      <c r="I293">
        <v>427</v>
      </c>
      <c r="J293">
        <v>72</v>
      </c>
      <c r="K293">
        <v>13</v>
      </c>
      <c r="L293">
        <v>11</v>
      </c>
      <c r="M293">
        <v>0</v>
      </c>
      <c r="N293">
        <v>16</v>
      </c>
      <c r="O293">
        <v>1</v>
      </c>
      <c r="P293">
        <v>5</v>
      </c>
    </row>
    <row r="294" spans="1:16" x14ac:dyDescent="0.45">
      <c r="A294" t="s">
        <v>82</v>
      </c>
      <c r="B294">
        <v>6</v>
      </c>
      <c r="C294">
        <v>1459</v>
      </c>
      <c r="D294">
        <v>347</v>
      </c>
      <c r="E294">
        <v>0</v>
      </c>
      <c r="F294">
        <v>16</v>
      </c>
      <c r="G294">
        <v>106</v>
      </c>
      <c r="H294">
        <v>26</v>
      </c>
      <c r="I294">
        <v>519</v>
      </c>
      <c r="J294">
        <v>37</v>
      </c>
      <c r="K294">
        <v>13</v>
      </c>
      <c r="L294">
        <v>17</v>
      </c>
      <c r="M294">
        <v>0</v>
      </c>
      <c r="N294">
        <v>36</v>
      </c>
      <c r="O294">
        <v>0</v>
      </c>
      <c r="P294">
        <v>7</v>
      </c>
    </row>
    <row r="295" spans="1:16" x14ac:dyDescent="0.45">
      <c r="A295" t="s">
        <v>82</v>
      </c>
      <c r="B295">
        <v>7</v>
      </c>
      <c r="C295">
        <v>1018</v>
      </c>
      <c r="D295">
        <v>327</v>
      </c>
      <c r="E295">
        <v>0</v>
      </c>
      <c r="F295">
        <v>6</v>
      </c>
      <c r="G295">
        <v>26</v>
      </c>
      <c r="H295">
        <v>12</v>
      </c>
      <c r="I295">
        <v>405</v>
      </c>
      <c r="J295">
        <v>103</v>
      </c>
      <c r="K295">
        <v>30</v>
      </c>
      <c r="L295">
        <v>8</v>
      </c>
      <c r="M295">
        <v>1</v>
      </c>
      <c r="N295">
        <v>19</v>
      </c>
      <c r="O295">
        <v>0</v>
      </c>
      <c r="P295">
        <v>14</v>
      </c>
    </row>
    <row r="296" spans="1:16" x14ac:dyDescent="0.45">
      <c r="A296" t="s">
        <v>82</v>
      </c>
      <c r="B296">
        <v>8</v>
      </c>
      <c r="C296">
        <v>640</v>
      </c>
      <c r="D296">
        <v>141</v>
      </c>
      <c r="E296">
        <v>0</v>
      </c>
      <c r="F296">
        <v>0</v>
      </c>
      <c r="G296">
        <v>7</v>
      </c>
      <c r="H296">
        <v>0</v>
      </c>
      <c r="I296">
        <v>318</v>
      </c>
      <c r="J296">
        <v>18</v>
      </c>
      <c r="K296">
        <v>20</v>
      </c>
      <c r="L296">
        <v>11</v>
      </c>
      <c r="M296">
        <v>0</v>
      </c>
      <c r="N296">
        <v>5</v>
      </c>
      <c r="O296">
        <v>1</v>
      </c>
      <c r="P296">
        <v>4</v>
      </c>
    </row>
    <row r="297" spans="1:16" x14ac:dyDescent="0.45">
      <c r="A297" t="s">
        <v>82</v>
      </c>
      <c r="B297">
        <v>9</v>
      </c>
      <c r="C297">
        <v>796</v>
      </c>
      <c r="D297">
        <v>162</v>
      </c>
      <c r="E297">
        <v>0</v>
      </c>
      <c r="F297">
        <v>2</v>
      </c>
      <c r="G297">
        <v>8</v>
      </c>
      <c r="H297">
        <v>4</v>
      </c>
      <c r="I297">
        <v>403</v>
      </c>
      <c r="J297">
        <v>50</v>
      </c>
      <c r="K297">
        <v>38</v>
      </c>
      <c r="L297">
        <v>17</v>
      </c>
      <c r="M297">
        <v>0</v>
      </c>
      <c r="N297">
        <v>6</v>
      </c>
      <c r="O297">
        <v>0</v>
      </c>
      <c r="P297">
        <v>0</v>
      </c>
    </row>
    <row r="298" spans="1:16" x14ac:dyDescent="0.45">
      <c r="A298" t="s">
        <v>82</v>
      </c>
      <c r="B298">
        <v>10</v>
      </c>
      <c r="C298">
        <v>1115</v>
      </c>
      <c r="D298">
        <v>192</v>
      </c>
      <c r="E298">
        <v>0</v>
      </c>
      <c r="F298">
        <v>14</v>
      </c>
      <c r="G298">
        <v>40</v>
      </c>
      <c r="H298">
        <v>5</v>
      </c>
      <c r="I298">
        <v>512</v>
      </c>
      <c r="J298">
        <v>109</v>
      </c>
      <c r="K298">
        <v>36</v>
      </c>
      <c r="L298">
        <v>24</v>
      </c>
      <c r="M298">
        <v>6</v>
      </c>
      <c r="N298">
        <v>1</v>
      </c>
      <c r="O298">
        <v>0</v>
      </c>
    </row>
    <row r="299" spans="1:16" x14ac:dyDescent="0.45">
      <c r="A299" t="s">
        <v>82</v>
      </c>
      <c r="B299">
        <v>11</v>
      </c>
      <c r="C299">
        <v>997</v>
      </c>
      <c r="D299">
        <v>190</v>
      </c>
      <c r="E299">
        <v>0</v>
      </c>
      <c r="F299">
        <v>29</v>
      </c>
      <c r="G299">
        <v>35</v>
      </c>
      <c r="H299">
        <v>7</v>
      </c>
      <c r="I299">
        <v>395</v>
      </c>
      <c r="J299">
        <v>99</v>
      </c>
      <c r="K299">
        <v>82</v>
      </c>
      <c r="L299">
        <v>30</v>
      </c>
      <c r="M299">
        <v>0</v>
      </c>
      <c r="N299">
        <v>3</v>
      </c>
      <c r="O299">
        <v>1</v>
      </c>
      <c r="P299">
        <v>4</v>
      </c>
    </row>
    <row r="300" spans="1:16" x14ac:dyDescent="0.45">
      <c r="A300" t="s">
        <v>82</v>
      </c>
      <c r="B300">
        <v>12</v>
      </c>
      <c r="C300">
        <v>894</v>
      </c>
      <c r="D300">
        <v>99</v>
      </c>
      <c r="E300">
        <v>0</v>
      </c>
      <c r="F300">
        <v>47</v>
      </c>
      <c r="G300">
        <v>23</v>
      </c>
      <c r="H300">
        <v>0</v>
      </c>
      <c r="I300">
        <v>311</v>
      </c>
      <c r="J300">
        <v>75</v>
      </c>
      <c r="K300">
        <v>52</v>
      </c>
      <c r="L300">
        <v>8</v>
      </c>
      <c r="M300">
        <v>0</v>
      </c>
      <c r="N300">
        <v>4</v>
      </c>
      <c r="O300">
        <v>0</v>
      </c>
      <c r="P300">
        <v>1</v>
      </c>
    </row>
    <row r="301" spans="1:16" x14ac:dyDescent="0.45">
      <c r="A301" t="s">
        <v>49</v>
      </c>
      <c r="B301">
        <v>1</v>
      </c>
      <c r="C301">
        <v>842</v>
      </c>
      <c r="D301">
        <v>966</v>
      </c>
      <c r="E301">
        <v>1</v>
      </c>
      <c r="F301">
        <v>45</v>
      </c>
      <c r="G301">
        <v>8</v>
      </c>
      <c r="H301">
        <v>7</v>
      </c>
      <c r="I301">
        <v>61</v>
      </c>
      <c r="J301">
        <v>16</v>
      </c>
      <c r="K301">
        <v>8</v>
      </c>
      <c r="L301">
        <v>23</v>
      </c>
      <c r="M301">
        <v>0</v>
      </c>
      <c r="N301">
        <v>0</v>
      </c>
      <c r="O301">
        <v>1</v>
      </c>
      <c r="P301">
        <v>3</v>
      </c>
    </row>
    <row r="302" spans="1:16" x14ac:dyDescent="0.45">
      <c r="A302" t="s">
        <v>49</v>
      </c>
      <c r="B302">
        <v>2</v>
      </c>
      <c r="C302">
        <v>614</v>
      </c>
      <c r="D302">
        <v>929</v>
      </c>
      <c r="E302">
        <v>0</v>
      </c>
      <c r="F302">
        <v>14</v>
      </c>
      <c r="G302">
        <v>16</v>
      </c>
      <c r="H302">
        <v>0</v>
      </c>
      <c r="I302">
        <v>49</v>
      </c>
      <c r="J302">
        <v>9</v>
      </c>
      <c r="K302">
        <v>9</v>
      </c>
      <c r="L302">
        <v>23</v>
      </c>
      <c r="M302">
        <v>0</v>
      </c>
      <c r="N302">
        <v>0</v>
      </c>
      <c r="O302">
        <v>2</v>
      </c>
      <c r="P302">
        <v>3</v>
      </c>
    </row>
    <row r="303" spans="1:16" x14ac:dyDescent="0.45">
      <c r="A303" t="s">
        <v>49</v>
      </c>
      <c r="B303">
        <v>3</v>
      </c>
      <c r="C303">
        <v>1200</v>
      </c>
      <c r="D303">
        <v>1187</v>
      </c>
      <c r="E303">
        <v>7</v>
      </c>
      <c r="F303">
        <v>8</v>
      </c>
      <c r="G303">
        <v>42</v>
      </c>
      <c r="H303">
        <v>32</v>
      </c>
      <c r="I303">
        <v>92</v>
      </c>
      <c r="J303">
        <v>8</v>
      </c>
      <c r="K303">
        <v>0</v>
      </c>
      <c r="L303">
        <v>47</v>
      </c>
      <c r="M303">
        <v>0</v>
      </c>
      <c r="N303">
        <v>0</v>
      </c>
      <c r="O303">
        <v>1</v>
      </c>
      <c r="P303">
        <v>5</v>
      </c>
    </row>
    <row r="304" spans="1:16" x14ac:dyDescent="0.45">
      <c r="A304" t="s">
        <v>49</v>
      </c>
      <c r="B304">
        <v>4</v>
      </c>
      <c r="C304">
        <v>2005</v>
      </c>
      <c r="D304">
        <v>1190</v>
      </c>
      <c r="E304">
        <v>15</v>
      </c>
      <c r="F304">
        <v>3</v>
      </c>
      <c r="G304">
        <v>20</v>
      </c>
      <c r="H304">
        <v>96</v>
      </c>
      <c r="I304">
        <v>113</v>
      </c>
      <c r="J304">
        <v>4</v>
      </c>
      <c r="K304">
        <v>0</v>
      </c>
      <c r="L304">
        <v>30</v>
      </c>
      <c r="M304">
        <v>0</v>
      </c>
      <c r="N304">
        <v>0</v>
      </c>
      <c r="O304">
        <v>10</v>
      </c>
      <c r="P304">
        <v>4</v>
      </c>
    </row>
    <row r="305" spans="1:16" x14ac:dyDescent="0.45">
      <c r="A305" t="s">
        <v>49</v>
      </c>
      <c r="B305">
        <v>5</v>
      </c>
      <c r="C305">
        <v>1324</v>
      </c>
      <c r="D305">
        <v>1041</v>
      </c>
      <c r="E305">
        <v>1</v>
      </c>
      <c r="F305">
        <v>3</v>
      </c>
      <c r="G305">
        <v>19</v>
      </c>
      <c r="H305">
        <v>41</v>
      </c>
      <c r="I305">
        <v>124</v>
      </c>
      <c r="J305">
        <v>6</v>
      </c>
      <c r="K305">
        <v>1</v>
      </c>
      <c r="L305">
        <v>23</v>
      </c>
      <c r="M305">
        <v>1</v>
      </c>
      <c r="N305">
        <v>0</v>
      </c>
      <c r="O305">
        <v>1</v>
      </c>
      <c r="P305">
        <v>5</v>
      </c>
    </row>
    <row r="306" spans="1:16" x14ac:dyDescent="0.45">
      <c r="A306" t="s">
        <v>49</v>
      </c>
      <c r="B306">
        <v>6</v>
      </c>
      <c r="C306">
        <v>973</v>
      </c>
      <c r="D306">
        <v>1253</v>
      </c>
      <c r="E306">
        <v>0</v>
      </c>
      <c r="F306">
        <v>0</v>
      </c>
      <c r="G306">
        <v>18</v>
      </c>
      <c r="H306">
        <v>15</v>
      </c>
      <c r="I306">
        <v>125</v>
      </c>
      <c r="J306">
        <v>7</v>
      </c>
      <c r="K306">
        <v>0</v>
      </c>
      <c r="L306">
        <v>63</v>
      </c>
      <c r="M306">
        <v>0</v>
      </c>
      <c r="N306">
        <v>0</v>
      </c>
      <c r="O306">
        <v>0</v>
      </c>
      <c r="P306">
        <v>8</v>
      </c>
    </row>
    <row r="307" spans="1:16" x14ac:dyDescent="0.45">
      <c r="A307" t="s">
        <v>49</v>
      </c>
      <c r="B307">
        <v>7</v>
      </c>
      <c r="C307">
        <v>1132</v>
      </c>
      <c r="D307">
        <v>1464</v>
      </c>
      <c r="E307">
        <v>0</v>
      </c>
      <c r="F307">
        <v>0</v>
      </c>
      <c r="G307">
        <v>4</v>
      </c>
      <c r="H307">
        <v>5</v>
      </c>
      <c r="I307">
        <v>91</v>
      </c>
      <c r="J307">
        <v>83</v>
      </c>
      <c r="K307">
        <v>1</v>
      </c>
      <c r="L307">
        <v>38</v>
      </c>
      <c r="M307">
        <v>1</v>
      </c>
      <c r="N307">
        <v>0</v>
      </c>
      <c r="O307">
        <v>1</v>
      </c>
      <c r="P307">
        <v>5</v>
      </c>
    </row>
    <row r="308" spans="1:16" x14ac:dyDescent="0.45">
      <c r="A308" t="s">
        <v>49</v>
      </c>
      <c r="B308">
        <v>8</v>
      </c>
      <c r="C308">
        <v>756</v>
      </c>
      <c r="D308">
        <v>909</v>
      </c>
      <c r="E308">
        <v>0</v>
      </c>
      <c r="F308">
        <v>0</v>
      </c>
      <c r="G308">
        <v>4</v>
      </c>
      <c r="H308">
        <v>1</v>
      </c>
      <c r="I308">
        <v>114</v>
      </c>
      <c r="J308">
        <v>55</v>
      </c>
      <c r="K308">
        <v>1</v>
      </c>
      <c r="L308">
        <v>15</v>
      </c>
      <c r="M308">
        <v>0</v>
      </c>
      <c r="N308">
        <v>0</v>
      </c>
      <c r="O308">
        <v>1</v>
      </c>
    </row>
    <row r="309" spans="1:16" x14ac:dyDescent="0.45">
      <c r="A309" t="s">
        <v>49</v>
      </c>
      <c r="B309">
        <v>9</v>
      </c>
      <c r="C309">
        <v>763</v>
      </c>
      <c r="D309">
        <v>1261</v>
      </c>
      <c r="E309">
        <v>0</v>
      </c>
      <c r="F309">
        <v>0</v>
      </c>
      <c r="G309">
        <v>1</v>
      </c>
      <c r="H309">
        <v>0</v>
      </c>
      <c r="I309">
        <v>82</v>
      </c>
      <c r="J309">
        <v>64</v>
      </c>
      <c r="K309">
        <v>33</v>
      </c>
      <c r="L309">
        <v>42</v>
      </c>
      <c r="M309">
        <v>0</v>
      </c>
      <c r="N309">
        <v>0</v>
      </c>
      <c r="O309">
        <v>4</v>
      </c>
      <c r="P309">
        <v>0</v>
      </c>
    </row>
    <row r="310" spans="1:16" x14ac:dyDescent="0.45">
      <c r="A310" t="s">
        <v>49</v>
      </c>
      <c r="B310">
        <v>10</v>
      </c>
      <c r="C310">
        <v>1122</v>
      </c>
      <c r="D310">
        <v>1250</v>
      </c>
      <c r="E310">
        <v>0</v>
      </c>
      <c r="F310">
        <v>1</v>
      </c>
      <c r="G310">
        <v>3</v>
      </c>
      <c r="H310">
        <v>0</v>
      </c>
      <c r="I310">
        <v>99</v>
      </c>
      <c r="J310">
        <v>62</v>
      </c>
      <c r="K310">
        <v>28</v>
      </c>
      <c r="L310">
        <v>51</v>
      </c>
      <c r="M310">
        <v>0</v>
      </c>
      <c r="N310">
        <v>0</v>
      </c>
      <c r="O310">
        <v>1</v>
      </c>
      <c r="P310">
        <v>1</v>
      </c>
    </row>
    <row r="311" spans="1:16" x14ac:dyDescent="0.45">
      <c r="A311" t="s">
        <v>49</v>
      </c>
      <c r="B311">
        <v>11</v>
      </c>
      <c r="C311">
        <v>1017</v>
      </c>
      <c r="D311">
        <v>1047</v>
      </c>
      <c r="E311">
        <v>0</v>
      </c>
      <c r="F311">
        <v>20</v>
      </c>
      <c r="G311">
        <v>5</v>
      </c>
      <c r="H311">
        <v>0</v>
      </c>
      <c r="I311">
        <v>122</v>
      </c>
      <c r="J311">
        <v>14</v>
      </c>
      <c r="K311">
        <v>60</v>
      </c>
      <c r="L311">
        <v>34</v>
      </c>
      <c r="M311">
        <v>0</v>
      </c>
      <c r="N311">
        <v>0</v>
      </c>
      <c r="O311">
        <v>0</v>
      </c>
      <c r="P311">
        <v>2</v>
      </c>
    </row>
    <row r="312" spans="1:16" x14ac:dyDescent="0.45">
      <c r="A312" t="s">
        <v>49</v>
      </c>
      <c r="B312">
        <v>12</v>
      </c>
      <c r="C312">
        <v>1068</v>
      </c>
      <c r="D312">
        <v>1190</v>
      </c>
      <c r="E312">
        <v>0</v>
      </c>
      <c r="F312">
        <v>37</v>
      </c>
      <c r="G312">
        <v>21</v>
      </c>
      <c r="H312">
        <v>7</v>
      </c>
      <c r="I312">
        <v>86</v>
      </c>
      <c r="J312">
        <v>19</v>
      </c>
      <c r="K312">
        <v>49</v>
      </c>
      <c r="L312">
        <v>30</v>
      </c>
      <c r="M312">
        <v>0</v>
      </c>
      <c r="N312">
        <v>0</v>
      </c>
      <c r="O312">
        <v>0</v>
      </c>
      <c r="P312">
        <v>3</v>
      </c>
    </row>
    <row r="313" spans="1:16" x14ac:dyDescent="0.45">
      <c r="A313" t="s">
        <v>65</v>
      </c>
      <c r="B313">
        <v>1</v>
      </c>
      <c r="C313">
        <v>2165</v>
      </c>
      <c r="D313">
        <v>1266</v>
      </c>
      <c r="E313">
        <v>0</v>
      </c>
      <c r="F313">
        <v>37</v>
      </c>
      <c r="G313">
        <v>73</v>
      </c>
      <c r="H313">
        <v>2</v>
      </c>
      <c r="I313">
        <v>357</v>
      </c>
      <c r="J313">
        <v>3</v>
      </c>
      <c r="K313">
        <v>11</v>
      </c>
      <c r="L313">
        <v>157</v>
      </c>
      <c r="M313">
        <v>0</v>
      </c>
      <c r="N313">
        <v>0</v>
      </c>
      <c r="O313">
        <v>0</v>
      </c>
      <c r="P313">
        <v>0</v>
      </c>
    </row>
    <row r="314" spans="1:16" x14ac:dyDescent="0.45">
      <c r="A314" t="s">
        <v>65</v>
      </c>
      <c r="B314">
        <v>2</v>
      </c>
      <c r="C314">
        <v>1831</v>
      </c>
      <c r="D314">
        <v>1363</v>
      </c>
      <c r="E314">
        <v>0</v>
      </c>
      <c r="F314">
        <v>16</v>
      </c>
      <c r="G314">
        <v>38</v>
      </c>
      <c r="H314">
        <v>17</v>
      </c>
      <c r="I314">
        <v>260</v>
      </c>
      <c r="J314">
        <v>1</v>
      </c>
      <c r="K314">
        <v>4</v>
      </c>
      <c r="L314">
        <v>141</v>
      </c>
      <c r="M314">
        <v>0</v>
      </c>
      <c r="N314">
        <v>0</v>
      </c>
      <c r="O314">
        <v>0</v>
      </c>
      <c r="P314">
        <v>0</v>
      </c>
    </row>
    <row r="315" spans="1:16" x14ac:dyDescent="0.45">
      <c r="A315" t="s">
        <v>65</v>
      </c>
      <c r="B315">
        <v>3</v>
      </c>
      <c r="C315">
        <v>3733</v>
      </c>
      <c r="D315">
        <v>1681</v>
      </c>
      <c r="E315">
        <v>5</v>
      </c>
      <c r="F315">
        <v>28</v>
      </c>
      <c r="G315">
        <v>199</v>
      </c>
      <c r="H315">
        <v>72</v>
      </c>
      <c r="I315">
        <v>378</v>
      </c>
      <c r="J315">
        <v>0</v>
      </c>
      <c r="K315">
        <v>4</v>
      </c>
      <c r="L315">
        <v>203</v>
      </c>
      <c r="M315">
        <v>0</v>
      </c>
      <c r="N315">
        <v>0</v>
      </c>
      <c r="O315">
        <v>2</v>
      </c>
      <c r="P315">
        <v>0</v>
      </c>
    </row>
    <row r="316" spans="1:16" x14ac:dyDescent="0.45">
      <c r="A316" t="s">
        <v>65</v>
      </c>
      <c r="B316">
        <v>4</v>
      </c>
      <c r="C316">
        <v>5584</v>
      </c>
      <c r="D316">
        <v>1646</v>
      </c>
      <c r="E316">
        <v>0</v>
      </c>
      <c r="F316">
        <v>2</v>
      </c>
      <c r="G316">
        <v>276</v>
      </c>
      <c r="H316">
        <v>158</v>
      </c>
      <c r="I316">
        <v>480</v>
      </c>
      <c r="J316">
        <v>0</v>
      </c>
      <c r="K316">
        <v>4</v>
      </c>
      <c r="L316">
        <v>138</v>
      </c>
      <c r="M316">
        <v>0</v>
      </c>
      <c r="N316">
        <v>0</v>
      </c>
      <c r="O316">
        <v>2</v>
      </c>
      <c r="P316">
        <v>0</v>
      </c>
    </row>
    <row r="317" spans="1:16" x14ac:dyDescent="0.45">
      <c r="A317" t="s">
        <v>65</v>
      </c>
      <c r="B317">
        <v>5</v>
      </c>
      <c r="C317">
        <v>3688</v>
      </c>
      <c r="D317">
        <v>1449</v>
      </c>
      <c r="E317">
        <v>0</v>
      </c>
      <c r="F317">
        <v>0</v>
      </c>
      <c r="G317">
        <v>146</v>
      </c>
      <c r="H317">
        <v>85</v>
      </c>
      <c r="I317">
        <v>475</v>
      </c>
      <c r="J317">
        <v>0</v>
      </c>
      <c r="K317">
        <v>0</v>
      </c>
      <c r="L317">
        <v>143</v>
      </c>
      <c r="M317">
        <v>0</v>
      </c>
      <c r="N317">
        <v>0</v>
      </c>
      <c r="O317">
        <v>1</v>
      </c>
      <c r="P317">
        <v>0</v>
      </c>
    </row>
    <row r="318" spans="1:16" x14ac:dyDescent="0.45">
      <c r="A318" t="s">
        <v>65</v>
      </c>
      <c r="B318">
        <v>6</v>
      </c>
      <c r="C318">
        <v>3514</v>
      </c>
      <c r="D318">
        <v>1638</v>
      </c>
      <c r="E318">
        <v>0</v>
      </c>
      <c r="F318">
        <v>0</v>
      </c>
      <c r="G318">
        <v>79</v>
      </c>
      <c r="H318">
        <v>55</v>
      </c>
      <c r="I318">
        <v>501</v>
      </c>
      <c r="J318">
        <v>4</v>
      </c>
      <c r="K318">
        <v>1</v>
      </c>
      <c r="L318">
        <v>177</v>
      </c>
      <c r="M318">
        <v>0</v>
      </c>
      <c r="N318">
        <v>0</v>
      </c>
      <c r="O318">
        <v>0</v>
      </c>
      <c r="P318">
        <v>0</v>
      </c>
    </row>
    <row r="319" spans="1:16" x14ac:dyDescent="0.45">
      <c r="A319" t="s">
        <v>65</v>
      </c>
      <c r="B319">
        <v>7</v>
      </c>
      <c r="C319">
        <v>2812</v>
      </c>
      <c r="D319">
        <v>1388</v>
      </c>
      <c r="E319">
        <v>0</v>
      </c>
      <c r="F319">
        <v>0</v>
      </c>
      <c r="G319">
        <v>55</v>
      </c>
      <c r="H319">
        <v>26</v>
      </c>
      <c r="I319">
        <v>610</v>
      </c>
      <c r="J319">
        <v>1</v>
      </c>
      <c r="K319">
        <v>4</v>
      </c>
      <c r="L319">
        <v>180</v>
      </c>
      <c r="M319">
        <v>0</v>
      </c>
      <c r="N319">
        <v>0</v>
      </c>
      <c r="O319">
        <v>0</v>
      </c>
      <c r="P319">
        <v>0</v>
      </c>
    </row>
    <row r="320" spans="1:16" x14ac:dyDescent="0.45">
      <c r="A320" t="s">
        <v>65</v>
      </c>
      <c r="B320">
        <v>8</v>
      </c>
      <c r="C320">
        <v>2123</v>
      </c>
      <c r="D320">
        <v>1322</v>
      </c>
      <c r="E320">
        <v>0</v>
      </c>
      <c r="F320">
        <v>6</v>
      </c>
      <c r="G320">
        <v>37</v>
      </c>
      <c r="H320">
        <v>7</v>
      </c>
      <c r="I320">
        <v>592</v>
      </c>
      <c r="J320">
        <v>2</v>
      </c>
      <c r="K320">
        <v>18</v>
      </c>
      <c r="L320">
        <v>134</v>
      </c>
      <c r="M320">
        <v>0</v>
      </c>
      <c r="N320">
        <v>0</v>
      </c>
      <c r="O320">
        <v>0</v>
      </c>
      <c r="P320">
        <v>9</v>
      </c>
    </row>
    <row r="321" spans="1:15" x14ac:dyDescent="0.45">
      <c r="A321" t="s">
        <v>65</v>
      </c>
      <c r="B321">
        <v>9</v>
      </c>
      <c r="C321">
        <v>1971</v>
      </c>
      <c r="D321">
        <v>1513</v>
      </c>
      <c r="E321">
        <v>0</v>
      </c>
      <c r="F321">
        <v>5</v>
      </c>
      <c r="G321">
        <v>27</v>
      </c>
      <c r="H321">
        <v>11</v>
      </c>
      <c r="I321">
        <v>528</v>
      </c>
      <c r="J321">
        <v>4</v>
      </c>
      <c r="K321">
        <v>29</v>
      </c>
      <c r="L321">
        <v>190</v>
      </c>
      <c r="M321">
        <v>0</v>
      </c>
      <c r="N321">
        <v>0</v>
      </c>
      <c r="O321">
        <v>0</v>
      </c>
    </row>
    <row r="322" spans="1:15" x14ac:dyDescent="0.45">
      <c r="A322" t="s">
        <v>65</v>
      </c>
      <c r="B322">
        <v>10</v>
      </c>
      <c r="C322">
        <v>3280</v>
      </c>
      <c r="D322">
        <v>1886</v>
      </c>
      <c r="E322">
        <v>0</v>
      </c>
      <c r="F322">
        <v>4</v>
      </c>
      <c r="G322">
        <v>36</v>
      </c>
      <c r="H322">
        <v>11</v>
      </c>
      <c r="I322">
        <v>636</v>
      </c>
      <c r="J322">
        <v>5</v>
      </c>
      <c r="K322">
        <v>50</v>
      </c>
      <c r="L322">
        <v>242</v>
      </c>
      <c r="M322">
        <v>0</v>
      </c>
      <c r="N322">
        <v>0</v>
      </c>
      <c r="O322">
        <v>0</v>
      </c>
    </row>
    <row r="323" spans="1:15" x14ac:dyDescent="0.45">
      <c r="A323" t="s">
        <v>65</v>
      </c>
      <c r="B323">
        <v>11</v>
      </c>
      <c r="C323">
        <v>2973</v>
      </c>
      <c r="D323">
        <v>1633</v>
      </c>
      <c r="E323">
        <v>0</v>
      </c>
      <c r="F323">
        <v>20</v>
      </c>
      <c r="G323">
        <v>45</v>
      </c>
      <c r="H323">
        <v>5</v>
      </c>
      <c r="I323">
        <v>623</v>
      </c>
      <c r="J323">
        <v>0</v>
      </c>
      <c r="K323">
        <v>23</v>
      </c>
      <c r="L323">
        <v>179</v>
      </c>
      <c r="M323">
        <v>0</v>
      </c>
      <c r="N323">
        <v>0</v>
      </c>
      <c r="O323">
        <v>0</v>
      </c>
    </row>
    <row r="324" spans="1:15" x14ac:dyDescent="0.45">
      <c r="A324" t="s">
        <v>65</v>
      </c>
      <c r="B324">
        <v>12</v>
      </c>
      <c r="C324">
        <v>3196</v>
      </c>
      <c r="D324">
        <v>1746</v>
      </c>
      <c r="E324">
        <v>0</v>
      </c>
      <c r="F324">
        <v>43</v>
      </c>
      <c r="G324">
        <v>104</v>
      </c>
      <c r="H324">
        <v>7</v>
      </c>
      <c r="I324">
        <v>672</v>
      </c>
      <c r="J324">
        <v>1</v>
      </c>
      <c r="K324">
        <v>27</v>
      </c>
      <c r="L324">
        <v>224</v>
      </c>
      <c r="M324">
        <v>0</v>
      </c>
      <c r="N324">
        <v>0</v>
      </c>
      <c r="O324">
        <v>0</v>
      </c>
    </row>
    <row r="325" spans="1:15" x14ac:dyDescent="0.45">
      <c r="A325" t="s">
        <v>66</v>
      </c>
      <c r="B325">
        <v>1</v>
      </c>
      <c r="C325">
        <v>1017</v>
      </c>
      <c r="D325">
        <v>713</v>
      </c>
      <c r="E325">
        <v>0</v>
      </c>
      <c r="F325">
        <v>12</v>
      </c>
      <c r="G325">
        <v>20</v>
      </c>
      <c r="H325">
        <v>12</v>
      </c>
      <c r="I325">
        <v>35</v>
      </c>
      <c r="J325">
        <v>7</v>
      </c>
      <c r="K325">
        <v>3</v>
      </c>
      <c r="L325">
        <v>63</v>
      </c>
      <c r="M325">
        <v>0</v>
      </c>
      <c r="N325">
        <v>0</v>
      </c>
      <c r="O325">
        <v>2</v>
      </c>
    </row>
    <row r="326" spans="1:15" x14ac:dyDescent="0.45">
      <c r="A326" t="s">
        <v>66</v>
      </c>
      <c r="B326">
        <v>2</v>
      </c>
      <c r="C326">
        <v>860</v>
      </c>
      <c r="D326">
        <v>788</v>
      </c>
      <c r="E326">
        <v>1</v>
      </c>
      <c r="F326">
        <v>5</v>
      </c>
      <c r="G326">
        <v>23</v>
      </c>
      <c r="H326">
        <v>3</v>
      </c>
      <c r="I326">
        <v>60</v>
      </c>
      <c r="J326">
        <v>4</v>
      </c>
      <c r="K326">
        <v>2</v>
      </c>
      <c r="L326">
        <v>64</v>
      </c>
      <c r="M326">
        <v>0</v>
      </c>
      <c r="N326">
        <v>0</v>
      </c>
      <c r="O326">
        <v>0</v>
      </c>
    </row>
    <row r="327" spans="1:15" x14ac:dyDescent="0.45">
      <c r="A327" t="s">
        <v>66</v>
      </c>
      <c r="B327">
        <v>3</v>
      </c>
      <c r="C327">
        <v>1681</v>
      </c>
      <c r="D327">
        <v>975</v>
      </c>
      <c r="E327">
        <v>7</v>
      </c>
      <c r="F327">
        <v>0</v>
      </c>
      <c r="G327">
        <v>88</v>
      </c>
      <c r="H327">
        <v>30</v>
      </c>
      <c r="I327">
        <v>113</v>
      </c>
      <c r="J327">
        <v>9</v>
      </c>
      <c r="K327">
        <v>9</v>
      </c>
      <c r="L327">
        <v>70</v>
      </c>
      <c r="M327">
        <v>0</v>
      </c>
      <c r="N327">
        <v>0</v>
      </c>
      <c r="O327">
        <v>0</v>
      </c>
    </row>
    <row r="328" spans="1:15" x14ac:dyDescent="0.45">
      <c r="A328" t="s">
        <v>66</v>
      </c>
      <c r="B328">
        <v>4</v>
      </c>
      <c r="C328">
        <v>2718</v>
      </c>
      <c r="D328">
        <v>996</v>
      </c>
      <c r="E328">
        <v>0</v>
      </c>
      <c r="F328">
        <v>5</v>
      </c>
      <c r="G328">
        <v>66</v>
      </c>
      <c r="H328">
        <v>56</v>
      </c>
      <c r="I328">
        <v>99</v>
      </c>
      <c r="J328">
        <v>1</v>
      </c>
      <c r="K328">
        <v>2</v>
      </c>
      <c r="L328">
        <v>79</v>
      </c>
      <c r="M328">
        <v>0</v>
      </c>
      <c r="N328">
        <v>0</v>
      </c>
      <c r="O328">
        <v>11</v>
      </c>
    </row>
    <row r="329" spans="1:15" x14ac:dyDescent="0.45">
      <c r="A329" t="s">
        <v>66</v>
      </c>
      <c r="B329">
        <v>5</v>
      </c>
      <c r="C329">
        <v>1794</v>
      </c>
      <c r="D329">
        <v>890</v>
      </c>
      <c r="E329">
        <v>0</v>
      </c>
      <c r="F329">
        <v>0</v>
      </c>
      <c r="G329">
        <v>64</v>
      </c>
      <c r="H329">
        <v>19</v>
      </c>
      <c r="I329">
        <v>97</v>
      </c>
      <c r="J329">
        <v>4</v>
      </c>
      <c r="K329">
        <v>4</v>
      </c>
      <c r="L329">
        <v>50</v>
      </c>
      <c r="M329">
        <v>0</v>
      </c>
      <c r="N329">
        <v>0</v>
      </c>
      <c r="O329">
        <v>0</v>
      </c>
    </row>
    <row r="330" spans="1:15" x14ac:dyDescent="0.45">
      <c r="A330" t="s">
        <v>66</v>
      </c>
      <c r="B330">
        <v>6</v>
      </c>
      <c r="C330">
        <v>1862</v>
      </c>
      <c r="D330">
        <v>988</v>
      </c>
      <c r="E330">
        <v>0</v>
      </c>
      <c r="F330">
        <v>0</v>
      </c>
      <c r="G330">
        <v>32</v>
      </c>
      <c r="H330">
        <v>11</v>
      </c>
      <c r="I330">
        <v>194</v>
      </c>
      <c r="J330">
        <v>3</v>
      </c>
      <c r="K330">
        <v>5</v>
      </c>
      <c r="L330">
        <v>62</v>
      </c>
      <c r="M330">
        <v>0</v>
      </c>
      <c r="N330">
        <v>0</v>
      </c>
      <c r="O330">
        <v>0</v>
      </c>
    </row>
    <row r="331" spans="1:15" x14ac:dyDescent="0.45">
      <c r="A331" t="s">
        <v>66</v>
      </c>
      <c r="B331">
        <v>7</v>
      </c>
      <c r="C331">
        <v>1169</v>
      </c>
      <c r="D331">
        <v>816</v>
      </c>
      <c r="E331">
        <v>0</v>
      </c>
      <c r="F331">
        <v>0</v>
      </c>
      <c r="G331">
        <v>8</v>
      </c>
      <c r="H331">
        <v>6</v>
      </c>
      <c r="I331">
        <v>145</v>
      </c>
      <c r="J331">
        <v>10</v>
      </c>
      <c r="K331">
        <v>5</v>
      </c>
      <c r="L331">
        <v>52</v>
      </c>
      <c r="M331">
        <v>0</v>
      </c>
      <c r="N331">
        <v>0</v>
      </c>
      <c r="O331">
        <v>0</v>
      </c>
    </row>
    <row r="332" spans="1:15" x14ac:dyDescent="0.45">
      <c r="A332" t="s">
        <v>66</v>
      </c>
      <c r="B332">
        <v>8</v>
      </c>
      <c r="C332">
        <v>849</v>
      </c>
      <c r="D332">
        <v>747</v>
      </c>
      <c r="E332">
        <v>0</v>
      </c>
      <c r="F332">
        <v>0</v>
      </c>
      <c r="G332">
        <v>19</v>
      </c>
      <c r="H332">
        <v>0</v>
      </c>
      <c r="I332">
        <v>76</v>
      </c>
      <c r="J332">
        <v>26</v>
      </c>
      <c r="K332">
        <v>4</v>
      </c>
      <c r="L332">
        <v>23</v>
      </c>
      <c r="M332">
        <v>0</v>
      </c>
      <c r="N332">
        <v>0</v>
      </c>
      <c r="O332">
        <v>0</v>
      </c>
    </row>
    <row r="333" spans="1:15" x14ac:dyDescent="0.45">
      <c r="A333" t="s">
        <v>66</v>
      </c>
      <c r="B333">
        <v>9</v>
      </c>
      <c r="C333">
        <v>941</v>
      </c>
      <c r="D333">
        <v>967</v>
      </c>
      <c r="E333">
        <v>0</v>
      </c>
      <c r="F333">
        <v>0</v>
      </c>
      <c r="G333">
        <v>8</v>
      </c>
      <c r="H333">
        <v>2</v>
      </c>
      <c r="I333">
        <v>98</v>
      </c>
      <c r="J333">
        <v>21</v>
      </c>
      <c r="K333">
        <v>8</v>
      </c>
      <c r="L333">
        <v>25</v>
      </c>
      <c r="M333">
        <v>0</v>
      </c>
      <c r="N333">
        <v>0</v>
      </c>
      <c r="O333">
        <v>0</v>
      </c>
    </row>
    <row r="334" spans="1:15" x14ac:dyDescent="0.45">
      <c r="A334" t="s">
        <v>66</v>
      </c>
      <c r="B334">
        <v>10</v>
      </c>
      <c r="C334">
        <v>1477</v>
      </c>
      <c r="D334">
        <v>854</v>
      </c>
      <c r="E334">
        <v>0</v>
      </c>
      <c r="F334">
        <v>0</v>
      </c>
      <c r="G334">
        <v>8</v>
      </c>
      <c r="H334">
        <v>6</v>
      </c>
      <c r="I334">
        <v>151</v>
      </c>
      <c r="J334">
        <v>23</v>
      </c>
      <c r="K334">
        <v>75</v>
      </c>
      <c r="L334">
        <v>0</v>
      </c>
      <c r="M334">
        <v>0</v>
      </c>
      <c r="N334">
        <v>0</v>
      </c>
      <c r="O334">
        <v>1</v>
      </c>
    </row>
    <row r="335" spans="1:15" x14ac:dyDescent="0.45">
      <c r="A335" t="s">
        <v>66</v>
      </c>
      <c r="B335">
        <v>11</v>
      </c>
      <c r="C335">
        <v>1415</v>
      </c>
      <c r="D335">
        <v>790</v>
      </c>
      <c r="E335">
        <v>0</v>
      </c>
      <c r="F335">
        <v>10</v>
      </c>
      <c r="G335">
        <v>27</v>
      </c>
      <c r="H335">
        <v>6</v>
      </c>
      <c r="I335">
        <v>104</v>
      </c>
      <c r="J335">
        <v>3</v>
      </c>
      <c r="K335">
        <v>8</v>
      </c>
      <c r="L335">
        <v>66</v>
      </c>
      <c r="M335">
        <v>0</v>
      </c>
      <c r="N335">
        <v>0</v>
      </c>
      <c r="O335">
        <v>0</v>
      </c>
    </row>
    <row r="336" spans="1:15" x14ac:dyDescent="0.45">
      <c r="A336" t="s">
        <v>66</v>
      </c>
      <c r="B336">
        <v>12</v>
      </c>
      <c r="C336">
        <v>1312</v>
      </c>
      <c r="D336">
        <v>935</v>
      </c>
      <c r="E336">
        <v>0</v>
      </c>
      <c r="F336">
        <v>25</v>
      </c>
      <c r="G336">
        <v>52</v>
      </c>
      <c r="H336">
        <v>8</v>
      </c>
      <c r="I336">
        <v>69</v>
      </c>
      <c r="J336">
        <v>2</v>
      </c>
      <c r="K336">
        <v>7</v>
      </c>
      <c r="L336">
        <v>68</v>
      </c>
      <c r="M336">
        <v>0</v>
      </c>
      <c r="N336">
        <v>0</v>
      </c>
      <c r="O336">
        <v>0</v>
      </c>
    </row>
    <row r="337" spans="1:15" x14ac:dyDescent="0.45">
      <c r="A337" t="s">
        <v>50</v>
      </c>
      <c r="B337">
        <v>1</v>
      </c>
      <c r="C337">
        <v>639</v>
      </c>
      <c r="D337">
        <v>392</v>
      </c>
      <c r="E337">
        <v>0</v>
      </c>
      <c r="F337">
        <v>32</v>
      </c>
      <c r="G337">
        <v>12</v>
      </c>
      <c r="H337">
        <v>6</v>
      </c>
      <c r="I337">
        <v>117</v>
      </c>
      <c r="J337">
        <v>12</v>
      </c>
      <c r="K337">
        <v>16</v>
      </c>
      <c r="L337">
        <v>65</v>
      </c>
      <c r="M337">
        <v>0</v>
      </c>
      <c r="N337">
        <v>0</v>
      </c>
      <c r="O337">
        <v>2</v>
      </c>
    </row>
    <row r="338" spans="1:15" x14ac:dyDescent="0.45">
      <c r="A338" t="s">
        <v>50</v>
      </c>
      <c r="B338">
        <v>2</v>
      </c>
      <c r="C338">
        <v>446</v>
      </c>
      <c r="D338">
        <v>365</v>
      </c>
      <c r="E338">
        <v>0</v>
      </c>
      <c r="F338">
        <v>14</v>
      </c>
      <c r="G338">
        <v>20</v>
      </c>
      <c r="H338">
        <v>3</v>
      </c>
      <c r="I338">
        <v>53</v>
      </c>
      <c r="J338">
        <v>7</v>
      </c>
      <c r="K338">
        <v>16</v>
      </c>
      <c r="L338">
        <v>60</v>
      </c>
      <c r="M338">
        <v>0</v>
      </c>
      <c r="N338">
        <v>0</v>
      </c>
      <c r="O338">
        <v>1</v>
      </c>
    </row>
    <row r="339" spans="1:15" x14ac:dyDescent="0.45">
      <c r="A339" t="s">
        <v>50</v>
      </c>
      <c r="B339">
        <v>3</v>
      </c>
      <c r="C339">
        <v>1068</v>
      </c>
      <c r="D339">
        <v>477</v>
      </c>
      <c r="E339">
        <v>0</v>
      </c>
      <c r="F339">
        <v>9</v>
      </c>
      <c r="G339">
        <v>149</v>
      </c>
      <c r="H339">
        <v>32</v>
      </c>
      <c r="I339">
        <v>111</v>
      </c>
      <c r="J339">
        <v>34</v>
      </c>
      <c r="K339">
        <v>24</v>
      </c>
      <c r="L339">
        <v>93</v>
      </c>
      <c r="M339">
        <v>0</v>
      </c>
      <c r="N339">
        <v>0</v>
      </c>
      <c r="O339">
        <v>3</v>
      </c>
    </row>
    <row r="340" spans="1:15" x14ac:dyDescent="0.45">
      <c r="A340" t="s">
        <v>50</v>
      </c>
      <c r="B340">
        <v>4</v>
      </c>
      <c r="C340">
        <v>1665</v>
      </c>
      <c r="D340">
        <v>448</v>
      </c>
      <c r="E340">
        <v>0</v>
      </c>
      <c r="F340">
        <v>12</v>
      </c>
      <c r="G340">
        <v>88</v>
      </c>
      <c r="H340">
        <v>67</v>
      </c>
      <c r="I340">
        <v>168</v>
      </c>
      <c r="J340">
        <v>26</v>
      </c>
      <c r="K340">
        <v>11</v>
      </c>
      <c r="L340">
        <v>115</v>
      </c>
      <c r="M340">
        <v>0</v>
      </c>
      <c r="N340">
        <v>0</v>
      </c>
      <c r="O340">
        <v>30</v>
      </c>
    </row>
    <row r="341" spans="1:15" x14ac:dyDescent="0.45">
      <c r="A341" t="s">
        <v>50</v>
      </c>
      <c r="B341">
        <v>5</v>
      </c>
      <c r="C341">
        <v>1054</v>
      </c>
      <c r="D341">
        <v>354</v>
      </c>
      <c r="E341">
        <v>0</v>
      </c>
      <c r="F341">
        <v>5</v>
      </c>
      <c r="G341">
        <v>70</v>
      </c>
      <c r="H341">
        <v>18</v>
      </c>
      <c r="I341">
        <v>85</v>
      </c>
      <c r="J341">
        <v>50</v>
      </c>
      <c r="K341">
        <v>25</v>
      </c>
      <c r="L341">
        <v>95</v>
      </c>
      <c r="M341">
        <v>0</v>
      </c>
      <c r="N341">
        <v>0</v>
      </c>
      <c r="O341">
        <v>11</v>
      </c>
    </row>
    <row r="342" spans="1:15" x14ac:dyDescent="0.45">
      <c r="A342" t="s">
        <v>50</v>
      </c>
      <c r="B342">
        <v>6</v>
      </c>
      <c r="C342">
        <v>1073</v>
      </c>
      <c r="D342">
        <v>369</v>
      </c>
      <c r="E342">
        <v>0</v>
      </c>
      <c r="F342">
        <v>1</v>
      </c>
      <c r="G342">
        <v>38</v>
      </c>
      <c r="H342">
        <v>21</v>
      </c>
      <c r="I342">
        <v>93</v>
      </c>
      <c r="J342">
        <v>29</v>
      </c>
      <c r="K342">
        <v>9</v>
      </c>
      <c r="L342">
        <v>96</v>
      </c>
      <c r="M342">
        <v>0</v>
      </c>
      <c r="N342">
        <v>0</v>
      </c>
      <c r="O342">
        <v>2</v>
      </c>
    </row>
    <row r="343" spans="1:15" x14ac:dyDescent="0.45">
      <c r="A343" t="s">
        <v>50</v>
      </c>
      <c r="B343">
        <v>7</v>
      </c>
      <c r="C343">
        <v>861</v>
      </c>
      <c r="D343">
        <v>320</v>
      </c>
      <c r="E343">
        <v>0</v>
      </c>
      <c r="F343">
        <v>0</v>
      </c>
      <c r="G343">
        <v>25</v>
      </c>
      <c r="H343">
        <v>5</v>
      </c>
      <c r="I343">
        <v>150</v>
      </c>
      <c r="J343">
        <v>56</v>
      </c>
      <c r="K343">
        <v>4</v>
      </c>
      <c r="L343">
        <v>72</v>
      </c>
      <c r="M343">
        <v>0</v>
      </c>
      <c r="N343">
        <v>0</v>
      </c>
      <c r="O343">
        <v>3</v>
      </c>
    </row>
    <row r="344" spans="1:15" x14ac:dyDescent="0.45">
      <c r="A344" t="s">
        <v>50</v>
      </c>
      <c r="B344">
        <v>8</v>
      </c>
      <c r="C344">
        <v>661</v>
      </c>
      <c r="D344">
        <v>316</v>
      </c>
      <c r="E344">
        <v>0</v>
      </c>
      <c r="F344">
        <v>3</v>
      </c>
      <c r="G344">
        <v>22</v>
      </c>
      <c r="H344">
        <v>3</v>
      </c>
      <c r="I344">
        <v>142</v>
      </c>
      <c r="J344">
        <v>40</v>
      </c>
      <c r="K344">
        <v>2</v>
      </c>
      <c r="L344">
        <v>41</v>
      </c>
      <c r="M344">
        <v>0</v>
      </c>
      <c r="N344">
        <v>0</v>
      </c>
      <c r="O344">
        <v>0</v>
      </c>
    </row>
    <row r="345" spans="1:15" x14ac:dyDescent="0.45">
      <c r="A345" t="s">
        <v>50</v>
      </c>
      <c r="B345">
        <v>9</v>
      </c>
      <c r="C345">
        <v>710</v>
      </c>
      <c r="D345">
        <v>421</v>
      </c>
      <c r="E345">
        <v>0</v>
      </c>
      <c r="F345">
        <v>4</v>
      </c>
      <c r="G345">
        <v>15</v>
      </c>
      <c r="H345">
        <v>0</v>
      </c>
      <c r="I345">
        <v>137</v>
      </c>
      <c r="J345">
        <v>66</v>
      </c>
      <c r="K345">
        <v>19</v>
      </c>
      <c r="L345">
        <v>33</v>
      </c>
      <c r="M345">
        <v>0</v>
      </c>
      <c r="N345">
        <v>0</v>
      </c>
      <c r="O345">
        <v>1</v>
      </c>
    </row>
    <row r="346" spans="1:15" x14ac:dyDescent="0.45">
      <c r="A346" t="s">
        <v>50</v>
      </c>
      <c r="B346">
        <v>10</v>
      </c>
      <c r="C346">
        <v>916</v>
      </c>
      <c r="D346">
        <v>490</v>
      </c>
      <c r="E346">
        <v>0</v>
      </c>
      <c r="F346">
        <v>18</v>
      </c>
      <c r="G346">
        <v>31</v>
      </c>
      <c r="H346">
        <v>0</v>
      </c>
      <c r="I346">
        <v>179</v>
      </c>
      <c r="J346">
        <v>57</v>
      </c>
      <c r="K346">
        <v>18</v>
      </c>
      <c r="L346">
        <v>68</v>
      </c>
      <c r="M346">
        <v>0</v>
      </c>
      <c r="N346">
        <v>0</v>
      </c>
      <c r="O346">
        <v>0</v>
      </c>
    </row>
    <row r="347" spans="1:15" x14ac:dyDescent="0.45">
      <c r="A347" t="s">
        <v>50</v>
      </c>
      <c r="B347">
        <v>11</v>
      </c>
      <c r="C347">
        <v>866</v>
      </c>
      <c r="D347">
        <v>436</v>
      </c>
      <c r="E347">
        <v>0</v>
      </c>
      <c r="F347">
        <v>9</v>
      </c>
      <c r="G347">
        <v>23</v>
      </c>
      <c r="H347">
        <v>1</v>
      </c>
      <c r="I347">
        <v>173</v>
      </c>
      <c r="J347">
        <v>11</v>
      </c>
      <c r="K347">
        <v>24</v>
      </c>
      <c r="L347">
        <v>85</v>
      </c>
      <c r="M347">
        <v>0</v>
      </c>
      <c r="N347">
        <v>0</v>
      </c>
      <c r="O347">
        <v>0</v>
      </c>
    </row>
    <row r="348" spans="1:15" x14ac:dyDescent="0.45">
      <c r="A348" t="s">
        <v>50</v>
      </c>
      <c r="B348">
        <v>12</v>
      </c>
      <c r="C348">
        <v>833</v>
      </c>
      <c r="D348">
        <v>480</v>
      </c>
      <c r="E348">
        <v>0</v>
      </c>
      <c r="F348">
        <v>13</v>
      </c>
      <c r="G348">
        <v>39</v>
      </c>
      <c r="H348">
        <v>3</v>
      </c>
      <c r="I348">
        <v>158</v>
      </c>
      <c r="J348">
        <v>16</v>
      </c>
      <c r="K348">
        <v>33</v>
      </c>
      <c r="L348">
        <v>69</v>
      </c>
      <c r="M348">
        <v>0</v>
      </c>
      <c r="N348">
        <v>0</v>
      </c>
      <c r="O348">
        <v>0</v>
      </c>
    </row>
    <row r="349" spans="1:15" x14ac:dyDescent="0.45">
      <c r="A349" t="s">
        <v>85</v>
      </c>
      <c r="B349">
        <v>1</v>
      </c>
      <c r="C349">
        <v>1030</v>
      </c>
      <c r="D349">
        <v>438</v>
      </c>
      <c r="E349">
        <v>0</v>
      </c>
      <c r="F349">
        <v>67</v>
      </c>
      <c r="G349">
        <v>31</v>
      </c>
      <c r="H349">
        <v>5</v>
      </c>
      <c r="I349">
        <v>212</v>
      </c>
      <c r="J349">
        <v>118</v>
      </c>
      <c r="K349">
        <v>41</v>
      </c>
      <c r="L349">
        <v>59</v>
      </c>
      <c r="M349">
        <v>0</v>
      </c>
      <c r="N349">
        <v>0</v>
      </c>
      <c r="O349">
        <v>1</v>
      </c>
    </row>
    <row r="350" spans="1:15" x14ac:dyDescent="0.45">
      <c r="A350" t="s">
        <v>85</v>
      </c>
      <c r="B350">
        <v>2</v>
      </c>
      <c r="C350">
        <v>732</v>
      </c>
      <c r="D350">
        <v>422</v>
      </c>
      <c r="E350">
        <v>1</v>
      </c>
      <c r="F350">
        <v>21</v>
      </c>
      <c r="G350">
        <v>33</v>
      </c>
      <c r="H350">
        <v>12</v>
      </c>
      <c r="I350">
        <v>156</v>
      </c>
      <c r="J350">
        <v>94</v>
      </c>
      <c r="K350">
        <v>18</v>
      </c>
      <c r="L350">
        <v>48</v>
      </c>
      <c r="M350">
        <v>0</v>
      </c>
      <c r="N350">
        <v>0</v>
      </c>
      <c r="O350">
        <v>4</v>
      </c>
    </row>
    <row r="351" spans="1:15" x14ac:dyDescent="0.45">
      <c r="A351" t="s">
        <v>85</v>
      </c>
      <c r="B351">
        <v>3</v>
      </c>
      <c r="C351">
        <v>1665</v>
      </c>
      <c r="D351">
        <v>549</v>
      </c>
      <c r="E351">
        <v>19</v>
      </c>
      <c r="F351">
        <v>9</v>
      </c>
      <c r="G351">
        <v>183</v>
      </c>
      <c r="H351">
        <v>68</v>
      </c>
      <c r="I351">
        <v>319</v>
      </c>
      <c r="J351">
        <v>183</v>
      </c>
      <c r="K351">
        <v>38</v>
      </c>
      <c r="L351">
        <v>60</v>
      </c>
      <c r="M351">
        <v>0</v>
      </c>
      <c r="N351">
        <v>0</v>
      </c>
      <c r="O351">
        <v>6</v>
      </c>
    </row>
    <row r="352" spans="1:15" x14ac:dyDescent="0.45">
      <c r="A352" t="s">
        <v>85</v>
      </c>
      <c r="B352">
        <v>4</v>
      </c>
      <c r="C352">
        <v>2868</v>
      </c>
      <c r="D352">
        <v>631</v>
      </c>
      <c r="E352">
        <v>34</v>
      </c>
      <c r="F352">
        <v>0</v>
      </c>
      <c r="G352">
        <v>199</v>
      </c>
      <c r="H352">
        <v>155</v>
      </c>
      <c r="I352">
        <v>426</v>
      </c>
      <c r="J352">
        <v>205</v>
      </c>
      <c r="K352">
        <v>27</v>
      </c>
      <c r="L352">
        <v>52</v>
      </c>
      <c r="M352">
        <v>0</v>
      </c>
      <c r="N352">
        <v>3</v>
      </c>
      <c r="O352">
        <v>51</v>
      </c>
    </row>
    <row r="353" spans="1:16" x14ac:dyDescent="0.45">
      <c r="A353" t="s">
        <v>85</v>
      </c>
      <c r="B353">
        <v>5</v>
      </c>
      <c r="C353">
        <v>1863</v>
      </c>
      <c r="D353">
        <v>575</v>
      </c>
      <c r="E353">
        <v>1</v>
      </c>
      <c r="F353">
        <v>7</v>
      </c>
      <c r="G353">
        <v>115</v>
      </c>
      <c r="H353">
        <v>40</v>
      </c>
      <c r="I353">
        <v>330</v>
      </c>
      <c r="J353">
        <v>185</v>
      </c>
      <c r="K353">
        <v>9</v>
      </c>
      <c r="L353">
        <v>57</v>
      </c>
      <c r="M353">
        <v>0</v>
      </c>
      <c r="N353">
        <v>1</v>
      </c>
      <c r="O353">
        <v>11</v>
      </c>
      <c r="P353">
        <v>1</v>
      </c>
    </row>
    <row r="354" spans="1:16" x14ac:dyDescent="0.45">
      <c r="A354" t="s">
        <v>85</v>
      </c>
      <c r="B354">
        <v>6</v>
      </c>
      <c r="C354">
        <v>1584</v>
      </c>
      <c r="D354">
        <v>701</v>
      </c>
      <c r="E354">
        <v>0</v>
      </c>
      <c r="F354">
        <v>6</v>
      </c>
      <c r="G354">
        <v>66</v>
      </c>
      <c r="H354">
        <v>26</v>
      </c>
      <c r="I354">
        <v>271</v>
      </c>
      <c r="J354">
        <v>166</v>
      </c>
      <c r="K354">
        <v>7</v>
      </c>
      <c r="L354">
        <v>53</v>
      </c>
      <c r="M354">
        <v>0</v>
      </c>
      <c r="N354">
        <v>0</v>
      </c>
      <c r="O354">
        <v>15</v>
      </c>
      <c r="P354">
        <v>6</v>
      </c>
    </row>
    <row r="355" spans="1:16" x14ac:dyDescent="0.45">
      <c r="A355" t="s">
        <v>85</v>
      </c>
      <c r="B355">
        <v>7</v>
      </c>
      <c r="C355">
        <v>1284</v>
      </c>
      <c r="D355">
        <v>653</v>
      </c>
      <c r="E355">
        <v>0</v>
      </c>
      <c r="F355">
        <v>5</v>
      </c>
      <c r="G355">
        <v>70</v>
      </c>
      <c r="H355">
        <v>17</v>
      </c>
      <c r="I355">
        <v>327</v>
      </c>
      <c r="J355">
        <v>196</v>
      </c>
      <c r="K355">
        <v>14</v>
      </c>
      <c r="L355">
        <v>67</v>
      </c>
      <c r="M355">
        <v>0</v>
      </c>
      <c r="N355">
        <v>0</v>
      </c>
      <c r="O355">
        <v>4</v>
      </c>
      <c r="P355">
        <v>2</v>
      </c>
    </row>
    <row r="356" spans="1:16" x14ac:dyDescent="0.45">
      <c r="A356" t="s">
        <v>85</v>
      </c>
      <c r="B356">
        <v>8</v>
      </c>
      <c r="C356">
        <v>889</v>
      </c>
      <c r="D356">
        <v>407</v>
      </c>
      <c r="E356">
        <v>0</v>
      </c>
      <c r="F356">
        <v>0</v>
      </c>
      <c r="G356">
        <v>23</v>
      </c>
      <c r="H356">
        <v>2</v>
      </c>
      <c r="I356">
        <v>148</v>
      </c>
      <c r="J356">
        <v>139</v>
      </c>
      <c r="K356">
        <v>16</v>
      </c>
      <c r="L356">
        <v>63</v>
      </c>
      <c r="M356">
        <v>0</v>
      </c>
      <c r="N356">
        <v>0</v>
      </c>
      <c r="O356">
        <v>0</v>
      </c>
      <c r="P356">
        <v>0</v>
      </c>
    </row>
    <row r="357" spans="1:16" x14ac:dyDescent="0.45">
      <c r="A357" t="s">
        <v>85</v>
      </c>
      <c r="B357">
        <v>9</v>
      </c>
      <c r="C357">
        <v>1052</v>
      </c>
      <c r="D357">
        <v>344</v>
      </c>
      <c r="E357">
        <v>0</v>
      </c>
      <c r="F357">
        <v>7</v>
      </c>
      <c r="G357">
        <v>20</v>
      </c>
      <c r="H357">
        <v>6</v>
      </c>
      <c r="I357">
        <v>204</v>
      </c>
      <c r="J357">
        <v>136</v>
      </c>
      <c r="K357">
        <v>108</v>
      </c>
      <c r="L357">
        <v>41</v>
      </c>
      <c r="M357">
        <v>0</v>
      </c>
      <c r="N357">
        <v>2</v>
      </c>
      <c r="O357">
        <v>0</v>
      </c>
      <c r="P357">
        <v>4</v>
      </c>
    </row>
    <row r="358" spans="1:16" x14ac:dyDescent="0.45">
      <c r="A358" t="s">
        <v>85</v>
      </c>
      <c r="B358">
        <v>10</v>
      </c>
      <c r="C358">
        <v>1420</v>
      </c>
      <c r="D358">
        <v>603</v>
      </c>
      <c r="E358">
        <v>0</v>
      </c>
      <c r="F358">
        <v>1</v>
      </c>
      <c r="G358">
        <v>23</v>
      </c>
      <c r="H358">
        <v>7</v>
      </c>
      <c r="I358">
        <v>260</v>
      </c>
      <c r="J358">
        <v>176</v>
      </c>
      <c r="K358">
        <v>160</v>
      </c>
      <c r="L358">
        <v>80</v>
      </c>
      <c r="M358">
        <v>0</v>
      </c>
      <c r="N358">
        <v>0</v>
      </c>
      <c r="O358">
        <v>0</v>
      </c>
    </row>
    <row r="359" spans="1:16" x14ac:dyDescent="0.45">
      <c r="A359" t="s">
        <v>85</v>
      </c>
      <c r="B359">
        <v>11</v>
      </c>
      <c r="C359">
        <v>1377</v>
      </c>
      <c r="D359">
        <v>464</v>
      </c>
      <c r="E359">
        <v>0</v>
      </c>
      <c r="F359">
        <v>30</v>
      </c>
      <c r="G359">
        <v>17</v>
      </c>
      <c r="H359">
        <v>0</v>
      </c>
      <c r="I359">
        <v>281</v>
      </c>
      <c r="J359">
        <v>212</v>
      </c>
      <c r="K359">
        <v>171</v>
      </c>
      <c r="L359">
        <v>72</v>
      </c>
      <c r="M359">
        <v>0</v>
      </c>
      <c r="N359">
        <v>0</v>
      </c>
      <c r="O359">
        <v>1</v>
      </c>
      <c r="P359">
        <v>5</v>
      </c>
    </row>
    <row r="360" spans="1:16" x14ac:dyDescent="0.45">
      <c r="A360" t="s">
        <v>85</v>
      </c>
      <c r="B360">
        <v>12</v>
      </c>
      <c r="C360">
        <v>1355</v>
      </c>
      <c r="D360">
        <v>517</v>
      </c>
      <c r="E360">
        <v>0</v>
      </c>
      <c r="F360">
        <v>51</v>
      </c>
      <c r="G360">
        <v>44</v>
      </c>
      <c r="H360">
        <v>2</v>
      </c>
      <c r="I360">
        <v>272</v>
      </c>
      <c r="J360">
        <v>177</v>
      </c>
      <c r="K360">
        <v>41</v>
      </c>
      <c r="L360">
        <v>65</v>
      </c>
      <c r="M360">
        <v>0</v>
      </c>
      <c r="N360">
        <v>0</v>
      </c>
      <c r="O360">
        <v>1</v>
      </c>
      <c r="P360">
        <v>2</v>
      </c>
    </row>
    <row r="361" spans="1:16" x14ac:dyDescent="0.45">
      <c r="A361" t="s">
        <v>35</v>
      </c>
      <c r="B361">
        <v>1</v>
      </c>
      <c r="C361">
        <v>1587</v>
      </c>
      <c r="D361">
        <v>931</v>
      </c>
      <c r="E361">
        <v>0</v>
      </c>
      <c r="F361">
        <v>25</v>
      </c>
      <c r="G361">
        <v>26</v>
      </c>
      <c r="H361">
        <v>0</v>
      </c>
      <c r="I361">
        <v>90</v>
      </c>
      <c r="J361">
        <v>65</v>
      </c>
      <c r="K361">
        <v>0</v>
      </c>
      <c r="L361">
        <v>43</v>
      </c>
      <c r="M361">
        <v>0</v>
      </c>
      <c r="N361">
        <v>0</v>
      </c>
      <c r="O361">
        <v>0</v>
      </c>
      <c r="P361">
        <v>2</v>
      </c>
    </row>
    <row r="362" spans="1:16" x14ac:dyDescent="0.45">
      <c r="A362" t="s">
        <v>35</v>
      </c>
      <c r="B362">
        <v>2</v>
      </c>
      <c r="C362">
        <v>1698</v>
      </c>
      <c r="D362">
        <v>1229</v>
      </c>
      <c r="E362">
        <v>0</v>
      </c>
      <c r="F362">
        <v>9</v>
      </c>
      <c r="G362">
        <v>10</v>
      </c>
      <c r="H362">
        <v>1</v>
      </c>
      <c r="I362">
        <v>74</v>
      </c>
      <c r="J362">
        <v>68</v>
      </c>
      <c r="K362">
        <v>0</v>
      </c>
      <c r="L362">
        <v>63</v>
      </c>
      <c r="M362">
        <v>0</v>
      </c>
      <c r="N362">
        <v>0</v>
      </c>
      <c r="O362">
        <v>0</v>
      </c>
      <c r="P362">
        <v>2</v>
      </c>
    </row>
    <row r="363" spans="1:16" x14ac:dyDescent="0.45">
      <c r="A363" t="s">
        <v>35</v>
      </c>
      <c r="B363">
        <v>3</v>
      </c>
      <c r="C363">
        <v>2821</v>
      </c>
      <c r="D363">
        <v>1145</v>
      </c>
      <c r="E363">
        <v>2</v>
      </c>
      <c r="F363">
        <v>1</v>
      </c>
      <c r="G363">
        <v>159</v>
      </c>
      <c r="H363">
        <v>49</v>
      </c>
      <c r="I363">
        <v>172</v>
      </c>
      <c r="J363">
        <v>91</v>
      </c>
      <c r="K363">
        <v>2</v>
      </c>
      <c r="L363">
        <v>45</v>
      </c>
      <c r="M363">
        <v>0</v>
      </c>
      <c r="N363">
        <v>0</v>
      </c>
      <c r="O363">
        <v>0</v>
      </c>
      <c r="P363">
        <v>2</v>
      </c>
    </row>
    <row r="364" spans="1:16" x14ac:dyDescent="0.45">
      <c r="A364" t="s">
        <v>35</v>
      </c>
      <c r="B364">
        <v>4</v>
      </c>
      <c r="C364">
        <v>4711</v>
      </c>
      <c r="D364">
        <v>1104</v>
      </c>
      <c r="E364">
        <v>0</v>
      </c>
      <c r="F364">
        <v>0</v>
      </c>
      <c r="G364">
        <v>226</v>
      </c>
      <c r="H364">
        <v>65</v>
      </c>
      <c r="I364">
        <v>173</v>
      </c>
      <c r="J364">
        <v>100</v>
      </c>
      <c r="K364">
        <v>0</v>
      </c>
      <c r="L364">
        <v>37</v>
      </c>
      <c r="M364">
        <v>0</v>
      </c>
      <c r="N364">
        <v>0</v>
      </c>
      <c r="O364">
        <v>1</v>
      </c>
      <c r="P364">
        <v>3</v>
      </c>
    </row>
    <row r="365" spans="1:16" x14ac:dyDescent="0.45">
      <c r="A365" t="s">
        <v>35</v>
      </c>
      <c r="B365">
        <v>5</v>
      </c>
      <c r="C365">
        <v>3008</v>
      </c>
      <c r="D365">
        <v>1000</v>
      </c>
      <c r="E365">
        <v>0</v>
      </c>
      <c r="F365">
        <v>0</v>
      </c>
      <c r="G365">
        <v>89</v>
      </c>
      <c r="H365">
        <v>23</v>
      </c>
      <c r="I365">
        <v>148</v>
      </c>
      <c r="J365">
        <v>91</v>
      </c>
      <c r="K365">
        <v>0</v>
      </c>
      <c r="L365">
        <v>30</v>
      </c>
      <c r="M365">
        <v>0</v>
      </c>
      <c r="N365">
        <v>0</v>
      </c>
      <c r="O365">
        <v>0</v>
      </c>
      <c r="P365">
        <v>4</v>
      </c>
    </row>
    <row r="366" spans="1:16" x14ac:dyDescent="0.45">
      <c r="A366" t="s">
        <v>35</v>
      </c>
      <c r="B366">
        <v>6</v>
      </c>
      <c r="C366">
        <v>2834</v>
      </c>
      <c r="D366">
        <v>995</v>
      </c>
      <c r="E366">
        <v>0</v>
      </c>
      <c r="F366">
        <v>0</v>
      </c>
      <c r="G366">
        <v>91</v>
      </c>
      <c r="H366">
        <v>29</v>
      </c>
      <c r="I366">
        <v>172</v>
      </c>
      <c r="J366">
        <v>102</v>
      </c>
      <c r="K366">
        <v>0</v>
      </c>
      <c r="L366">
        <v>29</v>
      </c>
      <c r="M366">
        <v>0</v>
      </c>
      <c r="N366">
        <v>0</v>
      </c>
      <c r="O366">
        <v>0</v>
      </c>
      <c r="P366">
        <v>4</v>
      </c>
    </row>
    <row r="367" spans="1:16" x14ac:dyDescent="0.45">
      <c r="A367" t="s">
        <v>35</v>
      </c>
      <c r="B367">
        <v>7</v>
      </c>
      <c r="C367">
        <v>2193</v>
      </c>
      <c r="D367">
        <v>920</v>
      </c>
      <c r="E367">
        <v>0</v>
      </c>
      <c r="F367">
        <v>0</v>
      </c>
      <c r="G367">
        <v>56</v>
      </c>
      <c r="H367">
        <v>3</v>
      </c>
      <c r="I367">
        <v>165</v>
      </c>
      <c r="J367">
        <v>112</v>
      </c>
      <c r="K367">
        <v>2</v>
      </c>
      <c r="L367">
        <v>32</v>
      </c>
      <c r="M367">
        <v>0</v>
      </c>
      <c r="N367">
        <v>0</v>
      </c>
      <c r="O367">
        <v>0</v>
      </c>
      <c r="P367">
        <v>5</v>
      </c>
    </row>
    <row r="368" spans="1:16" x14ac:dyDescent="0.45">
      <c r="A368" t="s">
        <v>35</v>
      </c>
      <c r="B368">
        <v>8</v>
      </c>
      <c r="C368">
        <v>1955</v>
      </c>
      <c r="D368">
        <v>909</v>
      </c>
      <c r="E368">
        <v>0</v>
      </c>
      <c r="F368">
        <v>4</v>
      </c>
      <c r="G368">
        <v>48</v>
      </c>
      <c r="H368">
        <v>1</v>
      </c>
      <c r="I368">
        <v>196</v>
      </c>
      <c r="J368">
        <v>129</v>
      </c>
      <c r="K368">
        <v>0</v>
      </c>
      <c r="L368">
        <v>32</v>
      </c>
      <c r="M368">
        <v>0</v>
      </c>
      <c r="N368">
        <v>0</v>
      </c>
      <c r="O368">
        <v>0</v>
      </c>
    </row>
    <row r="369" spans="1:16" x14ac:dyDescent="0.45">
      <c r="A369" t="s">
        <v>35</v>
      </c>
      <c r="B369">
        <v>9</v>
      </c>
      <c r="C369">
        <v>1765</v>
      </c>
      <c r="D369">
        <v>1076</v>
      </c>
      <c r="E369">
        <v>0</v>
      </c>
      <c r="F369">
        <v>0</v>
      </c>
      <c r="G369">
        <v>35</v>
      </c>
      <c r="H369">
        <v>0</v>
      </c>
      <c r="I369">
        <v>164</v>
      </c>
      <c r="J369">
        <v>119</v>
      </c>
      <c r="K369">
        <v>16</v>
      </c>
      <c r="L369">
        <v>48</v>
      </c>
      <c r="M369">
        <v>0</v>
      </c>
      <c r="N369">
        <v>0</v>
      </c>
      <c r="O369">
        <v>0</v>
      </c>
    </row>
    <row r="370" spans="1:16" x14ac:dyDescent="0.45">
      <c r="A370" t="s">
        <v>35</v>
      </c>
      <c r="B370">
        <v>10</v>
      </c>
      <c r="C370">
        <v>3017</v>
      </c>
      <c r="D370">
        <v>1328</v>
      </c>
      <c r="E370">
        <v>0</v>
      </c>
      <c r="F370">
        <v>0</v>
      </c>
      <c r="G370">
        <v>53</v>
      </c>
      <c r="H370">
        <v>2</v>
      </c>
      <c r="I370">
        <v>226</v>
      </c>
      <c r="J370">
        <v>146</v>
      </c>
      <c r="K370">
        <v>6</v>
      </c>
      <c r="L370">
        <v>55</v>
      </c>
      <c r="M370">
        <v>0</v>
      </c>
      <c r="N370">
        <v>0</v>
      </c>
      <c r="O370">
        <v>0</v>
      </c>
      <c r="P370">
        <v>3</v>
      </c>
    </row>
    <row r="371" spans="1:16" x14ac:dyDescent="0.45">
      <c r="A371" t="s">
        <v>35</v>
      </c>
      <c r="B371">
        <v>11</v>
      </c>
      <c r="C371">
        <v>2459</v>
      </c>
      <c r="D371">
        <v>1295</v>
      </c>
      <c r="E371">
        <v>0</v>
      </c>
      <c r="F371">
        <v>5</v>
      </c>
      <c r="G371">
        <v>40</v>
      </c>
      <c r="H371">
        <v>1</v>
      </c>
      <c r="I371">
        <v>169</v>
      </c>
      <c r="J371">
        <v>151</v>
      </c>
      <c r="K371">
        <v>39</v>
      </c>
      <c r="L371">
        <v>44</v>
      </c>
      <c r="M371">
        <v>0</v>
      </c>
      <c r="N371">
        <v>0</v>
      </c>
      <c r="O371">
        <v>0</v>
      </c>
      <c r="P371">
        <v>1</v>
      </c>
    </row>
    <row r="372" spans="1:16" x14ac:dyDescent="0.45">
      <c r="A372" t="s">
        <v>35</v>
      </c>
      <c r="B372">
        <v>12</v>
      </c>
      <c r="C372">
        <v>2741</v>
      </c>
      <c r="D372">
        <v>1277</v>
      </c>
      <c r="E372">
        <v>0</v>
      </c>
      <c r="F372">
        <v>14</v>
      </c>
      <c r="G372">
        <v>70</v>
      </c>
      <c r="H372">
        <v>0</v>
      </c>
      <c r="I372">
        <v>186</v>
      </c>
      <c r="J372">
        <v>128</v>
      </c>
      <c r="K372">
        <v>32</v>
      </c>
      <c r="L372">
        <v>74</v>
      </c>
      <c r="M372">
        <v>0</v>
      </c>
      <c r="N372">
        <v>0</v>
      </c>
      <c r="O372">
        <v>0</v>
      </c>
      <c r="P372">
        <v>2</v>
      </c>
    </row>
    <row r="373" spans="1:16" x14ac:dyDescent="0.45">
      <c r="A373" t="s">
        <v>70</v>
      </c>
      <c r="B373">
        <v>1</v>
      </c>
      <c r="C373">
        <v>1015</v>
      </c>
      <c r="D373">
        <v>664</v>
      </c>
      <c r="E373">
        <v>0</v>
      </c>
      <c r="F373">
        <v>5</v>
      </c>
      <c r="G373">
        <v>8</v>
      </c>
      <c r="H373">
        <v>0</v>
      </c>
      <c r="I373">
        <v>63</v>
      </c>
      <c r="J373">
        <v>5</v>
      </c>
      <c r="K373">
        <v>3</v>
      </c>
      <c r="L373">
        <v>27</v>
      </c>
      <c r="M373">
        <v>0</v>
      </c>
      <c r="N373">
        <v>0</v>
      </c>
      <c r="O373">
        <v>1</v>
      </c>
      <c r="P373">
        <v>0</v>
      </c>
    </row>
    <row r="374" spans="1:16" x14ac:dyDescent="0.45">
      <c r="A374" t="s">
        <v>70</v>
      </c>
      <c r="B374">
        <v>2</v>
      </c>
      <c r="C374">
        <v>876</v>
      </c>
      <c r="D374">
        <v>602</v>
      </c>
      <c r="E374">
        <v>0</v>
      </c>
      <c r="F374">
        <v>1</v>
      </c>
      <c r="G374">
        <v>6</v>
      </c>
      <c r="H374">
        <v>5</v>
      </c>
      <c r="I374">
        <v>31</v>
      </c>
      <c r="J374">
        <v>2</v>
      </c>
      <c r="K374">
        <v>0</v>
      </c>
      <c r="L374">
        <v>36</v>
      </c>
      <c r="M374">
        <v>0</v>
      </c>
      <c r="N374">
        <v>0</v>
      </c>
      <c r="O374">
        <v>0</v>
      </c>
      <c r="P374">
        <v>1</v>
      </c>
    </row>
    <row r="375" spans="1:16" x14ac:dyDescent="0.45">
      <c r="A375" t="s">
        <v>70</v>
      </c>
      <c r="B375">
        <v>3</v>
      </c>
      <c r="C375">
        <v>1942</v>
      </c>
      <c r="D375">
        <v>834</v>
      </c>
      <c r="E375">
        <v>2</v>
      </c>
      <c r="F375">
        <v>1</v>
      </c>
      <c r="G375">
        <v>23</v>
      </c>
      <c r="H375">
        <v>10</v>
      </c>
      <c r="I375">
        <v>108</v>
      </c>
      <c r="J375">
        <v>0</v>
      </c>
      <c r="K375">
        <v>3</v>
      </c>
      <c r="L375">
        <v>83</v>
      </c>
      <c r="M375">
        <v>0</v>
      </c>
      <c r="N375">
        <v>0</v>
      </c>
      <c r="O375">
        <v>2</v>
      </c>
      <c r="P375">
        <v>0</v>
      </c>
    </row>
    <row r="376" spans="1:16" x14ac:dyDescent="0.45">
      <c r="A376" t="s">
        <v>70</v>
      </c>
      <c r="B376">
        <v>4</v>
      </c>
      <c r="C376">
        <v>3025</v>
      </c>
      <c r="D376">
        <v>821</v>
      </c>
      <c r="E376">
        <v>1</v>
      </c>
      <c r="F376">
        <v>0</v>
      </c>
      <c r="G376">
        <v>17</v>
      </c>
      <c r="H376">
        <v>106</v>
      </c>
      <c r="I376">
        <v>222</v>
      </c>
      <c r="J376">
        <v>6</v>
      </c>
      <c r="K376">
        <v>0</v>
      </c>
      <c r="L376">
        <v>31</v>
      </c>
      <c r="M376">
        <v>0</v>
      </c>
      <c r="N376">
        <v>5</v>
      </c>
      <c r="O376">
        <v>6</v>
      </c>
      <c r="P376">
        <v>0</v>
      </c>
    </row>
    <row r="377" spans="1:16" x14ac:dyDescent="0.45">
      <c r="A377" t="s">
        <v>70</v>
      </c>
      <c r="B377">
        <v>5</v>
      </c>
      <c r="C377">
        <v>1927</v>
      </c>
      <c r="D377">
        <v>843</v>
      </c>
      <c r="E377">
        <v>0</v>
      </c>
      <c r="F377">
        <v>0</v>
      </c>
      <c r="G377">
        <v>8</v>
      </c>
      <c r="H377">
        <v>149</v>
      </c>
      <c r="I377">
        <v>183</v>
      </c>
      <c r="J377">
        <v>3</v>
      </c>
      <c r="K377">
        <v>0</v>
      </c>
      <c r="L377">
        <v>44</v>
      </c>
      <c r="M377">
        <v>0</v>
      </c>
      <c r="N377">
        <v>8</v>
      </c>
      <c r="O377">
        <v>1</v>
      </c>
      <c r="P377">
        <v>1</v>
      </c>
    </row>
    <row r="378" spans="1:16" x14ac:dyDescent="0.45">
      <c r="A378" t="s">
        <v>70</v>
      </c>
      <c r="B378">
        <v>6</v>
      </c>
      <c r="C378">
        <v>1783</v>
      </c>
      <c r="D378">
        <v>935</v>
      </c>
      <c r="E378">
        <v>0</v>
      </c>
      <c r="F378">
        <v>11</v>
      </c>
      <c r="G378">
        <v>26</v>
      </c>
      <c r="H378">
        <v>56</v>
      </c>
      <c r="I378">
        <v>202</v>
      </c>
      <c r="J378">
        <v>7</v>
      </c>
      <c r="K378">
        <v>0</v>
      </c>
      <c r="L378">
        <v>36</v>
      </c>
      <c r="M378">
        <v>0</v>
      </c>
      <c r="N378">
        <v>12</v>
      </c>
      <c r="O378">
        <v>2</v>
      </c>
      <c r="P378">
        <v>3</v>
      </c>
    </row>
    <row r="379" spans="1:16" x14ac:dyDescent="0.45">
      <c r="A379" t="s">
        <v>70</v>
      </c>
      <c r="B379">
        <v>7</v>
      </c>
      <c r="C379">
        <v>1366</v>
      </c>
      <c r="D379">
        <v>863</v>
      </c>
      <c r="E379">
        <v>0</v>
      </c>
      <c r="F379">
        <v>0</v>
      </c>
      <c r="G379">
        <v>3</v>
      </c>
      <c r="H379">
        <v>2</v>
      </c>
      <c r="I379">
        <v>155</v>
      </c>
      <c r="J379">
        <v>11</v>
      </c>
      <c r="K379">
        <v>0</v>
      </c>
      <c r="L379">
        <v>72</v>
      </c>
      <c r="M379">
        <v>0</v>
      </c>
      <c r="N379">
        <v>13</v>
      </c>
      <c r="O379">
        <v>0</v>
      </c>
      <c r="P379">
        <v>0</v>
      </c>
    </row>
    <row r="380" spans="1:16" x14ac:dyDescent="0.45">
      <c r="A380" t="s">
        <v>70</v>
      </c>
      <c r="B380">
        <v>8</v>
      </c>
      <c r="C380">
        <v>1136</v>
      </c>
      <c r="D380">
        <v>703</v>
      </c>
      <c r="E380">
        <v>0</v>
      </c>
      <c r="F380">
        <v>0</v>
      </c>
      <c r="G380">
        <v>2</v>
      </c>
      <c r="H380">
        <v>4</v>
      </c>
      <c r="I380">
        <v>146</v>
      </c>
      <c r="J380">
        <v>10</v>
      </c>
      <c r="K380">
        <v>5</v>
      </c>
      <c r="L380">
        <v>40</v>
      </c>
      <c r="M380">
        <v>0</v>
      </c>
      <c r="N380">
        <v>0</v>
      </c>
      <c r="O380">
        <v>0</v>
      </c>
      <c r="P380">
        <v>2</v>
      </c>
    </row>
    <row r="381" spans="1:16" x14ac:dyDescent="0.45">
      <c r="A381" t="s">
        <v>70</v>
      </c>
      <c r="B381">
        <v>9</v>
      </c>
      <c r="C381">
        <v>1040</v>
      </c>
      <c r="D381">
        <v>838</v>
      </c>
      <c r="E381">
        <v>0</v>
      </c>
      <c r="F381">
        <v>0</v>
      </c>
      <c r="G381">
        <v>6</v>
      </c>
      <c r="H381">
        <v>8</v>
      </c>
      <c r="I381">
        <v>105</v>
      </c>
      <c r="J381">
        <v>13</v>
      </c>
      <c r="K381">
        <v>4</v>
      </c>
      <c r="L381">
        <v>57</v>
      </c>
      <c r="M381">
        <v>0</v>
      </c>
      <c r="N381">
        <v>0</v>
      </c>
      <c r="O381">
        <v>0</v>
      </c>
      <c r="P381">
        <v>0</v>
      </c>
    </row>
    <row r="382" spans="1:16" x14ac:dyDescent="0.45">
      <c r="A382" t="s">
        <v>70</v>
      </c>
      <c r="B382">
        <v>10</v>
      </c>
      <c r="C382">
        <v>1627</v>
      </c>
      <c r="D382">
        <v>939</v>
      </c>
      <c r="E382">
        <v>0</v>
      </c>
      <c r="F382">
        <v>1</v>
      </c>
      <c r="G382">
        <v>2</v>
      </c>
      <c r="H382">
        <v>5</v>
      </c>
      <c r="I382">
        <v>139</v>
      </c>
      <c r="J382">
        <v>27</v>
      </c>
      <c r="K382">
        <v>17</v>
      </c>
      <c r="L382">
        <v>80</v>
      </c>
      <c r="M382">
        <v>0</v>
      </c>
      <c r="N382">
        <v>0</v>
      </c>
      <c r="O382">
        <v>0</v>
      </c>
      <c r="P382">
        <v>0</v>
      </c>
    </row>
    <row r="383" spans="1:16" x14ac:dyDescent="0.45">
      <c r="A383" t="s">
        <v>70</v>
      </c>
      <c r="B383">
        <v>11</v>
      </c>
      <c r="C383">
        <v>1435</v>
      </c>
      <c r="D383">
        <v>830</v>
      </c>
      <c r="E383">
        <v>1</v>
      </c>
      <c r="F383">
        <v>5</v>
      </c>
      <c r="G383">
        <v>2</v>
      </c>
      <c r="H383">
        <v>1</v>
      </c>
      <c r="I383">
        <v>135</v>
      </c>
      <c r="J383">
        <v>13</v>
      </c>
      <c r="K383">
        <v>20</v>
      </c>
      <c r="L383">
        <v>62</v>
      </c>
      <c r="M383">
        <v>0</v>
      </c>
      <c r="N383">
        <v>0</v>
      </c>
      <c r="O383">
        <v>0</v>
      </c>
      <c r="P383">
        <v>1</v>
      </c>
    </row>
    <row r="384" spans="1:16" x14ac:dyDescent="0.45">
      <c r="A384" t="s">
        <v>70</v>
      </c>
      <c r="B384">
        <v>12</v>
      </c>
      <c r="C384">
        <v>1544</v>
      </c>
      <c r="D384">
        <v>899</v>
      </c>
      <c r="E384">
        <v>0</v>
      </c>
      <c r="F384">
        <v>5</v>
      </c>
      <c r="G384">
        <v>8</v>
      </c>
      <c r="H384">
        <v>2</v>
      </c>
      <c r="I384">
        <v>150</v>
      </c>
      <c r="J384">
        <v>8</v>
      </c>
      <c r="K384">
        <v>11</v>
      </c>
      <c r="L384">
        <v>72</v>
      </c>
      <c r="M384">
        <v>0</v>
      </c>
      <c r="N384">
        <v>0</v>
      </c>
      <c r="O384">
        <v>0</v>
      </c>
      <c r="P384">
        <v>0</v>
      </c>
    </row>
    <row r="385" spans="1:16" x14ac:dyDescent="0.45">
      <c r="A385" t="s">
        <v>58</v>
      </c>
      <c r="B385">
        <v>1</v>
      </c>
      <c r="C385">
        <v>2920</v>
      </c>
      <c r="D385">
        <v>1974</v>
      </c>
      <c r="E385">
        <v>0</v>
      </c>
      <c r="F385">
        <v>14</v>
      </c>
      <c r="G385">
        <v>39</v>
      </c>
      <c r="H385">
        <v>12</v>
      </c>
      <c r="I385">
        <v>291</v>
      </c>
      <c r="J385">
        <v>19</v>
      </c>
      <c r="K385">
        <v>5</v>
      </c>
      <c r="L385">
        <v>144</v>
      </c>
      <c r="M385">
        <v>0</v>
      </c>
      <c r="N385">
        <v>0</v>
      </c>
      <c r="O385">
        <v>0</v>
      </c>
      <c r="P385">
        <v>9</v>
      </c>
    </row>
    <row r="386" spans="1:16" x14ac:dyDescent="0.45">
      <c r="A386" t="s">
        <v>58</v>
      </c>
      <c r="B386">
        <v>2</v>
      </c>
      <c r="C386">
        <v>2424</v>
      </c>
      <c r="D386">
        <v>2067</v>
      </c>
      <c r="E386">
        <v>1</v>
      </c>
      <c r="F386">
        <v>19</v>
      </c>
      <c r="G386">
        <v>36</v>
      </c>
      <c r="H386">
        <v>36</v>
      </c>
      <c r="I386">
        <v>263</v>
      </c>
      <c r="J386">
        <v>23</v>
      </c>
      <c r="K386">
        <v>9</v>
      </c>
      <c r="L386">
        <v>105</v>
      </c>
      <c r="M386">
        <v>0</v>
      </c>
      <c r="N386">
        <v>0</v>
      </c>
      <c r="O386">
        <v>0</v>
      </c>
      <c r="P386">
        <v>12</v>
      </c>
    </row>
    <row r="387" spans="1:16" x14ac:dyDescent="0.45">
      <c r="A387" t="s">
        <v>58</v>
      </c>
      <c r="B387">
        <v>3</v>
      </c>
      <c r="C387">
        <v>4478</v>
      </c>
      <c r="D387">
        <v>2334</v>
      </c>
      <c r="E387">
        <v>9</v>
      </c>
      <c r="F387">
        <v>5</v>
      </c>
      <c r="G387">
        <v>247</v>
      </c>
      <c r="H387">
        <v>82</v>
      </c>
      <c r="I387">
        <v>342</v>
      </c>
      <c r="J387">
        <v>42</v>
      </c>
      <c r="K387">
        <v>3</v>
      </c>
      <c r="L387">
        <v>153</v>
      </c>
      <c r="M387">
        <v>0</v>
      </c>
      <c r="N387">
        <v>0</v>
      </c>
      <c r="O387">
        <v>3</v>
      </c>
      <c r="P387">
        <v>12</v>
      </c>
    </row>
    <row r="388" spans="1:16" x14ac:dyDescent="0.45">
      <c r="A388" t="s">
        <v>58</v>
      </c>
      <c r="B388">
        <v>4</v>
      </c>
      <c r="C388">
        <v>7550</v>
      </c>
      <c r="D388">
        <v>2386</v>
      </c>
      <c r="E388">
        <v>11</v>
      </c>
      <c r="F388">
        <v>10</v>
      </c>
      <c r="G388">
        <v>233</v>
      </c>
      <c r="H388">
        <v>158</v>
      </c>
      <c r="I388">
        <v>581</v>
      </c>
      <c r="J388">
        <v>32</v>
      </c>
      <c r="K388">
        <v>6</v>
      </c>
      <c r="L388">
        <v>150</v>
      </c>
      <c r="M388">
        <v>0</v>
      </c>
      <c r="N388">
        <v>0</v>
      </c>
      <c r="O388">
        <v>5</v>
      </c>
      <c r="P388">
        <v>5</v>
      </c>
    </row>
    <row r="389" spans="1:16" x14ac:dyDescent="0.45">
      <c r="A389" t="s">
        <v>58</v>
      </c>
      <c r="B389">
        <v>5</v>
      </c>
      <c r="C389">
        <v>5212</v>
      </c>
      <c r="D389">
        <v>2079</v>
      </c>
      <c r="E389">
        <v>0</v>
      </c>
      <c r="F389">
        <v>3</v>
      </c>
      <c r="G389">
        <v>164</v>
      </c>
      <c r="H389">
        <v>108</v>
      </c>
      <c r="I389">
        <v>547</v>
      </c>
      <c r="J389">
        <v>32</v>
      </c>
      <c r="K389">
        <v>3</v>
      </c>
      <c r="L389">
        <v>78</v>
      </c>
      <c r="M389">
        <v>0</v>
      </c>
      <c r="N389">
        <v>0</v>
      </c>
      <c r="O389">
        <v>6</v>
      </c>
      <c r="P389">
        <v>17</v>
      </c>
    </row>
    <row r="390" spans="1:16" x14ac:dyDescent="0.45">
      <c r="A390" t="s">
        <v>58</v>
      </c>
      <c r="B390">
        <v>6</v>
      </c>
      <c r="C390">
        <v>4540</v>
      </c>
      <c r="D390">
        <v>2485</v>
      </c>
      <c r="E390">
        <v>0</v>
      </c>
      <c r="F390">
        <v>3</v>
      </c>
      <c r="G390">
        <v>131</v>
      </c>
      <c r="H390">
        <v>66</v>
      </c>
      <c r="I390">
        <v>508</v>
      </c>
      <c r="J390">
        <v>35</v>
      </c>
      <c r="K390">
        <v>1</v>
      </c>
      <c r="L390">
        <v>141</v>
      </c>
      <c r="M390">
        <v>0</v>
      </c>
      <c r="N390">
        <v>0</v>
      </c>
      <c r="O390">
        <v>1</v>
      </c>
      <c r="P390">
        <v>10</v>
      </c>
    </row>
    <row r="391" spans="1:16" x14ac:dyDescent="0.45">
      <c r="A391" t="s">
        <v>58</v>
      </c>
      <c r="B391">
        <v>7</v>
      </c>
      <c r="C391">
        <v>3620</v>
      </c>
      <c r="D391">
        <v>2086</v>
      </c>
      <c r="E391">
        <v>0</v>
      </c>
      <c r="F391">
        <v>1</v>
      </c>
      <c r="G391">
        <v>115</v>
      </c>
      <c r="H391">
        <v>34</v>
      </c>
      <c r="I391">
        <v>564</v>
      </c>
      <c r="J391">
        <v>78</v>
      </c>
      <c r="K391">
        <v>5</v>
      </c>
      <c r="L391">
        <v>144</v>
      </c>
      <c r="M391">
        <v>0</v>
      </c>
      <c r="N391">
        <v>2</v>
      </c>
      <c r="O391">
        <v>1</v>
      </c>
      <c r="P391">
        <v>12</v>
      </c>
    </row>
    <row r="392" spans="1:16" x14ac:dyDescent="0.45">
      <c r="A392" t="s">
        <v>58</v>
      </c>
      <c r="B392">
        <v>8</v>
      </c>
      <c r="C392">
        <v>2980</v>
      </c>
      <c r="D392">
        <v>2015</v>
      </c>
      <c r="E392">
        <v>0</v>
      </c>
      <c r="F392">
        <v>2</v>
      </c>
      <c r="G392">
        <v>62</v>
      </c>
      <c r="H392">
        <v>14</v>
      </c>
      <c r="I392">
        <v>518</v>
      </c>
      <c r="J392">
        <v>73</v>
      </c>
      <c r="K392">
        <v>5</v>
      </c>
      <c r="L392">
        <v>118</v>
      </c>
      <c r="M392">
        <v>0</v>
      </c>
      <c r="N392">
        <v>0</v>
      </c>
      <c r="O392">
        <v>0</v>
      </c>
    </row>
    <row r="393" spans="1:16" x14ac:dyDescent="0.45">
      <c r="A393" t="s">
        <v>58</v>
      </c>
      <c r="B393">
        <v>9</v>
      </c>
      <c r="C393">
        <v>3092</v>
      </c>
      <c r="D393">
        <v>2365</v>
      </c>
      <c r="E393">
        <v>0</v>
      </c>
      <c r="F393">
        <v>0</v>
      </c>
      <c r="G393">
        <v>32</v>
      </c>
      <c r="H393">
        <v>20</v>
      </c>
      <c r="I393">
        <v>478</v>
      </c>
      <c r="J393">
        <v>64</v>
      </c>
      <c r="K393">
        <v>31</v>
      </c>
      <c r="L393">
        <v>128</v>
      </c>
      <c r="M393">
        <v>0</v>
      </c>
      <c r="N393">
        <v>1</v>
      </c>
      <c r="O393">
        <v>2</v>
      </c>
      <c r="P393">
        <v>0</v>
      </c>
    </row>
    <row r="394" spans="1:16" x14ac:dyDescent="0.45">
      <c r="A394" t="s">
        <v>58</v>
      </c>
      <c r="B394">
        <v>10</v>
      </c>
      <c r="C394">
        <v>3919</v>
      </c>
      <c r="D394">
        <v>2798</v>
      </c>
      <c r="E394">
        <v>0</v>
      </c>
      <c r="F394">
        <v>4</v>
      </c>
      <c r="G394">
        <v>68</v>
      </c>
      <c r="H394">
        <v>49</v>
      </c>
      <c r="I394">
        <v>567</v>
      </c>
      <c r="J394">
        <v>86</v>
      </c>
      <c r="K394">
        <v>29</v>
      </c>
      <c r="L394">
        <v>217</v>
      </c>
      <c r="M394">
        <v>0</v>
      </c>
      <c r="N394">
        <v>0</v>
      </c>
      <c r="O394">
        <v>2</v>
      </c>
      <c r="P394">
        <v>7</v>
      </c>
    </row>
    <row r="395" spans="1:16" x14ac:dyDescent="0.45">
      <c r="A395" t="s">
        <v>58</v>
      </c>
      <c r="B395">
        <v>11</v>
      </c>
      <c r="C395">
        <v>3929</v>
      </c>
      <c r="D395">
        <v>2320</v>
      </c>
      <c r="E395">
        <v>0</v>
      </c>
      <c r="F395">
        <v>16</v>
      </c>
      <c r="G395">
        <v>97</v>
      </c>
      <c r="H395">
        <v>32</v>
      </c>
      <c r="I395">
        <v>525</v>
      </c>
      <c r="J395">
        <v>46</v>
      </c>
      <c r="K395">
        <v>15</v>
      </c>
      <c r="L395">
        <v>156</v>
      </c>
      <c r="M395">
        <v>0</v>
      </c>
      <c r="N395">
        <v>0</v>
      </c>
      <c r="O395">
        <v>4</v>
      </c>
      <c r="P395">
        <v>20</v>
      </c>
    </row>
    <row r="396" spans="1:16" x14ac:dyDescent="0.45">
      <c r="A396" t="s">
        <v>58</v>
      </c>
      <c r="B396">
        <v>12</v>
      </c>
      <c r="C396">
        <v>3722</v>
      </c>
      <c r="D396">
        <v>2499</v>
      </c>
      <c r="E396">
        <v>0</v>
      </c>
      <c r="F396">
        <v>8</v>
      </c>
      <c r="G396">
        <v>108</v>
      </c>
      <c r="H396">
        <v>7</v>
      </c>
      <c r="I396">
        <v>515</v>
      </c>
      <c r="J396">
        <v>37</v>
      </c>
      <c r="K396">
        <v>32</v>
      </c>
      <c r="L396">
        <v>147</v>
      </c>
      <c r="M396">
        <v>0</v>
      </c>
      <c r="N396">
        <v>0</v>
      </c>
      <c r="O396">
        <v>1</v>
      </c>
      <c r="P396">
        <v>14</v>
      </c>
    </row>
    <row r="397" spans="1:16" x14ac:dyDescent="0.45">
      <c r="A397" t="s">
        <v>61</v>
      </c>
      <c r="B397">
        <v>1</v>
      </c>
      <c r="C397">
        <v>925</v>
      </c>
      <c r="D397">
        <v>555</v>
      </c>
      <c r="E397">
        <v>0</v>
      </c>
      <c r="F397">
        <v>15</v>
      </c>
      <c r="G397">
        <v>8</v>
      </c>
      <c r="H397">
        <v>1</v>
      </c>
      <c r="I397">
        <v>136</v>
      </c>
      <c r="J397">
        <v>2</v>
      </c>
      <c r="K397">
        <v>2</v>
      </c>
      <c r="L397">
        <v>32</v>
      </c>
      <c r="M397">
        <v>0</v>
      </c>
      <c r="N397">
        <v>0</v>
      </c>
      <c r="O397">
        <v>0</v>
      </c>
      <c r="P397">
        <v>0</v>
      </c>
    </row>
    <row r="398" spans="1:16" x14ac:dyDescent="0.45">
      <c r="A398" t="s">
        <v>61</v>
      </c>
      <c r="B398">
        <v>2</v>
      </c>
      <c r="C398">
        <v>801</v>
      </c>
      <c r="D398">
        <v>494</v>
      </c>
      <c r="E398">
        <v>0</v>
      </c>
      <c r="F398">
        <v>3</v>
      </c>
      <c r="G398">
        <v>8</v>
      </c>
      <c r="H398">
        <v>3</v>
      </c>
      <c r="I398">
        <v>131</v>
      </c>
      <c r="J398">
        <v>0</v>
      </c>
      <c r="K398">
        <v>0</v>
      </c>
      <c r="L398">
        <v>48</v>
      </c>
      <c r="M398">
        <v>0</v>
      </c>
      <c r="N398">
        <v>0</v>
      </c>
      <c r="O398">
        <v>0</v>
      </c>
      <c r="P398">
        <v>0</v>
      </c>
    </row>
    <row r="399" spans="1:16" x14ac:dyDescent="0.45">
      <c r="A399" t="s">
        <v>61</v>
      </c>
      <c r="B399">
        <v>3</v>
      </c>
      <c r="C399">
        <v>1417</v>
      </c>
      <c r="D399">
        <v>604</v>
      </c>
      <c r="E399">
        <v>2</v>
      </c>
      <c r="F399">
        <v>2</v>
      </c>
      <c r="G399">
        <v>14</v>
      </c>
      <c r="H399">
        <v>16</v>
      </c>
      <c r="I399">
        <v>192</v>
      </c>
      <c r="J399">
        <v>0</v>
      </c>
      <c r="K399">
        <v>1</v>
      </c>
      <c r="L399">
        <v>48</v>
      </c>
      <c r="M399">
        <v>0</v>
      </c>
      <c r="N399">
        <v>0</v>
      </c>
      <c r="O399">
        <v>0</v>
      </c>
      <c r="P399">
        <v>2</v>
      </c>
    </row>
    <row r="400" spans="1:16" x14ac:dyDescent="0.45">
      <c r="A400" t="s">
        <v>61</v>
      </c>
      <c r="B400">
        <v>4</v>
      </c>
      <c r="C400">
        <v>2447</v>
      </c>
      <c r="D400">
        <v>607</v>
      </c>
      <c r="E400">
        <v>4</v>
      </c>
      <c r="F400">
        <v>0</v>
      </c>
      <c r="G400">
        <v>18</v>
      </c>
      <c r="H400">
        <v>87</v>
      </c>
      <c r="I400">
        <v>244</v>
      </c>
      <c r="J400">
        <v>0</v>
      </c>
      <c r="K400">
        <v>0</v>
      </c>
      <c r="L400">
        <v>34</v>
      </c>
      <c r="M400">
        <v>0</v>
      </c>
      <c r="N400">
        <v>0</v>
      </c>
      <c r="O400">
        <v>1</v>
      </c>
      <c r="P400">
        <v>5</v>
      </c>
    </row>
    <row r="401" spans="1:15" x14ac:dyDescent="0.45">
      <c r="A401" t="s">
        <v>61</v>
      </c>
      <c r="B401">
        <v>5</v>
      </c>
      <c r="C401">
        <v>1690</v>
      </c>
      <c r="D401">
        <v>524</v>
      </c>
      <c r="E401">
        <v>0</v>
      </c>
      <c r="F401">
        <v>0</v>
      </c>
      <c r="G401">
        <v>28</v>
      </c>
      <c r="H401">
        <v>44</v>
      </c>
      <c r="I401">
        <v>214</v>
      </c>
      <c r="J401">
        <v>0</v>
      </c>
      <c r="K401">
        <v>2</v>
      </c>
      <c r="L401">
        <v>36</v>
      </c>
      <c r="M401">
        <v>0</v>
      </c>
      <c r="N401">
        <v>0</v>
      </c>
      <c r="O401">
        <v>0</v>
      </c>
    </row>
    <row r="402" spans="1:15" x14ac:dyDescent="0.45">
      <c r="A402" t="s">
        <v>61</v>
      </c>
      <c r="B402">
        <v>6</v>
      </c>
      <c r="C402">
        <v>1464</v>
      </c>
      <c r="D402">
        <v>591</v>
      </c>
      <c r="E402">
        <v>0</v>
      </c>
      <c r="F402">
        <v>0</v>
      </c>
      <c r="G402">
        <v>7</v>
      </c>
      <c r="H402">
        <v>7</v>
      </c>
      <c r="I402">
        <v>267</v>
      </c>
      <c r="J402">
        <v>1</v>
      </c>
      <c r="K402">
        <v>0</v>
      </c>
      <c r="L402">
        <v>36</v>
      </c>
      <c r="M402">
        <v>0</v>
      </c>
      <c r="N402">
        <v>0</v>
      </c>
      <c r="O402">
        <v>0</v>
      </c>
    </row>
    <row r="403" spans="1:15" x14ac:dyDescent="0.45">
      <c r="A403" t="s">
        <v>61</v>
      </c>
      <c r="B403">
        <v>7</v>
      </c>
      <c r="C403">
        <v>1244</v>
      </c>
      <c r="D403">
        <v>570</v>
      </c>
      <c r="E403">
        <v>0</v>
      </c>
      <c r="F403">
        <v>0</v>
      </c>
      <c r="G403">
        <v>3</v>
      </c>
      <c r="H403">
        <v>10</v>
      </c>
      <c r="I403">
        <v>229</v>
      </c>
      <c r="J403">
        <v>7</v>
      </c>
      <c r="K403">
        <v>0</v>
      </c>
      <c r="L403">
        <v>41</v>
      </c>
      <c r="M403">
        <v>0</v>
      </c>
      <c r="N403">
        <v>0</v>
      </c>
      <c r="O403">
        <v>0</v>
      </c>
    </row>
    <row r="404" spans="1:15" x14ac:dyDescent="0.45">
      <c r="A404" t="s">
        <v>61</v>
      </c>
      <c r="B404">
        <v>8</v>
      </c>
      <c r="C404">
        <v>924</v>
      </c>
      <c r="D404">
        <v>513</v>
      </c>
      <c r="E404">
        <v>0</v>
      </c>
      <c r="F404">
        <v>0</v>
      </c>
      <c r="G404">
        <v>8</v>
      </c>
      <c r="H404">
        <v>3</v>
      </c>
      <c r="I404">
        <v>201</v>
      </c>
      <c r="J404">
        <v>3</v>
      </c>
      <c r="K404">
        <v>0</v>
      </c>
      <c r="L404">
        <v>29</v>
      </c>
      <c r="M404">
        <v>0</v>
      </c>
      <c r="N404">
        <v>0</v>
      </c>
      <c r="O404">
        <v>0</v>
      </c>
    </row>
    <row r="405" spans="1:15" x14ac:dyDescent="0.45">
      <c r="A405" t="s">
        <v>61</v>
      </c>
      <c r="B405">
        <v>9</v>
      </c>
      <c r="C405">
        <v>1154</v>
      </c>
      <c r="D405">
        <v>567</v>
      </c>
      <c r="E405">
        <v>0</v>
      </c>
      <c r="F405">
        <v>0</v>
      </c>
      <c r="G405">
        <v>6</v>
      </c>
      <c r="H405">
        <v>0</v>
      </c>
      <c r="I405">
        <v>286</v>
      </c>
      <c r="J405">
        <v>1</v>
      </c>
      <c r="K405">
        <v>2</v>
      </c>
      <c r="L405">
        <v>32</v>
      </c>
      <c r="M405">
        <v>0</v>
      </c>
      <c r="N405">
        <v>0</v>
      </c>
      <c r="O405">
        <v>0</v>
      </c>
    </row>
    <row r="406" spans="1:15" x14ac:dyDescent="0.45">
      <c r="A406" t="s">
        <v>61</v>
      </c>
      <c r="B406">
        <v>10</v>
      </c>
      <c r="C406">
        <v>1424</v>
      </c>
      <c r="D406">
        <v>690</v>
      </c>
      <c r="E406">
        <v>0</v>
      </c>
      <c r="F406">
        <v>1</v>
      </c>
      <c r="G406">
        <v>4</v>
      </c>
      <c r="H406">
        <v>0</v>
      </c>
      <c r="I406">
        <v>299</v>
      </c>
      <c r="J406">
        <v>1</v>
      </c>
      <c r="K406">
        <v>13</v>
      </c>
      <c r="L406">
        <v>32</v>
      </c>
      <c r="M406">
        <v>0</v>
      </c>
      <c r="N406">
        <v>0</v>
      </c>
      <c r="O406">
        <v>0</v>
      </c>
    </row>
    <row r="407" spans="1:15" x14ac:dyDescent="0.45">
      <c r="A407" t="s">
        <v>61</v>
      </c>
      <c r="B407">
        <v>11</v>
      </c>
      <c r="C407">
        <v>1173</v>
      </c>
      <c r="D407">
        <v>650</v>
      </c>
      <c r="E407">
        <v>0</v>
      </c>
      <c r="F407">
        <v>10</v>
      </c>
      <c r="G407">
        <v>5</v>
      </c>
      <c r="H407">
        <v>0</v>
      </c>
      <c r="I407">
        <v>240</v>
      </c>
      <c r="J407">
        <v>0</v>
      </c>
      <c r="K407">
        <v>6</v>
      </c>
      <c r="L407">
        <v>25</v>
      </c>
      <c r="M407">
        <v>0</v>
      </c>
      <c r="N407">
        <v>0</v>
      </c>
      <c r="O407">
        <v>0</v>
      </c>
    </row>
    <row r="408" spans="1:15" x14ac:dyDescent="0.45">
      <c r="A408" t="s">
        <v>61</v>
      </c>
      <c r="B408">
        <v>12</v>
      </c>
      <c r="C408">
        <v>1368</v>
      </c>
      <c r="D408">
        <v>628</v>
      </c>
      <c r="E408">
        <v>0</v>
      </c>
      <c r="F408">
        <v>8</v>
      </c>
      <c r="G408">
        <v>13</v>
      </c>
      <c r="H408">
        <v>4</v>
      </c>
      <c r="I408">
        <v>221</v>
      </c>
      <c r="J408">
        <v>4</v>
      </c>
      <c r="K408">
        <v>10</v>
      </c>
      <c r="L408">
        <v>30</v>
      </c>
      <c r="M408">
        <v>0</v>
      </c>
      <c r="N408">
        <v>0</v>
      </c>
      <c r="O408">
        <v>0</v>
      </c>
    </row>
    <row r="409" spans="1:15" x14ac:dyDescent="0.45">
      <c r="A409" t="s">
        <v>64</v>
      </c>
      <c r="B409">
        <v>1</v>
      </c>
      <c r="C409">
        <v>200</v>
      </c>
      <c r="D409">
        <v>201</v>
      </c>
      <c r="E409">
        <v>0</v>
      </c>
      <c r="F409">
        <v>1</v>
      </c>
      <c r="G409">
        <v>0</v>
      </c>
      <c r="H409">
        <v>0</v>
      </c>
      <c r="I409">
        <v>6</v>
      </c>
      <c r="J409">
        <v>2</v>
      </c>
      <c r="K409">
        <v>0</v>
      </c>
      <c r="L409">
        <v>4</v>
      </c>
      <c r="M409">
        <v>0</v>
      </c>
      <c r="N409">
        <v>0</v>
      </c>
      <c r="O409">
        <v>0</v>
      </c>
    </row>
    <row r="410" spans="1:15" x14ac:dyDescent="0.45">
      <c r="A410" t="s">
        <v>64</v>
      </c>
      <c r="B410">
        <v>2</v>
      </c>
      <c r="C410">
        <v>145</v>
      </c>
      <c r="D410">
        <v>152</v>
      </c>
      <c r="E410">
        <v>0</v>
      </c>
      <c r="F410">
        <v>1</v>
      </c>
      <c r="G410">
        <v>0</v>
      </c>
      <c r="H410">
        <v>0</v>
      </c>
      <c r="I410">
        <v>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45">
      <c r="A411" t="s">
        <v>64</v>
      </c>
      <c r="B411">
        <v>3</v>
      </c>
      <c r="C411">
        <v>284</v>
      </c>
      <c r="D411">
        <v>182</v>
      </c>
      <c r="E411">
        <v>0</v>
      </c>
      <c r="F411">
        <v>0</v>
      </c>
      <c r="G411">
        <v>4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45">
      <c r="A412" t="s">
        <v>64</v>
      </c>
      <c r="B412">
        <v>4</v>
      </c>
      <c r="C412">
        <v>395</v>
      </c>
      <c r="D412">
        <v>203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</row>
    <row r="413" spans="1:15" x14ac:dyDescent="0.45">
      <c r="A413" t="s">
        <v>64</v>
      </c>
      <c r="B413">
        <v>5</v>
      </c>
      <c r="C413">
        <v>358</v>
      </c>
      <c r="D413">
        <v>159</v>
      </c>
      <c r="E413">
        <v>0</v>
      </c>
      <c r="F413">
        <v>0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45">
      <c r="A414" t="s">
        <v>64</v>
      </c>
      <c r="B414">
        <v>6</v>
      </c>
      <c r="C414">
        <v>290</v>
      </c>
      <c r="D414">
        <v>210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45">
      <c r="A415" t="s">
        <v>64</v>
      </c>
      <c r="B415">
        <v>7</v>
      </c>
      <c r="C415">
        <v>359</v>
      </c>
      <c r="D415">
        <v>201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45">
      <c r="A416" t="s">
        <v>64</v>
      </c>
      <c r="B416">
        <v>8</v>
      </c>
      <c r="C416">
        <v>257</v>
      </c>
      <c r="D416">
        <v>210</v>
      </c>
      <c r="E416">
        <v>0</v>
      </c>
      <c r="F416">
        <v>0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6" x14ac:dyDescent="0.45">
      <c r="A417" t="s">
        <v>64</v>
      </c>
      <c r="B417">
        <v>9</v>
      </c>
      <c r="C417">
        <v>241</v>
      </c>
      <c r="D417">
        <v>230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5</v>
      </c>
    </row>
    <row r="418" spans="1:16" x14ac:dyDescent="0.45">
      <c r="A418" t="s">
        <v>64</v>
      </c>
      <c r="B418">
        <v>10</v>
      </c>
      <c r="C418">
        <v>347</v>
      </c>
      <c r="D418">
        <v>197</v>
      </c>
      <c r="E418">
        <v>0</v>
      </c>
      <c r="F418">
        <v>0</v>
      </c>
      <c r="G418">
        <v>1</v>
      </c>
      <c r="H418">
        <v>0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</row>
    <row r="419" spans="1:16" x14ac:dyDescent="0.45">
      <c r="A419" t="s">
        <v>64</v>
      </c>
      <c r="B419">
        <v>11</v>
      </c>
      <c r="C419">
        <v>290</v>
      </c>
      <c r="D419">
        <v>235</v>
      </c>
      <c r="E419">
        <v>0</v>
      </c>
      <c r="F419">
        <v>0</v>
      </c>
      <c r="G419">
        <v>0</v>
      </c>
      <c r="H419">
        <v>0</v>
      </c>
      <c r="I419">
        <v>8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45">
      <c r="A420" t="s">
        <v>64</v>
      </c>
      <c r="B420">
        <v>12</v>
      </c>
      <c r="C420">
        <v>226</v>
      </c>
      <c r="D420">
        <v>200</v>
      </c>
      <c r="E420">
        <v>0</v>
      </c>
      <c r="F420">
        <v>0</v>
      </c>
      <c r="G420">
        <v>0</v>
      </c>
      <c r="H420">
        <v>0</v>
      </c>
      <c r="I420">
        <v>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45">
      <c r="A421" t="s">
        <v>83</v>
      </c>
      <c r="B421">
        <v>1</v>
      </c>
      <c r="C421">
        <v>2081</v>
      </c>
      <c r="D421">
        <v>729</v>
      </c>
      <c r="E421">
        <v>0</v>
      </c>
      <c r="F421">
        <v>64</v>
      </c>
      <c r="G421">
        <v>91</v>
      </c>
      <c r="H421">
        <v>8</v>
      </c>
      <c r="I421">
        <v>416</v>
      </c>
      <c r="J421">
        <v>44</v>
      </c>
      <c r="K421">
        <v>34</v>
      </c>
      <c r="L421">
        <v>100</v>
      </c>
      <c r="M421">
        <v>0</v>
      </c>
      <c r="N421">
        <v>0</v>
      </c>
      <c r="O421">
        <v>0</v>
      </c>
      <c r="P421">
        <v>7</v>
      </c>
    </row>
    <row r="422" spans="1:16" x14ac:dyDescent="0.45">
      <c r="A422" t="s">
        <v>83</v>
      </c>
      <c r="B422">
        <v>2</v>
      </c>
      <c r="C422">
        <v>1671</v>
      </c>
      <c r="D422">
        <v>810</v>
      </c>
      <c r="E422">
        <v>0</v>
      </c>
      <c r="F422">
        <v>29</v>
      </c>
      <c r="G422">
        <v>57</v>
      </c>
      <c r="H422">
        <v>3</v>
      </c>
      <c r="I422">
        <v>291</v>
      </c>
      <c r="J422">
        <v>44</v>
      </c>
      <c r="K422">
        <v>17</v>
      </c>
      <c r="L422">
        <v>94</v>
      </c>
      <c r="M422">
        <v>0</v>
      </c>
      <c r="N422">
        <v>0</v>
      </c>
      <c r="O422">
        <v>0</v>
      </c>
      <c r="P422">
        <v>3</v>
      </c>
    </row>
    <row r="423" spans="1:16" x14ac:dyDescent="0.45">
      <c r="A423" t="s">
        <v>83</v>
      </c>
      <c r="B423">
        <v>3</v>
      </c>
      <c r="C423">
        <v>3272</v>
      </c>
      <c r="D423">
        <v>945</v>
      </c>
      <c r="E423">
        <v>21</v>
      </c>
      <c r="F423">
        <v>13</v>
      </c>
      <c r="G423">
        <v>243</v>
      </c>
      <c r="H423">
        <v>102</v>
      </c>
      <c r="I423">
        <v>601</v>
      </c>
      <c r="J423">
        <v>45</v>
      </c>
      <c r="K423">
        <v>24</v>
      </c>
      <c r="L423">
        <v>89</v>
      </c>
      <c r="M423">
        <v>0</v>
      </c>
      <c r="N423">
        <v>1</v>
      </c>
      <c r="O423">
        <v>0</v>
      </c>
      <c r="P423">
        <v>7</v>
      </c>
    </row>
    <row r="424" spans="1:16" x14ac:dyDescent="0.45">
      <c r="A424" t="s">
        <v>83</v>
      </c>
      <c r="B424">
        <v>4</v>
      </c>
      <c r="C424">
        <v>5270</v>
      </c>
      <c r="D424">
        <v>1327</v>
      </c>
      <c r="E424">
        <v>5</v>
      </c>
      <c r="F424">
        <v>0</v>
      </c>
      <c r="G424">
        <v>205</v>
      </c>
      <c r="H424">
        <v>266</v>
      </c>
      <c r="I424">
        <v>1028</v>
      </c>
      <c r="J424">
        <v>23</v>
      </c>
      <c r="K424">
        <v>15</v>
      </c>
      <c r="L424">
        <v>118</v>
      </c>
      <c r="M424">
        <v>0</v>
      </c>
      <c r="N424">
        <v>20</v>
      </c>
      <c r="O424">
        <v>4</v>
      </c>
      <c r="P424">
        <v>7</v>
      </c>
    </row>
    <row r="425" spans="1:16" x14ac:dyDescent="0.45">
      <c r="A425" t="s">
        <v>83</v>
      </c>
      <c r="B425">
        <v>5</v>
      </c>
      <c r="C425">
        <v>3588</v>
      </c>
      <c r="D425">
        <v>1143</v>
      </c>
      <c r="E425">
        <v>0</v>
      </c>
      <c r="F425">
        <v>4</v>
      </c>
      <c r="G425">
        <v>135</v>
      </c>
      <c r="H425">
        <v>90</v>
      </c>
      <c r="I425">
        <v>624</v>
      </c>
      <c r="J425">
        <v>13</v>
      </c>
      <c r="K425">
        <v>12</v>
      </c>
      <c r="L425">
        <v>119</v>
      </c>
      <c r="M425">
        <v>0</v>
      </c>
      <c r="N425">
        <v>24</v>
      </c>
      <c r="O425">
        <v>0</v>
      </c>
      <c r="P425">
        <v>14</v>
      </c>
    </row>
    <row r="426" spans="1:16" x14ac:dyDescent="0.45">
      <c r="A426" t="s">
        <v>83</v>
      </c>
      <c r="B426">
        <v>6</v>
      </c>
      <c r="C426">
        <v>3605</v>
      </c>
      <c r="D426">
        <v>1284</v>
      </c>
      <c r="E426">
        <v>0</v>
      </c>
      <c r="F426">
        <v>1</v>
      </c>
      <c r="G426">
        <v>209</v>
      </c>
      <c r="H426">
        <v>26</v>
      </c>
      <c r="I426">
        <v>675</v>
      </c>
      <c r="J426">
        <v>12</v>
      </c>
      <c r="K426">
        <v>6</v>
      </c>
      <c r="L426">
        <v>111</v>
      </c>
      <c r="M426">
        <v>0</v>
      </c>
      <c r="N426">
        <v>43</v>
      </c>
      <c r="O426">
        <v>0</v>
      </c>
      <c r="P426">
        <v>11</v>
      </c>
    </row>
    <row r="427" spans="1:16" x14ac:dyDescent="0.45">
      <c r="A427" t="s">
        <v>83</v>
      </c>
      <c r="B427">
        <v>7</v>
      </c>
      <c r="C427">
        <v>2951</v>
      </c>
      <c r="D427">
        <v>1286</v>
      </c>
      <c r="E427">
        <v>0</v>
      </c>
      <c r="F427">
        <v>3</v>
      </c>
      <c r="G427">
        <v>59</v>
      </c>
      <c r="H427">
        <v>13</v>
      </c>
      <c r="I427">
        <v>545</v>
      </c>
      <c r="J427">
        <v>82</v>
      </c>
      <c r="K427">
        <v>30</v>
      </c>
      <c r="L427">
        <v>129</v>
      </c>
      <c r="M427">
        <v>0</v>
      </c>
      <c r="N427">
        <v>17</v>
      </c>
      <c r="O427">
        <v>0</v>
      </c>
      <c r="P427">
        <v>10</v>
      </c>
    </row>
    <row r="428" spans="1:16" x14ac:dyDescent="0.45">
      <c r="A428" t="s">
        <v>83</v>
      </c>
      <c r="B428">
        <v>8</v>
      </c>
      <c r="C428">
        <v>2187</v>
      </c>
      <c r="D428">
        <v>808</v>
      </c>
      <c r="E428">
        <v>0</v>
      </c>
      <c r="F428">
        <v>1</v>
      </c>
      <c r="G428">
        <v>47</v>
      </c>
      <c r="H428">
        <v>2</v>
      </c>
      <c r="I428">
        <v>355</v>
      </c>
      <c r="J428">
        <v>134</v>
      </c>
      <c r="K428">
        <v>24</v>
      </c>
      <c r="L428">
        <v>104</v>
      </c>
      <c r="M428">
        <v>0</v>
      </c>
      <c r="N428">
        <v>2</v>
      </c>
      <c r="O428">
        <v>0</v>
      </c>
      <c r="P428">
        <v>3</v>
      </c>
    </row>
    <row r="429" spans="1:16" x14ac:dyDescent="0.45">
      <c r="A429" t="s">
        <v>83</v>
      </c>
      <c r="B429">
        <v>9</v>
      </c>
      <c r="C429">
        <v>1893</v>
      </c>
      <c r="D429">
        <v>861</v>
      </c>
      <c r="E429">
        <v>0</v>
      </c>
      <c r="F429">
        <v>3</v>
      </c>
      <c r="G429">
        <v>36</v>
      </c>
      <c r="H429">
        <v>0</v>
      </c>
      <c r="I429">
        <v>367</v>
      </c>
      <c r="J429">
        <v>177</v>
      </c>
      <c r="K429">
        <v>41</v>
      </c>
      <c r="L429">
        <v>110</v>
      </c>
      <c r="M429">
        <v>0</v>
      </c>
      <c r="N429">
        <v>4</v>
      </c>
      <c r="O429">
        <v>0</v>
      </c>
      <c r="P429">
        <v>11</v>
      </c>
    </row>
    <row r="430" spans="1:16" x14ac:dyDescent="0.45">
      <c r="A430" t="s">
        <v>83</v>
      </c>
      <c r="B430">
        <v>10</v>
      </c>
      <c r="C430">
        <v>2875</v>
      </c>
      <c r="D430">
        <v>1096</v>
      </c>
      <c r="E430">
        <v>0</v>
      </c>
      <c r="F430">
        <v>6</v>
      </c>
      <c r="G430">
        <v>49</v>
      </c>
      <c r="H430">
        <v>8</v>
      </c>
      <c r="I430">
        <v>582</v>
      </c>
      <c r="J430">
        <v>217</v>
      </c>
      <c r="K430">
        <v>60</v>
      </c>
      <c r="L430">
        <v>135</v>
      </c>
      <c r="M430">
        <v>0</v>
      </c>
      <c r="N430">
        <v>12</v>
      </c>
      <c r="O430">
        <v>0</v>
      </c>
    </row>
    <row r="431" spans="1:16" x14ac:dyDescent="0.45">
      <c r="A431" t="s">
        <v>83</v>
      </c>
      <c r="B431">
        <v>11</v>
      </c>
      <c r="C431">
        <v>2738</v>
      </c>
      <c r="D431">
        <v>1057</v>
      </c>
      <c r="E431">
        <v>0</v>
      </c>
      <c r="F431">
        <v>33</v>
      </c>
      <c r="G431">
        <v>71</v>
      </c>
      <c r="H431">
        <v>10</v>
      </c>
      <c r="I431">
        <v>564</v>
      </c>
      <c r="J431">
        <v>97</v>
      </c>
      <c r="K431">
        <v>39</v>
      </c>
      <c r="L431">
        <v>102</v>
      </c>
      <c r="M431">
        <v>0</v>
      </c>
      <c r="N431">
        <v>5</v>
      </c>
      <c r="O431">
        <v>0</v>
      </c>
      <c r="P431">
        <v>4</v>
      </c>
    </row>
    <row r="432" spans="1:16" x14ac:dyDescent="0.45">
      <c r="A432" t="s">
        <v>83</v>
      </c>
      <c r="B432">
        <v>12</v>
      </c>
      <c r="C432">
        <v>3065</v>
      </c>
      <c r="D432">
        <v>1048</v>
      </c>
      <c r="E432">
        <v>0</v>
      </c>
      <c r="F432">
        <v>35</v>
      </c>
      <c r="G432">
        <v>170</v>
      </c>
      <c r="H432">
        <v>6</v>
      </c>
      <c r="I432">
        <v>586</v>
      </c>
      <c r="J432">
        <v>87</v>
      </c>
      <c r="K432">
        <v>41</v>
      </c>
      <c r="L432">
        <v>117</v>
      </c>
      <c r="M432">
        <v>0</v>
      </c>
      <c r="N432">
        <v>0</v>
      </c>
      <c r="O432">
        <v>0</v>
      </c>
      <c r="P432">
        <v>1</v>
      </c>
    </row>
    <row r="433" spans="1:15" x14ac:dyDescent="0.45">
      <c r="A433" t="s">
        <v>73</v>
      </c>
      <c r="B433">
        <v>1</v>
      </c>
      <c r="C433">
        <v>1518</v>
      </c>
      <c r="D433">
        <v>698</v>
      </c>
      <c r="E433">
        <v>2</v>
      </c>
      <c r="F433">
        <v>28</v>
      </c>
      <c r="G433">
        <v>28</v>
      </c>
      <c r="H433">
        <v>2</v>
      </c>
      <c r="I433">
        <v>331</v>
      </c>
      <c r="J433">
        <v>0</v>
      </c>
      <c r="K433">
        <v>50</v>
      </c>
      <c r="L433">
        <v>298</v>
      </c>
      <c r="M433">
        <v>0</v>
      </c>
      <c r="N433">
        <v>0</v>
      </c>
      <c r="O433">
        <v>0</v>
      </c>
    </row>
    <row r="434" spans="1:15" x14ac:dyDescent="0.45">
      <c r="A434" t="s">
        <v>73</v>
      </c>
      <c r="B434">
        <v>2</v>
      </c>
      <c r="C434">
        <v>1402</v>
      </c>
      <c r="D434">
        <v>699</v>
      </c>
      <c r="E434">
        <v>2</v>
      </c>
      <c r="F434">
        <v>14</v>
      </c>
      <c r="G434">
        <v>46</v>
      </c>
      <c r="H434">
        <v>34</v>
      </c>
      <c r="I434">
        <v>329</v>
      </c>
      <c r="J434">
        <v>0</v>
      </c>
      <c r="K434">
        <v>33</v>
      </c>
      <c r="L434">
        <v>301</v>
      </c>
      <c r="M434">
        <v>0</v>
      </c>
      <c r="N434">
        <v>0</v>
      </c>
      <c r="O434">
        <v>0</v>
      </c>
    </row>
    <row r="435" spans="1:15" x14ac:dyDescent="0.45">
      <c r="A435" t="s">
        <v>73</v>
      </c>
      <c r="B435">
        <v>3</v>
      </c>
      <c r="C435">
        <v>2540</v>
      </c>
      <c r="D435">
        <v>922</v>
      </c>
      <c r="E435">
        <v>2</v>
      </c>
      <c r="F435">
        <v>1</v>
      </c>
      <c r="G435">
        <v>183</v>
      </c>
      <c r="H435">
        <v>180</v>
      </c>
      <c r="I435">
        <v>487</v>
      </c>
      <c r="J435">
        <v>1</v>
      </c>
      <c r="K435">
        <v>33</v>
      </c>
      <c r="L435">
        <v>396</v>
      </c>
      <c r="M435">
        <v>0</v>
      </c>
      <c r="N435">
        <v>0</v>
      </c>
      <c r="O435">
        <v>0</v>
      </c>
    </row>
    <row r="436" spans="1:15" x14ac:dyDescent="0.45">
      <c r="A436" t="s">
        <v>73</v>
      </c>
      <c r="B436">
        <v>4</v>
      </c>
      <c r="C436">
        <v>4308</v>
      </c>
      <c r="D436">
        <v>915</v>
      </c>
      <c r="E436">
        <v>0</v>
      </c>
      <c r="F436">
        <v>5</v>
      </c>
      <c r="G436">
        <v>184</v>
      </c>
      <c r="H436">
        <v>335</v>
      </c>
      <c r="I436">
        <v>621</v>
      </c>
      <c r="J436">
        <v>4</v>
      </c>
      <c r="K436">
        <v>6</v>
      </c>
      <c r="L436">
        <v>322</v>
      </c>
      <c r="M436">
        <v>0</v>
      </c>
      <c r="N436">
        <v>5</v>
      </c>
      <c r="O436">
        <v>7</v>
      </c>
    </row>
    <row r="437" spans="1:15" x14ac:dyDescent="0.45">
      <c r="A437" t="s">
        <v>73</v>
      </c>
      <c r="B437">
        <v>5</v>
      </c>
      <c r="C437">
        <v>2569</v>
      </c>
      <c r="D437">
        <v>726</v>
      </c>
      <c r="E437">
        <v>0</v>
      </c>
      <c r="F437">
        <v>4</v>
      </c>
      <c r="G437">
        <v>118</v>
      </c>
      <c r="H437">
        <v>184</v>
      </c>
      <c r="I437">
        <v>496</v>
      </c>
      <c r="J437">
        <v>4</v>
      </c>
      <c r="K437">
        <v>9</v>
      </c>
      <c r="L437">
        <v>273</v>
      </c>
      <c r="M437">
        <v>0</v>
      </c>
      <c r="N437">
        <v>22</v>
      </c>
      <c r="O437">
        <v>4</v>
      </c>
    </row>
    <row r="438" spans="1:15" x14ac:dyDescent="0.45">
      <c r="A438" t="s">
        <v>73</v>
      </c>
      <c r="B438">
        <v>6</v>
      </c>
      <c r="C438">
        <v>2403</v>
      </c>
      <c r="D438">
        <v>826</v>
      </c>
      <c r="E438">
        <v>0</v>
      </c>
      <c r="F438">
        <v>0</v>
      </c>
      <c r="G438">
        <v>110</v>
      </c>
      <c r="H438">
        <v>109</v>
      </c>
      <c r="I438">
        <v>478</v>
      </c>
      <c r="J438">
        <v>4</v>
      </c>
      <c r="K438">
        <v>13</v>
      </c>
      <c r="L438">
        <v>340</v>
      </c>
      <c r="M438">
        <v>0</v>
      </c>
      <c r="N438">
        <v>10</v>
      </c>
      <c r="O438">
        <v>0</v>
      </c>
    </row>
    <row r="439" spans="1:15" x14ac:dyDescent="0.45">
      <c r="A439" t="s">
        <v>73</v>
      </c>
      <c r="B439">
        <v>7</v>
      </c>
      <c r="C439">
        <v>1888</v>
      </c>
      <c r="D439">
        <v>814</v>
      </c>
      <c r="E439">
        <v>0</v>
      </c>
      <c r="F439">
        <v>0</v>
      </c>
      <c r="G439">
        <v>61</v>
      </c>
      <c r="H439">
        <v>68</v>
      </c>
      <c r="I439">
        <v>480</v>
      </c>
      <c r="J439">
        <v>1</v>
      </c>
      <c r="K439">
        <v>7</v>
      </c>
      <c r="L439">
        <v>324</v>
      </c>
      <c r="M439">
        <v>0</v>
      </c>
      <c r="N439">
        <v>2</v>
      </c>
      <c r="O439">
        <v>0</v>
      </c>
    </row>
    <row r="440" spans="1:15" x14ac:dyDescent="0.45">
      <c r="A440" t="s">
        <v>73</v>
      </c>
      <c r="B440">
        <v>8</v>
      </c>
      <c r="C440">
        <v>1507</v>
      </c>
      <c r="D440">
        <v>775</v>
      </c>
      <c r="E440">
        <v>0</v>
      </c>
      <c r="F440">
        <v>0</v>
      </c>
      <c r="G440">
        <v>45</v>
      </c>
      <c r="H440">
        <v>2</v>
      </c>
      <c r="I440">
        <v>443</v>
      </c>
      <c r="J440">
        <v>2</v>
      </c>
      <c r="K440">
        <v>27</v>
      </c>
      <c r="L440">
        <v>291</v>
      </c>
      <c r="M440">
        <v>0</v>
      </c>
      <c r="N440">
        <v>0</v>
      </c>
      <c r="O440">
        <v>0</v>
      </c>
    </row>
    <row r="441" spans="1:15" x14ac:dyDescent="0.45">
      <c r="A441" t="s">
        <v>73</v>
      </c>
      <c r="B441">
        <v>9</v>
      </c>
      <c r="C441">
        <v>1543</v>
      </c>
      <c r="D441">
        <v>876</v>
      </c>
      <c r="E441">
        <v>0</v>
      </c>
      <c r="F441">
        <v>0</v>
      </c>
      <c r="G441">
        <v>31</v>
      </c>
      <c r="H441">
        <v>6</v>
      </c>
      <c r="I441">
        <v>531</v>
      </c>
      <c r="J441">
        <v>0</v>
      </c>
      <c r="K441">
        <v>37</v>
      </c>
      <c r="L441">
        <v>337</v>
      </c>
      <c r="M441">
        <v>0</v>
      </c>
      <c r="N441">
        <v>0</v>
      </c>
      <c r="O441">
        <v>0</v>
      </c>
    </row>
    <row r="442" spans="1:15" x14ac:dyDescent="0.45">
      <c r="A442" t="s">
        <v>73</v>
      </c>
      <c r="B442">
        <v>10</v>
      </c>
      <c r="C442">
        <v>2280</v>
      </c>
      <c r="D442">
        <v>1059</v>
      </c>
      <c r="E442">
        <v>0</v>
      </c>
      <c r="F442">
        <v>1</v>
      </c>
      <c r="G442">
        <v>36</v>
      </c>
      <c r="H442">
        <v>7</v>
      </c>
      <c r="I442">
        <v>581</v>
      </c>
      <c r="J442">
        <v>3</v>
      </c>
      <c r="K442">
        <v>72</v>
      </c>
      <c r="L442">
        <v>413</v>
      </c>
      <c r="M442">
        <v>0</v>
      </c>
      <c r="N442">
        <v>0</v>
      </c>
      <c r="O442">
        <v>0</v>
      </c>
    </row>
    <row r="443" spans="1:15" x14ac:dyDescent="0.45">
      <c r="A443" t="s">
        <v>73</v>
      </c>
      <c r="B443">
        <v>11</v>
      </c>
      <c r="C443">
        <v>1968</v>
      </c>
      <c r="D443">
        <v>955</v>
      </c>
      <c r="E443">
        <v>0</v>
      </c>
      <c r="F443">
        <v>24</v>
      </c>
      <c r="G443">
        <v>41</v>
      </c>
      <c r="H443">
        <v>17</v>
      </c>
      <c r="I443">
        <v>546</v>
      </c>
      <c r="J443">
        <v>3</v>
      </c>
      <c r="K443">
        <v>61</v>
      </c>
      <c r="L443">
        <v>397</v>
      </c>
      <c r="M443">
        <v>0</v>
      </c>
      <c r="N443">
        <v>0</v>
      </c>
      <c r="O443">
        <v>0</v>
      </c>
    </row>
    <row r="444" spans="1:15" x14ac:dyDescent="0.45">
      <c r="A444" t="s">
        <v>73</v>
      </c>
      <c r="B444">
        <v>12</v>
      </c>
      <c r="C444">
        <v>2143</v>
      </c>
      <c r="D444">
        <v>923</v>
      </c>
      <c r="E444">
        <v>0</v>
      </c>
      <c r="F444">
        <v>42</v>
      </c>
      <c r="G444">
        <v>127</v>
      </c>
      <c r="H444">
        <v>5</v>
      </c>
      <c r="I444">
        <v>601</v>
      </c>
      <c r="J444">
        <v>0</v>
      </c>
      <c r="K444">
        <v>72</v>
      </c>
      <c r="L444">
        <v>364</v>
      </c>
      <c r="M444">
        <v>0</v>
      </c>
      <c r="N444">
        <v>0</v>
      </c>
      <c r="O444">
        <v>0</v>
      </c>
    </row>
    <row r="445" spans="1:15" x14ac:dyDescent="0.45">
      <c r="A445" t="s">
        <v>45</v>
      </c>
      <c r="B445">
        <v>1</v>
      </c>
      <c r="C445">
        <v>1041</v>
      </c>
      <c r="D445">
        <v>664</v>
      </c>
      <c r="E445">
        <v>0</v>
      </c>
      <c r="F445">
        <v>9</v>
      </c>
      <c r="G445">
        <v>11</v>
      </c>
      <c r="H445">
        <v>0</v>
      </c>
      <c r="I445">
        <v>90</v>
      </c>
      <c r="J445">
        <v>11</v>
      </c>
      <c r="K445">
        <v>9</v>
      </c>
      <c r="L445">
        <v>20</v>
      </c>
      <c r="M445">
        <v>0</v>
      </c>
      <c r="N445">
        <v>0</v>
      </c>
      <c r="O445">
        <v>0</v>
      </c>
    </row>
    <row r="446" spans="1:15" x14ac:dyDescent="0.45">
      <c r="A446" t="s">
        <v>45</v>
      </c>
      <c r="B446">
        <v>2</v>
      </c>
      <c r="C446">
        <v>947</v>
      </c>
      <c r="D446">
        <v>666</v>
      </c>
      <c r="E446">
        <v>0</v>
      </c>
      <c r="F446">
        <v>10</v>
      </c>
      <c r="G446">
        <v>29</v>
      </c>
      <c r="H446">
        <v>1</v>
      </c>
      <c r="I446">
        <v>42</v>
      </c>
      <c r="J446">
        <v>13</v>
      </c>
      <c r="K446">
        <v>3</v>
      </c>
      <c r="L446">
        <v>24</v>
      </c>
      <c r="M446">
        <v>0</v>
      </c>
      <c r="N446">
        <v>0</v>
      </c>
      <c r="O446">
        <v>0</v>
      </c>
    </row>
    <row r="447" spans="1:15" x14ac:dyDescent="0.45">
      <c r="A447" t="s">
        <v>45</v>
      </c>
      <c r="B447">
        <v>3</v>
      </c>
      <c r="C447">
        <v>1671</v>
      </c>
      <c r="D447">
        <v>786</v>
      </c>
      <c r="E447">
        <v>2</v>
      </c>
      <c r="F447">
        <v>3</v>
      </c>
      <c r="G447">
        <v>39</v>
      </c>
      <c r="H447">
        <v>11</v>
      </c>
      <c r="I447">
        <v>104</v>
      </c>
      <c r="J447">
        <v>11</v>
      </c>
      <c r="K447">
        <v>0</v>
      </c>
      <c r="L447">
        <v>20</v>
      </c>
      <c r="M447">
        <v>0</v>
      </c>
      <c r="N447">
        <v>0</v>
      </c>
      <c r="O447">
        <v>0</v>
      </c>
    </row>
    <row r="448" spans="1:15" x14ac:dyDescent="0.45">
      <c r="A448" t="s">
        <v>45</v>
      </c>
      <c r="B448">
        <v>4</v>
      </c>
      <c r="C448">
        <v>2961</v>
      </c>
      <c r="D448">
        <v>723</v>
      </c>
      <c r="E448">
        <v>0</v>
      </c>
      <c r="F448">
        <v>0</v>
      </c>
      <c r="G448">
        <v>51</v>
      </c>
      <c r="H448">
        <v>29</v>
      </c>
      <c r="I448">
        <v>83</v>
      </c>
      <c r="J448">
        <v>24</v>
      </c>
      <c r="K448">
        <v>0</v>
      </c>
      <c r="L448">
        <v>23</v>
      </c>
      <c r="M448">
        <v>0</v>
      </c>
      <c r="N448">
        <v>0</v>
      </c>
      <c r="O448">
        <v>3</v>
      </c>
    </row>
    <row r="449" spans="1:16" x14ac:dyDescent="0.45">
      <c r="A449" t="s">
        <v>45</v>
      </c>
      <c r="B449">
        <v>5</v>
      </c>
      <c r="C449">
        <v>1691</v>
      </c>
      <c r="D449">
        <v>700</v>
      </c>
      <c r="E449">
        <v>0</v>
      </c>
      <c r="F449">
        <v>0</v>
      </c>
      <c r="G449">
        <v>37</v>
      </c>
      <c r="H449">
        <v>17</v>
      </c>
      <c r="I449">
        <v>118</v>
      </c>
      <c r="J449">
        <v>13</v>
      </c>
      <c r="K449">
        <v>6</v>
      </c>
      <c r="L449">
        <v>26</v>
      </c>
      <c r="M449">
        <v>0</v>
      </c>
      <c r="N449">
        <v>0</v>
      </c>
      <c r="O449">
        <v>0</v>
      </c>
      <c r="P449">
        <v>4</v>
      </c>
    </row>
    <row r="450" spans="1:16" x14ac:dyDescent="0.45">
      <c r="A450" t="s">
        <v>45</v>
      </c>
      <c r="B450">
        <v>6</v>
      </c>
      <c r="C450">
        <v>1617</v>
      </c>
      <c r="D450">
        <v>763</v>
      </c>
      <c r="E450">
        <v>0</v>
      </c>
      <c r="F450">
        <v>0</v>
      </c>
      <c r="G450">
        <v>45</v>
      </c>
      <c r="H450">
        <v>11</v>
      </c>
      <c r="I450">
        <v>81</v>
      </c>
      <c r="J450">
        <v>13</v>
      </c>
      <c r="K450">
        <v>2</v>
      </c>
      <c r="L450">
        <v>22</v>
      </c>
      <c r="M450">
        <v>0</v>
      </c>
      <c r="N450">
        <v>0</v>
      </c>
      <c r="O450">
        <v>0</v>
      </c>
      <c r="P450">
        <v>3</v>
      </c>
    </row>
    <row r="451" spans="1:16" x14ac:dyDescent="0.45">
      <c r="A451" t="s">
        <v>45</v>
      </c>
      <c r="B451">
        <v>7</v>
      </c>
      <c r="C451">
        <v>1556</v>
      </c>
      <c r="D451">
        <v>777</v>
      </c>
      <c r="E451">
        <v>0</v>
      </c>
      <c r="F451">
        <v>0</v>
      </c>
      <c r="G451">
        <v>21</v>
      </c>
      <c r="H451">
        <v>2</v>
      </c>
      <c r="I451">
        <v>140</v>
      </c>
      <c r="J451">
        <v>26</v>
      </c>
      <c r="K451">
        <v>6</v>
      </c>
      <c r="L451">
        <v>37</v>
      </c>
      <c r="M451">
        <v>0</v>
      </c>
      <c r="N451">
        <v>0</v>
      </c>
      <c r="O451">
        <v>0</v>
      </c>
      <c r="P451">
        <v>2</v>
      </c>
    </row>
    <row r="452" spans="1:16" x14ac:dyDescent="0.45">
      <c r="A452" t="s">
        <v>45</v>
      </c>
      <c r="B452">
        <v>8</v>
      </c>
      <c r="C452">
        <v>1008</v>
      </c>
      <c r="D452">
        <v>697</v>
      </c>
      <c r="E452">
        <v>0</v>
      </c>
      <c r="F452">
        <v>0</v>
      </c>
      <c r="G452">
        <v>16</v>
      </c>
      <c r="H452">
        <v>0</v>
      </c>
      <c r="I452">
        <v>129</v>
      </c>
      <c r="J452">
        <v>26</v>
      </c>
      <c r="K452">
        <v>3</v>
      </c>
      <c r="L452">
        <v>18</v>
      </c>
      <c r="M452">
        <v>0</v>
      </c>
      <c r="N452">
        <v>0</v>
      </c>
      <c r="O452">
        <v>0</v>
      </c>
    </row>
    <row r="453" spans="1:16" x14ac:dyDescent="0.45">
      <c r="A453" t="s">
        <v>45</v>
      </c>
      <c r="B453">
        <v>9</v>
      </c>
      <c r="C453">
        <v>1231</v>
      </c>
      <c r="D453">
        <v>808</v>
      </c>
      <c r="E453">
        <v>0</v>
      </c>
      <c r="F453">
        <v>0</v>
      </c>
      <c r="G453">
        <v>15</v>
      </c>
      <c r="H453">
        <v>0</v>
      </c>
      <c r="I453">
        <v>137</v>
      </c>
      <c r="J453">
        <v>20</v>
      </c>
      <c r="K453">
        <v>7</v>
      </c>
      <c r="L453">
        <v>20</v>
      </c>
      <c r="M453">
        <v>0</v>
      </c>
      <c r="N453">
        <v>0</v>
      </c>
      <c r="O453">
        <v>0</v>
      </c>
      <c r="P453">
        <v>0</v>
      </c>
    </row>
    <row r="454" spans="1:16" x14ac:dyDescent="0.45">
      <c r="A454" t="s">
        <v>45</v>
      </c>
      <c r="B454">
        <v>10</v>
      </c>
      <c r="C454">
        <v>1810</v>
      </c>
      <c r="D454">
        <v>947</v>
      </c>
      <c r="E454">
        <v>0</v>
      </c>
      <c r="F454">
        <v>0</v>
      </c>
      <c r="G454">
        <v>29</v>
      </c>
      <c r="H454">
        <v>0</v>
      </c>
      <c r="I454">
        <v>175</v>
      </c>
      <c r="J454">
        <v>44</v>
      </c>
      <c r="K454">
        <v>7</v>
      </c>
      <c r="L454">
        <v>21</v>
      </c>
      <c r="M454">
        <v>0</v>
      </c>
      <c r="N454">
        <v>0</v>
      </c>
      <c r="O454">
        <v>0</v>
      </c>
      <c r="P454">
        <v>1</v>
      </c>
    </row>
    <row r="455" spans="1:16" x14ac:dyDescent="0.45">
      <c r="A455" t="s">
        <v>45</v>
      </c>
      <c r="B455">
        <v>11</v>
      </c>
      <c r="C455">
        <v>1591</v>
      </c>
      <c r="D455">
        <v>782</v>
      </c>
      <c r="E455">
        <v>0</v>
      </c>
      <c r="F455">
        <v>8</v>
      </c>
      <c r="G455">
        <v>27</v>
      </c>
      <c r="H455">
        <v>3</v>
      </c>
      <c r="I455">
        <v>130</v>
      </c>
      <c r="J455">
        <v>14</v>
      </c>
      <c r="K455">
        <v>9</v>
      </c>
      <c r="L455">
        <v>19</v>
      </c>
      <c r="M455">
        <v>0</v>
      </c>
      <c r="N455">
        <v>0</v>
      </c>
      <c r="O455">
        <v>0</v>
      </c>
      <c r="P455">
        <v>2</v>
      </c>
    </row>
    <row r="456" spans="1:16" x14ac:dyDescent="0.45">
      <c r="A456" t="s">
        <v>45</v>
      </c>
      <c r="B456">
        <v>12</v>
      </c>
      <c r="C456">
        <v>1402</v>
      </c>
      <c r="D456">
        <v>879</v>
      </c>
      <c r="E456">
        <v>0</v>
      </c>
      <c r="F456">
        <v>1</v>
      </c>
      <c r="G456">
        <v>20</v>
      </c>
      <c r="H456">
        <v>1</v>
      </c>
      <c r="I456">
        <v>81</v>
      </c>
      <c r="J456">
        <v>13</v>
      </c>
      <c r="K456">
        <v>2</v>
      </c>
      <c r="L456">
        <v>23</v>
      </c>
      <c r="M456">
        <v>0</v>
      </c>
      <c r="N456">
        <v>0</v>
      </c>
      <c r="O456">
        <v>1</v>
      </c>
      <c r="P456">
        <v>1</v>
      </c>
    </row>
    <row r="457" spans="1:16" x14ac:dyDescent="0.45">
      <c r="A457" t="s">
        <v>47</v>
      </c>
      <c r="B457">
        <v>1</v>
      </c>
      <c r="C457">
        <v>1942</v>
      </c>
      <c r="D457">
        <v>1413</v>
      </c>
      <c r="E457">
        <v>0</v>
      </c>
      <c r="F457">
        <v>24</v>
      </c>
      <c r="G457">
        <v>44</v>
      </c>
      <c r="H457">
        <v>0</v>
      </c>
      <c r="I457">
        <v>259</v>
      </c>
      <c r="J457">
        <v>3</v>
      </c>
      <c r="K457">
        <v>22</v>
      </c>
      <c r="L457">
        <v>111</v>
      </c>
      <c r="M457">
        <v>0</v>
      </c>
      <c r="N457">
        <v>0</v>
      </c>
      <c r="O457">
        <v>1</v>
      </c>
      <c r="P457">
        <v>4</v>
      </c>
    </row>
    <row r="458" spans="1:16" x14ac:dyDescent="0.45">
      <c r="A458" t="s">
        <v>47</v>
      </c>
      <c r="B458">
        <v>2</v>
      </c>
      <c r="C458">
        <v>1729</v>
      </c>
      <c r="D458">
        <v>1434</v>
      </c>
      <c r="E458">
        <v>1</v>
      </c>
      <c r="F458">
        <v>18</v>
      </c>
      <c r="G458">
        <v>24</v>
      </c>
      <c r="H458">
        <v>3</v>
      </c>
      <c r="I458">
        <v>231</v>
      </c>
      <c r="J458">
        <v>4</v>
      </c>
      <c r="K458">
        <v>5</v>
      </c>
      <c r="L458">
        <v>103</v>
      </c>
      <c r="M458">
        <v>0</v>
      </c>
      <c r="N458">
        <v>0</v>
      </c>
      <c r="O458">
        <v>0</v>
      </c>
      <c r="P458">
        <v>7</v>
      </c>
    </row>
    <row r="459" spans="1:16" x14ac:dyDescent="0.45">
      <c r="A459" t="s">
        <v>47</v>
      </c>
      <c r="B459">
        <v>3</v>
      </c>
      <c r="C459">
        <v>3369</v>
      </c>
      <c r="D459">
        <v>1979</v>
      </c>
      <c r="E459">
        <v>1</v>
      </c>
      <c r="F459">
        <v>6</v>
      </c>
      <c r="G459">
        <v>114</v>
      </c>
      <c r="H459">
        <v>48</v>
      </c>
      <c r="I459">
        <v>465</v>
      </c>
      <c r="J459">
        <v>2</v>
      </c>
      <c r="K459">
        <v>13</v>
      </c>
      <c r="L459">
        <v>186</v>
      </c>
      <c r="M459">
        <v>0</v>
      </c>
      <c r="N459">
        <v>0</v>
      </c>
      <c r="O459">
        <v>1</v>
      </c>
      <c r="P459">
        <v>13</v>
      </c>
    </row>
    <row r="460" spans="1:16" x14ac:dyDescent="0.45">
      <c r="A460" t="s">
        <v>47</v>
      </c>
      <c r="B460">
        <v>4</v>
      </c>
      <c r="C460">
        <v>6286</v>
      </c>
      <c r="D460">
        <v>1793</v>
      </c>
      <c r="E460">
        <v>4</v>
      </c>
      <c r="F460">
        <v>1</v>
      </c>
      <c r="G460">
        <v>114</v>
      </c>
      <c r="H460">
        <v>129</v>
      </c>
      <c r="I460">
        <v>619</v>
      </c>
      <c r="J460">
        <v>2</v>
      </c>
      <c r="K460">
        <v>3</v>
      </c>
      <c r="L460">
        <v>115</v>
      </c>
      <c r="M460">
        <v>0</v>
      </c>
      <c r="N460">
        <v>0</v>
      </c>
      <c r="O460">
        <v>4</v>
      </c>
      <c r="P460">
        <v>14</v>
      </c>
    </row>
    <row r="461" spans="1:16" x14ac:dyDescent="0.45">
      <c r="A461" t="s">
        <v>47</v>
      </c>
      <c r="B461">
        <v>5</v>
      </c>
      <c r="C461">
        <v>4181</v>
      </c>
      <c r="D461">
        <v>1492</v>
      </c>
      <c r="E461">
        <v>0</v>
      </c>
      <c r="F461">
        <v>0</v>
      </c>
      <c r="G461">
        <v>65</v>
      </c>
      <c r="H461">
        <v>58</v>
      </c>
      <c r="I461">
        <v>368</v>
      </c>
      <c r="J461">
        <v>2</v>
      </c>
      <c r="K461">
        <v>6</v>
      </c>
      <c r="L461">
        <v>124</v>
      </c>
      <c r="M461">
        <v>0</v>
      </c>
      <c r="N461">
        <v>0</v>
      </c>
      <c r="O461">
        <v>3</v>
      </c>
      <c r="P461">
        <v>6</v>
      </c>
    </row>
    <row r="462" spans="1:16" x14ac:dyDescent="0.45">
      <c r="A462" t="s">
        <v>47</v>
      </c>
      <c r="B462">
        <v>6</v>
      </c>
      <c r="C462">
        <v>3661</v>
      </c>
      <c r="D462">
        <v>1824</v>
      </c>
      <c r="E462">
        <v>0</v>
      </c>
      <c r="F462">
        <v>0</v>
      </c>
      <c r="G462">
        <v>35</v>
      </c>
      <c r="H462">
        <v>12</v>
      </c>
      <c r="I462">
        <v>495</v>
      </c>
      <c r="J462">
        <v>1</v>
      </c>
      <c r="K462">
        <v>0</v>
      </c>
      <c r="L462">
        <v>153</v>
      </c>
      <c r="M462">
        <v>0</v>
      </c>
      <c r="N462">
        <v>2</v>
      </c>
      <c r="O462">
        <v>0</v>
      </c>
      <c r="P462">
        <v>19</v>
      </c>
    </row>
    <row r="463" spans="1:16" x14ac:dyDescent="0.45">
      <c r="A463" t="s">
        <v>47</v>
      </c>
      <c r="B463">
        <v>7</v>
      </c>
      <c r="C463">
        <v>2676</v>
      </c>
      <c r="D463">
        <v>1573</v>
      </c>
      <c r="E463">
        <v>0</v>
      </c>
      <c r="F463">
        <v>0</v>
      </c>
      <c r="G463">
        <v>16</v>
      </c>
      <c r="H463">
        <v>5</v>
      </c>
      <c r="I463">
        <v>570</v>
      </c>
      <c r="J463">
        <v>43</v>
      </c>
      <c r="K463">
        <v>0</v>
      </c>
      <c r="L463">
        <v>118</v>
      </c>
      <c r="M463">
        <v>0</v>
      </c>
      <c r="N463">
        <v>2</v>
      </c>
      <c r="O463">
        <v>0</v>
      </c>
      <c r="P463">
        <v>7</v>
      </c>
    </row>
    <row r="464" spans="1:16" x14ac:dyDescent="0.45">
      <c r="A464" t="s">
        <v>47</v>
      </c>
      <c r="B464">
        <v>8</v>
      </c>
      <c r="C464">
        <v>2234</v>
      </c>
      <c r="D464">
        <v>1481</v>
      </c>
      <c r="E464">
        <v>0</v>
      </c>
      <c r="F464">
        <v>0</v>
      </c>
      <c r="G464">
        <v>30</v>
      </c>
      <c r="H464">
        <v>7</v>
      </c>
      <c r="I464">
        <v>495</v>
      </c>
      <c r="J464">
        <v>18</v>
      </c>
      <c r="K464">
        <v>0</v>
      </c>
      <c r="L464">
        <v>136</v>
      </c>
      <c r="M464">
        <v>0</v>
      </c>
      <c r="N464">
        <v>0</v>
      </c>
      <c r="O464">
        <v>0</v>
      </c>
    </row>
    <row r="465" spans="1:15" x14ac:dyDescent="0.45">
      <c r="A465" t="s">
        <v>47</v>
      </c>
      <c r="B465">
        <v>9</v>
      </c>
      <c r="C465">
        <v>2149</v>
      </c>
      <c r="D465">
        <v>1827</v>
      </c>
      <c r="E465">
        <v>0</v>
      </c>
      <c r="F465">
        <v>0</v>
      </c>
      <c r="G465">
        <v>21</v>
      </c>
      <c r="H465">
        <v>0</v>
      </c>
      <c r="I465">
        <v>444</v>
      </c>
      <c r="J465">
        <v>15</v>
      </c>
      <c r="K465">
        <v>39</v>
      </c>
      <c r="L465">
        <v>155</v>
      </c>
      <c r="M465">
        <v>0</v>
      </c>
      <c r="N465">
        <v>0</v>
      </c>
      <c r="O465">
        <v>0</v>
      </c>
    </row>
    <row r="466" spans="1:15" x14ac:dyDescent="0.45">
      <c r="A466" t="s">
        <v>47</v>
      </c>
      <c r="B466">
        <v>10</v>
      </c>
      <c r="C466">
        <v>3096</v>
      </c>
      <c r="D466">
        <v>2154</v>
      </c>
      <c r="E466">
        <v>0</v>
      </c>
      <c r="F466">
        <v>6</v>
      </c>
      <c r="G466">
        <v>28</v>
      </c>
      <c r="H466">
        <v>4</v>
      </c>
      <c r="I466">
        <v>493</v>
      </c>
      <c r="J466">
        <v>13</v>
      </c>
      <c r="K466">
        <v>34</v>
      </c>
      <c r="L466">
        <v>240</v>
      </c>
      <c r="M466">
        <v>0</v>
      </c>
      <c r="N466">
        <v>1</v>
      </c>
      <c r="O466">
        <v>0</v>
      </c>
    </row>
    <row r="467" spans="1:15" x14ac:dyDescent="0.45">
      <c r="A467" t="s">
        <v>47</v>
      </c>
      <c r="B467">
        <v>11</v>
      </c>
      <c r="C467">
        <v>2927</v>
      </c>
      <c r="D467">
        <v>1887</v>
      </c>
      <c r="E467">
        <v>0</v>
      </c>
      <c r="F467">
        <v>15</v>
      </c>
      <c r="G467">
        <v>14</v>
      </c>
      <c r="H467">
        <v>0</v>
      </c>
      <c r="I467">
        <v>460</v>
      </c>
      <c r="J467">
        <v>15</v>
      </c>
      <c r="K467">
        <v>54</v>
      </c>
      <c r="L467">
        <v>163</v>
      </c>
      <c r="M467">
        <v>0</v>
      </c>
      <c r="N467">
        <v>0</v>
      </c>
      <c r="O467">
        <v>0</v>
      </c>
    </row>
    <row r="468" spans="1:15" x14ac:dyDescent="0.45">
      <c r="A468" t="s">
        <v>47</v>
      </c>
      <c r="B468">
        <v>12</v>
      </c>
      <c r="C468">
        <v>3085</v>
      </c>
      <c r="D468">
        <v>1909</v>
      </c>
      <c r="E468">
        <v>0</v>
      </c>
      <c r="F468">
        <v>31</v>
      </c>
      <c r="G468">
        <v>60</v>
      </c>
      <c r="H468">
        <v>0</v>
      </c>
      <c r="I468">
        <v>471</v>
      </c>
      <c r="J468">
        <v>3</v>
      </c>
      <c r="K468">
        <v>74</v>
      </c>
      <c r="L468">
        <v>159</v>
      </c>
      <c r="M468">
        <v>0</v>
      </c>
      <c r="N468">
        <v>0</v>
      </c>
      <c r="O468">
        <v>0</v>
      </c>
    </row>
    <row r="469" spans="1:15" x14ac:dyDescent="0.45">
      <c r="A469" t="s">
        <v>52</v>
      </c>
      <c r="B469">
        <v>1</v>
      </c>
      <c r="C469">
        <v>679</v>
      </c>
      <c r="D469">
        <v>330</v>
      </c>
      <c r="E469">
        <v>0</v>
      </c>
      <c r="F469">
        <v>18</v>
      </c>
      <c r="G469">
        <v>18</v>
      </c>
      <c r="H469">
        <v>0</v>
      </c>
      <c r="I469">
        <v>149</v>
      </c>
      <c r="J469">
        <v>0</v>
      </c>
      <c r="K469">
        <v>20</v>
      </c>
      <c r="L469">
        <v>52</v>
      </c>
      <c r="M469">
        <v>0</v>
      </c>
      <c r="N469">
        <v>0</v>
      </c>
      <c r="O469">
        <v>0</v>
      </c>
    </row>
    <row r="470" spans="1:15" x14ac:dyDescent="0.45">
      <c r="A470" t="s">
        <v>52</v>
      </c>
      <c r="B470">
        <v>2</v>
      </c>
      <c r="C470">
        <v>558</v>
      </c>
      <c r="D470">
        <v>297</v>
      </c>
      <c r="E470">
        <v>0</v>
      </c>
      <c r="F470">
        <v>14</v>
      </c>
      <c r="G470">
        <v>15</v>
      </c>
      <c r="H470">
        <v>6</v>
      </c>
      <c r="I470">
        <v>153</v>
      </c>
      <c r="J470">
        <v>0</v>
      </c>
      <c r="K470">
        <v>4</v>
      </c>
      <c r="L470">
        <v>46</v>
      </c>
      <c r="M470">
        <v>0</v>
      </c>
      <c r="N470">
        <v>0</v>
      </c>
      <c r="O470">
        <v>0</v>
      </c>
    </row>
    <row r="471" spans="1:15" x14ac:dyDescent="0.45">
      <c r="A471" t="s">
        <v>52</v>
      </c>
      <c r="B471">
        <v>3</v>
      </c>
      <c r="C471">
        <v>1485</v>
      </c>
      <c r="D471">
        <v>378</v>
      </c>
      <c r="E471">
        <v>2</v>
      </c>
      <c r="F471">
        <v>4</v>
      </c>
      <c r="G471">
        <v>94</v>
      </c>
      <c r="H471">
        <v>87</v>
      </c>
      <c r="I471">
        <v>253</v>
      </c>
      <c r="J471">
        <v>0</v>
      </c>
      <c r="K471">
        <v>25</v>
      </c>
      <c r="L471">
        <v>42</v>
      </c>
      <c r="M471">
        <v>0</v>
      </c>
      <c r="N471">
        <v>1</v>
      </c>
      <c r="O471">
        <v>0</v>
      </c>
    </row>
    <row r="472" spans="1:15" x14ac:dyDescent="0.45">
      <c r="A472" t="s">
        <v>52</v>
      </c>
      <c r="B472">
        <v>4</v>
      </c>
      <c r="C472">
        <v>2302</v>
      </c>
      <c r="D472">
        <v>333</v>
      </c>
      <c r="E472">
        <v>0</v>
      </c>
      <c r="F472">
        <v>4</v>
      </c>
      <c r="G472">
        <v>83</v>
      </c>
      <c r="H472">
        <v>177</v>
      </c>
      <c r="I472">
        <v>302</v>
      </c>
      <c r="J472">
        <v>0</v>
      </c>
      <c r="K472">
        <v>15</v>
      </c>
      <c r="L472">
        <v>45</v>
      </c>
      <c r="M472">
        <v>0</v>
      </c>
      <c r="N472">
        <v>5</v>
      </c>
      <c r="O472">
        <v>1</v>
      </c>
    </row>
    <row r="473" spans="1:15" x14ac:dyDescent="0.45">
      <c r="A473" t="s">
        <v>52</v>
      </c>
      <c r="B473">
        <v>5</v>
      </c>
      <c r="C473">
        <v>1391</v>
      </c>
      <c r="D473">
        <v>318</v>
      </c>
      <c r="E473">
        <v>0</v>
      </c>
      <c r="F473">
        <v>1</v>
      </c>
      <c r="G473">
        <v>30</v>
      </c>
      <c r="H473">
        <v>86</v>
      </c>
      <c r="I473">
        <v>256</v>
      </c>
      <c r="J473">
        <v>2</v>
      </c>
      <c r="K473">
        <v>0</v>
      </c>
      <c r="L473">
        <v>57</v>
      </c>
      <c r="M473">
        <v>0</v>
      </c>
      <c r="N473">
        <v>1</v>
      </c>
      <c r="O473">
        <v>0</v>
      </c>
    </row>
    <row r="474" spans="1:15" x14ac:dyDescent="0.45">
      <c r="A474" t="s">
        <v>52</v>
      </c>
      <c r="B474">
        <v>6</v>
      </c>
      <c r="C474">
        <v>1506</v>
      </c>
      <c r="D474">
        <v>358</v>
      </c>
      <c r="E474">
        <v>0</v>
      </c>
      <c r="F474">
        <v>0</v>
      </c>
      <c r="G474">
        <v>63</v>
      </c>
      <c r="H474">
        <v>48</v>
      </c>
      <c r="I474">
        <v>307</v>
      </c>
      <c r="J474">
        <v>0</v>
      </c>
      <c r="K474">
        <v>7</v>
      </c>
      <c r="L474">
        <v>59</v>
      </c>
      <c r="M474">
        <v>0</v>
      </c>
      <c r="N474">
        <v>3</v>
      </c>
      <c r="O474">
        <v>0</v>
      </c>
    </row>
    <row r="475" spans="1:15" x14ac:dyDescent="0.45">
      <c r="A475" t="s">
        <v>52</v>
      </c>
      <c r="B475">
        <v>7</v>
      </c>
      <c r="C475">
        <v>985</v>
      </c>
      <c r="D475">
        <v>352</v>
      </c>
      <c r="E475">
        <v>0</v>
      </c>
      <c r="F475">
        <v>0</v>
      </c>
      <c r="G475">
        <v>30</v>
      </c>
      <c r="H475">
        <v>23</v>
      </c>
      <c r="I475">
        <v>226</v>
      </c>
      <c r="J475">
        <v>4</v>
      </c>
      <c r="K475">
        <v>2</v>
      </c>
      <c r="L475">
        <v>47</v>
      </c>
      <c r="M475">
        <v>0</v>
      </c>
      <c r="N475">
        <v>4</v>
      </c>
      <c r="O475">
        <v>1</v>
      </c>
    </row>
    <row r="476" spans="1:15" x14ac:dyDescent="0.45">
      <c r="A476" t="s">
        <v>52</v>
      </c>
      <c r="B476">
        <v>8</v>
      </c>
      <c r="C476">
        <v>741</v>
      </c>
      <c r="D476">
        <v>367</v>
      </c>
      <c r="E476">
        <v>0</v>
      </c>
      <c r="F476">
        <v>0</v>
      </c>
      <c r="G476">
        <v>34</v>
      </c>
      <c r="H476">
        <v>3</v>
      </c>
      <c r="I476">
        <v>199</v>
      </c>
      <c r="J476">
        <v>0</v>
      </c>
      <c r="K476">
        <v>0</v>
      </c>
      <c r="L476">
        <v>59</v>
      </c>
      <c r="M476">
        <v>0</v>
      </c>
      <c r="N476">
        <v>0</v>
      </c>
      <c r="O476">
        <v>0</v>
      </c>
    </row>
    <row r="477" spans="1:15" x14ac:dyDescent="0.45">
      <c r="A477" t="s">
        <v>52</v>
      </c>
      <c r="B477">
        <v>9</v>
      </c>
      <c r="C477">
        <v>807</v>
      </c>
      <c r="D477">
        <v>357</v>
      </c>
      <c r="E477">
        <v>0</v>
      </c>
      <c r="F477">
        <v>0</v>
      </c>
      <c r="G477">
        <v>19</v>
      </c>
      <c r="H477">
        <v>1</v>
      </c>
      <c r="I477">
        <v>204</v>
      </c>
      <c r="J477">
        <v>1</v>
      </c>
      <c r="K477">
        <v>20</v>
      </c>
      <c r="L477">
        <v>36</v>
      </c>
      <c r="M477">
        <v>0</v>
      </c>
      <c r="N477">
        <v>0</v>
      </c>
      <c r="O477">
        <v>0</v>
      </c>
    </row>
    <row r="478" spans="1:15" x14ac:dyDescent="0.45">
      <c r="A478" t="s">
        <v>52</v>
      </c>
      <c r="B478">
        <v>10</v>
      </c>
      <c r="C478">
        <v>1324</v>
      </c>
      <c r="D478">
        <v>461</v>
      </c>
      <c r="E478">
        <v>0</v>
      </c>
      <c r="F478">
        <v>0</v>
      </c>
      <c r="G478">
        <v>29</v>
      </c>
      <c r="H478">
        <v>12</v>
      </c>
      <c r="I478">
        <v>310</v>
      </c>
      <c r="J478">
        <v>0</v>
      </c>
      <c r="K478">
        <v>36</v>
      </c>
      <c r="L478">
        <v>44</v>
      </c>
      <c r="M478">
        <v>0</v>
      </c>
      <c r="N478">
        <v>0</v>
      </c>
      <c r="O478">
        <v>0</v>
      </c>
    </row>
    <row r="479" spans="1:15" x14ac:dyDescent="0.45">
      <c r="A479" t="s">
        <v>52</v>
      </c>
      <c r="B479">
        <v>11</v>
      </c>
      <c r="C479">
        <v>869</v>
      </c>
      <c r="D479">
        <v>377</v>
      </c>
      <c r="E479">
        <v>0</v>
      </c>
      <c r="F479">
        <v>19</v>
      </c>
      <c r="G479">
        <v>12</v>
      </c>
      <c r="H479">
        <v>3</v>
      </c>
      <c r="I479">
        <v>170</v>
      </c>
      <c r="J479">
        <v>1</v>
      </c>
      <c r="K479">
        <v>32</v>
      </c>
      <c r="L479">
        <v>55</v>
      </c>
      <c r="M479">
        <v>0</v>
      </c>
      <c r="N479">
        <v>0</v>
      </c>
      <c r="O479">
        <v>0</v>
      </c>
    </row>
    <row r="480" spans="1:15" x14ac:dyDescent="0.45">
      <c r="A480" t="s">
        <v>52</v>
      </c>
      <c r="B480">
        <v>12</v>
      </c>
      <c r="C480">
        <v>1068</v>
      </c>
      <c r="D480">
        <v>368</v>
      </c>
      <c r="E480">
        <v>0</v>
      </c>
      <c r="F480">
        <v>17</v>
      </c>
      <c r="G480">
        <v>47</v>
      </c>
      <c r="H480">
        <v>1</v>
      </c>
      <c r="I480">
        <v>302</v>
      </c>
      <c r="J480">
        <v>0</v>
      </c>
      <c r="K480">
        <v>12</v>
      </c>
      <c r="L480">
        <v>43</v>
      </c>
      <c r="M480">
        <v>0</v>
      </c>
      <c r="N480">
        <v>0</v>
      </c>
      <c r="O480">
        <v>0</v>
      </c>
    </row>
    <row r="481" spans="1:15" x14ac:dyDescent="0.45">
      <c r="A481" t="s">
        <v>87</v>
      </c>
      <c r="B481">
        <v>6</v>
      </c>
      <c r="C481">
        <v>2435</v>
      </c>
      <c r="D481">
        <v>923</v>
      </c>
      <c r="E481">
        <v>0</v>
      </c>
      <c r="F481">
        <v>0</v>
      </c>
      <c r="G481">
        <v>77</v>
      </c>
      <c r="H481">
        <v>27</v>
      </c>
      <c r="I481">
        <v>317</v>
      </c>
      <c r="J481">
        <v>68</v>
      </c>
      <c r="K481">
        <v>0</v>
      </c>
      <c r="L481">
        <v>93</v>
      </c>
      <c r="M481">
        <v>0</v>
      </c>
      <c r="N481">
        <v>0</v>
      </c>
      <c r="O481">
        <v>1</v>
      </c>
    </row>
    <row r="482" spans="1:15" x14ac:dyDescent="0.45">
      <c r="A482" t="s">
        <v>87</v>
      </c>
      <c r="B482">
        <v>7</v>
      </c>
      <c r="C482">
        <v>1089</v>
      </c>
      <c r="D482">
        <v>773</v>
      </c>
      <c r="E482">
        <v>0</v>
      </c>
      <c r="F482">
        <v>0</v>
      </c>
      <c r="G482">
        <v>13</v>
      </c>
      <c r="H482">
        <v>2</v>
      </c>
      <c r="I482">
        <v>209</v>
      </c>
      <c r="J482">
        <v>34</v>
      </c>
      <c r="K482">
        <v>8</v>
      </c>
      <c r="L482">
        <v>68</v>
      </c>
      <c r="M482">
        <v>0</v>
      </c>
      <c r="N482">
        <v>0</v>
      </c>
      <c r="O482">
        <v>0</v>
      </c>
    </row>
    <row r="483" spans="1:15" x14ac:dyDescent="0.45">
      <c r="A483" t="s">
        <v>62</v>
      </c>
      <c r="B483">
        <v>1</v>
      </c>
      <c r="C483">
        <v>1980</v>
      </c>
      <c r="D483">
        <v>1221</v>
      </c>
      <c r="E483">
        <v>2</v>
      </c>
      <c r="F483">
        <v>10</v>
      </c>
      <c r="G483">
        <v>39</v>
      </c>
      <c r="H483">
        <v>6</v>
      </c>
      <c r="I483">
        <v>300</v>
      </c>
      <c r="J483">
        <v>8</v>
      </c>
      <c r="K483">
        <v>4</v>
      </c>
      <c r="L483">
        <v>53</v>
      </c>
      <c r="M483">
        <v>0</v>
      </c>
      <c r="N483">
        <v>0</v>
      </c>
      <c r="O483">
        <v>2</v>
      </c>
    </row>
    <row r="484" spans="1:15" x14ac:dyDescent="0.45">
      <c r="A484" t="s">
        <v>62</v>
      </c>
      <c r="B484">
        <v>2</v>
      </c>
      <c r="C484">
        <v>1637</v>
      </c>
      <c r="D484">
        <v>1215</v>
      </c>
      <c r="E484">
        <v>5</v>
      </c>
      <c r="F484">
        <v>11</v>
      </c>
      <c r="G484">
        <v>43</v>
      </c>
      <c r="H484">
        <v>2</v>
      </c>
      <c r="I484">
        <v>240</v>
      </c>
      <c r="J484">
        <v>4</v>
      </c>
      <c r="K484">
        <v>0</v>
      </c>
      <c r="L484">
        <v>75</v>
      </c>
      <c r="M484">
        <v>0</v>
      </c>
      <c r="N484">
        <v>0</v>
      </c>
      <c r="O484">
        <v>0</v>
      </c>
    </row>
    <row r="485" spans="1:15" x14ac:dyDescent="0.45">
      <c r="A485" t="s">
        <v>62</v>
      </c>
      <c r="B485">
        <v>3</v>
      </c>
      <c r="C485">
        <v>3615</v>
      </c>
      <c r="D485">
        <v>1578</v>
      </c>
      <c r="E485">
        <v>5</v>
      </c>
      <c r="F485">
        <v>3</v>
      </c>
      <c r="G485">
        <v>195</v>
      </c>
      <c r="H485">
        <v>77</v>
      </c>
      <c r="I485">
        <v>489</v>
      </c>
      <c r="J485">
        <v>17</v>
      </c>
      <c r="K485">
        <v>0</v>
      </c>
      <c r="L485">
        <v>79</v>
      </c>
      <c r="M485">
        <v>0</v>
      </c>
      <c r="N485">
        <v>1</v>
      </c>
      <c r="O485">
        <v>2</v>
      </c>
    </row>
    <row r="486" spans="1:15" x14ac:dyDescent="0.45">
      <c r="A486" t="s">
        <v>62</v>
      </c>
      <c r="B486">
        <v>4</v>
      </c>
      <c r="C486">
        <v>6225</v>
      </c>
      <c r="D486">
        <v>1596</v>
      </c>
      <c r="E486">
        <v>0</v>
      </c>
      <c r="F486">
        <v>1</v>
      </c>
      <c r="G486">
        <v>252</v>
      </c>
      <c r="H486">
        <v>184</v>
      </c>
      <c r="I486">
        <v>690</v>
      </c>
      <c r="J486">
        <v>8</v>
      </c>
      <c r="K486">
        <v>0</v>
      </c>
      <c r="L486">
        <v>77</v>
      </c>
      <c r="M486">
        <v>0</v>
      </c>
      <c r="N486">
        <v>1</v>
      </c>
      <c r="O486">
        <v>17</v>
      </c>
    </row>
    <row r="487" spans="1:15" x14ac:dyDescent="0.45">
      <c r="A487" t="s">
        <v>62</v>
      </c>
      <c r="B487">
        <v>5</v>
      </c>
      <c r="C487">
        <v>3926</v>
      </c>
      <c r="D487">
        <v>1311</v>
      </c>
      <c r="E487">
        <v>0</v>
      </c>
      <c r="F487">
        <v>1</v>
      </c>
      <c r="G487">
        <v>179</v>
      </c>
      <c r="H487">
        <v>62</v>
      </c>
      <c r="I487">
        <v>555</v>
      </c>
      <c r="J487">
        <v>21</v>
      </c>
      <c r="K487">
        <v>3</v>
      </c>
      <c r="L487">
        <v>43</v>
      </c>
      <c r="M487">
        <v>0</v>
      </c>
      <c r="N487">
        <v>2</v>
      </c>
      <c r="O487">
        <v>4</v>
      </c>
    </row>
    <row r="488" spans="1:15" x14ac:dyDescent="0.45">
      <c r="A488" t="s">
        <v>62</v>
      </c>
      <c r="B488">
        <v>6</v>
      </c>
      <c r="C488">
        <v>3455</v>
      </c>
      <c r="D488">
        <v>1645</v>
      </c>
      <c r="E488">
        <v>0</v>
      </c>
      <c r="F488">
        <v>0</v>
      </c>
      <c r="G488">
        <v>119</v>
      </c>
      <c r="H488">
        <v>16</v>
      </c>
      <c r="I488">
        <v>657</v>
      </c>
      <c r="J488">
        <v>16</v>
      </c>
      <c r="K488">
        <v>0</v>
      </c>
      <c r="L488">
        <v>68</v>
      </c>
      <c r="M488">
        <v>0</v>
      </c>
      <c r="N488">
        <v>0</v>
      </c>
      <c r="O488">
        <v>4</v>
      </c>
    </row>
    <row r="489" spans="1:15" x14ac:dyDescent="0.45">
      <c r="A489" t="s">
        <v>62</v>
      </c>
      <c r="B489">
        <v>7</v>
      </c>
      <c r="C489">
        <v>2365</v>
      </c>
      <c r="D489">
        <v>1319</v>
      </c>
      <c r="E489">
        <v>0</v>
      </c>
      <c r="F489">
        <v>0</v>
      </c>
      <c r="G489">
        <v>73</v>
      </c>
      <c r="H489">
        <v>8</v>
      </c>
      <c r="I489">
        <v>482</v>
      </c>
      <c r="J489">
        <v>98</v>
      </c>
      <c r="K489">
        <v>0</v>
      </c>
      <c r="L489">
        <v>77</v>
      </c>
      <c r="M489">
        <v>0</v>
      </c>
      <c r="N489">
        <v>0</v>
      </c>
      <c r="O489">
        <v>0</v>
      </c>
    </row>
    <row r="490" spans="1:15" x14ac:dyDescent="0.45">
      <c r="A490" t="s">
        <v>62</v>
      </c>
      <c r="B490">
        <v>8</v>
      </c>
      <c r="C490">
        <v>2008</v>
      </c>
      <c r="D490">
        <v>1096</v>
      </c>
      <c r="E490">
        <v>0</v>
      </c>
      <c r="F490">
        <v>2</v>
      </c>
      <c r="G490">
        <v>49</v>
      </c>
      <c r="H490">
        <v>9</v>
      </c>
      <c r="I490">
        <v>358</v>
      </c>
      <c r="J490">
        <v>163</v>
      </c>
      <c r="K490">
        <v>0</v>
      </c>
      <c r="L490">
        <v>50</v>
      </c>
      <c r="M490">
        <v>0</v>
      </c>
      <c r="N490">
        <v>1</v>
      </c>
      <c r="O490">
        <v>0</v>
      </c>
    </row>
    <row r="491" spans="1:15" x14ac:dyDescent="0.45">
      <c r="A491" t="s">
        <v>62</v>
      </c>
      <c r="B491">
        <v>9</v>
      </c>
      <c r="C491">
        <v>1939</v>
      </c>
      <c r="D491">
        <v>1450</v>
      </c>
      <c r="E491">
        <v>0</v>
      </c>
      <c r="F491">
        <v>0</v>
      </c>
      <c r="G491">
        <v>34</v>
      </c>
      <c r="H491">
        <v>9</v>
      </c>
      <c r="I491">
        <v>347</v>
      </c>
      <c r="J491">
        <v>97</v>
      </c>
      <c r="K491">
        <v>16</v>
      </c>
      <c r="L491">
        <v>84</v>
      </c>
      <c r="M491">
        <v>0</v>
      </c>
      <c r="N491">
        <v>0</v>
      </c>
      <c r="O491">
        <v>0</v>
      </c>
    </row>
    <row r="492" spans="1:15" x14ac:dyDescent="0.45">
      <c r="A492" t="s">
        <v>62</v>
      </c>
      <c r="B492">
        <v>10</v>
      </c>
      <c r="C492">
        <v>3063</v>
      </c>
      <c r="D492">
        <v>1719</v>
      </c>
      <c r="E492">
        <v>0</v>
      </c>
      <c r="F492">
        <v>8</v>
      </c>
      <c r="G492">
        <v>56</v>
      </c>
      <c r="H492">
        <v>9</v>
      </c>
      <c r="I492">
        <v>491</v>
      </c>
      <c r="J492">
        <v>64</v>
      </c>
      <c r="K492">
        <v>17</v>
      </c>
      <c r="L492">
        <v>81</v>
      </c>
      <c r="M492">
        <v>0</v>
      </c>
      <c r="N492">
        <v>0</v>
      </c>
      <c r="O492">
        <v>0</v>
      </c>
    </row>
    <row r="493" spans="1:15" x14ac:dyDescent="0.45">
      <c r="A493" t="s">
        <v>62</v>
      </c>
      <c r="B493">
        <v>11</v>
      </c>
      <c r="C493">
        <v>2922</v>
      </c>
      <c r="D493">
        <v>1641</v>
      </c>
      <c r="E493">
        <v>0</v>
      </c>
      <c r="F493">
        <v>4</v>
      </c>
      <c r="G493">
        <v>48</v>
      </c>
      <c r="H493">
        <v>14</v>
      </c>
      <c r="I493">
        <v>434</v>
      </c>
      <c r="J493">
        <v>33</v>
      </c>
      <c r="K493">
        <v>27</v>
      </c>
      <c r="L493">
        <v>86</v>
      </c>
      <c r="M493">
        <v>0</v>
      </c>
      <c r="N493">
        <v>0</v>
      </c>
      <c r="O493">
        <v>2</v>
      </c>
    </row>
    <row r="494" spans="1:15" x14ac:dyDescent="0.45">
      <c r="A494" t="s">
        <v>62</v>
      </c>
      <c r="B494">
        <v>12</v>
      </c>
      <c r="C494">
        <v>3080</v>
      </c>
      <c r="D494">
        <v>1644</v>
      </c>
      <c r="E494">
        <v>0</v>
      </c>
      <c r="F494">
        <v>11</v>
      </c>
      <c r="G494">
        <v>84</v>
      </c>
      <c r="H494">
        <v>4</v>
      </c>
      <c r="I494">
        <v>513</v>
      </c>
      <c r="J494">
        <v>24</v>
      </c>
      <c r="K494">
        <v>17</v>
      </c>
      <c r="L494">
        <v>81</v>
      </c>
      <c r="M494">
        <v>0</v>
      </c>
      <c r="N494">
        <v>0</v>
      </c>
      <c r="O494">
        <v>3</v>
      </c>
    </row>
    <row r="495" spans="1:15" x14ac:dyDescent="0.45">
      <c r="A495" t="s">
        <v>51</v>
      </c>
      <c r="B495">
        <v>1</v>
      </c>
      <c r="C495">
        <v>1705</v>
      </c>
      <c r="D495">
        <v>1089</v>
      </c>
      <c r="E495">
        <v>0</v>
      </c>
      <c r="F495">
        <v>2</v>
      </c>
      <c r="G495">
        <v>28</v>
      </c>
      <c r="H495">
        <v>0</v>
      </c>
      <c r="I495">
        <v>59</v>
      </c>
      <c r="J495">
        <v>18</v>
      </c>
      <c r="K495">
        <v>6</v>
      </c>
      <c r="L495">
        <v>43</v>
      </c>
      <c r="M495">
        <v>0</v>
      </c>
      <c r="N495">
        <v>0</v>
      </c>
      <c r="O495">
        <v>0</v>
      </c>
    </row>
    <row r="496" spans="1:15" x14ac:dyDescent="0.45">
      <c r="A496" t="s">
        <v>51</v>
      </c>
      <c r="B496">
        <v>2</v>
      </c>
      <c r="C496">
        <v>1445</v>
      </c>
      <c r="D496">
        <v>1220</v>
      </c>
      <c r="E496">
        <v>0</v>
      </c>
      <c r="F496">
        <v>8</v>
      </c>
      <c r="G496">
        <v>46</v>
      </c>
      <c r="H496">
        <v>8</v>
      </c>
      <c r="I496">
        <v>101</v>
      </c>
      <c r="J496">
        <v>23</v>
      </c>
      <c r="K496">
        <v>16</v>
      </c>
      <c r="L496">
        <v>47</v>
      </c>
      <c r="M496">
        <v>0</v>
      </c>
      <c r="N496">
        <v>0</v>
      </c>
      <c r="O496">
        <v>0</v>
      </c>
    </row>
    <row r="497" spans="1:16" x14ac:dyDescent="0.45">
      <c r="A497" t="s">
        <v>51</v>
      </c>
      <c r="B497">
        <v>3</v>
      </c>
      <c r="C497">
        <v>3122</v>
      </c>
      <c r="D497">
        <v>1436</v>
      </c>
      <c r="E497">
        <v>7</v>
      </c>
      <c r="F497">
        <v>3</v>
      </c>
      <c r="G497">
        <v>82</v>
      </c>
      <c r="H497">
        <v>28</v>
      </c>
      <c r="I497">
        <v>144</v>
      </c>
      <c r="J497">
        <v>26</v>
      </c>
      <c r="K497">
        <v>11</v>
      </c>
      <c r="L497">
        <v>32</v>
      </c>
      <c r="M497">
        <v>0</v>
      </c>
      <c r="N497">
        <v>0</v>
      </c>
      <c r="O497">
        <v>0</v>
      </c>
      <c r="P497">
        <v>7</v>
      </c>
    </row>
    <row r="498" spans="1:16" x14ac:dyDescent="0.45">
      <c r="A498" t="s">
        <v>51</v>
      </c>
      <c r="B498">
        <v>4</v>
      </c>
      <c r="C498">
        <v>5093</v>
      </c>
      <c r="D498">
        <v>1388</v>
      </c>
      <c r="E498">
        <v>0</v>
      </c>
      <c r="F498">
        <v>8</v>
      </c>
      <c r="G498">
        <v>128</v>
      </c>
      <c r="H498">
        <v>38</v>
      </c>
      <c r="I498">
        <v>211</v>
      </c>
      <c r="J498">
        <v>11</v>
      </c>
      <c r="K498">
        <v>0</v>
      </c>
      <c r="L498">
        <v>16</v>
      </c>
      <c r="M498">
        <v>0</v>
      </c>
      <c r="N498">
        <v>2</v>
      </c>
      <c r="O498">
        <v>1</v>
      </c>
      <c r="P498">
        <v>0</v>
      </c>
    </row>
    <row r="499" spans="1:16" x14ac:dyDescent="0.45">
      <c r="A499" t="s">
        <v>51</v>
      </c>
      <c r="B499">
        <v>5</v>
      </c>
      <c r="C499">
        <v>3456</v>
      </c>
      <c r="D499">
        <v>1175</v>
      </c>
      <c r="E499">
        <v>0</v>
      </c>
      <c r="F499">
        <v>3</v>
      </c>
      <c r="G499">
        <v>98</v>
      </c>
      <c r="H499">
        <v>45</v>
      </c>
      <c r="I499">
        <v>163</v>
      </c>
      <c r="J499">
        <v>20</v>
      </c>
      <c r="K499">
        <v>0</v>
      </c>
      <c r="L499">
        <v>18</v>
      </c>
      <c r="M499">
        <v>0</v>
      </c>
      <c r="N499">
        <v>0</v>
      </c>
      <c r="O499">
        <v>0</v>
      </c>
      <c r="P499">
        <v>13</v>
      </c>
    </row>
    <row r="500" spans="1:16" x14ac:dyDescent="0.45">
      <c r="A500" t="s">
        <v>51</v>
      </c>
      <c r="B500">
        <v>6</v>
      </c>
      <c r="C500">
        <v>2615</v>
      </c>
      <c r="D500">
        <v>1419</v>
      </c>
      <c r="E500">
        <v>0</v>
      </c>
      <c r="F500">
        <v>0</v>
      </c>
      <c r="G500">
        <v>83</v>
      </c>
      <c r="H500">
        <v>12</v>
      </c>
      <c r="I500">
        <v>197</v>
      </c>
      <c r="J500">
        <v>24</v>
      </c>
      <c r="K500">
        <v>0</v>
      </c>
      <c r="L500">
        <v>37</v>
      </c>
      <c r="M500">
        <v>0</v>
      </c>
      <c r="N500">
        <v>0</v>
      </c>
      <c r="O500">
        <v>0</v>
      </c>
      <c r="P500">
        <v>10</v>
      </c>
    </row>
    <row r="501" spans="1:16" x14ac:dyDescent="0.45">
      <c r="A501" t="s">
        <v>51</v>
      </c>
      <c r="B501">
        <v>7</v>
      </c>
      <c r="C501">
        <v>1868</v>
      </c>
      <c r="D501">
        <v>1282</v>
      </c>
      <c r="E501">
        <v>0</v>
      </c>
      <c r="F501">
        <v>0</v>
      </c>
      <c r="G501">
        <v>40</v>
      </c>
      <c r="H501">
        <v>20</v>
      </c>
      <c r="I501">
        <v>251</v>
      </c>
      <c r="J501">
        <v>50</v>
      </c>
      <c r="K501">
        <v>7</v>
      </c>
      <c r="L501">
        <v>41</v>
      </c>
      <c r="M501">
        <v>0</v>
      </c>
      <c r="N501">
        <v>0</v>
      </c>
      <c r="O501">
        <v>0</v>
      </c>
      <c r="P501">
        <v>6</v>
      </c>
    </row>
    <row r="502" spans="1:16" x14ac:dyDescent="0.45">
      <c r="A502" t="s">
        <v>51</v>
      </c>
      <c r="B502">
        <v>8</v>
      </c>
      <c r="C502">
        <v>1911</v>
      </c>
      <c r="D502">
        <v>1030</v>
      </c>
      <c r="E502">
        <v>0</v>
      </c>
      <c r="F502">
        <v>0</v>
      </c>
      <c r="G502">
        <v>46</v>
      </c>
      <c r="H502">
        <v>2</v>
      </c>
      <c r="I502">
        <v>175</v>
      </c>
      <c r="J502">
        <v>69</v>
      </c>
      <c r="K502">
        <v>0</v>
      </c>
      <c r="L502">
        <v>21</v>
      </c>
      <c r="M502">
        <v>0</v>
      </c>
      <c r="N502">
        <v>0</v>
      </c>
      <c r="O502">
        <v>0</v>
      </c>
    </row>
    <row r="503" spans="1:16" x14ac:dyDescent="0.45">
      <c r="A503" t="s">
        <v>51</v>
      </c>
      <c r="B503">
        <v>9</v>
      </c>
      <c r="C503">
        <v>1725</v>
      </c>
      <c r="D503">
        <v>1325</v>
      </c>
      <c r="E503">
        <v>0</v>
      </c>
      <c r="F503">
        <v>0</v>
      </c>
      <c r="G503">
        <v>28</v>
      </c>
      <c r="H503">
        <v>4</v>
      </c>
      <c r="I503">
        <v>184</v>
      </c>
      <c r="J503">
        <v>89</v>
      </c>
      <c r="K503">
        <v>11</v>
      </c>
      <c r="L503">
        <v>37</v>
      </c>
      <c r="M503">
        <v>0</v>
      </c>
      <c r="N503">
        <v>0</v>
      </c>
      <c r="O503">
        <v>0</v>
      </c>
      <c r="P503">
        <v>0</v>
      </c>
    </row>
    <row r="504" spans="1:16" x14ac:dyDescent="0.45">
      <c r="A504" t="s">
        <v>51</v>
      </c>
      <c r="B504">
        <v>10</v>
      </c>
      <c r="C504">
        <v>2310</v>
      </c>
      <c r="D504">
        <v>1614</v>
      </c>
      <c r="E504">
        <v>0</v>
      </c>
      <c r="F504">
        <v>0</v>
      </c>
      <c r="G504">
        <v>35</v>
      </c>
      <c r="H504">
        <v>2</v>
      </c>
      <c r="I504">
        <v>140</v>
      </c>
      <c r="J504">
        <v>37</v>
      </c>
      <c r="K504">
        <v>28</v>
      </c>
      <c r="L504">
        <v>18</v>
      </c>
      <c r="M504">
        <v>0</v>
      </c>
      <c r="N504">
        <v>0</v>
      </c>
      <c r="O504">
        <v>0</v>
      </c>
      <c r="P504">
        <v>1</v>
      </c>
    </row>
    <row r="505" spans="1:16" x14ac:dyDescent="0.45">
      <c r="A505" t="s">
        <v>51</v>
      </c>
      <c r="B505">
        <v>11</v>
      </c>
      <c r="C505">
        <v>2425</v>
      </c>
      <c r="D505">
        <v>1428</v>
      </c>
      <c r="E505">
        <v>0</v>
      </c>
      <c r="F505">
        <v>10</v>
      </c>
      <c r="G505">
        <v>37</v>
      </c>
      <c r="H505">
        <v>23</v>
      </c>
      <c r="I505">
        <v>187</v>
      </c>
      <c r="J505">
        <v>28</v>
      </c>
      <c r="K505">
        <v>39</v>
      </c>
      <c r="L505">
        <v>33</v>
      </c>
      <c r="M505">
        <v>0</v>
      </c>
      <c r="N505">
        <v>0</v>
      </c>
      <c r="O505">
        <v>0</v>
      </c>
      <c r="P505">
        <v>5</v>
      </c>
    </row>
    <row r="506" spans="1:16" x14ac:dyDescent="0.45">
      <c r="A506" t="s">
        <v>51</v>
      </c>
      <c r="B506">
        <v>12</v>
      </c>
      <c r="C506">
        <v>2498</v>
      </c>
      <c r="D506">
        <v>1522</v>
      </c>
      <c r="E506">
        <v>0</v>
      </c>
      <c r="F506">
        <v>7</v>
      </c>
      <c r="G506">
        <v>60</v>
      </c>
      <c r="H506">
        <v>5</v>
      </c>
      <c r="I506">
        <v>188</v>
      </c>
      <c r="J506">
        <v>17</v>
      </c>
      <c r="K506">
        <v>7</v>
      </c>
      <c r="L506">
        <v>6</v>
      </c>
      <c r="M506">
        <v>0</v>
      </c>
      <c r="N506">
        <v>0</v>
      </c>
      <c r="O506">
        <v>0</v>
      </c>
      <c r="P506">
        <v>18</v>
      </c>
    </row>
    <row r="507" spans="1:16" x14ac:dyDescent="0.45">
      <c r="A507" t="s">
        <v>78</v>
      </c>
      <c r="B507">
        <v>1</v>
      </c>
      <c r="C507">
        <v>1338</v>
      </c>
      <c r="D507">
        <v>378</v>
      </c>
      <c r="E507">
        <v>0</v>
      </c>
      <c r="F507">
        <v>63</v>
      </c>
      <c r="G507">
        <v>103</v>
      </c>
      <c r="H507">
        <v>33</v>
      </c>
      <c r="I507">
        <v>193</v>
      </c>
      <c r="J507">
        <v>25</v>
      </c>
      <c r="K507">
        <v>25</v>
      </c>
      <c r="L507">
        <v>53</v>
      </c>
      <c r="M507">
        <v>0</v>
      </c>
      <c r="N507">
        <v>1</v>
      </c>
      <c r="O507">
        <v>0</v>
      </c>
      <c r="P507">
        <v>3</v>
      </c>
    </row>
    <row r="508" spans="1:16" x14ac:dyDescent="0.45">
      <c r="A508" t="s">
        <v>78</v>
      </c>
      <c r="B508">
        <v>2</v>
      </c>
      <c r="C508">
        <v>972</v>
      </c>
      <c r="D508">
        <v>374</v>
      </c>
      <c r="E508">
        <v>2</v>
      </c>
      <c r="F508">
        <v>34</v>
      </c>
      <c r="G508">
        <v>53</v>
      </c>
      <c r="H508">
        <v>29</v>
      </c>
      <c r="I508">
        <v>141</v>
      </c>
      <c r="J508">
        <v>46</v>
      </c>
      <c r="K508">
        <v>11</v>
      </c>
      <c r="L508">
        <v>55</v>
      </c>
      <c r="M508">
        <v>0</v>
      </c>
      <c r="N508">
        <v>1</v>
      </c>
      <c r="O508">
        <v>1</v>
      </c>
      <c r="P508">
        <v>3</v>
      </c>
    </row>
    <row r="509" spans="1:16" x14ac:dyDescent="0.45">
      <c r="A509" t="s">
        <v>78</v>
      </c>
      <c r="B509">
        <v>3</v>
      </c>
      <c r="C509">
        <v>2166</v>
      </c>
      <c r="D509">
        <v>392</v>
      </c>
      <c r="E509">
        <v>14</v>
      </c>
      <c r="F509">
        <v>10</v>
      </c>
      <c r="G509">
        <v>277</v>
      </c>
      <c r="H509">
        <v>156</v>
      </c>
      <c r="I509">
        <v>363</v>
      </c>
      <c r="J509">
        <v>55</v>
      </c>
      <c r="K509">
        <v>18</v>
      </c>
      <c r="L509">
        <v>63</v>
      </c>
      <c r="M509">
        <v>0</v>
      </c>
      <c r="N509">
        <v>2</v>
      </c>
      <c r="O509">
        <v>0</v>
      </c>
      <c r="P509">
        <v>1</v>
      </c>
    </row>
    <row r="510" spans="1:16" x14ac:dyDescent="0.45">
      <c r="A510" t="s">
        <v>78</v>
      </c>
      <c r="B510">
        <v>4</v>
      </c>
      <c r="C510">
        <v>3626</v>
      </c>
      <c r="D510">
        <v>721</v>
      </c>
      <c r="E510">
        <v>15</v>
      </c>
      <c r="F510">
        <v>15</v>
      </c>
      <c r="G510">
        <v>137</v>
      </c>
      <c r="H510">
        <v>288</v>
      </c>
      <c r="I510">
        <v>549</v>
      </c>
      <c r="J510">
        <v>49</v>
      </c>
      <c r="K510">
        <v>28</v>
      </c>
      <c r="L510">
        <v>65</v>
      </c>
      <c r="M510">
        <v>0</v>
      </c>
      <c r="N510">
        <v>17</v>
      </c>
      <c r="O510">
        <v>4</v>
      </c>
      <c r="P510">
        <v>8</v>
      </c>
    </row>
    <row r="511" spans="1:16" x14ac:dyDescent="0.45">
      <c r="A511" t="s">
        <v>78</v>
      </c>
      <c r="B511">
        <v>5</v>
      </c>
      <c r="C511">
        <v>2382</v>
      </c>
      <c r="D511">
        <v>525</v>
      </c>
      <c r="E511">
        <v>0</v>
      </c>
      <c r="F511">
        <v>3</v>
      </c>
      <c r="G511">
        <v>131</v>
      </c>
      <c r="H511">
        <v>145</v>
      </c>
      <c r="I511">
        <v>465</v>
      </c>
      <c r="J511">
        <v>37</v>
      </c>
      <c r="K511">
        <v>5</v>
      </c>
      <c r="L511">
        <v>37</v>
      </c>
      <c r="M511">
        <v>0</v>
      </c>
      <c r="N511">
        <v>53</v>
      </c>
      <c r="O511">
        <v>1</v>
      </c>
      <c r="P511">
        <v>6</v>
      </c>
    </row>
    <row r="512" spans="1:16" x14ac:dyDescent="0.45">
      <c r="A512" t="s">
        <v>78</v>
      </c>
      <c r="B512">
        <v>6</v>
      </c>
      <c r="C512">
        <v>2209</v>
      </c>
      <c r="D512">
        <v>668</v>
      </c>
      <c r="E512">
        <v>0</v>
      </c>
      <c r="F512">
        <v>4</v>
      </c>
      <c r="G512">
        <v>143</v>
      </c>
      <c r="H512">
        <v>40</v>
      </c>
      <c r="I512">
        <v>486</v>
      </c>
      <c r="J512">
        <v>26</v>
      </c>
      <c r="K512">
        <v>10</v>
      </c>
      <c r="L512">
        <v>67</v>
      </c>
      <c r="M512">
        <v>0</v>
      </c>
      <c r="N512">
        <v>28</v>
      </c>
      <c r="O512">
        <v>0</v>
      </c>
      <c r="P512">
        <v>9</v>
      </c>
    </row>
    <row r="513" spans="1:16" x14ac:dyDescent="0.45">
      <c r="A513" t="s">
        <v>78</v>
      </c>
      <c r="B513">
        <v>7</v>
      </c>
      <c r="C513">
        <v>2152</v>
      </c>
      <c r="D513">
        <v>588</v>
      </c>
      <c r="E513">
        <v>0</v>
      </c>
      <c r="F513">
        <v>3</v>
      </c>
      <c r="G513">
        <v>81</v>
      </c>
      <c r="H513">
        <v>31</v>
      </c>
      <c r="I513">
        <v>553</v>
      </c>
      <c r="J513">
        <v>127</v>
      </c>
      <c r="K513">
        <v>18</v>
      </c>
      <c r="L513">
        <v>47</v>
      </c>
      <c r="M513">
        <v>0</v>
      </c>
      <c r="N513">
        <v>19</v>
      </c>
      <c r="O513">
        <v>0</v>
      </c>
      <c r="P513">
        <v>9</v>
      </c>
    </row>
    <row r="514" spans="1:16" x14ac:dyDescent="0.45">
      <c r="A514" t="s">
        <v>78</v>
      </c>
      <c r="B514">
        <v>8</v>
      </c>
      <c r="C514">
        <v>1344</v>
      </c>
      <c r="D514">
        <v>398</v>
      </c>
      <c r="E514">
        <v>0</v>
      </c>
      <c r="F514">
        <v>2</v>
      </c>
      <c r="G514">
        <v>34</v>
      </c>
      <c r="H514">
        <v>24</v>
      </c>
      <c r="I514">
        <v>262</v>
      </c>
      <c r="J514">
        <v>119</v>
      </c>
      <c r="K514">
        <v>20</v>
      </c>
      <c r="L514">
        <v>48</v>
      </c>
      <c r="M514">
        <v>0</v>
      </c>
      <c r="N514">
        <v>7</v>
      </c>
      <c r="O514">
        <v>0</v>
      </c>
      <c r="P514">
        <v>0</v>
      </c>
    </row>
    <row r="515" spans="1:16" x14ac:dyDescent="0.45">
      <c r="A515" t="s">
        <v>78</v>
      </c>
      <c r="B515">
        <v>9</v>
      </c>
      <c r="C515">
        <v>1480</v>
      </c>
      <c r="D515">
        <v>464</v>
      </c>
      <c r="E515">
        <v>0</v>
      </c>
      <c r="F515">
        <v>0</v>
      </c>
      <c r="G515">
        <v>41</v>
      </c>
      <c r="H515">
        <v>17</v>
      </c>
      <c r="I515">
        <v>270</v>
      </c>
      <c r="J515">
        <v>171</v>
      </c>
      <c r="K515">
        <v>45</v>
      </c>
      <c r="L515">
        <v>56</v>
      </c>
      <c r="M515">
        <v>0</v>
      </c>
      <c r="N515">
        <v>7</v>
      </c>
      <c r="O515">
        <v>0</v>
      </c>
      <c r="P515">
        <v>1</v>
      </c>
    </row>
    <row r="516" spans="1:16" x14ac:dyDescent="0.45">
      <c r="A516" t="s">
        <v>78</v>
      </c>
      <c r="B516">
        <v>10</v>
      </c>
      <c r="C516">
        <v>2089</v>
      </c>
      <c r="D516">
        <v>482</v>
      </c>
      <c r="E516">
        <v>0</v>
      </c>
      <c r="F516">
        <v>17</v>
      </c>
      <c r="G516">
        <v>46</v>
      </c>
      <c r="H516">
        <v>22</v>
      </c>
      <c r="I516">
        <v>293</v>
      </c>
      <c r="J516">
        <v>247</v>
      </c>
      <c r="K516">
        <v>118</v>
      </c>
      <c r="L516">
        <v>57</v>
      </c>
      <c r="M516">
        <v>0</v>
      </c>
      <c r="N516">
        <v>18</v>
      </c>
      <c r="O516">
        <v>0</v>
      </c>
    </row>
    <row r="517" spans="1:16" x14ac:dyDescent="0.45">
      <c r="A517" t="s">
        <v>78</v>
      </c>
      <c r="B517">
        <v>11</v>
      </c>
      <c r="C517">
        <v>1934</v>
      </c>
      <c r="D517">
        <v>432</v>
      </c>
      <c r="E517">
        <v>0</v>
      </c>
      <c r="F517">
        <v>55</v>
      </c>
      <c r="G517">
        <v>61</v>
      </c>
      <c r="H517">
        <v>36</v>
      </c>
      <c r="I517">
        <v>368</v>
      </c>
      <c r="J517">
        <v>120</v>
      </c>
      <c r="K517">
        <v>98</v>
      </c>
      <c r="L517">
        <v>48</v>
      </c>
      <c r="M517">
        <v>0</v>
      </c>
      <c r="N517">
        <v>7</v>
      </c>
      <c r="O517">
        <v>0</v>
      </c>
      <c r="P517">
        <v>12</v>
      </c>
    </row>
    <row r="518" spans="1:16" x14ac:dyDescent="0.45">
      <c r="A518" t="s">
        <v>78</v>
      </c>
      <c r="B518">
        <v>12</v>
      </c>
      <c r="C518">
        <v>2027</v>
      </c>
      <c r="D518">
        <v>453</v>
      </c>
      <c r="E518">
        <v>0</v>
      </c>
      <c r="F518">
        <v>54</v>
      </c>
      <c r="G518">
        <v>147</v>
      </c>
      <c r="H518">
        <v>38</v>
      </c>
      <c r="I518">
        <v>384</v>
      </c>
      <c r="J518">
        <v>70</v>
      </c>
      <c r="K518">
        <v>48</v>
      </c>
      <c r="L518">
        <v>60</v>
      </c>
      <c r="M518">
        <v>0</v>
      </c>
      <c r="N518">
        <v>7</v>
      </c>
      <c r="O518">
        <v>0</v>
      </c>
      <c r="P518">
        <v>12</v>
      </c>
    </row>
    <row r="519" spans="1:16" x14ac:dyDescent="0.45">
      <c r="A519" t="s">
        <v>38</v>
      </c>
      <c r="B519">
        <v>1</v>
      </c>
      <c r="C519">
        <v>1866</v>
      </c>
      <c r="D519">
        <v>784</v>
      </c>
      <c r="E519">
        <v>0</v>
      </c>
      <c r="F519">
        <v>15</v>
      </c>
      <c r="G519">
        <v>77</v>
      </c>
      <c r="H519">
        <v>5</v>
      </c>
      <c r="I519">
        <v>157</v>
      </c>
      <c r="J519">
        <v>16</v>
      </c>
      <c r="K519">
        <v>12</v>
      </c>
      <c r="L519">
        <v>22</v>
      </c>
      <c r="M519">
        <v>0</v>
      </c>
      <c r="N519">
        <v>0</v>
      </c>
      <c r="O519">
        <v>2</v>
      </c>
      <c r="P519">
        <v>5</v>
      </c>
    </row>
    <row r="520" spans="1:16" x14ac:dyDescent="0.45">
      <c r="A520" t="s">
        <v>38</v>
      </c>
      <c r="B520">
        <v>2</v>
      </c>
      <c r="C520">
        <v>1699</v>
      </c>
      <c r="D520">
        <v>790</v>
      </c>
      <c r="E520">
        <v>0</v>
      </c>
      <c r="F520">
        <v>5</v>
      </c>
      <c r="G520">
        <v>40</v>
      </c>
      <c r="H520">
        <v>0</v>
      </c>
      <c r="I520">
        <v>136</v>
      </c>
      <c r="J520">
        <v>11</v>
      </c>
      <c r="K520">
        <v>3</v>
      </c>
      <c r="L520">
        <v>34</v>
      </c>
      <c r="M520">
        <v>0</v>
      </c>
      <c r="N520">
        <v>0</v>
      </c>
      <c r="O520">
        <v>2</v>
      </c>
      <c r="P520">
        <v>1</v>
      </c>
    </row>
    <row r="521" spans="1:16" x14ac:dyDescent="0.45">
      <c r="A521" t="s">
        <v>38</v>
      </c>
      <c r="B521">
        <v>3</v>
      </c>
      <c r="C521">
        <v>3156</v>
      </c>
      <c r="D521">
        <v>1102</v>
      </c>
      <c r="E521">
        <v>0</v>
      </c>
      <c r="F521">
        <v>1</v>
      </c>
      <c r="G521">
        <v>203</v>
      </c>
      <c r="H521">
        <v>13</v>
      </c>
      <c r="I521">
        <v>187</v>
      </c>
      <c r="J521">
        <v>25</v>
      </c>
      <c r="K521">
        <v>5</v>
      </c>
      <c r="L521">
        <v>50</v>
      </c>
      <c r="M521">
        <v>0</v>
      </c>
      <c r="N521">
        <v>0</v>
      </c>
      <c r="O521">
        <v>2</v>
      </c>
      <c r="P521">
        <v>3</v>
      </c>
    </row>
    <row r="522" spans="1:16" x14ac:dyDescent="0.45">
      <c r="A522" t="s">
        <v>38</v>
      </c>
      <c r="B522">
        <v>4</v>
      </c>
      <c r="C522">
        <v>5117</v>
      </c>
      <c r="D522">
        <v>10368</v>
      </c>
      <c r="E522">
        <v>0</v>
      </c>
      <c r="F522">
        <v>0</v>
      </c>
      <c r="G522">
        <v>233</v>
      </c>
      <c r="H522">
        <v>42</v>
      </c>
      <c r="I522">
        <v>220</v>
      </c>
      <c r="J522">
        <v>16</v>
      </c>
      <c r="K522">
        <v>5</v>
      </c>
      <c r="L522">
        <v>48</v>
      </c>
      <c r="M522">
        <v>0</v>
      </c>
      <c r="N522">
        <v>0</v>
      </c>
      <c r="O522">
        <v>2</v>
      </c>
      <c r="P522">
        <v>4</v>
      </c>
    </row>
    <row r="523" spans="1:16" x14ac:dyDescent="0.45">
      <c r="A523" t="s">
        <v>38</v>
      </c>
      <c r="B523">
        <v>5</v>
      </c>
      <c r="C523">
        <v>3564</v>
      </c>
      <c r="D523">
        <v>941</v>
      </c>
      <c r="E523">
        <v>0</v>
      </c>
      <c r="F523">
        <v>0</v>
      </c>
      <c r="G523">
        <v>116</v>
      </c>
      <c r="H523">
        <v>34</v>
      </c>
      <c r="I523">
        <v>177</v>
      </c>
      <c r="J523">
        <v>7</v>
      </c>
      <c r="K523">
        <v>0</v>
      </c>
      <c r="L523">
        <v>42</v>
      </c>
      <c r="M523">
        <v>0</v>
      </c>
      <c r="N523">
        <v>0</v>
      </c>
      <c r="O523">
        <v>3</v>
      </c>
      <c r="P523">
        <v>6</v>
      </c>
    </row>
    <row r="524" spans="1:16" x14ac:dyDescent="0.45">
      <c r="A524" t="s">
        <v>38</v>
      </c>
      <c r="B524">
        <v>6</v>
      </c>
      <c r="C524">
        <v>3444</v>
      </c>
      <c r="D524">
        <v>1119</v>
      </c>
      <c r="E524">
        <v>0</v>
      </c>
      <c r="F524">
        <v>0</v>
      </c>
      <c r="G524">
        <v>98</v>
      </c>
      <c r="H524">
        <v>14</v>
      </c>
      <c r="I524">
        <v>218</v>
      </c>
      <c r="J524">
        <v>11</v>
      </c>
      <c r="K524">
        <v>0</v>
      </c>
      <c r="L524">
        <v>53</v>
      </c>
      <c r="M524">
        <v>0</v>
      </c>
      <c r="N524">
        <v>0</v>
      </c>
      <c r="O524">
        <v>1</v>
      </c>
      <c r="P524">
        <v>1</v>
      </c>
    </row>
    <row r="525" spans="1:16" x14ac:dyDescent="0.45">
      <c r="A525" t="s">
        <v>38</v>
      </c>
      <c r="B525">
        <v>7</v>
      </c>
      <c r="C525">
        <v>2987</v>
      </c>
      <c r="D525">
        <v>1123</v>
      </c>
      <c r="E525">
        <v>0</v>
      </c>
      <c r="F525">
        <v>1</v>
      </c>
      <c r="G525">
        <v>84</v>
      </c>
      <c r="H525">
        <v>11</v>
      </c>
      <c r="I525">
        <v>298</v>
      </c>
      <c r="J525">
        <v>60</v>
      </c>
      <c r="K525">
        <v>10</v>
      </c>
      <c r="L525">
        <v>48</v>
      </c>
      <c r="M525">
        <v>0</v>
      </c>
      <c r="N525">
        <v>0</v>
      </c>
      <c r="O525">
        <v>1</v>
      </c>
      <c r="P525">
        <v>6</v>
      </c>
    </row>
    <row r="526" spans="1:16" x14ac:dyDescent="0.45">
      <c r="A526" t="s">
        <v>38</v>
      </c>
      <c r="B526">
        <v>8</v>
      </c>
      <c r="C526">
        <v>2158</v>
      </c>
      <c r="D526">
        <v>896</v>
      </c>
      <c r="E526">
        <v>0</v>
      </c>
      <c r="F526">
        <v>0</v>
      </c>
      <c r="G526">
        <v>49</v>
      </c>
      <c r="H526">
        <v>0</v>
      </c>
      <c r="I526">
        <v>198</v>
      </c>
      <c r="J526">
        <v>25</v>
      </c>
      <c r="K526">
        <v>5</v>
      </c>
      <c r="L526">
        <v>14</v>
      </c>
      <c r="M526">
        <v>0</v>
      </c>
      <c r="N526">
        <v>0</v>
      </c>
      <c r="O526">
        <v>0</v>
      </c>
    </row>
    <row r="527" spans="1:16" x14ac:dyDescent="0.45">
      <c r="A527" t="s">
        <v>38</v>
      </c>
      <c r="B527">
        <v>9</v>
      </c>
      <c r="C527">
        <v>2258</v>
      </c>
      <c r="D527">
        <v>1101</v>
      </c>
      <c r="E527">
        <v>0</v>
      </c>
      <c r="F527">
        <v>0</v>
      </c>
      <c r="G527">
        <v>26</v>
      </c>
      <c r="H527">
        <v>0</v>
      </c>
      <c r="I527">
        <v>221</v>
      </c>
      <c r="J527">
        <v>38</v>
      </c>
      <c r="K527">
        <v>19</v>
      </c>
      <c r="L527">
        <v>27</v>
      </c>
      <c r="M527">
        <v>0</v>
      </c>
      <c r="N527">
        <v>0</v>
      </c>
      <c r="O527">
        <v>0</v>
      </c>
      <c r="P527">
        <v>7</v>
      </c>
    </row>
    <row r="528" spans="1:16" x14ac:dyDescent="0.45">
      <c r="A528" t="s">
        <v>38</v>
      </c>
      <c r="B528">
        <v>10</v>
      </c>
      <c r="C528">
        <v>3568</v>
      </c>
      <c r="D528">
        <v>1294</v>
      </c>
      <c r="E528">
        <v>0</v>
      </c>
      <c r="F528">
        <v>3</v>
      </c>
      <c r="G528">
        <v>65</v>
      </c>
      <c r="H528">
        <v>2</v>
      </c>
      <c r="I528">
        <v>375</v>
      </c>
      <c r="J528">
        <v>45</v>
      </c>
      <c r="K528">
        <v>30</v>
      </c>
      <c r="L528">
        <v>17</v>
      </c>
      <c r="M528">
        <v>0</v>
      </c>
      <c r="N528">
        <v>0</v>
      </c>
      <c r="O528">
        <v>2</v>
      </c>
      <c r="P528">
        <v>12</v>
      </c>
    </row>
    <row r="529" spans="1:15" x14ac:dyDescent="0.45">
      <c r="A529" t="s">
        <v>38</v>
      </c>
      <c r="B529">
        <v>11</v>
      </c>
      <c r="C529">
        <v>2783</v>
      </c>
      <c r="D529">
        <v>1057</v>
      </c>
      <c r="E529">
        <v>0</v>
      </c>
      <c r="F529">
        <v>3</v>
      </c>
      <c r="G529">
        <v>52</v>
      </c>
      <c r="H529">
        <v>7</v>
      </c>
      <c r="I529">
        <v>215</v>
      </c>
      <c r="J529">
        <v>28</v>
      </c>
      <c r="K529">
        <v>26</v>
      </c>
      <c r="L529">
        <v>15</v>
      </c>
      <c r="M529">
        <v>0</v>
      </c>
      <c r="N529">
        <v>0</v>
      </c>
      <c r="O529">
        <v>2</v>
      </c>
    </row>
    <row r="530" spans="1:15" x14ac:dyDescent="0.45">
      <c r="A530" t="s">
        <v>38</v>
      </c>
      <c r="B530">
        <v>12</v>
      </c>
      <c r="C530">
        <v>2819</v>
      </c>
      <c r="D530">
        <v>1064</v>
      </c>
      <c r="E530">
        <v>0</v>
      </c>
      <c r="F530">
        <v>3</v>
      </c>
      <c r="G530">
        <v>137</v>
      </c>
      <c r="H530">
        <v>0</v>
      </c>
      <c r="I530">
        <v>197</v>
      </c>
      <c r="J530">
        <v>21</v>
      </c>
      <c r="K530">
        <v>5</v>
      </c>
      <c r="L530">
        <v>45</v>
      </c>
      <c r="M530">
        <v>0</v>
      </c>
      <c r="N530">
        <v>0</v>
      </c>
      <c r="O530">
        <v>2</v>
      </c>
    </row>
    <row r="531" spans="1:15" x14ac:dyDescent="0.45">
      <c r="A531" t="s">
        <v>67</v>
      </c>
      <c r="B531">
        <v>1</v>
      </c>
      <c r="C531">
        <v>1578</v>
      </c>
      <c r="D531">
        <v>848</v>
      </c>
      <c r="E531">
        <v>0</v>
      </c>
      <c r="F531">
        <v>15</v>
      </c>
      <c r="G531">
        <v>19</v>
      </c>
      <c r="H531">
        <v>6</v>
      </c>
      <c r="I531">
        <v>275</v>
      </c>
      <c r="J531">
        <v>4</v>
      </c>
      <c r="K531">
        <v>14</v>
      </c>
      <c r="L531">
        <v>152</v>
      </c>
      <c r="M531">
        <v>0</v>
      </c>
      <c r="N531">
        <v>0</v>
      </c>
      <c r="O531">
        <v>1</v>
      </c>
    </row>
    <row r="532" spans="1:15" x14ac:dyDescent="0.45">
      <c r="A532" t="s">
        <v>67</v>
      </c>
      <c r="B532">
        <v>2</v>
      </c>
      <c r="C532">
        <v>1536</v>
      </c>
      <c r="D532">
        <v>965</v>
      </c>
      <c r="E532">
        <v>0</v>
      </c>
      <c r="F532">
        <v>5</v>
      </c>
      <c r="G532">
        <v>15</v>
      </c>
      <c r="H532">
        <v>31</v>
      </c>
      <c r="I532">
        <v>281</v>
      </c>
      <c r="J532">
        <v>4</v>
      </c>
      <c r="K532">
        <v>14</v>
      </c>
      <c r="L532">
        <v>202</v>
      </c>
      <c r="M532">
        <v>0</v>
      </c>
      <c r="N532">
        <v>0</v>
      </c>
      <c r="O532">
        <v>2</v>
      </c>
    </row>
    <row r="533" spans="1:15" x14ac:dyDescent="0.45">
      <c r="A533" t="s">
        <v>67</v>
      </c>
      <c r="B533">
        <v>3</v>
      </c>
      <c r="C533">
        <v>2643</v>
      </c>
      <c r="D533">
        <v>1065</v>
      </c>
      <c r="E533">
        <v>7</v>
      </c>
      <c r="F533">
        <v>0</v>
      </c>
      <c r="G533">
        <v>67</v>
      </c>
      <c r="H533">
        <v>73</v>
      </c>
      <c r="I533">
        <v>409</v>
      </c>
      <c r="J533">
        <v>7</v>
      </c>
      <c r="K533">
        <v>28</v>
      </c>
      <c r="L533">
        <v>174</v>
      </c>
      <c r="M533">
        <v>0</v>
      </c>
      <c r="N533">
        <v>0</v>
      </c>
      <c r="O533">
        <v>7</v>
      </c>
    </row>
    <row r="534" spans="1:15" x14ac:dyDescent="0.45">
      <c r="A534" t="s">
        <v>67</v>
      </c>
      <c r="B534">
        <v>4</v>
      </c>
      <c r="C534">
        <v>4372</v>
      </c>
      <c r="D534">
        <v>1123</v>
      </c>
      <c r="E534">
        <v>2</v>
      </c>
      <c r="F534">
        <v>0</v>
      </c>
      <c r="G534">
        <v>79</v>
      </c>
      <c r="H534">
        <v>184</v>
      </c>
      <c r="I534">
        <v>407</v>
      </c>
      <c r="J534">
        <v>14</v>
      </c>
      <c r="K534">
        <v>1</v>
      </c>
      <c r="L534">
        <v>155</v>
      </c>
      <c r="M534">
        <v>0</v>
      </c>
      <c r="N534">
        <v>0</v>
      </c>
      <c r="O534">
        <v>29</v>
      </c>
    </row>
    <row r="535" spans="1:15" x14ac:dyDescent="0.45">
      <c r="A535" t="s">
        <v>67</v>
      </c>
      <c r="B535">
        <v>5</v>
      </c>
      <c r="C535">
        <v>3025</v>
      </c>
      <c r="D535">
        <v>1093</v>
      </c>
      <c r="E535">
        <v>0</v>
      </c>
      <c r="F535">
        <v>0</v>
      </c>
      <c r="G535">
        <v>107</v>
      </c>
      <c r="H535">
        <v>173</v>
      </c>
      <c r="I535">
        <v>396</v>
      </c>
      <c r="J535">
        <v>28</v>
      </c>
      <c r="K535">
        <v>1</v>
      </c>
      <c r="L535">
        <v>159</v>
      </c>
      <c r="M535">
        <v>0</v>
      </c>
      <c r="N535">
        <v>0</v>
      </c>
      <c r="O535">
        <v>6</v>
      </c>
    </row>
    <row r="536" spans="1:15" x14ac:dyDescent="0.45">
      <c r="A536" t="s">
        <v>67</v>
      </c>
      <c r="B536">
        <v>6</v>
      </c>
      <c r="C536">
        <v>2556</v>
      </c>
      <c r="D536">
        <v>1060</v>
      </c>
      <c r="E536">
        <v>0</v>
      </c>
      <c r="F536">
        <v>0</v>
      </c>
      <c r="G536">
        <v>63</v>
      </c>
      <c r="H536">
        <v>29</v>
      </c>
      <c r="I536">
        <v>416</v>
      </c>
      <c r="J536">
        <v>11</v>
      </c>
      <c r="K536">
        <v>0</v>
      </c>
      <c r="L536">
        <v>161</v>
      </c>
      <c r="M536">
        <v>0</v>
      </c>
      <c r="N536">
        <v>0</v>
      </c>
      <c r="O536">
        <v>3</v>
      </c>
    </row>
    <row r="537" spans="1:15" x14ac:dyDescent="0.45">
      <c r="A537" t="s">
        <v>67</v>
      </c>
      <c r="B537">
        <v>7</v>
      </c>
      <c r="C537">
        <v>2089</v>
      </c>
      <c r="D537">
        <v>1068</v>
      </c>
      <c r="E537">
        <v>0</v>
      </c>
      <c r="F537">
        <v>0</v>
      </c>
      <c r="G537">
        <v>19</v>
      </c>
      <c r="H537">
        <v>14</v>
      </c>
      <c r="I537">
        <v>424</v>
      </c>
      <c r="J537">
        <v>50</v>
      </c>
      <c r="K537">
        <v>3</v>
      </c>
      <c r="L537">
        <v>171</v>
      </c>
      <c r="M537">
        <v>0</v>
      </c>
      <c r="N537">
        <v>0</v>
      </c>
      <c r="O537">
        <v>4</v>
      </c>
    </row>
    <row r="538" spans="1:15" x14ac:dyDescent="0.45">
      <c r="A538" t="s">
        <v>67</v>
      </c>
      <c r="B538">
        <v>8</v>
      </c>
      <c r="C538">
        <v>1585</v>
      </c>
      <c r="D538">
        <v>1007</v>
      </c>
      <c r="E538">
        <v>0</v>
      </c>
      <c r="F538">
        <v>4</v>
      </c>
      <c r="G538">
        <v>10</v>
      </c>
      <c r="H538">
        <v>2</v>
      </c>
      <c r="I538">
        <v>316</v>
      </c>
      <c r="J538">
        <v>2</v>
      </c>
      <c r="K538">
        <v>20</v>
      </c>
      <c r="L538">
        <v>148</v>
      </c>
      <c r="M538">
        <v>0</v>
      </c>
      <c r="N538">
        <v>0</v>
      </c>
      <c r="O538">
        <v>0</v>
      </c>
    </row>
    <row r="539" spans="1:15" x14ac:dyDescent="0.45">
      <c r="A539" t="s">
        <v>67</v>
      </c>
      <c r="B539">
        <v>9</v>
      </c>
      <c r="C539">
        <v>1618</v>
      </c>
      <c r="D539">
        <v>1021</v>
      </c>
      <c r="E539">
        <v>0</v>
      </c>
      <c r="F539">
        <v>0</v>
      </c>
      <c r="G539">
        <v>7</v>
      </c>
      <c r="H539">
        <v>9</v>
      </c>
      <c r="I539">
        <v>362</v>
      </c>
      <c r="J539">
        <v>12</v>
      </c>
      <c r="K539">
        <v>53</v>
      </c>
      <c r="L539">
        <v>168</v>
      </c>
      <c r="M539">
        <v>2</v>
      </c>
      <c r="N539">
        <v>1</v>
      </c>
      <c r="O539">
        <v>0</v>
      </c>
    </row>
    <row r="540" spans="1:15" x14ac:dyDescent="0.45">
      <c r="A540" t="s">
        <v>67</v>
      </c>
      <c r="B540">
        <v>10</v>
      </c>
      <c r="C540">
        <v>3364</v>
      </c>
      <c r="D540">
        <v>1322</v>
      </c>
      <c r="E540">
        <v>0</v>
      </c>
      <c r="F540">
        <v>1</v>
      </c>
      <c r="G540">
        <v>13</v>
      </c>
      <c r="H540">
        <v>4</v>
      </c>
      <c r="I540">
        <v>427</v>
      </c>
      <c r="J540">
        <v>8</v>
      </c>
      <c r="K540">
        <v>56</v>
      </c>
      <c r="L540">
        <v>239</v>
      </c>
      <c r="M540">
        <v>0</v>
      </c>
      <c r="N540">
        <v>0</v>
      </c>
      <c r="O540">
        <v>1</v>
      </c>
    </row>
    <row r="541" spans="1:15" x14ac:dyDescent="0.45">
      <c r="A541" t="s">
        <v>67</v>
      </c>
      <c r="B541">
        <v>11</v>
      </c>
      <c r="C541">
        <v>2279</v>
      </c>
      <c r="D541">
        <v>1116</v>
      </c>
      <c r="E541">
        <v>0</v>
      </c>
      <c r="F541">
        <v>28</v>
      </c>
      <c r="G541">
        <v>17</v>
      </c>
      <c r="H541">
        <v>4</v>
      </c>
      <c r="I541">
        <v>382</v>
      </c>
      <c r="J541">
        <v>9</v>
      </c>
      <c r="K541">
        <v>49</v>
      </c>
      <c r="L541">
        <v>229</v>
      </c>
      <c r="M541">
        <v>0</v>
      </c>
      <c r="N541">
        <v>0</v>
      </c>
      <c r="O541">
        <v>2</v>
      </c>
    </row>
    <row r="542" spans="1:15" x14ac:dyDescent="0.45">
      <c r="A542" t="s">
        <v>67</v>
      </c>
      <c r="B542">
        <v>12</v>
      </c>
      <c r="C542">
        <v>2227</v>
      </c>
      <c r="D542">
        <v>1146</v>
      </c>
      <c r="E542">
        <v>3</v>
      </c>
      <c r="F542">
        <v>18</v>
      </c>
      <c r="G542">
        <v>16</v>
      </c>
      <c r="H542">
        <v>8</v>
      </c>
      <c r="I542">
        <v>425</v>
      </c>
      <c r="J542">
        <v>10</v>
      </c>
      <c r="K542">
        <v>44</v>
      </c>
      <c r="L542">
        <v>186</v>
      </c>
      <c r="M542">
        <v>0</v>
      </c>
      <c r="N542">
        <v>0</v>
      </c>
      <c r="O542">
        <v>3</v>
      </c>
    </row>
    <row r="543" spans="1:15" x14ac:dyDescent="0.45">
      <c r="A543" t="s">
        <v>63</v>
      </c>
      <c r="B543">
        <v>1</v>
      </c>
      <c r="C543">
        <v>1782</v>
      </c>
      <c r="D543">
        <v>685</v>
      </c>
      <c r="E543">
        <v>0</v>
      </c>
      <c r="F543">
        <v>8</v>
      </c>
      <c r="G543">
        <v>56</v>
      </c>
      <c r="H543">
        <v>3</v>
      </c>
      <c r="I543">
        <v>247</v>
      </c>
      <c r="J543">
        <v>13</v>
      </c>
      <c r="K543">
        <v>4</v>
      </c>
      <c r="L543">
        <v>25</v>
      </c>
      <c r="M543">
        <v>0</v>
      </c>
      <c r="N543">
        <v>0</v>
      </c>
      <c r="O543">
        <v>0</v>
      </c>
    </row>
    <row r="544" spans="1:15" x14ac:dyDescent="0.45">
      <c r="A544" t="s">
        <v>63</v>
      </c>
      <c r="B544">
        <v>2</v>
      </c>
      <c r="C544">
        <v>1398</v>
      </c>
      <c r="D544">
        <v>718</v>
      </c>
      <c r="E544">
        <v>0</v>
      </c>
      <c r="F544">
        <v>3</v>
      </c>
      <c r="G544">
        <v>36</v>
      </c>
      <c r="H544">
        <v>6</v>
      </c>
      <c r="I544">
        <v>161</v>
      </c>
      <c r="J544">
        <v>14</v>
      </c>
      <c r="K544">
        <v>1</v>
      </c>
      <c r="L544">
        <v>257</v>
      </c>
      <c r="M544">
        <v>0</v>
      </c>
      <c r="N544">
        <v>0</v>
      </c>
      <c r="O544">
        <v>0</v>
      </c>
    </row>
    <row r="545" spans="1:15" x14ac:dyDescent="0.45">
      <c r="A545" t="s">
        <v>63</v>
      </c>
      <c r="B545">
        <v>3</v>
      </c>
      <c r="C545">
        <v>2647</v>
      </c>
      <c r="D545">
        <v>912</v>
      </c>
      <c r="E545">
        <v>2</v>
      </c>
      <c r="F545">
        <v>1</v>
      </c>
      <c r="G545">
        <v>203</v>
      </c>
      <c r="H545">
        <v>16</v>
      </c>
      <c r="I545">
        <v>263</v>
      </c>
      <c r="J545">
        <v>12</v>
      </c>
      <c r="K545">
        <v>0</v>
      </c>
      <c r="L545">
        <v>28</v>
      </c>
      <c r="M545">
        <v>0</v>
      </c>
      <c r="N545">
        <v>0</v>
      </c>
      <c r="O545">
        <v>0</v>
      </c>
    </row>
    <row r="546" spans="1:15" x14ac:dyDescent="0.45">
      <c r="A546" t="s">
        <v>63</v>
      </c>
      <c r="B546">
        <v>4</v>
      </c>
      <c r="C546">
        <v>3894</v>
      </c>
      <c r="D546">
        <v>873</v>
      </c>
      <c r="E546">
        <v>0</v>
      </c>
      <c r="F546">
        <v>1</v>
      </c>
      <c r="G546">
        <v>211</v>
      </c>
      <c r="H546">
        <v>44</v>
      </c>
      <c r="I546">
        <v>337</v>
      </c>
      <c r="J546">
        <v>6</v>
      </c>
      <c r="K546">
        <v>0</v>
      </c>
      <c r="L546">
        <v>14</v>
      </c>
      <c r="M546">
        <v>0</v>
      </c>
      <c r="N546">
        <v>0</v>
      </c>
      <c r="O546">
        <v>3</v>
      </c>
    </row>
    <row r="547" spans="1:15" x14ac:dyDescent="0.45">
      <c r="A547" t="s">
        <v>63</v>
      </c>
      <c r="B547">
        <v>5</v>
      </c>
      <c r="C547">
        <v>2659</v>
      </c>
      <c r="D547">
        <v>751</v>
      </c>
      <c r="E547">
        <v>0</v>
      </c>
      <c r="F547">
        <v>0</v>
      </c>
      <c r="G547">
        <v>148</v>
      </c>
      <c r="H547">
        <v>10</v>
      </c>
      <c r="I547">
        <v>306</v>
      </c>
      <c r="J547">
        <v>10</v>
      </c>
      <c r="K547">
        <v>0</v>
      </c>
      <c r="L547">
        <v>20</v>
      </c>
      <c r="M547">
        <v>0</v>
      </c>
      <c r="N547">
        <v>0</v>
      </c>
      <c r="O547">
        <v>0</v>
      </c>
    </row>
    <row r="548" spans="1:15" x14ac:dyDescent="0.45">
      <c r="A548" t="s">
        <v>63</v>
      </c>
      <c r="B548">
        <v>6</v>
      </c>
      <c r="C548">
        <v>2590</v>
      </c>
      <c r="D548">
        <v>818</v>
      </c>
      <c r="E548">
        <v>0</v>
      </c>
      <c r="F548">
        <v>0</v>
      </c>
      <c r="G548">
        <v>136</v>
      </c>
      <c r="H548">
        <v>22</v>
      </c>
      <c r="I548">
        <v>309</v>
      </c>
      <c r="J548">
        <v>15</v>
      </c>
      <c r="K548">
        <v>2</v>
      </c>
      <c r="L548">
        <v>22</v>
      </c>
      <c r="M548">
        <v>0</v>
      </c>
      <c r="N548">
        <v>0</v>
      </c>
      <c r="O548">
        <v>0</v>
      </c>
    </row>
    <row r="549" spans="1:15" x14ac:dyDescent="0.45">
      <c r="A549" t="s">
        <v>63</v>
      </c>
      <c r="B549">
        <v>7</v>
      </c>
      <c r="C549">
        <v>2566</v>
      </c>
      <c r="D549">
        <v>746</v>
      </c>
      <c r="E549">
        <v>0</v>
      </c>
      <c r="F549">
        <v>0</v>
      </c>
      <c r="G549">
        <v>141</v>
      </c>
      <c r="H549">
        <v>21</v>
      </c>
      <c r="I549">
        <v>316</v>
      </c>
      <c r="J549">
        <v>19</v>
      </c>
      <c r="K549">
        <v>2</v>
      </c>
      <c r="L549">
        <v>7</v>
      </c>
      <c r="M549">
        <v>0</v>
      </c>
      <c r="N549">
        <v>0</v>
      </c>
      <c r="O549">
        <v>2</v>
      </c>
    </row>
    <row r="550" spans="1:15" x14ac:dyDescent="0.45">
      <c r="A550" t="s">
        <v>63</v>
      </c>
      <c r="B550">
        <v>8</v>
      </c>
      <c r="C550">
        <v>1567</v>
      </c>
      <c r="D550">
        <v>608</v>
      </c>
      <c r="E550">
        <v>0</v>
      </c>
      <c r="F550">
        <v>0</v>
      </c>
      <c r="G550">
        <v>65</v>
      </c>
      <c r="H550">
        <v>2</v>
      </c>
      <c r="I550">
        <v>355</v>
      </c>
      <c r="J550">
        <v>13</v>
      </c>
      <c r="K550">
        <v>86</v>
      </c>
      <c r="L550">
        <v>10</v>
      </c>
      <c r="M550">
        <v>0</v>
      </c>
      <c r="N550">
        <v>0</v>
      </c>
      <c r="O550">
        <v>0</v>
      </c>
    </row>
    <row r="551" spans="1:15" x14ac:dyDescent="0.45">
      <c r="A551" t="s">
        <v>63</v>
      </c>
      <c r="B551">
        <v>9</v>
      </c>
      <c r="C551">
        <v>1500</v>
      </c>
      <c r="D551">
        <v>708</v>
      </c>
      <c r="E551">
        <v>0</v>
      </c>
      <c r="F551">
        <v>0</v>
      </c>
      <c r="G551">
        <v>38</v>
      </c>
      <c r="H551">
        <v>1</v>
      </c>
      <c r="I551">
        <v>295</v>
      </c>
      <c r="J551">
        <v>18</v>
      </c>
      <c r="K551">
        <v>30</v>
      </c>
      <c r="L551">
        <v>11</v>
      </c>
      <c r="M551">
        <v>0</v>
      </c>
      <c r="N551">
        <v>0</v>
      </c>
      <c r="O551">
        <v>0</v>
      </c>
    </row>
    <row r="552" spans="1:15" x14ac:dyDescent="0.45">
      <c r="A552" t="s">
        <v>63</v>
      </c>
      <c r="B552">
        <v>10</v>
      </c>
      <c r="C552">
        <v>2407</v>
      </c>
      <c r="D552">
        <v>1114</v>
      </c>
      <c r="E552">
        <v>0</v>
      </c>
      <c r="F552">
        <v>0</v>
      </c>
      <c r="G552">
        <v>69</v>
      </c>
      <c r="H552">
        <v>0</v>
      </c>
      <c r="I552">
        <v>389</v>
      </c>
      <c r="J552">
        <v>31</v>
      </c>
      <c r="K552">
        <v>50</v>
      </c>
      <c r="L552">
        <v>19</v>
      </c>
      <c r="M552">
        <v>0</v>
      </c>
      <c r="N552">
        <v>0</v>
      </c>
      <c r="O552">
        <v>1</v>
      </c>
    </row>
    <row r="553" spans="1:15" x14ac:dyDescent="0.45">
      <c r="A553" t="s">
        <v>63</v>
      </c>
      <c r="B553">
        <v>11</v>
      </c>
      <c r="C553">
        <v>2039</v>
      </c>
      <c r="D553">
        <v>958</v>
      </c>
      <c r="E553">
        <v>0</v>
      </c>
      <c r="F553">
        <v>10</v>
      </c>
      <c r="G553">
        <v>35</v>
      </c>
      <c r="H553">
        <v>1</v>
      </c>
      <c r="I553">
        <v>334</v>
      </c>
      <c r="J553">
        <v>9</v>
      </c>
      <c r="K553">
        <v>127</v>
      </c>
      <c r="L553">
        <v>32</v>
      </c>
      <c r="M553">
        <v>0</v>
      </c>
      <c r="N553">
        <v>0</v>
      </c>
      <c r="O553">
        <v>0</v>
      </c>
    </row>
    <row r="554" spans="1:15" x14ac:dyDescent="0.45">
      <c r="A554" t="s">
        <v>63</v>
      </c>
      <c r="B554">
        <v>12</v>
      </c>
      <c r="C554">
        <v>2121</v>
      </c>
      <c r="D554">
        <v>1008</v>
      </c>
      <c r="E554">
        <v>0</v>
      </c>
      <c r="F554">
        <v>10</v>
      </c>
      <c r="G554">
        <v>103</v>
      </c>
      <c r="H554">
        <v>9</v>
      </c>
      <c r="I554">
        <v>211</v>
      </c>
      <c r="J554">
        <v>8</v>
      </c>
      <c r="K554">
        <v>15</v>
      </c>
      <c r="L554">
        <v>24</v>
      </c>
      <c r="M554">
        <v>0</v>
      </c>
      <c r="N554">
        <v>0</v>
      </c>
      <c r="O554">
        <v>0</v>
      </c>
    </row>
    <row r="555" spans="1:15" x14ac:dyDescent="0.45">
      <c r="A555" t="s">
        <v>74</v>
      </c>
      <c r="B555">
        <v>1</v>
      </c>
      <c r="C555">
        <v>1065</v>
      </c>
      <c r="D555">
        <v>593</v>
      </c>
      <c r="E555">
        <v>0</v>
      </c>
      <c r="F555">
        <v>2</v>
      </c>
      <c r="G555">
        <v>12</v>
      </c>
      <c r="H555">
        <v>20</v>
      </c>
      <c r="I555">
        <v>54</v>
      </c>
      <c r="J555">
        <v>0</v>
      </c>
      <c r="K555">
        <v>17</v>
      </c>
      <c r="L555">
        <v>92</v>
      </c>
      <c r="M555">
        <v>0</v>
      </c>
      <c r="N555">
        <v>0</v>
      </c>
      <c r="O555">
        <v>0</v>
      </c>
    </row>
    <row r="556" spans="1:15" x14ac:dyDescent="0.45">
      <c r="A556" t="s">
        <v>74</v>
      </c>
      <c r="B556">
        <v>2</v>
      </c>
      <c r="C556">
        <v>827</v>
      </c>
      <c r="D556">
        <v>592</v>
      </c>
      <c r="E556">
        <v>0</v>
      </c>
      <c r="F556">
        <v>4</v>
      </c>
      <c r="G556">
        <v>14</v>
      </c>
      <c r="H556">
        <v>4</v>
      </c>
      <c r="I556">
        <v>63</v>
      </c>
      <c r="J556">
        <v>2</v>
      </c>
      <c r="K556">
        <v>19</v>
      </c>
      <c r="L556">
        <v>89</v>
      </c>
      <c r="M556">
        <v>0</v>
      </c>
      <c r="N556">
        <v>0</v>
      </c>
      <c r="O556">
        <v>0</v>
      </c>
    </row>
    <row r="557" spans="1:15" x14ac:dyDescent="0.45">
      <c r="A557" t="s">
        <v>74</v>
      </c>
      <c r="B557">
        <v>3</v>
      </c>
      <c r="C557">
        <v>1729</v>
      </c>
      <c r="D557">
        <v>27</v>
      </c>
      <c r="E557">
        <v>0</v>
      </c>
      <c r="F557">
        <v>0</v>
      </c>
      <c r="G557">
        <v>48</v>
      </c>
      <c r="H557">
        <v>55</v>
      </c>
      <c r="I557">
        <v>102</v>
      </c>
      <c r="J557">
        <v>3</v>
      </c>
      <c r="K557">
        <v>10</v>
      </c>
      <c r="L557">
        <v>134</v>
      </c>
      <c r="M557">
        <v>0</v>
      </c>
      <c r="N557">
        <v>0</v>
      </c>
      <c r="O557">
        <v>0</v>
      </c>
    </row>
    <row r="558" spans="1:15" x14ac:dyDescent="0.45">
      <c r="A558" t="s">
        <v>74</v>
      </c>
      <c r="B558">
        <v>4</v>
      </c>
      <c r="C558">
        <v>3166</v>
      </c>
      <c r="D558">
        <v>756</v>
      </c>
      <c r="E558">
        <v>0</v>
      </c>
      <c r="F558">
        <v>1</v>
      </c>
      <c r="G558">
        <v>38</v>
      </c>
      <c r="H558">
        <v>91</v>
      </c>
      <c r="I558">
        <v>137</v>
      </c>
      <c r="J558">
        <v>0</v>
      </c>
      <c r="K558">
        <v>2</v>
      </c>
      <c r="L558">
        <v>86</v>
      </c>
      <c r="M558">
        <v>0</v>
      </c>
      <c r="N558">
        <v>0</v>
      </c>
      <c r="O558">
        <v>7</v>
      </c>
    </row>
    <row r="559" spans="1:15" x14ac:dyDescent="0.45">
      <c r="A559" t="s">
        <v>74</v>
      </c>
      <c r="B559">
        <v>5</v>
      </c>
      <c r="C559">
        <v>2083</v>
      </c>
      <c r="D559">
        <v>669</v>
      </c>
      <c r="E559">
        <v>0</v>
      </c>
      <c r="F559">
        <v>0</v>
      </c>
      <c r="G559">
        <v>39</v>
      </c>
      <c r="H559">
        <v>95</v>
      </c>
      <c r="I559">
        <v>109</v>
      </c>
      <c r="J559">
        <v>2</v>
      </c>
      <c r="K559">
        <v>1</v>
      </c>
      <c r="L559">
        <v>109</v>
      </c>
      <c r="M559">
        <v>0</v>
      </c>
      <c r="N559">
        <v>5</v>
      </c>
      <c r="O559">
        <v>0</v>
      </c>
    </row>
    <row r="560" spans="1:15" x14ac:dyDescent="0.45">
      <c r="A560" t="s">
        <v>74</v>
      </c>
      <c r="B560">
        <v>6</v>
      </c>
      <c r="C560">
        <v>1941</v>
      </c>
      <c r="D560">
        <v>662</v>
      </c>
      <c r="E560">
        <v>0</v>
      </c>
      <c r="F560">
        <v>0</v>
      </c>
      <c r="G560">
        <v>29</v>
      </c>
      <c r="H560">
        <v>40</v>
      </c>
      <c r="I560">
        <v>192</v>
      </c>
      <c r="J560">
        <v>1</v>
      </c>
      <c r="K560">
        <v>3</v>
      </c>
      <c r="L560">
        <v>102</v>
      </c>
      <c r="M560">
        <v>0</v>
      </c>
      <c r="N560">
        <v>10</v>
      </c>
      <c r="O560">
        <v>0</v>
      </c>
    </row>
    <row r="561" spans="1:16" x14ac:dyDescent="0.45">
      <c r="A561" t="s">
        <v>74</v>
      </c>
      <c r="B561">
        <v>7</v>
      </c>
      <c r="C561">
        <v>1269</v>
      </c>
      <c r="D561">
        <v>602</v>
      </c>
      <c r="E561">
        <v>0</v>
      </c>
      <c r="F561">
        <v>0</v>
      </c>
      <c r="G561">
        <v>12</v>
      </c>
      <c r="H561">
        <v>11</v>
      </c>
      <c r="I561">
        <v>232</v>
      </c>
      <c r="J561">
        <v>3</v>
      </c>
      <c r="K561">
        <v>3</v>
      </c>
      <c r="L561">
        <v>88</v>
      </c>
      <c r="M561">
        <v>1</v>
      </c>
      <c r="N561">
        <v>0</v>
      </c>
      <c r="O561">
        <v>1</v>
      </c>
      <c r="P561">
        <v>1</v>
      </c>
    </row>
    <row r="562" spans="1:16" x14ac:dyDescent="0.45">
      <c r="A562" t="s">
        <v>74</v>
      </c>
      <c r="B562">
        <v>8</v>
      </c>
      <c r="C562">
        <v>1157</v>
      </c>
      <c r="D562">
        <v>586</v>
      </c>
      <c r="E562">
        <v>0</v>
      </c>
      <c r="F562">
        <v>0</v>
      </c>
      <c r="G562">
        <v>13</v>
      </c>
      <c r="H562">
        <v>2</v>
      </c>
      <c r="I562">
        <v>150</v>
      </c>
      <c r="J562">
        <v>16</v>
      </c>
      <c r="K562">
        <v>0</v>
      </c>
      <c r="L562">
        <v>99</v>
      </c>
      <c r="M562">
        <v>0</v>
      </c>
      <c r="N562">
        <v>0</v>
      </c>
      <c r="O562">
        <v>0</v>
      </c>
      <c r="P562">
        <v>1</v>
      </c>
    </row>
    <row r="563" spans="1:16" x14ac:dyDescent="0.45">
      <c r="A563" t="s">
        <v>74</v>
      </c>
      <c r="B563">
        <v>9</v>
      </c>
      <c r="C563">
        <v>1086</v>
      </c>
      <c r="D563">
        <v>820</v>
      </c>
      <c r="E563">
        <v>0</v>
      </c>
      <c r="F563">
        <v>1</v>
      </c>
      <c r="G563">
        <v>3</v>
      </c>
      <c r="H563">
        <v>0</v>
      </c>
      <c r="I563">
        <v>100</v>
      </c>
      <c r="J563">
        <v>8</v>
      </c>
      <c r="K563">
        <v>24</v>
      </c>
      <c r="L563">
        <v>116</v>
      </c>
      <c r="M563">
        <v>0</v>
      </c>
      <c r="N563">
        <v>0</v>
      </c>
      <c r="O563">
        <v>0</v>
      </c>
      <c r="P563">
        <v>2</v>
      </c>
    </row>
    <row r="564" spans="1:16" x14ac:dyDescent="0.45">
      <c r="A564" t="s">
        <v>74</v>
      </c>
      <c r="B564">
        <v>10</v>
      </c>
      <c r="C564">
        <v>1768</v>
      </c>
      <c r="D564">
        <v>901</v>
      </c>
      <c r="E564">
        <v>0</v>
      </c>
      <c r="F564">
        <v>7</v>
      </c>
      <c r="G564">
        <v>13</v>
      </c>
      <c r="H564">
        <v>7</v>
      </c>
      <c r="I564">
        <v>180</v>
      </c>
      <c r="J564">
        <v>18</v>
      </c>
      <c r="K564">
        <v>43</v>
      </c>
      <c r="L564">
        <v>147</v>
      </c>
      <c r="M564">
        <v>1</v>
      </c>
      <c r="N564">
        <v>0</v>
      </c>
      <c r="O564">
        <v>0</v>
      </c>
    </row>
    <row r="565" spans="1:16" x14ac:dyDescent="0.45">
      <c r="A565" t="s">
        <v>74</v>
      </c>
      <c r="B565">
        <v>11</v>
      </c>
      <c r="C565">
        <v>1521</v>
      </c>
      <c r="D565">
        <v>756</v>
      </c>
      <c r="E565">
        <v>0</v>
      </c>
      <c r="F565">
        <v>4</v>
      </c>
      <c r="G565">
        <v>14</v>
      </c>
      <c r="H565">
        <v>43</v>
      </c>
      <c r="I565">
        <v>150</v>
      </c>
      <c r="J565">
        <v>4</v>
      </c>
      <c r="K565">
        <v>31</v>
      </c>
      <c r="L565">
        <v>117</v>
      </c>
      <c r="M565">
        <v>0</v>
      </c>
      <c r="N565">
        <v>0</v>
      </c>
      <c r="O565">
        <v>0</v>
      </c>
      <c r="P565">
        <v>0</v>
      </c>
    </row>
    <row r="566" spans="1:16" x14ac:dyDescent="0.45">
      <c r="A566" t="s">
        <v>74</v>
      </c>
      <c r="B566">
        <v>12</v>
      </c>
      <c r="C566">
        <v>1507</v>
      </c>
      <c r="D566">
        <v>791</v>
      </c>
      <c r="E566">
        <v>0</v>
      </c>
      <c r="F566">
        <v>9</v>
      </c>
      <c r="G566">
        <v>12</v>
      </c>
      <c r="H566">
        <v>7</v>
      </c>
      <c r="I566">
        <v>93</v>
      </c>
      <c r="J566">
        <v>1</v>
      </c>
      <c r="K566">
        <v>12</v>
      </c>
      <c r="L566">
        <v>111</v>
      </c>
      <c r="M566">
        <v>0</v>
      </c>
      <c r="N566">
        <v>0</v>
      </c>
      <c r="O566">
        <v>0</v>
      </c>
      <c r="P566">
        <v>0</v>
      </c>
    </row>
    <row r="567" spans="1:16" x14ac:dyDescent="0.45">
      <c r="A567" t="s">
        <v>42</v>
      </c>
      <c r="B567">
        <v>1</v>
      </c>
      <c r="C567">
        <v>833</v>
      </c>
      <c r="D567">
        <v>643</v>
      </c>
      <c r="E567">
        <v>0</v>
      </c>
      <c r="F567">
        <v>7</v>
      </c>
      <c r="G567">
        <v>8</v>
      </c>
      <c r="H567">
        <v>1</v>
      </c>
      <c r="I567">
        <v>71</v>
      </c>
      <c r="J567">
        <v>23</v>
      </c>
      <c r="K567">
        <v>1</v>
      </c>
      <c r="L567">
        <v>74</v>
      </c>
      <c r="M567">
        <v>0</v>
      </c>
      <c r="N567">
        <v>0</v>
      </c>
      <c r="O567">
        <v>0</v>
      </c>
      <c r="P567">
        <v>1</v>
      </c>
    </row>
    <row r="568" spans="1:16" x14ac:dyDescent="0.45">
      <c r="A568" t="s">
        <v>42</v>
      </c>
      <c r="B568">
        <v>2</v>
      </c>
      <c r="C568">
        <v>728</v>
      </c>
      <c r="D568">
        <v>659</v>
      </c>
      <c r="E568">
        <v>0</v>
      </c>
      <c r="F568">
        <v>8</v>
      </c>
      <c r="G568">
        <v>7</v>
      </c>
      <c r="H568">
        <v>6</v>
      </c>
      <c r="I568">
        <v>109</v>
      </c>
      <c r="J568">
        <v>21</v>
      </c>
      <c r="K568">
        <v>0</v>
      </c>
      <c r="L568">
        <v>87</v>
      </c>
      <c r="M568">
        <v>0</v>
      </c>
      <c r="N568">
        <v>0</v>
      </c>
      <c r="O568">
        <v>0</v>
      </c>
      <c r="P568">
        <v>2</v>
      </c>
    </row>
    <row r="569" spans="1:16" x14ac:dyDescent="0.45">
      <c r="A569" t="s">
        <v>42</v>
      </c>
      <c r="B569">
        <v>3</v>
      </c>
      <c r="C569">
        <v>1437</v>
      </c>
      <c r="D569">
        <v>868</v>
      </c>
      <c r="E569">
        <v>17</v>
      </c>
      <c r="F569">
        <v>6</v>
      </c>
      <c r="G569">
        <v>59</v>
      </c>
      <c r="H569">
        <v>39</v>
      </c>
      <c r="I569">
        <v>165</v>
      </c>
      <c r="J569">
        <v>18</v>
      </c>
      <c r="K569">
        <v>0</v>
      </c>
      <c r="L569">
        <v>112</v>
      </c>
      <c r="M569">
        <v>0</v>
      </c>
      <c r="N569">
        <v>0</v>
      </c>
      <c r="O569">
        <v>0</v>
      </c>
      <c r="P569">
        <v>2</v>
      </c>
    </row>
    <row r="570" spans="1:16" x14ac:dyDescent="0.45">
      <c r="A570" t="s">
        <v>42</v>
      </c>
      <c r="B570">
        <v>4</v>
      </c>
      <c r="C570">
        <v>2435</v>
      </c>
      <c r="D570">
        <v>827</v>
      </c>
      <c r="E570">
        <v>0</v>
      </c>
      <c r="F570">
        <v>0</v>
      </c>
      <c r="G570">
        <v>106</v>
      </c>
      <c r="H570">
        <v>67</v>
      </c>
      <c r="I570">
        <v>199</v>
      </c>
      <c r="J570">
        <v>28</v>
      </c>
      <c r="K570">
        <v>5</v>
      </c>
      <c r="L570">
        <v>131</v>
      </c>
      <c r="M570">
        <v>0</v>
      </c>
      <c r="N570">
        <v>0</v>
      </c>
      <c r="O570">
        <v>5</v>
      </c>
      <c r="P570">
        <v>4</v>
      </c>
    </row>
    <row r="571" spans="1:16" x14ac:dyDescent="0.45">
      <c r="A571" t="s">
        <v>42</v>
      </c>
      <c r="B571">
        <v>5</v>
      </c>
      <c r="C571">
        <v>1528</v>
      </c>
      <c r="D571">
        <v>721</v>
      </c>
      <c r="E571">
        <v>0</v>
      </c>
      <c r="F571">
        <v>3</v>
      </c>
      <c r="G571">
        <v>28</v>
      </c>
      <c r="H571">
        <v>13</v>
      </c>
      <c r="I571">
        <v>180</v>
      </c>
      <c r="J571">
        <v>25</v>
      </c>
      <c r="K571">
        <v>0</v>
      </c>
      <c r="L571">
        <v>69</v>
      </c>
      <c r="M571">
        <v>0</v>
      </c>
      <c r="N571">
        <v>0</v>
      </c>
      <c r="O571">
        <v>1</v>
      </c>
      <c r="P571">
        <v>3</v>
      </c>
    </row>
    <row r="572" spans="1:16" x14ac:dyDescent="0.45">
      <c r="A572" t="s">
        <v>42</v>
      </c>
      <c r="B572">
        <v>8</v>
      </c>
      <c r="C572">
        <v>847</v>
      </c>
      <c r="D572">
        <v>643</v>
      </c>
      <c r="E572">
        <v>0</v>
      </c>
      <c r="F572">
        <v>0</v>
      </c>
      <c r="G572">
        <v>16</v>
      </c>
      <c r="H572">
        <v>0</v>
      </c>
      <c r="I572">
        <v>130</v>
      </c>
      <c r="J572">
        <v>20</v>
      </c>
      <c r="K572">
        <v>0</v>
      </c>
      <c r="L572">
        <v>30</v>
      </c>
      <c r="M572">
        <v>0</v>
      </c>
      <c r="N572">
        <v>0</v>
      </c>
      <c r="O572">
        <v>1</v>
      </c>
    </row>
    <row r="573" spans="1:16" x14ac:dyDescent="0.45">
      <c r="A573" t="s">
        <v>42</v>
      </c>
      <c r="B573">
        <v>9</v>
      </c>
      <c r="C573">
        <v>1054</v>
      </c>
      <c r="D573">
        <v>637</v>
      </c>
      <c r="E573">
        <v>0</v>
      </c>
      <c r="F573">
        <v>0</v>
      </c>
      <c r="G573">
        <v>5</v>
      </c>
      <c r="H573">
        <v>3</v>
      </c>
      <c r="I573">
        <v>178</v>
      </c>
      <c r="J573">
        <v>41</v>
      </c>
      <c r="K573">
        <v>14</v>
      </c>
      <c r="L573">
        <v>52</v>
      </c>
      <c r="M573">
        <v>0</v>
      </c>
      <c r="N573">
        <v>0</v>
      </c>
      <c r="O573">
        <v>0</v>
      </c>
      <c r="P573">
        <v>4</v>
      </c>
    </row>
    <row r="574" spans="1:16" x14ac:dyDescent="0.45">
      <c r="A574" t="s">
        <v>42</v>
      </c>
      <c r="B574">
        <v>10</v>
      </c>
      <c r="C574">
        <v>1263</v>
      </c>
      <c r="D574">
        <v>832</v>
      </c>
      <c r="E574">
        <v>0</v>
      </c>
      <c r="F574">
        <v>0</v>
      </c>
      <c r="G574">
        <v>13</v>
      </c>
      <c r="H574">
        <v>1</v>
      </c>
      <c r="I574">
        <v>202</v>
      </c>
      <c r="J574">
        <v>38</v>
      </c>
      <c r="K574">
        <v>31</v>
      </c>
      <c r="L574">
        <v>89</v>
      </c>
      <c r="M574">
        <v>0</v>
      </c>
      <c r="N574">
        <v>0</v>
      </c>
      <c r="O574">
        <v>0</v>
      </c>
      <c r="P574">
        <v>14</v>
      </c>
    </row>
    <row r="575" spans="1:16" x14ac:dyDescent="0.45">
      <c r="A575" t="s">
        <v>42</v>
      </c>
      <c r="B575">
        <v>11</v>
      </c>
      <c r="C575">
        <v>1063</v>
      </c>
      <c r="D575">
        <v>741</v>
      </c>
      <c r="E575">
        <v>0</v>
      </c>
      <c r="F575">
        <v>0</v>
      </c>
      <c r="G575">
        <v>19</v>
      </c>
      <c r="H575">
        <v>0</v>
      </c>
      <c r="I575">
        <v>218</v>
      </c>
      <c r="J575">
        <v>47</v>
      </c>
      <c r="K575">
        <v>33</v>
      </c>
      <c r="L575">
        <v>74</v>
      </c>
      <c r="M575">
        <v>0</v>
      </c>
      <c r="N575">
        <v>0</v>
      </c>
      <c r="O575">
        <v>1</v>
      </c>
      <c r="P575">
        <v>0</v>
      </c>
    </row>
    <row r="576" spans="1:16" x14ac:dyDescent="0.45">
      <c r="A576" t="s">
        <v>42</v>
      </c>
      <c r="B576">
        <v>12</v>
      </c>
      <c r="C576">
        <v>1222</v>
      </c>
      <c r="D576">
        <v>841</v>
      </c>
      <c r="E576">
        <v>0</v>
      </c>
      <c r="F576">
        <v>18</v>
      </c>
      <c r="G576">
        <v>25</v>
      </c>
      <c r="H576">
        <v>4</v>
      </c>
      <c r="I576">
        <v>204</v>
      </c>
      <c r="J576">
        <v>40</v>
      </c>
      <c r="K576">
        <v>4</v>
      </c>
      <c r="L576">
        <v>111</v>
      </c>
      <c r="M576">
        <v>0</v>
      </c>
      <c r="N576">
        <v>0</v>
      </c>
      <c r="O576">
        <v>1</v>
      </c>
      <c r="P576">
        <v>0</v>
      </c>
    </row>
    <row r="577" spans="1:16" x14ac:dyDescent="0.45">
      <c r="A577" t="s">
        <v>46</v>
      </c>
      <c r="B577">
        <v>1</v>
      </c>
      <c r="C577">
        <v>1880</v>
      </c>
      <c r="D577">
        <v>931</v>
      </c>
      <c r="E577">
        <v>0</v>
      </c>
      <c r="F577">
        <v>32</v>
      </c>
      <c r="G577">
        <v>37</v>
      </c>
      <c r="H577">
        <v>5</v>
      </c>
      <c r="I577">
        <v>178</v>
      </c>
      <c r="J577">
        <v>85</v>
      </c>
      <c r="K577">
        <v>60</v>
      </c>
      <c r="L577">
        <v>14</v>
      </c>
      <c r="M577">
        <v>0</v>
      </c>
      <c r="N577">
        <v>0</v>
      </c>
      <c r="O577">
        <v>0</v>
      </c>
      <c r="P577">
        <v>0</v>
      </c>
    </row>
    <row r="578" spans="1:16" x14ac:dyDescent="0.45">
      <c r="A578" t="s">
        <v>46</v>
      </c>
      <c r="B578">
        <v>2</v>
      </c>
      <c r="C578">
        <v>1431</v>
      </c>
      <c r="D578">
        <v>877</v>
      </c>
      <c r="E578">
        <v>0</v>
      </c>
      <c r="F578">
        <v>22</v>
      </c>
      <c r="G578">
        <v>34</v>
      </c>
      <c r="H578">
        <v>5</v>
      </c>
      <c r="I578">
        <v>154</v>
      </c>
      <c r="J578">
        <v>99</v>
      </c>
      <c r="K578">
        <v>38</v>
      </c>
      <c r="L578">
        <v>9</v>
      </c>
      <c r="M578">
        <v>0</v>
      </c>
      <c r="N578">
        <v>0</v>
      </c>
      <c r="O578">
        <v>0</v>
      </c>
      <c r="P578">
        <v>0</v>
      </c>
    </row>
    <row r="579" spans="1:16" x14ac:dyDescent="0.45">
      <c r="A579" t="s">
        <v>46</v>
      </c>
      <c r="B579">
        <v>3</v>
      </c>
      <c r="C579">
        <v>3016</v>
      </c>
      <c r="D579">
        <v>1171</v>
      </c>
      <c r="E579">
        <v>4</v>
      </c>
      <c r="F579">
        <v>12</v>
      </c>
      <c r="G579">
        <v>197</v>
      </c>
      <c r="H579">
        <v>66</v>
      </c>
      <c r="I579">
        <v>266</v>
      </c>
      <c r="J579">
        <v>134</v>
      </c>
      <c r="K579">
        <v>49</v>
      </c>
      <c r="L579">
        <v>3</v>
      </c>
      <c r="M579">
        <v>0</v>
      </c>
      <c r="N579">
        <v>0</v>
      </c>
      <c r="O579">
        <v>0</v>
      </c>
      <c r="P579">
        <v>0</v>
      </c>
    </row>
    <row r="580" spans="1:16" x14ac:dyDescent="0.45">
      <c r="A580" t="s">
        <v>46</v>
      </c>
      <c r="B580">
        <v>4</v>
      </c>
      <c r="C580">
        <v>4859</v>
      </c>
      <c r="D580">
        <v>1270</v>
      </c>
      <c r="E580">
        <v>0</v>
      </c>
      <c r="F580">
        <v>0</v>
      </c>
      <c r="G580">
        <v>365</v>
      </c>
      <c r="H580">
        <v>147</v>
      </c>
      <c r="I580">
        <v>420</v>
      </c>
      <c r="J580">
        <v>160</v>
      </c>
      <c r="K580">
        <v>53</v>
      </c>
      <c r="L580">
        <v>11</v>
      </c>
      <c r="M580">
        <v>0</v>
      </c>
      <c r="N580">
        <v>0</v>
      </c>
      <c r="O580">
        <v>1</v>
      </c>
      <c r="P580">
        <v>1</v>
      </c>
    </row>
    <row r="581" spans="1:16" x14ac:dyDescent="0.45">
      <c r="A581" t="s">
        <v>46</v>
      </c>
      <c r="B581">
        <v>5</v>
      </c>
      <c r="C581">
        <v>3312</v>
      </c>
      <c r="D581">
        <v>1126</v>
      </c>
      <c r="E581">
        <v>0</v>
      </c>
      <c r="F581">
        <v>2</v>
      </c>
      <c r="G581">
        <v>166</v>
      </c>
      <c r="H581">
        <v>106</v>
      </c>
      <c r="I581">
        <v>248</v>
      </c>
      <c r="J581">
        <v>117</v>
      </c>
      <c r="K581">
        <v>60</v>
      </c>
      <c r="L581">
        <v>5</v>
      </c>
      <c r="M581">
        <v>0</v>
      </c>
      <c r="N581">
        <v>0</v>
      </c>
      <c r="O581">
        <v>0</v>
      </c>
      <c r="P581">
        <v>0</v>
      </c>
    </row>
    <row r="582" spans="1:16" x14ac:dyDescent="0.45">
      <c r="A582" t="s">
        <v>46</v>
      </c>
      <c r="B582">
        <v>6</v>
      </c>
      <c r="C582">
        <v>3141</v>
      </c>
      <c r="D582">
        <v>1289</v>
      </c>
      <c r="E582">
        <v>0</v>
      </c>
      <c r="F582">
        <v>0</v>
      </c>
      <c r="G582">
        <v>147</v>
      </c>
      <c r="H582">
        <v>76</v>
      </c>
      <c r="I582">
        <v>270</v>
      </c>
      <c r="J582">
        <v>152</v>
      </c>
      <c r="K582">
        <v>35</v>
      </c>
      <c r="L582">
        <v>7</v>
      </c>
      <c r="M582">
        <v>0</v>
      </c>
      <c r="N582">
        <v>0</v>
      </c>
      <c r="O582">
        <v>0</v>
      </c>
      <c r="P582">
        <v>2</v>
      </c>
    </row>
    <row r="583" spans="1:16" x14ac:dyDescent="0.45">
      <c r="A583" t="s">
        <v>46</v>
      </c>
      <c r="B583">
        <v>7</v>
      </c>
      <c r="C583">
        <v>2641</v>
      </c>
      <c r="D583">
        <v>1124</v>
      </c>
      <c r="E583">
        <v>0</v>
      </c>
      <c r="F583">
        <v>0</v>
      </c>
      <c r="G583">
        <v>105</v>
      </c>
      <c r="H583">
        <v>20</v>
      </c>
      <c r="I583">
        <v>281</v>
      </c>
      <c r="J583">
        <v>171</v>
      </c>
      <c r="K583">
        <v>30</v>
      </c>
      <c r="L583">
        <v>7</v>
      </c>
      <c r="M583">
        <v>0</v>
      </c>
      <c r="N583">
        <v>0</v>
      </c>
      <c r="O583">
        <v>0</v>
      </c>
      <c r="P583">
        <v>14</v>
      </c>
    </row>
    <row r="584" spans="1:16" x14ac:dyDescent="0.45">
      <c r="A584" t="s">
        <v>46</v>
      </c>
      <c r="B584">
        <v>8</v>
      </c>
      <c r="C584">
        <v>2040</v>
      </c>
      <c r="D584">
        <v>1160</v>
      </c>
      <c r="E584">
        <v>0</v>
      </c>
      <c r="F584">
        <v>0</v>
      </c>
      <c r="G584">
        <v>33</v>
      </c>
      <c r="H584">
        <v>40</v>
      </c>
      <c r="I584">
        <v>241</v>
      </c>
      <c r="J584">
        <v>163</v>
      </c>
      <c r="K584">
        <v>19</v>
      </c>
      <c r="L584">
        <v>13</v>
      </c>
      <c r="M584">
        <v>0</v>
      </c>
      <c r="N584">
        <v>0</v>
      </c>
      <c r="O584">
        <v>0</v>
      </c>
    </row>
    <row r="585" spans="1:16" x14ac:dyDescent="0.45">
      <c r="A585" t="s">
        <v>46</v>
      </c>
      <c r="B585">
        <v>9</v>
      </c>
      <c r="C585">
        <v>2308</v>
      </c>
      <c r="D585">
        <v>1263</v>
      </c>
      <c r="E585">
        <v>0</v>
      </c>
      <c r="F585">
        <v>5</v>
      </c>
      <c r="G585">
        <v>68</v>
      </c>
      <c r="H585">
        <v>2</v>
      </c>
      <c r="I585">
        <v>246</v>
      </c>
      <c r="J585">
        <v>163</v>
      </c>
      <c r="K585">
        <v>82</v>
      </c>
      <c r="L585">
        <v>16</v>
      </c>
      <c r="M585">
        <v>0</v>
      </c>
      <c r="N585">
        <v>0</v>
      </c>
      <c r="O585">
        <v>0</v>
      </c>
      <c r="P585">
        <v>0</v>
      </c>
    </row>
    <row r="586" spans="1:16" x14ac:dyDescent="0.45">
      <c r="A586" t="s">
        <v>46</v>
      </c>
      <c r="B586">
        <v>10</v>
      </c>
      <c r="C586">
        <v>3213</v>
      </c>
      <c r="D586">
        <v>153</v>
      </c>
      <c r="E586">
        <v>0</v>
      </c>
      <c r="F586">
        <v>1</v>
      </c>
      <c r="G586">
        <v>62</v>
      </c>
      <c r="H586">
        <v>4</v>
      </c>
      <c r="I586">
        <v>330</v>
      </c>
      <c r="J586">
        <v>186</v>
      </c>
      <c r="K586">
        <v>136</v>
      </c>
      <c r="L586">
        <v>22</v>
      </c>
      <c r="M586">
        <v>1</v>
      </c>
      <c r="N586">
        <v>0</v>
      </c>
      <c r="O586">
        <v>0</v>
      </c>
      <c r="P586">
        <v>1</v>
      </c>
    </row>
    <row r="587" spans="1:16" x14ac:dyDescent="0.45">
      <c r="A587" t="s">
        <v>46</v>
      </c>
      <c r="B587">
        <v>11</v>
      </c>
      <c r="C587">
        <v>2692</v>
      </c>
      <c r="D587">
        <v>1252</v>
      </c>
      <c r="E587">
        <v>0</v>
      </c>
      <c r="F587">
        <v>25</v>
      </c>
      <c r="G587">
        <v>48</v>
      </c>
      <c r="H587">
        <v>2</v>
      </c>
      <c r="I587">
        <v>287</v>
      </c>
      <c r="J587">
        <v>133</v>
      </c>
      <c r="K587">
        <v>126</v>
      </c>
      <c r="L587">
        <v>7</v>
      </c>
      <c r="M587">
        <v>0</v>
      </c>
      <c r="N587">
        <v>0</v>
      </c>
      <c r="O587">
        <v>1</v>
      </c>
      <c r="P587">
        <v>6</v>
      </c>
    </row>
    <row r="588" spans="1:16" x14ac:dyDescent="0.45">
      <c r="A588" t="s">
        <v>46</v>
      </c>
      <c r="B588">
        <v>12</v>
      </c>
      <c r="C588">
        <v>2731</v>
      </c>
      <c r="D588">
        <v>1298</v>
      </c>
      <c r="E588">
        <v>0</v>
      </c>
      <c r="F588">
        <v>16</v>
      </c>
      <c r="G588">
        <v>116</v>
      </c>
      <c r="H588">
        <v>3</v>
      </c>
      <c r="I588">
        <v>258</v>
      </c>
      <c r="J588">
        <v>131</v>
      </c>
      <c r="K588">
        <v>58</v>
      </c>
      <c r="L588">
        <v>9</v>
      </c>
      <c r="M588">
        <v>0</v>
      </c>
      <c r="N588">
        <v>0</v>
      </c>
      <c r="O588">
        <v>0</v>
      </c>
      <c r="P588">
        <v>1</v>
      </c>
    </row>
    <row r="589" spans="1:16" x14ac:dyDescent="0.45">
      <c r="A589" t="s">
        <v>86</v>
      </c>
      <c r="B589">
        <v>1</v>
      </c>
      <c r="C589">
        <v>1230</v>
      </c>
      <c r="D589">
        <v>295</v>
      </c>
      <c r="E589">
        <v>0</v>
      </c>
      <c r="F589">
        <v>24</v>
      </c>
      <c r="G589">
        <v>29</v>
      </c>
      <c r="H589">
        <v>5</v>
      </c>
      <c r="I589">
        <v>229</v>
      </c>
      <c r="J589">
        <v>25</v>
      </c>
      <c r="K589">
        <v>7</v>
      </c>
      <c r="L589">
        <v>90</v>
      </c>
      <c r="M589">
        <v>0</v>
      </c>
      <c r="N589">
        <v>0</v>
      </c>
      <c r="O589">
        <v>1</v>
      </c>
      <c r="P589">
        <v>9</v>
      </c>
    </row>
    <row r="590" spans="1:16" x14ac:dyDescent="0.45">
      <c r="A590" t="s">
        <v>86</v>
      </c>
      <c r="B590">
        <v>2</v>
      </c>
      <c r="C590">
        <v>922</v>
      </c>
      <c r="D590">
        <v>299</v>
      </c>
      <c r="E590">
        <v>0</v>
      </c>
      <c r="F590">
        <v>15</v>
      </c>
      <c r="G590">
        <v>26</v>
      </c>
      <c r="H590">
        <v>33</v>
      </c>
      <c r="I590">
        <v>111</v>
      </c>
      <c r="J590">
        <v>20</v>
      </c>
      <c r="K590">
        <v>42</v>
      </c>
      <c r="L590">
        <v>84</v>
      </c>
      <c r="M590">
        <v>0</v>
      </c>
      <c r="N590">
        <v>0</v>
      </c>
      <c r="O590">
        <v>6</v>
      </c>
      <c r="P590">
        <v>5</v>
      </c>
    </row>
    <row r="591" spans="1:16" x14ac:dyDescent="0.45">
      <c r="A591" t="s">
        <v>86</v>
      </c>
      <c r="B591">
        <v>3</v>
      </c>
      <c r="C591">
        <v>2161</v>
      </c>
      <c r="D591">
        <v>364</v>
      </c>
      <c r="E591">
        <v>20</v>
      </c>
      <c r="F591">
        <v>2</v>
      </c>
      <c r="G591">
        <v>162</v>
      </c>
      <c r="H591">
        <v>125</v>
      </c>
      <c r="I591">
        <v>189</v>
      </c>
      <c r="J591">
        <v>49</v>
      </c>
      <c r="K591">
        <v>25</v>
      </c>
      <c r="L591">
        <v>106</v>
      </c>
      <c r="M591">
        <v>0</v>
      </c>
      <c r="N591">
        <v>0</v>
      </c>
      <c r="O591">
        <v>2</v>
      </c>
      <c r="P591">
        <v>8</v>
      </c>
    </row>
    <row r="592" spans="1:16" x14ac:dyDescent="0.45">
      <c r="A592" t="s">
        <v>86</v>
      </c>
      <c r="B592">
        <v>4</v>
      </c>
      <c r="C592">
        <v>3249</v>
      </c>
      <c r="D592">
        <v>488</v>
      </c>
      <c r="E592">
        <v>1</v>
      </c>
      <c r="F592">
        <v>0</v>
      </c>
      <c r="G592">
        <v>78</v>
      </c>
      <c r="H592">
        <v>213</v>
      </c>
      <c r="I592">
        <v>359</v>
      </c>
      <c r="J592">
        <v>25</v>
      </c>
      <c r="K592">
        <v>9</v>
      </c>
      <c r="L592">
        <v>98</v>
      </c>
      <c r="M592">
        <v>0</v>
      </c>
      <c r="N592">
        <v>2</v>
      </c>
      <c r="O592">
        <v>19</v>
      </c>
      <c r="P592">
        <v>5</v>
      </c>
    </row>
    <row r="593" spans="1:16" x14ac:dyDescent="0.45">
      <c r="A593" t="s">
        <v>86</v>
      </c>
      <c r="B593">
        <v>5</v>
      </c>
      <c r="C593">
        <v>2238</v>
      </c>
      <c r="D593">
        <v>394</v>
      </c>
      <c r="E593">
        <v>0</v>
      </c>
      <c r="F593">
        <v>0</v>
      </c>
      <c r="G593">
        <v>73</v>
      </c>
      <c r="H593">
        <v>135</v>
      </c>
      <c r="I593">
        <v>427</v>
      </c>
      <c r="J593">
        <v>25</v>
      </c>
      <c r="K593">
        <v>17</v>
      </c>
      <c r="L593">
        <v>76</v>
      </c>
      <c r="M593">
        <v>0</v>
      </c>
      <c r="N593">
        <v>2</v>
      </c>
      <c r="O593">
        <v>2</v>
      </c>
      <c r="P593">
        <v>5</v>
      </c>
    </row>
    <row r="594" spans="1:16" x14ac:dyDescent="0.45">
      <c r="A594" t="s">
        <v>86</v>
      </c>
      <c r="B594">
        <v>6</v>
      </c>
      <c r="C594">
        <v>2222</v>
      </c>
      <c r="D594">
        <v>504</v>
      </c>
      <c r="E594">
        <v>0</v>
      </c>
      <c r="F594">
        <v>1</v>
      </c>
      <c r="G594">
        <v>80</v>
      </c>
      <c r="H594">
        <v>79</v>
      </c>
      <c r="I594">
        <v>392</v>
      </c>
      <c r="J594">
        <v>40</v>
      </c>
      <c r="K594">
        <v>8</v>
      </c>
      <c r="L594">
        <v>91</v>
      </c>
      <c r="M594">
        <v>0</v>
      </c>
      <c r="N594">
        <v>1</v>
      </c>
      <c r="O594">
        <v>4</v>
      </c>
      <c r="P594">
        <v>2</v>
      </c>
    </row>
    <row r="595" spans="1:16" x14ac:dyDescent="0.45">
      <c r="A595" t="s">
        <v>86</v>
      </c>
      <c r="B595">
        <v>7</v>
      </c>
      <c r="C595">
        <v>1710</v>
      </c>
      <c r="D595">
        <v>461</v>
      </c>
      <c r="E595">
        <v>0</v>
      </c>
      <c r="F595">
        <v>0</v>
      </c>
      <c r="G595">
        <v>32</v>
      </c>
      <c r="H595">
        <v>19</v>
      </c>
      <c r="I595">
        <v>394</v>
      </c>
      <c r="J595">
        <v>50</v>
      </c>
      <c r="K595">
        <v>13</v>
      </c>
      <c r="L595">
        <v>127</v>
      </c>
      <c r="M595">
        <v>0</v>
      </c>
      <c r="N595">
        <v>2</v>
      </c>
      <c r="O595">
        <v>0</v>
      </c>
      <c r="P595">
        <v>4</v>
      </c>
    </row>
    <row r="596" spans="1:16" x14ac:dyDescent="0.45">
      <c r="A596" t="s">
        <v>86</v>
      </c>
      <c r="B596">
        <v>8</v>
      </c>
      <c r="C596">
        <v>1063</v>
      </c>
      <c r="D596">
        <v>254</v>
      </c>
      <c r="E596">
        <v>0</v>
      </c>
      <c r="F596">
        <v>0</v>
      </c>
      <c r="G596">
        <v>9</v>
      </c>
      <c r="H596">
        <v>17</v>
      </c>
      <c r="I596">
        <v>282</v>
      </c>
      <c r="J596">
        <v>37</v>
      </c>
      <c r="K596">
        <v>20</v>
      </c>
      <c r="L596">
        <v>64</v>
      </c>
      <c r="M596">
        <v>0</v>
      </c>
      <c r="N596">
        <v>0</v>
      </c>
      <c r="O596">
        <v>0</v>
      </c>
      <c r="P596">
        <v>3</v>
      </c>
    </row>
    <row r="597" spans="1:16" x14ac:dyDescent="0.45">
      <c r="A597" t="s">
        <v>86</v>
      </c>
      <c r="B597">
        <v>9</v>
      </c>
      <c r="C597">
        <v>1187</v>
      </c>
      <c r="D597">
        <v>332</v>
      </c>
      <c r="E597">
        <v>0</v>
      </c>
      <c r="F597">
        <v>0</v>
      </c>
      <c r="G597">
        <v>11</v>
      </c>
      <c r="H597">
        <v>1</v>
      </c>
      <c r="I597">
        <v>247</v>
      </c>
      <c r="J597">
        <v>49</v>
      </c>
      <c r="K597">
        <v>60</v>
      </c>
      <c r="L597">
        <v>82</v>
      </c>
      <c r="M597">
        <v>0</v>
      </c>
      <c r="N597">
        <v>0</v>
      </c>
      <c r="O597">
        <v>1</v>
      </c>
      <c r="P597">
        <v>0</v>
      </c>
    </row>
    <row r="598" spans="1:16" x14ac:dyDescent="0.45">
      <c r="A598" t="s">
        <v>86</v>
      </c>
      <c r="B598">
        <v>10</v>
      </c>
      <c r="C598">
        <v>1664</v>
      </c>
      <c r="D598">
        <v>428</v>
      </c>
      <c r="E598">
        <v>0</v>
      </c>
      <c r="F598">
        <v>5</v>
      </c>
      <c r="G598">
        <v>17</v>
      </c>
      <c r="H598">
        <v>7</v>
      </c>
      <c r="I598">
        <v>264</v>
      </c>
      <c r="J598">
        <v>35</v>
      </c>
      <c r="K598">
        <v>59</v>
      </c>
      <c r="L598">
        <v>88</v>
      </c>
      <c r="M598">
        <v>0</v>
      </c>
      <c r="N598">
        <v>0</v>
      </c>
      <c r="O598">
        <v>7</v>
      </c>
    </row>
    <row r="599" spans="1:16" x14ac:dyDescent="0.45">
      <c r="A599" t="s">
        <v>86</v>
      </c>
      <c r="B599">
        <v>11</v>
      </c>
      <c r="C599">
        <v>1422</v>
      </c>
      <c r="D599">
        <v>393</v>
      </c>
      <c r="E599">
        <v>0</v>
      </c>
      <c r="F599">
        <v>22</v>
      </c>
      <c r="G599">
        <v>12</v>
      </c>
      <c r="H599">
        <v>4</v>
      </c>
      <c r="I599">
        <v>269</v>
      </c>
      <c r="J599">
        <v>36</v>
      </c>
      <c r="K599">
        <v>17</v>
      </c>
      <c r="L599">
        <v>103</v>
      </c>
      <c r="M599">
        <v>0</v>
      </c>
      <c r="N599">
        <v>0</v>
      </c>
      <c r="O599">
        <v>2</v>
      </c>
      <c r="P599">
        <v>2</v>
      </c>
    </row>
    <row r="600" spans="1:16" x14ac:dyDescent="0.45">
      <c r="A600" t="s">
        <v>86</v>
      </c>
      <c r="B600">
        <v>12</v>
      </c>
      <c r="C600">
        <v>1733</v>
      </c>
      <c r="D600">
        <v>517</v>
      </c>
      <c r="E600">
        <v>0</v>
      </c>
      <c r="F600">
        <v>14</v>
      </c>
      <c r="G600">
        <v>45</v>
      </c>
      <c r="H600">
        <v>9</v>
      </c>
      <c r="I600">
        <v>230</v>
      </c>
      <c r="J600">
        <v>50</v>
      </c>
      <c r="K600">
        <v>27</v>
      </c>
      <c r="L600">
        <v>91</v>
      </c>
      <c r="M600">
        <v>0</v>
      </c>
      <c r="N600">
        <v>0</v>
      </c>
      <c r="O600">
        <v>5</v>
      </c>
      <c r="P600">
        <v>3</v>
      </c>
    </row>
    <row r="601" spans="1:16" x14ac:dyDescent="0.45">
      <c r="A601" t="s">
        <v>71</v>
      </c>
      <c r="B601">
        <v>1</v>
      </c>
      <c r="C601">
        <v>1310</v>
      </c>
      <c r="D601">
        <v>1069</v>
      </c>
      <c r="E601">
        <v>0</v>
      </c>
      <c r="F601">
        <v>35</v>
      </c>
      <c r="G601">
        <v>17</v>
      </c>
      <c r="H601">
        <v>12</v>
      </c>
      <c r="I601">
        <v>102</v>
      </c>
      <c r="J601">
        <v>8</v>
      </c>
      <c r="K601">
        <v>2</v>
      </c>
      <c r="L601">
        <v>161</v>
      </c>
      <c r="M601">
        <v>0</v>
      </c>
      <c r="N601">
        <v>0</v>
      </c>
      <c r="O601">
        <v>1</v>
      </c>
      <c r="P601">
        <v>2</v>
      </c>
    </row>
    <row r="602" spans="1:16" x14ac:dyDescent="0.45">
      <c r="A602" t="s">
        <v>71</v>
      </c>
      <c r="B602">
        <v>2</v>
      </c>
      <c r="C602">
        <v>977</v>
      </c>
      <c r="D602">
        <v>1066</v>
      </c>
      <c r="E602">
        <v>0</v>
      </c>
      <c r="F602">
        <v>11</v>
      </c>
      <c r="G602">
        <v>14</v>
      </c>
      <c r="H602">
        <v>13</v>
      </c>
      <c r="I602">
        <v>111</v>
      </c>
      <c r="J602">
        <v>3</v>
      </c>
      <c r="K602">
        <v>7</v>
      </c>
      <c r="L602">
        <v>160</v>
      </c>
      <c r="M602">
        <v>1</v>
      </c>
      <c r="N602">
        <v>0</v>
      </c>
      <c r="O602">
        <v>0</v>
      </c>
      <c r="P602">
        <v>0</v>
      </c>
    </row>
    <row r="603" spans="1:16" x14ac:dyDescent="0.45">
      <c r="A603" t="s">
        <v>71</v>
      </c>
      <c r="B603">
        <v>3</v>
      </c>
      <c r="C603">
        <v>2064</v>
      </c>
      <c r="D603">
        <v>1303</v>
      </c>
      <c r="E603">
        <v>6</v>
      </c>
      <c r="F603">
        <v>11</v>
      </c>
      <c r="G603">
        <v>58</v>
      </c>
      <c r="H603">
        <v>41</v>
      </c>
      <c r="I603">
        <v>167</v>
      </c>
      <c r="J603">
        <v>20</v>
      </c>
      <c r="K603">
        <v>0</v>
      </c>
      <c r="L603">
        <v>27</v>
      </c>
      <c r="M603">
        <v>0</v>
      </c>
      <c r="N603">
        <v>0</v>
      </c>
      <c r="O603">
        <v>7</v>
      </c>
      <c r="P603">
        <v>2</v>
      </c>
    </row>
    <row r="604" spans="1:16" x14ac:dyDescent="0.45">
      <c r="A604" t="s">
        <v>71</v>
      </c>
      <c r="B604">
        <v>4</v>
      </c>
      <c r="C604">
        <v>3548</v>
      </c>
      <c r="D604">
        <v>1296</v>
      </c>
      <c r="E604">
        <v>0</v>
      </c>
      <c r="F604">
        <v>6</v>
      </c>
      <c r="G604">
        <v>63</v>
      </c>
      <c r="H604">
        <v>53</v>
      </c>
      <c r="I604">
        <v>345</v>
      </c>
      <c r="J604">
        <v>14</v>
      </c>
      <c r="K604">
        <v>7</v>
      </c>
      <c r="L604">
        <v>158</v>
      </c>
      <c r="M604">
        <v>0</v>
      </c>
      <c r="N604">
        <v>0</v>
      </c>
      <c r="O604">
        <v>6</v>
      </c>
      <c r="P604">
        <v>2</v>
      </c>
    </row>
    <row r="605" spans="1:16" x14ac:dyDescent="0.45">
      <c r="A605" t="s">
        <v>71</v>
      </c>
      <c r="B605">
        <v>5</v>
      </c>
      <c r="C605">
        <v>2332</v>
      </c>
      <c r="D605">
        <v>1086</v>
      </c>
      <c r="E605">
        <v>0</v>
      </c>
      <c r="F605">
        <v>1</v>
      </c>
      <c r="G605">
        <v>50</v>
      </c>
      <c r="H605">
        <v>35</v>
      </c>
      <c r="I605">
        <v>250</v>
      </c>
      <c r="J605">
        <v>14</v>
      </c>
      <c r="K605">
        <v>6</v>
      </c>
      <c r="L605">
        <v>173</v>
      </c>
      <c r="M605">
        <v>0</v>
      </c>
      <c r="N605">
        <v>2</v>
      </c>
      <c r="O605">
        <v>8</v>
      </c>
      <c r="P605">
        <v>2</v>
      </c>
    </row>
    <row r="606" spans="1:16" x14ac:dyDescent="0.45">
      <c r="A606" t="s">
        <v>71</v>
      </c>
      <c r="B606">
        <v>6</v>
      </c>
      <c r="C606">
        <v>2166</v>
      </c>
      <c r="D606">
        <v>1304</v>
      </c>
      <c r="E606">
        <v>0</v>
      </c>
      <c r="F606">
        <v>0</v>
      </c>
      <c r="G606">
        <v>73</v>
      </c>
      <c r="H606">
        <v>21</v>
      </c>
      <c r="I606">
        <v>291</v>
      </c>
      <c r="J606">
        <v>26</v>
      </c>
      <c r="K606">
        <v>2</v>
      </c>
      <c r="L606">
        <v>197</v>
      </c>
      <c r="M606">
        <v>0</v>
      </c>
      <c r="N606">
        <v>0</v>
      </c>
      <c r="O606">
        <v>1</v>
      </c>
      <c r="P606">
        <v>4</v>
      </c>
    </row>
    <row r="607" spans="1:16" x14ac:dyDescent="0.45">
      <c r="A607" t="s">
        <v>71</v>
      </c>
      <c r="B607">
        <v>7</v>
      </c>
      <c r="C607">
        <v>1397</v>
      </c>
      <c r="D607">
        <v>1077</v>
      </c>
      <c r="E607">
        <v>0</v>
      </c>
      <c r="F607">
        <v>5</v>
      </c>
      <c r="G607">
        <v>18</v>
      </c>
      <c r="H607">
        <v>10</v>
      </c>
      <c r="I607">
        <v>256</v>
      </c>
      <c r="J607">
        <v>19</v>
      </c>
      <c r="K607">
        <v>2</v>
      </c>
      <c r="L607">
        <v>132</v>
      </c>
      <c r="M607">
        <v>0</v>
      </c>
      <c r="N607">
        <v>0</v>
      </c>
      <c r="O607">
        <v>0</v>
      </c>
      <c r="P607">
        <v>1</v>
      </c>
    </row>
    <row r="608" spans="1:16" x14ac:dyDescent="0.45">
      <c r="A608" t="s">
        <v>71</v>
      </c>
      <c r="B608">
        <v>8</v>
      </c>
      <c r="C608">
        <v>1256</v>
      </c>
      <c r="D608">
        <v>932</v>
      </c>
      <c r="E608">
        <v>0</v>
      </c>
      <c r="F608">
        <v>2</v>
      </c>
      <c r="G608">
        <v>15</v>
      </c>
      <c r="H608">
        <v>9</v>
      </c>
      <c r="I608">
        <v>189</v>
      </c>
      <c r="J608">
        <v>27</v>
      </c>
      <c r="K608">
        <v>0</v>
      </c>
      <c r="L608">
        <v>109</v>
      </c>
      <c r="M608">
        <v>0</v>
      </c>
      <c r="N608">
        <v>0</v>
      </c>
      <c r="O608">
        <v>2</v>
      </c>
      <c r="P608">
        <v>3</v>
      </c>
    </row>
    <row r="609" spans="1:15" x14ac:dyDescent="0.45">
      <c r="A609" t="s">
        <v>71</v>
      </c>
      <c r="B609">
        <v>9</v>
      </c>
      <c r="C609">
        <v>1424</v>
      </c>
      <c r="D609">
        <v>1192</v>
      </c>
      <c r="E609">
        <v>0</v>
      </c>
      <c r="F609">
        <v>0</v>
      </c>
      <c r="G609">
        <v>14</v>
      </c>
      <c r="H609">
        <v>13</v>
      </c>
      <c r="I609">
        <v>235</v>
      </c>
      <c r="J609">
        <v>41</v>
      </c>
      <c r="K609">
        <v>1</v>
      </c>
      <c r="L609">
        <v>179</v>
      </c>
      <c r="M609">
        <v>0</v>
      </c>
      <c r="N609">
        <v>0</v>
      </c>
      <c r="O609">
        <v>0</v>
      </c>
    </row>
    <row r="610" spans="1:15" x14ac:dyDescent="0.45">
      <c r="A610" t="s">
        <v>71</v>
      </c>
      <c r="B610">
        <v>10</v>
      </c>
      <c r="C610">
        <v>2132</v>
      </c>
      <c r="D610">
        <v>1450</v>
      </c>
      <c r="E610">
        <v>0</v>
      </c>
      <c r="F610">
        <v>7</v>
      </c>
      <c r="G610">
        <v>19</v>
      </c>
      <c r="H610">
        <v>12</v>
      </c>
      <c r="I610">
        <v>240</v>
      </c>
      <c r="J610">
        <v>63</v>
      </c>
      <c r="K610">
        <v>15</v>
      </c>
      <c r="L610">
        <v>217</v>
      </c>
      <c r="M610">
        <v>0</v>
      </c>
      <c r="N610">
        <v>0</v>
      </c>
      <c r="O610">
        <v>3</v>
      </c>
    </row>
    <row r="611" spans="1:15" x14ac:dyDescent="0.45">
      <c r="A611" t="s">
        <v>71</v>
      </c>
      <c r="B611">
        <v>11</v>
      </c>
      <c r="C611">
        <v>1698</v>
      </c>
      <c r="D611">
        <v>1284</v>
      </c>
      <c r="E611">
        <v>0</v>
      </c>
      <c r="F611">
        <v>14</v>
      </c>
      <c r="G611">
        <v>19</v>
      </c>
      <c r="H611">
        <v>18</v>
      </c>
      <c r="I611">
        <v>204</v>
      </c>
      <c r="J611">
        <v>27</v>
      </c>
      <c r="K611">
        <v>2</v>
      </c>
      <c r="L611">
        <v>196</v>
      </c>
      <c r="M611">
        <v>0</v>
      </c>
      <c r="N611">
        <v>0</v>
      </c>
      <c r="O611">
        <v>0</v>
      </c>
    </row>
    <row r="612" spans="1:15" x14ac:dyDescent="0.45">
      <c r="A612" t="s">
        <v>71</v>
      </c>
      <c r="B612">
        <v>12</v>
      </c>
      <c r="C612">
        <v>1870</v>
      </c>
      <c r="D612">
        <v>1335</v>
      </c>
      <c r="E612">
        <v>0</v>
      </c>
      <c r="F612">
        <v>13</v>
      </c>
      <c r="G612">
        <v>41</v>
      </c>
      <c r="H612">
        <v>11</v>
      </c>
      <c r="I612">
        <v>190</v>
      </c>
      <c r="J612">
        <v>47</v>
      </c>
      <c r="K612">
        <v>9</v>
      </c>
      <c r="L612">
        <v>161</v>
      </c>
      <c r="M612">
        <v>0</v>
      </c>
      <c r="N612">
        <v>0</v>
      </c>
      <c r="O612">
        <v>4</v>
      </c>
    </row>
    <row r="613" spans="1:15" x14ac:dyDescent="0.45">
      <c r="A613" t="s">
        <v>69</v>
      </c>
      <c r="B613">
        <v>1</v>
      </c>
      <c r="C613">
        <v>1371</v>
      </c>
      <c r="D613">
        <v>622</v>
      </c>
      <c r="E613">
        <v>0</v>
      </c>
      <c r="F613">
        <v>5</v>
      </c>
      <c r="G613">
        <v>33</v>
      </c>
      <c r="H613">
        <v>3</v>
      </c>
      <c r="I613">
        <v>256</v>
      </c>
      <c r="J613">
        <v>10</v>
      </c>
      <c r="K613">
        <v>22</v>
      </c>
      <c r="L613">
        <v>148</v>
      </c>
      <c r="M613">
        <v>0</v>
      </c>
      <c r="N613">
        <v>0</v>
      </c>
      <c r="O613">
        <v>0</v>
      </c>
    </row>
    <row r="614" spans="1:15" x14ac:dyDescent="0.45">
      <c r="A614" t="s">
        <v>69</v>
      </c>
      <c r="B614">
        <v>2</v>
      </c>
      <c r="C614">
        <v>1022</v>
      </c>
      <c r="D614">
        <v>656</v>
      </c>
      <c r="E614">
        <v>0</v>
      </c>
      <c r="F614">
        <v>4</v>
      </c>
      <c r="G614">
        <v>18</v>
      </c>
      <c r="H614">
        <v>13</v>
      </c>
      <c r="I614">
        <v>203</v>
      </c>
      <c r="J614">
        <v>4</v>
      </c>
      <c r="K614">
        <v>7</v>
      </c>
      <c r="L614">
        <v>151</v>
      </c>
      <c r="M614">
        <v>0</v>
      </c>
      <c r="N614">
        <v>0</v>
      </c>
      <c r="O614">
        <v>0</v>
      </c>
    </row>
    <row r="615" spans="1:15" x14ac:dyDescent="0.45">
      <c r="A615" t="s">
        <v>69</v>
      </c>
      <c r="B615">
        <v>3</v>
      </c>
      <c r="C615">
        <v>2064</v>
      </c>
      <c r="D615">
        <v>761</v>
      </c>
      <c r="E615">
        <v>7</v>
      </c>
      <c r="F615">
        <v>4</v>
      </c>
      <c r="G615">
        <v>97</v>
      </c>
      <c r="H615">
        <v>67</v>
      </c>
      <c r="I615">
        <v>331</v>
      </c>
      <c r="J615">
        <v>16</v>
      </c>
      <c r="K615">
        <v>18</v>
      </c>
      <c r="L615">
        <v>186</v>
      </c>
      <c r="M615">
        <v>0</v>
      </c>
      <c r="N615">
        <v>0</v>
      </c>
      <c r="O615">
        <v>2</v>
      </c>
    </row>
    <row r="616" spans="1:15" x14ac:dyDescent="0.45">
      <c r="A616" t="s">
        <v>69</v>
      </c>
      <c r="B616">
        <v>4</v>
      </c>
      <c r="C616">
        <v>3053</v>
      </c>
      <c r="D616">
        <v>888</v>
      </c>
      <c r="E616">
        <v>0</v>
      </c>
      <c r="F616">
        <v>3</v>
      </c>
      <c r="G616">
        <v>98</v>
      </c>
      <c r="H616">
        <v>119</v>
      </c>
      <c r="I616">
        <v>502</v>
      </c>
      <c r="J616">
        <v>8</v>
      </c>
      <c r="K616">
        <v>20</v>
      </c>
      <c r="L616">
        <v>185</v>
      </c>
      <c r="M616">
        <v>0</v>
      </c>
      <c r="N616">
        <v>3</v>
      </c>
      <c r="O616">
        <v>6</v>
      </c>
    </row>
    <row r="617" spans="1:15" x14ac:dyDescent="0.45">
      <c r="A617" t="s">
        <v>69</v>
      </c>
      <c r="B617">
        <v>5</v>
      </c>
      <c r="C617">
        <v>2168</v>
      </c>
      <c r="D617">
        <v>732</v>
      </c>
      <c r="E617">
        <v>0</v>
      </c>
      <c r="F617">
        <v>0</v>
      </c>
      <c r="G617">
        <v>64</v>
      </c>
      <c r="H617">
        <v>78</v>
      </c>
      <c r="I617">
        <v>370</v>
      </c>
      <c r="J617">
        <v>11</v>
      </c>
      <c r="K617">
        <v>6</v>
      </c>
      <c r="L617">
        <v>127</v>
      </c>
      <c r="M617">
        <v>0</v>
      </c>
      <c r="N617">
        <v>9</v>
      </c>
      <c r="O617">
        <v>3</v>
      </c>
    </row>
    <row r="618" spans="1:15" x14ac:dyDescent="0.45">
      <c r="A618" t="s">
        <v>69</v>
      </c>
      <c r="B618">
        <v>6</v>
      </c>
      <c r="C618">
        <v>1814</v>
      </c>
      <c r="D618">
        <v>825</v>
      </c>
      <c r="E618">
        <v>0</v>
      </c>
      <c r="F618">
        <v>0</v>
      </c>
      <c r="G618">
        <v>44</v>
      </c>
      <c r="H618">
        <v>15</v>
      </c>
      <c r="I618">
        <v>347</v>
      </c>
      <c r="J618">
        <v>12</v>
      </c>
      <c r="K618">
        <v>19</v>
      </c>
      <c r="L618">
        <v>161</v>
      </c>
      <c r="M618">
        <v>0</v>
      </c>
      <c r="N618">
        <v>7</v>
      </c>
      <c r="O618">
        <v>0</v>
      </c>
    </row>
    <row r="619" spans="1:15" x14ac:dyDescent="0.45">
      <c r="A619" t="s">
        <v>69</v>
      </c>
      <c r="B619">
        <v>7</v>
      </c>
      <c r="C619">
        <v>1382</v>
      </c>
      <c r="D619">
        <v>733</v>
      </c>
      <c r="E619">
        <v>0</v>
      </c>
      <c r="F619">
        <v>0</v>
      </c>
      <c r="G619">
        <v>32</v>
      </c>
      <c r="H619">
        <v>26</v>
      </c>
      <c r="I619">
        <v>271</v>
      </c>
      <c r="J619">
        <v>29</v>
      </c>
      <c r="K619">
        <v>9</v>
      </c>
      <c r="L619">
        <v>200</v>
      </c>
      <c r="M619">
        <v>0</v>
      </c>
      <c r="N619">
        <v>7</v>
      </c>
      <c r="O619">
        <v>0</v>
      </c>
    </row>
    <row r="620" spans="1:15" x14ac:dyDescent="0.45">
      <c r="A620" t="s">
        <v>69</v>
      </c>
      <c r="B620">
        <v>8</v>
      </c>
      <c r="C620">
        <v>1165</v>
      </c>
      <c r="D620">
        <v>634</v>
      </c>
      <c r="E620">
        <v>0</v>
      </c>
      <c r="F620">
        <v>0</v>
      </c>
      <c r="G620">
        <v>16</v>
      </c>
      <c r="H620">
        <v>4</v>
      </c>
      <c r="I620">
        <v>323</v>
      </c>
      <c r="J620">
        <v>41</v>
      </c>
      <c r="K620">
        <v>19</v>
      </c>
      <c r="L620">
        <v>116</v>
      </c>
      <c r="M620">
        <v>0</v>
      </c>
      <c r="N620">
        <v>0</v>
      </c>
      <c r="O620">
        <v>0</v>
      </c>
    </row>
    <row r="621" spans="1:15" x14ac:dyDescent="0.45">
      <c r="A621" t="s">
        <v>69</v>
      </c>
      <c r="B621">
        <v>9</v>
      </c>
      <c r="C621">
        <v>1146</v>
      </c>
      <c r="D621">
        <v>749</v>
      </c>
      <c r="E621">
        <v>0</v>
      </c>
      <c r="F621">
        <v>0</v>
      </c>
      <c r="G621">
        <v>10</v>
      </c>
      <c r="H621">
        <v>3</v>
      </c>
      <c r="I621">
        <v>283</v>
      </c>
      <c r="J621">
        <v>37</v>
      </c>
      <c r="K621">
        <v>47</v>
      </c>
      <c r="L621">
        <v>131</v>
      </c>
      <c r="M621">
        <v>0</v>
      </c>
      <c r="N621">
        <v>0</v>
      </c>
      <c r="O621">
        <v>0</v>
      </c>
    </row>
    <row r="622" spans="1:15" x14ac:dyDescent="0.45">
      <c r="A622" t="s">
        <v>69</v>
      </c>
      <c r="B622">
        <v>10</v>
      </c>
      <c r="C622">
        <v>1766</v>
      </c>
      <c r="D622">
        <v>809</v>
      </c>
      <c r="E622">
        <v>0</v>
      </c>
      <c r="F622">
        <v>0</v>
      </c>
      <c r="G622">
        <v>17</v>
      </c>
      <c r="H622">
        <v>15</v>
      </c>
      <c r="I622">
        <v>345</v>
      </c>
      <c r="J622">
        <v>56</v>
      </c>
      <c r="K622">
        <v>43</v>
      </c>
      <c r="L622">
        <v>144</v>
      </c>
      <c r="M622">
        <v>0</v>
      </c>
      <c r="N622">
        <v>0</v>
      </c>
      <c r="O622">
        <v>2</v>
      </c>
    </row>
    <row r="623" spans="1:15" x14ac:dyDescent="0.45">
      <c r="A623" t="s">
        <v>69</v>
      </c>
      <c r="B623">
        <v>11</v>
      </c>
      <c r="C623">
        <v>1614</v>
      </c>
      <c r="D623">
        <v>814</v>
      </c>
      <c r="E623">
        <v>0</v>
      </c>
      <c r="F623">
        <v>22</v>
      </c>
      <c r="G623">
        <v>14</v>
      </c>
      <c r="H623">
        <v>22</v>
      </c>
      <c r="I623">
        <v>348</v>
      </c>
      <c r="J623">
        <v>5</v>
      </c>
      <c r="K623">
        <v>57</v>
      </c>
      <c r="L623">
        <v>149</v>
      </c>
      <c r="M623">
        <v>0</v>
      </c>
      <c r="N623">
        <v>0</v>
      </c>
      <c r="O623">
        <v>0</v>
      </c>
    </row>
    <row r="624" spans="1:15" x14ac:dyDescent="0.45">
      <c r="A624" t="s">
        <v>69</v>
      </c>
      <c r="B624">
        <v>12</v>
      </c>
      <c r="C624">
        <v>1856</v>
      </c>
      <c r="D624">
        <v>833</v>
      </c>
      <c r="E624">
        <v>0</v>
      </c>
      <c r="F624">
        <v>22</v>
      </c>
      <c r="G624">
        <v>25</v>
      </c>
      <c r="H624">
        <v>14</v>
      </c>
      <c r="I624">
        <v>429</v>
      </c>
      <c r="J624">
        <v>23</v>
      </c>
      <c r="K624">
        <v>46</v>
      </c>
      <c r="L624">
        <v>197</v>
      </c>
      <c r="M624">
        <v>0</v>
      </c>
      <c r="N624">
        <v>0</v>
      </c>
      <c r="O624">
        <v>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BAEB-9728-4A11-BE3F-071803C61E1E}">
  <dimension ref="A1:C54"/>
  <sheetViews>
    <sheetView workbookViewId="0">
      <pane ySplit="1" topLeftCell="A2" activePane="bottomLeft" state="frozen"/>
      <selection pane="bottomLeft" activeCell="D4" sqref="D4"/>
    </sheetView>
  </sheetViews>
  <sheetFormatPr defaultRowHeight="18" x14ac:dyDescent="0.45"/>
  <cols>
    <col min="1" max="1" width="18.296875" customWidth="1"/>
  </cols>
  <sheetData>
    <row r="1" spans="1:3" x14ac:dyDescent="0.45">
      <c r="A1" s="1" t="s">
        <v>0</v>
      </c>
      <c r="C1" t="s">
        <v>16</v>
      </c>
    </row>
    <row r="2" spans="1:3" x14ac:dyDescent="0.45">
      <c r="A2" s="2" t="s">
        <v>35</v>
      </c>
    </row>
    <row r="3" spans="1:3" x14ac:dyDescent="0.45">
      <c r="A3" s="2" t="s">
        <v>36</v>
      </c>
    </row>
    <row r="4" spans="1:3" x14ac:dyDescent="0.45">
      <c r="A4" s="2" t="s">
        <v>37</v>
      </c>
    </row>
    <row r="5" spans="1:3" x14ac:dyDescent="0.45">
      <c r="A5" s="2" t="s">
        <v>38</v>
      </c>
    </row>
    <row r="6" spans="1:3" x14ac:dyDescent="0.45">
      <c r="A6" s="2" t="s">
        <v>39</v>
      </c>
    </row>
    <row r="7" spans="1:3" x14ac:dyDescent="0.45">
      <c r="A7" s="2" t="s">
        <v>40</v>
      </c>
    </row>
    <row r="8" spans="1:3" x14ac:dyDescent="0.45">
      <c r="A8" s="2" t="s">
        <v>41</v>
      </c>
    </row>
    <row r="9" spans="1:3" x14ac:dyDescent="0.45">
      <c r="A9" s="2" t="s">
        <v>42</v>
      </c>
    </row>
    <row r="10" spans="1:3" x14ac:dyDescent="0.45">
      <c r="A10" s="2" t="s">
        <v>43</v>
      </c>
    </row>
    <row r="11" spans="1:3" x14ac:dyDescent="0.45">
      <c r="A11" s="2" t="s">
        <v>44</v>
      </c>
    </row>
    <row r="12" spans="1:3" x14ac:dyDescent="0.45">
      <c r="A12" s="2" t="s">
        <v>45</v>
      </c>
    </row>
    <row r="13" spans="1:3" x14ac:dyDescent="0.45">
      <c r="A13" s="2" t="s">
        <v>46</v>
      </c>
    </row>
    <row r="14" spans="1:3" x14ac:dyDescent="0.45">
      <c r="A14" s="2" t="s">
        <v>47</v>
      </c>
    </row>
    <row r="15" spans="1:3" x14ac:dyDescent="0.45">
      <c r="A15" s="2" t="s">
        <v>48</v>
      </c>
    </row>
    <row r="16" spans="1:3" x14ac:dyDescent="0.45">
      <c r="A16" s="2" t="s">
        <v>49</v>
      </c>
    </row>
    <row r="17" spans="1:1" x14ac:dyDescent="0.45">
      <c r="A17" s="2" t="s">
        <v>50</v>
      </c>
    </row>
    <row r="18" spans="1:1" x14ac:dyDescent="0.45">
      <c r="A18" s="2" t="s">
        <v>51</v>
      </c>
    </row>
    <row r="19" spans="1:1" x14ac:dyDescent="0.45">
      <c r="A19" s="2" t="s">
        <v>52</v>
      </c>
    </row>
    <row r="20" spans="1:1" x14ac:dyDescent="0.45">
      <c r="A20" s="2" t="s">
        <v>53</v>
      </c>
    </row>
    <row r="21" spans="1:1" x14ac:dyDescent="0.45">
      <c r="A21" s="2" t="s">
        <v>54</v>
      </c>
    </row>
    <row r="22" spans="1:1" x14ac:dyDescent="0.45">
      <c r="A22" s="2" t="s">
        <v>55</v>
      </c>
    </row>
    <row r="23" spans="1:1" x14ac:dyDescent="0.45">
      <c r="A23" s="2" t="s">
        <v>56</v>
      </c>
    </row>
    <row r="24" spans="1:1" x14ac:dyDescent="0.45">
      <c r="A24" s="2" t="s">
        <v>57</v>
      </c>
    </row>
    <row r="25" spans="1:1" x14ac:dyDescent="0.45">
      <c r="A25" s="2" t="s">
        <v>58</v>
      </c>
    </row>
    <row r="26" spans="1:1" x14ac:dyDescent="0.45">
      <c r="A26" s="2" t="s">
        <v>59</v>
      </c>
    </row>
    <row r="27" spans="1:1" x14ac:dyDescent="0.45">
      <c r="A27" s="2" t="s">
        <v>60</v>
      </c>
    </row>
    <row r="28" spans="1:1" x14ac:dyDescent="0.45">
      <c r="A28" s="2" t="s">
        <v>61</v>
      </c>
    </row>
    <row r="29" spans="1:1" x14ac:dyDescent="0.45">
      <c r="A29" s="2" t="s">
        <v>62</v>
      </c>
    </row>
    <row r="30" spans="1:1" x14ac:dyDescent="0.45">
      <c r="A30" s="2" t="s">
        <v>63</v>
      </c>
    </row>
    <row r="31" spans="1:1" x14ac:dyDescent="0.45">
      <c r="A31" s="2" t="s">
        <v>64</v>
      </c>
    </row>
    <row r="32" spans="1:1" x14ac:dyDescent="0.45">
      <c r="A32" s="2" t="s">
        <v>65</v>
      </c>
    </row>
    <row r="33" spans="1:1" x14ac:dyDescent="0.45">
      <c r="A33" s="2" t="s">
        <v>66</v>
      </c>
    </row>
    <row r="34" spans="1:1" x14ac:dyDescent="0.45">
      <c r="A34" s="2" t="s">
        <v>67</v>
      </c>
    </row>
    <row r="35" spans="1:1" x14ac:dyDescent="0.45">
      <c r="A35" s="2" t="s">
        <v>68</v>
      </c>
    </row>
    <row r="36" spans="1:1" x14ac:dyDescent="0.45">
      <c r="A36" s="2" t="s">
        <v>69</v>
      </c>
    </row>
    <row r="37" spans="1:1" x14ac:dyDescent="0.45">
      <c r="A37" s="2" t="s">
        <v>70</v>
      </c>
    </row>
    <row r="38" spans="1:1" x14ac:dyDescent="0.45">
      <c r="A38" s="2" t="s">
        <v>71</v>
      </c>
    </row>
    <row r="39" spans="1:1" x14ac:dyDescent="0.45">
      <c r="A39" s="2" t="s">
        <v>72</v>
      </c>
    </row>
    <row r="40" spans="1:1" x14ac:dyDescent="0.45">
      <c r="A40" s="2" t="s">
        <v>73</v>
      </c>
    </row>
    <row r="41" spans="1:1" x14ac:dyDescent="0.45">
      <c r="A41" s="2" t="s">
        <v>74</v>
      </c>
    </row>
    <row r="42" spans="1:1" x14ac:dyDescent="0.45">
      <c r="A42" s="2" t="s">
        <v>75</v>
      </c>
    </row>
    <row r="43" spans="1:1" x14ac:dyDescent="0.45">
      <c r="A43" s="2" t="s">
        <v>76</v>
      </c>
    </row>
    <row r="44" spans="1:1" x14ac:dyDescent="0.45">
      <c r="A44" s="2" t="s">
        <v>77</v>
      </c>
    </row>
    <row r="45" spans="1:1" x14ac:dyDescent="0.45">
      <c r="A45" s="2" t="s">
        <v>78</v>
      </c>
    </row>
    <row r="46" spans="1:1" x14ac:dyDescent="0.45">
      <c r="A46" s="2" t="s">
        <v>79</v>
      </c>
    </row>
    <row r="47" spans="1:1" x14ac:dyDescent="0.45">
      <c r="A47" s="2" t="s">
        <v>80</v>
      </c>
    </row>
    <row r="48" spans="1:1" x14ac:dyDescent="0.45">
      <c r="A48" s="2" t="s">
        <v>81</v>
      </c>
    </row>
    <row r="49" spans="1:1" x14ac:dyDescent="0.45">
      <c r="A49" s="2" t="s">
        <v>82</v>
      </c>
    </row>
    <row r="50" spans="1:1" x14ac:dyDescent="0.45">
      <c r="A50" s="2" t="s">
        <v>83</v>
      </c>
    </row>
    <row r="51" spans="1:1" x14ac:dyDescent="0.45">
      <c r="A51" s="2" t="s">
        <v>84</v>
      </c>
    </row>
    <row r="52" spans="1:1" x14ac:dyDescent="0.45">
      <c r="A52" s="2" t="s">
        <v>85</v>
      </c>
    </row>
    <row r="53" spans="1:1" x14ac:dyDescent="0.45">
      <c r="A53" s="2" t="s">
        <v>86</v>
      </c>
    </row>
    <row r="54" spans="1:1" x14ac:dyDescent="0.45">
      <c r="A54" s="2" t="s">
        <v>87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8045-7D5B-499A-A2ED-8CE0E6158E0D}">
  <dimension ref="A1:AO58"/>
  <sheetViews>
    <sheetView zoomScale="71" zoomScaleNormal="7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8" x14ac:dyDescent="0.45"/>
  <cols>
    <col min="1" max="1" width="16.69921875" customWidth="1"/>
    <col min="3" max="14" width="10.296875" customWidth="1"/>
    <col min="15" max="15" width="10.296875" style="8" customWidth="1"/>
    <col min="16" max="27" width="10.296875" customWidth="1"/>
    <col min="28" max="28" width="10.296875" style="8" customWidth="1"/>
    <col min="29" max="40" width="10.296875" customWidth="1"/>
    <col min="41" max="41" width="10.296875" style="8" customWidth="1"/>
  </cols>
  <sheetData>
    <row r="1" spans="1:41" ht="22.2" x14ac:dyDescent="0.45">
      <c r="A1" s="4" t="s">
        <v>17</v>
      </c>
    </row>
    <row r="2" spans="1:41" x14ac:dyDescent="0.45">
      <c r="A2" s="3" t="s">
        <v>18</v>
      </c>
      <c r="C2" s="5" t="s">
        <v>4</v>
      </c>
    </row>
    <row r="3" spans="1:41" x14ac:dyDescent="0.45">
      <c r="A3" s="3" t="s">
        <v>3</v>
      </c>
      <c r="C3" s="5" t="s">
        <v>19</v>
      </c>
    </row>
    <row r="4" spans="1:41" x14ac:dyDescent="0.45">
      <c r="C4" s="27" t="s">
        <v>20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9" t="s">
        <v>21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30" t="s">
        <v>22</v>
      </c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</row>
    <row r="5" spans="1:41" x14ac:dyDescent="0.45">
      <c r="A5" s="9" t="s">
        <v>0</v>
      </c>
      <c r="B5" s="10"/>
      <c r="C5" s="11">
        <v>8</v>
      </c>
      <c r="D5" s="11">
        <v>9</v>
      </c>
      <c r="E5" s="11">
        <v>10</v>
      </c>
      <c r="F5" s="11">
        <v>11</v>
      </c>
      <c r="G5" s="11">
        <v>12</v>
      </c>
      <c r="H5" s="11">
        <v>1</v>
      </c>
      <c r="I5" s="11">
        <v>2</v>
      </c>
      <c r="J5" s="11">
        <v>3</v>
      </c>
      <c r="K5" s="11">
        <v>4</v>
      </c>
      <c r="L5" s="11">
        <v>5</v>
      </c>
      <c r="M5" s="11">
        <v>6</v>
      </c>
      <c r="N5" s="11">
        <v>7</v>
      </c>
      <c r="O5" s="12" t="s">
        <v>23</v>
      </c>
      <c r="P5" s="11">
        <v>8</v>
      </c>
      <c r="Q5" s="11">
        <v>9</v>
      </c>
      <c r="R5" s="11">
        <v>10</v>
      </c>
      <c r="S5" s="11">
        <v>11</v>
      </c>
      <c r="T5" s="11">
        <v>12</v>
      </c>
      <c r="U5" s="11">
        <v>1</v>
      </c>
      <c r="V5" s="11">
        <v>2</v>
      </c>
      <c r="W5" s="11">
        <v>3</v>
      </c>
      <c r="X5" s="11">
        <v>4</v>
      </c>
      <c r="Y5" s="11">
        <v>5</v>
      </c>
      <c r="Z5" s="11">
        <v>6</v>
      </c>
      <c r="AA5" s="11">
        <v>7</v>
      </c>
      <c r="AB5" s="12" t="s">
        <v>23</v>
      </c>
      <c r="AC5" s="11">
        <v>8</v>
      </c>
      <c r="AD5" s="11">
        <v>9</v>
      </c>
      <c r="AE5" s="11">
        <v>10</v>
      </c>
      <c r="AF5" s="11">
        <v>11</v>
      </c>
      <c r="AG5" s="11">
        <v>12</v>
      </c>
      <c r="AH5" s="11">
        <v>1</v>
      </c>
      <c r="AI5" s="11">
        <v>2</v>
      </c>
      <c r="AJ5" s="11">
        <v>3</v>
      </c>
      <c r="AK5" s="11">
        <v>4</v>
      </c>
      <c r="AL5" s="11">
        <v>5</v>
      </c>
      <c r="AM5" s="11">
        <v>6</v>
      </c>
      <c r="AN5" s="11">
        <v>7</v>
      </c>
      <c r="AO5" s="13" t="s">
        <v>23</v>
      </c>
    </row>
    <row r="6" spans="1:41" x14ac:dyDescent="0.45">
      <c r="A6" s="14" t="str">
        <f>店舗マスタ!A2</f>
        <v>裾野本店</v>
      </c>
      <c r="B6" s="15"/>
      <c r="C6" s="16">
        <f>SUMIFS(INDEX(元データ!$E$2:$H$20000,0,MATCH($C$2,元データ!$E$1:$H$1,0)),元データ!$A$2:$A$20000,$A6,元データ!$D$2:$D$20000,$C$3,元データ!$B$2:$B$20000,$C$4,元データ!$C$2:$C$20000,C$5)</f>
        <v>1604809</v>
      </c>
      <c r="D6" s="16">
        <f>SUMIFS(INDEX(元データ!$E$2:$H$20000,0,MATCH($C$2,元データ!$E$1:$H$1,0)),元データ!$A$2:$A$20000,$A6,元データ!$D$2:$D$20000,$C$3,元データ!$B$2:$B$20000,$C$4,元データ!$C$2:$C$20000,D$5)</f>
        <v>1533736</v>
      </c>
      <c r="E6" s="16">
        <f>SUMIFS(INDEX(元データ!$E$2:$H$20000,0,MATCH($C$2,元データ!$E$1:$H$1,0)),元データ!$A$2:$A$20000,$A6,元データ!$D$2:$D$20000,$C$3,元データ!$B$2:$B$20000,$C$4,元データ!$C$2:$C$20000,E$5)</f>
        <v>2230848</v>
      </c>
      <c r="F6" s="16">
        <f>SUMIFS(INDEX(元データ!$E$2:$H$20000,0,MATCH($C$2,元データ!$E$1:$H$1,0)),元データ!$A$2:$A$20000,$A6,元データ!$D$2:$D$20000,$C$3,元データ!$B$2:$B$20000,$C$4,元データ!$C$2:$C$20000,F$5)</f>
        <v>1799563</v>
      </c>
      <c r="G6" s="16">
        <f>SUMIFS(INDEX(元データ!$E$2:$H$20000,0,MATCH($C$2,元データ!$E$1:$H$1,0)),元データ!$A$2:$A$20000,$A6,元データ!$D$2:$D$20000,$C$3,元データ!$B$2:$B$20000,$C$4,元データ!$C$2:$C$20000,G$5)</f>
        <v>2045741</v>
      </c>
      <c r="H6" s="16">
        <f>SUMIFS(INDEX(元データ!$E$2:$H$20000,0,MATCH($C$2,元データ!$E$1:$H$1,0)),元データ!$A$2:$A$20000,$A6,元データ!$D$2:$D$20000,$C$3,元データ!$B$2:$B$20000,$C$4,元データ!$C$2:$C$20000,H$5)</f>
        <v>1397078</v>
      </c>
      <c r="I6" s="16">
        <f>SUMIFS(INDEX(元データ!$E$2:$H$20000,0,MATCH($C$2,元データ!$E$1:$H$1,0)),元データ!$A$2:$A$20000,$A6,元データ!$D$2:$D$20000,$C$3,元データ!$B$2:$B$20000,$C$4,元データ!$C$2:$C$20000,I$5)</f>
        <v>1201074</v>
      </c>
      <c r="J6" s="16">
        <f>SUMIFS(INDEX(元データ!$E$2:$H$20000,0,MATCH($C$2,元データ!$E$1:$H$1,0)),元データ!$A$2:$A$20000,$A6,元データ!$D$2:$D$20000,$C$3,元データ!$B$2:$B$20000,$C$4,元データ!$C$2:$C$20000,J$5)</f>
        <v>2346357</v>
      </c>
      <c r="K6" s="16">
        <f>SUMIFS(INDEX(元データ!$E$2:$H$20000,0,MATCH($C$2,元データ!$E$1:$H$1,0)),元データ!$A$2:$A$20000,$A6,元データ!$D$2:$D$20000,$C$3,元データ!$B$2:$B$20000,$C$4,元データ!$C$2:$C$20000,K$5)</f>
        <v>3749904</v>
      </c>
      <c r="L6" s="16">
        <f>SUMIFS(INDEX(元データ!$E$2:$H$20000,0,MATCH($C$2,元データ!$E$1:$H$1,0)),元データ!$A$2:$A$20000,$A6,元データ!$D$2:$D$20000,$C$3,元データ!$B$2:$B$20000,$C$4,元データ!$C$2:$C$20000,L$5)</f>
        <v>2703220</v>
      </c>
      <c r="M6" s="16">
        <f>SUMIFS(INDEX(元データ!$E$2:$H$20000,0,MATCH($C$2,元データ!$E$1:$H$1,0)),元データ!$A$2:$A$20000,$A6,元データ!$D$2:$D$20000,$C$3,元データ!$B$2:$B$20000,$C$4,元データ!$C$2:$C$20000,M$5)</f>
        <v>2520249</v>
      </c>
      <c r="N6" s="16">
        <f>SUMIFS(INDEX(元データ!$E$2:$H$20000,0,MATCH($C$2,元データ!$E$1:$H$1,0)),元データ!$A$2:$A$20000,$A6,元データ!$D$2:$D$20000,$C$3,元データ!$B$2:$B$20000,$C$4,元データ!$C$2:$C$20000,N$5)</f>
        <v>1779152</v>
      </c>
      <c r="O6" s="17">
        <f t="shared" ref="O6:O37" si="0">SUM(C6:N6)</f>
        <v>24911731</v>
      </c>
      <c r="P6" s="16">
        <f>SUMIFS(INDEX(元データ!$E$2:$H$20000,0,MATCH($C$2,元データ!$E$1:$H$1,0)),元データ!$A$2:$A$20000,$A6,元データ!$D$2:$D$20000,$C$3,元データ!$B$2:$B$20000,$P$4,元データ!$C$2:$C$20000,P$5)</f>
        <v>1669180</v>
      </c>
      <c r="Q6" s="16">
        <f>SUMIFS(INDEX(元データ!$E$2:$H$20000,0,MATCH($C$2,元データ!$E$1:$H$1,0)),元データ!$A$2:$A$20000,$A6,元データ!$D$2:$D$20000,$C$3,元データ!$B$2:$B$20000,$P$4,元データ!$C$2:$C$20000,Q$5)</f>
        <v>1548475</v>
      </c>
      <c r="R6" s="16">
        <f>SUMIFS(INDEX(元データ!$E$2:$H$20000,0,MATCH($C$2,元データ!$E$1:$H$1,0)),元データ!$A$2:$A$20000,$A6,元データ!$D$2:$D$20000,$C$3,元データ!$B$2:$B$20000,$P$4,元データ!$C$2:$C$20000,R$5)</f>
        <v>2365982</v>
      </c>
      <c r="S6" s="16">
        <f>SUMIFS(INDEX(元データ!$E$2:$H$20000,0,MATCH($C$2,元データ!$E$1:$H$1,0)),元データ!$A$2:$A$20000,$A6,元データ!$D$2:$D$20000,$C$3,元データ!$B$2:$B$20000,$P$4,元データ!$C$2:$C$20000,S$5)</f>
        <v>1919453</v>
      </c>
      <c r="T6" s="16">
        <f>SUMIFS(INDEX(元データ!$E$2:$H$20000,0,MATCH($C$2,元データ!$E$1:$H$1,0)),元データ!$A$2:$A$20000,$A6,元データ!$D$2:$D$20000,$C$3,元データ!$B$2:$B$20000,$P$4,元データ!$C$2:$C$20000,T$5)</f>
        <v>2183955</v>
      </c>
      <c r="U6" s="16">
        <f>SUMIFS(INDEX(元データ!$E$2:$H$20000,0,MATCH($C$2,元データ!$E$1:$H$1,0)),元データ!$A$2:$A$20000,$A6,元データ!$D$2:$D$20000,$C$3,元データ!$B$2:$B$20000,$P$4,元データ!$C$2:$C$20000,U$5)</f>
        <v>1338289</v>
      </c>
      <c r="V6" s="16">
        <f>SUMIFS(INDEX(元データ!$E$2:$H$20000,0,MATCH($C$2,元データ!$E$1:$H$1,0)),元データ!$A$2:$A$20000,$A6,元データ!$D$2:$D$20000,$C$3,元データ!$B$2:$B$20000,$P$4,元データ!$C$2:$C$20000,V$5)</f>
        <v>1368988</v>
      </c>
      <c r="W6" s="16">
        <f>SUMIFS(INDEX(元データ!$E$2:$H$20000,0,MATCH($C$2,元データ!$E$1:$H$1,0)),元データ!$A$2:$A$20000,$A6,元データ!$D$2:$D$20000,$C$3,元データ!$B$2:$B$20000,$P$4,元データ!$C$2:$C$20000,W$5)</f>
        <v>3127025</v>
      </c>
      <c r="X6" s="16">
        <f>SUMIFS(INDEX(元データ!$E$2:$H$20000,0,MATCH($C$2,元データ!$E$1:$H$1,0)),元データ!$A$2:$A$20000,$A6,元データ!$D$2:$D$20000,$C$3,元データ!$B$2:$B$20000,$P$4,元データ!$C$2:$C$20000,X$5)</f>
        <v>3719905</v>
      </c>
      <c r="Y6" s="16">
        <f>SUMIFS(INDEX(元データ!$E$2:$H$20000,0,MATCH($C$2,元データ!$E$1:$H$1,0)),元データ!$A$2:$A$20000,$A6,元データ!$D$2:$D$20000,$C$3,元データ!$B$2:$B$20000,$P$4,元データ!$C$2:$C$20000,Y$5)</f>
        <v>3281803</v>
      </c>
      <c r="Z6" s="16">
        <f>SUMIFS(INDEX(元データ!$E$2:$H$20000,0,MATCH($C$2,元データ!$E$1:$H$1,0)),元データ!$A$2:$A$20000,$A6,元データ!$D$2:$D$20000,$C$3,元データ!$B$2:$B$20000,$P$4,元データ!$C$2:$C$20000,Z$5)</f>
        <v>2760498</v>
      </c>
      <c r="AA6" s="16">
        <f>SUMIFS(INDEX(元データ!$E$2:$H$20000,0,MATCH($C$2,元データ!$E$1:$H$1,0)),元データ!$A$2:$A$20000,$A6,元データ!$D$2:$D$20000,$C$3,元データ!$B$2:$B$20000,$P$4,元データ!$C$2:$C$20000,AA$5)</f>
        <v>2040673</v>
      </c>
      <c r="AB6" s="17">
        <f t="shared" ref="AB6:AB37" si="1">SUM(P6:AA6)</f>
        <v>27324226</v>
      </c>
      <c r="AC6" s="18">
        <f t="shared" ref="AC6:AC37" si="2">IFERROR(C6/P6,"")</f>
        <v>0.96143555518278434</v>
      </c>
      <c r="AD6" s="18">
        <f t="shared" ref="AD6:AD37" si="3">IFERROR(D6/Q6,"")</f>
        <v>0.99048160286733722</v>
      </c>
      <c r="AE6" s="18">
        <f t="shared" ref="AE6:AE37" si="4">IFERROR(E6/R6,"")</f>
        <v>0.94288460351769376</v>
      </c>
      <c r="AF6" s="18">
        <f t="shared" ref="AF6:AF37" si="5">IFERROR(F6/S6,"")</f>
        <v>0.93753949692959404</v>
      </c>
      <c r="AG6" s="18">
        <f t="shared" ref="AG6:AG37" si="6">IFERROR(G6/T6,"")</f>
        <v>0.93671389749330913</v>
      </c>
      <c r="AH6" s="18">
        <f t="shared" ref="AH6:AH37" si="7">IFERROR(H6/U6,"")</f>
        <v>1.0439284788263223</v>
      </c>
      <c r="AI6" s="18">
        <f t="shared" ref="AI6:AI37" si="8">IFERROR(I6/V6,"")</f>
        <v>0.87734443252972272</v>
      </c>
      <c r="AJ6" s="18">
        <f t="shared" ref="AJ6:AJ37" si="9">IFERROR(J6/W6,"")</f>
        <v>0.7503480144866127</v>
      </c>
      <c r="AK6" s="18">
        <f t="shared" ref="AK6:AK37" si="10">IFERROR(K6/X6,"")</f>
        <v>1.0080644532588869</v>
      </c>
      <c r="AL6" s="18">
        <f t="shared" ref="AL6:AL37" si="11">IFERROR(L6/Y6,"")</f>
        <v>0.82369965534189593</v>
      </c>
      <c r="AM6" s="18">
        <f t="shared" ref="AM6:AM37" si="12">IFERROR(M6/Z6,"")</f>
        <v>0.91296896429557273</v>
      </c>
      <c r="AN6" s="18">
        <f t="shared" ref="AN6:AN37" si="13">IFERROR(N6/AA6,"")</f>
        <v>0.87184570972419395</v>
      </c>
      <c r="AO6" s="19">
        <f t="shared" ref="AO6:AO37" si="14">IFERROR(O6/AB6,"")</f>
        <v>0.91170856953093571</v>
      </c>
    </row>
    <row r="7" spans="1:41" x14ac:dyDescent="0.45">
      <c r="A7" s="14" t="str">
        <f>店舗マスタ!A3</f>
        <v>三 島 店</v>
      </c>
      <c r="B7" s="15"/>
      <c r="C7" s="16">
        <f>SUMIFS(INDEX(元データ!$E$2:$H$20000,0,MATCH($C$2,元データ!$E$1:$H$1,0)),元データ!$A$2:$A$20000,$A7,元データ!$D$2:$D$20000,$C$3,元データ!$B$2:$B$20000,$C$4,元データ!$C$2:$C$20000,C$5)</f>
        <v>1347241</v>
      </c>
      <c r="D7" s="16">
        <f>SUMIFS(INDEX(元データ!$E$2:$H$20000,0,MATCH($C$2,元データ!$E$1:$H$1,0)),元データ!$A$2:$A$20000,$A7,元データ!$D$2:$D$20000,$C$3,元データ!$B$2:$B$20000,$C$4,元データ!$C$2:$C$20000,D$5)</f>
        <v>1377125</v>
      </c>
      <c r="E7" s="16">
        <f>SUMIFS(INDEX(元データ!$E$2:$H$20000,0,MATCH($C$2,元データ!$E$1:$H$1,0)),元データ!$A$2:$A$20000,$A7,元データ!$D$2:$D$20000,$C$3,元データ!$B$2:$B$20000,$C$4,元データ!$C$2:$C$20000,E$5)</f>
        <v>1916787</v>
      </c>
      <c r="F7" s="16">
        <f>SUMIFS(INDEX(元データ!$E$2:$H$20000,0,MATCH($C$2,元データ!$E$1:$H$1,0)),元データ!$A$2:$A$20000,$A7,元データ!$D$2:$D$20000,$C$3,元データ!$B$2:$B$20000,$C$4,元データ!$C$2:$C$20000,F$5)</f>
        <v>1778551</v>
      </c>
      <c r="G7" s="16">
        <f>SUMIFS(INDEX(元データ!$E$2:$H$20000,0,MATCH($C$2,元データ!$E$1:$H$1,0)),元データ!$A$2:$A$20000,$A7,元データ!$D$2:$D$20000,$C$3,元データ!$B$2:$B$20000,$C$4,元データ!$C$2:$C$20000,G$5)</f>
        <v>1675687</v>
      </c>
      <c r="H7" s="16">
        <f>SUMIFS(INDEX(元データ!$E$2:$H$20000,0,MATCH($C$2,元データ!$E$1:$H$1,0)),元データ!$A$2:$A$20000,$A7,元データ!$D$2:$D$20000,$C$3,元データ!$B$2:$B$20000,$C$4,元データ!$C$2:$C$20000,H$5)</f>
        <v>1048452</v>
      </c>
      <c r="I7" s="16">
        <f>SUMIFS(INDEX(元データ!$E$2:$H$20000,0,MATCH($C$2,元データ!$E$1:$H$1,0)),元データ!$A$2:$A$20000,$A7,元データ!$D$2:$D$20000,$C$3,元データ!$B$2:$B$20000,$C$4,元データ!$C$2:$C$20000,I$5)</f>
        <v>966925</v>
      </c>
      <c r="J7" s="16">
        <f>SUMIFS(INDEX(元データ!$E$2:$H$20000,0,MATCH($C$2,元データ!$E$1:$H$1,0)),元データ!$A$2:$A$20000,$A7,元データ!$D$2:$D$20000,$C$3,元データ!$B$2:$B$20000,$C$4,元データ!$C$2:$C$20000,J$5)</f>
        <v>2039609</v>
      </c>
      <c r="K7" s="16">
        <f>SUMIFS(INDEX(元データ!$E$2:$H$20000,0,MATCH($C$2,元データ!$E$1:$H$1,0)),元データ!$A$2:$A$20000,$A7,元データ!$D$2:$D$20000,$C$3,元データ!$B$2:$B$20000,$C$4,元データ!$C$2:$C$20000,K$5)</f>
        <v>3881655</v>
      </c>
      <c r="L7" s="16">
        <f>SUMIFS(INDEX(元データ!$E$2:$H$20000,0,MATCH($C$2,元データ!$E$1:$H$1,0)),元データ!$A$2:$A$20000,$A7,元データ!$D$2:$D$20000,$C$3,元データ!$B$2:$B$20000,$C$4,元データ!$C$2:$C$20000,L$5)</f>
        <v>2343499</v>
      </c>
      <c r="M7" s="16">
        <f>SUMIFS(INDEX(元データ!$E$2:$H$20000,0,MATCH($C$2,元データ!$E$1:$H$1,0)),元データ!$A$2:$A$20000,$A7,元データ!$D$2:$D$20000,$C$3,元データ!$B$2:$B$20000,$C$4,元データ!$C$2:$C$20000,M$5)</f>
        <v>2188895</v>
      </c>
      <c r="N7" s="16">
        <f>SUMIFS(INDEX(元データ!$E$2:$H$20000,0,MATCH($C$2,元データ!$E$1:$H$1,0)),元データ!$A$2:$A$20000,$A7,元データ!$D$2:$D$20000,$C$3,元データ!$B$2:$B$20000,$C$4,元データ!$C$2:$C$20000,N$5)</f>
        <v>1514522</v>
      </c>
      <c r="O7" s="17">
        <f t="shared" si="0"/>
        <v>22078948</v>
      </c>
      <c r="P7" s="16">
        <f>SUMIFS(INDEX(元データ!$E$2:$H$20000,0,MATCH($C$2,元データ!$E$1:$H$1,0)),元データ!$A$2:$A$20000,$A7,元データ!$D$2:$D$20000,$C$3,元データ!$B$2:$B$20000,$P$4,元データ!$C$2:$C$20000,P$5)</f>
        <v>1339195</v>
      </c>
      <c r="Q7" s="16">
        <f>SUMIFS(INDEX(元データ!$E$2:$H$20000,0,MATCH($C$2,元データ!$E$1:$H$1,0)),元データ!$A$2:$A$20000,$A7,元データ!$D$2:$D$20000,$C$3,元データ!$B$2:$B$20000,$P$4,元データ!$C$2:$C$20000,Q$5)</f>
        <v>1346863</v>
      </c>
      <c r="R7" s="16">
        <f>SUMIFS(INDEX(元データ!$E$2:$H$20000,0,MATCH($C$2,元データ!$E$1:$H$1,0)),元データ!$A$2:$A$20000,$A7,元データ!$D$2:$D$20000,$C$3,元データ!$B$2:$B$20000,$P$4,元データ!$C$2:$C$20000,R$5)</f>
        <v>1890120</v>
      </c>
      <c r="S7" s="16">
        <f>SUMIFS(INDEX(元データ!$E$2:$H$20000,0,MATCH($C$2,元データ!$E$1:$H$1,0)),元データ!$A$2:$A$20000,$A7,元データ!$D$2:$D$20000,$C$3,元データ!$B$2:$B$20000,$P$4,元データ!$C$2:$C$20000,S$5)</f>
        <v>1651101</v>
      </c>
      <c r="T7" s="16">
        <f>SUMIFS(INDEX(元データ!$E$2:$H$20000,0,MATCH($C$2,元データ!$E$1:$H$1,0)),元データ!$A$2:$A$20000,$A7,元データ!$D$2:$D$20000,$C$3,元データ!$B$2:$B$20000,$P$4,元データ!$C$2:$C$20000,T$5)</f>
        <v>2026432</v>
      </c>
      <c r="U7" s="16">
        <f>SUMIFS(INDEX(元データ!$E$2:$H$20000,0,MATCH($C$2,元データ!$E$1:$H$1,0)),元データ!$A$2:$A$20000,$A7,元データ!$D$2:$D$20000,$C$3,元データ!$B$2:$B$20000,$P$4,元データ!$C$2:$C$20000,U$5)</f>
        <v>1110699</v>
      </c>
      <c r="V7" s="16">
        <f>SUMIFS(INDEX(元データ!$E$2:$H$20000,0,MATCH($C$2,元データ!$E$1:$H$1,0)),元データ!$A$2:$A$20000,$A7,元データ!$D$2:$D$20000,$C$3,元データ!$B$2:$B$20000,$P$4,元データ!$C$2:$C$20000,V$5)</f>
        <v>1048670</v>
      </c>
      <c r="W7" s="16">
        <f>SUMIFS(INDEX(元データ!$E$2:$H$20000,0,MATCH($C$2,元データ!$E$1:$H$1,0)),元データ!$A$2:$A$20000,$A7,元データ!$D$2:$D$20000,$C$3,元データ!$B$2:$B$20000,$P$4,元データ!$C$2:$C$20000,W$5)</f>
        <v>2504083</v>
      </c>
      <c r="X7" s="16">
        <f>SUMIFS(INDEX(元データ!$E$2:$H$20000,0,MATCH($C$2,元データ!$E$1:$H$1,0)),元データ!$A$2:$A$20000,$A7,元データ!$D$2:$D$20000,$C$3,元データ!$B$2:$B$20000,$P$4,元データ!$C$2:$C$20000,X$5)</f>
        <v>3483289</v>
      </c>
      <c r="Y7" s="16">
        <f>SUMIFS(INDEX(元データ!$E$2:$H$20000,0,MATCH($C$2,元データ!$E$1:$H$1,0)),元データ!$A$2:$A$20000,$A7,元データ!$D$2:$D$20000,$C$3,元データ!$B$2:$B$20000,$P$4,元データ!$C$2:$C$20000,Y$5)</f>
        <v>3073478</v>
      </c>
      <c r="Z7" s="16">
        <f>SUMIFS(INDEX(元データ!$E$2:$H$20000,0,MATCH($C$2,元データ!$E$1:$H$1,0)),元データ!$A$2:$A$20000,$A7,元データ!$D$2:$D$20000,$C$3,元データ!$B$2:$B$20000,$P$4,元データ!$C$2:$C$20000,Z$5)</f>
        <v>2412715</v>
      </c>
      <c r="AA7" s="16">
        <f>SUMIFS(INDEX(元データ!$E$2:$H$20000,0,MATCH($C$2,元データ!$E$1:$H$1,0)),元データ!$A$2:$A$20000,$A7,元データ!$D$2:$D$20000,$C$3,元データ!$B$2:$B$20000,$P$4,元データ!$C$2:$C$20000,AA$5)</f>
        <v>1654677</v>
      </c>
      <c r="AB7" s="17">
        <f t="shared" si="1"/>
        <v>23541322</v>
      </c>
      <c r="AC7" s="18">
        <f t="shared" si="2"/>
        <v>1.0060080869477559</v>
      </c>
      <c r="AD7" s="18">
        <f t="shared" si="3"/>
        <v>1.0224685064479462</v>
      </c>
      <c r="AE7" s="18">
        <f t="shared" si="4"/>
        <v>1.0141086280236176</v>
      </c>
      <c r="AF7" s="18">
        <f t="shared" si="5"/>
        <v>1.0771909168488178</v>
      </c>
      <c r="AG7" s="18">
        <f t="shared" si="6"/>
        <v>0.82691499147269687</v>
      </c>
      <c r="AH7" s="18">
        <f t="shared" si="7"/>
        <v>0.94395691361926137</v>
      </c>
      <c r="AI7" s="18">
        <f t="shared" si="8"/>
        <v>0.92204888096350612</v>
      </c>
      <c r="AJ7" s="18">
        <f t="shared" si="9"/>
        <v>0.81451333681830829</v>
      </c>
      <c r="AK7" s="18">
        <f t="shared" si="10"/>
        <v>1.1143649005293561</v>
      </c>
      <c r="AL7" s="18">
        <f t="shared" si="11"/>
        <v>0.7624908979338717</v>
      </c>
      <c r="AM7" s="18">
        <f t="shared" si="12"/>
        <v>0.90723313777217784</v>
      </c>
      <c r="AN7" s="18">
        <f t="shared" si="13"/>
        <v>0.91529766836669635</v>
      </c>
      <c r="AO7" s="19">
        <f t="shared" si="14"/>
        <v>0.9378805489343377</v>
      </c>
    </row>
    <row r="8" spans="1:41" x14ac:dyDescent="0.45">
      <c r="A8" s="14" t="str">
        <f>店舗マスタ!A4</f>
        <v>ｱｰｹｰﾄﾞ店</v>
      </c>
      <c r="B8" s="15"/>
      <c r="C8" s="16">
        <f>SUMIFS(INDEX(元データ!$E$2:$H$20000,0,MATCH($C$2,元データ!$E$1:$H$1,0)),元データ!$A$2:$A$20000,$A8,元データ!$D$2:$D$20000,$C$3,元データ!$B$2:$B$20000,$C$4,元データ!$C$2:$C$20000,C$5)</f>
        <v>710995</v>
      </c>
      <c r="D8" s="16">
        <f>SUMIFS(INDEX(元データ!$E$2:$H$20000,0,MATCH($C$2,元データ!$E$1:$H$1,0)),元データ!$A$2:$A$20000,$A8,元データ!$D$2:$D$20000,$C$3,元データ!$B$2:$B$20000,$C$4,元データ!$C$2:$C$20000,D$5)</f>
        <v>706691</v>
      </c>
      <c r="E8" s="16">
        <f>SUMIFS(INDEX(元データ!$E$2:$H$20000,0,MATCH($C$2,元データ!$E$1:$H$1,0)),元データ!$A$2:$A$20000,$A8,元データ!$D$2:$D$20000,$C$3,元データ!$B$2:$B$20000,$C$4,元データ!$C$2:$C$20000,E$5)</f>
        <v>1085550</v>
      </c>
      <c r="F8" s="16">
        <f>SUMIFS(INDEX(元データ!$E$2:$H$20000,0,MATCH($C$2,元データ!$E$1:$H$1,0)),元データ!$A$2:$A$20000,$A8,元データ!$D$2:$D$20000,$C$3,元データ!$B$2:$B$20000,$C$4,元データ!$C$2:$C$20000,F$5)</f>
        <v>988474</v>
      </c>
      <c r="G8" s="16">
        <f>SUMIFS(INDEX(元データ!$E$2:$H$20000,0,MATCH($C$2,元データ!$E$1:$H$1,0)),元データ!$A$2:$A$20000,$A8,元データ!$D$2:$D$20000,$C$3,元データ!$B$2:$B$20000,$C$4,元データ!$C$2:$C$20000,G$5)</f>
        <v>945471</v>
      </c>
      <c r="H8" s="16">
        <f>SUMIFS(INDEX(元データ!$E$2:$H$20000,0,MATCH($C$2,元データ!$E$1:$H$1,0)),元データ!$A$2:$A$20000,$A8,元データ!$D$2:$D$20000,$C$3,元データ!$B$2:$B$20000,$C$4,元データ!$C$2:$C$20000,H$5)</f>
        <v>567187</v>
      </c>
      <c r="I8" s="16">
        <f>SUMIFS(INDEX(元データ!$E$2:$H$20000,0,MATCH($C$2,元データ!$E$1:$H$1,0)),元データ!$A$2:$A$20000,$A8,元データ!$D$2:$D$20000,$C$3,元データ!$B$2:$B$20000,$C$4,元データ!$C$2:$C$20000,I$5)</f>
        <v>564938</v>
      </c>
      <c r="J8" s="16">
        <f>SUMIFS(INDEX(元データ!$E$2:$H$20000,0,MATCH($C$2,元データ!$E$1:$H$1,0)),元データ!$A$2:$A$20000,$A8,元データ!$D$2:$D$20000,$C$3,元データ!$B$2:$B$20000,$C$4,元データ!$C$2:$C$20000,J$5)</f>
        <v>1056195</v>
      </c>
      <c r="K8" s="16">
        <f>SUMIFS(INDEX(元データ!$E$2:$H$20000,0,MATCH($C$2,元データ!$E$1:$H$1,0)),元データ!$A$2:$A$20000,$A8,元データ!$D$2:$D$20000,$C$3,元データ!$B$2:$B$20000,$C$4,元データ!$C$2:$C$20000,K$5)</f>
        <v>1771940</v>
      </c>
      <c r="L8" s="16">
        <f>SUMIFS(INDEX(元データ!$E$2:$H$20000,0,MATCH($C$2,元データ!$E$1:$H$1,0)),元データ!$A$2:$A$20000,$A8,元データ!$D$2:$D$20000,$C$3,元データ!$B$2:$B$20000,$C$4,元データ!$C$2:$C$20000,L$5)</f>
        <v>1163965</v>
      </c>
      <c r="M8" s="16">
        <f>SUMIFS(INDEX(元データ!$E$2:$H$20000,0,MATCH($C$2,元データ!$E$1:$H$1,0)),元データ!$A$2:$A$20000,$A8,元データ!$D$2:$D$20000,$C$3,元データ!$B$2:$B$20000,$C$4,元データ!$C$2:$C$20000,M$5)</f>
        <v>1070512</v>
      </c>
      <c r="N8" s="16">
        <f>SUMIFS(INDEX(元データ!$E$2:$H$20000,0,MATCH($C$2,元データ!$E$1:$H$1,0)),元データ!$A$2:$A$20000,$A8,元データ!$D$2:$D$20000,$C$3,元データ!$B$2:$B$20000,$C$4,元データ!$C$2:$C$20000,N$5)</f>
        <v>0</v>
      </c>
      <c r="O8" s="17">
        <f t="shared" si="0"/>
        <v>10631918</v>
      </c>
      <c r="P8" s="16">
        <f>SUMIFS(INDEX(元データ!$E$2:$H$20000,0,MATCH($C$2,元データ!$E$1:$H$1,0)),元データ!$A$2:$A$20000,$A8,元データ!$D$2:$D$20000,$C$3,元データ!$B$2:$B$20000,$P$4,元データ!$C$2:$C$20000,P$5)</f>
        <v>764391</v>
      </c>
      <c r="Q8" s="16">
        <f>SUMIFS(INDEX(元データ!$E$2:$H$20000,0,MATCH($C$2,元データ!$E$1:$H$1,0)),元データ!$A$2:$A$20000,$A8,元データ!$D$2:$D$20000,$C$3,元データ!$B$2:$B$20000,$P$4,元データ!$C$2:$C$20000,Q$5)</f>
        <v>719935</v>
      </c>
      <c r="R8" s="16">
        <f>SUMIFS(INDEX(元データ!$E$2:$H$20000,0,MATCH($C$2,元データ!$E$1:$H$1,0)),元データ!$A$2:$A$20000,$A8,元データ!$D$2:$D$20000,$C$3,元データ!$B$2:$B$20000,$P$4,元データ!$C$2:$C$20000,R$5)</f>
        <v>1166383</v>
      </c>
      <c r="S8" s="16">
        <f>SUMIFS(INDEX(元データ!$E$2:$H$20000,0,MATCH($C$2,元データ!$E$1:$H$1,0)),元データ!$A$2:$A$20000,$A8,元データ!$D$2:$D$20000,$C$3,元データ!$B$2:$B$20000,$P$4,元データ!$C$2:$C$20000,S$5)</f>
        <v>961446</v>
      </c>
      <c r="T8" s="16">
        <f>SUMIFS(INDEX(元データ!$E$2:$H$20000,0,MATCH($C$2,元データ!$E$1:$H$1,0)),元データ!$A$2:$A$20000,$A8,元データ!$D$2:$D$20000,$C$3,元データ!$B$2:$B$20000,$P$4,元データ!$C$2:$C$20000,T$5)</f>
        <v>1027404</v>
      </c>
      <c r="U8" s="16">
        <f>SUMIFS(INDEX(元データ!$E$2:$H$20000,0,MATCH($C$2,元データ!$E$1:$H$1,0)),元データ!$A$2:$A$20000,$A8,元データ!$D$2:$D$20000,$C$3,元データ!$B$2:$B$20000,$P$4,元データ!$C$2:$C$20000,U$5)</f>
        <v>733675</v>
      </c>
      <c r="V8" s="16">
        <f>SUMIFS(INDEX(元データ!$E$2:$H$20000,0,MATCH($C$2,元データ!$E$1:$H$1,0)),元データ!$A$2:$A$20000,$A8,元データ!$D$2:$D$20000,$C$3,元データ!$B$2:$B$20000,$P$4,元データ!$C$2:$C$20000,V$5)</f>
        <v>611862</v>
      </c>
      <c r="W8" s="16">
        <f>SUMIFS(INDEX(元データ!$E$2:$H$20000,0,MATCH($C$2,元データ!$E$1:$H$1,0)),元データ!$A$2:$A$20000,$A8,元データ!$D$2:$D$20000,$C$3,元データ!$B$2:$B$20000,$P$4,元データ!$C$2:$C$20000,W$5)</f>
        <v>1335104</v>
      </c>
      <c r="X8" s="16">
        <f>SUMIFS(INDEX(元データ!$E$2:$H$20000,0,MATCH($C$2,元データ!$E$1:$H$1,0)),元データ!$A$2:$A$20000,$A8,元データ!$D$2:$D$20000,$C$3,元データ!$B$2:$B$20000,$P$4,元データ!$C$2:$C$20000,X$5)</f>
        <v>1671864</v>
      </c>
      <c r="Y8" s="16">
        <f>SUMIFS(INDEX(元データ!$E$2:$H$20000,0,MATCH($C$2,元データ!$E$1:$H$1,0)),元データ!$A$2:$A$20000,$A8,元データ!$D$2:$D$20000,$C$3,元データ!$B$2:$B$20000,$P$4,元データ!$C$2:$C$20000,Y$5)</f>
        <v>1481090</v>
      </c>
      <c r="Z8" s="16">
        <f>SUMIFS(INDEX(元データ!$E$2:$H$20000,0,MATCH($C$2,元データ!$E$1:$H$1,0)),元データ!$A$2:$A$20000,$A8,元データ!$D$2:$D$20000,$C$3,元データ!$B$2:$B$20000,$P$4,元データ!$C$2:$C$20000,Z$5)</f>
        <v>1268687</v>
      </c>
      <c r="AA8" s="16">
        <f>SUMIFS(INDEX(元データ!$E$2:$H$20000,0,MATCH($C$2,元データ!$E$1:$H$1,0)),元データ!$A$2:$A$20000,$A8,元データ!$D$2:$D$20000,$C$3,元データ!$B$2:$B$20000,$P$4,元データ!$C$2:$C$20000,AA$5)</f>
        <v>0</v>
      </c>
      <c r="AB8" s="17">
        <f t="shared" si="1"/>
        <v>11741841</v>
      </c>
      <c r="AC8" s="18">
        <f t="shared" si="2"/>
        <v>0.93014569768613187</v>
      </c>
      <c r="AD8" s="18">
        <f t="shared" si="3"/>
        <v>0.98160389479605803</v>
      </c>
      <c r="AE8" s="18">
        <f t="shared" si="4"/>
        <v>0.93069772107446691</v>
      </c>
      <c r="AF8" s="18">
        <f t="shared" si="5"/>
        <v>1.0281118232329221</v>
      </c>
      <c r="AG8" s="18">
        <f t="shared" si="6"/>
        <v>0.9202524031442354</v>
      </c>
      <c r="AH8" s="18">
        <f t="shared" si="7"/>
        <v>0.77307663474971888</v>
      </c>
      <c r="AI8" s="18">
        <f t="shared" si="8"/>
        <v>0.92330950443073767</v>
      </c>
      <c r="AJ8" s="18">
        <f t="shared" si="9"/>
        <v>0.79109567494367483</v>
      </c>
      <c r="AK8" s="18">
        <f t="shared" si="10"/>
        <v>1.0598589358943071</v>
      </c>
      <c r="AL8" s="18">
        <f t="shared" si="11"/>
        <v>0.78588404485885399</v>
      </c>
      <c r="AM8" s="18">
        <f t="shared" si="12"/>
        <v>0.84379519928871349</v>
      </c>
      <c r="AN8" s="18" t="str">
        <f t="shared" si="13"/>
        <v/>
      </c>
      <c r="AO8" s="19">
        <f t="shared" si="14"/>
        <v>0.90547283002725043</v>
      </c>
    </row>
    <row r="9" spans="1:41" x14ac:dyDescent="0.45">
      <c r="A9" s="14" t="str">
        <f>店舗マスタ!A5</f>
        <v>東田中店</v>
      </c>
      <c r="B9" s="15"/>
      <c r="C9" s="16">
        <f>SUMIFS(INDEX(元データ!$E$2:$H$20000,0,MATCH($C$2,元データ!$E$1:$H$1,0)),元データ!$A$2:$A$20000,$A9,元データ!$D$2:$D$20000,$C$3,元データ!$B$2:$B$20000,$C$4,元データ!$C$2:$C$20000,C$5)</f>
        <v>1740060</v>
      </c>
      <c r="D9" s="16">
        <f>SUMIFS(INDEX(元データ!$E$2:$H$20000,0,MATCH($C$2,元データ!$E$1:$H$1,0)),元データ!$A$2:$A$20000,$A9,元データ!$D$2:$D$20000,$C$3,元データ!$B$2:$B$20000,$C$4,元データ!$C$2:$C$20000,D$5)</f>
        <v>1903597</v>
      </c>
      <c r="E9" s="16">
        <f>SUMIFS(INDEX(元データ!$E$2:$H$20000,0,MATCH($C$2,元データ!$E$1:$H$1,0)),元データ!$A$2:$A$20000,$A9,元データ!$D$2:$D$20000,$C$3,元データ!$B$2:$B$20000,$C$4,元データ!$C$2:$C$20000,E$5)</f>
        <v>2817035</v>
      </c>
      <c r="F9" s="16">
        <f>SUMIFS(INDEX(元データ!$E$2:$H$20000,0,MATCH($C$2,元データ!$E$1:$H$1,0)),元データ!$A$2:$A$20000,$A9,元データ!$D$2:$D$20000,$C$3,元データ!$B$2:$B$20000,$C$4,元データ!$C$2:$C$20000,F$5)</f>
        <v>2158618</v>
      </c>
      <c r="G9" s="16">
        <f>SUMIFS(INDEX(元データ!$E$2:$H$20000,0,MATCH($C$2,元データ!$E$1:$H$1,0)),元データ!$A$2:$A$20000,$A9,元データ!$D$2:$D$20000,$C$3,元データ!$B$2:$B$20000,$C$4,元データ!$C$2:$C$20000,G$5)</f>
        <v>2167750</v>
      </c>
      <c r="H9" s="16">
        <f>SUMIFS(INDEX(元データ!$E$2:$H$20000,0,MATCH($C$2,元データ!$E$1:$H$1,0)),元データ!$A$2:$A$20000,$A9,元データ!$D$2:$D$20000,$C$3,元データ!$B$2:$B$20000,$C$4,元データ!$C$2:$C$20000,H$5)</f>
        <v>1428155</v>
      </c>
      <c r="I9" s="16">
        <f>SUMIFS(INDEX(元データ!$E$2:$H$20000,0,MATCH($C$2,元データ!$E$1:$H$1,0)),元データ!$A$2:$A$20000,$A9,元データ!$D$2:$D$20000,$C$3,元データ!$B$2:$B$20000,$C$4,元データ!$C$2:$C$20000,I$5)</f>
        <v>1471113</v>
      </c>
      <c r="J9" s="16">
        <f>SUMIFS(INDEX(元データ!$E$2:$H$20000,0,MATCH($C$2,元データ!$E$1:$H$1,0)),元データ!$A$2:$A$20000,$A9,元データ!$D$2:$D$20000,$C$3,元データ!$B$2:$B$20000,$C$4,元データ!$C$2:$C$20000,J$5)</f>
        <v>2685111</v>
      </c>
      <c r="K9" s="16">
        <f>SUMIFS(INDEX(元データ!$E$2:$H$20000,0,MATCH($C$2,元データ!$E$1:$H$1,0)),元データ!$A$2:$A$20000,$A9,元データ!$D$2:$D$20000,$C$3,元データ!$B$2:$B$20000,$C$4,元データ!$C$2:$C$20000,K$5)</f>
        <v>4333685</v>
      </c>
      <c r="L9" s="16">
        <f>SUMIFS(INDEX(元データ!$E$2:$H$20000,0,MATCH($C$2,元データ!$E$1:$H$1,0)),元データ!$A$2:$A$20000,$A9,元データ!$D$2:$D$20000,$C$3,元データ!$B$2:$B$20000,$C$4,元データ!$C$2:$C$20000,L$5)</f>
        <v>3121130</v>
      </c>
      <c r="M9" s="16">
        <f>SUMIFS(INDEX(元データ!$E$2:$H$20000,0,MATCH($C$2,元データ!$E$1:$H$1,0)),元データ!$A$2:$A$20000,$A9,元データ!$D$2:$D$20000,$C$3,元データ!$B$2:$B$20000,$C$4,元データ!$C$2:$C$20000,M$5)</f>
        <v>3120890</v>
      </c>
      <c r="N9" s="16">
        <f>SUMIFS(INDEX(元データ!$E$2:$H$20000,0,MATCH($C$2,元データ!$E$1:$H$1,0)),元データ!$A$2:$A$20000,$A9,元データ!$D$2:$D$20000,$C$3,元データ!$B$2:$B$20000,$C$4,元データ!$C$2:$C$20000,N$5)</f>
        <v>2731393</v>
      </c>
      <c r="O9" s="17">
        <f t="shared" si="0"/>
        <v>29678537</v>
      </c>
      <c r="P9" s="16">
        <f>SUMIFS(INDEX(元データ!$E$2:$H$20000,0,MATCH($C$2,元データ!$E$1:$H$1,0)),元データ!$A$2:$A$20000,$A9,元データ!$D$2:$D$20000,$C$3,元データ!$B$2:$B$20000,$P$4,元データ!$C$2:$C$20000,P$5)</f>
        <v>1800070</v>
      </c>
      <c r="Q9" s="16">
        <f>SUMIFS(INDEX(元データ!$E$2:$H$20000,0,MATCH($C$2,元データ!$E$1:$H$1,0)),元データ!$A$2:$A$20000,$A9,元データ!$D$2:$D$20000,$C$3,元データ!$B$2:$B$20000,$P$4,元データ!$C$2:$C$20000,Q$5)</f>
        <v>1629373</v>
      </c>
      <c r="R9" s="16">
        <f>SUMIFS(INDEX(元データ!$E$2:$H$20000,0,MATCH($C$2,元データ!$E$1:$H$1,0)),元データ!$A$2:$A$20000,$A9,元データ!$D$2:$D$20000,$C$3,元データ!$B$2:$B$20000,$P$4,元データ!$C$2:$C$20000,R$5)</f>
        <v>2464702</v>
      </c>
      <c r="S9" s="16">
        <f>SUMIFS(INDEX(元データ!$E$2:$H$20000,0,MATCH($C$2,元データ!$E$1:$H$1,0)),元データ!$A$2:$A$20000,$A9,元データ!$D$2:$D$20000,$C$3,元データ!$B$2:$B$20000,$P$4,元データ!$C$2:$C$20000,S$5)</f>
        <v>2149893</v>
      </c>
      <c r="T9" s="16">
        <f>SUMIFS(INDEX(元データ!$E$2:$H$20000,0,MATCH($C$2,元データ!$E$1:$H$1,0)),元データ!$A$2:$A$20000,$A9,元データ!$D$2:$D$20000,$C$3,元データ!$B$2:$B$20000,$P$4,元データ!$C$2:$C$20000,T$5)</f>
        <v>2174894</v>
      </c>
      <c r="U9" s="16">
        <f>SUMIFS(INDEX(元データ!$E$2:$H$20000,0,MATCH($C$2,元データ!$E$1:$H$1,0)),元データ!$A$2:$A$20000,$A9,元データ!$D$2:$D$20000,$C$3,元データ!$B$2:$B$20000,$P$4,元データ!$C$2:$C$20000,U$5)</f>
        <v>1454711</v>
      </c>
      <c r="V9" s="16">
        <f>SUMIFS(INDEX(元データ!$E$2:$H$20000,0,MATCH($C$2,元データ!$E$1:$H$1,0)),元データ!$A$2:$A$20000,$A9,元データ!$D$2:$D$20000,$C$3,元データ!$B$2:$B$20000,$P$4,元データ!$C$2:$C$20000,V$5)</f>
        <v>1335533</v>
      </c>
      <c r="W9" s="16">
        <f>SUMIFS(INDEX(元データ!$E$2:$H$20000,0,MATCH($C$2,元データ!$E$1:$H$1,0)),元データ!$A$2:$A$20000,$A9,元データ!$D$2:$D$20000,$C$3,元データ!$B$2:$B$20000,$P$4,元データ!$C$2:$C$20000,W$5)</f>
        <v>3050456</v>
      </c>
      <c r="X9" s="16">
        <f>SUMIFS(INDEX(元データ!$E$2:$H$20000,0,MATCH($C$2,元データ!$E$1:$H$1,0)),元データ!$A$2:$A$20000,$A9,元データ!$D$2:$D$20000,$C$3,元データ!$B$2:$B$20000,$P$4,元データ!$C$2:$C$20000,X$5)</f>
        <v>4134411</v>
      </c>
      <c r="Y9" s="16">
        <f>SUMIFS(INDEX(元データ!$E$2:$H$20000,0,MATCH($C$2,元データ!$E$1:$H$1,0)),元データ!$A$2:$A$20000,$A9,元データ!$D$2:$D$20000,$C$3,元データ!$B$2:$B$20000,$P$4,元データ!$C$2:$C$20000,Y$5)</f>
        <v>3383688</v>
      </c>
      <c r="Z9" s="16">
        <f>SUMIFS(INDEX(元データ!$E$2:$H$20000,0,MATCH($C$2,元データ!$E$1:$H$1,0)),元データ!$A$2:$A$20000,$A9,元データ!$D$2:$D$20000,$C$3,元データ!$B$2:$B$20000,$P$4,元データ!$C$2:$C$20000,Z$5)</f>
        <v>3132412</v>
      </c>
      <c r="AA9" s="16">
        <f>SUMIFS(INDEX(元データ!$E$2:$H$20000,0,MATCH($C$2,元データ!$E$1:$H$1,0)),元データ!$A$2:$A$20000,$A9,元データ!$D$2:$D$20000,$C$3,元データ!$B$2:$B$20000,$P$4,元データ!$C$2:$C$20000,AA$5)</f>
        <v>2301129</v>
      </c>
      <c r="AB9" s="17">
        <f t="shared" si="1"/>
        <v>29011272</v>
      </c>
      <c r="AC9" s="18">
        <f t="shared" si="2"/>
        <v>0.96666240757303878</v>
      </c>
      <c r="AD9" s="18">
        <f t="shared" si="3"/>
        <v>1.1683003216574719</v>
      </c>
      <c r="AE9" s="18">
        <f t="shared" si="4"/>
        <v>1.1429515616898107</v>
      </c>
      <c r="AF9" s="18">
        <f t="shared" si="5"/>
        <v>1.0040583415081588</v>
      </c>
      <c r="AG9" s="18">
        <f t="shared" si="6"/>
        <v>0.99671524221410335</v>
      </c>
      <c r="AH9" s="18">
        <f t="shared" si="7"/>
        <v>0.98174482766680116</v>
      </c>
      <c r="AI9" s="18">
        <f t="shared" si="8"/>
        <v>1.1015175214689565</v>
      </c>
      <c r="AJ9" s="18">
        <f t="shared" si="9"/>
        <v>0.8802326602973457</v>
      </c>
      <c r="AK9" s="18">
        <f t="shared" si="10"/>
        <v>1.0481988849197625</v>
      </c>
      <c r="AL9" s="18">
        <f t="shared" si="11"/>
        <v>0.92240478436546158</v>
      </c>
      <c r="AM9" s="18">
        <f t="shared" si="12"/>
        <v>0.99632168437612934</v>
      </c>
      <c r="AN9" s="18">
        <f t="shared" si="13"/>
        <v>1.1869795217912598</v>
      </c>
      <c r="AO9" s="19">
        <f t="shared" si="14"/>
        <v>1.023000197992008</v>
      </c>
    </row>
    <row r="10" spans="1:41" x14ac:dyDescent="0.45">
      <c r="A10" s="14" t="str">
        <f>店舗マスタ!A6</f>
        <v>桜堤店</v>
      </c>
      <c r="B10" s="15"/>
      <c r="C10" s="16">
        <f>SUMIFS(INDEX(元データ!$E$2:$H$20000,0,MATCH($C$2,元データ!$E$1:$H$1,0)),元データ!$A$2:$A$20000,$A10,元データ!$D$2:$D$20000,$C$3,元データ!$B$2:$B$20000,$C$4,元データ!$C$2:$C$20000,C$5)</f>
        <v>1098993</v>
      </c>
      <c r="D10" s="16">
        <f>SUMIFS(INDEX(元データ!$E$2:$H$20000,0,MATCH($C$2,元データ!$E$1:$H$1,0)),元データ!$A$2:$A$20000,$A10,元データ!$D$2:$D$20000,$C$3,元データ!$B$2:$B$20000,$C$4,元データ!$C$2:$C$20000,D$5)</f>
        <v>1121103</v>
      </c>
      <c r="E10" s="16">
        <f>SUMIFS(INDEX(元データ!$E$2:$H$20000,0,MATCH($C$2,元データ!$E$1:$H$1,0)),元データ!$A$2:$A$20000,$A10,元データ!$D$2:$D$20000,$C$3,元データ!$B$2:$B$20000,$C$4,元データ!$C$2:$C$20000,E$5)</f>
        <v>1544784</v>
      </c>
      <c r="F10" s="16">
        <f>SUMIFS(INDEX(元データ!$E$2:$H$20000,0,MATCH($C$2,元データ!$E$1:$H$1,0)),元データ!$A$2:$A$20000,$A10,元データ!$D$2:$D$20000,$C$3,元データ!$B$2:$B$20000,$C$4,元データ!$C$2:$C$20000,F$5)</f>
        <v>1415062</v>
      </c>
      <c r="G10" s="16">
        <f>SUMIFS(INDEX(元データ!$E$2:$H$20000,0,MATCH($C$2,元データ!$E$1:$H$1,0)),元データ!$A$2:$A$20000,$A10,元データ!$D$2:$D$20000,$C$3,元データ!$B$2:$B$20000,$C$4,元データ!$C$2:$C$20000,G$5)</f>
        <v>1579598</v>
      </c>
      <c r="H10" s="16">
        <f>SUMIFS(INDEX(元データ!$E$2:$H$20000,0,MATCH($C$2,元データ!$E$1:$H$1,0)),元データ!$A$2:$A$20000,$A10,元データ!$D$2:$D$20000,$C$3,元データ!$B$2:$B$20000,$C$4,元データ!$C$2:$C$20000,H$5)</f>
        <v>1079345</v>
      </c>
      <c r="I10" s="16">
        <f>SUMIFS(INDEX(元データ!$E$2:$H$20000,0,MATCH($C$2,元データ!$E$1:$H$1,0)),元データ!$A$2:$A$20000,$A10,元データ!$D$2:$D$20000,$C$3,元データ!$B$2:$B$20000,$C$4,元データ!$C$2:$C$20000,I$5)</f>
        <v>1059155</v>
      </c>
      <c r="J10" s="16">
        <f>SUMIFS(INDEX(元データ!$E$2:$H$20000,0,MATCH($C$2,元データ!$E$1:$H$1,0)),元データ!$A$2:$A$20000,$A10,元データ!$D$2:$D$20000,$C$3,元データ!$B$2:$B$20000,$C$4,元データ!$C$2:$C$20000,J$5)</f>
        <v>2088429</v>
      </c>
      <c r="K10" s="16">
        <f>SUMIFS(INDEX(元データ!$E$2:$H$20000,0,MATCH($C$2,元データ!$E$1:$H$1,0)),元データ!$A$2:$A$20000,$A10,元データ!$D$2:$D$20000,$C$3,元データ!$B$2:$B$20000,$C$4,元データ!$C$2:$C$20000,K$5)</f>
        <v>3482865</v>
      </c>
      <c r="L10" s="16">
        <f>SUMIFS(INDEX(元データ!$E$2:$H$20000,0,MATCH($C$2,元データ!$E$1:$H$1,0)),元データ!$A$2:$A$20000,$A10,元データ!$D$2:$D$20000,$C$3,元データ!$B$2:$B$20000,$C$4,元データ!$C$2:$C$20000,L$5)</f>
        <v>2520900</v>
      </c>
      <c r="M10" s="16">
        <f>SUMIFS(INDEX(元データ!$E$2:$H$20000,0,MATCH($C$2,元データ!$E$1:$H$1,0)),元データ!$A$2:$A$20000,$A10,元データ!$D$2:$D$20000,$C$3,元データ!$B$2:$B$20000,$C$4,元データ!$C$2:$C$20000,M$5)</f>
        <v>2140473</v>
      </c>
      <c r="N10" s="16">
        <f>SUMIFS(INDEX(元データ!$E$2:$H$20000,0,MATCH($C$2,元データ!$E$1:$H$1,0)),元データ!$A$2:$A$20000,$A10,元データ!$D$2:$D$20000,$C$3,元データ!$B$2:$B$20000,$C$4,元データ!$C$2:$C$20000,N$5)</f>
        <v>1589927</v>
      </c>
      <c r="O10" s="17">
        <f t="shared" si="0"/>
        <v>20720634</v>
      </c>
      <c r="P10" s="16">
        <f>SUMIFS(INDEX(元データ!$E$2:$H$20000,0,MATCH($C$2,元データ!$E$1:$H$1,0)),元データ!$A$2:$A$20000,$A10,元データ!$D$2:$D$20000,$C$3,元データ!$B$2:$B$20000,$P$4,元データ!$C$2:$C$20000,P$5)</f>
        <v>1011666</v>
      </c>
      <c r="Q10" s="16">
        <f>SUMIFS(INDEX(元データ!$E$2:$H$20000,0,MATCH($C$2,元データ!$E$1:$H$1,0)),元データ!$A$2:$A$20000,$A10,元データ!$D$2:$D$20000,$C$3,元データ!$B$2:$B$20000,$P$4,元データ!$C$2:$C$20000,Q$5)</f>
        <v>1084473</v>
      </c>
      <c r="R10" s="16">
        <f>SUMIFS(INDEX(元データ!$E$2:$H$20000,0,MATCH($C$2,元データ!$E$1:$H$1,0)),元データ!$A$2:$A$20000,$A10,元データ!$D$2:$D$20000,$C$3,元データ!$B$2:$B$20000,$P$4,元データ!$C$2:$C$20000,R$5)</f>
        <v>1746860</v>
      </c>
      <c r="S10" s="16">
        <f>SUMIFS(INDEX(元データ!$E$2:$H$20000,0,MATCH($C$2,元データ!$E$1:$H$1,0)),元データ!$A$2:$A$20000,$A10,元データ!$D$2:$D$20000,$C$3,元データ!$B$2:$B$20000,$P$4,元データ!$C$2:$C$20000,S$5)</f>
        <v>1283244</v>
      </c>
      <c r="T10" s="16">
        <f>SUMIFS(INDEX(元データ!$E$2:$H$20000,0,MATCH($C$2,元データ!$E$1:$H$1,0)),元データ!$A$2:$A$20000,$A10,元データ!$D$2:$D$20000,$C$3,元データ!$B$2:$B$20000,$P$4,元データ!$C$2:$C$20000,T$5)</f>
        <v>1546516</v>
      </c>
      <c r="U10" s="16">
        <f>SUMIFS(INDEX(元データ!$E$2:$H$20000,0,MATCH($C$2,元データ!$E$1:$H$1,0)),元データ!$A$2:$A$20000,$A10,元データ!$D$2:$D$20000,$C$3,元データ!$B$2:$B$20000,$P$4,元データ!$C$2:$C$20000,U$5)</f>
        <v>1047121</v>
      </c>
      <c r="V10" s="16">
        <f>SUMIFS(INDEX(元データ!$E$2:$H$20000,0,MATCH($C$2,元データ!$E$1:$H$1,0)),元データ!$A$2:$A$20000,$A10,元データ!$D$2:$D$20000,$C$3,元データ!$B$2:$B$20000,$P$4,元データ!$C$2:$C$20000,V$5)</f>
        <v>836571</v>
      </c>
      <c r="W10" s="16">
        <f>SUMIFS(INDEX(元データ!$E$2:$H$20000,0,MATCH($C$2,元データ!$E$1:$H$1,0)),元データ!$A$2:$A$20000,$A10,元データ!$D$2:$D$20000,$C$3,元データ!$B$2:$B$20000,$P$4,元データ!$C$2:$C$20000,W$5)</f>
        <v>2230220</v>
      </c>
      <c r="X10" s="16">
        <f>SUMIFS(INDEX(元データ!$E$2:$H$20000,0,MATCH($C$2,元データ!$E$1:$H$1,0)),元データ!$A$2:$A$20000,$A10,元データ!$D$2:$D$20000,$C$3,元データ!$B$2:$B$20000,$P$4,元データ!$C$2:$C$20000,X$5)</f>
        <v>3124157</v>
      </c>
      <c r="Y10" s="16">
        <f>SUMIFS(INDEX(元データ!$E$2:$H$20000,0,MATCH($C$2,元データ!$E$1:$H$1,0)),元データ!$A$2:$A$20000,$A10,元データ!$D$2:$D$20000,$C$3,元データ!$B$2:$B$20000,$P$4,元データ!$C$2:$C$20000,Y$5)</f>
        <v>2597320</v>
      </c>
      <c r="Z10" s="16">
        <f>SUMIFS(INDEX(元データ!$E$2:$H$20000,0,MATCH($C$2,元データ!$E$1:$H$1,0)),元データ!$A$2:$A$20000,$A10,元データ!$D$2:$D$20000,$C$3,元データ!$B$2:$B$20000,$P$4,元データ!$C$2:$C$20000,Z$5)</f>
        <v>2352648</v>
      </c>
      <c r="AA10" s="16">
        <f>SUMIFS(INDEX(元データ!$E$2:$H$20000,0,MATCH($C$2,元データ!$E$1:$H$1,0)),元データ!$A$2:$A$20000,$A10,元データ!$D$2:$D$20000,$C$3,元データ!$B$2:$B$20000,$P$4,元データ!$C$2:$C$20000,AA$5)</f>
        <v>2509100</v>
      </c>
      <c r="AB10" s="17">
        <f t="shared" si="1"/>
        <v>21369896</v>
      </c>
      <c r="AC10" s="18">
        <f t="shared" si="2"/>
        <v>1.0863199909851671</v>
      </c>
      <c r="AD10" s="18">
        <f t="shared" si="3"/>
        <v>1.0337767745255069</v>
      </c>
      <c r="AE10" s="18">
        <f t="shared" si="4"/>
        <v>0.88432043781413505</v>
      </c>
      <c r="AF10" s="18">
        <f t="shared" si="5"/>
        <v>1.102722475226847</v>
      </c>
      <c r="AG10" s="18">
        <f t="shared" si="6"/>
        <v>1.0213913079463774</v>
      </c>
      <c r="AH10" s="18">
        <f t="shared" si="7"/>
        <v>1.0307739029204839</v>
      </c>
      <c r="AI10" s="18">
        <f t="shared" si="8"/>
        <v>1.266067076195565</v>
      </c>
      <c r="AJ10" s="18">
        <f t="shared" si="9"/>
        <v>0.93642286411206066</v>
      </c>
      <c r="AK10" s="18">
        <f t="shared" si="10"/>
        <v>1.1148175331777501</v>
      </c>
      <c r="AL10" s="18">
        <f t="shared" si="11"/>
        <v>0.9705773643601866</v>
      </c>
      <c r="AM10" s="18">
        <f t="shared" si="12"/>
        <v>0.90981438787272895</v>
      </c>
      <c r="AN10" s="18">
        <f t="shared" si="13"/>
        <v>0.6336642620860069</v>
      </c>
      <c r="AO10" s="19">
        <f t="shared" si="14"/>
        <v>0.96961791484619297</v>
      </c>
    </row>
    <row r="11" spans="1:41" x14ac:dyDescent="0.45">
      <c r="A11" s="14" t="str">
        <f>店舗マスタ!A7</f>
        <v>香貫店</v>
      </c>
      <c r="B11" s="15"/>
      <c r="C11" s="16">
        <f>SUMIFS(INDEX(元データ!$E$2:$H$20000,0,MATCH($C$2,元データ!$E$1:$H$1,0)),元データ!$A$2:$A$20000,$A11,元データ!$D$2:$D$20000,$C$3,元データ!$B$2:$B$20000,$C$4,元データ!$C$2:$C$20000,C$5)</f>
        <v>1413894</v>
      </c>
      <c r="D11" s="16">
        <f>SUMIFS(INDEX(元データ!$E$2:$H$20000,0,MATCH($C$2,元データ!$E$1:$H$1,0)),元データ!$A$2:$A$20000,$A11,元データ!$D$2:$D$20000,$C$3,元データ!$B$2:$B$20000,$C$4,元データ!$C$2:$C$20000,D$5)</f>
        <v>1250107</v>
      </c>
      <c r="E11" s="16">
        <f>SUMIFS(INDEX(元データ!$E$2:$H$20000,0,MATCH($C$2,元データ!$E$1:$H$1,0)),元データ!$A$2:$A$20000,$A11,元データ!$D$2:$D$20000,$C$3,元データ!$B$2:$B$20000,$C$4,元データ!$C$2:$C$20000,E$5)</f>
        <v>1814455</v>
      </c>
      <c r="F11" s="16">
        <f>SUMIFS(INDEX(元データ!$E$2:$H$20000,0,MATCH($C$2,元データ!$E$1:$H$1,0)),元データ!$A$2:$A$20000,$A11,元データ!$D$2:$D$20000,$C$3,元データ!$B$2:$B$20000,$C$4,元データ!$C$2:$C$20000,F$5)</f>
        <v>1794355</v>
      </c>
      <c r="G11" s="16">
        <f>SUMIFS(INDEX(元データ!$E$2:$H$20000,0,MATCH($C$2,元データ!$E$1:$H$1,0)),元データ!$A$2:$A$20000,$A11,元データ!$D$2:$D$20000,$C$3,元データ!$B$2:$B$20000,$C$4,元データ!$C$2:$C$20000,G$5)</f>
        <v>1716904</v>
      </c>
      <c r="H11" s="16">
        <f>SUMIFS(INDEX(元データ!$E$2:$H$20000,0,MATCH($C$2,元データ!$E$1:$H$1,0)),元データ!$A$2:$A$20000,$A11,元データ!$D$2:$D$20000,$C$3,元データ!$B$2:$B$20000,$C$4,元データ!$C$2:$C$20000,H$5)</f>
        <v>1227030</v>
      </c>
      <c r="I11" s="16">
        <f>SUMIFS(INDEX(元データ!$E$2:$H$20000,0,MATCH($C$2,元データ!$E$1:$H$1,0)),元データ!$A$2:$A$20000,$A11,元データ!$D$2:$D$20000,$C$3,元データ!$B$2:$B$20000,$C$4,元データ!$C$2:$C$20000,I$5)</f>
        <v>1004975</v>
      </c>
      <c r="J11" s="16">
        <f>SUMIFS(INDEX(元データ!$E$2:$H$20000,0,MATCH($C$2,元データ!$E$1:$H$1,0)),元データ!$A$2:$A$20000,$A11,元データ!$D$2:$D$20000,$C$3,元データ!$B$2:$B$20000,$C$4,元データ!$C$2:$C$20000,J$5)</f>
        <v>1817093</v>
      </c>
      <c r="K11" s="16">
        <f>SUMIFS(INDEX(元データ!$E$2:$H$20000,0,MATCH($C$2,元データ!$E$1:$H$1,0)),元データ!$A$2:$A$20000,$A11,元データ!$D$2:$D$20000,$C$3,元データ!$B$2:$B$20000,$C$4,元データ!$C$2:$C$20000,K$5)</f>
        <v>3241722</v>
      </c>
      <c r="L11" s="16">
        <f>SUMIFS(INDEX(元データ!$E$2:$H$20000,0,MATCH($C$2,元データ!$E$1:$H$1,0)),元データ!$A$2:$A$20000,$A11,元データ!$D$2:$D$20000,$C$3,元データ!$B$2:$B$20000,$C$4,元データ!$C$2:$C$20000,L$5)</f>
        <v>2451685</v>
      </c>
      <c r="M11" s="16">
        <f>SUMIFS(INDEX(元データ!$E$2:$H$20000,0,MATCH($C$2,元データ!$E$1:$H$1,0)),元データ!$A$2:$A$20000,$A11,元データ!$D$2:$D$20000,$C$3,元データ!$B$2:$B$20000,$C$4,元データ!$C$2:$C$20000,M$5)</f>
        <v>2213357</v>
      </c>
      <c r="N11" s="16">
        <f>SUMIFS(INDEX(元データ!$E$2:$H$20000,0,MATCH($C$2,元データ!$E$1:$H$1,0)),元データ!$A$2:$A$20000,$A11,元データ!$D$2:$D$20000,$C$3,元データ!$B$2:$B$20000,$C$4,元データ!$C$2:$C$20000,N$5)</f>
        <v>2220375</v>
      </c>
      <c r="O11" s="17">
        <f t="shared" si="0"/>
        <v>22165952</v>
      </c>
      <c r="P11" s="16">
        <f>SUMIFS(INDEX(元データ!$E$2:$H$20000,0,MATCH($C$2,元データ!$E$1:$H$1,0)),元データ!$A$2:$A$20000,$A11,元データ!$D$2:$D$20000,$C$3,元データ!$B$2:$B$20000,$P$4,元データ!$C$2:$C$20000,P$5)</f>
        <v>1186553</v>
      </c>
      <c r="Q11" s="16">
        <f>SUMIFS(INDEX(元データ!$E$2:$H$20000,0,MATCH($C$2,元データ!$E$1:$H$1,0)),元データ!$A$2:$A$20000,$A11,元データ!$D$2:$D$20000,$C$3,元データ!$B$2:$B$20000,$P$4,元データ!$C$2:$C$20000,Q$5)</f>
        <v>1121191</v>
      </c>
      <c r="R11" s="16">
        <f>SUMIFS(INDEX(元データ!$E$2:$H$20000,0,MATCH($C$2,元データ!$E$1:$H$1,0)),元データ!$A$2:$A$20000,$A11,元データ!$D$2:$D$20000,$C$3,元データ!$B$2:$B$20000,$P$4,元データ!$C$2:$C$20000,R$5)</f>
        <v>1928810</v>
      </c>
      <c r="S11" s="16">
        <f>SUMIFS(INDEX(元データ!$E$2:$H$20000,0,MATCH($C$2,元データ!$E$1:$H$1,0)),元データ!$A$2:$A$20000,$A11,元データ!$D$2:$D$20000,$C$3,元データ!$B$2:$B$20000,$P$4,元データ!$C$2:$C$20000,S$5)</f>
        <v>1609527</v>
      </c>
      <c r="T11" s="16">
        <f>SUMIFS(INDEX(元データ!$E$2:$H$20000,0,MATCH($C$2,元データ!$E$1:$H$1,0)),元データ!$A$2:$A$20000,$A11,元データ!$D$2:$D$20000,$C$3,元データ!$B$2:$B$20000,$P$4,元データ!$C$2:$C$20000,T$5)</f>
        <v>1649775</v>
      </c>
      <c r="U11" s="16">
        <f>SUMIFS(INDEX(元データ!$E$2:$H$20000,0,MATCH($C$2,元データ!$E$1:$H$1,0)),元データ!$A$2:$A$20000,$A11,元データ!$D$2:$D$20000,$C$3,元データ!$B$2:$B$20000,$P$4,元データ!$C$2:$C$20000,U$5)</f>
        <v>1150922</v>
      </c>
      <c r="V11" s="16">
        <f>SUMIFS(INDEX(元データ!$E$2:$H$20000,0,MATCH($C$2,元データ!$E$1:$H$1,0)),元データ!$A$2:$A$20000,$A11,元データ!$D$2:$D$20000,$C$3,元データ!$B$2:$B$20000,$P$4,元データ!$C$2:$C$20000,V$5)</f>
        <v>1142407</v>
      </c>
      <c r="W11" s="16">
        <f>SUMIFS(INDEX(元データ!$E$2:$H$20000,0,MATCH($C$2,元データ!$E$1:$H$1,0)),元データ!$A$2:$A$20000,$A11,元データ!$D$2:$D$20000,$C$3,元データ!$B$2:$B$20000,$P$4,元データ!$C$2:$C$20000,W$5)</f>
        <v>2333385</v>
      </c>
      <c r="X11" s="16">
        <f>SUMIFS(INDEX(元データ!$E$2:$H$20000,0,MATCH($C$2,元データ!$E$1:$H$1,0)),元データ!$A$2:$A$20000,$A11,元データ!$D$2:$D$20000,$C$3,元データ!$B$2:$B$20000,$P$4,元データ!$C$2:$C$20000,X$5)</f>
        <v>2954449</v>
      </c>
      <c r="Y11" s="16">
        <f>SUMIFS(INDEX(元データ!$E$2:$H$20000,0,MATCH($C$2,元データ!$E$1:$H$1,0)),元データ!$A$2:$A$20000,$A11,元データ!$D$2:$D$20000,$C$3,元データ!$B$2:$B$20000,$P$4,元データ!$C$2:$C$20000,Y$5)</f>
        <v>2557594</v>
      </c>
      <c r="Z11" s="16">
        <f>SUMIFS(INDEX(元データ!$E$2:$H$20000,0,MATCH($C$2,元データ!$E$1:$H$1,0)),元データ!$A$2:$A$20000,$A11,元データ!$D$2:$D$20000,$C$3,元データ!$B$2:$B$20000,$P$4,元データ!$C$2:$C$20000,Z$5)</f>
        <v>2274701</v>
      </c>
      <c r="AA11" s="16">
        <f>SUMIFS(INDEX(元データ!$E$2:$H$20000,0,MATCH($C$2,元データ!$E$1:$H$1,0)),元データ!$A$2:$A$20000,$A11,元データ!$D$2:$D$20000,$C$3,元データ!$B$2:$B$20000,$P$4,元データ!$C$2:$C$20000,AA$5)</f>
        <v>1610531</v>
      </c>
      <c r="AB11" s="17">
        <f t="shared" si="1"/>
        <v>21519845</v>
      </c>
      <c r="AC11" s="18">
        <f t="shared" si="2"/>
        <v>1.1915978468724111</v>
      </c>
      <c r="AD11" s="18">
        <f t="shared" si="3"/>
        <v>1.1149813011342402</v>
      </c>
      <c r="AE11" s="18">
        <f t="shared" si="4"/>
        <v>0.9407121489415754</v>
      </c>
      <c r="AF11" s="18">
        <f t="shared" si="5"/>
        <v>1.1148337368680363</v>
      </c>
      <c r="AG11" s="18">
        <f t="shared" si="6"/>
        <v>1.0406897910321105</v>
      </c>
      <c r="AH11" s="18">
        <f t="shared" si="7"/>
        <v>1.0661278522784341</v>
      </c>
      <c r="AI11" s="18">
        <f t="shared" si="8"/>
        <v>0.87969961668652241</v>
      </c>
      <c r="AJ11" s="18">
        <f t="shared" si="9"/>
        <v>0.77873689939722768</v>
      </c>
      <c r="AK11" s="18">
        <f t="shared" si="10"/>
        <v>1.0972340358557551</v>
      </c>
      <c r="AL11" s="18">
        <f t="shared" si="11"/>
        <v>0.95859037830085625</v>
      </c>
      <c r="AM11" s="18">
        <f t="shared" si="12"/>
        <v>0.97303206003778075</v>
      </c>
      <c r="AN11" s="18">
        <f t="shared" si="13"/>
        <v>1.3786602058575712</v>
      </c>
      <c r="AO11" s="19">
        <f t="shared" si="14"/>
        <v>1.0300237757288679</v>
      </c>
    </row>
    <row r="12" spans="1:41" x14ac:dyDescent="0.45">
      <c r="A12" s="14" t="str">
        <f>店舗マスタ!A8</f>
        <v>学園通り店</v>
      </c>
      <c r="B12" s="15"/>
      <c r="C12" s="16">
        <f>SUMIFS(INDEX(元データ!$E$2:$H$20000,0,MATCH($C$2,元データ!$E$1:$H$1,0)),元データ!$A$2:$A$20000,$A12,元データ!$D$2:$D$20000,$C$3,元データ!$B$2:$B$20000,$C$4,元データ!$C$2:$C$20000,C$5)</f>
        <v>1480843</v>
      </c>
      <c r="D12" s="16">
        <f>SUMIFS(INDEX(元データ!$E$2:$H$20000,0,MATCH($C$2,元データ!$E$1:$H$1,0)),元データ!$A$2:$A$20000,$A12,元データ!$D$2:$D$20000,$C$3,元データ!$B$2:$B$20000,$C$4,元データ!$C$2:$C$20000,D$5)</f>
        <v>1395472</v>
      </c>
      <c r="E12" s="16">
        <f>SUMIFS(INDEX(元データ!$E$2:$H$20000,0,MATCH($C$2,元データ!$E$1:$H$1,0)),元データ!$A$2:$A$20000,$A12,元データ!$D$2:$D$20000,$C$3,元データ!$B$2:$B$20000,$C$4,元データ!$C$2:$C$20000,E$5)</f>
        <v>1991330</v>
      </c>
      <c r="F12" s="16">
        <f>SUMIFS(INDEX(元データ!$E$2:$H$20000,0,MATCH($C$2,元データ!$E$1:$H$1,0)),元データ!$A$2:$A$20000,$A12,元データ!$D$2:$D$20000,$C$3,元データ!$B$2:$B$20000,$C$4,元データ!$C$2:$C$20000,F$5)</f>
        <v>1960427</v>
      </c>
      <c r="G12" s="16">
        <f>SUMIFS(INDEX(元データ!$E$2:$H$20000,0,MATCH($C$2,元データ!$E$1:$H$1,0)),元データ!$A$2:$A$20000,$A12,元データ!$D$2:$D$20000,$C$3,元データ!$B$2:$B$20000,$C$4,元データ!$C$2:$C$20000,G$5)</f>
        <v>2003125</v>
      </c>
      <c r="H12" s="16">
        <f>SUMIFS(INDEX(元データ!$E$2:$H$20000,0,MATCH($C$2,元データ!$E$1:$H$1,0)),元データ!$A$2:$A$20000,$A12,元データ!$D$2:$D$20000,$C$3,元データ!$B$2:$B$20000,$C$4,元データ!$C$2:$C$20000,H$5)</f>
        <v>1369602</v>
      </c>
      <c r="I12" s="16">
        <f>SUMIFS(INDEX(元データ!$E$2:$H$20000,0,MATCH($C$2,元データ!$E$1:$H$1,0)),元データ!$A$2:$A$20000,$A12,元データ!$D$2:$D$20000,$C$3,元データ!$B$2:$B$20000,$C$4,元データ!$C$2:$C$20000,I$5)</f>
        <v>1378807</v>
      </c>
      <c r="J12" s="16">
        <f>SUMIFS(INDEX(元データ!$E$2:$H$20000,0,MATCH($C$2,元データ!$E$1:$H$1,0)),元データ!$A$2:$A$20000,$A12,元データ!$D$2:$D$20000,$C$3,元データ!$B$2:$B$20000,$C$4,元データ!$C$2:$C$20000,J$5)</f>
        <v>2101540</v>
      </c>
      <c r="K12" s="16">
        <f>SUMIFS(INDEX(元データ!$E$2:$H$20000,0,MATCH($C$2,元データ!$E$1:$H$1,0)),元データ!$A$2:$A$20000,$A12,元データ!$D$2:$D$20000,$C$3,元データ!$B$2:$B$20000,$C$4,元データ!$C$2:$C$20000,K$5)</f>
        <v>3604549</v>
      </c>
      <c r="L12" s="16">
        <f>SUMIFS(INDEX(元データ!$E$2:$H$20000,0,MATCH($C$2,元データ!$E$1:$H$1,0)),元データ!$A$2:$A$20000,$A12,元データ!$D$2:$D$20000,$C$3,元データ!$B$2:$B$20000,$C$4,元データ!$C$2:$C$20000,L$5)</f>
        <v>2429839</v>
      </c>
      <c r="M12" s="16">
        <f>SUMIFS(INDEX(元データ!$E$2:$H$20000,0,MATCH($C$2,元データ!$E$1:$H$1,0)),元データ!$A$2:$A$20000,$A12,元データ!$D$2:$D$20000,$C$3,元データ!$B$2:$B$20000,$C$4,元データ!$C$2:$C$20000,M$5)</f>
        <v>2398432</v>
      </c>
      <c r="N12" s="16">
        <f>SUMIFS(INDEX(元データ!$E$2:$H$20000,0,MATCH($C$2,元データ!$E$1:$H$1,0)),元データ!$A$2:$A$20000,$A12,元データ!$D$2:$D$20000,$C$3,元データ!$B$2:$B$20000,$C$4,元データ!$C$2:$C$20000,N$5)</f>
        <v>1697291</v>
      </c>
      <c r="O12" s="17">
        <f t="shared" si="0"/>
        <v>23811257</v>
      </c>
      <c r="P12" s="16">
        <f>SUMIFS(INDEX(元データ!$E$2:$H$20000,0,MATCH($C$2,元データ!$E$1:$H$1,0)),元データ!$A$2:$A$20000,$A12,元データ!$D$2:$D$20000,$C$3,元データ!$B$2:$B$20000,$P$4,元データ!$C$2:$C$20000,P$5)</f>
        <v>1556088</v>
      </c>
      <c r="Q12" s="16">
        <f>SUMIFS(INDEX(元データ!$E$2:$H$20000,0,MATCH($C$2,元データ!$E$1:$H$1,0)),元データ!$A$2:$A$20000,$A12,元データ!$D$2:$D$20000,$C$3,元データ!$B$2:$B$20000,$P$4,元データ!$C$2:$C$20000,Q$5)</f>
        <v>1302395</v>
      </c>
      <c r="R12" s="16">
        <f>SUMIFS(INDEX(元データ!$E$2:$H$20000,0,MATCH($C$2,元データ!$E$1:$H$1,0)),元データ!$A$2:$A$20000,$A12,元データ!$D$2:$D$20000,$C$3,元データ!$B$2:$B$20000,$P$4,元データ!$C$2:$C$20000,R$5)</f>
        <v>2091313</v>
      </c>
      <c r="S12" s="16">
        <f>SUMIFS(INDEX(元データ!$E$2:$H$20000,0,MATCH($C$2,元データ!$E$1:$H$1,0)),元データ!$A$2:$A$20000,$A12,元データ!$D$2:$D$20000,$C$3,元データ!$B$2:$B$20000,$P$4,元データ!$C$2:$C$20000,S$5)</f>
        <v>1728666</v>
      </c>
      <c r="T12" s="16">
        <f>SUMIFS(INDEX(元データ!$E$2:$H$20000,0,MATCH($C$2,元データ!$E$1:$H$1,0)),元データ!$A$2:$A$20000,$A12,元データ!$D$2:$D$20000,$C$3,元データ!$B$2:$B$20000,$P$4,元データ!$C$2:$C$20000,T$5)</f>
        <v>1740174</v>
      </c>
      <c r="U12" s="16">
        <f>SUMIFS(INDEX(元データ!$E$2:$H$20000,0,MATCH($C$2,元データ!$E$1:$H$1,0)),元データ!$A$2:$A$20000,$A12,元データ!$D$2:$D$20000,$C$3,元データ!$B$2:$B$20000,$P$4,元データ!$C$2:$C$20000,U$5)</f>
        <v>1186756</v>
      </c>
      <c r="V12" s="16">
        <f>SUMIFS(INDEX(元データ!$E$2:$H$20000,0,MATCH($C$2,元データ!$E$1:$H$1,0)),元データ!$A$2:$A$20000,$A12,元データ!$D$2:$D$20000,$C$3,元データ!$B$2:$B$20000,$P$4,元データ!$C$2:$C$20000,V$5)</f>
        <v>1179738</v>
      </c>
      <c r="W12" s="16">
        <f>SUMIFS(INDEX(元データ!$E$2:$H$20000,0,MATCH($C$2,元データ!$E$1:$H$1,0)),元データ!$A$2:$A$20000,$A12,元データ!$D$2:$D$20000,$C$3,元データ!$B$2:$B$20000,$P$4,元データ!$C$2:$C$20000,W$5)</f>
        <v>2572529</v>
      </c>
      <c r="X12" s="16">
        <f>SUMIFS(INDEX(元データ!$E$2:$H$20000,0,MATCH($C$2,元データ!$E$1:$H$1,0)),元データ!$A$2:$A$20000,$A12,元データ!$D$2:$D$20000,$C$3,元データ!$B$2:$B$20000,$P$4,元データ!$C$2:$C$20000,X$5)</f>
        <v>3363008</v>
      </c>
      <c r="Y12" s="16">
        <f>SUMIFS(INDEX(元データ!$E$2:$H$20000,0,MATCH($C$2,元データ!$E$1:$H$1,0)),元データ!$A$2:$A$20000,$A12,元データ!$D$2:$D$20000,$C$3,元データ!$B$2:$B$20000,$P$4,元データ!$C$2:$C$20000,Y$5)</f>
        <v>2911864</v>
      </c>
      <c r="Z12" s="16">
        <f>SUMIFS(INDEX(元データ!$E$2:$H$20000,0,MATCH($C$2,元データ!$E$1:$H$1,0)),元データ!$A$2:$A$20000,$A12,元データ!$D$2:$D$20000,$C$3,元データ!$B$2:$B$20000,$P$4,元データ!$C$2:$C$20000,Z$5)</f>
        <v>2446204</v>
      </c>
      <c r="AA12" s="16">
        <f>SUMIFS(INDEX(元データ!$E$2:$H$20000,0,MATCH($C$2,元データ!$E$1:$H$1,0)),元データ!$A$2:$A$20000,$A12,元データ!$D$2:$D$20000,$C$3,元データ!$B$2:$B$20000,$P$4,元データ!$C$2:$C$20000,AA$5)</f>
        <v>1657353</v>
      </c>
      <c r="AB12" s="17">
        <f t="shared" si="1"/>
        <v>23736088</v>
      </c>
      <c r="AC12" s="18">
        <f t="shared" si="2"/>
        <v>0.95164476559166322</v>
      </c>
      <c r="AD12" s="18">
        <f t="shared" si="3"/>
        <v>1.0714660298910852</v>
      </c>
      <c r="AE12" s="18">
        <f t="shared" si="4"/>
        <v>0.95219127887599797</v>
      </c>
      <c r="AF12" s="18">
        <f t="shared" si="5"/>
        <v>1.1340692765404075</v>
      </c>
      <c r="AG12" s="18">
        <f t="shared" si="6"/>
        <v>1.1511061537524407</v>
      </c>
      <c r="AH12" s="18">
        <f t="shared" si="7"/>
        <v>1.1540721091782977</v>
      </c>
      <c r="AI12" s="18">
        <f t="shared" si="8"/>
        <v>1.1687400083747408</v>
      </c>
      <c r="AJ12" s="18">
        <f t="shared" si="9"/>
        <v>0.81691596090850671</v>
      </c>
      <c r="AK12" s="18">
        <f t="shared" si="10"/>
        <v>1.0718229037813767</v>
      </c>
      <c r="AL12" s="18">
        <f t="shared" si="11"/>
        <v>0.83446170562910904</v>
      </c>
      <c r="AM12" s="18">
        <f t="shared" si="12"/>
        <v>0.98047096644433585</v>
      </c>
      <c r="AN12" s="18">
        <f t="shared" si="13"/>
        <v>1.0240974614339855</v>
      </c>
      <c r="AO12" s="19">
        <f t="shared" si="14"/>
        <v>1.0031668655761641</v>
      </c>
    </row>
    <row r="13" spans="1:41" x14ac:dyDescent="0.45">
      <c r="A13" s="14" t="str">
        <f>店舗マスタ!A9</f>
        <v>伏見店</v>
      </c>
      <c r="B13" s="15"/>
      <c r="C13" s="16">
        <f>SUMIFS(INDEX(元データ!$E$2:$H$20000,0,MATCH($C$2,元データ!$E$1:$H$1,0)),元データ!$A$2:$A$20000,$A13,元データ!$D$2:$D$20000,$C$3,元データ!$B$2:$B$20000,$C$4,元データ!$C$2:$C$20000,C$5)</f>
        <v>713186</v>
      </c>
      <c r="D13" s="16">
        <f>SUMIFS(INDEX(元データ!$E$2:$H$20000,0,MATCH($C$2,元データ!$E$1:$H$1,0)),元データ!$A$2:$A$20000,$A13,元データ!$D$2:$D$20000,$C$3,元データ!$B$2:$B$20000,$C$4,元データ!$C$2:$C$20000,D$5)</f>
        <v>748920</v>
      </c>
      <c r="E13" s="16">
        <f>SUMIFS(INDEX(元データ!$E$2:$H$20000,0,MATCH($C$2,元データ!$E$1:$H$1,0)),元データ!$A$2:$A$20000,$A13,元データ!$D$2:$D$20000,$C$3,元データ!$B$2:$B$20000,$C$4,元データ!$C$2:$C$20000,E$5)</f>
        <v>1031058</v>
      </c>
      <c r="F13" s="16">
        <f>SUMIFS(INDEX(元データ!$E$2:$H$20000,0,MATCH($C$2,元データ!$E$1:$H$1,0)),元データ!$A$2:$A$20000,$A13,元データ!$D$2:$D$20000,$C$3,元データ!$B$2:$B$20000,$C$4,元データ!$C$2:$C$20000,F$5)</f>
        <v>855276</v>
      </c>
      <c r="G13" s="16">
        <f>SUMIFS(INDEX(元データ!$E$2:$H$20000,0,MATCH($C$2,元データ!$E$1:$H$1,0)),元データ!$A$2:$A$20000,$A13,元データ!$D$2:$D$20000,$C$3,元データ!$B$2:$B$20000,$C$4,元データ!$C$2:$C$20000,G$5)</f>
        <v>926945</v>
      </c>
      <c r="H13" s="16">
        <f>SUMIFS(INDEX(元データ!$E$2:$H$20000,0,MATCH($C$2,元データ!$E$1:$H$1,0)),元データ!$A$2:$A$20000,$A13,元データ!$D$2:$D$20000,$C$3,元データ!$B$2:$B$20000,$C$4,元データ!$C$2:$C$20000,H$5)</f>
        <v>654195</v>
      </c>
      <c r="I13" s="16">
        <f>SUMIFS(INDEX(元データ!$E$2:$H$20000,0,MATCH($C$2,元データ!$E$1:$H$1,0)),元データ!$A$2:$A$20000,$A13,元データ!$D$2:$D$20000,$C$3,元データ!$B$2:$B$20000,$C$4,元データ!$C$2:$C$20000,I$5)</f>
        <v>621110</v>
      </c>
      <c r="J13" s="16">
        <f>SUMIFS(INDEX(元データ!$E$2:$H$20000,0,MATCH($C$2,元データ!$E$1:$H$1,0)),元データ!$A$2:$A$20000,$A13,元データ!$D$2:$D$20000,$C$3,元データ!$B$2:$B$20000,$C$4,元データ!$C$2:$C$20000,J$5)</f>
        <v>1196174</v>
      </c>
      <c r="K13" s="16">
        <f>SUMIFS(INDEX(元データ!$E$2:$H$20000,0,MATCH($C$2,元データ!$E$1:$H$1,0)),元データ!$A$2:$A$20000,$A13,元データ!$D$2:$D$20000,$C$3,元データ!$B$2:$B$20000,$C$4,元データ!$C$2:$C$20000,K$5)</f>
        <v>1983785</v>
      </c>
      <c r="L13" s="16">
        <f>SUMIFS(INDEX(元データ!$E$2:$H$20000,0,MATCH($C$2,元データ!$E$1:$H$1,0)),元データ!$A$2:$A$20000,$A13,元データ!$D$2:$D$20000,$C$3,元データ!$B$2:$B$20000,$C$4,元データ!$C$2:$C$20000,L$5)</f>
        <v>1376282</v>
      </c>
      <c r="M13" s="16">
        <f>SUMIFS(INDEX(元データ!$E$2:$H$20000,0,MATCH($C$2,元データ!$E$1:$H$1,0)),元データ!$A$2:$A$20000,$A13,元データ!$D$2:$D$20000,$C$3,元データ!$B$2:$B$20000,$C$4,元データ!$C$2:$C$20000,M$5)</f>
        <v>0</v>
      </c>
      <c r="N13" s="16">
        <f>SUMIFS(INDEX(元データ!$E$2:$H$20000,0,MATCH($C$2,元データ!$E$1:$H$1,0)),元データ!$A$2:$A$20000,$A13,元データ!$D$2:$D$20000,$C$3,元データ!$B$2:$B$20000,$C$4,元データ!$C$2:$C$20000,N$5)</f>
        <v>0</v>
      </c>
      <c r="O13" s="17">
        <f t="shared" si="0"/>
        <v>10106931</v>
      </c>
      <c r="P13" s="16">
        <f>SUMIFS(INDEX(元データ!$E$2:$H$20000,0,MATCH($C$2,元データ!$E$1:$H$1,0)),元データ!$A$2:$A$20000,$A13,元データ!$D$2:$D$20000,$C$3,元データ!$B$2:$B$20000,$P$4,元データ!$C$2:$C$20000,P$5)</f>
        <v>774827</v>
      </c>
      <c r="Q13" s="16">
        <f>SUMIFS(INDEX(元データ!$E$2:$H$20000,0,MATCH($C$2,元データ!$E$1:$H$1,0)),元データ!$A$2:$A$20000,$A13,元データ!$D$2:$D$20000,$C$3,元データ!$B$2:$B$20000,$P$4,元データ!$C$2:$C$20000,Q$5)</f>
        <v>651160</v>
      </c>
      <c r="R13" s="16">
        <f>SUMIFS(INDEX(元データ!$E$2:$H$20000,0,MATCH($C$2,元データ!$E$1:$H$1,0)),元データ!$A$2:$A$20000,$A13,元データ!$D$2:$D$20000,$C$3,元データ!$B$2:$B$20000,$P$4,元データ!$C$2:$C$20000,R$5)</f>
        <v>1101147</v>
      </c>
      <c r="S13" s="16">
        <f>SUMIFS(INDEX(元データ!$E$2:$H$20000,0,MATCH($C$2,元データ!$E$1:$H$1,0)),元データ!$A$2:$A$20000,$A13,元データ!$D$2:$D$20000,$C$3,元データ!$B$2:$B$20000,$P$4,元データ!$C$2:$C$20000,S$5)</f>
        <v>880574</v>
      </c>
      <c r="T13" s="16">
        <f>SUMIFS(INDEX(元データ!$E$2:$H$20000,0,MATCH($C$2,元データ!$E$1:$H$1,0)),元データ!$A$2:$A$20000,$A13,元データ!$D$2:$D$20000,$C$3,元データ!$B$2:$B$20000,$P$4,元データ!$C$2:$C$20000,T$5)</f>
        <v>952961</v>
      </c>
      <c r="U13" s="16">
        <f>SUMIFS(INDEX(元データ!$E$2:$H$20000,0,MATCH($C$2,元データ!$E$1:$H$1,0)),元データ!$A$2:$A$20000,$A13,元データ!$D$2:$D$20000,$C$3,元データ!$B$2:$B$20000,$P$4,元データ!$C$2:$C$20000,U$5)</f>
        <v>641546</v>
      </c>
      <c r="V13" s="16">
        <f>SUMIFS(INDEX(元データ!$E$2:$H$20000,0,MATCH($C$2,元データ!$E$1:$H$1,0)),元データ!$A$2:$A$20000,$A13,元データ!$D$2:$D$20000,$C$3,元データ!$B$2:$B$20000,$P$4,元データ!$C$2:$C$20000,V$5)</f>
        <v>600487</v>
      </c>
      <c r="W13" s="16">
        <f>SUMIFS(INDEX(元データ!$E$2:$H$20000,0,MATCH($C$2,元データ!$E$1:$H$1,0)),元データ!$A$2:$A$20000,$A13,元データ!$D$2:$D$20000,$C$3,元データ!$B$2:$B$20000,$P$4,元データ!$C$2:$C$20000,W$5)</f>
        <v>1366007</v>
      </c>
      <c r="X13" s="16">
        <f>SUMIFS(INDEX(元データ!$E$2:$H$20000,0,MATCH($C$2,元データ!$E$1:$H$1,0)),元データ!$A$2:$A$20000,$A13,元データ!$D$2:$D$20000,$C$3,元データ!$B$2:$B$20000,$P$4,元データ!$C$2:$C$20000,X$5)</f>
        <v>1683809</v>
      </c>
      <c r="Y13" s="16">
        <f>SUMIFS(INDEX(元データ!$E$2:$H$20000,0,MATCH($C$2,元データ!$E$1:$H$1,0)),元データ!$A$2:$A$20000,$A13,元データ!$D$2:$D$20000,$C$3,元データ!$B$2:$B$20000,$P$4,元データ!$C$2:$C$20000,Y$5)</f>
        <v>1643103</v>
      </c>
      <c r="Z13" s="16">
        <f>SUMIFS(INDEX(元データ!$E$2:$H$20000,0,MATCH($C$2,元データ!$E$1:$H$1,0)),元データ!$A$2:$A$20000,$A13,元データ!$D$2:$D$20000,$C$3,元データ!$B$2:$B$20000,$P$4,元データ!$C$2:$C$20000,Z$5)</f>
        <v>0</v>
      </c>
      <c r="AA13" s="16">
        <f>SUMIFS(INDEX(元データ!$E$2:$H$20000,0,MATCH($C$2,元データ!$E$1:$H$1,0)),元データ!$A$2:$A$20000,$A13,元データ!$D$2:$D$20000,$C$3,元データ!$B$2:$B$20000,$P$4,元データ!$C$2:$C$20000,AA$5)</f>
        <v>0</v>
      </c>
      <c r="AB13" s="17">
        <f t="shared" si="1"/>
        <v>10295621</v>
      </c>
      <c r="AC13" s="18">
        <f t="shared" si="2"/>
        <v>0.92044546718170639</v>
      </c>
      <c r="AD13" s="18">
        <f t="shared" si="3"/>
        <v>1.1501320719945942</v>
      </c>
      <c r="AE13" s="18">
        <f t="shared" si="4"/>
        <v>0.93634909780438036</v>
      </c>
      <c r="AF13" s="18">
        <f t="shared" si="5"/>
        <v>0.9712710118627168</v>
      </c>
      <c r="AG13" s="18">
        <f t="shared" si="6"/>
        <v>0.97269982717026193</v>
      </c>
      <c r="AH13" s="18">
        <f t="shared" si="7"/>
        <v>1.0197164349867351</v>
      </c>
      <c r="AI13" s="18">
        <f t="shared" si="8"/>
        <v>1.0343437909563404</v>
      </c>
      <c r="AJ13" s="18">
        <f t="shared" si="9"/>
        <v>0.87567194018771499</v>
      </c>
      <c r="AK13" s="18">
        <f t="shared" si="10"/>
        <v>1.178153222841783</v>
      </c>
      <c r="AL13" s="18">
        <f t="shared" si="11"/>
        <v>0.83761151918047738</v>
      </c>
      <c r="AM13" s="18" t="str">
        <f t="shared" si="12"/>
        <v/>
      </c>
      <c r="AN13" s="18" t="str">
        <f t="shared" si="13"/>
        <v/>
      </c>
      <c r="AO13" s="19">
        <f t="shared" si="14"/>
        <v>0.98167279079134717</v>
      </c>
    </row>
    <row r="14" spans="1:41" x14ac:dyDescent="0.45">
      <c r="A14" s="14" t="str">
        <f>店舗マスタ!A10</f>
        <v>原里店</v>
      </c>
      <c r="B14" s="15"/>
      <c r="C14" s="16">
        <f>SUMIFS(INDEX(元データ!$E$2:$H$20000,0,MATCH($C$2,元データ!$E$1:$H$1,0)),元データ!$A$2:$A$20000,$A14,元データ!$D$2:$D$20000,$C$3,元データ!$B$2:$B$20000,$C$4,元データ!$C$2:$C$20000,C$5)</f>
        <v>1243436</v>
      </c>
      <c r="D14" s="16">
        <f>SUMIFS(INDEX(元データ!$E$2:$H$20000,0,MATCH($C$2,元データ!$E$1:$H$1,0)),元データ!$A$2:$A$20000,$A14,元データ!$D$2:$D$20000,$C$3,元データ!$B$2:$B$20000,$C$4,元データ!$C$2:$C$20000,D$5)</f>
        <v>1250265</v>
      </c>
      <c r="E14" s="16">
        <f>SUMIFS(INDEX(元データ!$E$2:$H$20000,0,MATCH($C$2,元データ!$E$1:$H$1,0)),元データ!$A$2:$A$20000,$A14,元データ!$D$2:$D$20000,$C$3,元データ!$B$2:$B$20000,$C$4,元データ!$C$2:$C$20000,E$5)</f>
        <v>1728575</v>
      </c>
      <c r="F14" s="16">
        <f>SUMIFS(INDEX(元データ!$E$2:$H$20000,0,MATCH($C$2,元データ!$E$1:$H$1,0)),元データ!$A$2:$A$20000,$A14,元データ!$D$2:$D$20000,$C$3,元データ!$B$2:$B$20000,$C$4,元データ!$C$2:$C$20000,F$5)</f>
        <v>1170503</v>
      </c>
      <c r="G14" s="16">
        <f>SUMIFS(INDEX(元データ!$E$2:$H$20000,0,MATCH($C$2,元データ!$E$1:$H$1,0)),元データ!$A$2:$A$20000,$A14,元データ!$D$2:$D$20000,$C$3,元データ!$B$2:$B$20000,$C$4,元データ!$C$2:$C$20000,G$5)</f>
        <v>1331350</v>
      </c>
      <c r="H14" s="16">
        <f>SUMIFS(INDEX(元データ!$E$2:$H$20000,0,MATCH($C$2,元データ!$E$1:$H$1,0)),元データ!$A$2:$A$20000,$A14,元データ!$D$2:$D$20000,$C$3,元データ!$B$2:$B$20000,$C$4,元データ!$C$2:$C$20000,H$5)</f>
        <v>1101408</v>
      </c>
      <c r="I14" s="16">
        <f>SUMIFS(INDEX(元データ!$E$2:$H$20000,0,MATCH($C$2,元データ!$E$1:$H$1,0)),元データ!$A$2:$A$20000,$A14,元データ!$D$2:$D$20000,$C$3,元データ!$B$2:$B$20000,$C$4,元データ!$C$2:$C$20000,I$5)</f>
        <v>1003947</v>
      </c>
      <c r="J14" s="16">
        <f>SUMIFS(INDEX(元データ!$E$2:$H$20000,0,MATCH($C$2,元データ!$E$1:$H$1,0)),元データ!$A$2:$A$20000,$A14,元データ!$D$2:$D$20000,$C$3,元データ!$B$2:$B$20000,$C$4,元データ!$C$2:$C$20000,J$5)</f>
        <v>1604434</v>
      </c>
      <c r="K14" s="16">
        <f>SUMIFS(INDEX(元データ!$E$2:$H$20000,0,MATCH($C$2,元データ!$E$1:$H$1,0)),元データ!$A$2:$A$20000,$A14,元データ!$D$2:$D$20000,$C$3,元データ!$B$2:$B$20000,$C$4,元データ!$C$2:$C$20000,K$5)</f>
        <v>2468702</v>
      </c>
      <c r="L14" s="16">
        <f>SUMIFS(INDEX(元データ!$E$2:$H$20000,0,MATCH($C$2,元データ!$E$1:$H$1,0)),元データ!$A$2:$A$20000,$A14,元データ!$D$2:$D$20000,$C$3,元データ!$B$2:$B$20000,$C$4,元データ!$C$2:$C$20000,L$5)</f>
        <v>1635385</v>
      </c>
      <c r="M14" s="16">
        <f>SUMIFS(INDEX(元データ!$E$2:$H$20000,0,MATCH($C$2,元データ!$E$1:$H$1,0)),元データ!$A$2:$A$20000,$A14,元データ!$D$2:$D$20000,$C$3,元データ!$B$2:$B$20000,$C$4,元データ!$C$2:$C$20000,M$5)</f>
        <v>1766570</v>
      </c>
      <c r="N14" s="16">
        <f>SUMIFS(INDEX(元データ!$E$2:$H$20000,0,MATCH($C$2,元データ!$E$1:$H$1,0)),元データ!$A$2:$A$20000,$A14,元データ!$D$2:$D$20000,$C$3,元データ!$B$2:$B$20000,$C$4,元データ!$C$2:$C$20000,N$5)</f>
        <v>1848514</v>
      </c>
      <c r="O14" s="17">
        <f t="shared" si="0"/>
        <v>18153089</v>
      </c>
      <c r="P14" s="16">
        <f>SUMIFS(INDEX(元データ!$E$2:$H$20000,0,MATCH($C$2,元データ!$E$1:$H$1,0)),元データ!$A$2:$A$20000,$A14,元データ!$D$2:$D$20000,$C$3,元データ!$B$2:$B$20000,$P$4,元データ!$C$2:$C$20000,P$5)</f>
        <v>1241919</v>
      </c>
      <c r="Q14" s="16">
        <f>SUMIFS(INDEX(元データ!$E$2:$H$20000,0,MATCH($C$2,元データ!$E$1:$H$1,0)),元データ!$A$2:$A$20000,$A14,元データ!$D$2:$D$20000,$C$3,元データ!$B$2:$B$20000,$P$4,元データ!$C$2:$C$20000,Q$5)</f>
        <v>1121488</v>
      </c>
      <c r="R14" s="16">
        <f>SUMIFS(INDEX(元データ!$E$2:$H$20000,0,MATCH($C$2,元データ!$E$1:$H$1,0)),元データ!$A$2:$A$20000,$A14,元データ!$D$2:$D$20000,$C$3,元データ!$B$2:$B$20000,$P$4,元データ!$C$2:$C$20000,R$5)</f>
        <v>1622400</v>
      </c>
      <c r="S14" s="16">
        <f>SUMIFS(INDEX(元データ!$E$2:$H$20000,0,MATCH($C$2,元データ!$E$1:$H$1,0)),元データ!$A$2:$A$20000,$A14,元データ!$D$2:$D$20000,$C$3,元データ!$B$2:$B$20000,$P$4,元データ!$C$2:$C$20000,S$5)</f>
        <v>1283231</v>
      </c>
      <c r="T14" s="16">
        <f>SUMIFS(INDEX(元データ!$E$2:$H$20000,0,MATCH($C$2,元データ!$E$1:$H$1,0)),元データ!$A$2:$A$20000,$A14,元データ!$D$2:$D$20000,$C$3,元データ!$B$2:$B$20000,$P$4,元データ!$C$2:$C$20000,T$5)</f>
        <v>1331220</v>
      </c>
      <c r="U14" s="16">
        <f>SUMIFS(INDEX(元データ!$E$2:$H$20000,0,MATCH($C$2,元データ!$E$1:$H$1,0)),元データ!$A$2:$A$20000,$A14,元データ!$D$2:$D$20000,$C$3,元データ!$B$2:$B$20000,$P$4,元データ!$C$2:$C$20000,U$5)</f>
        <v>1019920</v>
      </c>
      <c r="V14" s="16">
        <f>SUMIFS(INDEX(元データ!$E$2:$H$20000,0,MATCH($C$2,元データ!$E$1:$H$1,0)),元データ!$A$2:$A$20000,$A14,元データ!$D$2:$D$20000,$C$3,元データ!$B$2:$B$20000,$P$4,元データ!$C$2:$C$20000,V$5)</f>
        <v>879301</v>
      </c>
      <c r="W14" s="16">
        <f>SUMIFS(INDEX(元データ!$E$2:$H$20000,0,MATCH($C$2,元データ!$E$1:$H$1,0)),元データ!$A$2:$A$20000,$A14,元データ!$D$2:$D$20000,$C$3,元データ!$B$2:$B$20000,$P$4,元データ!$C$2:$C$20000,W$5)</f>
        <v>1968439</v>
      </c>
      <c r="X14" s="16">
        <f>SUMIFS(INDEX(元データ!$E$2:$H$20000,0,MATCH($C$2,元データ!$E$1:$H$1,0)),元データ!$A$2:$A$20000,$A14,元データ!$D$2:$D$20000,$C$3,元データ!$B$2:$B$20000,$P$4,元データ!$C$2:$C$20000,X$5)</f>
        <v>2330916</v>
      </c>
      <c r="Y14" s="16">
        <f>SUMIFS(INDEX(元データ!$E$2:$H$20000,0,MATCH($C$2,元データ!$E$1:$H$1,0)),元データ!$A$2:$A$20000,$A14,元データ!$D$2:$D$20000,$C$3,元データ!$B$2:$B$20000,$P$4,元データ!$C$2:$C$20000,Y$5)</f>
        <v>2010178</v>
      </c>
      <c r="Z14" s="16">
        <f>SUMIFS(INDEX(元データ!$E$2:$H$20000,0,MATCH($C$2,元データ!$E$1:$H$1,0)),元データ!$A$2:$A$20000,$A14,元データ!$D$2:$D$20000,$C$3,元データ!$B$2:$B$20000,$P$4,元データ!$C$2:$C$20000,Z$5)</f>
        <v>1874617</v>
      </c>
      <c r="AA14" s="16">
        <f>SUMIFS(INDEX(元データ!$E$2:$H$20000,0,MATCH($C$2,元データ!$E$1:$H$1,0)),元データ!$A$2:$A$20000,$A14,元データ!$D$2:$D$20000,$C$3,元データ!$B$2:$B$20000,$P$4,元データ!$C$2:$C$20000,AA$5)</f>
        <v>1674765</v>
      </c>
      <c r="AB14" s="17">
        <f t="shared" si="1"/>
        <v>18358394</v>
      </c>
      <c r="AC14" s="18">
        <f t="shared" si="2"/>
        <v>1.0012214967320736</v>
      </c>
      <c r="AD14" s="18">
        <f t="shared" si="3"/>
        <v>1.1148269085358025</v>
      </c>
      <c r="AE14" s="18">
        <f t="shared" si="4"/>
        <v>1.0654431706114398</v>
      </c>
      <c r="AF14" s="18">
        <f t="shared" si="5"/>
        <v>0.91215299505700842</v>
      </c>
      <c r="AG14" s="18">
        <f t="shared" si="6"/>
        <v>1.0000976547828309</v>
      </c>
      <c r="AH14" s="18">
        <f t="shared" si="7"/>
        <v>1.0798964624676446</v>
      </c>
      <c r="AI14" s="18">
        <f t="shared" si="8"/>
        <v>1.1417557810124179</v>
      </c>
      <c r="AJ14" s="18">
        <f t="shared" si="9"/>
        <v>0.81507935983792235</v>
      </c>
      <c r="AK14" s="18">
        <f t="shared" si="10"/>
        <v>1.0591123832862275</v>
      </c>
      <c r="AL14" s="18">
        <f t="shared" si="11"/>
        <v>0.81355233218152823</v>
      </c>
      <c r="AM14" s="18">
        <f t="shared" si="12"/>
        <v>0.94236316004815912</v>
      </c>
      <c r="AN14" s="18">
        <f t="shared" si="13"/>
        <v>1.1037453015796246</v>
      </c>
      <c r="AO14" s="19">
        <f t="shared" si="14"/>
        <v>0.98881683223488936</v>
      </c>
    </row>
    <row r="15" spans="1:41" x14ac:dyDescent="0.45">
      <c r="A15" s="14" t="str">
        <f>店舗マスタ!A11</f>
        <v>岡の宮店</v>
      </c>
      <c r="B15" s="15"/>
      <c r="C15" s="16">
        <f>SUMIFS(INDEX(元データ!$E$2:$H$20000,0,MATCH($C$2,元データ!$E$1:$H$1,0)),元データ!$A$2:$A$20000,$A15,元データ!$D$2:$D$20000,$C$3,元データ!$B$2:$B$20000,$C$4,元データ!$C$2:$C$20000,C$5)</f>
        <v>1693532</v>
      </c>
      <c r="D15" s="16">
        <f>SUMIFS(INDEX(元データ!$E$2:$H$20000,0,MATCH($C$2,元データ!$E$1:$H$1,0)),元データ!$A$2:$A$20000,$A15,元データ!$D$2:$D$20000,$C$3,元データ!$B$2:$B$20000,$C$4,元データ!$C$2:$C$20000,D$5)</f>
        <v>1567312</v>
      </c>
      <c r="E15" s="16">
        <f>SUMIFS(INDEX(元データ!$E$2:$H$20000,0,MATCH($C$2,元データ!$E$1:$H$1,0)),元データ!$A$2:$A$20000,$A15,元データ!$D$2:$D$20000,$C$3,元データ!$B$2:$B$20000,$C$4,元データ!$C$2:$C$20000,E$5)</f>
        <v>2147016</v>
      </c>
      <c r="F15" s="16">
        <f>SUMIFS(INDEX(元データ!$E$2:$H$20000,0,MATCH($C$2,元データ!$E$1:$H$1,0)),元データ!$A$2:$A$20000,$A15,元データ!$D$2:$D$20000,$C$3,元データ!$B$2:$B$20000,$C$4,元データ!$C$2:$C$20000,F$5)</f>
        <v>2150599</v>
      </c>
      <c r="G15" s="16">
        <f>SUMIFS(INDEX(元データ!$E$2:$H$20000,0,MATCH($C$2,元データ!$E$1:$H$1,0)),元データ!$A$2:$A$20000,$A15,元データ!$D$2:$D$20000,$C$3,元データ!$B$2:$B$20000,$C$4,元データ!$C$2:$C$20000,G$5)</f>
        <v>2172052</v>
      </c>
      <c r="H15" s="16">
        <f>SUMIFS(INDEX(元データ!$E$2:$H$20000,0,MATCH($C$2,元データ!$E$1:$H$1,0)),元データ!$A$2:$A$20000,$A15,元データ!$D$2:$D$20000,$C$3,元データ!$B$2:$B$20000,$C$4,元データ!$C$2:$C$20000,H$5)</f>
        <v>1437515</v>
      </c>
      <c r="I15" s="16">
        <f>SUMIFS(INDEX(元データ!$E$2:$H$20000,0,MATCH($C$2,元データ!$E$1:$H$1,0)),元データ!$A$2:$A$20000,$A15,元データ!$D$2:$D$20000,$C$3,元データ!$B$2:$B$20000,$C$4,元データ!$C$2:$C$20000,I$5)</f>
        <v>1393171</v>
      </c>
      <c r="J15" s="16">
        <f>SUMIFS(INDEX(元データ!$E$2:$H$20000,0,MATCH($C$2,元データ!$E$1:$H$1,0)),元データ!$A$2:$A$20000,$A15,元データ!$D$2:$D$20000,$C$3,元データ!$B$2:$B$20000,$C$4,元データ!$C$2:$C$20000,J$5)</f>
        <v>2561062</v>
      </c>
      <c r="K15" s="16">
        <f>SUMIFS(INDEX(元データ!$E$2:$H$20000,0,MATCH($C$2,元データ!$E$1:$H$1,0)),元データ!$A$2:$A$20000,$A15,元データ!$D$2:$D$20000,$C$3,元データ!$B$2:$B$20000,$C$4,元データ!$C$2:$C$20000,K$5)</f>
        <v>3664546</v>
      </c>
      <c r="L15" s="16">
        <f>SUMIFS(INDEX(元データ!$E$2:$H$20000,0,MATCH($C$2,元データ!$E$1:$H$1,0)),元データ!$A$2:$A$20000,$A15,元データ!$D$2:$D$20000,$C$3,元データ!$B$2:$B$20000,$C$4,元データ!$C$2:$C$20000,L$5)</f>
        <v>2768264</v>
      </c>
      <c r="M15" s="16">
        <f>SUMIFS(INDEX(元データ!$E$2:$H$20000,0,MATCH($C$2,元データ!$E$1:$H$1,0)),元データ!$A$2:$A$20000,$A15,元データ!$D$2:$D$20000,$C$3,元データ!$B$2:$B$20000,$C$4,元データ!$C$2:$C$20000,M$5)</f>
        <v>2776241</v>
      </c>
      <c r="N15" s="16">
        <f>SUMIFS(INDEX(元データ!$E$2:$H$20000,0,MATCH($C$2,元データ!$E$1:$H$1,0)),元データ!$A$2:$A$20000,$A15,元データ!$D$2:$D$20000,$C$3,元データ!$B$2:$B$20000,$C$4,元データ!$C$2:$C$20000,N$5)</f>
        <v>2013847</v>
      </c>
      <c r="O15" s="17">
        <f t="shared" si="0"/>
        <v>26345157</v>
      </c>
      <c r="P15" s="16">
        <f>SUMIFS(INDEX(元データ!$E$2:$H$20000,0,MATCH($C$2,元データ!$E$1:$H$1,0)),元データ!$A$2:$A$20000,$A15,元データ!$D$2:$D$20000,$C$3,元データ!$B$2:$B$20000,$P$4,元データ!$C$2:$C$20000,P$5)</f>
        <v>1475237</v>
      </c>
      <c r="Q15" s="16">
        <f>SUMIFS(INDEX(元データ!$E$2:$H$20000,0,MATCH($C$2,元データ!$E$1:$H$1,0)),元データ!$A$2:$A$20000,$A15,元データ!$D$2:$D$20000,$C$3,元データ!$B$2:$B$20000,$P$4,元データ!$C$2:$C$20000,Q$5)</f>
        <v>1548525</v>
      </c>
      <c r="R15" s="16">
        <f>SUMIFS(INDEX(元データ!$E$2:$H$20000,0,MATCH($C$2,元データ!$E$1:$H$1,0)),元データ!$A$2:$A$20000,$A15,元データ!$D$2:$D$20000,$C$3,元データ!$B$2:$B$20000,$P$4,元データ!$C$2:$C$20000,R$5)</f>
        <v>2388927</v>
      </c>
      <c r="S15" s="16">
        <f>SUMIFS(INDEX(元データ!$E$2:$H$20000,0,MATCH($C$2,元データ!$E$1:$H$1,0)),元データ!$A$2:$A$20000,$A15,元データ!$D$2:$D$20000,$C$3,元データ!$B$2:$B$20000,$P$4,元データ!$C$2:$C$20000,S$5)</f>
        <v>2275250</v>
      </c>
      <c r="T15" s="16">
        <f>SUMIFS(INDEX(元データ!$E$2:$H$20000,0,MATCH($C$2,元データ!$E$1:$H$1,0)),元データ!$A$2:$A$20000,$A15,元データ!$D$2:$D$20000,$C$3,元データ!$B$2:$B$20000,$P$4,元データ!$C$2:$C$20000,T$5)</f>
        <v>2097862</v>
      </c>
      <c r="U15" s="16">
        <f>SUMIFS(INDEX(元データ!$E$2:$H$20000,0,MATCH($C$2,元データ!$E$1:$H$1,0)),元データ!$A$2:$A$20000,$A15,元データ!$D$2:$D$20000,$C$3,元データ!$B$2:$B$20000,$P$4,元データ!$C$2:$C$20000,U$5)</f>
        <v>1396843</v>
      </c>
      <c r="V15" s="16">
        <f>SUMIFS(INDEX(元データ!$E$2:$H$20000,0,MATCH($C$2,元データ!$E$1:$H$1,0)),元データ!$A$2:$A$20000,$A15,元データ!$D$2:$D$20000,$C$3,元データ!$B$2:$B$20000,$P$4,元データ!$C$2:$C$20000,V$5)</f>
        <v>1408569</v>
      </c>
      <c r="W15" s="16">
        <f>SUMIFS(INDEX(元データ!$E$2:$H$20000,0,MATCH($C$2,元データ!$E$1:$H$1,0)),元データ!$A$2:$A$20000,$A15,元データ!$D$2:$D$20000,$C$3,元データ!$B$2:$B$20000,$P$4,元データ!$C$2:$C$20000,W$5)</f>
        <v>2947360</v>
      </c>
      <c r="X15" s="16">
        <f>SUMIFS(INDEX(元データ!$E$2:$H$20000,0,MATCH($C$2,元データ!$E$1:$H$1,0)),元データ!$A$2:$A$20000,$A15,元データ!$D$2:$D$20000,$C$3,元データ!$B$2:$B$20000,$P$4,元データ!$C$2:$C$20000,X$5)</f>
        <v>3441079</v>
      </c>
      <c r="Y15" s="16">
        <f>SUMIFS(INDEX(元データ!$E$2:$H$20000,0,MATCH($C$2,元データ!$E$1:$H$1,0)),元データ!$A$2:$A$20000,$A15,元データ!$D$2:$D$20000,$C$3,元データ!$B$2:$B$20000,$P$4,元データ!$C$2:$C$20000,Y$5)</f>
        <v>3494491</v>
      </c>
      <c r="Z15" s="16">
        <f>SUMIFS(INDEX(元データ!$E$2:$H$20000,0,MATCH($C$2,元データ!$E$1:$H$1,0)),元データ!$A$2:$A$20000,$A15,元データ!$D$2:$D$20000,$C$3,元データ!$B$2:$B$20000,$P$4,元データ!$C$2:$C$20000,Z$5)</f>
        <v>2720442</v>
      </c>
      <c r="AA15" s="16">
        <f>SUMIFS(INDEX(元データ!$E$2:$H$20000,0,MATCH($C$2,元データ!$E$1:$H$1,0)),元データ!$A$2:$A$20000,$A15,元データ!$D$2:$D$20000,$C$3,元データ!$B$2:$B$20000,$P$4,元データ!$C$2:$C$20000,AA$5)</f>
        <v>2188730</v>
      </c>
      <c r="AB15" s="17">
        <f t="shared" si="1"/>
        <v>27383315</v>
      </c>
      <c r="AC15" s="18">
        <f t="shared" si="2"/>
        <v>1.1479728341954547</v>
      </c>
      <c r="AD15" s="18">
        <f t="shared" si="3"/>
        <v>1.0121321903101339</v>
      </c>
      <c r="AE15" s="18">
        <f t="shared" si="4"/>
        <v>0.89873654573789818</v>
      </c>
      <c r="AF15" s="18">
        <f t="shared" si="5"/>
        <v>0.94521437204702785</v>
      </c>
      <c r="AG15" s="18">
        <f t="shared" si="6"/>
        <v>1.0353645759349281</v>
      </c>
      <c r="AH15" s="18">
        <f t="shared" si="7"/>
        <v>1.0291170876039755</v>
      </c>
      <c r="AI15" s="18">
        <f t="shared" si="8"/>
        <v>0.98906833815027873</v>
      </c>
      <c r="AJ15" s="18">
        <f t="shared" si="9"/>
        <v>0.8689342326692362</v>
      </c>
      <c r="AK15" s="18">
        <f t="shared" si="10"/>
        <v>1.0649409676441604</v>
      </c>
      <c r="AL15" s="18">
        <f t="shared" si="11"/>
        <v>0.7921794619016046</v>
      </c>
      <c r="AM15" s="18">
        <f t="shared" si="12"/>
        <v>1.0205110051969497</v>
      </c>
      <c r="AN15" s="18">
        <f t="shared" si="13"/>
        <v>0.92009841323507235</v>
      </c>
      <c r="AO15" s="19">
        <f t="shared" si="14"/>
        <v>0.96208793566447304</v>
      </c>
    </row>
    <row r="16" spans="1:41" x14ac:dyDescent="0.45">
      <c r="A16" s="14" t="str">
        <f>店舗マスタ!A12</f>
        <v>川島田店</v>
      </c>
      <c r="B16" s="15"/>
      <c r="C16" s="16">
        <f>SUMIFS(INDEX(元データ!$E$2:$H$20000,0,MATCH($C$2,元データ!$E$1:$H$1,0)),元データ!$A$2:$A$20000,$A16,元データ!$D$2:$D$20000,$C$3,元データ!$B$2:$B$20000,$C$4,元データ!$C$2:$C$20000,C$5)</f>
        <v>893197</v>
      </c>
      <c r="D16" s="16">
        <f>SUMIFS(INDEX(元データ!$E$2:$H$20000,0,MATCH($C$2,元データ!$E$1:$H$1,0)),元データ!$A$2:$A$20000,$A16,元データ!$D$2:$D$20000,$C$3,元データ!$B$2:$B$20000,$C$4,元データ!$C$2:$C$20000,D$5)</f>
        <v>1054172</v>
      </c>
      <c r="E16" s="16">
        <f>SUMIFS(INDEX(元データ!$E$2:$H$20000,0,MATCH($C$2,元データ!$E$1:$H$1,0)),元データ!$A$2:$A$20000,$A16,元データ!$D$2:$D$20000,$C$3,元データ!$B$2:$B$20000,$C$4,元データ!$C$2:$C$20000,E$5)</f>
        <v>1498284</v>
      </c>
      <c r="F16" s="16">
        <f>SUMIFS(INDEX(元データ!$E$2:$H$20000,0,MATCH($C$2,元データ!$E$1:$H$1,0)),元データ!$A$2:$A$20000,$A16,元データ!$D$2:$D$20000,$C$3,元データ!$B$2:$B$20000,$C$4,元データ!$C$2:$C$20000,F$5)</f>
        <v>1257823</v>
      </c>
      <c r="G16" s="16">
        <f>SUMIFS(INDEX(元データ!$E$2:$H$20000,0,MATCH($C$2,元データ!$E$1:$H$1,0)),元データ!$A$2:$A$20000,$A16,元データ!$D$2:$D$20000,$C$3,元データ!$B$2:$B$20000,$C$4,元データ!$C$2:$C$20000,G$5)</f>
        <v>1085593</v>
      </c>
      <c r="H16" s="16">
        <f>SUMIFS(INDEX(元データ!$E$2:$H$20000,0,MATCH($C$2,元データ!$E$1:$H$1,0)),元データ!$A$2:$A$20000,$A16,元データ!$D$2:$D$20000,$C$3,元データ!$B$2:$B$20000,$C$4,元データ!$C$2:$C$20000,H$5)</f>
        <v>857151</v>
      </c>
      <c r="I16" s="16">
        <f>SUMIFS(INDEX(元データ!$E$2:$H$20000,0,MATCH($C$2,元データ!$E$1:$H$1,0)),元データ!$A$2:$A$20000,$A16,元データ!$D$2:$D$20000,$C$3,元データ!$B$2:$B$20000,$C$4,元データ!$C$2:$C$20000,I$5)</f>
        <v>769224</v>
      </c>
      <c r="J16" s="16">
        <f>SUMIFS(INDEX(元データ!$E$2:$H$20000,0,MATCH($C$2,元データ!$E$1:$H$1,0)),元データ!$A$2:$A$20000,$A16,元データ!$D$2:$D$20000,$C$3,元データ!$B$2:$B$20000,$C$4,元データ!$C$2:$C$20000,J$5)</f>
        <v>1339066</v>
      </c>
      <c r="K16" s="16">
        <f>SUMIFS(INDEX(元データ!$E$2:$H$20000,0,MATCH($C$2,元データ!$E$1:$H$1,0)),元データ!$A$2:$A$20000,$A16,元データ!$D$2:$D$20000,$C$3,元データ!$B$2:$B$20000,$C$4,元データ!$C$2:$C$20000,K$5)</f>
        <v>2350529</v>
      </c>
      <c r="L16" s="16">
        <f>SUMIFS(INDEX(元データ!$E$2:$H$20000,0,MATCH($C$2,元データ!$E$1:$H$1,0)),元データ!$A$2:$A$20000,$A16,元データ!$D$2:$D$20000,$C$3,元データ!$B$2:$B$20000,$C$4,元データ!$C$2:$C$20000,L$5)</f>
        <v>1467698</v>
      </c>
      <c r="M16" s="16">
        <f>SUMIFS(INDEX(元データ!$E$2:$H$20000,0,MATCH($C$2,元データ!$E$1:$H$1,0)),元データ!$A$2:$A$20000,$A16,元データ!$D$2:$D$20000,$C$3,元データ!$B$2:$B$20000,$C$4,元データ!$C$2:$C$20000,M$5)</f>
        <v>1433965</v>
      </c>
      <c r="N16" s="16">
        <f>SUMIFS(INDEX(元データ!$E$2:$H$20000,0,MATCH($C$2,元データ!$E$1:$H$1,0)),元データ!$A$2:$A$20000,$A16,元データ!$D$2:$D$20000,$C$3,元データ!$B$2:$B$20000,$C$4,元データ!$C$2:$C$20000,N$5)</f>
        <v>1333295</v>
      </c>
      <c r="O16" s="17">
        <f t="shared" si="0"/>
        <v>15339997</v>
      </c>
      <c r="P16" s="16">
        <f>SUMIFS(INDEX(元データ!$E$2:$H$20000,0,MATCH($C$2,元データ!$E$1:$H$1,0)),元データ!$A$2:$A$20000,$A16,元データ!$D$2:$D$20000,$C$3,元データ!$B$2:$B$20000,$P$4,元データ!$C$2:$C$20000,P$5)</f>
        <v>960135</v>
      </c>
      <c r="Q16" s="16">
        <f>SUMIFS(INDEX(元データ!$E$2:$H$20000,0,MATCH($C$2,元データ!$E$1:$H$1,0)),元データ!$A$2:$A$20000,$A16,元データ!$D$2:$D$20000,$C$3,元データ!$B$2:$B$20000,$P$4,元データ!$C$2:$C$20000,Q$5)</f>
        <v>1137595</v>
      </c>
      <c r="R16" s="16">
        <f>SUMIFS(INDEX(元データ!$E$2:$H$20000,0,MATCH($C$2,元データ!$E$1:$H$1,0)),元データ!$A$2:$A$20000,$A16,元データ!$D$2:$D$20000,$C$3,元データ!$B$2:$B$20000,$P$4,元データ!$C$2:$C$20000,R$5)</f>
        <v>1475545</v>
      </c>
      <c r="S16" s="16">
        <f>SUMIFS(INDEX(元データ!$E$2:$H$20000,0,MATCH($C$2,元データ!$E$1:$H$1,0)),元データ!$A$2:$A$20000,$A16,元データ!$D$2:$D$20000,$C$3,元データ!$B$2:$B$20000,$P$4,元データ!$C$2:$C$20000,S$5)</f>
        <v>1150805</v>
      </c>
      <c r="T16" s="16">
        <f>SUMIFS(INDEX(元データ!$E$2:$H$20000,0,MATCH($C$2,元データ!$E$1:$H$1,0)),元データ!$A$2:$A$20000,$A16,元データ!$D$2:$D$20000,$C$3,元データ!$B$2:$B$20000,$P$4,元データ!$C$2:$C$20000,T$5)</f>
        <v>1100945</v>
      </c>
      <c r="U16" s="16">
        <f>SUMIFS(INDEX(元データ!$E$2:$H$20000,0,MATCH($C$2,元データ!$E$1:$H$1,0)),元データ!$A$2:$A$20000,$A16,元データ!$D$2:$D$20000,$C$3,元データ!$B$2:$B$20000,$P$4,元データ!$C$2:$C$20000,U$5)</f>
        <v>738482</v>
      </c>
      <c r="V16" s="16">
        <f>SUMIFS(INDEX(元データ!$E$2:$H$20000,0,MATCH($C$2,元データ!$E$1:$H$1,0)),元データ!$A$2:$A$20000,$A16,元データ!$D$2:$D$20000,$C$3,元データ!$B$2:$B$20000,$P$4,元データ!$C$2:$C$20000,V$5)</f>
        <v>720345</v>
      </c>
      <c r="W16" s="16">
        <f>SUMIFS(INDEX(元データ!$E$2:$H$20000,0,MATCH($C$2,元データ!$E$1:$H$1,0)),元データ!$A$2:$A$20000,$A16,元データ!$D$2:$D$20000,$C$3,元データ!$B$2:$B$20000,$P$4,元データ!$C$2:$C$20000,W$5)</f>
        <v>1604678</v>
      </c>
      <c r="X16" s="16">
        <f>SUMIFS(INDEX(元データ!$E$2:$H$20000,0,MATCH($C$2,元データ!$E$1:$H$1,0)),元データ!$A$2:$A$20000,$A16,元データ!$D$2:$D$20000,$C$3,元データ!$B$2:$B$20000,$P$4,元データ!$C$2:$C$20000,X$5)</f>
        <v>2155155</v>
      </c>
      <c r="Y16" s="16">
        <f>SUMIFS(INDEX(元データ!$E$2:$H$20000,0,MATCH($C$2,元データ!$E$1:$H$1,0)),元データ!$A$2:$A$20000,$A16,元データ!$D$2:$D$20000,$C$3,元データ!$B$2:$B$20000,$P$4,元データ!$C$2:$C$20000,Y$5)</f>
        <v>1845554</v>
      </c>
      <c r="Z16" s="16">
        <f>SUMIFS(INDEX(元データ!$E$2:$H$20000,0,MATCH($C$2,元データ!$E$1:$H$1,0)),元データ!$A$2:$A$20000,$A16,元データ!$D$2:$D$20000,$C$3,元データ!$B$2:$B$20000,$P$4,元データ!$C$2:$C$20000,Z$5)</f>
        <v>1700845</v>
      </c>
      <c r="AA16" s="16">
        <f>SUMIFS(INDEX(元データ!$E$2:$H$20000,0,MATCH($C$2,元データ!$E$1:$H$1,0)),元データ!$A$2:$A$20000,$A16,元データ!$D$2:$D$20000,$C$3,元データ!$B$2:$B$20000,$P$4,元データ!$C$2:$C$20000,AA$5)</f>
        <v>1196515</v>
      </c>
      <c r="AB16" s="17">
        <f t="shared" si="1"/>
        <v>15786599</v>
      </c>
      <c r="AC16" s="18">
        <f t="shared" si="2"/>
        <v>0.93028272065907402</v>
      </c>
      <c r="AD16" s="18">
        <f t="shared" si="3"/>
        <v>0.92666722339672736</v>
      </c>
      <c r="AE16" s="18">
        <f t="shared" si="4"/>
        <v>1.0154105771087971</v>
      </c>
      <c r="AF16" s="18">
        <f t="shared" si="5"/>
        <v>1.0929940346105551</v>
      </c>
      <c r="AG16" s="18">
        <f t="shared" si="6"/>
        <v>0.98605561585728629</v>
      </c>
      <c r="AH16" s="18">
        <f t="shared" si="7"/>
        <v>1.1606931516272569</v>
      </c>
      <c r="AI16" s="18">
        <f t="shared" si="8"/>
        <v>1.0678549861524687</v>
      </c>
      <c r="AJ16" s="18">
        <f t="shared" si="9"/>
        <v>0.83447644948083044</v>
      </c>
      <c r="AK16" s="18">
        <f t="shared" si="10"/>
        <v>1.0906542684864893</v>
      </c>
      <c r="AL16" s="18">
        <f t="shared" si="11"/>
        <v>0.79526147704158212</v>
      </c>
      <c r="AM16" s="18">
        <f t="shared" si="12"/>
        <v>0.84308975832600852</v>
      </c>
      <c r="AN16" s="18">
        <f t="shared" si="13"/>
        <v>1.114315324087036</v>
      </c>
      <c r="AO16" s="19">
        <f t="shared" si="14"/>
        <v>0.97171005610518135</v>
      </c>
    </row>
    <row r="17" spans="1:41" x14ac:dyDescent="0.45">
      <c r="A17" s="14" t="str">
        <f>店舗マスタ!A13</f>
        <v>便船塚店</v>
      </c>
      <c r="B17" s="15"/>
      <c r="C17" s="16">
        <f>SUMIFS(INDEX(元データ!$E$2:$H$20000,0,MATCH($C$2,元データ!$E$1:$H$1,0)),元データ!$A$2:$A$20000,$A17,元データ!$D$2:$D$20000,$C$3,元データ!$B$2:$B$20000,$C$4,元データ!$C$2:$C$20000,C$5)</f>
        <v>1851402</v>
      </c>
      <c r="D17" s="16">
        <f>SUMIFS(INDEX(元データ!$E$2:$H$20000,0,MATCH($C$2,元データ!$E$1:$H$1,0)),元データ!$A$2:$A$20000,$A17,元データ!$D$2:$D$20000,$C$3,元データ!$B$2:$B$20000,$C$4,元データ!$C$2:$C$20000,D$5)</f>
        <v>2124582</v>
      </c>
      <c r="E17" s="16">
        <f>SUMIFS(INDEX(元データ!$E$2:$H$20000,0,MATCH($C$2,元データ!$E$1:$H$1,0)),元データ!$A$2:$A$20000,$A17,元データ!$D$2:$D$20000,$C$3,元データ!$B$2:$B$20000,$C$4,元データ!$C$2:$C$20000,E$5)</f>
        <v>2884722</v>
      </c>
      <c r="F17" s="16">
        <f>SUMIFS(INDEX(元データ!$E$2:$H$20000,0,MATCH($C$2,元データ!$E$1:$H$1,0)),元データ!$A$2:$A$20000,$A17,元データ!$D$2:$D$20000,$C$3,元データ!$B$2:$B$20000,$C$4,元データ!$C$2:$C$20000,F$5)</f>
        <v>2266931</v>
      </c>
      <c r="G17" s="16">
        <f>SUMIFS(INDEX(元データ!$E$2:$H$20000,0,MATCH($C$2,元データ!$E$1:$H$1,0)),元データ!$A$2:$A$20000,$A17,元データ!$D$2:$D$20000,$C$3,元データ!$B$2:$B$20000,$C$4,元データ!$C$2:$C$20000,G$5)</f>
        <v>2243077</v>
      </c>
      <c r="H17" s="16">
        <f>SUMIFS(INDEX(元データ!$E$2:$H$20000,0,MATCH($C$2,元データ!$E$1:$H$1,0)),元データ!$A$2:$A$20000,$A17,元データ!$D$2:$D$20000,$C$3,元データ!$B$2:$B$20000,$C$4,元データ!$C$2:$C$20000,H$5)</f>
        <v>1550086</v>
      </c>
      <c r="I17" s="16">
        <f>SUMIFS(INDEX(元データ!$E$2:$H$20000,0,MATCH($C$2,元データ!$E$1:$H$1,0)),元データ!$A$2:$A$20000,$A17,元データ!$D$2:$D$20000,$C$3,元データ!$B$2:$B$20000,$C$4,元データ!$C$2:$C$20000,I$5)</f>
        <v>1400695</v>
      </c>
      <c r="J17" s="16">
        <f>SUMIFS(INDEX(元データ!$E$2:$H$20000,0,MATCH($C$2,元データ!$E$1:$H$1,0)),元データ!$A$2:$A$20000,$A17,元データ!$D$2:$D$20000,$C$3,元データ!$B$2:$B$20000,$C$4,元データ!$C$2:$C$20000,J$5)</f>
        <v>2679065</v>
      </c>
      <c r="K17" s="16">
        <f>SUMIFS(INDEX(元データ!$E$2:$H$20000,0,MATCH($C$2,元データ!$E$1:$H$1,0)),元データ!$A$2:$A$20000,$A17,元データ!$D$2:$D$20000,$C$3,元データ!$B$2:$B$20000,$C$4,元データ!$C$2:$C$20000,K$5)</f>
        <v>4263445</v>
      </c>
      <c r="L17" s="16">
        <f>SUMIFS(INDEX(元データ!$E$2:$H$20000,0,MATCH($C$2,元データ!$E$1:$H$1,0)),元データ!$A$2:$A$20000,$A17,元データ!$D$2:$D$20000,$C$3,元データ!$B$2:$B$20000,$C$4,元データ!$C$2:$C$20000,L$5)</f>
        <v>3020437</v>
      </c>
      <c r="M17" s="16">
        <f>SUMIFS(INDEX(元データ!$E$2:$H$20000,0,MATCH($C$2,元データ!$E$1:$H$1,0)),元データ!$A$2:$A$20000,$A17,元データ!$D$2:$D$20000,$C$3,元データ!$B$2:$B$20000,$C$4,元データ!$C$2:$C$20000,M$5)</f>
        <v>3048466</v>
      </c>
      <c r="N17" s="16">
        <f>SUMIFS(INDEX(元データ!$E$2:$H$20000,0,MATCH($C$2,元データ!$E$1:$H$1,0)),元データ!$A$2:$A$20000,$A17,元データ!$D$2:$D$20000,$C$3,元データ!$B$2:$B$20000,$C$4,元データ!$C$2:$C$20000,N$5)</f>
        <v>2410696</v>
      </c>
      <c r="O17" s="17">
        <f t="shared" si="0"/>
        <v>29743604</v>
      </c>
      <c r="P17" s="16">
        <f>SUMIFS(INDEX(元データ!$E$2:$H$20000,0,MATCH($C$2,元データ!$E$1:$H$1,0)),元データ!$A$2:$A$20000,$A17,元データ!$D$2:$D$20000,$C$3,元データ!$B$2:$B$20000,$P$4,元データ!$C$2:$C$20000,P$5)</f>
        <v>1850143</v>
      </c>
      <c r="Q17" s="16">
        <f>SUMIFS(INDEX(元データ!$E$2:$H$20000,0,MATCH($C$2,元データ!$E$1:$H$1,0)),元データ!$A$2:$A$20000,$A17,元データ!$D$2:$D$20000,$C$3,元データ!$B$2:$B$20000,$P$4,元データ!$C$2:$C$20000,Q$5)</f>
        <v>1866846</v>
      </c>
      <c r="R17" s="16">
        <f>SUMIFS(INDEX(元データ!$E$2:$H$20000,0,MATCH($C$2,元データ!$E$1:$H$1,0)),元データ!$A$2:$A$20000,$A17,元データ!$D$2:$D$20000,$C$3,元データ!$B$2:$B$20000,$P$4,元データ!$C$2:$C$20000,R$5)</f>
        <v>2823168</v>
      </c>
      <c r="S17" s="16">
        <f>SUMIFS(INDEX(元データ!$E$2:$H$20000,0,MATCH($C$2,元データ!$E$1:$H$1,0)),元データ!$A$2:$A$20000,$A17,元データ!$D$2:$D$20000,$C$3,元データ!$B$2:$B$20000,$P$4,元データ!$C$2:$C$20000,S$5)</f>
        <v>2367121</v>
      </c>
      <c r="T17" s="16">
        <f>SUMIFS(INDEX(元データ!$E$2:$H$20000,0,MATCH($C$2,元データ!$E$1:$H$1,0)),元データ!$A$2:$A$20000,$A17,元データ!$D$2:$D$20000,$C$3,元データ!$B$2:$B$20000,$P$4,元データ!$C$2:$C$20000,T$5)</f>
        <v>2170226</v>
      </c>
      <c r="U17" s="16">
        <f>SUMIFS(INDEX(元データ!$E$2:$H$20000,0,MATCH($C$2,元データ!$E$1:$H$1,0)),元データ!$A$2:$A$20000,$A17,元データ!$D$2:$D$20000,$C$3,元データ!$B$2:$B$20000,$P$4,元データ!$C$2:$C$20000,U$5)</f>
        <v>1617550</v>
      </c>
      <c r="V17" s="16">
        <f>SUMIFS(INDEX(元データ!$E$2:$H$20000,0,MATCH($C$2,元データ!$E$1:$H$1,0)),元データ!$A$2:$A$20000,$A17,元データ!$D$2:$D$20000,$C$3,元データ!$B$2:$B$20000,$P$4,元データ!$C$2:$C$20000,V$5)</f>
        <v>1375302</v>
      </c>
      <c r="W17" s="16">
        <f>SUMIFS(INDEX(元データ!$E$2:$H$20000,0,MATCH($C$2,元データ!$E$1:$H$1,0)),元データ!$A$2:$A$20000,$A17,元データ!$D$2:$D$20000,$C$3,元データ!$B$2:$B$20000,$P$4,元データ!$C$2:$C$20000,W$5)</f>
        <v>3183885</v>
      </c>
      <c r="X17" s="16">
        <f>SUMIFS(INDEX(元データ!$E$2:$H$20000,0,MATCH($C$2,元データ!$E$1:$H$1,0)),元データ!$A$2:$A$20000,$A17,元データ!$D$2:$D$20000,$C$3,元データ!$B$2:$B$20000,$P$4,元データ!$C$2:$C$20000,X$5)</f>
        <v>4105855</v>
      </c>
      <c r="Y17" s="16">
        <f>SUMIFS(INDEX(元データ!$E$2:$H$20000,0,MATCH($C$2,元データ!$E$1:$H$1,0)),元データ!$A$2:$A$20000,$A17,元データ!$D$2:$D$20000,$C$3,元データ!$B$2:$B$20000,$P$4,元データ!$C$2:$C$20000,Y$5)</f>
        <v>3303895</v>
      </c>
      <c r="Z17" s="16">
        <f>SUMIFS(INDEX(元データ!$E$2:$H$20000,0,MATCH($C$2,元データ!$E$1:$H$1,0)),元データ!$A$2:$A$20000,$A17,元データ!$D$2:$D$20000,$C$3,元データ!$B$2:$B$20000,$P$4,元データ!$C$2:$C$20000,Z$5)</f>
        <v>3034963</v>
      </c>
      <c r="AA17" s="16">
        <f>SUMIFS(INDEX(元データ!$E$2:$H$20000,0,MATCH($C$2,元データ!$E$1:$H$1,0)),元データ!$A$2:$A$20000,$A17,元データ!$D$2:$D$20000,$C$3,元データ!$B$2:$B$20000,$P$4,元データ!$C$2:$C$20000,AA$5)</f>
        <v>2391292</v>
      </c>
      <c r="AB17" s="17">
        <f t="shared" si="1"/>
        <v>30090246</v>
      </c>
      <c r="AC17" s="18">
        <f t="shared" si="2"/>
        <v>1.0006804879406619</v>
      </c>
      <c r="AD17" s="18">
        <f t="shared" si="3"/>
        <v>1.1380595935604758</v>
      </c>
      <c r="AE17" s="18">
        <f t="shared" si="4"/>
        <v>1.0218031658052231</v>
      </c>
      <c r="AF17" s="18">
        <f t="shared" si="5"/>
        <v>0.95767432252090201</v>
      </c>
      <c r="AG17" s="18">
        <f t="shared" si="6"/>
        <v>1.0335683933378368</v>
      </c>
      <c r="AH17" s="18">
        <f t="shared" si="7"/>
        <v>0.95829247936694384</v>
      </c>
      <c r="AI17" s="18">
        <f t="shared" si="8"/>
        <v>1.0184635810898262</v>
      </c>
      <c r="AJ17" s="18">
        <f t="shared" si="9"/>
        <v>0.84144527833134675</v>
      </c>
      <c r="AK17" s="18">
        <f t="shared" si="10"/>
        <v>1.0383817743198434</v>
      </c>
      <c r="AL17" s="18">
        <f t="shared" si="11"/>
        <v>0.91420490057946757</v>
      </c>
      <c r="AM17" s="18">
        <f t="shared" si="12"/>
        <v>1.0044491481444748</v>
      </c>
      <c r="AN17" s="18">
        <f t="shared" si="13"/>
        <v>1.0081144419000272</v>
      </c>
      <c r="AO17" s="19">
        <f t="shared" si="14"/>
        <v>0.98847992136720986</v>
      </c>
    </row>
    <row r="18" spans="1:41" x14ac:dyDescent="0.45">
      <c r="A18" s="14" t="str">
        <f>店舗マスタ!A14</f>
        <v>大岡店</v>
      </c>
      <c r="B18" s="15"/>
      <c r="C18" s="16">
        <f>SUMIFS(INDEX(元データ!$E$2:$H$20000,0,MATCH($C$2,元データ!$E$1:$H$1,0)),元データ!$A$2:$A$20000,$A18,元データ!$D$2:$D$20000,$C$3,元データ!$B$2:$B$20000,$C$4,元データ!$C$2:$C$20000,C$5)</f>
        <v>2013428</v>
      </c>
      <c r="D18" s="16">
        <f>SUMIFS(INDEX(元データ!$E$2:$H$20000,0,MATCH($C$2,元データ!$E$1:$H$1,0)),元データ!$A$2:$A$20000,$A18,元データ!$D$2:$D$20000,$C$3,元データ!$B$2:$B$20000,$C$4,元データ!$C$2:$C$20000,D$5)</f>
        <v>1814639</v>
      </c>
      <c r="E18" s="16">
        <f>SUMIFS(INDEX(元データ!$E$2:$H$20000,0,MATCH($C$2,元データ!$E$1:$H$1,0)),元データ!$A$2:$A$20000,$A18,元データ!$D$2:$D$20000,$C$3,元データ!$B$2:$B$20000,$C$4,元データ!$C$2:$C$20000,E$5)</f>
        <v>2547613</v>
      </c>
      <c r="F18" s="16">
        <f>SUMIFS(INDEX(元データ!$E$2:$H$20000,0,MATCH($C$2,元データ!$E$1:$H$1,0)),元データ!$A$2:$A$20000,$A18,元データ!$D$2:$D$20000,$C$3,元データ!$B$2:$B$20000,$C$4,元データ!$C$2:$C$20000,F$5)</f>
        <v>2127060</v>
      </c>
      <c r="G18" s="16">
        <f>SUMIFS(INDEX(元データ!$E$2:$H$20000,0,MATCH($C$2,元データ!$E$1:$H$1,0)),元データ!$A$2:$A$20000,$A18,元データ!$D$2:$D$20000,$C$3,元データ!$B$2:$B$20000,$C$4,元データ!$C$2:$C$20000,G$5)</f>
        <v>2338428</v>
      </c>
      <c r="H18" s="16">
        <f>SUMIFS(INDEX(元データ!$E$2:$H$20000,0,MATCH($C$2,元データ!$E$1:$H$1,0)),元データ!$A$2:$A$20000,$A18,元データ!$D$2:$D$20000,$C$3,元データ!$B$2:$B$20000,$C$4,元データ!$C$2:$C$20000,H$5)</f>
        <v>1544072</v>
      </c>
      <c r="I18" s="16">
        <f>SUMIFS(INDEX(元データ!$E$2:$H$20000,0,MATCH($C$2,元データ!$E$1:$H$1,0)),元データ!$A$2:$A$20000,$A18,元データ!$D$2:$D$20000,$C$3,元データ!$B$2:$B$20000,$C$4,元データ!$C$2:$C$20000,I$5)</f>
        <v>1443953</v>
      </c>
      <c r="J18" s="16">
        <f>SUMIFS(INDEX(元データ!$E$2:$H$20000,0,MATCH($C$2,元データ!$E$1:$H$1,0)),元データ!$A$2:$A$20000,$A18,元データ!$D$2:$D$20000,$C$3,元データ!$B$2:$B$20000,$C$4,元データ!$C$2:$C$20000,J$5)</f>
        <v>2887026</v>
      </c>
      <c r="K18" s="16">
        <f>SUMIFS(INDEX(元データ!$E$2:$H$20000,0,MATCH($C$2,元データ!$E$1:$H$1,0)),元データ!$A$2:$A$20000,$A18,元データ!$D$2:$D$20000,$C$3,元データ!$B$2:$B$20000,$C$4,元データ!$C$2:$C$20000,K$5)</f>
        <v>5085523</v>
      </c>
      <c r="L18" s="16">
        <f>SUMIFS(INDEX(元データ!$E$2:$H$20000,0,MATCH($C$2,元データ!$E$1:$H$1,0)),元データ!$A$2:$A$20000,$A18,元データ!$D$2:$D$20000,$C$3,元データ!$B$2:$B$20000,$C$4,元データ!$C$2:$C$20000,L$5)</f>
        <v>3524465</v>
      </c>
      <c r="M18" s="16">
        <f>SUMIFS(INDEX(元データ!$E$2:$H$20000,0,MATCH($C$2,元データ!$E$1:$H$1,0)),元データ!$A$2:$A$20000,$A18,元データ!$D$2:$D$20000,$C$3,元データ!$B$2:$B$20000,$C$4,元データ!$C$2:$C$20000,M$5)</f>
        <v>3277404</v>
      </c>
      <c r="N18" s="16">
        <f>SUMIFS(INDEX(元データ!$E$2:$H$20000,0,MATCH($C$2,元データ!$E$1:$H$1,0)),元データ!$A$2:$A$20000,$A18,元データ!$D$2:$D$20000,$C$3,元データ!$B$2:$B$20000,$C$4,元データ!$C$2:$C$20000,N$5)</f>
        <v>2316565</v>
      </c>
      <c r="O18" s="17">
        <f t="shared" si="0"/>
        <v>30920176</v>
      </c>
      <c r="P18" s="16">
        <f>SUMIFS(INDEX(元データ!$E$2:$H$20000,0,MATCH($C$2,元データ!$E$1:$H$1,0)),元データ!$A$2:$A$20000,$A18,元データ!$D$2:$D$20000,$C$3,元データ!$B$2:$B$20000,$P$4,元データ!$C$2:$C$20000,P$5)</f>
        <v>1884514</v>
      </c>
      <c r="Q18" s="16">
        <f>SUMIFS(INDEX(元データ!$E$2:$H$20000,0,MATCH($C$2,元データ!$E$1:$H$1,0)),元データ!$A$2:$A$20000,$A18,元データ!$D$2:$D$20000,$C$3,元データ!$B$2:$B$20000,$P$4,元データ!$C$2:$C$20000,Q$5)</f>
        <v>1767903</v>
      </c>
      <c r="R18" s="16">
        <f>SUMIFS(INDEX(元データ!$E$2:$H$20000,0,MATCH($C$2,元データ!$E$1:$H$1,0)),元データ!$A$2:$A$20000,$A18,元データ!$D$2:$D$20000,$C$3,元データ!$B$2:$B$20000,$P$4,元データ!$C$2:$C$20000,R$5)</f>
        <v>2635864</v>
      </c>
      <c r="S18" s="16">
        <f>SUMIFS(INDEX(元データ!$E$2:$H$20000,0,MATCH($C$2,元データ!$E$1:$H$1,0)),元データ!$A$2:$A$20000,$A18,元データ!$D$2:$D$20000,$C$3,元データ!$B$2:$B$20000,$P$4,元データ!$C$2:$C$20000,S$5)</f>
        <v>2385765</v>
      </c>
      <c r="T18" s="16">
        <f>SUMIFS(INDEX(元データ!$E$2:$H$20000,0,MATCH($C$2,元データ!$E$1:$H$1,0)),元データ!$A$2:$A$20000,$A18,元データ!$D$2:$D$20000,$C$3,元データ!$B$2:$B$20000,$P$4,元データ!$C$2:$C$20000,T$5)</f>
        <v>2355855</v>
      </c>
      <c r="U18" s="16">
        <f>SUMIFS(INDEX(元データ!$E$2:$H$20000,0,MATCH($C$2,元データ!$E$1:$H$1,0)),元データ!$A$2:$A$20000,$A18,元データ!$D$2:$D$20000,$C$3,元データ!$B$2:$B$20000,$P$4,元データ!$C$2:$C$20000,U$5)</f>
        <v>1795135</v>
      </c>
      <c r="V18" s="16">
        <f>SUMIFS(INDEX(元データ!$E$2:$H$20000,0,MATCH($C$2,元データ!$E$1:$H$1,0)),元データ!$A$2:$A$20000,$A18,元データ!$D$2:$D$20000,$C$3,元データ!$B$2:$B$20000,$P$4,元データ!$C$2:$C$20000,V$5)</f>
        <v>1649853</v>
      </c>
      <c r="W18" s="16">
        <f>SUMIFS(INDEX(元データ!$E$2:$H$20000,0,MATCH($C$2,元データ!$E$1:$H$1,0)),元データ!$A$2:$A$20000,$A18,元データ!$D$2:$D$20000,$C$3,元データ!$B$2:$B$20000,$P$4,元データ!$C$2:$C$20000,W$5)</f>
        <v>3660146</v>
      </c>
      <c r="X18" s="16">
        <f>SUMIFS(INDEX(元データ!$E$2:$H$20000,0,MATCH($C$2,元データ!$E$1:$H$1,0)),元データ!$A$2:$A$20000,$A18,元データ!$D$2:$D$20000,$C$3,元データ!$B$2:$B$20000,$P$4,元データ!$C$2:$C$20000,X$5)</f>
        <v>4929628</v>
      </c>
      <c r="Y18" s="16">
        <f>SUMIFS(INDEX(元データ!$E$2:$H$20000,0,MATCH($C$2,元データ!$E$1:$H$1,0)),元データ!$A$2:$A$20000,$A18,元データ!$D$2:$D$20000,$C$3,元データ!$B$2:$B$20000,$P$4,元データ!$C$2:$C$20000,Y$5)</f>
        <v>4081035</v>
      </c>
      <c r="Z18" s="16">
        <f>SUMIFS(INDEX(元データ!$E$2:$H$20000,0,MATCH($C$2,元データ!$E$1:$H$1,0)),元データ!$A$2:$A$20000,$A18,元データ!$D$2:$D$20000,$C$3,元データ!$B$2:$B$20000,$P$4,元データ!$C$2:$C$20000,Z$5)</f>
        <v>3675803</v>
      </c>
      <c r="AA18" s="16">
        <f>SUMIFS(INDEX(元データ!$E$2:$H$20000,0,MATCH($C$2,元データ!$E$1:$H$1,0)),元データ!$A$2:$A$20000,$A18,元データ!$D$2:$D$20000,$C$3,元データ!$B$2:$B$20000,$P$4,元データ!$C$2:$C$20000,AA$5)</f>
        <v>2315808</v>
      </c>
      <c r="AB18" s="17">
        <f t="shared" si="1"/>
        <v>33137309</v>
      </c>
      <c r="AC18" s="18">
        <f t="shared" si="2"/>
        <v>1.0684070269576136</v>
      </c>
      <c r="AD18" s="18">
        <f t="shared" si="3"/>
        <v>1.0264358395228697</v>
      </c>
      <c r="AE18" s="18">
        <f t="shared" si="4"/>
        <v>0.96651913755793162</v>
      </c>
      <c r="AF18" s="18">
        <f t="shared" si="5"/>
        <v>0.89156308353924218</v>
      </c>
      <c r="AG18" s="18">
        <f t="shared" si="6"/>
        <v>0.99260268564915921</v>
      </c>
      <c r="AH18" s="18">
        <f t="shared" si="7"/>
        <v>0.86014255195291722</v>
      </c>
      <c r="AI18" s="18">
        <f t="shared" si="8"/>
        <v>0.8752010027560031</v>
      </c>
      <c r="AJ18" s="18">
        <f t="shared" si="9"/>
        <v>0.78877345329940385</v>
      </c>
      <c r="AK18" s="18">
        <f t="shared" si="10"/>
        <v>1.0316240900936136</v>
      </c>
      <c r="AL18" s="18">
        <f t="shared" si="11"/>
        <v>0.86362038061423141</v>
      </c>
      <c r="AM18" s="18">
        <f t="shared" si="12"/>
        <v>0.89161579116182232</v>
      </c>
      <c r="AN18" s="18">
        <f t="shared" si="13"/>
        <v>1.0003268837485664</v>
      </c>
      <c r="AO18" s="19">
        <f t="shared" si="14"/>
        <v>0.9330925453240636</v>
      </c>
    </row>
    <row r="19" spans="1:41" x14ac:dyDescent="0.45">
      <c r="A19" s="14" t="str">
        <f>店舗マスタ!A15</f>
        <v>三好店</v>
      </c>
      <c r="B19" s="15"/>
      <c r="C19" s="16">
        <f>SUMIFS(INDEX(元データ!$E$2:$H$20000,0,MATCH($C$2,元データ!$E$1:$H$1,0)),元データ!$A$2:$A$20000,$A19,元データ!$D$2:$D$20000,$C$3,元データ!$B$2:$B$20000,$C$4,元データ!$C$2:$C$20000,C$5)</f>
        <v>973517</v>
      </c>
      <c r="D19" s="16">
        <f>SUMIFS(INDEX(元データ!$E$2:$H$20000,0,MATCH($C$2,元データ!$E$1:$H$1,0)),元データ!$A$2:$A$20000,$A19,元データ!$D$2:$D$20000,$C$3,元データ!$B$2:$B$20000,$C$4,元データ!$C$2:$C$20000,D$5)</f>
        <v>933183</v>
      </c>
      <c r="E19" s="16">
        <f>SUMIFS(INDEX(元データ!$E$2:$H$20000,0,MATCH($C$2,元データ!$E$1:$H$1,0)),元データ!$A$2:$A$20000,$A19,元データ!$D$2:$D$20000,$C$3,元データ!$B$2:$B$20000,$C$4,元データ!$C$2:$C$20000,E$5)</f>
        <v>1380062</v>
      </c>
      <c r="F19" s="16">
        <f>SUMIFS(INDEX(元データ!$E$2:$H$20000,0,MATCH($C$2,元データ!$E$1:$H$1,0)),元データ!$A$2:$A$20000,$A19,元データ!$D$2:$D$20000,$C$3,元データ!$B$2:$B$20000,$C$4,元データ!$C$2:$C$20000,F$5)</f>
        <v>1117459</v>
      </c>
      <c r="G19" s="16">
        <f>SUMIFS(INDEX(元データ!$E$2:$H$20000,0,MATCH($C$2,元データ!$E$1:$H$1,0)),元データ!$A$2:$A$20000,$A19,元データ!$D$2:$D$20000,$C$3,元データ!$B$2:$B$20000,$C$4,元データ!$C$2:$C$20000,G$5)</f>
        <v>1306382</v>
      </c>
      <c r="H19" s="16">
        <f>SUMIFS(INDEX(元データ!$E$2:$H$20000,0,MATCH($C$2,元データ!$E$1:$H$1,0)),元データ!$A$2:$A$20000,$A19,元データ!$D$2:$D$20000,$C$3,元データ!$B$2:$B$20000,$C$4,元データ!$C$2:$C$20000,H$5)</f>
        <v>792663</v>
      </c>
      <c r="I19" s="16">
        <f>SUMIFS(INDEX(元データ!$E$2:$H$20000,0,MATCH($C$2,元データ!$E$1:$H$1,0)),元データ!$A$2:$A$20000,$A19,元データ!$D$2:$D$20000,$C$3,元データ!$B$2:$B$20000,$C$4,元データ!$C$2:$C$20000,I$5)</f>
        <v>764206</v>
      </c>
      <c r="J19" s="16">
        <f>SUMIFS(INDEX(元データ!$E$2:$H$20000,0,MATCH($C$2,元データ!$E$1:$H$1,0)),元データ!$A$2:$A$20000,$A19,元データ!$D$2:$D$20000,$C$3,元データ!$B$2:$B$20000,$C$4,元データ!$C$2:$C$20000,J$5)</f>
        <v>1495535</v>
      </c>
      <c r="K19" s="16">
        <f>SUMIFS(INDEX(元データ!$E$2:$H$20000,0,MATCH($C$2,元データ!$E$1:$H$1,0)),元データ!$A$2:$A$20000,$A19,元データ!$D$2:$D$20000,$C$3,元データ!$B$2:$B$20000,$C$4,元データ!$C$2:$C$20000,K$5)</f>
        <v>2691187</v>
      </c>
      <c r="L19" s="16">
        <f>SUMIFS(INDEX(元データ!$E$2:$H$20000,0,MATCH($C$2,元データ!$E$1:$H$1,0)),元データ!$A$2:$A$20000,$A19,元データ!$D$2:$D$20000,$C$3,元データ!$B$2:$B$20000,$C$4,元データ!$C$2:$C$20000,L$5)</f>
        <v>1919344</v>
      </c>
      <c r="M19" s="16">
        <f>SUMIFS(INDEX(元データ!$E$2:$H$20000,0,MATCH($C$2,元データ!$E$1:$H$1,0)),元データ!$A$2:$A$20000,$A19,元データ!$D$2:$D$20000,$C$3,元データ!$B$2:$B$20000,$C$4,元データ!$C$2:$C$20000,M$5)</f>
        <v>1854245</v>
      </c>
      <c r="N19" s="16">
        <f>SUMIFS(INDEX(元データ!$E$2:$H$20000,0,MATCH($C$2,元データ!$E$1:$H$1,0)),元データ!$A$2:$A$20000,$A19,元データ!$D$2:$D$20000,$C$3,元データ!$B$2:$B$20000,$C$4,元データ!$C$2:$C$20000,N$5)</f>
        <v>1181474</v>
      </c>
      <c r="O19" s="17">
        <f t="shared" si="0"/>
        <v>16409257</v>
      </c>
      <c r="P19" s="16">
        <f>SUMIFS(INDEX(元データ!$E$2:$H$20000,0,MATCH($C$2,元データ!$E$1:$H$1,0)),元データ!$A$2:$A$20000,$A19,元データ!$D$2:$D$20000,$C$3,元データ!$B$2:$B$20000,$P$4,元データ!$C$2:$C$20000,P$5)</f>
        <v>1111183</v>
      </c>
      <c r="Q19" s="16">
        <f>SUMIFS(INDEX(元データ!$E$2:$H$20000,0,MATCH($C$2,元データ!$E$1:$H$1,0)),元データ!$A$2:$A$20000,$A19,元データ!$D$2:$D$20000,$C$3,元データ!$B$2:$B$20000,$P$4,元データ!$C$2:$C$20000,Q$5)</f>
        <v>932996</v>
      </c>
      <c r="R19" s="16">
        <f>SUMIFS(INDEX(元データ!$E$2:$H$20000,0,MATCH($C$2,元データ!$E$1:$H$1,0)),元データ!$A$2:$A$20000,$A19,元データ!$D$2:$D$20000,$C$3,元データ!$B$2:$B$20000,$P$4,元データ!$C$2:$C$20000,R$5)</f>
        <v>1386578</v>
      </c>
      <c r="S19" s="16">
        <f>SUMIFS(INDEX(元データ!$E$2:$H$20000,0,MATCH($C$2,元データ!$E$1:$H$1,0)),元データ!$A$2:$A$20000,$A19,元データ!$D$2:$D$20000,$C$3,元データ!$B$2:$B$20000,$P$4,元データ!$C$2:$C$20000,S$5)</f>
        <v>1111454</v>
      </c>
      <c r="T19" s="16">
        <f>SUMIFS(INDEX(元データ!$E$2:$H$20000,0,MATCH($C$2,元データ!$E$1:$H$1,0)),元データ!$A$2:$A$20000,$A19,元データ!$D$2:$D$20000,$C$3,元データ!$B$2:$B$20000,$P$4,元データ!$C$2:$C$20000,T$5)</f>
        <v>1295994</v>
      </c>
      <c r="U19" s="16">
        <f>SUMIFS(INDEX(元データ!$E$2:$H$20000,0,MATCH($C$2,元データ!$E$1:$H$1,0)),元データ!$A$2:$A$20000,$A19,元データ!$D$2:$D$20000,$C$3,元データ!$B$2:$B$20000,$P$4,元データ!$C$2:$C$20000,U$5)</f>
        <v>877124</v>
      </c>
      <c r="V19" s="16">
        <f>SUMIFS(INDEX(元データ!$E$2:$H$20000,0,MATCH($C$2,元データ!$E$1:$H$1,0)),元データ!$A$2:$A$20000,$A19,元データ!$D$2:$D$20000,$C$3,元データ!$B$2:$B$20000,$P$4,元データ!$C$2:$C$20000,V$5)</f>
        <v>750289</v>
      </c>
      <c r="W19" s="16">
        <f>SUMIFS(INDEX(元データ!$E$2:$H$20000,0,MATCH($C$2,元データ!$E$1:$H$1,0)),元データ!$A$2:$A$20000,$A19,元データ!$D$2:$D$20000,$C$3,元データ!$B$2:$B$20000,$P$4,元データ!$C$2:$C$20000,W$5)</f>
        <v>1768930</v>
      </c>
      <c r="X19" s="16">
        <f>SUMIFS(INDEX(元データ!$E$2:$H$20000,0,MATCH($C$2,元データ!$E$1:$H$1,0)),元データ!$A$2:$A$20000,$A19,元データ!$D$2:$D$20000,$C$3,元データ!$B$2:$B$20000,$P$4,元データ!$C$2:$C$20000,X$5)</f>
        <v>2798862</v>
      </c>
      <c r="Y19" s="16">
        <f>SUMIFS(INDEX(元データ!$E$2:$H$20000,0,MATCH($C$2,元データ!$E$1:$H$1,0)),元データ!$A$2:$A$20000,$A19,元データ!$D$2:$D$20000,$C$3,元データ!$B$2:$B$20000,$P$4,元データ!$C$2:$C$20000,Y$5)</f>
        <v>2195676</v>
      </c>
      <c r="Z19" s="16">
        <f>SUMIFS(INDEX(元データ!$E$2:$H$20000,0,MATCH($C$2,元データ!$E$1:$H$1,0)),元データ!$A$2:$A$20000,$A19,元データ!$D$2:$D$20000,$C$3,元データ!$B$2:$B$20000,$P$4,元データ!$C$2:$C$20000,Z$5)</f>
        <v>1966948</v>
      </c>
      <c r="AA19" s="16">
        <f>SUMIFS(INDEX(元データ!$E$2:$H$20000,0,MATCH($C$2,元データ!$E$1:$H$1,0)),元データ!$A$2:$A$20000,$A19,元データ!$D$2:$D$20000,$C$3,元データ!$B$2:$B$20000,$P$4,元データ!$C$2:$C$20000,AA$5)</f>
        <v>1193357</v>
      </c>
      <c r="AB19" s="17">
        <f t="shared" si="1"/>
        <v>17389391</v>
      </c>
      <c r="AC19" s="18">
        <f t="shared" si="2"/>
        <v>0.8761086157725595</v>
      </c>
      <c r="AD19" s="18">
        <f t="shared" si="3"/>
        <v>1.0002004295838354</v>
      </c>
      <c r="AE19" s="18">
        <f t="shared" si="4"/>
        <v>0.99530066105188453</v>
      </c>
      <c r="AF19" s="18">
        <f t="shared" si="5"/>
        <v>1.0054028326858331</v>
      </c>
      <c r="AG19" s="18">
        <f t="shared" si="6"/>
        <v>1.0080154692074192</v>
      </c>
      <c r="AH19" s="18">
        <f t="shared" si="7"/>
        <v>0.90370688750963379</v>
      </c>
      <c r="AI19" s="18">
        <f t="shared" si="8"/>
        <v>1.0185488525088333</v>
      </c>
      <c r="AJ19" s="18">
        <f t="shared" si="9"/>
        <v>0.84544611714426232</v>
      </c>
      <c r="AK19" s="18">
        <f t="shared" si="10"/>
        <v>0.96152900714647593</v>
      </c>
      <c r="AL19" s="18">
        <f t="shared" si="11"/>
        <v>0.87414718747210429</v>
      </c>
      <c r="AM19" s="18">
        <f t="shared" si="12"/>
        <v>0.94270158641712953</v>
      </c>
      <c r="AN19" s="18">
        <f t="shared" si="13"/>
        <v>0.99004237625454916</v>
      </c>
      <c r="AO19" s="19">
        <f t="shared" si="14"/>
        <v>0.94363609398396986</v>
      </c>
    </row>
    <row r="20" spans="1:41" x14ac:dyDescent="0.45">
      <c r="A20" s="14" t="str">
        <f>店舗マスタ!A16</f>
        <v>沼津駅南口店</v>
      </c>
      <c r="B20" s="15"/>
      <c r="C20" s="16">
        <f>SUMIFS(INDEX(元データ!$E$2:$H$20000,0,MATCH($C$2,元データ!$E$1:$H$1,0)),元データ!$A$2:$A$20000,$A20,元データ!$D$2:$D$20000,$C$3,元データ!$B$2:$B$20000,$C$4,元データ!$C$2:$C$20000,C$5)</f>
        <v>768314</v>
      </c>
      <c r="D20" s="16">
        <f>SUMIFS(INDEX(元データ!$E$2:$H$20000,0,MATCH($C$2,元データ!$E$1:$H$1,0)),元データ!$A$2:$A$20000,$A20,元データ!$D$2:$D$20000,$C$3,元データ!$B$2:$B$20000,$C$4,元データ!$C$2:$C$20000,D$5)</f>
        <v>773738</v>
      </c>
      <c r="E20" s="16">
        <f>SUMIFS(INDEX(元データ!$E$2:$H$20000,0,MATCH($C$2,元データ!$E$1:$H$1,0)),元データ!$A$2:$A$20000,$A20,元データ!$D$2:$D$20000,$C$3,元データ!$B$2:$B$20000,$C$4,元データ!$C$2:$C$20000,E$5)</f>
        <v>1000837</v>
      </c>
      <c r="F20" s="16">
        <f>SUMIFS(INDEX(元データ!$E$2:$H$20000,0,MATCH($C$2,元データ!$E$1:$H$1,0)),元データ!$A$2:$A$20000,$A20,元データ!$D$2:$D$20000,$C$3,元データ!$B$2:$B$20000,$C$4,元データ!$C$2:$C$20000,F$5)</f>
        <v>861618</v>
      </c>
      <c r="G20" s="16">
        <f>SUMIFS(INDEX(元データ!$E$2:$H$20000,0,MATCH($C$2,元データ!$E$1:$H$1,0)),元データ!$A$2:$A$20000,$A20,元データ!$D$2:$D$20000,$C$3,元データ!$B$2:$B$20000,$C$4,元データ!$C$2:$C$20000,G$5)</f>
        <v>929037</v>
      </c>
      <c r="H20" s="16">
        <f>SUMIFS(INDEX(元データ!$E$2:$H$20000,0,MATCH($C$2,元データ!$E$1:$H$1,0)),元データ!$A$2:$A$20000,$A20,元データ!$D$2:$D$20000,$C$3,元データ!$B$2:$B$20000,$C$4,元データ!$C$2:$C$20000,H$5)</f>
        <v>750467</v>
      </c>
      <c r="I20" s="16">
        <f>SUMIFS(INDEX(元データ!$E$2:$H$20000,0,MATCH($C$2,元データ!$E$1:$H$1,0)),元データ!$A$2:$A$20000,$A20,元データ!$D$2:$D$20000,$C$3,元データ!$B$2:$B$20000,$C$4,元データ!$C$2:$C$20000,I$5)</f>
        <v>605580</v>
      </c>
      <c r="J20" s="16">
        <f>SUMIFS(INDEX(元データ!$E$2:$H$20000,0,MATCH($C$2,元データ!$E$1:$H$1,0)),元データ!$A$2:$A$20000,$A20,元データ!$D$2:$D$20000,$C$3,元データ!$B$2:$B$20000,$C$4,元データ!$C$2:$C$20000,J$5)</f>
        <v>1192603</v>
      </c>
      <c r="K20" s="16">
        <f>SUMIFS(INDEX(元データ!$E$2:$H$20000,0,MATCH($C$2,元データ!$E$1:$H$1,0)),元データ!$A$2:$A$20000,$A20,元データ!$D$2:$D$20000,$C$3,元データ!$B$2:$B$20000,$C$4,元データ!$C$2:$C$20000,K$5)</f>
        <v>1804182</v>
      </c>
      <c r="L20" s="16">
        <f>SUMIFS(INDEX(元データ!$E$2:$H$20000,0,MATCH($C$2,元データ!$E$1:$H$1,0)),元データ!$A$2:$A$20000,$A20,元データ!$D$2:$D$20000,$C$3,元データ!$B$2:$B$20000,$C$4,元データ!$C$2:$C$20000,L$5)</f>
        <v>1187683</v>
      </c>
      <c r="M20" s="16">
        <f>SUMIFS(INDEX(元データ!$E$2:$H$20000,0,MATCH($C$2,元データ!$E$1:$H$1,0)),元データ!$A$2:$A$20000,$A20,元データ!$D$2:$D$20000,$C$3,元データ!$B$2:$B$20000,$C$4,元データ!$C$2:$C$20000,M$5)</f>
        <v>953593</v>
      </c>
      <c r="N20" s="16">
        <f>SUMIFS(INDEX(元データ!$E$2:$H$20000,0,MATCH($C$2,元データ!$E$1:$H$1,0)),元データ!$A$2:$A$20000,$A20,元データ!$D$2:$D$20000,$C$3,元データ!$B$2:$B$20000,$C$4,元データ!$C$2:$C$20000,N$5)</f>
        <v>1018404</v>
      </c>
      <c r="O20" s="17">
        <f t="shared" si="0"/>
        <v>11846056</v>
      </c>
      <c r="P20" s="16">
        <f>SUMIFS(INDEX(元データ!$E$2:$H$20000,0,MATCH($C$2,元データ!$E$1:$H$1,0)),元データ!$A$2:$A$20000,$A20,元データ!$D$2:$D$20000,$C$3,元データ!$B$2:$B$20000,$P$4,元データ!$C$2:$C$20000,P$5)</f>
        <v>700432</v>
      </c>
      <c r="Q20" s="16">
        <f>SUMIFS(INDEX(元データ!$E$2:$H$20000,0,MATCH($C$2,元データ!$E$1:$H$1,0)),元データ!$A$2:$A$20000,$A20,元データ!$D$2:$D$20000,$C$3,元データ!$B$2:$B$20000,$P$4,元データ!$C$2:$C$20000,Q$5)</f>
        <v>629146</v>
      </c>
      <c r="R20" s="16">
        <f>SUMIFS(INDEX(元データ!$E$2:$H$20000,0,MATCH($C$2,元データ!$E$1:$H$1,0)),元データ!$A$2:$A$20000,$A20,元データ!$D$2:$D$20000,$C$3,元データ!$B$2:$B$20000,$P$4,元データ!$C$2:$C$20000,R$5)</f>
        <v>1043315</v>
      </c>
      <c r="S20" s="16">
        <f>SUMIFS(INDEX(元データ!$E$2:$H$20000,0,MATCH($C$2,元データ!$E$1:$H$1,0)),元データ!$A$2:$A$20000,$A20,元データ!$D$2:$D$20000,$C$3,元データ!$B$2:$B$20000,$P$4,元データ!$C$2:$C$20000,S$5)</f>
        <v>861275</v>
      </c>
      <c r="T20" s="16">
        <f>SUMIFS(INDEX(元データ!$E$2:$H$20000,0,MATCH($C$2,元データ!$E$1:$H$1,0)),元データ!$A$2:$A$20000,$A20,元データ!$D$2:$D$20000,$C$3,元データ!$B$2:$B$20000,$P$4,元データ!$C$2:$C$20000,T$5)</f>
        <v>964399</v>
      </c>
      <c r="U20" s="16">
        <f>SUMIFS(INDEX(元データ!$E$2:$H$20000,0,MATCH($C$2,元データ!$E$1:$H$1,0)),元データ!$A$2:$A$20000,$A20,元データ!$D$2:$D$20000,$C$3,元データ!$B$2:$B$20000,$P$4,元データ!$C$2:$C$20000,U$5)</f>
        <v>616998</v>
      </c>
      <c r="V20" s="16">
        <f>SUMIFS(INDEX(元データ!$E$2:$H$20000,0,MATCH($C$2,元データ!$E$1:$H$1,0)),元データ!$A$2:$A$20000,$A20,元データ!$D$2:$D$20000,$C$3,元データ!$B$2:$B$20000,$P$4,元データ!$C$2:$C$20000,V$5)</f>
        <v>589411</v>
      </c>
      <c r="W20" s="16">
        <f>SUMIFS(INDEX(元データ!$E$2:$H$20000,0,MATCH($C$2,元データ!$E$1:$H$1,0)),元データ!$A$2:$A$20000,$A20,元データ!$D$2:$D$20000,$C$3,元データ!$B$2:$B$20000,$P$4,元データ!$C$2:$C$20000,W$5)</f>
        <v>1290682</v>
      </c>
      <c r="X20" s="16">
        <f>SUMIFS(INDEX(元データ!$E$2:$H$20000,0,MATCH($C$2,元データ!$E$1:$H$1,0)),元データ!$A$2:$A$20000,$A20,元データ!$D$2:$D$20000,$C$3,元データ!$B$2:$B$20000,$P$4,元データ!$C$2:$C$20000,X$5)</f>
        <v>1573921</v>
      </c>
      <c r="Y20" s="16">
        <f>SUMIFS(INDEX(元データ!$E$2:$H$20000,0,MATCH($C$2,元データ!$E$1:$H$1,0)),元データ!$A$2:$A$20000,$A20,元データ!$D$2:$D$20000,$C$3,元データ!$B$2:$B$20000,$P$4,元データ!$C$2:$C$20000,Y$5)</f>
        <v>1149879</v>
      </c>
      <c r="Z20" s="16">
        <f>SUMIFS(INDEX(元データ!$E$2:$H$20000,0,MATCH($C$2,元データ!$E$1:$H$1,0)),元データ!$A$2:$A$20000,$A20,元データ!$D$2:$D$20000,$C$3,元データ!$B$2:$B$20000,$P$4,元データ!$C$2:$C$20000,Z$5)</f>
        <v>1144284</v>
      </c>
      <c r="AA20" s="16">
        <f>SUMIFS(INDEX(元データ!$E$2:$H$20000,0,MATCH($C$2,元データ!$E$1:$H$1,0)),元データ!$A$2:$A$20000,$A20,元データ!$D$2:$D$20000,$C$3,元データ!$B$2:$B$20000,$P$4,元データ!$C$2:$C$20000,AA$5)</f>
        <v>867308</v>
      </c>
      <c r="AB20" s="17">
        <f t="shared" si="1"/>
        <v>11431050</v>
      </c>
      <c r="AC20" s="18">
        <f t="shared" si="2"/>
        <v>1.0969144756378921</v>
      </c>
      <c r="AD20" s="18">
        <f t="shared" si="3"/>
        <v>1.2298226484790493</v>
      </c>
      <c r="AE20" s="18">
        <f t="shared" si="4"/>
        <v>0.95928554655113751</v>
      </c>
      <c r="AF20" s="18">
        <f t="shared" si="5"/>
        <v>1.0003982467852892</v>
      </c>
      <c r="AG20" s="18">
        <f t="shared" si="6"/>
        <v>0.96333260403629617</v>
      </c>
      <c r="AH20" s="18">
        <f t="shared" si="7"/>
        <v>1.2163199880712741</v>
      </c>
      <c r="AI20" s="18">
        <f t="shared" si="8"/>
        <v>1.0274324707207705</v>
      </c>
      <c r="AJ20" s="18">
        <f t="shared" si="9"/>
        <v>0.92400994203064735</v>
      </c>
      <c r="AK20" s="18">
        <f t="shared" si="10"/>
        <v>1.1462976858431904</v>
      </c>
      <c r="AL20" s="18">
        <f t="shared" si="11"/>
        <v>1.0328765026581057</v>
      </c>
      <c r="AM20" s="18">
        <f t="shared" si="12"/>
        <v>0.83335343323860156</v>
      </c>
      <c r="AN20" s="18">
        <f t="shared" si="13"/>
        <v>1.1742126211219082</v>
      </c>
      <c r="AO20" s="19">
        <f t="shared" si="14"/>
        <v>1.0363051513203074</v>
      </c>
    </row>
    <row r="21" spans="1:41" x14ac:dyDescent="0.45">
      <c r="A21" s="14" t="str">
        <f>店舗マスタ!A17</f>
        <v>神山店</v>
      </c>
      <c r="B21" s="15"/>
      <c r="C21" s="16">
        <f>SUMIFS(INDEX(元データ!$E$2:$H$20000,0,MATCH($C$2,元データ!$E$1:$H$1,0)),元データ!$A$2:$A$20000,$A21,元データ!$D$2:$D$20000,$C$3,元データ!$B$2:$B$20000,$C$4,元データ!$C$2:$C$20000,C$5)</f>
        <v>688618</v>
      </c>
      <c r="D21" s="16">
        <f>SUMIFS(INDEX(元データ!$E$2:$H$20000,0,MATCH($C$2,元データ!$E$1:$H$1,0)),元データ!$A$2:$A$20000,$A21,元データ!$D$2:$D$20000,$C$3,元データ!$B$2:$B$20000,$C$4,元データ!$C$2:$C$20000,D$5)</f>
        <v>668072</v>
      </c>
      <c r="E21" s="16">
        <f>SUMIFS(INDEX(元データ!$E$2:$H$20000,0,MATCH($C$2,元データ!$E$1:$H$1,0)),元データ!$A$2:$A$20000,$A21,元データ!$D$2:$D$20000,$C$3,元データ!$B$2:$B$20000,$C$4,元データ!$C$2:$C$20000,E$5)</f>
        <v>851521</v>
      </c>
      <c r="F21" s="16">
        <f>SUMIFS(INDEX(元データ!$E$2:$H$20000,0,MATCH($C$2,元データ!$E$1:$H$1,0)),元データ!$A$2:$A$20000,$A21,元データ!$D$2:$D$20000,$C$3,元データ!$B$2:$B$20000,$C$4,元データ!$C$2:$C$20000,F$5)</f>
        <v>711419</v>
      </c>
      <c r="G21" s="16">
        <f>SUMIFS(INDEX(元データ!$E$2:$H$20000,0,MATCH($C$2,元データ!$E$1:$H$1,0)),元データ!$A$2:$A$20000,$A21,元データ!$D$2:$D$20000,$C$3,元データ!$B$2:$B$20000,$C$4,元データ!$C$2:$C$20000,G$5)</f>
        <v>678907</v>
      </c>
      <c r="H21" s="16">
        <f>SUMIFS(INDEX(元データ!$E$2:$H$20000,0,MATCH($C$2,元データ!$E$1:$H$1,0)),元データ!$A$2:$A$20000,$A21,元データ!$D$2:$D$20000,$C$3,元データ!$B$2:$B$20000,$C$4,元データ!$C$2:$C$20000,H$5)</f>
        <v>578255</v>
      </c>
      <c r="I21" s="16">
        <f>SUMIFS(INDEX(元データ!$E$2:$H$20000,0,MATCH($C$2,元データ!$E$1:$H$1,0)),元データ!$A$2:$A$20000,$A21,元データ!$D$2:$D$20000,$C$3,元データ!$B$2:$B$20000,$C$4,元データ!$C$2:$C$20000,I$5)</f>
        <v>435405</v>
      </c>
      <c r="J21" s="16">
        <f>SUMIFS(INDEX(元データ!$E$2:$H$20000,0,MATCH($C$2,元データ!$E$1:$H$1,0)),元データ!$A$2:$A$20000,$A21,元データ!$D$2:$D$20000,$C$3,元データ!$B$2:$B$20000,$C$4,元データ!$C$2:$C$20000,J$5)</f>
        <v>1004028</v>
      </c>
      <c r="K21" s="16">
        <f>SUMIFS(INDEX(元データ!$E$2:$H$20000,0,MATCH($C$2,元データ!$E$1:$H$1,0)),元データ!$A$2:$A$20000,$A21,元データ!$D$2:$D$20000,$C$3,元データ!$B$2:$B$20000,$C$4,元データ!$C$2:$C$20000,K$5)</f>
        <v>1674619</v>
      </c>
      <c r="L21" s="16">
        <f>SUMIFS(INDEX(元データ!$E$2:$H$20000,0,MATCH($C$2,元データ!$E$1:$H$1,0)),元データ!$A$2:$A$20000,$A21,元データ!$D$2:$D$20000,$C$3,元データ!$B$2:$B$20000,$C$4,元データ!$C$2:$C$20000,L$5)</f>
        <v>1037236</v>
      </c>
      <c r="M21" s="16">
        <f>SUMIFS(INDEX(元データ!$E$2:$H$20000,0,MATCH($C$2,元データ!$E$1:$H$1,0)),元データ!$A$2:$A$20000,$A21,元データ!$D$2:$D$20000,$C$3,元データ!$B$2:$B$20000,$C$4,元データ!$C$2:$C$20000,M$5)</f>
        <v>1053629</v>
      </c>
      <c r="N21" s="16">
        <f>SUMIFS(INDEX(元データ!$E$2:$H$20000,0,MATCH($C$2,元データ!$E$1:$H$1,0)),元データ!$A$2:$A$20000,$A21,元データ!$D$2:$D$20000,$C$3,元データ!$B$2:$B$20000,$C$4,元データ!$C$2:$C$20000,N$5)</f>
        <v>798729</v>
      </c>
      <c r="O21" s="17">
        <f t="shared" si="0"/>
        <v>10180438</v>
      </c>
      <c r="P21" s="16">
        <f>SUMIFS(INDEX(元データ!$E$2:$H$20000,0,MATCH($C$2,元データ!$E$1:$H$1,0)),元データ!$A$2:$A$20000,$A21,元データ!$D$2:$D$20000,$C$3,元データ!$B$2:$B$20000,$P$4,元データ!$C$2:$C$20000,P$5)</f>
        <v>678842</v>
      </c>
      <c r="Q21" s="16">
        <f>SUMIFS(INDEX(元データ!$E$2:$H$20000,0,MATCH($C$2,元データ!$E$1:$H$1,0)),元データ!$A$2:$A$20000,$A21,元データ!$D$2:$D$20000,$C$3,元データ!$B$2:$B$20000,$P$4,元データ!$C$2:$C$20000,Q$5)</f>
        <v>643488</v>
      </c>
      <c r="R21" s="16">
        <f>SUMIFS(INDEX(元データ!$E$2:$H$20000,0,MATCH($C$2,元データ!$E$1:$H$1,0)),元データ!$A$2:$A$20000,$A21,元データ!$D$2:$D$20000,$C$3,元データ!$B$2:$B$20000,$P$4,元データ!$C$2:$C$20000,R$5)</f>
        <v>883545</v>
      </c>
      <c r="S21" s="16">
        <f>SUMIFS(INDEX(元データ!$E$2:$H$20000,0,MATCH($C$2,元データ!$E$1:$H$1,0)),元データ!$A$2:$A$20000,$A21,元データ!$D$2:$D$20000,$C$3,元データ!$B$2:$B$20000,$P$4,元データ!$C$2:$C$20000,S$5)</f>
        <v>616851</v>
      </c>
      <c r="T21" s="16">
        <f>SUMIFS(INDEX(元データ!$E$2:$H$20000,0,MATCH($C$2,元データ!$E$1:$H$1,0)),元データ!$A$2:$A$20000,$A21,元データ!$D$2:$D$20000,$C$3,元データ!$B$2:$B$20000,$P$4,元データ!$C$2:$C$20000,T$5)</f>
        <v>743385</v>
      </c>
      <c r="U21" s="16">
        <f>SUMIFS(INDEX(元データ!$E$2:$H$20000,0,MATCH($C$2,元データ!$E$1:$H$1,0)),元データ!$A$2:$A$20000,$A21,元データ!$D$2:$D$20000,$C$3,元データ!$B$2:$B$20000,$P$4,元データ!$C$2:$C$20000,U$5)</f>
        <v>584085</v>
      </c>
      <c r="V21" s="16">
        <f>SUMIFS(INDEX(元データ!$E$2:$H$20000,0,MATCH($C$2,元データ!$E$1:$H$1,0)),元データ!$A$2:$A$20000,$A21,元データ!$D$2:$D$20000,$C$3,元データ!$B$2:$B$20000,$P$4,元データ!$C$2:$C$20000,V$5)</f>
        <v>465790</v>
      </c>
      <c r="W21" s="16">
        <f>SUMIFS(INDEX(元データ!$E$2:$H$20000,0,MATCH($C$2,元データ!$E$1:$H$1,0)),元データ!$A$2:$A$20000,$A21,元データ!$D$2:$D$20000,$C$3,元データ!$B$2:$B$20000,$P$4,元データ!$C$2:$C$20000,W$5)</f>
        <v>1185161</v>
      </c>
      <c r="X21" s="16">
        <f>SUMIFS(INDEX(元データ!$E$2:$H$20000,0,MATCH($C$2,元データ!$E$1:$H$1,0)),元データ!$A$2:$A$20000,$A21,元データ!$D$2:$D$20000,$C$3,元データ!$B$2:$B$20000,$P$4,元データ!$C$2:$C$20000,X$5)</f>
        <v>1616065</v>
      </c>
      <c r="Y21" s="16">
        <f>SUMIFS(INDEX(元データ!$E$2:$H$20000,0,MATCH($C$2,元データ!$E$1:$H$1,0)),元データ!$A$2:$A$20000,$A21,元データ!$D$2:$D$20000,$C$3,元データ!$B$2:$B$20000,$P$4,元データ!$C$2:$C$20000,Y$5)</f>
        <v>1111007</v>
      </c>
      <c r="Z21" s="16">
        <f>SUMIFS(INDEX(元データ!$E$2:$H$20000,0,MATCH($C$2,元データ!$E$1:$H$1,0)),元データ!$A$2:$A$20000,$A21,元データ!$D$2:$D$20000,$C$3,元データ!$B$2:$B$20000,$P$4,元データ!$C$2:$C$20000,Z$5)</f>
        <v>1090222</v>
      </c>
      <c r="AA21" s="16">
        <f>SUMIFS(INDEX(元データ!$E$2:$H$20000,0,MATCH($C$2,元データ!$E$1:$H$1,0)),元データ!$A$2:$A$20000,$A21,元データ!$D$2:$D$20000,$C$3,元データ!$B$2:$B$20000,$P$4,元データ!$C$2:$C$20000,AA$5)</f>
        <v>779305</v>
      </c>
      <c r="AB21" s="17">
        <f t="shared" si="1"/>
        <v>10397746</v>
      </c>
      <c r="AC21" s="18">
        <f t="shared" si="2"/>
        <v>1.0144009946349812</v>
      </c>
      <c r="AD21" s="18">
        <f t="shared" si="3"/>
        <v>1.0382042866378238</v>
      </c>
      <c r="AE21" s="18">
        <f t="shared" si="4"/>
        <v>0.96375510019297261</v>
      </c>
      <c r="AF21" s="18">
        <f t="shared" si="5"/>
        <v>1.1533076869454699</v>
      </c>
      <c r="AG21" s="18">
        <f t="shared" si="6"/>
        <v>0.91326432467698437</v>
      </c>
      <c r="AH21" s="18">
        <f t="shared" si="7"/>
        <v>0.99001857606341548</v>
      </c>
      <c r="AI21" s="18">
        <f t="shared" si="8"/>
        <v>0.9347667403765646</v>
      </c>
      <c r="AJ21" s="18">
        <f t="shared" si="9"/>
        <v>0.84716591247940154</v>
      </c>
      <c r="AK21" s="18">
        <f t="shared" si="10"/>
        <v>1.0362324535213621</v>
      </c>
      <c r="AL21" s="18">
        <f t="shared" si="11"/>
        <v>0.93359987830859748</v>
      </c>
      <c r="AM21" s="18">
        <f t="shared" si="12"/>
        <v>0.96643527648497274</v>
      </c>
      <c r="AN21" s="18">
        <f t="shared" si="13"/>
        <v>1.0249247727141491</v>
      </c>
      <c r="AO21" s="19">
        <f t="shared" si="14"/>
        <v>0.97910047042887949</v>
      </c>
    </row>
    <row r="22" spans="1:41" x14ac:dyDescent="0.45">
      <c r="A22" s="14" t="str">
        <f>店舗マスタ!A18</f>
        <v>長泉店</v>
      </c>
      <c r="B22" s="15"/>
      <c r="C22" s="16">
        <f>SUMIFS(INDEX(元データ!$E$2:$H$20000,0,MATCH($C$2,元データ!$E$1:$H$1,0)),元データ!$A$2:$A$20000,$A22,元データ!$D$2:$D$20000,$C$3,元データ!$B$2:$B$20000,$C$4,元データ!$C$2:$C$20000,C$5)</f>
        <v>1635049</v>
      </c>
      <c r="D22" s="16">
        <f>SUMIFS(INDEX(元データ!$E$2:$H$20000,0,MATCH($C$2,元データ!$E$1:$H$1,0)),元データ!$A$2:$A$20000,$A22,元データ!$D$2:$D$20000,$C$3,元データ!$B$2:$B$20000,$C$4,元データ!$C$2:$C$20000,D$5)</f>
        <v>1467068</v>
      </c>
      <c r="E22" s="16">
        <f>SUMIFS(INDEX(元データ!$E$2:$H$20000,0,MATCH($C$2,元データ!$E$1:$H$1,0)),元データ!$A$2:$A$20000,$A22,元データ!$D$2:$D$20000,$C$3,元データ!$B$2:$B$20000,$C$4,元データ!$C$2:$C$20000,E$5)</f>
        <v>2010035</v>
      </c>
      <c r="F22" s="16">
        <f>SUMIFS(INDEX(元データ!$E$2:$H$20000,0,MATCH($C$2,元データ!$E$1:$H$1,0)),元データ!$A$2:$A$20000,$A22,元データ!$D$2:$D$20000,$C$3,元データ!$B$2:$B$20000,$C$4,元データ!$C$2:$C$20000,F$5)</f>
        <v>1876841</v>
      </c>
      <c r="G22" s="16">
        <f>SUMIFS(INDEX(元データ!$E$2:$H$20000,0,MATCH($C$2,元データ!$E$1:$H$1,0)),元データ!$A$2:$A$20000,$A22,元データ!$D$2:$D$20000,$C$3,元データ!$B$2:$B$20000,$C$4,元データ!$C$2:$C$20000,G$5)</f>
        <v>1807683</v>
      </c>
      <c r="H22" s="16">
        <f>SUMIFS(INDEX(元データ!$E$2:$H$20000,0,MATCH($C$2,元データ!$E$1:$H$1,0)),元データ!$A$2:$A$20000,$A22,元データ!$D$2:$D$20000,$C$3,元データ!$B$2:$B$20000,$C$4,元データ!$C$2:$C$20000,H$5)</f>
        <v>1318000</v>
      </c>
      <c r="I22" s="16">
        <f>SUMIFS(INDEX(元データ!$E$2:$H$20000,0,MATCH($C$2,元データ!$E$1:$H$1,0)),元データ!$A$2:$A$20000,$A22,元データ!$D$2:$D$20000,$C$3,元データ!$B$2:$B$20000,$C$4,元データ!$C$2:$C$20000,I$5)</f>
        <v>1323897</v>
      </c>
      <c r="J22" s="16">
        <f>SUMIFS(INDEX(元データ!$E$2:$H$20000,0,MATCH($C$2,元データ!$E$1:$H$1,0)),元データ!$A$2:$A$20000,$A22,元データ!$D$2:$D$20000,$C$3,元データ!$B$2:$B$20000,$C$4,元データ!$C$2:$C$20000,J$5)</f>
        <v>2552205</v>
      </c>
      <c r="K22" s="16">
        <f>SUMIFS(INDEX(元データ!$E$2:$H$20000,0,MATCH($C$2,元データ!$E$1:$H$1,0)),元データ!$A$2:$A$20000,$A22,元データ!$D$2:$D$20000,$C$3,元データ!$B$2:$B$20000,$C$4,元データ!$C$2:$C$20000,K$5)</f>
        <v>4087214</v>
      </c>
      <c r="L22" s="16">
        <f>SUMIFS(INDEX(元データ!$E$2:$H$20000,0,MATCH($C$2,元データ!$E$1:$H$1,0)),元データ!$A$2:$A$20000,$A22,元データ!$D$2:$D$20000,$C$3,元データ!$B$2:$B$20000,$C$4,元データ!$C$2:$C$20000,L$5)</f>
        <v>2972262</v>
      </c>
      <c r="M22" s="16">
        <f>SUMIFS(INDEX(元データ!$E$2:$H$20000,0,MATCH($C$2,元データ!$E$1:$H$1,0)),元データ!$A$2:$A$20000,$A22,元データ!$D$2:$D$20000,$C$3,元データ!$B$2:$B$20000,$C$4,元データ!$C$2:$C$20000,M$5)</f>
        <v>2313891</v>
      </c>
      <c r="N22" s="16">
        <f>SUMIFS(INDEX(元データ!$E$2:$H$20000,0,MATCH($C$2,元データ!$E$1:$H$1,0)),元データ!$A$2:$A$20000,$A22,元データ!$D$2:$D$20000,$C$3,元データ!$B$2:$B$20000,$C$4,元データ!$C$2:$C$20000,N$5)</f>
        <v>1580004</v>
      </c>
      <c r="O22" s="17">
        <f t="shared" si="0"/>
        <v>24944149</v>
      </c>
      <c r="P22" s="16">
        <f>SUMIFS(INDEX(元データ!$E$2:$H$20000,0,MATCH($C$2,元データ!$E$1:$H$1,0)),元データ!$A$2:$A$20000,$A22,元データ!$D$2:$D$20000,$C$3,元データ!$B$2:$B$20000,$P$4,元データ!$C$2:$C$20000,P$5)</f>
        <v>1295550</v>
      </c>
      <c r="Q22" s="16">
        <f>SUMIFS(INDEX(元データ!$E$2:$H$20000,0,MATCH($C$2,元データ!$E$1:$H$1,0)),元データ!$A$2:$A$20000,$A22,元データ!$D$2:$D$20000,$C$3,元データ!$B$2:$B$20000,$P$4,元データ!$C$2:$C$20000,Q$5)</f>
        <v>1307195</v>
      </c>
      <c r="R22" s="16">
        <f>SUMIFS(INDEX(元データ!$E$2:$H$20000,0,MATCH($C$2,元データ!$E$1:$H$1,0)),元データ!$A$2:$A$20000,$A22,元データ!$D$2:$D$20000,$C$3,元データ!$B$2:$B$20000,$P$4,元データ!$C$2:$C$20000,R$5)</f>
        <v>1984020</v>
      </c>
      <c r="S22" s="16">
        <f>SUMIFS(INDEX(元データ!$E$2:$H$20000,0,MATCH($C$2,元データ!$E$1:$H$1,0)),元データ!$A$2:$A$20000,$A22,元データ!$D$2:$D$20000,$C$3,元データ!$B$2:$B$20000,$P$4,元データ!$C$2:$C$20000,S$5)</f>
        <v>1632935</v>
      </c>
      <c r="T22" s="16">
        <f>SUMIFS(INDEX(元データ!$E$2:$H$20000,0,MATCH($C$2,元データ!$E$1:$H$1,0)),元データ!$A$2:$A$20000,$A22,元データ!$D$2:$D$20000,$C$3,元データ!$B$2:$B$20000,$P$4,元データ!$C$2:$C$20000,T$5)</f>
        <v>1767144</v>
      </c>
      <c r="U22" s="16">
        <f>SUMIFS(INDEX(元データ!$E$2:$H$20000,0,MATCH($C$2,元データ!$E$1:$H$1,0)),元データ!$A$2:$A$20000,$A22,元データ!$D$2:$D$20000,$C$3,元データ!$B$2:$B$20000,$P$4,元データ!$C$2:$C$20000,U$5)</f>
        <v>1180056</v>
      </c>
      <c r="V22" s="16">
        <f>SUMIFS(INDEX(元データ!$E$2:$H$20000,0,MATCH($C$2,元データ!$E$1:$H$1,0)),元データ!$A$2:$A$20000,$A22,元データ!$D$2:$D$20000,$C$3,元データ!$B$2:$B$20000,$P$4,元データ!$C$2:$C$20000,V$5)</f>
        <v>1270878</v>
      </c>
      <c r="W22" s="16">
        <f>SUMIFS(INDEX(元データ!$E$2:$H$20000,0,MATCH($C$2,元データ!$E$1:$H$1,0)),元データ!$A$2:$A$20000,$A22,元データ!$D$2:$D$20000,$C$3,元データ!$B$2:$B$20000,$P$4,元データ!$C$2:$C$20000,W$5)</f>
        <v>3274435</v>
      </c>
      <c r="X22" s="16">
        <f>SUMIFS(INDEX(元データ!$E$2:$H$20000,0,MATCH($C$2,元データ!$E$1:$H$1,0)),元データ!$A$2:$A$20000,$A22,元データ!$D$2:$D$20000,$C$3,元データ!$B$2:$B$20000,$P$4,元データ!$C$2:$C$20000,X$5)</f>
        <v>3708496</v>
      </c>
      <c r="Y22" s="16">
        <f>SUMIFS(INDEX(元データ!$E$2:$H$20000,0,MATCH($C$2,元データ!$E$1:$H$1,0)),元データ!$A$2:$A$20000,$A22,元データ!$D$2:$D$20000,$C$3,元データ!$B$2:$B$20000,$P$4,元データ!$C$2:$C$20000,Y$5)</f>
        <v>3186774</v>
      </c>
      <c r="Z22" s="16">
        <f>SUMIFS(INDEX(元データ!$E$2:$H$20000,0,MATCH($C$2,元データ!$E$1:$H$1,0)),元データ!$A$2:$A$20000,$A22,元データ!$D$2:$D$20000,$C$3,元データ!$B$2:$B$20000,$P$4,元データ!$C$2:$C$20000,Z$5)</f>
        <v>2497108</v>
      </c>
      <c r="AA22" s="16">
        <f>SUMIFS(INDEX(元データ!$E$2:$H$20000,0,MATCH($C$2,元データ!$E$1:$H$1,0)),元データ!$A$2:$A$20000,$A22,元データ!$D$2:$D$20000,$C$3,元データ!$B$2:$B$20000,$P$4,元データ!$C$2:$C$20000,AA$5)</f>
        <v>1893641</v>
      </c>
      <c r="AB22" s="17">
        <f t="shared" si="1"/>
        <v>24998232</v>
      </c>
      <c r="AC22" s="18">
        <f t="shared" si="2"/>
        <v>1.2620500945544364</v>
      </c>
      <c r="AD22" s="18">
        <f t="shared" si="3"/>
        <v>1.1223023343877538</v>
      </c>
      <c r="AE22" s="18">
        <f t="shared" si="4"/>
        <v>1.0131122670134374</v>
      </c>
      <c r="AF22" s="18">
        <f t="shared" si="5"/>
        <v>1.149366631249866</v>
      </c>
      <c r="AG22" s="18">
        <f t="shared" si="6"/>
        <v>1.0229404055357119</v>
      </c>
      <c r="AH22" s="18">
        <f t="shared" si="7"/>
        <v>1.116896147301484</v>
      </c>
      <c r="AI22" s="18">
        <f t="shared" si="8"/>
        <v>1.0417184025531956</v>
      </c>
      <c r="AJ22" s="18">
        <f t="shared" si="9"/>
        <v>0.77943370382982102</v>
      </c>
      <c r="AK22" s="18">
        <f t="shared" si="10"/>
        <v>1.102121722660615</v>
      </c>
      <c r="AL22" s="18">
        <f t="shared" si="11"/>
        <v>0.93268678607268662</v>
      </c>
      <c r="AM22" s="18">
        <f t="shared" si="12"/>
        <v>0.92662832364479231</v>
      </c>
      <c r="AN22" s="18">
        <f t="shared" si="13"/>
        <v>0.8343735692245785</v>
      </c>
      <c r="AO22" s="19">
        <f t="shared" si="14"/>
        <v>0.99783652699918934</v>
      </c>
    </row>
    <row r="23" spans="1:41" x14ac:dyDescent="0.45">
      <c r="A23" s="14" t="str">
        <f>店舗マスタ!A19</f>
        <v>大仁店</v>
      </c>
      <c r="B23" s="15"/>
      <c r="C23" s="16">
        <f>SUMIFS(INDEX(元データ!$E$2:$H$20000,0,MATCH($C$2,元データ!$E$1:$H$1,0)),元データ!$A$2:$A$20000,$A23,元データ!$D$2:$D$20000,$C$3,元データ!$B$2:$B$20000,$C$4,元データ!$C$2:$C$20000,C$5)</f>
        <v>747030</v>
      </c>
      <c r="D23" s="16">
        <f>SUMIFS(INDEX(元データ!$E$2:$H$20000,0,MATCH($C$2,元データ!$E$1:$H$1,0)),元データ!$A$2:$A$20000,$A23,元データ!$D$2:$D$20000,$C$3,元データ!$B$2:$B$20000,$C$4,元データ!$C$2:$C$20000,D$5)</f>
        <v>730148</v>
      </c>
      <c r="E23" s="16">
        <f>SUMIFS(INDEX(元データ!$E$2:$H$20000,0,MATCH($C$2,元データ!$E$1:$H$1,0)),元データ!$A$2:$A$20000,$A23,元データ!$D$2:$D$20000,$C$3,元データ!$B$2:$B$20000,$C$4,元データ!$C$2:$C$20000,E$5)</f>
        <v>1179935</v>
      </c>
      <c r="F23" s="16">
        <f>SUMIFS(INDEX(元データ!$E$2:$H$20000,0,MATCH($C$2,元データ!$E$1:$H$1,0)),元データ!$A$2:$A$20000,$A23,元データ!$D$2:$D$20000,$C$3,元データ!$B$2:$B$20000,$C$4,元データ!$C$2:$C$20000,F$5)</f>
        <v>785547</v>
      </c>
      <c r="G23" s="16">
        <f>SUMIFS(INDEX(元データ!$E$2:$H$20000,0,MATCH($C$2,元データ!$E$1:$H$1,0)),元データ!$A$2:$A$20000,$A23,元データ!$D$2:$D$20000,$C$3,元データ!$B$2:$B$20000,$C$4,元データ!$C$2:$C$20000,G$5)</f>
        <v>864015</v>
      </c>
      <c r="H23" s="16">
        <f>SUMIFS(INDEX(元データ!$E$2:$H$20000,0,MATCH($C$2,元データ!$E$1:$H$1,0)),元データ!$A$2:$A$20000,$A23,元データ!$D$2:$D$20000,$C$3,元データ!$B$2:$B$20000,$C$4,元データ!$C$2:$C$20000,H$5)</f>
        <v>595417</v>
      </c>
      <c r="I23" s="16">
        <f>SUMIFS(INDEX(元データ!$E$2:$H$20000,0,MATCH($C$2,元データ!$E$1:$H$1,0)),元データ!$A$2:$A$20000,$A23,元データ!$D$2:$D$20000,$C$3,元データ!$B$2:$B$20000,$C$4,元データ!$C$2:$C$20000,I$5)</f>
        <v>557215</v>
      </c>
      <c r="J23" s="16">
        <f>SUMIFS(INDEX(元データ!$E$2:$H$20000,0,MATCH($C$2,元データ!$E$1:$H$1,0)),元データ!$A$2:$A$20000,$A23,元データ!$D$2:$D$20000,$C$3,元データ!$B$2:$B$20000,$C$4,元データ!$C$2:$C$20000,J$5)</f>
        <v>1313293</v>
      </c>
      <c r="K23" s="16">
        <f>SUMIFS(INDEX(元データ!$E$2:$H$20000,0,MATCH($C$2,元データ!$E$1:$H$1,0)),元データ!$A$2:$A$20000,$A23,元データ!$D$2:$D$20000,$C$3,元データ!$B$2:$B$20000,$C$4,元データ!$C$2:$C$20000,K$5)</f>
        <v>1948693</v>
      </c>
      <c r="L23" s="16">
        <f>SUMIFS(INDEX(元データ!$E$2:$H$20000,0,MATCH($C$2,元データ!$E$1:$H$1,0)),元データ!$A$2:$A$20000,$A23,元データ!$D$2:$D$20000,$C$3,元データ!$B$2:$B$20000,$C$4,元データ!$C$2:$C$20000,L$5)</f>
        <v>1296564</v>
      </c>
      <c r="M23" s="16">
        <f>SUMIFS(INDEX(元データ!$E$2:$H$20000,0,MATCH($C$2,元データ!$E$1:$H$1,0)),元データ!$A$2:$A$20000,$A23,元データ!$D$2:$D$20000,$C$3,元データ!$B$2:$B$20000,$C$4,元データ!$C$2:$C$20000,M$5)</f>
        <v>1532694</v>
      </c>
      <c r="N23" s="16">
        <f>SUMIFS(INDEX(元データ!$E$2:$H$20000,0,MATCH($C$2,元データ!$E$1:$H$1,0)),元データ!$A$2:$A$20000,$A23,元データ!$D$2:$D$20000,$C$3,元データ!$B$2:$B$20000,$C$4,元データ!$C$2:$C$20000,N$5)</f>
        <v>941426</v>
      </c>
      <c r="O23" s="17">
        <f t="shared" si="0"/>
        <v>12491977</v>
      </c>
      <c r="P23" s="16">
        <f>SUMIFS(INDEX(元データ!$E$2:$H$20000,0,MATCH($C$2,元データ!$E$1:$H$1,0)),元データ!$A$2:$A$20000,$A23,元データ!$D$2:$D$20000,$C$3,元データ!$B$2:$B$20000,$P$4,元データ!$C$2:$C$20000,P$5)</f>
        <v>751557</v>
      </c>
      <c r="Q23" s="16">
        <f>SUMIFS(INDEX(元データ!$E$2:$H$20000,0,MATCH($C$2,元データ!$E$1:$H$1,0)),元データ!$A$2:$A$20000,$A23,元データ!$D$2:$D$20000,$C$3,元データ!$B$2:$B$20000,$P$4,元データ!$C$2:$C$20000,Q$5)</f>
        <v>686681</v>
      </c>
      <c r="R23" s="16">
        <f>SUMIFS(INDEX(元データ!$E$2:$H$20000,0,MATCH($C$2,元データ!$E$1:$H$1,0)),元データ!$A$2:$A$20000,$A23,元データ!$D$2:$D$20000,$C$3,元データ!$B$2:$B$20000,$P$4,元データ!$C$2:$C$20000,R$5)</f>
        <v>966476</v>
      </c>
      <c r="S23" s="16">
        <f>SUMIFS(INDEX(元データ!$E$2:$H$20000,0,MATCH($C$2,元データ!$E$1:$H$1,0)),元データ!$A$2:$A$20000,$A23,元データ!$D$2:$D$20000,$C$3,元データ!$B$2:$B$20000,$P$4,元データ!$C$2:$C$20000,S$5)</f>
        <v>783230</v>
      </c>
      <c r="T23" s="16">
        <f>SUMIFS(INDEX(元データ!$E$2:$H$20000,0,MATCH($C$2,元データ!$E$1:$H$1,0)),元データ!$A$2:$A$20000,$A23,元データ!$D$2:$D$20000,$C$3,元データ!$B$2:$B$20000,$P$4,元データ!$C$2:$C$20000,T$5)</f>
        <v>952283</v>
      </c>
      <c r="U23" s="16">
        <f>SUMIFS(INDEX(元データ!$E$2:$H$20000,0,MATCH($C$2,元データ!$E$1:$H$1,0)),元データ!$A$2:$A$20000,$A23,元データ!$D$2:$D$20000,$C$3,元データ!$B$2:$B$20000,$P$4,元データ!$C$2:$C$20000,U$5)</f>
        <v>703213</v>
      </c>
      <c r="V23" s="16">
        <f>SUMIFS(INDEX(元データ!$E$2:$H$20000,0,MATCH($C$2,元データ!$E$1:$H$1,0)),元データ!$A$2:$A$20000,$A23,元データ!$D$2:$D$20000,$C$3,元データ!$B$2:$B$20000,$P$4,元データ!$C$2:$C$20000,V$5)</f>
        <v>507569</v>
      </c>
      <c r="W23" s="16">
        <f>SUMIFS(INDEX(元データ!$E$2:$H$20000,0,MATCH($C$2,元データ!$E$1:$H$1,0)),元データ!$A$2:$A$20000,$A23,元データ!$D$2:$D$20000,$C$3,元データ!$B$2:$B$20000,$P$4,元データ!$C$2:$C$20000,W$5)</f>
        <v>1405421</v>
      </c>
      <c r="X23" s="16">
        <f>SUMIFS(INDEX(元データ!$E$2:$H$20000,0,MATCH($C$2,元データ!$E$1:$H$1,0)),元データ!$A$2:$A$20000,$A23,元データ!$D$2:$D$20000,$C$3,元データ!$B$2:$B$20000,$P$4,元データ!$C$2:$C$20000,X$5)</f>
        <v>1847965</v>
      </c>
      <c r="Y23" s="16">
        <f>SUMIFS(INDEX(元データ!$E$2:$H$20000,0,MATCH($C$2,元データ!$E$1:$H$1,0)),元データ!$A$2:$A$20000,$A23,元データ!$D$2:$D$20000,$C$3,元データ!$B$2:$B$20000,$P$4,元データ!$C$2:$C$20000,Y$5)</f>
        <v>1435301</v>
      </c>
      <c r="Z23" s="16">
        <f>SUMIFS(INDEX(元データ!$E$2:$H$20000,0,MATCH($C$2,元データ!$E$1:$H$1,0)),元データ!$A$2:$A$20000,$A23,元データ!$D$2:$D$20000,$C$3,元データ!$B$2:$B$20000,$P$4,元データ!$C$2:$C$20000,Z$5)</f>
        <v>1472153</v>
      </c>
      <c r="AA23" s="16">
        <f>SUMIFS(INDEX(元データ!$E$2:$H$20000,0,MATCH($C$2,元データ!$E$1:$H$1,0)),元データ!$A$2:$A$20000,$A23,元データ!$D$2:$D$20000,$C$3,元データ!$B$2:$B$20000,$P$4,元データ!$C$2:$C$20000,AA$5)</f>
        <v>1124614</v>
      </c>
      <c r="AB23" s="17">
        <f t="shared" si="1"/>
        <v>12636463</v>
      </c>
      <c r="AC23" s="18">
        <f t="shared" si="2"/>
        <v>0.9939765047760849</v>
      </c>
      <c r="AD23" s="18">
        <f t="shared" si="3"/>
        <v>1.063300134997182</v>
      </c>
      <c r="AE23" s="18">
        <f t="shared" si="4"/>
        <v>1.2208632185382773</v>
      </c>
      <c r="AF23" s="18">
        <f t="shared" si="5"/>
        <v>1.002958262579319</v>
      </c>
      <c r="AG23" s="18">
        <f t="shared" si="6"/>
        <v>0.90730906673751399</v>
      </c>
      <c r="AH23" s="18">
        <f t="shared" si="7"/>
        <v>0.84670931851373621</v>
      </c>
      <c r="AI23" s="18">
        <f t="shared" si="8"/>
        <v>1.0978113320553462</v>
      </c>
      <c r="AJ23" s="18">
        <f t="shared" si="9"/>
        <v>0.93444811198921884</v>
      </c>
      <c r="AK23" s="18">
        <f t="shared" si="10"/>
        <v>1.0545075258459982</v>
      </c>
      <c r="AL23" s="18">
        <f t="shared" si="11"/>
        <v>0.90333943890514956</v>
      </c>
      <c r="AM23" s="18">
        <f t="shared" si="12"/>
        <v>1.0411241222889196</v>
      </c>
      <c r="AN23" s="18">
        <f t="shared" si="13"/>
        <v>0.8371103329675782</v>
      </c>
      <c r="AO23" s="19">
        <f t="shared" si="14"/>
        <v>0.98856594602461145</v>
      </c>
    </row>
    <row r="24" spans="1:41" x14ac:dyDescent="0.45">
      <c r="A24" s="14" t="str">
        <f>店舗マスタ!A20</f>
        <v>修善寺店</v>
      </c>
      <c r="B24" s="15"/>
      <c r="C24" s="16">
        <f>SUMIFS(INDEX(元データ!$E$2:$H$20000,0,MATCH($C$2,元データ!$E$1:$H$1,0)),元データ!$A$2:$A$20000,$A24,元データ!$D$2:$D$20000,$C$3,元データ!$B$2:$B$20000,$C$4,元データ!$C$2:$C$20000,C$5)</f>
        <v>941768</v>
      </c>
      <c r="D24" s="16">
        <f>SUMIFS(INDEX(元データ!$E$2:$H$20000,0,MATCH($C$2,元データ!$E$1:$H$1,0)),元データ!$A$2:$A$20000,$A24,元データ!$D$2:$D$20000,$C$3,元データ!$B$2:$B$20000,$C$4,元データ!$C$2:$C$20000,D$5)</f>
        <v>818849</v>
      </c>
      <c r="E24" s="16">
        <f>SUMIFS(INDEX(元データ!$E$2:$H$20000,0,MATCH($C$2,元データ!$E$1:$H$1,0)),元データ!$A$2:$A$20000,$A24,元データ!$D$2:$D$20000,$C$3,元データ!$B$2:$B$20000,$C$4,元データ!$C$2:$C$20000,E$5)</f>
        <v>1251515</v>
      </c>
      <c r="F24" s="16">
        <f>SUMIFS(INDEX(元データ!$E$2:$H$20000,0,MATCH($C$2,元データ!$E$1:$H$1,0)),元データ!$A$2:$A$20000,$A24,元データ!$D$2:$D$20000,$C$3,元データ!$B$2:$B$20000,$C$4,元データ!$C$2:$C$20000,F$5)</f>
        <v>933410</v>
      </c>
      <c r="G24" s="16">
        <f>SUMIFS(INDEX(元データ!$E$2:$H$20000,0,MATCH($C$2,元データ!$E$1:$H$1,0)),元データ!$A$2:$A$20000,$A24,元データ!$D$2:$D$20000,$C$3,元データ!$B$2:$B$20000,$C$4,元データ!$C$2:$C$20000,G$5)</f>
        <v>809125</v>
      </c>
      <c r="H24" s="16">
        <f>SUMIFS(INDEX(元データ!$E$2:$H$20000,0,MATCH($C$2,元データ!$E$1:$H$1,0)),元データ!$A$2:$A$20000,$A24,元データ!$D$2:$D$20000,$C$3,元データ!$B$2:$B$20000,$C$4,元データ!$C$2:$C$20000,H$5)</f>
        <v>652145</v>
      </c>
      <c r="I24" s="16">
        <f>SUMIFS(INDEX(元データ!$E$2:$H$20000,0,MATCH($C$2,元データ!$E$1:$H$1,0)),元データ!$A$2:$A$20000,$A24,元データ!$D$2:$D$20000,$C$3,元データ!$B$2:$B$20000,$C$4,元データ!$C$2:$C$20000,I$5)</f>
        <v>653528</v>
      </c>
      <c r="J24" s="16">
        <f>SUMIFS(INDEX(元データ!$E$2:$H$20000,0,MATCH($C$2,元データ!$E$1:$H$1,0)),元データ!$A$2:$A$20000,$A24,元データ!$D$2:$D$20000,$C$3,元データ!$B$2:$B$20000,$C$4,元データ!$C$2:$C$20000,J$5)</f>
        <v>1181955</v>
      </c>
      <c r="K24" s="16">
        <f>SUMIFS(INDEX(元データ!$E$2:$H$20000,0,MATCH($C$2,元データ!$E$1:$H$1,0)),元データ!$A$2:$A$20000,$A24,元データ!$D$2:$D$20000,$C$3,元データ!$B$2:$B$20000,$C$4,元データ!$C$2:$C$20000,K$5)</f>
        <v>1869676</v>
      </c>
      <c r="L24" s="16">
        <f>SUMIFS(INDEX(元データ!$E$2:$H$20000,0,MATCH($C$2,元データ!$E$1:$H$1,0)),元データ!$A$2:$A$20000,$A24,元データ!$D$2:$D$20000,$C$3,元データ!$B$2:$B$20000,$C$4,元データ!$C$2:$C$20000,L$5)</f>
        <v>1490158</v>
      </c>
      <c r="M24" s="16">
        <f>SUMIFS(INDEX(元データ!$E$2:$H$20000,0,MATCH($C$2,元データ!$E$1:$H$1,0)),元データ!$A$2:$A$20000,$A24,元データ!$D$2:$D$20000,$C$3,元データ!$B$2:$B$20000,$C$4,元データ!$C$2:$C$20000,M$5)</f>
        <v>1343373</v>
      </c>
      <c r="N24" s="16">
        <f>SUMIFS(INDEX(元データ!$E$2:$H$20000,0,MATCH($C$2,元データ!$E$1:$H$1,0)),元データ!$A$2:$A$20000,$A24,元データ!$D$2:$D$20000,$C$3,元データ!$B$2:$B$20000,$C$4,元データ!$C$2:$C$20000,N$5)</f>
        <v>1030316</v>
      </c>
      <c r="O24" s="17">
        <f t="shared" si="0"/>
        <v>12975818</v>
      </c>
      <c r="P24" s="16">
        <f>SUMIFS(INDEX(元データ!$E$2:$H$20000,0,MATCH($C$2,元データ!$E$1:$H$1,0)),元データ!$A$2:$A$20000,$A24,元データ!$D$2:$D$20000,$C$3,元データ!$B$2:$B$20000,$P$4,元データ!$C$2:$C$20000,P$5)</f>
        <v>676776</v>
      </c>
      <c r="Q24" s="16">
        <f>SUMIFS(INDEX(元データ!$E$2:$H$20000,0,MATCH($C$2,元データ!$E$1:$H$1,0)),元データ!$A$2:$A$20000,$A24,元データ!$D$2:$D$20000,$C$3,元データ!$B$2:$B$20000,$P$4,元データ!$C$2:$C$20000,Q$5)</f>
        <v>760796</v>
      </c>
      <c r="R24" s="16">
        <f>SUMIFS(INDEX(元データ!$E$2:$H$20000,0,MATCH($C$2,元データ!$E$1:$H$1,0)),元データ!$A$2:$A$20000,$A24,元データ!$D$2:$D$20000,$C$3,元データ!$B$2:$B$20000,$P$4,元データ!$C$2:$C$20000,R$5)</f>
        <v>1132777</v>
      </c>
      <c r="S24" s="16">
        <f>SUMIFS(INDEX(元データ!$E$2:$H$20000,0,MATCH($C$2,元データ!$E$1:$H$1,0)),元データ!$A$2:$A$20000,$A24,元データ!$D$2:$D$20000,$C$3,元データ!$B$2:$B$20000,$P$4,元データ!$C$2:$C$20000,S$5)</f>
        <v>996955</v>
      </c>
      <c r="T24" s="16">
        <f>SUMIFS(INDEX(元データ!$E$2:$H$20000,0,MATCH($C$2,元データ!$E$1:$H$1,0)),元データ!$A$2:$A$20000,$A24,元データ!$D$2:$D$20000,$C$3,元データ!$B$2:$B$20000,$P$4,元データ!$C$2:$C$20000,T$5)</f>
        <v>807862</v>
      </c>
      <c r="U24" s="16">
        <f>SUMIFS(INDEX(元データ!$E$2:$H$20000,0,MATCH($C$2,元データ!$E$1:$H$1,0)),元データ!$A$2:$A$20000,$A24,元データ!$D$2:$D$20000,$C$3,元データ!$B$2:$B$20000,$P$4,元データ!$C$2:$C$20000,U$5)</f>
        <v>612634</v>
      </c>
      <c r="V24" s="16">
        <f>SUMIFS(INDEX(元データ!$E$2:$H$20000,0,MATCH($C$2,元データ!$E$1:$H$1,0)),元データ!$A$2:$A$20000,$A24,元データ!$D$2:$D$20000,$C$3,元データ!$B$2:$B$20000,$P$4,元データ!$C$2:$C$20000,V$5)</f>
        <v>688615</v>
      </c>
      <c r="W24" s="16">
        <f>SUMIFS(INDEX(元データ!$E$2:$H$20000,0,MATCH($C$2,元データ!$E$1:$H$1,0)),元データ!$A$2:$A$20000,$A24,元データ!$D$2:$D$20000,$C$3,元データ!$B$2:$B$20000,$P$4,元データ!$C$2:$C$20000,W$5)</f>
        <v>1447351</v>
      </c>
      <c r="X24" s="16">
        <f>SUMIFS(INDEX(元データ!$E$2:$H$20000,0,MATCH($C$2,元データ!$E$1:$H$1,0)),元データ!$A$2:$A$20000,$A24,元データ!$D$2:$D$20000,$C$3,元データ!$B$2:$B$20000,$P$4,元データ!$C$2:$C$20000,X$5)</f>
        <v>1814359</v>
      </c>
      <c r="Y24" s="16">
        <f>SUMIFS(INDEX(元データ!$E$2:$H$20000,0,MATCH($C$2,元データ!$E$1:$H$1,0)),元データ!$A$2:$A$20000,$A24,元データ!$D$2:$D$20000,$C$3,元データ!$B$2:$B$20000,$P$4,元データ!$C$2:$C$20000,Y$5)</f>
        <v>1578868</v>
      </c>
      <c r="Z24" s="16">
        <f>SUMIFS(INDEX(元データ!$E$2:$H$20000,0,MATCH($C$2,元データ!$E$1:$H$1,0)),元データ!$A$2:$A$20000,$A24,元データ!$D$2:$D$20000,$C$3,元データ!$B$2:$B$20000,$P$4,元データ!$C$2:$C$20000,Z$5)</f>
        <v>1417415</v>
      </c>
      <c r="AA24" s="16">
        <f>SUMIFS(INDEX(元データ!$E$2:$H$20000,0,MATCH($C$2,元データ!$E$1:$H$1,0)),元データ!$A$2:$A$20000,$A24,元データ!$D$2:$D$20000,$C$3,元データ!$B$2:$B$20000,$P$4,元データ!$C$2:$C$20000,AA$5)</f>
        <v>1039498</v>
      </c>
      <c r="AB24" s="17">
        <f t="shared" si="1"/>
        <v>12973906</v>
      </c>
      <c r="AC24" s="18">
        <f t="shared" si="2"/>
        <v>1.3915505277964939</v>
      </c>
      <c r="AD24" s="18">
        <f t="shared" si="3"/>
        <v>1.0763056062334713</v>
      </c>
      <c r="AE24" s="18">
        <f t="shared" si="4"/>
        <v>1.1048202779540899</v>
      </c>
      <c r="AF24" s="18">
        <f t="shared" si="5"/>
        <v>0.93626091448460558</v>
      </c>
      <c r="AG24" s="18">
        <f t="shared" si="6"/>
        <v>1.0015633858257971</v>
      </c>
      <c r="AH24" s="18">
        <f t="shared" si="7"/>
        <v>1.0644936454718479</v>
      </c>
      <c r="AI24" s="18">
        <f t="shared" si="8"/>
        <v>0.94904700013795806</v>
      </c>
      <c r="AJ24" s="18">
        <f t="shared" si="9"/>
        <v>0.8166332838406164</v>
      </c>
      <c r="AK24" s="18">
        <f t="shared" si="10"/>
        <v>1.030488453497902</v>
      </c>
      <c r="AL24" s="18">
        <f t="shared" si="11"/>
        <v>0.94381417572589987</v>
      </c>
      <c r="AM24" s="18">
        <f t="shared" si="12"/>
        <v>0.94776265243418478</v>
      </c>
      <c r="AN24" s="18">
        <f t="shared" si="13"/>
        <v>0.99116689017198689</v>
      </c>
      <c r="AO24" s="19">
        <f t="shared" si="14"/>
        <v>1.0001473727341634</v>
      </c>
    </row>
    <row r="25" spans="1:41" x14ac:dyDescent="0.45">
      <c r="A25" s="14" t="str">
        <f>店舗マスタ!A21</f>
        <v>W長泉店</v>
      </c>
      <c r="B25" s="15"/>
      <c r="C25" s="16">
        <f>SUMIFS(INDEX(元データ!$E$2:$H$20000,0,MATCH($C$2,元データ!$E$1:$H$1,0)),元データ!$A$2:$A$20000,$A25,元データ!$D$2:$D$20000,$C$3,元データ!$B$2:$B$20000,$C$4,元データ!$C$2:$C$20000,C$5)</f>
        <v>745530</v>
      </c>
      <c r="D25" s="16">
        <f>SUMIFS(INDEX(元データ!$E$2:$H$20000,0,MATCH($C$2,元データ!$E$1:$H$1,0)),元データ!$A$2:$A$20000,$A25,元データ!$D$2:$D$20000,$C$3,元データ!$B$2:$B$20000,$C$4,元データ!$C$2:$C$20000,D$5)</f>
        <v>657805</v>
      </c>
      <c r="E25" s="16">
        <f>SUMIFS(INDEX(元データ!$E$2:$H$20000,0,MATCH($C$2,元データ!$E$1:$H$1,0)),元データ!$A$2:$A$20000,$A25,元データ!$D$2:$D$20000,$C$3,元データ!$B$2:$B$20000,$C$4,元データ!$C$2:$C$20000,E$5)</f>
        <v>1098184</v>
      </c>
      <c r="F25" s="16">
        <f>SUMIFS(INDEX(元データ!$E$2:$H$20000,0,MATCH($C$2,元データ!$E$1:$H$1,0)),元データ!$A$2:$A$20000,$A25,元データ!$D$2:$D$20000,$C$3,元データ!$B$2:$B$20000,$C$4,元データ!$C$2:$C$20000,F$5)</f>
        <v>793558</v>
      </c>
      <c r="G25" s="16">
        <f>SUMIFS(INDEX(元データ!$E$2:$H$20000,0,MATCH($C$2,元データ!$E$1:$H$1,0)),元データ!$A$2:$A$20000,$A25,元データ!$D$2:$D$20000,$C$3,元データ!$B$2:$B$20000,$C$4,元データ!$C$2:$C$20000,G$5)</f>
        <v>815987</v>
      </c>
      <c r="H25" s="16">
        <f>SUMIFS(INDEX(元データ!$E$2:$H$20000,0,MATCH($C$2,元データ!$E$1:$H$1,0)),元データ!$A$2:$A$20000,$A25,元データ!$D$2:$D$20000,$C$3,元データ!$B$2:$B$20000,$C$4,元データ!$C$2:$C$20000,H$5)</f>
        <v>585727</v>
      </c>
      <c r="I25" s="16">
        <f>SUMIFS(INDEX(元データ!$E$2:$H$20000,0,MATCH($C$2,元データ!$E$1:$H$1,0)),元データ!$A$2:$A$20000,$A25,元データ!$D$2:$D$20000,$C$3,元データ!$B$2:$B$20000,$C$4,元データ!$C$2:$C$20000,I$5)</f>
        <v>600801</v>
      </c>
      <c r="J25" s="16">
        <f>SUMIFS(INDEX(元データ!$E$2:$H$20000,0,MATCH($C$2,元データ!$E$1:$H$1,0)),元データ!$A$2:$A$20000,$A25,元データ!$D$2:$D$20000,$C$3,元データ!$B$2:$B$20000,$C$4,元データ!$C$2:$C$20000,J$5)</f>
        <v>1118100</v>
      </c>
      <c r="K25" s="16">
        <f>SUMIFS(INDEX(元データ!$E$2:$H$20000,0,MATCH($C$2,元データ!$E$1:$H$1,0)),元データ!$A$2:$A$20000,$A25,元データ!$D$2:$D$20000,$C$3,元データ!$B$2:$B$20000,$C$4,元データ!$C$2:$C$20000,K$5)</f>
        <v>2059681</v>
      </c>
      <c r="L25" s="16">
        <f>SUMIFS(INDEX(元データ!$E$2:$H$20000,0,MATCH($C$2,元データ!$E$1:$H$1,0)),元データ!$A$2:$A$20000,$A25,元データ!$D$2:$D$20000,$C$3,元データ!$B$2:$B$20000,$C$4,元データ!$C$2:$C$20000,L$5)</f>
        <v>1082843</v>
      </c>
      <c r="M25" s="16">
        <f>SUMIFS(INDEX(元データ!$E$2:$H$20000,0,MATCH($C$2,元データ!$E$1:$H$1,0)),元データ!$A$2:$A$20000,$A25,元データ!$D$2:$D$20000,$C$3,元データ!$B$2:$B$20000,$C$4,元データ!$C$2:$C$20000,M$5)</f>
        <v>1165856</v>
      </c>
      <c r="N25" s="16">
        <f>SUMIFS(INDEX(元データ!$E$2:$H$20000,0,MATCH($C$2,元データ!$E$1:$H$1,0)),元データ!$A$2:$A$20000,$A25,元データ!$D$2:$D$20000,$C$3,元データ!$B$2:$B$20000,$C$4,元データ!$C$2:$C$20000,N$5)</f>
        <v>922240</v>
      </c>
      <c r="O25" s="17">
        <f t="shared" si="0"/>
        <v>11646312</v>
      </c>
      <c r="P25" s="16">
        <f>SUMIFS(INDEX(元データ!$E$2:$H$20000,0,MATCH($C$2,元データ!$E$1:$H$1,0)),元データ!$A$2:$A$20000,$A25,元データ!$D$2:$D$20000,$C$3,元データ!$B$2:$B$20000,$P$4,元データ!$C$2:$C$20000,P$5)</f>
        <v>728905</v>
      </c>
      <c r="Q25" s="16">
        <f>SUMIFS(INDEX(元データ!$E$2:$H$20000,0,MATCH($C$2,元データ!$E$1:$H$1,0)),元データ!$A$2:$A$20000,$A25,元データ!$D$2:$D$20000,$C$3,元データ!$B$2:$B$20000,$P$4,元データ!$C$2:$C$20000,Q$5)</f>
        <v>677705</v>
      </c>
      <c r="R25" s="16">
        <f>SUMIFS(INDEX(元データ!$E$2:$H$20000,0,MATCH($C$2,元データ!$E$1:$H$1,0)),元データ!$A$2:$A$20000,$A25,元データ!$D$2:$D$20000,$C$3,元データ!$B$2:$B$20000,$P$4,元データ!$C$2:$C$20000,R$5)</f>
        <v>1077178</v>
      </c>
      <c r="S25" s="16">
        <f>SUMIFS(INDEX(元データ!$E$2:$H$20000,0,MATCH($C$2,元データ!$E$1:$H$1,0)),元データ!$A$2:$A$20000,$A25,元データ!$D$2:$D$20000,$C$3,元データ!$B$2:$B$20000,$P$4,元データ!$C$2:$C$20000,S$5)</f>
        <v>904568</v>
      </c>
      <c r="T25" s="16">
        <f>SUMIFS(INDEX(元データ!$E$2:$H$20000,0,MATCH($C$2,元データ!$E$1:$H$1,0)),元データ!$A$2:$A$20000,$A25,元データ!$D$2:$D$20000,$C$3,元データ!$B$2:$B$20000,$P$4,元データ!$C$2:$C$20000,T$5)</f>
        <v>968676</v>
      </c>
      <c r="U25" s="16">
        <f>SUMIFS(INDEX(元データ!$E$2:$H$20000,0,MATCH($C$2,元データ!$E$1:$H$1,0)),元データ!$A$2:$A$20000,$A25,元データ!$D$2:$D$20000,$C$3,元データ!$B$2:$B$20000,$P$4,元データ!$C$2:$C$20000,U$5)</f>
        <v>723012</v>
      </c>
      <c r="V25" s="16">
        <f>SUMIFS(INDEX(元データ!$E$2:$H$20000,0,MATCH($C$2,元データ!$E$1:$H$1,0)),元データ!$A$2:$A$20000,$A25,元データ!$D$2:$D$20000,$C$3,元データ!$B$2:$B$20000,$P$4,元データ!$C$2:$C$20000,V$5)</f>
        <v>685058</v>
      </c>
      <c r="W25" s="16">
        <f>SUMIFS(INDEX(元データ!$E$2:$H$20000,0,MATCH($C$2,元データ!$E$1:$H$1,0)),元データ!$A$2:$A$20000,$A25,元データ!$D$2:$D$20000,$C$3,元データ!$B$2:$B$20000,$P$4,元データ!$C$2:$C$20000,W$5)</f>
        <v>1494900</v>
      </c>
      <c r="X25" s="16">
        <f>SUMIFS(INDEX(元データ!$E$2:$H$20000,0,MATCH($C$2,元データ!$E$1:$H$1,0)),元データ!$A$2:$A$20000,$A25,元データ!$D$2:$D$20000,$C$3,元データ!$B$2:$B$20000,$P$4,元データ!$C$2:$C$20000,X$5)</f>
        <v>1788097</v>
      </c>
      <c r="Y25" s="16">
        <f>SUMIFS(INDEX(元データ!$E$2:$H$20000,0,MATCH($C$2,元データ!$E$1:$H$1,0)),元データ!$A$2:$A$20000,$A25,元データ!$D$2:$D$20000,$C$3,元データ!$B$2:$B$20000,$P$4,元データ!$C$2:$C$20000,Y$5)</f>
        <v>1383719</v>
      </c>
      <c r="Z25" s="16">
        <f>SUMIFS(INDEX(元データ!$E$2:$H$20000,0,MATCH($C$2,元データ!$E$1:$H$1,0)),元データ!$A$2:$A$20000,$A25,元データ!$D$2:$D$20000,$C$3,元データ!$B$2:$B$20000,$P$4,元データ!$C$2:$C$20000,Z$5)</f>
        <v>1149769</v>
      </c>
      <c r="AA25" s="16">
        <f>SUMIFS(INDEX(元データ!$E$2:$H$20000,0,MATCH($C$2,元データ!$E$1:$H$1,0)),元データ!$A$2:$A$20000,$A25,元データ!$D$2:$D$20000,$C$3,元データ!$B$2:$B$20000,$P$4,元データ!$C$2:$C$20000,AA$5)</f>
        <v>967459</v>
      </c>
      <c r="AB25" s="17">
        <f t="shared" si="1"/>
        <v>12549046</v>
      </c>
      <c r="AC25" s="18">
        <f t="shared" si="2"/>
        <v>1.0228081848800599</v>
      </c>
      <c r="AD25" s="18">
        <f t="shared" si="3"/>
        <v>0.97063619126316025</v>
      </c>
      <c r="AE25" s="18">
        <f t="shared" si="4"/>
        <v>1.019500955273873</v>
      </c>
      <c r="AF25" s="18">
        <f t="shared" si="5"/>
        <v>0.87727843567316111</v>
      </c>
      <c r="AG25" s="18">
        <f t="shared" si="6"/>
        <v>0.84237350775697961</v>
      </c>
      <c r="AH25" s="18">
        <f t="shared" si="7"/>
        <v>0.8101207172218442</v>
      </c>
      <c r="AI25" s="18">
        <f t="shared" si="8"/>
        <v>0.87700749425596081</v>
      </c>
      <c r="AJ25" s="18">
        <f t="shared" si="9"/>
        <v>0.74794300622115195</v>
      </c>
      <c r="AK25" s="18">
        <f t="shared" si="10"/>
        <v>1.1518843776372312</v>
      </c>
      <c r="AL25" s="18">
        <f t="shared" si="11"/>
        <v>0.78255989836086659</v>
      </c>
      <c r="AM25" s="18">
        <f t="shared" si="12"/>
        <v>1.0139915061199249</v>
      </c>
      <c r="AN25" s="18">
        <f t="shared" si="13"/>
        <v>0.95326003479217203</v>
      </c>
      <c r="AO25" s="19">
        <f t="shared" si="14"/>
        <v>0.92806353566637656</v>
      </c>
    </row>
    <row r="26" spans="1:41" x14ac:dyDescent="0.45">
      <c r="A26" s="14" t="str">
        <f>店舗マスタ!A22</f>
        <v>Ｋ函南店</v>
      </c>
      <c r="B26" s="15"/>
      <c r="C26" s="16">
        <f>SUMIFS(INDEX(元データ!$E$2:$H$20000,0,MATCH($C$2,元データ!$E$1:$H$1,0)),元データ!$A$2:$A$20000,$A26,元データ!$D$2:$D$20000,$C$3,元データ!$B$2:$B$20000,$C$4,元データ!$C$2:$C$20000,C$5)</f>
        <v>2026574</v>
      </c>
      <c r="D26" s="16">
        <f>SUMIFS(INDEX(元データ!$E$2:$H$20000,0,MATCH($C$2,元データ!$E$1:$H$1,0)),元データ!$A$2:$A$20000,$A26,元データ!$D$2:$D$20000,$C$3,元データ!$B$2:$B$20000,$C$4,元データ!$C$2:$C$20000,D$5)</f>
        <v>1793035</v>
      </c>
      <c r="E26" s="16">
        <f>SUMIFS(INDEX(元データ!$E$2:$H$20000,0,MATCH($C$2,元データ!$E$1:$H$1,0)),元データ!$A$2:$A$20000,$A26,元データ!$D$2:$D$20000,$C$3,元データ!$B$2:$B$20000,$C$4,元データ!$C$2:$C$20000,E$5)</f>
        <v>2591017</v>
      </c>
      <c r="F26" s="16">
        <f>SUMIFS(INDEX(元データ!$E$2:$H$20000,0,MATCH($C$2,元データ!$E$1:$H$1,0)),元データ!$A$2:$A$20000,$A26,元データ!$D$2:$D$20000,$C$3,元データ!$B$2:$B$20000,$C$4,元データ!$C$2:$C$20000,F$5)</f>
        <v>2050416</v>
      </c>
      <c r="G26" s="16">
        <f>SUMIFS(INDEX(元データ!$E$2:$H$20000,0,MATCH($C$2,元データ!$E$1:$H$1,0)),元データ!$A$2:$A$20000,$A26,元データ!$D$2:$D$20000,$C$3,元データ!$B$2:$B$20000,$C$4,元データ!$C$2:$C$20000,G$5)</f>
        <v>2086297</v>
      </c>
      <c r="H26" s="16">
        <f>SUMIFS(INDEX(元データ!$E$2:$H$20000,0,MATCH($C$2,元データ!$E$1:$H$1,0)),元データ!$A$2:$A$20000,$A26,元データ!$D$2:$D$20000,$C$3,元データ!$B$2:$B$20000,$C$4,元データ!$C$2:$C$20000,H$5)</f>
        <v>1464300</v>
      </c>
      <c r="I26" s="16">
        <f>SUMIFS(INDEX(元データ!$E$2:$H$20000,0,MATCH($C$2,元データ!$E$1:$H$1,0)),元データ!$A$2:$A$20000,$A26,元データ!$D$2:$D$20000,$C$3,元データ!$B$2:$B$20000,$C$4,元データ!$C$2:$C$20000,I$5)</f>
        <v>1437973</v>
      </c>
      <c r="J26" s="16">
        <f>SUMIFS(INDEX(元データ!$E$2:$H$20000,0,MATCH($C$2,元データ!$E$1:$H$1,0)),元データ!$A$2:$A$20000,$A26,元データ!$D$2:$D$20000,$C$3,元データ!$B$2:$B$20000,$C$4,元データ!$C$2:$C$20000,J$5)</f>
        <v>2741828</v>
      </c>
      <c r="K26" s="16">
        <f>SUMIFS(INDEX(元データ!$E$2:$H$20000,0,MATCH($C$2,元データ!$E$1:$H$1,0)),元データ!$A$2:$A$20000,$A26,元データ!$D$2:$D$20000,$C$3,元データ!$B$2:$B$20000,$C$4,元データ!$C$2:$C$20000,K$5)</f>
        <v>4495880</v>
      </c>
      <c r="L26" s="16">
        <f>SUMIFS(INDEX(元データ!$E$2:$H$20000,0,MATCH($C$2,元データ!$E$1:$H$1,0)),元データ!$A$2:$A$20000,$A26,元データ!$D$2:$D$20000,$C$3,元データ!$B$2:$B$20000,$C$4,元データ!$C$2:$C$20000,L$5)</f>
        <v>3330613</v>
      </c>
      <c r="M26" s="16">
        <f>SUMIFS(INDEX(元データ!$E$2:$H$20000,0,MATCH($C$2,元データ!$E$1:$H$1,0)),元データ!$A$2:$A$20000,$A26,元データ!$D$2:$D$20000,$C$3,元データ!$B$2:$B$20000,$C$4,元データ!$C$2:$C$20000,M$5)</f>
        <v>3022036</v>
      </c>
      <c r="N26" s="16">
        <f>SUMIFS(INDEX(元データ!$E$2:$H$20000,0,MATCH($C$2,元データ!$E$1:$H$1,0)),元データ!$A$2:$A$20000,$A26,元データ!$D$2:$D$20000,$C$3,元データ!$B$2:$B$20000,$C$4,元データ!$C$2:$C$20000,N$5)</f>
        <v>2199207</v>
      </c>
      <c r="O26" s="17">
        <f t="shared" si="0"/>
        <v>29239176</v>
      </c>
      <c r="P26" s="16">
        <f>SUMIFS(INDEX(元データ!$E$2:$H$20000,0,MATCH($C$2,元データ!$E$1:$H$1,0)),元データ!$A$2:$A$20000,$A26,元データ!$D$2:$D$20000,$C$3,元データ!$B$2:$B$20000,$P$4,元データ!$C$2:$C$20000,P$5)</f>
        <v>1823337</v>
      </c>
      <c r="Q26" s="16">
        <f>SUMIFS(INDEX(元データ!$E$2:$H$20000,0,MATCH($C$2,元データ!$E$1:$H$1,0)),元データ!$A$2:$A$20000,$A26,元データ!$D$2:$D$20000,$C$3,元データ!$B$2:$B$20000,$P$4,元データ!$C$2:$C$20000,Q$5)</f>
        <v>1737769</v>
      </c>
      <c r="R26" s="16">
        <f>SUMIFS(INDEX(元データ!$E$2:$H$20000,0,MATCH($C$2,元データ!$E$1:$H$1,0)),元データ!$A$2:$A$20000,$A26,元データ!$D$2:$D$20000,$C$3,元データ!$B$2:$B$20000,$P$4,元データ!$C$2:$C$20000,R$5)</f>
        <v>2477390</v>
      </c>
      <c r="S26" s="16">
        <f>SUMIFS(INDEX(元データ!$E$2:$H$20000,0,MATCH($C$2,元データ!$E$1:$H$1,0)),元データ!$A$2:$A$20000,$A26,元データ!$D$2:$D$20000,$C$3,元データ!$B$2:$B$20000,$P$4,元データ!$C$2:$C$20000,S$5)</f>
        <v>2162282</v>
      </c>
      <c r="T26" s="16">
        <f>SUMIFS(INDEX(元データ!$E$2:$H$20000,0,MATCH($C$2,元データ!$E$1:$H$1,0)),元データ!$A$2:$A$20000,$A26,元データ!$D$2:$D$20000,$C$3,元データ!$B$2:$B$20000,$P$4,元データ!$C$2:$C$20000,T$5)</f>
        <v>2086135</v>
      </c>
      <c r="U26" s="16">
        <f>SUMIFS(INDEX(元データ!$E$2:$H$20000,0,MATCH($C$2,元データ!$E$1:$H$1,0)),元データ!$A$2:$A$20000,$A26,元データ!$D$2:$D$20000,$C$3,元データ!$B$2:$B$20000,$P$4,元データ!$C$2:$C$20000,U$5)</f>
        <v>1443974</v>
      </c>
      <c r="V26" s="16">
        <f>SUMIFS(INDEX(元データ!$E$2:$H$20000,0,MATCH($C$2,元データ!$E$1:$H$1,0)),元データ!$A$2:$A$20000,$A26,元データ!$D$2:$D$20000,$C$3,元データ!$B$2:$B$20000,$P$4,元データ!$C$2:$C$20000,V$5)</f>
        <v>1435408</v>
      </c>
      <c r="W26" s="16">
        <f>SUMIFS(INDEX(元データ!$E$2:$H$20000,0,MATCH($C$2,元データ!$E$1:$H$1,0)),元データ!$A$2:$A$20000,$A26,元データ!$D$2:$D$20000,$C$3,元データ!$B$2:$B$20000,$P$4,元データ!$C$2:$C$20000,W$5)</f>
        <v>3116590</v>
      </c>
      <c r="X26" s="16">
        <f>SUMIFS(INDEX(元データ!$E$2:$H$20000,0,MATCH($C$2,元データ!$E$1:$H$1,0)),元データ!$A$2:$A$20000,$A26,元データ!$D$2:$D$20000,$C$3,元データ!$B$2:$B$20000,$P$4,元データ!$C$2:$C$20000,X$5)</f>
        <v>4281823</v>
      </c>
      <c r="Y26" s="16">
        <f>SUMIFS(INDEX(元データ!$E$2:$H$20000,0,MATCH($C$2,元データ!$E$1:$H$1,0)),元データ!$A$2:$A$20000,$A26,元データ!$D$2:$D$20000,$C$3,元データ!$B$2:$B$20000,$P$4,元データ!$C$2:$C$20000,Y$5)</f>
        <v>3521916</v>
      </c>
      <c r="Z26" s="16">
        <f>SUMIFS(INDEX(元データ!$E$2:$H$20000,0,MATCH($C$2,元データ!$E$1:$H$1,0)),元データ!$A$2:$A$20000,$A26,元データ!$D$2:$D$20000,$C$3,元データ!$B$2:$B$20000,$P$4,元データ!$C$2:$C$20000,Z$5)</f>
        <v>3089099</v>
      </c>
      <c r="AA26" s="16">
        <f>SUMIFS(INDEX(元データ!$E$2:$H$20000,0,MATCH($C$2,元データ!$E$1:$H$1,0)),元データ!$A$2:$A$20000,$A26,元データ!$D$2:$D$20000,$C$3,元データ!$B$2:$B$20000,$P$4,元データ!$C$2:$C$20000,AA$5)</f>
        <v>2329071</v>
      </c>
      <c r="AB26" s="17">
        <f t="shared" si="1"/>
        <v>29504794</v>
      </c>
      <c r="AC26" s="18">
        <f t="shared" si="2"/>
        <v>1.1114643096695784</v>
      </c>
      <c r="AD26" s="18">
        <f t="shared" si="3"/>
        <v>1.0318028460629693</v>
      </c>
      <c r="AE26" s="18">
        <f t="shared" si="4"/>
        <v>1.0458656085638516</v>
      </c>
      <c r="AF26" s="18">
        <f t="shared" si="5"/>
        <v>0.94826484242110876</v>
      </c>
      <c r="AG26" s="18">
        <f t="shared" si="6"/>
        <v>1.0000776555687911</v>
      </c>
      <c r="AH26" s="18">
        <f t="shared" si="7"/>
        <v>1.0140764307390577</v>
      </c>
      <c r="AI26" s="18">
        <f t="shared" si="8"/>
        <v>1.0017869483798334</v>
      </c>
      <c r="AJ26" s="18">
        <f t="shared" si="9"/>
        <v>0.87975255006272879</v>
      </c>
      <c r="AK26" s="18">
        <f t="shared" si="10"/>
        <v>1.0499920244251104</v>
      </c>
      <c r="AL26" s="18">
        <f t="shared" si="11"/>
        <v>0.94568212302621646</v>
      </c>
      <c r="AM26" s="18">
        <f t="shared" si="12"/>
        <v>0.97829043355360257</v>
      </c>
      <c r="AN26" s="18">
        <f t="shared" si="13"/>
        <v>0.94424214633216419</v>
      </c>
      <c r="AO26" s="19">
        <f t="shared" si="14"/>
        <v>0.99099746298855707</v>
      </c>
    </row>
    <row r="27" spans="1:41" x14ac:dyDescent="0.45">
      <c r="A27" s="14" t="str">
        <f>店舗マスタ!A23</f>
        <v>Ｃ新沢田店</v>
      </c>
      <c r="B27" s="15"/>
      <c r="C27" s="16">
        <f>SUMIFS(INDEX(元データ!$E$2:$H$20000,0,MATCH($C$2,元データ!$E$1:$H$1,0)),元データ!$A$2:$A$20000,$A27,元データ!$D$2:$D$20000,$C$3,元データ!$B$2:$B$20000,$C$4,元データ!$C$2:$C$20000,C$5)</f>
        <v>1124601</v>
      </c>
      <c r="D27" s="16">
        <f>SUMIFS(INDEX(元データ!$E$2:$H$20000,0,MATCH($C$2,元データ!$E$1:$H$1,0)),元データ!$A$2:$A$20000,$A27,元データ!$D$2:$D$20000,$C$3,元データ!$B$2:$B$20000,$C$4,元データ!$C$2:$C$20000,D$5)</f>
        <v>1176608</v>
      </c>
      <c r="E27" s="16">
        <f>SUMIFS(INDEX(元データ!$E$2:$H$20000,0,MATCH($C$2,元データ!$E$1:$H$1,0)),元データ!$A$2:$A$20000,$A27,元データ!$D$2:$D$20000,$C$3,元データ!$B$2:$B$20000,$C$4,元データ!$C$2:$C$20000,E$5)</f>
        <v>1881240</v>
      </c>
      <c r="F27" s="16">
        <f>SUMIFS(INDEX(元データ!$E$2:$H$20000,0,MATCH($C$2,元データ!$E$1:$H$1,0)),元データ!$A$2:$A$20000,$A27,元データ!$D$2:$D$20000,$C$3,元データ!$B$2:$B$20000,$C$4,元データ!$C$2:$C$20000,F$5)</f>
        <v>1620659</v>
      </c>
      <c r="G27" s="16">
        <f>SUMIFS(INDEX(元データ!$E$2:$H$20000,0,MATCH($C$2,元データ!$E$1:$H$1,0)),元データ!$A$2:$A$20000,$A27,元データ!$D$2:$D$20000,$C$3,元データ!$B$2:$B$20000,$C$4,元データ!$C$2:$C$20000,G$5)</f>
        <v>1744318</v>
      </c>
      <c r="H27" s="16">
        <f>SUMIFS(INDEX(元データ!$E$2:$H$20000,0,MATCH($C$2,元データ!$E$1:$H$1,0)),元データ!$A$2:$A$20000,$A27,元データ!$D$2:$D$20000,$C$3,元データ!$B$2:$B$20000,$C$4,元データ!$C$2:$C$20000,H$5)</f>
        <v>1215172</v>
      </c>
      <c r="I27" s="16">
        <f>SUMIFS(INDEX(元データ!$E$2:$H$20000,0,MATCH($C$2,元データ!$E$1:$H$1,0)),元データ!$A$2:$A$20000,$A27,元データ!$D$2:$D$20000,$C$3,元データ!$B$2:$B$20000,$C$4,元データ!$C$2:$C$20000,I$5)</f>
        <v>1161376</v>
      </c>
      <c r="J27" s="16">
        <f>SUMIFS(INDEX(元データ!$E$2:$H$20000,0,MATCH($C$2,元データ!$E$1:$H$1,0)),元データ!$A$2:$A$20000,$A27,元データ!$D$2:$D$20000,$C$3,元データ!$B$2:$B$20000,$C$4,元データ!$C$2:$C$20000,J$5)</f>
        <v>2070109</v>
      </c>
      <c r="K27" s="16">
        <f>SUMIFS(INDEX(元データ!$E$2:$H$20000,0,MATCH($C$2,元データ!$E$1:$H$1,0)),元データ!$A$2:$A$20000,$A27,元データ!$D$2:$D$20000,$C$3,元データ!$B$2:$B$20000,$C$4,元データ!$C$2:$C$20000,K$5)</f>
        <v>3609518</v>
      </c>
      <c r="L27" s="16">
        <f>SUMIFS(INDEX(元データ!$E$2:$H$20000,0,MATCH($C$2,元データ!$E$1:$H$1,0)),元データ!$A$2:$A$20000,$A27,元データ!$D$2:$D$20000,$C$3,元データ!$B$2:$B$20000,$C$4,元データ!$C$2:$C$20000,L$5)</f>
        <v>2422219</v>
      </c>
      <c r="M27" s="16">
        <f>SUMIFS(INDEX(元データ!$E$2:$H$20000,0,MATCH($C$2,元データ!$E$1:$H$1,0)),元データ!$A$2:$A$20000,$A27,元データ!$D$2:$D$20000,$C$3,元データ!$B$2:$B$20000,$C$4,元データ!$C$2:$C$20000,M$5)</f>
        <v>2393210</v>
      </c>
      <c r="N27" s="16">
        <f>SUMIFS(INDEX(元データ!$E$2:$H$20000,0,MATCH($C$2,元データ!$E$1:$H$1,0)),元データ!$A$2:$A$20000,$A27,元データ!$D$2:$D$20000,$C$3,元データ!$B$2:$B$20000,$C$4,元データ!$C$2:$C$20000,N$5)</f>
        <v>1728390</v>
      </c>
      <c r="O27" s="17">
        <f t="shared" si="0"/>
        <v>22147420</v>
      </c>
      <c r="P27" s="16">
        <f>SUMIFS(INDEX(元データ!$E$2:$H$20000,0,MATCH($C$2,元データ!$E$1:$H$1,0)),元データ!$A$2:$A$20000,$A27,元データ!$D$2:$D$20000,$C$3,元データ!$B$2:$B$20000,$P$4,元データ!$C$2:$C$20000,P$5)</f>
        <v>1208615</v>
      </c>
      <c r="Q27" s="16">
        <f>SUMIFS(INDEX(元データ!$E$2:$H$20000,0,MATCH($C$2,元データ!$E$1:$H$1,0)),元データ!$A$2:$A$20000,$A27,元データ!$D$2:$D$20000,$C$3,元データ!$B$2:$B$20000,$P$4,元データ!$C$2:$C$20000,Q$5)</f>
        <v>1183086</v>
      </c>
      <c r="R27" s="16">
        <f>SUMIFS(INDEX(元データ!$E$2:$H$20000,0,MATCH($C$2,元データ!$E$1:$H$1,0)),元データ!$A$2:$A$20000,$A27,元データ!$D$2:$D$20000,$C$3,元データ!$B$2:$B$20000,$P$4,元データ!$C$2:$C$20000,R$5)</f>
        <v>2032645</v>
      </c>
      <c r="S27" s="16">
        <f>SUMIFS(INDEX(元データ!$E$2:$H$20000,0,MATCH($C$2,元データ!$E$1:$H$1,0)),元データ!$A$2:$A$20000,$A27,元データ!$D$2:$D$20000,$C$3,元データ!$B$2:$B$20000,$P$4,元データ!$C$2:$C$20000,S$5)</f>
        <v>1444965</v>
      </c>
      <c r="T27" s="16">
        <f>SUMIFS(INDEX(元データ!$E$2:$H$20000,0,MATCH($C$2,元データ!$E$1:$H$1,0)),元データ!$A$2:$A$20000,$A27,元データ!$D$2:$D$20000,$C$3,元データ!$B$2:$B$20000,$P$4,元データ!$C$2:$C$20000,T$5)</f>
        <v>1635574</v>
      </c>
      <c r="U27" s="16">
        <f>SUMIFS(INDEX(元データ!$E$2:$H$20000,0,MATCH($C$2,元データ!$E$1:$H$1,0)),元データ!$A$2:$A$20000,$A27,元データ!$D$2:$D$20000,$C$3,元データ!$B$2:$B$20000,$P$4,元データ!$C$2:$C$20000,U$5)</f>
        <v>1239567</v>
      </c>
      <c r="V27" s="16">
        <f>SUMIFS(INDEX(元データ!$E$2:$H$20000,0,MATCH($C$2,元データ!$E$1:$H$1,0)),元データ!$A$2:$A$20000,$A27,元データ!$D$2:$D$20000,$C$3,元データ!$B$2:$B$20000,$P$4,元データ!$C$2:$C$20000,V$5)</f>
        <v>1198353</v>
      </c>
      <c r="W27" s="16">
        <f>SUMIFS(INDEX(元データ!$E$2:$H$20000,0,MATCH($C$2,元データ!$E$1:$H$1,0)),元データ!$A$2:$A$20000,$A27,元データ!$D$2:$D$20000,$C$3,元データ!$B$2:$B$20000,$P$4,元データ!$C$2:$C$20000,W$5)</f>
        <v>2478355</v>
      </c>
      <c r="X27" s="16">
        <f>SUMIFS(INDEX(元データ!$E$2:$H$20000,0,MATCH($C$2,元データ!$E$1:$H$1,0)),元データ!$A$2:$A$20000,$A27,元データ!$D$2:$D$20000,$C$3,元データ!$B$2:$B$20000,$P$4,元データ!$C$2:$C$20000,X$5)</f>
        <v>3583762</v>
      </c>
      <c r="Y27" s="16">
        <f>SUMIFS(INDEX(元データ!$E$2:$H$20000,0,MATCH($C$2,元データ!$E$1:$H$1,0)),元データ!$A$2:$A$20000,$A27,元データ!$D$2:$D$20000,$C$3,元データ!$B$2:$B$20000,$P$4,元データ!$C$2:$C$20000,Y$5)</f>
        <v>3077340</v>
      </c>
      <c r="Z27" s="16">
        <f>SUMIFS(INDEX(元データ!$E$2:$H$20000,0,MATCH($C$2,元データ!$E$1:$H$1,0)),元データ!$A$2:$A$20000,$A27,元データ!$D$2:$D$20000,$C$3,元データ!$B$2:$B$20000,$P$4,元データ!$C$2:$C$20000,Z$5)</f>
        <v>2295669</v>
      </c>
      <c r="AA27" s="16">
        <f>SUMIFS(INDEX(元データ!$E$2:$H$20000,0,MATCH($C$2,元データ!$E$1:$H$1,0)),元データ!$A$2:$A$20000,$A27,元データ!$D$2:$D$20000,$C$3,元データ!$B$2:$B$20000,$P$4,元データ!$C$2:$C$20000,AA$5)</f>
        <v>1727630</v>
      </c>
      <c r="AB27" s="17">
        <f t="shared" si="1"/>
        <v>23105561</v>
      </c>
      <c r="AC27" s="18">
        <f t="shared" si="2"/>
        <v>0.93048737604613541</v>
      </c>
      <c r="AD27" s="18">
        <f t="shared" si="3"/>
        <v>0.99452448934396998</v>
      </c>
      <c r="AE27" s="18">
        <f t="shared" si="4"/>
        <v>0.92551330901362505</v>
      </c>
      <c r="AF27" s="18">
        <f t="shared" si="5"/>
        <v>1.1215904883509289</v>
      </c>
      <c r="AG27" s="18">
        <f t="shared" si="6"/>
        <v>1.066486750217355</v>
      </c>
      <c r="AH27" s="18">
        <f t="shared" si="7"/>
        <v>0.98031974068364192</v>
      </c>
      <c r="AI27" s="18">
        <f t="shared" si="8"/>
        <v>0.9691434827634261</v>
      </c>
      <c r="AJ27" s="18">
        <f t="shared" si="9"/>
        <v>0.83527541453907939</v>
      </c>
      <c r="AK27" s="18">
        <f t="shared" si="10"/>
        <v>1.0071868611810717</v>
      </c>
      <c r="AL27" s="18">
        <f t="shared" si="11"/>
        <v>0.78711452098240686</v>
      </c>
      <c r="AM27" s="18">
        <f t="shared" si="12"/>
        <v>1.0424891393314977</v>
      </c>
      <c r="AN27" s="18">
        <f t="shared" si="13"/>
        <v>1.0004399090082945</v>
      </c>
      <c r="AO27" s="19">
        <f t="shared" si="14"/>
        <v>0.95853201746540584</v>
      </c>
    </row>
    <row r="28" spans="1:41" x14ac:dyDescent="0.45">
      <c r="A28" s="14" t="str">
        <f>店舗マスタ!A24</f>
        <v>ＭＶ柳町店</v>
      </c>
      <c r="B28" s="15"/>
      <c r="C28" s="16">
        <f>SUMIFS(INDEX(元データ!$E$2:$H$20000,0,MATCH($C$2,元データ!$E$1:$H$1,0)),元データ!$A$2:$A$20000,$A28,元データ!$D$2:$D$20000,$C$3,元データ!$B$2:$B$20000,$C$4,元データ!$C$2:$C$20000,C$5)</f>
        <v>912225</v>
      </c>
      <c r="D28" s="16">
        <f>SUMIFS(INDEX(元データ!$E$2:$H$20000,0,MATCH($C$2,元データ!$E$1:$H$1,0)),元データ!$A$2:$A$20000,$A28,元データ!$D$2:$D$20000,$C$3,元データ!$B$2:$B$20000,$C$4,元データ!$C$2:$C$20000,D$5)</f>
        <v>809622</v>
      </c>
      <c r="E28" s="16">
        <f>SUMIFS(INDEX(元データ!$E$2:$H$20000,0,MATCH($C$2,元データ!$E$1:$H$1,0)),元データ!$A$2:$A$20000,$A28,元データ!$D$2:$D$20000,$C$3,元データ!$B$2:$B$20000,$C$4,元データ!$C$2:$C$20000,E$5)</f>
        <v>1272685</v>
      </c>
      <c r="F28" s="16">
        <f>SUMIFS(INDEX(元データ!$E$2:$H$20000,0,MATCH($C$2,元データ!$E$1:$H$1,0)),元データ!$A$2:$A$20000,$A28,元データ!$D$2:$D$20000,$C$3,元データ!$B$2:$B$20000,$C$4,元データ!$C$2:$C$20000,F$5)</f>
        <v>1029501</v>
      </c>
      <c r="G28" s="16">
        <f>SUMIFS(INDEX(元データ!$E$2:$H$20000,0,MATCH($C$2,元データ!$E$1:$H$1,0)),元データ!$A$2:$A$20000,$A28,元データ!$D$2:$D$20000,$C$3,元データ!$B$2:$B$20000,$C$4,元データ!$C$2:$C$20000,G$5)</f>
        <v>1105704</v>
      </c>
      <c r="H28" s="16">
        <f>SUMIFS(INDEX(元データ!$E$2:$H$20000,0,MATCH($C$2,元データ!$E$1:$H$1,0)),元データ!$A$2:$A$20000,$A28,元データ!$D$2:$D$20000,$C$3,元データ!$B$2:$B$20000,$C$4,元データ!$C$2:$C$20000,H$5)</f>
        <v>884406</v>
      </c>
      <c r="I28" s="16">
        <f>SUMIFS(INDEX(元データ!$E$2:$H$20000,0,MATCH($C$2,元データ!$E$1:$H$1,0)),元データ!$A$2:$A$20000,$A28,元データ!$D$2:$D$20000,$C$3,元データ!$B$2:$B$20000,$C$4,元データ!$C$2:$C$20000,I$5)</f>
        <v>749369</v>
      </c>
      <c r="J28" s="16">
        <f>SUMIFS(INDEX(元データ!$E$2:$H$20000,0,MATCH($C$2,元データ!$E$1:$H$1,0)),元データ!$A$2:$A$20000,$A28,元データ!$D$2:$D$20000,$C$3,元データ!$B$2:$B$20000,$C$4,元データ!$C$2:$C$20000,J$5)</f>
        <v>1430748</v>
      </c>
      <c r="K28" s="16">
        <f>SUMIFS(INDEX(元データ!$E$2:$H$20000,0,MATCH($C$2,元データ!$E$1:$H$1,0)),元データ!$A$2:$A$20000,$A28,元データ!$D$2:$D$20000,$C$3,元データ!$B$2:$B$20000,$C$4,元データ!$C$2:$C$20000,K$5)</f>
        <v>2225800</v>
      </c>
      <c r="L28" s="16">
        <f>SUMIFS(INDEX(元データ!$E$2:$H$20000,0,MATCH($C$2,元データ!$E$1:$H$1,0)),元データ!$A$2:$A$20000,$A28,元データ!$D$2:$D$20000,$C$3,元データ!$B$2:$B$20000,$C$4,元データ!$C$2:$C$20000,L$5)</f>
        <v>1598155</v>
      </c>
      <c r="M28" s="16">
        <f>SUMIFS(INDEX(元データ!$E$2:$H$20000,0,MATCH($C$2,元データ!$E$1:$H$1,0)),元データ!$A$2:$A$20000,$A28,元データ!$D$2:$D$20000,$C$3,元データ!$B$2:$B$20000,$C$4,元データ!$C$2:$C$20000,M$5)</f>
        <v>1466915</v>
      </c>
      <c r="N28" s="16">
        <f>SUMIFS(INDEX(元データ!$E$2:$H$20000,0,MATCH($C$2,元データ!$E$1:$H$1,0)),元データ!$A$2:$A$20000,$A28,元データ!$D$2:$D$20000,$C$3,元データ!$B$2:$B$20000,$C$4,元データ!$C$2:$C$20000,N$5)</f>
        <v>1081145</v>
      </c>
      <c r="O28" s="17">
        <f t="shared" si="0"/>
        <v>14566275</v>
      </c>
      <c r="P28" s="16">
        <f>SUMIFS(INDEX(元データ!$E$2:$H$20000,0,MATCH($C$2,元データ!$E$1:$H$1,0)),元データ!$A$2:$A$20000,$A28,元データ!$D$2:$D$20000,$C$3,元データ!$B$2:$B$20000,$P$4,元データ!$C$2:$C$20000,P$5)</f>
        <v>868789</v>
      </c>
      <c r="Q28" s="16">
        <f>SUMIFS(INDEX(元データ!$E$2:$H$20000,0,MATCH($C$2,元データ!$E$1:$H$1,0)),元データ!$A$2:$A$20000,$A28,元データ!$D$2:$D$20000,$C$3,元データ!$B$2:$B$20000,$P$4,元データ!$C$2:$C$20000,Q$5)</f>
        <v>844719</v>
      </c>
      <c r="R28" s="16">
        <f>SUMIFS(INDEX(元データ!$E$2:$H$20000,0,MATCH($C$2,元データ!$E$1:$H$1,0)),元データ!$A$2:$A$20000,$A28,元データ!$D$2:$D$20000,$C$3,元データ!$B$2:$B$20000,$P$4,元データ!$C$2:$C$20000,R$5)</f>
        <v>1354050</v>
      </c>
      <c r="S28" s="16">
        <f>SUMIFS(INDEX(元データ!$E$2:$H$20000,0,MATCH($C$2,元データ!$E$1:$H$1,0)),元データ!$A$2:$A$20000,$A28,元データ!$D$2:$D$20000,$C$3,元データ!$B$2:$B$20000,$P$4,元データ!$C$2:$C$20000,S$5)</f>
        <v>1072150</v>
      </c>
      <c r="T28" s="16">
        <f>SUMIFS(INDEX(元データ!$E$2:$H$20000,0,MATCH($C$2,元データ!$E$1:$H$1,0)),元データ!$A$2:$A$20000,$A28,元データ!$D$2:$D$20000,$C$3,元データ!$B$2:$B$20000,$P$4,元データ!$C$2:$C$20000,T$5)</f>
        <v>1065265</v>
      </c>
      <c r="U28" s="16">
        <f>SUMIFS(INDEX(元データ!$E$2:$H$20000,0,MATCH($C$2,元データ!$E$1:$H$1,0)),元データ!$A$2:$A$20000,$A28,元データ!$D$2:$D$20000,$C$3,元データ!$B$2:$B$20000,$P$4,元データ!$C$2:$C$20000,U$5)</f>
        <v>773735</v>
      </c>
      <c r="V28" s="16">
        <f>SUMIFS(INDEX(元データ!$E$2:$H$20000,0,MATCH($C$2,元データ!$E$1:$H$1,0)),元データ!$A$2:$A$20000,$A28,元データ!$D$2:$D$20000,$C$3,元データ!$B$2:$B$20000,$P$4,元データ!$C$2:$C$20000,V$5)</f>
        <v>811164</v>
      </c>
      <c r="W28" s="16">
        <f>SUMIFS(INDEX(元データ!$E$2:$H$20000,0,MATCH($C$2,元データ!$E$1:$H$1,0)),元データ!$A$2:$A$20000,$A28,元データ!$D$2:$D$20000,$C$3,元データ!$B$2:$B$20000,$P$4,元データ!$C$2:$C$20000,W$5)</f>
        <v>1623776</v>
      </c>
      <c r="X28" s="16">
        <f>SUMIFS(INDEX(元データ!$E$2:$H$20000,0,MATCH($C$2,元データ!$E$1:$H$1,0)),元データ!$A$2:$A$20000,$A28,元データ!$D$2:$D$20000,$C$3,元データ!$B$2:$B$20000,$P$4,元データ!$C$2:$C$20000,X$5)</f>
        <v>2041908</v>
      </c>
      <c r="Y28" s="16">
        <f>SUMIFS(INDEX(元データ!$E$2:$H$20000,0,MATCH($C$2,元データ!$E$1:$H$1,0)),元データ!$A$2:$A$20000,$A28,元データ!$D$2:$D$20000,$C$3,元データ!$B$2:$B$20000,$P$4,元データ!$C$2:$C$20000,Y$5)</f>
        <v>1933014</v>
      </c>
      <c r="Z28" s="16">
        <f>SUMIFS(INDEX(元データ!$E$2:$H$20000,0,MATCH($C$2,元データ!$E$1:$H$1,0)),元データ!$A$2:$A$20000,$A28,元データ!$D$2:$D$20000,$C$3,元データ!$B$2:$B$20000,$P$4,元データ!$C$2:$C$20000,Z$5)</f>
        <v>1685803</v>
      </c>
      <c r="AA28" s="16">
        <f>SUMIFS(INDEX(元データ!$E$2:$H$20000,0,MATCH($C$2,元データ!$E$1:$H$1,0)),元データ!$A$2:$A$20000,$A28,元データ!$D$2:$D$20000,$C$3,元データ!$B$2:$B$20000,$P$4,元データ!$C$2:$C$20000,AA$5)</f>
        <v>1166219</v>
      </c>
      <c r="AB28" s="17">
        <f t="shared" si="1"/>
        <v>15240592</v>
      </c>
      <c r="AC28" s="18">
        <f t="shared" si="2"/>
        <v>1.0499960289552468</v>
      </c>
      <c r="AD28" s="18">
        <f t="shared" si="3"/>
        <v>0.95845127196144519</v>
      </c>
      <c r="AE28" s="18">
        <f t="shared" si="4"/>
        <v>0.93990989992984009</v>
      </c>
      <c r="AF28" s="18">
        <f t="shared" si="5"/>
        <v>0.96022105115888634</v>
      </c>
      <c r="AG28" s="18">
        <f t="shared" si="6"/>
        <v>1.0379614462129141</v>
      </c>
      <c r="AH28" s="18">
        <f t="shared" si="7"/>
        <v>1.1430347599630364</v>
      </c>
      <c r="AI28" s="18">
        <f t="shared" si="8"/>
        <v>0.92381935095738965</v>
      </c>
      <c r="AJ28" s="18">
        <f t="shared" si="9"/>
        <v>0.88112399739865599</v>
      </c>
      <c r="AK28" s="18">
        <f t="shared" si="10"/>
        <v>1.0900589056901682</v>
      </c>
      <c r="AL28" s="18">
        <f t="shared" si="11"/>
        <v>0.826768455893232</v>
      </c>
      <c r="AM28" s="18">
        <f t="shared" si="12"/>
        <v>0.87015801964998285</v>
      </c>
      <c r="AN28" s="18">
        <f t="shared" si="13"/>
        <v>0.92705143716574678</v>
      </c>
      <c r="AO28" s="19">
        <f t="shared" si="14"/>
        <v>0.95575519638607209</v>
      </c>
    </row>
    <row r="29" spans="1:41" x14ac:dyDescent="0.45">
      <c r="A29" s="14" t="str">
        <f>店舗マスタ!A25</f>
        <v>清水町工場店</v>
      </c>
      <c r="B29" s="15"/>
      <c r="C29" s="16">
        <f>SUMIFS(INDEX(元データ!$E$2:$H$20000,0,MATCH($C$2,元データ!$E$1:$H$1,0)),元データ!$A$2:$A$20000,$A29,元データ!$D$2:$D$20000,$C$3,元データ!$B$2:$B$20000,$C$4,元データ!$C$2:$C$20000,C$5)</f>
        <v>2717211</v>
      </c>
      <c r="D29" s="16">
        <f>SUMIFS(INDEX(元データ!$E$2:$H$20000,0,MATCH($C$2,元データ!$E$1:$H$1,0)),元データ!$A$2:$A$20000,$A29,元データ!$D$2:$D$20000,$C$3,元データ!$B$2:$B$20000,$C$4,元データ!$C$2:$C$20000,D$5)</f>
        <v>2623971</v>
      </c>
      <c r="E29" s="16">
        <f>SUMIFS(INDEX(元データ!$E$2:$H$20000,0,MATCH($C$2,元データ!$E$1:$H$1,0)),元データ!$A$2:$A$20000,$A29,元データ!$D$2:$D$20000,$C$3,元データ!$B$2:$B$20000,$C$4,元データ!$C$2:$C$20000,E$5)</f>
        <v>3380719</v>
      </c>
      <c r="F29" s="16">
        <f>SUMIFS(INDEX(元データ!$E$2:$H$20000,0,MATCH($C$2,元データ!$E$1:$H$1,0)),元データ!$A$2:$A$20000,$A29,元データ!$D$2:$D$20000,$C$3,元データ!$B$2:$B$20000,$C$4,元データ!$C$2:$C$20000,F$5)</f>
        <v>3135367</v>
      </c>
      <c r="G29" s="16">
        <f>SUMIFS(INDEX(元データ!$E$2:$H$20000,0,MATCH($C$2,元データ!$E$1:$H$1,0)),元データ!$A$2:$A$20000,$A29,元データ!$D$2:$D$20000,$C$3,元データ!$B$2:$B$20000,$C$4,元データ!$C$2:$C$20000,G$5)</f>
        <v>2990024</v>
      </c>
      <c r="H29" s="16">
        <f>SUMIFS(INDEX(元データ!$E$2:$H$20000,0,MATCH($C$2,元データ!$E$1:$H$1,0)),元データ!$A$2:$A$20000,$A29,元データ!$D$2:$D$20000,$C$3,元データ!$B$2:$B$20000,$C$4,元データ!$C$2:$C$20000,H$5)</f>
        <v>2338945</v>
      </c>
      <c r="I29" s="16">
        <f>SUMIFS(INDEX(元データ!$E$2:$H$20000,0,MATCH($C$2,元データ!$E$1:$H$1,0)),元データ!$A$2:$A$20000,$A29,元データ!$D$2:$D$20000,$C$3,元データ!$B$2:$B$20000,$C$4,元データ!$C$2:$C$20000,I$5)</f>
        <v>2142053</v>
      </c>
      <c r="J29" s="16">
        <f>SUMIFS(INDEX(元データ!$E$2:$H$20000,0,MATCH($C$2,元データ!$E$1:$H$1,0)),元データ!$A$2:$A$20000,$A29,元データ!$D$2:$D$20000,$C$3,元データ!$B$2:$B$20000,$C$4,元データ!$C$2:$C$20000,J$5)</f>
        <v>3711940</v>
      </c>
      <c r="K29" s="16">
        <f>SUMIFS(INDEX(元データ!$E$2:$H$20000,0,MATCH($C$2,元データ!$E$1:$H$1,0)),元データ!$A$2:$A$20000,$A29,元データ!$D$2:$D$20000,$C$3,元データ!$B$2:$B$20000,$C$4,元データ!$C$2:$C$20000,K$5)</f>
        <v>6143848</v>
      </c>
      <c r="L29" s="16">
        <f>SUMIFS(INDEX(元データ!$E$2:$H$20000,0,MATCH($C$2,元データ!$E$1:$H$1,0)),元データ!$A$2:$A$20000,$A29,元データ!$D$2:$D$20000,$C$3,元データ!$B$2:$B$20000,$C$4,元データ!$C$2:$C$20000,L$5)</f>
        <v>4425419</v>
      </c>
      <c r="M29" s="16">
        <f>SUMIFS(INDEX(元データ!$E$2:$H$20000,0,MATCH($C$2,元データ!$E$1:$H$1,0)),元データ!$A$2:$A$20000,$A29,元データ!$D$2:$D$20000,$C$3,元データ!$B$2:$B$20000,$C$4,元データ!$C$2:$C$20000,M$5)</f>
        <v>4114381</v>
      </c>
      <c r="N29" s="16">
        <f>SUMIFS(INDEX(元データ!$E$2:$H$20000,0,MATCH($C$2,元データ!$E$1:$H$1,0)),元データ!$A$2:$A$20000,$A29,元データ!$D$2:$D$20000,$C$3,元データ!$B$2:$B$20000,$C$4,元データ!$C$2:$C$20000,N$5)</f>
        <v>3163233</v>
      </c>
      <c r="O29" s="17">
        <f t="shared" si="0"/>
        <v>40887111</v>
      </c>
      <c r="P29" s="16">
        <f>SUMIFS(INDEX(元データ!$E$2:$H$20000,0,MATCH($C$2,元データ!$E$1:$H$1,0)),元データ!$A$2:$A$20000,$A29,元データ!$D$2:$D$20000,$C$3,元データ!$B$2:$B$20000,$P$4,元データ!$C$2:$C$20000,P$5)</f>
        <v>2089202</v>
      </c>
      <c r="Q29" s="16">
        <f>SUMIFS(INDEX(元データ!$E$2:$H$20000,0,MATCH($C$2,元データ!$E$1:$H$1,0)),元データ!$A$2:$A$20000,$A29,元データ!$D$2:$D$20000,$C$3,元データ!$B$2:$B$20000,$P$4,元データ!$C$2:$C$20000,Q$5)</f>
        <v>2072885</v>
      </c>
      <c r="R29" s="16">
        <f>SUMIFS(INDEX(元データ!$E$2:$H$20000,0,MATCH($C$2,元データ!$E$1:$H$1,0)),元データ!$A$2:$A$20000,$A29,元データ!$D$2:$D$20000,$C$3,元データ!$B$2:$B$20000,$P$4,元データ!$C$2:$C$20000,R$5)</f>
        <v>3028145</v>
      </c>
      <c r="S29" s="16">
        <f>SUMIFS(INDEX(元データ!$E$2:$H$20000,0,MATCH($C$2,元データ!$E$1:$H$1,0)),元データ!$A$2:$A$20000,$A29,元データ!$D$2:$D$20000,$C$3,元データ!$B$2:$B$20000,$P$4,元データ!$C$2:$C$20000,S$5)</f>
        <v>2542211</v>
      </c>
      <c r="T29" s="16">
        <f>SUMIFS(INDEX(元データ!$E$2:$H$20000,0,MATCH($C$2,元データ!$E$1:$H$1,0)),元データ!$A$2:$A$20000,$A29,元データ!$D$2:$D$20000,$C$3,元データ!$B$2:$B$20000,$P$4,元データ!$C$2:$C$20000,T$5)</f>
        <v>3074533</v>
      </c>
      <c r="U29" s="16">
        <f>SUMIFS(INDEX(元データ!$E$2:$H$20000,0,MATCH($C$2,元データ!$E$1:$H$1,0)),元データ!$A$2:$A$20000,$A29,元データ!$D$2:$D$20000,$C$3,元データ!$B$2:$B$20000,$P$4,元データ!$C$2:$C$20000,U$5)</f>
        <v>2370602</v>
      </c>
      <c r="V29" s="16">
        <f>SUMIFS(INDEX(元データ!$E$2:$H$20000,0,MATCH($C$2,元データ!$E$1:$H$1,0)),元データ!$A$2:$A$20000,$A29,元データ!$D$2:$D$20000,$C$3,元データ!$B$2:$B$20000,$P$4,元データ!$C$2:$C$20000,V$5)</f>
        <v>2347475</v>
      </c>
      <c r="W29" s="16">
        <f>SUMIFS(INDEX(元データ!$E$2:$H$20000,0,MATCH($C$2,元データ!$E$1:$H$1,0)),元データ!$A$2:$A$20000,$A29,元データ!$D$2:$D$20000,$C$3,元データ!$B$2:$B$20000,$P$4,元データ!$C$2:$C$20000,W$5)</f>
        <v>4505635</v>
      </c>
      <c r="X29" s="16">
        <f>SUMIFS(INDEX(元データ!$E$2:$H$20000,0,MATCH($C$2,元データ!$E$1:$H$1,0)),元データ!$A$2:$A$20000,$A29,元データ!$D$2:$D$20000,$C$3,元データ!$B$2:$B$20000,$P$4,元データ!$C$2:$C$20000,X$5)</f>
        <v>5699982</v>
      </c>
      <c r="Y29" s="16">
        <f>SUMIFS(INDEX(元データ!$E$2:$H$20000,0,MATCH($C$2,元データ!$E$1:$H$1,0)),元データ!$A$2:$A$20000,$A29,元データ!$D$2:$D$20000,$C$3,元データ!$B$2:$B$20000,$P$4,元データ!$C$2:$C$20000,Y$5)</f>
        <v>5156660</v>
      </c>
      <c r="Z29" s="16">
        <f>SUMIFS(INDEX(元データ!$E$2:$H$20000,0,MATCH($C$2,元データ!$E$1:$H$1,0)),元データ!$A$2:$A$20000,$A29,元データ!$D$2:$D$20000,$C$3,元データ!$B$2:$B$20000,$P$4,元データ!$C$2:$C$20000,Z$5)</f>
        <v>4439637</v>
      </c>
      <c r="AA29" s="16">
        <f>SUMIFS(INDEX(元データ!$E$2:$H$20000,0,MATCH($C$2,元データ!$E$1:$H$1,0)),元データ!$A$2:$A$20000,$A29,元データ!$D$2:$D$20000,$C$3,元データ!$B$2:$B$20000,$P$4,元データ!$C$2:$C$20000,AA$5)</f>
        <v>3202428</v>
      </c>
      <c r="AB29" s="17">
        <f t="shared" si="1"/>
        <v>40529395</v>
      </c>
      <c r="AC29" s="18">
        <f t="shared" si="2"/>
        <v>1.3005975487291319</v>
      </c>
      <c r="AD29" s="18">
        <f t="shared" si="3"/>
        <v>1.2658545939596264</v>
      </c>
      <c r="AE29" s="18">
        <f t="shared" si="4"/>
        <v>1.1164323372890004</v>
      </c>
      <c r="AF29" s="18">
        <f t="shared" si="5"/>
        <v>1.2333228831123775</v>
      </c>
      <c r="AG29" s="18">
        <f t="shared" si="6"/>
        <v>0.97251322395954121</v>
      </c>
      <c r="AH29" s="18">
        <f t="shared" si="7"/>
        <v>0.98664600806039982</v>
      </c>
      <c r="AI29" s="18">
        <f t="shared" si="8"/>
        <v>0.91249235881106294</v>
      </c>
      <c r="AJ29" s="18">
        <f t="shared" si="9"/>
        <v>0.8238439198914248</v>
      </c>
      <c r="AK29" s="18">
        <f t="shared" si="10"/>
        <v>1.0778714739800932</v>
      </c>
      <c r="AL29" s="18">
        <f t="shared" si="11"/>
        <v>0.85819483929520268</v>
      </c>
      <c r="AM29" s="18">
        <f t="shared" si="12"/>
        <v>0.92673815449326147</v>
      </c>
      <c r="AN29" s="18">
        <f t="shared" si="13"/>
        <v>0.9877608489558547</v>
      </c>
      <c r="AO29" s="19">
        <f t="shared" si="14"/>
        <v>1.0088260878308202</v>
      </c>
    </row>
    <row r="30" spans="1:41" x14ac:dyDescent="0.45">
      <c r="A30" s="14" t="str">
        <f>店舗マスタ!A26</f>
        <v>オギノ大坂店</v>
      </c>
      <c r="B30" s="15"/>
      <c r="C30" s="16">
        <f>SUMIFS(INDEX(元データ!$E$2:$H$20000,0,MATCH($C$2,元データ!$E$1:$H$1,0)),元データ!$A$2:$A$20000,$A30,元データ!$D$2:$D$20000,$C$3,元データ!$B$2:$B$20000,$C$4,元データ!$C$2:$C$20000,C$5)</f>
        <v>898206</v>
      </c>
      <c r="D30" s="16">
        <f>SUMIFS(INDEX(元データ!$E$2:$H$20000,0,MATCH($C$2,元データ!$E$1:$H$1,0)),元データ!$A$2:$A$20000,$A30,元データ!$D$2:$D$20000,$C$3,元データ!$B$2:$B$20000,$C$4,元データ!$C$2:$C$20000,D$5)</f>
        <v>756168</v>
      </c>
      <c r="E30" s="16">
        <f>SUMIFS(INDEX(元データ!$E$2:$H$20000,0,MATCH($C$2,元データ!$E$1:$H$1,0)),元データ!$A$2:$A$20000,$A30,元データ!$D$2:$D$20000,$C$3,元データ!$B$2:$B$20000,$C$4,元データ!$C$2:$C$20000,E$5)</f>
        <v>1154037</v>
      </c>
      <c r="F30" s="16">
        <f>SUMIFS(INDEX(元データ!$E$2:$H$20000,0,MATCH($C$2,元データ!$E$1:$H$1,0)),元データ!$A$2:$A$20000,$A30,元データ!$D$2:$D$20000,$C$3,元データ!$B$2:$B$20000,$C$4,元データ!$C$2:$C$20000,F$5)</f>
        <v>850822</v>
      </c>
      <c r="G30" s="16">
        <f>SUMIFS(INDEX(元データ!$E$2:$H$20000,0,MATCH($C$2,元データ!$E$1:$H$1,0)),元データ!$A$2:$A$20000,$A30,元データ!$D$2:$D$20000,$C$3,元データ!$B$2:$B$20000,$C$4,元データ!$C$2:$C$20000,G$5)</f>
        <v>977901</v>
      </c>
      <c r="H30" s="16">
        <f>SUMIFS(INDEX(元データ!$E$2:$H$20000,0,MATCH($C$2,元データ!$E$1:$H$1,0)),元データ!$A$2:$A$20000,$A30,元データ!$D$2:$D$20000,$C$3,元データ!$B$2:$B$20000,$C$4,元データ!$C$2:$C$20000,H$5)</f>
        <v>801075</v>
      </c>
      <c r="I30" s="16">
        <f>SUMIFS(INDEX(元データ!$E$2:$H$20000,0,MATCH($C$2,元データ!$E$1:$H$1,0)),元データ!$A$2:$A$20000,$A30,元データ!$D$2:$D$20000,$C$3,元データ!$B$2:$B$20000,$C$4,元データ!$C$2:$C$20000,I$5)</f>
        <v>641300</v>
      </c>
      <c r="J30" s="16">
        <f>SUMIFS(INDEX(元データ!$E$2:$H$20000,0,MATCH($C$2,元データ!$E$1:$H$1,0)),元データ!$A$2:$A$20000,$A30,元データ!$D$2:$D$20000,$C$3,元データ!$B$2:$B$20000,$C$4,元データ!$C$2:$C$20000,J$5)</f>
        <v>1322767</v>
      </c>
      <c r="K30" s="16">
        <f>SUMIFS(INDEX(元データ!$E$2:$H$20000,0,MATCH($C$2,元データ!$E$1:$H$1,0)),元データ!$A$2:$A$20000,$A30,元データ!$D$2:$D$20000,$C$3,元データ!$B$2:$B$20000,$C$4,元データ!$C$2:$C$20000,K$5)</f>
        <v>1901793</v>
      </c>
      <c r="L30" s="16">
        <f>SUMIFS(INDEX(元データ!$E$2:$H$20000,0,MATCH($C$2,元データ!$E$1:$H$1,0)),元データ!$A$2:$A$20000,$A30,元データ!$D$2:$D$20000,$C$3,元データ!$B$2:$B$20000,$C$4,元データ!$C$2:$C$20000,L$5)</f>
        <v>1196065</v>
      </c>
      <c r="M30" s="16">
        <f>SUMIFS(INDEX(元データ!$E$2:$H$20000,0,MATCH($C$2,元データ!$E$1:$H$1,0)),元データ!$A$2:$A$20000,$A30,元データ!$D$2:$D$20000,$C$3,元データ!$B$2:$B$20000,$C$4,元データ!$C$2:$C$20000,M$5)</f>
        <v>1382482</v>
      </c>
      <c r="N30" s="16">
        <f>SUMIFS(INDEX(元データ!$E$2:$H$20000,0,MATCH($C$2,元データ!$E$1:$H$1,0)),元データ!$A$2:$A$20000,$A30,元データ!$D$2:$D$20000,$C$3,元データ!$B$2:$B$20000,$C$4,元データ!$C$2:$C$20000,N$5)</f>
        <v>1141094</v>
      </c>
      <c r="O30" s="17">
        <f t="shared" si="0"/>
        <v>13023710</v>
      </c>
      <c r="P30" s="16">
        <f>SUMIFS(INDEX(元データ!$E$2:$H$20000,0,MATCH($C$2,元データ!$E$1:$H$1,0)),元データ!$A$2:$A$20000,$A30,元データ!$D$2:$D$20000,$C$3,元データ!$B$2:$B$20000,$P$4,元データ!$C$2:$C$20000,P$5)</f>
        <v>899818</v>
      </c>
      <c r="Q30" s="16">
        <f>SUMIFS(INDEX(元データ!$E$2:$H$20000,0,MATCH($C$2,元データ!$E$1:$H$1,0)),元データ!$A$2:$A$20000,$A30,元データ!$D$2:$D$20000,$C$3,元データ!$B$2:$B$20000,$P$4,元データ!$C$2:$C$20000,Q$5)</f>
        <v>913756</v>
      </c>
      <c r="R30" s="16">
        <f>SUMIFS(INDEX(元データ!$E$2:$H$20000,0,MATCH($C$2,元データ!$E$1:$H$1,0)),元データ!$A$2:$A$20000,$A30,元データ!$D$2:$D$20000,$C$3,元データ!$B$2:$B$20000,$P$4,元データ!$C$2:$C$20000,R$5)</f>
        <v>1445020</v>
      </c>
      <c r="S30" s="16">
        <f>SUMIFS(INDEX(元データ!$E$2:$H$20000,0,MATCH($C$2,元データ!$E$1:$H$1,0)),元データ!$A$2:$A$20000,$A30,元データ!$D$2:$D$20000,$C$3,元データ!$B$2:$B$20000,$P$4,元データ!$C$2:$C$20000,S$5)</f>
        <v>832725</v>
      </c>
      <c r="T30" s="16">
        <f>SUMIFS(INDEX(元データ!$E$2:$H$20000,0,MATCH($C$2,元データ!$E$1:$H$1,0)),元データ!$A$2:$A$20000,$A30,元データ!$D$2:$D$20000,$C$3,元データ!$B$2:$B$20000,$P$4,元データ!$C$2:$C$20000,T$5)</f>
        <v>967687</v>
      </c>
      <c r="U30" s="16">
        <f>SUMIFS(INDEX(元データ!$E$2:$H$20000,0,MATCH($C$2,元データ!$E$1:$H$1,0)),元データ!$A$2:$A$20000,$A30,元データ!$D$2:$D$20000,$C$3,元データ!$B$2:$B$20000,$P$4,元データ!$C$2:$C$20000,U$5)</f>
        <v>661705</v>
      </c>
      <c r="V30" s="16">
        <f>SUMIFS(INDEX(元データ!$E$2:$H$20000,0,MATCH($C$2,元データ!$E$1:$H$1,0)),元データ!$A$2:$A$20000,$A30,元データ!$D$2:$D$20000,$C$3,元データ!$B$2:$B$20000,$P$4,元データ!$C$2:$C$20000,V$5)</f>
        <v>660362</v>
      </c>
      <c r="W30" s="16">
        <f>SUMIFS(INDEX(元データ!$E$2:$H$20000,0,MATCH($C$2,元データ!$E$1:$H$1,0)),元データ!$A$2:$A$20000,$A30,元データ!$D$2:$D$20000,$C$3,元データ!$B$2:$B$20000,$P$4,元データ!$C$2:$C$20000,W$5)</f>
        <v>1354831</v>
      </c>
      <c r="X30" s="16">
        <f>SUMIFS(INDEX(元データ!$E$2:$H$20000,0,MATCH($C$2,元データ!$E$1:$H$1,0)),元データ!$A$2:$A$20000,$A30,元データ!$D$2:$D$20000,$C$3,元データ!$B$2:$B$20000,$P$4,元データ!$C$2:$C$20000,X$5)</f>
        <v>1997615</v>
      </c>
      <c r="Y30" s="16">
        <f>SUMIFS(INDEX(元データ!$E$2:$H$20000,0,MATCH($C$2,元データ!$E$1:$H$1,0)),元データ!$A$2:$A$20000,$A30,元データ!$D$2:$D$20000,$C$3,元データ!$B$2:$B$20000,$P$4,元データ!$C$2:$C$20000,Y$5)</f>
        <v>1573154</v>
      </c>
      <c r="Z30" s="16">
        <f>SUMIFS(INDEX(元データ!$E$2:$H$20000,0,MATCH($C$2,元データ!$E$1:$H$1,0)),元データ!$A$2:$A$20000,$A30,元データ!$D$2:$D$20000,$C$3,元データ!$B$2:$B$20000,$P$4,元データ!$C$2:$C$20000,Z$5)</f>
        <v>1392010</v>
      </c>
      <c r="AA30" s="16">
        <f>SUMIFS(INDEX(元データ!$E$2:$H$20000,0,MATCH($C$2,元データ!$E$1:$H$1,0)),元データ!$A$2:$A$20000,$A30,元データ!$D$2:$D$20000,$C$3,元データ!$B$2:$B$20000,$P$4,元データ!$C$2:$C$20000,AA$5)</f>
        <v>1236029</v>
      </c>
      <c r="AB30" s="17">
        <f t="shared" si="1"/>
        <v>13934712</v>
      </c>
      <c r="AC30" s="18">
        <f t="shared" si="2"/>
        <v>0.99820852661315951</v>
      </c>
      <c r="AD30" s="18">
        <f t="shared" si="3"/>
        <v>0.82753820494749142</v>
      </c>
      <c r="AE30" s="18">
        <f t="shared" si="4"/>
        <v>0.79863046878243904</v>
      </c>
      <c r="AF30" s="18">
        <f t="shared" si="5"/>
        <v>1.0217322645531237</v>
      </c>
      <c r="AG30" s="18">
        <f t="shared" si="6"/>
        <v>1.010555065842571</v>
      </c>
      <c r="AH30" s="18">
        <f t="shared" si="7"/>
        <v>1.2106225583908237</v>
      </c>
      <c r="AI30" s="18">
        <f t="shared" si="8"/>
        <v>0.97113401437393432</v>
      </c>
      <c r="AJ30" s="18">
        <f t="shared" si="9"/>
        <v>0.97633357961251255</v>
      </c>
      <c r="AK30" s="18">
        <f t="shared" si="10"/>
        <v>0.95203179791901837</v>
      </c>
      <c r="AL30" s="18">
        <f t="shared" si="11"/>
        <v>0.76029746610948457</v>
      </c>
      <c r="AM30" s="18">
        <f t="shared" si="12"/>
        <v>0.99315522158605185</v>
      </c>
      <c r="AN30" s="18">
        <f t="shared" si="13"/>
        <v>0.92319354966590594</v>
      </c>
      <c r="AO30" s="19">
        <f t="shared" si="14"/>
        <v>0.93462355016738052</v>
      </c>
    </row>
    <row r="31" spans="1:41" x14ac:dyDescent="0.45">
      <c r="A31" s="14" t="str">
        <f>店舗マスタ!A27</f>
        <v>三島徳倉店</v>
      </c>
      <c r="B31" s="15"/>
      <c r="C31" s="16">
        <f>SUMIFS(INDEX(元データ!$E$2:$H$20000,0,MATCH($C$2,元データ!$E$1:$H$1,0)),元データ!$A$2:$A$20000,$A31,元データ!$D$2:$D$20000,$C$3,元データ!$B$2:$B$20000,$C$4,元データ!$C$2:$C$20000,C$5)</f>
        <v>438081</v>
      </c>
      <c r="D31" s="16">
        <f>SUMIFS(INDEX(元データ!$E$2:$H$20000,0,MATCH($C$2,元データ!$E$1:$H$1,0)),元データ!$A$2:$A$20000,$A31,元データ!$D$2:$D$20000,$C$3,元データ!$B$2:$B$20000,$C$4,元データ!$C$2:$C$20000,D$5)</f>
        <v>517721</v>
      </c>
      <c r="E31" s="16">
        <f>SUMIFS(INDEX(元データ!$E$2:$H$20000,0,MATCH($C$2,元データ!$E$1:$H$1,0)),元データ!$A$2:$A$20000,$A31,元データ!$D$2:$D$20000,$C$3,元データ!$B$2:$B$20000,$C$4,元データ!$C$2:$C$20000,E$5)</f>
        <v>678105</v>
      </c>
      <c r="F31" s="16">
        <f>SUMIFS(INDEX(元データ!$E$2:$H$20000,0,MATCH($C$2,元データ!$E$1:$H$1,0)),元データ!$A$2:$A$20000,$A31,元データ!$D$2:$D$20000,$C$3,元データ!$B$2:$B$20000,$C$4,元データ!$C$2:$C$20000,F$5)</f>
        <v>542668</v>
      </c>
      <c r="G31" s="16">
        <f>SUMIFS(INDEX(元データ!$E$2:$H$20000,0,MATCH($C$2,元データ!$E$1:$H$1,0)),元データ!$A$2:$A$20000,$A31,元データ!$D$2:$D$20000,$C$3,元データ!$B$2:$B$20000,$C$4,元データ!$C$2:$C$20000,G$5)</f>
        <v>544133</v>
      </c>
      <c r="H31" s="16">
        <f>SUMIFS(INDEX(元データ!$E$2:$H$20000,0,MATCH($C$2,元データ!$E$1:$H$1,0)),元データ!$A$2:$A$20000,$A31,元データ!$D$2:$D$20000,$C$3,元データ!$B$2:$B$20000,$C$4,元データ!$C$2:$C$20000,H$5)</f>
        <v>471858</v>
      </c>
      <c r="I31" s="16">
        <f>SUMIFS(INDEX(元データ!$E$2:$H$20000,0,MATCH($C$2,元データ!$E$1:$H$1,0)),元データ!$A$2:$A$20000,$A31,元データ!$D$2:$D$20000,$C$3,元データ!$B$2:$B$20000,$C$4,元データ!$C$2:$C$20000,I$5)</f>
        <v>358575</v>
      </c>
      <c r="J31" s="16">
        <f>SUMIFS(INDEX(元データ!$E$2:$H$20000,0,MATCH($C$2,元データ!$E$1:$H$1,0)),元データ!$A$2:$A$20000,$A31,元データ!$D$2:$D$20000,$C$3,元データ!$B$2:$B$20000,$C$4,元データ!$C$2:$C$20000,J$5)</f>
        <v>827961</v>
      </c>
      <c r="K31" s="16">
        <f>SUMIFS(INDEX(元データ!$E$2:$H$20000,0,MATCH($C$2,元データ!$E$1:$H$1,0)),元データ!$A$2:$A$20000,$A31,元データ!$D$2:$D$20000,$C$3,元データ!$B$2:$B$20000,$C$4,元データ!$C$2:$C$20000,K$5)</f>
        <v>1139994</v>
      </c>
      <c r="L31" s="16">
        <f>SUMIFS(INDEX(元データ!$E$2:$H$20000,0,MATCH($C$2,元データ!$E$1:$H$1,0)),元データ!$A$2:$A$20000,$A31,元データ!$D$2:$D$20000,$C$3,元データ!$B$2:$B$20000,$C$4,元データ!$C$2:$C$20000,L$5)</f>
        <v>1031857</v>
      </c>
      <c r="M31" s="16">
        <f>SUMIFS(INDEX(元データ!$E$2:$H$20000,0,MATCH($C$2,元データ!$E$1:$H$1,0)),元データ!$A$2:$A$20000,$A31,元データ!$D$2:$D$20000,$C$3,元データ!$B$2:$B$20000,$C$4,元データ!$C$2:$C$20000,M$5)</f>
        <v>697275</v>
      </c>
      <c r="N31" s="16">
        <f>SUMIFS(INDEX(元データ!$E$2:$H$20000,0,MATCH($C$2,元データ!$E$1:$H$1,0)),元データ!$A$2:$A$20000,$A31,元データ!$D$2:$D$20000,$C$3,元データ!$B$2:$B$20000,$C$4,元データ!$C$2:$C$20000,N$5)</f>
        <v>646694</v>
      </c>
      <c r="O31" s="17">
        <f t="shared" si="0"/>
        <v>7894922</v>
      </c>
      <c r="P31" s="16">
        <f>SUMIFS(INDEX(元データ!$E$2:$H$20000,0,MATCH($C$2,元データ!$E$1:$H$1,0)),元データ!$A$2:$A$20000,$A31,元データ!$D$2:$D$20000,$C$3,元データ!$B$2:$B$20000,$P$4,元データ!$C$2:$C$20000,P$5)</f>
        <v>433579</v>
      </c>
      <c r="Q31" s="16">
        <f>SUMIFS(INDEX(元データ!$E$2:$H$20000,0,MATCH($C$2,元データ!$E$1:$H$1,0)),元データ!$A$2:$A$20000,$A31,元データ!$D$2:$D$20000,$C$3,元データ!$B$2:$B$20000,$P$4,元データ!$C$2:$C$20000,Q$5)</f>
        <v>428066</v>
      </c>
      <c r="R31" s="16">
        <f>SUMIFS(INDEX(元データ!$E$2:$H$20000,0,MATCH($C$2,元データ!$E$1:$H$1,0)),元データ!$A$2:$A$20000,$A31,元データ!$D$2:$D$20000,$C$3,元データ!$B$2:$B$20000,$P$4,元データ!$C$2:$C$20000,R$5)</f>
        <v>659127</v>
      </c>
      <c r="S31" s="16">
        <f>SUMIFS(INDEX(元データ!$E$2:$H$20000,0,MATCH($C$2,元データ!$E$1:$H$1,0)),元データ!$A$2:$A$20000,$A31,元データ!$D$2:$D$20000,$C$3,元データ!$B$2:$B$20000,$P$4,元データ!$C$2:$C$20000,S$5)</f>
        <v>500992</v>
      </c>
      <c r="T31" s="16">
        <f>SUMIFS(INDEX(元データ!$E$2:$H$20000,0,MATCH($C$2,元データ!$E$1:$H$1,0)),元データ!$A$2:$A$20000,$A31,元データ!$D$2:$D$20000,$C$3,元データ!$B$2:$B$20000,$P$4,元データ!$C$2:$C$20000,T$5)</f>
        <v>576257</v>
      </c>
      <c r="U31" s="16">
        <f>SUMIFS(INDEX(元データ!$E$2:$H$20000,0,MATCH($C$2,元データ!$E$1:$H$1,0)),元データ!$A$2:$A$20000,$A31,元データ!$D$2:$D$20000,$C$3,元データ!$B$2:$B$20000,$P$4,元データ!$C$2:$C$20000,U$5)</f>
        <v>450249</v>
      </c>
      <c r="V31" s="16">
        <f>SUMIFS(INDEX(元データ!$E$2:$H$20000,0,MATCH($C$2,元データ!$E$1:$H$1,0)),元データ!$A$2:$A$20000,$A31,元データ!$D$2:$D$20000,$C$3,元データ!$B$2:$B$20000,$P$4,元データ!$C$2:$C$20000,V$5)</f>
        <v>321447</v>
      </c>
      <c r="W31" s="16">
        <f>SUMIFS(INDEX(元データ!$E$2:$H$20000,0,MATCH($C$2,元データ!$E$1:$H$1,0)),元データ!$A$2:$A$20000,$A31,元データ!$D$2:$D$20000,$C$3,元データ!$B$2:$B$20000,$P$4,元データ!$C$2:$C$20000,W$5)</f>
        <v>878301</v>
      </c>
      <c r="X31" s="16">
        <f>SUMIFS(INDEX(元データ!$E$2:$H$20000,0,MATCH($C$2,元データ!$E$1:$H$1,0)),元データ!$A$2:$A$20000,$A31,元データ!$D$2:$D$20000,$C$3,元データ!$B$2:$B$20000,$P$4,元データ!$C$2:$C$20000,X$5)</f>
        <v>1137576</v>
      </c>
      <c r="Y31" s="16">
        <f>SUMIFS(INDEX(元データ!$E$2:$H$20000,0,MATCH($C$2,元データ!$E$1:$H$1,0)),元データ!$A$2:$A$20000,$A31,元データ!$D$2:$D$20000,$C$3,元データ!$B$2:$B$20000,$P$4,元データ!$C$2:$C$20000,Y$5)</f>
        <v>1063986</v>
      </c>
      <c r="Z31" s="16">
        <f>SUMIFS(INDEX(元データ!$E$2:$H$20000,0,MATCH($C$2,元データ!$E$1:$H$1,0)),元データ!$A$2:$A$20000,$A31,元データ!$D$2:$D$20000,$C$3,元データ!$B$2:$B$20000,$P$4,元データ!$C$2:$C$20000,Z$5)</f>
        <v>924914</v>
      </c>
      <c r="AA31" s="16">
        <f>SUMIFS(INDEX(元データ!$E$2:$H$20000,0,MATCH($C$2,元データ!$E$1:$H$1,0)),元データ!$A$2:$A$20000,$A31,元データ!$D$2:$D$20000,$C$3,元データ!$B$2:$B$20000,$P$4,元データ!$C$2:$C$20000,AA$5)</f>
        <v>639589</v>
      </c>
      <c r="AB31" s="17">
        <f t="shared" si="1"/>
        <v>8014083</v>
      </c>
      <c r="AC31" s="18">
        <f t="shared" si="2"/>
        <v>1.0103833442117816</v>
      </c>
      <c r="AD31" s="18">
        <f t="shared" si="3"/>
        <v>1.2094420019342811</v>
      </c>
      <c r="AE31" s="18">
        <f t="shared" si="4"/>
        <v>1.0287926302518331</v>
      </c>
      <c r="AF31" s="18">
        <f t="shared" si="5"/>
        <v>1.0831869570771588</v>
      </c>
      <c r="AG31" s="18">
        <f t="shared" si="6"/>
        <v>0.9442540394303236</v>
      </c>
      <c r="AH31" s="18">
        <f t="shared" si="7"/>
        <v>1.0479934436278593</v>
      </c>
      <c r="AI31" s="18">
        <f t="shared" si="8"/>
        <v>1.1155027111778926</v>
      </c>
      <c r="AJ31" s="18">
        <f t="shared" si="9"/>
        <v>0.94268479712535902</v>
      </c>
      <c r="AK31" s="18">
        <f t="shared" si="10"/>
        <v>1.0021255722694571</v>
      </c>
      <c r="AL31" s="18">
        <f t="shared" si="11"/>
        <v>0.96980317410191486</v>
      </c>
      <c r="AM31" s="18">
        <f t="shared" si="12"/>
        <v>0.75388090135947772</v>
      </c>
      <c r="AN31" s="18">
        <f t="shared" si="13"/>
        <v>1.0111086963659475</v>
      </c>
      <c r="AO31" s="19">
        <f t="shared" si="14"/>
        <v>0.98513104992798306</v>
      </c>
    </row>
    <row r="32" spans="1:41" x14ac:dyDescent="0.45">
      <c r="A32" s="14" t="str">
        <f>店舗マスタ!A28</f>
        <v>西沢田店</v>
      </c>
      <c r="B32" s="15"/>
      <c r="C32" s="16">
        <f>SUMIFS(INDEX(元データ!$E$2:$H$20000,0,MATCH($C$2,元データ!$E$1:$H$1,0)),元データ!$A$2:$A$20000,$A32,元データ!$D$2:$D$20000,$C$3,元データ!$B$2:$B$20000,$C$4,元データ!$C$2:$C$20000,C$5)</f>
        <v>782195</v>
      </c>
      <c r="D32" s="16">
        <f>SUMIFS(INDEX(元データ!$E$2:$H$20000,0,MATCH($C$2,元データ!$E$1:$H$1,0)),元データ!$A$2:$A$20000,$A32,元データ!$D$2:$D$20000,$C$3,元データ!$B$2:$B$20000,$C$4,元データ!$C$2:$C$20000,D$5)</f>
        <v>885306</v>
      </c>
      <c r="E32" s="16">
        <f>SUMIFS(INDEX(元データ!$E$2:$H$20000,0,MATCH($C$2,元データ!$E$1:$H$1,0)),元データ!$A$2:$A$20000,$A32,元データ!$D$2:$D$20000,$C$3,元データ!$B$2:$B$20000,$C$4,元データ!$C$2:$C$20000,E$5)</f>
        <v>1133175</v>
      </c>
      <c r="F32" s="16">
        <f>SUMIFS(INDEX(元データ!$E$2:$H$20000,0,MATCH($C$2,元データ!$E$1:$H$1,0)),元データ!$A$2:$A$20000,$A32,元データ!$D$2:$D$20000,$C$3,元データ!$B$2:$B$20000,$C$4,元データ!$C$2:$C$20000,F$5)</f>
        <v>929813</v>
      </c>
      <c r="G32" s="16">
        <f>SUMIFS(INDEX(元データ!$E$2:$H$20000,0,MATCH($C$2,元データ!$E$1:$H$1,0)),元データ!$A$2:$A$20000,$A32,元データ!$D$2:$D$20000,$C$3,元データ!$B$2:$B$20000,$C$4,元データ!$C$2:$C$20000,G$5)</f>
        <v>992499</v>
      </c>
      <c r="H32" s="16">
        <f>SUMIFS(INDEX(元データ!$E$2:$H$20000,0,MATCH($C$2,元データ!$E$1:$H$1,0)),元データ!$A$2:$A$20000,$A32,元データ!$D$2:$D$20000,$C$3,元データ!$B$2:$B$20000,$C$4,元データ!$C$2:$C$20000,H$5)</f>
        <v>758855</v>
      </c>
      <c r="I32" s="16">
        <f>SUMIFS(INDEX(元データ!$E$2:$H$20000,0,MATCH($C$2,元データ!$E$1:$H$1,0)),元データ!$A$2:$A$20000,$A32,元データ!$D$2:$D$20000,$C$3,元データ!$B$2:$B$20000,$C$4,元データ!$C$2:$C$20000,I$5)</f>
        <v>700485</v>
      </c>
      <c r="J32" s="16">
        <f>SUMIFS(INDEX(元データ!$E$2:$H$20000,0,MATCH($C$2,元データ!$E$1:$H$1,0)),元データ!$A$2:$A$20000,$A32,元データ!$D$2:$D$20000,$C$3,元データ!$B$2:$B$20000,$C$4,元データ!$C$2:$C$20000,J$5)</f>
        <v>1086977</v>
      </c>
      <c r="K32" s="16">
        <f>SUMIFS(INDEX(元データ!$E$2:$H$20000,0,MATCH($C$2,元データ!$E$1:$H$1,0)),元データ!$A$2:$A$20000,$A32,元データ!$D$2:$D$20000,$C$3,元データ!$B$2:$B$20000,$C$4,元データ!$C$2:$C$20000,K$5)</f>
        <v>1940663</v>
      </c>
      <c r="L32" s="16">
        <f>SUMIFS(INDEX(元データ!$E$2:$H$20000,0,MATCH($C$2,元データ!$E$1:$H$1,0)),元データ!$A$2:$A$20000,$A32,元データ!$D$2:$D$20000,$C$3,元データ!$B$2:$B$20000,$C$4,元データ!$C$2:$C$20000,L$5)</f>
        <v>1462472</v>
      </c>
      <c r="M32" s="16">
        <f>SUMIFS(INDEX(元データ!$E$2:$H$20000,0,MATCH($C$2,元データ!$E$1:$H$1,0)),元データ!$A$2:$A$20000,$A32,元データ!$D$2:$D$20000,$C$3,元データ!$B$2:$B$20000,$C$4,元データ!$C$2:$C$20000,M$5)</f>
        <v>1252967</v>
      </c>
      <c r="N32" s="16">
        <f>SUMIFS(INDEX(元データ!$E$2:$H$20000,0,MATCH($C$2,元データ!$E$1:$H$1,0)),元データ!$A$2:$A$20000,$A32,元データ!$D$2:$D$20000,$C$3,元データ!$B$2:$B$20000,$C$4,元データ!$C$2:$C$20000,N$5)</f>
        <v>1053592</v>
      </c>
      <c r="O32" s="17">
        <f t="shared" si="0"/>
        <v>12978999</v>
      </c>
      <c r="P32" s="16">
        <f>SUMIFS(INDEX(元データ!$E$2:$H$20000,0,MATCH($C$2,元データ!$E$1:$H$1,0)),元データ!$A$2:$A$20000,$A32,元データ!$D$2:$D$20000,$C$3,元データ!$B$2:$B$20000,$P$4,元データ!$C$2:$C$20000,P$5)</f>
        <v>809781</v>
      </c>
      <c r="Q32" s="16">
        <f>SUMIFS(INDEX(元データ!$E$2:$H$20000,0,MATCH($C$2,元データ!$E$1:$H$1,0)),元データ!$A$2:$A$20000,$A32,元データ!$D$2:$D$20000,$C$3,元データ!$B$2:$B$20000,$P$4,元データ!$C$2:$C$20000,Q$5)</f>
        <v>730161</v>
      </c>
      <c r="R32" s="16">
        <f>SUMIFS(INDEX(元データ!$E$2:$H$20000,0,MATCH($C$2,元データ!$E$1:$H$1,0)),元データ!$A$2:$A$20000,$A32,元データ!$D$2:$D$20000,$C$3,元データ!$B$2:$B$20000,$P$4,元データ!$C$2:$C$20000,R$5)</f>
        <v>1150549</v>
      </c>
      <c r="S32" s="16">
        <f>SUMIFS(INDEX(元データ!$E$2:$H$20000,0,MATCH($C$2,元データ!$E$1:$H$1,0)),元データ!$A$2:$A$20000,$A32,元データ!$D$2:$D$20000,$C$3,元データ!$B$2:$B$20000,$P$4,元データ!$C$2:$C$20000,S$5)</f>
        <v>961865</v>
      </c>
      <c r="T32" s="16">
        <f>SUMIFS(INDEX(元データ!$E$2:$H$20000,0,MATCH($C$2,元データ!$E$1:$H$1,0)),元データ!$A$2:$A$20000,$A32,元データ!$D$2:$D$20000,$C$3,元データ!$B$2:$B$20000,$P$4,元データ!$C$2:$C$20000,T$5)</f>
        <v>976580</v>
      </c>
      <c r="U32" s="16">
        <f>SUMIFS(INDEX(元データ!$E$2:$H$20000,0,MATCH($C$2,元データ!$E$1:$H$1,0)),元データ!$A$2:$A$20000,$A32,元データ!$D$2:$D$20000,$C$3,元データ!$B$2:$B$20000,$P$4,元データ!$C$2:$C$20000,U$5)</f>
        <v>776112</v>
      </c>
      <c r="V32" s="16">
        <f>SUMIFS(INDEX(元データ!$E$2:$H$20000,0,MATCH($C$2,元データ!$E$1:$H$1,0)),元データ!$A$2:$A$20000,$A32,元データ!$D$2:$D$20000,$C$3,元データ!$B$2:$B$20000,$P$4,元データ!$C$2:$C$20000,V$5)</f>
        <v>672981</v>
      </c>
      <c r="W32" s="16">
        <f>SUMIFS(INDEX(元データ!$E$2:$H$20000,0,MATCH($C$2,元データ!$E$1:$H$1,0)),元データ!$A$2:$A$20000,$A32,元データ!$D$2:$D$20000,$C$3,元データ!$B$2:$B$20000,$P$4,元データ!$C$2:$C$20000,W$5)</f>
        <v>1445750</v>
      </c>
      <c r="X32" s="16">
        <f>SUMIFS(INDEX(元データ!$E$2:$H$20000,0,MATCH($C$2,元データ!$E$1:$H$1,0)),元データ!$A$2:$A$20000,$A32,元データ!$D$2:$D$20000,$C$3,元データ!$B$2:$B$20000,$P$4,元データ!$C$2:$C$20000,X$5)</f>
        <v>1894535</v>
      </c>
      <c r="Y32" s="16">
        <f>SUMIFS(INDEX(元データ!$E$2:$H$20000,0,MATCH($C$2,元データ!$E$1:$H$1,0)),元データ!$A$2:$A$20000,$A32,元データ!$D$2:$D$20000,$C$3,元データ!$B$2:$B$20000,$P$4,元データ!$C$2:$C$20000,Y$5)</f>
        <v>1722274</v>
      </c>
      <c r="Z32" s="16">
        <f>SUMIFS(INDEX(元データ!$E$2:$H$20000,0,MATCH($C$2,元データ!$E$1:$H$1,0)),元データ!$A$2:$A$20000,$A32,元データ!$D$2:$D$20000,$C$3,元データ!$B$2:$B$20000,$P$4,元データ!$C$2:$C$20000,Z$5)</f>
        <v>1456216</v>
      </c>
      <c r="AA32" s="16">
        <f>SUMIFS(INDEX(元データ!$E$2:$H$20000,0,MATCH($C$2,元データ!$E$1:$H$1,0)),元データ!$A$2:$A$20000,$A32,元データ!$D$2:$D$20000,$C$3,元データ!$B$2:$B$20000,$P$4,元データ!$C$2:$C$20000,AA$5)</f>
        <v>1004806</v>
      </c>
      <c r="AB32" s="17">
        <f t="shared" si="1"/>
        <v>13601610</v>
      </c>
      <c r="AC32" s="18">
        <f t="shared" si="2"/>
        <v>0.96593399943935454</v>
      </c>
      <c r="AD32" s="18">
        <f t="shared" si="3"/>
        <v>1.2124805351148582</v>
      </c>
      <c r="AE32" s="18">
        <f t="shared" si="4"/>
        <v>0.98489938281637723</v>
      </c>
      <c r="AF32" s="18">
        <f t="shared" si="5"/>
        <v>0.96667723641051495</v>
      </c>
      <c r="AG32" s="18">
        <f t="shared" si="6"/>
        <v>1.016300763890311</v>
      </c>
      <c r="AH32" s="18">
        <f t="shared" si="7"/>
        <v>0.97776480714123737</v>
      </c>
      <c r="AI32" s="18">
        <f t="shared" si="8"/>
        <v>1.040868910117819</v>
      </c>
      <c r="AJ32" s="18">
        <f t="shared" si="9"/>
        <v>0.7518429880684766</v>
      </c>
      <c r="AK32" s="18">
        <f t="shared" si="10"/>
        <v>1.0243479270638969</v>
      </c>
      <c r="AL32" s="18">
        <f t="shared" si="11"/>
        <v>0.8491517609857665</v>
      </c>
      <c r="AM32" s="18">
        <f t="shared" si="12"/>
        <v>0.86042661253550301</v>
      </c>
      <c r="AN32" s="18">
        <f t="shared" si="13"/>
        <v>1.0485526559355736</v>
      </c>
      <c r="AO32" s="19">
        <f t="shared" si="14"/>
        <v>0.95422519834049058</v>
      </c>
    </row>
    <row r="33" spans="1:41" x14ac:dyDescent="0.45">
      <c r="A33" s="14" t="str">
        <f>店舗マスタ!A29</f>
        <v>中土狩店</v>
      </c>
      <c r="B33" s="15"/>
      <c r="C33" s="16">
        <f>SUMIFS(INDEX(元データ!$E$2:$H$20000,0,MATCH($C$2,元データ!$E$1:$H$1,0)),元データ!$A$2:$A$20000,$A33,元データ!$D$2:$D$20000,$C$3,元データ!$B$2:$B$20000,$C$4,元データ!$C$2:$C$20000,C$5)</f>
        <v>1848603</v>
      </c>
      <c r="D33" s="16">
        <f>SUMIFS(INDEX(元データ!$E$2:$H$20000,0,MATCH($C$2,元データ!$E$1:$H$1,0)),元データ!$A$2:$A$20000,$A33,元データ!$D$2:$D$20000,$C$3,元データ!$B$2:$B$20000,$C$4,元データ!$C$2:$C$20000,D$5)</f>
        <v>1661747</v>
      </c>
      <c r="E33" s="16">
        <f>SUMIFS(INDEX(元データ!$E$2:$H$20000,0,MATCH($C$2,元データ!$E$1:$H$1,0)),元データ!$A$2:$A$20000,$A33,元データ!$D$2:$D$20000,$C$3,元データ!$B$2:$B$20000,$C$4,元データ!$C$2:$C$20000,E$5)</f>
        <v>2661420</v>
      </c>
      <c r="F33" s="16">
        <f>SUMIFS(INDEX(元データ!$E$2:$H$20000,0,MATCH($C$2,元データ!$E$1:$H$1,0)),元データ!$A$2:$A$20000,$A33,元データ!$D$2:$D$20000,$C$3,元データ!$B$2:$B$20000,$C$4,元データ!$C$2:$C$20000,F$5)</f>
        <v>2327260</v>
      </c>
      <c r="G33" s="16">
        <f>SUMIFS(INDEX(元データ!$E$2:$H$20000,0,MATCH($C$2,元データ!$E$1:$H$1,0)),元データ!$A$2:$A$20000,$A33,元データ!$D$2:$D$20000,$C$3,元データ!$B$2:$B$20000,$C$4,元データ!$C$2:$C$20000,G$5)</f>
        <v>2431908</v>
      </c>
      <c r="H33" s="16">
        <f>SUMIFS(INDEX(元データ!$E$2:$H$20000,0,MATCH($C$2,元データ!$E$1:$H$1,0)),元データ!$A$2:$A$20000,$A33,元データ!$D$2:$D$20000,$C$3,元データ!$B$2:$B$20000,$C$4,元データ!$C$2:$C$20000,H$5)</f>
        <v>1698274</v>
      </c>
      <c r="I33" s="16">
        <f>SUMIFS(INDEX(元データ!$E$2:$H$20000,0,MATCH($C$2,元データ!$E$1:$H$1,0)),元データ!$A$2:$A$20000,$A33,元データ!$D$2:$D$20000,$C$3,元データ!$B$2:$B$20000,$C$4,元データ!$C$2:$C$20000,I$5)</f>
        <v>1473348</v>
      </c>
      <c r="J33" s="16">
        <f>SUMIFS(INDEX(元データ!$E$2:$H$20000,0,MATCH($C$2,元データ!$E$1:$H$1,0)),元データ!$A$2:$A$20000,$A33,元データ!$D$2:$D$20000,$C$3,元データ!$B$2:$B$20000,$C$4,元データ!$C$2:$C$20000,J$5)</f>
        <v>3290567</v>
      </c>
      <c r="K33" s="16">
        <f>SUMIFS(INDEX(元データ!$E$2:$H$20000,0,MATCH($C$2,元データ!$E$1:$H$1,0)),元データ!$A$2:$A$20000,$A33,元データ!$D$2:$D$20000,$C$3,元データ!$B$2:$B$20000,$C$4,元データ!$C$2:$C$20000,K$5)</f>
        <v>5314855</v>
      </c>
      <c r="L33" s="16">
        <f>SUMIFS(INDEX(元データ!$E$2:$H$20000,0,MATCH($C$2,元データ!$E$1:$H$1,0)),元データ!$A$2:$A$20000,$A33,元データ!$D$2:$D$20000,$C$3,元データ!$B$2:$B$20000,$C$4,元データ!$C$2:$C$20000,L$5)</f>
        <v>3650198</v>
      </c>
      <c r="M33" s="16">
        <f>SUMIFS(INDEX(元データ!$E$2:$H$20000,0,MATCH($C$2,元データ!$E$1:$H$1,0)),元データ!$A$2:$A$20000,$A33,元データ!$D$2:$D$20000,$C$3,元データ!$B$2:$B$20000,$C$4,元データ!$C$2:$C$20000,M$5)</f>
        <v>3204413</v>
      </c>
      <c r="N33" s="16">
        <f>SUMIFS(INDEX(元データ!$E$2:$H$20000,0,MATCH($C$2,元データ!$E$1:$H$1,0)),元データ!$A$2:$A$20000,$A33,元データ!$D$2:$D$20000,$C$3,元データ!$B$2:$B$20000,$C$4,元データ!$C$2:$C$20000,N$5)</f>
        <v>2084667</v>
      </c>
      <c r="O33" s="17">
        <f t="shared" si="0"/>
        <v>31647260</v>
      </c>
      <c r="P33" s="16">
        <f>SUMIFS(INDEX(元データ!$E$2:$H$20000,0,MATCH($C$2,元データ!$E$1:$H$1,0)),元データ!$A$2:$A$20000,$A33,元データ!$D$2:$D$20000,$C$3,元データ!$B$2:$B$20000,$P$4,元データ!$C$2:$C$20000,P$5)</f>
        <v>1309699</v>
      </c>
      <c r="Q33" s="16">
        <f>SUMIFS(INDEX(元データ!$E$2:$H$20000,0,MATCH($C$2,元データ!$E$1:$H$1,0)),元データ!$A$2:$A$20000,$A33,元データ!$D$2:$D$20000,$C$3,元データ!$B$2:$B$20000,$P$4,元データ!$C$2:$C$20000,Q$5)</f>
        <v>1305105</v>
      </c>
      <c r="R33" s="16">
        <f>SUMIFS(INDEX(元データ!$E$2:$H$20000,0,MATCH($C$2,元データ!$E$1:$H$1,0)),元データ!$A$2:$A$20000,$A33,元データ!$D$2:$D$20000,$C$3,元データ!$B$2:$B$20000,$P$4,元データ!$C$2:$C$20000,R$5)</f>
        <v>2277154</v>
      </c>
      <c r="S33" s="16">
        <f>SUMIFS(INDEX(元データ!$E$2:$H$20000,0,MATCH($C$2,元データ!$E$1:$H$1,0)),元データ!$A$2:$A$20000,$A33,元データ!$D$2:$D$20000,$C$3,元データ!$B$2:$B$20000,$P$4,元データ!$C$2:$C$20000,S$5)</f>
        <v>1876258</v>
      </c>
      <c r="T33" s="16">
        <f>SUMIFS(INDEX(元データ!$E$2:$H$20000,0,MATCH($C$2,元データ!$E$1:$H$1,0)),元データ!$A$2:$A$20000,$A33,元データ!$D$2:$D$20000,$C$3,元データ!$B$2:$B$20000,$P$4,元データ!$C$2:$C$20000,T$5)</f>
        <v>1978973</v>
      </c>
      <c r="U33" s="16">
        <f>SUMIFS(INDEX(元データ!$E$2:$H$20000,0,MATCH($C$2,元データ!$E$1:$H$1,0)),元データ!$A$2:$A$20000,$A33,元データ!$D$2:$D$20000,$C$3,元データ!$B$2:$B$20000,$P$4,元データ!$C$2:$C$20000,U$5)</f>
        <v>1269305</v>
      </c>
      <c r="V33" s="16">
        <f>SUMIFS(INDEX(元データ!$E$2:$H$20000,0,MATCH($C$2,元データ!$E$1:$H$1,0)),元データ!$A$2:$A$20000,$A33,元データ!$D$2:$D$20000,$C$3,元データ!$B$2:$B$20000,$P$4,元データ!$C$2:$C$20000,V$5)</f>
        <v>1398195</v>
      </c>
      <c r="W33" s="16">
        <f>SUMIFS(INDEX(元データ!$E$2:$H$20000,0,MATCH($C$2,元データ!$E$1:$H$1,0)),元データ!$A$2:$A$20000,$A33,元データ!$D$2:$D$20000,$C$3,元データ!$B$2:$B$20000,$P$4,元データ!$C$2:$C$20000,W$5)</f>
        <v>3808509</v>
      </c>
      <c r="X33" s="16">
        <f>SUMIFS(INDEX(元データ!$E$2:$H$20000,0,MATCH($C$2,元データ!$E$1:$H$1,0)),元データ!$A$2:$A$20000,$A33,元データ!$D$2:$D$20000,$C$3,元データ!$B$2:$B$20000,$P$4,元データ!$C$2:$C$20000,X$5)</f>
        <v>5143753</v>
      </c>
      <c r="Y33" s="16">
        <f>SUMIFS(INDEX(元データ!$E$2:$H$20000,0,MATCH($C$2,元データ!$E$1:$H$1,0)),元データ!$A$2:$A$20000,$A33,元データ!$D$2:$D$20000,$C$3,元データ!$B$2:$B$20000,$P$4,元データ!$C$2:$C$20000,Y$5)</f>
        <v>3983479</v>
      </c>
      <c r="Z33" s="16">
        <f>SUMIFS(INDEX(元データ!$E$2:$H$20000,0,MATCH($C$2,元データ!$E$1:$H$1,0)),元データ!$A$2:$A$20000,$A33,元データ!$D$2:$D$20000,$C$3,元データ!$B$2:$B$20000,$P$4,元データ!$C$2:$C$20000,Z$5)</f>
        <v>3471853</v>
      </c>
      <c r="AA33" s="16">
        <f>SUMIFS(INDEX(元データ!$E$2:$H$20000,0,MATCH($C$2,元データ!$E$1:$H$1,0)),元データ!$A$2:$A$20000,$A33,元データ!$D$2:$D$20000,$C$3,元データ!$B$2:$B$20000,$P$4,元データ!$C$2:$C$20000,AA$5)</f>
        <v>2491388</v>
      </c>
      <c r="AB33" s="17">
        <f t="shared" si="1"/>
        <v>30313671</v>
      </c>
      <c r="AC33" s="18">
        <f t="shared" si="2"/>
        <v>1.4114716434844954</v>
      </c>
      <c r="AD33" s="18">
        <f t="shared" si="3"/>
        <v>1.2732669018967822</v>
      </c>
      <c r="AE33" s="18">
        <f t="shared" si="4"/>
        <v>1.1687483586968646</v>
      </c>
      <c r="AF33" s="18">
        <f t="shared" si="5"/>
        <v>1.2403731256575588</v>
      </c>
      <c r="AG33" s="18">
        <f t="shared" si="6"/>
        <v>1.2288737643211909</v>
      </c>
      <c r="AH33" s="18">
        <f t="shared" si="7"/>
        <v>1.3379558104632063</v>
      </c>
      <c r="AI33" s="18">
        <f t="shared" si="8"/>
        <v>1.0537500134101467</v>
      </c>
      <c r="AJ33" s="18">
        <f t="shared" si="9"/>
        <v>0.86400399736484801</v>
      </c>
      <c r="AK33" s="18">
        <f t="shared" si="10"/>
        <v>1.0332640389225531</v>
      </c>
      <c r="AL33" s="18">
        <f t="shared" si="11"/>
        <v>0.91633418928529564</v>
      </c>
      <c r="AM33" s="18">
        <f t="shared" si="12"/>
        <v>0.92296908884103102</v>
      </c>
      <c r="AN33" s="18">
        <f t="shared" si="13"/>
        <v>0.83674923376045807</v>
      </c>
      <c r="AO33" s="19">
        <f t="shared" si="14"/>
        <v>1.0439929891698039</v>
      </c>
    </row>
    <row r="34" spans="1:41" x14ac:dyDescent="0.45">
      <c r="A34" s="14" t="str">
        <f>店舗マスタ!A30</f>
        <v>萩原店</v>
      </c>
      <c r="B34" s="15"/>
      <c r="C34" s="16">
        <f>SUMIFS(INDEX(元データ!$E$2:$H$20000,0,MATCH($C$2,元データ!$E$1:$H$1,0)),元データ!$A$2:$A$20000,$A34,元データ!$D$2:$D$20000,$C$3,元データ!$B$2:$B$20000,$C$4,元データ!$C$2:$C$20000,C$5)</f>
        <v>1494301</v>
      </c>
      <c r="D34" s="16">
        <f>SUMIFS(INDEX(元データ!$E$2:$H$20000,0,MATCH($C$2,元データ!$E$1:$H$1,0)),元データ!$A$2:$A$20000,$A34,元データ!$D$2:$D$20000,$C$3,元データ!$B$2:$B$20000,$C$4,元データ!$C$2:$C$20000,D$5)</f>
        <v>1333134</v>
      </c>
      <c r="E34" s="16">
        <f>SUMIFS(INDEX(元データ!$E$2:$H$20000,0,MATCH($C$2,元データ!$E$1:$H$1,0)),元データ!$A$2:$A$20000,$A34,元データ!$D$2:$D$20000,$C$3,元データ!$B$2:$B$20000,$C$4,元データ!$C$2:$C$20000,E$5)</f>
        <v>2139202</v>
      </c>
      <c r="F34" s="16">
        <f>SUMIFS(INDEX(元データ!$E$2:$H$20000,0,MATCH($C$2,元データ!$E$1:$H$1,0)),元データ!$A$2:$A$20000,$A34,元データ!$D$2:$D$20000,$C$3,元データ!$B$2:$B$20000,$C$4,元データ!$C$2:$C$20000,F$5)</f>
        <v>1510356</v>
      </c>
      <c r="G34" s="16">
        <f>SUMIFS(INDEX(元データ!$E$2:$H$20000,0,MATCH($C$2,元データ!$E$1:$H$1,0)),元データ!$A$2:$A$20000,$A34,元データ!$D$2:$D$20000,$C$3,元データ!$B$2:$B$20000,$C$4,元データ!$C$2:$C$20000,G$5)</f>
        <v>1474019</v>
      </c>
      <c r="H34" s="16">
        <f>SUMIFS(INDEX(元データ!$E$2:$H$20000,0,MATCH($C$2,元データ!$E$1:$H$1,0)),元データ!$A$2:$A$20000,$A34,元データ!$D$2:$D$20000,$C$3,元データ!$B$2:$B$20000,$C$4,元データ!$C$2:$C$20000,H$5)</f>
        <v>1277613</v>
      </c>
      <c r="I34" s="16">
        <f>SUMIFS(INDEX(元データ!$E$2:$H$20000,0,MATCH($C$2,元データ!$E$1:$H$1,0)),元データ!$A$2:$A$20000,$A34,元データ!$D$2:$D$20000,$C$3,元データ!$B$2:$B$20000,$C$4,元データ!$C$2:$C$20000,I$5)</f>
        <v>1084769</v>
      </c>
      <c r="J34" s="16">
        <f>SUMIFS(INDEX(元データ!$E$2:$H$20000,0,MATCH($C$2,元データ!$E$1:$H$1,0)),元データ!$A$2:$A$20000,$A34,元データ!$D$2:$D$20000,$C$3,元データ!$B$2:$B$20000,$C$4,元データ!$C$2:$C$20000,J$5)</f>
        <v>2166330</v>
      </c>
      <c r="K34" s="16">
        <f>SUMIFS(INDEX(元データ!$E$2:$H$20000,0,MATCH($C$2,元データ!$E$1:$H$1,0)),元データ!$A$2:$A$20000,$A34,元データ!$D$2:$D$20000,$C$3,元データ!$B$2:$B$20000,$C$4,元データ!$C$2:$C$20000,K$5)</f>
        <v>3052249</v>
      </c>
      <c r="L34" s="16">
        <f>SUMIFS(INDEX(元データ!$E$2:$H$20000,0,MATCH($C$2,元データ!$E$1:$H$1,0)),元データ!$A$2:$A$20000,$A34,元データ!$D$2:$D$20000,$C$3,元データ!$B$2:$B$20000,$C$4,元データ!$C$2:$C$20000,L$5)</f>
        <v>2154031</v>
      </c>
      <c r="M34" s="16">
        <f>SUMIFS(INDEX(元データ!$E$2:$H$20000,0,MATCH($C$2,元データ!$E$1:$H$1,0)),元データ!$A$2:$A$20000,$A34,元データ!$D$2:$D$20000,$C$3,元データ!$B$2:$B$20000,$C$4,元データ!$C$2:$C$20000,M$5)</f>
        <v>2274530</v>
      </c>
      <c r="N34" s="16">
        <f>SUMIFS(INDEX(元データ!$E$2:$H$20000,0,MATCH($C$2,元データ!$E$1:$H$1,0)),元データ!$A$2:$A$20000,$A34,元データ!$D$2:$D$20000,$C$3,元データ!$B$2:$B$20000,$C$4,元データ!$C$2:$C$20000,N$5)</f>
        <v>2126832</v>
      </c>
      <c r="O34" s="17">
        <f t="shared" si="0"/>
        <v>22087366</v>
      </c>
      <c r="P34" s="16">
        <f>SUMIFS(INDEX(元データ!$E$2:$H$20000,0,MATCH($C$2,元データ!$E$1:$H$1,0)),元データ!$A$2:$A$20000,$A34,元データ!$D$2:$D$20000,$C$3,元データ!$B$2:$B$20000,$P$4,元データ!$C$2:$C$20000,P$5)</f>
        <v>1425012</v>
      </c>
      <c r="Q34" s="16">
        <f>SUMIFS(INDEX(元データ!$E$2:$H$20000,0,MATCH($C$2,元データ!$E$1:$H$1,0)),元データ!$A$2:$A$20000,$A34,元データ!$D$2:$D$20000,$C$3,元データ!$B$2:$B$20000,$P$4,元データ!$C$2:$C$20000,Q$5)</f>
        <v>1383263</v>
      </c>
      <c r="R34" s="16">
        <f>SUMIFS(INDEX(元データ!$E$2:$H$20000,0,MATCH($C$2,元データ!$E$1:$H$1,0)),元データ!$A$2:$A$20000,$A34,元データ!$D$2:$D$20000,$C$3,元データ!$B$2:$B$20000,$P$4,元データ!$C$2:$C$20000,R$5)</f>
        <v>2156108</v>
      </c>
      <c r="S34" s="16">
        <f>SUMIFS(INDEX(元データ!$E$2:$H$20000,0,MATCH($C$2,元データ!$E$1:$H$1,0)),元データ!$A$2:$A$20000,$A34,元データ!$D$2:$D$20000,$C$3,元データ!$B$2:$B$20000,$P$4,元データ!$C$2:$C$20000,S$5)</f>
        <v>1584930</v>
      </c>
      <c r="T34" s="16">
        <f>SUMIFS(INDEX(元データ!$E$2:$H$20000,0,MATCH($C$2,元データ!$E$1:$H$1,0)),元データ!$A$2:$A$20000,$A34,元データ!$D$2:$D$20000,$C$3,元データ!$B$2:$B$20000,$P$4,元データ!$C$2:$C$20000,T$5)</f>
        <v>1470889</v>
      </c>
      <c r="U34" s="16">
        <f>SUMIFS(INDEX(元データ!$E$2:$H$20000,0,MATCH($C$2,元データ!$E$1:$H$1,0)),元データ!$A$2:$A$20000,$A34,元データ!$D$2:$D$20000,$C$3,元データ!$B$2:$B$20000,$P$4,元データ!$C$2:$C$20000,U$5)</f>
        <v>1117120</v>
      </c>
      <c r="V34" s="16">
        <f>SUMIFS(INDEX(元データ!$E$2:$H$20000,0,MATCH($C$2,元データ!$E$1:$H$1,0)),元データ!$A$2:$A$20000,$A34,元データ!$D$2:$D$20000,$C$3,元データ!$B$2:$B$20000,$P$4,元データ!$C$2:$C$20000,V$5)</f>
        <v>1112495</v>
      </c>
      <c r="W34" s="16">
        <f>SUMIFS(INDEX(元データ!$E$2:$H$20000,0,MATCH($C$2,元データ!$E$1:$H$1,0)),元データ!$A$2:$A$20000,$A34,元データ!$D$2:$D$20000,$C$3,元データ!$B$2:$B$20000,$P$4,元データ!$C$2:$C$20000,W$5)</f>
        <v>2045012</v>
      </c>
      <c r="X34" s="16">
        <f>SUMIFS(INDEX(元データ!$E$2:$H$20000,0,MATCH($C$2,元データ!$E$1:$H$1,0)),元データ!$A$2:$A$20000,$A34,元データ!$D$2:$D$20000,$C$3,元データ!$B$2:$B$20000,$P$4,元データ!$C$2:$C$20000,X$5)</f>
        <v>2815485</v>
      </c>
      <c r="Y34" s="16">
        <f>SUMIFS(INDEX(元データ!$E$2:$H$20000,0,MATCH($C$2,元データ!$E$1:$H$1,0)),元データ!$A$2:$A$20000,$A34,元データ!$D$2:$D$20000,$C$3,元データ!$B$2:$B$20000,$P$4,元データ!$C$2:$C$20000,Y$5)</f>
        <v>2390854</v>
      </c>
      <c r="Z34" s="16">
        <f>SUMIFS(INDEX(元データ!$E$2:$H$20000,0,MATCH($C$2,元データ!$E$1:$H$1,0)),元データ!$A$2:$A$20000,$A34,元データ!$D$2:$D$20000,$C$3,元データ!$B$2:$B$20000,$P$4,元データ!$C$2:$C$20000,Z$5)</f>
        <v>2040446</v>
      </c>
      <c r="AA34" s="16">
        <f>SUMIFS(INDEX(元データ!$E$2:$H$20000,0,MATCH($C$2,元データ!$E$1:$H$1,0)),元データ!$A$2:$A$20000,$A34,元データ!$D$2:$D$20000,$C$3,元データ!$B$2:$B$20000,$P$4,元データ!$C$2:$C$20000,AA$5)</f>
        <v>1847485</v>
      </c>
      <c r="AB34" s="17">
        <f t="shared" si="1"/>
        <v>21389099</v>
      </c>
      <c r="AC34" s="18">
        <f t="shared" si="2"/>
        <v>1.0486234501884897</v>
      </c>
      <c r="AD34" s="18">
        <f t="shared" si="3"/>
        <v>0.96376032612742479</v>
      </c>
      <c r="AE34" s="18">
        <f t="shared" si="4"/>
        <v>0.99215901986356902</v>
      </c>
      <c r="AF34" s="18">
        <f t="shared" si="5"/>
        <v>0.95294807972591844</v>
      </c>
      <c r="AG34" s="18">
        <f t="shared" si="6"/>
        <v>1.0021279647886414</v>
      </c>
      <c r="AH34" s="18">
        <f t="shared" si="7"/>
        <v>1.1436667502148381</v>
      </c>
      <c r="AI34" s="18">
        <f t="shared" si="8"/>
        <v>0.97507764079838566</v>
      </c>
      <c r="AJ34" s="18">
        <f t="shared" si="9"/>
        <v>1.0593238572683192</v>
      </c>
      <c r="AK34" s="18">
        <f t="shared" si="10"/>
        <v>1.0840935043163078</v>
      </c>
      <c r="AL34" s="18">
        <f t="shared" si="11"/>
        <v>0.90094627275442163</v>
      </c>
      <c r="AM34" s="18">
        <f t="shared" si="12"/>
        <v>1.1147219774500281</v>
      </c>
      <c r="AN34" s="18">
        <f t="shared" si="13"/>
        <v>1.1512039339967577</v>
      </c>
      <c r="AO34" s="19">
        <f t="shared" si="14"/>
        <v>1.032645928657397</v>
      </c>
    </row>
    <row r="35" spans="1:41" x14ac:dyDescent="0.45">
      <c r="A35" s="14" t="str">
        <f>店舗マスタ!A31</f>
        <v>静岡工場店</v>
      </c>
      <c r="B35" s="15"/>
      <c r="C35" s="16">
        <f>SUMIFS(INDEX(元データ!$E$2:$H$20000,0,MATCH($C$2,元データ!$E$1:$H$1,0)),元データ!$A$2:$A$20000,$A35,元データ!$D$2:$D$20000,$C$3,元データ!$B$2:$B$20000,$C$4,元データ!$C$2:$C$20000,C$5)</f>
        <v>199218</v>
      </c>
      <c r="D35" s="16">
        <f>SUMIFS(INDEX(元データ!$E$2:$H$20000,0,MATCH($C$2,元データ!$E$1:$H$1,0)),元データ!$A$2:$A$20000,$A35,元データ!$D$2:$D$20000,$C$3,元データ!$B$2:$B$20000,$C$4,元データ!$C$2:$C$20000,D$5)</f>
        <v>197826</v>
      </c>
      <c r="E35" s="16">
        <f>SUMIFS(INDEX(元データ!$E$2:$H$20000,0,MATCH($C$2,元データ!$E$1:$H$1,0)),元データ!$A$2:$A$20000,$A35,元データ!$D$2:$D$20000,$C$3,元データ!$B$2:$B$20000,$C$4,元データ!$C$2:$C$20000,E$5)</f>
        <v>265830</v>
      </c>
      <c r="F35" s="16">
        <f>SUMIFS(INDEX(元データ!$E$2:$H$20000,0,MATCH($C$2,元データ!$E$1:$H$1,0)),元データ!$A$2:$A$20000,$A35,元データ!$D$2:$D$20000,$C$3,元データ!$B$2:$B$20000,$C$4,元データ!$C$2:$C$20000,F$5)</f>
        <v>214585</v>
      </c>
      <c r="G35" s="16">
        <f>SUMIFS(INDEX(元データ!$E$2:$H$20000,0,MATCH($C$2,元データ!$E$1:$H$1,0)),元データ!$A$2:$A$20000,$A35,元データ!$D$2:$D$20000,$C$3,元データ!$B$2:$B$20000,$C$4,元データ!$C$2:$C$20000,G$5)</f>
        <v>159688</v>
      </c>
      <c r="H35" s="16">
        <f>SUMIFS(INDEX(元データ!$E$2:$H$20000,0,MATCH($C$2,元データ!$E$1:$H$1,0)),元データ!$A$2:$A$20000,$A35,元データ!$D$2:$D$20000,$C$3,元データ!$B$2:$B$20000,$C$4,元データ!$C$2:$C$20000,H$5)</f>
        <v>158801</v>
      </c>
      <c r="I35" s="16">
        <f>SUMIFS(INDEX(元データ!$E$2:$H$20000,0,MATCH($C$2,元データ!$E$1:$H$1,0)),元データ!$A$2:$A$20000,$A35,元データ!$D$2:$D$20000,$C$3,元データ!$B$2:$B$20000,$C$4,元データ!$C$2:$C$20000,I$5)</f>
        <v>123234</v>
      </c>
      <c r="J35" s="16">
        <f>SUMIFS(INDEX(元データ!$E$2:$H$20000,0,MATCH($C$2,元データ!$E$1:$H$1,0)),元データ!$A$2:$A$20000,$A35,元データ!$D$2:$D$20000,$C$3,元データ!$B$2:$B$20000,$C$4,元データ!$C$2:$C$20000,J$5)</f>
        <v>221279</v>
      </c>
      <c r="K35" s="16">
        <f>SUMIFS(INDEX(元データ!$E$2:$H$20000,0,MATCH($C$2,元データ!$E$1:$H$1,0)),元データ!$A$2:$A$20000,$A35,元データ!$D$2:$D$20000,$C$3,元データ!$B$2:$B$20000,$C$4,元データ!$C$2:$C$20000,K$5)</f>
        <v>316816</v>
      </c>
      <c r="L35" s="16">
        <f>SUMIFS(INDEX(元データ!$E$2:$H$20000,0,MATCH($C$2,元データ!$E$1:$H$1,0)),元データ!$A$2:$A$20000,$A35,元データ!$D$2:$D$20000,$C$3,元データ!$B$2:$B$20000,$C$4,元データ!$C$2:$C$20000,L$5)</f>
        <v>288976</v>
      </c>
      <c r="M35" s="16">
        <f>SUMIFS(INDEX(元データ!$E$2:$H$20000,0,MATCH($C$2,元データ!$E$1:$H$1,0)),元データ!$A$2:$A$20000,$A35,元データ!$D$2:$D$20000,$C$3,元データ!$B$2:$B$20000,$C$4,元データ!$C$2:$C$20000,M$5)</f>
        <v>250018</v>
      </c>
      <c r="N35" s="16">
        <f>SUMIFS(INDEX(元データ!$E$2:$H$20000,0,MATCH($C$2,元データ!$E$1:$H$1,0)),元データ!$A$2:$A$20000,$A35,元データ!$D$2:$D$20000,$C$3,元データ!$B$2:$B$20000,$C$4,元データ!$C$2:$C$20000,N$5)</f>
        <v>258045</v>
      </c>
      <c r="O35" s="17">
        <f t="shared" si="0"/>
        <v>2654316</v>
      </c>
      <c r="P35" s="16">
        <f>SUMIFS(INDEX(元データ!$E$2:$H$20000,0,MATCH($C$2,元データ!$E$1:$H$1,0)),元データ!$A$2:$A$20000,$A35,元データ!$D$2:$D$20000,$C$3,元データ!$B$2:$B$20000,$P$4,元データ!$C$2:$C$20000,P$5)</f>
        <v>152755</v>
      </c>
      <c r="Q35" s="16">
        <f>SUMIFS(INDEX(元データ!$E$2:$H$20000,0,MATCH($C$2,元データ!$E$1:$H$1,0)),元データ!$A$2:$A$20000,$A35,元データ!$D$2:$D$20000,$C$3,元データ!$B$2:$B$20000,$P$4,元データ!$C$2:$C$20000,Q$5)</f>
        <v>197771</v>
      </c>
      <c r="R35" s="16">
        <f>SUMIFS(INDEX(元データ!$E$2:$H$20000,0,MATCH($C$2,元データ!$E$1:$H$1,0)),元データ!$A$2:$A$20000,$A35,元データ!$D$2:$D$20000,$C$3,元データ!$B$2:$B$20000,$P$4,元データ!$C$2:$C$20000,R$5)</f>
        <v>255434</v>
      </c>
      <c r="S35" s="16">
        <f>SUMIFS(INDEX(元データ!$E$2:$H$20000,0,MATCH($C$2,元データ!$E$1:$H$1,0)),元データ!$A$2:$A$20000,$A35,元データ!$D$2:$D$20000,$C$3,元データ!$B$2:$B$20000,$P$4,元データ!$C$2:$C$20000,S$5)</f>
        <v>225465</v>
      </c>
      <c r="T35" s="16">
        <f>SUMIFS(INDEX(元データ!$E$2:$H$20000,0,MATCH($C$2,元データ!$E$1:$H$1,0)),元データ!$A$2:$A$20000,$A35,元データ!$D$2:$D$20000,$C$3,元データ!$B$2:$B$20000,$P$4,元データ!$C$2:$C$20000,T$5)</f>
        <v>219447</v>
      </c>
      <c r="U35" s="16">
        <f>SUMIFS(INDEX(元データ!$E$2:$H$20000,0,MATCH($C$2,元データ!$E$1:$H$1,0)),元データ!$A$2:$A$20000,$A35,元データ!$D$2:$D$20000,$C$3,元データ!$B$2:$B$20000,$P$4,元データ!$C$2:$C$20000,U$5)</f>
        <v>190246</v>
      </c>
      <c r="V35" s="16">
        <f>SUMIFS(INDEX(元データ!$E$2:$H$20000,0,MATCH($C$2,元データ!$E$1:$H$1,0)),元データ!$A$2:$A$20000,$A35,元データ!$D$2:$D$20000,$C$3,元データ!$B$2:$B$20000,$P$4,元データ!$C$2:$C$20000,V$5)</f>
        <v>123157</v>
      </c>
      <c r="W35" s="16">
        <f>SUMIFS(INDEX(元データ!$E$2:$H$20000,0,MATCH($C$2,元データ!$E$1:$H$1,0)),元データ!$A$2:$A$20000,$A35,元データ!$D$2:$D$20000,$C$3,元データ!$B$2:$B$20000,$P$4,元データ!$C$2:$C$20000,W$5)</f>
        <v>286135</v>
      </c>
      <c r="X35" s="16">
        <f>SUMIFS(INDEX(元データ!$E$2:$H$20000,0,MATCH($C$2,元データ!$E$1:$H$1,0)),元データ!$A$2:$A$20000,$A35,元データ!$D$2:$D$20000,$C$3,元データ!$B$2:$B$20000,$P$4,元データ!$C$2:$C$20000,X$5)</f>
        <v>374940</v>
      </c>
      <c r="Y35" s="16">
        <f>SUMIFS(INDEX(元データ!$E$2:$H$20000,0,MATCH($C$2,元データ!$E$1:$H$1,0)),元データ!$A$2:$A$20000,$A35,元データ!$D$2:$D$20000,$C$3,元データ!$B$2:$B$20000,$P$4,元データ!$C$2:$C$20000,Y$5)</f>
        <v>283166</v>
      </c>
      <c r="Z35" s="16">
        <f>SUMIFS(INDEX(元データ!$E$2:$H$20000,0,MATCH($C$2,元データ!$E$1:$H$1,0)),元データ!$A$2:$A$20000,$A35,元データ!$D$2:$D$20000,$C$3,元データ!$B$2:$B$20000,$P$4,元データ!$C$2:$C$20000,Z$5)</f>
        <v>268147</v>
      </c>
      <c r="AA35" s="16">
        <f>SUMIFS(INDEX(元データ!$E$2:$H$20000,0,MATCH($C$2,元データ!$E$1:$H$1,0)),元データ!$A$2:$A$20000,$A35,元データ!$D$2:$D$20000,$C$3,元データ!$B$2:$B$20000,$P$4,元データ!$C$2:$C$20000,AA$5)</f>
        <v>187088</v>
      </c>
      <c r="AB35" s="17">
        <f t="shared" si="1"/>
        <v>2763751</v>
      </c>
      <c r="AC35" s="18">
        <f t="shared" si="2"/>
        <v>1.3041668030506366</v>
      </c>
      <c r="AD35" s="18">
        <f t="shared" si="3"/>
        <v>1.0002780994180138</v>
      </c>
      <c r="AE35" s="18">
        <f t="shared" si="4"/>
        <v>1.0406993587384608</v>
      </c>
      <c r="AF35" s="18">
        <f t="shared" si="5"/>
        <v>0.95174417315326099</v>
      </c>
      <c r="AG35" s="18">
        <f t="shared" si="6"/>
        <v>0.72768367760780506</v>
      </c>
      <c r="AH35" s="18">
        <f t="shared" si="7"/>
        <v>0.83471400187126144</v>
      </c>
      <c r="AI35" s="18">
        <f t="shared" si="8"/>
        <v>1.0006252182173974</v>
      </c>
      <c r="AJ35" s="18">
        <f t="shared" si="9"/>
        <v>0.77333776014818179</v>
      </c>
      <c r="AK35" s="18">
        <f t="shared" si="10"/>
        <v>0.84497786312476664</v>
      </c>
      <c r="AL35" s="18">
        <f t="shared" si="11"/>
        <v>1.0205180000423779</v>
      </c>
      <c r="AM35" s="18">
        <f t="shared" si="12"/>
        <v>0.93239156134508305</v>
      </c>
      <c r="AN35" s="18">
        <f t="shared" si="13"/>
        <v>1.3792707175233045</v>
      </c>
      <c r="AO35" s="19">
        <f t="shared" si="14"/>
        <v>0.96040345168577057</v>
      </c>
    </row>
    <row r="36" spans="1:41" x14ac:dyDescent="0.45">
      <c r="A36" s="14" t="str">
        <f>店舗マスタ!A32</f>
        <v>焼津店</v>
      </c>
      <c r="B36" s="15"/>
      <c r="C36" s="16">
        <f>SUMIFS(INDEX(元データ!$E$2:$H$20000,0,MATCH($C$2,元データ!$E$1:$H$1,0)),元データ!$A$2:$A$20000,$A36,元データ!$D$2:$D$20000,$C$3,元データ!$B$2:$B$20000,$C$4,元データ!$C$2:$C$20000,C$5)</f>
        <v>1832314</v>
      </c>
      <c r="D36" s="16">
        <f>SUMIFS(INDEX(元データ!$E$2:$H$20000,0,MATCH($C$2,元データ!$E$1:$H$1,0)),元データ!$A$2:$A$20000,$A36,元データ!$D$2:$D$20000,$C$3,元データ!$B$2:$B$20000,$C$4,元データ!$C$2:$C$20000,D$5)</f>
        <v>1573005</v>
      </c>
      <c r="E36" s="16">
        <f>SUMIFS(INDEX(元データ!$E$2:$H$20000,0,MATCH($C$2,元データ!$E$1:$H$1,0)),元データ!$A$2:$A$20000,$A36,元データ!$D$2:$D$20000,$C$3,元データ!$B$2:$B$20000,$C$4,元データ!$C$2:$C$20000,E$5)</f>
        <v>2543281</v>
      </c>
      <c r="F36" s="16">
        <f>SUMIFS(INDEX(元データ!$E$2:$H$20000,0,MATCH($C$2,元データ!$E$1:$H$1,0)),元データ!$A$2:$A$20000,$A36,元データ!$D$2:$D$20000,$C$3,元データ!$B$2:$B$20000,$C$4,元データ!$C$2:$C$20000,F$5)</f>
        <v>2301966</v>
      </c>
      <c r="G36" s="16">
        <f>SUMIFS(INDEX(元データ!$E$2:$H$20000,0,MATCH($C$2,元データ!$E$1:$H$1,0)),元データ!$A$2:$A$20000,$A36,元データ!$D$2:$D$20000,$C$3,元データ!$B$2:$B$20000,$C$4,元データ!$C$2:$C$20000,G$5)</f>
        <v>2366552</v>
      </c>
      <c r="H36" s="16">
        <f>SUMIFS(INDEX(元データ!$E$2:$H$20000,0,MATCH($C$2,元データ!$E$1:$H$1,0)),元データ!$A$2:$A$20000,$A36,元データ!$D$2:$D$20000,$C$3,元データ!$B$2:$B$20000,$C$4,元データ!$C$2:$C$20000,H$5)</f>
        <v>1716981</v>
      </c>
      <c r="I36" s="16">
        <f>SUMIFS(INDEX(元データ!$E$2:$H$20000,0,MATCH($C$2,元データ!$E$1:$H$1,0)),元データ!$A$2:$A$20000,$A36,元データ!$D$2:$D$20000,$C$3,元データ!$B$2:$B$20000,$C$4,元データ!$C$2:$C$20000,I$5)</f>
        <v>1505346</v>
      </c>
      <c r="J36" s="16">
        <f>SUMIFS(INDEX(元データ!$E$2:$H$20000,0,MATCH($C$2,元データ!$E$1:$H$1,0)),元データ!$A$2:$A$20000,$A36,元データ!$D$2:$D$20000,$C$3,元データ!$B$2:$B$20000,$C$4,元データ!$C$2:$C$20000,J$5)</f>
        <v>3031046</v>
      </c>
      <c r="K36" s="16">
        <f>SUMIFS(INDEX(元データ!$E$2:$H$20000,0,MATCH($C$2,元データ!$E$1:$H$1,0)),元データ!$A$2:$A$20000,$A36,元データ!$D$2:$D$20000,$C$3,元データ!$B$2:$B$20000,$C$4,元データ!$C$2:$C$20000,K$5)</f>
        <v>4427337</v>
      </c>
      <c r="L36" s="16">
        <f>SUMIFS(INDEX(元データ!$E$2:$H$20000,0,MATCH($C$2,元データ!$E$1:$H$1,0)),元データ!$A$2:$A$20000,$A36,元データ!$D$2:$D$20000,$C$3,元データ!$B$2:$B$20000,$C$4,元データ!$C$2:$C$20000,L$5)</f>
        <v>3109181</v>
      </c>
      <c r="M36" s="16">
        <f>SUMIFS(INDEX(元データ!$E$2:$H$20000,0,MATCH($C$2,元データ!$E$1:$H$1,0)),元データ!$A$2:$A$20000,$A36,元データ!$D$2:$D$20000,$C$3,元データ!$B$2:$B$20000,$C$4,元データ!$C$2:$C$20000,M$5)</f>
        <v>2994055</v>
      </c>
      <c r="N36" s="16">
        <f>SUMIFS(INDEX(元データ!$E$2:$H$20000,0,MATCH($C$2,元データ!$E$1:$H$1,0)),元データ!$A$2:$A$20000,$A36,元データ!$D$2:$D$20000,$C$3,元データ!$B$2:$B$20000,$C$4,元データ!$C$2:$C$20000,N$5)</f>
        <v>2339385</v>
      </c>
      <c r="O36" s="17">
        <f t="shared" si="0"/>
        <v>29740449</v>
      </c>
      <c r="P36" s="16">
        <f>SUMIFS(INDEX(元データ!$E$2:$H$20000,0,MATCH($C$2,元データ!$E$1:$H$1,0)),元データ!$A$2:$A$20000,$A36,元データ!$D$2:$D$20000,$C$3,元データ!$B$2:$B$20000,$P$4,元データ!$C$2:$C$20000,P$5)</f>
        <v>1536870</v>
      </c>
      <c r="Q36" s="16">
        <f>SUMIFS(INDEX(元データ!$E$2:$H$20000,0,MATCH($C$2,元データ!$E$1:$H$1,0)),元データ!$A$2:$A$20000,$A36,元データ!$D$2:$D$20000,$C$3,元データ!$B$2:$B$20000,$P$4,元データ!$C$2:$C$20000,Q$5)</f>
        <v>1600201</v>
      </c>
      <c r="R36" s="16">
        <f>SUMIFS(INDEX(元データ!$E$2:$H$20000,0,MATCH($C$2,元データ!$E$1:$H$1,0)),元データ!$A$2:$A$20000,$A36,元データ!$D$2:$D$20000,$C$3,元データ!$B$2:$B$20000,$P$4,元データ!$C$2:$C$20000,R$5)</f>
        <v>2767527</v>
      </c>
      <c r="S36" s="16">
        <f>SUMIFS(INDEX(元データ!$E$2:$H$20000,0,MATCH($C$2,元データ!$E$1:$H$1,0)),元データ!$A$2:$A$20000,$A36,元データ!$D$2:$D$20000,$C$3,元データ!$B$2:$B$20000,$P$4,元データ!$C$2:$C$20000,S$5)</f>
        <v>2117895</v>
      </c>
      <c r="T36" s="16">
        <f>SUMIFS(INDEX(元データ!$E$2:$H$20000,0,MATCH($C$2,元データ!$E$1:$H$1,0)),元データ!$A$2:$A$20000,$A36,元データ!$D$2:$D$20000,$C$3,元データ!$B$2:$B$20000,$P$4,元データ!$C$2:$C$20000,T$5)</f>
        <v>2413841</v>
      </c>
      <c r="U36" s="16">
        <f>SUMIFS(INDEX(元データ!$E$2:$H$20000,0,MATCH($C$2,元データ!$E$1:$H$1,0)),元データ!$A$2:$A$20000,$A36,元データ!$D$2:$D$20000,$C$3,元データ!$B$2:$B$20000,$P$4,元データ!$C$2:$C$20000,U$5)</f>
        <v>1486213</v>
      </c>
      <c r="V36" s="16">
        <f>SUMIFS(INDEX(元データ!$E$2:$H$20000,0,MATCH($C$2,元データ!$E$1:$H$1,0)),元データ!$A$2:$A$20000,$A36,元データ!$D$2:$D$20000,$C$3,元データ!$B$2:$B$20000,$P$4,元データ!$C$2:$C$20000,V$5)</f>
        <v>1338505</v>
      </c>
      <c r="W36" s="16">
        <f>SUMIFS(INDEX(元データ!$E$2:$H$20000,0,MATCH($C$2,元データ!$E$1:$H$1,0)),元データ!$A$2:$A$20000,$A36,元データ!$D$2:$D$20000,$C$3,元データ!$B$2:$B$20000,$P$4,元データ!$C$2:$C$20000,W$5)</f>
        <v>3619600</v>
      </c>
      <c r="X36" s="16">
        <f>SUMIFS(INDEX(元データ!$E$2:$H$20000,0,MATCH($C$2,元データ!$E$1:$H$1,0)),元データ!$A$2:$A$20000,$A36,元データ!$D$2:$D$20000,$C$3,元データ!$B$2:$B$20000,$P$4,元データ!$C$2:$C$20000,X$5)</f>
        <v>4115117</v>
      </c>
      <c r="Y36" s="16">
        <f>SUMIFS(INDEX(元データ!$E$2:$H$20000,0,MATCH($C$2,元データ!$E$1:$H$1,0)),元データ!$A$2:$A$20000,$A36,元データ!$D$2:$D$20000,$C$3,元データ!$B$2:$B$20000,$P$4,元データ!$C$2:$C$20000,Y$5)</f>
        <v>3723933</v>
      </c>
      <c r="Z36" s="16">
        <f>SUMIFS(INDEX(元データ!$E$2:$H$20000,0,MATCH($C$2,元データ!$E$1:$H$1,0)),元データ!$A$2:$A$20000,$A36,元データ!$D$2:$D$20000,$C$3,元データ!$B$2:$B$20000,$P$4,元データ!$C$2:$C$20000,Z$5)</f>
        <v>2938515</v>
      </c>
      <c r="AA36" s="16">
        <f>SUMIFS(INDEX(元データ!$E$2:$H$20000,0,MATCH($C$2,元データ!$E$1:$H$1,0)),元データ!$A$2:$A$20000,$A36,元データ!$D$2:$D$20000,$C$3,元データ!$B$2:$B$20000,$P$4,元データ!$C$2:$C$20000,AA$5)</f>
        <v>2153844</v>
      </c>
      <c r="AB36" s="17">
        <f t="shared" si="1"/>
        <v>29812061</v>
      </c>
      <c r="AC36" s="18">
        <f t="shared" si="2"/>
        <v>1.1922374696623657</v>
      </c>
      <c r="AD36" s="18">
        <f t="shared" si="3"/>
        <v>0.98300463504272273</v>
      </c>
      <c r="AE36" s="18">
        <f t="shared" si="4"/>
        <v>0.91897242556260517</v>
      </c>
      <c r="AF36" s="18">
        <f t="shared" si="5"/>
        <v>1.086912240691819</v>
      </c>
      <c r="AG36" s="18">
        <f t="shared" si="6"/>
        <v>0.98040923159396165</v>
      </c>
      <c r="AH36" s="18">
        <f t="shared" si="7"/>
        <v>1.1552724945885953</v>
      </c>
      <c r="AI36" s="18">
        <f t="shared" si="8"/>
        <v>1.1246472743844811</v>
      </c>
      <c r="AJ36" s="18">
        <f t="shared" si="9"/>
        <v>0.83739805503370535</v>
      </c>
      <c r="AK36" s="18">
        <f t="shared" si="10"/>
        <v>1.0758714758292414</v>
      </c>
      <c r="AL36" s="18">
        <f t="shared" si="11"/>
        <v>0.83491861964219016</v>
      </c>
      <c r="AM36" s="18">
        <f t="shared" si="12"/>
        <v>1.0189007032463677</v>
      </c>
      <c r="AN36" s="18">
        <f t="shared" si="13"/>
        <v>1.0861441218584076</v>
      </c>
      <c r="AO36" s="19">
        <f t="shared" si="14"/>
        <v>0.99759788496340462</v>
      </c>
    </row>
    <row r="37" spans="1:41" x14ac:dyDescent="0.45">
      <c r="A37" s="14" t="str">
        <f>店舗マスタ!A33</f>
        <v>城北店</v>
      </c>
      <c r="B37" s="15"/>
      <c r="C37" s="16">
        <f>SUMIFS(INDEX(元データ!$E$2:$H$20000,0,MATCH($C$2,元データ!$E$1:$H$1,0)),元データ!$A$2:$A$20000,$A37,元データ!$D$2:$D$20000,$C$3,元データ!$B$2:$B$20000,$C$4,元データ!$C$2:$C$20000,C$5)</f>
        <v>740982</v>
      </c>
      <c r="D37" s="16">
        <f>SUMIFS(INDEX(元データ!$E$2:$H$20000,0,MATCH($C$2,元データ!$E$1:$H$1,0)),元データ!$A$2:$A$20000,$A37,元データ!$D$2:$D$20000,$C$3,元データ!$B$2:$B$20000,$C$4,元データ!$C$2:$C$20000,D$5)</f>
        <v>796871</v>
      </c>
      <c r="E37" s="16">
        <f>SUMIFS(INDEX(元データ!$E$2:$H$20000,0,MATCH($C$2,元データ!$E$1:$H$1,0)),元データ!$A$2:$A$20000,$A37,元データ!$D$2:$D$20000,$C$3,元データ!$B$2:$B$20000,$C$4,元データ!$C$2:$C$20000,E$5)</f>
        <v>1229823</v>
      </c>
      <c r="F37" s="16">
        <f>SUMIFS(INDEX(元データ!$E$2:$H$20000,0,MATCH($C$2,元データ!$E$1:$H$1,0)),元データ!$A$2:$A$20000,$A37,元データ!$D$2:$D$20000,$C$3,元データ!$B$2:$B$20000,$C$4,元データ!$C$2:$C$20000,F$5)</f>
        <v>1049045</v>
      </c>
      <c r="G37" s="16">
        <f>SUMIFS(INDEX(元データ!$E$2:$H$20000,0,MATCH($C$2,元データ!$E$1:$H$1,0)),元データ!$A$2:$A$20000,$A37,元データ!$D$2:$D$20000,$C$3,元データ!$B$2:$B$20000,$C$4,元データ!$C$2:$C$20000,G$5)</f>
        <v>979815</v>
      </c>
      <c r="H37" s="16">
        <f>SUMIFS(INDEX(元データ!$E$2:$H$20000,0,MATCH($C$2,元データ!$E$1:$H$1,0)),元データ!$A$2:$A$20000,$A37,元データ!$D$2:$D$20000,$C$3,元データ!$B$2:$B$20000,$C$4,元データ!$C$2:$C$20000,H$5)</f>
        <v>806458</v>
      </c>
      <c r="I37" s="16">
        <f>SUMIFS(INDEX(元データ!$E$2:$H$20000,0,MATCH($C$2,元データ!$E$1:$H$1,0)),元データ!$A$2:$A$20000,$A37,元データ!$D$2:$D$20000,$C$3,元データ!$B$2:$B$20000,$C$4,元データ!$C$2:$C$20000,I$5)</f>
        <v>705007</v>
      </c>
      <c r="J37" s="16">
        <f>SUMIFS(INDEX(元データ!$E$2:$H$20000,0,MATCH($C$2,元データ!$E$1:$H$1,0)),元データ!$A$2:$A$20000,$A37,元データ!$D$2:$D$20000,$C$3,元データ!$B$2:$B$20000,$C$4,元データ!$C$2:$C$20000,J$5)</f>
        <v>1379156</v>
      </c>
      <c r="K37" s="16">
        <f>SUMIFS(INDEX(元データ!$E$2:$H$20000,0,MATCH($C$2,元データ!$E$1:$H$1,0)),元データ!$A$2:$A$20000,$A37,元データ!$D$2:$D$20000,$C$3,元データ!$B$2:$B$20000,$C$4,元データ!$C$2:$C$20000,K$5)</f>
        <v>1972765</v>
      </c>
      <c r="L37" s="16">
        <f>SUMIFS(INDEX(元データ!$E$2:$H$20000,0,MATCH($C$2,元データ!$E$1:$H$1,0)),元データ!$A$2:$A$20000,$A37,元データ!$D$2:$D$20000,$C$3,元データ!$B$2:$B$20000,$C$4,元データ!$C$2:$C$20000,L$5)</f>
        <v>1466045</v>
      </c>
      <c r="M37" s="16">
        <f>SUMIFS(INDEX(元データ!$E$2:$H$20000,0,MATCH($C$2,元データ!$E$1:$H$1,0)),元データ!$A$2:$A$20000,$A37,元データ!$D$2:$D$20000,$C$3,元データ!$B$2:$B$20000,$C$4,元データ!$C$2:$C$20000,M$5)</f>
        <v>1484829</v>
      </c>
      <c r="N37" s="16">
        <f>SUMIFS(INDEX(元データ!$E$2:$H$20000,0,MATCH($C$2,元データ!$E$1:$H$1,0)),元データ!$A$2:$A$20000,$A37,元データ!$D$2:$D$20000,$C$3,元データ!$B$2:$B$20000,$C$4,元データ!$C$2:$C$20000,N$5)</f>
        <v>898103</v>
      </c>
      <c r="O37" s="17">
        <f t="shared" si="0"/>
        <v>13508899</v>
      </c>
      <c r="P37" s="16">
        <f>SUMIFS(INDEX(元データ!$E$2:$H$20000,0,MATCH($C$2,元データ!$E$1:$H$1,0)),元データ!$A$2:$A$20000,$A37,元データ!$D$2:$D$20000,$C$3,元データ!$B$2:$B$20000,$P$4,元データ!$C$2:$C$20000,P$5)</f>
        <v>793382</v>
      </c>
      <c r="Q37" s="16">
        <f>SUMIFS(INDEX(元データ!$E$2:$H$20000,0,MATCH($C$2,元データ!$E$1:$H$1,0)),元データ!$A$2:$A$20000,$A37,元データ!$D$2:$D$20000,$C$3,元データ!$B$2:$B$20000,$P$4,元データ!$C$2:$C$20000,Q$5)</f>
        <v>707320</v>
      </c>
      <c r="R37" s="16">
        <f>SUMIFS(INDEX(元データ!$E$2:$H$20000,0,MATCH($C$2,元データ!$E$1:$H$1,0)),元データ!$A$2:$A$20000,$A37,元データ!$D$2:$D$20000,$C$3,元データ!$B$2:$B$20000,$P$4,元データ!$C$2:$C$20000,R$5)</f>
        <v>1155548</v>
      </c>
      <c r="S37" s="16">
        <f>SUMIFS(INDEX(元データ!$E$2:$H$20000,0,MATCH($C$2,元データ!$E$1:$H$1,0)),元データ!$A$2:$A$20000,$A37,元データ!$D$2:$D$20000,$C$3,元データ!$B$2:$B$20000,$P$4,元データ!$C$2:$C$20000,S$5)</f>
        <v>1068957</v>
      </c>
      <c r="T37" s="16">
        <f>SUMIFS(INDEX(元データ!$E$2:$H$20000,0,MATCH($C$2,元データ!$E$1:$H$1,0)),元データ!$A$2:$A$20000,$A37,元データ!$D$2:$D$20000,$C$3,元データ!$B$2:$B$20000,$P$4,元データ!$C$2:$C$20000,T$5)</f>
        <v>1053332</v>
      </c>
      <c r="U37" s="16">
        <f>SUMIFS(INDEX(元データ!$E$2:$H$20000,0,MATCH($C$2,元データ!$E$1:$H$1,0)),元データ!$A$2:$A$20000,$A37,元データ!$D$2:$D$20000,$C$3,元データ!$B$2:$B$20000,$P$4,元データ!$C$2:$C$20000,U$5)</f>
        <v>732757</v>
      </c>
      <c r="V37" s="16">
        <f>SUMIFS(INDEX(元データ!$E$2:$H$20000,0,MATCH($C$2,元データ!$E$1:$H$1,0)),元データ!$A$2:$A$20000,$A37,元データ!$D$2:$D$20000,$C$3,元データ!$B$2:$B$20000,$P$4,元データ!$C$2:$C$20000,V$5)</f>
        <v>644259</v>
      </c>
      <c r="W37" s="16">
        <f>SUMIFS(INDEX(元データ!$E$2:$H$20000,0,MATCH($C$2,元データ!$E$1:$H$1,0)),元データ!$A$2:$A$20000,$A37,元データ!$D$2:$D$20000,$C$3,元データ!$B$2:$B$20000,$P$4,元データ!$C$2:$C$20000,W$5)</f>
        <v>1649943</v>
      </c>
      <c r="X37" s="16">
        <f>SUMIFS(INDEX(元データ!$E$2:$H$20000,0,MATCH($C$2,元データ!$E$1:$H$1,0)),元データ!$A$2:$A$20000,$A37,元データ!$D$2:$D$20000,$C$3,元データ!$B$2:$B$20000,$P$4,元データ!$C$2:$C$20000,X$5)</f>
        <v>1972168</v>
      </c>
      <c r="Y37" s="16">
        <f>SUMIFS(INDEX(元データ!$E$2:$H$20000,0,MATCH($C$2,元データ!$E$1:$H$1,0)),元データ!$A$2:$A$20000,$A37,元データ!$D$2:$D$20000,$C$3,元データ!$B$2:$B$20000,$P$4,元データ!$C$2:$C$20000,Y$5)</f>
        <v>1731601</v>
      </c>
      <c r="Z37" s="16">
        <f>SUMIFS(INDEX(元データ!$E$2:$H$20000,0,MATCH($C$2,元データ!$E$1:$H$1,0)),元データ!$A$2:$A$20000,$A37,元データ!$D$2:$D$20000,$C$3,元データ!$B$2:$B$20000,$P$4,元データ!$C$2:$C$20000,Z$5)</f>
        <v>1400137</v>
      </c>
      <c r="AA37" s="16">
        <f>SUMIFS(INDEX(元データ!$E$2:$H$20000,0,MATCH($C$2,元データ!$E$1:$H$1,0)),元データ!$A$2:$A$20000,$A37,元データ!$D$2:$D$20000,$C$3,元データ!$B$2:$B$20000,$P$4,元データ!$C$2:$C$20000,AA$5)</f>
        <v>1078104</v>
      </c>
      <c r="AB37" s="17">
        <f t="shared" si="1"/>
        <v>13987508</v>
      </c>
      <c r="AC37" s="18">
        <f t="shared" si="2"/>
        <v>0.93395363141588794</v>
      </c>
      <c r="AD37" s="18">
        <f t="shared" si="3"/>
        <v>1.126606062319742</v>
      </c>
      <c r="AE37" s="18">
        <f t="shared" si="4"/>
        <v>1.0642768625794861</v>
      </c>
      <c r="AF37" s="18">
        <f t="shared" si="5"/>
        <v>0.98137249674215143</v>
      </c>
      <c r="AG37" s="18">
        <f t="shared" si="6"/>
        <v>0.93020529139910302</v>
      </c>
      <c r="AH37" s="18">
        <f t="shared" si="7"/>
        <v>1.1005804106954966</v>
      </c>
      <c r="AI37" s="18">
        <f t="shared" si="8"/>
        <v>1.0942912710571369</v>
      </c>
      <c r="AJ37" s="18">
        <f t="shared" si="9"/>
        <v>0.83588099710111197</v>
      </c>
      <c r="AK37" s="18">
        <f t="shared" si="10"/>
        <v>1.0003027125478154</v>
      </c>
      <c r="AL37" s="18">
        <f t="shared" si="11"/>
        <v>0.84664134520596834</v>
      </c>
      <c r="AM37" s="18">
        <f t="shared" si="12"/>
        <v>1.0604883664955644</v>
      </c>
      <c r="AN37" s="18">
        <f t="shared" si="13"/>
        <v>0.83303929862054127</v>
      </c>
      <c r="AO37" s="19">
        <f t="shared" si="14"/>
        <v>0.96578311161645092</v>
      </c>
    </row>
    <row r="38" spans="1:41" x14ac:dyDescent="0.45">
      <c r="A38" s="14" t="str">
        <f>店舗マスタ!A34</f>
        <v>藤枝店</v>
      </c>
      <c r="B38" s="15"/>
      <c r="C38" s="16">
        <f>SUMIFS(INDEX(元データ!$E$2:$H$20000,0,MATCH($C$2,元データ!$E$1:$H$1,0)),元データ!$A$2:$A$20000,$A38,元データ!$D$2:$D$20000,$C$3,元データ!$B$2:$B$20000,$C$4,元データ!$C$2:$C$20000,C$5)</f>
        <v>1308244</v>
      </c>
      <c r="D38" s="16">
        <f>SUMIFS(INDEX(元データ!$E$2:$H$20000,0,MATCH($C$2,元データ!$E$1:$H$1,0)),元データ!$A$2:$A$20000,$A38,元データ!$D$2:$D$20000,$C$3,元データ!$B$2:$B$20000,$C$4,元データ!$C$2:$C$20000,D$5)</f>
        <v>1279148</v>
      </c>
      <c r="E38" s="16">
        <f>SUMIFS(INDEX(元データ!$E$2:$H$20000,0,MATCH($C$2,元データ!$E$1:$H$1,0)),元データ!$A$2:$A$20000,$A38,元データ!$D$2:$D$20000,$C$3,元データ!$B$2:$B$20000,$C$4,元データ!$C$2:$C$20000,E$5)</f>
        <v>2897094</v>
      </c>
      <c r="F38" s="16">
        <f>SUMIFS(INDEX(元データ!$E$2:$H$20000,0,MATCH($C$2,元データ!$E$1:$H$1,0)),元データ!$A$2:$A$20000,$A38,元データ!$D$2:$D$20000,$C$3,元データ!$B$2:$B$20000,$C$4,元データ!$C$2:$C$20000,F$5)</f>
        <v>1709642</v>
      </c>
      <c r="G38" s="16">
        <f>SUMIFS(INDEX(元データ!$E$2:$H$20000,0,MATCH($C$2,元データ!$E$1:$H$1,0)),元データ!$A$2:$A$20000,$A38,元データ!$D$2:$D$20000,$C$3,元データ!$B$2:$B$20000,$C$4,元データ!$C$2:$C$20000,G$5)</f>
        <v>1590616</v>
      </c>
      <c r="H38" s="16">
        <f>SUMIFS(INDEX(元データ!$E$2:$H$20000,0,MATCH($C$2,元データ!$E$1:$H$1,0)),元データ!$A$2:$A$20000,$A38,元データ!$D$2:$D$20000,$C$3,元データ!$B$2:$B$20000,$C$4,元データ!$C$2:$C$20000,H$5)</f>
        <v>1233088</v>
      </c>
      <c r="I38" s="16">
        <f>SUMIFS(INDEX(元データ!$E$2:$H$20000,0,MATCH($C$2,元データ!$E$1:$H$1,0)),元データ!$A$2:$A$20000,$A38,元データ!$D$2:$D$20000,$C$3,元データ!$B$2:$B$20000,$C$4,元データ!$C$2:$C$20000,I$5)</f>
        <v>1224588</v>
      </c>
      <c r="J38" s="16">
        <f>SUMIFS(INDEX(元データ!$E$2:$H$20000,0,MATCH($C$2,元データ!$E$1:$H$1,0)),元データ!$A$2:$A$20000,$A38,元データ!$D$2:$D$20000,$C$3,元データ!$B$2:$B$20000,$C$4,元データ!$C$2:$C$20000,J$5)</f>
        <v>2176268</v>
      </c>
      <c r="K38" s="16">
        <f>SUMIFS(INDEX(元データ!$E$2:$H$20000,0,MATCH($C$2,元データ!$E$1:$H$1,0)),元データ!$A$2:$A$20000,$A38,元データ!$D$2:$D$20000,$C$3,元データ!$B$2:$B$20000,$C$4,元データ!$C$2:$C$20000,K$5)</f>
        <v>3501674</v>
      </c>
      <c r="L38" s="16">
        <f>SUMIFS(INDEX(元データ!$E$2:$H$20000,0,MATCH($C$2,元データ!$E$1:$H$1,0)),元データ!$A$2:$A$20000,$A38,元データ!$D$2:$D$20000,$C$3,元データ!$B$2:$B$20000,$C$4,元データ!$C$2:$C$20000,L$5)</f>
        <v>2546156</v>
      </c>
      <c r="M38" s="16">
        <f>SUMIFS(INDEX(元データ!$E$2:$H$20000,0,MATCH($C$2,元データ!$E$1:$H$1,0)),元データ!$A$2:$A$20000,$A38,元データ!$D$2:$D$20000,$C$3,元データ!$B$2:$B$20000,$C$4,元データ!$C$2:$C$20000,M$5)</f>
        <v>2240625</v>
      </c>
      <c r="N38" s="16">
        <f>SUMIFS(INDEX(元データ!$E$2:$H$20000,0,MATCH($C$2,元データ!$E$1:$H$1,0)),元データ!$A$2:$A$20000,$A38,元データ!$D$2:$D$20000,$C$3,元データ!$B$2:$B$20000,$C$4,元データ!$C$2:$C$20000,N$5)</f>
        <v>1659149</v>
      </c>
      <c r="O38" s="17">
        <f t="shared" ref="O38:O69" si="15">SUM(C38:N38)</f>
        <v>23366292</v>
      </c>
      <c r="P38" s="16">
        <f>SUMIFS(INDEX(元データ!$E$2:$H$20000,0,MATCH($C$2,元データ!$E$1:$H$1,0)),元データ!$A$2:$A$20000,$A38,元データ!$D$2:$D$20000,$C$3,元データ!$B$2:$B$20000,$P$4,元データ!$C$2:$C$20000,P$5)</f>
        <v>1216517</v>
      </c>
      <c r="Q38" s="16">
        <f>SUMIFS(INDEX(元データ!$E$2:$H$20000,0,MATCH($C$2,元データ!$E$1:$H$1,0)),元データ!$A$2:$A$20000,$A38,元データ!$D$2:$D$20000,$C$3,元データ!$B$2:$B$20000,$P$4,元データ!$C$2:$C$20000,Q$5)</f>
        <v>1308805</v>
      </c>
      <c r="R38" s="16">
        <f>SUMIFS(INDEX(元データ!$E$2:$H$20000,0,MATCH($C$2,元データ!$E$1:$H$1,0)),元データ!$A$2:$A$20000,$A38,元データ!$D$2:$D$20000,$C$3,元データ!$B$2:$B$20000,$P$4,元データ!$C$2:$C$20000,R$5)</f>
        <v>2005248</v>
      </c>
      <c r="S38" s="16">
        <f>SUMIFS(INDEX(元データ!$E$2:$H$20000,0,MATCH($C$2,元データ!$E$1:$H$1,0)),元データ!$A$2:$A$20000,$A38,元データ!$D$2:$D$20000,$C$3,元データ!$B$2:$B$20000,$P$4,元データ!$C$2:$C$20000,S$5)</f>
        <v>1548401</v>
      </c>
      <c r="T38" s="16">
        <f>SUMIFS(INDEX(元データ!$E$2:$H$20000,0,MATCH($C$2,元データ!$E$1:$H$1,0)),元データ!$A$2:$A$20000,$A38,元データ!$D$2:$D$20000,$C$3,元データ!$B$2:$B$20000,$P$4,元データ!$C$2:$C$20000,T$5)</f>
        <v>1786697</v>
      </c>
      <c r="U38" s="16">
        <f>SUMIFS(INDEX(元データ!$E$2:$H$20000,0,MATCH($C$2,元データ!$E$1:$H$1,0)),元データ!$A$2:$A$20000,$A38,元データ!$D$2:$D$20000,$C$3,元データ!$B$2:$B$20000,$P$4,元データ!$C$2:$C$20000,U$5)</f>
        <v>1148572</v>
      </c>
      <c r="V38" s="16">
        <f>SUMIFS(INDEX(元データ!$E$2:$H$20000,0,MATCH($C$2,元データ!$E$1:$H$1,0)),元データ!$A$2:$A$20000,$A38,元データ!$D$2:$D$20000,$C$3,元データ!$B$2:$B$20000,$P$4,元データ!$C$2:$C$20000,V$5)</f>
        <v>1286151</v>
      </c>
      <c r="W38" s="16">
        <f>SUMIFS(INDEX(元データ!$E$2:$H$20000,0,MATCH($C$2,元データ!$E$1:$H$1,0)),元データ!$A$2:$A$20000,$A38,元データ!$D$2:$D$20000,$C$3,元データ!$B$2:$B$20000,$P$4,元データ!$C$2:$C$20000,W$5)</f>
        <v>2434155</v>
      </c>
      <c r="X38" s="16">
        <f>SUMIFS(INDEX(元データ!$E$2:$H$20000,0,MATCH($C$2,元データ!$E$1:$H$1,0)),元データ!$A$2:$A$20000,$A38,元データ!$D$2:$D$20000,$C$3,元データ!$B$2:$B$20000,$P$4,元データ!$C$2:$C$20000,X$5)</f>
        <v>3234607</v>
      </c>
      <c r="Y38" s="16">
        <f>SUMIFS(INDEX(元データ!$E$2:$H$20000,0,MATCH($C$2,元データ!$E$1:$H$1,0)),元データ!$A$2:$A$20000,$A38,元データ!$D$2:$D$20000,$C$3,元データ!$B$2:$B$20000,$P$4,元データ!$C$2:$C$20000,Y$5)</f>
        <v>2905368</v>
      </c>
      <c r="Z38" s="16">
        <f>SUMIFS(INDEX(元データ!$E$2:$H$20000,0,MATCH($C$2,元データ!$E$1:$H$1,0)),元データ!$A$2:$A$20000,$A38,元データ!$D$2:$D$20000,$C$3,元データ!$B$2:$B$20000,$P$4,元データ!$C$2:$C$20000,Z$5)</f>
        <v>2657017</v>
      </c>
      <c r="AA38" s="16">
        <f>SUMIFS(INDEX(元データ!$E$2:$H$20000,0,MATCH($C$2,元データ!$E$1:$H$1,0)),元データ!$A$2:$A$20000,$A38,元データ!$D$2:$D$20000,$C$3,元データ!$B$2:$B$20000,$P$4,元データ!$C$2:$C$20000,AA$5)</f>
        <v>1655656</v>
      </c>
      <c r="AB38" s="17">
        <f t="shared" ref="AB38:AB69" si="16">SUM(P38:AA38)</f>
        <v>23187194</v>
      </c>
      <c r="AC38" s="18">
        <f t="shared" ref="AC38:AC58" si="17">IFERROR(C38/P38,"")</f>
        <v>1.075401330191029</v>
      </c>
      <c r="AD38" s="18">
        <f t="shared" ref="AD38:AD58" si="18">IFERROR(D38/Q38,"")</f>
        <v>0.97734039830226815</v>
      </c>
      <c r="AE38" s="18">
        <f t="shared" ref="AE38:AE58" si="19">IFERROR(E38/R38,"")</f>
        <v>1.4447559603600153</v>
      </c>
      <c r="AF38" s="18">
        <f t="shared" ref="AF38:AF58" si="20">IFERROR(F38/S38,"")</f>
        <v>1.1041338774645586</v>
      </c>
      <c r="AG38" s="18">
        <f t="shared" ref="AG38:AG58" si="21">IFERROR(G38/T38,"")</f>
        <v>0.89025503484922175</v>
      </c>
      <c r="AH38" s="18">
        <f t="shared" ref="AH38:AH58" si="22">IFERROR(H38/U38,"")</f>
        <v>1.0735835454808231</v>
      </c>
      <c r="AI38" s="18">
        <f t="shared" ref="AI38:AI58" si="23">IFERROR(I38/V38,"")</f>
        <v>0.95213392517674833</v>
      </c>
      <c r="AJ38" s="18">
        <f t="shared" ref="AJ38:AJ58" si="24">IFERROR(J38/W38,"")</f>
        <v>0.89405481573687784</v>
      </c>
      <c r="AK38" s="18">
        <f t="shared" ref="AK38:AK58" si="25">IFERROR(K38/X38,"")</f>
        <v>1.0825655172328508</v>
      </c>
      <c r="AL38" s="18">
        <f t="shared" ref="AL38:AL58" si="26">IFERROR(L38/Y38,"")</f>
        <v>0.8763626501014673</v>
      </c>
      <c r="AM38" s="18">
        <f t="shared" ref="AM38:AM58" si="27">IFERROR(M38/Z38,"")</f>
        <v>0.84328591047780277</v>
      </c>
      <c r="AN38" s="18">
        <f t="shared" ref="AN38:AN58" si="28">IFERROR(N38/AA38,"")</f>
        <v>1.0021097377716144</v>
      </c>
      <c r="AO38" s="19">
        <f t="shared" ref="AO38:AO58" si="29">IFERROR(O38/AB38,"")</f>
        <v>1.007724004896841</v>
      </c>
    </row>
    <row r="39" spans="1:41" x14ac:dyDescent="0.45">
      <c r="A39" s="14" t="str">
        <f>店舗マスタ!A35</f>
        <v>曲金店</v>
      </c>
      <c r="B39" s="15"/>
      <c r="C39" s="16">
        <f>SUMIFS(INDEX(元データ!$E$2:$H$20000,0,MATCH($C$2,元データ!$E$1:$H$1,0)),元データ!$A$2:$A$20000,$A39,元データ!$D$2:$D$20000,$C$3,元データ!$B$2:$B$20000,$C$4,元データ!$C$2:$C$20000,C$5)</f>
        <v>586507</v>
      </c>
      <c r="D39" s="16">
        <f>SUMIFS(INDEX(元データ!$E$2:$H$20000,0,MATCH($C$2,元データ!$E$1:$H$1,0)),元データ!$A$2:$A$20000,$A39,元データ!$D$2:$D$20000,$C$3,元データ!$B$2:$B$20000,$C$4,元データ!$C$2:$C$20000,D$5)</f>
        <v>570409</v>
      </c>
      <c r="E39" s="16">
        <f>SUMIFS(INDEX(元データ!$E$2:$H$20000,0,MATCH($C$2,元データ!$E$1:$H$1,0)),元データ!$A$2:$A$20000,$A39,元データ!$D$2:$D$20000,$C$3,元データ!$B$2:$B$20000,$C$4,元データ!$C$2:$C$20000,E$5)</f>
        <v>906551</v>
      </c>
      <c r="F39" s="16">
        <f>SUMIFS(INDEX(元データ!$E$2:$H$20000,0,MATCH($C$2,元データ!$E$1:$H$1,0)),元データ!$A$2:$A$20000,$A39,元データ!$D$2:$D$20000,$C$3,元データ!$B$2:$B$20000,$C$4,元データ!$C$2:$C$20000,F$5)</f>
        <v>817545</v>
      </c>
      <c r="G39" s="16">
        <f>SUMIFS(INDEX(元データ!$E$2:$H$20000,0,MATCH($C$2,元データ!$E$1:$H$1,0)),元データ!$A$2:$A$20000,$A39,元データ!$D$2:$D$20000,$C$3,元データ!$B$2:$B$20000,$C$4,元データ!$C$2:$C$20000,G$5)</f>
        <v>913965</v>
      </c>
      <c r="H39" s="16">
        <f>SUMIFS(INDEX(元データ!$E$2:$H$20000,0,MATCH($C$2,元データ!$E$1:$H$1,0)),元データ!$A$2:$A$20000,$A39,元データ!$D$2:$D$20000,$C$3,元データ!$B$2:$B$20000,$C$4,元データ!$C$2:$C$20000,H$5)</f>
        <v>567886</v>
      </c>
      <c r="I39" s="16">
        <f>SUMIFS(INDEX(元データ!$E$2:$H$20000,0,MATCH($C$2,元データ!$E$1:$H$1,0)),元データ!$A$2:$A$20000,$A39,元データ!$D$2:$D$20000,$C$3,元データ!$B$2:$B$20000,$C$4,元データ!$C$2:$C$20000,I$5)</f>
        <v>559900</v>
      </c>
      <c r="J39" s="16">
        <f>SUMIFS(INDEX(元データ!$E$2:$H$20000,0,MATCH($C$2,元データ!$E$1:$H$1,0)),元データ!$A$2:$A$20000,$A39,元データ!$D$2:$D$20000,$C$3,元データ!$B$2:$B$20000,$C$4,元データ!$C$2:$C$20000,J$5)</f>
        <v>1080359</v>
      </c>
      <c r="K39" s="16">
        <f>SUMIFS(INDEX(元データ!$E$2:$H$20000,0,MATCH($C$2,元データ!$E$1:$H$1,0)),元データ!$A$2:$A$20000,$A39,元データ!$D$2:$D$20000,$C$3,元データ!$B$2:$B$20000,$C$4,元データ!$C$2:$C$20000,K$5)</f>
        <v>1883439</v>
      </c>
      <c r="L39" s="16">
        <f>SUMIFS(INDEX(元データ!$E$2:$H$20000,0,MATCH($C$2,元データ!$E$1:$H$1,0)),元データ!$A$2:$A$20000,$A39,元データ!$D$2:$D$20000,$C$3,元データ!$B$2:$B$20000,$C$4,元データ!$C$2:$C$20000,L$5)</f>
        <v>1230463</v>
      </c>
      <c r="M39" s="16">
        <f>SUMIFS(INDEX(元データ!$E$2:$H$20000,0,MATCH($C$2,元データ!$E$1:$H$1,0)),元データ!$A$2:$A$20000,$A39,元データ!$D$2:$D$20000,$C$3,元データ!$B$2:$B$20000,$C$4,元データ!$C$2:$C$20000,M$5)</f>
        <v>1094243</v>
      </c>
      <c r="N39" s="16">
        <f>SUMIFS(INDEX(元データ!$E$2:$H$20000,0,MATCH($C$2,元データ!$E$1:$H$1,0)),元データ!$A$2:$A$20000,$A39,元データ!$D$2:$D$20000,$C$3,元データ!$B$2:$B$20000,$C$4,元データ!$C$2:$C$20000,N$5)</f>
        <v>715675</v>
      </c>
      <c r="O39" s="17">
        <f t="shared" si="15"/>
        <v>10926942</v>
      </c>
      <c r="P39" s="16">
        <f>SUMIFS(INDEX(元データ!$E$2:$H$20000,0,MATCH($C$2,元データ!$E$1:$H$1,0)),元データ!$A$2:$A$20000,$A39,元データ!$D$2:$D$20000,$C$3,元データ!$B$2:$B$20000,$P$4,元データ!$C$2:$C$20000,P$5)</f>
        <v>533011</v>
      </c>
      <c r="Q39" s="16">
        <f>SUMIFS(INDEX(元データ!$E$2:$H$20000,0,MATCH($C$2,元データ!$E$1:$H$1,0)),元データ!$A$2:$A$20000,$A39,元データ!$D$2:$D$20000,$C$3,元データ!$B$2:$B$20000,$P$4,元データ!$C$2:$C$20000,Q$5)</f>
        <v>557005</v>
      </c>
      <c r="R39" s="16">
        <f>SUMIFS(INDEX(元データ!$E$2:$H$20000,0,MATCH($C$2,元データ!$E$1:$H$1,0)),元データ!$A$2:$A$20000,$A39,元データ!$D$2:$D$20000,$C$3,元データ!$B$2:$B$20000,$P$4,元データ!$C$2:$C$20000,R$5)</f>
        <v>1035781</v>
      </c>
      <c r="S39" s="16">
        <f>SUMIFS(INDEX(元データ!$E$2:$H$20000,0,MATCH($C$2,元データ!$E$1:$H$1,0)),元データ!$A$2:$A$20000,$A39,元データ!$D$2:$D$20000,$C$3,元データ!$B$2:$B$20000,$P$4,元データ!$C$2:$C$20000,S$5)</f>
        <v>790294</v>
      </c>
      <c r="T39" s="16">
        <f>SUMIFS(INDEX(元データ!$E$2:$H$20000,0,MATCH($C$2,元データ!$E$1:$H$1,0)),元データ!$A$2:$A$20000,$A39,元データ!$D$2:$D$20000,$C$3,元データ!$B$2:$B$20000,$P$4,元データ!$C$2:$C$20000,T$5)</f>
        <v>873134</v>
      </c>
      <c r="U39" s="16">
        <f>SUMIFS(INDEX(元データ!$E$2:$H$20000,0,MATCH($C$2,元データ!$E$1:$H$1,0)),元データ!$A$2:$A$20000,$A39,元データ!$D$2:$D$20000,$C$3,元データ!$B$2:$B$20000,$P$4,元データ!$C$2:$C$20000,U$5)</f>
        <v>562342</v>
      </c>
      <c r="V39" s="16">
        <f>SUMIFS(INDEX(元データ!$E$2:$H$20000,0,MATCH($C$2,元データ!$E$1:$H$1,0)),元データ!$A$2:$A$20000,$A39,元データ!$D$2:$D$20000,$C$3,元データ!$B$2:$B$20000,$P$4,元データ!$C$2:$C$20000,V$5)</f>
        <v>542433</v>
      </c>
      <c r="W39" s="16">
        <f>SUMIFS(INDEX(元データ!$E$2:$H$20000,0,MATCH($C$2,元データ!$E$1:$H$1,0)),元データ!$A$2:$A$20000,$A39,元データ!$D$2:$D$20000,$C$3,元データ!$B$2:$B$20000,$P$4,元データ!$C$2:$C$20000,W$5)</f>
        <v>1239965</v>
      </c>
      <c r="X39" s="16">
        <f>SUMIFS(INDEX(元データ!$E$2:$H$20000,0,MATCH($C$2,元データ!$E$1:$H$1,0)),元データ!$A$2:$A$20000,$A39,元データ!$D$2:$D$20000,$C$3,元データ!$B$2:$B$20000,$P$4,元データ!$C$2:$C$20000,X$5)</f>
        <v>1877347</v>
      </c>
      <c r="Y39" s="16">
        <f>SUMIFS(INDEX(元データ!$E$2:$H$20000,0,MATCH($C$2,元データ!$E$1:$H$1,0)),元データ!$A$2:$A$20000,$A39,元データ!$D$2:$D$20000,$C$3,元データ!$B$2:$B$20000,$P$4,元データ!$C$2:$C$20000,Y$5)</f>
        <v>1390586</v>
      </c>
      <c r="Z39" s="16">
        <f>SUMIFS(INDEX(元データ!$E$2:$H$20000,0,MATCH($C$2,元データ!$E$1:$H$1,0)),元データ!$A$2:$A$20000,$A39,元データ!$D$2:$D$20000,$C$3,元データ!$B$2:$B$20000,$P$4,元データ!$C$2:$C$20000,Z$5)</f>
        <v>1169522</v>
      </c>
      <c r="AA39" s="16">
        <f>SUMIFS(INDEX(元データ!$E$2:$H$20000,0,MATCH($C$2,元データ!$E$1:$H$1,0)),元データ!$A$2:$A$20000,$A39,元データ!$D$2:$D$20000,$C$3,元データ!$B$2:$B$20000,$P$4,元データ!$C$2:$C$20000,AA$5)</f>
        <v>855469</v>
      </c>
      <c r="AB39" s="17">
        <f t="shared" si="16"/>
        <v>11426889</v>
      </c>
      <c r="AC39" s="18">
        <f t="shared" si="17"/>
        <v>1.1003656584948529</v>
      </c>
      <c r="AD39" s="18">
        <f t="shared" si="18"/>
        <v>1.0240644159388157</v>
      </c>
      <c r="AE39" s="18">
        <f t="shared" si="19"/>
        <v>0.87523424353217527</v>
      </c>
      <c r="AF39" s="18">
        <f t="shared" si="20"/>
        <v>1.034482104128337</v>
      </c>
      <c r="AG39" s="18">
        <f t="shared" si="21"/>
        <v>1.0467637269880683</v>
      </c>
      <c r="AH39" s="18">
        <f t="shared" si="22"/>
        <v>1.0098587692187317</v>
      </c>
      <c r="AI39" s="18">
        <f t="shared" si="23"/>
        <v>1.0322012119469133</v>
      </c>
      <c r="AJ39" s="18">
        <f t="shared" si="24"/>
        <v>0.87128185069739872</v>
      </c>
      <c r="AK39" s="18">
        <f t="shared" si="25"/>
        <v>1.0032450047860091</v>
      </c>
      <c r="AL39" s="18">
        <f t="shared" si="26"/>
        <v>0.88485214147129343</v>
      </c>
      <c r="AM39" s="18">
        <f t="shared" si="27"/>
        <v>0.93563267728182964</v>
      </c>
      <c r="AN39" s="18">
        <f t="shared" si="28"/>
        <v>0.83658788337157741</v>
      </c>
      <c r="AO39" s="19">
        <f t="shared" si="29"/>
        <v>0.95624819668765493</v>
      </c>
    </row>
    <row r="40" spans="1:41" x14ac:dyDescent="0.45">
      <c r="A40" s="14" t="str">
        <f>店舗マスタ!A36</f>
        <v>与惣次店</v>
      </c>
      <c r="B40" s="15"/>
      <c r="C40" s="16">
        <f>SUMIFS(INDEX(元データ!$E$2:$H$20000,0,MATCH($C$2,元データ!$E$1:$H$1,0)),元データ!$A$2:$A$20000,$A40,元データ!$D$2:$D$20000,$C$3,元データ!$B$2:$B$20000,$C$4,元データ!$C$2:$C$20000,C$5)</f>
        <v>995398</v>
      </c>
      <c r="D40" s="16">
        <f>SUMIFS(INDEX(元データ!$E$2:$H$20000,0,MATCH($C$2,元データ!$E$1:$H$1,0)),元データ!$A$2:$A$20000,$A40,元データ!$D$2:$D$20000,$C$3,元データ!$B$2:$B$20000,$C$4,元データ!$C$2:$C$20000,D$5)</f>
        <v>958216</v>
      </c>
      <c r="E40" s="16">
        <f>SUMIFS(INDEX(元データ!$E$2:$H$20000,0,MATCH($C$2,元データ!$E$1:$H$1,0)),元データ!$A$2:$A$20000,$A40,元データ!$D$2:$D$20000,$C$3,元データ!$B$2:$B$20000,$C$4,元データ!$C$2:$C$20000,E$5)</f>
        <v>1376709</v>
      </c>
      <c r="F40" s="16">
        <f>SUMIFS(INDEX(元データ!$E$2:$H$20000,0,MATCH($C$2,元データ!$E$1:$H$1,0)),元データ!$A$2:$A$20000,$A40,元データ!$D$2:$D$20000,$C$3,元データ!$B$2:$B$20000,$C$4,元データ!$C$2:$C$20000,F$5)</f>
        <v>1183817</v>
      </c>
      <c r="G40" s="16">
        <f>SUMIFS(INDEX(元データ!$E$2:$H$20000,0,MATCH($C$2,元データ!$E$1:$H$1,0)),元データ!$A$2:$A$20000,$A40,元データ!$D$2:$D$20000,$C$3,元データ!$B$2:$B$20000,$C$4,元データ!$C$2:$C$20000,G$5)</f>
        <v>1332042</v>
      </c>
      <c r="H40" s="16">
        <f>SUMIFS(INDEX(元データ!$E$2:$H$20000,0,MATCH($C$2,元データ!$E$1:$H$1,0)),元データ!$A$2:$A$20000,$A40,元データ!$D$2:$D$20000,$C$3,元データ!$B$2:$B$20000,$C$4,元データ!$C$2:$C$20000,H$5)</f>
        <v>1014771</v>
      </c>
      <c r="I40" s="16">
        <f>SUMIFS(INDEX(元データ!$E$2:$H$20000,0,MATCH($C$2,元データ!$E$1:$H$1,0)),元データ!$A$2:$A$20000,$A40,元データ!$D$2:$D$20000,$C$3,元データ!$B$2:$B$20000,$C$4,元データ!$C$2:$C$20000,I$5)</f>
        <v>842307</v>
      </c>
      <c r="J40" s="16">
        <f>SUMIFS(INDEX(元データ!$E$2:$H$20000,0,MATCH($C$2,元データ!$E$1:$H$1,0)),元データ!$A$2:$A$20000,$A40,元データ!$D$2:$D$20000,$C$3,元データ!$B$2:$B$20000,$C$4,元データ!$C$2:$C$20000,J$5)</f>
        <v>1595981</v>
      </c>
      <c r="K40" s="16">
        <f>SUMIFS(INDEX(元データ!$E$2:$H$20000,0,MATCH($C$2,元データ!$E$1:$H$1,0)),元データ!$A$2:$A$20000,$A40,元データ!$D$2:$D$20000,$C$3,元データ!$B$2:$B$20000,$C$4,元データ!$C$2:$C$20000,K$5)</f>
        <v>2389885</v>
      </c>
      <c r="L40" s="16">
        <f>SUMIFS(INDEX(元データ!$E$2:$H$20000,0,MATCH($C$2,元データ!$E$1:$H$1,0)),元データ!$A$2:$A$20000,$A40,元データ!$D$2:$D$20000,$C$3,元データ!$B$2:$B$20000,$C$4,元データ!$C$2:$C$20000,L$5)</f>
        <v>1788042</v>
      </c>
      <c r="M40" s="16">
        <f>SUMIFS(INDEX(元データ!$E$2:$H$20000,0,MATCH($C$2,元データ!$E$1:$H$1,0)),元データ!$A$2:$A$20000,$A40,元データ!$D$2:$D$20000,$C$3,元データ!$B$2:$B$20000,$C$4,元データ!$C$2:$C$20000,M$5)</f>
        <v>1627737</v>
      </c>
      <c r="N40" s="16">
        <f>SUMIFS(INDEX(元データ!$E$2:$H$20000,0,MATCH($C$2,元データ!$E$1:$H$1,0)),元データ!$A$2:$A$20000,$A40,元データ!$D$2:$D$20000,$C$3,元データ!$B$2:$B$20000,$C$4,元データ!$C$2:$C$20000,N$5)</f>
        <v>1109980</v>
      </c>
      <c r="O40" s="17">
        <f t="shared" si="15"/>
        <v>16214885</v>
      </c>
      <c r="P40" s="16">
        <f>SUMIFS(INDEX(元データ!$E$2:$H$20000,0,MATCH($C$2,元データ!$E$1:$H$1,0)),元データ!$A$2:$A$20000,$A40,元データ!$D$2:$D$20000,$C$3,元データ!$B$2:$B$20000,$P$4,元データ!$C$2:$C$20000,P$5)</f>
        <v>926922</v>
      </c>
      <c r="Q40" s="16">
        <f>SUMIFS(INDEX(元データ!$E$2:$H$20000,0,MATCH($C$2,元データ!$E$1:$H$1,0)),元データ!$A$2:$A$20000,$A40,元データ!$D$2:$D$20000,$C$3,元データ!$B$2:$B$20000,$P$4,元データ!$C$2:$C$20000,Q$5)</f>
        <v>878900</v>
      </c>
      <c r="R40" s="16">
        <f>SUMIFS(INDEX(元データ!$E$2:$H$20000,0,MATCH($C$2,元データ!$E$1:$H$1,0)),元データ!$A$2:$A$20000,$A40,元データ!$D$2:$D$20000,$C$3,元データ!$B$2:$B$20000,$P$4,元データ!$C$2:$C$20000,R$5)</f>
        <v>1320003</v>
      </c>
      <c r="S40" s="16">
        <f>SUMIFS(INDEX(元データ!$E$2:$H$20000,0,MATCH($C$2,元データ!$E$1:$H$1,0)),元データ!$A$2:$A$20000,$A40,元データ!$D$2:$D$20000,$C$3,元データ!$B$2:$B$20000,$P$4,元データ!$C$2:$C$20000,S$5)</f>
        <v>1149250</v>
      </c>
      <c r="T40" s="16">
        <f>SUMIFS(INDEX(元データ!$E$2:$H$20000,0,MATCH($C$2,元データ!$E$1:$H$1,0)),元データ!$A$2:$A$20000,$A40,元データ!$D$2:$D$20000,$C$3,元データ!$B$2:$B$20000,$P$4,元データ!$C$2:$C$20000,T$5)</f>
        <v>1242818</v>
      </c>
      <c r="U40" s="16">
        <f>SUMIFS(INDEX(元データ!$E$2:$H$20000,0,MATCH($C$2,元データ!$E$1:$H$1,0)),元データ!$A$2:$A$20000,$A40,元データ!$D$2:$D$20000,$C$3,元データ!$B$2:$B$20000,$P$4,元データ!$C$2:$C$20000,U$5)</f>
        <v>862931</v>
      </c>
      <c r="V40" s="16">
        <f>SUMIFS(INDEX(元データ!$E$2:$H$20000,0,MATCH($C$2,元データ!$E$1:$H$1,0)),元データ!$A$2:$A$20000,$A40,元データ!$D$2:$D$20000,$C$3,元データ!$B$2:$B$20000,$P$4,元データ!$C$2:$C$20000,V$5)</f>
        <v>814316</v>
      </c>
      <c r="W40" s="16">
        <f>SUMIFS(INDEX(元データ!$E$2:$H$20000,0,MATCH($C$2,元データ!$E$1:$H$1,0)),元データ!$A$2:$A$20000,$A40,元データ!$D$2:$D$20000,$C$3,元データ!$B$2:$B$20000,$P$4,元データ!$C$2:$C$20000,W$5)</f>
        <v>1969845</v>
      </c>
      <c r="X40" s="16">
        <f>SUMIFS(INDEX(元データ!$E$2:$H$20000,0,MATCH($C$2,元データ!$E$1:$H$1,0)),元データ!$A$2:$A$20000,$A40,元データ!$D$2:$D$20000,$C$3,元データ!$B$2:$B$20000,$P$4,元データ!$C$2:$C$20000,X$5)</f>
        <v>2368312</v>
      </c>
      <c r="Y40" s="16">
        <f>SUMIFS(INDEX(元データ!$E$2:$H$20000,0,MATCH($C$2,元データ!$E$1:$H$1,0)),元データ!$A$2:$A$20000,$A40,元データ!$D$2:$D$20000,$C$3,元データ!$B$2:$B$20000,$P$4,元データ!$C$2:$C$20000,Y$5)</f>
        <v>1919985</v>
      </c>
      <c r="Z40" s="16">
        <f>SUMIFS(INDEX(元データ!$E$2:$H$20000,0,MATCH($C$2,元データ!$E$1:$H$1,0)),元データ!$A$2:$A$20000,$A40,元データ!$D$2:$D$20000,$C$3,元データ!$B$2:$B$20000,$P$4,元データ!$C$2:$C$20000,Z$5)</f>
        <v>1743728</v>
      </c>
      <c r="AA40" s="16">
        <f>SUMIFS(INDEX(元データ!$E$2:$H$20000,0,MATCH($C$2,元データ!$E$1:$H$1,0)),元データ!$A$2:$A$20000,$A40,元データ!$D$2:$D$20000,$C$3,元データ!$B$2:$B$20000,$P$4,元データ!$C$2:$C$20000,AA$5)</f>
        <v>1224353</v>
      </c>
      <c r="AB40" s="17">
        <f t="shared" si="16"/>
        <v>16421363</v>
      </c>
      <c r="AC40" s="18">
        <f t="shared" si="17"/>
        <v>1.0738746086509976</v>
      </c>
      <c r="AD40" s="18">
        <f t="shared" si="18"/>
        <v>1.0902446239617705</v>
      </c>
      <c r="AE40" s="18">
        <f t="shared" si="19"/>
        <v>1.0429589932750152</v>
      </c>
      <c r="AF40" s="18">
        <f t="shared" si="20"/>
        <v>1.0300778768762235</v>
      </c>
      <c r="AG40" s="18">
        <f t="shared" si="21"/>
        <v>1.0717916863128794</v>
      </c>
      <c r="AH40" s="18">
        <f t="shared" si="22"/>
        <v>1.1759584485897483</v>
      </c>
      <c r="AI40" s="18">
        <f t="shared" si="23"/>
        <v>1.0343736338227421</v>
      </c>
      <c r="AJ40" s="18">
        <f t="shared" si="24"/>
        <v>0.81020638679693069</v>
      </c>
      <c r="AK40" s="18">
        <f t="shared" si="25"/>
        <v>1.0091090194197385</v>
      </c>
      <c r="AL40" s="18">
        <f t="shared" si="26"/>
        <v>0.93127915061836419</v>
      </c>
      <c r="AM40" s="18">
        <f t="shared" si="27"/>
        <v>0.93348102456346405</v>
      </c>
      <c r="AN40" s="18">
        <f t="shared" si="28"/>
        <v>0.90658494731503092</v>
      </c>
      <c r="AO40" s="19">
        <f t="shared" si="29"/>
        <v>0.98742625688257424</v>
      </c>
    </row>
    <row r="41" spans="1:41" x14ac:dyDescent="0.45">
      <c r="A41" s="14" t="str">
        <f>店舗マスタ!A37</f>
        <v>瀬名店</v>
      </c>
      <c r="B41" s="15"/>
      <c r="C41" s="16">
        <f>SUMIFS(INDEX(元データ!$E$2:$H$20000,0,MATCH($C$2,元データ!$E$1:$H$1,0)),元データ!$A$2:$A$20000,$A41,元データ!$D$2:$D$20000,$C$3,元データ!$B$2:$B$20000,$C$4,元データ!$C$2:$C$20000,C$5)</f>
        <v>917415</v>
      </c>
      <c r="D41" s="16">
        <f>SUMIFS(INDEX(元データ!$E$2:$H$20000,0,MATCH($C$2,元データ!$E$1:$H$1,0)),元データ!$A$2:$A$20000,$A41,元データ!$D$2:$D$20000,$C$3,元データ!$B$2:$B$20000,$C$4,元データ!$C$2:$C$20000,D$5)</f>
        <v>880087</v>
      </c>
      <c r="E41" s="16">
        <f>SUMIFS(INDEX(元データ!$E$2:$H$20000,0,MATCH($C$2,元データ!$E$1:$H$1,0)),元データ!$A$2:$A$20000,$A41,元データ!$D$2:$D$20000,$C$3,元データ!$B$2:$B$20000,$C$4,元データ!$C$2:$C$20000,E$5)</f>
        <v>1356611</v>
      </c>
      <c r="F41" s="16">
        <f>SUMIFS(INDEX(元データ!$E$2:$H$20000,0,MATCH($C$2,元データ!$E$1:$H$1,0)),元データ!$A$2:$A$20000,$A41,元データ!$D$2:$D$20000,$C$3,元データ!$B$2:$B$20000,$C$4,元データ!$C$2:$C$20000,F$5)</f>
        <v>1142974</v>
      </c>
      <c r="G41" s="16">
        <f>SUMIFS(INDEX(元データ!$E$2:$H$20000,0,MATCH($C$2,元データ!$E$1:$H$1,0)),元データ!$A$2:$A$20000,$A41,元データ!$D$2:$D$20000,$C$3,元データ!$B$2:$B$20000,$C$4,元データ!$C$2:$C$20000,G$5)</f>
        <v>1205370</v>
      </c>
      <c r="H41" s="16">
        <f>SUMIFS(INDEX(元データ!$E$2:$H$20000,0,MATCH($C$2,元データ!$E$1:$H$1,0)),元データ!$A$2:$A$20000,$A41,元データ!$D$2:$D$20000,$C$3,元データ!$B$2:$B$20000,$C$4,元データ!$C$2:$C$20000,H$5)</f>
        <v>778221</v>
      </c>
      <c r="I41" s="16">
        <f>SUMIFS(INDEX(元データ!$E$2:$H$20000,0,MATCH($C$2,元データ!$E$1:$H$1,0)),元データ!$A$2:$A$20000,$A41,元データ!$D$2:$D$20000,$C$3,元データ!$B$2:$B$20000,$C$4,元データ!$C$2:$C$20000,I$5)</f>
        <v>712376</v>
      </c>
      <c r="J41" s="16">
        <f>SUMIFS(INDEX(元データ!$E$2:$H$20000,0,MATCH($C$2,元データ!$E$1:$H$1,0)),元データ!$A$2:$A$20000,$A41,元データ!$D$2:$D$20000,$C$3,元データ!$B$2:$B$20000,$C$4,元データ!$C$2:$C$20000,J$5)</f>
        <v>1501813</v>
      </c>
      <c r="K41" s="16">
        <f>SUMIFS(INDEX(元データ!$E$2:$H$20000,0,MATCH($C$2,元データ!$E$1:$H$1,0)),元データ!$A$2:$A$20000,$A41,元データ!$D$2:$D$20000,$C$3,元データ!$B$2:$B$20000,$C$4,元データ!$C$2:$C$20000,K$5)</f>
        <v>2397939</v>
      </c>
      <c r="L41" s="16">
        <f>SUMIFS(INDEX(元データ!$E$2:$H$20000,0,MATCH($C$2,元データ!$E$1:$H$1,0)),元データ!$A$2:$A$20000,$A41,元データ!$D$2:$D$20000,$C$3,元データ!$B$2:$B$20000,$C$4,元データ!$C$2:$C$20000,L$5)</f>
        <v>1669875</v>
      </c>
      <c r="M41" s="16">
        <f>SUMIFS(INDEX(元データ!$E$2:$H$20000,0,MATCH($C$2,元データ!$E$1:$H$1,0)),元データ!$A$2:$A$20000,$A41,元データ!$D$2:$D$20000,$C$3,元データ!$B$2:$B$20000,$C$4,元データ!$C$2:$C$20000,M$5)</f>
        <v>1655796</v>
      </c>
      <c r="N41" s="16">
        <f>SUMIFS(INDEX(元データ!$E$2:$H$20000,0,MATCH($C$2,元データ!$E$1:$H$1,0)),元データ!$A$2:$A$20000,$A41,元データ!$D$2:$D$20000,$C$3,元データ!$B$2:$B$20000,$C$4,元データ!$C$2:$C$20000,N$5)</f>
        <v>1133588</v>
      </c>
      <c r="O41" s="17">
        <f t="shared" si="15"/>
        <v>15352065</v>
      </c>
      <c r="P41" s="16">
        <f>SUMIFS(INDEX(元データ!$E$2:$H$20000,0,MATCH($C$2,元データ!$E$1:$H$1,0)),元データ!$A$2:$A$20000,$A41,元データ!$D$2:$D$20000,$C$3,元データ!$B$2:$B$20000,$P$4,元データ!$C$2:$C$20000,P$5)</f>
        <v>868966</v>
      </c>
      <c r="Q41" s="16">
        <f>SUMIFS(INDEX(元データ!$E$2:$H$20000,0,MATCH($C$2,元データ!$E$1:$H$1,0)),元データ!$A$2:$A$20000,$A41,元データ!$D$2:$D$20000,$C$3,元データ!$B$2:$B$20000,$P$4,元データ!$C$2:$C$20000,Q$5)</f>
        <v>793747</v>
      </c>
      <c r="R41" s="16">
        <f>SUMIFS(INDEX(元データ!$E$2:$H$20000,0,MATCH($C$2,元データ!$E$1:$H$1,0)),元データ!$A$2:$A$20000,$A41,元データ!$D$2:$D$20000,$C$3,元データ!$B$2:$B$20000,$P$4,元データ!$C$2:$C$20000,R$5)</f>
        <v>1298077</v>
      </c>
      <c r="S41" s="16">
        <f>SUMIFS(INDEX(元データ!$E$2:$H$20000,0,MATCH($C$2,元データ!$E$1:$H$1,0)),元データ!$A$2:$A$20000,$A41,元データ!$D$2:$D$20000,$C$3,元データ!$B$2:$B$20000,$P$4,元データ!$C$2:$C$20000,S$5)</f>
        <v>1089110</v>
      </c>
      <c r="T41" s="16">
        <f>SUMIFS(INDEX(元データ!$E$2:$H$20000,0,MATCH($C$2,元データ!$E$1:$H$1,0)),元データ!$A$2:$A$20000,$A41,元データ!$D$2:$D$20000,$C$3,元データ!$B$2:$B$20000,$P$4,元データ!$C$2:$C$20000,T$5)</f>
        <v>1204065</v>
      </c>
      <c r="U41" s="16">
        <f>SUMIFS(INDEX(元データ!$E$2:$H$20000,0,MATCH($C$2,元データ!$E$1:$H$1,0)),元データ!$A$2:$A$20000,$A41,元データ!$D$2:$D$20000,$C$3,元データ!$B$2:$B$20000,$P$4,元データ!$C$2:$C$20000,U$5)</f>
        <v>824770</v>
      </c>
      <c r="V41" s="16">
        <f>SUMIFS(INDEX(元データ!$E$2:$H$20000,0,MATCH($C$2,元データ!$E$1:$H$1,0)),元データ!$A$2:$A$20000,$A41,元データ!$D$2:$D$20000,$C$3,元データ!$B$2:$B$20000,$P$4,元データ!$C$2:$C$20000,V$5)</f>
        <v>711019</v>
      </c>
      <c r="W41" s="16">
        <f>SUMIFS(INDEX(元データ!$E$2:$H$20000,0,MATCH($C$2,元データ!$E$1:$H$1,0)),元データ!$A$2:$A$20000,$A41,元データ!$D$2:$D$20000,$C$3,元データ!$B$2:$B$20000,$P$4,元データ!$C$2:$C$20000,W$5)</f>
        <v>1652560</v>
      </c>
      <c r="X41" s="16">
        <f>SUMIFS(INDEX(元データ!$E$2:$H$20000,0,MATCH($C$2,元データ!$E$1:$H$1,0)),元データ!$A$2:$A$20000,$A41,元データ!$D$2:$D$20000,$C$3,元データ!$B$2:$B$20000,$P$4,元データ!$C$2:$C$20000,X$5)</f>
        <v>2185601</v>
      </c>
      <c r="Y41" s="16">
        <f>SUMIFS(INDEX(元データ!$E$2:$H$20000,0,MATCH($C$2,元データ!$E$1:$H$1,0)),元データ!$A$2:$A$20000,$A41,元データ!$D$2:$D$20000,$C$3,元データ!$B$2:$B$20000,$P$4,元データ!$C$2:$C$20000,Y$5)</f>
        <v>1959557</v>
      </c>
      <c r="Z41" s="16">
        <f>SUMIFS(INDEX(元データ!$E$2:$H$20000,0,MATCH($C$2,元データ!$E$1:$H$1,0)),元データ!$A$2:$A$20000,$A41,元データ!$D$2:$D$20000,$C$3,元データ!$B$2:$B$20000,$P$4,元データ!$C$2:$C$20000,Z$5)</f>
        <v>1724267</v>
      </c>
      <c r="AA41" s="16">
        <f>SUMIFS(INDEX(元データ!$E$2:$H$20000,0,MATCH($C$2,元データ!$E$1:$H$1,0)),元データ!$A$2:$A$20000,$A41,元データ!$D$2:$D$20000,$C$3,元データ!$B$2:$B$20000,$P$4,元データ!$C$2:$C$20000,AA$5)</f>
        <v>1184018</v>
      </c>
      <c r="AB41" s="17">
        <f t="shared" si="16"/>
        <v>15495757</v>
      </c>
      <c r="AC41" s="18">
        <f t="shared" si="17"/>
        <v>1.0557547706124291</v>
      </c>
      <c r="AD41" s="18">
        <f t="shared" si="18"/>
        <v>1.1087752142685263</v>
      </c>
      <c r="AE41" s="18">
        <f t="shared" si="19"/>
        <v>1.0450928565870901</v>
      </c>
      <c r="AF41" s="18">
        <f t="shared" si="20"/>
        <v>1.0494568959976494</v>
      </c>
      <c r="AG41" s="18">
        <f t="shared" si="21"/>
        <v>1.0010838285308516</v>
      </c>
      <c r="AH41" s="18">
        <f t="shared" si="22"/>
        <v>0.94356123525346458</v>
      </c>
      <c r="AI41" s="18">
        <f t="shared" si="23"/>
        <v>1.0019085284640776</v>
      </c>
      <c r="AJ41" s="18">
        <f t="shared" si="24"/>
        <v>0.90877971147794934</v>
      </c>
      <c r="AK41" s="18">
        <f t="shared" si="25"/>
        <v>1.0971531400287611</v>
      </c>
      <c r="AL41" s="18">
        <f t="shared" si="26"/>
        <v>0.85216964854811572</v>
      </c>
      <c r="AM41" s="18">
        <f t="shared" si="27"/>
        <v>0.96028979270611803</v>
      </c>
      <c r="AN41" s="18">
        <f t="shared" si="28"/>
        <v>0.95740774211202873</v>
      </c>
      <c r="AO41" s="19">
        <f t="shared" si="29"/>
        <v>0.99072700998086116</v>
      </c>
    </row>
    <row r="42" spans="1:41" x14ac:dyDescent="0.45">
      <c r="A42" s="14" t="str">
        <f>店舗マスタ!A38</f>
        <v>豊田店</v>
      </c>
      <c r="B42" s="15"/>
      <c r="C42" s="16">
        <f>SUMIFS(INDEX(元データ!$E$2:$H$20000,0,MATCH($C$2,元データ!$E$1:$H$1,0)),元データ!$A$2:$A$20000,$A42,元データ!$D$2:$D$20000,$C$3,元データ!$B$2:$B$20000,$C$4,元データ!$C$2:$C$20000,C$5)</f>
        <v>1039857</v>
      </c>
      <c r="D42" s="16">
        <f>SUMIFS(INDEX(元データ!$E$2:$H$20000,0,MATCH($C$2,元データ!$E$1:$H$1,0)),元データ!$A$2:$A$20000,$A42,元データ!$D$2:$D$20000,$C$3,元データ!$B$2:$B$20000,$C$4,元データ!$C$2:$C$20000,D$5)</f>
        <v>1132965</v>
      </c>
      <c r="E42" s="16">
        <f>SUMIFS(INDEX(元データ!$E$2:$H$20000,0,MATCH($C$2,元データ!$E$1:$H$1,0)),元データ!$A$2:$A$20000,$A42,元データ!$D$2:$D$20000,$C$3,元データ!$B$2:$B$20000,$C$4,元データ!$C$2:$C$20000,E$5)</f>
        <v>1631750</v>
      </c>
      <c r="F42" s="16">
        <f>SUMIFS(INDEX(元データ!$E$2:$H$20000,0,MATCH($C$2,元データ!$E$1:$H$1,0)),元データ!$A$2:$A$20000,$A42,元データ!$D$2:$D$20000,$C$3,元データ!$B$2:$B$20000,$C$4,元データ!$C$2:$C$20000,F$5)</f>
        <v>1281603</v>
      </c>
      <c r="G42" s="16">
        <f>SUMIFS(INDEX(元データ!$E$2:$H$20000,0,MATCH($C$2,元データ!$E$1:$H$1,0)),元データ!$A$2:$A$20000,$A42,元データ!$D$2:$D$20000,$C$3,元データ!$B$2:$B$20000,$C$4,元データ!$C$2:$C$20000,G$5)</f>
        <v>1347230</v>
      </c>
      <c r="H42" s="16">
        <f>SUMIFS(INDEX(元データ!$E$2:$H$20000,0,MATCH($C$2,元データ!$E$1:$H$1,0)),元データ!$A$2:$A$20000,$A42,元データ!$D$2:$D$20000,$C$3,元データ!$B$2:$B$20000,$C$4,元データ!$C$2:$C$20000,H$5)</f>
        <v>954205</v>
      </c>
      <c r="I42" s="16">
        <f>SUMIFS(INDEX(元データ!$E$2:$H$20000,0,MATCH($C$2,元データ!$E$1:$H$1,0)),元データ!$A$2:$A$20000,$A42,元データ!$D$2:$D$20000,$C$3,元データ!$B$2:$B$20000,$C$4,元データ!$C$2:$C$20000,I$5)</f>
        <v>843634</v>
      </c>
      <c r="J42" s="16">
        <f>SUMIFS(INDEX(元データ!$E$2:$H$20000,0,MATCH($C$2,元データ!$E$1:$H$1,0)),元データ!$A$2:$A$20000,$A42,元データ!$D$2:$D$20000,$C$3,元データ!$B$2:$B$20000,$C$4,元データ!$C$2:$C$20000,J$5)</f>
        <v>1714188</v>
      </c>
      <c r="K42" s="16">
        <f>SUMIFS(INDEX(元データ!$E$2:$H$20000,0,MATCH($C$2,元データ!$E$1:$H$1,0)),元データ!$A$2:$A$20000,$A42,元データ!$D$2:$D$20000,$C$3,元データ!$B$2:$B$20000,$C$4,元データ!$C$2:$C$20000,K$5)</f>
        <v>2663014</v>
      </c>
      <c r="L42" s="16">
        <f>SUMIFS(INDEX(元データ!$E$2:$H$20000,0,MATCH($C$2,元データ!$E$1:$H$1,0)),元データ!$A$2:$A$20000,$A42,元データ!$D$2:$D$20000,$C$3,元データ!$B$2:$B$20000,$C$4,元データ!$C$2:$C$20000,L$5)</f>
        <v>1920619</v>
      </c>
      <c r="M42" s="16">
        <f>SUMIFS(INDEX(元データ!$E$2:$H$20000,0,MATCH($C$2,元データ!$E$1:$H$1,0)),元データ!$A$2:$A$20000,$A42,元データ!$D$2:$D$20000,$C$3,元データ!$B$2:$B$20000,$C$4,元データ!$C$2:$C$20000,M$5)</f>
        <v>1862213</v>
      </c>
      <c r="N42" s="16">
        <f>SUMIFS(INDEX(元データ!$E$2:$H$20000,0,MATCH($C$2,元データ!$E$1:$H$1,0)),元データ!$A$2:$A$20000,$A42,元データ!$D$2:$D$20000,$C$3,元データ!$B$2:$B$20000,$C$4,元データ!$C$2:$C$20000,N$5)</f>
        <v>1172361</v>
      </c>
      <c r="O42" s="17">
        <f t="shared" si="15"/>
        <v>17563639</v>
      </c>
      <c r="P42" s="16">
        <f>SUMIFS(INDEX(元データ!$E$2:$H$20000,0,MATCH($C$2,元データ!$E$1:$H$1,0)),元データ!$A$2:$A$20000,$A42,元データ!$D$2:$D$20000,$C$3,元データ!$B$2:$B$20000,$P$4,元データ!$C$2:$C$20000,P$5)</f>
        <v>1004836</v>
      </c>
      <c r="Q42" s="16">
        <f>SUMIFS(INDEX(元データ!$E$2:$H$20000,0,MATCH($C$2,元データ!$E$1:$H$1,0)),元データ!$A$2:$A$20000,$A42,元データ!$D$2:$D$20000,$C$3,元データ!$B$2:$B$20000,$P$4,元データ!$C$2:$C$20000,Q$5)</f>
        <v>955391</v>
      </c>
      <c r="R42" s="16">
        <f>SUMIFS(INDEX(元データ!$E$2:$H$20000,0,MATCH($C$2,元データ!$E$1:$H$1,0)),元データ!$A$2:$A$20000,$A42,元データ!$D$2:$D$20000,$C$3,元データ!$B$2:$B$20000,$P$4,元データ!$C$2:$C$20000,R$5)</f>
        <v>1631711</v>
      </c>
      <c r="S42" s="16">
        <f>SUMIFS(INDEX(元データ!$E$2:$H$20000,0,MATCH($C$2,元データ!$E$1:$H$1,0)),元データ!$A$2:$A$20000,$A42,元データ!$D$2:$D$20000,$C$3,元データ!$B$2:$B$20000,$P$4,元データ!$C$2:$C$20000,S$5)</f>
        <v>1217205</v>
      </c>
      <c r="T42" s="16">
        <f>SUMIFS(INDEX(元データ!$E$2:$H$20000,0,MATCH($C$2,元データ!$E$1:$H$1,0)),元データ!$A$2:$A$20000,$A42,元データ!$D$2:$D$20000,$C$3,元データ!$B$2:$B$20000,$P$4,元データ!$C$2:$C$20000,T$5)</f>
        <v>1320779</v>
      </c>
      <c r="U42" s="16">
        <f>SUMIFS(INDEX(元データ!$E$2:$H$20000,0,MATCH($C$2,元データ!$E$1:$H$1,0)),元データ!$A$2:$A$20000,$A42,元データ!$D$2:$D$20000,$C$3,元データ!$B$2:$B$20000,$P$4,元データ!$C$2:$C$20000,U$5)</f>
        <v>878982</v>
      </c>
      <c r="V42" s="16">
        <f>SUMIFS(INDEX(元データ!$E$2:$H$20000,0,MATCH($C$2,元データ!$E$1:$H$1,0)),元データ!$A$2:$A$20000,$A42,元データ!$D$2:$D$20000,$C$3,元データ!$B$2:$B$20000,$P$4,元データ!$C$2:$C$20000,V$5)</f>
        <v>881323</v>
      </c>
      <c r="W42" s="16">
        <f>SUMIFS(INDEX(元データ!$E$2:$H$20000,0,MATCH($C$2,元データ!$E$1:$H$1,0)),元データ!$A$2:$A$20000,$A42,元データ!$D$2:$D$20000,$C$3,元データ!$B$2:$B$20000,$P$4,元データ!$C$2:$C$20000,W$5)</f>
        <v>1962140</v>
      </c>
      <c r="X42" s="16">
        <f>SUMIFS(INDEX(元データ!$E$2:$H$20000,0,MATCH($C$2,元データ!$E$1:$H$1,0)),元データ!$A$2:$A$20000,$A42,元データ!$D$2:$D$20000,$C$3,元データ!$B$2:$B$20000,$P$4,元データ!$C$2:$C$20000,X$5)</f>
        <v>2566995</v>
      </c>
      <c r="Y42" s="16">
        <f>SUMIFS(INDEX(元データ!$E$2:$H$20000,0,MATCH($C$2,元データ!$E$1:$H$1,0)),元データ!$A$2:$A$20000,$A42,元データ!$D$2:$D$20000,$C$3,元データ!$B$2:$B$20000,$P$4,元データ!$C$2:$C$20000,Y$5)</f>
        <v>2389316</v>
      </c>
      <c r="Z42" s="16">
        <f>SUMIFS(INDEX(元データ!$E$2:$H$20000,0,MATCH($C$2,元データ!$E$1:$H$1,0)),元データ!$A$2:$A$20000,$A42,元データ!$D$2:$D$20000,$C$3,元データ!$B$2:$B$20000,$P$4,元データ!$C$2:$C$20000,Z$5)</f>
        <v>1704755</v>
      </c>
      <c r="AA42" s="16">
        <f>SUMIFS(INDEX(元データ!$E$2:$H$20000,0,MATCH($C$2,元データ!$E$1:$H$1,0)),元データ!$A$2:$A$20000,$A42,元データ!$D$2:$D$20000,$C$3,元データ!$B$2:$B$20000,$P$4,元データ!$C$2:$C$20000,AA$5)</f>
        <v>1397109</v>
      </c>
      <c r="AB42" s="17">
        <f t="shared" si="16"/>
        <v>17910542</v>
      </c>
      <c r="AC42" s="18">
        <f t="shared" si="17"/>
        <v>1.0348524535347061</v>
      </c>
      <c r="AD42" s="18">
        <f t="shared" si="18"/>
        <v>1.1858652635413145</v>
      </c>
      <c r="AE42" s="18">
        <f t="shared" si="19"/>
        <v>1.0000239012913439</v>
      </c>
      <c r="AF42" s="18">
        <f t="shared" si="20"/>
        <v>1.0529064537197925</v>
      </c>
      <c r="AG42" s="18">
        <f t="shared" si="21"/>
        <v>1.0200268175069409</v>
      </c>
      <c r="AH42" s="18">
        <f t="shared" si="22"/>
        <v>1.0855796819502561</v>
      </c>
      <c r="AI42" s="18">
        <f t="shared" si="23"/>
        <v>0.95723588287154648</v>
      </c>
      <c r="AJ42" s="18">
        <f t="shared" si="24"/>
        <v>0.87363185093826123</v>
      </c>
      <c r="AK42" s="18">
        <f t="shared" si="25"/>
        <v>1.037405215047166</v>
      </c>
      <c r="AL42" s="18">
        <f t="shared" si="26"/>
        <v>0.80383632805371918</v>
      </c>
      <c r="AM42" s="18">
        <f t="shared" si="27"/>
        <v>1.0923640053849379</v>
      </c>
      <c r="AN42" s="18">
        <f t="shared" si="28"/>
        <v>0.83913352501487004</v>
      </c>
      <c r="AO42" s="19">
        <f t="shared" si="29"/>
        <v>0.98063135107804111</v>
      </c>
    </row>
    <row r="43" spans="1:41" x14ac:dyDescent="0.45">
      <c r="A43" s="14" t="str">
        <f>店舗マスタ!A39</f>
        <v>吉田店</v>
      </c>
      <c r="B43" s="15"/>
      <c r="C43" s="16">
        <f>SUMIFS(INDEX(元データ!$E$2:$H$20000,0,MATCH($C$2,元データ!$E$1:$H$1,0)),元データ!$A$2:$A$20000,$A43,元データ!$D$2:$D$20000,$C$3,元データ!$B$2:$B$20000,$C$4,元データ!$C$2:$C$20000,C$5)</f>
        <v>1273469</v>
      </c>
      <c r="D43" s="16">
        <f>SUMIFS(INDEX(元データ!$E$2:$H$20000,0,MATCH($C$2,元データ!$E$1:$H$1,0)),元データ!$A$2:$A$20000,$A43,元データ!$D$2:$D$20000,$C$3,元データ!$B$2:$B$20000,$C$4,元データ!$C$2:$C$20000,D$5)</f>
        <v>1042613</v>
      </c>
      <c r="E43" s="16">
        <f>SUMIFS(INDEX(元データ!$E$2:$H$20000,0,MATCH($C$2,元データ!$E$1:$H$1,0)),元データ!$A$2:$A$20000,$A43,元データ!$D$2:$D$20000,$C$3,元データ!$B$2:$B$20000,$C$4,元データ!$C$2:$C$20000,E$5)</f>
        <v>1424023</v>
      </c>
      <c r="F43" s="16">
        <f>SUMIFS(INDEX(元データ!$E$2:$H$20000,0,MATCH($C$2,元データ!$E$1:$H$1,0)),元データ!$A$2:$A$20000,$A43,元データ!$D$2:$D$20000,$C$3,元データ!$B$2:$B$20000,$C$4,元データ!$C$2:$C$20000,F$5)</f>
        <v>1405953</v>
      </c>
      <c r="G43" s="16">
        <f>SUMIFS(INDEX(元データ!$E$2:$H$20000,0,MATCH($C$2,元データ!$E$1:$H$1,0)),元データ!$A$2:$A$20000,$A43,元データ!$D$2:$D$20000,$C$3,元データ!$B$2:$B$20000,$C$4,元データ!$C$2:$C$20000,G$5)</f>
        <v>1329136</v>
      </c>
      <c r="H43" s="16">
        <f>SUMIFS(INDEX(元データ!$E$2:$H$20000,0,MATCH($C$2,元データ!$E$1:$H$1,0)),元データ!$A$2:$A$20000,$A43,元データ!$D$2:$D$20000,$C$3,元データ!$B$2:$B$20000,$C$4,元データ!$C$2:$C$20000,H$5)</f>
        <v>1073017</v>
      </c>
      <c r="I43" s="16">
        <f>SUMIFS(INDEX(元データ!$E$2:$H$20000,0,MATCH($C$2,元データ!$E$1:$H$1,0)),元データ!$A$2:$A$20000,$A43,元データ!$D$2:$D$20000,$C$3,元データ!$B$2:$B$20000,$C$4,元データ!$C$2:$C$20000,I$5)</f>
        <v>841277</v>
      </c>
      <c r="J43" s="16">
        <f>SUMIFS(INDEX(元データ!$E$2:$H$20000,0,MATCH($C$2,元データ!$E$1:$H$1,0)),元データ!$A$2:$A$20000,$A43,元データ!$D$2:$D$20000,$C$3,元データ!$B$2:$B$20000,$C$4,元データ!$C$2:$C$20000,J$5)</f>
        <v>1662459</v>
      </c>
      <c r="K43" s="16">
        <f>SUMIFS(INDEX(元データ!$E$2:$H$20000,0,MATCH($C$2,元データ!$E$1:$H$1,0)),元データ!$A$2:$A$20000,$A43,元データ!$D$2:$D$20000,$C$3,元データ!$B$2:$B$20000,$C$4,元データ!$C$2:$C$20000,K$5)</f>
        <v>2789795</v>
      </c>
      <c r="L43" s="16">
        <f>SUMIFS(INDEX(元データ!$E$2:$H$20000,0,MATCH($C$2,元データ!$E$1:$H$1,0)),元データ!$A$2:$A$20000,$A43,元データ!$D$2:$D$20000,$C$3,元データ!$B$2:$B$20000,$C$4,元データ!$C$2:$C$20000,L$5)</f>
        <v>1885437</v>
      </c>
      <c r="M43" s="16">
        <f>SUMIFS(INDEX(元データ!$E$2:$H$20000,0,MATCH($C$2,元データ!$E$1:$H$1,0)),元データ!$A$2:$A$20000,$A43,元データ!$D$2:$D$20000,$C$3,元データ!$B$2:$B$20000,$C$4,元データ!$C$2:$C$20000,M$5)</f>
        <v>1763690</v>
      </c>
      <c r="N43" s="16">
        <f>SUMIFS(INDEX(元データ!$E$2:$H$20000,0,MATCH($C$2,元データ!$E$1:$H$1,0)),元データ!$A$2:$A$20000,$A43,元データ!$D$2:$D$20000,$C$3,元データ!$B$2:$B$20000,$C$4,元データ!$C$2:$C$20000,N$5)</f>
        <v>1532597</v>
      </c>
      <c r="O43" s="17">
        <f t="shared" si="15"/>
        <v>18023466</v>
      </c>
      <c r="P43" s="16">
        <f>SUMIFS(INDEX(元データ!$E$2:$H$20000,0,MATCH($C$2,元データ!$E$1:$H$1,0)),元データ!$A$2:$A$20000,$A43,元データ!$D$2:$D$20000,$C$3,元データ!$B$2:$B$20000,$P$4,元データ!$C$2:$C$20000,P$5)</f>
        <v>1165987</v>
      </c>
      <c r="Q43" s="16">
        <f>SUMIFS(INDEX(元データ!$E$2:$H$20000,0,MATCH($C$2,元データ!$E$1:$H$1,0)),元データ!$A$2:$A$20000,$A43,元データ!$D$2:$D$20000,$C$3,元データ!$B$2:$B$20000,$P$4,元データ!$C$2:$C$20000,Q$5)</f>
        <v>1091584</v>
      </c>
      <c r="R43" s="16">
        <f>SUMIFS(INDEX(元データ!$E$2:$H$20000,0,MATCH($C$2,元データ!$E$1:$H$1,0)),元データ!$A$2:$A$20000,$A43,元データ!$D$2:$D$20000,$C$3,元データ!$B$2:$B$20000,$P$4,元データ!$C$2:$C$20000,R$5)</f>
        <v>1558257</v>
      </c>
      <c r="S43" s="16">
        <f>SUMIFS(INDEX(元データ!$E$2:$H$20000,0,MATCH($C$2,元データ!$E$1:$H$1,0)),元データ!$A$2:$A$20000,$A43,元データ!$D$2:$D$20000,$C$3,元データ!$B$2:$B$20000,$P$4,元データ!$C$2:$C$20000,S$5)</f>
        <v>1360544</v>
      </c>
      <c r="T43" s="16">
        <f>SUMIFS(INDEX(元データ!$E$2:$H$20000,0,MATCH($C$2,元データ!$E$1:$H$1,0)),元データ!$A$2:$A$20000,$A43,元データ!$D$2:$D$20000,$C$3,元データ!$B$2:$B$20000,$P$4,元データ!$C$2:$C$20000,T$5)</f>
        <v>1423609</v>
      </c>
      <c r="U43" s="16">
        <f>SUMIFS(INDEX(元データ!$E$2:$H$20000,0,MATCH($C$2,元データ!$E$1:$H$1,0)),元データ!$A$2:$A$20000,$A43,元データ!$D$2:$D$20000,$C$3,元データ!$B$2:$B$20000,$P$4,元データ!$C$2:$C$20000,U$5)</f>
        <v>977893</v>
      </c>
      <c r="V43" s="16">
        <f>SUMIFS(INDEX(元データ!$E$2:$H$20000,0,MATCH($C$2,元データ!$E$1:$H$1,0)),元データ!$A$2:$A$20000,$A43,元データ!$D$2:$D$20000,$C$3,元データ!$B$2:$B$20000,$P$4,元データ!$C$2:$C$20000,V$5)</f>
        <v>885171</v>
      </c>
      <c r="W43" s="16">
        <f>SUMIFS(INDEX(元データ!$E$2:$H$20000,0,MATCH($C$2,元データ!$E$1:$H$1,0)),元データ!$A$2:$A$20000,$A43,元データ!$D$2:$D$20000,$C$3,元データ!$B$2:$B$20000,$P$4,元データ!$C$2:$C$20000,W$5)</f>
        <v>2443370</v>
      </c>
      <c r="X43" s="16">
        <f>SUMIFS(INDEX(元データ!$E$2:$H$20000,0,MATCH($C$2,元データ!$E$1:$H$1,0)),元データ!$A$2:$A$20000,$A43,元データ!$D$2:$D$20000,$C$3,元データ!$B$2:$B$20000,$P$4,元データ!$C$2:$C$20000,X$5)</f>
        <v>2688081</v>
      </c>
      <c r="Y43" s="16">
        <f>SUMIFS(INDEX(元データ!$E$2:$H$20000,0,MATCH($C$2,元データ!$E$1:$H$1,0)),元データ!$A$2:$A$20000,$A43,元データ!$D$2:$D$20000,$C$3,元データ!$B$2:$B$20000,$P$4,元データ!$C$2:$C$20000,Y$5)</f>
        <v>2173256</v>
      </c>
      <c r="Z43" s="16">
        <f>SUMIFS(INDEX(元データ!$E$2:$H$20000,0,MATCH($C$2,元データ!$E$1:$H$1,0)),元データ!$A$2:$A$20000,$A43,元データ!$D$2:$D$20000,$C$3,元データ!$B$2:$B$20000,$P$4,元データ!$C$2:$C$20000,Z$5)</f>
        <v>1925728</v>
      </c>
      <c r="AA43" s="16">
        <f>SUMIFS(INDEX(元データ!$E$2:$H$20000,0,MATCH($C$2,元データ!$E$1:$H$1,0)),元データ!$A$2:$A$20000,$A43,元データ!$D$2:$D$20000,$C$3,元データ!$B$2:$B$20000,$P$4,元データ!$C$2:$C$20000,AA$5)</f>
        <v>1544921</v>
      </c>
      <c r="AB43" s="17">
        <f t="shared" si="16"/>
        <v>19238401</v>
      </c>
      <c r="AC43" s="18">
        <f t="shared" si="17"/>
        <v>1.0921811306644071</v>
      </c>
      <c r="AD43" s="18">
        <f t="shared" si="18"/>
        <v>0.95513767149390238</v>
      </c>
      <c r="AE43" s="18">
        <f t="shared" si="19"/>
        <v>0.91385631510078247</v>
      </c>
      <c r="AF43" s="18">
        <f t="shared" si="20"/>
        <v>1.0333756203400992</v>
      </c>
      <c r="AG43" s="18">
        <f t="shared" si="21"/>
        <v>0.93363837963935326</v>
      </c>
      <c r="AH43" s="18">
        <f t="shared" si="22"/>
        <v>1.0972744461817396</v>
      </c>
      <c r="AI43" s="18">
        <f t="shared" si="23"/>
        <v>0.95041184132783385</v>
      </c>
      <c r="AJ43" s="18">
        <f t="shared" si="24"/>
        <v>0.68039592857405962</v>
      </c>
      <c r="AK43" s="18">
        <f t="shared" si="25"/>
        <v>1.0378388895275106</v>
      </c>
      <c r="AL43" s="18">
        <f t="shared" si="26"/>
        <v>0.86756323231133381</v>
      </c>
      <c r="AM43" s="18">
        <f t="shared" si="27"/>
        <v>0.91585623722561027</v>
      </c>
      <c r="AN43" s="18">
        <f t="shared" si="28"/>
        <v>0.99202289307996983</v>
      </c>
      <c r="AO43" s="19">
        <f t="shared" si="29"/>
        <v>0.93684844182216598</v>
      </c>
    </row>
    <row r="44" spans="1:41" x14ac:dyDescent="0.45">
      <c r="A44" s="14" t="str">
        <f>店舗マスタ!A40</f>
        <v>石津店</v>
      </c>
      <c r="B44" s="15"/>
      <c r="C44" s="16">
        <f>SUMIFS(INDEX(元データ!$E$2:$H$20000,0,MATCH($C$2,元データ!$E$1:$H$1,0)),元データ!$A$2:$A$20000,$A44,元データ!$D$2:$D$20000,$C$3,元データ!$B$2:$B$20000,$C$4,元データ!$C$2:$C$20000,C$5)</f>
        <v>1275455</v>
      </c>
      <c r="D44" s="16">
        <f>SUMIFS(INDEX(元データ!$E$2:$H$20000,0,MATCH($C$2,元データ!$E$1:$H$1,0)),元データ!$A$2:$A$20000,$A44,元データ!$D$2:$D$20000,$C$3,元データ!$B$2:$B$20000,$C$4,元データ!$C$2:$C$20000,D$5)</f>
        <v>1259411</v>
      </c>
      <c r="E44" s="16">
        <f>SUMIFS(INDEX(元データ!$E$2:$H$20000,0,MATCH($C$2,元データ!$E$1:$H$1,0)),元データ!$A$2:$A$20000,$A44,元データ!$D$2:$D$20000,$C$3,元データ!$B$2:$B$20000,$C$4,元データ!$C$2:$C$20000,E$5)</f>
        <v>1831536</v>
      </c>
      <c r="F44" s="16">
        <f>SUMIFS(INDEX(元データ!$E$2:$H$20000,0,MATCH($C$2,元データ!$E$1:$H$1,0)),元データ!$A$2:$A$20000,$A44,元データ!$D$2:$D$20000,$C$3,元データ!$B$2:$B$20000,$C$4,元データ!$C$2:$C$20000,F$5)</f>
        <v>1499401</v>
      </c>
      <c r="G44" s="16">
        <f>SUMIFS(INDEX(元データ!$E$2:$H$20000,0,MATCH($C$2,元データ!$E$1:$H$1,0)),元データ!$A$2:$A$20000,$A44,元データ!$D$2:$D$20000,$C$3,元データ!$B$2:$B$20000,$C$4,元データ!$C$2:$C$20000,G$5)</f>
        <v>1629331</v>
      </c>
      <c r="H44" s="16">
        <f>SUMIFS(INDEX(元データ!$E$2:$H$20000,0,MATCH($C$2,元データ!$E$1:$H$1,0)),元データ!$A$2:$A$20000,$A44,元データ!$D$2:$D$20000,$C$3,元データ!$B$2:$B$20000,$C$4,元データ!$C$2:$C$20000,H$5)</f>
        <v>1159892</v>
      </c>
      <c r="I44" s="16">
        <f>SUMIFS(INDEX(元データ!$E$2:$H$20000,0,MATCH($C$2,元データ!$E$1:$H$1,0)),元データ!$A$2:$A$20000,$A44,元データ!$D$2:$D$20000,$C$3,元データ!$B$2:$B$20000,$C$4,元データ!$C$2:$C$20000,I$5)</f>
        <v>1155309</v>
      </c>
      <c r="J44" s="16">
        <f>SUMIFS(INDEX(元データ!$E$2:$H$20000,0,MATCH($C$2,元データ!$E$1:$H$1,0)),元データ!$A$2:$A$20000,$A44,元データ!$D$2:$D$20000,$C$3,元データ!$B$2:$B$20000,$C$4,元データ!$C$2:$C$20000,J$5)</f>
        <v>2143817</v>
      </c>
      <c r="K44" s="16">
        <f>SUMIFS(INDEX(元データ!$E$2:$H$20000,0,MATCH($C$2,元データ!$E$1:$H$1,0)),元データ!$A$2:$A$20000,$A44,元データ!$D$2:$D$20000,$C$3,元データ!$B$2:$B$20000,$C$4,元データ!$C$2:$C$20000,K$5)</f>
        <v>3579892</v>
      </c>
      <c r="L44" s="16">
        <f>SUMIFS(INDEX(元データ!$E$2:$H$20000,0,MATCH($C$2,元データ!$E$1:$H$1,0)),元データ!$A$2:$A$20000,$A44,元データ!$D$2:$D$20000,$C$3,元データ!$B$2:$B$20000,$C$4,元データ!$C$2:$C$20000,L$5)</f>
        <v>2237462</v>
      </c>
      <c r="M44" s="16">
        <f>SUMIFS(INDEX(元データ!$E$2:$H$20000,0,MATCH($C$2,元データ!$E$1:$H$1,0)),元データ!$A$2:$A$20000,$A44,元データ!$D$2:$D$20000,$C$3,元データ!$B$2:$B$20000,$C$4,元データ!$C$2:$C$20000,M$5)</f>
        <v>2286090</v>
      </c>
      <c r="N44" s="16">
        <f>SUMIFS(INDEX(元データ!$E$2:$H$20000,0,MATCH($C$2,元データ!$E$1:$H$1,0)),元データ!$A$2:$A$20000,$A44,元データ!$D$2:$D$20000,$C$3,元データ!$B$2:$B$20000,$C$4,元データ!$C$2:$C$20000,N$5)</f>
        <v>1649052</v>
      </c>
      <c r="O44" s="17">
        <f t="shared" si="15"/>
        <v>21706648</v>
      </c>
      <c r="P44" s="16">
        <f>SUMIFS(INDEX(元データ!$E$2:$H$20000,0,MATCH($C$2,元データ!$E$1:$H$1,0)),元データ!$A$2:$A$20000,$A44,元データ!$D$2:$D$20000,$C$3,元データ!$B$2:$B$20000,$P$4,元データ!$C$2:$C$20000,P$5)</f>
        <v>1065360</v>
      </c>
      <c r="Q44" s="16">
        <f>SUMIFS(INDEX(元データ!$E$2:$H$20000,0,MATCH($C$2,元データ!$E$1:$H$1,0)),元データ!$A$2:$A$20000,$A44,元データ!$D$2:$D$20000,$C$3,元データ!$B$2:$B$20000,$P$4,元データ!$C$2:$C$20000,Q$5)</f>
        <v>1138725</v>
      </c>
      <c r="R44" s="16">
        <f>SUMIFS(INDEX(元データ!$E$2:$H$20000,0,MATCH($C$2,元データ!$E$1:$H$1,0)),元データ!$A$2:$A$20000,$A44,元データ!$D$2:$D$20000,$C$3,元データ!$B$2:$B$20000,$P$4,元データ!$C$2:$C$20000,R$5)</f>
        <v>1496009</v>
      </c>
      <c r="S44" s="16">
        <f>SUMIFS(INDEX(元データ!$E$2:$H$20000,0,MATCH($C$2,元データ!$E$1:$H$1,0)),元データ!$A$2:$A$20000,$A44,元データ!$D$2:$D$20000,$C$3,元データ!$B$2:$B$20000,$P$4,元データ!$C$2:$C$20000,S$5)</f>
        <v>1248176</v>
      </c>
      <c r="T44" s="16">
        <f>SUMIFS(INDEX(元データ!$E$2:$H$20000,0,MATCH($C$2,元データ!$E$1:$H$1,0)),元データ!$A$2:$A$20000,$A44,元データ!$D$2:$D$20000,$C$3,元データ!$B$2:$B$20000,$P$4,元データ!$C$2:$C$20000,T$5)</f>
        <v>1628110</v>
      </c>
      <c r="U44" s="16">
        <f>SUMIFS(INDEX(元データ!$E$2:$H$20000,0,MATCH($C$2,元データ!$E$1:$H$1,0)),元データ!$A$2:$A$20000,$A44,元データ!$D$2:$D$20000,$C$3,元データ!$B$2:$B$20000,$P$4,元データ!$C$2:$C$20000,U$5)</f>
        <v>981825</v>
      </c>
      <c r="V44" s="16">
        <f>SUMIFS(INDEX(元データ!$E$2:$H$20000,0,MATCH($C$2,元データ!$E$1:$H$1,0)),元データ!$A$2:$A$20000,$A44,元データ!$D$2:$D$20000,$C$3,元データ!$B$2:$B$20000,$P$4,元データ!$C$2:$C$20000,V$5)</f>
        <v>983983</v>
      </c>
      <c r="W44" s="16">
        <f>SUMIFS(INDEX(元データ!$E$2:$H$20000,0,MATCH($C$2,元データ!$E$1:$H$1,0)),元データ!$A$2:$A$20000,$A44,元データ!$D$2:$D$20000,$C$3,元データ!$B$2:$B$20000,$P$4,元データ!$C$2:$C$20000,W$5)</f>
        <v>2357229</v>
      </c>
      <c r="X44" s="16">
        <f>SUMIFS(INDEX(元データ!$E$2:$H$20000,0,MATCH($C$2,元データ!$E$1:$H$1,0)),元データ!$A$2:$A$20000,$A44,元データ!$D$2:$D$20000,$C$3,元データ!$B$2:$B$20000,$P$4,元データ!$C$2:$C$20000,X$5)</f>
        <v>2707069</v>
      </c>
      <c r="Y44" s="16">
        <f>SUMIFS(INDEX(元データ!$E$2:$H$20000,0,MATCH($C$2,元データ!$E$1:$H$1,0)),元データ!$A$2:$A$20000,$A44,元データ!$D$2:$D$20000,$C$3,元データ!$B$2:$B$20000,$P$4,元データ!$C$2:$C$20000,Y$5)</f>
        <v>2356119</v>
      </c>
      <c r="Z44" s="16">
        <f>SUMIFS(INDEX(元データ!$E$2:$H$20000,0,MATCH($C$2,元データ!$E$1:$H$1,0)),元データ!$A$2:$A$20000,$A44,元データ!$D$2:$D$20000,$C$3,元データ!$B$2:$B$20000,$P$4,元データ!$C$2:$C$20000,Z$5)</f>
        <v>2269392</v>
      </c>
      <c r="AA44" s="16">
        <f>SUMIFS(INDEX(元データ!$E$2:$H$20000,0,MATCH($C$2,元データ!$E$1:$H$1,0)),元データ!$A$2:$A$20000,$A44,元データ!$D$2:$D$20000,$C$3,元データ!$B$2:$B$20000,$P$4,元データ!$C$2:$C$20000,AA$5)</f>
        <v>1733384</v>
      </c>
      <c r="AB44" s="17">
        <f t="shared" si="16"/>
        <v>19965381</v>
      </c>
      <c r="AC44" s="18">
        <f t="shared" si="17"/>
        <v>1.1972056394082751</v>
      </c>
      <c r="AD44" s="18">
        <f t="shared" si="18"/>
        <v>1.1059834463983842</v>
      </c>
      <c r="AE44" s="18">
        <f t="shared" si="19"/>
        <v>1.2242814047241695</v>
      </c>
      <c r="AF44" s="18">
        <f t="shared" si="20"/>
        <v>1.2012736985809693</v>
      </c>
      <c r="AG44" s="18">
        <f t="shared" si="21"/>
        <v>1.0007499493277481</v>
      </c>
      <c r="AH44" s="18">
        <f t="shared" si="22"/>
        <v>1.1813632775698317</v>
      </c>
      <c r="AI44" s="18">
        <f t="shared" si="23"/>
        <v>1.1741147966987235</v>
      </c>
      <c r="AJ44" s="18">
        <f t="shared" si="24"/>
        <v>0.90946488440452755</v>
      </c>
      <c r="AK44" s="18">
        <f t="shared" si="25"/>
        <v>1.3224236249611665</v>
      </c>
      <c r="AL44" s="18">
        <f t="shared" si="26"/>
        <v>0.94963879158904962</v>
      </c>
      <c r="AM44" s="18">
        <f t="shared" si="27"/>
        <v>1.0073579178916643</v>
      </c>
      <c r="AN44" s="18">
        <f t="shared" si="28"/>
        <v>0.95134834520221712</v>
      </c>
      <c r="AO44" s="19">
        <f t="shared" si="29"/>
        <v>1.0872143136161538</v>
      </c>
    </row>
    <row r="45" spans="1:41" x14ac:dyDescent="0.45">
      <c r="A45" s="14" t="str">
        <f>店舗マスタ!A41</f>
        <v>八坂店</v>
      </c>
      <c r="B45" s="15"/>
      <c r="C45" s="16">
        <f>SUMIFS(INDEX(元データ!$E$2:$H$20000,0,MATCH($C$2,元データ!$E$1:$H$1,0)),元データ!$A$2:$A$20000,$A45,元データ!$D$2:$D$20000,$C$3,元データ!$B$2:$B$20000,$C$4,元データ!$C$2:$C$20000,C$5)</f>
        <v>889856</v>
      </c>
      <c r="D45" s="16">
        <f>SUMIFS(INDEX(元データ!$E$2:$H$20000,0,MATCH($C$2,元データ!$E$1:$H$1,0)),元データ!$A$2:$A$20000,$A45,元データ!$D$2:$D$20000,$C$3,元データ!$B$2:$B$20000,$C$4,元データ!$C$2:$C$20000,D$5)</f>
        <v>884600</v>
      </c>
      <c r="E45" s="16">
        <f>SUMIFS(INDEX(元データ!$E$2:$H$20000,0,MATCH($C$2,元データ!$E$1:$H$1,0)),元データ!$A$2:$A$20000,$A45,元データ!$D$2:$D$20000,$C$3,元データ!$B$2:$B$20000,$C$4,元データ!$C$2:$C$20000,E$5)</f>
        <v>1366241</v>
      </c>
      <c r="F45" s="16">
        <f>SUMIFS(INDEX(元データ!$E$2:$H$20000,0,MATCH($C$2,元データ!$E$1:$H$1,0)),元データ!$A$2:$A$20000,$A45,元データ!$D$2:$D$20000,$C$3,元データ!$B$2:$B$20000,$C$4,元データ!$C$2:$C$20000,F$5)</f>
        <v>1104209</v>
      </c>
      <c r="G45" s="16">
        <f>SUMIFS(INDEX(元データ!$E$2:$H$20000,0,MATCH($C$2,元データ!$E$1:$H$1,0)),元データ!$A$2:$A$20000,$A45,元データ!$D$2:$D$20000,$C$3,元データ!$B$2:$B$20000,$C$4,元データ!$C$2:$C$20000,G$5)</f>
        <v>1039919</v>
      </c>
      <c r="H45" s="16">
        <f>SUMIFS(INDEX(元データ!$E$2:$H$20000,0,MATCH($C$2,元データ!$E$1:$H$1,0)),元データ!$A$2:$A$20000,$A45,元データ!$D$2:$D$20000,$C$3,元データ!$B$2:$B$20000,$C$4,元データ!$C$2:$C$20000,H$5)</f>
        <v>744898</v>
      </c>
      <c r="I45" s="16">
        <f>SUMIFS(INDEX(元データ!$E$2:$H$20000,0,MATCH($C$2,元データ!$E$1:$H$1,0)),元データ!$A$2:$A$20000,$A45,元データ!$D$2:$D$20000,$C$3,元データ!$B$2:$B$20000,$C$4,元データ!$C$2:$C$20000,I$5)</f>
        <v>655907</v>
      </c>
      <c r="J45" s="16">
        <f>SUMIFS(INDEX(元データ!$E$2:$H$20000,0,MATCH($C$2,元データ!$E$1:$H$1,0)),元データ!$A$2:$A$20000,$A45,元データ!$D$2:$D$20000,$C$3,元データ!$B$2:$B$20000,$C$4,元データ!$C$2:$C$20000,J$5)</f>
        <v>1329244</v>
      </c>
      <c r="K45" s="16">
        <f>SUMIFS(INDEX(元データ!$E$2:$H$20000,0,MATCH($C$2,元データ!$E$1:$H$1,0)),元データ!$A$2:$A$20000,$A45,元データ!$D$2:$D$20000,$C$3,元データ!$B$2:$B$20000,$C$4,元データ!$C$2:$C$20000,K$5)</f>
        <v>2362074</v>
      </c>
      <c r="L45" s="16">
        <f>SUMIFS(INDEX(元データ!$E$2:$H$20000,0,MATCH($C$2,元データ!$E$1:$H$1,0)),元データ!$A$2:$A$20000,$A45,元データ!$D$2:$D$20000,$C$3,元データ!$B$2:$B$20000,$C$4,元データ!$C$2:$C$20000,L$5)</f>
        <v>1668522</v>
      </c>
      <c r="M45" s="16">
        <f>SUMIFS(INDEX(元データ!$E$2:$H$20000,0,MATCH($C$2,元データ!$E$1:$H$1,0)),元データ!$A$2:$A$20000,$A45,元データ!$D$2:$D$20000,$C$3,元データ!$B$2:$B$20000,$C$4,元データ!$C$2:$C$20000,M$5)</f>
        <v>1595761</v>
      </c>
      <c r="N45" s="16">
        <f>SUMIFS(INDEX(元データ!$E$2:$H$20000,0,MATCH($C$2,元データ!$E$1:$H$1,0)),元データ!$A$2:$A$20000,$A45,元データ!$D$2:$D$20000,$C$3,元データ!$B$2:$B$20000,$C$4,元データ!$C$2:$C$20000,N$5)</f>
        <v>1034863</v>
      </c>
      <c r="O45" s="17">
        <f t="shared" si="15"/>
        <v>14676094</v>
      </c>
      <c r="P45" s="16">
        <f>SUMIFS(INDEX(元データ!$E$2:$H$20000,0,MATCH($C$2,元データ!$E$1:$H$1,0)),元データ!$A$2:$A$20000,$A45,元データ!$D$2:$D$20000,$C$3,元データ!$B$2:$B$20000,$P$4,元データ!$C$2:$C$20000,P$5)</f>
        <v>827298</v>
      </c>
      <c r="Q45" s="16">
        <f>SUMIFS(INDEX(元データ!$E$2:$H$20000,0,MATCH($C$2,元データ!$E$1:$H$1,0)),元データ!$A$2:$A$20000,$A45,元データ!$D$2:$D$20000,$C$3,元データ!$B$2:$B$20000,$P$4,元データ!$C$2:$C$20000,Q$5)</f>
        <v>690470</v>
      </c>
      <c r="R45" s="16">
        <f>SUMIFS(INDEX(元データ!$E$2:$H$20000,0,MATCH($C$2,元データ!$E$1:$H$1,0)),元データ!$A$2:$A$20000,$A45,元データ!$D$2:$D$20000,$C$3,元データ!$B$2:$B$20000,$P$4,元データ!$C$2:$C$20000,R$5)</f>
        <v>1265873</v>
      </c>
      <c r="S45" s="16">
        <f>SUMIFS(INDEX(元データ!$E$2:$H$20000,0,MATCH($C$2,元データ!$E$1:$H$1,0)),元データ!$A$2:$A$20000,$A45,元データ!$D$2:$D$20000,$C$3,元データ!$B$2:$B$20000,$P$4,元データ!$C$2:$C$20000,S$5)</f>
        <v>1078319</v>
      </c>
      <c r="T45" s="16">
        <f>SUMIFS(INDEX(元データ!$E$2:$H$20000,0,MATCH($C$2,元データ!$E$1:$H$1,0)),元データ!$A$2:$A$20000,$A45,元データ!$D$2:$D$20000,$C$3,元データ!$B$2:$B$20000,$P$4,元データ!$C$2:$C$20000,T$5)</f>
        <v>1097310</v>
      </c>
      <c r="U45" s="16">
        <f>SUMIFS(INDEX(元データ!$E$2:$H$20000,0,MATCH($C$2,元データ!$E$1:$H$1,0)),元データ!$A$2:$A$20000,$A45,元データ!$D$2:$D$20000,$C$3,元データ!$B$2:$B$20000,$P$4,元データ!$C$2:$C$20000,U$5)</f>
        <v>673505</v>
      </c>
      <c r="V45" s="16">
        <f>SUMIFS(INDEX(元データ!$E$2:$H$20000,0,MATCH($C$2,元データ!$E$1:$H$1,0)),元データ!$A$2:$A$20000,$A45,元データ!$D$2:$D$20000,$C$3,元データ!$B$2:$B$20000,$P$4,元データ!$C$2:$C$20000,V$5)</f>
        <v>655638</v>
      </c>
      <c r="W45" s="16">
        <f>SUMIFS(INDEX(元データ!$E$2:$H$20000,0,MATCH($C$2,元データ!$E$1:$H$1,0)),元データ!$A$2:$A$20000,$A45,元データ!$D$2:$D$20000,$C$3,元データ!$B$2:$B$20000,$P$4,元データ!$C$2:$C$20000,W$5)</f>
        <v>1648115</v>
      </c>
      <c r="X45" s="16">
        <f>SUMIFS(INDEX(元データ!$E$2:$H$20000,0,MATCH($C$2,元データ!$E$1:$H$1,0)),元データ!$A$2:$A$20000,$A45,元データ!$D$2:$D$20000,$C$3,元データ!$B$2:$B$20000,$P$4,元データ!$C$2:$C$20000,X$5)</f>
        <v>2130747</v>
      </c>
      <c r="Y45" s="16">
        <f>SUMIFS(INDEX(元データ!$E$2:$H$20000,0,MATCH($C$2,元データ!$E$1:$H$1,0)),元データ!$A$2:$A$20000,$A45,元データ!$D$2:$D$20000,$C$3,元データ!$B$2:$B$20000,$P$4,元データ!$C$2:$C$20000,Y$5)</f>
        <v>2055913</v>
      </c>
      <c r="Z45" s="16">
        <f>SUMIFS(INDEX(元データ!$E$2:$H$20000,0,MATCH($C$2,元データ!$E$1:$H$1,0)),元データ!$A$2:$A$20000,$A45,元データ!$D$2:$D$20000,$C$3,元データ!$B$2:$B$20000,$P$4,元データ!$C$2:$C$20000,Z$5)</f>
        <v>1724628</v>
      </c>
      <c r="AA45" s="16">
        <f>SUMIFS(INDEX(元データ!$E$2:$H$20000,0,MATCH($C$2,元データ!$E$1:$H$1,0)),元データ!$A$2:$A$20000,$A45,元データ!$D$2:$D$20000,$C$3,元データ!$B$2:$B$20000,$P$4,元データ!$C$2:$C$20000,AA$5)</f>
        <v>1111271</v>
      </c>
      <c r="AB45" s="17">
        <f t="shared" si="16"/>
        <v>14959087</v>
      </c>
      <c r="AC45" s="18">
        <f t="shared" si="17"/>
        <v>1.0756172503741095</v>
      </c>
      <c r="AD45" s="18">
        <f t="shared" si="18"/>
        <v>1.2811563138152273</v>
      </c>
      <c r="AE45" s="18">
        <f t="shared" si="19"/>
        <v>1.0792875746619131</v>
      </c>
      <c r="AF45" s="18">
        <f t="shared" si="20"/>
        <v>1.0240095927086512</v>
      </c>
      <c r="AG45" s="18">
        <f t="shared" si="21"/>
        <v>0.94769846260400437</v>
      </c>
      <c r="AH45" s="18">
        <f t="shared" si="22"/>
        <v>1.1060021826118589</v>
      </c>
      <c r="AI45" s="18">
        <f t="shared" si="23"/>
        <v>1.0004102873841967</v>
      </c>
      <c r="AJ45" s="18">
        <f t="shared" si="24"/>
        <v>0.80652381660260353</v>
      </c>
      <c r="AK45" s="18">
        <f t="shared" si="25"/>
        <v>1.1085661507443165</v>
      </c>
      <c r="AL45" s="18">
        <f t="shared" si="26"/>
        <v>0.81157227956630462</v>
      </c>
      <c r="AM45" s="18">
        <f t="shared" si="27"/>
        <v>0.92527837887358899</v>
      </c>
      <c r="AN45" s="18">
        <f t="shared" si="28"/>
        <v>0.93124269417630801</v>
      </c>
      <c r="AO45" s="19">
        <f t="shared" si="29"/>
        <v>0.98108220107283284</v>
      </c>
    </row>
    <row r="46" spans="1:41" x14ac:dyDescent="0.45">
      <c r="A46" s="14" t="str">
        <f>店舗マスタ!A42</f>
        <v>原  店</v>
      </c>
      <c r="B46" s="15"/>
      <c r="C46" s="16">
        <f>SUMIFS(INDEX(元データ!$E$2:$H$20000,0,MATCH($C$2,元データ!$E$1:$H$1,0)),元データ!$A$2:$A$20000,$A46,元データ!$D$2:$D$20000,$C$3,元データ!$B$2:$B$20000,$C$4,元データ!$C$2:$C$20000,C$5)</f>
        <v>1001775</v>
      </c>
      <c r="D46" s="16">
        <f>SUMIFS(INDEX(元データ!$E$2:$H$20000,0,MATCH($C$2,元データ!$E$1:$H$1,0)),元データ!$A$2:$A$20000,$A46,元データ!$D$2:$D$20000,$C$3,元データ!$B$2:$B$20000,$C$4,元データ!$C$2:$C$20000,D$5)</f>
        <v>1115643</v>
      </c>
      <c r="E46" s="16">
        <f>SUMIFS(INDEX(元データ!$E$2:$H$20000,0,MATCH($C$2,元データ!$E$1:$H$1,0)),元データ!$A$2:$A$20000,$A46,元データ!$D$2:$D$20000,$C$3,元データ!$B$2:$B$20000,$C$4,元データ!$C$2:$C$20000,E$5)</f>
        <v>1523178</v>
      </c>
      <c r="F46" s="16">
        <f>SUMIFS(INDEX(元データ!$E$2:$H$20000,0,MATCH($C$2,元データ!$E$1:$H$1,0)),元データ!$A$2:$A$20000,$A46,元データ!$D$2:$D$20000,$C$3,元データ!$B$2:$B$20000,$C$4,元データ!$C$2:$C$20000,F$5)</f>
        <v>1504801</v>
      </c>
      <c r="G46" s="16">
        <f>SUMIFS(INDEX(元データ!$E$2:$H$20000,0,MATCH($C$2,元データ!$E$1:$H$1,0)),元データ!$A$2:$A$20000,$A46,元データ!$D$2:$D$20000,$C$3,元データ!$B$2:$B$20000,$C$4,元データ!$C$2:$C$20000,G$5)</f>
        <v>1501008</v>
      </c>
      <c r="H46" s="16">
        <f>SUMIFS(INDEX(元データ!$E$2:$H$20000,0,MATCH($C$2,元データ!$E$1:$H$1,0)),元データ!$A$2:$A$20000,$A46,元データ!$D$2:$D$20000,$C$3,元データ!$B$2:$B$20000,$C$4,元データ!$C$2:$C$20000,H$5)</f>
        <v>1005552</v>
      </c>
      <c r="I46" s="16">
        <f>SUMIFS(INDEX(元データ!$E$2:$H$20000,0,MATCH($C$2,元データ!$E$1:$H$1,0)),元データ!$A$2:$A$20000,$A46,元データ!$D$2:$D$20000,$C$3,元データ!$B$2:$B$20000,$C$4,元データ!$C$2:$C$20000,I$5)</f>
        <v>944511</v>
      </c>
      <c r="J46" s="16">
        <f>SUMIFS(INDEX(元データ!$E$2:$H$20000,0,MATCH($C$2,元データ!$E$1:$H$1,0)),元データ!$A$2:$A$20000,$A46,元データ!$D$2:$D$20000,$C$3,元データ!$B$2:$B$20000,$C$4,元データ!$C$2:$C$20000,J$5)</f>
        <v>1548959</v>
      </c>
      <c r="K46" s="16">
        <f>SUMIFS(INDEX(元データ!$E$2:$H$20000,0,MATCH($C$2,元データ!$E$1:$H$1,0)),元データ!$A$2:$A$20000,$A46,元データ!$D$2:$D$20000,$C$3,元データ!$B$2:$B$20000,$C$4,元データ!$C$2:$C$20000,K$5)</f>
        <v>2939297</v>
      </c>
      <c r="L46" s="16">
        <f>SUMIFS(INDEX(元データ!$E$2:$H$20000,0,MATCH($C$2,元データ!$E$1:$H$1,0)),元データ!$A$2:$A$20000,$A46,元データ!$D$2:$D$20000,$C$3,元データ!$B$2:$B$20000,$C$4,元データ!$C$2:$C$20000,L$5)</f>
        <v>2053734</v>
      </c>
      <c r="M46" s="16">
        <f>SUMIFS(INDEX(元データ!$E$2:$H$20000,0,MATCH($C$2,元データ!$E$1:$H$1,0)),元データ!$A$2:$A$20000,$A46,元データ!$D$2:$D$20000,$C$3,元データ!$B$2:$B$20000,$C$4,元データ!$C$2:$C$20000,M$5)</f>
        <v>1862275</v>
      </c>
      <c r="N46" s="16">
        <f>SUMIFS(INDEX(元データ!$E$2:$H$20000,0,MATCH($C$2,元データ!$E$1:$H$1,0)),元データ!$A$2:$A$20000,$A46,元データ!$D$2:$D$20000,$C$3,元データ!$B$2:$B$20000,$C$4,元データ!$C$2:$C$20000,N$5)</f>
        <v>1705770</v>
      </c>
      <c r="O46" s="17">
        <f t="shared" si="15"/>
        <v>18706503</v>
      </c>
      <c r="P46" s="16">
        <f>SUMIFS(INDEX(元データ!$E$2:$H$20000,0,MATCH($C$2,元データ!$E$1:$H$1,0)),元データ!$A$2:$A$20000,$A46,元データ!$D$2:$D$20000,$C$3,元データ!$B$2:$B$20000,$P$4,元データ!$C$2:$C$20000,P$5)</f>
        <v>1172462</v>
      </c>
      <c r="Q46" s="16">
        <f>SUMIFS(INDEX(元データ!$E$2:$H$20000,0,MATCH($C$2,元データ!$E$1:$H$1,0)),元データ!$A$2:$A$20000,$A46,元データ!$D$2:$D$20000,$C$3,元データ!$B$2:$B$20000,$P$4,元データ!$C$2:$C$20000,Q$5)</f>
        <v>1107378</v>
      </c>
      <c r="R46" s="16">
        <f>SUMIFS(INDEX(元データ!$E$2:$H$20000,0,MATCH($C$2,元データ!$E$1:$H$1,0)),元データ!$A$2:$A$20000,$A46,元データ!$D$2:$D$20000,$C$3,元データ!$B$2:$B$20000,$P$4,元データ!$C$2:$C$20000,R$5)</f>
        <v>1687757</v>
      </c>
      <c r="S46" s="16">
        <f>SUMIFS(INDEX(元データ!$E$2:$H$20000,0,MATCH($C$2,元データ!$E$1:$H$1,0)),元データ!$A$2:$A$20000,$A46,元データ!$D$2:$D$20000,$C$3,元データ!$B$2:$B$20000,$P$4,元データ!$C$2:$C$20000,S$5)</f>
        <v>1495363</v>
      </c>
      <c r="T46" s="16">
        <f>SUMIFS(INDEX(元データ!$E$2:$H$20000,0,MATCH($C$2,元データ!$E$1:$H$1,0)),元データ!$A$2:$A$20000,$A46,元データ!$D$2:$D$20000,$C$3,元データ!$B$2:$B$20000,$P$4,元データ!$C$2:$C$20000,T$5)</f>
        <v>1644598</v>
      </c>
      <c r="U46" s="16">
        <f>SUMIFS(INDEX(元データ!$E$2:$H$20000,0,MATCH($C$2,元データ!$E$1:$H$1,0)),元データ!$A$2:$A$20000,$A46,元データ!$D$2:$D$20000,$C$3,元データ!$B$2:$B$20000,$P$4,元データ!$C$2:$C$20000,U$5)</f>
        <v>1025882</v>
      </c>
      <c r="V46" s="16">
        <f>SUMIFS(INDEX(元データ!$E$2:$H$20000,0,MATCH($C$2,元データ!$E$1:$H$1,0)),元データ!$A$2:$A$20000,$A46,元データ!$D$2:$D$20000,$C$3,元データ!$B$2:$B$20000,$P$4,元データ!$C$2:$C$20000,V$5)</f>
        <v>960880</v>
      </c>
      <c r="W46" s="16">
        <f>SUMIFS(INDEX(元データ!$E$2:$H$20000,0,MATCH($C$2,元データ!$E$1:$H$1,0)),元データ!$A$2:$A$20000,$A46,元データ!$D$2:$D$20000,$C$3,元データ!$B$2:$B$20000,$P$4,元データ!$C$2:$C$20000,W$5)</f>
        <v>2266825</v>
      </c>
      <c r="X46" s="16">
        <f>SUMIFS(INDEX(元データ!$E$2:$H$20000,0,MATCH($C$2,元データ!$E$1:$H$1,0)),元データ!$A$2:$A$20000,$A46,元データ!$D$2:$D$20000,$C$3,元データ!$B$2:$B$20000,$P$4,元データ!$C$2:$C$20000,X$5)</f>
        <v>2763429</v>
      </c>
      <c r="Y46" s="16">
        <f>SUMIFS(INDEX(元データ!$E$2:$H$20000,0,MATCH($C$2,元データ!$E$1:$H$1,0)),元データ!$A$2:$A$20000,$A46,元データ!$D$2:$D$20000,$C$3,元データ!$B$2:$B$20000,$P$4,元データ!$C$2:$C$20000,Y$5)</f>
        <v>2790896</v>
      </c>
      <c r="Z46" s="16">
        <f>SUMIFS(INDEX(元データ!$E$2:$H$20000,0,MATCH($C$2,元データ!$E$1:$H$1,0)),元データ!$A$2:$A$20000,$A46,元データ!$D$2:$D$20000,$C$3,元データ!$B$2:$B$20000,$P$4,元データ!$C$2:$C$20000,Z$5)</f>
        <v>1875314</v>
      </c>
      <c r="AA46" s="16">
        <f>SUMIFS(INDEX(元データ!$E$2:$H$20000,0,MATCH($C$2,元データ!$E$1:$H$1,0)),元データ!$A$2:$A$20000,$A46,元データ!$D$2:$D$20000,$C$3,元データ!$B$2:$B$20000,$P$4,元データ!$C$2:$C$20000,AA$5)</f>
        <v>1433317</v>
      </c>
      <c r="AB46" s="17">
        <f t="shared" si="16"/>
        <v>20224101</v>
      </c>
      <c r="AC46" s="18">
        <f t="shared" si="17"/>
        <v>0.85442001531819367</v>
      </c>
      <c r="AD46" s="18">
        <f t="shared" si="18"/>
        <v>1.0074635761230581</v>
      </c>
      <c r="AE46" s="18">
        <f t="shared" si="19"/>
        <v>0.90248655464027105</v>
      </c>
      <c r="AF46" s="18">
        <f t="shared" si="20"/>
        <v>1.0063115109842895</v>
      </c>
      <c r="AG46" s="18">
        <f t="shared" si="21"/>
        <v>0.9126899096314115</v>
      </c>
      <c r="AH46" s="18">
        <f t="shared" si="22"/>
        <v>0.98018290602622915</v>
      </c>
      <c r="AI46" s="18">
        <f t="shared" si="23"/>
        <v>0.98296457414037131</v>
      </c>
      <c r="AJ46" s="18">
        <f t="shared" si="24"/>
        <v>0.68331653303629525</v>
      </c>
      <c r="AK46" s="18">
        <f t="shared" si="25"/>
        <v>1.0636412225535739</v>
      </c>
      <c r="AL46" s="18">
        <f t="shared" si="26"/>
        <v>0.73586905423921212</v>
      </c>
      <c r="AM46" s="18">
        <f t="shared" si="27"/>
        <v>0.99304703105719894</v>
      </c>
      <c r="AN46" s="18">
        <f t="shared" si="28"/>
        <v>1.1900856544644345</v>
      </c>
      <c r="AO46" s="19">
        <f t="shared" si="29"/>
        <v>0.92496091668054858</v>
      </c>
    </row>
    <row r="47" spans="1:41" x14ac:dyDescent="0.45">
      <c r="A47" s="14" t="str">
        <f>店舗マスタ!A43</f>
        <v>ＭＶ原町店</v>
      </c>
      <c r="B47" s="15"/>
      <c r="C47" s="16">
        <f>SUMIFS(INDEX(元データ!$E$2:$H$20000,0,MATCH($C$2,元データ!$E$1:$H$1,0)),元データ!$A$2:$A$20000,$A47,元データ!$D$2:$D$20000,$C$3,元データ!$B$2:$B$20000,$C$4,元データ!$C$2:$C$20000,C$5)</f>
        <v>870240</v>
      </c>
      <c r="D47" s="16">
        <f>SUMIFS(INDEX(元データ!$E$2:$H$20000,0,MATCH($C$2,元データ!$E$1:$H$1,0)),元データ!$A$2:$A$20000,$A47,元データ!$D$2:$D$20000,$C$3,元データ!$B$2:$B$20000,$C$4,元データ!$C$2:$C$20000,D$5)</f>
        <v>770997</v>
      </c>
      <c r="E47" s="16">
        <f>SUMIFS(INDEX(元データ!$E$2:$H$20000,0,MATCH($C$2,元データ!$E$1:$H$1,0)),元データ!$A$2:$A$20000,$A47,元データ!$D$2:$D$20000,$C$3,元データ!$B$2:$B$20000,$C$4,元データ!$C$2:$C$20000,E$5)</f>
        <v>1208456</v>
      </c>
      <c r="F47" s="16">
        <f>SUMIFS(INDEX(元データ!$E$2:$H$20000,0,MATCH($C$2,元データ!$E$1:$H$1,0)),元データ!$A$2:$A$20000,$A47,元データ!$D$2:$D$20000,$C$3,元データ!$B$2:$B$20000,$C$4,元データ!$C$2:$C$20000,F$5)</f>
        <v>1082165</v>
      </c>
      <c r="G47" s="16">
        <f>SUMIFS(INDEX(元データ!$E$2:$H$20000,0,MATCH($C$2,元データ!$E$1:$H$1,0)),元データ!$A$2:$A$20000,$A47,元データ!$D$2:$D$20000,$C$3,元データ!$B$2:$B$20000,$C$4,元データ!$C$2:$C$20000,G$5)</f>
        <v>955168</v>
      </c>
      <c r="H47" s="16">
        <f>SUMIFS(INDEX(元データ!$E$2:$H$20000,0,MATCH($C$2,元データ!$E$1:$H$1,0)),元データ!$A$2:$A$20000,$A47,元データ!$D$2:$D$20000,$C$3,元データ!$B$2:$B$20000,$C$4,元データ!$C$2:$C$20000,H$5)</f>
        <v>611820</v>
      </c>
      <c r="I47" s="16">
        <f>SUMIFS(INDEX(元データ!$E$2:$H$20000,0,MATCH($C$2,元データ!$E$1:$H$1,0)),元データ!$A$2:$A$20000,$A47,元データ!$D$2:$D$20000,$C$3,元データ!$B$2:$B$20000,$C$4,元データ!$C$2:$C$20000,I$5)</f>
        <v>606983</v>
      </c>
      <c r="J47" s="16">
        <f>SUMIFS(INDEX(元データ!$E$2:$H$20000,0,MATCH($C$2,元データ!$E$1:$H$1,0)),元データ!$A$2:$A$20000,$A47,元データ!$D$2:$D$20000,$C$3,元データ!$B$2:$B$20000,$C$4,元データ!$C$2:$C$20000,J$5)</f>
        <v>1214568</v>
      </c>
      <c r="K47" s="16">
        <f>SUMIFS(INDEX(元データ!$E$2:$H$20000,0,MATCH($C$2,元データ!$E$1:$H$1,0)),元データ!$A$2:$A$20000,$A47,元データ!$D$2:$D$20000,$C$3,元データ!$B$2:$B$20000,$C$4,元データ!$C$2:$C$20000,K$5)</f>
        <v>2157543</v>
      </c>
      <c r="L47" s="16">
        <f>SUMIFS(INDEX(元データ!$E$2:$H$20000,0,MATCH($C$2,元データ!$E$1:$H$1,0)),元データ!$A$2:$A$20000,$A47,元データ!$D$2:$D$20000,$C$3,元データ!$B$2:$B$20000,$C$4,元データ!$C$2:$C$20000,L$5)</f>
        <v>1426585</v>
      </c>
      <c r="M47" s="16">
        <f>SUMIFS(INDEX(元データ!$E$2:$H$20000,0,MATCH($C$2,元データ!$E$1:$H$1,0)),元データ!$A$2:$A$20000,$A47,元データ!$D$2:$D$20000,$C$3,元データ!$B$2:$B$20000,$C$4,元データ!$C$2:$C$20000,M$5)</f>
        <v>1525435</v>
      </c>
      <c r="N47" s="16">
        <f>SUMIFS(INDEX(元データ!$E$2:$H$20000,0,MATCH($C$2,元データ!$E$1:$H$1,0)),元データ!$A$2:$A$20000,$A47,元データ!$D$2:$D$20000,$C$3,元データ!$B$2:$B$20000,$C$4,元データ!$C$2:$C$20000,N$5)</f>
        <v>994961</v>
      </c>
      <c r="O47" s="17">
        <f t="shared" si="15"/>
        <v>13424921</v>
      </c>
      <c r="P47" s="16">
        <f>SUMIFS(INDEX(元データ!$E$2:$H$20000,0,MATCH($C$2,元データ!$E$1:$H$1,0)),元データ!$A$2:$A$20000,$A47,元データ!$D$2:$D$20000,$C$3,元データ!$B$2:$B$20000,$P$4,元データ!$C$2:$C$20000,P$5)</f>
        <v>787423</v>
      </c>
      <c r="Q47" s="16">
        <f>SUMIFS(INDEX(元データ!$E$2:$H$20000,0,MATCH($C$2,元データ!$E$1:$H$1,0)),元データ!$A$2:$A$20000,$A47,元データ!$D$2:$D$20000,$C$3,元データ!$B$2:$B$20000,$P$4,元データ!$C$2:$C$20000,Q$5)</f>
        <v>697385</v>
      </c>
      <c r="R47" s="16">
        <f>SUMIFS(INDEX(元データ!$E$2:$H$20000,0,MATCH($C$2,元データ!$E$1:$H$1,0)),元データ!$A$2:$A$20000,$A47,元データ!$D$2:$D$20000,$C$3,元データ!$B$2:$B$20000,$P$4,元データ!$C$2:$C$20000,R$5)</f>
        <v>1232425</v>
      </c>
      <c r="S47" s="16">
        <f>SUMIFS(INDEX(元データ!$E$2:$H$20000,0,MATCH($C$2,元データ!$E$1:$H$1,0)),元データ!$A$2:$A$20000,$A47,元データ!$D$2:$D$20000,$C$3,元データ!$B$2:$B$20000,$P$4,元データ!$C$2:$C$20000,S$5)</f>
        <v>1020658</v>
      </c>
      <c r="T47" s="16">
        <f>SUMIFS(INDEX(元データ!$E$2:$H$20000,0,MATCH($C$2,元データ!$E$1:$H$1,0)),元データ!$A$2:$A$20000,$A47,元データ!$D$2:$D$20000,$C$3,元データ!$B$2:$B$20000,$P$4,元データ!$C$2:$C$20000,T$5)</f>
        <v>1002712</v>
      </c>
      <c r="U47" s="16">
        <f>SUMIFS(INDEX(元データ!$E$2:$H$20000,0,MATCH($C$2,元データ!$E$1:$H$1,0)),元データ!$A$2:$A$20000,$A47,元データ!$D$2:$D$20000,$C$3,元データ!$B$2:$B$20000,$P$4,元データ!$C$2:$C$20000,U$5)</f>
        <v>665824</v>
      </c>
      <c r="V47" s="16">
        <f>SUMIFS(INDEX(元データ!$E$2:$H$20000,0,MATCH($C$2,元データ!$E$1:$H$1,0)),元データ!$A$2:$A$20000,$A47,元データ!$D$2:$D$20000,$C$3,元データ!$B$2:$B$20000,$P$4,元データ!$C$2:$C$20000,V$5)</f>
        <v>605241</v>
      </c>
      <c r="W47" s="16">
        <f>SUMIFS(INDEX(元データ!$E$2:$H$20000,0,MATCH($C$2,元データ!$E$1:$H$1,0)),元データ!$A$2:$A$20000,$A47,元データ!$D$2:$D$20000,$C$3,元データ!$B$2:$B$20000,$P$4,元データ!$C$2:$C$20000,W$5)</f>
        <v>1488565</v>
      </c>
      <c r="X47" s="16">
        <f>SUMIFS(INDEX(元データ!$E$2:$H$20000,0,MATCH($C$2,元データ!$E$1:$H$1,0)),元データ!$A$2:$A$20000,$A47,元データ!$D$2:$D$20000,$C$3,元データ!$B$2:$B$20000,$P$4,元データ!$C$2:$C$20000,X$5)</f>
        <v>2148227</v>
      </c>
      <c r="Y47" s="16">
        <f>SUMIFS(INDEX(元データ!$E$2:$H$20000,0,MATCH($C$2,元データ!$E$1:$H$1,0)),元データ!$A$2:$A$20000,$A47,元データ!$D$2:$D$20000,$C$3,元データ!$B$2:$B$20000,$P$4,元データ!$C$2:$C$20000,Y$5)</f>
        <v>1810711</v>
      </c>
      <c r="Z47" s="16">
        <f>SUMIFS(INDEX(元データ!$E$2:$H$20000,0,MATCH($C$2,元データ!$E$1:$H$1,0)),元データ!$A$2:$A$20000,$A47,元データ!$D$2:$D$20000,$C$3,元データ!$B$2:$B$20000,$P$4,元データ!$C$2:$C$20000,Z$5)</f>
        <v>1711405</v>
      </c>
      <c r="AA47" s="16">
        <f>SUMIFS(INDEX(元データ!$E$2:$H$20000,0,MATCH($C$2,元データ!$E$1:$H$1,0)),元データ!$A$2:$A$20000,$A47,元データ!$D$2:$D$20000,$C$3,元データ!$B$2:$B$20000,$P$4,元データ!$C$2:$C$20000,AA$5)</f>
        <v>1116664</v>
      </c>
      <c r="AB47" s="17">
        <f t="shared" si="16"/>
        <v>14287240</v>
      </c>
      <c r="AC47" s="18">
        <f t="shared" si="17"/>
        <v>1.1051747281956459</v>
      </c>
      <c r="AD47" s="18">
        <f t="shared" si="18"/>
        <v>1.1055543207840719</v>
      </c>
      <c r="AE47" s="18">
        <f t="shared" si="19"/>
        <v>0.98055135200925003</v>
      </c>
      <c r="AF47" s="18">
        <f t="shared" si="20"/>
        <v>1.0602621054261074</v>
      </c>
      <c r="AG47" s="18">
        <f t="shared" si="21"/>
        <v>0.95258459059031908</v>
      </c>
      <c r="AH47" s="18">
        <f t="shared" si="22"/>
        <v>0.91889147882924016</v>
      </c>
      <c r="AI47" s="18">
        <f t="shared" si="23"/>
        <v>1.0028781923233885</v>
      </c>
      <c r="AJ47" s="18">
        <f t="shared" si="24"/>
        <v>0.81593212254755421</v>
      </c>
      <c r="AK47" s="18">
        <f t="shared" si="25"/>
        <v>1.0043365994375828</v>
      </c>
      <c r="AL47" s="18">
        <f t="shared" si="26"/>
        <v>0.78785902333392799</v>
      </c>
      <c r="AM47" s="18">
        <f t="shared" si="27"/>
        <v>0.89133489735042259</v>
      </c>
      <c r="AN47" s="18">
        <f t="shared" si="28"/>
        <v>0.89101197853606817</v>
      </c>
      <c r="AO47" s="19">
        <f t="shared" si="29"/>
        <v>0.93964411600841036</v>
      </c>
    </row>
    <row r="48" spans="1:41" x14ac:dyDescent="0.45">
      <c r="A48" s="14" t="str">
        <f>店舗マスタ!A44</f>
        <v>松長店</v>
      </c>
      <c r="B48" s="15"/>
      <c r="C48" s="16">
        <f>SUMIFS(INDEX(元データ!$E$2:$H$20000,0,MATCH($C$2,元データ!$E$1:$H$1,0)),元データ!$A$2:$A$20000,$A48,元データ!$D$2:$D$20000,$C$3,元データ!$B$2:$B$20000,$C$4,元データ!$C$2:$C$20000,C$5)</f>
        <v>828202</v>
      </c>
      <c r="D48" s="16">
        <f>SUMIFS(INDEX(元データ!$E$2:$H$20000,0,MATCH($C$2,元データ!$E$1:$H$1,0)),元データ!$A$2:$A$20000,$A48,元データ!$D$2:$D$20000,$C$3,元データ!$B$2:$B$20000,$C$4,元データ!$C$2:$C$20000,D$5)</f>
        <v>932163</v>
      </c>
      <c r="E48" s="16">
        <f>SUMIFS(INDEX(元データ!$E$2:$H$20000,0,MATCH($C$2,元データ!$E$1:$H$1,0)),元データ!$A$2:$A$20000,$A48,元データ!$D$2:$D$20000,$C$3,元データ!$B$2:$B$20000,$C$4,元データ!$C$2:$C$20000,E$5)</f>
        <v>1216649</v>
      </c>
      <c r="F48" s="16">
        <f>SUMIFS(INDEX(元データ!$E$2:$H$20000,0,MATCH($C$2,元データ!$E$1:$H$1,0)),元データ!$A$2:$A$20000,$A48,元データ!$D$2:$D$20000,$C$3,元データ!$B$2:$B$20000,$C$4,元データ!$C$2:$C$20000,F$5)</f>
        <v>1160263</v>
      </c>
      <c r="G48" s="16">
        <f>SUMIFS(INDEX(元データ!$E$2:$H$20000,0,MATCH($C$2,元データ!$E$1:$H$1,0)),元データ!$A$2:$A$20000,$A48,元データ!$D$2:$D$20000,$C$3,元データ!$B$2:$B$20000,$C$4,元データ!$C$2:$C$20000,G$5)</f>
        <v>1036071</v>
      </c>
      <c r="H48" s="16">
        <f>SUMIFS(INDEX(元データ!$E$2:$H$20000,0,MATCH($C$2,元データ!$E$1:$H$1,0)),元データ!$A$2:$A$20000,$A48,元データ!$D$2:$D$20000,$C$3,元データ!$B$2:$B$20000,$C$4,元データ!$C$2:$C$20000,H$5)</f>
        <v>898422</v>
      </c>
      <c r="I48" s="16">
        <f>SUMIFS(INDEX(元データ!$E$2:$H$20000,0,MATCH($C$2,元データ!$E$1:$H$1,0)),元データ!$A$2:$A$20000,$A48,元データ!$D$2:$D$20000,$C$3,元データ!$B$2:$B$20000,$C$4,元データ!$C$2:$C$20000,I$5)</f>
        <v>754567</v>
      </c>
      <c r="J48" s="16">
        <f>SUMIFS(INDEX(元データ!$E$2:$H$20000,0,MATCH($C$2,元データ!$E$1:$H$1,0)),元データ!$A$2:$A$20000,$A48,元データ!$D$2:$D$20000,$C$3,元データ!$B$2:$B$20000,$C$4,元データ!$C$2:$C$20000,J$5)</f>
        <v>1330791</v>
      </c>
      <c r="K48" s="16">
        <f>SUMIFS(INDEX(元データ!$E$2:$H$20000,0,MATCH($C$2,元データ!$E$1:$H$1,0)),元データ!$A$2:$A$20000,$A48,元データ!$D$2:$D$20000,$C$3,元データ!$B$2:$B$20000,$C$4,元データ!$C$2:$C$20000,K$5)</f>
        <v>2231305</v>
      </c>
      <c r="L48" s="16">
        <f>SUMIFS(INDEX(元データ!$E$2:$H$20000,0,MATCH($C$2,元データ!$E$1:$H$1,0)),元データ!$A$2:$A$20000,$A48,元データ!$D$2:$D$20000,$C$3,元データ!$B$2:$B$20000,$C$4,元データ!$C$2:$C$20000,L$5)</f>
        <v>1777804</v>
      </c>
      <c r="M48" s="16">
        <f>SUMIFS(INDEX(元データ!$E$2:$H$20000,0,MATCH($C$2,元データ!$E$1:$H$1,0)),元データ!$A$2:$A$20000,$A48,元データ!$D$2:$D$20000,$C$3,元データ!$B$2:$B$20000,$C$4,元データ!$C$2:$C$20000,M$5)</f>
        <v>1654358</v>
      </c>
      <c r="N48" s="16">
        <f>SUMIFS(INDEX(元データ!$E$2:$H$20000,0,MATCH($C$2,元データ!$E$1:$H$1,0)),元データ!$A$2:$A$20000,$A48,元データ!$D$2:$D$20000,$C$3,元データ!$B$2:$B$20000,$C$4,元データ!$C$2:$C$20000,N$5)</f>
        <v>1256910</v>
      </c>
      <c r="O48" s="17">
        <f t="shared" si="15"/>
        <v>15077505</v>
      </c>
      <c r="P48" s="16">
        <f>SUMIFS(INDEX(元データ!$E$2:$H$20000,0,MATCH($C$2,元データ!$E$1:$H$1,0)),元データ!$A$2:$A$20000,$A48,元データ!$D$2:$D$20000,$C$3,元データ!$B$2:$B$20000,$P$4,元データ!$C$2:$C$20000,P$5)</f>
        <v>782155</v>
      </c>
      <c r="Q48" s="16">
        <f>SUMIFS(INDEX(元データ!$E$2:$H$20000,0,MATCH($C$2,元データ!$E$1:$H$1,0)),元データ!$A$2:$A$20000,$A48,元データ!$D$2:$D$20000,$C$3,元データ!$B$2:$B$20000,$P$4,元データ!$C$2:$C$20000,Q$5)</f>
        <v>779264</v>
      </c>
      <c r="R48" s="16">
        <f>SUMIFS(INDEX(元データ!$E$2:$H$20000,0,MATCH($C$2,元データ!$E$1:$H$1,0)),元データ!$A$2:$A$20000,$A48,元データ!$D$2:$D$20000,$C$3,元データ!$B$2:$B$20000,$P$4,元データ!$C$2:$C$20000,R$5)</f>
        <v>1166992</v>
      </c>
      <c r="S48" s="16">
        <f>SUMIFS(INDEX(元データ!$E$2:$H$20000,0,MATCH($C$2,元データ!$E$1:$H$1,0)),元データ!$A$2:$A$20000,$A48,元データ!$D$2:$D$20000,$C$3,元データ!$B$2:$B$20000,$P$4,元データ!$C$2:$C$20000,S$5)</f>
        <v>1035955</v>
      </c>
      <c r="T48" s="16">
        <f>SUMIFS(INDEX(元データ!$E$2:$H$20000,0,MATCH($C$2,元データ!$E$1:$H$1,0)),元データ!$A$2:$A$20000,$A48,元データ!$D$2:$D$20000,$C$3,元データ!$B$2:$B$20000,$P$4,元データ!$C$2:$C$20000,T$5)</f>
        <v>1016628</v>
      </c>
      <c r="U48" s="16">
        <f>SUMIFS(INDEX(元データ!$E$2:$H$20000,0,MATCH($C$2,元データ!$E$1:$H$1,0)),元データ!$A$2:$A$20000,$A48,元データ!$D$2:$D$20000,$C$3,元データ!$B$2:$B$20000,$P$4,元データ!$C$2:$C$20000,U$5)</f>
        <v>731475</v>
      </c>
      <c r="V48" s="16">
        <f>SUMIFS(INDEX(元データ!$E$2:$H$20000,0,MATCH($C$2,元データ!$E$1:$H$1,0)),元データ!$A$2:$A$20000,$A48,元データ!$D$2:$D$20000,$C$3,元データ!$B$2:$B$20000,$P$4,元データ!$C$2:$C$20000,V$5)</f>
        <v>686423</v>
      </c>
      <c r="W48" s="16">
        <f>SUMIFS(INDEX(元データ!$E$2:$H$20000,0,MATCH($C$2,元データ!$E$1:$H$1,0)),元データ!$A$2:$A$20000,$A48,元データ!$D$2:$D$20000,$C$3,元データ!$B$2:$B$20000,$P$4,元データ!$C$2:$C$20000,W$5)</f>
        <v>1581893</v>
      </c>
      <c r="X48" s="16">
        <f>SUMIFS(INDEX(元データ!$E$2:$H$20000,0,MATCH($C$2,元データ!$E$1:$H$1,0)),元データ!$A$2:$A$20000,$A48,元データ!$D$2:$D$20000,$C$3,元データ!$B$2:$B$20000,$P$4,元データ!$C$2:$C$20000,X$5)</f>
        <v>2209050</v>
      </c>
      <c r="Y48" s="16">
        <f>SUMIFS(INDEX(元データ!$E$2:$H$20000,0,MATCH($C$2,元データ!$E$1:$H$1,0)),元データ!$A$2:$A$20000,$A48,元データ!$D$2:$D$20000,$C$3,元データ!$B$2:$B$20000,$P$4,元データ!$C$2:$C$20000,Y$5)</f>
        <v>2002095</v>
      </c>
      <c r="Z48" s="16">
        <f>SUMIFS(INDEX(元データ!$E$2:$H$20000,0,MATCH($C$2,元データ!$E$1:$H$1,0)),元データ!$A$2:$A$20000,$A48,元データ!$D$2:$D$20000,$C$3,元データ!$B$2:$B$20000,$P$4,元データ!$C$2:$C$20000,Z$5)</f>
        <v>1678909</v>
      </c>
      <c r="AA48" s="16">
        <f>SUMIFS(INDEX(元データ!$E$2:$H$20000,0,MATCH($C$2,元データ!$E$1:$H$1,0)),元データ!$A$2:$A$20000,$A48,元データ!$D$2:$D$20000,$C$3,元データ!$B$2:$B$20000,$P$4,元データ!$C$2:$C$20000,AA$5)</f>
        <v>1151088</v>
      </c>
      <c r="AB48" s="17">
        <f t="shared" si="16"/>
        <v>14821927</v>
      </c>
      <c r="AC48" s="18">
        <f t="shared" si="17"/>
        <v>1.0588719627183871</v>
      </c>
      <c r="AD48" s="18">
        <f t="shared" si="18"/>
        <v>1.1962095002463864</v>
      </c>
      <c r="AE48" s="18">
        <f t="shared" si="19"/>
        <v>1.0425512771295775</v>
      </c>
      <c r="AF48" s="18">
        <f t="shared" si="20"/>
        <v>1.1199936290668997</v>
      </c>
      <c r="AG48" s="18">
        <f t="shared" si="21"/>
        <v>1.0191249896717383</v>
      </c>
      <c r="AH48" s="18">
        <f t="shared" si="22"/>
        <v>1.2282333640930996</v>
      </c>
      <c r="AI48" s="18">
        <f t="shared" si="23"/>
        <v>1.0992740627863578</v>
      </c>
      <c r="AJ48" s="18">
        <f t="shared" si="24"/>
        <v>0.84126486431130298</v>
      </c>
      <c r="AK48" s="18">
        <f t="shared" si="25"/>
        <v>1.0100744663995835</v>
      </c>
      <c r="AL48" s="18">
        <f t="shared" si="26"/>
        <v>0.88797184948766172</v>
      </c>
      <c r="AM48" s="18">
        <f t="shared" si="27"/>
        <v>0.98537681315663928</v>
      </c>
      <c r="AN48" s="18">
        <f t="shared" si="28"/>
        <v>1.0919321546224094</v>
      </c>
      <c r="AO48" s="19">
        <f t="shared" si="29"/>
        <v>1.0172432369961071</v>
      </c>
    </row>
    <row r="49" spans="1:41" x14ac:dyDescent="0.45">
      <c r="A49" s="14" t="str">
        <f>店舗マスタ!A45</f>
        <v>田中町店</v>
      </c>
      <c r="B49" s="15"/>
      <c r="C49" s="16">
        <f>SUMIFS(INDEX(元データ!$E$2:$H$20000,0,MATCH($C$2,元データ!$E$1:$H$1,0)),元データ!$A$2:$A$20000,$A49,元データ!$D$2:$D$20000,$C$3,元データ!$B$2:$B$20000,$C$4,元データ!$C$2:$C$20000,C$5)</f>
        <v>1160909</v>
      </c>
      <c r="D49" s="16">
        <f>SUMIFS(INDEX(元データ!$E$2:$H$20000,0,MATCH($C$2,元データ!$E$1:$H$1,0)),元データ!$A$2:$A$20000,$A49,元データ!$D$2:$D$20000,$C$3,元データ!$B$2:$B$20000,$C$4,元データ!$C$2:$C$20000,D$5)</f>
        <v>1257545</v>
      </c>
      <c r="E49" s="16">
        <f>SUMIFS(INDEX(元データ!$E$2:$H$20000,0,MATCH($C$2,元データ!$E$1:$H$1,0)),元データ!$A$2:$A$20000,$A49,元データ!$D$2:$D$20000,$C$3,元データ!$B$2:$B$20000,$C$4,元データ!$C$2:$C$20000,E$5)</f>
        <v>1777657</v>
      </c>
      <c r="F49" s="16">
        <f>SUMIFS(INDEX(元データ!$E$2:$H$20000,0,MATCH($C$2,元データ!$E$1:$H$1,0)),元データ!$A$2:$A$20000,$A49,元データ!$D$2:$D$20000,$C$3,元データ!$B$2:$B$20000,$C$4,元データ!$C$2:$C$20000,F$5)</f>
        <v>1504866</v>
      </c>
      <c r="G49" s="16">
        <f>SUMIFS(INDEX(元データ!$E$2:$H$20000,0,MATCH($C$2,元データ!$E$1:$H$1,0)),元データ!$A$2:$A$20000,$A49,元データ!$D$2:$D$20000,$C$3,元データ!$B$2:$B$20000,$C$4,元データ!$C$2:$C$20000,G$5)</f>
        <v>1543529</v>
      </c>
      <c r="H49" s="16">
        <f>SUMIFS(INDEX(元データ!$E$2:$H$20000,0,MATCH($C$2,元データ!$E$1:$H$1,0)),元データ!$A$2:$A$20000,$A49,元データ!$D$2:$D$20000,$C$3,元データ!$B$2:$B$20000,$C$4,元データ!$C$2:$C$20000,H$5)</f>
        <v>1071506</v>
      </c>
      <c r="I49" s="16">
        <f>SUMIFS(INDEX(元データ!$E$2:$H$20000,0,MATCH($C$2,元データ!$E$1:$H$1,0)),元データ!$A$2:$A$20000,$A49,元データ!$D$2:$D$20000,$C$3,元データ!$B$2:$B$20000,$C$4,元データ!$C$2:$C$20000,I$5)</f>
        <v>835007</v>
      </c>
      <c r="J49" s="16">
        <f>SUMIFS(INDEX(元データ!$E$2:$H$20000,0,MATCH($C$2,元データ!$E$1:$H$1,0)),元データ!$A$2:$A$20000,$A49,元データ!$D$2:$D$20000,$C$3,元データ!$B$2:$B$20000,$C$4,元データ!$C$2:$C$20000,J$5)</f>
        <v>1897294</v>
      </c>
      <c r="K49" s="16">
        <f>SUMIFS(INDEX(元データ!$E$2:$H$20000,0,MATCH($C$2,元データ!$E$1:$H$1,0)),元データ!$A$2:$A$20000,$A49,元データ!$D$2:$D$20000,$C$3,元データ!$B$2:$B$20000,$C$4,元データ!$C$2:$C$20000,K$5)</f>
        <v>2943707</v>
      </c>
      <c r="L49" s="16">
        <f>SUMIFS(INDEX(元データ!$E$2:$H$20000,0,MATCH($C$2,元データ!$E$1:$H$1,0)),元データ!$A$2:$A$20000,$A49,元データ!$D$2:$D$20000,$C$3,元データ!$B$2:$B$20000,$C$4,元データ!$C$2:$C$20000,L$5)</f>
        <v>2248516</v>
      </c>
      <c r="M49" s="16">
        <f>SUMIFS(INDEX(元データ!$E$2:$H$20000,0,MATCH($C$2,元データ!$E$1:$H$1,0)),元データ!$A$2:$A$20000,$A49,元データ!$D$2:$D$20000,$C$3,元データ!$B$2:$B$20000,$C$4,元データ!$C$2:$C$20000,M$5)</f>
        <v>2033369</v>
      </c>
      <c r="N49" s="16">
        <f>SUMIFS(INDEX(元データ!$E$2:$H$20000,0,MATCH($C$2,元データ!$E$1:$H$1,0)),元データ!$A$2:$A$20000,$A49,元データ!$D$2:$D$20000,$C$3,元データ!$B$2:$B$20000,$C$4,元データ!$C$2:$C$20000,N$5)</f>
        <v>1914940</v>
      </c>
      <c r="O49" s="17">
        <f t="shared" si="15"/>
        <v>20188845</v>
      </c>
      <c r="P49" s="16">
        <f>SUMIFS(INDEX(元データ!$E$2:$H$20000,0,MATCH($C$2,元データ!$E$1:$H$1,0)),元データ!$A$2:$A$20000,$A49,元データ!$D$2:$D$20000,$C$3,元データ!$B$2:$B$20000,$P$4,元データ!$C$2:$C$20000,P$5)</f>
        <v>1207563</v>
      </c>
      <c r="Q49" s="16">
        <f>SUMIFS(INDEX(元データ!$E$2:$H$20000,0,MATCH($C$2,元データ!$E$1:$H$1,0)),元データ!$A$2:$A$20000,$A49,元データ!$D$2:$D$20000,$C$3,元データ!$B$2:$B$20000,$P$4,元データ!$C$2:$C$20000,Q$5)</f>
        <v>1164191</v>
      </c>
      <c r="R49" s="16">
        <f>SUMIFS(INDEX(元データ!$E$2:$H$20000,0,MATCH($C$2,元データ!$E$1:$H$1,0)),元データ!$A$2:$A$20000,$A49,元データ!$D$2:$D$20000,$C$3,元データ!$B$2:$B$20000,$P$4,元データ!$C$2:$C$20000,R$5)</f>
        <v>1604225</v>
      </c>
      <c r="S49" s="16">
        <f>SUMIFS(INDEX(元データ!$E$2:$H$20000,0,MATCH($C$2,元データ!$E$1:$H$1,0)),元データ!$A$2:$A$20000,$A49,元データ!$D$2:$D$20000,$C$3,元データ!$B$2:$B$20000,$P$4,元データ!$C$2:$C$20000,S$5)</f>
        <v>1549054</v>
      </c>
      <c r="T49" s="16">
        <f>SUMIFS(INDEX(元データ!$E$2:$H$20000,0,MATCH($C$2,元データ!$E$1:$H$1,0)),元データ!$A$2:$A$20000,$A49,元データ!$D$2:$D$20000,$C$3,元データ!$B$2:$B$20000,$P$4,元データ!$C$2:$C$20000,T$5)</f>
        <v>1619502</v>
      </c>
      <c r="U49" s="16">
        <f>SUMIFS(INDEX(元データ!$E$2:$H$20000,0,MATCH($C$2,元データ!$E$1:$H$1,0)),元データ!$A$2:$A$20000,$A49,元データ!$D$2:$D$20000,$C$3,元データ!$B$2:$B$20000,$P$4,元データ!$C$2:$C$20000,U$5)</f>
        <v>1153271</v>
      </c>
      <c r="V49" s="16">
        <f>SUMIFS(INDEX(元データ!$E$2:$H$20000,0,MATCH($C$2,元データ!$E$1:$H$1,0)),元データ!$A$2:$A$20000,$A49,元データ!$D$2:$D$20000,$C$3,元データ!$B$2:$B$20000,$P$4,元データ!$C$2:$C$20000,V$5)</f>
        <v>903198</v>
      </c>
      <c r="W49" s="16">
        <f>SUMIFS(INDEX(元データ!$E$2:$H$20000,0,MATCH($C$2,元データ!$E$1:$H$1,0)),元データ!$A$2:$A$20000,$A49,元データ!$D$2:$D$20000,$C$3,元データ!$B$2:$B$20000,$P$4,元データ!$C$2:$C$20000,W$5)</f>
        <v>2202337</v>
      </c>
      <c r="X49" s="16">
        <f>SUMIFS(INDEX(元データ!$E$2:$H$20000,0,MATCH($C$2,元データ!$E$1:$H$1,0)),元データ!$A$2:$A$20000,$A49,元データ!$D$2:$D$20000,$C$3,元データ!$B$2:$B$20000,$P$4,元データ!$C$2:$C$20000,X$5)</f>
        <v>3019767</v>
      </c>
      <c r="Y49" s="16">
        <f>SUMIFS(INDEX(元データ!$E$2:$H$20000,0,MATCH($C$2,元データ!$E$1:$H$1,0)),元データ!$A$2:$A$20000,$A49,元データ!$D$2:$D$20000,$C$3,元データ!$B$2:$B$20000,$P$4,元データ!$C$2:$C$20000,Y$5)</f>
        <v>2452890</v>
      </c>
      <c r="Z49" s="16">
        <f>SUMIFS(INDEX(元データ!$E$2:$H$20000,0,MATCH($C$2,元データ!$E$1:$H$1,0)),元データ!$A$2:$A$20000,$A49,元データ!$D$2:$D$20000,$C$3,元データ!$B$2:$B$20000,$P$4,元データ!$C$2:$C$20000,Z$5)</f>
        <v>2302422</v>
      </c>
      <c r="AA49" s="16">
        <f>SUMIFS(INDEX(元データ!$E$2:$H$20000,0,MATCH($C$2,元データ!$E$1:$H$1,0)),元データ!$A$2:$A$20000,$A49,元データ!$D$2:$D$20000,$C$3,元データ!$B$2:$B$20000,$P$4,元データ!$C$2:$C$20000,AA$5)</f>
        <v>1720947</v>
      </c>
      <c r="AB49" s="17">
        <f t="shared" si="16"/>
        <v>20899367</v>
      </c>
      <c r="AC49" s="18">
        <f t="shared" si="17"/>
        <v>0.96136516272856987</v>
      </c>
      <c r="AD49" s="18">
        <f t="shared" si="18"/>
        <v>1.0801878729521186</v>
      </c>
      <c r="AE49" s="18">
        <f t="shared" si="19"/>
        <v>1.1081095232900622</v>
      </c>
      <c r="AF49" s="18">
        <f t="shared" si="20"/>
        <v>0.97147420296516451</v>
      </c>
      <c r="AG49" s="18">
        <f t="shared" si="21"/>
        <v>0.95308866552804505</v>
      </c>
      <c r="AH49" s="18">
        <f t="shared" si="22"/>
        <v>0.92910165954055901</v>
      </c>
      <c r="AI49" s="18">
        <f t="shared" si="23"/>
        <v>0.92450049712244708</v>
      </c>
      <c r="AJ49" s="18">
        <f t="shared" si="24"/>
        <v>0.86149122500325792</v>
      </c>
      <c r="AK49" s="18">
        <f t="shared" si="25"/>
        <v>0.97481262627215937</v>
      </c>
      <c r="AL49" s="18">
        <f t="shared" si="26"/>
        <v>0.9166803240259449</v>
      </c>
      <c r="AM49" s="18">
        <f t="shared" si="27"/>
        <v>0.88314348976860024</v>
      </c>
      <c r="AN49" s="18">
        <f t="shared" si="28"/>
        <v>1.1127245638593171</v>
      </c>
      <c r="AO49" s="19">
        <f t="shared" si="29"/>
        <v>0.96600270237849784</v>
      </c>
    </row>
    <row r="50" spans="1:41" x14ac:dyDescent="0.45">
      <c r="A50" s="14" t="str">
        <f>店舗マスタ!A46</f>
        <v>松岡店</v>
      </c>
      <c r="B50" s="15"/>
      <c r="C50" s="16">
        <f>SUMIFS(INDEX(元データ!$E$2:$H$20000,0,MATCH($C$2,元データ!$E$1:$H$1,0)),元データ!$A$2:$A$20000,$A50,元データ!$D$2:$D$20000,$C$3,元データ!$B$2:$B$20000,$C$4,元データ!$C$2:$C$20000,C$5)</f>
        <v>1069226</v>
      </c>
      <c r="D50" s="16">
        <f>SUMIFS(INDEX(元データ!$E$2:$H$20000,0,MATCH($C$2,元データ!$E$1:$H$1,0)),元データ!$A$2:$A$20000,$A50,元データ!$D$2:$D$20000,$C$3,元データ!$B$2:$B$20000,$C$4,元データ!$C$2:$C$20000,D$5)</f>
        <v>1258025</v>
      </c>
      <c r="E50" s="16">
        <f>SUMIFS(INDEX(元データ!$E$2:$H$20000,0,MATCH($C$2,元データ!$E$1:$H$1,0)),元データ!$A$2:$A$20000,$A50,元データ!$D$2:$D$20000,$C$3,元データ!$B$2:$B$20000,$C$4,元データ!$C$2:$C$20000,E$5)</f>
        <v>1551465</v>
      </c>
      <c r="F50" s="16">
        <f>SUMIFS(INDEX(元データ!$E$2:$H$20000,0,MATCH($C$2,元データ!$E$1:$H$1,0)),元データ!$A$2:$A$20000,$A50,元データ!$D$2:$D$20000,$C$3,元データ!$B$2:$B$20000,$C$4,元データ!$C$2:$C$20000,F$5)</f>
        <v>1548598</v>
      </c>
      <c r="G50" s="16">
        <f>SUMIFS(INDEX(元データ!$E$2:$H$20000,0,MATCH($C$2,元データ!$E$1:$H$1,0)),元データ!$A$2:$A$20000,$A50,元データ!$D$2:$D$20000,$C$3,元データ!$B$2:$B$20000,$C$4,元データ!$C$2:$C$20000,G$5)</f>
        <v>1237130</v>
      </c>
      <c r="H50" s="16">
        <f>SUMIFS(INDEX(元データ!$E$2:$H$20000,0,MATCH($C$2,元データ!$E$1:$H$1,0)),元データ!$A$2:$A$20000,$A50,元データ!$D$2:$D$20000,$C$3,元データ!$B$2:$B$20000,$C$4,元データ!$C$2:$C$20000,H$5)</f>
        <v>1010265</v>
      </c>
      <c r="I50" s="16">
        <f>SUMIFS(INDEX(元データ!$E$2:$H$20000,0,MATCH($C$2,元データ!$E$1:$H$1,0)),元データ!$A$2:$A$20000,$A50,元データ!$D$2:$D$20000,$C$3,元データ!$B$2:$B$20000,$C$4,元データ!$C$2:$C$20000,I$5)</f>
        <v>874743</v>
      </c>
      <c r="J50" s="16">
        <f>SUMIFS(INDEX(元データ!$E$2:$H$20000,0,MATCH($C$2,元データ!$E$1:$H$1,0)),元データ!$A$2:$A$20000,$A50,元データ!$D$2:$D$20000,$C$3,元データ!$B$2:$B$20000,$C$4,元データ!$C$2:$C$20000,J$5)</f>
        <v>1647207</v>
      </c>
      <c r="K50" s="16">
        <f>SUMIFS(INDEX(元データ!$E$2:$H$20000,0,MATCH($C$2,元データ!$E$1:$H$1,0)),元データ!$A$2:$A$20000,$A50,元データ!$D$2:$D$20000,$C$3,元データ!$B$2:$B$20000,$C$4,元データ!$C$2:$C$20000,K$5)</f>
        <v>2891995</v>
      </c>
      <c r="L50" s="16">
        <f>SUMIFS(INDEX(元データ!$E$2:$H$20000,0,MATCH($C$2,元データ!$E$1:$H$1,0)),元データ!$A$2:$A$20000,$A50,元データ!$D$2:$D$20000,$C$3,元データ!$B$2:$B$20000,$C$4,元データ!$C$2:$C$20000,L$5)</f>
        <v>2297430</v>
      </c>
      <c r="M50" s="16">
        <f>SUMIFS(INDEX(元データ!$E$2:$H$20000,0,MATCH($C$2,元データ!$E$1:$H$1,0)),元データ!$A$2:$A$20000,$A50,元データ!$D$2:$D$20000,$C$3,元データ!$B$2:$B$20000,$C$4,元データ!$C$2:$C$20000,M$5)</f>
        <v>2343679</v>
      </c>
      <c r="N50" s="16">
        <f>SUMIFS(INDEX(元データ!$E$2:$H$20000,0,MATCH($C$2,元データ!$E$1:$H$1,0)),元データ!$A$2:$A$20000,$A50,元データ!$D$2:$D$20000,$C$3,元データ!$B$2:$B$20000,$C$4,元データ!$C$2:$C$20000,N$5)</f>
        <v>1625634</v>
      </c>
      <c r="O50" s="17">
        <f t="shared" si="15"/>
        <v>19355397</v>
      </c>
      <c r="P50" s="16">
        <f>SUMIFS(INDEX(元データ!$E$2:$H$20000,0,MATCH($C$2,元データ!$E$1:$H$1,0)),元データ!$A$2:$A$20000,$A50,元データ!$D$2:$D$20000,$C$3,元データ!$B$2:$B$20000,$P$4,元データ!$C$2:$C$20000,P$5)</f>
        <v>955743</v>
      </c>
      <c r="Q50" s="16">
        <f>SUMIFS(INDEX(元データ!$E$2:$H$20000,0,MATCH($C$2,元データ!$E$1:$H$1,0)),元データ!$A$2:$A$20000,$A50,元データ!$D$2:$D$20000,$C$3,元データ!$B$2:$B$20000,$P$4,元データ!$C$2:$C$20000,Q$5)</f>
        <v>977773</v>
      </c>
      <c r="R50" s="16">
        <f>SUMIFS(INDEX(元データ!$E$2:$H$20000,0,MATCH($C$2,元データ!$E$1:$H$1,0)),元データ!$A$2:$A$20000,$A50,元データ!$D$2:$D$20000,$C$3,元データ!$B$2:$B$20000,$P$4,元データ!$C$2:$C$20000,R$5)</f>
        <v>1615055</v>
      </c>
      <c r="S50" s="16">
        <f>SUMIFS(INDEX(元データ!$E$2:$H$20000,0,MATCH($C$2,元データ!$E$1:$H$1,0)),元データ!$A$2:$A$20000,$A50,元データ!$D$2:$D$20000,$C$3,元データ!$B$2:$B$20000,$P$4,元データ!$C$2:$C$20000,S$5)</f>
        <v>1480582</v>
      </c>
      <c r="T50" s="16">
        <f>SUMIFS(INDEX(元データ!$E$2:$H$20000,0,MATCH($C$2,元データ!$E$1:$H$1,0)),元データ!$A$2:$A$20000,$A50,元データ!$D$2:$D$20000,$C$3,元データ!$B$2:$B$20000,$P$4,元データ!$C$2:$C$20000,T$5)</f>
        <v>1532403</v>
      </c>
      <c r="U50" s="16">
        <f>SUMIFS(INDEX(元データ!$E$2:$H$20000,0,MATCH($C$2,元データ!$E$1:$H$1,0)),元データ!$A$2:$A$20000,$A50,元データ!$D$2:$D$20000,$C$3,元データ!$B$2:$B$20000,$P$4,元データ!$C$2:$C$20000,U$5)</f>
        <v>1054718</v>
      </c>
      <c r="V50" s="16">
        <f>SUMIFS(INDEX(元データ!$E$2:$H$20000,0,MATCH($C$2,元データ!$E$1:$H$1,0)),元データ!$A$2:$A$20000,$A50,元データ!$D$2:$D$20000,$C$3,元データ!$B$2:$B$20000,$P$4,元データ!$C$2:$C$20000,V$5)</f>
        <v>873281</v>
      </c>
      <c r="W50" s="16">
        <f>SUMIFS(INDEX(元データ!$E$2:$H$20000,0,MATCH($C$2,元データ!$E$1:$H$1,0)),元データ!$A$2:$A$20000,$A50,元データ!$D$2:$D$20000,$C$3,元データ!$B$2:$B$20000,$P$4,元データ!$C$2:$C$20000,W$5)</f>
        <v>2244894</v>
      </c>
      <c r="X50" s="16">
        <f>SUMIFS(INDEX(元データ!$E$2:$H$20000,0,MATCH($C$2,元データ!$E$1:$H$1,0)),元データ!$A$2:$A$20000,$A50,元データ!$D$2:$D$20000,$C$3,元データ!$B$2:$B$20000,$P$4,元データ!$C$2:$C$20000,X$5)</f>
        <v>2908750</v>
      </c>
      <c r="Y50" s="16">
        <f>SUMIFS(INDEX(元データ!$E$2:$H$20000,0,MATCH($C$2,元データ!$E$1:$H$1,0)),元データ!$A$2:$A$20000,$A50,元データ!$D$2:$D$20000,$C$3,元データ!$B$2:$B$20000,$P$4,元データ!$C$2:$C$20000,Y$5)</f>
        <v>2296217</v>
      </c>
      <c r="Z50" s="16">
        <f>SUMIFS(INDEX(元データ!$E$2:$H$20000,0,MATCH($C$2,元データ!$E$1:$H$1,0)),元データ!$A$2:$A$20000,$A50,元データ!$D$2:$D$20000,$C$3,元データ!$B$2:$B$20000,$P$4,元データ!$C$2:$C$20000,Z$5)</f>
        <v>2203236</v>
      </c>
      <c r="AA50" s="16">
        <f>SUMIFS(INDEX(元データ!$E$2:$H$20000,0,MATCH($C$2,元データ!$E$1:$H$1,0)),元データ!$A$2:$A$20000,$A50,元データ!$D$2:$D$20000,$C$3,元データ!$B$2:$B$20000,$P$4,元データ!$C$2:$C$20000,AA$5)</f>
        <v>1692855</v>
      </c>
      <c r="AB50" s="17">
        <f t="shared" si="16"/>
        <v>19835507</v>
      </c>
      <c r="AC50" s="18">
        <f t="shared" si="17"/>
        <v>1.1187379870948571</v>
      </c>
      <c r="AD50" s="18">
        <f t="shared" si="18"/>
        <v>1.2866227641794159</v>
      </c>
      <c r="AE50" s="18">
        <f t="shared" si="19"/>
        <v>0.96062672788233217</v>
      </c>
      <c r="AF50" s="18">
        <f t="shared" si="20"/>
        <v>1.0459386916766515</v>
      </c>
      <c r="AG50" s="18">
        <f t="shared" si="21"/>
        <v>0.8073137418812153</v>
      </c>
      <c r="AH50" s="18">
        <f t="shared" si="22"/>
        <v>0.95785318919369922</v>
      </c>
      <c r="AI50" s="18">
        <f t="shared" si="23"/>
        <v>1.0016741461224967</v>
      </c>
      <c r="AJ50" s="18">
        <f t="shared" si="24"/>
        <v>0.73375713953531885</v>
      </c>
      <c r="AK50" s="18">
        <f t="shared" si="25"/>
        <v>0.99423979372582727</v>
      </c>
      <c r="AL50" s="18">
        <f t="shared" si="26"/>
        <v>1.0005282601775007</v>
      </c>
      <c r="AM50" s="18">
        <f t="shared" si="27"/>
        <v>1.0637439656940972</v>
      </c>
      <c r="AN50" s="18">
        <f t="shared" si="28"/>
        <v>0.96029134214093936</v>
      </c>
      <c r="AO50" s="19">
        <f t="shared" si="29"/>
        <v>0.97579542584921075</v>
      </c>
    </row>
    <row r="51" spans="1:41" x14ac:dyDescent="0.45">
      <c r="A51" s="14" t="str">
        <f>店舗マスタ!A47</f>
        <v>MV江尾店</v>
      </c>
      <c r="B51" s="15"/>
      <c r="C51" s="16">
        <f>SUMIFS(INDEX(元データ!$E$2:$H$20000,0,MATCH($C$2,元データ!$E$1:$H$1,0)),元データ!$A$2:$A$20000,$A51,元データ!$D$2:$D$20000,$C$3,元データ!$B$2:$B$20000,$C$4,元データ!$C$2:$C$20000,C$5)</f>
        <v>672992</v>
      </c>
      <c r="D51" s="16">
        <f>SUMIFS(INDEX(元データ!$E$2:$H$20000,0,MATCH($C$2,元データ!$E$1:$H$1,0)),元データ!$A$2:$A$20000,$A51,元データ!$D$2:$D$20000,$C$3,元データ!$B$2:$B$20000,$C$4,元データ!$C$2:$C$20000,D$5)</f>
        <v>875031</v>
      </c>
      <c r="E51" s="16">
        <f>SUMIFS(INDEX(元データ!$E$2:$H$20000,0,MATCH($C$2,元データ!$E$1:$H$1,0)),元データ!$A$2:$A$20000,$A51,元データ!$D$2:$D$20000,$C$3,元データ!$B$2:$B$20000,$C$4,元データ!$C$2:$C$20000,E$5)</f>
        <v>1116805</v>
      </c>
      <c r="F51" s="16">
        <f>SUMIFS(INDEX(元データ!$E$2:$H$20000,0,MATCH($C$2,元データ!$E$1:$H$1,0)),元データ!$A$2:$A$20000,$A51,元データ!$D$2:$D$20000,$C$3,元データ!$B$2:$B$20000,$C$4,元データ!$C$2:$C$20000,F$5)</f>
        <v>950008</v>
      </c>
      <c r="G51" s="16">
        <f>SUMIFS(INDEX(元データ!$E$2:$H$20000,0,MATCH($C$2,元データ!$E$1:$H$1,0)),元データ!$A$2:$A$20000,$A51,元データ!$D$2:$D$20000,$C$3,元データ!$B$2:$B$20000,$C$4,元データ!$C$2:$C$20000,G$5)</f>
        <v>774610</v>
      </c>
      <c r="H51" s="16">
        <f>SUMIFS(INDEX(元データ!$E$2:$H$20000,0,MATCH($C$2,元データ!$E$1:$H$1,0)),元データ!$A$2:$A$20000,$A51,元データ!$D$2:$D$20000,$C$3,元データ!$B$2:$B$20000,$C$4,元データ!$C$2:$C$20000,H$5)</f>
        <v>780900</v>
      </c>
      <c r="I51" s="16">
        <f>SUMIFS(INDEX(元データ!$E$2:$H$20000,0,MATCH($C$2,元データ!$E$1:$H$1,0)),元データ!$A$2:$A$20000,$A51,元データ!$D$2:$D$20000,$C$3,元データ!$B$2:$B$20000,$C$4,元データ!$C$2:$C$20000,I$5)</f>
        <v>562922</v>
      </c>
      <c r="J51" s="16">
        <f>SUMIFS(INDEX(元データ!$E$2:$H$20000,0,MATCH($C$2,元データ!$E$1:$H$1,0)),元データ!$A$2:$A$20000,$A51,元データ!$D$2:$D$20000,$C$3,元データ!$B$2:$B$20000,$C$4,元データ!$C$2:$C$20000,J$5)</f>
        <v>1117864</v>
      </c>
      <c r="K51" s="16">
        <f>SUMIFS(INDEX(元データ!$E$2:$H$20000,0,MATCH($C$2,元データ!$E$1:$H$1,0)),元データ!$A$2:$A$20000,$A51,元データ!$D$2:$D$20000,$C$3,元データ!$B$2:$B$20000,$C$4,元データ!$C$2:$C$20000,K$5)</f>
        <v>1824119</v>
      </c>
      <c r="L51" s="16">
        <f>SUMIFS(INDEX(元データ!$E$2:$H$20000,0,MATCH($C$2,元データ!$E$1:$H$1,0)),元データ!$A$2:$A$20000,$A51,元データ!$D$2:$D$20000,$C$3,元データ!$B$2:$B$20000,$C$4,元データ!$C$2:$C$20000,L$5)</f>
        <v>1383836</v>
      </c>
      <c r="M51" s="16">
        <f>SUMIFS(INDEX(元データ!$E$2:$H$20000,0,MATCH($C$2,元データ!$E$1:$H$1,0)),元データ!$A$2:$A$20000,$A51,元データ!$D$2:$D$20000,$C$3,元データ!$B$2:$B$20000,$C$4,元データ!$C$2:$C$20000,M$5)</f>
        <v>1256917</v>
      </c>
      <c r="N51" s="16">
        <f>SUMIFS(INDEX(元データ!$E$2:$H$20000,0,MATCH($C$2,元データ!$E$1:$H$1,0)),元データ!$A$2:$A$20000,$A51,元データ!$D$2:$D$20000,$C$3,元データ!$B$2:$B$20000,$C$4,元データ!$C$2:$C$20000,N$5)</f>
        <v>1207884</v>
      </c>
      <c r="O51" s="17">
        <f t="shared" si="15"/>
        <v>12523888</v>
      </c>
      <c r="P51" s="16">
        <f>SUMIFS(INDEX(元データ!$E$2:$H$20000,0,MATCH($C$2,元データ!$E$1:$H$1,0)),元データ!$A$2:$A$20000,$A51,元データ!$D$2:$D$20000,$C$3,元データ!$B$2:$B$20000,$P$4,元データ!$C$2:$C$20000,P$5)</f>
        <v>729536</v>
      </c>
      <c r="Q51" s="16">
        <f>SUMIFS(INDEX(元データ!$E$2:$H$20000,0,MATCH($C$2,元データ!$E$1:$H$1,0)),元データ!$A$2:$A$20000,$A51,元データ!$D$2:$D$20000,$C$3,元データ!$B$2:$B$20000,$P$4,元データ!$C$2:$C$20000,Q$5)</f>
        <v>649982</v>
      </c>
      <c r="R51" s="16">
        <f>SUMIFS(INDEX(元データ!$E$2:$H$20000,0,MATCH($C$2,元データ!$E$1:$H$1,0)),元データ!$A$2:$A$20000,$A51,元データ!$D$2:$D$20000,$C$3,元データ!$B$2:$B$20000,$P$4,元データ!$C$2:$C$20000,R$5)</f>
        <v>926015</v>
      </c>
      <c r="S51" s="16">
        <f>SUMIFS(INDEX(元データ!$E$2:$H$20000,0,MATCH($C$2,元データ!$E$1:$H$1,0)),元データ!$A$2:$A$20000,$A51,元データ!$D$2:$D$20000,$C$3,元データ!$B$2:$B$20000,$P$4,元データ!$C$2:$C$20000,S$5)</f>
        <v>942939</v>
      </c>
      <c r="T51" s="16">
        <f>SUMIFS(INDEX(元データ!$E$2:$H$20000,0,MATCH($C$2,元データ!$E$1:$H$1,0)),元データ!$A$2:$A$20000,$A51,元データ!$D$2:$D$20000,$C$3,元データ!$B$2:$B$20000,$P$4,元データ!$C$2:$C$20000,T$5)</f>
        <v>902430</v>
      </c>
      <c r="U51" s="16">
        <f>SUMIFS(INDEX(元データ!$E$2:$H$20000,0,MATCH($C$2,元データ!$E$1:$H$1,0)),元データ!$A$2:$A$20000,$A51,元データ!$D$2:$D$20000,$C$3,元データ!$B$2:$B$20000,$P$4,元データ!$C$2:$C$20000,U$5)</f>
        <v>598552</v>
      </c>
      <c r="V51" s="16">
        <f>SUMIFS(INDEX(元データ!$E$2:$H$20000,0,MATCH($C$2,元データ!$E$1:$H$1,0)),元データ!$A$2:$A$20000,$A51,元データ!$D$2:$D$20000,$C$3,元データ!$B$2:$B$20000,$P$4,元データ!$C$2:$C$20000,V$5)</f>
        <v>590486</v>
      </c>
      <c r="W51" s="16">
        <f>SUMIFS(INDEX(元データ!$E$2:$H$20000,0,MATCH($C$2,元データ!$E$1:$H$1,0)),元データ!$A$2:$A$20000,$A51,元データ!$D$2:$D$20000,$C$3,元データ!$B$2:$B$20000,$P$4,元データ!$C$2:$C$20000,W$5)</f>
        <v>1243665</v>
      </c>
      <c r="X51" s="16">
        <f>SUMIFS(INDEX(元データ!$E$2:$H$20000,0,MATCH($C$2,元データ!$E$1:$H$1,0)),元データ!$A$2:$A$20000,$A51,元データ!$D$2:$D$20000,$C$3,元データ!$B$2:$B$20000,$P$4,元データ!$C$2:$C$20000,X$5)</f>
        <v>1709753</v>
      </c>
      <c r="Y51" s="16">
        <f>SUMIFS(INDEX(元データ!$E$2:$H$20000,0,MATCH($C$2,元データ!$E$1:$H$1,0)),元データ!$A$2:$A$20000,$A51,元データ!$D$2:$D$20000,$C$3,元データ!$B$2:$B$20000,$P$4,元データ!$C$2:$C$20000,Y$5)</f>
        <v>1574295</v>
      </c>
      <c r="Z51" s="16">
        <f>SUMIFS(INDEX(元データ!$E$2:$H$20000,0,MATCH($C$2,元データ!$E$1:$H$1,0)),元データ!$A$2:$A$20000,$A51,元データ!$D$2:$D$20000,$C$3,元データ!$B$2:$B$20000,$P$4,元データ!$C$2:$C$20000,Z$5)</f>
        <v>1324092</v>
      </c>
      <c r="AA51" s="16">
        <f>SUMIFS(INDEX(元データ!$E$2:$H$20000,0,MATCH($C$2,元データ!$E$1:$H$1,0)),元データ!$A$2:$A$20000,$A51,元データ!$D$2:$D$20000,$C$3,元データ!$B$2:$B$20000,$P$4,元データ!$C$2:$C$20000,AA$5)</f>
        <v>1034054</v>
      </c>
      <c r="AB51" s="17">
        <f t="shared" si="16"/>
        <v>12225799</v>
      </c>
      <c r="AC51" s="18">
        <f t="shared" si="17"/>
        <v>0.92249320115799627</v>
      </c>
      <c r="AD51" s="18">
        <f t="shared" si="18"/>
        <v>1.3462388189211394</v>
      </c>
      <c r="AE51" s="18">
        <f t="shared" si="19"/>
        <v>1.2060333795888836</v>
      </c>
      <c r="AF51" s="18">
        <f t="shared" si="20"/>
        <v>1.0074967733861893</v>
      </c>
      <c r="AG51" s="18">
        <f t="shared" si="21"/>
        <v>0.85836020522367384</v>
      </c>
      <c r="AH51" s="18">
        <f t="shared" si="22"/>
        <v>1.3046485518384368</v>
      </c>
      <c r="AI51" s="18">
        <f t="shared" si="23"/>
        <v>0.95331980775158087</v>
      </c>
      <c r="AJ51" s="18">
        <f t="shared" si="24"/>
        <v>0.89884655433738181</v>
      </c>
      <c r="AK51" s="18">
        <f t="shared" si="25"/>
        <v>1.0668903636958087</v>
      </c>
      <c r="AL51" s="18">
        <f t="shared" si="26"/>
        <v>0.87901949761639342</v>
      </c>
      <c r="AM51" s="18">
        <f t="shared" si="27"/>
        <v>0.94926712041157257</v>
      </c>
      <c r="AN51" s="18">
        <f t="shared" si="28"/>
        <v>1.1681053407268867</v>
      </c>
      <c r="AO51" s="19">
        <f t="shared" si="29"/>
        <v>1.0243819647288492</v>
      </c>
    </row>
    <row r="52" spans="1:41" x14ac:dyDescent="0.45">
      <c r="A52" s="14" t="str">
        <f>店舗マスタ!A48</f>
        <v>蒲原店</v>
      </c>
      <c r="B52" s="15"/>
      <c r="C52" s="16">
        <f>SUMIFS(INDEX(元データ!$E$2:$H$20000,0,MATCH($C$2,元データ!$E$1:$H$1,0)),元データ!$A$2:$A$20000,$A52,元データ!$D$2:$D$20000,$C$3,元データ!$B$2:$B$20000,$C$4,元データ!$C$2:$C$20000,C$5)</f>
        <v>771634</v>
      </c>
      <c r="D52" s="16">
        <f>SUMIFS(INDEX(元データ!$E$2:$H$20000,0,MATCH($C$2,元データ!$E$1:$H$1,0)),元データ!$A$2:$A$20000,$A52,元データ!$D$2:$D$20000,$C$3,元データ!$B$2:$B$20000,$C$4,元データ!$C$2:$C$20000,D$5)</f>
        <v>880828</v>
      </c>
      <c r="E52" s="16">
        <f>SUMIFS(INDEX(元データ!$E$2:$H$20000,0,MATCH($C$2,元データ!$E$1:$H$1,0)),元データ!$A$2:$A$20000,$A52,元データ!$D$2:$D$20000,$C$3,元データ!$B$2:$B$20000,$C$4,元データ!$C$2:$C$20000,E$5)</f>
        <v>1265325</v>
      </c>
      <c r="F52" s="16">
        <f>SUMIFS(INDEX(元データ!$E$2:$H$20000,0,MATCH($C$2,元データ!$E$1:$H$1,0)),元データ!$A$2:$A$20000,$A52,元データ!$D$2:$D$20000,$C$3,元データ!$B$2:$B$20000,$C$4,元データ!$C$2:$C$20000,F$5)</f>
        <v>1057308</v>
      </c>
      <c r="G52" s="16">
        <f>SUMIFS(INDEX(元データ!$E$2:$H$20000,0,MATCH($C$2,元データ!$E$1:$H$1,0)),元データ!$A$2:$A$20000,$A52,元データ!$D$2:$D$20000,$C$3,元データ!$B$2:$B$20000,$C$4,元データ!$C$2:$C$20000,G$5)</f>
        <v>896537</v>
      </c>
      <c r="H52" s="16">
        <f>SUMIFS(INDEX(元データ!$E$2:$H$20000,0,MATCH($C$2,元データ!$E$1:$H$1,0)),元データ!$A$2:$A$20000,$A52,元データ!$D$2:$D$20000,$C$3,元データ!$B$2:$B$20000,$C$4,元データ!$C$2:$C$20000,H$5)</f>
        <v>673842</v>
      </c>
      <c r="I52" s="16">
        <f>SUMIFS(INDEX(元データ!$E$2:$H$20000,0,MATCH($C$2,元データ!$E$1:$H$1,0)),元データ!$A$2:$A$20000,$A52,元データ!$D$2:$D$20000,$C$3,元データ!$B$2:$B$20000,$C$4,元データ!$C$2:$C$20000,I$5)</f>
        <v>602675</v>
      </c>
      <c r="J52" s="16">
        <f>SUMIFS(INDEX(元データ!$E$2:$H$20000,0,MATCH($C$2,元データ!$E$1:$H$1,0)),元データ!$A$2:$A$20000,$A52,元データ!$D$2:$D$20000,$C$3,元データ!$B$2:$B$20000,$C$4,元データ!$C$2:$C$20000,J$5)</f>
        <v>1171864</v>
      </c>
      <c r="K52" s="16">
        <f>SUMIFS(INDEX(元データ!$E$2:$H$20000,0,MATCH($C$2,元データ!$E$1:$H$1,0)),元データ!$A$2:$A$20000,$A52,元データ!$D$2:$D$20000,$C$3,元データ!$B$2:$B$20000,$C$4,元データ!$C$2:$C$20000,K$5)</f>
        <v>2105911</v>
      </c>
      <c r="L52" s="16">
        <f>SUMIFS(INDEX(元データ!$E$2:$H$20000,0,MATCH($C$2,元データ!$E$1:$H$1,0)),元データ!$A$2:$A$20000,$A52,元データ!$D$2:$D$20000,$C$3,元データ!$B$2:$B$20000,$C$4,元データ!$C$2:$C$20000,L$5)</f>
        <v>1399382</v>
      </c>
      <c r="M52" s="16">
        <f>SUMIFS(INDEX(元データ!$E$2:$H$20000,0,MATCH($C$2,元データ!$E$1:$H$1,0)),元データ!$A$2:$A$20000,$A52,元データ!$D$2:$D$20000,$C$3,元データ!$B$2:$B$20000,$C$4,元データ!$C$2:$C$20000,M$5)</f>
        <v>1479288</v>
      </c>
      <c r="N52" s="16">
        <f>SUMIFS(INDEX(元データ!$E$2:$H$20000,0,MATCH($C$2,元データ!$E$1:$H$1,0)),元データ!$A$2:$A$20000,$A52,元データ!$D$2:$D$20000,$C$3,元データ!$B$2:$B$20000,$C$4,元データ!$C$2:$C$20000,N$5)</f>
        <v>1153628</v>
      </c>
      <c r="O52" s="17">
        <f t="shared" si="15"/>
        <v>13458222</v>
      </c>
      <c r="P52" s="16">
        <f>SUMIFS(INDEX(元データ!$E$2:$H$20000,0,MATCH($C$2,元データ!$E$1:$H$1,0)),元データ!$A$2:$A$20000,$A52,元データ!$D$2:$D$20000,$C$3,元データ!$B$2:$B$20000,$P$4,元データ!$C$2:$C$20000,P$5)</f>
        <v>756823</v>
      </c>
      <c r="Q52" s="16">
        <f>SUMIFS(INDEX(元データ!$E$2:$H$20000,0,MATCH($C$2,元データ!$E$1:$H$1,0)),元データ!$A$2:$A$20000,$A52,元データ!$D$2:$D$20000,$C$3,元データ!$B$2:$B$20000,$P$4,元データ!$C$2:$C$20000,Q$5)</f>
        <v>785536</v>
      </c>
      <c r="R52" s="16">
        <f>SUMIFS(INDEX(元データ!$E$2:$H$20000,0,MATCH($C$2,元データ!$E$1:$H$1,0)),元データ!$A$2:$A$20000,$A52,元データ!$D$2:$D$20000,$C$3,元データ!$B$2:$B$20000,$P$4,元データ!$C$2:$C$20000,R$5)</f>
        <v>1378476</v>
      </c>
      <c r="S52" s="16">
        <f>SUMIFS(INDEX(元データ!$E$2:$H$20000,0,MATCH($C$2,元データ!$E$1:$H$1,0)),元データ!$A$2:$A$20000,$A52,元データ!$D$2:$D$20000,$C$3,元データ!$B$2:$B$20000,$P$4,元データ!$C$2:$C$20000,S$5)</f>
        <v>1041030</v>
      </c>
      <c r="T52" s="16">
        <f>SUMIFS(INDEX(元データ!$E$2:$H$20000,0,MATCH($C$2,元データ!$E$1:$H$1,0)),元データ!$A$2:$A$20000,$A52,元データ!$D$2:$D$20000,$C$3,元データ!$B$2:$B$20000,$P$4,元データ!$C$2:$C$20000,T$5)</f>
        <v>1157494</v>
      </c>
      <c r="U52" s="16">
        <f>SUMIFS(INDEX(元データ!$E$2:$H$20000,0,MATCH($C$2,元データ!$E$1:$H$1,0)),元データ!$A$2:$A$20000,$A52,元データ!$D$2:$D$20000,$C$3,元データ!$B$2:$B$20000,$P$4,元データ!$C$2:$C$20000,U$5)</f>
        <v>673447</v>
      </c>
      <c r="V52" s="16">
        <f>SUMIFS(INDEX(元データ!$E$2:$H$20000,0,MATCH($C$2,元データ!$E$1:$H$1,0)),元データ!$A$2:$A$20000,$A52,元データ!$D$2:$D$20000,$C$3,元データ!$B$2:$B$20000,$P$4,元データ!$C$2:$C$20000,V$5)</f>
        <v>533633</v>
      </c>
      <c r="W52" s="16">
        <f>SUMIFS(INDEX(元データ!$E$2:$H$20000,0,MATCH($C$2,元データ!$E$1:$H$1,0)),元データ!$A$2:$A$20000,$A52,元データ!$D$2:$D$20000,$C$3,元データ!$B$2:$B$20000,$P$4,元データ!$C$2:$C$20000,W$5)</f>
        <v>1600761</v>
      </c>
      <c r="X52" s="16">
        <f>SUMIFS(INDEX(元データ!$E$2:$H$20000,0,MATCH($C$2,元データ!$E$1:$H$1,0)),元データ!$A$2:$A$20000,$A52,元データ!$D$2:$D$20000,$C$3,元データ!$B$2:$B$20000,$P$4,元データ!$C$2:$C$20000,X$5)</f>
        <v>2213157</v>
      </c>
      <c r="Y52" s="16">
        <f>SUMIFS(INDEX(元データ!$E$2:$H$20000,0,MATCH($C$2,元データ!$E$1:$H$1,0)),元データ!$A$2:$A$20000,$A52,元データ!$D$2:$D$20000,$C$3,元データ!$B$2:$B$20000,$P$4,元データ!$C$2:$C$20000,Y$5)</f>
        <v>1880745</v>
      </c>
      <c r="Z52" s="16">
        <f>SUMIFS(INDEX(元データ!$E$2:$H$20000,0,MATCH($C$2,元データ!$E$1:$H$1,0)),元データ!$A$2:$A$20000,$A52,元データ!$D$2:$D$20000,$C$3,元データ!$B$2:$B$20000,$P$4,元データ!$C$2:$C$20000,Z$5)</f>
        <v>1571795</v>
      </c>
      <c r="AA52" s="16">
        <f>SUMIFS(INDEX(元データ!$E$2:$H$20000,0,MATCH($C$2,元データ!$E$1:$H$1,0)),元データ!$A$2:$A$20000,$A52,元データ!$D$2:$D$20000,$C$3,元データ!$B$2:$B$20000,$P$4,元データ!$C$2:$C$20000,AA$5)</f>
        <v>1209890</v>
      </c>
      <c r="AB52" s="17">
        <f t="shared" si="16"/>
        <v>14802787</v>
      </c>
      <c r="AC52" s="18">
        <f t="shared" si="17"/>
        <v>1.0195699655005199</v>
      </c>
      <c r="AD52" s="18">
        <f t="shared" si="18"/>
        <v>1.1213082532181848</v>
      </c>
      <c r="AE52" s="18">
        <f t="shared" si="19"/>
        <v>0.91791587231116101</v>
      </c>
      <c r="AF52" s="18">
        <f t="shared" si="20"/>
        <v>1.0156364369902884</v>
      </c>
      <c r="AG52" s="18">
        <f t="shared" si="21"/>
        <v>0.77455001926575862</v>
      </c>
      <c r="AH52" s="18">
        <f t="shared" si="22"/>
        <v>1.0005865346493488</v>
      </c>
      <c r="AI52" s="18">
        <f t="shared" si="23"/>
        <v>1.1293810540202724</v>
      </c>
      <c r="AJ52" s="18">
        <f t="shared" si="24"/>
        <v>0.73206681072314983</v>
      </c>
      <c r="AK52" s="18">
        <f t="shared" si="25"/>
        <v>0.95154162131290276</v>
      </c>
      <c r="AL52" s="18">
        <f t="shared" si="26"/>
        <v>0.74405727517552889</v>
      </c>
      <c r="AM52" s="18">
        <f t="shared" si="27"/>
        <v>0.94114563285924691</v>
      </c>
      <c r="AN52" s="18">
        <f t="shared" si="28"/>
        <v>0.95349825190719817</v>
      </c>
      <c r="AO52" s="19">
        <f t="shared" si="29"/>
        <v>0.90916811813883425</v>
      </c>
    </row>
    <row r="53" spans="1:41" x14ac:dyDescent="0.45">
      <c r="A53" s="14" t="str">
        <f>店舗マスタ!A49</f>
        <v>松野店</v>
      </c>
      <c r="B53" s="15"/>
      <c r="C53" s="16">
        <f>SUMIFS(INDEX(元データ!$E$2:$H$20000,0,MATCH($C$2,元データ!$E$1:$H$1,0)),元データ!$A$2:$A$20000,$A53,元データ!$D$2:$D$20000,$C$3,元データ!$B$2:$B$20000,$C$4,元データ!$C$2:$C$20000,C$5)</f>
        <v>658302</v>
      </c>
      <c r="D53" s="16">
        <f>SUMIFS(INDEX(元データ!$E$2:$H$20000,0,MATCH($C$2,元データ!$E$1:$H$1,0)),元データ!$A$2:$A$20000,$A53,元データ!$D$2:$D$20000,$C$3,元データ!$B$2:$B$20000,$C$4,元データ!$C$2:$C$20000,D$5)</f>
        <v>763435</v>
      </c>
      <c r="E53" s="16">
        <f>SUMIFS(INDEX(元データ!$E$2:$H$20000,0,MATCH($C$2,元データ!$E$1:$H$1,0)),元データ!$A$2:$A$20000,$A53,元データ!$D$2:$D$20000,$C$3,元データ!$B$2:$B$20000,$C$4,元データ!$C$2:$C$20000,E$5)</f>
        <v>1079138</v>
      </c>
      <c r="F53" s="16">
        <f>SUMIFS(INDEX(元データ!$E$2:$H$20000,0,MATCH($C$2,元データ!$E$1:$H$1,0)),元データ!$A$2:$A$20000,$A53,元データ!$D$2:$D$20000,$C$3,元データ!$B$2:$B$20000,$C$4,元データ!$C$2:$C$20000,F$5)</f>
        <v>892547</v>
      </c>
      <c r="G53" s="16">
        <f>SUMIFS(INDEX(元データ!$E$2:$H$20000,0,MATCH($C$2,元データ!$E$1:$H$1,0)),元データ!$A$2:$A$20000,$A53,元データ!$D$2:$D$20000,$C$3,元データ!$B$2:$B$20000,$C$4,元データ!$C$2:$C$20000,G$5)</f>
        <v>824732</v>
      </c>
      <c r="H53" s="16">
        <f>SUMIFS(INDEX(元データ!$E$2:$H$20000,0,MATCH($C$2,元データ!$E$1:$H$1,0)),元データ!$A$2:$A$20000,$A53,元データ!$D$2:$D$20000,$C$3,元データ!$B$2:$B$20000,$C$4,元データ!$C$2:$C$20000,H$5)</f>
        <v>701495</v>
      </c>
      <c r="I53" s="16">
        <f>SUMIFS(INDEX(元データ!$E$2:$H$20000,0,MATCH($C$2,元データ!$E$1:$H$1,0)),元データ!$A$2:$A$20000,$A53,元データ!$D$2:$D$20000,$C$3,元データ!$B$2:$B$20000,$C$4,元データ!$C$2:$C$20000,I$5)</f>
        <v>573865</v>
      </c>
      <c r="J53" s="16">
        <f>SUMIFS(INDEX(元データ!$E$2:$H$20000,0,MATCH($C$2,元データ!$E$1:$H$1,0)),元データ!$A$2:$A$20000,$A53,元データ!$D$2:$D$20000,$C$3,元データ!$B$2:$B$20000,$C$4,元データ!$C$2:$C$20000,J$5)</f>
        <v>1140545</v>
      </c>
      <c r="K53" s="16">
        <f>SUMIFS(INDEX(元データ!$E$2:$H$20000,0,MATCH($C$2,元データ!$E$1:$H$1,0)),元データ!$A$2:$A$20000,$A53,元データ!$D$2:$D$20000,$C$3,元データ!$B$2:$B$20000,$C$4,元データ!$C$2:$C$20000,K$5)</f>
        <v>1864108</v>
      </c>
      <c r="L53" s="16">
        <f>SUMIFS(INDEX(元データ!$E$2:$H$20000,0,MATCH($C$2,元データ!$E$1:$H$1,0)),元データ!$A$2:$A$20000,$A53,元データ!$D$2:$D$20000,$C$3,元データ!$B$2:$B$20000,$C$4,元データ!$C$2:$C$20000,L$5)</f>
        <v>1289426</v>
      </c>
      <c r="M53" s="16">
        <f>SUMIFS(INDEX(元データ!$E$2:$H$20000,0,MATCH($C$2,元データ!$E$1:$H$1,0)),元データ!$A$2:$A$20000,$A53,元データ!$D$2:$D$20000,$C$3,元データ!$B$2:$B$20000,$C$4,元データ!$C$2:$C$20000,M$5)</f>
        <v>1510440</v>
      </c>
      <c r="N53" s="16">
        <f>SUMIFS(INDEX(元データ!$E$2:$H$20000,0,MATCH($C$2,元データ!$E$1:$H$1,0)),元データ!$A$2:$A$20000,$A53,元データ!$D$2:$D$20000,$C$3,元データ!$B$2:$B$20000,$C$4,元データ!$C$2:$C$20000,N$5)</f>
        <v>1071760</v>
      </c>
      <c r="O53" s="17">
        <f t="shared" si="15"/>
        <v>12369793</v>
      </c>
      <c r="P53" s="16">
        <f>SUMIFS(INDEX(元データ!$E$2:$H$20000,0,MATCH($C$2,元データ!$E$1:$H$1,0)),元データ!$A$2:$A$20000,$A53,元データ!$D$2:$D$20000,$C$3,元データ!$B$2:$B$20000,$P$4,元データ!$C$2:$C$20000,P$5)</f>
        <v>767041</v>
      </c>
      <c r="Q53" s="16">
        <f>SUMIFS(INDEX(元データ!$E$2:$H$20000,0,MATCH($C$2,元データ!$E$1:$H$1,0)),元データ!$A$2:$A$20000,$A53,元データ!$D$2:$D$20000,$C$3,元データ!$B$2:$B$20000,$P$4,元データ!$C$2:$C$20000,Q$5)</f>
        <v>700964</v>
      </c>
      <c r="R53" s="16">
        <f>SUMIFS(INDEX(元データ!$E$2:$H$20000,0,MATCH($C$2,元データ!$E$1:$H$1,0)),元データ!$A$2:$A$20000,$A53,元データ!$D$2:$D$20000,$C$3,元データ!$B$2:$B$20000,$P$4,元データ!$C$2:$C$20000,R$5)</f>
        <v>1209322</v>
      </c>
      <c r="S53" s="16">
        <f>SUMIFS(INDEX(元データ!$E$2:$H$20000,0,MATCH($C$2,元データ!$E$1:$H$1,0)),元データ!$A$2:$A$20000,$A53,元データ!$D$2:$D$20000,$C$3,元データ!$B$2:$B$20000,$P$4,元データ!$C$2:$C$20000,S$5)</f>
        <v>980220</v>
      </c>
      <c r="T53" s="16">
        <f>SUMIFS(INDEX(元データ!$E$2:$H$20000,0,MATCH($C$2,元データ!$E$1:$H$1,0)),元データ!$A$2:$A$20000,$A53,元データ!$D$2:$D$20000,$C$3,元データ!$B$2:$B$20000,$P$4,元データ!$C$2:$C$20000,T$5)</f>
        <v>936598</v>
      </c>
      <c r="U53" s="16">
        <f>SUMIFS(INDEX(元データ!$E$2:$H$20000,0,MATCH($C$2,元データ!$E$1:$H$1,0)),元データ!$A$2:$A$20000,$A53,元データ!$D$2:$D$20000,$C$3,元データ!$B$2:$B$20000,$P$4,元データ!$C$2:$C$20000,U$5)</f>
        <v>582235</v>
      </c>
      <c r="V53" s="16">
        <f>SUMIFS(INDEX(元データ!$E$2:$H$20000,0,MATCH($C$2,元データ!$E$1:$H$1,0)),元データ!$A$2:$A$20000,$A53,元データ!$D$2:$D$20000,$C$3,元データ!$B$2:$B$20000,$P$4,元データ!$C$2:$C$20000,V$5)</f>
        <v>543125</v>
      </c>
      <c r="W53" s="16">
        <f>SUMIFS(INDEX(元データ!$E$2:$H$20000,0,MATCH($C$2,元データ!$E$1:$H$1,0)),元データ!$A$2:$A$20000,$A53,元データ!$D$2:$D$20000,$C$3,元データ!$B$2:$B$20000,$P$4,元データ!$C$2:$C$20000,W$5)</f>
        <v>1518973</v>
      </c>
      <c r="X53" s="16">
        <f>SUMIFS(INDEX(元データ!$E$2:$H$20000,0,MATCH($C$2,元データ!$E$1:$H$1,0)),元データ!$A$2:$A$20000,$A53,元データ!$D$2:$D$20000,$C$3,元データ!$B$2:$B$20000,$P$4,元データ!$C$2:$C$20000,X$5)</f>
        <v>1923671</v>
      </c>
      <c r="Y53" s="16">
        <f>SUMIFS(INDEX(元データ!$E$2:$H$20000,0,MATCH($C$2,元データ!$E$1:$H$1,0)),元データ!$A$2:$A$20000,$A53,元データ!$D$2:$D$20000,$C$3,元データ!$B$2:$B$20000,$P$4,元データ!$C$2:$C$20000,Y$5)</f>
        <v>1525225</v>
      </c>
      <c r="Z53" s="16">
        <f>SUMIFS(INDEX(元データ!$E$2:$H$20000,0,MATCH($C$2,元データ!$E$1:$H$1,0)),元データ!$A$2:$A$20000,$A53,元データ!$D$2:$D$20000,$C$3,元データ!$B$2:$B$20000,$P$4,元データ!$C$2:$C$20000,Z$5)</f>
        <v>1426475</v>
      </c>
      <c r="AA53" s="16">
        <f>SUMIFS(INDEX(元データ!$E$2:$H$20000,0,MATCH($C$2,元データ!$E$1:$H$1,0)),元データ!$A$2:$A$20000,$A53,元データ!$D$2:$D$20000,$C$3,元データ!$B$2:$B$20000,$P$4,元データ!$C$2:$C$20000,AA$5)</f>
        <v>1117431</v>
      </c>
      <c r="AB53" s="17">
        <f t="shared" si="16"/>
        <v>13231280</v>
      </c>
      <c r="AC53" s="18">
        <f t="shared" si="17"/>
        <v>0.85823573968014744</v>
      </c>
      <c r="AD53" s="18">
        <f t="shared" si="18"/>
        <v>1.0891215526046987</v>
      </c>
      <c r="AE53" s="18">
        <f t="shared" si="19"/>
        <v>0.89234959754308607</v>
      </c>
      <c r="AF53" s="18">
        <f t="shared" si="20"/>
        <v>0.9105578339556426</v>
      </c>
      <c r="AG53" s="18">
        <f t="shared" si="21"/>
        <v>0.88056135076094544</v>
      </c>
      <c r="AH53" s="18">
        <f t="shared" si="22"/>
        <v>1.2048313825173684</v>
      </c>
      <c r="AI53" s="18">
        <f t="shared" si="23"/>
        <v>1.0565983889528194</v>
      </c>
      <c r="AJ53" s="18">
        <f t="shared" si="24"/>
        <v>0.75086588109202734</v>
      </c>
      <c r="AK53" s="18">
        <f t="shared" si="25"/>
        <v>0.969036805150153</v>
      </c>
      <c r="AL53" s="18">
        <f t="shared" si="26"/>
        <v>0.84540051467816224</v>
      </c>
      <c r="AM53" s="18">
        <f t="shared" si="27"/>
        <v>1.0588618798086191</v>
      </c>
      <c r="AN53" s="18">
        <f t="shared" si="28"/>
        <v>0.95912857259195428</v>
      </c>
      <c r="AO53" s="19">
        <f t="shared" si="29"/>
        <v>0.93489012400916616</v>
      </c>
    </row>
    <row r="54" spans="1:41" x14ac:dyDescent="0.45">
      <c r="A54" s="14" t="str">
        <f>店舗マスタ!A50</f>
        <v>石坂店</v>
      </c>
      <c r="B54" s="15"/>
      <c r="C54" s="16">
        <f>SUMIFS(INDEX(元データ!$E$2:$H$20000,0,MATCH($C$2,元データ!$E$1:$H$1,0)),元データ!$A$2:$A$20000,$A54,元データ!$D$2:$D$20000,$C$3,元データ!$B$2:$B$20000,$C$4,元データ!$C$2:$C$20000,C$5)</f>
        <v>1761913</v>
      </c>
      <c r="D54" s="16">
        <f>SUMIFS(INDEX(元データ!$E$2:$H$20000,0,MATCH($C$2,元データ!$E$1:$H$1,0)),元データ!$A$2:$A$20000,$A54,元データ!$D$2:$D$20000,$C$3,元データ!$B$2:$B$20000,$C$4,元データ!$C$2:$C$20000,D$5)</f>
        <v>1589292</v>
      </c>
      <c r="E54" s="16">
        <f>SUMIFS(INDEX(元データ!$E$2:$H$20000,0,MATCH($C$2,元データ!$E$1:$H$1,0)),元データ!$A$2:$A$20000,$A54,元データ!$D$2:$D$20000,$C$3,元データ!$B$2:$B$20000,$C$4,元データ!$C$2:$C$20000,E$5)</f>
        <v>2443695</v>
      </c>
      <c r="F54" s="16">
        <f>SUMIFS(INDEX(元データ!$E$2:$H$20000,0,MATCH($C$2,元データ!$E$1:$H$1,0)),元データ!$A$2:$A$20000,$A54,元データ!$D$2:$D$20000,$C$3,元データ!$B$2:$B$20000,$C$4,元データ!$C$2:$C$20000,F$5)</f>
        <v>2101721</v>
      </c>
      <c r="G54" s="16">
        <f>SUMIFS(INDEX(元データ!$E$2:$H$20000,0,MATCH($C$2,元データ!$E$1:$H$1,0)),元データ!$A$2:$A$20000,$A54,元データ!$D$2:$D$20000,$C$3,元データ!$B$2:$B$20000,$C$4,元データ!$C$2:$C$20000,G$5)</f>
        <v>2317310</v>
      </c>
      <c r="H54" s="16">
        <f>SUMIFS(INDEX(元データ!$E$2:$H$20000,0,MATCH($C$2,元データ!$E$1:$H$1,0)),元データ!$A$2:$A$20000,$A54,元データ!$D$2:$D$20000,$C$3,元データ!$B$2:$B$20000,$C$4,元データ!$C$2:$C$20000,H$5)</f>
        <v>1607222</v>
      </c>
      <c r="I54" s="16">
        <f>SUMIFS(INDEX(元データ!$E$2:$H$20000,0,MATCH($C$2,元データ!$E$1:$H$1,0)),元データ!$A$2:$A$20000,$A54,元データ!$D$2:$D$20000,$C$3,元データ!$B$2:$B$20000,$C$4,元データ!$C$2:$C$20000,I$5)</f>
        <v>1453445</v>
      </c>
      <c r="J54" s="16">
        <f>SUMIFS(INDEX(元データ!$E$2:$H$20000,0,MATCH($C$2,元データ!$E$1:$H$1,0)),元データ!$A$2:$A$20000,$A54,元データ!$D$2:$D$20000,$C$3,元データ!$B$2:$B$20000,$C$4,元データ!$C$2:$C$20000,J$5)</f>
        <v>2623263</v>
      </c>
      <c r="K54" s="16">
        <f>SUMIFS(INDEX(元データ!$E$2:$H$20000,0,MATCH($C$2,元データ!$E$1:$H$1,0)),元データ!$A$2:$A$20000,$A54,元データ!$D$2:$D$20000,$C$3,元データ!$B$2:$B$20000,$C$4,元データ!$C$2:$C$20000,K$5)</f>
        <v>4264316</v>
      </c>
      <c r="L54" s="16">
        <f>SUMIFS(INDEX(元データ!$E$2:$H$20000,0,MATCH($C$2,元データ!$E$1:$H$1,0)),元データ!$A$2:$A$20000,$A54,元データ!$D$2:$D$20000,$C$3,元データ!$B$2:$B$20000,$C$4,元データ!$C$2:$C$20000,L$5)</f>
        <v>3038266</v>
      </c>
      <c r="M54" s="16">
        <f>SUMIFS(INDEX(元データ!$E$2:$H$20000,0,MATCH($C$2,元データ!$E$1:$H$1,0)),元データ!$A$2:$A$20000,$A54,元データ!$D$2:$D$20000,$C$3,元データ!$B$2:$B$20000,$C$4,元データ!$C$2:$C$20000,M$5)</f>
        <v>3251817</v>
      </c>
      <c r="N54" s="16">
        <f>SUMIFS(INDEX(元データ!$E$2:$H$20000,0,MATCH($C$2,元データ!$E$1:$H$1,0)),元データ!$A$2:$A$20000,$A54,元データ!$D$2:$D$20000,$C$3,元データ!$B$2:$B$20000,$C$4,元データ!$C$2:$C$20000,N$5)</f>
        <v>2422449</v>
      </c>
      <c r="O54" s="17">
        <f t="shared" si="15"/>
        <v>28874709</v>
      </c>
      <c r="P54" s="16">
        <f>SUMIFS(INDEX(元データ!$E$2:$H$20000,0,MATCH($C$2,元データ!$E$1:$H$1,0)),元データ!$A$2:$A$20000,$A54,元データ!$D$2:$D$20000,$C$3,元データ!$B$2:$B$20000,$P$4,元データ!$C$2:$C$20000,P$5)</f>
        <v>1659187</v>
      </c>
      <c r="Q54" s="16">
        <f>SUMIFS(INDEX(元データ!$E$2:$H$20000,0,MATCH($C$2,元データ!$E$1:$H$1,0)),元データ!$A$2:$A$20000,$A54,元データ!$D$2:$D$20000,$C$3,元データ!$B$2:$B$20000,$P$4,元データ!$C$2:$C$20000,Q$5)</f>
        <v>1585413</v>
      </c>
      <c r="R54" s="16">
        <f>SUMIFS(INDEX(元データ!$E$2:$H$20000,0,MATCH($C$2,元データ!$E$1:$H$1,0)),元データ!$A$2:$A$20000,$A54,元データ!$D$2:$D$20000,$C$3,元データ!$B$2:$B$20000,$P$4,元データ!$C$2:$C$20000,R$5)</f>
        <v>2533594</v>
      </c>
      <c r="S54" s="16">
        <f>SUMIFS(INDEX(元データ!$E$2:$H$20000,0,MATCH($C$2,元データ!$E$1:$H$1,0)),元データ!$A$2:$A$20000,$A54,元データ!$D$2:$D$20000,$C$3,元データ!$B$2:$B$20000,$P$4,元データ!$C$2:$C$20000,S$5)</f>
        <v>2194356</v>
      </c>
      <c r="T54" s="16">
        <f>SUMIFS(INDEX(元データ!$E$2:$H$20000,0,MATCH($C$2,元データ!$E$1:$H$1,0)),元データ!$A$2:$A$20000,$A54,元データ!$D$2:$D$20000,$C$3,元データ!$B$2:$B$20000,$P$4,元データ!$C$2:$C$20000,T$5)</f>
        <v>2334172</v>
      </c>
      <c r="U54" s="16">
        <f>SUMIFS(INDEX(元データ!$E$2:$H$20000,0,MATCH($C$2,元データ!$E$1:$H$1,0)),元データ!$A$2:$A$20000,$A54,元データ!$D$2:$D$20000,$C$3,元データ!$B$2:$B$20000,$P$4,元データ!$C$2:$C$20000,U$5)</f>
        <v>1484219</v>
      </c>
      <c r="V54" s="16">
        <f>SUMIFS(INDEX(元データ!$E$2:$H$20000,0,MATCH($C$2,元データ!$E$1:$H$1,0)),元データ!$A$2:$A$20000,$A54,元データ!$D$2:$D$20000,$C$3,元データ!$B$2:$B$20000,$P$4,元データ!$C$2:$C$20000,V$5)</f>
        <v>1392059</v>
      </c>
      <c r="W54" s="16">
        <f>SUMIFS(INDEX(元データ!$E$2:$H$20000,0,MATCH($C$2,元データ!$E$1:$H$1,0)),元データ!$A$2:$A$20000,$A54,元データ!$D$2:$D$20000,$C$3,元データ!$B$2:$B$20000,$P$4,元データ!$C$2:$C$20000,W$5)</f>
        <v>3111415</v>
      </c>
      <c r="X54" s="16">
        <f>SUMIFS(INDEX(元データ!$E$2:$H$20000,0,MATCH($C$2,元データ!$E$1:$H$1,0)),元データ!$A$2:$A$20000,$A54,元データ!$D$2:$D$20000,$C$3,元データ!$B$2:$B$20000,$P$4,元データ!$C$2:$C$20000,X$5)</f>
        <v>3895103</v>
      </c>
      <c r="Y54" s="16">
        <f>SUMIFS(INDEX(元データ!$E$2:$H$20000,0,MATCH($C$2,元データ!$E$1:$H$1,0)),元データ!$A$2:$A$20000,$A54,元データ!$D$2:$D$20000,$C$3,元データ!$B$2:$B$20000,$P$4,元データ!$C$2:$C$20000,Y$5)</f>
        <v>3514616</v>
      </c>
      <c r="Z54" s="16">
        <f>SUMIFS(INDEX(元データ!$E$2:$H$20000,0,MATCH($C$2,元データ!$E$1:$H$1,0)),元データ!$A$2:$A$20000,$A54,元データ!$D$2:$D$20000,$C$3,元データ!$B$2:$B$20000,$P$4,元データ!$C$2:$C$20000,Z$5)</f>
        <v>3081891</v>
      </c>
      <c r="AA54" s="16">
        <f>SUMIFS(INDEX(元データ!$E$2:$H$20000,0,MATCH($C$2,元データ!$E$1:$H$1,0)),元データ!$A$2:$A$20000,$A54,元データ!$D$2:$D$20000,$C$3,元データ!$B$2:$B$20000,$P$4,元データ!$C$2:$C$20000,AA$5)</f>
        <v>2138083</v>
      </c>
      <c r="AB54" s="17">
        <f t="shared" si="16"/>
        <v>28924108</v>
      </c>
      <c r="AC54" s="18">
        <f t="shared" si="17"/>
        <v>1.0619134552042657</v>
      </c>
      <c r="AD54" s="18">
        <f t="shared" si="18"/>
        <v>1.0024466810856225</v>
      </c>
      <c r="AE54" s="18">
        <f t="shared" si="19"/>
        <v>0.96451720362457438</v>
      </c>
      <c r="AF54" s="18">
        <f t="shared" si="20"/>
        <v>0.95778488084886859</v>
      </c>
      <c r="AG54" s="18">
        <f t="shared" si="21"/>
        <v>0.99277602507441609</v>
      </c>
      <c r="AH54" s="18">
        <f t="shared" si="22"/>
        <v>1.0828738885568774</v>
      </c>
      <c r="AI54" s="18">
        <f t="shared" si="23"/>
        <v>1.0440972688657593</v>
      </c>
      <c r="AJ54" s="18">
        <f t="shared" si="24"/>
        <v>0.84310932485701839</v>
      </c>
      <c r="AK54" s="18">
        <f t="shared" si="25"/>
        <v>1.0947890209835274</v>
      </c>
      <c r="AL54" s="18">
        <f t="shared" si="26"/>
        <v>0.86446599002565283</v>
      </c>
      <c r="AM54" s="18">
        <f t="shared" si="27"/>
        <v>1.0551369272956117</v>
      </c>
      <c r="AN54" s="18">
        <f t="shared" si="28"/>
        <v>1.1330004494680515</v>
      </c>
      <c r="AO54" s="19">
        <f t="shared" si="29"/>
        <v>0.99829211673528528</v>
      </c>
    </row>
    <row r="55" spans="1:41" x14ac:dyDescent="0.45">
      <c r="A55" s="14" t="str">
        <f>店舗マスタ!A51</f>
        <v>荒田島店</v>
      </c>
      <c r="B55" s="15"/>
      <c r="C55" s="16">
        <f>SUMIFS(INDEX(元データ!$E$2:$H$20000,0,MATCH($C$2,元データ!$E$1:$H$1,0)),元データ!$A$2:$A$20000,$A55,元データ!$D$2:$D$20000,$C$3,元データ!$B$2:$B$20000,$C$4,元データ!$C$2:$C$20000,C$5)</f>
        <v>955393</v>
      </c>
      <c r="D55" s="16">
        <f>SUMIFS(INDEX(元データ!$E$2:$H$20000,0,MATCH($C$2,元データ!$E$1:$H$1,0)),元データ!$A$2:$A$20000,$A55,元データ!$D$2:$D$20000,$C$3,元データ!$B$2:$B$20000,$C$4,元データ!$C$2:$C$20000,D$5)</f>
        <v>880758</v>
      </c>
      <c r="E55" s="16">
        <f>SUMIFS(INDEX(元データ!$E$2:$H$20000,0,MATCH($C$2,元データ!$E$1:$H$1,0)),元データ!$A$2:$A$20000,$A55,元データ!$D$2:$D$20000,$C$3,元データ!$B$2:$B$20000,$C$4,元データ!$C$2:$C$20000,E$5)</f>
        <v>1046530</v>
      </c>
      <c r="F55" s="16">
        <f>SUMIFS(INDEX(元データ!$E$2:$H$20000,0,MATCH($C$2,元データ!$E$1:$H$1,0)),元データ!$A$2:$A$20000,$A55,元データ!$D$2:$D$20000,$C$3,元データ!$B$2:$B$20000,$C$4,元データ!$C$2:$C$20000,F$5)</f>
        <v>1204100</v>
      </c>
      <c r="G55" s="16">
        <f>SUMIFS(INDEX(元データ!$E$2:$H$20000,0,MATCH($C$2,元データ!$E$1:$H$1,0)),元データ!$A$2:$A$20000,$A55,元データ!$D$2:$D$20000,$C$3,元データ!$B$2:$B$20000,$C$4,元データ!$C$2:$C$20000,G$5)</f>
        <v>1047489</v>
      </c>
      <c r="H55" s="16">
        <f>SUMIFS(INDEX(元データ!$E$2:$H$20000,0,MATCH($C$2,元データ!$E$1:$H$1,0)),元データ!$A$2:$A$20000,$A55,元データ!$D$2:$D$20000,$C$3,元データ!$B$2:$B$20000,$C$4,元データ!$C$2:$C$20000,H$5)</f>
        <v>786279</v>
      </c>
      <c r="I55" s="16">
        <f>SUMIFS(INDEX(元データ!$E$2:$H$20000,0,MATCH($C$2,元データ!$E$1:$H$1,0)),元データ!$A$2:$A$20000,$A55,元データ!$D$2:$D$20000,$C$3,元データ!$B$2:$B$20000,$C$4,元データ!$C$2:$C$20000,I$5)</f>
        <v>721088</v>
      </c>
      <c r="J55" s="16">
        <f>SUMIFS(INDEX(元データ!$E$2:$H$20000,0,MATCH($C$2,元データ!$E$1:$H$1,0)),元データ!$A$2:$A$20000,$A55,元データ!$D$2:$D$20000,$C$3,元データ!$B$2:$B$20000,$C$4,元データ!$C$2:$C$20000,J$5)</f>
        <v>1280014</v>
      </c>
      <c r="K55" s="16">
        <f>SUMIFS(INDEX(元データ!$E$2:$H$20000,0,MATCH($C$2,元データ!$E$1:$H$1,0)),元データ!$A$2:$A$20000,$A55,元データ!$D$2:$D$20000,$C$3,元データ!$B$2:$B$20000,$C$4,元データ!$C$2:$C$20000,K$5)</f>
        <v>2250770</v>
      </c>
      <c r="L55" s="16">
        <f>SUMIFS(INDEX(元データ!$E$2:$H$20000,0,MATCH($C$2,元データ!$E$1:$H$1,0)),元データ!$A$2:$A$20000,$A55,元データ!$D$2:$D$20000,$C$3,元データ!$B$2:$B$20000,$C$4,元データ!$C$2:$C$20000,L$5)</f>
        <v>2000738</v>
      </c>
      <c r="M55" s="16">
        <f>SUMIFS(INDEX(元データ!$E$2:$H$20000,0,MATCH($C$2,元データ!$E$1:$H$1,0)),元データ!$A$2:$A$20000,$A55,元データ!$D$2:$D$20000,$C$3,元データ!$B$2:$B$20000,$C$4,元データ!$C$2:$C$20000,M$5)</f>
        <v>1658633</v>
      </c>
      <c r="N55" s="16">
        <f>SUMIFS(INDEX(元データ!$E$2:$H$20000,0,MATCH($C$2,元データ!$E$1:$H$1,0)),元データ!$A$2:$A$20000,$A55,元データ!$D$2:$D$20000,$C$3,元データ!$B$2:$B$20000,$C$4,元データ!$C$2:$C$20000,N$5)</f>
        <v>1301321</v>
      </c>
      <c r="O55" s="17">
        <f t="shared" si="15"/>
        <v>15133113</v>
      </c>
      <c r="P55" s="16">
        <f>SUMIFS(INDEX(元データ!$E$2:$H$20000,0,MATCH($C$2,元データ!$E$1:$H$1,0)),元データ!$A$2:$A$20000,$A55,元データ!$D$2:$D$20000,$C$3,元データ!$B$2:$B$20000,$P$4,元データ!$C$2:$C$20000,P$5)</f>
        <v>758859</v>
      </c>
      <c r="Q55" s="16">
        <f>SUMIFS(INDEX(元データ!$E$2:$H$20000,0,MATCH($C$2,元データ!$E$1:$H$1,0)),元データ!$A$2:$A$20000,$A55,元データ!$D$2:$D$20000,$C$3,元データ!$B$2:$B$20000,$P$4,元データ!$C$2:$C$20000,Q$5)</f>
        <v>742912</v>
      </c>
      <c r="R55" s="16">
        <f>SUMIFS(INDEX(元データ!$E$2:$H$20000,0,MATCH($C$2,元データ!$E$1:$H$1,0)),元データ!$A$2:$A$20000,$A55,元データ!$D$2:$D$20000,$C$3,元データ!$B$2:$B$20000,$P$4,元データ!$C$2:$C$20000,R$5)</f>
        <v>1309524</v>
      </c>
      <c r="S55" s="16">
        <f>SUMIFS(INDEX(元データ!$E$2:$H$20000,0,MATCH($C$2,元データ!$E$1:$H$1,0)),元データ!$A$2:$A$20000,$A55,元データ!$D$2:$D$20000,$C$3,元データ!$B$2:$B$20000,$P$4,元データ!$C$2:$C$20000,S$5)</f>
        <v>931249</v>
      </c>
      <c r="T55" s="16">
        <f>SUMIFS(INDEX(元データ!$E$2:$H$20000,0,MATCH($C$2,元データ!$E$1:$H$1,0)),元データ!$A$2:$A$20000,$A55,元データ!$D$2:$D$20000,$C$3,元データ!$B$2:$B$20000,$P$4,元データ!$C$2:$C$20000,T$5)</f>
        <v>1060197</v>
      </c>
      <c r="U55" s="16">
        <f>SUMIFS(INDEX(元データ!$E$2:$H$20000,0,MATCH($C$2,元データ!$E$1:$H$1,0)),元データ!$A$2:$A$20000,$A55,元データ!$D$2:$D$20000,$C$3,元データ!$B$2:$B$20000,$P$4,元データ!$C$2:$C$20000,U$5)</f>
        <v>779411</v>
      </c>
      <c r="V55" s="16">
        <f>SUMIFS(INDEX(元データ!$E$2:$H$20000,0,MATCH($C$2,元データ!$E$1:$H$1,0)),元データ!$A$2:$A$20000,$A55,元データ!$D$2:$D$20000,$C$3,元データ!$B$2:$B$20000,$P$4,元データ!$C$2:$C$20000,V$5)</f>
        <v>709243</v>
      </c>
      <c r="W55" s="16">
        <f>SUMIFS(INDEX(元データ!$E$2:$H$20000,0,MATCH($C$2,元データ!$E$1:$H$1,0)),元データ!$A$2:$A$20000,$A55,元データ!$D$2:$D$20000,$C$3,元データ!$B$2:$B$20000,$P$4,元データ!$C$2:$C$20000,W$5)</f>
        <v>1588830</v>
      </c>
      <c r="X55" s="16">
        <f>SUMIFS(INDEX(元データ!$E$2:$H$20000,0,MATCH($C$2,元データ!$E$1:$H$1,0)),元データ!$A$2:$A$20000,$A55,元データ!$D$2:$D$20000,$C$3,元データ!$B$2:$B$20000,$P$4,元データ!$C$2:$C$20000,X$5)</f>
        <v>1940293</v>
      </c>
      <c r="Y55" s="16">
        <f>SUMIFS(INDEX(元データ!$E$2:$H$20000,0,MATCH($C$2,元データ!$E$1:$H$1,0)),元データ!$A$2:$A$20000,$A55,元データ!$D$2:$D$20000,$C$3,元データ!$B$2:$B$20000,$P$4,元データ!$C$2:$C$20000,Y$5)</f>
        <v>1847182</v>
      </c>
      <c r="Z55" s="16">
        <f>SUMIFS(INDEX(元データ!$E$2:$H$20000,0,MATCH($C$2,元データ!$E$1:$H$1,0)),元データ!$A$2:$A$20000,$A55,元データ!$D$2:$D$20000,$C$3,元データ!$B$2:$B$20000,$P$4,元データ!$C$2:$C$20000,Z$5)</f>
        <v>1651547</v>
      </c>
      <c r="AA55" s="16">
        <f>SUMIFS(INDEX(元データ!$E$2:$H$20000,0,MATCH($C$2,元データ!$E$1:$H$1,0)),元データ!$A$2:$A$20000,$A55,元データ!$D$2:$D$20000,$C$3,元データ!$B$2:$B$20000,$P$4,元データ!$C$2:$C$20000,AA$5)</f>
        <v>1208599</v>
      </c>
      <c r="AB55" s="17">
        <f t="shared" si="16"/>
        <v>14527846</v>
      </c>
      <c r="AC55" s="18">
        <f t="shared" si="17"/>
        <v>1.2589861884750659</v>
      </c>
      <c r="AD55" s="18">
        <f t="shared" si="18"/>
        <v>1.1855482210544452</v>
      </c>
      <c r="AE55" s="18">
        <f t="shared" si="19"/>
        <v>0.79916824739370951</v>
      </c>
      <c r="AF55" s="18">
        <f t="shared" si="20"/>
        <v>1.2929946770412639</v>
      </c>
      <c r="AG55" s="18">
        <f t="shared" si="21"/>
        <v>0.9880135484254341</v>
      </c>
      <c r="AH55" s="18">
        <f t="shared" si="22"/>
        <v>1.0088117822304279</v>
      </c>
      <c r="AI55" s="18">
        <f t="shared" si="23"/>
        <v>1.0167009050494682</v>
      </c>
      <c r="AJ55" s="18">
        <f t="shared" si="24"/>
        <v>0.80563307591120514</v>
      </c>
      <c r="AK55" s="18">
        <f t="shared" si="25"/>
        <v>1.160015523428678</v>
      </c>
      <c r="AL55" s="18">
        <f t="shared" si="26"/>
        <v>1.0831298702564229</v>
      </c>
      <c r="AM55" s="18">
        <f t="shared" si="27"/>
        <v>1.0042905227644141</v>
      </c>
      <c r="AN55" s="18">
        <f t="shared" si="28"/>
        <v>1.076718580769966</v>
      </c>
      <c r="AO55" s="19">
        <f t="shared" si="29"/>
        <v>1.0416625424030515</v>
      </c>
    </row>
    <row r="56" spans="1:41" x14ac:dyDescent="0.45">
      <c r="A56" s="14" t="str">
        <f>店舗マスタ!A52</f>
        <v>水戸島店</v>
      </c>
      <c r="B56" s="15"/>
      <c r="C56" s="16">
        <f>SUMIFS(INDEX(元データ!$E$2:$H$20000,0,MATCH($C$2,元データ!$E$1:$H$1,0)),元データ!$A$2:$A$20000,$A56,元データ!$D$2:$D$20000,$C$3,元データ!$B$2:$B$20000,$C$4,元データ!$C$2:$C$20000,C$5)</f>
        <v>789487</v>
      </c>
      <c r="D56" s="16">
        <f>SUMIFS(INDEX(元データ!$E$2:$H$20000,0,MATCH($C$2,元データ!$E$1:$H$1,0)),元データ!$A$2:$A$20000,$A56,元データ!$D$2:$D$20000,$C$3,元データ!$B$2:$B$20000,$C$4,元データ!$C$2:$C$20000,D$5)</f>
        <v>907060</v>
      </c>
      <c r="E56" s="16">
        <f>SUMIFS(INDEX(元データ!$E$2:$H$20000,0,MATCH($C$2,元データ!$E$1:$H$1,0)),元データ!$A$2:$A$20000,$A56,元データ!$D$2:$D$20000,$C$3,元データ!$B$2:$B$20000,$C$4,元データ!$C$2:$C$20000,E$5)</f>
        <v>1275322</v>
      </c>
      <c r="F56" s="16">
        <f>SUMIFS(INDEX(元データ!$E$2:$H$20000,0,MATCH($C$2,元データ!$E$1:$H$1,0)),元データ!$A$2:$A$20000,$A56,元データ!$D$2:$D$20000,$C$3,元データ!$B$2:$B$20000,$C$4,元データ!$C$2:$C$20000,F$5)</f>
        <v>1126037</v>
      </c>
      <c r="G56" s="16">
        <f>SUMIFS(INDEX(元データ!$E$2:$H$20000,0,MATCH($C$2,元データ!$E$1:$H$1,0)),元データ!$A$2:$A$20000,$A56,元データ!$D$2:$D$20000,$C$3,元データ!$B$2:$B$20000,$C$4,元データ!$C$2:$C$20000,G$5)</f>
        <v>1024083</v>
      </c>
      <c r="H56" s="16">
        <f>SUMIFS(INDEX(元データ!$E$2:$H$20000,0,MATCH($C$2,元データ!$E$1:$H$1,0)),元データ!$A$2:$A$20000,$A56,元データ!$D$2:$D$20000,$C$3,元データ!$B$2:$B$20000,$C$4,元データ!$C$2:$C$20000,H$5)</f>
        <v>854785</v>
      </c>
      <c r="I56" s="16">
        <f>SUMIFS(INDEX(元データ!$E$2:$H$20000,0,MATCH($C$2,元データ!$E$1:$H$1,0)),元データ!$A$2:$A$20000,$A56,元データ!$D$2:$D$20000,$C$3,元データ!$B$2:$B$20000,$C$4,元データ!$C$2:$C$20000,I$5)</f>
        <v>706327</v>
      </c>
      <c r="J56" s="16">
        <f>SUMIFS(INDEX(元データ!$E$2:$H$20000,0,MATCH($C$2,元データ!$E$1:$H$1,0)),元データ!$A$2:$A$20000,$A56,元データ!$D$2:$D$20000,$C$3,元データ!$B$2:$B$20000,$C$4,元データ!$C$2:$C$20000,J$5)</f>
        <v>1465778</v>
      </c>
      <c r="K56" s="16">
        <f>SUMIFS(INDEX(元データ!$E$2:$H$20000,0,MATCH($C$2,元データ!$E$1:$H$1,0)),元データ!$A$2:$A$20000,$A56,元データ!$D$2:$D$20000,$C$3,元データ!$B$2:$B$20000,$C$4,元データ!$C$2:$C$20000,K$5)</f>
        <v>2413703</v>
      </c>
      <c r="L56" s="16">
        <f>SUMIFS(INDEX(元データ!$E$2:$H$20000,0,MATCH($C$2,元データ!$E$1:$H$1,0)),元データ!$A$2:$A$20000,$A56,元データ!$D$2:$D$20000,$C$3,元データ!$B$2:$B$20000,$C$4,元データ!$C$2:$C$20000,L$5)</f>
        <v>1661552</v>
      </c>
      <c r="M56" s="16">
        <f>SUMIFS(INDEX(元データ!$E$2:$H$20000,0,MATCH($C$2,元データ!$E$1:$H$1,0)),元データ!$A$2:$A$20000,$A56,元データ!$D$2:$D$20000,$C$3,元データ!$B$2:$B$20000,$C$4,元データ!$C$2:$C$20000,M$5)</f>
        <v>1455458</v>
      </c>
      <c r="N56" s="16">
        <f>SUMIFS(INDEX(元データ!$E$2:$H$20000,0,MATCH($C$2,元データ!$E$1:$H$1,0)),元データ!$A$2:$A$20000,$A56,元データ!$D$2:$D$20000,$C$3,元データ!$B$2:$B$20000,$C$4,元データ!$C$2:$C$20000,N$5)</f>
        <v>1169319</v>
      </c>
      <c r="O56" s="17">
        <f t="shared" si="15"/>
        <v>14848911</v>
      </c>
      <c r="P56" s="16">
        <f>SUMIFS(INDEX(元データ!$E$2:$H$20000,0,MATCH($C$2,元データ!$E$1:$H$1,0)),元データ!$A$2:$A$20000,$A56,元データ!$D$2:$D$20000,$C$3,元データ!$B$2:$B$20000,$P$4,元データ!$C$2:$C$20000,P$5)</f>
        <v>872552</v>
      </c>
      <c r="Q56" s="16">
        <f>SUMIFS(INDEX(元データ!$E$2:$H$20000,0,MATCH($C$2,元データ!$E$1:$H$1,0)),元データ!$A$2:$A$20000,$A56,元データ!$D$2:$D$20000,$C$3,元データ!$B$2:$B$20000,$P$4,元データ!$C$2:$C$20000,Q$5)</f>
        <v>902619</v>
      </c>
      <c r="R56" s="16">
        <f>SUMIFS(INDEX(元データ!$E$2:$H$20000,0,MATCH($C$2,元データ!$E$1:$H$1,0)),元データ!$A$2:$A$20000,$A56,元データ!$D$2:$D$20000,$C$3,元データ!$B$2:$B$20000,$P$4,元データ!$C$2:$C$20000,R$5)</f>
        <v>1290411</v>
      </c>
      <c r="S56" s="16">
        <f>SUMIFS(INDEX(元データ!$E$2:$H$20000,0,MATCH($C$2,元データ!$E$1:$H$1,0)),元データ!$A$2:$A$20000,$A56,元データ!$D$2:$D$20000,$C$3,元データ!$B$2:$B$20000,$P$4,元データ!$C$2:$C$20000,S$5)</f>
        <v>1070827</v>
      </c>
      <c r="T56" s="16">
        <f>SUMIFS(INDEX(元データ!$E$2:$H$20000,0,MATCH($C$2,元データ!$E$1:$H$1,0)),元データ!$A$2:$A$20000,$A56,元データ!$D$2:$D$20000,$C$3,元データ!$B$2:$B$20000,$P$4,元データ!$C$2:$C$20000,T$5)</f>
        <v>1201575</v>
      </c>
      <c r="U56" s="16">
        <f>SUMIFS(INDEX(元データ!$E$2:$H$20000,0,MATCH($C$2,元データ!$E$1:$H$1,0)),元データ!$A$2:$A$20000,$A56,元データ!$D$2:$D$20000,$C$3,元データ!$B$2:$B$20000,$P$4,元データ!$C$2:$C$20000,U$5)</f>
        <v>750774</v>
      </c>
      <c r="V56" s="16">
        <f>SUMIFS(INDEX(元データ!$E$2:$H$20000,0,MATCH($C$2,元データ!$E$1:$H$1,0)),元データ!$A$2:$A$20000,$A56,元データ!$D$2:$D$20000,$C$3,元データ!$B$2:$B$20000,$P$4,元データ!$C$2:$C$20000,V$5)</f>
        <v>692705</v>
      </c>
      <c r="W56" s="16">
        <f>SUMIFS(INDEX(元データ!$E$2:$H$20000,0,MATCH($C$2,元データ!$E$1:$H$1,0)),元データ!$A$2:$A$20000,$A56,元データ!$D$2:$D$20000,$C$3,元データ!$B$2:$B$20000,$P$4,元データ!$C$2:$C$20000,W$5)</f>
        <v>1805370</v>
      </c>
      <c r="X56" s="16">
        <f>SUMIFS(INDEX(元データ!$E$2:$H$20000,0,MATCH($C$2,元データ!$E$1:$H$1,0)),元データ!$A$2:$A$20000,$A56,元データ!$D$2:$D$20000,$C$3,元データ!$B$2:$B$20000,$P$4,元データ!$C$2:$C$20000,X$5)</f>
        <v>2255956</v>
      </c>
      <c r="Y56" s="16">
        <f>SUMIFS(INDEX(元データ!$E$2:$H$20000,0,MATCH($C$2,元データ!$E$1:$H$1,0)),元データ!$A$2:$A$20000,$A56,元データ!$D$2:$D$20000,$C$3,元データ!$B$2:$B$20000,$P$4,元データ!$C$2:$C$20000,Y$5)</f>
        <v>1970230</v>
      </c>
      <c r="Z56" s="16">
        <f>SUMIFS(INDEX(元データ!$E$2:$H$20000,0,MATCH($C$2,元データ!$E$1:$H$1,0)),元データ!$A$2:$A$20000,$A56,元データ!$D$2:$D$20000,$C$3,元データ!$B$2:$B$20000,$P$4,元データ!$C$2:$C$20000,Z$5)</f>
        <v>1536968</v>
      </c>
      <c r="AA56" s="16">
        <f>SUMIFS(INDEX(元データ!$E$2:$H$20000,0,MATCH($C$2,元データ!$E$1:$H$1,0)),元データ!$A$2:$A$20000,$A56,元データ!$D$2:$D$20000,$C$3,元データ!$B$2:$B$20000,$P$4,元データ!$C$2:$C$20000,AA$5)</f>
        <v>1251072</v>
      </c>
      <c r="AB56" s="17">
        <f t="shared" si="16"/>
        <v>15601059</v>
      </c>
      <c r="AC56" s="18">
        <f t="shared" si="17"/>
        <v>0.90480223528225256</v>
      </c>
      <c r="AD56" s="18">
        <f t="shared" si="18"/>
        <v>1.0049201268752375</v>
      </c>
      <c r="AE56" s="18">
        <f t="shared" si="19"/>
        <v>0.98830682627472954</v>
      </c>
      <c r="AF56" s="18">
        <f t="shared" si="20"/>
        <v>1.0515582815898366</v>
      </c>
      <c r="AG56" s="18">
        <f t="shared" si="21"/>
        <v>0.85228387741089817</v>
      </c>
      <c r="AH56" s="18">
        <f t="shared" si="22"/>
        <v>1.1385383617440135</v>
      </c>
      <c r="AI56" s="18">
        <f t="shared" si="23"/>
        <v>1.0196649367335302</v>
      </c>
      <c r="AJ56" s="18">
        <f t="shared" si="24"/>
        <v>0.81189894592244249</v>
      </c>
      <c r="AK56" s="18">
        <f t="shared" si="25"/>
        <v>1.0699246793820447</v>
      </c>
      <c r="AL56" s="18">
        <f t="shared" si="26"/>
        <v>0.84332895144221742</v>
      </c>
      <c r="AM56" s="18">
        <f t="shared" si="27"/>
        <v>0.94696701557872387</v>
      </c>
      <c r="AN56" s="18">
        <f t="shared" si="28"/>
        <v>0.9346536410374463</v>
      </c>
      <c r="AO56" s="19">
        <f t="shared" si="29"/>
        <v>0.95178865742383256</v>
      </c>
    </row>
    <row r="57" spans="1:41" x14ac:dyDescent="0.45">
      <c r="A57" s="14" t="str">
        <f>店舗マスタ!A53</f>
        <v>穂波町店</v>
      </c>
      <c r="B57" s="15"/>
      <c r="C57" s="16">
        <f>SUMIFS(INDEX(元データ!$E$2:$H$20000,0,MATCH($C$2,元データ!$E$1:$H$1,0)),元データ!$A$2:$A$20000,$A57,元データ!$D$2:$D$20000,$C$3,元データ!$B$2:$B$20000,$C$4,元データ!$C$2:$C$20000,C$5)</f>
        <v>953476</v>
      </c>
      <c r="D57" s="16">
        <f>SUMIFS(INDEX(元データ!$E$2:$H$20000,0,MATCH($C$2,元データ!$E$1:$H$1,0)),元データ!$A$2:$A$20000,$A57,元データ!$D$2:$D$20000,$C$3,元データ!$B$2:$B$20000,$C$4,元データ!$C$2:$C$20000,D$5)</f>
        <v>997132</v>
      </c>
      <c r="E57" s="16">
        <f>SUMIFS(INDEX(元データ!$E$2:$H$20000,0,MATCH($C$2,元データ!$E$1:$H$1,0)),元データ!$A$2:$A$20000,$A57,元データ!$D$2:$D$20000,$C$3,元データ!$B$2:$B$20000,$C$4,元データ!$C$2:$C$20000,E$5)</f>
        <v>1456027</v>
      </c>
      <c r="F57" s="16">
        <f>SUMIFS(INDEX(元データ!$E$2:$H$20000,0,MATCH($C$2,元データ!$E$1:$H$1,0)),元データ!$A$2:$A$20000,$A57,元データ!$D$2:$D$20000,$C$3,元データ!$B$2:$B$20000,$C$4,元データ!$C$2:$C$20000,F$5)</f>
        <v>1173623</v>
      </c>
      <c r="G57" s="16">
        <f>SUMIFS(INDEX(元データ!$E$2:$H$20000,0,MATCH($C$2,元データ!$E$1:$H$1,0)),元データ!$A$2:$A$20000,$A57,元データ!$D$2:$D$20000,$C$3,元データ!$B$2:$B$20000,$C$4,元データ!$C$2:$C$20000,G$5)</f>
        <v>1246611</v>
      </c>
      <c r="H57" s="16">
        <f>SUMIFS(INDEX(元データ!$E$2:$H$20000,0,MATCH($C$2,元データ!$E$1:$H$1,0)),元データ!$A$2:$A$20000,$A57,元データ!$D$2:$D$20000,$C$3,元データ!$B$2:$B$20000,$C$4,元データ!$C$2:$C$20000,H$5)</f>
        <v>978155</v>
      </c>
      <c r="I57" s="16">
        <f>SUMIFS(INDEX(元データ!$E$2:$H$20000,0,MATCH($C$2,元データ!$E$1:$H$1,0)),元データ!$A$2:$A$20000,$A57,元データ!$D$2:$D$20000,$C$3,元データ!$B$2:$B$20000,$C$4,元データ!$C$2:$C$20000,I$5)</f>
        <v>821498</v>
      </c>
      <c r="J57" s="16">
        <f>SUMIFS(INDEX(元データ!$E$2:$H$20000,0,MATCH($C$2,元データ!$E$1:$H$1,0)),元データ!$A$2:$A$20000,$A57,元データ!$D$2:$D$20000,$C$3,元データ!$B$2:$B$20000,$C$4,元データ!$C$2:$C$20000,J$5)</f>
        <v>1748744</v>
      </c>
      <c r="K57" s="16">
        <f>SUMIFS(INDEX(元データ!$E$2:$H$20000,0,MATCH($C$2,元データ!$E$1:$H$1,0)),元データ!$A$2:$A$20000,$A57,元データ!$D$2:$D$20000,$C$3,元データ!$B$2:$B$20000,$C$4,元データ!$C$2:$C$20000,K$5)</f>
        <v>2568308</v>
      </c>
      <c r="L57" s="16">
        <f>SUMIFS(INDEX(元データ!$E$2:$H$20000,0,MATCH($C$2,元データ!$E$1:$H$1,0)),元データ!$A$2:$A$20000,$A57,元データ!$D$2:$D$20000,$C$3,元データ!$B$2:$B$20000,$C$4,元データ!$C$2:$C$20000,L$5)</f>
        <v>2067334</v>
      </c>
      <c r="M57" s="16">
        <f>SUMIFS(INDEX(元データ!$E$2:$H$20000,0,MATCH($C$2,元データ!$E$1:$H$1,0)),元データ!$A$2:$A$20000,$A57,元データ!$D$2:$D$20000,$C$3,元データ!$B$2:$B$20000,$C$4,元データ!$C$2:$C$20000,M$5)</f>
        <v>2065958</v>
      </c>
      <c r="N57" s="16">
        <f>SUMIFS(INDEX(元データ!$E$2:$H$20000,0,MATCH($C$2,元データ!$E$1:$H$1,0)),元データ!$A$2:$A$20000,$A57,元データ!$D$2:$D$20000,$C$3,元データ!$B$2:$B$20000,$C$4,元データ!$C$2:$C$20000,N$5)</f>
        <v>1516037</v>
      </c>
      <c r="O57" s="17">
        <f t="shared" si="15"/>
        <v>17592903</v>
      </c>
      <c r="P57" s="16">
        <f>SUMIFS(INDEX(元データ!$E$2:$H$20000,0,MATCH($C$2,元データ!$E$1:$H$1,0)),元データ!$A$2:$A$20000,$A57,元データ!$D$2:$D$20000,$C$3,元データ!$B$2:$B$20000,$P$4,元データ!$C$2:$C$20000,P$5)</f>
        <v>851085</v>
      </c>
      <c r="Q57" s="16">
        <f>SUMIFS(INDEX(元データ!$E$2:$H$20000,0,MATCH($C$2,元データ!$E$1:$H$1,0)),元データ!$A$2:$A$20000,$A57,元データ!$D$2:$D$20000,$C$3,元データ!$B$2:$B$20000,$P$4,元データ!$C$2:$C$20000,Q$5)</f>
        <v>929155</v>
      </c>
      <c r="R57" s="16">
        <f>SUMIFS(INDEX(元データ!$E$2:$H$20000,0,MATCH($C$2,元データ!$E$1:$H$1,0)),元データ!$A$2:$A$20000,$A57,元データ!$D$2:$D$20000,$C$3,元データ!$B$2:$B$20000,$P$4,元データ!$C$2:$C$20000,R$5)</f>
        <v>1347016</v>
      </c>
      <c r="S57" s="16">
        <f>SUMIFS(INDEX(元データ!$E$2:$H$20000,0,MATCH($C$2,元データ!$E$1:$H$1,0)),元データ!$A$2:$A$20000,$A57,元データ!$D$2:$D$20000,$C$3,元データ!$B$2:$B$20000,$P$4,元データ!$C$2:$C$20000,S$5)</f>
        <v>1055272</v>
      </c>
      <c r="T57" s="16">
        <f>SUMIFS(INDEX(元データ!$E$2:$H$20000,0,MATCH($C$2,元データ!$E$1:$H$1,0)),元データ!$A$2:$A$20000,$A57,元データ!$D$2:$D$20000,$C$3,元データ!$B$2:$B$20000,$P$4,元データ!$C$2:$C$20000,T$5)</f>
        <v>1324764</v>
      </c>
      <c r="U57" s="16">
        <f>SUMIFS(INDEX(元データ!$E$2:$H$20000,0,MATCH($C$2,元データ!$E$1:$H$1,0)),元データ!$A$2:$A$20000,$A57,元データ!$D$2:$D$20000,$C$3,元データ!$B$2:$B$20000,$P$4,元データ!$C$2:$C$20000,U$5)</f>
        <v>755456</v>
      </c>
      <c r="V57" s="16">
        <f>SUMIFS(INDEX(元データ!$E$2:$H$20000,0,MATCH($C$2,元データ!$E$1:$H$1,0)),元データ!$A$2:$A$20000,$A57,元データ!$D$2:$D$20000,$C$3,元データ!$B$2:$B$20000,$P$4,元データ!$C$2:$C$20000,V$5)</f>
        <v>701945</v>
      </c>
      <c r="W57" s="16">
        <f>SUMIFS(INDEX(元データ!$E$2:$H$20000,0,MATCH($C$2,元データ!$E$1:$H$1,0)),元データ!$A$2:$A$20000,$A57,元データ!$D$2:$D$20000,$C$3,元データ!$B$2:$B$20000,$P$4,元データ!$C$2:$C$20000,W$5)</f>
        <v>1682262</v>
      </c>
      <c r="X57" s="16">
        <f>SUMIFS(INDEX(元データ!$E$2:$H$20000,0,MATCH($C$2,元データ!$E$1:$H$1,0)),元データ!$A$2:$A$20000,$A57,元データ!$D$2:$D$20000,$C$3,元データ!$B$2:$B$20000,$P$4,元データ!$C$2:$C$20000,X$5)</f>
        <v>2049383</v>
      </c>
      <c r="Y57" s="16">
        <f>SUMIFS(INDEX(元データ!$E$2:$H$20000,0,MATCH($C$2,元データ!$E$1:$H$1,0)),元データ!$A$2:$A$20000,$A57,元データ!$D$2:$D$20000,$C$3,元データ!$B$2:$B$20000,$P$4,元データ!$C$2:$C$20000,Y$5)</f>
        <v>1923910</v>
      </c>
      <c r="Z57" s="16">
        <f>SUMIFS(INDEX(元データ!$E$2:$H$20000,0,MATCH($C$2,元データ!$E$1:$H$1,0)),元データ!$A$2:$A$20000,$A57,元データ!$D$2:$D$20000,$C$3,元データ!$B$2:$B$20000,$P$4,元データ!$C$2:$C$20000,Z$5)</f>
        <v>1718780</v>
      </c>
      <c r="AA57" s="16">
        <f>SUMIFS(INDEX(元データ!$E$2:$H$20000,0,MATCH($C$2,元データ!$E$1:$H$1,0)),元データ!$A$2:$A$20000,$A57,元データ!$D$2:$D$20000,$C$3,元データ!$B$2:$B$20000,$P$4,元データ!$C$2:$C$20000,AA$5)</f>
        <v>1236997</v>
      </c>
      <c r="AB57" s="17">
        <f t="shared" si="16"/>
        <v>15576025</v>
      </c>
      <c r="AC57" s="18">
        <f t="shared" si="17"/>
        <v>1.1203064323774945</v>
      </c>
      <c r="AD57" s="18">
        <f t="shared" si="18"/>
        <v>1.0731600217401833</v>
      </c>
      <c r="AE57" s="18">
        <f t="shared" si="19"/>
        <v>1.0809277692321397</v>
      </c>
      <c r="AF57" s="18">
        <f t="shared" si="20"/>
        <v>1.1121521276031203</v>
      </c>
      <c r="AG57" s="18">
        <f t="shared" si="21"/>
        <v>0.94100609618014985</v>
      </c>
      <c r="AH57" s="18">
        <f t="shared" si="22"/>
        <v>1.2947875190613352</v>
      </c>
      <c r="AI57" s="18">
        <f t="shared" si="23"/>
        <v>1.1703167627093292</v>
      </c>
      <c r="AJ57" s="18">
        <f t="shared" si="24"/>
        <v>1.0395194089862341</v>
      </c>
      <c r="AK57" s="18">
        <f t="shared" si="25"/>
        <v>1.2532103564829025</v>
      </c>
      <c r="AL57" s="18">
        <f t="shared" si="26"/>
        <v>1.0745481857259436</v>
      </c>
      <c r="AM57" s="18">
        <f t="shared" si="27"/>
        <v>1.2019909470671057</v>
      </c>
      <c r="AN57" s="18">
        <f t="shared" si="28"/>
        <v>1.2255785583958572</v>
      </c>
      <c r="AO57" s="19">
        <f t="shared" si="29"/>
        <v>1.129486053084789</v>
      </c>
    </row>
    <row r="58" spans="1:41" x14ac:dyDescent="0.45">
      <c r="A58" s="14" t="str">
        <f>店舗マスタ!A54</f>
        <v>竹原店</v>
      </c>
      <c r="B58" s="15"/>
      <c r="C58" s="16">
        <f>SUMIFS(INDEX(元データ!$E$2:$H$20000,0,MATCH($C$2,元データ!$E$1:$H$1,0)),元データ!$A$2:$A$20000,$A58,元データ!$D$2:$D$20000,$C$3,元データ!$B$2:$B$20000,$C$4,元データ!$C$2:$C$20000,C$5)</f>
        <v>0</v>
      </c>
      <c r="D58" s="16">
        <f>SUMIFS(INDEX(元データ!$E$2:$H$20000,0,MATCH($C$2,元データ!$E$1:$H$1,0)),元データ!$A$2:$A$20000,$A58,元データ!$D$2:$D$20000,$C$3,元データ!$B$2:$B$20000,$C$4,元データ!$C$2:$C$20000,D$5)</f>
        <v>0</v>
      </c>
      <c r="E58" s="16">
        <f>SUMIFS(INDEX(元データ!$E$2:$H$20000,0,MATCH($C$2,元データ!$E$1:$H$1,0)),元データ!$A$2:$A$20000,$A58,元データ!$D$2:$D$20000,$C$3,元データ!$B$2:$B$20000,$C$4,元データ!$C$2:$C$20000,E$5)</f>
        <v>0</v>
      </c>
      <c r="F58" s="16">
        <f>SUMIFS(INDEX(元データ!$E$2:$H$20000,0,MATCH($C$2,元データ!$E$1:$H$1,0)),元データ!$A$2:$A$20000,$A58,元データ!$D$2:$D$20000,$C$3,元データ!$B$2:$B$20000,$C$4,元データ!$C$2:$C$20000,F$5)</f>
        <v>0</v>
      </c>
      <c r="G58" s="16">
        <f>SUMIFS(INDEX(元データ!$E$2:$H$20000,0,MATCH($C$2,元データ!$E$1:$H$1,0)),元データ!$A$2:$A$20000,$A58,元データ!$D$2:$D$20000,$C$3,元データ!$B$2:$B$20000,$C$4,元データ!$C$2:$C$20000,G$5)</f>
        <v>0</v>
      </c>
      <c r="H58" s="16">
        <f>SUMIFS(INDEX(元データ!$E$2:$H$20000,0,MATCH($C$2,元データ!$E$1:$H$1,0)),元データ!$A$2:$A$20000,$A58,元データ!$D$2:$D$20000,$C$3,元データ!$B$2:$B$20000,$C$4,元データ!$C$2:$C$20000,H$5)</f>
        <v>0</v>
      </c>
      <c r="I58" s="16">
        <f>SUMIFS(INDEX(元データ!$E$2:$H$20000,0,MATCH($C$2,元データ!$E$1:$H$1,0)),元データ!$A$2:$A$20000,$A58,元データ!$D$2:$D$20000,$C$3,元データ!$B$2:$B$20000,$C$4,元データ!$C$2:$C$20000,I$5)</f>
        <v>0</v>
      </c>
      <c r="J58" s="16">
        <f>SUMIFS(INDEX(元データ!$E$2:$H$20000,0,MATCH($C$2,元データ!$E$1:$H$1,0)),元データ!$A$2:$A$20000,$A58,元データ!$D$2:$D$20000,$C$3,元データ!$B$2:$B$20000,$C$4,元データ!$C$2:$C$20000,J$5)</f>
        <v>0</v>
      </c>
      <c r="K58" s="16">
        <f>SUMIFS(INDEX(元データ!$E$2:$H$20000,0,MATCH($C$2,元データ!$E$1:$H$1,0)),元データ!$A$2:$A$20000,$A58,元データ!$D$2:$D$20000,$C$3,元データ!$B$2:$B$20000,$C$4,元データ!$C$2:$C$20000,K$5)</f>
        <v>0</v>
      </c>
      <c r="L58" s="16">
        <f>SUMIFS(INDEX(元データ!$E$2:$H$20000,0,MATCH($C$2,元データ!$E$1:$H$1,0)),元データ!$A$2:$A$20000,$A58,元データ!$D$2:$D$20000,$C$3,元データ!$B$2:$B$20000,$C$4,元データ!$C$2:$C$20000,L$5)</f>
        <v>0</v>
      </c>
      <c r="M58" s="16">
        <f>SUMIFS(INDEX(元データ!$E$2:$H$20000,0,MATCH($C$2,元データ!$E$1:$H$1,0)),元データ!$A$2:$A$20000,$A58,元データ!$D$2:$D$20000,$C$3,元データ!$B$2:$B$20000,$C$4,元データ!$C$2:$C$20000,M$5)</f>
        <v>2115087</v>
      </c>
      <c r="N58" s="16">
        <f>SUMIFS(INDEX(元データ!$E$2:$H$20000,0,MATCH($C$2,元データ!$E$1:$H$1,0)),元データ!$A$2:$A$20000,$A58,元データ!$D$2:$D$20000,$C$3,元データ!$B$2:$B$20000,$C$4,元データ!$C$2:$C$20000,N$5)</f>
        <v>919284</v>
      </c>
      <c r="O58" s="17">
        <f t="shared" si="15"/>
        <v>3034371</v>
      </c>
      <c r="P58" s="16">
        <f>SUMIFS(INDEX(元データ!$E$2:$H$20000,0,MATCH($C$2,元データ!$E$1:$H$1,0)),元データ!$A$2:$A$20000,$A58,元データ!$D$2:$D$20000,$C$3,元データ!$B$2:$B$20000,$P$4,元データ!$C$2:$C$20000,P$5)</f>
        <v>0</v>
      </c>
      <c r="Q58" s="16">
        <f>SUMIFS(INDEX(元データ!$E$2:$H$20000,0,MATCH($C$2,元データ!$E$1:$H$1,0)),元データ!$A$2:$A$20000,$A58,元データ!$D$2:$D$20000,$C$3,元データ!$B$2:$B$20000,$P$4,元データ!$C$2:$C$20000,Q$5)</f>
        <v>0</v>
      </c>
      <c r="R58" s="16">
        <f>SUMIFS(INDEX(元データ!$E$2:$H$20000,0,MATCH($C$2,元データ!$E$1:$H$1,0)),元データ!$A$2:$A$20000,$A58,元データ!$D$2:$D$20000,$C$3,元データ!$B$2:$B$20000,$P$4,元データ!$C$2:$C$20000,R$5)</f>
        <v>0</v>
      </c>
      <c r="S58" s="16">
        <f>SUMIFS(INDEX(元データ!$E$2:$H$20000,0,MATCH($C$2,元データ!$E$1:$H$1,0)),元データ!$A$2:$A$20000,$A58,元データ!$D$2:$D$20000,$C$3,元データ!$B$2:$B$20000,$P$4,元データ!$C$2:$C$20000,S$5)</f>
        <v>0</v>
      </c>
      <c r="T58" s="16">
        <f>SUMIFS(INDEX(元データ!$E$2:$H$20000,0,MATCH($C$2,元データ!$E$1:$H$1,0)),元データ!$A$2:$A$20000,$A58,元データ!$D$2:$D$20000,$C$3,元データ!$B$2:$B$20000,$P$4,元データ!$C$2:$C$20000,T$5)</f>
        <v>0</v>
      </c>
      <c r="U58" s="16">
        <f>SUMIFS(INDEX(元データ!$E$2:$H$20000,0,MATCH($C$2,元データ!$E$1:$H$1,0)),元データ!$A$2:$A$20000,$A58,元データ!$D$2:$D$20000,$C$3,元データ!$B$2:$B$20000,$P$4,元データ!$C$2:$C$20000,U$5)</f>
        <v>0</v>
      </c>
      <c r="V58" s="16">
        <f>SUMIFS(INDEX(元データ!$E$2:$H$20000,0,MATCH($C$2,元データ!$E$1:$H$1,0)),元データ!$A$2:$A$20000,$A58,元データ!$D$2:$D$20000,$C$3,元データ!$B$2:$B$20000,$P$4,元データ!$C$2:$C$20000,V$5)</f>
        <v>0</v>
      </c>
      <c r="W58" s="16">
        <f>SUMIFS(INDEX(元データ!$E$2:$H$20000,0,MATCH($C$2,元データ!$E$1:$H$1,0)),元データ!$A$2:$A$20000,$A58,元データ!$D$2:$D$20000,$C$3,元データ!$B$2:$B$20000,$P$4,元データ!$C$2:$C$20000,W$5)</f>
        <v>0</v>
      </c>
      <c r="X58" s="16">
        <f>SUMIFS(INDEX(元データ!$E$2:$H$20000,0,MATCH($C$2,元データ!$E$1:$H$1,0)),元データ!$A$2:$A$20000,$A58,元データ!$D$2:$D$20000,$C$3,元データ!$B$2:$B$20000,$P$4,元データ!$C$2:$C$20000,X$5)</f>
        <v>0</v>
      </c>
      <c r="Y58" s="16">
        <f>SUMIFS(INDEX(元データ!$E$2:$H$20000,0,MATCH($C$2,元データ!$E$1:$H$1,0)),元データ!$A$2:$A$20000,$A58,元データ!$D$2:$D$20000,$C$3,元データ!$B$2:$B$20000,$P$4,元データ!$C$2:$C$20000,Y$5)</f>
        <v>0</v>
      </c>
      <c r="Z58" s="16">
        <f>SUMIFS(INDEX(元データ!$E$2:$H$20000,0,MATCH($C$2,元データ!$E$1:$H$1,0)),元データ!$A$2:$A$20000,$A58,元データ!$D$2:$D$20000,$C$3,元データ!$B$2:$B$20000,$P$4,元データ!$C$2:$C$20000,Z$5)</f>
        <v>1212636</v>
      </c>
      <c r="AA58" s="16">
        <f>SUMIFS(INDEX(元データ!$E$2:$H$20000,0,MATCH($C$2,元データ!$E$1:$H$1,0)),元データ!$A$2:$A$20000,$A58,元データ!$D$2:$D$20000,$C$3,元データ!$B$2:$B$20000,$P$4,元データ!$C$2:$C$20000,AA$5)</f>
        <v>935970</v>
      </c>
      <c r="AB58" s="17">
        <f t="shared" si="16"/>
        <v>2148606</v>
      </c>
      <c r="AC58" s="18" t="str">
        <f t="shared" si="17"/>
        <v/>
      </c>
      <c r="AD58" s="18" t="str">
        <f t="shared" si="18"/>
        <v/>
      </c>
      <c r="AE58" s="18" t="str">
        <f t="shared" si="19"/>
        <v/>
      </c>
      <c r="AF58" s="18" t="str">
        <f t="shared" si="20"/>
        <v/>
      </c>
      <c r="AG58" s="18" t="str">
        <f t="shared" si="21"/>
        <v/>
      </c>
      <c r="AH58" s="18" t="str">
        <f t="shared" si="22"/>
        <v/>
      </c>
      <c r="AI58" s="18" t="str">
        <f t="shared" si="23"/>
        <v/>
      </c>
      <c r="AJ58" s="18" t="str">
        <f t="shared" si="24"/>
        <v/>
      </c>
      <c r="AK58" s="18" t="str">
        <f t="shared" si="25"/>
        <v/>
      </c>
      <c r="AL58" s="18" t="str">
        <f t="shared" si="26"/>
        <v/>
      </c>
      <c r="AM58" s="18">
        <f t="shared" si="27"/>
        <v>1.7442060107072526</v>
      </c>
      <c r="AN58" s="18">
        <f t="shared" si="28"/>
        <v>0.98217250552902335</v>
      </c>
      <c r="AO58" s="19">
        <f t="shared" si="29"/>
        <v>1.4122510129823709</v>
      </c>
    </row>
  </sheetData>
  <mergeCells count="3">
    <mergeCell ref="C4:O4"/>
    <mergeCell ref="P4:AB4"/>
    <mergeCell ref="AC4:AO4"/>
  </mergeCells>
  <phoneticPr fontId="2"/>
  <dataValidations count="1">
    <dataValidation type="list" allowBlank="1" showInputMessage="1" showErrorMessage="1" sqref="C2" xr:uid="{569B2D46-DCFE-4EA5-B3BD-84F2C5A48A05}">
      <formula1>"売上金額,商品点数,客数,利用数"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1BCE-CD3F-4D6D-B3E7-AE1856A08959}">
  <dimension ref="A1:Q16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34" sqref="C134"/>
    </sheetView>
  </sheetViews>
  <sheetFormatPr defaultRowHeight="18" x14ac:dyDescent="0.45"/>
  <cols>
    <col min="1" max="1" width="16.69921875" customWidth="1"/>
    <col min="2" max="2" width="15.796875" customWidth="1"/>
    <col min="3" max="17" width="11.69921875" customWidth="1"/>
  </cols>
  <sheetData>
    <row r="1" spans="1:17" ht="22.2" x14ac:dyDescent="0.45">
      <c r="A1" s="4" t="s">
        <v>24</v>
      </c>
    </row>
    <row r="2" spans="1:17" x14ac:dyDescent="0.45">
      <c r="A2" s="3" t="s">
        <v>18</v>
      </c>
      <c r="C2" s="5" t="s">
        <v>5</v>
      </c>
    </row>
    <row r="3" spans="1:17" x14ac:dyDescent="0.45">
      <c r="A3" s="3" t="s">
        <v>1</v>
      </c>
      <c r="C3" s="2" t="s">
        <v>20</v>
      </c>
      <c r="D3" s="2" t="s">
        <v>21</v>
      </c>
    </row>
    <row r="5" spans="1:17" x14ac:dyDescent="0.45">
      <c r="A5" s="21" t="s">
        <v>0</v>
      </c>
      <c r="B5" s="22" t="s">
        <v>3</v>
      </c>
      <c r="C5" s="23">
        <v>8</v>
      </c>
      <c r="D5" s="23">
        <v>9</v>
      </c>
      <c r="E5" s="23">
        <v>10</v>
      </c>
      <c r="F5" s="23">
        <v>11</v>
      </c>
      <c r="G5" s="23">
        <v>12</v>
      </c>
      <c r="H5" s="23">
        <v>1</v>
      </c>
      <c r="I5" s="23">
        <v>2</v>
      </c>
      <c r="J5" s="23">
        <v>3</v>
      </c>
      <c r="K5" s="23">
        <v>4</v>
      </c>
      <c r="L5" s="23">
        <v>5</v>
      </c>
      <c r="M5" s="23">
        <v>6</v>
      </c>
      <c r="N5" s="23">
        <v>7</v>
      </c>
      <c r="O5" s="22" t="s">
        <v>25</v>
      </c>
      <c r="P5" s="22" t="s">
        <v>26</v>
      </c>
      <c r="Q5" s="24" t="s">
        <v>22</v>
      </c>
    </row>
    <row r="6" spans="1:17" x14ac:dyDescent="0.45">
      <c r="A6" s="14" t="str">
        <f>店舗マスタ!A2</f>
        <v>裾野本店</v>
      </c>
      <c r="B6" s="15" t="s">
        <v>27</v>
      </c>
      <c r="C6" s="16">
        <f>SUMIFS(INDEX(元データ!$E$2:$H$20000,0,MATCH($C$2,元データ!$E$1:$H$1,0)),元データ!$A$2:$A$20000,$A6,元データ!$D$2:$D$20000,$B6,元データ!$B$2:$B$20000,$C$3,元データ!$C$2:$C$20000,C$5)</f>
        <v>909</v>
      </c>
      <c r="D6" s="16">
        <f>SUMIFS(INDEX(元データ!$E$2:$H$20000,0,MATCH($C$2,元データ!$E$1:$H$1,0)),元データ!$A$2:$A$20000,$A6,元データ!$D$2:$D$20000,$B6,元データ!$B$2:$B$20000,$C$3,元データ!$C$2:$C$20000,D$5)</f>
        <v>1076</v>
      </c>
      <c r="E6" s="16">
        <f>SUMIFS(INDEX(元データ!$E$2:$H$20000,0,MATCH($C$2,元データ!$E$1:$H$1,0)),元データ!$A$2:$A$20000,$A6,元データ!$D$2:$D$20000,$B6,元データ!$B$2:$B$20000,$C$3,元データ!$C$2:$C$20000,E$5)</f>
        <v>1328</v>
      </c>
      <c r="F6" s="16">
        <f>SUMIFS(INDEX(元データ!$E$2:$H$20000,0,MATCH($C$2,元データ!$E$1:$H$1,0)),元データ!$A$2:$A$20000,$A6,元データ!$D$2:$D$20000,$B6,元データ!$B$2:$B$20000,$C$3,元データ!$C$2:$C$20000,F$5)</f>
        <v>1295</v>
      </c>
      <c r="G6" s="16">
        <f>SUMIFS(INDEX(元データ!$E$2:$H$20000,0,MATCH($C$2,元データ!$E$1:$H$1,0)),元データ!$A$2:$A$20000,$A6,元データ!$D$2:$D$20000,$B6,元データ!$B$2:$B$20000,$C$3,元データ!$C$2:$C$20000,G$5)</f>
        <v>1277</v>
      </c>
      <c r="H6" s="16">
        <f>SUMIFS(INDEX(元データ!$E$2:$H$20000,0,MATCH($C$2,元データ!$E$1:$H$1,0)),元データ!$A$2:$A$20000,$A6,元データ!$D$2:$D$20000,$B6,元データ!$B$2:$B$20000,$C$3,元データ!$C$2:$C$20000,H$5)</f>
        <v>931</v>
      </c>
      <c r="I6" s="16">
        <f>SUMIFS(INDEX(元データ!$E$2:$H$20000,0,MATCH($C$2,元データ!$E$1:$H$1,0)),元データ!$A$2:$A$20000,$A6,元データ!$D$2:$D$20000,$B6,元データ!$B$2:$B$20000,$C$3,元データ!$C$2:$C$20000,I$5)</f>
        <v>908</v>
      </c>
      <c r="J6" s="16">
        <f>SUMIFS(INDEX(元データ!$E$2:$H$20000,0,MATCH($C$2,元データ!$E$1:$H$1,0)),元データ!$A$2:$A$20000,$A6,元データ!$D$2:$D$20000,$B6,元データ!$B$2:$B$20000,$C$3,元データ!$C$2:$C$20000,J$5)</f>
        <v>1145</v>
      </c>
      <c r="K6" s="16">
        <f>SUMIFS(INDEX(元データ!$E$2:$H$20000,0,MATCH($C$2,元データ!$E$1:$H$1,0)),元データ!$A$2:$A$20000,$A6,元データ!$D$2:$D$20000,$B6,元データ!$B$2:$B$20000,$C$3,元データ!$C$2:$C$20000,K$5)</f>
        <v>1104</v>
      </c>
      <c r="L6" s="16">
        <f>SUMIFS(INDEX(元データ!$E$2:$H$20000,0,MATCH($C$2,元データ!$E$1:$H$1,0)),元データ!$A$2:$A$20000,$A6,元データ!$D$2:$D$20000,$B6,元データ!$B$2:$B$20000,$C$3,元データ!$C$2:$C$20000,L$5)</f>
        <v>1000</v>
      </c>
      <c r="M6" s="16">
        <f>SUMIFS(INDEX(元データ!$E$2:$H$20000,0,MATCH($C$2,元データ!$E$1:$H$1,0)),元データ!$A$2:$A$20000,$A6,元データ!$D$2:$D$20000,$B6,元データ!$B$2:$B$20000,$C$3,元データ!$C$2:$C$20000,M$5)</f>
        <v>995</v>
      </c>
      <c r="N6" s="16">
        <f>SUMIFS(INDEX(元データ!$E$2:$H$20000,0,MATCH($C$2,元データ!$E$1:$H$1,0)),元データ!$A$2:$A$20000,$A6,元データ!$D$2:$D$20000,$B6,元データ!$B$2:$B$20000,$C$3,元データ!$C$2:$C$20000,N$5)</f>
        <v>920</v>
      </c>
      <c r="O6" s="17">
        <f t="shared" ref="O6:O37" si="0">SUM(C6:N6)</f>
        <v>12888</v>
      </c>
      <c r="P6" s="17">
        <f>SUMIFS(INDEX(元データ!$E$2:$H$20000,0,MATCH($C$2,元データ!$E$1:$H$1,0)),元データ!$A$2:$A$20000,$A6,元データ!$D$2:$D$20000,$B6,元データ!$B$2:$B$20000,$D$3)</f>
        <v>16029</v>
      </c>
      <c r="Q6" s="25">
        <f t="shared" ref="Q6:Q37" si="1">IFERROR(O6/P6,"")</f>
        <v>0.80404267265581131</v>
      </c>
    </row>
    <row r="7" spans="1:17" x14ac:dyDescent="0.45">
      <c r="A7" s="14"/>
      <c r="B7" s="15" t="s">
        <v>28</v>
      </c>
      <c r="C7" s="16">
        <f>SUMIFS(INDEX(元データ!$E$2:$H$20000,0,MATCH($C$2,元データ!$E$1:$H$1,0)),元データ!$A$2:$A$20000,$A6,元データ!$D$2:$D$20000,$B7,元データ!$B$2:$B$20000,$C$3,元データ!$C$2:$C$20000,C$5)</f>
        <v>484</v>
      </c>
      <c r="D7" s="16">
        <f>SUMIFS(INDEX(元データ!$E$2:$H$20000,0,MATCH($C$2,元データ!$E$1:$H$1,0)),元データ!$A$2:$A$20000,$A6,元データ!$D$2:$D$20000,$B7,元データ!$B$2:$B$20000,$C$3,元データ!$C$2:$C$20000,D$5)</f>
        <v>488</v>
      </c>
      <c r="E7" s="16">
        <f>SUMIFS(INDEX(元データ!$E$2:$H$20000,0,MATCH($C$2,元データ!$E$1:$H$1,0)),元データ!$A$2:$A$20000,$A6,元データ!$D$2:$D$20000,$B7,元データ!$B$2:$B$20000,$C$3,元データ!$C$2:$C$20000,E$5)</f>
        <v>685</v>
      </c>
      <c r="F7" s="16">
        <f>SUMIFS(INDEX(元データ!$E$2:$H$20000,0,MATCH($C$2,元データ!$E$1:$H$1,0)),元データ!$A$2:$A$20000,$A6,元データ!$D$2:$D$20000,$B7,元データ!$B$2:$B$20000,$C$3,元データ!$C$2:$C$20000,F$5)</f>
        <v>620</v>
      </c>
      <c r="G7" s="16">
        <f>SUMIFS(INDEX(元データ!$E$2:$H$20000,0,MATCH($C$2,元データ!$E$1:$H$1,0)),元データ!$A$2:$A$20000,$A6,元データ!$D$2:$D$20000,$B7,元データ!$B$2:$B$20000,$C$3,元データ!$C$2:$C$20000,G$5)</f>
        <v>632</v>
      </c>
      <c r="H7" s="16">
        <f>SUMIFS(INDEX(元データ!$E$2:$H$20000,0,MATCH($C$2,元データ!$E$1:$H$1,0)),元データ!$A$2:$A$20000,$A6,元データ!$D$2:$D$20000,$B7,元データ!$B$2:$B$20000,$C$3,元データ!$C$2:$C$20000,H$5)</f>
        <v>412</v>
      </c>
      <c r="I7" s="16">
        <f>SUMIFS(INDEX(元データ!$E$2:$H$20000,0,MATCH($C$2,元データ!$E$1:$H$1,0)),元データ!$A$2:$A$20000,$A6,元データ!$D$2:$D$20000,$B7,元データ!$B$2:$B$20000,$C$3,元データ!$C$2:$C$20000,I$5)</f>
        <v>374</v>
      </c>
      <c r="J7" s="16">
        <f>SUMIFS(INDEX(元データ!$E$2:$H$20000,0,MATCH($C$2,元データ!$E$1:$H$1,0)),元データ!$A$2:$A$20000,$A6,元データ!$D$2:$D$20000,$B7,元データ!$B$2:$B$20000,$C$3,元データ!$C$2:$C$20000,J$5)</f>
        <v>642</v>
      </c>
      <c r="K7" s="16">
        <f>SUMIFS(INDEX(元データ!$E$2:$H$20000,0,MATCH($C$2,元データ!$E$1:$H$1,0)),元データ!$A$2:$A$20000,$A6,元データ!$D$2:$D$20000,$B7,元データ!$B$2:$B$20000,$C$3,元データ!$C$2:$C$20000,K$5)</f>
        <v>837</v>
      </c>
      <c r="L7" s="16">
        <f>SUMIFS(INDEX(元データ!$E$2:$H$20000,0,MATCH($C$2,元データ!$E$1:$H$1,0)),元データ!$A$2:$A$20000,$A6,元データ!$D$2:$D$20000,$B7,元データ!$B$2:$B$20000,$C$3,元データ!$C$2:$C$20000,L$5)</f>
        <v>705</v>
      </c>
      <c r="M7" s="16">
        <f>SUMIFS(INDEX(元データ!$E$2:$H$20000,0,MATCH($C$2,元データ!$E$1:$H$1,0)),元データ!$A$2:$A$20000,$A6,元データ!$D$2:$D$20000,$B7,元データ!$B$2:$B$20000,$C$3,元データ!$C$2:$C$20000,M$5)</f>
        <v>576</v>
      </c>
      <c r="N7" s="16">
        <f>SUMIFS(INDEX(元データ!$E$2:$H$20000,0,MATCH($C$2,元データ!$E$1:$H$1,0)),元データ!$A$2:$A$20000,$A6,元データ!$D$2:$D$20000,$B7,元データ!$B$2:$B$20000,$C$3,元データ!$C$2:$C$20000,N$5)</f>
        <v>530</v>
      </c>
      <c r="O7" s="17">
        <f t="shared" si="0"/>
        <v>6985</v>
      </c>
      <c r="P7" s="17">
        <f>SUMIFS(INDEX(元データ!$E$2:$H$20000,0,MATCH($C$2,元データ!$E$1:$H$1,0)),元データ!$A$2:$A$20000,$A6,元データ!$D$2:$D$20000,$B7,元データ!$B$2:$B$20000,$D$3)</f>
        <v>7783</v>
      </c>
      <c r="Q7" s="25">
        <f t="shared" si="1"/>
        <v>0.89746884234870872</v>
      </c>
    </row>
    <row r="8" spans="1:17" x14ac:dyDescent="0.45">
      <c r="A8" s="14"/>
      <c r="B8" s="15" t="s">
        <v>29</v>
      </c>
      <c r="C8" s="16">
        <f>SUMIFS(INDEX(元データ!$E$2:$H$20000,0,MATCH($C$2,元データ!$E$1:$H$1,0)),元データ!$A$2:$A$20000,$A6,元データ!$D$2:$D$20000,$B8,元データ!$B$2:$B$20000,$C$3,元データ!$C$2:$C$20000,C$5)</f>
        <v>276</v>
      </c>
      <c r="D8" s="16">
        <f>SUMIFS(INDEX(元データ!$E$2:$H$20000,0,MATCH($C$2,元データ!$E$1:$H$1,0)),元データ!$A$2:$A$20000,$A6,元データ!$D$2:$D$20000,$B8,元データ!$B$2:$B$20000,$C$3,元データ!$C$2:$C$20000,D$5)</f>
        <v>247</v>
      </c>
      <c r="E8" s="16">
        <f>SUMIFS(INDEX(元データ!$E$2:$H$20000,0,MATCH($C$2,元データ!$E$1:$H$1,0)),元データ!$A$2:$A$20000,$A6,元データ!$D$2:$D$20000,$B8,元データ!$B$2:$B$20000,$C$3,元データ!$C$2:$C$20000,E$5)</f>
        <v>528</v>
      </c>
      <c r="F8" s="16">
        <f>SUMIFS(INDEX(元データ!$E$2:$H$20000,0,MATCH($C$2,元データ!$E$1:$H$1,0)),元データ!$A$2:$A$20000,$A6,元データ!$D$2:$D$20000,$B8,元データ!$B$2:$B$20000,$C$3,元データ!$C$2:$C$20000,F$5)</f>
        <v>434</v>
      </c>
      <c r="G8" s="16">
        <f>SUMIFS(INDEX(元データ!$E$2:$H$20000,0,MATCH($C$2,元データ!$E$1:$H$1,0)),元データ!$A$2:$A$20000,$A6,元データ!$D$2:$D$20000,$B8,元データ!$B$2:$B$20000,$C$3,元データ!$C$2:$C$20000,G$5)</f>
        <v>390</v>
      </c>
      <c r="H8" s="16">
        <f>SUMIFS(INDEX(元データ!$E$2:$H$20000,0,MATCH($C$2,元データ!$E$1:$H$1,0)),元データ!$A$2:$A$20000,$A6,元データ!$D$2:$D$20000,$B8,元データ!$B$2:$B$20000,$C$3,元データ!$C$2:$C$20000,H$5)</f>
        <v>315</v>
      </c>
      <c r="I8" s="16">
        <f>SUMIFS(INDEX(元データ!$E$2:$H$20000,0,MATCH($C$2,元データ!$E$1:$H$1,0)),元データ!$A$2:$A$20000,$A6,元データ!$D$2:$D$20000,$B8,元データ!$B$2:$B$20000,$C$3,元データ!$C$2:$C$20000,I$5)</f>
        <v>249</v>
      </c>
      <c r="J8" s="16">
        <f>SUMIFS(INDEX(元データ!$E$2:$H$20000,0,MATCH($C$2,元データ!$E$1:$H$1,0)),元データ!$A$2:$A$20000,$A6,元データ!$D$2:$D$20000,$B8,元データ!$B$2:$B$20000,$C$3,元データ!$C$2:$C$20000,J$5)</f>
        <v>481</v>
      </c>
      <c r="K8" s="16">
        <f>SUMIFS(INDEX(元データ!$E$2:$H$20000,0,MATCH($C$2,元データ!$E$1:$H$1,0)),元データ!$A$2:$A$20000,$A6,元データ!$D$2:$D$20000,$B8,元データ!$B$2:$B$20000,$C$3,元データ!$C$2:$C$20000,K$5)</f>
        <v>737</v>
      </c>
      <c r="L8" s="16">
        <f>SUMIFS(INDEX(元データ!$E$2:$H$20000,0,MATCH($C$2,元データ!$E$1:$H$1,0)),元データ!$A$2:$A$20000,$A6,元データ!$D$2:$D$20000,$B8,元データ!$B$2:$B$20000,$C$3,元データ!$C$2:$C$20000,L$5)</f>
        <v>496</v>
      </c>
      <c r="M8" s="16">
        <f>SUMIFS(INDEX(元データ!$E$2:$H$20000,0,MATCH($C$2,元データ!$E$1:$H$1,0)),元データ!$A$2:$A$20000,$A6,元データ!$D$2:$D$20000,$B8,元データ!$B$2:$B$20000,$C$3,元データ!$C$2:$C$20000,M$5)</f>
        <v>506</v>
      </c>
      <c r="N8" s="16">
        <f>SUMIFS(INDEX(元データ!$E$2:$H$20000,0,MATCH($C$2,元データ!$E$1:$H$1,0)),元データ!$A$2:$A$20000,$A6,元データ!$D$2:$D$20000,$B8,元データ!$B$2:$B$20000,$C$3,元データ!$C$2:$C$20000,N$5)</f>
        <v>338</v>
      </c>
      <c r="O8" s="17">
        <f t="shared" si="0"/>
        <v>4997</v>
      </c>
      <c r="P8" s="17">
        <f>SUMIFS(INDEX(元データ!$E$2:$H$20000,0,MATCH($C$2,元データ!$E$1:$H$1,0)),元データ!$A$2:$A$20000,$A6,元データ!$D$2:$D$20000,$B8,元データ!$B$2:$B$20000,$D$3)</f>
        <v>5615</v>
      </c>
      <c r="Q8" s="25">
        <f t="shared" si="1"/>
        <v>0.88993766696349064</v>
      </c>
    </row>
    <row r="9" spans="1:17" x14ac:dyDescent="0.45">
      <c r="A9" s="14" t="str">
        <f>店舗マスタ!A3</f>
        <v>三 島 店</v>
      </c>
      <c r="B9" s="15" t="s">
        <v>27</v>
      </c>
      <c r="C9" s="16">
        <f>SUMIFS(INDEX(元データ!$E$2:$H$20000,0,MATCH($C$2,元データ!$E$1:$H$1,0)),元データ!$A$2:$A$20000,$A9,元データ!$D$2:$D$20000,$B9,元データ!$B$2:$B$20000,$C$3,元データ!$C$2:$C$20000,C$5)</f>
        <v>1227</v>
      </c>
      <c r="D9" s="16">
        <f>SUMIFS(INDEX(元データ!$E$2:$H$20000,0,MATCH($C$2,元データ!$E$1:$H$1,0)),元データ!$A$2:$A$20000,$A9,元データ!$D$2:$D$20000,$B9,元データ!$B$2:$B$20000,$C$3,元データ!$C$2:$C$20000,D$5)</f>
        <v>1396</v>
      </c>
      <c r="E9" s="16">
        <f>SUMIFS(INDEX(元データ!$E$2:$H$20000,0,MATCH($C$2,元データ!$E$1:$H$1,0)),元データ!$A$2:$A$20000,$A9,元データ!$D$2:$D$20000,$B9,元データ!$B$2:$B$20000,$C$3,元データ!$C$2:$C$20000,E$5)</f>
        <v>1641</v>
      </c>
      <c r="F9" s="16">
        <f>SUMIFS(INDEX(元データ!$E$2:$H$20000,0,MATCH($C$2,元データ!$E$1:$H$1,0)),元データ!$A$2:$A$20000,$A9,元データ!$D$2:$D$20000,$B9,元データ!$B$2:$B$20000,$C$3,元データ!$C$2:$C$20000,F$5)</f>
        <v>1391</v>
      </c>
      <c r="G9" s="16">
        <f>SUMIFS(INDEX(元データ!$E$2:$H$20000,0,MATCH($C$2,元データ!$E$1:$H$1,0)),元データ!$A$2:$A$20000,$A9,元データ!$D$2:$D$20000,$B9,元データ!$B$2:$B$20000,$C$3,元データ!$C$2:$C$20000,G$5)</f>
        <v>1467</v>
      </c>
      <c r="H9" s="16">
        <f>SUMIFS(INDEX(元データ!$E$2:$H$20000,0,MATCH($C$2,元データ!$E$1:$H$1,0)),元データ!$A$2:$A$20000,$A9,元データ!$D$2:$D$20000,$B9,元データ!$B$2:$B$20000,$C$3,元データ!$C$2:$C$20000,H$5)</f>
        <v>1107</v>
      </c>
      <c r="I9" s="16">
        <f>SUMIFS(INDEX(元データ!$E$2:$H$20000,0,MATCH($C$2,元データ!$E$1:$H$1,0)),元データ!$A$2:$A$20000,$A9,元データ!$D$2:$D$20000,$B9,元データ!$B$2:$B$20000,$C$3,元データ!$C$2:$C$20000,I$5)</f>
        <v>1136</v>
      </c>
      <c r="J9" s="16">
        <f>SUMIFS(INDEX(元データ!$E$2:$H$20000,0,MATCH($C$2,元データ!$E$1:$H$1,0)),元データ!$A$2:$A$20000,$A9,元データ!$D$2:$D$20000,$B9,元データ!$B$2:$B$20000,$C$3,元データ!$C$2:$C$20000,J$5)</f>
        <v>1407</v>
      </c>
      <c r="K9" s="16">
        <f>SUMIFS(INDEX(元データ!$E$2:$H$20000,0,MATCH($C$2,元データ!$E$1:$H$1,0)),元データ!$A$2:$A$20000,$A9,元データ!$D$2:$D$20000,$B9,元データ!$B$2:$B$20000,$C$3,元データ!$C$2:$C$20000,K$5)</f>
        <v>1396</v>
      </c>
      <c r="L9" s="16">
        <f>SUMIFS(INDEX(元データ!$E$2:$H$20000,0,MATCH($C$2,元データ!$E$1:$H$1,0)),元データ!$A$2:$A$20000,$A9,元データ!$D$2:$D$20000,$B9,元データ!$B$2:$B$20000,$C$3,元データ!$C$2:$C$20000,L$5)</f>
        <v>1164</v>
      </c>
      <c r="M9" s="16">
        <f>SUMIFS(INDEX(元データ!$E$2:$H$20000,0,MATCH($C$2,元データ!$E$1:$H$1,0)),元データ!$A$2:$A$20000,$A9,元データ!$D$2:$D$20000,$B9,元データ!$B$2:$B$20000,$C$3,元データ!$C$2:$C$20000,M$5)</f>
        <v>1453</v>
      </c>
      <c r="N9" s="16">
        <f>SUMIFS(INDEX(元データ!$E$2:$H$20000,0,MATCH($C$2,元データ!$E$1:$H$1,0)),元データ!$A$2:$A$20000,$A9,元データ!$D$2:$D$20000,$B9,元データ!$B$2:$B$20000,$C$3,元データ!$C$2:$C$20000,N$5)</f>
        <v>1244</v>
      </c>
      <c r="O9" s="17">
        <f t="shared" si="0"/>
        <v>16029</v>
      </c>
      <c r="P9" s="17">
        <f>SUMIFS(INDEX(元データ!$E$2:$H$20000,0,MATCH($C$2,元データ!$E$1:$H$1,0)),元データ!$A$2:$A$20000,$A9,元データ!$D$2:$D$20000,$B9,元データ!$B$2:$B$20000,$D$3)</f>
        <v>18801</v>
      </c>
      <c r="Q9" s="25">
        <f t="shared" si="1"/>
        <v>0.8525610339875539</v>
      </c>
    </row>
    <row r="10" spans="1:17" x14ac:dyDescent="0.45">
      <c r="A10" s="14"/>
      <c r="B10" s="15" t="s">
        <v>28</v>
      </c>
      <c r="C10" s="16">
        <f>SUMIFS(INDEX(元データ!$E$2:$H$20000,0,MATCH($C$2,元データ!$E$1:$H$1,0)),元データ!$A$2:$A$20000,$A9,元データ!$D$2:$D$20000,$B10,元データ!$B$2:$B$20000,$C$3,元データ!$C$2:$C$20000,C$5)</f>
        <v>544</v>
      </c>
      <c r="D10" s="16">
        <f>SUMIFS(INDEX(元データ!$E$2:$H$20000,0,MATCH($C$2,元データ!$E$1:$H$1,0)),元データ!$A$2:$A$20000,$A9,元データ!$D$2:$D$20000,$B10,元データ!$B$2:$B$20000,$C$3,元データ!$C$2:$C$20000,D$5)</f>
        <v>604</v>
      </c>
      <c r="E10" s="16">
        <f>SUMIFS(INDEX(元データ!$E$2:$H$20000,0,MATCH($C$2,元データ!$E$1:$H$1,0)),元データ!$A$2:$A$20000,$A9,元データ!$D$2:$D$20000,$B10,元データ!$B$2:$B$20000,$C$3,元データ!$C$2:$C$20000,E$5)</f>
        <v>712</v>
      </c>
      <c r="F10" s="16">
        <f>SUMIFS(INDEX(元データ!$E$2:$H$20000,0,MATCH($C$2,元データ!$E$1:$H$1,0)),元データ!$A$2:$A$20000,$A9,元データ!$D$2:$D$20000,$B10,元データ!$B$2:$B$20000,$C$3,元データ!$C$2:$C$20000,F$5)</f>
        <v>703</v>
      </c>
      <c r="G10" s="16">
        <f>SUMIFS(INDEX(元データ!$E$2:$H$20000,0,MATCH($C$2,元データ!$E$1:$H$1,0)),元データ!$A$2:$A$20000,$A9,元データ!$D$2:$D$20000,$B10,元データ!$B$2:$B$20000,$C$3,元データ!$C$2:$C$20000,G$5)</f>
        <v>752</v>
      </c>
      <c r="H10" s="16">
        <f>SUMIFS(INDEX(元データ!$E$2:$H$20000,0,MATCH($C$2,元データ!$E$1:$H$1,0)),元データ!$A$2:$A$20000,$A9,元データ!$D$2:$D$20000,$B10,元データ!$B$2:$B$20000,$C$3,元データ!$C$2:$C$20000,H$5)</f>
        <v>458</v>
      </c>
      <c r="I10" s="16">
        <f>SUMIFS(INDEX(元データ!$E$2:$H$20000,0,MATCH($C$2,元データ!$E$1:$H$1,0)),元データ!$A$2:$A$20000,$A9,元データ!$D$2:$D$20000,$B10,元データ!$B$2:$B$20000,$C$3,元データ!$C$2:$C$20000,I$5)</f>
        <v>372</v>
      </c>
      <c r="J10" s="16">
        <f>SUMIFS(INDEX(元データ!$E$2:$H$20000,0,MATCH($C$2,元データ!$E$1:$H$1,0)),元データ!$A$2:$A$20000,$A9,元データ!$D$2:$D$20000,$B10,元データ!$B$2:$B$20000,$C$3,元データ!$C$2:$C$20000,J$5)</f>
        <v>681</v>
      </c>
      <c r="K10" s="16">
        <f>SUMIFS(INDEX(元データ!$E$2:$H$20000,0,MATCH($C$2,元データ!$E$1:$H$1,0)),元データ!$A$2:$A$20000,$A9,元データ!$D$2:$D$20000,$B10,元データ!$B$2:$B$20000,$C$3,元データ!$C$2:$C$20000,K$5)</f>
        <v>897</v>
      </c>
      <c r="L10" s="16">
        <f>SUMIFS(INDEX(元データ!$E$2:$H$20000,0,MATCH($C$2,元データ!$E$1:$H$1,0)),元データ!$A$2:$A$20000,$A9,元データ!$D$2:$D$20000,$B10,元データ!$B$2:$B$20000,$C$3,元データ!$C$2:$C$20000,L$5)</f>
        <v>667</v>
      </c>
      <c r="M10" s="16">
        <f>SUMIFS(INDEX(元データ!$E$2:$H$20000,0,MATCH($C$2,元データ!$E$1:$H$1,0)),元データ!$A$2:$A$20000,$A9,元データ!$D$2:$D$20000,$B10,元データ!$B$2:$B$20000,$C$3,元データ!$C$2:$C$20000,M$5)</f>
        <v>669</v>
      </c>
      <c r="N10" s="16">
        <f>SUMIFS(INDEX(元データ!$E$2:$H$20000,0,MATCH($C$2,元データ!$E$1:$H$1,0)),元データ!$A$2:$A$20000,$A9,元データ!$D$2:$D$20000,$B10,元データ!$B$2:$B$20000,$C$3,元データ!$C$2:$C$20000,N$5)</f>
        <v>613</v>
      </c>
      <c r="O10" s="17">
        <f t="shared" si="0"/>
        <v>7672</v>
      </c>
      <c r="P10" s="17">
        <f>SUMIFS(INDEX(元データ!$E$2:$H$20000,0,MATCH($C$2,元データ!$E$1:$H$1,0)),元データ!$A$2:$A$20000,$A9,元データ!$D$2:$D$20000,$B10,元データ!$B$2:$B$20000,$D$3)</f>
        <v>8537</v>
      </c>
      <c r="Q10" s="25">
        <f t="shared" si="1"/>
        <v>0.89867635000585688</v>
      </c>
    </row>
    <row r="11" spans="1:17" x14ac:dyDescent="0.45">
      <c r="A11" s="14"/>
      <c r="B11" s="15" t="s">
        <v>29</v>
      </c>
      <c r="C11" s="16">
        <f>SUMIFS(INDEX(元データ!$E$2:$H$20000,0,MATCH($C$2,元データ!$E$1:$H$1,0)),元データ!$A$2:$A$20000,$A9,元データ!$D$2:$D$20000,$B11,元データ!$B$2:$B$20000,$C$3,元データ!$C$2:$C$20000,C$5)</f>
        <v>243</v>
      </c>
      <c r="D11" s="16">
        <f>SUMIFS(INDEX(元データ!$E$2:$H$20000,0,MATCH($C$2,元データ!$E$1:$H$1,0)),元データ!$A$2:$A$20000,$A9,元データ!$D$2:$D$20000,$B11,元データ!$B$2:$B$20000,$C$3,元データ!$C$2:$C$20000,D$5)</f>
        <v>303</v>
      </c>
      <c r="E11" s="16">
        <f>SUMIFS(INDEX(元データ!$E$2:$H$20000,0,MATCH($C$2,元データ!$E$1:$H$1,0)),元データ!$A$2:$A$20000,$A9,元データ!$D$2:$D$20000,$B11,元データ!$B$2:$B$20000,$C$3,元データ!$C$2:$C$20000,E$5)</f>
        <v>433</v>
      </c>
      <c r="F11" s="16">
        <f>SUMIFS(INDEX(元データ!$E$2:$H$20000,0,MATCH($C$2,元データ!$E$1:$H$1,0)),元データ!$A$2:$A$20000,$A9,元データ!$D$2:$D$20000,$B11,元データ!$B$2:$B$20000,$C$3,元データ!$C$2:$C$20000,F$5)</f>
        <v>443</v>
      </c>
      <c r="G11" s="16">
        <f>SUMIFS(INDEX(元データ!$E$2:$H$20000,0,MATCH($C$2,元データ!$E$1:$H$1,0)),元データ!$A$2:$A$20000,$A9,元データ!$D$2:$D$20000,$B11,元データ!$B$2:$B$20000,$C$3,元データ!$C$2:$C$20000,G$5)</f>
        <v>550</v>
      </c>
      <c r="H11" s="16">
        <f>SUMIFS(INDEX(元データ!$E$2:$H$20000,0,MATCH($C$2,元データ!$E$1:$H$1,0)),元データ!$A$2:$A$20000,$A9,元データ!$D$2:$D$20000,$B11,元データ!$B$2:$B$20000,$C$3,元データ!$C$2:$C$20000,H$5)</f>
        <v>298</v>
      </c>
      <c r="I11" s="16">
        <f>SUMIFS(INDEX(元データ!$E$2:$H$20000,0,MATCH($C$2,元データ!$E$1:$H$1,0)),元データ!$A$2:$A$20000,$A9,元データ!$D$2:$D$20000,$B11,元データ!$B$2:$B$20000,$C$3,元データ!$C$2:$C$20000,I$5)</f>
        <v>237</v>
      </c>
      <c r="J11" s="16">
        <f>SUMIFS(INDEX(元データ!$E$2:$H$20000,0,MATCH($C$2,元データ!$E$1:$H$1,0)),元データ!$A$2:$A$20000,$A9,元データ!$D$2:$D$20000,$B11,元データ!$B$2:$B$20000,$C$3,元データ!$C$2:$C$20000,J$5)</f>
        <v>528</v>
      </c>
      <c r="K11" s="16">
        <f>SUMIFS(INDEX(元データ!$E$2:$H$20000,0,MATCH($C$2,元データ!$E$1:$H$1,0)),元データ!$A$2:$A$20000,$A9,元データ!$D$2:$D$20000,$B11,元データ!$B$2:$B$20000,$C$3,元データ!$C$2:$C$20000,K$5)</f>
        <v>821</v>
      </c>
      <c r="L11" s="16">
        <f>SUMIFS(INDEX(元データ!$E$2:$H$20000,0,MATCH($C$2,元データ!$E$1:$H$1,0)),元データ!$A$2:$A$20000,$A9,元データ!$D$2:$D$20000,$B11,元データ!$B$2:$B$20000,$C$3,元データ!$C$2:$C$20000,L$5)</f>
        <v>530</v>
      </c>
      <c r="M11" s="16">
        <f>SUMIFS(INDEX(元データ!$E$2:$H$20000,0,MATCH($C$2,元データ!$E$1:$H$1,0)),元データ!$A$2:$A$20000,$A9,元データ!$D$2:$D$20000,$B11,元データ!$B$2:$B$20000,$C$3,元データ!$C$2:$C$20000,M$5)</f>
        <v>512</v>
      </c>
      <c r="N11" s="16">
        <f>SUMIFS(INDEX(元データ!$E$2:$H$20000,0,MATCH($C$2,元データ!$E$1:$H$1,0)),元データ!$A$2:$A$20000,$A9,元データ!$D$2:$D$20000,$B11,元データ!$B$2:$B$20000,$C$3,元データ!$C$2:$C$20000,N$5)</f>
        <v>332</v>
      </c>
      <c r="O11" s="17">
        <f t="shared" si="0"/>
        <v>5230</v>
      </c>
      <c r="P11" s="17">
        <f>SUMIFS(INDEX(元データ!$E$2:$H$20000,0,MATCH($C$2,元データ!$E$1:$H$1,0)),元データ!$A$2:$A$20000,$A9,元データ!$D$2:$D$20000,$B11,元データ!$B$2:$B$20000,$D$3)</f>
        <v>5867</v>
      </c>
      <c r="Q11" s="25">
        <f t="shared" si="1"/>
        <v>0.89142662348730184</v>
      </c>
    </row>
    <row r="12" spans="1:17" x14ac:dyDescent="0.45">
      <c r="A12" s="14" t="str">
        <f>店舗マスタ!A4</f>
        <v>ｱｰｹｰﾄﾞ店</v>
      </c>
      <c r="B12" s="15" t="s">
        <v>27</v>
      </c>
      <c r="C12" s="16">
        <f>SUMIFS(INDEX(元データ!$E$2:$H$20000,0,MATCH($C$2,元データ!$E$1:$H$1,0)),元データ!$A$2:$A$20000,$A12,元データ!$D$2:$D$20000,$B12,元データ!$B$2:$B$20000,$C$3,元データ!$C$2:$C$20000,C$5)</f>
        <v>779</v>
      </c>
      <c r="D12" s="16">
        <f>SUMIFS(INDEX(元データ!$E$2:$H$20000,0,MATCH($C$2,元データ!$E$1:$H$1,0)),元データ!$A$2:$A$20000,$A12,元データ!$D$2:$D$20000,$B12,元データ!$B$2:$B$20000,$C$3,元データ!$C$2:$C$20000,D$5)</f>
        <v>959</v>
      </c>
      <c r="E12" s="16">
        <f>SUMIFS(INDEX(元データ!$E$2:$H$20000,0,MATCH($C$2,元データ!$E$1:$H$1,0)),元データ!$A$2:$A$20000,$A12,元データ!$D$2:$D$20000,$B12,元データ!$B$2:$B$20000,$C$3,元データ!$C$2:$C$20000,E$5)</f>
        <v>1175</v>
      </c>
      <c r="F12" s="16">
        <f>SUMIFS(INDEX(元データ!$E$2:$H$20000,0,MATCH($C$2,元データ!$E$1:$H$1,0)),元データ!$A$2:$A$20000,$A12,元データ!$D$2:$D$20000,$B12,元データ!$B$2:$B$20000,$C$3,元データ!$C$2:$C$20000,F$5)</f>
        <v>1123</v>
      </c>
      <c r="G12" s="16">
        <f>SUMIFS(INDEX(元データ!$E$2:$H$20000,0,MATCH($C$2,元データ!$E$1:$H$1,0)),元データ!$A$2:$A$20000,$A12,元データ!$D$2:$D$20000,$B12,元データ!$B$2:$B$20000,$C$3,元データ!$C$2:$C$20000,G$5)</f>
        <v>1141</v>
      </c>
      <c r="H12" s="16">
        <f>SUMIFS(INDEX(元データ!$E$2:$H$20000,0,MATCH($C$2,元データ!$E$1:$H$1,0)),元データ!$A$2:$A$20000,$A12,元データ!$D$2:$D$20000,$B12,元データ!$B$2:$B$20000,$C$3,元データ!$C$2:$C$20000,H$5)</f>
        <v>1005</v>
      </c>
      <c r="I12" s="16">
        <f>SUMIFS(INDEX(元データ!$E$2:$H$20000,0,MATCH($C$2,元データ!$E$1:$H$1,0)),元データ!$A$2:$A$20000,$A12,元データ!$D$2:$D$20000,$B12,元データ!$B$2:$B$20000,$C$3,元データ!$C$2:$C$20000,I$5)</f>
        <v>904</v>
      </c>
      <c r="J12" s="16">
        <f>SUMIFS(INDEX(元データ!$E$2:$H$20000,0,MATCH($C$2,元データ!$E$1:$H$1,0)),元データ!$A$2:$A$20000,$A12,元データ!$D$2:$D$20000,$B12,元データ!$B$2:$B$20000,$C$3,元データ!$C$2:$C$20000,J$5)</f>
        <v>1154</v>
      </c>
      <c r="K12" s="16">
        <f>SUMIFS(INDEX(元データ!$E$2:$H$20000,0,MATCH($C$2,元データ!$E$1:$H$1,0)),元データ!$A$2:$A$20000,$A12,元データ!$D$2:$D$20000,$B12,元データ!$B$2:$B$20000,$C$3,元データ!$C$2:$C$20000,K$5)</f>
        <v>1120</v>
      </c>
      <c r="L12" s="16">
        <f>SUMIFS(INDEX(元データ!$E$2:$H$20000,0,MATCH($C$2,元データ!$E$1:$H$1,0)),元データ!$A$2:$A$20000,$A12,元データ!$D$2:$D$20000,$B12,元データ!$B$2:$B$20000,$C$3,元データ!$C$2:$C$20000,L$5)</f>
        <v>1015</v>
      </c>
      <c r="M12" s="16">
        <f>SUMIFS(INDEX(元データ!$E$2:$H$20000,0,MATCH($C$2,元データ!$E$1:$H$1,0)),元データ!$A$2:$A$20000,$A12,元データ!$D$2:$D$20000,$B12,元データ!$B$2:$B$20000,$C$3,元データ!$C$2:$C$20000,M$5)</f>
        <v>1061</v>
      </c>
      <c r="N12" s="16">
        <f>SUMIFS(INDEX(元データ!$E$2:$H$20000,0,MATCH($C$2,元データ!$E$1:$H$1,0)),元データ!$A$2:$A$20000,$A12,元データ!$D$2:$D$20000,$B12,元データ!$B$2:$B$20000,$C$3,元データ!$C$2:$C$20000,N$5)</f>
        <v>0</v>
      </c>
      <c r="O12" s="17">
        <f t="shared" si="0"/>
        <v>11436</v>
      </c>
      <c r="P12" s="17">
        <f>SUMIFS(INDEX(元データ!$E$2:$H$20000,0,MATCH($C$2,元データ!$E$1:$H$1,0)),元データ!$A$2:$A$20000,$A12,元データ!$D$2:$D$20000,$B12,元データ!$B$2:$B$20000,$D$3)</f>
        <v>14054</v>
      </c>
      <c r="Q12" s="25">
        <f t="shared" si="1"/>
        <v>0.81371851430197806</v>
      </c>
    </row>
    <row r="13" spans="1:17" x14ac:dyDescent="0.45">
      <c r="A13" s="14"/>
      <c r="B13" s="15" t="s">
        <v>28</v>
      </c>
      <c r="C13" s="16">
        <f>SUMIFS(INDEX(元データ!$E$2:$H$20000,0,MATCH($C$2,元データ!$E$1:$H$1,0)),元データ!$A$2:$A$20000,$A12,元データ!$D$2:$D$20000,$B13,元データ!$B$2:$B$20000,$C$3,元データ!$C$2:$C$20000,C$5)</f>
        <v>276</v>
      </c>
      <c r="D13" s="16">
        <f>SUMIFS(INDEX(元データ!$E$2:$H$20000,0,MATCH($C$2,元データ!$E$1:$H$1,0)),元データ!$A$2:$A$20000,$A12,元データ!$D$2:$D$20000,$B13,元データ!$B$2:$B$20000,$C$3,元データ!$C$2:$C$20000,D$5)</f>
        <v>299</v>
      </c>
      <c r="E13" s="16">
        <f>SUMIFS(INDEX(元データ!$E$2:$H$20000,0,MATCH($C$2,元データ!$E$1:$H$1,0)),元データ!$A$2:$A$20000,$A12,元データ!$D$2:$D$20000,$B13,元データ!$B$2:$B$20000,$C$3,元データ!$C$2:$C$20000,E$5)</f>
        <v>395</v>
      </c>
      <c r="F13" s="16">
        <f>SUMIFS(INDEX(元データ!$E$2:$H$20000,0,MATCH($C$2,元データ!$E$1:$H$1,0)),元データ!$A$2:$A$20000,$A12,元データ!$D$2:$D$20000,$B13,元データ!$B$2:$B$20000,$C$3,元データ!$C$2:$C$20000,F$5)</f>
        <v>409</v>
      </c>
      <c r="G13" s="16">
        <f>SUMIFS(INDEX(元データ!$E$2:$H$20000,0,MATCH($C$2,元データ!$E$1:$H$1,0)),元データ!$A$2:$A$20000,$A12,元データ!$D$2:$D$20000,$B13,元データ!$B$2:$B$20000,$C$3,元データ!$C$2:$C$20000,G$5)</f>
        <v>359</v>
      </c>
      <c r="H13" s="16">
        <f>SUMIFS(INDEX(元データ!$E$2:$H$20000,0,MATCH($C$2,元データ!$E$1:$H$1,0)),元データ!$A$2:$A$20000,$A12,元データ!$D$2:$D$20000,$B13,元データ!$B$2:$B$20000,$C$3,元データ!$C$2:$C$20000,H$5)</f>
        <v>238</v>
      </c>
      <c r="I13" s="16">
        <f>SUMIFS(INDEX(元データ!$E$2:$H$20000,0,MATCH($C$2,元データ!$E$1:$H$1,0)),元データ!$A$2:$A$20000,$A12,元データ!$D$2:$D$20000,$B13,元データ!$B$2:$B$20000,$C$3,元データ!$C$2:$C$20000,I$5)</f>
        <v>202</v>
      </c>
      <c r="J13" s="16">
        <f>SUMIFS(INDEX(元データ!$E$2:$H$20000,0,MATCH($C$2,元データ!$E$1:$H$1,0)),元データ!$A$2:$A$20000,$A12,元データ!$D$2:$D$20000,$B13,元データ!$B$2:$B$20000,$C$3,元データ!$C$2:$C$20000,J$5)</f>
        <v>271</v>
      </c>
      <c r="K13" s="16">
        <f>SUMIFS(INDEX(元データ!$E$2:$H$20000,0,MATCH($C$2,元データ!$E$1:$H$1,0)),元データ!$A$2:$A$20000,$A12,元データ!$D$2:$D$20000,$B13,元データ!$B$2:$B$20000,$C$3,元データ!$C$2:$C$20000,K$5)</f>
        <v>448</v>
      </c>
      <c r="L13" s="16">
        <f>SUMIFS(INDEX(元データ!$E$2:$H$20000,0,MATCH($C$2,元データ!$E$1:$H$1,0)),元データ!$A$2:$A$20000,$A12,元データ!$D$2:$D$20000,$B13,元データ!$B$2:$B$20000,$C$3,元データ!$C$2:$C$20000,L$5)</f>
        <v>370</v>
      </c>
      <c r="M13" s="16">
        <f>SUMIFS(INDEX(元データ!$E$2:$H$20000,0,MATCH($C$2,元データ!$E$1:$H$1,0)),元データ!$A$2:$A$20000,$A12,元データ!$D$2:$D$20000,$B13,元データ!$B$2:$B$20000,$C$3,元データ!$C$2:$C$20000,M$5)</f>
        <v>392</v>
      </c>
      <c r="N13" s="16">
        <f>SUMIFS(INDEX(元データ!$E$2:$H$20000,0,MATCH($C$2,元データ!$E$1:$H$1,0)),元データ!$A$2:$A$20000,$A12,元データ!$D$2:$D$20000,$B13,元データ!$B$2:$B$20000,$C$3,元データ!$C$2:$C$20000,N$5)</f>
        <v>0</v>
      </c>
      <c r="O13" s="17">
        <f t="shared" si="0"/>
        <v>3659</v>
      </c>
      <c r="P13" s="17">
        <f>SUMIFS(INDEX(元データ!$E$2:$H$20000,0,MATCH($C$2,元データ!$E$1:$H$1,0)),元データ!$A$2:$A$20000,$A12,元データ!$D$2:$D$20000,$B13,元データ!$B$2:$B$20000,$D$3)</f>
        <v>4158</v>
      </c>
      <c r="Q13" s="25">
        <f t="shared" si="1"/>
        <v>0.87999037999037999</v>
      </c>
    </row>
    <row r="14" spans="1:17" x14ac:dyDescent="0.45">
      <c r="A14" s="14"/>
      <c r="B14" s="15" t="s">
        <v>29</v>
      </c>
      <c r="C14" s="16">
        <f>SUMIFS(INDEX(元データ!$E$2:$H$20000,0,MATCH($C$2,元データ!$E$1:$H$1,0)),元データ!$A$2:$A$20000,$A12,元データ!$D$2:$D$20000,$B14,元データ!$B$2:$B$20000,$C$3,元データ!$C$2:$C$20000,C$5)</f>
        <v>114</v>
      </c>
      <c r="D14" s="16">
        <f>SUMIFS(INDEX(元データ!$E$2:$H$20000,0,MATCH($C$2,元データ!$E$1:$H$1,0)),元データ!$A$2:$A$20000,$A12,元データ!$D$2:$D$20000,$B14,元データ!$B$2:$B$20000,$C$3,元データ!$C$2:$C$20000,D$5)</f>
        <v>111</v>
      </c>
      <c r="E14" s="16">
        <f>SUMIFS(INDEX(元データ!$E$2:$H$20000,0,MATCH($C$2,元データ!$E$1:$H$1,0)),元データ!$A$2:$A$20000,$A12,元データ!$D$2:$D$20000,$B14,元データ!$B$2:$B$20000,$C$3,元データ!$C$2:$C$20000,E$5)</f>
        <v>199</v>
      </c>
      <c r="F14" s="16">
        <f>SUMIFS(INDEX(元データ!$E$2:$H$20000,0,MATCH($C$2,元データ!$E$1:$H$1,0)),元データ!$A$2:$A$20000,$A12,元データ!$D$2:$D$20000,$B14,元データ!$B$2:$B$20000,$C$3,元データ!$C$2:$C$20000,F$5)</f>
        <v>237</v>
      </c>
      <c r="G14" s="16">
        <f>SUMIFS(INDEX(元データ!$E$2:$H$20000,0,MATCH($C$2,元データ!$E$1:$H$1,0)),元データ!$A$2:$A$20000,$A12,元データ!$D$2:$D$20000,$B14,元データ!$B$2:$B$20000,$C$3,元データ!$C$2:$C$20000,G$5)</f>
        <v>230</v>
      </c>
      <c r="H14" s="16">
        <f>SUMIFS(INDEX(元データ!$E$2:$H$20000,0,MATCH($C$2,元データ!$E$1:$H$1,0)),元データ!$A$2:$A$20000,$A12,元データ!$D$2:$D$20000,$B14,元データ!$B$2:$B$20000,$C$3,元データ!$C$2:$C$20000,H$5)</f>
        <v>130</v>
      </c>
      <c r="I14" s="16">
        <f>SUMIFS(INDEX(元データ!$E$2:$H$20000,0,MATCH($C$2,元データ!$E$1:$H$1,0)),元データ!$A$2:$A$20000,$A12,元データ!$D$2:$D$20000,$B14,元データ!$B$2:$B$20000,$C$3,元データ!$C$2:$C$20000,I$5)</f>
        <v>82</v>
      </c>
      <c r="J14" s="16">
        <f>SUMIFS(INDEX(元データ!$E$2:$H$20000,0,MATCH($C$2,元データ!$E$1:$H$1,0)),元データ!$A$2:$A$20000,$A12,元データ!$D$2:$D$20000,$B14,元データ!$B$2:$B$20000,$C$3,元データ!$C$2:$C$20000,J$5)</f>
        <v>192</v>
      </c>
      <c r="K14" s="16">
        <f>SUMIFS(INDEX(元データ!$E$2:$H$20000,0,MATCH($C$2,元データ!$E$1:$H$1,0)),元データ!$A$2:$A$20000,$A12,元データ!$D$2:$D$20000,$B14,元データ!$B$2:$B$20000,$C$3,元データ!$C$2:$C$20000,K$5)</f>
        <v>290</v>
      </c>
      <c r="L14" s="16">
        <f>SUMIFS(INDEX(元データ!$E$2:$H$20000,0,MATCH($C$2,元データ!$E$1:$H$1,0)),元データ!$A$2:$A$20000,$A12,元データ!$D$2:$D$20000,$B14,元データ!$B$2:$B$20000,$C$3,元データ!$C$2:$C$20000,L$5)</f>
        <v>217</v>
      </c>
      <c r="M14" s="16">
        <f>SUMIFS(INDEX(元データ!$E$2:$H$20000,0,MATCH($C$2,元データ!$E$1:$H$1,0)),元データ!$A$2:$A$20000,$A12,元データ!$D$2:$D$20000,$B14,元データ!$B$2:$B$20000,$C$3,元データ!$C$2:$C$20000,M$5)</f>
        <v>220</v>
      </c>
      <c r="N14" s="16">
        <f>SUMIFS(INDEX(元データ!$E$2:$H$20000,0,MATCH($C$2,元データ!$E$1:$H$1,0)),元データ!$A$2:$A$20000,$A12,元データ!$D$2:$D$20000,$B14,元データ!$B$2:$B$20000,$C$3,元データ!$C$2:$C$20000,N$5)</f>
        <v>0</v>
      </c>
      <c r="O14" s="17">
        <f t="shared" si="0"/>
        <v>2022</v>
      </c>
      <c r="P14" s="17">
        <f>SUMIFS(INDEX(元データ!$E$2:$H$20000,0,MATCH($C$2,元データ!$E$1:$H$1,0)),元データ!$A$2:$A$20000,$A12,元データ!$D$2:$D$20000,$B14,元データ!$B$2:$B$20000,$D$3)</f>
        <v>2341</v>
      </c>
      <c r="Q14" s="25">
        <f t="shared" si="1"/>
        <v>0.86373344724476719</v>
      </c>
    </row>
    <row r="15" spans="1:17" x14ac:dyDescent="0.45">
      <c r="A15" s="14" t="str">
        <f>店舗マスタ!A5</f>
        <v>東田中店</v>
      </c>
      <c r="B15" s="15" t="s">
        <v>27</v>
      </c>
      <c r="C15" s="16">
        <f>SUMIFS(INDEX(元データ!$E$2:$H$20000,0,MATCH($C$2,元データ!$E$1:$H$1,0)),元データ!$A$2:$A$20000,$A15,元データ!$D$2:$D$20000,$B15,元データ!$B$2:$B$20000,$C$3,元データ!$C$2:$C$20000,C$5)</f>
        <v>896</v>
      </c>
      <c r="D15" s="16">
        <f>SUMIFS(INDEX(元データ!$E$2:$H$20000,0,MATCH($C$2,元データ!$E$1:$H$1,0)),元データ!$A$2:$A$20000,$A15,元データ!$D$2:$D$20000,$B15,元データ!$B$2:$B$20000,$C$3,元データ!$C$2:$C$20000,D$5)</f>
        <v>1101</v>
      </c>
      <c r="E15" s="16">
        <f>SUMIFS(INDEX(元データ!$E$2:$H$20000,0,MATCH($C$2,元データ!$E$1:$H$1,0)),元データ!$A$2:$A$20000,$A15,元データ!$D$2:$D$20000,$B15,元データ!$B$2:$B$20000,$C$3,元データ!$C$2:$C$20000,E$5)</f>
        <v>1294</v>
      </c>
      <c r="F15" s="16">
        <f>SUMIFS(INDEX(元データ!$E$2:$H$20000,0,MATCH($C$2,元データ!$E$1:$H$1,0)),元データ!$A$2:$A$20000,$A15,元データ!$D$2:$D$20000,$B15,元データ!$B$2:$B$20000,$C$3,元データ!$C$2:$C$20000,F$5)</f>
        <v>1057</v>
      </c>
      <c r="G15" s="16">
        <f>SUMIFS(INDEX(元データ!$E$2:$H$20000,0,MATCH($C$2,元データ!$E$1:$H$1,0)),元データ!$A$2:$A$20000,$A15,元データ!$D$2:$D$20000,$B15,元データ!$B$2:$B$20000,$C$3,元データ!$C$2:$C$20000,G$5)</f>
        <v>1064</v>
      </c>
      <c r="H15" s="16">
        <f>SUMIFS(INDEX(元データ!$E$2:$H$20000,0,MATCH($C$2,元データ!$E$1:$H$1,0)),元データ!$A$2:$A$20000,$A15,元データ!$D$2:$D$20000,$B15,元データ!$B$2:$B$20000,$C$3,元データ!$C$2:$C$20000,H$5)</f>
        <v>784</v>
      </c>
      <c r="I15" s="16">
        <f>SUMIFS(INDEX(元データ!$E$2:$H$20000,0,MATCH($C$2,元データ!$E$1:$H$1,0)),元データ!$A$2:$A$20000,$A15,元データ!$D$2:$D$20000,$B15,元データ!$B$2:$B$20000,$C$3,元データ!$C$2:$C$20000,I$5)</f>
        <v>790</v>
      </c>
      <c r="J15" s="16">
        <f>SUMIFS(INDEX(元データ!$E$2:$H$20000,0,MATCH($C$2,元データ!$E$1:$H$1,0)),元データ!$A$2:$A$20000,$A15,元データ!$D$2:$D$20000,$B15,元データ!$B$2:$B$20000,$C$3,元データ!$C$2:$C$20000,J$5)</f>
        <v>1102</v>
      </c>
      <c r="K15" s="16">
        <f>SUMIFS(INDEX(元データ!$E$2:$H$20000,0,MATCH($C$2,元データ!$E$1:$H$1,0)),元データ!$A$2:$A$20000,$A15,元データ!$D$2:$D$20000,$B15,元データ!$B$2:$B$20000,$C$3,元データ!$C$2:$C$20000,K$5)</f>
        <v>1068</v>
      </c>
      <c r="L15" s="16">
        <f>SUMIFS(INDEX(元データ!$E$2:$H$20000,0,MATCH($C$2,元データ!$E$1:$H$1,0)),元データ!$A$2:$A$20000,$A15,元データ!$D$2:$D$20000,$B15,元データ!$B$2:$B$20000,$C$3,元データ!$C$2:$C$20000,L$5)</f>
        <v>941</v>
      </c>
      <c r="M15" s="16">
        <f>SUMIFS(INDEX(元データ!$E$2:$H$20000,0,MATCH($C$2,元データ!$E$1:$H$1,0)),元データ!$A$2:$A$20000,$A15,元データ!$D$2:$D$20000,$B15,元データ!$B$2:$B$20000,$C$3,元データ!$C$2:$C$20000,M$5)</f>
        <v>1119</v>
      </c>
      <c r="N15" s="16">
        <f>SUMIFS(INDEX(元データ!$E$2:$H$20000,0,MATCH($C$2,元データ!$E$1:$H$1,0)),元データ!$A$2:$A$20000,$A15,元データ!$D$2:$D$20000,$B15,元データ!$B$2:$B$20000,$C$3,元データ!$C$2:$C$20000,N$5)</f>
        <v>1123</v>
      </c>
      <c r="O15" s="17">
        <f t="shared" si="0"/>
        <v>12339</v>
      </c>
      <c r="P15" s="17">
        <f>SUMIFS(INDEX(元データ!$E$2:$H$20000,0,MATCH($C$2,元データ!$E$1:$H$1,0)),元データ!$A$2:$A$20000,$A15,元データ!$D$2:$D$20000,$B15,元データ!$B$2:$B$20000,$D$3)</f>
        <v>13617</v>
      </c>
      <c r="Q15" s="25">
        <f t="shared" si="1"/>
        <v>0.90614672835426302</v>
      </c>
    </row>
    <row r="16" spans="1:17" x14ac:dyDescent="0.45">
      <c r="A16" s="14"/>
      <c r="B16" s="15" t="s">
        <v>28</v>
      </c>
      <c r="C16" s="16">
        <f>SUMIFS(INDEX(元データ!$E$2:$H$20000,0,MATCH($C$2,元データ!$E$1:$H$1,0)),元データ!$A$2:$A$20000,$A15,元データ!$D$2:$D$20000,$B16,元データ!$B$2:$B$20000,$C$3,元データ!$C$2:$C$20000,C$5)</f>
        <v>607</v>
      </c>
      <c r="D16" s="16">
        <f>SUMIFS(INDEX(元データ!$E$2:$H$20000,0,MATCH($C$2,元データ!$E$1:$H$1,0)),元データ!$A$2:$A$20000,$A15,元データ!$D$2:$D$20000,$B16,元データ!$B$2:$B$20000,$C$3,元データ!$C$2:$C$20000,D$5)</f>
        <v>629</v>
      </c>
      <c r="E16" s="16">
        <f>SUMIFS(INDEX(元データ!$E$2:$H$20000,0,MATCH($C$2,元データ!$E$1:$H$1,0)),元データ!$A$2:$A$20000,$A15,元データ!$D$2:$D$20000,$B16,元データ!$B$2:$B$20000,$C$3,元データ!$C$2:$C$20000,E$5)</f>
        <v>866</v>
      </c>
      <c r="F16" s="16">
        <f>SUMIFS(INDEX(元データ!$E$2:$H$20000,0,MATCH($C$2,元データ!$E$1:$H$1,0)),元データ!$A$2:$A$20000,$A15,元データ!$D$2:$D$20000,$B16,元データ!$B$2:$B$20000,$C$3,元データ!$C$2:$C$20000,F$5)</f>
        <v>739</v>
      </c>
      <c r="G16" s="16">
        <f>SUMIFS(INDEX(元データ!$E$2:$H$20000,0,MATCH($C$2,元データ!$E$1:$H$1,0)),元データ!$A$2:$A$20000,$A15,元データ!$D$2:$D$20000,$B16,元データ!$B$2:$B$20000,$C$3,元データ!$C$2:$C$20000,G$5)</f>
        <v>767</v>
      </c>
      <c r="H16" s="16">
        <f>SUMIFS(INDEX(元データ!$E$2:$H$20000,0,MATCH($C$2,元データ!$E$1:$H$1,0)),元データ!$A$2:$A$20000,$A15,元データ!$D$2:$D$20000,$B16,元データ!$B$2:$B$20000,$C$3,元データ!$C$2:$C$20000,H$5)</f>
        <v>496</v>
      </c>
      <c r="I16" s="16">
        <f>SUMIFS(INDEX(元データ!$E$2:$H$20000,0,MATCH($C$2,元データ!$E$1:$H$1,0)),元データ!$A$2:$A$20000,$A15,元データ!$D$2:$D$20000,$B16,元データ!$B$2:$B$20000,$C$3,元データ!$C$2:$C$20000,I$5)</f>
        <v>487</v>
      </c>
      <c r="J16" s="16">
        <f>SUMIFS(INDEX(元データ!$E$2:$H$20000,0,MATCH($C$2,元データ!$E$1:$H$1,0)),元データ!$A$2:$A$20000,$A15,元データ!$D$2:$D$20000,$B16,元データ!$B$2:$B$20000,$C$3,元データ!$C$2:$C$20000,J$5)</f>
        <v>694</v>
      </c>
      <c r="K16" s="16">
        <f>SUMIFS(INDEX(元データ!$E$2:$H$20000,0,MATCH($C$2,元データ!$E$1:$H$1,0)),元データ!$A$2:$A$20000,$A15,元データ!$D$2:$D$20000,$B16,元データ!$B$2:$B$20000,$C$3,元データ!$C$2:$C$20000,K$5)</f>
        <v>972</v>
      </c>
      <c r="L16" s="16">
        <f>SUMIFS(INDEX(元データ!$E$2:$H$20000,0,MATCH($C$2,元データ!$E$1:$H$1,0)),元データ!$A$2:$A$20000,$A15,元データ!$D$2:$D$20000,$B16,元データ!$B$2:$B$20000,$C$3,元データ!$C$2:$C$20000,L$5)</f>
        <v>718</v>
      </c>
      <c r="M16" s="16">
        <f>SUMIFS(INDEX(元データ!$E$2:$H$20000,0,MATCH($C$2,元データ!$E$1:$H$1,0)),元データ!$A$2:$A$20000,$A15,元データ!$D$2:$D$20000,$B16,元データ!$B$2:$B$20000,$C$3,元データ!$C$2:$C$20000,M$5)</f>
        <v>819</v>
      </c>
      <c r="N16" s="16">
        <f>SUMIFS(INDEX(元データ!$E$2:$H$20000,0,MATCH($C$2,元データ!$E$1:$H$1,0)),元データ!$A$2:$A$20000,$A15,元データ!$D$2:$D$20000,$B16,元データ!$B$2:$B$20000,$C$3,元データ!$C$2:$C$20000,N$5)</f>
        <v>670</v>
      </c>
      <c r="O16" s="17">
        <f t="shared" si="0"/>
        <v>8464</v>
      </c>
      <c r="P16" s="17">
        <f>SUMIFS(INDEX(元データ!$E$2:$H$20000,0,MATCH($C$2,元データ!$E$1:$H$1,0)),元データ!$A$2:$A$20000,$A15,元データ!$D$2:$D$20000,$B16,元データ!$B$2:$B$20000,$D$3)</f>
        <v>8439</v>
      </c>
      <c r="Q16" s="25">
        <f t="shared" si="1"/>
        <v>1.0029624363076193</v>
      </c>
    </row>
    <row r="17" spans="1:17" x14ac:dyDescent="0.45">
      <c r="A17" s="14"/>
      <c r="B17" s="15" t="s">
        <v>29</v>
      </c>
      <c r="C17" s="16">
        <f>SUMIFS(INDEX(元データ!$E$2:$H$20000,0,MATCH($C$2,元データ!$E$1:$H$1,0)),元データ!$A$2:$A$20000,$A15,元データ!$D$2:$D$20000,$B17,元データ!$B$2:$B$20000,$C$3,元データ!$C$2:$C$20000,C$5)</f>
        <v>348</v>
      </c>
      <c r="D17" s="16">
        <f>SUMIFS(INDEX(元データ!$E$2:$H$20000,0,MATCH($C$2,元データ!$E$1:$H$1,0)),元データ!$A$2:$A$20000,$A15,元データ!$D$2:$D$20000,$B17,元データ!$B$2:$B$20000,$C$3,元データ!$C$2:$C$20000,D$5)</f>
        <v>364</v>
      </c>
      <c r="E17" s="16">
        <f>SUMIFS(INDEX(元データ!$E$2:$H$20000,0,MATCH($C$2,元データ!$E$1:$H$1,0)),元データ!$A$2:$A$20000,$A15,元データ!$D$2:$D$20000,$B17,元データ!$B$2:$B$20000,$C$3,元データ!$C$2:$C$20000,E$5)</f>
        <v>630</v>
      </c>
      <c r="F17" s="16">
        <f>SUMIFS(INDEX(元データ!$E$2:$H$20000,0,MATCH($C$2,元データ!$E$1:$H$1,0)),元データ!$A$2:$A$20000,$A15,元データ!$D$2:$D$20000,$B17,元データ!$B$2:$B$20000,$C$3,元データ!$C$2:$C$20000,F$5)</f>
        <v>594</v>
      </c>
      <c r="G17" s="16">
        <f>SUMIFS(INDEX(元データ!$E$2:$H$20000,0,MATCH($C$2,元データ!$E$1:$H$1,0)),元データ!$A$2:$A$20000,$A15,元データ!$D$2:$D$20000,$B17,元データ!$B$2:$B$20000,$C$3,元データ!$C$2:$C$20000,G$5)</f>
        <v>619</v>
      </c>
      <c r="H17" s="16">
        <f>SUMIFS(INDEX(元データ!$E$2:$H$20000,0,MATCH($C$2,元データ!$E$1:$H$1,0)),元データ!$A$2:$A$20000,$A15,元データ!$D$2:$D$20000,$B17,元データ!$B$2:$B$20000,$C$3,元データ!$C$2:$C$20000,H$5)</f>
        <v>371</v>
      </c>
      <c r="I17" s="16">
        <f>SUMIFS(INDEX(元データ!$E$2:$H$20000,0,MATCH($C$2,元データ!$E$1:$H$1,0)),元データ!$A$2:$A$20000,$A15,元データ!$D$2:$D$20000,$B17,元データ!$B$2:$B$20000,$C$3,元データ!$C$2:$C$20000,I$5)</f>
        <v>371</v>
      </c>
      <c r="J17" s="16">
        <f>SUMIFS(INDEX(元データ!$E$2:$H$20000,0,MATCH($C$2,元データ!$E$1:$H$1,0)),元データ!$A$2:$A$20000,$A15,元データ!$D$2:$D$20000,$B17,元データ!$B$2:$B$20000,$C$3,元データ!$C$2:$C$20000,J$5)</f>
        <v>664</v>
      </c>
      <c r="K17" s="16">
        <f>SUMIFS(INDEX(元データ!$E$2:$H$20000,0,MATCH($C$2,元データ!$E$1:$H$1,0)),元データ!$A$2:$A$20000,$A15,元データ!$D$2:$D$20000,$B17,元データ!$B$2:$B$20000,$C$3,元データ!$C$2:$C$20000,K$5)</f>
        <v>784</v>
      </c>
      <c r="L17" s="16">
        <f>SUMIFS(INDEX(元データ!$E$2:$H$20000,0,MATCH($C$2,元データ!$E$1:$H$1,0)),元データ!$A$2:$A$20000,$A15,元データ!$D$2:$D$20000,$B17,元データ!$B$2:$B$20000,$C$3,元データ!$C$2:$C$20000,L$5)</f>
        <v>614</v>
      </c>
      <c r="M17" s="16">
        <f>SUMIFS(INDEX(元データ!$E$2:$H$20000,0,MATCH($C$2,元データ!$E$1:$H$1,0)),元データ!$A$2:$A$20000,$A15,元データ!$D$2:$D$20000,$B17,元データ!$B$2:$B$20000,$C$3,元データ!$C$2:$C$20000,M$5)</f>
        <v>693</v>
      </c>
      <c r="N17" s="16">
        <f>SUMIFS(INDEX(元データ!$E$2:$H$20000,0,MATCH($C$2,元データ!$E$1:$H$1,0)),元データ!$A$2:$A$20000,$A15,元データ!$D$2:$D$20000,$B17,元データ!$B$2:$B$20000,$C$3,元データ!$C$2:$C$20000,N$5)</f>
        <v>481</v>
      </c>
      <c r="O17" s="17">
        <f t="shared" si="0"/>
        <v>6533</v>
      </c>
      <c r="P17" s="17">
        <f>SUMIFS(INDEX(元データ!$E$2:$H$20000,0,MATCH($C$2,元データ!$E$1:$H$1,0)),元データ!$A$2:$A$20000,$A15,元データ!$D$2:$D$20000,$B17,元データ!$B$2:$B$20000,$D$3)</f>
        <v>6730</v>
      </c>
      <c r="Q17" s="25">
        <f t="shared" si="1"/>
        <v>0.97072808320950965</v>
      </c>
    </row>
    <row r="18" spans="1:17" x14ac:dyDescent="0.45">
      <c r="A18" s="14" t="str">
        <f>店舗マスタ!A6</f>
        <v>桜堤店</v>
      </c>
      <c r="B18" s="15" t="s">
        <v>27</v>
      </c>
      <c r="C18" s="16">
        <f>SUMIFS(INDEX(元データ!$E$2:$H$20000,0,MATCH($C$2,元データ!$E$1:$H$1,0)),元データ!$A$2:$A$20000,$A18,元データ!$D$2:$D$20000,$B18,元データ!$B$2:$B$20000,$C$3,元データ!$C$2:$C$20000,C$5)</f>
        <v>619</v>
      </c>
      <c r="D18" s="16">
        <f>SUMIFS(INDEX(元データ!$E$2:$H$20000,0,MATCH($C$2,元データ!$E$1:$H$1,0)),元データ!$A$2:$A$20000,$A18,元データ!$D$2:$D$20000,$B18,元データ!$B$2:$B$20000,$C$3,元データ!$C$2:$C$20000,D$5)</f>
        <v>846</v>
      </c>
      <c r="E18" s="16">
        <f>SUMIFS(INDEX(元データ!$E$2:$H$20000,0,MATCH($C$2,元データ!$E$1:$H$1,0)),元データ!$A$2:$A$20000,$A18,元データ!$D$2:$D$20000,$B18,元データ!$B$2:$B$20000,$C$3,元データ!$C$2:$C$20000,E$5)</f>
        <v>1060</v>
      </c>
      <c r="F18" s="16">
        <f>SUMIFS(INDEX(元データ!$E$2:$H$20000,0,MATCH($C$2,元データ!$E$1:$H$1,0)),元データ!$A$2:$A$20000,$A18,元データ!$D$2:$D$20000,$B18,元データ!$B$2:$B$20000,$C$3,元データ!$C$2:$C$20000,F$5)</f>
        <v>909</v>
      </c>
      <c r="G18" s="16">
        <f>SUMIFS(INDEX(元データ!$E$2:$H$20000,0,MATCH($C$2,元データ!$E$1:$H$1,0)),元データ!$A$2:$A$20000,$A18,元データ!$D$2:$D$20000,$B18,元データ!$B$2:$B$20000,$C$3,元データ!$C$2:$C$20000,G$5)</f>
        <v>990</v>
      </c>
      <c r="H18" s="16">
        <f>SUMIFS(INDEX(元データ!$E$2:$H$20000,0,MATCH($C$2,元データ!$E$1:$H$1,0)),元データ!$A$2:$A$20000,$A18,元データ!$D$2:$D$20000,$B18,元データ!$B$2:$B$20000,$C$3,元データ!$C$2:$C$20000,H$5)</f>
        <v>748</v>
      </c>
      <c r="I18" s="16">
        <f>SUMIFS(INDEX(元データ!$E$2:$H$20000,0,MATCH($C$2,元データ!$E$1:$H$1,0)),元データ!$A$2:$A$20000,$A18,元データ!$D$2:$D$20000,$B18,元データ!$B$2:$B$20000,$C$3,元データ!$C$2:$C$20000,I$5)</f>
        <v>750</v>
      </c>
      <c r="J18" s="16">
        <f>SUMIFS(INDEX(元データ!$E$2:$H$20000,0,MATCH($C$2,元データ!$E$1:$H$1,0)),元データ!$A$2:$A$20000,$A18,元データ!$D$2:$D$20000,$B18,元データ!$B$2:$B$20000,$C$3,元データ!$C$2:$C$20000,J$5)</f>
        <v>950</v>
      </c>
      <c r="K18" s="16">
        <f>SUMIFS(INDEX(元データ!$E$2:$H$20000,0,MATCH($C$2,元データ!$E$1:$H$1,0)),元データ!$A$2:$A$20000,$A18,元データ!$D$2:$D$20000,$B18,元データ!$B$2:$B$20000,$C$3,元データ!$C$2:$C$20000,K$5)</f>
        <v>959</v>
      </c>
      <c r="L18" s="16">
        <f>SUMIFS(INDEX(元データ!$E$2:$H$20000,0,MATCH($C$2,元データ!$E$1:$H$1,0)),元データ!$A$2:$A$20000,$A18,元データ!$D$2:$D$20000,$B18,元データ!$B$2:$B$20000,$C$3,元データ!$C$2:$C$20000,L$5)</f>
        <v>750</v>
      </c>
      <c r="M18" s="16">
        <f>SUMIFS(INDEX(元データ!$E$2:$H$20000,0,MATCH($C$2,元データ!$E$1:$H$1,0)),元データ!$A$2:$A$20000,$A18,元データ!$D$2:$D$20000,$B18,元データ!$B$2:$B$20000,$C$3,元データ!$C$2:$C$20000,M$5)</f>
        <v>889</v>
      </c>
      <c r="N18" s="16">
        <f>SUMIFS(INDEX(元データ!$E$2:$H$20000,0,MATCH($C$2,元データ!$E$1:$H$1,0)),元データ!$A$2:$A$20000,$A18,元データ!$D$2:$D$20000,$B18,元データ!$B$2:$B$20000,$C$3,元データ!$C$2:$C$20000,N$5)</f>
        <v>767</v>
      </c>
      <c r="O18" s="17">
        <f t="shared" si="0"/>
        <v>10237</v>
      </c>
      <c r="P18" s="17">
        <f>SUMIFS(INDEX(元データ!$E$2:$H$20000,0,MATCH($C$2,元データ!$E$1:$H$1,0)),元データ!$A$2:$A$20000,$A18,元データ!$D$2:$D$20000,$B18,元データ!$B$2:$B$20000,$D$3)</f>
        <v>12102</v>
      </c>
      <c r="Q18" s="25">
        <f t="shared" si="1"/>
        <v>0.84589324078664685</v>
      </c>
    </row>
    <row r="19" spans="1:17" x14ac:dyDescent="0.45">
      <c r="A19" s="14"/>
      <c r="B19" s="15" t="s">
        <v>28</v>
      </c>
      <c r="C19" s="16">
        <f>SUMIFS(INDEX(元データ!$E$2:$H$20000,0,MATCH($C$2,元データ!$E$1:$H$1,0)),元データ!$A$2:$A$20000,$A18,元データ!$D$2:$D$20000,$B19,元データ!$B$2:$B$20000,$C$3,元データ!$C$2:$C$20000,C$5)</f>
        <v>455</v>
      </c>
      <c r="D19" s="16">
        <f>SUMIFS(INDEX(元データ!$E$2:$H$20000,0,MATCH($C$2,元データ!$E$1:$H$1,0)),元データ!$A$2:$A$20000,$A18,元データ!$D$2:$D$20000,$B19,元データ!$B$2:$B$20000,$C$3,元データ!$C$2:$C$20000,D$5)</f>
        <v>517</v>
      </c>
      <c r="E19" s="16">
        <f>SUMIFS(INDEX(元データ!$E$2:$H$20000,0,MATCH($C$2,元データ!$E$1:$H$1,0)),元データ!$A$2:$A$20000,$A18,元データ!$D$2:$D$20000,$B19,元データ!$B$2:$B$20000,$C$3,元データ!$C$2:$C$20000,E$5)</f>
        <v>688</v>
      </c>
      <c r="F19" s="16">
        <f>SUMIFS(INDEX(元データ!$E$2:$H$20000,0,MATCH($C$2,元データ!$E$1:$H$1,0)),元データ!$A$2:$A$20000,$A18,元データ!$D$2:$D$20000,$B19,元データ!$B$2:$B$20000,$C$3,元データ!$C$2:$C$20000,F$5)</f>
        <v>598</v>
      </c>
      <c r="G19" s="16">
        <f>SUMIFS(INDEX(元データ!$E$2:$H$20000,0,MATCH($C$2,元データ!$E$1:$H$1,0)),元データ!$A$2:$A$20000,$A18,元データ!$D$2:$D$20000,$B19,元データ!$B$2:$B$20000,$C$3,元データ!$C$2:$C$20000,G$5)</f>
        <v>680</v>
      </c>
      <c r="H19" s="16">
        <f>SUMIFS(INDEX(元データ!$E$2:$H$20000,0,MATCH($C$2,元データ!$E$1:$H$1,0)),元データ!$A$2:$A$20000,$A18,元データ!$D$2:$D$20000,$B19,元データ!$B$2:$B$20000,$C$3,元データ!$C$2:$C$20000,H$5)</f>
        <v>426</v>
      </c>
      <c r="I19" s="16">
        <f>SUMIFS(INDEX(元データ!$E$2:$H$20000,0,MATCH($C$2,元データ!$E$1:$H$1,0)),元データ!$A$2:$A$20000,$A18,元データ!$D$2:$D$20000,$B19,元データ!$B$2:$B$20000,$C$3,元データ!$C$2:$C$20000,I$5)</f>
        <v>339</v>
      </c>
      <c r="J19" s="16">
        <f>SUMIFS(INDEX(元データ!$E$2:$H$20000,0,MATCH($C$2,元データ!$E$1:$H$1,0)),元データ!$A$2:$A$20000,$A18,元データ!$D$2:$D$20000,$B19,元データ!$B$2:$B$20000,$C$3,元データ!$C$2:$C$20000,J$5)</f>
        <v>636</v>
      </c>
      <c r="K19" s="16">
        <f>SUMIFS(INDEX(元データ!$E$2:$H$20000,0,MATCH($C$2,元データ!$E$1:$H$1,0)),元データ!$A$2:$A$20000,$A18,元データ!$D$2:$D$20000,$B19,元データ!$B$2:$B$20000,$C$3,元データ!$C$2:$C$20000,K$5)</f>
        <v>842</v>
      </c>
      <c r="L19" s="16">
        <f>SUMIFS(INDEX(元データ!$E$2:$H$20000,0,MATCH($C$2,元データ!$E$1:$H$1,0)),元データ!$A$2:$A$20000,$A18,元データ!$D$2:$D$20000,$B19,元データ!$B$2:$B$20000,$C$3,元データ!$C$2:$C$20000,L$5)</f>
        <v>578</v>
      </c>
      <c r="M19" s="16">
        <f>SUMIFS(INDEX(元データ!$E$2:$H$20000,0,MATCH($C$2,元データ!$E$1:$H$1,0)),元データ!$A$2:$A$20000,$A18,元データ!$D$2:$D$20000,$B19,元データ!$B$2:$B$20000,$C$3,元データ!$C$2:$C$20000,M$5)</f>
        <v>594</v>
      </c>
      <c r="N19" s="16">
        <f>SUMIFS(INDEX(元データ!$E$2:$H$20000,0,MATCH($C$2,元データ!$E$1:$H$1,0)),元データ!$A$2:$A$20000,$A18,元データ!$D$2:$D$20000,$B19,元データ!$B$2:$B$20000,$C$3,元データ!$C$2:$C$20000,N$5)</f>
        <v>607</v>
      </c>
      <c r="O19" s="17">
        <f t="shared" si="0"/>
        <v>6960</v>
      </c>
      <c r="P19" s="17">
        <f>SUMIFS(INDEX(元データ!$E$2:$H$20000,0,MATCH($C$2,元データ!$E$1:$H$1,0)),元データ!$A$2:$A$20000,$A18,元データ!$D$2:$D$20000,$B19,元データ!$B$2:$B$20000,$D$3)</f>
        <v>7260</v>
      </c>
      <c r="Q19" s="25">
        <f t="shared" si="1"/>
        <v>0.95867768595041325</v>
      </c>
    </row>
    <row r="20" spans="1:17" x14ac:dyDescent="0.45">
      <c r="A20" s="14"/>
      <c r="B20" s="15" t="s">
        <v>29</v>
      </c>
      <c r="C20" s="16">
        <f>SUMIFS(INDEX(元データ!$E$2:$H$20000,0,MATCH($C$2,元データ!$E$1:$H$1,0)),元データ!$A$2:$A$20000,$A18,元データ!$D$2:$D$20000,$B20,元データ!$B$2:$B$20000,$C$3,元データ!$C$2:$C$20000,C$5)</f>
        <v>227</v>
      </c>
      <c r="D20" s="16">
        <f>SUMIFS(INDEX(元データ!$E$2:$H$20000,0,MATCH($C$2,元データ!$E$1:$H$1,0)),元データ!$A$2:$A$20000,$A18,元データ!$D$2:$D$20000,$B20,元データ!$B$2:$B$20000,$C$3,元データ!$C$2:$C$20000,D$5)</f>
        <v>270</v>
      </c>
      <c r="E20" s="16">
        <f>SUMIFS(INDEX(元データ!$E$2:$H$20000,0,MATCH($C$2,元データ!$E$1:$H$1,0)),元データ!$A$2:$A$20000,$A18,元データ!$D$2:$D$20000,$B20,元データ!$B$2:$B$20000,$C$3,元データ!$C$2:$C$20000,E$5)</f>
        <v>418</v>
      </c>
      <c r="F20" s="16">
        <f>SUMIFS(INDEX(元データ!$E$2:$H$20000,0,MATCH($C$2,元データ!$E$1:$H$1,0)),元データ!$A$2:$A$20000,$A18,元データ!$D$2:$D$20000,$B20,元データ!$B$2:$B$20000,$C$3,元データ!$C$2:$C$20000,F$5)</f>
        <v>383</v>
      </c>
      <c r="G20" s="16">
        <f>SUMIFS(INDEX(元データ!$E$2:$H$20000,0,MATCH($C$2,元データ!$E$1:$H$1,0)),元データ!$A$2:$A$20000,$A18,元データ!$D$2:$D$20000,$B20,元データ!$B$2:$B$20000,$C$3,元データ!$C$2:$C$20000,G$5)</f>
        <v>462</v>
      </c>
      <c r="H20" s="16">
        <f>SUMIFS(INDEX(元データ!$E$2:$H$20000,0,MATCH($C$2,元データ!$E$1:$H$1,0)),元データ!$A$2:$A$20000,$A18,元データ!$D$2:$D$20000,$B20,元データ!$B$2:$B$20000,$C$3,元データ!$C$2:$C$20000,H$5)</f>
        <v>367</v>
      </c>
      <c r="I20" s="16">
        <f>SUMIFS(INDEX(元データ!$E$2:$H$20000,0,MATCH($C$2,元データ!$E$1:$H$1,0)),元データ!$A$2:$A$20000,$A18,元データ!$D$2:$D$20000,$B20,元データ!$B$2:$B$20000,$C$3,元データ!$C$2:$C$20000,I$5)</f>
        <v>284</v>
      </c>
      <c r="J20" s="16">
        <f>SUMIFS(INDEX(元データ!$E$2:$H$20000,0,MATCH($C$2,元データ!$E$1:$H$1,0)),元データ!$A$2:$A$20000,$A18,元データ!$D$2:$D$20000,$B20,元データ!$B$2:$B$20000,$C$3,元データ!$C$2:$C$20000,J$5)</f>
        <v>577</v>
      </c>
      <c r="K20" s="16">
        <f>SUMIFS(INDEX(元データ!$E$2:$H$20000,0,MATCH($C$2,元データ!$E$1:$H$1,0)),元データ!$A$2:$A$20000,$A18,元データ!$D$2:$D$20000,$B20,元データ!$B$2:$B$20000,$C$3,元データ!$C$2:$C$20000,K$5)</f>
        <v>746</v>
      </c>
      <c r="L20" s="16">
        <f>SUMIFS(INDEX(元データ!$E$2:$H$20000,0,MATCH($C$2,元データ!$E$1:$H$1,0)),元データ!$A$2:$A$20000,$A18,元データ!$D$2:$D$20000,$B20,元データ!$B$2:$B$20000,$C$3,元データ!$C$2:$C$20000,L$5)</f>
        <v>459</v>
      </c>
      <c r="M20" s="16">
        <f>SUMIFS(INDEX(元データ!$E$2:$H$20000,0,MATCH($C$2,元データ!$E$1:$H$1,0)),元データ!$A$2:$A$20000,$A18,元データ!$D$2:$D$20000,$B20,元データ!$B$2:$B$20000,$C$3,元データ!$C$2:$C$20000,M$5)</f>
        <v>476</v>
      </c>
      <c r="N20" s="16">
        <f>SUMIFS(INDEX(元データ!$E$2:$H$20000,0,MATCH($C$2,元データ!$E$1:$H$1,0)),元データ!$A$2:$A$20000,$A18,元データ!$D$2:$D$20000,$B20,元データ!$B$2:$B$20000,$C$3,元データ!$C$2:$C$20000,N$5)</f>
        <v>355</v>
      </c>
      <c r="O20" s="17">
        <f t="shared" si="0"/>
        <v>5024</v>
      </c>
      <c r="P20" s="17">
        <f>SUMIFS(INDEX(元データ!$E$2:$H$20000,0,MATCH($C$2,元データ!$E$1:$H$1,0)),元データ!$A$2:$A$20000,$A18,元データ!$D$2:$D$20000,$B20,元データ!$B$2:$B$20000,$D$3)</f>
        <v>5068</v>
      </c>
      <c r="Q20" s="25">
        <f t="shared" si="1"/>
        <v>0.99131807419100237</v>
      </c>
    </row>
    <row r="21" spans="1:17" x14ac:dyDescent="0.45">
      <c r="A21" s="14" t="str">
        <f>店舗マスタ!A7</f>
        <v>香貫店</v>
      </c>
      <c r="B21" s="15" t="s">
        <v>27</v>
      </c>
      <c r="C21" s="16">
        <f>SUMIFS(INDEX(元データ!$E$2:$H$20000,0,MATCH($C$2,元データ!$E$1:$H$1,0)),元データ!$A$2:$A$20000,$A21,元データ!$D$2:$D$20000,$B21,元データ!$B$2:$B$20000,$C$3,元データ!$C$2:$C$20000,C$5)</f>
        <v>974</v>
      </c>
      <c r="D21" s="16">
        <f>SUMIFS(INDEX(元データ!$E$2:$H$20000,0,MATCH($C$2,元データ!$E$1:$H$1,0)),元データ!$A$2:$A$20000,$A21,元データ!$D$2:$D$20000,$B21,元データ!$B$2:$B$20000,$C$3,元データ!$C$2:$C$20000,D$5)</f>
        <v>1106</v>
      </c>
      <c r="E21" s="16">
        <f>SUMIFS(INDEX(元データ!$E$2:$H$20000,0,MATCH($C$2,元データ!$E$1:$H$1,0)),元データ!$A$2:$A$20000,$A21,元データ!$D$2:$D$20000,$B21,元データ!$B$2:$B$20000,$C$3,元データ!$C$2:$C$20000,E$5)</f>
        <v>1365</v>
      </c>
      <c r="F21" s="16">
        <f>SUMIFS(INDEX(元データ!$E$2:$H$20000,0,MATCH($C$2,元データ!$E$1:$H$1,0)),元データ!$A$2:$A$20000,$A21,元データ!$D$2:$D$20000,$B21,元データ!$B$2:$B$20000,$C$3,元データ!$C$2:$C$20000,F$5)</f>
        <v>1315</v>
      </c>
      <c r="G21" s="16">
        <f>SUMIFS(INDEX(元データ!$E$2:$H$20000,0,MATCH($C$2,元データ!$E$1:$H$1,0)),元データ!$A$2:$A$20000,$A21,元データ!$D$2:$D$20000,$B21,元データ!$B$2:$B$20000,$C$3,元データ!$C$2:$C$20000,G$5)</f>
        <v>1364</v>
      </c>
      <c r="H21" s="16">
        <f>SUMIFS(INDEX(元データ!$E$2:$H$20000,0,MATCH($C$2,元データ!$E$1:$H$1,0)),元データ!$A$2:$A$20000,$A21,元データ!$D$2:$D$20000,$B21,元データ!$B$2:$B$20000,$C$3,元データ!$C$2:$C$20000,H$5)</f>
        <v>1058</v>
      </c>
      <c r="I21" s="16">
        <f>SUMIFS(INDEX(元データ!$E$2:$H$20000,0,MATCH($C$2,元データ!$E$1:$H$1,0)),元データ!$A$2:$A$20000,$A21,元データ!$D$2:$D$20000,$B21,元データ!$B$2:$B$20000,$C$3,元データ!$C$2:$C$20000,I$5)</f>
        <v>987</v>
      </c>
      <c r="J21" s="16">
        <f>SUMIFS(INDEX(元データ!$E$2:$H$20000,0,MATCH($C$2,元データ!$E$1:$H$1,0)),元データ!$A$2:$A$20000,$A21,元データ!$D$2:$D$20000,$B21,元データ!$B$2:$B$20000,$C$3,元データ!$C$2:$C$20000,J$5)</f>
        <v>1328</v>
      </c>
      <c r="K21" s="16">
        <f>SUMIFS(INDEX(元データ!$E$2:$H$20000,0,MATCH($C$2,元データ!$E$1:$H$1,0)),元データ!$A$2:$A$20000,$A21,元データ!$D$2:$D$20000,$B21,元データ!$B$2:$B$20000,$C$3,元データ!$C$2:$C$20000,K$5)</f>
        <v>1210</v>
      </c>
      <c r="L21" s="16">
        <f>SUMIFS(INDEX(元データ!$E$2:$H$20000,0,MATCH($C$2,元データ!$E$1:$H$1,0)),元データ!$A$2:$A$20000,$A21,元データ!$D$2:$D$20000,$B21,元データ!$B$2:$B$20000,$C$3,元データ!$C$2:$C$20000,L$5)</f>
        <v>1053</v>
      </c>
      <c r="M21" s="16">
        <f>SUMIFS(INDEX(元データ!$E$2:$H$20000,0,MATCH($C$2,元データ!$E$1:$H$1,0)),元データ!$A$2:$A$20000,$A21,元データ!$D$2:$D$20000,$B21,元データ!$B$2:$B$20000,$C$3,元データ!$C$2:$C$20000,M$5)</f>
        <v>1202</v>
      </c>
      <c r="N21" s="16">
        <f>SUMIFS(INDEX(元データ!$E$2:$H$20000,0,MATCH($C$2,元データ!$E$1:$H$1,0)),元データ!$A$2:$A$20000,$A21,元データ!$D$2:$D$20000,$B21,元データ!$B$2:$B$20000,$C$3,元データ!$C$2:$C$20000,N$5)</f>
        <v>1455</v>
      </c>
      <c r="O21" s="17">
        <f t="shared" si="0"/>
        <v>14417</v>
      </c>
      <c r="P21" s="17">
        <f>SUMIFS(INDEX(元データ!$E$2:$H$20000,0,MATCH($C$2,元データ!$E$1:$H$1,0)),元データ!$A$2:$A$20000,$A21,元データ!$D$2:$D$20000,$B21,元データ!$B$2:$B$20000,$D$3)</f>
        <v>16632</v>
      </c>
      <c r="Q21" s="25">
        <f t="shared" si="1"/>
        <v>0.86682299182299183</v>
      </c>
    </row>
    <row r="22" spans="1:17" x14ac:dyDescent="0.45">
      <c r="A22" s="14"/>
      <c r="B22" s="15" t="s">
        <v>28</v>
      </c>
      <c r="C22" s="16">
        <f>SUMIFS(INDEX(元データ!$E$2:$H$20000,0,MATCH($C$2,元データ!$E$1:$H$1,0)),元データ!$A$2:$A$20000,$A21,元データ!$D$2:$D$20000,$B22,元データ!$B$2:$B$20000,$C$3,元データ!$C$2:$C$20000,C$5)</f>
        <v>496</v>
      </c>
      <c r="D22" s="16">
        <f>SUMIFS(INDEX(元データ!$E$2:$H$20000,0,MATCH($C$2,元データ!$E$1:$H$1,0)),元データ!$A$2:$A$20000,$A21,元データ!$D$2:$D$20000,$B22,元データ!$B$2:$B$20000,$C$3,元データ!$C$2:$C$20000,D$5)</f>
        <v>496</v>
      </c>
      <c r="E22" s="16">
        <f>SUMIFS(INDEX(元データ!$E$2:$H$20000,0,MATCH($C$2,元データ!$E$1:$H$1,0)),元データ!$A$2:$A$20000,$A21,元データ!$D$2:$D$20000,$B22,元データ!$B$2:$B$20000,$C$3,元データ!$C$2:$C$20000,E$5)</f>
        <v>723</v>
      </c>
      <c r="F22" s="16">
        <f>SUMIFS(INDEX(元データ!$E$2:$H$20000,0,MATCH($C$2,元データ!$E$1:$H$1,0)),元データ!$A$2:$A$20000,$A21,元データ!$D$2:$D$20000,$B22,元データ!$B$2:$B$20000,$C$3,元データ!$C$2:$C$20000,F$5)</f>
        <v>742</v>
      </c>
      <c r="G22" s="16">
        <f>SUMIFS(INDEX(元データ!$E$2:$H$20000,0,MATCH($C$2,元データ!$E$1:$H$1,0)),元データ!$A$2:$A$20000,$A21,元データ!$D$2:$D$20000,$B22,元データ!$B$2:$B$20000,$C$3,元データ!$C$2:$C$20000,G$5)</f>
        <v>675</v>
      </c>
      <c r="H22" s="16">
        <f>SUMIFS(INDEX(元データ!$E$2:$H$20000,0,MATCH($C$2,元データ!$E$1:$H$1,0)),元データ!$A$2:$A$20000,$A21,元データ!$D$2:$D$20000,$B22,元データ!$B$2:$B$20000,$C$3,元データ!$C$2:$C$20000,H$5)</f>
        <v>470</v>
      </c>
      <c r="I22" s="16">
        <f>SUMIFS(INDEX(元データ!$E$2:$H$20000,0,MATCH($C$2,元データ!$E$1:$H$1,0)),元データ!$A$2:$A$20000,$A21,元データ!$D$2:$D$20000,$B22,元データ!$B$2:$B$20000,$C$3,元データ!$C$2:$C$20000,I$5)</f>
        <v>370</v>
      </c>
      <c r="J22" s="16">
        <f>SUMIFS(INDEX(元データ!$E$2:$H$20000,0,MATCH($C$2,元データ!$E$1:$H$1,0)),元データ!$A$2:$A$20000,$A21,元データ!$D$2:$D$20000,$B22,元データ!$B$2:$B$20000,$C$3,元データ!$C$2:$C$20000,J$5)</f>
        <v>554</v>
      </c>
      <c r="K22" s="16">
        <f>SUMIFS(INDEX(元データ!$E$2:$H$20000,0,MATCH($C$2,元データ!$E$1:$H$1,0)),元データ!$A$2:$A$20000,$A21,元データ!$D$2:$D$20000,$B22,元データ!$B$2:$B$20000,$C$3,元データ!$C$2:$C$20000,K$5)</f>
        <v>811</v>
      </c>
      <c r="L22" s="16">
        <f>SUMIFS(INDEX(元データ!$E$2:$H$20000,0,MATCH($C$2,元データ!$E$1:$H$1,0)),元データ!$A$2:$A$20000,$A21,元データ!$D$2:$D$20000,$B22,元データ!$B$2:$B$20000,$C$3,元データ!$C$2:$C$20000,L$5)</f>
        <v>603</v>
      </c>
      <c r="M22" s="16">
        <f>SUMIFS(INDEX(元データ!$E$2:$H$20000,0,MATCH($C$2,元データ!$E$1:$H$1,0)),元データ!$A$2:$A$20000,$A21,元データ!$D$2:$D$20000,$B22,元データ!$B$2:$B$20000,$C$3,元データ!$C$2:$C$20000,M$5)</f>
        <v>630</v>
      </c>
      <c r="N22" s="16">
        <f>SUMIFS(INDEX(元データ!$E$2:$H$20000,0,MATCH($C$2,元データ!$E$1:$H$1,0)),元データ!$A$2:$A$20000,$A21,元データ!$D$2:$D$20000,$B22,元データ!$B$2:$B$20000,$C$3,元データ!$C$2:$C$20000,N$5)</f>
        <v>743</v>
      </c>
      <c r="O22" s="17">
        <f t="shared" si="0"/>
        <v>7313</v>
      </c>
      <c r="P22" s="17">
        <f>SUMIFS(INDEX(元データ!$E$2:$H$20000,0,MATCH($C$2,元データ!$E$1:$H$1,0)),元データ!$A$2:$A$20000,$A21,元データ!$D$2:$D$20000,$B22,元データ!$B$2:$B$20000,$D$3)</f>
        <v>7462</v>
      </c>
      <c r="Q22" s="25">
        <f t="shared" si="1"/>
        <v>0.9800321629589922</v>
      </c>
    </row>
    <row r="23" spans="1:17" x14ac:dyDescent="0.45">
      <c r="A23" s="14"/>
      <c r="B23" s="15" t="s">
        <v>29</v>
      </c>
      <c r="C23" s="16">
        <f>SUMIFS(INDEX(元データ!$E$2:$H$20000,0,MATCH($C$2,元データ!$E$1:$H$1,0)),元データ!$A$2:$A$20000,$A21,元データ!$D$2:$D$20000,$B23,元データ!$B$2:$B$20000,$C$3,元データ!$C$2:$C$20000,C$5)</f>
        <v>259</v>
      </c>
      <c r="D23" s="16">
        <f>SUMIFS(INDEX(元データ!$E$2:$H$20000,0,MATCH($C$2,元データ!$E$1:$H$1,0)),元データ!$A$2:$A$20000,$A21,元データ!$D$2:$D$20000,$B23,元データ!$B$2:$B$20000,$C$3,元データ!$C$2:$C$20000,D$5)</f>
        <v>222</v>
      </c>
      <c r="E23" s="16">
        <f>SUMIFS(INDEX(元データ!$E$2:$H$20000,0,MATCH($C$2,元データ!$E$1:$H$1,0)),元データ!$A$2:$A$20000,$A21,元データ!$D$2:$D$20000,$B23,元データ!$B$2:$B$20000,$C$3,元データ!$C$2:$C$20000,E$5)</f>
        <v>414</v>
      </c>
      <c r="F23" s="16">
        <f>SUMIFS(INDEX(元データ!$E$2:$H$20000,0,MATCH($C$2,元データ!$E$1:$H$1,0)),元データ!$A$2:$A$20000,$A21,元データ!$D$2:$D$20000,$B23,元データ!$B$2:$B$20000,$C$3,元データ!$C$2:$C$20000,F$5)</f>
        <v>434</v>
      </c>
      <c r="G23" s="16">
        <f>SUMIFS(INDEX(元データ!$E$2:$H$20000,0,MATCH($C$2,元データ!$E$1:$H$1,0)),元データ!$A$2:$A$20000,$A21,元データ!$D$2:$D$20000,$B23,元データ!$B$2:$B$20000,$C$3,元データ!$C$2:$C$20000,G$5)</f>
        <v>413</v>
      </c>
      <c r="H23" s="16">
        <f>SUMIFS(INDEX(元データ!$E$2:$H$20000,0,MATCH($C$2,元データ!$E$1:$H$1,0)),元データ!$A$2:$A$20000,$A21,元データ!$D$2:$D$20000,$B23,元データ!$B$2:$B$20000,$C$3,元データ!$C$2:$C$20000,H$5)</f>
        <v>310</v>
      </c>
      <c r="I23" s="16">
        <f>SUMIFS(INDEX(元データ!$E$2:$H$20000,0,MATCH($C$2,元データ!$E$1:$H$1,0)),元データ!$A$2:$A$20000,$A21,元データ!$D$2:$D$20000,$B23,元データ!$B$2:$B$20000,$C$3,元データ!$C$2:$C$20000,I$5)</f>
        <v>218</v>
      </c>
      <c r="J23" s="16">
        <f>SUMIFS(INDEX(元データ!$E$2:$H$20000,0,MATCH($C$2,元データ!$E$1:$H$1,0)),元データ!$A$2:$A$20000,$A21,元データ!$D$2:$D$20000,$B23,元データ!$B$2:$B$20000,$C$3,元データ!$C$2:$C$20000,J$5)</f>
        <v>462</v>
      </c>
      <c r="K23" s="16">
        <f>SUMIFS(INDEX(元データ!$E$2:$H$20000,0,MATCH($C$2,元データ!$E$1:$H$1,0)),元データ!$A$2:$A$20000,$A21,元データ!$D$2:$D$20000,$B23,元データ!$B$2:$B$20000,$C$3,元データ!$C$2:$C$20000,K$5)</f>
        <v>638</v>
      </c>
      <c r="L23" s="16">
        <f>SUMIFS(INDEX(元データ!$E$2:$H$20000,0,MATCH($C$2,元データ!$E$1:$H$1,0)),元データ!$A$2:$A$20000,$A21,元データ!$D$2:$D$20000,$B23,元データ!$B$2:$B$20000,$C$3,元データ!$C$2:$C$20000,L$5)</f>
        <v>422</v>
      </c>
      <c r="M23" s="16">
        <f>SUMIFS(INDEX(元データ!$E$2:$H$20000,0,MATCH($C$2,元データ!$E$1:$H$1,0)),元データ!$A$2:$A$20000,$A21,元データ!$D$2:$D$20000,$B23,元データ!$B$2:$B$20000,$C$3,元データ!$C$2:$C$20000,M$5)</f>
        <v>415</v>
      </c>
      <c r="N23" s="16">
        <f>SUMIFS(INDEX(元データ!$E$2:$H$20000,0,MATCH($C$2,元データ!$E$1:$H$1,0)),元データ!$A$2:$A$20000,$A21,元データ!$D$2:$D$20000,$B23,元データ!$B$2:$B$20000,$C$3,元データ!$C$2:$C$20000,N$5)</f>
        <v>440</v>
      </c>
      <c r="O23" s="17">
        <f t="shared" si="0"/>
        <v>4647</v>
      </c>
      <c r="P23" s="17">
        <f>SUMIFS(INDEX(元データ!$E$2:$H$20000,0,MATCH($C$2,元データ!$E$1:$H$1,0)),元データ!$A$2:$A$20000,$A21,元データ!$D$2:$D$20000,$B23,元データ!$B$2:$B$20000,$D$3)</f>
        <v>4642</v>
      </c>
      <c r="Q23" s="25">
        <f t="shared" si="1"/>
        <v>1.0010771219302026</v>
      </c>
    </row>
    <row r="24" spans="1:17" x14ac:dyDescent="0.45">
      <c r="A24" s="14" t="str">
        <f>店舗マスタ!A8</f>
        <v>学園通り店</v>
      </c>
      <c r="B24" s="15" t="s">
        <v>27</v>
      </c>
      <c r="C24" s="16">
        <f>SUMIFS(INDEX(元データ!$E$2:$H$20000,0,MATCH($C$2,元データ!$E$1:$H$1,0)),元データ!$A$2:$A$20000,$A24,元データ!$D$2:$D$20000,$B24,元データ!$B$2:$B$20000,$C$3,元データ!$C$2:$C$20000,C$5)</f>
        <v>1265</v>
      </c>
      <c r="D24" s="16">
        <f>SUMIFS(INDEX(元データ!$E$2:$H$20000,0,MATCH($C$2,元データ!$E$1:$H$1,0)),元データ!$A$2:$A$20000,$A24,元データ!$D$2:$D$20000,$B24,元データ!$B$2:$B$20000,$C$3,元データ!$C$2:$C$20000,D$5)</f>
        <v>1405</v>
      </c>
      <c r="E24" s="16">
        <f>SUMIFS(INDEX(元データ!$E$2:$H$20000,0,MATCH($C$2,元データ!$E$1:$H$1,0)),元データ!$A$2:$A$20000,$A24,元データ!$D$2:$D$20000,$B24,元データ!$B$2:$B$20000,$C$3,元データ!$C$2:$C$20000,E$5)</f>
        <v>1812</v>
      </c>
      <c r="F24" s="16">
        <f>SUMIFS(INDEX(元データ!$E$2:$H$20000,0,MATCH($C$2,元データ!$E$1:$H$1,0)),元データ!$A$2:$A$20000,$A24,元データ!$D$2:$D$20000,$B24,元データ!$B$2:$B$20000,$C$3,元データ!$C$2:$C$20000,F$5)</f>
        <v>1664</v>
      </c>
      <c r="G24" s="16">
        <f>SUMIFS(INDEX(元データ!$E$2:$H$20000,0,MATCH($C$2,元データ!$E$1:$H$1,0)),元データ!$A$2:$A$20000,$A24,元データ!$D$2:$D$20000,$B24,元データ!$B$2:$B$20000,$C$3,元データ!$C$2:$C$20000,G$5)</f>
        <v>1705</v>
      </c>
      <c r="H24" s="16">
        <f>SUMIFS(INDEX(元データ!$E$2:$H$20000,0,MATCH($C$2,元データ!$E$1:$H$1,0)),元データ!$A$2:$A$20000,$A24,元データ!$D$2:$D$20000,$B24,元データ!$B$2:$B$20000,$C$3,元データ!$C$2:$C$20000,H$5)</f>
        <v>1212</v>
      </c>
      <c r="I24" s="16">
        <f>SUMIFS(INDEX(元データ!$E$2:$H$20000,0,MATCH($C$2,元データ!$E$1:$H$1,0)),元データ!$A$2:$A$20000,$A24,元データ!$D$2:$D$20000,$B24,元データ!$B$2:$B$20000,$C$3,元データ!$C$2:$C$20000,I$5)</f>
        <v>1304</v>
      </c>
      <c r="J24" s="16">
        <f>SUMIFS(INDEX(元データ!$E$2:$H$20000,0,MATCH($C$2,元データ!$E$1:$H$1,0)),元データ!$A$2:$A$20000,$A24,元データ!$D$2:$D$20000,$B24,元データ!$B$2:$B$20000,$C$3,元データ!$C$2:$C$20000,J$5)</f>
        <v>1537</v>
      </c>
      <c r="K24" s="16">
        <f>SUMIFS(INDEX(元データ!$E$2:$H$20000,0,MATCH($C$2,元データ!$E$1:$H$1,0)),元データ!$A$2:$A$20000,$A24,元データ!$D$2:$D$20000,$B24,元データ!$B$2:$B$20000,$C$3,元データ!$C$2:$C$20000,K$5)</f>
        <v>1401</v>
      </c>
      <c r="L24" s="16">
        <f>SUMIFS(INDEX(元データ!$E$2:$H$20000,0,MATCH($C$2,元データ!$E$1:$H$1,0)),元データ!$A$2:$A$20000,$A24,元データ!$D$2:$D$20000,$B24,元データ!$B$2:$B$20000,$C$3,元データ!$C$2:$C$20000,L$5)</f>
        <v>1208</v>
      </c>
      <c r="M24" s="16">
        <f>SUMIFS(INDEX(元データ!$E$2:$H$20000,0,MATCH($C$2,元データ!$E$1:$H$1,0)),元データ!$A$2:$A$20000,$A24,元データ!$D$2:$D$20000,$B24,元データ!$B$2:$B$20000,$C$3,元データ!$C$2:$C$20000,M$5)</f>
        <v>1494</v>
      </c>
      <c r="N24" s="16">
        <f>SUMIFS(INDEX(元データ!$E$2:$H$20000,0,MATCH($C$2,元データ!$E$1:$H$1,0)),元データ!$A$2:$A$20000,$A24,元データ!$D$2:$D$20000,$B24,元データ!$B$2:$B$20000,$C$3,元データ!$C$2:$C$20000,N$5)</f>
        <v>1257</v>
      </c>
      <c r="O24" s="17">
        <f t="shared" si="0"/>
        <v>17264</v>
      </c>
      <c r="P24" s="17">
        <f>SUMIFS(INDEX(元データ!$E$2:$H$20000,0,MATCH($C$2,元データ!$E$1:$H$1,0)),元データ!$A$2:$A$20000,$A24,元データ!$D$2:$D$20000,$B24,元データ!$B$2:$B$20000,$D$3)</f>
        <v>20458</v>
      </c>
      <c r="Q24" s="25">
        <f t="shared" si="1"/>
        <v>0.84387525662332585</v>
      </c>
    </row>
    <row r="25" spans="1:17" x14ac:dyDescent="0.45">
      <c r="A25" s="14"/>
      <c r="B25" s="15" t="s">
        <v>28</v>
      </c>
      <c r="C25" s="16">
        <f>SUMIFS(INDEX(元データ!$E$2:$H$20000,0,MATCH($C$2,元データ!$E$1:$H$1,0)),元データ!$A$2:$A$20000,$A24,元データ!$D$2:$D$20000,$B25,元データ!$B$2:$B$20000,$C$3,元データ!$C$2:$C$20000,C$5)</f>
        <v>531</v>
      </c>
      <c r="D25" s="16">
        <f>SUMIFS(INDEX(元データ!$E$2:$H$20000,0,MATCH($C$2,元データ!$E$1:$H$1,0)),元データ!$A$2:$A$20000,$A24,元データ!$D$2:$D$20000,$B25,元データ!$B$2:$B$20000,$C$3,元データ!$C$2:$C$20000,D$5)</f>
        <v>545</v>
      </c>
      <c r="E25" s="16">
        <f>SUMIFS(INDEX(元データ!$E$2:$H$20000,0,MATCH($C$2,元データ!$E$1:$H$1,0)),元データ!$A$2:$A$20000,$A24,元データ!$D$2:$D$20000,$B25,元データ!$B$2:$B$20000,$C$3,元データ!$C$2:$C$20000,E$5)</f>
        <v>743</v>
      </c>
      <c r="F25" s="16">
        <f>SUMIFS(INDEX(元データ!$E$2:$H$20000,0,MATCH($C$2,元データ!$E$1:$H$1,0)),元データ!$A$2:$A$20000,$A24,元データ!$D$2:$D$20000,$B25,元データ!$B$2:$B$20000,$C$3,元データ!$C$2:$C$20000,F$5)</f>
        <v>778</v>
      </c>
      <c r="G25" s="16">
        <f>SUMIFS(INDEX(元データ!$E$2:$H$20000,0,MATCH($C$2,元データ!$E$1:$H$1,0)),元データ!$A$2:$A$20000,$A24,元データ!$D$2:$D$20000,$B25,元データ!$B$2:$B$20000,$C$3,元データ!$C$2:$C$20000,G$5)</f>
        <v>684</v>
      </c>
      <c r="H25" s="16">
        <f>SUMIFS(INDEX(元データ!$E$2:$H$20000,0,MATCH($C$2,元データ!$E$1:$H$1,0)),元データ!$A$2:$A$20000,$A24,元データ!$D$2:$D$20000,$B25,元データ!$B$2:$B$20000,$C$3,元データ!$C$2:$C$20000,H$5)</f>
        <v>419</v>
      </c>
      <c r="I25" s="16">
        <f>SUMIFS(INDEX(元データ!$E$2:$H$20000,0,MATCH($C$2,元データ!$E$1:$H$1,0)),元データ!$A$2:$A$20000,$A24,元データ!$D$2:$D$20000,$B25,元データ!$B$2:$B$20000,$C$3,元データ!$C$2:$C$20000,I$5)</f>
        <v>381</v>
      </c>
      <c r="J25" s="16">
        <f>SUMIFS(INDEX(元データ!$E$2:$H$20000,0,MATCH($C$2,元データ!$E$1:$H$1,0)),元データ!$A$2:$A$20000,$A24,元データ!$D$2:$D$20000,$B25,元データ!$B$2:$B$20000,$C$3,元データ!$C$2:$C$20000,J$5)</f>
        <v>544</v>
      </c>
      <c r="K25" s="16">
        <f>SUMIFS(INDEX(元データ!$E$2:$H$20000,0,MATCH($C$2,元データ!$E$1:$H$1,0)),元データ!$A$2:$A$20000,$A24,元データ!$D$2:$D$20000,$B25,元データ!$B$2:$B$20000,$C$3,元データ!$C$2:$C$20000,K$5)</f>
        <v>785</v>
      </c>
      <c r="L25" s="16">
        <f>SUMIFS(INDEX(元データ!$E$2:$H$20000,0,MATCH($C$2,元データ!$E$1:$H$1,0)),元データ!$A$2:$A$20000,$A24,元データ!$D$2:$D$20000,$B25,元データ!$B$2:$B$20000,$C$3,元データ!$C$2:$C$20000,L$5)</f>
        <v>609</v>
      </c>
      <c r="M25" s="16">
        <f>SUMIFS(INDEX(元データ!$E$2:$H$20000,0,MATCH($C$2,元データ!$E$1:$H$1,0)),元データ!$A$2:$A$20000,$A24,元データ!$D$2:$D$20000,$B25,元データ!$B$2:$B$20000,$C$3,元データ!$C$2:$C$20000,M$5)</f>
        <v>666</v>
      </c>
      <c r="N25" s="16">
        <f>SUMIFS(INDEX(元データ!$E$2:$H$20000,0,MATCH($C$2,元データ!$E$1:$H$1,0)),元データ!$A$2:$A$20000,$A24,元データ!$D$2:$D$20000,$B25,元データ!$B$2:$B$20000,$C$3,元データ!$C$2:$C$20000,N$5)</f>
        <v>605</v>
      </c>
      <c r="O25" s="17">
        <f t="shared" si="0"/>
        <v>7290</v>
      </c>
      <c r="P25" s="17">
        <f>SUMIFS(INDEX(元データ!$E$2:$H$20000,0,MATCH($C$2,元データ!$E$1:$H$1,0)),元データ!$A$2:$A$20000,$A24,元データ!$D$2:$D$20000,$B25,元データ!$B$2:$B$20000,$D$3)</f>
        <v>12928</v>
      </c>
      <c r="Q25" s="25">
        <f t="shared" si="1"/>
        <v>0.56389232673267331</v>
      </c>
    </row>
    <row r="26" spans="1:17" x14ac:dyDescent="0.45">
      <c r="A26" s="14"/>
      <c r="B26" s="15" t="s">
        <v>29</v>
      </c>
      <c r="C26" s="16">
        <f>SUMIFS(INDEX(元データ!$E$2:$H$20000,0,MATCH($C$2,元データ!$E$1:$H$1,0)),元データ!$A$2:$A$20000,$A24,元データ!$D$2:$D$20000,$B26,元データ!$B$2:$B$20000,$C$3,元データ!$C$2:$C$20000,C$5)</f>
        <v>238</v>
      </c>
      <c r="D26" s="16">
        <f>SUMIFS(INDEX(元データ!$E$2:$H$20000,0,MATCH($C$2,元データ!$E$1:$H$1,0)),元データ!$A$2:$A$20000,$A24,元データ!$D$2:$D$20000,$B26,元データ!$B$2:$B$20000,$C$3,元データ!$C$2:$C$20000,D$5)</f>
        <v>231</v>
      </c>
      <c r="E26" s="16">
        <f>SUMIFS(INDEX(元データ!$E$2:$H$20000,0,MATCH($C$2,元データ!$E$1:$H$1,0)),元データ!$A$2:$A$20000,$A24,元データ!$D$2:$D$20000,$B26,元データ!$B$2:$B$20000,$C$3,元データ!$C$2:$C$20000,E$5)</f>
        <v>394</v>
      </c>
      <c r="F26" s="16">
        <f>SUMIFS(INDEX(元データ!$E$2:$H$20000,0,MATCH($C$2,元データ!$E$1:$H$1,0)),元データ!$A$2:$A$20000,$A24,元データ!$D$2:$D$20000,$B26,元データ!$B$2:$B$20000,$C$3,元データ!$C$2:$C$20000,F$5)</f>
        <v>514</v>
      </c>
      <c r="G26" s="16">
        <f>SUMIFS(INDEX(元データ!$E$2:$H$20000,0,MATCH($C$2,元データ!$E$1:$H$1,0)),元データ!$A$2:$A$20000,$A24,元データ!$D$2:$D$20000,$B26,元データ!$B$2:$B$20000,$C$3,元データ!$C$2:$C$20000,G$5)</f>
        <v>489</v>
      </c>
      <c r="H26" s="16">
        <f>SUMIFS(INDEX(元データ!$E$2:$H$20000,0,MATCH($C$2,元データ!$E$1:$H$1,0)),元データ!$A$2:$A$20000,$A24,元データ!$D$2:$D$20000,$B26,元データ!$B$2:$B$20000,$C$3,元データ!$C$2:$C$20000,H$5)</f>
        <v>316</v>
      </c>
      <c r="I26" s="16">
        <f>SUMIFS(INDEX(元データ!$E$2:$H$20000,0,MATCH($C$2,元データ!$E$1:$H$1,0)),元データ!$A$2:$A$20000,$A24,元データ!$D$2:$D$20000,$B26,元データ!$B$2:$B$20000,$C$3,元データ!$C$2:$C$20000,I$5)</f>
        <v>281</v>
      </c>
      <c r="J26" s="16">
        <f>SUMIFS(INDEX(元データ!$E$2:$H$20000,0,MATCH($C$2,元データ!$E$1:$H$1,0)),元データ!$A$2:$A$20000,$A24,元データ!$D$2:$D$20000,$B26,元データ!$B$2:$B$20000,$C$3,元データ!$C$2:$C$20000,J$5)</f>
        <v>423</v>
      </c>
      <c r="K26" s="16">
        <f>SUMIFS(INDEX(元データ!$E$2:$H$20000,0,MATCH($C$2,元データ!$E$1:$H$1,0)),元データ!$A$2:$A$20000,$A24,元データ!$D$2:$D$20000,$B26,元データ!$B$2:$B$20000,$C$3,元データ!$C$2:$C$20000,K$5)</f>
        <v>615</v>
      </c>
      <c r="L26" s="16">
        <f>SUMIFS(INDEX(元データ!$E$2:$H$20000,0,MATCH($C$2,元データ!$E$1:$H$1,0)),元データ!$A$2:$A$20000,$A24,元データ!$D$2:$D$20000,$B26,元データ!$B$2:$B$20000,$C$3,元データ!$C$2:$C$20000,L$5)</f>
        <v>428</v>
      </c>
      <c r="M26" s="16">
        <f>SUMIFS(INDEX(元データ!$E$2:$H$20000,0,MATCH($C$2,元データ!$E$1:$H$1,0)),元データ!$A$2:$A$20000,$A24,元データ!$D$2:$D$20000,$B26,元データ!$B$2:$B$20000,$C$3,元データ!$C$2:$C$20000,M$5)</f>
        <v>478</v>
      </c>
      <c r="N26" s="16">
        <f>SUMIFS(INDEX(元データ!$E$2:$H$20000,0,MATCH($C$2,元データ!$E$1:$H$1,0)),元データ!$A$2:$A$20000,$A24,元データ!$D$2:$D$20000,$B26,元データ!$B$2:$B$20000,$C$3,元データ!$C$2:$C$20000,N$5)</f>
        <v>307</v>
      </c>
      <c r="O26" s="17">
        <f t="shared" si="0"/>
        <v>4714</v>
      </c>
      <c r="P26" s="17">
        <f>SUMIFS(INDEX(元データ!$E$2:$H$20000,0,MATCH($C$2,元データ!$E$1:$H$1,0)),元データ!$A$2:$A$20000,$A24,元データ!$D$2:$D$20000,$B26,元データ!$B$2:$B$20000,$D$3)</f>
        <v>4711</v>
      </c>
      <c r="Q26" s="25">
        <f t="shared" si="1"/>
        <v>1.0006368074718743</v>
      </c>
    </row>
    <row r="27" spans="1:17" x14ac:dyDescent="0.45">
      <c r="A27" s="14" t="str">
        <f>店舗マスタ!A9</f>
        <v>伏見店</v>
      </c>
      <c r="B27" s="15" t="s">
        <v>27</v>
      </c>
      <c r="C27" s="16">
        <f>SUMIFS(INDEX(元データ!$E$2:$H$20000,0,MATCH($C$2,元データ!$E$1:$H$1,0)),元データ!$A$2:$A$20000,$A27,元データ!$D$2:$D$20000,$B27,元データ!$B$2:$B$20000,$C$3,元データ!$C$2:$C$20000,C$5)</f>
        <v>643</v>
      </c>
      <c r="D27" s="16">
        <f>SUMIFS(INDEX(元データ!$E$2:$H$20000,0,MATCH($C$2,元データ!$E$1:$H$1,0)),元データ!$A$2:$A$20000,$A27,元データ!$D$2:$D$20000,$B27,元データ!$B$2:$B$20000,$C$3,元データ!$C$2:$C$20000,D$5)</f>
        <v>636</v>
      </c>
      <c r="E27" s="16">
        <f>SUMIFS(INDEX(元データ!$E$2:$H$20000,0,MATCH($C$2,元データ!$E$1:$H$1,0)),元データ!$A$2:$A$20000,$A27,元データ!$D$2:$D$20000,$B27,元データ!$B$2:$B$20000,$C$3,元データ!$C$2:$C$20000,E$5)</f>
        <v>832</v>
      </c>
      <c r="F27" s="16">
        <f>SUMIFS(INDEX(元データ!$E$2:$H$20000,0,MATCH($C$2,元データ!$E$1:$H$1,0)),元データ!$A$2:$A$20000,$A27,元データ!$D$2:$D$20000,$B27,元データ!$B$2:$B$20000,$C$3,元データ!$C$2:$C$20000,F$5)</f>
        <v>741</v>
      </c>
      <c r="G27" s="16">
        <f>SUMIFS(INDEX(元データ!$E$2:$H$20000,0,MATCH($C$2,元データ!$E$1:$H$1,0)),元データ!$A$2:$A$20000,$A27,元データ!$D$2:$D$20000,$B27,元データ!$B$2:$B$20000,$C$3,元データ!$C$2:$C$20000,G$5)</f>
        <v>841</v>
      </c>
      <c r="H27" s="16">
        <f>SUMIFS(INDEX(元データ!$E$2:$H$20000,0,MATCH($C$2,元データ!$E$1:$H$1,0)),元データ!$A$2:$A$20000,$A27,元データ!$D$2:$D$20000,$B27,元データ!$B$2:$B$20000,$C$3,元データ!$C$2:$C$20000,H$5)</f>
        <v>643</v>
      </c>
      <c r="I27" s="16">
        <f>SUMIFS(INDEX(元データ!$E$2:$H$20000,0,MATCH($C$2,元データ!$E$1:$H$1,0)),元データ!$A$2:$A$20000,$A27,元データ!$D$2:$D$20000,$B27,元データ!$B$2:$B$20000,$C$3,元データ!$C$2:$C$20000,I$5)</f>
        <v>659</v>
      </c>
      <c r="J27" s="16">
        <f>SUMIFS(INDEX(元データ!$E$2:$H$20000,0,MATCH($C$2,元データ!$E$1:$H$1,0)),元データ!$A$2:$A$20000,$A27,元データ!$D$2:$D$20000,$B27,元データ!$B$2:$B$20000,$C$3,元データ!$C$2:$C$20000,J$5)</f>
        <v>868</v>
      </c>
      <c r="K27" s="16">
        <f>SUMIFS(INDEX(元データ!$E$2:$H$20000,0,MATCH($C$2,元データ!$E$1:$H$1,0)),元データ!$A$2:$A$20000,$A27,元データ!$D$2:$D$20000,$B27,元データ!$B$2:$B$20000,$C$3,元データ!$C$2:$C$20000,K$5)</f>
        <v>827</v>
      </c>
      <c r="L27" s="16">
        <f>SUMIFS(INDEX(元データ!$E$2:$H$20000,0,MATCH($C$2,元データ!$E$1:$H$1,0)),元データ!$A$2:$A$20000,$A27,元データ!$D$2:$D$20000,$B27,元データ!$B$2:$B$20000,$C$3,元データ!$C$2:$C$20000,L$5)</f>
        <v>721</v>
      </c>
      <c r="M27" s="16">
        <f>SUMIFS(INDEX(元データ!$E$2:$H$20000,0,MATCH($C$2,元データ!$E$1:$H$1,0)),元データ!$A$2:$A$20000,$A27,元データ!$D$2:$D$20000,$B27,元データ!$B$2:$B$20000,$C$3,元データ!$C$2:$C$20000,M$5)</f>
        <v>0</v>
      </c>
      <c r="N27" s="16">
        <f>SUMIFS(INDEX(元データ!$E$2:$H$20000,0,MATCH($C$2,元データ!$E$1:$H$1,0)),元データ!$A$2:$A$20000,$A27,元データ!$D$2:$D$20000,$B27,元データ!$B$2:$B$20000,$C$3,元データ!$C$2:$C$20000,N$5)</f>
        <v>0</v>
      </c>
      <c r="O27" s="17">
        <f t="shared" si="0"/>
        <v>7411</v>
      </c>
      <c r="P27" s="17">
        <f>SUMIFS(INDEX(元データ!$E$2:$H$20000,0,MATCH($C$2,元データ!$E$1:$H$1,0)),元データ!$A$2:$A$20000,$A27,元データ!$D$2:$D$20000,$B27,元データ!$B$2:$B$20000,$D$3)</f>
        <v>8485</v>
      </c>
      <c r="Q27" s="25">
        <f t="shared" si="1"/>
        <v>0.87342368886269883</v>
      </c>
    </row>
    <row r="28" spans="1:17" x14ac:dyDescent="0.45">
      <c r="A28" s="14"/>
      <c r="B28" s="15" t="s">
        <v>28</v>
      </c>
      <c r="C28" s="16">
        <f>SUMIFS(INDEX(元データ!$E$2:$H$20000,0,MATCH($C$2,元データ!$E$1:$H$1,0)),元データ!$A$2:$A$20000,$A27,元データ!$D$2:$D$20000,$B28,元データ!$B$2:$B$20000,$C$3,元データ!$C$2:$C$20000,C$5)</f>
        <v>251</v>
      </c>
      <c r="D28" s="16">
        <f>SUMIFS(INDEX(元データ!$E$2:$H$20000,0,MATCH($C$2,元データ!$E$1:$H$1,0)),元データ!$A$2:$A$20000,$A27,元データ!$D$2:$D$20000,$B28,元データ!$B$2:$B$20000,$C$3,元データ!$C$2:$C$20000,D$5)</f>
        <v>313</v>
      </c>
      <c r="E28" s="16">
        <f>SUMIFS(INDEX(元データ!$E$2:$H$20000,0,MATCH($C$2,元データ!$E$1:$H$1,0)),元データ!$A$2:$A$20000,$A27,元データ!$D$2:$D$20000,$B28,元データ!$B$2:$B$20000,$C$3,元データ!$C$2:$C$20000,E$5)</f>
        <v>371</v>
      </c>
      <c r="F28" s="16">
        <f>SUMIFS(INDEX(元データ!$E$2:$H$20000,0,MATCH($C$2,元データ!$E$1:$H$1,0)),元データ!$A$2:$A$20000,$A27,元データ!$D$2:$D$20000,$B28,元データ!$B$2:$B$20000,$C$3,元データ!$C$2:$C$20000,F$5)</f>
        <v>343</v>
      </c>
      <c r="G28" s="16">
        <f>SUMIFS(INDEX(元データ!$E$2:$H$20000,0,MATCH($C$2,元データ!$E$1:$H$1,0)),元データ!$A$2:$A$20000,$A27,元データ!$D$2:$D$20000,$B28,元データ!$B$2:$B$20000,$C$3,元データ!$C$2:$C$20000,G$5)</f>
        <v>369</v>
      </c>
      <c r="H28" s="16">
        <f>SUMIFS(INDEX(元データ!$E$2:$H$20000,0,MATCH($C$2,元データ!$E$1:$H$1,0)),元データ!$A$2:$A$20000,$A27,元データ!$D$2:$D$20000,$B28,元データ!$B$2:$B$20000,$C$3,元データ!$C$2:$C$20000,H$5)</f>
        <v>258</v>
      </c>
      <c r="I28" s="16">
        <f>SUMIFS(INDEX(元データ!$E$2:$H$20000,0,MATCH($C$2,元データ!$E$1:$H$1,0)),元データ!$A$2:$A$20000,$A27,元データ!$D$2:$D$20000,$B28,元データ!$B$2:$B$20000,$C$3,元データ!$C$2:$C$20000,I$5)</f>
        <v>220</v>
      </c>
      <c r="J28" s="16">
        <f>SUMIFS(INDEX(元データ!$E$2:$H$20000,0,MATCH($C$2,元データ!$E$1:$H$1,0)),元データ!$A$2:$A$20000,$A27,元データ!$D$2:$D$20000,$B28,元データ!$B$2:$B$20000,$C$3,元データ!$C$2:$C$20000,J$5)</f>
        <v>346</v>
      </c>
      <c r="K28" s="16">
        <f>SUMIFS(INDEX(元データ!$E$2:$H$20000,0,MATCH($C$2,元データ!$E$1:$H$1,0)),元データ!$A$2:$A$20000,$A27,元データ!$D$2:$D$20000,$B28,元データ!$B$2:$B$20000,$C$3,元データ!$C$2:$C$20000,K$5)</f>
        <v>450</v>
      </c>
      <c r="L28" s="16">
        <f>SUMIFS(INDEX(元データ!$E$2:$H$20000,0,MATCH($C$2,元データ!$E$1:$H$1,0)),元データ!$A$2:$A$20000,$A27,元データ!$D$2:$D$20000,$B28,元データ!$B$2:$B$20000,$C$3,元データ!$C$2:$C$20000,L$5)</f>
        <v>379</v>
      </c>
      <c r="M28" s="16">
        <f>SUMIFS(INDEX(元データ!$E$2:$H$20000,0,MATCH($C$2,元データ!$E$1:$H$1,0)),元データ!$A$2:$A$20000,$A27,元データ!$D$2:$D$20000,$B28,元データ!$B$2:$B$20000,$C$3,元データ!$C$2:$C$20000,M$5)</f>
        <v>0</v>
      </c>
      <c r="N28" s="16">
        <f>SUMIFS(INDEX(元データ!$E$2:$H$20000,0,MATCH($C$2,元データ!$E$1:$H$1,0)),元データ!$A$2:$A$20000,$A27,元データ!$D$2:$D$20000,$B28,元データ!$B$2:$B$20000,$C$3,元データ!$C$2:$C$20000,N$5)</f>
        <v>0</v>
      </c>
      <c r="O28" s="17">
        <f t="shared" si="0"/>
        <v>3300</v>
      </c>
      <c r="P28" s="17">
        <f>SUMIFS(INDEX(元データ!$E$2:$H$20000,0,MATCH($C$2,元データ!$E$1:$H$1,0)),元データ!$A$2:$A$20000,$A27,元データ!$D$2:$D$20000,$B28,元データ!$B$2:$B$20000,$D$3)</f>
        <v>3291</v>
      </c>
      <c r="Q28" s="25">
        <f t="shared" si="1"/>
        <v>1.0027347310847767</v>
      </c>
    </row>
    <row r="29" spans="1:17" x14ac:dyDescent="0.45">
      <c r="A29" s="14"/>
      <c r="B29" s="15" t="s">
        <v>29</v>
      </c>
      <c r="C29" s="16">
        <f>SUMIFS(INDEX(元データ!$E$2:$H$20000,0,MATCH($C$2,元データ!$E$1:$H$1,0)),元データ!$A$2:$A$20000,$A27,元データ!$D$2:$D$20000,$B29,元データ!$B$2:$B$20000,$C$3,元データ!$C$2:$C$20000,C$5)</f>
        <v>106</v>
      </c>
      <c r="D29" s="16">
        <f>SUMIFS(INDEX(元データ!$E$2:$H$20000,0,MATCH($C$2,元データ!$E$1:$H$1,0)),元データ!$A$2:$A$20000,$A27,元データ!$D$2:$D$20000,$B29,元データ!$B$2:$B$20000,$C$3,元データ!$C$2:$C$20000,D$5)</f>
        <v>162</v>
      </c>
      <c r="E29" s="16">
        <f>SUMIFS(INDEX(元データ!$E$2:$H$20000,0,MATCH($C$2,元データ!$E$1:$H$1,0)),元データ!$A$2:$A$20000,$A27,元データ!$D$2:$D$20000,$B29,元データ!$B$2:$B$20000,$C$3,元データ!$C$2:$C$20000,E$5)</f>
        <v>233</v>
      </c>
      <c r="F29" s="16">
        <f>SUMIFS(INDEX(元データ!$E$2:$H$20000,0,MATCH($C$2,元データ!$E$1:$H$1,0)),元データ!$A$2:$A$20000,$A27,元データ!$D$2:$D$20000,$B29,元データ!$B$2:$B$20000,$C$3,元データ!$C$2:$C$20000,F$5)</f>
        <v>230</v>
      </c>
      <c r="G29" s="16">
        <f>SUMIFS(INDEX(元データ!$E$2:$H$20000,0,MATCH($C$2,元データ!$E$1:$H$1,0)),元データ!$A$2:$A$20000,$A27,元データ!$D$2:$D$20000,$B29,元データ!$B$2:$B$20000,$C$3,元データ!$C$2:$C$20000,G$5)</f>
        <v>263</v>
      </c>
      <c r="H29" s="16">
        <f>SUMIFS(INDEX(元データ!$E$2:$H$20000,0,MATCH($C$2,元データ!$E$1:$H$1,0)),元データ!$A$2:$A$20000,$A27,元データ!$D$2:$D$20000,$B29,元データ!$B$2:$B$20000,$C$3,元データ!$C$2:$C$20000,H$5)</f>
        <v>131</v>
      </c>
      <c r="I29" s="16">
        <f>SUMIFS(INDEX(元データ!$E$2:$H$20000,0,MATCH($C$2,元データ!$E$1:$H$1,0)),元データ!$A$2:$A$20000,$A27,元データ!$D$2:$D$20000,$B29,元データ!$B$2:$B$20000,$C$3,元データ!$C$2:$C$20000,I$5)</f>
        <v>128</v>
      </c>
      <c r="J29" s="16">
        <f>SUMIFS(INDEX(元データ!$E$2:$H$20000,0,MATCH($C$2,元データ!$E$1:$H$1,0)),元データ!$A$2:$A$20000,$A27,元データ!$D$2:$D$20000,$B29,元データ!$B$2:$B$20000,$C$3,元データ!$C$2:$C$20000,J$5)</f>
        <v>285</v>
      </c>
      <c r="K29" s="16">
        <f>SUMIFS(INDEX(元データ!$E$2:$H$20000,0,MATCH($C$2,元データ!$E$1:$H$1,0)),元データ!$A$2:$A$20000,$A27,元データ!$D$2:$D$20000,$B29,元データ!$B$2:$B$20000,$C$3,元データ!$C$2:$C$20000,K$5)</f>
        <v>367</v>
      </c>
      <c r="L29" s="16">
        <f>SUMIFS(INDEX(元データ!$E$2:$H$20000,0,MATCH($C$2,元データ!$E$1:$H$1,0)),元データ!$A$2:$A$20000,$A27,元データ!$D$2:$D$20000,$B29,元データ!$B$2:$B$20000,$C$3,元データ!$C$2:$C$20000,L$5)</f>
        <v>204</v>
      </c>
      <c r="M29" s="16">
        <f>SUMIFS(INDEX(元データ!$E$2:$H$20000,0,MATCH($C$2,元データ!$E$1:$H$1,0)),元データ!$A$2:$A$20000,$A27,元データ!$D$2:$D$20000,$B29,元データ!$B$2:$B$20000,$C$3,元データ!$C$2:$C$20000,M$5)</f>
        <v>0</v>
      </c>
      <c r="N29" s="16">
        <f>SUMIFS(INDEX(元データ!$E$2:$H$20000,0,MATCH($C$2,元データ!$E$1:$H$1,0)),元データ!$A$2:$A$20000,$A27,元データ!$D$2:$D$20000,$B29,元データ!$B$2:$B$20000,$C$3,元データ!$C$2:$C$20000,N$5)</f>
        <v>0</v>
      </c>
      <c r="O29" s="17">
        <f t="shared" si="0"/>
        <v>2109</v>
      </c>
      <c r="P29" s="17">
        <f>SUMIFS(INDEX(元データ!$E$2:$H$20000,0,MATCH($C$2,元データ!$E$1:$H$1,0)),元データ!$A$2:$A$20000,$A27,元データ!$D$2:$D$20000,$B29,元データ!$B$2:$B$20000,$D$3)</f>
        <v>2259</v>
      </c>
      <c r="Q29" s="25">
        <f t="shared" si="1"/>
        <v>0.93359893758300128</v>
      </c>
    </row>
    <row r="30" spans="1:17" x14ac:dyDescent="0.45">
      <c r="A30" s="14" t="str">
        <f>店舗マスタ!A10</f>
        <v>原里店</v>
      </c>
      <c r="B30" s="15" t="s">
        <v>27</v>
      </c>
      <c r="C30" s="16">
        <f>SUMIFS(INDEX(元データ!$E$2:$H$20000,0,MATCH($C$2,元データ!$E$1:$H$1,0)),元データ!$A$2:$A$20000,$A30,元データ!$D$2:$D$20000,$B30,元データ!$B$2:$B$20000,$C$3,元データ!$C$2:$C$20000,C$5)</f>
        <v>427</v>
      </c>
      <c r="D30" s="16">
        <f>SUMIFS(INDEX(元データ!$E$2:$H$20000,0,MATCH($C$2,元データ!$E$1:$H$1,0)),元データ!$A$2:$A$20000,$A30,元データ!$D$2:$D$20000,$B30,元データ!$B$2:$B$20000,$C$3,元データ!$C$2:$C$20000,D$5)</f>
        <v>603</v>
      </c>
      <c r="E30" s="16">
        <f>SUMIFS(INDEX(元データ!$E$2:$H$20000,0,MATCH($C$2,元データ!$E$1:$H$1,0)),元データ!$A$2:$A$20000,$A30,元データ!$D$2:$D$20000,$B30,元データ!$B$2:$B$20000,$C$3,元データ!$C$2:$C$20000,E$5)</f>
        <v>786</v>
      </c>
      <c r="F30" s="16">
        <f>SUMIFS(INDEX(元データ!$E$2:$H$20000,0,MATCH($C$2,元データ!$E$1:$H$1,0)),元データ!$A$2:$A$20000,$A30,元データ!$D$2:$D$20000,$B30,元データ!$B$2:$B$20000,$C$3,元データ!$C$2:$C$20000,F$5)</f>
        <v>603</v>
      </c>
      <c r="G30" s="16">
        <f>SUMIFS(INDEX(元データ!$E$2:$H$20000,0,MATCH($C$2,元データ!$E$1:$H$1,0)),元データ!$A$2:$A$20000,$A30,元データ!$D$2:$D$20000,$B30,元データ!$B$2:$B$20000,$C$3,元データ!$C$2:$C$20000,G$5)</f>
        <v>658</v>
      </c>
      <c r="H30" s="16">
        <f>SUMIFS(INDEX(元データ!$E$2:$H$20000,0,MATCH($C$2,元データ!$E$1:$H$1,0)),元データ!$A$2:$A$20000,$A30,元データ!$D$2:$D$20000,$B30,元データ!$B$2:$B$20000,$C$3,元データ!$C$2:$C$20000,H$5)</f>
        <v>479</v>
      </c>
      <c r="I30" s="16">
        <f>SUMIFS(INDEX(元データ!$E$2:$H$20000,0,MATCH($C$2,元データ!$E$1:$H$1,0)),元データ!$A$2:$A$20000,$A30,元データ!$D$2:$D$20000,$B30,元データ!$B$2:$B$20000,$C$3,元データ!$C$2:$C$20000,I$5)</f>
        <v>448</v>
      </c>
      <c r="J30" s="16">
        <f>SUMIFS(INDEX(元データ!$E$2:$H$20000,0,MATCH($C$2,元データ!$E$1:$H$1,0)),元データ!$A$2:$A$20000,$A30,元データ!$D$2:$D$20000,$B30,元データ!$B$2:$B$20000,$C$3,元データ!$C$2:$C$20000,J$5)</f>
        <v>637</v>
      </c>
      <c r="K30" s="16">
        <f>SUMIFS(INDEX(元データ!$E$2:$H$20000,0,MATCH($C$2,元データ!$E$1:$H$1,0)),元データ!$A$2:$A$20000,$A30,元データ!$D$2:$D$20000,$B30,元データ!$B$2:$B$20000,$C$3,元データ!$C$2:$C$20000,K$5)</f>
        <v>642</v>
      </c>
      <c r="L30" s="16">
        <f>SUMIFS(INDEX(元データ!$E$2:$H$20000,0,MATCH($C$2,元データ!$E$1:$H$1,0)),元データ!$A$2:$A$20000,$A30,元データ!$D$2:$D$20000,$B30,元データ!$B$2:$B$20000,$C$3,元データ!$C$2:$C$20000,L$5)</f>
        <v>525</v>
      </c>
      <c r="M30" s="16">
        <f>SUMIFS(INDEX(元データ!$E$2:$H$20000,0,MATCH($C$2,元データ!$E$1:$H$1,0)),元データ!$A$2:$A$20000,$A30,元データ!$D$2:$D$20000,$B30,元データ!$B$2:$B$20000,$C$3,元データ!$C$2:$C$20000,M$5)</f>
        <v>564</v>
      </c>
      <c r="N30" s="16">
        <f>SUMIFS(INDEX(元データ!$E$2:$H$20000,0,MATCH($C$2,元データ!$E$1:$H$1,0)),元データ!$A$2:$A$20000,$A30,元データ!$D$2:$D$20000,$B30,元データ!$B$2:$B$20000,$C$3,元データ!$C$2:$C$20000,N$5)</f>
        <v>605</v>
      </c>
      <c r="O30" s="17">
        <f t="shared" si="0"/>
        <v>6977</v>
      </c>
      <c r="P30" s="17">
        <f>SUMIFS(INDEX(元データ!$E$2:$H$20000,0,MATCH($C$2,元データ!$E$1:$H$1,0)),元データ!$A$2:$A$20000,$A30,元データ!$D$2:$D$20000,$B30,元データ!$B$2:$B$20000,$D$3)</f>
        <v>7747</v>
      </c>
      <c r="Q30" s="25">
        <f t="shared" si="1"/>
        <v>0.90060668645927455</v>
      </c>
    </row>
    <row r="31" spans="1:17" x14ac:dyDescent="0.45">
      <c r="A31" s="14"/>
      <c r="B31" s="15" t="s">
        <v>28</v>
      </c>
      <c r="C31" s="16">
        <f>SUMIFS(INDEX(元データ!$E$2:$H$20000,0,MATCH($C$2,元データ!$E$1:$H$1,0)),元データ!$A$2:$A$20000,$A30,元データ!$D$2:$D$20000,$B31,元データ!$B$2:$B$20000,$C$3,元データ!$C$2:$C$20000,C$5)</f>
        <v>358</v>
      </c>
      <c r="D31" s="16">
        <f>SUMIFS(INDEX(元データ!$E$2:$H$20000,0,MATCH($C$2,元データ!$E$1:$H$1,0)),元データ!$A$2:$A$20000,$A30,元データ!$D$2:$D$20000,$B31,元データ!$B$2:$B$20000,$C$3,元データ!$C$2:$C$20000,D$5)</f>
        <v>437</v>
      </c>
      <c r="E31" s="16">
        <f>SUMIFS(INDEX(元データ!$E$2:$H$20000,0,MATCH($C$2,元データ!$E$1:$H$1,0)),元データ!$A$2:$A$20000,$A30,元データ!$D$2:$D$20000,$B31,元データ!$B$2:$B$20000,$C$3,元データ!$C$2:$C$20000,E$5)</f>
        <v>556</v>
      </c>
      <c r="F31" s="16">
        <f>SUMIFS(INDEX(元データ!$E$2:$H$20000,0,MATCH($C$2,元データ!$E$1:$H$1,0)),元データ!$A$2:$A$20000,$A30,元データ!$D$2:$D$20000,$B31,元データ!$B$2:$B$20000,$C$3,元データ!$C$2:$C$20000,F$5)</f>
        <v>396</v>
      </c>
      <c r="G31" s="16">
        <f>SUMIFS(INDEX(元データ!$E$2:$H$20000,0,MATCH($C$2,元データ!$E$1:$H$1,0)),元データ!$A$2:$A$20000,$A30,元データ!$D$2:$D$20000,$B31,元データ!$B$2:$B$20000,$C$3,元データ!$C$2:$C$20000,G$5)</f>
        <v>424</v>
      </c>
      <c r="H31" s="16">
        <f>SUMIFS(INDEX(元データ!$E$2:$H$20000,0,MATCH($C$2,元データ!$E$1:$H$1,0)),元データ!$A$2:$A$20000,$A30,元データ!$D$2:$D$20000,$B31,元データ!$B$2:$B$20000,$C$3,元データ!$C$2:$C$20000,H$5)</f>
        <v>320</v>
      </c>
      <c r="I31" s="16">
        <f>SUMIFS(INDEX(元データ!$E$2:$H$20000,0,MATCH($C$2,元データ!$E$1:$H$1,0)),元データ!$A$2:$A$20000,$A30,元データ!$D$2:$D$20000,$B31,元データ!$B$2:$B$20000,$C$3,元データ!$C$2:$C$20000,I$5)</f>
        <v>260</v>
      </c>
      <c r="J31" s="16">
        <f>SUMIFS(INDEX(元データ!$E$2:$H$20000,0,MATCH($C$2,元データ!$E$1:$H$1,0)),元データ!$A$2:$A$20000,$A30,元データ!$D$2:$D$20000,$B31,元データ!$B$2:$B$20000,$C$3,元データ!$C$2:$C$20000,J$5)</f>
        <v>401</v>
      </c>
      <c r="K31" s="16">
        <f>SUMIFS(INDEX(元データ!$E$2:$H$20000,0,MATCH($C$2,元データ!$E$1:$H$1,0)),元データ!$A$2:$A$20000,$A30,元データ!$D$2:$D$20000,$B31,元データ!$B$2:$B$20000,$C$3,元データ!$C$2:$C$20000,K$5)</f>
        <v>552</v>
      </c>
      <c r="L31" s="16">
        <f>SUMIFS(INDEX(元データ!$E$2:$H$20000,0,MATCH($C$2,元データ!$E$1:$H$1,0)),元データ!$A$2:$A$20000,$A30,元データ!$D$2:$D$20000,$B31,元データ!$B$2:$B$20000,$C$3,元データ!$C$2:$C$20000,L$5)</f>
        <v>375</v>
      </c>
      <c r="M31" s="16">
        <f>SUMIFS(INDEX(元データ!$E$2:$H$20000,0,MATCH($C$2,元データ!$E$1:$H$1,0)),元データ!$A$2:$A$20000,$A30,元データ!$D$2:$D$20000,$B31,元データ!$B$2:$B$20000,$C$3,元データ!$C$2:$C$20000,M$5)</f>
        <v>431</v>
      </c>
      <c r="N31" s="16">
        <f>SUMIFS(INDEX(元データ!$E$2:$H$20000,0,MATCH($C$2,元データ!$E$1:$H$1,0)),元データ!$A$2:$A$20000,$A30,元データ!$D$2:$D$20000,$B31,元データ!$B$2:$B$20000,$C$3,元データ!$C$2:$C$20000,N$5)</f>
        <v>467</v>
      </c>
      <c r="O31" s="17">
        <f t="shared" si="0"/>
        <v>4977</v>
      </c>
      <c r="P31" s="17">
        <f>SUMIFS(INDEX(元データ!$E$2:$H$20000,0,MATCH($C$2,元データ!$E$1:$H$1,0)),元データ!$A$2:$A$20000,$A30,元データ!$D$2:$D$20000,$B31,元データ!$B$2:$B$20000,$D$3)</f>
        <v>5463</v>
      </c>
      <c r="Q31" s="25">
        <f t="shared" si="1"/>
        <v>0.91103789126853374</v>
      </c>
    </row>
    <row r="32" spans="1:17" x14ac:dyDescent="0.45">
      <c r="A32" s="14"/>
      <c r="B32" s="15" t="s">
        <v>29</v>
      </c>
      <c r="C32" s="16">
        <f>SUMIFS(INDEX(元データ!$E$2:$H$20000,0,MATCH($C$2,元データ!$E$1:$H$1,0)),元データ!$A$2:$A$20000,$A30,元データ!$D$2:$D$20000,$B32,元データ!$B$2:$B$20000,$C$3,元データ!$C$2:$C$20000,C$5)</f>
        <v>210</v>
      </c>
      <c r="D32" s="16">
        <f>SUMIFS(INDEX(元データ!$E$2:$H$20000,0,MATCH($C$2,元データ!$E$1:$H$1,0)),元データ!$A$2:$A$20000,$A30,元データ!$D$2:$D$20000,$B32,元データ!$B$2:$B$20000,$C$3,元データ!$C$2:$C$20000,D$5)</f>
        <v>294</v>
      </c>
      <c r="E32" s="16">
        <f>SUMIFS(INDEX(元データ!$E$2:$H$20000,0,MATCH($C$2,元データ!$E$1:$H$1,0)),元データ!$A$2:$A$20000,$A30,元データ!$D$2:$D$20000,$B32,元データ!$B$2:$B$20000,$C$3,元データ!$C$2:$C$20000,E$5)</f>
        <v>412</v>
      </c>
      <c r="F32" s="16">
        <f>SUMIFS(INDEX(元データ!$E$2:$H$20000,0,MATCH($C$2,元データ!$E$1:$H$1,0)),元データ!$A$2:$A$20000,$A30,元データ!$D$2:$D$20000,$B32,元データ!$B$2:$B$20000,$C$3,元データ!$C$2:$C$20000,F$5)</f>
        <v>318</v>
      </c>
      <c r="G32" s="16">
        <f>SUMIFS(INDEX(元データ!$E$2:$H$20000,0,MATCH($C$2,元データ!$E$1:$H$1,0)),元データ!$A$2:$A$20000,$A30,元データ!$D$2:$D$20000,$B32,元データ!$B$2:$B$20000,$C$3,元データ!$C$2:$C$20000,G$5)</f>
        <v>410</v>
      </c>
      <c r="H32" s="16">
        <f>SUMIFS(INDEX(元データ!$E$2:$H$20000,0,MATCH($C$2,元データ!$E$1:$H$1,0)),元データ!$A$2:$A$20000,$A30,元データ!$D$2:$D$20000,$B32,元データ!$B$2:$B$20000,$C$3,元データ!$C$2:$C$20000,H$5)</f>
        <v>298</v>
      </c>
      <c r="I32" s="16">
        <f>SUMIFS(INDEX(元データ!$E$2:$H$20000,0,MATCH($C$2,元データ!$E$1:$H$1,0)),元データ!$A$2:$A$20000,$A30,元データ!$D$2:$D$20000,$B32,元データ!$B$2:$B$20000,$C$3,元データ!$C$2:$C$20000,I$5)</f>
        <v>238</v>
      </c>
      <c r="J32" s="16">
        <f>SUMIFS(INDEX(元データ!$E$2:$H$20000,0,MATCH($C$2,元データ!$E$1:$H$1,0)),元データ!$A$2:$A$20000,$A30,元データ!$D$2:$D$20000,$B32,元データ!$B$2:$B$20000,$C$3,元データ!$C$2:$C$20000,J$5)</f>
        <v>373</v>
      </c>
      <c r="K32" s="16">
        <f>SUMIFS(INDEX(元データ!$E$2:$H$20000,0,MATCH($C$2,元データ!$E$1:$H$1,0)),元データ!$A$2:$A$20000,$A30,元データ!$D$2:$D$20000,$B32,元データ!$B$2:$B$20000,$C$3,元データ!$C$2:$C$20000,K$5)</f>
        <v>570</v>
      </c>
      <c r="L32" s="16">
        <f>SUMIFS(INDEX(元データ!$E$2:$H$20000,0,MATCH($C$2,元データ!$E$1:$H$1,0)),元データ!$A$2:$A$20000,$A30,元データ!$D$2:$D$20000,$B32,元データ!$B$2:$B$20000,$C$3,元データ!$C$2:$C$20000,L$5)</f>
        <v>343</v>
      </c>
      <c r="M32" s="16">
        <f>SUMIFS(INDEX(元データ!$E$2:$H$20000,0,MATCH($C$2,元データ!$E$1:$H$1,0)),元データ!$A$2:$A$20000,$A30,元データ!$D$2:$D$20000,$B32,元データ!$B$2:$B$20000,$C$3,元データ!$C$2:$C$20000,M$5)</f>
        <v>361</v>
      </c>
      <c r="N32" s="16">
        <f>SUMIFS(INDEX(元データ!$E$2:$H$20000,0,MATCH($C$2,元データ!$E$1:$H$1,0)),元データ!$A$2:$A$20000,$A30,元データ!$D$2:$D$20000,$B32,元データ!$B$2:$B$20000,$C$3,元データ!$C$2:$C$20000,N$5)</f>
        <v>366</v>
      </c>
      <c r="O32" s="17">
        <f t="shared" si="0"/>
        <v>4193</v>
      </c>
      <c r="P32" s="17">
        <f>SUMIFS(INDEX(元データ!$E$2:$H$20000,0,MATCH($C$2,元データ!$E$1:$H$1,0)),元データ!$A$2:$A$20000,$A30,元データ!$D$2:$D$20000,$B32,元データ!$B$2:$B$20000,$D$3)</f>
        <v>4531</v>
      </c>
      <c r="Q32" s="25">
        <f t="shared" si="1"/>
        <v>0.92540278084308103</v>
      </c>
    </row>
    <row r="33" spans="1:17" x14ac:dyDescent="0.45">
      <c r="A33" s="14" t="str">
        <f>店舗マスタ!A11</f>
        <v>岡の宮店</v>
      </c>
      <c r="B33" s="15" t="s">
        <v>27</v>
      </c>
      <c r="C33" s="16">
        <f>SUMIFS(INDEX(元データ!$E$2:$H$20000,0,MATCH($C$2,元データ!$E$1:$H$1,0)),元データ!$A$2:$A$20000,$A33,元データ!$D$2:$D$20000,$B33,元データ!$B$2:$B$20000,$C$3,元データ!$C$2:$C$20000,C$5)</f>
        <v>1134</v>
      </c>
      <c r="D33" s="16">
        <f>SUMIFS(INDEX(元データ!$E$2:$H$20000,0,MATCH($C$2,元データ!$E$1:$H$1,0)),元データ!$A$2:$A$20000,$A33,元データ!$D$2:$D$20000,$B33,元データ!$B$2:$B$20000,$C$3,元データ!$C$2:$C$20000,D$5)</f>
        <v>1274</v>
      </c>
      <c r="E33" s="16">
        <f>SUMIFS(INDEX(元データ!$E$2:$H$20000,0,MATCH($C$2,元データ!$E$1:$H$1,0)),元データ!$A$2:$A$20000,$A33,元データ!$D$2:$D$20000,$B33,元データ!$B$2:$B$20000,$C$3,元データ!$C$2:$C$20000,E$5)</f>
        <v>1606</v>
      </c>
      <c r="F33" s="16">
        <f>SUMIFS(INDEX(元データ!$E$2:$H$20000,0,MATCH($C$2,元データ!$E$1:$H$1,0)),元データ!$A$2:$A$20000,$A33,元データ!$D$2:$D$20000,$B33,元データ!$B$2:$B$20000,$C$3,元データ!$C$2:$C$20000,F$5)</f>
        <v>1478</v>
      </c>
      <c r="G33" s="16">
        <f>SUMIFS(INDEX(元データ!$E$2:$H$20000,0,MATCH($C$2,元データ!$E$1:$H$1,0)),元データ!$A$2:$A$20000,$A33,元データ!$D$2:$D$20000,$B33,元データ!$B$2:$B$20000,$C$3,元データ!$C$2:$C$20000,G$5)</f>
        <v>1472</v>
      </c>
      <c r="H33" s="16">
        <f>SUMIFS(INDEX(元データ!$E$2:$H$20000,0,MATCH($C$2,元データ!$E$1:$H$1,0)),元データ!$A$2:$A$20000,$A33,元データ!$D$2:$D$20000,$B33,元データ!$B$2:$B$20000,$C$3,元データ!$C$2:$C$20000,H$5)</f>
        <v>1050</v>
      </c>
      <c r="I33" s="16">
        <f>SUMIFS(INDEX(元データ!$E$2:$H$20000,0,MATCH($C$2,元データ!$E$1:$H$1,0)),元データ!$A$2:$A$20000,$A33,元データ!$D$2:$D$20000,$B33,元データ!$B$2:$B$20000,$C$3,元データ!$C$2:$C$20000,I$5)</f>
        <v>1071</v>
      </c>
      <c r="J33" s="16">
        <f>SUMIFS(INDEX(元データ!$E$2:$H$20000,0,MATCH($C$2,元データ!$E$1:$H$1,0)),元データ!$A$2:$A$20000,$A33,元データ!$D$2:$D$20000,$B33,元データ!$B$2:$B$20000,$C$3,元データ!$C$2:$C$20000,J$5)</f>
        <v>1338</v>
      </c>
      <c r="K33" s="16">
        <f>SUMIFS(INDEX(元データ!$E$2:$H$20000,0,MATCH($C$2,元データ!$E$1:$H$1,0)),元データ!$A$2:$A$20000,$A33,元データ!$D$2:$D$20000,$B33,元データ!$B$2:$B$20000,$C$3,元データ!$C$2:$C$20000,K$5)</f>
        <v>1334</v>
      </c>
      <c r="L33" s="16">
        <f>SUMIFS(INDEX(元データ!$E$2:$H$20000,0,MATCH($C$2,元データ!$E$1:$H$1,0)),元データ!$A$2:$A$20000,$A33,元データ!$D$2:$D$20000,$B33,元データ!$B$2:$B$20000,$C$3,元データ!$C$2:$C$20000,L$5)</f>
        <v>1110</v>
      </c>
      <c r="M33" s="16">
        <f>SUMIFS(INDEX(元データ!$E$2:$H$20000,0,MATCH($C$2,元データ!$E$1:$H$1,0)),元データ!$A$2:$A$20000,$A33,元データ!$D$2:$D$20000,$B33,元データ!$B$2:$B$20000,$C$3,元データ!$C$2:$C$20000,M$5)</f>
        <v>1453</v>
      </c>
      <c r="N33" s="16">
        <f>SUMIFS(INDEX(元データ!$E$2:$H$20000,0,MATCH($C$2,元データ!$E$1:$H$1,0)),元データ!$A$2:$A$20000,$A33,元データ!$D$2:$D$20000,$B33,元データ!$B$2:$B$20000,$C$3,元データ!$C$2:$C$20000,N$5)</f>
        <v>1292</v>
      </c>
      <c r="O33" s="17">
        <f t="shared" si="0"/>
        <v>15612</v>
      </c>
      <c r="P33" s="17">
        <f>SUMIFS(INDEX(元データ!$E$2:$H$20000,0,MATCH($C$2,元データ!$E$1:$H$1,0)),元データ!$A$2:$A$20000,$A33,元データ!$D$2:$D$20000,$B33,元データ!$B$2:$B$20000,$D$3)</f>
        <v>17529</v>
      </c>
      <c r="Q33" s="25">
        <f t="shared" si="1"/>
        <v>0.89063837069998286</v>
      </c>
    </row>
    <row r="34" spans="1:17" x14ac:dyDescent="0.45">
      <c r="A34" s="14"/>
      <c r="B34" s="15" t="s">
        <v>28</v>
      </c>
      <c r="C34" s="16">
        <f>SUMIFS(INDEX(元データ!$E$2:$H$20000,0,MATCH($C$2,元データ!$E$1:$H$1,0)),元データ!$A$2:$A$20000,$A33,元データ!$D$2:$D$20000,$B34,元データ!$B$2:$B$20000,$C$3,元データ!$C$2:$C$20000,C$5)</f>
        <v>639</v>
      </c>
      <c r="D34" s="16">
        <f>SUMIFS(INDEX(元データ!$E$2:$H$20000,0,MATCH($C$2,元データ!$E$1:$H$1,0)),元データ!$A$2:$A$20000,$A33,元データ!$D$2:$D$20000,$B34,元データ!$B$2:$B$20000,$C$3,元データ!$C$2:$C$20000,D$5)</f>
        <v>642</v>
      </c>
      <c r="E34" s="16">
        <f>SUMIFS(INDEX(元データ!$E$2:$H$20000,0,MATCH($C$2,元データ!$E$1:$H$1,0)),元データ!$A$2:$A$20000,$A33,元データ!$D$2:$D$20000,$B34,元データ!$B$2:$B$20000,$C$3,元データ!$C$2:$C$20000,E$5)</f>
        <v>843</v>
      </c>
      <c r="F34" s="16">
        <f>SUMIFS(INDEX(元データ!$E$2:$H$20000,0,MATCH($C$2,元データ!$E$1:$H$1,0)),元データ!$A$2:$A$20000,$A33,元データ!$D$2:$D$20000,$B34,元データ!$B$2:$B$20000,$C$3,元データ!$C$2:$C$20000,F$5)</f>
        <v>925</v>
      </c>
      <c r="G34" s="16">
        <f>SUMIFS(INDEX(元データ!$E$2:$H$20000,0,MATCH($C$2,元データ!$E$1:$H$1,0)),元データ!$A$2:$A$20000,$A33,元データ!$D$2:$D$20000,$B34,元データ!$B$2:$B$20000,$C$3,元データ!$C$2:$C$20000,G$5)</f>
        <v>912</v>
      </c>
      <c r="H34" s="16">
        <f>SUMIFS(INDEX(元データ!$E$2:$H$20000,0,MATCH($C$2,元データ!$E$1:$H$1,0)),元データ!$A$2:$A$20000,$A33,元データ!$D$2:$D$20000,$B34,元データ!$B$2:$B$20000,$C$3,元データ!$C$2:$C$20000,H$5)</f>
        <v>461</v>
      </c>
      <c r="I34" s="16">
        <f>SUMIFS(INDEX(元データ!$E$2:$H$20000,0,MATCH($C$2,元データ!$E$1:$H$1,0)),元データ!$A$2:$A$20000,$A33,元データ!$D$2:$D$20000,$B34,元データ!$B$2:$B$20000,$C$3,元データ!$C$2:$C$20000,I$5)</f>
        <v>496</v>
      </c>
      <c r="J34" s="16">
        <f>SUMIFS(INDEX(元データ!$E$2:$H$20000,0,MATCH($C$2,元データ!$E$1:$H$1,0)),元データ!$A$2:$A$20000,$A33,元データ!$D$2:$D$20000,$B34,元データ!$B$2:$B$20000,$C$3,元データ!$C$2:$C$20000,J$5)</f>
        <v>767</v>
      </c>
      <c r="K34" s="16">
        <f>SUMIFS(INDEX(元データ!$E$2:$H$20000,0,MATCH($C$2,元データ!$E$1:$H$1,0)),元データ!$A$2:$A$20000,$A33,元データ!$D$2:$D$20000,$B34,元データ!$B$2:$B$20000,$C$3,元データ!$C$2:$C$20000,K$5)</f>
        <v>931</v>
      </c>
      <c r="L34" s="16">
        <f>SUMIFS(INDEX(元データ!$E$2:$H$20000,0,MATCH($C$2,元データ!$E$1:$H$1,0)),元データ!$A$2:$A$20000,$A33,元データ!$D$2:$D$20000,$B34,元データ!$B$2:$B$20000,$C$3,元データ!$C$2:$C$20000,L$5)</f>
        <v>707</v>
      </c>
      <c r="M34" s="16">
        <f>SUMIFS(INDEX(元データ!$E$2:$H$20000,0,MATCH($C$2,元データ!$E$1:$H$1,0)),元データ!$A$2:$A$20000,$A33,元データ!$D$2:$D$20000,$B34,元データ!$B$2:$B$20000,$C$3,元データ!$C$2:$C$20000,M$5)</f>
        <v>840</v>
      </c>
      <c r="N34" s="16">
        <f>SUMIFS(INDEX(元データ!$E$2:$H$20000,0,MATCH($C$2,元データ!$E$1:$H$1,0)),元データ!$A$2:$A$20000,$A33,元データ!$D$2:$D$20000,$B34,元データ!$B$2:$B$20000,$C$3,元データ!$C$2:$C$20000,N$5)</f>
        <v>737</v>
      </c>
      <c r="O34" s="17">
        <f t="shared" si="0"/>
        <v>8900</v>
      </c>
      <c r="P34" s="17">
        <f>SUMIFS(INDEX(元データ!$E$2:$H$20000,0,MATCH($C$2,元データ!$E$1:$H$1,0)),元データ!$A$2:$A$20000,$A33,元データ!$D$2:$D$20000,$B34,元データ!$B$2:$B$20000,$D$3)</f>
        <v>9207</v>
      </c>
      <c r="Q34" s="25">
        <f t="shared" si="1"/>
        <v>0.96665580536548279</v>
      </c>
    </row>
    <row r="35" spans="1:17" x14ac:dyDescent="0.45">
      <c r="A35" s="14"/>
      <c r="B35" s="15" t="s">
        <v>29</v>
      </c>
      <c r="C35" s="16">
        <f>SUMIFS(INDEX(元データ!$E$2:$H$20000,0,MATCH($C$2,元データ!$E$1:$H$1,0)),元データ!$A$2:$A$20000,$A33,元データ!$D$2:$D$20000,$B35,元データ!$B$2:$B$20000,$C$3,元データ!$C$2:$C$20000,C$5)</f>
        <v>305</v>
      </c>
      <c r="D35" s="16">
        <f>SUMIFS(INDEX(元データ!$E$2:$H$20000,0,MATCH($C$2,元データ!$E$1:$H$1,0)),元データ!$A$2:$A$20000,$A33,元データ!$D$2:$D$20000,$B35,元データ!$B$2:$B$20000,$C$3,元データ!$C$2:$C$20000,D$5)</f>
        <v>316</v>
      </c>
      <c r="E35" s="16">
        <f>SUMIFS(INDEX(元データ!$E$2:$H$20000,0,MATCH($C$2,元データ!$E$1:$H$1,0)),元データ!$A$2:$A$20000,$A33,元データ!$D$2:$D$20000,$B35,元データ!$B$2:$B$20000,$C$3,元データ!$C$2:$C$20000,E$5)</f>
        <v>541</v>
      </c>
      <c r="F35" s="16">
        <f>SUMIFS(INDEX(元データ!$E$2:$H$20000,0,MATCH($C$2,元データ!$E$1:$H$1,0)),元データ!$A$2:$A$20000,$A33,元データ!$D$2:$D$20000,$B35,元データ!$B$2:$B$20000,$C$3,元データ!$C$2:$C$20000,F$5)</f>
        <v>637</v>
      </c>
      <c r="G35" s="16">
        <f>SUMIFS(INDEX(元データ!$E$2:$H$20000,0,MATCH($C$2,元データ!$E$1:$H$1,0)),元データ!$A$2:$A$20000,$A33,元データ!$D$2:$D$20000,$B35,元データ!$B$2:$B$20000,$C$3,元データ!$C$2:$C$20000,G$5)</f>
        <v>685</v>
      </c>
      <c r="H35" s="16">
        <f>SUMIFS(INDEX(元データ!$E$2:$H$20000,0,MATCH($C$2,元データ!$E$1:$H$1,0)),元データ!$A$2:$A$20000,$A33,元データ!$D$2:$D$20000,$B35,元データ!$B$2:$B$20000,$C$3,元データ!$C$2:$C$20000,H$5)</f>
        <v>423</v>
      </c>
      <c r="I35" s="16">
        <f>SUMIFS(INDEX(元データ!$E$2:$H$20000,0,MATCH($C$2,元データ!$E$1:$H$1,0)),元データ!$A$2:$A$20000,$A33,元データ!$D$2:$D$20000,$B35,元データ!$B$2:$B$20000,$C$3,元データ!$C$2:$C$20000,I$5)</f>
        <v>399</v>
      </c>
      <c r="J35" s="16">
        <f>SUMIFS(INDEX(元データ!$E$2:$H$20000,0,MATCH($C$2,元データ!$E$1:$H$1,0)),元データ!$A$2:$A$20000,$A33,元データ!$D$2:$D$20000,$B35,元データ!$B$2:$B$20000,$C$3,元データ!$C$2:$C$20000,J$5)</f>
        <v>697</v>
      </c>
      <c r="K35" s="16">
        <f>SUMIFS(INDEX(元データ!$E$2:$H$20000,0,MATCH($C$2,元データ!$E$1:$H$1,0)),元データ!$A$2:$A$20000,$A33,元データ!$D$2:$D$20000,$B35,元データ!$B$2:$B$20000,$C$3,元データ!$C$2:$C$20000,K$5)</f>
        <v>829</v>
      </c>
      <c r="L35" s="16">
        <f>SUMIFS(INDEX(元データ!$E$2:$H$20000,0,MATCH($C$2,元データ!$E$1:$H$1,0)),元データ!$A$2:$A$20000,$A33,元データ!$D$2:$D$20000,$B35,元データ!$B$2:$B$20000,$C$3,元データ!$C$2:$C$20000,L$5)</f>
        <v>508</v>
      </c>
      <c r="M35" s="16">
        <f>SUMIFS(INDEX(元データ!$E$2:$H$20000,0,MATCH($C$2,元データ!$E$1:$H$1,0)),元データ!$A$2:$A$20000,$A33,元データ!$D$2:$D$20000,$B35,元データ!$B$2:$B$20000,$C$3,元データ!$C$2:$C$20000,M$5)</f>
        <v>624</v>
      </c>
      <c r="N35" s="16">
        <f>SUMIFS(INDEX(元データ!$E$2:$H$20000,0,MATCH($C$2,元データ!$E$1:$H$1,0)),元データ!$A$2:$A$20000,$A33,元データ!$D$2:$D$20000,$B35,元データ!$B$2:$B$20000,$C$3,元データ!$C$2:$C$20000,N$5)</f>
        <v>476</v>
      </c>
      <c r="O35" s="17">
        <f t="shared" si="0"/>
        <v>6440</v>
      </c>
      <c r="P35" s="17">
        <f>SUMIFS(INDEX(元データ!$E$2:$H$20000,0,MATCH($C$2,元データ!$E$1:$H$1,0)),元データ!$A$2:$A$20000,$A33,元データ!$D$2:$D$20000,$B35,元データ!$B$2:$B$20000,$D$3)</f>
        <v>6404</v>
      </c>
      <c r="Q35" s="25">
        <f t="shared" si="1"/>
        <v>1.0056214865708932</v>
      </c>
    </row>
    <row r="36" spans="1:17" x14ac:dyDescent="0.45">
      <c r="A36" s="14" t="str">
        <f>店舗マスタ!A12</f>
        <v>川島田店</v>
      </c>
      <c r="B36" s="15" t="s">
        <v>27</v>
      </c>
      <c r="C36" s="16">
        <f>SUMIFS(INDEX(元データ!$E$2:$H$20000,0,MATCH($C$2,元データ!$E$1:$H$1,0)),元データ!$A$2:$A$20000,$A36,元データ!$D$2:$D$20000,$B36,元データ!$B$2:$B$20000,$C$3,元データ!$C$2:$C$20000,C$5)</f>
        <v>697</v>
      </c>
      <c r="D36" s="16">
        <f>SUMIFS(INDEX(元データ!$E$2:$H$20000,0,MATCH($C$2,元データ!$E$1:$H$1,0)),元データ!$A$2:$A$20000,$A36,元データ!$D$2:$D$20000,$B36,元データ!$B$2:$B$20000,$C$3,元データ!$C$2:$C$20000,D$5)</f>
        <v>808</v>
      </c>
      <c r="E36" s="16">
        <f>SUMIFS(INDEX(元データ!$E$2:$H$20000,0,MATCH($C$2,元データ!$E$1:$H$1,0)),元データ!$A$2:$A$20000,$A36,元データ!$D$2:$D$20000,$B36,元データ!$B$2:$B$20000,$C$3,元データ!$C$2:$C$20000,E$5)</f>
        <v>947</v>
      </c>
      <c r="F36" s="16">
        <f>SUMIFS(INDEX(元データ!$E$2:$H$20000,0,MATCH($C$2,元データ!$E$1:$H$1,0)),元データ!$A$2:$A$20000,$A36,元データ!$D$2:$D$20000,$B36,元データ!$B$2:$B$20000,$C$3,元データ!$C$2:$C$20000,F$5)</f>
        <v>782</v>
      </c>
      <c r="G36" s="16">
        <f>SUMIFS(INDEX(元データ!$E$2:$H$20000,0,MATCH($C$2,元データ!$E$1:$H$1,0)),元データ!$A$2:$A$20000,$A36,元データ!$D$2:$D$20000,$B36,元データ!$B$2:$B$20000,$C$3,元データ!$C$2:$C$20000,G$5)</f>
        <v>879</v>
      </c>
      <c r="H36" s="16">
        <f>SUMIFS(INDEX(元データ!$E$2:$H$20000,0,MATCH($C$2,元データ!$E$1:$H$1,0)),元データ!$A$2:$A$20000,$A36,元データ!$D$2:$D$20000,$B36,元データ!$B$2:$B$20000,$C$3,元データ!$C$2:$C$20000,H$5)</f>
        <v>664</v>
      </c>
      <c r="I36" s="16">
        <f>SUMIFS(INDEX(元データ!$E$2:$H$20000,0,MATCH($C$2,元データ!$E$1:$H$1,0)),元データ!$A$2:$A$20000,$A36,元データ!$D$2:$D$20000,$B36,元データ!$B$2:$B$20000,$C$3,元データ!$C$2:$C$20000,I$5)</f>
        <v>666</v>
      </c>
      <c r="J36" s="16">
        <f>SUMIFS(INDEX(元データ!$E$2:$H$20000,0,MATCH($C$2,元データ!$E$1:$H$1,0)),元データ!$A$2:$A$20000,$A36,元データ!$D$2:$D$20000,$B36,元データ!$B$2:$B$20000,$C$3,元データ!$C$2:$C$20000,J$5)</f>
        <v>786</v>
      </c>
      <c r="K36" s="16">
        <f>SUMIFS(INDEX(元データ!$E$2:$H$20000,0,MATCH($C$2,元データ!$E$1:$H$1,0)),元データ!$A$2:$A$20000,$A36,元データ!$D$2:$D$20000,$B36,元データ!$B$2:$B$20000,$C$3,元データ!$C$2:$C$20000,K$5)</f>
        <v>723</v>
      </c>
      <c r="L36" s="16">
        <f>SUMIFS(INDEX(元データ!$E$2:$H$20000,0,MATCH($C$2,元データ!$E$1:$H$1,0)),元データ!$A$2:$A$20000,$A36,元データ!$D$2:$D$20000,$B36,元データ!$B$2:$B$20000,$C$3,元データ!$C$2:$C$20000,L$5)</f>
        <v>700</v>
      </c>
      <c r="M36" s="16">
        <f>SUMIFS(INDEX(元データ!$E$2:$H$20000,0,MATCH($C$2,元データ!$E$1:$H$1,0)),元データ!$A$2:$A$20000,$A36,元データ!$D$2:$D$20000,$B36,元データ!$B$2:$B$20000,$C$3,元データ!$C$2:$C$20000,M$5)</f>
        <v>763</v>
      </c>
      <c r="N36" s="16">
        <f>SUMIFS(INDEX(元データ!$E$2:$H$20000,0,MATCH($C$2,元データ!$E$1:$H$1,0)),元データ!$A$2:$A$20000,$A36,元データ!$D$2:$D$20000,$B36,元データ!$B$2:$B$20000,$C$3,元データ!$C$2:$C$20000,N$5)</f>
        <v>777</v>
      </c>
      <c r="O36" s="17">
        <f t="shared" si="0"/>
        <v>9192</v>
      </c>
      <c r="P36" s="17">
        <f>SUMIFS(INDEX(元データ!$E$2:$H$20000,0,MATCH($C$2,元データ!$E$1:$H$1,0)),元データ!$A$2:$A$20000,$A36,元データ!$D$2:$D$20000,$B36,元データ!$B$2:$B$20000,$D$3)</f>
        <v>10515</v>
      </c>
      <c r="Q36" s="25">
        <f t="shared" si="1"/>
        <v>0.87417974322396574</v>
      </c>
    </row>
    <row r="37" spans="1:17" x14ac:dyDescent="0.45">
      <c r="A37" s="14"/>
      <c r="B37" s="15" t="s">
        <v>28</v>
      </c>
      <c r="C37" s="16">
        <f>SUMIFS(INDEX(元データ!$E$2:$H$20000,0,MATCH($C$2,元データ!$E$1:$H$1,0)),元データ!$A$2:$A$20000,$A36,元データ!$D$2:$D$20000,$B37,元データ!$B$2:$B$20000,$C$3,元データ!$C$2:$C$20000,C$5)</f>
        <v>362</v>
      </c>
      <c r="D37" s="16">
        <f>SUMIFS(INDEX(元データ!$E$2:$H$20000,0,MATCH($C$2,元データ!$E$1:$H$1,0)),元データ!$A$2:$A$20000,$A36,元データ!$D$2:$D$20000,$B37,元データ!$B$2:$B$20000,$C$3,元データ!$C$2:$C$20000,D$5)</f>
        <v>419</v>
      </c>
      <c r="E37" s="16">
        <f>SUMIFS(INDEX(元データ!$E$2:$H$20000,0,MATCH($C$2,元データ!$E$1:$H$1,0)),元データ!$A$2:$A$20000,$A36,元データ!$D$2:$D$20000,$B37,元データ!$B$2:$B$20000,$C$3,元データ!$C$2:$C$20000,E$5)</f>
        <v>539</v>
      </c>
      <c r="F37" s="16">
        <f>SUMIFS(INDEX(元データ!$E$2:$H$20000,0,MATCH($C$2,元データ!$E$1:$H$1,0)),元データ!$A$2:$A$20000,$A36,元データ!$D$2:$D$20000,$B37,元データ!$B$2:$B$20000,$C$3,元データ!$C$2:$C$20000,F$5)</f>
        <v>430</v>
      </c>
      <c r="G37" s="16">
        <f>SUMIFS(INDEX(元データ!$E$2:$H$20000,0,MATCH($C$2,元データ!$E$1:$H$1,0)),元データ!$A$2:$A$20000,$A36,元データ!$D$2:$D$20000,$B37,元データ!$B$2:$B$20000,$C$3,元データ!$C$2:$C$20000,G$5)</f>
        <v>411</v>
      </c>
      <c r="H37" s="16">
        <f>SUMIFS(INDEX(元データ!$E$2:$H$20000,0,MATCH($C$2,元データ!$E$1:$H$1,0)),元データ!$A$2:$A$20000,$A36,元データ!$D$2:$D$20000,$B37,元データ!$B$2:$B$20000,$C$3,元データ!$C$2:$C$20000,H$5)</f>
        <v>320</v>
      </c>
      <c r="I37" s="16">
        <f>SUMIFS(INDEX(元データ!$E$2:$H$20000,0,MATCH($C$2,元データ!$E$1:$H$1,0)),元データ!$A$2:$A$20000,$A36,元データ!$D$2:$D$20000,$B37,元データ!$B$2:$B$20000,$C$3,元データ!$C$2:$C$20000,I$5)</f>
        <v>264</v>
      </c>
      <c r="J37" s="16">
        <f>SUMIFS(INDEX(元データ!$E$2:$H$20000,0,MATCH($C$2,元データ!$E$1:$H$1,0)),元データ!$A$2:$A$20000,$A36,元データ!$D$2:$D$20000,$B37,元データ!$B$2:$B$20000,$C$3,元データ!$C$2:$C$20000,J$5)</f>
        <v>388</v>
      </c>
      <c r="K37" s="16">
        <f>SUMIFS(INDEX(元データ!$E$2:$H$20000,0,MATCH($C$2,元データ!$E$1:$H$1,0)),元データ!$A$2:$A$20000,$A36,元データ!$D$2:$D$20000,$B37,元データ!$B$2:$B$20000,$C$3,元データ!$C$2:$C$20000,K$5)</f>
        <v>439</v>
      </c>
      <c r="L37" s="16">
        <f>SUMIFS(INDEX(元データ!$E$2:$H$20000,0,MATCH($C$2,元データ!$E$1:$H$1,0)),元データ!$A$2:$A$20000,$A36,元データ!$D$2:$D$20000,$B37,元データ!$B$2:$B$20000,$C$3,元データ!$C$2:$C$20000,L$5)</f>
        <v>354</v>
      </c>
      <c r="M37" s="16">
        <f>SUMIFS(INDEX(元データ!$E$2:$H$20000,0,MATCH($C$2,元データ!$E$1:$H$1,0)),元データ!$A$2:$A$20000,$A36,元データ!$D$2:$D$20000,$B37,元データ!$B$2:$B$20000,$C$3,元データ!$C$2:$C$20000,M$5)</f>
        <v>420</v>
      </c>
      <c r="N37" s="16">
        <f>SUMIFS(INDEX(元データ!$E$2:$H$20000,0,MATCH($C$2,元データ!$E$1:$H$1,0)),元データ!$A$2:$A$20000,$A36,元データ!$D$2:$D$20000,$B37,元データ!$B$2:$B$20000,$C$3,元データ!$C$2:$C$20000,N$5)</f>
        <v>391</v>
      </c>
      <c r="O37" s="17">
        <f t="shared" si="0"/>
        <v>4737</v>
      </c>
      <c r="P37" s="17">
        <f>SUMIFS(INDEX(元データ!$E$2:$H$20000,0,MATCH($C$2,元データ!$E$1:$H$1,0)),元データ!$A$2:$A$20000,$A36,元データ!$D$2:$D$20000,$B37,元データ!$B$2:$B$20000,$D$3)</f>
        <v>5248</v>
      </c>
      <c r="Q37" s="25">
        <f t="shared" si="1"/>
        <v>0.90262957317073167</v>
      </c>
    </row>
    <row r="38" spans="1:17" x14ac:dyDescent="0.45">
      <c r="A38" s="14"/>
      <c r="B38" s="15" t="s">
        <v>29</v>
      </c>
      <c r="C38" s="16">
        <f>SUMIFS(INDEX(元データ!$E$2:$H$20000,0,MATCH($C$2,元データ!$E$1:$H$1,0)),元データ!$A$2:$A$20000,$A36,元データ!$D$2:$D$20000,$B38,元データ!$B$2:$B$20000,$C$3,元データ!$C$2:$C$20000,C$5)</f>
        <v>158</v>
      </c>
      <c r="D38" s="16">
        <f>SUMIFS(INDEX(元データ!$E$2:$H$20000,0,MATCH($C$2,元データ!$E$1:$H$1,0)),元データ!$A$2:$A$20000,$A36,元データ!$D$2:$D$20000,$B38,元データ!$B$2:$B$20000,$C$3,元データ!$C$2:$C$20000,D$5)</f>
        <v>237</v>
      </c>
      <c r="E38" s="16">
        <f>SUMIFS(INDEX(元データ!$E$2:$H$20000,0,MATCH($C$2,元データ!$E$1:$H$1,0)),元データ!$A$2:$A$20000,$A36,元データ!$D$2:$D$20000,$B38,元データ!$B$2:$B$20000,$C$3,元データ!$C$2:$C$20000,E$5)</f>
        <v>357</v>
      </c>
      <c r="F38" s="16">
        <f>SUMIFS(INDEX(元データ!$E$2:$H$20000,0,MATCH($C$2,元データ!$E$1:$H$1,0)),元データ!$A$2:$A$20000,$A36,元データ!$D$2:$D$20000,$B38,元データ!$B$2:$B$20000,$C$3,元データ!$C$2:$C$20000,F$5)</f>
        <v>293</v>
      </c>
      <c r="G38" s="16">
        <f>SUMIFS(INDEX(元データ!$E$2:$H$20000,0,MATCH($C$2,元データ!$E$1:$H$1,0)),元データ!$A$2:$A$20000,$A36,元データ!$D$2:$D$20000,$B38,元データ!$B$2:$B$20000,$C$3,元データ!$C$2:$C$20000,G$5)</f>
        <v>276</v>
      </c>
      <c r="H38" s="16">
        <f>SUMIFS(INDEX(元データ!$E$2:$H$20000,0,MATCH($C$2,元データ!$E$1:$H$1,0)),元データ!$A$2:$A$20000,$A36,元データ!$D$2:$D$20000,$B38,元データ!$B$2:$B$20000,$C$3,元データ!$C$2:$C$20000,H$5)</f>
        <v>212</v>
      </c>
      <c r="I38" s="16">
        <f>SUMIFS(INDEX(元データ!$E$2:$H$20000,0,MATCH($C$2,元データ!$E$1:$H$1,0)),元データ!$A$2:$A$20000,$A36,元データ!$D$2:$D$20000,$B38,元データ!$B$2:$B$20000,$C$3,元データ!$C$2:$C$20000,I$5)</f>
        <v>186</v>
      </c>
      <c r="J38" s="16">
        <f>SUMIFS(INDEX(元データ!$E$2:$H$20000,0,MATCH($C$2,元データ!$E$1:$H$1,0)),元データ!$A$2:$A$20000,$A36,元データ!$D$2:$D$20000,$B38,元データ!$B$2:$B$20000,$C$3,元データ!$C$2:$C$20000,J$5)</f>
        <v>285</v>
      </c>
      <c r="K38" s="16">
        <f>SUMIFS(INDEX(元データ!$E$2:$H$20000,0,MATCH($C$2,元データ!$E$1:$H$1,0)),元データ!$A$2:$A$20000,$A36,元データ!$D$2:$D$20000,$B38,元データ!$B$2:$B$20000,$C$3,元データ!$C$2:$C$20000,K$5)</f>
        <v>387</v>
      </c>
      <c r="L38" s="16">
        <f>SUMIFS(INDEX(元データ!$E$2:$H$20000,0,MATCH($C$2,元データ!$E$1:$H$1,0)),元データ!$A$2:$A$20000,$A36,元データ!$D$2:$D$20000,$B38,元データ!$B$2:$B$20000,$C$3,元データ!$C$2:$C$20000,L$5)</f>
        <v>300</v>
      </c>
      <c r="M38" s="16">
        <f>SUMIFS(INDEX(元データ!$E$2:$H$20000,0,MATCH($C$2,元データ!$E$1:$H$1,0)),元データ!$A$2:$A$20000,$A36,元データ!$D$2:$D$20000,$B38,元データ!$B$2:$B$20000,$C$3,元データ!$C$2:$C$20000,M$5)</f>
        <v>293</v>
      </c>
      <c r="N38" s="16">
        <f>SUMIFS(INDEX(元データ!$E$2:$H$20000,0,MATCH($C$2,元データ!$E$1:$H$1,0)),元データ!$A$2:$A$20000,$A36,元データ!$D$2:$D$20000,$B38,元データ!$B$2:$B$20000,$C$3,元データ!$C$2:$C$20000,N$5)</f>
        <v>250</v>
      </c>
      <c r="O38" s="17">
        <f t="shared" ref="O38:O69" si="2">SUM(C38:N38)</f>
        <v>3234</v>
      </c>
      <c r="P38" s="17">
        <f>SUMIFS(INDEX(元データ!$E$2:$H$20000,0,MATCH($C$2,元データ!$E$1:$H$1,0)),元データ!$A$2:$A$20000,$A36,元データ!$D$2:$D$20000,$B38,元データ!$B$2:$B$20000,$D$3)</f>
        <v>3482</v>
      </c>
      <c r="Q38" s="25">
        <f t="shared" ref="Q38:Q69" si="3">IFERROR(O38/P38,"")</f>
        <v>0.92877656519241814</v>
      </c>
    </row>
    <row r="39" spans="1:17" x14ac:dyDescent="0.45">
      <c r="A39" s="14" t="str">
        <f>店舗マスタ!A13</f>
        <v>便船塚店</v>
      </c>
      <c r="B39" s="15" t="s">
        <v>27</v>
      </c>
      <c r="C39" s="16">
        <f>SUMIFS(INDEX(元データ!$E$2:$H$20000,0,MATCH($C$2,元データ!$E$1:$H$1,0)),元データ!$A$2:$A$20000,$A39,元データ!$D$2:$D$20000,$B39,元データ!$B$2:$B$20000,$C$3,元データ!$C$2:$C$20000,C$5)</f>
        <v>1160</v>
      </c>
      <c r="D39" s="16">
        <f>SUMIFS(INDEX(元データ!$E$2:$H$20000,0,MATCH($C$2,元データ!$E$1:$H$1,0)),元データ!$A$2:$A$20000,$A39,元データ!$D$2:$D$20000,$B39,元データ!$B$2:$B$20000,$C$3,元データ!$C$2:$C$20000,D$5)</f>
        <v>1263</v>
      </c>
      <c r="E39" s="16">
        <f>SUMIFS(INDEX(元データ!$E$2:$H$20000,0,MATCH($C$2,元データ!$E$1:$H$1,0)),元データ!$A$2:$A$20000,$A39,元データ!$D$2:$D$20000,$B39,元データ!$B$2:$B$20000,$C$3,元データ!$C$2:$C$20000,E$5)</f>
        <v>1533</v>
      </c>
      <c r="F39" s="16">
        <f>SUMIFS(INDEX(元データ!$E$2:$H$20000,0,MATCH($C$2,元データ!$E$1:$H$1,0)),元データ!$A$2:$A$20000,$A39,元データ!$D$2:$D$20000,$B39,元データ!$B$2:$B$20000,$C$3,元データ!$C$2:$C$20000,F$5)</f>
        <v>1252</v>
      </c>
      <c r="G39" s="16">
        <f>SUMIFS(INDEX(元データ!$E$2:$H$20000,0,MATCH($C$2,元データ!$E$1:$H$1,0)),元データ!$A$2:$A$20000,$A39,元データ!$D$2:$D$20000,$B39,元データ!$B$2:$B$20000,$C$3,元データ!$C$2:$C$20000,G$5)</f>
        <v>1298</v>
      </c>
      <c r="H39" s="16">
        <f>SUMIFS(INDEX(元データ!$E$2:$H$20000,0,MATCH($C$2,元データ!$E$1:$H$1,0)),元データ!$A$2:$A$20000,$A39,元データ!$D$2:$D$20000,$B39,元データ!$B$2:$B$20000,$C$3,元データ!$C$2:$C$20000,H$5)</f>
        <v>931</v>
      </c>
      <c r="I39" s="16">
        <f>SUMIFS(INDEX(元データ!$E$2:$H$20000,0,MATCH($C$2,元データ!$E$1:$H$1,0)),元データ!$A$2:$A$20000,$A39,元データ!$D$2:$D$20000,$B39,元データ!$B$2:$B$20000,$C$3,元データ!$C$2:$C$20000,I$5)</f>
        <v>877</v>
      </c>
      <c r="J39" s="16">
        <f>SUMIFS(INDEX(元データ!$E$2:$H$20000,0,MATCH($C$2,元データ!$E$1:$H$1,0)),元データ!$A$2:$A$20000,$A39,元データ!$D$2:$D$20000,$B39,元データ!$B$2:$B$20000,$C$3,元データ!$C$2:$C$20000,J$5)</f>
        <v>1171</v>
      </c>
      <c r="K39" s="16">
        <f>SUMIFS(INDEX(元データ!$E$2:$H$20000,0,MATCH($C$2,元データ!$E$1:$H$1,0)),元データ!$A$2:$A$20000,$A39,元データ!$D$2:$D$20000,$B39,元データ!$B$2:$B$20000,$C$3,元データ!$C$2:$C$20000,K$5)</f>
        <v>1270</v>
      </c>
      <c r="L39" s="16">
        <f>SUMIFS(INDEX(元データ!$E$2:$H$20000,0,MATCH($C$2,元データ!$E$1:$H$1,0)),元データ!$A$2:$A$20000,$A39,元データ!$D$2:$D$20000,$B39,元データ!$B$2:$B$20000,$C$3,元データ!$C$2:$C$20000,L$5)</f>
        <v>1126</v>
      </c>
      <c r="M39" s="16">
        <f>SUMIFS(INDEX(元データ!$E$2:$H$20000,0,MATCH($C$2,元データ!$E$1:$H$1,0)),元データ!$A$2:$A$20000,$A39,元データ!$D$2:$D$20000,$B39,元データ!$B$2:$B$20000,$C$3,元データ!$C$2:$C$20000,M$5)</f>
        <v>1289</v>
      </c>
      <c r="N39" s="16">
        <f>SUMIFS(INDEX(元データ!$E$2:$H$20000,0,MATCH($C$2,元データ!$E$1:$H$1,0)),元データ!$A$2:$A$20000,$A39,元データ!$D$2:$D$20000,$B39,元データ!$B$2:$B$20000,$C$3,元データ!$C$2:$C$20000,N$5)</f>
        <v>1124</v>
      </c>
      <c r="O39" s="17">
        <f t="shared" si="2"/>
        <v>14294</v>
      </c>
      <c r="P39" s="17">
        <f>SUMIFS(INDEX(元データ!$E$2:$H$20000,0,MATCH($C$2,元データ!$E$1:$H$1,0)),元データ!$A$2:$A$20000,$A39,元データ!$D$2:$D$20000,$B39,元データ!$B$2:$B$20000,$D$3)</f>
        <v>16440</v>
      </c>
      <c r="Q39" s="25">
        <f t="shared" si="3"/>
        <v>0.86946472019464716</v>
      </c>
    </row>
    <row r="40" spans="1:17" x14ac:dyDescent="0.45">
      <c r="A40" s="14"/>
      <c r="B40" s="15" t="s">
        <v>28</v>
      </c>
      <c r="C40" s="16">
        <f>SUMIFS(INDEX(元データ!$E$2:$H$20000,0,MATCH($C$2,元データ!$E$1:$H$1,0)),元データ!$A$2:$A$20000,$A39,元データ!$D$2:$D$20000,$B40,元データ!$B$2:$B$20000,$C$3,元データ!$C$2:$C$20000,C$5)</f>
        <v>577</v>
      </c>
      <c r="D40" s="16">
        <f>SUMIFS(INDEX(元データ!$E$2:$H$20000,0,MATCH($C$2,元データ!$E$1:$H$1,0)),元データ!$A$2:$A$20000,$A39,元データ!$D$2:$D$20000,$B40,元データ!$B$2:$B$20000,$C$3,元データ!$C$2:$C$20000,D$5)</f>
        <v>673</v>
      </c>
      <c r="E40" s="16">
        <f>SUMIFS(INDEX(元データ!$E$2:$H$20000,0,MATCH($C$2,元データ!$E$1:$H$1,0)),元データ!$A$2:$A$20000,$A39,元データ!$D$2:$D$20000,$B40,元データ!$B$2:$B$20000,$C$3,元データ!$C$2:$C$20000,E$5)</f>
        <v>983</v>
      </c>
      <c r="F40" s="16">
        <f>SUMIFS(INDEX(元データ!$E$2:$H$20000,0,MATCH($C$2,元データ!$E$1:$H$1,0)),元データ!$A$2:$A$20000,$A39,元データ!$D$2:$D$20000,$B40,元データ!$B$2:$B$20000,$C$3,元データ!$C$2:$C$20000,F$5)</f>
        <v>745</v>
      </c>
      <c r="G40" s="16">
        <f>SUMIFS(INDEX(元データ!$E$2:$H$20000,0,MATCH($C$2,元データ!$E$1:$H$1,0)),元データ!$A$2:$A$20000,$A39,元データ!$D$2:$D$20000,$B40,元データ!$B$2:$B$20000,$C$3,元データ!$C$2:$C$20000,G$5)</f>
        <v>734</v>
      </c>
      <c r="H40" s="16">
        <f>SUMIFS(INDEX(元データ!$E$2:$H$20000,0,MATCH($C$2,元データ!$E$1:$H$1,0)),元データ!$A$2:$A$20000,$A39,元データ!$D$2:$D$20000,$B40,元データ!$B$2:$B$20000,$C$3,元データ!$C$2:$C$20000,H$5)</f>
        <v>531</v>
      </c>
      <c r="I40" s="16">
        <f>SUMIFS(INDEX(元データ!$E$2:$H$20000,0,MATCH($C$2,元データ!$E$1:$H$1,0)),元データ!$A$2:$A$20000,$A39,元データ!$D$2:$D$20000,$B40,元データ!$B$2:$B$20000,$C$3,元データ!$C$2:$C$20000,I$5)</f>
        <v>437</v>
      </c>
      <c r="J40" s="16">
        <f>SUMIFS(INDEX(元データ!$E$2:$H$20000,0,MATCH($C$2,元データ!$E$1:$H$1,0)),元データ!$A$2:$A$20000,$A39,元データ!$D$2:$D$20000,$B40,元データ!$B$2:$B$20000,$C$3,元データ!$C$2:$C$20000,J$5)</f>
        <v>723</v>
      </c>
      <c r="K40" s="16">
        <f>SUMIFS(INDEX(元データ!$E$2:$H$20000,0,MATCH($C$2,元データ!$E$1:$H$1,0)),元データ!$A$2:$A$20000,$A39,元データ!$D$2:$D$20000,$B40,元データ!$B$2:$B$20000,$C$3,元データ!$C$2:$C$20000,K$5)</f>
        <v>899</v>
      </c>
      <c r="L40" s="16">
        <f>SUMIFS(INDEX(元データ!$E$2:$H$20000,0,MATCH($C$2,元データ!$E$1:$H$1,0)),元データ!$A$2:$A$20000,$A39,元データ!$D$2:$D$20000,$B40,元データ!$B$2:$B$20000,$C$3,元データ!$C$2:$C$20000,L$5)</f>
        <v>668</v>
      </c>
      <c r="M40" s="16">
        <f>SUMIFS(INDEX(元データ!$E$2:$H$20000,0,MATCH($C$2,元データ!$E$1:$H$1,0)),元データ!$A$2:$A$20000,$A39,元データ!$D$2:$D$20000,$B40,元データ!$B$2:$B$20000,$C$3,元データ!$C$2:$C$20000,M$5)</f>
        <v>752</v>
      </c>
      <c r="N40" s="16">
        <f>SUMIFS(INDEX(元データ!$E$2:$H$20000,0,MATCH($C$2,元データ!$E$1:$H$1,0)),元データ!$A$2:$A$20000,$A39,元データ!$D$2:$D$20000,$B40,元データ!$B$2:$B$20000,$C$3,元データ!$C$2:$C$20000,N$5)</f>
        <v>684</v>
      </c>
      <c r="O40" s="17">
        <f t="shared" si="2"/>
        <v>8406</v>
      </c>
      <c r="P40" s="17">
        <f>SUMIFS(INDEX(元データ!$E$2:$H$20000,0,MATCH($C$2,元データ!$E$1:$H$1,0)),元データ!$A$2:$A$20000,$A39,元データ!$D$2:$D$20000,$B40,元データ!$B$2:$B$20000,$D$3)</f>
        <v>8515</v>
      </c>
      <c r="Q40" s="25">
        <f t="shared" si="3"/>
        <v>0.98719906048150319</v>
      </c>
    </row>
    <row r="41" spans="1:17" x14ac:dyDescent="0.45">
      <c r="A41" s="14"/>
      <c r="B41" s="15" t="s">
        <v>29</v>
      </c>
      <c r="C41" s="16">
        <f>SUMIFS(INDEX(元データ!$E$2:$H$20000,0,MATCH($C$2,元データ!$E$1:$H$1,0)),元データ!$A$2:$A$20000,$A39,元データ!$D$2:$D$20000,$B41,元データ!$B$2:$B$20000,$C$3,元データ!$C$2:$C$20000,C$5)</f>
        <v>376</v>
      </c>
      <c r="D41" s="16">
        <f>SUMIFS(INDEX(元データ!$E$2:$H$20000,0,MATCH($C$2,元データ!$E$1:$H$1,0)),元データ!$A$2:$A$20000,$A39,元データ!$D$2:$D$20000,$B41,元データ!$B$2:$B$20000,$C$3,元データ!$C$2:$C$20000,D$5)</f>
        <v>382</v>
      </c>
      <c r="E41" s="16">
        <f>SUMIFS(INDEX(元データ!$E$2:$H$20000,0,MATCH($C$2,元データ!$E$1:$H$1,0)),元データ!$A$2:$A$20000,$A39,元データ!$D$2:$D$20000,$B41,元データ!$B$2:$B$20000,$C$3,元データ!$C$2:$C$20000,E$5)</f>
        <v>608</v>
      </c>
      <c r="F41" s="16">
        <f>SUMIFS(INDEX(元データ!$E$2:$H$20000,0,MATCH($C$2,元データ!$E$1:$H$1,0)),元データ!$A$2:$A$20000,$A39,元データ!$D$2:$D$20000,$B41,元データ!$B$2:$B$20000,$C$3,元データ!$C$2:$C$20000,F$5)</f>
        <v>531</v>
      </c>
      <c r="G41" s="16">
        <f>SUMIFS(INDEX(元データ!$E$2:$H$20000,0,MATCH($C$2,元データ!$E$1:$H$1,0)),元データ!$A$2:$A$20000,$A39,元データ!$D$2:$D$20000,$B41,元データ!$B$2:$B$20000,$C$3,元データ!$C$2:$C$20000,G$5)</f>
        <v>516</v>
      </c>
      <c r="H41" s="16">
        <f>SUMIFS(INDEX(元データ!$E$2:$H$20000,0,MATCH($C$2,元データ!$E$1:$H$1,0)),元データ!$A$2:$A$20000,$A39,元データ!$D$2:$D$20000,$B41,元データ!$B$2:$B$20000,$C$3,元データ!$C$2:$C$20000,H$5)</f>
        <v>364</v>
      </c>
      <c r="I41" s="16">
        <f>SUMIFS(INDEX(元データ!$E$2:$H$20000,0,MATCH($C$2,元データ!$E$1:$H$1,0)),元データ!$A$2:$A$20000,$A39,元データ!$D$2:$D$20000,$B41,元データ!$B$2:$B$20000,$C$3,元データ!$C$2:$C$20000,I$5)</f>
        <v>295</v>
      </c>
      <c r="J41" s="16">
        <f>SUMIFS(INDEX(元データ!$E$2:$H$20000,0,MATCH($C$2,元データ!$E$1:$H$1,0)),元データ!$A$2:$A$20000,$A39,元データ!$D$2:$D$20000,$B41,元データ!$B$2:$B$20000,$C$3,元データ!$C$2:$C$20000,J$5)</f>
        <v>598</v>
      </c>
      <c r="K41" s="16">
        <f>SUMIFS(INDEX(元データ!$E$2:$H$20000,0,MATCH($C$2,元データ!$E$1:$H$1,0)),元データ!$A$2:$A$20000,$A39,元データ!$D$2:$D$20000,$B41,元データ!$B$2:$B$20000,$C$3,元データ!$C$2:$C$20000,K$5)</f>
        <v>790</v>
      </c>
      <c r="L41" s="16">
        <f>SUMIFS(INDEX(元データ!$E$2:$H$20000,0,MATCH($C$2,元データ!$E$1:$H$1,0)),元データ!$A$2:$A$20000,$A39,元データ!$D$2:$D$20000,$B41,元データ!$B$2:$B$20000,$C$3,元データ!$C$2:$C$20000,L$5)</f>
        <v>543</v>
      </c>
      <c r="M41" s="16">
        <f>SUMIFS(INDEX(元データ!$E$2:$H$20000,0,MATCH($C$2,元データ!$E$1:$H$1,0)),元データ!$A$2:$A$20000,$A39,元データ!$D$2:$D$20000,$B41,元データ!$B$2:$B$20000,$C$3,元データ!$C$2:$C$20000,M$5)</f>
        <v>553</v>
      </c>
      <c r="N41" s="16">
        <f>SUMIFS(INDEX(元データ!$E$2:$H$20000,0,MATCH($C$2,元データ!$E$1:$H$1,0)),元データ!$A$2:$A$20000,$A39,元データ!$D$2:$D$20000,$B41,元データ!$B$2:$B$20000,$C$3,元データ!$C$2:$C$20000,N$5)</f>
        <v>460</v>
      </c>
      <c r="O41" s="17">
        <f t="shared" si="2"/>
        <v>6016</v>
      </c>
      <c r="P41" s="17">
        <f>SUMIFS(INDEX(元データ!$E$2:$H$20000,0,MATCH($C$2,元データ!$E$1:$H$1,0)),元データ!$A$2:$A$20000,$A39,元データ!$D$2:$D$20000,$B41,元データ!$B$2:$B$20000,$D$3)</f>
        <v>6189</v>
      </c>
      <c r="Q41" s="25">
        <f t="shared" si="3"/>
        <v>0.97204718048149941</v>
      </c>
    </row>
    <row r="42" spans="1:17" x14ac:dyDescent="0.45">
      <c r="A42" s="14" t="str">
        <f>店舗マスタ!A14</f>
        <v>大岡店</v>
      </c>
      <c r="B42" s="15" t="s">
        <v>27</v>
      </c>
      <c r="C42" s="16">
        <f>SUMIFS(INDEX(元データ!$E$2:$H$20000,0,MATCH($C$2,元データ!$E$1:$H$1,0)),元データ!$A$2:$A$20000,$A42,元データ!$D$2:$D$20000,$B42,元データ!$B$2:$B$20000,$C$3,元データ!$C$2:$C$20000,C$5)</f>
        <v>1481</v>
      </c>
      <c r="D42" s="16">
        <f>SUMIFS(INDEX(元データ!$E$2:$H$20000,0,MATCH($C$2,元データ!$E$1:$H$1,0)),元データ!$A$2:$A$20000,$A42,元データ!$D$2:$D$20000,$B42,元データ!$B$2:$B$20000,$C$3,元データ!$C$2:$C$20000,D$5)</f>
        <v>1827</v>
      </c>
      <c r="E42" s="16">
        <f>SUMIFS(INDEX(元データ!$E$2:$H$20000,0,MATCH($C$2,元データ!$E$1:$H$1,0)),元データ!$A$2:$A$20000,$A42,元データ!$D$2:$D$20000,$B42,元データ!$B$2:$B$20000,$C$3,元データ!$C$2:$C$20000,E$5)</f>
        <v>2154</v>
      </c>
      <c r="F42" s="16">
        <f>SUMIFS(INDEX(元データ!$E$2:$H$20000,0,MATCH($C$2,元データ!$E$1:$H$1,0)),元データ!$A$2:$A$20000,$A42,元データ!$D$2:$D$20000,$B42,元データ!$B$2:$B$20000,$C$3,元データ!$C$2:$C$20000,F$5)</f>
        <v>1887</v>
      </c>
      <c r="G42" s="16">
        <f>SUMIFS(INDEX(元データ!$E$2:$H$20000,0,MATCH($C$2,元データ!$E$1:$H$1,0)),元データ!$A$2:$A$20000,$A42,元データ!$D$2:$D$20000,$B42,元データ!$B$2:$B$20000,$C$3,元データ!$C$2:$C$20000,G$5)</f>
        <v>1909</v>
      </c>
      <c r="H42" s="16">
        <f>SUMIFS(INDEX(元データ!$E$2:$H$20000,0,MATCH($C$2,元データ!$E$1:$H$1,0)),元データ!$A$2:$A$20000,$A42,元データ!$D$2:$D$20000,$B42,元データ!$B$2:$B$20000,$C$3,元データ!$C$2:$C$20000,H$5)</f>
        <v>1413</v>
      </c>
      <c r="I42" s="16">
        <f>SUMIFS(INDEX(元データ!$E$2:$H$20000,0,MATCH($C$2,元データ!$E$1:$H$1,0)),元データ!$A$2:$A$20000,$A42,元データ!$D$2:$D$20000,$B42,元データ!$B$2:$B$20000,$C$3,元データ!$C$2:$C$20000,I$5)</f>
        <v>1434</v>
      </c>
      <c r="J42" s="16">
        <f>SUMIFS(INDEX(元データ!$E$2:$H$20000,0,MATCH($C$2,元データ!$E$1:$H$1,0)),元データ!$A$2:$A$20000,$A42,元データ!$D$2:$D$20000,$B42,元データ!$B$2:$B$20000,$C$3,元データ!$C$2:$C$20000,J$5)</f>
        <v>1979</v>
      </c>
      <c r="K42" s="16">
        <f>SUMIFS(INDEX(元データ!$E$2:$H$20000,0,MATCH($C$2,元データ!$E$1:$H$1,0)),元データ!$A$2:$A$20000,$A42,元データ!$D$2:$D$20000,$B42,元データ!$B$2:$B$20000,$C$3,元データ!$C$2:$C$20000,K$5)</f>
        <v>1793</v>
      </c>
      <c r="L42" s="16">
        <f>SUMIFS(INDEX(元データ!$E$2:$H$20000,0,MATCH($C$2,元データ!$E$1:$H$1,0)),元データ!$A$2:$A$20000,$A42,元データ!$D$2:$D$20000,$B42,元データ!$B$2:$B$20000,$C$3,元データ!$C$2:$C$20000,L$5)</f>
        <v>1492</v>
      </c>
      <c r="M42" s="16">
        <f>SUMIFS(INDEX(元データ!$E$2:$H$20000,0,MATCH($C$2,元データ!$E$1:$H$1,0)),元データ!$A$2:$A$20000,$A42,元データ!$D$2:$D$20000,$B42,元データ!$B$2:$B$20000,$C$3,元データ!$C$2:$C$20000,M$5)</f>
        <v>1824</v>
      </c>
      <c r="N42" s="16">
        <f>SUMIFS(INDEX(元データ!$E$2:$H$20000,0,MATCH($C$2,元データ!$E$1:$H$1,0)),元データ!$A$2:$A$20000,$A42,元データ!$D$2:$D$20000,$B42,元データ!$B$2:$B$20000,$C$3,元データ!$C$2:$C$20000,N$5)</f>
        <v>1573</v>
      </c>
      <c r="O42" s="17">
        <f t="shared" si="2"/>
        <v>20766</v>
      </c>
      <c r="P42" s="17">
        <f>SUMIFS(INDEX(元データ!$E$2:$H$20000,0,MATCH($C$2,元データ!$E$1:$H$1,0)),元データ!$A$2:$A$20000,$A42,元データ!$D$2:$D$20000,$B42,元データ!$B$2:$B$20000,$D$3)</f>
        <v>23713</v>
      </c>
      <c r="Q42" s="25">
        <f t="shared" si="3"/>
        <v>0.87572217770842997</v>
      </c>
    </row>
    <row r="43" spans="1:17" x14ac:dyDescent="0.45">
      <c r="A43" s="14"/>
      <c r="B43" s="15" t="s">
        <v>28</v>
      </c>
      <c r="C43" s="16">
        <f>SUMIFS(INDEX(元データ!$E$2:$H$20000,0,MATCH($C$2,元データ!$E$1:$H$1,0)),元データ!$A$2:$A$20000,$A42,元データ!$D$2:$D$20000,$B43,元データ!$B$2:$B$20000,$C$3,元データ!$C$2:$C$20000,C$5)</f>
        <v>735</v>
      </c>
      <c r="D43" s="16">
        <f>SUMIFS(INDEX(元データ!$E$2:$H$20000,0,MATCH($C$2,元データ!$E$1:$H$1,0)),元データ!$A$2:$A$20000,$A42,元データ!$D$2:$D$20000,$B43,元データ!$B$2:$B$20000,$C$3,元データ!$C$2:$C$20000,D$5)</f>
        <v>731</v>
      </c>
      <c r="E43" s="16">
        <f>SUMIFS(INDEX(元データ!$E$2:$H$20000,0,MATCH($C$2,元データ!$E$1:$H$1,0)),元データ!$A$2:$A$20000,$A42,元データ!$D$2:$D$20000,$B43,元データ!$B$2:$B$20000,$C$3,元データ!$C$2:$C$20000,E$5)</f>
        <v>998</v>
      </c>
      <c r="F43" s="16">
        <f>SUMIFS(INDEX(元データ!$E$2:$H$20000,0,MATCH($C$2,元データ!$E$1:$H$1,0)),元データ!$A$2:$A$20000,$A42,元データ!$D$2:$D$20000,$B43,元データ!$B$2:$B$20000,$C$3,元データ!$C$2:$C$20000,F$5)</f>
        <v>931</v>
      </c>
      <c r="G43" s="16">
        <f>SUMIFS(INDEX(元データ!$E$2:$H$20000,0,MATCH($C$2,元データ!$E$1:$H$1,0)),元データ!$A$2:$A$20000,$A42,元データ!$D$2:$D$20000,$B43,元データ!$B$2:$B$20000,$C$3,元データ!$C$2:$C$20000,G$5)</f>
        <v>991</v>
      </c>
      <c r="H43" s="16">
        <f>SUMIFS(INDEX(元データ!$E$2:$H$20000,0,MATCH($C$2,元データ!$E$1:$H$1,0)),元データ!$A$2:$A$20000,$A42,元データ!$D$2:$D$20000,$B43,元データ!$B$2:$B$20000,$C$3,元データ!$C$2:$C$20000,H$5)</f>
        <v>559</v>
      </c>
      <c r="I43" s="16">
        <f>SUMIFS(INDEX(元データ!$E$2:$H$20000,0,MATCH($C$2,元データ!$E$1:$H$1,0)),元データ!$A$2:$A$20000,$A42,元データ!$D$2:$D$20000,$B43,元データ!$B$2:$B$20000,$C$3,元データ!$C$2:$C$20000,I$5)</f>
        <v>514</v>
      </c>
      <c r="J43" s="16">
        <f>SUMIFS(INDEX(元データ!$E$2:$H$20000,0,MATCH($C$2,元データ!$E$1:$H$1,0)),元データ!$A$2:$A$20000,$A42,元データ!$D$2:$D$20000,$B43,元データ!$B$2:$B$20000,$C$3,元データ!$C$2:$C$20000,J$5)</f>
        <v>839</v>
      </c>
      <c r="K43" s="16">
        <f>SUMIFS(INDEX(元データ!$E$2:$H$20000,0,MATCH($C$2,元データ!$E$1:$H$1,0)),元データ!$A$2:$A$20000,$A42,元データ!$D$2:$D$20000,$B43,元データ!$B$2:$B$20000,$C$3,元データ!$C$2:$C$20000,K$5)</f>
        <v>1202</v>
      </c>
      <c r="L43" s="16">
        <f>SUMIFS(INDEX(元データ!$E$2:$H$20000,0,MATCH($C$2,元データ!$E$1:$H$1,0)),元データ!$A$2:$A$20000,$A42,元データ!$D$2:$D$20000,$B43,元データ!$B$2:$B$20000,$C$3,元データ!$C$2:$C$20000,L$5)</f>
        <v>948</v>
      </c>
      <c r="M43" s="16">
        <f>SUMIFS(INDEX(元データ!$E$2:$H$20000,0,MATCH($C$2,元データ!$E$1:$H$1,0)),元データ!$A$2:$A$20000,$A42,元データ!$D$2:$D$20000,$B43,元データ!$B$2:$B$20000,$C$3,元データ!$C$2:$C$20000,M$5)</f>
        <v>903</v>
      </c>
      <c r="N43" s="16">
        <f>SUMIFS(INDEX(元データ!$E$2:$H$20000,0,MATCH($C$2,元データ!$E$1:$H$1,0)),元データ!$A$2:$A$20000,$A42,元データ!$D$2:$D$20000,$B43,元データ!$B$2:$B$20000,$C$3,元データ!$C$2:$C$20000,N$5)</f>
        <v>794</v>
      </c>
      <c r="O43" s="17">
        <f t="shared" si="2"/>
        <v>10145</v>
      </c>
      <c r="P43" s="17">
        <f>SUMIFS(INDEX(元データ!$E$2:$H$20000,0,MATCH($C$2,元データ!$E$1:$H$1,0)),元データ!$A$2:$A$20000,$A42,元データ!$D$2:$D$20000,$B43,元データ!$B$2:$B$20000,$D$3)</f>
        <v>10688</v>
      </c>
      <c r="Q43" s="25">
        <f t="shared" si="3"/>
        <v>0.94919535928143717</v>
      </c>
    </row>
    <row r="44" spans="1:17" x14ac:dyDescent="0.45">
      <c r="A44" s="14"/>
      <c r="B44" s="15" t="s">
        <v>29</v>
      </c>
      <c r="C44" s="16">
        <f>SUMIFS(INDEX(元データ!$E$2:$H$20000,0,MATCH($C$2,元データ!$E$1:$H$1,0)),元データ!$A$2:$A$20000,$A42,元データ!$D$2:$D$20000,$B44,元データ!$B$2:$B$20000,$C$3,元データ!$C$2:$C$20000,C$5)</f>
        <v>369</v>
      </c>
      <c r="D44" s="16">
        <f>SUMIFS(INDEX(元データ!$E$2:$H$20000,0,MATCH($C$2,元データ!$E$1:$H$1,0)),元データ!$A$2:$A$20000,$A42,元データ!$D$2:$D$20000,$B44,元データ!$B$2:$B$20000,$C$3,元データ!$C$2:$C$20000,D$5)</f>
        <v>401</v>
      </c>
      <c r="E44" s="16">
        <f>SUMIFS(INDEX(元データ!$E$2:$H$20000,0,MATCH($C$2,元データ!$E$1:$H$1,0)),元データ!$A$2:$A$20000,$A42,元データ!$D$2:$D$20000,$B44,元データ!$B$2:$B$20000,$C$3,元データ!$C$2:$C$20000,E$5)</f>
        <v>599</v>
      </c>
      <c r="F44" s="16">
        <f>SUMIFS(INDEX(元データ!$E$2:$H$20000,0,MATCH($C$2,元データ!$E$1:$H$1,0)),元データ!$A$2:$A$20000,$A42,元データ!$D$2:$D$20000,$B44,元データ!$B$2:$B$20000,$C$3,元データ!$C$2:$C$20000,F$5)</f>
        <v>617</v>
      </c>
      <c r="G44" s="16">
        <f>SUMIFS(INDEX(元データ!$E$2:$H$20000,0,MATCH($C$2,元データ!$E$1:$H$1,0)),元データ!$A$2:$A$20000,$A42,元データ!$D$2:$D$20000,$B44,元データ!$B$2:$B$20000,$C$3,元データ!$C$2:$C$20000,G$5)</f>
        <v>729</v>
      </c>
      <c r="H44" s="16">
        <f>SUMIFS(INDEX(元データ!$E$2:$H$20000,0,MATCH($C$2,元データ!$E$1:$H$1,0)),元データ!$A$2:$A$20000,$A42,元データ!$D$2:$D$20000,$B44,元データ!$B$2:$B$20000,$C$3,元データ!$C$2:$C$20000,H$5)</f>
        <v>444</v>
      </c>
      <c r="I44" s="16">
        <f>SUMIFS(INDEX(元データ!$E$2:$H$20000,0,MATCH($C$2,元データ!$E$1:$H$1,0)),元データ!$A$2:$A$20000,$A42,元データ!$D$2:$D$20000,$B44,元データ!$B$2:$B$20000,$C$3,元データ!$C$2:$C$20000,I$5)</f>
        <v>398</v>
      </c>
      <c r="J44" s="16">
        <f>SUMIFS(INDEX(元データ!$E$2:$H$20000,0,MATCH($C$2,元データ!$E$1:$H$1,0)),元データ!$A$2:$A$20000,$A42,元データ!$D$2:$D$20000,$B44,元データ!$B$2:$B$20000,$C$3,元データ!$C$2:$C$20000,J$5)</f>
        <v>744</v>
      </c>
      <c r="K44" s="16">
        <f>SUMIFS(INDEX(元データ!$E$2:$H$20000,0,MATCH($C$2,元データ!$E$1:$H$1,0)),元データ!$A$2:$A$20000,$A42,元データ!$D$2:$D$20000,$B44,元データ!$B$2:$B$20000,$C$3,元データ!$C$2:$C$20000,K$5)</f>
        <v>1009</v>
      </c>
      <c r="L44" s="16">
        <f>SUMIFS(INDEX(元データ!$E$2:$H$20000,0,MATCH($C$2,元データ!$E$1:$H$1,0)),元データ!$A$2:$A$20000,$A42,元データ!$D$2:$D$20000,$B44,元データ!$B$2:$B$20000,$C$3,元データ!$C$2:$C$20000,L$5)</f>
        <v>697</v>
      </c>
      <c r="M44" s="16">
        <f>SUMIFS(INDEX(元データ!$E$2:$H$20000,0,MATCH($C$2,元データ!$E$1:$H$1,0)),元データ!$A$2:$A$20000,$A42,元データ!$D$2:$D$20000,$B44,元データ!$B$2:$B$20000,$C$3,元データ!$C$2:$C$20000,M$5)</f>
        <v>698</v>
      </c>
      <c r="N44" s="16">
        <f>SUMIFS(INDEX(元データ!$E$2:$H$20000,0,MATCH($C$2,元データ!$E$1:$H$1,0)),元データ!$A$2:$A$20000,$A42,元データ!$D$2:$D$20000,$B44,元データ!$B$2:$B$20000,$C$3,元データ!$C$2:$C$20000,N$5)</f>
        <v>503</v>
      </c>
      <c r="O44" s="17">
        <f t="shared" si="2"/>
        <v>7208</v>
      </c>
      <c r="P44" s="17">
        <f>SUMIFS(INDEX(元データ!$E$2:$H$20000,0,MATCH($C$2,元データ!$E$1:$H$1,0)),元データ!$A$2:$A$20000,$A42,元データ!$D$2:$D$20000,$B44,元データ!$B$2:$B$20000,$D$3)</f>
        <v>7752</v>
      </c>
      <c r="Q44" s="25">
        <f t="shared" si="3"/>
        <v>0.92982456140350878</v>
      </c>
    </row>
    <row r="45" spans="1:17" x14ac:dyDescent="0.45">
      <c r="A45" s="14" t="str">
        <f>店舗マスタ!A15</f>
        <v>三好店</v>
      </c>
      <c r="B45" s="15" t="s">
        <v>27</v>
      </c>
      <c r="C45" s="16">
        <f>SUMIFS(INDEX(元データ!$E$2:$H$20000,0,MATCH($C$2,元データ!$E$1:$H$1,0)),元データ!$A$2:$A$20000,$A45,元データ!$D$2:$D$20000,$B45,元データ!$B$2:$B$20000,$C$3,元データ!$C$2:$C$20000,C$5)</f>
        <v>736</v>
      </c>
      <c r="D45" s="16">
        <f>SUMIFS(INDEX(元データ!$E$2:$H$20000,0,MATCH($C$2,元データ!$E$1:$H$1,0)),元データ!$A$2:$A$20000,$A45,元データ!$D$2:$D$20000,$B45,元データ!$B$2:$B$20000,$C$3,元データ!$C$2:$C$20000,D$5)</f>
        <v>912</v>
      </c>
      <c r="E45" s="16">
        <f>SUMIFS(INDEX(元データ!$E$2:$H$20000,0,MATCH($C$2,元データ!$E$1:$H$1,0)),元データ!$A$2:$A$20000,$A45,元データ!$D$2:$D$20000,$B45,元データ!$B$2:$B$20000,$C$3,元データ!$C$2:$C$20000,E$5)</f>
        <v>1117</v>
      </c>
      <c r="F45" s="16">
        <f>SUMIFS(INDEX(元データ!$E$2:$H$20000,0,MATCH($C$2,元データ!$E$1:$H$1,0)),元データ!$A$2:$A$20000,$A45,元データ!$D$2:$D$20000,$B45,元データ!$B$2:$B$20000,$C$3,元データ!$C$2:$C$20000,F$5)</f>
        <v>971</v>
      </c>
      <c r="G45" s="16">
        <f>SUMIFS(INDEX(元データ!$E$2:$H$20000,0,MATCH($C$2,元データ!$E$1:$H$1,0)),元データ!$A$2:$A$20000,$A45,元データ!$D$2:$D$20000,$B45,元データ!$B$2:$B$20000,$C$3,元データ!$C$2:$C$20000,G$5)</f>
        <v>1106</v>
      </c>
      <c r="H45" s="16">
        <f>SUMIFS(INDEX(元データ!$E$2:$H$20000,0,MATCH($C$2,元データ!$E$1:$H$1,0)),元データ!$A$2:$A$20000,$A45,元データ!$D$2:$D$20000,$B45,元データ!$B$2:$B$20000,$C$3,元データ!$C$2:$C$20000,H$5)</f>
        <v>724</v>
      </c>
      <c r="I45" s="16">
        <f>SUMIFS(INDEX(元データ!$E$2:$H$20000,0,MATCH($C$2,元データ!$E$1:$H$1,0)),元データ!$A$2:$A$20000,$A45,元データ!$D$2:$D$20000,$B45,元データ!$B$2:$B$20000,$C$3,元データ!$C$2:$C$20000,I$5)</f>
        <v>794</v>
      </c>
      <c r="J45" s="16">
        <f>SUMIFS(INDEX(元データ!$E$2:$H$20000,0,MATCH($C$2,元データ!$E$1:$H$1,0)),元データ!$A$2:$A$20000,$A45,元データ!$D$2:$D$20000,$B45,元データ!$B$2:$B$20000,$C$3,元データ!$C$2:$C$20000,J$5)</f>
        <v>960</v>
      </c>
      <c r="K45" s="16">
        <f>SUMIFS(INDEX(元データ!$E$2:$H$20000,0,MATCH($C$2,元データ!$E$1:$H$1,0)),元データ!$A$2:$A$20000,$A45,元データ!$D$2:$D$20000,$B45,元データ!$B$2:$B$20000,$C$3,元データ!$C$2:$C$20000,K$5)</f>
        <v>948</v>
      </c>
      <c r="L45" s="16">
        <f>SUMIFS(INDEX(元データ!$E$2:$H$20000,0,MATCH($C$2,元データ!$E$1:$H$1,0)),元データ!$A$2:$A$20000,$A45,元データ!$D$2:$D$20000,$B45,元データ!$B$2:$B$20000,$C$3,元データ!$C$2:$C$20000,L$5)</f>
        <v>791</v>
      </c>
      <c r="M45" s="16">
        <f>SUMIFS(INDEX(元データ!$E$2:$H$20000,0,MATCH($C$2,元データ!$E$1:$H$1,0)),元データ!$A$2:$A$20000,$A45,元データ!$D$2:$D$20000,$B45,元データ!$B$2:$B$20000,$C$3,元データ!$C$2:$C$20000,M$5)</f>
        <v>1007</v>
      </c>
      <c r="N45" s="16">
        <f>SUMIFS(INDEX(元データ!$E$2:$H$20000,0,MATCH($C$2,元データ!$E$1:$H$1,0)),元データ!$A$2:$A$20000,$A45,元データ!$D$2:$D$20000,$B45,元データ!$B$2:$B$20000,$C$3,元データ!$C$2:$C$20000,N$5)</f>
        <v>890</v>
      </c>
      <c r="O45" s="17">
        <f t="shared" si="2"/>
        <v>10956</v>
      </c>
      <c r="P45" s="17">
        <f>SUMIFS(INDEX(元データ!$E$2:$H$20000,0,MATCH($C$2,元データ!$E$1:$H$1,0)),元データ!$A$2:$A$20000,$A45,元データ!$D$2:$D$20000,$B45,元データ!$B$2:$B$20000,$D$3)</f>
        <v>13783</v>
      </c>
      <c r="Q45" s="25">
        <f t="shared" si="3"/>
        <v>0.79489225857940937</v>
      </c>
    </row>
    <row r="46" spans="1:17" x14ac:dyDescent="0.45">
      <c r="A46" s="14"/>
      <c r="B46" s="15" t="s">
        <v>28</v>
      </c>
      <c r="C46" s="16">
        <f>SUMIFS(INDEX(元データ!$E$2:$H$20000,0,MATCH($C$2,元データ!$E$1:$H$1,0)),元データ!$A$2:$A$20000,$A45,元データ!$D$2:$D$20000,$B46,元データ!$B$2:$B$20000,$C$3,元データ!$C$2:$C$20000,C$5)</f>
        <v>405</v>
      </c>
      <c r="D46" s="16">
        <f>SUMIFS(INDEX(元データ!$E$2:$H$20000,0,MATCH($C$2,元データ!$E$1:$H$1,0)),元データ!$A$2:$A$20000,$A45,元データ!$D$2:$D$20000,$B46,元データ!$B$2:$B$20000,$C$3,元データ!$C$2:$C$20000,D$5)</f>
        <v>413</v>
      </c>
      <c r="E46" s="16">
        <f>SUMIFS(INDEX(元データ!$E$2:$H$20000,0,MATCH($C$2,元データ!$E$1:$H$1,0)),元データ!$A$2:$A$20000,$A45,元データ!$D$2:$D$20000,$B46,元データ!$B$2:$B$20000,$C$3,元データ!$C$2:$C$20000,E$5)</f>
        <v>526</v>
      </c>
      <c r="F46" s="16">
        <f>SUMIFS(INDEX(元データ!$E$2:$H$20000,0,MATCH($C$2,元データ!$E$1:$H$1,0)),元データ!$A$2:$A$20000,$A45,元データ!$D$2:$D$20000,$B46,元データ!$B$2:$B$20000,$C$3,元データ!$C$2:$C$20000,F$5)</f>
        <v>454</v>
      </c>
      <c r="G46" s="16">
        <f>SUMIFS(INDEX(元データ!$E$2:$H$20000,0,MATCH($C$2,元データ!$E$1:$H$1,0)),元データ!$A$2:$A$20000,$A45,元データ!$D$2:$D$20000,$B46,元データ!$B$2:$B$20000,$C$3,元データ!$C$2:$C$20000,G$5)</f>
        <v>540</v>
      </c>
      <c r="H46" s="16">
        <f>SUMIFS(INDEX(元データ!$E$2:$H$20000,0,MATCH($C$2,元データ!$E$1:$H$1,0)),元データ!$A$2:$A$20000,$A45,元データ!$D$2:$D$20000,$B46,元データ!$B$2:$B$20000,$C$3,元データ!$C$2:$C$20000,H$5)</f>
        <v>310</v>
      </c>
      <c r="I46" s="16">
        <f>SUMIFS(INDEX(元データ!$E$2:$H$20000,0,MATCH($C$2,元データ!$E$1:$H$1,0)),元データ!$A$2:$A$20000,$A45,元データ!$D$2:$D$20000,$B46,元データ!$B$2:$B$20000,$C$3,元データ!$C$2:$C$20000,I$5)</f>
        <v>257</v>
      </c>
      <c r="J46" s="16">
        <f>SUMIFS(INDEX(元データ!$E$2:$H$20000,0,MATCH($C$2,元データ!$E$1:$H$1,0)),元データ!$A$2:$A$20000,$A45,元データ!$D$2:$D$20000,$B46,元データ!$B$2:$B$20000,$C$3,元データ!$C$2:$C$20000,J$5)</f>
        <v>426</v>
      </c>
      <c r="K46" s="16">
        <f>SUMIFS(INDEX(元データ!$E$2:$H$20000,0,MATCH($C$2,元データ!$E$1:$H$1,0)),元データ!$A$2:$A$20000,$A45,元データ!$D$2:$D$20000,$B46,元データ!$B$2:$B$20000,$C$3,元データ!$C$2:$C$20000,K$5)</f>
        <v>576</v>
      </c>
      <c r="L46" s="16">
        <f>SUMIFS(INDEX(元データ!$E$2:$H$20000,0,MATCH($C$2,元データ!$E$1:$H$1,0)),元データ!$A$2:$A$20000,$A45,元データ!$D$2:$D$20000,$B46,元データ!$B$2:$B$20000,$C$3,元データ!$C$2:$C$20000,L$5)</f>
        <v>428</v>
      </c>
      <c r="M46" s="16">
        <f>SUMIFS(INDEX(元データ!$E$2:$H$20000,0,MATCH($C$2,元データ!$E$1:$H$1,0)),元データ!$A$2:$A$20000,$A45,元データ!$D$2:$D$20000,$B46,元データ!$B$2:$B$20000,$C$3,元データ!$C$2:$C$20000,M$5)</f>
        <v>524</v>
      </c>
      <c r="N46" s="16">
        <f>SUMIFS(INDEX(元データ!$E$2:$H$20000,0,MATCH($C$2,元データ!$E$1:$H$1,0)),元データ!$A$2:$A$20000,$A45,元データ!$D$2:$D$20000,$B46,元データ!$B$2:$B$20000,$C$3,元データ!$C$2:$C$20000,N$5)</f>
        <v>396</v>
      </c>
      <c r="O46" s="17">
        <f t="shared" si="2"/>
        <v>5255</v>
      </c>
      <c r="P46" s="17">
        <f>SUMIFS(INDEX(元データ!$E$2:$H$20000,0,MATCH($C$2,元データ!$E$1:$H$1,0)),元データ!$A$2:$A$20000,$A45,元データ!$D$2:$D$20000,$B46,元データ!$B$2:$B$20000,$D$3)</f>
        <v>5788</v>
      </c>
      <c r="Q46" s="25">
        <f t="shared" si="3"/>
        <v>0.90791292328956463</v>
      </c>
    </row>
    <row r="47" spans="1:17" x14ac:dyDescent="0.45">
      <c r="A47" s="14"/>
      <c r="B47" s="15" t="s">
        <v>29</v>
      </c>
      <c r="C47" s="16">
        <f>SUMIFS(INDEX(元データ!$E$2:$H$20000,0,MATCH($C$2,元データ!$E$1:$H$1,0)),元データ!$A$2:$A$20000,$A45,元データ!$D$2:$D$20000,$B47,元データ!$B$2:$B$20000,$C$3,元データ!$C$2:$C$20000,C$5)</f>
        <v>160</v>
      </c>
      <c r="D47" s="16">
        <f>SUMIFS(INDEX(元データ!$E$2:$H$20000,0,MATCH($C$2,元データ!$E$1:$H$1,0)),元データ!$A$2:$A$20000,$A45,元データ!$D$2:$D$20000,$B47,元データ!$B$2:$B$20000,$C$3,元データ!$C$2:$C$20000,D$5)</f>
        <v>202</v>
      </c>
      <c r="E47" s="16">
        <f>SUMIFS(INDEX(元データ!$E$2:$H$20000,0,MATCH($C$2,元データ!$E$1:$H$1,0)),元データ!$A$2:$A$20000,$A45,元データ!$D$2:$D$20000,$B47,元データ!$B$2:$B$20000,$C$3,元データ!$C$2:$C$20000,E$5)</f>
        <v>309</v>
      </c>
      <c r="F47" s="16">
        <f>SUMIFS(INDEX(元データ!$E$2:$H$20000,0,MATCH($C$2,元データ!$E$1:$H$1,0)),元データ!$A$2:$A$20000,$A45,元データ!$D$2:$D$20000,$B47,元データ!$B$2:$B$20000,$C$3,元データ!$C$2:$C$20000,F$5)</f>
        <v>290</v>
      </c>
      <c r="G47" s="16">
        <f>SUMIFS(INDEX(元データ!$E$2:$H$20000,0,MATCH($C$2,元データ!$E$1:$H$1,0)),元データ!$A$2:$A$20000,$A45,元データ!$D$2:$D$20000,$B47,元データ!$B$2:$B$20000,$C$3,元データ!$C$2:$C$20000,G$5)</f>
        <v>418</v>
      </c>
      <c r="H47" s="16">
        <f>SUMIFS(INDEX(元データ!$E$2:$H$20000,0,MATCH($C$2,元データ!$E$1:$H$1,0)),元データ!$A$2:$A$20000,$A45,元データ!$D$2:$D$20000,$B47,元データ!$B$2:$B$20000,$C$3,元データ!$C$2:$C$20000,H$5)</f>
        <v>232</v>
      </c>
      <c r="I47" s="16">
        <f>SUMIFS(INDEX(元データ!$E$2:$H$20000,0,MATCH($C$2,元データ!$E$1:$H$1,0)),元データ!$A$2:$A$20000,$A45,元データ!$D$2:$D$20000,$B47,元データ!$B$2:$B$20000,$C$3,元データ!$C$2:$C$20000,I$5)</f>
        <v>192</v>
      </c>
      <c r="J47" s="16">
        <f>SUMIFS(INDEX(元データ!$E$2:$H$20000,0,MATCH($C$2,元データ!$E$1:$H$1,0)),元データ!$A$2:$A$20000,$A45,元データ!$D$2:$D$20000,$B47,元データ!$B$2:$B$20000,$C$3,元データ!$C$2:$C$20000,J$5)</f>
        <v>320</v>
      </c>
      <c r="K47" s="16">
        <f>SUMIFS(INDEX(元データ!$E$2:$H$20000,0,MATCH($C$2,元データ!$E$1:$H$1,0)),元データ!$A$2:$A$20000,$A45,元データ!$D$2:$D$20000,$B47,元データ!$B$2:$B$20000,$C$3,元データ!$C$2:$C$20000,K$5)</f>
        <v>527</v>
      </c>
      <c r="L47" s="16">
        <f>SUMIFS(INDEX(元データ!$E$2:$H$20000,0,MATCH($C$2,元データ!$E$1:$H$1,0)),元データ!$A$2:$A$20000,$A45,元データ!$D$2:$D$20000,$B47,元データ!$B$2:$B$20000,$C$3,元データ!$C$2:$C$20000,L$5)</f>
        <v>338</v>
      </c>
      <c r="M47" s="16">
        <f>SUMIFS(INDEX(元データ!$E$2:$H$20000,0,MATCH($C$2,元データ!$E$1:$H$1,0)),元データ!$A$2:$A$20000,$A45,元データ!$D$2:$D$20000,$B47,元データ!$B$2:$B$20000,$C$3,元データ!$C$2:$C$20000,M$5)</f>
        <v>403</v>
      </c>
      <c r="N47" s="16">
        <f>SUMIFS(INDEX(元データ!$E$2:$H$20000,0,MATCH($C$2,元データ!$E$1:$H$1,0)),元データ!$A$2:$A$20000,$A45,元データ!$D$2:$D$20000,$B47,元データ!$B$2:$B$20000,$C$3,元データ!$C$2:$C$20000,N$5)</f>
        <v>269</v>
      </c>
      <c r="O47" s="17">
        <f t="shared" si="2"/>
        <v>3660</v>
      </c>
      <c r="P47" s="17">
        <f>SUMIFS(INDEX(元データ!$E$2:$H$20000,0,MATCH($C$2,元データ!$E$1:$H$1,0)),元データ!$A$2:$A$20000,$A45,元データ!$D$2:$D$20000,$B47,元データ!$B$2:$B$20000,$D$3)</f>
        <v>4086</v>
      </c>
      <c r="Q47" s="25">
        <f t="shared" si="3"/>
        <v>0.89574155653450804</v>
      </c>
    </row>
    <row r="48" spans="1:17" x14ac:dyDescent="0.45">
      <c r="A48" s="14" t="str">
        <f>店舗マスタ!A16</f>
        <v>沼津駅南口店</v>
      </c>
      <c r="B48" s="15" t="s">
        <v>27</v>
      </c>
      <c r="C48" s="16">
        <f>SUMIFS(INDEX(元データ!$E$2:$H$20000,0,MATCH($C$2,元データ!$E$1:$H$1,0)),元データ!$A$2:$A$20000,$A48,元データ!$D$2:$D$20000,$B48,元データ!$B$2:$B$20000,$C$3,元データ!$C$2:$C$20000,C$5)</f>
        <v>909</v>
      </c>
      <c r="D48" s="16">
        <f>SUMIFS(INDEX(元データ!$E$2:$H$20000,0,MATCH($C$2,元データ!$E$1:$H$1,0)),元データ!$A$2:$A$20000,$A48,元データ!$D$2:$D$20000,$B48,元データ!$B$2:$B$20000,$C$3,元データ!$C$2:$C$20000,D$5)</f>
        <v>1261</v>
      </c>
      <c r="E48" s="16">
        <f>SUMIFS(INDEX(元データ!$E$2:$H$20000,0,MATCH($C$2,元データ!$E$1:$H$1,0)),元データ!$A$2:$A$20000,$A48,元データ!$D$2:$D$20000,$B48,元データ!$B$2:$B$20000,$C$3,元データ!$C$2:$C$20000,E$5)</f>
        <v>1250</v>
      </c>
      <c r="F48" s="16">
        <f>SUMIFS(INDEX(元データ!$E$2:$H$20000,0,MATCH($C$2,元データ!$E$1:$H$1,0)),元データ!$A$2:$A$20000,$A48,元データ!$D$2:$D$20000,$B48,元データ!$B$2:$B$20000,$C$3,元データ!$C$2:$C$20000,F$5)</f>
        <v>1047</v>
      </c>
      <c r="G48" s="16">
        <f>SUMIFS(INDEX(元データ!$E$2:$H$20000,0,MATCH($C$2,元データ!$E$1:$H$1,0)),元データ!$A$2:$A$20000,$A48,元データ!$D$2:$D$20000,$B48,元データ!$B$2:$B$20000,$C$3,元データ!$C$2:$C$20000,G$5)</f>
        <v>1190</v>
      </c>
      <c r="H48" s="16">
        <f>SUMIFS(INDEX(元データ!$E$2:$H$20000,0,MATCH($C$2,元データ!$E$1:$H$1,0)),元データ!$A$2:$A$20000,$A48,元データ!$D$2:$D$20000,$B48,元データ!$B$2:$B$20000,$C$3,元データ!$C$2:$C$20000,H$5)</f>
        <v>966</v>
      </c>
      <c r="I48" s="16">
        <f>SUMIFS(INDEX(元データ!$E$2:$H$20000,0,MATCH($C$2,元データ!$E$1:$H$1,0)),元データ!$A$2:$A$20000,$A48,元データ!$D$2:$D$20000,$B48,元データ!$B$2:$B$20000,$C$3,元データ!$C$2:$C$20000,I$5)</f>
        <v>929</v>
      </c>
      <c r="J48" s="16">
        <f>SUMIFS(INDEX(元データ!$E$2:$H$20000,0,MATCH($C$2,元データ!$E$1:$H$1,0)),元データ!$A$2:$A$20000,$A48,元データ!$D$2:$D$20000,$B48,元データ!$B$2:$B$20000,$C$3,元データ!$C$2:$C$20000,J$5)</f>
        <v>1187</v>
      </c>
      <c r="K48" s="16">
        <f>SUMIFS(INDEX(元データ!$E$2:$H$20000,0,MATCH($C$2,元データ!$E$1:$H$1,0)),元データ!$A$2:$A$20000,$A48,元データ!$D$2:$D$20000,$B48,元データ!$B$2:$B$20000,$C$3,元データ!$C$2:$C$20000,K$5)</f>
        <v>1190</v>
      </c>
      <c r="L48" s="16">
        <f>SUMIFS(INDEX(元データ!$E$2:$H$20000,0,MATCH($C$2,元データ!$E$1:$H$1,0)),元データ!$A$2:$A$20000,$A48,元データ!$D$2:$D$20000,$B48,元データ!$B$2:$B$20000,$C$3,元データ!$C$2:$C$20000,L$5)</f>
        <v>1041</v>
      </c>
      <c r="M48" s="16">
        <f>SUMIFS(INDEX(元データ!$E$2:$H$20000,0,MATCH($C$2,元データ!$E$1:$H$1,0)),元データ!$A$2:$A$20000,$A48,元データ!$D$2:$D$20000,$B48,元データ!$B$2:$B$20000,$C$3,元データ!$C$2:$C$20000,M$5)</f>
        <v>1253</v>
      </c>
      <c r="N48" s="16">
        <f>SUMIFS(INDEX(元データ!$E$2:$H$20000,0,MATCH($C$2,元データ!$E$1:$H$1,0)),元データ!$A$2:$A$20000,$A48,元データ!$D$2:$D$20000,$B48,元データ!$B$2:$B$20000,$C$3,元データ!$C$2:$C$20000,N$5)</f>
        <v>1464</v>
      </c>
      <c r="O48" s="17">
        <f t="shared" si="2"/>
        <v>13687</v>
      </c>
      <c r="P48" s="17">
        <f>SUMIFS(INDEX(元データ!$E$2:$H$20000,0,MATCH($C$2,元データ!$E$1:$H$1,0)),元データ!$A$2:$A$20000,$A48,元データ!$D$2:$D$20000,$B48,元データ!$B$2:$B$20000,$D$3)</f>
        <v>13994</v>
      </c>
      <c r="Q48" s="25">
        <f t="shared" si="3"/>
        <v>0.97806202658282126</v>
      </c>
    </row>
    <row r="49" spans="1:17" x14ac:dyDescent="0.45">
      <c r="A49" s="14"/>
      <c r="B49" s="15" t="s">
        <v>28</v>
      </c>
      <c r="C49" s="16">
        <f>SUMIFS(INDEX(元データ!$E$2:$H$20000,0,MATCH($C$2,元データ!$E$1:$H$1,0)),元データ!$A$2:$A$20000,$A48,元データ!$D$2:$D$20000,$B49,元データ!$B$2:$B$20000,$C$3,元データ!$C$2:$C$20000,C$5)</f>
        <v>268</v>
      </c>
      <c r="D49" s="16">
        <f>SUMIFS(INDEX(元データ!$E$2:$H$20000,0,MATCH($C$2,元データ!$E$1:$H$1,0)),元データ!$A$2:$A$20000,$A48,元データ!$D$2:$D$20000,$B49,元データ!$B$2:$B$20000,$C$3,元データ!$C$2:$C$20000,D$5)</f>
        <v>290</v>
      </c>
      <c r="E49" s="16">
        <f>SUMIFS(INDEX(元データ!$E$2:$H$20000,0,MATCH($C$2,元データ!$E$1:$H$1,0)),元データ!$A$2:$A$20000,$A48,元データ!$D$2:$D$20000,$B49,元データ!$B$2:$B$20000,$C$3,元データ!$C$2:$C$20000,E$5)</f>
        <v>356</v>
      </c>
      <c r="F49" s="16">
        <f>SUMIFS(INDEX(元データ!$E$2:$H$20000,0,MATCH($C$2,元データ!$E$1:$H$1,0)),元データ!$A$2:$A$20000,$A48,元データ!$D$2:$D$20000,$B49,元データ!$B$2:$B$20000,$C$3,元データ!$C$2:$C$20000,F$5)</f>
        <v>336</v>
      </c>
      <c r="G49" s="16">
        <f>SUMIFS(INDEX(元データ!$E$2:$H$20000,0,MATCH($C$2,元データ!$E$1:$H$1,0)),元データ!$A$2:$A$20000,$A48,元データ!$D$2:$D$20000,$B49,元データ!$B$2:$B$20000,$C$3,元データ!$C$2:$C$20000,G$5)</f>
        <v>338</v>
      </c>
      <c r="H49" s="16">
        <f>SUMIFS(INDEX(元データ!$E$2:$H$20000,0,MATCH($C$2,元データ!$E$1:$H$1,0)),元データ!$A$2:$A$20000,$A48,元データ!$D$2:$D$20000,$B49,元データ!$B$2:$B$20000,$C$3,元データ!$C$2:$C$20000,H$5)</f>
        <v>252</v>
      </c>
      <c r="I49" s="16">
        <f>SUMIFS(INDEX(元データ!$E$2:$H$20000,0,MATCH($C$2,元データ!$E$1:$H$1,0)),元データ!$A$2:$A$20000,$A48,元データ!$D$2:$D$20000,$B49,元データ!$B$2:$B$20000,$C$3,元データ!$C$2:$C$20000,I$5)</f>
        <v>190</v>
      </c>
      <c r="J49" s="16">
        <f>SUMIFS(INDEX(元データ!$E$2:$H$20000,0,MATCH($C$2,元データ!$E$1:$H$1,0)),元データ!$A$2:$A$20000,$A48,元データ!$D$2:$D$20000,$B49,元データ!$B$2:$B$20000,$C$3,元データ!$C$2:$C$20000,J$5)</f>
        <v>321</v>
      </c>
      <c r="K49" s="16">
        <f>SUMIFS(INDEX(元データ!$E$2:$H$20000,0,MATCH($C$2,元データ!$E$1:$H$1,0)),元データ!$A$2:$A$20000,$A48,元データ!$D$2:$D$20000,$B49,元データ!$B$2:$B$20000,$C$3,元データ!$C$2:$C$20000,K$5)</f>
        <v>424</v>
      </c>
      <c r="L49" s="16">
        <f>SUMIFS(INDEX(元データ!$E$2:$H$20000,0,MATCH($C$2,元データ!$E$1:$H$1,0)),元データ!$A$2:$A$20000,$A48,元データ!$D$2:$D$20000,$B49,元データ!$B$2:$B$20000,$C$3,元データ!$C$2:$C$20000,L$5)</f>
        <v>357</v>
      </c>
      <c r="M49" s="16">
        <f>SUMIFS(INDEX(元データ!$E$2:$H$20000,0,MATCH($C$2,元データ!$E$1:$H$1,0)),元データ!$A$2:$A$20000,$A48,元データ!$D$2:$D$20000,$B49,元データ!$B$2:$B$20000,$C$3,元データ!$C$2:$C$20000,M$5)</f>
        <v>321</v>
      </c>
      <c r="N49" s="16">
        <f>SUMIFS(INDEX(元データ!$E$2:$H$20000,0,MATCH($C$2,元データ!$E$1:$H$1,0)),元データ!$A$2:$A$20000,$A48,元データ!$D$2:$D$20000,$B49,元データ!$B$2:$B$20000,$C$3,元データ!$C$2:$C$20000,N$5)</f>
        <v>394</v>
      </c>
      <c r="O49" s="17">
        <f t="shared" si="2"/>
        <v>3847</v>
      </c>
      <c r="P49" s="17">
        <f>SUMIFS(INDEX(元データ!$E$2:$H$20000,0,MATCH($C$2,元データ!$E$1:$H$1,0)),元データ!$A$2:$A$20000,$A48,元データ!$D$2:$D$20000,$B49,元データ!$B$2:$B$20000,$D$3)</f>
        <v>3705</v>
      </c>
      <c r="Q49" s="25">
        <f t="shared" si="3"/>
        <v>1.0383265856950068</v>
      </c>
    </row>
    <row r="50" spans="1:17" x14ac:dyDescent="0.45">
      <c r="A50" s="14"/>
      <c r="B50" s="15" t="s">
        <v>29</v>
      </c>
      <c r="C50" s="16">
        <f>SUMIFS(INDEX(元データ!$E$2:$H$20000,0,MATCH($C$2,元データ!$E$1:$H$1,0)),元データ!$A$2:$A$20000,$A48,元データ!$D$2:$D$20000,$B50,元データ!$B$2:$B$20000,$C$3,元データ!$C$2:$C$20000,C$5)</f>
        <v>131</v>
      </c>
      <c r="D50" s="16">
        <f>SUMIFS(INDEX(元データ!$E$2:$H$20000,0,MATCH($C$2,元データ!$E$1:$H$1,0)),元データ!$A$2:$A$20000,$A48,元データ!$D$2:$D$20000,$B50,元データ!$B$2:$B$20000,$C$3,元データ!$C$2:$C$20000,D$5)</f>
        <v>127</v>
      </c>
      <c r="E50" s="16">
        <f>SUMIFS(INDEX(元データ!$E$2:$H$20000,0,MATCH($C$2,元データ!$E$1:$H$1,0)),元データ!$A$2:$A$20000,$A48,元データ!$D$2:$D$20000,$B50,元データ!$B$2:$B$20000,$C$3,元データ!$C$2:$C$20000,E$5)</f>
        <v>224</v>
      </c>
      <c r="F50" s="16">
        <f>SUMIFS(INDEX(元データ!$E$2:$H$20000,0,MATCH($C$2,元データ!$E$1:$H$1,0)),元データ!$A$2:$A$20000,$A48,元データ!$D$2:$D$20000,$B50,元データ!$B$2:$B$20000,$C$3,元データ!$C$2:$C$20000,F$5)</f>
        <v>221</v>
      </c>
      <c r="G50" s="16">
        <f>SUMIFS(INDEX(元データ!$E$2:$H$20000,0,MATCH($C$2,元データ!$E$1:$H$1,0)),元データ!$A$2:$A$20000,$A48,元データ!$D$2:$D$20000,$B50,元データ!$B$2:$B$20000,$C$3,元データ!$C$2:$C$20000,G$5)</f>
        <v>232</v>
      </c>
      <c r="H50" s="16">
        <f>SUMIFS(INDEX(元データ!$E$2:$H$20000,0,MATCH($C$2,元データ!$E$1:$H$1,0)),元データ!$A$2:$A$20000,$A48,元データ!$D$2:$D$20000,$B50,元データ!$B$2:$B$20000,$C$3,元データ!$C$2:$C$20000,H$5)</f>
        <v>175</v>
      </c>
      <c r="I50" s="16">
        <f>SUMIFS(INDEX(元データ!$E$2:$H$20000,0,MATCH($C$2,元データ!$E$1:$H$1,0)),元データ!$A$2:$A$20000,$A48,元データ!$D$2:$D$20000,$B50,元データ!$B$2:$B$20000,$C$3,元データ!$C$2:$C$20000,I$5)</f>
        <v>117</v>
      </c>
      <c r="J50" s="16">
        <f>SUMIFS(INDEX(元データ!$E$2:$H$20000,0,MATCH($C$2,元データ!$E$1:$H$1,0)),元データ!$A$2:$A$20000,$A48,元データ!$D$2:$D$20000,$B50,元データ!$B$2:$B$20000,$C$3,元データ!$C$2:$C$20000,J$5)</f>
        <v>240</v>
      </c>
      <c r="K50" s="16">
        <f>SUMIFS(INDEX(元データ!$E$2:$H$20000,0,MATCH($C$2,元データ!$E$1:$H$1,0)),元データ!$A$2:$A$20000,$A48,元データ!$D$2:$D$20000,$B50,元データ!$B$2:$B$20000,$C$3,元データ!$C$2:$C$20000,K$5)</f>
        <v>305</v>
      </c>
      <c r="L50" s="16">
        <f>SUMIFS(INDEX(元データ!$E$2:$H$20000,0,MATCH($C$2,元データ!$E$1:$H$1,0)),元データ!$A$2:$A$20000,$A48,元データ!$D$2:$D$20000,$B50,元データ!$B$2:$B$20000,$C$3,元データ!$C$2:$C$20000,L$5)</f>
        <v>266</v>
      </c>
      <c r="M50" s="16">
        <f>SUMIFS(INDEX(元データ!$E$2:$H$20000,0,MATCH($C$2,元データ!$E$1:$H$1,0)),元データ!$A$2:$A$20000,$A48,元データ!$D$2:$D$20000,$B50,元データ!$B$2:$B$20000,$C$3,元データ!$C$2:$C$20000,M$5)</f>
        <v>207</v>
      </c>
      <c r="N50" s="16">
        <f>SUMIFS(INDEX(元データ!$E$2:$H$20000,0,MATCH($C$2,元データ!$E$1:$H$1,0)),元データ!$A$2:$A$20000,$A48,元データ!$D$2:$D$20000,$B50,元データ!$B$2:$B$20000,$C$3,元データ!$C$2:$C$20000,N$5)</f>
        <v>215</v>
      </c>
      <c r="O50" s="17">
        <f t="shared" si="2"/>
        <v>2460</v>
      </c>
      <c r="P50" s="17">
        <f>SUMIFS(INDEX(元データ!$E$2:$H$20000,0,MATCH($C$2,元データ!$E$1:$H$1,0)),元データ!$A$2:$A$20000,$A48,元データ!$D$2:$D$20000,$B50,元データ!$B$2:$B$20000,$D$3)</f>
        <v>2368</v>
      </c>
      <c r="Q50" s="25">
        <f t="shared" si="3"/>
        <v>1.0388513513513513</v>
      </c>
    </row>
    <row r="51" spans="1:17" x14ac:dyDescent="0.45">
      <c r="A51" s="14" t="str">
        <f>店舗マスタ!A17</f>
        <v>神山店</v>
      </c>
      <c r="B51" s="15" t="s">
        <v>27</v>
      </c>
      <c r="C51" s="16">
        <f>SUMIFS(INDEX(元データ!$E$2:$H$20000,0,MATCH($C$2,元データ!$E$1:$H$1,0)),元データ!$A$2:$A$20000,$A51,元データ!$D$2:$D$20000,$B51,元データ!$B$2:$B$20000,$C$3,元データ!$C$2:$C$20000,C$5)</f>
        <v>316</v>
      </c>
      <c r="D51" s="16">
        <f>SUMIFS(INDEX(元データ!$E$2:$H$20000,0,MATCH($C$2,元データ!$E$1:$H$1,0)),元データ!$A$2:$A$20000,$A51,元データ!$D$2:$D$20000,$B51,元データ!$B$2:$B$20000,$C$3,元データ!$C$2:$C$20000,D$5)</f>
        <v>421</v>
      </c>
      <c r="E51" s="16">
        <f>SUMIFS(INDEX(元データ!$E$2:$H$20000,0,MATCH($C$2,元データ!$E$1:$H$1,0)),元データ!$A$2:$A$20000,$A51,元データ!$D$2:$D$20000,$B51,元データ!$B$2:$B$20000,$C$3,元データ!$C$2:$C$20000,E$5)</f>
        <v>490</v>
      </c>
      <c r="F51" s="16">
        <f>SUMIFS(INDEX(元データ!$E$2:$H$20000,0,MATCH($C$2,元データ!$E$1:$H$1,0)),元データ!$A$2:$A$20000,$A51,元データ!$D$2:$D$20000,$B51,元データ!$B$2:$B$20000,$C$3,元データ!$C$2:$C$20000,F$5)</f>
        <v>436</v>
      </c>
      <c r="G51" s="16">
        <f>SUMIFS(INDEX(元データ!$E$2:$H$20000,0,MATCH($C$2,元データ!$E$1:$H$1,0)),元データ!$A$2:$A$20000,$A51,元データ!$D$2:$D$20000,$B51,元データ!$B$2:$B$20000,$C$3,元データ!$C$2:$C$20000,G$5)</f>
        <v>480</v>
      </c>
      <c r="H51" s="16">
        <f>SUMIFS(INDEX(元データ!$E$2:$H$20000,0,MATCH($C$2,元データ!$E$1:$H$1,0)),元データ!$A$2:$A$20000,$A51,元データ!$D$2:$D$20000,$B51,元データ!$B$2:$B$20000,$C$3,元データ!$C$2:$C$20000,H$5)</f>
        <v>392</v>
      </c>
      <c r="I51" s="16">
        <f>SUMIFS(INDEX(元データ!$E$2:$H$20000,0,MATCH($C$2,元データ!$E$1:$H$1,0)),元データ!$A$2:$A$20000,$A51,元データ!$D$2:$D$20000,$B51,元データ!$B$2:$B$20000,$C$3,元データ!$C$2:$C$20000,I$5)</f>
        <v>365</v>
      </c>
      <c r="J51" s="16">
        <f>SUMIFS(INDEX(元データ!$E$2:$H$20000,0,MATCH($C$2,元データ!$E$1:$H$1,0)),元データ!$A$2:$A$20000,$A51,元データ!$D$2:$D$20000,$B51,元データ!$B$2:$B$20000,$C$3,元データ!$C$2:$C$20000,J$5)</f>
        <v>477</v>
      </c>
      <c r="K51" s="16">
        <f>SUMIFS(INDEX(元データ!$E$2:$H$20000,0,MATCH($C$2,元データ!$E$1:$H$1,0)),元データ!$A$2:$A$20000,$A51,元データ!$D$2:$D$20000,$B51,元データ!$B$2:$B$20000,$C$3,元データ!$C$2:$C$20000,K$5)</f>
        <v>448</v>
      </c>
      <c r="L51" s="16">
        <f>SUMIFS(INDEX(元データ!$E$2:$H$20000,0,MATCH($C$2,元データ!$E$1:$H$1,0)),元データ!$A$2:$A$20000,$A51,元データ!$D$2:$D$20000,$B51,元データ!$B$2:$B$20000,$C$3,元データ!$C$2:$C$20000,L$5)</f>
        <v>354</v>
      </c>
      <c r="M51" s="16">
        <f>SUMIFS(INDEX(元データ!$E$2:$H$20000,0,MATCH($C$2,元データ!$E$1:$H$1,0)),元データ!$A$2:$A$20000,$A51,元データ!$D$2:$D$20000,$B51,元データ!$B$2:$B$20000,$C$3,元データ!$C$2:$C$20000,M$5)</f>
        <v>369</v>
      </c>
      <c r="N51" s="16">
        <f>SUMIFS(INDEX(元データ!$E$2:$H$20000,0,MATCH($C$2,元データ!$E$1:$H$1,0)),元データ!$A$2:$A$20000,$A51,元データ!$D$2:$D$20000,$B51,元データ!$B$2:$B$20000,$C$3,元データ!$C$2:$C$20000,N$5)</f>
        <v>320</v>
      </c>
      <c r="O51" s="17">
        <f t="shared" si="2"/>
        <v>4868</v>
      </c>
      <c r="P51" s="17">
        <f>SUMIFS(INDEX(元データ!$E$2:$H$20000,0,MATCH($C$2,元データ!$E$1:$H$1,0)),元データ!$A$2:$A$20000,$A51,元データ!$D$2:$D$20000,$B51,元データ!$B$2:$B$20000,$D$3)</f>
        <v>5162</v>
      </c>
      <c r="Q51" s="25">
        <f t="shared" si="3"/>
        <v>0.94304533126695078</v>
      </c>
    </row>
    <row r="52" spans="1:17" x14ac:dyDescent="0.45">
      <c r="A52" s="14"/>
      <c r="B52" s="15" t="s">
        <v>28</v>
      </c>
      <c r="C52" s="16">
        <f>SUMIFS(INDEX(元データ!$E$2:$H$20000,0,MATCH($C$2,元データ!$E$1:$H$1,0)),元データ!$A$2:$A$20000,$A51,元データ!$D$2:$D$20000,$B52,元データ!$B$2:$B$20000,$C$3,元データ!$C$2:$C$20000,C$5)</f>
        <v>211</v>
      </c>
      <c r="D52" s="16">
        <f>SUMIFS(INDEX(元データ!$E$2:$H$20000,0,MATCH($C$2,元データ!$E$1:$H$1,0)),元データ!$A$2:$A$20000,$A51,元データ!$D$2:$D$20000,$B52,元データ!$B$2:$B$20000,$C$3,元データ!$C$2:$C$20000,D$5)</f>
        <v>198</v>
      </c>
      <c r="E52" s="16">
        <f>SUMIFS(INDEX(元データ!$E$2:$H$20000,0,MATCH($C$2,元データ!$E$1:$H$1,0)),元データ!$A$2:$A$20000,$A51,元データ!$D$2:$D$20000,$B52,元データ!$B$2:$B$20000,$C$3,元データ!$C$2:$C$20000,E$5)</f>
        <v>233</v>
      </c>
      <c r="F52" s="16">
        <f>SUMIFS(INDEX(元データ!$E$2:$H$20000,0,MATCH($C$2,元データ!$E$1:$H$1,0)),元データ!$A$2:$A$20000,$A51,元データ!$D$2:$D$20000,$B52,元データ!$B$2:$B$20000,$C$3,元データ!$C$2:$C$20000,F$5)</f>
        <v>225</v>
      </c>
      <c r="G52" s="16">
        <f>SUMIFS(INDEX(元データ!$E$2:$H$20000,0,MATCH($C$2,元データ!$E$1:$H$1,0)),元データ!$A$2:$A$20000,$A51,元データ!$D$2:$D$20000,$B52,元データ!$B$2:$B$20000,$C$3,元データ!$C$2:$C$20000,G$5)</f>
        <v>230</v>
      </c>
      <c r="H52" s="16">
        <f>SUMIFS(INDEX(元データ!$E$2:$H$20000,0,MATCH($C$2,元データ!$E$1:$H$1,0)),元データ!$A$2:$A$20000,$A51,元データ!$D$2:$D$20000,$B52,元データ!$B$2:$B$20000,$C$3,元データ!$C$2:$C$20000,H$5)</f>
        <v>152</v>
      </c>
      <c r="I52" s="16">
        <f>SUMIFS(INDEX(元データ!$E$2:$H$20000,0,MATCH($C$2,元データ!$E$1:$H$1,0)),元データ!$A$2:$A$20000,$A51,元データ!$D$2:$D$20000,$B52,元データ!$B$2:$B$20000,$C$3,元データ!$C$2:$C$20000,I$5)</f>
        <v>115</v>
      </c>
      <c r="J52" s="16">
        <f>SUMIFS(INDEX(元データ!$E$2:$H$20000,0,MATCH($C$2,元データ!$E$1:$H$1,0)),元データ!$A$2:$A$20000,$A51,元データ!$D$2:$D$20000,$B52,元データ!$B$2:$B$20000,$C$3,元データ!$C$2:$C$20000,J$5)</f>
        <v>245</v>
      </c>
      <c r="K52" s="16">
        <f>SUMIFS(INDEX(元データ!$E$2:$H$20000,0,MATCH($C$2,元データ!$E$1:$H$1,0)),元データ!$A$2:$A$20000,$A51,元データ!$D$2:$D$20000,$B52,元データ!$B$2:$B$20000,$C$3,元データ!$C$2:$C$20000,K$5)</f>
        <v>291</v>
      </c>
      <c r="L52" s="16">
        <f>SUMIFS(INDEX(元データ!$E$2:$H$20000,0,MATCH($C$2,元データ!$E$1:$H$1,0)),元データ!$A$2:$A$20000,$A51,元データ!$D$2:$D$20000,$B52,元データ!$B$2:$B$20000,$C$3,元データ!$C$2:$C$20000,L$5)</f>
        <v>228</v>
      </c>
      <c r="M52" s="16">
        <f>SUMIFS(INDEX(元データ!$E$2:$H$20000,0,MATCH($C$2,元データ!$E$1:$H$1,0)),元データ!$A$2:$A$20000,$A51,元データ!$D$2:$D$20000,$B52,元データ!$B$2:$B$20000,$C$3,元データ!$C$2:$C$20000,M$5)</f>
        <v>249</v>
      </c>
      <c r="N52" s="16">
        <f>SUMIFS(INDEX(元データ!$E$2:$H$20000,0,MATCH($C$2,元データ!$E$1:$H$1,0)),元データ!$A$2:$A$20000,$A51,元データ!$D$2:$D$20000,$B52,元データ!$B$2:$B$20000,$C$3,元データ!$C$2:$C$20000,N$5)</f>
        <v>209</v>
      </c>
      <c r="O52" s="17">
        <f t="shared" si="2"/>
        <v>2586</v>
      </c>
      <c r="P52" s="17">
        <f>SUMIFS(INDEX(元データ!$E$2:$H$20000,0,MATCH($C$2,元データ!$E$1:$H$1,0)),元データ!$A$2:$A$20000,$A51,元データ!$D$2:$D$20000,$B52,元データ!$B$2:$B$20000,$D$3)</f>
        <v>2848</v>
      </c>
      <c r="Q52" s="25">
        <f t="shared" si="3"/>
        <v>0.9080056179775281</v>
      </c>
    </row>
    <row r="53" spans="1:17" x14ac:dyDescent="0.45">
      <c r="A53" s="14"/>
      <c r="B53" s="15" t="s">
        <v>29</v>
      </c>
      <c r="C53" s="16">
        <f>SUMIFS(INDEX(元データ!$E$2:$H$20000,0,MATCH($C$2,元データ!$E$1:$H$1,0)),元データ!$A$2:$A$20000,$A51,元データ!$D$2:$D$20000,$B53,元データ!$B$2:$B$20000,$C$3,元データ!$C$2:$C$20000,C$5)</f>
        <v>107</v>
      </c>
      <c r="D53" s="16">
        <f>SUMIFS(INDEX(元データ!$E$2:$H$20000,0,MATCH($C$2,元データ!$E$1:$H$1,0)),元データ!$A$2:$A$20000,$A51,元データ!$D$2:$D$20000,$B53,元データ!$B$2:$B$20000,$C$3,元データ!$C$2:$C$20000,D$5)</f>
        <v>127</v>
      </c>
      <c r="E53" s="16">
        <f>SUMIFS(INDEX(元データ!$E$2:$H$20000,0,MATCH($C$2,元データ!$E$1:$H$1,0)),元データ!$A$2:$A$20000,$A51,元データ!$D$2:$D$20000,$B53,元データ!$B$2:$B$20000,$C$3,元データ!$C$2:$C$20000,E$5)</f>
        <v>198</v>
      </c>
      <c r="F53" s="16">
        <f>SUMIFS(INDEX(元データ!$E$2:$H$20000,0,MATCH($C$2,元データ!$E$1:$H$1,0)),元データ!$A$2:$A$20000,$A51,元データ!$D$2:$D$20000,$B53,元データ!$B$2:$B$20000,$C$3,元データ!$C$2:$C$20000,F$5)</f>
        <v>190</v>
      </c>
      <c r="G53" s="16">
        <f>SUMIFS(INDEX(元データ!$E$2:$H$20000,0,MATCH($C$2,元データ!$E$1:$H$1,0)),元データ!$A$2:$A$20000,$A51,元データ!$D$2:$D$20000,$B53,元データ!$B$2:$B$20000,$C$3,元データ!$C$2:$C$20000,G$5)</f>
        <v>176</v>
      </c>
      <c r="H53" s="16">
        <f>SUMIFS(INDEX(元データ!$E$2:$H$20000,0,MATCH($C$2,元データ!$E$1:$H$1,0)),元データ!$A$2:$A$20000,$A51,元データ!$D$2:$D$20000,$B53,元データ!$B$2:$B$20000,$C$3,元データ!$C$2:$C$20000,H$5)</f>
        <v>152</v>
      </c>
      <c r="I53" s="16">
        <f>SUMIFS(INDEX(元データ!$E$2:$H$20000,0,MATCH($C$2,元データ!$E$1:$H$1,0)),元データ!$A$2:$A$20000,$A51,元データ!$D$2:$D$20000,$B53,元データ!$B$2:$B$20000,$C$3,元データ!$C$2:$C$20000,I$5)</f>
        <v>89</v>
      </c>
      <c r="J53" s="16">
        <f>SUMIFS(INDEX(元データ!$E$2:$H$20000,0,MATCH($C$2,元データ!$E$1:$H$1,0)),元データ!$A$2:$A$20000,$A51,元データ!$D$2:$D$20000,$B53,元データ!$B$2:$B$20000,$C$3,元データ!$C$2:$C$20000,J$5)</f>
        <v>218</v>
      </c>
      <c r="K53" s="16">
        <f>SUMIFS(INDEX(元データ!$E$2:$H$20000,0,MATCH($C$2,元データ!$E$1:$H$1,0)),元データ!$A$2:$A$20000,$A51,元データ!$D$2:$D$20000,$B53,元データ!$B$2:$B$20000,$C$3,元データ!$C$2:$C$20000,K$5)</f>
        <v>293</v>
      </c>
      <c r="L53" s="16">
        <f>SUMIFS(INDEX(元データ!$E$2:$H$20000,0,MATCH($C$2,元データ!$E$1:$H$1,0)),元データ!$A$2:$A$20000,$A51,元データ!$D$2:$D$20000,$B53,元データ!$B$2:$B$20000,$C$3,元データ!$C$2:$C$20000,L$5)</f>
        <v>212</v>
      </c>
      <c r="M53" s="16">
        <f>SUMIFS(INDEX(元データ!$E$2:$H$20000,0,MATCH($C$2,元データ!$E$1:$H$1,0)),元データ!$A$2:$A$20000,$A51,元データ!$D$2:$D$20000,$B53,元データ!$B$2:$B$20000,$C$3,元データ!$C$2:$C$20000,M$5)</f>
        <v>209</v>
      </c>
      <c r="N53" s="16">
        <f>SUMIFS(INDEX(元データ!$E$2:$H$20000,0,MATCH($C$2,元データ!$E$1:$H$1,0)),元データ!$A$2:$A$20000,$A51,元データ!$D$2:$D$20000,$B53,元データ!$B$2:$B$20000,$C$3,元データ!$C$2:$C$20000,N$5)</f>
        <v>161</v>
      </c>
      <c r="O53" s="17">
        <f t="shared" si="2"/>
        <v>2132</v>
      </c>
      <c r="P53" s="17">
        <f>SUMIFS(INDEX(元データ!$E$2:$H$20000,0,MATCH($C$2,元データ!$E$1:$H$1,0)),元データ!$A$2:$A$20000,$A51,元データ!$D$2:$D$20000,$B53,元データ!$B$2:$B$20000,$D$3)</f>
        <v>2248</v>
      </c>
      <c r="Q53" s="25">
        <f t="shared" si="3"/>
        <v>0.94839857651245552</v>
      </c>
    </row>
    <row r="54" spans="1:17" x14ac:dyDescent="0.45">
      <c r="A54" s="14" t="str">
        <f>店舗マスタ!A18</f>
        <v>長泉店</v>
      </c>
      <c r="B54" s="15" t="s">
        <v>27</v>
      </c>
      <c r="C54" s="16">
        <f>SUMIFS(INDEX(元データ!$E$2:$H$20000,0,MATCH($C$2,元データ!$E$1:$H$1,0)),元データ!$A$2:$A$20000,$A54,元データ!$D$2:$D$20000,$B54,元データ!$B$2:$B$20000,$C$3,元データ!$C$2:$C$20000,C$5)</f>
        <v>1030</v>
      </c>
      <c r="D54" s="16">
        <f>SUMIFS(INDEX(元データ!$E$2:$H$20000,0,MATCH($C$2,元データ!$E$1:$H$1,0)),元データ!$A$2:$A$20000,$A54,元データ!$D$2:$D$20000,$B54,元データ!$B$2:$B$20000,$C$3,元データ!$C$2:$C$20000,D$5)</f>
        <v>1325</v>
      </c>
      <c r="E54" s="16">
        <f>SUMIFS(INDEX(元データ!$E$2:$H$20000,0,MATCH($C$2,元データ!$E$1:$H$1,0)),元データ!$A$2:$A$20000,$A54,元データ!$D$2:$D$20000,$B54,元データ!$B$2:$B$20000,$C$3,元データ!$C$2:$C$20000,E$5)</f>
        <v>1614</v>
      </c>
      <c r="F54" s="16">
        <f>SUMIFS(INDEX(元データ!$E$2:$H$20000,0,MATCH($C$2,元データ!$E$1:$H$1,0)),元データ!$A$2:$A$20000,$A54,元データ!$D$2:$D$20000,$B54,元データ!$B$2:$B$20000,$C$3,元データ!$C$2:$C$20000,F$5)</f>
        <v>1428</v>
      </c>
      <c r="G54" s="16">
        <f>SUMIFS(INDEX(元データ!$E$2:$H$20000,0,MATCH($C$2,元データ!$E$1:$H$1,0)),元データ!$A$2:$A$20000,$A54,元データ!$D$2:$D$20000,$B54,元データ!$B$2:$B$20000,$C$3,元データ!$C$2:$C$20000,G$5)</f>
        <v>1522</v>
      </c>
      <c r="H54" s="16">
        <f>SUMIFS(INDEX(元データ!$E$2:$H$20000,0,MATCH($C$2,元データ!$E$1:$H$1,0)),元データ!$A$2:$A$20000,$A54,元データ!$D$2:$D$20000,$B54,元データ!$B$2:$B$20000,$C$3,元データ!$C$2:$C$20000,H$5)</f>
        <v>1089</v>
      </c>
      <c r="I54" s="16">
        <f>SUMIFS(INDEX(元データ!$E$2:$H$20000,0,MATCH($C$2,元データ!$E$1:$H$1,0)),元データ!$A$2:$A$20000,$A54,元データ!$D$2:$D$20000,$B54,元データ!$B$2:$B$20000,$C$3,元データ!$C$2:$C$20000,I$5)</f>
        <v>1220</v>
      </c>
      <c r="J54" s="16">
        <f>SUMIFS(INDEX(元データ!$E$2:$H$20000,0,MATCH($C$2,元データ!$E$1:$H$1,0)),元データ!$A$2:$A$20000,$A54,元データ!$D$2:$D$20000,$B54,元データ!$B$2:$B$20000,$C$3,元データ!$C$2:$C$20000,J$5)</f>
        <v>1436</v>
      </c>
      <c r="K54" s="16">
        <f>SUMIFS(INDEX(元データ!$E$2:$H$20000,0,MATCH($C$2,元データ!$E$1:$H$1,0)),元データ!$A$2:$A$20000,$A54,元データ!$D$2:$D$20000,$B54,元データ!$B$2:$B$20000,$C$3,元データ!$C$2:$C$20000,K$5)</f>
        <v>1388</v>
      </c>
      <c r="L54" s="16">
        <f>SUMIFS(INDEX(元データ!$E$2:$H$20000,0,MATCH($C$2,元データ!$E$1:$H$1,0)),元データ!$A$2:$A$20000,$A54,元データ!$D$2:$D$20000,$B54,元データ!$B$2:$B$20000,$C$3,元データ!$C$2:$C$20000,L$5)</f>
        <v>1175</v>
      </c>
      <c r="M54" s="16">
        <f>SUMIFS(INDEX(元データ!$E$2:$H$20000,0,MATCH($C$2,元データ!$E$1:$H$1,0)),元データ!$A$2:$A$20000,$A54,元データ!$D$2:$D$20000,$B54,元データ!$B$2:$B$20000,$C$3,元データ!$C$2:$C$20000,M$5)</f>
        <v>1419</v>
      </c>
      <c r="N54" s="16">
        <f>SUMIFS(INDEX(元データ!$E$2:$H$20000,0,MATCH($C$2,元データ!$E$1:$H$1,0)),元データ!$A$2:$A$20000,$A54,元データ!$D$2:$D$20000,$B54,元データ!$B$2:$B$20000,$C$3,元データ!$C$2:$C$20000,N$5)</f>
        <v>1282</v>
      </c>
      <c r="O54" s="17">
        <f t="shared" si="2"/>
        <v>15928</v>
      </c>
      <c r="P54" s="17">
        <f>SUMIFS(INDEX(元データ!$E$2:$H$20000,0,MATCH($C$2,元データ!$E$1:$H$1,0)),元データ!$A$2:$A$20000,$A54,元データ!$D$2:$D$20000,$B54,元データ!$B$2:$B$20000,$D$3)</f>
        <v>19357</v>
      </c>
      <c r="Q54" s="25">
        <f t="shared" si="3"/>
        <v>0.82285478121609756</v>
      </c>
    </row>
    <row r="55" spans="1:17" x14ac:dyDescent="0.45">
      <c r="A55" s="14"/>
      <c r="B55" s="15" t="s">
        <v>28</v>
      </c>
      <c r="C55" s="16">
        <f>SUMIFS(INDEX(元データ!$E$2:$H$20000,0,MATCH($C$2,元データ!$E$1:$H$1,0)),元データ!$A$2:$A$20000,$A54,元データ!$D$2:$D$20000,$B55,元データ!$B$2:$B$20000,$C$3,元データ!$C$2:$C$20000,C$5)</f>
        <v>628</v>
      </c>
      <c r="D55" s="16">
        <f>SUMIFS(INDEX(元データ!$E$2:$H$20000,0,MATCH($C$2,元データ!$E$1:$H$1,0)),元データ!$A$2:$A$20000,$A54,元データ!$D$2:$D$20000,$B55,元データ!$B$2:$B$20000,$C$3,元データ!$C$2:$C$20000,D$5)</f>
        <v>657</v>
      </c>
      <c r="E55" s="16">
        <f>SUMIFS(INDEX(元データ!$E$2:$H$20000,0,MATCH($C$2,元データ!$E$1:$H$1,0)),元データ!$A$2:$A$20000,$A54,元データ!$D$2:$D$20000,$B55,元データ!$B$2:$B$20000,$C$3,元データ!$C$2:$C$20000,E$5)</f>
        <v>784</v>
      </c>
      <c r="F55" s="16">
        <f>SUMIFS(INDEX(元データ!$E$2:$H$20000,0,MATCH($C$2,元データ!$E$1:$H$1,0)),元データ!$A$2:$A$20000,$A54,元データ!$D$2:$D$20000,$B55,元データ!$B$2:$B$20000,$C$3,元データ!$C$2:$C$20000,F$5)</f>
        <v>484</v>
      </c>
      <c r="G55" s="16">
        <f>SUMIFS(INDEX(元データ!$E$2:$H$20000,0,MATCH($C$2,元データ!$E$1:$H$1,0)),元データ!$A$2:$A$20000,$A54,元データ!$D$2:$D$20000,$B55,元データ!$B$2:$B$20000,$C$3,元データ!$C$2:$C$20000,G$5)</f>
        <v>817</v>
      </c>
      <c r="H55" s="16">
        <f>SUMIFS(INDEX(元データ!$E$2:$H$20000,0,MATCH($C$2,元データ!$E$1:$H$1,0)),元データ!$A$2:$A$20000,$A54,元データ!$D$2:$D$20000,$B55,元データ!$B$2:$B$20000,$C$3,元データ!$C$2:$C$20000,H$5)</f>
        <v>525</v>
      </c>
      <c r="I55" s="16">
        <f>SUMIFS(INDEX(元データ!$E$2:$H$20000,0,MATCH($C$2,元データ!$E$1:$H$1,0)),元データ!$A$2:$A$20000,$A54,元データ!$D$2:$D$20000,$B55,元データ!$B$2:$B$20000,$C$3,元データ!$C$2:$C$20000,I$5)</f>
        <v>487</v>
      </c>
      <c r="J55" s="16">
        <f>SUMIFS(INDEX(元データ!$E$2:$H$20000,0,MATCH($C$2,元データ!$E$1:$H$1,0)),元データ!$A$2:$A$20000,$A54,元データ!$D$2:$D$20000,$B55,元データ!$B$2:$B$20000,$C$3,元データ!$C$2:$C$20000,J$5)</f>
        <v>793</v>
      </c>
      <c r="K55" s="16">
        <f>SUMIFS(INDEX(元データ!$E$2:$H$20000,0,MATCH($C$2,元データ!$E$1:$H$1,0)),元データ!$A$2:$A$20000,$A54,元データ!$D$2:$D$20000,$B55,元データ!$B$2:$B$20000,$C$3,元データ!$C$2:$C$20000,K$5)</f>
        <v>1009</v>
      </c>
      <c r="L55" s="16">
        <f>SUMIFS(INDEX(元データ!$E$2:$H$20000,0,MATCH($C$2,元データ!$E$1:$H$1,0)),元データ!$A$2:$A$20000,$A54,元データ!$D$2:$D$20000,$B55,元データ!$B$2:$B$20000,$C$3,元データ!$C$2:$C$20000,L$5)</f>
        <v>821</v>
      </c>
      <c r="M55" s="16">
        <f>SUMIFS(INDEX(元データ!$E$2:$H$20000,0,MATCH($C$2,元データ!$E$1:$H$1,0)),元データ!$A$2:$A$20000,$A54,元データ!$D$2:$D$20000,$B55,元データ!$B$2:$B$20000,$C$3,元データ!$C$2:$C$20000,M$5)</f>
        <v>767</v>
      </c>
      <c r="N55" s="16">
        <f>SUMIFS(INDEX(元データ!$E$2:$H$20000,0,MATCH($C$2,元データ!$E$1:$H$1,0)),元データ!$A$2:$A$20000,$A54,元データ!$D$2:$D$20000,$B55,元データ!$B$2:$B$20000,$C$3,元データ!$C$2:$C$20000,N$5)</f>
        <v>662</v>
      </c>
      <c r="O55" s="17">
        <f t="shared" si="2"/>
        <v>8434</v>
      </c>
      <c r="P55" s="17">
        <f>SUMIFS(INDEX(元データ!$E$2:$H$20000,0,MATCH($C$2,元データ!$E$1:$H$1,0)),元データ!$A$2:$A$20000,$A54,元データ!$D$2:$D$20000,$B55,元データ!$B$2:$B$20000,$D$3)</f>
        <v>8985</v>
      </c>
      <c r="Q55" s="25">
        <f t="shared" si="3"/>
        <v>0.93867557039510297</v>
      </c>
    </row>
    <row r="56" spans="1:17" x14ac:dyDescent="0.45">
      <c r="A56" s="14"/>
      <c r="B56" s="15" t="s">
        <v>29</v>
      </c>
      <c r="C56" s="16">
        <f>SUMIFS(INDEX(元データ!$E$2:$H$20000,0,MATCH($C$2,元データ!$E$1:$H$1,0)),元データ!$A$2:$A$20000,$A54,元データ!$D$2:$D$20000,$B56,元データ!$B$2:$B$20000,$C$3,元データ!$C$2:$C$20000,C$5)</f>
        <v>261</v>
      </c>
      <c r="D56" s="16">
        <f>SUMIFS(INDEX(元データ!$E$2:$H$20000,0,MATCH($C$2,元データ!$E$1:$H$1,0)),元データ!$A$2:$A$20000,$A54,元データ!$D$2:$D$20000,$B56,元データ!$B$2:$B$20000,$C$3,元データ!$C$2:$C$20000,D$5)</f>
        <v>312</v>
      </c>
      <c r="E56" s="16">
        <f>SUMIFS(INDEX(元データ!$E$2:$H$20000,0,MATCH($C$2,元データ!$E$1:$H$1,0)),元データ!$A$2:$A$20000,$A54,元データ!$D$2:$D$20000,$B56,元データ!$B$2:$B$20000,$C$3,元データ!$C$2:$C$20000,E$5)</f>
        <v>486</v>
      </c>
      <c r="F56" s="16">
        <f>SUMIFS(INDEX(元データ!$E$2:$H$20000,0,MATCH($C$2,元データ!$E$1:$H$1,0)),元データ!$A$2:$A$20000,$A54,元データ!$D$2:$D$20000,$B56,元データ!$B$2:$B$20000,$C$3,元データ!$C$2:$C$20000,F$5)</f>
        <v>490</v>
      </c>
      <c r="G56" s="16">
        <f>SUMIFS(INDEX(元データ!$E$2:$H$20000,0,MATCH($C$2,元データ!$E$1:$H$1,0)),元データ!$A$2:$A$20000,$A54,元データ!$D$2:$D$20000,$B56,元データ!$B$2:$B$20000,$C$3,元データ!$C$2:$C$20000,G$5)</f>
        <v>591</v>
      </c>
      <c r="H56" s="16">
        <f>SUMIFS(INDEX(元データ!$E$2:$H$20000,0,MATCH($C$2,元データ!$E$1:$H$1,0)),元データ!$A$2:$A$20000,$A54,元データ!$D$2:$D$20000,$B56,元データ!$B$2:$B$20000,$C$3,元データ!$C$2:$C$20000,H$5)</f>
        <v>404</v>
      </c>
      <c r="I56" s="16">
        <f>SUMIFS(INDEX(元データ!$E$2:$H$20000,0,MATCH($C$2,元データ!$E$1:$H$1,0)),元データ!$A$2:$A$20000,$A54,元データ!$D$2:$D$20000,$B56,元データ!$B$2:$B$20000,$C$3,元データ!$C$2:$C$20000,I$5)</f>
        <v>346</v>
      </c>
      <c r="J56" s="16">
        <f>SUMIFS(INDEX(元データ!$E$2:$H$20000,0,MATCH($C$2,元データ!$E$1:$H$1,0)),元データ!$A$2:$A$20000,$A54,元データ!$D$2:$D$20000,$B56,元データ!$B$2:$B$20000,$C$3,元データ!$C$2:$C$20000,J$5)</f>
        <v>657</v>
      </c>
      <c r="K56" s="16">
        <f>SUMIFS(INDEX(元データ!$E$2:$H$20000,0,MATCH($C$2,元データ!$E$1:$H$1,0)),元データ!$A$2:$A$20000,$A54,元データ!$D$2:$D$20000,$B56,元データ!$B$2:$B$20000,$C$3,元データ!$C$2:$C$20000,K$5)</f>
        <v>881</v>
      </c>
      <c r="L56" s="16">
        <f>SUMIFS(INDEX(元データ!$E$2:$H$20000,0,MATCH($C$2,元データ!$E$1:$H$1,0)),元データ!$A$2:$A$20000,$A54,元データ!$D$2:$D$20000,$B56,元データ!$B$2:$B$20000,$C$3,元データ!$C$2:$C$20000,L$5)</f>
        <v>641</v>
      </c>
      <c r="M56" s="16">
        <f>SUMIFS(INDEX(元データ!$E$2:$H$20000,0,MATCH($C$2,元データ!$E$1:$H$1,0)),元データ!$A$2:$A$20000,$A54,元データ!$D$2:$D$20000,$B56,元データ!$B$2:$B$20000,$C$3,元データ!$C$2:$C$20000,M$5)</f>
        <v>520</v>
      </c>
      <c r="N56" s="16">
        <f>SUMIFS(INDEX(元データ!$E$2:$H$20000,0,MATCH($C$2,元データ!$E$1:$H$1,0)),元データ!$A$2:$A$20000,$A54,元データ!$D$2:$D$20000,$B56,元データ!$B$2:$B$20000,$C$3,元データ!$C$2:$C$20000,N$5)</f>
        <v>347</v>
      </c>
      <c r="O56" s="17">
        <f t="shared" si="2"/>
        <v>5936</v>
      </c>
      <c r="P56" s="17">
        <f>SUMIFS(INDEX(元データ!$E$2:$H$20000,0,MATCH($C$2,元データ!$E$1:$H$1,0)),元データ!$A$2:$A$20000,$A54,元データ!$D$2:$D$20000,$B56,元データ!$B$2:$B$20000,$D$3)</f>
        <v>6020</v>
      </c>
      <c r="Q56" s="25">
        <f t="shared" si="3"/>
        <v>0.98604651162790702</v>
      </c>
    </row>
    <row r="57" spans="1:17" x14ac:dyDescent="0.45">
      <c r="A57" s="14" t="str">
        <f>店舗マスタ!A19</f>
        <v>大仁店</v>
      </c>
      <c r="B57" s="15" t="s">
        <v>27</v>
      </c>
      <c r="C57" s="16">
        <f>SUMIFS(INDEX(元データ!$E$2:$H$20000,0,MATCH($C$2,元データ!$E$1:$H$1,0)),元データ!$A$2:$A$20000,$A57,元データ!$D$2:$D$20000,$B57,元データ!$B$2:$B$20000,$C$3,元データ!$C$2:$C$20000,C$5)</f>
        <v>367</v>
      </c>
      <c r="D57" s="16">
        <f>SUMIFS(INDEX(元データ!$E$2:$H$20000,0,MATCH($C$2,元データ!$E$1:$H$1,0)),元データ!$A$2:$A$20000,$A57,元データ!$D$2:$D$20000,$B57,元データ!$B$2:$B$20000,$C$3,元データ!$C$2:$C$20000,D$5)</f>
        <v>357</v>
      </c>
      <c r="E57" s="16">
        <f>SUMIFS(INDEX(元データ!$E$2:$H$20000,0,MATCH($C$2,元データ!$E$1:$H$1,0)),元データ!$A$2:$A$20000,$A57,元データ!$D$2:$D$20000,$B57,元データ!$B$2:$B$20000,$C$3,元データ!$C$2:$C$20000,E$5)</f>
        <v>461</v>
      </c>
      <c r="F57" s="16">
        <f>SUMIFS(INDEX(元データ!$E$2:$H$20000,0,MATCH($C$2,元データ!$E$1:$H$1,0)),元データ!$A$2:$A$20000,$A57,元データ!$D$2:$D$20000,$B57,元データ!$B$2:$B$20000,$C$3,元データ!$C$2:$C$20000,F$5)</f>
        <v>377</v>
      </c>
      <c r="G57" s="16">
        <f>SUMIFS(INDEX(元データ!$E$2:$H$20000,0,MATCH($C$2,元データ!$E$1:$H$1,0)),元データ!$A$2:$A$20000,$A57,元データ!$D$2:$D$20000,$B57,元データ!$B$2:$B$20000,$C$3,元データ!$C$2:$C$20000,G$5)</f>
        <v>368</v>
      </c>
      <c r="H57" s="16">
        <f>SUMIFS(INDEX(元データ!$E$2:$H$20000,0,MATCH($C$2,元データ!$E$1:$H$1,0)),元データ!$A$2:$A$20000,$A57,元データ!$D$2:$D$20000,$B57,元データ!$B$2:$B$20000,$C$3,元データ!$C$2:$C$20000,H$5)</f>
        <v>330</v>
      </c>
      <c r="I57" s="16">
        <f>SUMIFS(INDEX(元データ!$E$2:$H$20000,0,MATCH($C$2,元データ!$E$1:$H$1,0)),元データ!$A$2:$A$20000,$A57,元データ!$D$2:$D$20000,$B57,元データ!$B$2:$B$20000,$C$3,元データ!$C$2:$C$20000,I$5)</f>
        <v>297</v>
      </c>
      <c r="J57" s="16">
        <f>SUMIFS(INDEX(元データ!$E$2:$H$20000,0,MATCH($C$2,元データ!$E$1:$H$1,0)),元データ!$A$2:$A$20000,$A57,元データ!$D$2:$D$20000,$B57,元データ!$B$2:$B$20000,$C$3,元データ!$C$2:$C$20000,J$5)</f>
        <v>378</v>
      </c>
      <c r="K57" s="16">
        <f>SUMIFS(INDEX(元データ!$E$2:$H$20000,0,MATCH($C$2,元データ!$E$1:$H$1,0)),元データ!$A$2:$A$20000,$A57,元データ!$D$2:$D$20000,$B57,元データ!$B$2:$B$20000,$C$3,元データ!$C$2:$C$20000,K$5)</f>
        <v>333</v>
      </c>
      <c r="L57" s="16">
        <f>SUMIFS(INDEX(元データ!$E$2:$H$20000,0,MATCH($C$2,元データ!$E$1:$H$1,0)),元データ!$A$2:$A$20000,$A57,元データ!$D$2:$D$20000,$B57,元データ!$B$2:$B$20000,$C$3,元データ!$C$2:$C$20000,L$5)</f>
        <v>318</v>
      </c>
      <c r="M57" s="16">
        <f>SUMIFS(INDEX(元データ!$E$2:$H$20000,0,MATCH($C$2,元データ!$E$1:$H$1,0)),元データ!$A$2:$A$20000,$A57,元データ!$D$2:$D$20000,$B57,元データ!$B$2:$B$20000,$C$3,元データ!$C$2:$C$20000,M$5)</f>
        <v>358</v>
      </c>
      <c r="N57" s="16">
        <f>SUMIFS(INDEX(元データ!$E$2:$H$20000,0,MATCH($C$2,元データ!$E$1:$H$1,0)),元データ!$A$2:$A$20000,$A57,元データ!$D$2:$D$20000,$B57,元データ!$B$2:$B$20000,$C$3,元データ!$C$2:$C$20000,N$5)</f>
        <v>352</v>
      </c>
      <c r="O57" s="17">
        <f t="shared" si="2"/>
        <v>4296</v>
      </c>
      <c r="P57" s="17">
        <f>SUMIFS(INDEX(元データ!$E$2:$H$20000,0,MATCH($C$2,元データ!$E$1:$H$1,0)),元データ!$A$2:$A$20000,$A57,元データ!$D$2:$D$20000,$B57,元データ!$B$2:$B$20000,$D$3)</f>
        <v>5327</v>
      </c>
      <c r="Q57" s="25">
        <f t="shared" si="3"/>
        <v>0.80645766848132161</v>
      </c>
    </row>
    <row r="58" spans="1:17" x14ac:dyDescent="0.45">
      <c r="A58" s="14"/>
      <c r="B58" s="15" t="s">
        <v>28</v>
      </c>
      <c r="C58" s="16">
        <f>SUMIFS(INDEX(元データ!$E$2:$H$20000,0,MATCH($C$2,元データ!$E$1:$H$1,0)),元データ!$A$2:$A$20000,$A57,元データ!$D$2:$D$20000,$B58,元データ!$B$2:$B$20000,$C$3,元データ!$C$2:$C$20000,C$5)</f>
        <v>222</v>
      </c>
      <c r="D58" s="16">
        <f>SUMIFS(INDEX(元データ!$E$2:$H$20000,0,MATCH($C$2,元データ!$E$1:$H$1,0)),元データ!$A$2:$A$20000,$A57,元データ!$D$2:$D$20000,$B58,元データ!$B$2:$B$20000,$C$3,元データ!$C$2:$C$20000,D$5)</f>
        <v>242</v>
      </c>
      <c r="E58" s="16">
        <f>SUMIFS(INDEX(元データ!$E$2:$H$20000,0,MATCH($C$2,元データ!$E$1:$H$1,0)),元データ!$A$2:$A$20000,$A57,元データ!$D$2:$D$20000,$B58,元データ!$B$2:$B$20000,$C$3,元データ!$C$2:$C$20000,E$5)</f>
        <v>368</v>
      </c>
      <c r="F58" s="16">
        <f>SUMIFS(INDEX(元データ!$E$2:$H$20000,0,MATCH($C$2,元データ!$E$1:$H$1,0)),元データ!$A$2:$A$20000,$A57,元データ!$D$2:$D$20000,$B58,元データ!$B$2:$B$20000,$C$3,元データ!$C$2:$C$20000,F$5)</f>
        <v>206</v>
      </c>
      <c r="G58" s="16">
        <f>SUMIFS(INDEX(元データ!$E$2:$H$20000,0,MATCH($C$2,元データ!$E$1:$H$1,0)),元データ!$A$2:$A$20000,$A57,元データ!$D$2:$D$20000,$B58,元データ!$B$2:$B$20000,$C$3,元データ!$C$2:$C$20000,G$5)</f>
        <v>273</v>
      </c>
      <c r="H58" s="16">
        <f>SUMIFS(INDEX(元データ!$E$2:$H$20000,0,MATCH($C$2,元データ!$E$1:$H$1,0)),元データ!$A$2:$A$20000,$A57,元データ!$D$2:$D$20000,$B58,元データ!$B$2:$B$20000,$C$3,元データ!$C$2:$C$20000,H$5)</f>
        <v>174</v>
      </c>
      <c r="I58" s="16">
        <f>SUMIFS(INDEX(元データ!$E$2:$H$20000,0,MATCH($C$2,元データ!$E$1:$H$1,0)),元データ!$A$2:$A$20000,$A57,元データ!$D$2:$D$20000,$B58,元データ!$B$2:$B$20000,$C$3,元データ!$C$2:$C$20000,I$5)</f>
        <v>158</v>
      </c>
      <c r="J58" s="16">
        <f>SUMIFS(INDEX(元データ!$E$2:$H$20000,0,MATCH($C$2,元データ!$E$1:$H$1,0)),元データ!$A$2:$A$20000,$A57,元データ!$D$2:$D$20000,$B58,元データ!$B$2:$B$20000,$C$3,元データ!$C$2:$C$20000,J$5)</f>
        <v>323</v>
      </c>
      <c r="K58" s="16">
        <f>SUMIFS(INDEX(元データ!$E$2:$H$20000,0,MATCH($C$2,元データ!$E$1:$H$1,0)),元データ!$A$2:$A$20000,$A57,元データ!$D$2:$D$20000,$B58,元データ!$B$2:$B$20000,$C$3,元データ!$C$2:$C$20000,K$5)</f>
        <v>369</v>
      </c>
      <c r="L58" s="16">
        <f>SUMIFS(INDEX(元データ!$E$2:$H$20000,0,MATCH($C$2,元データ!$E$1:$H$1,0)),元データ!$A$2:$A$20000,$A57,元データ!$D$2:$D$20000,$B58,元データ!$B$2:$B$20000,$C$3,元データ!$C$2:$C$20000,L$5)</f>
        <v>271</v>
      </c>
      <c r="M58" s="16">
        <f>SUMIFS(INDEX(元データ!$E$2:$H$20000,0,MATCH($C$2,元データ!$E$1:$H$1,0)),元データ!$A$2:$A$20000,$A57,元データ!$D$2:$D$20000,$B58,元データ!$B$2:$B$20000,$C$3,元データ!$C$2:$C$20000,M$5)</f>
        <v>291</v>
      </c>
      <c r="N58" s="16">
        <f>SUMIFS(INDEX(元データ!$E$2:$H$20000,0,MATCH($C$2,元データ!$E$1:$H$1,0)),元データ!$A$2:$A$20000,$A57,元データ!$D$2:$D$20000,$B58,元データ!$B$2:$B$20000,$C$3,元データ!$C$2:$C$20000,N$5)</f>
        <v>272</v>
      </c>
      <c r="O58" s="17">
        <f t="shared" si="2"/>
        <v>3169</v>
      </c>
      <c r="P58" s="17">
        <f>SUMIFS(INDEX(元データ!$E$2:$H$20000,0,MATCH($C$2,元データ!$E$1:$H$1,0)),元データ!$A$2:$A$20000,$A57,元データ!$D$2:$D$20000,$B58,元データ!$B$2:$B$20000,$D$3)</f>
        <v>3393</v>
      </c>
      <c r="Q58" s="25">
        <f t="shared" si="3"/>
        <v>0.93398172708517535</v>
      </c>
    </row>
    <row r="59" spans="1:17" x14ac:dyDescent="0.45">
      <c r="A59" s="14"/>
      <c r="B59" s="15" t="s">
        <v>29</v>
      </c>
      <c r="C59" s="16">
        <f>SUMIFS(INDEX(元データ!$E$2:$H$20000,0,MATCH($C$2,元データ!$E$1:$H$1,0)),元データ!$A$2:$A$20000,$A57,元データ!$D$2:$D$20000,$B59,元データ!$B$2:$B$20000,$C$3,元データ!$C$2:$C$20000,C$5)</f>
        <v>117</v>
      </c>
      <c r="D59" s="16">
        <f>SUMIFS(INDEX(元データ!$E$2:$H$20000,0,MATCH($C$2,元データ!$E$1:$H$1,0)),元データ!$A$2:$A$20000,$A57,元データ!$D$2:$D$20000,$B59,元データ!$B$2:$B$20000,$C$3,元データ!$C$2:$C$20000,D$5)</f>
        <v>156</v>
      </c>
      <c r="E59" s="16">
        <f>SUMIFS(INDEX(元データ!$E$2:$H$20000,0,MATCH($C$2,元データ!$E$1:$H$1,0)),元データ!$A$2:$A$20000,$A57,元データ!$D$2:$D$20000,$B59,元データ!$B$2:$B$20000,$C$3,元データ!$C$2:$C$20000,E$5)</f>
        <v>246</v>
      </c>
      <c r="F59" s="16">
        <f>SUMIFS(INDEX(元データ!$E$2:$H$20000,0,MATCH($C$2,元データ!$E$1:$H$1,0)),元データ!$A$2:$A$20000,$A57,元データ!$D$2:$D$20000,$B59,元データ!$B$2:$B$20000,$C$3,元データ!$C$2:$C$20000,F$5)</f>
        <v>139</v>
      </c>
      <c r="G59" s="16">
        <f>SUMIFS(INDEX(元データ!$E$2:$H$20000,0,MATCH($C$2,元データ!$E$1:$H$1,0)),元データ!$A$2:$A$20000,$A57,元データ!$D$2:$D$20000,$B59,元データ!$B$2:$B$20000,$C$3,元データ!$C$2:$C$20000,G$5)</f>
        <v>237</v>
      </c>
      <c r="H59" s="16">
        <f>SUMIFS(INDEX(元データ!$E$2:$H$20000,0,MATCH($C$2,元データ!$E$1:$H$1,0)),元データ!$A$2:$A$20000,$A57,元データ!$D$2:$D$20000,$B59,元データ!$B$2:$B$20000,$C$3,元データ!$C$2:$C$20000,H$5)</f>
        <v>152</v>
      </c>
      <c r="I59" s="16">
        <f>SUMIFS(INDEX(元データ!$E$2:$H$20000,0,MATCH($C$2,元データ!$E$1:$H$1,0)),元データ!$A$2:$A$20000,$A57,元データ!$D$2:$D$20000,$B59,元データ!$B$2:$B$20000,$C$3,元データ!$C$2:$C$20000,I$5)</f>
        <v>126</v>
      </c>
      <c r="J59" s="16">
        <f>SUMIFS(INDEX(元データ!$E$2:$H$20000,0,MATCH($C$2,元データ!$E$1:$H$1,0)),元データ!$A$2:$A$20000,$A57,元データ!$D$2:$D$20000,$B59,元データ!$B$2:$B$20000,$C$3,元データ!$C$2:$C$20000,J$5)</f>
        <v>264</v>
      </c>
      <c r="K59" s="16">
        <f>SUMIFS(INDEX(元データ!$E$2:$H$20000,0,MATCH($C$2,元データ!$E$1:$H$1,0)),元データ!$A$2:$A$20000,$A57,元データ!$D$2:$D$20000,$B59,元データ!$B$2:$B$20000,$C$3,元データ!$C$2:$C$20000,K$5)</f>
        <v>360</v>
      </c>
      <c r="L59" s="16">
        <f>SUMIFS(INDEX(元データ!$E$2:$H$20000,0,MATCH($C$2,元データ!$E$1:$H$1,0)),元データ!$A$2:$A$20000,$A57,元データ!$D$2:$D$20000,$B59,元データ!$B$2:$B$20000,$C$3,元データ!$C$2:$C$20000,L$5)</f>
        <v>236</v>
      </c>
      <c r="M59" s="16">
        <f>SUMIFS(INDEX(元データ!$E$2:$H$20000,0,MATCH($C$2,元データ!$E$1:$H$1,0)),元データ!$A$2:$A$20000,$A57,元データ!$D$2:$D$20000,$B59,元データ!$B$2:$B$20000,$C$3,元データ!$C$2:$C$20000,M$5)</f>
        <v>269</v>
      </c>
      <c r="N59" s="16">
        <f>SUMIFS(INDEX(元データ!$E$2:$H$20000,0,MATCH($C$2,元データ!$E$1:$H$1,0)),元データ!$A$2:$A$20000,$A57,元データ!$D$2:$D$20000,$B59,元データ!$B$2:$B$20000,$C$3,元データ!$C$2:$C$20000,N$5)</f>
        <v>164</v>
      </c>
      <c r="O59" s="17">
        <f t="shared" si="2"/>
        <v>2466</v>
      </c>
      <c r="P59" s="17">
        <f>SUMIFS(INDEX(元データ!$E$2:$H$20000,0,MATCH($C$2,元データ!$E$1:$H$1,0)),元データ!$A$2:$A$20000,$A57,元データ!$D$2:$D$20000,$B59,元データ!$B$2:$B$20000,$D$3)</f>
        <v>2652</v>
      </c>
      <c r="Q59" s="25">
        <f t="shared" si="3"/>
        <v>0.92986425339366519</v>
      </c>
    </row>
    <row r="60" spans="1:17" x14ac:dyDescent="0.45">
      <c r="A60" s="14" t="str">
        <f>店舗マスタ!A20</f>
        <v>修善寺店</v>
      </c>
      <c r="B60" s="15" t="s">
        <v>27</v>
      </c>
      <c r="C60" s="16">
        <f>SUMIFS(INDEX(元データ!$E$2:$H$20000,0,MATCH($C$2,元データ!$E$1:$H$1,0)),元データ!$A$2:$A$20000,$A60,元データ!$D$2:$D$20000,$B60,元データ!$B$2:$B$20000,$C$3,元データ!$C$2:$C$20000,C$5)</f>
        <v>348</v>
      </c>
      <c r="D60" s="16">
        <f>SUMIFS(INDEX(元データ!$E$2:$H$20000,0,MATCH($C$2,元データ!$E$1:$H$1,0)),元データ!$A$2:$A$20000,$A60,元データ!$D$2:$D$20000,$B60,元データ!$B$2:$B$20000,$C$3,元データ!$C$2:$C$20000,D$5)</f>
        <v>379</v>
      </c>
      <c r="E60" s="16">
        <f>SUMIFS(INDEX(元データ!$E$2:$H$20000,0,MATCH($C$2,元データ!$E$1:$H$1,0)),元データ!$A$2:$A$20000,$A60,元データ!$D$2:$D$20000,$B60,元データ!$B$2:$B$20000,$C$3,元データ!$C$2:$C$20000,E$5)</f>
        <v>547</v>
      </c>
      <c r="F60" s="16">
        <f>SUMIFS(INDEX(元データ!$E$2:$H$20000,0,MATCH($C$2,元データ!$E$1:$H$1,0)),元データ!$A$2:$A$20000,$A60,元データ!$D$2:$D$20000,$B60,元データ!$B$2:$B$20000,$C$3,元データ!$C$2:$C$20000,F$5)</f>
        <v>384</v>
      </c>
      <c r="G60" s="16">
        <f>SUMIFS(INDEX(元データ!$E$2:$H$20000,0,MATCH($C$2,元データ!$E$1:$H$1,0)),元データ!$A$2:$A$20000,$A60,元データ!$D$2:$D$20000,$B60,元データ!$B$2:$B$20000,$C$3,元データ!$C$2:$C$20000,G$5)</f>
        <v>428</v>
      </c>
      <c r="H60" s="16">
        <f>SUMIFS(INDEX(元データ!$E$2:$H$20000,0,MATCH($C$2,元データ!$E$1:$H$1,0)),元データ!$A$2:$A$20000,$A60,元データ!$D$2:$D$20000,$B60,元データ!$B$2:$B$20000,$C$3,元データ!$C$2:$C$20000,H$5)</f>
        <v>324</v>
      </c>
      <c r="I60" s="16">
        <f>SUMIFS(INDEX(元データ!$E$2:$H$20000,0,MATCH($C$2,元データ!$E$1:$H$1,0)),元データ!$A$2:$A$20000,$A60,元データ!$D$2:$D$20000,$B60,元データ!$B$2:$B$20000,$C$3,元データ!$C$2:$C$20000,I$5)</f>
        <v>335</v>
      </c>
      <c r="J60" s="16">
        <f>SUMIFS(INDEX(元データ!$E$2:$H$20000,0,MATCH($C$2,元データ!$E$1:$H$1,0)),元データ!$A$2:$A$20000,$A60,元データ!$D$2:$D$20000,$B60,元データ!$B$2:$B$20000,$C$3,元データ!$C$2:$C$20000,J$5)</f>
        <v>545</v>
      </c>
      <c r="K60" s="16">
        <f>SUMIFS(INDEX(元データ!$E$2:$H$20000,0,MATCH($C$2,元データ!$E$1:$H$1,0)),元データ!$A$2:$A$20000,$A60,元データ!$D$2:$D$20000,$B60,元データ!$B$2:$B$20000,$C$3,元データ!$C$2:$C$20000,K$5)</f>
        <v>424</v>
      </c>
      <c r="L60" s="16">
        <f>SUMIFS(INDEX(元データ!$E$2:$H$20000,0,MATCH($C$2,元データ!$E$1:$H$1,0)),元データ!$A$2:$A$20000,$A60,元データ!$D$2:$D$20000,$B60,元データ!$B$2:$B$20000,$C$3,元データ!$C$2:$C$20000,L$5)</f>
        <v>375</v>
      </c>
      <c r="M60" s="16">
        <f>SUMIFS(INDEX(元データ!$E$2:$H$20000,0,MATCH($C$2,元データ!$E$1:$H$1,0)),元データ!$A$2:$A$20000,$A60,元データ!$D$2:$D$20000,$B60,元データ!$B$2:$B$20000,$C$3,元データ!$C$2:$C$20000,M$5)</f>
        <v>479</v>
      </c>
      <c r="N60" s="16">
        <f>SUMIFS(INDEX(元データ!$E$2:$H$20000,0,MATCH($C$2,元データ!$E$1:$H$1,0)),元データ!$A$2:$A$20000,$A60,元データ!$D$2:$D$20000,$B60,元データ!$B$2:$B$20000,$C$3,元データ!$C$2:$C$20000,N$5)</f>
        <v>414</v>
      </c>
      <c r="O60" s="17">
        <f t="shared" si="2"/>
        <v>4982</v>
      </c>
      <c r="P60" s="17">
        <f>SUMIFS(INDEX(元データ!$E$2:$H$20000,0,MATCH($C$2,元データ!$E$1:$H$1,0)),元データ!$A$2:$A$20000,$A60,元データ!$D$2:$D$20000,$B60,元データ!$B$2:$B$20000,$D$3)</f>
        <v>5269</v>
      </c>
      <c r="Q60" s="25">
        <f t="shared" si="3"/>
        <v>0.94553046118808126</v>
      </c>
    </row>
    <row r="61" spans="1:17" x14ac:dyDescent="0.45">
      <c r="A61" s="14"/>
      <c r="B61" s="15" t="s">
        <v>28</v>
      </c>
      <c r="C61" s="16">
        <f>SUMIFS(INDEX(元データ!$E$2:$H$20000,0,MATCH($C$2,元データ!$E$1:$H$1,0)),元データ!$A$2:$A$20000,$A60,元データ!$D$2:$D$20000,$B61,元データ!$B$2:$B$20000,$C$3,元データ!$C$2:$C$20000,C$5)</f>
        <v>225</v>
      </c>
      <c r="D61" s="16">
        <f>SUMIFS(INDEX(元データ!$E$2:$H$20000,0,MATCH($C$2,元データ!$E$1:$H$1,0)),元データ!$A$2:$A$20000,$A60,元データ!$D$2:$D$20000,$B61,元データ!$B$2:$B$20000,$C$3,元データ!$C$2:$C$20000,D$5)</f>
        <v>224</v>
      </c>
      <c r="E61" s="16">
        <f>SUMIFS(INDEX(元データ!$E$2:$H$20000,0,MATCH($C$2,元データ!$E$1:$H$1,0)),元データ!$A$2:$A$20000,$A60,元データ!$D$2:$D$20000,$B61,元データ!$B$2:$B$20000,$C$3,元データ!$C$2:$C$20000,E$5)</f>
        <v>334</v>
      </c>
      <c r="F61" s="16">
        <f>SUMIFS(INDEX(元データ!$E$2:$H$20000,0,MATCH($C$2,元データ!$E$1:$H$1,0)),元データ!$A$2:$A$20000,$A60,元データ!$D$2:$D$20000,$B61,元データ!$B$2:$B$20000,$C$3,元データ!$C$2:$C$20000,F$5)</f>
        <v>320</v>
      </c>
      <c r="G61" s="16">
        <f>SUMIFS(INDEX(元データ!$E$2:$H$20000,0,MATCH($C$2,元データ!$E$1:$H$1,0)),元データ!$A$2:$A$20000,$A60,元データ!$D$2:$D$20000,$B61,元データ!$B$2:$B$20000,$C$3,元データ!$C$2:$C$20000,G$5)</f>
        <v>249</v>
      </c>
      <c r="H61" s="16">
        <f>SUMIFS(INDEX(元データ!$E$2:$H$20000,0,MATCH($C$2,元データ!$E$1:$H$1,0)),元データ!$A$2:$A$20000,$A60,元データ!$D$2:$D$20000,$B61,元データ!$B$2:$B$20000,$C$3,元データ!$C$2:$C$20000,H$5)</f>
        <v>143</v>
      </c>
      <c r="I61" s="16">
        <f>SUMIFS(INDEX(元データ!$E$2:$H$20000,0,MATCH($C$2,元データ!$E$1:$H$1,0)),元データ!$A$2:$A$20000,$A60,元データ!$D$2:$D$20000,$B61,元データ!$B$2:$B$20000,$C$3,元データ!$C$2:$C$20000,I$5)</f>
        <v>157</v>
      </c>
      <c r="J61" s="16">
        <f>SUMIFS(INDEX(元データ!$E$2:$H$20000,0,MATCH($C$2,元データ!$E$1:$H$1,0)),元データ!$A$2:$A$20000,$A60,元データ!$D$2:$D$20000,$B61,元データ!$B$2:$B$20000,$C$3,元データ!$C$2:$C$20000,J$5)</f>
        <v>293</v>
      </c>
      <c r="K61" s="16">
        <f>SUMIFS(INDEX(元データ!$E$2:$H$20000,0,MATCH($C$2,元データ!$E$1:$H$1,0)),元データ!$A$2:$A$20000,$A60,元データ!$D$2:$D$20000,$B61,元データ!$B$2:$B$20000,$C$3,元データ!$C$2:$C$20000,K$5)</f>
        <v>364</v>
      </c>
      <c r="L61" s="16">
        <f>SUMIFS(INDEX(元データ!$E$2:$H$20000,0,MATCH($C$2,元データ!$E$1:$H$1,0)),元データ!$A$2:$A$20000,$A60,元データ!$D$2:$D$20000,$B61,元データ!$B$2:$B$20000,$C$3,元データ!$C$2:$C$20000,L$5)</f>
        <v>283</v>
      </c>
      <c r="M61" s="16">
        <f>SUMIFS(INDEX(元データ!$E$2:$H$20000,0,MATCH($C$2,元データ!$E$1:$H$1,0)),元データ!$A$2:$A$20000,$A60,元データ!$D$2:$D$20000,$B61,元データ!$B$2:$B$20000,$C$3,元データ!$C$2:$C$20000,M$5)</f>
        <v>291</v>
      </c>
      <c r="N61" s="16">
        <f>SUMIFS(INDEX(元データ!$E$2:$H$20000,0,MATCH($C$2,元データ!$E$1:$H$1,0)),元データ!$A$2:$A$20000,$A60,元データ!$D$2:$D$20000,$B61,元データ!$B$2:$B$20000,$C$3,元データ!$C$2:$C$20000,N$5)</f>
        <v>244</v>
      </c>
      <c r="O61" s="17">
        <f t="shared" si="2"/>
        <v>3127</v>
      </c>
      <c r="P61" s="17">
        <f>SUMIFS(INDEX(元データ!$E$2:$H$20000,0,MATCH($C$2,元データ!$E$1:$H$1,0)),元データ!$A$2:$A$20000,$A60,元データ!$D$2:$D$20000,$B61,元データ!$B$2:$B$20000,$D$3)</f>
        <v>3268</v>
      </c>
      <c r="Q61" s="25">
        <f t="shared" si="3"/>
        <v>0.95685434516523871</v>
      </c>
    </row>
    <row r="62" spans="1:17" x14ac:dyDescent="0.45">
      <c r="A62" s="14"/>
      <c r="B62" s="15" t="s">
        <v>29</v>
      </c>
      <c r="C62" s="16">
        <f>SUMIFS(INDEX(元データ!$E$2:$H$20000,0,MATCH($C$2,元データ!$E$1:$H$1,0)),元データ!$A$2:$A$20000,$A60,元データ!$D$2:$D$20000,$B62,元データ!$B$2:$B$20000,$C$3,元データ!$C$2:$C$20000,C$5)</f>
        <v>143</v>
      </c>
      <c r="D62" s="16">
        <f>SUMIFS(INDEX(元データ!$E$2:$H$20000,0,MATCH($C$2,元データ!$E$1:$H$1,0)),元データ!$A$2:$A$20000,$A60,元データ!$D$2:$D$20000,$B62,元データ!$B$2:$B$20000,$C$3,元データ!$C$2:$C$20000,D$5)</f>
        <v>167</v>
      </c>
      <c r="E62" s="16">
        <f>SUMIFS(INDEX(元データ!$E$2:$H$20000,0,MATCH($C$2,元データ!$E$1:$H$1,0)),元データ!$A$2:$A$20000,$A60,元データ!$D$2:$D$20000,$B62,元データ!$B$2:$B$20000,$C$3,元データ!$C$2:$C$20000,E$5)</f>
        <v>273</v>
      </c>
      <c r="F62" s="16">
        <f>SUMIFS(INDEX(元データ!$E$2:$H$20000,0,MATCH($C$2,元データ!$E$1:$H$1,0)),元データ!$A$2:$A$20000,$A60,元データ!$D$2:$D$20000,$B62,元データ!$B$2:$B$20000,$C$3,元データ!$C$2:$C$20000,F$5)</f>
        <v>235</v>
      </c>
      <c r="G62" s="16">
        <f>SUMIFS(INDEX(元データ!$E$2:$H$20000,0,MATCH($C$2,元データ!$E$1:$H$1,0)),元データ!$A$2:$A$20000,$A60,元データ!$D$2:$D$20000,$B62,元データ!$B$2:$B$20000,$C$3,元データ!$C$2:$C$20000,G$5)</f>
        <v>200</v>
      </c>
      <c r="H62" s="16">
        <f>SUMIFS(INDEX(元データ!$E$2:$H$20000,0,MATCH($C$2,元データ!$E$1:$H$1,0)),元データ!$A$2:$A$20000,$A60,元データ!$D$2:$D$20000,$B62,元データ!$B$2:$B$20000,$C$3,元データ!$C$2:$C$20000,H$5)</f>
        <v>126</v>
      </c>
      <c r="I62" s="16">
        <f>SUMIFS(INDEX(元データ!$E$2:$H$20000,0,MATCH($C$2,元データ!$E$1:$H$1,0)),元データ!$A$2:$A$20000,$A60,元データ!$D$2:$D$20000,$B62,元データ!$B$2:$B$20000,$C$3,元データ!$C$2:$C$20000,I$5)</f>
        <v>121</v>
      </c>
      <c r="J62" s="16">
        <f>SUMIFS(INDEX(元データ!$E$2:$H$20000,0,MATCH($C$2,元データ!$E$1:$H$1,0)),元データ!$A$2:$A$20000,$A60,元データ!$D$2:$D$20000,$B62,元データ!$B$2:$B$20000,$C$3,元データ!$C$2:$C$20000,J$5)</f>
        <v>258</v>
      </c>
      <c r="K62" s="16">
        <f>SUMIFS(INDEX(元データ!$E$2:$H$20000,0,MATCH($C$2,元データ!$E$1:$H$1,0)),元データ!$A$2:$A$20000,$A60,元データ!$D$2:$D$20000,$B62,元データ!$B$2:$B$20000,$C$3,元データ!$C$2:$C$20000,K$5)</f>
        <v>329</v>
      </c>
      <c r="L62" s="16">
        <f>SUMIFS(INDEX(元データ!$E$2:$H$20000,0,MATCH($C$2,元データ!$E$1:$H$1,0)),元データ!$A$2:$A$20000,$A60,元データ!$D$2:$D$20000,$B62,元データ!$B$2:$B$20000,$C$3,元データ!$C$2:$C$20000,L$5)</f>
        <v>229</v>
      </c>
      <c r="M62" s="16">
        <f>SUMIFS(INDEX(元データ!$E$2:$H$20000,0,MATCH($C$2,元データ!$E$1:$H$1,0)),元データ!$A$2:$A$20000,$A60,元データ!$D$2:$D$20000,$B62,元データ!$B$2:$B$20000,$C$3,元データ!$C$2:$C$20000,M$5)</f>
        <v>241</v>
      </c>
      <c r="N62" s="16">
        <f>SUMIFS(INDEX(元データ!$E$2:$H$20000,0,MATCH($C$2,元データ!$E$1:$H$1,0)),元データ!$A$2:$A$20000,$A60,元データ!$D$2:$D$20000,$B62,元データ!$B$2:$B$20000,$C$3,元データ!$C$2:$C$20000,N$5)</f>
        <v>165</v>
      </c>
      <c r="O62" s="17">
        <f t="shared" si="2"/>
        <v>2487</v>
      </c>
      <c r="P62" s="17">
        <f>SUMIFS(INDEX(元データ!$E$2:$H$20000,0,MATCH($C$2,元データ!$E$1:$H$1,0)),元データ!$A$2:$A$20000,$A60,元データ!$D$2:$D$20000,$B62,元データ!$B$2:$B$20000,$D$3)</f>
        <v>2488</v>
      </c>
      <c r="Q62" s="25">
        <f t="shared" si="3"/>
        <v>0.99959807073954987</v>
      </c>
    </row>
    <row r="63" spans="1:17" x14ac:dyDescent="0.45">
      <c r="A63" s="14" t="str">
        <f>店舗マスタ!A21</f>
        <v>W長泉店</v>
      </c>
      <c r="B63" s="15" t="s">
        <v>27</v>
      </c>
      <c r="C63" s="16">
        <f>SUMIFS(INDEX(元データ!$E$2:$H$20000,0,MATCH($C$2,元データ!$E$1:$H$1,0)),元データ!$A$2:$A$20000,$A63,元データ!$D$2:$D$20000,$B63,元データ!$B$2:$B$20000,$C$3,元データ!$C$2:$C$20000,C$5)</f>
        <v>284</v>
      </c>
      <c r="D63" s="16">
        <f>SUMIFS(INDEX(元データ!$E$2:$H$20000,0,MATCH($C$2,元データ!$E$1:$H$1,0)),元データ!$A$2:$A$20000,$A63,元データ!$D$2:$D$20000,$B63,元データ!$B$2:$B$20000,$C$3,元データ!$C$2:$C$20000,D$5)</f>
        <v>349</v>
      </c>
      <c r="E63" s="16">
        <f>SUMIFS(INDEX(元データ!$E$2:$H$20000,0,MATCH($C$2,元データ!$E$1:$H$1,0)),元データ!$A$2:$A$20000,$A63,元データ!$D$2:$D$20000,$B63,元データ!$B$2:$B$20000,$C$3,元データ!$C$2:$C$20000,E$5)</f>
        <v>433</v>
      </c>
      <c r="F63" s="16">
        <f>SUMIFS(INDEX(元データ!$E$2:$H$20000,0,MATCH($C$2,元データ!$E$1:$H$1,0)),元データ!$A$2:$A$20000,$A63,元データ!$D$2:$D$20000,$B63,元データ!$B$2:$B$20000,$C$3,元データ!$C$2:$C$20000,F$5)</f>
        <v>382</v>
      </c>
      <c r="G63" s="16">
        <f>SUMIFS(INDEX(元データ!$E$2:$H$20000,0,MATCH($C$2,元データ!$E$1:$H$1,0)),元データ!$A$2:$A$20000,$A63,元データ!$D$2:$D$20000,$B63,元データ!$B$2:$B$20000,$C$3,元データ!$C$2:$C$20000,G$5)</f>
        <v>330</v>
      </c>
      <c r="H63" s="16">
        <f>SUMIFS(INDEX(元データ!$E$2:$H$20000,0,MATCH($C$2,元データ!$E$1:$H$1,0)),元データ!$A$2:$A$20000,$A63,元データ!$D$2:$D$20000,$B63,元データ!$B$2:$B$20000,$C$3,元データ!$C$2:$C$20000,H$5)</f>
        <v>243</v>
      </c>
      <c r="I63" s="16">
        <f>SUMIFS(INDEX(元データ!$E$2:$H$20000,0,MATCH($C$2,元データ!$E$1:$H$1,0)),元データ!$A$2:$A$20000,$A63,元データ!$D$2:$D$20000,$B63,元データ!$B$2:$B$20000,$C$3,元データ!$C$2:$C$20000,I$5)</f>
        <v>269</v>
      </c>
      <c r="J63" s="16">
        <f>SUMIFS(INDEX(元データ!$E$2:$H$20000,0,MATCH($C$2,元データ!$E$1:$H$1,0)),元データ!$A$2:$A$20000,$A63,元データ!$D$2:$D$20000,$B63,元データ!$B$2:$B$20000,$C$3,元データ!$C$2:$C$20000,J$5)</f>
        <v>367</v>
      </c>
      <c r="K63" s="16">
        <f>SUMIFS(INDEX(元データ!$E$2:$H$20000,0,MATCH($C$2,元データ!$E$1:$H$1,0)),元データ!$A$2:$A$20000,$A63,元データ!$D$2:$D$20000,$B63,元データ!$B$2:$B$20000,$C$3,元データ!$C$2:$C$20000,K$5)</f>
        <v>446</v>
      </c>
      <c r="L63" s="16">
        <f>SUMIFS(INDEX(元データ!$E$2:$H$20000,0,MATCH($C$2,元データ!$E$1:$H$1,0)),元データ!$A$2:$A$20000,$A63,元データ!$D$2:$D$20000,$B63,元データ!$B$2:$B$20000,$C$3,元データ!$C$2:$C$20000,L$5)</f>
        <v>305</v>
      </c>
      <c r="M63" s="16">
        <f>SUMIFS(INDEX(元データ!$E$2:$H$20000,0,MATCH($C$2,元データ!$E$1:$H$1,0)),元データ!$A$2:$A$20000,$A63,元データ!$D$2:$D$20000,$B63,元データ!$B$2:$B$20000,$C$3,元データ!$C$2:$C$20000,M$5)</f>
        <v>343</v>
      </c>
      <c r="N63" s="16">
        <f>SUMIFS(INDEX(元データ!$E$2:$H$20000,0,MATCH($C$2,元データ!$E$1:$H$1,0)),元データ!$A$2:$A$20000,$A63,元データ!$D$2:$D$20000,$B63,元データ!$B$2:$B$20000,$C$3,元データ!$C$2:$C$20000,N$5)</f>
        <v>381</v>
      </c>
      <c r="O63" s="17">
        <f t="shared" si="2"/>
        <v>4132</v>
      </c>
      <c r="P63" s="17">
        <f>SUMIFS(INDEX(元データ!$E$2:$H$20000,0,MATCH($C$2,元データ!$E$1:$H$1,0)),元データ!$A$2:$A$20000,$A63,元データ!$D$2:$D$20000,$B63,元データ!$B$2:$B$20000,$D$3)</f>
        <v>5713</v>
      </c>
      <c r="Q63" s="25">
        <f t="shared" si="3"/>
        <v>0.72326273411517594</v>
      </c>
    </row>
    <row r="64" spans="1:17" x14ac:dyDescent="0.45">
      <c r="A64" s="14"/>
      <c r="B64" s="15" t="s">
        <v>28</v>
      </c>
      <c r="C64" s="16">
        <f>SUMIFS(INDEX(元データ!$E$2:$H$20000,0,MATCH($C$2,元データ!$E$1:$H$1,0)),元データ!$A$2:$A$20000,$A63,元データ!$D$2:$D$20000,$B64,元データ!$B$2:$B$20000,$C$3,元データ!$C$2:$C$20000,C$5)</f>
        <v>241</v>
      </c>
      <c r="D64" s="16">
        <f>SUMIFS(INDEX(元データ!$E$2:$H$20000,0,MATCH($C$2,元データ!$E$1:$H$1,0)),元データ!$A$2:$A$20000,$A63,元データ!$D$2:$D$20000,$B64,元データ!$B$2:$B$20000,$C$3,元データ!$C$2:$C$20000,D$5)</f>
        <v>234</v>
      </c>
      <c r="E64" s="16">
        <f>SUMIFS(INDEX(元データ!$E$2:$H$20000,0,MATCH($C$2,元データ!$E$1:$H$1,0)),元データ!$A$2:$A$20000,$A63,元データ!$D$2:$D$20000,$B64,元データ!$B$2:$B$20000,$C$3,元データ!$C$2:$C$20000,E$5)</f>
        <v>372</v>
      </c>
      <c r="F64" s="16">
        <f>SUMIFS(INDEX(元データ!$E$2:$H$20000,0,MATCH($C$2,元データ!$E$1:$H$1,0)),元データ!$A$2:$A$20000,$A63,元データ!$D$2:$D$20000,$B64,元データ!$B$2:$B$20000,$C$3,元データ!$C$2:$C$20000,F$5)</f>
        <v>319</v>
      </c>
      <c r="G64" s="16">
        <f>SUMIFS(INDEX(元データ!$E$2:$H$20000,0,MATCH($C$2,元データ!$E$1:$H$1,0)),元データ!$A$2:$A$20000,$A63,元データ!$D$2:$D$20000,$B64,元データ!$B$2:$B$20000,$C$3,元データ!$C$2:$C$20000,G$5)</f>
        <v>324</v>
      </c>
      <c r="H64" s="16">
        <f>SUMIFS(INDEX(元データ!$E$2:$H$20000,0,MATCH($C$2,元データ!$E$1:$H$1,0)),元データ!$A$2:$A$20000,$A63,元データ!$D$2:$D$20000,$B64,元データ!$B$2:$B$20000,$C$3,元データ!$C$2:$C$20000,H$5)</f>
        <v>202</v>
      </c>
      <c r="I64" s="16">
        <f>SUMIFS(INDEX(元データ!$E$2:$H$20000,0,MATCH($C$2,元データ!$E$1:$H$1,0)),元データ!$A$2:$A$20000,$A63,元データ!$D$2:$D$20000,$B64,元データ!$B$2:$B$20000,$C$3,元データ!$C$2:$C$20000,I$5)</f>
        <v>191</v>
      </c>
      <c r="J64" s="16">
        <f>SUMIFS(INDEX(元データ!$E$2:$H$20000,0,MATCH($C$2,元データ!$E$1:$H$1,0)),元データ!$A$2:$A$20000,$A63,元データ!$D$2:$D$20000,$B64,元データ!$B$2:$B$20000,$C$3,元データ!$C$2:$C$20000,J$5)</f>
        <v>310</v>
      </c>
      <c r="K64" s="16">
        <f>SUMIFS(INDEX(元データ!$E$2:$H$20000,0,MATCH($C$2,元データ!$E$1:$H$1,0)),元データ!$A$2:$A$20000,$A63,元データ!$D$2:$D$20000,$B64,元データ!$B$2:$B$20000,$C$3,元データ!$C$2:$C$20000,K$5)</f>
        <v>495</v>
      </c>
      <c r="L64" s="16">
        <f>SUMIFS(INDEX(元データ!$E$2:$H$20000,0,MATCH($C$2,元データ!$E$1:$H$1,0)),元データ!$A$2:$A$20000,$A63,元データ!$D$2:$D$20000,$B64,元データ!$B$2:$B$20000,$C$3,元データ!$C$2:$C$20000,L$5)</f>
        <v>297</v>
      </c>
      <c r="M64" s="16">
        <f>SUMIFS(INDEX(元データ!$E$2:$H$20000,0,MATCH($C$2,元データ!$E$1:$H$1,0)),元データ!$A$2:$A$20000,$A63,元データ!$D$2:$D$20000,$B64,元データ!$B$2:$B$20000,$C$3,元データ!$C$2:$C$20000,M$5)</f>
        <v>292</v>
      </c>
      <c r="N64" s="16">
        <f>SUMIFS(INDEX(元データ!$E$2:$H$20000,0,MATCH($C$2,元データ!$E$1:$H$1,0)),元データ!$A$2:$A$20000,$A63,元データ!$D$2:$D$20000,$B64,元データ!$B$2:$B$20000,$C$3,元データ!$C$2:$C$20000,N$5)</f>
        <v>278</v>
      </c>
      <c r="O64" s="17">
        <f t="shared" si="2"/>
        <v>3555</v>
      </c>
      <c r="P64" s="17">
        <f>SUMIFS(INDEX(元データ!$E$2:$H$20000,0,MATCH($C$2,元データ!$E$1:$H$1,0)),元データ!$A$2:$A$20000,$A63,元データ!$D$2:$D$20000,$B64,元データ!$B$2:$B$20000,$D$3)</f>
        <v>4008</v>
      </c>
      <c r="Q64" s="25">
        <f t="shared" si="3"/>
        <v>0.8869760479041916</v>
      </c>
    </row>
    <row r="65" spans="1:17" x14ac:dyDescent="0.45">
      <c r="A65" s="14"/>
      <c r="B65" s="15" t="s">
        <v>29</v>
      </c>
      <c r="C65" s="16">
        <f>SUMIFS(INDEX(元データ!$E$2:$H$20000,0,MATCH($C$2,元データ!$E$1:$H$1,0)),元データ!$A$2:$A$20000,$A63,元データ!$D$2:$D$20000,$B65,元データ!$B$2:$B$20000,$C$3,元データ!$C$2:$C$20000,C$5)</f>
        <v>132</v>
      </c>
      <c r="D65" s="16">
        <f>SUMIFS(INDEX(元データ!$E$2:$H$20000,0,MATCH($C$2,元データ!$E$1:$H$1,0)),元データ!$A$2:$A$20000,$A63,元データ!$D$2:$D$20000,$B65,元データ!$B$2:$B$20000,$C$3,元データ!$C$2:$C$20000,D$5)</f>
        <v>147</v>
      </c>
      <c r="E65" s="16">
        <f>SUMIFS(INDEX(元データ!$E$2:$H$20000,0,MATCH($C$2,元データ!$E$1:$H$1,0)),元データ!$A$2:$A$20000,$A63,元データ!$D$2:$D$20000,$B65,元データ!$B$2:$B$20000,$C$3,元データ!$C$2:$C$20000,E$5)</f>
        <v>241</v>
      </c>
      <c r="F65" s="16">
        <f>SUMIFS(INDEX(元データ!$E$2:$H$20000,0,MATCH($C$2,元データ!$E$1:$H$1,0)),元データ!$A$2:$A$20000,$A63,元データ!$D$2:$D$20000,$B65,元データ!$B$2:$B$20000,$C$3,元データ!$C$2:$C$20000,F$5)</f>
        <v>254</v>
      </c>
      <c r="G65" s="16">
        <f>SUMIFS(INDEX(元データ!$E$2:$H$20000,0,MATCH($C$2,元データ!$E$1:$H$1,0)),元データ!$A$2:$A$20000,$A63,元データ!$D$2:$D$20000,$B65,元データ!$B$2:$B$20000,$C$3,元データ!$C$2:$C$20000,G$5)</f>
        <v>257</v>
      </c>
      <c r="H65" s="16">
        <f>SUMIFS(INDEX(元データ!$E$2:$H$20000,0,MATCH($C$2,元データ!$E$1:$H$1,0)),元データ!$A$2:$A$20000,$A63,元データ!$D$2:$D$20000,$B65,元データ!$B$2:$B$20000,$C$3,元データ!$C$2:$C$20000,H$5)</f>
        <v>159</v>
      </c>
      <c r="I65" s="16">
        <f>SUMIFS(INDEX(元データ!$E$2:$H$20000,0,MATCH($C$2,元データ!$E$1:$H$1,0)),元データ!$A$2:$A$20000,$A63,元データ!$D$2:$D$20000,$B65,元データ!$B$2:$B$20000,$C$3,元データ!$C$2:$C$20000,I$5)</f>
        <v>131</v>
      </c>
      <c r="J65" s="16">
        <f>SUMIFS(INDEX(元データ!$E$2:$H$20000,0,MATCH($C$2,元データ!$E$1:$H$1,0)),元データ!$A$2:$A$20000,$A63,元データ!$D$2:$D$20000,$B65,元データ!$B$2:$B$20000,$C$3,元データ!$C$2:$C$20000,J$5)</f>
        <v>295</v>
      </c>
      <c r="K65" s="16">
        <f>SUMIFS(INDEX(元データ!$E$2:$H$20000,0,MATCH($C$2,元データ!$E$1:$H$1,0)),元データ!$A$2:$A$20000,$A63,元データ!$D$2:$D$20000,$B65,元データ!$B$2:$B$20000,$C$3,元データ!$C$2:$C$20000,K$5)</f>
        <v>471</v>
      </c>
      <c r="L65" s="16">
        <f>SUMIFS(INDEX(元データ!$E$2:$H$20000,0,MATCH($C$2,元データ!$E$1:$H$1,0)),元データ!$A$2:$A$20000,$A63,元データ!$D$2:$D$20000,$B65,元データ!$B$2:$B$20000,$C$3,元データ!$C$2:$C$20000,L$5)</f>
        <v>216</v>
      </c>
      <c r="M65" s="16">
        <f>SUMIFS(INDEX(元データ!$E$2:$H$20000,0,MATCH($C$2,元データ!$E$1:$H$1,0)),元データ!$A$2:$A$20000,$A63,元データ!$D$2:$D$20000,$B65,元データ!$B$2:$B$20000,$C$3,元データ!$C$2:$C$20000,M$5)</f>
        <v>254</v>
      </c>
      <c r="N65" s="16">
        <f>SUMIFS(INDEX(元データ!$E$2:$H$20000,0,MATCH($C$2,元データ!$E$1:$H$1,0)),元データ!$A$2:$A$20000,$A63,元データ!$D$2:$D$20000,$B65,元データ!$B$2:$B$20000,$C$3,元データ!$C$2:$C$20000,N$5)</f>
        <v>187</v>
      </c>
      <c r="O65" s="17">
        <f t="shared" si="2"/>
        <v>2744</v>
      </c>
      <c r="P65" s="17">
        <f>SUMIFS(INDEX(元データ!$E$2:$H$20000,0,MATCH($C$2,元データ!$E$1:$H$1,0)),元データ!$A$2:$A$20000,$A63,元データ!$D$2:$D$20000,$B65,元データ!$B$2:$B$20000,$D$3)</f>
        <v>2915</v>
      </c>
      <c r="Q65" s="25">
        <f t="shared" si="3"/>
        <v>0.94133790737564327</v>
      </c>
    </row>
    <row r="66" spans="1:17" x14ac:dyDescent="0.45">
      <c r="A66" s="14" t="str">
        <f>店舗マスタ!A22</f>
        <v>Ｋ函南店</v>
      </c>
      <c r="B66" s="15" t="s">
        <v>27</v>
      </c>
      <c r="C66" s="16">
        <f>SUMIFS(INDEX(元データ!$E$2:$H$20000,0,MATCH($C$2,元データ!$E$1:$H$1,0)),元データ!$A$2:$A$20000,$A66,元データ!$D$2:$D$20000,$B66,元データ!$B$2:$B$20000,$C$3,元データ!$C$2:$C$20000,C$5)</f>
        <v>1166</v>
      </c>
      <c r="D66" s="16">
        <f>SUMIFS(INDEX(元データ!$E$2:$H$20000,0,MATCH($C$2,元データ!$E$1:$H$1,0)),元データ!$A$2:$A$20000,$A66,元データ!$D$2:$D$20000,$B66,元データ!$B$2:$B$20000,$C$3,元データ!$C$2:$C$20000,D$5)</f>
        <v>1261</v>
      </c>
      <c r="E66" s="16">
        <f>SUMIFS(INDEX(元データ!$E$2:$H$20000,0,MATCH($C$2,元データ!$E$1:$H$1,0)),元データ!$A$2:$A$20000,$A66,元データ!$D$2:$D$20000,$B66,元データ!$B$2:$B$20000,$C$3,元データ!$C$2:$C$20000,E$5)</f>
        <v>1624</v>
      </c>
      <c r="F66" s="16">
        <f>SUMIFS(INDEX(元データ!$E$2:$H$20000,0,MATCH($C$2,元データ!$E$1:$H$1,0)),元データ!$A$2:$A$20000,$A66,元データ!$D$2:$D$20000,$B66,元データ!$B$2:$B$20000,$C$3,元データ!$C$2:$C$20000,F$5)</f>
        <v>1452</v>
      </c>
      <c r="G66" s="16">
        <f>SUMIFS(INDEX(元データ!$E$2:$H$20000,0,MATCH($C$2,元データ!$E$1:$H$1,0)),元データ!$A$2:$A$20000,$A66,元データ!$D$2:$D$20000,$B66,元データ!$B$2:$B$20000,$C$3,元データ!$C$2:$C$20000,G$5)</f>
        <v>1417</v>
      </c>
      <c r="H66" s="16">
        <f>SUMIFS(INDEX(元データ!$E$2:$H$20000,0,MATCH($C$2,元データ!$E$1:$H$1,0)),元データ!$A$2:$A$20000,$A66,元データ!$D$2:$D$20000,$B66,元データ!$B$2:$B$20000,$C$3,元データ!$C$2:$C$20000,H$5)</f>
        <v>1211</v>
      </c>
      <c r="I66" s="16">
        <f>SUMIFS(INDEX(元データ!$E$2:$H$20000,0,MATCH($C$2,元データ!$E$1:$H$1,0)),元データ!$A$2:$A$20000,$A66,元データ!$D$2:$D$20000,$B66,元データ!$B$2:$B$20000,$C$3,元データ!$C$2:$C$20000,I$5)</f>
        <v>1265</v>
      </c>
      <c r="J66" s="16">
        <f>SUMIFS(INDEX(元データ!$E$2:$H$20000,0,MATCH($C$2,元データ!$E$1:$H$1,0)),元データ!$A$2:$A$20000,$A66,元データ!$D$2:$D$20000,$B66,元データ!$B$2:$B$20000,$C$3,元データ!$C$2:$C$20000,J$5)</f>
        <v>1448</v>
      </c>
      <c r="K66" s="16">
        <f>SUMIFS(INDEX(元データ!$E$2:$H$20000,0,MATCH($C$2,元データ!$E$1:$H$1,0)),元データ!$A$2:$A$20000,$A66,元データ!$D$2:$D$20000,$B66,元データ!$B$2:$B$20000,$C$3,元データ!$C$2:$C$20000,K$5)</f>
        <v>1516</v>
      </c>
      <c r="L66" s="16">
        <f>SUMIFS(INDEX(元データ!$E$2:$H$20000,0,MATCH($C$2,元データ!$E$1:$H$1,0)),元データ!$A$2:$A$20000,$A66,元データ!$D$2:$D$20000,$B66,元データ!$B$2:$B$20000,$C$3,元データ!$C$2:$C$20000,L$5)</f>
        <v>1417</v>
      </c>
      <c r="M66" s="16">
        <f>SUMIFS(INDEX(元データ!$E$2:$H$20000,0,MATCH($C$2,元データ!$E$1:$H$1,0)),元データ!$A$2:$A$20000,$A66,元データ!$D$2:$D$20000,$B66,元データ!$B$2:$B$20000,$C$3,元データ!$C$2:$C$20000,M$5)</f>
        <v>1453</v>
      </c>
      <c r="N66" s="16">
        <f>SUMIFS(INDEX(元データ!$E$2:$H$20000,0,MATCH($C$2,元データ!$E$1:$H$1,0)),元データ!$A$2:$A$20000,$A66,元データ!$D$2:$D$20000,$B66,元データ!$B$2:$B$20000,$C$3,元データ!$C$2:$C$20000,N$5)</f>
        <v>1332</v>
      </c>
      <c r="O66" s="17">
        <f t="shared" si="2"/>
        <v>16562</v>
      </c>
      <c r="P66" s="17">
        <f>SUMIFS(INDEX(元データ!$E$2:$H$20000,0,MATCH($C$2,元データ!$E$1:$H$1,0)),元データ!$A$2:$A$20000,$A66,元データ!$D$2:$D$20000,$B66,元データ!$B$2:$B$20000,$D$3)</f>
        <v>18235</v>
      </c>
      <c r="Q66" s="25">
        <f t="shared" si="3"/>
        <v>0.90825335892514392</v>
      </c>
    </row>
    <row r="67" spans="1:17" x14ac:dyDescent="0.45">
      <c r="A67" s="14"/>
      <c r="B67" s="15" t="s">
        <v>28</v>
      </c>
      <c r="C67" s="16">
        <f>SUMIFS(INDEX(元データ!$E$2:$H$20000,0,MATCH($C$2,元データ!$E$1:$H$1,0)),元データ!$A$2:$A$20000,$A66,元データ!$D$2:$D$20000,$B67,元データ!$B$2:$B$20000,$C$3,元データ!$C$2:$C$20000,C$5)</f>
        <v>607</v>
      </c>
      <c r="D67" s="16">
        <f>SUMIFS(INDEX(元データ!$E$2:$H$20000,0,MATCH($C$2,元データ!$E$1:$H$1,0)),元データ!$A$2:$A$20000,$A66,元データ!$D$2:$D$20000,$B67,元データ!$B$2:$B$20000,$C$3,元データ!$C$2:$C$20000,D$5)</f>
        <v>581</v>
      </c>
      <c r="E67" s="16">
        <f>SUMIFS(INDEX(元データ!$E$2:$H$20000,0,MATCH($C$2,元データ!$E$1:$H$1,0)),元データ!$A$2:$A$20000,$A66,元データ!$D$2:$D$20000,$B67,元データ!$B$2:$B$20000,$C$3,元データ!$C$2:$C$20000,E$5)</f>
        <v>837</v>
      </c>
      <c r="F67" s="16">
        <f>SUMIFS(INDEX(元データ!$E$2:$H$20000,0,MATCH($C$2,元データ!$E$1:$H$1,0)),元データ!$A$2:$A$20000,$A66,元データ!$D$2:$D$20000,$B67,元データ!$B$2:$B$20000,$C$3,元データ!$C$2:$C$20000,F$5)</f>
        <v>742</v>
      </c>
      <c r="G67" s="16">
        <f>SUMIFS(INDEX(元データ!$E$2:$H$20000,0,MATCH($C$2,元データ!$E$1:$H$1,0)),元データ!$A$2:$A$20000,$A66,元データ!$D$2:$D$20000,$B67,元データ!$B$2:$B$20000,$C$3,元データ!$C$2:$C$20000,G$5)</f>
        <v>755</v>
      </c>
      <c r="H67" s="16">
        <f>SUMIFS(INDEX(元データ!$E$2:$H$20000,0,MATCH($C$2,元データ!$E$1:$H$1,0)),元データ!$A$2:$A$20000,$A66,元データ!$D$2:$D$20000,$B67,元データ!$B$2:$B$20000,$C$3,元データ!$C$2:$C$20000,H$5)</f>
        <v>508</v>
      </c>
      <c r="I67" s="16">
        <f>SUMIFS(INDEX(元データ!$E$2:$H$20000,0,MATCH($C$2,元データ!$E$1:$H$1,0)),元データ!$A$2:$A$20000,$A66,元データ!$D$2:$D$20000,$B67,元データ!$B$2:$B$20000,$C$3,元データ!$C$2:$C$20000,I$5)</f>
        <v>461</v>
      </c>
      <c r="J67" s="16">
        <f>SUMIFS(INDEX(元データ!$E$2:$H$20000,0,MATCH($C$2,元データ!$E$1:$H$1,0)),元データ!$A$2:$A$20000,$A66,元データ!$D$2:$D$20000,$B67,元データ!$B$2:$B$20000,$C$3,元データ!$C$2:$C$20000,J$5)</f>
        <v>731</v>
      </c>
      <c r="K67" s="16">
        <f>SUMIFS(INDEX(元データ!$E$2:$H$20000,0,MATCH($C$2,元データ!$E$1:$H$1,0)),元データ!$A$2:$A$20000,$A66,元データ!$D$2:$D$20000,$B67,元データ!$B$2:$B$20000,$C$3,元データ!$C$2:$C$20000,K$5)</f>
        <v>1014</v>
      </c>
      <c r="L67" s="16">
        <f>SUMIFS(INDEX(元データ!$E$2:$H$20000,0,MATCH($C$2,元データ!$E$1:$H$1,0)),元データ!$A$2:$A$20000,$A66,元データ!$D$2:$D$20000,$B67,元データ!$B$2:$B$20000,$C$3,元データ!$C$2:$C$20000,L$5)</f>
        <v>763</v>
      </c>
      <c r="M67" s="16">
        <f>SUMIFS(INDEX(元データ!$E$2:$H$20000,0,MATCH($C$2,元データ!$E$1:$H$1,0)),元データ!$A$2:$A$20000,$A66,元データ!$D$2:$D$20000,$B67,元データ!$B$2:$B$20000,$C$3,元データ!$C$2:$C$20000,M$5)</f>
        <v>684</v>
      </c>
      <c r="N67" s="16">
        <f>SUMIFS(INDEX(元データ!$E$2:$H$20000,0,MATCH($C$2,元データ!$E$1:$H$1,0)),元データ!$A$2:$A$20000,$A66,元データ!$D$2:$D$20000,$B67,元データ!$B$2:$B$20000,$C$3,元データ!$C$2:$C$20000,N$5)</f>
        <v>553</v>
      </c>
      <c r="O67" s="17">
        <f t="shared" si="2"/>
        <v>8236</v>
      </c>
      <c r="P67" s="17">
        <f>SUMIFS(INDEX(元データ!$E$2:$H$20000,0,MATCH($C$2,元データ!$E$1:$H$1,0)),元データ!$A$2:$A$20000,$A66,元データ!$D$2:$D$20000,$B67,元データ!$B$2:$B$20000,$D$3)</f>
        <v>8965</v>
      </c>
      <c r="Q67" s="25">
        <f t="shared" si="3"/>
        <v>0.91868377021751257</v>
      </c>
    </row>
    <row r="68" spans="1:17" x14ac:dyDescent="0.45">
      <c r="A68" s="14"/>
      <c r="B68" s="15" t="s">
        <v>29</v>
      </c>
      <c r="C68" s="16">
        <f>SUMIFS(INDEX(元データ!$E$2:$H$20000,0,MATCH($C$2,元データ!$E$1:$H$1,0)),元データ!$A$2:$A$20000,$A66,元データ!$D$2:$D$20000,$B68,元データ!$B$2:$B$20000,$C$3,元データ!$C$2:$C$20000,C$5)</f>
        <v>385</v>
      </c>
      <c r="D68" s="16">
        <f>SUMIFS(INDEX(元データ!$E$2:$H$20000,0,MATCH($C$2,元データ!$E$1:$H$1,0)),元データ!$A$2:$A$20000,$A66,元データ!$D$2:$D$20000,$B68,元データ!$B$2:$B$20000,$C$3,元データ!$C$2:$C$20000,D$5)</f>
        <v>385</v>
      </c>
      <c r="E68" s="16">
        <f>SUMIFS(INDEX(元データ!$E$2:$H$20000,0,MATCH($C$2,元データ!$E$1:$H$1,0)),元データ!$A$2:$A$20000,$A66,元データ!$D$2:$D$20000,$B68,元データ!$B$2:$B$20000,$C$3,元データ!$C$2:$C$20000,E$5)</f>
        <v>577</v>
      </c>
      <c r="F68" s="16">
        <f>SUMIFS(INDEX(元データ!$E$2:$H$20000,0,MATCH($C$2,元データ!$E$1:$H$1,0)),元データ!$A$2:$A$20000,$A66,元データ!$D$2:$D$20000,$B68,元データ!$B$2:$B$20000,$C$3,元データ!$C$2:$C$20000,F$5)</f>
        <v>595</v>
      </c>
      <c r="G68" s="16">
        <f>SUMIFS(INDEX(元データ!$E$2:$H$20000,0,MATCH($C$2,元データ!$E$1:$H$1,0)),元データ!$A$2:$A$20000,$A66,元データ!$D$2:$D$20000,$B68,元データ!$B$2:$B$20000,$C$3,元データ!$C$2:$C$20000,G$5)</f>
        <v>536</v>
      </c>
      <c r="H68" s="16">
        <f>SUMIFS(INDEX(元データ!$E$2:$H$20000,0,MATCH($C$2,元データ!$E$1:$H$1,0)),元データ!$A$2:$A$20000,$A66,元データ!$D$2:$D$20000,$B68,元データ!$B$2:$B$20000,$C$3,元データ!$C$2:$C$20000,H$5)</f>
        <v>381</v>
      </c>
      <c r="I68" s="16">
        <f>SUMIFS(INDEX(元データ!$E$2:$H$20000,0,MATCH($C$2,元データ!$E$1:$H$1,0)),元データ!$A$2:$A$20000,$A66,元データ!$D$2:$D$20000,$B68,元データ!$B$2:$B$20000,$C$3,元データ!$C$2:$C$20000,I$5)</f>
        <v>351</v>
      </c>
      <c r="J68" s="16">
        <f>SUMIFS(INDEX(元データ!$E$2:$H$20000,0,MATCH($C$2,元データ!$E$1:$H$1,0)),元データ!$A$2:$A$20000,$A66,元データ!$D$2:$D$20000,$B68,元データ!$B$2:$B$20000,$C$3,元データ!$C$2:$C$20000,J$5)</f>
        <v>723</v>
      </c>
      <c r="K68" s="16">
        <f>SUMIFS(INDEX(元データ!$E$2:$H$20000,0,MATCH($C$2,元データ!$E$1:$H$1,0)),元データ!$A$2:$A$20000,$A66,元データ!$D$2:$D$20000,$B68,元データ!$B$2:$B$20000,$C$3,元データ!$C$2:$C$20000,K$5)</f>
        <v>804</v>
      </c>
      <c r="L68" s="16">
        <f>SUMIFS(INDEX(元データ!$E$2:$H$20000,0,MATCH($C$2,元データ!$E$1:$H$1,0)),元データ!$A$2:$A$20000,$A66,元データ!$D$2:$D$20000,$B68,元データ!$B$2:$B$20000,$C$3,元データ!$C$2:$C$20000,L$5)</f>
        <v>626</v>
      </c>
      <c r="M68" s="16">
        <f>SUMIFS(INDEX(元データ!$E$2:$H$20000,0,MATCH($C$2,元データ!$E$1:$H$1,0)),元データ!$A$2:$A$20000,$A66,元データ!$D$2:$D$20000,$B68,元データ!$B$2:$B$20000,$C$3,元データ!$C$2:$C$20000,M$5)</f>
        <v>652</v>
      </c>
      <c r="N68" s="16">
        <f>SUMIFS(INDEX(元データ!$E$2:$H$20000,0,MATCH($C$2,元データ!$E$1:$H$1,0)),元データ!$A$2:$A$20000,$A66,元データ!$D$2:$D$20000,$B68,元データ!$B$2:$B$20000,$C$3,元データ!$C$2:$C$20000,N$5)</f>
        <v>602</v>
      </c>
      <c r="O68" s="17">
        <f t="shared" si="2"/>
        <v>6617</v>
      </c>
      <c r="P68" s="17">
        <f>SUMIFS(INDEX(元データ!$E$2:$H$20000,0,MATCH($C$2,元データ!$E$1:$H$1,0)),元データ!$A$2:$A$20000,$A66,元データ!$D$2:$D$20000,$B68,元データ!$B$2:$B$20000,$D$3)</f>
        <v>6875</v>
      </c>
      <c r="Q68" s="25">
        <f t="shared" si="3"/>
        <v>0.96247272727272726</v>
      </c>
    </row>
    <row r="69" spans="1:17" x14ac:dyDescent="0.45">
      <c r="A69" s="14" t="str">
        <f>店舗マスタ!A23</f>
        <v>Ｃ新沢田店</v>
      </c>
      <c r="B69" s="15" t="s">
        <v>27</v>
      </c>
      <c r="C69" s="16">
        <f>SUMIFS(INDEX(元データ!$E$2:$H$20000,0,MATCH($C$2,元データ!$E$1:$H$1,0)),元データ!$A$2:$A$20000,$A69,元データ!$D$2:$D$20000,$B69,元データ!$B$2:$B$20000,$C$3,元データ!$C$2:$C$20000,C$5)</f>
        <v>831</v>
      </c>
      <c r="D69" s="16">
        <f>SUMIFS(INDEX(元データ!$E$2:$H$20000,0,MATCH($C$2,元データ!$E$1:$H$1,0)),元データ!$A$2:$A$20000,$A69,元データ!$D$2:$D$20000,$B69,元データ!$B$2:$B$20000,$C$3,元データ!$C$2:$C$20000,D$5)</f>
        <v>1003</v>
      </c>
      <c r="E69" s="16">
        <f>SUMIFS(INDEX(元データ!$E$2:$H$20000,0,MATCH($C$2,元データ!$E$1:$H$1,0)),元データ!$A$2:$A$20000,$A69,元データ!$D$2:$D$20000,$B69,元データ!$B$2:$B$20000,$C$3,元データ!$C$2:$C$20000,E$5)</f>
        <v>1325</v>
      </c>
      <c r="F69" s="16">
        <f>SUMIFS(INDEX(元データ!$E$2:$H$20000,0,MATCH($C$2,元データ!$E$1:$H$1,0)),元データ!$A$2:$A$20000,$A69,元データ!$D$2:$D$20000,$B69,元データ!$B$2:$B$20000,$C$3,元データ!$C$2:$C$20000,F$5)</f>
        <v>1225</v>
      </c>
      <c r="G69" s="16">
        <f>SUMIFS(INDEX(元データ!$E$2:$H$20000,0,MATCH($C$2,元データ!$E$1:$H$1,0)),元データ!$A$2:$A$20000,$A69,元データ!$D$2:$D$20000,$B69,元データ!$B$2:$B$20000,$C$3,元データ!$C$2:$C$20000,G$5)</f>
        <v>1186</v>
      </c>
      <c r="H69" s="16">
        <f>SUMIFS(INDEX(元データ!$E$2:$H$20000,0,MATCH($C$2,元データ!$E$1:$H$1,0)),元データ!$A$2:$A$20000,$A69,元データ!$D$2:$D$20000,$B69,元データ!$B$2:$B$20000,$C$3,元データ!$C$2:$C$20000,H$5)</f>
        <v>968</v>
      </c>
      <c r="I69" s="16">
        <f>SUMIFS(INDEX(元データ!$E$2:$H$20000,0,MATCH($C$2,元データ!$E$1:$H$1,0)),元データ!$A$2:$A$20000,$A69,元データ!$D$2:$D$20000,$B69,元データ!$B$2:$B$20000,$C$3,元データ!$C$2:$C$20000,I$5)</f>
        <v>975</v>
      </c>
      <c r="J69" s="16">
        <f>SUMIFS(INDEX(元データ!$E$2:$H$20000,0,MATCH($C$2,元データ!$E$1:$H$1,0)),元データ!$A$2:$A$20000,$A69,元データ!$D$2:$D$20000,$B69,元データ!$B$2:$B$20000,$C$3,元データ!$C$2:$C$20000,J$5)</f>
        <v>1202</v>
      </c>
      <c r="K69" s="16">
        <f>SUMIFS(INDEX(元データ!$E$2:$H$20000,0,MATCH($C$2,元データ!$E$1:$H$1,0)),元データ!$A$2:$A$20000,$A69,元データ!$D$2:$D$20000,$B69,元データ!$B$2:$B$20000,$C$3,元データ!$C$2:$C$20000,K$5)</f>
        <v>1258</v>
      </c>
      <c r="L69" s="16">
        <f>SUMIFS(INDEX(元データ!$E$2:$H$20000,0,MATCH($C$2,元データ!$E$1:$H$1,0)),元データ!$A$2:$A$20000,$A69,元データ!$D$2:$D$20000,$B69,元データ!$B$2:$B$20000,$C$3,元データ!$C$2:$C$20000,L$5)</f>
        <v>980</v>
      </c>
      <c r="M69" s="16">
        <f>SUMIFS(INDEX(元データ!$E$2:$H$20000,0,MATCH($C$2,元データ!$E$1:$H$1,0)),元データ!$A$2:$A$20000,$A69,元データ!$D$2:$D$20000,$B69,元データ!$B$2:$B$20000,$C$3,元データ!$C$2:$C$20000,M$5)</f>
        <v>1146</v>
      </c>
      <c r="N69" s="16">
        <f>SUMIFS(INDEX(元データ!$E$2:$H$20000,0,MATCH($C$2,元データ!$E$1:$H$1,0)),元データ!$A$2:$A$20000,$A69,元データ!$D$2:$D$20000,$B69,元データ!$B$2:$B$20000,$C$3,元データ!$C$2:$C$20000,N$5)</f>
        <v>1018</v>
      </c>
      <c r="O69" s="17">
        <f t="shared" si="2"/>
        <v>13117</v>
      </c>
      <c r="P69" s="17">
        <f>SUMIFS(INDEX(元データ!$E$2:$H$20000,0,MATCH($C$2,元データ!$E$1:$H$1,0)),元データ!$A$2:$A$20000,$A69,元データ!$D$2:$D$20000,$B69,元データ!$B$2:$B$20000,$D$3)</f>
        <v>15290</v>
      </c>
      <c r="Q69" s="25">
        <f t="shared" si="3"/>
        <v>0.85788096795291036</v>
      </c>
    </row>
    <row r="70" spans="1:17" x14ac:dyDescent="0.45">
      <c r="A70" s="14"/>
      <c r="B70" s="15" t="s">
        <v>28</v>
      </c>
      <c r="C70" s="16">
        <f>SUMIFS(INDEX(元データ!$E$2:$H$20000,0,MATCH($C$2,元データ!$E$1:$H$1,0)),元データ!$A$2:$A$20000,$A69,元データ!$D$2:$D$20000,$B70,元データ!$B$2:$B$20000,$C$3,元データ!$C$2:$C$20000,C$5)</f>
        <v>469</v>
      </c>
      <c r="D70" s="16">
        <f>SUMIFS(INDEX(元データ!$E$2:$H$20000,0,MATCH($C$2,元データ!$E$1:$H$1,0)),元データ!$A$2:$A$20000,$A69,元データ!$D$2:$D$20000,$B70,元データ!$B$2:$B$20000,$C$3,元データ!$C$2:$C$20000,D$5)</f>
        <v>479</v>
      </c>
      <c r="E70" s="16">
        <f>SUMIFS(INDEX(元データ!$E$2:$H$20000,0,MATCH($C$2,元データ!$E$1:$H$1,0)),元データ!$A$2:$A$20000,$A69,元データ!$D$2:$D$20000,$B70,元データ!$B$2:$B$20000,$C$3,元データ!$C$2:$C$20000,E$5)</f>
        <v>685</v>
      </c>
      <c r="F70" s="16">
        <f>SUMIFS(INDEX(元データ!$E$2:$H$20000,0,MATCH($C$2,元データ!$E$1:$H$1,0)),元データ!$A$2:$A$20000,$A69,元データ!$D$2:$D$20000,$B70,元データ!$B$2:$B$20000,$C$3,元データ!$C$2:$C$20000,F$5)</f>
        <v>623</v>
      </c>
      <c r="G70" s="16">
        <f>SUMIFS(INDEX(元データ!$E$2:$H$20000,0,MATCH($C$2,元データ!$E$1:$H$1,0)),元データ!$A$2:$A$20000,$A69,元データ!$D$2:$D$20000,$B70,元データ!$B$2:$B$20000,$C$3,元データ!$C$2:$C$20000,G$5)</f>
        <v>639</v>
      </c>
      <c r="H70" s="16">
        <f>SUMIFS(INDEX(元データ!$E$2:$H$20000,0,MATCH($C$2,元データ!$E$1:$H$1,0)),元データ!$A$2:$A$20000,$A69,元データ!$D$2:$D$20000,$B70,元データ!$B$2:$B$20000,$C$3,元データ!$C$2:$C$20000,H$5)</f>
        <v>434</v>
      </c>
      <c r="I70" s="16">
        <f>SUMIFS(INDEX(元データ!$E$2:$H$20000,0,MATCH($C$2,元データ!$E$1:$H$1,0)),元データ!$A$2:$A$20000,$A69,元データ!$D$2:$D$20000,$B70,元データ!$B$2:$B$20000,$C$3,元データ!$C$2:$C$20000,I$5)</f>
        <v>371</v>
      </c>
      <c r="J70" s="16">
        <f>SUMIFS(INDEX(元データ!$E$2:$H$20000,0,MATCH($C$2,元データ!$E$1:$H$1,0)),元データ!$A$2:$A$20000,$A69,元データ!$D$2:$D$20000,$B70,元データ!$B$2:$B$20000,$C$3,元データ!$C$2:$C$20000,J$5)</f>
        <v>549</v>
      </c>
      <c r="K70" s="16">
        <f>SUMIFS(INDEX(元データ!$E$2:$H$20000,0,MATCH($C$2,元データ!$E$1:$H$1,0)),元データ!$A$2:$A$20000,$A69,元データ!$D$2:$D$20000,$B70,元データ!$B$2:$B$20000,$C$3,元データ!$C$2:$C$20000,K$5)</f>
        <v>814</v>
      </c>
      <c r="L70" s="16">
        <f>SUMIFS(INDEX(元データ!$E$2:$H$20000,0,MATCH($C$2,元データ!$E$1:$H$1,0)),元データ!$A$2:$A$20000,$A69,元データ!$D$2:$D$20000,$B70,元データ!$B$2:$B$20000,$C$3,元データ!$C$2:$C$20000,L$5)</f>
        <v>619</v>
      </c>
      <c r="M70" s="16">
        <f>SUMIFS(INDEX(元データ!$E$2:$H$20000,0,MATCH($C$2,元データ!$E$1:$H$1,0)),元データ!$A$2:$A$20000,$A69,元データ!$D$2:$D$20000,$B70,元データ!$B$2:$B$20000,$C$3,元データ!$C$2:$C$20000,M$5)</f>
        <v>640</v>
      </c>
      <c r="N70" s="16">
        <f>SUMIFS(INDEX(元データ!$E$2:$H$20000,0,MATCH($C$2,元データ!$E$1:$H$1,0)),元データ!$A$2:$A$20000,$A69,元データ!$D$2:$D$20000,$B70,元データ!$B$2:$B$20000,$C$3,元データ!$C$2:$C$20000,N$5)</f>
        <v>604</v>
      </c>
      <c r="O70" s="17">
        <f t="shared" ref="O70:O101" si="4">SUM(C70:N70)</f>
        <v>6926</v>
      </c>
      <c r="P70" s="17">
        <f>SUMIFS(INDEX(元データ!$E$2:$H$20000,0,MATCH($C$2,元データ!$E$1:$H$1,0)),元データ!$A$2:$A$20000,$A69,元データ!$D$2:$D$20000,$B70,元データ!$B$2:$B$20000,$D$3)</f>
        <v>7225</v>
      </c>
      <c r="Q70" s="25">
        <f t="shared" ref="Q70:Q101" si="5">IFERROR(O70/P70,"")</f>
        <v>0.95861591695501736</v>
      </c>
    </row>
    <row r="71" spans="1:17" x14ac:dyDescent="0.45">
      <c r="A71" s="14"/>
      <c r="B71" s="15" t="s">
        <v>29</v>
      </c>
      <c r="C71" s="16">
        <f>SUMIFS(INDEX(元データ!$E$2:$H$20000,0,MATCH($C$2,元データ!$E$1:$H$1,0)),元データ!$A$2:$A$20000,$A69,元データ!$D$2:$D$20000,$B71,元データ!$B$2:$B$20000,$C$3,元データ!$C$2:$C$20000,C$5)</f>
        <v>231</v>
      </c>
      <c r="D71" s="16">
        <f>SUMIFS(INDEX(元データ!$E$2:$H$20000,0,MATCH($C$2,元データ!$E$1:$H$1,0)),元データ!$A$2:$A$20000,$A69,元データ!$D$2:$D$20000,$B71,元データ!$B$2:$B$20000,$C$3,元データ!$C$2:$C$20000,D$5)</f>
        <v>266</v>
      </c>
      <c r="E71" s="16">
        <f>SUMIFS(INDEX(元データ!$E$2:$H$20000,0,MATCH($C$2,元データ!$E$1:$H$1,0)),元データ!$A$2:$A$20000,$A69,元データ!$D$2:$D$20000,$B71,元データ!$B$2:$B$20000,$C$3,元データ!$C$2:$C$20000,E$5)</f>
        <v>461</v>
      </c>
      <c r="F71" s="16">
        <f>SUMIFS(INDEX(元データ!$E$2:$H$20000,0,MATCH($C$2,元データ!$E$1:$H$1,0)),元データ!$A$2:$A$20000,$A69,元データ!$D$2:$D$20000,$B71,元データ!$B$2:$B$20000,$C$3,元データ!$C$2:$C$20000,F$5)</f>
        <v>440</v>
      </c>
      <c r="G71" s="16">
        <f>SUMIFS(INDEX(元データ!$E$2:$H$20000,0,MATCH($C$2,元データ!$E$1:$H$1,0)),元データ!$A$2:$A$20000,$A69,元データ!$D$2:$D$20000,$B71,元データ!$B$2:$B$20000,$C$3,元データ!$C$2:$C$20000,G$5)</f>
        <v>528</v>
      </c>
      <c r="H71" s="16">
        <f>SUMIFS(INDEX(元データ!$E$2:$H$20000,0,MATCH($C$2,元データ!$E$1:$H$1,0)),元データ!$A$2:$A$20000,$A69,元データ!$D$2:$D$20000,$B71,元データ!$B$2:$B$20000,$C$3,元データ!$C$2:$C$20000,H$5)</f>
        <v>389</v>
      </c>
      <c r="I71" s="16">
        <f>SUMIFS(INDEX(元データ!$E$2:$H$20000,0,MATCH($C$2,元データ!$E$1:$H$1,0)),元データ!$A$2:$A$20000,$A69,元データ!$D$2:$D$20000,$B71,元データ!$B$2:$B$20000,$C$3,元データ!$C$2:$C$20000,I$5)</f>
        <v>274</v>
      </c>
      <c r="J71" s="16">
        <f>SUMIFS(INDEX(元データ!$E$2:$H$20000,0,MATCH($C$2,元データ!$E$1:$H$1,0)),元データ!$A$2:$A$20000,$A69,元データ!$D$2:$D$20000,$B71,元データ!$B$2:$B$20000,$C$3,元データ!$C$2:$C$20000,J$5)</f>
        <v>499</v>
      </c>
      <c r="K71" s="16">
        <f>SUMIFS(INDEX(元データ!$E$2:$H$20000,0,MATCH($C$2,元データ!$E$1:$H$1,0)),元データ!$A$2:$A$20000,$A69,元データ!$D$2:$D$20000,$B71,元データ!$B$2:$B$20000,$C$3,元データ!$C$2:$C$20000,K$5)</f>
        <v>714</v>
      </c>
      <c r="L71" s="16">
        <f>SUMIFS(INDEX(元データ!$E$2:$H$20000,0,MATCH($C$2,元データ!$E$1:$H$1,0)),元データ!$A$2:$A$20000,$A69,元データ!$D$2:$D$20000,$B71,元データ!$B$2:$B$20000,$C$3,元データ!$C$2:$C$20000,L$5)</f>
        <v>484</v>
      </c>
      <c r="M71" s="16">
        <f>SUMIFS(INDEX(元データ!$E$2:$H$20000,0,MATCH($C$2,元データ!$E$1:$H$1,0)),元データ!$A$2:$A$20000,$A69,元データ!$D$2:$D$20000,$B71,元データ!$B$2:$B$20000,$C$3,元データ!$C$2:$C$20000,M$5)</f>
        <v>434</v>
      </c>
      <c r="N71" s="16">
        <f>SUMIFS(INDEX(元データ!$E$2:$H$20000,0,MATCH($C$2,元データ!$E$1:$H$1,0)),元データ!$A$2:$A$20000,$A69,元データ!$D$2:$D$20000,$B71,元データ!$B$2:$B$20000,$C$3,元データ!$C$2:$C$20000,N$5)</f>
        <v>377</v>
      </c>
      <c r="O71" s="17">
        <f t="shared" si="4"/>
        <v>5097</v>
      </c>
      <c r="P71" s="17">
        <f>SUMIFS(INDEX(元データ!$E$2:$H$20000,0,MATCH($C$2,元データ!$E$1:$H$1,0)),元データ!$A$2:$A$20000,$A69,元データ!$D$2:$D$20000,$B71,元データ!$B$2:$B$20000,$D$3)</f>
        <v>5063</v>
      </c>
      <c r="Q71" s="25">
        <f t="shared" si="5"/>
        <v>1.0067153861347027</v>
      </c>
    </row>
    <row r="72" spans="1:17" x14ac:dyDescent="0.45">
      <c r="A72" s="14" t="str">
        <f>店舗マスタ!A24</f>
        <v>ＭＶ柳町店</v>
      </c>
      <c r="B72" s="15" t="s">
        <v>27</v>
      </c>
      <c r="C72" s="16">
        <f>SUMIFS(INDEX(元データ!$E$2:$H$20000,0,MATCH($C$2,元データ!$E$1:$H$1,0)),元データ!$A$2:$A$20000,$A72,元データ!$D$2:$D$20000,$B72,元データ!$B$2:$B$20000,$C$3,元データ!$C$2:$C$20000,C$5)</f>
        <v>783</v>
      </c>
      <c r="D72" s="16">
        <f>SUMIFS(INDEX(元データ!$E$2:$H$20000,0,MATCH($C$2,元データ!$E$1:$H$1,0)),元データ!$A$2:$A$20000,$A72,元データ!$D$2:$D$20000,$B72,元データ!$B$2:$B$20000,$C$3,元データ!$C$2:$C$20000,D$5)</f>
        <v>944</v>
      </c>
      <c r="E72" s="16">
        <f>SUMIFS(INDEX(元データ!$E$2:$H$20000,0,MATCH($C$2,元データ!$E$1:$H$1,0)),元データ!$A$2:$A$20000,$A72,元データ!$D$2:$D$20000,$B72,元データ!$B$2:$B$20000,$C$3,元データ!$C$2:$C$20000,E$5)</f>
        <v>1078</v>
      </c>
      <c r="F72" s="16">
        <f>SUMIFS(INDEX(元データ!$E$2:$H$20000,0,MATCH($C$2,元データ!$E$1:$H$1,0)),元データ!$A$2:$A$20000,$A72,元データ!$D$2:$D$20000,$B72,元データ!$B$2:$B$20000,$C$3,元データ!$C$2:$C$20000,F$5)</f>
        <v>988</v>
      </c>
      <c r="G72" s="16">
        <f>SUMIFS(INDEX(元データ!$E$2:$H$20000,0,MATCH($C$2,元データ!$E$1:$H$1,0)),元データ!$A$2:$A$20000,$A72,元データ!$D$2:$D$20000,$B72,元データ!$B$2:$B$20000,$C$3,元データ!$C$2:$C$20000,G$5)</f>
        <v>1016</v>
      </c>
      <c r="H72" s="16">
        <f>SUMIFS(INDEX(元データ!$E$2:$H$20000,0,MATCH($C$2,元データ!$E$1:$H$1,0)),元データ!$A$2:$A$20000,$A72,元データ!$D$2:$D$20000,$B72,元データ!$B$2:$B$20000,$C$3,元データ!$C$2:$C$20000,H$5)</f>
        <v>886</v>
      </c>
      <c r="I72" s="16">
        <f>SUMIFS(INDEX(元データ!$E$2:$H$20000,0,MATCH($C$2,元データ!$E$1:$H$1,0)),元データ!$A$2:$A$20000,$A72,元データ!$D$2:$D$20000,$B72,元データ!$B$2:$B$20000,$C$3,元データ!$C$2:$C$20000,I$5)</f>
        <v>824</v>
      </c>
      <c r="J72" s="16">
        <f>SUMIFS(INDEX(元データ!$E$2:$H$20000,0,MATCH($C$2,元データ!$E$1:$H$1,0)),元データ!$A$2:$A$20000,$A72,元データ!$D$2:$D$20000,$B72,元データ!$B$2:$B$20000,$C$3,元データ!$C$2:$C$20000,J$5)</f>
        <v>939</v>
      </c>
      <c r="K72" s="16">
        <f>SUMIFS(INDEX(元データ!$E$2:$H$20000,0,MATCH($C$2,元データ!$E$1:$H$1,0)),元データ!$A$2:$A$20000,$A72,元データ!$D$2:$D$20000,$B72,元データ!$B$2:$B$20000,$C$3,元データ!$C$2:$C$20000,K$5)</f>
        <v>906</v>
      </c>
      <c r="L72" s="16">
        <f>SUMIFS(INDEX(元データ!$E$2:$H$20000,0,MATCH($C$2,元データ!$E$1:$H$1,0)),元データ!$A$2:$A$20000,$A72,元データ!$D$2:$D$20000,$B72,元データ!$B$2:$B$20000,$C$3,元データ!$C$2:$C$20000,L$5)</f>
        <v>776</v>
      </c>
      <c r="M72" s="16">
        <f>SUMIFS(INDEX(元データ!$E$2:$H$20000,0,MATCH($C$2,元データ!$E$1:$H$1,0)),元データ!$A$2:$A$20000,$A72,元データ!$D$2:$D$20000,$B72,元データ!$B$2:$B$20000,$C$3,元データ!$C$2:$C$20000,M$5)</f>
        <v>930</v>
      </c>
      <c r="N72" s="16">
        <f>SUMIFS(INDEX(元データ!$E$2:$H$20000,0,MATCH($C$2,元データ!$E$1:$H$1,0)),元データ!$A$2:$A$20000,$A72,元データ!$D$2:$D$20000,$B72,元データ!$B$2:$B$20000,$C$3,元データ!$C$2:$C$20000,N$5)</f>
        <v>803</v>
      </c>
      <c r="O72" s="17">
        <f t="shared" si="4"/>
        <v>10873</v>
      </c>
      <c r="P72" s="17">
        <f>SUMIFS(INDEX(元データ!$E$2:$H$20000,0,MATCH($C$2,元データ!$E$1:$H$1,0)),元データ!$A$2:$A$20000,$A72,元データ!$D$2:$D$20000,$B72,元データ!$B$2:$B$20000,$D$3)</f>
        <v>14042</v>
      </c>
      <c r="Q72" s="25">
        <f t="shared" si="5"/>
        <v>0.77431989745050567</v>
      </c>
    </row>
    <row r="73" spans="1:17" x14ac:dyDescent="0.45">
      <c r="A73" s="14"/>
      <c r="B73" s="15" t="s">
        <v>28</v>
      </c>
      <c r="C73" s="16">
        <f>SUMIFS(INDEX(元データ!$E$2:$H$20000,0,MATCH($C$2,元データ!$E$1:$H$1,0)),元データ!$A$2:$A$20000,$A72,元データ!$D$2:$D$20000,$B73,元データ!$B$2:$B$20000,$C$3,元データ!$C$2:$C$20000,C$5)</f>
        <v>385</v>
      </c>
      <c r="D73" s="16">
        <f>SUMIFS(INDEX(元データ!$E$2:$H$20000,0,MATCH($C$2,元データ!$E$1:$H$1,0)),元データ!$A$2:$A$20000,$A72,元データ!$D$2:$D$20000,$B73,元データ!$B$2:$B$20000,$C$3,元データ!$C$2:$C$20000,D$5)</f>
        <v>441</v>
      </c>
      <c r="E73" s="16">
        <f>SUMIFS(INDEX(元データ!$E$2:$H$20000,0,MATCH($C$2,元データ!$E$1:$H$1,0)),元データ!$A$2:$A$20000,$A72,元データ!$D$2:$D$20000,$B73,元データ!$B$2:$B$20000,$C$3,元データ!$C$2:$C$20000,E$5)</f>
        <v>506</v>
      </c>
      <c r="F73" s="16">
        <f>SUMIFS(INDEX(元データ!$E$2:$H$20000,0,MATCH($C$2,元データ!$E$1:$H$1,0)),元データ!$A$2:$A$20000,$A72,元データ!$D$2:$D$20000,$B73,元データ!$B$2:$B$20000,$C$3,元データ!$C$2:$C$20000,F$5)</f>
        <v>429</v>
      </c>
      <c r="G73" s="16">
        <f>SUMIFS(INDEX(元データ!$E$2:$H$20000,0,MATCH($C$2,元データ!$E$1:$H$1,0)),元データ!$A$2:$A$20000,$A72,元データ!$D$2:$D$20000,$B73,元データ!$B$2:$B$20000,$C$3,元データ!$C$2:$C$20000,G$5)</f>
        <v>471</v>
      </c>
      <c r="H73" s="16">
        <f>SUMIFS(INDEX(元データ!$E$2:$H$20000,0,MATCH($C$2,元データ!$E$1:$H$1,0)),元データ!$A$2:$A$20000,$A72,元データ!$D$2:$D$20000,$B73,元データ!$B$2:$B$20000,$C$3,元データ!$C$2:$C$20000,H$5)</f>
        <v>327</v>
      </c>
      <c r="I73" s="16">
        <f>SUMIFS(INDEX(元データ!$E$2:$H$20000,0,MATCH($C$2,元データ!$E$1:$H$1,0)),元データ!$A$2:$A$20000,$A72,元データ!$D$2:$D$20000,$B73,元データ!$B$2:$B$20000,$C$3,元データ!$C$2:$C$20000,I$5)</f>
        <v>257</v>
      </c>
      <c r="J73" s="16">
        <f>SUMIFS(INDEX(元データ!$E$2:$H$20000,0,MATCH($C$2,元データ!$E$1:$H$1,0)),元データ!$A$2:$A$20000,$A72,元データ!$D$2:$D$20000,$B73,元データ!$B$2:$B$20000,$C$3,元データ!$C$2:$C$20000,J$5)</f>
        <v>415</v>
      </c>
      <c r="K73" s="16">
        <f>SUMIFS(INDEX(元データ!$E$2:$H$20000,0,MATCH($C$2,元データ!$E$1:$H$1,0)),元データ!$A$2:$A$20000,$A72,元データ!$D$2:$D$20000,$B73,元データ!$B$2:$B$20000,$C$3,元データ!$C$2:$C$20000,K$5)</f>
        <v>509</v>
      </c>
      <c r="L73" s="16">
        <f>SUMIFS(INDEX(元データ!$E$2:$H$20000,0,MATCH($C$2,元データ!$E$1:$H$1,0)),元データ!$A$2:$A$20000,$A72,元データ!$D$2:$D$20000,$B73,元データ!$B$2:$B$20000,$C$3,元データ!$C$2:$C$20000,L$5)</f>
        <v>432</v>
      </c>
      <c r="M73" s="16">
        <f>SUMIFS(INDEX(元データ!$E$2:$H$20000,0,MATCH($C$2,元データ!$E$1:$H$1,0)),元データ!$A$2:$A$20000,$A72,元データ!$D$2:$D$20000,$B73,元データ!$B$2:$B$20000,$C$3,元データ!$C$2:$C$20000,M$5)</f>
        <v>430</v>
      </c>
      <c r="N73" s="16">
        <f>SUMIFS(INDEX(元データ!$E$2:$H$20000,0,MATCH($C$2,元データ!$E$1:$H$1,0)),元データ!$A$2:$A$20000,$A72,元データ!$D$2:$D$20000,$B73,元データ!$B$2:$B$20000,$C$3,元データ!$C$2:$C$20000,N$5)</f>
        <v>390</v>
      </c>
      <c r="O73" s="17">
        <f t="shared" si="4"/>
        <v>4992</v>
      </c>
      <c r="P73" s="17">
        <f>SUMIFS(INDEX(元データ!$E$2:$H$20000,0,MATCH($C$2,元データ!$E$1:$H$1,0)),元データ!$A$2:$A$20000,$A72,元データ!$D$2:$D$20000,$B73,元データ!$B$2:$B$20000,$D$3)</f>
        <v>5363</v>
      </c>
      <c r="Q73" s="25">
        <f t="shared" si="5"/>
        <v>0.9308223009509603</v>
      </c>
    </row>
    <row r="74" spans="1:17" x14ac:dyDescent="0.45">
      <c r="A74" s="14"/>
      <c r="B74" s="15" t="s">
        <v>29</v>
      </c>
      <c r="C74" s="16">
        <f>SUMIFS(INDEX(元データ!$E$2:$H$20000,0,MATCH($C$2,元データ!$E$1:$H$1,0)),元データ!$A$2:$A$20000,$A72,元データ!$D$2:$D$20000,$B74,元データ!$B$2:$B$20000,$C$3,元データ!$C$2:$C$20000,C$5)</f>
        <v>194</v>
      </c>
      <c r="D74" s="16">
        <f>SUMIFS(INDEX(元データ!$E$2:$H$20000,0,MATCH($C$2,元データ!$E$1:$H$1,0)),元データ!$A$2:$A$20000,$A72,元データ!$D$2:$D$20000,$B74,元データ!$B$2:$B$20000,$C$3,元データ!$C$2:$C$20000,D$5)</f>
        <v>187</v>
      </c>
      <c r="E74" s="16">
        <f>SUMIFS(INDEX(元データ!$E$2:$H$20000,0,MATCH($C$2,元データ!$E$1:$H$1,0)),元データ!$A$2:$A$20000,$A72,元データ!$D$2:$D$20000,$B74,元データ!$B$2:$B$20000,$C$3,元データ!$C$2:$C$20000,E$5)</f>
        <v>322</v>
      </c>
      <c r="F74" s="16">
        <f>SUMIFS(INDEX(元データ!$E$2:$H$20000,0,MATCH($C$2,元データ!$E$1:$H$1,0)),元データ!$A$2:$A$20000,$A72,元データ!$D$2:$D$20000,$B74,元データ!$B$2:$B$20000,$C$3,元データ!$C$2:$C$20000,F$5)</f>
        <v>278</v>
      </c>
      <c r="G74" s="16">
        <f>SUMIFS(INDEX(元データ!$E$2:$H$20000,0,MATCH($C$2,元データ!$E$1:$H$1,0)),元データ!$A$2:$A$20000,$A72,元データ!$D$2:$D$20000,$B74,元データ!$B$2:$B$20000,$C$3,元データ!$C$2:$C$20000,G$5)</f>
        <v>337</v>
      </c>
      <c r="H74" s="16">
        <f>SUMIFS(INDEX(元データ!$E$2:$H$20000,0,MATCH($C$2,元データ!$E$1:$H$1,0)),元データ!$A$2:$A$20000,$A72,元データ!$D$2:$D$20000,$B74,元データ!$B$2:$B$20000,$C$3,元データ!$C$2:$C$20000,H$5)</f>
        <v>237</v>
      </c>
      <c r="I74" s="16">
        <f>SUMIFS(INDEX(元データ!$E$2:$H$20000,0,MATCH($C$2,元データ!$E$1:$H$1,0)),元データ!$A$2:$A$20000,$A72,元データ!$D$2:$D$20000,$B74,元データ!$B$2:$B$20000,$C$3,元データ!$C$2:$C$20000,I$5)</f>
        <v>178</v>
      </c>
      <c r="J74" s="16">
        <f>SUMIFS(INDEX(元データ!$E$2:$H$20000,0,MATCH($C$2,元データ!$E$1:$H$1,0)),元データ!$A$2:$A$20000,$A72,元データ!$D$2:$D$20000,$B74,元データ!$B$2:$B$20000,$C$3,元データ!$C$2:$C$20000,J$5)</f>
        <v>285</v>
      </c>
      <c r="K74" s="16">
        <f>SUMIFS(INDEX(元データ!$E$2:$H$20000,0,MATCH($C$2,元データ!$E$1:$H$1,0)),元データ!$A$2:$A$20000,$A72,元データ!$D$2:$D$20000,$B74,元データ!$B$2:$B$20000,$C$3,元データ!$C$2:$C$20000,K$5)</f>
        <v>489</v>
      </c>
      <c r="L74" s="16">
        <f>SUMIFS(INDEX(元データ!$E$2:$H$20000,0,MATCH($C$2,元データ!$E$1:$H$1,0)),元データ!$A$2:$A$20000,$A72,元データ!$D$2:$D$20000,$B74,元データ!$B$2:$B$20000,$C$3,元データ!$C$2:$C$20000,L$5)</f>
        <v>307</v>
      </c>
      <c r="M74" s="16">
        <f>SUMIFS(INDEX(元データ!$E$2:$H$20000,0,MATCH($C$2,元データ!$E$1:$H$1,0)),元データ!$A$2:$A$20000,$A72,元データ!$D$2:$D$20000,$B74,元データ!$B$2:$B$20000,$C$3,元データ!$C$2:$C$20000,M$5)</f>
        <v>291</v>
      </c>
      <c r="N74" s="16">
        <f>SUMIFS(INDEX(元データ!$E$2:$H$20000,0,MATCH($C$2,元データ!$E$1:$H$1,0)),元データ!$A$2:$A$20000,$A72,元データ!$D$2:$D$20000,$B74,元データ!$B$2:$B$20000,$C$3,元データ!$C$2:$C$20000,N$5)</f>
        <v>201</v>
      </c>
      <c r="O74" s="17">
        <f t="shared" si="4"/>
        <v>3306</v>
      </c>
      <c r="P74" s="17">
        <f>SUMIFS(INDEX(元データ!$E$2:$H$20000,0,MATCH($C$2,元データ!$E$1:$H$1,0)),元データ!$A$2:$A$20000,$A72,元データ!$D$2:$D$20000,$B74,元データ!$B$2:$B$20000,$D$3)</f>
        <v>3403</v>
      </c>
      <c r="Q74" s="25">
        <f t="shared" si="5"/>
        <v>0.97149573905377606</v>
      </c>
    </row>
    <row r="75" spans="1:17" x14ac:dyDescent="0.45">
      <c r="A75" s="14" t="str">
        <f>店舗マスタ!A25</f>
        <v>清水町工場店</v>
      </c>
      <c r="B75" s="15" t="s">
        <v>27</v>
      </c>
      <c r="C75" s="16">
        <f>SUMIFS(INDEX(元データ!$E$2:$H$20000,0,MATCH($C$2,元データ!$E$1:$H$1,0)),元データ!$A$2:$A$20000,$A75,元データ!$D$2:$D$20000,$B75,元データ!$B$2:$B$20000,$C$3,元データ!$C$2:$C$20000,C$5)</f>
        <v>2015</v>
      </c>
      <c r="D75" s="16">
        <f>SUMIFS(INDEX(元データ!$E$2:$H$20000,0,MATCH($C$2,元データ!$E$1:$H$1,0)),元データ!$A$2:$A$20000,$A75,元データ!$D$2:$D$20000,$B75,元データ!$B$2:$B$20000,$C$3,元データ!$C$2:$C$20000,D$5)</f>
        <v>2365</v>
      </c>
      <c r="E75" s="16">
        <f>SUMIFS(INDEX(元データ!$E$2:$H$20000,0,MATCH($C$2,元データ!$E$1:$H$1,0)),元データ!$A$2:$A$20000,$A75,元データ!$D$2:$D$20000,$B75,元データ!$B$2:$B$20000,$C$3,元データ!$C$2:$C$20000,E$5)</f>
        <v>2798</v>
      </c>
      <c r="F75" s="16">
        <f>SUMIFS(INDEX(元データ!$E$2:$H$20000,0,MATCH($C$2,元データ!$E$1:$H$1,0)),元データ!$A$2:$A$20000,$A75,元データ!$D$2:$D$20000,$B75,元データ!$B$2:$B$20000,$C$3,元データ!$C$2:$C$20000,F$5)</f>
        <v>2320</v>
      </c>
      <c r="G75" s="16">
        <f>SUMIFS(INDEX(元データ!$E$2:$H$20000,0,MATCH($C$2,元データ!$E$1:$H$1,0)),元データ!$A$2:$A$20000,$A75,元データ!$D$2:$D$20000,$B75,元データ!$B$2:$B$20000,$C$3,元データ!$C$2:$C$20000,G$5)</f>
        <v>2499</v>
      </c>
      <c r="H75" s="16">
        <f>SUMIFS(INDEX(元データ!$E$2:$H$20000,0,MATCH($C$2,元データ!$E$1:$H$1,0)),元データ!$A$2:$A$20000,$A75,元データ!$D$2:$D$20000,$B75,元データ!$B$2:$B$20000,$C$3,元データ!$C$2:$C$20000,H$5)</f>
        <v>1974</v>
      </c>
      <c r="I75" s="16">
        <f>SUMIFS(INDEX(元データ!$E$2:$H$20000,0,MATCH($C$2,元データ!$E$1:$H$1,0)),元データ!$A$2:$A$20000,$A75,元データ!$D$2:$D$20000,$B75,元データ!$B$2:$B$20000,$C$3,元データ!$C$2:$C$20000,I$5)</f>
        <v>2067</v>
      </c>
      <c r="J75" s="16">
        <f>SUMIFS(INDEX(元データ!$E$2:$H$20000,0,MATCH($C$2,元データ!$E$1:$H$1,0)),元データ!$A$2:$A$20000,$A75,元データ!$D$2:$D$20000,$B75,元データ!$B$2:$B$20000,$C$3,元データ!$C$2:$C$20000,J$5)</f>
        <v>2334</v>
      </c>
      <c r="K75" s="16">
        <f>SUMIFS(INDEX(元データ!$E$2:$H$20000,0,MATCH($C$2,元データ!$E$1:$H$1,0)),元データ!$A$2:$A$20000,$A75,元データ!$D$2:$D$20000,$B75,元データ!$B$2:$B$20000,$C$3,元データ!$C$2:$C$20000,K$5)</f>
        <v>2386</v>
      </c>
      <c r="L75" s="16">
        <f>SUMIFS(INDEX(元データ!$E$2:$H$20000,0,MATCH($C$2,元データ!$E$1:$H$1,0)),元データ!$A$2:$A$20000,$A75,元データ!$D$2:$D$20000,$B75,元データ!$B$2:$B$20000,$C$3,元データ!$C$2:$C$20000,L$5)</f>
        <v>2079</v>
      </c>
      <c r="M75" s="16">
        <f>SUMIFS(INDEX(元データ!$E$2:$H$20000,0,MATCH($C$2,元データ!$E$1:$H$1,0)),元データ!$A$2:$A$20000,$A75,元データ!$D$2:$D$20000,$B75,元データ!$B$2:$B$20000,$C$3,元データ!$C$2:$C$20000,M$5)</f>
        <v>2485</v>
      </c>
      <c r="N75" s="16">
        <f>SUMIFS(INDEX(元データ!$E$2:$H$20000,0,MATCH($C$2,元データ!$E$1:$H$1,0)),元データ!$A$2:$A$20000,$A75,元データ!$D$2:$D$20000,$B75,元データ!$B$2:$B$20000,$C$3,元データ!$C$2:$C$20000,N$5)</f>
        <v>2086</v>
      </c>
      <c r="O75" s="17">
        <f t="shared" si="4"/>
        <v>27408</v>
      </c>
      <c r="P75" s="17">
        <f>SUMIFS(INDEX(元データ!$E$2:$H$20000,0,MATCH($C$2,元データ!$E$1:$H$1,0)),元データ!$A$2:$A$20000,$A75,元データ!$D$2:$D$20000,$B75,元データ!$B$2:$B$20000,$D$3)</f>
        <v>29396</v>
      </c>
      <c r="Q75" s="25">
        <f t="shared" si="5"/>
        <v>0.93237175125867466</v>
      </c>
    </row>
    <row r="76" spans="1:17" x14ac:dyDescent="0.45">
      <c r="A76" s="14"/>
      <c r="B76" s="15" t="s">
        <v>28</v>
      </c>
      <c r="C76" s="16">
        <f>SUMIFS(INDEX(元データ!$E$2:$H$20000,0,MATCH($C$2,元データ!$E$1:$H$1,0)),元データ!$A$2:$A$20000,$A75,元データ!$D$2:$D$20000,$B76,元データ!$B$2:$B$20000,$C$3,元データ!$C$2:$C$20000,C$5)</f>
        <v>1036</v>
      </c>
      <c r="D76" s="16">
        <f>SUMIFS(INDEX(元データ!$E$2:$H$20000,0,MATCH($C$2,元データ!$E$1:$H$1,0)),元データ!$A$2:$A$20000,$A75,元データ!$D$2:$D$20000,$B76,元データ!$B$2:$B$20000,$C$3,元データ!$C$2:$C$20000,D$5)</f>
        <v>1087</v>
      </c>
      <c r="E76" s="16">
        <f>SUMIFS(INDEX(元データ!$E$2:$H$20000,0,MATCH($C$2,元データ!$E$1:$H$1,0)),元データ!$A$2:$A$20000,$A75,元データ!$D$2:$D$20000,$B76,元データ!$B$2:$B$20000,$C$3,元データ!$C$2:$C$20000,E$5)</f>
        <v>1319</v>
      </c>
      <c r="F76" s="16">
        <f>SUMIFS(INDEX(元データ!$E$2:$H$20000,0,MATCH($C$2,元データ!$E$1:$H$1,0)),元データ!$A$2:$A$20000,$A75,元データ!$D$2:$D$20000,$B76,元データ!$B$2:$B$20000,$C$3,元データ!$C$2:$C$20000,F$5)</f>
        <v>1342</v>
      </c>
      <c r="G76" s="16">
        <f>SUMIFS(INDEX(元データ!$E$2:$H$20000,0,MATCH($C$2,元データ!$E$1:$H$1,0)),元データ!$A$2:$A$20000,$A75,元データ!$D$2:$D$20000,$B76,元データ!$B$2:$B$20000,$C$3,元データ!$C$2:$C$20000,G$5)</f>
        <v>1139</v>
      </c>
      <c r="H76" s="16">
        <f>SUMIFS(INDEX(元データ!$E$2:$H$20000,0,MATCH($C$2,元データ!$E$1:$H$1,0)),元データ!$A$2:$A$20000,$A75,元データ!$D$2:$D$20000,$B76,元データ!$B$2:$B$20000,$C$3,元データ!$C$2:$C$20000,H$5)</f>
        <v>904</v>
      </c>
      <c r="I76" s="16">
        <f>SUMIFS(INDEX(元データ!$E$2:$H$20000,0,MATCH($C$2,元データ!$E$1:$H$1,0)),元データ!$A$2:$A$20000,$A75,元データ!$D$2:$D$20000,$B76,元データ!$B$2:$B$20000,$C$3,元データ!$C$2:$C$20000,I$5)</f>
        <v>743</v>
      </c>
      <c r="J76" s="16">
        <f>SUMIFS(INDEX(元データ!$E$2:$H$20000,0,MATCH($C$2,元データ!$E$1:$H$1,0)),元データ!$A$2:$A$20000,$A75,元データ!$D$2:$D$20000,$B76,元データ!$B$2:$B$20000,$C$3,元データ!$C$2:$C$20000,J$5)</f>
        <v>1131</v>
      </c>
      <c r="K76" s="16">
        <f>SUMIFS(INDEX(元データ!$E$2:$H$20000,0,MATCH($C$2,元データ!$E$1:$H$1,0)),元データ!$A$2:$A$20000,$A75,元データ!$D$2:$D$20000,$B76,元データ!$B$2:$B$20000,$C$3,元データ!$C$2:$C$20000,K$5)</f>
        <v>1509</v>
      </c>
      <c r="L76" s="16">
        <f>SUMIFS(INDEX(元データ!$E$2:$H$20000,0,MATCH($C$2,元データ!$E$1:$H$1,0)),元データ!$A$2:$A$20000,$A75,元データ!$D$2:$D$20000,$B76,元データ!$B$2:$B$20000,$C$3,元データ!$C$2:$C$20000,L$5)</f>
        <v>1224</v>
      </c>
      <c r="M76" s="16">
        <f>SUMIFS(INDEX(元データ!$E$2:$H$20000,0,MATCH($C$2,元データ!$E$1:$H$1,0)),元データ!$A$2:$A$20000,$A75,元データ!$D$2:$D$20000,$B76,元データ!$B$2:$B$20000,$C$3,元データ!$C$2:$C$20000,M$5)</f>
        <v>1256</v>
      </c>
      <c r="N76" s="16">
        <f>SUMIFS(INDEX(元データ!$E$2:$H$20000,0,MATCH($C$2,元データ!$E$1:$H$1,0)),元データ!$A$2:$A$20000,$A75,元データ!$D$2:$D$20000,$B76,元データ!$B$2:$B$20000,$C$3,元データ!$C$2:$C$20000,N$5)</f>
        <v>1093</v>
      </c>
      <c r="O76" s="17">
        <f t="shared" si="4"/>
        <v>13783</v>
      </c>
      <c r="P76" s="17">
        <f>SUMIFS(INDEX(元データ!$E$2:$H$20000,0,MATCH($C$2,元データ!$E$1:$H$1,0)),元データ!$A$2:$A$20000,$A75,元データ!$D$2:$D$20000,$B76,元データ!$B$2:$B$20000,$D$3)</f>
        <v>13582</v>
      </c>
      <c r="Q76" s="25">
        <f t="shared" si="5"/>
        <v>1.0147989986747166</v>
      </c>
    </row>
    <row r="77" spans="1:17" x14ac:dyDescent="0.45">
      <c r="A77" s="14"/>
      <c r="B77" s="15" t="s">
        <v>29</v>
      </c>
      <c r="C77" s="16">
        <f>SUMIFS(INDEX(元データ!$E$2:$H$20000,0,MATCH($C$2,元データ!$E$1:$H$1,0)),元データ!$A$2:$A$20000,$A75,元データ!$D$2:$D$20000,$B77,元データ!$B$2:$B$20000,$C$3,元データ!$C$2:$C$20000,C$5)</f>
        <v>536</v>
      </c>
      <c r="D77" s="16">
        <f>SUMIFS(INDEX(元データ!$E$2:$H$20000,0,MATCH($C$2,元データ!$E$1:$H$1,0)),元データ!$A$2:$A$20000,$A75,元データ!$D$2:$D$20000,$B77,元データ!$B$2:$B$20000,$C$3,元データ!$C$2:$C$20000,D$5)</f>
        <v>596</v>
      </c>
      <c r="E77" s="16">
        <f>SUMIFS(INDEX(元データ!$E$2:$H$20000,0,MATCH($C$2,元データ!$E$1:$H$1,0)),元データ!$A$2:$A$20000,$A75,元データ!$D$2:$D$20000,$B77,元データ!$B$2:$B$20000,$C$3,元データ!$C$2:$C$20000,E$5)</f>
        <v>850</v>
      </c>
      <c r="F77" s="16">
        <f>SUMIFS(INDEX(元データ!$E$2:$H$20000,0,MATCH($C$2,元データ!$E$1:$H$1,0)),元データ!$A$2:$A$20000,$A75,元データ!$D$2:$D$20000,$B77,元データ!$B$2:$B$20000,$C$3,元データ!$C$2:$C$20000,F$5)</f>
        <v>858</v>
      </c>
      <c r="G77" s="16">
        <f>SUMIFS(INDEX(元データ!$E$2:$H$20000,0,MATCH($C$2,元データ!$E$1:$H$1,0)),元データ!$A$2:$A$20000,$A75,元データ!$D$2:$D$20000,$B77,元データ!$B$2:$B$20000,$C$3,元データ!$C$2:$C$20000,G$5)</f>
        <v>845</v>
      </c>
      <c r="H77" s="16">
        <f>SUMIFS(INDEX(元データ!$E$2:$H$20000,0,MATCH($C$2,元データ!$E$1:$H$1,0)),元データ!$A$2:$A$20000,$A75,元データ!$D$2:$D$20000,$B77,元データ!$B$2:$B$20000,$C$3,元データ!$C$2:$C$20000,H$5)</f>
        <v>698</v>
      </c>
      <c r="I77" s="16">
        <f>SUMIFS(INDEX(元データ!$E$2:$H$20000,0,MATCH($C$2,元データ!$E$1:$H$1,0)),元データ!$A$2:$A$20000,$A75,元データ!$D$2:$D$20000,$B77,元データ!$B$2:$B$20000,$C$3,元データ!$C$2:$C$20000,I$5)</f>
        <v>531</v>
      </c>
      <c r="J77" s="16">
        <f>SUMIFS(INDEX(元データ!$E$2:$H$20000,0,MATCH($C$2,元データ!$E$1:$H$1,0)),元データ!$A$2:$A$20000,$A75,元データ!$D$2:$D$20000,$B77,元データ!$B$2:$B$20000,$C$3,元データ!$C$2:$C$20000,J$5)</f>
        <v>975</v>
      </c>
      <c r="K77" s="16">
        <f>SUMIFS(INDEX(元データ!$E$2:$H$20000,0,MATCH($C$2,元データ!$E$1:$H$1,0)),元データ!$A$2:$A$20000,$A75,元データ!$D$2:$D$20000,$B77,元データ!$B$2:$B$20000,$C$3,元データ!$C$2:$C$20000,K$5)</f>
        <v>1319</v>
      </c>
      <c r="L77" s="16">
        <f>SUMIFS(INDEX(元データ!$E$2:$H$20000,0,MATCH($C$2,元データ!$E$1:$H$1,0)),元データ!$A$2:$A$20000,$A75,元データ!$D$2:$D$20000,$B77,元データ!$B$2:$B$20000,$C$3,元データ!$C$2:$C$20000,L$5)</f>
        <v>959</v>
      </c>
      <c r="M77" s="16">
        <f>SUMIFS(INDEX(元データ!$E$2:$H$20000,0,MATCH($C$2,元データ!$E$1:$H$1,0)),元データ!$A$2:$A$20000,$A75,元データ!$D$2:$D$20000,$B77,元データ!$B$2:$B$20000,$C$3,元データ!$C$2:$C$20000,M$5)</f>
        <v>896</v>
      </c>
      <c r="N77" s="16">
        <f>SUMIFS(INDEX(元データ!$E$2:$H$20000,0,MATCH($C$2,元データ!$E$1:$H$1,0)),元データ!$A$2:$A$20000,$A75,元データ!$D$2:$D$20000,$B77,元データ!$B$2:$B$20000,$C$3,元データ!$C$2:$C$20000,N$5)</f>
        <v>715</v>
      </c>
      <c r="O77" s="17">
        <f t="shared" si="4"/>
        <v>9778</v>
      </c>
      <c r="P77" s="17">
        <f>SUMIFS(INDEX(元データ!$E$2:$H$20000,0,MATCH($C$2,元データ!$E$1:$H$1,0)),元データ!$A$2:$A$20000,$A75,元データ!$D$2:$D$20000,$B77,元データ!$B$2:$B$20000,$D$3)</f>
        <v>9530</v>
      </c>
      <c r="Q77" s="25">
        <f t="shared" si="5"/>
        <v>1.0260230849947534</v>
      </c>
    </row>
    <row r="78" spans="1:17" x14ac:dyDescent="0.45">
      <c r="A78" s="14" t="str">
        <f>店舗マスタ!A26</f>
        <v>オギノ大坂店</v>
      </c>
      <c r="B78" s="15" t="s">
        <v>27</v>
      </c>
      <c r="C78" s="16">
        <f>SUMIFS(INDEX(元データ!$E$2:$H$20000,0,MATCH($C$2,元データ!$E$1:$H$1,0)),元データ!$A$2:$A$20000,$A78,元データ!$D$2:$D$20000,$B78,元データ!$B$2:$B$20000,$C$3,元データ!$C$2:$C$20000,C$5)</f>
        <v>329</v>
      </c>
      <c r="D78" s="16">
        <f>SUMIFS(INDEX(元データ!$E$2:$H$20000,0,MATCH($C$2,元データ!$E$1:$H$1,0)),元データ!$A$2:$A$20000,$A78,元データ!$D$2:$D$20000,$B78,元データ!$B$2:$B$20000,$C$3,元データ!$C$2:$C$20000,D$5)</f>
        <v>350</v>
      </c>
      <c r="E78" s="16">
        <f>SUMIFS(INDEX(元データ!$E$2:$H$20000,0,MATCH($C$2,元データ!$E$1:$H$1,0)),元データ!$A$2:$A$20000,$A78,元データ!$D$2:$D$20000,$B78,元データ!$B$2:$B$20000,$C$3,元データ!$C$2:$C$20000,E$5)</f>
        <v>475</v>
      </c>
      <c r="F78" s="16">
        <f>SUMIFS(INDEX(元データ!$E$2:$H$20000,0,MATCH($C$2,元データ!$E$1:$H$1,0)),元データ!$A$2:$A$20000,$A78,元データ!$D$2:$D$20000,$B78,元データ!$B$2:$B$20000,$C$3,元データ!$C$2:$C$20000,F$5)</f>
        <v>357</v>
      </c>
      <c r="G78" s="16">
        <f>SUMIFS(INDEX(元データ!$E$2:$H$20000,0,MATCH($C$2,元データ!$E$1:$H$1,0)),元データ!$A$2:$A$20000,$A78,元データ!$D$2:$D$20000,$B78,元データ!$B$2:$B$20000,$C$3,元データ!$C$2:$C$20000,G$5)</f>
        <v>385</v>
      </c>
      <c r="H78" s="16">
        <f>SUMIFS(INDEX(元データ!$E$2:$H$20000,0,MATCH($C$2,元データ!$E$1:$H$1,0)),元データ!$A$2:$A$20000,$A78,元データ!$D$2:$D$20000,$B78,元データ!$B$2:$B$20000,$C$3,元データ!$C$2:$C$20000,H$5)</f>
        <v>332</v>
      </c>
      <c r="I78" s="16">
        <f>SUMIFS(INDEX(元データ!$E$2:$H$20000,0,MATCH($C$2,元データ!$E$1:$H$1,0)),元データ!$A$2:$A$20000,$A78,元データ!$D$2:$D$20000,$B78,元データ!$B$2:$B$20000,$C$3,元データ!$C$2:$C$20000,I$5)</f>
        <v>319</v>
      </c>
      <c r="J78" s="16">
        <f>SUMIFS(INDEX(元データ!$E$2:$H$20000,0,MATCH($C$2,元データ!$E$1:$H$1,0)),元データ!$A$2:$A$20000,$A78,元データ!$D$2:$D$20000,$B78,元データ!$B$2:$B$20000,$C$3,元データ!$C$2:$C$20000,J$5)</f>
        <v>404</v>
      </c>
      <c r="K78" s="16">
        <f>SUMIFS(INDEX(元データ!$E$2:$H$20000,0,MATCH($C$2,元データ!$E$1:$H$1,0)),元データ!$A$2:$A$20000,$A78,元データ!$D$2:$D$20000,$B78,元データ!$B$2:$B$20000,$C$3,元データ!$C$2:$C$20000,K$5)</f>
        <v>433</v>
      </c>
      <c r="L78" s="16">
        <f>SUMIFS(INDEX(元データ!$E$2:$H$20000,0,MATCH($C$2,元データ!$E$1:$H$1,0)),元データ!$A$2:$A$20000,$A78,元データ!$D$2:$D$20000,$B78,元データ!$B$2:$B$20000,$C$3,元データ!$C$2:$C$20000,L$5)</f>
        <v>298</v>
      </c>
      <c r="M78" s="16">
        <f>SUMIFS(INDEX(元データ!$E$2:$H$20000,0,MATCH($C$2,元データ!$E$1:$H$1,0)),元データ!$A$2:$A$20000,$A78,元データ!$D$2:$D$20000,$B78,元データ!$B$2:$B$20000,$C$3,元データ!$C$2:$C$20000,M$5)</f>
        <v>348</v>
      </c>
      <c r="N78" s="16">
        <f>SUMIFS(INDEX(元データ!$E$2:$H$20000,0,MATCH($C$2,元データ!$E$1:$H$1,0)),元データ!$A$2:$A$20000,$A78,元データ!$D$2:$D$20000,$B78,元データ!$B$2:$B$20000,$C$3,元データ!$C$2:$C$20000,N$5)</f>
        <v>354</v>
      </c>
      <c r="O78" s="17">
        <f t="shared" si="4"/>
        <v>4384</v>
      </c>
      <c r="P78" s="17">
        <f>SUMIFS(INDEX(元データ!$E$2:$H$20000,0,MATCH($C$2,元データ!$E$1:$H$1,0)),元データ!$A$2:$A$20000,$A78,元データ!$D$2:$D$20000,$B78,元データ!$B$2:$B$20000,$D$3)</f>
        <v>5227</v>
      </c>
      <c r="Q78" s="25">
        <f t="shared" si="5"/>
        <v>0.83872202027931897</v>
      </c>
    </row>
    <row r="79" spans="1:17" x14ac:dyDescent="0.45">
      <c r="A79" s="14"/>
      <c r="B79" s="15" t="s">
        <v>28</v>
      </c>
      <c r="C79" s="16">
        <f>SUMIFS(INDEX(元データ!$E$2:$H$20000,0,MATCH($C$2,元データ!$E$1:$H$1,0)),元データ!$A$2:$A$20000,$A78,元データ!$D$2:$D$20000,$B79,元データ!$B$2:$B$20000,$C$3,元データ!$C$2:$C$20000,C$5)</f>
        <v>217</v>
      </c>
      <c r="D79" s="16">
        <f>SUMIFS(INDEX(元データ!$E$2:$H$20000,0,MATCH($C$2,元データ!$E$1:$H$1,0)),元データ!$A$2:$A$20000,$A78,元データ!$D$2:$D$20000,$B79,元データ!$B$2:$B$20000,$C$3,元データ!$C$2:$C$20000,D$5)</f>
        <v>272</v>
      </c>
      <c r="E79" s="16">
        <f>SUMIFS(INDEX(元データ!$E$2:$H$20000,0,MATCH($C$2,元データ!$E$1:$H$1,0)),元データ!$A$2:$A$20000,$A78,元データ!$D$2:$D$20000,$B79,元データ!$B$2:$B$20000,$C$3,元データ!$C$2:$C$20000,E$5)</f>
        <v>353</v>
      </c>
      <c r="F79" s="16">
        <f>SUMIFS(INDEX(元データ!$E$2:$H$20000,0,MATCH($C$2,元データ!$E$1:$H$1,0)),元データ!$A$2:$A$20000,$A78,元データ!$D$2:$D$20000,$B79,元データ!$B$2:$B$20000,$C$3,元データ!$C$2:$C$20000,F$5)</f>
        <v>303</v>
      </c>
      <c r="G79" s="16">
        <f>SUMIFS(INDEX(元データ!$E$2:$H$20000,0,MATCH($C$2,元データ!$E$1:$H$1,0)),元データ!$A$2:$A$20000,$A78,元データ!$D$2:$D$20000,$B79,元データ!$B$2:$B$20000,$C$3,元データ!$C$2:$C$20000,G$5)</f>
        <v>288</v>
      </c>
      <c r="H79" s="16">
        <f>SUMIFS(INDEX(元データ!$E$2:$H$20000,0,MATCH($C$2,元データ!$E$1:$H$1,0)),元データ!$A$2:$A$20000,$A78,元データ!$D$2:$D$20000,$B79,元データ!$B$2:$B$20000,$C$3,元データ!$C$2:$C$20000,H$5)</f>
        <v>220</v>
      </c>
      <c r="I79" s="16">
        <f>SUMIFS(INDEX(元データ!$E$2:$H$20000,0,MATCH($C$2,元データ!$E$1:$H$1,0)),元データ!$A$2:$A$20000,$A78,元データ!$D$2:$D$20000,$B79,元データ!$B$2:$B$20000,$C$3,元データ!$C$2:$C$20000,I$5)</f>
        <v>169</v>
      </c>
      <c r="J79" s="16">
        <f>SUMIFS(INDEX(元データ!$E$2:$H$20000,0,MATCH($C$2,元データ!$E$1:$H$1,0)),元データ!$A$2:$A$20000,$A78,元データ!$D$2:$D$20000,$B79,元データ!$B$2:$B$20000,$C$3,元データ!$C$2:$C$20000,J$5)</f>
        <v>296</v>
      </c>
      <c r="K79" s="16">
        <f>SUMIFS(INDEX(元データ!$E$2:$H$20000,0,MATCH($C$2,元データ!$E$1:$H$1,0)),元データ!$A$2:$A$20000,$A78,元データ!$D$2:$D$20000,$B79,元データ!$B$2:$B$20000,$C$3,元データ!$C$2:$C$20000,K$5)</f>
        <v>512</v>
      </c>
      <c r="L79" s="16">
        <f>SUMIFS(INDEX(元データ!$E$2:$H$20000,0,MATCH($C$2,元データ!$E$1:$H$1,0)),元データ!$A$2:$A$20000,$A78,元データ!$D$2:$D$20000,$B79,元データ!$B$2:$B$20000,$C$3,元データ!$C$2:$C$20000,L$5)</f>
        <v>235</v>
      </c>
      <c r="M79" s="16">
        <f>SUMIFS(INDEX(元データ!$E$2:$H$20000,0,MATCH($C$2,元データ!$E$1:$H$1,0)),元データ!$A$2:$A$20000,$A78,元データ!$D$2:$D$20000,$B79,元データ!$B$2:$B$20000,$C$3,元データ!$C$2:$C$20000,M$5)</f>
        <v>276</v>
      </c>
      <c r="N79" s="16">
        <f>SUMIFS(INDEX(元データ!$E$2:$H$20000,0,MATCH($C$2,元データ!$E$1:$H$1,0)),元データ!$A$2:$A$20000,$A78,元データ!$D$2:$D$20000,$B79,元データ!$B$2:$B$20000,$C$3,元データ!$C$2:$C$20000,N$5)</f>
        <v>299</v>
      </c>
      <c r="O79" s="17">
        <f t="shared" si="4"/>
        <v>3440</v>
      </c>
      <c r="P79" s="17">
        <f>SUMIFS(INDEX(元データ!$E$2:$H$20000,0,MATCH($C$2,元データ!$E$1:$H$1,0)),元データ!$A$2:$A$20000,$A78,元データ!$D$2:$D$20000,$B79,元データ!$B$2:$B$20000,$D$3)</f>
        <v>3896</v>
      </c>
      <c r="Q79" s="25">
        <f t="shared" si="5"/>
        <v>0.88295687885010266</v>
      </c>
    </row>
    <row r="80" spans="1:17" x14ac:dyDescent="0.45">
      <c r="A80" s="14"/>
      <c r="B80" s="15" t="s">
        <v>29</v>
      </c>
      <c r="C80" s="16">
        <f>SUMIFS(INDEX(元データ!$E$2:$H$20000,0,MATCH($C$2,元データ!$E$1:$H$1,0)),元データ!$A$2:$A$20000,$A78,元データ!$D$2:$D$20000,$B80,元データ!$B$2:$B$20000,$C$3,元データ!$C$2:$C$20000,C$5)</f>
        <v>204</v>
      </c>
      <c r="D80" s="16">
        <f>SUMIFS(INDEX(元データ!$E$2:$H$20000,0,MATCH($C$2,元データ!$E$1:$H$1,0)),元データ!$A$2:$A$20000,$A78,元データ!$D$2:$D$20000,$B80,元データ!$B$2:$B$20000,$C$3,元データ!$C$2:$C$20000,D$5)</f>
        <v>175</v>
      </c>
      <c r="E80" s="16">
        <f>SUMIFS(INDEX(元データ!$E$2:$H$20000,0,MATCH($C$2,元データ!$E$1:$H$1,0)),元データ!$A$2:$A$20000,$A78,元データ!$D$2:$D$20000,$B80,元データ!$B$2:$B$20000,$C$3,元データ!$C$2:$C$20000,E$5)</f>
        <v>288</v>
      </c>
      <c r="F80" s="16">
        <f>SUMIFS(INDEX(元データ!$E$2:$H$20000,0,MATCH($C$2,元データ!$E$1:$H$1,0)),元データ!$A$2:$A$20000,$A78,元データ!$D$2:$D$20000,$B80,元データ!$B$2:$B$20000,$C$3,元データ!$C$2:$C$20000,F$5)</f>
        <v>268</v>
      </c>
      <c r="G80" s="16">
        <f>SUMIFS(INDEX(元データ!$E$2:$H$20000,0,MATCH($C$2,元データ!$E$1:$H$1,0)),元データ!$A$2:$A$20000,$A78,元データ!$D$2:$D$20000,$B80,元データ!$B$2:$B$20000,$C$3,元データ!$C$2:$C$20000,G$5)</f>
        <v>252</v>
      </c>
      <c r="H80" s="16">
        <f>SUMIFS(INDEX(元データ!$E$2:$H$20000,0,MATCH($C$2,元データ!$E$1:$H$1,0)),元データ!$A$2:$A$20000,$A78,元データ!$D$2:$D$20000,$B80,元データ!$B$2:$B$20000,$C$3,元データ!$C$2:$C$20000,H$5)</f>
        <v>219</v>
      </c>
      <c r="I80" s="16">
        <f>SUMIFS(INDEX(元データ!$E$2:$H$20000,0,MATCH($C$2,元データ!$E$1:$H$1,0)),元データ!$A$2:$A$20000,$A78,元データ!$D$2:$D$20000,$B80,元データ!$B$2:$B$20000,$C$3,元データ!$C$2:$C$20000,I$5)</f>
        <v>138</v>
      </c>
      <c r="J80" s="16">
        <f>SUMIFS(INDEX(元データ!$E$2:$H$20000,0,MATCH($C$2,元データ!$E$1:$H$1,0)),元データ!$A$2:$A$20000,$A78,元データ!$D$2:$D$20000,$B80,元データ!$B$2:$B$20000,$C$3,元データ!$C$2:$C$20000,J$5)</f>
        <v>328</v>
      </c>
      <c r="K80" s="16">
        <f>SUMIFS(INDEX(元データ!$E$2:$H$20000,0,MATCH($C$2,元データ!$E$1:$H$1,0)),元データ!$A$2:$A$20000,$A78,元データ!$D$2:$D$20000,$B80,元データ!$B$2:$B$20000,$C$3,元データ!$C$2:$C$20000,K$5)</f>
        <v>416</v>
      </c>
      <c r="L80" s="16">
        <f>SUMIFS(INDEX(元データ!$E$2:$H$20000,0,MATCH($C$2,元データ!$E$1:$H$1,0)),元データ!$A$2:$A$20000,$A78,元データ!$D$2:$D$20000,$B80,元データ!$B$2:$B$20000,$C$3,元データ!$C$2:$C$20000,L$5)</f>
        <v>208</v>
      </c>
      <c r="M80" s="16">
        <f>SUMIFS(INDEX(元データ!$E$2:$H$20000,0,MATCH($C$2,元データ!$E$1:$H$1,0)),元データ!$A$2:$A$20000,$A78,元データ!$D$2:$D$20000,$B80,元データ!$B$2:$B$20000,$C$3,元データ!$C$2:$C$20000,M$5)</f>
        <v>233</v>
      </c>
      <c r="N80" s="16">
        <f>SUMIFS(INDEX(元データ!$E$2:$H$20000,0,MATCH($C$2,元データ!$E$1:$H$1,0)),元データ!$A$2:$A$20000,$A78,元データ!$D$2:$D$20000,$B80,元データ!$B$2:$B$20000,$C$3,元データ!$C$2:$C$20000,N$5)</f>
        <v>219</v>
      </c>
      <c r="O80" s="17">
        <f t="shared" si="4"/>
        <v>2948</v>
      </c>
      <c r="P80" s="17">
        <f>SUMIFS(INDEX(元データ!$E$2:$H$20000,0,MATCH($C$2,元データ!$E$1:$H$1,0)),元データ!$A$2:$A$20000,$A78,元データ!$D$2:$D$20000,$B80,元データ!$B$2:$B$20000,$D$3)</f>
        <v>3243</v>
      </c>
      <c r="Q80" s="25">
        <f t="shared" si="5"/>
        <v>0.90903484427998771</v>
      </c>
    </row>
    <row r="81" spans="1:17" x14ac:dyDescent="0.45">
      <c r="A81" s="14" t="str">
        <f>店舗マスタ!A27</f>
        <v>三島徳倉店</v>
      </c>
      <c r="B81" s="15" t="s">
        <v>27</v>
      </c>
      <c r="C81" s="16">
        <f>SUMIFS(INDEX(元データ!$E$2:$H$20000,0,MATCH($C$2,元データ!$E$1:$H$1,0)),元データ!$A$2:$A$20000,$A81,元データ!$D$2:$D$20000,$B81,元データ!$B$2:$B$20000,$C$3,元データ!$C$2:$C$20000,C$5)</f>
        <v>304</v>
      </c>
      <c r="D81" s="16">
        <f>SUMIFS(INDEX(元データ!$E$2:$H$20000,0,MATCH($C$2,元データ!$E$1:$H$1,0)),元データ!$A$2:$A$20000,$A81,元データ!$D$2:$D$20000,$B81,元データ!$B$2:$B$20000,$C$3,元データ!$C$2:$C$20000,D$5)</f>
        <v>404</v>
      </c>
      <c r="E81" s="16">
        <f>SUMIFS(INDEX(元データ!$E$2:$H$20000,0,MATCH($C$2,元データ!$E$1:$H$1,0)),元データ!$A$2:$A$20000,$A81,元データ!$D$2:$D$20000,$B81,元データ!$B$2:$B$20000,$C$3,元データ!$C$2:$C$20000,E$5)</f>
        <v>438</v>
      </c>
      <c r="F81" s="16">
        <f>SUMIFS(INDEX(元データ!$E$2:$H$20000,0,MATCH($C$2,元データ!$E$1:$H$1,0)),元データ!$A$2:$A$20000,$A81,元データ!$D$2:$D$20000,$B81,元データ!$B$2:$B$20000,$C$3,元データ!$C$2:$C$20000,F$5)</f>
        <v>396</v>
      </c>
      <c r="G81" s="16">
        <f>SUMIFS(INDEX(元データ!$E$2:$H$20000,0,MATCH($C$2,元データ!$E$1:$H$1,0)),元データ!$A$2:$A$20000,$A81,元データ!$D$2:$D$20000,$B81,元データ!$B$2:$B$20000,$C$3,元データ!$C$2:$C$20000,G$5)</f>
        <v>427</v>
      </c>
      <c r="H81" s="16">
        <f>SUMIFS(INDEX(元データ!$E$2:$H$20000,0,MATCH($C$2,元データ!$E$1:$H$1,0)),元データ!$A$2:$A$20000,$A81,元データ!$D$2:$D$20000,$B81,元データ!$B$2:$B$20000,$C$3,元データ!$C$2:$C$20000,H$5)</f>
        <v>308</v>
      </c>
      <c r="I81" s="16">
        <f>SUMIFS(INDEX(元データ!$E$2:$H$20000,0,MATCH($C$2,元データ!$E$1:$H$1,0)),元データ!$A$2:$A$20000,$A81,元データ!$D$2:$D$20000,$B81,元データ!$B$2:$B$20000,$C$3,元データ!$C$2:$C$20000,I$5)</f>
        <v>331</v>
      </c>
      <c r="J81" s="16">
        <f>SUMIFS(INDEX(元データ!$E$2:$H$20000,0,MATCH($C$2,元データ!$E$1:$H$1,0)),元データ!$A$2:$A$20000,$A81,元データ!$D$2:$D$20000,$B81,元データ!$B$2:$B$20000,$C$3,元データ!$C$2:$C$20000,J$5)</f>
        <v>426</v>
      </c>
      <c r="K81" s="16">
        <f>SUMIFS(INDEX(元データ!$E$2:$H$20000,0,MATCH($C$2,元データ!$E$1:$H$1,0)),元データ!$A$2:$A$20000,$A81,元データ!$D$2:$D$20000,$B81,元データ!$B$2:$B$20000,$C$3,元データ!$C$2:$C$20000,K$5)</f>
        <v>434</v>
      </c>
      <c r="L81" s="16">
        <f>SUMIFS(INDEX(元データ!$E$2:$H$20000,0,MATCH($C$2,元データ!$E$1:$H$1,0)),元データ!$A$2:$A$20000,$A81,元データ!$D$2:$D$20000,$B81,元データ!$B$2:$B$20000,$C$3,元データ!$C$2:$C$20000,L$5)</f>
        <v>384</v>
      </c>
      <c r="M81" s="16">
        <f>SUMIFS(INDEX(元データ!$E$2:$H$20000,0,MATCH($C$2,元データ!$E$1:$H$1,0)),元データ!$A$2:$A$20000,$A81,元データ!$D$2:$D$20000,$B81,元データ!$B$2:$B$20000,$C$3,元データ!$C$2:$C$20000,M$5)</f>
        <v>437</v>
      </c>
      <c r="N81" s="16">
        <f>SUMIFS(INDEX(元データ!$E$2:$H$20000,0,MATCH($C$2,元データ!$E$1:$H$1,0)),元データ!$A$2:$A$20000,$A81,元データ!$D$2:$D$20000,$B81,元データ!$B$2:$B$20000,$C$3,元データ!$C$2:$C$20000,N$5)</f>
        <v>387</v>
      </c>
      <c r="O81" s="17">
        <f t="shared" si="4"/>
        <v>4676</v>
      </c>
      <c r="P81" s="17">
        <f>SUMIFS(INDEX(元データ!$E$2:$H$20000,0,MATCH($C$2,元データ!$E$1:$H$1,0)),元データ!$A$2:$A$20000,$A81,元データ!$D$2:$D$20000,$B81,元データ!$B$2:$B$20000,$D$3)</f>
        <v>5144</v>
      </c>
      <c r="Q81" s="25">
        <f t="shared" si="5"/>
        <v>0.90902021772939345</v>
      </c>
    </row>
    <row r="82" spans="1:17" x14ac:dyDescent="0.45">
      <c r="A82" s="14"/>
      <c r="B82" s="15" t="s">
        <v>28</v>
      </c>
      <c r="C82" s="16">
        <f>SUMIFS(INDEX(元データ!$E$2:$H$20000,0,MATCH($C$2,元データ!$E$1:$H$1,0)),元データ!$A$2:$A$20000,$A81,元データ!$D$2:$D$20000,$B82,元データ!$B$2:$B$20000,$C$3,元データ!$C$2:$C$20000,C$5)</f>
        <v>152</v>
      </c>
      <c r="D82" s="16">
        <f>SUMIFS(INDEX(元データ!$E$2:$H$20000,0,MATCH($C$2,元データ!$E$1:$H$1,0)),元データ!$A$2:$A$20000,$A81,元データ!$D$2:$D$20000,$B82,元データ!$B$2:$B$20000,$C$3,元データ!$C$2:$C$20000,D$5)</f>
        <v>200</v>
      </c>
      <c r="E82" s="16">
        <f>SUMIFS(INDEX(元データ!$E$2:$H$20000,0,MATCH($C$2,元データ!$E$1:$H$1,0)),元データ!$A$2:$A$20000,$A81,元データ!$D$2:$D$20000,$B82,元データ!$B$2:$B$20000,$C$3,元データ!$C$2:$C$20000,E$5)</f>
        <v>249</v>
      </c>
      <c r="F82" s="16">
        <f>SUMIFS(INDEX(元データ!$E$2:$H$20000,0,MATCH($C$2,元データ!$E$1:$H$1,0)),元データ!$A$2:$A$20000,$A81,元データ!$D$2:$D$20000,$B82,元データ!$B$2:$B$20000,$C$3,元データ!$C$2:$C$20000,F$5)</f>
        <v>224</v>
      </c>
      <c r="G82" s="16">
        <f>SUMIFS(INDEX(元データ!$E$2:$H$20000,0,MATCH($C$2,元データ!$E$1:$H$1,0)),元データ!$A$2:$A$20000,$A81,元データ!$D$2:$D$20000,$B82,元データ!$B$2:$B$20000,$C$3,元データ!$C$2:$C$20000,G$5)</f>
        <v>252</v>
      </c>
      <c r="H82" s="16">
        <f>SUMIFS(INDEX(元データ!$E$2:$H$20000,0,MATCH($C$2,元データ!$E$1:$H$1,0)),元データ!$A$2:$A$20000,$A81,元データ!$D$2:$D$20000,$B82,元データ!$B$2:$B$20000,$C$3,元データ!$C$2:$C$20000,H$5)</f>
        <v>187</v>
      </c>
      <c r="I82" s="16">
        <f>SUMIFS(INDEX(元データ!$E$2:$H$20000,0,MATCH($C$2,元データ!$E$1:$H$1,0)),元データ!$A$2:$A$20000,$A81,元データ!$D$2:$D$20000,$B82,元データ!$B$2:$B$20000,$C$3,元データ!$C$2:$C$20000,I$5)</f>
        <v>117</v>
      </c>
      <c r="J82" s="16">
        <f>SUMIFS(INDEX(元データ!$E$2:$H$20000,0,MATCH($C$2,元データ!$E$1:$H$1,0)),元データ!$A$2:$A$20000,$A81,元データ!$D$2:$D$20000,$B82,元データ!$B$2:$B$20000,$C$3,元データ!$C$2:$C$20000,J$5)</f>
        <v>238</v>
      </c>
      <c r="K82" s="16">
        <f>SUMIFS(INDEX(元データ!$E$2:$H$20000,0,MATCH($C$2,元データ!$E$1:$H$1,0)),元データ!$A$2:$A$20000,$A81,元データ!$D$2:$D$20000,$B82,元データ!$B$2:$B$20000,$C$3,元データ!$C$2:$C$20000,K$5)</f>
        <v>284</v>
      </c>
      <c r="L82" s="16">
        <f>SUMIFS(INDEX(元データ!$E$2:$H$20000,0,MATCH($C$2,元データ!$E$1:$H$1,0)),元データ!$A$2:$A$20000,$A81,元データ!$D$2:$D$20000,$B82,元データ!$B$2:$B$20000,$C$3,元データ!$C$2:$C$20000,L$5)</f>
        <v>222</v>
      </c>
      <c r="M82" s="16">
        <f>SUMIFS(INDEX(元データ!$E$2:$H$20000,0,MATCH($C$2,元データ!$E$1:$H$1,0)),元データ!$A$2:$A$20000,$A81,元データ!$D$2:$D$20000,$B82,元データ!$B$2:$B$20000,$C$3,元データ!$C$2:$C$20000,M$5)</f>
        <v>208</v>
      </c>
      <c r="N82" s="16">
        <f>SUMIFS(INDEX(元データ!$E$2:$H$20000,0,MATCH($C$2,元データ!$E$1:$H$1,0)),元データ!$A$2:$A$20000,$A81,元データ!$D$2:$D$20000,$B82,元データ!$B$2:$B$20000,$C$3,元データ!$C$2:$C$20000,N$5)</f>
        <v>232</v>
      </c>
      <c r="O82" s="17">
        <f t="shared" si="4"/>
        <v>2565</v>
      </c>
      <c r="P82" s="17">
        <f>SUMIFS(INDEX(元データ!$E$2:$H$20000,0,MATCH($C$2,元データ!$E$1:$H$1,0)),元データ!$A$2:$A$20000,$A81,元データ!$D$2:$D$20000,$B82,元データ!$B$2:$B$20000,$D$3)</f>
        <v>2489</v>
      </c>
      <c r="Q82" s="25">
        <f t="shared" si="5"/>
        <v>1.0305343511450382</v>
      </c>
    </row>
    <row r="83" spans="1:17" x14ac:dyDescent="0.45">
      <c r="A83" s="14"/>
      <c r="B83" s="15" t="s">
        <v>29</v>
      </c>
      <c r="C83" s="16">
        <f>SUMIFS(INDEX(元データ!$E$2:$H$20000,0,MATCH($C$2,元データ!$E$1:$H$1,0)),元データ!$A$2:$A$20000,$A81,元データ!$D$2:$D$20000,$B83,元データ!$B$2:$B$20000,$C$3,元データ!$C$2:$C$20000,C$5)</f>
        <v>83</v>
      </c>
      <c r="D83" s="16">
        <f>SUMIFS(INDEX(元データ!$E$2:$H$20000,0,MATCH($C$2,元データ!$E$1:$H$1,0)),元データ!$A$2:$A$20000,$A81,元データ!$D$2:$D$20000,$B83,元データ!$B$2:$B$20000,$C$3,元データ!$C$2:$C$20000,D$5)</f>
        <v>91</v>
      </c>
      <c r="E83" s="16">
        <f>SUMIFS(INDEX(元データ!$E$2:$H$20000,0,MATCH($C$2,元データ!$E$1:$H$1,0)),元データ!$A$2:$A$20000,$A81,元データ!$D$2:$D$20000,$B83,元データ!$B$2:$B$20000,$C$3,元データ!$C$2:$C$20000,E$5)</f>
        <v>143</v>
      </c>
      <c r="F83" s="16">
        <f>SUMIFS(INDEX(元データ!$E$2:$H$20000,0,MATCH($C$2,元データ!$E$1:$H$1,0)),元データ!$A$2:$A$20000,$A81,元データ!$D$2:$D$20000,$B83,元データ!$B$2:$B$20000,$C$3,元データ!$C$2:$C$20000,F$5)</f>
        <v>160</v>
      </c>
      <c r="G83" s="16">
        <f>SUMIFS(INDEX(元データ!$E$2:$H$20000,0,MATCH($C$2,元データ!$E$1:$H$1,0)),元データ!$A$2:$A$20000,$A81,元データ!$D$2:$D$20000,$B83,元データ!$B$2:$B$20000,$C$3,元データ!$C$2:$C$20000,G$5)</f>
        <v>141</v>
      </c>
      <c r="H83" s="16">
        <f>SUMIFS(INDEX(元データ!$E$2:$H$20000,0,MATCH($C$2,元データ!$E$1:$H$1,0)),元データ!$A$2:$A$20000,$A81,元データ!$D$2:$D$20000,$B83,元データ!$B$2:$B$20000,$C$3,元データ!$C$2:$C$20000,H$5)</f>
        <v>127</v>
      </c>
      <c r="I83" s="16">
        <f>SUMIFS(INDEX(元データ!$E$2:$H$20000,0,MATCH($C$2,元データ!$E$1:$H$1,0)),元データ!$A$2:$A$20000,$A81,元データ!$D$2:$D$20000,$B83,元データ!$B$2:$B$20000,$C$3,元データ!$C$2:$C$20000,I$5)</f>
        <v>74</v>
      </c>
      <c r="J83" s="16">
        <f>SUMIFS(INDEX(元データ!$E$2:$H$20000,0,MATCH($C$2,元データ!$E$1:$H$1,0)),元データ!$A$2:$A$20000,$A81,元データ!$D$2:$D$20000,$B83,元データ!$B$2:$B$20000,$C$3,元データ!$C$2:$C$20000,J$5)</f>
        <v>187</v>
      </c>
      <c r="K83" s="16">
        <f>SUMIFS(INDEX(元データ!$E$2:$H$20000,0,MATCH($C$2,元データ!$E$1:$H$1,0)),元データ!$A$2:$A$20000,$A81,元データ!$D$2:$D$20000,$B83,元データ!$B$2:$B$20000,$C$3,元データ!$C$2:$C$20000,K$5)</f>
        <v>273</v>
      </c>
      <c r="L83" s="16">
        <f>SUMIFS(INDEX(元データ!$E$2:$H$20000,0,MATCH($C$2,元データ!$E$1:$H$1,0)),元データ!$A$2:$A$20000,$A81,元データ!$D$2:$D$20000,$B83,元データ!$B$2:$B$20000,$C$3,元データ!$C$2:$C$20000,L$5)</f>
        <v>166</v>
      </c>
      <c r="M83" s="16">
        <f>SUMIFS(INDEX(元データ!$E$2:$H$20000,0,MATCH($C$2,元データ!$E$1:$H$1,0)),元データ!$A$2:$A$20000,$A81,元データ!$D$2:$D$20000,$B83,元データ!$B$2:$B$20000,$C$3,元データ!$C$2:$C$20000,M$5)</f>
        <v>157</v>
      </c>
      <c r="N83" s="16">
        <f>SUMIFS(INDEX(元データ!$E$2:$H$20000,0,MATCH($C$2,元データ!$E$1:$H$1,0)),元データ!$A$2:$A$20000,$A81,元データ!$D$2:$D$20000,$B83,元データ!$B$2:$B$20000,$C$3,元データ!$C$2:$C$20000,N$5)</f>
        <v>154</v>
      </c>
      <c r="O83" s="17">
        <f t="shared" si="4"/>
        <v>1756</v>
      </c>
      <c r="P83" s="17">
        <f>SUMIFS(INDEX(元データ!$E$2:$H$20000,0,MATCH($C$2,元データ!$E$1:$H$1,0)),元データ!$A$2:$A$20000,$A81,元データ!$D$2:$D$20000,$B83,元データ!$B$2:$B$20000,$D$3)</f>
        <v>1644</v>
      </c>
      <c r="Q83" s="25">
        <f t="shared" si="5"/>
        <v>1.0681265206812651</v>
      </c>
    </row>
    <row r="84" spans="1:17" x14ac:dyDescent="0.45">
      <c r="A84" s="14" t="str">
        <f>店舗マスタ!A28</f>
        <v>西沢田店</v>
      </c>
      <c r="B84" s="15" t="s">
        <v>27</v>
      </c>
      <c r="C84" s="16">
        <f>SUMIFS(INDEX(元データ!$E$2:$H$20000,0,MATCH($C$2,元データ!$E$1:$H$1,0)),元データ!$A$2:$A$20000,$A84,元データ!$D$2:$D$20000,$B84,元データ!$B$2:$B$20000,$C$3,元データ!$C$2:$C$20000,C$5)</f>
        <v>513</v>
      </c>
      <c r="D84" s="16">
        <f>SUMIFS(INDEX(元データ!$E$2:$H$20000,0,MATCH($C$2,元データ!$E$1:$H$1,0)),元データ!$A$2:$A$20000,$A84,元データ!$D$2:$D$20000,$B84,元データ!$B$2:$B$20000,$C$3,元データ!$C$2:$C$20000,D$5)</f>
        <v>567</v>
      </c>
      <c r="E84" s="16">
        <f>SUMIFS(INDEX(元データ!$E$2:$H$20000,0,MATCH($C$2,元データ!$E$1:$H$1,0)),元データ!$A$2:$A$20000,$A84,元データ!$D$2:$D$20000,$B84,元データ!$B$2:$B$20000,$C$3,元データ!$C$2:$C$20000,E$5)</f>
        <v>690</v>
      </c>
      <c r="F84" s="16">
        <f>SUMIFS(INDEX(元データ!$E$2:$H$20000,0,MATCH($C$2,元データ!$E$1:$H$1,0)),元データ!$A$2:$A$20000,$A84,元データ!$D$2:$D$20000,$B84,元データ!$B$2:$B$20000,$C$3,元データ!$C$2:$C$20000,F$5)</f>
        <v>650</v>
      </c>
      <c r="G84" s="16">
        <f>SUMIFS(INDEX(元データ!$E$2:$H$20000,0,MATCH($C$2,元データ!$E$1:$H$1,0)),元データ!$A$2:$A$20000,$A84,元データ!$D$2:$D$20000,$B84,元データ!$B$2:$B$20000,$C$3,元データ!$C$2:$C$20000,G$5)</f>
        <v>628</v>
      </c>
      <c r="H84" s="16">
        <f>SUMIFS(INDEX(元データ!$E$2:$H$20000,0,MATCH($C$2,元データ!$E$1:$H$1,0)),元データ!$A$2:$A$20000,$A84,元データ!$D$2:$D$20000,$B84,元データ!$B$2:$B$20000,$C$3,元データ!$C$2:$C$20000,H$5)</f>
        <v>555</v>
      </c>
      <c r="I84" s="16">
        <f>SUMIFS(INDEX(元データ!$E$2:$H$20000,0,MATCH($C$2,元データ!$E$1:$H$1,0)),元データ!$A$2:$A$20000,$A84,元データ!$D$2:$D$20000,$B84,元データ!$B$2:$B$20000,$C$3,元データ!$C$2:$C$20000,I$5)</f>
        <v>494</v>
      </c>
      <c r="J84" s="16">
        <f>SUMIFS(INDEX(元データ!$E$2:$H$20000,0,MATCH($C$2,元データ!$E$1:$H$1,0)),元データ!$A$2:$A$20000,$A84,元データ!$D$2:$D$20000,$B84,元データ!$B$2:$B$20000,$C$3,元データ!$C$2:$C$20000,J$5)</f>
        <v>604</v>
      </c>
      <c r="K84" s="16">
        <f>SUMIFS(INDEX(元データ!$E$2:$H$20000,0,MATCH($C$2,元データ!$E$1:$H$1,0)),元データ!$A$2:$A$20000,$A84,元データ!$D$2:$D$20000,$B84,元データ!$B$2:$B$20000,$C$3,元データ!$C$2:$C$20000,K$5)</f>
        <v>607</v>
      </c>
      <c r="L84" s="16">
        <f>SUMIFS(INDEX(元データ!$E$2:$H$20000,0,MATCH($C$2,元データ!$E$1:$H$1,0)),元データ!$A$2:$A$20000,$A84,元データ!$D$2:$D$20000,$B84,元データ!$B$2:$B$20000,$C$3,元データ!$C$2:$C$20000,L$5)</f>
        <v>524</v>
      </c>
      <c r="M84" s="16">
        <f>SUMIFS(INDEX(元データ!$E$2:$H$20000,0,MATCH($C$2,元データ!$E$1:$H$1,0)),元データ!$A$2:$A$20000,$A84,元データ!$D$2:$D$20000,$B84,元データ!$B$2:$B$20000,$C$3,元データ!$C$2:$C$20000,M$5)</f>
        <v>591</v>
      </c>
      <c r="N84" s="16">
        <f>SUMIFS(INDEX(元データ!$E$2:$H$20000,0,MATCH($C$2,元データ!$E$1:$H$1,0)),元データ!$A$2:$A$20000,$A84,元データ!$D$2:$D$20000,$B84,元データ!$B$2:$B$20000,$C$3,元データ!$C$2:$C$20000,N$5)</f>
        <v>570</v>
      </c>
      <c r="O84" s="17">
        <f t="shared" si="4"/>
        <v>6993</v>
      </c>
      <c r="P84" s="17">
        <f>SUMIFS(INDEX(元データ!$E$2:$H$20000,0,MATCH($C$2,元データ!$E$1:$H$1,0)),元データ!$A$2:$A$20000,$A84,元データ!$D$2:$D$20000,$B84,元データ!$B$2:$B$20000,$D$3)</f>
        <v>7739</v>
      </c>
      <c r="Q84" s="25">
        <f t="shared" si="5"/>
        <v>0.9036051169401732</v>
      </c>
    </row>
    <row r="85" spans="1:17" x14ac:dyDescent="0.45">
      <c r="A85" s="14"/>
      <c r="B85" s="15" t="s">
        <v>28</v>
      </c>
      <c r="C85" s="16">
        <f>SUMIFS(INDEX(元データ!$E$2:$H$20000,0,MATCH($C$2,元データ!$E$1:$H$1,0)),元データ!$A$2:$A$20000,$A84,元データ!$D$2:$D$20000,$B85,元データ!$B$2:$B$20000,$C$3,元データ!$C$2:$C$20000,C$5)</f>
        <v>264</v>
      </c>
      <c r="D85" s="16">
        <f>SUMIFS(INDEX(元データ!$E$2:$H$20000,0,MATCH($C$2,元データ!$E$1:$H$1,0)),元データ!$A$2:$A$20000,$A84,元データ!$D$2:$D$20000,$B85,元データ!$B$2:$B$20000,$C$3,元データ!$C$2:$C$20000,D$5)</f>
        <v>361</v>
      </c>
      <c r="E85" s="16">
        <f>SUMIFS(INDEX(元データ!$E$2:$H$20000,0,MATCH($C$2,元データ!$E$1:$H$1,0)),元データ!$A$2:$A$20000,$A84,元データ!$D$2:$D$20000,$B85,元データ!$B$2:$B$20000,$C$3,元データ!$C$2:$C$20000,E$5)</f>
        <v>387</v>
      </c>
      <c r="F85" s="16">
        <f>SUMIFS(INDEX(元データ!$E$2:$H$20000,0,MATCH($C$2,元データ!$E$1:$H$1,0)),元データ!$A$2:$A$20000,$A84,元データ!$D$2:$D$20000,$B85,元データ!$B$2:$B$20000,$C$3,元データ!$C$2:$C$20000,F$5)</f>
        <v>333</v>
      </c>
      <c r="G85" s="16">
        <f>SUMIFS(INDEX(元データ!$E$2:$H$20000,0,MATCH($C$2,元データ!$E$1:$H$1,0)),元データ!$A$2:$A$20000,$A84,元データ!$D$2:$D$20000,$B85,元データ!$B$2:$B$20000,$C$3,元データ!$C$2:$C$20000,G$5)</f>
        <v>393</v>
      </c>
      <c r="H85" s="16">
        <f>SUMIFS(INDEX(元データ!$E$2:$H$20000,0,MATCH($C$2,元データ!$E$1:$H$1,0)),元データ!$A$2:$A$20000,$A84,元データ!$D$2:$D$20000,$B85,元データ!$B$2:$B$20000,$C$3,元データ!$C$2:$C$20000,H$5)</f>
        <v>273</v>
      </c>
      <c r="I85" s="16">
        <f>SUMIFS(INDEX(元データ!$E$2:$H$20000,0,MATCH($C$2,元データ!$E$1:$H$1,0)),元データ!$A$2:$A$20000,$A84,元データ!$D$2:$D$20000,$B85,元データ!$B$2:$B$20000,$C$3,元データ!$C$2:$C$20000,I$5)</f>
        <v>225</v>
      </c>
      <c r="J85" s="16">
        <f>SUMIFS(INDEX(元データ!$E$2:$H$20000,0,MATCH($C$2,元データ!$E$1:$H$1,0)),元データ!$A$2:$A$20000,$A84,元データ!$D$2:$D$20000,$B85,元データ!$B$2:$B$20000,$C$3,元データ!$C$2:$C$20000,J$5)</f>
        <v>329</v>
      </c>
      <c r="K85" s="16">
        <f>SUMIFS(INDEX(元データ!$E$2:$H$20000,0,MATCH($C$2,元データ!$E$1:$H$1,0)),元データ!$A$2:$A$20000,$A84,元データ!$D$2:$D$20000,$B85,元データ!$B$2:$B$20000,$C$3,元データ!$C$2:$C$20000,K$5)</f>
        <v>463</v>
      </c>
      <c r="L85" s="16">
        <f>SUMIFS(INDEX(元データ!$E$2:$H$20000,0,MATCH($C$2,元データ!$E$1:$H$1,0)),元データ!$A$2:$A$20000,$A84,元データ!$D$2:$D$20000,$B85,元データ!$B$2:$B$20000,$C$3,元データ!$C$2:$C$20000,L$5)</f>
        <v>354</v>
      </c>
      <c r="M85" s="16">
        <f>SUMIFS(INDEX(元データ!$E$2:$H$20000,0,MATCH($C$2,元データ!$E$1:$H$1,0)),元データ!$A$2:$A$20000,$A84,元データ!$D$2:$D$20000,$B85,元データ!$B$2:$B$20000,$C$3,元データ!$C$2:$C$20000,M$5)</f>
        <v>391</v>
      </c>
      <c r="N85" s="16">
        <f>SUMIFS(INDEX(元データ!$E$2:$H$20000,0,MATCH($C$2,元データ!$E$1:$H$1,0)),元データ!$A$2:$A$20000,$A84,元データ!$D$2:$D$20000,$B85,元データ!$B$2:$B$20000,$C$3,元データ!$C$2:$C$20000,N$5)</f>
        <v>366</v>
      </c>
      <c r="O85" s="17">
        <f t="shared" si="4"/>
        <v>4139</v>
      </c>
      <c r="P85" s="17">
        <f>SUMIFS(INDEX(元データ!$E$2:$H$20000,0,MATCH($C$2,元データ!$E$1:$H$1,0)),元データ!$A$2:$A$20000,$A84,元データ!$D$2:$D$20000,$B85,元データ!$B$2:$B$20000,$D$3)</f>
        <v>4366</v>
      </c>
      <c r="Q85" s="25">
        <f t="shared" si="5"/>
        <v>0.9480073293632616</v>
      </c>
    </row>
    <row r="86" spans="1:17" x14ac:dyDescent="0.45">
      <c r="A86" s="14"/>
      <c r="B86" s="15" t="s">
        <v>29</v>
      </c>
      <c r="C86" s="16">
        <f>SUMIFS(INDEX(元データ!$E$2:$H$20000,0,MATCH($C$2,元データ!$E$1:$H$1,0)),元データ!$A$2:$A$20000,$A84,元データ!$D$2:$D$20000,$B86,元データ!$B$2:$B$20000,$C$3,元データ!$C$2:$C$20000,C$5)</f>
        <v>151</v>
      </c>
      <c r="D86" s="16">
        <f>SUMIFS(INDEX(元データ!$E$2:$H$20000,0,MATCH($C$2,元データ!$E$1:$H$1,0)),元データ!$A$2:$A$20000,$A84,元データ!$D$2:$D$20000,$B86,元データ!$B$2:$B$20000,$C$3,元データ!$C$2:$C$20000,D$5)</f>
        <v>247</v>
      </c>
      <c r="E86" s="16">
        <f>SUMIFS(INDEX(元データ!$E$2:$H$20000,0,MATCH($C$2,元データ!$E$1:$H$1,0)),元データ!$A$2:$A$20000,$A84,元データ!$D$2:$D$20000,$B86,元データ!$B$2:$B$20000,$C$3,元データ!$C$2:$C$20000,E$5)</f>
        <v>278</v>
      </c>
      <c r="F86" s="16">
        <f>SUMIFS(INDEX(元データ!$E$2:$H$20000,0,MATCH($C$2,元データ!$E$1:$H$1,0)),元データ!$A$2:$A$20000,$A84,元データ!$D$2:$D$20000,$B86,元データ!$B$2:$B$20000,$C$3,元データ!$C$2:$C$20000,F$5)</f>
        <v>239</v>
      </c>
      <c r="G86" s="16">
        <f>SUMIFS(INDEX(元データ!$E$2:$H$20000,0,MATCH($C$2,元データ!$E$1:$H$1,0)),元データ!$A$2:$A$20000,$A84,元データ!$D$2:$D$20000,$B86,元データ!$B$2:$B$20000,$C$3,元データ!$C$2:$C$20000,G$5)</f>
        <v>321</v>
      </c>
      <c r="H86" s="16">
        <f>SUMIFS(INDEX(元データ!$E$2:$H$20000,0,MATCH($C$2,元データ!$E$1:$H$1,0)),元データ!$A$2:$A$20000,$A84,元データ!$D$2:$D$20000,$B86,元データ!$B$2:$B$20000,$C$3,元データ!$C$2:$C$20000,H$5)</f>
        <v>214</v>
      </c>
      <c r="I86" s="16">
        <f>SUMIFS(INDEX(元データ!$E$2:$H$20000,0,MATCH($C$2,元データ!$E$1:$H$1,0)),元データ!$A$2:$A$20000,$A84,元データ!$D$2:$D$20000,$B86,元データ!$B$2:$B$20000,$C$3,元データ!$C$2:$C$20000,I$5)</f>
        <v>200</v>
      </c>
      <c r="J86" s="16">
        <f>SUMIFS(INDEX(元データ!$E$2:$H$20000,0,MATCH($C$2,元データ!$E$1:$H$1,0)),元データ!$A$2:$A$20000,$A84,元データ!$D$2:$D$20000,$B86,元データ!$B$2:$B$20000,$C$3,元データ!$C$2:$C$20000,J$5)</f>
        <v>307</v>
      </c>
      <c r="K86" s="16">
        <f>SUMIFS(INDEX(元データ!$E$2:$H$20000,0,MATCH($C$2,元データ!$E$1:$H$1,0)),元データ!$A$2:$A$20000,$A84,元データ!$D$2:$D$20000,$B86,元データ!$B$2:$B$20000,$C$3,元データ!$C$2:$C$20000,K$5)</f>
        <v>415</v>
      </c>
      <c r="L86" s="16">
        <f>SUMIFS(INDEX(元データ!$E$2:$H$20000,0,MATCH($C$2,元データ!$E$1:$H$1,0)),元データ!$A$2:$A$20000,$A84,元データ!$D$2:$D$20000,$B86,元データ!$B$2:$B$20000,$C$3,元データ!$C$2:$C$20000,L$5)</f>
        <v>314</v>
      </c>
      <c r="M86" s="16">
        <f>SUMIFS(INDEX(元データ!$E$2:$H$20000,0,MATCH($C$2,元データ!$E$1:$H$1,0)),元データ!$A$2:$A$20000,$A84,元データ!$D$2:$D$20000,$B86,元データ!$B$2:$B$20000,$C$3,元データ!$C$2:$C$20000,M$5)</f>
        <v>242</v>
      </c>
      <c r="N86" s="16">
        <f>SUMIFS(INDEX(元データ!$E$2:$H$20000,0,MATCH($C$2,元データ!$E$1:$H$1,0)),元データ!$A$2:$A$20000,$A84,元データ!$D$2:$D$20000,$B86,元データ!$B$2:$B$20000,$C$3,元データ!$C$2:$C$20000,N$5)</f>
        <v>240</v>
      </c>
      <c r="O86" s="17">
        <f t="shared" si="4"/>
        <v>3168</v>
      </c>
      <c r="P86" s="17">
        <f>SUMIFS(INDEX(元データ!$E$2:$H$20000,0,MATCH($C$2,元データ!$E$1:$H$1,0)),元データ!$A$2:$A$20000,$A84,元データ!$D$2:$D$20000,$B86,元データ!$B$2:$B$20000,$D$3)</f>
        <v>3311</v>
      </c>
      <c r="Q86" s="25">
        <f t="shared" si="5"/>
        <v>0.95681063122923593</v>
      </c>
    </row>
    <row r="87" spans="1:17" x14ac:dyDescent="0.45">
      <c r="A87" s="14" t="str">
        <f>店舗マスタ!A29</f>
        <v>中土狩店</v>
      </c>
      <c r="B87" s="15" t="s">
        <v>27</v>
      </c>
      <c r="C87" s="16">
        <f>SUMIFS(INDEX(元データ!$E$2:$H$20000,0,MATCH($C$2,元データ!$E$1:$H$1,0)),元データ!$A$2:$A$20000,$A87,元データ!$D$2:$D$20000,$B87,元データ!$B$2:$B$20000,$C$3,元データ!$C$2:$C$20000,C$5)</f>
        <v>1096</v>
      </c>
      <c r="D87" s="16">
        <f>SUMIFS(INDEX(元データ!$E$2:$H$20000,0,MATCH($C$2,元データ!$E$1:$H$1,0)),元データ!$A$2:$A$20000,$A87,元データ!$D$2:$D$20000,$B87,元データ!$B$2:$B$20000,$C$3,元データ!$C$2:$C$20000,D$5)</f>
        <v>1450</v>
      </c>
      <c r="E87" s="16">
        <f>SUMIFS(INDEX(元データ!$E$2:$H$20000,0,MATCH($C$2,元データ!$E$1:$H$1,0)),元データ!$A$2:$A$20000,$A87,元データ!$D$2:$D$20000,$B87,元データ!$B$2:$B$20000,$C$3,元データ!$C$2:$C$20000,E$5)</f>
        <v>1719</v>
      </c>
      <c r="F87" s="16">
        <f>SUMIFS(INDEX(元データ!$E$2:$H$20000,0,MATCH($C$2,元データ!$E$1:$H$1,0)),元データ!$A$2:$A$20000,$A87,元データ!$D$2:$D$20000,$B87,元データ!$B$2:$B$20000,$C$3,元データ!$C$2:$C$20000,F$5)</f>
        <v>1641</v>
      </c>
      <c r="G87" s="16">
        <f>SUMIFS(INDEX(元データ!$E$2:$H$20000,0,MATCH($C$2,元データ!$E$1:$H$1,0)),元データ!$A$2:$A$20000,$A87,元データ!$D$2:$D$20000,$B87,元データ!$B$2:$B$20000,$C$3,元データ!$C$2:$C$20000,G$5)</f>
        <v>1644</v>
      </c>
      <c r="H87" s="16">
        <f>SUMIFS(INDEX(元データ!$E$2:$H$20000,0,MATCH($C$2,元データ!$E$1:$H$1,0)),元データ!$A$2:$A$20000,$A87,元データ!$D$2:$D$20000,$B87,元データ!$B$2:$B$20000,$C$3,元データ!$C$2:$C$20000,H$5)</f>
        <v>1221</v>
      </c>
      <c r="I87" s="16">
        <f>SUMIFS(INDEX(元データ!$E$2:$H$20000,0,MATCH($C$2,元データ!$E$1:$H$1,0)),元データ!$A$2:$A$20000,$A87,元データ!$D$2:$D$20000,$B87,元データ!$B$2:$B$20000,$C$3,元データ!$C$2:$C$20000,I$5)</f>
        <v>1215</v>
      </c>
      <c r="J87" s="16">
        <f>SUMIFS(INDEX(元データ!$E$2:$H$20000,0,MATCH($C$2,元データ!$E$1:$H$1,0)),元データ!$A$2:$A$20000,$A87,元データ!$D$2:$D$20000,$B87,元データ!$B$2:$B$20000,$C$3,元データ!$C$2:$C$20000,J$5)</f>
        <v>1578</v>
      </c>
      <c r="K87" s="16">
        <f>SUMIFS(INDEX(元データ!$E$2:$H$20000,0,MATCH($C$2,元データ!$E$1:$H$1,0)),元データ!$A$2:$A$20000,$A87,元データ!$D$2:$D$20000,$B87,元データ!$B$2:$B$20000,$C$3,元データ!$C$2:$C$20000,K$5)</f>
        <v>1596</v>
      </c>
      <c r="L87" s="16">
        <f>SUMIFS(INDEX(元データ!$E$2:$H$20000,0,MATCH($C$2,元データ!$E$1:$H$1,0)),元データ!$A$2:$A$20000,$A87,元データ!$D$2:$D$20000,$B87,元データ!$B$2:$B$20000,$C$3,元データ!$C$2:$C$20000,L$5)</f>
        <v>1311</v>
      </c>
      <c r="M87" s="16">
        <f>SUMIFS(INDEX(元データ!$E$2:$H$20000,0,MATCH($C$2,元データ!$E$1:$H$1,0)),元データ!$A$2:$A$20000,$A87,元データ!$D$2:$D$20000,$B87,元データ!$B$2:$B$20000,$C$3,元データ!$C$2:$C$20000,M$5)</f>
        <v>1645</v>
      </c>
      <c r="N87" s="16">
        <f>SUMIFS(INDEX(元データ!$E$2:$H$20000,0,MATCH($C$2,元データ!$E$1:$H$1,0)),元データ!$A$2:$A$20000,$A87,元データ!$D$2:$D$20000,$B87,元データ!$B$2:$B$20000,$C$3,元データ!$C$2:$C$20000,N$5)</f>
        <v>1319</v>
      </c>
      <c r="O87" s="17">
        <f t="shared" si="4"/>
        <v>17435</v>
      </c>
      <c r="P87" s="17">
        <f>SUMIFS(INDEX(元データ!$E$2:$H$20000,0,MATCH($C$2,元データ!$E$1:$H$1,0)),元データ!$A$2:$A$20000,$A87,元データ!$D$2:$D$20000,$B87,元データ!$B$2:$B$20000,$D$3)</f>
        <v>17752</v>
      </c>
      <c r="Q87" s="25">
        <f t="shared" si="5"/>
        <v>0.9821428571428571</v>
      </c>
    </row>
    <row r="88" spans="1:17" x14ac:dyDescent="0.45">
      <c r="A88" s="14"/>
      <c r="B88" s="15" t="s">
        <v>28</v>
      </c>
      <c r="C88" s="16">
        <f>SUMIFS(INDEX(元データ!$E$2:$H$20000,0,MATCH($C$2,元データ!$E$1:$H$1,0)),元データ!$A$2:$A$20000,$A87,元データ!$D$2:$D$20000,$B88,元データ!$B$2:$B$20000,$C$3,元データ!$C$2:$C$20000,C$5)</f>
        <v>724</v>
      </c>
      <c r="D88" s="16">
        <f>SUMIFS(INDEX(元データ!$E$2:$H$20000,0,MATCH($C$2,元データ!$E$1:$H$1,0)),元データ!$A$2:$A$20000,$A87,元データ!$D$2:$D$20000,$B88,元データ!$B$2:$B$20000,$C$3,元データ!$C$2:$C$20000,D$5)</f>
        <v>700</v>
      </c>
      <c r="E88" s="16">
        <f>SUMIFS(INDEX(元データ!$E$2:$H$20000,0,MATCH($C$2,元データ!$E$1:$H$1,0)),元データ!$A$2:$A$20000,$A87,元データ!$D$2:$D$20000,$B88,元データ!$B$2:$B$20000,$C$3,元データ!$C$2:$C$20000,E$5)</f>
        <v>956</v>
      </c>
      <c r="F88" s="16">
        <f>SUMIFS(INDEX(元データ!$E$2:$H$20000,0,MATCH($C$2,元データ!$E$1:$H$1,0)),元データ!$A$2:$A$20000,$A87,元データ!$D$2:$D$20000,$B88,元データ!$B$2:$B$20000,$C$3,元データ!$C$2:$C$20000,F$5)</f>
        <v>886</v>
      </c>
      <c r="G88" s="16">
        <f>SUMIFS(INDEX(元データ!$E$2:$H$20000,0,MATCH($C$2,元データ!$E$1:$H$1,0)),元データ!$A$2:$A$20000,$A87,元データ!$D$2:$D$20000,$B88,元データ!$B$2:$B$20000,$C$3,元データ!$C$2:$C$20000,G$5)</f>
        <v>950</v>
      </c>
      <c r="H88" s="16">
        <f>SUMIFS(INDEX(元データ!$E$2:$H$20000,0,MATCH($C$2,元データ!$E$1:$H$1,0)),元データ!$A$2:$A$20000,$A87,元データ!$D$2:$D$20000,$B88,元データ!$B$2:$B$20000,$C$3,元データ!$C$2:$C$20000,H$5)</f>
        <v>625</v>
      </c>
      <c r="I88" s="16">
        <f>SUMIFS(INDEX(元データ!$E$2:$H$20000,0,MATCH($C$2,元データ!$E$1:$H$1,0)),元データ!$A$2:$A$20000,$A87,元データ!$D$2:$D$20000,$B88,元データ!$B$2:$B$20000,$C$3,元データ!$C$2:$C$20000,I$5)</f>
        <v>546</v>
      </c>
      <c r="J88" s="16">
        <f>SUMIFS(INDEX(元データ!$E$2:$H$20000,0,MATCH($C$2,元データ!$E$1:$H$1,0)),元データ!$A$2:$A$20000,$A87,元データ!$D$2:$D$20000,$B88,元データ!$B$2:$B$20000,$C$3,元データ!$C$2:$C$20000,J$5)</f>
        <v>936</v>
      </c>
      <c r="K88" s="16">
        <f>SUMIFS(INDEX(元データ!$E$2:$H$20000,0,MATCH($C$2,元データ!$E$1:$H$1,0)),元データ!$A$2:$A$20000,$A87,元データ!$D$2:$D$20000,$B88,元データ!$B$2:$B$20000,$C$3,元データ!$C$2:$C$20000,K$5)</f>
        <v>1170</v>
      </c>
      <c r="L88" s="16">
        <f>SUMIFS(INDEX(元データ!$E$2:$H$20000,0,MATCH($C$2,元データ!$E$1:$H$1,0)),元データ!$A$2:$A$20000,$A87,元データ!$D$2:$D$20000,$B88,元データ!$B$2:$B$20000,$C$3,元データ!$C$2:$C$20000,L$5)</f>
        <v>803</v>
      </c>
      <c r="M88" s="16">
        <f>SUMIFS(INDEX(元データ!$E$2:$H$20000,0,MATCH($C$2,元データ!$E$1:$H$1,0)),元データ!$A$2:$A$20000,$A87,元データ!$D$2:$D$20000,$B88,元データ!$B$2:$B$20000,$C$3,元データ!$C$2:$C$20000,M$5)</f>
        <v>938</v>
      </c>
      <c r="N88" s="16">
        <f>SUMIFS(INDEX(元データ!$E$2:$H$20000,0,MATCH($C$2,元データ!$E$1:$H$1,0)),元データ!$A$2:$A$20000,$A87,元データ!$D$2:$D$20000,$B88,元データ!$B$2:$B$20000,$C$3,元データ!$C$2:$C$20000,N$5)</f>
        <v>763</v>
      </c>
      <c r="O88" s="17">
        <f t="shared" si="4"/>
        <v>9997</v>
      </c>
      <c r="P88" s="17">
        <f>SUMIFS(INDEX(元データ!$E$2:$H$20000,0,MATCH($C$2,元データ!$E$1:$H$1,0)),元データ!$A$2:$A$20000,$A87,元データ!$D$2:$D$20000,$B88,元データ!$B$2:$B$20000,$D$3)</f>
        <v>9311</v>
      </c>
      <c r="Q88" s="25">
        <f t="shared" si="5"/>
        <v>1.0736762968531843</v>
      </c>
    </row>
    <row r="89" spans="1:17" x14ac:dyDescent="0.45">
      <c r="A89" s="14"/>
      <c r="B89" s="15" t="s">
        <v>29</v>
      </c>
      <c r="C89" s="16">
        <f>SUMIFS(INDEX(元データ!$E$2:$H$20000,0,MATCH($C$2,元データ!$E$1:$H$1,0)),元データ!$A$2:$A$20000,$A87,元データ!$D$2:$D$20000,$B89,元データ!$B$2:$B$20000,$C$3,元データ!$C$2:$C$20000,C$5)</f>
        <v>368</v>
      </c>
      <c r="D89" s="16">
        <f>SUMIFS(INDEX(元データ!$E$2:$H$20000,0,MATCH($C$2,元データ!$E$1:$H$1,0)),元データ!$A$2:$A$20000,$A87,元データ!$D$2:$D$20000,$B89,元データ!$B$2:$B$20000,$C$3,元データ!$C$2:$C$20000,D$5)</f>
        <v>411</v>
      </c>
      <c r="E89" s="16">
        <f>SUMIFS(INDEX(元データ!$E$2:$H$20000,0,MATCH($C$2,元データ!$E$1:$H$1,0)),元データ!$A$2:$A$20000,$A87,元データ!$D$2:$D$20000,$B89,元データ!$B$2:$B$20000,$C$3,元データ!$C$2:$C$20000,E$5)</f>
        <v>649</v>
      </c>
      <c r="F89" s="16">
        <f>SUMIFS(INDEX(元データ!$E$2:$H$20000,0,MATCH($C$2,元データ!$E$1:$H$1,0)),元データ!$A$2:$A$20000,$A87,元データ!$D$2:$D$20000,$B89,元データ!$B$2:$B$20000,$C$3,元データ!$C$2:$C$20000,F$5)</f>
        <v>691</v>
      </c>
      <c r="G89" s="16">
        <f>SUMIFS(INDEX(元データ!$E$2:$H$20000,0,MATCH($C$2,元データ!$E$1:$H$1,0)),元データ!$A$2:$A$20000,$A87,元データ!$D$2:$D$20000,$B89,元データ!$B$2:$B$20000,$C$3,元データ!$C$2:$C$20000,G$5)</f>
        <v>738</v>
      </c>
      <c r="H89" s="16">
        <f>SUMIFS(INDEX(元データ!$E$2:$H$20000,0,MATCH($C$2,元データ!$E$1:$H$1,0)),元データ!$A$2:$A$20000,$A87,元データ!$D$2:$D$20000,$B89,元データ!$B$2:$B$20000,$C$3,元データ!$C$2:$C$20000,H$5)</f>
        <v>503</v>
      </c>
      <c r="I89" s="16">
        <f>SUMIFS(INDEX(元データ!$E$2:$H$20000,0,MATCH($C$2,元データ!$E$1:$H$1,0)),元データ!$A$2:$A$20000,$A87,元データ!$D$2:$D$20000,$B89,元データ!$B$2:$B$20000,$C$3,元データ!$C$2:$C$20000,I$5)</f>
        <v>404</v>
      </c>
      <c r="J89" s="16">
        <f>SUMIFS(INDEX(元データ!$E$2:$H$20000,0,MATCH($C$2,元データ!$E$1:$H$1,0)),元データ!$A$2:$A$20000,$A87,元データ!$D$2:$D$20000,$B89,元データ!$B$2:$B$20000,$C$3,元データ!$C$2:$C$20000,J$5)</f>
        <v>893</v>
      </c>
      <c r="K89" s="16">
        <f>SUMIFS(INDEX(元データ!$E$2:$H$20000,0,MATCH($C$2,元データ!$E$1:$H$1,0)),元データ!$A$2:$A$20000,$A87,元データ!$D$2:$D$20000,$B89,元データ!$B$2:$B$20000,$C$3,元データ!$C$2:$C$20000,K$5)</f>
        <v>1093</v>
      </c>
      <c r="L89" s="16">
        <f>SUMIFS(INDEX(元データ!$E$2:$H$20000,0,MATCH($C$2,元データ!$E$1:$H$1,0)),元データ!$A$2:$A$20000,$A87,元データ!$D$2:$D$20000,$B89,元データ!$B$2:$B$20000,$C$3,元データ!$C$2:$C$20000,L$5)</f>
        <v>743</v>
      </c>
      <c r="M89" s="16">
        <f>SUMIFS(INDEX(元データ!$E$2:$H$20000,0,MATCH($C$2,元データ!$E$1:$H$1,0)),元データ!$A$2:$A$20000,$A87,元データ!$D$2:$D$20000,$B89,元データ!$B$2:$B$20000,$C$3,元データ!$C$2:$C$20000,M$5)</f>
        <v>738</v>
      </c>
      <c r="N89" s="16">
        <f>SUMIFS(INDEX(元データ!$E$2:$H$20000,0,MATCH($C$2,元データ!$E$1:$H$1,0)),元データ!$A$2:$A$20000,$A87,元データ!$D$2:$D$20000,$B89,元データ!$B$2:$B$20000,$C$3,元データ!$C$2:$C$20000,N$5)</f>
        <v>539</v>
      </c>
      <c r="O89" s="17">
        <f t="shared" si="4"/>
        <v>7770</v>
      </c>
      <c r="P89" s="17">
        <f>SUMIFS(INDEX(元データ!$E$2:$H$20000,0,MATCH($C$2,元データ!$E$1:$H$1,0)),元データ!$A$2:$A$20000,$A87,元データ!$D$2:$D$20000,$B89,元データ!$B$2:$B$20000,$D$3)</f>
        <v>7163</v>
      </c>
      <c r="Q89" s="25">
        <f t="shared" si="5"/>
        <v>1.0847410302945693</v>
      </c>
    </row>
    <row r="90" spans="1:17" x14ac:dyDescent="0.45">
      <c r="A90" s="14" t="str">
        <f>店舗マスタ!A30</f>
        <v>萩原店</v>
      </c>
      <c r="B90" s="15" t="s">
        <v>27</v>
      </c>
      <c r="C90" s="16">
        <f>SUMIFS(INDEX(元データ!$E$2:$H$20000,0,MATCH($C$2,元データ!$E$1:$H$1,0)),元データ!$A$2:$A$20000,$A90,元データ!$D$2:$D$20000,$B90,元データ!$B$2:$B$20000,$C$3,元データ!$C$2:$C$20000,C$5)</f>
        <v>608</v>
      </c>
      <c r="D90" s="16">
        <f>SUMIFS(INDEX(元データ!$E$2:$H$20000,0,MATCH($C$2,元データ!$E$1:$H$1,0)),元データ!$A$2:$A$20000,$A90,元データ!$D$2:$D$20000,$B90,元データ!$B$2:$B$20000,$C$3,元データ!$C$2:$C$20000,D$5)</f>
        <v>708</v>
      </c>
      <c r="E90" s="16">
        <f>SUMIFS(INDEX(元データ!$E$2:$H$20000,0,MATCH($C$2,元データ!$E$1:$H$1,0)),元データ!$A$2:$A$20000,$A90,元データ!$D$2:$D$20000,$B90,元データ!$B$2:$B$20000,$C$3,元データ!$C$2:$C$20000,E$5)</f>
        <v>1114</v>
      </c>
      <c r="F90" s="16">
        <f>SUMIFS(INDEX(元データ!$E$2:$H$20000,0,MATCH($C$2,元データ!$E$1:$H$1,0)),元データ!$A$2:$A$20000,$A90,元データ!$D$2:$D$20000,$B90,元データ!$B$2:$B$20000,$C$3,元データ!$C$2:$C$20000,F$5)</f>
        <v>958</v>
      </c>
      <c r="G90" s="16">
        <f>SUMIFS(INDEX(元データ!$E$2:$H$20000,0,MATCH($C$2,元データ!$E$1:$H$1,0)),元データ!$A$2:$A$20000,$A90,元データ!$D$2:$D$20000,$B90,元データ!$B$2:$B$20000,$C$3,元データ!$C$2:$C$20000,G$5)</f>
        <v>1008</v>
      </c>
      <c r="H90" s="16">
        <f>SUMIFS(INDEX(元データ!$E$2:$H$20000,0,MATCH($C$2,元データ!$E$1:$H$1,0)),元データ!$A$2:$A$20000,$A90,元データ!$D$2:$D$20000,$B90,元データ!$B$2:$B$20000,$C$3,元データ!$C$2:$C$20000,H$5)</f>
        <v>685</v>
      </c>
      <c r="I90" s="16">
        <f>SUMIFS(INDEX(元データ!$E$2:$H$20000,0,MATCH($C$2,元データ!$E$1:$H$1,0)),元データ!$A$2:$A$20000,$A90,元データ!$D$2:$D$20000,$B90,元データ!$B$2:$B$20000,$C$3,元データ!$C$2:$C$20000,I$5)</f>
        <v>718</v>
      </c>
      <c r="J90" s="16">
        <f>SUMIFS(INDEX(元データ!$E$2:$H$20000,0,MATCH($C$2,元データ!$E$1:$H$1,0)),元データ!$A$2:$A$20000,$A90,元データ!$D$2:$D$20000,$B90,元データ!$B$2:$B$20000,$C$3,元データ!$C$2:$C$20000,J$5)</f>
        <v>912</v>
      </c>
      <c r="K90" s="16">
        <f>SUMIFS(INDEX(元データ!$E$2:$H$20000,0,MATCH($C$2,元データ!$E$1:$H$1,0)),元データ!$A$2:$A$20000,$A90,元データ!$D$2:$D$20000,$B90,元データ!$B$2:$B$20000,$C$3,元データ!$C$2:$C$20000,K$5)</f>
        <v>873</v>
      </c>
      <c r="L90" s="16">
        <f>SUMIFS(INDEX(元データ!$E$2:$H$20000,0,MATCH($C$2,元データ!$E$1:$H$1,0)),元データ!$A$2:$A$20000,$A90,元データ!$D$2:$D$20000,$B90,元データ!$B$2:$B$20000,$C$3,元データ!$C$2:$C$20000,L$5)</f>
        <v>751</v>
      </c>
      <c r="M90" s="16">
        <f>SUMIFS(INDEX(元データ!$E$2:$H$20000,0,MATCH($C$2,元データ!$E$1:$H$1,0)),元データ!$A$2:$A$20000,$A90,元データ!$D$2:$D$20000,$B90,元データ!$B$2:$B$20000,$C$3,元データ!$C$2:$C$20000,M$5)</f>
        <v>818</v>
      </c>
      <c r="N90" s="16">
        <f>SUMIFS(INDEX(元データ!$E$2:$H$20000,0,MATCH($C$2,元データ!$E$1:$H$1,0)),元データ!$A$2:$A$20000,$A90,元データ!$D$2:$D$20000,$B90,元データ!$B$2:$B$20000,$C$3,元データ!$C$2:$C$20000,N$5)</f>
        <v>746</v>
      </c>
      <c r="O90" s="17">
        <f t="shared" si="4"/>
        <v>9899</v>
      </c>
      <c r="P90" s="17">
        <f>SUMIFS(INDEX(元データ!$E$2:$H$20000,0,MATCH($C$2,元データ!$E$1:$H$1,0)),元データ!$A$2:$A$20000,$A90,元データ!$D$2:$D$20000,$B90,元データ!$B$2:$B$20000,$D$3)</f>
        <v>10094</v>
      </c>
      <c r="Q90" s="25">
        <f t="shared" si="5"/>
        <v>0.98068159302555968</v>
      </c>
    </row>
    <row r="91" spans="1:17" x14ac:dyDescent="0.45">
      <c r="A91" s="14"/>
      <c r="B91" s="15" t="s">
        <v>28</v>
      </c>
      <c r="C91" s="16">
        <f>SUMIFS(INDEX(元データ!$E$2:$H$20000,0,MATCH($C$2,元データ!$E$1:$H$1,0)),元データ!$A$2:$A$20000,$A90,元データ!$D$2:$D$20000,$B91,元データ!$B$2:$B$20000,$C$3,元データ!$C$2:$C$20000,C$5)</f>
        <v>452</v>
      </c>
      <c r="D91" s="16">
        <f>SUMIFS(INDEX(元データ!$E$2:$H$20000,0,MATCH($C$2,元データ!$E$1:$H$1,0)),元データ!$A$2:$A$20000,$A90,元データ!$D$2:$D$20000,$B91,元データ!$B$2:$B$20000,$C$3,元データ!$C$2:$C$20000,D$5)</f>
        <v>440</v>
      </c>
      <c r="E91" s="16">
        <f>SUMIFS(INDEX(元データ!$E$2:$H$20000,0,MATCH($C$2,元データ!$E$1:$H$1,0)),元データ!$A$2:$A$20000,$A90,元データ!$D$2:$D$20000,$B91,元データ!$B$2:$B$20000,$C$3,元データ!$C$2:$C$20000,E$5)</f>
        <v>690</v>
      </c>
      <c r="F91" s="16">
        <f>SUMIFS(INDEX(元データ!$E$2:$H$20000,0,MATCH($C$2,元データ!$E$1:$H$1,0)),元データ!$A$2:$A$20000,$A90,元データ!$D$2:$D$20000,$B91,元データ!$B$2:$B$20000,$C$3,元データ!$C$2:$C$20000,F$5)</f>
        <v>547</v>
      </c>
      <c r="G91" s="16">
        <f>SUMIFS(INDEX(元データ!$E$2:$H$20000,0,MATCH($C$2,元データ!$E$1:$H$1,0)),元データ!$A$2:$A$20000,$A90,元データ!$D$2:$D$20000,$B91,元データ!$B$2:$B$20000,$C$3,元データ!$C$2:$C$20000,G$5)</f>
        <v>507</v>
      </c>
      <c r="H91" s="16">
        <f>SUMIFS(INDEX(元データ!$E$2:$H$20000,0,MATCH($C$2,元データ!$E$1:$H$1,0)),元データ!$A$2:$A$20000,$A90,元データ!$D$2:$D$20000,$B91,元データ!$B$2:$B$20000,$C$3,元データ!$C$2:$C$20000,H$5)</f>
        <v>414</v>
      </c>
      <c r="I91" s="16">
        <f>SUMIFS(INDEX(元データ!$E$2:$H$20000,0,MATCH($C$2,元データ!$E$1:$H$1,0)),元データ!$A$2:$A$20000,$A90,元データ!$D$2:$D$20000,$B91,元データ!$B$2:$B$20000,$C$3,元データ!$C$2:$C$20000,I$5)</f>
        <v>335</v>
      </c>
      <c r="J91" s="16">
        <f>SUMIFS(INDEX(元データ!$E$2:$H$20000,0,MATCH($C$2,元データ!$E$1:$H$1,0)),元データ!$A$2:$A$20000,$A90,元データ!$D$2:$D$20000,$B91,元データ!$B$2:$B$20000,$C$3,元データ!$C$2:$C$20000,J$5)</f>
        <v>577</v>
      </c>
      <c r="K91" s="16">
        <f>SUMIFS(INDEX(元データ!$E$2:$H$20000,0,MATCH($C$2,元データ!$E$1:$H$1,0)),元データ!$A$2:$A$20000,$A90,元データ!$D$2:$D$20000,$B91,元データ!$B$2:$B$20000,$C$3,元データ!$C$2:$C$20000,K$5)</f>
        <v>678</v>
      </c>
      <c r="L91" s="16">
        <f>SUMIFS(INDEX(元データ!$E$2:$H$20000,0,MATCH($C$2,元データ!$E$1:$H$1,0)),元データ!$A$2:$A$20000,$A90,元データ!$D$2:$D$20000,$B91,元データ!$B$2:$B$20000,$C$3,元データ!$C$2:$C$20000,L$5)</f>
        <v>488</v>
      </c>
      <c r="M91" s="16">
        <f>SUMIFS(INDEX(元データ!$E$2:$H$20000,0,MATCH($C$2,元データ!$E$1:$H$1,0)),元データ!$A$2:$A$20000,$A90,元データ!$D$2:$D$20000,$B91,元データ!$B$2:$B$20000,$C$3,元データ!$C$2:$C$20000,M$5)</f>
        <v>548</v>
      </c>
      <c r="N91" s="16">
        <f>SUMIFS(INDEX(元データ!$E$2:$H$20000,0,MATCH($C$2,元データ!$E$1:$H$1,0)),元データ!$A$2:$A$20000,$A90,元データ!$D$2:$D$20000,$B91,元データ!$B$2:$B$20000,$C$3,元データ!$C$2:$C$20000,N$5)</f>
        <v>542</v>
      </c>
      <c r="O91" s="17">
        <f t="shared" si="4"/>
        <v>6218</v>
      </c>
      <c r="P91" s="17">
        <f>SUMIFS(INDEX(元データ!$E$2:$H$20000,0,MATCH($C$2,元データ!$E$1:$H$1,0)),元データ!$A$2:$A$20000,$A90,元データ!$D$2:$D$20000,$B91,元データ!$B$2:$B$20000,$D$3)</f>
        <v>6287</v>
      </c>
      <c r="Q91" s="25">
        <f t="shared" si="5"/>
        <v>0.98902497216478447</v>
      </c>
    </row>
    <row r="92" spans="1:17" x14ac:dyDescent="0.45">
      <c r="A92" s="14"/>
      <c r="B92" s="15" t="s">
        <v>29</v>
      </c>
      <c r="C92" s="16">
        <f>SUMIFS(INDEX(元データ!$E$2:$H$20000,0,MATCH($C$2,元データ!$E$1:$H$1,0)),元データ!$A$2:$A$20000,$A90,元データ!$D$2:$D$20000,$B92,元データ!$B$2:$B$20000,$C$3,元データ!$C$2:$C$20000,C$5)</f>
        <v>284</v>
      </c>
      <c r="D92" s="16">
        <f>SUMIFS(INDEX(元データ!$E$2:$H$20000,0,MATCH($C$2,元データ!$E$1:$H$1,0)),元データ!$A$2:$A$20000,$A90,元データ!$D$2:$D$20000,$B92,元データ!$B$2:$B$20000,$C$3,元データ!$C$2:$C$20000,D$5)</f>
        <v>314</v>
      </c>
      <c r="E92" s="16">
        <f>SUMIFS(INDEX(元データ!$E$2:$H$20000,0,MATCH($C$2,元データ!$E$1:$H$1,0)),元データ!$A$2:$A$20000,$A90,元データ!$D$2:$D$20000,$B92,元データ!$B$2:$B$20000,$C$3,元データ!$C$2:$C$20000,E$5)</f>
        <v>538</v>
      </c>
      <c r="F92" s="16">
        <f>SUMIFS(INDEX(元データ!$E$2:$H$20000,0,MATCH($C$2,元データ!$E$1:$H$1,0)),元データ!$A$2:$A$20000,$A90,元データ!$D$2:$D$20000,$B92,元データ!$B$2:$B$20000,$C$3,元データ!$C$2:$C$20000,F$5)</f>
        <v>465</v>
      </c>
      <c r="G92" s="16">
        <f>SUMIFS(INDEX(元データ!$E$2:$H$20000,0,MATCH($C$2,元データ!$E$1:$H$1,0)),元データ!$A$2:$A$20000,$A90,元データ!$D$2:$D$20000,$B92,元データ!$B$2:$B$20000,$C$3,元データ!$C$2:$C$20000,G$5)</f>
        <v>373</v>
      </c>
      <c r="H92" s="16">
        <f>SUMIFS(INDEX(元データ!$E$2:$H$20000,0,MATCH($C$2,元データ!$E$1:$H$1,0)),元データ!$A$2:$A$20000,$A90,元データ!$D$2:$D$20000,$B92,元データ!$B$2:$B$20000,$C$3,元データ!$C$2:$C$20000,H$5)</f>
        <v>337</v>
      </c>
      <c r="I92" s="16">
        <f>SUMIFS(INDEX(元データ!$E$2:$H$20000,0,MATCH($C$2,元データ!$E$1:$H$1,0)),元データ!$A$2:$A$20000,$A90,元データ!$D$2:$D$20000,$B92,元データ!$B$2:$B$20000,$C$3,元データ!$C$2:$C$20000,I$5)</f>
        <v>259</v>
      </c>
      <c r="J92" s="16">
        <f>SUMIFS(INDEX(元データ!$E$2:$H$20000,0,MATCH($C$2,元データ!$E$1:$H$1,0)),元データ!$A$2:$A$20000,$A90,元データ!$D$2:$D$20000,$B92,元データ!$B$2:$B$20000,$C$3,元データ!$C$2:$C$20000,J$5)</f>
        <v>568</v>
      </c>
      <c r="K92" s="16">
        <f>SUMIFS(INDEX(元データ!$E$2:$H$20000,0,MATCH($C$2,元データ!$E$1:$H$1,0)),元データ!$A$2:$A$20000,$A90,元データ!$D$2:$D$20000,$B92,元データ!$B$2:$B$20000,$C$3,元データ!$C$2:$C$20000,K$5)</f>
        <v>644</v>
      </c>
      <c r="L92" s="16">
        <f>SUMIFS(INDEX(元データ!$E$2:$H$20000,0,MATCH($C$2,元データ!$E$1:$H$1,0)),元データ!$A$2:$A$20000,$A90,元データ!$D$2:$D$20000,$B92,元データ!$B$2:$B$20000,$C$3,元データ!$C$2:$C$20000,L$5)</f>
        <v>434</v>
      </c>
      <c r="M92" s="16">
        <f>SUMIFS(INDEX(元データ!$E$2:$H$20000,0,MATCH($C$2,元データ!$E$1:$H$1,0)),元データ!$A$2:$A$20000,$A90,元データ!$D$2:$D$20000,$B92,元データ!$B$2:$B$20000,$C$3,元データ!$C$2:$C$20000,M$5)</f>
        <v>443</v>
      </c>
      <c r="N92" s="16">
        <f>SUMIFS(INDEX(元データ!$E$2:$H$20000,0,MATCH($C$2,元データ!$E$1:$H$1,0)),元データ!$A$2:$A$20000,$A90,元データ!$D$2:$D$20000,$B92,元データ!$B$2:$B$20000,$C$3,元データ!$C$2:$C$20000,N$5)</f>
        <v>416</v>
      </c>
      <c r="O92" s="17">
        <f t="shared" si="4"/>
        <v>5075</v>
      </c>
      <c r="P92" s="17">
        <f>SUMIFS(INDEX(元データ!$E$2:$H$20000,0,MATCH($C$2,元データ!$E$1:$H$1,0)),元データ!$A$2:$A$20000,$A90,元データ!$D$2:$D$20000,$B92,元データ!$B$2:$B$20000,$D$3)</f>
        <v>4881</v>
      </c>
      <c r="Q92" s="25">
        <f t="shared" si="5"/>
        <v>1.0397459536980127</v>
      </c>
    </row>
    <row r="93" spans="1:17" x14ac:dyDescent="0.45">
      <c r="A93" s="14" t="str">
        <f>店舗マスタ!A31</f>
        <v>静岡工場店</v>
      </c>
      <c r="B93" s="15" t="s">
        <v>27</v>
      </c>
      <c r="C93" s="16">
        <f>SUMIFS(INDEX(元データ!$E$2:$H$20000,0,MATCH($C$2,元データ!$E$1:$H$1,0)),元データ!$A$2:$A$20000,$A93,元データ!$D$2:$D$20000,$B93,元データ!$B$2:$B$20000,$C$3,元データ!$C$2:$C$20000,C$5)</f>
        <v>225</v>
      </c>
      <c r="D93" s="16">
        <f>SUMIFS(INDEX(元データ!$E$2:$H$20000,0,MATCH($C$2,元データ!$E$1:$H$1,0)),元データ!$A$2:$A$20000,$A93,元データ!$D$2:$D$20000,$B93,元データ!$B$2:$B$20000,$C$3,元データ!$C$2:$C$20000,D$5)</f>
        <v>249</v>
      </c>
      <c r="E93" s="16">
        <f>SUMIFS(INDEX(元データ!$E$2:$H$20000,0,MATCH($C$2,元データ!$E$1:$H$1,0)),元データ!$A$2:$A$20000,$A93,元データ!$D$2:$D$20000,$B93,元データ!$B$2:$B$20000,$C$3,元データ!$C$2:$C$20000,E$5)</f>
        <v>218</v>
      </c>
      <c r="F93" s="16">
        <f>SUMIFS(INDEX(元データ!$E$2:$H$20000,0,MATCH($C$2,元データ!$E$1:$H$1,0)),元データ!$A$2:$A$20000,$A93,元データ!$D$2:$D$20000,$B93,元データ!$B$2:$B$20000,$C$3,元データ!$C$2:$C$20000,F$5)</f>
        <v>259</v>
      </c>
      <c r="G93" s="16">
        <f>SUMIFS(INDEX(元データ!$E$2:$H$20000,0,MATCH($C$2,元データ!$E$1:$H$1,0)),元データ!$A$2:$A$20000,$A93,元データ!$D$2:$D$20000,$B93,元データ!$B$2:$B$20000,$C$3,元データ!$C$2:$C$20000,G$5)</f>
        <v>226</v>
      </c>
      <c r="H93" s="16">
        <f>SUMIFS(INDEX(元データ!$E$2:$H$20000,0,MATCH($C$2,元データ!$E$1:$H$1,0)),元データ!$A$2:$A$20000,$A93,元データ!$D$2:$D$20000,$B93,元データ!$B$2:$B$20000,$C$3,元データ!$C$2:$C$20000,H$5)</f>
        <v>217</v>
      </c>
      <c r="I93" s="16">
        <f>SUMIFS(INDEX(元データ!$E$2:$H$20000,0,MATCH($C$2,元データ!$E$1:$H$1,0)),元データ!$A$2:$A$20000,$A93,元データ!$D$2:$D$20000,$B93,元データ!$B$2:$B$20000,$C$3,元データ!$C$2:$C$20000,I$5)</f>
        <v>170</v>
      </c>
      <c r="J93" s="16">
        <f>SUMIFS(INDEX(元データ!$E$2:$H$20000,0,MATCH($C$2,元データ!$E$1:$H$1,0)),元データ!$A$2:$A$20000,$A93,元データ!$D$2:$D$20000,$B93,元データ!$B$2:$B$20000,$C$3,元データ!$C$2:$C$20000,J$5)</f>
        <v>211</v>
      </c>
      <c r="K93" s="16">
        <f>SUMIFS(INDEX(元データ!$E$2:$H$20000,0,MATCH($C$2,元データ!$E$1:$H$1,0)),元データ!$A$2:$A$20000,$A93,元データ!$D$2:$D$20000,$B93,元データ!$B$2:$B$20000,$C$3,元データ!$C$2:$C$20000,K$5)</f>
        <v>203</v>
      </c>
      <c r="L93" s="16">
        <f>SUMIFS(INDEX(元データ!$E$2:$H$20000,0,MATCH($C$2,元データ!$E$1:$H$1,0)),元データ!$A$2:$A$20000,$A93,元データ!$D$2:$D$20000,$B93,元データ!$B$2:$B$20000,$C$3,元データ!$C$2:$C$20000,L$5)</f>
        <v>159</v>
      </c>
      <c r="M93" s="16">
        <f>SUMIFS(INDEX(元データ!$E$2:$H$20000,0,MATCH($C$2,元データ!$E$1:$H$1,0)),元データ!$A$2:$A$20000,$A93,元データ!$D$2:$D$20000,$B93,元データ!$B$2:$B$20000,$C$3,元データ!$C$2:$C$20000,M$5)</f>
        <v>210</v>
      </c>
      <c r="N93" s="16">
        <f>SUMIFS(INDEX(元データ!$E$2:$H$20000,0,MATCH($C$2,元データ!$E$1:$H$1,0)),元データ!$A$2:$A$20000,$A93,元データ!$D$2:$D$20000,$B93,元データ!$B$2:$B$20000,$C$3,元データ!$C$2:$C$20000,N$5)</f>
        <v>201</v>
      </c>
      <c r="O93" s="17">
        <f t="shared" si="4"/>
        <v>2548</v>
      </c>
      <c r="P93" s="17">
        <f>SUMIFS(INDEX(元データ!$E$2:$H$20000,0,MATCH($C$2,元データ!$E$1:$H$1,0)),元データ!$A$2:$A$20000,$A93,元データ!$D$2:$D$20000,$B93,元データ!$B$2:$B$20000,$D$3)</f>
        <v>2870</v>
      </c>
      <c r="Q93" s="25">
        <f t="shared" si="5"/>
        <v>0.8878048780487805</v>
      </c>
    </row>
    <row r="94" spans="1:17" x14ac:dyDescent="0.45">
      <c r="A94" s="14"/>
      <c r="B94" s="15" t="s">
        <v>28</v>
      </c>
      <c r="C94" s="16">
        <f>SUMIFS(INDEX(元データ!$E$2:$H$20000,0,MATCH($C$2,元データ!$E$1:$H$1,0)),元データ!$A$2:$A$20000,$A93,元データ!$D$2:$D$20000,$B94,元データ!$B$2:$B$20000,$C$3,元データ!$C$2:$C$20000,C$5)</f>
        <v>61</v>
      </c>
      <c r="D94" s="16">
        <f>SUMIFS(INDEX(元データ!$E$2:$H$20000,0,MATCH($C$2,元データ!$E$1:$H$1,0)),元データ!$A$2:$A$20000,$A93,元データ!$D$2:$D$20000,$B94,元データ!$B$2:$B$20000,$C$3,元データ!$C$2:$C$20000,D$5)</f>
        <v>84</v>
      </c>
      <c r="E94" s="16">
        <f>SUMIFS(INDEX(元データ!$E$2:$H$20000,0,MATCH($C$2,元データ!$E$1:$H$1,0)),元データ!$A$2:$A$20000,$A93,元データ!$D$2:$D$20000,$B94,元データ!$B$2:$B$20000,$C$3,元データ!$C$2:$C$20000,E$5)</f>
        <v>88</v>
      </c>
      <c r="F94" s="16">
        <f>SUMIFS(INDEX(元データ!$E$2:$H$20000,0,MATCH($C$2,元データ!$E$1:$H$1,0)),元データ!$A$2:$A$20000,$A93,元データ!$D$2:$D$20000,$B94,元データ!$B$2:$B$20000,$C$3,元データ!$C$2:$C$20000,F$5)</f>
        <v>112</v>
      </c>
      <c r="G94" s="16">
        <f>SUMIFS(INDEX(元データ!$E$2:$H$20000,0,MATCH($C$2,元データ!$E$1:$H$1,0)),元データ!$A$2:$A$20000,$A93,元データ!$D$2:$D$20000,$B94,元データ!$B$2:$B$20000,$C$3,元データ!$C$2:$C$20000,G$5)</f>
        <v>91</v>
      </c>
      <c r="H94" s="16">
        <f>SUMIFS(INDEX(元データ!$E$2:$H$20000,0,MATCH($C$2,元データ!$E$1:$H$1,0)),元データ!$A$2:$A$20000,$A93,元データ!$D$2:$D$20000,$B94,元データ!$B$2:$B$20000,$C$3,元データ!$C$2:$C$20000,H$5)</f>
        <v>70</v>
      </c>
      <c r="I94" s="16">
        <f>SUMIFS(INDEX(元データ!$E$2:$H$20000,0,MATCH($C$2,元データ!$E$1:$H$1,0)),元データ!$A$2:$A$20000,$A93,元データ!$D$2:$D$20000,$B94,元データ!$B$2:$B$20000,$C$3,元データ!$C$2:$C$20000,I$5)</f>
        <v>43</v>
      </c>
      <c r="J94" s="16">
        <f>SUMIFS(INDEX(元データ!$E$2:$H$20000,0,MATCH($C$2,元データ!$E$1:$H$1,0)),元データ!$A$2:$A$20000,$A93,元データ!$D$2:$D$20000,$B94,元データ!$B$2:$B$20000,$C$3,元データ!$C$2:$C$20000,J$5)</f>
        <v>95</v>
      </c>
      <c r="K94" s="16">
        <f>SUMIFS(INDEX(元データ!$E$2:$H$20000,0,MATCH($C$2,元データ!$E$1:$H$1,0)),元データ!$A$2:$A$20000,$A93,元データ!$D$2:$D$20000,$B94,元データ!$B$2:$B$20000,$C$3,元データ!$C$2:$C$20000,K$5)</f>
        <v>81</v>
      </c>
      <c r="L94" s="16">
        <f>SUMIFS(INDEX(元データ!$E$2:$H$20000,0,MATCH($C$2,元データ!$E$1:$H$1,0)),元データ!$A$2:$A$20000,$A93,元データ!$D$2:$D$20000,$B94,元データ!$B$2:$B$20000,$C$3,元データ!$C$2:$C$20000,L$5)</f>
        <v>95</v>
      </c>
      <c r="M94" s="16">
        <f>SUMIFS(INDEX(元データ!$E$2:$H$20000,0,MATCH($C$2,元データ!$E$1:$H$1,0)),元データ!$A$2:$A$20000,$A93,元データ!$D$2:$D$20000,$B94,元データ!$B$2:$B$20000,$C$3,元データ!$C$2:$C$20000,M$5)</f>
        <v>79</v>
      </c>
      <c r="N94" s="16">
        <f>SUMIFS(INDEX(元データ!$E$2:$H$20000,0,MATCH($C$2,元データ!$E$1:$H$1,0)),元データ!$A$2:$A$20000,$A93,元データ!$D$2:$D$20000,$B94,元データ!$B$2:$B$20000,$C$3,元データ!$C$2:$C$20000,N$5)</f>
        <v>92</v>
      </c>
      <c r="O94" s="17">
        <f t="shared" si="4"/>
        <v>991</v>
      </c>
      <c r="P94" s="17">
        <f>SUMIFS(INDEX(元データ!$E$2:$H$20000,0,MATCH($C$2,元データ!$E$1:$H$1,0)),元データ!$A$2:$A$20000,$A93,元データ!$D$2:$D$20000,$B94,元データ!$B$2:$B$20000,$D$3)</f>
        <v>1100</v>
      </c>
      <c r="Q94" s="25">
        <f t="shared" si="5"/>
        <v>0.90090909090909088</v>
      </c>
    </row>
    <row r="95" spans="1:17" x14ac:dyDescent="0.45">
      <c r="A95" s="14"/>
      <c r="B95" s="15" t="s">
        <v>29</v>
      </c>
      <c r="C95" s="16">
        <f>SUMIFS(INDEX(元データ!$E$2:$H$20000,0,MATCH($C$2,元データ!$E$1:$H$1,0)),元データ!$A$2:$A$20000,$A93,元データ!$D$2:$D$20000,$B95,元データ!$B$2:$B$20000,$C$3,元データ!$C$2:$C$20000,C$5)</f>
        <v>44</v>
      </c>
      <c r="D95" s="16">
        <f>SUMIFS(INDEX(元データ!$E$2:$H$20000,0,MATCH($C$2,元データ!$E$1:$H$1,0)),元データ!$A$2:$A$20000,$A93,元データ!$D$2:$D$20000,$B95,元データ!$B$2:$B$20000,$C$3,元データ!$C$2:$C$20000,D$5)</f>
        <v>49</v>
      </c>
      <c r="E95" s="16">
        <f>SUMIFS(INDEX(元データ!$E$2:$H$20000,0,MATCH($C$2,元データ!$E$1:$H$1,0)),元データ!$A$2:$A$20000,$A93,元データ!$D$2:$D$20000,$B95,元データ!$B$2:$B$20000,$C$3,元データ!$C$2:$C$20000,E$5)</f>
        <v>54</v>
      </c>
      <c r="F95" s="16">
        <f>SUMIFS(INDEX(元データ!$E$2:$H$20000,0,MATCH($C$2,元データ!$E$1:$H$1,0)),元データ!$A$2:$A$20000,$A93,元データ!$D$2:$D$20000,$B95,元データ!$B$2:$B$20000,$C$3,元データ!$C$2:$C$20000,F$5)</f>
        <v>74</v>
      </c>
      <c r="G95" s="16">
        <f>SUMIFS(INDEX(元データ!$E$2:$H$20000,0,MATCH($C$2,元データ!$E$1:$H$1,0)),元データ!$A$2:$A$20000,$A93,元データ!$D$2:$D$20000,$B95,元データ!$B$2:$B$20000,$C$3,元データ!$C$2:$C$20000,G$5)</f>
        <v>53</v>
      </c>
      <c r="H95" s="16">
        <f>SUMIFS(INDEX(元データ!$E$2:$H$20000,0,MATCH($C$2,元データ!$E$1:$H$1,0)),元データ!$A$2:$A$20000,$A93,元データ!$D$2:$D$20000,$B95,元データ!$B$2:$B$20000,$C$3,元データ!$C$2:$C$20000,H$5)</f>
        <v>50</v>
      </c>
      <c r="I95" s="16">
        <f>SUMIFS(INDEX(元データ!$E$2:$H$20000,0,MATCH($C$2,元データ!$E$1:$H$1,0)),元データ!$A$2:$A$20000,$A93,元データ!$D$2:$D$20000,$B95,元データ!$B$2:$B$20000,$C$3,元データ!$C$2:$C$20000,I$5)</f>
        <v>30</v>
      </c>
      <c r="J95" s="16">
        <f>SUMIFS(INDEX(元データ!$E$2:$H$20000,0,MATCH($C$2,元データ!$E$1:$H$1,0)),元データ!$A$2:$A$20000,$A93,元データ!$D$2:$D$20000,$B95,元データ!$B$2:$B$20000,$C$3,元データ!$C$2:$C$20000,J$5)</f>
        <v>53</v>
      </c>
      <c r="K95" s="16">
        <f>SUMIFS(INDEX(元データ!$E$2:$H$20000,0,MATCH($C$2,元データ!$E$1:$H$1,0)),元データ!$A$2:$A$20000,$A93,元データ!$D$2:$D$20000,$B95,元データ!$B$2:$B$20000,$C$3,元データ!$C$2:$C$20000,K$5)</f>
        <v>65</v>
      </c>
      <c r="L95" s="16">
        <f>SUMIFS(INDEX(元データ!$E$2:$H$20000,0,MATCH($C$2,元データ!$E$1:$H$1,0)),元データ!$A$2:$A$20000,$A93,元データ!$D$2:$D$20000,$B95,元データ!$B$2:$B$20000,$C$3,元データ!$C$2:$C$20000,L$5)</f>
        <v>86</v>
      </c>
      <c r="M95" s="16">
        <f>SUMIFS(INDEX(元データ!$E$2:$H$20000,0,MATCH($C$2,元データ!$E$1:$H$1,0)),元データ!$A$2:$A$20000,$A93,元データ!$D$2:$D$20000,$B95,元データ!$B$2:$B$20000,$C$3,元データ!$C$2:$C$20000,M$5)</f>
        <v>51</v>
      </c>
      <c r="N95" s="16">
        <f>SUMIFS(INDEX(元データ!$E$2:$H$20000,0,MATCH($C$2,元データ!$E$1:$H$1,0)),元データ!$A$2:$A$20000,$A93,元データ!$D$2:$D$20000,$B95,元データ!$B$2:$B$20000,$C$3,元データ!$C$2:$C$20000,N$5)</f>
        <v>45</v>
      </c>
      <c r="O95" s="17">
        <f t="shared" si="4"/>
        <v>654</v>
      </c>
      <c r="P95" s="17">
        <f>SUMIFS(INDEX(元データ!$E$2:$H$20000,0,MATCH($C$2,元データ!$E$1:$H$1,0)),元データ!$A$2:$A$20000,$A93,元データ!$D$2:$D$20000,$B95,元データ!$B$2:$B$20000,$D$3)</f>
        <v>629</v>
      </c>
      <c r="Q95" s="25">
        <f t="shared" si="5"/>
        <v>1.0397456279809221</v>
      </c>
    </row>
    <row r="96" spans="1:17" x14ac:dyDescent="0.45">
      <c r="A96" s="14" t="str">
        <f>店舗マスタ!A32</f>
        <v>焼津店</v>
      </c>
      <c r="B96" s="15" t="s">
        <v>27</v>
      </c>
      <c r="C96" s="16">
        <f>SUMIFS(INDEX(元データ!$E$2:$H$20000,0,MATCH($C$2,元データ!$E$1:$H$1,0)),元データ!$A$2:$A$20000,$A96,元データ!$D$2:$D$20000,$B96,元データ!$B$2:$B$20000,$C$3,元データ!$C$2:$C$20000,C$5)</f>
        <v>1388</v>
      </c>
      <c r="D96" s="16">
        <f>SUMIFS(INDEX(元データ!$E$2:$H$20000,0,MATCH($C$2,元データ!$E$1:$H$1,0)),元データ!$A$2:$A$20000,$A96,元データ!$D$2:$D$20000,$B96,元データ!$B$2:$B$20000,$C$3,元データ!$C$2:$C$20000,D$5)</f>
        <v>1592</v>
      </c>
      <c r="E96" s="16">
        <f>SUMIFS(INDEX(元データ!$E$2:$H$20000,0,MATCH($C$2,元データ!$E$1:$H$1,0)),元データ!$A$2:$A$20000,$A96,元データ!$D$2:$D$20000,$B96,元データ!$B$2:$B$20000,$C$3,元データ!$C$2:$C$20000,E$5)</f>
        <v>1968</v>
      </c>
      <c r="F96" s="16">
        <f>SUMIFS(INDEX(元データ!$E$2:$H$20000,0,MATCH($C$2,元データ!$E$1:$H$1,0)),元データ!$A$2:$A$20000,$A96,元データ!$D$2:$D$20000,$B96,元データ!$B$2:$B$20000,$C$3,元データ!$C$2:$C$20000,F$5)</f>
        <v>1726</v>
      </c>
      <c r="G96" s="16">
        <f>SUMIFS(INDEX(元データ!$E$2:$H$20000,0,MATCH($C$2,元データ!$E$1:$H$1,0)),元データ!$A$2:$A$20000,$A96,元データ!$D$2:$D$20000,$B96,元データ!$B$2:$B$20000,$C$3,元データ!$C$2:$C$20000,G$5)</f>
        <v>1838</v>
      </c>
      <c r="H96" s="16">
        <f>SUMIFS(INDEX(元データ!$E$2:$H$20000,0,MATCH($C$2,元データ!$E$1:$H$1,0)),元データ!$A$2:$A$20000,$A96,元データ!$D$2:$D$20000,$B96,元データ!$B$2:$B$20000,$C$3,元データ!$C$2:$C$20000,H$5)</f>
        <v>1338</v>
      </c>
      <c r="I96" s="16">
        <f>SUMIFS(INDEX(元データ!$E$2:$H$20000,0,MATCH($C$2,元データ!$E$1:$H$1,0)),元データ!$A$2:$A$20000,$A96,元データ!$D$2:$D$20000,$B96,元データ!$B$2:$B$20000,$C$3,元データ!$C$2:$C$20000,I$5)</f>
        <v>1418</v>
      </c>
      <c r="J96" s="16">
        <f>SUMIFS(INDEX(元データ!$E$2:$H$20000,0,MATCH($C$2,元データ!$E$1:$H$1,0)),元データ!$A$2:$A$20000,$A96,元データ!$D$2:$D$20000,$B96,元データ!$B$2:$B$20000,$C$3,元データ!$C$2:$C$20000,J$5)</f>
        <v>1804</v>
      </c>
      <c r="K96" s="16">
        <f>SUMIFS(INDEX(元データ!$E$2:$H$20000,0,MATCH($C$2,元データ!$E$1:$H$1,0)),元データ!$A$2:$A$20000,$A96,元データ!$D$2:$D$20000,$B96,元データ!$B$2:$B$20000,$C$3,元データ!$C$2:$C$20000,K$5)</f>
        <v>1646</v>
      </c>
      <c r="L96" s="16">
        <f>SUMIFS(INDEX(元データ!$E$2:$H$20000,0,MATCH($C$2,元データ!$E$1:$H$1,0)),元データ!$A$2:$A$20000,$A96,元データ!$D$2:$D$20000,$B96,元データ!$B$2:$B$20000,$C$3,元データ!$C$2:$C$20000,L$5)</f>
        <v>1449</v>
      </c>
      <c r="M96" s="16">
        <f>SUMIFS(INDEX(元データ!$E$2:$H$20000,0,MATCH($C$2,元データ!$E$1:$H$1,0)),元データ!$A$2:$A$20000,$A96,元データ!$D$2:$D$20000,$B96,元データ!$B$2:$B$20000,$C$3,元データ!$C$2:$C$20000,M$5)</f>
        <v>1638</v>
      </c>
      <c r="N96" s="16">
        <f>SUMIFS(INDEX(元データ!$E$2:$H$20000,0,MATCH($C$2,元データ!$E$1:$H$1,0)),元データ!$A$2:$A$20000,$A96,元データ!$D$2:$D$20000,$B96,元データ!$B$2:$B$20000,$C$3,元データ!$C$2:$C$20000,N$5)</f>
        <v>1388</v>
      </c>
      <c r="O96" s="17">
        <f t="shared" si="4"/>
        <v>19193</v>
      </c>
      <c r="P96" s="17">
        <f>SUMIFS(INDEX(元データ!$E$2:$H$20000,0,MATCH($C$2,元データ!$E$1:$H$1,0)),元データ!$A$2:$A$20000,$A96,元データ!$D$2:$D$20000,$B96,元データ!$B$2:$B$20000,$D$3)</f>
        <v>22609</v>
      </c>
      <c r="Q96" s="25">
        <f t="shared" si="5"/>
        <v>0.84890972621522398</v>
      </c>
    </row>
    <row r="97" spans="1:17" x14ac:dyDescent="0.45">
      <c r="A97" s="14"/>
      <c r="B97" s="15" t="s">
        <v>28</v>
      </c>
      <c r="C97" s="16">
        <f>SUMIFS(INDEX(元データ!$E$2:$H$20000,0,MATCH($C$2,元データ!$E$1:$H$1,0)),元データ!$A$2:$A$20000,$A96,元データ!$D$2:$D$20000,$B97,元データ!$B$2:$B$20000,$C$3,元データ!$C$2:$C$20000,C$5)</f>
        <v>714</v>
      </c>
      <c r="D97" s="16">
        <f>SUMIFS(INDEX(元データ!$E$2:$H$20000,0,MATCH($C$2,元データ!$E$1:$H$1,0)),元データ!$A$2:$A$20000,$A96,元データ!$D$2:$D$20000,$B97,元データ!$B$2:$B$20000,$C$3,元データ!$C$2:$C$20000,D$5)</f>
        <v>736</v>
      </c>
      <c r="E97" s="16">
        <f>SUMIFS(INDEX(元データ!$E$2:$H$20000,0,MATCH($C$2,元データ!$E$1:$H$1,0)),元データ!$A$2:$A$20000,$A96,元データ!$D$2:$D$20000,$B97,元データ!$B$2:$B$20000,$C$3,元データ!$C$2:$C$20000,E$5)</f>
        <v>948</v>
      </c>
      <c r="F97" s="16">
        <f>SUMIFS(INDEX(元データ!$E$2:$H$20000,0,MATCH($C$2,元データ!$E$1:$H$1,0)),元データ!$A$2:$A$20000,$A96,元データ!$D$2:$D$20000,$B97,元データ!$B$2:$B$20000,$C$3,元データ!$C$2:$C$20000,F$5)</f>
        <v>816</v>
      </c>
      <c r="G97" s="16">
        <f>SUMIFS(INDEX(元データ!$E$2:$H$20000,0,MATCH($C$2,元データ!$E$1:$H$1,0)),元データ!$A$2:$A$20000,$A96,元データ!$D$2:$D$20000,$B97,元データ!$B$2:$B$20000,$C$3,元データ!$C$2:$C$20000,G$5)</f>
        <v>958</v>
      </c>
      <c r="H97" s="16">
        <f>SUMIFS(INDEX(元データ!$E$2:$H$20000,0,MATCH($C$2,元データ!$E$1:$H$1,0)),元データ!$A$2:$A$20000,$A96,元データ!$D$2:$D$20000,$B97,元データ!$B$2:$B$20000,$C$3,元データ!$C$2:$C$20000,H$5)</f>
        <v>648</v>
      </c>
      <c r="I97" s="16">
        <f>SUMIFS(INDEX(元データ!$E$2:$H$20000,0,MATCH($C$2,元データ!$E$1:$H$1,0)),元データ!$A$2:$A$20000,$A96,元データ!$D$2:$D$20000,$B97,元データ!$B$2:$B$20000,$C$3,元データ!$C$2:$C$20000,I$5)</f>
        <v>551</v>
      </c>
      <c r="J97" s="16">
        <f>SUMIFS(INDEX(元データ!$E$2:$H$20000,0,MATCH($C$2,元データ!$E$1:$H$1,0)),元データ!$A$2:$A$20000,$A96,元データ!$D$2:$D$20000,$B97,元データ!$B$2:$B$20000,$C$3,元データ!$C$2:$C$20000,J$5)</f>
        <v>899</v>
      </c>
      <c r="K97" s="16">
        <f>SUMIFS(INDEX(元データ!$E$2:$H$20000,0,MATCH($C$2,元データ!$E$1:$H$1,0)),元データ!$A$2:$A$20000,$A96,元データ!$D$2:$D$20000,$B97,元データ!$B$2:$B$20000,$C$3,元データ!$C$2:$C$20000,K$5)</f>
        <v>1060</v>
      </c>
      <c r="L97" s="16">
        <f>SUMIFS(INDEX(元データ!$E$2:$H$20000,0,MATCH($C$2,元データ!$E$1:$H$1,0)),元データ!$A$2:$A$20000,$A96,元データ!$D$2:$D$20000,$B97,元データ!$B$2:$B$20000,$C$3,元データ!$C$2:$C$20000,L$5)</f>
        <v>758</v>
      </c>
      <c r="M97" s="16">
        <f>SUMIFS(INDEX(元データ!$E$2:$H$20000,0,MATCH($C$2,元データ!$E$1:$H$1,0)),元データ!$A$2:$A$20000,$A96,元データ!$D$2:$D$20000,$B97,元データ!$B$2:$B$20000,$C$3,元データ!$C$2:$C$20000,M$5)</f>
        <v>899</v>
      </c>
      <c r="N97" s="16">
        <f>SUMIFS(INDEX(元データ!$E$2:$H$20000,0,MATCH($C$2,元データ!$E$1:$H$1,0)),元データ!$A$2:$A$20000,$A96,元データ!$D$2:$D$20000,$B97,元データ!$B$2:$B$20000,$C$3,元データ!$C$2:$C$20000,N$5)</f>
        <v>868</v>
      </c>
      <c r="O97" s="17">
        <f t="shared" si="4"/>
        <v>9855</v>
      </c>
      <c r="P97" s="17">
        <f>SUMIFS(INDEX(元データ!$E$2:$H$20000,0,MATCH($C$2,元データ!$E$1:$H$1,0)),元データ!$A$2:$A$20000,$A96,元データ!$D$2:$D$20000,$B97,元データ!$B$2:$B$20000,$D$3)</f>
        <v>10009</v>
      </c>
      <c r="Q97" s="25">
        <f t="shared" si="5"/>
        <v>0.98461384753721648</v>
      </c>
    </row>
    <row r="98" spans="1:17" x14ac:dyDescent="0.45">
      <c r="A98" s="14"/>
      <c r="B98" s="15" t="s">
        <v>29</v>
      </c>
      <c r="C98" s="16">
        <f>SUMIFS(INDEX(元データ!$E$2:$H$20000,0,MATCH($C$2,元データ!$E$1:$H$1,0)),元データ!$A$2:$A$20000,$A96,元データ!$D$2:$D$20000,$B98,元データ!$B$2:$B$20000,$C$3,元データ!$C$2:$C$20000,C$5)</f>
        <v>372</v>
      </c>
      <c r="D98" s="16">
        <f>SUMIFS(INDEX(元データ!$E$2:$H$20000,0,MATCH($C$2,元データ!$E$1:$H$1,0)),元データ!$A$2:$A$20000,$A96,元データ!$D$2:$D$20000,$B98,元データ!$B$2:$B$20000,$C$3,元データ!$C$2:$C$20000,D$5)</f>
        <v>398</v>
      </c>
      <c r="E98" s="16">
        <f>SUMIFS(INDEX(元データ!$E$2:$H$20000,0,MATCH($C$2,元データ!$E$1:$H$1,0)),元データ!$A$2:$A$20000,$A96,元データ!$D$2:$D$20000,$B98,元データ!$B$2:$B$20000,$C$3,元データ!$C$2:$C$20000,E$5)</f>
        <v>661</v>
      </c>
      <c r="F98" s="16">
        <f>SUMIFS(INDEX(元データ!$E$2:$H$20000,0,MATCH($C$2,元データ!$E$1:$H$1,0)),元データ!$A$2:$A$20000,$A96,元データ!$D$2:$D$20000,$B98,元データ!$B$2:$B$20000,$C$3,元データ!$C$2:$C$20000,F$5)</f>
        <v>673</v>
      </c>
      <c r="G98" s="16">
        <f>SUMIFS(INDEX(元データ!$E$2:$H$20000,0,MATCH($C$2,元データ!$E$1:$H$1,0)),元データ!$A$2:$A$20000,$A96,元データ!$D$2:$D$20000,$B98,元データ!$B$2:$B$20000,$C$3,元データ!$C$2:$C$20000,G$5)</f>
        <v>780</v>
      </c>
      <c r="H98" s="16">
        <f>SUMIFS(INDEX(元データ!$E$2:$H$20000,0,MATCH($C$2,元データ!$E$1:$H$1,0)),元データ!$A$2:$A$20000,$A96,元データ!$D$2:$D$20000,$B98,元データ!$B$2:$B$20000,$C$3,元データ!$C$2:$C$20000,H$5)</f>
        <v>511</v>
      </c>
      <c r="I98" s="16">
        <f>SUMIFS(INDEX(元データ!$E$2:$H$20000,0,MATCH($C$2,元データ!$E$1:$H$1,0)),元データ!$A$2:$A$20000,$A96,元データ!$D$2:$D$20000,$B98,元データ!$B$2:$B$20000,$C$3,元データ!$C$2:$C$20000,I$5)</f>
        <v>421</v>
      </c>
      <c r="J98" s="16">
        <f>SUMIFS(INDEX(元データ!$E$2:$H$20000,0,MATCH($C$2,元データ!$E$1:$H$1,0)),元データ!$A$2:$A$20000,$A96,元データ!$D$2:$D$20000,$B98,元データ!$B$2:$B$20000,$C$3,元データ!$C$2:$C$20000,J$5)</f>
        <v>795</v>
      </c>
      <c r="K98" s="16">
        <f>SUMIFS(INDEX(元データ!$E$2:$H$20000,0,MATCH($C$2,元データ!$E$1:$H$1,0)),元データ!$A$2:$A$20000,$A96,元データ!$D$2:$D$20000,$B98,元データ!$B$2:$B$20000,$C$3,元データ!$C$2:$C$20000,K$5)</f>
        <v>957</v>
      </c>
      <c r="L98" s="16">
        <f>SUMIFS(INDEX(元データ!$E$2:$H$20000,0,MATCH($C$2,元データ!$E$1:$H$1,0)),元データ!$A$2:$A$20000,$A96,元データ!$D$2:$D$20000,$B98,元データ!$B$2:$B$20000,$C$3,元データ!$C$2:$C$20000,L$5)</f>
        <v>630</v>
      </c>
      <c r="M98" s="16">
        <f>SUMIFS(INDEX(元データ!$E$2:$H$20000,0,MATCH($C$2,元データ!$E$1:$H$1,0)),元データ!$A$2:$A$20000,$A96,元データ!$D$2:$D$20000,$B98,元データ!$B$2:$B$20000,$C$3,元データ!$C$2:$C$20000,M$5)</f>
        <v>633</v>
      </c>
      <c r="N98" s="16">
        <f>SUMIFS(INDEX(元データ!$E$2:$H$20000,0,MATCH($C$2,元データ!$E$1:$H$1,0)),元データ!$A$2:$A$20000,$A96,元データ!$D$2:$D$20000,$B98,元データ!$B$2:$B$20000,$C$3,元データ!$C$2:$C$20000,N$5)</f>
        <v>536</v>
      </c>
      <c r="O98" s="17">
        <f t="shared" si="4"/>
        <v>7367</v>
      </c>
      <c r="P98" s="17">
        <f>SUMIFS(INDEX(元データ!$E$2:$H$20000,0,MATCH($C$2,元データ!$E$1:$H$1,0)),元データ!$A$2:$A$20000,$A96,元データ!$D$2:$D$20000,$B98,元データ!$B$2:$B$20000,$D$3)</f>
        <v>7737</v>
      </c>
      <c r="Q98" s="25">
        <f t="shared" si="5"/>
        <v>0.95217784671061134</v>
      </c>
    </row>
    <row r="99" spans="1:17" x14ac:dyDescent="0.45">
      <c r="A99" s="14" t="str">
        <f>店舗マスタ!A33</f>
        <v>城北店</v>
      </c>
      <c r="B99" s="15" t="s">
        <v>27</v>
      </c>
      <c r="C99" s="16">
        <f>SUMIFS(INDEX(元データ!$E$2:$H$20000,0,MATCH($C$2,元データ!$E$1:$H$1,0)),元データ!$A$2:$A$20000,$A99,元データ!$D$2:$D$20000,$B99,元データ!$B$2:$B$20000,$C$3,元データ!$C$2:$C$20000,C$5)</f>
        <v>767</v>
      </c>
      <c r="D99" s="16">
        <f>SUMIFS(INDEX(元データ!$E$2:$H$20000,0,MATCH($C$2,元データ!$E$1:$H$1,0)),元データ!$A$2:$A$20000,$A99,元データ!$D$2:$D$20000,$B99,元データ!$B$2:$B$20000,$C$3,元データ!$C$2:$C$20000,D$5)</f>
        <v>1011</v>
      </c>
      <c r="E99" s="16">
        <f>SUMIFS(INDEX(元データ!$E$2:$H$20000,0,MATCH($C$2,元データ!$E$1:$H$1,0)),元データ!$A$2:$A$20000,$A99,元データ!$D$2:$D$20000,$B99,元データ!$B$2:$B$20000,$C$3,元データ!$C$2:$C$20000,E$5)</f>
        <v>1063</v>
      </c>
      <c r="F99" s="16">
        <f>SUMIFS(INDEX(元データ!$E$2:$H$20000,0,MATCH($C$2,元データ!$E$1:$H$1,0)),元データ!$A$2:$A$20000,$A99,元データ!$D$2:$D$20000,$B99,元データ!$B$2:$B$20000,$C$3,元データ!$C$2:$C$20000,F$5)</f>
        <v>990</v>
      </c>
      <c r="G99" s="16">
        <f>SUMIFS(INDEX(元データ!$E$2:$H$20000,0,MATCH($C$2,元データ!$E$1:$H$1,0)),元データ!$A$2:$A$20000,$A99,元データ!$D$2:$D$20000,$B99,元データ!$B$2:$B$20000,$C$3,元データ!$C$2:$C$20000,G$5)</f>
        <v>1126</v>
      </c>
      <c r="H99" s="16">
        <f>SUMIFS(INDEX(元データ!$E$2:$H$20000,0,MATCH($C$2,元データ!$E$1:$H$1,0)),元データ!$A$2:$A$20000,$A99,元データ!$D$2:$D$20000,$B99,元データ!$B$2:$B$20000,$C$3,元データ!$C$2:$C$20000,H$5)</f>
        <v>841</v>
      </c>
      <c r="I99" s="16">
        <f>SUMIFS(INDEX(元データ!$E$2:$H$20000,0,MATCH($C$2,元データ!$E$1:$H$1,0)),元データ!$A$2:$A$20000,$A99,元データ!$D$2:$D$20000,$B99,元データ!$B$2:$B$20000,$C$3,元データ!$C$2:$C$20000,I$5)</f>
        <v>880</v>
      </c>
      <c r="J99" s="16">
        <f>SUMIFS(INDEX(元データ!$E$2:$H$20000,0,MATCH($C$2,元データ!$E$1:$H$1,0)),元データ!$A$2:$A$20000,$A99,元データ!$D$2:$D$20000,$B99,元データ!$B$2:$B$20000,$C$3,元データ!$C$2:$C$20000,J$5)</f>
        <v>1055</v>
      </c>
      <c r="K99" s="16">
        <f>SUMIFS(INDEX(元データ!$E$2:$H$20000,0,MATCH($C$2,元データ!$E$1:$H$1,0)),元データ!$A$2:$A$20000,$A99,元データ!$D$2:$D$20000,$B99,元データ!$B$2:$B$20000,$C$3,元データ!$C$2:$C$20000,K$5)</f>
        <v>996</v>
      </c>
      <c r="L99" s="16">
        <f>SUMIFS(INDEX(元データ!$E$2:$H$20000,0,MATCH($C$2,元データ!$E$1:$H$1,0)),元データ!$A$2:$A$20000,$A99,元データ!$D$2:$D$20000,$B99,元データ!$B$2:$B$20000,$C$3,元データ!$C$2:$C$20000,L$5)</f>
        <v>890</v>
      </c>
      <c r="M99" s="16">
        <f>SUMIFS(INDEX(元データ!$E$2:$H$20000,0,MATCH($C$2,元データ!$E$1:$H$1,0)),元データ!$A$2:$A$20000,$A99,元データ!$D$2:$D$20000,$B99,元データ!$B$2:$B$20000,$C$3,元データ!$C$2:$C$20000,M$5)</f>
        <v>987</v>
      </c>
      <c r="N99" s="16">
        <f>SUMIFS(INDEX(元データ!$E$2:$H$20000,0,MATCH($C$2,元データ!$E$1:$H$1,0)),元データ!$A$2:$A$20000,$A99,元データ!$D$2:$D$20000,$B99,元データ!$B$2:$B$20000,$C$3,元データ!$C$2:$C$20000,N$5)</f>
        <v>816</v>
      </c>
      <c r="O99" s="17">
        <f t="shared" si="4"/>
        <v>11422</v>
      </c>
      <c r="P99" s="17">
        <f>SUMIFS(INDEX(元データ!$E$2:$H$20000,0,MATCH($C$2,元データ!$E$1:$H$1,0)),元データ!$A$2:$A$20000,$A99,元データ!$D$2:$D$20000,$B99,元データ!$B$2:$B$20000,$D$3)</f>
        <v>13317</v>
      </c>
      <c r="Q99" s="25">
        <f t="shared" si="5"/>
        <v>0.85770068333708793</v>
      </c>
    </row>
    <row r="100" spans="1:17" x14ac:dyDescent="0.45">
      <c r="A100" s="14"/>
      <c r="B100" s="15" t="s">
        <v>28</v>
      </c>
      <c r="C100" s="16">
        <f>SUMIFS(INDEX(元データ!$E$2:$H$20000,0,MATCH($C$2,元データ!$E$1:$H$1,0)),元データ!$A$2:$A$20000,$A99,元データ!$D$2:$D$20000,$B100,元データ!$B$2:$B$20000,$C$3,元データ!$C$2:$C$20000,C$5)</f>
        <v>329</v>
      </c>
      <c r="D100" s="16">
        <f>SUMIFS(INDEX(元データ!$E$2:$H$20000,0,MATCH($C$2,元データ!$E$1:$H$1,0)),元データ!$A$2:$A$20000,$A99,元データ!$D$2:$D$20000,$B100,元データ!$B$2:$B$20000,$C$3,元データ!$C$2:$C$20000,D$5)</f>
        <v>361</v>
      </c>
      <c r="E100" s="16">
        <f>SUMIFS(INDEX(元データ!$E$2:$H$20000,0,MATCH($C$2,元データ!$E$1:$H$1,0)),元データ!$A$2:$A$20000,$A99,元データ!$D$2:$D$20000,$B100,元データ!$B$2:$B$20000,$C$3,元データ!$C$2:$C$20000,E$5)</f>
        <v>511</v>
      </c>
      <c r="F100" s="16">
        <f>SUMIFS(INDEX(元データ!$E$2:$H$20000,0,MATCH($C$2,元データ!$E$1:$H$1,0)),元データ!$A$2:$A$20000,$A99,元データ!$D$2:$D$20000,$B100,元データ!$B$2:$B$20000,$C$3,元データ!$C$2:$C$20000,F$5)</f>
        <v>464</v>
      </c>
      <c r="G100" s="16">
        <f>SUMIFS(INDEX(元データ!$E$2:$H$20000,0,MATCH($C$2,元データ!$E$1:$H$1,0)),元データ!$A$2:$A$20000,$A99,元データ!$D$2:$D$20000,$B100,元データ!$B$2:$B$20000,$C$3,元データ!$C$2:$C$20000,G$5)</f>
        <v>431</v>
      </c>
      <c r="H100" s="16">
        <f>SUMIFS(INDEX(元データ!$E$2:$H$20000,0,MATCH($C$2,元データ!$E$1:$H$1,0)),元データ!$A$2:$A$20000,$A99,元データ!$D$2:$D$20000,$B100,元データ!$B$2:$B$20000,$C$3,元データ!$C$2:$C$20000,H$5)</f>
        <v>293</v>
      </c>
      <c r="I100" s="16">
        <f>SUMIFS(INDEX(元データ!$E$2:$H$20000,0,MATCH($C$2,元データ!$E$1:$H$1,0)),元データ!$A$2:$A$20000,$A99,元データ!$D$2:$D$20000,$B100,元データ!$B$2:$B$20000,$C$3,元データ!$C$2:$C$20000,I$5)</f>
        <v>275</v>
      </c>
      <c r="J100" s="16">
        <f>SUMIFS(INDEX(元データ!$E$2:$H$20000,0,MATCH($C$2,元データ!$E$1:$H$1,0)),元データ!$A$2:$A$20000,$A99,元データ!$D$2:$D$20000,$B100,元データ!$B$2:$B$20000,$C$3,元データ!$C$2:$C$20000,J$5)</f>
        <v>424</v>
      </c>
      <c r="K100" s="16">
        <f>SUMIFS(INDEX(元データ!$E$2:$H$20000,0,MATCH($C$2,元データ!$E$1:$H$1,0)),元データ!$A$2:$A$20000,$A99,元データ!$D$2:$D$20000,$B100,元データ!$B$2:$B$20000,$C$3,元データ!$C$2:$C$20000,K$5)</f>
        <v>527</v>
      </c>
      <c r="L100" s="16">
        <f>SUMIFS(INDEX(元データ!$E$2:$H$20000,0,MATCH($C$2,元データ!$E$1:$H$1,0)),元データ!$A$2:$A$20000,$A99,元データ!$D$2:$D$20000,$B100,元データ!$B$2:$B$20000,$C$3,元データ!$C$2:$C$20000,L$5)</f>
        <v>425</v>
      </c>
      <c r="M100" s="16">
        <f>SUMIFS(INDEX(元データ!$E$2:$H$20000,0,MATCH($C$2,元データ!$E$1:$H$1,0)),元データ!$A$2:$A$20000,$A99,元データ!$D$2:$D$20000,$B100,元データ!$B$2:$B$20000,$C$3,元データ!$C$2:$C$20000,M$5)</f>
        <v>504</v>
      </c>
      <c r="N100" s="16">
        <f>SUMIFS(INDEX(元データ!$E$2:$H$20000,0,MATCH($C$2,元データ!$E$1:$H$1,0)),元データ!$A$2:$A$20000,$A99,元データ!$D$2:$D$20000,$B100,元データ!$B$2:$B$20000,$C$3,元データ!$C$2:$C$20000,N$5)</f>
        <v>398</v>
      </c>
      <c r="O100" s="17">
        <f t="shared" si="4"/>
        <v>4942</v>
      </c>
      <c r="P100" s="17">
        <f>SUMIFS(INDEX(元データ!$E$2:$H$20000,0,MATCH($C$2,元データ!$E$1:$H$1,0)),元データ!$A$2:$A$20000,$A99,元データ!$D$2:$D$20000,$B100,元データ!$B$2:$B$20000,$D$3)</f>
        <v>5321</v>
      </c>
      <c r="Q100" s="25">
        <f t="shared" si="5"/>
        <v>0.92877278707009958</v>
      </c>
    </row>
    <row r="101" spans="1:17" x14ac:dyDescent="0.45">
      <c r="A101" s="14"/>
      <c r="B101" s="15" t="s">
        <v>29</v>
      </c>
      <c r="C101" s="16">
        <f>SUMIFS(INDEX(元データ!$E$2:$H$20000,0,MATCH($C$2,元データ!$E$1:$H$1,0)),元データ!$A$2:$A$20000,$A99,元データ!$D$2:$D$20000,$B101,元データ!$B$2:$B$20000,$C$3,元データ!$C$2:$C$20000,C$5)</f>
        <v>165</v>
      </c>
      <c r="D101" s="16">
        <f>SUMIFS(INDEX(元データ!$E$2:$H$20000,0,MATCH($C$2,元データ!$E$1:$H$1,0)),元データ!$A$2:$A$20000,$A99,元データ!$D$2:$D$20000,$B101,元データ!$B$2:$B$20000,$C$3,元データ!$C$2:$C$20000,D$5)</f>
        <v>203</v>
      </c>
      <c r="E101" s="16">
        <f>SUMIFS(INDEX(元データ!$E$2:$H$20000,0,MATCH($C$2,元データ!$E$1:$H$1,0)),元データ!$A$2:$A$20000,$A99,元データ!$D$2:$D$20000,$B101,元データ!$B$2:$B$20000,$C$3,元データ!$C$2:$C$20000,E$5)</f>
        <v>311</v>
      </c>
      <c r="F101" s="16">
        <f>SUMIFS(INDEX(元データ!$E$2:$H$20000,0,MATCH($C$2,元データ!$E$1:$H$1,0)),元データ!$A$2:$A$20000,$A99,元データ!$D$2:$D$20000,$B101,元データ!$B$2:$B$20000,$C$3,元データ!$C$2:$C$20000,F$5)</f>
        <v>316</v>
      </c>
      <c r="G101" s="16">
        <f>SUMIFS(INDEX(元データ!$E$2:$H$20000,0,MATCH($C$2,元データ!$E$1:$H$1,0)),元データ!$A$2:$A$20000,$A99,元データ!$D$2:$D$20000,$B101,元データ!$B$2:$B$20000,$C$3,元データ!$C$2:$C$20000,G$5)</f>
        <v>325</v>
      </c>
      <c r="H101" s="16">
        <f>SUMIFS(INDEX(元データ!$E$2:$H$20000,0,MATCH($C$2,元データ!$E$1:$H$1,0)),元データ!$A$2:$A$20000,$A99,元データ!$D$2:$D$20000,$B101,元データ!$B$2:$B$20000,$C$3,元データ!$C$2:$C$20000,H$5)</f>
        <v>236</v>
      </c>
      <c r="I101" s="16">
        <f>SUMIFS(INDEX(元データ!$E$2:$H$20000,0,MATCH($C$2,元データ!$E$1:$H$1,0)),元データ!$A$2:$A$20000,$A99,元データ!$D$2:$D$20000,$B101,元データ!$B$2:$B$20000,$C$3,元データ!$C$2:$C$20000,I$5)</f>
        <v>213</v>
      </c>
      <c r="J101" s="16">
        <f>SUMIFS(INDEX(元データ!$E$2:$H$20000,0,MATCH($C$2,元データ!$E$1:$H$1,0)),元データ!$A$2:$A$20000,$A99,元データ!$D$2:$D$20000,$B101,元データ!$B$2:$B$20000,$C$3,元データ!$C$2:$C$20000,J$5)</f>
        <v>347</v>
      </c>
      <c r="K101" s="16">
        <f>SUMIFS(INDEX(元データ!$E$2:$H$20000,0,MATCH($C$2,元データ!$E$1:$H$1,0)),元データ!$A$2:$A$20000,$A99,元データ!$D$2:$D$20000,$B101,元データ!$B$2:$B$20000,$C$3,元データ!$C$2:$C$20000,K$5)</f>
        <v>462</v>
      </c>
      <c r="L101" s="16">
        <f>SUMIFS(INDEX(元データ!$E$2:$H$20000,0,MATCH($C$2,元データ!$E$1:$H$1,0)),元データ!$A$2:$A$20000,$A99,元データ!$D$2:$D$20000,$B101,元データ!$B$2:$B$20000,$C$3,元データ!$C$2:$C$20000,L$5)</f>
        <v>299</v>
      </c>
      <c r="M101" s="16">
        <f>SUMIFS(INDEX(元データ!$E$2:$H$20000,0,MATCH($C$2,元データ!$E$1:$H$1,0)),元データ!$A$2:$A$20000,$A99,元データ!$D$2:$D$20000,$B101,元データ!$B$2:$B$20000,$C$3,元データ!$C$2:$C$20000,M$5)</f>
        <v>380</v>
      </c>
      <c r="N101" s="16">
        <f>SUMIFS(INDEX(元データ!$E$2:$H$20000,0,MATCH($C$2,元データ!$E$1:$H$1,0)),元データ!$A$2:$A$20000,$A99,元データ!$D$2:$D$20000,$B101,元データ!$B$2:$B$20000,$C$3,元データ!$C$2:$C$20000,N$5)</f>
        <v>231</v>
      </c>
      <c r="O101" s="17">
        <f t="shared" si="4"/>
        <v>3488</v>
      </c>
      <c r="P101" s="17">
        <f>SUMIFS(INDEX(元データ!$E$2:$H$20000,0,MATCH($C$2,元データ!$E$1:$H$1,0)),元データ!$A$2:$A$20000,$A99,元データ!$D$2:$D$20000,$B101,元データ!$B$2:$B$20000,$D$3)</f>
        <v>3600</v>
      </c>
      <c r="Q101" s="25">
        <f t="shared" si="5"/>
        <v>0.96888888888888891</v>
      </c>
    </row>
    <row r="102" spans="1:17" x14ac:dyDescent="0.45">
      <c r="A102" s="14" t="str">
        <f>店舗マスタ!A34</f>
        <v>藤枝店</v>
      </c>
      <c r="B102" s="15" t="s">
        <v>27</v>
      </c>
      <c r="C102" s="16">
        <f>SUMIFS(INDEX(元データ!$E$2:$H$20000,0,MATCH($C$2,元データ!$E$1:$H$1,0)),元データ!$A$2:$A$20000,$A102,元データ!$D$2:$D$20000,$B102,元データ!$B$2:$B$20000,$C$3,元データ!$C$2:$C$20000,C$5)</f>
        <v>1041</v>
      </c>
      <c r="D102" s="16">
        <f>SUMIFS(INDEX(元データ!$E$2:$H$20000,0,MATCH($C$2,元データ!$E$1:$H$1,0)),元データ!$A$2:$A$20000,$A102,元データ!$D$2:$D$20000,$B102,元データ!$B$2:$B$20000,$C$3,元データ!$C$2:$C$20000,D$5)</f>
        <v>1066</v>
      </c>
      <c r="E102" s="16">
        <f>SUMIFS(INDEX(元データ!$E$2:$H$20000,0,MATCH($C$2,元データ!$E$1:$H$1,0)),元データ!$A$2:$A$20000,$A102,元データ!$D$2:$D$20000,$B102,元データ!$B$2:$B$20000,$C$3,元データ!$C$2:$C$20000,E$5)</f>
        <v>1370</v>
      </c>
      <c r="F102" s="16">
        <f>SUMIFS(INDEX(元データ!$E$2:$H$20000,0,MATCH($C$2,元データ!$E$1:$H$1,0)),元データ!$A$2:$A$20000,$A102,元データ!$D$2:$D$20000,$B102,元データ!$B$2:$B$20000,$C$3,元データ!$C$2:$C$20000,F$5)</f>
        <v>1143</v>
      </c>
      <c r="G102" s="16">
        <f>SUMIFS(INDEX(元データ!$E$2:$H$20000,0,MATCH($C$2,元データ!$E$1:$H$1,0)),元データ!$A$2:$A$20000,$A102,元データ!$D$2:$D$20000,$B102,元データ!$B$2:$B$20000,$C$3,元データ!$C$2:$C$20000,G$5)</f>
        <v>1182</v>
      </c>
      <c r="H102" s="16">
        <f>SUMIFS(INDEX(元データ!$E$2:$H$20000,0,MATCH($C$2,元データ!$E$1:$H$1,0)),元データ!$A$2:$A$20000,$A102,元データ!$D$2:$D$20000,$B102,元データ!$B$2:$B$20000,$C$3,元データ!$C$2:$C$20000,H$5)</f>
        <v>870</v>
      </c>
      <c r="I102" s="16">
        <f>SUMIFS(INDEX(元データ!$E$2:$H$20000,0,MATCH($C$2,元データ!$E$1:$H$1,0)),元データ!$A$2:$A$20000,$A102,元データ!$D$2:$D$20000,$B102,元データ!$B$2:$B$20000,$C$3,元データ!$C$2:$C$20000,I$5)</f>
        <v>998</v>
      </c>
      <c r="J102" s="16">
        <f>SUMIFS(INDEX(元データ!$E$2:$H$20000,0,MATCH($C$2,元データ!$E$1:$H$1,0)),元データ!$A$2:$A$20000,$A102,元データ!$D$2:$D$20000,$B102,元データ!$B$2:$B$20000,$C$3,元データ!$C$2:$C$20000,J$5)</f>
        <v>1127</v>
      </c>
      <c r="K102" s="16">
        <f>SUMIFS(INDEX(元データ!$E$2:$H$20000,0,MATCH($C$2,元データ!$E$1:$H$1,0)),元データ!$A$2:$A$20000,$A102,元データ!$D$2:$D$20000,$B102,元データ!$B$2:$B$20000,$C$3,元データ!$C$2:$C$20000,K$5)</f>
        <v>1123</v>
      </c>
      <c r="L102" s="16">
        <f>SUMIFS(INDEX(元データ!$E$2:$H$20000,0,MATCH($C$2,元データ!$E$1:$H$1,0)),元データ!$A$2:$A$20000,$A102,元データ!$D$2:$D$20000,$B102,元データ!$B$2:$B$20000,$C$3,元データ!$C$2:$C$20000,L$5)</f>
        <v>1093</v>
      </c>
      <c r="M102" s="16">
        <f>SUMIFS(INDEX(元データ!$E$2:$H$20000,0,MATCH($C$2,元データ!$E$1:$H$1,0)),元データ!$A$2:$A$20000,$A102,元データ!$D$2:$D$20000,$B102,元データ!$B$2:$B$20000,$C$3,元データ!$C$2:$C$20000,M$5)</f>
        <v>1060</v>
      </c>
      <c r="N102" s="16">
        <f>SUMIFS(INDEX(元データ!$E$2:$H$20000,0,MATCH($C$2,元データ!$E$1:$H$1,0)),元データ!$A$2:$A$20000,$A102,元データ!$D$2:$D$20000,$B102,元データ!$B$2:$B$20000,$C$3,元データ!$C$2:$C$20000,N$5)</f>
        <v>1068</v>
      </c>
      <c r="O102" s="17">
        <f t="shared" ref="O102:O133" si="6">SUM(C102:N102)</f>
        <v>13141</v>
      </c>
      <c r="P102" s="17">
        <f>SUMIFS(INDEX(元データ!$E$2:$H$20000,0,MATCH($C$2,元データ!$E$1:$H$1,0)),元データ!$A$2:$A$20000,$A102,元データ!$D$2:$D$20000,$B102,元データ!$B$2:$B$20000,$D$3)</f>
        <v>15885</v>
      </c>
      <c r="Q102" s="25">
        <f t="shared" ref="Q102:Q133" si="7">IFERROR(O102/P102,"")</f>
        <v>0.82725841989298077</v>
      </c>
    </row>
    <row r="103" spans="1:17" x14ac:dyDescent="0.45">
      <c r="A103" s="14"/>
      <c r="B103" s="15" t="s">
        <v>28</v>
      </c>
      <c r="C103" s="16">
        <f>SUMIFS(INDEX(元データ!$E$2:$H$20000,0,MATCH($C$2,元データ!$E$1:$H$1,0)),元データ!$A$2:$A$20000,$A102,元データ!$D$2:$D$20000,$B103,元データ!$B$2:$B$20000,$C$3,元データ!$C$2:$C$20000,C$5)</f>
        <v>573</v>
      </c>
      <c r="D103" s="16">
        <f>SUMIFS(INDEX(元データ!$E$2:$H$20000,0,MATCH($C$2,元データ!$E$1:$H$1,0)),元データ!$A$2:$A$20000,$A102,元データ!$D$2:$D$20000,$B103,元データ!$B$2:$B$20000,$C$3,元データ!$C$2:$C$20000,D$5)</f>
        <v>549</v>
      </c>
      <c r="E103" s="16">
        <f>SUMIFS(INDEX(元データ!$E$2:$H$20000,0,MATCH($C$2,元データ!$E$1:$H$1,0)),元データ!$A$2:$A$20000,$A102,元データ!$D$2:$D$20000,$B103,元データ!$B$2:$B$20000,$C$3,元データ!$C$2:$C$20000,E$5)</f>
        <v>793</v>
      </c>
      <c r="F103" s="16">
        <f>SUMIFS(INDEX(元データ!$E$2:$H$20000,0,MATCH($C$2,元データ!$E$1:$H$1,0)),元データ!$A$2:$A$20000,$A102,元データ!$D$2:$D$20000,$B103,元データ!$B$2:$B$20000,$C$3,元データ!$C$2:$C$20000,F$5)</f>
        <v>686</v>
      </c>
      <c r="G103" s="16">
        <f>SUMIFS(INDEX(元データ!$E$2:$H$20000,0,MATCH($C$2,元データ!$E$1:$H$1,0)),元データ!$A$2:$A$20000,$A102,元データ!$D$2:$D$20000,$B103,元データ!$B$2:$B$20000,$C$3,元データ!$C$2:$C$20000,G$5)</f>
        <v>679</v>
      </c>
      <c r="H103" s="16">
        <f>SUMIFS(INDEX(元データ!$E$2:$H$20000,0,MATCH($C$2,元データ!$E$1:$H$1,0)),元データ!$A$2:$A$20000,$A102,元データ!$D$2:$D$20000,$B103,元データ!$B$2:$B$20000,$C$3,元データ!$C$2:$C$20000,H$5)</f>
        <v>488</v>
      </c>
      <c r="I103" s="16">
        <f>SUMIFS(INDEX(元データ!$E$2:$H$20000,0,MATCH($C$2,元データ!$E$1:$H$1,0)),元データ!$A$2:$A$20000,$A102,元データ!$D$2:$D$20000,$B103,元データ!$B$2:$B$20000,$C$3,元データ!$C$2:$C$20000,I$5)</f>
        <v>462</v>
      </c>
      <c r="J103" s="16">
        <f>SUMIFS(INDEX(元データ!$E$2:$H$20000,0,MATCH($C$2,元データ!$E$1:$H$1,0)),元データ!$A$2:$A$20000,$A102,元データ!$D$2:$D$20000,$B103,元データ!$B$2:$B$20000,$C$3,元データ!$C$2:$C$20000,J$5)</f>
        <v>623</v>
      </c>
      <c r="K103" s="16">
        <f>SUMIFS(INDEX(元データ!$E$2:$H$20000,0,MATCH($C$2,元データ!$E$1:$H$1,0)),元データ!$A$2:$A$20000,$A102,元データ!$D$2:$D$20000,$B103,元データ!$B$2:$B$20000,$C$3,元データ!$C$2:$C$20000,K$5)</f>
        <v>839</v>
      </c>
      <c r="L103" s="16">
        <f>SUMIFS(INDEX(元データ!$E$2:$H$20000,0,MATCH($C$2,元データ!$E$1:$H$1,0)),元データ!$A$2:$A$20000,$A102,元データ!$D$2:$D$20000,$B103,元データ!$B$2:$B$20000,$C$3,元データ!$C$2:$C$20000,L$5)</f>
        <v>646</v>
      </c>
      <c r="M103" s="16">
        <f>SUMIFS(INDEX(元データ!$E$2:$H$20000,0,MATCH($C$2,元データ!$E$1:$H$1,0)),元データ!$A$2:$A$20000,$A102,元データ!$D$2:$D$20000,$B103,元データ!$B$2:$B$20000,$C$3,元データ!$C$2:$C$20000,M$5)</f>
        <v>683</v>
      </c>
      <c r="N103" s="16">
        <f>SUMIFS(INDEX(元データ!$E$2:$H$20000,0,MATCH($C$2,元データ!$E$1:$H$1,0)),元データ!$A$2:$A$20000,$A102,元データ!$D$2:$D$20000,$B103,元データ!$B$2:$B$20000,$C$3,元データ!$C$2:$C$20000,N$5)</f>
        <v>598</v>
      </c>
      <c r="O103" s="17">
        <f t="shared" si="6"/>
        <v>7619</v>
      </c>
      <c r="P103" s="17">
        <f>SUMIFS(INDEX(元データ!$E$2:$H$20000,0,MATCH($C$2,元データ!$E$1:$H$1,0)),元データ!$A$2:$A$20000,$A102,元データ!$D$2:$D$20000,$B103,元データ!$B$2:$B$20000,$D$3)</f>
        <v>7911</v>
      </c>
      <c r="Q103" s="25">
        <f t="shared" si="7"/>
        <v>0.96308936923271393</v>
      </c>
    </row>
    <row r="104" spans="1:17" x14ac:dyDescent="0.45">
      <c r="A104" s="14"/>
      <c r="B104" s="15" t="s">
        <v>29</v>
      </c>
      <c r="C104" s="16">
        <f>SUMIFS(INDEX(元データ!$E$2:$H$20000,0,MATCH($C$2,元データ!$E$1:$H$1,0)),元データ!$A$2:$A$20000,$A102,元データ!$D$2:$D$20000,$B104,元データ!$B$2:$B$20000,$C$3,元データ!$C$2:$C$20000,C$5)</f>
        <v>283</v>
      </c>
      <c r="D104" s="16">
        <f>SUMIFS(INDEX(元データ!$E$2:$H$20000,0,MATCH($C$2,元データ!$E$1:$H$1,0)),元データ!$A$2:$A$20000,$A102,元データ!$D$2:$D$20000,$B104,元データ!$B$2:$B$20000,$C$3,元データ!$C$2:$C$20000,D$5)</f>
        <v>294</v>
      </c>
      <c r="E104" s="16">
        <f>SUMIFS(INDEX(元データ!$E$2:$H$20000,0,MATCH($C$2,元データ!$E$1:$H$1,0)),元データ!$A$2:$A$20000,$A102,元データ!$D$2:$D$20000,$B104,元データ!$B$2:$B$20000,$C$3,元データ!$C$2:$C$20000,E$5)</f>
        <v>537</v>
      </c>
      <c r="F104" s="16">
        <f>SUMIFS(INDEX(元データ!$E$2:$H$20000,0,MATCH($C$2,元データ!$E$1:$H$1,0)),元データ!$A$2:$A$20000,$A102,元データ!$D$2:$D$20000,$B104,元データ!$B$2:$B$20000,$C$3,元データ!$C$2:$C$20000,F$5)</f>
        <v>479</v>
      </c>
      <c r="G104" s="16">
        <f>SUMIFS(INDEX(元データ!$E$2:$H$20000,0,MATCH($C$2,元データ!$E$1:$H$1,0)),元データ!$A$2:$A$20000,$A102,元データ!$D$2:$D$20000,$B104,元データ!$B$2:$B$20000,$C$3,元データ!$C$2:$C$20000,G$5)</f>
        <v>538</v>
      </c>
      <c r="H104" s="16">
        <f>SUMIFS(INDEX(元データ!$E$2:$H$20000,0,MATCH($C$2,元データ!$E$1:$H$1,0)),元データ!$A$2:$A$20000,$A102,元データ!$D$2:$D$20000,$B104,元データ!$B$2:$B$20000,$C$3,元データ!$C$2:$C$20000,H$5)</f>
        <v>384</v>
      </c>
      <c r="I104" s="16">
        <f>SUMIFS(INDEX(元データ!$E$2:$H$20000,0,MATCH($C$2,元データ!$E$1:$H$1,0)),元データ!$A$2:$A$20000,$A102,元データ!$D$2:$D$20000,$B104,元データ!$B$2:$B$20000,$C$3,元データ!$C$2:$C$20000,I$5)</f>
        <v>374</v>
      </c>
      <c r="J104" s="16">
        <f>SUMIFS(INDEX(元データ!$E$2:$H$20000,0,MATCH($C$2,元データ!$E$1:$H$1,0)),元データ!$A$2:$A$20000,$A102,元データ!$D$2:$D$20000,$B104,元データ!$B$2:$B$20000,$C$3,元データ!$C$2:$C$20000,J$5)</f>
        <v>592</v>
      </c>
      <c r="K104" s="16">
        <f>SUMIFS(INDEX(元データ!$E$2:$H$20000,0,MATCH($C$2,元データ!$E$1:$H$1,0)),元データ!$A$2:$A$20000,$A102,元データ!$D$2:$D$20000,$B104,元データ!$B$2:$B$20000,$C$3,元データ!$C$2:$C$20000,K$5)</f>
        <v>771</v>
      </c>
      <c r="L104" s="16">
        <f>SUMIFS(INDEX(元データ!$E$2:$H$20000,0,MATCH($C$2,元データ!$E$1:$H$1,0)),元データ!$A$2:$A$20000,$A102,元データ!$D$2:$D$20000,$B104,元データ!$B$2:$B$20000,$C$3,元データ!$C$2:$C$20000,L$5)</f>
        <v>550</v>
      </c>
      <c r="M104" s="16">
        <f>SUMIFS(INDEX(元データ!$E$2:$H$20000,0,MATCH($C$2,元データ!$E$1:$H$1,0)),元データ!$A$2:$A$20000,$A102,元データ!$D$2:$D$20000,$B104,元データ!$B$2:$B$20000,$C$3,元データ!$C$2:$C$20000,M$5)</f>
        <v>533</v>
      </c>
      <c r="N104" s="16">
        <f>SUMIFS(INDEX(元データ!$E$2:$H$20000,0,MATCH($C$2,元データ!$E$1:$H$1,0)),元データ!$A$2:$A$20000,$A102,元データ!$D$2:$D$20000,$B104,元データ!$B$2:$B$20000,$C$3,元データ!$C$2:$C$20000,N$5)</f>
        <v>385</v>
      </c>
      <c r="O104" s="17">
        <f t="shared" si="6"/>
        <v>5720</v>
      </c>
      <c r="P104" s="17">
        <f>SUMIFS(INDEX(元データ!$E$2:$H$20000,0,MATCH($C$2,元データ!$E$1:$H$1,0)),元データ!$A$2:$A$20000,$A102,元データ!$D$2:$D$20000,$B104,元データ!$B$2:$B$20000,$D$3)</f>
        <v>6006</v>
      </c>
      <c r="Q104" s="25">
        <f t="shared" si="7"/>
        <v>0.95238095238095233</v>
      </c>
    </row>
    <row r="105" spans="1:17" x14ac:dyDescent="0.45">
      <c r="A105" s="14" t="str">
        <f>店舗マスタ!A35</f>
        <v>曲金店</v>
      </c>
      <c r="B105" s="15" t="s">
        <v>27</v>
      </c>
      <c r="C105" s="16">
        <f>SUMIFS(INDEX(元データ!$E$2:$H$20000,0,MATCH($C$2,元データ!$E$1:$H$1,0)),元データ!$A$2:$A$20000,$A105,元データ!$D$2:$D$20000,$B105,元データ!$B$2:$B$20000,$C$3,元データ!$C$2:$C$20000,C$5)</f>
        <v>687</v>
      </c>
      <c r="D105" s="16">
        <f>SUMIFS(INDEX(元データ!$E$2:$H$20000,0,MATCH($C$2,元データ!$E$1:$H$1,0)),元データ!$A$2:$A$20000,$A105,元データ!$D$2:$D$20000,$B105,元データ!$B$2:$B$20000,$C$3,元データ!$C$2:$C$20000,D$5)</f>
        <v>850</v>
      </c>
      <c r="E105" s="16">
        <f>SUMIFS(INDEX(元データ!$E$2:$H$20000,0,MATCH($C$2,元データ!$E$1:$H$1,0)),元データ!$A$2:$A$20000,$A105,元データ!$D$2:$D$20000,$B105,元データ!$B$2:$B$20000,$C$3,元データ!$C$2:$C$20000,E$5)</f>
        <v>1160</v>
      </c>
      <c r="F105" s="16">
        <f>SUMIFS(INDEX(元データ!$E$2:$H$20000,0,MATCH($C$2,元データ!$E$1:$H$1,0)),元データ!$A$2:$A$20000,$A105,元データ!$D$2:$D$20000,$B105,元データ!$B$2:$B$20000,$C$3,元データ!$C$2:$C$20000,F$5)</f>
        <v>943</v>
      </c>
      <c r="G105" s="16">
        <f>SUMIFS(INDEX(元データ!$E$2:$H$20000,0,MATCH($C$2,元データ!$E$1:$H$1,0)),元データ!$A$2:$A$20000,$A105,元データ!$D$2:$D$20000,$B105,元データ!$B$2:$B$20000,$C$3,元データ!$C$2:$C$20000,G$5)</f>
        <v>1003</v>
      </c>
      <c r="H105" s="16">
        <f>SUMIFS(INDEX(元データ!$E$2:$H$20000,0,MATCH($C$2,元データ!$E$1:$H$1,0)),元データ!$A$2:$A$20000,$A105,元データ!$D$2:$D$20000,$B105,元データ!$B$2:$B$20000,$C$3,元データ!$C$2:$C$20000,H$5)</f>
        <v>714</v>
      </c>
      <c r="I105" s="16">
        <f>SUMIFS(INDEX(元データ!$E$2:$H$20000,0,MATCH($C$2,元データ!$E$1:$H$1,0)),元データ!$A$2:$A$20000,$A105,元データ!$D$2:$D$20000,$B105,元データ!$B$2:$B$20000,$C$3,元データ!$C$2:$C$20000,I$5)</f>
        <v>782</v>
      </c>
      <c r="J105" s="16">
        <f>SUMIFS(INDEX(元データ!$E$2:$H$20000,0,MATCH($C$2,元データ!$E$1:$H$1,0)),元データ!$A$2:$A$20000,$A105,元データ!$D$2:$D$20000,$B105,元データ!$B$2:$B$20000,$C$3,元データ!$C$2:$C$20000,J$5)</f>
        <v>961</v>
      </c>
      <c r="K105" s="16">
        <f>SUMIFS(INDEX(元データ!$E$2:$H$20000,0,MATCH($C$2,元データ!$E$1:$H$1,0)),元データ!$A$2:$A$20000,$A105,元データ!$D$2:$D$20000,$B105,元データ!$B$2:$B$20000,$C$3,元データ!$C$2:$C$20000,K$5)</f>
        <v>947</v>
      </c>
      <c r="L105" s="16">
        <f>SUMIFS(INDEX(元データ!$E$2:$H$20000,0,MATCH($C$2,元データ!$E$1:$H$1,0)),元データ!$A$2:$A$20000,$A105,元データ!$D$2:$D$20000,$B105,元データ!$B$2:$B$20000,$C$3,元データ!$C$2:$C$20000,L$5)</f>
        <v>775</v>
      </c>
      <c r="M105" s="16">
        <f>SUMIFS(INDEX(元データ!$E$2:$H$20000,0,MATCH($C$2,元データ!$E$1:$H$1,0)),元データ!$A$2:$A$20000,$A105,元データ!$D$2:$D$20000,$B105,元データ!$B$2:$B$20000,$C$3,元データ!$C$2:$C$20000,M$5)</f>
        <v>1007</v>
      </c>
      <c r="N105" s="16">
        <f>SUMIFS(INDEX(元データ!$E$2:$H$20000,0,MATCH($C$2,元データ!$E$1:$H$1,0)),元データ!$A$2:$A$20000,$A105,元データ!$D$2:$D$20000,$B105,元データ!$B$2:$B$20000,$C$3,元データ!$C$2:$C$20000,N$5)</f>
        <v>757</v>
      </c>
      <c r="O105" s="17">
        <f t="shared" si="6"/>
        <v>10586</v>
      </c>
      <c r="P105" s="17">
        <f>SUMIFS(INDEX(元データ!$E$2:$H$20000,0,MATCH($C$2,元データ!$E$1:$H$1,0)),元データ!$A$2:$A$20000,$A105,元データ!$D$2:$D$20000,$B105,元データ!$B$2:$B$20000,$D$3)</f>
        <v>12537</v>
      </c>
      <c r="Q105" s="25">
        <f t="shared" si="7"/>
        <v>0.84438063332535696</v>
      </c>
    </row>
    <row r="106" spans="1:17" x14ac:dyDescent="0.45">
      <c r="A106" s="14"/>
      <c r="B106" s="15" t="s">
        <v>28</v>
      </c>
      <c r="C106" s="16">
        <f>SUMIFS(INDEX(元データ!$E$2:$H$20000,0,MATCH($C$2,元データ!$E$1:$H$1,0)),元データ!$A$2:$A$20000,$A105,元データ!$D$2:$D$20000,$B106,元データ!$B$2:$B$20000,$C$3,元データ!$C$2:$C$20000,C$5)</f>
        <v>268</v>
      </c>
      <c r="D106" s="16">
        <f>SUMIFS(INDEX(元データ!$E$2:$H$20000,0,MATCH($C$2,元データ!$E$1:$H$1,0)),元データ!$A$2:$A$20000,$A105,元データ!$D$2:$D$20000,$B106,元データ!$B$2:$B$20000,$C$3,元データ!$C$2:$C$20000,D$5)</f>
        <v>285</v>
      </c>
      <c r="E106" s="16">
        <f>SUMIFS(INDEX(元データ!$E$2:$H$20000,0,MATCH($C$2,元データ!$E$1:$H$1,0)),元データ!$A$2:$A$20000,$A105,元データ!$D$2:$D$20000,$B106,元データ!$B$2:$B$20000,$C$3,元データ!$C$2:$C$20000,E$5)</f>
        <v>437</v>
      </c>
      <c r="F106" s="16">
        <f>SUMIFS(INDEX(元データ!$E$2:$H$20000,0,MATCH($C$2,元データ!$E$1:$H$1,0)),元データ!$A$2:$A$20000,$A105,元データ!$D$2:$D$20000,$B106,元データ!$B$2:$B$20000,$C$3,元データ!$C$2:$C$20000,F$5)</f>
        <v>422</v>
      </c>
      <c r="G106" s="16">
        <f>SUMIFS(INDEX(元データ!$E$2:$H$20000,0,MATCH($C$2,元データ!$E$1:$H$1,0)),元データ!$A$2:$A$20000,$A105,元データ!$D$2:$D$20000,$B106,元データ!$B$2:$B$20000,$C$3,元データ!$C$2:$C$20000,G$5)</f>
        <v>420</v>
      </c>
      <c r="H106" s="16">
        <f>SUMIFS(INDEX(元データ!$E$2:$H$20000,0,MATCH($C$2,元データ!$E$1:$H$1,0)),元データ!$A$2:$A$20000,$A105,元データ!$D$2:$D$20000,$B106,元データ!$B$2:$B$20000,$C$3,元データ!$C$2:$C$20000,H$5)</f>
        <v>247</v>
      </c>
      <c r="I106" s="16">
        <f>SUMIFS(INDEX(元データ!$E$2:$H$20000,0,MATCH($C$2,元データ!$E$1:$H$1,0)),元データ!$A$2:$A$20000,$A105,元データ!$D$2:$D$20000,$B106,元データ!$B$2:$B$20000,$C$3,元データ!$C$2:$C$20000,I$5)</f>
        <v>216</v>
      </c>
      <c r="J106" s="16">
        <f>SUMIFS(INDEX(元データ!$E$2:$H$20000,0,MATCH($C$2,元データ!$E$1:$H$1,0)),元データ!$A$2:$A$20000,$A105,元データ!$D$2:$D$20000,$B106,元データ!$B$2:$B$20000,$C$3,元データ!$C$2:$C$20000,J$5)</f>
        <v>390</v>
      </c>
      <c r="K106" s="16">
        <f>SUMIFS(INDEX(元データ!$E$2:$H$20000,0,MATCH($C$2,元データ!$E$1:$H$1,0)),元データ!$A$2:$A$20000,$A105,元データ!$D$2:$D$20000,$B106,元データ!$B$2:$B$20000,$C$3,元データ!$C$2:$C$20000,K$5)</f>
        <v>493</v>
      </c>
      <c r="L106" s="16">
        <f>SUMIFS(INDEX(元データ!$E$2:$H$20000,0,MATCH($C$2,元データ!$E$1:$H$1,0)),元データ!$A$2:$A$20000,$A105,元データ!$D$2:$D$20000,$B106,元データ!$B$2:$B$20000,$C$3,元データ!$C$2:$C$20000,L$5)</f>
        <v>404</v>
      </c>
      <c r="M106" s="16">
        <f>SUMIFS(INDEX(元データ!$E$2:$H$20000,0,MATCH($C$2,元データ!$E$1:$H$1,0)),元データ!$A$2:$A$20000,$A105,元データ!$D$2:$D$20000,$B106,元データ!$B$2:$B$20000,$C$3,元データ!$C$2:$C$20000,M$5)</f>
        <v>444</v>
      </c>
      <c r="N106" s="16">
        <f>SUMIFS(INDEX(元データ!$E$2:$H$20000,0,MATCH($C$2,元データ!$E$1:$H$1,0)),元データ!$A$2:$A$20000,$A105,元データ!$D$2:$D$20000,$B106,元データ!$B$2:$B$20000,$C$3,元データ!$C$2:$C$20000,N$5)</f>
        <v>361</v>
      </c>
      <c r="O106" s="17">
        <f t="shared" si="6"/>
        <v>4387</v>
      </c>
      <c r="P106" s="17">
        <f>SUMIFS(INDEX(元データ!$E$2:$H$20000,0,MATCH($C$2,元データ!$E$1:$H$1,0)),元データ!$A$2:$A$20000,$A105,元データ!$D$2:$D$20000,$B106,元データ!$B$2:$B$20000,$D$3)</f>
        <v>4393</v>
      </c>
      <c r="Q106" s="25">
        <f t="shared" si="7"/>
        <v>0.99863419075802418</v>
      </c>
    </row>
    <row r="107" spans="1:17" x14ac:dyDescent="0.45">
      <c r="A107" s="14"/>
      <c r="B107" s="15" t="s">
        <v>29</v>
      </c>
      <c r="C107" s="16">
        <f>SUMIFS(INDEX(元データ!$E$2:$H$20000,0,MATCH($C$2,元データ!$E$1:$H$1,0)),元データ!$A$2:$A$20000,$A105,元データ!$D$2:$D$20000,$B107,元データ!$B$2:$B$20000,$C$3,元データ!$C$2:$C$20000,C$5)</f>
        <v>95</v>
      </c>
      <c r="D107" s="16">
        <f>SUMIFS(INDEX(元データ!$E$2:$H$20000,0,MATCH($C$2,元データ!$E$1:$H$1,0)),元データ!$A$2:$A$20000,$A105,元データ!$D$2:$D$20000,$B107,元データ!$B$2:$B$20000,$C$3,元データ!$C$2:$C$20000,D$5)</f>
        <v>120</v>
      </c>
      <c r="E107" s="16">
        <f>SUMIFS(INDEX(元データ!$E$2:$H$20000,0,MATCH($C$2,元データ!$E$1:$H$1,0)),元データ!$A$2:$A$20000,$A105,元データ!$D$2:$D$20000,$B107,元データ!$B$2:$B$20000,$C$3,元データ!$C$2:$C$20000,E$5)</f>
        <v>261</v>
      </c>
      <c r="F107" s="16">
        <f>SUMIFS(INDEX(元データ!$E$2:$H$20000,0,MATCH($C$2,元データ!$E$1:$H$1,0)),元データ!$A$2:$A$20000,$A105,元データ!$D$2:$D$20000,$B107,元データ!$B$2:$B$20000,$C$3,元データ!$C$2:$C$20000,F$5)</f>
        <v>236</v>
      </c>
      <c r="G107" s="16">
        <f>SUMIFS(INDEX(元データ!$E$2:$H$20000,0,MATCH($C$2,元データ!$E$1:$H$1,0)),元データ!$A$2:$A$20000,$A105,元データ!$D$2:$D$20000,$B107,元データ!$B$2:$B$20000,$C$3,元データ!$C$2:$C$20000,G$5)</f>
        <v>329</v>
      </c>
      <c r="H107" s="16">
        <f>SUMIFS(INDEX(元データ!$E$2:$H$20000,0,MATCH($C$2,元データ!$E$1:$H$1,0)),元データ!$A$2:$A$20000,$A105,元データ!$D$2:$D$20000,$B107,元データ!$B$2:$B$20000,$C$3,元データ!$C$2:$C$20000,H$5)</f>
        <v>174</v>
      </c>
      <c r="I107" s="16">
        <f>SUMIFS(INDEX(元データ!$E$2:$H$20000,0,MATCH($C$2,元データ!$E$1:$H$1,0)),元データ!$A$2:$A$20000,$A105,元データ!$D$2:$D$20000,$B107,元データ!$B$2:$B$20000,$C$3,元データ!$C$2:$C$20000,I$5)</f>
        <v>145</v>
      </c>
      <c r="J107" s="16">
        <f>SUMIFS(INDEX(元データ!$E$2:$H$20000,0,MATCH($C$2,元データ!$E$1:$H$1,0)),元データ!$A$2:$A$20000,$A105,元データ!$D$2:$D$20000,$B107,元データ!$B$2:$B$20000,$C$3,元データ!$C$2:$C$20000,J$5)</f>
        <v>297</v>
      </c>
      <c r="K107" s="16">
        <f>SUMIFS(INDEX(元データ!$E$2:$H$20000,0,MATCH($C$2,元データ!$E$1:$H$1,0)),元データ!$A$2:$A$20000,$A105,元データ!$D$2:$D$20000,$B107,元データ!$B$2:$B$20000,$C$3,元データ!$C$2:$C$20000,K$5)</f>
        <v>437</v>
      </c>
      <c r="L107" s="16">
        <f>SUMIFS(INDEX(元データ!$E$2:$H$20000,0,MATCH($C$2,元データ!$E$1:$H$1,0)),元データ!$A$2:$A$20000,$A105,元データ!$D$2:$D$20000,$B107,元データ!$B$2:$B$20000,$C$3,元データ!$C$2:$C$20000,L$5)</f>
        <v>311</v>
      </c>
      <c r="M107" s="16">
        <f>SUMIFS(INDEX(元データ!$E$2:$H$20000,0,MATCH($C$2,元データ!$E$1:$H$1,0)),元データ!$A$2:$A$20000,$A105,元データ!$D$2:$D$20000,$B107,元データ!$B$2:$B$20000,$C$3,元データ!$C$2:$C$20000,M$5)</f>
        <v>299</v>
      </c>
      <c r="N107" s="16">
        <f>SUMIFS(INDEX(元データ!$E$2:$H$20000,0,MATCH($C$2,元データ!$E$1:$H$1,0)),元データ!$A$2:$A$20000,$A105,元データ!$D$2:$D$20000,$B107,元データ!$B$2:$B$20000,$C$3,元データ!$C$2:$C$20000,N$5)</f>
        <v>195</v>
      </c>
      <c r="O107" s="17">
        <f t="shared" si="6"/>
        <v>2899</v>
      </c>
      <c r="P107" s="17">
        <f>SUMIFS(INDEX(元データ!$E$2:$H$20000,0,MATCH($C$2,元データ!$E$1:$H$1,0)),元データ!$A$2:$A$20000,$A105,元データ!$D$2:$D$20000,$B107,元データ!$B$2:$B$20000,$D$3)</f>
        <v>2875</v>
      </c>
      <c r="Q107" s="25">
        <f t="shared" si="7"/>
        <v>1.0083478260869565</v>
      </c>
    </row>
    <row r="108" spans="1:17" x14ac:dyDescent="0.45">
      <c r="A108" s="14" t="str">
        <f>店舗マスタ!A36</f>
        <v>与惣次店</v>
      </c>
      <c r="B108" s="15" t="s">
        <v>27</v>
      </c>
      <c r="C108" s="16">
        <f>SUMIFS(INDEX(元データ!$E$2:$H$20000,0,MATCH($C$2,元データ!$E$1:$H$1,0)),元データ!$A$2:$A$20000,$A108,元データ!$D$2:$D$20000,$B108,元データ!$B$2:$B$20000,$C$3,元データ!$C$2:$C$20000,C$5)</f>
        <v>702</v>
      </c>
      <c r="D108" s="16">
        <f>SUMIFS(INDEX(元データ!$E$2:$H$20000,0,MATCH($C$2,元データ!$E$1:$H$1,0)),元データ!$A$2:$A$20000,$A108,元データ!$D$2:$D$20000,$B108,元データ!$B$2:$B$20000,$C$3,元データ!$C$2:$C$20000,D$5)</f>
        <v>852</v>
      </c>
      <c r="E108" s="16">
        <f>SUMIFS(INDEX(元データ!$E$2:$H$20000,0,MATCH($C$2,元データ!$E$1:$H$1,0)),元データ!$A$2:$A$20000,$A108,元データ!$D$2:$D$20000,$B108,元データ!$B$2:$B$20000,$C$3,元データ!$C$2:$C$20000,E$5)</f>
        <v>926</v>
      </c>
      <c r="F108" s="16">
        <f>SUMIFS(INDEX(元データ!$E$2:$H$20000,0,MATCH($C$2,元データ!$E$1:$H$1,0)),元データ!$A$2:$A$20000,$A108,元データ!$D$2:$D$20000,$B108,元データ!$B$2:$B$20000,$C$3,元データ!$C$2:$C$20000,F$5)</f>
        <v>877</v>
      </c>
      <c r="G108" s="16">
        <f>SUMIFS(INDEX(元データ!$E$2:$H$20000,0,MATCH($C$2,元データ!$E$1:$H$1,0)),元データ!$A$2:$A$20000,$A108,元データ!$D$2:$D$20000,$B108,元データ!$B$2:$B$20000,$C$3,元データ!$C$2:$C$20000,G$5)</f>
        <v>911</v>
      </c>
      <c r="H108" s="16">
        <f>SUMIFS(INDEX(元データ!$E$2:$H$20000,0,MATCH($C$2,元データ!$E$1:$H$1,0)),元データ!$A$2:$A$20000,$A108,元データ!$D$2:$D$20000,$B108,元データ!$B$2:$B$20000,$C$3,元データ!$C$2:$C$20000,H$5)</f>
        <v>691</v>
      </c>
      <c r="I108" s="16">
        <f>SUMIFS(INDEX(元データ!$E$2:$H$20000,0,MATCH($C$2,元データ!$E$1:$H$1,0)),元データ!$A$2:$A$20000,$A108,元データ!$D$2:$D$20000,$B108,元データ!$B$2:$B$20000,$C$3,元データ!$C$2:$C$20000,I$5)</f>
        <v>717</v>
      </c>
      <c r="J108" s="16">
        <f>SUMIFS(INDEX(元データ!$E$2:$H$20000,0,MATCH($C$2,元データ!$E$1:$H$1,0)),元データ!$A$2:$A$20000,$A108,元データ!$D$2:$D$20000,$B108,元データ!$B$2:$B$20000,$C$3,元データ!$C$2:$C$20000,J$5)</f>
        <v>843</v>
      </c>
      <c r="K108" s="16">
        <f>SUMIFS(INDEX(元データ!$E$2:$H$20000,0,MATCH($C$2,元データ!$E$1:$H$1,0)),元データ!$A$2:$A$20000,$A108,元データ!$D$2:$D$20000,$B108,元データ!$B$2:$B$20000,$C$3,元データ!$C$2:$C$20000,K$5)</f>
        <v>888</v>
      </c>
      <c r="L108" s="16">
        <f>SUMIFS(INDEX(元データ!$E$2:$H$20000,0,MATCH($C$2,元データ!$E$1:$H$1,0)),元データ!$A$2:$A$20000,$A108,元データ!$D$2:$D$20000,$B108,元データ!$B$2:$B$20000,$C$3,元データ!$C$2:$C$20000,L$5)</f>
        <v>732</v>
      </c>
      <c r="M108" s="16">
        <f>SUMIFS(INDEX(元データ!$E$2:$H$20000,0,MATCH($C$2,元データ!$E$1:$H$1,0)),元データ!$A$2:$A$20000,$A108,元データ!$D$2:$D$20000,$B108,元データ!$B$2:$B$20000,$C$3,元データ!$C$2:$C$20000,M$5)</f>
        <v>825</v>
      </c>
      <c r="N108" s="16">
        <f>SUMIFS(INDEX(元データ!$E$2:$H$20000,0,MATCH($C$2,元データ!$E$1:$H$1,0)),元データ!$A$2:$A$20000,$A108,元データ!$D$2:$D$20000,$B108,元データ!$B$2:$B$20000,$C$3,元データ!$C$2:$C$20000,N$5)</f>
        <v>733</v>
      </c>
      <c r="O108" s="17">
        <f t="shared" si="6"/>
        <v>9697</v>
      </c>
      <c r="P108" s="17">
        <f>SUMIFS(INDEX(元データ!$E$2:$H$20000,0,MATCH($C$2,元データ!$E$1:$H$1,0)),元データ!$A$2:$A$20000,$A108,元データ!$D$2:$D$20000,$B108,元データ!$B$2:$B$20000,$D$3)</f>
        <v>10193</v>
      </c>
      <c r="Q108" s="25">
        <f t="shared" si="7"/>
        <v>0.95133915432159322</v>
      </c>
    </row>
    <row r="109" spans="1:17" x14ac:dyDescent="0.45">
      <c r="A109" s="14"/>
      <c r="B109" s="15" t="s">
        <v>28</v>
      </c>
      <c r="C109" s="16">
        <f>SUMIFS(INDEX(元データ!$E$2:$H$20000,0,MATCH($C$2,元データ!$E$1:$H$1,0)),元データ!$A$2:$A$20000,$A108,元データ!$D$2:$D$20000,$B109,元データ!$B$2:$B$20000,$C$3,元データ!$C$2:$C$20000,C$5)</f>
        <v>387</v>
      </c>
      <c r="D109" s="16">
        <f>SUMIFS(INDEX(元データ!$E$2:$H$20000,0,MATCH($C$2,元データ!$E$1:$H$1,0)),元データ!$A$2:$A$20000,$A108,元データ!$D$2:$D$20000,$B109,元データ!$B$2:$B$20000,$C$3,元データ!$C$2:$C$20000,D$5)</f>
        <v>423</v>
      </c>
      <c r="E109" s="16">
        <f>SUMIFS(INDEX(元データ!$E$2:$H$20000,0,MATCH($C$2,元データ!$E$1:$H$1,0)),元データ!$A$2:$A$20000,$A108,元データ!$D$2:$D$20000,$B109,元データ!$B$2:$B$20000,$C$3,元データ!$C$2:$C$20000,E$5)</f>
        <v>529</v>
      </c>
      <c r="F109" s="16">
        <f>SUMIFS(INDEX(元データ!$E$2:$H$20000,0,MATCH($C$2,元データ!$E$1:$H$1,0)),元データ!$A$2:$A$20000,$A108,元データ!$D$2:$D$20000,$B109,元データ!$B$2:$B$20000,$C$3,元データ!$C$2:$C$20000,F$5)</f>
        <v>512</v>
      </c>
      <c r="G109" s="16">
        <f>SUMIFS(INDEX(元データ!$E$2:$H$20000,0,MATCH($C$2,元データ!$E$1:$H$1,0)),元データ!$A$2:$A$20000,$A108,元データ!$D$2:$D$20000,$B109,元データ!$B$2:$B$20000,$C$3,元データ!$C$2:$C$20000,G$5)</f>
        <v>556</v>
      </c>
      <c r="H109" s="16">
        <f>SUMIFS(INDEX(元データ!$E$2:$H$20000,0,MATCH($C$2,元データ!$E$1:$H$1,0)),元データ!$A$2:$A$20000,$A108,元データ!$D$2:$D$20000,$B109,元データ!$B$2:$B$20000,$C$3,元データ!$C$2:$C$20000,H$5)</f>
        <v>414</v>
      </c>
      <c r="I109" s="16">
        <f>SUMIFS(INDEX(元データ!$E$2:$H$20000,0,MATCH($C$2,元データ!$E$1:$H$1,0)),元データ!$A$2:$A$20000,$A108,元データ!$D$2:$D$20000,$B109,元データ!$B$2:$B$20000,$C$3,元データ!$C$2:$C$20000,I$5)</f>
        <v>298</v>
      </c>
      <c r="J109" s="16">
        <f>SUMIFS(INDEX(元データ!$E$2:$H$20000,0,MATCH($C$2,元データ!$E$1:$H$1,0)),元データ!$A$2:$A$20000,$A108,元データ!$D$2:$D$20000,$B109,元データ!$B$2:$B$20000,$C$3,元データ!$C$2:$C$20000,J$5)</f>
        <v>492</v>
      </c>
      <c r="K109" s="16">
        <f>SUMIFS(INDEX(元データ!$E$2:$H$20000,0,MATCH($C$2,元データ!$E$1:$H$1,0)),元データ!$A$2:$A$20000,$A108,元データ!$D$2:$D$20000,$B109,元データ!$B$2:$B$20000,$C$3,元データ!$C$2:$C$20000,K$5)</f>
        <v>582</v>
      </c>
      <c r="L109" s="16">
        <f>SUMIFS(INDEX(元データ!$E$2:$H$20000,0,MATCH($C$2,元データ!$E$1:$H$1,0)),元データ!$A$2:$A$20000,$A108,元データ!$D$2:$D$20000,$B109,元データ!$B$2:$B$20000,$C$3,元データ!$C$2:$C$20000,L$5)</f>
        <v>467</v>
      </c>
      <c r="M109" s="16">
        <f>SUMIFS(INDEX(元データ!$E$2:$H$20000,0,MATCH($C$2,元データ!$E$1:$H$1,0)),元データ!$A$2:$A$20000,$A108,元データ!$D$2:$D$20000,$B109,元データ!$B$2:$B$20000,$C$3,元データ!$C$2:$C$20000,M$5)</f>
        <v>442</v>
      </c>
      <c r="N109" s="16">
        <f>SUMIFS(INDEX(元データ!$E$2:$H$20000,0,MATCH($C$2,元データ!$E$1:$H$1,0)),元データ!$A$2:$A$20000,$A108,元データ!$D$2:$D$20000,$B109,元データ!$B$2:$B$20000,$C$3,元データ!$C$2:$C$20000,N$5)</f>
        <v>427</v>
      </c>
      <c r="O109" s="17">
        <f t="shared" si="6"/>
        <v>5529</v>
      </c>
      <c r="P109" s="17">
        <f>SUMIFS(INDEX(元データ!$E$2:$H$20000,0,MATCH($C$2,元データ!$E$1:$H$1,0)),元データ!$A$2:$A$20000,$A108,元データ!$D$2:$D$20000,$B109,元データ!$B$2:$B$20000,$D$3)</f>
        <v>5638</v>
      </c>
      <c r="Q109" s="25">
        <f t="shared" si="7"/>
        <v>0.98066690315714788</v>
      </c>
    </row>
    <row r="110" spans="1:17" x14ac:dyDescent="0.45">
      <c r="A110" s="14"/>
      <c r="B110" s="15" t="s">
        <v>29</v>
      </c>
      <c r="C110" s="16">
        <f>SUMIFS(INDEX(元データ!$E$2:$H$20000,0,MATCH($C$2,元データ!$E$1:$H$1,0)),元データ!$A$2:$A$20000,$A108,元データ!$D$2:$D$20000,$B110,元データ!$B$2:$B$20000,$C$3,元データ!$C$2:$C$20000,C$5)</f>
        <v>214</v>
      </c>
      <c r="D110" s="16">
        <f>SUMIFS(INDEX(元データ!$E$2:$H$20000,0,MATCH($C$2,元データ!$E$1:$H$1,0)),元データ!$A$2:$A$20000,$A108,元データ!$D$2:$D$20000,$B110,元データ!$B$2:$B$20000,$C$3,元データ!$C$2:$C$20000,D$5)</f>
        <v>218</v>
      </c>
      <c r="E110" s="16">
        <f>SUMIFS(INDEX(元データ!$E$2:$H$20000,0,MATCH($C$2,元データ!$E$1:$H$1,0)),元データ!$A$2:$A$20000,$A108,元データ!$D$2:$D$20000,$B110,元データ!$B$2:$B$20000,$C$3,元データ!$C$2:$C$20000,E$5)</f>
        <v>389</v>
      </c>
      <c r="F110" s="16">
        <f>SUMIFS(INDEX(元データ!$E$2:$H$20000,0,MATCH($C$2,元データ!$E$1:$H$1,0)),元データ!$A$2:$A$20000,$A108,元データ!$D$2:$D$20000,$B110,元データ!$B$2:$B$20000,$C$3,元データ!$C$2:$C$20000,F$5)</f>
        <v>378</v>
      </c>
      <c r="G110" s="16">
        <f>SUMIFS(INDEX(元データ!$E$2:$H$20000,0,MATCH($C$2,元データ!$E$1:$H$1,0)),元データ!$A$2:$A$20000,$A108,元データ!$D$2:$D$20000,$B110,元データ!$B$2:$B$20000,$C$3,元データ!$C$2:$C$20000,G$5)</f>
        <v>443</v>
      </c>
      <c r="H110" s="16">
        <f>SUMIFS(INDEX(元データ!$E$2:$H$20000,0,MATCH($C$2,元データ!$E$1:$H$1,0)),元データ!$A$2:$A$20000,$A108,元データ!$D$2:$D$20000,$B110,元データ!$B$2:$B$20000,$C$3,元データ!$C$2:$C$20000,H$5)</f>
        <v>343</v>
      </c>
      <c r="I110" s="16">
        <f>SUMIFS(INDEX(元データ!$E$2:$H$20000,0,MATCH($C$2,元データ!$E$1:$H$1,0)),元データ!$A$2:$A$20000,$A108,元データ!$D$2:$D$20000,$B110,元データ!$B$2:$B$20000,$C$3,元データ!$C$2:$C$20000,I$5)</f>
        <v>231</v>
      </c>
      <c r="J110" s="16">
        <f>SUMIFS(INDEX(元データ!$E$2:$H$20000,0,MATCH($C$2,元データ!$E$1:$H$1,0)),元データ!$A$2:$A$20000,$A108,元データ!$D$2:$D$20000,$B110,元データ!$B$2:$B$20000,$C$3,元データ!$C$2:$C$20000,J$5)</f>
        <v>483</v>
      </c>
      <c r="K110" s="16">
        <f>SUMIFS(INDEX(元データ!$E$2:$H$20000,0,MATCH($C$2,元データ!$E$1:$H$1,0)),元データ!$A$2:$A$20000,$A108,元データ!$D$2:$D$20000,$B110,元データ!$B$2:$B$20000,$C$3,元データ!$C$2:$C$20000,K$5)</f>
        <v>561</v>
      </c>
      <c r="L110" s="16">
        <f>SUMIFS(INDEX(元データ!$E$2:$H$20000,0,MATCH($C$2,元データ!$E$1:$H$1,0)),元データ!$A$2:$A$20000,$A108,元データ!$D$2:$D$20000,$B110,元データ!$B$2:$B$20000,$C$3,元データ!$C$2:$C$20000,L$5)</f>
        <v>372</v>
      </c>
      <c r="M110" s="16">
        <f>SUMIFS(INDEX(元データ!$E$2:$H$20000,0,MATCH($C$2,元データ!$E$1:$H$1,0)),元データ!$A$2:$A$20000,$A108,元データ!$D$2:$D$20000,$B110,元データ!$B$2:$B$20000,$C$3,元データ!$C$2:$C$20000,M$5)</f>
        <v>344</v>
      </c>
      <c r="N110" s="16">
        <f>SUMIFS(INDEX(元データ!$E$2:$H$20000,0,MATCH($C$2,元データ!$E$1:$H$1,0)),元データ!$A$2:$A$20000,$A108,元データ!$D$2:$D$20000,$B110,元データ!$B$2:$B$20000,$C$3,元データ!$C$2:$C$20000,N$5)</f>
        <v>260</v>
      </c>
      <c r="O110" s="17">
        <f t="shared" si="6"/>
        <v>4236</v>
      </c>
      <c r="P110" s="17">
        <f>SUMIFS(INDEX(元データ!$E$2:$H$20000,0,MATCH($C$2,元データ!$E$1:$H$1,0)),元データ!$A$2:$A$20000,$A108,元データ!$D$2:$D$20000,$B110,元データ!$B$2:$B$20000,$D$3)</f>
        <v>4423</v>
      </c>
      <c r="Q110" s="25">
        <f t="shared" si="7"/>
        <v>0.95772100384354508</v>
      </c>
    </row>
    <row r="111" spans="1:17" x14ac:dyDescent="0.45">
      <c r="A111" s="14" t="str">
        <f>店舗マスタ!A37</f>
        <v>瀬名店</v>
      </c>
      <c r="B111" s="15" t="s">
        <v>27</v>
      </c>
      <c r="C111" s="16">
        <f>SUMIFS(INDEX(元データ!$E$2:$H$20000,0,MATCH($C$2,元データ!$E$1:$H$1,0)),元データ!$A$2:$A$20000,$A111,元データ!$D$2:$D$20000,$B111,元データ!$B$2:$B$20000,$C$3,元データ!$C$2:$C$20000,C$5)</f>
        <v>828</v>
      </c>
      <c r="D111" s="16">
        <f>SUMIFS(INDEX(元データ!$E$2:$H$20000,0,MATCH($C$2,元データ!$E$1:$H$1,0)),元データ!$A$2:$A$20000,$A111,元データ!$D$2:$D$20000,$B111,元データ!$B$2:$B$20000,$C$3,元データ!$C$2:$C$20000,D$5)</f>
        <v>991</v>
      </c>
      <c r="E111" s="16">
        <f>SUMIFS(INDEX(元データ!$E$2:$H$20000,0,MATCH($C$2,元データ!$E$1:$H$1,0)),元データ!$A$2:$A$20000,$A111,元データ!$D$2:$D$20000,$B111,元データ!$B$2:$B$20000,$C$3,元データ!$C$2:$C$20000,E$5)</f>
        <v>1110</v>
      </c>
      <c r="F111" s="16">
        <f>SUMIFS(INDEX(元データ!$E$2:$H$20000,0,MATCH($C$2,元データ!$E$1:$H$1,0)),元データ!$A$2:$A$20000,$A111,元データ!$D$2:$D$20000,$B111,元データ!$B$2:$B$20000,$C$3,元データ!$C$2:$C$20000,F$5)</f>
        <v>972</v>
      </c>
      <c r="G111" s="16">
        <f>SUMIFS(INDEX(元データ!$E$2:$H$20000,0,MATCH($C$2,元データ!$E$1:$H$1,0)),元データ!$A$2:$A$20000,$A111,元データ!$D$2:$D$20000,$B111,元データ!$B$2:$B$20000,$C$3,元データ!$C$2:$C$20000,G$5)</f>
        <v>1063</v>
      </c>
      <c r="H111" s="16">
        <f>SUMIFS(INDEX(元データ!$E$2:$H$20000,0,MATCH($C$2,元データ!$E$1:$H$1,0)),元データ!$A$2:$A$20000,$A111,元データ!$D$2:$D$20000,$B111,元データ!$B$2:$B$20000,$C$3,元データ!$C$2:$C$20000,H$5)</f>
        <v>770</v>
      </c>
      <c r="I111" s="16">
        <f>SUMIFS(INDEX(元データ!$E$2:$H$20000,0,MATCH($C$2,元データ!$E$1:$H$1,0)),元データ!$A$2:$A$20000,$A111,元データ!$D$2:$D$20000,$B111,元データ!$B$2:$B$20000,$C$3,元データ!$C$2:$C$20000,I$5)</f>
        <v>702</v>
      </c>
      <c r="J111" s="16">
        <f>SUMIFS(INDEX(元データ!$E$2:$H$20000,0,MATCH($C$2,元データ!$E$1:$H$1,0)),元データ!$A$2:$A$20000,$A111,元データ!$D$2:$D$20000,$B111,元データ!$B$2:$B$20000,$C$3,元データ!$C$2:$C$20000,J$5)</f>
        <v>967</v>
      </c>
      <c r="K111" s="16">
        <f>SUMIFS(INDEX(元データ!$E$2:$H$20000,0,MATCH($C$2,元データ!$E$1:$H$1,0)),元データ!$A$2:$A$20000,$A111,元データ!$D$2:$D$20000,$B111,元データ!$B$2:$B$20000,$C$3,元データ!$C$2:$C$20000,K$5)</f>
        <v>821</v>
      </c>
      <c r="L111" s="16">
        <f>SUMIFS(INDEX(元データ!$E$2:$H$20000,0,MATCH($C$2,元データ!$E$1:$H$1,0)),元データ!$A$2:$A$20000,$A111,元データ!$D$2:$D$20000,$B111,元データ!$B$2:$B$20000,$C$3,元データ!$C$2:$C$20000,L$5)</f>
        <v>843</v>
      </c>
      <c r="M111" s="16">
        <f>SUMIFS(INDEX(元データ!$E$2:$H$20000,0,MATCH($C$2,元データ!$E$1:$H$1,0)),元データ!$A$2:$A$20000,$A111,元データ!$D$2:$D$20000,$B111,元データ!$B$2:$B$20000,$C$3,元データ!$C$2:$C$20000,M$5)</f>
        <v>935</v>
      </c>
      <c r="N111" s="16">
        <f>SUMIFS(INDEX(元データ!$E$2:$H$20000,0,MATCH($C$2,元データ!$E$1:$H$1,0)),元データ!$A$2:$A$20000,$A111,元データ!$D$2:$D$20000,$B111,元データ!$B$2:$B$20000,$C$3,元データ!$C$2:$C$20000,N$5)</f>
        <v>863</v>
      </c>
      <c r="O111" s="17">
        <f t="shared" si="6"/>
        <v>10865</v>
      </c>
      <c r="P111" s="17">
        <f>SUMIFS(INDEX(元データ!$E$2:$H$20000,0,MATCH($C$2,元データ!$E$1:$H$1,0)),元データ!$A$2:$A$20000,$A111,元データ!$D$2:$D$20000,$B111,元データ!$B$2:$B$20000,$D$3)</f>
        <v>12979</v>
      </c>
      <c r="Q111" s="25">
        <f t="shared" si="7"/>
        <v>0.83712150396794827</v>
      </c>
    </row>
    <row r="112" spans="1:17" x14ac:dyDescent="0.45">
      <c r="A112" s="14"/>
      <c r="B112" s="15" t="s">
        <v>28</v>
      </c>
      <c r="C112" s="16">
        <f>SUMIFS(INDEX(元データ!$E$2:$H$20000,0,MATCH($C$2,元データ!$E$1:$H$1,0)),元データ!$A$2:$A$20000,$A111,元データ!$D$2:$D$20000,$B112,元データ!$B$2:$B$20000,$C$3,元データ!$C$2:$C$20000,C$5)</f>
        <v>397</v>
      </c>
      <c r="D112" s="16">
        <f>SUMIFS(INDEX(元データ!$E$2:$H$20000,0,MATCH($C$2,元データ!$E$1:$H$1,0)),元データ!$A$2:$A$20000,$A111,元データ!$D$2:$D$20000,$B112,元データ!$B$2:$B$20000,$C$3,元データ!$C$2:$C$20000,D$5)</f>
        <v>392</v>
      </c>
      <c r="E112" s="16">
        <f>SUMIFS(INDEX(元データ!$E$2:$H$20000,0,MATCH($C$2,元データ!$E$1:$H$1,0)),元データ!$A$2:$A$20000,$A111,元データ!$D$2:$D$20000,$B112,元データ!$B$2:$B$20000,$C$3,元データ!$C$2:$C$20000,E$5)</f>
        <v>533</v>
      </c>
      <c r="F112" s="16">
        <f>SUMIFS(INDEX(元データ!$E$2:$H$20000,0,MATCH($C$2,元データ!$E$1:$H$1,0)),元データ!$A$2:$A$20000,$A111,元データ!$D$2:$D$20000,$B112,元データ!$B$2:$B$20000,$C$3,元データ!$C$2:$C$20000,F$5)</f>
        <v>469</v>
      </c>
      <c r="G112" s="16">
        <f>SUMIFS(INDEX(元データ!$E$2:$H$20000,0,MATCH($C$2,元データ!$E$1:$H$1,0)),元データ!$A$2:$A$20000,$A111,元データ!$D$2:$D$20000,$B112,元データ!$B$2:$B$20000,$C$3,元データ!$C$2:$C$20000,G$5)</f>
        <v>507</v>
      </c>
      <c r="H112" s="16">
        <f>SUMIFS(INDEX(元データ!$E$2:$H$20000,0,MATCH($C$2,元データ!$E$1:$H$1,0)),元データ!$A$2:$A$20000,$A111,元データ!$D$2:$D$20000,$B112,元データ!$B$2:$B$20000,$C$3,元データ!$C$2:$C$20000,H$5)</f>
        <v>307</v>
      </c>
      <c r="I112" s="16">
        <f>SUMIFS(INDEX(元データ!$E$2:$H$20000,0,MATCH($C$2,元データ!$E$1:$H$1,0)),元データ!$A$2:$A$20000,$A111,元データ!$D$2:$D$20000,$B112,元データ!$B$2:$B$20000,$C$3,元データ!$C$2:$C$20000,I$5)</f>
        <v>258</v>
      </c>
      <c r="J112" s="16">
        <f>SUMIFS(INDEX(元データ!$E$2:$H$20000,0,MATCH($C$2,元データ!$E$1:$H$1,0)),元データ!$A$2:$A$20000,$A111,元データ!$D$2:$D$20000,$B112,元データ!$B$2:$B$20000,$C$3,元データ!$C$2:$C$20000,J$5)</f>
        <v>473</v>
      </c>
      <c r="K112" s="16">
        <f>SUMIFS(INDEX(元データ!$E$2:$H$20000,0,MATCH($C$2,元データ!$E$1:$H$1,0)),元データ!$A$2:$A$20000,$A111,元データ!$D$2:$D$20000,$B112,元データ!$B$2:$B$20000,$C$3,元データ!$C$2:$C$20000,K$5)</f>
        <v>609</v>
      </c>
      <c r="L112" s="16">
        <f>SUMIFS(INDEX(元データ!$E$2:$H$20000,0,MATCH($C$2,元データ!$E$1:$H$1,0)),元データ!$A$2:$A$20000,$A111,元データ!$D$2:$D$20000,$B112,元データ!$B$2:$B$20000,$C$3,元データ!$C$2:$C$20000,L$5)</f>
        <v>452</v>
      </c>
      <c r="M112" s="16">
        <f>SUMIFS(INDEX(元データ!$E$2:$H$20000,0,MATCH($C$2,元データ!$E$1:$H$1,0)),元データ!$A$2:$A$20000,$A111,元データ!$D$2:$D$20000,$B112,元データ!$B$2:$B$20000,$C$3,元データ!$C$2:$C$20000,M$5)</f>
        <v>523</v>
      </c>
      <c r="N112" s="16">
        <f>SUMIFS(INDEX(元データ!$E$2:$H$20000,0,MATCH($C$2,元データ!$E$1:$H$1,0)),元データ!$A$2:$A$20000,$A111,元データ!$D$2:$D$20000,$B112,元データ!$B$2:$B$20000,$C$3,元データ!$C$2:$C$20000,N$5)</f>
        <v>421</v>
      </c>
      <c r="O112" s="17">
        <f t="shared" si="6"/>
        <v>5341</v>
      </c>
      <c r="P112" s="17">
        <f>SUMIFS(INDEX(元データ!$E$2:$H$20000,0,MATCH($C$2,元データ!$E$1:$H$1,0)),元データ!$A$2:$A$20000,$A111,元データ!$D$2:$D$20000,$B112,元データ!$B$2:$B$20000,$D$3)</f>
        <v>5947</v>
      </c>
      <c r="Q112" s="25">
        <f t="shared" si="7"/>
        <v>0.89809988229359339</v>
      </c>
    </row>
    <row r="113" spans="1:17" x14ac:dyDescent="0.45">
      <c r="A113" s="14"/>
      <c r="B113" s="15" t="s">
        <v>29</v>
      </c>
      <c r="C113" s="16">
        <f>SUMIFS(INDEX(元データ!$E$2:$H$20000,0,MATCH($C$2,元データ!$E$1:$H$1,0)),元データ!$A$2:$A$20000,$A111,元データ!$D$2:$D$20000,$B113,元データ!$B$2:$B$20000,$C$3,元データ!$C$2:$C$20000,C$5)</f>
        <v>218</v>
      </c>
      <c r="D113" s="16">
        <f>SUMIFS(INDEX(元データ!$E$2:$H$20000,0,MATCH($C$2,元データ!$E$1:$H$1,0)),元データ!$A$2:$A$20000,$A111,元データ!$D$2:$D$20000,$B113,元データ!$B$2:$B$20000,$C$3,元データ!$C$2:$C$20000,D$5)</f>
        <v>193</v>
      </c>
      <c r="E113" s="16">
        <f>SUMIFS(INDEX(元データ!$E$2:$H$20000,0,MATCH($C$2,元データ!$E$1:$H$1,0)),元データ!$A$2:$A$20000,$A111,元データ!$D$2:$D$20000,$B113,元データ!$B$2:$B$20000,$C$3,元データ!$C$2:$C$20000,E$5)</f>
        <v>358</v>
      </c>
      <c r="F113" s="16">
        <f>SUMIFS(INDEX(元データ!$E$2:$H$20000,0,MATCH($C$2,元データ!$E$1:$H$1,0)),元データ!$A$2:$A$20000,$A111,元データ!$D$2:$D$20000,$B113,元データ!$B$2:$B$20000,$C$3,元データ!$C$2:$C$20000,F$5)</f>
        <v>349</v>
      </c>
      <c r="G113" s="16">
        <f>SUMIFS(INDEX(元データ!$E$2:$H$20000,0,MATCH($C$2,元データ!$E$1:$H$1,0)),元データ!$A$2:$A$20000,$A111,元データ!$D$2:$D$20000,$B113,元データ!$B$2:$B$20000,$C$3,元データ!$C$2:$C$20000,G$5)</f>
        <v>376</v>
      </c>
      <c r="H113" s="16">
        <f>SUMIFS(INDEX(元データ!$E$2:$H$20000,0,MATCH($C$2,元データ!$E$1:$H$1,0)),元データ!$A$2:$A$20000,$A111,元データ!$D$2:$D$20000,$B113,元データ!$B$2:$B$20000,$C$3,元データ!$C$2:$C$20000,H$5)</f>
        <v>247</v>
      </c>
      <c r="I113" s="16">
        <f>SUMIFS(INDEX(元データ!$E$2:$H$20000,0,MATCH($C$2,元データ!$E$1:$H$1,0)),元データ!$A$2:$A$20000,$A111,元データ!$D$2:$D$20000,$B113,元データ!$B$2:$B$20000,$C$3,元データ!$C$2:$C$20000,I$5)</f>
        <v>212</v>
      </c>
      <c r="J113" s="16">
        <f>SUMIFS(INDEX(元データ!$E$2:$H$20000,0,MATCH($C$2,元データ!$E$1:$H$1,0)),元データ!$A$2:$A$20000,$A111,元データ!$D$2:$D$20000,$B113,元データ!$B$2:$B$20000,$C$3,元データ!$C$2:$C$20000,J$5)</f>
        <v>414</v>
      </c>
      <c r="K113" s="16">
        <f>SUMIFS(INDEX(元データ!$E$2:$H$20000,0,MATCH($C$2,元データ!$E$1:$H$1,0)),元データ!$A$2:$A$20000,$A111,元データ!$D$2:$D$20000,$B113,元データ!$B$2:$B$20000,$C$3,元データ!$C$2:$C$20000,K$5)</f>
        <v>538</v>
      </c>
      <c r="L113" s="16">
        <f>SUMIFS(INDEX(元データ!$E$2:$H$20000,0,MATCH($C$2,元データ!$E$1:$H$1,0)),元データ!$A$2:$A$20000,$A111,元データ!$D$2:$D$20000,$B113,元データ!$B$2:$B$20000,$C$3,元データ!$C$2:$C$20000,L$5)</f>
        <v>360</v>
      </c>
      <c r="M113" s="16">
        <f>SUMIFS(INDEX(元データ!$E$2:$H$20000,0,MATCH($C$2,元データ!$E$1:$H$1,0)),元データ!$A$2:$A$20000,$A111,元データ!$D$2:$D$20000,$B113,元データ!$B$2:$B$20000,$C$3,元データ!$C$2:$C$20000,M$5)</f>
        <v>343</v>
      </c>
      <c r="N113" s="16">
        <f>SUMIFS(INDEX(元データ!$E$2:$H$20000,0,MATCH($C$2,元データ!$E$1:$H$1,0)),元データ!$A$2:$A$20000,$A111,元データ!$D$2:$D$20000,$B113,元データ!$B$2:$B$20000,$C$3,元データ!$C$2:$C$20000,N$5)</f>
        <v>246</v>
      </c>
      <c r="O113" s="17">
        <f t="shared" si="6"/>
        <v>3854</v>
      </c>
      <c r="P113" s="17">
        <f>SUMIFS(INDEX(元データ!$E$2:$H$20000,0,MATCH($C$2,元データ!$E$1:$H$1,0)),元データ!$A$2:$A$20000,$A111,元データ!$D$2:$D$20000,$B113,元データ!$B$2:$B$20000,$D$3)</f>
        <v>4016</v>
      </c>
      <c r="Q113" s="25">
        <f t="shared" si="7"/>
        <v>0.95966135458167334</v>
      </c>
    </row>
    <row r="114" spans="1:17" x14ac:dyDescent="0.45">
      <c r="A114" s="14" t="str">
        <f>店舗マスタ!A38</f>
        <v>豊田店</v>
      </c>
      <c r="B114" s="15" t="s">
        <v>27</v>
      </c>
      <c r="C114" s="16">
        <f>SUMIFS(INDEX(元データ!$E$2:$H$20000,0,MATCH($C$2,元データ!$E$1:$H$1,0)),元データ!$A$2:$A$20000,$A114,元データ!$D$2:$D$20000,$B114,元データ!$B$2:$B$20000,$C$3,元データ!$C$2:$C$20000,C$5)</f>
        <v>1005</v>
      </c>
      <c r="D114" s="16">
        <f>SUMIFS(INDEX(元データ!$E$2:$H$20000,0,MATCH($C$2,元データ!$E$1:$H$1,0)),元データ!$A$2:$A$20000,$A114,元データ!$D$2:$D$20000,$B114,元データ!$B$2:$B$20000,$C$3,元データ!$C$2:$C$20000,D$5)</f>
        <v>1301</v>
      </c>
      <c r="E114" s="16">
        <f>SUMIFS(INDEX(元データ!$E$2:$H$20000,0,MATCH($C$2,元データ!$E$1:$H$1,0)),元データ!$A$2:$A$20000,$A114,元データ!$D$2:$D$20000,$B114,元データ!$B$2:$B$20000,$C$3,元データ!$C$2:$C$20000,E$5)</f>
        <v>1600</v>
      </c>
      <c r="F114" s="16">
        <f>SUMIFS(INDEX(元データ!$E$2:$H$20000,0,MATCH($C$2,元データ!$E$1:$H$1,0)),元データ!$A$2:$A$20000,$A114,元データ!$D$2:$D$20000,$B114,元データ!$B$2:$B$20000,$C$3,元データ!$C$2:$C$20000,F$5)</f>
        <v>1423</v>
      </c>
      <c r="G114" s="16">
        <f>SUMIFS(INDEX(元データ!$E$2:$H$20000,0,MATCH($C$2,元データ!$E$1:$H$1,0)),元データ!$A$2:$A$20000,$A114,元データ!$D$2:$D$20000,$B114,元データ!$B$2:$B$20000,$C$3,元データ!$C$2:$C$20000,G$5)</f>
        <v>1455</v>
      </c>
      <c r="H114" s="16">
        <f>SUMIFS(INDEX(元データ!$E$2:$H$20000,0,MATCH($C$2,元データ!$E$1:$H$1,0)),元データ!$A$2:$A$20000,$A114,元データ!$D$2:$D$20000,$B114,元データ!$B$2:$B$20000,$C$3,元データ!$C$2:$C$20000,H$5)</f>
        <v>1138</v>
      </c>
      <c r="I114" s="16">
        <f>SUMIFS(INDEX(元データ!$E$2:$H$20000,0,MATCH($C$2,元データ!$E$1:$H$1,0)),元データ!$A$2:$A$20000,$A114,元データ!$D$2:$D$20000,$B114,元データ!$B$2:$B$20000,$C$3,元データ!$C$2:$C$20000,I$5)</f>
        <v>1148</v>
      </c>
      <c r="J114" s="16">
        <f>SUMIFS(INDEX(元データ!$E$2:$H$20000,0,MATCH($C$2,元データ!$E$1:$H$1,0)),元データ!$A$2:$A$20000,$A114,元データ!$D$2:$D$20000,$B114,元データ!$B$2:$B$20000,$C$3,元データ!$C$2:$C$20000,J$5)</f>
        <v>1401</v>
      </c>
      <c r="K114" s="16">
        <f>SUMIFS(INDEX(元データ!$E$2:$H$20000,0,MATCH($C$2,元データ!$E$1:$H$1,0)),元データ!$A$2:$A$20000,$A114,元データ!$D$2:$D$20000,$B114,元データ!$B$2:$B$20000,$C$3,元データ!$C$2:$C$20000,K$5)</f>
        <v>1296</v>
      </c>
      <c r="L114" s="16">
        <f>SUMIFS(INDEX(元データ!$E$2:$H$20000,0,MATCH($C$2,元データ!$E$1:$H$1,0)),元データ!$A$2:$A$20000,$A114,元データ!$D$2:$D$20000,$B114,元データ!$B$2:$B$20000,$C$3,元データ!$C$2:$C$20000,L$5)</f>
        <v>1086</v>
      </c>
      <c r="M114" s="16">
        <f>SUMIFS(INDEX(元データ!$E$2:$H$20000,0,MATCH($C$2,元データ!$E$1:$H$1,0)),元データ!$A$2:$A$20000,$A114,元データ!$D$2:$D$20000,$B114,元データ!$B$2:$B$20000,$C$3,元データ!$C$2:$C$20000,M$5)</f>
        <v>1304</v>
      </c>
      <c r="N114" s="16">
        <f>SUMIFS(INDEX(元データ!$E$2:$H$20000,0,MATCH($C$2,元データ!$E$1:$H$1,0)),元データ!$A$2:$A$20000,$A114,元データ!$D$2:$D$20000,$B114,元データ!$B$2:$B$20000,$C$3,元データ!$C$2:$C$20000,N$5)</f>
        <v>1077</v>
      </c>
      <c r="O114" s="17">
        <f t="shared" si="6"/>
        <v>15234</v>
      </c>
      <c r="P114" s="17">
        <f>SUMIFS(INDEX(元データ!$E$2:$H$20000,0,MATCH($C$2,元データ!$E$1:$H$1,0)),元データ!$A$2:$A$20000,$A114,元データ!$D$2:$D$20000,$B114,元データ!$B$2:$B$20000,$D$3)</f>
        <v>17246</v>
      </c>
      <c r="Q114" s="25">
        <f t="shared" si="7"/>
        <v>0.88333526614867219</v>
      </c>
    </row>
    <row r="115" spans="1:17" x14ac:dyDescent="0.45">
      <c r="A115" s="14"/>
      <c r="B115" s="15" t="s">
        <v>28</v>
      </c>
      <c r="C115" s="16">
        <f>SUMIFS(INDEX(元データ!$E$2:$H$20000,0,MATCH($C$2,元データ!$E$1:$H$1,0)),元データ!$A$2:$A$20000,$A114,元データ!$D$2:$D$20000,$B115,元データ!$B$2:$B$20000,$C$3,元データ!$C$2:$C$20000,C$5)</f>
        <v>509</v>
      </c>
      <c r="D115" s="16">
        <f>SUMIFS(INDEX(元データ!$E$2:$H$20000,0,MATCH($C$2,元データ!$E$1:$H$1,0)),元データ!$A$2:$A$20000,$A114,元データ!$D$2:$D$20000,$B115,元データ!$B$2:$B$20000,$C$3,元データ!$C$2:$C$20000,D$5)</f>
        <v>572</v>
      </c>
      <c r="E115" s="16">
        <f>SUMIFS(INDEX(元データ!$E$2:$H$20000,0,MATCH($C$2,元データ!$E$1:$H$1,0)),元データ!$A$2:$A$20000,$A114,元データ!$D$2:$D$20000,$B115,元データ!$B$2:$B$20000,$C$3,元データ!$C$2:$C$20000,E$5)</f>
        <v>798</v>
      </c>
      <c r="F115" s="16">
        <f>SUMIFS(INDEX(元データ!$E$2:$H$20000,0,MATCH($C$2,元データ!$E$1:$H$1,0)),元データ!$A$2:$A$20000,$A114,元データ!$D$2:$D$20000,$B115,元データ!$B$2:$B$20000,$C$3,元データ!$C$2:$C$20000,F$5)</f>
        <v>642</v>
      </c>
      <c r="G115" s="16">
        <f>SUMIFS(INDEX(元データ!$E$2:$H$20000,0,MATCH($C$2,元データ!$E$1:$H$1,0)),元データ!$A$2:$A$20000,$A114,元データ!$D$2:$D$20000,$B115,元データ!$B$2:$B$20000,$C$3,元データ!$C$2:$C$20000,G$5)</f>
        <v>657</v>
      </c>
      <c r="H115" s="16">
        <f>SUMIFS(INDEX(元データ!$E$2:$H$20000,0,MATCH($C$2,元データ!$E$1:$H$1,0)),元データ!$A$2:$A$20000,$A114,元データ!$D$2:$D$20000,$B115,元データ!$B$2:$B$20000,$C$3,元データ!$C$2:$C$20000,H$5)</f>
        <v>396</v>
      </c>
      <c r="I115" s="16">
        <f>SUMIFS(INDEX(元データ!$E$2:$H$20000,0,MATCH($C$2,元データ!$E$1:$H$1,0)),元データ!$A$2:$A$20000,$A114,元データ!$D$2:$D$20000,$B115,元データ!$B$2:$B$20000,$C$3,元データ!$C$2:$C$20000,I$5)</f>
        <v>366</v>
      </c>
      <c r="J115" s="16">
        <f>SUMIFS(INDEX(元データ!$E$2:$H$20000,0,MATCH($C$2,元データ!$E$1:$H$1,0)),元データ!$A$2:$A$20000,$A114,元データ!$D$2:$D$20000,$B115,元データ!$B$2:$B$20000,$C$3,元データ!$C$2:$C$20000,J$5)</f>
        <v>561</v>
      </c>
      <c r="K115" s="16">
        <f>SUMIFS(INDEX(元データ!$E$2:$H$20000,0,MATCH($C$2,元データ!$E$1:$H$1,0)),元データ!$A$2:$A$20000,$A114,元データ!$D$2:$D$20000,$B115,元データ!$B$2:$B$20000,$C$3,元データ!$C$2:$C$20000,K$5)</f>
        <v>798</v>
      </c>
      <c r="L115" s="16">
        <f>SUMIFS(INDEX(元データ!$E$2:$H$20000,0,MATCH($C$2,元データ!$E$1:$H$1,0)),元データ!$A$2:$A$20000,$A114,元データ!$D$2:$D$20000,$B115,元データ!$B$2:$B$20000,$C$3,元データ!$C$2:$C$20000,L$5)</f>
        <v>616</v>
      </c>
      <c r="M115" s="16">
        <f>SUMIFS(INDEX(元データ!$E$2:$H$20000,0,MATCH($C$2,元データ!$E$1:$H$1,0)),元データ!$A$2:$A$20000,$A114,元データ!$D$2:$D$20000,$B115,元データ!$B$2:$B$20000,$C$3,元データ!$C$2:$C$20000,M$5)</f>
        <v>625</v>
      </c>
      <c r="N115" s="16">
        <f>SUMIFS(INDEX(元データ!$E$2:$H$20000,0,MATCH($C$2,元データ!$E$1:$H$1,0)),元データ!$A$2:$A$20000,$A114,元データ!$D$2:$D$20000,$B115,元データ!$B$2:$B$20000,$C$3,元データ!$C$2:$C$20000,N$5)</f>
        <v>481</v>
      </c>
      <c r="O115" s="17">
        <f t="shared" si="6"/>
        <v>7021</v>
      </c>
      <c r="P115" s="17">
        <f>SUMIFS(INDEX(元データ!$E$2:$H$20000,0,MATCH($C$2,元データ!$E$1:$H$1,0)),元データ!$A$2:$A$20000,$A114,元データ!$D$2:$D$20000,$B115,元データ!$B$2:$B$20000,$D$3)</f>
        <v>7610</v>
      </c>
      <c r="Q115" s="25">
        <f t="shared" si="7"/>
        <v>0.9226018396846255</v>
      </c>
    </row>
    <row r="116" spans="1:17" x14ac:dyDescent="0.45">
      <c r="A116" s="14"/>
      <c r="B116" s="15" t="s">
        <v>29</v>
      </c>
      <c r="C116" s="16">
        <f>SUMIFS(INDEX(元データ!$E$2:$H$20000,0,MATCH($C$2,元データ!$E$1:$H$1,0)),元データ!$A$2:$A$20000,$A114,元データ!$D$2:$D$20000,$B116,元データ!$B$2:$B$20000,$C$3,元データ!$C$2:$C$20000,C$5)</f>
        <v>218</v>
      </c>
      <c r="D116" s="16">
        <f>SUMIFS(INDEX(元データ!$E$2:$H$20000,0,MATCH($C$2,元データ!$E$1:$H$1,0)),元データ!$A$2:$A$20000,$A114,元データ!$D$2:$D$20000,$B116,元データ!$B$2:$B$20000,$C$3,元データ!$C$2:$C$20000,D$5)</f>
        <v>263</v>
      </c>
      <c r="E116" s="16">
        <f>SUMIFS(INDEX(元データ!$E$2:$H$20000,0,MATCH($C$2,元データ!$E$1:$H$1,0)),元データ!$A$2:$A$20000,$A114,元データ!$D$2:$D$20000,$B116,元データ!$B$2:$B$20000,$C$3,元データ!$C$2:$C$20000,E$5)</f>
        <v>473</v>
      </c>
      <c r="F116" s="16">
        <f>SUMIFS(INDEX(元データ!$E$2:$H$20000,0,MATCH($C$2,元データ!$E$1:$H$1,0)),元データ!$A$2:$A$20000,$A114,元データ!$D$2:$D$20000,$B116,元データ!$B$2:$B$20000,$C$3,元データ!$C$2:$C$20000,F$5)</f>
        <v>424</v>
      </c>
      <c r="G116" s="16">
        <f>SUMIFS(INDEX(元データ!$E$2:$H$20000,0,MATCH($C$2,元データ!$E$1:$H$1,0)),元データ!$A$2:$A$20000,$A114,元データ!$D$2:$D$20000,$B116,元データ!$B$2:$B$20000,$C$3,元データ!$C$2:$C$20000,G$5)</f>
        <v>457</v>
      </c>
      <c r="H116" s="16">
        <f>SUMIFS(INDEX(元データ!$E$2:$H$20000,0,MATCH($C$2,元データ!$E$1:$H$1,0)),元データ!$A$2:$A$20000,$A114,元データ!$D$2:$D$20000,$B116,元データ!$B$2:$B$20000,$C$3,元データ!$C$2:$C$20000,H$5)</f>
        <v>275</v>
      </c>
      <c r="I116" s="16">
        <f>SUMIFS(INDEX(元データ!$E$2:$H$20000,0,MATCH($C$2,元データ!$E$1:$H$1,0)),元データ!$A$2:$A$20000,$A114,元データ!$D$2:$D$20000,$B116,元データ!$B$2:$B$20000,$C$3,元データ!$C$2:$C$20000,I$5)</f>
        <v>231</v>
      </c>
      <c r="J116" s="16">
        <f>SUMIFS(INDEX(元データ!$E$2:$H$20000,0,MATCH($C$2,元データ!$E$1:$H$1,0)),元データ!$A$2:$A$20000,$A114,元データ!$D$2:$D$20000,$B116,元データ!$B$2:$B$20000,$C$3,元データ!$C$2:$C$20000,J$5)</f>
        <v>465</v>
      </c>
      <c r="K116" s="16">
        <f>SUMIFS(INDEX(元データ!$E$2:$H$20000,0,MATCH($C$2,元データ!$E$1:$H$1,0)),元データ!$A$2:$A$20000,$A114,元データ!$D$2:$D$20000,$B116,元データ!$B$2:$B$20000,$C$3,元データ!$C$2:$C$20000,K$5)</f>
        <v>672</v>
      </c>
      <c r="L116" s="16">
        <f>SUMIFS(INDEX(元データ!$E$2:$H$20000,0,MATCH($C$2,元データ!$E$1:$H$1,0)),元データ!$A$2:$A$20000,$A114,元データ!$D$2:$D$20000,$B116,元データ!$B$2:$B$20000,$C$3,元データ!$C$2:$C$20000,L$5)</f>
        <v>418</v>
      </c>
      <c r="M116" s="16">
        <f>SUMIFS(INDEX(元データ!$E$2:$H$20000,0,MATCH($C$2,元データ!$E$1:$H$1,0)),元データ!$A$2:$A$20000,$A114,元データ!$D$2:$D$20000,$B116,元データ!$B$2:$B$20000,$C$3,元データ!$C$2:$C$20000,M$5)</f>
        <v>447</v>
      </c>
      <c r="N116" s="16">
        <f>SUMIFS(INDEX(元データ!$E$2:$H$20000,0,MATCH($C$2,元データ!$E$1:$H$1,0)),元データ!$A$2:$A$20000,$A114,元データ!$D$2:$D$20000,$B116,元データ!$B$2:$B$20000,$C$3,元データ!$C$2:$C$20000,N$5)</f>
        <v>277</v>
      </c>
      <c r="O116" s="17">
        <f t="shared" si="6"/>
        <v>4620</v>
      </c>
      <c r="P116" s="17">
        <f>SUMIFS(INDEX(元データ!$E$2:$H$20000,0,MATCH($C$2,元データ!$E$1:$H$1,0)),元データ!$A$2:$A$20000,$A114,元データ!$D$2:$D$20000,$B116,元データ!$B$2:$B$20000,$D$3)</f>
        <v>4747</v>
      </c>
      <c r="Q116" s="25">
        <f t="shared" si="7"/>
        <v>0.9732462607962924</v>
      </c>
    </row>
    <row r="117" spans="1:17" x14ac:dyDescent="0.45">
      <c r="A117" s="14" t="str">
        <f>店舗マスタ!A39</f>
        <v>吉田店</v>
      </c>
      <c r="B117" s="15" t="s">
        <v>27</v>
      </c>
      <c r="C117" s="16">
        <f>SUMIFS(INDEX(元データ!$E$2:$H$20000,0,MATCH($C$2,元データ!$E$1:$H$1,0)),元データ!$A$2:$A$20000,$A117,元データ!$D$2:$D$20000,$B117,元データ!$B$2:$B$20000,$C$3,元データ!$C$2:$C$20000,C$5)</f>
        <v>618</v>
      </c>
      <c r="D117" s="16">
        <f>SUMIFS(INDEX(元データ!$E$2:$H$20000,0,MATCH($C$2,元データ!$E$1:$H$1,0)),元データ!$A$2:$A$20000,$A117,元データ!$D$2:$D$20000,$B117,元データ!$B$2:$B$20000,$C$3,元データ!$C$2:$C$20000,D$5)</f>
        <v>656</v>
      </c>
      <c r="E117" s="16">
        <f>SUMIFS(INDEX(元データ!$E$2:$H$20000,0,MATCH($C$2,元データ!$E$1:$H$1,0)),元データ!$A$2:$A$20000,$A117,元データ!$D$2:$D$20000,$B117,元データ!$B$2:$B$20000,$C$3,元データ!$C$2:$C$20000,E$5)</f>
        <v>784</v>
      </c>
      <c r="F117" s="16">
        <f>SUMIFS(INDEX(元データ!$E$2:$H$20000,0,MATCH($C$2,元データ!$E$1:$H$1,0)),元データ!$A$2:$A$20000,$A117,元データ!$D$2:$D$20000,$B117,元データ!$B$2:$B$20000,$C$3,元データ!$C$2:$C$20000,F$5)</f>
        <v>728</v>
      </c>
      <c r="G117" s="16">
        <f>SUMIFS(INDEX(元データ!$E$2:$H$20000,0,MATCH($C$2,元データ!$E$1:$H$1,0)),元データ!$A$2:$A$20000,$A117,元データ!$D$2:$D$20000,$B117,元データ!$B$2:$B$20000,$C$3,元データ!$C$2:$C$20000,G$5)</f>
        <v>685</v>
      </c>
      <c r="H117" s="16">
        <f>SUMIFS(INDEX(元データ!$E$2:$H$20000,0,MATCH($C$2,元データ!$E$1:$H$1,0)),元データ!$A$2:$A$20000,$A117,元データ!$D$2:$D$20000,$B117,元データ!$B$2:$B$20000,$C$3,元データ!$C$2:$C$20000,H$5)</f>
        <v>586</v>
      </c>
      <c r="I117" s="16">
        <f>SUMIFS(INDEX(元データ!$E$2:$H$20000,0,MATCH($C$2,元データ!$E$1:$H$1,0)),元データ!$A$2:$A$20000,$A117,元データ!$D$2:$D$20000,$B117,元データ!$B$2:$B$20000,$C$3,元データ!$C$2:$C$20000,I$5)</f>
        <v>543</v>
      </c>
      <c r="J117" s="16">
        <f>SUMIFS(INDEX(元データ!$E$2:$H$20000,0,MATCH($C$2,元データ!$E$1:$H$1,0)),元データ!$A$2:$A$20000,$A117,元データ!$D$2:$D$20000,$B117,元データ!$B$2:$B$20000,$C$3,元データ!$C$2:$C$20000,J$5)</f>
        <v>675</v>
      </c>
      <c r="K117" s="16">
        <f>SUMIFS(INDEX(元データ!$E$2:$H$20000,0,MATCH($C$2,元データ!$E$1:$H$1,0)),元データ!$A$2:$A$20000,$A117,元データ!$D$2:$D$20000,$B117,元データ!$B$2:$B$20000,$C$3,元データ!$C$2:$C$20000,K$5)</f>
        <v>754</v>
      </c>
      <c r="L117" s="16">
        <f>SUMIFS(INDEX(元データ!$E$2:$H$20000,0,MATCH($C$2,元データ!$E$1:$H$1,0)),元データ!$A$2:$A$20000,$A117,元データ!$D$2:$D$20000,$B117,元データ!$B$2:$B$20000,$C$3,元データ!$C$2:$C$20000,L$5)</f>
        <v>660</v>
      </c>
      <c r="M117" s="16">
        <f>SUMIFS(INDEX(元データ!$E$2:$H$20000,0,MATCH($C$2,元データ!$E$1:$H$1,0)),元データ!$A$2:$A$20000,$A117,元データ!$D$2:$D$20000,$B117,元データ!$B$2:$B$20000,$C$3,元データ!$C$2:$C$20000,M$5)</f>
        <v>681</v>
      </c>
      <c r="N117" s="16">
        <f>SUMIFS(INDEX(元データ!$E$2:$H$20000,0,MATCH($C$2,元データ!$E$1:$H$1,0)),元データ!$A$2:$A$20000,$A117,元データ!$D$2:$D$20000,$B117,元データ!$B$2:$B$20000,$C$3,元データ!$C$2:$C$20000,N$5)</f>
        <v>711</v>
      </c>
      <c r="O117" s="17">
        <f t="shared" si="6"/>
        <v>8081</v>
      </c>
      <c r="P117" s="17">
        <f>SUMIFS(INDEX(元データ!$E$2:$H$20000,0,MATCH($C$2,元データ!$E$1:$H$1,0)),元データ!$A$2:$A$20000,$A117,元データ!$D$2:$D$20000,$B117,元データ!$B$2:$B$20000,$D$3)</f>
        <v>9289</v>
      </c>
      <c r="Q117" s="25">
        <f t="shared" si="7"/>
        <v>0.86995370868769517</v>
      </c>
    </row>
    <row r="118" spans="1:17" x14ac:dyDescent="0.45">
      <c r="A118" s="14"/>
      <c r="B118" s="15" t="s">
        <v>28</v>
      </c>
      <c r="C118" s="16">
        <f>SUMIFS(INDEX(元データ!$E$2:$H$20000,0,MATCH($C$2,元データ!$E$1:$H$1,0)),元データ!$A$2:$A$20000,$A117,元データ!$D$2:$D$20000,$B118,元データ!$B$2:$B$20000,$C$3,元データ!$C$2:$C$20000,C$5)</f>
        <v>437</v>
      </c>
      <c r="D118" s="16">
        <f>SUMIFS(INDEX(元データ!$E$2:$H$20000,0,MATCH($C$2,元データ!$E$1:$H$1,0)),元データ!$A$2:$A$20000,$A117,元データ!$D$2:$D$20000,$B118,元データ!$B$2:$B$20000,$C$3,元データ!$C$2:$C$20000,D$5)</f>
        <v>399</v>
      </c>
      <c r="E118" s="16">
        <f>SUMIFS(INDEX(元データ!$E$2:$H$20000,0,MATCH($C$2,元データ!$E$1:$H$1,0)),元データ!$A$2:$A$20000,$A117,元データ!$D$2:$D$20000,$B118,元データ!$B$2:$B$20000,$C$3,元データ!$C$2:$C$20000,E$5)</f>
        <v>465</v>
      </c>
      <c r="F118" s="16">
        <f>SUMIFS(INDEX(元データ!$E$2:$H$20000,0,MATCH($C$2,元データ!$E$1:$H$1,0)),元データ!$A$2:$A$20000,$A117,元データ!$D$2:$D$20000,$B118,元データ!$B$2:$B$20000,$C$3,元データ!$C$2:$C$20000,F$5)</f>
        <v>532</v>
      </c>
      <c r="G118" s="16">
        <f>SUMIFS(INDEX(元データ!$E$2:$H$20000,0,MATCH($C$2,元データ!$E$1:$H$1,0)),元データ!$A$2:$A$20000,$A117,元データ!$D$2:$D$20000,$B118,元データ!$B$2:$B$20000,$C$3,元データ!$C$2:$C$20000,G$5)</f>
        <v>514</v>
      </c>
      <c r="H118" s="16">
        <f>SUMIFS(INDEX(元データ!$E$2:$H$20000,0,MATCH($C$2,元データ!$E$1:$H$1,0)),元データ!$A$2:$A$20000,$A117,元データ!$D$2:$D$20000,$B118,元データ!$B$2:$B$20000,$C$3,元データ!$C$2:$C$20000,H$5)</f>
        <v>370</v>
      </c>
      <c r="I118" s="16">
        <f>SUMIFS(INDEX(元データ!$E$2:$H$20000,0,MATCH($C$2,元データ!$E$1:$H$1,0)),元データ!$A$2:$A$20000,$A117,元データ!$D$2:$D$20000,$B118,元データ!$B$2:$B$20000,$C$3,元データ!$C$2:$C$20000,I$5)</f>
        <v>310</v>
      </c>
      <c r="J118" s="16">
        <f>SUMIFS(INDEX(元データ!$E$2:$H$20000,0,MATCH($C$2,元データ!$E$1:$H$1,0)),元データ!$A$2:$A$20000,$A117,元データ!$D$2:$D$20000,$B118,元データ!$B$2:$B$20000,$C$3,元データ!$C$2:$C$20000,J$5)</f>
        <v>488</v>
      </c>
      <c r="K118" s="16">
        <f>SUMIFS(INDEX(元データ!$E$2:$H$20000,0,MATCH($C$2,元データ!$E$1:$H$1,0)),元データ!$A$2:$A$20000,$A117,元データ!$D$2:$D$20000,$B118,元データ!$B$2:$B$20000,$C$3,元データ!$C$2:$C$20000,K$5)</f>
        <v>671</v>
      </c>
      <c r="L118" s="16">
        <f>SUMIFS(INDEX(元データ!$E$2:$H$20000,0,MATCH($C$2,元データ!$E$1:$H$1,0)),元データ!$A$2:$A$20000,$A117,元データ!$D$2:$D$20000,$B118,元データ!$B$2:$B$20000,$C$3,元データ!$C$2:$C$20000,L$5)</f>
        <v>440</v>
      </c>
      <c r="M118" s="16">
        <f>SUMIFS(INDEX(元データ!$E$2:$H$20000,0,MATCH($C$2,元データ!$E$1:$H$1,0)),元データ!$A$2:$A$20000,$A117,元データ!$D$2:$D$20000,$B118,元データ!$B$2:$B$20000,$C$3,元データ!$C$2:$C$20000,M$5)</f>
        <v>408</v>
      </c>
      <c r="N118" s="16">
        <f>SUMIFS(INDEX(元データ!$E$2:$H$20000,0,MATCH($C$2,元データ!$E$1:$H$1,0)),元データ!$A$2:$A$20000,$A117,元データ!$D$2:$D$20000,$B118,元データ!$B$2:$B$20000,$C$3,元データ!$C$2:$C$20000,N$5)</f>
        <v>469</v>
      </c>
      <c r="O118" s="17">
        <f t="shared" si="6"/>
        <v>5503</v>
      </c>
      <c r="P118" s="17">
        <f>SUMIFS(INDEX(元データ!$E$2:$H$20000,0,MATCH($C$2,元データ!$E$1:$H$1,0)),元データ!$A$2:$A$20000,$A117,元データ!$D$2:$D$20000,$B118,元データ!$B$2:$B$20000,$D$3)</f>
        <v>6000</v>
      </c>
      <c r="Q118" s="25">
        <f t="shared" si="7"/>
        <v>0.91716666666666669</v>
      </c>
    </row>
    <row r="119" spans="1:17" x14ac:dyDescent="0.45">
      <c r="A119" s="14"/>
      <c r="B119" s="15" t="s">
        <v>29</v>
      </c>
      <c r="C119" s="16">
        <f>SUMIFS(INDEX(元データ!$E$2:$H$20000,0,MATCH($C$2,元データ!$E$1:$H$1,0)),元データ!$A$2:$A$20000,$A117,元データ!$D$2:$D$20000,$B119,元データ!$B$2:$B$20000,$C$3,元データ!$C$2:$C$20000,C$5)</f>
        <v>274</v>
      </c>
      <c r="D119" s="16">
        <f>SUMIFS(INDEX(元データ!$E$2:$H$20000,0,MATCH($C$2,元データ!$E$1:$H$1,0)),元データ!$A$2:$A$20000,$A117,元データ!$D$2:$D$20000,$B119,元データ!$B$2:$B$20000,$C$3,元データ!$C$2:$C$20000,D$5)</f>
        <v>270</v>
      </c>
      <c r="E119" s="16">
        <f>SUMIFS(INDEX(元データ!$E$2:$H$20000,0,MATCH($C$2,元データ!$E$1:$H$1,0)),元データ!$A$2:$A$20000,$A117,元データ!$D$2:$D$20000,$B119,元データ!$B$2:$B$20000,$C$3,元データ!$C$2:$C$20000,E$5)</f>
        <v>401</v>
      </c>
      <c r="F119" s="16">
        <f>SUMIFS(INDEX(元データ!$E$2:$H$20000,0,MATCH($C$2,元データ!$E$1:$H$1,0)),元データ!$A$2:$A$20000,$A117,元データ!$D$2:$D$20000,$B119,元データ!$B$2:$B$20000,$C$3,元データ!$C$2:$C$20000,F$5)</f>
        <v>438</v>
      </c>
      <c r="G119" s="16">
        <f>SUMIFS(INDEX(元データ!$E$2:$H$20000,0,MATCH($C$2,元データ!$E$1:$H$1,0)),元データ!$A$2:$A$20000,$A117,元データ!$D$2:$D$20000,$B119,元データ!$B$2:$B$20000,$C$3,元データ!$C$2:$C$20000,G$5)</f>
        <v>426</v>
      </c>
      <c r="H119" s="16">
        <f>SUMIFS(INDEX(元データ!$E$2:$H$20000,0,MATCH($C$2,元データ!$E$1:$H$1,0)),元データ!$A$2:$A$20000,$A117,元データ!$D$2:$D$20000,$B119,元データ!$B$2:$B$20000,$C$3,元データ!$C$2:$C$20000,H$5)</f>
        <v>313</v>
      </c>
      <c r="I119" s="16">
        <f>SUMIFS(INDEX(元データ!$E$2:$H$20000,0,MATCH($C$2,元データ!$E$1:$H$1,0)),元データ!$A$2:$A$20000,$A117,元データ!$D$2:$D$20000,$B119,元データ!$B$2:$B$20000,$C$3,元データ!$C$2:$C$20000,I$5)</f>
        <v>250</v>
      </c>
      <c r="J119" s="16">
        <f>SUMIFS(INDEX(元データ!$E$2:$H$20000,0,MATCH($C$2,元データ!$E$1:$H$1,0)),元データ!$A$2:$A$20000,$A117,元データ!$D$2:$D$20000,$B119,元データ!$B$2:$B$20000,$C$3,元データ!$C$2:$C$20000,J$5)</f>
        <v>508</v>
      </c>
      <c r="K119" s="16">
        <f>SUMIFS(INDEX(元データ!$E$2:$H$20000,0,MATCH($C$2,元データ!$E$1:$H$1,0)),元データ!$A$2:$A$20000,$A117,元データ!$D$2:$D$20000,$B119,元データ!$B$2:$B$20000,$C$3,元データ!$C$2:$C$20000,K$5)</f>
        <v>723</v>
      </c>
      <c r="L119" s="16">
        <f>SUMIFS(INDEX(元データ!$E$2:$H$20000,0,MATCH($C$2,元データ!$E$1:$H$1,0)),元データ!$A$2:$A$20000,$A117,元データ!$D$2:$D$20000,$B119,元データ!$B$2:$B$20000,$C$3,元データ!$C$2:$C$20000,L$5)</f>
        <v>445</v>
      </c>
      <c r="M119" s="16">
        <f>SUMIFS(INDEX(元データ!$E$2:$H$20000,0,MATCH($C$2,元データ!$E$1:$H$1,0)),元データ!$A$2:$A$20000,$A117,元データ!$D$2:$D$20000,$B119,元データ!$B$2:$B$20000,$C$3,元データ!$C$2:$C$20000,M$5)</f>
        <v>349</v>
      </c>
      <c r="N119" s="16">
        <f>SUMIFS(INDEX(元データ!$E$2:$H$20000,0,MATCH($C$2,元データ!$E$1:$H$1,0)),元データ!$A$2:$A$20000,$A117,元データ!$D$2:$D$20000,$B119,元データ!$B$2:$B$20000,$C$3,元データ!$C$2:$C$20000,N$5)</f>
        <v>393</v>
      </c>
      <c r="O119" s="17">
        <f t="shared" si="6"/>
        <v>4790</v>
      </c>
      <c r="P119" s="17">
        <f>SUMIFS(INDEX(元データ!$E$2:$H$20000,0,MATCH($C$2,元データ!$E$1:$H$1,0)),元データ!$A$2:$A$20000,$A117,元データ!$D$2:$D$20000,$B119,元データ!$B$2:$B$20000,$D$3)</f>
        <v>5129</v>
      </c>
      <c r="Q119" s="25">
        <f t="shared" si="7"/>
        <v>0.93390524468707348</v>
      </c>
    </row>
    <row r="120" spans="1:17" x14ac:dyDescent="0.45">
      <c r="A120" s="14" t="str">
        <f>店舗マスタ!A40</f>
        <v>石津店</v>
      </c>
      <c r="B120" s="15" t="s">
        <v>27</v>
      </c>
      <c r="C120" s="16">
        <f>SUMIFS(INDEX(元データ!$E$2:$H$20000,0,MATCH($C$2,元データ!$E$1:$H$1,0)),元データ!$A$2:$A$20000,$A120,元データ!$D$2:$D$20000,$B120,元データ!$B$2:$B$20000,$C$3,元データ!$C$2:$C$20000,C$5)</f>
        <v>808</v>
      </c>
      <c r="D120" s="16">
        <f>SUMIFS(INDEX(元データ!$E$2:$H$20000,0,MATCH($C$2,元データ!$E$1:$H$1,0)),元データ!$A$2:$A$20000,$A120,元データ!$D$2:$D$20000,$B120,元データ!$B$2:$B$20000,$C$3,元データ!$C$2:$C$20000,D$5)</f>
        <v>919</v>
      </c>
      <c r="E120" s="16">
        <f>SUMIFS(INDEX(元データ!$E$2:$H$20000,0,MATCH($C$2,元データ!$E$1:$H$1,0)),元データ!$A$2:$A$20000,$A120,元データ!$D$2:$D$20000,$B120,元データ!$B$2:$B$20000,$C$3,元データ!$C$2:$C$20000,E$5)</f>
        <v>1094</v>
      </c>
      <c r="F120" s="16">
        <f>SUMIFS(INDEX(元データ!$E$2:$H$20000,0,MATCH($C$2,元データ!$E$1:$H$1,0)),元データ!$A$2:$A$20000,$A120,元データ!$D$2:$D$20000,$B120,元データ!$B$2:$B$20000,$C$3,元データ!$C$2:$C$20000,F$5)</f>
        <v>1022</v>
      </c>
      <c r="G120" s="16">
        <f>SUMIFS(INDEX(元データ!$E$2:$H$20000,0,MATCH($C$2,元データ!$E$1:$H$1,0)),元データ!$A$2:$A$20000,$A120,元データ!$D$2:$D$20000,$B120,元データ!$B$2:$B$20000,$C$3,元データ!$C$2:$C$20000,G$5)</f>
        <v>1021</v>
      </c>
      <c r="H120" s="16">
        <f>SUMIFS(INDEX(元データ!$E$2:$H$20000,0,MATCH($C$2,元データ!$E$1:$H$1,0)),元データ!$A$2:$A$20000,$A120,元データ!$D$2:$D$20000,$B120,元データ!$B$2:$B$20000,$C$3,元データ!$C$2:$C$20000,H$5)</f>
        <v>757</v>
      </c>
      <c r="I120" s="16">
        <f>SUMIFS(INDEX(元データ!$E$2:$H$20000,0,MATCH($C$2,元データ!$E$1:$H$1,0)),元データ!$A$2:$A$20000,$A120,元データ!$D$2:$D$20000,$B120,元データ!$B$2:$B$20000,$C$3,元データ!$C$2:$C$20000,I$5)</f>
        <v>747</v>
      </c>
      <c r="J120" s="16">
        <f>SUMIFS(INDEX(元データ!$E$2:$H$20000,0,MATCH($C$2,元データ!$E$1:$H$1,0)),元データ!$A$2:$A$20000,$A120,元データ!$D$2:$D$20000,$B120,元データ!$B$2:$B$20000,$C$3,元データ!$C$2:$C$20000,J$5)</f>
        <v>1003</v>
      </c>
      <c r="K120" s="16">
        <f>SUMIFS(INDEX(元データ!$E$2:$H$20000,0,MATCH($C$2,元データ!$E$1:$H$1,0)),元データ!$A$2:$A$20000,$A120,元データ!$D$2:$D$20000,$B120,元データ!$B$2:$B$20000,$C$3,元データ!$C$2:$C$20000,K$5)</f>
        <v>915</v>
      </c>
      <c r="L120" s="16">
        <f>SUMIFS(INDEX(元データ!$E$2:$H$20000,0,MATCH($C$2,元データ!$E$1:$H$1,0)),元データ!$A$2:$A$20000,$A120,元データ!$D$2:$D$20000,$B120,元データ!$B$2:$B$20000,$C$3,元データ!$C$2:$C$20000,L$5)</f>
        <v>726</v>
      </c>
      <c r="M120" s="16">
        <f>SUMIFS(INDEX(元データ!$E$2:$H$20000,0,MATCH($C$2,元データ!$E$1:$H$1,0)),元データ!$A$2:$A$20000,$A120,元データ!$D$2:$D$20000,$B120,元データ!$B$2:$B$20000,$C$3,元データ!$C$2:$C$20000,M$5)</f>
        <v>826</v>
      </c>
      <c r="N120" s="16">
        <f>SUMIFS(INDEX(元データ!$E$2:$H$20000,0,MATCH($C$2,元データ!$E$1:$H$1,0)),元データ!$A$2:$A$20000,$A120,元データ!$D$2:$D$20000,$B120,元データ!$B$2:$B$20000,$C$3,元データ!$C$2:$C$20000,N$5)</f>
        <v>814</v>
      </c>
      <c r="O120" s="17">
        <f t="shared" si="6"/>
        <v>10652</v>
      </c>
      <c r="P120" s="17">
        <f>SUMIFS(INDEX(元データ!$E$2:$H$20000,0,MATCH($C$2,元データ!$E$1:$H$1,0)),元データ!$A$2:$A$20000,$A120,元データ!$D$2:$D$20000,$B120,元データ!$B$2:$B$20000,$D$3)</f>
        <v>11509</v>
      </c>
      <c r="Q120" s="25">
        <f t="shared" si="7"/>
        <v>0.92553653662351199</v>
      </c>
    </row>
    <row r="121" spans="1:17" x14ac:dyDescent="0.45">
      <c r="A121" s="14"/>
      <c r="B121" s="15" t="s">
        <v>28</v>
      </c>
      <c r="C121" s="16">
        <f>SUMIFS(INDEX(元データ!$E$2:$H$20000,0,MATCH($C$2,元データ!$E$1:$H$1,0)),元データ!$A$2:$A$20000,$A120,元データ!$D$2:$D$20000,$B121,元データ!$B$2:$B$20000,$C$3,元データ!$C$2:$C$20000,C$5)</f>
        <v>436</v>
      </c>
      <c r="D121" s="16">
        <f>SUMIFS(INDEX(元データ!$E$2:$H$20000,0,MATCH($C$2,元データ!$E$1:$H$1,0)),元データ!$A$2:$A$20000,$A120,元データ!$D$2:$D$20000,$B121,元データ!$B$2:$B$20000,$C$3,元データ!$C$2:$C$20000,D$5)</f>
        <v>470</v>
      </c>
      <c r="E121" s="16">
        <f>SUMIFS(INDEX(元データ!$E$2:$H$20000,0,MATCH($C$2,元データ!$E$1:$H$1,0)),元データ!$A$2:$A$20000,$A120,元データ!$D$2:$D$20000,$B121,元データ!$B$2:$B$20000,$C$3,元データ!$C$2:$C$20000,E$5)</f>
        <v>571</v>
      </c>
      <c r="F121" s="16">
        <f>SUMIFS(INDEX(元データ!$E$2:$H$20000,0,MATCH($C$2,元データ!$E$1:$H$1,0)),元データ!$A$2:$A$20000,$A120,元データ!$D$2:$D$20000,$B121,元データ!$B$2:$B$20000,$C$3,元データ!$C$2:$C$20000,F$5)</f>
        <v>517</v>
      </c>
      <c r="G121" s="16">
        <f>SUMIFS(INDEX(元データ!$E$2:$H$20000,0,MATCH($C$2,元データ!$E$1:$H$1,0)),元データ!$A$2:$A$20000,$A120,元データ!$D$2:$D$20000,$B121,元データ!$B$2:$B$20000,$C$3,元データ!$C$2:$C$20000,G$5)</f>
        <v>609</v>
      </c>
      <c r="H121" s="16">
        <f>SUMIFS(INDEX(元データ!$E$2:$H$20000,0,MATCH($C$2,元データ!$E$1:$H$1,0)),元データ!$A$2:$A$20000,$A120,元データ!$D$2:$D$20000,$B121,元データ!$B$2:$B$20000,$C$3,元データ!$C$2:$C$20000,H$5)</f>
        <v>388</v>
      </c>
      <c r="I121" s="16">
        <f>SUMIFS(INDEX(元データ!$E$2:$H$20000,0,MATCH($C$2,元データ!$E$1:$H$1,0)),元データ!$A$2:$A$20000,$A120,元データ!$D$2:$D$20000,$B121,元データ!$B$2:$B$20000,$C$3,元データ!$C$2:$C$20000,I$5)</f>
        <v>349</v>
      </c>
      <c r="J121" s="16">
        <f>SUMIFS(INDEX(元データ!$E$2:$H$20000,0,MATCH($C$2,元データ!$E$1:$H$1,0)),元データ!$A$2:$A$20000,$A120,元データ!$D$2:$D$20000,$B121,元データ!$B$2:$B$20000,$C$3,元データ!$C$2:$C$20000,J$5)</f>
        <v>582</v>
      </c>
      <c r="K121" s="16">
        <f>SUMIFS(INDEX(元データ!$E$2:$H$20000,0,MATCH($C$2,元データ!$E$1:$H$1,0)),元データ!$A$2:$A$20000,$A120,元データ!$D$2:$D$20000,$B121,元データ!$B$2:$B$20000,$C$3,元データ!$C$2:$C$20000,K$5)</f>
        <v>712</v>
      </c>
      <c r="L121" s="16">
        <f>SUMIFS(INDEX(元データ!$E$2:$H$20000,0,MATCH($C$2,元データ!$E$1:$H$1,0)),元データ!$A$2:$A$20000,$A120,元データ!$D$2:$D$20000,$B121,元データ!$B$2:$B$20000,$C$3,元データ!$C$2:$C$20000,L$5)</f>
        <v>520</v>
      </c>
      <c r="M121" s="16">
        <f>SUMIFS(INDEX(元データ!$E$2:$H$20000,0,MATCH($C$2,元データ!$E$1:$H$1,0)),元データ!$A$2:$A$20000,$A120,元データ!$D$2:$D$20000,$B121,元データ!$B$2:$B$20000,$C$3,元データ!$C$2:$C$20000,M$5)</f>
        <v>488</v>
      </c>
      <c r="N121" s="16">
        <f>SUMIFS(INDEX(元データ!$E$2:$H$20000,0,MATCH($C$2,元データ!$E$1:$H$1,0)),元データ!$A$2:$A$20000,$A120,元データ!$D$2:$D$20000,$B121,元データ!$B$2:$B$20000,$C$3,元データ!$C$2:$C$20000,N$5)</f>
        <v>466</v>
      </c>
      <c r="O121" s="17">
        <f t="shared" si="6"/>
        <v>6108</v>
      </c>
      <c r="P121" s="17">
        <f>SUMIFS(INDEX(元データ!$E$2:$H$20000,0,MATCH($C$2,元データ!$E$1:$H$1,0)),元データ!$A$2:$A$20000,$A120,元データ!$D$2:$D$20000,$B121,元データ!$B$2:$B$20000,$D$3)</f>
        <v>6277</v>
      </c>
      <c r="Q121" s="25">
        <f t="shared" si="7"/>
        <v>0.97307631033933406</v>
      </c>
    </row>
    <row r="122" spans="1:17" x14ac:dyDescent="0.45">
      <c r="A122" s="14"/>
      <c r="B122" s="15" t="s">
        <v>29</v>
      </c>
      <c r="C122" s="16">
        <f>SUMIFS(INDEX(元データ!$E$2:$H$20000,0,MATCH($C$2,元データ!$E$1:$H$1,0)),元データ!$A$2:$A$20000,$A120,元データ!$D$2:$D$20000,$B122,元データ!$B$2:$B$20000,$C$3,元データ!$C$2:$C$20000,C$5)</f>
        <v>263</v>
      </c>
      <c r="D122" s="16">
        <f>SUMIFS(INDEX(元データ!$E$2:$H$20000,0,MATCH($C$2,元データ!$E$1:$H$1,0)),元データ!$A$2:$A$20000,$A120,元データ!$D$2:$D$20000,$B122,元データ!$B$2:$B$20000,$C$3,元データ!$C$2:$C$20000,D$5)</f>
        <v>332</v>
      </c>
      <c r="E122" s="16">
        <f>SUMIFS(INDEX(元データ!$E$2:$H$20000,0,MATCH($C$2,元データ!$E$1:$H$1,0)),元データ!$A$2:$A$20000,$A120,元データ!$D$2:$D$20000,$B122,元データ!$B$2:$B$20000,$C$3,元データ!$C$2:$C$20000,E$5)</f>
        <v>476</v>
      </c>
      <c r="F122" s="16">
        <f>SUMIFS(INDEX(元データ!$E$2:$H$20000,0,MATCH($C$2,元データ!$E$1:$H$1,0)),元データ!$A$2:$A$20000,$A120,元データ!$D$2:$D$20000,$B122,元データ!$B$2:$B$20000,$C$3,元データ!$C$2:$C$20000,F$5)</f>
        <v>449</v>
      </c>
      <c r="G122" s="16">
        <f>SUMIFS(INDEX(元データ!$E$2:$H$20000,0,MATCH($C$2,元データ!$E$1:$H$1,0)),元データ!$A$2:$A$20000,$A120,元データ!$D$2:$D$20000,$B122,元データ!$B$2:$B$20000,$C$3,元データ!$C$2:$C$20000,G$5)</f>
        <v>498</v>
      </c>
      <c r="H122" s="16">
        <f>SUMIFS(INDEX(元データ!$E$2:$H$20000,0,MATCH($C$2,元データ!$E$1:$H$1,0)),元データ!$A$2:$A$20000,$A120,元データ!$D$2:$D$20000,$B122,元データ!$B$2:$B$20000,$C$3,元データ!$C$2:$C$20000,H$5)</f>
        <v>365</v>
      </c>
      <c r="I122" s="16">
        <f>SUMIFS(INDEX(元データ!$E$2:$H$20000,0,MATCH($C$2,元データ!$E$1:$H$1,0)),元データ!$A$2:$A$20000,$A120,元データ!$D$2:$D$20000,$B122,元データ!$B$2:$B$20000,$C$3,元データ!$C$2:$C$20000,I$5)</f>
        <v>332</v>
      </c>
      <c r="J122" s="16">
        <f>SUMIFS(INDEX(元データ!$E$2:$H$20000,0,MATCH($C$2,元データ!$E$1:$H$1,0)),元データ!$A$2:$A$20000,$A120,元データ!$D$2:$D$20000,$B122,元データ!$B$2:$B$20000,$C$3,元データ!$C$2:$C$20000,J$5)</f>
        <v>551</v>
      </c>
      <c r="K122" s="16">
        <f>SUMIFS(INDEX(元データ!$E$2:$H$20000,0,MATCH($C$2,元データ!$E$1:$H$1,0)),元データ!$A$2:$A$20000,$A120,元データ!$D$2:$D$20000,$B122,元データ!$B$2:$B$20000,$C$3,元データ!$C$2:$C$20000,K$5)</f>
        <v>786</v>
      </c>
      <c r="L122" s="16">
        <f>SUMIFS(INDEX(元データ!$E$2:$H$20000,0,MATCH($C$2,元データ!$E$1:$H$1,0)),元データ!$A$2:$A$20000,$A120,元データ!$D$2:$D$20000,$B122,元データ!$B$2:$B$20000,$C$3,元データ!$C$2:$C$20000,L$5)</f>
        <v>498</v>
      </c>
      <c r="M122" s="16">
        <f>SUMIFS(INDEX(元データ!$E$2:$H$20000,0,MATCH($C$2,元データ!$E$1:$H$1,0)),元データ!$A$2:$A$20000,$A120,元データ!$D$2:$D$20000,$B122,元データ!$B$2:$B$20000,$C$3,元データ!$C$2:$C$20000,M$5)</f>
        <v>429</v>
      </c>
      <c r="N122" s="16">
        <f>SUMIFS(INDEX(元データ!$E$2:$H$20000,0,MATCH($C$2,元データ!$E$1:$H$1,0)),元データ!$A$2:$A$20000,$A120,元データ!$D$2:$D$20000,$B122,元データ!$B$2:$B$20000,$C$3,元データ!$C$2:$C$20000,N$5)</f>
        <v>360</v>
      </c>
      <c r="O122" s="17">
        <f t="shared" si="6"/>
        <v>5339</v>
      </c>
      <c r="P122" s="17">
        <f>SUMIFS(INDEX(元データ!$E$2:$H$20000,0,MATCH($C$2,元データ!$E$1:$H$1,0)),元データ!$A$2:$A$20000,$A120,元データ!$D$2:$D$20000,$B122,元データ!$B$2:$B$20000,$D$3)</f>
        <v>4977</v>
      </c>
      <c r="Q122" s="25">
        <f t="shared" si="7"/>
        <v>1.0727345790636931</v>
      </c>
    </row>
    <row r="123" spans="1:17" x14ac:dyDescent="0.45">
      <c r="A123" s="14" t="str">
        <f>店舗マスタ!A41</f>
        <v>八坂店</v>
      </c>
      <c r="B123" s="15" t="s">
        <v>27</v>
      </c>
      <c r="C123" s="16">
        <f>SUMIFS(INDEX(元データ!$E$2:$H$20000,0,MATCH($C$2,元データ!$E$1:$H$1,0)),元データ!$A$2:$A$20000,$A123,元データ!$D$2:$D$20000,$B123,元データ!$B$2:$B$20000,$C$3,元データ!$C$2:$C$20000,C$5)</f>
        <v>612</v>
      </c>
      <c r="D123" s="16">
        <f>SUMIFS(INDEX(元データ!$E$2:$H$20000,0,MATCH($C$2,元データ!$E$1:$H$1,0)),元データ!$A$2:$A$20000,$A123,元データ!$D$2:$D$20000,$B123,元データ!$B$2:$B$20000,$C$3,元データ!$C$2:$C$20000,D$5)</f>
        <v>846</v>
      </c>
      <c r="E123" s="16">
        <f>SUMIFS(INDEX(元データ!$E$2:$H$20000,0,MATCH($C$2,元データ!$E$1:$H$1,0)),元データ!$A$2:$A$20000,$A123,元データ!$D$2:$D$20000,$B123,元データ!$B$2:$B$20000,$C$3,元データ!$C$2:$C$20000,E$5)</f>
        <v>926</v>
      </c>
      <c r="F123" s="16">
        <f>SUMIFS(INDEX(元データ!$E$2:$H$20000,0,MATCH($C$2,元データ!$E$1:$H$1,0)),元データ!$A$2:$A$20000,$A123,元データ!$D$2:$D$20000,$B123,元データ!$B$2:$B$20000,$C$3,元データ!$C$2:$C$20000,F$5)</f>
        <v>782</v>
      </c>
      <c r="G123" s="16">
        <f>SUMIFS(INDEX(元データ!$E$2:$H$20000,0,MATCH($C$2,元データ!$E$1:$H$1,0)),元データ!$A$2:$A$20000,$A123,元データ!$D$2:$D$20000,$B123,元データ!$B$2:$B$20000,$C$3,元データ!$C$2:$C$20000,G$5)</f>
        <v>818</v>
      </c>
      <c r="H123" s="16">
        <f>SUMIFS(INDEX(元データ!$E$2:$H$20000,0,MATCH($C$2,元データ!$E$1:$H$1,0)),元データ!$A$2:$A$20000,$A123,元データ!$D$2:$D$20000,$B123,元データ!$B$2:$B$20000,$C$3,元データ!$C$2:$C$20000,H$5)</f>
        <v>624</v>
      </c>
      <c r="I123" s="16">
        <f>SUMIFS(INDEX(元データ!$E$2:$H$20000,0,MATCH($C$2,元データ!$E$1:$H$1,0)),元データ!$A$2:$A$20000,$A123,元データ!$D$2:$D$20000,$B123,元データ!$B$2:$B$20000,$C$3,元データ!$C$2:$C$20000,I$5)</f>
        <v>592</v>
      </c>
      <c r="J123" s="16">
        <f>SUMIFS(INDEX(元データ!$E$2:$H$20000,0,MATCH($C$2,元データ!$E$1:$H$1,0)),元データ!$A$2:$A$20000,$A123,元データ!$D$2:$D$20000,$B123,元データ!$B$2:$B$20000,$C$3,元データ!$C$2:$C$20000,J$5)</f>
        <v>810</v>
      </c>
      <c r="K123" s="16">
        <f>SUMIFS(INDEX(元データ!$E$2:$H$20000,0,MATCH($C$2,元データ!$E$1:$H$1,0)),元データ!$A$2:$A$20000,$A123,元データ!$D$2:$D$20000,$B123,元データ!$B$2:$B$20000,$C$3,元データ!$C$2:$C$20000,K$5)</f>
        <v>756</v>
      </c>
      <c r="L123" s="16">
        <f>SUMIFS(INDEX(元データ!$E$2:$H$20000,0,MATCH($C$2,元データ!$E$1:$H$1,0)),元データ!$A$2:$A$20000,$A123,元データ!$D$2:$D$20000,$B123,元データ!$B$2:$B$20000,$C$3,元データ!$C$2:$C$20000,L$5)</f>
        <v>669</v>
      </c>
      <c r="M123" s="16">
        <f>SUMIFS(INDEX(元データ!$E$2:$H$20000,0,MATCH($C$2,元データ!$E$1:$H$1,0)),元データ!$A$2:$A$20000,$A123,元データ!$D$2:$D$20000,$B123,元データ!$B$2:$B$20000,$C$3,元データ!$C$2:$C$20000,M$5)</f>
        <v>691</v>
      </c>
      <c r="N123" s="16">
        <f>SUMIFS(INDEX(元データ!$E$2:$H$20000,0,MATCH($C$2,元データ!$E$1:$H$1,0)),元データ!$A$2:$A$20000,$A123,元データ!$D$2:$D$20000,$B123,元データ!$B$2:$B$20000,$C$3,元データ!$C$2:$C$20000,N$5)</f>
        <v>602</v>
      </c>
      <c r="O123" s="17">
        <f t="shared" si="6"/>
        <v>8728</v>
      </c>
      <c r="P123" s="17">
        <f>SUMIFS(INDEX(元データ!$E$2:$H$20000,0,MATCH($C$2,元データ!$E$1:$H$1,0)),元データ!$A$2:$A$20000,$A123,元データ!$D$2:$D$20000,$B123,元データ!$B$2:$B$20000,$D$3)</f>
        <v>10567</v>
      </c>
      <c r="Q123" s="25">
        <f t="shared" si="7"/>
        <v>0.82596763509037574</v>
      </c>
    </row>
    <row r="124" spans="1:17" x14ac:dyDescent="0.45">
      <c r="A124" s="14"/>
      <c r="B124" s="15" t="s">
        <v>28</v>
      </c>
      <c r="C124" s="16">
        <f>SUMIFS(INDEX(元データ!$E$2:$H$20000,0,MATCH($C$2,元データ!$E$1:$H$1,0)),元データ!$A$2:$A$20000,$A123,元データ!$D$2:$D$20000,$B124,元データ!$B$2:$B$20000,$C$3,元データ!$C$2:$C$20000,C$5)</f>
        <v>386</v>
      </c>
      <c r="D124" s="16">
        <f>SUMIFS(INDEX(元データ!$E$2:$H$20000,0,MATCH($C$2,元データ!$E$1:$H$1,0)),元データ!$A$2:$A$20000,$A123,元データ!$D$2:$D$20000,$B124,元データ!$B$2:$B$20000,$C$3,元データ!$C$2:$C$20000,D$5)</f>
        <v>319</v>
      </c>
      <c r="E124" s="16">
        <f>SUMIFS(INDEX(元データ!$E$2:$H$20000,0,MATCH($C$2,元データ!$E$1:$H$1,0)),元データ!$A$2:$A$20000,$A123,元データ!$D$2:$D$20000,$B124,元データ!$B$2:$B$20000,$C$3,元データ!$C$2:$C$20000,E$5)</f>
        <v>512</v>
      </c>
      <c r="F124" s="16">
        <f>SUMIFS(INDEX(元データ!$E$2:$H$20000,0,MATCH($C$2,元データ!$E$1:$H$1,0)),元データ!$A$2:$A$20000,$A123,元データ!$D$2:$D$20000,$B124,元データ!$B$2:$B$20000,$C$3,元データ!$C$2:$C$20000,F$5)</f>
        <v>482</v>
      </c>
      <c r="G124" s="16">
        <f>SUMIFS(INDEX(元データ!$E$2:$H$20000,0,MATCH($C$2,元データ!$E$1:$H$1,0)),元データ!$A$2:$A$20000,$A123,元データ!$D$2:$D$20000,$B124,元データ!$B$2:$B$20000,$C$3,元データ!$C$2:$C$20000,G$5)</f>
        <v>436</v>
      </c>
      <c r="H124" s="16">
        <f>SUMIFS(INDEX(元データ!$E$2:$H$20000,0,MATCH($C$2,元データ!$E$1:$H$1,0)),元データ!$A$2:$A$20000,$A123,元データ!$D$2:$D$20000,$B124,元データ!$B$2:$B$20000,$C$3,元データ!$C$2:$C$20000,H$5)</f>
        <v>289</v>
      </c>
      <c r="I124" s="16">
        <f>SUMIFS(INDEX(元データ!$E$2:$H$20000,0,MATCH($C$2,元データ!$E$1:$H$1,0)),元データ!$A$2:$A$20000,$A123,元データ!$D$2:$D$20000,$B124,元データ!$B$2:$B$20000,$C$3,元データ!$C$2:$C$20000,I$5)</f>
        <v>238</v>
      </c>
      <c r="J124" s="16">
        <f>SUMIFS(INDEX(元データ!$E$2:$H$20000,0,MATCH($C$2,元データ!$E$1:$H$1,0)),元データ!$A$2:$A$20000,$A123,元データ!$D$2:$D$20000,$B124,元データ!$B$2:$B$20000,$C$3,元データ!$C$2:$C$20000,J$5)</f>
        <v>402</v>
      </c>
      <c r="K124" s="16">
        <f>SUMIFS(INDEX(元データ!$E$2:$H$20000,0,MATCH($C$2,元データ!$E$1:$H$1,0)),元データ!$A$2:$A$20000,$A123,元データ!$D$2:$D$20000,$B124,元データ!$B$2:$B$20000,$C$3,元データ!$C$2:$C$20000,K$5)</f>
        <v>600</v>
      </c>
      <c r="L124" s="16">
        <f>SUMIFS(INDEX(元データ!$E$2:$H$20000,0,MATCH($C$2,元データ!$E$1:$H$1,0)),元データ!$A$2:$A$20000,$A123,元データ!$D$2:$D$20000,$B124,元データ!$B$2:$B$20000,$C$3,元データ!$C$2:$C$20000,L$5)</f>
        <v>440</v>
      </c>
      <c r="M124" s="16">
        <f>SUMIFS(INDEX(元データ!$E$2:$H$20000,0,MATCH($C$2,元データ!$E$1:$H$1,0)),元データ!$A$2:$A$20000,$A123,元データ!$D$2:$D$20000,$B124,元データ!$B$2:$B$20000,$C$3,元データ!$C$2:$C$20000,M$5)</f>
        <v>324</v>
      </c>
      <c r="N124" s="16">
        <f>SUMIFS(INDEX(元データ!$E$2:$H$20000,0,MATCH($C$2,元データ!$E$1:$H$1,0)),元データ!$A$2:$A$20000,$A123,元データ!$D$2:$D$20000,$B124,元データ!$B$2:$B$20000,$C$3,元データ!$C$2:$C$20000,N$5)</f>
        <v>372</v>
      </c>
      <c r="O124" s="17">
        <f t="shared" si="6"/>
        <v>4800</v>
      </c>
      <c r="P124" s="17">
        <f>SUMIFS(INDEX(元データ!$E$2:$H$20000,0,MATCH($C$2,元データ!$E$1:$H$1,0)),元データ!$A$2:$A$20000,$A123,元データ!$D$2:$D$20000,$B124,元データ!$B$2:$B$20000,$D$3)</f>
        <v>4948</v>
      </c>
      <c r="Q124" s="25">
        <f t="shared" si="7"/>
        <v>0.97008892481810838</v>
      </c>
    </row>
    <row r="125" spans="1:17" x14ac:dyDescent="0.45">
      <c r="A125" s="14"/>
      <c r="B125" s="15" t="s">
        <v>29</v>
      </c>
      <c r="C125" s="16">
        <f>SUMIFS(INDEX(元データ!$E$2:$H$20000,0,MATCH($C$2,元データ!$E$1:$H$1,0)),元データ!$A$2:$A$20000,$A123,元データ!$D$2:$D$20000,$B125,元データ!$B$2:$B$20000,$C$3,元データ!$C$2:$C$20000,C$5)</f>
        <v>177</v>
      </c>
      <c r="D125" s="16">
        <f>SUMIFS(INDEX(元データ!$E$2:$H$20000,0,MATCH($C$2,元データ!$E$1:$H$1,0)),元データ!$A$2:$A$20000,$A123,元データ!$D$2:$D$20000,$B125,元データ!$B$2:$B$20000,$C$3,元データ!$C$2:$C$20000,D$5)</f>
        <v>222</v>
      </c>
      <c r="E125" s="16">
        <f>SUMIFS(INDEX(元データ!$E$2:$H$20000,0,MATCH($C$2,元データ!$E$1:$H$1,0)),元データ!$A$2:$A$20000,$A123,元データ!$D$2:$D$20000,$B125,元データ!$B$2:$B$20000,$C$3,元データ!$C$2:$C$20000,E$5)</f>
        <v>344</v>
      </c>
      <c r="F125" s="16">
        <f>SUMIFS(INDEX(元データ!$E$2:$H$20000,0,MATCH($C$2,元データ!$E$1:$H$1,0)),元データ!$A$2:$A$20000,$A123,元データ!$D$2:$D$20000,$B125,元データ!$B$2:$B$20000,$C$3,元データ!$C$2:$C$20000,F$5)</f>
        <v>348</v>
      </c>
      <c r="G125" s="16">
        <f>SUMIFS(INDEX(元データ!$E$2:$H$20000,0,MATCH($C$2,元データ!$E$1:$H$1,0)),元データ!$A$2:$A$20000,$A123,元データ!$D$2:$D$20000,$B125,元データ!$B$2:$B$20000,$C$3,元データ!$C$2:$C$20000,G$5)</f>
        <v>354</v>
      </c>
      <c r="H125" s="16">
        <f>SUMIFS(INDEX(元データ!$E$2:$H$20000,0,MATCH($C$2,元データ!$E$1:$H$1,0)),元データ!$A$2:$A$20000,$A123,元データ!$D$2:$D$20000,$B125,元データ!$B$2:$B$20000,$C$3,元データ!$C$2:$C$20000,H$5)</f>
        <v>229</v>
      </c>
      <c r="I125" s="16">
        <f>SUMIFS(INDEX(元データ!$E$2:$H$20000,0,MATCH($C$2,元データ!$E$1:$H$1,0)),元データ!$A$2:$A$20000,$A123,元データ!$D$2:$D$20000,$B125,元データ!$B$2:$B$20000,$C$3,元データ!$C$2:$C$20000,I$5)</f>
        <v>183</v>
      </c>
      <c r="J125" s="16">
        <f>SUMIFS(INDEX(元データ!$E$2:$H$20000,0,MATCH($C$2,元データ!$E$1:$H$1,0)),元データ!$A$2:$A$20000,$A123,元データ!$D$2:$D$20000,$B125,元データ!$B$2:$B$20000,$C$3,元データ!$C$2:$C$20000,J$5)</f>
        <v>420</v>
      </c>
      <c r="K125" s="16">
        <f>SUMIFS(INDEX(元データ!$E$2:$H$20000,0,MATCH($C$2,元データ!$E$1:$H$1,0)),元データ!$A$2:$A$20000,$A123,元データ!$D$2:$D$20000,$B125,元データ!$B$2:$B$20000,$C$3,元データ!$C$2:$C$20000,K$5)</f>
        <v>543</v>
      </c>
      <c r="L125" s="16">
        <f>SUMIFS(INDEX(元データ!$E$2:$H$20000,0,MATCH($C$2,元データ!$E$1:$H$1,0)),元データ!$A$2:$A$20000,$A123,元データ!$D$2:$D$20000,$B125,元データ!$B$2:$B$20000,$C$3,元データ!$C$2:$C$20000,L$5)</f>
        <v>322</v>
      </c>
      <c r="M125" s="16">
        <f>SUMIFS(INDEX(元データ!$E$2:$H$20000,0,MATCH($C$2,元データ!$E$1:$H$1,0)),元データ!$A$2:$A$20000,$A123,元データ!$D$2:$D$20000,$B125,元データ!$B$2:$B$20000,$C$3,元データ!$C$2:$C$20000,M$5)</f>
        <v>287</v>
      </c>
      <c r="N125" s="16">
        <f>SUMIFS(INDEX(元データ!$E$2:$H$20000,0,MATCH($C$2,元データ!$E$1:$H$1,0)),元データ!$A$2:$A$20000,$A123,元データ!$D$2:$D$20000,$B125,元データ!$B$2:$B$20000,$C$3,元データ!$C$2:$C$20000,N$5)</f>
        <v>190</v>
      </c>
      <c r="O125" s="17">
        <f t="shared" si="6"/>
        <v>3619</v>
      </c>
      <c r="P125" s="17">
        <f>SUMIFS(INDEX(元データ!$E$2:$H$20000,0,MATCH($C$2,元データ!$E$1:$H$1,0)),元データ!$A$2:$A$20000,$A123,元データ!$D$2:$D$20000,$B125,元データ!$B$2:$B$20000,$D$3)</f>
        <v>3481</v>
      </c>
      <c r="Q125" s="25">
        <f t="shared" si="7"/>
        <v>1.0396437805228382</v>
      </c>
    </row>
    <row r="126" spans="1:17" x14ac:dyDescent="0.45">
      <c r="A126" s="14" t="str">
        <f>店舗マスタ!A42</f>
        <v>原  店</v>
      </c>
      <c r="B126" s="15" t="s">
        <v>27</v>
      </c>
      <c r="C126" s="16">
        <f>SUMIFS(INDEX(元データ!$E$2:$H$20000,0,MATCH($C$2,元データ!$E$1:$H$1,0)),元データ!$A$2:$A$20000,$A126,元データ!$D$2:$D$20000,$B126,元データ!$B$2:$B$20000,$C$3,元データ!$C$2:$C$20000,C$5)</f>
        <v>620</v>
      </c>
      <c r="D126" s="16">
        <f>SUMIFS(INDEX(元データ!$E$2:$H$20000,0,MATCH($C$2,元データ!$E$1:$H$1,0)),元データ!$A$2:$A$20000,$A126,元データ!$D$2:$D$20000,$B126,元データ!$B$2:$B$20000,$C$3,元データ!$C$2:$C$20000,D$5)</f>
        <v>765</v>
      </c>
      <c r="E126" s="16">
        <f>SUMIFS(INDEX(元データ!$E$2:$H$20000,0,MATCH($C$2,元データ!$E$1:$H$1,0)),元データ!$A$2:$A$20000,$A126,元データ!$D$2:$D$20000,$B126,元データ!$B$2:$B$20000,$C$3,元データ!$C$2:$C$20000,E$5)</f>
        <v>947</v>
      </c>
      <c r="F126" s="16">
        <f>SUMIFS(INDEX(元データ!$E$2:$H$20000,0,MATCH($C$2,元データ!$E$1:$H$1,0)),元データ!$A$2:$A$20000,$A126,元データ!$D$2:$D$20000,$B126,元データ!$B$2:$B$20000,$C$3,元データ!$C$2:$C$20000,F$5)</f>
        <v>870</v>
      </c>
      <c r="G126" s="16">
        <f>SUMIFS(INDEX(元データ!$E$2:$H$20000,0,MATCH($C$2,元データ!$E$1:$H$1,0)),元データ!$A$2:$A$20000,$A126,元データ!$D$2:$D$20000,$B126,元データ!$B$2:$B$20000,$C$3,元データ!$C$2:$C$20000,G$5)</f>
        <v>812</v>
      </c>
      <c r="H126" s="16">
        <f>SUMIFS(INDEX(元データ!$E$2:$H$20000,0,MATCH($C$2,元データ!$E$1:$H$1,0)),元データ!$A$2:$A$20000,$A126,元データ!$D$2:$D$20000,$B126,元データ!$B$2:$B$20000,$C$3,元データ!$C$2:$C$20000,H$5)</f>
        <v>655</v>
      </c>
      <c r="I126" s="16">
        <f>SUMIFS(INDEX(元データ!$E$2:$H$20000,0,MATCH($C$2,元データ!$E$1:$H$1,0)),元データ!$A$2:$A$20000,$A126,元データ!$D$2:$D$20000,$B126,元データ!$B$2:$B$20000,$C$3,元データ!$C$2:$C$20000,I$5)</f>
        <v>678</v>
      </c>
      <c r="J126" s="16">
        <f>SUMIFS(INDEX(元データ!$E$2:$H$20000,0,MATCH($C$2,元データ!$E$1:$H$1,0)),元データ!$A$2:$A$20000,$A126,元データ!$D$2:$D$20000,$B126,元データ!$B$2:$B$20000,$C$3,元データ!$C$2:$C$20000,J$5)</f>
        <v>819</v>
      </c>
      <c r="K126" s="16">
        <f>SUMIFS(INDEX(元データ!$E$2:$H$20000,0,MATCH($C$2,元データ!$E$1:$H$1,0)),元データ!$A$2:$A$20000,$A126,元データ!$D$2:$D$20000,$B126,元データ!$B$2:$B$20000,$C$3,元データ!$C$2:$C$20000,K$5)</f>
        <v>880</v>
      </c>
      <c r="L126" s="16">
        <f>SUMIFS(INDEX(元データ!$E$2:$H$20000,0,MATCH($C$2,元データ!$E$1:$H$1,0)),元データ!$A$2:$A$20000,$A126,元データ!$D$2:$D$20000,$B126,元データ!$B$2:$B$20000,$C$3,元データ!$C$2:$C$20000,L$5)</f>
        <v>691</v>
      </c>
      <c r="M126" s="16">
        <f>SUMIFS(INDEX(元データ!$E$2:$H$20000,0,MATCH($C$2,元データ!$E$1:$H$1,0)),元データ!$A$2:$A$20000,$A126,元データ!$D$2:$D$20000,$B126,元データ!$B$2:$B$20000,$C$3,元データ!$C$2:$C$20000,M$5)</f>
        <v>820</v>
      </c>
      <c r="N126" s="16">
        <f>SUMIFS(INDEX(元データ!$E$2:$H$20000,0,MATCH($C$2,元データ!$E$1:$H$1,0)),元データ!$A$2:$A$20000,$A126,元データ!$D$2:$D$20000,$B126,元データ!$B$2:$B$20000,$C$3,元データ!$C$2:$C$20000,N$5)</f>
        <v>680</v>
      </c>
      <c r="O126" s="17">
        <f t="shared" si="6"/>
        <v>9237</v>
      </c>
      <c r="P126" s="17">
        <f>SUMIFS(INDEX(元データ!$E$2:$H$20000,0,MATCH($C$2,元データ!$E$1:$H$1,0)),元データ!$A$2:$A$20000,$A126,元データ!$D$2:$D$20000,$B126,元データ!$B$2:$B$20000,$D$3)</f>
        <v>10880</v>
      </c>
      <c r="Q126" s="25">
        <f t="shared" si="7"/>
        <v>0.8489889705882353</v>
      </c>
    </row>
    <row r="127" spans="1:17" x14ac:dyDescent="0.45">
      <c r="A127" s="14"/>
      <c r="B127" s="15" t="s">
        <v>28</v>
      </c>
      <c r="C127" s="16">
        <f>SUMIFS(INDEX(元データ!$E$2:$H$20000,0,MATCH($C$2,元データ!$E$1:$H$1,0)),元データ!$A$2:$A$20000,$A126,元データ!$D$2:$D$20000,$B127,元データ!$B$2:$B$20000,$C$3,元データ!$C$2:$C$20000,C$5)</f>
        <v>329</v>
      </c>
      <c r="D127" s="16">
        <f>SUMIFS(INDEX(元データ!$E$2:$H$20000,0,MATCH($C$2,元データ!$E$1:$H$1,0)),元データ!$A$2:$A$20000,$A126,元データ!$D$2:$D$20000,$B127,元データ!$B$2:$B$20000,$C$3,元データ!$C$2:$C$20000,D$5)</f>
        <v>442</v>
      </c>
      <c r="E127" s="16">
        <f>SUMIFS(INDEX(元データ!$E$2:$H$20000,0,MATCH($C$2,元データ!$E$1:$H$1,0)),元データ!$A$2:$A$20000,$A126,元データ!$D$2:$D$20000,$B127,元データ!$B$2:$B$20000,$C$3,元データ!$C$2:$C$20000,E$5)</f>
        <v>509</v>
      </c>
      <c r="F127" s="16">
        <f>SUMIFS(INDEX(元データ!$E$2:$H$20000,0,MATCH($C$2,元データ!$E$1:$H$1,0)),元データ!$A$2:$A$20000,$A126,元データ!$D$2:$D$20000,$B127,元データ!$B$2:$B$20000,$C$3,元データ!$C$2:$C$20000,F$5)</f>
        <v>511</v>
      </c>
      <c r="G127" s="16">
        <f>SUMIFS(INDEX(元データ!$E$2:$H$20000,0,MATCH($C$2,元データ!$E$1:$H$1,0)),元データ!$A$2:$A$20000,$A126,元データ!$D$2:$D$20000,$B127,元データ!$B$2:$B$20000,$C$3,元データ!$C$2:$C$20000,G$5)</f>
        <v>507</v>
      </c>
      <c r="H127" s="16">
        <f>SUMIFS(INDEX(元データ!$E$2:$H$20000,0,MATCH($C$2,元データ!$E$1:$H$1,0)),元データ!$A$2:$A$20000,$A126,元データ!$D$2:$D$20000,$B127,元データ!$B$2:$B$20000,$C$3,元データ!$C$2:$C$20000,H$5)</f>
        <v>324</v>
      </c>
      <c r="I127" s="16">
        <f>SUMIFS(INDEX(元データ!$E$2:$H$20000,0,MATCH($C$2,元データ!$E$1:$H$1,0)),元データ!$A$2:$A$20000,$A126,元データ!$D$2:$D$20000,$B127,元データ!$B$2:$B$20000,$C$3,元データ!$C$2:$C$20000,I$5)</f>
        <v>307</v>
      </c>
      <c r="J127" s="16">
        <f>SUMIFS(INDEX(元データ!$E$2:$H$20000,0,MATCH($C$2,元データ!$E$1:$H$1,0)),元データ!$A$2:$A$20000,$A126,元データ!$D$2:$D$20000,$B127,元データ!$B$2:$B$20000,$C$3,元データ!$C$2:$C$20000,J$5)</f>
        <v>432</v>
      </c>
      <c r="K127" s="16">
        <f>SUMIFS(INDEX(元データ!$E$2:$H$20000,0,MATCH($C$2,元データ!$E$1:$H$1,0)),元データ!$A$2:$A$20000,$A126,元データ!$D$2:$D$20000,$B127,元データ!$B$2:$B$20000,$C$3,元データ!$C$2:$C$20000,K$5)</f>
        <v>663</v>
      </c>
      <c r="L127" s="16">
        <f>SUMIFS(INDEX(元データ!$E$2:$H$20000,0,MATCH($C$2,元データ!$E$1:$H$1,0)),元データ!$A$2:$A$20000,$A126,元データ!$D$2:$D$20000,$B127,元データ!$B$2:$B$20000,$C$3,元データ!$C$2:$C$20000,L$5)</f>
        <v>430</v>
      </c>
      <c r="M127" s="16">
        <f>SUMIFS(INDEX(元データ!$E$2:$H$20000,0,MATCH($C$2,元データ!$E$1:$H$1,0)),元データ!$A$2:$A$20000,$A126,元データ!$D$2:$D$20000,$B127,元データ!$B$2:$B$20000,$C$3,元データ!$C$2:$C$20000,M$5)</f>
        <v>444</v>
      </c>
      <c r="N127" s="16">
        <f>SUMIFS(INDEX(元データ!$E$2:$H$20000,0,MATCH($C$2,元データ!$E$1:$H$1,0)),元データ!$A$2:$A$20000,$A126,元データ!$D$2:$D$20000,$B127,元データ!$B$2:$B$20000,$C$3,元データ!$C$2:$C$20000,N$5)</f>
        <v>442</v>
      </c>
      <c r="O127" s="17">
        <f t="shared" si="6"/>
        <v>5340</v>
      </c>
      <c r="P127" s="17">
        <f>SUMIFS(INDEX(元データ!$E$2:$H$20000,0,MATCH($C$2,元データ!$E$1:$H$1,0)),元データ!$A$2:$A$20000,$A126,元データ!$D$2:$D$20000,$B127,元データ!$B$2:$B$20000,$D$3)</f>
        <v>5606</v>
      </c>
      <c r="Q127" s="25">
        <f t="shared" si="7"/>
        <v>0.95255083838744203</v>
      </c>
    </row>
    <row r="128" spans="1:17" x14ac:dyDescent="0.45">
      <c r="A128" s="14"/>
      <c r="B128" s="15" t="s">
        <v>29</v>
      </c>
      <c r="C128" s="16">
        <f>SUMIFS(INDEX(元データ!$E$2:$H$20000,0,MATCH($C$2,元データ!$E$1:$H$1,0)),元データ!$A$2:$A$20000,$A126,元データ!$D$2:$D$20000,$B128,元データ!$B$2:$B$20000,$C$3,元データ!$C$2:$C$20000,C$5)</f>
        <v>178</v>
      </c>
      <c r="D128" s="16">
        <f>SUMIFS(INDEX(元データ!$E$2:$H$20000,0,MATCH($C$2,元データ!$E$1:$H$1,0)),元データ!$A$2:$A$20000,$A126,元データ!$D$2:$D$20000,$B128,元データ!$B$2:$B$20000,$C$3,元データ!$C$2:$C$20000,D$5)</f>
        <v>245</v>
      </c>
      <c r="E128" s="16">
        <f>SUMIFS(INDEX(元データ!$E$2:$H$20000,0,MATCH($C$2,元データ!$E$1:$H$1,0)),元データ!$A$2:$A$20000,$A126,元データ!$D$2:$D$20000,$B128,元データ!$B$2:$B$20000,$C$3,元データ!$C$2:$C$20000,E$5)</f>
        <v>372</v>
      </c>
      <c r="F128" s="16">
        <f>SUMIFS(INDEX(元データ!$E$2:$H$20000,0,MATCH($C$2,元データ!$E$1:$H$1,0)),元データ!$A$2:$A$20000,$A126,元データ!$D$2:$D$20000,$B128,元データ!$B$2:$B$20000,$C$3,元データ!$C$2:$C$20000,F$5)</f>
        <v>392</v>
      </c>
      <c r="G128" s="16">
        <f>SUMIFS(INDEX(元データ!$E$2:$H$20000,0,MATCH($C$2,元データ!$E$1:$H$1,0)),元データ!$A$2:$A$20000,$A126,元データ!$D$2:$D$20000,$B128,元データ!$B$2:$B$20000,$C$3,元データ!$C$2:$C$20000,G$5)</f>
        <v>396</v>
      </c>
      <c r="H128" s="16">
        <f>SUMIFS(INDEX(元データ!$E$2:$H$20000,0,MATCH($C$2,元データ!$E$1:$H$1,0)),元データ!$A$2:$A$20000,$A126,元データ!$D$2:$D$20000,$B128,元データ!$B$2:$B$20000,$C$3,元データ!$C$2:$C$20000,H$5)</f>
        <v>361</v>
      </c>
      <c r="I128" s="16">
        <f>SUMIFS(INDEX(元データ!$E$2:$H$20000,0,MATCH($C$2,元データ!$E$1:$H$1,0)),元データ!$A$2:$A$20000,$A126,元データ!$D$2:$D$20000,$B128,元データ!$B$2:$B$20000,$C$3,元データ!$C$2:$C$20000,I$5)</f>
        <v>237</v>
      </c>
      <c r="J128" s="16">
        <f>SUMIFS(INDEX(元データ!$E$2:$H$20000,0,MATCH($C$2,元データ!$E$1:$H$1,0)),元データ!$A$2:$A$20000,$A126,元データ!$D$2:$D$20000,$B128,元データ!$B$2:$B$20000,$C$3,元データ!$C$2:$C$20000,J$5)</f>
        <v>376</v>
      </c>
      <c r="K128" s="16">
        <f>SUMIFS(INDEX(元データ!$E$2:$H$20000,0,MATCH($C$2,元データ!$E$1:$H$1,0)),元データ!$A$2:$A$20000,$A126,元データ!$D$2:$D$20000,$B128,元データ!$B$2:$B$20000,$C$3,元データ!$C$2:$C$20000,K$5)</f>
        <v>547</v>
      </c>
      <c r="L128" s="16">
        <f>SUMIFS(INDEX(元データ!$E$2:$H$20000,0,MATCH($C$2,元データ!$E$1:$H$1,0)),元データ!$A$2:$A$20000,$A126,元データ!$D$2:$D$20000,$B128,元データ!$B$2:$B$20000,$C$3,元データ!$C$2:$C$20000,L$5)</f>
        <v>364</v>
      </c>
      <c r="M128" s="16">
        <f>SUMIFS(INDEX(元データ!$E$2:$H$20000,0,MATCH($C$2,元データ!$E$1:$H$1,0)),元データ!$A$2:$A$20000,$A126,元データ!$D$2:$D$20000,$B128,元データ!$B$2:$B$20000,$C$3,元データ!$C$2:$C$20000,M$5)</f>
        <v>346</v>
      </c>
      <c r="N128" s="16">
        <f>SUMIFS(INDEX(元データ!$E$2:$H$20000,0,MATCH($C$2,元データ!$E$1:$H$1,0)),元データ!$A$2:$A$20000,$A126,元データ!$D$2:$D$20000,$B128,元データ!$B$2:$B$20000,$C$3,元データ!$C$2:$C$20000,N$5)</f>
        <v>296</v>
      </c>
      <c r="O128" s="17">
        <f t="shared" si="6"/>
        <v>4110</v>
      </c>
      <c r="P128" s="17">
        <f>SUMIFS(INDEX(元データ!$E$2:$H$20000,0,MATCH($C$2,元データ!$E$1:$H$1,0)),元データ!$A$2:$A$20000,$A126,元データ!$D$2:$D$20000,$B128,元データ!$B$2:$B$20000,$D$3)</f>
        <v>4116</v>
      </c>
      <c r="Q128" s="25">
        <f t="shared" si="7"/>
        <v>0.99854227405247808</v>
      </c>
    </row>
    <row r="129" spans="1:17" x14ac:dyDescent="0.45">
      <c r="A129" s="14" t="str">
        <f>店舗マスタ!A43</f>
        <v>ＭＶ原町店</v>
      </c>
      <c r="B129" s="15" t="s">
        <v>27</v>
      </c>
      <c r="C129" s="16">
        <f>SUMIFS(INDEX(元データ!$E$2:$H$20000,0,MATCH($C$2,元データ!$E$1:$H$1,0)),元データ!$A$2:$A$20000,$A129,元データ!$D$2:$D$20000,$B129,元データ!$B$2:$B$20000,$C$3,元データ!$C$2:$C$20000,C$5)</f>
        <v>442</v>
      </c>
      <c r="D129" s="16">
        <f>SUMIFS(INDEX(元データ!$E$2:$H$20000,0,MATCH($C$2,元データ!$E$1:$H$1,0)),元データ!$A$2:$A$20000,$A129,元データ!$D$2:$D$20000,$B129,元データ!$B$2:$B$20000,$C$3,元データ!$C$2:$C$20000,D$5)</f>
        <v>445</v>
      </c>
      <c r="E129" s="16">
        <f>SUMIFS(INDEX(元データ!$E$2:$H$20000,0,MATCH($C$2,元データ!$E$1:$H$1,0)),元データ!$A$2:$A$20000,$A129,元データ!$D$2:$D$20000,$B129,元データ!$B$2:$B$20000,$C$3,元データ!$C$2:$C$20000,E$5)</f>
        <v>627</v>
      </c>
      <c r="F129" s="16">
        <f>SUMIFS(INDEX(元データ!$E$2:$H$20000,0,MATCH($C$2,元データ!$E$1:$H$1,0)),元データ!$A$2:$A$20000,$A129,元データ!$D$2:$D$20000,$B129,元データ!$B$2:$B$20000,$C$3,元データ!$C$2:$C$20000,F$5)</f>
        <v>553</v>
      </c>
      <c r="G129" s="16">
        <f>SUMIFS(INDEX(元データ!$E$2:$H$20000,0,MATCH($C$2,元データ!$E$1:$H$1,0)),元データ!$A$2:$A$20000,$A129,元データ!$D$2:$D$20000,$B129,元データ!$B$2:$B$20000,$C$3,元データ!$C$2:$C$20000,G$5)</f>
        <v>532</v>
      </c>
      <c r="H129" s="16">
        <f>SUMIFS(INDEX(元データ!$E$2:$H$20000,0,MATCH($C$2,元データ!$E$1:$H$1,0)),元データ!$A$2:$A$20000,$A129,元データ!$D$2:$D$20000,$B129,元データ!$B$2:$B$20000,$C$3,元データ!$C$2:$C$20000,H$5)</f>
        <v>410</v>
      </c>
      <c r="I129" s="16">
        <f>SUMIFS(INDEX(元データ!$E$2:$H$20000,0,MATCH($C$2,元データ!$E$1:$H$1,0)),元データ!$A$2:$A$20000,$A129,元データ!$D$2:$D$20000,$B129,元データ!$B$2:$B$20000,$C$3,元データ!$C$2:$C$20000,I$5)</f>
        <v>472</v>
      </c>
      <c r="J129" s="16">
        <f>SUMIFS(INDEX(元データ!$E$2:$H$20000,0,MATCH($C$2,元データ!$E$1:$H$1,0)),元データ!$A$2:$A$20000,$A129,元データ!$D$2:$D$20000,$B129,元データ!$B$2:$B$20000,$C$3,元データ!$C$2:$C$20000,J$5)</f>
        <v>552</v>
      </c>
      <c r="K129" s="16">
        <f>SUMIFS(INDEX(元データ!$E$2:$H$20000,0,MATCH($C$2,元データ!$E$1:$H$1,0)),元データ!$A$2:$A$20000,$A129,元データ!$D$2:$D$20000,$B129,元データ!$B$2:$B$20000,$C$3,元データ!$C$2:$C$20000,K$5)</f>
        <v>480</v>
      </c>
      <c r="L129" s="16">
        <f>SUMIFS(INDEX(元データ!$E$2:$H$20000,0,MATCH($C$2,元データ!$E$1:$H$1,0)),元データ!$A$2:$A$20000,$A129,元データ!$D$2:$D$20000,$B129,元データ!$B$2:$B$20000,$C$3,元データ!$C$2:$C$20000,L$5)</f>
        <v>416</v>
      </c>
      <c r="M129" s="16">
        <f>SUMIFS(INDEX(元データ!$E$2:$H$20000,0,MATCH($C$2,元データ!$E$1:$H$1,0)),元データ!$A$2:$A$20000,$A129,元データ!$D$2:$D$20000,$B129,元データ!$B$2:$B$20000,$C$3,元データ!$C$2:$C$20000,M$5)</f>
        <v>526</v>
      </c>
      <c r="N129" s="16">
        <f>SUMIFS(INDEX(元データ!$E$2:$H$20000,0,MATCH($C$2,元データ!$E$1:$H$1,0)),元データ!$A$2:$A$20000,$A129,元データ!$D$2:$D$20000,$B129,元データ!$B$2:$B$20000,$C$3,元データ!$C$2:$C$20000,N$5)</f>
        <v>451</v>
      </c>
      <c r="O129" s="17">
        <f t="shared" si="6"/>
        <v>5906</v>
      </c>
      <c r="P129" s="17">
        <f>SUMIFS(INDEX(元データ!$E$2:$H$20000,0,MATCH($C$2,元データ!$E$1:$H$1,0)),元データ!$A$2:$A$20000,$A129,元データ!$D$2:$D$20000,$B129,元データ!$B$2:$B$20000,$D$3)</f>
        <v>6356</v>
      </c>
      <c r="Q129" s="25">
        <f t="shared" si="7"/>
        <v>0.92920075519194467</v>
      </c>
    </row>
    <row r="130" spans="1:17" x14ac:dyDescent="0.45">
      <c r="A130" s="14"/>
      <c r="B130" s="15" t="s">
        <v>28</v>
      </c>
      <c r="C130" s="16">
        <f>SUMIFS(INDEX(元データ!$E$2:$H$20000,0,MATCH($C$2,元データ!$E$1:$H$1,0)),元データ!$A$2:$A$20000,$A129,元データ!$D$2:$D$20000,$B130,元データ!$B$2:$B$20000,$C$3,元データ!$C$2:$C$20000,C$5)</f>
        <v>335</v>
      </c>
      <c r="D130" s="16">
        <f>SUMIFS(INDEX(元データ!$E$2:$H$20000,0,MATCH($C$2,元データ!$E$1:$H$1,0)),元データ!$A$2:$A$20000,$A129,元データ!$D$2:$D$20000,$B130,元データ!$B$2:$B$20000,$C$3,元データ!$C$2:$C$20000,D$5)</f>
        <v>327</v>
      </c>
      <c r="E130" s="16">
        <f>SUMIFS(INDEX(元データ!$E$2:$H$20000,0,MATCH($C$2,元データ!$E$1:$H$1,0)),元データ!$A$2:$A$20000,$A129,元データ!$D$2:$D$20000,$B130,元データ!$B$2:$B$20000,$C$3,元データ!$C$2:$C$20000,E$5)</f>
        <v>422</v>
      </c>
      <c r="F130" s="16">
        <f>SUMIFS(INDEX(元データ!$E$2:$H$20000,0,MATCH($C$2,元データ!$E$1:$H$1,0)),元データ!$A$2:$A$20000,$A129,元データ!$D$2:$D$20000,$B130,元データ!$B$2:$B$20000,$C$3,元データ!$C$2:$C$20000,F$5)</f>
        <v>396</v>
      </c>
      <c r="G130" s="16">
        <f>SUMIFS(INDEX(元データ!$E$2:$H$20000,0,MATCH($C$2,元データ!$E$1:$H$1,0)),元データ!$A$2:$A$20000,$A129,元データ!$D$2:$D$20000,$B130,元データ!$B$2:$B$20000,$C$3,元データ!$C$2:$C$20000,G$5)</f>
        <v>381</v>
      </c>
      <c r="H130" s="16">
        <f>SUMIFS(INDEX(元データ!$E$2:$H$20000,0,MATCH($C$2,元データ!$E$1:$H$1,0)),元データ!$A$2:$A$20000,$A129,元データ!$D$2:$D$20000,$B130,元データ!$B$2:$B$20000,$C$3,元データ!$C$2:$C$20000,H$5)</f>
        <v>240</v>
      </c>
      <c r="I130" s="16">
        <f>SUMIFS(INDEX(元データ!$E$2:$H$20000,0,MATCH($C$2,元データ!$E$1:$H$1,0)),元データ!$A$2:$A$20000,$A129,元データ!$D$2:$D$20000,$B130,元データ!$B$2:$B$20000,$C$3,元データ!$C$2:$C$20000,I$5)</f>
        <v>257</v>
      </c>
      <c r="J130" s="16">
        <f>SUMIFS(INDEX(元データ!$E$2:$H$20000,0,MATCH($C$2,元データ!$E$1:$H$1,0)),元データ!$A$2:$A$20000,$A129,元データ!$D$2:$D$20000,$B130,元データ!$B$2:$B$20000,$C$3,元データ!$C$2:$C$20000,J$5)</f>
        <v>335</v>
      </c>
      <c r="K130" s="16">
        <f>SUMIFS(INDEX(元データ!$E$2:$H$20000,0,MATCH($C$2,元データ!$E$1:$H$1,0)),元データ!$A$2:$A$20000,$A129,元データ!$D$2:$D$20000,$B130,元データ!$B$2:$B$20000,$C$3,元データ!$C$2:$C$20000,K$5)</f>
        <v>478</v>
      </c>
      <c r="L130" s="16">
        <f>SUMIFS(INDEX(元データ!$E$2:$H$20000,0,MATCH($C$2,元データ!$E$1:$H$1,0)),元データ!$A$2:$A$20000,$A129,元データ!$D$2:$D$20000,$B130,元データ!$B$2:$B$20000,$C$3,元データ!$C$2:$C$20000,L$5)</f>
        <v>270</v>
      </c>
      <c r="M130" s="16">
        <f>SUMIFS(INDEX(元データ!$E$2:$H$20000,0,MATCH($C$2,元データ!$E$1:$H$1,0)),元データ!$A$2:$A$20000,$A129,元データ!$D$2:$D$20000,$B130,元データ!$B$2:$B$20000,$C$3,元データ!$C$2:$C$20000,M$5)</f>
        <v>361</v>
      </c>
      <c r="N130" s="16">
        <f>SUMIFS(INDEX(元データ!$E$2:$H$20000,0,MATCH($C$2,元データ!$E$1:$H$1,0)),元データ!$A$2:$A$20000,$A129,元データ!$D$2:$D$20000,$B130,元データ!$B$2:$B$20000,$C$3,元データ!$C$2:$C$20000,N$5)</f>
        <v>322</v>
      </c>
      <c r="O130" s="17">
        <f t="shared" si="6"/>
        <v>4124</v>
      </c>
      <c r="P130" s="17">
        <f>SUMIFS(INDEX(元データ!$E$2:$H$20000,0,MATCH($C$2,元データ!$E$1:$H$1,0)),元データ!$A$2:$A$20000,$A129,元データ!$D$2:$D$20000,$B130,元データ!$B$2:$B$20000,$D$3)</f>
        <v>4309</v>
      </c>
      <c r="Q130" s="25">
        <f t="shared" si="7"/>
        <v>0.95706660478069161</v>
      </c>
    </row>
    <row r="131" spans="1:17" x14ac:dyDescent="0.45">
      <c r="A131" s="14"/>
      <c r="B131" s="15" t="s">
        <v>29</v>
      </c>
      <c r="C131" s="16">
        <f>SUMIFS(INDEX(元データ!$E$2:$H$20000,0,MATCH($C$2,元データ!$E$1:$H$1,0)),元データ!$A$2:$A$20000,$A129,元データ!$D$2:$D$20000,$B131,元データ!$B$2:$B$20000,$C$3,元データ!$C$2:$C$20000,C$5)</f>
        <v>172</v>
      </c>
      <c r="D131" s="16">
        <f>SUMIFS(INDEX(元データ!$E$2:$H$20000,0,MATCH($C$2,元データ!$E$1:$H$1,0)),元データ!$A$2:$A$20000,$A129,元データ!$D$2:$D$20000,$B131,元データ!$B$2:$B$20000,$C$3,元データ!$C$2:$C$20000,D$5)</f>
        <v>195</v>
      </c>
      <c r="E131" s="16">
        <f>SUMIFS(INDEX(元データ!$E$2:$H$20000,0,MATCH($C$2,元データ!$E$1:$H$1,0)),元データ!$A$2:$A$20000,$A129,元データ!$D$2:$D$20000,$B131,元データ!$B$2:$B$20000,$C$3,元データ!$C$2:$C$20000,E$5)</f>
        <v>300</v>
      </c>
      <c r="F131" s="16">
        <f>SUMIFS(INDEX(元データ!$E$2:$H$20000,0,MATCH($C$2,元データ!$E$1:$H$1,0)),元データ!$A$2:$A$20000,$A129,元データ!$D$2:$D$20000,$B131,元データ!$B$2:$B$20000,$C$3,元データ!$C$2:$C$20000,F$5)</f>
        <v>318</v>
      </c>
      <c r="G131" s="16">
        <f>SUMIFS(INDEX(元データ!$E$2:$H$20000,0,MATCH($C$2,元データ!$E$1:$H$1,0)),元データ!$A$2:$A$20000,$A129,元データ!$D$2:$D$20000,$B131,元データ!$B$2:$B$20000,$C$3,元データ!$C$2:$C$20000,G$5)</f>
        <v>316</v>
      </c>
      <c r="H131" s="16">
        <f>SUMIFS(INDEX(元データ!$E$2:$H$20000,0,MATCH($C$2,元データ!$E$1:$H$1,0)),元データ!$A$2:$A$20000,$A129,元データ!$D$2:$D$20000,$B131,元データ!$B$2:$B$20000,$C$3,元データ!$C$2:$C$20000,H$5)</f>
        <v>188</v>
      </c>
      <c r="I131" s="16">
        <f>SUMIFS(INDEX(元データ!$E$2:$H$20000,0,MATCH($C$2,元データ!$E$1:$H$1,0)),元データ!$A$2:$A$20000,$A129,元データ!$D$2:$D$20000,$B131,元データ!$B$2:$B$20000,$C$3,元データ!$C$2:$C$20000,I$5)</f>
        <v>173</v>
      </c>
      <c r="J131" s="16">
        <f>SUMIFS(INDEX(元データ!$E$2:$H$20000,0,MATCH($C$2,元データ!$E$1:$H$1,0)),元データ!$A$2:$A$20000,$A129,元データ!$D$2:$D$20000,$B131,元データ!$B$2:$B$20000,$C$3,元データ!$C$2:$C$20000,J$5)</f>
        <v>318</v>
      </c>
      <c r="K131" s="16">
        <f>SUMIFS(INDEX(元データ!$E$2:$H$20000,0,MATCH($C$2,元データ!$E$1:$H$1,0)),元データ!$A$2:$A$20000,$A129,元データ!$D$2:$D$20000,$B131,元データ!$B$2:$B$20000,$C$3,元データ!$C$2:$C$20000,K$5)</f>
        <v>435</v>
      </c>
      <c r="L131" s="16">
        <f>SUMIFS(INDEX(元データ!$E$2:$H$20000,0,MATCH($C$2,元データ!$E$1:$H$1,0)),元データ!$A$2:$A$20000,$A129,元データ!$D$2:$D$20000,$B131,元データ!$B$2:$B$20000,$C$3,元データ!$C$2:$C$20000,L$5)</f>
        <v>223</v>
      </c>
      <c r="M131" s="16">
        <f>SUMIFS(INDEX(元データ!$E$2:$H$20000,0,MATCH($C$2,元データ!$E$1:$H$1,0)),元データ!$A$2:$A$20000,$A129,元データ!$D$2:$D$20000,$B131,元データ!$B$2:$B$20000,$C$3,元データ!$C$2:$C$20000,M$5)</f>
        <v>313</v>
      </c>
      <c r="N131" s="16">
        <f>SUMIFS(INDEX(元データ!$E$2:$H$20000,0,MATCH($C$2,元データ!$E$1:$H$1,0)),元データ!$A$2:$A$20000,$A129,元データ!$D$2:$D$20000,$B131,元データ!$B$2:$B$20000,$C$3,元データ!$C$2:$C$20000,N$5)</f>
        <v>214</v>
      </c>
      <c r="O131" s="17">
        <f t="shared" si="6"/>
        <v>3165</v>
      </c>
      <c r="P131" s="17">
        <f>SUMIFS(INDEX(元データ!$E$2:$H$20000,0,MATCH($C$2,元データ!$E$1:$H$1,0)),元データ!$A$2:$A$20000,$A129,元データ!$D$2:$D$20000,$B131,元データ!$B$2:$B$20000,$D$3)</f>
        <v>3390</v>
      </c>
      <c r="Q131" s="25">
        <f t="shared" si="7"/>
        <v>0.9336283185840708</v>
      </c>
    </row>
    <row r="132" spans="1:17" x14ac:dyDescent="0.45">
      <c r="A132" s="14" t="str">
        <f>店舗マスタ!A44</f>
        <v>松長店</v>
      </c>
      <c r="B132" s="15" t="s">
        <v>27</v>
      </c>
      <c r="C132" s="16">
        <f>SUMIFS(INDEX(元データ!$E$2:$H$20000,0,MATCH($C$2,元データ!$E$1:$H$1,0)),元データ!$A$2:$A$20000,$A132,元データ!$D$2:$D$20000,$B132,元データ!$B$2:$B$20000,$C$3,元データ!$C$2:$C$20000,C$5)</f>
        <v>422</v>
      </c>
      <c r="D132" s="16">
        <f>SUMIFS(INDEX(元データ!$E$2:$H$20000,0,MATCH($C$2,元データ!$E$1:$H$1,0)),元データ!$A$2:$A$20000,$A132,元データ!$D$2:$D$20000,$B132,元データ!$B$2:$B$20000,$C$3,元データ!$C$2:$C$20000,D$5)</f>
        <v>528</v>
      </c>
      <c r="E132" s="16">
        <f>SUMIFS(INDEX(元データ!$E$2:$H$20000,0,MATCH($C$2,元データ!$E$1:$H$1,0)),元データ!$A$2:$A$20000,$A132,元データ!$D$2:$D$20000,$B132,元データ!$B$2:$B$20000,$C$3,元データ!$C$2:$C$20000,E$5)</f>
        <v>652</v>
      </c>
      <c r="F132" s="16">
        <f>SUMIFS(INDEX(元データ!$E$2:$H$20000,0,MATCH($C$2,元データ!$E$1:$H$1,0)),元データ!$A$2:$A$20000,$A132,元データ!$D$2:$D$20000,$B132,元データ!$B$2:$B$20000,$C$3,元データ!$C$2:$C$20000,F$5)</f>
        <v>608</v>
      </c>
      <c r="G132" s="16">
        <f>SUMIFS(INDEX(元データ!$E$2:$H$20000,0,MATCH($C$2,元データ!$E$1:$H$1,0)),元データ!$A$2:$A$20000,$A132,元データ!$D$2:$D$20000,$B132,元データ!$B$2:$B$20000,$C$3,元データ!$C$2:$C$20000,G$5)</f>
        <v>605</v>
      </c>
      <c r="H132" s="16">
        <f>SUMIFS(INDEX(元データ!$E$2:$H$20000,0,MATCH($C$2,元データ!$E$1:$H$1,0)),元データ!$A$2:$A$20000,$A132,元データ!$D$2:$D$20000,$B132,元データ!$B$2:$B$20000,$C$3,元データ!$C$2:$C$20000,H$5)</f>
        <v>496</v>
      </c>
      <c r="I132" s="16">
        <f>SUMIFS(INDEX(元データ!$E$2:$H$20000,0,MATCH($C$2,元データ!$E$1:$H$1,0)),元データ!$A$2:$A$20000,$A132,元データ!$D$2:$D$20000,$B132,元データ!$B$2:$B$20000,$C$3,元データ!$C$2:$C$20000,I$5)</f>
        <v>496</v>
      </c>
      <c r="J132" s="16">
        <f>SUMIFS(INDEX(元データ!$E$2:$H$20000,0,MATCH($C$2,元データ!$E$1:$H$1,0)),元データ!$A$2:$A$20000,$A132,元データ!$D$2:$D$20000,$B132,元データ!$B$2:$B$20000,$C$3,元データ!$C$2:$C$20000,J$5)</f>
        <v>557</v>
      </c>
      <c r="K132" s="16">
        <f>SUMIFS(INDEX(元データ!$E$2:$H$20000,0,MATCH($C$2,元データ!$E$1:$H$1,0)),元データ!$A$2:$A$20000,$A132,元データ!$D$2:$D$20000,$B132,元データ!$B$2:$B$20000,$C$3,元データ!$C$2:$C$20000,K$5)</f>
        <v>616</v>
      </c>
      <c r="L132" s="16">
        <f>SUMIFS(INDEX(元データ!$E$2:$H$20000,0,MATCH($C$2,元データ!$E$1:$H$1,0)),元データ!$A$2:$A$20000,$A132,元データ!$D$2:$D$20000,$B132,元データ!$B$2:$B$20000,$C$3,元データ!$C$2:$C$20000,L$5)</f>
        <v>558</v>
      </c>
      <c r="M132" s="16">
        <f>SUMIFS(INDEX(元データ!$E$2:$H$20000,0,MATCH($C$2,元データ!$E$1:$H$1,0)),元データ!$A$2:$A$20000,$A132,元データ!$D$2:$D$20000,$B132,元データ!$B$2:$B$20000,$C$3,元データ!$C$2:$C$20000,M$5)</f>
        <v>675</v>
      </c>
      <c r="N132" s="16">
        <f>SUMIFS(INDEX(元データ!$E$2:$H$20000,0,MATCH($C$2,元データ!$E$1:$H$1,0)),元データ!$A$2:$A$20000,$A132,元データ!$D$2:$D$20000,$B132,元データ!$B$2:$B$20000,$C$3,元データ!$C$2:$C$20000,N$5)</f>
        <v>534</v>
      </c>
      <c r="O132" s="17">
        <f t="shared" si="6"/>
        <v>6747</v>
      </c>
      <c r="P132" s="17">
        <f>SUMIFS(INDEX(元データ!$E$2:$H$20000,0,MATCH($C$2,元データ!$E$1:$H$1,0)),元データ!$A$2:$A$20000,$A132,元データ!$D$2:$D$20000,$B132,元データ!$B$2:$B$20000,$D$3)</f>
        <v>7249</v>
      </c>
      <c r="Q132" s="25">
        <f t="shared" si="7"/>
        <v>0.93074906883708097</v>
      </c>
    </row>
    <row r="133" spans="1:17" x14ac:dyDescent="0.45">
      <c r="A133" s="14"/>
      <c r="B133" s="15" t="s">
        <v>28</v>
      </c>
      <c r="C133" s="16">
        <f>SUMIFS(INDEX(元データ!$E$2:$H$20000,0,MATCH($C$2,元データ!$E$1:$H$1,0)),元データ!$A$2:$A$20000,$A132,元データ!$D$2:$D$20000,$B133,元データ!$B$2:$B$20000,$C$3,元データ!$C$2:$C$20000,C$5)</f>
        <v>286</v>
      </c>
      <c r="D133" s="16">
        <f>SUMIFS(INDEX(元データ!$E$2:$H$20000,0,MATCH($C$2,元データ!$E$1:$H$1,0)),元データ!$A$2:$A$20000,$A132,元データ!$D$2:$D$20000,$B133,元データ!$B$2:$B$20000,$C$3,元データ!$C$2:$C$20000,D$5)</f>
        <v>364</v>
      </c>
      <c r="E133" s="16">
        <f>SUMIFS(INDEX(元データ!$E$2:$H$20000,0,MATCH($C$2,元データ!$E$1:$H$1,0)),元データ!$A$2:$A$20000,$A132,元データ!$D$2:$D$20000,$B133,元データ!$B$2:$B$20000,$C$3,元データ!$C$2:$C$20000,E$5)</f>
        <v>405</v>
      </c>
      <c r="F133" s="16">
        <f>SUMIFS(INDEX(元データ!$E$2:$H$20000,0,MATCH($C$2,元データ!$E$1:$H$1,0)),元データ!$A$2:$A$20000,$A132,元データ!$D$2:$D$20000,$B133,元データ!$B$2:$B$20000,$C$3,元データ!$C$2:$C$20000,F$5)</f>
        <v>396</v>
      </c>
      <c r="G133" s="16">
        <f>SUMIFS(INDEX(元データ!$E$2:$H$20000,0,MATCH($C$2,元データ!$E$1:$H$1,0)),元データ!$A$2:$A$20000,$A132,元データ!$D$2:$D$20000,$B133,元データ!$B$2:$B$20000,$C$3,元データ!$C$2:$C$20000,G$5)</f>
        <v>421</v>
      </c>
      <c r="H133" s="16">
        <f>SUMIFS(INDEX(元データ!$E$2:$H$20000,0,MATCH($C$2,元データ!$E$1:$H$1,0)),元データ!$A$2:$A$20000,$A132,元データ!$D$2:$D$20000,$B133,元データ!$B$2:$B$20000,$C$3,元データ!$C$2:$C$20000,H$5)</f>
        <v>287</v>
      </c>
      <c r="I133" s="16">
        <f>SUMIFS(INDEX(元データ!$E$2:$H$20000,0,MATCH($C$2,元データ!$E$1:$H$1,0)),元データ!$A$2:$A$20000,$A132,元データ!$D$2:$D$20000,$B133,元データ!$B$2:$B$20000,$C$3,元データ!$C$2:$C$20000,I$5)</f>
        <v>261</v>
      </c>
      <c r="J133" s="16">
        <f>SUMIFS(INDEX(元データ!$E$2:$H$20000,0,MATCH($C$2,元データ!$E$1:$H$1,0)),元データ!$A$2:$A$20000,$A132,元データ!$D$2:$D$20000,$B133,元データ!$B$2:$B$20000,$C$3,元データ!$C$2:$C$20000,J$5)</f>
        <v>430</v>
      </c>
      <c r="K133" s="16">
        <f>SUMIFS(INDEX(元データ!$E$2:$H$20000,0,MATCH($C$2,元データ!$E$1:$H$1,0)),元データ!$A$2:$A$20000,$A132,元データ!$D$2:$D$20000,$B133,元データ!$B$2:$B$20000,$C$3,元データ!$C$2:$C$20000,K$5)</f>
        <v>493</v>
      </c>
      <c r="L133" s="16">
        <f>SUMIFS(INDEX(元データ!$E$2:$H$20000,0,MATCH($C$2,元データ!$E$1:$H$1,0)),元データ!$A$2:$A$20000,$A132,元データ!$D$2:$D$20000,$B133,元データ!$B$2:$B$20000,$C$3,元データ!$C$2:$C$20000,L$5)</f>
        <v>382</v>
      </c>
      <c r="M133" s="16">
        <f>SUMIFS(INDEX(元データ!$E$2:$H$20000,0,MATCH($C$2,元データ!$E$1:$H$1,0)),元データ!$A$2:$A$20000,$A132,元データ!$D$2:$D$20000,$B133,元データ!$B$2:$B$20000,$C$3,元データ!$C$2:$C$20000,M$5)</f>
        <v>422</v>
      </c>
      <c r="N133" s="16">
        <f>SUMIFS(INDEX(元データ!$E$2:$H$20000,0,MATCH($C$2,元データ!$E$1:$H$1,0)),元データ!$A$2:$A$20000,$A132,元データ!$D$2:$D$20000,$B133,元データ!$B$2:$B$20000,$C$3,元データ!$C$2:$C$20000,N$5)</f>
        <v>385</v>
      </c>
      <c r="O133" s="17">
        <f t="shared" si="6"/>
        <v>4532</v>
      </c>
      <c r="P133" s="17">
        <f>SUMIFS(INDEX(元データ!$E$2:$H$20000,0,MATCH($C$2,元データ!$E$1:$H$1,0)),元データ!$A$2:$A$20000,$A132,元データ!$D$2:$D$20000,$B133,元データ!$B$2:$B$20000,$D$3)</f>
        <v>4356</v>
      </c>
      <c r="Q133" s="25">
        <f t="shared" si="7"/>
        <v>1.0404040404040404</v>
      </c>
    </row>
    <row r="134" spans="1:17" x14ac:dyDescent="0.45">
      <c r="A134" s="14"/>
      <c r="B134" s="15" t="s">
        <v>29</v>
      </c>
      <c r="C134" s="16">
        <f>SUMIFS(INDEX(元データ!$E$2:$H$20000,0,MATCH($C$2,元データ!$E$1:$H$1,0)),元データ!$A$2:$A$20000,$A132,元データ!$D$2:$D$20000,$B134,元データ!$B$2:$B$20000,$C$3,元データ!$C$2:$C$20000,C$5)</f>
        <v>156</v>
      </c>
      <c r="D134" s="16">
        <f>SUMIFS(INDEX(元データ!$E$2:$H$20000,0,MATCH($C$2,元データ!$E$1:$H$1,0)),元データ!$A$2:$A$20000,$A132,元データ!$D$2:$D$20000,$B134,元データ!$B$2:$B$20000,$C$3,元データ!$C$2:$C$20000,D$5)</f>
        <v>208</v>
      </c>
      <c r="E134" s="16">
        <f>SUMIFS(INDEX(元データ!$E$2:$H$20000,0,MATCH($C$2,元データ!$E$1:$H$1,0)),元データ!$A$2:$A$20000,$A132,元データ!$D$2:$D$20000,$B134,元データ!$B$2:$B$20000,$C$3,元データ!$C$2:$C$20000,E$5)</f>
        <v>264</v>
      </c>
      <c r="F134" s="16">
        <f>SUMIFS(INDEX(元データ!$E$2:$H$20000,0,MATCH($C$2,元データ!$E$1:$H$1,0)),元データ!$A$2:$A$20000,$A132,元データ!$D$2:$D$20000,$B134,元データ!$B$2:$B$20000,$C$3,元データ!$C$2:$C$20000,F$5)</f>
        <v>273</v>
      </c>
      <c r="G134" s="16">
        <f>SUMIFS(INDEX(元データ!$E$2:$H$20000,0,MATCH($C$2,元データ!$E$1:$H$1,0)),元データ!$A$2:$A$20000,$A132,元データ!$D$2:$D$20000,$B134,元データ!$B$2:$B$20000,$C$3,元データ!$C$2:$C$20000,G$5)</f>
        <v>266</v>
      </c>
      <c r="H134" s="16">
        <f>SUMIFS(INDEX(元データ!$E$2:$H$20000,0,MATCH($C$2,元データ!$E$1:$H$1,0)),元データ!$A$2:$A$20000,$A132,元データ!$D$2:$D$20000,$B134,元データ!$B$2:$B$20000,$C$3,元データ!$C$2:$C$20000,H$5)</f>
        <v>218</v>
      </c>
      <c r="I134" s="16">
        <f>SUMIFS(INDEX(元データ!$E$2:$H$20000,0,MATCH($C$2,元データ!$E$1:$H$1,0)),元データ!$A$2:$A$20000,$A132,元データ!$D$2:$D$20000,$B134,元データ!$B$2:$B$20000,$C$3,元データ!$C$2:$C$20000,I$5)</f>
        <v>195</v>
      </c>
      <c r="J134" s="16">
        <f>SUMIFS(INDEX(元データ!$E$2:$H$20000,0,MATCH($C$2,元データ!$E$1:$H$1,0)),元データ!$A$2:$A$20000,$A132,元データ!$D$2:$D$20000,$B134,元データ!$B$2:$B$20000,$C$3,元データ!$C$2:$C$20000,J$5)</f>
        <v>348</v>
      </c>
      <c r="K134" s="16">
        <f>SUMIFS(INDEX(元データ!$E$2:$H$20000,0,MATCH($C$2,元データ!$E$1:$H$1,0)),元データ!$A$2:$A$20000,$A132,元データ!$D$2:$D$20000,$B134,元データ!$B$2:$B$20000,$C$3,元データ!$C$2:$C$20000,K$5)</f>
        <v>504</v>
      </c>
      <c r="L134" s="16">
        <f>SUMIFS(INDEX(元データ!$E$2:$H$20000,0,MATCH($C$2,元データ!$E$1:$H$1,0)),元データ!$A$2:$A$20000,$A132,元データ!$D$2:$D$20000,$B134,元データ!$B$2:$B$20000,$C$3,元データ!$C$2:$C$20000,L$5)</f>
        <v>268</v>
      </c>
      <c r="M134" s="16">
        <f>SUMIFS(INDEX(元データ!$E$2:$H$20000,0,MATCH($C$2,元データ!$E$1:$H$1,0)),元データ!$A$2:$A$20000,$A132,元データ!$D$2:$D$20000,$B134,元データ!$B$2:$B$20000,$C$3,元データ!$C$2:$C$20000,M$5)</f>
        <v>334</v>
      </c>
      <c r="N134" s="16">
        <f>SUMIFS(INDEX(元データ!$E$2:$H$20000,0,MATCH($C$2,元データ!$E$1:$H$1,0)),元データ!$A$2:$A$20000,$A132,元データ!$D$2:$D$20000,$B134,元データ!$B$2:$B$20000,$C$3,元データ!$C$2:$C$20000,N$5)</f>
        <v>260</v>
      </c>
      <c r="O134" s="17">
        <f t="shared" ref="O134:O165" si="8">SUM(C134:N134)</f>
        <v>3294</v>
      </c>
      <c r="P134" s="17">
        <f>SUMIFS(INDEX(元データ!$E$2:$H$20000,0,MATCH($C$2,元データ!$E$1:$H$1,0)),元データ!$A$2:$A$20000,$A132,元データ!$D$2:$D$20000,$B134,元データ!$B$2:$B$20000,$D$3)</f>
        <v>3279</v>
      </c>
      <c r="Q134" s="25">
        <f t="shared" ref="Q134:Q165" si="9">IFERROR(O134/P134,"")</f>
        <v>1.0045745654162854</v>
      </c>
    </row>
    <row r="135" spans="1:17" x14ac:dyDescent="0.45">
      <c r="A135" s="14" t="str">
        <f>店舗マスタ!A45</f>
        <v>田中町店</v>
      </c>
      <c r="B135" s="15" t="s">
        <v>27</v>
      </c>
      <c r="C135" s="16">
        <f>SUMIFS(INDEX(元データ!$E$2:$H$20000,0,MATCH($C$2,元データ!$E$1:$H$1,0)),元データ!$A$2:$A$20000,$A135,元データ!$D$2:$D$20000,$B135,元データ!$B$2:$B$20000,$C$3,元データ!$C$2:$C$20000,C$5)</f>
        <v>578</v>
      </c>
      <c r="D135" s="16">
        <f>SUMIFS(INDEX(元データ!$E$2:$H$20000,0,MATCH($C$2,元データ!$E$1:$H$1,0)),元データ!$A$2:$A$20000,$A135,元データ!$D$2:$D$20000,$B135,元データ!$B$2:$B$20000,$C$3,元データ!$C$2:$C$20000,D$5)</f>
        <v>661</v>
      </c>
      <c r="E135" s="16">
        <f>SUMIFS(INDEX(元データ!$E$2:$H$20000,0,MATCH($C$2,元データ!$E$1:$H$1,0)),元データ!$A$2:$A$20000,$A135,元データ!$D$2:$D$20000,$B135,元データ!$B$2:$B$20000,$C$3,元データ!$C$2:$C$20000,E$5)</f>
        <v>738</v>
      </c>
      <c r="F135" s="16">
        <f>SUMIFS(INDEX(元データ!$E$2:$H$20000,0,MATCH($C$2,元データ!$E$1:$H$1,0)),元データ!$A$2:$A$20000,$A135,元データ!$D$2:$D$20000,$B135,元データ!$B$2:$B$20000,$C$3,元データ!$C$2:$C$20000,F$5)</f>
        <v>633</v>
      </c>
      <c r="G135" s="16">
        <f>SUMIFS(INDEX(元データ!$E$2:$H$20000,0,MATCH($C$2,元データ!$E$1:$H$1,0)),元データ!$A$2:$A$20000,$A135,元データ!$D$2:$D$20000,$B135,元データ!$B$2:$B$20000,$C$3,元データ!$C$2:$C$20000,G$5)</f>
        <v>686</v>
      </c>
      <c r="H135" s="16">
        <f>SUMIFS(INDEX(元データ!$E$2:$H$20000,0,MATCH($C$2,元データ!$E$1:$H$1,0)),元データ!$A$2:$A$20000,$A135,元データ!$D$2:$D$20000,$B135,元データ!$B$2:$B$20000,$C$3,元データ!$C$2:$C$20000,H$5)</f>
        <v>524</v>
      </c>
      <c r="I135" s="16">
        <f>SUMIFS(INDEX(元データ!$E$2:$H$20000,0,MATCH($C$2,元データ!$E$1:$H$1,0)),元データ!$A$2:$A$20000,$A135,元データ!$D$2:$D$20000,$B135,元データ!$B$2:$B$20000,$C$3,元データ!$C$2:$C$20000,I$5)</f>
        <v>506</v>
      </c>
      <c r="J135" s="16">
        <f>SUMIFS(INDEX(元データ!$E$2:$H$20000,0,MATCH($C$2,元データ!$E$1:$H$1,0)),元データ!$A$2:$A$20000,$A135,元データ!$D$2:$D$20000,$B135,元データ!$B$2:$B$20000,$C$3,元データ!$C$2:$C$20000,J$5)</f>
        <v>599</v>
      </c>
      <c r="K135" s="16">
        <f>SUMIFS(INDEX(元データ!$E$2:$H$20000,0,MATCH($C$2,元データ!$E$1:$H$1,0)),元データ!$A$2:$A$20000,$A135,元データ!$D$2:$D$20000,$B135,元データ!$B$2:$B$20000,$C$3,元データ!$C$2:$C$20000,K$5)</f>
        <v>721</v>
      </c>
      <c r="L135" s="16">
        <f>SUMIFS(INDEX(元データ!$E$2:$H$20000,0,MATCH($C$2,元データ!$E$1:$H$1,0)),元データ!$A$2:$A$20000,$A135,元データ!$D$2:$D$20000,$B135,元データ!$B$2:$B$20000,$C$3,元データ!$C$2:$C$20000,L$5)</f>
        <v>525</v>
      </c>
      <c r="M135" s="16">
        <f>SUMIFS(INDEX(元データ!$E$2:$H$20000,0,MATCH($C$2,元データ!$E$1:$H$1,0)),元データ!$A$2:$A$20000,$A135,元データ!$D$2:$D$20000,$B135,元データ!$B$2:$B$20000,$C$3,元データ!$C$2:$C$20000,M$5)</f>
        <v>668</v>
      </c>
      <c r="N135" s="16">
        <f>SUMIFS(INDEX(元データ!$E$2:$H$20000,0,MATCH($C$2,元データ!$E$1:$H$1,0)),元データ!$A$2:$A$20000,$A135,元データ!$D$2:$D$20000,$B135,元データ!$B$2:$B$20000,$C$3,元データ!$C$2:$C$20000,N$5)</f>
        <v>588</v>
      </c>
      <c r="O135" s="17">
        <f t="shared" si="8"/>
        <v>7427</v>
      </c>
      <c r="P135" s="17">
        <f>SUMIFS(INDEX(元データ!$E$2:$H$20000,0,MATCH($C$2,元データ!$E$1:$H$1,0)),元データ!$A$2:$A$20000,$A135,元データ!$D$2:$D$20000,$B135,元データ!$B$2:$B$20000,$D$3)</f>
        <v>9284</v>
      </c>
      <c r="Q135" s="25">
        <f t="shared" si="9"/>
        <v>0.79997845756139596</v>
      </c>
    </row>
    <row r="136" spans="1:17" x14ac:dyDescent="0.45">
      <c r="A136" s="14"/>
      <c r="B136" s="15" t="s">
        <v>28</v>
      </c>
      <c r="C136" s="16">
        <f>SUMIFS(INDEX(元データ!$E$2:$H$20000,0,MATCH($C$2,元データ!$E$1:$H$1,0)),元データ!$A$2:$A$20000,$A135,元データ!$D$2:$D$20000,$B136,元データ!$B$2:$B$20000,$C$3,元データ!$C$2:$C$20000,C$5)</f>
        <v>411</v>
      </c>
      <c r="D136" s="16">
        <f>SUMIFS(INDEX(元データ!$E$2:$H$20000,0,MATCH($C$2,元データ!$E$1:$H$1,0)),元データ!$A$2:$A$20000,$A135,元データ!$D$2:$D$20000,$B136,元データ!$B$2:$B$20000,$C$3,元データ!$C$2:$C$20000,D$5)</f>
        <v>419</v>
      </c>
      <c r="E136" s="16">
        <f>SUMIFS(INDEX(元データ!$E$2:$H$20000,0,MATCH($C$2,元データ!$E$1:$H$1,0)),元データ!$A$2:$A$20000,$A135,元データ!$D$2:$D$20000,$B136,元データ!$B$2:$B$20000,$C$3,元データ!$C$2:$C$20000,E$5)</f>
        <v>568</v>
      </c>
      <c r="F136" s="16">
        <f>SUMIFS(INDEX(元データ!$E$2:$H$20000,0,MATCH($C$2,元データ!$E$1:$H$1,0)),元データ!$A$2:$A$20000,$A135,元データ!$D$2:$D$20000,$B136,元データ!$B$2:$B$20000,$C$3,元データ!$C$2:$C$20000,F$5)</f>
        <v>498</v>
      </c>
      <c r="G136" s="16">
        <f>SUMIFS(INDEX(元データ!$E$2:$H$20000,0,MATCH($C$2,元データ!$E$1:$H$1,0)),元データ!$A$2:$A$20000,$A135,元データ!$D$2:$D$20000,$B136,元データ!$B$2:$B$20000,$C$3,元データ!$C$2:$C$20000,G$5)</f>
        <v>544</v>
      </c>
      <c r="H136" s="16">
        <f>SUMIFS(INDEX(元データ!$E$2:$H$20000,0,MATCH($C$2,元データ!$E$1:$H$1,0)),元データ!$A$2:$A$20000,$A135,元データ!$D$2:$D$20000,$B136,元データ!$B$2:$B$20000,$C$3,元データ!$C$2:$C$20000,H$5)</f>
        <v>324</v>
      </c>
      <c r="I136" s="16">
        <f>SUMIFS(INDEX(元データ!$E$2:$H$20000,0,MATCH($C$2,元データ!$E$1:$H$1,0)),元データ!$A$2:$A$20000,$A135,元データ!$D$2:$D$20000,$B136,元データ!$B$2:$B$20000,$C$3,元データ!$C$2:$C$20000,I$5)</f>
        <v>285</v>
      </c>
      <c r="J136" s="16">
        <f>SUMIFS(INDEX(元データ!$E$2:$H$20000,0,MATCH($C$2,元データ!$E$1:$H$1,0)),元データ!$A$2:$A$20000,$A135,元データ!$D$2:$D$20000,$B136,元データ!$B$2:$B$20000,$C$3,元データ!$C$2:$C$20000,J$5)</f>
        <v>478</v>
      </c>
      <c r="K136" s="16">
        <f>SUMIFS(INDEX(元データ!$E$2:$H$20000,0,MATCH($C$2,元データ!$E$1:$H$1,0)),元データ!$A$2:$A$20000,$A135,元データ!$D$2:$D$20000,$B136,元データ!$B$2:$B$20000,$C$3,元データ!$C$2:$C$20000,K$5)</f>
        <v>736</v>
      </c>
      <c r="L136" s="16">
        <f>SUMIFS(INDEX(元データ!$E$2:$H$20000,0,MATCH($C$2,元データ!$E$1:$H$1,0)),元データ!$A$2:$A$20000,$A135,元データ!$D$2:$D$20000,$B136,元データ!$B$2:$B$20000,$C$3,元データ!$C$2:$C$20000,L$5)</f>
        <v>472</v>
      </c>
      <c r="M136" s="16">
        <f>SUMIFS(INDEX(元データ!$E$2:$H$20000,0,MATCH($C$2,元データ!$E$1:$H$1,0)),元データ!$A$2:$A$20000,$A135,元データ!$D$2:$D$20000,$B136,元データ!$B$2:$B$20000,$C$3,元データ!$C$2:$C$20000,M$5)</f>
        <v>500</v>
      </c>
      <c r="N136" s="16">
        <f>SUMIFS(INDEX(元データ!$E$2:$H$20000,0,MATCH($C$2,元データ!$E$1:$H$1,0)),元データ!$A$2:$A$20000,$A135,元データ!$D$2:$D$20000,$B136,元データ!$B$2:$B$20000,$C$3,元データ!$C$2:$C$20000,N$5)</f>
        <v>548</v>
      </c>
      <c r="O136" s="17">
        <f t="shared" si="8"/>
        <v>5783</v>
      </c>
      <c r="P136" s="17">
        <f>SUMIFS(INDEX(元データ!$E$2:$H$20000,0,MATCH($C$2,元データ!$E$1:$H$1,0)),元データ!$A$2:$A$20000,$A135,元データ!$D$2:$D$20000,$B136,元データ!$B$2:$B$20000,$D$3)</f>
        <v>6352</v>
      </c>
      <c r="Q136" s="25">
        <f t="shared" si="9"/>
        <v>0.9104219143576826</v>
      </c>
    </row>
    <row r="137" spans="1:17" x14ac:dyDescent="0.45">
      <c r="A137" s="14"/>
      <c r="B137" s="15" t="s">
        <v>29</v>
      </c>
      <c r="C137" s="16">
        <f>SUMIFS(INDEX(元データ!$E$2:$H$20000,0,MATCH($C$2,元データ!$E$1:$H$1,0)),元データ!$A$2:$A$20000,$A135,元データ!$D$2:$D$20000,$B137,元データ!$B$2:$B$20000,$C$3,元データ!$C$2:$C$20000,C$5)</f>
        <v>215</v>
      </c>
      <c r="D137" s="16">
        <f>SUMIFS(INDEX(元データ!$E$2:$H$20000,0,MATCH($C$2,元データ!$E$1:$H$1,0)),元データ!$A$2:$A$20000,$A135,元データ!$D$2:$D$20000,$B137,元データ!$B$2:$B$20000,$C$3,元データ!$C$2:$C$20000,D$5)</f>
        <v>292</v>
      </c>
      <c r="E137" s="16">
        <f>SUMIFS(INDEX(元データ!$E$2:$H$20000,0,MATCH($C$2,元データ!$E$1:$H$1,0)),元データ!$A$2:$A$20000,$A135,元データ!$D$2:$D$20000,$B137,元データ!$B$2:$B$20000,$C$3,元データ!$C$2:$C$20000,E$5)</f>
        <v>394</v>
      </c>
      <c r="F137" s="16">
        <f>SUMIFS(INDEX(元データ!$E$2:$H$20000,0,MATCH($C$2,元データ!$E$1:$H$1,0)),元データ!$A$2:$A$20000,$A135,元データ!$D$2:$D$20000,$B137,元データ!$B$2:$B$20000,$C$3,元データ!$C$2:$C$20000,F$5)</f>
        <v>361</v>
      </c>
      <c r="G137" s="16">
        <f>SUMIFS(INDEX(元データ!$E$2:$H$20000,0,MATCH($C$2,元データ!$E$1:$H$1,0)),元データ!$A$2:$A$20000,$A135,元データ!$D$2:$D$20000,$B137,元データ!$B$2:$B$20000,$C$3,元データ!$C$2:$C$20000,G$5)</f>
        <v>433</v>
      </c>
      <c r="H137" s="16">
        <f>SUMIFS(INDEX(元データ!$E$2:$H$20000,0,MATCH($C$2,元データ!$E$1:$H$1,0)),元データ!$A$2:$A$20000,$A135,元データ!$D$2:$D$20000,$B137,元データ!$B$2:$B$20000,$C$3,元データ!$C$2:$C$20000,H$5)</f>
        <v>271</v>
      </c>
      <c r="I137" s="16">
        <f>SUMIFS(INDEX(元データ!$E$2:$H$20000,0,MATCH($C$2,元データ!$E$1:$H$1,0)),元データ!$A$2:$A$20000,$A135,元データ!$D$2:$D$20000,$B137,元データ!$B$2:$B$20000,$C$3,元データ!$C$2:$C$20000,I$5)</f>
        <v>201</v>
      </c>
      <c r="J137" s="16">
        <f>SUMIFS(INDEX(元データ!$E$2:$H$20000,0,MATCH($C$2,元データ!$E$1:$H$1,0)),元データ!$A$2:$A$20000,$A135,元データ!$D$2:$D$20000,$B137,元データ!$B$2:$B$20000,$C$3,元データ!$C$2:$C$20000,J$5)</f>
        <v>476</v>
      </c>
      <c r="K137" s="16">
        <f>SUMIFS(INDEX(元データ!$E$2:$H$20000,0,MATCH($C$2,元データ!$E$1:$H$1,0)),元データ!$A$2:$A$20000,$A135,元データ!$D$2:$D$20000,$B137,元データ!$B$2:$B$20000,$C$3,元データ!$C$2:$C$20000,K$5)</f>
        <v>620</v>
      </c>
      <c r="L137" s="16">
        <f>SUMIFS(INDEX(元データ!$E$2:$H$20000,0,MATCH($C$2,元データ!$E$1:$H$1,0)),元データ!$A$2:$A$20000,$A135,元データ!$D$2:$D$20000,$B137,元データ!$B$2:$B$20000,$C$3,元データ!$C$2:$C$20000,L$5)</f>
        <v>363</v>
      </c>
      <c r="M137" s="16">
        <f>SUMIFS(INDEX(元データ!$E$2:$H$20000,0,MATCH($C$2,元データ!$E$1:$H$1,0)),元データ!$A$2:$A$20000,$A135,元データ!$D$2:$D$20000,$B137,元データ!$B$2:$B$20000,$C$3,元データ!$C$2:$C$20000,M$5)</f>
        <v>431</v>
      </c>
      <c r="N137" s="16">
        <f>SUMIFS(INDEX(元データ!$E$2:$H$20000,0,MATCH($C$2,元データ!$E$1:$H$1,0)),元データ!$A$2:$A$20000,$A135,元データ!$D$2:$D$20000,$B137,元データ!$B$2:$B$20000,$C$3,元データ!$C$2:$C$20000,N$5)</f>
        <v>410</v>
      </c>
      <c r="O137" s="17">
        <f t="shared" si="8"/>
        <v>4467</v>
      </c>
      <c r="P137" s="17">
        <f>SUMIFS(INDEX(元データ!$E$2:$H$20000,0,MATCH($C$2,元データ!$E$1:$H$1,0)),元データ!$A$2:$A$20000,$A135,元データ!$D$2:$D$20000,$B137,元データ!$B$2:$B$20000,$D$3)</f>
        <v>4657</v>
      </c>
      <c r="Q137" s="25">
        <f t="shared" si="9"/>
        <v>0.95920120249087393</v>
      </c>
    </row>
    <row r="138" spans="1:17" x14ac:dyDescent="0.45">
      <c r="A138" s="14" t="str">
        <f>店舗マスタ!A46</f>
        <v>松岡店</v>
      </c>
      <c r="B138" s="15" t="s">
        <v>27</v>
      </c>
      <c r="C138" s="16">
        <f>SUMIFS(INDEX(元データ!$E$2:$H$20000,0,MATCH($C$2,元データ!$E$1:$H$1,0)),元データ!$A$2:$A$20000,$A138,元データ!$D$2:$D$20000,$B138,元データ!$B$2:$B$20000,$C$3,元データ!$C$2:$C$20000,C$5)</f>
        <v>723</v>
      </c>
      <c r="D138" s="16">
        <f>SUMIFS(INDEX(元データ!$E$2:$H$20000,0,MATCH($C$2,元データ!$E$1:$H$1,0)),元データ!$A$2:$A$20000,$A138,元データ!$D$2:$D$20000,$B138,元データ!$B$2:$B$20000,$C$3,元データ!$C$2:$C$20000,D$5)</f>
        <v>862</v>
      </c>
      <c r="E138" s="16">
        <f>SUMIFS(INDEX(元データ!$E$2:$H$20000,0,MATCH($C$2,元データ!$E$1:$H$1,0)),元データ!$A$2:$A$20000,$A138,元データ!$D$2:$D$20000,$B138,元データ!$B$2:$B$20000,$C$3,元データ!$C$2:$C$20000,E$5)</f>
        <v>1024</v>
      </c>
      <c r="F138" s="16">
        <f>SUMIFS(INDEX(元データ!$E$2:$H$20000,0,MATCH($C$2,元データ!$E$1:$H$1,0)),元データ!$A$2:$A$20000,$A138,元データ!$D$2:$D$20000,$B138,元データ!$B$2:$B$20000,$C$3,元データ!$C$2:$C$20000,F$5)</f>
        <v>869</v>
      </c>
      <c r="G138" s="16">
        <f>SUMIFS(INDEX(元データ!$E$2:$H$20000,0,MATCH($C$2,元データ!$E$1:$H$1,0)),元データ!$A$2:$A$20000,$A138,元データ!$D$2:$D$20000,$B138,元データ!$B$2:$B$20000,$C$3,元データ!$C$2:$C$20000,G$5)</f>
        <v>879</v>
      </c>
      <c r="H138" s="16">
        <f>SUMIFS(INDEX(元データ!$E$2:$H$20000,0,MATCH($C$2,元データ!$E$1:$H$1,0)),元データ!$A$2:$A$20000,$A138,元データ!$D$2:$D$20000,$B138,元データ!$B$2:$B$20000,$C$3,元データ!$C$2:$C$20000,H$5)</f>
        <v>675</v>
      </c>
      <c r="I138" s="16">
        <f>SUMIFS(INDEX(元データ!$E$2:$H$20000,0,MATCH($C$2,元データ!$E$1:$H$1,0)),元データ!$A$2:$A$20000,$A138,元データ!$D$2:$D$20000,$B138,元データ!$B$2:$B$20000,$C$3,元データ!$C$2:$C$20000,I$5)</f>
        <v>638</v>
      </c>
      <c r="J138" s="16">
        <f>SUMIFS(INDEX(元データ!$E$2:$H$20000,0,MATCH($C$2,元データ!$E$1:$H$1,0)),元データ!$A$2:$A$20000,$A138,元データ!$D$2:$D$20000,$B138,元データ!$B$2:$B$20000,$C$3,元データ!$C$2:$C$20000,J$5)</f>
        <v>845</v>
      </c>
      <c r="K138" s="16">
        <f>SUMIFS(INDEX(元データ!$E$2:$H$20000,0,MATCH($C$2,元データ!$E$1:$H$1,0)),元データ!$A$2:$A$20000,$A138,元データ!$D$2:$D$20000,$B138,元データ!$B$2:$B$20000,$C$3,元データ!$C$2:$C$20000,K$5)</f>
        <v>832</v>
      </c>
      <c r="L138" s="16">
        <f>SUMIFS(INDEX(元データ!$E$2:$H$20000,0,MATCH($C$2,元データ!$E$1:$H$1,0)),元データ!$A$2:$A$20000,$A138,元データ!$D$2:$D$20000,$B138,元データ!$B$2:$B$20000,$C$3,元データ!$C$2:$C$20000,L$5)</f>
        <v>779</v>
      </c>
      <c r="M138" s="16">
        <f>SUMIFS(INDEX(元データ!$E$2:$H$20000,0,MATCH($C$2,元データ!$E$1:$H$1,0)),元データ!$A$2:$A$20000,$A138,元データ!$D$2:$D$20000,$B138,元データ!$B$2:$B$20000,$C$3,元データ!$C$2:$C$20000,M$5)</f>
        <v>846</v>
      </c>
      <c r="N138" s="16">
        <f>SUMIFS(INDEX(元データ!$E$2:$H$20000,0,MATCH($C$2,元データ!$E$1:$H$1,0)),元データ!$A$2:$A$20000,$A138,元データ!$D$2:$D$20000,$B138,元データ!$B$2:$B$20000,$C$3,元データ!$C$2:$C$20000,N$5)</f>
        <v>726</v>
      </c>
      <c r="O138" s="17">
        <f t="shared" si="8"/>
        <v>9698</v>
      </c>
      <c r="P138" s="17">
        <f>SUMIFS(INDEX(元データ!$E$2:$H$20000,0,MATCH($C$2,元データ!$E$1:$H$1,0)),元データ!$A$2:$A$20000,$A138,元データ!$D$2:$D$20000,$B138,元データ!$B$2:$B$20000,$D$3)</f>
        <v>11368</v>
      </c>
      <c r="Q138" s="25">
        <f t="shared" si="9"/>
        <v>0.85309641097818434</v>
      </c>
    </row>
    <row r="139" spans="1:17" x14ac:dyDescent="0.45">
      <c r="A139" s="14"/>
      <c r="B139" s="15" t="s">
        <v>28</v>
      </c>
      <c r="C139" s="16">
        <f>SUMIFS(INDEX(元データ!$E$2:$H$20000,0,MATCH($C$2,元データ!$E$1:$H$1,0)),元データ!$A$2:$A$20000,$A138,元データ!$D$2:$D$20000,$B139,元データ!$B$2:$B$20000,$C$3,元データ!$C$2:$C$20000,C$5)</f>
        <v>389</v>
      </c>
      <c r="D139" s="16">
        <f>SUMIFS(INDEX(元データ!$E$2:$H$20000,0,MATCH($C$2,元データ!$E$1:$H$1,0)),元データ!$A$2:$A$20000,$A138,元データ!$D$2:$D$20000,$B139,元データ!$B$2:$B$20000,$C$3,元データ!$C$2:$C$20000,D$5)</f>
        <v>382</v>
      </c>
      <c r="E139" s="16">
        <f>SUMIFS(INDEX(元データ!$E$2:$H$20000,0,MATCH($C$2,元データ!$E$1:$H$1,0)),元データ!$A$2:$A$20000,$A138,元データ!$D$2:$D$20000,$B139,元データ!$B$2:$B$20000,$C$3,元データ!$C$2:$C$20000,E$5)</f>
        <v>508</v>
      </c>
      <c r="F139" s="16">
        <f>SUMIFS(INDEX(元データ!$E$2:$H$20000,0,MATCH($C$2,元データ!$E$1:$H$1,0)),元データ!$A$2:$A$20000,$A138,元データ!$D$2:$D$20000,$B139,元データ!$B$2:$B$20000,$C$3,元データ!$C$2:$C$20000,F$5)</f>
        <v>524</v>
      </c>
      <c r="G139" s="16">
        <f>SUMIFS(INDEX(元データ!$E$2:$H$20000,0,MATCH($C$2,元データ!$E$1:$H$1,0)),元データ!$A$2:$A$20000,$A138,元データ!$D$2:$D$20000,$B139,元データ!$B$2:$B$20000,$C$3,元データ!$C$2:$C$20000,G$5)</f>
        <v>412</v>
      </c>
      <c r="H139" s="16">
        <f>SUMIFS(INDEX(元データ!$E$2:$H$20000,0,MATCH($C$2,元データ!$E$1:$H$1,0)),元データ!$A$2:$A$20000,$A138,元データ!$D$2:$D$20000,$B139,元データ!$B$2:$B$20000,$C$3,元データ!$C$2:$C$20000,H$5)</f>
        <v>316</v>
      </c>
      <c r="I139" s="16">
        <f>SUMIFS(INDEX(元データ!$E$2:$H$20000,0,MATCH($C$2,元データ!$E$1:$H$1,0)),元データ!$A$2:$A$20000,$A138,元データ!$D$2:$D$20000,$B139,元データ!$B$2:$B$20000,$C$3,元データ!$C$2:$C$20000,I$5)</f>
        <v>260</v>
      </c>
      <c r="J139" s="16">
        <f>SUMIFS(INDEX(元データ!$E$2:$H$20000,0,MATCH($C$2,元データ!$E$1:$H$1,0)),元データ!$A$2:$A$20000,$A138,元データ!$D$2:$D$20000,$B139,元データ!$B$2:$B$20000,$C$3,元データ!$C$2:$C$20000,J$5)</f>
        <v>417</v>
      </c>
      <c r="K139" s="16">
        <f>SUMIFS(INDEX(元データ!$E$2:$H$20000,0,MATCH($C$2,元データ!$E$1:$H$1,0)),元データ!$A$2:$A$20000,$A138,元データ!$D$2:$D$20000,$B139,元データ!$B$2:$B$20000,$C$3,元データ!$C$2:$C$20000,K$5)</f>
        <v>606</v>
      </c>
      <c r="L139" s="16">
        <f>SUMIFS(INDEX(元データ!$E$2:$H$20000,0,MATCH($C$2,元データ!$E$1:$H$1,0)),元データ!$A$2:$A$20000,$A138,元データ!$D$2:$D$20000,$B139,元データ!$B$2:$B$20000,$C$3,元データ!$C$2:$C$20000,L$5)</f>
        <v>457</v>
      </c>
      <c r="M139" s="16">
        <f>SUMIFS(INDEX(元データ!$E$2:$H$20000,0,MATCH($C$2,元データ!$E$1:$H$1,0)),元データ!$A$2:$A$20000,$A138,元データ!$D$2:$D$20000,$B139,元データ!$B$2:$B$20000,$C$3,元データ!$C$2:$C$20000,M$5)</f>
        <v>545</v>
      </c>
      <c r="N139" s="16">
        <f>SUMIFS(INDEX(元データ!$E$2:$H$20000,0,MATCH($C$2,元データ!$E$1:$H$1,0)),元データ!$A$2:$A$20000,$A138,元データ!$D$2:$D$20000,$B139,元データ!$B$2:$B$20000,$C$3,元データ!$C$2:$C$20000,N$5)</f>
        <v>402</v>
      </c>
      <c r="O139" s="17">
        <f t="shared" si="8"/>
        <v>5218</v>
      </c>
      <c r="P139" s="17">
        <f>SUMIFS(INDEX(元データ!$E$2:$H$20000,0,MATCH($C$2,元データ!$E$1:$H$1,0)),元データ!$A$2:$A$20000,$A138,元データ!$D$2:$D$20000,$B139,元データ!$B$2:$B$20000,$D$3)</f>
        <v>6029</v>
      </c>
      <c r="Q139" s="25">
        <f t="shared" si="9"/>
        <v>0.86548349643390277</v>
      </c>
    </row>
    <row r="140" spans="1:17" x14ac:dyDescent="0.45">
      <c r="A140" s="14"/>
      <c r="B140" s="15" t="s">
        <v>29</v>
      </c>
      <c r="C140" s="16">
        <f>SUMIFS(INDEX(元データ!$E$2:$H$20000,0,MATCH($C$2,元データ!$E$1:$H$1,0)),元データ!$A$2:$A$20000,$A138,元データ!$D$2:$D$20000,$B140,元データ!$B$2:$B$20000,$C$3,元データ!$C$2:$C$20000,C$5)</f>
        <v>194</v>
      </c>
      <c r="D140" s="16">
        <f>SUMIFS(INDEX(元データ!$E$2:$H$20000,0,MATCH($C$2,元データ!$E$1:$H$1,0)),元データ!$A$2:$A$20000,$A138,元データ!$D$2:$D$20000,$B140,元データ!$B$2:$B$20000,$C$3,元データ!$C$2:$C$20000,D$5)</f>
        <v>191</v>
      </c>
      <c r="E140" s="16">
        <f>SUMIFS(INDEX(元データ!$E$2:$H$20000,0,MATCH($C$2,元データ!$E$1:$H$1,0)),元データ!$A$2:$A$20000,$A138,元データ!$D$2:$D$20000,$B140,元データ!$B$2:$B$20000,$C$3,元データ!$C$2:$C$20000,E$5)</f>
        <v>338</v>
      </c>
      <c r="F140" s="16">
        <f>SUMIFS(INDEX(元データ!$E$2:$H$20000,0,MATCH($C$2,元データ!$E$1:$H$1,0)),元データ!$A$2:$A$20000,$A138,元データ!$D$2:$D$20000,$B140,元データ!$B$2:$B$20000,$C$3,元データ!$C$2:$C$20000,F$5)</f>
        <v>420</v>
      </c>
      <c r="G140" s="16">
        <f>SUMIFS(INDEX(元データ!$E$2:$H$20000,0,MATCH($C$2,元データ!$E$1:$H$1,0)),元データ!$A$2:$A$20000,$A138,元データ!$D$2:$D$20000,$B140,元データ!$B$2:$B$20000,$C$3,元データ!$C$2:$C$20000,G$5)</f>
        <v>274</v>
      </c>
      <c r="H140" s="16">
        <f>SUMIFS(INDEX(元データ!$E$2:$H$20000,0,MATCH($C$2,元データ!$E$1:$H$1,0)),元データ!$A$2:$A$20000,$A138,元データ!$D$2:$D$20000,$B140,元データ!$B$2:$B$20000,$C$3,元データ!$C$2:$C$20000,H$5)</f>
        <v>234</v>
      </c>
      <c r="I140" s="16">
        <f>SUMIFS(INDEX(元データ!$E$2:$H$20000,0,MATCH($C$2,元データ!$E$1:$H$1,0)),元データ!$A$2:$A$20000,$A138,元データ!$D$2:$D$20000,$B140,元データ!$B$2:$B$20000,$C$3,元データ!$C$2:$C$20000,I$5)</f>
        <v>164</v>
      </c>
      <c r="J140" s="16">
        <f>SUMIFS(INDEX(元データ!$E$2:$H$20000,0,MATCH($C$2,元データ!$E$1:$H$1,0)),元データ!$A$2:$A$20000,$A138,元データ!$D$2:$D$20000,$B140,元データ!$B$2:$B$20000,$C$3,元データ!$C$2:$C$20000,J$5)</f>
        <v>386</v>
      </c>
      <c r="K140" s="16">
        <f>SUMIFS(INDEX(元データ!$E$2:$H$20000,0,MATCH($C$2,元データ!$E$1:$H$1,0)),元データ!$A$2:$A$20000,$A138,元データ!$D$2:$D$20000,$B140,元データ!$B$2:$B$20000,$C$3,元データ!$C$2:$C$20000,K$5)</f>
        <v>557</v>
      </c>
      <c r="L140" s="16">
        <f>SUMIFS(INDEX(元データ!$E$2:$H$20000,0,MATCH($C$2,元データ!$E$1:$H$1,0)),元データ!$A$2:$A$20000,$A138,元データ!$D$2:$D$20000,$B140,元データ!$B$2:$B$20000,$C$3,元データ!$C$2:$C$20000,L$5)</f>
        <v>368</v>
      </c>
      <c r="M140" s="16">
        <f>SUMIFS(INDEX(元データ!$E$2:$H$20000,0,MATCH($C$2,元データ!$E$1:$H$1,0)),元データ!$A$2:$A$20000,$A138,元データ!$D$2:$D$20000,$B140,元データ!$B$2:$B$20000,$C$3,元データ!$C$2:$C$20000,M$5)</f>
        <v>426</v>
      </c>
      <c r="N140" s="16">
        <f>SUMIFS(INDEX(元データ!$E$2:$H$20000,0,MATCH($C$2,元データ!$E$1:$H$1,0)),元データ!$A$2:$A$20000,$A138,元データ!$D$2:$D$20000,$B140,元データ!$B$2:$B$20000,$C$3,元データ!$C$2:$C$20000,N$5)</f>
        <v>260</v>
      </c>
      <c r="O140" s="17">
        <f t="shared" si="8"/>
        <v>3812</v>
      </c>
      <c r="P140" s="17">
        <f>SUMIFS(INDEX(元データ!$E$2:$H$20000,0,MATCH($C$2,元データ!$E$1:$H$1,0)),元データ!$A$2:$A$20000,$A138,元データ!$D$2:$D$20000,$B140,元データ!$B$2:$B$20000,$D$3)</f>
        <v>4331</v>
      </c>
      <c r="Q140" s="25">
        <f t="shared" si="9"/>
        <v>0.88016624336181015</v>
      </c>
    </row>
    <row r="141" spans="1:17" x14ac:dyDescent="0.45">
      <c r="A141" s="14" t="str">
        <f>店舗マスタ!A47</f>
        <v>MV江尾店</v>
      </c>
      <c r="B141" s="15" t="s">
        <v>27</v>
      </c>
      <c r="C141" s="16">
        <f>SUMIFS(INDEX(元データ!$E$2:$H$20000,0,MATCH($C$2,元データ!$E$1:$H$1,0)),元データ!$A$2:$A$20000,$A141,元データ!$D$2:$D$20000,$B141,元データ!$B$2:$B$20000,$C$3,元データ!$C$2:$C$20000,C$5)</f>
        <v>271</v>
      </c>
      <c r="D141" s="16">
        <f>SUMIFS(INDEX(元データ!$E$2:$H$20000,0,MATCH($C$2,元データ!$E$1:$H$1,0)),元データ!$A$2:$A$20000,$A141,元データ!$D$2:$D$20000,$B141,元データ!$B$2:$B$20000,$C$3,元データ!$C$2:$C$20000,D$5)</f>
        <v>356</v>
      </c>
      <c r="E141" s="16">
        <f>SUMIFS(INDEX(元データ!$E$2:$H$20000,0,MATCH($C$2,元データ!$E$1:$H$1,0)),元データ!$A$2:$A$20000,$A141,元データ!$D$2:$D$20000,$B141,元データ!$B$2:$B$20000,$C$3,元データ!$C$2:$C$20000,E$5)</f>
        <v>481</v>
      </c>
      <c r="F141" s="16">
        <f>SUMIFS(INDEX(元データ!$E$2:$H$20000,0,MATCH($C$2,元データ!$E$1:$H$1,0)),元データ!$A$2:$A$20000,$A141,元データ!$D$2:$D$20000,$B141,元データ!$B$2:$B$20000,$C$3,元データ!$C$2:$C$20000,F$5)</f>
        <v>389</v>
      </c>
      <c r="G141" s="16">
        <f>SUMIFS(INDEX(元データ!$E$2:$H$20000,0,MATCH($C$2,元データ!$E$1:$H$1,0)),元データ!$A$2:$A$20000,$A141,元データ!$D$2:$D$20000,$B141,元データ!$B$2:$B$20000,$C$3,元データ!$C$2:$C$20000,G$5)</f>
        <v>368</v>
      </c>
      <c r="H141" s="16">
        <f>SUMIFS(INDEX(元データ!$E$2:$H$20000,0,MATCH($C$2,元データ!$E$1:$H$1,0)),元データ!$A$2:$A$20000,$A141,元データ!$D$2:$D$20000,$B141,元データ!$B$2:$B$20000,$C$3,元データ!$C$2:$C$20000,H$5)</f>
        <v>332</v>
      </c>
      <c r="I141" s="16">
        <f>SUMIFS(INDEX(元データ!$E$2:$H$20000,0,MATCH($C$2,元データ!$E$1:$H$1,0)),元データ!$A$2:$A$20000,$A141,元データ!$D$2:$D$20000,$B141,元データ!$B$2:$B$20000,$C$3,元データ!$C$2:$C$20000,I$5)</f>
        <v>287</v>
      </c>
      <c r="J141" s="16">
        <f>SUMIFS(INDEX(元データ!$E$2:$H$20000,0,MATCH($C$2,元データ!$E$1:$H$1,0)),元データ!$A$2:$A$20000,$A141,元データ!$D$2:$D$20000,$B141,元データ!$B$2:$B$20000,$C$3,元データ!$C$2:$C$20000,J$5)</f>
        <v>407</v>
      </c>
      <c r="K141" s="16">
        <f>SUMIFS(INDEX(元データ!$E$2:$H$20000,0,MATCH($C$2,元データ!$E$1:$H$1,0)),元データ!$A$2:$A$20000,$A141,元データ!$D$2:$D$20000,$B141,元データ!$B$2:$B$20000,$C$3,元データ!$C$2:$C$20000,K$5)</f>
        <v>358</v>
      </c>
      <c r="L141" s="16">
        <f>SUMIFS(INDEX(元データ!$E$2:$H$20000,0,MATCH($C$2,元データ!$E$1:$H$1,0)),元データ!$A$2:$A$20000,$A141,元データ!$D$2:$D$20000,$B141,元データ!$B$2:$B$20000,$C$3,元データ!$C$2:$C$20000,L$5)</f>
        <v>389</v>
      </c>
      <c r="M141" s="16">
        <f>SUMIFS(INDEX(元データ!$E$2:$H$20000,0,MATCH($C$2,元データ!$E$1:$H$1,0)),元データ!$A$2:$A$20000,$A141,元データ!$D$2:$D$20000,$B141,元データ!$B$2:$B$20000,$C$3,元データ!$C$2:$C$20000,M$5)</f>
        <v>395</v>
      </c>
      <c r="N141" s="16">
        <f>SUMIFS(INDEX(元データ!$E$2:$H$20000,0,MATCH($C$2,元データ!$E$1:$H$1,0)),元データ!$A$2:$A$20000,$A141,元データ!$D$2:$D$20000,$B141,元データ!$B$2:$B$20000,$C$3,元データ!$C$2:$C$20000,N$5)</f>
        <v>351</v>
      </c>
      <c r="O141" s="17">
        <f t="shared" si="8"/>
        <v>4384</v>
      </c>
      <c r="P141" s="17">
        <f>SUMIFS(INDEX(元データ!$E$2:$H$20000,0,MATCH($C$2,元データ!$E$1:$H$1,0)),元データ!$A$2:$A$20000,$A141,元データ!$D$2:$D$20000,$B141,元データ!$B$2:$B$20000,$D$3)</f>
        <v>5618</v>
      </c>
      <c r="Q141" s="25">
        <f t="shared" si="9"/>
        <v>0.78034887860448554</v>
      </c>
    </row>
    <row r="142" spans="1:17" x14ac:dyDescent="0.45">
      <c r="A142" s="14"/>
      <c r="B142" s="15" t="s">
        <v>28</v>
      </c>
      <c r="C142" s="16">
        <f>SUMIFS(INDEX(元データ!$E$2:$H$20000,0,MATCH($C$2,元データ!$E$1:$H$1,0)),元データ!$A$2:$A$20000,$A141,元データ!$D$2:$D$20000,$B142,元データ!$B$2:$B$20000,$C$3,元データ!$C$2:$C$20000,C$5)</f>
        <v>217</v>
      </c>
      <c r="D142" s="16">
        <f>SUMIFS(INDEX(元データ!$E$2:$H$20000,0,MATCH($C$2,元データ!$E$1:$H$1,0)),元データ!$A$2:$A$20000,$A141,元データ!$D$2:$D$20000,$B142,元データ!$B$2:$B$20000,$C$3,元データ!$C$2:$C$20000,D$5)</f>
        <v>234</v>
      </c>
      <c r="E142" s="16">
        <f>SUMIFS(INDEX(元データ!$E$2:$H$20000,0,MATCH($C$2,元データ!$E$1:$H$1,0)),元データ!$A$2:$A$20000,$A141,元データ!$D$2:$D$20000,$B142,元データ!$B$2:$B$20000,$C$3,元データ!$C$2:$C$20000,E$5)</f>
        <v>358</v>
      </c>
      <c r="F142" s="16">
        <f>SUMIFS(INDEX(元データ!$E$2:$H$20000,0,MATCH($C$2,元データ!$E$1:$H$1,0)),元データ!$A$2:$A$20000,$A141,元データ!$D$2:$D$20000,$B142,元データ!$B$2:$B$20000,$C$3,元データ!$C$2:$C$20000,F$5)</f>
        <v>320</v>
      </c>
      <c r="G142" s="16">
        <f>SUMIFS(INDEX(元データ!$E$2:$H$20000,0,MATCH($C$2,元データ!$E$1:$H$1,0)),元データ!$A$2:$A$20000,$A141,元データ!$D$2:$D$20000,$B142,元データ!$B$2:$B$20000,$C$3,元データ!$C$2:$C$20000,G$5)</f>
        <v>382</v>
      </c>
      <c r="H142" s="16">
        <f>SUMIFS(INDEX(元データ!$E$2:$H$20000,0,MATCH($C$2,元データ!$E$1:$H$1,0)),元データ!$A$2:$A$20000,$A141,元データ!$D$2:$D$20000,$B142,元データ!$B$2:$B$20000,$C$3,元データ!$C$2:$C$20000,H$5)</f>
        <v>241</v>
      </c>
      <c r="I142" s="16">
        <f>SUMIFS(INDEX(元データ!$E$2:$H$20000,0,MATCH($C$2,元データ!$E$1:$H$1,0)),元データ!$A$2:$A$20000,$A141,元データ!$D$2:$D$20000,$B142,元データ!$B$2:$B$20000,$C$3,元データ!$C$2:$C$20000,I$5)</f>
        <v>167</v>
      </c>
      <c r="J142" s="16">
        <f>SUMIFS(INDEX(元データ!$E$2:$H$20000,0,MATCH($C$2,元データ!$E$1:$H$1,0)),元データ!$A$2:$A$20000,$A141,元データ!$D$2:$D$20000,$B142,元データ!$B$2:$B$20000,$C$3,元データ!$C$2:$C$20000,J$5)</f>
        <v>304</v>
      </c>
      <c r="K142" s="16">
        <f>SUMIFS(INDEX(元データ!$E$2:$H$20000,0,MATCH($C$2,元データ!$E$1:$H$1,0)),元データ!$A$2:$A$20000,$A141,元データ!$D$2:$D$20000,$B142,元データ!$B$2:$B$20000,$C$3,元データ!$C$2:$C$20000,K$5)</f>
        <v>375</v>
      </c>
      <c r="L142" s="16">
        <f>SUMIFS(INDEX(元データ!$E$2:$H$20000,0,MATCH($C$2,元データ!$E$1:$H$1,0)),元データ!$A$2:$A$20000,$A141,元データ!$D$2:$D$20000,$B142,元データ!$B$2:$B$20000,$C$3,元データ!$C$2:$C$20000,L$5)</f>
        <v>271</v>
      </c>
      <c r="M142" s="16">
        <f>SUMIFS(INDEX(元データ!$E$2:$H$20000,0,MATCH($C$2,元データ!$E$1:$H$1,0)),元データ!$A$2:$A$20000,$A141,元データ!$D$2:$D$20000,$B142,元データ!$B$2:$B$20000,$C$3,元データ!$C$2:$C$20000,M$5)</f>
        <v>281</v>
      </c>
      <c r="N142" s="16">
        <f>SUMIFS(INDEX(元データ!$E$2:$H$20000,0,MATCH($C$2,元データ!$E$1:$H$1,0)),元データ!$A$2:$A$20000,$A141,元データ!$D$2:$D$20000,$B142,元データ!$B$2:$B$20000,$C$3,元データ!$C$2:$C$20000,N$5)</f>
        <v>349</v>
      </c>
      <c r="O142" s="17">
        <f t="shared" si="8"/>
        <v>3499</v>
      </c>
      <c r="P142" s="17">
        <f>SUMIFS(INDEX(元データ!$E$2:$H$20000,0,MATCH($C$2,元データ!$E$1:$H$1,0)),元データ!$A$2:$A$20000,$A141,元データ!$D$2:$D$20000,$B142,元データ!$B$2:$B$20000,$D$3)</f>
        <v>3681</v>
      </c>
      <c r="Q142" s="25">
        <f t="shared" si="9"/>
        <v>0.95055691388209729</v>
      </c>
    </row>
    <row r="143" spans="1:17" x14ac:dyDescent="0.45">
      <c r="A143" s="14"/>
      <c r="B143" s="15" t="s">
        <v>29</v>
      </c>
      <c r="C143" s="16">
        <f>SUMIFS(INDEX(元データ!$E$2:$H$20000,0,MATCH($C$2,元データ!$E$1:$H$1,0)),元データ!$A$2:$A$20000,$A141,元データ!$D$2:$D$20000,$B143,元データ!$B$2:$B$20000,$C$3,元データ!$C$2:$C$20000,C$5)</f>
        <v>133</v>
      </c>
      <c r="D143" s="16">
        <f>SUMIFS(INDEX(元データ!$E$2:$H$20000,0,MATCH($C$2,元データ!$E$1:$H$1,0)),元データ!$A$2:$A$20000,$A141,元データ!$D$2:$D$20000,$B143,元データ!$B$2:$B$20000,$C$3,元データ!$C$2:$C$20000,D$5)</f>
        <v>184</v>
      </c>
      <c r="E143" s="16">
        <f>SUMIFS(INDEX(元データ!$E$2:$H$20000,0,MATCH($C$2,元データ!$E$1:$H$1,0)),元データ!$A$2:$A$20000,$A141,元データ!$D$2:$D$20000,$B143,元データ!$B$2:$B$20000,$C$3,元データ!$C$2:$C$20000,E$5)</f>
        <v>269</v>
      </c>
      <c r="F143" s="16">
        <f>SUMIFS(INDEX(元データ!$E$2:$H$20000,0,MATCH($C$2,元データ!$E$1:$H$1,0)),元データ!$A$2:$A$20000,$A141,元データ!$D$2:$D$20000,$B143,元データ!$B$2:$B$20000,$C$3,元データ!$C$2:$C$20000,F$5)</f>
        <v>288</v>
      </c>
      <c r="G143" s="16">
        <f>SUMIFS(INDEX(元データ!$E$2:$H$20000,0,MATCH($C$2,元データ!$E$1:$H$1,0)),元データ!$A$2:$A$20000,$A141,元データ!$D$2:$D$20000,$B143,元データ!$B$2:$B$20000,$C$3,元データ!$C$2:$C$20000,G$5)</f>
        <v>251</v>
      </c>
      <c r="H143" s="16">
        <f>SUMIFS(INDEX(元データ!$E$2:$H$20000,0,MATCH($C$2,元データ!$E$1:$H$1,0)),元データ!$A$2:$A$20000,$A141,元データ!$D$2:$D$20000,$B143,元データ!$B$2:$B$20000,$C$3,元データ!$C$2:$C$20000,H$5)</f>
        <v>268</v>
      </c>
      <c r="I143" s="16">
        <f>SUMIFS(INDEX(元データ!$E$2:$H$20000,0,MATCH($C$2,元データ!$E$1:$H$1,0)),元データ!$A$2:$A$20000,$A141,元データ!$D$2:$D$20000,$B143,元データ!$B$2:$B$20000,$C$3,元データ!$C$2:$C$20000,I$5)</f>
        <v>146</v>
      </c>
      <c r="J143" s="16">
        <f>SUMIFS(INDEX(元データ!$E$2:$H$20000,0,MATCH($C$2,元データ!$E$1:$H$1,0)),元データ!$A$2:$A$20000,$A141,元データ!$D$2:$D$20000,$B143,元データ!$B$2:$B$20000,$C$3,元データ!$C$2:$C$20000,J$5)</f>
        <v>346</v>
      </c>
      <c r="K143" s="16">
        <f>SUMIFS(INDEX(元データ!$E$2:$H$20000,0,MATCH($C$2,元データ!$E$1:$H$1,0)),元データ!$A$2:$A$20000,$A141,元データ!$D$2:$D$20000,$B143,元データ!$B$2:$B$20000,$C$3,元データ!$C$2:$C$20000,K$5)</f>
        <v>394</v>
      </c>
      <c r="L143" s="16">
        <f>SUMIFS(INDEX(元データ!$E$2:$H$20000,0,MATCH($C$2,元データ!$E$1:$H$1,0)),元データ!$A$2:$A$20000,$A141,元データ!$D$2:$D$20000,$B143,元データ!$B$2:$B$20000,$C$3,元データ!$C$2:$C$20000,L$5)</f>
        <v>263</v>
      </c>
      <c r="M143" s="16">
        <f>SUMIFS(INDEX(元データ!$E$2:$H$20000,0,MATCH($C$2,元データ!$E$1:$H$1,0)),元データ!$A$2:$A$20000,$A141,元データ!$D$2:$D$20000,$B143,元データ!$B$2:$B$20000,$C$3,元データ!$C$2:$C$20000,M$5)</f>
        <v>262</v>
      </c>
      <c r="N143" s="16">
        <f>SUMIFS(INDEX(元データ!$E$2:$H$20000,0,MATCH($C$2,元データ!$E$1:$H$1,0)),元データ!$A$2:$A$20000,$A141,元データ!$D$2:$D$20000,$B143,元データ!$B$2:$B$20000,$C$3,元データ!$C$2:$C$20000,N$5)</f>
        <v>279</v>
      </c>
      <c r="O143" s="17">
        <f t="shared" si="8"/>
        <v>3083</v>
      </c>
      <c r="P143" s="17">
        <f>SUMIFS(INDEX(元データ!$E$2:$H$20000,0,MATCH($C$2,元データ!$E$1:$H$1,0)),元データ!$A$2:$A$20000,$A141,元データ!$D$2:$D$20000,$B143,元データ!$B$2:$B$20000,$D$3)</f>
        <v>3150</v>
      </c>
      <c r="Q143" s="25">
        <f t="shared" si="9"/>
        <v>0.97873015873015878</v>
      </c>
    </row>
    <row r="144" spans="1:17" x14ac:dyDescent="0.45">
      <c r="A144" s="14" t="str">
        <f>店舗マスタ!A48</f>
        <v>蒲原店</v>
      </c>
      <c r="B144" s="15" t="s">
        <v>27</v>
      </c>
      <c r="C144" s="16">
        <f>SUMIFS(INDEX(元データ!$E$2:$H$20000,0,MATCH($C$2,元データ!$E$1:$H$1,0)),元データ!$A$2:$A$20000,$A144,元データ!$D$2:$D$20000,$B144,元データ!$B$2:$B$20000,$C$3,元データ!$C$2:$C$20000,C$5)</f>
        <v>392</v>
      </c>
      <c r="D144" s="16">
        <f>SUMIFS(INDEX(元データ!$E$2:$H$20000,0,MATCH($C$2,元データ!$E$1:$H$1,0)),元データ!$A$2:$A$20000,$A144,元データ!$D$2:$D$20000,$B144,元データ!$B$2:$B$20000,$C$3,元データ!$C$2:$C$20000,D$5)</f>
        <v>425</v>
      </c>
      <c r="E144" s="16">
        <f>SUMIFS(INDEX(元データ!$E$2:$H$20000,0,MATCH($C$2,元データ!$E$1:$H$1,0)),元データ!$A$2:$A$20000,$A144,元データ!$D$2:$D$20000,$B144,元データ!$B$2:$B$20000,$C$3,元データ!$C$2:$C$20000,E$5)</f>
        <v>523</v>
      </c>
      <c r="F144" s="16">
        <f>SUMIFS(INDEX(元データ!$E$2:$H$20000,0,MATCH($C$2,元データ!$E$1:$H$1,0)),元データ!$A$2:$A$20000,$A144,元データ!$D$2:$D$20000,$B144,元データ!$B$2:$B$20000,$C$3,元データ!$C$2:$C$20000,F$5)</f>
        <v>443</v>
      </c>
      <c r="G144" s="16">
        <f>SUMIFS(INDEX(元データ!$E$2:$H$20000,0,MATCH($C$2,元データ!$E$1:$H$1,0)),元データ!$A$2:$A$20000,$A144,元データ!$D$2:$D$20000,$B144,元データ!$B$2:$B$20000,$C$3,元データ!$C$2:$C$20000,G$5)</f>
        <v>397</v>
      </c>
      <c r="H144" s="16">
        <f>SUMIFS(INDEX(元データ!$E$2:$H$20000,0,MATCH($C$2,元データ!$E$1:$H$1,0)),元データ!$A$2:$A$20000,$A144,元データ!$D$2:$D$20000,$B144,元データ!$B$2:$B$20000,$C$3,元データ!$C$2:$C$20000,H$5)</f>
        <v>349</v>
      </c>
      <c r="I144" s="16">
        <f>SUMIFS(INDEX(元データ!$E$2:$H$20000,0,MATCH($C$2,元データ!$E$1:$H$1,0)),元データ!$A$2:$A$20000,$A144,元データ!$D$2:$D$20000,$B144,元データ!$B$2:$B$20000,$C$3,元データ!$C$2:$C$20000,I$5)</f>
        <v>344</v>
      </c>
      <c r="J144" s="16">
        <f>SUMIFS(INDEX(元データ!$E$2:$H$20000,0,MATCH($C$2,元データ!$E$1:$H$1,0)),元データ!$A$2:$A$20000,$A144,元データ!$D$2:$D$20000,$B144,元データ!$B$2:$B$20000,$C$3,元データ!$C$2:$C$20000,J$5)</f>
        <v>427</v>
      </c>
      <c r="K144" s="16">
        <f>SUMIFS(INDEX(元データ!$E$2:$H$20000,0,MATCH($C$2,元データ!$E$1:$H$1,0)),元データ!$A$2:$A$20000,$A144,元データ!$D$2:$D$20000,$B144,元データ!$B$2:$B$20000,$C$3,元データ!$C$2:$C$20000,K$5)</f>
        <v>449</v>
      </c>
      <c r="L144" s="16">
        <f>SUMIFS(INDEX(元データ!$E$2:$H$20000,0,MATCH($C$2,元データ!$E$1:$H$1,0)),元データ!$A$2:$A$20000,$A144,元データ!$D$2:$D$20000,$B144,元データ!$B$2:$B$20000,$C$3,元データ!$C$2:$C$20000,L$5)</f>
        <v>410</v>
      </c>
      <c r="M144" s="16">
        <f>SUMIFS(INDEX(元データ!$E$2:$H$20000,0,MATCH($C$2,元データ!$E$1:$H$1,0)),元データ!$A$2:$A$20000,$A144,元データ!$D$2:$D$20000,$B144,元データ!$B$2:$B$20000,$C$3,元データ!$C$2:$C$20000,M$5)</f>
        <v>430</v>
      </c>
      <c r="N144" s="16">
        <f>SUMIFS(INDEX(元データ!$E$2:$H$20000,0,MATCH($C$2,元データ!$E$1:$H$1,0)),元データ!$A$2:$A$20000,$A144,元データ!$D$2:$D$20000,$B144,元データ!$B$2:$B$20000,$C$3,元データ!$C$2:$C$20000,N$5)</f>
        <v>392</v>
      </c>
      <c r="O144" s="17">
        <f t="shared" si="8"/>
        <v>4981</v>
      </c>
      <c r="P144" s="17">
        <f>SUMIFS(INDEX(元データ!$E$2:$H$20000,0,MATCH($C$2,元データ!$E$1:$H$1,0)),元データ!$A$2:$A$20000,$A144,元データ!$D$2:$D$20000,$B144,元データ!$B$2:$B$20000,$D$3)</f>
        <v>5752</v>
      </c>
      <c r="Q144" s="25">
        <f t="shared" si="9"/>
        <v>0.86595966620305975</v>
      </c>
    </row>
    <row r="145" spans="1:17" x14ac:dyDescent="0.45">
      <c r="A145" s="14"/>
      <c r="B145" s="15" t="s">
        <v>28</v>
      </c>
      <c r="C145" s="16">
        <f>SUMIFS(INDEX(元データ!$E$2:$H$20000,0,MATCH($C$2,元データ!$E$1:$H$1,0)),元データ!$A$2:$A$20000,$A144,元データ!$D$2:$D$20000,$B145,元データ!$B$2:$B$20000,$C$3,元データ!$C$2:$C$20000,C$5)</f>
        <v>238</v>
      </c>
      <c r="D145" s="16">
        <f>SUMIFS(INDEX(元データ!$E$2:$H$20000,0,MATCH($C$2,元データ!$E$1:$H$1,0)),元データ!$A$2:$A$20000,$A144,元データ!$D$2:$D$20000,$B145,元データ!$B$2:$B$20000,$C$3,元データ!$C$2:$C$20000,D$5)</f>
        <v>257</v>
      </c>
      <c r="E145" s="16">
        <f>SUMIFS(INDEX(元データ!$E$2:$H$20000,0,MATCH($C$2,元データ!$E$1:$H$1,0)),元データ!$A$2:$A$20000,$A144,元データ!$D$2:$D$20000,$B145,元データ!$B$2:$B$20000,$C$3,元データ!$C$2:$C$20000,E$5)</f>
        <v>369</v>
      </c>
      <c r="F145" s="16">
        <f>SUMIFS(INDEX(元データ!$E$2:$H$20000,0,MATCH($C$2,元データ!$E$1:$H$1,0)),元データ!$A$2:$A$20000,$A144,元データ!$D$2:$D$20000,$B145,元データ!$B$2:$B$20000,$C$3,元データ!$C$2:$C$20000,F$5)</f>
        <v>368</v>
      </c>
      <c r="G145" s="16">
        <f>SUMIFS(INDEX(元データ!$E$2:$H$20000,0,MATCH($C$2,元データ!$E$1:$H$1,0)),元データ!$A$2:$A$20000,$A144,元データ!$D$2:$D$20000,$B145,元データ!$B$2:$B$20000,$C$3,元データ!$C$2:$C$20000,G$5)</f>
        <v>280</v>
      </c>
      <c r="H145" s="16">
        <f>SUMIFS(INDEX(元データ!$E$2:$H$20000,0,MATCH($C$2,元データ!$E$1:$H$1,0)),元データ!$A$2:$A$20000,$A144,元データ!$D$2:$D$20000,$B145,元データ!$B$2:$B$20000,$C$3,元データ!$C$2:$C$20000,H$5)</f>
        <v>215</v>
      </c>
      <c r="I145" s="16">
        <f>SUMIFS(INDEX(元データ!$E$2:$H$20000,0,MATCH($C$2,元データ!$E$1:$H$1,0)),元データ!$A$2:$A$20000,$A144,元データ!$D$2:$D$20000,$B145,元データ!$B$2:$B$20000,$C$3,元データ!$C$2:$C$20000,I$5)</f>
        <v>171</v>
      </c>
      <c r="J145" s="16">
        <f>SUMIFS(INDEX(元データ!$E$2:$H$20000,0,MATCH($C$2,元データ!$E$1:$H$1,0)),元データ!$A$2:$A$20000,$A144,元データ!$D$2:$D$20000,$B145,元データ!$B$2:$B$20000,$C$3,元データ!$C$2:$C$20000,J$5)</f>
        <v>314</v>
      </c>
      <c r="K145" s="16">
        <f>SUMIFS(INDEX(元データ!$E$2:$H$20000,0,MATCH($C$2,元データ!$E$1:$H$1,0)),元データ!$A$2:$A$20000,$A144,元データ!$D$2:$D$20000,$B145,元データ!$B$2:$B$20000,$C$3,元データ!$C$2:$C$20000,K$5)</f>
        <v>411</v>
      </c>
      <c r="L145" s="16">
        <f>SUMIFS(INDEX(元データ!$E$2:$H$20000,0,MATCH($C$2,元データ!$E$1:$H$1,0)),元データ!$A$2:$A$20000,$A144,元データ!$D$2:$D$20000,$B145,元データ!$B$2:$B$20000,$C$3,元データ!$C$2:$C$20000,L$5)</f>
        <v>274</v>
      </c>
      <c r="M145" s="16">
        <f>SUMIFS(INDEX(元データ!$E$2:$H$20000,0,MATCH($C$2,元データ!$E$1:$H$1,0)),元データ!$A$2:$A$20000,$A144,元データ!$D$2:$D$20000,$B145,元データ!$B$2:$B$20000,$C$3,元データ!$C$2:$C$20000,M$5)</f>
        <v>312</v>
      </c>
      <c r="N145" s="16">
        <f>SUMIFS(INDEX(元データ!$E$2:$H$20000,0,MATCH($C$2,元データ!$E$1:$H$1,0)),元データ!$A$2:$A$20000,$A144,元データ!$D$2:$D$20000,$B145,元データ!$B$2:$B$20000,$C$3,元データ!$C$2:$C$20000,N$5)</f>
        <v>295</v>
      </c>
      <c r="O145" s="17">
        <f t="shared" si="8"/>
        <v>3504</v>
      </c>
      <c r="P145" s="17">
        <f>SUMIFS(INDEX(元データ!$E$2:$H$20000,0,MATCH($C$2,元データ!$E$1:$H$1,0)),元データ!$A$2:$A$20000,$A144,元データ!$D$2:$D$20000,$B145,元データ!$B$2:$B$20000,$D$3)</f>
        <v>3932</v>
      </c>
      <c r="Q145" s="25">
        <f t="shared" si="9"/>
        <v>0.89114954221770093</v>
      </c>
    </row>
    <row r="146" spans="1:17" x14ac:dyDescent="0.45">
      <c r="A146" s="14"/>
      <c r="B146" s="15" t="s">
        <v>29</v>
      </c>
      <c r="C146" s="16">
        <f>SUMIFS(INDEX(元データ!$E$2:$H$20000,0,MATCH($C$2,元データ!$E$1:$H$1,0)),元データ!$A$2:$A$20000,$A144,元データ!$D$2:$D$20000,$B146,元データ!$B$2:$B$20000,$C$3,元データ!$C$2:$C$20000,C$5)</f>
        <v>158</v>
      </c>
      <c r="D146" s="16">
        <f>SUMIFS(INDEX(元データ!$E$2:$H$20000,0,MATCH($C$2,元データ!$E$1:$H$1,0)),元データ!$A$2:$A$20000,$A144,元データ!$D$2:$D$20000,$B146,元データ!$B$2:$B$20000,$C$3,元データ!$C$2:$C$20000,D$5)</f>
        <v>181</v>
      </c>
      <c r="E146" s="16">
        <f>SUMIFS(INDEX(元データ!$E$2:$H$20000,0,MATCH($C$2,元データ!$E$1:$H$1,0)),元データ!$A$2:$A$20000,$A144,元データ!$D$2:$D$20000,$B146,元データ!$B$2:$B$20000,$C$3,元データ!$C$2:$C$20000,E$5)</f>
        <v>305</v>
      </c>
      <c r="F146" s="16">
        <f>SUMIFS(INDEX(元データ!$E$2:$H$20000,0,MATCH($C$2,元データ!$E$1:$H$1,0)),元データ!$A$2:$A$20000,$A144,元データ!$D$2:$D$20000,$B146,元データ!$B$2:$B$20000,$C$3,元データ!$C$2:$C$20000,F$5)</f>
        <v>271</v>
      </c>
      <c r="G146" s="16">
        <f>SUMIFS(INDEX(元データ!$E$2:$H$20000,0,MATCH($C$2,元データ!$E$1:$H$1,0)),元データ!$A$2:$A$20000,$A144,元データ!$D$2:$D$20000,$B146,元データ!$B$2:$B$20000,$C$3,元データ!$C$2:$C$20000,G$5)</f>
        <v>237</v>
      </c>
      <c r="H146" s="16">
        <f>SUMIFS(INDEX(元データ!$E$2:$H$20000,0,MATCH($C$2,元データ!$E$1:$H$1,0)),元データ!$A$2:$A$20000,$A144,元データ!$D$2:$D$20000,$B146,元データ!$B$2:$B$20000,$C$3,元データ!$C$2:$C$20000,H$5)</f>
        <v>206</v>
      </c>
      <c r="I146" s="16">
        <f>SUMIFS(INDEX(元データ!$E$2:$H$20000,0,MATCH($C$2,元データ!$E$1:$H$1,0)),元データ!$A$2:$A$20000,$A144,元データ!$D$2:$D$20000,$B146,元データ!$B$2:$B$20000,$C$3,元データ!$C$2:$C$20000,I$5)</f>
        <v>157</v>
      </c>
      <c r="J146" s="16">
        <f>SUMIFS(INDEX(元データ!$E$2:$H$20000,0,MATCH($C$2,元データ!$E$1:$H$1,0)),元データ!$A$2:$A$20000,$A144,元データ!$D$2:$D$20000,$B146,元データ!$B$2:$B$20000,$C$3,元データ!$C$2:$C$20000,J$5)</f>
        <v>333</v>
      </c>
      <c r="K146" s="16">
        <f>SUMIFS(INDEX(元データ!$E$2:$H$20000,0,MATCH($C$2,元データ!$E$1:$H$1,0)),元データ!$A$2:$A$20000,$A144,元データ!$D$2:$D$20000,$B146,元データ!$B$2:$B$20000,$C$3,元データ!$C$2:$C$20000,K$5)</f>
        <v>414</v>
      </c>
      <c r="L146" s="16">
        <f>SUMIFS(INDEX(元データ!$E$2:$H$20000,0,MATCH($C$2,元データ!$E$1:$H$1,0)),元データ!$A$2:$A$20000,$A144,元データ!$D$2:$D$20000,$B146,元データ!$B$2:$B$20000,$C$3,元データ!$C$2:$C$20000,L$5)</f>
        <v>240</v>
      </c>
      <c r="M146" s="16">
        <f>SUMIFS(INDEX(元データ!$E$2:$H$20000,0,MATCH($C$2,元データ!$E$1:$H$1,0)),元データ!$A$2:$A$20000,$A144,元データ!$D$2:$D$20000,$B146,元データ!$B$2:$B$20000,$C$3,元データ!$C$2:$C$20000,M$5)</f>
        <v>313</v>
      </c>
      <c r="N146" s="16">
        <f>SUMIFS(INDEX(元データ!$E$2:$H$20000,0,MATCH($C$2,元データ!$E$1:$H$1,0)),元データ!$A$2:$A$20000,$A144,元データ!$D$2:$D$20000,$B146,元データ!$B$2:$B$20000,$C$3,元データ!$C$2:$C$20000,N$5)</f>
        <v>246</v>
      </c>
      <c r="O146" s="17">
        <f t="shared" si="8"/>
        <v>3061</v>
      </c>
      <c r="P146" s="17">
        <f>SUMIFS(INDEX(元データ!$E$2:$H$20000,0,MATCH($C$2,元データ!$E$1:$H$1,0)),元データ!$A$2:$A$20000,$A144,元データ!$D$2:$D$20000,$B146,元データ!$B$2:$B$20000,$D$3)</f>
        <v>3436</v>
      </c>
      <c r="Q146" s="25">
        <f t="shared" si="9"/>
        <v>0.89086146682188594</v>
      </c>
    </row>
    <row r="147" spans="1:17" x14ac:dyDescent="0.45">
      <c r="A147" s="14" t="str">
        <f>店舗マスタ!A49</f>
        <v>松野店</v>
      </c>
      <c r="B147" s="15" t="s">
        <v>27</v>
      </c>
      <c r="C147" s="16">
        <f>SUMIFS(INDEX(元データ!$E$2:$H$20000,0,MATCH($C$2,元データ!$E$1:$H$1,0)),元データ!$A$2:$A$20000,$A147,元データ!$D$2:$D$20000,$B147,元データ!$B$2:$B$20000,$C$3,元データ!$C$2:$C$20000,C$5)</f>
        <v>254</v>
      </c>
      <c r="D147" s="16">
        <f>SUMIFS(INDEX(元データ!$E$2:$H$20000,0,MATCH($C$2,元データ!$E$1:$H$1,0)),元データ!$A$2:$A$20000,$A147,元データ!$D$2:$D$20000,$B147,元データ!$B$2:$B$20000,$C$3,元データ!$C$2:$C$20000,D$5)</f>
        <v>290</v>
      </c>
      <c r="E147" s="16">
        <f>SUMIFS(INDEX(元データ!$E$2:$H$20000,0,MATCH($C$2,元データ!$E$1:$H$1,0)),元データ!$A$2:$A$20000,$A147,元データ!$D$2:$D$20000,$B147,元データ!$B$2:$B$20000,$C$3,元データ!$C$2:$C$20000,E$5)</f>
        <v>421</v>
      </c>
      <c r="F147" s="16">
        <f>SUMIFS(INDEX(元データ!$E$2:$H$20000,0,MATCH($C$2,元データ!$E$1:$H$1,0)),元データ!$A$2:$A$20000,$A147,元データ!$D$2:$D$20000,$B147,元データ!$B$2:$B$20000,$C$3,元データ!$C$2:$C$20000,F$5)</f>
        <v>356</v>
      </c>
      <c r="G147" s="16">
        <f>SUMIFS(INDEX(元データ!$E$2:$H$20000,0,MATCH($C$2,元データ!$E$1:$H$1,0)),元データ!$A$2:$A$20000,$A147,元データ!$D$2:$D$20000,$B147,元データ!$B$2:$B$20000,$C$3,元データ!$C$2:$C$20000,G$5)</f>
        <v>325</v>
      </c>
      <c r="H147" s="16">
        <f>SUMIFS(INDEX(元データ!$E$2:$H$20000,0,MATCH($C$2,元データ!$E$1:$H$1,0)),元データ!$A$2:$A$20000,$A147,元データ!$D$2:$D$20000,$B147,元データ!$B$2:$B$20000,$C$3,元データ!$C$2:$C$20000,H$5)</f>
        <v>298</v>
      </c>
      <c r="I147" s="16">
        <f>SUMIFS(INDEX(元データ!$E$2:$H$20000,0,MATCH($C$2,元データ!$E$1:$H$1,0)),元データ!$A$2:$A$20000,$A147,元データ!$D$2:$D$20000,$B147,元データ!$B$2:$B$20000,$C$3,元データ!$C$2:$C$20000,I$5)</f>
        <v>266</v>
      </c>
      <c r="J147" s="16">
        <f>SUMIFS(INDEX(元データ!$E$2:$H$20000,0,MATCH($C$2,元データ!$E$1:$H$1,0)),元データ!$A$2:$A$20000,$A147,元データ!$D$2:$D$20000,$B147,元データ!$B$2:$B$20000,$C$3,元データ!$C$2:$C$20000,J$5)</f>
        <v>357</v>
      </c>
      <c r="K147" s="16">
        <f>SUMIFS(INDEX(元データ!$E$2:$H$20000,0,MATCH($C$2,元データ!$E$1:$H$1,0)),元データ!$A$2:$A$20000,$A147,元データ!$D$2:$D$20000,$B147,元データ!$B$2:$B$20000,$C$3,元データ!$C$2:$C$20000,K$5)</f>
        <v>330</v>
      </c>
      <c r="L147" s="16">
        <f>SUMIFS(INDEX(元データ!$E$2:$H$20000,0,MATCH($C$2,元データ!$E$1:$H$1,0)),元データ!$A$2:$A$20000,$A147,元データ!$D$2:$D$20000,$B147,元データ!$B$2:$B$20000,$C$3,元データ!$C$2:$C$20000,L$5)</f>
        <v>262</v>
      </c>
      <c r="M147" s="16">
        <f>SUMIFS(INDEX(元データ!$E$2:$H$20000,0,MATCH($C$2,元データ!$E$1:$H$1,0)),元データ!$A$2:$A$20000,$A147,元データ!$D$2:$D$20000,$B147,元データ!$B$2:$B$20000,$C$3,元データ!$C$2:$C$20000,M$5)</f>
        <v>347</v>
      </c>
      <c r="N147" s="16">
        <f>SUMIFS(INDEX(元データ!$E$2:$H$20000,0,MATCH($C$2,元データ!$E$1:$H$1,0)),元データ!$A$2:$A$20000,$A147,元データ!$D$2:$D$20000,$B147,元データ!$B$2:$B$20000,$C$3,元データ!$C$2:$C$20000,N$5)</f>
        <v>327</v>
      </c>
      <c r="O147" s="17">
        <f t="shared" si="8"/>
        <v>3833</v>
      </c>
      <c r="P147" s="17">
        <f>SUMIFS(INDEX(元データ!$E$2:$H$20000,0,MATCH($C$2,元データ!$E$1:$H$1,0)),元データ!$A$2:$A$20000,$A147,元データ!$D$2:$D$20000,$B147,元データ!$B$2:$B$20000,$D$3)</f>
        <v>4529</v>
      </c>
      <c r="Q147" s="25">
        <f t="shared" si="9"/>
        <v>0.84632369176418631</v>
      </c>
    </row>
    <row r="148" spans="1:17" x14ac:dyDescent="0.45">
      <c r="A148" s="14"/>
      <c r="B148" s="15" t="s">
        <v>28</v>
      </c>
      <c r="C148" s="16">
        <f>SUMIFS(INDEX(元データ!$E$2:$H$20000,0,MATCH($C$2,元データ!$E$1:$H$1,0)),元データ!$A$2:$A$20000,$A147,元データ!$D$2:$D$20000,$B148,元データ!$B$2:$B$20000,$C$3,元データ!$C$2:$C$20000,C$5)</f>
        <v>182</v>
      </c>
      <c r="D148" s="16">
        <f>SUMIFS(INDEX(元データ!$E$2:$H$20000,0,MATCH($C$2,元データ!$E$1:$H$1,0)),元データ!$A$2:$A$20000,$A147,元データ!$D$2:$D$20000,$B148,元データ!$B$2:$B$20000,$C$3,元データ!$C$2:$C$20000,D$5)</f>
        <v>251</v>
      </c>
      <c r="E148" s="16">
        <f>SUMIFS(INDEX(元データ!$E$2:$H$20000,0,MATCH($C$2,元データ!$E$1:$H$1,0)),元データ!$A$2:$A$20000,$A147,元データ!$D$2:$D$20000,$B148,元データ!$B$2:$B$20000,$C$3,元データ!$C$2:$C$20000,E$5)</f>
        <v>300</v>
      </c>
      <c r="F148" s="16">
        <f>SUMIFS(INDEX(元データ!$E$2:$H$20000,0,MATCH($C$2,元データ!$E$1:$H$1,0)),元データ!$A$2:$A$20000,$A147,元データ!$D$2:$D$20000,$B148,元データ!$B$2:$B$20000,$C$3,元データ!$C$2:$C$20000,F$5)</f>
        <v>273</v>
      </c>
      <c r="G148" s="16">
        <f>SUMIFS(INDEX(元データ!$E$2:$H$20000,0,MATCH($C$2,元データ!$E$1:$H$1,0)),元データ!$A$2:$A$20000,$A147,元データ!$D$2:$D$20000,$B148,元データ!$B$2:$B$20000,$C$3,元データ!$C$2:$C$20000,G$5)</f>
        <v>236</v>
      </c>
      <c r="H148" s="16">
        <f>SUMIFS(INDEX(元データ!$E$2:$H$20000,0,MATCH($C$2,元データ!$E$1:$H$1,0)),元データ!$A$2:$A$20000,$A147,元データ!$D$2:$D$20000,$B148,元データ!$B$2:$B$20000,$C$3,元データ!$C$2:$C$20000,H$5)</f>
        <v>207</v>
      </c>
      <c r="I148" s="16">
        <f>SUMIFS(INDEX(元データ!$E$2:$H$20000,0,MATCH($C$2,元データ!$E$1:$H$1,0)),元データ!$A$2:$A$20000,$A147,元データ!$D$2:$D$20000,$B148,元データ!$B$2:$B$20000,$C$3,元データ!$C$2:$C$20000,I$5)</f>
        <v>155</v>
      </c>
      <c r="J148" s="16">
        <f>SUMIFS(INDEX(元データ!$E$2:$H$20000,0,MATCH($C$2,元データ!$E$1:$H$1,0)),元データ!$A$2:$A$20000,$A147,元データ!$D$2:$D$20000,$B148,元データ!$B$2:$B$20000,$C$3,元データ!$C$2:$C$20000,J$5)</f>
        <v>250</v>
      </c>
      <c r="K148" s="16">
        <f>SUMIFS(INDEX(元データ!$E$2:$H$20000,0,MATCH($C$2,元データ!$E$1:$H$1,0)),元データ!$A$2:$A$20000,$A147,元データ!$D$2:$D$20000,$B148,元データ!$B$2:$B$20000,$C$3,元データ!$C$2:$C$20000,K$5)</f>
        <v>353</v>
      </c>
      <c r="L148" s="16">
        <f>SUMIFS(INDEX(元データ!$E$2:$H$20000,0,MATCH($C$2,元データ!$E$1:$H$1,0)),元データ!$A$2:$A$20000,$A147,元データ!$D$2:$D$20000,$B148,元データ!$B$2:$B$20000,$C$3,元データ!$C$2:$C$20000,L$5)</f>
        <v>253</v>
      </c>
      <c r="M148" s="16">
        <f>SUMIFS(INDEX(元データ!$E$2:$H$20000,0,MATCH($C$2,元データ!$E$1:$H$1,0)),元データ!$A$2:$A$20000,$A147,元データ!$D$2:$D$20000,$B148,元データ!$B$2:$B$20000,$C$3,元データ!$C$2:$C$20000,M$5)</f>
        <v>298</v>
      </c>
      <c r="N148" s="16">
        <f>SUMIFS(INDEX(元データ!$E$2:$H$20000,0,MATCH($C$2,元データ!$E$1:$H$1,0)),元データ!$A$2:$A$20000,$A147,元データ!$D$2:$D$20000,$B148,元データ!$B$2:$B$20000,$C$3,元データ!$C$2:$C$20000,N$5)</f>
        <v>251</v>
      </c>
      <c r="O148" s="17">
        <f t="shared" si="8"/>
        <v>3009</v>
      </c>
      <c r="P148" s="17">
        <f>SUMIFS(INDEX(元データ!$E$2:$H$20000,0,MATCH($C$2,元データ!$E$1:$H$1,0)),元データ!$A$2:$A$20000,$A147,元データ!$D$2:$D$20000,$B148,元データ!$B$2:$B$20000,$D$3)</f>
        <v>3324</v>
      </c>
      <c r="Q148" s="25">
        <f t="shared" si="9"/>
        <v>0.90523465703971118</v>
      </c>
    </row>
    <row r="149" spans="1:17" x14ac:dyDescent="0.45">
      <c r="A149" s="14"/>
      <c r="B149" s="15" t="s">
        <v>29</v>
      </c>
      <c r="C149" s="16">
        <f>SUMIFS(INDEX(元データ!$E$2:$H$20000,0,MATCH($C$2,元データ!$E$1:$H$1,0)),元データ!$A$2:$A$20000,$A147,元データ!$D$2:$D$20000,$B149,元データ!$B$2:$B$20000,$C$3,元データ!$C$2:$C$20000,C$5)</f>
        <v>122</v>
      </c>
      <c r="D149" s="16">
        <f>SUMIFS(INDEX(元データ!$E$2:$H$20000,0,MATCH($C$2,元データ!$E$1:$H$1,0)),元データ!$A$2:$A$20000,$A147,元データ!$D$2:$D$20000,$B149,元データ!$B$2:$B$20000,$C$3,元データ!$C$2:$C$20000,D$5)</f>
        <v>166</v>
      </c>
      <c r="E149" s="16">
        <f>SUMIFS(INDEX(元データ!$E$2:$H$20000,0,MATCH($C$2,元データ!$E$1:$H$1,0)),元データ!$A$2:$A$20000,$A147,元データ!$D$2:$D$20000,$B149,元データ!$B$2:$B$20000,$C$3,元データ!$C$2:$C$20000,E$5)</f>
        <v>193</v>
      </c>
      <c r="F149" s="16">
        <f>SUMIFS(INDEX(元データ!$E$2:$H$20000,0,MATCH($C$2,元データ!$E$1:$H$1,0)),元データ!$A$2:$A$20000,$A147,元データ!$D$2:$D$20000,$B149,元データ!$B$2:$B$20000,$C$3,元データ!$C$2:$C$20000,F$5)</f>
        <v>219</v>
      </c>
      <c r="G149" s="16">
        <f>SUMIFS(INDEX(元データ!$E$2:$H$20000,0,MATCH($C$2,元データ!$E$1:$H$1,0)),元データ!$A$2:$A$20000,$A147,元データ!$D$2:$D$20000,$B149,元データ!$B$2:$B$20000,$C$3,元データ!$C$2:$C$20000,G$5)</f>
        <v>205</v>
      </c>
      <c r="H149" s="16">
        <f>SUMIFS(INDEX(元データ!$E$2:$H$20000,0,MATCH($C$2,元データ!$E$1:$H$1,0)),元データ!$A$2:$A$20000,$A147,元データ!$D$2:$D$20000,$B149,元データ!$B$2:$B$20000,$C$3,元データ!$C$2:$C$20000,H$5)</f>
        <v>187</v>
      </c>
      <c r="I149" s="16">
        <f>SUMIFS(INDEX(元データ!$E$2:$H$20000,0,MATCH($C$2,元データ!$E$1:$H$1,0)),元データ!$A$2:$A$20000,$A147,元データ!$D$2:$D$20000,$B149,元データ!$B$2:$B$20000,$C$3,元データ!$C$2:$C$20000,I$5)</f>
        <v>130</v>
      </c>
      <c r="J149" s="16">
        <f>SUMIFS(INDEX(元データ!$E$2:$H$20000,0,MATCH($C$2,元データ!$E$1:$H$1,0)),元データ!$A$2:$A$20000,$A147,元データ!$D$2:$D$20000,$B149,元データ!$B$2:$B$20000,$C$3,元データ!$C$2:$C$20000,J$5)</f>
        <v>266</v>
      </c>
      <c r="K149" s="16">
        <f>SUMIFS(INDEX(元データ!$E$2:$H$20000,0,MATCH($C$2,元データ!$E$1:$H$1,0)),元データ!$A$2:$A$20000,$A147,元データ!$D$2:$D$20000,$B149,元データ!$B$2:$B$20000,$C$3,元データ!$C$2:$C$20000,K$5)</f>
        <v>325</v>
      </c>
      <c r="L149" s="16">
        <f>SUMIFS(INDEX(元データ!$E$2:$H$20000,0,MATCH($C$2,元データ!$E$1:$H$1,0)),元データ!$A$2:$A$20000,$A147,元データ!$D$2:$D$20000,$B149,元データ!$B$2:$B$20000,$C$3,元データ!$C$2:$C$20000,L$5)</f>
        <v>238</v>
      </c>
      <c r="M149" s="16">
        <f>SUMIFS(INDEX(元データ!$E$2:$H$20000,0,MATCH($C$2,元データ!$E$1:$H$1,0)),元データ!$A$2:$A$20000,$A147,元データ!$D$2:$D$20000,$B149,元データ!$B$2:$B$20000,$C$3,元データ!$C$2:$C$20000,M$5)</f>
        <v>266</v>
      </c>
      <c r="N149" s="16">
        <f>SUMIFS(INDEX(元データ!$E$2:$H$20000,0,MATCH($C$2,元データ!$E$1:$H$1,0)),元データ!$A$2:$A$20000,$A147,元データ!$D$2:$D$20000,$B149,元データ!$B$2:$B$20000,$C$3,元データ!$C$2:$C$20000,N$5)</f>
        <v>198</v>
      </c>
      <c r="O149" s="17">
        <f t="shared" si="8"/>
        <v>2515</v>
      </c>
      <c r="P149" s="17">
        <f>SUMIFS(INDEX(元データ!$E$2:$H$20000,0,MATCH($C$2,元データ!$E$1:$H$1,0)),元データ!$A$2:$A$20000,$A147,元データ!$D$2:$D$20000,$B149,元データ!$B$2:$B$20000,$D$3)</f>
        <v>2738</v>
      </c>
      <c r="Q149" s="25">
        <f t="shared" si="9"/>
        <v>0.91855368882395905</v>
      </c>
    </row>
    <row r="150" spans="1:17" x14ac:dyDescent="0.45">
      <c r="A150" s="14" t="str">
        <f>店舗マスタ!A50</f>
        <v>石坂店</v>
      </c>
      <c r="B150" s="15" t="s">
        <v>27</v>
      </c>
      <c r="C150" s="16">
        <f>SUMIFS(INDEX(元データ!$E$2:$H$20000,0,MATCH($C$2,元データ!$E$1:$H$1,0)),元データ!$A$2:$A$20000,$A150,元データ!$D$2:$D$20000,$B150,元データ!$B$2:$B$20000,$C$3,元データ!$C$2:$C$20000,C$5)</f>
        <v>1048</v>
      </c>
      <c r="D150" s="16">
        <f>SUMIFS(INDEX(元データ!$E$2:$H$20000,0,MATCH($C$2,元データ!$E$1:$H$1,0)),元データ!$A$2:$A$20000,$A150,元データ!$D$2:$D$20000,$B150,元データ!$B$2:$B$20000,$C$3,元データ!$C$2:$C$20000,D$5)</f>
        <v>1325</v>
      </c>
      <c r="E150" s="16">
        <f>SUMIFS(INDEX(元データ!$E$2:$H$20000,0,MATCH($C$2,元データ!$E$1:$H$1,0)),元データ!$A$2:$A$20000,$A150,元データ!$D$2:$D$20000,$B150,元データ!$B$2:$B$20000,$C$3,元データ!$C$2:$C$20000,E$5)</f>
        <v>1457</v>
      </c>
      <c r="F150" s="16">
        <f>SUMIFS(INDEX(元データ!$E$2:$H$20000,0,MATCH($C$2,元データ!$E$1:$H$1,0)),元データ!$A$2:$A$20000,$A150,元データ!$D$2:$D$20000,$B150,元データ!$B$2:$B$20000,$C$3,元データ!$C$2:$C$20000,F$5)</f>
        <v>1354</v>
      </c>
      <c r="G150" s="16">
        <f>SUMIFS(INDEX(元データ!$E$2:$H$20000,0,MATCH($C$2,元データ!$E$1:$H$1,0)),元データ!$A$2:$A$20000,$A150,元データ!$D$2:$D$20000,$B150,元データ!$B$2:$B$20000,$C$3,元データ!$C$2:$C$20000,G$5)</f>
        <v>1375</v>
      </c>
      <c r="H150" s="16">
        <f>SUMIFS(INDEX(元データ!$E$2:$H$20000,0,MATCH($C$2,元データ!$E$1:$H$1,0)),元データ!$A$2:$A$20000,$A150,元データ!$D$2:$D$20000,$B150,元データ!$B$2:$B$20000,$C$3,元データ!$C$2:$C$20000,H$5)</f>
        <v>1062</v>
      </c>
      <c r="I150" s="16">
        <f>SUMIFS(INDEX(元データ!$E$2:$H$20000,0,MATCH($C$2,元データ!$E$1:$H$1,0)),元データ!$A$2:$A$20000,$A150,元データ!$D$2:$D$20000,$B150,元データ!$B$2:$B$20000,$C$3,元データ!$C$2:$C$20000,I$5)</f>
        <v>1069</v>
      </c>
      <c r="J150" s="16">
        <f>SUMIFS(INDEX(元データ!$E$2:$H$20000,0,MATCH($C$2,元データ!$E$1:$H$1,0)),元データ!$A$2:$A$20000,$A150,元データ!$D$2:$D$20000,$B150,元データ!$B$2:$B$20000,$C$3,元データ!$C$2:$C$20000,J$5)</f>
        <v>1297</v>
      </c>
      <c r="K150" s="16">
        <f>SUMIFS(INDEX(元データ!$E$2:$H$20000,0,MATCH($C$2,元データ!$E$1:$H$1,0)),元データ!$A$2:$A$20000,$A150,元データ!$D$2:$D$20000,$B150,元データ!$B$2:$B$20000,$C$3,元データ!$C$2:$C$20000,K$5)</f>
        <v>1327</v>
      </c>
      <c r="L150" s="16">
        <f>SUMIFS(INDEX(元データ!$E$2:$H$20000,0,MATCH($C$2,元データ!$E$1:$H$1,0)),元データ!$A$2:$A$20000,$A150,元データ!$D$2:$D$20000,$B150,元データ!$B$2:$B$20000,$C$3,元データ!$C$2:$C$20000,L$5)</f>
        <v>1143</v>
      </c>
      <c r="M150" s="16">
        <f>SUMIFS(INDEX(元データ!$E$2:$H$20000,0,MATCH($C$2,元データ!$E$1:$H$1,0)),元データ!$A$2:$A$20000,$A150,元データ!$D$2:$D$20000,$B150,元データ!$B$2:$B$20000,$C$3,元データ!$C$2:$C$20000,M$5)</f>
        <v>1284</v>
      </c>
      <c r="N150" s="16">
        <f>SUMIFS(INDEX(元データ!$E$2:$H$20000,0,MATCH($C$2,元データ!$E$1:$H$1,0)),元データ!$A$2:$A$20000,$A150,元データ!$D$2:$D$20000,$B150,元データ!$B$2:$B$20000,$C$3,元データ!$C$2:$C$20000,N$5)</f>
        <v>1286</v>
      </c>
      <c r="O150" s="17">
        <f t="shared" si="8"/>
        <v>15027</v>
      </c>
      <c r="P150" s="17">
        <f>SUMIFS(INDEX(元データ!$E$2:$H$20000,0,MATCH($C$2,元データ!$E$1:$H$1,0)),元データ!$A$2:$A$20000,$A150,元データ!$D$2:$D$20000,$B150,元データ!$B$2:$B$20000,$D$3)</f>
        <v>17832</v>
      </c>
      <c r="Q150" s="25">
        <f t="shared" si="9"/>
        <v>0.84269851951547781</v>
      </c>
    </row>
    <row r="151" spans="1:17" x14ac:dyDescent="0.45">
      <c r="A151" s="14"/>
      <c r="B151" s="15" t="s">
        <v>28</v>
      </c>
      <c r="C151" s="16">
        <f>SUMIFS(INDEX(元データ!$E$2:$H$20000,0,MATCH($C$2,元データ!$E$1:$H$1,0)),元データ!$A$2:$A$20000,$A150,元データ!$D$2:$D$20000,$B151,元データ!$B$2:$B$20000,$C$3,元データ!$C$2:$C$20000,C$5)</f>
        <v>622</v>
      </c>
      <c r="D151" s="16">
        <f>SUMIFS(INDEX(元データ!$E$2:$H$20000,0,MATCH($C$2,元データ!$E$1:$H$1,0)),元データ!$A$2:$A$20000,$A150,元データ!$D$2:$D$20000,$B151,元データ!$B$2:$B$20000,$C$3,元データ!$C$2:$C$20000,D$5)</f>
        <v>603</v>
      </c>
      <c r="E151" s="16">
        <f>SUMIFS(INDEX(元データ!$E$2:$H$20000,0,MATCH($C$2,元データ!$E$1:$H$1,0)),元データ!$A$2:$A$20000,$A150,元データ!$D$2:$D$20000,$B151,元データ!$B$2:$B$20000,$C$3,元データ!$C$2:$C$20000,E$5)</f>
        <v>822</v>
      </c>
      <c r="F151" s="16">
        <f>SUMIFS(INDEX(元データ!$E$2:$H$20000,0,MATCH($C$2,元データ!$E$1:$H$1,0)),元データ!$A$2:$A$20000,$A150,元データ!$D$2:$D$20000,$B151,元データ!$B$2:$B$20000,$C$3,元データ!$C$2:$C$20000,F$5)</f>
        <v>777</v>
      </c>
      <c r="G151" s="16">
        <f>SUMIFS(INDEX(元データ!$E$2:$H$20000,0,MATCH($C$2,元データ!$E$1:$H$1,0)),元データ!$A$2:$A$20000,$A150,元データ!$D$2:$D$20000,$B151,元データ!$B$2:$B$20000,$C$3,元データ!$C$2:$C$20000,G$5)</f>
        <v>870</v>
      </c>
      <c r="H151" s="16">
        <f>SUMIFS(INDEX(元データ!$E$2:$H$20000,0,MATCH($C$2,元データ!$E$1:$H$1,0)),元データ!$A$2:$A$20000,$A150,元データ!$D$2:$D$20000,$B151,元データ!$B$2:$B$20000,$C$3,元データ!$C$2:$C$20000,H$5)</f>
        <v>559</v>
      </c>
      <c r="I151" s="16">
        <f>SUMIFS(INDEX(元データ!$E$2:$H$20000,0,MATCH($C$2,元データ!$E$1:$H$1,0)),元データ!$A$2:$A$20000,$A150,元データ!$D$2:$D$20000,$B151,元データ!$B$2:$B$20000,$C$3,元データ!$C$2:$C$20000,I$5)</f>
        <v>454</v>
      </c>
      <c r="J151" s="16">
        <f>SUMIFS(INDEX(元データ!$E$2:$H$20000,0,MATCH($C$2,元データ!$E$1:$H$1,0)),元データ!$A$2:$A$20000,$A150,元データ!$D$2:$D$20000,$B151,元データ!$B$2:$B$20000,$C$3,元データ!$C$2:$C$20000,J$5)</f>
        <v>750</v>
      </c>
      <c r="K151" s="16">
        <f>SUMIFS(INDEX(元データ!$E$2:$H$20000,0,MATCH($C$2,元データ!$E$1:$H$1,0)),元データ!$A$2:$A$20000,$A150,元データ!$D$2:$D$20000,$B151,元データ!$B$2:$B$20000,$C$3,元データ!$C$2:$C$20000,K$5)</f>
        <v>985</v>
      </c>
      <c r="L151" s="16">
        <f>SUMIFS(INDEX(元データ!$E$2:$H$20000,0,MATCH($C$2,元データ!$E$1:$H$1,0)),元データ!$A$2:$A$20000,$A150,元データ!$D$2:$D$20000,$B151,元データ!$B$2:$B$20000,$C$3,元データ!$C$2:$C$20000,L$5)</f>
        <v>750</v>
      </c>
      <c r="M151" s="16">
        <f>SUMIFS(INDEX(元データ!$E$2:$H$20000,0,MATCH($C$2,元データ!$E$1:$H$1,0)),元データ!$A$2:$A$20000,$A150,元データ!$D$2:$D$20000,$B151,元データ!$B$2:$B$20000,$C$3,元データ!$C$2:$C$20000,M$5)</f>
        <v>830</v>
      </c>
      <c r="N151" s="16">
        <f>SUMIFS(INDEX(元データ!$E$2:$H$20000,0,MATCH($C$2,元データ!$E$1:$H$1,0)),元データ!$A$2:$A$20000,$A150,元データ!$D$2:$D$20000,$B151,元データ!$B$2:$B$20000,$C$3,元データ!$C$2:$C$20000,N$5)</f>
        <v>723</v>
      </c>
      <c r="O151" s="17">
        <f t="shared" si="8"/>
        <v>8745</v>
      </c>
      <c r="P151" s="17">
        <f>SUMIFS(INDEX(元データ!$E$2:$H$20000,0,MATCH($C$2,元データ!$E$1:$H$1,0)),元データ!$A$2:$A$20000,$A150,元データ!$D$2:$D$20000,$B151,元データ!$B$2:$B$20000,$D$3)</f>
        <v>8848</v>
      </c>
      <c r="Q151" s="25">
        <f t="shared" si="9"/>
        <v>0.98835895117540684</v>
      </c>
    </row>
    <row r="152" spans="1:17" x14ac:dyDescent="0.45">
      <c r="A152" s="14"/>
      <c r="B152" s="15" t="s">
        <v>29</v>
      </c>
      <c r="C152" s="16">
        <f>SUMIFS(INDEX(元データ!$E$2:$H$20000,0,MATCH($C$2,元データ!$E$1:$H$1,0)),元データ!$A$2:$A$20000,$A150,元データ!$D$2:$D$20000,$B152,元データ!$B$2:$B$20000,$C$3,元データ!$C$2:$C$20000,C$5)</f>
        <v>328</v>
      </c>
      <c r="D152" s="16">
        <f>SUMIFS(INDEX(元データ!$E$2:$H$20000,0,MATCH($C$2,元データ!$E$1:$H$1,0)),元データ!$A$2:$A$20000,$A150,元データ!$D$2:$D$20000,$B152,元データ!$B$2:$B$20000,$C$3,元データ!$C$2:$C$20000,D$5)</f>
        <v>299</v>
      </c>
      <c r="E152" s="16">
        <f>SUMIFS(INDEX(元データ!$E$2:$H$20000,0,MATCH($C$2,元データ!$E$1:$H$1,0)),元データ!$A$2:$A$20000,$A150,元データ!$D$2:$D$20000,$B152,元データ!$B$2:$B$20000,$C$3,元データ!$C$2:$C$20000,E$5)</f>
        <v>537</v>
      </c>
      <c r="F152" s="16">
        <f>SUMIFS(INDEX(元データ!$E$2:$H$20000,0,MATCH($C$2,元データ!$E$1:$H$1,0)),元データ!$A$2:$A$20000,$A150,元データ!$D$2:$D$20000,$B152,元データ!$B$2:$B$20000,$C$3,元データ!$C$2:$C$20000,F$5)</f>
        <v>554</v>
      </c>
      <c r="G152" s="16">
        <f>SUMIFS(INDEX(元データ!$E$2:$H$20000,0,MATCH($C$2,元データ!$E$1:$H$1,0)),元データ!$A$2:$A$20000,$A150,元データ!$D$2:$D$20000,$B152,元データ!$B$2:$B$20000,$C$3,元データ!$C$2:$C$20000,G$5)</f>
        <v>650</v>
      </c>
      <c r="H152" s="16">
        <f>SUMIFS(INDEX(元データ!$E$2:$H$20000,0,MATCH($C$2,元データ!$E$1:$H$1,0)),元データ!$A$2:$A$20000,$A150,元データ!$D$2:$D$20000,$B152,元データ!$B$2:$B$20000,$C$3,元データ!$C$2:$C$20000,H$5)</f>
        <v>462</v>
      </c>
      <c r="I152" s="16">
        <f>SUMIFS(INDEX(元データ!$E$2:$H$20000,0,MATCH($C$2,元データ!$E$1:$H$1,0)),元データ!$A$2:$A$20000,$A150,元データ!$D$2:$D$20000,$B152,元データ!$B$2:$B$20000,$C$3,元データ!$C$2:$C$20000,I$5)</f>
        <v>343</v>
      </c>
      <c r="J152" s="16">
        <f>SUMIFS(INDEX(元データ!$E$2:$H$20000,0,MATCH($C$2,元データ!$E$1:$H$1,0)),元データ!$A$2:$A$20000,$A150,元データ!$D$2:$D$20000,$B152,元データ!$B$2:$B$20000,$C$3,元データ!$C$2:$C$20000,J$5)</f>
        <v>710</v>
      </c>
      <c r="K152" s="16">
        <f>SUMIFS(INDEX(元データ!$E$2:$H$20000,0,MATCH($C$2,元データ!$E$1:$H$1,0)),元データ!$A$2:$A$20000,$A150,元データ!$D$2:$D$20000,$B152,元データ!$B$2:$B$20000,$C$3,元データ!$C$2:$C$20000,K$5)</f>
        <v>859</v>
      </c>
      <c r="L152" s="16">
        <f>SUMIFS(INDEX(元データ!$E$2:$H$20000,0,MATCH($C$2,元データ!$E$1:$H$1,0)),元データ!$A$2:$A$20000,$A150,元データ!$D$2:$D$20000,$B152,元データ!$B$2:$B$20000,$C$3,元データ!$C$2:$C$20000,L$5)</f>
        <v>541</v>
      </c>
      <c r="M152" s="16">
        <f>SUMIFS(INDEX(元データ!$E$2:$H$20000,0,MATCH($C$2,元データ!$E$1:$H$1,0)),元データ!$A$2:$A$20000,$A150,元データ!$D$2:$D$20000,$B152,元データ!$B$2:$B$20000,$C$3,元データ!$C$2:$C$20000,M$5)</f>
        <v>600</v>
      </c>
      <c r="N152" s="16">
        <f>SUMIFS(INDEX(元データ!$E$2:$H$20000,0,MATCH($C$2,元データ!$E$1:$H$1,0)),元データ!$A$2:$A$20000,$A150,元データ!$D$2:$D$20000,$B152,元データ!$B$2:$B$20000,$C$3,元データ!$C$2:$C$20000,N$5)</f>
        <v>454</v>
      </c>
      <c r="O152" s="17">
        <f t="shared" si="8"/>
        <v>6337</v>
      </c>
      <c r="P152" s="17">
        <f>SUMIFS(INDEX(元データ!$E$2:$H$20000,0,MATCH($C$2,元データ!$E$1:$H$1,0)),元データ!$A$2:$A$20000,$A150,元データ!$D$2:$D$20000,$B152,元データ!$B$2:$B$20000,$D$3)</f>
        <v>6395</v>
      </c>
      <c r="Q152" s="25">
        <f t="shared" si="9"/>
        <v>0.9909304143862393</v>
      </c>
    </row>
    <row r="153" spans="1:17" x14ac:dyDescent="0.45">
      <c r="A153" s="14" t="str">
        <f>店舗マスタ!A51</f>
        <v>荒田島店</v>
      </c>
      <c r="B153" s="15" t="s">
        <v>27</v>
      </c>
      <c r="C153" s="16">
        <f>SUMIFS(INDEX(元データ!$E$2:$H$20000,0,MATCH($C$2,元データ!$E$1:$H$1,0)),元データ!$A$2:$A$20000,$A153,元データ!$D$2:$D$20000,$B153,元データ!$B$2:$B$20000,$C$3,元データ!$C$2:$C$20000,C$5)</f>
        <v>660</v>
      </c>
      <c r="D153" s="16">
        <f>SUMIFS(INDEX(元データ!$E$2:$H$20000,0,MATCH($C$2,元データ!$E$1:$H$1,0)),元データ!$A$2:$A$20000,$A153,元データ!$D$2:$D$20000,$B153,元データ!$B$2:$B$20000,$C$3,元データ!$C$2:$C$20000,D$5)</f>
        <v>816</v>
      </c>
      <c r="E153" s="16">
        <f>SUMIFS(INDEX(元データ!$E$2:$H$20000,0,MATCH($C$2,元データ!$E$1:$H$1,0)),元データ!$A$2:$A$20000,$A153,元データ!$D$2:$D$20000,$B153,元データ!$B$2:$B$20000,$C$3,元データ!$C$2:$C$20000,E$5)</f>
        <v>930</v>
      </c>
      <c r="F153" s="16">
        <f>SUMIFS(INDEX(元データ!$E$2:$H$20000,0,MATCH($C$2,元データ!$E$1:$H$1,0)),元データ!$A$2:$A$20000,$A153,元データ!$D$2:$D$20000,$B153,元データ!$B$2:$B$20000,$C$3,元データ!$C$2:$C$20000,F$5)</f>
        <v>889</v>
      </c>
      <c r="G153" s="16">
        <f>SUMIFS(INDEX(元データ!$E$2:$H$20000,0,MATCH($C$2,元データ!$E$1:$H$1,0)),元データ!$A$2:$A$20000,$A153,元データ!$D$2:$D$20000,$B153,元データ!$B$2:$B$20000,$C$3,元データ!$C$2:$C$20000,G$5)</f>
        <v>687</v>
      </c>
      <c r="H153" s="16">
        <f>SUMIFS(INDEX(元データ!$E$2:$H$20000,0,MATCH($C$2,元データ!$E$1:$H$1,0)),元データ!$A$2:$A$20000,$A153,元データ!$D$2:$D$20000,$B153,元データ!$B$2:$B$20000,$C$3,元データ!$C$2:$C$20000,H$5)</f>
        <v>741</v>
      </c>
      <c r="I153" s="16">
        <f>SUMIFS(INDEX(元データ!$E$2:$H$20000,0,MATCH($C$2,元データ!$E$1:$H$1,0)),元データ!$A$2:$A$20000,$A153,元データ!$D$2:$D$20000,$B153,元データ!$B$2:$B$20000,$C$3,元データ!$C$2:$C$20000,I$5)</f>
        <v>757</v>
      </c>
      <c r="J153" s="16">
        <f>SUMIFS(INDEX(元データ!$E$2:$H$20000,0,MATCH($C$2,元データ!$E$1:$H$1,0)),元データ!$A$2:$A$20000,$A153,元データ!$D$2:$D$20000,$B153,元データ!$B$2:$B$20000,$C$3,元データ!$C$2:$C$20000,J$5)</f>
        <v>887</v>
      </c>
      <c r="K153" s="16">
        <f>SUMIFS(INDEX(元データ!$E$2:$H$20000,0,MATCH($C$2,元データ!$E$1:$H$1,0)),元データ!$A$2:$A$20000,$A153,元データ!$D$2:$D$20000,$B153,元データ!$B$2:$B$20000,$C$3,元データ!$C$2:$C$20000,K$5)</f>
        <v>885</v>
      </c>
      <c r="L153" s="16">
        <f>SUMIFS(INDEX(元データ!$E$2:$H$20000,0,MATCH($C$2,元データ!$E$1:$H$1,0)),元データ!$A$2:$A$20000,$A153,元データ!$D$2:$D$20000,$B153,元データ!$B$2:$B$20000,$C$3,元データ!$C$2:$C$20000,L$5)</f>
        <v>842</v>
      </c>
      <c r="M153" s="16">
        <f>SUMIFS(INDEX(元データ!$E$2:$H$20000,0,MATCH($C$2,元データ!$E$1:$H$1,0)),元データ!$A$2:$A$20000,$A153,元データ!$D$2:$D$20000,$B153,元データ!$B$2:$B$20000,$C$3,元データ!$C$2:$C$20000,M$5)</f>
        <v>911</v>
      </c>
      <c r="N153" s="16">
        <f>SUMIFS(INDEX(元データ!$E$2:$H$20000,0,MATCH($C$2,元データ!$E$1:$H$1,0)),元データ!$A$2:$A$20000,$A153,元データ!$D$2:$D$20000,$B153,元データ!$B$2:$B$20000,$C$3,元データ!$C$2:$C$20000,N$5)</f>
        <v>835</v>
      </c>
      <c r="O153" s="17">
        <f t="shared" si="8"/>
        <v>9840</v>
      </c>
      <c r="P153" s="17">
        <f>SUMIFS(INDEX(元データ!$E$2:$H$20000,0,MATCH($C$2,元データ!$E$1:$H$1,0)),元データ!$A$2:$A$20000,$A153,元データ!$D$2:$D$20000,$B153,元データ!$B$2:$B$20000,$D$3)</f>
        <v>10294</v>
      </c>
      <c r="Q153" s="25">
        <f t="shared" si="9"/>
        <v>0.95589663881872933</v>
      </c>
    </row>
    <row r="154" spans="1:17" x14ac:dyDescent="0.45">
      <c r="A154" s="14"/>
      <c r="B154" s="15" t="s">
        <v>28</v>
      </c>
      <c r="C154" s="16">
        <f>SUMIFS(INDEX(元データ!$E$2:$H$20000,0,MATCH($C$2,元データ!$E$1:$H$1,0)),元データ!$A$2:$A$20000,$A153,元データ!$D$2:$D$20000,$B154,元データ!$B$2:$B$20000,$C$3,元データ!$C$2:$C$20000,C$5)</f>
        <v>322</v>
      </c>
      <c r="D154" s="16">
        <f>SUMIFS(INDEX(元データ!$E$2:$H$20000,0,MATCH($C$2,元データ!$E$1:$H$1,0)),元データ!$A$2:$A$20000,$A153,元データ!$D$2:$D$20000,$B154,元データ!$B$2:$B$20000,$C$3,元データ!$C$2:$C$20000,D$5)</f>
        <v>317</v>
      </c>
      <c r="E154" s="16">
        <f>SUMIFS(INDEX(元データ!$E$2:$H$20000,0,MATCH($C$2,元データ!$E$1:$H$1,0)),元データ!$A$2:$A$20000,$A153,元データ!$D$2:$D$20000,$B154,元データ!$B$2:$B$20000,$C$3,元データ!$C$2:$C$20000,E$5)</f>
        <v>376</v>
      </c>
      <c r="F154" s="16">
        <f>SUMIFS(INDEX(元データ!$E$2:$H$20000,0,MATCH($C$2,元データ!$E$1:$H$1,0)),元データ!$A$2:$A$20000,$A153,元データ!$D$2:$D$20000,$B154,元データ!$B$2:$B$20000,$C$3,元データ!$C$2:$C$20000,F$5)</f>
        <v>456</v>
      </c>
      <c r="G154" s="16">
        <f>SUMIFS(INDEX(元データ!$E$2:$H$20000,0,MATCH($C$2,元データ!$E$1:$H$1,0)),元データ!$A$2:$A$20000,$A153,元データ!$D$2:$D$20000,$B154,元データ!$B$2:$B$20000,$C$3,元データ!$C$2:$C$20000,G$5)</f>
        <v>480</v>
      </c>
      <c r="H154" s="16">
        <f>SUMIFS(INDEX(元データ!$E$2:$H$20000,0,MATCH($C$2,元データ!$E$1:$H$1,0)),元データ!$A$2:$A$20000,$A153,元データ!$D$2:$D$20000,$B154,元データ!$B$2:$B$20000,$C$3,元データ!$C$2:$C$20000,H$5)</f>
        <v>260</v>
      </c>
      <c r="I154" s="16">
        <f>SUMIFS(INDEX(元データ!$E$2:$H$20000,0,MATCH($C$2,元データ!$E$1:$H$1,0)),元データ!$A$2:$A$20000,$A153,元データ!$D$2:$D$20000,$B154,元データ!$B$2:$B$20000,$C$3,元データ!$C$2:$C$20000,I$5)</f>
        <v>242</v>
      </c>
      <c r="J154" s="16">
        <f>SUMIFS(INDEX(元データ!$E$2:$H$20000,0,MATCH($C$2,元データ!$E$1:$H$1,0)),元データ!$A$2:$A$20000,$A153,元データ!$D$2:$D$20000,$B154,元データ!$B$2:$B$20000,$C$3,元データ!$C$2:$C$20000,J$5)</f>
        <v>358</v>
      </c>
      <c r="K154" s="16">
        <f>SUMIFS(INDEX(元データ!$E$2:$H$20000,0,MATCH($C$2,元データ!$E$1:$H$1,0)),元データ!$A$2:$A$20000,$A153,元データ!$D$2:$D$20000,$B154,元データ!$B$2:$B$20000,$C$3,元データ!$C$2:$C$20000,K$5)</f>
        <v>499</v>
      </c>
      <c r="L154" s="16">
        <f>SUMIFS(INDEX(元データ!$E$2:$H$20000,0,MATCH($C$2,元データ!$E$1:$H$1,0)),元データ!$A$2:$A$20000,$A153,元データ!$D$2:$D$20000,$B154,元データ!$B$2:$B$20000,$C$3,元データ!$C$2:$C$20000,L$5)</f>
        <v>517</v>
      </c>
      <c r="M154" s="16">
        <f>SUMIFS(INDEX(元データ!$E$2:$H$20000,0,MATCH($C$2,元データ!$E$1:$H$1,0)),元データ!$A$2:$A$20000,$A153,元データ!$D$2:$D$20000,$B154,元データ!$B$2:$B$20000,$C$3,元データ!$C$2:$C$20000,M$5)</f>
        <v>399</v>
      </c>
      <c r="N154" s="16">
        <f>SUMIFS(INDEX(元データ!$E$2:$H$20000,0,MATCH($C$2,元データ!$E$1:$H$1,0)),元データ!$A$2:$A$20000,$A153,元データ!$D$2:$D$20000,$B154,元データ!$B$2:$B$20000,$C$3,元データ!$C$2:$C$20000,N$5)</f>
        <v>404</v>
      </c>
      <c r="O154" s="17">
        <f t="shared" si="8"/>
        <v>4630</v>
      </c>
      <c r="P154" s="17">
        <f>SUMIFS(INDEX(元データ!$E$2:$H$20000,0,MATCH($C$2,元データ!$E$1:$H$1,0)),元データ!$A$2:$A$20000,$A153,元データ!$D$2:$D$20000,$B154,元データ!$B$2:$B$20000,$D$3)</f>
        <v>4796</v>
      </c>
      <c r="Q154" s="25">
        <f t="shared" si="9"/>
        <v>0.96538782318598837</v>
      </c>
    </row>
    <row r="155" spans="1:17" x14ac:dyDescent="0.45">
      <c r="A155" s="14"/>
      <c r="B155" s="15" t="s">
        <v>29</v>
      </c>
      <c r="C155" s="16">
        <f>SUMIFS(INDEX(元データ!$E$2:$H$20000,0,MATCH($C$2,元データ!$E$1:$H$1,0)),元データ!$A$2:$A$20000,$A153,元データ!$D$2:$D$20000,$B155,元データ!$B$2:$B$20000,$C$3,元データ!$C$2:$C$20000,C$5)</f>
        <v>205</v>
      </c>
      <c r="D155" s="16">
        <f>SUMIFS(INDEX(元データ!$E$2:$H$20000,0,MATCH($C$2,元データ!$E$1:$H$1,0)),元データ!$A$2:$A$20000,$A153,元データ!$D$2:$D$20000,$B155,元データ!$B$2:$B$20000,$C$3,元データ!$C$2:$C$20000,D$5)</f>
        <v>216</v>
      </c>
      <c r="E155" s="16">
        <f>SUMIFS(INDEX(元データ!$E$2:$H$20000,0,MATCH($C$2,元データ!$E$1:$H$1,0)),元データ!$A$2:$A$20000,$A153,元データ!$D$2:$D$20000,$B155,元データ!$B$2:$B$20000,$C$3,元データ!$C$2:$C$20000,E$5)</f>
        <v>226</v>
      </c>
      <c r="F155" s="16">
        <f>SUMIFS(INDEX(元データ!$E$2:$H$20000,0,MATCH($C$2,元データ!$E$1:$H$1,0)),元データ!$A$2:$A$20000,$A153,元データ!$D$2:$D$20000,$B155,元データ!$B$2:$B$20000,$C$3,元データ!$C$2:$C$20000,F$5)</f>
        <v>310</v>
      </c>
      <c r="G155" s="16">
        <f>SUMIFS(INDEX(元データ!$E$2:$H$20000,0,MATCH($C$2,元データ!$E$1:$H$1,0)),元データ!$A$2:$A$20000,$A153,元データ!$D$2:$D$20000,$B155,元データ!$B$2:$B$20000,$C$3,元データ!$C$2:$C$20000,G$5)</f>
        <v>338</v>
      </c>
      <c r="H155" s="16">
        <f>SUMIFS(INDEX(元データ!$E$2:$H$20000,0,MATCH($C$2,元データ!$E$1:$H$1,0)),元データ!$A$2:$A$20000,$A153,元データ!$D$2:$D$20000,$B155,元データ!$B$2:$B$20000,$C$3,元データ!$C$2:$C$20000,H$5)</f>
        <v>217</v>
      </c>
      <c r="I155" s="16">
        <f>SUMIFS(INDEX(元データ!$E$2:$H$20000,0,MATCH($C$2,元データ!$E$1:$H$1,0)),元データ!$A$2:$A$20000,$A153,元データ!$D$2:$D$20000,$B155,元データ!$B$2:$B$20000,$C$3,元データ!$C$2:$C$20000,I$5)</f>
        <v>172</v>
      </c>
      <c r="J155" s="16">
        <f>SUMIFS(INDEX(元データ!$E$2:$H$20000,0,MATCH($C$2,元データ!$E$1:$H$1,0)),元データ!$A$2:$A$20000,$A153,元データ!$D$2:$D$20000,$B155,元データ!$B$2:$B$20000,$C$3,元データ!$C$2:$C$20000,J$5)</f>
        <v>289</v>
      </c>
      <c r="K155" s="16">
        <f>SUMIFS(INDEX(元データ!$E$2:$H$20000,0,MATCH($C$2,元データ!$E$1:$H$1,0)),元データ!$A$2:$A$20000,$A153,元データ!$D$2:$D$20000,$B155,元データ!$B$2:$B$20000,$C$3,元データ!$C$2:$C$20000,K$5)</f>
        <v>457</v>
      </c>
      <c r="L155" s="16">
        <f>SUMIFS(INDEX(元データ!$E$2:$H$20000,0,MATCH($C$2,元データ!$E$1:$H$1,0)),元データ!$A$2:$A$20000,$A153,元データ!$D$2:$D$20000,$B155,元データ!$B$2:$B$20000,$C$3,元データ!$C$2:$C$20000,L$5)</f>
        <v>434</v>
      </c>
      <c r="M155" s="16">
        <f>SUMIFS(INDEX(元データ!$E$2:$H$20000,0,MATCH($C$2,元データ!$E$1:$H$1,0)),元データ!$A$2:$A$20000,$A153,元データ!$D$2:$D$20000,$B155,元データ!$B$2:$B$20000,$C$3,元データ!$C$2:$C$20000,M$5)</f>
        <v>323</v>
      </c>
      <c r="N155" s="16">
        <f>SUMIFS(INDEX(元データ!$E$2:$H$20000,0,MATCH($C$2,元データ!$E$1:$H$1,0)),元データ!$A$2:$A$20000,$A153,元データ!$D$2:$D$20000,$B155,元データ!$B$2:$B$20000,$C$3,元データ!$C$2:$C$20000,N$5)</f>
        <v>267</v>
      </c>
      <c r="O155" s="17">
        <f t="shared" si="8"/>
        <v>3454</v>
      </c>
      <c r="P155" s="17">
        <f>SUMIFS(INDEX(元データ!$E$2:$H$20000,0,MATCH($C$2,元データ!$E$1:$H$1,0)),元データ!$A$2:$A$20000,$A153,元データ!$D$2:$D$20000,$B155,元データ!$B$2:$B$20000,$D$3)</f>
        <v>3232</v>
      </c>
      <c r="Q155" s="25">
        <f t="shared" si="9"/>
        <v>1.0686881188118811</v>
      </c>
    </row>
    <row r="156" spans="1:17" x14ac:dyDescent="0.45">
      <c r="A156" s="14" t="str">
        <f>店舗マスタ!A52</f>
        <v>水戸島店</v>
      </c>
      <c r="B156" s="15" t="s">
        <v>27</v>
      </c>
      <c r="C156" s="16">
        <f>SUMIFS(INDEX(元データ!$E$2:$H$20000,0,MATCH($C$2,元データ!$E$1:$H$1,0)),元データ!$A$2:$A$20000,$A156,元データ!$D$2:$D$20000,$B156,元データ!$B$2:$B$20000,$C$3,元データ!$C$2:$C$20000,C$5)</f>
        <v>458</v>
      </c>
      <c r="D156" s="16">
        <f>SUMIFS(INDEX(元データ!$E$2:$H$20000,0,MATCH($C$2,元データ!$E$1:$H$1,0)),元データ!$A$2:$A$20000,$A156,元データ!$D$2:$D$20000,$B156,元データ!$B$2:$B$20000,$C$3,元データ!$C$2:$C$20000,D$5)</f>
        <v>598</v>
      </c>
      <c r="E156" s="16">
        <f>SUMIFS(INDEX(元データ!$E$2:$H$20000,0,MATCH($C$2,元データ!$E$1:$H$1,0)),元データ!$A$2:$A$20000,$A156,元データ!$D$2:$D$20000,$B156,元データ!$B$2:$B$20000,$C$3,元データ!$C$2:$C$20000,E$5)</f>
        <v>696</v>
      </c>
      <c r="F156" s="16">
        <f>SUMIFS(INDEX(元データ!$E$2:$H$20000,0,MATCH($C$2,元データ!$E$1:$H$1,0)),元データ!$A$2:$A$20000,$A156,元データ!$D$2:$D$20000,$B156,元データ!$B$2:$B$20000,$C$3,元データ!$C$2:$C$20000,F$5)</f>
        <v>628</v>
      </c>
      <c r="G156" s="16">
        <f>SUMIFS(INDEX(元データ!$E$2:$H$20000,0,MATCH($C$2,元データ!$E$1:$H$1,0)),元データ!$A$2:$A$20000,$A156,元データ!$D$2:$D$20000,$B156,元データ!$B$2:$B$20000,$C$3,元データ!$C$2:$C$20000,G$5)</f>
        <v>650</v>
      </c>
      <c r="H156" s="16">
        <f>SUMIFS(INDEX(元データ!$E$2:$H$20000,0,MATCH($C$2,元データ!$E$1:$H$1,0)),元データ!$A$2:$A$20000,$A156,元データ!$D$2:$D$20000,$B156,元データ!$B$2:$B$20000,$C$3,元データ!$C$2:$C$20000,H$5)</f>
        <v>535</v>
      </c>
      <c r="I156" s="16">
        <f>SUMIFS(INDEX(元データ!$E$2:$H$20000,0,MATCH($C$2,元データ!$E$1:$H$1,0)),元データ!$A$2:$A$20000,$A156,元データ!$D$2:$D$20000,$B156,元データ!$B$2:$B$20000,$C$3,元データ!$C$2:$C$20000,I$5)</f>
        <v>481</v>
      </c>
      <c r="J156" s="16">
        <f>SUMIFS(INDEX(元データ!$E$2:$H$20000,0,MATCH($C$2,元データ!$E$1:$H$1,0)),元データ!$A$2:$A$20000,$A156,元データ!$D$2:$D$20000,$B156,元データ!$B$2:$B$20000,$C$3,元データ!$C$2:$C$20000,J$5)</f>
        <v>655</v>
      </c>
      <c r="K156" s="16">
        <f>SUMIFS(INDEX(元データ!$E$2:$H$20000,0,MATCH($C$2,元データ!$E$1:$H$1,0)),元データ!$A$2:$A$20000,$A156,元データ!$D$2:$D$20000,$B156,元データ!$B$2:$B$20000,$C$3,元データ!$C$2:$C$20000,K$5)</f>
        <v>660</v>
      </c>
      <c r="L156" s="16">
        <f>SUMIFS(INDEX(元データ!$E$2:$H$20000,0,MATCH($C$2,元データ!$E$1:$H$1,0)),元データ!$A$2:$A$20000,$A156,元データ!$D$2:$D$20000,$B156,元データ!$B$2:$B$20000,$C$3,元データ!$C$2:$C$20000,L$5)</f>
        <v>575</v>
      </c>
      <c r="M156" s="16">
        <f>SUMIFS(INDEX(元データ!$E$2:$H$20000,0,MATCH($C$2,元データ!$E$1:$H$1,0)),元データ!$A$2:$A$20000,$A156,元データ!$D$2:$D$20000,$B156,元データ!$B$2:$B$20000,$C$3,元データ!$C$2:$C$20000,M$5)</f>
        <v>701</v>
      </c>
      <c r="N156" s="16">
        <f>SUMIFS(INDEX(元データ!$E$2:$H$20000,0,MATCH($C$2,元データ!$E$1:$H$1,0)),元データ!$A$2:$A$20000,$A156,元データ!$D$2:$D$20000,$B156,元データ!$B$2:$B$20000,$C$3,元データ!$C$2:$C$20000,N$5)</f>
        <v>653</v>
      </c>
      <c r="O156" s="17">
        <f t="shared" si="8"/>
        <v>7290</v>
      </c>
      <c r="P156" s="17">
        <f>SUMIFS(INDEX(元データ!$E$2:$H$20000,0,MATCH($C$2,元データ!$E$1:$H$1,0)),元データ!$A$2:$A$20000,$A156,元データ!$D$2:$D$20000,$B156,元データ!$B$2:$B$20000,$D$3)</f>
        <v>8446</v>
      </c>
      <c r="Q156" s="25">
        <f t="shared" si="9"/>
        <v>0.86313047596495385</v>
      </c>
    </row>
    <row r="157" spans="1:17" x14ac:dyDescent="0.45">
      <c r="A157" s="14"/>
      <c r="B157" s="15" t="s">
        <v>28</v>
      </c>
      <c r="C157" s="16">
        <f>SUMIFS(INDEX(元データ!$E$2:$H$20000,0,MATCH($C$2,元データ!$E$1:$H$1,0)),元データ!$A$2:$A$20000,$A156,元データ!$D$2:$D$20000,$B157,元データ!$B$2:$B$20000,$C$3,元データ!$C$2:$C$20000,C$5)</f>
        <v>300</v>
      </c>
      <c r="D157" s="16">
        <f>SUMIFS(INDEX(元データ!$E$2:$H$20000,0,MATCH($C$2,元データ!$E$1:$H$1,0)),元データ!$A$2:$A$20000,$A156,元データ!$D$2:$D$20000,$B157,元データ!$B$2:$B$20000,$C$3,元データ!$C$2:$C$20000,D$5)</f>
        <v>324</v>
      </c>
      <c r="E157" s="16">
        <f>SUMIFS(INDEX(元データ!$E$2:$H$20000,0,MATCH($C$2,元データ!$E$1:$H$1,0)),元データ!$A$2:$A$20000,$A156,元データ!$D$2:$D$20000,$B157,元データ!$B$2:$B$20000,$C$3,元データ!$C$2:$C$20000,E$5)</f>
        <v>398</v>
      </c>
      <c r="F157" s="16">
        <f>SUMIFS(INDEX(元データ!$E$2:$H$20000,0,MATCH($C$2,元データ!$E$1:$H$1,0)),元データ!$A$2:$A$20000,$A156,元データ!$D$2:$D$20000,$B157,元データ!$B$2:$B$20000,$C$3,元データ!$C$2:$C$20000,F$5)</f>
        <v>433</v>
      </c>
      <c r="G157" s="16">
        <f>SUMIFS(INDEX(元データ!$E$2:$H$20000,0,MATCH($C$2,元データ!$E$1:$H$1,0)),元データ!$A$2:$A$20000,$A156,元データ!$D$2:$D$20000,$B157,元データ!$B$2:$B$20000,$C$3,元データ!$C$2:$C$20000,G$5)</f>
        <v>416</v>
      </c>
      <c r="H157" s="16">
        <f>SUMIFS(INDEX(元データ!$E$2:$H$20000,0,MATCH($C$2,元データ!$E$1:$H$1,0)),元データ!$A$2:$A$20000,$A156,元データ!$D$2:$D$20000,$B157,元データ!$B$2:$B$20000,$C$3,元データ!$C$2:$C$20000,H$5)</f>
        <v>269</v>
      </c>
      <c r="I157" s="16">
        <f>SUMIFS(INDEX(元データ!$E$2:$H$20000,0,MATCH($C$2,元データ!$E$1:$H$1,0)),元データ!$A$2:$A$20000,$A156,元データ!$D$2:$D$20000,$B157,元データ!$B$2:$B$20000,$C$3,元データ!$C$2:$C$20000,I$5)</f>
        <v>200</v>
      </c>
      <c r="J157" s="16">
        <f>SUMIFS(INDEX(元データ!$E$2:$H$20000,0,MATCH($C$2,元データ!$E$1:$H$1,0)),元データ!$A$2:$A$20000,$A156,元データ!$D$2:$D$20000,$B157,元データ!$B$2:$B$20000,$C$3,元データ!$C$2:$C$20000,J$5)</f>
        <v>393</v>
      </c>
      <c r="K157" s="16">
        <f>SUMIFS(INDEX(元データ!$E$2:$H$20000,0,MATCH($C$2,元データ!$E$1:$H$1,0)),元データ!$A$2:$A$20000,$A156,元データ!$D$2:$D$20000,$B157,元データ!$B$2:$B$20000,$C$3,元データ!$C$2:$C$20000,K$5)</f>
        <v>533</v>
      </c>
      <c r="L157" s="16">
        <f>SUMIFS(INDEX(元データ!$E$2:$H$20000,0,MATCH($C$2,元データ!$E$1:$H$1,0)),元データ!$A$2:$A$20000,$A156,元データ!$D$2:$D$20000,$B157,元データ!$B$2:$B$20000,$C$3,元データ!$C$2:$C$20000,L$5)</f>
        <v>408</v>
      </c>
      <c r="M157" s="16">
        <f>SUMIFS(INDEX(元データ!$E$2:$H$20000,0,MATCH($C$2,元データ!$E$1:$H$1,0)),元データ!$A$2:$A$20000,$A156,元データ!$D$2:$D$20000,$B157,元データ!$B$2:$B$20000,$C$3,元データ!$C$2:$C$20000,M$5)</f>
        <v>377</v>
      </c>
      <c r="N157" s="16">
        <f>SUMIFS(INDEX(元データ!$E$2:$H$20000,0,MATCH($C$2,元データ!$E$1:$H$1,0)),元データ!$A$2:$A$20000,$A156,元データ!$D$2:$D$20000,$B157,元データ!$B$2:$B$20000,$C$3,元データ!$C$2:$C$20000,N$5)</f>
        <v>375</v>
      </c>
      <c r="O157" s="17">
        <f t="shared" si="8"/>
        <v>4426</v>
      </c>
      <c r="P157" s="17">
        <f>SUMIFS(INDEX(元データ!$E$2:$H$20000,0,MATCH($C$2,元データ!$E$1:$H$1,0)),元データ!$A$2:$A$20000,$A156,元データ!$D$2:$D$20000,$B157,元データ!$B$2:$B$20000,$D$3)</f>
        <v>4768</v>
      </c>
      <c r="Q157" s="25">
        <f t="shared" si="9"/>
        <v>0.92827181208053688</v>
      </c>
    </row>
    <row r="158" spans="1:17" x14ac:dyDescent="0.45">
      <c r="A158" s="14"/>
      <c r="B158" s="15" t="s">
        <v>29</v>
      </c>
      <c r="C158" s="16">
        <f>SUMIFS(INDEX(元データ!$E$2:$H$20000,0,MATCH($C$2,元データ!$E$1:$H$1,0)),元データ!$A$2:$A$20000,$A156,元データ!$D$2:$D$20000,$B158,元データ!$B$2:$B$20000,$C$3,元データ!$C$2:$C$20000,C$5)</f>
        <v>143</v>
      </c>
      <c r="D158" s="16">
        <f>SUMIFS(INDEX(元データ!$E$2:$H$20000,0,MATCH($C$2,元データ!$E$1:$H$1,0)),元データ!$A$2:$A$20000,$A156,元データ!$D$2:$D$20000,$B158,元データ!$B$2:$B$20000,$C$3,元データ!$C$2:$C$20000,D$5)</f>
        <v>213</v>
      </c>
      <c r="E158" s="16">
        <f>SUMIFS(INDEX(元データ!$E$2:$H$20000,0,MATCH($C$2,元データ!$E$1:$H$1,0)),元データ!$A$2:$A$20000,$A156,元データ!$D$2:$D$20000,$B158,元データ!$B$2:$B$20000,$C$3,元データ!$C$2:$C$20000,E$5)</f>
        <v>294</v>
      </c>
      <c r="F158" s="16">
        <f>SUMIFS(INDEX(元データ!$E$2:$H$20000,0,MATCH($C$2,元データ!$E$1:$H$1,0)),元データ!$A$2:$A$20000,$A156,元データ!$D$2:$D$20000,$B158,元データ!$B$2:$B$20000,$C$3,元データ!$C$2:$C$20000,F$5)</f>
        <v>307</v>
      </c>
      <c r="G158" s="16">
        <f>SUMIFS(INDEX(元データ!$E$2:$H$20000,0,MATCH($C$2,元データ!$E$1:$H$1,0)),元データ!$A$2:$A$20000,$A156,元データ!$D$2:$D$20000,$B158,元データ!$B$2:$B$20000,$C$3,元データ!$C$2:$C$20000,G$5)</f>
        <v>301</v>
      </c>
      <c r="H158" s="16">
        <f>SUMIFS(INDEX(元データ!$E$2:$H$20000,0,MATCH($C$2,元データ!$E$1:$H$1,0)),元データ!$A$2:$A$20000,$A156,元データ!$D$2:$D$20000,$B158,元データ!$B$2:$B$20000,$C$3,元データ!$C$2:$C$20000,H$5)</f>
        <v>236</v>
      </c>
      <c r="I158" s="16">
        <f>SUMIFS(INDEX(元データ!$E$2:$H$20000,0,MATCH($C$2,元データ!$E$1:$H$1,0)),元データ!$A$2:$A$20000,$A156,元データ!$D$2:$D$20000,$B158,元データ!$B$2:$B$20000,$C$3,元データ!$C$2:$C$20000,I$5)</f>
        <v>166</v>
      </c>
      <c r="J158" s="16">
        <f>SUMIFS(INDEX(元データ!$E$2:$H$20000,0,MATCH($C$2,元データ!$E$1:$H$1,0)),元データ!$A$2:$A$20000,$A156,元データ!$D$2:$D$20000,$B158,元データ!$B$2:$B$20000,$C$3,元データ!$C$2:$C$20000,J$5)</f>
        <v>383</v>
      </c>
      <c r="K158" s="16">
        <f>SUMIFS(INDEX(元データ!$E$2:$H$20000,0,MATCH($C$2,元データ!$E$1:$H$1,0)),元データ!$A$2:$A$20000,$A156,元データ!$D$2:$D$20000,$B158,元データ!$B$2:$B$20000,$C$3,元データ!$C$2:$C$20000,K$5)</f>
        <v>499</v>
      </c>
      <c r="L158" s="16">
        <f>SUMIFS(INDEX(元データ!$E$2:$H$20000,0,MATCH($C$2,元データ!$E$1:$H$1,0)),元データ!$A$2:$A$20000,$A156,元データ!$D$2:$D$20000,$B158,元データ!$B$2:$B$20000,$C$3,元データ!$C$2:$C$20000,L$5)</f>
        <v>353</v>
      </c>
      <c r="M158" s="16">
        <f>SUMIFS(INDEX(元データ!$E$2:$H$20000,0,MATCH($C$2,元データ!$E$1:$H$1,0)),元データ!$A$2:$A$20000,$A156,元データ!$D$2:$D$20000,$B158,元データ!$B$2:$B$20000,$C$3,元データ!$C$2:$C$20000,M$5)</f>
        <v>258</v>
      </c>
      <c r="N158" s="16">
        <f>SUMIFS(INDEX(元データ!$E$2:$H$20000,0,MATCH($C$2,元データ!$E$1:$H$1,0)),元データ!$A$2:$A$20000,$A156,元データ!$D$2:$D$20000,$B158,元データ!$B$2:$B$20000,$C$3,元データ!$C$2:$C$20000,N$5)</f>
        <v>252</v>
      </c>
      <c r="O158" s="17">
        <f t="shared" si="8"/>
        <v>3405</v>
      </c>
      <c r="P158" s="17">
        <f>SUMIFS(INDEX(元データ!$E$2:$H$20000,0,MATCH($C$2,元データ!$E$1:$H$1,0)),元データ!$A$2:$A$20000,$A156,元データ!$D$2:$D$20000,$B158,元データ!$B$2:$B$20000,$D$3)</f>
        <v>3656</v>
      </c>
      <c r="Q158" s="25">
        <f t="shared" si="9"/>
        <v>0.93134573304157553</v>
      </c>
    </row>
    <row r="159" spans="1:17" x14ac:dyDescent="0.45">
      <c r="A159" s="14" t="str">
        <f>店舗マスタ!A53</f>
        <v>穂波町店</v>
      </c>
      <c r="B159" s="15" t="s">
        <v>27</v>
      </c>
      <c r="C159" s="16">
        <f>SUMIFS(INDEX(元データ!$E$2:$H$20000,0,MATCH($C$2,元データ!$E$1:$H$1,0)),元データ!$A$2:$A$20000,$A159,元データ!$D$2:$D$20000,$B159,元データ!$B$2:$B$20000,$C$3,元データ!$C$2:$C$20000,C$5)</f>
        <v>342</v>
      </c>
      <c r="D159" s="16">
        <f>SUMIFS(INDEX(元データ!$E$2:$H$20000,0,MATCH($C$2,元データ!$E$1:$H$1,0)),元データ!$A$2:$A$20000,$A159,元データ!$D$2:$D$20000,$B159,元データ!$B$2:$B$20000,$C$3,元データ!$C$2:$C$20000,D$5)</f>
        <v>449</v>
      </c>
      <c r="E159" s="16">
        <f>SUMIFS(INDEX(元データ!$E$2:$H$20000,0,MATCH($C$2,元データ!$E$1:$H$1,0)),元データ!$A$2:$A$20000,$A159,元データ!$D$2:$D$20000,$B159,元データ!$B$2:$B$20000,$C$3,元データ!$C$2:$C$20000,E$5)</f>
        <v>539</v>
      </c>
      <c r="F159" s="16">
        <f>SUMIFS(INDEX(元データ!$E$2:$H$20000,0,MATCH($C$2,元データ!$E$1:$H$1,0)),元データ!$A$2:$A$20000,$A159,元データ!$D$2:$D$20000,$B159,元データ!$B$2:$B$20000,$C$3,元データ!$C$2:$C$20000,F$5)</f>
        <v>513</v>
      </c>
      <c r="G159" s="16">
        <f>SUMIFS(INDEX(元データ!$E$2:$H$20000,0,MATCH($C$2,元データ!$E$1:$H$1,0)),元データ!$A$2:$A$20000,$A159,元データ!$D$2:$D$20000,$B159,元データ!$B$2:$B$20000,$C$3,元データ!$C$2:$C$20000,G$5)</f>
        <v>491</v>
      </c>
      <c r="H159" s="16">
        <f>SUMIFS(INDEX(元データ!$E$2:$H$20000,0,MATCH($C$2,元データ!$E$1:$H$1,0)),元データ!$A$2:$A$20000,$A159,元データ!$D$2:$D$20000,$B159,元データ!$B$2:$B$20000,$C$3,元データ!$C$2:$C$20000,H$5)</f>
        <v>411</v>
      </c>
      <c r="I159" s="16">
        <f>SUMIFS(INDEX(元データ!$E$2:$H$20000,0,MATCH($C$2,元データ!$E$1:$H$1,0)),元データ!$A$2:$A$20000,$A159,元データ!$D$2:$D$20000,$B159,元データ!$B$2:$B$20000,$C$3,元データ!$C$2:$C$20000,I$5)</f>
        <v>385</v>
      </c>
      <c r="J159" s="16">
        <f>SUMIFS(INDEX(元データ!$E$2:$H$20000,0,MATCH($C$2,元データ!$E$1:$H$1,0)),元データ!$A$2:$A$20000,$A159,元データ!$D$2:$D$20000,$B159,元データ!$B$2:$B$20000,$C$3,元データ!$C$2:$C$20000,J$5)</f>
        <v>476</v>
      </c>
      <c r="K159" s="16">
        <f>SUMIFS(INDEX(元データ!$E$2:$H$20000,0,MATCH($C$2,元データ!$E$1:$H$1,0)),元データ!$A$2:$A$20000,$A159,元データ!$D$2:$D$20000,$B159,元データ!$B$2:$B$20000,$C$3,元データ!$C$2:$C$20000,K$5)</f>
        <v>488</v>
      </c>
      <c r="L159" s="16">
        <f>SUMIFS(INDEX(元データ!$E$2:$H$20000,0,MATCH($C$2,元データ!$E$1:$H$1,0)),元データ!$A$2:$A$20000,$A159,元データ!$D$2:$D$20000,$B159,元データ!$B$2:$B$20000,$C$3,元データ!$C$2:$C$20000,L$5)</f>
        <v>394</v>
      </c>
      <c r="M159" s="16">
        <f>SUMIFS(INDEX(元データ!$E$2:$H$20000,0,MATCH($C$2,元データ!$E$1:$H$1,0)),元データ!$A$2:$A$20000,$A159,元データ!$D$2:$D$20000,$B159,元データ!$B$2:$B$20000,$C$3,元データ!$C$2:$C$20000,M$5)</f>
        <v>504</v>
      </c>
      <c r="N159" s="16">
        <f>SUMIFS(INDEX(元データ!$E$2:$H$20000,0,MATCH($C$2,元データ!$E$1:$H$1,0)),元データ!$A$2:$A$20000,$A159,元データ!$D$2:$D$20000,$B159,元データ!$B$2:$B$20000,$C$3,元データ!$C$2:$C$20000,N$5)</f>
        <v>461</v>
      </c>
      <c r="O159" s="17">
        <f t="shared" si="8"/>
        <v>5453</v>
      </c>
      <c r="P159" s="17">
        <f>SUMIFS(INDEX(元データ!$E$2:$H$20000,0,MATCH($C$2,元データ!$E$1:$H$1,0)),元データ!$A$2:$A$20000,$A159,元データ!$D$2:$D$20000,$B159,元データ!$B$2:$B$20000,$D$3)</f>
        <v>5539</v>
      </c>
      <c r="Q159" s="25">
        <f t="shared" si="9"/>
        <v>0.98447373172052721</v>
      </c>
    </row>
    <row r="160" spans="1:17" x14ac:dyDescent="0.45">
      <c r="A160" s="14"/>
      <c r="B160" s="15" t="s">
        <v>28</v>
      </c>
      <c r="C160" s="16">
        <f>SUMIFS(INDEX(元データ!$E$2:$H$20000,0,MATCH($C$2,元データ!$E$1:$H$1,0)),元データ!$A$2:$A$20000,$A159,元データ!$D$2:$D$20000,$B160,元データ!$B$2:$B$20000,$C$3,元データ!$C$2:$C$20000,C$5)</f>
        <v>299</v>
      </c>
      <c r="D160" s="16">
        <f>SUMIFS(INDEX(元データ!$E$2:$H$20000,0,MATCH($C$2,元データ!$E$1:$H$1,0)),元データ!$A$2:$A$20000,$A159,元データ!$D$2:$D$20000,$B160,元データ!$B$2:$B$20000,$C$3,元データ!$C$2:$C$20000,D$5)</f>
        <v>380</v>
      </c>
      <c r="E160" s="16">
        <f>SUMIFS(INDEX(元データ!$E$2:$H$20000,0,MATCH($C$2,元データ!$E$1:$H$1,0)),元データ!$A$2:$A$20000,$A159,元データ!$D$2:$D$20000,$B160,元データ!$B$2:$B$20000,$C$3,元データ!$C$2:$C$20000,E$5)</f>
        <v>413</v>
      </c>
      <c r="F160" s="16">
        <f>SUMIFS(INDEX(元データ!$E$2:$H$20000,0,MATCH($C$2,元データ!$E$1:$H$1,0)),元データ!$A$2:$A$20000,$A159,元データ!$D$2:$D$20000,$B160,元データ!$B$2:$B$20000,$C$3,元データ!$C$2:$C$20000,F$5)</f>
        <v>368</v>
      </c>
      <c r="G160" s="16">
        <f>SUMIFS(INDEX(元データ!$E$2:$H$20000,0,MATCH($C$2,元データ!$E$1:$H$1,0)),元データ!$A$2:$A$20000,$A159,元データ!$D$2:$D$20000,$B160,元データ!$B$2:$B$20000,$C$3,元データ!$C$2:$C$20000,G$5)</f>
        <v>448</v>
      </c>
      <c r="H160" s="16">
        <f>SUMIFS(INDEX(元データ!$E$2:$H$20000,0,MATCH($C$2,元データ!$E$1:$H$1,0)),元データ!$A$2:$A$20000,$A159,元データ!$D$2:$D$20000,$B160,元データ!$B$2:$B$20000,$C$3,元データ!$C$2:$C$20000,H$5)</f>
        <v>335</v>
      </c>
      <c r="I160" s="16">
        <f>SUMIFS(INDEX(元データ!$E$2:$H$20000,0,MATCH($C$2,元データ!$E$1:$H$1,0)),元データ!$A$2:$A$20000,$A159,元データ!$D$2:$D$20000,$B160,元データ!$B$2:$B$20000,$C$3,元データ!$C$2:$C$20000,I$5)</f>
        <v>232</v>
      </c>
      <c r="J160" s="16">
        <f>SUMIFS(INDEX(元データ!$E$2:$H$20000,0,MATCH($C$2,元データ!$E$1:$H$1,0)),元データ!$A$2:$A$20000,$A159,元データ!$D$2:$D$20000,$B160,元データ!$B$2:$B$20000,$C$3,元データ!$C$2:$C$20000,J$5)</f>
        <v>446</v>
      </c>
      <c r="K160" s="16">
        <f>SUMIFS(INDEX(元データ!$E$2:$H$20000,0,MATCH($C$2,元データ!$E$1:$H$1,0)),元データ!$A$2:$A$20000,$A159,元データ!$D$2:$D$20000,$B160,元データ!$B$2:$B$20000,$C$3,元データ!$C$2:$C$20000,K$5)</f>
        <v>595</v>
      </c>
      <c r="L160" s="16">
        <f>SUMIFS(INDEX(元データ!$E$2:$H$20000,0,MATCH($C$2,元データ!$E$1:$H$1,0)),元データ!$A$2:$A$20000,$A159,元データ!$D$2:$D$20000,$B160,元データ!$B$2:$B$20000,$C$3,元データ!$C$2:$C$20000,L$5)</f>
        <v>401</v>
      </c>
      <c r="M160" s="16">
        <f>SUMIFS(INDEX(元データ!$E$2:$H$20000,0,MATCH($C$2,元データ!$E$1:$H$1,0)),元データ!$A$2:$A$20000,$A159,元データ!$D$2:$D$20000,$B160,元データ!$B$2:$B$20000,$C$3,元データ!$C$2:$C$20000,M$5)</f>
        <v>470</v>
      </c>
      <c r="N160" s="16">
        <f>SUMIFS(INDEX(元データ!$E$2:$H$20000,0,MATCH($C$2,元データ!$E$1:$H$1,0)),元データ!$A$2:$A$20000,$A159,元データ!$D$2:$D$20000,$B160,元データ!$B$2:$B$20000,$C$3,元データ!$C$2:$C$20000,N$5)</f>
        <v>398</v>
      </c>
      <c r="O160" s="17">
        <f t="shared" si="8"/>
        <v>4785</v>
      </c>
      <c r="P160" s="17">
        <f>SUMIFS(INDEX(元データ!$E$2:$H$20000,0,MATCH($C$2,元データ!$E$1:$H$1,0)),元データ!$A$2:$A$20000,$A159,元データ!$D$2:$D$20000,$B160,元データ!$B$2:$B$20000,$D$3)</f>
        <v>4499</v>
      </c>
      <c r="Q160" s="25">
        <f t="shared" si="9"/>
        <v>1.0635696821515892</v>
      </c>
    </row>
    <row r="161" spans="1:17" x14ac:dyDescent="0.45">
      <c r="A161" s="14"/>
      <c r="B161" s="15" t="s">
        <v>29</v>
      </c>
      <c r="C161" s="16">
        <f>SUMIFS(INDEX(元データ!$E$2:$H$20000,0,MATCH($C$2,元データ!$E$1:$H$1,0)),元データ!$A$2:$A$20000,$A159,元データ!$D$2:$D$20000,$B161,元データ!$B$2:$B$20000,$C$3,元データ!$C$2:$C$20000,C$5)</f>
        <v>193</v>
      </c>
      <c r="D161" s="16">
        <f>SUMIFS(INDEX(元データ!$E$2:$H$20000,0,MATCH($C$2,元データ!$E$1:$H$1,0)),元データ!$A$2:$A$20000,$A159,元データ!$D$2:$D$20000,$B161,元データ!$B$2:$B$20000,$C$3,元データ!$C$2:$C$20000,D$5)</f>
        <v>259</v>
      </c>
      <c r="E161" s="16">
        <f>SUMIFS(INDEX(元データ!$E$2:$H$20000,0,MATCH($C$2,元データ!$E$1:$H$1,0)),元データ!$A$2:$A$20000,$A159,元データ!$D$2:$D$20000,$B161,元データ!$B$2:$B$20000,$C$3,元データ!$C$2:$C$20000,E$5)</f>
        <v>324</v>
      </c>
      <c r="F161" s="16">
        <f>SUMIFS(INDEX(元データ!$E$2:$H$20000,0,MATCH($C$2,元データ!$E$1:$H$1,0)),元データ!$A$2:$A$20000,$A159,元データ!$D$2:$D$20000,$B161,元データ!$B$2:$B$20000,$C$3,元データ!$C$2:$C$20000,F$5)</f>
        <v>265</v>
      </c>
      <c r="G161" s="16">
        <f>SUMIFS(INDEX(元データ!$E$2:$H$20000,0,MATCH($C$2,元データ!$E$1:$H$1,0)),元データ!$A$2:$A$20000,$A159,元データ!$D$2:$D$20000,$B161,元データ!$B$2:$B$20000,$C$3,元データ!$C$2:$C$20000,G$5)</f>
        <v>389</v>
      </c>
      <c r="H161" s="16">
        <f>SUMIFS(INDEX(元データ!$E$2:$H$20000,0,MATCH($C$2,元データ!$E$1:$H$1,0)),元データ!$A$2:$A$20000,$A159,元データ!$D$2:$D$20000,$B161,元データ!$B$2:$B$20000,$C$3,元データ!$C$2:$C$20000,H$5)</f>
        <v>309</v>
      </c>
      <c r="I161" s="16">
        <f>SUMIFS(INDEX(元データ!$E$2:$H$20000,0,MATCH($C$2,元データ!$E$1:$H$1,0)),元データ!$A$2:$A$20000,$A159,元データ!$D$2:$D$20000,$B161,元データ!$B$2:$B$20000,$C$3,元データ!$C$2:$C$20000,I$5)</f>
        <v>218</v>
      </c>
      <c r="J161" s="16">
        <f>SUMIFS(INDEX(元データ!$E$2:$H$20000,0,MATCH($C$2,元データ!$E$1:$H$1,0)),元データ!$A$2:$A$20000,$A159,元データ!$D$2:$D$20000,$B161,元データ!$B$2:$B$20000,$C$3,元データ!$C$2:$C$20000,J$5)</f>
        <v>426</v>
      </c>
      <c r="K161" s="16">
        <f>SUMIFS(INDEX(元データ!$E$2:$H$20000,0,MATCH($C$2,元データ!$E$1:$H$1,0)),元データ!$A$2:$A$20000,$A159,元データ!$D$2:$D$20000,$B161,元データ!$B$2:$B$20000,$C$3,元データ!$C$2:$C$20000,K$5)</f>
        <v>528</v>
      </c>
      <c r="L161" s="16">
        <f>SUMIFS(INDEX(元データ!$E$2:$H$20000,0,MATCH($C$2,元データ!$E$1:$H$1,0)),元データ!$A$2:$A$20000,$A159,元データ!$D$2:$D$20000,$B161,元データ!$B$2:$B$20000,$C$3,元データ!$C$2:$C$20000,L$5)</f>
        <v>342</v>
      </c>
      <c r="M161" s="16">
        <f>SUMIFS(INDEX(元データ!$E$2:$H$20000,0,MATCH($C$2,元データ!$E$1:$H$1,0)),元データ!$A$2:$A$20000,$A159,元データ!$D$2:$D$20000,$B161,元データ!$B$2:$B$20000,$C$3,元データ!$C$2:$C$20000,M$5)</f>
        <v>404</v>
      </c>
      <c r="N161" s="16">
        <f>SUMIFS(INDEX(元データ!$E$2:$H$20000,0,MATCH($C$2,元データ!$E$1:$H$1,0)),元データ!$A$2:$A$20000,$A159,元データ!$D$2:$D$20000,$B161,元データ!$B$2:$B$20000,$C$3,元データ!$C$2:$C$20000,N$5)</f>
        <v>335</v>
      </c>
      <c r="O161" s="17">
        <f t="shared" si="8"/>
        <v>3992</v>
      </c>
      <c r="P161" s="17">
        <f>SUMIFS(INDEX(元データ!$E$2:$H$20000,0,MATCH($C$2,元データ!$E$1:$H$1,0)),元データ!$A$2:$A$20000,$A159,元データ!$D$2:$D$20000,$B161,元データ!$B$2:$B$20000,$D$3)</f>
        <v>3686</v>
      </c>
      <c r="Q161" s="25">
        <f t="shared" si="9"/>
        <v>1.0830168204015194</v>
      </c>
    </row>
    <row r="162" spans="1:17" x14ac:dyDescent="0.45">
      <c r="A162" s="14" t="str">
        <f>店舗マスタ!A54</f>
        <v>竹原店</v>
      </c>
      <c r="B162" s="15" t="s">
        <v>27</v>
      </c>
      <c r="C162" s="16">
        <f>SUMIFS(INDEX(元データ!$E$2:$H$20000,0,MATCH($C$2,元データ!$E$1:$H$1,0)),元データ!$A$2:$A$20000,$A162,元データ!$D$2:$D$20000,$B162,元データ!$B$2:$B$20000,$C$3,元データ!$C$2:$C$20000,C$5)</f>
        <v>0</v>
      </c>
      <c r="D162" s="16">
        <f>SUMIFS(INDEX(元データ!$E$2:$H$20000,0,MATCH($C$2,元データ!$E$1:$H$1,0)),元データ!$A$2:$A$20000,$A162,元データ!$D$2:$D$20000,$B162,元データ!$B$2:$B$20000,$C$3,元データ!$C$2:$C$20000,D$5)</f>
        <v>0</v>
      </c>
      <c r="E162" s="16">
        <f>SUMIFS(INDEX(元データ!$E$2:$H$20000,0,MATCH($C$2,元データ!$E$1:$H$1,0)),元データ!$A$2:$A$20000,$A162,元データ!$D$2:$D$20000,$B162,元データ!$B$2:$B$20000,$C$3,元データ!$C$2:$C$20000,E$5)</f>
        <v>0</v>
      </c>
      <c r="F162" s="16">
        <f>SUMIFS(INDEX(元データ!$E$2:$H$20000,0,MATCH($C$2,元データ!$E$1:$H$1,0)),元データ!$A$2:$A$20000,$A162,元データ!$D$2:$D$20000,$B162,元データ!$B$2:$B$20000,$C$3,元データ!$C$2:$C$20000,F$5)</f>
        <v>0</v>
      </c>
      <c r="G162" s="16">
        <f>SUMIFS(INDEX(元データ!$E$2:$H$20000,0,MATCH($C$2,元データ!$E$1:$H$1,0)),元データ!$A$2:$A$20000,$A162,元データ!$D$2:$D$20000,$B162,元データ!$B$2:$B$20000,$C$3,元データ!$C$2:$C$20000,G$5)</f>
        <v>0</v>
      </c>
      <c r="H162" s="16">
        <f>SUMIFS(INDEX(元データ!$E$2:$H$20000,0,MATCH($C$2,元データ!$E$1:$H$1,0)),元データ!$A$2:$A$20000,$A162,元データ!$D$2:$D$20000,$B162,元データ!$B$2:$B$20000,$C$3,元データ!$C$2:$C$20000,H$5)</f>
        <v>0</v>
      </c>
      <c r="I162" s="16">
        <f>SUMIFS(INDEX(元データ!$E$2:$H$20000,0,MATCH($C$2,元データ!$E$1:$H$1,0)),元データ!$A$2:$A$20000,$A162,元データ!$D$2:$D$20000,$B162,元データ!$B$2:$B$20000,$C$3,元データ!$C$2:$C$20000,I$5)</f>
        <v>0</v>
      </c>
      <c r="J162" s="16">
        <f>SUMIFS(INDEX(元データ!$E$2:$H$20000,0,MATCH($C$2,元データ!$E$1:$H$1,0)),元データ!$A$2:$A$20000,$A162,元データ!$D$2:$D$20000,$B162,元データ!$B$2:$B$20000,$C$3,元データ!$C$2:$C$20000,J$5)</f>
        <v>0</v>
      </c>
      <c r="K162" s="16">
        <f>SUMIFS(INDEX(元データ!$E$2:$H$20000,0,MATCH($C$2,元データ!$E$1:$H$1,0)),元データ!$A$2:$A$20000,$A162,元データ!$D$2:$D$20000,$B162,元データ!$B$2:$B$20000,$C$3,元データ!$C$2:$C$20000,K$5)</f>
        <v>0</v>
      </c>
      <c r="L162" s="16">
        <f>SUMIFS(INDEX(元データ!$E$2:$H$20000,0,MATCH($C$2,元データ!$E$1:$H$1,0)),元データ!$A$2:$A$20000,$A162,元データ!$D$2:$D$20000,$B162,元データ!$B$2:$B$20000,$C$3,元データ!$C$2:$C$20000,L$5)</f>
        <v>0</v>
      </c>
      <c r="M162" s="16">
        <f>SUMIFS(INDEX(元データ!$E$2:$H$20000,0,MATCH($C$2,元データ!$E$1:$H$1,0)),元データ!$A$2:$A$20000,$A162,元データ!$D$2:$D$20000,$B162,元データ!$B$2:$B$20000,$C$3,元データ!$C$2:$C$20000,M$5)</f>
        <v>923</v>
      </c>
      <c r="N162" s="16">
        <f>SUMIFS(INDEX(元データ!$E$2:$H$20000,0,MATCH($C$2,元データ!$E$1:$H$1,0)),元データ!$A$2:$A$20000,$A162,元データ!$D$2:$D$20000,$B162,元データ!$B$2:$B$20000,$C$3,元データ!$C$2:$C$20000,N$5)</f>
        <v>773</v>
      </c>
      <c r="O162" s="17">
        <f t="shared" si="8"/>
        <v>1696</v>
      </c>
      <c r="P162" s="17">
        <f>SUMIFS(INDEX(元データ!$E$2:$H$20000,0,MATCH($C$2,元データ!$E$1:$H$1,0)),元データ!$A$2:$A$20000,$A162,元データ!$D$2:$D$20000,$B162,元データ!$B$2:$B$20000,$D$3)</f>
        <v>1719</v>
      </c>
      <c r="Q162" s="25">
        <f t="shared" si="9"/>
        <v>0.98662012798138454</v>
      </c>
    </row>
    <row r="163" spans="1:17" x14ac:dyDescent="0.45">
      <c r="A163" s="14"/>
      <c r="B163" s="15" t="s">
        <v>28</v>
      </c>
      <c r="C163" s="16">
        <f>SUMIFS(INDEX(元データ!$E$2:$H$20000,0,MATCH($C$2,元データ!$E$1:$H$1,0)),元データ!$A$2:$A$20000,$A162,元データ!$D$2:$D$20000,$B163,元データ!$B$2:$B$20000,$C$3,元データ!$C$2:$C$20000,C$5)</f>
        <v>0</v>
      </c>
      <c r="D163" s="16">
        <f>SUMIFS(INDEX(元データ!$E$2:$H$20000,0,MATCH($C$2,元データ!$E$1:$H$1,0)),元データ!$A$2:$A$20000,$A162,元データ!$D$2:$D$20000,$B163,元データ!$B$2:$B$20000,$C$3,元データ!$C$2:$C$20000,D$5)</f>
        <v>0</v>
      </c>
      <c r="E163" s="16">
        <f>SUMIFS(INDEX(元データ!$E$2:$H$20000,0,MATCH($C$2,元データ!$E$1:$H$1,0)),元データ!$A$2:$A$20000,$A162,元データ!$D$2:$D$20000,$B163,元データ!$B$2:$B$20000,$C$3,元データ!$C$2:$C$20000,E$5)</f>
        <v>0</v>
      </c>
      <c r="F163" s="16">
        <f>SUMIFS(INDEX(元データ!$E$2:$H$20000,0,MATCH($C$2,元データ!$E$1:$H$1,0)),元データ!$A$2:$A$20000,$A162,元データ!$D$2:$D$20000,$B163,元データ!$B$2:$B$20000,$C$3,元データ!$C$2:$C$20000,F$5)</f>
        <v>0</v>
      </c>
      <c r="G163" s="16">
        <f>SUMIFS(INDEX(元データ!$E$2:$H$20000,0,MATCH($C$2,元データ!$E$1:$H$1,0)),元データ!$A$2:$A$20000,$A162,元データ!$D$2:$D$20000,$B163,元データ!$B$2:$B$20000,$C$3,元データ!$C$2:$C$20000,G$5)</f>
        <v>0</v>
      </c>
      <c r="H163" s="16">
        <f>SUMIFS(INDEX(元データ!$E$2:$H$20000,0,MATCH($C$2,元データ!$E$1:$H$1,0)),元データ!$A$2:$A$20000,$A162,元データ!$D$2:$D$20000,$B163,元データ!$B$2:$B$20000,$C$3,元データ!$C$2:$C$20000,H$5)</f>
        <v>0</v>
      </c>
      <c r="I163" s="16">
        <f>SUMIFS(INDEX(元データ!$E$2:$H$20000,0,MATCH($C$2,元データ!$E$1:$H$1,0)),元データ!$A$2:$A$20000,$A162,元データ!$D$2:$D$20000,$B163,元データ!$B$2:$B$20000,$C$3,元データ!$C$2:$C$20000,I$5)</f>
        <v>0</v>
      </c>
      <c r="J163" s="16">
        <f>SUMIFS(INDEX(元データ!$E$2:$H$20000,0,MATCH($C$2,元データ!$E$1:$H$1,0)),元データ!$A$2:$A$20000,$A162,元データ!$D$2:$D$20000,$B163,元データ!$B$2:$B$20000,$C$3,元データ!$C$2:$C$20000,J$5)</f>
        <v>0</v>
      </c>
      <c r="K163" s="16">
        <f>SUMIFS(INDEX(元データ!$E$2:$H$20000,0,MATCH($C$2,元データ!$E$1:$H$1,0)),元データ!$A$2:$A$20000,$A162,元データ!$D$2:$D$20000,$B163,元データ!$B$2:$B$20000,$C$3,元データ!$C$2:$C$20000,K$5)</f>
        <v>0</v>
      </c>
      <c r="L163" s="16">
        <f>SUMIFS(INDEX(元データ!$E$2:$H$20000,0,MATCH($C$2,元データ!$E$1:$H$1,0)),元データ!$A$2:$A$20000,$A162,元データ!$D$2:$D$20000,$B163,元データ!$B$2:$B$20000,$C$3,元データ!$C$2:$C$20000,L$5)</f>
        <v>0</v>
      </c>
      <c r="M163" s="16">
        <f>SUMIFS(INDEX(元データ!$E$2:$H$20000,0,MATCH($C$2,元データ!$E$1:$H$1,0)),元データ!$A$2:$A$20000,$A162,元データ!$D$2:$D$20000,$B163,元データ!$B$2:$B$20000,$C$3,元データ!$C$2:$C$20000,M$5)</f>
        <v>618</v>
      </c>
      <c r="N163" s="16">
        <f>SUMIFS(INDEX(元データ!$E$2:$H$20000,0,MATCH($C$2,元データ!$E$1:$H$1,0)),元データ!$A$2:$A$20000,$A162,元データ!$D$2:$D$20000,$B163,元データ!$B$2:$B$20000,$C$3,元データ!$C$2:$C$20000,N$5)</f>
        <v>362</v>
      </c>
      <c r="O163" s="17">
        <f t="shared" si="8"/>
        <v>980</v>
      </c>
      <c r="P163" s="17">
        <f>SUMIFS(INDEX(元データ!$E$2:$H$20000,0,MATCH($C$2,元データ!$E$1:$H$1,0)),元データ!$A$2:$A$20000,$A162,元データ!$D$2:$D$20000,$B163,元データ!$B$2:$B$20000,$D$3)</f>
        <v>727</v>
      </c>
      <c r="Q163" s="25">
        <f t="shared" si="9"/>
        <v>1.3480055020632737</v>
      </c>
    </row>
    <row r="164" spans="1:17" x14ac:dyDescent="0.45">
      <c r="A164" s="14"/>
      <c r="B164" s="15" t="s">
        <v>29</v>
      </c>
      <c r="C164" s="16">
        <f>SUMIFS(INDEX(元データ!$E$2:$H$20000,0,MATCH($C$2,元データ!$E$1:$H$1,0)),元データ!$A$2:$A$20000,$A162,元データ!$D$2:$D$20000,$B164,元データ!$B$2:$B$20000,$C$3,元データ!$C$2:$C$20000,C$5)</f>
        <v>0</v>
      </c>
      <c r="D164" s="16">
        <f>SUMIFS(INDEX(元データ!$E$2:$H$20000,0,MATCH($C$2,元データ!$E$1:$H$1,0)),元データ!$A$2:$A$20000,$A162,元データ!$D$2:$D$20000,$B164,元データ!$B$2:$B$20000,$C$3,元データ!$C$2:$C$20000,D$5)</f>
        <v>0</v>
      </c>
      <c r="E164" s="16">
        <f>SUMIFS(INDEX(元データ!$E$2:$H$20000,0,MATCH($C$2,元データ!$E$1:$H$1,0)),元データ!$A$2:$A$20000,$A162,元データ!$D$2:$D$20000,$B164,元データ!$B$2:$B$20000,$C$3,元データ!$C$2:$C$20000,E$5)</f>
        <v>0</v>
      </c>
      <c r="F164" s="16">
        <f>SUMIFS(INDEX(元データ!$E$2:$H$20000,0,MATCH($C$2,元データ!$E$1:$H$1,0)),元データ!$A$2:$A$20000,$A162,元データ!$D$2:$D$20000,$B164,元データ!$B$2:$B$20000,$C$3,元データ!$C$2:$C$20000,F$5)</f>
        <v>0</v>
      </c>
      <c r="G164" s="16">
        <f>SUMIFS(INDEX(元データ!$E$2:$H$20000,0,MATCH($C$2,元データ!$E$1:$H$1,0)),元データ!$A$2:$A$20000,$A162,元データ!$D$2:$D$20000,$B164,元データ!$B$2:$B$20000,$C$3,元データ!$C$2:$C$20000,G$5)</f>
        <v>0</v>
      </c>
      <c r="H164" s="16">
        <f>SUMIFS(INDEX(元データ!$E$2:$H$20000,0,MATCH($C$2,元データ!$E$1:$H$1,0)),元データ!$A$2:$A$20000,$A162,元データ!$D$2:$D$20000,$B164,元データ!$B$2:$B$20000,$C$3,元データ!$C$2:$C$20000,H$5)</f>
        <v>0</v>
      </c>
      <c r="I164" s="16">
        <f>SUMIFS(INDEX(元データ!$E$2:$H$20000,0,MATCH($C$2,元データ!$E$1:$H$1,0)),元データ!$A$2:$A$20000,$A162,元データ!$D$2:$D$20000,$B164,元データ!$B$2:$B$20000,$C$3,元データ!$C$2:$C$20000,I$5)</f>
        <v>0</v>
      </c>
      <c r="J164" s="16">
        <f>SUMIFS(INDEX(元データ!$E$2:$H$20000,0,MATCH($C$2,元データ!$E$1:$H$1,0)),元データ!$A$2:$A$20000,$A162,元データ!$D$2:$D$20000,$B164,元データ!$B$2:$B$20000,$C$3,元データ!$C$2:$C$20000,J$5)</f>
        <v>0</v>
      </c>
      <c r="K164" s="16">
        <f>SUMIFS(INDEX(元データ!$E$2:$H$20000,0,MATCH($C$2,元データ!$E$1:$H$1,0)),元データ!$A$2:$A$20000,$A162,元データ!$D$2:$D$20000,$B164,元データ!$B$2:$B$20000,$C$3,元データ!$C$2:$C$20000,K$5)</f>
        <v>0</v>
      </c>
      <c r="L164" s="16">
        <f>SUMIFS(INDEX(元データ!$E$2:$H$20000,0,MATCH($C$2,元データ!$E$1:$H$1,0)),元データ!$A$2:$A$20000,$A162,元データ!$D$2:$D$20000,$B164,元データ!$B$2:$B$20000,$C$3,元データ!$C$2:$C$20000,L$5)</f>
        <v>0</v>
      </c>
      <c r="M164" s="16">
        <f>SUMIFS(INDEX(元データ!$E$2:$H$20000,0,MATCH($C$2,元データ!$E$1:$H$1,0)),元データ!$A$2:$A$20000,$A162,元データ!$D$2:$D$20000,$B164,元データ!$B$2:$B$20000,$C$3,元データ!$C$2:$C$20000,M$5)</f>
        <v>512</v>
      </c>
      <c r="N164" s="16">
        <f>SUMIFS(INDEX(元データ!$E$2:$H$20000,0,MATCH($C$2,元データ!$E$1:$H$1,0)),元データ!$A$2:$A$20000,$A162,元データ!$D$2:$D$20000,$B164,元データ!$B$2:$B$20000,$C$3,元データ!$C$2:$C$20000,N$5)</f>
        <v>194</v>
      </c>
      <c r="O164" s="17">
        <f t="shared" si="8"/>
        <v>706</v>
      </c>
      <c r="P164" s="17">
        <f>SUMIFS(INDEX(元データ!$E$2:$H$20000,0,MATCH($C$2,元データ!$E$1:$H$1,0)),元データ!$A$2:$A$20000,$A162,元データ!$D$2:$D$20000,$B164,元データ!$B$2:$B$20000,$D$3)</f>
        <v>451</v>
      </c>
      <c r="Q164" s="25">
        <f t="shared" si="9"/>
        <v>1.565410199556541</v>
      </c>
    </row>
  </sheetData>
  <phoneticPr fontId="2"/>
  <dataValidations count="1">
    <dataValidation type="list" allowBlank="1" showInputMessage="1" showErrorMessage="1" sqref="C2" xr:uid="{2B79262C-98EE-4140-AEE5-A14E094E42CA}">
      <formula1>"売上金額,商品点数,客数,利用数"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D204-E34F-4168-AE45-A37CEE60B209}">
  <dimension ref="A1:Q111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2" sqref="E2"/>
    </sheetView>
  </sheetViews>
  <sheetFormatPr defaultRowHeight="18" x14ac:dyDescent="0.45"/>
  <cols>
    <col min="1" max="1" width="16.69921875" customWidth="1"/>
    <col min="2" max="2" width="15.796875" customWidth="1"/>
    <col min="3" max="17" width="11.69921875" customWidth="1"/>
  </cols>
  <sheetData>
    <row r="1" spans="1:17" ht="22.2" x14ac:dyDescent="0.45">
      <c r="A1" s="4" t="s">
        <v>30</v>
      </c>
    </row>
    <row r="2" spans="1:17" x14ac:dyDescent="0.45">
      <c r="A2" s="3" t="s">
        <v>18</v>
      </c>
      <c r="C2" s="5" t="s">
        <v>7</v>
      </c>
    </row>
    <row r="3" spans="1:17" x14ac:dyDescent="0.45">
      <c r="A3" s="3" t="s">
        <v>1</v>
      </c>
      <c r="C3" s="2" t="s">
        <v>20</v>
      </c>
      <c r="D3" s="2" t="s">
        <v>21</v>
      </c>
    </row>
    <row r="5" spans="1:17" x14ac:dyDescent="0.45">
      <c r="A5" s="21" t="s">
        <v>0</v>
      </c>
      <c r="B5" s="22" t="s">
        <v>3</v>
      </c>
      <c r="C5" s="23">
        <v>8</v>
      </c>
      <c r="D5" s="23">
        <v>9</v>
      </c>
      <c r="E5" s="23">
        <v>10</v>
      </c>
      <c r="F5" s="23">
        <v>11</v>
      </c>
      <c r="G5" s="23">
        <v>12</v>
      </c>
      <c r="H5" s="23">
        <v>1</v>
      </c>
      <c r="I5" s="23">
        <v>2</v>
      </c>
      <c r="J5" s="23">
        <v>3</v>
      </c>
      <c r="K5" s="23">
        <v>4</v>
      </c>
      <c r="L5" s="23">
        <v>5</v>
      </c>
      <c r="M5" s="23">
        <v>6</v>
      </c>
      <c r="N5" s="23">
        <v>7</v>
      </c>
      <c r="O5" s="22" t="s">
        <v>25</v>
      </c>
      <c r="P5" s="22" t="s">
        <v>26</v>
      </c>
      <c r="Q5" s="24" t="s">
        <v>22</v>
      </c>
    </row>
    <row r="6" spans="1:17" x14ac:dyDescent="0.45">
      <c r="A6" s="14" t="str">
        <f>店舗マスタ!A2</f>
        <v>裾野本店</v>
      </c>
      <c r="B6" s="15" t="s">
        <v>31</v>
      </c>
      <c r="C6" s="16">
        <f>SUMIFS(INDEX(元データ!$E$2:$H$20000,0,MATCH($C$2,元データ!$E$1:$H$1,0)),元データ!$A$2:$A$20000,$A6,元データ!$D$2:$D$20000,$B6,元データ!$B$2:$B$20000,$C$3,元データ!$C$2:$C$20000,C$5)</f>
        <v>28</v>
      </c>
      <c r="D6" s="16">
        <f>SUMIFS(INDEX(元データ!$E$2:$H$20000,0,MATCH($C$2,元データ!$E$1:$H$1,0)),元データ!$A$2:$A$20000,$A6,元データ!$D$2:$D$20000,$B6,元データ!$B$2:$B$20000,$C$3,元データ!$C$2:$C$20000,D$5)</f>
        <v>218</v>
      </c>
      <c r="E6" s="16">
        <f>SUMIFS(INDEX(元データ!$E$2:$H$20000,0,MATCH($C$2,元データ!$E$1:$H$1,0)),元データ!$A$2:$A$20000,$A6,元データ!$D$2:$D$20000,$B6,元データ!$B$2:$B$20000,$C$3,元データ!$C$2:$C$20000,E$5)</f>
        <v>229</v>
      </c>
      <c r="F6" s="16">
        <f>SUMIFS(INDEX(元データ!$E$2:$H$20000,0,MATCH($C$2,元データ!$E$1:$H$1,0)),元データ!$A$2:$A$20000,$A6,元データ!$D$2:$D$20000,$B6,元データ!$B$2:$B$20000,$C$3,元データ!$C$2:$C$20000,F$5)</f>
        <v>356</v>
      </c>
      <c r="G6" s="16">
        <f>SUMIFS(INDEX(元データ!$E$2:$H$20000,0,MATCH($C$2,元データ!$E$1:$H$1,0)),元データ!$A$2:$A$20000,$A6,元データ!$D$2:$D$20000,$B6,元データ!$B$2:$B$20000,$C$3,元データ!$C$2:$C$20000,G$5)</f>
        <v>133</v>
      </c>
      <c r="H6" s="16">
        <f>SUMIFS(INDEX(元データ!$E$2:$H$20000,0,MATCH($C$2,元データ!$E$1:$H$1,0)),元データ!$A$2:$A$20000,$A6,元データ!$D$2:$D$20000,$B6,元データ!$B$2:$B$20000,$C$3,元データ!$C$2:$C$20000,H$5)</f>
        <v>105</v>
      </c>
      <c r="I6" s="16">
        <f>SUMIFS(INDEX(元データ!$E$2:$H$20000,0,MATCH($C$2,元データ!$E$1:$H$1,0)),元データ!$A$2:$A$20000,$A6,元データ!$D$2:$D$20000,$B6,元データ!$B$2:$B$20000,$C$3,元データ!$C$2:$C$20000,I$5)</f>
        <v>128</v>
      </c>
      <c r="J6" s="16">
        <f>SUMIFS(INDEX(元データ!$E$2:$H$20000,0,MATCH($C$2,元データ!$E$1:$H$1,0)),元データ!$A$2:$A$20000,$A6,元データ!$D$2:$D$20000,$B6,元データ!$B$2:$B$20000,$C$3,元データ!$C$2:$C$20000,J$5)</f>
        <v>150</v>
      </c>
      <c r="K6" s="16">
        <f>SUMIFS(INDEX(元データ!$E$2:$H$20000,0,MATCH($C$2,元データ!$E$1:$H$1,0)),元データ!$A$2:$A$20000,$A6,元データ!$D$2:$D$20000,$B6,元データ!$B$2:$B$20000,$C$3,元データ!$C$2:$C$20000,K$5)</f>
        <v>139</v>
      </c>
      <c r="L6" s="16">
        <f>SUMIFS(INDEX(元データ!$E$2:$H$20000,0,MATCH($C$2,元データ!$E$1:$H$1,0)),元データ!$A$2:$A$20000,$A6,元データ!$D$2:$D$20000,$B6,元データ!$B$2:$B$20000,$C$3,元データ!$C$2:$C$20000,L$5)</f>
        <v>143</v>
      </c>
      <c r="M6" s="16">
        <f>SUMIFS(INDEX(元データ!$E$2:$H$20000,0,MATCH($C$2,元データ!$E$1:$H$1,0)),元データ!$A$2:$A$20000,$A6,元データ!$D$2:$D$20000,$B6,元データ!$B$2:$B$20000,$C$3,元データ!$C$2:$C$20000,M$5)</f>
        <v>52</v>
      </c>
      <c r="N6" s="16">
        <f>SUMIFS(INDEX(元データ!$E$2:$H$20000,0,MATCH($C$2,元データ!$E$1:$H$1,0)),元データ!$A$2:$A$20000,$A6,元データ!$D$2:$D$20000,$B6,元データ!$B$2:$B$20000,$C$3,元データ!$C$2:$C$20000,N$5)</f>
        <v>208</v>
      </c>
      <c r="O6" s="17">
        <f t="shared" ref="O6:O37" si="0">SUM(C6:N6)</f>
        <v>1889</v>
      </c>
      <c r="P6" s="17">
        <f>SUMIFS(INDEX(元データ!$E$2:$H$20000,0,MATCH($C$2,元データ!$E$1:$H$1,0)),元データ!$A$2:$A$20000,$A6,元データ!$D$2:$D$20000,$B6,元データ!$B$2:$B$20000,$D$3)</f>
        <v>0</v>
      </c>
      <c r="Q6" s="25" t="str">
        <f t="shared" ref="Q6:Q37" si="1">IFERROR(O6/P6,"")</f>
        <v/>
      </c>
    </row>
    <row r="7" spans="1:17" x14ac:dyDescent="0.45">
      <c r="A7" s="14"/>
      <c r="B7" s="15" t="s">
        <v>32</v>
      </c>
      <c r="C7" s="16">
        <f>SUMIFS(INDEX(元データ!$E$2:$H$20000,0,MATCH($C$2,元データ!$E$1:$H$1,0)),元データ!$A$2:$A$20000,$A6,元データ!$D$2:$D$20000,$B7,元データ!$B$2:$B$20000,$C$3,元データ!$C$2:$C$20000,C$5)</f>
        <v>23</v>
      </c>
      <c r="D7" s="16">
        <f>SUMIFS(INDEX(元データ!$E$2:$H$20000,0,MATCH($C$2,元データ!$E$1:$H$1,0)),元データ!$A$2:$A$20000,$A6,元データ!$D$2:$D$20000,$B7,元データ!$B$2:$B$20000,$C$3,元データ!$C$2:$C$20000,D$5)</f>
        <v>15</v>
      </c>
      <c r="E7" s="16">
        <f>SUMIFS(INDEX(元データ!$E$2:$H$20000,0,MATCH($C$2,元データ!$E$1:$H$1,0)),元データ!$A$2:$A$20000,$A6,元データ!$D$2:$D$20000,$B7,元データ!$B$2:$B$20000,$C$3,元データ!$C$2:$C$20000,E$5)</f>
        <v>19</v>
      </c>
      <c r="F7" s="16">
        <f>SUMIFS(INDEX(元データ!$E$2:$H$20000,0,MATCH($C$2,元データ!$E$1:$H$1,0)),元データ!$A$2:$A$20000,$A6,元データ!$D$2:$D$20000,$B7,元データ!$B$2:$B$20000,$C$3,元データ!$C$2:$C$20000,F$5)</f>
        <v>7</v>
      </c>
      <c r="G7" s="16">
        <f>SUMIFS(INDEX(元データ!$E$2:$H$20000,0,MATCH($C$2,元データ!$E$1:$H$1,0)),元データ!$A$2:$A$20000,$A6,元データ!$D$2:$D$20000,$B7,元データ!$B$2:$B$20000,$C$3,元データ!$C$2:$C$20000,G$5)</f>
        <v>9</v>
      </c>
      <c r="H7" s="16">
        <f>SUMIFS(INDEX(元データ!$E$2:$H$20000,0,MATCH($C$2,元データ!$E$1:$H$1,0)),元データ!$A$2:$A$20000,$A6,元データ!$D$2:$D$20000,$B7,元データ!$B$2:$B$20000,$C$3,元データ!$C$2:$C$20000,H$5)</f>
        <v>12</v>
      </c>
      <c r="I7" s="16">
        <f>SUMIFS(INDEX(元データ!$E$2:$H$20000,0,MATCH($C$2,元データ!$E$1:$H$1,0)),元データ!$A$2:$A$20000,$A6,元データ!$D$2:$D$20000,$B7,元データ!$B$2:$B$20000,$C$3,元データ!$C$2:$C$20000,I$5)</f>
        <v>15</v>
      </c>
      <c r="J7" s="16">
        <f>SUMIFS(INDEX(元データ!$E$2:$H$20000,0,MATCH($C$2,元データ!$E$1:$H$1,0)),元データ!$A$2:$A$20000,$A6,元データ!$D$2:$D$20000,$B7,元データ!$B$2:$B$20000,$C$3,元データ!$C$2:$C$20000,J$5)</f>
        <v>22</v>
      </c>
      <c r="K7" s="16">
        <f>SUMIFS(INDEX(元データ!$E$2:$H$20000,0,MATCH($C$2,元データ!$E$1:$H$1,0)),元データ!$A$2:$A$20000,$A6,元データ!$D$2:$D$20000,$B7,元データ!$B$2:$B$20000,$C$3,元データ!$C$2:$C$20000,K$5)</f>
        <v>14</v>
      </c>
      <c r="L7" s="16">
        <f>SUMIFS(INDEX(元データ!$E$2:$H$20000,0,MATCH($C$2,元データ!$E$1:$H$1,0)),元データ!$A$2:$A$20000,$A6,元データ!$D$2:$D$20000,$B7,元データ!$B$2:$B$20000,$C$3,元データ!$C$2:$C$20000,L$5)</f>
        <v>11</v>
      </c>
      <c r="M7" s="16">
        <f>SUMIFS(INDEX(元データ!$E$2:$H$20000,0,MATCH($C$2,元データ!$E$1:$H$1,0)),元データ!$A$2:$A$20000,$A6,元データ!$D$2:$D$20000,$B7,元データ!$B$2:$B$20000,$C$3,元データ!$C$2:$C$20000,M$5)</f>
        <v>13</v>
      </c>
      <c r="N7" s="16">
        <f>SUMIFS(INDEX(元データ!$E$2:$H$20000,0,MATCH($C$2,元データ!$E$1:$H$1,0)),元データ!$A$2:$A$20000,$A6,元データ!$D$2:$D$20000,$B7,元データ!$B$2:$B$20000,$C$3,元データ!$C$2:$C$20000,N$5)</f>
        <v>8</v>
      </c>
      <c r="O7" s="17">
        <f t="shared" si="0"/>
        <v>168</v>
      </c>
      <c r="P7" s="17">
        <f>SUMIFS(INDEX(元データ!$E$2:$H$20000,0,MATCH($C$2,元データ!$E$1:$H$1,0)),元データ!$A$2:$A$20000,$A6,元データ!$D$2:$D$20000,$B7,元データ!$B$2:$B$20000,$D$3)</f>
        <v>0</v>
      </c>
      <c r="Q7" s="25" t="str">
        <f t="shared" si="1"/>
        <v/>
      </c>
    </row>
    <row r="8" spans="1:17" x14ac:dyDescent="0.45">
      <c r="A8" s="14" t="str">
        <f>店舗マスタ!A3</f>
        <v>三 島 店</v>
      </c>
      <c r="B8" s="15" t="s">
        <v>31</v>
      </c>
      <c r="C8" s="16">
        <f>SUMIFS(INDEX(元データ!$E$2:$H$20000,0,MATCH($C$2,元データ!$E$1:$H$1,0)),元データ!$A$2:$A$20000,$A8,元データ!$D$2:$D$20000,$B8,元データ!$B$2:$B$20000,$C$3,元データ!$C$2:$C$20000,C$5)</f>
        <v>31</v>
      </c>
      <c r="D8" s="16">
        <f>SUMIFS(INDEX(元データ!$E$2:$H$20000,0,MATCH($C$2,元データ!$E$1:$H$1,0)),元データ!$A$2:$A$20000,$A8,元データ!$D$2:$D$20000,$B8,元データ!$B$2:$B$20000,$C$3,元データ!$C$2:$C$20000,D$5)</f>
        <v>92</v>
      </c>
      <c r="E8" s="16">
        <f>SUMIFS(INDEX(元データ!$E$2:$H$20000,0,MATCH($C$2,元データ!$E$1:$H$1,0)),元データ!$A$2:$A$20000,$A8,元データ!$D$2:$D$20000,$B8,元データ!$B$2:$B$20000,$C$3,元データ!$C$2:$C$20000,E$5)</f>
        <v>174</v>
      </c>
      <c r="F8" s="16">
        <f>SUMIFS(INDEX(元データ!$E$2:$H$20000,0,MATCH($C$2,元データ!$E$1:$H$1,0)),元データ!$A$2:$A$20000,$A8,元データ!$D$2:$D$20000,$B8,元データ!$B$2:$B$20000,$C$3,元データ!$C$2:$C$20000,F$5)</f>
        <v>297</v>
      </c>
      <c r="G8" s="16">
        <f>SUMIFS(INDEX(元データ!$E$2:$H$20000,0,MATCH($C$2,元データ!$E$1:$H$1,0)),元データ!$A$2:$A$20000,$A8,元データ!$D$2:$D$20000,$B8,元データ!$B$2:$B$20000,$C$3,元データ!$C$2:$C$20000,G$5)</f>
        <v>99</v>
      </c>
      <c r="H8" s="16">
        <f>SUMIFS(INDEX(元データ!$E$2:$H$20000,0,MATCH($C$2,元データ!$E$1:$H$1,0)),元データ!$A$2:$A$20000,$A8,元データ!$D$2:$D$20000,$B8,元データ!$B$2:$B$20000,$C$3,元データ!$C$2:$C$20000,H$5)</f>
        <v>95</v>
      </c>
      <c r="I8" s="16">
        <f>SUMIFS(INDEX(元データ!$E$2:$H$20000,0,MATCH($C$2,元データ!$E$1:$H$1,0)),元データ!$A$2:$A$20000,$A8,元データ!$D$2:$D$20000,$B8,元データ!$B$2:$B$20000,$C$3,元データ!$C$2:$C$20000,I$5)</f>
        <v>112</v>
      </c>
      <c r="J8" s="16">
        <f>SUMIFS(INDEX(元データ!$E$2:$H$20000,0,MATCH($C$2,元データ!$E$1:$H$1,0)),元データ!$A$2:$A$20000,$A8,元データ!$D$2:$D$20000,$B8,元データ!$B$2:$B$20000,$C$3,元データ!$C$2:$C$20000,J$5)</f>
        <v>160</v>
      </c>
      <c r="K8" s="16">
        <f>SUMIFS(INDEX(元データ!$E$2:$H$20000,0,MATCH($C$2,元データ!$E$1:$H$1,0)),元データ!$A$2:$A$20000,$A8,元データ!$D$2:$D$20000,$B8,元データ!$B$2:$B$20000,$C$3,元データ!$C$2:$C$20000,K$5)</f>
        <v>73</v>
      </c>
      <c r="L8" s="16">
        <f>SUMIFS(INDEX(元データ!$E$2:$H$20000,0,MATCH($C$2,元データ!$E$1:$H$1,0)),元データ!$A$2:$A$20000,$A8,元データ!$D$2:$D$20000,$B8,元データ!$B$2:$B$20000,$C$3,元データ!$C$2:$C$20000,L$5)</f>
        <v>114</v>
      </c>
      <c r="M8" s="16">
        <f>SUMIFS(INDEX(元データ!$E$2:$H$20000,0,MATCH($C$2,元データ!$E$1:$H$1,0)),元データ!$A$2:$A$20000,$A8,元データ!$D$2:$D$20000,$B8,元データ!$B$2:$B$20000,$C$3,元データ!$C$2:$C$20000,M$5)</f>
        <v>38</v>
      </c>
      <c r="N8" s="16">
        <f>SUMIFS(INDEX(元データ!$E$2:$H$20000,0,MATCH($C$2,元データ!$E$1:$H$1,0)),元データ!$A$2:$A$20000,$A8,元データ!$D$2:$D$20000,$B8,元データ!$B$2:$B$20000,$C$3,元データ!$C$2:$C$20000,N$5)</f>
        <v>229</v>
      </c>
      <c r="O8" s="17">
        <f t="shared" si="0"/>
        <v>1514</v>
      </c>
      <c r="P8" s="17">
        <f>SUMIFS(INDEX(元データ!$E$2:$H$20000,0,MATCH($C$2,元データ!$E$1:$H$1,0)),元データ!$A$2:$A$20000,$A8,元データ!$D$2:$D$20000,$B8,元データ!$B$2:$B$20000,$D$3)</f>
        <v>0</v>
      </c>
      <c r="Q8" s="25" t="str">
        <f t="shared" si="1"/>
        <v/>
      </c>
    </row>
    <row r="9" spans="1:17" x14ac:dyDescent="0.45">
      <c r="A9" s="14"/>
      <c r="B9" s="15" t="s">
        <v>32</v>
      </c>
      <c r="C9" s="16">
        <f>SUMIFS(INDEX(元データ!$E$2:$H$20000,0,MATCH($C$2,元データ!$E$1:$H$1,0)),元データ!$A$2:$A$20000,$A8,元データ!$D$2:$D$20000,$B9,元データ!$B$2:$B$20000,$C$3,元データ!$C$2:$C$20000,C$5)</f>
        <v>11</v>
      </c>
      <c r="D9" s="16">
        <f>SUMIFS(INDEX(元データ!$E$2:$H$20000,0,MATCH($C$2,元データ!$E$1:$H$1,0)),元データ!$A$2:$A$20000,$A8,元データ!$D$2:$D$20000,$B9,元データ!$B$2:$B$20000,$C$3,元データ!$C$2:$C$20000,D$5)</f>
        <v>7</v>
      </c>
      <c r="E9" s="16">
        <f>SUMIFS(INDEX(元データ!$E$2:$H$20000,0,MATCH($C$2,元データ!$E$1:$H$1,0)),元データ!$A$2:$A$20000,$A8,元データ!$D$2:$D$20000,$B9,元データ!$B$2:$B$20000,$C$3,元データ!$C$2:$C$20000,E$5)</f>
        <v>13</v>
      </c>
      <c r="F9" s="16">
        <f>SUMIFS(INDEX(元データ!$E$2:$H$20000,0,MATCH($C$2,元データ!$E$1:$H$1,0)),元データ!$A$2:$A$20000,$A8,元データ!$D$2:$D$20000,$B9,元データ!$B$2:$B$20000,$C$3,元データ!$C$2:$C$20000,F$5)</f>
        <v>5</v>
      </c>
      <c r="G9" s="16">
        <f>SUMIFS(INDEX(元データ!$E$2:$H$20000,0,MATCH($C$2,元データ!$E$1:$H$1,0)),元データ!$A$2:$A$20000,$A8,元データ!$D$2:$D$20000,$B9,元データ!$B$2:$B$20000,$C$3,元データ!$C$2:$C$20000,G$5)</f>
        <v>4</v>
      </c>
      <c r="H9" s="16">
        <f>SUMIFS(INDEX(元データ!$E$2:$H$20000,0,MATCH($C$2,元データ!$E$1:$H$1,0)),元データ!$A$2:$A$20000,$A8,元データ!$D$2:$D$20000,$B9,元データ!$B$2:$B$20000,$C$3,元データ!$C$2:$C$20000,H$5)</f>
        <v>8</v>
      </c>
      <c r="I9" s="16">
        <f>SUMIFS(INDEX(元データ!$E$2:$H$20000,0,MATCH($C$2,元データ!$E$1:$H$1,0)),元データ!$A$2:$A$20000,$A8,元データ!$D$2:$D$20000,$B9,元データ!$B$2:$B$20000,$C$3,元データ!$C$2:$C$20000,I$5)</f>
        <v>17</v>
      </c>
      <c r="J9" s="16">
        <f>SUMIFS(INDEX(元データ!$E$2:$H$20000,0,MATCH($C$2,元データ!$E$1:$H$1,0)),元データ!$A$2:$A$20000,$A8,元データ!$D$2:$D$20000,$B9,元データ!$B$2:$B$20000,$C$3,元データ!$C$2:$C$20000,J$5)</f>
        <v>13</v>
      </c>
      <c r="K9" s="16">
        <f>SUMIFS(INDEX(元データ!$E$2:$H$20000,0,MATCH($C$2,元データ!$E$1:$H$1,0)),元データ!$A$2:$A$20000,$A8,元データ!$D$2:$D$20000,$B9,元データ!$B$2:$B$20000,$C$3,元データ!$C$2:$C$20000,K$5)</f>
        <v>23</v>
      </c>
      <c r="L9" s="16">
        <f>SUMIFS(INDEX(元データ!$E$2:$H$20000,0,MATCH($C$2,元データ!$E$1:$H$1,0)),元データ!$A$2:$A$20000,$A8,元データ!$D$2:$D$20000,$B9,元データ!$B$2:$B$20000,$C$3,元データ!$C$2:$C$20000,L$5)</f>
        <v>8</v>
      </c>
      <c r="M9" s="16">
        <f>SUMIFS(INDEX(元データ!$E$2:$H$20000,0,MATCH($C$2,元データ!$E$1:$H$1,0)),元データ!$A$2:$A$20000,$A8,元データ!$D$2:$D$20000,$B9,元データ!$B$2:$B$20000,$C$3,元データ!$C$2:$C$20000,M$5)</f>
        <v>14</v>
      </c>
      <c r="N9" s="16">
        <f>SUMIFS(INDEX(元データ!$E$2:$H$20000,0,MATCH($C$2,元データ!$E$1:$H$1,0)),元データ!$A$2:$A$20000,$A8,元データ!$D$2:$D$20000,$B9,元データ!$B$2:$B$20000,$C$3,元データ!$C$2:$C$20000,N$5)</f>
        <v>8</v>
      </c>
      <c r="O9" s="17">
        <f t="shared" si="0"/>
        <v>131</v>
      </c>
      <c r="P9" s="17">
        <f>SUMIFS(INDEX(元データ!$E$2:$H$20000,0,MATCH($C$2,元データ!$E$1:$H$1,0)),元データ!$A$2:$A$20000,$A8,元データ!$D$2:$D$20000,$B9,元データ!$B$2:$B$20000,$D$3)</f>
        <v>0</v>
      </c>
      <c r="Q9" s="25" t="str">
        <f t="shared" si="1"/>
        <v/>
      </c>
    </row>
    <row r="10" spans="1:17" x14ac:dyDescent="0.45">
      <c r="A10" s="14" t="str">
        <f>店舗マスタ!A4</f>
        <v>ｱｰｹｰﾄﾞ店</v>
      </c>
      <c r="B10" s="15" t="s">
        <v>31</v>
      </c>
      <c r="C10" s="16">
        <f>SUMIFS(INDEX(元データ!$E$2:$H$20000,0,MATCH($C$2,元データ!$E$1:$H$1,0)),元データ!$A$2:$A$20000,$A10,元データ!$D$2:$D$20000,$B10,元データ!$B$2:$B$20000,$C$3,元データ!$C$2:$C$20000,C$5)</f>
        <v>21</v>
      </c>
      <c r="D10" s="16">
        <f>SUMIFS(INDEX(元データ!$E$2:$H$20000,0,MATCH($C$2,元データ!$E$1:$H$1,0)),元データ!$A$2:$A$20000,$A10,元データ!$D$2:$D$20000,$B10,元データ!$B$2:$B$20000,$C$3,元データ!$C$2:$C$20000,D$5)</f>
        <v>92</v>
      </c>
      <c r="E10" s="16">
        <f>SUMIFS(INDEX(元データ!$E$2:$H$20000,0,MATCH($C$2,元データ!$E$1:$H$1,0)),元データ!$A$2:$A$20000,$A10,元データ!$D$2:$D$20000,$B10,元データ!$B$2:$B$20000,$C$3,元データ!$C$2:$C$20000,E$5)</f>
        <v>93</v>
      </c>
      <c r="F10" s="16">
        <f>SUMIFS(INDEX(元データ!$E$2:$H$20000,0,MATCH($C$2,元データ!$E$1:$H$1,0)),元データ!$A$2:$A$20000,$A10,元データ!$D$2:$D$20000,$B10,元データ!$B$2:$B$20000,$C$3,元データ!$C$2:$C$20000,F$5)</f>
        <v>191</v>
      </c>
      <c r="G10" s="16">
        <f>SUMIFS(INDEX(元データ!$E$2:$H$20000,0,MATCH($C$2,元データ!$E$1:$H$1,0)),元データ!$A$2:$A$20000,$A10,元データ!$D$2:$D$20000,$B10,元データ!$B$2:$B$20000,$C$3,元データ!$C$2:$C$20000,G$5)</f>
        <v>46</v>
      </c>
      <c r="H10" s="16">
        <f>SUMIFS(INDEX(元データ!$E$2:$H$20000,0,MATCH($C$2,元データ!$E$1:$H$1,0)),元データ!$A$2:$A$20000,$A10,元データ!$D$2:$D$20000,$B10,元データ!$B$2:$B$20000,$C$3,元データ!$C$2:$C$20000,H$5)</f>
        <v>56</v>
      </c>
      <c r="I10" s="16">
        <f>SUMIFS(INDEX(元データ!$E$2:$H$20000,0,MATCH($C$2,元データ!$E$1:$H$1,0)),元データ!$A$2:$A$20000,$A10,元データ!$D$2:$D$20000,$B10,元データ!$B$2:$B$20000,$C$3,元データ!$C$2:$C$20000,I$5)</f>
        <v>52</v>
      </c>
      <c r="J10" s="16">
        <f>SUMIFS(INDEX(元データ!$E$2:$H$20000,0,MATCH($C$2,元データ!$E$1:$H$1,0)),元データ!$A$2:$A$20000,$A10,元データ!$D$2:$D$20000,$B10,元データ!$B$2:$B$20000,$C$3,元データ!$C$2:$C$20000,J$5)</f>
        <v>45</v>
      </c>
      <c r="K10" s="16">
        <f>SUMIFS(INDEX(元データ!$E$2:$H$20000,0,MATCH($C$2,元データ!$E$1:$H$1,0)),元データ!$A$2:$A$20000,$A10,元データ!$D$2:$D$20000,$B10,元データ!$B$2:$B$20000,$C$3,元データ!$C$2:$C$20000,K$5)</f>
        <v>22</v>
      </c>
      <c r="L10" s="16">
        <f>SUMIFS(INDEX(元データ!$E$2:$H$20000,0,MATCH($C$2,元データ!$E$1:$H$1,0)),元データ!$A$2:$A$20000,$A10,元データ!$D$2:$D$20000,$B10,元データ!$B$2:$B$20000,$C$3,元データ!$C$2:$C$20000,L$5)</f>
        <v>57</v>
      </c>
      <c r="M10" s="16">
        <f>SUMIFS(INDEX(元データ!$E$2:$H$20000,0,MATCH($C$2,元データ!$E$1:$H$1,0)),元データ!$A$2:$A$20000,$A10,元データ!$D$2:$D$20000,$B10,元データ!$B$2:$B$20000,$C$3,元データ!$C$2:$C$20000,M$5)</f>
        <v>19</v>
      </c>
      <c r="N10" s="16">
        <f>SUMIFS(INDEX(元データ!$E$2:$H$20000,0,MATCH($C$2,元データ!$E$1:$H$1,0)),元データ!$A$2:$A$20000,$A10,元データ!$D$2:$D$20000,$B10,元データ!$B$2:$B$20000,$C$3,元データ!$C$2:$C$20000,N$5)</f>
        <v>0</v>
      </c>
      <c r="O10" s="17">
        <f t="shared" si="0"/>
        <v>694</v>
      </c>
      <c r="P10" s="17">
        <f>SUMIFS(INDEX(元データ!$E$2:$H$20000,0,MATCH($C$2,元データ!$E$1:$H$1,0)),元データ!$A$2:$A$20000,$A10,元データ!$D$2:$D$20000,$B10,元データ!$B$2:$B$20000,$D$3)</f>
        <v>0</v>
      </c>
      <c r="Q10" s="25" t="str">
        <f t="shared" si="1"/>
        <v/>
      </c>
    </row>
    <row r="11" spans="1:17" x14ac:dyDescent="0.45">
      <c r="A11" s="14"/>
      <c r="B11" s="15" t="s">
        <v>32</v>
      </c>
      <c r="C11" s="16">
        <f>SUMIFS(INDEX(元データ!$E$2:$H$20000,0,MATCH($C$2,元データ!$E$1:$H$1,0)),元データ!$A$2:$A$20000,$A10,元データ!$D$2:$D$20000,$B11,元データ!$B$2:$B$20000,$C$3,元データ!$C$2:$C$20000,C$5)</f>
        <v>5</v>
      </c>
      <c r="D11" s="16">
        <f>SUMIFS(INDEX(元データ!$E$2:$H$20000,0,MATCH($C$2,元データ!$E$1:$H$1,0)),元データ!$A$2:$A$20000,$A10,元データ!$D$2:$D$20000,$B11,元データ!$B$2:$B$20000,$C$3,元データ!$C$2:$C$20000,D$5)</f>
        <v>5</v>
      </c>
      <c r="E11" s="16">
        <f>SUMIFS(INDEX(元データ!$E$2:$H$20000,0,MATCH($C$2,元データ!$E$1:$H$1,0)),元データ!$A$2:$A$20000,$A10,元データ!$D$2:$D$20000,$B11,元データ!$B$2:$B$20000,$C$3,元データ!$C$2:$C$20000,E$5)</f>
        <v>8</v>
      </c>
      <c r="F11" s="16">
        <f>SUMIFS(INDEX(元データ!$E$2:$H$20000,0,MATCH($C$2,元データ!$E$1:$H$1,0)),元データ!$A$2:$A$20000,$A10,元データ!$D$2:$D$20000,$B11,元データ!$B$2:$B$20000,$C$3,元データ!$C$2:$C$20000,F$5)</f>
        <v>6</v>
      </c>
      <c r="G11" s="16">
        <f>SUMIFS(INDEX(元データ!$E$2:$H$20000,0,MATCH($C$2,元データ!$E$1:$H$1,0)),元データ!$A$2:$A$20000,$A10,元データ!$D$2:$D$20000,$B11,元データ!$B$2:$B$20000,$C$3,元データ!$C$2:$C$20000,G$5)</f>
        <v>3</v>
      </c>
      <c r="H11" s="16">
        <f>SUMIFS(INDEX(元データ!$E$2:$H$20000,0,MATCH($C$2,元データ!$E$1:$H$1,0)),元データ!$A$2:$A$20000,$A10,元データ!$D$2:$D$20000,$B11,元データ!$B$2:$B$20000,$C$3,元データ!$C$2:$C$20000,H$5)</f>
        <v>2</v>
      </c>
      <c r="I11" s="16">
        <f>SUMIFS(INDEX(元データ!$E$2:$H$20000,0,MATCH($C$2,元データ!$E$1:$H$1,0)),元データ!$A$2:$A$20000,$A10,元データ!$D$2:$D$20000,$B11,元データ!$B$2:$B$20000,$C$3,元データ!$C$2:$C$20000,I$5)</f>
        <v>3</v>
      </c>
      <c r="J11" s="16">
        <f>SUMIFS(INDEX(元データ!$E$2:$H$20000,0,MATCH($C$2,元データ!$E$1:$H$1,0)),元データ!$A$2:$A$20000,$A10,元データ!$D$2:$D$20000,$B11,元データ!$B$2:$B$20000,$C$3,元データ!$C$2:$C$20000,J$5)</f>
        <v>2</v>
      </c>
      <c r="K11" s="16">
        <f>SUMIFS(INDEX(元データ!$E$2:$H$20000,0,MATCH($C$2,元データ!$E$1:$H$1,0)),元データ!$A$2:$A$20000,$A10,元データ!$D$2:$D$20000,$B11,元データ!$B$2:$B$20000,$C$3,元データ!$C$2:$C$20000,K$5)</f>
        <v>6</v>
      </c>
      <c r="L11" s="16">
        <f>SUMIFS(INDEX(元データ!$E$2:$H$20000,0,MATCH($C$2,元データ!$E$1:$H$1,0)),元データ!$A$2:$A$20000,$A10,元データ!$D$2:$D$20000,$B11,元データ!$B$2:$B$20000,$C$3,元データ!$C$2:$C$20000,L$5)</f>
        <v>6</v>
      </c>
      <c r="M11" s="16">
        <f>SUMIFS(INDEX(元データ!$E$2:$H$20000,0,MATCH($C$2,元データ!$E$1:$H$1,0)),元データ!$A$2:$A$20000,$A10,元データ!$D$2:$D$20000,$B11,元データ!$B$2:$B$20000,$C$3,元データ!$C$2:$C$20000,M$5)</f>
        <v>8</v>
      </c>
      <c r="N11" s="16">
        <f>SUMIFS(INDEX(元データ!$E$2:$H$20000,0,MATCH($C$2,元データ!$E$1:$H$1,0)),元データ!$A$2:$A$20000,$A10,元データ!$D$2:$D$20000,$B11,元データ!$B$2:$B$20000,$C$3,元データ!$C$2:$C$20000,N$5)</f>
        <v>0</v>
      </c>
      <c r="O11" s="17">
        <f t="shared" si="0"/>
        <v>54</v>
      </c>
      <c r="P11" s="17">
        <f>SUMIFS(INDEX(元データ!$E$2:$H$20000,0,MATCH($C$2,元データ!$E$1:$H$1,0)),元データ!$A$2:$A$20000,$A10,元データ!$D$2:$D$20000,$B11,元データ!$B$2:$B$20000,$D$3)</f>
        <v>0</v>
      </c>
      <c r="Q11" s="25" t="str">
        <f t="shared" si="1"/>
        <v/>
      </c>
    </row>
    <row r="12" spans="1:17" x14ac:dyDescent="0.45">
      <c r="A12" s="14" t="str">
        <f>店舗マスタ!A5</f>
        <v>東田中店</v>
      </c>
      <c r="B12" s="15" t="s">
        <v>31</v>
      </c>
      <c r="C12" s="16">
        <f>SUMIFS(INDEX(元データ!$E$2:$H$20000,0,MATCH($C$2,元データ!$E$1:$H$1,0)),元データ!$A$2:$A$20000,$A12,元データ!$D$2:$D$20000,$B12,元データ!$B$2:$B$20000,$C$3,元データ!$C$2:$C$20000,C$5)</f>
        <v>48</v>
      </c>
      <c r="D12" s="16">
        <f>SUMIFS(INDEX(元データ!$E$2:$H$20000,0,MATCH($C$2,元データ!$E$1:$H$1,0)),元データ!$A$2:$A$20000,$A12,元データ!$D$2:$D$20000,$B12,元データ!$B$2:$B$20000,$C$3,元データ!$C$2:$C$20000,D$5)</f>
        <v>150</v>
      </c>
      <c r="E12" s="16">
        <f>SUMIFS(INDEX(元データ!$E$2:$H$20000,0,MATCH($C$2,元データ!$E$1:$H$1,0)),元データ!$A$2:$A$20000,$A12,元データ!$D$2:$D$20000,$B12,元データ!$B$2:$B$20000,$C$3,元データ!$C$2:$C$20000,E$5)</f>
        <v>154</v>
      </c>
      <c r="F12" s="16">
        <f>SUMIFS(INDEX(元データ!$E$2:$H$20000,0,MATCH($C$2,元データ!$E$1:$H$1,0)),元データ!$A$2:$A$20000,$A12,元データ!$D$2:$D$20000,$B12,元データ!$B$2:$B$20000,$C$3,元データ!$C$2:$C$20000,F$5)</f>
        <v>170</v>
      </c>
      <c r="G12" s="16">
        <f>SUMIFS(INDEX(元データ!$E$2:$H$20000,0,MATCH($C$2,元データ!$E$1:$H$1,0)),元データ!$A$2:$A$20000,$A12,元データ!$D$2:$D$20000,$B12,元データ!$B$2:$B$20000,$C$3,元データ!$C$2:$C$20000,G$5)</f>
        <v>92</v>
      </c>
      <c r="H12" s="16">
        <f>SUMIFS(INDEX(元データ!$E$2:$H$20000,0,MATCH($C$2,元データ!$E$1:$H$1,0)),元データ!$A$2:$A$20000,$A12,元データ!$D$2:$D$20000,$B12,元データ!$B$2:$B$20000,$C$3,元データ!$C$2:$C$20000,H$5)</f>
        <v>129</v>
      </c>
      <c r="I12" s="16">
        <f>SUMIFS(INDEX(元データ!$E$2:$H$20000,0,MATCH($C$2,元データ!$E$1:$H$1,0)),元データ!$A$2:$A$20000,$A12,元データ!$D$2:$D$20000,$B12,元データ!$B$2:$B$20000,$C$3,元データ!$C$2:$C$20000,I$5)</f>
        <v>82</v>
      </c>
      <c r="J12" s="16">
        <f>SUMIFS(INDEX(元データ!$E$2:$H$20000,0,MATCH($C$2,元データ!$E$1:$H$1,0)),元データ!$A$2:$A$20000,$A12,元データ!$D$2:$D$20000,$B12,元データ!$B$2:$B$20000,$C$3,元データ!$C$2:$C$20000,J$5)</f>
        <v>99</v>
      </c>
      <c r="K12" s="16">
        <f>SUMIFS(INDEX(元データ!$E$2:$H$20000,0,MATCH($C$2,元データ!$E$1:$H$1,0)),元データ!$A$2:$A$20000,$A12,元データ!$D$2:$D$20000,$B12,元データ!$B$2:$B$20000,$C$3,元データ!$C$2:$C$20000,K$5)</f>
        <v>73</v>
      </c>
      <c r="L12" s="16">
        <f>SUMIFS(INDEX(元データ!$E$2:$H$20000,0,MATCH($C$2,元データ!$E$1:$H$1,0)),元データ!$A$2:$A$20000,$A12,元データ!$D$2:$D$20000,$B12,元データ!$B$2:$B$20000,$C$3,元データ!$C$2:$C$20000,L$5)</f>
        <v>81</v>
      </c>
      <c r="M12" s="16">
        <f>SUMIFS(INDEX(元データ!$E$2:$H$20000,0,MATCH($C$2,元データ!$E$1:$H$1,0)),元データ!$A$2:$A$20000,$A12,元データ!$D$2:$D$20000,$B12,元データ!$B$2:$B$20000,$C$3,元データ!$C$2:$C$20000,M$5)</f>
        <v>56</v>
      </c>
      <c r="N12" s="16">
        <f>SUMIFS(INDEX(元データ!$E$2:$H$20000,0,MATCH($C$2,元データ!$E$1:$H$1,0)),元データ!$A$2:$A$20000,$A12,元データ!$D$2:$D$20000,$B12,元データ!$B$2:$B$20000,$C$3,元データ!$C$2:$C$20000,N$5)</f>
        <v>165</v>
      </c>
      <c r="O12" s="17">
        <f t="shared" si="0"/>
        <v>1299</v>
      </c>
      <c r="P12" s="17">
        <f>SUMIFS(INDEX(元データ!$E$2:$H$20000,0,MATCH($C$2,元データ!$E$1:$H$1,0)),元データ!$A$2:$A$20000,$A12,元データ!$D$2:$D$20000,$B12,元データ!$B$2:$B$20000,$D$3)</f>
        <v>0</v>
      </c>
      <c r="Q12" s="25" t="str">
        <f t="shared" si="1"/>
        <v/>
      </c>
    </row>
    <row r="13" spans="1:17" x14ac:dyDescent="0.45">
      <c r="A13" s="14"/>
      <c r="B13" s="15" t="s">
        <v>32</v>
      </c>
      <c r="C13" s="16">
        <f>SUMIFS(INDEX(元データ!$E$2:$H$20000,0,MATCH($C$2,元データ!$E$1:$H$1,0)),元データ!$A$2:$A$20000,$A12,元データ!$D$2:$D$20000,$B13,元データ!$B$2:$B$20000,$C$3,元データ!$C$2:$C$20000,C$5)</f>
        <v>5</v>
      </c>
      <c r="D13" s="16">
        <f>SUMIFS(INDEX(元データ!$E$2:$H$20000,0,MATCH($C$2,元データ!$E$1:$H$1,0)),元データ!$A$2:$A$20000,$A12,元データ!$D$2:$D$20000,$B13,元データ!$B$2:$B$20000,$C$3,元データ!$C$2:$C$20000,D$5)</f>
        <v>12</v>
      </c>
      <c r="E13" s="16">
        <f>SUMIFS(INDEX(元データ!$E$2:$H$20000,0,MATCH($C$2,元データ!$E$1:$H$1,0)),元データ!$A$2:$A$20000,$A12,元データ!$D$2:$D$20000,$B13,元データ!$B$2:$B$20000,$C$3,元データ!$C$2:$C$20000,E$5)</f>
        <v>11</v>
      </c>
      <c r="F13" s="16">
        <f>SUMIFS(INDEX(元データ!$E$2:$H$20000,0,MATCH($C$2,元データ!$E$1:$H$1,0)),元データ!$A$2:$A$20000,$A12,元データ!$D$2:$D$20000,$B13,元データ!$B$2:$B$20000,$C$3,元データ!$C$2:$C$20000,F$5)</f>
        <v>7</v>
      </c>
      <c r="G13" s="16">
        <f>SUMIFS(INDEX(元データ!$E$2:$H$20000,0,MATCH($C$2,元データ!$E$1:$H$1,0)),元データ!$A$2:$A$20000,$A12,元データ!$D$2:$D$20000,$B13,元データ!$B$2:$B$20000,$C$3,元データ!$C$2:$C$20000,G$5)</f>
        <v>1</v>
      </c>
      <c r="H13" s="16">
        <f>SUMIFS(INDEX(元データ!$E$2:$H$20000,0,MATCH($C$2,元データ!$E$1:$H$1,0)),元データ!$A$2:$A$20000,$A12,元データ!$D$2:$D$20000,$B13,元データ!$B$2:$B$20000,$C$3,元データ!$C$2:$C$20000,H$5)</f>
        <v>11</v>
      </c>
      <c r="I13" s="16">
        <f>SUMIFS(INDEX(元データ!$E$2:$H$20000,0,MATCH($C$2,元データ!$E$1:$H$1,0)),元データ!$A$2:$A$20000,$A12,元データ!$D$2:$D$20000,$B13,元データ!$B$2:$B$20000,$C$3,元データ!$C$2:$C$20000,I$5)</f>
        <v>6</v>
      </c>
      <c r="J13" s="16">
        <f>SUMIFS(INDEX(元データ!$E$2:$H$20000,0,MATCH($C$2,元データ!$E$1:$H$1,0)),元データ!$A$2:$A$20000,$A12,元データ!$D$2:$D$20000,$B13,元データ!$B$2:$B$20000,$C$3,元データ!$C$2:$C$20000,J$5)</f>
        <v>11</v>
      </c>
      <c r="K13" s="16">
        <f>SUMIFS(INDEX(元データ!$E$2:$H$20000,0,MATCH($C$2,元データ!$E$1:$H$1,0)),元データ!$A$2:$A$20000,$A12,元データ!$D$2:$D$20000,$B13,元データ!$B$2:$B$20000,$C$3,元データ!$C$2:$C$20000,K$5)</f>
        <v>11</v>
      </c>
      <c r="L13" s="16">
        <f>SUMIFS(INDEX(元データ!$E$2:$H$20000,0,MATCH($C$2,元データ!$E$1:$H$1,0)),元データ!$A$2:$A$20000,$A12,元データ!$D$2:$D$20000,$B13,元データ!$B$2:$B$20000,$C$3,元データ!$C$2:$C$20000,L$5)</f>
        <v>10</v>
      </c>
      <c r="M13" s="16">
        <f>SUMIFS(INDEX(元データ!$E$2:$H$20000,0,MATCH($C$2,元データ!$E$1:$H$1,0)),元データ!$A$2:$A$20000,$A12,元データ!$D$2:$D$20000,$B13,元データ!$B$2:$B$20000,$C$3,元データ!$C$2:$C$20000,M$5)</f>
        <v>7</v>
      </c>
      <c r="N13" s="16">
        <f>SUMIFS(INDEX(元データ!$E$2:$H$20000,0,MATCH($C$2,元データ!$E$1:$H$1,0)),元データ!$A$2:$A$20000,$A12,元データ!$D$2:$D$20000,$B13,元データ!$B$2:$B$20000,$C$3,元データ!$C$2:$C$20000,N$5)</f>
        <v>5</v>
      </c>
      <c r="O13" s="17">
        <f t="shared" si="0"/>
        <v>97</v>
      </c>
      <c r="P13" s="17">
        <f>SUMIFS(INDEX(元データ!$E$2:$H$20000,0,MATCH($C$2,元データ!$E$1:$H$1,0)),元データ!$A$2:$A$20000,$A12,元データ!$D$2:$D$20000,$B13,元データ!$B$2:$B$20000,$D$3)</f>
        <v>0</v>
      </c>
      <c r="Q13" s="25" t="str">
        <f t="shared" si="1"/>
        <v/>
      </c>
    </row>
    <row r="14" spans="1:17" x14ac:dyDescent="0.45">
      <c r="A14" s="14" t="str">
        <f>店舗マスタ!A6</f>
        <v>桜堤店</v>
      </c>
      <c r="B14" s="15" t="s">
        <v>31</v>
      </c>
      <c r="C14" s="16">
        <f>SUMIFS(INDEX(元データ!$E$2:$H$20000,0,MATCH($C$2,元データ!$E$1:$H$1,0)),元データ!$A$2:$A$20000,$A14,元データ!$D$2:$D$20000,$B14,元データ!$B$2:$B$20000,$C$3,元データ!$C$2:$C$20000,C$5)</f>
        <v>25</v>
      </c>
      <c r="D14" s="16">
        <f>SUMIFS(INDEX(元データ!$E$2:$H$20000,0,MATCH($C$2,元データ!$E$1:$H$1,0)),元データ!$A$2:$A$20000,$A14,元データ!$D$2:$D$20000,$B14,元データ!$B$2:$B$20000,$C$3,元データ!$C$2:$C$20000,D$5)</f>
        <v>134</v>
      </c>
      <c r="E14" s="16">
        <f>SUMIFS(INDEX(元データ!$E$2:$H$20000,0,MATCH($C$2,元データ!$E$1:$H$1,0)),元データ!$A$2:$A$20000,$A14,元データ!$D$2:$D$20000,$B14,元データ!$B$2:$B$20000,$C$3,元データ!$C$2:$C$20000,E$5)</f>
        <v>127</v>
      </c>
      <c r="F14" s="16">
        <f>SUMIFS(INDEX(元データ!$E$2:$H$20000,0,MATCH($C$2,元データ!$E$1:$H$1,0)),元データ!$A$2:$A$20000,$A14,元データ!$D$2:$D$20000,$B14,元データ!$B$2:$B$20000,$C$3,元データ!$C$2:$C$20000,F$5)</f>
        <v>210</v>
      </c>
      <c r="G14" s="16">
        <f>SUMIFS(INDEX(元データ!$E$2:$H$20000,0,MATCH($C$2,元データ!$E$1:$H$1,0)),元データ!$A$2:$A$20000,$A14,元データ!$D$2:$D$20000,$B14,元データ!$B$2:$B$20000,$C$3,元データ!$C$2:$C$20000,G$5)</f>
        <v>84</v>
      </c>
      <c r="H14" s="16">
        <f>SUMIFS(INDEX(元データ!$E$2:$H$20000,0,MATCH($C$2,元データ!$E$1:$H$1,0)),元データ!$A$2:$A$20000,$A14,元データ!$D$2:$D$20000,$B14,元データ!$B$2:$B$20000,$C$3,元データ!$C$2:$C$20000,H$5)</f>
        <v>95</v>
      </c>
      <c r="I14" s="16">
        <f>SUMIFS(INDEX(元データ!$E$2:$H$20000,0,MATCH($C$2,元データ!$E$1:$H$1,0)),元データ!$A$2:$A$20000,$A14,元データ!$D$2:$D$20000,$B14,元データ!$B$2:$B$20000,$C$3,元データ!$C$2:$C$20000,I$5)</f>
        <v>102</v>
      </c>
      <c r="J14" s="16">
        <f>SUMIFS(INDEX(元データ!$E$2:$H$20000,0,MATCH($C$2,元データ!$E$1:$H$1,0)),元データ!$A$2:$A$20000,$A14,元データ!$D$2:$D$20000,$B14,元データ!$B$2:$B$20000,$C$3,元データ!$C$2:$C$20000,J$5)</f>
        <v>86</v>
      </c>
      <c r="K14" s="16">
        <f>SUMIFS(INDEX(元データ!$E$2:$H$20000,0,MATCH($C$2,元データ!$E$1:$H$1,0)),元データ!$A$2:$A$20000,$A14,元データ!$D$2:$D$20000,$B14,元データ!$B$2:$B$20000,$C$3,元データ!$C$2:$C$20000,K$5)</f>
        <v>83</v>
      </c>
      <c r="L14" s="16">
        <f>SUMIFS(INDEX(元データ!$E$2:$H$20000,0,MATCH($C$2,元データ!$E$1:$H$1,0)),元データ!$A$2:$A$20000,$A14,元データ!$D$2:$D$20000,$B14,元データ!$B$2:$B$20000,$C$3,元データ!$C$2:$C$20000,L$5)</f>
        <v>132</v>
      </c>
      <c r="M14" s="16">
        <f>SUMIFS(INDEX(元データ!$E$2:$H$20000,0,MATCH($C$2,元データ!$E$1:$H$1,0)),元データ!$A$2:$A$20000,$A14,元データ!$D$2:$D$20000,$B14,元データ!$B$2:$B$20000,$C$3,元データ!$C$2:$C$20000,M$5)</f>
        <v>45</v>
      </c>
      <c r="N14" s="16">
        <f>SUMIFS(INDEX(元データ!$E$2:$H$20000,0,MATCH($C$2,元データ!$E$1:$H$1,0)),元データ!$A$2:$A$20000,$A14,元データ!$D$2:$D$20000,$B14,元データ!$B$2:$B$20000,$C$3,元データ!$C$2:$C$20000,N$5)</f>
        <v>176</v>
      </c>
      <c r="O14" s="17">
        <f t="shared" si="0"/>
        <v>1299</v>
      </c>
      <c r="P14" s="17">
        <f>SUMIFS(INDEX(元データ!$E$2:$H$20000,0,MATCH($C$2,元データ!$E$1:$H$1,0)),元データ!$A$2:$A$20000,$A14,元データ!$D$2:$D$20000,$B14,元データ!$B$2:$B$20000,$D$3)</f>
        <v>0</v>
      </c>
      <c r="Q14" s="25" t="str">
        <f t="shared" si="1"/>
        <v/>
      </c>
    </row>
    <row r="15" spans="1:17" x14ac:dyDescent="0.45">
      <c r="A15" s="14"/>
      <c r="B15" s="15" t="s">
        <v>32</v>
      </c>
      <c r="C15" s="16">
        <f>SUMIFS(INDEX(元データ!$E$2:$H$20000,0,MATCH($C$2,元データ!$E$1:$H$1,0)),元データ!$A$2:$A$20000,$A14,元データ!$D$2:$D$20000,$B15,元データ!$B$2:$B$20000,$C$3,元データ!$C$2:$C$20000,C$5)</f>
        <v>11</v>
      </c>
      <c r="D15" s="16">
        <f>SUMIFS(INDEX(元データ!$E$2:$H$20000,0,MATCH($C$2,元データ!$E$1:$H$1,0)),元データ!$A$2:$A$20000,$A14,元データ!$D$2:$D$20000,$B15,元データ!$B$2:$B$20000,$C$3,元データ!$C$2:$C$20000,D$5)</f>
        <v>11</v>
      </c>
      <c r="E15" s="16">
        <f>SUMIFS(INDEX(元データ!$E$2:$H$20000,0,MATCH($C$2,元データ!$E$1:$H$1,0)),元データ!$A$2:$A$20000,$A14,元データ!$D$2:$D$20000,$B15,元データ!$B$2:$B$20000,$C$3,元データ!$C$2:$C$20000,E$5)</f>
        <v>14</v>
      </c>
      <c r="F15" s="16">
        <f>SUMIFS(INDEX(元データ!$E$2:$H$20000,0,MATCH($C$2,元データ!$E$1:$H$1,0)),元データ!$A$2:$A$20000,$A14,元データ!$D$2:$D$20000,$B15,元データ!$B$2:$B$20000,$C$3,元データ!$C$2:$C$20000,F$5)</f>
        <v>4</v>
      </c>
      <c r="G15" s="16">
        <f>SUMIFS(INDEX(元データ!$E$2:$H$20000,0,MATCH($C$2,元データ!$E$1:$H$1,0)),元データ!$A$2:$A$20000,$A14,元データ!$D$2:$D$20000,$B15,元データ!$B$2:$B$20000,$C$3,元データ!$C$2:$C$20000,G$5)</f>
        <v>4</v>
      </c>
      <c r="H15" s="16">
        <f>SUMIFS(INDEX(元データ!$E$2:$H$20000,0,MATCH($C$2,元データ!$E$1:$H$1,0)),元データ!$A$2:$A$20000,$A14,元データ!$D$2:$D$20000,$B15,元データ!$B$2:$B$20000,$C$3,元データ!$C$2:$C$20000,H$5)</f>
        <v>8</v>
      </c>
      <c r="I15" s="16">
        <f>SUMIFS(INDEX(元データ!$E$2:$H$20000,0,MATCH($C$2,元データ!$E$1:$H$1,0)),元データ!$A$2:$A$20000,$A14,元データ!$D$2:$D$20000,$B15,元データ!$B$2:$B$20000,$C$3,元データ!$C$2:$C$20000,I$5)</f>
        <v>5</v>
      </c>
      <c r="J15" s="16">
        <f>SUMIFS(INDEX(元データ!$E$2:$H$20000,0,MATCH($C$2,元データ!$E$1:$H$1,0)),元データ!$A$2:$A$20000,$A14,元データ!$D$2:$D$20000,$B15,元データ!$B$2:$B$20000,$C$3,元データ!$C$2:$C$20000,J$5)</f>
        <v>11</v>
      </c>
      <c r="K15" s="16">
        <f>SUMIFS(INDEX(元データ!$E$2:$H$20000,0,MATCH($C$2,元データ!$E$1:$H$1,0)),元データ!$A$2:$A$20000,$A14,元データ!$D$2:$D$20000,$B15,元データ!$B$2:$B$20000,$C$3,元データ!$C$2:$C$20000,K$5)</f>
        <v>11</v>
      </c>
      <c r="L15" s="16">
        <f>SUMIFS(INDEX(元データ!$E$2:$H$20000,0,MATCH($C$2,元データ!$E$1:$H$1,0)),元データ!$A$2:$A$20000,$A14,元データ!$D$2:$D$20000,$B15,元データ!$B$2:$B$20000,$C$3,元データ!$C$2:$C$20000,L$5)</f>
        <v>12</v>
      </c>
      <c r="M15" s="16">
        <f>SUMIFS(INDEX(元データ!$E$2:$H$20000,0,MATCH($C$2,元データ!$E$1:$H$1,0)),元データ!$A$2:$A$20000,$A14,元データ!$D$2:$D$20000,$B15,元データ!$B$2:$B$20000,$C$3,元データ!$C$2:$C$20000,M$5)</f>
        <v>5</v>
      </c>
      <c r="N15" s="16">
        <f>SUMIFS(INDEX(元データ!$E$2:$H$20000,0,MATCH($C$2,元データ!$E$1:$H$1,0)),元データ!$A$2:$A$20000,$A14,元データ!$D$2:$D$20000,$B15,元データ!$B$2:$B$20000,$C$3,元データ!$C$2:$C$20000,N$5)</f>
        <v>5</v>
      </c>
      <c r="O15" s="17">
        <f t="shared" si="0"/>
        <v>101</v>
      </c>
      <c r="P15" s="17">
        <f>SUMIFS(INDEX(元データ!$E$2:$H$20000,0,MATCH($C$2,元データ!$E$1:$H$1,0)),元データ!$A$2:$A$20000,$A14,元データ!$D$2:$D$20000,$B15,元データ!$B$2:$B$20000,$D$3)</f>
        <v>0</v>
      </c>
      <c r="Q15" s="25" t="str">
        <f t="shared" si="1"/>
        <v/>
      </c>
    </row>
    <row r="16" spans="1:17" x14ac:dyDescent="0.45">
      <c r="A16" s="14" t="str">
        <f>店舗マスタ!A7</f>
        <v>香貫店</v>
      </c>
      <c r="B16" s="15" t="s">
        <v>31</v>
      </c>
      <c r="C16" s="16">
        <f>SUMIFS(INDEX(元データ!$E$2:$H$20000,0,MATCH($C$2,元データ!$E$1:$H$1,0)),元データ!$A$2:$A$20000,$A16,元データ!$D$2:$D$20000,$B16,元データ!$B$2:$B$20000,$C$3,元データ!$C$2:$C$20000,C$5)</f>
        <v>34</v>
      </c>
      <c r="D16" s="16">
        <f>SUMIFS(INDEX(元データ!$E$2:$H$20000,0,MATCH($C$2,元データ!$E$1:$H$1,0)),元データ!$A$2:$A$20000,$A16,元データ!$D$2:$D$20000,$B16,元データ!$B$2:$B$20000,$C$3,元データ!$C$2:$C$20000,D$5)</f>
        <v>180</v>
      </c>
      <c r="E16" s="16">
        <f>SUMIFS(INDEX(元データ!$E$2:$H$20000,0,MATCH($C$2,元データ!$E$1:$H$1,0)),元データ!$A$2:$A$20000,$A16,元データ!$D$2:$D$20000,$B16,元データ!$B$2:$B$20000,$C$3,元データ!$C$2:$C$20000,E$5)</f>
        <v>169</v>
      </c>
      <c r="F16" s="16">
        <f>SUMIFS(INDEX(元データ!$E$2:$H$20000,0,MATCH($C$2,元データ!$E$1:$H$1,0)),元データ!$A$2:$A$20000,$A16,元データ!$D$2:$D$20000,$B16,元データ!$B$2:$B$20000,$C$3,元データ!$C$2:$C$20000,F$5)</f>
        <v>236</v>
      </c>
      <c r="G16" s="16">
        <f>SUMIFS(INDEX(元データ!$E$2:$H$20000,0,MATCH($C$2,元データ!$E$1:$H$1,0)),元データ!$A$2:$A$20000,$A16,元データ!$D$2:$D$20000,$B16,元データ!$B$2:$B$20000,$C$3,元データ!$C$2:$C$20000,G$5)</f>
        <v>113</v>
      </c>
      <c r="H16" s="16">
        <f>SUMIFS(INDEX(元データ!$E$2:$H$20000,0,MATCH($C$2,元データ!$E$1:$H$1,0)),元データ!$A$2:$A$20000,$A16,元データ!$D$2:$D$20000,$B16,元データ!$B$2:$B$20000,$C$3,元データ!$C$2:$C$20000,H$5)</f>
        <v>101</v>
      </c>
      <c r="I16" s="16">
        <f>SUMIFS(INDEX(元データ!$E$2:$H$20000,0,MATCH($C$2,元データ!$E$1:$H$1,0)),元データ!$A$2:$A$20000,$A16,元データ!$D$2:$D$20000,$B16,元データ!$B$2:$B$20000,$C$3,元データ!$C$2:$C$20000,I$5)</f>
        <v>67</v>
      </c>
      <c r="J16" s="16">
        <f>SUMIFS(INDEX(元データ!$E$2:$H$20000,0,MATCH($C$2,元データ!$E$1:$H$1,0)),元データ!$A$2:$A$20000,$A16,元データ!$D$2:$D$20000,$B16,元データ!$B$2:$B$20000,$C$3,元データ!$C$2:$C$20000,J$5)</f>
        <v>70</v>
      </c>
      <c r="K16" s="16">
        <f>SUMIFS(INDEX(元データ!$E$2:$H$20000,0,MATCH($C$2,元データ!$E$1:$H$1,0)),元データ!$A$2:$A$20000,$A16,元データ!$D$2:$D$20000,$B16,元データ!$B$2:$B$20000,$C$3,元データ!$C$2:$C$20000,K$5)</f>
        <v>98</v>
      </c>
      <c r="L16" s="16">
        <f>SUMIFS(INDEX(元データ!$E$2:$H$20000,0,MATCH($C$2,元データ!$E$1:$H$1,0)),元データ!$A$2:$A$20000,$A16,元データ!$D$2:$D$20000,$B16,元データ!$B$2:$B$20000,$C$3,元データ!$C$2:$C$20000,L$5)</f>
        <v>115</v>
      </c>
      <c r="M16" s="16">
        <f>SUMIFS(INDEX(元データ!$E$2:$H$20000,0,MATCH($C$2,元データ!$E$1:$H$1,0)),元データ!$A$2:$A$20000,$A16,元データ!$D$2:$D$20000,$B16,元データ!$B$2:$B$20000,$C$3,元データ!$C$2:$C$20000,M$5)</f>
        <v>46</v>
      </c>
      <c r="N16" s="16">
        <f>SUMIFS(INDEX(元データ!$E$2:$H$20000,0,MATCH($C$2,元データ!$E$1:$H$1,0)),元データ!$A$2:$A$20000,$A16,元データ!$D$2:$D$20000,$B16,元データ!$B$2:$B$20000,$C$3,元データ!$C$2:$C$20000,N$5)</f>
        <v>240</v>
      </c>
      <c r="O16" s="17">
        <f t="shared" si="0"/>
        <v>1469</v>
      </c>
      <c r="P16" s="17">
        <f>SUMIFS(INDEX(元データ!$E$2:$H$20000,0,MATCH($C$2,元データ!$E$1:$H$1,0)),元データ!$A$2:$A$20000,$A16,元データ!$D$2:$D$20000,$B16,元データ!$B$2:$B$20000,$D$3)</f>
        <v>0</v>
      </c>
      <c r="Q16" s="25" t="str">
        <f t="shared" si="1"/>
        <v/>
      </c>
    </row>
    <row r="17" spans="1:17" x14ac:dyDescent="0.45">
      <c r="A17" s="14"/>
      <c r="B17" s="15" t="s">
        <v>32</v>
      </c>
      <c r="C17" s="16">
        <f>SUMIFS(INDEX(元データ!$E$2:$H$20000,0,MATCH($C$2,元データ!$E$1:$H$1,0)),元データ!$A$2:$A$20000,$A16,元データ!$D$2:$D$20000,$B17,元データ!$B$2:$B$20000,$C$3,元データ!$C$2:$C$20000,C$5)</f>
        <v>14</v>
      </c>
      <c r="D17" s="16">
        <f>SUMIFS(INDEX(元データ!$E$2:$H$20000,0,MATCH($C$2,元データ!$E$1:$H$1,0)),元データ!$A$2:$A$20000,$A16,元データ!$D$2:$D$20000,$B17,元データ!$B$2:$B$20000,$C$3,元データ!$C$2:$C$20000,D$5)</f>
        <v>13</v>
      </c>
      <c r="E17" s="16">
        <f>SUMIFS(INDEX(元データ!$E$2:$H$20000,0,MATCH($C$2,元データ!$E$1:$H$1,0)),元データ!$A$2:$A$20000,$A16,元データ!$D$2:$D$20000,$B17,元データ!$B$2:$B$20000,$C$3,元データ!$C$2:$C$20000,E$5)</f>
        <v>13</v>
      </c>
      <c r="F17" s="16">
        <f>SUMIFS(INDEX(元データ!$E$2:$H$20000,0,MATCH($C$2,元データ!$E$1:$H$1,0)),元データ!$A$2:$A$20000,$A16,元データ!$D$2:$D$20000,$B17,元データ!$B$2:$B$20000,$C$3,元データ!$C$2:$C$20000,F$5)</f>
        <v>6</v>
      </c>
      <c r="G17" s="16">
        <f>SUMIFS(INDEX(元データ!$E$2:$H$20000,0,MATCH($C$2,元データ!$E$1:$H$1,0)),元データ!$A$2:$A$20000,$A16,元データ!$D$2:$D$20000,$B17,元データ!$B$2:$B$20000,$C$3,元データ!$C$2:$C$20000,G$5)</f>
        <v>8</v>
      </c>
      <c r="H17" s="16">
        <f>SUMIFS(INDEX(元データ!$E$2:$H$20000,0,MATCH($C$2,元データ!$E$1:$H$1,0)),元データ!$A$2:$A$20000,$A16,元データ!$D$2:$D$20000,$B17,元データ!$B$2:$B$20000,$C$3,元データ!$C$2:$C$20000,H$5)</f>
        <v>7</v>
      </c>
      <c r="I17" s="16">
        <f>SUMIFS(INDEX(元データ!$E$2:$H$20000,0,MATCH($C$2,元データ!$E$1:$H$1,0)),元データ!$A$2:$A$20000,$A16,元データ!$D$2:$D$20000,$B17,元データ!$B$2:$B$20000,$C$3,元データ!$C$2:$C$20000,I$5)</f>
        <v>10</v>
      </c>
      <c r="J17" s="16">
        <f>SUMIFS(INDEX(元データ!$E$2:$H$20000,0,MATCH($C$2,元データ!$E$1:$H$1,0)),元データ!$A$2:$A$20000,$A16,元データ!$D$2:$D$20000,$B17,元データ!$B$2:$B$20000,$C$3,元データ!$C$2:$C$20000,J$5)</f>
        <v>17</v>
      </c>
      <c r="K17" s="16">
        <f>SUMIFS(INDEX(元データ!$E$2:$H$20000,0,MATCH($C$2,元データ!$E$1:$H$1,0)),元データ!$A$2:$A$20000,$A16,元データ!$D$2:$D$20000,$B17,元データ!$B$2:$B$20000,$C$3,元データ!$C$2:$C$20000,K$5)</f>
        <v>13</v>
      </c>
      <c r="L17" s="16">
        <f>SUMIFS(INDEX(元データ!$E$2:$H$20000,0,MATCH($C$2,元データ!$E$1:$H$1,0)),元データ!$A$2:$A$20000,$A16,元データ!$D$2:$D$20000,$B17,元データ!$B$2:$B$20000,$C$3,元データ!$C$2:$C$20000,L$5)</f>
        <v>11</v>
      </c>
      <c r="M17" s="16">
        <f>SUMIFS(INDEX(元データ!$E$2:$H$20000,0,MATCH($C$2,元データ!$E$1:$H$1,0)),元データ!$A$2:$A$20000,$A16,元データ!$D$2:$D$20000,$B17,元データ!$B$2:$B$20000,$C$3,元データ!$C$2:$C$20000,M$5)</f>
        <v>7</v>
      </c>
      <c r="N17" s="16">
        <f>SUMIFS(INDEX(元データ!$E$2:$H$20000,0,MATCH($C$2,元データ!$E$1:$H$1,0)),元データ!$A$2:$A$20000,$A16,元データ!$D$2:$D$20000,$B17,元データ!$B$2:$B$20000,$C$3,元データ!$C$2:$C$20000,N$5)</f>
        <v>8</v>
      </c>
      <c r="O17" s="17">
        <f t="shared" si="0"/>
        <v>127</v>
      </c>
      <c r="P17" s="17">
        <f>SUMIFS(INDEX(元データ!$E$2:$H$20000,0,MATCH($C$2,元データ!$E$1:$H$1,0)),元データ!$A$2:$A$20000,$A16,元データ!$D$2:$D$20000,$B17,元データ!$B$2:$B$20000,$D$3)</f>
        <v>0</v>
      </c>
      <c r="Q17" s="25" t="str">
        <f t="shared" si="1"/>
        <v/>
      </c>
    </row>
    <row r="18" spans="1:17" x14ac:dyDescent="0.45">
      <c r="A18" s="14" t="str">
        <f>店舗マスタ!A8</f>
        <v>学園通り店</v>
      </c>
      <c r="B18" s="15" t="s">
        <v>31</v>
      </c>
      <c r="C18" s="16">
        <f>SUMIFS(INDEX(元データ!$E$2:$H$20000,0,MATCH($C$2,元データ!$E$1:$H$1,0)),元データ!$A$2:$A$20000,$A18,元データ!$D$2:$D$20000,$B18,元データ!$B$2:$B$20000,$C$3,元データ!$C$2:$C$20000,C$5)</f>
        <v>34</v>
      </c>
      <c r="D18" s="16">
        <f>SUMIFS(INDEX(元データ!$E$2:$H$20000,0,MATCH($C$2,元データ!$E$1:$H$1,0)),元データ!$A$2:$A$20000,$A18,元データ!$D$2:$D$20000,$B18,元データ!$B$2:$B$20000,$C$3,元データ!$C$2:$C$20000,D$5)</f>
        <v>150</v>
      </c>
      <c r="E18" s="16">
        <f>SUMIFS(INDEX(元データ!$E$2:$H$20000,0,MATCH($C$2,元データ!$E$1:$H$1,0)),元データ!$A$2:$A$20000,$A18,元データ!$D$2:$D$20000,$B18,元データ!$B$2:$B$20000,$C$3,元データ!$C$2:$C$20000,E$5)</f>
        <v>161</v>
      </c>
      <c r="F18" s="16">
        <f>SUMIFS(INDEX(元データ!$E$2:$H$20000,0,MATCH($C$2,元データ!$E$1:$H$1,0)),元データ!$A$2:$A$20000,$A18,元データ!$D$2:$D$20000,$B18,元データ!$B$2:$B$20000,$C$3,元データ!$C$2:$C$20000,F$5)</f>
        <v>257</v>
      </c>
      <c r="G18" s="16">
        <f>SUMIFS(INDEX(元データ!$E$2:$H$20000,0,MATCH($C$2,元データ!$E$1:$H$1,0)),元データ!$A$2:$A$20000,$A18,元データ!$D$2:$D$20000,$B18,元データ!$B$2:$B$20000,$C$3,元データ!$C$2:$C$20000,G$5)</f>
        <v>80</v>
      </c>
      <c r="H18" s="16">
        <f>SUMIFS(INDEX(元データ!$E$2:$H$20000,0,MATCH($C$2,元データ!$E$1:$H$1,0)),元データ!$A$2:$A$20000,$A18,元データ!$D$2:$D$20000,$B18,元データ!$B$2:$B$20000,$C$3,元データ!$C$2:$C$20000,H$5)</f>
        <v>85</v>
      </c>
      <c r="I18" s="16">
        <f>SUMIFS(INDEX(元データ!$E$2:$H$20000,0,MATCH($C$2,元データ!$E$1:$H$1,0)),元データ!$A$2:$A$20000,$A18,元データ!$D$2:$D$20000,$B18,元データ!$B$2:$B$20000,$C$3,元データ!$C$2:$C$20000,I$5)</f>
        <v>109</v>
      </c>
      <c r="J18" s="16">
        <f>SUMIFS(INDEX(元データ!$E$2:$H$20000,0,MATCH($C$2,元データ!$E$1:$H$1,0)),元データ!$A$2:$A$20000,$A18,元データ!$D$2:$D$20000,$B18,元データ!$B$2:$B$20000,$C$3,元データ!$C$2:$C$20000,J$5)</f>
        <v>117</v>
      </c>
      <c r="K18" s="16">
        <f>SUMIFS(INDEX(元データ!$E$2:$H$20000,0,MATCH($C$2,元データ!$E$1:$H$1,0)),元データ!$A$2:$A$20000,$A18,元データ!$D$2:$D$20000,$B18,元データ!$B$2:$B$20000,$C$3,元データ!$C$2:$C$20000,K$5)</f>
        <v>93</v>
      </c>
      <c r="L18" s="16">
        <f>SUMIFS(INDEX(元データ!$E$2:$H$20000,0,MATCH($C$2,元データ!$E$1:$H$1,0)),元データ!$A$2:$A$20000,$A18,元データ!$D$2:$D$20000,$B18,元データ!$B$2:$B$20000,$C$3,元データ!$C$2:$C$20000,L$5)</f>
        <v>116</v>
      </c>
      <c r="M18" s="16">
        <f>SUMIFS(INDEX(元データ!$E$2:$H$20000,0,MATCH($C$2,元データ!$E$1:$H$1,0)),元データ!$A$2:$A$20000,$A18,元データ!$D$2:$D$20000,$B18,元データ!$B$2:$B$20000,$C$3,元データ!$C$2:$C$20000,M$5)</f>
        <v>48</v>
      </c>
      <c r="N18" s="16">
        <f>SUMIFS(INDEX(元データ!$E$2:$H$20000,0,MATCH($C$2,元データ!$E$1:$H$1,0)),元データ!$A$2:$A$20000,$A18,元データ!$D$2:$D$20000,$B18,元データ!$B$2:$B$20000,$C$3,元データ!$C$2:$C$20000,N$5)</f>
        <v>287</v>
      </c>
      <c r="O18" s="17">
        <f t="shared" si="0"/>
        <v>1537</v>
      </c>
      <c r="P18" s="17">
        <f>SUMIFS(INDEX(元データ!$E$2:$H$20000,0,MATCH($C$2,元データ!$E$1:$H$1,0)),元データ!$A$2:$A$20000,$A18,元データ!$D$2:$D$20000,$B18,元データ!$B$2:$B$20000,$D$3)</f>
        <v>0</v>
      </c>
      <c r="Q18" s="25" t="str">
        <f t="shared" si="1"/>
        <v/>
      </c>
    </row>
    <row r="19" spans="1:17" x14ac:dyDescent="0.45">
      <c r="A19" s="14"/>
      <c r="B19" s="15" t="s">
        <v>32</v>
      </c>
      <c r="C19" s="16">
        <f>SUMIFS(INDEX(元データ!$E$2:$H$20000,0,MATCH($C$2,元データ!$E$1:$H$1,0)),元データ!$A$2:$A$20000,$A18,元データ!$D$2:$D$20000,$B19,元データ!$B$2:$B$20000,$C$3,元データ!$C$2:$C$20000,C$5)</f>
        <v>20</v>
      </c>
      <c r="D19" s="16">
        <f>SUMIFS(INDEX(元データ!$E$2:$H$20000,0,MATCH($C$2,元データ!$E$1:$H$1,0)),元データ!$A$2:$A$20000,$A18,元データ!$D$2:$D$20000,$B19,元データ!$B$2:$B$20000,$C$3,元データ!$C$2:$C$20000,D$5)</f>
        <v>13</v>
      </c>
      <c r="E19" s="16">
        <f>SUMIFS(INDEX(元データ!$E$2:$H$20000,0,MATCH($C$2,元データ!$E$1:$H$1,0)),元データ!$A$2:$A$20000,$A18,元データ!$D$2:$D$20000,$B19,元データ!$B$2:$B$20000,$C$3,元データ!$C$2:$C$20000,E$5)</f>
        <v>12</v>
      </c>
      <c r="F19" s="16">
        <f>SUMIFS(INDEX(元データ!$E$2:$H$20000,0,MATCH($C$2,元データ!$E$1:$H$1,0)),元データ!$A$2:$A$20000,$A18,元データ!$D$2:$D$20000,$B19,元データ!$B$2:$B$20000,$C$3,元データ!$C$2:$C$20000,F$5)</f>
        <v>5</v>
      </c>
      <c r="G19" s="16">
        <f>SUMIFS(INDEX(元データ!$E$2:$H$20000,0,MATCH($C$2,元データ!$E$1:$H$1,0)),元データ!$A$2:$A$20000,$A18,元データ!$D$2:$D$20000,$B19,元データ!$B$2:$B$20000,$C$3,元データ!$C$2:$C$20000,G$5)</f>
        <v>7</v>
      </c>
      <c r="H19" s="16">
        <f>SUMIFS(INDEX(元データ!$E$2:$H$20000,0,MATCH($C$2,元データ!$E$1:$H$1,0)),元データ!$A$2:$A$20000,$A18,元データ!$D$2:$D$20000,$B19,元データ!$B$2:$B$20000,$C$3,元データ!$C$2:$C$20000,H$5)</f>
        <v>12</v>
      </c>
      <c r="I19" s="16">
        <f>SUMIFS(INDEX(元データ!$E$2:$H$20000,0,MATCH($C$2,元データ!$E$1:$H$1,0)),元データ!$A$2:$A$20000,$A18,元データ!$D$2:$D$20000,$B19,元データ!$B$2:$B$20000,$C$3,元データ!$C$2:$C$20000,I$5)</f>
        <v>9</v>
      </c>
      <c r="J19" s="16">
        <f>SUMIFS(INDEX(元データ!$E$2:$H$20000,0,MATCH($C$2,元データ!$E$1:$H$1,0)),元データ!$A$2:$A$20000,$A18,元データ!$D$2:$D$20000,$B19,元データ!$B$2:$B$20000,$C$3,元データ!$C$2:$C$20000,J$5)</f>
        <v>13</v>
      </c>
      <c r="K19" s="16">
        <f>SUMIFS(INDEX(元データ!$E$2:$H$20000,0,MATCH($C$2,元データ!$E$1:$H$1,0)),元データ!$A$2:$A$20000,$A18,元データ!$D$2:$D$20000,$B19,元データ!$B$2:$B$20000,$C$3,元データ!$C$2:$C$20000,K$5)</f>
        <v>13</v>
      </c>
      <c r="L19" s="16">
        <f>SUMIFS(INDEX(元データ!$E$2:$H$20000,0,MATCH($C$2,元データ!$E$1:$H$1,0)),元データ!$A$2:$A$20000,$A18,元データ!$D$2:$D$20000,$B19,元データ!$B$2:$B$20000,$C$3,元データ!$C$2:$C$20000,L$5)</f>
        <v>10</v>
      </c>
      <c r="M19" s="16">
        <f>SUMIFS(INDEX(元データ!$E$2:$H$20000,0,MATCH($C$2,元データ!$E$1:$H$1,0)),元データ!$A$2:$A$20000,$A18,元データ!$D$2:$D$20000,$B19,元データ!$B$2:$B$20000,$C$3,元データ!$C$2:$C$20000,M$5)</f>
        <v>6</v>
      </c>
      <c r="N19" s="16">
        <f>SUMIFS(INDEX(元データ!$E$2:$H$20000,0,MATCH($C$2,元データ!$E$1:$H$1,0)),元データ!$A$2:$A$20000,$A18,元データ!$D$2:$D$20000,$B19,元データ!$B$2:$B$20000,$C$3,元データ!$C$2:$C$20000,N$5)</f>
        <v>10</v>
      </c>
      <c r="O19" s="17">
        <f t="shared" si="0"/>
        <v>130</v>
      </c>
      <c r="P19" s="17">
        <f>SUMIFS(INDEX(元データ!$E$2:$H$20000,0,MATCH($C$2,元データ!$E$1:$H$1,0)),元データ!$A$2:$A$20000,$A18,元データ!$D$2:$D$20000,$B19,元データ!$B$2:$B$20000,$D$3)</f>
        <v>0</v>
      </c>
      <c r="Q19" s="25" t="str">
        <f t="shared" si="1"/>
        <v/>
      </c>
    </row>
    <row r="20" spans="1:17" x14ac:dyDescent="0.45">
      <c r="A20" s="14" t="str">
        <f>店舗マスタ!A9</f>
        <v>伏見店</v>
      </c>
      <c r="B20" s="15" t="s">
        <v>31</v>
      </c>
      <c r="C20" s="16">
        <f>SUMIFS(INDEX(元データ!$E$2:$H$20000,0,MATCH($C$2,元データ!$E$1:$H$1,0)),元データ!$A$2:$A$20000,$A20,元データ!$D$2:$D$20000,$B20,元データ!$B$2:$B$20000,$C$3,元データ!$C$2:$C$20000,C$5)</f>
        <v>26</v>
      </c>
      <c r="D20" s="16">
        <f>SUMIFS(INDEX(元データ!$E$2:$H$20000,0,MATCH($C$2,元データ!$E$1:$H$1,0)),元データ!$A$2:$A$20000,$A20,元データ!$D$2:$D$20000,$B20,元データ!$B$2:$B$20000,$C$3,元データ!$C$2:$C$20000,D$5)</f>
        <v>123</v>
      </c>
      <c r="E20" s="16">
        <f>SUMIFS(INDEX(元データ!$E$2:$H$20000,0,MATCH($C$2,元データ!$E$1:$H$1,0)),元データ!$A$2:$A$20000,$A20,元データ!$D$2:$D$20000,$B20,元データ!$B$2:$B$20000,$C$3,元データ!$C$2:$C$20000,E$5)</f>
        <v>105</v>
      </c>
      <c r="F20" s="16">
        <f>SUMIFS(INDEX(元データ!$E$2:$H$20000,0,MATCH($C$2,元データ!$E$1:$H$1,0)),元データ!$A$2:$A$20000,$A20,元データ!$D$2:$D$20000,$B20,元データ!$B$2:$B$20000,$C$3,元データ!$C$2:$C$20000,F$5)</f>
        <v>146</v>
      </c>
      <c r="G20" s="16">
        <f>SUMIFS(INDEX(元データ!$E$2:$H$20000,0,MATCH($C$2,元データ!$E$1:$H$1,0)),元データ!$A$2:$A$20000,$A20,元データ!$D$2:$D$20000,$B20,元データ!$B$2:$B$20000,$C$3,元データ!$C$2:$C$20000,G$5)</f>
        <v>56</v>
      </c>
      <c r="H20" s="16">
        <f>SUMIFS(INDEX(元データ!$E$2:$H$20000,0,MATCH($C$2,元データ!$E$1:$H$1,0)),元データ!$A$2:$A$20000,$A20,元データ!$D$2:$D$20000,$B20,元データ!$B$2:$B$20000,$C$3,元データ!$C$2:$C$20000,H$5)</f>
        <v>45</v>
      </c>
      <c r="I20" s="16">
        <f>SUMIFS(INDEX(元データ!$E$2:$H$20000,0,MATCH($C$2,元データ!$E$1:$H$1,0)),元データ!$A$2:$A$20000,$A20,元データ!$D$2:$D$20000,$B20,元データ!$B$2:$B$20000,$C$3,元データ!$C$2:$C$20000,I$5)</f>
        <v>54</v>
      </c>
      <c r="J20" s="16">
        <f>SUMIFS(INDEX(元データ!$E$2:$H$20000,0,MATCH($C$2,元データ!$E$1:$H$1,0)),元データ!$A$2:$A$20000,$A20,元データ!$D$2:$D$20000,$B20,元データ!$B$2:$B$20000,$C$3,元データ!$C$2:$C$20000,J$5)</f>
        <v>41</v>
      </c>
      <c r="K20" s="16">
        <f>SUMIFS(INDEX(元データ!$E$2:$H$20000,0,MATCH($C$2,元データ!$E$1:$H$1,0)),元データ!$A$2:$A$20000,$A20,元データ!$D$2:$D$20000,$B20,元データ!$B$2:$B$20000,$C$3,元データ!$C$2:$C$20000,K$5)</f>
        <v>53</v>
      </c>
      <c r="L20" s="16">
        <f>SUMIFS(INDEX(元データ!$E$2:$H$20000,0,MATCH($C$2,元データ!$E$1:$H$1,0)),元データ!$A$2:$A$20000,$A20,元データ!$D$2:$D$20000,$B20,元データ!$B$2:$B$20000,$C$3,元データ!$C$2:$C$20000,L$5)</f>
        <v>85</v>
      </c>
      <c r="M20" s="16">
        <f>SUMIFS(INDEX(元データ!$E$2:$H$20000,0,MATCH($C$2,元データ!$E$1:$H$1,0)),元データ!$A$2:$A$20000,$A20,元データ!$D$2:$D$20000,$B20,元データ!$B$2:$B$20000,$C$3,元データ!$C$2:$C$20000,M$5)</f>
        <v>29</v>
      </c>
      <c r="N20" s="16">
        <f>SUMIFS(INDEX(元データ!$E$2:$H$20000,0,MATCH($C$2,元データ!$E$1:$H$1,0)),元データ!$A$2:$A$20000,$A20,元データ!$D$2:$D$20000,$B20,元データ!$B$2:$B$20000,$C$3,元データ!$C$2:$C$20000,N$5)</f>
        <v>0</v>
      </c>
      <c r="O20" s="17">
        <f t="shared" si="0"/>
        <v>763</v>
      </c>
      <c r="P20" s="17">
        <f>SUMIFS(INDEX(元データ!$E$2:$H$20000,0,MATCH($C$2,元データ!$E$1:$H$1,0)),元データ!$A$2:$A$20000,$A20,元データ!$D$2:$D$20000,$B20,元データ!$B$2:$B$20000,$D$3)</f>
        <v>0</v>
      </c>
      <c r="Q20" s="25" t="str">
        <f t="shared" si="1"/>
        <v/>
      </c>
    </row>
    <row r="21" spans="1:17" x14ac:dyDescent="0.45">
      <c r="A21" s="14"/>
      <c r="B21" s="15" t="s">
        <v>32</v>
      </c>
      <c r="C21" s="16">
        <f>SUMIFS(INDEX(元データ!$E$2:$H$20000,0,MATCH($C$2,元データ!$E$1:$H$1,0)),元データ!$A$2:$A$20000,$A20,元データ!$D$2:$D$20000,$B21,元データ!$B$2:$B$20000,$C$3,元データ!$C$2:$C$20000,C$5)</f>
        <v>10</v>
      </c>
      <c r="D21" s="16">
        <f>SUMIFS(INDEX(元データ!$E$2:$H$20000,0,MATCH($C$2,元データ!$E$1:$H$1,0)),元データ!$A$2:$A$20000,$A20,元データ!$D$2:$D$20000,$B21,元データ!$B$2:$B$20000,$C$3,元データ!$C$2:$C$20000,D$5)</f>
        <v>8</v>
      </c>
      <c r="E21" s="16">
        <f>SUMIFS(INDEX(元データ!$E$2:$H$20000,0,MATCH($C$2,元データ!$E$1:$H$1,0)),元データ!$A$2:$A$20000,$A20,元データ!$D$2:$D$20000,$B21,元データ!$B$2:$B$20000,$C$3,元データ!$C$2:$C$20000,E$5)</f>
        <v>6</v>
      </c>
      <c r="F21" s="16">
        <f>SUMIFS(INDEX(元データ!$E$2:$H$20000,0,MATCH($C$2,元データ!$E$1:$H$1,0)),元データ!$A$2:$A$20000,$A20,元データ!$D$2:$D$20000,$B21,元データ!$B$2:$B$20000,$C$3,元データ!$C$2:$C$20000,F$5)</f>
        <v>5</v>
      </c>
      <c r="G21" s="16">
        <f>SUMIFS(INDEX(元データ!$E$2:$H$20000,0,MATCH($C$2,元データ!$E$1:$H$1,0)),元データ!$A$2:$A$20000,$A20,元データ!$D$2:$D$20000,$B21,元データ!$B$2:$B$20000,$C$3,元データ!$C$2:$C$20000,G$5)</f>
        <v>8</v>
      </c>
      <c r="H21" s="16">
        <f>SUMIFS(INDEX(元データ!$E$2:$H$20000,0,MATCH($C$2,元データ!$E$1:$H$1,0)),元データ!$A$2:$A$20000,$A20,元データ!$D$2:$D$20000,$B21,元データ!$B$2:$B$20000,$C$3,元データ!$C$2:$C$20000,H$5)</f>
        <v>5</v>
      </c>
      <c r="I21" s="16">
        <f>SUMIFS(INDEX(元データ!$E$2:$H$20000,0,MATCH($C$2,元データ!$E$1:$H$1,0)),元データ!$A$2:$A$20000,$A20,元データ!$D$2:$D$20000,$B21,元データ!$B$2:$B$20000,$C$3,元データ!$C$2:$C$20000,I$5)</f>
        <v>8</v>
      </c>
      <c r="J21" s="16">
        <f>SUMIFS(INDEX(元データ!$E$2:$H$20000,0,MATCH($C$2,元データ!$E$1:$H$1,0)),元データ!$A$2:$A$20000,$A20,元データ!$D$2:$D$20000,$B21,元データ!$B$2:$B$20000,$C$3,元データ!$C$2:$C$20000,J$5)</f>
        <v>3</v>
      </c>
      <c r="K21" s="16">
        <f>SUMIFS(INDEX(元データ!$E$2:$H$20000,0,MATCH($C$2,元データ!$E$1:$H$1,0)),元データ!$A$2:$A$20000,$A20,元データ!$D$2:$D$20000,$B21,元データ!$B$2:$B$20000,$C$3,元データ!$C$2:$C$20000,K$5)</f>
        <v>14</v>
      </c>
      <c r="L21" s="16">
        <f>SUMIFS(INDEX(元データ!$E$2:$H$20000,0,MATCH($C$2,元データ!$E$1:$H$1,0)),元データ!$A$2:$A$20000,$A20,元データ!$D$2:$D$20000,$B21,元データ!$B$2:$B$20000,$C$3,元データ!$C$2:$C$20000,L$5)</f>
        <v>10</v>
      </c>
      <c r="M21" s="16">
        <f>SUMIFS(INDEX(元データ!$E$2:$H$20000,0,MATCH($C$2,元データ!$E$1:$H$1,0)),元データ!$A$2:$A$20000,$A20,元データ!$D$2:$D$20000,$B21,元データ!$B$2:$B$20000,$C$3,元データ!$C$2:$C$20000,M$5)</f>
        <v>4</v>
      </c>
      <c r="N21" s="16">
        <f>SUMIFS(INDEX(元データ!$E$2:$H$20000,0,MATCH($C$2,元データ!$E$1:$H$1,0)),元データ!$A$2:$A$20000,$A20,元データ!$D$2:$D$20000,$B21,元データ!$B$2:$B$20000,$C$3,元データ!$C$2:$C$20000,N$5)</f>
        <v>0</v>
      </c>
      <c r="O21" s="17">
        <f t="shared" si="0"/>
        <v>81</v>
      </c>
      <c r="P21" s="17">
        <f>SUMIFS(INDEX(元データ!$E$2:$H$20000,0,MATCH($C$2,元データ!$E$1:$H$1,0)),元データ!$A$2:$A$20000,$A20,元データ!$D$2:$D$20000,$B21,元データ!$B$2:$B$20000,$D$3)</f>
        <v>0</v>
      </c>
      <c r="Q21" s="25" t="str">
        <f t="shared" si="1"/>
        <v/>
      </c>
    </row>
    <row r="22" spans="1:17" x14ac:dyDescent="0.45">
      <c r="A22" s="14" t="str">
        <f>店舗マスタ!A10</f>
        <v>原里店</v>
      </c>
      <c r="B22" s="15" t="s">
        <v>31</v>
      </c>
      <c r="C22" s="16">
        <f>SUMIFS(INDEX(元データ!$E$2:$H$20000,0,MATCH($C$2,元データ!$E$1:$H$1,0)),元データ!$A$2:$A$20000,$A22,元データ!$D$2:$D$20000,$B22,元データ!$B$2:$B$20000,$C$3,元データ!$C$2:$C$20000,C$5)</f>
        <v>19</v>
      </c>
      <c r="D22" s="16">
        <f>SUMIFS(INDEX(元データ!$E$2:$H$20000,0,MATCH($C$2,元データ!$E$1:$H$1,0)),元データ!$A$2:$A$20000,$A22,元データ!$D$2:$D$20000,$B22,元データ!$B$2:$B$20000,$C$3,元データ!$C$2:$C$20000,D$5)</f>
        <v>110</v>
      </c>
      <c r="E22" s="16">
        <f>SUMIFS(INDEX(元データ!$E$2:$H$20000,0,MATCH($C$2,元データ!$E$1:$H$1,0)),元データ!$A$2:$A$20000,$A22,元データ!$D$2:$D$20000,$B22,元データ!$B$2:$B$20000,$C$3,元データ!$C$2:$C$20000,E$5)</f>
        <v>130</v>
      </c>
      <c r="F22" s="16">
        <f>SUMIFS(INDEX(元データ!$E$2:$H$20000,0,MATCH($C$2,元データ!$E$1:$H$1,0)),元データ!$A$2:$A$20000,$A22,元データ!$D$2:$D$20000,$B22,元データ!$B$2:$B$20000,$C$3,元データ!$C$2:$C$20000,F$5)</f>
        <v>162</v>
      </c>
      <c r="G22" s="16">
        <f>SUMIFS(INDEX(元データ!$E$2:$H$20000,0,MATCH($C$2,元データ!$E$1:$H$1,0)),元データ!$A$2:$A$20000,$A22,元データ!$D$2:$D$20000,$B22,元データ!$B$2:$B$20000,$C$3,元データ!$C$2:$C$20000,G$5)</f>
        <v>101</v>
      </c>
      <c r="H22" s="16">
        <f>SUMIFS(INDEX(元データ!$E$2:$H$20000,0,MATCH($C$2,元データ!$E$1:$H$1,0)),元データ!$A$2:$A$20000,$A22,元データ!$D$2:$D$20000,$B22,元データ!$B$2:$B$20000,$C$3,元データ!$C$2:$C$20000,H$5)</f>
        <v>91</v>
      </c>
      <c r="I22" s="16">
        <f>SUMIFS(INDEX(元データ!$E$2:$H$20000,0,MATCH($C$2,元データ!$E$1:$H$1,0)),元データ!$A$2:$A$20000,$A22,元データ!$D$2:$D$20000,$B22,元データ!$B$2:$B$20000,$C$3,元データ!$C$2:$C$20000,I$5)</f>
        <v>71</v>
      </c>
      <c r="J22" s="16">
        <f>SUMIFS(INDEX(元データ!$E$2:$H$20000,0,MATCH($C$2,元データ!$E$1:$H$1,0)),元データ!$A$2:$A$20000,$A22,元データ!$D$2:$D$20000,$B22,元データ!$B$2:$B$20000,$C$3,元データ!$C$2:$C$20000,J$5)</f>
        <v>66</v>
      </c>
      <c r="K22" s="16">
        <f>SUMIFS(INDEX(元データ!$E$2:$H$20000,0,MATCH($C$2,元データ!$E$1:$H$1,0)),元データ!$A$2:$A$20000,$A22,元データ!$D$2:$D$20000,$B22,元データ!$B$2:$B$20000,$C$3,元データ!$C$2:$C$20000,K$5)</f>
        <v>66</v>
      </c>
      <c r="L22" s="16">
        <f>SUMIFS(INDEX(元データ!$E$2:$H$20000,0,MATCH($C$2,元データ!$E$1:$H$1,0)),元データ!$A$2:$A$20000,$A22,元データ!$D$2:$D$20000,$B22,元データ!$B$2:$B$20000,$C$3,元データ!$C$2:$C$20000,L$5)</f>
        <v>54</v>
      </c>
      <c r="M22" s="16">
        <f>SUMIFS(INDEX(元データ!$E$2:$H$20000,0,MATCH($C$2,元データ!$E$1:$H$1,0)),元データ!$A$2:$A$20000,$A22,元データ!$D$2:$D$20000,$B22,元データ!$B$2:$B$20000,$C$3,元データ!$C$2:$C$20000,M$5)</f>
        <v>42</v>
      </c>
      <c r="N22" s="16">
        <f>SUMIFS(INDEX(元データ!$E$2:$H$20000,0,MATCH($C$2,元データ!$E$1:$H$1,0)),元データ!$A$2:$A$20000,$A22,元データ!$D$2:$D$20000,$B22,元データ!$B$2:$B$20000,$C$3,元データ!$C$2:$C$20000,N$5)</f>
        <v>164</v>
      </c>
      <c r="O22" s="17">
        <f t="shared" si="0"/>
        <v>1076</v>
      </c>
      <c r="P22" s="17">
        <f>SUMIFS(INDEX(元データ!$E$2:$H$20000,0,MATCH($C$2,元データ!$E$1:$H$1,0)),元データ!$A$2:$A$20000,$A22,元データ!$D$2:$D$20000,$B22,元データ!$B$2:$B$20000,$D$3)</f>
        <v>0</v>
      </c>
      <c r="Q22" s="25" t="str">
        <f t="shared" si="1"/>
        <v/>
      </c>
    </row>
    <row r="23" spans="1:17" x14ac:dyDescent="0.45">
      <c r="A23" s="14"/>
      <c r="B23" s="15" t="s">
        <v>32</v>
      </c>
      <c r="C23" s="16">
        <f>SUMIFS(INDEX(元データ!$E$2:$H$20000,0,MATCH($C$2,元データ!$E$1:$H$1,0)),元データ!$A$2:$A$20000,$A22,元データ!$D$2:$D$20000,$B23,元データ!$B$2:$B$20000,$C$3,元データ!$C$2:$C$20000,C$5)</f>
        <v>5</v>
      </c>
      <c r="D23" s="16">
        <f>SUMIFS(INDEX(元データ!$E$2:$H$20000,0,MATCH($C$2,元データ!$E$1:$H$1,0)),元データ!$A$2:$A$20000,$A22,元データ!$D$2:$D$20000,$B23,元データ!$B$2:$B$20000,$C$3,元データ!$C$2:$C$20000,D$5)</f>
        <v>9</v>
      </c>
      <c r="E23" s="16">
        <f>SUMIFS(INDEX(元データ!$E$2:$H$20000,0,MATCH($C$2,元データ!$E$1:$H$1,0)),元データ!$A$2:$A$20000,$A22,元データ!$D$2:$D$20000,$B23,元データ!$B$2:$B$20000,$C$3,元データ!$C$2:$C$20000,E$5)</f>
        <v>4</v>
      </c>
      <c r="F23" s="16">
        <f>SUMIFS(INDEX(元データ!$E$2:$H$20000,0,MATCH($C$2,元データ!$E$1:$H$1,0)),元データ!$A$2:$A$20000,$A22,元データ!$D$2:$D$20000,$B23,元データ!$B$2:$B$20000,$C$3,元データ!$C$2:$C$20000,F$5)</f>
        <v>3</v>
      </c>
      <c r="G23" s="16">
        <f>SUMIFS(INDEX(元データ!$E$2:$H$20000,0,MATCH($C$2,元データ!$E$1:$H$1,0)),元データ!$A$2:$A$20000,$A22,元データ!$D$2:$D$20000,$B23,元データ!$B$2:$B$20000,$C$3,元データ!$C$2:$C$20000,G$5)</f>
        <v>4</v>
      </c>
      <c r="H23" s="16">
        <f>SUMIFS(INDEX(元データ!$E$2:$H$20000,0,MATCH($C$2,元データ!$E$1:$H$1,0)),元データ!$A$2:$A$20000,$A22,元データ!$D$2:$D$20000,$B23,元データ!$B$2:$B$20000,$C$3,元データ!$C$2:$C$20000,H$5)</f>
        <v>8</v>
      </c>
      <c r="I23" s="16">
        <f>SUMIFS(INDEX(元データ!$E$2:$H$20000,0,MATCH($C$2,元データ!$E$1:$H$1,0)),元データ!$A$2:$A$20000,$A22,元データ!$D$2:$D$20000,$B23,元データ!$B$2:$B$20000,$C$3,元データ!$C$2:$C$20000,I$5)</f>
        <v>7</v>
      </c>
      <c r="J23" s="16">
        <f>SUMIFS(INDEX(元データ!$E$2:$H$20000,0,MATCH($C$2,元データ!$E$1:$H$1,0)),元データ!$A$2:$A$20000,$A22,元データ!$D$2:$D$20000,$B23,元データ!$B$2:$B$20000,$C$3,元データ!$C$2:$C$20000,J$5)</f>
        <v>6</v>
      </c>
      <c r="K23" s="16">
        <f>SUMIFS(INDEX(元データ!$E$2:$H$20000,0,MATCH($C$2,元データ!$E$1:$H$1,0)),元データ!$A$2:$A$20000,$A22,元データ!$D$2:$D$20000,$B23,元データ!$B$2:$B$20000,$C$3,元データ!$C$2:$C$20000,K$5)</f>
        <v>8</v>
      </c>
      <c r="L23" s="16">
        <f>SUMIFS(INDEX(元データ!$E$2:$H$20000,0,MATCH($C$2,元データ!$E$1:$H$1,0)),元データ!$A$2:$A$20000,$A22,元データ!$D$2:$D$20000,$B23,元データ!$B$2:$B$20000,$C$3,元データ!$C$2:$C$20000,L$5)</f>
        <v>9</v>
      </c>
      <c r="M23" s="16">
        <f>SUMIFS(INDEX(元データ!$E$2:$H$20000,0,MATCH($C$2,元データ!$E$1:$H$1,0)),元データ!$A$2:$A$20000,$A22,元データ!$D$2:$D$20000,$B23,元データ!$B$2:$B$20000,$C$3,元データ!$C$2:$C$20000,M$5)</f>
        <v>5</v>
      </c>
      <c r="N23" s="16">
        <f>SUMIFS(INDEX(元データ!$E$2:$H$20000,0,MATCH($C$2,元データ!$E$1:$H$1,0)),元データ!$A$2:$A$20000,$A22,元データ!$D$2:$D$20000,$B23,元データ!$B$2:$B$20000,$C$3,元データ!$C$2:$C$20000,N$5)</f>
        <v>5</v>
      </c>
      <c r="O23" s="17">
        <f t="shared" si="0"/>
        <v>73</v>
      </c>
      <c r="P23" s="17">
        <f>SUMIFS(INDEX(元データ!$E$2:$H$20000,0,MATCH($C$2,元データ!$E$1:$H$1,0)),元データ!$A$2:$A$20000,$A22,元データ!$D$2:$D$20000,$B23,元データ!$B$2:$B$20000,$D$3)</f>
        <v>0</v>
      </c>
      <c r="Q23" s="25" t="str">
        <f t="shared" si="1"/>
        <v/>
      </c>
    </row>
    <row r="24" spans="1:17" x14ac:dyDescent="0.45">
      <c r="A24" s="14" t="str">
        <f>店舗マスタ!A11</f>
        <v>岡の宮店</v>
      </c>
      <c r="B24" s="15" t="s">
        <v>31</v>
      </c>
      <c r="C24" s="16">
        <f>SUMIFS(INDEX(元データ!$E$2:$H$20000,0,MATCH($C$2,元データ!$E$1:$H$1,0)),元データ!$A$2:$A$20000,$A24,元データ!$D$2:$D$20000,$B24,元データ!$B$2:$B$20000,$C$3,元データ!$C$2:$C$20000,C$5)</f>
        <v>31</v>
      </c>
      <c r="D24" s="16">
        <f>SUMIFS(INDEX(元データ!$E$2:$H$20000,0,MATCH($C$2,元データ!$E$1:$H$1,0)),元データ!$A$2:$A$20000,$A24,元データ!$D$2:$D$20000,$B24,元データ!$B$2:$B$20000,$C$3,元データ!$C$2:$C$20000,D$5)</f>
        <v>158</v>
      </c>
      <c r="E24" s="16">
        <f>SUMIFS(INDEX(元データ!$E$2:$H$20000,0,MATCH($C$2,元データ!$E$1:$H$1,0)),元データ!$A$2:$A$20000,$A24,元データ!$D$2:$D$20000,$B24,元データ!$B$2:$B$20000,$C$3,元データ!$C$2:$C$20000,E$5)</f>
        <v>139</v>
      </c>
      <c r="F24" s="16">
        <f>SUMIFS(INDEX(元データ!$E$2:$H$20000,0,MATCH($C$2,元データ!$E$1:$H$1,0)),元データ!$A$2:$A$20000,$A24,元データ!$D$2:$D$20000,$B24,元データ!$B$2:$B$20000,$C$3,元データ!$C$2:$C$20000,F$5)</f>
        <v>286</v>
      </c>
      <c r="G24" s="16">
        <f>SUMIFS(INDEX(元データ!$E$2:$H$20000,0,MATCH($C$2,元データ!$E$1:$H$1,0)),元データ!$A$2:$A$20000,$A24,元データ!$D$2:$D$20000,$B24,元データ!$B$2:$B$20000,$C$3,元データ!$C$2:$C$20000,G$5)</f>
        <v>134</v>
      </c>
      <c r="H24" s="16">
        <f>SUMIFS(INDEX(元データ!$E$2:$H$20000,0,MATCH($C$2,元データ!$E$1:$H$1,0)),元データ!$A$2:$A$20000,$A24,元データ!$D$2:$D$20000,$B24,元データ!$B$2:$B$20000,$C$3,元データ!$C$2:$C$20000,H$5)</f>
        <v>131</v>
      </c>
      <c r="I24" s="16">
        <f>SUMIFS(INDEX(元データ!$E$2:$H$20000,0,MATCH($C$2,元データ!$E$1:$H$1,0)),元データ!$A$2:$A$20000,$A24,元データ!$D$2:$D$20000,$B24,元データ!$B$2:$B$20000,$C$3,元データ!$C$2:$C$20000,I$5)</f>
        <v>88</v>
      </c>
      <c r="J24" s="16">
        <f>SUMIFS(INDEX(元データ!$E$2:$H$20000,0,MATCH($C$2,元データ!$E$1:$H$1,0)),元データ!$A$2:$A$20000,$A24,元データ!$D$2:$D$20000,$B24,元データ!$B$2:$B$20000,$C$3,元データ!$C$2:$C$20000,J$5)</f>
        <v>150</v>
      </c>
      <c r="K24" s="16">
        <f>SUMIFS(INDEX(元データ!$E$2:$H$20000,0,MATCH($C$2,元データ!$E$1:$H$1,0)),元データ!$A$2:$A$20000,$A24,元データ!$D$2:$D$20000,$B24,元データ!$B$2:$B$20000,$C$3,元データ!$C$2:$C$20000,K$5)</f>
        <v>85</v>
      </c>
      <c r="L24" s="16">
        <f>SUMIFS(INDEX(元データ!$E$2:$H$20000,0,MATCH($C$2,元データ!$E$1:$H$1,0)),元データ!$A$2:$A$20000,$A24,元データ!$D$2:$D$20000,$B24,元データ!$B$2:$B$20000,$C$3,元データ!$C$2:$C$20000,L$5)</f>
        <v>132</v>
      </c>
      <c r="M24" s="16">
        <f>SUMIFS(INDEX(元データ!$E$2:$H$20000,0,MATCH($C$2,元データ!$E$1:$H$1,0)),元データ!$A$2:$A$20000,$A24,元データ!$D$2:$D$20000,$B24,元データ!$B$2:$B$20000,$C$3,元データ!$C$2:$C$20000,M$5)</f>
        <v>59</v>
      </c>
      <c r="N24" s="16">
        <f>SUMIFS(INDEX(元データ!$E$2:$H$20000,0,MATCH($C$2,元データ!$E$1:$H$1,0)),元データ!$A$2:$A$20000,$A24,元データ!$D$2:$D$20000,$B24,元データ!$B$2:$B$20000,$C$3,元データ!$C$2:$C$20000,N$5)</f>
        <v>217</v>
      </c>
      <c r="O24" s="17">
        <f t="shared" si="0"/>
        <v>1610</v>
      </c>
      <c r="P24" s="17">
        <f>SUMIFS(INDEX(元データ!$E$2:$H$20000,0,MATCH($C$2,元データ!$E$1:$H$1,0)),元データ!$A$2:$A$20000,$A24,元データ!$D$2:$D$20000,$B24,元データ!$B$2:$B$20000,$D$3)</f>
        <v>0</v>
      </c>
      <c r="Q24" s="25" t="str">
        <f t="shared" si="1"/>
        <v/>
      </c>
    </row>
    <row r="25" spans="1:17" x14ac:dyDescent="0.45">
      <c r="A25" s="14"/>
      <c r="B25" s="15" t="s">
        <v>32</v>
      </c>
      <c r="C25" s="16">
        <f>SUMIFS(INDEX(元データ!$E$2:$H$20000,0,MATCH($C$2,元データ!$E$1:$H$1,0)),元データ!$A$2:$A$20000,$A24,元データ!$D$2:$D$20000,$B25,元データ!$B$2:$B$20000,$C$3,元データ!$C$2:$C$20000,C$5)</f>
        <v>14</v>
      </c>
      <c r="D25" s="16">
        <f>SUMIFS(INDEX(元データ!$E$2:$H$20000,0,MATCH($C$2,元データ!$E$1:$H$1,0)),元データ!$A$2:$A$20000,$A24,元データ!$D$2:$D$20000,$B25,元データ!$B$2:$B$20000,$C$3,元データ!$C$2:$C$20000,D$5)</f>
        <v>14</v>
      </c>
      <c r="E25" s="16">
        <f>SUMIFS(INDEX(元データ!$E$2:$H$20000,0,MATCH($C$2,元データ!$E$1:$H$1,0)),元データ!$A$2:$A$20000,$A24,元データ!$D$2:$D$20000,$B25,元データ!$B$2:$B$20000,$C$3,元データ!$C$2:$C$20000,E$5)</f>
        <v>9</v>
      </c>
      <c r="F25" s="16">
        <f>SUMIFS(INDEX(元データ!$E$2:$H$20000,0,MATCH($C$2,元データ!$E$1:$H$1,0)),元データ!$A$2:$A$20000,$A24,元データ!$D$2:$D$20000,$B25,元データ!$B$2:$B$20000,$C$3,元データ!$C$2:$C$20000,F$5)</f>
        <v>5</v>
      </c>
      <c r="G25" s="16">
        <f>SUMIFS(INDEX(元データ!$E$2:$H$20000,0,MATCH($C$2,元データ!$E$1:$H$1,0)),元データ!$A$2:$A$20000,$A24,元データ!$D$2:$D$20000,$B25,元データ!$B$2:$B$20000,$C$3,元データ!$C$2:$C$20000,G$5)</f>
        <v>4</v>
      </c>
      <c r="H25" s="16">
        <f>SUMIFS(INDEX(元データ!$E$2:$H$20000,0,MATCH($C$2,元データ!$E$1:$H$1,0)),元データ!$A$2:$A$20000,$A24,元データ!$D$2:$D$20000,$B25,元データ!$B$2:$B$20000,$C$3,元データ!$C$2:$C$20000,H$5)</f>
        <v>14</v>
      </c>
      <c r="I25" s="16">
        <f>SUMIFS(INDEX(元データ!$E$2:$H$20000,0,MATCH($C$2,元データ!$E$1:$H$1,0)),元データ!$A$2:$A$20000,$A24,元データ!$D$2:$D$20000,$B25,元データ!$B$2:$B$20000,$C$3,元データ!$C$2:$C$20000,I$5)</f>
        <v>9</v>
      </c>
      <c r="J25" s="16">
        <f>SUMIFS(INDEX(元データ!$E$2:$H$20000,0,MATCH($C$2,元データ!$E$1:$H$1,0)),元データ!$A$2:$A$20000,$A24,元データ!$D$2:$D$20000,$B25,元データ!$B$2:$B$20000,$C$3,元データ!$C$2:$C$20000,J$5)</f>
        <v>8</v>
      </c>
      <c r="K25" s="16">
        <f>SUMIFS(INDEX(元データ!$E$2:$H$20000,0,MATCH($C$2,元データ!$E$1:$H$1,0)),元データ!$A$2:$A$20000,$A24,元データ!$D$2:$D$20000,$B25,元データ!$B$2:$B$20000,$C$3,元データ!$C$2:$C$20000,K$5)</f>
        <v>11</v>
      </c>
      <c r="L25" s="16">
        <f>SUMIFS(INDEX(元データ!$E$2:$H$20000,0,MATCH($C$2,元データ!$E$1:$H$1,0)),元データ!$A$2:$A$20000,$A24,元データ!$D$2:$D$20000,$B25,元データ!$B$2:$B$20000,$C$3,元データ!$C$2:$C$20000,L$5)</f>
        <v>17</v>
      </c>
      <c r="M25" s="16">
        <f>SUMIFS(INDEX(元データ!$E$2:$H$20000,0,MATCH($C$2,元データ!$E$1:$H$1,0)),元データ!$A$2:$A$20000,$A24,元データ!$D$2:$D$20000,$B25,元データ!$B$2:$B$20000,$C$3,元データ!$C$2:$C$20000,M$5)</f>
        <v>10</v>
      </c>
      <c r="N25" s="16">
        <f>SUMIFS(INDEX(元データ!$E$2:$H$20000,0,MATCH($C$2,元データ!$E$1:$H$1,0)),元データ!$A$2:$A$20000,$A24,元データ!$D$2:$D$20000,$B25,元データ!$B$2:$B$20000,$C$3,元データ!$C$2:$C$20000,N$5)</f>
        <v>2</v>
      </c>
      <c r="O25" s="17">
        <f t="shared" si="0"/>
        <v>117</v>
      </c>
      <c r="P25" s="17">
        <f>SUMIFS(INDEX(元データ!$E$2:$H$20000,0,MATCH($C$2,元データ!$E$1:$H$1,0)),元データ!$A$2:$A$20000,$A24,元データ!$D$2:$D$20000,$B25,元データ!$B$2:$B$20000,$D$3)</f>
        <v>0</v>
      </c>
      <c r="Q25" s="25" t="str">
        <f t="shared" si="1"/>
        <v/>
      </c>
    </row>
    <row r="26" spans="1:17" x14ac:dyDescent="0.45">
      <c r="A26" s="14" t="str">
        <f>店舗マスタ!A12</f>
        <v>川島田店</v>
      </c>
      <c r="B26" s="15" t="s">
        <v>31</v>
      </c>
      <c r="C26" s="16">
        <f>SUMIFS(INDEX(元データ!$E$2:$H$20000,0,MATCH($C$2,元データ!$E$1:$H$1,0)),元データ!$A$2:$A$20000,$A26,元データ!$D$2:$D$20000,$B26,元データ!$B$2:$B$20000,$C$3,元データ!$C$2:$C$20000,C$5)</f>
        <v>28</v>
      </c>
      <c r="D26" s="16">
        <f>SUMIFS(INDEX(元データ!$E$2:$H$20000,0,MATCH($C$2,元データ!$E$1:$H$1,0)),元データ!$A$2:$A$20000,$A26,元データ!$D$2:$D$20000,$B26,元データ!$B$2:$B$20000,$C$3,元データ!$C$2:$C$20000,D$5)</f>
        <v>99</v>
      </c>
      <c r="E26" s="16">
        <f>SUMIFS(INDEX(元データ!$E$2:$H$20000,0,MATCH($C$2,元データ!$E$1:$H$1,0)),元データ!$A$2:$A$20000,$A26,元データ!$D$2:$D$20000,$B26,元データ!$B$2:$B$20000,$C$3,元データ!$C$2:$C$20000,E$5)</f>
        <v>130</v>
      </c>
      <c r="F26" s="16">
        <f>SUMIFS(INDEX(元データ!$E$2:$H$20000,0,MATCH($C$2,元データ!$E$1:$H$1,0)),元データ!$A$2:$A$20000,$A26,元データ!$D$2:$D$20000,$B26,元データ!$B$2:$B$20000,$C$3,元データ!$C$2:$C$20000,F$5)</f>
        <v>121</v>
      </c>
      <c r="G26" s="16">
        <f>SUMIFS(INDEX(元データ!$E$2:$H$20000,0,MATCH($C$2,元データ!$E$1:$H$1,0)),元データ!$A$2:$A$20000,$A26,元データ!$D$2:$D$20000,$B26,元データ!$B$2:$B$20000,$C$3,元データ!$C$2:$C$20000,G$5)</f>
        <v>59</v>
      </c>
      <c r="H26" s="16">
        <f>SUMIFS(INDEX(元データ!$E$2:$H$20000,0,MATCH($C$2,元データ!$E$1:$H$1,0)),元データ!$A$2:$A$20000,$A26,元データ!$D$2:$D$20000,$B26,元データ!$B$2:$B$20000,$C$3,元データ!$C$2:$C$20000,H$5)</f>
        <v>63</v>
      </c>
      <c r="I26" s="16">
        <f>SUMIFS(INDEX(元データ!$E$2:$H$20000,0,MATCH($C$2,元データ!$E$1:$H$1,0)),元データ!$A$2:$A$20000,$A26,元データ!$D$2:$D$20000,$B26,元データ!$B$2:$B$20000,$C$3,元データ!$C$2:$C$20000,I$5)</f>
        <v>64</v>
      </c>
      <c r="J26" s="16">
        <f>SUMIFS(INDEX(元データ!$E$2:$H$20000,0,MATCH($C$2,元データ!$E$1:$H$1,0)),元データ!$A$2:$A$20000,$A26,元データ!$D$2:$D$20000,$B26,元データ!$B$2:$B$20000,$C$3,元データ!$C$2:$C$20000,J$5)</f>
        <v>43</v>
      </c>
      <c r="K26" s="16">
        <f>SUMIFS(INDEX(元データ!$E$2:$H$20000,0,MATCH($C$2,元データ!$E$1:$H$1,0)),元データ!$A$2:$A$20000,$A26,元データ!$D$2:$D$20000,$B26,元データ!$B$2:$B$20000,$C$3,元データ!$C$2:$C$20000,K$5)</f>
        <v>52</v>
      </c>
      <c r="L26" s="16">
        <f>SUMIFS(INDEX(元データ!$E$2:$H$20000,0,MATCH($C$2,元データ!$E$1:$H$1,0)),元データ!$A$2:$A$20000,$A26,元データ!$D$2:$D$20000,$B26,元データ!$B$2:$B$20000,$C$3,元データ!$C$2:$C$20000,L$5)</f>
        <v>45</v>
      </c>
      <c r="M26" s="16">
        <f>SUMIFS(INDEX(元データ!$E$2:$H$20000,0,MATCH($C$2,元データ!$E$1:$H$1,0)),元データ!$A$2:$A$20000,$A26,元データ!$D$2:$D$20000,$B26,元データ!$B$2:$B$20000,$C$3,元データ!$C$2:$C$20000,M$5)</f>
        <v>20</v>
      </c>
      <c r="N26" s="16">
        <f>SUMIFS(INDEX(元データ!$E$2:$H$20000,0,MATCH($C$2,元データ!$E$1:$H$1,0)),元データ!$A$2:$A$20000,$A26,元データ!$D$2:$D$20000,$B26,元データ!$B$2:$B$20000,$C$3,元データ!$C$2:$C$20000,N$5)</f>
        <v>152</v>
      </c>
      <c r="O26" s="17">
        <f t="shared" si="0"/>
        <v>876</v>
      </c>
      <c r="P26" s="17">
        <f>SUMIFS(INDEX(元データ!$E$2:$H$20000,0,MATCH($C$2,元データ!$E$1:$H$1,0)),元データ!$A$2:$A$20000,$A26,元データ!$D$2:$D$20000,$B26,元データ!$B$2:$B$20000,$D$3)</f>
        <v>0</v>
      </c>
      <c r="Q26" s="25" t="str">
        <f t="shared" si="1"/>
        <v/>
      </c>
    </row>
    <row r="27" spans="1:17" x14ac:dyDescent="0.45">
      <c r="A27" s="14"/>
      <c r="B27" s="15" t="s">
        <v>32</v>
      </c>
      <c r="C27" s="16">
        <f>SUMIFS(INDEX(元データ!$E$2:$H$20000,0,MATCH($C$2,元データ!$E$1:$H$1,0)),元データ!$A$2:$A$20000,$A26,元データ!$D$2:$D$20000,$B27,元データ!$B$2:$B$20000,$C$3,元データ!$C$2:$C$20000,C$5)</f>
        <v>7</v>
      </c>
      <c r="D27" s="16">
        <f>SUMIFS(INDEX(元データ!$E$2:$H$20000,0,MATCH($C$2,元データ!$E$1:$H$1,0)),元データ!$A$2:$A$20000,$A26,元データ!$D$2:$D$20000,$B27,元データ!$B$2:$B$20000,$C$3,元データ!$C$2:$C$20000,D$5)</f>
        <v>11</v>
      </c>
      <c r="E27" s="16">
        <f>SUMIFS(INDEX(元データ!$E$2:$H$20000,0,MATCH($C$2,元データ!$E$1:$H$1,0)),元データ!$A$2:$A$20000,$A26,元データ!$D$2:$D$20000,$B27,元データ!$B$2:$B$20000,$C$3,元データ!$C$2:$C$20000,E$5)</f>
        <v>10</v>
      </c>
      <c r="F27" s="16">
        <f>SUMIFS(INDEX(元データ!$E$2:$H$20000,0,MATCH($C$2,元データ!$E$1:$H$1,0)),元データ!$A$2:$A$20000,$A26,元データ!$D$2:$D$20000,$B27,元データ!$B$2:$B$20000,$C$3,元データ!$C$2:$C$20000,F$5)</f>
        <v>4</v>
      </c>
      <c r="G27" s="16">
        <f>SUMIFS(INDEX(元データ!$E$2:$H$20000,0,MATCH($C$2,元データ!$E$1:$H$1,0)),元データ!$A$2:$A$20000,$A26,元データ!$D$2:$D$20000,$B27,元データ!$B$2:$B$20000,$C$3,元データ!$C$2:$C$20000,G$5)</f>
        <v>10</v>
      </c>
      <c r="H27" s="16">
        <f>SUMIFS(INDEX(元データ!$E$2:$H$20000,0,MATCH($C$2,元データ!$E$1:$H$1,0)),元データ!$A$2:$A$20000,$A26,元データ!$D$2:$D$20000,$B27,元データ!$B$2:$B$20000,$C$3,元データ!$C$2:$C$20000,H$5)</f>
        <v>13</v>
      </c>
      <c r="I27" s="16">
        <f>SUMIFS(INDEX(元データ!$E$2:$H$20000,0,MATCH($C$2,元データ!$E$1:$H$1,0)),元データ!$A$2:$A$20000,$A26,元データ!$D$2:$D$20000,$B27,元データ!$B$2:$B$20000,$C$3,元データ!$C$2:$C$20000,I$5)</f>
        <v>13</v>
      </c>
      <c r="J27" s="16">
        <f>SUMIFS(INDEX(元データ!$E$2:$H$20000,0,MATCH($C$2,元データ!$E$1:$H$1,0)),元データ!$A$2:$A$20000,$A26,元データ!$D$2:$D$20000,$B27,元データ!$B$2:$B$20000,$C$3,元データ!$C$2:$C$20000,J$5)</f>
        <v>6</v>
      </c>
      <c r="K27" s="16">
        <f>SUMIFS(INDEX(元データ!$E$2:$H$20000,0,MATCH($C$2,元データ!$E$1:$H$1,0)),元データ!$A$2:$A$20000,$A26,元データ!$D$2:$D$20000,$B27,元データ!$B$2:$B$20000,$C$3,元データ!$C$2:$C$20000,K$5)</f>
        <v>7</v>
      </c>
      <c r="L27" s="16">
        <f>SUMIFS(INDEX(元データ!$E$2:$H$20000,0,MATCH($C$2,元データ!$E$1:$H$1,0)),元データ!$A$2:$A$20000,$A26,元データ!$D$2:$D$20000,$B27,元データ!$B$2:$B$20000,$C$3,元データ!$C$2:$C$20000,L$5)</f>
        <v>9</v>
      </c>
      <c r="M27" s="16">
        <f>SUMIFS(INDEX(元データ!$E$2:$H$20000,0,MATCH($C$2,元データ!$E$1:$H$1,0)),元データ!$A$2:$A$20000,$A26,元データ!$D$2:$D$20000,$B27,元データ!$B$2:$B$20000,$C$3,元データ!$C$2:$C$20000,M$5)</f>
        <v>11</v>
      </c>
      <c r="N27" s="16">
        <f>SUMIFS(INDEX(元データ!$E$2:$H$20000,0,MATCH($C$2,元データ!$E$1:$H$1,0)),元データ!$A$2:$A$20000,$A26,元データ!$D$2:$D$20000,$B27,元データ!$B$2:$B$20000,$C$3,元データ!$C$2:$C$20000,N$5)</f>
        <v>6</v>
      </c>
      <c r="O27" s="17">
        <f t="shared" si="0"/>
        <v>107</v>
      </c>
      <c r="P27" s="17">
        <f>SUMIFS(INDEX(元データ!$E$2:$H$20000,0,MATCH($C$2,元データ!$E$1:$H$1,0)),元データ!$A$2:$A$20000,$A26,元データ!$D$2:$D$20000,$B27,元データ!$B$2:$B$20000,$D$3)</f>
        <v>0</v>
      </c>
      <c r="Q27" s="25" t="str">
        <f t="shared" si="1"/>
        <v/>
      </c>
    </row>
    <row r="28" spans="1:17" x14ac:dyDescent="0.45">
      <c r="A28" s="14" t="str">
        <f>店舗マスタ!A13</f>
        <v>便船塚店</v>
      </c>
      <c r="B28" s="15" t="s">
        <v>31</v>
      </c>
      <c r="C28" s="16">
        <f>SUMIFS(INDEX(元データ!$E$2:$H$20000,0,MATCH($C$2,元データ!$E$1:$H$1,0)),元データ!$A$2:$A$20000,$A28,元データ!$D$2:$D$20000,$B28,元データ!$B$2:$B$20000,$C$3,元データ!$C$2:$C$20000,C$5)</f>
        <v>34</v>
      </c>
      <c r="D28" s="16">
        <f>SUMIFS(INDEX(元データ!$E$2:$H$20000,0,MATCH($C$2,元データ!$E$1:$H$1,0)),元データ!$A$2:$A$20000,$A28,元データ!$D$2:$D$20000,$B28,元データ!$B$2:$B$20000,$C$3,元データ!$C$2:$C$20000,D$5)</f>
        <v>198</v>
      </c>
      <c r="E28" s="16">
        <f>SUMIFS(INDEX(元データ!$E$2:$H$20000,0,MATCH($C$2,元データ!$E$1:$H$1,0)),元データ!$A$2:$A$20000,$A28,元データ!$D$2:$D$20000,$B28,元データ!$B$2:$B$20000,$C$3,元データ!$C$2:$C$20000,E$5)</f>
        <v>249</v>
      </c>
      <c r="F28" s="16">
        <f>SUMIFS(INDEX(元データ!$E$2:$H$20000,0,MATCH($C$2,元データ!$E$1:$H$1,0)),元データ!$A$2:$A$20000,$A28,元データ!$D$2:$D$20000,$B28,元データ!$B$2:$B$20000,$C$3,元データ!$C$2:$C$20000,F$5)</f>
        <v>275</v>
      </c>
      <c r="G28" s="16">
        <f>SUMIFS(INDEX(元データ!$E$2:$H$20000,0,MATCH($C$2,元データ!$E$1:$H$1,0)),元データ!$A$2:$A$20000,$A28,元データ!$D$2:$D$20000,$B28,元データ!$B$2:$B$20000,$C$3,元データ!$C$2:$C$20000,G$5)</f>
        <v>138</v>
      </c>
      <c r="H28" s="16">
        <f>SUMIFS(INDEX(元データ!$E$2:$H$20000,0,MATCH($C$2,元データ!$E$1:$H$1,0)),元データ!$A$2:$A$20000,$A28,元データ!$D$2:$D$20000,$B28,元データ!$B$2:$B$20000,$C$3,元データ!$C$2:$C$20000,H$5)</f>
        <v>149</v>
      </c>
      <c r="I28" s="16">
        <f>SUMIFS(INDEX(元データ!$E$2:$H$20000,0,MATCH($C$2,元データ!$E$1:$H$1,0)),元データ!$A$2:$A$20000,$A28,元データ!$D$2:$D$20000,$B28,元データ!$B$2:$B$20000,$C$3,元データ!$C$2:$C$20000,I$5)</f>
        <v>112</v>
      </c>
      <c r="J28" s="16">
        <f>SUMIFS(INDEX(元データ!$E$2:$H$20000,0,MATCH($C$2,元データ!$E$1:$H$1,0)),元データ!$A$2:$A$20000,$A28,元データ!$D$2:$D$20000,$B28,元データ!$B$2:$B$20000,$C$3,元データ!$C$2:$C$20000,J$5)</f>
        <v>181</v>
      </c>
      <c r="K28" s="16">
        <f>SUMIFS(INDEX(元データ!$E$2:$H$20000,0,MATCH($C$2,元データ!$E$1:$H$1,0)),元データ!$A$2:$A$20000,$A28,元データ!$D$2:$D$20000,$B28,元データ!$B$2:$B$20000,$C$3,元データ!$C$2:$C$20000,K$5)</f>
        <v>135</v>
      </c>
      <c r="L28" s="16">
        <f>SUMIFS(INDEX(元データ!$E$2:$H$20000,0,MATCH($C$2,元データ!$E$1:$H$1,0)),元データ!$A$2:$A$20000,$A28,元データ!$D$2:$D$20000,$B28,元データ!$B$2:$B$20000,$C$3,元データ!$C$2:$C$20000,L$5)</f>
        <v>143</v>
      </c>
      <c r="M28" s="16">
        <f>SUMIFS(INDEX(元データ!$E$2:$H$20000,0,MATCH($C$2,元データ!$E$1:$H$1,0)),元データ!$A$2:$A$20000,$A28,元データ!$D$2:$D$20000,$B28,元データ!$B$2:$B$20000,$C$3,元データ!$C$2:$C$20000,M$5)</f>
        <v>118</v>
      </c>
      <c r="N28" s="16">
        <f>SUMIFS(INDEX(元データ!$E$2:$H$20000,0,MATCH($C$2,元データ!$E$1:$H$1,0)),元データ!$A$2:$A$20000,$A28,元データ!$D$2:$D$20000,$B28,元データ!$B$2:$B$20000,$C$3,元データ!$C$2:$C$20000,N$5)</f>
        <v>243</v>
      </c>
      <c r="O28" s="17">
        <f t="shared" si="0"/>
        <v>1975</v>
      </c>
      <c r="P28" s="17">
        <f>SUMIFS(INDEX(元データ!$E$2:$H$20000,0,MATCH($C$2,元データ!$E$1:$H$1,0)),元データ!$A$2:$A$20000,$A28,元データ!$D$2:$D$20000,$B28,元データ!$B$2:$B$20000,$D$3)</f>
        <v>0</v>
      </c>
      <c r="Q28" s="25" t="str">
        <f t="shared" si="1"/>
        <v/>
      </c>
    </row>
    <row r="29" spans="1:17" x14ac:dyDescent="0.45">
      <c r="A29" s="14"/>
      <c r="B29" s="15" t="s">
        <v>32</v>
      </c>
      <c r="C29" s="16">
        <f>SUMIFS(INDEX(元データ!$E$2:$H$20000,0,MATCH($C$2,元データ!$E$1:$H$1,0)),元データ!$A$2:$A$20000,$A28,元データ!$D$2:$D$20000,$B29,元データ!$B$2:$B$20000,$C$3,元データ!$C$2:$C$20000,C$5)</f>
        <v>14</v>
      </c>
      <c r="D29" s="16">
        <f>SUMIFS(INDEX(元データ!$E$2:$H$20000,0,MATCH($C$2,元データ!$E$1:$H$1,0)),元データ!$A$2:$A$20000,$A28,元データ!$D$2:$D$20000,$B29,元データ!$B$2:$B$20000,$C$3,元データ!$C$2:$C$20000,D$5)</f>
        <v>16</v>
      </c>
      <c r="E29" s="16">
        <f>SUMIFS(INDEX(元データ!$E$2:$H$20000,0,MATCH($C$2,元データ!$E$1:$H$1,0)),元データ!$A$2:$A$20000,$A28,元データ!$D$2:$D$20000,$B29,元データ!$B$2:$B$20000,$C$3,元データ!$C$2:$C$20000,E$5)</f>
        <v>17</v>
      </c>
      <c r="F29" s="16">
        <f>SUMIFS(INDEX(元データ!$E$2:$H$20000,0,MATCH($C$2,元データ!$E$1:$H$1,0)),元データ!$A$2:$A$20000,$A28,元データ!$D$2:$D$20000,$B29,元データ!$B$2:$B$20000,$C$3,元データ!$C$2:$C$20000,F$5)</f>
        <v>9</v>
      </c>
      <c r="G29" s="16">
        <f>SUMIFS(INDEX(元データ!$E$2:$H$20000,0,MATCH($C$2,元データ!$E$1:$H$1,0)),元データ!$A$2:$A$20000,$A28,元データ!$D$2:$D$20000,$B29,元データ!$B$2:$B$20000,$C$3,元データ!$C$2:$C$20000,G$5)</f>
        <v>10</v>
      </c>
      <c r="H29" s="16">
        <f>SUMIFS(INDEX(元データ!$E$2:$H$20000,0,MATCH($C$2,元データ!$E$1:$H$1,0)),元データ!$A$2:$A$20000,$A28,元データ!$D$2:$D$20000,$B29,元データ!$B$2:$B$20000,$C$3,元データ!$C$2:$C$20000,H$5)</f>
        <v>10</v>
      </c>
      <c r="I29" s="16">
        <f>SUMIFS(INDEX(元データ!$E$2:$H$20000,0,MATCH($C$2,元データ!$E$1:$H$1,0)),元データ!$A$2:$A$20000,$A28,元データ!$D$2:$D$20000,$B29,元データ!$B$2:$B$20000,$C$3,元データ!$C$2:$C$20000,I$5)</f>
        <v>15</v>
      </c>
      <c r="J29" s="16">
        <f>SUMIFS(INDEX(元データ!$E$2:$H$20000,0,MATCH($C$2,元データ!$E$1:$H$1,0)),元データ!$A$2:$A$20000,$A28,元データ!$D$2:$D$20000,$B29,元データ!$B$2:$B$20000,$C$3,元データ!$C$2:$C$20000,J$5)</f>
        <v>21</v>
      </c>
      <c r="K29" s="16">
        <f>SUMIFS(INDEX(元データ!$E$2:$H$20000,0,MATCH($C$2,元データ!$E$1:$H$1,0)),元データ!$A$2:$A$20000,$A28,元データ!$D$2:$D$20000,$B29,元データ!$B$2:$B$20000,$C$3,元データ!$C$2:$C$20000,K$5)</f>
        <v>23</v>
      </c>
      <c r="L29" s="16">
        <f>SUMIFS(INDEX(元データ!$E$2:$H$20000,0,MATCH($C$2,元データ!$E$1:$H$1,0)),元データ!$A$2:$A$20000,$A28,元データ!$D$2:$D$20000,$B29,元データ!$B$2:$B$20000,$C$3,元データ!$C$2:$C$20000,L$5)</f>
        <v>21</v>
      </c>
      <c r="M29" s="16">
        <f>SUMIFS(INDEX(元データ!$E$2:$H$20000,0,MATCH($C$2,元データ!$E$1:$H$1,0)),元データ!$A$2:$A$20000,$A28,元データ!$D$2:$D$20000,$B29,元データ!$B$2:$B$20000,$C$3,元データ!$C$2:$C$20000,M$5)</f>
        <v>14</v>
      </c>
      <c r="N29" s="16">
        <f>SUMIFS(INDEX(元データ!$E$2:$H$20000,0,MATCH($C$2,元データ!$E$1:$H$1,0)),元データ!$A$2:$A$20000,$A28,元データ!$D$2:$D$20000,$B29,元データ!$B$2:$B$20000,$C$3,元データ!$C$2:$C$20000,N$5)</f>
        <v>3</v>
      </c>
      <c r="O29" s="17">
        <f t="shared" si="0"/>
        <v>173</v>
      </c>
      <c r="P29" s="17">
        <f>SUMIFS(INDEX(元データ!$E$2:$H$20000,0,MATCH($C$2,元データ!$E$1:$H$1,0)),元データ!$A$2:$A$20000,$A28,元データ!$D$2:$D$20000,$B29,元データ!$B$2:$B$20000,$D$3)</f>
        <v>0</v>
      </c>
      <c r="Q29" s="25" t="str">
        <f t="shared" si="1"/>
        <v/>
      </c>
    </row>
    <row r="30" spans="1:17" x14ac:dyDescent="0.45">
      <c r="A30" s="14" t="str">
        <f>店舗マスタ!A14</f>
        <v>大岡店</v>
      </c>
      <c r="B30" s="15" t="s">
        <v>31</v>
      </c>
      <c r="C30" s="16">
        <f>SUMIFS(INDEX(元データ!$E$2:$H$20000,0,MATCH($C$2,元データ!$E$1:$H$1,0)),元データ!$A$2:$A$20000,$A30,元データ!$D$2:$D$20000,$B30,元データ!$B$2:$B$20000,$C$3,元データ!$C$2:$C$20000,C$5)</f>
        <v>39</v>
      </c>
      <c r="D30" s="16">
        <f>SUMIFS(INDEX(元データ!$E$2:$H$20000,0,MATCH($C$2,元データ!$E$1:$H$1,0)),元データ!$A$2:$A$20000,$A30,元データ!$D$2:$D$20000,$B30,元データ!$B$2:$B$20000,$C$3,元データ!$C$2:$C$20000,D$5)</f>
        <v>279</v>
      </c>
      <c r="E30" s="16">
        <f>SUMIFS(INDEX(元データ!$E$2:$H$20000,0,MATCH($C$2,元データ!$E$1:$H$1,0)),元データ!$A$2:$A$20000,$A30,元データ!$D$2:$D$20000,$B30,元データ!$B$2:$B$20000,$C$3,元データ!$C$2:$C$20000,E$5)</f>
        <v>201</v>
      </c>
      <c r="F30" s="16">
        <f>SUMIFS(INDEX(元データ!$E$2:$H$20000,0,MATCH($C$2,元データ!$E$1:$H$1,0)),元データ!$A$2:$A$20000,$A30,元データ!$D$2:$D$20000,$B30,元データ!$B$2:$B$20000,$C$3,元データ!$C$2:$C$20000,F$5)</f>
        <v>424</v>
      </c>
      <c r="G30" s="16">
        <f>SUMIFS(INDEX(元データ!$E$2:$H$20000,0,MATCH($C$2,元データ!$E$1:$H$1,0)),元データ!$A$2:$A$20000,$A30,元データ!$D$2:$D$20000,$B30,元データ!$B$2:$B$20000,$C$3,元データ!$C$2:$C$20000,G$5)</f>
        <v>151</v>
      </c>
      <c r="H30" s="16">
        <f>SUMIFS(INDEX(元データ!$E$2:$H$20000,0,MATCH($C$2,元データ!$E$1:$H$1,0)),元データ!$A$2:$A$20000,$A30,元データ!$D$2:$D$20000,$B30,元データ!$B$2:$B$20000,$C$3,元データ!$C$2:$C$20000,H$5)</f>
        <v>174</v>
      </c>
      <c r="I30" s="16">
        <f>SUMIFS(INDEX(元データ!$E$2:$H$20000,0,MATCH($C$2,元データ!$E$1:$H$1,0)),元データ!$A$2:$A$20000,$A30,元データ!$D$2:$D$20000,$B30,元データ!$B$2:$B$20000,$C$3,元データ!$C$2:$C$20000,I$5)</f>
        <v>177</v>
      </c>
      <c r="J30" s="16">
        <f>SUMIFS(INDEX(元データ!$E$2:$H$20000,0,MATCH($C$2,元データ!$E$1:$H$1,0)),元データ!$A$2:$A$20000,$A30,元データ!$D$2:$D$20000,$B30,元データ!$B$2:$B$20000,$C$3,元データ!$C$2:$C$20000,J$5)</f>
        <v>181</v>
      </c>
      <c r="K30" s="16">
        <f>SUMIFS(INDEX(元データ!$E$2:$H$20000,0,MATCH($C$2,元データ!$E$1:$H$1,0)),元データ!$A$2:$A$20000,$A30,元データ!$D$2:$D$20000,$B30,元データ!$B$2:$B$20000,$C$3,元データ!$C$2:$C$20000,K$5)</f>
        <v>151</v>
      </c>
      <c r="L30" s="16">
        <f>SUMIFS(INDEX(元データ!$E$2:$H$20000,0,MATCH($C$2,元データ!$E$1:$H$1,0)),元データ!$A$2:$A$20000,$A30,元データ!$D$2:$D$20000,$B30,元データ!$B$2:$B$20000,$C$3,元データ!$C$2:$C$20000,L$5)</f>
        <v>218</v>
      </c>
      <c r="M30" s="16">
        <f>SUMIFS(INDEX(元データ!$E$2:$H$20000,0,MATCH($C$2,元データ!$E$1:$H$1,0)),元データ!$A$2:$A$20000,$A30,元データ!$D$2:$D$20000,$B30,元データ!$B$2:$B$20000,$C$3,元データ!$C$2:$C$20000,M$5)</f>
        <v>85</v>
      </c>
      <c r="N30" s="16">
        <f>SUMIFS(INDEX(元データ!$E$2:$H$20000,0,MATCH($C$2,元データ!$E$1:$H$1,0)),元データ!$A$2:$A$20000,$A30,元データ!$D$2:$D$20000,$B30,元データ!$B$2:$B$20000,$C$3,元データ!$C$2:$C$20000,N$5)</f>
        <v>366</v>
      </c>
      <c r="O30" s="17">
        <f t="shared" si="0"/>
        <v>2446</v>
      </c>
      <c r="P30" s="17">
        <f>SUMIFS(INDEX(元データ!$E$2:$H$20000,0,MATCH($C$2,元データ!$E$1:$H$1,0)),元データ!$A$2:$A$20000,$A30,元データ!$D$2:$D$20000,$B30,元データ!$B$2:$B$20000,$D$3)</f>
        <v>0</v>
      </c>
      <c r="Q30" s="25" t="str">
        <f t="shared" si="1"/>
        <v/>
      </c>
    </row>
    <row r="31" spans="1:17" x14ac:dyDescent="0.45">
      <c r="A31" s="14"/>
      <c r="B31" s="15" t="s">
        <v>32</v>
      </c>
      <c r="C31" s="16">
        <f>SUMIFS(INDEX(元データ!$E$2:$H$20000,0,MATCH($C$2,元データ!$E$1:$H$1,0)),元データ!$A$2:$A$20000,$A30,元データ!$D$2:$D$20000,$B31,元データ!$B$2:$B$20000,$C$3,元データ!$C$2:$C$20000,C$5)</f>
        <v>24</v>
      </c>
      <c r="D31" s="16">
        <f>SUMIFS(INDEX(元データ!$E$2:$H$20000,0,MATCH($C$2,元データ!$E$1:$H$1,0)),元データ!$A$2:$A$20000,$A30,元データ!$D$2:$D$20000,$B31,元データ!$B$2:$B$20000,$C$3,元データ!$C$2:$C$20000,D$5)</f>
        <v>18</v>
      </c>
      <c r="E31" s="16">
        <f>SUMIFS(INDEX(元データ!$E$2:$H$20000,0,MATCH($C$2,元データ!$E$1:$H$1,0)),元データ!$A$2:$A$20000,$A30,元データ!$D$2:$D$20000,$B31,元データ!$B$2:$B$20000,$C$3,元データ!$C$2:$C$20000,E$5)</f>
        <v>24</v>
      </c>
      <c r="F31" s="16">
        <f>SUMIFS(INDEX(元データ!$E$2:$H$20000,0,MATCH($C$2,元データ!$E$1:$H$1,0)),元データ!$A$2:$A$20000,$A30,元データ!$D$2:$D$20000,$B31,元データ!$B$2:$B$20000,$C$3,元データ!$C$2:$C$20000,F$5)</f>
        <v>8</v>
      </c>
      <c r="G31" s="16">
        <f>SUMIFS(INDEX(元データ!$E$2:$H$20000,0,MATCH($C$2,元データ!$E$1:$H$1,0)),元データ!$A$2:$A$20000,$A30,元データ!$D$2:$D$20000,$B31,元データ!$B$2:$B$20000,$C$3,元データ!$C$2:$C$20000,G$5)</f>
        <v>6</v>
      </c>
      <c r="H31" s="16">
        <f>SUMIFS(INDEX(元データ!$E$2:$H$20000,0,MATCH($C$2,元データ!$E$1:$H$1,0)),元データ!$A$2:$A$20000,$A30,元データ!$D$2:$D$20000,$B31,元データ!$B$2:$B$20000,$C$3,元データ!$C$2:$C$20000,H$5)</f>
        <v>16</v>
      </c>
      <c r="I31" s="16">
        <f>SUMIFS(INDEX(元データ!$E$2:$H$20000,0,MATCH($C$2,元データ!$E$1:$H$1,0)),元データ!$A$2:$A$20000,$A30,元データ!$D$2:$D$20000,$B31,元データ!$B$2:$B$20000,$C$3,元データ!$C$2:$C$20000,I$5)</f>
        <v>23</v>
      </c>
      <c r="J31" s="16">
        <f>SUMIFS(INDEX(元データ!$E$2:$H$20000,0,MATCH($C$2,元データ!$E$1:$H$1,0)),元データ!$A$2:$A$20000,$A30,元データ!$D$2:$D$20000,$B31,元データ!$B$2:$B$20000,$C$3,元データ!$C$2:$C$20000,J$5)</f>
        <v>23</v>
      </c>
      <c r="K31" s="16">
        <f>SUMIFS(INDEX(元データ!$E$2:$H$20000,0,MATCH($C$2,元データ!$E$1:$H$1,0)),元データ!$A$2:$A$20000,$A30,元データ!$D$2:$D$20000,$B31,元データ!$B$2:$B$20000,$C$3,元データ!$C$2:$C$20000,K$5)</f>
        <v>27</v>
      </c>
      <c r="L31" s="16">
        <f>SUMIFS(INDEX(元データ!$E$2:$H$20000,0,MATCH($C$2,元データ!$E$1:$H$1,0)),元データ!$A$2:$A$20000,$A30,元データ!$D$2:$D$20000,$B31,元データ!$B$2:$B$20000,$C$3,元データ!$C$2:$C$20000,L$5)</f>
        <v>16</v>
      </c>
      <c r="M31" s="16">
        <f>SUMIFS(INDEX(元データ!$E$2:$H$20000,0,MATCH($C$2,元データ!$E$1:$H$1,0)),元データ!$A$2:$A$20000,$A30,元データ!$D$2:$D$20000,$B31,元データ!$B$2:$B$20000,$C$3,元データ!$C$2:$C$20000,M$5)</f>
        <v>13</v>
      </c>
      <c r="N31" s="16">
        <f>SUMIFS(INDEX(元データ!$E$2:$H$20000,0,MATCH($C$2,元データ!$E$1:$H$1,0)),元データ!$A$2:$A$20000,$A30,元データ!$D$2:$D$20000,$B31,元データ!$B$2:$B$20000,$C$3,元データ!$C$2:$C$20000,N$5)</f>
        <v>14</v>
      </c>
      <c r="O31" s="17">
        <f t="shared" si="0"/>
        <v>212</v>
      </c>
      <c r="P31" s="17">
        <f>SUMIFS(INDEX(元データ!$E$2:$H$20000,0,MATCH($C$2,元データ!$E$1:$H$1,0)),元データ!$A$2:$A$20000,$A30,元データ!$D$2:$D$20000,$B31,元データ!$B$2:$B$20000,$D$3)</f>
        <v>0</v>
      </c>
      <c r="Q31" s="25" t="str">
        <f t="shared" si="1"/>
        <v/>
      </c>
    </row>
    <row r="32" spans="1:17" x14ac:dyDescent="0.45">
      <c r="A32" s="14" t="str">
        <f>店舗マスタ!A15</f>
        <v>三好店</v>
      </c>
      <c r="B32" s="15" t="s">
        <v>31</v>
      </c>
      <c r="C32" s="16">
        <f>SUMIFS(INDEX(元データ!$E$2:$H$20000,0,MATCH($C$2,元データ!$E$1:$H$1,0)),元データ!$A$2:$A$20000,$A32,元データ!$D$2:$D$20000,$B32,元データ!$B$2:$B$20000,$C$3,元データ!$C$2:$C$20000,C$5)</f>
        <v>28</v>
      </c>
      <c r="D32" s="16">
        <f>SUMIFS(INDEX(元データ!$E$2:$H$20000,0,MATCH($C$2,元データ!$E$1:$H$1,0)),元データ!$A$2:$A$20000,$A32,元データ!$D$2:$D$20000,$B32,元データ!$B$2:$B$20000,$C$3,元データ!$C$2:$C$20000,D$5)</f>
        <v>140</v>
      </c>
      <c r="E32" s="16">
        <f>SUMIFS(INDEX(元データ!$E$2:$H$20000,0,MATCH($C$2,元データ!$E$1:$H$1,0)),元データ!$A$2:$A$20000,$A32,元データ!$D$2:$D$20000,$B32,元データ!$B$2:$B$20000,$C$3,元データ!$C$2:$C$20000,E$5)</f>
        <v>133</v>
      </c>
      <c r="F32" s="16">
        <f>SUMIFS(INDEX(元データ!$E$2:$H$20000,0,MATCH($C$2,元データ!$E$1:$H$1,0)),元データ!$A$2:$A$20000,$A32,元データ!$D$2:$D$20000,$B32,元データ!$B$2:$B$20000,$C$3,元データ!$C$2:$C$20000,F$5)</f>
        <v>152</v>
      </c>
      <c r="G32" s="16">
        <f>SUMIFS(INDEX(元データ!$E$2:$H$20000,0,MATCH($C$2,元データ!$E$1:$H$1,0)),元データ!$A$2:$A$20000,$A32,元データ!$D$2:$D$20000,$B32,元データ!$B$2:$B$20000,$C$3,元データ!$C$2:$C$20000,G$5)</f>
        <v>70</v>
      </c>
      <c r="H32" s="16">
        <f>SUMIFS(INDEX(元データ!$E$2:$H$20000,0,MATCH($C$2,元データ!$E$1:$H$1,0)),元データ!$A$2:$A$20000,$A32,元データ!$D$2:$D$20000,$B32,元データ!$B$2:$B$20000,$C$3,元データ!$C$2:$C$20000,H$5)</f>
        <v>65</v>
      </c>
      <c r="I32" s="16">
        <f>SUMIFS(INDEX(元データ!$E$2:$H$20000,0,MATCH($C$2,元データ!$E$1:$H$1,0)),元データ!$A$2:$A$20000,$A32,元データ!$D$2:$D$20000,$B32,元データ!$B$2:$B$20000,$C$3,元データ!$C$2:$C$20000,I$5)</f>
        <v>68</v>
      </c>
      <c r="J32" s="16">
        <f>SUMIFS(INDEX(元データ!$E$2:$H$20000,0,MATCH($C$2,元データ!$E$1:$H$1,0)),元データ!$A$2:$A$20000,$A32,元データ!$D$2:$D$20000,$B32,元データ!$B$2:$B$20000,$C$3,元データ!$C$2:$C$20000,J$5)</f>
        <v>56</v>
      </c>
      <c r="K32" s="16">
        <f>SUMIFS(INDEX(元データ!$E$2:$H$20000,0,MATCH($C$2,元データ!$E$1:$H$1,0)),元データ!$A$2:$A$20000,$A32,元データ!$D$2:$D$20000,$B32,元データ!$B$2:$B$20000,$C$3,元データ!$C$2:$C$20000,K$5)</f>
        <v>57</v>
      </c>
      <c r="L32" s="16">
        <f>SUMIFS(INDEX(元データ!$E$2:$H$20000,0,MATCH($C$2,元データ!$E$1:$H$1,0)),元データ!$A$2:$A$20000,$A32,元データ!$D$2:$D$20000,$B32,元データ!$B$2:$B$20000,$C$3,元データ!$C$2:$C$20000,L$5)</f>
        <v>77</v>
      </c>
      <c r="M32" s="16">
        <f>SUMIFS(INDEX(元データ!$E$2:$H$20000,0,MATCH($C$2,元データ!$E$1:$H$1,0)),元データ!$A$2:$A$20000,$A32,元データ!$D$2:$D$20000,$B32,元データ!$B$2:$B$20000,$C$3,元データ!$C$2:$C$20000,M$5)</f>
        <v>50</v>
      </c>
      <c r="N32" s="16">
        <f>SUMIFS(INDEX(元データ!$E$2:$H$20000,0,MATCH($C$2,元データ!$E$1:$H$1,0)),元データ!$A$2:$A$20000,$A32,元データ!$D$2:$D$20000,$B32,元データ!$B$2:$B$20000,$C$3,元データ!$C$2:$C$20000,N$5)</f>
        <v>128</v>
      </c>
      <c r="O32" s="17">
        <f t="shared" si="0"/>
        <v>1024</v>
      </c>
      <c r="P32" s="17">
        <f>SUMIFS(INDEX(元データ!$E$2:$H$20000,0,MATCH($C$2,元データ!$E$1:$H$1,0)),元データ!$A$2:$A$20000,$A32,元データ!$D$2:$D$20000,$B32,元データ!$B$2:$B$20000,$D$3)</f>
        <v>0</v>
      </c>
      <c r="Q32" s="25" t="str">
        <f t="shared" si="1"/>
        <v/>
      </c>
    </row>
    <row r="33" spans="1:17" x14ac:dyDescent="0.45">
      <c r="A33" s="14"/>
      <c r="B33" s="15" t="s">
        <v>32</v>
      </c>
      <c r="C33" s="16">
        <f>SUMIFS(INDEX(元データ!$E$2:$H$20000,0,MATCH($C$2,元データ!$E$1:$H$1,0)),元データ!$A$2:$A$20000,$A32,元データ!$D$2:$D$20000,$B33,元データ!$B$2:$B$20000,$C$3,元データ!$C$2:$C$20000,C$5)</f>
        <v>9</v>
      </c>
      <c r="D33" s="16">
        <f>SUMIFS(INDEX(元データ!$E$2:$H$20000,0,MATCH($C$2,元データ!$E$1:$H$1,0)),元データ!$A$2:$A$20000,$A32,元データ!$D$2:$D$20000,$B33,元データ!$B$2:$B$20000,$C$3,元データ!$C$2:$C$20000,D$5)</f>
        <v>11</v>
      </c>
      <c r="E33" s="16">
        <f>SUMIFS(INDEX(元データ!$E$2:$H$20000,0,MATCH($C$2,元データ!$E$1:$H$1,0)),元データ!$A$2:$A$20000,$A32,元データ!$D$2:$D$20000,$B33,元データ!$B$2:$B$20000,$C$3,元データ!$C$2:$C$20000,E$5)</f>
        <v>9</v>
      </c>
      <c r="F33" s="16">
        <f>SUMIFS(INDEX(元データ!$E$2:$H$20000,0,MATCH($C$2,元データ!$E$1:$H$1,0)),元データ!$A$2:$A$20000,$A32,元データ!$D$2:$D$20000,$B33,元データ!$B$2:$B$20000,$C$3,元データ!$C$2:$C$20000,F$5)</f>
        <v>2</v>
      </c>
      <c r="G33" s="16">
        <f>SUMIFS(INDEX(元データ!$E$2:$H$20000,0,MATCH($C$2,元データ!$E$1:$H$1,0)),元データ!$A$2:$A$20000,$A32,元データ!$D$2:$D$20000,$B33,元データ!$B$2:$B$20000,$C$3,元データ!$C$2:$C$20000,G$5)</f>
        <v>4</v>
      </c>
      <c r="H33" s="16">
        <f>SUMIFS(INDEX(元データ!$E$2:$H$20000,0,MATCH($C$2,元データ!$E$1:$H$1,0)),元データ!$A$2:$A$20000,$A32,元データ!$D$2:$D$20000,$B33,元データ!$B$2:$B$20000,$C$3,元データ!$C$2:$C$20000,H$5)</f>
        <v>4</v>
      </c>
      <c r="I33" s="16">
        <f>SUMIFS(INDEX(元データ!$E$2:$H$20000,0,MATCH($C$2,元データ!$E$1:$H$1,0)),元データ!$A$2:$A$20000,$A32,元データ!$D$2:$D$20000,$B33,元データ!$B$2:$B$20000,$C$3,元データ!$C$2:$C$20000,I$5)</f>
        <v>5</v>
      </c>
      <c r="J33" s="16">
        <f>SUMIFS(INDEX(元データ!$E$2:$H$20000,0,MATCH($C$2,元データ!$E$1:$H$1,0)),元データ!$A$2:$A$20000,$A32,元データ!$D$2:$D$20000,$B33,元データ!$B$2:$B$20000,$C$3,元データ!$C$2:$C$20000,J$5)</f>
        <v>9</v>
      </c>
      <c r="K33" s="16">
        <f>SUMIFS(INDEX(元データ!$E$2:$H$20000,0,MATCH($C$2,元データ!$E$1:$H$1,0)),元データ!$A$2:$A$20000,$A32,元データ!$D$2:$D$20000,$B33,元データ!$B$2:$B$20000,$C$3,元データ!$C$2:$C$20000,K$5)</f>
        <v>8</v>
      </c>
      <c r="L33" s="16">
        <f>SUMIFS(INDEX(元データ!$E$2:$H$20000,0,MATCH($C$2,元データ!$E$1:$H$1,0)),元データ!$A$2:$A$20000,$A32,元データ!$D$2:$D$20000,$B33,元データ!$B$2:$B$20000,$C$3,元データ!$C$2:$C$20000,L$5)</f>
        <v>4</v>
      </c>
      <c r="M33" s="16">
        <f>SUMIFS(INDEX(元データ!$E$2:$H$20000,0,MATCH($C$2,元データ!$E$1:$H$1,0)),元データ!$A$2:$A$20000,$A32,元データ!$D$2:$D$20000,$B33,元データ!$B$2:$B$20000,$C$3,元データ!$C$2:$C$20000,M$5)</f>
        <v>5</v>
      </c>
      <c r="N33" s="16">
        <f>SUMIFS(INDEX(元データ!$E$2:$H$20000,0,MATCH($C$2,元データ!$E$1:$H$1,0)),元データ!$A$2:$A$20000,$A32,元データ!$D$2:$D$20000,$B33,元データ!$B$2:$B$20000,$C$3,元データ!$C$2:$C$20000,N$5)</f>
        <v>5</v>
      </c>
      <c r="O33" s="17">
        <f t="shared" si="0"/>
        <v>75</v>
      </c>
      <c r="P33" s="17">
        <f>SUMIFS(INDEX(元データ!$E$2:$H$20000,0,MATCH($C$2,元データ!$E$1:$H$1,0)),元データ!$A$2:$A$20000,$A32,元データ!$D$2:$D$20000,$B33,元データ!$B$2:$B$20000,$D$3)</f>
        <v>0</v>
      </c>
      <c r="Q33" s="25" t="str">
        <f t="shared" si="1"/>
        <v/>
      </c>
    </row>
    <row r="34" spans="1:17" x14ac:dyDescent="0.45">
      <c r="A34" s="14" t="str">
        <f>店舗マスタ!A16</f>
        <v>沼津駅南口店</v>
      </c>
      <c r="B34" s="15" t="s">
        <v>31</v>
      </c>
      <c r="C34" s="16">
        <f>SUMIFS(INDEX(元データ!$E$2:$H$20000,0,MATCH($C$2,元データ!$E$1:$H$1,0)),元データ!$A$2:$A$20000,$A34,元データ!$D$2:$D$20000,$B34,元データ!$B$2:$B$20000,$C$3,元データ!$C$2:$C$20000,C$5)</f>
        <v>13</v>
      </c>
      <c r="D34" s="16">
        <f>SUMIFS(INDEX(元データ!$E$2:$H$20000,0,MATCH($C$2,元データ!$E$1:$H$1,0)),元データ!$A$2:$A$20000,$A34,元データ!$D$2:$D$20000,$B34,元データ!$B$2:$B$20000,$C$3,元データ!$C$2:$C$20000,D$5)</f>
        <v>129</v>
      </c>
      <c r="E34" s="16">
        <f>SUMIFS(INDEX(元データ!$E$2:$H$20000,0,MATCH($C$2,元データ!$E$1:$H$1,0)),元データ!$A$2:$A$20000,$A34,元データ!$D$2:$D$20000,$B34,元データ!$B$2:$B$20000,$C$3,元データ!$C$2:$C$20000,E$5)</f>
        <v>108</v>
      </c>
      <c r="F34" s="16">
        <f>SUMIFS(INDEX(元データ!$E$2:$H$20000,0,MATCH($C$2,元データ!$E$1:$H$1,0)),元データ!$A$2:$A$20000,$A34,元データ!$D$2:$D$20000,$B34,元データ!$B$2:$B$20000,$C$3,元データ!$C$2:$C$20000,F$5)</f>
        <v>159</v>
      </c>
      <c r="G34" s="16">
        <f>SUMIFS(INDEX(元データ!$E$2:$H$20000,0,MATCH($C$2,元データ!$E$1:$H$1,0)),元データ!$A$2:$A$20000,$A34,元データ!$D$2:$D$20000,$B34,元データ!$B$2:$B$20000,$C$3,元データ!$C$2:$C$20000,G$5)</f>
        <v>40</v>
      </c>
      <c r="H34" s="16">
        <f>SUMIFS(INDEX(元データ!$E$2:$H$20000,0,MATCH($C$2,元データ!$E$1:$H$1,0)),元データ!$A$2:$A$20000,$A34,元データ!$D$2:$D$20000,$B34,元データ!$B$2:$B$20000,$C$3,元データ!$C$2:$C$20000,H$5)</f>
        <v>63</v>
      </c>
      <c r="I34" s="16">
        <f>SUMIFS(INDEX(元データ!$E$2:$H$20000,0,MATCH($C$2,元データ!$E$1:$H$1,0)),元データ!$A$2:$A$20000,$A34,元データ!$D$2:$D$20000,$B34,元データ!$B$2:$B$20000,$C$3,元データ!$C$2:$C$20000,I$5)</f>
        <v>67</v>
      </c>
      <c r="J34" s="16">
        <f>SUMIFS(INDEX(元データ!$E$2:$H$20000,0,MATCH($C$2,元データ!$E$1:$H$1,0)),元データ!$A$2:$A$20000,$A34,元データ!$D$2:$D$20000,$B34,元データ!$B$2:$B$20000,$C$3,元データ!$C$2:$C$20000,J$5)</f>
        <v>68</v>
      </c>
      <c r="K34" s="16">
        <f>SUMIFS(INDEX(元データ!$E$2:$H$20000,0,MATCH($C$2,元データ!$E$1:$H$1,0)),元データ!$A$2:$A$20000,$A34,元データ!$D$2:$D$20000,$B34,元データ!$B$2:$B$20000,$C$3,元データ!$C$2:$C$20000,K$5)</f>
        <v>42</v>
      </c>
      <c r="L34" s="16">
        <f>SUMIFS(INDEX(元データ!$E$2:$H$20000,0,MATCH($C$2,元データ!$E$1:$H$1,0)),元データ!$A$2:$A$20000,$A34,元データ!$D$2:$D$20000,$B34,元データ!$B$2:$B$20000,$C$3,元データ!$C$2:$C$20000,L$5)</f>
        <v>41</v>
      </c>
      <c r="M34" s="16">
        <f>SUMIFS(INDEX(元データ!$E$2:$H$20000,0,MATCH($C$2,元データ!$E$1:$H$1,0)),元データ!$A$2:$A$20000,$A34,元データ!$D$2:$D$20000,$B34,元データ!$B$2:$B$20000,$C$3,元データ!$C$2:$C$20000,M$5)</f>
        <v>2</v>
      </c>
      <c r="N34" s="16">
        <f>SUMIFS(INDEX(元データ!$E$2:$H$20000,0,MATCH($C$2,元データ!$E$1:$H$1,0)),元データ!$A$2:$A$20000,$A34,元データ!$D$2:$D$20000,$B34,元データ!$B$2:$B$20000,$C$3,元データ!$C$2:$C$20000,N$5)</f>
        <v>155</v>
      </c>
      <c r="O34" s="17">
        <f t="shared" si="0"/>
        <v>887</v>
      </c>
      <c r="P34" s="17">
        <f>SUMIFS(INDEX(元データ!$E$2:$H$20000,0,MATCH($C$2,元データ!$E$1:$H$1,0)),元データ!$A$2:$A$20000,$A34,元データ!$D$2:$D$20000,$B34,元データ!$B$2:$B$20000,$D$3)</f>
        <v>0</v>
      </c>
      <c r="Q34" s="25" t="str">
        <f t="shared" si="1"/>
        <v/>
      </c>
    </row>
    <row r="35" spans="1:17" x14ac:dyDescent="0.45">
      <c r="A35" s="14"/>
      <c r="B35" s="15" t="s">
        <v>32</v>
      </c>
      <c r="C35" s="16">
        <f>SUMIFS(INDEX(元データ!$E$2:$H$20000,0,MATCH($C$2,元データ!$E$1:$H$1,0)),元データ!$A$2:$A$20000,$A34,元データ!$D$2:$D$20000,$B35,元データ!$B$2:$B$20000,$C$3,元データ!$C$2:$C$20000,C$5)</f>
        <v>8</v>
      </c>
      <c r="D35" s="16">
        <f>SUMIFS(INDEX(元データ!$E$2:$H$20000,0,MATCH($C$2,元データ!$E$1:$H$1,0)),元データ!$A$2:$A$20000,$A34,元データ!$D$2:$D$20000,$B35,元データ!$B$2:$B$20000,$C$3,元データ!$C$2:$C$20000,D$5)</f>
        <v>13</v>
      </c>
      <c r="E35" s="16">
        <f>SUMIFS(INDEX(元データ!$E$2:$H$20000,0,MATCH($C$2,元データ!$E$1:$H$1,0)),元データ!$A$2:$A$20000,$A34,元データ!$D$2:$D$20000,$B35,元データ!$B$2:$B$20000,$C$3,元データ!$C$2:$C$20000,E$5)</f>
        <v>13</v>
      </c>
      <c r="F35" s="16">
        <f>SUMIFS(INDEX(元データ!$E$2:$H$20000,0,MATCH($C$2,元データ!$E$1:$H$1,0)),元データ!$A$2:$A$20000,$A34,元データ!$D$2:$D$20000,$B35,元データ!$B$2:$B$20000,$C$3,元データ!$C$2:$C$20000,F$5)</f>
        <v>5</v>
      </c>
      <c r="G35" s="16">
        <f>SUMIFS(INDEX(元データ!$E$2:$H$20000,0,MATCH($C$2,元データ!$E$1:$H$1,0)),元データ!$A$2:$A$20000,$A34,元データ!$D$2:$D$20000,$B35,元データ!$B$2:$B$20000,$C$3,元データ!$C$2:$C$20000,G$5)</f>
        <v>2</v>
      </c>
      <c r="H35" s="16">
        <f>SUMIFS(INDEX(元データ!$E$2:$H$20000,0,MATCH($C$2,元データ!$E$1:$H$1,0)),元データ!$A$2:$A$20000,$A34,元データ!$D$2:$D$20000,$B35,元データ!$B$2:$B$20000,$C$3,元データ!$C$2:$C$20000,H$5)</f>
        <v>5</v>
      </c>
      <c r="I35" s="16">
        <f>SUMIFS(INDEX(元データ!$E$2:$H$20000,0,MATCH($C$2,元データ!$E$1:$H$1,0)),元データ!$A$2:$A$20000,$A34,元データ!$D$2:$D$20000,$B35,元データ!$B$2:$B$20000,$C$3,元データ!$C$2:$C$20000,I$5)</f>
        <v>5</v>
      </c>
      <c r="J35" s="16">
        <f>SUMIFS(INDEX(元データ!$E$2:$H$20000,0,MATCH($C$2,元データ!$E$1:$H$1,0)),元データ!$A$2:$A$20000,$A34,元データ!$D$2:$D$20000,$B35,元データ!$B$2:$B$20000,$C$3,元データ!$C$2:$C$20000,J$5)</f>
        <v>10</v>
      </c>
      <c r="K35" s="16">
        <f>SUMIFS(INDEX(元データ!$E$2:$H$20000,0,MATCH($C$2,元データ!$E$1:$H$1,0)),元データ!$A$2:$A$20000,$A34,元データ!$D$2:$D$20000,$B35,元データ!$B$2:$B$20000,$C$3,元データ!$C$2:$C$20000,K$5)</f>
        <v>9</v>
      </c>
      <c r="L35" s="16">
        <f>SUMIFS(INDEX(元データ!$E$2:$H$20000,0,MATCH($C$2,元データ!$E$1:$H$1,0)),元データ!$A$2:$A$20000,$A34,元データ!$D$2:$D$20000,$B35,元データ!$B$2:$B$20000,$C$3,元データ!$C$2:$C$20000,L$5)</f>
        <v>8</v>
      </c>
      <c r="M35" s="16">
        <f>SUMIFS(INDEX(元データ!$E$2:$H$20000,0,MATCH($C$2,元データ!$E$1:$H$1,0)),元データ!$A$2:$A$20000,$A34,元データ!$D$2:$D$20000,$B35,元データ!$B$2:$B$20000,$C$3,元データ!$C$2:$C$20000,M$5)</f>
        <v>7</v>
      </c>
      <c r="N35" s="16">
        <f>SUMIFS(INDEX(元データ!$E$2:$H$20000,0,MATCH($C$2,元データ!$E$1:$H$1,0)),元データ!$A$2:$A$20000,$A34,元データ!$D$2:$D$20000,$B35,元データ!$B$2:$B$20000,$C$3,元データ!$C$2:$C$20000,N$5)</f>
        <v>9</v>
      </c>
      <c r="O35" s="17">
        <f t="shared" si="0"/>
        <v>94</v>
      </c>
      <c r="P35" s="17">
        <f>SUMIFS(INDEX(元データ!$E$2:$H$20000,0,MATCH($C$2,元データ!$E$1:$H$1,0)),元データ!$A$2:$A$20000,$A34,元データ!$D$2:$D$20000,$B35,元データ!$B$2:$B$20000,$D$3)</f>
        <v>0</v>
      </c>
      <c r="Q35" s="25" t="str">
        <f t="shared" si="1"/>
        <v/>
      </c>
    </row>
    <row r="36" spans="1:17" x14ac:dyDescent="0.45">
      <c r="A36" s="14" t="str">
        <f>店舗マスタ!A17</f>
        <v>神山店</v>
      </c>
      <c r="B36" s="15" t="s">
        <v>31</v>
      </c>
      <c r="C36" s="16">
        <f>SUMIFS(INDEX(元データ!$E$2:$H$20000,0,MATCH($C$2,元データ!$E$1:$H$1,0)),元データ!$A$2:$A$20000,$A36,元データ!$D$2:$D$20000,$B36,元データ!$B$2:$B$20000,$C$3,元データ!$C$2:$C$20000,C$5)</f>
        <v>15</v>
      </c>
      <c r="D36" s="16">
        <f>SUMIFS(INDEX(元データ!$E$2:$H$20000,0,MATCH($C$2,元データ!$E$1:$H$1,0)),元データ!$A$2:$A$20000,$A36,元データ!$D$2:$D$20000,$B36,元データ!$B$2:$B$20000,$C$3,元データ!$C$2:$C$20000,D$5)</f>
        <v>102</v>
      </c>
      <c r="E36" s="16">
        <f>SUMIFS(INDEX(元データ!$E$2:$H$20000,0,MATCH($C$2,元データ!$E$1:$H$1,0)),元データ!$A$2:$A$20000,$A36,元データ!$D$2:$D$20000,$B36,元データ!$B$2:$B$20000,$C$3,元データ!$C$2:$C$20000,E$5)</f>
        <v>75</v>
      </c>
      <c r="F36" s="16">
        <f>SUMIFS(INDEX(元データ!$E$2:$H$20000,0,MATCH($C$2,元データ!$E$1:$H$1,0)),元データ!$A$2:$A$20000,$A36,元データ!$D$2:$D$20000,$B36,元データ!$B$2:$B$20000,$C$3,元データ!$C$2:$C$20000,F$5)</f>
        <v>117</v>
      </c>
      <c r="G36" s="16">
        <f>SUMIFS(INDEX(元データ!$E$2:$H$20000,0,MATCH($C$2,元データ!$E$1:$H$1,0)),元データ!$A$2:$A$20000,$A36,元データ!$D$2:$D$20000,$B36,元データ!$B$2:$B$20000,$C$3,元データ!$C$2:$C$20000,G$5)</f>
        <v>60</v>
      </c>
      <c r="H36" s="16">
        <f>SUMIFS(INDEX(元データ!$E$2:$H$20000,0,MATCH($C$2,元データ!$E$1:$H$1,0)),元データ!$A$2:$A$20000,$A36,元データ!$D$2:$D$20000,$B36,元データ!$B$2:$B$20000,$C$3,元データ!$C$2:$C$20000,H$5)</f>
        <v>56</v>
      </c>
      <c r="I36" s="16">
        <f>SUMIFS(INDEX(元データ!$E$2:$H$20000,0,MATCH($C$2,元データ!$E$1:$H$1,0)),元データ!$A$2:$A$20000,$A36,元データ!$D$2:$D$20000,$B36,元データ!$B$2:$B$20000,$C$3,元データ!$C$2:$C$20000,I$5)</f>
        <v>41</v>
      </c>
      <c r="J36" s="16">
        <f>SUMIFS(INDEX(元データ!$E$2:$H$20000,0,MATCH($C$2,元データ!$E$1:$H$1,0)),元データ!$A$2:$A$20000,$A36,元データ!$D$2:$D$20000,$B36,元データ!$B$2:$B$20000,$C$3,元データ!$C$2:$C$20000,J$5)</f>
        <v>78</v>
      </c>
      <c r="K36" s="16">
        <f>SUMIFS(INDEX(元データ!$E$2:$H$20000,0,MATCH($C$2,元データ!$E$1:$H$1,0)),元データ!$A$2:$A$20000,$A36,元データ!$D$2:$D$20000,$B36,元データ!$B$2:$B$20000,$C$3,元データ!$C$2:$C$20000,K$5)</f>
        <v>77</v>
      </c>
      <c r="L36" s="16">
        <f>SUMIFS(INDEX(元データ!$E$2:$H$20000,0,MATCH($C$2,元データ!$E$1:$H$1,0)),元データ!$A$2:$A$20000,$A36,元データ!$D$2:$D$20000,$B36,元データ!$B$2:$B$20000,$C$3,元データ!$C$2:$C$20000,L$5)</f>
        <v>63</v>
      </c>
      <c r="M36" s="16">
        <f>SUMIFS(INDEX(元データ!$E$2:$H$20000,0,MATCH($C$2,元データ!$E$1:$H$1,0)),元データ!$A$2:$A$20000,$A36,元データ!$D$2:$D$20000,$B36,元データ!$B$2:$B$20000,$C$3,元データ!$C$2:$C$20000,M$5)</f>
        <v>26</v>
      </c>
      <c r="N36" s="16">
        <f>SUMIFS(INDEX(元データ!$E$2:$H$20000,0,MATCH($C$2,元データ!$E$1:$H$1,0)),元データ!$A$2:$A$20000,$A36,元データ!$D$2:$D$20000,$B36,元データ!$B$2:$B$20000,$C$3,元データ!$C$2:$C$20000,N$5)</f>
        <v>118</v>
      </c>
      <c r="O36" s="17">
        <f t="shared" si="0"/>
        <v>828</v>
      </c>
      <c r="P36" s="17">
        <f>SUMIFS(INDEX(元データ!$E$2:$H$20000,0,MATCH($C$2,元データ!$E$1:$H$1,0)),元データ!$A$2:$A$20000,$A36,元データ!$D$2:$D$20000,$B36,元データ!$B$2:$B$20000,$D$3)</f>
        <v>0</v>
      </c>
      <c r="Q36" s="25" t="str">
        <f t="shared" si="1"/>
        <v/>
      </c>
    </row>
    <row r="37" spans="1:17" x14ac:dyDescent="0.45">
      <c r="A37" s="14"/>
      <c r="B37" s="15" t="s">
        <v>32</v>
      </c>
      <c r="C37" s="16">
        <f>SUMIFS(INDEX(元データ!$E$2:$H$20000,0,MATCH($C$2,元データ!$E$1:$H$1,0)),元データ!$A$2:$A$20000,$A36,元データ!$D$2:$D$20000,$B37,元データ!$B$2:$B$20000,$C$3,元データ!$C$2:$C$20000,C$5)</f>
        <v>5</v>
      </c>
      <c r="D37" s="16">
        <f>SUMIFS(INDEX(元データ!$E$2:$H$20000,0,MATCH($C$2,元データ!$E$1:$H$1,0)),元データ!$A$2:$A$20000,$A36,元データ!$D$2:$D$20000,$B37,元データ!$B$2:$B$20000,$C$3,元データ!$C$2:$C$20000,D$5)</f>
        <v>5</v>
      </c>
      <c r="E37" s="16">
        <f>SUMIFS(INDEX(元データ!$E$2:$H$20000,0,MATCH($C$2,元データ!$E$1:$H$1,0)),元データ!$A$2:$A$20000,$A36,元データ!$D$2:$D$20000,$B37,元データ!$B$2:$B$20000,$C$3,元データ!$C$2:$C$20000,E$5)</f>
        <v>8</v>
      </c>
      <c r="F37" s="16">
        <f>SUMIFS(INDEX(元データ!$E$2:$H$20000,0,MATCH($C$2,元データ!$E$1:$H$1,0)),元データ!$A$2:$A$20000,$A36,元データ!$D$2:$D$20000,$B37,元データ!$B$2:$B$20000,$C$3,元データ!$C$2:$C$20000,F$5)</f>
        <v>4</v>
      </c>
      <c r="G37" s="16">
        <f>SUMIFS(INDEX(元データ!$E$2:$H$20000,0,MATCH($C$2,元データ!$E$1:$H$1,0)),元データ!$A$2:$A$20000,$A36,元データ!$D$2:$D$20000,$B37,元データ!$B$2:$B$20000,$C$3,元データ!$C$2:$C$20000,G$5)</f>
        <v>4</v>
      </c>
      <c r="H37" s="16">
        <f>SUMIFS(INDEX(元データ!$E$2:$H$20000,0,MATCH($C$2,元データ!$E$1:$H$1,0)),元データ!$A$2:$A$20000,$A36,元データ!$D$2:$D$20000,$B37,元データ!$B$2:$B$20000,$C$3,元データ!$C$2:$C$20000,H$5)</f>
        <v>6</v>
      </c>
      <c r="I37" s="16">
        <f>SUMIFS(INDEX(元データ!$E$2:$H$20000,0,MATCH($C$2,元データ!$E$1:$H$1,0)),元データ!$A$2:$A$20000,$A36,元データ!$D$2:$D$20000,$B37,元データ!$B$2:$B$20000,$C$3,元データ!$C$2:$C$20000,I$5)</f>
        <v>3</v>
      </c>
      <c r="J37" s="16">
        <f>SUMIFS(INDEX(元データ!$E$2:$H$20000,0,MATCH($C$2,元データ!$E$1:$H$1,0)),元データ!$A$2:$A$20000,$A36,元データ!$D$2:$D$20000,$B37,元データ!$B$2:$B$20000,$C$3,元データ!$C$2:$C$20000,J$5)</f>
        <v>5</v>
      </c>
      <c r="K37" s="16">
        <f>SUMIFS(INDEX(元データ!$E$2:$H$20000,0,MATCH($C$2,元データ!$E$1:$H$1,0)),元データ!$A$2:$A$20000,$A36,元データ!$D$2:$D$20000,$B37,元データ!$B$2:$B$20000,$C$3,元データ!$C$2:$C$20000,K$5)</f>
        <v>8</v>
      </c>
      <c r="L37" s="16">
        <f>SUMIFS(INDEX(元データ!$E$2:$H$20000,0,MATCH($C$2,元データ!$E$1:$H$1,0)),元データ!$A$2:$A$20000,$A36,元データ!$D$2:$D$20000,$B37,元データ!$B$2:$B$20000,$C$3,元データ!$C$2:$C$20000,L$5)</f>
        <v>11</v>
      </c>
      <c r="M37" s="16">
        <f>SUMIFS(INDEX(元データ!$E$2:$H$20000,0,MATCH($C$2,元データ!$E$1:$H$1,0)),元データ!$A$2:$A$20000,$A36,元データ!$D$2:$D$20000,$B37,元データ!$B$2:$B$20000,$C$3,元データ!$C$2:$C$20000,M$5)</f>
        <v>6</v>
      </c>
      <c r="N37" s="16">
        <f>SUMIFS(INDEX(元データ!$E$2:$H$20000,0,MATCH($C$2,元データ!$E$1:$H$1,0)),元データ!$A$2:$A$20000,$A36,元データ!$D$2:$D$20000,$B37,元データ!$B$2:$B$20000,$C$3,元データ!$C$2:$C$20000,N$5)</f>
        <v>2</v>
      </c>
      <c r="O37" s="17">
        <f t="shared" si="0"/>
        <v>67</v>
      </c>
      <c r="P37" s="17">
        <f>SUMIFS(INDEX(元データ!$E$2:$H$20000,0,MATCH($C$2,元データ!$E$1:$H$1,0)),元データ!$A$2:$A$20000,$A36,元データ!$D$2:$D$20000,$B37,元データ!$B$2:$B$20000,$D$3)</f>
        <v>0</v>
      </c>
      <c r="Q37" s="25" t="str">
        <f t="shared" si="1"/>
        <v/>
      </c>
    </row>
    <row r="38" spans="1:17" x14ac:dyDescent="0.45">
      <c r="A38" s="14" t="str">
        <f>店舗マスタ!A18</f>
        <v>長泉店</v>
      </c>
      <c r="B38" s="15" t="s">
        <v>31</v>
      </c>
      <c r="C38" s="16">
        <f>SUMIFS(INDEX(元データ!$E$2:$H$20000,0,MATCH($C$2,元データ!$E$1:$H$1,0)),元データ!$A$2:$A$20000,$A38,元データ!$D$2:$D$20000,$B38,元データ!$B$2:$B$20000,$C$3,元データ!$C$2:$C$20000,C$5)</f>
        <v>34</v>
      </c>
      <c r="D38" s="16">
        <f>SUMIFS(INDEX(元データ!$E$2:$H$20000,0,MATCH($C$2,元データ!$E$1:$H$1,0)),元データ!$A$2:$A$20000,$A38,元データ!$D$2:$D$20000,$B38,元データ!$B$2:$B$20000,$C$3,元データ!$C$2:$C$20000,D$5)</f>
        <v>120</v>
      </c>
      <c r="E38" s="16">
        <f>SUMIFS(INDEX(元データ!$E$2:$H$20000,0,MATCH($C$2,元データ!$E$1:$H$1,0)),元データ!$A$2:$A$20000,$A38,元データ!$D$2:$D$20000,$B38,元データ!$B$2:$B$20000,$C$3,元データ!$C$2:$C$20000,E$5)</f>
        <v>170</v>
      </c>
      <c r="F38" s="16">
        <f>SUMIFS(INDEX(元データ!$E$2:$H$20000,0,MATCH($C$2,元データ!$E$1:$H$1,0)),元データ!$A$2:$A$20000,$A38,元データ!$D$2:$D$20000,$B38,元データ!$B$2:$B$20000,$C$3,元データ!$C$2:$C$20000,F$5)</f>
        <v>262</v>
      </c>
      <c r="G38" s="16">
        <f>SUMIFS(INDEX(元データ!$E$2:$H$20000,0,MATCH($C$2,元データ!$E$1:$H$1,0)),元データ!$A$2:$A$20000,$A38,元データ!$D$2:$D$20000,$B38,元データ!$B$2:$B$20000,$C$3,元データ!$C$2:$C$20000,G$5)</f>
        <v>109</v>
      </c>
      <c r="H38" s="16">
        <f>SUMIFS(INDEX(元データ!$E$2:$H$20000,0,MATCH($C$2,元データ!$E$1:$H$1,0)),元データ!$A$2:$A$20000,$A38,元データ!$D$2:$D$20000,$B38,元データ!$B$2:$B$20000,$C$3,元データ!$C$2:$C$20000,H$5)</f>
        <v>111</v>
      </c>
      <c r="I38" s="16">
        <f>SUMIFS(INDEX(元データ!$E$2:$H$20000,0,MATCH($C$2,元データ!$E$1:$H$1,0)),元データ!$A$2:$A$20000,$A38,元データ!$D$2:$D$20000,$B38,元データ!$B$2:$B$20000,$C$3,元データ!$C$2:$C$20000,I$5)</f>
        <v>108</v>
      </c>
      <c r="J38" s="16">
        <f>SUMIFS(INDEX(元データ!$E$2:$H$20000,0,MATCH($C$2,元データ!$E$1:$H$1,0)),元データ!$A$2:$A$20000,$A38,元データ!$D$2:$D$20000,$B38,元データ!$B$2:$B$20000,$C$3,元データ!$C$2:$C$20000,J$5)</f>
        <v>107</v>
      </c>
      <c r="K38" s="16">
        <f>SUMIFS(INDEX(元データ!$E$2:$H$20000,0,MATCH($C$2,元データ!$E$1:$H$1,0)),元データ!$A$2:$A$20000,$A38,元データ!$D$2:$D$20000,$B38,元データ!$B$2:$B$20000,$C$3,元データ!$C$2:$C$20000,K$5)</f>
        <v>72</v>
      </c>
      <c r="L38" s="16">
        <f>SUMIFS(INDEX(元データ!$E$2:$H$20000,0,MATCH($C$2,元データ!$E$1:$H$1,0)),元データ!$A$2:$A$20000,$A38,元データ!$D$2:$D$20000,$B38,元データ!$B$2:$B$20000,$C$3,元データ!$C$2:$C$20000,L$5)</f>
        <v>103</v>
      </c>
      <c r="M38" s="16">
        <f>SUMIFS(INDEX(元データ!$E$2:$H$20000,0,MATCH($C$2,元データ!$E$1:$H$1,0)),元データ!$A$2:$A$20000,$A38,元データ!$D$2:$D$20000,$B38,元データ!$B$2:$B$20000,$C$3,元データ!$C$2:$C$20000,M$5)</f>
        <v>33</v>
      </c>
      <c r="N38" s="16">
        <f>SUMIFS(INDEX(元データ!$E$2:$H$20000,0,MATCH($C$2,元データ!$E$1:$H$1,0)),元データ!$A$2:$A$20000,$A38,元データ!$D$2:$D$20000,$B38,元データ!$B$2:$B$20000,$C$3,元データ!$C$2:$C$20000,N$5)</f>
        <v>207</v>
      </c>
      <c r="O38" s="17">
        <f t="shared" ref="O38:O69" si="2">SUM(C38:N38)</f>
        <v>1436</v>
      </c>
      <c r="P38" s="17">
        <f>SUMIFS(INDEX(元データ!$E$2:$H$20000,0,MATCH($C$2,元データ!$E$1:$H$1,0)),元データ!$A$2:$A$20000,$A38,元データ!$D$2:$D$20000,$B38,元データ!$B$2:$B$20000,$D$3)</f>
        <v>0</v>
      </c>
      <c r="Q38" s="25" t="str">
        <f t="shared" ref="Q38:Q69" si="3">IFERROR(O38/P38,"")</f>
        <v/>
      </c>
    </row>
    <row r="39" spans="1:17" x14ac:dyDescent="0.45">
      <c r="A39" s="14"/>
      <c r="B39" s="15" t="s">
        <v>32</v>
      </c>
      <c r="C39" s="16">
        <f>SUMIFS(INDEX(元データ!$E$2:$H$20000,0,MATCH($C$2,元データ!$E$1:$H$1,0)),元データ!$A$2:$A$20000,$A38,元データ!$D$2:$D$20000,$B39,元データ!$B$2:$B$20000,$C$3,元データ!$C$2:$C$20000,C$5)</f>
        <v>4</v>
      </c>
      <c r="D39" s="16">
        <f>SUMIFS(INDEX(元データ!$E$2:$H$20000,0,MATCH($C$2,元データ!$E$1:$H$1,0)),元データ!$A$2:$A$20000,$A38,元データ!$D$2:$D$20000,$B39,元データ!$B$2:$B$20000,$C$3,元データ!$C$2:$C$20000,D$5)</f>
        <v>10</v>
      </c>
      <c r="E39" s="16">
        <f>SUMIFS(INDEX(元データ!$E$2:$H$20000,0,MATCH($C$2,元データ!$E$1:$H$1,0)),元データ!$A$2:$A$20000,$A38,元データ!$D$2:$D$20000,$B39,元データ!$B$2:$B$20000,$C$3,元データ!$C$2:$C$20000,E$5)</f>
        <v>10</v>
      </c>
      <c r="F39" s="16">
        <f>SUMIFS(INDEX(元データ!$E$2:$H$20000,0,MATCH($C$2,元データ!$E$1:$H$1,0)),元データ!$A$2:$A$20000,$A38,元データ!$D$2:$D$20000,$B39,元データ!$B$2:$B$20000,$C$3,元データ!$C$2:$C$20000,F$5)</f>
        <v>7</v>
      </c>
      <c r="G39" s="16">
        <f>SUMIFS(INDEX(元データ!$E$2:$H$20000,0,MATCH($C$2,元データ!$E$1:$H$1,0)),元データ!$A$2:$A$20000,$A38,元データ!$D$2:$D$20000,$B39,元データ!$B$2:$B$20000,$C$3,元データ!$C$2:$C$20000,G$5)</f>
        <v>2</v>
      </c>
      <c r="H39" s="16">
        <f>SUMIFS(INDEX(元データ!$E$2:$H$20000,0,MATCH($C$2,元データ!$E$1:$H$1,0)),元データ!$A$2:$A$20000,$A38,元データ!$D$2:$D$20000,$B39,元データ!$B$2:$B$20000,$C$3,元データ!$C$2:$C$20000,H$5)</f>
        <v>9</v>
      </c>
      <c r="I39" s="16">
        <f>SUMIFS(INDEX(元データ!$E$2:$H$20000,0,MATCH($C$2,元データ!$E$1:$H$1,0)),元データ!$A$2:$A$20000,$A38,元データ!$D$2:$D$20000,$B39,元データ!$B$2:$B$20000,$C$3,元データ!$C$2:$C$20000,I$5)</f>
        <v>10</v>
      </c>
      <c r="J39" s="16">
        <f>SUMIFS(INDEX(元データ!$E$2:$H$20000,0,MATCH($C$2,元データ!$E$1:$H$1,0)),元データ!$A$2:$A$20000,$A38,元データ!$D$2:$D$20000,$B39,元データ!$B$2:$B$20000,$C$3,元データ!$C$2:$C$20000,J$5)</f>
        <v>13</v>
      </c>
      <c r="K39" s="16">
        <f>SUMIFS(INDEX(元データ!$E$2:$H$20000,0,MATCH($C$2,元データ!$E$1:$H$1,0)),元データ!$A$2:$A$20000,$A38,元データ!$D$2:$D$20000,$B39,元データ!$B$2:$B$20000,$C$3,元データ!$C$2:$C$20000,K$5)</f>
        <v>18</v>
      </c>
      <c r="L39" s="16">
        <f>SUMIFS(INDEX(元データ!$E$2:$H$20000,0,MATCH($C$2,元データ!$E$1:$H$1,0)),元データ!$A$2:$A$20000,$A38,元データ!$D$2:$D$20000,$B39,元データ!$B$2:$B$20000,$C$3,元データ!$C$2:$C$20000,L$5)</f>
        <v>13</v>
      </c>
      <c r="M39" s="16">
        <f>SUMIFS(INDEX(元データ!$E$2:$H$20000,0,MATCH($C$2,元データ!$E$1:$H$1,0)),元データ!$A$2:$A$20000,$A38,元データ!$D$2:$D$20000,$B39,元データ!$B$2:$B$20000,$C$3,元データ!$C$2:$C$20000,M$5)</f>
        <v>7</v>
      </c>
      <c r="N39" s="16">
        <f>SUMIFS(INDEX(元データ!$E$2:$H$20000,0,MATCH($C$2,元データ!$E$1:$H$1,0)),元データ!$A$2:$A$20000,$A38,元データ!$D$2:$D$20000,$B39,元データ!$B$2:$B$20000,$C$3,元データ!$C$2:$C$20000,N$5)</f>
        <v>5</v>
      </c>
      <c r="O39" s="17">
        <f t="shared" si="2"/>
        <v>108</v>
      </c>
      <c r="P39" s="17">
        <f>SUMIFS(INDEX(元データ!$E$2:$H$20000,0,MATCH($C$2,元データ!$E$1:$H$1,0)),元データ!$A$2:$A$20000,$A38,元データ!$D$2:$D$20000,$B39,元データ!$B$2:$B$20000,$D$3)</f>
        <v>0</v>
      </c>
      <c r="Q39" s="25" t="str">
        <f t="shared" si="3"/>
        <v/>
      </c>
    </row>
    <row r="40" spans="1:17" x14ac:dyDescent="0.45">
      <c r="A40" s="14" t="str">
        <f>店舗マスタ!A19</f>
        <v>大仁店</v>
      </c>
      <c r="B40" s="15" t="s">
        <v>31</v>
      </c>
      <c r="C40" s="16">
        <f>SUMIFS(INDEX(元データ!$E$2:$H$20000,0,MATCH($C$2,元データ!$E$1:$H$1,0)),元データ!$A$2:$A$20000,$A40,元データ!$D$2:$D$20000,$B40,元データ!$B$2:$B$20000,$C$3,元データ!$C$2:$C$20000,C$5)</f>
        <v>13</v>
      </c>
      <c r="D40" s="16">
        <f>SUMIFS(INDEX(元データ!$E$2:$H$20000,0,MATCH($C$2,元データ!$E$1:$H$1,0)),元データ!$A$2:$A$20000,$A40,元データ!$D$2:$D$20000,$B40,元データ!$B$2:$B$20000,$C$3,元データ!$C$2:$C$20000,D$5)</f>
        <v>49</v>
      </c>
      <c r="E40" s="16">
        <f>SUMIFS(INDEX(元データ!$E$2:$H$20000,0,MATCH($C$2,元データ!$E$1:$H$1,0)),元データ!$A$2:$A$20000,$A40,元データ!$D$2:$D$20000,$B40,元データ!$B$2:$B$20000,$C$3,元データ!$C$2:$C$20000,E$5)</f>
        <v>49</v>
      </c>
      <c r="F40" s="16">
        <f>SUMIFS(INDEX(元データ!$E$2:$H$20000,0,MATCH($C$2,元データ!$E$1:$H$1,0)),元データ!$A$2:$A$20000,$A40,元データ!$D$2:$D$20000,$B40,元データ!$B$2:$B$20000,$C$3,元データ!$C$2:$C$20000,F$5)</f>
        <v>41</v>
      </c>
      <c r="G40" s="16">
        <f>SUMIFS(INDEX(元データ!$E$2:$H$20000,0,MATCH($C$2,元データ!$E$1:$H$1,0)),元データ!$A$2:$A$20000,$A40,元データ!$D$2:$D$20000,$B40,元データ!$B$2:$B$20000,$C$3,元データ!$C$2:$C$20000,G$5)</f>
        <v>42</v>
      </c>
      <c r="H40" s="16">
        <f>SUMIFS(INDEX(元データ!$E$2:$H$20000,0,MATCH($C$2,元データ!$E$1:$H$1,0)),元データ!$A$2:$A$20000,$A40,元データ!$D$2:$D$20000,$B40,元データ!$B$2:$B$20000,$C$3,元データ!$C$2:$C$20000,H$5)</f>
        <v>32</v>
      </c>
      <c r="I40" s="16">
        <f>SUMIFS(INDEX(元データ!$E$2:$H$20000,0,MATCH($C$2,元データ!$E$1:$H$1,0)),元データ!$A$2:$A$20000,$A40,元データ!$D$2:$D$20000,$B40,元データ!$B$2:$B$20000,$C$3,元データ!$C$2:$C$20000,I$5)</f>
        <v>23</v>
      </c>
      <c r="J40" s="16">
        <f>SUMIFS(INDEX(元データ!$E$2:$H$20000,0,MATCH($C$2,元データ!$E$1:$H$1,0)),元データ!$A$2:$A$20000,$A40,元データ!$D$2:$D$20000,$B40,元データ!$B$2:$B$20000,$C$3,元データ!$C$2:$C$20000,J$5)</f>
        <v>33</v>
      </c>
      <c r="K40" s="16">
        <f>SUMIFS(INDEX(元データ!$E$2:$H$20000,0,MATCH($C$2,元データ!$E$1:$H$1,0)),元データ!$A$2:$A$20000,$A40,元データ!$D$2:$D$20000,$B40,元データ!$B$2:$B$20000,$C$3,元データ!$C$2:$C$20000,K$5)</f>
        <v>36</v>
      </c>
      <c r="L40" s="16">
        <f>SUMIFS(INDEX(元データ!$E$2:$H$20000,0,MATCH($C$2,元データ!$E$1:$H$1,0)),元データ!$A$2:$A$20000,$A40,元データ!$D$2:$D$20000,$B40,元データ!$B$2:$B$20000,$C$3,元データ!$C$2:$C$20000,L$5)</f>
        <v>44</v>
      </c>
      <c r="M40" s="16">
        <f>SUMIFS(INDEX(元データ!$E$2:$H$20000,0,MATCH($C$2,元データ!$E$1:$H$1,0)),元データ!$A$2:$A$20000,$A40,元データ!$D$2:$D$20000,$B40,元データ!$B$2:$B$20000,$C$3,元データ!$C$2:$C$20000,M$5)</f>
        <v>16</v>
      </c>
      <c r="N40" s="16">
        <f>SUMIFS(INDEX(元データ!$E$2:$H$20000,0,MATCH($C$2,元データ!$E$1:$H$1,0)),元データ!$A$2:$A$20000,$A40,元データ!$D$2:$D$20000,$B40,元データ!$B$2:$B$20000,$C$3,元データ!$C$2:$C$20000,N$5)</f>
        <v>55</v>
      </c>
      <c r="O40" s="17">
        <f t="shared" si="2"/>
        <v>433</v>
      </c>
      <c r="P40" s="17">
        <f>SUMIFS(INDEX(元データ!$E$2:$H$20000,0,MATCH($C$2,元データ!$E$1:$H$1,0)),元データ!$A$2:$A$20000,$A40,元データ!$D$2:$D$20000,$B40,元データ!$B$2:$B$20000,$D$3)</f>
        <v>0</v>
      </c>
      <c r="Q40" s="25" t="str">
        <f t="shared" si="3"/>
        <v/>
      </c>
    </row>
    <row r="41" spans="1:17" x14ac:dyDescent="0.45">
      <c r="A41" s="14"/>
      <c r="B41" s="15" t="s">
        <v>32</v>
      </c>
      <c r="C41" s="16">
        <f>SUMIFS(INDEX(元データ!$E$2:$H$20000,0,MATCH($C$2,元データ!$E$1:$H$1,0)),元データ!$A$2:$A$20000,$A40,元データ!$D$2:$D$20000,$B41,元データ!$B$2:$B$20000,$C$3,元データ!$C$2:$C$20000,C$5)</f>
        <v>1</v>
      </c>
      <c r="D41" s="16">
        <f>SUMIFS(INDEX(元データ!$E$2:$H$20000,0,MATCH($C$2,元データ!$E$1:$H$1,0)),元データ!$A$2:$A$20000,$A40,元データ!$D$2:$D$20000,$B41,元データ!$B$2:$B$20000,$C$3,元データ!$C$2:$C$20000,D$5)</f>
        <v>2</v>
      </c>
      <c r="E41" s="16">
        <f>SUMIFS(INDEX(元データ!$E$2:$H$20000,0,MATCH($C$2,元データ!$E$1:$H$1,0)),元データ!$A$2:$A$20000,$A40,元データ!$D$2:$D$20000,$B41,元データ!$B$2:$B$20000,$C$3,元データ!$C$2:$C$20000,E$5)</f>
        <v>2</v>
      </c>
      <c r="F41" s="16">
        <f>SUMIFS(INDEX(元データ!$E$2:$H$20000,0,MATCH($C$2,元データ!$E$1:$H$1,0)),元データ!$A$2:$A$20000,$A40,元データ!$D$2:$D$20000,$B41,元データ!$B$2:$B$20000,$C$3,元データ!$C$2:$C$20000,F$5)</f>
        <v>3</v>
      </c>
      <c r="G41" s="16">
        <f>SUMIFS(INDEX(元データ!$E$2:$H$20000,0,MATCH($C$2,元データ!$E$1:$H$1,0)),元データ!$A$2:$A$20000,$A40,元データ!$D$2:$D$20000,$B41,元データ!$B$2:$B$20000,$C$3,元データ!$C$2:$C$20000,G$5)</f>
        <v>5</v>
      </c>
      <c r="H41" s="16">
        <f>SUMIFS(INDEX(元データ!$E$2:$H$20000,0,MATCH($C$2,元データ!$E$1:$H$1,0)),元データ!$A$2:$A$20000,$A40,元データ!$D$2:$D$20000,$B41,元データ!$B$2:$B$20000,$C$3,元データ!$C$2:$C$20000,H$5)</f>
        <v>5</v>
      </c>
      <c r="I41" s="16">
        <f>SUMIFS(INDEX(元データ!$E$2:$H$20000,0,MATCH($C$2,元データ!$E$1:$H$1,0)),元データ!$A$2:$A$20000,$A40,元データ!$D$2:$D$20000,$B41,元データ!$B$2:$B$20000,$C$3,元データ!$C$2:$C$20000,I$5)</f>
        <v>4</v>
      </c>
      <c r="J41" s="16">
        <f>SUMIFS(INDEX(元データ!$E$2:$H$20000,0,MATCH($C$2,元データ!$E$1:$H$1,0)),元データ!$A$2:$A$20000,$A40,元データ!$D$2:$D$20000,$B41,元データ!$B$2:$B$20000,$C$3,元データ!$C$2:$C$20000,J$5)</f>
        <v>2</v>
      </c>
      <c r="K41" s="16">
        <f>SUMIFS(INDEX(元データ!$E$2:$H$20000,0,MATCH($C$2,元データ!$E$1:$H$1,0)),元データ!$A$2:$A$20000,$A40,元データ!$D$2:$D$20000,$B41,元データ!$B$2:$B$20000,$C$3,元データ!$C$2:$C$20000,K$5)</f>
        <v>5</v>
      </c>
      <c r="L41" s="16">
        <f>SUMIFS(INDEX(元データ!$E$2:$H$20000,0,MATCH($C$2,元データ!$E$1:$H$1,0)),元データ!$A$2:$A$20000,$A40,元データ!$D$2:$D$20000,$B41,元データ!$B$2:$B$20000,$C$3,元データ!$C$2:$C$20000,L$5)</f>
        <v>6</v>
      </c>
      <c r="M41" s="16">
        <f>SUMIFS(INDEX(元データ!$E$2:$H$20000,0,MATCH($C$2,元データ!$E$1:$H$1,0)),元データ!$A$2:$A$20000,$A40,元データ!$D$2:$D$20000,$B41,元データ!$B$2:$B$20000,$C$3,元データ!$C$2:$C$20000,M$5)</f>
        <v>3</v>
      </c>
      <c r="N41" s="16">
        <f>SUMIFS(INDEX(元データ!$E$2:$H$20000,0,MATCH($C$2,元データ!$E$1:$H$1,0)),元データ!$A$2:$A$20000,$A40,元データ!$D$2:$D$20000,$B41,元データ!$B$2:$B$20000,$C$3,元データ!$C$2:$C$20000,N$5)</f>
        <v>0</v>
      </c>
      <c r="O41" s="17">
        <f t="shared" si="2"/>
        <v>38</v>
      </c>
      <c r="P41" s="17">
        <f>SUMIFS(INDEX(元データ!$E$2:$H$20000,0,MATCH($C$2,元データ!$E$1:$H$1,0)),元データ!$A$2:$A$20000,$A40,元データ!$D$2:$D$20000,$B41,元データ!$B$2:$B$20000,$D$3)</f>
        <v>0</v>
      </c>
      <c r="Q41" s="25" t="str">
        <f t="shared" si="3"/>
        <v/>
      </c>
    </row>
    <row r="42" spans="1:17" x14ac:dyDescent="0.45">
      <c r="A42" s="14" t="str">
        <f>店舗マスタ!A20</f>
        <v>修善寺店</v>
      </c>
      <c r="B42" s="15" t="s">
        <v>31</v>
      </c>
      <c r="C42" s="16">
        <f>SUMIFS(INDEX(元データ!$E$2:$H$20000,0,MATCH($C$2,元データ!$E$1:$H$1,0)),元データ!$A$2:$A$20000,$A42,元データ!$D$2:$D$20000,$B42,元データ!$B$2:$B$20000,$C$3,元データ!$C$2:$C$20000,C$5)</f>
        <v>8</v>
      </c>
      <c r="D42" s="16">
        <f>SUMIFS(INDEX(元データ!$E$2:$H$20000,0,MATCH($C$2,元データ!$E$1:$H$1,0)),元データ!$A$2:$A$20000,$A42,元データ!$D$2:$D$20000,$B42,元データ!$B$2:$B$20000,$C$3,元データ!$C$2:$C$20000,D$5)</f>
        <v>65</v>
      </c>
      <c r="E42" s="16">
        <f>SUMIFS(INDEX(元データ!$E$2:$H$20000,0,MATCH($C$2,元データ!$E$1:$H$1,0)),元データ!$A$2:$A$20000,$A42,元データ!$D$2:$D$20000,$B42,元データ!$B$2:$B$20000,$C$3,元データ!$C$2:$C$20000,E$5)</f>
        <v>62</v>
      </c>
      <c r="F42" s="16">
        <f>SUMIFS(INDEX(元データ!$E$2:$H$20000,0,MATCH($C$2,元データ!$E$1:$H$1,0)),元データ!$A$2:$A$20000,$A42,元データ!$D$2:$D$20000,$B42,元データ!$B$2:$B$20000,$C$3,元データ!$C$2:$C$20000,F$5)</f>
        <v>89</v>
      </c>
      <c r="G42" s="16">
        <f>SUMIFS(INDEX(元データ!$E$2:$H$20000,0,MATCH($C$2,元データ!$E$1:$H$1,0)),元データ!$A$2:$A$20000,$A42,元データ!$D$2:$D$20000,$B42,元データ!$B$2:$B$20000,$C$3,元データ!$C$2:$C$20000,G$5)</f>
        <v>30</v>
      </c>
      <c r="H42" s="16">
        <f>SUMIFS(INDEX(元データ!$E$2:$H$20000,0,MATCH($C$2,元データ!$E$1:$H$1,0)),元データ!$A$2:$A$20000,$A42,元データ!$D$2:$D$20000,$B42,元データ!$B$2:$B$20000,$C$3,元データ!$C$2:$C$20000,H$5)</f>
        <v>24</v>
      </c>
      <c r="I42" s="16">
        <f>SUMIFS(INDEX(元データ!$E$2:$H$20000,0,MATCH($C$2,元データ!$E$1:$H$1,0)),元データ!$A$2:$A$20000,$A42,元データ!$D$2:$D$20000,$B42,元データ!$B$2:$B$20000,$C$3,元データ!$C$2:$C$20000,I$5)</f>
        <v>31</v>
      </c>
      <c r="J42" s="16">
        <f>SUMIFS(INDEX(元データ!$E$2:$H$20000,0,MATCH($C$2,元データ!$E$1:$H$1,0)),元データ!$A$2:$A$20000,$A42,元データ!$D$2:$D$20000,$B42,元データ!$B$2:$B$20000,$C$3,元データ!$C$2:$C$20000,J$5)</f>
        <v>38</v>
      </c>
      <c r="K42" s="16">
        <f>SUMIFS(INDEX(元データ!$E$2:$H$20000,0,MATCH($C$2,元データ!$E$1:$H$1,0)),元データ!$A$2:$A$20000,$A42,元データ!$D$2:$D$20000,$B42,元データ!$B$2:$B$20000,$C$3,元データ!$C$2:$C$20000,K$5)</f>
        <v>27</v>
      </c>
      <c r="L42" s="16">
        <f>SUMIFS(INDEX(元データ!$E$2:$H$20000,0,MATCH($C$2,元データ!$E$1:$H$1,0)),元データ!$A$2:$A$20000,$A42,元データ!$D$2:$D$20000,$B42,元データ!$B$2:$B$20000,$C$3,元データ!$C$2:$C$20000,L$5)</f>
        <v>47</v>
      </c>
      <c r="M42" s="16">
        <f>SUMIFS(INDEX(元データ!$E$2:$H$20000,0,MATCH($C$2,元データ!$E$1:$H$1,0)),元データ!$A$2:$A$20000,$A42,元データ!$D$2:$D$20000,$B42,元データ!$B$2:$B$20000,$C$3,元データ!$C$2:$C$20000,M$5)</f>
        <v>24</v>
      </c>
      <c r="N42" s="16">
        <f>SUMIFS(INDEX(元データ!$E$2:$H$20000,0,MATCH($C$2,元データ!$E$1:$H$1,0)),元データ!$A$2:$A$20000,$A42,元データ!$D$2:$D$20000,$B42,元データ!$B$2:$B$20000,$C$3,元データ!$C$2:$C$20000,N$5)</f>
        <v>75</v>
      </c>
      <c r="O42" s="17">
        <f t="shared" si="2"/>
        <v>520</v>
      </c>
      <c r="P42" s="17">
        <f>SUMIFS(INDEX(元データ!$E$2:$H$20000,0,MATCH($C$2,元データ!$E$1:$H$1,0)),元データ!$A$2:$A$20000,$A42,元データ!$D$2:$D$20000,$B42,元データ!$B$2:$B$20000,$D$3)</f>
        <v>0</v>
      </c>
      <c r="Q42" s="25" t="str">
        <f t="shared" si="3"/>
        <v/>
      </c>
    </row>
    <row r="43" spans="1:17" x14ac:dyDescent="0.45">
      <c r="A43" s="14"/>
      <c r="B43" s="15" t="s">
        <v>32</v>
      </c>
      <c r="C43" s="16">
        <f>SUMIFS(INDEX(元データ!$E$2:$H$20000,0,MATCH($C$2,元データ!$E$1:$H$1,0)),元データ!$A$2:$A$20000,$A42,元データ!$D$2:$D$20000,$B43,元データ!$B$2:$B$20000,$C$3,元データ!$C$2:$C$20000,C$5)</f>
        <v>4</v>
      </c>
      <c r="D43" s="16">
        <f>SUMIFS(INDEX(元データ!$E$2:$H$20000,0,MATCH($C$2,元データ!$E$1:$H$1,0)),元データ!$A$2:$A$20000,$A42,元データ!$D$2:$D$20000,$B43,元データ!$B$2:$B$20000,$C$3,元データ!$C$2:$C$20000,D$5)</f>
        <v>2</v>
      </c>
      <c r="E43" s="16">
        <f>SUMIFS(INDEX(元データ!$E$2:$H$20000,0,MATCH($C$2,元データ!$E$1:$H$1,0)),元データ!$A$2:$A$20000,$A42,元データ!$D$2:$D$20000,$B43,元データ!$B$2:$B$20000,$C$3,元データ!$C$2:$C$20000,E$5)</f>
        <v>6</v>
      </c>
      <c r="F43" s="16">
        <f>SUMIFS(INDEX(元データ!$E$2:$H$20000,0,MATCH($C$2,元データ!$E$1:$H$1,0)),元データ!$A$2:$A$20000,$A42,元データ!$D$2:$D$20000,$B43,元データ!$B$2:$B$20000,$C$3,元データ!$C$2:$C$20000,F$5)</f>
        <v>2</v>
      </c>
      <c r="G43" s="16">
        <f>SUMIFS(INDEX(元データ!$E$2:$H$20000,0,MATCH($C$2,元データ!$E$1:$H$1,0)),元データ!$A$2:$A$20000,$A42,元データ!$D$2:$D$20000,$B43,元データ!$B$2:$B$20000,$C$3,元データ!$C$2:$C$20000,G$5)</f>
        <v>3</v>
      </c>
      <c r="H43" s="16">
        <f>SUMIFS(INDEX(元データ!$E$2:$H$20000,0,MATCH($C$2,元データ!$E$1:$H$1,0)),元データ!$A$2:$A$20000,$A42,元データ!$D$2:$D$20000,$B43,元データ!$B$2:$B$20000,$C$3,元データ!$C$2:$C$20000,H$5)</f>
        <v>3</v>
      </c>
      <c r="I43" s="16">
        <f>SUMIFS(INDEX(元データ!$E$2:$H$20000,0,MATCH($C$2,元データ!$E$1:$H$1,0)),元データ!$A$2:$A$20000,$A42,元データ!$D$2:$D$20000,$B43,元データ!$B$2:$B$20000,$C$3,元データ!$C$2:$C$20000,I$5)</f>
        <v>2</v>
      </c>
      <c r="J43" s="16">
        <f>SUMIFS(INDEX(元データ!$E$2:$H$20000,0,MATCH($C$2,元データ!$E$1:$H$1,0)),元データ!$A$2:$A$20000,$A42,元データ!$D$2:$D$20000,$B43,元データ!$B$2:$B$20000,$C$3,元データ!$C$2:$C$20000,J$5)</f>
        <v>3</v>
      </c>
      <c r="K43" s="16">
        <f>SUMIFS(INDEX(元データ!$E$2:$H$20000,0,MATCH($C$2,元データ!$E$1:$H$1,0)),元データ!$A$2:$A$20000,$A42,元データ!$D$2:$D$20000,$B43,元データ!$B$2:$B$20000,$C$3,元データ!$C$2:$C$20000,K$5)</f>
        <v>4</v>
      </c>
      <c r="L43" s="16">
        <f>SUMIFS(INDEX(元データ!$E$2:$H$20000,0,MATCH($C$2,元データ!$E$1:$H$1,0)),元データ!$A$2:$A$20000,$A42,元データ!$D$2:$D$20000,$B43,元データ!$B$2:$B$20000,$C$3,元データ!$C$2:$C$20000,L$5)</f>
        <v>3</v>
      </c>
      <c r="M43" s="16">
        <f>SUMIFS(INDEX(元データ!$E$2:$H$20000,0,MATCH($C$2,元データ!$E$1:$H$1,0)),元データ!$A$2:$A$20000,$A42,元データ!$D$2:$D$20000,$B43,元データ!$B$2:$B$20000,$C$3,元データ!$C$2:$C$20000,M$5)</f>
        <v>0</v>
      </c>
      <c r="N43" s="16">
        <f>SUMIFS(INDEX(元データ!$E$2:$H$20000,0,MATCH($C$2,元データ!$E$1:$H$1,0)),元データ!$A$2:$A$20000,$A42,元データ!$D$2:$D$20000,$B43,元データ!$B$2:$B$20000,$C$3,元データ!$C$2:$C$20000,N$5)</f>
        <v>4</v>
      </c>
      <c r="O43" s="17">
        <f t="shared" si="2"/>
        <v>36</v>
      </c>
      <c r="P43" s="17">
        <f>SUMIFS(INDEX(元データ!$E$2:$H$20000,0,MATCH($C$2,元データ!$E$1:$H$1,0)),元データ!$A$2:$A$20000,$A42,元データ!$D$2:$D$20000,$B43,元データ!$B$2:$B$20000,$D$3)</f>
        <v>0</v>
      </c>
      <c r="Q43" s="25" t="str">
        <f t="shared" si="3"/>
        <v/>
      </c>
    </row>
    <row r="44" spans="1:17" x14ac:dyDescent="0.45">
      <c r="A44" s="14" t="str">
        <f>店舗マスタ!A21</f>
        <v>W長泉店</v>
      </c>
      <c r="B44" s="15" t="s">
        <v>31</v>
      </c>
      <c r="C44" s="16">
        <f>SUMIFS(INDEX(元データ!$E$2:$H$20000,0,MATCH($C$2,元データ!$E$1:$H$1,0)),元データ!$A$2:$A$20000,$A44,元データ!$D$2:$D$20000,$B44,元データ!$B$2:$B$20000,$C$3,元データ!$C$2:$C$20000,C$5)</f>
        <v>8</v>
      </c>
      <c r="D44" s="16">
        <f>SUMIFS(INDEX(元データ!$E$2:$H$20000,0,MATCH($C$2,元データ!$E$1:$H$1,0)),元データ!$A$2:$A$20000,$A44,元データ!$D$2:$D$20000,$B44,元データ!$B$2:$B$20000,$C$3,元データ!$C$2:$C$20000,D$5)</f>
        <v>56</v>
      </c>
      <c r="E44" s="16">
        <f>SUMIFS(INDEX(元データ!$E$2:$H$20000,0,MATCH($C$2,元データ!$E$1:$H$1,0)),元データ!$A$2:$A$20000,$A44,元データ!$D$2:$D$20000,$B44,元データ!$B$2:$B$20000,$C$3,元データ!$C$2:$C$20000,E$5)</f>
        <v>80</v>
      </c>
      <c r="F44" s="16">
        <f>SUMIFS(INDEX(元データ!$E$2:$H$20000,0,MATCH($C$2,元データ!$E$1:$H$1,0)),元データ!$A$2:$A$20000,$A44,元データ!$D$2:$D$20000,$B44,元データ!$B$2:$B$20000,$C$3,元データ!$C$2:$C$20000,F$5)</f>
        <v>119</v>
      </c>
      <c r="G44" s="16">
        <f>SUMIFS(INDEX(元データ!$E$2:$H$20000,0,MATCH($C$2,元データ!$E$1:$H$1,0)),元データ!$A$2:$A$20000,$A44,元データ!$D$2:$D$20000,$B44,元データ!$B$2:$B$20000,$C$3,元データ!$C$2:$C$20000,G$5)</f>
        <v>43</v>
      </c>
      <c r="H44" s="16">
        <f>SUMIFS(INDEX(元データ!$E$2:$H$20000,0,MATCH($C$2,元データ!$E$1:$H$1,0)),元データ!$A$2:$A$20000,$A44,元データ!$D$2:$D$20000,$B44,元データ!$B$2:$B$20000,$C$3,元データ!$C$2:$C$20000,H$5)</f>
        <v>42</v>
      </c>
      <c r="I44" s="16">
        <f>SUMIFS(INDEX(元データ!$E$2:$H$20000,0,MATCH($C$2,元データ!$E$1:$H$1,0)),元データ!$A$2:$A$20000,$A44,元データ!$D$2:$D$20000,$B44,元データ!$B$2:$B$20000,$C$3,元データ!$C$2:$C$20000,I$5)</f>
        <v>32</v>
      </c>
      <c r="J44" s="16">
        <f>SUMIFS(INDEX(元データ!$E$2:$H$20000,0,MATCH($C$2,元データ!$E$1:$H$1,0)),元データ!$A$2:$A$20000,$A44,元データ!$D$2:$D$20000,$B44,元データ!$B$2:$B$20000,$C$3,元データ!$C$2:$C$20000,J$5)</f>
        <v>43</v>
      </c>
      <c r="K44" s="16">
        <f>SUMIFS(INDEX(元データ!$E$2:$H$20000,0,MATCH($C$2,元データ!$E$1:$H$1,0)),元データ!$A$2:$A$20000,$A44,元データ!$D$2:$D$20000,$B44,元データ!$B$2:$B$20000,$C$3,元データ!$C$2:$C$20000,K$5)</f>
        <v>52</v>
      </c>
      <c r="L44" s="16">
        <f>SUMIFS(INDEX(元データ!$E$2:$H$20000,0,MATCH($C$2,元データ!$E$1:$H$1,0)),元データ!$A$2:$A$20000,$A44,元データ!$D$2:$D$20000,$B44,元データ!$B$2:$B$20000,$C$3,元データ!$C$2:$C$20000,L$5)</f>
        <v>55</v>
      </c>
      <c r="M44" s="16">
        <f>SUMIFS(INDEX(元データ!$E$2:$H$20000,0,MATCH($C$2,元データ!$E$1:$H$1,0)),元データ!$A$2:$A$20000,$A44,元データ!$D$2:$D$20000,$B44,元データ!$B$2:$B$20000,$C$3,元データ!$C$2:$C$20000,M$5)</f>
        <v>18</v>
      </c>
      <c r="N44" s="16">
        <f>SUMIFS(INDEX(元データ!$E$2:$H$20000,0,MATCH($C$2,元データ!$E$1:$H$1,0)),元データ!$A$2:$A$20000,$A44,元データ!$D$2:$D$20000,$B44,元データ!$B$2:$B$20000,$C$3,元データ!$C$2:$C$20000,N$5)</f>
        <v>76</v>
      </c>
      <c r="O44" s="17">
        <f t="shared" si="2"/>
        <v>624</v>
      </c>
      <c r="P44" s="17">
        <f>SUMIFS(INDEX(元データ!$E$2:$H$20000,0,MATCH($C$2,元データ!$E$1:$H$1,0)),元データ!$A$2:$A$20000,$A44,元データ!$D$2:$D$20000,$B44,元データ!$B$2:$B$20000,$D$3)</f>
        <v>0</v>
      </c>
      <c r="Q44" s="25" t="str">
        <f t="shared" si="3"/>
        <v/>
      </c>
    </row>
    <row r="45" spans="1:17" x14ac:dyDescent="0.45">
      <c r="A45" s="14"/>
      <c r="B45" s="15" t="s">
        <v>32</v>
      </c>
      <c r="C45" s="16">
        <f>SUMIFS(INDEX(元データ!$E$2:$H$20000,0,MATCH($C$2,元データ!$E$1:$H$1,0)),元データ!$A$2:$A$20000,$A44,元データ!$D$2:$D$20000,$B45,元データ!$B$2:$B$20000,$C$3,元データ!$C$2:$C$20000,C$5)</f>
        <v>2</v>
      </c>
      <c r="D45" s="16">
        <f>SUMIFS(INDEX(元データ!$E$2:$H$20000,0,MATCH($C$2,元データ!$E$1:$H$1,0)),元データ!$A$2:$A$20000,$A44,元データ!$D$2:$D$20000,$B45,元データ!$B$2:$B$20000,$C$3,元データ!$C$2:$C$20000,D$5)</f>
        <v>1</v>
      </c>
      <c r="E45" s="16">
        <f>SUMIFS(INDEX(元データ!$E$2:$H$20000,0,MATCH($C$2,元データ!$E$1:$H$1,0)),元データ!$A$2:$A$20000,$A44,元データ!$D$2:$D$20000,$B45,元データ!$B$2:$B$20000,$C$3,元データ!$C$2:$C$20000,E$5)</f>
        <v>5</v>
      </c>
      <c r="F45" s="16">
        <f>SUMIFS(INDEX(元データ!$E$2:$H$20000,0,MATCH($C$2,元データ!$E$1:$H$1,0)),元データ!$A$2:$A$20000,$A44,元データ!$D$2:$D$20000,$B45,元データ!$B$2:$B$20000,$C$3,元データ!$C$2:$C$20000,F$5)</f>
        <v>3</v>
      </c>
      <c r="G45" s="16">
        <f>SUMIFS(INDEX(元データ!$E$2:$H$20000,0,MATCH($C$2,元データ!$E$1:$H$1,0)),元データ!$A$2:$A$20000,$A44,元データ!$D$2:$D$20000,$B45,元データ!$B$2:$B$20000,$C$3,元データ!$C$2:$C$20000,G$5)</f>
        <v>2</v>
      </c>
      <c r="H45" s="16">
        <f>SUMIFS(INDEX(元データ!$E$2:$H$20000,0,MATCH($C$2,元データ!$E$1:$H$1,0)),元データ!$A$2:$A$20000,$A44,元データ!$D$2:$D$20000,$B45,元データ!$B$2:$B$20000,$C$3,元データ!$C$2:$C$20000,H$5)</f>
        <v>4</v>
      </c>
      <c r="I45" s="16">
        <f>SUMIFS(INDEX(元データ!$E$2:$H$20000,0,MATCH($C$2,元データ!$E$1:$H$1,0)),元データ!$A$2:$A$20000,$A44,元データ!$D$2:$D$20000,$B45,元データ!$B$2:$B$20000,$C$3,元データ!$C$2:$C$20000,I$5)</f>
        <v>1</v>
      </c>
      <c r="J45" s="16">
        <f>SUMIFS(INDEX(元データ!$E$2:$H$20000,0,MATCH($C$2,元データ!$E$1:$H$1,0)),元データ!$A$2:$A$20000,$A44,元データ!$D$2:$D$20000,$B45,元データ!$B$2:$B$20000,$C$3,元データ!$C$2:$C$20000,J$5)</f>
        <v>6</v>
      </c>
      <c r="K45" s="16">
        <f>SUMIFS(INDEX(元データ!$E$2:$H$20000,0,MATCH($C$2,元データ!$E$1:$H$1,0)),元データ!$A$2:$A$20000,$A44,元データ!$D$2:$D$20000,$B45,元データ!$B$2:$B$20000,$C$3,元データ!$C$2:$C$20000,K$5)</f>
        <v>10</v>
      </c>
      <c r="L45" s="16">
        <f>SUMIFS(INDEX(元データ!$E$2:$H$20000,0,MATCH($C$2,元データ!$E$1:$H$1,0)),元データ!$A$2:$A$20000,$A44,元データ!$D$2:$D$20000,$B45,元データ!$B$2:$B$20000,$C$3,元データ!$C$2:$C$20000,L$5)</f>
        <v>5</v>
      </c>
      <c r="M45" s="16">
        <f>SUMIFS(INDEX(元データ!$E$2:$H$20000,0,MATCH($C$2,元データ!$E$1:$H$1,0)),元データ!$A$2:$A$20000,$A44,元データ!$D$2:$D$20000,$B45,元データ!$B$2:$B$20000,$C$3,元データ!$C$2:$C$20000,M$5)</f>
        <v>6</v>
      </c>
      <c r="N45" s="16">
        <f>SUMIFS(INDEX(元データ!$E$2:$H$20000,0,MATCH($C$2,元データ!$E$1:$H$1,0)),元データ!$A$2:$A$20000,$A44,元データ!$D$2:$D$20000,$B45,元データ!$B$2:$B$20000,$C$3,元データ!$C$2:$C$20000,N$5)</f>
        <v>3</v>
      </c>
      <c r="O45" s="17">
        <f t="shared" si="2"/>
        <v>48</v>
      </c>
      <c r="P45" s="17">
        <f>SUMIFS(INDEX(元データ!$E$2:$H$20000,0,MATCH($C$2,元データ!$E$1:$H$1,0)),元データ!$A$2:$A$20000,$A44,元データ!$D$2:$D$20000,$B45,元データ!$B$2:$B$20000,$D$3)</f>
        <v>0</v>
      </c>
      <c r="Q45" s="25" t="str">
        <f t="shared" si="3"/>
        <v/>
      </c>
    </row>
    <row r="46" spans="1:17" x14ac:dyDescent="0.45">
      <c r="A46" s="14" t="str">
        <f>店舗マスタ!A22</f>
        <v>Ｋ函南店</v>
      </c>
      <c r="B46" s="15" t="s">
        <v>31</v>
      </c>
      <c r="C46" s="16">
        <f>SUMIFS(INDEX(元データ!$E$2:$H$20000,0,MATCH($C$2,元データ!$E$1:$H$1,0)),元データ!$A$2:$A$20000,$A46,元データ!$D$2:$D$20000,$B46,元データ!$B$2:$B$20000,$C$3,元データ!$C$2:$C$20000,C$5)</f>
        <v>0</v>
      </c>
      <c r="D46" s="16">
        <f>SUMIFS(INDEX(元データ!$E$2:$H$20000,0,MATCH($C$2,元データ!$E$1:$H$1,0)),元データ!$A$2:$A$20000,$A46,元データ!$D$2:$D$20000,$B46,元データ!$B$2:$B$20000,$C$3,元データ!$C$2:$C$20000,D$5)</f>
        <v>0</v>
      </c>
      <c r="E46" s="16">
        <f>SUMIFS(INDEX(元データ!$E$2:$H$20000,0,MATCH($C$2,元データ!$E$1:$H$1,0)),元データ!$A$2:$A$20000,$A46,元データ!$D$2:$D$20000,$B46,元データ!$B$2:$B$20000,$C$3,元データ!$C$2:$C$20000,E$5)</f>
        <v>0</v>
      </c>
      <c r="F46" s="16">
        <f>SUMIFS(INDEX(元データ!$E$2:$H$20000,0,MATCH($C$2,元データ!$E$1:$H$1,0)),元データ!$A$2:$A$20000,$A46,元データ!$D$2:$D$20000,$B46,元データ!$B$2:$B$20000,$C$3,元データ!$C$2:$C$20000,F$5)</f>
        <v>0</v>
      </c>
      <c r="G46" s="16">
        <f>SUMIFS(INDEX(元データ!$E$2:$H$20000,0,MATCH($C$2,元データ!$E$1:$H$1,0)),元データ!$A$2:$A$20000,$A46,元データ!$D$2:$D$20000,$B46,元データ!$B$2:$B$20000,$C$3,元データ!$C$2:$C$20000,G$5)</f>
        <v>0</v>
      </c>
      <c r="H46" s="16">
        <f>SUMIFS(INDEX(元データ!$E$2:$H$20000,0,MATCH($C$2,元データ!$E$1:$H$1,0)),元データ!$A$2:$A$20000,$A46,元データ!$D$2:$D$20000,$B46,元データ!$B$2:$B$20000,$C$3,元データ!$C$2:$C$20000,H$5)</f>
        <v>0</v>
      </c>
      <c r="I46" s="16">
        <f>SUMIFS(INDEX(元データ!$E$2:$H$20000,0,MATCH($C$2,元データ!$E$1:$H$1,0)),元データ!$A$2:$A$20000,$A46,元データ!$D$2:$D$20000,$B46,元データ!$B$2:$B$20000,$C$3,元データ!$C$2:$C$20000,I$5)</f>
        <v>0</v>
      </c>
      <c r="J46" s="16">
        <f>SUMIFS(INDEX(元データ!$E$2:$H$20000,0,MATCH($C$2,元データ!$E$1:$H$1,0)),元データ!$A$2:$A$20000,$A46,元データ!$D$2:$D$20000,$B46,元データ!$B$2:$B$20000,$C$3,元データ!$C$2:$C$20000,J$5)</f>
        <v>0</v>
      </c>
      <c r="K46" s="16">
        <f>SUMIFS(INDEX(元データ!$E$2:$H$20000,0,MATCH($C$2,元データ!$E$1:$H$1,0)),元データ!$A$2:$A$20000,$A46,元データ!$D$2:$D$20000,$B46,元データ!$B$2:$B$20000,$C$3,元データ!$C$2:$C$20000,K$5)</f>
        <v>0</v>
      </c>
      <c r="L46" s="16">
        <f>SUMIFS(INDEX(元データ!$E$2:$H$20000,0,MATCH($C$2,元データ!$E$1:$H$1,0)),元データ!$A$2:$A$20000,$A46,元データ!$D$2:$D$20000,$B46,元データ!$B$2:$B$20000,$C$3,元データ!$C$2:$C$20000,L$5)</f>
        <v>0</v>
      </c>
      <c r="M46" s="16">
        <f>SUMIFS(INDEX(元データ!$E$2:$H$20000,0,MATCH($C$2,元データ!$E$1:$H$1,0)),元データ!$A$2:$A$20000,$A46,元データ!$D$2:$D$20000,$B46,元データ!$B$2:$B$20000,$C$3,元データ!$C$2:$C$20000,M$5)</f>
        <v>0</v>
      </c>
      <c r="N46" s="16">
        <f>SUMIFS(INDEX(元データ!$E$2:$H$20000,0,MATCH($C$2,元データ!$E$1:$H$1,0)),元データ!$A$2:$A$20000,$A46,元データ!$D$2:$D$20000,$B46,元データ!$B$2:$B$20000,$C$3,元データ!$C$2:$C$20000,N$5)</f>
        <v>0</v>
      </c>
      <c r="O46" s="17">
        <f t="shared" si="2"/>
        <v>0</v>
      </c>
      <c r="P46" s="17">
        <f>SUMIFS(INDEX(元データ!$E$2:$H$20000,0,MATCH($C$2,元データ!$E$1:$H$1,0)),元データ!$A$2:$A$20000,$A46,元データ!$D$2:$D$20000,$B46,元データ!$B$2:$B$20000,$D$3)</f>
        <v>0</v>
      </c>
      <c r="Q46" s="25" t="str">
        <f t="shared" si="3"/>
        <v/>
      </c>
    </row>
    <row r="47" spans="1:17" x14ac:dyDescent="0.45">
      <c r="A47" s="14"/>
      <c r="B47" s="15" t="s">
        <v>32</v>
      </c>
      <c r="C47" s="16">
        <f>SUMIFS(INDEX(元データ!$E$2:$H$20000,0,MATCH($C$2,元データ!$E$1:$H$1,0)),元データ!$A$2:$A$20000,$A46,元データ!$D$2:$D$20000,$B47,元データ!$B$2:$B$20000,$C$3,元データ!$C$2:$C$20000,C$5)</f>
        <v>0</v>
      </c>
      <c r="D47" s="16">
        <f>SUMIFS(INDEX(元データ!$E$2:$H$20000,0,MATCH($C$2,元データ!$E$1:$H$1,0)),元データ!$A$2:$A$20000,$A46,元データ!$D$2:$D$20000,$B47,元データ!$B$2:$B$20000,$C$3,元データ!$C$2:$C$20000,D$5)</f>
        <v>0</v>
      </c>
      <c r="E47" s="16">
        <f>SUMIFS(INDEX(元データ!$E$2:$H$20000,0,MATCH($C$2,元データ!$E$1:$H$1,0)),元データ!$A$2:$A$20000,$A46,元データ!$D$2:$D$20000,$B47,元データ!$B$2:$B$20000,$C$3,元データ!$C$2:$C$20000,E$5)</f>
        <v>0</v>
      </c>
      <c r="F47" s="16">
        <f>SUMIFS(INDEX(元データ!$E$2:$H$20000,0,MATCH($C$2,元データ!$E$1:$H$1,0)),元データ!$A$2:$A$20000,$A46,元データ!$D$2:$D$20000,$B47,元データ!$B$2:$B$20000,$C$3,元データ!$C$2:$C$20000,F$5)</f>
        <v>0</v>
      </c>
      <c r="G47" s="16">
        <f>SUMIFS(INDEX(元データ!$E$2:$H$20000,0,MATCH($C$2,元データ!$E$1:$H$1,0)),元データ!$A$2:$A$20000,$A46,元データ!$D$2:$D$20000,$B47,元データ!$B$2:$B$20000,$C$3,元データ!$C$2:$C$20000,G$5)</f>
        <v>0</v>
      </c>
      <c r="H47" s="16">
        <f>SUMIFS(INDEX(元データ!$E$2:$H$20000,0,MATCH($C$2,元データ!$E$1:$H$1,0)),元データ!$A$2:$A$20000,$A46,元データ!$D$2:$D$20000,$B47,元データ!$B$2:$B$20000,$C$3,元データ!$C$2:$C$20000,H$5)</f>
        <v>0</v>
      </c>
      <c r="I47" s="16">
        <f>SUMIFS(INDEX(元データ!$E$2:$H$20000,0,MATCH($C$2,元データ!$E$1:$H$1,0)),元データ!$A$2:$A$20000,$A46,元データ!$D$2:$D$20000,$B47,元データ!$B$2:$B$20000,$C$3,元データ!$C$2:$C$20000,I$5)</f>
        <v>0</v>
      </c>
      <c r="J47" s="16">
        <f>SUMIFS(INDEX(元データ!$E$2:$H$20000,0,MATCH($C$2,元データ!$E$1:$H$1,0)),元データ!$A$2:$A$20000,$A46,元データ!$D$2:$D$20000,$B47,元データ!$B$2:$B$20000,$C$3,元データ!$C$2:$C$20000,J$5)</f>
        <v>0</v>
      </c>
      <c r="K47" s="16">
        <f>SUMIFS(INDEX(元データ!$E$2:$H$20000,0,MATCH($C$2,元データ!$E$1:$H$1,0)),元データ!$A$2:$A$20000,$A46,元データ!$D$2:$D$20000,$B47,元データ!$B$2:$B$20000,$C$3,元データ!$C$2:$C$20000,K$5)</f>
        <v>0</v>
      </c>
      <c r="L47" s="16">
        <f>SUMIFS(INDEX(元データ!$E$2:$H$20000,0,MATCH($C$2,元データ!$E$1:$H$1,0)),元データ!$A$2:$A$20000,$A46,元データ!$D$2:$D$20000,$B47,元データ!$B$2:$B$20000,$C$3,元データ!$C$2:$C$20000,L$5)</f>
        <v>0</v>
      </c>
      <c r="M47" s="16">
        <f>SUMIFS(INDEX(元データ!$E$2:$H$20000,0,MATCH($C$2,元データ!$E$1:$H$1,0)),元データ!$A$2:$A$20000,$A46,元データ!$D$2:$D$20000,$B47,元データ!$B$2:$B$20000,$C$3,元データ!$C$2:$C$20000,M$5)</f>
        <v>0</v>
      </c>
      <c r="N47" s="16">
        <f>SUMIFS(INDEX(元データ!$E$2:$H$20000,0,MATCH($C$2,元データ!$E$1:$H$1,0)),元データ!$A$2:$A$20000,$A46,元データ!$D$2:$D$20000,$B47,元データ!$B$2:$B$20000,$C$3,元データ!$C$2:$C$20000,N$5)</f>
        <v>0</v>
      </c>
      <c r="O47" s="17">
        <f t="shared" si="2"/>
        <v>0</v>
      </c>
      <c r="P47" s="17">
        <f>SUMIFS(INDEX(元データ!$E$2:$H$20000,0,MATCH($C$2,元データ!$E$1:$H$1,0)),元データ!$A$2:$A$20000,$A46,元データ!$D$2:$D$20000,$B47,元データ!$B$2:$B$20000,$D$3)</f>
        <v>0</v>
      </c>
      <c r="Q47" s="25" t="str">
        <f t="shared" si="3"/>
        <v/>
      </c>
    </row>
    <row r="48" spans="1:17" x14ac:dyDescent="0.45">
      <c r="A48" s="14" t="str">
        <f>店舗マスタ!A23</f>
        <v>Ｃ新沢田店</v>
      </c>
      <c r="B48" s="15" t="s">
        <v>31</v>
      </c>
      <c r="C48" s="16">
        <f>SUMIFS(INDEX(元データ!$E$2:$H$20000,0,MATCH($C$2,元データ!$E$1:$H$1,0)),元データ!$A$2:$A$20000,$A48,元データ!$D$2:$D$20000,$B48,元データ!$B$2:$B$20000,$C$3,元データ!$C$2:$C$20000,C$5)</f>
        <v>0</v>
      </c>
      <c r="D48" s="16">
        <f>SUMIFS(INDEX(元データ!$E$2:$H$20000,0,MATCH($C$2,元データ!$E$1:$H$1,0)),元データ!$A$2:$A$20000,$A48,元データ!$D$2:$D$20000,$B48,元データ!$B$2:$B$20000,$C$3,元データ!$C$2:$C$20000,D$5)</f>
        <v>0</v>
      </c>
      <c r="E48" s="16">
        <f>SUMIFS(INDEX(元データ!$E$2:$H$20000,0,MATCH($C$2,元データ!$E$1:$H$1,0)),元データ!$A$2:$A$20000,$A48,元データ!$D$2:$D$20000,$B48,元データ!$B$2:$B$20000,$C$3,元データ!$C$2:$C$20000,E$5)</f>
        <v>0</v>
      </c>
      <c r="F48" s="16">
        <f>SUMIFS(INDEX(元データ!$E$2:$H$20000,0,MATCH($C$2,元データ!$E$1:$H$1,0)),元データ!$A$2:$A$20000,$A48,元データ!$D$2:$D$20000,$B48,元データ!$B$2:$B$20000,$C$3,元データ!$C$2:$C$20000,F$5)</f>
        <v>0</v>
      </c>
      <c r="G48" s="16">
        <f>SUMIFS(INDEX(元データ!$E$2:$H$20000,0,MATCH($C$2,元データ!$E$1:$H$1,0)),元データ!$A$2:$A$20000,$A48,元データ!$D$2:$D$20000,$B48,元データ!$B$2:$B$20000,$C$3,元データ!$C$2:$C$20000,G$5)</f>
        <v>0</v>
      </c>
      <c r="H48" s="16">
        <f>SUMIFS(INDEX(元データ!$E$2:$H$20000,0,MATCH($C$2,元データ!$E$1:$H$1,0)),元データ!$A$2:$A$20000,$A48,元データ!$D$2:$D$20000,$B48,元データ!$B$2:$B$20000,$C$3,元データ!$C$2:$C$20000,H$5)</f>
        <v>115</v>
      </c>
      <c r="I48" s="16">
        <f>SUMIFS(INDEX(元データ!$E$2:$H$20000,0,MATCH($C$2,元データ!$E$1:$H$1,0)),元データ!$A$2:$A$20000,$A48,元データ!$D$2:$D$20000,$B48,元データ!$B$2:$B$20000,$C$3,元データ!$C$2:$C$20000,I$5)</f>
        <v>0</v>
      </c>
      <c r="J48" s="16">
        <f>SUMIFS(INDEX(元データ!$E$2:$H$20000,0,MATCH($C$2,元データ!$E$1:$H$1,0)),元データ!$A$2:$A$20000,$A48,元データ!$D$2:$D$20000,$B48,元データ!$B$2:$B$20000,$C$3,元データ!$C$2:$C$20000,J$5)</f>
        <v>0</v>
      </c>
      <c r="K48" s="16">
        <f>SUMIFS(INDEX(元データ!$E$2:$H$20000,0,MATCH($C$2,元データ!$E$1:$H$1,0)),元データ!$A$2:$A$20000,$A48,元データ!$D$2:$D$20000,$B48,元データ!$B$2:$B$20000,$C$3,元データ!$C$2:$C$20000,K$5)</f>
        <v>0</v>
      </c>
      <c r="L48" s="16">
        <f>SUMIFS(INDEX(元データ!$E$2:$H$20000,0,MATCH($C$2,元データ!$E$1:$H$1,0)),元データ!$A$2:$A$20000,$A48,元データ!$D$2:$D$20000,$B48,元データ!$B$2:$B$20000,$C$3,元データ!$C$2:$C$20000,L$5)</f>
        <v>0</v>
      </c>
      <c r="M48" s="16">
        <f>SUMIFS(INDEX(元データ!$E$2:$H$20000,0,MATCH($C$2,元データ!$E$1:$H$1,0)),元データ!$A$2:$A$20000,$A48,元データ!$D$2:$D$20000,$B48,元データ!$B$2:$B$20000,$C$3,元データ!$C$2:$C$20000,M$5)</f>
        <v>0</v>
      </c>
      <c r="N48" s="16">
        <f>SUMIFS(INDEX(元データ!$E$2:$H$20000,0,MATCH($C$2,元データ!$E$1:$H$1,0)),元データ!$A$2:$A$20000,$A48,元データ!$D$2:$D$20000,$B48,元データ!$B$2:$B$20000,$C$3,元データ!$C$2:$C$20000,N$5)</f>
        <v>0</v>
      </c>
      <c r="O48" s="17">
        <f t="shared" si="2"/>
        <v>115</v>
      </c>
      <c r="P48" s="17">
        <f>SUMIFS(INDEX(元データ!$E$2:$H$20000,0,MATCH($C$2,元データ!$E$1:$H$1,0)),元データ!$A$2:$A$20000,$A48,元データ!$D$2:$D$20000,$B48,元データ!$B$2:$B$20000,$D$3)</f>
        <v>0</v>
      </c>
      <c r="Q48" s="25" t="str">
        <f t="shared" si="3"/>
        <v/>
      </c>
    </row>
    <row r="49" spans="1:17" x14ac:dyDescent="0.45">
      <c r="A49" s="14"/>
      <c r="B49" s="15" t="s">
        <v>32</v>
      </c>
      <c r="C49" s="16">
        <f>SUMIFS(INDEX(元データ!$E$2:$H$20000,0,MATCH($C$2,元データ!$E$1:$H$1,0)),元データ!$A$2:$A$20000,$A48,元データ!$D$2:$D$20000,$B49,元データ!$B$2:$B$20000,$C$3,元データ!$C$2:$C$20000,C$5)</f>
        <v>0</v>
      </c>
      <c r="D49" s="16">
        <f>SUMIFS(INDEX(元データ!$E$2:$H$20000,0,MATCH($C$2,元データ!$E$1:$H$1,0)),元データ!$A$2:$A$20000,$A48,元データ!$D$2:$D$20000,$B49,元データ!$B$2:$B$20000,$C$3,元データ!$C$2:$C$20000,D$5)</f>
        <v>0</v>
      </c>
      <c r="E49" s="16">
        <f>SUMIFS(INDEX(元データ!$E$2:$H$20000,0,MATCH($C$2,元データ!$E$1:$H$1,0)),元データ!$A$2:$A$20000,$A48,元データ!$D$2:$D$20000,$B49,元データ!$B$2:$B$20000,$C$3,元データ!$C$2:$C$20000,E$5)</f>
        <v>0</v>
      </c>
      <c r="F49" s="16">
        <f>SUMIFS(INDEX(元データ!$E$2:$H$20000,0,MATCH($C$2,元データ!$E$1:$H$1,0)),元データ!$A$2:$A$20000,$A48,元データ!$D$2:$D$20000,$B49,元データ!$B$2:$B$20000,$C$3,元データ!$C$2:$C$20000,F$5)</f>
        <v>0</v>
      </c>
      <c r="G49" s="16">
        <f>SUMIFS(INDEX(元データ!$E$2:$H$20000,0,MATCH($C$2,元データ!$E$1:$H$1,0)),元データ!$A$2:$A$20000,$A48,元データ!$D$2:$D$20000,$B49,元データ!$B$2:$B$20000,$C$3,元データ!$C$2:$C$20000,G$5)</f>
        <v>0</v>
      </c>
      <c r="H49" s="16">
        <f>SUMIFS(INDEX(元データ!$E$2:$H$20000,0,MATCH($C$2,元データ!$E$1:$H$1,0)),元データ!$A$2:$A$20000,$A48,元データ!$D$2:$D$20000,$B49,元データ!$B$2:$B$20000,$C$3,元データ!$C$2:$C$20000,H$5)</f>
        <v>4</v>
      </c>
      <c r="I49" s="16">
        <f>SUMIFS(INDEX(元データ!$E$2:$H$20000,0,MATCH($C$2,元データ!$E$1:$H$1,0)),元データ!$A$2:$A$20000,$A48,元データ!$D$2:$D$20000,$B49,元データ!$B$2:$B$20000,$C$3,元データ!$C$2:$C$20000,I$5)</f>
        <v>0</v>
      </c>
      <c r="J49" s="16">
        <f>SUMIFS(INDEX(元データ!$E$2:$H$20000,0,MATCH($C$2,元データ!$E$1:$H$1,0)),元データ!$A$2:$A$20000,$A48,元データ!$D$2:$D$20000,$B49,元データ!$B$2:$B$20000,$C$3,元データ!$C$2:$C$20000,J$5)</f>
        <v>0</v>
      </c>
      <c r="K49" s="16">
        <f>SUMIFS(INDEX(元データ!$E$2:$H$20000,0,MATCH($C$2,元データ!$E$1:$H$1,0)),元データ!$A$2:$A$20000,$A48,元データ!$D$2:$D$20000,$B49,元データ!$B$2:$B$20000,$C$3,元データ!$C$2:$C$20000,K$5)</f>
        <v>0</v>
      </c>
      <c r="L49" s="16">
        <f>SUMIFS(INDEX(元データ!$E$2:$H$20000,0,MATCH($C$2,元データ!$E$1:$H$1,0)),元データ!$A$2:$A$20000,$A48,元データ!$D$2:$D$20000,$B49,元データ!$B$2:$B$20000,$C$3,元データ!$C$2:$C$20000,L$5)</f>
        <v>0</v>
      </c>
      <c r="M49" s="16">
        <f>SUMIFS(INDEX(元データ!$E$2:$H$20000,0,MATCH($C$2,元データ!$E$1:$H$1,0)),元データ!$A$2:$A$20000,$A48,元データ!$D$2:$D$20000,$B49,元データ!$B$2:$B$20000,$C$3,元データ!$C$2:$C$20000,M$5)</f>
        <v>0</v>
      </c>
      <c r="N49" s="16">
        <f>SUMIFS(INDEX(元データ!$E$2:$H$20000,0,MATCH($C$2,元データ!$E$1:$H$1,0)),元データ!$A$2:$A$20000,$A48,元データ!$D$2:$D$20000,$B49,元データ!$B$2:$B$20000,$C$3,元データ!$C$2:$C$20000,N$5)</f>
        <v>0</v>
      </c>
      <c r="O49" s="17">
        <f t="shared" si="2"/>
        <v>4</v>
      </c>
      <c r="P49" s="17">
        <f>SUMIFS(INDEX(元データ!$E$2:$H$20000,0,MATCH($C$2,元データ!$E$1:$H$1,0)),元データ!$A$2:$A$20000,$A48,元データ!$D$2:$D$20000,$B49,元データ!$B$2:$B$20000,$D$3)</f>
        <v>0</v>
      </c>
      <c r="Q49" s="25" t="str">
        <f t="shared" si="3"/>
        <v/>
      </c>
    </row>
    <row r="50" spans="1:17" x14ac:dyDescent="0.45">
      <c r="A50" s="14" t="str">
        <f>店舗マスタ!A24</f>
        <v>ＭＶ柳町店</v>
      </c>
      <c r="B50" s="15" t="s">
        <v>31</v>
      </c>
      <c r="C50" s="16">
        <f>SUMIFS(INDEX(元データ!$E$2:$H$20000,0,MATCH($C$2,元データ!$E$1:$H$1,0)),元データ!$A$2:$A$20000,$A50,元データ!$D$2:$D$20000,$B50,元データ!$B$2:$B$20000,$C$3,元データ!$C$2:$C$20000,C$5)</f>
        <v>13</v>
      </c>
      <c r="D50" s="16">
        <f>SUMIFS(INDEX(元データ!$E$2:$H$20000,0,MATCH($C$2,元データ!$E$1:$H$1,0)),元データ!$A$2:$A$20000,$A50,元データ!$D$2:$D$20000,$B50,元データ!$B$2:$B$20000,$C$3,元データ!$C$2:$C$20000,D$5)</f>
        <v>57</v>
      </c>
      <c r="E50" s="16">
        <f>SUMIFS(INDEX(元データ!$E$2:$H$20000,0,MATCH($C$2,元データ!$E$1:$H$1,0)),元データ!$A$2:$A$20000,$A50,元データ!$D$2:$D$20000,$B50,元データ!$B$2:$B$20000,$C$3,元データ!$C$2:$C$20000,E$5)</f>
        <v>70</v>
      </c>
      <c r="F50" s="16">
        <f>SUMIFS(INDEX(元データ!$E$2:$H$20000,0,MATCH($C$2,元データ!$E$1:$H$1,0)),元データ!$A$2:$A$20000,$A50,元データ!$D$2:$D$20000,$B50,元データ!$B$2:$B$20000,$C$3,元データ!$C$2:$C$20000,F$5)</f>
        <v>109</v>
      </c>
      <c r="G50" s="16">
        <f>SUMIFS(INDEX(元データ!$E$2:$H$20000,0,MATCH($C$2,元データ!$E$1:$H$1,0)),元データ!$A$2:$A$20000,$A50,元データ!$D$2:$D$20000,$B50,元データ!$B$2:$B$20000,$C$3,元データ!$C$2:$C$20000,G$5)</f>
        <v>55</v>
      </c>
      <c r="H50" s="16">
        <f>SUMIFS(INDEX(元データ!$E$2:$H$20000,0,MATCH($C$2,元データ!$E$1:$H$1,0)),元データ!$A$2:$A$20000,$A50,元データ!$D$2:$D$20000,$B50,元データ!$B$2:$B$20000,$C$3,元データ!$C$2:$C$20000,H$5)</f>
        <v>60</v>
      </c>
      <c r="I50" s="16">
        <f>SUMIFS(INDEX(元データ!$E$2:$H$20000,0,MATCH($C$2,元データ!$E$1:$H$1,0)),元データ!$A$2:$A$20000,$A50,元データ!$D$2:$D$20000,$B50,元データ!$B$2:$B$20000,$C$3,元データ!$C$2:$C$20000,I$5)</f>
        <v>48</v>
      </c>
      <c r="J50" s="16">
        <f>SUMIFS(INDEX(元データ!$E$2:$H$20000,0,MATCH($C$2,元データ!$E$1:$H$1,0)),元データ!$A$2:$A$20000,$A50,元データ!$D$2:$D$20000,$B50,元データ!$B$2:$B$20000,$C$3,元データ!$C$2:$C$20000,J$5)</f>
        <v>34</v>
      </c>
      <c r="K50" s="16">
        <f>SUMIFS(INDEX(元データ!$E$2:$H$20000,0,MATCH($C$2,元データ!$E$1:$H$1,0)),元データ!$A$2:$A$20000,$A50,元データ!$D$2:$D$20000,$B50,元データ!$B$2:$B$20000,$C$3,元データ!$C$2:$C$20000,K$5)</f>
        <v>46</v>
      </c>
      <c r="L50" s="16">
        <f>SUMIFS(INDEX(元データ!$E$2:$H$20000,0,MATCH($C$2,元データ!$E$1:$H$1,0)),元データ!$A$2:$A$20000,$A50,元データ!$D$2:$D$20000,$B50,元データ!$B$2:$B$20000,$C$3,元データ!$C$2:$C$20000,L$5)</f>
        <v>77</v>
      </c>
      <c r="M50" s="16">
        <f>SUMIFS(INDEX(元データ!$E$2:$H$20000,0,MATCH($C$2,元データ!$E$1:$H$1,0)),元データ!$A$2:$A$20000,$A50,元データ!$D$2:$D$20000,$B50,元データ!$B$2:$B$20000,$C$3,元データ!$C$2:$C$20000,M$5)</f>
        <v>25</v>
      </c>
      <c r="N50" s="16">
        <f>SUMIFS(INDEX(元データ!$E$2:$H$20000,0,MATCH($C$2,元データ!$E$1:$H$1,0)),元データ!$A$2:$A$20000,$A50,元データ!$D$2:$D$20000,$B50,元データ!$B$2:$B$20000,$C$3,元データ!$C$2:$C$20000,N$5)</f>
        <v>83</v>
      </c>
      <c r="O50" s="17">
        <f t="shared" si="2"/>
        <v>677</v>
      </c>
      <c r="P50" s="17">
        <f>SUMIFS(INDEX(元データ!$E$2:$H$20000,0,MATCH($C$2,元データ!$E$1:$H$1,0)),元データ!$A$2:$A$20000,$A50,元データ!$D$2:$D$20000,$B50,元データ!$B$2:$B$20000,$D$3)</f>
        <v>0</v>
      </c>
      <c r="Q50" s="25" t="str">
        <f t="shared" si="3"/>
        <v/>
      </c>
    </row>
    <row r="51" spans="1:17" x14ac:dyDescent="0.45">
      <c r="A51" s="14"/>
      <c r="B51" s="15" t="s">
        <v>32</v>
      </c>
      <c r="C51" s="16">
        <f>SUMIFS(INDEX(元データ!$E$2:$H$20000,0,MATCH($C$2,元データ!$E$1:$H$1,0)),元データ!$A$2:$A$20000,$A50,元データ!$D$2:$D$20000,$B51,元データ!$B$2:$B$20000,$C$3,元データ!$C$2:$C$20000,C$5)</f>
        <v>2</v>
      </c>
      <c r="D51" s="16">
        <f>SUMIFS(INDEX(元データ!$E$2:$H$20000,0,MATCH($C$2,元データ!$E$1:$H$1,0)),元データ!$A$2:$A$20000,$A50,元データ!$D$2:$D$20000,$B51,元データ!$B$2:$B$20000,$C$3,元データ!$C$2:$C$20000,D$5)</f>
        <v>15</v>
      </c>
      <c r="E51" s="16">
        <f>SUMIFS(INDEX(元データ!$E$2:$H$20000,0,MATCH($C$2,元データ!$E$1:$H$1,0)),元データ!$A$2:$A$20000,$A50,元データ!$D$2:$D$20000,$B51,元データ!$B$2:$B$20000,$C$3,元データ!$C$2:$C$20000,E$5)</f>
        <v>2</v>
      </c>
      <c r="F51" s="16">
        <f>SUMIFS(INDEX(元データ!$E$2:$H$20000,0,MATCH($C$2,元データ!$E$1:$H$1,0)),元データ!$A$2:$A$20000,$A50,元データ!$D$2:$D$20000,$B51,元データ!$B$2:$B$20000,$C$3,元データ!$C$2:$C$20000,F$5)</f>
        <v>2</v>
      </c>
      <c r="G51" s="16">
        <f>SUMIFS(INDEX(元データ!$E$2:$H$20000,0,MATCH($C$2,元データ!$E$1:$H$1,0)),元データ!$A$2:$A$20000,$A50,元データ!$D$2:$D$20000,$B51,元データ!$B$2:$B$20000,$C$3,元データ!$C$2:$C$20000,G$5)</f>
        <v>7</v>
      </c>
      <c r="H51" s="16">
        <f>SUMIFS(INDEX(元データ!$E$2:$H$20000,0,MATCH($C$2,元データ!$E$1:$H$1,0)),元データ!$A$2:$A$20000,$A50,元データ!$D$2:$D$20000,$B51,元データ!$B$2:$B$20000,$C$3,元データ!$C$2:$C$20000,H$5)</f>
        <v>0</v>
      </c>
      <c r="I51" s="16">
        <f>SUMIFS(INDEX(元データ!$E$2:$H$20000,0,MATCH($C$2,元データ!$E$1:$H$1,0)),元データ!$A$2:$A$20000,$A50,元データ!$D$2:$D$20000,$B51,元データ!$B$2:$B$20000,$C$3,元データ!$C$2:$C$20000,I$5)</f>
        <v>5</v>
      </c>
      <c r="J51" s="16">
        <f>SUMIFS(INDEX(元データ!$E$2:$H$20000,0,MATCH($C$2,元データ!$E$1:$H$1,0)),元データ!$A$2:$A$20000,$A50,元データ!$D$2:$D$20000,$B51,元データ!$B$2:$B$20000,$C$3,元データ!$C$2:$C$20000,J$5)</f>
        <v>6</v>
      </c>
      <c r="K51" s="16">
        <f>SUMIFS(INDEX(元データ!$E$2:$H$20000,0,MATCH($C$2,元データ!$E$1:$H$1,0)),元データ!$A$2:$A$20000,$A50,元データ!$D$2:$D$20000,$B51,元データ!$B$2:$B$20000,$C$3,元データ!$C$2:$C$20000,K$5)</f>
        <v>10</v>
      </c>
      <c r="L51" s="16">
        <f>SUMIFS(INDEX(元データ!$E$2:$H$20000,0,MATCH($C$2,元データ!$E$1:$H$1,0)),元データ!$A$2:$A$20000,$A50,元データ!$D$2:$D$20000,$B51,元データ!$B$2:$B$20000,$C$3,元データ!$C$2:$C$20000,L$5)</f>
        <v>1</v>
      </c>
      <c r="M51" s="16">
        <f>SUMIFS(INDEX(元データ!$E$2:$H$20000,0,MATCH($C$2,元データ!$E$1:$H$1,0)),元データ!$A$2:$A$20000,$A50,元データ!$D$2:$D$20000,$B51,元データ!$B$2:$B$20000,$C$3,元データ!$C$2:$C$20000,M$5)</f>
        <v>3</v>
      </c>
      <c r="N51" s="16">
        <f>SUMIFS(INDEX(元データ!$E$2:$H$20000,0,MATCH($C$2,元データ!$E$1:$H$1,0)),元データ!$A$2:$A$20000,$A50,元データ!$D$2:$D$20000,$B51,元データ!$B$2:$B$20000,$C$3,元データ!$C$2:$C$20000,N$5)</f>
        <v>7</v>
      </c>
      <c r="O51" s="17">
        <f t="shared" si="2"/>
        <v>60</v>
      </c>
      <c r="P51" s="17">
        <f>SUMIFS(INDEX(元データ!$E$2:$H$20000,0,MATCH($C$2,元データ!$E$1:$H$1,0)),元データ!$A$2:$A$20000,$A50,元データ!$D$2:$D$20000,$B51,元データ!$B$2:$B$20000,$D$3)</f>
        <v>0</v>
      </c>
      <c r="Q51" s="25" t="str">
        <f t="shared" si="3"/>
        <v/>
      </c>
    </row>
    <row r="52" spans="1:17" x14ac:dyDescent="0.45">
      <c r="A52" s="14" t="str">
        <f>店舗マスタ!A25</f>
        <v>清水町工場店</v>
      </c>
      <c r="B52" s="15" t="s">
        <v>31</v>
      </c>
      <c r="C52" s="16">
        <f>SUMIFS(INDEX(元データ!$E$2:$H$20000,0,MATCH($C$2,元データ!$E$1:$H$1,0)),元データ!$A$2:$A$20000,$A52,元データ!$D$2:$D$20000,$B52,元データ!$B$2:$B$20000,$C$3,元データ!$C$2:$C$20000,C$5)</f>
        <v>68</v>
      </c>
      <c r="D52" s="16">
        <f>SUMIFS(INDEX(元データ!$E$2:$H$20000,0,MATCH($C$2,元データ!$E$1:$H$1,0)),元データ!$A$2:$A$20000,$A52,元データ!$D$2:$D$20000,$B52,元データ!$B$2:$B$20000,$C$3,元データ!$C$2:$C$20000,D$5)</f>
        <v>236</v>
      </c>
      <c r="E52" s="16">
        <f>SUMIFS(INDEX(元データ!$E$2:$H$20000,0,MATCH($C$2,元データ!$E$1:$H$1,0)),元データ!$A$2:$A$20000,$A52,元データ!$D$2:$D$20000,$B52,元データ!$B$2:$B$20000,$C$3,元データ!$C$2:$C$20000,E$5)</f>
        <v>270</v>
      </c>
      <c r="F52" s="16">
        <f>SUMIFS(INDEX(元データ!$E$2:$H$20000,0,MATCH($C$2,元データ!$E$1:$H$1,0)),元データ!$A$2:$A$20000,$A52,元データ!$D$2:$D$20000,$B52,元データ!$B$2:$B$20000,$C$3,元データ!$C$2:$C$20000,F$5)</f>
        <v>495</v>
      </c>
      <c r="G52" s="16">
        <f>SUMIFS(INDEX(元データ!$E$2:$H$20000,0,MATCH($C$2,元データ!$E$1:$H$1,0)),元データ!$A$2:$A$20000,$A52,元データ!$D$2:$D$20000,$B52,元データ!$B$2:$B$20000,$C$3,元データ!$C$2:$C$20000,G$5)</f>
        <v>158</v>
      </c>
      <c r="H52" s="16">
        <f>SUMIFS(INDEX(元データ!$E$2:$H$20000,0,MATCH($C$2,元データ!$E$1:$H$1,0)),元データ!$A$2:$A$20000,$A52,元データ!$D$2:$D$20000,$B52,元データ!$B$2:$B$20000,$C$3,元データ!$C$2:$C$20000,H$5)</f>
        <v>165</v>
      </c>
      <c r="I52" s="16">
        <f>SUMIFS(INDEX(元データ!$E$2:$H$20000,0,MATCH($C$2,元データ!$E$1:$H$1,0)),元データ!$A$2:$A$20000,$A52,元データ!$D$2:$D$20000,$B52,元データ!$B$2:$B$20000,$C$3,元データ!$C$2:$C$20000,I$5)</f>
        <v>149</v>
      </c>
      <c r="J52" s="16">
        <f>SUMIFS(INDEX(元データ!$E$2:$H$20000,0,MATCH($C$2,元データ!$E$1:$H$1,0)),元データ!$A$2:$A$20000,$A52,元データ!$D$2:$D$20000,$B52,元データ!$B$2:$B$20000,$C$3,元データ!$C$2:$C$20000,J$5)</f>
        <v>165</v>
      </c>
      <c r="K52" s="16">
        <f>SUMIFS(INDEX(元データ!$E$2:$H$20000,0,MATCH($C$2,元データ!$E$1:$H$1,0)),元データ!$A$2:$A$20000,$A52,元データ!$D$2:$D$20000,$B52,元データ!$B$2:$B$20000,$C$3,元データ!$C$2:$C$20000,K$5)</f>
        <v>199</v>
      </c>
      <c r="L52" s="16">
        <f>SUMIFS(INDEX(元データ!$E$2:$H$20000,0,MATCH($C$2,元データ!$E$1:$H$1,0)),元データ!$A$2:$A$20000,$A52,元データ!$D$2:$D$20000,$B52,元データ!$B$2:$B$20000,$C$3,元データ!$C$2:$C$20000,L$5)</f>
        <v>218</v>
      </c>
      <c r="M52" s="16">
        <f>SUMIFS(INDEX(元データ!$E$2:$H$20000,0,MATCH($C$2,元データ!$E$1:$H$1,0)),元データ!$A$2:$A$20000,$A52,元データ!$D$2:$D$20000,$B52,元データ!$B$2:$B$20000,$C$3,元データ!$C$2:$C$20000,M$5)</f>
        <v>95</v>
      </c>
      <c r="N52" s="16">
        <f>SUMIFS(INDEX(元データ!$E$2:$H$20000,0,MATCH($C$2,元データ!$E$1:$H$1,0)),元データ!$A$2:$A$20000,$A52,元データ!$D$2:$D$20000,$B52,元データ!$B$2:$B$20000,$C$3,元データ!$C$2:$C$20000,N$5)</f>
        <v>404</v>
      </c>
      <c r="O52" s="17">
        <f t="shared" si="2"/>
        <v>2622</v>
      </c>
      <c r="P52" s="17">
        <f>SUMIFS(INDEX(元データ!$E$2:$H$20000,0,MATCH($C$2,元データ!$E$1:$H$1,0)),元データ!$A$2:$A$20000,$A52,元データ!$D$2:$D$20000,$B52,元データ!$B$2:$B$20000,$D$3)</f>
        <v>0</v>
      </c>
      <c r="Q52" s="25" t="str">
        <f t="shared" si="3"/>
        <v/>
      </c>
    </row>
    <row r="53" spans="1:17" x14ac:dyDescent="0.45">
      <c r="A53" s="14"/>
      <c r="B53" s="15" t="s">
        <v>32</v>
      </c>
      <c r="C53" s="16">
        <f>SUMIFS(INDEX(元データ!$E$2:$H$20000,0,MATCH($C$2,元データ!$E$1:$H$1,0)),元データ!$A$2:$A$20000,$A52,元データ!$D$2:$D$20000,$B53,元データ!$B$2:$B$20000,$C$3,元データ!$C$2:$C$20000,C$5)</f>
        <v>23</v>
      </c>
      <c r="D53" s="16">
        <f>SUMIFS(INDEX(元データ!$E$2:$H$20000,0,MATCH($C$2,元データ!$E$1:$H$1,0)),元データ!$A$2:$A$20000,$A52,元データ!$D$2:$D$20000,$B53,元データ!$B$2:$B$20000,$C$3,元データ!$C$2:$C$20000,D$5)</f>
        <v>15</v>
      </c>
      <c r="E53" s="16">
        <f>SUMIFS(INDEX(元データ!$E$2:$H$20000,0,MATCH($C$2,元データ!$E$1:$H$1,0)),元データ!$A$2:$A$20000,$A52,元データ!$D$2:$D$20000,$B53,元データ!$B$2:$B$20000,$C$3,元データ!$C$2:$C$20000,E$5)</f>
        <v>24</v>
      </c>
      <c r="F53" s="16">
        <f>SUMIFS(INDEX(元データ!$E$2:$H$20000,0,MATCH($C$2,元データ!$E$1:$H$1,0)),元データ!$A$2:$A$20000,$A52,元データ!$D$2:$D$20000,$B53,元データ!$B$2:$B$20000,$C$3,元データ!$C$2:$C$20000,F$5)</f>
        <v>17</v>
      </c>
      <c r="G53" s="16">
        <f>SUMIFS(INDEX(元データ!$E$2:$H$20000,0,MATCH($C$2,元データ!$E$1:$H$1,0)),元データ!$A$2:$A$20000,$A52,元データ!$D$2:$D$20000,$B53,元データ!$B$2:$B$20000,$C$3,元データ!$C$2:$C$20000,G$5)</f>
        <v>7</v>
      </c>
      <c r="H53" s="16">
        <f>SUMIFS(INDEX(元データ!$E$2:$H$20000,0,MATCH($C$2,元データ!$E$1:$H$1,0)),元データ!$A$2:$A$20000,$A52,元データ!$D$2:$D$20000,$B53,元データ!$B$2:$B$20000,$C$3,元データ!$C$2:$C$20000,H$5)</f>
        <v>13</v>
      </c>
      <c r="I53" s="16">
        <f>SUMIFS(INDEX(元データ!$E$2:$H$20000,0,MATCH($C$2,元データ!$E$1:$H$1,0)),元データ!$A$2:$A$20000,$A52,元データ!$D$2:$D$20000,$B53,元データ!$B$2:$B$20000,$C$3,元データ!$C$2:$C$20000,I$5)</f>
        <v>19</v>
      </c>
      <c r="J53" s="16">
        <f>SUMIFS(INDEX(元データ!$E$2:$H$20000,0,MATCH($C$2,元データ!$E$1:$H$1,0)),元データ!$A$2:$A$20000,$A52,元データ!$D$2:$D$20000,$B53,元データ!$B$2:$B$20000,$C$3,元データ!$C$2:$C$20000,J$5)</f>
        <v>18</v>
      </c>
      <c r="K53" s="16">
        <f>SUMIFS(INDEX(元データ!$E$2:$H$20000,0,MATCH($C$2,元データ!$E$1:$H$1,0)),元データ!$A$2:$A$20000,$A52,元データ!$D$2:$D$20000,$B53,元データ!$B$2:$B$20000,$C$3,元データ!$C$2:$C$20000,K$5)</f>
        <v>35</v>
      </c>
      <c r="L53" s="16">
        <f>SUMIFS(INDEX(元データ!$E$2:$H$20000,0,MATCH($C$2,元データ!$E$1:$H$1,0)),元データ!$A$2:$A$20000,$A52,元データ!$D$2:$D$20000,$B53,元データ!$B$2:$B$20000,$C$3,元データ!$C$2:$C$20000,L$5)</f>
        <v>35</v>
      </c>
      <c r="M53" s="16">
        <f>SUMIFS(INDEX(元データ!$E$2:$H$20000,0,MATCH($C$2,元データ!$E$1:$H$1,0)),元データ!$A$2:$A$20000,$A52,元データ!$D$2:$D$20000,$B53,元データ!$B$2:$B$20000,$C$3,元データ!$C$2:$C$20000,M$5)</f>
        <v>14</v>
      </c>
      <c r="N53" s="16">
        <f>SUMIFS(INDEX(元データ!$E$2:$H$20000,0,MATCH($C$2,元データ!$E$1:$H$1,0)),元データ!$A$2:$A$20000,$A52,元データ!$D$2:$D$20000,$B53,元データ!$B$2:$B$20000,$C$3,元データ!$C$2:$C$20000,N$5)</f>
        <v>14</v>
      </c>
      <c r="O53" s="17">
        <f t="shared" si="2"/>
        <v>234</v>
      </c>
      <c r="P53" s="17">
        <f>SUMIFS(INDEX(元データ!$E$2:$H$20000,0,MATCH($C$2,元データ!$E$1:$H$1,0)),元データ!$A$2:$A$20000,$A52,元データ!$D$2:$D$20000,$B53,元データ!$B$2:$B$20000,$D$3)</f>
        <v>0</v>
      </c>
      <c r="Q53" s="25" t="str">
        <f t="shared" si="3"/>
        <v/>
      </c>
    </row>
    <row r="54" spans="1:17" x14ac:dyDescent="0.45">
      <c r="A54" s="14" t="str">
        <f>店舗マスタ!A26</f>
        <v>オギノ大坂店</v>
      </c>
      <c r="B54" s="15" t="s">
        <v>31</v>
      </c>
      <c r="C54" s="16">
        <f>SUMIFS(INDEX(元データ!$E$2:$H$20000,0,MATCH($C$2,元データ!$E$1:$H$1,0)),元データ!$A$2:$A$20000,$A54,元データ!$D$2:$D$20000,$B54,元データ!$B$2:$B$20000,$C$3,元データ!$C$2:$C$20000,C$5)</f>
        <v>20</v>
      </c>
      <c r="D54" s="16">
        <f>SUMIFS(INDEX(元データ!$E$2:$H$20000,0,MATCH($C$2,元データ!$E$1:$H$1,0)),元データ!$A$2:$A$20000,$A54,元データ!$D$2:$D$20000,$B54,元データ!$B$2:$B$20000,$C$3,元データ!$C$2:$C$20000,D$5)</f>
        <v>50</v>
      </c>
      <c r="E54" s="16">
        <f>SUMIFS(INDEX(元データ!$E$2:$H$20000,0,MATCH($C$2,元データ!$E$1:$H$1,0)),元データ!$A$2:$A$20000,$A54,元データ!$D$2:$D$20000,$B54,元データ!$B$2:$B$20000,$C$3,元データ!$C$2:$C$20000,E$5)</f>
        <v>93</v>
      </c>
      <c r="F54" s="16">
        <f>SUMIFS(INDEX(元データ!$E$2:$H$20000,0,MATCH($C$2,元データ!$E$1:$H$1,0)),元データ!$A$2:$A$20000,$A54,元データ!$D$2:$D$20000,$B54,元データ!$B$2:$B$20000,$C$3,元データ!$C$2:$C$20000,F$5)</f>
        <v>104</v>
      </c>
      <c r="G54" s="16">
        <f>SUMIFS(INDEX(元データ!$E$2:$H$20000,0,MATCH($C$2,元データ!$E$1:$H$1,0)),元データ!$A$2:$A$20000,$A54,元データ!$D$2:$D$20000,$B54,元データ!$B$2:$B$20000,$C$3,元データ!$C$2:$C$20000,G$5)</f>
        <v>67</v>
      </c>
      <c r="H54" s="16">
        <f>SUMIFS(INDEX(元データ!$E$2:$H$20000,0,MATCH($C$2,元データ!$E$1:$H$1,0)),元データ!$A$2:$A$20000,$A54,元データ!$D$2:$D$20000,$B54,元データ!$B$2:$B$20000,$C$3,元データ!$C$2:$C$20000,H$5)</f>
        <v>68</v>
      </c>
      <c r="I54" s="16">
        <f>SUMIFS(INDEX(元データ!$E$2:$H$20000,0,MATCH($C$2,元データ!$E$1:$H$1,0)),元データ!$A$2:$A$20000,$A54,元データ!$D$2:$D$20000,$B54,元データ!$B$2:$B$20000,$C$3,元データ!$C$2:$C$20000,I$5)</f>
        <v>49</v>
      </c>
      <c r="J54" s="16">
        <f>SUMIFS(INDEX(元データ!$E$2:$H$20000,0,MATCH($C$2,元データ!$E$1:$H$1,0)),元データ!$A$2:$A$20000,$A54,元データ!$D$2:$D$20000,$B54,元データ!$B$2:$B$20000,$C$3,元データ!$C$2:$C$20000,J$5)</f>
        <v>41</v>
      </c>
      <c r="K54" s="16">
        <f>SUMIFS(INDEX(元データ!$E$2:$H$20000,0,MATCH($C$2,元データ!$E$1:$H$1,0)),元データ!$A$2:$A$20000,$A54,元データ!$D$2:$D$20000,$B54,元データ!$B$2:$B$20000,$C$3,元データ!$C$2:$C$20000,K$5)</f>
        <v>48</v>
      </c>
      <c r="L54" s="16">
        <f>SUMIFS(INDEX(元データ!$E$2:$H$20000,0,MATCH($C$2,元データ!$E$1:$H$1,0)),元データ!$A$2:$A$20000,$A54,元データ!$D$2:$D$20000,$B54,元データ!$B$2:$B$20000,$C$3,元データ!$C$2:$C$20000,L$5)</f>
        <v>59</v>
      </c>
      <c r="M54" s="16">
        <f>SUMIFS(INDEX(元データ!$E$2:$H$20000,0,MATCH($C$2,元データ!$E$1:$H$1,0)),元データ!$A$2:$A$20000,$A54,元データ!$D$2:$D$20000,$B54,元データ!$B$2:$B$20000,$C$3,元データ!$C$2:$C$20000,M$5)</f>
        <v>34</v>
      </c>
      <c r="N54" s="16">
        <f>SUMIFS(INDEX(元データ!$E$2:$H$20000,0,MATCH($C$2,元データ!$E$1:$H$1,0)),元データ!$A$2:$A$20000,$A54,元データ!$D$2:$D$20000,$B54,元データ!$B$2:$B$20000,$C$3,元データ!$C$2:$C$20000,N$5)</f>
        <v>99</v>
      </c>
      <c r="O54" s="17">
        <f t="shared" si="2"/>
        <v>732</v>
      </c>
      <c r="P54" s="17">
        <f>SUMIFS(INDEX(元データ!$E$2:$H$20000,0,MATCH($C$2,元データ!$E$1:$H$1,0)),元データ!$A$2:$A$20000,$A54,元データ!$D$2:$D$20000,$B54,元データ!$B$2:$B$20000,$D$3)</f>
        <v>0</v>
      </c>
      <c r="Q54" s="25" t="str">
        <f t="shared" si="3"/>
        <v/>
      </c>
    </row>
    <row r="55" spans="1:17" x14ac:dyDescent="0.45">
      <c r="A55" s="14"/>
      <c r="B55" s="15" t="s">
        <v>32</v>
      </c>
      <c r="C55" s="16">
        <f>SUMIFS(INDEX(元データ!$E$2:$H$20000,0,MATCH($C$2,元データ!$E$1:$H$1,0)),元データ!$A$2:$A$20000,$A54,元データ!$D$2:$D$20000,$B55,元データ!$B$2:$B$20000,$C$3,元データ!$C$2:$C$20000,C$5)</f>
        <v>9</v>
      </c>
      <c r="D55" s="16">
        <f>SUMIFS(INDEX(元データ!$E$2:$H$20000,0,MATCH($C$2,元データ!$E$1:$H$1,0)),元データ!$A$2:$A$20000,$A54,元データ!$D$2:$D$20000,$B55,元データ!$B$2:$B$20000,$C$3,元データ!$C$2:$C$20000,D$5)</f>
        <v>7</v>
      </c>
      <c r="E55" s="16">
        <f>SUMIFS(INDEX(元データ!$E$2:$H$20000,0,MATCH($C$2,元データ!$E$1:$H$1,0)),元データ!$A$2:$A$20000,$A54,元データ!$D$2:$D$20000,$B55,元データ!$B$2:$B$20000,$C$3,元データ!$C$2:$C$20000,E$5)</f>
        <v>6</v>
      </c>
      <c r="F55" s="16">
        <f>SUMIFS(INDEX(元データ!$E$2:$H$20000,0,MATCH($C$2,元データ!$E$1:$H$1,0)),元データ!$A$2:$A$20000,$A54,元データ!$D$2:$D$20000,$B55,元データ!$B$2:$B$20000,$C$3,元データ!$C$2:$C$20000,F$5)</f>
        <v>3</v>
      </c>
      <c r="G55" s="16">
        <f>SUMIFS(INDEX(元データ!$E$2:$H$20000,0,MATCH($C$2,元データ!$E$1:$H$1,0)),元データ!$A$2:$A$20000,$A54,元データ!$D$2:$D$20000,$B55,元データ!$B$2:$B$20000,$C$3,元データ!$C$2:$C$20000,G$5)</f>
        <v>6</v>
      </c>
      <c r="H55" s="16">
        <f>SUMIFS(INDEX(元データ!$E$2:$H$20000,0,MATCH($C$2,元データ!$E$1:$H$1,0)),元データ!$A$2:$A$20000,$A54,元データ!$D$2:$D$20000,$B55,元データ!$B$2:$B$20000,$C$3,元データ!$C$2:$C$20000,H$5)</f>
        <v>4</v>
      </c>
      <c r="I55" s="16">
        <f>SUMIFS(INDEX(元データ!$E$2:$H$20000,0,MATCH($C$2,元データ!$E$1:$H$1,0)),元データ!$A$2:$A$20000,$A54,元データ!$D$2:$D$20000,$B55,元データ!$B$2:$B$20000,$C$3,元データ!$C$2:$C$20000,I$5)</f>
        <v>3</v>
      </c>
      <c r="J55" s="16">
        <f>SUMIFS(INDEX(元データ!$E$2:$H$20000,0,MATCH($C$2,元データ!$E$1:$H$1,0)),元データ!$A$2:$A$20000,$A54,元データ!$D$2:$D$20000,$B55,元データ!$B$2:$B$20000,$C$3,元データ!$C$2:$C$20000,J$5)</f>
        <v>5</v>
      </c>
      <c r="K55" s="16">
        <f>SUMIFS(INDEX(元データ!$E$2:$H$20000,0,MATCH($C$2,元データ!$E$1:$H$1,0)),元データ!$A$2:$A$20000,$A54,元データ!$D$2:$D$20000,$B55,元データ!$B$2:$B$20000,$C$3,元データ!$C$2:$C$20000,K$5)</f>
        <v>6</v>
      </c>
      <c r="L55" s="16">
        <f>SUMIFS(INDEX(元データ!$E$2:$H$20000,0,MATCH($C$2,元データ!$E$1:$H$1,0)),元データ!$A$2:$A$20000,$A54,元データ!$D$2:$D$20000,$B55,元データ!$B$2:$B$20000,$C$3,元データ!$C$2:$C$20000,L$5)</f>
        <v>8</v>
      </c>
      <c r="M55" s="16">
        <f>SUMIFS(INDEX(元データ!$E$2:$H$20000,0,MATCH($C$2,元データ!$E$1:$H$1,0)),元データ!$A$2:$A$20000,$A54,元データ!$D$2:$D$20000,$B55,元データ!$B$2:$B$20000,$C$3,元データ!$C$2:$C$20000,M$5)</f>
        <v>6</v>
      </c>
      <c r="N55" s="16">
        <f>SUMIFS(INDEX(元データ!$E$2:$H$20000,0,MATCH($C$2,元データ!$E$1:$H$1,0)),元データ!$A$2:$A$20000,$A54,元データ!$D$2:$D$20000,$B55,元データ!$B$2:$B$20000,$C$3,元データ!$C$2:$C$20000,N$5)</f>
        <v>7</v>
      </c>
      <c r="O55" s="17">
        <f t="shared" si="2"/>
        <v>70</v>
      </c>
      <c r="P55" s="17">
        <f>SUMIFS(INDEX(元データ!$E$2:$H$20000,0,MATCH($C$2,元データ!$E$1:$H$1,0)),元データ!$A$2:$A$20000,$A54,元データ!$D$2:$D$20000,$B55,元データ!$B$2:$B$20000,$D$3)</f>
        <v>0</v>
      </c>
      <c r="Q55" s="25" t="str">
        <f t="shared" si="3"/>
        <v/>
      </c>
    </row>
    <row r="56" spans="1:17" x14ac:dyDescent="0.45">
      <c r="A56" s="14" t="str">
        <f>店舗マスタ!A27</f>
        <v>三島徳倉店</v>
      </c>
      <c r="B56" s="15" t="s">
        <v>31</v>
      </c>
      <c r="C56" s="16">
        <f>SUMIFS(INDEX(元データ!$E$2:$H$20000,0,MATCH($C$2,元データ!$E$1:$H$1,0)),元データ!$A$2:$A$20000,$A56,元データ!$D$2:$D$20000,$B56,元データ!$B$2:$B$20000,$C$3,元データ!$C$2:$C$20000,C$5)</f>
        <v>7</v>
      </c>
      <c r="D56" s="16">
        <f>SUMIFS(INDEX(元データ!$E$2:$H$20000,0,MATCH($C$2,元データ!$E$1:$H$1,0)),元データ!$A$2:$A$20000,$A56,元データ!$D$2:$D$20000,$B56,元データ!$B$2:$B$20000,$C$3,元データ!$C$2:$C$20000,D$5)</f>
        <v>61</v>
      </c>
      <c r="E56" s="16">
        <f>SUMIFS(INDEX(元データ!$E$2:$H$20000,0,MATCH($C$2,元データ!$E$1:$H$1,0)),元データ!$A$2:$A$20000,$A56,元データ!$D$2:$D$20000,$B56,元データ!$B$2:$B$20000,$C$3,元データ!$C$2:$C$20000,E$5)</f>
        <v>53</v>
      </c>
      <c r="F56" s="16">
        <f>SUMIFS(INDEX(元データ!$E$2:$H$20000,0,MATCH($C$2,元データ!$E$1:$H$1,0)),元データ!$A$2:$A$20000,$A56,元データ!$D$2:$D$20000,$B56,元データ!$B$2:$B$20000,$C$3,元データ!$C$2:$C$20000,F$5)</f>
        <v>92</v>
      </c>
      <c r="G56" s="16">
        <f>SUMIFS(INDEX(元データ!$E$2:$H$20000,0,MATCH($C$2,元データ!$E$1:$H$1,0)),元データ!$A$2:$A$20000,$A56,元データ!$D$2:$D$20000,$B56,元データ!$B$2:$B$20000,$C$3,元データ!$C$2:$C$20000,G$5)</f>
        <v>40</v>
      </c>
      <c r="H56" s="16">
        <f>SUMIFS(INDEX(元データ!$E$2:$H$20000,0,MATCH($C$2,元データ!$E$1:$H$1,0)),元データ!$A$2:$A$20000,$A56,元データ!$D$2:$D$20000,$B56,元データ!$B$2:$B$20000,$C$3,元データ!$C$2:$C$20000,H$5)</f>
        <v>32</v>
      </c>
      <c r="I56" s="16">
        <f>SUMIFS(INDEX(元データ!$E$2:$H$20000,0,MATCH($C$2,元データ!$E$1:$H$1,0)),元データ!$A$2:$A$20000,$A56,元データ!$D$2:$D$20000,$B56,元データ!$B$2:$B$20000,$C$3,元データ!$C$2:$C$20000,I$5)</f>
        <v>38</v>
      </c>
      <c r="J56" s="16">
        <f>SUMIFS(INDEX(元データ!$E$2:$H$20000,0,MATCH($C$2,元データ!$E$1:$H$1,0)),元データ!$A$2:$A$20000,$A56,元データ!$D$2:$D$20000,$B56,元データ!$B$2:$B$20000,$C$3,元データ!$C$2:$C$20000,J$5)</f>
        <v>22</v>
      </c>
      <c r="K56" s="16">
        <f>SUMIFS(INDEX(元データ!$E$2:$H$20000,0,MATCH($C$2,元データ!$E$1:$H$1,0)),元データ!$A$2:$A$20000,$A56,元データ!$D$2:$D$20000,$B56,元データ!$B$2:$B$20000,$C$3,元データ!$C$2:$C$20000,K$5)</f>
        <v>19</v>
      </c>
      <c r="L56" s="16">
        <f>SUMIFS(INDEX(元データ!$E$2:$H$20000,0,MATCH($C$2,元データ!$E$1:$H$1,0)),元データ!$A$2:$A$20000,$A56,元データ!$D$2:$D$20000,$B56,元データ!$B$2:$B$20000,$C$3,元データ!$C$2:$C$20000,L$5)</f>
        <v>40</v>
      </c>
      <c r="M56" s="16">
        <f>SUMIFS(INDEX(元データ!$E$2:$H$20000,0,MATCH($C$2,元データ!$E$1:$H$1,0)),元データ!$A$2:$A$20000,$A56,元データ!$D$2:$D$20000,$B56,元データ!$B$2:$B$20000,$C$3,元データ!$C$2:$C$20000,M$5)</f>
        <v>7</v>
      </c>
      <c r="N56" s="16">
        <f>SUMIFS(INDEX(元データ!$E$2:$H$20000,0,MATCH($C$2,元データ!$E$1:$H$1,0)),元データ!$A$2:$A$20000,$A56,元データ!$D$2:$D$20000,$B56,元データ!$B$2:$B$20000,$C$3,元データ!$C$2:$C$20000,N$5)</f>
        <v>93</v>
      </c>
      <c r="O56" s="17">
        <f t="shared" si="2"/>
        <v>504</v>
      </c>
      <c r="P56" s="17">
        <f>SUMIFS(INDEX(元データ!$E$2:$H$20000,0,MATCH($C$2,元データ!$E$1:$H$1,0)),元データ!$A$2:$A$20000,$A56,元データ!$D$2:$D$20000,$B56,元データ!$B$2:$B$20000,$D$3)</f>
        <v>0</v>
      </c>
      <c r="Q56" s="25" t="str">
        <f t="shared" si="3"/>
        <v/>
      </c>
    </row>
    <row r="57" spans="1:17" x14ac:dyDescent="0.45">
      <c r="A57" s="14"/>
      <c r="B57" s="15" t="s">
        <v>32</v>
      </c>
      <c r="C57" s="16">
        <f>SUMIFS(INDEX(元データ!$E$2:$H$20000,0,MATCH($C$2,元データ!$E$1:$H$1,0)),元データ!$A$2:$A$20000,$A56,元データ!$D$2:$D$20000,$B57,元データ!$B$2:$B$20000,$C$3,元データ!$C$2:$C$20000,C$5)</f>
        <v>4</v>
      </c>
      <c r="D57" s="16">
        <f>SUMIFS(INDEX(元データ!$E$2:$H$20000,0,MATCH($C$2,元データ!$E$1:$H$1,0)),元データ!$A$2:$A$20000,$A56,元データ!$D$2:$D$20000,$B57,元データ!$B$2:$B$20000,$C$3,元データ!$C$2:$C$20000,D$5)</f>
        <v>10</v>
      </c>
      <c r="E57" s="16">
        <f>SUMIFS(INDEX(元データ!$E$2:$H$20000,0,MATCH($C$2,元データ!$E$1:$H$1,0)),元データ!$A$2:$A$20000,$A56,元データ!$D$2:$D$20000,$B57,元データ!$B$2:$B$20000,$C$3,元データ!$C$2:$C$20000,E$5)</f>
        <v>1</v>
      </c>
      <c r="F57" s="16">
        <f>SUMIFS(INDEX(元データ!$E$2:$H$20000,0,MATCH($C$2,元データ!$E$1:$H$1,0)),元データ!$A$2:$A$20000,$A56,元データ!$D$2:$D$20000,$B57,元データ!$B$2:$B$20000,$C$3,元データ!$C$2:$C$20000,F$5)</f>
        <v>0</v>
      </c>
      <c r="G57" s="16">
        <f>SUMIFS(INDEX(元データ!$E$2:$H$20000,0,MATCH($C$2,元データ!$E$1:$H$1,0)),元データ!$A$2:$A$20000,$A56,元データ!$D$2:$D$20000,$B57,元データ!$B$2:$B$20000,$C$3,元データ!$C$2:$C$20000,G$5)</f>
        <v>1</v>
      </c>
      <c r="H57" s="16">
        <f>SUMIFS(INDEX(元データ!$E$2:$H$20000,0,MATCH($C$2,元データ!$E$1:$H$1,0)),元データ!$A$2:$A$20000,$A56,元データ!$D$2:$D$20000,$B57,元データ!$B$2:$B$20000,$C$3,元データ!$C$2:$C$20000,H$5)</f>
        <v>2</v>
      </c>
      <c r="I57" s="16">
        <f>SUMIFS(INDEX(元データ!$E$2:$H$20000,0,MATCH($C$2,元データ!$E$1:$H$1,0)),元データ!$A$2:$A$20000,$A56,元データ!$D$2:$D$20000,$B57,元データ!$B$2:$B$20000,$C$3,元データ!$C$2:$C$20000,I$5)</f>
        <v>3</v>
      </c>
      <c r="J57" s="16">
        <f>SUMIFS(INDEX(元データ!$E$2:$H$20000,0,MATCH($C$2,元データ!$E$1:$H$1,0)),元データ!$A$2:$A$20000,$A56,元データ!$D$2:$D$20000,$B57,元データ!$B$2:$B$20000,$C$3,元データ!$C$2:$C$20000,J$5)</f>
        <v>4</v>
      </c>
      <c r="K57" s="16">
        <f>SUMIFS(INDEX(元データ!$E$2:$H$20000,0,MATCH($C$2,元データ!$E$1:$H$1,0)),元データ!$A$2:$A$20000,$A56,元データ!$D$2:$D$20000,$B57,元データ!$B$2:$B$20000,$C$3,元データ!$C$2:$C$20000,K$5)</f>
        <v>4</v>
      </c>
      <c r="L57" s="16">
        <f>SUMIFS(INDEX(元データ!$E$2:$H$20000,0,MATCH($C$2,元データ!$E$1:$H$1,0)),元データ!$A$2:$A$20000,$A56,元データ!$D$2:$D$20000,$B57,元データ!$B$2:$B$20000,$C$3,元データ!$C$2:$C$20000,L$5)</f>
        <v>1</v>
      </c>
      <c r="M57" s="16">
        <f>SUMIFS(INDEX(元データ!$E$2:$H$20000,0,MATCH($C$2,元データ!$E$1:$H$1,0)),元データ!$A$2:$A$20000,$A56,元データ!$D$2:$D$20000,$B57,元データ!$B$2:$B$20000,$C$3,元データ!$C$2:$C$20000,M$5)</f>
        <v>6</v>
      </c>
      <c r="N57" s="16">
        <f>SUMIFS(INDEX(元データ!$E$2:$H$20000,0,MATCH($C$2,元データ!$E$1:$H$1,0)),元データ!$A$2:$A$20000,$A56,元データ!$D$2:$D$20000,$B57,元データ!$B$2:$B$20000,$C$3,元データ!$C$2:$C$20000,N$5)</f>
        <v>2</v>
      </c>
      <c r="O57" s="17">
        <f t="shared" si="2"/>
        <v>38</v>
      </c>
      <c r="P57" s="17">
        <f>SUMIFS(INDEX(元データ!$E$2:$H$20000,0,MATCH($C$2,元データ!$E$1:$H$1,0)),元データ!$A$2:$A$20000,$A56,元データ!$D$2:$D$20000,$B57,元データ!$B$2:$B$20000,$D$3)</f>
        <v>0</v>
      </c>
      <c r="Q57" s="25" t="str">
        <f t="shared" si="3"/>
        <v/>
      </c>
    </row>
    <row r="58" spans="1:17" x14ac:dyDescent="0.45">
      <c r="A58" s="14" t="str">
        <f>店舗マスタ!A28</f>
        <v>西沢田店</v>
      </c>
      <c r="B58" s="15" t="s">
        <v>31</v>
      </c>
      <c r="C58" s="16">
        <f>SUMIFS(INDEX(元データ!$E$2:$H$20000,0,MATCH($C$2,元データ!$E$1:$H$1,0)),元データ!$A$2:$A$20000,$A58,元データ!$D$2:$D$20000,$B58,元データ!$B$2:$B$20000,$C$3,元データ!$C$2:$C$20000,C$5)</f>
        <v>13</v>
      </c>
      <c r="D58" s="16">
        <f>SUMIFS(INDEX(元データ!$E$2:$H$20000,0,MATCH($C$2,元データ!$E$1:$H$1,0)),元データ!$A$2:$A$20000,$A58,元データ!$D$2:$D$20000,$B58,元データ!$B$2:$B$20000,$C$3,元データ!$C$2:$C$20000,D$5)</f>
        <v>140</v>
      </c>
      <c r="E58" s="16">
        <f>SUMIFS(INDEX(元データ!$E$2:$H$20000,0,MATCH($C$2,元データ!$E$1:$H$1,0)),元データ!$A$2:$A$20000,$A58,元データ!$D$2:$D$20000,$B58,元データ!$B$2:$B$20000,$C$3,元データ!$C$2:$C$20000,E$5)</f>
        <v>65</v>
      </c>
      <c r="F58" s="16">
        <f>SUMIFS(INDEX(元データ!$E$2:$H$20000,0,MATCH($C$2,元データ!$E$1:$H$1,0)),元データ!$A$2:$A$20000,$A58,元データ!$D$2:$D$20000,$B58,元データ!$B$2:$B$20000,$C$3,元データ!$C$2:$C$20000,F$5)</f>
        <v>116</v>
      </c>
      <c r="G58" s="16">
        <f>SUMIFS(INDEX(元データ!$E$2:$H$20000,0,MATCH($C$2,元データ!$E$1:$H$1,0)),元データ!$A$2:$A$20000,$A58,元データ!$D$2:$D$20000,$B58,元データ!$B$2:$B$20000,$C$3,元データ!$C$2:$C$20000,G$5)</f>
        <v>52</v>
      </c>
      <c r="H58" s="16">
        <f>SUMIFS(INDEX(元データ!$E$2:$H$20000,0,MATCH($C$2,元データ!$E$1:$H$1,0)),元データ!$A$2:$A$20000,$A58,元データ!$D$2:$D$20000,$B58,元データ!$B$2:$B$20000,$C$3,元データ!$C$2:$C$20000,H$5)</f>
        <v>39</v>
      </c>
      <c r="I58" s="16">
        <f>SUMIFS(INDEX(元データ!$E$2:$H$20000,0,MATCH($C$2,元データ!$E$1:$H$1,0)),元データ!$A$2:$A$20000,$A58,元データ!$D$2:$D$20000,$B58,元データ!$B$2:$B$20000,$C$3,元データ!$C$2:$C$20000,I$5)</f>
        <v>54</v>
      </c>
      <c r="J58" s="16">
        <f>SUMIFS(INDEX(元データ!$E$2:$H$20000,0,MATCH($C$2,元データ!$E$1:$H$1,0)),元データ!$A$2:$A$20000,$A58,元データ!$D$2:$D$20000,$B58,元データ!$B$2:$B$20000,$C$3,元データ!$C$2:$C$20000,J$5)</f>
        <v>33</v>
      </c>
      <c r="K58" s="16">
        <f>SUMIFS(INDEX(元データ!$E$2:$H$20000,0,MATCH($C$2,元データ!$E$1:$H$1,0)),元データ!$A$2:$A$20000,$A58,元データ!$D$2:$D$20000,$B58,元データ!$B$2:$B$20000,$C$3,元データ!$C$2:$C$20000,K$5)</f>
        <v>39</v>
      </c>
      <c r="L58" s="16">
        <f>SUMIFS(INDEX(元データ!$E$2:$H$20000,0,MATCH($C$2,元データ!$E$1:$H$1,0)),元データ!$A$2:$A$20000,$A58,元データ!$D$2:$D$20000,$B58,元データ!$B$2:$B$20000,$C$3,元データ!$C$2:$C$20000,L$5)</f>
        <v>56</v>
      </c>
      <c r="M58" s="16">
        <f>SUMIFS(INDEX(元データ!$E$2:$H$20000,0,MATCH($C$2,元データ!$E$1:$H$1,0)),元データ!$A$2:$A$20000,$A58,元データ!$D$2:$D$20000,$B58,元データ!$B$2:$B$20000,$C$3,元データ!$C$2:$C$20000,M$5)</f>
        <v>28</v>
      </c>
      <c r="N58" s="16">
        <f>SUMIFS(INDEX(元データ!$E$2:$H$20000,0,MATCH($C$2,元データ!$E$1:$H$1,0)),元データ!$A$2:$A$20000,$A58,元データ!$D$2:$D$20000,$B58,元データ!$B$2:$B$20000,$C$3,元データ!$C$2:$C$20000,N$5)</f>
        <v>96</v>
      </c>
      <c r="O58" s="17">
        <f t="shared" si="2"/>
        <v>731</v>
      </c>
      <c r="P58" s="17">
        <f>SUMIFS(INDEX(元データ!$E$2:$H$20000,0,MATCH($C$2,元データ!$E$1:$H$1,0)),元データ!$A$2:$A$20000,$A58,元データ!$D$2:$D$20000,$B58,元データ!$B$2:$B$20000,$D$3)</f>
        <v>0</v>
      </c>
      <c r="Q58" s="25" t="str">
        <f t="shared" si="3"/>
        <v/>
      </c>
    </row>
    <row r="59" spans="1:17" x14ac:dyDescent="0.45">
      <c r="A59" s="14"/>
      <c r="B59" s="15" t="s">
        <v>32</v>
      </c>
      <c r="C59" s="16">
        <f>SUMIFS(INDEX(元データ!$E$2:$H$20000,0,MATCH($C$2,元データ!$E$1:$H$1,0)),元データ!$A$2:$A$20000,$A58,元データ!$D$2:$D$20000,$B59,元データ!$B$2:$B$20000,$C$3,元データ!$C$2:$C$20000,C$5)</f>
        <v>3</v>
      </c>
      <c r="D59" s="16">
        <f>SUMIFS(INDEX(元データ!$E$2:$H$20000,0,MATCH($C$2,元データ!$E$1:$H$1,0)),元データ!$A$2:$A$20000,$A58,元データ!$D$2:$D$20000,$B59,元データ!$B$2:$B$20000,$C$3,元データ!$C$2:$C$20000,D$5)</f>
        <v>6</v>
      </c>
      <c r="E59" s="16">
        <f>SUMIFS(INDEX(元データ!$E$2:$H$20000,0,MATCH($C$2,元データ!$E$1:$H$1,0)),元データ!$A$2:$A$20000,$A58,元データ!$D$2:$D$20000,$B59,元データ!$B$2:$B$20000,$C$3,元データ!$C$2:$C$20000,E$5)</f>
        <v>4</v>
      </c>
      <c r="F59" s="16">
        <f>SUMIFS(INDEX(元データ!$E$2:$H$20000,0,MATCH($C$2,元データ!$E$1:$H$1,0)),元データ!$A$2:$A$20000,$A58,元データ!$D$2:$D$20000,$B59,元データ!$B$2:$B$20000,$C$3,元データ!$C$2:$C$20000,F$5)</f>
        <v>2</v>
      </c>
      <c r="G59" s="16">
        <f>SUMIFS(INDEX(元データ!$E$2:$H$20000,0,MATCH($C$2,元データ!$E$1:$H$1,0)),元データ!$A$2:$A$20000,$A58,元データ!$D$2:$D$20000,$B59,元データ!$B$2:$B$20000,$C$3,元データ!$C$2:$C$20000,G$5)</f>
        <v>2</v>
      </c>
      <c r="H59" s="16">
        <f>SUMIFS(INDEX(元データ!$E$2:$H$20000,0,MATCH($C$2,元データ!$E$1:$H$1,0)),元データ!$A$2:$A$20000,$A58,元データ!$D$2:$D$20000,$B59,元データ!$B$2:$B$20000,$C$3,元データ!$C$2:$C$20000,H$5)</f>
        <v>2</v>
      </c>
      <c r="I59" s="16">
        <f>SUMIFS(INDEX(元データ!$E$2:$H$20000,0,MATCH($C$2,元データ!$E$1:$H$1,0)),元データ!$A$2:$A$20000,$A58,元データ!$D$2:$D$20000,$B59,元データ!$B$2:$B$20000,$C$3,元データ!$C$2:$C$20000,I$5)</f>
        <v>3</v>
      </c>
      <c r="J59" s="16">
        <f>SUMIFS(INDEX(元データ!$E$2:$H$20000,0,MATCH($C$2,元データ!$E$1:$H$1,0)),元データ!$A$2:$A$20000,$A58,元データ!$D$2:$D$20000,$B59,元データ!$B$2:$B$20000,$C$3,元データ!$C$2:$C$20000,J$5)</f>
        <v>7</v>
      </c>
      <c r="K59" s="16">
        <f>SUMIFS(INDEX(元データ!$E$2:$H$20000,0,MATCH($C$2,元データ!$E$1:$H$1,0)),元データ!$A$2:$A$20000,$A58,元データ!$D$2:$D$20000,$B59,元データ!$B$2:$B$20000,$C$3,元データ!$C$2:$C$20000,K$5)</f>
        <v>5</v>
      </c>
      <c r="L59" s="16">
        <f>SUMIFS(INDEX(元データ!$E$2:$H$20000,0,MATCH($C$2,元データ!$E$1:$H$1,0)),元データ!$A$2:$A$20000,$A58,元データ!$D$2:$D$20000,$B59,元データ!$B$2:$B$20000,$C$3,元データ!$C$2:$C$20000,L$5)</f>
        <v>3</v>
      </c>
      <c r="M59" s="16">
        <f>SUMIFS(INDEX(元データ!$E$2:$H$20000,0,MATCH($C$2,元データ!$E$1:$H$1,0)),元データ!$A$2:$A$20000,$A58,元データ!$D$2:$D$20000,$B59,元データ!$B$2:$B$20000,$C$3,元データ!$C$2:$C$20000,M$5)</f>
        <v>7</v>
      </c>
      <c r="N59" s="16">
        <f>SUMIFS(INDEX(元データ!$E$2:$H$20000,0,MATCH($C$2,元データ!$E$1:$H$1,0)),元データ!$A$2:$A$20000,$A58,元データ!$D$2:$D$20000,$B59,元データ!$B$2:$B$20000,$C$3,元データ!$C$2:$C$20000,N$5)</f>
        <v>2</v>
      </c>
      <c r="O59" s="17">
        <f t="shared" si="2"/>
        <v>46</v>
      </c>
      <c r="P59" s="17">
        <f>SUMIFS(INDEX(元データ!$E$2:$H$20000,0,MATCH($C$2,元データ!$E$1:$H$1,0)),元データ!$A$2:$A$20000,$A58,元データ!$D$2:$D$20000,$B59,元データ!$B$2:$B$20000,$D$3)</f>
        <v>0</v>
      </c>
      <c r="Q59" s="25" t="str">
        <f t="shared" si="3"/>
        <v/>
      </c>
    </row>
    <row r="60" spans="1:17" x14ac:dyDescent="0.45">
      <c r="A60" s="14" t="str">
        <f>店舗マスタ!A29</f>
        <v>中土狩店</v>
      </c>
      <c r="B60" s="15" t="s">
        <v>31</v>
      </c>
      <c r="C60" s="16">
        <f>SUMIFS(INDEX(元データ!$E$2:$H$20000,0,MATCH($C$2,元データ!$E$1:$H$1,0)),元データ!$A$2:$A$20000,$A60,元データ!$D$2:$D$20000,$B60,元データ!$B$2:$B$20000,$C$3,元データ!$C$2:$C$20000,C$5)</f>
        <v>59</v>
      </c>
      <c r="D60" s="16">
        <f>SUMIFS(INDEX(元データ!$E$2:$H$20000,0,MATCH($C$2,元データ!$E$1:$H$1,0)),元データ!$A$2:$A$20000,$A60,元データ!$D$2:$D$20000,$B60,元データ!$B$2:$B$20000,$C$3,元データ!$C$2:$C$20000,D$5)</f>
        <v>276</v>
      </c>
      <c r="E60" s="16">
        <f>SUMIFS(INDEX(元データ!$E$2:$H$20000,0,MATCH($C$2,元データ!$E$1:$H$1,0)),元データ!$A$2:$A$20000,$A60,元データ!$D$2:$D$20000,$B60,元データ!$B$2:$B$20000,$C$3,元データ!$C$2:$C$20000,E$5)</f>
        <v>270</v>
      </c>
      <c r="F60" s="16">
        <f>SUMIFS(INDEX(元データ!$E$2:$H$20000,0,MATCH($C$2,元データ!$E$1:$H$1,0)),元データ!$A$2:$A$20000,$A60,元データ!$D$2:$D$20000,$B60,元データ!$B$2:$B$20000,$C$3,元データ!$C$2:$C$20000,F$5)</f>
        <v>381</v>
      </c>
      <c r="G60" s="16">
        <f>SUMIFS(INDEX(元データ!$E$2:$H$20000,0,MATCH($C$2,元データ!$E$1:$H$1,0)),元データ!$A$2:$A$20000,$A60,元データ!$D$2:$D$20000,$B60,元データ!$B$2:$B$20000,$C$3,元データ!$C$2:$C$20000,G$5)</f>
        <v>154</v>
      </c>
      <c r="H60" s="16">
        <f>SUMIFS(INDEX(元データ!$E$2:$H$20000,0,MATCH($C$2,元データ!$E$1:$H$1,0)),元データ!$A$2:$A$20000,$A60,元データ!$D$2:$D$20000,$B60,元データ!$B$2:$B$20000,$C$3,元データ!$C$2:$C$20000,H$5)</f>
        <v>171</v>
      </c>
      <c r="I60" s="16">
        <f>SUMIFS(INDEX(元データ!$E$2:$H$20000,0,MATCH($C$2,元データ!$E$1:$H$1,0)),元データ!$A$2:$A$20000,$A60,元データ!$D$2:$D$20000,$B60,元データ!$B$2:$B$20000,$C$3,元データ!$C$2:$C$20000,I$5)</f>
        <v>164</v>
      </c>
      <c r="J60" s="16">
        <f>SUMIFS(INDEX(元データ!$E$2:$H$20000,0,MATCH($C$2,元データ!$E$1:$H$1,0)),元データ!$A$2:$A$20000,$A60,元データ!$D$2:$D$20000,$B60,元データ!$B$2:$B$20000,$C$3,元データ!$C$2:$C$20000,J$5)</f>
        <v>91</v>
      </c>
      <c r="K60" s="16">
        <f>SUMIFS(INDEX(元データ!$E$2:$H$20000,0,MATCH($C$2,元データ!$E$1:$H$1,0)),元データ!$A$2:$A$20000,$A60,元データ!$D$2:$D$20000,$B60,元データ!$B$2:$B$20000,$C$3,元データ!$C$2:$C$20000,K$5)</f>
        <v>104</v>
      </c>
      <c r="L60" s="16">
        <f>SUMIFS(INDEX(元データ!$E$2:$H$20000,0,MATCH($C$2,元データ!$E$1:$H$1,0)),元データ!$A$2:$A$20000,$A60,元データ!$D$2:$D$20000,$B60,元データ!$B$2:$B$20000,$C$3,元データ!$C$2:$C$20000,L$5)</f>
        <v>205</v>
      </c>
      <c r="M60" s="16">
        <f>SUMIFS(INDEX(元データ!$E$2:$H$20000,0,MATCH($C$2,元データ!$E$1:$H$1,0)),元データ!$A$2:$A$20000,$A60,元データ!$D$2:$D$20000,$B60,元データ!$B$2:$B$20000,$C$3,元データ!$C$2:$C$20000,M$5)</f>
        <v>62</v>
      </c>
      <c r="N60" s="16">
        <f>SUMIFS(INDEX(元データ!$E$2:$H$20000,0,MATCH($C$2,元データ!$E$1:$H$1,0)),元データ!$A$2:$A$20000,$A60,元データ!$D$2:$D$20000,$B60,元データ!$B$2:$B$20000,$C$3,元データ!$C$2:$C$20000,N$5)</f>
        <v>335</v>
      </c>
      <c r="O60" s="17">
        <f t="shared" si="2"/>
        <v>2272</v>
      </c>
      <c r="P60" s="17">
        <f>SUMIFS(INDEX(元データ!$E$2:$H$20000,0,MATCH($C$2,元データ!$E$1:$H$1,0)),元データ!$A$2:$A$20000,$A60,元データ!$D$2:$D$20000,$B60,元データ!$B$2:$B$20000,$D$3)</f>
        <v>0</v>
      </c>
      <c r="Q60" s="25" t="str">
        <f t="shared" si="3"/>
        <v/>
      </c>
    </row>
    <row r="61" spans="1:17" x14ac:dyDescent="0.45">
      <c r="A61" s="14"/>
      <c r="B61" s="15" t="s">
        <v>32</v>
      </c>
      <c r="C61" s="16">
        <f>SUMIFS(INDEX(元データ!$E$2:$H$20000,0,MATCH($C$2,元データ!$E$1:$H$1,0)),元データ!$A$2:$A$20000,$A60,元データ!$D$2:$D$20000,$B61,元データ!$B$2:$B$20000,$C$3,元データ!$C$2:$C$20000,C$5)</f>
        <v>20</v>
      </c>
      <c r="D61" s="16">
        <f>SUMIFS(INDEX(元データ!$E$2:$H$20000,0,MATCH($C$2,元データ!$E$1:$H$1,0)),元データ!$A$2:$A$20000,$A60,元データ!$D$2:$D$20000,$B61,元データ!$B$2:$B$20000,$C$3,元データ!$C$2:$C$20000,D$5)</f>
        <v>17</v>
      </c>
      <c r="E61" s="16">
        <f>SUMIFS(INDEX(元データ!$E$2:$H$20000,0,MATCH($C$2,元データ!$E$1:$H$1,0)),元データ!$A$2:$A$20000,$A60,元データ!$D$2:$D$20000,$B61,元データ!$B$2:$B$20000,$C$3,元データ!$C$2:$C$20000,E$5)</f>
        <v>27</v>
      </c>
      <c r="F61" s="16">
        <f>SUMIFS(INDEX(元データ!$E$2:$H$20000,0,MATCH($C$2,元データ!$E$1:$H$1,0)),元データ!$A$2:$A$20000,$A60,元データ!$D$2:$D$20000,$B61,元データ!$B$2:$B$20000,$C$3,元データ!$C$2:$C$20000,F$5)</f>
        <v>10</v>
      </c>
      <c r="G61" s="16">
        <f>SUMIFS(INDEX(元データ!$E$2:$H$20000,0,MATCH($C$2,元データ!$E$1:$H$1,0)),元データ!$A$2:$A$20000,$A60,元データ!$D$2:$D$20000,$B61,元データ!$B$2:$B$20000,$C$3,元データ!$C$2:$C$20000,G$5)</f>
        <v>29</v>
      </c>
      <c r="H61" s="16">
        <f>SUMIFS(INDEX(元データ!$E$2:$H$20000,0,MATCH($C$2,元データ!$E$1:$H$1,0)),元データ!$A$2:$A$20000,$A60,元データ!$D$2:$D$20000,$B61,元データ!$B$2:$B$20000,$C$3,元データ!$C$2:$C$20000,H$5)</f>
        <v>10</v>
      </c>
      <c r="I61" s="16">
        <f>SUMIFS(INDEX(元データ!$E$2:$H$20000,0,MATCH($C$2,元データ!$E$1:$H$1,0)),元データ!$A$2:$A$20000,$A60,元データ!$D$2:$D$20000,$B61,元データ!$B$2:$B$20000,$C$3,元データ!$C$2:$C$20000,I$5)</f>
        <v>13</v>
      </c>
      <c r="J61" s="16">
        <f>SUMIFS(INDEX(元データ!$E$2:$H$20000,0,MATCH($C$2,元データ!$E$1:$H$1,0)),元データ!$A$2:$A$20000,$A60,元データ!$D$2:$D$20000,$B61,元データ!$B$2:$B$20000,$C$3,元データ!$C$2:$C$20000,J$5)</f>
        <v>7</v>
      </c>
      <c r="K61" s="16">
        <f>SUMIFS(INDEX(元データ!$E$2:$H$20000,0,MATCH($C$2,元データ!$E$1:$H$1,0)),元データ!$A$2:$A$20000,$A60,元データ!$D$2:$D$20000,$B61,元データ!$B$2:$B$20000,$C$3,元データ!$C$2:$C$20000,K$5)</f>
        <v>17</v>
      </c>
      <c r="L61" s="16">
        <f>SUMIFS(INDEX(元データ!$E$2:$H$20000,0,MATCH($C$2,元データ!$E$1:$H$1,0)),元データ!$A$2:$A$20000,$A60,元データ!$D$2:$D$20000,$B61,元データ!$B$2:$B$20000,$C$3,元データ!$C$2:$C$20000,L$5)</f>
        <v>18</v>
      </c>
      <c r="M61" s="16">
        <f>SUMIFS(INDEX(元データ!$E$2:$H$20000,0,MATCH($C$2,元データ!$E$1:$H$1,0)),元データ!$A$2:$A$20000,$A60,元データ!$D$2:$D$20000,$B61,元データ!$B$2:$B$20000,$C$3,元データ!$C$2:$C$20000,M$5)</f>
        <v>20</v>
      </c>
      <c r="N61" s="16">
        <f>SUMIFS(INDEX(元データ!$E$2:$H$20000,0,MATCH($C$2,元データ!$E$1:$H$1,0)),元データ!$A$2:$A$20000,$A60,元データ!$D$2:$D$20000,$B61,元データ!$B$2:$B$20000,$C$3,元データ!$C$2:$C$20000,N$5)</f>
        <v>14</v>
      </c>
      <c r="O61" s="17">
        <f t="shared" si="2"/>
        <v>202</v>
      </c>
      <c r="P61" s="17">
        <f>SUMIFS(INDEX(元データ!$E$2:$H$20000,0,MATCH($C$2,元データ!$E$1:$H$1,0)),元データ!$A$2:$A$20000,$A60,元データ!$D$2:$D$20000,$B61,元データ!$B$2:$B$20000,$D$3)</f>
        <v>0</v>
      </c>
      <c r="Q61" s="25" t="str">
        <f t="shared" si="3"/>
        <v/>
      </c>
    </row>
    <row r="62" spans="1:17" x14ac:dyDescent="0.45">
      <c r="A62" s="14" t="str">
        <f>店舗マスタ!A30</f>
        <v>萩原店</v>
      </c>
      <c r="B62" s="15" t="s">
        <v>31</v>
      </c>
      <c r="C62" s="16">
        <f>SUMIFS(INDEX(元データ!$E$2:$H$20000,0,MATCH($C$2,元データ!$E$1:$H$1,0)),元データ!$A$2:$A$20000,$A62,元データ!$D$2:$D$20000,$B62,元データ!$B$2:$B$20000,$C$3,元データ!$C$2:$C$20000,C$5)</f>
        <v>26</v>
      </c>
      <c r="D62" s="16">
        <f>SUMIFS(INDEX(元データ!$E$2:$H$20000,0,MATCH($C$2,元データ!$E$1:$H$1,0)),元データ!$A$2:$A$20000,$A62,元データ!$D$2:$D$20000,$B62,元データ!$B$2:$B$20000,$C$3,元データ!$C$2:$C$20000,D$5)</f>
        <v>134</v>
      </c>
      <c r="E62" s="16">
        <f>SUMIFS(INDEX(元データ!$E$2:$H$20000,0,MATCH($C$2,元データ!$E$1:$H$1,0)),元データ!$A$2:$A$20000,$A62,元データ!$D$2:$D$20000,$B62,元データ!$B$2:$B$20000,$C$3,元データ!$C$2:$C$20000,E$5)</f>
        <v>190</v>
      </c>
      <c r="F62" s="16">
        <f>SUMIFS(INDEX(元データ!$E$2:$H$20000,0,MATCH($C$2,元データ!$E$1:$H$1,0)),元データ!$A$2:$A$20000,$A62,元データ!$D$2:$D$20000,$B62,元データ!$B$2:$B$20000,$C$3,元データ!$C$2:$C$20000,F$5)</f>
        <v>260</v>
      </c>
      <c r="G62" s="16">
        <f>SUMIFS(INDEX(元データ!$E$2:$H$20000,0,MATCH($C$2,元データ!$E$1:$H$1,0)),元データ!$A$2:$A$20000,$A62,元データ!$D$2:$D$20000,$B62,元データ!$B$2:$B$20000,$C$3,元データ!$C$2:$C$20000,G$5)</f>
        <v>120</v>
      </c>
      <c r="H62" s="16">
        <f>SUMIFS(INDEX(元データ!$E$2:$H$20000,0,MATCH($C$2,元データ!$E$1:$H$1,0)),元データ!$A$2:$A$20000,$A62,元データ!$D$2:$D$20000,$B62,元データ!$B$2:$B$20000,$C$3,元データ!$C$2:$C$20000,H$5)</f>
        <v>104</v>
      </c>
      <c r="I62" s="16">
        <f>SUMIFS(INDEX(元データ!$E$2:$H$20000,0,MATCH($C$2,元データ!$E$1:$H$1,0)),元データ!$A$2:$A$20000,$A62,元データ!$D$2:$D$20000,$B62,元データ!$B$2:$B$20000,$C$3,元データ!$C$2:$C$20000,I$5)</f>
        <v>102</v>
      </c>
      <c r="J62" s="16">
        <f>SUMIFS(INDEX(元データ!$E$2:$H$20000,0,MATCH($C$2,元データ!$E$1:$H$1,0)),元データ!$A$2:$A$20000,$A62,元データ!$D$2:$D$20000,$B62,元データ!$B$2:$B$20000,$C$3,元データ!$C$2:$C$20000,J$5)</f>
        <v>108</v>
      </c>
      <c r="K62" s="16">
        <f>SUMIFS(INDEX(元データ!$E$2:$H$20000,0,MATCH($C$2,元データ!$E$1:$H$1,0)),元データ!$A$2:$A$20000,$A62,元データ!$D$2:$D$20000,$B62,元データ!$B$2:$B$20000,$C$3,元データ!$C$2:$C$20000,K$5)</f>
        <v>83</v>
      </c>
      <c r="L62" s="16">
        <f>SUMIFS(INDEX(元データ!$E$2:$H$20000,0,MATCH($C$2,元データ!$E$1:$H$1,0)),元データ!$A$2:$A$20000,$A62,元データ!$D$2:$D$20000,$B62,元データ!$B$2:$B$20000,$C$3,元データ!$C$2:$C$20000,L$5)</f>
        <v>90</v>
      </c>
      <c r="M62" s="16">
        <f>SUMIFS(INDEX(元データ!$E$2:$H$20000,0,MATCH($C$2,元データ!$E$1:$H$1,0)),元データ!$A$2:$A$20000,$A62,元データ!$D$2:$D$20000,$B62,元データ!$B$2:$B$20000,$C$3,元データ!$C$2:$C$20000,M$5)</f>
        <v>39</v>
      </c>
      <c r="N62" s="16">
        <f>SUMIFS(INDEX(元データ!$E$2:$H$20000,0,MATCH($C$2,元データ!$E$1:$H$1,0)),元データ!$A$2:$A$20000,$A62,元データ!$D$2:$D$20000,$B62,元データ!$B$2:$B$20000,$C$3,元データ!$C$2:$C$20000,N$5)</f>
        <v>190</v>
      </c>
      <c r="O62" s="17">
        <f t="shared" si="2"/>
        <v>1446</v>
      </c>
      <c r="P62" s="17">
        <f>SUMIFS(INDEX(元データ!$E$2:$H$20000,0,MATCH($C$2,元データ!$E$1:$H$1,0)),元データ!$A$2:$A$20000,$A62,元データ!$D$2:$D$20000,$B62,元データ!$B$2:$B$20000,$D$3)</f>
        <v>0</v>
      </c>
      <c r="Q62" s="25" t="str">
        <f t="shared" si="3"/>
        <v/>
      </c>
    </row>
    <row r="63" spans="1:17" x14ac:dyDescent="0.45">
      <c r="A63" s="14"/>
      <c r="B63" s="15" t="s">
        <v>32</v>
      </c>
      <c r="C63" s="16">
        <f>SUMIFS(INDEX(元データ!$E$2:$H$20000,0,MATCH($C$2,元データ!$E$1:$H$1,0)),元データ!$A$2:$A$20000,$A62,元データ!$D$2:$D$20000,$B63,元データ!$B$2:$B$20000,$C$3,元データ!$C$2:$C$20000,C$5)</f>
        <v>9</v>
      </c>
      <c r="D63" s="16">
        <f>SUMIFS(INDEX(元データ!$E$2:$H$20000,0,MATCH($C$2,元データ!$E$1:$H$1,0)),元データ!$A$2:$A$20000,$A62,元データ!$D$2:$D$20000,$B63,元データ!$B$2:$B$20000,$C$3,元データ!$C$2:$C$20000,D$5)</f>
        <v>10</v>
      </c>
      <c r="E63" s="16">
        <f>SUMIFS(INDEX(元データ!$E$2:$H$20000,0,MATCH($C$2,元データ!$E$1:$H$1,0)),元データ!$A$2:$A$20000,$A62,元データ!$D$2:$D$20000,$B63,元データ!$B$2:$B$20000,$C$3,元データ!$C$2:$C$20000,E$5)</f>
        <v>15</v>
      </c>
      <c r="F63" s="16">
        <f>SUMIFS(INDEX(元データ!$E$2:$H$20000,0,MATCH($C$2,元データ!$E$1:$H$1,0)),元データ!$A$2:$A$20000,$A62,元データ!$D$2:$D$20000,$B63,元データ!$B$2:$B$20000,$C$3,元データ!$C$2:$C$20000,F$5)</f>
        <v>5</v>
      </c>
      <c r="G63" s="16">
        <f>SUMIFS(INDEX(元データ!$E$2:$H$20000,0,MATCH($C$2,元データ!$E$1:$H$1,0)),元データ!$A$2:$A$20000,$A62,元データ!$D$2:$D$20000,$B63,元データ!$B$2:$B$20000,$C$3,元データ!$C$2:$C$20000,G$5)</f>
        <v>9</v>
      </c>
      <c r="H63" s="16">
        <f>SUMIFS(INDEX(元データ!$E$2:$H$20000,0,MATCH($C$2,元データ!$E$1:$H$1,0)),元データ!$A$2:$A$20000,$A62,元データ!$D$2:$D$20000,$B63,元データ!$B$2:$B$20000,$C$3,元データ!$C$2:$C$20000,H$5)</f>
        <v>8</v>
      </c>
      <c r="I63" s="16">
        <f>SUMIFS(INDEX(元データ!$E$2:$H$20000,0,MATCH($C$2,元データ!$E$1:$H$1,0)),元データ!$A$2:$A$20000,$A62,元データ!$D$2:$D$20000,$B63,元データ!$B$2:$B$20000,$C$3,元データ!$C$2:$C$20000,I$5)</f>
        <v>10</v>
      </c>
      <c r="J63" s="16">
        <f>SUMIFS(INDEX(元データ!$E$2:$H$20000,0,MATCH($C$2,元データ!$E$1:$H$1,0)),元データ!$A$2:$A$20000,$A62,元データ!$D$2:$D$20000,$B63,元データ!$B$2:$B$20000,$C$3,元データ!$C$2:$C$20000,J$5)</f>
        <v>9</v>
      </c>
      <c r="K63" s="16">
        <f>SUMIFS(INDEX(元データ!$E$2:$H$20000,0,MATCH($C$2,元データ!$E$1:$H$1,0)),元データ!$A$2:$A$20000,$A62,元データ!$D$2:$D$20000,$B63,元データ!$B$2:$B$20000,$C$3,元データ!$C$2:$C$20000,K$5)</f>
        <v>10</v>
      </c>
      <c r="L63" s="16">
        <f>SUMIFS(INDEX(元データ!$E$2:$H$20000,0,MATCH($C$2,元データ!$E$1:$H$1,0)),元データ!$A$2:$A$20000,$A62,元データ!$D$2:$D$20000,$B63,元データ!$B$2:$B$20000,$C$3,元データ!$C$2:$C$20000,L$5)</f>
        <v>13</v>
      </c>
      <c r="M63" s="16">
        <f>SUMIFS(INDEX(元データ!$E$2:$H$20000,0,MATCH($C$2,元データ!$E$1:$H$1,0)),元データ!$A$2:$A$20000,$A62,元データ!$D$2:$D$20000,$B63,元データ!$B$2:$B$20000,$C$3,元データ!$C$2:$C$20000,M$5)</f>
        <v>4</v>
      </c>
      <c r="N63" s="16">
        <f>SUMIFS(INDEX(元データ!$E$2:$H$20000,0,MATCH($C$2,元データ!$E$1:$H$1,0)),元データ!$A$2:$A$20000,$A62,元データ!$D$2:$D$20000,$B63,元データ!$B$2:$B$20000,$C$3,元データ!$C$2:$C$20000,N$5)</f>
        <v>2</v>
      </c>
      <c r="O63" s="17">
        <f t="shared" si="2"/>
        <v>104</v>
      </c>
      <c r="P63" s="17">
        <f>SUMIFS(INDEX(元データ!$E$2:$H$20000,0,MATCH($C$2,元データ!$E$1:$H$1,0)),元データ!$A$2:$A$20000,$A62,元データ!$D$2:$D$20000,$B63,元データ!$B$2:$B$20000,$D$3)</f>
        <v>0</v>
      </c>
      <c r="Q63" s="25" t="str">
        <f t="shared" si="3"/>
        <v/>
      </c>
    </row>
    <row r="64" spans="1:17" x14ac:dyDescent="0.45">
      <c r="A64" s="14" t="str">
        <f>店舗マスタ!A31</f>
        <v>静岡工場店</v>
      </c>
      <c r="B64" s="15" t="s">
        <v>31</v>
      </c>
      <c r="C64" s="16">
        <f>SUMIFS(INDEX(元データ!$E$2:$H$20000,0,MATCH($C$2,元データ!$E$1:$H$1,0)),元データ!$A$2:$A$20000,$A64,元データ!$D$2:$D$20000,$B64,元データ!$B$2:$B$20000,$C$3,元データ!$C$2:$C$20000,C$5)</f>
        <v>1</v>
      </c>
      <c r="D64" s="16">
        <f>SUMIFS(INDEX(元データ!$E$2:$H$20000,0,MATCH($C$2,元データ!$E$1:$H$1,0)),元データ!$A$2:$A$20000,$A64,元データ!$D$2:$D$20000,$B64,元データ!$B$2:$B$20000,$C$3,元データ!$C$2:$C$20000,D$5)</f>
        <v>2</v>
      </c>
      <c r="E64" s="16">
        <f>SUMIFS(INDEX(元データ!$E$2:$H$20000,0,MATCH($C$2,元データ!$E$1:$H$1,0)),元データ!$A$2:$A$20000,$A64,元データ!$D$2:$D$20000,$B64,元データ!$B$2:$B$20000,$C$3,元データ!$C$2:$C$20000,E$5)</f>
        <v>2</v>
      </c>
      <c r="F64" s="16">
        <f>SUMIFS(INDEX(元データ!$E$2:$H$20000,0,MATCH($C$2,元データ!$E$1:$H$1,0)),元データ!$A$2:$A$20000,$A64,元データ!$D$2:$D$20000,$B64,元データ!$B$2:$B$20000,$C$3,元データ!$C$2:$C$20000,F$5)</f>
        <v>7</v>
      </c>
      <c r="G64" s="16">
        <f>SUMIFS(INDEX(元データ!$E$2:$H$20000,0,MATCH($C$2,元データ!$E$1:$H$1,0)),元データ!$A$2:$A$20000,$A64,元データ!$D$2:$D$20000,$B64,元データ!$B$2:$B$20000,$C$3,元データ!$C$2:$C$20000,G$5)</f>
        <v>0</v>
      </c>
      <c r="H64" s="16">
        <f>SUMIFS(INDEX(元データ!$E$2:$H$20000,0,MATCH($C$2,元データ!$E$1:$H$1,0)),元データ!$A$2:$A$20000,$A64,元データ!$D$2:$D$20000,$B64,元データ!$B$2:$B$20000,$C$3,元データ!$C$2:$C$20000,H$5)</f>
        <v>2</v>
      </c>
      <c r="I64" s="16">
        <f>SUMIFS(INDEX(元データ!$E$2:$H$20000,0,MATCH($C$2,元データ!$E$1:$H$1,0)),元データ!$A$2:$A$20000,$A64,元データ!$D$2:$D$20000,$B64,元データ!$B$2:$B$20000,$C$3,元データ!$C$2:$C$20000,I$5)</f>
        <v>2</v>
      </c>
      <c r="J64" s="16">
        <f>SUMIFS(INDEX(元データ!$E$2:$H$20000,0,MATCH($C$2,元データ!$E$1:$H$1,0)),元データ!$A$2:$A$20000,$A64,元データ!$D$2:$D$20000,$B64,元データ!$B$2:$B$20000,$C$3,元データ!$C$2:$C$20000,J$5)</f>
        <v>4</v>
      </c>
      <c r="K64" s="16">
        <f>SUMIFS(INDEX(元データ!$E$2:$H$20000,0,MATCH($C$2,元データ!$E$1:$H$1,0)),元データ!$A$2:$A$20000,$A64,元データ!$D$2:$D$20000,$B64,元データ!$B$2:$B$20000,$C$3,元データ!$C$2:$C$20000,K$5)</f>
        <v>3</v>
      </c>
      <c r="L64" s="16">
        <f>SUMIFS(INDEX(元データ!$E$2:$H$20000,0,MATCH($C$2,元データ!$E$1:$H$1,0)),元データ!$A$2:$A$20000,$A64,元データ!$D$2:$D$20000,$B64,元データ!$B$2:$B$20000,$C$3,元データ!$C$2:$C$20000,L$5)</f>
        <v>21</v>
      </c>
      <c r="M64" s="16">
        <f>SUMIFS(INDEX(元データ!$E$2:$H$20000,0,MATCH($C$2,元データ!$E$1:$H$1,0)),元データ!$A$2:$A$20000,$A64,元データ!$D$2:$D$20000,$B64,元データ!$B$2:$B$20000,$C$3,元データ!$C$2:$C$20000,M$5)</f>
        <v>1</v>
      </c>
      <c r="N64" s="16">
        <f>SUMIFS(INDEX(元データ!$E$2:$H$20000,0,MATCH($C$2,元データ!$E$1:$H$1,0)),元データ!$A$2:$A$20000,$A64,元データ!$D$2:$D$20000,$B64,元データ!$B$2:$B$20000,$C$3,元データ!$C$2:$C$20000,N$5)</f>
        <v>3</v>
      </c>
      <c r="O64" s="17">
        <f t="shared" si="2"/>
        <v>48</v>
      </c>
      <c r="P64" s="17">
        <f>SUMIFS(INDEX(元データ!$E$2:$H$20000,0,MATCH($C$2,元データ!$E$1:$H$1,0)),元データ!$A$2:$A$20000,$A64,元データ!$D$2:$D$20000,$B64,元データ!$B$2:$B$20000,$D$3)</f>
        <v>0</v>
      </c>
      <c r="Q64" s="25" t="str">
        <f t="shared" si="3"/>
        <v/>
      </c>
    </row>
    <row r="65" spans="1:17" x14ac:dyDescent="0.45">
      <c r="A65" s="14"/>
      <c r="B65" s="15" t="s">
        <v>32</v>
      </c>
      <c r="C65" s="16">
        <f>SUMIFS(INDEX(元データ!$E$2:$H$20000,0,MATCH($C$2,元データ!$E$1:$H$1,0)),元データ!$A$2:$A$20000,$A64,元データ!$D$2:$D$20000,$B65,元データ!$B$2:$B$20000,$C$3,元データ!$C$2:$C$20000,C$5)</f>
        <v>0</v>
      </c>
      <c r="D65" s="16">
        <f>SUMIFS(INDEX(元データ!$E$2:$H$20000,0,MATCH($C$2,元データ!$E$1:$H$1,0)),元データ!$A$2:$A$20000,$A64,元データ!$D$2:$D$20000,$B65,元データ!$B$2:$B$20000,$C$3,元データ!$C$2:$C$20000,D$5)</f>
        <v>0</v>
      </c>
      <c r="E65" s="16">
        <f>SUMIFS(INDEX(元データ!$E$2:$H$20000,0,MATCH($C$2,元データ!$E$1:$H$1,0)),元データ!$A$2:$A$20000,$A64,元データ!$D$2:$D$20000,$B65,元データ!$B$2:$B$20000,$C$3,元データ!$C$2:$C$20000,E$5)</f>
        <v>2</v>
      </c>
      <c r="F65" s="16">
        <f>SUMIFS(INDEX(元データ!$E$2:$H$20000,0,MATCH($C$2,元データ!$E$1:$H$1,0)),元データ!$A$2:$A$20000,$A64,元データ!$D$2:$D$20000,$B65,元データ!$B$2:$B$20000,$C$3,元データ!$C$2:$C$20000,F$5)</f>
        <v>0</v>
      </c>
      <c r="G65" s="16">
        <f>SUMIFS(INDEX(元データ!$E$2:$H$20000,0,MATCH($C$2,元データ!$E$1:$H$1,0)),元データ!$A$2:$A$20000,$A64,元データ!$D$2:$D$20000,$B65,元データ!$B$2:$B$20000,$C$3,元データ!$C$2:$C$20000,G$5)</f>
        <v>0</v>
      </c>
      <c r="H65" s="16">
        <f>SUMIFS(INDEX(元データ!$E$2:$H$20000,0,MATCH($C$2,元データ!$E$1:$H$1,0)),元データ!$A$2:$A$20000,$A64,元データ!$D$2:$D$20000,$B65,元データ!$B$2:$B$20000,$C$3,元データ!$C$2:$C$20000,H$5)</f>
        <v>0</v>
      </c>
      <c r="I65" s="16">
        <f>SUMIFS(INDEX(元データ!$E$2:$H$20000,0,MATCH($C$2,元データ!$E$1:$H$1,0)),元データ!$A$2:$A$20000,$A64,元データ!$D$2:$D$20000,$B65,元データ!$B$2:$B$20000,$C$3,元データ!$C$2:$C$20000,I$5)</f>
        <v>0</v>
      </c>
      <c r="J65" s="16">
        <f>SUMIFS(INDEX(元データ!$E$2:$H$20000,0,MATCH($C$2,元データ!$E$1:$H$1,0)),元データ!$A$2:$A$20000,$A64,元データ!$D$2:$D$20000,$B65,元データ!$B$2:$B$20000,$C$3,元データ!$C$2:$C$20000,J$5)</f>
        <v>0</v>
      </c>
      <c r="K65" s="16">
        <f>SUMIFS(INDEX(元データ!$E$2:$H$20000,0,MATCH($C$2,元データ!$E$1:$H$1,0)),元データ!$A$2:$A$20000,$A64,元データ!$D$2:$D$20000,$B65,元データ!$B$2:$B$20000,$C$3,元データ!$C$2:$C$20000,K$5)</f>
        <v>0</v>
      </c>
      <c r="L65" s="16">
        <f>SUMIFS(INDEX(元データ!$E$2:$H$20000,0,MATCH($C$2,元データ!$E$1:$H$1,0)),元データ!$A$2:$A$20000,$A64,元データ!$D$2:$D$20000,$B65,元データ!$B$2:$B$20000,$C$3,元データ!$C$2:$C$20000,L$5)</f>
        <v>0</v>
      </c>
      <c r="M65" s="16">
        <f>SUMIFS(INDEX(元データ!$E$2:$H$20000,0,MATCH($C$2,元データ!$E$1:$H$1,0)),元データ!$A$2:$A$20000,$A64,元データ!$D$2:$D$20000,$B65,元データ!$B$2:$B$20000,$C$3,元データ!$C$2:$C$20000,M$5)</f>
        <v>0</v>
      </c>
      <c r="N65" s="16">
        <f>SUMIFS(INDEX(元データ!$E$2:$H$20000,0,MATCH($C$2,元データ!$E$1:$H$1,0)),元データ!$A$2:$A$20000,$A64,元データ!$D$2:$D$20000,$B65,元データ!$B$2:$B$20000,$C$3,元データ!$C$2:$C$20000,N$5)</f>
        <v>0</v>
      </c>
      <c r="O65" s="17">
        <f t="shared" si="2"/>
        <v>2</v>
      </c>
      <c r="P65" s="17">
        <f>SUMIFS(INDEX(元データ!$E$2:$H$20000,0,MATCH($C$2,元データ!$E$1:$H$1,0)),元データ!$A$2:$A$20000,$A64,元データ!$D$2:$D$20000,$B65,元データ!$B$2:$B$20000,$D$3)</f>
        <v>0</v>
      </c>
      <c r="Q65" s="25" t="str">
        <f t="shared" si="3"/>
        <v/>
      </c>
    </row>
    <row r="66" spans="1:17" x14ac:dyDescent="0.45">
      <c r="A66" s="14" t="str">
        <f>店舗マスタ!A32</f>
        <v>焼津店</v>
      </c>
      <c r="B66" s="15" t="s">
        <v>31</v>
      </c>
      <c r="C66" s="16">
        <f>SUMIFS(INDEX(元データ!$E$2:$H$20000,0,MATCH($C$2,元データ!$E$1:$H$1,0)),元データ!$A$2:$A$20000,$A66,元データ!$D$2:$D$20000,$B66,元データ!$B$2:$B$20000,$C$3,元データ!$C$2:$C$20000,C$5)</f>
        <v>43</v>
      </c>
      <c r="D66" s="16">
        <f>SUMIFS(INDEX(元データ!$E$2:$H$20000,0,MATCH($C$2,元データ!$E$1:$H$1,0)),元データ!$A$2:$A$20000,$A66,元データ!$D$2:$D$20000,$B66,元データ!$B$2:$B$20000,$C$3,元データ!$C$2:$C$20000,D$5)</f>
        <v>222</v>
      </c>
      <c r="E66" s="16">
        <f>SUMIFS(INDEX(元データ!$E$2:$H$20000,0,MATCH($C$2,元データ!$E$1:$H$1,0)),元データ!$A$2:$A$20000,$A66,元データ!$D$2:$D$20000,$B66,元データ!$B$2:$B$20000,$C$3,元データ!$C$2:$C$20000,E$5)</f>
        <v>279</v>
      </c>
      <c r="F66" s="16">
        <f>SUMIFS(INDEX(元データ!$E$2:$H$20000,0,MATCH($C$2,元データ!$E$1:$H$1,0)),元データ!$A$2:$A$20000,$A66,元データ!$D$2:$D$20000,$B66,元データ!$B$2:$B$20000,$C$3,元データ!$C$2:$C$20000,F$5)</f>
        <v>332</v>
      </c>
      <c r="G66" s="16">
        <f>SUMIFS(INDEX(元データ!$E$2:$H$20000,0,MATCH($C$2,元データ!$E$1:$H$1,0)),元データ!$A$2:$A$20000,$A66,元データ!$D$2:$D$20000,$B66,元データ!$B$2:$B$20000,$C$3,元データ!$C$2:$C$20000,G$5)</f>
        <v>209</v>
      </c>
      <c r="H66" s="16">
        <f>SUMIFS(INDEX(元データ!$E$2:$H$20000,0,MATCH($C$2,元データ!$E$1:$H$1,0)),元データ!$A$2:$A$20000,$A66,元データ!$D$2:$D$20000,$B66,元データ!$B$2:$B$20000,$C$3,元データ!$C$2:$C$20000,H$5)</f>
        <v>176</v>
      </c>
      <c r="I66" s="16">
        <f>SUMIFS(INDEX(元データ!$E$2:$H$20000,0,MATCH($C$2,元データ!$E$1:$H$1,0)),元データ!$A$2:$A$20000,$A66,元データ!$D$2:$D$20000,$B66,元データ!$B$2:$B$20000,$C$3,元データ!$C$2:$C$20000,I$5)</f>
        <v>181</v>
      </c>
      <c r="J66" s="16">
        <f>SUMIFS(INDEX(元データ!$E$2:$H$20000,0,MATCH($C$2,元データ!$E$1:$H$1,0)),元データ!$A$2:$A$20000,$A66,元データ!$D$2:$D$20000,$B66,元データ!$B$2:$B$20000,$C$3,元データ!$C$2:$C$20000,J$5)</f>
        <v>191</v>
      </c>
      <c r="K66" s="16">
        <f>SUMIFS(INDEX(元データ!$E$2:$H$20000,0,MATCH($C$2,元データ!$E$1:$H$1,0)),元データ!$A$2:$A$20000,$A66,元データ!$D$2:$D$20000,$B66,元データ!$B$2:$B$20000,$C$3,元データ!$C$2:$C$20000,K$5)</f>
        <v>191</v>
      </c>
      <c r="L66" s="16">
        <f>SUMIFS(INDEX(元データ!$E$2:$H$20000,0,MATCH($C$2,元データ!$E$1:$H$1,0)),元データ!$A$2:$A$20000,$A66,元データ!$D$2:$D$20000,$B66,元データ!$B$2:$B$20000,$C$3,元データ!$C$2:$C$20000,L$5)</f>
        <v>184</v>
      </c>
      <c r="M66" s="16">
        <f>SUMIFS(INDEX(元データ!$E$2:$H$20000,0,MATCH($C$2,元データ!$E$1:$H$1,0)),元データ!$A$2:$A$20000,$A66,元データ!$D$2:$D$20000,$B66,元データ!$B$2:$B$20000,$C$3,元データ!$C$2:$C$20000,M$5)</f>
        <v>80</v>
      </c>
      <c r="N66" s="16">
        <f>SUMIFS(INDEX(元データ!$E$2:$H$20000,0,MATCH($C$2,元データ!$E$1:$H$1,0)),元データ!$A$2:$A$20000,$A66,元データ!$D$2:$D$20000,$B66,元データ!$B$2:$B$20000,$C$3,元データ!$C$2:$C$20000,N$5)</f>
        <v>305</v>
      </c>
      <c r="O66" s="17">
        <f t="shared" si="2"/>
        <v>2393</v>
      </c>
      <c r="P66" s="17">
        <f>SUMIFS(INDEX(元データ!$E$2:$H$20000,0,MATCH($C$2,元データ!$E$1:$H$1,0)),元データ!$A$2:$A$20000,$A66,元データ!$D$2:$D$20000,$B66,元データ!$B$2:$B$20000,$D$3)</f>
        <v>0</v>
      </c>
      <c r="Q66" s="25" t="str">
        <f t="shared" si="3"/>
        <v/>
      </c>
    </row>
    <row r="67" spans="1:17" x14ac:dyDescent="0.45">
      <c r="A67" s="14"/>
      <c r="B67" s="15" t="s">
        <v>32</v>
      </c>
      <c r="C67" s="16">
        <f>SUMIFS(INDEX(元データ!$E$2:$H$20000,0,MATCH($C$2,元データ!$E$1:$H$1,0)),元データ!$A$2:$A$20000,$A66,元データ!$D$2:$D$20000,$B67,元データ!$B$2:$B$20000,$C$3,元データ!$C$2:$C$20000,C$5)</f>
        <v>21</v>
      </c>
      <c r="D67" s="16">
        <f>SUMIFS(INDEX(元データ!$E$2:$H$20000,0,MATCH($C$2,元データ!$E$1:$H$1,0)),元データ!$A$2:$A$20000,$A66,元データ!$D$2:$D$20000,$B67,元データ!$B$2:$B$20000,$C$3,元データ!$C$2:$C$20000,D$5)</f>
        <v>15</v>
      </c>
      <c r="E67" s="16">
        <f>SUMIFS(INDEX(元データ!$E$2:$H$20000,0,MATCH($C$2,元データ!$E$1:$H$1,0)),元データ!$A$2:$A$20000,$A66,元データ!$D$2:$D$20000,$B67,元データ!$B$2:$B$20000,$C$3,元データ!$C$2:$C$20000,E$5)</f>
        <v>21</v>
      </c>
      <c r="F67" s="16">
        <f>SUMIFS(INDEX(元データ!$E$2:$H$20000,0,MATCH($C$2,元データ!$E$1:$H$1,0)),元データ!$A$2:$A$20000,$A66,元データ!$D$2:$D$20000,$B67,元データ!$B$2:$B$20000,$C$3,元データ!$C$2:$C$20000,F$5)</f>
        <v>14</v>
      </c>
      <c r="G67" s="16">
        <f>SUMIFS(INDEX(元データ!$E$2:$H$20000,0,MATCH($C$2,元データ!$E$1:$H$1,0)),元データ!$A$2:$A$20000,$A66,元データ!$D$2:$D$20000,$B67,元データ!$B$2:$B$20000,$C$3,元データ!$C$2:$C$20000,G$5)</f>
        <v>9</v>
      </c>
      <c r="H67" s="16">
        <f>SUMIFS(INDEX(元データ!$E$2:$H$20000,0,MATCH($C$2,元データ!$E$1:$H$1,0)),元データ!$A$2:$A$20000,$A66,元データ!$D$2:$D$20000,$B67,元データ!$B$2:$B$20000,$C$3,元データ!$C$2:$C$20000,H$5)</f>
        <v>15</v>
      </c>
      <c r="I67" s="16">
        <f>SUMIFS(INDEX(元データ!$E$2:$H$20000,0,MATCH($C$2,元データ!$E$1:$H$1,0)),元データ!$A$2:$A$20000,$A66,元データ!$D$2:$D$20000,$B67,元データ!$B$2:$B$20000,$C$3,元データ!$C$2:$C$20000,I$5)</f>
        <v>16</v>
      </c>
      <c r="J67" s="16">
        <f>SUMIFS(INDEX(元データ!$E$2:$H$20000,0,MATCH($C$2,元データ!$E$1:$H$1,0)),元データ!$A$2:$A$20000,$A66,元データ!$D$2:$D$20000,$B67,元データ!$B$2:$B$20000,$C$3,元データ!$C$2:$C$20000,J$5)</f>
        <v>11</v>
      </c>
      <c r="K67" s="16">
        <f>SUMIFS(INDEX(元データ!$E$2:$H$20000,0,MATCH($C$2,元データ!$E$1:$H$1,0)),元データ!$A$2:$A$20000,$A66,元データ!$D$2:$D$20000,$B67,元データ!$B$2:$B$20000,$C$3,元データ!$C$2:$C$20000,K$5)</f>
        <v>21</v>
      </c>
      <c r="L67" s="16">
        <f>SUMIFS(INDEX(元データ!$E$2:$H$20000,0,MATCH($C$2,元データ!$E$1:$H$1,0)),元データ!$A$2:$A$20000,$A66,元データ!$D$2:$D$20000,$B67,元データ!$B$2:$B$20000,$C$3,元データ!$C$2:$C$20000,L$5)</f>
        <v>21</v>
      </c>
      <c r="M67" s="16">
        <f>SUMIFS(INDEX(元データ!$E$2:$H$20000,0,MATCH($C$2,元データ!$E$1:$H$1,0)),元データ!$A$2:$A$20000,$A66,元データ!$D$2:$D$20000,$B67,元データ!$B$2:$B$20000,$C$3,元データ!$C$2:$C$20000,M$5)</f>
        <v>16</v>
      </c>
      <c r="N67" s="16">
        <f>SUMIFS(INDEX(元データ!$E$2:$H$20000,0,MATCH($C$2,元データ!$E$1:$H$1,0)),元データ!$A$2:$A$20000,$A66,元データ!$D$2:$D$20000,$B67,元データ!$B$2:$B$20000,$C$3,元データ!$C$2:$C$20000,N$5)</f>
        <v>25</v>
      </c>
      <c r="O67" s="17">
        <f t="shared" si="2"/>
        <v>205</v>
      </c>
      <c r="P67" s="17">
        <f>SUMIFS(INDEX(元データ!$E$2:$H$20000,0,MATCH($C$2,元データ!$E$1:$H$1,0)),元データ!$A$2:$A$20000,$A66,元データ!$D$2:$D$20000,$B67,元データ!$B$2:$B$20000,$D$3)</f>
        <v>0</v>
      </c>
      <c r="Q67" s="25" t="str">
        <f t="shared" si="3"/>
        <v/>
      </c>
    </row>
    <row r="68" spans="1:17" x14ac:dyDescent="0.45">
      <c r="A68" s="14" t="str">
        <f>店舗マスタ!A33</f>
        <v>城北店</v>
      </c>
      <c r="B68" s="15" t="s">
        <v>31</v>
      </c>
      <c r="C68" s="16">
        <f>SUMIFS(INDEX(元データ!$E$2:$H$20000,0,MATCH($C$2,元データ!$E$1:$H$1,0)),元データ!$A$2:$A$20000,$A68,元データ!$D$2:$D$20000,$B68,元データ!$B$2:$B$20000,$C$3,元データ!$C$2:$C$20000,C$5)</f>
        <v>11</v>
      </c>
      <c r="D68" s="16">
        <f>SUMIFS(INDEX(元データ!$E$2:$H$20000,0,MATCH($C$2,元データ!$E$1:$H$1,0)),元データ!$A$2:$A$20000,$A68,元データ!$D$2:$D$20000,$B68,元データ!$B$2:$B$20000,$C$3,元データ!$C$2:$C$20000,D$5)</f>
        <v>76</v>
      </c>
      <c r="E68" s="16">
        <f>SUMIFS(INDEX(元データ!$E$2:$H$20000,0,MATCH($C$2,元データ!$E$1:$H$1,0)),元データ!$A$2:$A$20000,$A68,元データ!$D$2:$D$20000,$B68,元データ!$B$2:$B$20000,$C$3,元データ!$C$2:$C$20000,E$5)</f>
        <v>90</v>
      </c>
      <c r="F68" s="16">
        <f>SUMIFS(INDEX(元データ!$E$2:$H$20000,0,MATCH($C$2,元データ!$E$1:$H$1,0)),元データ!$A$2:$A$20000,$A68,元データ!$D$2:$D$20000,$B68,元データ!$B$2:$B$20000,$C$3,元データ!$C$2:$C$20000,F$5)</f>
        <v>185</v>
      </c>
      <c r="G68" s="16">
        <f>SUMIFS(INDEX(元データ!$E$2:$H$20000,0,MATCH($C$2,元データ!$E$1:$H$1,0)),元データ!$A$2:$A$20000,$A68,元データ!$D$2:$D$20000,$B68,元データ!$B$2:$B$20000,$C$3,元データ!$C$2:$C$20000,G$5)</f>
        <v>95</v>
      </c>
      <c r="H68" s="16">
        <f>SUMIFS(INDEX(元データ!$E$2:$H$20000,0,MATCH($C$2,元データ!$E$1:$H$1,0)),元データ!$A$2:$A$20000,$A68,元データ!$D$2:$D$20000,$B68,元データ!$B$2:$B$20000,$C$3,元データ!$C$2:$C$20000,H$5)</f>
        <v>95</v>
      </c>
      <c r="I68" s="16">
        <f>SUMIFS(INDEX(元データ!$E$2:$H$20000,0,MATCH($C$2,元データ!$E$1:$H$1,0)),元データ!$A$2:$A$20000,$A68,元データ!$D$2:$D$20000,$B68,元データ!$B$2:$B$20000,$C$3,元データ!$C$2:$C$20000,I$5)</f>
        <v>65</v>
      </c>
      <c r="J68" s="16">
        <f>SUMIFS(INDEX(元データ!$E$2:$H$20000,0,MATCH($C$2,元データ!$E$1:$H$1,0)),元データ!$A$2:$A$20000,$A68,元データ!$D$2:$D$20000,$B68,元データ!$B$2:$B$20000,$C$3,元データ!$C$2:$C$20000,J$5)</f>
        <v>74</v>
      </c>
      <c r="K68" s="16">
        <f>SUMIFS(INDEX(元データ!$E$2:$H$20000,0,MATCH($C$2,元データ!$E$1:$H$1,0)),元データ!$A$2:$A$20000,$A68,元データ!$D$2:$D$20000,$B68,元データ!$B$2:$B$20000,$C$3,元データ!$C$2:$C$20000,K$5)</f>
        <v>86</v>
      </c>
      <c r="L68" s="16">
        <f>SUMIFS(INDEX(元データ!$E$2:$H$20000,0,MATCH($C$2,元データ!$E$1:$H$1,0)),元データ!$A$2:$A$20000,$A68,元データ!$D$2:$D$20000,$B68,元データ!$B$2:$B$20000,$C$3,元データ!$C$2:$C$20000,L$5)</f>
        <v>96</v>
      </c>
      <c r="M68" s="16">
        <f>SUMIFS(INDEX(元データ!$E$2:$H$20000,0,MATCH($C$2,元データ!$E$1:$H$1,0)),元データ!$A$2:$A$20000,$A68,元データ!$D$2:$D$20000,$B68,元データ!$B$2:$B$20000,$C$3,元データ!$C$2:$C$20000,M$5)</f>
        <v>28</v>
      </c>
      <c r="N68" s="16">
        <f>SUMIFS(INDEX(元データ!$E$2:$H$20000,0,MATCH($C$2,元データ!$E$1:$H$1,0)),元データ!$A$2:$A$20000,$A68,元データ!$D$2:$D$20000,$B68,元データ!$B$2:$B$20000,$C$3,元データ!$C$2:$C$20000,N$5)</f>
        <v>135</v>
      </c>
      <c r="O68" s="17">
        <f t="shared" si="2"/>
        <v>1036</v>
      </c>
      <c r="P68" s="17">
        <f>SUMIFS(INDEX(元データ!$E$2:$H$20000,0,MATCH($C$2,元データ!$E$1:$H$1,0)),元データ!$A$2:$A$20000,$A68,元データ!$D$2:$D$20000,$B68,元データ!$B$2:$B$20000,$D$3)</f>
        <v>0</v>
      </c>
      <c r="Q68" s="25" t="str">
        <f t="shared" si="3"/>
        <v/>
      </c>
    </row>
    <row r="69" spans="1:17" x14ac:dyDescent="0.45">
      <c r="A69" s="14"/>
      <c r="B69" s="15" t="s">
        <v>32</v>
      </c>
      <c r="C69" s="16">
        <f>SUMIFS(INDEX(元データ!$E$2:$H$20000,0,MATCH($C$2,元データ!$E$1:$H$1,0)),元データ!$A$2:$A$20000,$A68,元データ!$D$2:$D$20000,$B69,元データ!$B$2:$B$20000,$C$3,元データ!$C$2:$C$20000,C$5)</f>
        <v>3</v>
      </c>
      <c r="D69" s="16">
        <f>SUMIFS(INDEX(元データ!$E$2:$H$20000,0,MATCH($C$2,元データ!$E$1:$H$1,0)),元データ!$A$2:$A$20000,$A68,元データ!$D$2:$D$20000,$B69,元データ!$B$2:$B$20000,$C$3,元データ!$C$2:$C$20000,D$5)</f>
        <v>6</v>
      </c>
      <c r="E69" s="16">
        <f>SUMIFS(INDEX(元データ!$E$2:$H$20000,0,MATCH($C$2,元データ!$E$1:$H$1,0)),元データ!$A$2:$A$20000,$A68,元データ!$D$2:$D$20000,$B69,元データ!$B$2:$B$20000,$C$3,元データ!$C$2:$C$20000,E$5)</f>
        <v>8</v>
      </c>
      <c r="F69" s="16">
        <f>SUMIFS(INDEX(元データ!$E$2:$H$20000,0,MATCH($C$2,元データ!$E$1:$H$1,0)),元データ!$A$2:$A$20000,$A68,元データ!$D$2:$D$20000,$B69,元データ!$B$2:$B$20000,$C$3,元データ!$C$2:$C$20000,F$5)</f>
        <v>3</v>
      </c>
      <c r="G69" s="16">
        <f>SUMIFS(INDEX(元データ!$E$2:$H$20000,0,MATCH($C$2,元データ!$E$1:$H$1,0)),元データ!$A$2:$A$20000,$A68,元データ!$D$2:$D$20000,$B69,元データ!$B$2:$B$20000,$C$3,元データ!$C$2:$C$20000,G$5)</f>
        <v>5</v>
      </c>
      <c r="H69" s="16">
        <f>SUMIFS(INDEX(元データ!$E$2:$H$20000,0,MATCH($C$2,元データ!$E$1:$H$1,0)),元データ!$A$2:$A$20000,$A68,元データ!$D$2:$D$20000,$B69,元データ!$B$2:$B$20000,$C$3,元データ!$C$2:$C$20000,H$5)</f>
        <v>5</v>
      </c>
      <c r="I69" s="16">
        <f>SUMIFS(INDEX(元データ!$E$2:$H$20000,0,MATCH($C$2,元データ!$E$1:$H$1,0)),元データ!$A$2:$A$20000,$A68,元データ!$D$2:$D$20000,$B69,元データ!$B$2:$B$20000,$C$3,元データ!$C$2:$C$20000,I$5)</f>
        <v>13</v>
      </c>
      <c r="J69" s="16">
        <f>SUMIFS(INDEX(元データ!$E$2:$H$20000,0,MATCH($C$2,元データ!$E$1:$H$1,0)),元データ!$A$2:$A$20000,$A68,元データ!$D$2:$D$20000,$B69,元データ!$B$2:$B$20000,$C$3,元データ!$C$2:$C$20000,J$5)</f>
        <v>10</v>
      </c>
      <c r="K69" s="16">
        <f>SUMIFS(INDEX(元データ!$E$2:$H$20000,0,MATCH($C$2,元データ!$E$1:$H$1,0)),元データ!$A$2:$A$20000,$A68,元データ!$D$2:$D$20000,$B69,元データ!$B$2:$B$20000,$C$3,元データ!$C$2:$C$20000,K$5)</f>
        <v>5</v>
      </c>
      <c r="L69" s="16">
        <f>SUMIFS(INDEX(元データ!$E$2:$H$20000,0,MATCH($C$2,元データ!$E$1:$H$1,0)),元データ!$A$2:$A$20000,$A68,元データ!$D$2:$D$20000,$B69,元データ!$B$2:$B$20000,$C$3,元データ!$C$2:$C$20000,L$5)</f>
        <v>6</v>
      </c>
      <c r="M69" s="16">
        <f>SUMIFS(INDEX(元データ!$E$2:$H$20000,0,MATCH($C$2,元データ!$E$1:$H$1,0)),元データ!$A$2:$A$20000,$A68,元データ!$D$2:$D$20000,$B69,元データ!$B$2:$B$20000,$C$3,元データ!$C$2:$C$20000,M$5)</f>
        <v>7</v>
      </c>
      <c r="N69" s="16">
        <f>SUMIFS(INDEX(元データ!$E$2:$H$20000,0,MATCH($C$2,元データ!$E$1:$H$1,0)),元データ!$A$2:$A$20000,$A68,元データ!$D$2:$D$20000,$B69,元データ!$B$2:$B$20000,$C$3,元データ!$C$2:$C$20000,N$5)</f>
        <v>4</v>
      </c>
      <c r="O69" s="17">
        <f t="shared" si="2"/>
        <v>75</v>
      </c>
      <c r="P69" s="17">
        <f>SUMIFS(INDEX(元データ!$E$2:$H$20000,0,MATCH($C$2,元データ!$E$1:$H$1,0)),元データ!$A$2:$A$20000,$A68,元データ!$D$2:$D$20000,$B69,元データ!$B$2:$B$20000,$D$3)</f>
        <v>0</v>
      </c>
      <c r="Q69" s="25" t="str">
        <f t="shared" si="3"/>
        <v/>
      </c>
    </row>
    <row r="70" spans="1:17" x14ac:dyDescent="0.45">
      <c r="A70" s="14" t="str">
        <f>店舗マスタ!A34</f>
        <v>藤枝店</v>
      </c>
      <c r="B70" s="15" t="s">
        <v>31</v>
      </c>
      <c r="C70" s="16">
        <f>SUMIFS(INDEX(元データ!$E$2:$H$20000,0,MATCH($C$2,元データ!$E$1:$H$1,0)),元データ!$A$2:$A$20000,$A70,元データ!$D$2:$D$20000,$B70,元データ!$B$2:$B$20000,$C$3,元データ!$C$2:$C$20000,C$5)</f>
        <v>45</v>
      </c>
      <c r="D70" s="16">
        <f>SUMIFS(INDEX(元データ!$E$2:$H$20000,0,MATCH($C$2,元データ!$E$1:$H$1,0)),元データ!$A$2:$A$20000,$A70,元データ!$D$2:$D$20000,$B70,元データ!$B$2:$B$20000,$C$3,元データ!$C$2:$C$20000,D$5)</f>
        <v>208</v>
      </c>
      <c r="E70" s="16">
        <f>SUMIFS(INDEX(元データ!$E$2:$H$20000,0,MATCH($C$2,元データ!$E$1:$H$1,0)),元データ!$A$2:$A$20000,$A70,元データ!$D$2:$D$20000,$B70,元データ!$B$2:$B$20000,$C$3,元データ!$C$2:$C$20000,E$5)</f>
        <v>228</v>
      </c>
      <c r="F70" s="16">
        <f>SUMIFS(INDEX(元データ!$E$2:$H$20000,0,MATCH($C$2,元データ!$E$1:$H$1,0)),元データ!$A$2:$A$20000,$A70,元データ!$D$2:$D$20000,$B70,元データ!$B$2:$B$20000,$C$3,元データ!$C$2:$C$20000,F$5)</f>
        <v>298</v>
      </c>
      <c r="G70" s="16">
        <f>SUMIFS(INDEX(元データ!$E$2:$H$20000,0,MATCH($C$2,元データ!$E$1:$H$1,0)),元データ!$A$2:$A$20000,$A70,元データ!$D$2:$D$20000,$B70,元データ!$B$2:$B$20000,$C$3,元データ!$C$2:$C$20000,G$5)</f>
        <v>143</v>
      </c>
      <c r="H70" s="16">
        <f>SUMIFS(INDEX(元データ!$E$2:$H$20000,0,MATCH($C$2,元データ!$E$1:$H$1,0)),元データ!$A$2:$A$20000,$A70,元データ!$D$2:$D$20000,$B70,元データ!$B$2:$B$20000,$C$3,元データ!$C$2:$C$20000,H$5)</f>
        <v>116</v>
      </c>
      <c r="I70" s="16">
        <f>SUMIFS(INDEX(元データ!$E$2:$H$20000,0,MATCH($C$2,元データ!$E$1:$H$1,0)),元データ!$A$2:$A$20000,$A70,元データ!$D$2:$D$20000,$B70,元データ!$B$2:$B$20000,$C$3,元データ!$C$2:$C$20000,I$5)</f>
        <v>148</v>
      </c>
      <c r="J70" s="16">
        <f>SUMIFS(INDEX(元データ!$E$2:$H$20000,0,MATCH($C$2,元データ!$E$1:$H$1,0)),元データ!$A$2:$A$20000,$A70,元データ!$D$2:$D$20000,$B70,元データ!$B$2:$B$20000,$C$3,元データ!$C$2:$C$20000,J$5)</f>
        <v>155</v>
      </c>
      <c r="K70" s="16">
        <f>SUMIFS(INDEX(元データ!$E$2:$H$20000,0,MATCH($C$2,元データ!$E$1:$H$1,0)),元データ!$A$2:$A$20000,$A70,元データ!$D$2:$D$20000,$B70,元データ!$B$2:$B$20000,$C$3,元データ!$C$2:$C$20000,K$5)</f>
        <v>164</v>
      </c>
      <c r="L70" s="16">
        <f>SUMIFS(INDEX(元データ!$E$2:$H$20000,0,MATCH($C$2,元データ!$E$1:$H$1,0)),元データ!$A$2:$A$20000,$A70,元データ!$D$2:$D$20000,$B70,元データ!$B$2:$B$20000,$C$3,元データ!$C$2:$C$20000,L$5)</f>
        <v>152</v>
      </c>
      <c r="M70" s="16">
        <f>SUMIFS(INDEX(元データ!$E$2:$H$20000,0,MATCH($C$2,元データ!$E$1:$H$1,0)),元データ!$A$2:$A$20000,$A70,元データ!$D$2:$D$20000,$B70,元データ!$B$2:$B$20000,$C$3,元データ!$C$2:$C$20000,M$5)</f>
        <v>56</v>
      </c>
      <c r="N70" s="16">
        <f>SUMIFS(INDEX(元データ!$E$2:$H$20000,0,MATCH($C$2,元データ!$E$1:$H$1,0)),元データ!$A$2:$A$20000,$A70,元データ!$D$2:$D$20000,$B70,元データ!$B$2:$B$20000,$C$3,元データ!$C$2:$C$20000,N$5)</f>
        <v>293</v>
      </c>
      <c r="O70" s="17">
        <f t="shared" ref="O70:O101" si="4">SUM(C70:N70)</f>
        <v>2006</v>
      </c>
      <c r="P70" s="17">
        <f>SUMIFS(INDEX(元データ!$E$2:$H$20000,0,MATCH($C$2,元データ!$E$1:$H$1,0)),元データ!$A$2:$A$20000,$A70,元データ!$D$2:$D$20000,$B70,元データ!$B$2:$B$20000,$D$3)</f>
        <v>0</v>
      </c>
      <c r="Q70" s="25" t="str">
        <f t="shared" ref="Q70:Q101" si="5">IFERROR(O70/P70,"")</f>
        <v/>
      </c>
    </row>
    <row r="71" spans="1:17" x14ac:dyDescent="0.45">
      <c r="A71" s="14"/>
      <c r="B71" s="15" t="s">
        <v>32</v>
      </c>
      <c r="C71" s="16">
        <f>SUMIFS(INDEX(元データ!$E$2:$H$20000,0,MATCH($C$2,元データ!$E$1:$H$1,0)),元データ!$A$2:$A$20000,$A70,元データ!$D$2:$D$20000,$B71,元データ!$B$2:$B$20000,$C$3,元データ!$C$2:$C$20000,C$5)</f>
        <v>20</v>
      </c>
      <c r="D71" s="16">
        <f>SUMIFS(INDEX(元データ!$E$2:$H$20000,0,MATCH($C$2,元データ!$E$1:$H$1,0)),元データ!$A$2:$A$20000,$A70,元データ!$D$2:$D$20000,$B71,元データ!$B$2:$B$20000,$C$3,元データ!$C$2:$C$20000,D$5)</f>
        <v>16</v>
      </c>
      <c r="E71" s="16">
        <f>SUMIFS(INDEX(元データ!$E$2:$H$20000,0,MATCH($C$2,元データ!$E$1:$H$1,0)),元データ!$A$2:$A$20000,$A70,元データ!$D$2:$D$20000,$B71,元データ!$B$2:$B$20000,$C$3,元データ!$C$2:$C$20000,E$5)</f>
        <v>14</v>
      </c>
      <c r="F71" s="16">
        <f>SUMIFS(INDEX(元データ!$E$2:$H$20000,0,MATCH($C$2,元データ!$E$1:$H$1,0)),元データ!$A$2:$A$20000,$A70,元データ!$D$2:$D$20000,$B71,元データ!$B$2:$B$20000,$C$3,元データ!$C$2:$C$20000,F$5)</f>
        <v>8</v>
      </c>
      <c r="G71" s="16">
        <f>SUMIFS(INDEX(元データ!$E$2:$H$20000,0,MATCH($C$2,元データ!$E$1:$H$1,0)),元データ!$A$2:$A$20000,$A70,元データ!$D$2:$D$20000,$B71,元データ!$B$2:$B$20000,$C$3,元データ!$C$2:$C$20000,G$5)</f>
        <v>6</v>
      </c>
      <c r="H71" s="16">
        <f>SUMIFS(INDEX(元データ!$E$2:$H$20000,0,MATCH($C$2,元データ!$E$1:$H$1,0)),元データ!$A$2:$A$20000,$A70,元データ!$D$2:$D$20000,$B71,元データ!$B$2:$B$20000,$C$3,元データ!$C$2:$C$20000,H$5)</f>
        <v>12</v>
      </c>
      <c r="I71" s="16">
        <f>SUMIFS(INDEX(元データ!$E$2:$H$20000,0,MATCH($C$2,元データ!$E$1:$H$1,0)),元データ!$A$2:$A$20000,$A70,元データ!$D$2:$D$20000,$B71,元データ!$B$2:$B$20000,$C$3,元データ!$C$2:$C$20000,I$5)</f>
        <v>15</v>
      </c>
      <c r="J71" s="16">
        <f>SUMIFS(INDEX(元データ!$E$2:$H$20000,0,MATCH($C$2,元データ!$E$1:$H$1,0)),元データ!$A$2:$A$20000,$A70,元データ!$D$2:$D$20000,$B71,元データ!$B$2:$B$20000,$C$3,元データ!$C$2:$C$20000,J$5)</f>
        <v>19</v>
      </c>
      <c r="K71" s="16">
        <f>SUMIFS(INDEX(元データ!$E$2:$H$20000,0,MATCH($C$2,元データ!$E$1:$H$1,0)),元データ!$A$2:$A$20000,$A70,元データ!$D$2:$D$20000,$B71,元データ!$B$2:$B$20000,$C$3,元データ!$C$2:$C$20000,K$5)</f>
        <v>22</v>
      </c>
      <c r="L71" s="16">
        <f>SUMIFS(INDEX(元データ!$E$2:$H$20000,0,MATCH($C$2,元データ!$E$1:$H$1,0)),元データ!$A$2:$A$20000,$A70,元データ!$D$2:$D$20000,$B71,元データ!$B$2:$B$20000,$C$3,元データ!$C$2:$C$20000,L$5)</f>
        <v>17</v>
      </c>
      <c r="M71" s="16">
        <f>SUMIFS(INDEX(元データ!$E$2:$H$20000,0,MATCH($C$2,元データ!$E$1:$H$1,0)),元データ!$A$2:$A$20000,$A70,元データ!$D$2:$D$20000,$B71,元データ!$B$2:$B$20000,$C$3,元データ!$C$2:$C$20000,M$5)</f>
        <v>13</v>
      </c>
      <c r="N71" s="16">
        <f>SUMIFS(INDEX(元データ!$E$2:$H$20000,0,MATCH($C$2,元データ!$E$1:$H$1,0)),元データ!$A$2:$A$20000,$A70,元データ!$D$2:$D$20000,$B71,元データ!$B$2:$B$20000,$C$3,元データ!$C$2:$C$20000,N$5)</f>
        <v>4</v>
      </c>
      <c r="O71" s="17">
        <f t="shared" si="4"/>
        <v>166</v>
      </c>
      <c r="P71" s="17">
        <f>SUMIFS(INDEX(元データ!$E$2:$H$20000,0,MATCH($C$2,元データ!$E$1:$H$1,0)),元データ!$A$2:$A$20000,$A70,元データ!$D$2:$D$20000,$B71,元データ!$B$2:$B$20000,$D$3)</f>
        <v>0</v>
      </c>
      <c r="Q71" s="25" t="str">
        <f t="shared" si="5"/>
        <v/>
      </c>
    </row>
    <row r="72" spans="1:17" x14ac:dyDescent="0.45">
      <c r="A72" s="14" t="str">
        <f>店舗マスタ!A35</f>
        <v>曲金店</v>
      </c>
      <c r="B72" s="15" t="s">
        <v>31</v>
      </c>
      <c r="C72" s="16">
        <f>SUMIFS(INDEX(元データ!$E$2:$H$20000,0,MATCH($C$2,元データ!$E$1:$H$1,0)),元データ!$A$2:$A$20000,$A72,元データ!$D$2:$D$20000,$B72,元データ!$B$2:$B$20000,$C$3,元データ!$C$2:$C$20000,C$5)</f>
        <v>9</v>
      </c>
      <c r="D72" s="16">
        <f>SUMIFS(INDEX(元データ!$E$2:$H$20000,0,MATCH($C$2,元データ!$E$1:$H$1,0)),元データ!$A$2:$A$20000,$A72,元データ!$D$2:$D$20000,$B72,元データ!$B$2:$B$20000,$C$3,元データ!$C$2:$C$20000,D$5)</f>
        <v>103</v>
      </c>
      <c r="E72" s="16">
        <f>SUMIFS(INDEX(元データ!$E$2:$H$20000,0,MATCH($C$2,元データ!$E$1:$H$1,0)),元データ!$A$2:$A$20000,$A72,元データ!$D$2:$D$20000,$B72,元データ!$B$2:$B$20000,$C$3,元データ!$C$2:$C$20000,E$5)</f>
        <v>84</v>
      </c>
      <c r="F72" s="16">
        <f>SUMIFS(INDEX(元データ!$E$2:$H$20000,0,MATCH($C$2,元データ!$E$1:$H$1,0)),元データ!$A$2:$A$20000,$A72,元データ!$D$2:$D$20000,$B72,元データ!$B$2:$B$20000,$C$3,元データ!$C$2:$C$20000,F$5)</f>
        <v>177</v>
      </c>
      <c r="G72" s="16">
        <f>SUMIFS(INDEX(元データ!$E$2:$H$20000,0,MATCH($C$2,元データ!$E$1:$H$1,0)),元データ!$A$2:$A$20000,$A72,元データ!$D$2:$D$20000,$B72,元データ!$B$2:$B$20000,$C$3,元データ!$C$2:$C$20000,G$5)</f>
        <v>45</v>
      </c>
      <c r="H72" s="16">
        <f>SUMIFS(INDEX(元データ!$E$2:$H$20000,0,MATCH($C$2,元データ!$E$1:$H$1,0)),元データ!$A$2:$A$20000,$A72,元データ!$D$2:$D$20000,$B72,元データ!$B$2:$B$20000,$C$3,元データ!$C$2:$C$20000,H$5)</f>
        <v>55</v>
      </c>
      <c r="I72" s="16">
        <f>SUMIFS(INDEX(元データ!$E$2:$H$20000,0,MATCH($C$2,元データ!$E$1:$H$1,0)),元データ!$A$2:$A$20000,$A72,元データ!$D$2:$D$20000,$B72,元データ!$B$2:$B$20000,$C$3,元データ!$C$2:$C$20000,I$5)</f>
        <v>25</v>
      </c>
      <c r="J72" s="16">
        <f>SUMIFS(INDEX(元データ!$E$2:$H$20000,0,MATCH($C$2,元データ!$E$1:$H$1,0)),元データ!$A$2:$A$20000,$A72,元データ!$D$2:$D$20000,$B72,元データ!$B$2:$B$20000,$C$3,元データ!$C$2:$C$20000,J$5)</f>
        <v>43</v>
      </c>
      <c r="K72" s="16">
        <f>SUMIFS(INDEX(元データ!$E$2:$H$20000,0,MATCH($C$2,元データ!$E$1:$H$1,0)),元データ!$A$2:$A$20000,$A72,元データ!$D$2:$D$20000,$B72,元データ!$B$2:$B$20000,$C$3,元データ!$C$2:$C$20000,K$5)</f>
        <v>42</v>
      </c>
      <c r="L72" s="16">
        <f>SUMIFS(INDEX(元データ!$E$2:$H$20000,0,MATCH($C$2,元データ!$E$1:$H$1,0)),元データ!$A$2:$A$20000,$A72,元データ!$D$2:$D$20000,$B72,元データ!$B$2:$B$20000,$C$3,元データ!$C$2:$C$20000,L$5)</f>
        <v>71</v>
      </c>
      <c r="M72" s="16">
        <f>SUMIFS(INDEX(元データ!$E$2:$H$20000,0,MATCH($C$2,元データ!$E$1:$H$1,0)),元データ!$A$2:$A$20000,$A72,元データ!$D$2:$D$20000,$B72,元データ!$B$2:$B$20000,$C$3,元データ!$C$2:$C$20000,M$5)</f>
        <v>22</v>
      </c>
      <c r="N72" s="16">
        <f>SUMIFS(INDEX(元データ!$E$2:$H$20000,0,MATCH($C$2,元データ!$E$1:$H$1,0)),元データ!$A$2:$A$20000,$A72,元データ!$D$2:$D$20000,$B72,元データ!$B$2:$B$20000,$C$3,元データ!$C$2:$C$20000,N$5)</f>
        <v>100</v>
      </c>
      <c r="O72" s="17">
        <f t="shared" si="4"/>
        <v>776</v>
      </c>
      <c r="P72" s="17">
        <f>SUMIFS(INDEX(元データ!$E$2:$H$20000,0,MATCH($C$2,元データ!$E$1:$H$1,0)),元データ!$A$2:$A$20000,$A72,元データ!$D$2:$D$20000,$B72,元データ!$B$2:$B$20000,$D$3)</f>
        <v>0</v>
      </c>
      <c r="Q72" s="25" t="str">
        <f t="shared" si="5"/>
        <v/>
      </c>
    </row>
    <row r="73" spans="1:17" x14ac:dyDescent="0.45">
      <c r="A73" s="14"/>
      <c r="B73" s="15" t="s">
        <v>32</v>
      </c>
      <c r="C73" s="16">
        <f>SUMIFS(INDEX(元データ!$E$2:$H$20000,0,MATCH($C$2,元データ!$E$1:$H$1,0)),元データ!$A$2:$A$20000,$A72,元データ!$D$2:$D$20000,$B73,元データ!$B$2:$B$20000,$C$3,元データ!$C$2:$C$20000,C$5)</f>
        <v>2</v>
      </c>
      <c r="D73" s="16">
        <f>SUMIFS(INDEX(元データ!$E$2:$H$20000,0,MATCH($C$2,元データ!$E$1:$H$1,0)),元データ!$A$2:$A$20000,$A72,元データ!$D$2:$D$20000,$B73,元データ!$B$2:$B$20000,$C$3,元データ!$C$2:$C$20000,D$5)</f>
        <v>7</v>
      </c>
      <c r="E73" s="16">
        <f>SUMIFS(INDEX(元データ!$E$2:$H$20000,0,MATCH($C$2,元データ!$E$1:$H$1,0)),元データ!$A$2:$A$20000,$A72,元データ!$D$2:$D$20000,$B73,元データ!$B$2:$B$20000,$C$3,元データ!$C$2:$C$20000,E$5)</f>
        <v>9</v>
      </c>
      <c r="F73" s="16">
        <f>SUMIFS(INDEX(元データ!$E$2:$H$20000,0,MATCH($C$2,元データ!$E$1:$H$1,0)),元データ!$A$2:$A$20000,$A72,元データ!$D$2:$D$20000,$B73,元データ!$B$2:$B$20000,$C$3,元データ!$C$2:$C$20000,F$5)</f>
        <v>4</v>
      </c>
      <c r="G73" s="16">
        <f>SUMIFS(INDEX(元データ!$E$2:$H$20000,0,MATCH($C$2,元データ!$E$1:$H$1,0)),元データ!$A$2:$A$20000,$A72,元データ!$D$2:$D$20000,$B73,元データ!$B$2:$B$20000,$C$3,元データ!$C$2:$C$20000,G$5)</f>
        <v>3</v>
      </c>
      <c r="H73" s="16">
        <f>SUMIFS(INDEX(元データ!$E$2:$H$20000,0,MATCH($C$2,元データ!$E$1:$H$1,0)),元データ!$A$2:$A$20000,$A72,元データ!$D$2:$D$20000,$B73,元データ!$B$2:$B$20000,$C$3,元データ!$C$2:$C$20000,H$5)</f>
        <v>7</v>
      </c>
      <c r="I73" s="16">
        <f>SUMIFS(INDEX(元データ!$E$2:$H$20000,0,MATCH($C$2,元データ!$E$1:$H$1,0)),元データ!$A$2:$A$20000,$A72,元データ!$D$2:$D$20000,$B73,元データ!$B$2:$B$20000,$C$3,元データ!$C$2:$C$20000,I$5)</f>
        <v>7</v>
      </c>
      <c r="J73" s="16">
        <f>SUMIFS(INDEX(元データ!$E$2:$H$20000,0,MATCH($C$2,元データ!$E$1:$H$1,0)),元データ!$A$2:$A$20000,$A72,元データ!$D$2:$D$20000,$B73,元データ!$B$2:$B$20000,$C$3,元データ!$C$2:$C$20000,J$5)</f>
        <v>9</v>
      </c>
      <c r="K73" s="16">
        <f>SUMIFS(INDEX(元データ!$E$2:$H$20000,0,MATCH($C$2,元データ!$E$1:$H$1,0)),元データ!$A$2:$A$20000,$A72,元データ!$D$2:$D$20000,$B73,元データ!$B$2:$B$20000,$C$3,元データ!$C$2:$C$20000,K$5)</f>
        <v>5</v>
      </c>
      <c r="L73" s="16">
        <f>SUMIFS(INDEX(元データ!$E$2:$H$20000,0,MATCH($C$2,元データ!$E$1:$H$1,0)),元データ!$A$2:$A$20000,$A72,元データ!$D$2:$D$20000,$B73,元データ!$B$2:$B$20000,$C$3,元データ!$C$2:$C$20000,L$5)</f>
        <v>11</v>
      </c>
      <c r="M73" s="16">
        <f>SUMIFS(INDEX(元データ!$E$2:$H$20000,0,MATCH($C$2,元データ!$E$1:$H$1,0)),元データ!$A$2:$A$20000,$A72,元データ!$D$2:$D$20000,$B73,元データ!$B$2:$B$20000,$C$3,元データ!$C$2:$C$20000,M$5)</f>
        <v>5</v>
      </c>
      <c r="N73" s="16">
        <f>SUMIFS(INDEX(元データ!$E$2:$H$20000,0,MATCH($C$2,元データ!$E$1:$H$1,0)),元データ!$A$2:$A$20000,$A72,元データ!$D$2:$D$20000,$B73,元データ!$B$2:$B$20000,$C$3,元データ!$C$2:$C$20000,N$5)</f>
        <v>2</v>
      </c>
      <c r="O73" s="17">
        <f t="shared" si="4"/>
        <v>71</v>
      </c>
      <c r="P73" s="17">
        <f>SUMIFS(INDEX(元データ!$E$2:$H$20000,0,MATCH($C$2,元データ!$E$1:$H$1,0)),元データ!$A$2:$A$20000,$A72,元データ!$D$2:$D$20000,$B73,元データ!$B$2:$B$20000,$D$3)</f>
        <v>0</v>
      </c>
      <c r="Q73" s="25" t="str">
        <f t="shared" si="5"/>
        <v/>
      </c>
    </row>
    <row r="74" spans="1:17" x14ac:dyDescent="0.45">
      <c r="A74" s="14" t="str">
        <f>店舗マスタ!A36</f>
        <v>与惣次店</v>
      </c>
      <c r="B74" s="15" t="s">
        <v>31</v>
      </c>
      <c r="C74" s="16">
        <f>SUMIFS(INDEX(元データ!$E$2:$H$20000,0,MATCH($C$2,元データ!$E$1:$H$1,0)),元データ!$A$2:$A$20000,$A74,元データ!$D$2:$D$20000,$B74,元データ!$B$2:$B$20000,$C$3,元データ!$C$2:$C$20000,C$5)</f>
        <v>24</v>
      </c>
      <c r="D74" s="16">
        <f>SUMIFS(INDEX(元データ!$E$2:$H$20000,0,MATCH($C$2,元データ!$E$1:$H$1,0)),元データ!$A$2:$A$20000,$A74,元データ!$D$2:$D$20000,$B74,元データ!$B$2:$B$20000,$C$3,元データ!$C$2:$C$20000,D$5)</f>
        <v>135</v>
      </c>
      <c r="E74" s="16">
        <f>SUMIFS(INDEX(元データ!$E$2:$H$20000,0,MATCH($C$2,元データ!$E$1:$H$1,0)),元データ!$A$2:$A$20000,$A74,元データ!$D$2:$D$20000,$B74,元データ!$B$2:$B$20000,$C$3,元データ!$C$2:$C$20000,E$5)</f>
        <v>161</v>
      </c>
      <c r="F74" s="16">
        <f>SUMIFS(INDEX(元データ!$E$2:$H$20000,0,MATCH($C$2,元データ!$E$1:$H$1,0)),元データ!$A$2:$A$20000,$A74,元データ!$D$2:$D$20000,$B74,元データ!$B$2:$B$20000,$C$3,元データ!$C$2:$C$20000,F$5)</f>
        <v>255</v>
      </c>
      <c r="G74" s="16">
        <f>SUMIFS(INDEX(元データ!$E$2:$H$20000,0,MATCH($C$2,元データ!$E$1:$H$1,0)),元データ!$A$2:$A$20000,$A74,元データ!$D$2:$D$20000,$B74,元データ!$B$2:$B$20000,$C$3,元データ!$C$2:$C$20000,G$5)</f>
        <v>106</v>
      </c>
      <c r="H74" s="16">
        <f>SUMIFS(INDEX(元データ!$E$2:$H$20000,0,MATCH($C$2,元データ!$E$1:$H$1,0)),元データ!$A$2:$A$20000,$A74,元データ!$D$2:$D$20000,$B74,元データ!$B$2:$B$20000,$C$3,元データ!$C$2:$C$20000,H$5)</f>
        <v>116</v>
      </c>
      <c r="I74" s="16">
        <f>SUMIFS(INDEX(元データ!$E$2:$H$20000,0,MATCH($C$2,元データ!$E$1:$H$1,0)),元データ!$A$2:$A$20000,$A74,元データ!$D$2:$D$20000,$B74,元データ!$B$2:$B$20000,$C$3,元データ!$C$2:$C$20000,I$5)</f>
        <v>102</v>
      </c>
      <c r="J74" s="16">
        <f>SUMIFS(INDEX(元データ!$E$2:$H$20000,0,MATCH($C$2,元データ!$E$1:$H$1,0)),元データ!$A$2:$A$20000,$A74,元データ!$D$2:$D$20000,$B74,元データ!$B$2:$B$20000,$C$3,元データ!$C$2:$C$20000,J$5)</f>
        <v>129</v>
      </c>
      <c r="K74" s="16">
        <f>SUMIFS(INDEX(元データ!$E$2:$H$20000,0,MATCH($C$2,元データ!$E$1:$H$1,0)),元データ!$A$2:$A$20000,$A74,元データ!$D$2:$D$20000,$B74,元データ!$B$2:$B$20000,$C$3,元データ!$C$2:$C$20000,K$5)</f>
        <v>110</v>
      </c>
      <c r="L74" s="16">
        <f>SUMIFS(INDEX(元データ!$E$2:$H$20000,0,MATCH($C$2,元データ!$E$1:$H$1,0)),元データ!$A$2:$A$20000,$A74,元データ!$D$2:$D$20000,$B74,元データ!$B$2:$B$20000,$C$3,元データ!$C$2:$C$20000,L$5)</f>
        <v>130</v>
      </c>
      <c r="M74" s="16">
        <f>SUMIFS(INDEX(元データ!$E$2:$H$20000,0,MATCH($C$2,元データ!$E$1:$H$1,0)),元データ!$A$2:$A$20000,$A74,元データ!$D$2:$D$20000,$B74,元データ!$B$2:$B$20000,$C$3,元データ!$C$2:$C$20000,M$5)</f>
        <v>38</v>
      </c>
      <c r="N74" s="16">
        <f>SUMIFS(INDEX(元データ!$E$2:$H$20000,0,MATCH($C$2,元データ!$E$1:$H$1,0)),元データ!$A$2:$A$20000,$A74,元データ!$D$2:$D$20000,$B74,元データ!$B$2:$B$20000,$C$3,元データ!$C$2:$C$20000,N$5)</f>
        <v>178</v>
      </c>
      <c r="O74" s="17">
        <f t="shared" si="4"/>
        <v>1484</v>
      </c>
      <c r="P74" s="17">
        <f>SUMIFS(INDEX(元データ!$E$2:$H$20000,0,MATCH($C$2,元データ!$E$1:$H$1,0)),元データ!$A$2:$A$20000,$A74,元データ!$D$2:$D$20000,$B74,元データ!$B$2:$B$20000,$D$3)</f>
        <v>0</v>
      </c>
      <c r="Q74" s="25" t="str">
        <f t="shared" si="5"/>
        <v/>
      </c>
    </row>
    <row r="75" spans="1:17" x14ac:dyDescent="0.45">
      <c r="A75" s="14"/>
      <c r="B75" s="15" t="s">
        <v>32</v>
      </c>
      <c r="C75" s="16">
        <f>SUMIFS(INDEX(元データ!$E$2:$H$20000,0,MATCH($C$2,元データ!$E$1:$H$1,0)),元データ!$A$2:$A$20000,$A74,元データ!$D$2:$D$20000,$B75,元データ!$B$2:$B$20000,$C$3,元データ!$C$2:$C$20000,C$5)</f>
        <v>13</v>
      </c>
      <c r="D75" s="16">
        <f>SUMIFS(INDEX(元データ!$E$2:$H$20000,0,MATCH($C$2,元データ!$E$1:$H$1,0)),元データ!$A$2:$A$20000,$A74,元データ!$D$2:$D$20000,$B75,元データ!$B$2:$B$20000,$C$3,元データ!$C$2:$C$20000,D$5)</f>
        <v>11</v>
      </c>
      <c r="E75" s="16">
        <f>SUMIFS(INDEX(元データ!$E$2:$H$20000,0,MATCH($C$2,元データ!$E$1:$H$1,0)),元データ!$A$2:$A$20000,$A74,元データ!$D$2:$D$20000,$B75,元データ!$B$2:$B$20000,$C$3,元データ!$C$2:$C$20000,E$5)</f>
        <v>14</v>
      </c>
      <c r="F75" s="16">
        <f>SUMIFS(INDEX(元データ!$E$2:$H$20000,0,MATCH($C$2,元データ!$E$1:$H$1,0)),元データ!$A$2:$A$20000,$A74,元データ!$D$2:$D$20000,$B75,元データ!$B$2:$B$20000,$C$3,元データ!$C$2:$C$20000,F$5)</f>
        <v>6</v>
      </c>
      <c r="G75" s="16">
        <f>SUMIFS(INDEX(元データ!$E$2:$H$20000,0,MATCH($C$2,元データ!$E$1:$H$1,0)),元データ!$A$2:$A$20000,$A74,元データ!$D$2:$D$20000,$B75,元データ!$B$2:$B$20000,$C$3,元データ!$C$2:$C$20000,G$5)</f>
        <v>8</v>
      </c>
      <c r="H75" s="16">
        <f>SUMIFS(INDEX(元データ!$E$2:$H$20000,0,MATCH($C$2,元データ!$E$1:$H$1,0)),元データ!$A$2:$A$20000,$A74,元データ!$D$2:$D$20000,$B75,元データ!$B$2:$B$20000,$C$3,元データ!$C$2:$C$20000,H$5)</f>
        <v>9</v>
      </c>
      <c r="I75" s="16">
        <f>SUMIFS(INDEX(元データ!$E$2:$H$20000,0,MATCH($C$2,元データ!$E$1:$H$1,0)),元データ!$A$2:$A$20000,$A74,元データ!$D$2:$D$20000,$B75,元データ!$B$2:$B$20000,$C$3,元データ!$C$2:$C$20000,I$5)</f>
        <v>9</v>
      </c>
      <c r="J75" s="16">
        <f>SUMIFS(INDEX(元データ!$E$2:$H$20000,0,MATCH($C$2,元データ!$E$1:$H$1,0)),元データ!$A$2:$A$20000,$A74,元データ!$D$2:$D$20000,$B75,元データ!$B$2:$B$20000,$C$3,元データ!$C$2:$C$20000,J$5)</f>
        <v>129</v>
      </c>
      <c r="K75" s="16">
        <f>SUMIFS(INDEX(元データ!$E$2:$H$20000,0,MATCH($C$2,元データ!$E$1:$H$1,0)),元データ!$A$2:$A$20000,$A74,元データ!$D$2:$D$20000,$B75,元データ!$B$2:$B$20000,$C$3,元データ!$C$2:$C$20000,K$5)</f>
        <v>5</v>
      </c>
      <c r="L75" s="16">
        <f>SUMIFS(INDEX(元データ!$E$2:$H$20000,0,MATCH($C$2,元データ!$E$1:$H$1,0)),元データ!$A$2:$A$20000,$A74,元データ!$D$2:$D$20000,$B75,元データ!$B$2:$B$20000,$C$3,元データ!$C$2:$C$20000,L$5)</f>
        <v>12</v>
      </c>
      <c r="M75" s="16">
        <f>SUMIFS(INDEX(元データ!$E$2:$H$20000,0,MATCH($C$2,元データ!$E$1:$H$1,0)),元データ!$A$2:$A$20000,$A74,元データ!$D$2:$D$20000,$B75,元データ!$B$2:$B$20000,$C$3,元データ!$C$2:$C$20000,M$5)</f>
        <v>9</v>
      </c>
      <c r="N75" s="16">
        <f>SUMIFS(INDEX(元データ!$E$2:$H$20000,0,MATCH($C$2,元データ!$E$1:$H$1,0)),元データ!$A$2:$A$20000,$A74,元データ!$D$2:$D$20000,$B75,元データ!$B$2:$B$20000,$C$3,元データ!$C$2:$C$20000,N$5)</f>
        <v>6</v>
      </c>
      <c r="O75" s="17">
        <f t="shared" si="4"/>
        <v>231</v>
      </c>
      <c r="P75" s="17">
        <f>SUMIFS(INDEX(元データ!$E$2:$H$20000,0,MATCH($C$2,元データ!$E$1:$H$1,0)),元データ!$A$2:$A$20000,$A74,元データ!$D$2:$D$20000,$B75,元データ!$B$2:$B$20000,$D$3)</f>
        <v>0</v>
      </c>
      <c r="Q75" s="25" t="str">
        <f t="shared" si="5"/>
        <v/>
      </c>
    </row>
    <row r="76" spans="1:17" x14ac:dyDescent="0.45">
      <c r="A76" s="14" t="str">
        <f>店舗マスタ!A37</f>
        <v>瀬名店</v>
      </c>
      <c r="B76" s="15" t="s">
        <v>31</v>
      </c>
      <c r="C76" s="16">
        <f>SUMIFS(INDEX(元データ!$E$2:$H$20000,0,MATCH($C$2,元データ!$E$1:$H$1,0)),元データ!$A$2:$A$20000,$A76,元データ!$D$2:$D$20000,$B76,元データ!$B$2:$B$20000,$C$3,元データ!$C$2:$C$20000,C$5)</f>
        <v>13</v>
      </c>
      <c r="D76" s="16">
        <f>SUMIFS(INDEX(元データ!$E$2:$H$20000,0,MATCH($C$2,元データ!$E$1:$H$1,0)),元データ!$A$2:$A$20000,$A76,元データ!$D$2:$D$20000,$B76,元データ!$B$2:$B$20000,$C$3,元データ!$C$2:$C$20000,D$5)</f>
        <v>111</v>
      </c>
      <c r="E76" s="16">
        <f>SUMIFS(INDEX(元データ!$E$2:$H$20000,0,MATCH($C$2,元データ!$E$1:$H$1,0)),元データ!$A$2:$A$20000,$A76,元データ!$D$2:$D$20000,$B76,元データ!$B$2:$B$20000,$C$3,元データ!$C$2:$C$20000,E$5)</f>
        <v>73</v>
      </c>
      <c r="F76" s="16">
        <f>SUMIFS(INDEX(元データ!$E$2:$H$20000,0,MATCH($C$2,元データ!$E$1:$H$1,0)),元データ!$A$2:$A$20000,$A76,元データ!$D$2:$D$20000,$B76,元データ!$B$2:$B$20000,$C$3,元データ!$C$2:$C$20000,F$5)</f>
        <v>184</v>
      </c>
      <c r="G76" s="16">
        <f>SUMIFS(INDEX(元データ!$E$2:$H$20000,0,MATCH($C$2,元データ!$E$1:$H$1,0)),元データ!$A$2:$A$20000,$A76,元データ!$D$2:$D$20000,$B76,元データ!$B$2:$B$20000,$C$3,元データ!$C$2:$C$20000,G$5)</f>
        <v>93</v>
      </c>
      <c r="H76" s="16">
        <f>SUMIFS(INDEX(元データ!$E$2:$H$20000,0,MATCH($C$2,元データ!$E$1:$H$1,0)),元データ!$A$2:$A$20000,$A76,元データ!$D$2:$D$20000,$B76,元データ!$B$2:$B$20000,$C$3,元データ!$C$2:$C$20000,H$5)</f>
        <v>94</v>
      </c>
      <c r="I76" s="16">
        <f>SUMIFS(INDEX(元データ!$E$2:$H$20000,0,MATCH($C$2,元データ!$E$1:$H$1,0)),元データ!$A$2:$A$20000,$A76,元データ!$D$2:$D$20000,$B76,元データ!$B$2:$B$20000,$C$3,元データ!$C$2:$C$20000,I$5)</f>
        <v>58</v>
      </c>
      <c r="J76" s="16">
        <f>SUMIFS(INDEX(元データ!$E$2:$H$20000,0,MATCH($C$2,元データ!$E$1:$H$1,0)),元データ!$A$2:$A$20000,$A76,元データ!$D$2:$D$20000,$B76,元データ!$B$2:$B$20000,$C$3,元データ!$C$2:$C$20000,J$5)</f>
        <v>79</v>
      </c>
      <c r="K76" s="16">
        <f>SUMIFS(INDEX(元データ!$E$2:$H$20000,0,MATCH($C$2,元データ!$E$1:$H$1,0)),元データ!$A$2:$A$20000,$A76,元データ!$D$2:$D$20000,$B76,元データ!$B$2:$B$20000,$C$3,元データ!$C$2:$C$20000,K$5)</f>
        <v>180</v>
      </c>
      <c r="L76" s="16">
        <f>SUMIFS(INDEX(元データ!$E$2:$H$20000,0,MATCH($C$2,元データ!$E$1:$H$1,0)),元データ!$A$2:$A$20000,$A76,元データ!$D$2:$D$20000,$B76,元データ!$B$2:$B$20000,$C$3,元データ!$C$2:$C$20000,L$5)</f>
        <v>62</v>
      </c>
      <c r="M76" s="16">
        <f>SUMIFS(INDEX(元データ!$E$2:$H$20000,0,MATCH($C$2,元データ!$E$1:$H$1,0)),元データ!$A$2:$A$20000,$A76,元データ!$D$2:$D$20000,$B76,元データ!$B$2:$B$20000,$C$3,元データ!$C$2:$C$20000,M$5)</f>
        <v>46</v>
      </c>
      <c r="N76" s="16">
        <f>SUMIFS(INDEX(元データ!$E$2:$H$20000,0,MATCH($C$2,元データ!$E$1:$H$1,0)),元データ!$A$2:$A$20000,$A76,元データ!$D$2:$D$20000,$B76,元データ!$B$2:$B$20000,$C$3,元データ!$C$2:$C$20000,N$5)</f>
        <v>105</v>
      </c>
      <c r="O76" s="17">
        <f t="shared" si="4"/>
        <v>1098</v>
      </c>
      <c r="P76" s="17">
        <f>SUMIFS(INDEX(元データ!$E$2:$H$20000,0,MATCH($C$2,元データ!$E$1:$H$1,0)),元データ!$A$2:$A$20000,$A76,元データ!$D$2:$D$20000,$B76,元データ!$B$2:$B$20000,$D$3)</f>
        <v>0</v>
      </c>
      <c r="Q76" s="25" t="str">
        <f t="shared" si="5"/>
        <v/>
      </c>
    </row>
    <row r="77" spans="1:17" x14ac:dyDescent="0.45">
      <c r="A77" s="14"/>
      <c r="B77" s="15" t="s">
        <v>32</v>
      </c>
      <c r="C77" s="16">
        <f>SUMIFS(INDEX(元データ!$E$2:$H$20000,0,MATCH($C$2,元データ!$E$1:$H$1,0)),元データ!$A$2:$A$20000,$A76,元データ!$D$2:$D$20000,$B77,元データ!$B$2:$B$20000,$C$3,元データ!$C$2:$C$20000,C$5)</f>
        <v>5</v>
      </c>
      <c r="D77" s="16">
        <f>SUMIFS(INDEX(元データ!$E$2:$H$20000,0,MATCH($C$2,元データ!$E$1:$H$1,0)),元データ!$A$2:$A$20000,$A76,元データ!$D$2:$D$20000,$B77,元データ!$B$2:$B$20000,$C$3,元データ!$C$2:$C$20000,D$5)</f>
        <v>6</v>
      </c>
      <c r="E77" s="16">
        <f>SUMIFS(INDEX(元データ!$E$2:$H$20000,0,MATCH($C$2,元データ!$E$1:$H$1,0)),元データ!$A$2:$A$20000,$A76,元データ!$D$2:$D$20000,$B77,元データ!$B$2:$B$20000,$C$3,元データ!$C$2:$C$20000,E$5)</f>
        <v>5</v>
      </c>
      <c r="F77" s="16">
        <f>SUMIFS(INDEX(元データ!$E$2:$H$20000,0,MATCH($C$2,元データ!$E$1:$H$1,0)),元データ!$A$2:$A$20000,$A76,元データ!$D$2:$D$20000,$B77,元データ!$B$2:$B$20000,$C$3,元データ!$C$2:$C$20000,F$5)</f>
        <v>2</v>
      </c>
      <c r="G77" s="16">
        <f>SUMIFS(INDEX(元データ!$E$2:$H$20000,0,MATCH($C$2,元データ!$E$1:$H$1,0)),元データ!$A$2:$A$20000,$A76,元データ!$D$2:$D$20000,$B77,元データ!$B$2:$B$20000,$C$3,元データ!$C$2:$C$20000,G$5)</f>
        <v>4</v>
      </c>
      <c r="H77" s="16">
        <f>SUMIFS(INDEX(元データ!$E$2:$H$20000,0,MATCH($C$2,元データ!$E$1:$H$1,0)),元データ!$A$2:$A$20000,$A76,元データ!$D$2:$D$20000,$B77,元データ!$B$2:$B$20000,$C$3,元データ!$C$2:$C$20000,H$5)</f>
        <v>2</v>
      </c>
      <c r="I77" s="16">
        <f>SUMIFS(INDEX(元データ!$E$2:$H$20000,0,MATCH($C$2,元データ!$E$1:$H$1,0)),元データ!$A$2:$A$20000,$A76,元データ!$D$2:$D$20000,$B77,元データ!$B$2:$B$20000,$C$3,元データ!$C$2:$C$20000,I$5)</f>
        <v>4</v>
      </c>
      <c r="J77" s="16">
        <f>SUMIFS(INDEX(元データ!$E$2:$H$20000,0,MATCH($C$2,元データ!$E$1:$H$1,0)),元データ!$A$2:$A$20000,$A76,元データ!$D$2:$D$20000,$B77,元データ!$B$2:$B$20000,$C$3,元データ!$C$2:$C$20000,J$5)</f>
        <v>79</v>
      </c>
      <c r="K77" s="16">
        <f>SUMIFS(INDEX(元データ!$E$2:$H$20000,0,MATCH($C$2,元データ!$E$1:$H$1,0)),元データ!$A$2:$A$20000,$A76,元データ!$D$2:$D$20000,$B77,元データ!$B$2:$B$20000,$C$3,元データ!$C$2:$C$20000,K$5)</f>
        <v>12</v>
      </c>
      <c r="L77" s="16">
        <f>SUMIFS(INDEX(元データ!$E$2:$H$20000,0,MATCH($C$2,元データ!$E$1:$H$1,0)),元データ!$A$2:$A$20000,$A76,元データ!$D$2:$D$20000,$B77,元データ!$B$2:$B$20000,$C$3,元データ!$C$2:$C$20000,L$5)</f>
        <v>3</v>
      </c>
      <c r="M77" s="16">
        <f>SUMIFS(INDEX(元データ!$E$2:$H$20000,0,MATCH($C$2,元データ!$E$1:$H$1,0)),元データ!$A$2:$A$20000,$A76,元データ!$D$2:$D$20000,$B77,元データ!$B$2:$B$20000,$C$3,元データ!$C$2:$C$20000,M$5)</f>
        <v>7</v>
      </c>
      <c r="N77" s="16">
        <f>SUMIFS(INDEX(元データ!$E$2:$H$20000,0,MATCH($C$2,元データ!$E$1:$H$1,0)),元データ!$A$2:$A$20000,$A76,元データ!$D$2:$D$20000,$B77,元データ!$B$2:$B$20000,$C$3,元データ!$C$2:$C$20000,N$5)</f>
        <v>1</v>
      </c>
      <c r="O77" s="17">
        <f t="shared" si="4"/>
        <v>130</v>
      </c>
      <c r="P77" s="17">
        <f>SUMIFS(INDEX(元データ!$E$2:$H$20000,0,MATCH($C$2,元データ!$E$1:$H$1,0)),元データ!$A$2:$A$20000,$A76,元データ!$D$2:$D$20000,$B77,元データ!$B$2:$B$20000,$D$3)</f>
        <v>0</v>
      </c>
      <c r="Q77" s="25" t="str">
        <f t="shared" si="5"/>
        <v/>
      </c>
    </row>
    <row r="78" spans="1:17" x14ac:dyDescent="0.45">
      <c r="A78" s="14" t="str">
        <f>店舗マスタ!A38</f>
        <v>豊田店</v>
      </c>
      <c r="B78" s="15" t="s">
        <v>31</v>
      </c>
      <c r="C78" s="16">
        <f>SUMIFS(INDEX(元データ!$E$2:$H$20000,0,MATCH($C$2,元データ!$E$1:$H$1,0)),元データ!$A$2:$A$20000,$A78,元データ!$D$2:$D$20000,$B78,元データ!$B$2:$B$20000,$C$3,元データ!$C$2:$C$20000,C$5)</f>
        <v>16</v>
      </c>
      <c r="D78" s="16">
        <f>SUMIFS(INDEX(元データ!$E$2:$H$20000,0,MATCH($C$2,元データ!$E$1:$H$1,0)),元データ!$A$2:$A$20000,$A78,元データ!$D$2:$D$20000,$B78,元データ!$B$2:$B$20000,$C$3,元データ!$C$2:$C$20000,D$5)</f>
        <v>116</v>
      </c>
      <c r="E78" s="16">
        <f>SUMIFS(INDEX(元データ!$E$2:$H$20000,0,MATCH($C$2,元データ!$E$1:$H$1,0)),元データ!$A$2:$A$20000,$A78,元データ!$D$2:$D$20000,$B78,元データ!$B$2:$B$20000,$C$3,元データ!$C$2:$C$20000,E$5)</f>
        <v>166</v>
      </c>
      <c r="F78" s="16">
        <f>SUMIFS(INDEX(元データ!$E$2:$H$20000,0,MATCH($C$2,元データ!$E$1:$H$1,0)),元データ!$A$2:$A$20000,$A78,元データ!$D$2:$D$20000,$B78,元データ!$B$2:$B$20000,$C$3,元データ!$C$2:$C$20000,F$5)</f>
        <v>219</v>
      </c>
      <c r="G78" s="16">
        <f>SUMIFS(INDEX(元データ!$E$2:$H$20000,0,MATCH($C$2,元データ!$E$1:$H$1,0)),元データ!$A$2:$A$20000,$A78,元データ!$D$2:$D$20000,$B78,元データ!$B$2:$B$20000,$C$3,元データ!$C$2:$C$20000,G$5)</f>
        <v>74</v>
      </c>
      <c r="H78" s="16">
        <f>SUMIFS(INDEX(元データ!$E$2:$H$20000,0,MATCH($C$2,元データ!$E$1:$H$1,0)),元データ!$A$2:$A$20000,$A78,元データ!$D$2:$D$20000,$B78,元データ!$B$2:$B$20000,$C$3,元データ!$C$2:$C$20000,H$5)</f>
        <v>90</v>
      </c>
      <c r="I78" s="16">
        <f>SUMIFS(INDEX(元データ!$E$2:$H$20000,0,MATCH($C$2,元データ!$E$1:$H$1,0)),元データ!$A$2:$A$20000,$A78,元データ!$D$2:$D$20000,$B78,元データ!$B$2:$B$20000,$C$3,元データ!$C$2:$C$20000,I$5)</f>
        <v>84</v>
      </c>
      <c r="J78" s="16">
        <f>SUMIFS(INDEX(元データ!$E$2:$H$20000,0,MATCH($C$2,元データ!$E$1:$H$1,0)),元データ!$A$2:$A$20000,$A78,元データ!$D$2:$D$20000,$B78,元データ!$B$2:$B$20000,$C$3,元データ!$C$2:$C$20000,J$5)</f>
        <v>76</v>
      </c>
      <c r="K78" s="16">
        <f>SUMIFS(INDEX(元データ!$E$2:$H$20000,0,MATCH($C$2,元データ!$E$1:$H$1,0)),元データ!$A$2:$A$20000,$A78,元データ!$D$2:$D$20000,$B78,元データ!$B$2:$B$20000,$C$3,元データ!$C$2:$C$20000,K$5)</f>
        <v>45</v>
      </c>
      <c r="L78" s="16">
        <f>SUMIFS(INDEX(元データ!$E$2:$H$20000,0,MATCH($C$2,元データ!$E$1:$H$1,0)),元データ!$A$2:$A$20000,$A78,元データ!$D$2:$D$20000,$B78,元データ!$B$2:$B$20000,$C$3,元データ!$C$2:$C$20000,L$5)</f>
        <v>91</v>
      </c>
      <c r="M78" s="16">
        <f>SUMIFS(INDEX(元データ!$E$2:$H$20000,0,MATCH($C$2,元データ!$E$1:$H$1,0)),元データ!$A$2:$A$20000,$A78,元データ!$D$2:$D$20000,$B78,元データ!$B$2:$B$20000,$C$3,元データ!$C$2:$C$20000,M$5)</f>
        <v>38</v>
      </c>
      <c r="N78" s="16">
        <f>SUMIFS(INDEX(元データ!$E$2:$H$20000,0,MATCH($C$2,元データ!$E$1:$H$1,0)),元データ!$A$2:$A$20000,$A78,元データ!$D$2:$D$20000,$B78,元データ!$B$2:$B$20000,$C$3,元データ!$C$2:$C$20000,N$5)</f>
        <v>170</v>
      </c>
      <c r="O78" s="17">
        <f t="shared" si="4"/>
        <v>1185</v>
      </c>
      <c r="P78" s="17">
        <f>SUMIFS(INDEX(元データ!$E$2:$H$20000,0,MATCH($C$2,元データ!$E$1:$H$1,0)),元データ!$A$2:$A$20000,$A78,元データ!$D$2:$D$20000,$B78,元データ!$B$2:$B$20000,$D$3)</f>
        <v>0</v>
      </c>
      <c r="Q78" s="25" t="str">
        <f t="shared" si="5"/>
        <v/>
      </c>
    </row>
    <row r="79" spans="1:17" x14ac:dyDescent="0.45">
      <c r="A79" s="14"/>
      <c r="B79" s="15" t="s">
        <v>32</v>
      </c>
      <c r="C79" s="16">
        <f>SUMIFS(INDEX(元データ!$E$2:$H$20000,0,MATCH($C$2,元データ!$E$1:$H$1,0)),元データ!$A$2:$A$20000,$A78,元データ!$D$2:$D$20000,$B79,元データ!$B$2:$B$20000,$C$3,元データ!$C$2:$C$20000,C$5)</f>
        <v>12</v>
      </c>
      <c r="D79" s="16">
        <f>SUMIFS(INDEX(元データ!$E$2:$H$20000,0,MATCH($C$2,元データ!$E$1:$H$1,0)),元データ!$A$2:$A$20000,$A78,元データ!$D$2:$D$20000,$B79,元データ!$B$2:$B$20000,$C$3,元データ!$C$2:$C$20000,D$5)</f>
        <v>14</v>
      </c>
      <c r="E79" s="16">
        <f>SUMIFS(INDEX(元データ!$E$2:$H$20000,0,MATCH($C$2,元データ!$E$1:$H$1,0)),元データ!$A$2:$A$20000,$A78,元データ!$D$2:$D$20000,$B79,元データ!$B$2:$B$20000,$C$3,元データ!$C$2:$C$20000,E$5)</f>
        <v>17</v>
      </c>
      <c r="F79" s="16">
        <f>SUMIFS(INDEX(元データ!$E$2:$H$20000,0,MATCH($C$2,元データ!$E$1:$H$1,0)),元データ!$A$2:$A$20000,$A78,元データ!$D$2:$D$20000,$B79,元データ!$B$2:$B$20000,$C$3,元データ!$C$2:$C$20000,F$5)</f>
        <v>8</v>
      </c>
      <c r="G79" s="16">
        <f>SUMIFS(INDEX(元データ!$E$2:$H$20000,0,MATCH($C$2,元データ!$E$1:$H$1,0)),元データ!$A$2:$A$20000,$A78,元データ!$D$2:$D$20000,$B79,元データ!$B$2:$B$20000,$C$3,元データ!$C$2:$C$20000,G$5)</f>
        <v>5</v>
      </c>
      <c r="H79" s="16">
        <f>SUMIFS(INDEX(元データ!$E$2:$H$20000,0,MATCH($C$2,元データ!$E$1:$H$1,0)),元データ!$A$2:$A$20000,$A78,元データ!$D$2:$D$20000,$B79,元データ!$B$2:$B$20000,$C$3,元データ!$C$2:$C$20000,H$5)</f>
        <v>10</v>
      </c>
      <c r="I79" s="16">
        <f>SUMIFS(INDEX(元データ!$E$2:$H$20000,0,MATCH($C$2,元データ!$E$1:$H$1,0)),元データ!$A$2:$A$20000,$A78,元データ!$D$2:$D$20000,$B79,元データ!$B$2:$B$20000,$C$3,元データ!$C$2:$C$20000,I$5)</f>
        <v>7</v>
      </c>
      <c r="J79" s="16">
        <f>SUMIFS(INDEX(元データ!$E$2:$H$20000,0,MATCH($C$2,元データ!$E$1:$H$1,0)),元データ!$A$2:$A$20000,$A78,元データ!$D$2:$D$20000,$B79,元データ!$B$2:$B$20000,$C$3,元データ!$C$2:$C$20000,J$5)</f>
        <v>76</v>
      </c>
      <c r="K79" s="16">
        <f>SUMIFS(INDEX(元データ!$E$2:$H$20000,0,MATCH($C$2,元データ!$E$1:$H$1,0)),元データ!$A$2:$A$20000,$A78,元データ!$D$2:$D$20000,$B79,元データ!$B$2:$B$20000,$C$3,元データ!$C$2:$C$20000,K$5)</f>
        <v>19</v>
      </c>
      <c r="L79" s="16">
        <f>SUMIFS(INDEX(元データ!$E$2:$H$20000,0,MATCH($C$2,元データ!$E$1:$H$1,0)),元データ!$A$2:$A$20000,$A78,元データ!$D$2:$D$20000,$B79,元データ!$B$2:$B$20000,$C$3,元データ!$C$2:$C$20000,L$5)</f>
        <v>7</v>
      </c>
      <c r="M79" s="16">
        <f>SUMIFS(INDEX(元データ!$E$2:$H$20000,0,MATCH($C$2,元データ!$E$1:$H$1,0)),元データ!$A$2:$A$20000,$A78,元データ!$D$2:$D$20000,$B79,元データ!$B$2:$B$20000,$C$3,元データ!$C$2:$C$20000,M$5)</f>
        <v>3</v>
      </c>
      <c r="N79" s="16">
        <f>SUMIFS(INDEX(元データ!$E$2:$H$20000,0,MATCH($C$2,元データ!$E$1:$H$1,0)),元データ!$A$2:$A$20000,$A78,元データ!$D$2:$D$20000,$B79,元データ!$B$2:$B$20000,$C$3,元データ!$C$2:$C$20000,N$5)</f>
        <v>5</v>
      </c>
      <c r="O79" s="17">
        <f t="shared" si="4"/>
        <v>183</v>
      </c>
      <c r="P79" s="17">
        <f>SUMIFS(INDEX(元データ!$E$2:$H$20000,0,MATCH($C$2,元データ!$E$1:$H$1,0)),元データ!$A$2:$A$20000,$A78,元データ!$D$2:$D$20000,$B79,元データ!$B$2:$B$20000,$D$3)</f>
        <v>0</v>
      </c>
      <c r="Q79" s="25" t="str">
        <f t="shared" si="5"/>
        <v/>
      </c>
    </row>
    <row r="80" spans="1:17" x14ac:dyDescent="0.45">
      <c r="A80" s="14" t="str">
        <f>店舗マスタ!A39</f>
        <v>吉田店</v>
      </c>
      <c r="B80" s="15" t="s">
        <v>31</v>
      </c>
      <c r="C80" s="16">
        <f>SUMIFS(INDEX(元データ!$E$2:$H$20000,0,MATCH($C$2,元データ!$E$1:$H$1,0)),元データ!$A$2:$A$20000,$A80,元データ!$D$2:$D$20000,$B80,元データ!$B$2:$B$20000,$C$3,元データ!$C$2:$C$20000,C$5)</f>
        <v>40</v>
      </c>
      <c r="D80" s="16">
        <f>SUMIFS(INDEX(元データ!$E$2:$H$20000,0,MATCH($C$2,元データ!$E$1:$H$1,0)),元データ!$A$2:$A$20000,$A80,元データ!$D$2:$D$20000,$B80,元データ!$B$2:$B$20000,$C$3,元データ!$C$2:$C$20000,D$5)</f>
        <v>175</v>
      </c>
      <c r="E80" s="16">
        <f>SUMIFS(INDEX(元データ!$E$2:$H$20000,0,MATCH($C$2,元データ!$E$1:$H$1,0)),元データ!$A$2:$A$20000,$A80,元データ!$D$2:$D$20000,$B80,元データ!$B$2:$B$20000,$C$3,元データ!$C$2:$C$20000,E$5)</f>
        <v>179</v>
      </c>
      <c r="F80" s="16">
        <f>SUMIFS(INDEX(元データ!$E$2:$H$20000,0,MATCH($C$2,元データ!$E$1:$H$1,0)),元データ!$A$2:$A$20000,$A80,元データ!$D$2:$D$20000,$B80,元データ!$B$2:$B$20000,$C$3,元データ!$C$2:$C$20000,F$5)</f>
        <v>233</v>
      </c>
      <c r="G80" s="16">
        <f>SUMIFS(INDEX(元データ!$E$2:$H$20000,0,MATCH($C$2,元データ!$E$1:$H$1,0)),元データ!$A$2:$A$20000,$A80,元データ!$D$2:$D$20000,$B80,元データ!$B$2:$B$20000,$C$3,元データ!$C$2:$C$20000,G$5)</f>
        <v>139</v>
      </c>
      <c r="H80" s="16">
        <f>SUMIFS(INDEX(元データ!$E$2:$H$20000,0,MATCH($C$2,元データ!$E$1:$H$1,0)),元データ!$A$2:$A$20000,$A80,元データ!$D$2:$D$20000,$B80,元データ!$B$2:$B$20000,$C$3,元データ!$C$2:$C$20000,H$5)</f>
        <v>124</v>
      </c>
      <c r="I80" s="16">
        <f>SUMIFS(INDEX(元データ!$E$2:$H$20000,0,MATCH($C$2,元データ!$E$1:$H$1,0)),元データ!$A$2:$A$20000,$A80,元データ!$D$2:$D$20000,$B80,元データ!$B$2:$B$20000,$C$3,元データ!$C$2:$C$20000,I$5)</f>
        <v>93</v>
      </c>
      <c r="J80" s="16">
        <f>SUMIFS(INDEX(元データ!$E$2:$H$20000,0,MATCH($C$2,元データ!$E$1:$H$1,0)),元データ!$A$2:$A$20000,$A80,元データ!$D$2:$D$20000,$B80,元データ!$B$2:$B$20000,$C$3,元データ!$C$2:$C$20000,J$5)</f>
        <v>153</v>
      </c>
      <c r="K80" s="16">
        <f>SUMIFS(INDEX(元データ!$E$2:$H$20000,0,MATCH($C$2,元データ!$E$1:$H$1,0)),元データ!$A$2:$A$20000,$A80,元データ!$D$2:$D$20000,$B80,元データ!$B$2:$B$20000,$C$3,元データ!$C$2:$C$20000,K$5)</f>
        <v>176</v>
      </c>
      <c r="L80" s="16">
        <f>SUMIFS(INDEX(元データ!$E$2:$H$20000,0,MATCH($C$2,元データ!$E$1:$H$1,0)),元データ!$A$2:$A$20000,$A80,元データ!$D$2:$D$20000,$B80,元データ!$B$2:$B$20000,$C$3,元データ!$C$2:$C$20000,L$5)</f>
        <v>128</v>
      </c>
      <c r="M80" s="16">
        <f>SUMIFS(INDEX(元データ!$E$2:$H$20000,0,MATCH($C$2,元データ!$E$1:$H$1,0)),元データ!$A$2:$A$20000,$A80,元データ!$D$2:$D$20000,$B80,元データ!$B$2:$B$20000,$C$3,元データ!$C$2:$C$20000,M$5)</f>
        <v>62</v>
      </c>
      <c r="N80" s="16">
        <f>SUMIFS(INDEX(元データ!$E$2:$H$20000,0,MATCH($C$2,元データ!$E$1:$H$1,0)),元データ!$A$2:$A$20000,$A80,元データ!$D$2:$D$20000,$B80,元データ!$B$2:$B$20000,$C$3,元データ!$C$2:$C$20000,N$5)</f>
        <v>297</v>
      </c>
      <c r="O80" s="17">
        <f t="shared" si="4"/>
        <v>1799</v>
      </c>
      <c r="P80" s="17">
        <f>SUMIFS(INDEX(元データ!$E$2:$H$20000,0,MATCH($C$2,元データ!$E$1:$H$1,0)),元データ!$A$2:$A$20000,$A80,元データ!$D$2:$D$20000,$B80,元データ!$B$2:$B$20000,$D$3)</f>
        <v>0</v>
      </c>
      <c r="Q80" s="25" t="str">
        <f t="shared" si="5"/>
        <v/>
      </c>
    </row>
    <row r="81" spans="1:17" x14ac:dyDescent="0.45">
      <c r="A81" s="14"/>
      <c r="B81" s="15" t="s">
        <v>32</v>
      </c>
      <c r="C81" s="16">
        <f>SUMIFS(INDEX(元データ!$E$2:$H$20000,0,MATCH($C$2,元データ!$E$1:$H$1,0)),元データ!$A$2:$A$20000,$A80,元データ!$D$2:$D$20000,$B81,元データ!$B$2:$B$20000,$C$3,元データ!$C$2:$C$20000,C$5)</f>
        <v>13</v>
      </c>
      <c r="D81" s="16">
        <f>SUMIFS(INDEX(元データ!$E$2:$H$20000,0,MATCH($C$2,元データ!$E$1:$H$1,0)),元データ!$A$2:$A$20000,$A80,元データ!$D$2:$D$20000,$B81,元データ!$B$2:$B$20000,$C$3,元データ!$C$2:$C$20000,D$5)</f>
        <v>13</v>
      </c>
      <c r="E81" s="16">
        <f>SUMIFS(INDEX(元データ!$E$2:$H$20000,0,MATCH($C$2,元データ!$E$1:$H$1,0)),元データ!$A$2:$A$20000,$A80,元データ!$D$2:$D$20000,$B81,元データ!$B$2:$B$20000,$C$3,元データ!$C$2:$C$20000,E$5)</f>
        <v>14</v>
      </c>
      <c r="F81" s="16">
        <f>SUMIFS(INDEX(元データ!$E$2:$H$20000,0,MATCH($C$2,元データ!$E$1:$H$1,0)),元データ!$A$2:$A$20000,$A80,元データ!$D$2:$D$20000,$B81,元データ!$B$2:$B$20000,$C$3,元データ!$C$2:$C$20000,F$5)</f>
        <v>6</v>
      </c>
      <c r="G81" s="16">
        <f>SUMIFS(INDEX(元データ!$E$2:$H$20000,0,MATCH($C$2,元データ!$E$1:$H$1,0)),元データ!$A$2:$A$20000,$A80,元データ!$D$2:$D$20000,$B81,元データ!$B$2:$B$20000,$C$3,元データ!$C$2:$C$20000,G$5)</f>
        <v>6</v>
      </c>
      <c r="H81" s="16">
        <f>SUMIFS(INDEX(元データ!$E$2:$H$20000,0,MATCH($C$2,元データ!$E$1:$H$1,0)),元データ!$A$2:$A$20000,$A80,元データ!$D$2:$D$20000,$B81,元データ!$B$2:$B$20000,$C$3,元データ!$C$2:$C$20000,H$5)</f>
        <v>12</v>
      </c>
      <c r="I81" s="16">
        <f>SUMIFS(INDEX(元データ!$E$2:$H$20000,0,MATCH($C$2,元データ!$E$1:$H$1,0)),元データ!$A$2:$A$20000,$A80,元データ!$D$2:$D$20000,$B81,元データ!$B$2:$B$20000,$C$3,元データ!$C$2:$C$20000,I$5)</f>
        <v>10</v>
      </c>
      <c r="J81" s="16">
        <f>SUMIFS(INDEX(元データ!$E$2:$H$20000,0,MATCH($C$2,元データ!$E$1:$H$1,0)),元データ!$A$2:$A$20000,$A80,元データ!$D$2:$D$20000,$B81,元データ!$B$2:$B$20000,$C$3,元データ!$C$2:$C$20000,J$5)</f>
        <v>7</v>
      </c>
      <c r="K81" s="16">
        <f>SUMIFS(INDEX(元データ!$E$2:$H$20000,0,MATCH($C$2,元データ!$E$1:$H$1,0)),元データ!$A$2:$A$20000,$A80,元データ!$D$2:$D$20000,$B81,元データ!$B$2:$B$20000,$C$3,元データ!$C$2:$C$20000,K$5)</f>
        <v>17</v>
      </c>
      <c r="L81" s="16">
        <f>SUMIFS(INDEX(元データ!$E$2:$H$20000,0,MATCH($C$2,元データ!$E$1:$H$1,0)),元データ!$A$2:$A$20000,$A80,元データ!$D$2:$D$20000,$B81,元データ!$B$2:$B$20000,$C$3,元データ!$C$2:$C$20000,L$5)</f>
        <v>17</v>
      </c>
      <c r="M81" s="16">
        <f>SUMIFS(INDEX(元データ!$E$2:$H$20000,0,MATCH($C$2,元データ!$E$1:$H$1,0)),元データ!$A$2:$A$20000,$A80,元データ!$D$2:$D$20000,$B81,元データ!$B$2:$B$20000,$C$3,元データ!$C$2:$C$20000,M$5)</f>
        <v>5</v>
      </c>
      <c r="N81" s="16">
        <f>SUMIFS(INDEX(元データ!$E$2:$H$20000,0,MATCH($C$2,元データ!$E$1:$H$1,0)),元データ!$A$2:$A$20000,$A80,元データ!$D$2:$D$20000,$B81,元データ!$B$2:$B$20000,$C$3,元データ!$C$2:$C$20000,N$5)</f>
        <v>8</v>
      </c>
      <c r="O81" s="17">
        <f t="shared" si="4"/>
        <v>128</v>
      </c>
      <c r="P81" s="17">
        <f>SUMIFS(INDEX(元データ!$E$2:$H$20000,0,MATCH($C$2,元データ!$E$1:$H$1,0)),元データ!$A$2:$A$20000,$A80,元データ!$D$2:$D$20000,$B81,元データ!$B$2:$B$20000,$D$3)</f>
        <v>0</v>
      </c>
      <c r="Q81" s="25" t="str">
        <f t="shared" si="5"/>
        <v/>
      </c>
    </row>
    <row r="82" spans="1:17" x14ac:dyDescent="0.45">
      <c r="A82" s="14" t="str">
        <f>店舗マスタ!A40</f>
        <v>石津店</v>
      </c>
      <c r="B82" s="15" t="s">
        <v>31</v>
      </c>
      <c r="C82" s="16">
        <f>SUMIFS(INDEX(元データ!$E$2:$H$20000,0,MATCH($C$2,元データ!$E$1:$H$1,0)),元データ!$A$2:$A$20000,$A82,元データ!$D$2:$D$20000,$B82,元データ!$B$2:$B$20000,$C$3,元データ!$C$2:$C$20000,C$5)</f>
        <v>23</v>
      </c>
      <c r="D82" s="16">
        <f>SUMIFS(INDEX(元データ!$E$2:$H$20000,0,MATCH($C$2,元データ!$E$1:$H$1,0)),元データ!$A$2:$A$20000,$A82,元データ!$D$2:$D$20000,$B82,元データ!$B$2:$B$20000,$C$3,元データ!$C$2:$C$20000,D$5)</f>
        <v>185</v>
      </c>
      <c r="E82" s="16">
        <f>SUMIFS(INDEX(元データ!$E$2:$H$20000,0,MATCH($C$2,元データ!$E$1:$H$1,0)),元データ!$A$2:$A$20000,$A82,元データ!$D$2:$D$20000,$B82,元データ!$B$2:$B$20000,$C$3,元データ!$C$2:$C$20000,E$5)</f>
        <v>178</v>
      </c>
      <c r="F82" s="16">
        <f>SUMIFS(INDEX(元データ!$E$2:$H$20000,0,MATCH($C$2,元データ!$E$1:$H$1,0)),元データ!$A$2:$A$20000,$A82,元データ!$D$2:$D$20000,$B82,元データ!$B$2:$B$20000,$C$3,元データ!$C$2:$C$20000,F$5)</f>
        <v>214</v>
      </c>
      <c r="G82" s="16">
        <f>SUMIFS(INDEX(元データ!$E$2:$H$20000,0,MATCH($C$2,元データ!$E$1:$H$1,0)),元データ!$A$2:$A$20000,$A82,元データ!$D$2:$D$20000,$B82,元データ!$B$2:$B$20000,$C$3,元データ!$C$2:$C$20000,G$5)</f>
        <v>151</v>
      </c>
      <c r="H82" s="16">
        <f>SUMIFS(INDEX(元データ!$E$2:$H$20000,0,MATCH($C$2,元データ!$E$1:$H$1,0)),元データ!$A$2:$A$20000,$A82,元データ!$D$2:$D$20000,$B82,元データ!$B$2:$B$20000,$C$3,元データ!$C$2:$C$20000,H$5)</f>
        <v>122</v>
      </c>
      <c r="I82" s="16">
        <f>SUMIFS(INDEX(元データ!$E$2:$H$20000,0,MATCH($C$2,元データ!$E$1:$H$1,0)),元データ!$A$2:$A$20000,$A82,元データ!$D$2:$D$20000,$B82,元データ!$B$2:$B$20000,$C$3,元データ!$C$2:$C$20000,I$5)</f>
        <v>122</v>
      </c>
      <c r="J82" s="16">
        <f>SUMIFS(INDEX(元データ!$E$2:$H$20000,0,MATCH($C$2,元データ!$E$1:$H$1,0)),元データ!$A$2:$A$20000,$A82,元データ!$D$2:$D$20000,$B82,元データ!$B$2:$B$20000,$C$3,元データ!$C$2:$C$20000,J$5)</f>
        <v>101</v>
      </c>
      <c r="K82" s="16">
        <f>SUMIFS(INDEX(元データ!$E$2:$H$20000,0,MATCH($C$2,元データ!$E$1:$H$1,0)),元データ!$A$2:$A$20000,$A82,元データ!$D$2:$D$20000,$B82,元データ!$B$2:$B$20000,$C$3,元データ!$C$2:$C$20000,K$5)</f>
        <v>166</v>
      </c>
      <c r="L82" s="16">
        <f>SUMIFS(INDEX(元データ!$E$2:$H$20000,0,MATCH($C$2,元データ!$E$1:$H$1,0)),元データ!$A$2:$A$20000,$A82,元データ!$D$2:$D$20000,$B82,元データ!$B$2:$B$20000,$C$3,元データ!$C$2:$C$20000,L$5)</f>
        <v>89</v>
      </c>
      <c r="M82" s="16">
        <f>SUMIFS(INDEX(元データ!$E$2:$H$20000,0,MATCH($C$2,元データ!$E$1:$H$1,0)),元データ!$A$2:$A$20000,$A82,元データ!$D$2:$D$20000,$B82,元データ!$B$2:$B$20000,$C$3,元データ!$C$2:$C$20000,M$5)</f>
        <v>61</v>
      </c>
      <c r="N82" s="16">
        <f>SUMIFS(INDEX(元データ!$E$2:$H$20000,0,MATCH($C$2,元データ!$E$1:$H$1,0)),元データ!$A$2:$A$20000,$A82,元データ!$D$2:$D$20000,$B82,元データ!$B$2:$B$20000,$C$3,元データ!$C$2:$C$20000,N$5)</f>
        <v>244</v>
      </c>
      <c r="O82" s="17">
        <f t="shared" si="4"/>
        <v>1656</v>
      </c>
      <c r="P82" s="17">
        <f>SUMIFS(INDEX(元データ!$E$2:$H$20000,0,MATCH($C$2,元データ!$E$1:$H$1,0)),元データ!$A$2:$A$20000,$A82,元データ!$D$2:$D$20000,$B82,元データ!$B$2:$B$20000,$D$3)</f>
        <v>0</v>
      </c>
      <c r="Q82" s="25" t="str">
        <f t="shared" si="5"/>
        <v/>
      </c>
    </row>
    <row r="83" spans="1:17" x14ac:dyDescent="0.45">
      <c r="A83" s="14"/>
      <c r="B83" s="15" t="s">
        <v>32</v>
      </c>
      <c r="C83" s="16">
        <f>SUMIFS(INDEX(元データ!$E$2:$H$20000,0,MATCH($C$2,元データ!$E$1:$H$1,0)),元データ!$A$2:$A$20000,$A82,元データ!$D$2:$D$20000,$B83,元データ!$B$2:$B$20000,$C$3,元データ!$C$2:$C$20000,C$5)</f>
        <v>21</v>
      </c>
      <c r="D83" s="16">
        <f>SUMIFS(INDEX(元データ!$E$2:$H$20000,0,MATCH($C$2,元データ!$E$1:$H$1,0)),元データ!$A$2:$A$20000,$A82,元データ!$D$2:$D$20000,$B83,元データ!$B$2:$B$20000,$C$3,元データ!$C$2:$C$20000,D$5)</f>
        <v>17</v>
      </c>
      <c r="E83" s="16">
        <f>SUMIFS(INDEX(元データ!$E$2:$H$20000,0,MATCH($C$2,元データ!$E$1:$H$1,0)),元データ!$A$2:$A$20000,$A82,元データ!$D$2:$D$20000,$B83,元データ!$B$2:$B$20000,$C$3,元データ!$C$2:$C$20000,E$5)</f>
        <v>17</v>
      </c>
      <c r="F83" s="16">
        <f>SUMIFS(INDEX(元データ!$E$2:$H$20000,0,MATCH($C$2,元データ!$E$1:$H$1,0)),元データ!$A$2:$A$20000,$A82,元データ!$D$2:$D$20000,$B83,元データ!$B$2:$B$20000,$C$3,元データ!$C$2:$C$20000,F$5)</f>
        <v>7</v>
      </c>
      <c r="G83" s="16">
        <f>SUMIFS(INDEX(元データ!$E$2:$H$20000,0,MATCH($C$2,元データ!$E$1:$H$1,0)),元データ!$A$2:$A$20000,$A82,元データ!$D$2:$D$20000,$B83,元データ!$B$2:$B$20000,$C$3,元データ!$C$2:$C$20000,G$5)</f>
        <v>7</v>
      </c>
      <c r="H83" s="16">
        <f>SUMIFS(INDEX(元データ!$E$2:$H$20000,0,MATCH($C$2,元データ!$E$1:$H$1,0)),元データ!$A$2:$A$20000,$A82,元データ!$D$2:$D$20000,$B83,元データ!$B$2:$B$20000,$C$3,元データ!$C$2:$C$20000,H$5)</f>
        <v>16</v>
      </c>
      <c r="I83" s="16">
        <f>SUMIFS(INDEX(元データ!$E$2:$H$20000,0,MATCH($C$2,元データ!$E$1:$H$1,0)),元データ!$A$2:$A$20000,$A82,元データ!$D$2:$D$20000,$B83,元データ!$B$2:$B$20000,$C$3,元データ!$C$2:$C$20000,I$5)</f>
        <v>18</v>
      </c>
      <c r="J83" s="16">
        <f>SUMIFS(INDEX(元データ!$E$2:$H$20000,0,MATCH($C$2,元データ!$E$1:$H$1,0)),元データ!$A$2:$A$20000,$A82,元データ!$D$2:$D$20000,$B83,元データ!$B$2:$B$20000,$C$3,元データ!$C$2:$C$20000,J$5)</f>
        <v>15</v>
      </c>
      <c r="K83" s="16">
        <f>SUMIFS(INDEX(元データ!$E$2:$H$20000,0,MATCH($C$2,元データ!$E$1:$H$1,0)),元データ!$A$2:$A$20000,$A82,元データ!$D$2:$D$20000,$B83,元データ!$B$2:$B$20000,$C$3,元データ!$C$2:$C$20000,K$5)</f>
        <v>26</v>
      </c>
      <c r="L83" s="16">
        <f>SUMIFS(INDEX(元データ!$E$2:$H$20000,0,MATCH($C$2,元データ!$E$1:$H$1,0)),元データ!$A$2:$A$20000,$A82,元データ!$D$2:$D$20000,$B83,元データ!$B$2:$B$20000,$C$3,元データ!$C$2:$C$20000,L$5)</f>
        <v>15</v>
      </c>
      <c r="M83" s="16">
        <f>SUMIFS(INDEX(元データ!$E$2:$H$20000,0,MATCH($C$2,元データ!$E$1:$H$1,0)),元データ!$A$2:$A$20000,$A82,元データ!$D$2:$D$20000,$B83,元データ!$B$2:$B$20000,$C$3,元データ!$C$2:$C$20000,M$5)</f>
        <v>10</v>
      </c>
      <c r="N83" s="16">
        <f>SUMIFS(INDEX(元データ!$E$2:$H$20000,0,MATCH($C$2,元データ!$E$1:$H$1,0)),元データ!$A$2:$A$20000,$A82,元データ!$D$2:$D$20000,$B83,元データ!$B$2:$B$20000,$C$3,元データ!$C$2:$C$20000,N$5)</f>
        <v>10</v>
      </c>
      <c r="O83" s="17">
        <f t="shared" si="4"/>
        <v>179</v>
      </c>
      <c r="P83" s="17">
        <f>SUMIFS(INDEX(元データ!$E$2:$H$20000,0,MATCH($C$2,元データ!$E$1:$H$1,0)),元データ!$A$2:$A$20000,$A82,元データ!$D$2:$D$20000,$B83,元データ!$B$2:$B$20000,$D$3)</f>
        <v>0</v>
      </c>
      <c r="Q83" s="25" t="str">
        <f t="shared" si="5"/>
        <v/>
      </c>
    </row>
    <row r="84" spans="1:17" x14ac:dyDescent="0.45">
      <c r="A84" s="14" t="str">
        <f>店舗マスタ!A41</f>
        <v>八坂店</v>
      </c>
      <c r="B84" s="15" t="s">
        <v>31</v>
      </c>
      <c r="C84" s="16">
        <f>SUMIFS(INDEX(元データ!$E$2:$H$20000,0,MATCH($C$2,元データ!$E$1:$H$1,0)),元データ!$A$2:$A$20000,$A84,元データ!$D$2:$D$20000,$B84,元データ!$B$2:$B$20000,$C$3,元データ!$C$2:$C$20000,C$5)</f>
        <v>6</v>
      </c>
      <c r="D84" s="16">
        <f>SUMIFS(INDEX(元データ!$E$2:$H$20000,0,MATCH($C$2,元データ!$E$1:$H$1,0)),元データ!$A$2:$A$20000,$A84,元データ!$D$2:$D$20000,$B84,元データ!$B$2:$B$20000,$C$3,元データ!$C$2:$C$20000,D$5)</f>
        <v>59</v>
      </c>
      <c r="E84" s="16">
        <f>SUMIFS(INDEX(元データ!$E$2:$H$20000,0,MATCH($C$2,元データ!$E$1:$H$1,0)),元データ!$A$2:$A$20000,$A84,元データ!$D$2:$D$20000,$B84,元データ!$B$2:$B$20000,$C$3,元データ!$C$2:$C$20000,E$5)</f>
        <v>84</v>
      </c>
      <c r="F84" s="16">
        <f>SUMIFS(INDEX(元データ!$E$2:$H$20000,0,MATCH($C$2,元データ!$E$1:$H$1,0)),元データ!$A$2:$A$20000,$A84,元データ!$D$2:$D$20000,$B84,元データ!$B$2:$B$20000,$C$3,元データ!$C$2:$C$20000,F$5)</f>
        <v>109</v>
      </c>
      <c r="G84" s="16">
        <f>SUMIFS(INDEX(元データ!$E$2:$H$20000,0,MATCH($C$2,元データ!$E$1:$H$1,0)),元データ!$A$2:$A$20000,$A84,元データ!$D$2:$D$20000,$B84,元データ!$B$2:$B$20000,$C$3,元データ!$C$2:$C$20000,G$5)</f>
        <v>43</v>
      </c>
      <c r="H84" s="16">
        <f>SUMIFS(INDEX(元データ!$E$2:$H$20000,0,MATCH($C$2,元データ!$E$1:$H$1,0)),元データ!$A$2:$A$20000,$A84,元データ!$D$2:$D$20000,$B84,元データ!$B$2:$B$20000,$C$3,元データ!$C$2:$C$20000,H$5)</f>
        <v>50</v>
      </c>
      <c r="I84" s="16">
        <f>SUMIFS(INDEX(元データ!$E$2:$H$20000,0,MATCH($C$2,元データ!$E$1:$H$1,0)),元データ!$A$2:$A$20000,$A84,元データ!$D$2:$D$20000,$B84,元データ!$B$2:$B$20000,$C$3,元データ!$C$2:$C$20000,I$5)</f>
        <v>34</v>
      </c>
      <c r="J84" s="16">
        <f>SUMIFS(INDEX(元データ!$E$2:$H$20000,0,MATCH($C$2,元データ!$E$1:$H$1,0)),元データ!$A$2:$A$20000,$A84,元データ!$D$2:$D$20000,$B84,元データ!$B$2:$B$20000,$C$3,元データ!$C$2:$C$20000,J$5)</f>
        <v>16</v>
      </c>
      <c r="K84" s="16">
        <f>SUMIFS(INDEX(元データ!$E$2:$H$20000,0,MATCH($C$2,元データ!$E$1:$H$1,0)),元データ!$A$2:$A$20000,$A84,元データ!$D$2:$D$20000,$B84,元データ!$B$2:$B$20000,$C$3,元データ!$C$2:$C$20000,K$5)</f>
        <v>29</v>
      </c>
      <c r="L84" s="16">
        <f>SUMIFS(INDEX(元データ!$E$2:$H$20000,0,MATCH($C$2,元データ!$E$1:$H$1,0)),元データ!$A$2:$A$20000,$A84,元データ!$D$2:$D$20000,$B84,元データ!$B$2:$B$20000,$C$3,元データ!$C$2:$C$20000,L$5)</f>
        <v>41</v>
      </c>
      <c r="M84" s="16">
        <f>SUMIFS(INDEX(元データ!$E$2:$H$20000,0,MATCH($C$2,元データ!$E$1:$H$1,0)),元データ!$A$2:$A$20000,$A84,元データ!$D$2:$D$20000,$B84,元データ!$B$2:$B$20000,$C$3,元データ!$C$2:$C$20000,M$5)</f>
        <v>20</v>
      </c>
      <c r="N84" s="16">
        <f>SUMIFS(INDEX(元データ!$E$2:$H$20000,0,MATCH($C$2,元データ!$E$1:$H$1,0)),元データ!$A$2:$A$20000,$A84,元データ!$D$2:$D$20000,$B84,元データ!$B$2:$B$20000,$C$3,元データ!$C$2:$C$20000,N$5)</f>
        <v>75</v>
      </c>
      <c r="O84" s="17">
        <f t="shared" si="4"/>
        <v>566</v>
      </c>
      <c r="P84" s="17">
        <f>SUMIFS(INDEX(元データ!$E$2:$H$20000,0,MATCH($C$2,元データ!$E$1:$H$1,0)),元データ!$A$2:$A$20000,$A84,元データ!$D$2:$D$20000,$B84,元データ!$B$2:$B$20000,$D$3)</f>
        <v>0</v>
      </c>
      <c r="Q84" s="25" t="str">
        <f t="shared" si="5"/>
        <v/>
      </c>
    </row>
    <row r="85" spans="1:17" x14ac:dyDescent="0.45">
      <c r="A85" s="14"/>
      <c r="B85" s="15" t="s">
        <v>32</v>
      </c>
      <c r="C85" s="16">
        <f>SUMIFS(INDEX(元データ!$E$2:$H$20000,0,MATCH($C$2,元データ!$E$1:$H$1,0)),元データ!$A$2:$A$20000,$A84,元データ!$D$2:$D$20000,$B85,元データ!$B$2:$B$20000,$C$3,元データ!$C$2:$C$20000,C$5)</f>
        <v>4</v>
      </c>
      <c r="D85" s="16">
        <f>SUMIFS(INDEX(元データ!$E$2:$H$20000,0,MATCH($C$2,元データ!$E$1:$H$1,0)),元データ!$A$2:$A$20000,$A84,元データ!$D$2:$D$20000,$B85,元データ!$B$2:$B$20000,$C$3,元データ!$C$2:$C$20000,D$5)</f>
        <v>2</v>
      </c>
      <c r="E85" s="16">
        <f>SUMIFS(INDEX(元データ!$E$2:$H$20000,0,MATCH($C$2,元データ!$E$1:$H$1,0)),元データ!$A$2:$A$20000,$A84,元データ!$D$2:$D$20000,$B85,元データ!$B$2:$B$20000,$C$3,元データ!$C$2:$C$20000,E$5)</f>
        <v>8</v>
      </c>
      <c r="F85" s="16">
        <f>SUMIFS(INDEX(元データ!$E$2:$H$20000,0,MATCH($C$2,元データ!$E$1:$H$1,0)),元データ!$A$2:$A$20000,$A84,元データ!$D$2:$D$20000,$B85,元データ!$B$2:$B$20000,$C$3,元データ!$C$2:$C$20000,F$5)</f>
        <v>1</v>
      </c>
      <c r="G85" s="16">
        <f>SUMIFS(INDEX(元データ!$E$2:$H$20000,0,MATCH($C$2,元データ!$E$1:$H$1,0)),元データ!$A$2:$A$20000,$A84,元データ!$D$2:$D$20000,$B85,元データ!$B$2:$B$20000,$C$3,元データ!$C$2:$C$20000,G$5)</f>
        <v>3</v>
      </c>
      <c r="H85" s="16">
        <f>SUMIFS(INDEX(元データ!$E$2:$H$20000,0,MATCH($C$2,元データ!$E$1:$H$1,0)),元データ!$A$2:$A$20000,$A84,元データ!$D$2:$D$20000,$B85,元データ!$B$2:$B$20000,$C$3,元データ!$C$2:$C$20000,H$5)</f>
        <v>4</v>
      </c>
      <c r="I85" s="16">
        <f>SUMIFS(INDEX(元データ!$E$2:$H$20000,0,MATCH($C$2,元データ!$E$1:$H$1,0)),元データ!$A$2:$A$20000,$A84,元データ!$D$2:$D$20000,$B85,元データ!$B$2:$B$20000,$C$3,元データ!$C$2:$C$20000,I$5)</f>
        <v>2</v>
      </c>
      <c r="J85" s="16">
        <f>SUMIFS(INDEX(元データ!$E$2:$H$20000,0,MATCH($C$2,元データ!$E$1:$H$1,0)),元データ!$A$2:$A$20000,$A84,元データ!$D$2:$D$20000,$B85,元データ!$B$2:$B$20000,$C$3,元データ!$C$2:$C$20000,J$5)</f>
        <v>16</v>
      </c>
      <c r="K85" s="16">
        <f>SUMIFS(INDEX(元データ!$E$2:$H$20000,0,MATCH($C$2,元データ!$E$1:$H$1,0)),元データ!$A$2:$A$20000,$A84,元データ!$D$2:$D$20000,$B85,元データ!$B$2:$B$20000,$C$3,元データ!$C$2:$C$20000,K$5)</f>
        <v>4</v>
      </c>
      <c r="L85" s="16">
        <f>SUMIFS(INDEX(元データ!$E$2:$H$20000,0,MATCH($C$2,元データ!$E$1:$H$1,0)),元データ!$A$2:$A$20000,$A84,元データ!$D$2:$D$20000,$B85,元データ!$B$2:$B$20000,$C$3,元データ!$C$2:$C$20000,L$5)</f>
        <v>7</v>
      </c>
      <c r="M85" s="16">
        <f>SUMIFS(INDEX(元データ!$E$2:$H$20000,0,MATCH($C$2,元データ!$E$1:$H$1,0)),元データ!$A$2:$A$20000,$A84,元データ!$D$2:$D$20000,$B85,元データ!$B$2:$B$20000,$C$3,元データ!$C$2:$C$20000,M$5)</f>
        <v>4</v>
      </c>
      <c r="N85" s="16">
        <f>SUMIFS(INDEX(元データ!$E$2:$H$20000,0,MATCH($C$2,元データ!$E$1:$H$1,0)),元データ!$A$2:$A$20000,$A84,元データ!$D$2:$D$20000,$B85,元データ!$B$2:$B$20000,$C$3,元データ!$C$2:$C$20000,N$5)</f>
        <v>1</v>
      </c>
      <c r="O85" s="17">
        <f t="shared" si="4"/>
        <v>56</v>
      </c>
      <c r="P85" s="17">
        <f>SUMIFS(INDEX(元データ!$E$2:$H$20000,0,MATCH($C$2,元データ!$E$1:$H$1,0)),元データ!$A$2:$A$20000,$A84,元データ!$D$2:$D$20000,$B85,元データ!$B$2:$B$20000,$D$3)</f>
        <v>0</v>
      </c>
      <c r="Q85" s="25" t="str">
        <f t="shared" si="5"/>
        <v/>
      </c>
    </row>
    <row r="86" spans="1:17" x14ac:dyDescent="0.45">
      <c r="A86" s="14" t="str">
        <f>店舗マスタ!A42</f>
        <v>原  店</v>
      </c>
      <c r="B86" s="15" t="s">
        <v>31</v>
      </c>
      <c r="C86" s="16">
        <f>SUMIFS(INDEX(元データ!$E$2:$H$20000,0,MATCH($C$2,元データ!$E$1:$H$1,0)),元データ!$A$2:$A$20000,$A86,元データ!$D$2:$D$20000,$B86,元データ!$B$2:$B$20000,$C$3,元データ!$C$2:$C$20000,C$5)</f>
        <v>32</v>
      </c>
      <c r="D86" s="16">
        <f>SUMIFS(INDEX(元データ!$E$2:$H$20000,0,MATCH($C$2,元データ!$E$1:$H$1,0)),元データ!$A$2:$A$20000,$A86,元データ!$D$2:$D$20000,$B86,元データ!$B$2:$B$20000,$C$3,元データ!$C$2:$C$20000,D$5)</f>
        <v>212</v>
      </c>
      <c r="E86" s="16">
        <f>SUMIFS(INDEX(元データ!$E$2:$H$20000,0,MATCH($C$2,元データ!$E$1:$H$1,0)),元データ!$A$2:$A$20000,$A86,元データ!$D$2:$D$20000,$B86,元データ!$B$2:$B$20000,$C$3,元データ!$C$2:$C$20000,E$5)</f>
        <v>178</v>
      </c>
      <c r="F86" s="16">
        <f>SUMIFS(INDEX(元データ!$E$2:$H$20000,0,MATCH($C$2,元データ!$E$1:$H$1,0)),元データ!$A$2:$A$20000,$A86,元データ!$D$2:$D$20000,$B86,元データ!$B$2:$B$20000,$C$3,元データ!$C$2:$C$20000,F$5)</f>
        <v>405</v>
      </c>
      <c r="G86" s="16">
        <f>SUMIFS(INDEX(元データ!$E$2:$H$20000,0,MATCH($C$2,元データ!$E$1:$H$1,0)),元データ!$A$2:$A$20000,$A86,元データ!$D$2:$D$20000,$B86,元データ!$B$2:$B$20000,$C$3,元データ!$C$2:$C$20000,G$5)</f>
        <v>128</v>
      </c>
      <c r="H86" s="16">
        <f>SUMIFS(INDEX(元データ!$E$2:$H$20000,0,MATCH($C$2,元データ!$E$1:$H$1,0)),元データ!$A$2:$A$20000,$A86,元データ!$D$2:$D$20000,$B86,元データ!$B$2:$B$20000,$C$3,元データ!$C$2:$C$20000,H$5)</f>
        <v>100</v>
      </c>
      <c r="I86" s="16">
        <f>SUMIFS(INDEX(元データ!$E$2:$H$20000,0,MATCH($C$2,元データ!$E$1:$H$1,0)),元データ!$A$2:$A$20000,$A86,元データ!$D$2:$D$20000,$B86,元データ!$B$2:$B$20000,$C$3,元データ!$C$2:$C$20000,I$5)</f>
        <v>99</v>
      </c>
      <c r="J86" s="16">
        <f>SUMIFS(INDEX(元データ!$E$2:$H$20000,0,MATCH($C$2,元データ!$E$1:$H$1,0)),元データ!$A$2:$A$20000,$A86,元データ!$D$2:$D$20000,$B86,元データ!$B$2:$B$20000,$C$3,元データ!$C$2:$C$20000,J$5)</f>
        <v>156</v>
      </c>
      <c r="K86" s="16">
        <f>SUMIFS(INDEX(元データ!$E$2:$H$20000,0,MATCH($C$2,元データ!$E$1:$H$1,0)),元データ!$A$2:$A$20000,$A86,元データ!$D$2:$D$20000,$B86,元データ!$B$2:$B$20000,$C$3,元データ!$C$2:$C$20000,K$5)</f>
        <v>140</v>
      </c>
      <c r="L86" s="16">
        <f>SUMIFS(INDEX(元データ!$E$2:$H$20000,0,MATCH($C$2,元データ!$E$1:$H$1,0)),元データ!$A$2:$A$20000,$A86,元データ!$D$2:$D$20000,$B86,元データ!$B$2:$B$20000,$C$3,元データ!$C$2:$C$20000,L$5)</f>
        <v>139</v>
      </c>
      <c r="M86" s="16">
        <f>SUMIFS(INDEX(元データ!$E$2:$H$20000,0,MATCH($C$2,元データ!$E$1:$H$1,0)),元データ!$A$2:$A$20000,$A86,元データ!$D$2:$D$20000,$B86,元データ!$B$2:$B$20000,$C$3,元データ!$C$2:$C$20000,M$5)</f>
        <v>56</v>
      </c>
      <c r="N86" s="16">
        <f>SUMIFS(INDEX(元データ!$E$2:$H$20000,0,MATCH($C$2,元データ!$E$1:$H$1,0)),元データ!$A$2:$A$20000,$A86,元データ!$D$2:$D$20000,$B86,元データ!$B$2:$B$20000,$C$3,元データ!$C$2:$C$20000,N$5)</f>
        <v>242</v>
      </c>
      <c r="O86" s="17">
        <f t="shared" si="4"/>
        <v>1887</v>
      </c>
      <c r="P86" s="17">
        <f>SUMIFS(INDEX(元データ!$E$2:$H$20000,0,MATCH($C$2,元データ!$E$1:$H$1,0)),元データ!$A$2:$A$20000,$A86,元データ!$D$2:$D$20000,$B86,元データ!$B$2:$B$20000,$D$3)</f>
        <v>0</v>
      </c>
      <c r="Q86" s="25" t="str">
        <f t="shared" si="5"/>
        <v/>
      </c>
    </row>
    <row r="87" spans="1:17" x14ac:dyDescent="0.45">
      <c r="A87" s="14"/>
      <c r="B87" s="15" t="s">
        <v>32</v>
      </c>
      <c r="C87" s="16">
        <f>SUMIFS(INDEX(元データ!$E$2:$H$20000,0,MATCH($C$2,元データ!$E$1:$H$1,0)),元データ!$A$2:$A$20000,$A86,元データ!$D$2:$D$20000,$B87,元データ!$B$2:$B$20000,$C$3,元データ!$C$2:$C$20000,C$5)</f>
        <v>12</v>
      </c>
      <c r="D87" s="16">
        <f>SUMIFS(INDEX(元データ!$E$2:$H$20000,0,MATCH($C$2,元データ!$E$1:$H$1,0)),元データ!$A$2:$A$20000,$A86,元データ!$D$2:$D$20000,$B87,元データ!$B$2:$B$20000,$C$3,元データ!$C$2:$C$20000,D$5)</f>
        <v>3</v>
      </c>
      <c r="E87" s="16">
        <f>SUMIFS(INDEX(元データ!$E$2:$H$20000,0,MATCH($C$2,元データ!$E$1:$H$1,0)),元データ!$A$2:$A$20000,$A86,元データ!$D$2:$D$20000,$B87,元データ!$B$2:$B$20000,$C$3,元データ!$C$2:$C$20000,E$5)</f>
        <v>15</v>
      </c>
      <c r="F87" s="16">
        <f>SUMIFS(INDEX(元データ!$E$2:$H$20000,0,MATCH($C$2,元データ!$E$1:$H$1,0)),元データ!$A$2:$A$20000,$A86,元データ!$D$2:$D$20000,$B87,元データ!$B$2:$B$20000,$C$3,元データ!$C$2:$C$20000,F$5)</f>
        <v>6</v>
      </c>
      <c r="G87" s="16">
        <f>SUMIFS(INDEX(元データ!$E$2:$H$20000,0,MATCH($C$2,元データ!$E$1:$H$1,0)),元データ!$A$2:$A$20000,$A86,元データ!$D$2:$D$20000,$B87,元データ!$B$2:$B$20000,$C$3,元データ!$C$2:$C$20000,G$5)</f>
        <v>10</v>
      </c>
      <c r="H87" s="16">
        <f>SUMIFS(INDEX(元データ!$E$2:$H$20000,0,MATCH($C$2,元データ!$E$1:$H$1,0)),元データ!$A$2:$A$20000,$A86,元データ!$D$2:$D$20000,$B87,元データ!$B$2:$B$20000,$C$3,元データ!$C$2:$C$20000,H$5)</f>
        <v>5</v>
      </c>
      <c r="I87" s="16">
        <f>SUMIFS(INDEX(元データ!$E$2:$H$20000,0,MATCH($C$2,元データ!$E$1:$H$1,0)),元データ!$A$2:$A$20000,$A86,元データ!$D$2:$D$20000,$B87,元データ!$B$2:$B$20000,$C$3,元データ!$C$2:$C$20000,I$5)</f>
        <v>14</v>
      </c>
      <c r="J87" s="16">
        <f>SUMIFS(INDEX(元データ!$E$2:$H$20000,0,MATCH($C$2,元データ!$E$1:$H$1,0)),元データ!$A$2:$A$20000,$A86,元データ!$D$2:$D$20000,$B87,元データ!$B$2:$B$20000,$C$3,元データ!$C$2:$C$20000,J$5)</f>
        <v>11</v>
      </c>
      <c r="K87" s="16">
        <f>SUMIFS(INDEX(元データ!$E$2:$H$20000,0,MATCH($C$2,元データ!$E$1:$H$1,0)),元データ!$A$2:$A$20000,$A86,元データ!$D$2:$D$20000,$B87,元データ!$B$2:$B$20000,$C$3,元データ!$C$2:$C$20000,K$5)</f>
        <v>19</v>
      </c>
      <c r="L87" s="16">
        <f>SUMIFS(INDEX(元データ!$E$2:$H$20000,0,MATCH($C$2,元データ!$E$1:$H$1,0)),元データ!$A$2:$A$20000,$A86,元データ!$D$2:$D$20000,$B87,元データ!$B$2:$B$20000,$C$3,元データ!$C$2:$C$20000,L$5)</f>
        <v>12</v>
      </c>
      <c r="M87" s="16">
        <f>SUMIFS(INDEX(元データ!$E$2:$H$20000,0,MATCH($C$2,元データ!$E$1:$H$1,0)),元データ!$A$2:$A$20000,$A86,元データ!$D$2:$D$20000,$B87,元データ!$B$2:$B$20000,$C$3,元データ!$C$2:$C$20000,M$5)</f>
        <v>7</v>
      </c>
      <c r="N87" s="16">
        <f>SUMIFS(INDEX(元データ!$E$2:$H$20000,0,MATCH($C$2,元データ!$E$1:$H$1,0)),元データ!$A$2:$A$20000,$A86,元データ!$D$2:$D$20000,$B87,元データ!$B$2:$B$20000,$C$3,元データ!$C$2:$C$20000,N$5)</f>
        <v>11</v>
      </c>
      <c r="O87" s="17">
        <f t="shared" si="4"/>
        <v>125</v>
      </c>
      <c r="P87" s="17">
        <f>SUMIFS(INDEX(元データ!$E$2:$H$20000,0,MATCH($C$2,元データ!$E$1:$H$1,0)),元データ!$A$2:$A$20000,$A86,元データ!$D$2:$D$20000,$B87,元データ!$B$2:$B$20000,$D$3)</f>
        <v>0</v>
      </c>
      <c r="Q87" s="25" t="str">
        <f t="shared" si="5"/>
        <v/>
      </c>
    </row>
    <row r="88" spans="1:17" x14ac:dyDescent="0.45">
      <c r="A88" s="14" t="str">
        <f>店舗マスタ!A43</f>
        <v>ＭＶ原町店</v>
      </c>
      <c r="B88" s="15" t="s">
        <v>31</v>
      </c>
      <c r="C88" s="16">
        <f>SUMIFS(INDEX(元データ!$E$2:$H$20000,0,MATCH($C$2,元データ!$E$1:$H$1,0)),元データ!$A$2:$A$20000,$A88,元データ!$D$2:$D$20000,$B88,元データ!$B$2:$B$20000,$C$3,元データ!$C$2:$C$20000,C$5)</f>
        <v>0</v>
      </c>
      <c r="D88" s="16">
        <f>SUMIFS(INDEX(元データ!$E$2:$H$20000,0,MATCH($C$2,元データ!$E$1:$H$1,0)),元データ!$A$2:$A$20000,$A88,元データ!$D$2:$D$20000,$B88,元データ!$B$2:$B$20000,$C$3,元データ!$C$2:$C$20000,D$5)</f>
        <v>0</v>
      </c>
      <c r="E88" s="16">
        <f>SUMIFS(INDEX(元データ!$E$2:$H$20000,0,MATCH($C$2,元データ!$E$1:$H$1,0)),元データ!$A$2:$A$20000,$A88,元データ!$D$2:$D$20000,$B88,元データ!$B$2:$B$20000,$C$3,元データ!$C$2:$C$20000,E$5)</f>
        <v>0</v>
      </c>
      <c r="F88" s="16">
        <f>SUMIFS(INDEX(元データ!$E$2:$H$20000,0,MATCH($C$2,元データ!$E$1:$H$1,0)),元データ!$A$2:$A$20000,$A88,元データ!$D$2:$D$20000,$B88,元データ!$B$2:$B$20000,$C$3,元データ!$C$2:$C$20000,F$5)</f>
        <v>0</v>
      </c>
      <c r="G88" s="16">
        <f>SUMIFS(INDEX(元データ!$E$2:$H$20000,0,MATCH($C$2,元データ!$E$1:$H$1,0)),元データ!$A$2:$A$20000,$A88,元データ!$D$2:$D$20000,$B88,元データ!$B$2:$B$20000,$C$3,元データ!$C$2:$C$20000,G$5)</f>
        <v>0</v>
      </c>
      <c r="H88" s="16">
        <f>SUMIFS(INDEX(元データ!$E$2:$H$20000,0,MATCH($C$2,元データ!$E$1:$H$1,0)),元データ!$A$2:$A$20000,$A88,元データ!$D$2:$D$20000,$B88,元データ!$B$2:$B$20000,$C$3,元データ!$C$2:$C$20000,H$5)</f>
        <v>0</v>
      </c>
      <c r="I88" s="16">
        <f>SUMIFS(INDEX(元データ!$E$2:$H$20000,0,MATCH($C$2,元データ!$E$1:$H$1,0)),元データ!$A$2:$A$20000,$A88,元データ!$D$2:$D$20000,$B88,元データ!$B$2:$B$20000,$C$3,元データ!$C$2:$C$20000,I$5)</f>
        <v>0</v>
      </c>
      <c r="J88" s="16">
        <f>SUMIFS(INDEX(元データ!$E$2:$H$20000,0,MATCH($C$2,元データ!$E$1:$H$1,0)),元データ!$A$2:$A$20000,$A88,元データ!$D$2:$D$20000,$B88,元データ!$B$2:$B$20000,$C$3,元データ!$C$2:$C$20000,J$5)</f>
        <v>0</v>
      </c>
      <c r="K88" s="16">
        <f>SUMIFS(INDEX(元データ!$E$2:$H$20000,0,MATCH($C$2,元データ!$E$1:$H$1,0)),元データ!$A$2:$A$20000,$A88,元データ!$D$2:$D$20000,$B88,元データ!$B$2:$B$20000,$C$3,元データ!$C$2:$C$20000,K$5)</f>
        <v>0</v>
      </c>
      <c r="L88" s="16">
        <f>SUMIFS(INDEX(元データ!$E$2:$H$20000,0,MATCH($C$2,元データ!$E$1:$H$1,0)),元データ!$A$2:$A$20000,$A88,元データ!$D$2:$D$20000,$B88,元データ!$B$2:$B$20000,$C$3,元データ!$C$2:$C$20000,L$5)</f>
        <v>0</v>
      </c>
      <c r="M88" s="16">
        <f>SUMIFS(INDEX(元データ!$E$2:$H$20000,0,MATCH($C$2,元データ!$E$1:$H$1,0)),元データ!$A$2:$A$20000,$A88,元データ!$D$2:$D$20000,$B88,元データ!$B$2:$B$20000,$C$3,元データ!$C$2:$C$20000,M$5)</f>
        <v>0</v>
      </c>
      <c r="N88" s="16">
        <f>SUMIFS(INDEX(元データ!$E$2:$H$20000,0,MATCH($C$2,元データ!$E$1:$H$1,0)),元データ!$A$2:$A$20000,$A88,元データ!$D$2:$D$20000,$B88,元データ!$B$2:$B$20000,$C$3,元データ!$C$2:$C$20000,N$5)</f>
        <v>0</v>
      </c>
      <c r="O88" s="17">
        <f t="shared" si="4"/>
        <v>0</v>
      </c>
      <c r="P88" s="17">
        <f>SUMIFS(INDEX(元データ!$E$2:$H$20000,0,MATCH($C$2,元データ!$E$1:$H$1,0)),元データ!$A$2:$A$20000,$A88,元データ!$D$2:$D$20000,$B88,元データ!$B$2:$B$20000,$D$3)</f>
        <v>0</v>
      </c>
      <c r="Q88" s="25" t="str">
        <f t="shared" si="5"/>
        <v/>
      </c>
    </row>
    <row r="89" spans="1:17" x14ac:dyDescent="0.45">
      <c r="A89" s="14"/>
      <c r="B89" s="15" t="s">
        <v>32</v>
      </c>
      <c r="C89" s="16">
        <f>SUMIFS(INDEX(元データ!$E$2:$H$20000,0,MATCH($C$2,元データ!$E$1:$H$1,0)),元データ!$A$2:$A$20000,$A88,元データ!$D$2:$D$20000,$B89,元データ!$B$2:$B$20000,$C$3,元データ!$C$2:$C$20000,C$5)</f>
        <v>0</v>
      </c>
      <c r="D89" s="16">
        <f>SUMIFS(INDEX(元データ!$E$2:$H$20000,0,MATCH($C$2,元データ!$E$1:$H$1,0)),元データ!$A$2:$A$20000,$A88,元データ!$D$2:$D$20000,$B89,元データ!$B$2:$B$20000,$C$3,元データ!$C$2:$C$20000,D$5)</f>
        <v>0</v>
      </c>
      <c r="E89" s="16">
        <f>SUMIFS(INDEX(元データ!$E$2:$H$20000,0,MATCH($C$2,元データ!$E$1:$H$1,0)),元データ!$A$2:$A$20000,$A88,元データ!$D$2:$D$20000,$B89,元データ!$B$2:$B$20000,$C$3,元データ!$C$2:$C$20000,E$5)</f>
        <v>0</v>
      </c>
      <c r="F89" s="16">
        <f>SUMIFS(INDEX(元データ!$E$2:$H$20000,0,MATCH($C$2,元データ!$E$1:$H$1,0)),元データ!$A$2:$A$20000,$A88,元データ!$D$2:$D$20000,$B89,元データ!$B$2:$B$20000,$C$3,元データ!$C$2:$C$20000,F$5)</f>
        <v>0</v>
      </c>
      <c r="G89" s="16">
        <f>SUMIFS(INDEX(元データ!$E$2:$H$20000,0,MATCH($C$2,元データ!$E$1:$H$1,0)),元データ!$A$2:$A$20000,$A88,元データ!$D$2:$D$20000,$B89,元データ!$B$2:$B$20000,$C$3,元データ!$C$2:$C$20000,G$5)</f>
        <v>0</v>
      </c>
      <c r="H89" s="16">
        <f>SUMIFS(INDEX(元データ!$E$2:$H$20000,0,MATCH($C$2,元データ!$E$1:$H$1,0)),元データ!$A$2:$A$20000,$A88,元データ!$D$2:$D$20000,$B89,元データ!$B$2:$B$20000,$C$3,元データ!$C$2:$C$20000,H$5)</f>
        <v>0</v>
      </c>
      <c r="I89" s="16">
        <f>SUMIFS(INDEX(元データ!$E$2:$H$20000,0,MATCH($C$2,元データ!$E$1:$H$1,0)),元データ!$A$2:$A$20000,$A88,元データ!$D$2:$D$20000,$B89,元データ!$B$2:$B$20000,$C$3,元データ!$C$2:$C$20000,I$5)</f>
        <v>0</v>
      </c>
      <c r="J89" s="16">
        <f>SUMIFS(INDEX(元データ!$E$2:$H$20000,0,MATCH($C$2,元データ!$E$1:$H$1,0)),元データ!$A$2:$A$20000,$A88,元データ!$D$2:$D$20000,$B89,元データ!$B$2:$B$20000,$C$3,元データ!$C$2:$C$20000,J$5)</f>
        <v>0</v>
      </c>
      <c r="K89" s="16">
        <f>SUMIFS(INDEX(元データ!$E$2:$H$20000,0,MATCH($C$2,元データ!$E$1:$H$1,0)),元データ!$A$2:$A$20000,$A88,元データ!$D$2:$D$20000,$B89,元データ!$B$2:$B$20000,$C$3,元データ!$C$2:$C$20000,K$5)</f>
        <v>0</v>
      </c>
      <c r="L89" s="16">
        <f>SUMIFS(INDEX(元データ!$E$2:$H$20000,0,MATCH($C$2,元データ!$E$1:$H$1,0)),元データ!$A$2:$A$20000,$A88,元データ!$D$2:$D$20000,$B89,元データ!$B$2:$B$20000,$C$3,元データ!$C$2:$C$20000,L$5)</f>
        <v>0</v>
      </c>
      <c r="M89" s="16">
        <f>SUMIFS(INDEX(元データ!$E$2:$H$20000,0,MATCH($C$2,元データ!$E$1:$H$1,0)),元データ!$A$2:$A$20000,$A88,元データ!$D$2:$D$20000,$B89,元データ!$B$2:$B$20000,$C$3,元データ!$C$2:$C$20000,M$5)</f>
        <v>0</v>
      </c>
      <c r="N89" s="16">
        <f>SUMIFS(INDEX(元データ!$E$2:$H$20000,0,MATCH($C$2,元データ!$E$1:$H$1,0)),元データ!$A$2:$A$20000,$A88,元データ!$D$2:$D$20000,$B89,元データ!$B$2:$B$20000,$C$3,元データ!$C$2:$C$20000,N$5)</f>
        <v>0</v>
      </c>
      <c r="O89" s="17">
        <f t="shared" si="4"/>
        <v>0</v>
      </c>
      <c r="P89" s="17">
        <f>SUMIFS(INDEX(元データ!$E$2:$H$20000,0,MATCH($C$2,元データ!$E$1:$H$1,0)),元データ!$A$2:$A$20000,$A88,元データ!$D$2:$D$20000,$B89,元データ!$B$2:$B$20000,$D$3)</f>
        <v>0</v>
      </c>
      <c r="Q89" s="25" t="str">
        <f t="shared" si="5"/>
        <v/>
      </c>
    </row>
    <row r="90" spans="1:17" x14ac:dyDescent="0.45">
      <c r="A90" s="14" t="str">
        <f>店舗マスタ!A44</f>
        <v>松長店</v>
      </c>
      <c r="B90" s="15" t="s">
        <v>31</v>
      </c>
      <c r="C90" s="16">
        <f>SUMIFS(INDEX(元データ!$E$2:$H$20000,0,MATCH($C$2,元データ!$E$1:$H$1,0)),元データ!$A$2:$A$20000,$A90,元データ!$D$2:$D$20000,$B90,元データ!$B$2:$B$20000,$C$3,元データ!$C$2:$C$20000,C$5)</f>
        <v>21</v>
      </c>
      <c r="D90" s="16">
        <f>SUMIFS(INDEX(元データ!$E$2:$H$20000,0,MATCH($C$2,元データ!$E$1:$H$1,0)),元データ!$A$2:$A$20000,$A90,元データ!$D$2:$D$20000,$B90,元データ!$B$2:$B$20000,$C$3,元データ!$C$2:$C$20000,D$5)</f>
        <v>106</v>
      </c>
      <c r="E90" s="16">
        <f>SUMIFS(INDEX(元データ!$E$2:$H$20000,0,MATCH($C$2,元データ!$E$1:$H$1,0)),元データ!$A$2:$A$20000,$A90,元データ!$D$2:$D$20000,$B90,元データ!$B$2:$B$20000,$C$3,元データ!$C$2:$C$20000,E$5)</f>
        <v>108</v>
      </c>
      <c r="F90" s="16">
        <f>SUMIFS(INDEX(元データ!$E$2:$H$20000,0,MATCH($C$2,元データ!$E$1:$H$1,0)),元データ!$A$2:$A$20000,$A90,元データ!$D$2:$D$20000,$B90,元データ!$B$2:$B$20000,$C$3,元データ!$C$2:$C$20000,F$5)</f>
        <v>252</v>
      </c>
      <c r="G90" s="16">
        <f>SUMIFS(INDEX(元データ!$E$2:$H$20000,0,MATCH($C$2,元データ!$E$1:$H$1,0)),元データ!$A$2:$A$20000,$A90,元データ!$D$2:$D$20000,$B90,元データ!$B$2:$B$20000,$C$3,元データ!$C$2:$C$20000,G$5)</f>
        <v>109</v>
      </c>
      <c r="H90" s="16">
        <f>SUMIFS(INDEX(元データ!$E$2:$H$20000,0,MATCH($C$2,元データ!$E$1:$H$1,0)),元データ!$A$2:$A$20000,$A90,元データ!$D$2:$D$20000,$B90,元データ!$B$2:$B$20000,$C$3,元データ!$C$2:$C$20000,H$5)</f>
        <v>72</v>
      </c>
      <c r="I90" s="16">
        <f>SUMIFS(INDEX(元データ!$E$2:$H$20000,0,MATCH($C$2,元データ!$E$1:$H$1,0)),元データ!$A$2:$A$20000,$A90,元データ!$D$2:$D$20000,$B90,元データ!$B$2:$B$20000,$C$3,元データ!$C$2:$C$20000,I$5)</f>
        <v>71</v>
      </c>
      <c r="J90" s="16">
        <f>SUMIFS(INDEX(元データ!$E$2:$H$20000,0,MATCH($C$2,元データ!$E$1:$H$1,0)),元データ!$A$2:$A$20000,$A90,元データ!$D$2:$D$20000,$B90,元データ!$B$2:$B$20000,$C$3,元データ!$C$2:$C$20000,J$5)</f>
        <v>68</v>
      </c>
      <c r="K90" s="16">
        <f>SUMIFS(INDEX(元データ!$E$2:$H$20000,0,MATCH($C$2,元データ!$E$1:$H$1,0)),元データ!$A$2:$A$20000,$A90,元データ!$D$2:$D$20000,$B90,元データ!$B$2:$B$20000,$C$3,元データ!$C$2:$C$20000,K$5)</f>
        <v>82</v>
      </c>
      <c r="L90" s="16">
        <f>SUMIFS(INDEX(元データ!$E$2:$H$20000,0,MATCH($C$2,元データ!$E$1:$H$1,0)),元データ!$A$2:$A$20000,$A90,元データ!$D$2:$D$20000,$B90,元データ!$B$2:$B$20000,$C$3,元データ!$C$2:$C$20000,L$5)</f>
        <v>94</v>
      </c>
      <c r="M90" s="16">
        <f>SUMIFS(INDEX(元データ!$E$2:$H$20000,0,MATCH($C$2,元データ!$E$1:$H$1,0)),元データ!$A$2:$A$20000,$A90,元データ!$D$2:$D$20000,$B90,元データ!$B$2:$B$20000,$C$3,元データ!$C$2:$C$20000,M$5)</f>
        <v>41</v>
      </c>
      <c r="N90" s="16">
        <f>SUMIFS(INDEX(元データ!$E$2:$H$20000,0,MATCH($C$2,元データ!$E$1:$H$1,0)),元データ!$A$2:$A$20000,$A90,元データ!$D$2:$D$20000,$B90,元データ!$B$2:$B$20000,$C$3,元データ!$C$2:$C$20000,N$5)</f>
        <v>158</v>
      </c>
      <c r="O90" s="17">
        <f t="shared" si="4"/>
        <v>1182</v>
      </c>
      <c r="P90" s="17">
        <f>SUMIFS(INDEX(元データ!$E$2:$H$20000,0,MATCH($C$2,元データ!$E$1:$H$1,0)),元データ!$A$2:$A$20000,$A90,元データ!$D$2:$D$20000,$B90,元データ!$B$2:$B$20000,$D$3)</f>
        <v>0</v>
      </c>
      <c r="Q90" s="25" t="str">
        <f t="shared" si="5"/>
        <v/>
      </c>
    </row>
    <row r="91" spans="1:17" x14ac:dyDescent="0.45">
      <c r="A91" s="14"/>
      <c r="B91" s="15" t="s">
        <v>32</v>
      </c>
      <c r="C91" s="16">
        <f>SUMIFS(INDEX(元データ!$E$2:$H$20000,0,MATCH($C$2,元データ!$E$1:$H$1,0)),元データ!$A$2:$A$20000,$A90,元データ!$D$2:$D$20000,$B91,元データ!$B$2:$B$20000,$C$3,元データ!$C$2:$C$20000,C$5)</f>
        <v>9</v>
      </c>
      <c r="D91" s="16">
        <f>SUMIFS(INDEX(元データ!$E$2:$H$20000,0,MATCH($C$2,元データ!$E$1:$H$1,0)),元データ!$A$2:$A$20000,$A90,元データ!$D$2:$D$20000,$B91,元データ!$B$2:$B$20000,$C$3,元データ!$C$2:$C$20000,D$5)</f>
        <v>8</v>
      </c>
      <c r="E91" s="16">
        <f>SUMIFS(INDEX(元データ!$E$2:$H$20000,0,MATCH($C$2,元データ!$E$1:$H$1,0)),元データ!$A$2:$A$20000,$A90,元データ!$D$2:$D$20000,$B91,元データ!$B$2:$B$20000,$C$3,元データ!$C$2:$C$20000,E$5)</f>
        <v>15</v>
      </c>
      <c r="F91" s="16">
        <f>SUMIFS(INDEX(元データ!$E$2:$H$20000,0,MATCH($C$2,元データ!$E$1:$H$1,0)),元データ!$A$2:$A$20000,$A90,元データ!$D$2:$D$20000,$B91,元データ!$B$2:$B$20000,$C$3,元データ!$C$2:$C$20000,F$5)</f>
        <v>5</v>
      </c>
      <c r="G91" s="16">
        <f>SUMIFS(INDEX(元データ!$E$2:$H$20000,0,MATCH($C$2,元データ!$E$1:$H$1,0)),元データ!$A$2:$A$20000,$A90,元データ!$D$2:$D$20000,$B91,元データ!$B$2:$B$20000,$C$3,元データ!$C$2:$C$20000,G$5)</f>
        <v>2</v>
      </c>
      <c r="H91" s="16">
        <f>SUMIFS(INDEX(元データ!$E$2:$H$20000,0,MATCH($C$2,元データ!$E$1:$H$1,0)),元データ!$A$2:$A$20000,$A90,元データ!$D$2:$D$20000,$B91,元データ!$B$2:$B$20000,$C$3,元データ!$C$2:$C$20000,H$5)</f>
        <v>7</v>
      </c>
      <c r="I91" s="16">
        <f>SUMIFS(INDEX(元データ!$E$2:$H$20000,0,MATCH($C$2,元データ!$E$1:$H$1,0)),元データ!$A$2:$A$20000,$A90,元データ!$D$2:$D$20000,$B91,元データ!$B$2:$B$20000,$C$3,元データ!$C$2:$C$20000,I$5)</f>
        <v>6</v>
      </c>
      <c r="J91" s="16">
        <f>SUMIFS(INDEX(元データ!$E$2:$H$20000,0,MATCH($C$2,元データ!$E$1:$H$1,0)),元データ!$A$2:$A$20000,$A90,元データ!$D$2:$D$20000,$B91,元データ!$B$2:$B$20000,$C$3,元データ!$C$2:$C$20000,J$5)</f>
        <v>18</v>
      </c>
      <c r="K91" s="16">
        <f>SUMIFS(INDEX(元データ!$E$2:$H$20000,0,MATCH($C$2,元データ!$E$1:$H$1,0)),元データ!$A$2:$A$20000,$A90,元データ!$D$2:$D$20000,$B91,元データ!$B$2:$B$20000,$C$3,元データ!$C$2:$C$20000,K$5)</f>
        <v>6</v>
      </c>
      <c r="L91" s="16">
        <f>SUMIFS(INDEX(元データ!$E$2:$H$20000,0,MATCH($C$2,元データ!$E$1:$H$1,0)),元データ!$A$2:$A$20000,$A90,元データ!$D$2:$D$20000,$B91,元データ!$B$2:$B$20000,$C$3,元データ!$C$2:$C$20000,L$5)</f>
        <v>9</v>
      </c>
      <c r="M91" s="16">
        <f>SUMIFS(INDEX(元データ!$E$2:$H$20000,0,MATCH($C$2,元データ!$E$1:$H$1,0)),元データ!$A$2:$A$20000,$A90,元データ!$D$2:$D$20000,$B91,元データ!$B$2:$B$20000,$C$3,元データ!$C$2:$C$20000,M$5)</f>
        <v>8</v>
      </c>
      <c r="N91" s="16">
        <f>SUMIFS(INDEX(元データ!$E$2:$H$20000,0,MATCH($C$2,元データ!$E$1:$H$1,0)),元データ!$A$2:$A$20000,$A90,元データ!$D$2:$D$20000,$B91,元データ!$B$2:$B$20000,$C$3,元データ!$C$2:$C$20000,N$5)</f>
        <v>4</v>
      </c>
      <c r="O91" s="17">
        <f t="shared" si="4"/>
        <v>97</v>
      </c>
      <c r="P91" s="17">
        <f>SUMIFS(INDEX(元データ!$E$2:$H$20000,0,MATCH($C$2,元データ!$E$1:$H$1,0)),元データ!$A$2:$A$20000,$A90,元データ!$D$2:$D$20000,$B91,元データ!$B$2:$B$20000,$D$3)</f>
        <v>0</v>
      </c>
      <c r="Q91" s="25" t="str">
        <f t="shared" si="5"/>
        <v/>
      </c>
    </row>
    <row r="92" spans="1:17" x14ac:dyDescent="0.45">
      <c r="A92" s="14" t="str">
        <f>店舗マスタ!A45</f>
        <v>田中町店</v>
      </c>
      <c r="B92" s="15" t="s">
        <v>31</v>
      </c>
      <c r="C92" s="16">
        <f>SUMIFS(INDEX(元データ!$E$2:$H$20000,0,MATCH($C$2,元データ!$E$1:$H$1,0)),元データ!$A$2:$A$20000,$A92,元データ!$D$2:$D$20000,$B92,元データ!$B$2:$B$20000,$C$3,元データ!$C$2:$C$20000,C$5)</f>
        <v>31</v>
      </c>
      <c r="D92" s="16">
        <f>SUMIFS(INDEX(元データ!$E$2:$H$20000,0,MATCH($C$2,元データ!$E$1:$H$1,0)),元データ!$A$2:$A$20000,$A92,元データ!$D$2:$D$20000,$B92,元データ!$B$2:$B$20000,$C$3,元データ!$C$2:$C$20000,D$5)</f>
        <v>184</v>
      </c>
      <c r="E92" s="16">
        <f>SUMIFS(INDEX(元データ!$E$2:$H$20000,0,MATCH($C$2,元データ!$E$1:$H$1,0)),元データ!$A$2:$A$20000,$A92,元データ!$D$2:$D$20000,$B92,元データ!$B$2:$B$20000,$C$3,元データ!$C$2:$C$20000,E$5)</f>
        <v>180</v>
      </c>
      <c r="F92" s="16">
        <f>SUMIFS(INDEX(元データ!$E$2:$H$20000,0,MATCH($C$2,元データ!$E$1:$H$1,0)),元データ!$A$2:$A$20000,$A92,元データ!$D$2:$D$20000,$B92,元データ!$B$2:$B$20000,$C$3,元データ!$C$2:$C$20000,F$5)</f>
        <v>322</v>
      </c>
      <c r="G92" s="16">
        <f>SUMIFS(INDEX(元データ!$E$2:$H$20000,0,MATCH($C$2,元データ!$E$1:$H$1,0)),元データ!$A$2:$A$20000,$A92,元データ!$D$2:$D$20000,$B92,元データ!$B$2:$B$20000,$C$3,元データ!$C$2:$C$20000,G$5)</f>
        <v>180</v>
      </c>
      <c r="H92" s="16">
        <f>SUMIFS(INDEX(元データ!$E$2:$H$20000,0,MATCH($C$2,元データ!$E$1:$H$1,0)),元データ!$A$2:$A$20000,$A92,元データ!$D$2:$D$20000,$B92,元データ!$B$2:$B$20000,$C$3,元データ!$C$2:$C$20000,H$5)</f>
        <v>97</v>
      </c>
      <c r="I92" s="16">
        <f>SUMIFS(INDEX(元データ!$E$2:$H$20000,0,MATCH($C$2,元データ!$E$1:$H$1,0)),元データ!$A$2:$A$20000,$A92,元データ!$D$2:$D$20000,$B92,元データ!$B$2:$B$20000,$C$3,元データ!$C$2:$C$20000,I$5)</f>
        <v>68</v>
      </c>
      <c r="J92" s="16">
        <f>SUMIFS(INDEX(元データ!$E$2:$H$20000,0,MATCH($C$2,元データ!$E$1:$H$1,0)),元データ!$A$2:$A$20000,$A92,元データ!$D$2:$D$20000,$B92,元データ!$B$2:$B$20000,$C$3,元データ!$C$2:$C$20000,J$5)</f>
        <v>103</v>
      </c>
      <c r="K92" s="16">
        <f>SUMIFS(INDEX(元データ!$E$2:$H$20000,0,MATCH($C$2,元データ!$E$1:$H$1,0)),元データ!$A$2:$A$20000,$A92,元データ!$D$2:$D$20000,$B92,元データ!$B$2:$B$20000,$C$3,元データ!$C$2:$C$20000,K$5)</f>
        <v>153</v>
      </c>
      <c r="L92" s="16">
        <f>SUMIFS(INDEX(元データ!$E$2:$H$20000,0,MATCH($C$2,元データ!$E$1:$H$1,0)),元データ!$A$2:$A$20000,$A92,元データ!$D$2:$D$20000,$B92,元データ!$B$2:$B$20000,$C$3,元データ!$C$2:$C$20000,L$5)</f>
        <v>123</v>
      </c>
      <c r="M92" s="16">
        <f>SUMIFS(INDEX(元データ!$E$2:$H$20000,0,MATCH($C$2,元データ!$E$1:$H$1,0)),元データ!$A$2:$A$20000,$A92,元データ!$D$2:$D$20000,$B92,元データ!$B$2:$B$20000,$C$3,元データ!$C$2:$C$20000,M$5)</f>
        <v>71</v>
      </c>
      <c r="N92" s="16">
        <f>SUMIFS(INDEX(元データ!$E$2:$H$20000,0,MATCH($C$2,元データ!$E$1:$H$1,0)),元データ!$A$2:$A$20000,$A92,元データ!$D$2:$D$20000,$B92,元データ!$B$2:$B$20000,$C$3,元データ!$C$2:$C$20000,N$5)</f>
        <v>218</v>
      </c>
      <c r="O92" s="17">
        <f t="shared" si="4"/>
        <v>1730</v>
      </c>
      <c r="P92" s="17">
        <f>SUMIFS(INDEX(元データ!$E$2:$H$20000,0,MATCH($C$2,元データ!$E$1:$H$1,0)),元データ!$A$2:$A$20000,$A92,元データ!$D$2:$D$20000,$B92,元データ!$B$2:$B$20000,$D$3)</f>
        <v>0</v>
      </c>
      <c r="Q92" s="25" t="str">
        <f t="shared" si="5"/>
        <v/>
      </c>
    </row>
    <row r="93" spans="1:17" x14ac:dyDescent="0.45">
      <c r="A93" s="14"/>
      <c r="B93" s="15" t="s">
        <v>32</v>
      </c>
      <c r="C93" s="16">
        <f>SUMIFS(INDEX(元データ!$E$2:$H$20000,0,MATCH($C$2,元データ!$E$1:$H$1,0)),元データ!$A$2:$A$20000,$A92,元データ!$D$2:$D$20000,$B93,元データ!$B$2:$B$20000,$C$3,元データ!$C$2:$C$20000,C$5)</f>
        <v>20</v>
      </c>
      <c r="D93" s="16">
        <f>SUMIFS(INDEX(元データ!$E$2:$H$20000,0,MATCH($C$2,元データ!$E$1:$H$1,0)),元データ!$A$2:$A$20000,$A92,元データ!$D$2:$D$20000,$B93,元データ!$B$2:$B$20000,$C$3,元データ!$C$2:$C$20000,D$5)</f>
        <v>11</v>
      </c>
      <c r="E93" s="16">
        <f>SUMIFS(INDEX(元データ!$E$2:$H$20000,0,MATCH($C$2,元データ!$E$1:$H$1,0)),元データ!$A$2:$A$20000,$A92,元データ!$D$2:$D$20000,$B93,元データ!$B$2:$B$20000,$C$3,元データ!$C$2:$C$20000,E$5)</f>
        <v>11</v>
      </c>
      <c r="F93" s="16">
        <f>SUMIFS(INDEX(元データ!$E$2:$H$20000,0,MATCH($C$2,元データ!$E$1:$H$1,0)),元データ!$A$2:$A$20000,$A92,元データ!$D$2:$D$20000,$B93,元データ!$B$2:$B$20000,$C$3,元データ!$C$2:$C$20000,F$5)</f>
        <v>6</v>
      </c>
      <c r="G93" s="16">
        <f>SUMIFS(INDEX(元データ!$E$2:$H$20000,0,MATCH($C$2,元データ!$E$1:$H$1,0)),元データ!$A$2:$A$20000,$A92,元データ!$D$2:$D$20000,$B93,元データ!$B$2:$B$20000,$C$3,元データ!$C$2:$C$20000,G$5)</f>
        <v>6</v>
      </c>
      <c r="H93" s="16">
        <f>SUMIFS(INDEX(元データ!$E$2:$H$20000,0,MATCH($C$2,元データ!$E$1:$H$1,0)),元データ!$A$2:$A$20000,$A92,元データ!$D$2:$D$20000,$B93,元データ!$B$2:$B$20000,$C$3,元データ!$C$2:$C$20000,H$5)</f>
        <v>7</v>
      </c>
      <c r="I93" s="16">
        <f>SUMIFS(INDEX(元データ!$E$2:$H$20000,0,MATCH($C$2,元データ!$E$1:$H$1,0)),元データ!$A$2:$A$20000,$A92,元データ!$D$2:$D$20000,$B93,元データ!$B$2:$B$20000,$C$3,元データ!$C$2:$C$20000,I$5)</f>
        <v>6</v>
      </c>
      <c r="J93" s="16">
        <f>SUMIFS(INDEX(元データ!$E$2:$H$20000,0,MATCH($C$2,元データ!$E$1:$H$1,0)),元データ!$A$2:$A$20000,$A92,元データ!$D$2:$D$20000,$B93,元データ!$B$2:$B$20000,$C$3,元データ!$C$2:$C$20000,J$5)</f>
        <v>8</v>
      </c>
      <c r="K93" s="16">
        <f>SUMIFS(INDEX(元データ!$E$2:$H$20000,0,MATCH($C$2,元データ!$E$1:$H$1,0)),元データ!$A$2:$A$20000,$A92,元データ!$D$2:$D$20000,$B93,元データ!$B$2:$B$20000,$C$3,元データ!$C$2:$C$20000,K$5)</f>
        <v>13</v>
      </c>
      <c r="L93" s="16">
        <f>SUMIFS(INDEX(元データ!$E$2:$H$20000,0,MATCH($C$2,元データ!$E$1:$H$1,0)),元データ!$A$2:$A$20000,$A92,元データ!$D$2:$D$20000,$B93,元データ!$B$2:$B$20000,$C$3,元データ!$C$2:$C$20000,L$5)</f>
        <v>10</v>
      </c>
      <c r="M93" s="16">
        <f>SUMIFS(INDEX(元データ!$E$2:$H$20000,0,MATCH($C$2,元データ!$E$1:$H$1,0)),元データ!$A$2:$A$20000,$A92,元データ!$D$2:$D$20000,$B93,元データ!$B$2:$B$20000,$C$3,元データ!$C$2:$C$20000,M$5)</f>
        <v>7</v>
      </c>
      <c r="N93" s="16">
        <f>SUMIFS(INDEX(元データ!$E$2:$H$20000,0,MATCH($C$2,元データ!$E$1:$H$1,0)),元データ!$A$2:$A$20000,$A92,元データ!$D$2:$D$20000,$B93,元データ!$B$2:$B$20000,$C$3,元データ!$C$2:$C$20000,N$5)</f>
        <v>3</v>
      </c>
      <c r="O93" s="17">
        <f t="shared" si="4"/>
        <v>108</v>
      </c>
      <c r="P93" s="17">
        <f>SUMIFS(INDEX(元データ!$E$2:$H$20000,0,MATCH($C$2,元データ!$E$1:$H$1,0)),元データ!$A$2:$A$20000,$A92,元データ!$D$2:$D$20000,$B93,元データ!$B$2:$B$20000,$D$3)</f>
        <v>0</v>
      </c>
      <c r="Q93" s="25" t="str">
        <f t="shared" si="5"/>
        <v/>
      </c>
    </row>
    <row r="94" spans="1:17" x14ac:dyDescent="0.45">
      <c r="A94" s="14" t="str">
        <f>店舗マスタ!A46</f>
        <v>松岡店</v>
      </c>
      <c r="B94" s="15" t="s">
        <v>31</v>
      </c>
      <c r="C94" s="16">
        <f>SUMIFS(INDEX(元データ!$E$2:$H$20000,0,MATCH($C$2,元データ!$E$1:$H$1,0)),元データ!$A$2:$A$20000,$A94,元データ!$D$2:$D$20000,$B94,元データ!$B$2:$B$20000,$C$3,元データ!$C$2:$C$20000,C$5)</f>
        <v>21</v>
      </c>
      <c r="D94" s="16">
        <f>SUMIFS(INDEX(元データ!$E$2:$H$20000,0,MATCH($C$2,元データ!$E$1:$H$1,0)),元データ!$A$2:$A$20000,$A94,元データ!$D$2:$D$20000,$B94,元データ!$B$2:$B$20000,$C$3,元データ!$C$2:$C$20000,D$5)</f>
        <v>142</v>
      </c>
      <c r="E94" s="16">
        <f>SUMIFS(INDEX(元データ!$E$2:$H$20000,0,MATCH($C$2,元データ!$E$1:$H$1,0)),元データ!$A$2:$A$20000,$A94,元データ!$D$2:$D$20000,$B94,元データ!$B$2:$B$20000,$C$3,元データ!$C$2:$C$20000,E$5)</f>
        <v>119</v>
      </c>
      <c r="F94" s="16">
        <f>SUMIFS(INDEX(元データ!$E$2:$H$20000,0,MATCH($C$2,元データ!$E$1:$H$1,0)),元データ!$A$2:$A$20000,$A94,元データ!$D$2:$D$20000,$B94,元データ!$B$2:$B$20000,$C$3,元データ!$C$2:$C$20000,F$5)</f>
        <v>235</v>
      </c>
      <c r="G94" s="16">
        <f>SUMIFS(INDEX(元データ!$E$2:$H$20000,0,MATCH($C$2,元データ!$E$1:$H$1,0)),元データ!$A$2:$A$20000,$A94,元データ!$D$2:$D$20000,$B94,元データ!$B$2:$B$20000,$C$3,元データ!$C$2:$C$20000,G$5)</f>
        <v>83</v>
      </c>
      <c r="H94" s="16">
        <f>SUMIFS(INDEX(元データ!$E$2:$H$20000,0,MATCH($C$2,元データ!$E$1:$H$1,0)),元データ!$A$2:$A$20000,$A94,元データ!$D$2:$D$20000,$B94,元データ!$B$2:$B$20000,$C$3,元データ!$C$2:$C$20000,H$5)</f>
        <v>90</v>
      </c>
      <c r="I94" s="16">
        <f>SUMIFS(INDEX(元データ!$E$2:$H$20000,0,MATCH($C$2,元データ!$E$1:$H$1,0)),元データ!$A$2:$A$20000,$A94,元データ!$D$2:$D$20000,$B94,元データ!$B$2:$B$20000,$C$3,元データ!$C$2:$C$20000,I$5)</f>
        <v>75</v>
      </c>
      <c r="J94" s="16">
        <f>SUMIFS(INDEX(元データ!$E$2:$H$20000,0,MATCH($C$2,元データ!$E$1:$H$1,0)),元データ!$A$2:$A$20000,$A94,元データ!$D$2:$D$20000,$B94,元データ!$B$2:$B$20000,$C$3,元データ!$C$2:$C$20000,J$5)</f>
        <v>134</v>
      </c>
      <c r="K94" s="16">
        <f>SUMIFS(INDEX(元データ!$E$2:$H$20000,0,MATCH($C$2,元データ!$E$1:$H$1,0)),元データ!$A$2:$A$20000,$A94,元データ!$D$2:$D$20000,$B94,元データ!$B$2:$B$20000,$C$3,元データ!$C$2:$C$20000,K$5)</f>
        <v>117</v>
      </c>
      <c r="L94" s="16">
        <f>SUMIFS(INDEX(元データ!$E$2:$H$20000,0,MATCH($C$2,元データ!$E$1:$H$1,0)),元データ!$A$2:$A$20000,$A94,元データ!$D$2:$D$20000,$B94,元データ!$B$2:$B$20000,$C$3,元データ!$C$2:$C$20000,L$5)</f>
        <v>110</v>
      </c>
      <c r="M94" s="16">
        <f>SUMIFS(INDEX(元データ!$E$2:$H$20000,0,MATCH($C$2,元データ!$E$1:$H$1,0)),元データ!$A$2:$A$20000,$A94,元データ!$D$2:$D$20000,$B94,元データ!$B$2:$B$20000,$C$3,元データ!$C$2:$C$20000,M$5)</f>
        <v>57</v>
      </c>
      <c r="N94" s="16">
        <f>SUMIFS(INDEX(元データ!$E$2:$H$20000,0,MATCH($C$2,元データ!$E$1:$H$1,0)),元データ!$A$2:$A$20000,$A94,元データ!$D$2:$D$20000,$B94,元データ!$B$2:$B$20000,$C$3,元データ!$C$2:$C$20000,N$5)</f>
        <v>180</v>
      </c>
      <c r="O94" s="17">
        <f t="shared" si="4"/>
        <v>1363</v>
      </c>
      <c r="P94" s="17">
        <f>SUMIFS(INDEX(元データ!$E$2:$H$20000,0,MATCH($C$2,元データ!$E$1:$H$1,0)),元データ!$A$2:$A$20000,$A94,元データ!$D$2:$D$20000,$B94,元データ!$B$2:$B$20000,$D$3)</f>
        <v>0</v>
      </c>
      <c r="Q94" s="25" t="str">
        <f t="shared" si="5"/>
        <v/>
      </c>
    </row>
    <row r="95" spans="1:17" x14ac:dyDescent="0.45">
      <c r="A95" s="14"/>
      <c r="B95" s="15" t="s">
        <v>32</v>
      </c>
      <c r="C95" s="16">
        <f>SUMIFS(INDEX(元データ!$E$2:$H$20000,0,MATCH($C$2,元データ!$E$1:$H$1,0)),元データ!$A$2:$A$20000,$A94,元データ!$D$2:$D$20000,$B95,元データ!$B$2:$B$20000,$C$3,元データ!$C$2:$C$20000,C$5)</f>
        <v>13</v>
      </c>
      <c r="D95" s="16">
        <f>SUMIFS(INDEX(元データ!$E$2:$H$20000,0,MATCH($C$2,元データ!$E$1:$H$1,0)),元データ!$A$2:$A$20000,$A94,元データ!$D$2:$D$20000,$B95,元データ!$B$2:$B$20000,$C$3,元データ!$C$2:$C$20000,D$5)</f>
        <v>8</v>
      </c>
      <c r="E95" s="16">
        <f>SUMIFS(INDEX(元データ!$E$2:$H$20000,0,MATCH($C$2,元データ!$E$1:$H$1,0)),元データ!$A$2:$A$20000,$A94,元データ!$D$2:$D$20000,$B95,元データ!$B$2:$B$20000,$C$3,元データ!$C$2:$C$20000,E$5)</f>
        <v>8</v>
      </c>
      <c r="F95" s="16">
        <f>SUMIFS(INDEX(元データ!$E$2:$H$20000,0,MATCH($C$2,元データ!$E$1:$H$1,0)),元データ!$A$2:$A$20000,$A94,元データ!$D$2:$D$20000,$B95,元データ!$B$2:$B$20000,$C$3,元データ!$C$2:$C$20000,F$5)</f>
        <v>5</v>
      </c>
      <c r="G95" s="16">
        <f>SUMIFS(INDEX(元データ!$E$2:$H$20000,0,MATCH($C$2,元データ!$E$1:$H$1,0)),元データ!$A$2:$A$20000,$A94,元データ!$D$2:$D$20000,$B95,元データ!$B$2:$B$20000,$C$3,元データ!$C$2:$C$20000,G$5)</f>
        <v>5</v>
      </c>
      <c r="H95" s="16">
        <f>SUMIFS(INDEX(元データ!$E$2:$H$20000,0,MATCH($C$2,元データ!$E$1:$H$1,0)),元データ!$A$2:$A$20000,$A94,元データ!$D$2:$D$20000,$B95,元データ!$B$2:$B$20000,$C$3,元データ!$C$2:$C$20000,H$5)</f>
        <v>3</v>
      </c>
      <c r="I95" s="16">
        <f>SUMIFS(INDEX(元データ!$E$2:$H$20000,0,MATCH($C$2,元データ!$E$1:$H$1,0)),元データ!$A$2:$A$20000,$A94,元データ!$D$2:$D$20000,$B95,元データ!$B$2:$B$20000,$C$3,元データ!$C$2:$C$20000,I$5)</f>
        <v>7</v>
      </c>
      <c r="J95" s="16">
        <f>SUMIFS(INDEX(元データ!$E$2:$H$20000,0,MATCH($C$2,元データ!$E$1:$H$1,0)),元データ!$A$2:$A$20000,$A94,元データ!$D$2:$D$20000,$B95,元データ!$B$2:$B$20000,$C$3,元データ!$C$2:$C$20000,J$5)</f>
        <v>6</v>
      </c>
      <c r="K95" s="16">
        <f>SUMIFS(INDEX(元データ!$E$2:$H$20000,0,MATCH($C$2,元データ!$E$1:$H$1,0)),元データ!$A$2:$A$20000,$A94,元データ!$D$2:$D$20000,$B95,元データ!$B$2:$B$20000,$C$3,元データ!$C$2:$C$20000,K$5)</f>
        <v>12</v>
      </c>
      <c r="L95" s="16">
        <f>SUMIFS(INDEX(元データ!$E$2:$H$20000,0,MATCH($C$2,元データ!$E$1:$H$1,0)),元データ!$A$2:$A$20000,$A94,元データ!$D$2:$D$20000,$B95,元データ!$B$2:$B$20000,$C$3,元データ!$C$2:$C$20000,L$5)</f>
        <v>10</v>
      </c>
      <c r="M95" s="16">
        <f>SUMIFS(INDEX(元データ!$E$2:$H$20000,0,MATCH($C$2,元データ!$E$1:$H$1,0)),元データ!$A$2:$A$20000,$A94,元データ!$D$2:$D$20000,$B95,元データ!$B$2:$B$20000,$C$3,元データ!$C$2:$C$20000,M$5)</f>
        <v>4</v>
      </c>
      <c r="N95" s="16">
        <f>SUMIFS(INDEX(元データ!$E$2:$H$20000,0,MATCH($C$2,元データ!$E$1:$H$1,0)),元データ!$A$2:$A$20000,$A94,元データ!$D$2:$D$20000,$B95,元データ!$B$2:$B$20000,$C$3,元データ!$C$2:$C$20000,N$5)</f>
        <v>7</v>
      </c>
      <c r="O95" s="17">
        <f t="shared" si="4"/>
        <v>88</v>
      </c>
      <c r="P95" s="17">
        <f>SUMIFS(INDEX(元データ!$E$2:$H$20000,0,MATCH($C$2,元データ!$E$1:$H$1,0)),元データ!$A$2:$A$20000,$A94,元データ!$D$2:$D$20000,$B95,元データ!$B$2:$B$20000,$D$3)</f>
        <v>0</v>
      </c>
      <c r="Q95" s="25" t="str">
        <f t="shared" si="5"/>
        <v/>
      </c>
    </row>
    <row r="96" spans="1:17" x14ac:dyDescent="0.45">
      <c r="A96" s="14" t="str">
        <f>店舗マスタ!A47</f>
        <v>MV江尾店</v>
      </c>
      <c r="B96" s="15" t="s">
        <v>31</v>
      </c>
      <c r="C96" s="16">
        <f>SUMIFS(INDEX(元データ!$E$2:$H$20000,0,MATCH($C$2,元データ!$E$1:$H$1,0)),元データ!$A$2:$A$20000,$A96,元データ!$D$2:$D$20000,$B96,元データ!$B$2:$B$20000,$C$3,元データ!$C$2:$C$20000,C$5)</f>
        <v>23</v>
      </c>
      <c r="D96" s="16">
        <f>SUMIFS(INDEX(元データ!$E$2:$H$20000,0,MATCH($C$2,元データ!$E$1:$H$1,0)),元データ!$A$2:$A$20000,$A96,元データ!$D$2:$D$20000,$B96,元データ!$B$2:$B$20000,$C$3,元データ!$C$2:$C$20000,D$5)</f>
        <v>106</v>
      </c>
      <c r="E96" s="16">
        <f>SUMIFS(INDEX(元データ!$E$2:$H$20000,0,MATCH($C$2,元データ!$E$1:$H$1,0)),元データ!$A$2:$A$20000,$A96,元データ!$D$2:$D$20000,$B96,元データ!$B$2:$B$20000,$C$3,元データ!$C$2:$C$20000,E$5)</f>
        <v>91</v>
      </c>
      <c r="F96" s="16">
        <f>SUMIFS(INDEX(元データ!$E$2:$H$20000,0,MATCH($C$2,元データ!$E$1:$H$1,0)),元データ!$A$2:$A$20000,$A96,元データ!$D$2:$D$20000,$B96,元データ!$B$2:$B$20000,$C$3,元データ!$C$2:$C$20000,F$5)</f>
        <v>228</v>
      </c>
      <c r="G96" s="16">
        <f>SUMIFS(INDEX(元データ!$E$2:$H$20000,0,MATCH($C$2,元データ!$E$1:$H$1,0)),元データ!$A$2:$A$20000,$A96,元データ!$D$2:$D$20000,$B96,元データ!$B$2:$B$20000,$C$3,元データ!$C$2:$C$20000,G$5)</f>
        <v>76</v>
      </c>
      <c r="H96" s="16">
        <f>SUMIFS(INDEX(元データ!$E$2:$H$20000,0,MATCH($C$2,元データ!$E$1:$H$1,0)),元データ!$A$2:$A$20000,$A96,元データ!$D$2:$D$20000,$B96,元データ!$B$2:$B$20000,$C$3,元データ!$C$2:$C$20000,H$5)</f>
        <v>0</v>
      </c>
      <c r="I96" s="16">
        <f>SUMIFS(INDEX(元データ!$E$2:$H$20000,0,MATCH($C$2,元データ!$E$1:$H$1,0)),元データ!$A$2:$A$20000,$A96,元データ!$D$2:$D$20000,$B96,元データ!$B$2:$B$20000,$C$3,元データ!$C$2:$C$20000,I$5)</f>
        <v>0</v>
      </c>
      <c r="J96" s="16">
        <f>SUMIFS(INDEX(元データ!$E$2:$H$20000,0,MATCH($C$2,元データ!$E$1:$H$1,0)),元データ!$A$2:$A$20000,$A96,元データ!$D$2:$D$20000,$B96,元データ!$B$2:$B$20000,$C$3,元データ!$C$2:$C$20000,J$5)</f>
        <v>77</v>
      </c>
      <c r="K96" s="16">
        <f>SUMIFS(INDEX(元データ!$E$2:$H$20000,0,MATCH($C$2,元データ!$E$1:$H$1,0)),元データ!$A$2:$A$20000,$A96,元データ!$D$2:$D$20000,$B96,元データ!$B$2:$B$20000,$C$3,元データ!$C$2:$C$20000,K$5)</f>
        <v>53</v>
      </c>
      <c r="L96" s="16">
        <f>SUMIFS(INDEX(元データ!$E$2:$H$20000,0,MATCH($C$2,元データ!$E$1:$H$1,0)),元データ!$A$2:$A$20000,$A96,元データ!$D$2:$D$20000,$B96,元データ!$B$2:$B$20000,$C$3,元データ!$C$2:$C$20000,L$5)</f>
        <v>76</v>
      </c>
      <c r="M96" s="16">
        <f>SUMIFS(INDEX(元データ!$E$2:$H$20000,0,MATCH($C$2,元データ!$E$1:$H$1,0)),元データ!$A$2:$A$20000,$A96,元データ!$D$2:$D$20000,$B96,元データ!$B$2:$B$20000,$C$3,元データ!$C$2:$C$20000,M$5)</f>
        <v>51</v>
      </c>
      <c r="N96" s="16">
        <f>SUMIFS(INDEX(元データ!$E$2:$H$20000,0,MATCH($C$2,元データ!$E$1:$H$1,0)),元データ!$A$2:$A$20000,$A96,元データ!$D$2:$D$20000,$B96,元データ!$B$2:$B$20000,$C$3,元データ!$C$2:$C$20000,N$5)</f>
        <v>153</v>
      </c>
      <c r="O96" s="17">
        <f t="shared" si="4"/>
        <v>934</v>
      </c>
      <c r="P96" s="17">
        <f>SUMIFS(INDEX(元データ!$E$2:$H$20000,0,MATCH($C$2,元データ!$E$1:$H$1,0)),元データ!$A$2:$A$20000,$A96,元データ!$D$2:$D$20000,$B96,元データ!$B$2:$B$20000,$D$3)</f>
        <v>0</v>
      </c>
      <c r="Q96" s="25" t="str">
        <f t="shared" si="5"/>
        <v/>
      </c>
    </row>
    <row r="97" spans="1:17" x14ac:dyDescent="0.45">
      <c r="A97" s="14"/>
      <c r="B97" s="15" t="s">
        <v>32</v>
      </c>
      <c r="C97" s="16">
        <f>SUMIFS(INDEX(元データ!$E$2:$H$20000,0,MATCH($C$2,元データ!$E$1:$H$1,0)),元データ!$A$2:$A$20000,$A96,元データ!$D$2:$D$20000,$B97,元データ!$B$2:$B$20000,$C$3,元データ!$C$2:$C$20000,C$5)</f>
        <v>10</v>
      </c>
      <c r="D97" s="16">
        <f>SUMIFS(INDEX(元データ!$E$2:$H$20000,0,MATCH($C$2,元データ!$E$1:$H$1,0)),元データ!$A$2:$A$20000,$A96,元データ!$D$2:$D$20000,$B97,元データ!$B$2:$B$20000,$C$3,元データ!$C$2:$C$20000,D$5)</f>
        <v>10</v>
      </c>
      <c r="E97" s="16">
        <f>SUMIFS(INDEX(元データ!$E$2:$H$20000,0,MATCH($C$2,元データ!$E$1:$H$1,0)),元データ!$A$2:$A$20000,$A96,元データ!$D$2:$D$20000,$B97,元データ!$B$2:$B$20000,$C$3,元データ!$C$2:$C$20000,E$5)</f>
        <v>10</v>
      </c>
      <c r="F97" s="16">
        <f>SUMIFS(INDEX(元データ!$E$2:$H$20000,0,MATCH($C$2,元データ!$E$1:$H$1,0)),元データ!$A$2:$A$20000,$A96,元データ!$D$2:$D$20000,$B97,元データ!$B$2:$B$20000,$C$3,元データ!$C$2:$C$20000,F$5)</f>
        <v>4</v>
      </c>
      <c r="G97" s="16">
        <f>SUMIFS(INDEX(元データ!$E$2:$H$20000,0,MATCH($C$2,元データ!$E$1:$H$1,0)),元データ!$A$2:$A$20000,$A96,元データ!$D$2:$D$20000,$B97,元データ!$B$2:$B$20000,$C$3,元データ!$C$2:$C$20000,G$5)</f>
        <v>3</v>
      </c>
      <c r="H97" s="16">
        <f>SUMIFS(INDEX(元データ!$E$2:$H$20000,0,MATCH($C$2,元データ!$E$1:$H$1,0)),元データ!$A$2:$A$20000,$A96,元データ!$D$2:$D$20000,$B97,元データ!$B$2:$B$20000,$C$3,元データ!$C$2:$C$20000,H$5)</f>
        <v>0</v>
      </c>
      <c r="I97" s="16">
        <f>SUMIFS(INDEX(元データ!$E$2:$H$20000,0,MATCH($C$2,元データ!$E$1:$H$1,0)),元データ!$A$2:$A$20000,$A96,元データ!$D$2:$D$20000,$B97,元データ!$B$2:$B$20000,$C$3,元データ!$C$2:$C$20000,I$5)</f>
        <v>2</v>
      </c>
      <c r="J97" s="16">
        <f>SUMIFS(INDEX(元データ!$E$2:$H$20000,0,MATCH($C$2,元データ!$E$1:$H$1,0)),元データ!$A$2:$A$20000,$A96,元データ!$D$2:$D$20000,$B97,元データ!$B$2:$B$20000,$C$3,元データ!$C$2:$C$20000,J$5)</f>
        <v>9</v>
      </c>
      <c r="K97" s="16">
        <f>SUMIFS(INDEX(元データ!$E$2:$H$20000,0,MATCH($C$2,元データ!$E$1:$H$1,0)),元データ!$A$2:$A$20000,$A96,元データ!$D$2:$D$20000,$B97,元データ!$B$2:$B$20000,$C$3,元データ!$C$2:$C$20000,K$5)</f>
        <v>7</v>
      </c>
      <c r="L97" s="16">
        <f>SUMIFS(INDEX(元データ!$E$2:$H$20000,0,MATCH($C$2,元データ!$E$1:$H$1,0)),元データ!$A$2:$A$20000,$A96,元データ!$D$2:$D$20000,$B97,元データ!$B$2:$B$20000,$C$3,元データ!$C$2:$C$20000,L$5)</f>
        <v>6</v>
      </c>
      <c r="M97" s="16">
        <f>SUMIFS(INDEX(元データ!$E$2:$H$20000,0,MATCH($C$2,元データ!$E$1:$H$1,0)),元データ!$A$2:$A$20000,$A96,元データ!$D$2:$D$20000,$B97,元データ!$B$2:$B$20000,$C$3,元データ!$C$2:$C$20000,M$5)</f>
        <v>7</v>
      </c>
      <c r="N97" s="16">
        <f>SUMIFS(INDEX(元データ!$E$2:$H$20000,0,MATCH($C$2,元データ!$E$1:$H$1,0)),元データ!$A$2:$A$20000,$A96,元データ!$D$2:$D$20000,$B97,元データ!$B$2:$B$20000,$C$3,元データ!$C$2:$C$20000,N$5)</f>
        <v>4</v>
      </c>
      <c r="O97" s="17">
        <f t="shared" si="4"/>
        <v>72</v>
      </c>
      <c r="P97" s="17">
        <f>SUMIFS(INDEX(元データ!$E$2:$H$20000,0,MATCH($C$2,元データ!$E$1:$H$1,0)),元データ!$A$2:$A$20000,$A96,元データ!$D$2:$D$20000,$B97,元データ!$B$2:$B$20000,$D$3)</f>
        <v>0</v>
      </c>
      <c r="Q97" s="25" t="str">
        <f t="shared" si="5"/>
        <v/>
      </c>
    </row>
    <row r="98" spans="1:17" x14ac:dyDescent="0.45">
      <c r="A98" s="14" t="str">
        <f>店舗マスタ!A48</f>
        <v>蒲原店</v>
      </c>
      <c r="B98" s="15" t="s">
        <v>31</v>
      </c>
      <c r="C98" s="16">
        <f>SUMIFS(INDEX(元データ!$E$2:$H$20000,0,MATCH($C$2,元データ!$E$1:$H$1,0)),元データ!$A$2:$A$20000,$A98,元データ!$D$2:$D$20000,$B98,元データ!$B$2:$B$20000,$C$3,元データ!$C$2:$C$20000,C$5)</f>
        <v>18</v>
      </c>
      <c r="D98" s="16">
        <f>SUMIFS(INDEX(元データ!$E$2:$H$20000,0,MATCH($C$2,元データ!$E$1:$H$1,0)),元データ!$A$2:$A$20000,$A98,元データ!$D$2:$D$20000,$B98,元データ!$B$2:$B$20000,$C$3,元データ!$C$2:$C$20000,D$5)</f>
        <v>105</v>
      </c>
      <c r="E98" s="16">
        <f>SUMIFS(INDEX(元データ!$E$2:$H$20000,0,MATCH($C$2,元データ!$E$1:$H$1,0)),元データ!$A$2:$A$20000,$A98,元データ!$D$2:$D$20000,$B98,元データ!$B$2:$B$20000,$C$3,元データ!$C$2:$C$20000,E$5)</f>
        <v>90</v>
      </c>
      <c r="F98" s="16">
        <f>SUMIFS(INDEX(元データ!$E$2:$H$20000,0,MATCH($C$2,元データ!$E$1:$H$1,0)),元データ!$A$2:$A$20000,$A98,元データ!$D$2:$D$20000,$B98,元データ!$B$2:$B$20000,$C$3,元データ!$C$2:$C$20000,F$5)</f>
        <v>206</v>
      </c>
      <c r="G98" s="16">
        <f>SUMIFS(INDEX(元データ!$E$2:$H$20000,0,MATCH($C$2,元データ!$E$1:$H$1,0)),元データ!$A$2:$A$20000,$A98,元データ!$D$2:$D$20000,$B98,元データ!$B$2:$B$20000,$C$3,元データ!$C$2:$C$20000,G$5)</f>
        <v>76</v>
      </c>
      <c r="H98" s="16">
        <f>SUMIFS(INDEX(元データ!$E$2:$H$20000,0,MATCH($C$2,元データ!$E$1:$H$1,0)),元データ!$A$2:$A$20000,$A98,元データ!$D$2:$D$20000,$B98,元データ!$B$2:$B$20000,$C$3,元データ!$C$2:$C$20000,H$5)</f>
        <v>59</v>
      </c>
      <c r="I98" s="16">
        <f>SUMIFS(INDEX(元データ!$E$2:$H$20000,0,MATCH($C$2,元データ!$E$1:$H$1,0)),元データ!$A$2:$A$20000,$A98,元データ!$D$2:$D$20000,$B98,元データ!$B$2:$B$20000,$C$3,元データ!$C$2:$C$20000,I$5)</f>
        <v>51</v>
      </c>
      <c r="J98" s="16">
        <f>SUMIFS(INDEX(元データ!$E$2:$H$20000,0,MATCH($C$2,元データ!$E$1:$H$1,0)),元データ!$A$2:$A$20000,$A98,元データ!$D$2:$D$20000,$B98,元データ!$B$2:$B$20000,$C$3,元データ!$C$2:$C$20000,J$5)</f>
        <v>72</v>
      </c>
      <c r="K98" s="16">
        <f>SUMIFS(INDEX(元データ!$E$2:$H$20000,0,MATCH($C$2,元データ!$E$1:$H$1,0)),元データ!$A$2:$A$20000,$A98,元データ!$D$2:$D$20000,$B98,元データ!$B$2:$B$20000,$C$3,元データ!$C$2:$C$20000,K$5)</f>
        <v>69</v>
      </c>
      <c r="L98" s="16">
        <f>SUMIFS(INDEX(元データ!$E$2:$H$20000,0,MATCH($C$2,元データ!$E$1:$H$1,0)),元データ!$A$2:$A$20000,$A98,元データ!$D$2:$D$20000,$B98,元データ!$B$2:$B$20000,$C$3,元データ!$C$2:$C$20000,L$5)</f>
        <v>81</v>
      </c>
      <c r="M98" s="16">
        <f>SUMIFS(INDEX(元データ!$E$2:$H$20000,0,MATCH($C$2,元データ!$E$1:$H$1,0)),元データ!$A$2:$A$20000,$A98,元データ!$D$2:$D$20000,$B98,元データ!$B$2:$B$20000,$C$3,元データ!$C$2:$C$20000,M$5)</f>
        <v>34</v>
      </c>
      <c r="N98" s="16">
        <f>SUMIFS(INDEX(元データ!$E$2:$H$20000,0,MATCH($C$2,元データ!$E$1:$H$1,0)),元データ!$A$2:$A$20000,$A98,元データ!$D$2:$D$20000,$B98,元データ!$B$2:$B$20000,$C$3,元データ!$C$2:$C$20000,N$5)</f>
        <v>143</v>
      </c>
      <c r="O98" s="17">
        <f t="shared" si="4"/>
        <v>1004</v>
      </c>
      <c r="P98" s="17">
        <f>SUMIFS(INDEX(元データ!$E$2:$H$20000,0,MATCH($C$2,元データ!$E$1:$H$1,0)),元データ!$A$2:$A$20000,$A98,元データ!$D$2:$D$20000,$B98,元データ!$B$2:$B$20000,$D$3)</f>
        <v>0</v>
      </c>
      <c r="Q98" s="25" t="str">
        <f t="shared" si="5"/>
        <v/>
      </c>
    </row>
    <row r="99" spans="1:17" x14ac:dyDescent="0.45">
      <c r="A99" s="14"/>
      <c r="B99" s="15" t="s">
        <v>32</v>
      </c>
      <c r="C99" s="16">
        <f>SUMIFS(INDEX(元データ!$E$2:$H$20000,0,MATCH($C$2,元データ!$E$1:$H$1,0)),元データ!$A$2:$A$20000,$A98,元データ!$D$2:$D$20000,$B99,元データ!$B$2:$B$20000,$C$3,元データ!$C$2:$C$20000,C$5)</f>
        <v>4</v>
      </c>
      <c r="D99" s="16">
        <f>SUMIFS(INDEX(元データ!$E$2:$H$20000,0,MATCH($C$2,元データ!$E$1:$H$1,0)),元データ!$A$2:$A$20000,$A98,元データ!$D$2:$D$20000,$B99,元データ!$B$2:$B$20000,$C$3,元データ!$C$2:$C$20000,D$5)</f>
        <v>5</v>
      </c>
      <c r="E99" s="16">
        <f>SUMIFS(INDEX(元データ!$E$2:$H$20000,0,MATCH($C$2,元データ!$E$1:$H$1,0)),元データ!$A$2:$A$20000,$A98,元データ!$D$2:$D$20000,$B99,元データ!$B$2:$B$20000,$C$3,元データ!$C$2:$C$20000,E$5)</f>
        <v>10</v>
      </c>
      <c r="F99" s="16">
        <f>SUMIFS(INDEX(元データ!$E$2:$H$20000,0,MATCH($C$2,元データ!$E$1:$H$1,0)),元データ!$A$2:$A$20000,$A98,元データ!$D$2:$D$20000,$B99,元データ!$B$2:$B$20000,$C$3,元データ!$C$2:$C$20000,F$5)</f>
        <v>12</v>
      </c>
      <c r="G99" s="16">
        <f>SUMIFS(INDEX(元データ!$E$2:$H$20000,0,MATCH($C$2,元データ!$E$1:$H$1,0)),元データ!$A$2:$A$20000,$A98,元データ!$D$2:$D$20000,$B99,元データ!$B$2:$B$20000,$C$3,元データ!$C$2:$C$20000,G$5)</f>
        <v>5</v>
      </c>
      <c r="H99" s="16">
        <f>SUMIFS(INDEX(元データ!$E$2:$H$20000,0,MATCH($C$2,元データ!$E$1:$H$1,0)),元データ!$A$2:$A$20000,$A98,元データ!$D$2:$D$20000,$B99,元データ!$B$2:$B$20000,$C$3,元データ!$C$2:$C$20000,H$5)</f>
        <v>6</v>
      </c>
      <c r="I99" s="16">
        <f>SUMIFS(INDEX(元データ!$E$2:$H$20000,0,MATCH($C$2,元データ!$E$1:$H$1,0)),元データ!$A$2:$A$20000,$A98,元データ!$D$2:$D$20000,$B99,元データ!$B$2:$B$20000,$C$3,元データ!$C$2:$C$20000,I$5)</f>
        <v>5</v>
      </c>
      <c r="J99" s="16">
        <f>SUMIFS(INDEX(元データ!$E$2:$H$20000,0,MATCH($C$2,元データ!$E$1:$H$1,0)),元データ!$A$2:$A$20000,$A98,元データ!$D$2:$D$20000,$B99,元データ!$B$2:$B$20000,$C$3,元データ!$C$2:$C$20000,J$5)</f>
        <v>5</v>
      </c>
      <c r="K99" s="16">
        <f>SUMIFS(INDEX(元データ!$E$2:$H$20000,0,MATCH($C$2,元データ!$E$1:$H$1,0)),元データ!$A$2:$A$20000,$A98,元データ!$D$2:$D$20000,$B99,元データ!$B$2:$B$20000,$C$3,元データ!$C$2:$C$20000,K$5)</f>
        <v>8</v>
      </c>
      <c r="L99" s="16">
        <f>SUMIFS(INDEX(元データ!$E$2:$H$20000,0,MATCH($C$2,元データ!$E$1:$H$1,0)),元データ!$A$2:$A$20000,$A98,元データ!$D$2:$D$20000,$B99,元データ!$B$2:$B$20000,$C$3,元データ!$C$2:$C$20000,L$5)</f>
        <v>8</v>
      </c>
      <c r="M99" s="16">
        <f>SUMIFS(INDEX(元データ!$E$2:$H$20000,0,MATCH($C$2,元データ!$E$1:$H$1,0)),元データ!$A$2:$A$20000,$A98,元データ!$D$2:$D$20000,$B99,元データ!$B$2:$B$20000,$C$3,元データ!$C$2:$C$20000,M$5)</f>
        <v>1</v>
      </c>
      <c r="N99" s="16">
        <f>SUMIFS(INDEX(元データ!$E$2:$H$20000,0,MATCH($C$2,元データ!$E$1:$H$1,0)),元データ!$A$2:$A$20000,$A98,元データ!$D$2:$D$20000,$B99,元データ!$B$2:$B$20000,$C$3,元データ!$C$2:$C$20000,N$5)</f>
        <v>4</v>
      </c>
      <c r="O99" s="17">
        <f t="shared" si="4"/>
        <v>73</v>
      </c>
      <c r="P99" s="17">
        <f>SUMIFS(INDEX(元データ!$E$2:$H$20000,0,MATCH($C$2,元データ!$E$1:$H$1,0)),元データ!$A$2:$A$20000,$A98,元データ!$D$2:$D$20000,$B99,元データ!$B$2:$B$20000,$D$3)</f>
        <v>0</v>
      </c>
      <c r="Q99" s="25" t="str">
        <f t="shared" si="5"/>
        <v/>
      </c>
    </row>
    <row r="100" spans="1:17" x14ac:dyDescent="0.45">
      <c r="A100" s="14" t="str">
        <f>店舗マスタ!A49</f>
        <v>松野店</v>
      </c>
      <c r="B100" s="15" t="s">
        <v>31</v>
      </c>
      <c r="C100" s="16">
        <f>SUMIFS(INDEX(元データ!$E$2:$H$20000,0,MATCH($C$2,元データ!$E$1:$H$1,0)),元データ!$A$2:$A$20000,$A100,元データ!$D$2:$D$20000,$B100,元データ!$B$2:$B$20000,$C$3,元データ!$C$2:$C$20000,C$5)</f>
        <v>16</v>
      </c>
      <c r="D100" s="16">
        <f>SUMIFS(INDEX(元データ!$E$2:$H$20000,0,MATCH($C$2,元データ!$E$1:$H$1,0)),元データ!$A$2:$A$20000,$A100,元データ!$D$2:$D$20000,$B100,元データ!$B$2:$B$20000,$C$3,元データ!$C$2:$C$20000,D$5)</f>
        <v>94</v>
      </c>
      <c r="E100" s="16">
        <f>SUMIFS(INDEX(元データ!$E$2:$H$20000,0,MATCH($C$2,元データ!$E$1:$H$1,0)),元データ!$A$2:$A$20000,$A100,元データ!$D$2:$D$20000,$B100,元データ!$B$2:$B$20000,$C$3,元データ!$C$2:$C$20000,E$5)</f>
        <v>63</v>
      </c>
      <c r="F100" s="16">
        <f>SUMIFS(INDEX(元データ!$E$2:$H$20000,0,MATCH($C$2,元データ!$E$1:$H$1,0)),元データ!$A$2:$A$20000,$A100,元データ!$D$2:$D$20000,$B100,元データ!$B$2:$B$20000,$C$3,元データ!$C$2:$C$20000,F$5)</f>
        <v>230</v>
      </c>
      <c r="G100" s="16">
        <f>SUMIFS(INDEX(元データ!$E$2:$H$20000,0,MATCH($C$2,元データ!$E$1:$H$1,0)),元データ!$A$2:$A$20000,$A100,元データ!$D$2:$D$20000,$B100,元データ!$B$2:$B$20000,$C$3,元データ!$C$2:$C$20000,G$5)</f>
        <v>98</v>
      </c>
      <c r="H100" s="16">
        <f>SUMIFS(INDEX(元データ!$E$2:$H$20000,0,MATCH($C$2,元データ!$E$1:$H$1,0)),元データ!$A$2:$A$20000,$A100,元データ!$D$2:$D$20000,$B100,元データ!$B$2:$B$20000,$C$3,元データ!$C$2:$C$20000,H$5)</f>
        <v>54</v>
      </c>
      <c r="I100" s="16">
        <f>SUMIFS(INDEX(元データ!$E$2:$H$20000,0,MATCH($C$2,元データ!$E$1:$H$1,0)),元データ!$A$2:$A$20000,$A100,元データ!$D$2:$D$20000,$B100,元データ!$B$2:$B$20000,$C$3,元データ!$C$2:$C$20000,I$5)</f>
        <v>32</v>
      </c>
      <c r="J100" s="16">
        <f>SUMIFS(INDEX(元データ!$E$2:$H$20000,0,MATCH($C$2,元データ!$E$1:$H$1,0)),元データ!$A$2:$A$20000,$A100,元データ!$D$2:$D$20000,$B100,元データ!$B$2:$B$20000,$C$3,元データ!$C$2:$C$20000,J$5)</f>
        <v>143</v>
      </c>
      <c r="K100" s="16">
        <f>SUMIFS(INDEX(元データ!$E$2:$H$20000,0,MATCH($C$2,元データ!$E$1:$H$1,0)),元データ!$A$2:$A$20000,$A100,元データ!$D$2:$D$20000,$B100,元データ!$B$2:$B$20000,$C$3,元データ!$C$2:$C$20000,K$5)</f>
        <v>95</v>
      </c>
      <c r="L100" s="16">
        <f>SUMIFS(INDEX(元データ!$E$2:$H$20000,0,MATCH($C$2,元データ!$E$1:$H$1,0)),元データ!$A$2:$A$20000,$A100,元データ!$D$2:$D$20000,$B100,元データ!$B$2:$B$20000,$C$3,元データ!$C$2:$C$20000,L$5)</f>
        <v>44</v>
      </c>
      <c r="M100" s="16">
        <f>SUMIFS(INDEX(元データ!$E$2:$H$20000,0,MATCH($C$2,元データ!$E$1:$H$1,0)),元データ!$A$2:$A$20000,$A100,元データ!$D$2:$D$20000,$B100,元データ!$B$2:$B$20000,$C$3,元データ!$C$2:$C$20000,M$5)</f>
        <v>29</v>
      </c>
      <c r="N100" s="16">
        <f>SUMIFS(INDEX(元データ!$E$2:$H$20000,0,MATCH($C$2,元データ!$E$1:$H$1,0)),元データ!$A$2:$A$20000,$A100,元データ!$D$2:$D$20000,$B100,元データ!$B$2:$B$20000,$C$3,元データ!$C$2:$C$20000,N$5)</f>
        <v>108</v>
      </c>
      <c r="O100" s="17">
        <f t="shared" si="4"/>
        <v>1006</v>
      </c>
      <c r="P100" s="17">
        <f>SUMIFS(INDEX(元データ!$E$2:$H$20000,0,MATCH($C$2,元データ!$E$1:$H$1,0)),元データ!$A$2:$A$20000,$A100,元データ!$D$2:$D$20000,$B100,元データ!$B$2:$B$20000,$D$3)</f>
        <v>0</v>
      </c>
      <c r="Q100" s="25" t="str">
        <f t="shared" si="5"/>
        <v/>
      </c>
    </row>
    <row r="101" spans="1:17" x14ac:dyDescent="0.45">
      <c r="A101" s="14"/>
      <c r="B101" s="15" t="s">
        <v>32</v>
      </c>
      <c r="C101" s="16">
        <f>SUMIFS(INDEX(元データ!$E$2:$H$20000,0,MATCH($C$2,元データ!$E$1:$H$1,0)),元データ!$A$2:$A$20000,$A100,元データ!$D$2:$D$20000,$B101,元データ!$B$2:$B$20000,$C$3,元データ!$C$2:$C$20000,C$5)</f>
        <v>2</v>
      </c>
      <c r="D101" s="16">
        <f>SUMIFS(INDEX(元データ!$E$2:$H$20000,0,MATCH($C$2,元データ!$E$1:$H$1,0)),元データ!$A$2:$A$20000,$A100,元データ!$D$2:$D$20000,$B101,元データ!$B$2:$B$20000,$C$3,元データ!$C$2:$C$20000,D$5)</f>
        <v>3</v>
      </c>
      <c r="E101" s="16">
        <f>SUMIFS(INDEX(元データ!$E$2:$H$20000,0,MATCH($C$2,元データ!$E$1:$H$1,0)),元データ!$A$2:$A$20000,$A100,元データ!$D$2:$D$20000,$B101,元データ!$B$2:$B$20000,$C$3,元データ!$C$2:$C$20000,E$5)</f>
        <v>5</v>
      </c>
      <c r="F101" s="16">
        <f>SUMIFS(INDEX(元データ!$E$2:$H$20000,0,MATCH($C$2,元データ!$E$1:$H$1,0)),元データ!$A$2:$A$20000,$A100,元データ!$D$2:$D$20000,$B101,元データ!$B$2:$B$20000,$C$3,元データ!$C$2:$C$20000,F$5)</f>
        <v>2</v>
      </c>
      <c r="G101" s="16">
        <f>SUMIFS(INDEX(元データ!$E$2:$H$20000,0,MATCH($C$2,元データ!$E$1:$H$1,0)),元データ!$A$2:$A$20000,$A100,元データ!$D$2:$D$20000,$B101,元データ!$B$2:$B$20000,$C$3,元データ!$C$2:$C$20000,G$5)</f>
        <v>1</v>
      </c>
      <c r="H101" s="16">
        <f>SUMIFS(INDEX(元データ!$E$2:$H$20000,0,MATCH($C$2,元データ!$E$1:$H$1,0)),元データ!$A$2:$A$20000,$A100,元データ!$D$2:$D$20000,$B101,元データ!$B$2:$B$20000,$C$3,元データ!$C$2:$C$20000,H$5)</f>
        <v>2</v>
      </c>
      <c r="I101" s="16">
        <f>SUMIFS(INDEX(元データ!$E$2:$H$20000,0,MATCH($C$2,元データ!$E$1:$H$1,0)),元データ!$A$2:$A$20000,$A100,元データ!$D$2:$D$20000,$B101,元データ!$B$2:$B$20000,$C$3,元データ!$C$2:$C$20000,I$5)</f>
        <v>4</v>
      </c>
      <c r="J101" s="16">
        <f>SUMIFS(INDEX(元データ!$E$2:$H$20000,0,MATCH($C$2,元データ!$E$1:$H$1,0)),元データ!$A$2:$A$20000,$A100,元データ!$D$2:$D$20000,$B101,元データ!$B$2:$B$20000,$C$3,元データ!$C$2:$C$20000,J$5)</f>
        <v>5</v>
      </c>
      <c r="K101" s="16">
        <f>SUMIFS(INDEX(元データ!$E$2:$H$20000,0,MATCH($C$2,元データ!$E$1:$H$1,0)),元データ!$A$2:$A$20000,$A100,元データ!$D$2:$D$20000,$B101,元データ!$B$2:$B$20000,$C$3,元データ!$C$2:$C$20000,K$5)</f>
        <v>4</v>
      </c>
      <c r="L101" s="16">
        <f>SUMIFS(INDEX(元データ!$E$2:$H$20000,0,MATCH($C$2,元データ!$E$1:$H$1,0)),元データ!$A$2:$A$20000,$A100,元データ!$D$2:$D$20000,$B101,元データ!$B$2:$B$20000,$C$3,元データ!$C$2:$C$20000,L$5)</f>
        <v>2</v>
      </c>
      <c r="M101" s="16">
        <f>SUMIFS(INDEX(元データ!$E$2:$H$20000,0,MATCH($C$2,元データ!$E$1:$H$1,0)),元データ!$A$2:$A$20000,$A100,元データ!$D$2:$D$20000,$B101,元データ!$B$2:$B$20000,$C$3,元データ!$C$2:$C$20000,M$5)</f>
        <v>1</v>
      </c>
      <c r="N101" s="16">
        <f>SUMIFS(INDEX(元データ!$E$2:$H$20000,0,MATCH($C$2,元データ!$E$1:$H$1,0)),元データ!$A$2:$A$20000,$A100,元データ!$D$2:$D$20000,$B101,元データ!$B$2:$B$20000,$C$3,元データ!$C$2:$C$20000,N$5)</f>
        <v>2</v>
      </c>
      <c r="O101" s="17">
        <f t="shared" si="4"/>
        <v>33</v>
      </c>
      <c r="P101" s="17">
        <f>SUMIFS(INDEX(元データ!$E$2:$H$20000,0,MATCH($C$2,元データ!$E$1:$H$1,0)),元データ!$A$2:$A$20000,$A100,元データ!$D$2:$D$20000,$B101,元データ!$B$2:$B$20000,$D$3)</f>
        <v>0</v>
      </c>
      <c r="Q101" s="25" t="str">
        <f t="shared" si="5"/>
        <v/>
      </c>
    </row>
    <row r="102" spans="1:17" x14ac:dyDescent="0.45">
      <c r="A102" s="14" t="str">
        <f>店舗マスタ!A50</f>
        <v>石坂店</v>
      </c>
      <c r="B102" s="15" t="s">
        <v>31</v>
      </c>
      <c r="C102" s="16">
        <f>SUMIFS(INDEX(元データ!$E$2:$H$20000,0,MATCH($C$2,元データ!$E$1:$H$1,0)),元データ!$A$2:$A$20000,$A102,元データ!$D$2:$D$20000,$B102,元データ!$B$2:$B$20000,$C$3,元データ!$C$2:$C$20000,C$5)</f>
        <v>41</v>
      </c>
      <c r="D102" s="16">
        <f>SUMIFS(INDEX(元データ!$E$2:$H$20000,0,MATCH($C$2,元データ!$E$1:$H$1,0)),元データ!$A$2:$A$20000,$A102,元データ!$D$2:$D$20000,$B102,元データ!$B$2:$B$20000,$C$3,元データ!$C$2:$C$20000,D$5)</f>
        <v>219</v>
      </c>
      <c r="E102" s="16">
        <f>SUMIFS(INDEX(元データ!$E$2:$H$20000,0,MATCH($C$2,元データ!$E$1:$H$1,0)),元データ!$A$2:$A$20000,$A102,元データ!$D$2:$D$20000,$B102,元データ!$B$2:$B$20000,$C$3,元データ!$C$2:$C$20000,E$5)</f>
        <v>214</v>
      </c>
      <c r="F102" s="16">
        <f>SUMIFS(INDEX(元データ!$E$2:$H$20000,0,MATCH($C$2,元データ!$E$1:$H$1,0)),元データ!$A$2:$A$20000,$A102,元データ!$D$2:$D$20000,$B102,元データ!$B$2:$B$20000,$C$3,元データ!$C$2:$C$20000,F$5)</f>
        <v>405</v>
      </c>
      <c r="G102" s="16">
        <f>SUMIFS(INDEX(元データ!$E$2:$H$20000,0,MATCH($C$2,元データ!$E$1:$H$1,0)),元データ!$A$2:$A$20000,$A102,元データ!$D$2:$D$20000,$B102,元データ!$B$2:$B$20000,$C$3,元データ!$C$2:$C$20000,G$5)</f>
        <v>184</v>
      </c>
      <c r="H102" s="16">
        <f>SUMIFS(INDEX(元データ!$E$2:$H$20000,0,MATCH($C$2,元データ!$E$1:$H$1,0)),元データ!$A$2:$A$20000,$A102,元データ!$D$2:$D$20000,$B102,元データ!$B$2:$B$20000,$C$3,元データ!$C$2:$C$20000,H$5)</f>
        <v>137</v>
      </c>
      <c r="I102" s="16">
        <f>SUMIFS(INDEX(元データ!$E$2:$H$20000,0,MATCH($C$2,元データ!$E$1:$H$1,0)),元データ!$A$2:$A$20000,$A102,元データ!$D$2:$D$20000,$B102,元データ!$B$2:$B$20000,$C$3,元データ!$C$2:$C$20000,I$5)</f>
        <v>125</v>
      </c>
      <c r="J102" s="16">
        <f>SUMIFS(INDEX(元データ!$E$2:$H$20000,0,MATCH($C$2,元データ!$E$1:$H$1,0)),元データ!$A$2:$A$20000,$A102,元データ!$D$2:$D$20000,$B102,元データ!$B$2:$B$20000,$C$3,元データ!$C$2:$C$20000,J$5)</f>
        <v>259</v>
      </c>
      <c r="K102" s="16">
        <f>SUMIFS(INDEX(元データ!$E$2:$H$20000,0,MATCH($C$2,元データ!$E$1:$H$1,0)),元データ!$A$2:$A$20000,$A102,元データ!$D$2:$D$20000,$B102,元データ!$B$2:$B$20000,$C$3,元データ!$C$2:$C$20000,K$5)</f>
        <v>147</v>
      </c>
      <c r="L102" s="16">
        <f>SUMIFS(INDEX(元データ!$E$2:$H$20000,0,MATCH($C$2,元データ!$E$1:$H$1,0)),元データ!$A$2:$A$20000,$A102,元データ!$D$2:$D$20000,$B102,元データ!$B$2:$B$20000,$C$3,元データ!$C$2:$C$20000,L$5)</f>
        <v>182</v>
      </c>
      <c r="M102" s="16">
        <f>SUMIFS(INDEX(元データ!$E$2:$H$20000,0,MATCH($C$2,元データ!$E$1:$H$1,0)),元データ!$A$2:$A$20000,$A102,元データ!$D$2:$D$20000,$B102,元データ!$B$2:$B$20000,$C$3,元データ!$C$2:$C$20000,M$5)</f>
        <v>79</v>
      </c>
      <c r="N102" s="16">
        <f>SUMIFS(INDEX(元データ!$E$2:$H$20000,0,MATCH($C$2,元データ!$E$1:$H$1,0)),元データ!$A$2:$A$20000,$A102,元データ!$D$2:$D$20000,$B102,元データ!$B$2:$B$20000,$C$3,元データ!$C$2:$C$20000,N$5)</f>
        <v>263</v>
      </c>
      <c r="O102" s="17">
        <f t="shared" ref="O102:O133" si="6">SUM(C102:N102)</f>
        <v>2255</v>
      </c>
      <c r="P102" s="17">
        <f>SUMIFS(INDEX(元データ!$E$2:$H$20000,0,MATCH($C$2,元データ!$E$1:$H$1,0)),元データ!$A$2:$A$20000,$A102,元データ!$D$2:$D$20000,$B102,元データ!$B$2:$B$20000,$D$3)</f>
        <v>0</v>
      </c>
      <c r="Q102" s="25" t="str">
        <f t="shared" ref="Q102:Q133" si="7">IFERROR(O102/P102,"")</f>
        <v/>
      </c>
    </row>
    <row r="103" spans="1:17" x14ac:dyDescent="0.45">
      <c r="A103" s="14"/>
      <c r="B103" s="15" t="s">
        <v>32</v>
      </c>
      <c r="C103" s="16">
        <f>SUMIFS(INDEX(元データ!$E$2:$H$20000,0,MATCH($C$2,元データ!$E$1:$H$1,0)),元データ!$A$2:$A$20000,$A102,元データ!$D$2:$D$20000,$B103,元データ!$B$2:$B$20000,$C$3,元データ!$C$2:$C$20000,C$5)</f>
        <v>10</v>
      </c>
      <c r="D103" s="16">
        <f>SUMIFS(INDEX(元データ!$E$2:$H$20000,0,MATCH($C$2,元データ!$E$1:$H$1,0)),元データ!$A$2:$A$20000,$A102,元データ!$D$2:$D$20000,$B103,元データ!$B$2:$B$20000,$C$3,元データ!$C$2:$C$20000,D$5)</f>
        <v>11</v>
      </c>
      <c r="E103" s="16">
        <f>SUMIFS(INDEX(元データ!$E$2:$H$20000,0,MATCH($C$2,元データ!$E$1:$H$1,0)),元データ!$A$2:$A$20000,$A102,元データ!$D$2:$D$20000,$B103,元データ!$B$2:$B$20000,$C$3,元データ!$C$2:$C$20000,E$5)</f>
        <v>19</v>
      </c>
      <c r="F103" s="16">
        <f>SUMIFS(INDEX(元データ!$E$2:$H$20000,0,MATCH($C$2,元データ!$E$1:$H$1,0)),元データ!$A$2:$A$20000,$A102,元データ!$D$2:$D$20000,$B103,元データ!$B$2:$B$20000,$C$3,元データ!$C$2:$C$20000,F$5)</f>
        <v>6</v>
      </c>
      <c r="G103" s="16">
        <f>SUMIFS(INDEX(元データ!$E$2:$H$20000,0,MATCH($C$2,元データ!$E$1:$H$1,0)),元データ!$A$2:$A$20000,$A102,元データ!$D$2:$D$20000,$B103,元データ!$B$2:$B$20000,$C$3,元データ!$C$2:$C$20000,G$5)</f>
        <v>11</v>
      </c>
      <c r="H103" s="16">
        <f>SUMIFS(INDEX(元データ!$E$2:$H$20000,0,MATCH($C$2,元データ!$E$1:$H$1,0)),元データ!$A$2:$A$20000,$A102,元データ!$D$2:$D$20000,$B103,元データ!$B$2:$B$20000,$C$3,元データ!$C$2:$C$20000,H$5)</f>
        <v>16</v>
      </c>
      <c r="I103" s="16">
        <f>SUMIFS(INDEX(元データ!$E$2:$H$20000,0,MATCH($C$2,元データ!$E$1:$H$1,0)),元データ!$A$2:$A$20000,$A102,元データ!$D$2:$D$20000,$B103,元データ!$B$2:$B$20000,$C$3,元データ!$C$2:$C$20000,I$5)</f>
        <v>11</v>
      </c>
      <c r="J103" s="16">
        <f>SUMIFS(INDEX(元データ!$E$2:$H$20000,0,MATCH($C$2,元データ!$E$1:$H$1,0)),元データ!$A$2:$A$20000,$A102,元データ!$D$2:$D$20000,$B103,元データ!$B$2:$B$20000,$C$3,元データ!$C$2:$C$20000,J$5)</f>
        <v>15</v>
      </c>
      <c r="K103" s="16">
        <f>SUMIFS(INDEX(元データ!$E$2:$H$20000,0,MATCH($C$2,元データ!$E$1:$H$1,0)),元データ!$A$2:$A$20000,$A102,元データ!$D$2:$D$20000,$B103,元データ!$B$2:$B$20000,$C$3,元データ!$C$2:$C$20000,K$5)</f>
        <v>19</v>
      </c>
      <c r="L103" s="16">
        <f>SUMIFS(INDEX(元データ!$E$2:$H$20000,0,MATCH($C$2,元データ!$E$1:$H$1,0)),元データ!$A$2:$A$20000,$A102,元データ!$D$2:$D$20000,$B103,元データ!$B$2:$B$20000,$C$3,元データ!$C$2:$C$20000,L$5)</f>
        <v>6</v>
      </c>
      <c r="M103" s="16">
        <f>SUMIFS(INDEX(元データ!$E$2:$H$20000,0,MATCH($C$2,元データ!$E$1:$H$1,0)),元データ!$A$2:$A$20000,$A102,元データ!$D$2:$D$20000,$B103,元データ!$B$2:$B$20000,$C$3,元データ!$C$2:$C$20000,M$5)</f>
        <v>15</v>
      </c>
      <c r="N103" s="16">
        <f>SUMIFS(INDEX(元データ!$E$2:$H$20000,0,MATCH($C$2,元データ!$E$1:$H$1,0)),元データ!$A$2:$A$20000,$A102,元データ!$D$2:$D$20000,$B103,元データ!$B$2:$B$20000,$C$3,元データ!$C$2:$C$20000,N$5)</f>
        <v>7</v>
      </c>
      <c r="O103" s="17">
        <f t="shared" si="6"/>
        <v>146</v>
      </c>
      <c r="P103" s="17">
        <f>SUMIFS(INDEX(元データ!$E$2:$H$20000,0,MATCH($C$2,元データ!$E$1:$H$1,0)),元データ!$A$2:$A$20000,$A102,元データ!$D$2:$D$20000,$B103,元データ!$B$2:$B$20000,$D$3)</f>
        <v>0</v>
      </c>
      <c r="Q103" s="25" t="str">
        <f t="shared" si="7"/>
        <v/>
      </c>
    </row>
    <row r="104" spans="1:17" x14ac:dyDescent="0.45">
      <c r="A104" s="14" t="str">
        <f>店舗マスタ!A51</f>
        <v>荒田島店</v>
      </c>
      <c r="B104" s="15" t="s">
        <v>31</v>
      </c>
      <c r="C104" s="16">
        <f>SUMIFS(INDEX(元データ!$E$2:$H$20000,0,MATCH($C$2,元データ!$E$1:$H$1,0)),元データ!$A$2:$A$20000,$A104,元データ!$D$2:$D$20000,$B104,元データ!$B$2:$B$20000,$C$3,元データ!$C$2:$C$20000,C$5)</f>
        <v>26</v>
      </c>
      <c r="D104" s="16">
        <f>SUMIFS(INDEX(元データ!$E$2:$H$20000,0,MATCH($C$2,元データ!$E$1:$H$1,0)),元データ!$A$2:$A$20000,$A104,元データ!$D$2:$D$20000,$B104,元データ!$B$2:$B$20000,$C$3,元データ!$C$2:$C$20000,D$5)</f>
        <v>159</v>
      </c>
      <c r="E104" s="16">
        <f>SUMIFS(INDEX(元データ!$E$2:$H$20000,0,MATCH($C$2,元データ!$E$1:$H$1,0)),元データ!$A$2:$A$20000,$A104,元データ!$D$2:$D$20000,$B104,元データ!$B$2:$B$20000,$C$3,元データ!$C$2:$C$20000,E$5)</f>
        <v>101</v>
      </c>
      <c r="F104" s="16">
        <f>SUMIFS(INDEX(元データ!$E$2:$H$20000,0,MATCH($C$2,元データ!$E$1:$H$1,0)),元データ!$A$2:$A$20000,$A104,元データ!$D$2:$D$20000,$B104,元データ!$B$2:$B$20000,$C$3,元データ!$C$2:$C$20000,F$5)</f>
        <v>298</v>
      </c>
      <c r="G104" s="16">
        <f>SUMIFS(INDEX(元データ!$E$2:$H$20000,0,MATCH($C$2,元データ!$E$1:$H$1,0)),元データ!$A$2:$A$20000,$A104,元データ!$D$2:$D$20000,$B104,元データ!$B$2:$B$20000,$C$3,元データ!$C$2:$C$20000,G$5)</f>
        <v>83</v>
      </c>
      <c r="H104" s="16">
        <f>SUMIFS(INDEX(元データ!$E$2:$H$20000,0,MATCH($C$2,元データ!$E$1:$H$1,0)),元データ!$A$2:$A$20000,$A104,元データ!$D$2:$D$20000,$B104,元データ!$B$2:$B$20000,$C$3,元データ!$C$2:$C$20000,H$5)</f>
        <v>81</v>
      </c>
      <c r="I104" s="16">
        <f>SUMIFS(INDEX(元データ!$E$2:$H$20000,0,MATCH($C$2,元データ!$E$1:$H$1,0)),元データ!$A$2:$A$20000,$A104,元データ!$D$2:$D$20000,$B104,元データ!$B$2:$B$20000,$C$3,元データ!$C$2:$C$20000,I$5)</f>
        <v>56</v>
      </c>
      <c r="J104" s="16">
        <f>SUMIFS(INDEX(元データ!$E$2:$H$20000,0,MATCH($C$2,元データ!$E$1:$H$1,0)),元データ!$A$2:$A$20000,$A104,元データ!$D$2:$D$20000,$B104,元データ!$B$2:$B$20000,$C$3,元データ!$C$2:$C$20000,J$5)</f>
        <v>119</v>
      </c>
      <c r="K104" s="16">
        <f>SUMIFS(INDEX(元データ!$E$2:$H$20000,0,MATCH($C$2,元データ!$E$1:$H$1,0)),元データ!$A$2:$A$20000,$A104,元データ!$D$2:$D$20000,$B104,元データ!$B$2:$B$20000,$C$3,元データ!$C$2:$C$20000,K$5)</f>
        <v>82</v>
      </c>
      <c r="L104" s="16">
        <f>SUMIFS(INDEX(元データ!$E$2:$H$20000,0,MATCH($C$2,元データ!$E$1:$H$1,0)),元データ!$A$2:$A$20000,$A104,元データ!$D$2:$D$20000,$B104,元データ!$B$2:$B$20000,$C$3,元データ!$C$2:$C$20000,L$5)</f>
        <v>78</v>
      </c>
      <c r="M104" s="16">
        <f>SUMIFS(INDEX(元データ!$E$2:$H$20000,0,MATCH($C$2,元データ!$E$1:$H$1,0)),元データ!$A$2:$A$20000,$A104,元データ!$D$2:$D$20000,$B104,元データ!$B$2:$B$20000,$C$3,元データ!$C$2:$C$20000,M$5)</f>
        <v>45</v>
      </c>
      <c r="N104" s="16">
        <f>SUMIFS(INDEX(元データ!$E$2:$H$20000,0,MATCH($C$2,元データ!$E$1:$H$1,0)),元データ!$A$2:$A$20000,$A104,元データ!$D$2:$D$20000,$B104,元データ!$B$2:$B$20000,$C$3,元データ!$C$2:$C$20000,N$5)</f>
        <v>208</v>
      </c>
      <c r="O104" s="17">
        <f t="shared" si="6"/>
        <v>1336</v>
      </c>
      <c r="P104" s="17">
        <f>SUMIFS(INDEX(元データ!$E$2:$H$20000,0,MATCH($C$2,元データ!$E$1:$H$1,0)),元データ!$A$2:$A$20000,$A104,元データ!$D$2:$D$20000,$B104,元データ!$B$2:$B$20000,$D$3)</f>
        <v>0</v>
      </c>
      <c r="Q104" s="25" t="str">
        <f t="shared" si="7"/>
        <v/>
      </c>
    </row>
    <row r="105" spans="1:17" x14ac:dyDescent="0.45">
      <c r="A105" s="14"/>
      <c r="B105" s="15" t="s">
        <v>32</v>
      </c>
      <c r="C105" s="16">
        <f>SUMIFS(INDEX(元データ!$E$2:$H$20000,0,MATCH($C$2,元データ!$E$1:$H$1,0)),元データ!$A$2:$A$20000,$A104,元データ!$D$2:$D$20000,$B105,元データ!$B$2:$B$20000,$C$3,元データ!$C$2:$C$20000,C$5)</f>
        <v>9</v>
      </c>
      <c r="D105" s="16">
        <f>SUMIFS(INDEX(元データ!$E$2:$H$20000,0,MATCH($C$2,元データ!$E$1:$H$1,0)),元データ!$A$2:$A$20000,$A104,元データ!$D$2:$D$20000,$B105,元データ!$B$2:$B$20000,$C$3,元データ!$C$2:$C$20000,D$5)</f>
        <v>13</v>
      </c>
      <c r="E105" s="16">
        <f>SUMIFS(INDEX(元データ!$E$2:$H$20000,0,MATCH($C$2,元データ!$E$1:$H$1,0)),元データ!$A$2:$A$20000,$A104,元データ!$D$2:$D$20000,$B105,元データ!$B$2:$B$20000,$C$3,元データ!$C$2:$C$20000,E$5)</f>
        <v>9</v>
      </c>
      <c r="F105" s="16">
        <f>SUMIFS(INDEX(元データ!$E$2:$H$20000,0,MATCH($C$2,元データ!$E$1:$H$1,0)),元データ!$A$2:$A$20000,$A104,元データ!$D$2:$D$20000,$B105,元データ!$B$2:$B$20000,$C$3,元データ!$C$2:$C$20000,F$5)</f>
        <v>5</v>
      </c>
      <c r="G105" s="16">
        <f>SUMIFS(INDEX(元データ!$E$2:$H$20000,0,MATCH($C$2,元データ!$E$1:$H$1,0)),元データ!$A$2:$A$20000,$A104,元データ!$D$2:$D$20000,$B105,元データ!$B$2:$B$20000,$C$3,元データ!$C$2:$C$20000,G$5)</f>
        <v>0</v>
      </c>
      <c r="H105" s="16">
        <f>SUMIFS(INDEX(元データ!$E$2:$H$20000,0,MATCH($C$2,元データ!$E$1:$H$1,0)),元データ!$A$2:$A$20000,$A104,元データ!$D$2:$D$20000,$B105,元データ!$B$2:$B$20000,$C$3,元データ!$C$2:$C$20000,H$5)</f>
        <v>7</v>
      </c>
      <c r="I105" s="16">
        <f>SUMIFS(INDEX(元データ!$E$2:$H$20000,0,MATCH($C$2,元データ!$E$1:$H$1,0)),元データ!$A$2:$A$20000,$A104,元データ!$D$2:$D$20000,$B105,元データ!$B$2:$B$20000,$C$3,元データ!$C$2:$C$20000,I$5)</f>
        <v>5</v>
      </c>
      <c r="J105" s="16">
        <f>SUMIFS(INDEX(元データ!$E$2:$H$20000,0,MATCH($C$2,元データ!$E$1:$H$1,0)),元データ!$A$2:$A$20000,$A104,元データ!$D$2:$D$20000,$B105,元データ!$B$2:$B$20000,$C$3,元データ!$C$2:$C$20000,J$5)</f>
        <v>10</v>
      </c>
      <c r="K105" s="16">
        <f>SUMIFS(INDEX(元データ!$E$2:$H$20000,0,MATCH($C$2,元データ!$E$1:$H$1,0)),元データ!$A$2:$A$20000,$A104,元データ!$D$2:$D$20000,$B105,元データ!$B$2:$B$20000,$C$3,元データ!$C$2:$C$20000,K$5)</f>
        <v>12</v>
      </c>
      <c r="L105" s="16">
        <f>SUMIFS(INDEX(元データ!$E$2:$H$20000,0,MATCH($C$2,元データ!$E$1:$H$1,0)),元データ!$A$2:$A$20000,$A104,元データ!$D$2:$D$20000,$B105,元データ!$B$2:$B$20000,$C$3,元データ!$C$2:$C$20000,L$5)</f>
        <v>8</v>
      </c>
      <c r="M105" s="16">
        <f>SUMIFS(INDEX(元データ!$E$2:$H$20000,0,MATCH($C$2,元データ!$E$1:$H$1,0)),元データ!$A$2:$A$20000,$A104,元データ!$D$2:$D$20000,$B105,元データ!$B$2:$B$20000,$C$3,元データ!$C$2:$C$20000,M$5)</f>
        <v>10</v>
      </c>
      <c r="N105" s="16">
        <f>SUMIFS(INDEX(元データ!$E$2:$H$20000,0,MATCH($C$2,元データ!$E$1:$H$1,0)),元データ!$A$2:$A$20000,$A104,元データ!$D$2:$D$20000,$B105,元データ!$B$2:$B$20000,$C$3,元データ!$C$2:$C$20000,N$5)</f>
        <v>6</v>
      </c>
      <c r="O105" s="17">
        <f t="shared" si="6"/>
        <v>94</v>
      </c>
      <c r="P105" s="17">
        <f>SUMIFS(INDEX(元データ!$E$2:$H$20000,0,MATCH($C$2,元データ!$E$1:$H$1,0)),元データ!$A$2:$A$20000,$A104,元データ!$D$2:$D$20000,$B105,元データ!$B$2:$B$20000,$D$3)</f>
        <v>0</v>
      </c>
      <c r="Q105" s="25" t="str">
        <f t="shared" si="7"/>
        <v/>
      </c>
    </row>
    <row r="106" spans="1:17" x14ac:dyDescent="0.45">
      <c r="A106" s="14" t="str">
        <f>店舗マスタ!A52</f>
        <v>水戸島店</v>
      </c>
      <c r="B106" s="15" t="s">
        <v>31</v>
      </c>
      <c r="C106" s="16">
        <f>SUMIFS(INDEX(元データ!$E$2:$H$20000,0,MATCH($C$2,元データ!$E$1:$H$1,0)),元データ!$A$2:$A$20000,$A106,元データ!$D$2:$D$20000,$B106,元データ!$B$2:$B$20000,$C$3,元データ!$C$2:$C$20000,C$5)</f>
        <v>27</v>
      </c>
      <c r="D106" s="16">
        <f>SUMIFS(INDEX(元データ!$E$2:$H$20000,0,MATCH($C$2,元データ!$E$1:$H$1,0)),元データ!$A$2:$A$20000,$A106,元データ!$D$2:$D$20000,$B106,元データ!$B$2:$B$20000,$C$3,元データ!$C$2:$C$20000,D$5)</f>
        <v>104</v>
      </c>
      <c r="E106" s="16">
        <f>SUMIFS(INDEX(元データ!$E$2:$H$20000,0,MATCH($C$2,元データ!$E$1:$H$1,0)),元データ!$A$2:$A$20000,$A106,元データ!$D$2:$D$20000,$B106,元データ!$B$2:$B$20000,$C$3,元データ!$C$2:$C$20000,E$5)</f>
        <v>112</v>
      </c>
      <c r="F106" s="16">
        <f>SUMIFS(INDEX(元データ!$E$2:$H$20000,0,MATCH($C$2,元データ!$E$1:$H$1,0)),元データ!$A$2:$A$20000,$A106,元データ!$D$2:$D$20000,$B106,元データ!$B$2:$B$20000,$C$3,元データ!$C$2:$C$20000,F$5)</f>
        <v>160</v>
      </c>
      <c r="G106" s="16">
        <f>SUMIFS(INDEX(元データ!$E$2:$H$20000,0,MATCH($C$2,元データ!$E$1:$H$1,0)),元データ!$A$2:$A$20000,$A106,元データ!$D$2:$D$20000,$B106,元データ!$B$2:$B$20000,$C$3,元データ!$C$2:$C$20000,G$5)</f>
        <v>64</v>
      </c>
      <c r="H106" s="16">
        <f>SUMIFS(INDEX(元データ!$E$2:$H$20000,0,MATCH($C$2,元データ!$E$1:$H$1,0)),元データ!$A$2:$A$20000,$A106,元データ!$D$2:$D$20000,$B106,元データ!$B$2:$B$20000,$C$3,元データ!$C$2:$C$20000,H$5)</f>
        <v>106</v>
      </c>
      <c r="I106" s="16">
        <f>SUMIFS(INDEX(元データ!$E$2:$H$20000,0,MATCH($C$2,元データ!$E$1:$H$1,0)),元データ!$A$2:$A$20000,$A106,元データ!$D$2:$D$20000,$B106,元データ!$B$2:$B$20000,$C$3,元データ!$C$2:$C$20000,I$5)</f>
        <v>39</v>
      </c>
      <c r="J106" s="16">
        <f>SUMIFS(INDEX(元データ!$E$2:$H$20000,0,MATCH($C$2,元データ!$E$1:$H$1,0)),元データ!$A$2:$A$20000,$A106,元データ!$D$2:$D$20000,$B106,元データ!$B$2:$B$20000,$C$3,元データ!$C$2:$C$20000,J$5)</f>
        <v>66</v>
      </c>
      <c r="K106" s="16">
        <f>SUMIFS(INDEX(元データ!$E$2:$H$20000,0,MATCH($C$2,元データ!$E$1:$H$1,0)),元データ!$A$2:$A$20000,$A106,元データ!$D$2:$D$20000,$B106,元データ!$B$2:$B$20000,$C$3,元データ!$C$2:$C$20000,K$5)</f>
        <v>214</v>
      </c>
      <c r="L106" s="16">
        <f>SUMIFS(INDEX(元データ!$E$2:$H$20000,0,MATCH($C$2,元データ!$E$1:$H$1,0)),元データ!$A$2:$A$20000,$A106,元データ!$D$2:$D$20000,$B106,元データ!$B$2:$B$20000,$C$3,元データ!$C$2:$C$20000,L$5)</f>
        <v>70</v>
      </c>
      <c r="M106" s="16">
        <f>SUMIFS(INDEX(元データ!$E$2:$H$20000,0,MATCH($C$2,元データ!$E$1:$H$1,0)),元データ!$A$2:$A$20000,$A106,元データ!$D$2:$D$20000,$B106,元データ!$B$2:$B$20000,$C$3,元データ!$C$2:$C$20000,M$5)</f>
        <v>32</v>
      </c>
      <c r="N106" s="16">
        <f>SUMIFS(INDEX(元データ!$E$2:$H$20000,0,MATCH($C$2,元データ!$E$1:$H$1,0)),元データ!$A$2:$A$20000,$A106,元データ!$D$2:$D$20000,$B106,元データ!$B$2:$B$20000,$C$3,元データ!$C$2:$C$20000,N$5)</f>
        <v>180</v>
      </c>
      <c r="O106" s="17">
        <f t="shared" si="6"/>
        <v>1174</v>
      </c>
      <c r="P106" s="17">
        <f>SUMIFS(INDEX(元データ!$E$2:$H$20000,0,MATCH($C$2,元データ!$E$1:$H$1,0)),元データ!$A$2:$A$20000,$A106,元データ!$D$2:$D$20000,$B106,元データ!$B$2:$B$20000,$D$3)</f>
        <v>0</v>
      </c>
      <c r="Q106" s="25" t="str">
        <f t="shared" si="7"/>
        <v/>
      </c>
    </row>
    <row r="107" spans="1:17" x14ac:dyDescent="0.45">
      <c r="A107" s="14"/>
      <c r="B107" s="15" t="s">
        <v>32</v>
      </c>
      <c r="C107" s="16">
        <f>SUMIFS(INDEX(元データ!$E$2:$H$20000,0,MATCH($C$2,元データ!$E$1:$H$1,0)),元データ!$A$2:$A$20000,$A106,元データ!$D$2:$D$20000,$B107,元データ!$B$2:$B$20000,$C$3,元データ!$C$2:$C$20000,C$5)</f>
        <v>4</v>
      </c>
      <c r="D107" s="16">
        <f>SUMIFS(INDEX(元データ!$E$2:$H$20000,0,MATCH($C$2,元データ!$E$1:$H$1,0)),元データ!$A$2:$A$20000,$A106,元データ!$D$2:$D$20000,$B107,元データ!$B$2:$B$20000,$C$3,元データ!$C$2:$C$20000,D$5)</f>
        <v>9</v>
      </c>
      <c r="E107" s="16">
        <f>SUMIFS(INDEX(元データ!$E$2:$H$20000,0,MATCH($C$2,元データ!$E$1:$H$1,0)),元データ!$A$2:$A$20000,$A106,元データ!$D$2:$D$20000,$B107,元データ!$B$2:$B$20000,$C$3,元データ!$C$2:$C$20000,E$5)</f>
        <v>10</v>
      </c>
      <c r="F107" s="16">
        <f>SUMIFS(INDEX(元データ!$E$2:$H$20000,0,MATCH($C$2,元データ!$E$1:$H$1,0)),元データ!$A$2:$A$20000,$A106,元データ!$D$2:$D$20000,$B107,元データ!$B$2:$B$20000,$C$3,元データ!$C$2:$C$20000,F$5)</f>
        <v>5</v>
      </c>
      <c r="G107" s="16">
        <f>SUMIFS(INDEX(元データ!$E$2:$H$20000,0,MATCH($C$2,元データ!$E$1:$H$1,0)),元データ!$A$2:$A$20000,$A106,元データ!$D$2:$D$20000,$B107,元データ!$B$2:$B$20000,$C$3,元データ!$C$2:$C$20000,G$5)</f>
        <v>6</v>
      </c>
      <c r="H107" s="16">
        <f>SUMIFS(INDEX(元データ!$E$2:$H$20000,0,MATCH($C$2,元データ!$E$1:$H$1,0)),元データ!$A$2:$A$20000,$A106,元データ!$D$2:$D$20000,$B107,元データ!$B$2:$B$20000,$C$3,元データ!$C$2:$C$20000,H$5)</f>
        <v>10</v>
      </c>
      <c r="I107" s="16">
        <f>SUMIFS(INDEX(元データ!$E$2:$H$20000,0,MATCH($C$2,元データ!$E$1:$H$1,0)),元データ!$A$2:$A$20000,$A106,元データ!$D$2:$D$20000,$B107,元データ!$B$2:$B$20000,$C$3,元データ!$C$2:$C$20000,I$5)</f>
        <v>7</v>
      </c>
      <c r="J107" s="16">
        <f>SUMIFS(INDEX(元データ!$E$2:$H$20000,0,MATCH($C$2,元データ!$E$1:$H$1,0)),元データ!$A$2:$A$20000,$A106,元データ!$D$2:$D$20000,$B107,元データ!$B$2:$B$20000,$C$3,元データ!$C$2:$C$20000,J$5)</f>
        <v>5</v>
      </c>
      <c r="K107" s="16">
        <f>SUMIFS(INDEX(元データ!$E$2:$H$20000,0,MATCH($C$2,元データ!$E$1:$H$1,0)),元データ!$A$2:$A$20000,$A106,元データ!$D$2:$D$20000,$B107,元データ!$B$2:$B$20000,$C$3,元データ!$C$2:$C$20000,K$5)</f>
        <v>10</v>
      </c>
      <c r="L107" s="16">
        <f>SUMIFS(INDEX(元データ!$E$2:$H$20000,0,MATCH($C$2,元データ!$E$1:$H$1,0)),元データ!$A$2:$A$20000,$A106,元データ!$D$2:$D$20000,$B107,元データ!$B$2:$B$20000,$C$3,元データ!$C$2:$C$20000,L$5)</f>
        <v>9</v>
      </c>
      <c r="M107" s="16">
        <f>SUMIFS(INDEX(元データ!$E$2:$H$20000,0,MATCH($C$2,元データ!$E$1:$H$1,0)),元データ!$A$2:$A$20000,$A106,元データ!$D$2:$D$20000,$B107,元データ!$B$2:$B$20000,$C$3,元データ!$C$2:$C$20000,M$5)</f>
        <v>5</v>
      </c>
      <c r="N107" s="16">
        <f>SUMIFS(INDEX(元データ!$E$2:$H$20000,0,MATCH($C$2,元データ!$E$1:$H$1,0)),元データ!$A$2:$A$20000,$A106,元データ!$D$2:$D$20000,$B107,元データ!$B$2:$B$20000,$C$3,元データ!$C$2:$C$20000,N$5)</f>
        <v>3</v>
      </c>
      <c r="O107" s="17">
        <f t="shared" si="6"/>
        <v>83</v>
      </c>
      <c r="P107" s="17">
        <f>SUMIFS(INDEX(元データ!$E$2:$H$20000,0,MATCH($C$2,元データ!$E$1:$H$1,0)),元データ!$A$2:$A$20000,$A106,元データ!$D$2:$D$20000,$B107,元データ!$B$2:$B$20000,$D$3)</f>
        <v>0</v>
      </c>
      <c r="Q107" s="25" t="str">
        <f t="shared" si="7"/>
        <v/>
      </c>
    </row>
    <row r="108" spans="1:17" x14ac:dyDescent="0.45">
      <c r="A108" s="14" t="str">
        <f>店舗マスタ!A53</f>
        <v>穂波町店</v>
      </c>
      <c r="B108" s="15" t="s">
        <v>31</v>
      </c>
      <c r="C108" s="16">
        <f>SUMIFS(INDEX(元データ!$E$2:$H$20000,0,MATCH($C$2,元データ!$E$1:$H$1,0)),元データ!$A$2:$A$20000,$A108,元データ!$D$2:$D$20000,$B108,元データ!$B$2:$B$20000,$C$3,元データ!$C$2:$C$20000,C$5)</f>
        <v>42</v>
      </c>
      <c r="D108" s="16">
        <f>SUMIFS(INDEX(元データ!$E$2:$H$20000,0,MATCH($C$2,元データ!$E$1:$H$1,0)),元データ!$A$2:$A$20000,$A108,元データ!$D$2:$D$20000,$B108,元データ!$B$2:$B$20000,$C$3,元データ!$C$2:$C$20000,D$5)</f>
        <v>149</v>
      </c>
      <c r="E108" s="16">
        <f>SUMIFS(INDEX(元データ!$E$2:$H$20000,0,MATCH($C$2,元データ!$E$1:$H$1,0)),元データ!$A$2:$A$20000,$A108,元データ!$D$2:$D$20000,$B108,元データ!$B$2:$B$20000,$C$3,元データ!$C$2:$C$20000,E$5)</f>
        <v>161</v>
      </c>
      <c r="F108" s="16">
        <f>SUMIFS(INDEX(元データ!$E$2:$H$20000,0,MATCH($C$2,元データ!$E$1:$H$1,0)),元データ!$A$2:$A$20000,$A108,元データ!$D$2:$D$20000,$B108,元データ!$B$2:$B$20000,$C$3,元データ!$C$2:$C$20000,F$5)</f>
        <v>182</v>
      </c>
      <c r="G108" s="16">
        <f>SUMIFS(INDEX(元データ!$E$2:$H$20000,0,MATCH($C$2,元データ!$E$1:$H$1,0)),元データ!$A$2:$A$20000,$A108,元データ!$D$2:$D$20000,$B108,元データ!$B$2:$B$20000,$C$3,元データ!$C$2:$C$20000,G$5)</f>
        <v>118</v>
      </c>
      <c r="H108" s="16">
        <f>SUMIFS(INDEX(元データ!$E$2:$H$20000,0,MATCH($C$2,元データ!$E$1:$H$1,0)),元データ!$A$2:$A$20000,$A108,元データ!$D$2:$D$20000,$B108,元データ!$B$2:$B$20000,$C$3,元データ!$C$2:$C$20000,H$5)</f>
        <v>120</v>
      </c>
      <c r="I108" s="16">
        <f>SUMIFS(INDEX(元データ!$E$2:$H$20000,0,MATCH($C$2,元データ!$E$1:$H$1,0)),元データ!$A$2:$A$20000,$A108,元データ!$D$2:$D$20000,$B108,元データ!$B$2:$B$20000,$C$3,元データ!$C$2:$C$20000,I$5)</f>
        <v>94</v>
      </c>
      <c r="J108" s="16">
        <f>SUMIFS(INDEX(元データ!$E$2:$H$20000,0,MATCH($C$2,元データ!$E$1:$H$1,0)),元データ!$A$2:$A$20000,$A108,元データ!$D$2:$D$20000,$B108,元データ!$B$2:$B$20000,$C$3,元データ!$C$2:$C$20000,J$5)</f>
        <v>172</v>
      </c>
      <c r="K108" s="16">
        <f>SUMIFS(INDEX(元データ!$E$2:$H$20000,0,MATCH($C$2,元データ!$E$1:$H$1,0)),元データ!$A$2:$A$20000,$A108,元データ!$D$2:$D$20000,$B108,元データ!$B$2:$B$20000,$C$3,元データ!$C$2:$C$20000,K$5)</f>
        <v>124</v>
      </c>
      <c r="L108" s="16">
        <f>SUMIFS(INDEX(元データ!$E$2:$H$20000,0,MATCH($C$2,元データ!$E$1:$H$1,0)),元データ!$A$2:$A$20000,$A108,元データ!$D$2:$D$20000,$B108,元データ!$B$2:$B$20000,$C$3,元データ!$C$2:$C$20000,L$5)</f>
        <v>98</v>
      </c>
      <c r="M108" s="16">
        <f>SUMIFS(INDEX(元データ!$E$2:$H$20000,0,MATCH($C$2,元データ!$E$1:$H$1,0)),元データ!$A$2:$A$20000,$A108,元データ!$D$2:$D$20000,$B108,元データ!$B$2:$B$20000,$C$3,元データ!$C$2:$C$20000,M$5)</f>
        <v>52</v>
      </c>
      <c r="N108" s="16">
        <f>SUMIFS(INDEX(元データ!$E$2:$H$20000,0,MATCH($C$2,元データ!$E$1:$H$1,0)),元データ!$A$2:$A$20000,$A108,元データ!$D$2:$D$20000,$B108,元データ!$B$2:$B$20000,$C$3,元データ!$C$2:$C$20000,N$5)</f>
        <v>213</v>
      </c>
      <c r="O108" s="17">
        <f t="shared" si="6"/>
        <v>1525</v>
      </c>
      <c r="P108" s="17">
        <f>SUMIFS(INDEX(元データ!$E$2:$H$20000,0,MATCH($C$2,元データ!$E$1:$H$1,0)),元データ!$A$2:$A$20000,$A108,元データ!$D$2:$D$20000,$B108,元データ!$B$2:$B$20000,$D$3)</f>
        <v>0</v>
      </c>
      <c r="Q108" s="25" t="str">
        <f t="shared" si="7"/>
        <v/>
      </c>
    </row>
    <row r="109" spans="1:17" x14ac:dyDescent="0.45">
      <c r="A109" s="14"/>
      <c r="B109" s="15" t="s">
        <v>32</v>
      </c>
      <c r="C109" s="16">
        <f>SUMIFS(INDEX(元データ!$E$2:$H$20000,0,MATCH($C$2,元データ!$E$1:$H$1,0)),元データ!$A$2:$A$20000,$A108,元データ!$D$2:$D$20000,$B109,元データ!$B$2:$B$20000,$C$3,元データ!$C$2:$C$20000,C$5)</f>
        <v>8</v>
      </c>
      <c r="D109" s="16">
        <f>SUMIFS(INDEX(元データ!$E$2:$H$20000,0,MATCH($C$2,元データ!$E$1:$H$1,0)),元データ!$A$2:$A$20000,$A108,元データ!$D$2:$D$20000,$B109,元データ!$B$2:$B$20000,$C$3,元データ!$C$2:$C$20000,D$5)</f>
        <v>8</v>
      </c>
      <c r="E109" s="16">
        <f>SUMIFS(INDEX(元データ!$E$2:$H$20000,0,MATCH($C$2,元データ!$E$1:$H$1,0)),元データ!$A$2:$A$20000,$A108,元データ!$D$2:$D$20000,$B109,元データ!$B$2:$B$20000,$C$3,元データ!$C$2:$C$20000,E$5)</f>
        <v>11</v>
      </c>
      <c r="F109" s="16">
        <f>SUMIFS(INDEX(元データ!$E$2:$H$20000,0,MATCH($C$2,元データ!$E$1:$H$1,0)),元データ!$A$2:$A$20000,$A108,元データ!$D$2:$D$20000,$B109,元データ!$B$2:$B$20000,$C$3,元データ!$C$2:$C$20000,F$5)</f>
        <v>4</v>
      </c>
      <c r="G109" s="16">
        <f>SUMIFS(INDEX(元データ!$E$2:$H$20000,0,MATCH($C$2,元データ!$E$1:$H$1,0)),元データ!$A$2:$A$20000,$A108,元データ!$D$2:$D$20000,$B109,元データ!$B$2:$B$20000,$C$3,元データ!$C$2:$C$20000,G$5)</f>
        <v>2</v>
      </c>
      <c r="H109" s="16">
        <f>SUMIFS(INDEX(元データ!$E$2:$H$20000,0,MATCH($C$2,元データ!$E$1:$H$1,0)),元データ!$A$2:$A$20000,$A108,元データ!$D$2:$D$20000,$B109,元データ!$B$2:$B$20000,$C$3,元データ!$C$2:$C$20000,H$5)</f>
        <v>9</v>
      </c>
      <c r="I109" s="16">
        <f>SUMIFS(INDEX(元データ!$E$2:$H$20000,0,MATCH($C$2,元データ!$E$1:$H$1,0)),元データ!$A$2:$A$20000,$A108,元データ!$D$2:$D$20000,$B109,元データ!$B$2:$B$20000,$C$3,元データ!$C$2:$C$20000,I$5)</f>
        <v>8</v>
      </c>
      <c r="J109" s="16">
        <f>SUMIFS(INDEX(元データ!$E$2:$H$20000,0,MATCH($C$2,元データ!$E$1:$H$1,0)),元データ!$A$2:$A$20000,$A108,元データ!$D$2:$D$20000,$B109,元データ!$B$2:$B$20000,$C$3,元データ!$C$2:$C$20000,J$5)</f>
        <v>7</v>
      </c>
      <c r="K109" s="16">
        <f>SUMIFS(INDEX(元データ!$E$2:$H$20000,0,MATCH($C$2,元データ!$E$1:$H$1,0)),元データ!$A$2:$A$20000,$A108,元データ!$D$2:$D$20000,$B109,元データ!$B$2:$B$20000,$C$3,元データ!$C$2:$C$20000,K$5)</f>
        <v>6</v>
      </c>
      <c r="L109" s="16">
        <f>SUMIFS(INDEX(元データ!$E$2:$H$20000,0,MATCH($C$2,元データ!$E$1:$H$1,0)),元データ!$A$2:$A$20000,$A108,元データ!$D$2:$D$20000,$B109,元データ!$B$2:$B$20000,$C$3,元データ!$C$2:$C$20000,L$5)</f>
        <v>11</v>
      </c>
      <c r="M109" s="16">
        <f>SUMIFS(INDEX(元データ!$E$2:$H$20000,0,MATCH($C$2,元データ!$E$1:$H$1,0)),元データ!$A$2:$A$20000,$A108,元データ!$D$2:$D$20000,$B109,元データ!$B$2:$B$20000,$C$3,元データ!$C$2:$C$20000,M$5)</f>
        <v>4</v>
      </c>
      <c r="N109" s="16">
        <f>SUMIFS(INDEX(元データ!$E$2:$H$20000,0,MATCH($C$2,元データ!$E$1:$H$1,0)),元データ!$A$2:$A$20000,$A108,元データ!$D$2:$D$20000,$B109,元データ!$B$2:$B$20000,$C$3,元データ!$C$2:$C$20000,N$5)</f>
        <v>8</v>
      </c>
      <c r="O109" s="17">
        <f t="shared" si="6"/>
        <v>86</v>
      </c>
      <c r="P109" s="17">
        <f>SUMIFS(INDEX(元データ!$E$2:$H$20000,0,MATCH($C$2,元データ!$E$1:$H$1,0)),元データ!$A$2:$A$20000,$A108,元データ!$D$2:$D$20000,$B109,元データ!$B$2:$B$20000,$D$3)</f>
        <v>0</v>
      </c>
      <c r="Q109" s="25" t="str">
        <f t="shared" si="7"/>
        <v/>
      </c>
    </row>
    <row r="110" spans="1:17" x14ac:dyDescent="0.45">
      <c r="A110" s="14" t="str">
        <f>店舗マスタ!A54</f>
        <v>竹原店</v>
      </c>
      <c r="B110" s="15" t="s">
        <v>31</v>
      </c>
      <c r="C110" s="16">
        <f>SUMIFS(INDEX(元データ!$E$2:$H$20000,0,MATCH($C$2,元データ!$E$1:$H$1,0)),元データ!$A$2:$A$20000,$A110,元データ!$D$2:$D$20000,$B110,元データ!$B$2:$B$20000,$C$3,元データ!$C$2:$C$20000,C$5)</f>
        <v>0</v>
      </c>
      <c r="D110" s="16">
        <f>SUMIFS(INDEX(元データ!$E$2:$H$20000,0,MATCH($C$2,元データ!$E$1:$H$1,0)),元データ!$A$2:$A$20000,$A110,元データ!$D$2:$D$20000,$B110,元データ!$B$2:$B$20000,$C$3,元データ!$C$2:$C$20000,D$5)</f>
        <v>0</v>
      </c>
      <c r="E110" s="16">
        <f>SUMIFS(INDEX(元データ!$E$2:$H$20000,0,MATCH($C$2,元データ!$E$1:$H$1,0)),元データ!$A$2:$A$20000,$A110,元データ!$D$2:$D$20000,$B110,元データ!$B$2:$B$20000,$C$3,元データ!$C$2:$C$20000,E$5)</f>
        <v>0</v>
      </c>
      <c r="F110" s="16">
        <f>SUMIFS(INDEX(元データ!$E$2:$H$20000,0,MATCH($C$2,元データ!$E$1:$H$1,0)),元データ!$A$2:$A$20000,$A110,元データ!$D$2:$D$20000,$B110,元データ!$B$2:$B$20000,$C$3,元データ!$C$2:$C$20000,F$5)</f>
        <v>0</v>
      </c>
      <c r="G110" s="16">
        <f>SUMIFS(INDEX(元データ!$E$2:$H$20000,0,MATCH($C$2,元データ!$E$1:$H$1,0)),元データ!$A$2:$A$20000,$A110,元データ!$D$2:$D$20000,$B110,元データ!$B$2:$B$20000,$C$3,元データ!$C$2:$C$20000,G$5)</f>
        <v>0</v>
      </c>
      <c r="H110" s="16">
        <f>SUMIFS(INDEX(元データ!$E$2:$H$20000,0,MATCH($C$2,元データ!$E$1:$H$1,0)),元データ!$A$2:$A$20000,$A110,元データ!$D$2:$D$20000,$B110,元データ!$B$2:$B$20000,$C$3,元データ!$C$2:$C$20000,H$5)</f>
        <v>0</v>
      </c>
      <c r="I110" s="16">
        <f>SUMIFS(INDEX(元データ!$E$2:$H$20000,0,MATCH($C$2,元データ!$E$1:$H$1,0)),元データ!$A$2:$A$20000,$A110,元データ!$D$2:$D$20000,$B110,元データ!$B$2:$B$20000,$C$3,元データ!$C$2:$C$20000,I$5)</f>
        <v>0</v>
      </c>
      <c r="J110" s="16">
        <f>SUMIFS(INDEX(元データ!$E$2:$H$20000,0,MATCH($C$2,元データ!$E$1:$H$1,0)),元データ!$A$2:$A$20000,$A110,元データ!$D$2:$D$20000,$B110,元データ!$B$2:$B$20000,$C$3,元データ!$C$2:$C$20000,J$5)</f>
        <v>0</v>
      </c>
      <c r="K110" s="16">
        <f>SUMIFS(INDEX(元データ!$E$2:$H$20000,0,MATCH($C$2,元データ!$E$1:$H$1,0)),元データ!$A$2:$A$20000,$A110,元データ!$D$2:$D$20000,$B110,元データ!$B$2:$B$20000,$C$3,元データ!$C$2:$C$20000,K$5)</f>
        <v>0</v>
      </c>
      <c r="L110" s="16">
        <f>SUMIFS(INDEX(元データ!$E$2:$H$20000,0,MATCH($C$2,元データ!$E$1:$H$1,0)),元データ!$A$2:$A$20000,$A110,元データ!$D$2:$D$20000,$B110,元データ!$B$2:$B$20000,$C$3,元データ!$C$2:$C$20000,L$5)</f>
        <v>0</v>
      </c>
      <c r="M110" s="16">
        <f>SUMIFS(INDEX(元データ!$E$2:$H$20000,0,MATCH($C$2,元データ!$E$1:$H$1,0)),元データ!$A$2:$A$20000,$A110,元データ!$D$2:$D$20000,$B110,元データ!$B$2:$B$20000,$C$3,元データ!$C$2:$C$20000,M$5)</f>
        <v>0</v>
      </c>
      <c r="N110" s="16">
        <f>SUMIFS(INDEX(元データ!$E$2:$H$20000,0,MATCH($C$2,元データ!$E$1:$H$1,0)),元データ!$A$2:$A$20000,$A110,元データ!$D$2:$D$20000,$B110,元データ!$B$2:$B$20000,$C$3,元データ!$C$2:$C$20000,N$5)</f>
        <v>167</v>
      </c>
      <c r="O110" s="17">
        <f t="shared" si="6"/>
        <v>167</v>
      </c>
      <c r="P110" s="17">
        <f>SUMIFS(INDEX(元データ!$E$2:$H$20000,0,MATCH($C$2,元データ!$E$1:$H$1,0)),元データ!$A$2:$A$20000,$A110,元データ!$D$2:$D$20000,$B110,元データ!$B$2:$B$20000,$D$3)</f>
        <v>0</v>
      </c>
      <c r="Q110" s="25" t="str">
        <f t="shared" si="7"/>
        <v/>
      </c>
    </row>
    <row r="111" spans="1:17" x14ac:dyDescent="0.45">
      <c r="A111" s="14"/>
      <c r="B111" s="15" t="s">
        <v>32</v>
      </c>
      <c r="C111" s="16">
        <f>SUMIFS(INDEX(元データ!$E$2:$H$20000,0,MATCH($C$2,元データ!$E$1:$H$1,0)),元データ!$A$2:$A$20000,$A110,元データ!$D$2:$D$20000,$B111,元データ!$B$2:$B$20000,$C$3,元データ!$C$2:$C$20000,C$5)</f>
        <v>0</v>
      </c>
      <c r="D111" s="16">
        <f>SUMIFS(INDEX(元データ!$E$2:$H$20000,0,MATCH($C$2,元データ!$E$1:$H$1,0)),元データ!$A$2:$A$20000,$A110,元データ!$D$2:$D$20000,$B111,元データ!$B$2:$B$20000,$C$3,元データ!$C$2:$C$20000,D$5)</f>
        <v>0</v>
      </c>
      <c r="E111" s="16">
        <f>SUMIFS(INDEX(元データ!$E$2:$H$20000,0,MATCH($C$2,元データ!$E$1:$H$1,0)),元データ!$A$2:$A$20000,$A110,元データ!$D$2:$D$20000,$B111,元データ!$B$2:$B$20000,$C$3,元データ!$C$2:$C$20000,E$5)</f>
        <v>0</v>
      </c>
      <c r="F111" s="16">
        <f>SUMIFS(INDEX(元データ!$E$2:$H$20000,0,MATCH($C$2,元データ!$E$1:$H$1,0)),元データ!$A$2:$A$20000,$A110,元データ!$D$2:$D$20000,$B111,元データ!$B$2:$B$20000,$C$3,元データ!$C$2:$C$20000,F$5)</f>
        <v>0</v>
      </c>
      <c r="G111" s="16">
        <f>SUMIFS(INDEX(元データ!$E$2:$H$20000,0,MATCH($C$2,元データ!$E$1:$H$1,0)),元データ!$A$2:$A$20000,$A110,元データ!$D$2:$D$20000,$B111,元データ!$B$2:$B$20000,$C$3,元データ!$C$2:$C$20000,G$5)</f>
        <v>0</v>
      </c>
      <c r="H111" s="16">
        <f>SUMIFS(INDEX(元データ!$E$2:$H$20000,0,MATCH($C$2,元データ!$E$1:$H$1,0)),元データ!$A$2:$A$20000,$A110,元データ!$D$2:$D$20000,$B111,元データ!$B$2:$B$20000,$C$3,元データ!$C$2:$C$20000,H$5)</f>
        <v>0</v>
      </c>
      <c r="I111" s="16">
        <f>SUMIFS(INDEX(元データ!$E$2:$H$20000,0,MATCH($C$2,元データ!$E$1:$H$1,0)),元データ!$A$2:$A$20000,$A110,元データ!$D$2:$D$20000,$B111,元データ!$B$2:$B$20000,$C$3,元データ!$C$2:$C$20000,I$5)</f>
        <v>0</v>
      </c>
      <c r="J111" s="16">
        <f>SUMIFS(INDEX(元データ!$E$2:$H$20000,0,MATCH($C$2,元データ!$E$1:$H$1,0)),元データ!$A$2:$A$20000,$A110,元データ!$D$2:$D$20000,$B111,元データ!$B$2:$B$20000,$C$3,元データ!$C$2:$C$20000,J$5)</f>
        <v>0</v>
      </c>
      <c r="K111" s="16">
        <f>SUMIFS(INDEX(元データ!$E$2:$H$20000,0,MATCH($C$2,元データ!$E$1:$H$1,0)),元データ!$A$2:$A$20000,$A110,元データ!$D$2:$D$20000,$B111,元データ!$B$2:$B$20000,$C$3,元データ!$C$2:$C$20000,K$5)</f>
        <v>0</v>
      </c>
      <c r="L111" s="16">
        <f>SUMIFS(INDEX(元データ!$E$2:$H$20000,0,MATCH($C$2,元データ!$E$1:$H$1,0)),元データ!$A$2:$A$20000,$A110,元データ!$D$2:$D$20000,$B111,元データ!$B$2:$B$20000,$C$3,元データ!$C$2:$C$20000,L$5)</f>
        <v>0</v>
      </c>
      <c r="M111" s="16">
        <f>SUMIFS(INDEX(元データ!$E$2:$H$20000,0,MATCH($C$2,元データ!$E$1:$H$1,0)),元データ!$A$2:$A$20000,$A110,元データ!$D$2:$D$20000,$B111,元データ!$B$2:$B$20000,$C$3,元データ!$C$2:$C$20000,M$5)</f>
        <v>0</v>
      </c>
      <c r="N111" s="16">
        <f>SUMIFS(INDEX(元データ!$E$2:$H$20000,0,MATCH($C$2,元データ!$E$1:$H$1,0)),元データ!$A$2:$A$20000,$A110,元データ!$D$2:$D$20000,$B111,元データ!$B$2:$B$20000,$C$3,元データ!$C$2:$C$20000,N$5)</f>
        <v>3</v>
      </c>
      <c r="O111" s="17">
        <f t="shared" si="6"/>
        <v>3</v>
      </c>
      <c r="P111" s="17">
        <f>SUMIFS(INDEX(元データ!$E$2:$H$20000,0,MATCH($C$2,元データ!$E$1:$H$1,0)),元データ!$A$2:$A$20000,$A110,元データ!$D$2:$D$20000,$B111,元データ!$B$2:$B$20000,$D$3)</f>
        <v>0</v>
      </c>
      <c r="Q111" s="25" t="str">
        <f t="shared" si="7"/>
        <v/>
      </c>
    </row>
  </sheetData>
  <phoneticPr fontId="2"/>
  <dataValidations count="1">
    <dataValidation type="list" allowBlank="1" showInputMessage="1" showErrorMessage="1" sqref="C2" xr:uid="{D666E669-BE40-45F5-B0D9-0AA1F9EA5A4D}">
      <formula1>"売上金額,商品点数,客数,利用数"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FFAE-0D3B-44E4-9DBB-AA558CBA861E}">
  <dimension ref="A1:Q5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8" x14ac:dyDescent="0.45"/>
  <cols>
    <col min="1" max="1" width="16.69921875" customWidth="1"/>
    <col min="2" max="2" width="15.796875" customWidth="1"/>
    <col min="3" max="17" width="11.69921875" customWidth="1"/>
  </cols>
  <sheetData>
    <row r="1" spans="1:17" ht="22.2" x14ac:dyDescent="0.45">
      <c r="A1" s="4" t="s">
        <v>33</v>
      </c>
    </row>
    <row r="2" spans="1:17" x14ac:dyDescent="0.45">
      <c r="A2" s="3" t="s">
        <v>18</v>
      </c>
      <c r="C2" s="5" t="s">
        <v>7</v>
      </c>
    </row>
    <row r="3" spans="1:17" x14ac:dyDescent="0.45">
      <c r="A3" s="3" t="s">
        <v>1</v>
      </c>
      <c r="C3" s="2" t="s">
        <v>20</v>
      </c>
      <c r="D3" s="2" t="s">
        <v>21</v>
      </c>
    </row>
    <row r="5" spans="1:17" x14ac:dyDescent="0.45">
      <c r="A5" s="21" t="s">
        <v>0</v>
      </c>
      <c r="B5" s="22" t="s">
        <v>3</v>
      </c>
      <c r="C5" s="23">
        <v>8</v>
      </c>
      <c r="D5" s="23">
        <v>9</v>
      </c>
      <c r="E5" s="23">
        <v>10</v>
      </c>
      <c r="F5" s="23">
        <v>11</v>
      </c>
      <c r="G5" s="23">
        <v>12</v>
      </c>
      <c r="H5" s="23">
        <v>1</v>
      </c>
      <c r="I5" s="23">
        <v>2</v>
      </c>
      <c r="J5" s="23">
        <v>3</v>
      </c>
      <c r="K5" s="23">
        <v>4</v>
      </c>
      <c r="L5" s="23">
        <v>5</v>
      </c>
      <c r="M5" s="23">
        <v>6</v>
      </c>
      <c r="N5" s="23">
        <v>7</v>
      </c>
      <c r="O5" s="22" t="s">
        <v>25</v>
      </c>
      <c r="P5" s="22" t="s">
        <v>26</v>
      </c>
      <c r="Q5" s="24" t="s">
        <v>22</v>
      </c>
    </row>
    <row r="6" spans="1:17" x14ac:dyDescent="0.45">
      <c r="A6" s="14" t="str">
        <f>店舗マスタ!A2</f>
        <v>裾野本店</v>
      </c>
      <c r="B6" s="15" t="s">
        <v>34</v>
      </c>
      <c r="C6" s="16">
        <f>SUMIFS(INDEX(元データ!$E$2:$H$20000,0,MATCH($C$2,元データ!$E$1:$H$1,0)),元データ!$A$2:$A$20000,$A6,元データ!$D$2:$D$20000,$B6,元データ!$B$2:$B$20000,$C$3,元データ!$C$2:$C$20000,C$5)</f>
        <v>3</v>
      </c>
      <c r="D6" s="16">
        <f>SUMIFS(INDEX(元データ!$E$2:$H$20000,0,MATCH($C$2,元データ!$E$1:$H$1,0)),元データ!$A$2:$A$20000,$A6,元データ!$D$2:$D$20000,$B6,元データ!$B$2:$B$20000,$C$3,元データ!$C$2:$C$20000,D$5)</f>
        <v>8</v>
      </c>
      <c r="E6" s="16">
        <f>SUMIFS(INDEX(元データ!$E$2:$H$20000,0,MATCH($C$2,元データ!$E$1:$H$1,0)),元データ!$A$2:$A$20000,$A6,元データ!$D$2:$D$20000,$B6,元データ!$B$2:$B$20000,$C$3,元データ!$C$2:$C$20000,E$5)</f>
        <v>14</v>
      </c>
      <c r="F6" s="16">
        <f>SUMIFS(INDEX(元データ!$E$2:$H$20000,0,MATCH($C$2,元データ!$E$1:$H$1,0)),元データ!$A$2:$A$20000,$A6,元データ!$D$2:$D$20000,$B6,元データ!$B$2:$B$20000,$C$3,元データ!$C$2:$C$20000,F$5)</f>
        <v>16</v>
      </c>
      <c r="G6" s="16">
        <f>SUMIFS(INDEX(元データ!$E$2:$H$20000,0,MATCH($C$2,元データ!$E$1:$H$1,0)),元データ!$A$2:$A$20000,$A6,元データ!$D$2:$D$20000,$B6,元データ!$B$2:$B$20000,$C$3,元データ!$C$2:$C$20000,G$5)</f>
        <v>16</v>
      </c>
      <c r="H6" s="16">
        <f>SUMIFS(INDEX(元データ!$E$2:$H$20000,0,MATCH($C$2,元データ!$E$1:$H$1,0)),元データ!$A$2:$A$20000,$A6,元データ!$D$2:$D$20000,$B6,元データ!$B$2:$B$20000,$C$3,元データ!$C$2:$C$20000,H$5)</f>
        <v>0</v>
      </c>
      <c r="I6" s="16">
        <f>SUMIFS(INDEX(元データ!$E$2:$H$20000,0,MATCH($C$2,元データ!$E$1:$H$1,0)),元データ!$A$2:$A$20000,$A6,元データ!$D$2:$D$20000,$B6,元データ!$B$2:$B$20000,$C$3,元データ!$C$2:$C$20000,I$5)</f>
        <v>13</v>
      </c>
      <c r="J6" s="16">
        <f>SUMIFS(INDEX(元データ!$E$2:$H$20000,0,MATCH($C$2,元データ!$E$1:$H$1,0)),元データ!$A$2:$A$20000,$A6,元データ!$D$2:$D$20000,$B6,元データ!$B$2:$B$20000,$C$3,元データ!$C$2:$C$20000,J$5)</f>
        <v>13</v>
      </c>
      <c r="K6" s="16">
        <f>SUMIFS(INDEX(元データ!$E$2:$H$20000,0,MATCH($C$2,元データ!$E$1:$H$1,0)),元データ!$A$2:$A$20000,$A6,元データ!$D$2:$D$20000,$B6,元データ!$B$2:$B$20000,$C$3,元データ!$C$2:$C$20000,K$5)</f>
        <v>16</v>
      </c>
      <c r="L6" s="16">
        <f>SUMIFS(INDEX(元データ!$E$2:$H$20000,0,MATCH($C$2,元データ!$E$1:$H$1,0)),元データ!$A$2:$A$20000,$A6,元データ!$D$2:$D$20000,$B6,元データ!$B$2:$B$20000,$C$3,元データ!$C$2:$C$20000,L$5)</f>
        <v>14</v>
      </c>
      <c r="M6" s="16">
        <f>SUMIFS(INDEX(元データ!$E$2:$H$20000,0,MATCH($C$2,元データ!$E$1:$H$1,0)),元データ!$A$2:$A$20000,$A6,元データ!$D$2:$D$20000,$B6,元データ!$B$2:$B$20000,$C$3,元データ!$C$2:$C$20000,M$5)</f>
        <v>16</v>
      </c>
      <c r="N6" s="16">
        <f>SUMIFS(INDEX(元データ!$E$2:$H$20000,0,MATCH($C$2,元データ!$E$1:$H$1,0)),元データ!$A$2:$A$20000,$A6,元データ!$D$2:$D$20000,$B6,元データ!$B$2:$B$20000,$C$3,元データ!$C$2:$C$20000,N$5)</f>
        <v>16</v>
      </c>
      <c r="O6" s="17">
        <f t="shared" ref="O6:O37" si="0">SUM(C6:N6)</f>
        <v>145</v>
      </c>
      <c r="P6" s="17">
        <f>SUMIFS(INDEX(元データ!$E$2:$H$20000,0,MATCH($C$2,元データ!$E$1:$H$1,0)),元データ!$A$2:$A$20000,$A6,元データ!$D$2:$D$20000,$B6,元データ!$B$2:$B$20000,$D$3)</f>
        <v>0</v>
      </c>
      <c r="Q6" s="25" t="str">
        <f t="shared" ref="Q6:Q37" si="1">IFERROR(O6/P6,"")</f>
        <v/>
      </c>
    </row>
    <row r="7" spans="1:17" x14ac:dyDescent="0.45">
      <c r="A7" s="14" t="str">
        <f>店舗マスタ!A3</f>
        <v>三 島 店</v>
      </c>
      <c r="B7" s="15" t="s">
        <v>34</v>
      </c>
      <c r="C7" s="16">
        <f>SUMIFS(INDEX(元データ!$E$2:$H$20000,0,MATCH($C$2,元データ!$E$1:$H$1,0)),元データ!$A$2:$A$20000,$A7,元データ!$D$2:$D$20000,$B7,元データ!$B$2:$B$20000,$C$3,元データ!$C$2:$C$20000,C$5)</f>
        <v>13</v>
      </c>
      <c r="D7" s="16">
        <f>SUMIFS(INDEX(元データ!$E$2:$H$20000,0,MATCH($C$2,元データ!$E$1:$H$1,0)),元データ!$A$2:$A$20000,$A7,元データ!$D$2:$D$20000,$B7,元データ!$B$2:$B$20000,$C$3,元データ!$C$2:$C$20000,D$5)</f>
        <v>3</v>
      </c>
      <c r="E7" s="16">
        <f>SUMIFS(INDEX(元データ!$E$2:$H$20000,0,MATCH($C$2,元データ!$E$1:$H$1,0)),元データ!$A$2:$A$20000,$A7,元データ!$D$2:$D$20000,$B7,元データ!$B$2:$B$20000,$C$3,元データ!$C$2:$C$20000,E$5)</f>
        <v>13</v>
      </c>
      <c r="F7" s="16">
        <f>SUMIFS(INDEX(元データ!$E$2:$H$20000,0,MATCH($C$2,元データ!$E$1:$H$1,0)),元データ!$A$2:$A$20000,$A7,元データ!$D$2:$D$20000,$B7,元データ!$B$2:$B$20000,$C$3,元データ!$C$2:$C$20000,F$5)</f>
        <v>15</v>
      </c>
      <c r="G7" s="16">
        <f>SUMIFS(INDEX(元データ!$E$2:$H$20000,0,MATCH($C$2,元データ!$E$1:$H$1,0)),元データ!$A$2:$A$20000,$A7,元データ!$D$2:$D$20000,$B7,元データ!$B$2:$B$20000,$C$3,元データ!$C$2:$C$20000,G$5)</f>
        <v>19</v>
      </c>
      <c r="H7" s="16">
        <f>SUMIFS(INDEX(元データ!$E$2:$H$20000,0,MATCH($C$2,元データ!$E$1:$H$1,0)),元データ!$A$2:$A$20000,$A7,元データ!$D$2:$D$20000,$B7,元データ!$B$2:$B$20000,$C$3,元データ!$C$2:$C$20000,H$5)</f>
        <v>0</v>
      </c>
      <c r="I7" s="16">
        <f>SUMIFS(INDEX(元データ!$E$2:$H$20000,0,MATCH($C$2,元データ!$E$1:$H$1,0)),元データ!$A$2:$A$20000,$A7,元データ!$D$2:$D$20000,$B7,元データ!$B$2:$B$20000,$C$3,元データ!$C$2:$C$20000,I$5)</f>
        <v>11</v>
      </c>
      <c r="J7" s="16">
        <f>SUMIFS(INDEX(元データ!$E$2:$H$20000,0,MATCH($C$2,元データ!$E$1:$H$1,0)),元データ!$A$2:$A$20000,$A7,元データ!$D$2:$D$20000,$B7,元データ!$B$2:$B$20000,$C$3,元データ!$C$2:$C$20000,J$5)</f>
        <v>21</v>
      </c>
      <c r="K7" s="16">
        <f>SUMIFS(INDEX(元データ!$E$2:$H$20000,0,MATCH($C$2,元データ!$E$1:$H$1,0)),元データ!$A$2:$A$20000,$A7,元データ!$D$2:$D$20000,$B7,元データ!$B$2:$B$20000,$C$3,元データ!$C$2:$C$20000,K$5)</f>
        <v>22</v>
      </c>
      <c r="L7" s="16">
        <f>SUMIFS(INDEX(元データ!$E$2:$H$20000,0,MATCH($C$2,元データ!$E$1:$H$1,0)),元データ!$A$2:$A$20000,$A7,元データ!$D$2:$D$20000,$B7,元データ!$B$2:$B$20000,$C$3,元データ!$C$2:$C$20000,L$5)</f>
        <v>21</v>
      </c>
      <c r="M7" s="16">
        <f>SUMIFS(INDEX(元データ!$E$2:$H$20000,0,MATCH($C$2,元データ!$E$1:$H$1,0)),元データ!$A$2:$A$20000,$A7,元データ!$D$2:$D$20000,$B7,元データ!$B$2:$B$20000,$C$3,元データ!$C$2:$C$20000,M$5)</f>
        <v>17</v>
      </c>
      <c r="N7" s="16">
        <f>SUMIFS(INDEX(元データ!$E$2:$H$20000,0,MATCH($C$2,元データ!$E$1:$H$1,0)),元データ!$A$2:$A$20000,$A7,元データ!$D$2:$D$20000,$B7,元データ!$B$2:$B$20000,$C$3,元データ!$C$2:$C$20000,N$5)</f>
        <v>21</v>
      </c>
      <c r="O7" s="17">
        <f t="shared" si="0"/>
        <v>176</v>
      </c>
      <c r="P7" s="17">
        <f>SUMIFS(INDEX(元データ!$E$2:$H$20000,0,MATCH($C$2,元データ!$E$1:$H$1,0)),元データ!$A$2:$A$20000,$A7,元データ!$D$2:$D$20000,$B7,元データ!$B$2:$B$20000,$D$3)</f>
        <v>0</v>
      </c>
      <c r="Q7" s="25" t="str">
        <f t="shared" si="1"/>
        <v/>
      </c>
    </row>
    <row r="8" spans="1:17" x14ac:dyDescent="0.45">
      <c r="A8" s="14" t="str">
        <f>店舗マスタ!A4</f>
        <v>ｱｰｹｰﾄﾞ店</v>
      </c>
      <c r="B8" s="15" t="s">
        <v>34</v>
      </c>
      <c r="C8" s="16">
        <f>SUMIFS(INDEX(元データ!$E$2:$H$20000,0,MATCH($C$2,元データ!$E$1:$H$1,0)),元データ!$A$2:$A$20000,$A8,元データ!$D$2:$D$20000,$B8,元データ!$B$2:$B$20000,$C$3,元データ!$C$2:$C$20000,C$5)</f>
        <v>1</v>
      </c>
      <c r="D8" s="16">
        <f>SUMIFS(INDEX(元データ!$E$2:$H$20000,0,MATCH($C$2,元データ!$E$1:$H$1,0)),元データ!$A$2:$A$20000,$A8,元データ!$D$2:$D$20000,$B8,元データ!$B$2:$B$20000,$C$3,元データ!$C$2:$C$20000,D$5)</f>
        <v>3</v>
      </c>
      <c r="E8" s="16">
        <f>SUMIFS(INDEX(元データ!$E$2:$H$20000,0,MATCH($C$2,元データ!$E$1:$H$1,0)),元データ!$A$2:$A$20000,$A8,元データ!$D$2:$D$20000,$B8,元データ!$B$2:$B$20000,$C$3,元データ!$C$2:$C$20000,E$5)</f>
        <v>6</v>
      </c>
      <c r="F8" s="16">
        <f>SUMIFS(INDEX(元データ!$E$2:$H$20000,0,MATCH($C$2,元データ!$E$1:$H$1,0)),元データ!$A$2:$A$20000,$A8,元データ!$D$2:$D$20000,$B8,元データ!$B$2:$B$20000,$C$3,元データ!$C$2:$C$20000,F$5)</f>
        <v>5</v>
      </c>
      <c r="G8" s="16">
        <f>SUMIFS(INDEX(元データ!$E$2:$H$20000,0,MATCH($C$2,元データ!$E$1:$H$1,0)),元データ!$A$2:$A$20000,$A8,元データ!$D$2:$D$20000,$B8,元データ!$B$2:$B$20000,$C$3,元データ!$C$2:$C$20000,G$5)</f>
        <v>4</v>
      </c>
      <c r="H8" s="16">
        <f>SUMIFS(INDEX(元データ!$E$2:$H$20000,0,MATCH($C$2,元データ!$E$1:$H$1,0)),元データ!$A$2:$A$20000,$A8,元データ!$D$2:$D$20000,$B8,元データ!$B$2:$B$20000,$C$3,元データ!$C$2:$C$20000,H$5)</f>
        <v>0</v>
      </c>
      <c r="I8" s="16">
        <f>SUMIFS(INDEX(元データ!$E$2:$H$20000,0,MATCH($C$2,元データ!$E$1:$H$1,0)),元データ!$A$2:$A$20000,$A8,元データ!$D$2:$D$20000,$B8,元データ!$B$2:$B$20000,$C$3,元データ!$C$2:$C$20000,I$5)</f>
        <v>6</v>
      </c>
      <c r="J8" s="16">
        <f>SUMIFS(INDEX(元データ!$E$2:$H$20000,0,MATCH($C$2,元データ!$E$1:$H$1,0)),元データ!$A$2:$A$20000,$A8,元データ!$D$2:$D$20000,$B8,元データ!$B$2:$B$20000,$C$3,元データ!$C$2:$C$20000,J$5)</f>
        <v>3</v>
      </c>
      <c r="K8" s="16">
        <f>SUMIFS(INDEX(元データ!$E$2:$H$20000,0,MATCH($C$2,元データ!$E$1:$H$1,0)),元データ!$A$2:$A$20000,$A8,元データ!$D$2:$D$20000,$B8,元データ!$B$2:$B$20000,$C$3,元データ!$C$2:$C$20000,K$5)</f>
        <v>4</v>
      </c>
      <c r="L8" s="16">
        <f>SUMIFS(INDEX(元データ!$E$2:$H$20000,0,MATCH($C$2,元データ!$E$1:$H$1,0)),元データ!$A$2:$A$20000,$A8,元データ!$D$2:$D$20000,$B8,元データ!$B$2:$B$20000,$C$3,元データ!$C$2:$C$20000,L$5)</f>
        <v>5</v>
      </c>
      <c r="M8" s="16">
        <f>SUMIFS(INDEX(元データ!$E$2:$H$20000,0,MATCH($C$2,元データ!$E$1:$H$1,0)),元データ!$A$2:$A$20000,$A8,元データ!$D$2:$D$20000,$B8,元データ!$B$2:$B$20000,$C$3,元データ!$C$2:$C$20000,M$5)</f>
        <v>6</v>
      </c>
      <c r="N8" s="16">
        <f>SUMIFS(INDEX(元データ!$E$2:$H$20000,0,MATCH($C$2,元データ!$E$1:$H$1,0)),元データ!$A$2:$A$20000,$A8,元データ!$D$2:$D$20000,$B8,元データ!$B$2:$B$20000,$C$3,元データ!$C$2:$C$20000,N$5)</f>
        <v>0</v>
      </c>
      <c r="O8" s="17">
        <f t="shared" si="0"/>
        <v>43</v>
      </c>
      <c r="P8" s="17">
        <f>SUMIFS(INDEX(元データ!$E$2:$H$20000,0,MATCH($C$2,元データ!$E$1:$H$1,0)),元データ!$A$2:$A$20000,$A8,元データ!$D$2:$D$20000,$B8,元データ!$B$2:$B$20000,$D$3)</f>
        <v>0</v>
      </c>
      <c r="Q8" s="25" t="str">
        <f t="shared" si="1"/>
        <v/>
      </c>
    </row>
    <row r="9" spans="1:17" x14ac:dyDescent="0.45">
      <c r="A9" s="14" t="str">
        <f>店舗マスタ!A5</f>
        <v>東田中店</v>
      </c>
      <c r="B9" s="15" t="s">
        <v>34</v>
      </c>
      <c r="C9" s="16">
        <f>SUMIFS(INDEX(元データ!$E$2:$H$20000,0,MATCH($C$2,元データ!$E$1:$H$1,0)),元データ!$A$2:$A$20000,$A9,元データ!$D$2:$D$20000,$B9,元データ!$B$2:$B$20000,$C$3,元データ!$C$2:$C$20000,C$5)</f>
        <v>9</v>
      </c>
      <c r="D9" s="16">
        <f>SUMIFS(INDEX(元データ!$E$2:$H$20000,0,MATCH($C$2,元データ!$E$1:$H$1,0)),元データ!$A$2:$A$20000,$A9,元データ!$D$2:$D$20000,$B9,元データ!$B$2:$B$20000,$C$3,元データ!$C$2:$C$20000,D$5)</f>
        <v>6</v>
      </c>
      <c r="E9" s="16">
        <f>SUMIFS(INDEX(元データ!$E$2:$H$20000,0,MATCH($C$2,元データ!$E$1:$H$1,0)),元データ!$A$2:$A$20000,$A9,元データ!$D$2:$D$20000,$B9,元データ!$B$2:$B$20000,$C$3,元データ!$C$2:$C$20000,E$5)</f>
        <v>16</v>
      </c>
      <c r="F9" s="16">
        <f>SUMIFS(INDEX(元データ!$E$2:$H$20000,0,MATCH($C$2,元データ!$E$1:$H$1,0)),元データ!$A$2:$A$20000,$A9,元データ!$D$2:$D$20000,$B9,元データ!$B$2:$B$20000,$C$3,元データ!$C$2:$C$20000,F$5)</f>
        <v>15</v>
      </c>
      <c r="G9" s="16">
        <f>SUMIFS(INDEX(元データ!$E$2:$H$20000,0,MATCH($C$2,元データ!$E$1:$H$1,0)),元データ!$A$2:$A$20000,$A9,元データ!$D$2:$D$20000,$B9,元データ!$B$2:$B$20000,$C$3,元データ!$C$2:$C$20000,G$5)</f>
        <v>15</v>
      </c>
      <c r="H9" s="16">
        <f>SUMIFS(INDEX(元データ!$E$2:$H$20000,0,MATCH($C$2,元データ!$E$1:$H$1,0)),元データ!$A$2:$A$20000,$A9,元データ!$D$2:$D$20000,$B9,元データ!$B$2:$B$20000,$C$3,元データ!$C$2:$C$20000,H$5)</f>
        <v>0</v>
      </c>
      <c r="I9" s="16">
        <f>SUMIFS(INDEX(元データ!$E$2:$H$20000,0,MATCH($C$2,元データ!$E$1:$H$1,0)),元データ!$A$2:$A$20000,$A9,元データ!$D$2:$D$20000,$B9,元データ!$B$2:$B$20000,$C$3,元データ!$C$2:$C$20000,I$5)</f>
        <v>13</v>
      </c>
      <c r="J9" s="16">
        <f>SUMIFS(INDEX(元データ!$E$2:$H$20000,0,MATCH($C$2,元データ!$E$1:$H$1,0)),元データ!$A$2:$A$20000,$A9,元データ!$D$2:$D$20000,$B9,元データ!$B$2:$B$20000,$C$3,元データ!$C$2:$C$20000,J$5)</f>
        <v>17</v>
      </c>
      <c r="K9" s="16">
        <f>SUMIFS(INDEX(元データ!$E$2:$H$20000,0,MATCH($C$2,元データ!$E$1:$H$1,0)),元データ!$A$2:$A$20000,$A9,元データ!$D$2:$D$20000,$B9,元データ!$B$2:$B$20000,$C$3,元データ!$C$2:$C$20000,K$5)</f>
        <v>12</v>
      </c>
      <c r="L9" s="16">
        <f>SUMIFS(INDEX(元データ!$E$2:$H$20000,0,MATCH($C$2,元データ!$E$1:$H$1,0)),元データ!$A$2:$A$20000,$A9,元データ!$D$2:$D$20000,$B9,元データ!$B$2:$B$20000,$C$3,元データ!$C$2:$C$20000,L$5)</f>
        <v>17</v>
      </c>
      <c r="M9" s="16">
        <f>SUMIFS(INDEX(元データ!$E$2:$H$20000,0,MATCH($C$2,元データ!$E$1:$H$1,0)),元データ!$A$2:$A$20000,$A9,元データ!$D$2:$D$20000,$B9,元データ!$B$2:$B$20000,$C$3,元データ!$C$2:$C$20000,M$5)</f>
        <v>15</v>
      </c>
      <c r="N9" s="16">
        <f>SUMIFS(INDEX(元データ!$E$2:$H$20000,0,MATCH($C$2,元データ!$E$1:$H$1,0)),元データ!$A$2:$A$20000,$A9,元データ!$D$2:$D$20000,$B9,元データ!$B$2:$B$20000,$C$3,元データ!$C$2:$C$20000,N$5)</f>
        <v>16</v>
      </c>
      <c r="O9" s="17">
        <f t="shared" si="0"/>
        <v>151</v>
      </c>
      <c r="P9" s="17">
        <f>SUMIFS(INDEX(元データ!$E$2:$H$20000,0,MATCH($C$2,元データ!$E$1:$H$1,0)),元データ!$A$2:$A$20000,$A9,元データ!$D$2:$D$20000,$B9,元データ!$B$2:$B$20000,$D$3)</f>
        <v>0</v>
      </c>
      <c r="Q9" s="25" t="str">
        <f t="shared" si="1"/>
        <v/>
      </c>
    </row>
    <row r="10" spans="1:17" x14ac:dyDescent="0.45">
      <c r="A10" s="14" t="str">
        <f>店舗マスタ!A6</f>
        <v>桜堤店</v>
      </c>
      <c r="B10" s="15" t="s">
        <v>34</v>
      </c>
      <c r="C10" s="16">
        <f>SUMIFS(INDEX(元データ!$E$2:$H$20000,0,MATCH($C$2,元データ!$E$1:$H$1,0)),元データ!$A$2:$A$20000,$A10,元データ!$D$2:$D$20000,$B10,元データ!$B$2:$B$20000,$C$3,元データ!$C$2:$C$20000,C$5)</f>
        <v>6</v>
      </c>
      <c r="D10" s="16">
        <f>SUMIFS(INDEX(元データ!$E$2:$H$20000,0,MATCH($C$2,元データ!$E$1:$H$1,0)),元データ!$A$2:$A$20000,$A10,元データ!$D$2:$D$20000,$B10,元データ!$B$2:$B$20000,$C$3,元データ!$C$2:$C$20000,D$5)</f>
        <v>3</v>
      </c>
      <c r="E10" s="16">
        <f>SUMIFS(INDEX(元データ!$E$2:$H$20000,0,MATCH($C$2,元データ!$E$1:$H$1,0)),元データ!$A$2:$A$20000,$A10,元データ!$D$2:$D$20000,$B10,元データ!$B$2:$B$20000,$C$3,元データ!$C$2:$C$20000,E$5)</f>
        <v>10</v>
      </c>
      <c r="F10" s="16">
        <f>SUMIFS(INDEX(元データ!$E$2:$H$20000,0,MATCH($C$2,元データ!$E$1:$H$1,0)),元データ!$A$2:$A$20000,$A10,元データ!$D$2:$D$20000,$B10,元データ!$B$2:$B$20000,$C$3,元データ!$C$2:$C$20000,F$5)</f>
        <v>13</v>
      </c>
      <c r="G10" s="16">
        <f>SUMIFS(INDEX(元データ!$E$2:$H$20000,0,MATCH($C$2,元データ!$E$1:$H$1,0)),元データ!$A$2:$A$20000,$A10,元データ!$D$2:$D$20000,$B10,元データ!$B$2:$B$20000,$C$3,元データ!$C$2:$C$20000,G$5)</f>
        <v>12</v>
      </c>
      <c r="H10" s="16">
        <f>SUMIFS(INDEX(元データ!$E$2:$H$20000,0,MATCH($C$2,元データ!$E$1:$H$1,0)),元データ!$A$2:$A$20000,$A10,元データ!$D$2:$D$20000,$B10,元データ!$B$2:$B$20000,$C$3,元データ!$C$2:$C$20000,H$5)</f>
        <v>0</v>
      </c>
      <c r="I10" s="16">
        <f>SUMIFS(INDEX(元データ!$E$2:$H$20000,0,MATCH($C$2,元データ!$E$1:$H$1,0)),元データ!$A$2:$A$20000,$A10,元データ!$D$2:$D$20000,$B10,元データ!$B$2:$B$20000,$C$3,元データ!$C$2:$C$20000,I$5)</f>
        <v>9</v>
      </c>
      <c r="J10" s="16">
        <f>SUMIFS(INDEX(元データ!$E$2:$H$20000,0,MATCH($C$2,元データ!$E$1:$H$1,0)),元データ!$A$2:$A$20000,$A10,元データ!$D$2:$D$20000,$B10,元データ!$B$2:$B$20000,$C$3,元データ!$C$2:$C$20000,J$5)</f>
        <v>7</v>
      </c>
      <c r="K10" s="16">
        <f>SUMIFS(INDEX(元データ!$E$2:$H$20000,0,MATCH($C$2,元データ!$E$1:$H$1,0)),元データ!$A$2:$A$20000,$A10,元データ!$D$2:$D$20000,$B10,元データ!$B$2:$B$20000,$C$3,元データ!$C$2:$C$20000,K$5)</f>
        <v>8</v>
      </c>
      <c r="L10" s="16">
        <f>SUMIFS(INDEX(元データ!$E$2:$H$20000,0,MATCH($C$2,元データ!$E$1:$H$1,0)),元データ!$A$2:$A$20000,$A10,元データ!$D$2:$D$20000,$B10,元データ!$B$2:$B$20000,$C$3,元データ!$C$2:$C$20000,L$5)</f>
        <v>8</v>
      </c>
      <c r="M10" s="16">
        <f>SUMIFS(INDEX(元データ!$E$2:$H$20000,0,MATCH($C$2,元データ!$E$1:$H$1,0)),元データ!$A$2:$A$20000,$A10,元データ!$D$2:$D$20000,$B10,元データ!$B$2:$B$20000,$C$3,元データ!$C$2:$C$20000,M$5)</f>
        <v>7</v>
      </c>
      <c r="N10" s="16">
        <f>SUMIFS(INDEX(元データ!$E$2:$H$20000,0,MATCH($C$2,元データ!$E$1:$H$1,0)),元データ!$A$2:$A$20000,$A10,元データ!$D$2:$D$20000,$B10,元データ!$B$2:$B$20000,$C$3,元データ!$C$2:$C$20000,N$5)</f>
        <v>8</v>
      </c>
      <c r="O10" s="17">
        <f t="shared" si="0"/>
        <v>91</v>
      </c>
      <c r="P10" s="17">
        <f>SUMIFS(INDEX(元データ!$E$2:$H$20000,0,MATCH($C$2,元データ!$E$1:$H$1,0)),元データ!$A$2:$A$20000,$A10,元データ!$D$2:$D$20000,$B10,元データ!$B$2:$B$20000,$D$3)</f>
        <v>0</v>
      </c>
      <c r="Q10" s="25" t="str">
        <f t="shared" si="1"/>
        <v/>
      </c>
    </row>
    <row r="11" spans="1:17" x14ac:dyDescent="0.45">
      <c r="A11" s="14" t="str">
        <f>店舗マスタ!A7</f>
        <v>香貫店</v>
      </c>
      <c r="B11" s="15" t="s">
        <v>34</v>
      </c>
      <c r="C11" s="16">
        <f>SUMIFS(INDEX(元データ!$E$2:$H$20000,0,MATCH($C$2,元データ!$E$1:$H$1,0)),元データ!$A$2:$A$20000,$A11,元データ!$D$2:$D$20000,$B11,元データ!$B$2:$B$20000,$C$3,元データ!$C$2:$C$20000,C$5)</f>
        <v>8</v>
      </c>
      <c r="D11" s="16">
        <f>SUMIFS(INDEX(元データ!$E$2:$H$20000,0,MATCH($C$2,元データ!$E$1:$H$1,0)),元データ!$A$2:$A$20000,$A11,元データ!$D$2:$D$20000,$B11,元データ!$B$2:$B$20000,$C$3,元データ!$C$2:$C$20000,D$5)</f>
        <v>2</v>
      </c>
      <c r="E11" s="16">
        <f>SUMIFS(INDEX(元データ!$E$2:$H$20000,0,MATCH($C$2,元データ!$E$1:$H$1,0)),元データ!$A$2:$A$20000,$A11,元データ!$D$2:$D$20000,$B11,元データ!$B$2:$B$20000,$C$3,元データ!$C$2:$C$20000,E$5)</f>
        <v>12</v>
      </c>
      <c r="F11" s="16">
        <f>SUMIFS(INDEX(元データ!$E$2:$H$20000,0,MATCH($C$2,元データ!$E$1:$H$1,0)),元データ!$A$2:$A$20000,$A11,元データ!$D$2:$D$20000,$B11,元データ!$B$2:$B$20000,$C$3,元データ!$C$2:$C$20000,F$5)</f>
        <v>10</v>
      </c>
      <c r="G11" s="16">
        <f>SUMIFS(INDEX(元データ!$E$2:$H$20000,0,MATCH($C$2,元データ!$E$1:$H$1,0)),元データ!$A$2:$A$20000,$A11,元データ!$D$2:$D$20000,$B11,元データ!$B$2:$B$20000,$C$3,元データ!$C$2:$C$20000,G$5)</f>
        <v>12</v>
      </c>
      <c r="H11" s="16">
        <f>SUMIFS(INDEX(元データ!$E$2:$H$20000,0,MATCH($C$2,元データ!$E$1:$H$1,0)),元データ!$A$2:$A$20000,$A11,元データ!$D$2:$D$20000,$B11,元データ!$B$2:$B$20000,$C$3,元データ!$C$2:$C$20000,H$5)</f>
        <v>0</v>
      </c>
      <c r="I11" s="16">
        <f>SUMIFS(INDEX(元データ!$E$2:$H$20000,0,MATCH($C$2,元データ!$E$1:$H$1,0)),元データ!$A$2:$A$20000,$A11,元データ!$D$2:$D$20000,$B11,元データ!$B$2:$B$20000,$C$3,元データ!$C$2:$C$20000,I$5)</f>
        <v>12</v>
      </c>
      <c r="J11" s="16">
        <f>SUMIFS(INDEX(元データ!$E$2:$H$20000,0,MATCH($C$2,元データ!$E$1:$H$1,0)),元データ!$A$2:$A$20000,$A11,元データ!$D$2:$D$20000,$B11,元データ!$B$2:$B$20000,$C$3,元データ!$C$2:$C$20000,J$5)</f>
        <v>12</v>
      </c>
      <c r="K11" s="16">
        <f>SUMIFS(INDEX(元データ!$E$2:$H$20000,0,MATCH($C$2,元データ!$E$1:$H$1,0)),元データ!$A$2:$A$20000,$A11,元データ!$D$2:$D$20000,$B11,元データ!$B$2:$B$20000,$C$3,元データ!$C$2:$C$20000,K$5)</f>
        <v>9</v>
      </c>
      <c r="L11" s="16">
        <f>SUMIFS(INDEX(元データ!$E$2:$H$20000,0,MATCH($C$2,元データ!$E$1:$H$1,0)),元データ!$A$2:$A$20000,$A11,元データ!$D$2:$D$20000,$B11,元データ!$B$2:$B$20000,$C$3,元データ!$C$2:$C$20000,L$5)</f>
        <v>11</v>
      </c>
      <c r="M11" s="16">
        <f>SUMIFS(INDEX(元データ!$E$2:$H$20000,0,MATCH($C$2,元データ!$E$1:$H$1,0)),元データ!$A$2:$A$20000,$A11,元データ!$D$2:$D$20000,$B11,元データ!$B$2:$B$20000,$C$3,元データ!$C$2:$C$20000,M$5)</f>
        <v>11</v>
      </c>
      <c r="N11" s="16">
        <f>SUMIFS(INDEX(元データ!$E$2:$H$20000,0,MATCH($C$2,元データ!$E$1:$H$1,0)),元データ!$A$2:$A$20000,$A11,元データ!$D$2:$D$20000,$B11,元データ!$B$2:$B$20000,$C$3,元データ!$C$2:$C$20000,N$5)</f>
        <v>15</v>
      </c>
      <c r="O11" s="17">
        <f t="shared" si="0"/>
        <v>114</v>
      </c>
      <c r="P11" s="17">
        <f>SUMIFS(INDEX(元データ!$E$2:$H$20000,0,MATCH($C$2,元データ!$E$1:$H$1,0)),元データ!$A$2:$A$20000,$A11,元データ!$D$2:$D$20000,$B11,元データ!$B$2:$B$20000,$D$3)</f>
        <v>0</v>
      </c>
      <c r="Q11" s="25" t="str">
        <f t="shared" si="1"/>
        <v/>
      </c>
    </row>
    <row r="12" spans="1:17" x14ac:dyDescent="0.45">
      <c r="A12" s="14" t="str">
        <f>店舗マスタ!A8</f>
        <v>学園通り店</v>
      </c>
      <c r="B12" s="15" t="s">
        <v>34</v>
      </c>
      <c r="C12" s="16">
        <f>SUMIFS(INDEX(元データ!$E$2:$H$20000,0,MATCH($C$2,元データ!$E$1:$H$1,0)),元データ!$A$2:$A$20000,$A12,元データ!$D$2:$D$20000,$B12,元データ!$B$2:$B$20000,$C$3,元データ!$C$2:$C$20000,C$5)</f>
        <v>15</v>
      </c>
      <c r="D12" s="16">
        <f>SUMIFS(INDEX(元データ!$E$2:$H$20000,0,MATCH($C$2,元データ!$E$1:$H$1,0)),元データ!$A$2:$A$20000,$A12,元データ!$D$2:$D$20000,$B12,元データ!$B$2:$B$20000,$C$3,元データ!$C$2:$C$20000,D$5)</f>
        <v>7</v>
      </c>
      <c r="E12" s="16">
        <f>SUMIFS(INDEX(元データ!$E$2:$H$20000,0,MATCH($C$2,元データ!$E$1:$H$1,0)),元データ!$A$2:$A$20000,$A12,元データ!$D$2:$D$20000,$B12,元データ!$B$2:$B$20000,$C$3,元データ!$C$2:$C$20000,E$5)</f>
        <v>19</v>
      </c>
      <c r="F12" s="16">
        <f>SUMIFS(INDEX(元データ!$E$2:$H$20000,0,MATCH($C$2,元データ!$E$1:$H$1,0)),元データ!$A$2:$A$20000,$A12,元データ!$D$2:$D$20000,$B12,元データ!$B$2:$B$20000,$C$3,元データ!$C$2:$C$20000,F$5)</f>
        <v>19</v>
      </c>
      <c r="G12" s="16">
        <f>SUMIFS(INDEX(元データ!$E$2:$H$20000,0,MATCH($C$2,元データ!$E$1:$H$1,0)),元データ!$A$2:$A$20000,$A12,元データ!$D$2:$D$20000,$B12,元データ!$B$2:$B$20000,$C$3,元データ!$C$2:$C$20000,G$5)</f>
        <v>27</v>
      </c>
      <c r="H12" s="16">
        <f>SUMIFS(INDEX(元データ!$E$2:$H$20000,0,MATCH($C$2,元データ!$E$1:$H$1,0)),元データ!$A$2:$A$20000,$A12,元データ!$D$2:$D$20000,$B12,元データ!$B$2:$B$20000,$C$3,元データ!$C$2:$C$20000,H$5)</f>
        <v>0</v>
      </c>
      <c r="I12" s="16">
        <f>SUMIFS(INDEX(元データ!$E$2:$H$20000,0,MATCH($C$2,元データ!$E$1:$H$1,0)),元データ!$A$2:$A$20000,$A12,元データ!$D$2:$D$20000,$B12,元データ!$B$2:$B$20000,$C$3,元データ!$C$2:$C$20000,I$5)</f>
        <v>24</v>
      </c>
      <c r="J12" s="16">
        <f>SUMIFS(INDEX(元データ!$E$2:$H$20000,0,MATCH($C$2,元データ!$E$1:$H$1,0)),元データ!$A$2:$A$20000,$A12,元データ!$D$2:$D$20000,$B12,元データ!$B$2:$B$20000,$C$3,元データ!$C$2:$C$20000,J$5)</f>
        <v>23</v>
      </c>
      <c r="K12" s="16">
        <f>SUMIFS(INDEX(元データ!$E$2:$H$20000,0,MATCH($C$2,元データ!$E$1:$H$1,0)),元データ!$A$2:$A$20000,$A12,元データ!$D$2:$D$20000,$B12,元データ!$B$2:$B$20000,$C$3,元データ!$C$2:$C$20000,K$5)</f>
        <v>23</v>
      </c>
      <c r="L12" s="16">
        <f>SUMIFS(INDEX(元データ!$E$2:$H$20000,0,MATCH($C$2,元データ!$E$1:$H$1,0)),元データ!$A$2:$A$20000,$A12,元データ!$D$2:$D$20000,$B12,元データ!$B$2:$B$20000,$C$3,元データ!$C$2:$C$20000,L$5)</f>
        <v>24</v>
      </c>
      <c r="M12" s="16">
        <f>SUMIFS(INDEX(元データ!$E$2:$H$20000,0,MATCH($C$2,元データ!$E$1:$H$1,0)),元データ!$A$2:$A$20000,$A12,元データ!$D$2:$D$20000,$B12,元データ!$B$2:$B$20000,$C$3,元データ!$C$2:$C$20000,M$5)</f>
        <v>25</v>
      </c>
      <c r="N12" s="16">
        <f>SUMIFS(INDEX(元データ!$E$2:$H$20000,0,MATCH($C$2,元データ!$E$1:$H$1,0)),元データ!$A$2:$A$20000,$A12,元データ!$D$2:$D$20000,$B12,元データ!$B$2:$B$20000,$C$3,元データ!$C$2:$C$20000,N$5)</f>
        <v>22</v>
      </c>
      <c r="O12" s="17">
        <f t="shared" si="0"/>
        <v>228</v>
      </c>
      <c r="P12" s="17">
        <f>SUMIFS(INDEX(元データ!$E$2:$H$20000,0,MATCH($C$2,元データ!$E$1:$H$1,0)),元データ!$A$2:$A$20000,$A12,元データ!$D$2:$D$20000,$B12,元データ!$B$2:$B$20000,$D$3)</f>
        <v>0</v>
      </c>
      <c r="Q12" s="25" t="str">
        <f t="shared" si="1"/>
        <v/>
      </c>
    </row>
    <row r="13" spans="1:17" x14ac:dyDescent="0.45">
      <c r="A13" s="14" t="str">
        <f>店舗マスタ!A9</f>
        <v>伏見店</v>
      </c>
      <c r="B13" s="15" t="s">
        <v>34</v>
      </c>
      <c r="C13" s="16">
        <f>SUMIFS(INDEX(元データ!$E$2:$H$20000,0,MATCH($C$2,元データ!$E$1:$H$1,0)),元データ!$A$2:$A$20000,$A13,元データ!$D$2:$D$20000,$B13,元データ!$B$2:$B$20000,$C$3,元データ!$C$2:$C$20000,C$5)</f>
        <v>8</v>
      </c>
      <c r="D13" s="16">
        <f>SUMIFS(INDEX(元データ!$E$2:$H$20000,0,MATCH($C$2,元データ!$E$1:$H$1,0)),元データ!$A$2:$A$20000,$A13,元データ!$D$2:$D$20000,$B13,元データ!$B$2:$B$20000,$C$3,元データ!$C$2:$C$20000,D$5)</f>
        <v>1</v>
      </c>
      <c r="E13" s="16">
        <f>SUMIFS(INDEX(元データ!$E$2:$H$20000,0,MATCH($C$2,元データ!$E$1:$H$1,0)),元データ!$A$2:$A$20000,$A13,元データ!$D$2:$D$20000,$B13,元データ!$B$2:$B$20000,$C$3,元データ!$C$2:$C$20000,E$5)</f>
        <v>8</v>
      </c>
      <c r="F13" s="16">
        <f>SUMIFS(INDEX(元データ!$E$2:$H$20000,0,MATCH($C$2,元データ!$E$1:$H$1,0)),元データ!$A$2:$A$20000,$A13,元データ!$D$2:$D$20000,$B13,元データ!$B$2:$B$20000,$C$3,元データ!$C$2:$C$20000,F$5)</f>
        <v>7</v>
      </c>
      <c r="G13" s="16">
        <f>SUMIFS(INDEX(元データ!$E$2:$H$20000,0,MATCH($C$2,元データ!$E$1:$H$1,0)),元データ!$A$2:$A$20000,$A13,元データ!$D$2:$D$20000,$B13,元データ!$B$2:$B$20000,$C$3,元データ!$C$2:$C$20000,G$5)</f>
        <v>8</v>
      </c>
      <c r="H13" s="16">
        <f>SUMIFS(INDEX(元データ!$E$2:$H$20000,0,MATCH($C$2,元データ!$E$1:$H$1,0)),元データ!$A$2:$A$20000,$A13,元データ!$D$2:$D$20000,$B13,元データ!$B$2:$B$20000,$C$3,元データ!$C$2:$C$20000,H$5)</f>
        <v>0</v>
      </c>
      <c r="I13" s="16">
        <f>SUMIFS(INDEX(元データ!$E$2:$H$20000,0,MATCH($C$2,元データ!$E$1:$H$1,0)),元データ!$A$2:$A$20000,$A13,元データ!$D$2:$D$20000,$B13,元データ!$B$2:$B$20000,$C$3,元データ!$C$2:$C$20000,I$5)</f>
        <v>14</v>
      </c>
      <c r="J13" s="16">
        <f>SUMIFS(INDEX(元データ!$E$2:$H$20000,0,MATCH($C$2,元データ!$E$1:$H$1,0)),元データ!$A$2:$A$20000,$A13,元データ!$D$2:$D$20000,$B13,元データ!$B$2:$B$20000,$C$3,元データ!$C$2:$C$20000,J$5)</f>
        <v>15</v>
      </c>
      <c r="K13" s="16">
        <f>SUMIFS(INDEX(元データ!$E$2:$H$20000,0,MATCH($C$2,元データ!$E$1:$H$1,0)),元データ!$A$2:$A$20000,$A13,元データ!$D$2:$D$20000,$B13,元データ!$B$2:$B$20000,$C$3,元データ!$C$2:$C$20000,K$5)</f>
        <v>15</v>
      </c>
      <c r="L13" s="16">
        <f>SUMIFS(INDEX(元データ!$E$2:$H$20000,0,MATCH($C$2,元データ!$E$1:$H$1,0)),元データ!$A$2:$A$20000,$A13,元データ!$D$2:$D$20000,$B13,元データ!$B$2:$B$20000,$C$3,元データ!$C$2:$C$20000,L$5)</f>
        <v>12</v>
      </c>
      <c r="M13" s="16">
        <f>SUMIFS(INDEX(元データ!$E$2:$H$20000,0,MATCH($C$2,元データ!$E$1:$H$1,0)),元データ!$A$2:$A$20000,$A13,元データ!$D$2:$D$20000,$B13,元データ!$B$2:$B$20000,$C$3,元データ!$C$2:$C$20000,M$5)</f>
        <v>0</v>
      </c>
      <c r="N13" s="16">
        <f>SUMIFS(INDEX(元データ!$E$2:$H$20000,0,MATCH($C$2,元データ!$E$1:$H$1,0)),元データ!$A$2:$A$20000,$A13,元データ!$D$2:$D$20000,$B13,元データ!$B$2:$B$20000,$C$3,元データ!$C$2:$C$20000,N$5)</f>
        <v>0</v>
      </c>
      <c r="O13" s="17">
        <f t="shared" si="0"/>
        <v>88</v>
      </c>
      <c r="P13" s="17">
        <f>SUMIFS(INDEX(元データ!$E$2:$H$20000,0,MATCH($C$2,元データ!$E$1:$H$1,0)),元データ!$A$2:$A$20000,$A13,元データ!$D$2:$D$20000,$B13,元データ!$B$2:$B$20000,$D$3)</f>
        <v>0</v>
      </c>
      <c r="Q13" s="25" t="str">
        <f t="shared" si="1"/>
        <v/>
      </c>
    </row>
    <row r="14" spans="1:17" x14ac:dyDescent="0.45">
      <c r="A14" s="14" t="str">
        <f>店舗マスタ!A10</f>
        <v>原里店</v>
      </c>
      <c r="B14" s="15" t="s">
        <v>34</v>
      </c>
      <c r="C14" s="16">
        <f>SUMIFS(INDEX(元データ!$E$2:$H$20000,0,MATCH($C$2,元データ!$E$1:$H$1,0)),元データ!$A$2:$A$20000,$A14,元データ!$D$2:$D$20000,$B14,元データ!$B$2:$B$20000,$C$3,元データ!$C$2:$C$20000,C$5)</f>
        <v>2</v>
      </c>
      <c r="D14" s="16">
        <f>SUMIFS(INDEX(元データ!$E$2:$H$20000,0,MATCH($C$2,元データ!$E$1:$H$1,0)),元データ!$A$2:$A$20000,$A14,元データ!$D$2:$D$20000,$B14,元データ!$B$2:$B$20000,$C$3,元データ!$C$2:$C$20000,D$5)</f>
        <v>2</v>
      </c>
      <c r="E14" s="16">
        <f>SUMIFS(INDEX(元データ!$E$2:$H$20000,0,MATCH($C$2,元データ!$E$1:$H$1,0)),元データ!$A$2:$A$20000,$A14,元データ!$D$2:$D$20000,$B14,元データ!$B$2:$B$20000,$C$3,元データ!$C$2:$C$20000,E$5)</f>
        <v>3</v>
      </c>
      <c r="F14" s="16">
        <f>SUMIFS(INDEX(元データ!$E$2:$H$20000,0,MATCH($C$2,元データ!$E$1:$H$1,0)),元データ!$A$2:$A$20000,$A14,元データ!$D$2:$D$20000,$B14,元データ!$B$2:$B$20000,$C$3,元データ!$C$2:$C$20000,F$5)</f>
        <v>3</v>
      </c>
      <c r="G14" s="16">
        <f>SUMIFS(INDEX(元データ!$E$2:$H$20000,0,MATCH($C$2,元データ!$E$1:$H$1,0)),元データ!$A$2:$A$20000,$A14,元データ!$D$2:$D$20000,$B14,元データ!$B$2:$B$20000,$C$3,元データ!$C$2:$C$20000,G$5)</f>
        <v>3</v>
      </c>
      <c r="H14" s="16">
        <f>SUMIFS(INDEX(元データ!$E$2:$H$20000,0,MATCH($C$2,元データ!$E$1:$H$1,0)),元データ!$A$2:$A$20000,$A14,元データ!$D$2:$D$20000,$B14,元データ!$B$2:$B$20000,$C$3,元データ!$C$2:$C$20000,H$5)</f>
        <v>0</v>
      </c>
      <c r="I14" s="16">
        <f>SUMIFS(INDEX(元データ!$E$2:$H$20000,0,MATCH($C$2,元データ!$E$1:$H$1,0)),元データ!$A$2:$A$20000,$A14,元データ!$D$2:$D$20000,$B14,元データ!$B$2:$B$20000,$C$3,元データ!$C$2:$C$20000,I$5)</f>
        <v>7</v>
      </c>
      <c r="J14" s="16">
        <f>SUMIFS(INDEX(元データ!$E$2:$H$20000,0,MATCH($C$2,元データ!$E$1:$H$1,0)),元データ!$A$2:$A$20000,$A14,元データ!$D$2:$D$20000,$B14,元データ!$B$2:$B$20000,$C$3,元データ!$C$2:$C$20000,J$5)</f>
        <v>5</v>
      </c>
      <c r="K14" s="16">
        <f>SUMIFS(INDEX(元データ!$E$2:$H$20000,0,MATCH($C$2,元データ!$E$1:$H$1,0)),元データ!$A$2:$A$20000,$A14,元データ!$D$2:$D$20000,$B14,元データ!$B$2:$B$20000,$C$3,元データ!$C$2:$C$20000,K$5)</f>
        <v>6</v>
      </c>
      <c r="L14" s="16">
        <f>SUMIFS(INDEX(元データ!$E$2:$H$20000,0,MATCH($C$2,元データ!$E$1:$H$1,0)),元データ!$A$2:$A$20000,$A14,元データ!$D$2:$D$20000,$B14,元データ!$B$2:$B$20000,$C$3,元データ!$C$2:$C$20000,L$5)</f>
        <v>8</v>
      </c>
      <c r="M14" s="16">
        <f>SUMIFS(INDEX(元データ!$E$2:$H$20000,0,MATCH($C$2,元データ!$E$1:$H$1,0)),元データ!$A$2:$A$20000,$A14,元データ!$D$2:$D$20000,$B14,元データ!$B$2:$B$20000,$C$3,元データ!$C$2:$C$20000,M$5)</f>
        <v>6</v>
      </c>
      <c r="N14" s="16">
        <f>SUMIFS(INDEX(元データ!$E$2:$H$20000,0,MATCH($C$2,元データ!$E$1:$H$1,0)),元データ!$A$2:$A$20000,$A14,元データ!$D$2:$D$20000,$B14,元データ!$B$2:$B$20000,$C$3,元データ!$C$2:$C$20000,N$5)</f>
        <v>6</v>
      </c>
      <c r="O14" s="17">
        <f t="shared" si="0"/>
        <v>51</v>
      </c>
      <c r="P14" s="17">
        <f>SUMIFS(INDEX(元データ!$E$2:$H$20000,0,MATCH($C$2,元データ!$E$1:$H$1,0)),元データ!$A$2:$A$20000,$A14,元データ!$D$2:$D$20000,$B14,元データ!$B$2:$B$20000,$D$3)</f>
        <v>0</v>
      </c>
      <c r="Q14" s="25" t="str">
        <f t="shared" si="1"/>
        <v/>
      </c>
    </row>
    <row r="15" spans="1:17" x14ac:dyDescent="0.45">
      <c r="A15" s="14" t="str">
        <f>店舗マスタ!A11</f>
        <v>岡の宮店</v>
      </c>
      <c r="B15" s="15" t="s">
        <v>34</v>
      </c>
      <c r="C15" s="16">
        <f>SUMIFS(INDEX(元データ!$E$2:$H$20000,0,MATCH($C$2,元データ!$E$1:$H$1,0)),元データ!$A$2:$A$20000,$A15,元データ!$D$2:$D$20000,$B15,元データ!$B$2:$B$20000,$C$3,元データ!$C$2:$C$20000,C$5)</f>
        <v>8</v>
      </c>
      <c r="D15" s="16">
        <f>SUMIFS(INDEX(元データ!$E$2:$H$20000,0,MATCH($C$2,元データ!$E$1:$H$1,0)),元データ!$A$2:$A$20000,$A15,元データ!$D$2:$D$20000,$B15,元データ!$B$2:$B$20000,$C$3,元データ!$C$2:$C$20000,D$5)</f>
        <v>2</v>
      </c>
      <c r="E15" s="16">
        <f>SUMIFS(INDEX(元データ!$E$2:$H$20000,0,MATCH($C$2,元データ!$E$1:$H$1,0)),元データ!$A$2:$A$20000,$A15,元データ!$D$2:$D$20000,$B15,元データ!$B$2:$B$20000,$C$3,元データ!$C$2:$C$20000,E$5)</f>
        <v>5</v>
      </c>
      <c r="F15" s="16">
        <f>SUMIFS(INDEX(元データ!$E$2:$H$20000,0,MATCH($C$2,元データ!$E$1:$H$1,0)),元データ!$A$2:$A$20000,$A15,元データ!$D$2:$D$20000,$B15,元データ!$B$2:$B$20000,$C$3,元データ!$C$2:$C$20000,F$5)</f>
        <v>13</v>
      </c>
      <c r="G15" s="16">
        <f>SUMIFS(INDEX(元データ!$E$2:$H$20000,0,MATCH($C$2,元データ!$E$1:$H$1,0)),元データ!$A$2:$A$20000,$A15,元データ!$D$2:$D$20000,$B15,元データ!$B$2:$B$20000,$C$3,元データ!$C$2:$C$20000,G$5)</f>
        <v>9</v>
      </c>
      <c r="H15" s="16">
        <f>SUMIFS(INDEX(元データ!$E$2:$H$20000,0,MATCH($C$2,元データ!$E$1:$H$1,0)),元データ!$A$2:$A$20000,$A15,元データ!$D$2:$D$20000,$B15,元データ!$B$2:$B$20000,$C$3,元データ!$C$2:$C$20000,H$5)</f>
        <v>0</v>
      </c>
      <c r="I15" s="16">
        <f>SUMIFS(INDEX(元データ!$E$2:$H$20000,0,MATCH($C$2,元データ!$E$1:$H$1,0)),元データ!$A$2:$A$20000,$A15,元データ!$D$2:$D$20000,$B15,元データ!$B$2:$B$20000,$C$3,元データ!$C$2:$C$20000,I$5)</f>
        <v>11</v>
      </c>
      <c r="J15" s="16">
        <f>SUMIFS(INDEX(元データ!$E$2:$H$20000,0,MATCH($C$2,元データ!$E$1:$H$1,0)),元データ!$A$2:$A$20000,$A15,元データ!$D$2:$D$20000,$B15,元データ!$B$2:$B$20000,$C$3,元データ!$C$2:$C$20000,J$5)</f>
        <v>10</v>
      </c>
      <c r="K15" s="16">
        <f>SUMIFS(INDEX(元データ!$E$2:$H$20000,0,MATCH($C$2,元データ!$E$1:$H$1,0)),元データ!$A$2:$A$20000,$A15,元データ!$D$2:$D$20000,$B15,元データ!$B$2:$B$20000,$C$3,元データ!$C$2:$C$20000,K$5)</f>
        <v>8</v>
      </c>
      <c r="L15" s="16">
        <f>SUMIFS(INDEX(元データ!$E$2:$H$20000,0,MATCH($C$2,元データ!$E$1:$H$1,0)),元データ!$A$2:$A$20000,$A15,元データ!$D$2:$D$20000,$B15,元データ!$B$2:$B$20000,$C$3,元データ!$C$2:$C$20000,L$5)</f>
        <v>6</v>
      </c>
      <c r="M15" s="16">
        <f>SUMIFS(INDEX(元データ!$E$2:$H$20000,0,MATCH($C$2,元データ!$E$1:$H$1,0)),元データ!$A$2:$A$20000,$A15,元データ!$D$2:$D$20000,$B15,元データ!$B$2:$B$20000,$C$3,元データ!$C$2:$C$20000,M$5)</f>
        <v>8</v>
      </c>
      <c r="N15" s="16">
        <f>SUMIFS(INDEX(元データ!$E$2:$H$20000,0,MATCH($C$2,元データ!$E$1:$H$1,0)),元データ!$A$2:$A$20000,$A15,元データ!$D$2:$D$20000,$B15,元データ!$B$2:$B$20000,$C$3,元データ!$C$2:$C$20000,N$5)</f>
        <v>7</v>
      </c>
      <c r="O15" s="17">
        <f t="shared" si="0"/>
        <v>87</v>
      </c>
      <c r="P15" s="17">
        <f>SUMIFS(INDEX(元データ!$E$2:$H$20000,0,MATCH($C$2,元データ!$E$1:$H$1,0)),元データ!$A$2:$A$20000,$A15,元データ!$D$2:$D$20000,$B15,元データ!$B$2:$B$20000,$D$3)</f>
        <v>0</v>
      </c>
      <c r="Q15" s="25" t="str">
        <f t="shared" si="1"/>
        <v/>
      </c>
    </row>
    <row r="16" spans="1:17" x14ac:dyDescent="0.45">
      <c r="A16" s="14" t="str">
        <f>店舗マスタ!A12</f>
        <v>川島田店</v>
      </c>
      <c r="B16" s="15" t="s">
        <v>34</v>
      </c>
      <c r="C16" s="16">
        <f>SUMIFS(INDEX(元データ!$E$2:$H$20000,0,MATCH($C$2,元データ!$E$1:$H$1,0)),元データ!$A$2:$A$20000,$A16,元データ!$D$2:$D$20000,$B16,元データ!$B$2:$B$20000,$C$3,元データ!$C$2:$C$20000,C$5)</f>
        <v>7</v>
      </c>
      <c r="D16" s="16">
        <f>SUMIFS(INDEX(元データ!$E$2:$H$20000,0,MATCH($C$2,元データ!$E$1:$H$1,0)),元データ!$A$2:$A$20000,$A16,元データ!$D$2:$D$20000,$B16,元データ!$B$2:$B$20000,$C$3,元データ!$C$2:$C$20000,D$5)</f>
        <v>5</v>
      </c>
      <c r="E16" s="16">
        <f>SUMIFS(INDEX(元データ!$E$2:$H$20000,0,MATCH($C$2,元データ!$E$1:$H$1,0)),元データ!$A$2:$A$20000,$A16,元データ!$D$2:$D$20000,$B16,元データ!$B$2:$B$20000,$C$3,元データ!$C$2:$C$20000,E$5)</f>
        <v>12</v>
      </c>
      <c r="F16" s="16">
        <f>SUMIFS(INDEX(元データ!$E$2:$H$20000,0,MATCH($C$2,元データ!$E$1:$H$1,0)),元データ!$A$2:$A$20000,$A16,元データ!$D$2:$D$20000,$B16,元データ!$B$2:$B$20000,$C$3,元データ!$C$2:$C$20000,F$5)</f>
        <v>9</v>
      </c>
      <c r="G16" s="16">
        <f>SUMIFS(INDEX(元データ!$E$2:$H$20000,0,MATCH($C$2,元データ!$E$1:$H$1,0)),元データ!$A$2:$A$20000,$A16,元データ!$D$2:$D$20000,$B16,元データ!$B$2:$B$20000,$C$3,元データ!$C$2:$C$20000,G$5)</f>
        <v>11</v>
      </c>
      <c r="H16" s="16">
        <f>SUMIFS(INDEX(元データ!$E$2:$H$20000,0,MATCH($C$2,元データ!$E$1:$H$1,0)),元データ!$A$2:$A$20000,$A16,元データ!$D$2:$D$20000,$B16,元データ!$B$2:$B$20000,$C$3,元データ!$C$2:$C$20000,H$5)</f>
        <v>0</v>
      </c>
      <c r="I16" s="16">
        <f>SUMIFS(INDEX(元データ!$E$2:$H$20000,0,MATCH($C$2,元データ!$E$1:$H$1,0)),元データ!$A$2:$A$20000,$A16,元データ!$D$2:$D$20000,$B16,元データ!$B$2:$B$20000,$C$3,元データ!$C$2:$C$20000,I$5)</f>
        <v>8</v>
      </c>
      <c r="J16" s="16">
        <f>SUMIFS(INDEX(元データ!$E$2:$H$20000,0,MATCH($C$2,元データ!$E$1:$H$1,0)),元データ!$A$2:$A$20000,$A16,元データ!$D$2:$D$20000,$B16,元データ!$B$2:$B$20000,$C$3,元データ!$C$2:$C$20000,J$5)</f>
        <v>9</v>
      </c>
      <c r="K16" s="16">
        <f>SUMIFS(INDEX(元データ!$E$2:$H$20000,0,MATCH($C$2,元データ!$E$1:$H$1,0)),元データ!$A$2:$A$20000,$A16,元データ!$D$2:$D$20000,$B16,元データ!$B$2:$B$20000,$C$3,元データ!$C$2:$C$20000,K$5)</f>
        <v>7</v>
      </c>
      <c r="L16" s="16">
        <f>SUMIFS(INDEX(元データ!$E$2:$H$20000,0,MATCH($C$2,元データ!$E$1:$H$1,0)),元データ!$A$2:$A$20000,$A16,元データ!$D$2:$D$20000,$B16,元データ!$B$2:$B$20000,$C$3,元データ!$C$2:$C$20000,L$5)</f>
        <v>9</v>
      </c>
      <c r="M16" s="16">
        <f>SUMIFS(INDEX(元データ!$E$2:$H$20000,0,MATCH($C$2,元データ!$E$1:$H$1,0)),元データ!$A$2:$A$20000,$A16,元データ!$D$2:$D$20000,$B16,元データ!$B$2:$B$20000,$C$3,元データ!$C$2:$C$20000,M$5)</f>
        <v>8</v>
      </c>
      <c r="N16" s="16">
        <f>SUMIFS(INDEX(元データ!$E$2:$H$20000,0,MATCH($C$2,元データ!$E$1:$H$1,0)),元データ!$A$2:$A$20000,$A16,元データ!$D$2:$D$20000,$B16,元データ!$B$2:$B$20000,$C$3,元データ!$C$2:$C$20000,N$5)</f>
        <v>8</v>
      </c>
      <c r="O16" s="17">
        <f t="shared" si="0"/>
        <v>93</v>
      </c>
      <c r="P16" s="17">
        <f>SUMIFS(INDEX(元データ!$E$2:$H$20000,0,MATCH($C$2,元データ!$E$1:$H$1,0)),元データ!$A$2:$A$20000,$A16,元データ!$D$2:$D$20000,$B16,元データ!$B$2:$B$20000,$D$3)</f>
        <v>0</v>
      </c>
      <c r="Q16" s="25" t="str">
        <f t="shared" si="1"/>
        <v/>
      </c>
    </row>
    <row r="17" spans="1:17" x14ac:dyDescent="0.45">
      <c r="A17" s="14" t="str">
        <f>店舗マスタ!A13</f>
        <v>便船塚店</v>
      </c>
      <c r="B17" s="15" t="s">
        <v>34</v>
      </c>
      <c r="C17" s="16">
        <f>SUMIFS(INDEX(元データ!$E$2:$H$20000,0,MATCH($C$2,元データ!$E$1:$H$1,0)),元データ!$A$2:$A$20000,$A17,元データ!$D$2:$D$20000,$B17,元データ!$B$2:$B$20000,$C$3,元データ!$C$2:$C$20000,C$5)</f>
        <v>21</v>
      </c>
      <c r="D17" s="16">
        <f>SUMIFS(INDEX(元データ!$E$2:$H$20000,0,MATCH($C$2,元データ!$E$1:$H$1,0)),元データ!$A$2:$A$20000,$A17,元データ!$D$2:$D$20000,$B17,元データ!$B$2:$B$20000,$C$3,元データ!$C$2:$C$20000,D$5)</f>
        <v>9</v>
      </c>
      <c r="E17" s="16">
        <f>SUMIFS(INDEX(元データ!$E$2:$H$20000,0,MATCH($C$2,元データ!$E$1:$H$1,0)),元データ!$A$2:$A$20000,$A17,元データ!$D$2:$D$20000,$B17,元データ!$B$2:$B$20000,$C$3,元データ!$C$2:$C$20000,E$5)</f>
        <v>27</v>
      </c>
      <c r="F17" s="16">
        <f>SUMIFS(INDEX(元データ!$E$2:$H$20000,0,MATCH($C$2,元データ!$E$1:$H$1,0)),元データ!$A$2:$A$20000,$A17,元データ!$D$2:$D$20000,$B17,元データ!$B$2:$B$20000,$C$3,元データ!$C$2:$C$20000,F$5)</f>
        <v>22</v>
      </c>
      <c r="G17" s="16">
        <f>SUMIFS(INDEX(元データ!$E$2:$H$20000,0,MATCH($C$2,元データ!$E$1:$H$1,0)),元データ!$A$2:$A$20000,$A17,元データ!$D$2:$D$20000,$B17,元データ!$B$2:$B$20000,$C$3,元データ!$C$2:$C$20000,G$5)</f>
        <v>24</v>
      </c>
      <c r="H17" s="16">
        <f>SUMIFS(INDEX(元データ!$E$2:$H$20000,0,MATCH($C$2,元データ!$E$1:$H$1,0)),元データ!$A$2:$A$20000,$A17,元データ!$D$2:$D$20000,$B17,元データ!$B$2:$B$20000,$C$3,元データ!$C$2:$C$20000,H$5)</f>
        <v>0</v>
      </c>
      <c r="I17" s="16">
        <f>SUMIFS(INDEX(元データ!$E$2:$H$20000,0,MATCH($C$2,元データ!$E$1:$H$1,0)),元データ!$A$2:$A$20000,$A17,元データ!$D$2:$D$20000,$B17,元データ!$B$2:$B$20000,$C$3,元データ!$C$2:$C$20000,I$5)</f>
        <v>24</v>
      </c>
      <c r="J17" s="16">
        <f>SUMIFS(INDEX(元データ!$E$2:$H$20000,0,MATCH($C$2,元データ!$E$1:$H$1,0)),元データ!$A$2:$A$20000,$A17,元データ!$D$2:$D$20000,$B17,元データ!$B$2:$B$20000,$C$3,元データ!$C$2:$C$20000,J$5)</f>
        <v>30</v>
      </c>
      <c r="K17" s="16">
        <f>SUMIFS(INDEX(元データ!$E$2:$H$20000,0,MATCH($C$2,元データ!$E$1:$H$1,0)),元データ!$A$2:$A$20000,$A17,元データ!$D$2:$D$20000,$B17,元データ!$B$2:$B$20000,$C$3,元データ!$C$2:$C$20000,K$5)</f>
        <v>30</v>
      </c>
      <c r="L17" s="16">
        <f>SUMIFS(INDEX(元データ!$E$2:$H$20000,0,MATCH($C$2,元データ!$E$1:$H$1,0)),元データ!$A$2:$A$20000,$A17,元データ!$D$2:$D$20000,$B17,元データ!$B$2:$B$20000,$C$3,元データ!$C$2:$C$20000,L$5)</f>
        <v>32</v>
      </c>
      <c r="M17" s="16">
        <f>SUMIFS(INDEX(元データ!$E$2:$H$20000,0,MATCH($C$2,元データ!$E$1:$H$1,0)),元データ!$A$2:$A$20000,$A17,元データ!$D$2:$D$20000,$B17,元データ!$B$2:$B$20000,$C$3,元データ!$C$2:$C$20000,M$5)</f>
        <v>26</v>
      </c>
      <c r="N17" s="16">
        <f>SUMIFS(INDEX(元データ!$E$2:$H$20000,0,MATCH($C$2,元データ!$E$1:$H$1,0)),元データ!$A$2:$A$20000,$A17,元データ!$D$2:$D$20000,$B17,元データ!$B$2:$B$20000,$C$3,元データ!$C$2:$C$20000,N$5)</f>
        <v>30</v>
      </c>
      <c r="O17" s="17">
        <f t="shared" si="0"/>
        <v>275</v>
      </c>
      <c r="P17" s="17">
        <f>SUMIFS(INDEX(元データ!$E$2:$H$20000,0,MATCH($C$2,元データ!$E$1:$H$1,0)),元データ!$A$2:$A$20000,$A17,元データ!$D$2:$D$20000,$B17,元データ!$B$2:$B$20000,$D$3)</f>
        <v>0</v>
      </c>
      <c r="Q17" s="25" t="str">
        <f t="shared" si="1"/>
        <v/>
      </c>
    </row>
    <row r="18" spans="1:17" x14ac:dyDescent="0.45">
      <c r="A18" s="14" t="str">
        <f>店舗マスタ!A14</f>
        <v>大岡店</v>
      </c>
      <c r="B18" s="15" t="s">
        <v>34</v>
      </c>
      <c r="C18" s="16">
        <f>SUMIFS(INDEX(元データ!$E$2:$H$20000,0,MATCH($C$2,元データ!$E$1:$H$1,0)),元データ!$A$2:$A$20000,$A18,元データ!$D$2:$D$20000,$B18,元データ!$B$2:$B$20000,$C$3,元データ!$C$2:$C$20000,C$5)</f>
        <v>11</v>
      </c>
      <c r="D18" s="16">
        <f>SUMIFS(INDEX(元データ!$E$2:$H$20000,0,MATCH($C$2,元データ!$E$1:$H$1,0)),元データ!$A$2:$A$20000,$A18,元データ!$D$2:$D$20000,$B18,元データ!$B$2:$B$20000,$C$3,元データ!$C$2:$C$20000,D$5)</f>
        <v>9</v>
      </c>
      <c r="E18" s="16">
        <f>SUMIFS(INDEX(元データ!$E$2:$H$20000,0,MATCH($C$2,元データ!$E$1:$H$1,0)),元データ!$A$2:$A$20000,$A18,元データ!$D$2:$D$20000,$B18,元データ!$B$2:$B$20000,$C$3,元データ!$C$2:$C$20000,E$5)</f>
        <v>16</v>
      </c>
      <c r="F18" s="16">
        <f>SUMIFS(INDEX(元データ!$E$2:$H$20000,0,MATCH($C$2,元データ!$E$1:$H$1,0)),元データ!$A$2:$A$20000,$A18,元データ!$D$2:$D$20000,$B18,元データ!$B$2:$B$20000,$C$3,元データ!$C$2:$C$20000,F$5)</f>
        <v>18</v>
      </c>
      <c r="G18" s="16">
        <f>SUMIFS(INDEX(元データ!$E$2:$H$20000,0,MATCH($C$2,元データ!$E$1:$H$1,0)),元データ!$A$2:$A$20000,$A18,元データ!$D$2:$D$20000,$B18,元データ!$B$2:$B$20000,$C$3,元データ!$C$2:$C$20000,G$5)</f>
        <v>16</v>
      </c>
      <c r="H18" s="16">
        <f>SUMIFS(INDEX(元データ!$E$2:$H$20000,0,MATCH($C$2,元データ!$E$1:$H$1,0)),元データ!$A$2:$A$20000,$A18,元データ!$D$2:$D$20000,$B18,元データ!$B$2:$B$20000,$C$3,元データ!$C$2:$C$20000,H$5)</f>
        <v>0</v>
      </c>
      <c r="I18" s="16">
        <f>SUMIFS(INDEX(元データ!$E$2:$H$20000,0,MATCH($C$2,元データ!$E$1:$H$1,0)),元データ!$A$2:$A$20000,$A18,元データ!$D$2:$D$20000,$B18,元データ!$B$2:$B$20000,$C$3,元データ!$C$2:$C$20000,I$5)</f>
        <v>17</v>
      </c>
      <c r="J18" s="16">
        <f>SUMIFS(INDEX(元データ!$E$2:$H$20000,0,MATCH($C$2,元データ!$E$1:$H$1,0)),元データ!$A$2:$A$20000,$A18,元データ!$D$2:$D$20000,$B18,元データ!$B$2:$B$20000,$C$3,元データ!$C$2:$C$20000,J$5)</f>
        <v>15</v>
      </c>
      <c r="K18" s="16">
        <f>SUMIFS(INDEX(元データ!$E$2:$H$20000,0,MATCH($C$2,元データ!$E$1:$H$1,0)),元データ!$A$2:$A$20000,$A18,元データ!$D$2:$D$20000,$B18,元データ!$B$2:$B$20000,$C$3,元データ!$C$2:$C$20000,K$5)</f>
        <v>20</v>
      </c>
      <c r="L18" s="16">
        <f>SUMIFS(INDEX(元データ!$E$2:$H$20000,0,MATCH($C$2,元データ!$E$1:$H$1,0)),元データ!$A$2:$A$20000,$A18,元データ!$D$2:$D$20000,$B18,元データ!$B$2:$B$20000,$C$3,元データ!$C$2:$C$20000,L$5)</f>
        <v>17</v>
      </c>
      <c r="M18" s="16">
        <f>SUMIFS(INDEX(元データ!$E$2:$H$20000,0,MATCH($C$2,元データ!$E$1:$H$1,0)),元データ!$A$2:$A$20000,$A18,元データ!$D$2:$D$20000,$B18,元データ!$B$2:$B$20000,$C$3,元データ!$C$2:$C$20000,M$5)</f>
        <v>17</v>
      </c>
      <c r="N18" s="16">
        <f>SUMIFS(INDEX(元データ!$E$2:$H$20000,0,MATCH($C$2,元データ!$E$1:$H$1,0)),元データ!$A$2:$A$20000,$A18,元データ!$D$2:$D$20000,$B18,元データ!$B$2:$B$20000,$C$3,元データ!$C$2:$C$20000,N$5)</f>
        <v>16</v>
      </c>
      <c r="O18" s="17">
        <f t="shared" si="0"/>
        <v>172</v>
      </c>
      <c r="P18" s="17">
        <f>SUMIFS(INDEX(元データ!$E$2:$H$20000,0,MATCH($C$2,元データ!$E$1:$H$1,0)),元データ!$A$2:$A$20000,$A18,元データ!$D$2:$D$20000,$B18,元データ!$B$2:$B$20000,$D$3)</f>
        <v>0</v>
      </c>
      <c r="Q18" s="25" t="str">
        <f t="shared" si="1"/>
        <v/>
      </c>
    </row>
    <row r="19" spans="1:17" x14ac:dyDescent="0.45">
      <c r="A19" s="14" t="str">
        <f>店舗マスタ!A15</f>
        <v>三好店</v>
      </c>
      <c r="B19" s="15" t="s">
        <v>34</v>
      </c>
      <c r="C19" s="16">
        <f>SUMIFS(INDEX(元データ!$E$2:$H$20000,0,MATCH($C$2,元データ!$E$1:$H$1,0)),元データ!$A$2:$A$20000,$A19,元データ!$D$2:$D$20000,$B19,元データ!$B$2:$B$20000,$C$3,元データ!$C$2:$C$20000,C$5)</f>
        <v>5</v>
      </c>
      <c r="D19" s="16">
        <f>SUMIFS(INDEX(元データ!$E$2:$H$20000,0,MATCH($C$2,元データ!$E$1:$H$1,0)),元データ!$A$2:$A$20000,$A19,元データ!$D$2:$D$20000,$B19,元データ!$B$2:$B$20000,$C$3,元データ!$C$2:$C$20000,D$5)</f>
        <v>2</v>
      </c>
      <c r="E19" s="16">
        <f>SUMIFS(INDEX(元データ!$E$2:$H$20000,0,MATCH($C$2,元データ!$E$1:$H$1,0)),元データ!$A$2:$A$20000,$A19,元データ!$D$2:$D$20000,$B19,元データ!$B$2:$B$20000,$C$3,元データ!$C$2:$C$20000,E$5)</f>
        <v>6</v>
      </c>
      <c r="F19" s="16">
        <f>SUMIFS(INDEX(元データ!$E$2:$H$20000,0,MATCH($C$2,元データ!$E$1:$H$1,0)),元データ!$A$2:$A$20000,$A19,元データ!$D$2:$D$20000,$B19,元データ!$B$2:$B$20000,$C$3,元データ!$C$2:$C$20000,F$5)</f>
        <v>5</v>
      </c>
      <c r="G19" s="16">
        <f>SUMIFS(INDEX(元データ!$E$2:$H$20000,0,MATCH($C$2,元データ!$E$1:$H$1,0)),元データ!$A$2:$A$20000,$A19,元データ!$D$2:$D$20000,$B19,元データ!$B$2:$B$20000,$C$3,元データ!$C$2:$C$20000,G$5)</f>
        <v>6</v>
      </c>
      <c r="H19" s="16">
        <f>SUMIFS(INDEX(元データ!$E$2:$H$20000,0,MATCH($C$2,元データ!$E$1:$H$1,0)),元データ!$A$2:$A$20000,$A19,元データ!$D$2:$D$20000,$B19,元データ!$B$2:$B$20000,$C$3,元データ!$C$2:$C$20000,H$5)</f>
        <v>0</v>
      </c>
      <c r="I19" s="16">
        <f>SUMIFS(INDEX(元データ!$E$2:$H$20000,0,MATCH($C$2,元データ!$E$1:$H$1,0)),元データ!$A$2:$A$20000,$A19,元データ!$D$2:$D$20000,$B19,元データ!$B$2:$B$20000,$C$3,元データ!$C$2:$C$20000,I$5)</f>
        <v>5</v>
      </c>
      <c r="J19" s="16">
        <f>SUMIFS(INDEX(元データ!$E$2:$H$20000,0,MATCH($C$2,元データ!$E$1:$H$1,0)),元データ!$A$2:$A$20000,$A19,元データ!$D$2:$D$20000,$B19,元データ!$B$2:$B$20000,$C$3,元データ!$C$2:$C$20000,J$5)</f>
        <v>8</v>
      </c>
      <c r="K19" s="16">
        <f>SUMIFS(INDEX(元データ!$E$2:$H$20000,0,MATCH($C$2,元データ!$E$1:$H$1,0)),元データ!$A$2:$A$20000,$A19,元データ!$D$2:$D$20000,$B19,元データ!$B$2:$B$20000,$C$3,元データ!$C$2:$C$20000,K$5)</f>
        <v>7</v>
      </c>
      <c r="L19" s="16">
        <f>SUMIFS(INDEX(元データ!$E$2:$H$20000,0,MATCH($C$2,元データ!$E$1:$H$1,0)),元データ!$A$2:$A$20000,$A19,元データ!$D$2:$D$20000,$B19,元データ!$B$2:$B$20000,$C$3,元データ!$C$2:$C$20000,L$5)</f>
        <v>7</v>
      </c>
      <c r="M19" s="16">
        <f>SUMIFS(INDEX(元データ!$E$2:$H$20000,0,MATCH($C$2,元データ!$E$1:$H$1,0)),元データ!$A$2:$A$20000,$A19,元データ!$D$2:$D$20000,$B19,元データ!$B$2:$B$20000,$C$3,元データ!$C$2:$C$20000,M$5)</f>
        <v>8</v>
      </c>
      <c r="N19" s="16">
        <f>SUMIFS(INDEX(元データ!$E$2:$H$20000,0,MATCH($C$2,元データ!$E$1:$H$1,0)),元データ!$A$2:$A$20000,$A19,元データ!$D$2:$D$20000,$B19,元データ!$B$2:$B$20000,$C$3,元データ!$C$2:$C$20000,N$5)</f>
        <v>5</v>
      </c>
      <c r="O19" s="17">
        <f t="shared" si="0"/>
        <v>64</v>
      </c>
      <c r="P19" s="17">
        <f>SUMIFS(INDEX(元データ!$E$2:$H$20000,0,MATCH($C$2,元データ!$E$1:$H$1,0)),元データ!$A$2:$A$20000,$A19,元データ!$D$2:$D$20000,$B19,元データ!$B$2:$B$20000,$D$3)</f>
        <v>0</v>
      </c>
      <c r="Q19" s="25" t="str">
        <f t="shared" si="1"/>
        <v/>
      </c>
    </row>
    <row r="20" spans="1:17" x14ac:dyDescent="0.45">
      <c r="A20" s="14" t="str">
        <f>店舗マスタ!A16</f>
        <v>沼津駅南口店</v>
      </c>
      <c r="B20" s="15" t="s">
        <v>34</v>
      </c>
      <c r="C20" s="16">
        <f>SUMIFS(INDEX(元データ!$E$2:$H$20000,0,MATCH($C$2,元データ!$E$1:$H$1,0)),元データ!$A$2:$A$20000,$A20,元データ!$D$2:$D$20000,$B20,元データ!$B$2:$B$20000,$C$3,元データ!$C$2:$C$20000,C$5)</f>
        <v>2</v>
      </c>
      <c r="D20" s="16">
        <f>SUMIFS(INDEX(元データ!$E$2:$H$20000,0,MATCH($C$2,元データ!$E$1:$H$1,0)),元データ!$A$2:$A$20000,$A20,元データ!$D$2:$D$20000,$B20,元データ!$B$2:$B$20000,$C$3,元データ!$C$2:$C$20000,D$5)</f>
        <v>3</v>
      </c>
      <c r="E20" s="16">
        <f>SUMIFS(INDEX(元データ!$E$2:$H$20000,0,MATCH($C$2,元データ!$E$1:$H$1,0)),元データ!$A$2:$A$20000,$A20,元データ!$D$2:$D$20000,$B20,元データ!$B$2:$B$20000,$C$3,元データ!$C$2:$C$20000,E$5)</f>
        <v>5</v>
      </c>
      <c r="F20" s="16">
        <f>SUMIFS(INDEX(元データ!$E$2:$H$20000,0,MATCH($C$2,元データ!$E$1:$H$1,0)),元データ!$A$2:$A$20000,$A20,元データ!$D$2:$D$20000,$B20,元データ!$B$2:$B$20000,$C$3,元データ!$C$2:$C$20000,F$5)</f>
        <v>6</v>
      </c>
      <c r="G20" s="16">
        <f>SUMIFS(INDEX(元データ!$E$2:$H$20000,0,MATCH($C$2,元データ!$E$1:$H$1,0)),元データ!$A$2:$A$20000,$A20,元データ!$D$2:$D$20000,$B20,元データ!$B$2:$B$20000,$C$3,元データ!$C$2:$C$20000,G$5)</f>
        <v>6</v>
      </c>
      <c r="H20" s="16">
        <f>SUMIFS(INDEX(元データ!$E$2:$H$20000,0,MATCH($C$2,元データ!$E$1:$H$1,0)),元データ!$A$2:$A$20000,$A20,元データ!$D$2:$D$20000,$B20,元データ!$B$2:$B$20000,$C$3,元データ!$C$2:$C$20000,H$5)</f>
        <v>0</v>
      </c>
      <c r="I20" s="16">
        <f>SUMIFS(INDEX(元データ!$E$2:$H$20000,0,MATCH($C$2,元データ!$E$1:$H$1,0)),元データ!$A$2:$A$20000,$A20,元データ!$D$2:$D$20000,$B20,元データ!$B$2:$B$20000,$C$3,元データ!$C$2:$C$20000,I$5)</f>
        <v>10</v>
      </c>
      <c r="J20" s="16">
        <f>SUMIFS(INDEX(元データ!$E$2:$H$20000,0,MATCH($C$2,元データ!$E$1:$H$1,0)),元データ!$A$2:$A$20000,$A20,元データ!$D$2:$D$20000,$B20,元データ!$B$2:$B$20000,$C$3,元データ!$C$2:$C$20000,J$5)</f>
        <v>10</v>
      </c>
      <c r="K20" s="16">
        <f>SUMIFS(INDEX(元データ!$E$2:$H$20000,0,MATCH($C$2,元データ!$E$1:$H$1,0)),元データ!$A$2:$A$20000,$A20,元データ!$D$2:$D$20000,$B20,元データ!$B$2:$B$20000,$C$3,元データ!$C$2:$C$20000,K$5)</f>
        <v>11</v>
      </c>
      <c r="L20" s="16">
        <f>SUMIFS(INDEX(元データ!$E$2:$H$20000,0,MATCH($C$2,元データ!$E$1:$H$1,0)),元データ!$A$2:$A$20000,$A20,元データ!$D$2:$D$20000,$B20,元データ!$B$2:$B$20000,$C$3,元データ!$C$2:$C$20000,L$5)</f>
        <v>12</v>
      </c>
      <c r="M20" s="16">
        <f>SUMIFS(INDEX(元データ!$E$2:$H$20000,0,MATCH($C$2,元データ!$E$1:$H$1,0)),元データ!$A$2:$A$20000,$A20,元データ!$D$2:$D$20000,$B20,元データ!$B$2:$B$20000,$C$3,元データ!$C$2:$C$20000,M$5)</f>
        <v>8</v>
      </c>
      <c r="N20" s="16">
        <f>SUMIFS(INDEX(元データ!$E$2:$H$20000,0,MATCH($C$2,元データ!$E$1:$H$1,0)),元データ!$A$2:$A$20000,$A20,元データ!$D$2:$D$20000,$B20,元データ!$B$2:$B$20000,$C$3,元データ!$C$2:$C$20000,N$5)</f>
        <v>11</v>
      </c>
      <c r="O20" s="17">
        <f t="shared" si="0"/>
        <v>84</v>
      </c>
      <c r="P20" s="17">
        <f>SUMIFS(INDEX(元データ!$E$2:$H$20000,0,MATCH($C$2,元データ!$E$1:$H$1,0)),元データ!$A$2:$A$20000,$A20,元データ!$D$2:$D$20000,$B20,元データ!$B$2:$B$20000,$D$3)</f>
        <v>0</v>
      </c>
      <c r="Q20" s="25" t="str">
        <f t="shared" si="1"/>
        <v/>
      </c>
    </row>
    <row r="21" spans="1:17" x14ac:dyDescent="0.45">
      <c r="A21" s="14" t="str">
        <f>店舗マスタ!A17</f>
        <v>神山店</v>
      </c>
      <c r="B21" s="15" t="s">
        <v>34</v>
      </c>
      <c r="C21" s="16">
        <f>SUMIFS(INDEX(元データ!$E$2:$H$20000,0,MATCH($C$2,元データ!$E$1:$H$1,0)),元データ!$A$2:$A$20000,$A21,元データ!$D$2:$D$20000,$B21,元データ!$B$2:$B$20000,$C$3,元データ!$C$2:$C$20000,C$5)</f>
        <v>3</v>
      </c>
      <c r="D21" s="16">
        <f>SUMIFS(INDEX(元データ!$E$2:$H$20000,0,MATCH($C$2,元データ!$E$1:$H$1,0)),元データ!$A$2:$A$20000,$A21,元データ!$D$2:$D$20000,$B21,元データ!$B$2:$B$20000,$C$3,元データ!$C$2:$C$20000,D$5)</f>
        <v>4</v>
      </c>
      <c r="E21" s="16">
        <f>SUMIFS(INDEX(元データ!$E$2:$H$20000,0,MATCH($C$2,元データ!$E$1:$H$1,0)),元データ!$A$2:$A$20000,$A21,元データ!$D$2:$D$20000,$B21,元データ!$B$2:$B$20000,$C$3,元データ!$C$2:$C$20000,E$5)</f>
        <v>4</v>
      </c>
      <c r="F21" s="16">
        <f>SUMIFS(INDEX(元データ!$E$2:$H$20000,0,MATCH($C$2,元データ!$E$1:$H$1,0)),元データ!$A$2:$A$20000,$A21,元データ!$D$2:$D$20000,$B21,元データ!$B$2:$B$20000,$C$3,元データ!$C$2:$C$20000,F$5)</f>
        <v>2</v>
      </c>
      <c r="G21" s="16">
        <f>SUMIFS(INDEX(元データ!$E$2:$H$20000,0,MATCH($C$2,元データ!$E$1:$H$1,0)),元データ!$A$2:$A$20000,$A21,元データ!$D$2:$D$20000,$B21,元データ!$B$2:$B$20000,$C$3,元データ!$C$2:$C$20000,G$5)</f>
        <v>1</v>
      </c>
      <c r="H21" s="16">
        <f>SUMIFS(INDEX(元データ!$E$2:$H$20000,0,MATCH($C$2,元データ!$E$1:$H$1,0)),元データ!$A$2:$A$20000,$A21,元データ!$D$2:$D$20000,$B21,元データ!$B$2:$B$20000,$C$3,元データ!$C$2:$C$20000,H$5)</f>
        <v>0</v>
      </c>
      <c r="I21" s="16">
        <f>SUMIFS(INDEX(元データ!$E$2:$H$20000,0,MATCH($C$2,元データ!$E$1:$H$1,0)),元データ!$A$2:$A$20000,$A21,元データ!$D$2:$D$20000,$B21,元データ!$B$2:$B$20000,$C$3,元データ!$C$2:$C$20000,I$5)</f>
        <v>2</v>
      </c>
      <c r="J21" s="16">
        <f>SUMIFS(INDEX(元データ!$E$2:$H$20000,0,MATCH($C$2,元データ!$E$1:$H$1,0)),元データ!$A$2:$A$20000,$A21,元データ!$D$2:$D$20000,$B21,元データ!$B$2:$B$20000,$C$3,元データ!$C$2:$C$20000,J$5)</f>
        <v>4</v>
      </c>
      <c r="K21" s="16">
        <f>SUMIFS(INDEX(元データ!$E$2:$H$20000,0,MATCH($C$2,元データ!$E$1:$H$1,0)),元データ!$A$2:$A$20000,$A21,元データ!$D$2:$D$20000,$B21,元データ!$B$2:$B$20000,$C$3,元データ!$C$2:$C$20000,K$5)</f>
        <v>2</v>
      </c>
      <c r="L21" s="16">
        <f>SUMIFS(INDEX(元データ!$E$2:$H$20000,0,MATCH($C$2,元データ!$E$1:$H$1,0)),元データ!$A$2:$A$20000,$A21,元データ!$D$2:$D$20000,$B21,元データ!$B$2:$B$20000,$C$3,元データ!$C$2:$C$20000,L$5)</f>
        <v>3</v>
      </c>
      <c r="M21" s="16">
        <f>SUMIFS(INDEX(元データ!$E$2:$H$20000,0,MATCH($C$2,元データ!$E$1:$H$1,0)),元データ!$A$2:$A$20000,$A21,元データ!$D$2:$D$20000,$B21,元データ!$B$2:$B$20000,$C$3,元データ!$C$2:$C$20000,M$5)</f>
        <v>2</v>
      </c>
      <c r="N21" s="16">
        <f>SUMIFS(INDEX(元データ!$E$2:$H$20000,0,MATCH($C$2,元データ!$E$1:$H$1,0)),元データ!$A$2:$A$20000,$A21,元データ!$D$2:$D$20000,$B21,元データ!$B$2:$B$20000,$C$3,元データ!$C$2:$C$20000,N$5)</f>
        <v>3</v>
      </c>
      <c r="O21" s="17">
        <f t="shared" si="0"/>
        <v>30</v>
      </c>
      <c r="P21" s="17">
        <f>SUMIFS(INDEX(元データ!$E$2:$H$20000,0,MATCH($C$2,元データ!$E$1:$H$1,0)),元データ!$A$2:$A$20000,$A21,元データ!$D$2:$D$20000,$B21,元データ!$B$2:$B$20000,$D$3)</f>
        <v>0</v>
      </c>
      <c r="Q21" s="25" t="str">
        <f t="shared" si="1"/>
        <v/>
      </c>
    </row>
    <row r="22" spans="1:17" x14ac:dyDescent="0.45">
      <c r="A22" s="14" t="str">
        <f>店舗マスタ!A18</f>
        <v>長泉店</v>
      </c>
      <c r="B22" s="15" t="s">
        <v>34</v>
      </c>
      <c r="C22" s="16">
        <f>SUMIFS(INDEX(元データ!$E$2:$H$20000,0,MATCH($C$2,元データ!$E$1:$H$1,0)),元データ!$A$2:$A$20000,$A22,元データ!$D$2:$D$20000,$B22,元データ!$B$2:$B$20000,$C$3,元データ!$C$2:$C$20000,C$5)</f>
        <v>8</v>
      </c>
      <c r="D22" s="16">
        <f>SUMIFS(INDEX(元データ!$E$2:$H$20000,0,MATCH($C$2,元データ!$E$1:$H$1,0)),元データ!$A$2:$A$20000,$A22,元データ!$D$2:$D$20000,$B22,元データ!$B$2:$B$20000,$C$3,元データ!$C$2:$C$20000,D$5)</f>
        <v>1</v>
      </c>
      <c r="E22" s="16">
        <f>SUMIFS(INDEX(元データ!$E$2:$H$20000,0,MATCH($C$2,元データ!$E$1:$H$1,0)),元データ!$A$2:$A$20000,$A22,元データ!$D$2:$D$20000,$B22,元データ!$B$2:$B$20000,$C$3,元データ!$C$2:$C$20000,E$5)</f>
        <v>4</v>
      </c>
      <c r="F22" s="16">
        <f>SUMIFS(INDEX(元データ!$E$2:$H$20000,0,MATCH($C$2,元データ!$E$1:$H$1,0)),元データ!$A$2:$A$20000,$A22,元データ!$D$2:$D$20000,$B22,元データ!$B$2:$B$20000,$C$3,元データ!$C$2:$C$20000,F$5)</f>
        <v>5</v>
      </c>
      <c r="G22" s="16">
        <f>SUMIFS(INDEX(元データ!$E$2:$H$20000,0,MATCH($C$2,元データ!$E$1:$H$1,0)),元データ!$A$2:$A$20000,$A22,元データ!$D$2:$D$20000,$B22,元データ!$B$2:$B$20000,$C$3,元データ!$C$2:$C$20000,G$5)</f>
        <v>6</v>
      </c>
      <c r="H22" s="16">
        <f>SUMIFS(INDEX(元データ!$E$2:$H$20000,0,MATCH($C$2,元データ!$E$1:$H$1,0)),元データ!$A$2:$A$20000,$A22,元データ!$D$2:$D$20000,$B22,元データ!$B$2:$B$20000,$C$3,元データ!$C$2:$C$20000,H$5)</f>
        <v>0</v>
      </c>
      <c r="I22" s="16">
        <f>SUMIFS(INDEX(元データ!$E$2:$H$20000,0,MATCH($C$2,元データ!$E$1:$H$1,0)),元データ!$A$2:$A$20000,$A22,元データ!$D$2:$D$20000,$B22,元データ!$B$2:$B$20000,$C$3,元データ!$C$2:$C$20000,I$5)</f>
        <v>6</v>
      </c>
      <c r="J22" s="16">
        <f>SUMIFS(INDEX(元データ!$E$2:$H$20000,0,MATCH($C$2,元データ!$E$1:$H$1,0)),元データ!$A$2:$A$20000,$A22,元データ!$D$2:$D$20000,$B22,元データ!$B$2:$B$20000,$C$3,元データ!$C$2:$C$20000,J$5)</f>
        <v>7</v>
      </c>
      <c r="K22" s="16">
        <f>SUMIFS(INDEX(元データ!$E$2:$H$20000,0,MATCH($C$2,元データ!$E$1:$H$1,0)),元データ!$A$2:$A$20000,$A22,元データ!$D$2:$D$20000,$B22,元データ!$B$2:$B$20000,$C$3,元データ!$C$2:$C$20000,K$5)</f>
        <v>9</v>
      </c>
      <c r="L22" s="16">
        <f>SUMIFS(INDEX(元データ!$E$2:$H$20000,0,MATCH($C$2,元データ!$E$1:$H$1,0)),元データ!$A$2:$A$20000,$A22,元データ!$D$2:$D$20000,$B22,元データ!$B$2:$B$20000,$C$3,元データ!$C$2:$C$20000,L$5)</f>
        <v>8</v>
      </c>
      <c r="M22" s="16">
        <f>SUMIFS(INDEX(元データ!$E$2:$H$20000,0,MATCH($C$2,元データ!$E$1:$H$1,0)),元データ!$A$2:$A$20000,$A22,元データ!$D$2:$D$20000,$B22,元データ!$B$2:$B$20000,$C$3,元データ!$C$2:$C$20000,M$5)</f>
        <v>6</v>
      </c>
      <c r="N22" s="16">
        <f>SUMIFS(INDEX(元データ!$E$2:$H$20000,0,MATCH($C$2,元データ!$E$1:$H$1,0)),元データ!$A$2:$A$20000,$A22,元データ!$D$2:$D$20000,$B22,元データ!$B$2:$B$20000,$C$3,元データ!$C$2:$C$20000,N$5)</f>
        <v>7</v>
      </c>
      <c r="O22" s="17">
        <f t="shared" si="0"/>
        <v>67</v>
      </c>
      <c r="P22" s="17">
        <f>SUMIFS(INDEX(元データ!$E$2:$H$20000,0,MATCH($C$2,元データ!$E$1:$H$1,0)),元データ!$A$2:$A$20000,$A22,元データ!$D$2:$D$20000,$B22,元データ!$B$2:$B$20000,$D$3)</f>
        <v>0</v>
      </c>
      <c r="Q22" s="25" t="str">
        <f t="shared" si="1"/>
        <v/>
      </c>
    </row>
    <row r="23" spans="1:17" x14ac:dyDescent="0.45">
      <c r="A23" s="14" t="str">
        <f>店舗マスタ!A19</f>
        <v>大仁店</v>
      </c>
      <c r="B23" s="15" t="s">
        <v>34</v>
      </c>
      <c r="C23" s="16">
        <f>SUMIFS(INDEX(元データ!$E$2:$H$20000,0,MATCH($C$2,元データ!$E$1:$H$1,0)),元データ!$A$2:$A$20000,$A23,元データ!$D$2:$D$20000,$B23,元データ!$B$2:$B$20000,$C$3,元データ!$C$2:$C$20000,C$5)</f>
        <v>3</v>
      </c>
      <c r="D23" s="16">
        <f>SUMIFS(INDEX(元データ!$E$2:$H$20000,0,MATCH($C$2,元データ!$E$1:$H$1,0)),元データ!$A$2:$A$20000,$A23,元データ!$D$2:$D$20000,$B23,元データ!$B$2:$B$20000,$C$3,元データ!$C$2:$C$20000,D$5)</f>
        <v>1</v>
      </c>
      <c r="E23" s="16">
        <f>SUMIFS(INDEX(元データ!$E$2:$H$20000,0,MATCH($C$2,元データ!$E$1:$H$1,0)),元データ!$A$2:$A$20000,$A23,元データ!$D$2:$D$20000,$B23,元データ!$B$2:$B$20000,$C$3,元データ!$C$2:$C$20000,E$5)</f>
        <v>4</v>
      </c>
      <c r="F23" s="16">
        <f>SUMIFS(INDEX(元データ!$E$2:$H$20000,0,MATCH($C$2,元データ!$E$1:$H$1,0)),元データ!$A$2:$A$20000,$A23,元データ!$D$2:$D$20000,$B23,元データ!$B$2:$B$20000,$C$3,元データ!$C$2:$C$20000,F$5)</f>
        <v>4</v>
      </c>
      <c r="G23" s="16">
        <f>SUMIFS(INDEX(元データ!$E$2:$H$20000,0,MATCH($C$2,元データ!$E$1:$H$1,0)),元データ!$A$2:$A$20000,$A23,元データ!$D$2:$D$20000,$B23,元データ!$B$2:$B$20000,$C$3,元データ!$C$2:$C$20000,G$5)</f>
        <v>4</v>
      </c>
      <c r="H23" s="16">
        <f>SUMIFS(INDEX(元データ!$E$2:$H$20000,0,MATCH($C$2,元データ!$E$1:$H$1,0)),元データ!$A$2:$A$20000,$A23,元データ!$D$2:$D$20000,$B23,元データ!$B$2:$B$20000,$C$3,元データ!$C$2:$C$20000,H$5)</f>
        <v>0</v>
      </c>
      <c r="I23" s="16">
        <f>SUMIFS(INDEX(元データ!$E$2:$H$20000,0,MATCH($C$2,元データ!$E$1:$H$1,0)),元データ!$A$2:$A$20000,$A23,元データ!$D$2:$D$20000,$B23,元データ!$B$2:$B$20000,$C$3,元データ!$C$2:$C$20000,I$5)</f>
        <v>5</v>
      </c>
      <c r="J23" s="16">
        <f>SUMIFS(INDEX(元データ!$E$2:$H$20000,0,MATCH($C$2,元データ!$E$1:$H$1,0)),元データ!$A$2:$A$20000,$A23,元データ!$D$2:$D$20000,$B23,元データ!$B$2:$B$20000,$C$3,元データ!$C$2:$C$20000,J$5)</f>
        <v>5</v>
      </c>
      <c r="K23" s="16">
        <f>SUMIFS(INDEX(元データ!$E$2:$H$20000,0,MATCH($C$2,元データ!$E$1:$H$1,0)),元データ!$A$2:$A$20000,$A23,元データ!$D$2:$D$20000,$B23,元データ!$B$2:$B$20000,$C$3,元データ!$C$2:$C$20000,K$5)</f>
        <v>3</v>
      </c>
      <c r="L23" s="16">
        <f>SUMIFS(INDEX(元データ!$E$2:$H$20000,0,MATCH($C$2,元データ!$E$1:$H$1,0)),元データ!$A$2:$A$20000,$A23,元データ!$D$2:$D$20000,$B23,元データ!$B$2:$B$20000,$C$3,元データ!$C$2:$C$20000,L$5)</f>
        <v>5</v>
      </c>
      <c r="M23" s="16">
        <f>SUMIFS(INDEX(元データ!$E$2:$H$20000,0,MATCH($C$2,元データ!$E$1:$H$1,0)),元データ!$A$2:$A$20000,$A23,元データ!$D$2:$D$20000,$B23,元データ!$B$2:$B$20000,$C$3,元データ!$C$2:$C$20000,M$5)</f>
        <v>5</v>
      </c>
      <c r="N23" s="16">
        <f>SUMIFS(INDEX(元データ!$E$2:$H$20000,0,MATCH($C$2,元データ!$E$1:$H$1,0)),元データ!$A$2:$A$20000,$A23,元データ!$D$2:$D$20000,$B23,元データ!$B$2:$B$20000,$C$3,元データ!$C$2:$C$20000,N$5)</f>
        <v>4</v>
      </c>
      <c r="O23" s="17">
        <f t="shared" si="0"/>
        <v>43</v>
      </c>
      <c r="P23" s="17">
        <f>SUMIFS(INDEX(元データ!$E$2:$H$20000,0,MATCH($C$2,元データ!$E$1:$H$1,0)),元データ!$A$2:$A$20000,$A23,元データ!$D$2:$D$20000,$B23,元データ!$B$2:$B$20000,$D$3)</f>
        <v>0</v>
      </c>
      <c r="Q23" s="25" t="str">
        <f t="shared" si="1"/>
        <v/>
      </c>
    </row>
    <row r="24" spans="1:17" x14ac:dyDescent="0.45">
      <c r="A24" s="14" t="str">
        <f>店舗マスタ!A20</f>
        <v>修善寺店</v>
      </c>
      <c r="B24" s="15" t="s">
        <v>34</v>
      </c>
      <c r="C24" s="16">
        <f>SUMIFS(INDEX(元データ!$E$2:$H$20000,0,MATCH($C$2,元データ!$E$1:$H$1,0)),元データ!$A$2:$A$20000,$A24,元データ!$D$2:$D$20000,$B24,元データ!$B$2:$B$20000,$C$3,元データ!$C$2:$C$20000,C$5)</f>
        <v>1</v>
      </c>
      <c r="D24" s="16">
        <f>SUMIFS(INDEX(元データ!$E$2:$H$20000,0,MATCH($C$2,元データ!$E$1:$H$1,0)),元データ!$A$2:$A$20000,$A24,元データ!$D$2:$D$20000,$B24,元データ!$B$2:$B$20000,$C$3,元データ!$C$2:$C$20000,D$5)</f>
        <v>0</v>
      </c>
      <c r="E24" s="16">
        <f>SUMIFS(INDEX(元データ!$E$2:$H$20000,0,MATCH($C$2,元データ!$E$1:$H$1,0)),元データ!$A$2:$A$20000,$A24,元データ!$D$2:$D$20000,$B24,元データ!$B$2:$B$20000,$C$3,元データ!$C$2:$C$20000,E$5)</f>
        <v>0</v>
      </c>
      <c r="F24" s="16">
        <f>SUMIFS(INDEX(元データ!$E$2:$H$20000,0,MATCH($C$2,元データ!$E$1:$H$1,0)),元データ!$A$2:$A$20000,$A24,元データ!$D$2:$D$20000,$B24,元データ!$B$2:$B$20000,$C$3,元データ!$C$2:$C$20000,F$5)</f>
        <v>1</v>
      </c>
      <c r="G24" s="16">
        <f>SUMIFS(INDEX(元データ!$E$2:$H$20000,0,MATCH($C$2,元データ!$E$1:$H$1,0)),元データ!$A$2:$A$20000,$A24,元データ!$D$2:$D$20000,$B24,元データ!$B$2:$B$20000,$C$3,元データ!$C$2:$C$20000,G$5)</f>
        <v>1</v>
      </c>
      <c r="H24" s="16">
        <f>SUMIFS(INDEX(元データ!$E$2:$H$20000,0,MATCH($C$2,元データ!$E$1:$H$1,0)),元データ!$A$2:$A$20000,$A24,元データ!$D$2:$D$20000,$B24,元データ!$B$2:$B$20000,$C$3,元データ!$C$2:$C$20000,H$5)</f>
        <v>0</v>
      </c>
      <c r="I24" s="16">
        <f>SUMIFS(INDEX(元データ!$E$2:$H$20000,0,MATCH($C$2,元データ!$E$1:$H$1,0)),元データ!$A$2:$A$20000,$A24,元データ!$D$2:$D$20000,$B24,元データ!$B$2:$B$20000,$C$3,元データ!$C$2:$C$20000,I$5)</f>
        <v>1</v>
      </c>
      <c r="J24" s="16">
        <f>SUMIFS(INDEX(元データ!$E$2:$H$20000,0,MATCH($C$2,元データ!$E$1:$H$1,0)),元データ!$A$2:$A$20000,$A24,元データ!$D$2:$D$20000,$B24,元データ!$B$2:$B$20000,$C$3,元データ!$C$2:$C$20000,J$5)</f>
        <v>1</v>
      </c>
      <c r="K24" s="16">
        <f>SUMIFS(INDEX(元データ!$E$2:$H$20000,0,MATCH($C$2,元データ!$E$1:$H$1,0)),元データ!$A$2:$A$20000,$A24,元データ!$D$2:$D$20000,$B24,元データ!$B$2:$B$20000,$C$3,元データ!$C$2:$C$20000,K$5)</f>
        <v>2</v>
      </c>
      <c r="L24" s="16">
        <f>SUMIFS(INDEX(元データ!$E$2:$H$20000,0,MATCH($C$2,元データ!$E$1:$H$1,0)),元データ!$A$2:$A$20000,$A24,元データ!$D$2:$D$20000,$B24,元データ!$B$2:$B$20000,$C$3,元データ!$C$2:$C$20000,L$5)</f>
        <v>2</v>
      </c>
      <c r="M24" s="16">
        <f>SUMIFS(INDEX(元データ!$E$2:$H$20000,0,MATCH($C$2,元データ!$E$1:$H$1,0)),元データ!$A$2:$A$20000,$A24,元データ!$D$2:$D$20000,$B24,元データ!$B$2:$B$20000,$C$3,元データ!$C$2:$C$20000,M$5)</f>
        <v>1</v>
      </c>
      <c r="N24" s="16">
        <f>SUMIFS(INDEX(元データ!$E$2:$H$20000,0,MATCH($C$2,元データ!$E$1:$H$1,0)),元データ!$A$2:$A$20000,$A24,元データ!$D$2:$D$20000,$B24,元データ!$B$2:$B$20000,$C$3,元データ!$C$2:$C$20000,N$5)</f>
        <v>2</v>
      </c>
      <c r="O24" s="17">
        <f t="shared" si="0"/>
        <v>12</v>
      </c>
      <c r="P24" s="17">
        <f>SUMIFS(INDEX(元データ!$E$2:$H$20000,0,MATCH($C$2,元データ!$E$1:$H$1,0)),元データ!$A$2:$A$20000,$A24,元データ!$D$2:$D$20000,$B24,元データ!$B$2:$B$20000,$D$3)</f>
        <v>0</v>
      </c>
      <c r="Q24" s="25" t="str">
        <f t="shared" si="1"/>
        <v/>
      </c>
    </row>
    <row r="25" spans="1:17" x14ac:dyDescent="0.45">
      <c r="A25" s="14" t="str">
        <f>店舗マスタ!A21</f>
        <v>W長泉店</v>
      </c>
      <c r="B25" s="15" t="s">
        <v>34</v>
      </c>
      <c r="C25" s="16">
        <f>SUMIFS(INDEX(元データ!$E$2:$H$20000,0,MATCH($C$2,元データ!$E$1:$H$1,0)),元データ!$A$2:$A$20000,$A25,元データ!$D$2:$D$20000,$B25,元データ!$B$2:$B$20000,$C$3,元データ!$C$2:$C$20000,C$5)</f>
        <v>2</v>
      </c>
      <c r="D25" s="16">
        <f>SUMIFS(INDEX(元データ!$E$2:$H$20000,0,MATCH($C$2,元データ!$E$1:$H$1,0)),元データ!$A$2:$A$20000,$A25,元データ!$D$2:$D$20000,$B25,元データ!$B$2:$B$20000,$C$3,元データ!$C$2:$C$20000,D$5)</f>
        <v>4</v>
      </c>
      <c r="E25" s="16">
        <f>SUMIFS(INDEX(元データ!$E$2:$H$20000,0,MATCH($C$2,元データ!$E$1:$H$1,0)),元データ!$A$2:$A$20000,$A25,元データ!$D$2:$D$20000,$B25,元データ!$B$2:$B$20000,$C$3,元データ!$C$2:$C$20000,E$5)</f>
        <v>7</v>
      </c>
      <c r="F25" s="16">
        <f>SUMIFS(INDEX(元データ!$E$2:$H$20000,0,MATCH($C$2,元データ!$E$1:$H$1,0)),元データ!$A$2:$A$20000,$A25,元データ!$D$2:$D$20000,$B25,元データ!$B$2:$B$20000,$C$3,元データ!$C$2:$C$20000,F$5)</f>
        <v>6</v>
      </c>
      <c r="G25" s="16">
        <f>SUMIFS(INDEX(元データ!$E$2:$H$20000,0,MATCH($C$2,元データ!$E$1:$H$1,0)),元データ!$A$2:$A$20000,$A25,元データ!$D$2:$D$20000,$B25,元データ!$B$2:$B$20000,$C$3,元データ!$C$2:$C$20000,G$5)</f>
        <v>6</v>
      </c>
      <c r="H25" s="16">
        <f>SUMIFS(INDEX(元データ!$E$2:$H$20000,0,MATCH($C$2,元データ!$E$1:$H$1,0)),元データ!$A$2:$A$20000,$A25,元データ!$D$2:$D$20000,$B25,元データ!$B$2:$B$20000,$C$3,元データ!$C$2:$C$20000,H$5)</f>
        <v>0</v>
      </c>
      <c r="I25" s="16">
        <f>SUMIFS(INDEX(元データ!$E$2:$H$20000,0,MATCH($C$2,元データ!$E$1:$H$1,0)),元データ!$A$2:$A$20000,$A25,元データ!$D$2:$D$20000,$B25,元データ!$B$2:$B$20000,$C$3,元データ!$C$2:$C$20000,I$5)</f>
        <v>3</v>
      </c>
      <c r="J25" s="16">
        <f>SUMIFS(INDEX(元データ!$E$2:$H$20000,0,MATCH($C$2,元データ!$E$1:$H$1,0)),元データ!$A$2:$A$20000,$A25,元データ!$D$2:$D$20000,$B25,元データ!$B$2:$B$20000,$C$3,元データ!$C$2:$C$20000,J$5)</f>
        <v>4</v>
      </c>
      <c r="K25" s="16">
        <f>SUMIFS(INDEX(元データ!$E$2:$H$20000,0,MATCH($C$2,元データ!$E$1:$H$1,0)),元データ!$A$2:$A$20000,$A25,元データ!$D$2:$D$20000,$B25,元データ!$B$2:$B$20000,$C$3,元データ!$C$2:$C$20000,K$5)</f>
        <v>4</v>
      </c>
      <c r="L25" s="16">
        <f>SUMIFS(INDEX(元データ!$E$2:$H$20000,0,MATCH($C$2,元データ!$E$1:$H$1,0)),元データ!$A$2:$A$20000,$A25,元データ!$D$2:$D$20000,$B25,元データ!$B$2:$B$20000,$C$3,元データ!$C$2:$C$20000,L$5)</f>
        <v>3</v>
      </c>
      <c r="M25" s="16">
        <f>SUMIFS(INDEX(元データ!$E$2:$H$20000,0,MATCH($C$2,元データ!$E$1:$H$1,0)),元データ!$A$2:$A$20000,$A25,元データ!$D$2:$D$20000,$B25,元データ!$B$2:$B$20000,$C$3,元データ!$C$2:$C$20000,M$5)</f>
        <v>5</v>
      </c>
      <c r="N25" s="16">
        <f>SUMIFS(INDEX(元データ!$E$2:$H$20000,0,MATCH($C$2,元データ!$E$1:$H$1,0)),元データ!$A$2:$A$20000,$A25,元データ!$D$2:$D$20000,$B25,元データ!$B$2:$B$20000,$C$3,元データ!$C$2:$C$20000,N$5)</f>
        <v>3</v>
      </c>
      <c r="O25" s="17">
        <f t="shared" si="0"/>
        <v>47</v>
      </c>
      <c r="P25" s="17">
        <f>SUMIFS(INDEX(元データ!$E$2:$H$20000,0,MATCH($C$2,元データ!$E$1:$H$1,0)),元データ!$A$2:$A$20000,$A25,元データ!$D$2:$D$20000,$B25,元データ!$B$2:$B$20000,$D$3)</f>
        <v>0</v>
      </c>
      <c r="Q25" s="25" t="str">
        <f t="shared" si="1"/>
        <v/>
      </c>
    </row>
    <row r="26" spans="1:17" x14ac:dyDescent="0.45">
      <c r="A26" s="14" t="str">
        <f>店舗マスタ!A22</f>
        <v>Ｋ函南店</v>
      </c>
      <c r="B26" s="15" t="s">
        <v>34</v>
      </c>
      <c r="C26" s="16">
        <f>SUMIFS(INDEX(元データ!$E$2:$H$20000,0,MATCH($C$2,元データ!$E$1:$H$1,0)),元データ!$A$2:$A$20000,$A26,元データ!$D$2:$D$20000,$B26,元データ!$B$2:$B$20000,$C$3,元データ!$C$2:$C$20000,C$5)</f>
        <v>0</v>
      </c>
      <c r="D26" s="16">
        <f>SUMIFS(INDEX(元データ!$E$2:$H$20000,0,MATCH($C$2,元データ!$E$1:$H$1,0)),元データ!$A$2:$A$20000,$A26,元データ!$D$2:$D$20000,$B26,元データ!$B$2:$B$20000,$C$3,元データ!$C$2:$C$20000,D$5)</f>
        <v>0</v>
      </c>
      <c r="E26" s="16">
        <f>SUMIFS(INDEX(元データ!$E$2:$H$20000,0,MATCH($C$2,元データ!$E$1:$H$1,0)),元データ!$A$2:$A$20000,$A26,元データ!$D$2:$D$20000,$B26,元データ!$B$2:$B$20000,$C$3,元データ!$C$2:$C$20000,E$5)</f>
        <v>0</v>
      </c>
      <c r="F26" s="16">
        <f>SUMIFS(INDEX(元データ!$E$2:$H$20000,0,MATCH($C$2,元データ!$E$1:$H$1,0)),元データ!$A$2:$A$20000,$A26,元データ!$D$2:$D$20000,$B26,元データ!$B$2:$B$20000,$C$3,元データ!$C$2:$C$20000,F$5)</f>
        <v>0</v>
      </c>
      <c r="G26" s="16">
        <f>SUMIFS(INDEX(元データ!$E$2:$H$20000,0,MATCH($C$2,元データ!$E$1:$H$1,0)),元データ!$A$2:$A$20000,$A26,元データ!$D$2:$D$20000,$B26,元データ!$B$2:$B$20000,$C$3,元データ!$C$2:$C$20000,G$5)</f>
        <v>0</v>
      </c>
      <c r="H26" s="16">
        <f>SUMIFS(INDEX(元データ!$E$2:$H$20000,0,MATCH($C$2,元データ!$E$1:$H$1,0)),元データ!$A$2:$A$20000,$A26,元データ!$D$2:$D$20000,$B26,元データ!$B$2:$B$20000,$C$3,元データ!$C$2:$C$20000,H$5)</f>
        <v>0</v>
      </c>
      <c r="I26" s="16">
        <f>SUMIFS(INDEX(元データ!$E$2:$H$20000,0,MATCH($C$2,元データ!$E$1:$H$1,0)),元データ!$A$2:$A$20000,$A26,元データ!$D$2:$D$20000,$B26,元データ!$B$2:$B$20000,$C$3,元データ!$C$2:$C$20000,I$5)</f>
        <v>0</v>
      </c>
      <c r="J26" s="16">
        <f>SUMIFS(INDEX(元データ!$E$2:$H$20000,0,MATCH($C$2,元データ!$E$1:$H$1,0)),元データ!$A$2:$A$20000,$A26,元データ!$D$2:$D$20000,$B26,元データ!$B$2:$B$20000,$C$3,元データ!$C$2:$C$20000,J$5)</f>
        <v>0</v>
      </c>
      <c r="K26" s="16">
        <f>SUMIFS(INDEX(元データ!$E$2:$H$20000,0,MATCH($C$2,元データ!$E$1:$H$1,0)),元データ!$A$2:$A$20000,$A26,元データ!$D$2:$D$20000,$B26,元データ!$B$2:$B$20000,$C$3,元データ!$C$2:$C$20000,K$5)</f>
        <v>0</v>
      </c>
      <c r="L26" s="16">
        <f>SUMIFS(INDEX(元データ!$E$2:$H$20000,0,MATCH($C$2,元データ!$E$1:$H$1,0)),元データ!$A$2:$A$20000,$A26,元データ!$D$2:$D$20000,$B26,元データ!$B$2:$B$20000,$C$3,元データ!$C$2:$C$20000,L$5)</f>
        <v>0</v>
      </c>
      <c r="M26" s="16">
        <f>SUMIFS(INDEX(元データ!$E$2:$H$20000,0,MATCH($C$2,元データ!$E$1:$H$1,0)),元データ!$A$2:$A$20000,$A26,元データ!$D$2:$D$20000,$B26,元データ!$B$2:$B$20000,$C$3,元データ!$C$2:$C$20000,M$5)</f>
        <v>0</v>
      </c>
      <c r="N26" s="16">
        <f>SUMIFS(INDEX(元データ!$E$2:$H$20000,0,MATCH($C$2,元データ!$E$1:$H$1,0)),元データ!$A$2:$A$20000,$A26,元データ!$D$2:$D$20000,$B26,元データ!$B$2:$B$20000,$C$3,元データ!$C$2:$C$20000,N$5)</f>
        <v>0</v>
      </c>
      <c r="O26" s="17">
        <f t="shared" si="0"/>
        <v>0</v>
      </c>
      <c r="P26" s="17">
        <f>SUMIFS(INDEX(元データ!$E$2:$H$20000,0,MATCH($C$2,元データ!$E$1:$H$1,0)),元データ!$A$2:$A$20000,$A26,元データ!$D$2:$D$20000,$B26,元データ!$B$2:$B$20000,$D$3)</f>
        <v>0</v>
      </c>
      <c r="Q26" s="25" t="str">
        <f t="shared" si="1"/>
        <v/>
      </c>
    </row>
    <row r="27" spans="1:17" x14ac:dyDescent="0.45">
      <c r="A27" s="14" t="str">
        <f>店舗マスタ!A23</f>
        <v>Ｃ新沢田店</v>
      </c>
      <c r="B27" s="15" t="s">
        <v>34</v>
      </c>
      <c r="C27" s="16">
        <f>SUMIFS(INDEX(元データ!$E$2:$H$20000,0,MATCH($C$2,元データ!$E$1:$H$1,0)),元データ!$A$2:$A$20000,$A27,元データ!$D$2:$D$20000,$B27,元データ!$B$2:$B$20000,$C$3,元データ!$C$2:$C$20000,C$5)</f>
        <v>0</v>
      </c>
      <c r="D27" s="16">
        <f>SUMIFS(INDEX(元データ!$E$2:$H$20000,0,MATCH($C$2,元データ!$E$1:$H$1,0)),元データ!$A$2:$A$20000,$A27,元データ!$D$2:$D$20000,$B27,元データ!$B$2:$B$20000,$C$3,元データ!$C$2:$C$20000,D$5)</f>
        <v>0</v>
      </c>
      <c r="E27" s="16">
        <f>SUMIFS(INDEX(元データ!$E$2:$H$20000,0,MATCH($C$2,元データ!$E$1:$H$1,0)),元データ!$A$2:$A$20000,$A27,元データ!$D$2:$D$20000,$B27,元データ!$B$2:$B$20000,$C$3,元データ!$C$2:$C$20000,E$5)</f>
        <v>0</v>
      </c>
      <c r="F27" s="16">
        <f>SUMIFS(INDEX(元データ!$E$2:$H$20000,0,MATCH($C$2,元データ!$E$1:$H$1,0)),元データ!$A$2:$A$20000,$A27,元データ!$D$2:$D$20000,$B27,元データ!$B$2:$B$20000,$C$3,元データ!$C$2:$C$20000,F$5)</f>
        <v>0</v>
      </c>
      <c r="G27" s="16">
        <f>SUMIFS(INDEX(元データ!$E$2:$H$20000,0,MATCH($C$2,元データ!$E$1:$H$1,0)),元データ!$A$2:$A$20000,$A27,元データ!$D$2:$D$20000,$B27,元データ!$B$2:$B$20000,$C$3,元データ!$C$2:$C$20000,G$5)</f>
        <v>0</v>
      </c>
      <c r="H27" s="16">
        <f>SUMIFS(INDEX(元データ!$E$2:$H$20000,0,MATCH($C$2,元データ!$E$1:$H$1,0)),元データ!$A$2:$A$20000,$A27,元データ!$D$2:$D$20000,$B27,元データ!$B$2:$B$20000,$C$3,元データ!$C$2:$C$20000,H$5)</f>
        <v>0</v>
      </c>
      <c r="I27" s="16">
        <f>SUMIFS(INDEX(元データ!$E$2:$H$20000,0,MATCH($C$2,元データ!$E$1:$H$1,0)),元データ!$A$2:$A$20000,$A27,元データ!$D$2:$D$20000,$B27,元データ!$B$2:$B$20000,$C$3,元データ!$C$2:$C$20000,I$5)</f>
        <v>0</v>
      </c>
      <c r="J27" s="16">
        <f>SUMIFS(INDEX(元データ!$E$2:$H$20000,0,MATCH($C$2,元データ!$E$1:$H$1,0)),元データ!$A$2:$A$20000,$A27,元データ!$D$2:$D$20000,$B27,元データ!$B$2:$B$20000,$C$3,元データ!$C$2:$C$20000,J$5)</f>
        <v>0</v>
      </c>
      <c r="K27" s="16">
        <f>SUMIFS(INDEX(元データ!$E$2:$H$20000,0,MATCH($C$2,元データ!$E$1:$H$1,0)),元データ!$A$2:$A$20000,$A27,元データ!$D$2:$D$20000,$B27,元データ!$B$2:$B$20000,$C$3,元データ!$C$2:$C$20000,K$5)</f>
        <v>0</v>
      </c>
      <c r="L27" s="16">
        <f>SUMIFS(INDEX(元データ!$E$2:$H$20000,0,MATCH($C$2,元データ!$E$1:$H$1,0)),元データ!$A$2:$A$20000,$A27,元データ!$D$2:$D$20000,$B27,元データ!$B$2:$B$20000,$C$3,元データ!$C$2:$C$20000,L$5)</f>
        <v>0</v>
      </c>
      <c r="M27" s="16">
        <f>SUMIFS(INDEX(元データ!$E$2:$H$20000,0,MATCH($C$2,元データ!$E$1:$H$1,0)),元データ!$A$2:$A$20000,$A27,元データ!$D$2:$D$20000,$B27,元データ!$B$2:$B$20000,$C$3,元データ!$C$2:$C$20000,M$5)</f>
        <v>0</v>
      </c>
      <c r="N27" s="16">
        <f>SUMIFS(INDEX(元データ!$E$2:$H$20000,0,MATCH($C$2,元データ!$E$1:$H$1,0)),元データ!$A$2:$A$20000,$A27,元データ!$D$2:$D$20000,$B27,元データ!$B$2:$B$20000,$C$3,元データ!$C$2:$C$20000,N$5)</f>
        <v>0</v>
      </c>
      <c r="O27" s="17">
        <f t="shared" si="0"/>
        <v>0</v>
      </c>
      <c r="P27" s="17">
        <f>SUMIFS(INDEX(元データ!$E$2:$H$20000,0,MATCH($C$2,元データ!$E$1:$H$1,0)),元データ!$A$2:$A$20000,$A27,元データ!$D$2:$D$20000,$B27,元データ!$B$2:$B$20000,$D$3)</f>
        <v>0</v>
      </c>
      <c r="Q27" s="25" t="str">
        <f t="shared" si="1"/>
        <v/>
      </c>
    </row>
    <row r="28" spans="1:17" x14ac:dyDescent="0.45">
      <c r="A28" s="14" t="str">
        <f>店舗マスタ!A24</f>
        <v>ＭＶ柳町店</v>
      </c>
      <c r="B28" s="15" t="s">
        <v>34</v>
      </c>
      <c r="C28" s="16">
        <f>SUMIFS(INDEX(元データ!$E$2:$H$20000,0,MATCH($C$2,元データ!$E$1:$H$1,0)),元データ!$A$2:$A$20000,$A28,元データ!$D$2:$D$20000,$B28,元データ!$B$2:$B$20000,$C$3,元データ!$C$2:$C$20000,C$5)</f>
        <v>3</v>
      </c>
      <c r="D28" s="16">
        <f>SUMIFS(INDEX(元データ!$E$2:$H$20000,0,MATCH($C$2,元データ!$E$1:$H$1,0)),元データ!$A$2:$A$20000,$A28,元データ!$D$2:$D$20000,$B28,元データ!$B$2:$B$20000,$C$3,元データ!$C$2:$C$20000,D$5)</f>
        <v>2</v>
      </c>
      <c r="E28" s="16">
        <f>SUMIFS(INDEX(元データ!$E$2:$H$20000,0,MATCH($C$2,元データ!$E$1:$H$1,0)),元データ!$A$2:$A$20000,$A28,元データ!$D$2:$D$20000,$B28,元データ!$B$2:$B$20000,$C$3,元データ!$C$2:$C$20000,E$5)</f>
        <v>5</v>
      </c>
      <c r="F28" s="16">
        <f>SUMIFS(INDEX(元データ!$E$2:$H$20000,0,MATCH($C$2,元データ!$E$1:$H$1,0)),元データ!$A$2:$A$20000,$A28,元データ!$D$2:$D$20000,$B28,元データ!$B$2:$B$20000,$C$3,元データ!$C$2:$C$20000,F$5)</f>
        <v>4</v>
      </c>
      <c r="G28" s="16">
        <f>SUMIFS(INDEX(元データ!$E$2:$H$20000,0,MATCH($C$2,元データ!$E$1:$H$1,0)),元データ!$A$2:$A$20000,$A28,元データ!$D$2:$D$20000,$B28,元データ!$B$2:$B$20000,$C$3,元データ!$C$2:$C$20000,G$5)</f>
        <v>5</v>
      </c>
      <c r="H28" s="16">
        <f>SUMIFS(INDEX(元データ!$E$2:$H$20000,0,MATCH($C$2,元データ!$E$1:$H$1,0)),元データ!$A$2:$A$20000,$A28,元データ!$D$2:$D$20000,$B28,元データ!$B$2:$B$20000,$C$3,元データ!$C$2:$C$20000,H$5)</f>
        <v>0</v>
      </c>
      <c r="I28" s="16">
        <f>SUMIFS(INDEX(元データ!$E$2:$H$20000,0,MATCH($C$2,元データ!$E$1:$H$1,0)),元データ!$A$2:$A$20000,$A28,元データ!$D$2:$D$20000,$B28,元データ!$B$2:$B$20000,$C$3,元データ!$C$2:$C$20000,I$5)</f>
        <v>3</v>
      </c>
      <c r="J28" s="16">
        <f>SUMIFS(INDEX(元データ!$E$2:$H$20000,0,MATCH($C$2,元データ!$E$1:$H$1,0)),元データ!$A$2:$A$20000,$A28,元データ!$D$2:$D$20000,$B28,元データ!$B$2:$B$20000,$C$3,元データ!$C$2:$C$20000,J$5)</f>
        <v>4</v>
      </c>
      <c r="K28" s="16">
        <f>SUMIFS(INDEX(元データ!$E$2:$H$20000,0,MATCH($C$2,元データ!$E$1:$H$1,0)),元データ!$A$2:$A$20000,$A28,元データ!$D$2:$D$20000,$B28,元データ!$B$2:$B$20000,$C$3,元データ!$C$2:$C$20000,K$5)</f>
        <v>4</v>
      </c>
      <c r="L28" s="16">
        <f>SUMIFS(INDEX(元データ!$E$2:$H$20000,0,MATCH($C$2,元データ!$E$1:$H$1,0)),元データ!$A$2:$A$20000,$A28,元データ!$D$2:$D$20000,$B28,元データ!$B$2:$B$20000,$C$3,元データ!$C$2:$C$20000,L$5)</f>
        <v>3</v>
      </c>
      <c r="M28" s="16">
        <f>SUMIFS(INDEX(元データ!$E$2:$H$20000,0,MATCH($C$2,元データ!$E$1:$H$1,0)),元データ!$A$2:$A$20000,$A28,元データ!$D$2:$D$20000,$B28,元データ!$B$2:$B$20000,$C$3,元データ!$C$2:$C$20000,M$5)</f>
        <v>5</v>
      </c>
      <c r="N28" s="16">
        <f>SUMIFS(INDEX(元データ!$E$2:$H$20000,0,MATCH($C$2,元データ!$E$1:$H$1,0)),元データ!$A$2:$A$20000,$A28,元データ!$D$2:$D$20000,$B28,元データ!$B$2:$B$20000,$C$3,元データ!$C$2:$C$20000,N$5)</f>
        <v>4</v>
      </c>
      <c r="O28" s="17">
        <f t="shared" si="0"/>
        <v>42</v>
      </c>
      <c r="P28" s="17">
        <f>SUMIFS(INDEX(元データ!$E$2:$H$20000,0,MATCH($C$2,元データ!$E$1:$H$1,0)),元データ!$A$2:$A$20000,$A28,元データ!$D$2:$D$20000,$B28,元データ!$B$2:$B$20000,$D$3)</f>
        <v>0</v>
      </c>
      <c r="Q28" s="25" t="str">
        <f t="shared" si="1"/>
        <v/>
      </c>
    </row>
    <row r="29" spans="1:17" x14ac:dyDescent="0.45">
      <c r="A29" s="14" t="str">
        <f>店舗マスタ!A25</f>
        <v>清水町工場店</v>
      </c>
      <c r="B29" s="15" t="s">
        <v>34</v>
      </c>
      <c r="C29" s="16">
        <f>SUMIFS(INDEX(元データ!$E$2:$H$20000,0,MATCH($C$2,元データ!$E$1:$H$1,0)),元データ!$A$2:$A$20000,$A29,元データ!$D$2:$D$20000,$B29,元データ!$B$2:$B$20000,$C$3,元データ!$C$2:$C$20000,C$5)</f>
        <v>17</v>
      </c>
      <c r="D29" s="16">
        <f>SUMIFS(INDEX(元データ!$E$2:$H$20000,0,MATCH($C$2,元データ!$E$1:$H$1,0)),元データ!$A$2:$A$20000,$A29,元データ!$D$2:$D$20000,$B29,元データ!$B$2:$B$20000,$C$3,元データ!$C$2:$C$20000,D$5)</f>
        <v>13</v>
      </c>
      <c r="E29" s="16">
        <f>SUMIFS(INDEX(元データ!$E$2:$H$20000,0,MATCH($C$2,元データ!$E$1:$H$1,0)),元データ!$A$2:$A$20000,$A29,元データ!$D$2:$D$20000,$B29,元データ!$B$2:$B$20000,$C$3,元データ!$C$2:$C$20000,E$5)</f>
        <v>29</v>
      </c>
      <c r="F29" s="16">
        <f>SUMIFS(INDEX(元データ!$E$2:$H$20000,0,MATCH($C$2,元データ!$E$1:$H$1,0)),元データ!$A$2:$A$20000,$A29,元データ!$D$2:$D$20000,$B29,元データ!$B$2:$B$20000,$C$3,元データ!$C$2:$C$20000,F$5)</f>
        <v>25</v>
      </c>
      <c r="G29" s="16">
        <f>SUMIFS(INDEX(元データ!$E$2:$H$20000,0,MATCH($C$2,元データ!$E$1:$H$1,0)),元データ!$A$2:$A$20000,$A29,元データ!$D$2:$D$20000,$B29,元データ!$B$2:$B$20000,$C$3,元データ!$C$2:$C$20000,G$5)</f>
        <v>22</v>
      </c>
      <c r="H29" s="16">
        <f>SUMIFS(INDEX(元データ!$E$2:$H$20000,0,MATCH($C$2,元データ!$E$1:$H$1,0)),元データ!$A$2:$A$20000,$A29,元データ!$D$2:$D$20000,$B29,元データ!$B$2:$B$20000,$C$3,元データ!$C$2:$C$20000,H$5)</f>
        <v>0</v>
      </c>
      <c r="I29" s="16">
        <f>SUMIFS(INDEX(元データ!$E$2:$H$20000,0,MATCH($C$2,元データ!$E$1:$H$1,0)),元データ!$A$2:$A$20000,$A29,元データ!$D$2:$D$20000,$B29,元データ!$B$2:$B$20000,$C$3,元データ!$C$2:$C$20000,I$5)</f>
        <v>20</v>
      </c>
      <c r="J29" s="16">
        <f>SUMIFS(INDEX(元データ!$E$2:$H$20000,0,MATCH($C$2,元データ!$E$1:$H$1,0)),元データ!$A$2:$A$20000,$A29,元データ!$D$2:$D$20000,$B29,元データ!$B$2:$B$20000,$C$3,元データ!$C$2:$C$20000,J$5)</f>
        <v>18</v>
      </c>
      <c r="K29" s="16">
        <f>SUMIFS(INDEX(元データ!$E$2:$H$20000,0,MATCH($C$2,元データ!$E$1:$H$1,0)),元データ!$A$2:$A$20000,$A29,元データ!$D$2:$D$20000,$B29,元データ!$B$2:$B$20000,$C$3,元データ!$C$2:$C$20000,K$5)</f>
        <v>20</v>
      </c>
      <c r="L29" s="16">
        <f>SUMIFS(INDEX(元データ!$E$2:$H$20000,0,MATCH($C$2,元データ!$E$1:$H$1,0)),元データ!$A$2:$A$20000,$A29,元データ!$D$2:$D$20000,$B29,元データ!$B$2:$B$20000,$C$3,元データ!$C$2:$C$20000,L$5)</f>
        <v>20</v>
      </c>
      <c r="M29" s="16">
        <f>SUMIFS(INDEX(元データ!$E$2:$H$20000,0,MATCH($C$2,元データ!$E$1:$H$1,0)),元データ!$A$2:$A$20000,$A29,元データ!$D$2:$D$20000,$B29,元データ!$B$2:$B$20000,$C$3,元データ!$C$2:$C$20000,M$5)</f>
        <v>18</v>
      </c>
      <c r="N29" s="16">
        <f>SUMIFS(INDEX(元データ!$E$2:$H$20000,0,MATCH($C$2,元データ!$E$1:$H$1,0)),元データ!$A$2:$A$20000,$A29,元データ!$D$2:$D$20000,$B29,元データ!$B$2:$B$20000,$C$3,元データ!$C$2:$C$20000,N$5)</f>
        <v>21</v>
      </c>
      <c r="O29" s="17">
        <f t="shared" si="0"/>
        <v>223</v>
      </c>
      <c r="P29" s="17">
        <f>SUMIFS(INDEX(元データ!$E$2:$H$20000,0,MATCH($C$2,元データ!$E$1:$H$1,0)),元データ!$A$2:$A$20000,$A29,元データ!$D$2:$D$20000,$B29,元データ!$B$2:$B$20000,$D$3)</f>
        <v>0</v>
      </c>
      <c r="Q29" s="25" t="str">
        <f t="shared" si="1"/>
        <v/>
      </c>
    </row>
    <row r="30" spans="1:17" x14ac:dyDescent="0.45">
      <c r="A30" s="14" t="str">
        <f>店舗マスタ!A26</f>
        <v>オギノ大坂店</v>
      </c>
      <c r="B30" s="15" t="s">
        <v>34</v>
      </c>
      <c r="C30" s="16">
        <f>SUMIFS(INDEX(元データ!$E$2:$H$20000,0,MATCH($C$2,元データ!$E$1:$H$1,0)),元データ!$A$2:$A$20000,$A30,元データ!$D$2:$D$20000,$B30,元データ!$B$2:$B$20000,$C$3,元データ!$C$2:$C$20000,C$5)</f>
        <v>4</v>
      </c>
      <c r="D30" s="16">
        <f>SUMIFS(INDEX(元データ!$E$2:$H$20000,0,MATCH($C$2,元データ!$E$1:$H$1,0)),元データ!$A$2:$A$20000,$A30,元データ!$D$2:$D$20000,$B30,元データ!$B$2:$B$20000,$C$3,元データ!$C$2:$C$20000,D$5)</f>
        <v>1</v>
      </c>
      <c r="E30" s="16">
        <f>SUMIFS(INDEX(元データ!$E$2:$H$20000,0,MATCH($C$2,元データ!$E$1:$H$1,0)),元データ!$A$2:$A$20000,$A30,元データ!$D$2:$D$20000,$B30,元データ!$B$2:$B$20000,$C$3,元データ!$C$2:$C$20000,E$5)</f>
        <v>5</v>
      </c>
      <c r="F30" s="16">
        <f>SUMIFS(INDEX(元データ!$E$2:$H$20000,0,MATCH($C$2,元データ!$E$1:$H$1,0)),元データ!$A$2:$A$20000,$A30,元データ!$D$2:$D$20000,$B30,元データ!$B$2:$B$20000,$C$3,元データ!$C$2:$C$20000,F$5)</f>
        <v>5</v>
      </c>
      <c r="G30" s="16">
        <f>SUMIFS(INDEX(元データ!$E$2:$H$20000,0,MATCH($C$2,元データ!$E$1:$H$1,0)),元データ!$A$2:$A$20000,$A30,元データ!$D$2:$D$20000,$B30,元データ!$B$2:$B$20000,$C$3,元データ!$C$2:$C$20000,G$5)</f>
        <v>4</v>
      </c>
      <c r="H30" s="16">
        <f>SUMIFS(INDEX(元データ!$E$2:$H$20000,0,MATCH($C$2,元データ!$E$1:$H$1,0)),元データ!$A$2:$A$20000,$A30,元データ!$D$2:$D$20000,$B30,元データ!$B$2:$B$20000,$C$3,元データ!$C$2:$C$20000,H$5)</f>
        <v>0</v>
      </c>
      <c r="I30" s="16">
        <f>SUMIFS(INDEX(元データ!$E$2:$H$20000,0,MATCH($C$2,元データ!$E$1:$H$1,0)),元データ!$A$2:$A$20000,$A30,元データ!$D$2:$D$20000,$B30,元データ!$B$2:$B$20000,$C$3,元データ!$C$2:$C$20000,I$5)</f>
        <v>4</v>
      </c>
      <c r="J30" s="16">
        <f>SUMIFS(INDEX(元データ!$E$2:$H$20000,0,MATCH($C$2,元データ!$E$1:$H$1,0)),元データ!$A$2:$A$20000,$A30,元データ!$D$2:$D$20000,$B30,元データ!$B$2:$B$20000,$C$3,元データ!$C$2:$C$20000,J$5)</f>
        <v>5</v>
      </c>
      <c r="K30" s="16">
        <f>SUMIFS(INDEX(元データ!$E$2:$H$20000,0,MATCH($C$2,元データ!$E$1:$H$1,0)),元データ!$A$2:$A$20000,$A30,元データ!$D$2:$D$20000,$B30,元データ!$B$2:$B$20000,$C$3,元データ!$C$2:$C$20000,K$5)</f>
        <v>6</v>
      </c>
      <c r="L30" s="16">
        <f>SUMIFS(INDEX(元データ!$E$2:$H$20000,0,MATCH($C$2,元データ!$E$1:$H$1,0)),元データ!$A$2:$A$20000,$A30,元データ!$D$2:$D$20000,$B30,元データ!$B$2:$B$20000,$C$3,元データ!$C$2:$C$20000,L$5)</f>
        <v>4</v>
      </c>
      <c r="M30" s="16">
        <f>SUMIFS(INDEX(元データ!$E$2:$H$20000,0,MATCH($C$2,元データ!$E$1:$H$1,0)),元データ!$A$2:$A$20000,$A30,元データ!$D$2:$D$20000,$B30,元データ!$B$2:$B$20000,$C$3,元データ!$C$2:$C$20000,M$5)</f>
        <v>5</v>
      </c>
      <c r="N30" s="16">
        <f>SUMIFS(INDEX(元データ!$E$2:$H$20000,0,MATCH($C$2,元データ!$E$1:$H$1,0)),元データ!$A$2:$A$20000,$A30,元データ!$D$2:$D$20000,$B30,元データ!$B$2:$B$20000,$C$3,元データ!$C$2:$C$20000,N$5)</f>
        <v>4</v>
      </c>
      <c r="O30" s="17">
        <f t="shared" si="0"/>
        <v>47</v>
      </c>
      <c r="P30" s="17">
        <f>SUMIFS(INDEX(元データ!$E$2:$H$20000,0,MATCH($C$2,元データ!$E$1:$H$1,0)),元データ!$A$2:$A$20000,$A30,元データ!$D$2:$D$20000,$B30,元データ!$B$2:$B$20000,$D$3)</f>
        <v>0</v>
      </c>
      <c r="Q30" s="25" t="str">
        <f t="shared" si="1"/>
        <v/>
      </c>
    </row>
    <row r="31" spans="1:17" x14ac:dyDescent="0.45">
      <c r="A31" s="14" t="str">
        <f>店舗マスタ!A27</f>
        <v>三島徳倉店</v>
      </c>
      <c r="B31" s="15" t="s">
        <v>34</v>
      </c>
      <c r="C31" s="16">
        <f>SUMIFS(INDEX(元データ!$E$2:$H$20000,0,MATCH($C$2,元データ!$E$1:$H$1,0)),元データ!$A$2:$A$20000,$A31,元データ!$D$2:$D$20000,$B31,元データ!$B$2:$B$20000,$C$3,元データ!$C$2:$C$20000,C$5)</f>
        <v>2</v>
      </c>
      <c r="D31" s="16">
        <f>SUMIFS(INDEX(元データ!$E$2:$H$20000,0,MATCH($C$2,元データ!$E$1:$H$1,0)),元データ!$A$2:$A$20000,$A31,元データ!$D$2:$D$20000,$B31,元データ!$B$2:$B$20000,$C$3,元データ!$C$2:$C$20000,D$5)</f>
        <v>0</v>
      </c>
      <c r="E31" s="16">
        <f>SUMIFS(INDEX(元データ!$E$2:$H$20000,0,MATCH($C$2,元データ!$E$1:$H$1,0)),元データ!$A$2:$A$20000,$A31,元データ!$D$2:$D$20000,$B31,元データ!$B$2:$B$20000,$C$3,元データ!$C$2:$C$20000,E$5)</f>
        <v>2</v>
      </c>
      <c r="F31" s="16">
        <f>SUMIFS(INDEX(元データ!$E$2:$H$20000,0,MATCH($C$2,元データ!$E$1:$H$1,0)),元データ!$A$2:$A$20000,$A31,元データ!$D$2:$D$20000,$B31,元データ!$B$2:$B$20000,$C$3,元データ!$C$2:$C$20000,F$5)</f>
        <v>2</v>
      </c>
      <c r="G31" s="16">
        <f>SUMIFS(INDEX(元データ!$E$2:$H$20000,0,MATCH($C$2,元データ!$E$1:$H$1,0)),元データ!$A$2:$A$20000,$A31,元データ!$D$2:$D$20000,$B31,元データ!$B$2:$B$20000,$C$3,元データ!$C$2:$C$20000,G$5)</f>
        <v>2</v>
      </c>
      <c r="H31" s="16">
        <f>SUMIFS(INDEX(元データ!$E$2:$H$20000,0,MATCH($C$2,元データ!$E$1:$H$1,0)),元データ!$A$2:$A$20000,$A31,元データ!$D$2:$D$20000,$B31,元データ!$B$2:$B$20000,$C$3,元データ!$C$2:$C$20000,H$5)</f>
        <v>0</v>
      </c>
      <c r="I31" s="16">
        <f>SUMIFS(INDEX(元データ!$E$2:$H$20000,0,MATCH($C$2,元データ!$E$1:$H$1,0)),元データ!$A$2:$A$20000,$A31,元データ!$D$2:$D$20000,$B31,元データ!$B$2:$B$20000,$C$3,元データ!$C$2:$C$20000,I$5)</f>
        <v>3</v>
      </c>
      <c r="J31" s="16">
        <f>SUMIFS(INDEX(元データ!$E$2:$H$20000,0,MATCH($C$2,元データ!$E$1:$H$1,0)),元データ!$A$2:$A$20000,$A31,元データ!$D$2:$D$20000,$B31,元データ!$B$2:$B$20000,$C$3,元データ!$C$2:$C$20000,J$5)</f>
        <v>3</v>
      </c>
      <c r="K31" s="16">
        <f>SUMIFS(INDEX(元データ!$E$2:$H$20000,0,MATCH($C$2,元データ!$E$1:$H$1,0)),元データ!$A$2:$A$20000,$A31,元データ!$D$2:$D$20000,$B31,元データ!$B$2:$B$20000,$C$3,元データ!$C$2:$C$20000,K$5)</f>
        <v>3</v>
      </c>
      <c r="L31" s="16">
        <f>SUMIFS(INDEX(元データ!$E$2:$H$20000,0,MATCH($C$2,元データ!$E$1:$H$1,0)),元データ!$A$2:$A$20000,$A31,元データ!$D$2:$D$20000,$B31,元データ!$B$2:$B$20000,$C$3,元データ!$C$2:$C$20000,L$5)</f>
        <v>3</v>
      </c>
      <c r="M31" s="16">
        <f>SUMIFS(INDEX(元データ!$E$2:$H$20000,0,MATCH($C$2,元データ!$E$1:$H$1,0)),元データ!$A$2:$A$20000,$A31,元データ!$D$2:$D$20000,$B31,元データ!$B$2:$B$20000,$C$3,元データ!$C$2:$C$20000,M$5)</f>
        <v>3</v>
      </c>
      <c r="N31" s="16">
        <f>SUMIFS(INDEX(元データ!$E$2:$H$20000,0,MATCH($C$2,元データ!$E$1:$H$1,0)),元データ!$A$2:$A$20000,$A31,元データ!$D$2:$D$20000,$B31,元データ!$B$2:$B$20000,$C$3,元データ!$C$2:$C$20000,N$5)</f>
        <v>2</v>
      </c>
      <c r="O31" s="17">
        <f t="shared" si="0"/>
        <v>25</v>
      </c>
      <c r="P31" s="17">
        <f>SUMIFS(INDEX(元データ!$E$2:$H$20000,0,MATCH($C$2,元データ!$E$1:$H$1,0)),元データ!$A$2:$A$20000,$A31,元データ!$D$2:$D$20000,$B31,元データ!$B$2:$B$20000,$D$3)</f>
        <v>0</v>
      </c>
      <c r="Q31" s="25" t="str">
        <f t="shared" si="1"/>
        <v/>
      </c>
    </row>
    <row r="32" spans="1:17" x14ac:dyDescent="0.45">
      <c r="A32" s="14" t="str">
        <f>店舗マスタ!A28</f>
        <v>西沢田店</v>
      </c>
      <c r="B32" s="15" t="s">
        <v>34</v>
      </c>
      <c r="C32" s="16">
        <f>SUMIFS(INDEX(元データ!$E$2:$H$20000,0,MATCH($C$2,元データ!$E$1:$H$1,0)),元データ!$A$2:$A$20000,$A32,元データ!$D$2:$D$20000,$B32,元データ!$B$2:$B$20000,$C$3,元データ!$C$2:$C$20000,C$5)</f>
        <v>1</v>
      </c>
      <c r="D32" s="16">
        <f>SUMIFS(INDEX(元データ!$E$2:$H$20000,0,MATCH($C$2,元データ!$E$1:$H$1,0)),元データ!$A$2:$A$20000,$A32,元データ!$D$2:$D$20000,$B32,元データ!$B$2:$B$20000,$C$3,元データ!$C$2:$C$20000,D$5)</f>
        <v>1</v>
      </c>
      <c r="E32" s="16">
        <f>SUMIFS(INDEX(元データ!$E$2:$H$20000,0,MATCH($C$2,元データ!$E$1:$H$1,0)),元データ!$A$2:$A$20000,$A32,元データ!$D$2:$D$20000,$B32,元データ!$B$2:$B$20000,$C$3,元データ!$C$2:$C$20000,E$5)</f>
        <v>1</v>
      </c>
      <c r="F32" s="16">
        <f>SUMIFS(INDEX(元データ!$E$2:$H$20000,0,MATCH($C$2,元データ!$E$1:$H$1,0)),元データ!$A$2:$A$20000,$A32,元データ!$D$2:$D$20000,$B32,元データ!$B$2:$B$20000,$C$3,元データ!$C$2:$C$20000,F$5)</f>
        <v>4</v>
      </c>
      <c r="G32" s="16">
        <f>SUMIFS(INDEX(元データ!$E$2:$H$20000,0,MATCH($C$2,元データ!$E$1:$H$1,0)),元データ!$A$2:$A$20000,$A32,元データ!$D$2:$D$20000,$B32,元データ!$B$2:$B$20000,$C$3,元データ!$C$2:$C$20000,G$5)</f>
        <v>2</v>
      </c>
      <c r="H32" s="16">
        <f>SUMIFS(INDEX(元データ!$E$2:$H$20000,0,MATCH($C$2,元データ!$E$1:$H$1,0)),元データ!$A$2:$A$20000,$A32,元データ!$D$2:$D$20000,$B32,元データ!$B$2:$B$20000,$C$3,元データ!$C$2:$C$20000,H$5)</f>
        <v>0</v>
      </c>
      <c r="I32" s="16">
        <f>SUMIFS(INDEX(元データ!$E$2:$H$20000,0,MATCH($C$2,元データ!$E$1:$H$1,0)),元データ!$A$2:$A$20000,$A32,元データ!$D$2:$D$20000,$B32,元データ!$B$2:$B$20000,$C$3,元データ!$C$2:$C$20000,I$5)</f>
        <v>2</v>
      </c>
      <c r="J32" s="16">
        <f>SUMIFS(INDEX(元データ!$E$2:$H$20000,0,MATCH($C$2,元データ!$E$1:$H$1,0)),元データ!$A$2:$A$20000,$A32,元データ!$D$2:$D$20000,$B32,元データ!$B$2:$B$20000,$C$3,元データ!$C$2:$C$20000,J$5)</f>
        <v>2</v>
      </c>
      <c r="K32" s="16">
        <f>SUMIFS(INDEX(元データ!$E$2:$H$20000,0,MATCH($C$2,元データ!$E$1:$H$1,0)),元データ!$A$2:$A$20000,$A32,元データ!$D$2:$D$20000,$B32,元データ!$B$2:$B$20000,$C$3,元データ!$C$2:$C$20000,K$5)</f>
        <v>2</v>
      </c>
      <c r="L32" s="16">
        <f>SUMIFS(INDEX(元データ!$E$2:$H$20000,0,MATCH($C$2,元データ!$E$1:$H$1,0)),元データ!$A$2:$A$20000,$A32,元データ!$D$2:$D$20000,$B32,元データ!$B$2:$B$20000,$C$3,元データ!$C$2:$C$20000,L$5)</f>
        <v>2</v>
      </c>
      <c r="M32" s="16">
        <f>SUMIFS(INDEX(元データ!$E$2:$H$20000,0,MATCH($C$2,元データ!$E$1:$H$1,0)),元データ!$A$2:$A$20000,$A32,元データ!$D$2:$D$20000,$B32,元データ!$B$2:$B$20000,$C$3,元データ!$C$2:$C$20000,M$5)</f>
        <v>2</v>
      </c>
      <c r="N32" s="16">
        <f>SUMIFS(INDEX(元データ!$E$2:$H$20000,0,MATCH($C$2,元データ!$E$1:$H$1,0)),元データ!$A$2:$A$20000,$A32,元データ!$D$2:$D$20000,$B32,元データ!$B$2:$B$20000,$C$3,元データ!$C$2:$C$20000,N$5)</f>
        <v>2</v>
      </c>
      <c r="O32" s="17">
        <f t="shared" si="0"/>
        <v>21</v>
      </c>
      <c r="P32" s="17">
        <f>SUMIFS(INDEX(元データ!$E$2:$H$20000,0,MATCH($C$2,元データ!$E$1:$H$1,0)),元データ!$A$2:$A$20000,$A32,元データ!$D$2:$D$20000,$B32,元データ!$B$2:$B$20000,$D$3)</f>
        <v>0</v>
      </c>
      <c r="Q32" s="25" t="str">
        <f t="shared" si="1"/>
        <v/>
      </c>
    </row>
    <row r="33" spans="1:17" x14ac:dyDescent="0.45">
      <c r="A33" s="14" t="str">
        <f>店舗マスタ!A29</f>
        <v>中土狩店</v>
      </c>
      <c r="B33" s="15" t="s">
        <v>34</v>
      </c>
      <c r="C33" s="16">
        <f>SUMIFS(INDEX(元データ!$E$2:$H$20000,0,MATCH($C$2,元データ!$E$1:$H$1,0)),元データ!$A$2:$A$20000,$A33,元データ!$D$2:$D$20000,$B33,元データ!$B$2:$B$20000,$C$3,元データ!$C$2:$C$20000,C$5)</f>
        <v>4</v>
      </c>
      <c r="D33" s="16">
        <f>SUMIFS(INDEX(元データ!$E$2:$H$20000,0,MATCH($C$2,元データ!$E$1:$H$1,0)),元データ!$A$2:$A$20000,$A33,元データ!$D$2:$D$20000,$B33,元データ!$B$2:$B$20000,$C$3,元データ!$C$2:$C$20000,D$5)</f>
        <v>2</v>
      </c>
      <c r="E33" s="16">
        <f>SUMIFS(INDEX(元データ!$E$2:$H$20000,0,MATCH($C$2,元データ!$E$1:$H$1,0)),元データ!$A$2:$A$20000,$A33,元データ!$D$2:$D$20000,$B33,元データ!$B$2:$B$20000,$C$3,元データ!$C$2:$C$20000,E$5)</f>
        <v>9</v>
      </c>
      <c r="F33" s="16">
        <f>SUMIFS(INDEX(元データ!$E$2:$H$20000,0,MATCH($C$2,元データ!$E$1:$H$1,0)),元データ!$A$2:$A$20000,$A33,元データ!$D$2:$D$20000,$B33,元データ!$B$2:$B$20000,$C$3,元データ!$C$2:$C$20000,F$5)</f>
        <v>5</v>
      </c>
      <c r="G33" s="16">
        <f>SUMIFS(INDEX(元データ!$E$2:$H$20000,0,MATCH($C$2,元データ!$E$1:$H$1,0)),元データ!$A$2:$A$20000,$A33,元データ!$D$2:$D$20000,$B33,元データ!$B$2:$B$20000,$C$3,元データ!$C$2:$C$20000,G$5)</f>
        <v>10</v>
      </c>
      <c r="H33" s="16">
        <f>SUMIFS(INDEX(元データ!$E$2:$H$20000,0,MATCH($C$2,元データ!$E$1:$H$1,0)),元データ!$A$2:$A$20000,$A33,元データ!$D$2:$D$20000,$B33,元データ!$B$2:$B$20000,$C$3,元データ!$C$2:$C$20000,H$5)</f>
        <v>0</v>
      </c>
      <c r="I33" s="16">
        <f>SUMIFS(INDEX(元データ!$E$2:$H$20000,0,MATCH($C$2,元データ!$E$1:$H$1,0)),元データ!$A$2:$A$20000,$A33,元データ!$D$2:$D$20000,$B33,元データ!$B$2:$B$20000,$C$3,元データ!$C$2:$C$20000,I$5)</f>
        <v>7</v>
      </c>
      <c r="J33" s="16">
        <f>SUMIFS(INDEX(元データ!$E$2:$H$20000,0,MATCH($C$2,元データ!$E$1:$H$1,0)),元データ!$A$2:$A$20000,$A33,元データ!$D$2:$D$20000,$B33,元データ!$B$2:$B$20000,$C$3,元データ!$C$2:$C$20000,J$5)</f>
        <v>7</v>
      </c>
      <c r="K33" s="16">
        <f>SUMIFS(INDEX(元データ!$E$2:$H$20000,0,MATCH($C$2,元データ!$E$1:$H$1,0)),元データ!$A$2:$A$20000,$A33,元データ!$D$2:$D$20000,$B33,元データ!$B$2:$B$20000,$C$3,元データ!$C$2:$C$20000,K$5)</f>
        <v>8</v>
      </c>
      <c r="L33" s="16">
        <f>SUMIFS(INDEX(元データ!$E$2:$H$20000,0,MATCH($C$2,元データ!$E$1:$H$1,0)),元データ!$A$2:$A$20000,$A33,元データ!$D$2:$D$20000,$B33,元データ!$B$2:$B$20000,$C$3,元データ!$C$2:$C$20000,L$5)</f>
        <v>9</v>
      </c>
      <c r="M33" s="16">
        <f>SUMIFS(INDEX(元データ!$E$2:$H$20000,0,MATCH($C$2,元データ!$E$1:$H$1,0)),元データ!$A$2:$A$20000,$A33,元データ!$D$2:$D$20000,$B33,元データ!$B$2:$B$20000,$C$3,元データ!$C$2:$C$20000,M$5)</f>
        <v>9</v>
      </c>
      <c r="N33" s="16">
        <f>SUMIFS(INDEX(元データ!$E$2:$H$20000,0,MATCH($C$2,元データ!$E$1:$H$1,0)),元データ!$A$2:$A$20000,$A33,元データ!$D$2:$D$20000,$B33,元データ!$B$2:$B$20000,$C$3,元データ!$C$2:$C$20000,N$5)</f>
        <v>8</v>
      </c>
      <c r="O33" s="17">
        <f t="shared" si="0"/>
        <v>78</v>
      </c>
      <c r="P33" s="17">
        <f>SUMIFS(INDEX(元データ!$E$2:$H$20000,0,MATCH($C$2,元データ!$E$1:$H$1,0)),元データ!$A$2:$A$20000,$A33,元データ!$D$2:$D$20000,$B33,元データ!$B$2:$B$20000,$D$3)</f>
        <v>0</v>
      </c>
      <c r="Q33" s="25" t="str">
        <f t="shared" si="1"/>
        <v/>
      </c>
    </row>
    <row r="34" spans="1:17" x14ac:dyDescent="0.45">
      <c r="A34" s="14" t="str">
        <f>店舗マスタ!A30</f>
        <v>萩原店</v>
      </c>
      <c r="B34" s="15" t="s">
        <v>34</v>
      </c>
      <c r="C34" s="16">
        <f>SUMIFS(INDEX(元データ!$E$2:$H$20000,0,MATCH($C$2,元データ!$E$1:$H$1,0)),元データ!$A$2:$A$20000,$A34,元データ!$D$2:$D$20000,$B34,元データ!$B$2:$B$20000,$C$3,元データ!$C$2:$C$20000,C$5)</f>
        <v>2</v>
      </c>
      <c r="D34" s="16">
        <f>SUMIFS(INDEX(元データ!$E$2:$H$20000,0,MATCH($C$2,元データ!$E$1:$H$1,0)),元データ!$A$2:$A$20000,$A34,元データ!$D$2:$D$20000,$B34,元データ!$B$2:$B$20000,$C$3,元データ!$C$2:$C$20000,D$5)</f>
        <v>2</v>
      </c>
      <c r="E34" s="16">
        <f>SUMIFS(INDEX(元データ!$E$2:$H$20000,0,MATCH($C$2,元データ!$E$1:$H$1,0)),元データ!$A$2:$A$20000,$A34,元データ!$D$2:$D$20000,$B34,元データ!$B$2:$B$20000,$C$3,元データ!$C$2:$C$20000,E$5)</f>
        <v>6</v>
      </c>
      <c r="F34" s="16">
        <f>SUMIFS(INDEX(元データ!$E$2:$H$20000,0,MATCH($C$2,元データ!$E$1:$H$1,0)),元データ!$A$2:$A$20000,$A34,元データ!$D$2:$D$20000,$B34,元データ!$B$2:$B$20000,$C$3,元データ!$C$2:$C$20000,F$5)</f>
        <v>4</v>
      </c>
      <c r="G34" s="16">
        <f>SUMIFS(INDEX(元データ!$E$2:$H$20000,0,MATCH($C$2,元データ!$E$1:$H$1,0)),元データ!$A$2:$A$20000,$A34,元データ!$D$2:$D$20000,$B34,元データ!$B$2:$B$20000,$C$3,元データ!$C$2:$C$20000,G$5)</f>
        <v>7</v>
      </c>
      <c r="H34" s="16">
        <f>SUMIFS(INDEX(元データ!$E$2:$H$20000,0,MATCH($C$2,元データ!$E$1:$H$1,0)),元データ!$A$2:$A$20000,$A34,元データ!$D$2:$D$20000,$B34,元データ!$B$2:$B$20000,$C$3,元データ!$C$2:$C$20000,H$5)</f>
        <v>0</v>
      </c>
      <c r="I34" s="16">
        <f>SUMIFS(INDEX(元データ!$E$2:$H$20000,0,MATCH($C$2,元データ!$E$1:$H$1,0)),元データ!$A$2:$A$20000,$A34,元データ!$D$2:$D$20000,$B34,元データ!$B$2:$B$20000,$C$3,元データ!$C$2:$C$20000,I$5)</f>
        <v>6</v>
      </c>
      <c r="J34" s="16">
        <f>SUMIFS(INDEX(元データ!$E$2:$H$20000,0,MATCH($C$2,元データ!$E$1:$H$1,0)),元データ!$A$2:$A$20000,$A34,元データ!$D$2:$D$20000,$B34,元データ!$B$2:$B$20000,$C$3,元データ!$C$2:$C$20000,J$5)</f>
        <v>6</v>
      </c>
      <c r="K34" s="16">
        <f>SUMIFS(INDEX(元データ!$E$2:$H$20000,0,MATCH($C$2,元データ!$E$1:$H$1,0)),元データ!$A$2:$A$20000,$A34,元データ!$D$2:$D$20000,$B34,元データ!$B$2:$B$20000,$C$3,元データ!$C$2:$C$20000,K$5)</f>
        <v>4</v>
      </c>
      <c r="L34" s="16">
        <f>SUMIFS(INDEX(元データ!$E$2:$H$20000,0,MATCH($C$2,元データ!$E$1:$H$1,0)),元データ!$A$2:$A$20000,$A34,元データ!$D$2:$D$20000,$B34,元データ!$B$2:$B$20000,$C$3,元データ!$C$2:$C$20000,L$5)</f>
        <v>6</v>
      </c>
      <c r="M34" s="16">
        <f>SUMIFS(INDEX(元データ!$E$2:$H$20000,0,MATCH($C$2,元データ!$E$1:$H$1,0)),元データ!$A$2:$A$20000,$A34,元データ!$D$2:$D$20000,$B34,元データ!$B$2:$B$20000,$C$3,元データ!$C$2:$C$20000,M$5)</f>
        <v>2</v>
      </c>
      <c r="N34" s="16">
        <f>SUMIFS(INDEX(元データ!$E$2:$H$20000,0,MATCH($C$2,元データ!$E$1:$H$1,0)),元データ!$A$2:$A$20000,$A34,元データ!$D$2:$D$20000,$B34,元データ!$B$2:$B$20000,$C$3,元データ!$C$2:$C$20000,N$5)</f>
        <v>7</v>
      </c>
      <c r="O34" s="17">
        <f t="shared" si="0"/>
        <v>52</v>
      </c>
      <c r="P34" s="17">
        <f>SUMIFS(INDEX(元データ!$E$2:$H$20000,0,MATCH($C$2,元データ!$E$1:$H$1,0)),元データ!$A$2:$A$20000,$A34,元データ!$D$2:$D$20000,$B34,元データ!$B$2:$B$20000,$D$3)</f>
        <v>0</v>
      </c>
      <c r="Q34" s="25" t="str">
        <f t="shared" si="1"/>
        <v/>
      </c>
    </row>
    <row r="35" spans="1:17" x14ac:dyDescent="0.45">
      <c r="A35" s="14" t="str">
        <f>店舗マスタ!A31</f>
        <v>静岡工場店</v>
      </c>
      <c r="B35" s="15" t="s">
        <v>34</v>
      </c>
      <c r="C35" s="16">
        <f>SUMIFS(INDEX(元データ!$E$2:$H$20000,0,MATCH($C$2,元データ!$E$1:$H$1,0)),元データ!$A$2:$A$20000,$A35,元データ!$D$2:$D$20000,$B35,元データ!$B$2:$B$20000,$C$3,元データ!$C$2:$C$20000,C$5)</f>
        <v>2</v>
      </c>
      <c r="D35" s="16">
        <f>SUMIFS(INDEX(元データ!$E$2:$H$20000,0,MATCH($C$2,元データ!$E$1:$H$1,0)),元データ!$A$2:$A$20000,$A35,元データ!$D$2:$D$20000,$B35,元データ!$B$2:$B$20000,$C$3,元データ!$C$2:$C$20000,D$5)</f>
        <v>1</v>
      </c>
      <c r="E35" s="16">
        <f>SUMIFS(INDEX(元データ!$E$2:$H$20000,0,MATCH($C$2,元データ!$E$1:$H$1,0)),元データ!$A$2:$A$20000,$A35,元データ!$D$2:$D$20000,$B35,元データ!$B$2:$B$20000,$C$3,元データ!$C$2:$C$20000,E$5)</f>
        <v>0</v>
      </c>
      <c r="F35" s="16">
        <f>SUMIFS(INDEX(元データ!$E$2:$H$20000,0,MATCH($C$2,元データ!$E$1:$H$1,0)),元データ!$A$2:$A$20000,$A35,元データ!$D$2:$D$20000,$B35,元データ!$B$2:$B$20000,$C$3,元データ!$C$2:$C$20000,F$5)</f>
        <v>1</v>
      </c>
      <c r="G35" s="16">
        <f>SUMIFS(INDEX(元データ!$E$2:$H$20000,0,MATCH($C$2,元データ!$E$1:$H$1,0)),元データ!$A$2:$A$20000,$A35,元データ!$D$2:$D$20000,$B35,元データ!$B$2:$B$20000,$C$3,元データ!$C$2:$C$20000,G$5)</f>
        <v>1</v>
      </c>
      <c r="H35" s="16">
        <f>SUMIFS(INDEX(元データ!$E$2:$H$20000,0,MATCH($C$2,元データ!$E$1:$H$1,0)),元データ!$A$2:$A$20000,$A35,元データ!$D$2:$D$20000,$B35,元データ!$B$2:$B$20000,$C$3,元データ!$C$2:$C$20000,H$5)</f>
        <v>0</v>
      </c>
      <c r="I35" s="16">
        <f>SUMIFS(INDEX(元データ!$E$2:$H$20000,0,MATCH($C$2,元データ!$E$1:$H$1,0)),元データ!$A$2:$A$20000,$A35,元データ!$D$2:$D$20000,$B35,元データ!$B$2:$B$20000,$C$3,元データ!$C$2:$C$20000,I$5)</f>
        <v>1</v>
      </c>
      <c r="J35" s="16">
        <f>SUMIFS(INDEX(元データ!$E$2:$H$20000,0,MATCH($C$2,元データ!$E$1:$H$1,0)),元データ!$A$2:$A$20000,$A35,元データ!$D$2:$D$20000,$B35,元データ!$B$2:$B$20000,$C$3,元データ!$C$2:$C$20000,J$5)</f>
        <v>0</v>
      </c>
      <c r="K35" s="16">
        <f>SUMIFS(INDEX(元データ!$E$2:$H$20000,0,MATCH($C$2,元データ!$E$1:$H$1,0)),元データ!$A$2:$A$20000,$A35,元データ!$D$2:$D$20000,$B35,元データ!$B$2:$B$20000,$C$3,元データ!$C$2:$C$20000,K$5)</f>
        <v>0</v>
      </c>
      <c r="L35" s="16">
        <f>SUMIFS(INDEX(元データ!$E$2:$H$20000,0,MATCH($C$2,元データ!$E$1:$H$1,0)),元データ!$A$2:$A$20000,$A35,元データ!$D$2:$D$20000,$B35,元データ!$B$2:$B$20000,$C$3,元データ!$C$2:$C$20000,L$5)</f>
        <v>1</v>
      </c>
      <c r="M35" s="16">
        <f>SUMIFS(INDEX(元データ!$E$2:$H$20000,0,MATCH($C$2,元データ!$E$1:$H$1,0)),元データ!$A$2:$A$20000,$A35,元データ!$D$2:$D$20000,$B35,元データ!$B$2:$B$20000,$C$3,元データ!$C$2:$C$20000,M$5)</f>
        <v>2</v>
      </c>
      <c r="N35" s="16">
        <f>SUMIFS(INDEX(元データ!$E$2:$H$20000,0,MATCH($C$2,元データ!$E$1:$H$1,0)),元データ!$A$2:$A$20000,$A35,元データ!$D$2:$D$20000,$B35,元データ!$B$2:$B$20000,$C$3,元データ!$C$2:$C$20000,N$5)</f>
        <v>1</v>
      </c>
      <c r="O35" s="17">
        <f t="shared" si="0"/>
        <v>10</v>
      </c>
      <c r="P35" s="17">
        <f>SUMIFS(INDEX(元データ!$E$2:$H$20000,0,MATCH($C$2,元データ!$E$1:$H$1,0)),元データ!$A$2:$A$20000,$A35,元データ!$D$2:$D$20000,$B35,元データ!$B$2:$B$20000,$D$3)</f>
        <v>0</v>
      </c>
      <c r="Q35" s="25" t="str">
        <f t="shared" si="1"/>
        <v/>
      </c>
    </row>
    <row r="36" spans="1:17" x14ac:dyDescent="0.45">
      <c r="A36" s="14" t="str">
        <f>店舗マスタ!A32</f>
        <v>焼津店</v>
      </c>
      <c r="B36" s="15" t="s">
        <v>34</v>
      </c>
      <c r="C36" s="16">
        <f>SUMIFS(INDEX(元データ!$E$2:$H$20000,0,MATCH($C$2,元データ!$E$1:$H$1,0)),元データ!$A$2:$A$20000,$A36,元データ!$D$2:$D$20000,$B36,元データ!$B$2:$B$20000,$C$3,元データ!$C$2:$C$20000,C$5)</f>
        <v>23</v>
      </c>
      <c r="D36" s="16">
        <f>SUMIFS(INDEX(元データ!$E$2:$H$20000,0,MATCH($C$2,元データ!$E$1:$H$1,0)),元データ!$A$2:$A$20000,$A36,元データ!$D$2:$D$20000,$B36,元データ!$B$2:$B$20000,$C$3,元データ!$C$2:$C$20000,D$5)</f>
        <v>10</v>
      </c>
      <c r="E36" s="16">
        <f>SUMIFS(INDEX(元データ!$E$2:$H$20000,0,MATCH($C$2,元データ!$E$1:$H$1,0)),元データ!$A$2:$A$20000,$A36,元データ!$D$2:$D$20000,$B36,元データ!$B$2:$B$20000,$C$3,元データ!$C$2:$C$20000,E$5)</f>
        <v>30</v>
      </c>
      <c r="F36" s="16">
        <f>SUMIFS(INDEX(元データ!$E$2:$H$20000,0,MATCH($C$2,元データ!$E$1:$H$1,0)),元データ!$A$2:$A$20000,$A36,元データ!$D$2:$D$20000,$B36,元データ!$B$2:$B$20000,$C$3,元データ!$C$2:$C$20000,F$5)</f>
        <v>27</v>
      </c>
      <c r="G36" s="16">
        <f>SUMIFS(INDEX(元データ!$E$2:$H$20000,0,MATCH($C$2,元データ!$E$1:$H$1,0)),元データ!$A$2:$A$20000,$A36,元データ!$D$2:$D$20000,$B36,元データ!$B$2:$B$20000,$C$3,元データ!$C$2:$C$20000,G$5)</f>
        <v>30</v>
      </c>
      <c r="H36" s="16">
        <f>SUMIFS(INDEX(元データ!$E$2:$H$20000,0,MATCH($C$2,元データ!$E$1:$H$1,0)),元データ!$A$2:$A$20000,$A36,元データ!$D$2:$D$20000,$B36,元データ!$B$2:$B$20000,$C$3,元データ!$C$2:$C$20000,H$5)</f>
        <v>0</v>
      </c>
      <c r="I36" s="16">
        <f>SUMIFS(INDEX(元データ!$E$2:$H$20000,0,MATCH($C$2,元データ!$E$1:$H$1,0)),元データ!$A$2:$A$20000,$A36,元データ!$D$2:$D$20000,$B36,元データ!$B$2:$B$20000,$C$3,元データ!$C$2:$C$20000,I$5)</f>
        <v>33</v>
      </c>
      <c r="J36" s="16">
        <f>SUMIFS(INDEX(元データ!$E$2:$H$20000,0,MATCH($C$2,元データ!$E$1:$H$1,0)),元データ!$A$2:$A$20000,$A36,元データ!$D$2:$D$20000,$B36,元データ!$B$2:$B$20000,$C$3,元データ!$C$2:$C$20000,J$5)</f>
        <v>29</v>
      </c>
      <c r="K36" s="16">
        <f>SUMIFS(INDEX(元データ!$E$2:$H$20000,0,MATCH($C$2,元データ!$E$1:$H$1,0)),元データ!$A$2:$A$20000,$A36,元データ!$D$2:$D$20000,$B36,元データ!$B$2:$B$20000,$C$3,元データ!$C$2:$C$20000,K$5)</f>
        <v>30</v>
      </c>
      <c r="L36" s="16">
        <f>SUMIFS(INDEX(元データ!$E$2:$H$20000,0,MATCH($C$2,元データ!$E$1:$H$1,0)),元データ!$A$2:$A$20000,$A36,元データ!$D$2:$D$20000,$B36,元データ!$B$2:$B$20000,$C$3,元データ!$C$2:$C$20000,L$5)</f>
        <v>25</v>
      </c>
      <c r="M36" s="16">
        <f>SUMIFS(INDEX(元データ!$E$2:$H$20000,0,MATCH($C$2,元データ!$E$1:$H$1,0)),元データ!$A$2:$A$20000,$A36,元データ!$D$2:$D$20000,$B36,元データ!$B$2:$B$20000,$C$3,元データ!$C$2:$C$20000,M$5)</f>
        <v>7</v>
      </c>
      <c r="N36" s="16">
        <f>SUMIFS(INDEX(元データ!$E$2:$H$20000,0,MATCH($C$2,元データ!$E$1:$H$1,0)),元データ!$A$2:$A$20000,$A36,元データ!$D$2:$D$20000,$B36,元データ!$B$2:$B$20000,$C$3,元データ!$C$2:$C$20000,N$5)</f>
        <v>29</v>
      </c>
      <c r="O36" s="17">
        <f t="shared" si="0"/>
        <v>273</v>
      </c>
      <c r="P36" s="17">
        <f>SUMIFS(INDEX(元データ!$E$2:$H$20000,0,MATCH($C$2,元データ!$E$1:$H$1,0)),元データ!$A$2:$A$20000,$A36,元データ!$D$2:$D$20000,$B36,元データ!$B$2:$B$20000,$D$3)</f>
        <v>0</v>
      </c>
      <c r="Q36" s="25" t="str">
        <f t="shared" si="1"/>
        <v/>
      </c>
    </row>
    <row r="37" spans="1:17" x14ac:dyDescent="0.45">
      <c r="A37" s="14" t="str">
        <f>店舗マスタ!A33</f>
        <v>城北店</v>
      </c>
      <c r="B37" s="15" t="s">
        <v>34</v>
      </c>
      <c r="C37" s="16">
        <f>SUMIFS(INDEX(元データ!$E$2:$H$20000,0,MATCH($C$2,元データ!$E$1:$H$1,0)),元データ!$A$2:$A$20000,$A37,元データ!$D$2:$D$20000,$B37,元データ!$B$2:$B$20000,$C$3,元データ!$C$2:$C$20000,C$5)</f>
        <v>1</v>
      </c>
      <c r="D37" s="16">
        <f>SUMIFS(INDEX(元データ!$E$2:$H$20000,0,MATCH($C$2,元データ!$E$1:$H$1,0)),元データ!$A$2:$A$20000,$A37,元データ!$D$2:$D$20000,$B37,元データ!$B$2:$B$20000,$C$3,元データ!$C$2:$C$20000,D$5)</f>
        <v>3</v>
      </c>
      <c r="E37" s="16">
        <f>SUMIFS(INDEX(元データ!$E$2:$H$20000,0,MATCH($C$2,元データ!$E$1:$H$1,0)),元データ!$A$2:$A$20000,$A37,元データ!$D$2:$D$20000,$B37,元データ!$B$2:$B$20000,$C$3,元データ!$C$2:$C$20000,E$5)</f>
        <v>5</v>
      </c>
      <c r="F37" s="16">
        <f>SUMIFS(INDEX(元データ!$E$2:$H$20000,0,MATCH($C$2,元データ!$E$1:$H$1,0)),元データ!$A$2:$A$20000,$A37,元データ!$D$2:$D$20000,$B37,元データ!$B$2:$B$20000,$C$3,元データ!$C$2:$C$20000,F$5)</f>
        <v>6</v>
      </c>
      <c r="G37" s="16">
        <f>SUMIFS(INDEX(元データ!$E$2:$H$20000,0,MATCH($C$2,元データ!$E$1:$H$1,0)),元データ!$A$2:$A$20000,$A37,元データ!$D$2:$D$20000,$B37,元データ!$B$2:$B$20000,$C$3,元データ!$C$2:$C$20000,G$5)</f>
        <v>6</v>
      </c>
      <c r="H37" s="16">
        <f>SUMIFS(INDEX(元データ!$E$2:$H$20000,0,MATCH($C$2,元データ!$E$1:$H$1,0)),元データ!$A$2:$A$20000,$A37,元データ!$D$2:$D$20000,$B37,元データ!$B$2:$B$20000,$C$3,元データ!$C$2:$C$20000,H$5)</f>
        <v>0</v>
      </c>
      <c r="I37" s="16">
        <f>SUMIFS(INDEX(元データ!$E$2:$H$20000,0,MATCH($C$2,元データ!$E$1:$H$1,0)),元データ!$A$2:$A$20000,$A37,元データ!$D$2:$D$20000,$B37,元データ!$B$2:$B$20000,$C$3,元データ!$C$2:$C$20000,I$5)</f>
        <v>4</v>
      </c>
      <c r="J37" s="16">
        <f>SUMIFS(INDEX(元データ!$E$2:$H$20000,0,MATCH($C$2,元データ!$E$1:$H$1,0)),元データ!$A$2:$A$20000,$A37,元データ!$D$2:$D$20000,$B37,元データ!$B$2:$B$20000,$C$3,元データ!$C$2:$C$20000,J$5)</f>
        <v>4</v>
      </c>
      <c r="K37" s="16">
        <f>SUMIFS(INDEX(元データ!$E$2:$H$20000,0,MATCH($C$2,元データ!$E$1:$H$1,0)),元データ!$A$2:$A$20000,$A37,元データ!$D$2:$D$20000,$B37,元データ!$B$2:$B$20000,$C$3,元データ!$C$2:$C$20000,K$5)</f>
        <v>4</v>
      </c>
      <c r="L37" s="16">
        <f>SUMIFS(INDEX(元データ!$E$2:$H$20000,0,MATCH($C$2,元データ!$E$1:$H$1,0)),元データ!$A$2:$A$20000,$A37,元データ!$D$2:$D$20000,$B37,元データ!$B$2:$B$20000,$C$3,元データ!$C$2:$C$20000,L$5)</f>
        <v>4</v>
      </c>
      <c r="M37" s="16">
        <f>SUMIFS(INDEX(元データ!$E$2:$H$20000,0,MATCH($C$2,元データ!$E$1:$H$1,0)),元データ!$A$2:$A$20000,$A37,元データ!$D$2:$D$20000,$B37,元データ!$B$2:$B$20000,$C$3,元データ!$C$2:$C$20000,M$5)</f>
        <v>3</v>
      </c>
      <c r="N37" s="16">
        <f>SUMIFS(INDEX(元データ!$E$2:$H$20000,0,MATCH($C$2,元データ!$E$1:$H$1,0)),元データ!$A$2:$A$20000,$A37,元データ!$D$2:$D$20000,$B37,元データ!$B$2:$B$20000,$C$3,元データ!$C$2:$C$20000,N$5)</f>
        <v>4</v>
      </c>
      <c r="O37" s="17">
        <f t="shared" si="0"/>
        <v>44</v>
      </c>
      <c r="P37" s="17">
        <f>SUMIFS(INDEX(元データ!$E$2:$H$20000,0,MATCH($C$2,元データ!$E$1:$H$1,0)),元データ!$A$2:$A$20000,$A37,元データ!$D$2:$D$20000,$B37,元データ!$B$2:$B$20000,$D$3)</f>
        <v>0</v>
      </c>
      <c r="Q37" s="25" t="str">
        <f t="shared" si="1"/>
        <v/>
      </c>
    </row>
    <row r="38" spans="1:17" x14ac:dyDescent="0.45">
      <c r="A38" s="14" t="str">
        <f>店舗マスタ!A34</f>
        <v>藤枝店</v>
      </c>
      <c r="B38" s="15" t="s">
        <v>34</v>
      </c>
      <c r="C38" s="16">
        <f>SUMIFS(INDEX(元データ!$E$2:$H$20000,0,MATCH($C$2,元データ!$E$1:$H$1,0)),元データ!$A$2:$A$20000,$A38,元データ!$D$2:$D$20000,$B38,元データ!$B$2:$B$20000,$C$3,元データ!$C$2:$C$20000,C$5)</f>
        <v>2</v>
      </c>
      <c r="D38" s="16">
        <f>SUMIFS(INDEX(元データ!$E$2:$H$20000,0,MATCH($C$2,元データ!$E$1:$H$1,0)),元データ!$A$2:$A$20000,$A38,元データ!$D$2:$D$20000,$B38,元データ!$B$2:$B$20000,$C$3,元データ!$C$2:$C$20000,D$5)</f>
        <v>6</v>
      </c>
      <c r="E38" s="16">
        <f>SUMIFS(INDEX(元データ!$E$2:$H$20000,0,MATCH($C$2,元データ!$E$1:$H$1,0)),元データ!$A$2:$A$20000,$A38,元データ!$D$2:$D$20000,$B38,元データ!$B$2:$B$20000,$C$3,元データ!$C$2:$C$20000,E$5)</f>
        <v>9</v>
      </c>
      <c r="F38" s="16">
        <f>SUMIFS(INDEX(元データ!$E$2:$H$20000,0,MATCH($C$2,元データ!$E$1:$H$1,0)),元データ!$A$2:$A$20000,$A38,元データ!$D$2:$D$20000,$B38,元データ!$B$2:$B$20000,$C$3,元データ!$C$2:$C$20000,F$5)</f>
        <v>6</v>
      </c>
      <c r="G38" s="16">
        <f>SUMIFS(INDEX(元データ!$E$2:$H$20000,0,MATCH($C$2,元データ!$E$1:$H$1,0)),元データ!$A$2:$A$20000,$A38,元データ!$D$2:$D$20000,$B38,元データ!$B$2:$B$20000,$C$3,元データ!$C$2:$C$20000,G$5)</f>
        <v>12</v>
      </c>
      <c r="H38" s="16">
        <f>SUMIFS(INDEX(元データ!$E$2:$H$20000,0,MATCH($C$2,元データ!$E$1:$H$1,0)),元データ!$A$2:$A$20000,$A38,元データ!$D$2:$D$20000,$B38,元データ!$B$2:$B$20000,$C$3,元データ!$C$2:$C$20000,H$5)</f>
        <v>0</v>
      </c>
      <c r="I38" s="16">
        <f>SUMIFS(INDEX(元データ!$E$2:$H$20000,0,MATCH($C$2,元データ!$E$1:$H$1,0)),元データ!$A$2:$A$20000,$A38,元データ!$D$2:$D$20000,$B38,元データ!$B$2:$B$20000,$C$3,元データ!$C$2:$C$20000,I$5)</f>
        <v>6</v>
      </c>
      <c r="J38" s="16">
        <f>SUMIFS(INDEX(元データ!$E$2:$H$20000,0,MATCH($C$2,元データ!$E$1:$H$1,0)),元データ!$A$2:$A$20000,$A38,元データ!$D$2:$D$20000,$B38,元データ!$B$2:$B$20000,$C$3,元データ!$C$2:$C$20000,J$5)</f>
        <v>8</v>
      </c>
      <c r="K38" s="16">
        <f>SUMIFS(INDEX(元データ!$E$2:$H$20000,0,MATCH($C$2,元データ!$E$1:$H$1,0)),元データ!$A$2:$A$20000,$A38,元データ!$D$2:$D$20000,$B38,元データ!$B$2:$B$20000,$C$3,元データ!$C$2:$C$20000,K$5)</f>
        <v>8</v>
      </c>
      <c r="L38" s="16">
        <f>SUMIFS(INDEX(元データ!$E$2:$H$20000,0,MATCH($C$2,元データ!$E$1:$H$1,0)),元データ!$A$2:$A$20000,$A38,元データ!$D$2:$D$20000,$B38,元データ!$B$2:$B$20000,$C$3,元データ!$C$2:$C$20000,L$5)</f>
        <v>10</v>
      </c>
      <c r="M38" s="16">
        <f>SUMIFS(INDEX(元データ!$E$2:$H$20000,0,MATCH($C$2,元データ!$E$1:$H$1,0)),元データ!$A$2:$A$20000,$A38,元データ!$D$2:$D$20000,$B38,元データ!$B$2:$B$20000,$C$3,元データ!$C$2:$C$20000,M$5)</f>
        <v>9</v>
      </c>
      <c r="N38" s="16">
        <f>SUMIFS(INDEX(元データ!$E$2:$H$20000,0,MATCH($C$2,元データ!$E$1:$H$1,0)),元データ!$A$2:$A$20000,$A38,元データ!$D$2:$D$20000,$B38,元データ!$B$2:$B$20000,$C$3,元データ!$C$2:$C$20000,N$5)</f>
        <v>6</v>
      </c>
      <c r="O38" s="17">
        <f t="shared" ref="O38:O69" si="2">SUM(C38:N38)</f>
        <v>82</v>
      </c>
      <c r="P38" s="17">
        <f>SUMIFS(INDEX(元データ!$E$2:$H$20000,0,MATCH($C$2,元データ!$E$1:$H$1,0)),元データ!$A$2:$A$20000,$A38,元データ!$D$2:$D$20000,$B38,元データ!$B$2:$B$20000,$D$3)</f>
        <v>0</v>
      </c>
      <c r="Q38" s="25" t="str">
        <f t="shared" ref="Q38:Q69" si="3">IFERROR(O38/P38,"")</f>
        <v/>
      </c>
    </row>
    <row r="39" spans="1:17" x14ac:dyDescent="0.45">
      <c r="A39" s="14" t="str">
        <f>店舗マスタ!A35</f>
        <v>曲金店</v>
      </c>
      <c r="B39" s="15" t="s">
        <v>34</v>
      </c>
      <c r="C39" s="16">
        <f>SUMIFS(INDEX(元データ!$E$2:$H$20000,0,MATCH($C$2,元データ!$E$1:$H$1,0)),元データ!$A$2:$A$20000,$A39,元データ!$D$2:$D$20000,$B39,元データ!$B$2:$B$20000,$C$3,元データ!$C$2:$C$20000,C$5)</f>
        <v>2</v>
      </c>
      <c r="D39" s="16">
        <f>SUMIFS(INDEX(元データ!$E$2:$H$20000,0,MATCH($C$2,元データ!$E$1:$H$1,0)),元データ!$A$2:$A$20000,$A39,元データ!$D$2:$D$20000,$B39,元データ!$B$2:$B$20000,$C$3,元データ!$C$2:$C$20000,D$5)</f>
        <v>2</v>
      </c>
      <c r="E39" s="16">
        <f>SUMIFS(INDEX(元データ!$E$2:$H$20000,0,MATCH($C$2,元データ!$E$1:$H$1,0)),元データ!$A$2:$A$20000,$A39,元データ!$D$2:$D$20000,$B39,元データ!$B$2:$B$20000,$C$3,元データ!$C$2:$C$20000,E$5)</f>
        <v>4</v>
      </c>
      <c r="F39" s="16">
        <f>SUMIFS(INDEX(元データ!$E$2:$H$20000,0,MATCH($C$2,元データ!$E$1:$H$1,0)),元データ!$A$2:$A$20000,$A39,元データ!$D$2:$D$20000,$B39,元データ!$B$2:$B$20000,$C$3,元データ!$C$2:$C$20000,F$5)</f>
        <v>5</v>
      </c>
      <c r="G39" s="16">
        <f>SUMIFS(INDEX(元データ!$E$2:$H$20000,0,MATCH($C$2,元データ!$E$1:$H$1,0)),元データ!$A$2:$A$20000,$A39,元データ!$D$2:$D$20000,$B39,元データ!$B$2:$B$20000,$C$3,元データ!$C$2:$C$20000,G$5)</f>
        <v>6</v>
      </c>
      <c r="H39" s="16">
        <f>SUMIFS(INDEX(元データ!$E$2:$H$20000,0,MATCH($C$2,元データ!$E$1:$H$1,0)),元データ!$A$2:$A$20000,$A39,元データ!$D$2:$D$20000,$B39,元データ!$B$2:$B$20000,$C$3,元データ!$C$2:$C$20000,H$5)</f>
        <v>0</v>
      </c>
      <c r="I39" s="16">
        <f>SUMIFS(INDEX(元データ!$E$2:$H$20000,0,MATCH($C$2,元データ!$E$1:$H$1,0)),元データ!$A$2:$A$20000,$A39,元データ!$D$2:$D$20000,$B39,元データ!$B$2:$B$20000,$C$3,元データ!$C$2:$C$20000,I$5)</f>
        <v>5</v>
      </c>
      <c r="J39" s="16">
        <f>SUMIFS(INDEX(元データ!$E$2:$H$20000,0,MATCH($C$2,元データ!$E$1:$H$1,0)),元データ!$A$2:$A$20000,$A39,元データ!$D$2:$D$20000,$B39,元データ!$B$2:$B$20000,$C$3,元データ!$C$2:$C$20000,J$5)</f>
        <v>3</v>
      </c>
      <c r="K39" s="16">
        <f>SUMIFS(INDEX(元データ!$E$2:$H$20000,0,MATCH($C$2,元データ!$E$1:$H$1,0)),元データ!$A$2:$A$20000,$A39,元データ!$D$2:$D$20000,$B39,元データ!$B$2:$B$20000,$C$3,元データ!$C$2:$C$20000,K$5)</f>
        <v>3</v>
      </c>
      <c r="L39" s="16">
        <f>SUMIFS(INDEX(元データ!$E$2:$H$20000,0,MATCH($C$2,元データ!$E$1:$H$1,0)),元データ!$A$2:$A$20000,$A39,元データ!$D$2:$D$20000,$B39,元データ!$B$2:$B$20000,$C$3,元データ!$C$2:$C$20000,L$5)</f>
        <v>4</v>
      </c>
      <c r="M39" s="16">
        <f>SUMIFS(INDEX(元データ!$E$2:$H$20000,0,MATCH($C$2,元データ!$E$1:$H$1,0)),元データ!$A$2:$A$20000,$A39,元データ!$D$2:$D$20000,$B39,元データ!$B$2:$B$20000,$C$3,元データ!$C$2:$C$20000,M$5)</f>
        <v>3</v>
      </c>
      <c r="N39" s="16">
        <f>SUMIFS(INDEX(元データ!$E$2:$H$20000,0,MATCH($C$2,元データ!$E$1:$H$1,0)),元データ!$A$2:$A$20000,$A39,元データ!$D$2:$D$20000,$B39,元データ!$B$2:$B$20000,$C$3,元データ!$C$2:$C$20000,N$5)</f>
        <v>3</v>
      </c>
      <c r="O39" s="17">
        <f t="shared" si="2"/>
        <v>40</v>
      </c>
      <c r="P39" s="17">
        <f>SUMIFS(INDEX(元データ!$E$2:$H$20000,0,MATCH($C$2,元データ!$E$1:$H$1,0)),元データ!$A$2:$A$20000,$A39,元データ!$D$2:$D$20000,$B39,元データ!$B$2:$B$20000,$D$3)</f>
        <v>0</v>
      </c>
      <c r="Q39" s="25" t="str">
        <f t="shared" si="3"/>
        <v/>
      </c>
    </row>
    <row r="40" spans="1:17" x14ac:dyDescent="0.45">
      <c r="A40" s="14" t="str">
        <f>店舗マスタ!A36</f>
        <v>与惣次店</v>
      </c>
      <c r="B40" s="15" t="s">
        <v>34</v>
      </c>
      <c r="C40" s="16">
        <f>SUMIFS(INDEX(元データ!$E$2:$H$20000,0,MATCH($C$2,元データ!$E$1:$H$1,0)),元データ!$A$2:$A$20000,$A40,元データ!$D$2:$D$20000,$B40,元データ!$B$2:$B$20000,$C$3,元データ!$C$2:$C$20000,C$5)</f>
        <v>5</v>
      </c>
      <c r="D40" s="16">
        <f>SUMIFS(INDEX(元データ!$E$2:$H$20000,0,MATCH($C$2,元データ!$E$1:$H$1,0)),元データ!$A$2:$A$20000,$A40,元データ!$D$2:$D$20000,$B40,元データ!$B$2:$B$20000,$C$3,元データ!$C$2:$C$20000,D$5)</f>
        <v>2</v>
      </c>
      <c r="E40" s="16">
        <f>SUMIFS(INDEX(元データ!$E$2:$H$20000,0,MATCH($C$2,元データ!$E$1:$H$1,0)),元データ!$A$2:$A$20000,$A40,元データ!$D$2:$D$20000,$B40,元データ!$B$2:$B$20000,$C$3,元データ!$C$2:$C$20000,E$5)</f>
        <v>7</v>
      </c>
      <c r="F40" s="16">
        <f>SUMIFS(INDEX(元データ!$E$2:$H$20000,0,MATCH($C$2,元データ!$E$1:$H$1,0)),元データ!$A$2:$A$20000,$A40,元データ!$D$2:$D$20000,$B40,元データ!$B$2:$B$20000,$C$3,元データ!$C$2:$C$20000,F$5)</f>
        <v>6</v>
      </c>
      <c r="G40" s="16">
        <f>SUMIFS(INDEX(元データ!$E$2:$H$20000,0,MATCH($C$2,元データ!$E$1:$H$1,0)),元データ!$A$2:$A$20000,$A40,元データ!$D$2:$D$20000,$B40,元データ!$B$2:$B$20000,$C$3,元データ!$C$2:$C$20000,G$5)</f>
        <v>8</v>
      </c>
      <c r="H40" s="16">
        <f>SUMIFS(INDEX(元データ!$E$2:$H$20000,0,MATCH($C$2,元データ!$E$1:$H$1,0)),元データ!$A$2:$A$20000,$A40,元データ!$D$2:$D$20000,$B40,元データ!$B$2:$B$20000,$C$3,元データ!$C$2:$C$20000,H$5)</f>
        <v>0</v>
      </c>
      <c r="I40" s="16">
        <f>SUMIFS(INDEX(元データ!$E$2:$H$20000,0,MATCH($C$2,元データ!$E$1:$H$1,0)),元データ!$A$2:$A$20000,$A40,元データ!$D$2:$D$20000,$B40,元データ!$B$2:$B$20000,$C$3,元データ!$C$2:$C$20000,I$5)</f>
        <v>9</v>
      </c>
      <c r="J40" s="16">
        <f>SUMIFS(INDEX(元データ!$E$2:$H$20000,0,MATCH($C$2,元データ!$E$1:$H$1,0)),元データ!$A$2:$A$20000,$A40,元データ!$D$2:$D$20000,$B40,元データ!$B$2:$B$20000,$C$3,元データ!$C$2:$C$20000,J$5)</f>
        <v>5</v>
      </c>
      <c r="K40" s="16">
        <f>SUMIFS(INDEX(元データ!$E$2:$H$20000,0,MATCH($C$2,元データ!$E$1:$H$1,0)),元データ!$A$2:$A$20000,$A40,元データ!$D$2:$D$20000,$B40,元データ!$B$2:$B$20000,$C$3,元データ!$C$2:$C$20000,K$5)</f>
        <v>9</v>
      </c>
      <c r="L40" s="16">
        <f>SUMIFS(INDEX(元データ!$E$2:$H$20000,0,MATCH($C$2,元データ!$E$1:$H$1,0)),元データ!$A$2:$A$20000,$A40,元データ!$D$2:$D$20000,$B40,元データ!$B$2:$B$20000,$C$3,元データ!$C$2:$C$20000,L$5)</f>
        <v>9</v>
      </c>
      <c r="M40" s="16">
        <f>SUMIFS(INDEX(元データ!$E$2:$H$20000,0,MATCH($C$2,元データ!$E$1:$H$1,0)),元データ!$A$2:$A$20000,$A40,元データ!$D$2:$D$20000,$B40,元データ!$B$2:$B$20000,$C$3,元データ!$C$2:$C$20000,M$5)</f>
        <v>9</v>
      </c>
      <c r="N40" s="16">
        <f>SUMIFS(INDEX(元データ!$E$2:$H$20000,0,MATCH($C$2,元データ!$E$1:$H$1,0)),元データ!$A$2:$A$20000,$A40,元データ!$D$2:$D$20000,$B40,元データ!$B$2:$B$20000,$C$3,元データ!$C$2:$C$20000,N$5)</f>
        <v>7</v>
      </c>
      <c r="O40" s="17">
        <f t="shared" si="2"/>
        <v>76</v>
      </c>
      <c r="P40" s="17">
        <f>SUMIFS(INDEX(元データ!$E$2:$H$20000,0,MATCH($C$2,元データ!$E$1:$H$1,0)),元データ!$A$2:$A$20000,$A40,元データ!$D$2:$D$20000,$B40,元データ!$B$2:$B$20000,$D$3)</f>
        <v>0</v>
      </c>
      <c r="Q40" s="25" t="str">
        <f t="shared" si="3"/>
        <v/>
      </c>
    </row>
    <row r="41" spans="1:17" x14ac:dyDescent="0.45">
      <c r="A41" s="14" t="str">
        <f>店舗マスタ!A37</f>
        <v>瀬名店</v>
      </c>
      <c r="B41" s="15" t="s">
        <v>34</v>
      </c>
      <c r="C41" s="16">
        <f>SUMIFS(INDEX(元データ!$E$2:$H$20000,0,MATCH($C$2,元データ!$E$1:$H$1,0)),元データ!$A$2:$A$20000,$A41,元データ!$D$2:$D$20000,$B41,元データ!$B$2:$B$20000,$C$3,元データ!$C$2:$C$20000,C$5)</f>
        <v>3</v>
      </c>
      <c r="D41" s="16">
        <f>SUMIFS(INDEX(元データ!$E$2:$H$20000,0,MATCH($C$2,元データ!$E$1:$H$1,0)),元データ!$A$2:$A$20000,$A41,元データ!$D$2:$D$20000,$B41,元データ!$B$2:$B$20000,$C$3,元データ!$C$2:$C$20000,D$5)</f>
        <v>1</v>
      </c>
      <c r="E41" s="16">
        <f>SUMIFS(INDEX(元データ!$E$2:$H$20000,0,MATCH($C$2,元データ!$E$1:$H$1,0)),元データ!$A$2:$A$20000,$A41,元データ!$D$2:$D$20000,$B41,元データ!$B$2:$B$20000,$C$3,元データ!$C$2:$C$20000,E$5)</f>
        <v>4</v>
      </c>
      <c r="F41" s="16">
        <f>SUMIFS(INDEX(元データ!$E$2:$H$20000,0,MATCH($C$2,元データ!$E$1:$H$1,0)),元データ!$A$2:$A$20000,$A41,元データ!$D$2:$D$20000,$B41,元データ!$B$2:$B$20000,$C$3,元データ!$C$2:$C$20000,F$5)</f>
        <v>4</v>
      </c>
      <c r="G41" s="16">
        <f>SUMIFS(INDEX(元データ!$E$2:$H$20000,0,MATCH($C$2,元データ!$E$1:$H$1,0)),元データ!$A$2:$A$20000,$A41,元データ!$D$2:$D$20000,$B41,元データ!$B$2:$B$20000,$C$3,元データ!$C$2:$C$20000,G$5)</f>
        <v>4</v>
      </c>
      <c r="H41" s="16">
        <f>SUMIFS(INDEX(元データ!$E$2:$H$20000,0,MATCH($C$2,元データ!$E$1:$H$1,0)),元データ!$A$2:$A$20000,$A41,元データ!$D$2:$D$20000,$B41,元データ!$B$2:$B$20000,$C$3,元データ!$C$2:$C$20000,H$5)</f>
        <v>0</v>
      </c>
      <c r="I41" s="16">
        <f>SUMIFS(INDEX(元データ!$E$2:$H$20000,0,MATCH($C$2,元データ!$E$1:$H$1,0)),元データ!$A$2:$A$20000,$A41,元データ!$D$2:$D$20000,$B41,元データ!$B$2:$B$20000,$C$3,元データ!$C$2:$C$20000,I$5)</f>
        <v>5</v>
      </c>
      <c r="J41" s="16">
        <f>SUMIFS(INDEX(元データ!$E$2:$H$20000,0,MATCH($C$2,元データ!$E$1:$H$1,0)),元データ!$A$2:$A$20000,$A41,元データ!$D$2:$D$20000,$B41,元データ!$B$2:$B$20000,$C$3,元データ!$C$2:$C$20000,J$5)</f>
        <v>5</v>
      </c>
      <c r="K41" s="16">
        <f>SUMIFS(INDEX(元データ!$E$2:$H$20000,0,MATCH($C$2,元データ!$E$1:$H$1,0)),元データ!$A$2:$A$20000,$A41,元データ!$D$2:$D$20000,$B41,元データ!$B$2:$B$20000,$C$3,元データ!$C$2:$C$20000,K$5)</f>
        <v>4</v>
      </c>
      <c r="L41" s="16">
        <f>SUMIFS(INDEX(元データ!$E$2:$H$20000,0,MATCH($C$2,元データ!$E$1:$H$1,0)),元データ!$A$2:$A$20000,$A41,元データ!$D$2:$D$20000,$B41,元データ!$B$2:$B$20000,$C$3,元データ!$C$2:$C$20000,L$5)</f>
        <v>5</v>
      </c>
      <c r="M41" s="16">
        <f>SUMIFS(INDEX(元データ!$E$2:$H$20000,0,MATCH($C$2,元データ!$E$1:$H$1,0)),元データ!$A$2:$A$20000,$A41,元データ!$D$2:$D$20000,$B41,元データ!$B$2:$B$20000,$C$3,元データ!$C$2:$C$20000,M$5)</f>
        <v>4</v>
      </c>
      <c r="N41" s="16">
        <f>SUMIFS(INDEX(元データ!$E$2:$H$20000,0,MATCH($C$2,元データ!$E$1:$H$1,0)),元データ!$A$2:$A$20000,$A41,元データ!$D$2:$D$20000,$B41,元データ!$B$2:$B$20000,$C$3,元データ!$C$2:$C$20000,N$5)</f>
        <v>5</v>
      </c>
      <c r="O41" s="17">
        <f t="shared" si="2"/>
        <v>44</v>
      </c>
      <c r="P41" s="17">
        <f>SUMIFS(INDEX(元データ!$E$2:$H$20000,0,MATCH($C$2,元データ!$E$1:$H$1,0)),元データ!$A$2:$A$20000,$A41,元データ!$D$2:$D$20000,$B41,元データ!$B$2:$B$20000,$D$3)</f>
        <v>0</v>
      </c>
      <c r="Q41" s="25" t="str">
        <f t="shared" si="3"/>
        <v/>
      </c>
    </row>
    <row r="42" spans="1:17" x14ac:dyDescent="0.45">
      <c r="A42" s="14" t="str">
        <f>店舗マスタ!A38</f>
        <v>豊田店</v>
      </c>
      <c r="B42" s="15" t="s">
        <v>34</v>
      </c>
      <c r="C42" s="16">
        <f>SUMIFS(INDEX(元データ!$E$2:$H$20000,0,MATCH($C$2,元データ!$E$1:$H$1,0)),元データ!$A$2:$A$20000,$A42,元データ!$D$2:$D$20000,$B42,元データ!$B$2:$B$20000,$C$3,元データ!$C$2:$C$20000,C$5)</f>
        <v>3</v>
      </c>
      <c r="D42" s="16">
        <f>SUMIFS(INDEX(元データ!$E$2:$H$20000,0,MATCH($C$2,元データ!$E$1:$H$1,0)),元データ!$A$2:$A$20000,$A42,元データ!$D$2:$D$20000,$B42,元データ!$B$2:$B$20000,$C$3,元データ!$C$2:$C$20000,D$5)</f>
        <v>1</v>
      </c>
      <c r="E42" s="16">
        <f>SUMIFS(INDEX(元データ!$E$2:$H$20000,0,MATCH($C$2,元データ!$E$1:$H$1,0)),元データ!$A$2:$A$20000,$A42,元データ!$D$2:$D$20000,$B42,元データ!$B$2:$B$20000,$C$3,元データ!$C$2:$C$20000,E$5)</f>
        <v>6</v>
      </c>
      <c r="F42" s="16">
        <f>SUMIFS(INDEX(元データ!$E$2:$H$20000,0,MATCH($C$2,元データ!$E$1:$H$1,0)),元データ!$A$2:$A$20000,$A42,元データ!$D$2:$D$20000,$B42,元データ!$B$2:$B$20000,$C$3,元データ!$C$2:$C$20000,F$5)</f>
        <v>6</v>
      </c>
      <c r="G42" s="16">
        <f>SUMIFS(INDEX(元データ!$E$2:$H$20000,0,MATCH($C$2,元データ!$E$1:$H$1,0)),元データ!$A$2:$A$20000,$A42,元データ!$D$2:$D$20000,$B42,元データ!$B$2:$B$20000,$C$3,元データ!$C$2:$C$20000,G$5)</f>
        <v>6</v>
      </c>
      <c r="H42" s="16">
        <f>SUMIFS(INDEX(元データ!$E$2:$H$20000,0,MATCH($C$2,元データ!$E$1:$H$1,0)),元データ!$A$2:$A$20000,$A42,元データ!$D$2:$D$20000,$B42,元データ!$B$2:$B$20000,$C$3,元データ!$C$2:$C$20000,H$5)</f>
        <v>0</v>
      </c>
      <c r="I42" s="16">
        <f>SUMIFS(INDEX(元データ!$E$2:$H$20000,0,MATCH($C$2,元データ!$E$1:$H$1,0)),元データ!$A$2:$A$20000,$A42,元データ!$D$2:$D$20000,$B42,元データ!$B$2:$B$20000,$C$3,元データ!$C$2:$C$20000,I$5)</f>
        <v>8</v>
      </c>
      <c r="J42" s="16">
        <f>SUMIFS(INDEX(元データ!$E$2:$H$20000,0,MATCH($C$2,元データ!$E$1:$H$1,0)),元データ!$A$2:$A$20000,$A42,元データ!$D$2:$D$20000,$B42,元データ!$B$2:$B$20000,$C$3,元データ!$C$2:$C$20000,J$5)</f>
        <v>8</v>
      </c>
      <c r="K42" s="16">
        <f>SUMIFS(INDEX(元データ!$E$2:$H$20000,0,MATCH($C$2,元データ!$E$1:$H$1,0)),元データ!$A$2:$A$20000,$A42,元データ!$D$2:$D$20000,$B42,元データ!$B$2:$B$20000,$C$3,元データ!$C$2:$C$20000,K$5)</f>
        <v>9</v>
      </c>
      <c r="L42" s="16">
        <f>SUMIFS(INDEX(元データ!$E$2:$H$20000,0,MATCH($C$2,元データ!$E$1:$H$1,0)),元データ!$A$2:$A$20000,$A42,元データ!$D$2:$D$20000,$B42,元データ!$B$2:$B$20000,$C$3,元データ!$C$2:$C$20000,L$5)</f>
        <v>9</v>
      </c>
      <c r="M42" s="16">
        <f>SUMIFS(INDEX(元データ!$E$2:$H$20000,0,MATCH($C$2,元データ!$E$1:$H$1,0)),元データ!$A$2:$A$20000,$A42,元データ!$D$2:$D$20000,$B42,元データ!$B$2:$B$20000,$C$3,元データ!$C$2:$C$20000,M$5)</f>
        <v>6</v>
      </c>
      <c r="N42" s="16">
        <f>SUMIFS(INDEX(元データ!$E$2:$H$20000,0,MATCH($C$2,元データ!$E$1:$H$1,0)),元データ!$A$2:$A$20000,$A42,元データ!$D$2:$D$20000,$B42,元データ!$B$2:$B$20000,$C$3,元データ!$C$2:$C$20000,N$5)</f>
        <v>4</v>
      </c>
      <c r="O42" s="17">
        <f t="shared" si="2"/>
        <v>66</v>
      </c>
      <c r="P42" s="17">
        <f>SUMIFS(INDEX(元データ!$E$2:$H$20000,0,MATCH($C$2,元データ!$E$1:$H$1,0)),元データ!$A$2:$A$20000,$A42,元データ!$D$2:$D$20000,$B42,元データ!$B$2:$B$20000,$D$3)</f>
        <v>0</v>
      </c>
      <c r="Q42" s="25" t="str">
        <f t="shared" si="3"/>
        <v/>
      </c>
    </row>
    <row r="43" spans="1:17" x14ac:dyDescent="0.45">
      <c r="A43" s="14" t="str">
        <f>店舗マスタ!A39</f>
        <v>吉田店</v>
      </c>
      <c r="B43" s="15" t="s">
        <v>34</v>
      </c>
      <c r="C43" s="16">
        <f>SUMIFS(INDEX(元データ!$E$2:$H$20000,0,MATCH($C$2,元データ!$E$1:$H$1,0)),元データ!$A$2:$A$20000,$A43,元データ!$D$2:$D$20000,$B43,元データ!$B$2:$B$20000,$C$3,元データ!$C$2:$C$20000,C$5)</f>
        <v>1</v>
      </c>
      <c r="D43" s="16">
        <f>SUMIFS(INDEX(元データ!$E$2:$H$20000,0,MATCH($C$2,元データ!$E$1:$H$1,0)),元データ!$A$2:$A$20000,$A43,元データ!$D$2:$D$20000,$B43,元データ!$B$2:$B$20000,$C$3,元データ!$C$2:$C$20000,D$5)</f>
        <v>3</v>
      </c>
      <c r="E43" s="16">
        <f>SUMIFS(INDEX(元データ!$E$2:$H$20000,0,MATCH($C$2,元データ!$E$1:$H$1,0)),元データ!$A$2:$A$20000,$A43,元データ!$D$2:$D$20000,$B43,元データ!$B$2:$B$20000,$C$3,元データ!$C$2:$C$20000,E$5)</f>
        <v>6</v>
      </c>
      <c r="F43" s="16">
        <f>SUMIFS(INDEX(元データ!$E$2:$H$20000,0,MATCH($C$2,元データ!$E$1:$H$1,0)),元データ!$A$2:$A$20000,$A43,元データ!$D$2:$D$20000,$B43,元データ!$B$2:$B$20000,$C$3,元データ!$C$2:$C$20000,F$5)</f>
        <v>4</v>
      </c>
      <c r="G43" s="16">
        <f>SUMIFS(INDEX(元データ!$E$2:$H$20000,0,MATCH($C$2,元データ!$E$1:$H$1,0)),元データ!$A$2:$A$20000,$A43,元データ!$D$2:$D$20000,$B43,元データ!$B$2:$B$20000,$C$3,元データ!$C$2:$C$20000,G$5)</f>
        <v>5</v>
      </c>
      <c r="H43" s="16">
        <f>SUMIFS(INDEX(元データ!$E$2:$H$20000,0,MATCH($C$2,元データ!$E$1:$H$1,0)),元データ!$A$2:$A$20000,$A43,元データ!$D$2:$D$20000,$B43,元データ!$B$2:$B$20000,$C$3,元データ!$C$2:$C$20000,H$5)</f>
        <v>0</v>
      </c>
      <c r="I43" s="16">
        <f>SUMIFS(INDEX(元データ!$E$2:$H$20000,0,MATCH($C$2,元データ!$E$1:$H$1,0)),元データ!$A$2:$A$20000,$A43,元データ!$D$2:$D$20000,$B43,元データ!$B$2:$B$20000,$C$3,元データ!$C$2:$C$20000,I$5)</f>
        <v>5</v>
      </c>
      <c r="J43" s="16">
        <f>SUMIFS(INDEX(元データ!$E$2:$H$20000,0,MATCH($C$2,元データ!$E$1:$H$1,0)),元データ!$A$2:$A$20000,$A43,元データ!$D$2:$D$20000,$B43,元データ!$B$2:$B$20000,$C$3,元データ!$C$2:$C$20000,J$5)</f>
        <v>9</v>
      </c>
      <c r="K43" s="16">
        <f>SUMIFS(INDEX(元データ!$E$2:$H$20000,0,MATCH($C$2,元データ!$E$1:$H$1,0)),元データ!$A$2:$A$20000,$A43,元データ!$D$2:$D$20000,$B43,元データ!$B$2:$B$20000,$C$3,元データ!$C$2:$C$20000,K$5)</f>
        <v>7</v>
      </c>
      <c r="L43" s="16">
        <f>SUMIFS(INDEX(元データ!$E$2:$H$20000,0,MATCH($C$2,元データ!$E$1:$H$1,0)),元データ!$A$2:$A$20000,$A43,元データ!$D$2:$D$20000,$B43,元データ!$B$2:$B$20000,$C$3,元データ!$C$2:$C$20000,L$5)</f>
        <v>7</v>
      </c>
      <c r="M43" s="16">
        <f>SUMIFS(INDEX(元データ!$E$2:$H$20000,0,MATCH($C$2,元データ!$E$1:$H$1,0)),元データ!$A$2:$A$20000,$A43,元データ!$D$2:$D$20000,$B43,元データ!$B$2:$B$20000,$C$3,元データ!$C$2:$C$20000,M$5)</f>
        <v>5</v>
      </c>
      <c r="N43" s="16">
        <f>SUMIFS(INDEX(元データ!$E$2:$H$20000,0,MATCH($C$2,元データ!$E$1:$H$1,0)),元データ!$A$2:$A$20000,$A43,元データ!$D$2:$D$20000,$B43,元データ!$B$2:$B$20000,$C$3,元データ!$C$2:$C$20000,N$5)</f>
        <v>3</v>
      </c>
      <c r="O43" s="17">
        <f t="shared" si="2"/>
        <v>55</v>
      </c>
      <c r="P43" s="17">
        <f>SUMIFS(INDEX(元データ!$E$2:$H$20000,0,MATCH($C$2,元データ!$E$1:$H$1,0)),元データ!$A$2:$A$20000,$A43,元データ!$D$2:$D$20000,$B43,元データ!$B$2:$B$20000,$D$3)</f>
        <v>0</v>
      </c>
      <c r="Q43" s="25" t="str">
        <f t="shared" si="3"/>
        <v/>
      </c>
    </row>
    <row r="44" spans="1:17" x14ac:dyDescent="0.45">
      <c r="A44" s="14" t="str">
        <f>店舗マスタ!A40</f>
        <v>石津店</v>
      </c>
      <c r="B44" s="15" t="s">
        <v>34</v>
      </c>
      <c r="C44" s="16">
        <f>SUMIFS(INDEX(元データ!$E$2:$H$20000,0,MATCH($C$2,元データ!$E$1:$H$1,0)),元データ!$A$2:$A$20000,$A44,元データ!$D$2:$D$20000,$B44,元データ!$B$2:$B$20000,$C$3,元データ!$C$2:$C$20000,C$5)</f>
        <v>3</v>
      </c>
      <c r="D44" s="16">
        <f>SUMIFS(INDEX(元データ!$E$2:$H$20000,0,MATCH($C$2,元データ!$E$1:$H$1,0)),元データ!$A$2:$A$20000,$A44,元データ!$D$2:$D$20000,$B44,元データ!$B$2:$B$20000,$C$3,元データ!$C$2:$C$20000,D$5)</f>
        <v>2</v>
      </c>
      <c r="E44" s="16">
        <f>SUMIFS(INDEX(元データ!$E$2:$H$20000,0,MATCH($C$2,元データ!$E$1:$H$1,0)),元データ!$A$2:$A$20000,$A44,元データ!$D$2:$D$20000,$B44,元データ!$B$2:$B$20000,$C$3,元データ!$C$2:$C$20000,E$5)</f>
        <v>7</v>
      </c>
      <c r="F44" s="16">
        <f>SUMIFS(INDEX(元データ!$E$2:$H$20000,0,MATCH($C$2,元データ!$E$1:$H$1,0)),元データ!$A$2:$A$20000,$A44,元データ!$D$2:$D$20000,$B44,元データ!$B$2:$B$20000,$C$3,元データ!$C$2:$C$20000,F$5)</f>
        <v>5</v>
      </c>
      <c r="G44" s="16">
        <f>SUMIFS(INDEX(元データ!$E$2:$H$20000,0,MATCH($C$2,元データ!$E$1:$H$1,0)),元データ!$A$2:$A$20000,$A44,元データ!$D$2:$D$20000,$B44,元データ!$B$2:$B$20000,$C$3,元データ!$C$2:$C$20000,G$5)</f>
        <v>7</v>
      </c>
      <c r="H44" s="16">
        <f>SUMIFS(INDEX(元データ!$E$2:$H$20000,0,MATCH($C$2,元データ!$E$1:$H$1,0)),元データ!$A$2:$A$20000,$A44,元データ!$D$2:$D$20000,$B44,元データ!$B$2:$B$20000,$C$3,元データ!$C$2:$C$20000,H$5)</f>
        <v>0</v>
      </c>
      <c r="I44" s="16">
        <f>SUMIFS(INDEX(元データ!$E$2:$H$20000,0,MATCH($C$2,元データ!$E$1:$H$1,0)),元データ!$A$2:$A$20000,$A44,元データ!$D$2:$D$20000,$B44,元データ!$B$2:$B$20000,$C$3,元データ!$C$2:$C$20000,I$5)</f>
        <v>8</v>
      </c>
      <c r="J44" s="16">
        <f>SUMIFS(INDEX(元データ!$E$2:$H$20000,0,MATCH($C$2,元データ!$E$1:$H$1,0)),元データ!$A$2:$A$20000,$A44,元データ!$D$2:$D$20000,$B44,元データ!$B$2:$B$20000,$C$3,元データ!$C$2:$C$20000,J$5)</f>
        <v>5</v>
      </c>
      <c r="K44" s="16">
        <f>SUMIFS(INDEX(元データ!$E$2:$H$20000,0,MATCH($C$2,元データ!$E$1:$H$1,0)),元データ!$A$2:$A$20000,$A44,元データ!$D$2:$D$20000,$B44,元データ!$B$2:$B$20000,$C$3,元データ!$C$2:$C$20000,K$5)</f>
        <v>9</v>
      </c>
      <c r="L44" s="16">
        <f>SUMIFS(INDEX(元データ!$E$2:$H$20000,0,MATCH($C$2,元データ!$E$1:$H$1,0)),元データ!$A$2:$A$20000,$A44,元データ!$D$2:$D$20000,$B44,元データ!$B$2:$B$20000,$C$3,元データ!$C$2:$C$20000,L$5)</f>
        <v>9</v>
      </c>
      <c r="M44" s="16">
        <f>SUMIFS(INDEX(元データ!$E$2:$H$20000,0,MATCH($C$2,元データ!$E$1:$H$1,0)),元データ!$A$2:$A$20000,$A44,元データ!$D$2:$D$20000,$B44,元データ!$B$2:$B$20000,$C$3,元データ!$C$2:$C$20000,M$5)</f>
        <v>8</v>
      </c>
      <c r="N44" s="16">
        <f>SUMIFS(INDEX(元データ!$E$2:$H$20000,0,MATCH($C$2,元データ!$E$1:$H$1,0)),元データ!$A$2:$A$20000,$A44,元データ!$D$2:$D$20000,$B44,元データ!$B$2:$B$20000,$C$3,元データ!$C$2:$C$20000,N$5)</f>
        <v>7</v>
      </c>
      <c r="O44" s="17">
        <f t="shared" si="2"/>
        <v>70</v>
      </c>
      <c r="P44" s="17">
        <f>SUMIFS(INDEX(元データ!$E$2:$H$20000,0,MATCH($C$2,元データ!$E$1:$H$1,0)),元データ!$A$2:$A$20000,$A44,元データ!$D$2:$D$20000,$B44,元データ!$B$2:$B$20000,$D$3)</f>
        <v>0</v>
      </c>
      <c r="Q44" s="25" t="str">
        <f t="shared" si="3"/>
        <v/>
      </c>
    </row>
    <row r="45" spans="1:17" x14ac:dyDescent="0.45">
      <c r="A45" s="14" t="str">
        <f>店舗マスタ!A41</f>
        <v>八坂店</v>
      </c>
      <c r="B45" s="15" t="s">
        <v>34</v>
      </c>
      <c r="C45" s="16">
        <f>SUMIFS(INDEX(元データ!$E$2:$H$20000,0,MATCH($C$2,元データ!$E$1:$H$1,0)),元データ!$A$2:$A$20000,$A45,元データ!$D$2:$D$20000,$B45,元データ!$B$2:$B$20000,$C$3,元データ!$C$2:$C$20000,C$5)</f>
        <v>2</v>
      </c>
      <c r="D45" s="16">
        <f>SUMIFS(INDEX(元データ!$E$2:$H$20000,0,MATCH($C$2,元データ!$E$1:$H$1,0)),元データ!$A$2:$A$20000,$A45,元データ!$D$2:$D$20000,$B45,元データ!$B$2:$B$20000,$C$3,元データ!$C$2:$C$20000,D$5)</f>
        <v>3</v>
      </c>
      <c r="E45" s="16">
        <f>SUMIFS(INDEX(元データ!$E$2:$H$20000,0,MATCH($C$2,元データ!$E$1:$H$1,0)),元データ!$A$2:$A$20000,$A45,元データ!$D$2:$D$20000,$B45,元データ!$B$2:$B$20000,$C$3,元データ!$C$2:$C$20000,E$5)</f>
        <v>6</v>
      </c>
      <c r="F45" s="16">
        <f>SUMIFS(INDEX(元データ!$E$2:$H$20000,0,MATCH($C$2,元データ!$E$1:$H$1,0)),元データ!$A$2:$A$20000,$A45,元データ!$D$2:$D$20000,$B45,元データ!$B$2:$B$20000,$C$3,元データ!$C$2:$C$20000,F$5)</f>
        <v>6</v>
      </c>
      <c r="G45" s="16">
        <f>SUMIFS(INDEX(元データ!$E$2:$H$20000,0,MATCH($C$2,元データ!$E$1:$H$1,0)),元データ!$A$2:$A$20000,$A45,元データ!$D$2:$D$20000,$B45,元データ!$B$2:$B$20000,$C$3,元データ!$C$2:$C$20000,G$5)</f>
        <v>5</v>
      </c>
      <c r="H45" s="16">
        <f>SUMIFS(INDEX(元データ!$E$2:$H$20000,0,MATCH($C$2,元データ!$E$1:$H$1,0)),元データ!$A$2:$A$20000,$A45,元データ!$D$2:$D$20000,$B45,元データ!$B$2:$B$20000,$C$3,元データ!$C$2:$C$20000,H$5)</f>
        <v>0</v>
      </c>
      <c r="I45" s="16">
        <f>SUMIFS(INDEX(元データ!$E$2:$H$20000,0,MATCH($C$2,元データ!$E$1:$H$1,0)),元データ!$A$2:$A$20000,$A45,元データ!$D$2:$D$20000,$B45,元データ!$B$2:$B$20000,$C$3,元データ!$C$2:$C$20000,I$5)</f>
        <v>3</v>
      </c>
      <c r="J45" s="16">
        <f>SUMIFS(INDEX(元データ!$E$2:$H$20000,0,MATCH($C$2,元データ!$E$1:$H$1,0)),元データ!$A$2:$A$20000,$A45,元データ!$D$2:$D$20000,$B45,元データ!$B$2:$B$20000,$C$3,元データ!$C$2:$C$20000,J$5)</f>
        <v>4</v>
      </c>
      <c r="K45" s="16">
        <f>SUMIFS(INDEX(元データ!$E$2:$H$20000,0,MATCH($C$2,元データ!$E$1:$H$1,0)),元データ!$A$2:$A$20000,$A45,元データ!$D$2:$D$20000,$B45,元データ!$B$2:$B$20000,$C$3,元データ!$C$2:$C$20000,K$5)</f>
        <v>5</v>
      </c>
      <c r="L45" s="16">
        <f>SUMIFS(INDEX(元データ!$E$2:$H$20000,0,MATCH($C$2,元データ!$E$1:$H$1,0)),元データ!$A$2:$A$20000,$A45,元データ!$D$2:$D$20000,$B45,元データ!$B$2:$B$20000,$C$3,元データ!$C$2:$C$20000,L$5)</f>
        <v>4</v>
      </c>
      <c r="M45" s="16">
        <f>SUMIFS(INDEX(元データ!$E$2:$H$20000,0,MATCH($C$2,元データ!$E$1:$H$1,0)),元データ!$A$2:$A$20000,$A45,元データ!$D$2:$D$20000,$B45,元データ!$B$2:$B$20000,$C$3,元データ!$C$2:$C$20000,M$5)</f>
        <v>3</v>
      </c>
      <c r="N45" s="16">
        <f>SUMIFS(INDEX(元データ!$E$2:$H$20000,0,MATCH($C$2,元データ!$E$1:$H$1,0)),元データ!$A$2:$A$20000,$A45,元データ!$D$2:$D$20000,$B45,元データ!$B$2:$B$20000,$C$3,元データ!$C$2:$C$20000,N$5)</f>
        <v>5</v>
      </c>
      <c r="O45" s="17">
        <f t="shared" si="2"/>
        <v>46</v>
      </c>
      <c r="P45" s="17">
        <f>SUMIFS(INDEX(元データ!$E$2:$H$20000,0,MATCH($C$2,元データ!$E$1:$H$1,0)),元データ!$A$2:$A$20000,$A45,元データ!$D$2:$D$20000,$B45,元データ!$B$2:$B$20000,$D$3)</f>
        <v>0</v>
      </c>
      <c r="Q45" s="25" t="str">
        <f t="shared" si="3"/>
        <v/>
      </c>
    </row>
    <row r="46" spans="1:17" x14ac:dyDescent="0.45">
      <c r="A46" s="14" t="str">
        <f>店舗マスタ!A42</f>
        <v>原  店</v>
      </c>
      <c r="B46" s="15" t="s">
        <v>34</v>
      </c>
      <c r="C46" s="16">
        <f>SUMIFS(INDEX(元データ!$E$2:$H$20000,0,MATCH($C$2,元データ!$E$1:$H$1,0)),元データ!$A$2:$A$20000,$A46,元データ!$D$2:$D$20000,$B46,元データ!$B$2:$B$20000,$C$3,元データ!$C$2:$C$20000,C$5)</f>
        <v>5</v>
      </c>
      <c r="D46" s="16">
        <f>SUMIFS(INDEX(元データ!$E$2:$H$20000,0,MATCH($C$2,元データ!$E$1:$H$1,0)),元データ!$A$2:$A$20000,$A46,元データ!$D$2:$D$20000,$B46,元データ!$B$2:$B$20000,$C$3,元データ!$C$2:$C$20000,D$5)</f>
        <v>11</v>
      </c>
      <c r="E46" s="16">
        <f>SUMIFS(INDEX(元データ!$E$2:$H$20000,0,MATCH($C$2,元データ!$E$1:$H$1,0)),元データ!$A$2:$A$20000,$A46,元データ!$D$2:$D$20000,$B46,元データ!$B$2:$B$20000,$C$3,元データ!$C$2:$C$20000,E$5)</f>
        <v>15</v>
      </c>
      <c r="F46" s="16">
        <f>SUMIFS(INDEX(元データ!$E$2:$H$20000,0,MATCH($C$2,元データ!$E$1:$H$1,0)),元データ!$A$2:$A$20000,$A46,元データ!$D$2:$D$20000,$B46,元データ!$B$2:$B$20000,$C$3,元データ!$C$2:$C$20000,F$5)</f>
        <v>20</v>
      </c>
      <c r="G46" s="16">
        <f>SUMIFS(INDEX(元データ!$E$2:$H$20000,0,MATCH($C$2,元データ!$E$1:$H$1,0)),元データ!$A$2:$A$20000,$A46,元データ!$D$2:$D$20000,$B46,元データ!$B$2:$B$20000,$C$3,元データ!$C$2:$C$20000,G$5)</f>
        <v>20</v>
      </c>
      <c r="H46" s="16">
        <f>SUMIFS(INDEX(元データ!$E$2:$H$20000,0,MATCH($C$2,元データ!$E$1:$H$1,0)),元データ!$A$2:$A$20000,$A46,元データ!$D$2:$D$20000,$B46,元データ!$B$2:$B$20000,$C$3,元データ!$C$2:$C$20000,H$5)</f>
        <v>0</v>
      </c>
      <c r="I46" s="16">
        <f>SUMIFS(INDEX(元データ!$E$2:$H$20000,0,MATCH($C$2,元データ!$E$1:$H$1,0)),元データ!$A$2:$A$20000,$A46,元データ!$D$2:$D$20000,$B46,元データ!$B$2:$B$20000,$C$3,元データ!$C$2:$C$20000,I$5)</f>
        <v>18</v>
      </c>
      <c r="J46" s="16">
        <f>SUMIFS(INDEX(元データ!$E$2:$H$20000,0,MATCH($C$2,元データ!$E$1:$H$1,0)),元データ!$A$2:$A$20000,$A46,元データ!$D$2:$D$20000,$B46,元データ!$B$2:$B$20000,$C$3,元データ!$C$2:$C$20000,J$5)</f>
        <v>15</v>
      </c>
      <c r="K46" s="16">
        <f>SUMIFS(INDEX(元データ!$E$2:$H$20000,0,MATCH($C$2,元データ!$E$1:$H$1,0)),元データ!$A$2:$A$20000,$A46,元データ!$D$2:$D$20000,$B46,元データ!$B$2:$B$20000,$C$3,元データ!$C$2:$C$20000,K$5)</f>
        <v>17</v>
      </c>
      <c r="L46" s="16">
        <f>SUMIFS(INDEX(元データ!$E$2:$H$20000,0,MATCH($C$2,元データ!$E$1:$H$1,0)),元データ!$A$2:$A$20000,$A46,元データ!$D$2:$D$20000,$B46,元データ!$B$2:$B$20000,$C$3,元データ!$C$2:$C$20000,L$5)</f>
        <v>13</v>
      </c>
      <c r="M46" s="16">
        <f>SUMIFS(INDEX(元データ!$E$2:$H$20000,0,MATCH($C$2,元データ!$E$1:$H$1,0)),元データ!$A$2:$A$20000,$A46,元データ!$D$2:$D$20000,$B46,元データ!$B$2:$B$20000,$C$3,元データ!$C$2:$C$20000,M$5)</f>
        <v>12</v>
      </c>
      <c r="N46" s="16">
        <f>SUMIFS(INDEX(元データ!$E$2:$H$20000,0,MATCH($C$2,元データ!$E$1:$H$1,0)),元データ!$A$2:$A$20000,$A46,元データ!$D$2:$D$20000,$B46,元データ!$B$2:$B$20000,$C$3,元データ!$C$2:$C$20000,N$5)</f>
        <v>15</v>
      </c>
      <c r="O46" s="17">
        <f t="shared" si="2"/>
        <v>161</v>
      </c>
      <c r="P46" s="17">
        <f>SUMIFS(INDEX(元データ!$E$2:$H$20000,0,MATCH($C$2,元データ!$E$1:$H$1,0)),元データ!$A$2:$A$20000,$A46,元データ!$D$2:$D$20000,$B46,元データ!$B$2:$B$20000,$D$3)</f>
        <v>0</v>
      </c>
      <c r="Q46" s="25" t="str">
        <f t="shared" si="3"/>
        <v/>
      </c>
    </row>
    <row r="47" spans="1:17" x14ac:dyDescent="0.45">
      <c r="A47" s="14" t="str">
        <f>店舗マスタ!A43</f>
        <v>ＭＶ原町店</v>
      </c>
      <c r="B47" s="15" t="s">
        <v>34</v>
      </c>
      <c r="C47" s="16">
        <f>SUMIFS(INDEX(元データ!$E$2:$H$20000,0,MATCH($C$2,元データ!$E$1:$H$1,0)),元データ!$A$2:$A$20000,$A47,元データ!$D$2:$D$20000,$B47,元データ!$B$2:$B$20000,$C$3,元データ!$C$2:$C$20000,C$5)</f>
        <v>0</v>
      </c>
      <c r="D47" s="16">
        <f>SUMIFS(INDEX(元データ!$E$2:$H$20000,0,MATCH($C$2,元データ!$E$1:$H$1,0)),元データ!$A$2:$A$20000,$A47,元データ!$D$2:$D$20000,$B47,元データ!$B$2:$B$20000,$C$3,元データ!$C$2:$C$20000,D$5)</f>
        <v>0</v>
      </c>
      <c r="E47" s="16">
        <f>SUMIFS(INDEX(元データ!$E$2:$H$20000,0,MATCH($C$2,元データ!$E$1:$H$1,0)),元データ!$A$2:$A$20000,$A47,元データ!$D$2:$D$20000,$B47,元データ!$B$2:$B$20000,$C$3,元データ!$C$2:$C$20000,E$5)</f>
        <v>0</v>
      </c>
      <c r="F47" s="16">
        <f>SUMIFS(INDEX(元データ!$E$2:$H$20000,0,MATCH($C$2,元データ!$E$1:$H$1,0)),元データ!$A$2:$A$20000,$A47,元データ!$D$2:$D$20000,$B47,元データ!$B$2:$B$20000,$C$3,元データ!$C$2:$C$20000,F$5)</f>
        <v>0</v>
      </c>
      <c r="G47" s="16">
        <f>SUMIFS(INDEX(元データ!$E$2:$H$20000,0,MATCH($C$2,元データ!$E$1:$H$1,0)),元データ!$A$2:$A$20000,$A47,元データ!$D$2:$D$20000,$B47,元データ!$B$2:$B$20000,$C$3,元データ!$C$2:$C$20000,G$5)</f>
        <v>0</v>
      </c>
      <c r="H47" s="16">
        <f>SUMIFS(INDEX(元データ!$E$2:$H$20000,0,MATCH($C$2,元データ!$E$1:$H$1,0)),元データ!$A$2:$A$20000,$A47,元データ!$D$2:$D$20000,$B47,元データ!$B$2:$B$20000,$C$3,元データ!$C$2:$C$20000,H$5)</f>
        <v>0</v>
      </c>
      <c r="I47" s="16">
        <f>SUMIFS(INDEX(元データ!$E$2:$H$20000,0,MATCH($C$2,元データ!$E$1:$H$1,0)),元データ!$A$2:$A$20000,$A47,元データ!$D$2:$D$20000,$B47,元データ!$B$2:$B$20000,$C$3,元データ!$C$2:$C$20000,I$5)</f>
        <v>0</v>
      </c>
      <c r="J47" s="16">
        <f>SUMIFS(INDEX(元データ!$E$2:$H$20000,0,MATCH($C$2,元データ!$E$1:$H$1,0)),元データ!$A$2:$A$20000,$A47,元データ!$D$2:$D$20000,$B47,元データ!$B$2:$B$20000,$C$3,元データ!$C$2:$C$20000,J$5)</f>
        <v>0</v>
      </c>
      <c r="K47" s="16">
        <f>SUMIFS(INDEX(元データ!$E$2:$H$20000,0,MATCH($C$2,元データ!$E$1:$H$1,0)),元データ!$A$2:$A$20000,$A47,元データ!$D$2:$D$20000,$B47,元データ!$B$2:$B$20000,$C$3,元データ!$C$2:$C$20000,K$5)</f>
        <v>0</v>
      </c>
      <c r="L47" s="16">
        <f>SUMIFS(INDEX(元データ!$E$2:$H$20000,0,MATCH($C$2,元データ!$E$1:$H$1,0)),元データ!$A$2:$A$20000,$A47,元データ!$D$2:$D$20000,$B47,元データ!$B$2:$B$20000,$C$3,元データ!$C$2:$C$20000,L$5)</f>
        <v>0</v>
      </c>
      <c r="M47" s="16">
        <f>SUMIFS(INDEX(元データ!$E$2:$H$20000,0,MATCH($C$2,元データ!$E$1:$H$1,0)),元データ!$A$2:$A$20000,$A47,元データ!$D$2:$D$20000,$B47,元データ!$B$2:$B$20000,$C$3,元データ!$C$2:$C$20000,M$5)</f>
        <v>0</v>
      </c>
      <c r="N47" s="16">
        <f>SUMIFS(INDEX(元データ!$E$2:$H$20000,0,MATCH($C$2,元データ!$E$1:$H$1,0)),元データ!$A$2:$A$20000,$A47,元データ!$D$2:$D$20000,$B47,元データ!$B$2:$B$20000,$C$3,元データ!$C$2:$C$20000,N$5)</f>
        <v>0</v>
      </c>
      <c r="O47" s="17">
        <f t="shared" si="2"/>
        <v>0</v>
      </c>
      <c r="P47" s="17">
        <f>SUMIFS(INDEX(元データ!$E$2:$H$20000,0,MATCH($C$2,元データ!$E$1:$H$1,0)),元データ!$A$2:$A$20000,$A47,元データ!$D$2:$D$20000,$B47,元データ!$B$2:$B$20000,$D$3)</f>
        <v>0</v>
      </c>
      <c r="Q47" s="25" t="str">
        <f t="shared" si="3"/>
        <v/>
      </c>
    </row>
    <row r="48" spans="1:17" x14ac:dyDescent="0.45">
      <c r="A48" s="14" t="str">
        <f>店舗マスタ!A44</f>
        <v>松長店</v>
      </c>
      <c r="B48" s="15" t="s">
        <v>34</v>
      </c>
      <c r="C48" s="16">
        <f>SUMIFS(INDEX(元データ!$E$2:$H$20000,0,MATCH($C$2,元データ!$E$1:$H$1,0)),元データ!$A$2:$A$20000,$A48,元データ!$D$2:$D$20000,$B48,元データ!$B$2:$B$20000,$C$3,元データ!$C$2:$C$20000,C$5)</f>
        <v>5</v>
      </c>
      <c r="D48" s="16">
        <f>SUMIFS(INDEX(元データ!$E$2:$H$20000,0,MATCH($C$2,元データ!$E$1:$H$1,0)),元データ!$A$2:$A$20000,$A48,元データ!$D$2:$D$20000,$B48,元データ!$B$2:$B$20000,$C$3,元データ!$C$2:$C$20000,D$5)</f>
        <v>1</v>
      </c>
      <c r="E48" s="16">
        <f>SUMIFS(INDEX(元データ!$E$2:$H$20000,0,MATCH($C$2,元データ!$E$1:$H$1,0)),元データ!$A$2:$A$20000,$A48,元データ!$D$2:$D$20000,$B48,元データ!$B$2:$B$20000,$C$3,元データ!$C$2:$C$20000,E$5)</f>
        <v>7</v>
      </c>
      <c r="F48" s="16">
        <f>SUMIFS(INDEX(元データ!$E$2:$H$20000,0,MATCH($C$2,元データ!$E$1:$H$1,0)),元データ!$A$2:$A$20000,$A48,元データ!$D$2:$D$20000,$B48,元データ!$B$2:$B$20000,$C$3,元データ!$C$2:$C$20000,F$5)</f>
        <v>7</v>
      </c>
      <c r="G48" s="16">
        <f>SUMIFS(INDEX(元データ!$E$2:$H$20000,0,MATCH($C$2,元データ!$E$1:$H$1,0)),元データ!$A$2:$A$20000,$A48,元データ!$D$2:$D$20000,$B48,元データ!$B$2:$B$20000,$C$3,元データ!$C$2:$C$20000,G$5)</f>
        <v>4</v>
      </c>
      <c r="H48" s="16">
        <f>SUMIFS(INDEX(元データ!$E$2:$H$20000,0,MATCH($C$2,元データ!$E$1:$H$1,0)),元データ!$A$2:$A$20000,$A48,元データ!$D$2:$D$20000,$B48,元データ!$B$2:$B$20000,$C$3,元データ!$C$2:$C$20000,H$5)</f>
        <v>0</v>
      </c>
      <c r="I48" s="16">
        <f>SUMIFS(INDEX(元データ!$E$2:$H$20000,0,MATCH($C$2,元データ!$E$1:$H$1,0)),元データ!$A$2:$A$20000,$A48,元データ!$D$2:$D$20000,$B48,元データ!$B$2:$B$20000,$C$3,元データ!$C$2:$C$20000,I$5)</f>
        <v>2</v>
      </c>
      <c r="J48" s="16">
        <f>SUMIFS(INDEX(元データ!$E$2:$H$20000,0,MATCH($C$2,元データ!$E$1:$H$1,0)),元データ!$A$2:$A$20000,$A48,元データ!$D$2:$D$20000,$B48,元データ!$B$2:$B$20000,$C$3,元データ!$C$2:$C$20000,J$5)</f>
        <v>3</v>
      </c>
      <c r="K48" s="16">
        <f>SUMIFS(INDEX(元データ!$E$2:$H$20000,0,MATCH($C$2,元データ!$E$1:$H$1,0)),元データ!$A$2:$A$20000,$A48,元データ!$D$2:$D$20000,$B48,元データ!$B$2:$B$20000,$C$3,元データ!$C$2:$C$20000,K$5)</f>
        <v>4</v>
      </c>
      <c r="L48" s="16">
        <f>SUMIFS(INDEX(元データ!$E$2:$H$20000,0,MATCH($C$2,元データ!$E$1:$H$1,0)),元データ!$A$2:$A$20000,$A48,元データ!$D$2:$D$20000,$B48,元データ!$B$2:$B$20000,$C$3,元データ!$C$2:$C$20000,L$5)</f>
        <v>3</v>
      </c>
      <c r="M48" s="16">
        <f>SUMIFS(INDEX(元データ!$E$2:$H$20000,0,MATCH($C$2,元データ!$E$1:$H$1,0)),元データ!$A$2:$A$20000,$A48,元データ!$D$2:$D$20000,$B48,元データ!$B$2:$B$20000,$C$3,元データ!$C$2:$C$20000,M$5)</f>
        <v>5</v>
      </c>
      <c r="N48" s="16">
        <f>SUMIFS(INDEX(元データ!$E$2:$H$20000,0,MATCH($C$2,元データ!$E$1:$H$1,0)),元データ!$A$2:$A$20000,$A48,元データ!$D$2:$D$20000,$B48,元データ!$B$2:$B$20000,$C$3,元データ!$C$2:$C$20000,N$5)</f>
        <v>4</v>
      </c>
      <c r="O48" s="17">
        <f t="shared" si="2"/>
        <v>45</v>
      </c>
      <c r="P48" s="17">
        <f>SUMIFS(INDEX(元データ!$E$2:$H$20000,0,MATCH($C$2,元データ!$E$1:$H$1,0)),元データ!$A$2:$A$20000,$A48,元データ!$D$2:$D$20000,$B48,元データ!$B$2:$B$20000,$D$3)</f>
        <v>0</v>
      </c>
      <c r="Q48" s="25" t="str">
        <f t="shared" si="3"/>
        <v/>
      </c>
    </row>
    <row r="49" spans="1:17" x14ac:dyDescent="0.45">
      <c r="A49" s="14" t="str">
        <f>店舗マスタ!A45</f>
        <v>田中町店</v>
      </c>
      <c r="B49" s="15" t="s">
        <v>34</v>
      </c>
      <c r="C49" s="16">
        <f>SUMIFS(INDEX(元データ!$E$2:$H$20000,0,MATCH($C$2,元データ!$E$1:$H$1,0)),元データ!$A$2:$A$20000,$A49,元データ!$D$2:$D$20000,$B49,元データ!$B$2:$B$20000,$C$3,元データ!$C$2:$C$20000,C$5)</f>
        <v>5</v>
      </c>
      <c r="D49" s="16">
        <f>SUMIFS(INDEX(元データ!$E$2:$H$20000,0,MATCH($C$2,元データ!$E$1:$H$1,0)),元データ!$A$2:$A$20000,$A49,元データ!$D$2:$D$20000,$B49,元データ!$B$2:$B$20000,$C$3,元データ!$C$2:$C$20000,D$5)</f>
        <v>4</v>
      </c>
      <c r="E49" s="16">
        <f>SUMIFS(INDEX(元データ!$E$2:$H$20000,0,MATCH($C$2,元データ!$E$1:$H$1,0)),元データ!$A$2:$A$20000,$A49,元データ!$D$2:$D$20000,$B49,元データ!$B$2:$B$20000,$C$3,元データ!$C$2:$C$20000,E$5)</f>
        <v>10</v>
      </c>
      <c r="F49" s="16">
        <f>SUMIFS(INDEX(元データ!$E$2:$H$20000,0,MATCH($C$2,元データ!$E$1:$H$1,0)),元データ!$A$2:$A$20000,$A49,元データ!$D$2:$D$20000,$B49,元データ!$B$2:$B$20000,$C$3,元データ!$C$2:$C$20000,F$5)</f>
        <v>8</v>
      </c>
      <c r="G49" s="16">
        <f>SUMIFS(INDEX(元データ!$E$2:$H$20000,0,MATCH($C$2,元データ!$E$1:$H$1,0)),元データ!$A$2:$A$20000,$A49,元データ!$D$2:$D$20000,$B49,元データ!$B$2:$B$20000,$C$3,元データ!$C$2:$C$20000,G$5)</f>
        <v>10</v>
      </c>
      <c r="H49" s="16">
        <f>SUMIFS(INDEX(元データ!$E$2:$H$20000,0,MATCH($C$2,元データ!$E$1:$H$1,0)),元データ!$A$2:$A$20000,$A49,元データ!$D$2:$D$20000,$B49,元データ!$B$2:$B$20000,$C$3,元データ!$C$2:$C$20000,H$5)</f>
        <v>0</v>
      </c>
      <c r="I49" s="16">
        <f>SUMIFS(INDEX(元データ!$E$2:$H$20000,0,MATCH($C$2,元データ!$E$1:$H$1,0)),元データ!$A$2:$A$20000,$A49,元データ!$D$2:$D$20000,$B49,元データ!$B$2:$B$20000,$C$3,元データ!$C$2:$C$20000,I$5)</f>
        <v>8</v>
      </c>
      <c r="J49" s="16">
        <f>SUMIFS(INDEX(元データ!$E$2:$H$20000,0,MATCH($C$2,元データ!$E$1:$H$1,0)),元データ!$A$2:$A$20000,$A49,元データ!$D$2:$D$20000,$B49,元データ!$B$2:$B$20000,$C$3,元データ!$C$2:$C$20000,J$5)</f>
        <v>10</v>
      </c>
      <c r="K49" s="16">
        <f>SUMIFS(INDEX(元データ!$E$2:$H$20000,0,MATCH($C$2,元データ!$E$1:$H$1,0)),元データ!$A$2:$A$20000,$A49,元データ!$D$2:$D$20000,$B49,元データ!$B$2:$B$20000,$C$3,元データ!$C$2:$C$20000,K$5)</f>
        <v>11</v>
      </c>
      <c r="L49" s="16">
        <f>SUMIFS(INDEX(元データ!$E$2:$H$20000,0,MATCH($C$2,元データ!$E$1:$H$1,0)),元データ!$A$2:$A$20000,$A49,元データ!$D$2:$D$20000,$B49,元データ!$B$2:$B$20000,$C$3,元データ!$C$2:$C$20000,L$5)</f>
        <v>12</v>
      </c>
      <c r="M49" s="16">
        <f>SUMIFS(INDEX(元データ!$E$2:$H$20000,0,MATCH($C$2,元データ!$E$1:$H$1,0)),元データ!$A$2:$A$20000,$A49,元データ!$D$2:$D$20000,$B49,元データ!$B$2:$B$20000,$C$3,元データ!$C$2:$C$20000,M$5)</f>
        <v>11</v>
      </c>
      <c r="N49" s="16">
        <f>SUMIFS(INDEX(元データ!$E$2:$H$20000,0,MATCH($C$2,元データ!$E$1:$H$1,0)),元データ!$A$2:$A$20000,$A49,元データ!$D$2:$D$20000,$B49,元データ!$B$2:$B$20000,$C$3,元データ!$C$2:$C$20000,N$5)</f>
        <v>9</v>
      </c>
      <c r="O49" s="17">
        <f t="shared" si="2"/>
        <v>98</v>
      </c>
      <c r="P49" s="17">
        <f>SUMIFS(INDEX(元データ!$E$2:$H$20000,0,MATCH($C$2,元データ!$E$1:$H$1,0)),元データ!$A$2:$A$20000,$A49,元データ!$D$2:$D$20000,$B49,元データ!$B$2:$B$20000,$D$3)</f>
        <v>0</v>
      </c>
      <c r="Q49" s="25" t="str">
        <f t="shared" si="3"/>
        <v/>
      </c>
    </row>
    <row r="50" spans="1:17" x14ac:dyDescent="0.45">
      <c r="A50" s="14" t="str">
        <f>店舗マスタ!A46</f>
        <v>松岡店</v>
      </c>
      <c r="B50" s="15" t="s">
        <v>34</v>
      </c>
      <c r="C50" s="16">
        <f>SUMIFS(INDEX(元データ!$E$2:$H$20000,0,MATCH($C$2,元データ!$E$1:$H$1,0)),元データ!$A$2:$A$20000,$A50,元データ!$D$2:$D$20000,$B50,元データ!$B$2:$B$20000,$C$3,元データ!$C$2:$C$20000,C$5)</f>
        <v>5</v>
      </c>
      <c r="D50" s="16">
        <f>SUMIFS(INDEX(元データ!$E$2:$H$20000,0,MATCH($C$2,元データ!$E$1:$H$1,0)),元データ!$A$2:$A$20000,$A50,元データ!$D$2:$D$20000,$B50,元データ!$B$2:$B$20000,$C$3,元データ!$C$2:$C$20000,D$5)</f>
        <v>6</v>
      </c>
      <c r="E50" s="16">
        <f>SUMIFS(INDEX(元データ!$E$2:$H$20000,0,MATCH($C$2,元データ!$E$1:$H$1,0)),元データ!$A$2:$A$20000,$A50,元データ!$D$2:$D$20000,$B50,元データ!$B$2:$B$20000,$C$3,元データ!$C$2:$C$20000,E$5)</f>
        <v>6</v>
      </c>
      <c r="F50" s="16">
        <f>SUMIFS(INDEX(元データ!$E$2:$H$20000,0,MATCH($C$2,元データ!$E$1:$H$1,0)),元データ!$A$2:$A$20000,$A50,元データ!$D$2:$D$20000,$B50,元データ!$B$2:$B$20000,$C$3,元データ!$C$2:$C$20000,F$5)</f>
        <v>11</v>
      </c>
      <c r="G50" s="16">
        <f>SUMIFS(INDEX(元データ!$E$2:$H$20000,0,MATCH($C$2,元データ!$E$1:$H$1,0)),元データ!$A$2:$A$20000,$A50,元データ!$D$2:$D$20000,$B50,元データ!$B$2:$B$20000,$C$3,元データ!$C$2:$C$20000,G$5)</f>
        <v>9</v>
      </c>
      <c r="H50" s="16">
        <f>SUMIFS(INDEX(元データ!$E$2:$H$20000,0,MATCH($C$2,元データ!$E$1:$H$1,0)),元データ!$A$2:$A$20000,$A50,元データ!$D$2:$D$20000,$B50,元データ!$B$2:$B$20000,$C$3,元データ!$C$2:$C$20000,H$5)</f>
        <v>0</v>
      </c>
      <c r="I50" s="16">
        <f>SUMIFS(INDEX(元データ!$E$2:$H$20000,0,MATCH($C$2,元データ!$E$1:$H$1,0)),元データ!$A$2:$A$20000,$A50,元データ!$D$2:$D$20000,$B50,元データ!$B$2:$B$20000,$C$3,元データ!$C$2:$C$20000,I$5)</f>
        <v>15</v>
      </c>
      <c r="J50" s="16">
        <f>SUMIFS(INDEX(元データ!$E$2:$H$20000,0,MATCH($C$2,元データ!$E$1:$H$1,0)),元データ!$A$2:$A$20000,$A50,元データ!$D$2:$D$20000,$B50,元データ!$B$2:$B$20000,$C$3,元データ!$C$2:$C$20000,J$5)</f>
        <v>13</v>
      </c>
      <c r="K50" s="16">
        <f>SUMIFS(INDEX(元データ!$E$2:$H$20000,0,MATCH($C$2,元データ!$E$1:$H$1,0)),元データ!$A$2:$A$20000,$A50,元データ!$D$2:$D$20000,$B50,元データ!$B$2:$B$20000,$C$3,元データ!$C$2:$C$20000,K$5)</f>
        <v>19</v>
      </c>
      <c r="L50" s="16">
        <f>SUMIFS(INDEX(元データ!$E$2:$H$20000,0,MATCH($C$2,元データ!$E$1:$H$1,0)),元データ!$A$2:$A$20000,$A50,元データ!$D$2:$D$20000,$B50,元データ!$B$2:$B$20000,$C$3,元データ!$C$2:$C$20000,L$5)</f>
        <v>14</v>
      </c>
      <c r="M50" s="16">
        <f>SUMIFS(INDEX(元データ!$E$2:$H$20000,0,MATCH($C$2,元データ!$E$1:$H$1,0)),元データ!$A$2:$A$20000,$A50,元データ!$D$2:$D$20000,$B50,元データ!$B$2:$B$20000,$C$3,元データ!$C$2:$C$20000,M$5)</f>
        <v>14</v>
      </c>
      <c r="N50" s="16">
        <f>SUMIFS(INDEX(元データ!$E$2:$H$20000,0,MATCH($C$2,元データ!$E$1:$H$1,0)),元データ!$A$2:$A$20000,$A50,元データ!$D$2:$D$20000,$B50,元データ!$B$2:$B$20000,$C$3,元データ!$C$2:$C$20000,N$5)</f>
        <v>13</v>
      </c>
      <c r="O50" s="17">
        <f t="shared" si="2"/>
        <v>125</v>
      </c>
      <c r="P50" s="17">
        <f>SUMIFS(INDEX(元データ!$E$2:$H$20000,0,MATCH($C$2,元データ!$E$1:$H$1,0)),元データ!$A$2:$A$20000,$A50,元データ!$D$2:$D$20000,$B50,元データ!$B$2:$B$20000,$D$3)</f>
        <v>0</v>
      </c>
      <c r="Q50" s="25" t="str">
        <f t="shared" si="3"/>
        <v/>
      </c>
    </row>
    <row r="51" spans="1:17" x14ac:dyDescent="0.45">
      <c r="A51" s="14" t="str">
        <f>店舗マスタ!A47</f>
        <v>MV江尾店</v>
      </c>
      <c r="B51" s="15" t="s">
        <v>34</v>
      </c>
      <c r="C51" s="16">
        <f>SUMIFS(INDEX(元データ!$E$2:$H$20000,0,MATCH($C$2,元データ!$E$1:$H$1,0)),元データ!$A$2:$A$20000,$A51,元データ!$D$2:$D$20000,$B51,元データ!$B$2:$B$20000,$C$3,元データ!$C$2:$C$20000,C$5)</f>
        <v>0</v>
      </c>
      <c r="D51" s="16">
        <f>SUMIFS(INDEX(元データ!$E$2:$H$20000,0,MATCH($C$2,元データ!$E$1:$H$1,0)),元データ!$A$2:$A$20000,$A51,元データ!$D$2:$D$20000,$B51,元データ!$B$2:$B$20000,$C$3,元データ!$C$2:$C$20000,D$5)</f>
        <v>0</v>
      </c>
      <c r="E51" s="16">
        <f>SUMIFS(INDEX(元データ!$E$2:$H$20000,0,MATCH($C$2,元データ!$E$1:$H$1,0)),元データ!$A$2:$A$20000,$A51,元データ!$D$2:$D$20000,$B51,元データ!$B$2:$B$20000,$C$3,元データ!$C$2:$C$20000,E$5)</f>
        <v>0</v>
      </c>
      <c r="F51" s="16">
        <f>SUMIFS(INDEX(元データ!$E$2:$H$20000,0,MATCH($C$2,元データ!$E$1:$H$1,0)),元データ!$A$2:$A$20000,$A51,元データ!$D$2:$D$20000,$B51,元データ!$B$2:$B$20000,$C$3,元データ!$C$2:$C$20000,F$5)</f>
        <v>0</v>
      </c>
      <c r="G51" s="16">
        <f>SUMIFS(INDEX(元データ!$E$2:$H$20000,0,MATCH($C$2,元データ!$E$1:$H$1,0)),元データ!$A$2:$A$20000,$A51,元データ!$D$2:$D$20000,$B51,元データ!$B$2:$B$20000,$C$3,元データ!$C$2:$C$20000,G$5)</f>
        <v>0</v>
      </c>
      <c r="H51" s="16">
        <f>SUMIFS(INDEX(元データ!$E$2:$H$20000,0,MATCH($C$2,元データ!$E$1:$H$1,0)),元データ!$A$2:$A$20000,$A51,元データ!$D$2:$D$20000,$B51,元データ!$B$2:$B$20000,$C$3,元データ!$C$2:$C$20000,H$5)</f>
        <v>0</v>
      </c>
      <c r="I51" s="16">
        <f>SUMIFS(INDEX(元データ!$E$2:$H$20000,0,MATCH($C$2,元データ!$E$1:$H$1,0)),元データ!$A$2:$A$20000,$A51,元データ!$D$2:$D$20000,$B51,元データ!$B$2:$B$20000,$C$3,元データ!$C$2:$C$20000,I$5)</f>
        <v>0</v>
      </c>
      <c r="J51" s="16">
        <f>SUMIFS(INDEX(元データ!$E$2:$H$20000,0,MATCH($C$2,元データ!$E$1:$H$1,0)),元データ!$A$2:$A$20000,$A51,元データ!$D$2:$D$20000,$B51,元データ!$B$2:$B$20000,$C$3,元データ!$C$2:$C$20000,J$5)</f>
        <v>1</v>
      </c>
      <c r="K51" s="16">
        <f>SUMIFS(INDEX(元データ!$E$2:$H$20000,0,MATCH($C$2,元データ!$E$1:$H$1,0)),元データ!$A$2:$A$20000,$A51,元データ!$D$2:$D$20000,$B51,元データ!$B$2:$B$20000,$C$3,元データ!$C$2:$C$20000,K$5)</f>
        <v>1</v>
      </c>
      <c r="L51" s="16">
        <f>SUMIFS(INDEX(元データ!$E$2:$H$20000,0,MATCH($C$2,元データ!$E$1:$H$1,0)),元データ!$A$2:$A$20000,$A51,元データ!$D$2:$D$20000,$B51,元データ!$B$2:$B$20000,$C$3,元データ!$C$2:$C$20000,L$5)</f>
        <v>1</v>
      </c>
      <c r="M51" s="16">
        <f>SUMIFS(INDEX(元データ!$E$2:$H$20000,0,MATCH($C$2,元データ!$E$1:$H$1,0)),元データ!$A$2:$A$20000,$A51,元データ!$D$2:$D$20000,$B51,元データ!$B$2:$B$20000,$C$3,元データ!$C$2:$C$20000,M$5)</f>
        <v>0</v>
      </c>
      <c r="N51" s="16">
        <f>SUMIFS(INDEX(元データ!$E$2:$H$20000,0,MATCH($C$2,元データ!$E$1:$H$1,0)),元データ!$A$2:$A$20000,$A51,元データ!$D$2:$D$20000,$B51,元データ!$B$2:$B$20000,$C$3,元データ!$C$2:$C$20000,N$5)</f>
        <v>1</v>
      </c>
      <c r="O51" s="17">
        <f t="shared" si="2"/>
        <v>4</v>
      </c>
      <c r="P51" s="17">
        <f>SUMIFS(INDEX(元データ!$E$2:$H$20000,0,MATCH($C$2,元データ!$E$1:$H$1,0)),元データ!$A$2:$A$20000,$A51,元データ!$D$2:$D$20000,$B51,元データ!$B$2:$B$20000,$D$3)</f>
        <v>0</v>
      </c>
      <c r="Q51" s="25" t="str">
        <f t="shared" si="3"/>
        <v/>
      </c>
    </row>
    <row r="52" spans="1:17" x14ac:dyDescent="0.45">
      <c r="A52" s="14" t="str">
        <f>店舗マスタ!A48</f>
        <v>蒲原店</v>
      </c>
      <c r="B52" s="15" t="s">
        <v>34</v>
      </c>
      <c r="C52" s="16">
        <f>SUMIFS(INDEX(元データ!$E$2:$H$20000,0,MATCH($C$2,元データ!$E$1:$H$1,0)),元データ!$A$2:$A$20000,$A52,元データ!$D$2:$D$20000,$B52,元データ!$B$2:$B$20000,$C$3,元データ!$C$2:$C$20000,C$5)</f>
        <v>0</v>
      </c>
      <c r="D52" s="16">
        <f>SUMIFS(INDEX(元データ!$E$2:$H$20000,0,MATCH($C$2,元データ!$E$1:$H$1,0)),元データ!$A$2:$A$20000,$A52,元データ!$D$2:$D$20000,$B52,元データ!$B$2:$B$20000,$C$3,元データ!$C$2:$C$20000,D$5)</f>
        <v>1</v>
      </c>
      <c r="E52" s="16">
        <f>SUMIFS(INDEX(元データ!$E$2:$H$20000,0,MATCH($C$2,元データ!$E$1:$H$1,0)),元データ!$A$2:$A$20000,$A52,元データ!$D$2:$D$20000,$B52,元データ!$B$2:$B$20000,$C$3,元データ!$C$2:$C$20000,E$5)</f>
        <v>3</v>
      </c>
      <c r="F52" s="16">
        <f>SUMIFS(INDEX(元データ!$E$2:$H$20000,0,MATCH($C$2,元データ!$E$1:$H$1,0)),元データ!$A$2:$A$20000,$A52,元データ!$D$2:$D$20000,$B52,元データ!$B$2:$B$20000,$C$3,元データ!$C$2:$C$20000,F$5)</f>
        <v>2</v>
      </c>
      <c r="G52" s="16">
        <f>SUMIFS(INDEX(元データ!$E$2:$H$20000,0,MATCH($C$2,元データ!$E$1:$H$1,0)),元データ!$A$2:$A$20000,$A52,元データ!$D$2:$D$20000,$B52,元データ!$B$2:$B$20000,$C$3,元データ!$C$2:$C$20000,G$5)</f>
        <v>3</v>
      </c>
      <c r="H52" s="16">
        <f>SUMIFS(INDEX(元データ!$E$2:$H$20000,0,MATCH($C$2,元データ!$E$1:$H$1,0)),元データ!$A$2:$A$20000,$A52,元データ!$D$2:$D$20000,$B52,元データ!$B$2:$B$20000,$C$3,元データ!$C$2:$C$20000,H$5)</f>
        <v>0</v>
      </c>
      <c r="I52" s="16">
        <f>SUMIFS(INDEX(元データ!$E$2:$H$20000,0,MATCH($C$2,元データ!$E$1:$H$1,0)),元データ!$A$2:$A$20000,$A52,元データ!$D$2:$D$20000,$B52,元データ!$B$2:$B$20000,$C$3,元データ!$C$2:$C$20000,I$5)</f>
        <v>4</v>
      </c>
      <c r="J52" s="16">
        <f>SUMIFS(INDEX(元データ!$E$2:$H$20000,0,MATCH($C$2,元データ!$E$1:$H$1,0)),元データ!$A$2:$A$20000,$A52,元データ!$D$2:$D$20000,$B52,元データ!$B$2:$B$20000,$C$3,元データ!$C$2:$C$20000,J$5)</f>
        <v>4</v>
      </c>
      <c r="K52" s="16">
        <f>SUMIFS(INDEX(元データ!$E$2:$H$20000,0,MATCH($C$2,元データ!$E$1:$H$1,0)),元データ!$A$2:$A$20000,$A52,元データ!$D$2:$D$20000,$B52,元データ!$B$2:$B$20000,$C$3,元データ!$C$2:$C$20000,K$5)</f>
        <v>4</v>
      </c>
      <c r="L52" s="16">
        <f>SUMIFS(INDEX(元データ!$E$2:$H$20000,0,MATCH($C$2,元データ!$E$1:$H$1,0)),元データ!$A$2:$A$20000,$A52,元データ!$D$2:$D$20000,$B52,元データ!$B$2:$B$20000,$C$3,元データ!$C$2:$C$20000,L$5)</f>
        <v>3</v>
      </c>
      <c r="M52" s="16">
        <f>SUMIFS(INDEX(元データ!$E$2:$H$20000,0,MATCH($C$2,元データ!$E$1:$H$1,0)),元データ!$A$2:$A$20000,$A52,元データ!$D$2:$D$20000,$B52,元データ!$B$2:$B$20000,$C$3,元データ!$C$2:$C$20000,M$5)</f>
        <v>3</v>
      </c>
      <c r="N52" s="16">
        <f>SUMIFS(INDEX(元データ!$E$2:$H$20000,0,MATCH($C$2,元データ!$E$1:$H$1,0)),元データ!$A$2:$A$20000,$A52,元データ!$D$2:$D$20000,$B52,元データ!$B$2:$B$20000,$C$3,元データ!$C$2:$C$20000,N$5)</f>
        <v>3</v>
      </c>
      <c r="O52" s="17">
        <f t="shared" si="2"/>
        <v>30</v>
      </c>
      <c r="P52" s="17">
        <f>SUMIFS(INDEX(元データ!$E$2:$H$20000,0,MATCH($C$2,元データ!$E$1:$H$1,0)),元データ!$A$2:$A$20000,$A52,元データ!$D$2:$D$20000,$B52,元データ!$B$2:$B$20000,$D$3)</f>
        <v>0</v>
      </c>
      <c r="Q52" s="25" t="str">
        <f t="shared" si="3"/>
        <v/>
      </c>
    </row>
    <row r="53" spans="1:17" x14ac:dyDescent="0.45">
      <c r="A53" s="14" t="str">
        <f>店舗マスタ!A49</f>
        <v>松野店</v>
      </c>
      <c r="B53" s="15" t="s">
        <v>34</v>
      </c>
      <c r="C53" s="16">
        <f>SUMIFS(INDEX(元データ!$E$2:$H$20000,0,MATCH($C$2,元データ!$E$1:$H$1,0)),元データ!$A$2:$A$20000,$A53,元データ!$D$2:$D$20000,$B53,元データ!$B$2:$B$20000,$C$3,元データ!$C$2:$C$20000,C$5)</f>
        <v>3</v>
      </c>
      <c r="D53" s="16">
        <f>SUMIFS(INDEX(元データ!$E$2:$H$20000,0,MATCH($C$2,元データ!$E$1:$H$1,0)),元データ!$A$2:$A$20000,$A53,元データ!$D$2:$D$20000,$B53,元データ!$B$2:$B$20000,$C$3,元データ!$C$2:$C$20000,D$5)</f>
        <v>6</v>
      </c>
      <c r="E53" s="16">
        <f>SUMIFS(INDEX(元データ!$E$2:$H$20000,0,MATCH($C$2,元データ!$E$1:$H$1,0)),元データ!$A$2:$A$20000,$A53,元データ!$D$2:$D$20000,$B53,元データ!$B$2:$B$20000,$C$3,元データ!$C$2:$C$20000,E$5)</f>
        <v>9</v>
      </c>
      <c r="F53" s="16">
        <f>SUMIFS(INDEX(元データ!$E$2:$H$20000,0,MATCH($C$2,元データ!$E$1:$H$1,0)),元データ!$A$2:$A$20000,$A53,元データ!$D$2:$D$20000,$B53,元データ!$B$2:$B$20000,$C$3,元データ!$C$2:$C$20000,F$5)</f>
        <v>9</v>
      </c>
      <c r="G53" s="16">
        <f>SUMIFS(INDEX(元データ!$E$2:$H$20000,0,MATCH($C$2,元データ!$E$1:$H$1,0)),元データ!$A$2:$A$20000,$A53,元データ!$D$2:$D$20000,$B53,元データ!$B$2:$B$20000,$C$3,元データ!$C$2:$C$20000,G$5)</f>
        <v>7</v>
      </c>
      <c r="H53" s="16">
        <f>SUMIFS(INDEX(元データ!$E$2:$H$20000,0,MATCH($C$2,元データ!$E$1:$H$1,0)),元データ!$A$2:$A$20000,$A53,元データ!$D$2:$D$20000,$B53,元データ!$B$2:$B$20000,$C$3,元データ!$C$2:$C$20000,H$5)</f>
        <v>0</v>
      </c>
      <c r="I53" s="16">
        <f>SUMIFS(INDEX(元データ!$E$2:$H$20000,0,MATCH($C$2,元データ!$E$1:$H$1,0)),元データ!$A$2:$A$20000,$A53,元データ!$D$2:$D$20000,$B53,元データ!$B$2:$B$20000,$C$3,元データ!$C$2:$C$20000,I$5)</f>
        <v>7</v>
      </c>
      <c r="J53" s="16">
        <f>SUMIFS(INDEX(元データ!$E$2:$H$20000,0,MATCH($C$2,元データ!$E$1:$H$1,0)),元データ!$A$2:$A$20000,$A53,元データ!$D$2:$D$20000,$B53,元データ!$B$2:$B$20000,$C$3,元データ!$C$2:$C$20000,J$5)</f>
        <v>7</v>
      </c>
      <c r="K53" s="16">
        <f>SUMIFS(INDEX(元データ!$E$2:$H$20000,0,MATCH($C$2,元データ!$E$1:$H$1,0)),元データ!$A$2:$A$20000,$A53,元データ!$D$2:$D$20000,$B53,元データ!$B$2:$B$20000,$C$3,元データ!$C$2:$C$20000,K$5)</f>
        <v>7</v>
      </c>
      <c r="L53" s="16">
        <f>SUMIFS(INDEX(元データ!$E$2:$H$20000,0,MATCH($C$2,元データ!$E$1:$H$1,0)),元データ!$A$2:$A$20000,$A53,元データ!$D$2:$D$20000,$B53,元データ!$B$2:$B$20000,$C$3,元データ!$C$2:$C$20000,L$5)</f>
        <v>7</v>
      </c>
      <c r="M53" s="16">
        <f>SUMIFS(INDEX(元データ!$E$2:$H$20000,0,MATCH($C$2,元データ!$E$1:$H$1,0)),元データ!$A$2:$A$20000,$A53,元データ!$D$2:$D$20000,$B53,元データ!$B$2:$B$20000,$C$3,元データ!$C$2:$C$20000,M$5)</f>
        <v>7</v>
      </c>
      <c r="N53" s="16">
        <f>SUMIFS(INDEX(元データ!$E$2:$H$20000,0,MATCH($C$2,元データ!$E$1:$H$1,0)),元データ!$A$2:$A$20000,$A53,元データ!$D$2:$D$20000,$B53,元データ!$B$2:$B$20000,$C$3,元データ!$C$2:$C$20000,N$5)</f>
        <v>7</v>
      </c>
      <c r="O53" s="17">
        <f t="shared" si="2"/>
        <v>76</v>
      </c>
      <c r="P53" s="17">
        <f>SUMIFS(INDEX(元データ!$E$2:$H$20000,0,MATCH($C$2,元データ!$E$1:$H$1,0)),元データ!$A$2:$A$20000,$A53,元データ!$D$2:$D$20000,$B53,元データ!$B$2:$B$20000,$D$3)</f>
        <v>0</v>
      </c>
      <c r="Q53" s="25" t="str">
        <f t="shared" si="3"/>
        <v/>
      </c>
    </row>
    <row r="54" spans="1:17" x14ac:dyDescent="0.45">
      <c r="A54" s="14" t="str">
        <f>店舗マスタ!A50</f>
        <v>石坂店</v>
      </c>
      <c r="B54" s="15" t="s">
        <v>34</v>
      </c>
      <c r="C54" s="16">
        <f>SUMIFS(INDEX(元データ!$E$2:$H$20000,0,MATCH($C$2,元データ!$E$1:$H$1,0)),元データ!$A$2:$A$20000,$A54,元データ!$D$2:$D$20000,$B54,元データ!$B$2:$B$20000,$C$3,元データ!$C$2:$C$20000,C$5)</f>
        <v>9</v>
      </c>
      <c r="D54" s="16">
        <f>SUMIFS(INDEX(元データ!$E$2:$H$20000,0,MATCH($C$2,元データ!$E$1:$H$1,0)),元データ!$A$2:$A$20000,$A54,元データ!$D$2:$D$20000,$B54,元データ!$B$2:$B$20000,$C$3,元データ!$C$2:$C$20000,D$5)</f>
        <v>5</v>
      </c>
      <c r="E54" s="16">
        <f>SUMIFS(INDEX(元データ!$E$2:$H$20000,0,MATCH($C$2,元データ!$E$1:$H$1,0)),元データ!$A$2:$A$20000,$A54,元データ!$D$2:$D$20000,$B54,元データ!$B$2:$B$20000,$C$3,元データ!$C$2:$C$20000,E$5)</f>
        <v>11</v>
      </c>
      <c r="F54" s="16">
        <f>SUMIFS(INDEX(元データ!$E$2:$H$20000,0,MATCH($C$2,元データ!$E$1:$H$1,0)),元データ!$A$2:$A$20000,$A54,元データ!$D$2:$D$20000,$B54,元データ!$B$2:$B$20000,$C$3,元データ!$C$2:$C$20000,F$5)</f>
        <v>13</v>
      </c>
      <c r="G54" s="16">
        <f>SUMIFS(INDEX(元データ!$E$2:$H$20000,0,MATCH($C$2,元データ!$E$1:$H$1,0)),元データ!$A$2:$A$20000,$A54,元データ!$D$2:$D$20000,$B54,元データ!$B$2:$B$20000,$C$3,元データ!$C$2:$C$20000,G$5)</f>
        <v>11</v>
      </c>
      <c r="H54" s="16">
        <f>SUMIFS(INDEX(元データ!$E$2:$H$20000,0,MATCH($C$2,元データ!$E$1:$H$1,0)),元データ!$A$2:$A$20000,$A54,元データ!$D$2:$D$20000,$B54,元データ!$B$2:$B$20000,$C$3,元データ!$C$2:$C$20000,H$5)</f>
        <v>0</v>
      </c>
      <c r="I54" s="16">
        <f>SUMIFS(INDEX(元データ!$E$2:$H$20000,0,MATCH($C$2,元データ!$E$1:$H$1,0)),元データ!$A$2:$A$20000,$A54,元データ!$D$2:$D$20000,$B54,元データ!$B$2:$B$20000,$C$3,元データ!$C$2:$C$20000,I$5)</f>
        <v>17</v>
      </c>
      <c r="J54" s="16">
        <f>SUMIFS(INDEX(元データ!$E$2:$H$20000,0,MATCH($C$2,元データ!$E$1:$H$1,0)),元データ!$A$2:$A$20000,$A54,元データ!$D$2:$D$20000,$B54,元データ!$B$2:$B$20000,$C$3,元データ!$C$2:$C$20000,J$5)</f>
        <v>26</v>
      </c>
      <c r="K54" s="16">
        <f>SUMIFS(INDEX(元データ!$E$2:$H$20000,0,MATCH($C$2,元データ!$E$1:$H$1,0)),元データ!$A$2:$A$20000,$A54,元データ!$D$2:$D$20000,$B54,元データ!$B$2:$B$20000,$C$3,元データ!$C$2:$C$20000,K$5)</f>
        <v>24</v>
      </c>
      <c r="L54" s="16">
        <f>SUMIFS(INDEX(元データ!$E$2:$H$20000,0,MATCH($C$2,元データ!$E$1:$H$1,0)),元データ!$A$2:$A$20000,$A54,元データ!$D$2:$D$20000,$B54,元データ!$B$2:$B$20000,$C$3,元データ!$C$2:$C$20000,L$5)</f>
        <v>23</v>
      </c>
      <c r="M54" s="16">
        <f>SUMIFS(INDEX(元データ!$E$2:$H$20000,0,MATCH($C$2,元データ!$E$1:$H$1,0)),元データ!$A$2:$A$20000,$A54,元データ!$D$2:$D$20000,$B54,元データ!$B$2:$B$20000,$C$3,元データ!$C$2:$C$20000,M$5)</f>
        <v>24</v>
      </c>
      <c r="N54" s="16">
        <f>SUMIFS(INDEX(元データ!$E$2:$H$20000,0,MATCH($C$2,元データ!$E$1:$H$1,0)),元データ!$A$2:$A$20000,$A54,元データ!$D$2:$D$20000,$B54,元データ!$B$2:$B$20000,$C$3,元データ!$C$2:$C$20000,N$5)</f>
        <v>21</v>
      </c>
      <c r="O54" s="17">
        <f t="shared" si="2"/>
        <v>184</v>
      </c>
      <c r="P54" s="17">
        <f>SUMIFS(INDEX(元データ!$E$2:$H$20000,0,MATCH($C$2,元データ!$E$1:$H$1,0)),元データ!$A$2:$A$20000,$A54,元データ!$D$2:$D$20000,$B54,元データ!$B$2:$B$20000,$D$3)</f>
        <v>0</v>
      </c>
      <c r="Q54" s="25" t="str">
        <f t="shared" si="3"/>
        <v/>
      </c>
    </row>
    <row r="55" spans="1:17" x14ac:dyDescent="0.45">
      <c r="A55" s="14" t="str">
        <f>店舗マスタ!A51</f>
        <v>荒田島店</v>
      </c>
      <c r="B55" s="15" t="s">
        <v>34</v>
      </c>
      <c r="C55" s="16">
        <f>SUMIFS(INDEX(元データ!$E$2:$H$20000,0,MATCH($C$2,元データ!$E$1:$H$1,0)),元データ!$A$2:$A$20000,$A55,元データ!$D$2:$D$20000,$B55,元データ!$B$2:$B$20000,$C$3,元データ!$C$2:$C$20000,C$5)</f>
        <v>7</v>
      </c>
      <c r="D55" s="16">
        <f>SUMIFS(INDEX(元データ!$E$2:$H$20000,0,MATCH($C$2,元データ!$E$1:$H$1,0)),元データ!$A$2:$A$20000,$A55,元データ!$D$2:$D$20000,$B55,元データ!$B$2:$B$20000,$C$3,元データ!$C$2:$C$20000,D$5)</f>
        <v>5</v>
      </c>
      <c r="E55" s="16">
        <f>SUMIFS(INDEX(元データ!$E$2:$H$20000,0,MATCH($C$2,元データ!$E$1:$H$1,0)),元データ!$A$2:$A$20000,$A55,元データ!$D$2:$D$20000,$B55,元データ!$B$2:$B$20000,$C$3,元データ!$C$2:$C$20000,E$5)</f>
        <v>15</v>
      </c>
      <c r="F55" s="16">
        <f>SUMIFS(INDEX(元データ!$E$2:$H$20000,0,MATCH($C$2,元データ!$E$1:$H$1,0)),元データ!$A$2:$A$20000,$A55,元データ!$D$2:$D$20000,$B55,元データ!$B$2:$B$20000,$C$3,元データ!$C$2:$C$20000,F$5)</f>
        <v>12</v>
      </c>
      <c r="G55" s="16">
        <f>SUMIFS(INDEX(元データ!$E$2:$H$20000,0,MATCH($C$2,元データ!$E$1:$H$1,0)),元データ!$A$2:$A$20000,$A55,元データ!$D$2:$D$20000,$B55,元データ!$B$2:$B$20000,$C$3,元データ!$C$2:$C$20000,G$5)</f>
        <v>14</v>
      </c>
      <c r="H55" s="16">
        <f>SUMIFS(INDEX(元データ!$E$2:$H$20000,0,MATCH($C$2,元データ!$E$1:$H$1,0)),元データ!$A$2:$A$20000,$A55,元データ!$D$2:$D$20000,$B55,元データ!$B$2:$B$20000,$C$3,元データ!$C$2:$C$20000,H$5)</f>
        <v>0</v>
      </c>
      <c r="I55" s="16">
        <f>SUMIFS(INDEX(元データ!$E$2:$H$20000,0,MATCH($C$2,元データ!$E$1:$H$1,0)),元データ!$A$2:$A$20000,$A55,元データ!$D$2:$D$20000,$B55,元データ!$B$2:$B$20000,$C$3,元データ!$C$2:$C$20000,I$5)</f>
        <v>14</v>
      </c>
      <c r="J55" s="16">
        <f>SUMIFS(INDEX(元データ!$E$2:$H$20000,0,MATCH($C$2,元データ!$E$1:$H$1,0)),元データ!$A$2:$A$20000,$A55,元データ!$D$2:$D$20000,$B55,元データ!$B$2:$B$20000,$C$3,元データ!$C$2:$C$20000,J$5)</f>
        <v>14</v>
      </c>
      <c r="K55" s="16">
        <f>SUMIFS(INDEX(元データ!$E$2:$H$20000,0,MATCH($C$2,元データ!$E$1:$H$1,0)),元データ!$A$2:$A$20000,$A55,元データ!$D$2:$D$20000,$B55,元データ!$B$2:$B$20000,$C$3,元データ!$C$2:$C$20000,K$5)</f>
        <v>13</v>
      </c>
      <c r="L55" s="16">
        <f>SUMIFS(INDEX(元データ!$E$2:$H$20000,0,MATCH($C$2,元データ!$E$1:$H$1,0)),元データ!$A$2:$A$20000,$A55,元データ!$D$2:$D$20000,$B55,元データ!$B$2:$B$20000,$C$3,元データ!$C$2:$C$20000,L$5)</f>
        <v>14</v>
      </c>
      <c r="M55" s="16">
        <f>SUMIFS(INDEX(元データ!$E$2:$H$20000,0,MATCH($C$2,元データ!$E$1:$H$1,0)),元データ!$A$2:$A$20000,$A55,元データ!$D$2:$D$20000,$B55,元データ!$B$2:$B$20000,$C$3,元データ!$C$2:$C$20000,M$5)</f>
        <v>11</v>
      </c>
      <c r="N55" s="16">
        <f>SUMIFS(INDEX(元データ!$E$2:$H$20000,0,MATCH($C$2,元データ!$E$1:$H$1,0)),元データ!$A$2:$A$20000,$A55,元データ!$D$2:$D$20000,$B55,元データ!$B$2:$B$20000,$C$3,元データ!$C$2:$C$20000,N$5)</f>
        <v>14</v>
      </c>
      <c r="O55" s="17">
        <f t="shared" si="2"/>
        <v>133</v>
      </c>
      <c r="P55" s="17">
        <f>SUMIFS(INDEX(元データ!$E$2:$H$20000,0,MATCH($C$2,元データ!$E$1:$H$1,0)),元データ!$A$2:$A$20000,$A55,元データ!$D$2:$D$20000,$B55,元データ!$B$2:$B$20000,$D$3)</f>
        <v>0</v>
      </c>
      <c r="Q55" s="25" t="str">
        <f t="shared" si="3"/>
        <v/>
      </c>
    </row>
    <row r="56" spans="1:17" x14ac:dyDescent="0.45">
      <c r="A56" s="14" t="str">
        <f>店舗マスタ!A52</f>
        <v>水戸島店</v>
      </c>
      <c r="B56" s="15" t="s">
        <v>34</v>
      </c>
      <c r="C56" s="16">
        <f>SUMIFS(INDEX(元データ!$E$2:$H$20000,0,MATCH($C$2,元データ!$E$1:$H$1,0)),元データ!$A$2:$A$20000,$A56,元データ!$D$2:$D$20000,$B56,元データ!$B$2:$B$20000,$C$3,元データ!$C$2:$C$20000,C$5)</f>
        <v>5</v>
      </c>
      <c r="D56" s="16">
        <f>SUMIFS(INDEX(元データ!$E$2:$H$20000,0,MATCH($C$2,元データ!$E$1:$H$1,0)),元データ!$A$2:$A$20000,$A56,元データ!$D$2:$D$20000,$B56,元データ!$B$2:$B$20000,$C$3,元データ!$C$2:$C$20000,D$5)</f>
        <v>1</v>
      </c>
      <c r="E56" s="16">
        <f>SUMIFS(INDEX(元データ!$E$2:$H$20000,0,MATCH($C$2,元データ!$E$1:$H$1,0)),元データ!$A$2:$A$20000,$A56,元データ!$D$2:$D$20000,$B56,元データ!$B$2:$B$20000,$C$3,元データ!$C$2:$C$20000,E$5)</f>
        <v>9</v>
      </c>
      <c r="F56" s="16">
        <f>SUMIFS(INDEX(元データ!$E$2:$H$20000,0,MATCH($C$2,元データ!$E$1:$H$1,0)),元データ!$A$2:$A$20000,$A56,元データ!$D$2:$D$20000,$B56,元データ!$B$2:$B$20000,$C$3,元データ!$C$2:$C$20000,F$5)</f>
        <v>6</v>
      </c>
      <c r="G56" s="16">
        <f>SUMIFS(INDEX(元データ!$E$2:$H$20000,0,MATCH($C$2,元データ!$E$1:$H$1,0)),元データ!$A$2:$A$20000,$A56,元データ!$D$2:$D$20000,$B56,元データ!$B$2:$B$20000,$C$3,元データ!$C$2:$C$20000,G$5)</f>
        <v>5</v>
      </c>
      <c r="H56" s="16">
        <f>SUMIFS(INDEX(元データ!$E$2:$H$20000,0,MATCH($C$2,元データ!$E$1:$H$1,0)),元データ!$A$2:$A$20000,$A56,元データ!$D$2:$D$20000,$B56,元データ!$B$2:$B$20000,$C$3,元データ!$C$2:$C$20000,H$5)</f>
        <v>0</v>
      </c>
      <c r="I56" s="16">
        <f>SUMIFS(INDEX(元データ!$E$2:$H$20000,0,MATCH($C$2,元データ!$E$1:$H$1,0)),元データ!$A$2:$A$20000,$A56,元データ!$D$2:$D$20000,$B56,元データ!$B$2:$B$20000,$C$3,元データ!$C$2:$C$20000,I$5)</f>
        <v>7</v>
      </c>
      <c r="J56" s="16">
        <f>SUMIFS(INDEX(元データ!$E$2:$H$20000,0,MATCH($C$2,元データ!$E$1:$H$1,0)),元データ!$A$2:$A$20000,$A56,元データ!$D$2:$D$20000,$B56,元データ!$B$2:$B$20000,$C$3,元データ!$C$2:$C$20000,J$5)</f>
        <v>7</v>
      </c>
      <c r="K56" s="16">
        <f>SUMIFS(INDEX(元データ!$E$2:$H$20000,0,MATCH($C$2,元データ!$E$1:$H$1,0)),元データ!$A$2:$A$20000,$A56,元データ!$D$2:$D$20000,$B56,元データ!$B$2:$B$20000,$C$3,元データ!$C$2:$C$20000,K$5)</f>
        <v>8</v>
      </c>
      <c r="L56" s="16">
        <f>SUMIFS(INDEX(元データ!$E$2:$H$20000,0,MATCH($C$2,元データ!$E$1:$H$1,0)),元データ!$A$2:$A$20000,$A56,元データ!$D$2:$D$20000,$B56,元データ!$B$2:$B$20000,$C$3,元データ!$C$2:$C$20000,L$5)</f>
        <v>8</v>
      </c>
      <c r="M56" s="16">
        <f>SUMIFS(INDEX(元データ!$E$2:$H$20000,0,MATCH($C$2,元データ!$E$1:$H$1,0)),元データ!$A$2:$A$20000,$A56,元データ!$D$2:$D$20000,$B56,元データ!$B$2:$B$20000,$C$3,元データ!$C$2:$C$20000,M$5)</f>
        <v>7</v>
      </c>
      <c r="N56" s="16">
        <f>SUMIFS(INDEX(元データ!$E$2:$H$20000,0,MATCH($C$2,元データ!$E$1:$H$1,0)),元データ!$A$2:$A$20000,$A56,元データ!$D$2:$D$20000,$B56,元データ!$B$2:$B$20000,$C$3,元データ!$C$2:$C$20000,N$5)</f>
        <v>9</v>
      </c>
      <c r="O56" s="17">
        <f t="shared" si="2"/>
        <v>72</v>
      </c>
      <c r="P56" s="17">
        <f>SUMIFS(INDEX(元データ!$E$2:$H$20000,0,MATCH($C$2,元データ!$E$1:$H$1,0)),元データ!$A$2:$A$20000,$A56,元データ!$D$2:$D$20000,$B56,元データ!$B$2:$B$20000,$D$3)</f>
        <v>0</v>
      </c>
      <c r="Q56" s="25" t="str">
        <f t="shared" si="3"/>
        <v/>
      </c>
    </row>
    <row r="57" spans="1:17" x14ac:dyDescent="0.45">
      <c r="A57" s="14" t="str">
        <f>店舗マスタ!A53</f>
        <v>穂波町店</v>
      </c>
      <c r="B57" s="15" t="s">
        <v>34</v>
      </c>
      <c r="C57" s="16">
        <f>SUMIFS(INDEX(元データ!$E$2:$H$20000,0,MATCH($C$2,元データ!$E$1:$H$1,0)),元データ!$A$2:$A$20000,$A57,元データ!$D$2:$D$20000,$B57,元データ!$B$2:$B$20000,$C$3,元データ!$C$2:$C$20000,C$5)</f>
        <v>2</v>
      </c>
      <c r="D57" s="16">
        <f>SUMIFS(INDEX(元データ!$E$2:$H$20000,0,MATCH($C$2,元データ!$E$1:$H$1,0)),元データ!$A$2:$A$20000,$A57,元データ!$D$2:$D$20000,$B57,元データ!$B$2:$B$20000,$C$3,元データ!$C$2:$C$20000,D$5)</f>
        <v>2</v>
      </c>
      <c r="E57" s="16">
        <f>SUMIFS(INDEX(元データ!$E$2:$H$20000,0,MATCH($C$2,元データ!$E$1:$H$1,0)),元データ!$A$2:$A$20000,$A57,元データ!$D$2:$D$20000,$B57,元データ!$B$2:$B$20000,$C$3,元データ!$C$2:$C$20000,E$5)</f>
        <v>3</v>
      </c>
      <c r="F57" s="16">
        <f>SUMIFS(INDEX(元データ!$E$2:$H$20000,0,MATCH($C$2,元データ!$E$1:$H$1,0)),元データ!$A$2:$A$20000,$A57,元データ!$D$2:$D$20000,$B57,元データ!$B$2:$B$20000,$C$3,元データ!$C$2:$C$20000,F$5)</f>
        <v>3</v>
      </c>
      <c r="G57" s="16">
        <f>SUMIFS(INDEX(元データ!$E$2:$H$20000,0,MATCH($C$2,元データ!$E$1:$H$1,0)),元データ!$A$2:$A$20000,$A57,元データ!$D$2:$D$20000,$B57,元データ!$B$2:$B$20000,$C$3,元データ!$C$2:$C$20000,G$5)</f>
        <v>3</v>
      </c>
      <c r="H57" s="16">
        <f>SUMIFS(INDEX(元データ!$E$2:$H$20000,0,MATCH($C$2,元データ!$E$1:$H$1,0)),元データ!$A$2:$A$20000,$A57,元データ!$D$2:$D$20000,$B57,元データ!$B$2:$B$20000,$C$3,元データ!$C$2:$C$20000,H$5)</f>
        <v>0</v>
      </c>
      <c r="I57" s="16">
        <f>SUMIFS(INDEX(元データ!$E$2:$H$20000,0,MATCH($C$2,元データ!$E$1:$H$1,0)),元データ!$A$2:$A$20000,$A57,元データ!$D$2:$D$20000,$B57,元データ!$B$2:$B$20000,$C$3,元データ!$C$2:$C$20000,I$5)</f>
        <v>4</v>
      </c>
      <c r="J57" s="16">
        <f>SUMIFS(INDEX(元データ!$E$2:$H$20000,0,MATCH($C$2,元データ!$E$1:$H$1,0)),元データ!$A$2:$A$20000,$A57,元データ!$D$2:$D$20000,$B57,元データ!$B$2:$B$20000,$C$3,元データ!$C$2:$C$20000,J$5)</f>
        <v>3</v>
      </c>
      <c r="K57" s="16">
        <f>SUMIFS(INDEX(元データ!$E$2:$H$20000,0,MATCH($C$2,元データ!$E$1:$H$1,0)),元データ!$A$2:$A$20000,$A57,元データ!$D$2:$D$20000,$B57,元データ!$B$2:$B$20000,$C$3,元データ!$C$2:$C$20000,K$5)</f>
        <v>4</v>
      </c>
      <c r="L57" s="16">
        <f>SUMIFS(INDEX(元データ!$E$2:$H$20000,0,MATCH($C$2,元データ!$E$1:$H$1,0)),元データ!$A$2:$A$20000,$A57,元データ!$D$2:$D$20000,$B57,元データ!$B$2:$B$20000,$C$3,元データ!$C$2:$C$20000,L$5)</f>
        <v>4</v>
      </c>
      <c r="M57" s="16">
        <f>SUMIFS(INDEX(元データ!$E$2:$H$20000,0,MATCH($C$2,元データ!$E$1:$H$1,0)),元データ!$A$2:$A$20000,$A57,元データ!$D$2:$D$20000,$B57,元データ!$B$2:$B$20000,$C$3,元データ!$C$2:$C$20000,M$5)</f>
        <v>4</v>
      </c>
      <c r="N57" s="16">
        <f>SUMIFS(INDEX(元データ!$E$2:$H$20000,0,MATCH($C$2,元データ!$E$1:$H$1,0)),元データ!$A$2:$A$20000,$A57,元データ!$D$2:$D$20000,$B57,元データ!$B$2:$B$20000,$C$3,元データ!$C$2:$C$20000,N$5)</f>
        <v>4</v>
      </c>
      <c r="O57" s="17">
        <f t="shared" si="2"/>
        <v>36</v>
      </c>
      <c r="P57" s="17">
        <f>SUMIFS(INDEX(元データ!$E$2:$H$20000,0,MATCH($C$2,元データ!$E$1:$H$1,0)),元データ!$A$2:$A$20000,$A57,元データ!$D$2:$D$20000,$B57,元データ!$B$2:$B$20000,$D$3)</f>
        <v>0</v>
      </c>
      <c r="Q57" s="25" t="str">
        <f t="shared" si="3"/>
        <v/>
      </c>
    </row>
    <row r="58" spans="1:17" x14ac:dyDescent="0.45">
      <c r="A58" s="14" t="str">
        <f>店舗マスタ!A54</f>
        <v>竹原店</v>
      </c>
      <c r="B58" s="15" t="s">
        <v>34</v>
      </c>
      <c r="C58" s="16">
        <f>SUMIFS(INDEX(元データ!$E$2:$H$20000,0,MATCH($C$2,元データ!$E$1:$H$1,0)),元データ!$A$2:$A$20000,$A58,元データ!$D$2:$D$20000,$B58,元データ!$B$2:$B$20000,$C$3,元データ!$C$2:$C$20000,C$5)</f>
        <v>0</v>
      </c>
      <c r="D58" s="16">
        <f>SUMIFS(INDEX(元データ!$E$2:$H$20000,0,MATCH($C$2,元データ!$E$1:$H$1,0)),元データ!$A$2:$A$20000,$A58,元データ!$D$2:$D$20000,$B58,元データ!$B$2:$B$20000,$C$3,元データ!$C$2:$C$20000,D$5)</f>
        <v>0</v>
      </c>
      <c r="E58" s="16">
        <f>SUMIFS(INDEX(元データ!$E$2:$H$20000,0,MATCH($C$2,元データ!$E$1:$H$1,0)),元データ!$A$2:$A$20000,$A58,元データ!$D$2:$D$20000,$B58,元データ!$B$2:$B$20000,$C$3,元データ!$C$2:$C$20000,E$5)</f>
        <v>0</v>
      </c>
      <c r="F58" s="16">
        <f>SUMIFS(INDEX(元データ!$E$2:$H$20000,0,MATCH($C$2,元データ!$E$1:$H$1,0)),元データ!$A$2:$A$20000,$A58,元データ!$D$2:$D$20000,$B58,元データ!$B$2:$B$20000,$C$3,元データ!$C$2:$C$20000,F$5)</f>
        <v>0</v>
      </c>
      <c r="G58" s="16">
        <f>SUMIFS(INDEX(元データ!$E$2:$H$20000,0,MATCH($C$2,元データ!$E$1:$H$1,0)),元データ!$A$2:$A$20000,$A58,元データ!$D$2:$D$20000,$B58,元データ!$B$2:$B$20000,$C$3,元データ!$C$2:$C$20000,G$5)</f>
        <v>0</v>
      </c>
      <c r="H58" s="16">
        <f>SUMIFS(INDEX(元データ!$E$2:$H$20000,0,MATCH($C$2,元データ!$E$1:$H$1,0)),元データ!$A$2:$A$20000,$A58,元データ!$D$2:$D$20000,$B58,元データ!$B$2:$B$20000,$C$3,元データ!$C$2:$C$20000,H$5)</f>
        <v>0</v>
      </c>
      <c r="I58" s="16">
        <f>SUMIFS(INDEX(元データ!$E$2:$H$20000,0,MATCH($C$2,元データ!$E$1:$H$1,0)),元データ!$A$2:$A$20000,$A58,元データ!$D$2:$D$20000,$B58,元データ!$B$2:$B$20000,$C$3,元データ!$C$2:$C$20000,I$5)</f>
        <v>0</v>
      </c>
      <c r="J58" s="16">
        <f>SUMIFS(INDEX(元データ!$E$2:$H$20000,0,MATCH($C$2,元データ!$E$1:$H$1,0)),元データ!$A$2:$A$20000,$A58,元データ!$D$2:$D$20000,$B58,元データ!$B$2:$B$20000,$C$3,元データ!$C$2:$C$20000,J$5)</f>
        <v>0</v>
      </c>
      <c r="K58" s="16">
        <f>SUMIFS(INDEX(元データ!$E$2:$H$20000,0,MATCH($C$2,元データ!$E$1:$H$1,0)),元データ!$A$2:$A$20000,$A58,元データ!$D$2:$D$20000,$B58,元データ!$B$2:$B$20000,$C$3,元データ!$C$2:$C$20000,K$5)</f>
        <v>0</v>
      </c>
      <c r="L58" s="16">
        <f>SUMIFS(INDEX(元データ!$E$2:$H$20000,0,MATCH($C$2,元データ!$E$1:$H$1,0)),元データ!$A$2:$A$20000,$A58,元データ!$D$2:$D$20000,$B58,元データ!$B$2:$B$20000,$C$3,元データ!$C$2:$C$20000,L$5)</f>
        <v>0</v>
      </c>
      <c r="M58" s="16">
        <f>SUMIFS(INDEX(元データ!$E$2:$H$20000,0,MATCH($C$2,元データ!$E$1:$H$1,0)),元データ!$A$2:$A$20000,$A58,元データ!$D$2:$D$20000,$B58,元データ!$B$2:$B$20000,$C$3,元データ!$C$2:$C$20000,M$5)</f>
        <v>16</v>
      </c>
      <c r="N58" s="16">
        <f>SUMIFS(INDEX(元データ!$E$2:$H$20000,0,MATCH($C$2,元データ!$E$1:$H$1,0)),元データ!$A$2:$A$20000,$A58,元データ!$D$2:$D$20000,$B58,元データ!$B$2:$B$20000,$C$3,元データ!$C$2:$C$20000,N$5)</f>
        <v>14</v>
      </c>
      <c r="O58" s="17">
        <f t="shared" si="2"/>
        <v>30</v>
      </c>
      <c r="P58" s="17">
        <f>SUMIFS(INDEX(元データ!$E$2:$H$20000,0,MATCH($C$2,元データ!$E$1:$H$1,0)),元データ!$A$2:$A$20000,$A58,元データ!$D$2:$D$20000,$B58,元データ!$B$2:$B$20000,$D$3)</f>
        <v>0</v>
      </c>
      <c r="Q58" s="25" t="str">
        <f t="shared" si="3"/>
        <v/>
      </c>
    </row>
  </sheetData>
  <phoneticPr fontId="2"/>
  <dataValidations count="1">
    <dataValidation type="list" allowBlank="1" showInputMessage="1" showErrorMessage="1" sqref="C2" xr:uid="{69135E90-22B2-496A-876B-4F8C0731CD69}">
      <formula1>"売上金額,商品点数,客数,利用数"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2D28-AF30-43EC-8519-0D9BC5A9D9B1}">
  <dimension ref="A1:Q747"/>
  <sheetViews>
    <sheetView workbookViewId="0">
      <pane ySplit="5" topLeftCell="A276" activePane="bottomLeft" state="frozen"/>
      <selection pane="bottomLeft"/>
    </sheetView>
  </sheetViews>
  <sheetFormatPr defaultRowHeight="18" x14ac:dyDescent="0.45"/>
  <cols>
    <col min="1" max="1" width="16.69921875" customWidth="1"/>
    <col min="2" max="2" width="15.796875" customWidth="1"/>
    <col min="3" max="17" width="9.69921875" customWidth="1"/>
  </cols>
  <sheetData>
    <row r="1" spans="1:17" ht="22.2" x14ac:dyDescent="0.45">
      <c r="A1" s="4" t="s">
        <v>114</v>
      </c>
    </row>
    <row r="3" spans="1:17" x14ac:dyDescent="0.45">
      <c r="A3" t="s">
        <v>115</v>
      </c>
    </row>
    <row r="5" spans="1:17" x14ac:dyDescent="0.45">
      <c r="A5" s="6" t="s">
        <v>0</v>
      </c>
      <c r="B5" s="6" t="s">
        <v>3</v>
      </c>
      <c r="C5" s="20">
        <v>8</v>
      </c>
      <c r="D5" s="20">
        <v>9</v>
      </c>
      <c r="E5" s="20">
        <v>10</v>
      </c>
      <c r="F5" s="20">
        <v>11</v>
      </c>
      <c r="G5" s="20">
        <v>12</v>
      </c>
      <c r="H5" s="20">
        <v>1</v>
      </c>
      <c r="I5" s="20">
        <v>2</v>
      </c>
      <c r="J5" s="20">
        <v>3</v>
      </c>
      <c r="K5" s="20">
        <v>4</v>
      </c>
      <c r="L5" s="20">
        <v>5</v>
      </c>
      <c r="M5" s="20">
        <v>6</v>
      </c>
      <c r="N5" s="20">
        <v>7</v>
      </c>
      <c r="O5" s="6" t="s">
        <v>23</v>
      </c>
      <c r="P5" s="6" t="s">
        <v>116</v>
      </c>
      <c r="Q5" s="6" t="s">
        <v>22</v>
      </c>
    </row>
    <row r="6" spans="1:17" x14ac:dyDescent="0.45">
      <c r="A6" t="s">
        <v>35</v>
      </c>
      <c r="B6" t="s">
        <v>27</v>
      </c>
      <c r="C6" s="26">
        <f>SUMIFS(INDEX(元データ_14項目!$D$2:$Q$1300,0,MATCH($B6,元データ_14項目!$D$1:$Q$1,0)),元データ_14項目!$A$2:$A$1300,$A6,元データ_14項目!$B$2:$B$1300,"本年",元データ_14項目!$C$2:$C$1300,C$5)</f>
        <v>909</v>
      </c>
      <c r="D6" s="26">
        <f>SUMIFS(INDEX(元データ_14項目!$D$2:$Q$1300,0,MATCH($B6,元データ_14項目!$D$1:$Q$1,0)),元データ_14項目!$A$2:$A$1300,$A6,元データ_14項目!$B$2:$B$1300,"本年",元データ_14項目!$C$2:$C$1300,D$5)</f>
        <v>1076</v>
      </c>
      <c r="E6" s="26">
        <f>SUMIFS(INDEX(元データ_14項目!$D$2:$Q$1300,0,MATCH($B6,元データ_14項目!$D$1:$Q$1,0)),元データ_14項目!$A$2:$A$1300,$A6,元データ_14項目!$B$2:$B$1300,"本年",元データ_14項目!$C$2:$C$1300,E$5)</f>
        <v>1328</v>
      </c>
      <c r="F6" s="26">
        <f>SUMIFS(INDEX(元データ_14項目!$D$2:$Q$1300,0,MATCH($B6,元データ_14項目!$D$1:$Q$1,0)),元データ_14項目!$A$2:$A$1300,$A6,元データ_14項目!$B$2:$B$1300,"本年",元データ_14項目!$C$2:$C$1300,F$5)</f>
        <v>1295</v>
      </c>
      <c r="G6" s="26">
        <f>SUMIFS(INDEX(元データ_14項目!$D$2:$Q$1300,0,MATCH($B6,元データ_14項目!$D$1:$Q$1,0)),元データ_14項目!$A$2:$A$1300,$A6,元データ_14項目!$B$2:$B$1300,"本年",元データ_14項目!$C$2:$C$1300,G$5)</f>
        <v>1277</v>
      </c>
      <c r="H6" s="26">
        <f>SUMIFS(INDEX(元データ_14項目!$D$2:$Q$1300,0,MATCH($B6,元データ_14項目!$D$1:$Q$1,0)),元データ_14項目!$A$2:$A$1300,$A6,元データ_14項目!$B$2:$B$1300,"本年",元データ_14項目!$C$2:$C$1300,H$5)</f>
        <v>931</v>
      </c>
      <c r="I6" s="26">
        <f>SUMIFS(INDEX(元データ_14項目!$D$2:$Q$1300,0,MATCH($B6,元データ_14項目!$D$1:$Q$1,0)),元データ_14項目!$A$2:$A$1300,$A6,元データ_14項目!$B$2:$B$1300,"本年",元データ_14項目!$C$2:$C$1300,I$5)</f>
        <v>911</v>
      </c>
      <c r="J6" s="26">
        <f>SUMIFS(INDEX(元データ_14項目!$D$2:$Q$1300,0,MATCH($B6,元データ_14項目!$D$1:$Q$1,0)),元データ_14項目!$A$2:$A$1300,$A6,元データ_14項目!$B$2:$B$1300,"本年",元データ_14項目!$C$2:$C$1300,J$5)</f>
        <v>1146</v>
      </c>
      <c r="K6" s="26">
        <f>SUMIFS(INDEX(元データ_14項目!$D$2:$Q$1300,0,MATCH($B6,元データ_14項目!$D$1:$Q$1,0)),元データ_14項目!$A$2:$A$1300,$A6,元データ_14項目!$B$2:$B$1300,"本年",元データ_14項目!$C$2:$C$1300,K$5)</f>
        <v>1104</v>
      </c>
      <c r="L6" s="26">
        <f>SUMIFS(INDEX(元データ_14項目!$D$2:$Q$1300,0,MATCH($B6,元データ_14項目!$D$1:$Q$1,0)),元データ_14項目!$A$2:$A$1300,$A6,元データ_14項目!$B$2:$B$1300,"本年",元データ_14項目!$C$2:$C$1300,L$5)</f>
        <v>1000</v>
      </c>
      <c r="M6" s="26">
        <f>SUMIFS(INDEX(元データ_14項目!$D$2:$Q$1300,0,MATCH($B6,元データ_14項目!$D$1:$Q$1,0)),元データ_14項目!$A$2:$A$1300,$A6,元データ_14項目!$B$2:$B$1300,"本年",元データ_14項目!$C$2:$C$1300,M$5)</f>
        <v>1061</v>
      </c>
      <c r="N6" s="26">
        <f>SUMIFS(INDEX(元データ_14項目!$D$2:$Q$1300,0,MATCH($B6,元データ_14項目!$D$1:$Q$1,0)),元データ_14項目!$A$2:$A$1300,$A6,元データ_14項目!$B$2:$B$1300,"本年",元データ_14項目!$C$2:$C$1300,N$5)</f>
        <v>920</v>
      </c>
      <c r="O6" s="26">
        <f>SUM(C6:N6)</f>
        <v>12958</v>
      </c>
      <c r="P6" s="26">
        <f>SUMIFS(INDEX(元データ_14項目!$D$2:$Q$1300,0,MATCH($B6,元データ_14項目!$D$1:$Q$1,0)),元データ_14項目!$A$2:$A$1300,$A6,元データ_14項目!$B$2:$B$1300,"前年")</f>
        <v>16011</v>
      </c>
      <c r="Q6" s="7">
        <f>IFERROR(O6/P6,"")</f>
        <v>0.80931859346699142</v>
      </c>
    </row>
    <row r="7" spans="1:17" x14ac:dyDescent="0.45">
      <c r="A7" t="s">
        <v>35</v>
      </c>
      <c r="B7" t="s">
        <v>88</v>
      </c>
      <c r="C7" s="26">
        <f>SUMIFS(INDEX(元データ_14項目!$D$2:$Q$1300,0,MATCH($B7,元データ_14項目!$D$1:$Q$1,0)),元データ_14項目!$A$2:$A$1300,$A7,元データ_14項目!$B$2:$B$1300,"本年",元データ_14項目!$C$2:$C$1300,C$5)</f>
        <v>62</v>
      </c>
      <c r="D7" s="26">
        <f>SUMIFS(INDEX(元データ_14項目!$D$2:$Q$1300,0,MATCH($B7,元データ_14項目!$D$1:$Q$1,0)),元データ_14項目!$A$2:$A$1300,$A7,元データ_14項目!$B$2:$B$1300,"本年",元データ_14項目!$C$2:$C$1300,D$5)</f>
        <v>47</v>
      </c>
      <c r="E7" s="26">
        <f>SUMIFS(INDEX(元データ_14項目!$D$2:$Q$1300,0,MATCH($B7,元データ_14項目!$D$1:$Q$1,0)),元データ_14項目!$A$2:$A$1300,$A7,元データ_14項目!$B$2:$B$1300,"本年",元データ_14項目!$C$2:$C$1300,E$5)</f>
        <v>86</v>
      </c>
      <c r="F7" s="26">
        <f>SUMIFS(INDEX(元データ_14項目!$D$2:$Q$1300,0,MATCH($B7,元データ_14項目!$D$1:$Q$1,0)),元データ_14項目!$A$2:$A$1300,$A7,元データ_14項目!$B$2:$B$1300,"本年",元データ_14項目!$C$2:$C$1300,F$5)</f>
        <v>57</v>
      </c>
      <c r="G7" s="26">
        <f>SUMIFS(INDEX(元データ_14項目!$D$2:$Q$1300,0,MATCH($B7,元データ_14項目!$D$1:$Q$1,0)),元データ_14項目!$A$2:$A$1300,$A7,元データ_14項目!$B$2:$B$1300,"本年",元データ_14項目!$C$2:$C$1300,G$5)</f>
        <v>46</v>
      </c>
      <c r="H7" s="26">
        <f>SUMIFS(INDEX(元データ_14項目!$D$2:$Q$1300,0,MATCH($B7,元データ_14項目!$D$1:$Q$1,0)),元データ_14項目!$A$2:$A$1300,$A7,元データ_14項目!$B$2:$B$1300,"本年",元データ_14項目!$C$2:$C$1300,H$5)</f>
        <v>20</v>
      </c>
      <c r="I7" s="26">
        <f>SUMIFS(INDEX(元データ_14項目!$D$2:$Q$1300,0,MATCH($B7,元データ_14項目!$D$1:$Q$1,0)),元データ_14項目!$A$2:$A$1300,$A7,元データ_14項目!$B$2:$B$1300,"本年",元データ_14項目!$C$2:$C$1300,I$5)</f>
        <v>38</v>
      </c>
      <c r="J7" s="26">
        <f>SUMIFS(INDEX(元データ_14項目!$D$2:$Q$1300,0,MATCH($B7,元データ_14項目!$D$1:$Q$1,0)),元データ_14項目!$A$2:$A$1300,$A7,元データ_14項目!$B$2:$B$1300,"本年",元データ_14項目!$C$2:$C$1300,J$5)</f>
        <v>36</v>
      </c>
      <c r="K7" s="26">
        <f>SUMIFS(INDEX(元データ_14項目!$D$2:$Q$1300,0,MATCH($B7,元データ_14項目!$D$1:$Q$1,0)),元データ_14項目!$A$2:$A$1300,$A7,元データ_14項目!$B$2:$B$1300,"本年",元データ_14項目!$C$2:$C$1300,K$5)</f>
        <v>38</v>
      </c>
      <c r="L7" s="26">
        <f>SUMIFS(INDEX(元データ_14項目!$D$2:$Q$1300,0,MATCH($B7,元データ_14項目!$D$1:$Q$1,0)),元データ_14項目!$A$2:$A$1300,$A7,元データ_14項目!$B$2:$B$1300,"本年",元データ_14項目!$C$2:$C$1300,L$5)</f>
        <v>43</v>
      </c>
      <c r="M7" s="26">
        <f>SUMIFS(INDEX(元データ_14項目!$D$2:$Q$1300,0,MATCH($B7,元データ_14項目!$D$1:$Q$1,0)),元データ_14項目!$A$2:$A$1300,$A7,元データ_14項目!$B$2:$B$1300,"本年",元データ_14項目!$C$2:$C$1300,M$5)</f>
        <v>56</v>
      </c>
      <c r="N7" s="26">
        <f>SUMIFS(INDEX(元データ_14項目!$D$2:$Q$1300,0,MATCH($B7,元データ_14項目!$D$1:$Q$1,0)),元データ_14項目!$A$2:$A$1300,$A7,元データ_14項目!$B$2:$B$1300,"本年",元データ_14項目!$C$2:$C$1300,N$5)</f>
        <v>40</v>
      </c>
      <c r="O7" s="26">
        <f t="shared" ref="O7:O70" si="0">SUM(C7:N7)</f>
        <v>569</v>
      </c>
      <c r="P7" s="26">
        <f>SUMIFS(INDEX(元データ_14項目!$D$2:$Q$1300,0,MATCH($B7,元データ_14項目!$D$1:$Q$1,0)),元データ_14項目!$A$2:$A$1300,$A7,元データ_14項目!$B$2:$B$1300,"前年")</f>
        <v>632</v>
      </c>
      <c r="Q7" s="7">
        <f t="shared" ref="Q7:Q70" si="1">IFERROR(O7/P7,"")</f>
        <v>0.90031645569620256</v>
      </c>
    </row>
    <row r="8" spans="1:17" x14ac:dyDescent="0.45">
      <c r="A8" t="s">
        <v>35</v>
      </c>
      <c r="B8" t="s">
        <v>89</v>
      </c>
      <c r="C8" s="26">
        <f>SUMIFS(INDEX(元データ_14項目!$D$2:$Q$1300,0,MATCH($B8,元データ_14項目!$D$1:$Q$1,0)),元データ_14項目!$A$2:$A$1300,$A8,元データ_14項目!$B$2:$B$1300,"本年",元データ_14項目!$C$2:$C$1300,C$5)</f>
        <v>40</v>
      </c>
      <c r="D8" s="26">
        <f>SUMIFS(INDEX(元データ_14項目!$D$2:$Q$1300,0,MATCH($B8,元データ_14項目!$D$1:$Q$1,0)),元データ_14項目!$A$2:$A$1300,$A8,元データ_14項目!$B$2:$B$1300,"本年",元データ_14項目!$C$2:$C$1300,D$5)</f>
        <v>38</v>
      </c>
      <c r="E8" s="26">
        <f>SUMIFS(INDEX(元データ_14項目!$D$2:$Q$1300,0,MATCH($B8,元データ_14項目!$D$1:$Q$1,0)),元データ_14項目!$A$2:$A$1300,$A8,元データ_14項目!$B$2:$B$1300,"本年",元データ_14項目!$C$2:$C$1300,E$5)</f>
        <v>78</v>
      </c>
      <c r="F8" s="26">
        <f>SUMIFS(INDEX(元データ_14項目!$D$2:$Q$1300,0,MATCH($B8,元データ_14項目!$D$1:$Q$1,0)),元データ_14項目!$A$2:$A$1300,$A8,元データ_14項目!$B$2:$B$1300,"本年",元データ_14項目!$C$2:$C$1300,F$5)</f>
        <v>113</v>
      </c>
      <c r="G8" s="26">
        <f>SUMIFS(INDEX(元データ_14項目!$D$2:$Q$1300,0,MATCH($B8,元データ_14項目!$D$1:$Q$1,0)),元データ_14項目!$A$2:$A$1300,$A8,元データ_14項目!$B$2:$B$1300,"本年",元データ_14項目!$C$2:$C$1300,G$5)</f>
        <v>40</v>
      </c>
      <c r="H8" s="26">
        <f>SUMIFS(INDEX(元データ_14項目!$D$2:$Q$1300,0,MATCH($B8,元データ_14項目!$D$1:$Q$1,0)),元データ_14項目!$A$2:$A$1300,$A8,元データ_14項目!$B$2:$B$1300,"本年",元データ_14項目!$C$2:$C$1300,H$5)</f>
        <v>15</v>
      </c>
      <c r="I8" s="26">
        <f>SUMIFS(INDEX(元データ_14項目!$D$2:$Q$1300,0,MATCH($B8,元データ_14項目!$D$1:$Q$1,0)),元データ_14項目!$A$2:$A$1300,$A8,元データ_14項目!$B$2:$B$1300,"本年",元データ_14項目!$C$2:$C$1300,I$5)</f>
        <v>20</v>
      </c>
      <c r="J8" s="26">
        <f>SUMIFS(INDEX(元データ_14項目!$D$2:$Q$1300,0,MATCH($B8,元データ_14項目!$D$1:$Q$1,0)),元データ_14項目!$A$2:$A$1300,$A8,元データ_14項目!$B$2:$B$1300,"本年",元データ_14項目!$C$2:$C$1300,J$5)</f>
        <v>28</v>
      </c>
      <c r="K8" s="26">
        <f>SUMIFS(INDEX(元データ_14項目!$D$2:$Q$1300,0,MATCH($B8,元データ_14項目!$D$1:$Q$1,0)),元データ_14項目!$A$2:$A$1300,$A8,元データ_14項目!$B$2:$B$1300,"本年",元データ_14項目!$C$2:$C$1300,K$5)</f>
        <v>52</v>
      </c>
      <c r="L8" s="26">
        <f>SUMIFS(INDEX(元データ_14項目!$D$2:$Q$1300,0,MATCH($B8,元データ_14項目!$D$1:$Q$1,0)),元データ_14項目!$A$2:$A$1300,$A8,元データ_14項目!$B$2:$B$1300,"本年",元データ_14項目!$C$2:$C$1300,L$5)</f>
        <v>32</v>
      </c>
      <c r="M8" s="26">
        <f>SUMIFS(INDEX(元データ_14項目!$D$2:$Q$1300,0,MATCH($B8,元データ_14項目!$D$1:$Q$1,0)),元データ_14項目!$A$2:$A$1300,$A8,元データ_14項目!$B$2:$B$1300,"本年",元データ_14項目!$C$2:$C$1300,M$5)</f>
        <v>48</v>
      </c>
      <c r="N8" s="26">
        <f>SUMIFS(INDEX(元データ_14項目!$D$2:$Q$1300,0,MATCH($B8,元データ_14項目!$D$1:$Q$1,0)),元データ_14項目!$A$2:$A$1300,$A8,元データ_14項目!$B$2:$B$1300,"本年",元データ_14項目!$C$2:$C$1300,N$5)</f>
        <v>42</v>
      </c>
      <c r="O8" s="26">
        <f t="shared" si="0"/>
        <v>546</v>
      </c>
      <c r="P8" s="26">
        <f>SUMIFS(INDEX(元データ_14項目!$D$2:$Q$1300,0,MATCH($B8,元データ_14項目!$D$1:$Q$1,0)),元データ_14項目!$A$2:$A$1300,$A8,元データ_14項目!$B$2:$B$1300,"前年")</f>
        <v>571</v>
      </c>
      <c r="Q8" s="7">
        <f t="shared" si="1"/>
        <v>0.95621716287215408</v>
      </c>
    </row>
    <row r="9" spans="1:17" x14ac:dyDescent="0.45">
      <c r="A9" t="s">
        <v>35</v>
      </c>
      <c r="B9" t="s">
        <v>90</v>
      </c>
      <c r="C9" s="26">
        <f>SUMIFS(INDEX(元データ_14項目!$D$2:$Q$1300,0,MATCH($B9,元データ_14項目!$D$1:$Q$1,0)),元データ_14項目!$A$2:$A$1300,$A9,元データ_14項目!$B$2:$B$1300,"本年",元データ_14項目!$C$2:$C$1300,C$5)</f>
        <v>64</v>
      </c>
      <c r="D9" s="26">
        <f>SUMIFS(INDEX(元データ_14項目!$D$2:$Q$1300,0,MATCH($B9,元データ_14項目!$D$1:$Q$1,0)),元データ_14項目!$A$2:$A$1300,$A9,元データ_14項目!$B$2:$B$1300,"本年",元データ_14項目!$C$2:$C$1300,D$5)</f>
        <v>29</v>
      </c>
      <c r="E9" s="26">
        <f>SUMIFS(INDEX(元データ_14項目!$D$2:$Q$1300,0,MATCH($B9,元データ_14項目!$D$1:$Q$1,0)),元データ_14項目!$A$2:$A$1300,$A9,元データ_14項目!$B$2:$B$1300,"本年",元データ_14項目!$C$2:$C$1300,E$5)</f>
        <v>72</v>
      </c>
      <c r="F9" s="26">
        <f>SUMIFS(INDEX(元データ_14項目!$D$2:$Q$1300,0,MATCH($B9,元データ_14項目!$D$1:$Q$1,0)),元データ_14項目!$A$2:$A$1300,$A9,元データ_14項目!$B$2:$B$1300,"本年",元データ_14項目!$C$2:$C$1300,F$5)</f>
        <v>109</v>
      </c>
      <c r="G9" s="26">
        <f>SUMIFS(INDEX(元データ_14項目!$D$2:$Q$1300,0,MATCH($B9,元データ_14項目!$D$1:$Q$1,0)),元データ_14項目!$A$2:$A$1300,$A9,元データ_14項目!$B$2:$B$1300,"本年",元データ_14項目!$C$2:$C$1300,G$5)</f>
        <v>188</v>
      </c>
      <c r="H9" s="26">
        <f>SUMIFS(INDEX(元データ_14項目!$D$2:$Q$1300,0,MATCH($B9,元データ_14項目!$D$1:$Q$1,0)),元データ_14項目!$A$2:$A$1300,$A9,元データ_14項目!$B$2:$B$1300,"本年",元データ_14項目!$C$2:$C$1300,H$5)</f>
        <v>125</v>
      </c>
      <c r="I9" s="26">
        <f>SUMIFS(INDEX(元データ_14項目!$D$2:$Q$1300,0,MATCH($B9,元データ_14項目!$D$1:$Q$1,0)),元データ_14項目!$A$2:$A$1300,$A9,元データ_14項目!$B$2:$B$1300,"本年",元データ_14項目!$C$2:$C$1300,I$5)</f>
        <v>82</v>
      </c>
      <c r="J9" s="26">
        <f>SUMIFS(INDEX(元データ_14項目!$D$2:$Q$1300,0,MATCH($B9,元データ_14項目!$D$1:$Q$1,0)),元データ_14項目!$A$2:$A$1300,$A9,元データ_14項目!$B$2:$B$1300,"本年",元データ_14項目!$C$2:$C$1300,J$5)</f>
        <v>195</v>
      </c>
      <c r="K9" s="26">
        <f>SUMIFS(INDEX(元データ_14項目!$D$2:$Q$1300,0,MATCH($B9,元データ_14項目!$D$1:$Q$1,0)),元データ_14項目!$A$2:$A$1300,$A9,元データ_14項目!$B$2:$B$1300,"本年",元データ_14項目!$C$2:$C$1300,K$5)</f>
        <v>244</v>
      </c>
      <c r="L9" s="26">
        <f>SUMIFS(INDEX(元データ_14項目!$D$2:$Q$1300,0,MATCH($B9,元データ_14項目!$D$1:$Q$1,0)),元データ_14項目!$A$2:$A$1300,$A9,元データ_14項目!$B$2:$B$1300,"本年",元データ_14項目!$C$2:$C$1300,L$5)</f>
        <v>146</v>
      </c>
      <c r="M9" s="26">
        <f>SUMIFS(INDEX(元データ_14項目!$D$2:$Q$1300,0,MATCH($B9,元データ_14項目!$D$1:$Q$1,0)),元データ_14項目!$A$2:$A$1300,$A9,元データ_14項目!$B$2:$B$1300,"本年",元データ_14項目!$C$2:$C$1300,M$5)</f>
        <v>162</v>
      </c>
      <c r="N9" s="26">
        <f>SUMIFS(INDEX(元データ_14項目!$D$2:$Q$1300,0,MATCH($B9,元データ_14項目!$D$1:$Q$1,0)),元データ_14項目!$A$2:$A$1300,$A9,元データ_14項目!$B$2:$B$1300,"本年",元データ_14項目!$C$2:$C$1300,N$5)</f>
        <v>97</v>
      </c>
      <c r="O9" s="26">
        <f t="shared" si="0"/>
        <v>1513</v>
      </c>
      <c r="P9" s="26">
        <f>SUMIFS(INDEX(元データ_14項目!$D$2:$Q$1300,0,MATCH($B9,元データ_14項目!$D$1:$Q$1,0)),元データ_14項目!$A$2:$A$1300,$A9,元データ_14項目!$B$2:$B$1300,"前年")</f>
        <v>1783</v>
      </c>
      <c r="Q9" s="7">
        <f t="shared" si="1"/>
        <v>0.84856982613572629</v>
      </c>
    </row>
    <row r="10" spans="1:17" x14ac:dyDescent="0.45">
      <c r="A10" t="s">
        <v>35</v>
      </c>
      <c r="B10" t="s">
        <v>91</v>
      </c>
      <c r="C10" s="26">
        <f>SUMIFS(INDEX(元データ_14項目!$D$2:$Q$1300,0,MATCH($B10,元データ_14項目!$D$1:$Q$1,0)),元データ_14項目!$A$2:$A$1300,$A10,元データ_14項目!$B$2:$B$1300,"本年",元データ_14項目!$C$2:$C$1300,C$5)</f>
        <v>14</v>
      </c>
      <c r="D10" s="26">
        <f>SUMIFS(INDEX(元データ_14項目!$D$2:$Q$1300,0,MATCH($B10,元データ_14項目!$D$1:$Q$1,0)),元データ_14項目!$A$2:$A$1300,$A10,元データ_14項目!$B$2:$B$1300,"本年",元データ_14項目!$C$2:$C$1300,D$5)</f>
        <v>34</v>
      </c>
      <c r="E10" s="26">
        <f>SUMIFS(INDEX(元データ_14項目!$D$2:$Q$1300,0,MATCH($B10,元データ_14項目!$D$1:$Q$1,0)),元データ_14項目!$A$2:$A$1300,$A10,元データ_14項目!$B$2:$B$1300,"本年",元データ_14項目!$C$2:$C$1300,E$5)</f>
        <v>70</v>
      </c>
      <c r="F10" s="26">
        <f>SUMIFS(INDEX(元データ_14項目!$D$2:$Q$1300,0,MATCH($B10,元データ_14項目!$D$1:$Q$1,0)),元データ_14項目!$A$2:$A$1300,$A10,元データ_14項目!$B$2:$B$1300,"本年",元データ_14項目!$C$2:$C$1300,F$5)</f>
        <v>73</v>
      </c>
      <c r="G10" s="26">
        <f>SUMIFS(INDEX(元データ_14項目!$D$2:$Q$1300,0,MATCH($B10,元データ_14項目!$D$1:$Q$1,0)),元データ_14項目!$A$2:$A$1300,$A10,元データ_14項目!$B$2:$B$1300,"本年",元データ_14項目!$C$2:$C$1300,G$5)</f>
        <v>19</v>
      </c>
      <c r="H10" s="26">
        <f>SUMIFS(INDEX(元データ_14項目!$D$2:$Q$1300,0,MATCH($B10,元データ_14項目!$D$1:$Q$1,0)),元データ_14項目!$A$2:$A$1300,$A10,元データ_14項目!$B$2:$B$1300,"本年",元データ_14項目!$C$2:$C$1300,H$5)</f>
        <v>4</v>
      </c>
      <c r="I10" s="26">
        <f>SUMIFS(INDEX(元データ_14項目!$D$2:$Q$1300,0,MATCH($B10,元データ_14項目!$D$1:$Q$1,0)),元データ_14項目!$A$2:$A$1300,$A10,元データ_14項目!$B$2:$B$1300,"本年",元データ_14項目!$C$2:$C$1300,I$5)</f>
        <v>29</v>
      </c>
      <c r="J10" s="26">
        <f>SUMIFS(INDEX(元データ_14項目!$D$2:$Q$1300,0,MATCH($B10,元データ_14項目!$D$1:$Q$1,0)),元データ_14項目!$A$2:$A$1300,$A10,元データ_14項目!$B$2:$B$1300,"本年",元データ_14項目!$C$2:$C$1300,J$5)</f>
        <v>11</v>
      </c>
      <c r="K10" s="26">
        <f>SUMIFS(INDEX(元データ_14項目!$D$2:$Q$1300,0,MATCH($B10,元データ_14項目!$D$1:$Q$1,0)),元データ_14項目!$A$2:$A$1300,$A10,元データ_14項目!$B$2:$B$1300,"本年",元データ_14項目!$C$2:$C$1300,K$5)</f>
        <v>21</v>
      </c>
      <c r="L10" s="26">
        <f>SUMIFS(INDEX(元データ_14項目!$D$2:$Q$1300,0,MATCH($B10,元データ_14項目!$D$1:$Q$1,0)),元データ_14項目!$A$2:$A$1300,$A10,元データ_14項目!$B$2:$B$1300,"本年",元データ_14項目!$C$2:$C$1300,L$5)</f>
        <v>33</v>
      </c>
      <c r="M10" s="26">
        <f>SUMIFS(INDEX(元データ_14項目!$D$2:$Q$1300,0,MATCH($B10,元データ_14項目!$D$1:$Q$1,0)),元データ_14項目!$A$2:$A$1300,$A10,元データ_14項目!$B$2:$B$1300,"本年",元データ_14項目!$C$2:$C$1300,M$5)</f>
        <v>27</v>
      </c>
      <c r="N10" s="26">
        <f>SUMIFS(INDEX(元データ_14項目!$D$2:$Q$1300,0,MATCH($B10,元データ_14項目!$D$1:$Q$1,0)),元データ_14項目!$A$2:$A$1300,$A10,元データ_14項目!$B$2:$B$1300,"本年",元データ_14項目!$C$2:$C$1300,N$5)</f>
        <v>14</v>
      </c>
      <c r="O10" s="26">
        <f t="shared" si="0"/>
        <v>349</v>
      </c>
      <c r="P10" s="26">
        <f>SUMIFS(INDEX(元データ_14項目!$D$2:$Q$1300,0,MATCH($B10,元データ_14項目!$D$1:$Q$1,0)),元データ_14項目!$A$2:$A$1300,$A10,元データ_14項目!$B$2:$B$1300,"前年")</f>
        <v>283</v>
      </c>
      <c r="Q10" s="7">
        <f t="shared" si="1"/>
        <v>1.2332155477031803</v>
      </c>
    </row>
    <row r="11" spans="1:17" x14ac:dyDescent="0.45">
      <c r="A11" t="s">
        <v>35</v>
      </c>
      <c r="B11" t="s">
        <v>28</v>
      </c>
      <c r="C11" s="26">
        <f>SUMIFS(INDEX(元データ_14項目!$D$2:$Q$1300,0,MATCH($B11,元データ_14項目!$D$1:$Q$1,0)),元データ_14項目!$A$2:$A$1300,$A11,元データ_14項目!$B$2:$B$1300,"本年",元データ_14項目!$C$2:$C$1300,C$5)</f>
        <v>249</v>
      </c>
      <c r="D11" s="26">
        <f>SUMIFS(INDEX(元データ_14項目!$D$2:$Q$1300,0,MATCH($B11,元データ_14項目!$D$1:$Q$1,0)),元データ_14項目!$A$2:$A$1300,$A11,元データ_14項目!$B$2:$B$1300,"本年",元データ_14項目!$C$2:$C$1300,D$5)</f>
        <v>302</v>
      </c>
      <c r="E11" s="26">
        <f>SUMIFS(INDEX(元データ_14項目!$D$2:$Q$1300,0,MATCH($B11,元データ_14項目!$D$1:$Q$1,0)),元データ_14項目!$A$2:$A$1300,$A11,元データ_14項目!$B$2:$B$1300,"本年",元データ_14項目!$C$2:$C$1300,E$5)</f>
        <v>360</v>
      </c>
      <c r="F11" s="26">
        <f>SUMIFS(INDEX(元データ_14項目!$D$2:$Q$1300,0,MATCH($B11,元データ_14項目!$D$1:$Q$1,0)),元データ_14項目!$A$2:$A$1300,$A11,元データ_14項目!$B$2:$B$1300,"本年",元データ_14項目!$C$2:$C$1300,F$5)</f>
        <v>321</v>
      </c>
      <c r="G11" s="26">
        <f>SUMIFS(INDEX(元データ_14項目!$D$2:$Q$1300,0,MATCH($B11,元データ_14項目!$D$1:$Q$1,0)),元データ_14項目!$A$2:$A$1300,$A11,元データ_14項目!$B$2:$B$1300,"本年",元データ_14項目!$C$2:$C$1300,G$5)</f>
        <v>286</v>
      </c>
      <c r="H11" s="26">
        <f>SUMIFS(INDEX(元データ_14項目!$D$2:$Q$1300,0,MATCH($B11,元データ_14項目!$D$1:$Q$1,0)),元データ_14項目!$A$2:$A$1300,$A11,元データ_14項目!$B$2:$B$1300,"本年",元データ_14項目!$C$2:$C$1300,H$5)</f>
        <v>146</v>
      </c>
      <c r="I11" s="26">
        <f>SUMIFS(INDEX(元データ_14項目!$D$2:$Q$1300,0,MATCH($B11,元データ_14項目!$D$1:$Q$1,0)),元データ_14項目!$A$2:$A$1300,$A11,元データ_14項目!$B$2:$B$1300,"本年",元データ_14項目!$C$2:$C$1300,I$5)</f>
        <v>159</v>
      </c>
      <c r="J11" s="26">
        <f>SUMIFS(INDEX(元データ_14項目!$D$2:$Q$1300,0,MATCH($B11,元データ_14項目!$D$1:$Q$1,0)),元データ_14項目!$A$2:$A$1300,$A11,元データ_14項目!$B$2:$B$1300,"本年",元データ_14項目!$C$2:$C$1300,J$5)</f>
        <v>216</v>
      </c>
      <c r="K11" s="26">
        <f>SUMIFS(INDEX(元データ_14項目!$D$2:$Q$1300,0,MATCH($B11,元データ_14項目!$D$1:$Q$1,0)),元データ_14項目!$A$2:$A$1300,$A11,元データ_14項目!$B$2:$B$1300,"本年",元データ_14項目!$C$2:$C$1300,K$5)</f>
        <v>288</v>
      </c>
      <c r="L11" s="26">
        <f>SUMIFS(INDEX(元データ_14項目!$D$2:$Q$1300,0,MATCH($B11,元データ_14項目!$D$1:$Q$1,0)),元データ_14項目!$A$2:$A$1300,$A11,元データ_14項目!$B$2:$B$1300,"本年",元データ_14項目!$C$2:$C$1300,L$5)</f>
        <v>214</v>
      </c>
      <c r="M11" s="26">
        <f>SUMIFS(INDEX(元データ_14項目!$D$2:$Q$1300,0,MATCH($B11,元データ_14項目!$D$1:$Q$1,0)),元データ_14項目!$A$2:$A$1300,$A11,元データ_14項目!$B$2:$B$1300,"本年",元データ_14項目!$C$2:$C$1300,M$5)</f>
        <v>200</v>
      </c>
      <c r="N11" s="26">
        <f>SUMIFS(INDEX(元データ_14項目!$D$2:$Q$1300,0,MATCH($B11,元データ_14項目!$D$1:$Q$1,0)),元データ_14項目!$A$2:$A$1300,$A11,元データ_14項目!$B$2:$B$1300,"本年",元データ_14項目!$C$2:$C$1300,N$5)</f>
        <v>234</v>
      </c>
      <c r="O11" s="26">
        <f t="shared" si="0"/>
        <v>2975</v>
      </c>
      <c r="P11" s="26">
        <f>SUMIFS(INDEX(元データ_14項目!$D$2:$Q$1300,0,MATCH($B11,元データ_14項目!$D$1:$Q$1,0)),元データ_14項目!$A$2:$A$1300,$A11,元データ_14項目!$B$2:$B$1300,"前年")</f>
        <v>3424</v>
      </c>
      <c r="Q11" s="7">
        <f t="shared" si="1"/>
        <v>0.86886682242990654</v>
      </c>
    </row>
    <row r="12" spans="1:17" x14ac:dyDescent="0.45">
      <c r="A12" t="s">
        <v>35</v>
      </c>
      <c r="B12" t="s">
        <v>92</v>
      </c>
      <c r="C12" s="26">
        <f>SUMIFS(INDEX(元データ_14項目!$D$2:$Q$1300,0,MATCH($B12,元データ_14項目!$D$1:$Q$1,0)),元データ_14項目!$A$2:$A$1300,$A12,元データ_14項目!$B$2:$B$1300,"本年",元データ_14項目!$C$2:$C$1300,C$5)</f>
        <v>25</v>
      </c>
      <c r="D12" s="26">
        <f>SUMIFS(INDEX(元データ_14項目!$D$2:$Q$1300,0,MATCH($B12,元データ_14項目!$D$1:$Q$1,0)),元データ_14項目!$A$2:$A$1300,$A12,元データ_14項目!$B$2:$B$1300,"本年",元データ_14項目!$C$2:$C$1300,D$5)</f>
        <v>43</v>
      </c>
      <c r="E12" s="26">
        <f>SUMIFS(INDEX(元データ_14項目!$D$2:$Q$1300,0,MATCH($B12,元データ_14項目!$D$1:$Q$1,0)),元データ_14項目!$A$2:$A$1300,$A12,元データ_14項目!$B$2:$B$1300,"本年",元データ_14項目!$C$2:$C$1300,E$5)</f>
        <v>49</v>
      </c>
      <c r="F12" s="26">
        <f>SUMIFS(INDEX(元データ_14項目!$D$2:$Q$1300,0,MATCH($B12,元データ_14項目!$D$1:$Q$1,0)),元データ_14項目!$A$2:$A$1300,$A12,元データ_14項目!$B$2:$B$1300,"本年",元データ_14項目!$C$2:$C$1300,F$5)</f>
        <v>58</v>
      </c>
      <c r="G12" s="26">
        <f>SUMIFS(INDEX(元データ_14項目!$D$2:$Q$1300,0,MATCH($B12,元データ_14項目!$D$1:$Q$1,0)),元データ_14項目!$A$2:$A$1300,$A12,元データ_14項目!$B$2:$B$1300,"本年",元データ_14項目!$C$2:$C$1300,G$5)</f>
        <v>44</v>
      </c>
      <c r="H12" s="26">
        <f>SUMIFS(INDEX(元データ_14項目!$D$2:$Q$1300,0,MATCH($B12,元データ_14項目!$D$1:$Q$1,0)),元データ_14項目!$A$2:$A$1300,$A12,元データ_14項目!$B$2:$B$1300,"本年",元データ_14項目!$C$2:$C$1300,H$5)</f>
        <v>18</v>
      </c>
      <c r="I12" s="26">
        <f>SUMIFS(INDEX(元データ_14項目!$D$2:$Q$1300,0,MATCH($B12,元データ_14項目!$D$1:$Q$1,0)),元データ_14項目!$A$2:$A$1300,$A12,元データ_14項目!$B$2:$B$1300,"本年",元データ_14項目!$C$2:$C$1300,I$5)</f>
        <v>9</v>
      </c>
      <c r="J12" s="26">
        <f>SUMIFS(INDEX(元データ_14項目!$D$2:$Q$1300,0,MATCH($B12,元データ_14項目!$D$1:$Q$1,0)),元データ_14項目!$A$2:$A$1300,$A12,元データ_14項目!$B$2:$B$1300,"本年",元データ_14項目!$C$2:$C$1300,J$5)</f>
        <v>23</v>
      </c>
      <c r="K12" s="26">
        <f>SUMIFS(INDEX(元データ_14項目!$D$2:$Q$1300,0,MATCH($B12,元データ_14項目!$D$1:$Q$1,0)),元データ_14項目!$A$2:$A$1300,$A12,元データ_14項目!$B$2:$B$1300,"本年",元データ_14項目!$C$2:$C$1300,K$5)</f>
        <v>89</v>
      </c>
      <c r="L12" s="26">
        <f>SUMIFS(INDEX(元データ_14項目!$D$2:$Q$1300,0,MATCH($B12,元データ_14項目!$D$1:$Q$1,0)),元データ_14項目!$A$2:$A$1300,$A12,元データ_14項目!$B$2:$B$1300,"本年",元データ_14項目!$C$2:$C$1300,L$5)</f>
        <v>59</v>
      </c>
      <c r="M12" s="26">
        <f>SUMIFS(INDEX(元データ_14項目!$D$2:$Q$1300,0,MATCH($B12,元データ_14項目!$D$1:$Q$1,0)),元データ_14項目!$A$2:$A$1300,$A12,元データ_14項目!$B$2:$B$1300,"本年",元データ_14項目!$C$2:$C$1300,M$5)</f>
        <v>37</v>
      </c>
      <c r="N12" s="26">
        <f>SUMIFS(INDEX(元データ_14項目!$D$2:$Q$1300,0,MATCH($B12,元データ_14項目!$D$1:$Q$1,0)),元データ_14項目!$A$2:$A$1300,$A12,元データ_14項目!$B$2:$B$1300,"本年",元データ_14項目!$C$2:$C$1300,N$5)</f>
        <v>36</v>
      </c>
      <c r="O12" s="26">
        <f t="shared" si="0"/>
        <v>490</v>
      </c>
      <c r="P12" s="26">
        <f>SUMIFS(INDEX(元データ_14項目!$D$2:$Q$1300,0,MATCH($B12,元データ_14項目!$D$1:$Q$1,0)),元データ_14項目!$A$2:$A$1300,$A12,元データ_14項目!$B$2:$B$1300,"前年")</f>
        <v>588</v>
      </c>
      <c r="Q12" s="7">
        <f t="shared" si="1"/>
        <v>0.83333333333333337</v>
      </c>
    </row>
    <row r="13" spans="1:17" x14ac:dyDescent="0.45">
      <c r="A13" t="s">
        <v>35</v>
      </c>
      <c r="B13" t="s">
        <v>93</v>
      </c>
      <c r="C13" s="26">
        <f>SUMIFS(INDEX(元データ_14項目!$D$2:$Q$1300,0,MATCH($B13,元データ_14項目!$D$1:$Q$1,0)),元データ_14項目!$A$2:$A$1300,$A13,元データ_14項目!$B$2:$B$1300,"本年",元データ_14項目!$C$2:$C$1300,C$5)</f>
        <v>15</v>
      </c>
      <c r="D13" s="26">
        <f>SUMIFS(INDEX(元データ_14項目!$D$2:$Q$1300,0,MATCH($B13,元データ_14項目!$D$1:$Q$1,0)),元データ_14項目!$A$2:$A$1300,$A13,元データ_14項目!$B$2:$B$1300,"本年",元データ_14項目!$C$2:$C$1300,D$5)</f>
        <v>37</v>
      </c>
      <c r="E13" s="26">
        <f>SUMIFS(INDEX(元データ_14項目!$D$2:$Q$1300,0,MATCH($B13,元データ_14項目!$D$1:$Q$1,0)),元データ_14項目!$A$2:$A$1300,$A13,元データ_14項目!$B$2:$B$1300,"本年",元データ_14項目!$C$2:$C$1300,E$5)</f>
        <v>65</v>
      </c>
      <c r="F13" s="26">
        <f>SUMIFS(INDEX(元データ_14項目!$D$2:$Q$1300,0,MATCH($B13,元データ_14項目!$D$1:$Q$1,0)),元データ_14項目!$A$2:$A$1300,$A13,元データ_14項目!$B$2:$B$1300,"本年",元データ_14項目!$C$2:$C$1300,F$5)</f>
        <v>44</v>
      </c>
      <c r="G13" s="26">
        <f>SUMIFS(INDEX(元データ_14項目!$D$2:$Q$1300,0,MATCH($B13,元データ_14項目!$D$1:$Q$1,0)),元データ_14項目!$A$2:$A$1300,$A13,元データ_14項目!$B$2:$B$1300,"本年",元データ_14項目!$C$2:$C$1300,G$5)</f>
        <v>59</v>
      </c>
      <c r="H13" s="26">
        <f>SUMIFS(INDEX(元データ_14項目!$D$2:$Q$1300,0,MATCH($B13,元データ_14項目!$D$1:$Q$1,0)),元データ_14項目!$A$2:$A$1300,$A13,元データ_14項目!$B$2:$B$1300,"本年",元データ_14項目!$C$2:$C$1300,H$5)</f>
        <v>54</v>
      </c>
      <c r="I13" s="26">
        <f>SUMIFS(INDEX(元データ_14項目!$D$2:$Q$1300,0,MATCH($B13,元データ_14項目!$D$1:$Q$1,0)),元データ_14項目!$A$2:$A$1300,$A13,元データ_14項目!$B$2:$B$1300,"本年",元データ_14項目!$C$2:$C$1300,I$5)</f>
        <v>32</v>
      </c>
      <c r="J13" s="26">
        <f>SUMIFS(INDEX(元データ_14項目!$D$2:$Q$1300,0,MATCH($B13,元データ_14項目!$D$1:$Q$1,0)),元データ_14項目!$A$2:$A$1300,$A13,元データ_14項目!$B$2:$B$1300,"本年",元データ_14項目!$C$2:$C$1300,J$5)</f>
        <v>124</v>
      </c>
      <c r="K13" s="26">
        <f>SUMIFS(INDEX(元データ_14項目!$D$2:$Q$1300,0,MATCH($B13,元データ_14項目!$D$1:$Q$1,0)),元データ_14項目!$A$2:$A$1300,$A13,元データ_14項目!$B$2:$B$1300,"本年",元データ_14項目!$C$2:$C$1300,K$5)</f>
        <v>412</v>
      </c>
      <c r="L13" s="26">
        <f>SUMIFS(INDEX(元データ_14項目!$D$2:$Q$1300,0,MATCH($B13,元データ_14項目!$D$1:$Q$1,0)),元データ_14項目!$A$2:$A$1300,$A13,元データ_14項目!$B$2:$B$1300,"本年",元データ_14項目!$C$2:$C$1300,L$5)</f>
        <v>178</v>
      </c>
      <c r="M13" s="26">
        <f>SUMIFS(INDEX(元データ_14項目!$D$2:$Q$1300,0,MATCH($B13,元データ_14項目!$D$1:$Q$1,0)),元データ_14項目!$A$2:$A$1300,$A13,元データ_14項目!$B$2:$B$1300,"本年",元データ_14項目!$C$2:$C$1300,M$5)</f>
        <v>70</v>
      </c>
      <c r="N13" s="26">
        <f>SUMIFS(INDEX(元データ_14項目!$D$2:$Q$1300,0,MATCH($B13,元データ_14項目!$D$1:$Q$1,0)),元データ_14項目!$A$2:$A$1300,$A13,元データ_14項目!$B$2:$B$1300,"本年",元データ_14項目!$C$2:$C$1300,N$5)</f>
        <v>32</v>
      </c>
      <c r="O13" s="26">
        <f t="shared" si="0"/>
        <v>1122</v>
      </c>
      <c r="P13" s="26">
        <f>SUMIFS(INDEX(元データ_14項目!$D$2:$Q$1300,0,MATCH($B13,元データ_14項目!$D$1:$Q$1,0)),元データ_14項目!$A$2:$A$1300,$A13,元データ_14項目!$B$2:$B$1300,"前年")</f>
        <v>1336</v>
      </c>
      <c r="Q13" s="7">
        <f t="shared" si="1"/>
        <v>0.83982035928143717</v>
      </c>
    </row>
    <row r="14" spans="1:17" x14ac:dyDescent="0.45">
      <c r="A14" t="s">
        <v>35</v>
      </c>
      <c r="B14" t="s">
        <v>94</v>
      </c>
      <c r="C14" s="26">
        <f>SUMIFS(INDEX(元データ_14項目!$D$2:$Q$1300,0,MATCH($B14,元データ_14項目!$D$1:$Q$1,0)),元データ_14項目!$A$2:$A$1300,$A14,元データ_14項目!$B$2:$B$1300,"本年",元データ_14項目!$C$2:$C$1300,C$5)</f>
        <v>16</v>
      </c>
      <c r="D14" s="26">
        <f>SUMIFS(INDEX(元データ_14項目!$D$2:$Q$1300,0,MATCH($B14,元データ_14項目!$D$1:$Q$1,0)),元データ_14項目!$A$2:$A$1300,$A14,元データ_14項目!$B$2:$B$1300,"本年",元データ_14項目!$C$2:$C$1300,D$5)</f>
        <v>18</v>
      </c>
      <c r="E14" s="26">
        <f>SUMIFS(INDEX(元データ_14項目!$D$2:$Q$1300,0,MATCH($B14,元データ_14項目!$D$1:$Q$1,0)),元データ_14項目!$A$2:$A$1300,$A14,元データ_14項目!$B$2:$B$1300,"本年",元データ_14項目!$C$2:$C$1300,E$5)</f>
        <v>33</v>
      </c>
      <c r="F14" s="26">
        <f>SUMIFS(INDEX(元データ_14項目!$D$2:$Q$1300,0,MATCH($B14,元データ_14項目!$D$1:$Q$1,0)),元データ_14項目!$A$2:$A$1300,$A14,元データ_14項目!$B$2:$B$1300,"本年",元データ_14項目!$C$2:$C$1300,F$5)</f>
        <v>31</v>
      </c>
      <c r="G14" s="26">
        <f>SUMIFS(INDEX(元データ_14項目!$D$2:$Q$1300,0,MATCH($B14,元データ_14項目!$D$1:$Q$1,0)),元データ_14項目!$A$2:$A$1300,$A14,元データ_14項目!$B$2:$B$1300,"本年",元データ_14項目!$C$2:$C$1300,G$5)</f>
        <v>50</v>
      </c>
      <c r="H14" s="26">
        <f>SUMIFS(INDEX(元データ_14項目!$D$2:$Q$1300,0,MATCH($B14,元データ_14項目!$D$1:$Q$1,0)),元データ_14項目!$A$2:$A$1300,$A14,元データ_14項目!$B$2:$B$1300,"本年",元データ_14項目!$C$2:$C$1300,H$5)</f>
        <v>23</v>
      </c>
      <c r="I14" s="26">
        <f>SUMIFS(INDEX(元データ_14項目!$D$2:$Q$1300,0,MATCH($B14,元データ_14項目!$D$1:$Q$1,0)),元データ_14項目!$A$2:$A$1300,$A14,元データ_14項目!$B$2:$B$1300,"本年",元データ_14項目!$C$2:$C$1300,I$5)</f>
        <v>15</v>
      </c>
      <c r="J14" s="26">
        <f>SUMIFS(INDEX(元データ_14項目!$D$2:$Q$1300,0,MATCH($B14,元データ_14項目!$D$1:$Q$1,0)),元データ_14項目!$A$2:$A$1300,$A14,元データ_14項目!$B$2:$B$1300,"本年",元データ_14項目!$C$2:$C$1300,J$5)</f>
        <v>42</v>
      </c>
      <c r="K14" s="26">
        <f>SUMIFS(INDEX(元データ_14項目!$D$2:$Q$1300,0,MATCH($B14,元データ_14項目!$D$1:$Q$1,0)),元データ_14項目!$A$2:$A$1300,$A14,元データ_14項目!$B$2:$B$1300,"本年",元データ_14項目!$C$2:$C$1300,K$5)</f>
        <v>131</v>
      </c>
      <c r="L14" s="26">
        <f>SUMIFS(INDEX(元データ_14項目!$D$2:$Q$1300,0,MATCH($B14,元データ_14項目!$D$1:$Q$1,0)),元データ_14項目!$A$2:$A$1300,$A14,元データ_14項目!$B$2:$B$1300,"本年",元データ_14項目!$C$2:$C$1300,L$5)</f>
        <v>92</v>
      </c>
      <c r="M14" s="26">
        <f>SUMIFS(INDEX(元データ_14項目!$D$2:$Q$1300,0,MATCH($B14,元データ_14項目!$D$1:$Q$1,0)),元データ_14項目!$A$2:$A$1300,$A14,元データ_14項目!$B$2:$B$1300,"本年",元データ_14項目!$C$2:$C$1300,M$5)</f>
        <v>39</v>
      </c>
      <c r="N14" s="26">
        <f>SUMIFS(INDEX(元データ_14項目!$D$2:$Q$1300,0,MATCH($B14,元データ_14項目!$D$1:$Q$1,0)),元データ_14項目!$A$2:$A$1300,$A14,元データ_14項目!$B$2:$B$1300,"本年",元データ_14項目!$C$2:$C$1300,N$5)</f>
        <v>17</v>
      </c>
      <c r="O14" s="26">
        <f t="shared" si="0"/>
        <v>507</v>
      </c>
      <c r="P14" s="26">
        <f>SUMIFS(INDEX(元データ_14項目!$D$2:$Q$1300,0,MATCH($B14,元データ_14項目!$D$1:$Q$1,0)),元データ_14項目!$A$2:$A$1300,$A14,元データ_14項目!$B$2:$B$1300,"前年")</f>
        <v>577</v>
      </c>
      <c r="Q14" s="7">
        <f t="shared" si="1"/>
        <v>0.878682842287695</v>
      </c>
    </row>
    <row r="15" spans="1:17" x14ac:dyDescent="0.45">
      <c r="A15" t="s">
        <v>35</v>
      </c>
      <c r="B15" t="s">
        <v>95</v>
      </c>
      <c r="C15" s="26">
        <f>SUMIFS(INDEX(元データ_14項目!$D$2:$Q$1300,0,MATCH($B15,元データ_14項目!$D$1:$Q$1,0)),元データ_14項目!$A$2:$A$1300,$A15,元データ_14項目!$B$2:$B$1300,"本年",元データ_14項目!$C$2:$C$1300,C$5)</f>
        <v>36</v>
      </c>
      <c r="D15" s="26">
        <f>SUMIFS(INDEX(元データ_14項目!$D$2:$Q$1300,0,MATCH($B15,元データ_14項目!$D$1:$Q$1,0)),元データ_14項目!$A$2:$A$1300,$A15,元データ_14項目!$B$2:$B$1300,"本年",元データ_14項目!$C$2:$C$1300,D$5)</f>
        <v>43</v>
      </c>
      <c r="E15" s="26">
        <f>SUMIFS(INDEX(元データ_14項目!$D$2:$Q$1300,0,MATCH($B15,元データ_14項目!$D$1:$Q$1,0)),元データ_14項目!$A$2:$A$1300,$A15,元データ_14項目!$B$2:$B$1300,"本年",元データ_14項目!$C$2:$C$1300,E$5)</f>
        <v>62</v>
      </c>
      <c r="F15" s="26">
        <f>SUMIFS(INDEX(元データ_14項目!$D$2:$Q$1300,0,MATCH($B15,元データ_14項目!$D$1:$Q$1,0)),元データ_14項目!$A$2:$A$1300,$A15,元データ_14項目!$B$2:$B$1300,"本年",元データ_14項目!$C$2:$C$1300,F$5)</f>
        <v>56</v>
      </c>
      <c r="G15" s="26">
        <f>SUMIFS(INDEX(元データ_14項目!$D$2:$Q$1300,0,MATCH($B15,元データ_14項目!$D$1:$Q$1,0)),元データ_14項目!$A$2:$A$1300,$A15,元データ_14項目!$B$2:$B$1300,"本年",元データ_14項目!$C$2:$C$1300,G$5)</f>
        <v>38</v>
      </c>
      <c r="H15" s="26">
        <f>SUMIFS(INDEX(元データ_14項目!$D$2:$Q$1300,0,MATCH($B15,元データ_14項目!$D$1:$Q$1,0)),元データ_14項目!$A$2:$A$1300,$A15,元データ_14項目!$B$2:$B$1300,"本年",元データ_14項目!$C$2:$C$1300,H$5)</f>
        <v>18</v>
      </c>
      <c r="I15" s="26">
        <f>SUMIFS(INDEX(元データ_14項目!$D$2:$Q$1300,0,MATCH($B15,元データ_14項目!$D$1:$Q$1,0)),元データ_14項目!$A$2:$A$1300,$A15,元データ_14項目!$B$2:$B$1300,"本年",元データ_14項目!$C$2:$C$1300,I$5)</f>
        <v>20</v>
      </c>
      <c r="J15" s="26">
        <f>SUMIFS(INDEX(元データ_14項目!$D$2:$Q$1300,0,MATCH($B15,元データ_14項目!$D$1:$Q$1,0)),元データ_14項目!$A$2:$A$1300,$A15,元データ_14項目!$B$2:$B$1300,"本年",元データ_14項目!$C$2:$C$1300,J$5)</f>
        <v>33</v>
      </c>
      <c r="K15" s="26">
        <f>SUMIFS(INDEX(元データ_14項目!$D$2:$Q$1300,0,MATCH($B15,元データ_14項目!$D$1:$Q$1,0)),元データ_14項目!$A$2:$A$1300,$A15,元データ_14項目!$B$2:$B$1300,"本年",元データ_14項目!$C$2:$C$1300,K$5)</f>
        <v>79</v>
      </c>
      <c r="L15" s="26">
        <f>SUMIFS(INDEX(元データ_14項目!$D$2:$Q$1300,0,MATCH($B15,元データ_14項目!$D$1:$Q$1,0)),元データ_14項目!$A$2:$A$1300,$A15,元データ_14項目!$B$2:$B$1300,"本年",元データ_14項目!$C$2:$C$1300,L$5)</f>
        <v>39</v>
      </c>
      <c r="M15" s="26">
        <f>SUMIFS(INDEX(元データ_14項目!$D$2:$Q$1300,0,MATCH($B15,元データ_14項目!$D$1:$Q$1,0)),元データ_14項目!$A$2:$A$1300,$A15,元データ_14項目!$B$2:$B$1300,"本年",元データ_14項目!$C$2:$C$1300,M$5)</f>
        <v>341</v>
      </c>
      <c r="N15" s="26">
        <f>SUMIFS(INDEX(元データ_14項目!$D$2:$Q$1300,0,MATCH($B15,元データ_14項目!$D$1:$Q$1,0)),元データ_14項目!$A$2:$A$1300,$A15,元データ_14項目!$B$2:$B$1300,"本年",元データ_14項目!$C$2:$C$1300,N$5)</f>
        <v>29</v>
      </c>
      <c r="O15" s="26">
        <f t="shared" si="0"/>
        <v>794</v>
      </c>
      <c r="P15" s="26">
        <f>SUMIFS(INDEX(元データ_14項目!$D$2:$Q$1300,0,MATCH($B15,元データ_14項目!$D$1:$Q$1,0)),元データ_14項目!$A$2:$A$1300,$A15,元データ_14項目!$B$2:$B$1300,"前年")</f>
        <v>514</v>
      </c>
      <c r="Q15" s="7">
        <f t="shared" si="1"/>
        <v>1.5447470817120623</v>
      </c>
    </row>
    <row r="16" spans="1:17" x14ac:dyDescent="0.45">
      <c r="A16" t="s">
        <v>35</v>
      </c>
      <c r="B16" t="s">
        <v>96</v>
      </c>
      <c r="C16" s="26">
        <f>SUMIFS(INDEX(元データ_14項目!$D$2:$Q$1300,0,MATCH($B16,元データ_14項目!$D$1:$Q$1,0)),元データ_14項目!$A$2:$A$1300,$A16,元データ_14項目!$B$2:$B$1300,"本年",元データ_14項目!$C$2:$C$1300,C$5)</f>
        <v>20</v>
      </c>
      <c r="D16" s="26">
        <f>SUMIFS(INDEX(元データ_14項目!$D$2:$Q$1300,0,MATCH($B16,元データ_14項目!$D$1:$Q$1,0)),元データ_14項目!$A$2:$A$1300,$A16,元データ_14項目!$B$2:$B$1300,"本年",元データ_14項目!$C$2:$C$1300,D$5)</f>
        <v>22</v>
      </c>
      <c r="E16" s="26">
        <f>SUMIFS(INDEX(元データ_14項目!$D$2:$Q$1300,0,MATCH($B16,元データ_14項目!$D$1:$Q$1,0)),元データ_14項目!$A$2:$A$1300,$A16,元データ_14項目!$B$2:$B$1300,"本年",元データ_14項目!$C$2:$C$1300,E$5)</f>
        <v>55</v>
      </c>
      <c r="F16" s="26">
        <f>SUMIFS(INDEX(元データ_14項目!$D$2:$Q$1300,0,MATCH($B16,元データ_14項目!$D$1:$Q$1,0)),元データ_14項目!$A$2:$A$1300,$A16,元データ_14項目!$B$2:$B$1300,"本年",元データ_14項目!$C$2:$C$1300,F$5)</f>
        <v>50</v>
      </c>
      <c r="G16" s="26">
        <f>SUMIFS(INDEX(元データ_14項目!$D$2:$Q$1300,0,MATCH($B16,元データ_14項目!$D$1:$Q$1,0)),元データ_14項目!$A$2:$A$1300,$A16,元データ_14項目!$B$2:$B$1300,"本年",元データ_14項目!$C$2:$C$1300,G$5)</f>
        <v>51</v>
      </c>
      <c r="H16" s="26">
        <f>SUMIFS(INDEX(元データ_14項目!$D$2:$Q$1300,0,MATCH($B16,元データ_14項目!$D$1:$Q$1,0)),元データ_14項目!$A$2:$A$1300,$A16,元データ_14項目!$B$2:$B$1300,"本年",元データ_14項目!$C$2:$C$1300,H$5)</f>
        <v>34</v>
      </c>
      <c r="I16" s="26">
        <f>SUMIFS(INDEX(元データ_14項目!$D$2:$Q$1300,0,MATCH($B16,元データ_14項目!$D$1:$Q$1,0)),元データ_14項目!$A$2:$A$1300,$A16,元データ_14項目!$B$2:$B$1300,"本年",元データ_14項目!$C$2:$C$1300,I$5)</f>
        <v>39</v>
      </c>
      <c r="J16" s="26">
        <f>SUMIFS(INDEX(元データ_14項目!$D$2:$Q$1300,0,MATCH($B16,元データ_14項目!$D$1:$Q$1,0)),元データ_14項目!$A$2:$A$1300,$A16,元データ_14項目!$B$2:$B$1300,"本年",元データ_14項目!$C$2:$C$1300,J$5)</f>
        <v>175</v>
      </c>
      <c r="K16" s="26">
        <f>SUMIFS(INDEX(元データ_14項目!$D$2:$Q$1300,0,MATCH($B16,元データ_14項目!$D$1:$Q$1,0)),元データ_14項目!$A$2:$A$1300,$A16,元データ_14項目!$B$2:$B$1300,"本年",元データ_14項目!$C$2:$C$1300,K$5)</f>
        <v>444</v>
      </c>
      <c r="L16" s="26">
        <f>SUMIFS(INDEX(元データ_14項目!$D$2:$Q$1300,0,MATCH($B16,元データ_14項目!$D$1:$Q$1,0)),元データ_14項目!$A$2:$A$1300,$A16,元データ_14項目!$B$2:$B$1300,"本年",元データ_14項目!$C$2:$C$1300,L$5)</f>
        <v>181</v>
      </c>
      <c r="M16" s="26">
        <f>SUMIFS(INDEX(元データ_14項目!$D$2:$Q$1300,0,MATCH($B16,元データ_14項目!$D$1:$Q$1,0)),元データ_14項目!$A$2:$A$1300,$A16,元データ_14項目!$B$2:$B$1300,"本年",元データ_14項目!$C$2:$C$1300,M$5)</f>
        <v>95</v>
      </c>
      <c r="N16" s="26">
        <f>SUMIFS(INDEX(元データ_14項目!$D$2:$Q$1300,0,MATCH($B16,元データ_14項目!$D$1:$Q$1,0)),元データ_14項目!$A$2:$A$1300,$A16,元データ_14項目!$B$2:$B$1300,"本年",元データ_14項目!$C$2:$C$1300,N$5)</f>
        <v>29</v>
      </c>
      <c r="O16" s="26">
        <f t="shared" si="0"/>
        <v>1195</v>
      </c>
      <c r="P16" s="26">
        <f>SUMIFS(INDEX(元データ_14項目!$D$2:$Q$1300,0,MATCH($B16,元データ_14項目!$D$1:$Q$1,0)),元データ_14項目!$A$2:$A$1300,$A16,元データ_14項目!$B$2:$B$1300,"前年")</f>
        <v>1282</v>
      </c>
      <c r="Q16" s="7">
        <f t="shared" si="1"/>
        <v>0.93213728549141961</v>
      </c>
    </row>
    <row r="17" spans="1:17" x14ac:dyDescent="0.45">
      <c r="A17" t="s">
        <v>35</v>
      </c>
      <c r="B17" t="s">
        <v>97</v>
      </c>
      <c r="C17" s="26">
        <f>SUMIFS(INDEX(元データ_14項目!$D$2:$Q$1300,0,MATCH($B17,元データ_14項目!$D$1:$Q$1,0)),元データ_14項目!$A$2:$A$1300,$A17,元データ_14項目!$B$2:$B$1300,"本年",元データ_14項目!$C$2:$C$1300,C$5)</f>
        <v>19</v>
      </c>
      <c r="D17" s="26">
        <f>SUMIFS(INDEX(元データ_14項目!$D$2:$Q$1300,0,MATCH($B17,元データ_14項目!$D$1:$Q$1,0)),元データ_14項目!$A$2:$A$1300,$A17,元データ_14項目!$B$2:$B$1300,"本年",元データ_14項目!$C$2:$C$1300,D$5)</f>
        <v>44</v>
      </c>
      <c r="E17" s="26">
        <f>SUMIFS(INDEX(元データ_14項目!$D$2:$Q$1300,0,MATCH($B17,元データ_14項目!$D$1:$Q$1,0)),元データ_14項目!$A$2:$A$1300,$A17,元データ_14項目!$B$2:$B$1300,"本年",元データ_14項目!$C$2:$C$1300,E$5)</f>
        <v>95</v>
      </c>
      <c r="F17" s="26">
        <f>SUMIFS(INDEX(元データ_14項目!$D$2:$Q$1300,0,MATCH($B17,元データ_14項目!$D$1:$Q$1,0)),元データ_14項目!$A$2:$A$1300,$A17,元データ_14項目!$B$2:$B$1300,"本年",元データ_14項目!$C$2:$C$1300,F$5)</f>
        <v>58</v>
      </c>
      <c r="G17" s="26">
        <f>SUMIFS(INDEX(元データ_14項目!$D$2:$Q$1300,0,MATCH($B17,元データ_14項目!$D$1:$Q$1,0)),元データ_14項目!$A$2:$A$1300,$A17,元データ_14項目!$B$2:$B$1300,"本年",元データ_14項目!$C$2:$C$1300,G$5)</f>
        <v>78</v>
      </c>
      <c r="H17" s="26">
        <f>SUMIFS(INDEX(元データ_14項目!$D$2:$Q$1300,0,MATCH($B17,元データ_14項目!$D$1:$Q$1,0)),元データ_14項目!$A$2:$A$1300,$A17,元データ_14項目!$B$2:$B$1300,"本年",元データ_14項目!$C$2:$C$1300,H$5)</f>
        <v>31</v>
      </c>
      <c r="I17" s="26">
        <f>SUMIFS(INDEX(元データ_14項目!$D$2:$Q$1300,0,MATCH($B17,元データ_14項目!$D$1:$Q$1,0)),元データ_14項目!$A$2:$A$1300,$A17,元データ_14項目!$B$2:$B$1300,"本年",元データ_14項目!$C$2:$C$1300,I$5)</f>
        <v>59</v>
      </c>
      <c r="J17" s="26">
        <f>SUMIFS(INDEX(元データ_14項目!$D$2:$Q$1300,0,MATCH($B17,元データ_14項目!$D$1:$Q$1,0)),元データ_14項目!$A$2:$A$1300,$A17,元データ_14項目!$B$2:$B$1300,"本年",元データ_14項目!$C$2:$C$1300,J$5)</f>
        <v>126</v>
      </c>
      <c r="K17" s="26">
        <f>SUMIFS(INDEX(元データ_14項目!$D$2:$Q$1300,0,MATCH($B17,元データ_14項目!$D$1:$Q$1,0)),元データ_14項目!$A$2:$A$1300,$A17,元データ_14項目!$B$2:$B$1300,"本年",元データ_14項目!$C$2:$C$1300,K$5)</f>
        <v>312</v>
      </c>
      <c r="L17" s="26">
        <f>SUMIFS(INDEX(元データ_14項目!$D$2:$Q$1300,0,MATCH($B17,元データ_14項目!$D$1:$Q$1,0)),元データ_14項目!$A$2:$A$1300,$A17,元データ_14項目!$B$2:$B$1300,"本年",元データ_14項目!$C$2:$C$1300,L$5)</f>
        <v>215</v>
      </c>
      <c r="M17" s="26">
        <f>SUMIFS(INDEX(元データ_14項目!$D$2:$Q$1300,0,MATCH($B17,元データ_14項目!$D$1:$Q$1,0)),元データ_14項目!$A$2:$A$1300,$A17,元データ_14項目!$B$2:$B$1300,"本年",元データ_14項目!$C$2:$C$1300,M$5)</f>
        <v>164</v>
      </c>
      <c r="N17" s="26">
        <f>SUMIFS(INDEX(元データ_14項目!$D$2:$Q$1300,0,MATCH($B17,元データ_14項目!$D$1:$Q$1,0)),元データ_14項目!$A$2:$A$1300,$A17,元データ_14項目!$B$2:$B$1300,"本年",元データ_14項目!$C$2:$C$1300,N$5)</f>
        <v>54</v>
      </c>
      <c r="O17" s="26">
        <f t="shared" si="0"/>
        <v>1255</v>
      </c>
      <c r="P17" s="26">
        <f>SUMIFS(INDEX(元データ_14項目!$D$2:$Q$1300,0,MATCH($B17,元データ_14項目!$D$1:$Q$1,0)),元データ_14項目!$A$2:$A$1300,$A17,元データ_14項目!$B$2:$B$1300,"前年")</f>
        <v>1288</v>
      </c>
      <c r="Q17" s="7">
        <f t="shared" si="1"/>
        <v>0.97437888198757761</v>
      </c>
    </row>
    <row r="18" spans="1:17" x14ac:dyDescent="0.45">
      <c r="A18" t="s">
        <v>35</v>
      </c>
      <c r="B18" t="s">
        <v>98</v>
      </c>
      <c r="C18" s="26">
        <f>SUMIFS(INDEX(元データ_14項目!$D$2:$Q$1300,0,MATCH($B18,元データ_14項目!$D$1:$Q$1,0)),元データ_14項目!$A$2:$A$1300,$A18,元データ_14項目!$B$2:$B$1300,"本年",元データ_14項目!$C$2:$C$1300,C$5)</f>
        <v>11</v>
      </c>
      <c r="D18" s="26">
        <f>SUMIFS(INDEX(元データ_14項目!$D$2:$Q$1300,0,MATCH($B18,元データ_14項目!$D$1:$Q$1,0)),元データ_14項目!$A$2:$A$1300,$A18,元データ_14項目!$B$2:$B$1300,"本年",元データ_14項目!$C$2:$C$1300,D$5)</f>
        <v>13</v>
      </c>
      <c r="E18" s="26">
        <f>SUMIFS(INDEX(元データ_14項目!$D$2:$Q$1300,0,MATCH($B18,元データ_14項目!$D$1:$Q$1,0)),元データ_14項目!$A$2:$A$1300,$A18,元データ_14項目!$B$2:$B$1300,"本年",元データ_14項目!$C$2:$C$1300,E$5)</f>
        <v>28</v>
      </c>
      <c r="F18" s="26">
        <f>SUMIFS(INDEX(元データ_14項目!$D$2:$Q$1300,0,MATCH($B18,元データ_14項目!$D$1:$Q$1,0)),元データ_14項目!$A$2:$A$1300,$A18,元データ_14項目!$B$2:$B$1300,"本年",元データ_14項目!$C$2:$C$1300,F$5)</f>
        <v>22</v>
      </c>
      <c r="G18" s="26">
        <f>SUMIFS(INDEX(元データ_14項目!$D$2:$Q$1300,0,MATCH($B18,元データ_14項目!$D$1:$Q$1,0)),元データ_14項目!$A$2:$A$1300,$A18,元データ_14項目!$B$2:$B$1300,"本年",元データ_14項目!$C$2:$C$1300,G$5)</f>
        <v>26</v>
      </c>
      <c r="H18" s="26">
        <f>SUMIFS(INDEX(元データ_14項目!$D$2:$Q$1300,0,MATCH($B18,元データ_14項目!$D$1:$Q$1,0)),元データ_14項目!$A$2:$A$1300,$A18,元データ_14項目!$B$2:$B$1300,"本年",元データ_14項目!$C$2:$C$1300,H$5)</f>
        <v>16</v>
      </c>
      <c r="I18" s="26">
        <f>SUMIFS(INDEX(元データ_14項目!$D$2:$Q$1300,0,MATCH($B18,元データ_14項目!$D$1:$Q$1,0)),元データ_14項目!$A$2:$A$1300,$A18,元データ_14項目!$B$2:$B$1300,"本年",元データ_14項目!$C$2:$C$1300,I$5)</f>
        <v>12</v>
      </c>
      <c r="J18" s="26">
        <f>SUMIFS(INDEX(元データ_14項目!$D$2:$Q$1300,0,MATCH($B18,元データ_14項目!$D$1:$Q$1,0)),元データ_14項目!$A$2:$A$1300,$A18,元データ_14項目!$B$2:$B$1300,"本年",元データ_14項目!$C$2:$C$1300,J$5)</f>
        <v>129</v>
      </c>
      <c r="K18" s="26">
        <f>SUMIFS(INDEX(元データ_14項目!$D$2:$Q$1300,0,MATCH($B18,元データ_14項目!$D$1:$Q$1,0)),元データ_14項目!$A$2:$A$1300,$A18,元データ_14項目!$B$2:$B$1300,"本年",元データ_14項目!$C$2:$C$1300,K$5)</f>
        <v>300</v>
      </c>
      <c r="L18" s="26">
        <f>SUMIFS(INDEX(元データ_14項目!$D$2:$Q$1300,0,MATCH($B18,元データ_14項目!$D$1:$Q$1,0)),元データ_14項目!$A$2:$A$1300,$A18,元データ_14項目!$B$2:$B$1300,"本年",元データ_14項目!$C$2:$C$1300,L$5)</f>
        <v>117</v>
      </c>
      <c r="M18" s="26">
        <f>SUMIFS(INDEX(元データ_14項目!$D$2:$Q$1300,0,MATCH($B18,元データ_14項目!$D$1:$Q$1,0)),元データ_14項目!$A$2:$A$1300,$A18,元データ_14項目!$B$2:$B$1300,"本年",元データ_14項目!$C$2:$C$1300,M$5)</f>
        <v>70</v>
      </c>
      <c r="N18" s="26">
        <f>SUMIFS(INDEX(元データ_14項目!$D$2:$Q$1300,0,MATCH($B18,元データ_14項目!$D$1:$Q$1,0)),元データ_14項目!$A$2:$A$1300,$A18,元データ_14項目!$B$2:$B$1300,"本年",元データ_14項目!$C$2:$C$1300,N$5)</f>
        <v>29</v>
      </c>
      <c r="O18" s="26">
        <f t="shared" si="0"/>
        <v>773</v>
      </c>
      <c r="P18" s="26">
        <f>SUMIFS(INDEX(元データ_14項目!$D$2:$Q$1300,0,MATCH($B18,元データ_14項目!$D$1:$Q$1,0)),元データ_14項目!$A$2:$A$1300,$A18,元データ_14項目!$B$2:$B$1300,"前年")</f>
        <v>868</v>
      </c>
      <c r="Q18" s="7">
        <f t="shared" si="1"/>
        <v>0.89055299539170507</v>
      </c>
    </row>
    <row r="19" spans="1:17" x14ac:dyDescent="0.45">
      <c r="A19" t="s">
        <v>35</v>
      </c>
      <c r="B19" t="s">
        <v>99</v>
      </c>
      <c r="C19" s="26">
        <f>SUMIFS(INDEX(元データ_14項目!$D$2:$Q$1300,0,MATCH($B19,元データ_14項目!$D$1:$Q$1,0)),元データ_14項目!$A$2:$A$1300,$A19,元データ_14項目!$B$2:$B$1300,"本年",元データ_14項目!$C$2:$C$1300,C$5)</f>
        <v>0</v>
      </c>
      <c r="D19" s="26">
        <f>SUMIFS(INDEX(元データ_14項目!$D$2:$Q$1300,0,MATCH($B19,元データ_14項目!$D$1:$Q$1,0)),元データ_14項目!$A$2:$A$1300,$A19,元データ_14項目!$B$2:$B$1300,"本年",元データ_14項目!$C$2:$C$1300,D$5)</f>
        <v>0</v>
      </c>
      <c r="E19" s="26">
        <f>SUMIFS(INDEX(元データ_14項目!$D$2:$Q$1300,0,MATCH($B19,元データ_14項目!$D$1:$Q$1,0)),元データ_14項目!$A$2:$A$1300,$A19,元データ_14項目!$B$2:$B$1300,"本年",元データ_14項目!$C$2:$C$1300,E$5)</f>
        <v>10</v>
      </c>
      <c r="F19" s="26">
        <f>SUMIFS(INDEX(元データ_14項目!$D$2:$Q$1300,0,MATCH($B19,元データ_14項目!$D$1:$Q$1,0)),元データ_14項目!$A$2:$A$1300,$A19,元データ_14項目!$B$2:$B$1300,"本年",元データ_14項目!$C$2:$C$1300,F$5)</f>
        <v>6</v>
      </c>
      <c r="G19" s="26">
        <f>SUMIFS(INDEX(元データ_14項目!$D$2:$Q$1300,0,MATCH($B19,元データ_14項目!$D$1:$Q$1,0)),元データ_14項目!$A$2:$A$1300,$A19,元データ_14項目!$B$2:$B$1300,"本年",元データ_14項目!$C$2:$C$1300,G$5)</f>
        <v>2</v>
      </c>
      <c r="H19" s="26">
        <f>SUMIFS(INDEX(元データ_14項目!$D$2:$Q$1300,0,MATCH($B19,元データ_14項目!$D$1:$Q$1,0)),元データ_14項目!$A$2:$A$1300,$A19,元データ_14項目!$B$2:$B$1300,"本年",元データ_14項目!$C$2:$C$1300,H$5)</f>
        <v>0</v>
      </c>
      <c r="I19" s="26">
        <f>SUMIFS(INDEX(元データ_14項目!$D$2:$Q$1300,0,MATCH($B19,元データ_14項目!$D$1:$Q$1,0)),元データ_14項目!$A$2:$A$1300,$A19,元データ_14項目!$B$2:$B$1300,"本年",元データ_14項目!$C$2:$C$1300,I$5)</f>
        <v>4</v>
      </c>
      <c r="J19" s="26">
        <f>SUMIFS(INDEX(元データ_14項目!$D$2:$Q$1300,0,MATCH($B19,元データ_14項目!$D$1:$Q$1,0)),元データ_14項目!$A$2:$A$1300,$A19,元データ_14項目!$B$2:$B$1300,"本年",元データ_14項目!$C$2:$C$1300,J$5)</f>
        <v>5</v>
      </c>
      <c r="K19" s="26">
        <f>SUMIFS(INDEX(元データ_14項目!$D$2:$Q$1300,0,MATCH($B19,元データ_14項目!$D$1:$Q$1,0)),元データ_14項目!$A$2:$A$1300,$A19,元データ_14項目!$B$2:$B$1300,"本年",元データ_14項目!$C$2:$C$1300,K$5)</f>
        <v>21</v>
      </c>
      <c r="L19" s="26">
        <f>SUMIFS(INDEX(元データ_14項目!$D$2:$Q$1300,0,MATCH($B19,元データ_14項目!$D$1:$Q$1,0)),元データ_14項目!$A$2:$A$1300,$A19,元データ_14項目!$B$2:$B$1300,"本年",元データ_14項目!$C$2:$C$1300,L$5)</f>
        <v>12</v>
      </c>
      <c r="M19" s="26">
        <f>SUMIFS(INDEX(元データ_14項目!$D$2:$Q$1300,0,MATCH($B19,元データ_14項目!$D$1:$Q$1,0)),元データ_14項目!$A$2:$A$1300,$A19,元データ_14項目!$B$2:$B$1300,"本年",元データ_14項目!$C$2:$C$1300,M$5)</f>
        <v>2</v>
      </c>
      <c r="N19" s="26">
        <f>SUMIFS(INDEX(元データ_14項目!$D$2:$Q$1300,0,MATCH($B19,元データ_14項目!$D$1:$Q$1,0)),元データ_14項目!$A$2:$A$1300,$A19,元データ_14項目!$B$2:$B$1300,"本年",元データ_14項目!$C$2:$C$1300,N$5)</f>
        <v>2</v>
      </c>
      <c r="O19" s="26">
        <f t="shared" si="0"/>
        <v>64</v>
      </c>
      <c r="P19" s="26">
        <f>SUMIFS(INDEX(元データ_14項目!$D$2:$Q$1300,0,MATCH($B19,元データ_14項目!$D$1:$Q$1,0)),元データ_14項目!$A$2:$A$1300,$A19,元データ_14項目!$B$2:$B$1300,"前年")</f>
        <v>91</v>
      </c>
      <c r="Q19" s="7">
        <f t="shared" si="1"/>
        <v>0.70329670329670335</v>
      </c>
    </row>
    <row r="20" spans="1:17" x14ac:dyDescent="0.45">
      <c r="A20" t="s">
        <v>36</v>
      </c>
      <c r="B20" t="s">
        <v>27</v>
      </c>
      <c r="C20" s="26">
        <f>SUMIFS(INDEX(元データ_14項目!$D$2:$Q$1300,0,MATCH($B20,元データ_14項目!$D$1:$Q$1,0)),元データ_14項目!$A$2:$A$1300,$A20,元データ_14項目!$B$2:$B$1300,"本年",元データ_14項目!$C$2:$C$1300,C$5)</f>
        <v>1227</v>
      </c>
      <c r="D20" s="26">
        <f>SUMIFS(INDEX(元データ_14項目!$D$2:$Q$1300,0,MATCH($B20,元データ_14項目!$D$1:$Q$1,0)),元データ_14項目!$A$2:$A$1300,$A20,元データ_14項目!$B$2:$B$1300,"本年",元データ_14項目!$C$2:$C$1300,D$5)</f>
        <v>1396</v>
      </c>
      <c r="E20" s="26">
        <f>SUMIFS(INDEX(元データ_14項目!$D$2:$Q$1300,0,MATCH($B20,元データ_14項目!$D$1:$Q$1,0)),元データ_14項目!$A$2:$A$1300,$A20,元データ_14項目!$B$2:$B$1300,"本年",元データ_14項目!$C$2:$C$1300,E$5)</f>
        <v>1641</v>
      </c>
      <c r="F20" s="26">
        <f>SUMIFS(INDEX(元データ_14項目!$D$2:$Q$1300,0,MATCH($B20,元データ_14項目!$D$1:$Q$1,0)),元データ_14項目!$A$2:$A$1300,$A20,元データ_14項目!$B$2:$B$1300,"本年",元データ_14項目!$C$2:$C$1300,F$5)</f>
        <v>1391</v>
      </c>
      <c r="G20" s="26">
        <f>SUMIFS(INDEX(元データ_14項目!$D$2:$Q$1300,0,MATCH($B20,元データ_14項目!$D$1:$Q$1,0)),元データ_14項目!$A$2:$A$1300,$A20,元データ_14項目!$B$2:$B$1300,"本年",元データ_14項目!$C$2:$C$1300,G$5)</f>
        <v>1467</v>
      </c>
      <c r="H20" s="26">
        <f>SUMIFS(INDEX(元データ_14項目!$D$2:$Q$1300,0,MATCH($B20,元データ_14項目!$D$1:$Q$1,0)),元データ_14項目!$A$2:$A$1300,$A20,元データ_14項目!$B$2:$B$1300,"本年",元データ_14項目!$C$2:$C$1300,H$5)</f>
        <v>1107</v>
      </c>
      <c r="I20" s="26">
        <f>SUMIFS(INDEX(元データ_14項目!$D$2:$Q$1300,0,MATCH($B20,元データ_14項目!$D$1:$Q$1,0)),元データ_14項目!$A$2:$A$1300,$A20,元データ_14項目!$B$2:$B$1300,"本年",元データ_14項目!$C$2:$C$1300,I$5)</f>
        <v>1136</v>
      </c>
      <c r="J20" s="26">
        <f>SUMIFS(INDEX(元データ_14項目!$D$2:$Q$1300,0,MATCH($B20,元データ_14項目!$D$1:$Q$1,0)),元データ_14項目!$A$2:$A$1300,$A20,元データ_14項目!$B$2:$B$1300,"本年",元データ_14項目!$C$2:$C$1300,J$5)</f>
        <v>1407</v>
      </c>
      <c r="K20" s="26">
        <f>SUMIFS(INDEX(元データ_14項目!$D$2:$Q$1300,0,MATCH($B20,元データ_14項目!$D$1:$Q$1,0)),元データ_14項目!$A$2:$A$1300,$A20,元データ_14項目!$B$2:$B$1300,"本年",元データ_14項目!$C$2:$C$1300,K$5)</f>
        <v>1396</v>
      </c>
      <c r="L20" s="26">
        <f>SUMIFS(INDEX(元データ_14項目!$D$2:$Q$1300,0,MATCH($B20,元データ_14項目!$D$1:$Q$1,0)),元データ_14項目!$A$2:$A$1300,$A20,元データ_14項目!$B$2:$B$1300,"本年",元データ_14項目!$C$2:$C$1300,L$5)</f>
        <v>1164</v>
      </c>
      <c r="M20" s="26">
        <f>SUMIFS(INDEX(元データ_14項目!$D$2:$Q$1300,0,MATCH($B20,元データ_14項目!$D$1:$Q$1,0)),元データ_14項目!$A$2:$A$1300,$A20,元データ_14項目!$B$2:$B$1300,"本年",元データ_14項目!$C$2:$C$1300,M$5)</f>
        <v>1453</v>
      </c>
      <c r="N20" s="26">
        <f>SUMIFS(INDEX(元データ_14項目!$D$2:$Q$1300,0,MATCH($B20,元データ_14項目!$D$1:$Q$1,0)),元データ_14項目!$A$2:$A$1300,$A20,元データ_14項目!$B$2:$B$1300,"本年",元データ_14項目!$C$2:$C$1300,N$5)</f>
        <v>1244</v>
      </c>
      <c r="O20" s="26">
        <f t="shared" si="0"/>
        <v>16029</v>
      </c>
      <c r="P20" s="26">
        <f>SUMIFS(INDEX(元データ_14項目!$D$2:$Q$1300,0,MATCH($B20,元データ_14項目!$D$1:$Q$1,0)),元データ_14項目!$A$2:$A$1300,$A20,元データ_14項目!$B$2:$B$1300,"前年")</f>
        <v>18801</v>
      </c>
      <c r="Q20" s="7">
        <f t="shared" si="1"/>
        <v>0.8525610339875539</v>
      </c>
    </row>
    <row r="21" spans="1:17" x14ac:dyDescent="0.45">
      <c r="A21" t="s">
        <v>36</v>
      </c>
      <c r="B21" t="s">
        <v>88</v>
      </c>
      <c r="C21" s="26">
        <f>SUMIFS(INDEX(元データ_14項目!$D$2:$Q$1300,0,MATCH($B21,元データ_14項目!$D$1:$Q$1,0)),元データ_14項目!$A$2:$A$1300,$A21,元データ_14項目!$B$2:$B$1300,"本年",元データ_14項目!$C$2:$C$1300,C$5)</f>
        <v>47</v>
      </c>
      <c r="D21" s="26">
        <f>SUMIFS(INDEX(元データ_14項目!$D$2:$Q$1300,0,MATCH($B21,元データ_14項目!$D$1:$Q$1,0)),元データ_14項目!$A$2:$A$1300,$A21,元データ_14項目!$B$2:$B$1300,"本年",元データ_14項目!$C$2:$C$1300,D$5)</f>
        <v>47</v>
      </c>
      <c r="E21" s="26">
        <f>SUMIFS(INDEX(元データ_14項目!$D$2:$Q$1300,0,MATCH($B21,元データ_14項目!$D$1:$Q$1,0)),元データ_14項目!$A$2:$A$1300,$A21,元データ_14項目!$B$2:$B$1300,"本年",元データ_14項目!$C$2:$C$1300,E$5)</f>
        <v>76</v>
      </c>
      <c r="F21" s="26">
        <f>SUMIFS(INDEX(元データ_14項目!$D$2:$Q$1300,0,MATCH($B21,元データ_14項目!$D$1:$Q$1,0)),元データ_14項目!$A$2:$A$1300,$A21,元データ_14項目!$B$2:$B$1300,"本年",元データ_14項目!$C$2:$C$1300,F$5)</f>
        <v>66</v>
      </c>
      <c r="G21" s="26">
        <f>SUMIFS(INDEX(元データ_14項目!$D$2:$Q$1300,0,MATCH($B21,元データ_14項目!$D$1:$Q$1,0)),元データ_14項目!$A$2:$A$1300,$A21,元データ_14項目!$B$2:$B$1300,"本年",元データ_14項目!$C$2:$C$1300,G$5)</f>
        <v>97</v>
      </c>
      <c r="H21" s="26">
        <f>SUMIFS(INDEX(元データ_14項目!$D$2:$Q$1300,0,MATCH($B21,元データ_14項目!$D$1:$Q$1,0)),元データ_14項目!$A$2:$A$1300,$A21,元データ_14項目!$B$2:$B$1300,"本年",元データ_14項目!$C$2:$C$1300,H$5)</f>
        <v>27</v>
      </c>
      <c r="I21" s="26">
        <f>SUMIFS(INDEX(元データ_14項目!$D$2:$Q$1300,0,MATCH($B21,元データ_14項目!$D$1:$Q$1,0)),元データ_14項目!$A$2:$A$1300,$A21,元データ_14項目!$B$2:$B$1300,"本年",元データ_14項目!$C$2:$C$1300,I$5)</f>
        <v>26</v>
      </c>
      <c r="J21" s="26">
        <f>SUMIFS(INDEX(元データ_14項目!$D$2:$Q$1300,0,MATCH($B21,元データ_14項目!$D$1:$Q$1,0)),元データ_14項目!$A$2:$A$1300,$A21,元データ_14項目!$B$2:$B$1300,"本年",元データ_14項目!$C$2:$C$1300,J$5)</f>
        <v>45</v>
      </c>
      <c r="K21" s="26">
        <f>SUMIFS(INDEX(元データ_14項目!$D$2:$Q$1300,0,MATCH($B21,元データ_14項目!$D$1:$Q$1,0)),元データ_14項目!$A$2:$A$1300,$A21,元データ_14項目!$B$2:$B$1300,"本年",元データ_14項目!$C$2:$C$1300,K$5)</f>
        <v>89</v>
      </c>
      <c r="L21" s="26">
        <f>SUMIFS(INDEX(元データ_14項目!$D$2:$Q$1300,0,MATCH($B21,元データ_14項目!$D$1:$Q$1,0)),元データ_14項目!$A$2:$A$1300,$A21,元データ_14項目!$B$2:$B$1300,"本年",元データ_14項目!$C$2:$C$1300,L$5)</f>
        <v>59</v>
      </c>
      <c r="M21" s="26">
        <f>SUMIFS(INDEX(元データ_14項目!$D$2:$Q$1300,0,MATCH($B21,元データ_14項目!$D$1:$Q$1,0)),元データ_14項目!$A$2:$A$1300,$A21,元データ_14項目!$B$2:$B$1300,"本年",元データ_14項目!$C$2:$C$1300,M$5)</f>
        <v>65</v>
      </c>
      <c r="N21" s="26">
        <f>SUMIFS(INDEX(元データ_14項目!$D$2:$Q$1300,0,MATCH($B21,元データ_14項目!$D$1:$Q$1,0)),元データ_14項目!$A$2:$A$1300,$A21,元データ_14項目!$B$2:$B$1300,"本年",元データ_14項目!$C$2:$C$1300,N$5)</f>
        <v>69</v>
      </c>
      <c r="O21" s="26">
        <f t="shared" si="0"/>
        <v>713</v>
      </c>
      <c r="P21" s="26">
        <f>SUMIFS(INDEX(元データ_14項目!$D$2:$Q$1300,0,MATCH($B21,元データ_14項目!$D$1:$Q$1,0)),元データ_14項目!$A$2:$A$1300,$A21,元データ_14項目!$B$2:$B$1300,"前年")</f>
        <v>749</v>
      </c>
      <c r="Q21" s="7">
        <f t="shared" si="1"/>
        <v>0.95193591455273696</v>
      </c>
    </row>
    <row r="22" spans="1:17" x14ac:dyDescent="0.45">
      <c r="A22" t="s">
        <v>36</v>
      </c>
      <c r="B22" t="s">
        <v>89</v>
      </c>
      <c r="C22" s="26">
        <f>SUMIFS(INDEX(元データ_14項目!$D$2:$Q$1300,0,MATCH($B22,元データ_14項目!$D$1:$Q$1,0)),元データ_14項目!$A$2:$A$1300,$A22,元データ_14項目!$B$2:$B$1300,"本年",元データ_14項目!$C$2:$C$1300,C$5)</f>
        <v>60</v>
      </c>
      <c r="D22" s="26">
        <f>SUMIFS(INDEX(元データ_14項目!$D$2:$Q$1300,0,MATCH($B22,元データ_14項目!$D$1:$Q$1,0)),元データ_14項目!$A$2:$A$1300,$A22,元データ_14項目!$B$2:$B$1300,"本年",元データ_14項目!$C$2:$C$1300,D$5)</f>
        <v>45</v>
      </c>
      <c r="E22" s="26">
        <f>SUMIFS(INDEX(元データ_14項目!$D$2:$Q$1300,0,MATCH($B22,元データ_14項目!$D$1:$Q$1,0)),元データ_14項目!$A$2:$A$1300,$A22,元データ_14項目!$B$2:$B$1300,"本年",元データ_14項目!$C$2:$C$1300,E$5)</f>
        <v>76</v>
      </c>
      <c r="F22" s="26">
        <f>SUMIFS(INDEX(元データ_14項目!$D$2:$Q$1300,0,MATCH($B22,元データ_14項目!$D$1:$Q$1,0)),元データ_14項目!$A$2:$A$1300,$A22,元データ_14項目!$B$2:$B$1300,"本年",元データ_14項目!$C$2:$C$1300,F$5)</f>
        <v>48</v>
      </c>
      <c r="G22" s="26">
        <f>SUMIFS(INDEX(元データ_14項目!$D$2:$Q$1300,0,MATCH($B22,元データ_14項目!$D$1:$Q$1,0)),元データ_14項目!$A$2:$A$1300,$A22,元データ_14項目!$B$2:$B$1300,"本年",元データ_14項目!$C$2:$C$1300,G$5)</f>
        <v>43</v>
      </c>
      <c r="H22" s="26">
        <f>SUMIFS(INDEX(元データ_14項目!$D$2:$Q$1300,0,MATCH($B22,元データ_14項目!$D$1:$Q$1,0)),元データ_14項目!$A$2:$A$1300,$A22,元データ_14項目!$B$2:$B$1300,"本年",元データ_14項目!$C$2:$C$1300,H$5)</f>
        <v>13</v>
      </c>
      <c r="I22" s="26">
        <f>SUMIFS(INDEX(元データ_14項目!$D$2:$Q$1300,0,MATCH($B22,元データ_14項目!$D$1:$Q$1,0)),元データ_14項目!$A$2:$A$1300,$A22,元データ_14項目!$B$2:$B$1300,"本年",元データ_14項目!$C$2:$C$1300,I$5)</f>
        <v>14</v>
      </c>
      <c r="J22" s="26">
        <f>SUMIFS(INDEX(元データ_14項目!$D$2:$Q$1300,0,MATCH($B22,元データ_14項目!$D$1:$Q$1,0)),元データ_14項目!$A$2:$A$1300,$A22,元データ_14項目!$B$2:$B$1300,"本年",元データ_14項目!$C$2:$C$1300,J$5)</f>
        <v>52</v>
      </c>
      <c r="K22" s="26">
        <f>SUMIFS(INDEX(元データ_14項目!$D$2:$Q$1300,0,MATCH($B22,元データ_14項目!$D$1:$Q$1,0)),元データ_14項目!$A$2:$A$1300,$A22,元データ_14項目!$B$2:$B$1300,"本年",元データ_14項目!$C$2:$C$1300,K$5)</f>
        <v>72</v>
      </c>
      <c r="L22" s="26">
        <f>SUMIFS(INDEX(元データ_14項目!$D$2:$Q$1300,0,MATCH($B22,元データ_14項目!$D$1:$Q$1,0)),元データ_14項目!$A$2:$A$1300,$A22,元データ_14項目!$B$2:$B$1300,"本年",元データ_14項目!$C$2:$C$1300,L$5)</f>
        <v>36</v>
      </c>
      <c r="M22" s="26">
        <f>SUMIFS(INDEX(元データ_14項目!$D$2:$Q$1300,0,MATCH($B22,元データ_14項目!$D$1:$Q$1,0)),元データ_14項目!$A$2:$A$1300,$A22,元データ_14項目!$B$2:$B$1300,"本年",元データ_14項目!$C$2:$C$1300,M$5)</f>
        <v>36</v>
      </c>
      <c r="N22" s="26">
        <f>SUMIFS(INDEX(元データ_14項目!$D$2:$Q$1300,0,MATCH($B22,元データ_14項目!$D$1:$Q$1,0)),元データ_14項目!$A$2:$A$1300,$A22,元データ_14項目!$B$2:$B$1300,"本年",元データ_14項目!$C$2:$C$1300,N$5)</f>
        <v>51</v>
      </c>
      <c r="O22" s="26">
        <f t="shared" si="0"/>
        <v>546</v>
      </c>
      <c r="P22" s="26">
        <f>SUMIFS(INDEX(元データ_14項目!$D$2:$Q$1300,0,MATCH($B22,元データ_14項目!$D$1:$Q$1,0)),元データ_14項目!$A$2:$A$1300,$A22,元データ_14項目!$B$2:$B$1300,"前年")</f>
        <v>572</v>
      </c>
      <c r="Q22" s="7">
        <f t="shared" si="1"/>
        <v>0.95454545454545459</v>
      </c>
    </row>
    <row r="23" spans="1:17" x14ac:dyDescent="0.45">
      <c r="A23" t="s">
        <v>36</v>
      </c>
      <c r="B23" t="s">
        <v>90</v>
      </c>
      <c r="C23" s="26">
        <f>SUMIFS(INDEX(元データ_14項目!$D$2:$Q$1300,0,MATCH($B23,元データ_14項目!$D$1:$Q$1,0)),元データ_14項目!$A$2:$A$1300,$A23,元データ_14項目!$B$2:$B$1300,"本年",元データ_14項目!$C$2:$C$1300,C$5)</f>
        <v>77</v>
      </c>
      <c r="D23" s="26">
        <f>SUMIFS(INDEX(元データ_14項目!$D$2:$Q$1300,0,MATCH($B23,元データ_14項目!$D$1:$Q$1,0)),元データ_14項目!$A$2:$A$1300,$A23,元データ_14項目!$B$2:$B$1300,"本年",元データ_14項目!$C$2:$C$1300,D$5)</f>
        <v>49</v>
      </c>
      <c r="E23" s="26">
        <f>SUMIFS(INDEX(元データ_14項目!$D$2:$Q$1300,0,MATCH($B23,元データ_14項目!$D$1:$Q$1,0)),元データ_14項目!$A$2:$A$1300,$A23,元データ_14項目!$B$2:$B$1300,"本年",元データ_14項目!$C$2:$C$1300,E$5)</f>
        <v>88</v>
      </c>
      <c r="F23" s="26">
        <f>SUMIFS(INDEX(元データ_14項目!$D$2:$Q$1300,0,MATCH($B23,元データ_14項目!$D$1:$Q$1,0)),元データ_14項目!$A$2:$A$1300,$A23,元データ_14項目!$B$2:$B$1300,"本年",元データ_14項目!$C$2:$C$1300,F$5)</f>
        <v>159</v>
      </c>
      <c r="G23" s="26">
        <f>SUMIFS(INDEX(元データ_14項目!$D$2:$Q$1300,0,MATCH($B23,元データ_14項目!$D$1:$Q$1,0)),元データ_14項目!$A$2:$A$1300,$A23,元データ_14項目!$B$2:$B$1300,"本年",元データ_14項目!$C$2:$C$1300,G$5)</f>
        <v>236</v>
      </c>
      <c r="H23" s="26">
        <f>SUMIFS(INDEX(元データ_14項目!$D$2:$Q$1300,0,MATCH($B23,元データ_14項目!$D$1:$Q$1,0)),元データ_14項目!$A$2:$A$1300,$A23,元データ_14項目!$B$2:$B$1300,"本年",元データ_14項目!$C$2:$C$1300,H$5)</f>
        <v>166</v>
      </c>
      <c r="I23" s="26">
        <f>SUMIFS(INDEX(元データ_14項目!$D$2:$Q$1300,0,MATCH($B23,元データ_14項目!$D$1:$Q$1,0)),元データ_14項目!$A$2:$A$1300,$A23,元データ_14項目!$B$2:$B$1300,"本年",元データ_14項目!$C$2:$C$1300,I$5)</f>
        <v>102</v>
      </c>
      <c r="J23" s="26">
        <f>SUMIFS(INDEX(元データ_14項目!$D$2:$Q$1300,0,MATCH($B23,元データ_14項目!$D$1:$Q$1,0)),元データ_14項目!$A$2:$A$1300,$A23,元データ_14項目!$B$2:$B$1300,"本年",元データ_14項目!$C$2:$C$1300,J$5)</f>
        <v>256</v>
      </c>
      <c r="K23" s="26">
        <f>SUMIFS(INDEX(元データ_14項目!$D$2:$Q$1300,0,MATCH($B23,元データ_14項目!$D$1:$Q$1,0)),元データ_14項目!$A$2:$A$1300,$A23,元データ_14項目!$B$2:$B$1300,"本年",元データ_14項目!$C$2:$C$1300,K$5)</f>
        <v>352</v>
      </c>
      <c r="L23" s="26">
        <f>SUMIFS(INDEX(元データ_14項目!$D$2:$Q$1300,0,MATCH($B23,元データ_14項目!$D$1:$Q$1,0)),元データ_14項目!$A$2:$A$1300,$A23,元データ_14項目!$B$2:$B$1300,"本年",元データ_14項目!$C$2:$C$1300,L$5)</f>
        <v>225</v>
      </c>
      <c r="M23" s="26">
        <f>SUMIFS(INDEX(元データ_14項目!$D$2:$Q$1300,0,MATCH($B23,元データ_14項目!$D$1:$Q$1,0)),元データ_14項目!$A$2:$A$1300,$A23,元データ_14項目!$B$2:$B$1300,"本年",元データ_14項目!$C$2:$C$1300,M$5)</f>
        <v>190</v>
      </c>
      <c r="N23" s="26">
        <f>SUMIFS(INDEX(元データ_14項目!$D$2:$Q$1300,0,MATCH($B23,元データ_14項目!$D$1:$Q$1,0)),元データ_14項目!$A$2:$A$1300,$A23,元データ_14項目!$B$2:$B$1300,"本年",元データ_14項目!$C$2:$C$1300,N$5)</f>
        <v>98</v>
      </c>
      <c r="O23" s="26">
        <f t="shared" si="0"/>
        <v>1998</v>
      </c>
      <c r="P23" s="26">
        <f>SUMIFS(INDEX(元データ_14項目!$D$2:$Q$1300,0,MATCH($B23,元データ_14項目!$D$1:$Q$1,0)),元データ_14項目!$A$2:$A$1300,$A23,元データ_14項目!$B$2:$B$1300,"前年")</f>
        <v>2250</v>
      </c>
      <c r="Q23" s="7">
        <f t="shared" si="1"/>
        <v>0.88800000000000001</v>
      </c>
    </row>
    <row r="24" spans="1:17" x14ac:dyDescent="0.45">
      <c r="A24" t="s">
        <v>36</v>
      </c>
      <c r="B24" t="s">
        <v>91</v>
      </c>
      <c r="C24" s="26">
        <f>SUMIFS(INDEX(元データ_14項目!$D$2:$Q$1300,0,MATCH($B24,元データ_14項目!$D$1:$Q$1,0)),元データ_14項目!$A$2:$A$1300,$A24,元データ_14項目!$B$2:$B$1300,"本年",元データ_14項目!$C$2:$C$1300,C$5)</f>
        <v>22</v>
      </c>
      <c r="D24" s="26">
        <f>SUMIFS(INDEX(元データ_14項目!$D$2:$Q$1300,0,MATCH($B24,元データ_14項目!$D$1:$Q$1,0)),元データ_14項目!$A$2:$A$1300,$A24,元データ_14項目!$B$2:$B$1300,"本年",元データ_14項目!$C$2:$C$1300,D$5)</f>
        <v>46</v>
      </c>
      <c r="E24" s="26">
        <f>SUMIFS(INDEX(元データ_14項目!$D$2:$Q$1300,0,MATCH($B24,元データ_14項目!$D$1:$Q$1,0)),元データ_14項目!$A$2:$A$1300,$A24,元データ_14項目!$B$2:$B$1300,"本年",元データ_14項目!$C$2:$C$1300,E$5)</f>
        <v>74</v>
      </c>
      <c r="F24" s="26">
        <f>SUMIFS(INDEX(元データ_14項目!$D$2:$Q$1300,0,MATCH($B24,元データ_14項目!$D$1:$Q$1,0)),元データ_14項目!$A$2:$A$1300,$A24,元データ_14項目!$B$2:$B$1300,"本年",元データ_14項目!$C$2:$C$1300,F$5)</f>
        <v>57</v>
      </c>
      <c r="G24" s="26">
        <f>SUMIFS(INDEX(元データ_14項目!$D$2:$Q$1300,0,MATCH($B24,元データ_14項目!$D$1:$Q$1,0)),元データ_14項目!$A$2:$A$1300,$A24,元データ_14項目!$B$2:$B$1300,"本年",元データ_14項目!$C$2:$C$1300,G$5)</f>
        <v>47</v>
      </c>
      <c r="H24" s="26">
        <f>SUMIFS(INDEX(元データ_14項目!$D$2:$Q$1300,0,MATCH($B24,元データ_14項目!$D$1:$Q$1,0)),元データ_14項目!$A$2:$A$1300,$A24,元データ_14項目!$B$2:$B$1300,"本年",元データ_14項目!$C$2:$C$1300,H$5)</f>
        <v>16</v>
      </c>
      <c r="I24" s="26">
        <f>SUMIFS(INDEX(元データ_14項目!$D$2:$Q$1300,0,MATCH($B24,元データ_14項目!$D$1:$Q$1,0)),元データ_14項目!$A$2:$A$1300,$A24,元データ_14項目!$B$2:$B$1300,"本年",元データ_14項目!$C$2:$C$1300,I$5)</f>
        <v>15</v>
      </c>
      <c r="J24" s="26">
        <f>SUMIFS(INDEX(元データ_14項目!$D$2:$Q$1300,0,MATCH($B24,元データ_14項目!$D$1:$Q$1,0)),元データ_14項目!$A$2:$A$1300,$A24,元データ_14項目!$B$2:$B$1300,"本年",元データ_14項目!$C$2:$C$1300,J$5)</f>
        <v>20</v>
      </c>
      <c r="K24" s="26">
        <f>SUMIFS(INDEX(元データ_14項目!$D$2:$Q$1300,0,MATCH($B24,元データ_14項目!$D$1:$Q$1,0)),元データ_14項目!$A$2:$A$1300,$A24,元データ_14項目!$B$2:$B$1300,"本年",元データ_14項目!$C$2:$C$1300,K$5)</f>
        <v>40</v>
      </c>
      <c r="L24" s="26">
        <f>SUMIFS(INDEX(元データ_14項目!$D$2:$Q$1300,0,MATCH($B24,元データ_14項目!$D$1:$Q$1,0)),元データ_14項目!$A$2:$A$1300,$A24,元データ_14項目!$B$2:$B$1300,"本年",元データ_14項目!$C$2:$C$1300,L$5)</f>
        <v>45</v>
      </c>
      <c r="M24" s="26">
        <f>SUMIFS(INDEX(元データ_14項目!$D$2:$Q$1300,0,MATCH($B24,元データ_14項目!$D$1:$Q$1,0)),元データ_14項目!$A$2:$A$1300,$A24,元データ_14項目!$B$2:$B$1300,"本年",元データ_14項目!$C$2:$C$1300,M$5)</f>
        <v>47</v>
      </c>
      <c r="N24" s="26">
        <f>SUMIFS(INDEX(元データ_14項目!$D$2:$Q$1300,0,MATCH($B24,元データ_14項目!$D$1:$Q$1,0)),元データ_14項目!$A$2:$A$1300,$A24,元データ_14項目!$B$2:$B$1300,"本年",元データ_14項目!$C$2:$C$1300,N$5)</f>
        <v>35</v>
      </c>
      <c r="O24" s="26">
        <f t="shared" si="0"/>
        <v>464</v>
      </c>
      <c r="P24" s="26">
        <f>SUMIFS(INDEX(元データ_14項目!$D$2:$Q$1300,0,MATCH($B24,元データ_14項目!$D$1:$Q$1,0)),元データ_14項目!$A$2:$A$1300,$A24,元データ_14項目!$B$2:$B$1300,"前年")</f>
        <v>472</v>
      </c>
      <c r="Q24" s="7">
        <f t="shared" si="1"/>
        <v>0.98305084745762716</v>
      </c>
    </row>
    <row r="25" spans="1:17" x14ac:dyDescent="0.45">
      <c r="A25" t="s">
        <v>36</v>
      </c>
      <c r="B25" t="s">
        <v>28</v>
      </c>
      <c r="C25" s="26">
        <f>SUMIFS(INDEX(元データ_14項目!$D$2:$Q$1300,0,MATCH($B25,元データ_14項目!$D$1:$Q$1,0)),元データ_14項目!$A$2:$A$1300,$A25,元データ_14項目!$B$2:$B$1300,"本年",元データ_14項目!$C$2:$C$1300,C$5)</f>
        <v>308</v>
      </c>
      <c r="D25" s="26">
        <f>SUMIFS(INDEX(元データ_14項目!$D$2:$Q$1300,0,MATCH($B25,元データ_14項目!$D$1:$Q$1,0)),元データ_14項目!$A$2:$A$1300,$A25,元データ_14項目!$B$2:$B$1300,"本年",元データ_14項目!$C$2:$C$1300,D$5)</f>
        <v>395</v>
      </c>
      <c r="E25" s="26">
        <f>SUMIFS(INDEX(元データ_14項目!$D$2:$Q$1300,0,MATCH($B25,元データ_14項目!$D$1:$Q$1,0)),元データ_14項目!$A$2:$A$1300,$A25,元データ_14項目!$B$2:$B$1300,"本年",元データ_14項目!$C$2:$C$1300,E$5)</f>
        <v>405</v>
      </c>
      <c r="F25" s="26">
        <f>SUMIFS(INDEX(元データ_14項目!$D$2:$Q$1300,0,MATCH($B25,元データ_14項目!$D$1:$Q$1,0)),元データ_14項目!$A$2:$A$1300,$A25,元データ_14項目!$B$2:$B$1300,"本年",元データ_14項目!$C$2:$C$1300,F$5)</f>
        <v>367</v>
      </c>
      <c r="G25" s="26">
        <f>SUMIFS(INDEX(元データ_14項目!$D$2:$Q$1300,0,MATCH($B25,元データ_14項目!$D$1:$Q$1,0)),元データ_14項目!$A$2:$A$1300,$A25,元データ_14項目!$B$2:$B$1300,"本年",元データ_14項目!$C$2:$C$1300,G$5)</f>
        <v>315</v>
      </c>
      <c r="H25" s="26">
        <f>SUMIFS(INDEX(元データ_14項目!$D$2:$Q$1300,0,MATCH($B25,元データ_14項目!$D$1:$Q$1,0)),元データ_14項目!$A$2:$A$1300,$A25,元データ_14項目!$B$2:$B$1300,"本年",元データ_14項目!$C$2:$C$1300,H$5)</f>
        <v>173</v>
      </c>
      <c r="I25" s="26">
        <f>SUMIFS(INDEX(元データ_14項目!$D$2:$Q$1300,0,MATCH($B25,元データ_14項目!$D$1:$Q$1,0)),元データ_14項目!$A$2:$A$1300,$A25,元データ_14項目!$B$2:$B$1300,"本年",元データ_14項目!$C$2:$C$1300,I$5)</f>
        <v>176</v>
      </c>
      <c r="J25" s="26">
        <f>SUMIFS(INDEX(元データ_14項目!$D$2:$Q$1300,0,MATCH($B25,元データ_14項目!$D$1:$Q$1,0)),元データ_14項目!$A$2:$A$1300,$A25,元データ_14項目!$B$2:$B$1300,"本年",元データ_14項目!$C$2:$C$1300,J$5)</f>
        <v>233</v>
      </c>
      <c r="K25" s="26">
        <f>SUMIFS(INDEX(元データ_14項目!$D$2:$Q$1300,0,MATCH($B25,元データ_14項目!$D$1:$Q$1,0)),元データ_14項目!$A$2:$A$1300,$A25,元データ_14項目!$B$2:$B$1300,"本年",元データ_14項目!$C$2:$C$1300,K$5)</f>
        <v>287</v>
      </c>
      <c r="L25" s="26">
        <f>SUMIFS(INDEX(元データ_14項目!$D$2:$Q$1300,0,MATCH($B25,元データ_14項目!$D$1:$Q$1,0)),元データ_14項目!$A$2:$A$1300,$A25,元データ_14項目!$B$2:$B$1300,"本年",元データ_14項目!$C$2:$C$1300,L$5)</f>
        <v>273</v>
      </c>
      <c r="M25" s="26">
        <f>SUMIFS(INDEX(元データ_14項目!$D$2:$Q$1300,0,MATCH($B25,元データ_14項目!$D$1:$Q$1,0)),元データ_14項目!$A$2:$A$1300,$A25,元データ_14項目!$B$2:$B$1300,"本年",元データ_14項目!$C$2:$C$1300,M$5)</f>
        <v>307</v>
      </c>
      <c r="N25" s="26">
        <f>SUMIFS(INDEX(元データ_14項目!$D$2:$Q$1300,0,MATCH($B25,元データ_14項目!$D$1:$Q$1,0)),元データ_14項目!$A$2:$A$1300,$A25,元データ_14項目!$B$2:$B$1300,"本年",元データ_14項目!$C$2:$C$1300,N$5)</f>
        <v>3472</v>
      </c>
      <c r="O25" s="26">
        <f t="shared" si="0"/>
        <v>6711</v>
      </c>
      <c r="P25" s="26">
        <f>SUMIFS(INDEX(元データ_14項目!$D$2:$Q$1300,0,MATCH($B25,元データ_14項目!$D$1:$Q$1,0)),元データ_14項目!$A$2:$A$1300,$A25,元データ_14項目!$B$2:$B$1300,"前年")</f>
        <v>4101</v>
      </c>
      <c r="Q25" s="7">
        <f t="shared" si="1"/>
        <v>1.6364301389904901</v>
      </c>
    </row>
    <row r="26" spans="1:17" x14ac:dyDescent="0.45">
      <c r="A26" t="s">
        <v>36</v>
      </c>
      <c r="B26" t="s">
        <v>92</v>
      </c>
      <c r="C26" s="26">
        <f>SUMIFS(INDEX(元データ_14項目!$D$2:$Q$1300,0,MATCH($B26,元データ_14項目!$D$1:$Q$1,0)),元データ_14項目!$A$2:$A$1300,$A26,元データ_14項目!$B$2:$B$1300,"本年",元データ_14項目!$C$2:$C$1300,C$5)</f>
        <v>31</v>
      </c>
      <c r="D26" s="26">
        <f>SUMIFS(INDEX(元データ_14項目!$D$2:$Q$1300,0,MATCH($B26,元データ_14項目!$D$1:$Q$1,0)),元データ_14項目!$A$2:$A$1300,$A26,元データ_14項目!$B$2:$B$1300,"本年",元データ_14項目!$C$2:$C$1300,D$5)</f>
        <v>44</v>
      </c>
      <c r="E26" s="26">
        <f>SUMIFS(INDEX(元データ_14項目!$D$2:$Q$1300,0,MATCH($B26,元データ_14項目!$D$1:$Q$1,0)),元データ_14項目!$A$2:$A$1300,$A26,元データ_14項目!$B$2:$B$1300,"本年",元データ_14項目!$C$2:$C$1300,E$5)</f>
        <v>74</v>
      </c>
      <c r="F26" s="26">
        <f>SUMIFS(INDEX(元データ_14項目!$D$2:$Q$1300,0,MATCH($B26,元データ_14項目!$D$1:$Q$1,0)),元データ_14項目!$A$2:$A$1300,$A26,元データ_14項目!$B$2:$B$1300,"本年",元データ_14項目!$C$2:$C$1300,F$5)</f>
        <v>36</v>
      </c>
      <c r="G26" s="26">
        <f>SUMIFS(INDEX(元データ_14項目!$D$2:$Q$1300,0,MATCH($B26,元データ_14項目!$D$1:$Q$1,0)),元データ_14項目!$A$2:$A$1300,$A26,元データ_14項目!$B$2:$B$1300,"本年",元データ_14項目!$C$2:$C$1300,G$5)</f>
        <v>38</v>
      </c>
      <c r="H26" s="26">
        <f>SUMIFS(INDEX(元データ_14項目!$D$2:$Q$1300,0,MATCH($B26,元データ_14項目!$D$1:$Q$1,0)),元データ_14項目!$A$2:$A$1300,$A26,元データ_14項目!$B$2:$B$1300,"本年",元データ_14項目!$C$2:$C$1300,H$5)</f>
        <v>16</v>
      </c>
      <c r="I26" s="26">
        <f>SUMIFS(INDEX(元データ_14項目!$D$2:$Q$1300,0,MATCH($B26,元データ_14項目!$D$1:$Q$1,0)),元データ_14項目!$A$2:$A$1300,$A26,元データ_14項目!$B$2:$B$1300,"本年",元データ_14項目!$C$2:$C$1300,I$5)</f>
        <v>12</v>
      </c>
      <c r="J26" s="26">
        <f>SUMIFS(INDEX(元データ_14項目!$D$2:$Q$1300,0,MATCH($B26,元データ_14項目!$D$1:$Q$1,0)),元データ_14項目!$A$2:$A$1300,$A26,元データ_14項目!$B$2:$B$1300,"本年",元データ_14項目!$C$2:$C$1300,J$5)</f>
        <v>23</v>
      </c>
      <c r="K26" s="26">
        <f>SUMIFS(INDEX(元データ_14項目!$D$2:$Q$1300,0,MATCH($B26,元データ_14項目!$D$1:$Q$1,0)),元データ_14項目!$A$2:$A$1300,$A26,元データ_14項目!$B$2:$B$1300,"本年",元データ_14項目!$C$2:$C$1300,K$5)</f>
        <v>88</v>
      </c>
      <c r="L26" s="26">
        <f>SUMIFS(INDEX(元データ_14項目!$D$2:$Q$1300,0,MATCH($B26,元データ_14項目!$D$1:$Q$1,0)),元データ_14項目!$A$2:$A$1300,$A26,元データ_14項目!$B$2:$B$1300,"本年",元データ_14項目!$C$2:$C$1300,L$5)</f>
        <v>64</v>
      </c>
      <c r="M26" s="26">
        <f>SUMIFS(INDEX(元データ_14項目!$D$2:$Q$1300,0,MATCH($B26,元データ_14項目!$D$1:$Q$1,0)),元データ_14項目!$A$2:$A$1300,$A26,元データ_14項目!$B$2:$B$1300,"本年",元データ_14項目!$C$2:$C$1300,M$5)</f>
        <v>36</v>
      </c>
      <c r="N26" s="26">
        <f>SUMIFS(INDEX(元データ_14項目!$D$2:$Q$1300,0,MATCH($B26,元データ_14項目!$D$1:$Q$1,0)),元データ_14項目!$A$2:$A$1300,$A26,元データ_14項目!$B$2:$B$1300,"本年",元データ_14項目!$C$2:$C$1300,N$5)</f>
        <v>43</v>
      </c>
      <c r="O26" s="26">
        <f t="shared" si="0"/>
        <v>505</v>
      </c>
      <c r="P26" s="26">
        <f>SUMIFS(INDEX(元データ_14項目!$D$2:$Q$1300,0,MATCH($B26,元データ_14項目!$D$1:$Q$1,0)),元データ_14項目!$A$2:$A$1300,$A26,元データ_14項目!$B$2:$B$1300,"前年")</f>
        <v>513</v>
      </c>
      <c r="Q26" s="7">
        <f t="shared" si="1"/>
        <v>0.98440545808966862</v>
      </c>
    </row>
    <row r="27" spans="1:17" x14ac:dyDescent="0.45">
      <c r="A27" t="s">
        <v>36</v>
      </c>
      <c r="B27" t="s">
        <v>93</v>
      </c>
      <c r="C27" s="26">
        <f>SUMIFS(INDEX(元データ_14項目!$D$2:$Q$1300,0,MATCH($B27,元データ_14項目!$D$1:$Q$1,0)),元データ_14項目!$A$2:$A$1300,$A27,元データ_14項目!$B$2:$B$1300,"本年",元データ_14項目!$C$2:$C$1300,C$5)</f>
        <v>17</v>
      </c>
      <c r="D27" s="26">
        <f>SUMIFS(INDEX(元データ_14項目!$D$2:$Q$1300,0,MATCH($B27,元データ_14項目!$D$1:$Q$1,0)),元データ_14項目!$A$2:$A$1300,$A27,元データ_14項目!$B$2:$B$1300,"本年",元データ_14項目!$C$2:$C$1300,D$5)</f>
        <v>20</v>
      </c>
      <c r="E27" s="26">
        <f>SUMIFS(INDEX(元データ_14項目!$D$2:$Q$1300,0,MATCH($B27,元データ_14項目!$D$1:$Q$1,0)),元データ_14項目!$A$2:$A$1300,$A27,元データ_14項目!$B$2:$B$1300,"本年",元データ_14項目!$C$2:$C$1300,E$5)</f>
        <v>47</v>
      </c>
      <c r="F27" s="26">
        <f>SUMIFS(INDEX(元データ_14項目!$D$2:$Q$1300,0,MATCH($B27,元データ_14項目!$D$1:$Q$1,0)),元データ_14項目!$A$2:$A$1300,$A27,元データ_14項目!$B$2:$B$1300,"本年",元データ_14項目!$C$2:$C$1300,F$5)</f>
        <v>48</v>
      </c>
      <c r="G27" s="26">
        <f>SUMIFS(INDEX(元データ_14項目!$D$2:$Q$1300,0,MATCH($B27,元データ_14項目!$D$1:$Q$1,0)),元データ_14項目!$A$2:$A$1300,$A27,元データ_14項目!$B$2:$B$1300,"本年",元データ_14項目!$C$2:$C$1300,G$5)</f>
        <v>103</v>
      </c>
      <c r="H27" s="26">
        <f>SUMIFS(INDEX(元データ_14項目!$D$2:$Q$1300,0,MATCH($B27,元データ_14項目!$D$1:$Q$1,0)),元データ_14項目!$A$2:$A$1300,$A27,元データ_14項目!$B$2:$B$1300,"本年",元データ_14項目!$C$2:$C$1300,H$5)</f>
        <v>92</v>
      </c>
      <c r="I27" s="26">
        <f>SUMIFS(INDEX(元データ_14項目!$D$2:$Q$1300,0,MATCH($B27,元データ_14項目!$D$1:$Q$1,0)),元データ_14項目!$A$2:$A$1300,$A27,元データ_14項目!$B$2:$B$1300,"本年",元データ_14項目!$C$2:$C$1300,I$5)</f>
        <v>49</v>
      </c>
      <c r="J27" s="26">
        <f>SUMIFS(INDEX(元データ_14項目!$D$2:$Q$1300,0,MATCH($B27,元データ_14項目!$D$1:$Q$1,0)),元データ_14項目!$A$2:$A$1300,$A27,元データ_14項目!$B$2:$B$1300,"本年",元データ_14項目!$C$2:$C$1300,J$5)</f>
        <v>124</v>
      </c>
      <c r="K27" s="26">
        <f>SUMIFS(INDEX(元データ_14項目!$D$2:$Q$1300,0,MATCH($B27,元データ_14項目!$D$1:$Q$1,0)),元データ_14項目!$A$2:$A$1300,$A27,元データ_14項目!$B$2:$B$1300,"本年",元データ_14項目!$C$2:$C$1300,K$5)</f>
        <v>560</v>
      </c>
      <c r="L27" s="26">
        <f>SUMIFS(INDEX(元データ_14項目!$D$2:$Q$1300,0,MATCH($B27,元データ_14項目!$D$1:$Q$1,0)),元データ_14項目!$A$2:$A$1300,$A27,元データ_14項目!$B$2:$B$1300,"本年",元データ_14項目!$C$2:$C$1300,L$5)</f>
        <v>158</v>
      </c>
      <c r="M27" s="26">
        <f>SUMIFS(INDEX(元データ_14項目!$D$2:$Q$1300,0,MATCH($B27,元データ_14項目!$D$1:$Q$1,0)),元データ_14項目!$A$2:$A$1300,$A27,元データ_14項目!$B$2:$B$1300,"本年",元データ_14項目!$C$2:$C$1300,M$5)</f>
        <v>102</v>
      </c>
      <c r="N27" s="26">
        <f>SUMIFS(INDEX(元データ_14項目!$D$2:$Q$1300,0,MATCH($B27,元データ_14項目!$D$1:$Q$1,0)),元データ_14項目!$A$2:$A$1300,$A27,元データ_14項目!$B$2:$B$1300,"本年",元データ_14項目!$C$2:$C$1300,N$5)</f>
        <v>46</v>
      </c>
      <c r="O27" s="26">
        <f t="shared" si="0"/>
        <v>1366</v>
      </c>
      <c r="P27" s="26">
        <f>SUMIFS(INDEX(元データ_14項目!$D$2:$Q$1300,0,MATCH($B27,元データ_14項目!$D$1:$Q$1,0)),元データ_14項目!$A$2:$A$1300,$A27,元データ_14項目!$B$2:$B$1300,"前年")</f>
        <v>1487</v>
      </c>
      <c r="Q27" s="7">
        <f t="shared" si="1"/>
        <v>0.91862811028917279</v>
      </c>
    </row>
    <row r="28" spans="1:17" x14ac:dyDescent="0.45">
      <c r="A28" t="s">
        <v>36</v>
      </c>
      <c r="B28" t="s">
        <v>94</v>
      </c>
      <c r="C28" s="26">
        <f>SUMIFS(INDEX(元データ_14項目!$D$2:$Q$1300,0,MATCH($B28,元データ_14項目!$D$1:$Q$1,0)),元データ_14項目!$A$2:$A$1300,$A28,元データ_14項目!$B$2:$B$1300,"本年",元データ_14項目!$C$2:$C$1300,C$5)</f>
        <v>10</v>
      </c>
      <c r="D28" s="26">
        <f>SUMIFS(INDEX(元データ_14項目!$D$2:$Q$1300,0,MATCH($B28,元データ_14項目!$D$1:$Q$1,0)),元データ_14項目!$A$2:$A$1300,$A28,元データ_14項目!$B$2:$B$1300,"本年",元データ_14項目!$C$2:$C$1300,D$5)</f>
        <v>10</v>
      </c>
      <c r="E28" s="26">
        <f>SUMIFS(INDEX(元データ_14項目!$D$2:$Q$1300,0,MATCH($B28,元データ_14項目!$D$1:$Q$1,0)),元データ_14項目!$A$2:$A$1300,$A28,元データ_14項目!$B$2:$B$1300,"本年",元データ_14項目!$C$2:$C$1300,E$5)</f>
        <v>42</v>
      </c>
      <c r="F28" s="26">
        <f>SUMIFS(INDEX(元データ_14項目!$D$2:$Q$1300,0,MATCH($B28,元データ_14項目!$D$1:$Q$1,0)),元データ_14項目!$A$2:$A$1300,$A28,元データ_14項目!$B$2:$B$1300,"本年",元データ_14項目!$C$2:$C$1300,F$5)</f>
        <v>42</v>
      </c>
      <c r="G28" s="26">
        <f>SUMIFS(INDEX(元データ_14項目!$D$2:$Q$1300,0,MATCH($B28,元データ_14項目!$D$1:$Q$1,0)),元データ_14項目!$A$2:$A$1300,$A28,元データ_14項目!$B$2:$B$1300,"本年",元データ_14項目!$C$2:$C$1300,G$5)</f>
        <v>59</v>
      </c>
      <c r="H28" s="26">
        <f>SUMIFS(INDEX(元データ_14項目!$D$2:$Q$1300,0,MATCH($B28,元データ_14項目!$D$1:$Q$1,0)),元データ_14項目!$A$2:$A$1300,$A28,元データ_14項目!$B$2:$B$1300,"本年",元データ_14項目!$C$2:$C$1300,H$5)</f>
        <v>26</v>
      </c>
      <c r="I28" s="26">
        <f>SUMIFS(INDEX(元データ_14項目!$D$2:$Q$1300,0,MATCH($B28,元データ_14項目!$D$1:$Q$1,0)),元データ_14項目!$A$2:$A$1300,$A28,元データ_14項目!$B$2:$B$1300,"本年",元データ_14項目!$C$2:$C$1300,I$5)</f>
        <v>16</v>
      </c>
      <c r="J28" s="26">
        <f>SUMIFS(INDEX(元データ_14項目!$D$2:$Q$1300,0,MATCH($B28,元データ_14項目!$D$1:$Q$1,0)),元データ_14項目!$A$2:$A$1300,$A28,元データ_14項目!$B$2:$B$1300,"本年",元データ_14項目!$C$2:$C$1300,J$5)</f>
        <v>27</v>
      </c>
      <c r="K28" s="26">
        <f>SUMIFS(INDEX(元データ_14項目!$D$2:$Q$1300,0,MATCH($B28,元データ_14項目!$D$1:$Q$1,0)),元データ_14項目!$A$2:$A$1300,$A28,元データ_14項目!$B$2:$B$1300,"本年",元データ_14項目!$C$2:$C$1300,K$5)</f>
        <v>176</v>
      </c>
      <c r="L28" s="26">
        <f>SUMIFS(INDEX(元データ_14項目!$D$2:$Q$1300,0,MATCH($B28,元データ_14項目!$D$1:$Q$1,0)),元データ_14項目!$A$2:$A$1300,$A28,元データ_14項目!$B$2:$B$1300,"本年",元データ_14項目!$C$2:$C$1300,L$5)</f>
        <v>75</v>
      </c>
      <c r="M28" s="26">
        <f>SUMIFS(INDEX(元データ_14項目!$D$2:$Q$1300,0,MATCH($B28,元データ_14項目!$D$1:$Q$1,0)),元データ_14項目!$A$2:$A$1300,$A28,元データ_14項目!$B$2:$B$1300,"本年",元データ_14項目!$C$2:$C$1300,M$5)</f>
        <v>42</v>
      </c>
      <c r="N28" s="26">
        <f>SUMIFS(INDEX(元データ_14項目!$D$2:$Q$1300,0,MATCH($B28,元データ_14項目!$D$1:$Q$1,0)),元データ_14項目!$A$2:$A$1300,$A28,元データ_14項目!$B$2:$B$1300,"本年",元データ_14項目!$C$2:$C$1300,N$5)</f>
        <v>26</v>
      </c>
      <c r="O28" s="26">
        <f t="shared" si="0"/>
        <v>551</v>
      </c>
      <c r="P28" s="26">
        <f>SUMIFS(INDEX(元データ_14項目!$D$2:$Q$1300,0,MATCH($B28,元データ_14項目!$D$1:$Q$1,0)),元データ_14項目!$A$2:$A$1300,$A28,元データ_14項目!$B$2:$B$1300,"前年")</f>
        <v>669</v>
      </c>
      <c r="Q28" s="7">
        <f t="shared" si="1"/>
        <v>0.82361733931240655</v>
      </c>
    </row>
    <row r="29" spans="1:17" x14ac:dyDescent="0.45">
      <c r="A29" t="s">
        <v>36</v>
      </c>
      <c r="B29" t="s">
        <v>95</v>
      </c>
      <c r="C29" s="26">
        <f>SUMIFS(INDEX(元データ_14項目!$D$2:$Q$1300,0,MATCH($B29,元データ_14項目!$D$1:$Q$1,0)),元データ_14項目!$A$2:$A$1300,$A29,元データ_14項目!$B$2:$B$1300,"本年",元データ_14項目!$C$2:$C$1300,C$5)</f>
        <v>23</v>
      </c>
      <c r="D29" s="26">
        <f>SUMIFS(INDEX(元データ_14項目!$D$2:$Q$1300,0,MATCH($B29,元データ_14項目!$D$1:$Q$1,0)),元データ_14項目!$A$2:$A$1300,$A29,元データ_14項目!$B$2:$B$1300,"本年",元データ_14項目!$C$2:$C$1300,D$5)</f>
        <v>45</v>
      </c>
      <c r="E29" s="26">
        <f>SUMIFS(INDEX(元データ_14項目!$D$2:$Q$1300,0,MATCH($B29,元データ_14項目!$D$1:$Q$1,0)),元データ_14項目!$A$2:$A$1300,$A29,元データ_14項目!$B$2:$B$1300,"本年",元データ_14項目!$C$2:$C$1300,E$5)</f>
        <v>48</v>
      </c>
      <c r="F29" s="26">
        <f>SUMIFS(INDEX(元データ_14項目!$D$2:$Q$1300,0,MATCH($B29,元データ_14項目!$D$1:$Q$1,0)),元データ_14項目!$A$2:$A$1300,$A29,元データ_14項目!$B$2:$B$1300,"本年",元データ_14項目!$C$2:$C$1300,F$5)</f>
        <v>35</v>
      </c>
      <c r="G29" s="26">
        <f>SUMIFS(INDEX(元データ_14項目!$D$2:$Q$1300,0,MATCH($B29,元データ_14項目!$D$1:$Q$1,0)),元データ_14項目!$A$2:$A$1300,$A29,元データ_14項目!$B$2:$B$1300,"本年",元データ_14項目!$C$2:$C$1300,G$5)</f>
        <v>38</v>
      </c>
      <c r="H29" s="26">
        <f>SUMIFS(INDEX(元データ_14項目!$D$2:$Q$1300,0,MATCH($B29,元データ_14項目!$D$1:$Q$1,0)),元データ_14項目!$A$2:$A$1300,$A29,元データ_14項目!$B$2:$B$1300,"本年",元データ_14項目!$C$2:$C$1300,H$5)</f>
        <v>17</v>
      </c>
      <c r="I29" s="26">
        <f>SUMIFS(INDEX(元データ_14項目!$D$2:$Q$1300,0,MATCH($B29,元データ_14項目!$D$1:$Q$1,0)),元データ_14項目!$A$2:$A$1300,$A29,元データ_14項目!$B$2:$B$1300,"本年",元データ_14項目!$C$2:$C$1300,I$5)</f>
        <v>15</v>
      </c>
      <c r="J29" s="26">
        <f>SUMIFS(INDEX(元データ_14項目!$D$2:$Q$1300,0,MATCH($B29,元データ_14項目!$D$1:$Q$1,0)),元データ_14項目!$A$2:$A$1300,$A29,元データ_14項目!$B$2:$B$1300,"本年",元データ_14項目!$C$2:$C$1300,J$5)</f>
        <v>23</v>
      </c>
      <c r="K29" s="26">
        <f>SUMIFS(INDEX(元データ_14項目!$D$2:$Q$1300,0,MATCH($B29,元データ_14項目!$D$1:$Q$1,0)),元データ_14項目!$A$2:$A$1300,$A29,元データ_14項目!$B$2:$B$1300,"本年",元データ_14項目!$C$2:$C$1300,K$5)</f>
        <v>69</v>
      </c>
      <c r="L29" s="26">
        <f>SUMIFS(INDEX(元データ_14項目!$D$2:$Q$1300,0,MATCH($B29,元データ_14項目!$D$1:$Q$1,0)),元データ_14項目!$A$2:$A$1300,$A29,元データ_14項目!$B$2:$B$1300,"本年",元データ_14項目!$C$2:$C$1300,L$5)</f>
        <v>27</v>
      </c>
      <c r="M29" s="26">
        <f>SUMIFS(INDEX(元データ_14項目!$D$2:$Q$1300,0,MATCH($B29,元データ_14項目!$D$1:$Q$1,0)),元データ_14項目!$A$2:$A$1300,$A29,元データ_14項目!$B$2:$B$1300,"本年",元データ_14項目!$C$2:$C$1300,M$5)</f>
        <v>36</v>
      </c>
      <c r="N29" s="26">
        <f>SUMIFS(INDEX(元データ_14項目!$D$2:$Q$1300,0,MATCH($B29,元データ_14項目!$D$1:$Q$1,0)),元データ_14項目!$A$2:$A$1300,$A29,元データ_14項目!$B$2:$B$1300,"本年",元データ_14項目!$C$2:$C$1300,N$5)</f>
        <v>35</v>
      </c>
      <c r="O29" s="26">
        <f t="shared" si="0"/>
        <v>411</v>
      </c>
      <c r="P29" s="26">
        <f>SUMIFS(INDEX(元データ_14項目!$D$2:$Q$1300,0,MATCH($B29,元データ_14項目!$D$1:$Q$1,0)),元データ_14項目!$A$2:$A$1300,$A29,元データ_14項目!$B$2:$B$1300,"前年")</f>
        <v>413</v>
      </c>
      <c r="Q29" s="7">
        <f t="shared" si="1"/>
        <v>0.99515738498789341</v>
      </c>
    </row>
    <row r="30" spans="1:17" x14ac:dyDescent="0.45">
      <c r="A30" t="s">
        <v>36</v>
      </c>
      <c r="B30" t="s">
        <v>96</v>
      </c>
      <c r="C30" s="26">
        <f>SUMIFS(INDEX(元データ_14項目!$D$2:$Q$1300,0,MATCH($B30,元データ_14項目!$D$1:$Q$1,0)),元データ_14項目!$A$2:$A$1300,$A30,元データ_14項目!$B$2:$B$1300,"本年",元データ_14項目!$C$2:$C$1300,C$5)</f>
        <v>20</v>
      </c>
      <c r="D30" s="26">
        <f>SUMIFS(INDEX(元データ_14項目!$D$2:$Q$1300,0,MATCH($B30,元データ_14項目!$D$1:$Q$1,0)),元データ_14項目!$A$2:$A$1300,$A30,元データ_14項目!$B$2:$B$1300,"本年",元データ_14項目!$C$2:$C$1300,D$5)</f>
        <v>25</v>
      </c>
      <c r="E30" s="26">
        <f>SUMIFS(INDEX(元データ_14項目!$D$2:$Q$1300,0,MATCH($B30,元データ_14項目!$D$1:$Q$1,0)),元データ_14項目!$A$2:$A$1300,$A30,元データ_14項目!$B$2:$B$1300,"本年",元データ_14項目!$C$2:$C$1300,E$5)</f>
        <v>35</v>
      </c>
      <c r="F30" s="26">
        <f>SUMIFS(INDEX(元データ_14項目!$D$2:$Q$1300,0,MATCH($B30,元データ_14項目!$D$1:$Q$1,0)),元データ_14項目!$A$2:$A$1300,$A30,元データ_14項目!$B$2:$B$1300,"本年",元データ_14項目!$C$2:$C$1300,F$5)</f>
        <v>38</v>
      </c>
      <c r="G30" s="26">
        <f>SUMIFS(INDEX(元データ_14項目!$D$2:$Q$1300,0,MATCH($B30,元データ_14項目!$D$1:$Q$1,0)),元データ_14項目!$A$2:$A$1300,$A30,元データ_14項目!$B$2:$B$1300,"本年",元データ_14項目!$C$2:$C$1300,G$5)</f>
        <v>76</v>
      </c>
      <c r="H30" s="26">
        <f>SUMIFS(INDEX(元データ_14項目!$D$2:$Q$1300,0,MATCH($B30,元データ_14項目!$D$1:$Q$1,0)),元データ_14項目!$A$2:$A$1300,$A30,元データ_14項目!$B$2:$B$1300,"本年",元データ_14項目!$C$2:$C$1300,H$5)</f>
        <v>33</v>
      </c>
      <c r="I30" s="26">
        <f>SUMIFS(INDEX(元データ_14項目!$D$2:$Q$1300,0,MATCH($B30,元データ_14項目!$D$1:$Q$1,0)),元データ_14項目!$A$2:$A$1300,$A30,元データ_14項目!$B$2:$B$1300,"本年",元データ_14項目!$C$2:$C$1300,I$5)</f>
        <v>42</v>
      </c>
      <c r="J30" s="26">
        <f>SUMIFS(INDEX(元データ_14項目!$D$2:$Q$1300,0,MATCH($B30,元データ_14項目!$D$1:$Q$1,0)),元データ_14項目!$A$2:$A$1300,$A30,元データ_14項目!$B$2:$B$1300,"本年",元データ_14項目!$C$2:$C$1300,J$5)</f>
        <v>165</v>
      </c>
      <c r="K30" s="26">
        <f>SUMIFS(INDEX(元データ_14項目!$D$2:$Q$1300,0,MATCH($B30,元データ_14項目!$D$1:$Q$1,0)),元データ_14項目!$A$2:$A$1300,$A30,元データ_14項目!$B$2:$B$1300,"本年",元データ_14項目!$C$2:$C$1300,K$5)</f>
        <v>512</v>
      </c>
      <c r="L30" s="26">
        <f>SUMIFS(INDEX(元データ_14項目!$D$2:$Q$1300,0,MATCH($B30,元データ_14項目!$D$1:$Q$1,0)),元データ_14項目!$A$2:$A$1300,$A30,元データ_14項目!$B$2:$B$1300,"本年",元データ_14項目!$C$2:$C$1300,L$5)</f>
        <v>250</v>
      </c>
      <c r="M30" s="26">
        <f>SUMIFS(INDEX(元データ_14項目!$D$2:$Q$1300,0,MATCH($B30,元データ_14項目!$D$1:$Q$1,0)),元データ_14項目!$A$2:$A$1300,$A30,元データ_14項目!$B$2:$B$1300,"本年",元データ_14項目!$C$2:$C$1300,M$5)</f>
        <v>129</v>
      </c>
      <c r="N30" s="26">
        <f>SUMIFS(INDEX(元データ_14項目!$D$2:$Q$1300,0,MATCH($B30,元データ_14項目!$D$1:$Q$1,0)),元データ_14項目!$A$2:$A$1300,$A30,元データ_14項目!$B$2:$B$1300,"本年",元データ_14項目!$C$2:$C$1300,N$5)</f>
        <v>62</v>
      </c>
      <c r="O30" s="26">
        <f t="shared" si="0"/>
        <v>1387</v>
      </c>
      <c r="P30" s="26">
        <f>SUMIFS(INDEX(元データ_14項目!$D$2:$Q$1300,0,MATCH($B30,元データ_14項目!$D$1:$Q$1,0)),元データ_14項目!$A$2:$A$1300,$A30,元データ_14項目!$B$2:$B$1300,"前年")</f>
        <v>1517</v>
      </c>
      <c r="Q30" s="7">
        <f t="shared" si="1"/>
        <v>0.91430454845088993</v>
      </c>
    </row>
    <row r="31" spans="1:17" x14ac:dyDescent="0.45">
      <c r="A31" t="s">
        <v>36</v>
      </c>
      <c r="B31" t="s">
        <v>97</v>
      </c>
      <c r="C31" s="26">
        <f>SUMIFS(INDEX(元データ_14項目!$D$2:$Q$1300,0,MATCH($B31,元データ_14項目!$D$1:$Q$1,0)),元データ_14項目!$A$2:$A$1300,$A31,元データ_14項目!$B$2:$B$1300,"本年",元データ_14項目!$C$2:$C$1300,C$5)</f>
        <v>19</v>
      </c>
      <c r="D31" s="26">
        <f>SUMIFS(INDEX(元データ_14項目!$D$2:$Q$1300,0,MATCH($B31,元データ_14項目!$D$1:$Q$1,0)),元データ_14項目!$A$2:$A$1300,$A31,元データ_14項目!$B$2:$B$1300,"本年",元データ_14項目!$C$2:$C$1300,D$5)</f>
        <v>16</v>
      </c>
      <c r="E31" s="26">
        <f>SUMIFS(INDEX(元データ_14項目!$D$2:$Q$1300,0,MATCH($B31,元データ_14項目!$D$1:$Q$1,0)),元データ_14項目!$A$2:$A$1300,$A31,元データ_14項目!$B$2:$B$1300,"本年",元データ_14項目!$C$2:$C$1300,E$5)</f>
        <v>44</v>
      </c>
      <c r="F31" s="26">
        <f>SUMIFS(INDEX(元データ_14項目!$D$2:$Q$1300,0,MATCH($B31,元データ_14項目!$D$1:$Q$1,0)),元データ_14項目!$A$2:$A$1300,$A31,元データ_14項目!$B$2:$B$1300,"本年",元データ_14項目!$C$2:$C$1300,F$5)</f>
        <v>38</v>
      </c>
      <c r="G31" s="26">
        <f>SUMIFS(INDEX(元データ_14項目!$D$2:$Q$1300,0,MATCH($B31,元データ_14項目!$D$1:$Q$1,0)),元データ_14項目!$A$2:$A$1300,$A31,元データ_14項目!$B$2:$B$1300,"本年",元データ_14項目!$C$2:$C$1300,G$5)</f>
        <v>46</v>
      </c>
      <c r="H31" s="26">
        <f>SUMIFS(INDEX(元データ_14項目!$D$2:$Q$1300,0,MATCH($B31,元データ_14項目!$D$1:$Q$1,0)),元データ_14項目!$A$2:$A$1300,$A31,元データ_14項目!$B$2:$B$1300,"本年",元データ_14項目!$C$2:$C$1300,H$5)</f>
        <v>27</v>
      </c>
      <c r="I31" s="26">
        <f>SUMIFS(INDEX(元データ_14項目!$D$2:$Q$1300,0,MATCH($B31,元データ_14項目!$D$1:$Q$1,0)),元データ_14項目!$A$2:$A$1300,$A31,元データ_14項目!$B$2:$B$1300,"本年",元データ_14項目!$C$2:$C$1300,I$5)</f>
        <v>28</v>
      </c>
      <c r="J31" s="26">
        <f>SUMIFS(INDEX(元データ_14項目!$D$2:$Q$1300,0,MATCH($B31,元データ_14項目!$D$1:$Q$1,0)),元データ_14項目!$A$2:$A$1300,$A31,元データ_14項目!$B$2:$B$1300,"本年",元データ_14項目!$C$2:$C$1300,J$5)</f>
        <v>103</v>
      </c>
      <c r="K31" s="26">
        <f>SUMIFS(INDEX(元データ_14項目!$D$2:$Q$1300,0,MATCH($B31,元データ_14項目!$D$1:$Q$1,0)),元データ_14項目!$A$2:$A$1300,$A31,元データ_14項目!$B$2:$B$1300,"本年",元データ_14項目!$C$2:$C$1300,K$5)</f>
        <v>264</v>
      </c>
      <c r="L31" s="26">
        <f>SUMIFS(INDEX(元データ_14項目!$D$2:$Q$1300,0,MATCH($B31,元データ_14項目!$D$1:$Q$1,0)),元データ_14項目!$A$2:$A$1300,$A31,元データ_14項目!$B$2:$B$1300,"本年",元データ_14項目!$C$2:$C$1300,L$5)</f>
        <v>131</v>
      </c>
      <c r="M31" s="26">
        <f>SUMIFS(INDEX(元データ_14項目!$D$2:$Q$1300,0,MATCH($B31,元データ_14項目!$D$1:$Q$1,0)),元データ_14項目!$A$2:$A$1300,$A31,元データ_14項目!$B$2:$B$1300,"本年",元データ_14項目!$C$2:$C$1300,M$5)</f>
        <v>111</v>
      </c>
      <c r="N31" s="26">
        <f>SUMIFS(INDEX(元データ_14項目!$D$2:$Q$1300,0,MATCH($B31,元データ_14項目!$D$1:$Q$1,0)),元データ_14項目!$A$2:$A$1300,$A31,元データ_14項目!$B$2:$B$1300,"本年",元データ_14項目!$C$2:$C$1300,N$5)</f>
        <v>49</v>
      </c>
      <c r="O31" s="26">
        <f t="shared" si="0"/>
        <v>876</v>
      </c>
      <c r="P31" s="26">
        <f>SUMIFS(INDEX(元データ_14項目!$D$2:$Q$1300,0,MATCH($B31,元データ_14項目!$D$1:$Q$1,0)),元データ_14項目!$A$2:$A$1300,$A31,元データ_14項目!$B$2:$B$1300,"前年")</f>
        <v>947</v>
      </c>
      <c r="Q31" s="7">
        <f t="shared" si="1"/>
        <v>0.925026399155227</v>
      </c>
    </row>
    <row r="32" spans="1:17" x14ac:dyDescent="0.45">
      <c r="A32" t="s">
        <v>36</v>
      </c>
      <c r="B32" t="s">
        <v>98</v>
      </c>
      <c r="C32" s="26">
        <f>SUMIFS(INDEX(元データ_14項目!$D$2:$Q$1300,0,MATCH($B32,元データ_14項目!$D$1:$Q$1,0)),元データ_14項目!$A$2:$A$1300,$A32,元データ_14項目!$B$2:$B$1300,"本年",元データ_14項目!$C$2:$C$1300,C$5)</f>
        <v>2</v>
      </c>
      <c r="D32" s="26">
        <f>SUMIFS(INDEX(元データ_14項目!$D$2:$Q$1300,0,MATCH($B32,元データ_14項目!$D$1:$Q$1,0)),元データ_14項目!$A$2:$A$1300,$A32,元データ_14項目!$B$2:$B$1300,"本年",元データ_14項目!$C$2:$C$1300,D$5)</f>
        <v>7</v>
      </c>
      <c r="E32" s="26">
        <f>SUMIFS(INDEX(元データ_14項目!$D$2:$Q$1300,0,MATCH($B32,元データ_14項目!$D$1:$Q$1,0)),元データ_14項目!$A$2:$A$1300,$A32,元データ_14項目!$B$2:$B$1300,"本年",元データ_14項目!$C$2:$C$1300,E$5)</f>
        <v>17</v>
      </c>
      <c r="F32" s="26">
        <f>SUMIFS(INDEX(元データ_14項目!$D$2:$Q$1300,0,MATCH($B32,元データ_14項目!$D$1:$Q$1,0)),元データ_14項目!$A$2:$A$1300,$A32,元データ_14項目!$B$2:$B$1300,"本年",元データ_14項目!$C$2:$C$1300,F$5)</f>
        <v>10</v>
      </c>
      <c r="G32" s="26">
        <f>SUMIFS(INDEX(元データ_14項目!$D$2:$Q$1300,0,MATCH($B32,元データ_14項目!$D$1:$Q$1,0)),元データ_14項目!$A$2:$A$1300,$A32,元データ_14項目!$B$2:$B$1300,"本年",元データ_14項目!$C$2:$C$1300,G$5)</f>
        <v>27</v>
      </c>
      <c r="H32" s="26">
        <f>SUMIFS(INDEX(元データ_14項目!$D$2:$Q$1300,0,MATCH($B32,元データ_14項目!$D$1:$Q$1,0)),元データ_14項目!$A$2:$A$1300,$A32,元データ_14項目!$B$2:$B$1300,"本年",元データ_14項目!$C$2:$C$1300,H$5)</f>
        <v>7</v>
      </c>
      <c r="I32" s="26">
        <f>SUMIFS(INDEX(元データ_14項目!$D$2:$Q$1300,0,MATCH($B32,元データ_14項目!$D$1:$Q$1,0)),元データ_14項目!$A$2:$A$1300,$A32,元データ_14項目!$B$2:$B$1300,"本年",元データ_14項目!$C$2:$C$1300,I$5)</f>
        <v>25</v>
      </c>
      <c r="J32" s="26">
        <f>SUMIFS(INDEX(元データ_14項目!$D$2:$Q$1300,0,MATCH($B32,元データ_14項目!$D$1:$Q$1,0)),元データ_14項目!$A$2:$A$1300,$A32,元データ_14項目!$B$2:$B$1300,"本年",元データ_14項目!$C$2:$C$1300,J$5)</f>
        <v>110</v>
      </c>
      <c r="K32" s="26">
        <f>SUMIFS(INDEX(元データ_14項目!$D$2:$Q$1300,0,MATCH($B32,元データ_14項目!$D$1:$Q$1,0)),元データ_14項目!$A$2:$A$1300,$A32,元データ_14項目!$B$2:$B$1300,"本年",元データ_14項目!$C$2:$C$1300,K$5)</f>
        <v>329</v>
      </c>
      <c r="L32" s="26">
        <f>SUMIFS(INDEX(元データ_14項目!$D$2:$Q$1300,0,MATCH($B32,元データ_14項目!$D$1:$Q$1,0)),元データ_14項目!$A$2:$A$1300,$A32,元データ_14項目!$B$2:$B$1300,"本年",元データ_14項目!$C$2:$C$1300,L$5)</f>
        <v>125</v>
      </c>
      <c r="M32" s="26">
        <f>SUMIFS(INDEX(元データ_14項目!$D$2:$Q$1300,0,MATCH($B32,元データ_14項目!$D$1:$Q$1,0)),元データ_14項目!$A$2:$A$1300,$A32,元データ_14項目!$B$2:$B$1300,"本年",元データ_14項目!$C$2:$C$1300,M$5)</f>
        <v>59</v>
      </c>
      <c r="N32" s="26">
        <f>SUMIFS(INDEX(元データ_14項目!$D$2:$Q$1300,0,MATCH($B32,元データ_14項目!$D$1:$Q$1,0)),元データ_14項目!$A$2:$A$1300,$A32,元データ_14項目!$B$2:$B$1300,"本年",元データ_14項目!$C$2:$C$1300,N$5)</f>
        <v>39</v>
      </c>
      <c r="O32" s="26">
        <f t="shared" si="0"/>
        <v>757</v>
      </c>
      <c r="P32" s="26">
        <f>SUMIFS(INDEX(元データ_14項目!$D$2:$Q$1300,0,MATCH($B32,元データ_14項目!$D$1:$Q$1,0)),元データ_14項目!$A$2:$A$1300,$A32,元データ_14項目!$B$2:$B$1300,"前年")</f>
        <v>758</v>
      </c>
      <c r="Q32" s="7">
        <f t="shared" si="1"/>
        <v>0.99868073878627972</v>
      </c>
    </row>
    <row r="33" spans="1:17" x14ac:dyDescent="0.45">
      <c r="A33" t="s">
        <v>36</v>
      </c>
      <c r="B33" t="s">
        <v>99</v>
      </c>
      <c r="C33" s="26">
        <f>SUMIFS(INDEX(元データ_14項目!$D$2:$Q$1300,0,MATCH($B33,元データ_14項目!$D$1:$Q$1,0)),元データ_14項目!$A$2:$A$1300,$A33,元データ_14項目!$B$2:$B$1300,"本年",元データ_14項目!$C$2:$C$1300,C$5)</f>
        <v>0</v>
      </c>
      <c r="D33" s="26">
        <f>SUMIFS(INDEX(元データ_14項目!$D$2:$Q$1300,0,MATCH($B33,元データ_14項目!$D$1:$Q$1,0)),元データ_14項目!$A$2:$A$1300,$A33,元データ_14項目!$B$2:$B$1300,"本年",元データ_14項目!$C$2:$C$1300,D$5)</f>
        <v>0</v>
      </c>
      <c r="E33" s="26">
        <f>SUMIFS(INDEX(元データ_14項目!$D$2:$Q$1300,0,MATCH($B33,元データ_14項目!$D$1:$Q$1,0)),元データ_14項目!$A$2:$A$1300,$A33,元データ_14項目!$B$2:$B$1300,"本年",元データ_14項目!$C$2:$C$1300,E$5)</f>
        <v>6</v>
      </c>
      <c r="F33" s="26">
        <f>SUMIFS(INDEX(元データ_14項目!$D$2:$Q$1300,0,MATCH($B33,元データ_14項目!$D$1:$Q$1,0)),元データ_14項目!$A$2:$A$1300,$A33,元データ_14項目!$B$2:$B$1300,"本年",元データ_14項目!$C$2:$C$1300,F$5)</f>
        <v>0</v>
      </c>
      <c r="G33" s="26">
        <f>SUMIFS(INDEX(元データ_14項目!$D$2:$Q$1300,0,MATCH($B33,元データ_14項目!$D$1:$Q$1,0)),元データ_14項目!$A$2:$A$1300,$A33,元データ_14項目!$B$2:$B$1300,"本年",元データ_14項目!$C$2:$C$1300,G$5)</f>
        <v>0</v>
      </c>
      <c r="H33" s="26">
        <f>SUMIFS(INDEX(元データ_14項目!$D$2:$Q$1300,0,MATCH($B33,元データ_14項目!$D$1:$Q$1,0)),元データ_14項目!$A$2:$A$1300,$A33,元データ_14項目!$B$2:$B$1300,"本年",元データ_14項目!$C$2:$C$1300,H$5)</f>
        <v>5</v>
      </c>
      <c r="I33" s="26">
        <f>SUMIFS(INDEX(元データ_14項目!$D$2:$Q$1300,0,MATCH($B33,元データ_14項目!$D$1:$Q$1,0)),元データ_14項目!$A$2:$A$1300,$A33,元データ_14項目!$B$2:$B$1300,"本年",元データ_14項目!$C$2:$C$1300,I$5)</f>
        <v>13</v>
      </c>
      <c r="J33" s="26">
        <f>SUMIFS(INDEX(元データ_14項目!$D$2:$Q$1300,0,MATCH($B33,元データ_14項目!$D$1:$Q$1,0)),元データ_14項目!$A$2:$A$1300,$A33,元データ_14項目!$B$2:$B$1300,"本年",元データ_14項目!$C$2:$C$1300,J$5)</f>
        <v>9</v>
      </c>
      <c r="K33" s="26">
        <f>SUMIFS(INDEX(元データ_14項目!$D$2:$Q$1300,0,MATCH($B33,元データ_14項目!$D$1:$Q$1,0)),元データ_14項目!$A$2:$A$1300,$A33,元データ_14項目!$B$2:$B$1300,"本年",元データ_14項目!$C$2:$C$1300,K$5)</f>
        <v>24</v>
      </c>
      <c r="L33" s="26">
        <f>SUMIFS(INDEX(元データ_14項目!$D$2:$Q$1300,0,MATCH($B33,元データ_14項目!$D$1:$Q$1,0)),元データ_14項目!$A$2:$A$1300,$A33,元データ_14項目!$B$2:$B$1300,"本年",元データ_14項目!$C$2:$C$1300,L$5)</f>
        <v>4</v>
      </c>
      <c r="M33" s="26">
        <f>SUMIFS(INDEX(元データ_14項目!$D$2:$Q$1300,0,MATCH($B33,元データ_14項目!$D$1:$Q$1,0)),元データ_14項目!$A$2:$A$1300,$A33,元データ_14項目!$B$2:$B$1300,"本年",元データ_14項目!$C$2:$C$1300,M$5)</f>
        <v>0</v>
      </c>
      <c r="N33" s="26">
        <f>SUMIFS(INDEX(元データ_14項目!$D$2:$Q$1300,0,MATCH($B33,元データ_14項目!$D$1:$Q$1,0)),元データ_14項目!$A$2:$A$1300,$A33,元データ_14項目!$B$2:$B$1300,"本年",元データ_14項目!$C$2:$C$1300,N$5)</f>
        <v>0</v>
      </c>
      <c r="O33" s="26">
        <f t="shared" si="0"/>
        <v>61</v>
      </c>
      <c r="P33" s="26">
        <f>SUMIFS(INDEX(元データ_14項目!$D$2:$Q$1300,0,MATCH($B33,元データ_14項目!$D$1:$Q$1,0)),元データ_14項目!$A$2:$A$1300,$A33,元データ_14項目!$B$2:$B$1300,"前年")</f>
        <v>46</v>
      </c>
      <c r="Q33" s="7">
        <f t="shared" si="1"/>
        <v>1.326086956521739</v>
      </c>
    </row>
    <row r="34" spans="1:17" x14ac:dyDescent="0.45">
      <c r="A34" t="s">
        <v>37</v>
      </c>
      <c r="B34" t="s">
        <v>27</v>
      </c>
      <c r="C34" s="26">
        <f>SUMIFS(INDEX(元データ_14項目!$D$2:$Q$1300,0,MATCH($B34,元データ_14項目!$D$1:$Q$1,0)),元データ_14項目!$A$2:$A$1300,$A34,元データ_14項目!$B$2:$B$1300,"本年",元データ_14項目!$C$2:$C$1300,C$5)</f>
        <v>779</v>
      </c>
      <c r="D34" s="26">
        <f>SUMIFS(INDEX(元データ_14項目!$D$2:$Q$1300,0,MATCH($B34,元データ_14項目!$D$1:$Q$1,0)),元データ_14項目!$A$2:$A$1300,$A34,元データ_14項目!$B$2:$B$1300,"本年",元データ_14項目!$C$2:$C$1300,D$5)</f>
        <v>959</v>
      </c>
      <c r="E34" s="26">
        <f>SUMIFS(INDEX(元データ_14項目!$D$2:$Q$1300,0,MATCH($B34,元データ_14項目!$D$1:$Q$1,0)),元データ_14項目!$A$2:$A$1300,$A34,元データ_14項目!$B$2:$B$1300,"本年",元データ_14項目!$C$2:$C$1300,E$5)</f>
        <v>1175</v>
      </c>
      <c r="F34" s="26">
        <f>SUMIFS(INDEX(元データ_14項目!$D$2:$Q$1300,0,MATCH($B34,元データ_14項目!$D$1:$Q$1,0)),元データ_14項目!$A$2:$A$1300,$A34,元データ_14項目!$B$2:$B$1300,"本年",元データ_14項目!$C$2:$C$1300,F$5)</f>
        <v>1123</v>
      </c>
      <c r="G34" s="26">
        <f>SUMIFS(INDEX(元データ_14項目!$D$2:$Q$1300,0,MATCH($B34,元データ_14項目!$D$1:$Q$1,0)),元データ_14項目!$A$2:$A$1300,$A34,元データ_14項目!$B$2:$B$1300,"本年",元データ_14項目!$C$2:$C$1300,G$5)</f>
        <v>1176</v>
      </c>
      <c r="H34" s="26">
        <f>SUMIFS(INDEX(元データ_14項目!$D$2:$Q$1300,0,MATCH($B34,元データ_14項目!$D$1:$Q$1,0)),元データ_14項目!$A$2:$A$1300,$A34,元データ_14項目!$B$2:$B$1300,"本年",元データ_14項目!$C$2:$C$1300,H$5)</f>
        <v>1005</v>
      </c>
      <c r="I34" s="26">
        <f>SUMIFS(INDEX(元データ_14項目!$D$2:$Q$1300,0,MATCH($B34,元データ_14項目!$D$1:$Q$1,0)),元データ_14項目!$A$2:$A$1300,$A34,元データ_14項目!$B$2:$B$1300,"本年",元データ_14項目!$C$2:$C$1300,I$5)</f>
        <v>904</v>
      </c>
      <c r="J34" s="26">
        <f>SUMIFS(INDEX(元データ_14項目!$D$2:$Q$1300,0,MATCH($B34,元データ_14項目!$D$1:$Q$1,0)),元データ_14項目!$A$2:$A$1300,$A34,元データ_14項目!$B$2:$B$1300,"本年",元データ_14項目!$C$2:$C$1300,J$5)</f>
        <v>1154</v>
      </c>
      <c r="K34" s="26">
        <f>SUMIFS(INDEX(元データ_14項目!$D$2:$Q$1300,0,MATCH($B34,元データ_14項目!$D$1:$Q$1,0)),元データ_14項目!$A$2:$A$1300,$A34,元データ_14項目!$B$2:$B$1300,"本年",元データ_14項目!$C$2:$C$1300,K$5)</f>
        <v>1120</v>
      </c>
      <c r="L34" s="26">
        <f>SUMIFS(INDEX(元データ_14項目!$D$2:$Q$1300,0,MATCH($B34,元データ_14項目!$D$1:$Q$1,0)),元データ_14項目!$A$2:$A$1300,$A34,元データ_14項目!$B$2:$B$1300,"本年",元データ_14項目!$C$2:$C$1300,L$5)</f>
        <v>1015</v>
      </c>
      <c r="M34" s="26">
        <f>SUMIFS(INDEX(元データ_14項目!$D$2:$Q$1300,0,MATCH($B34,元データ_14項目!$D$1:$Q$1,0)),元データ_14項目!$A$2:$A$1300,$A34,元データ_14項目!$B$2:$B$1300,"本年",元データ_14項目!$C$2:$C$1300,M$5)</f>
        <v>1061</v>
      </c>
      <c r="N34" s="26">
        <f>SUMIFS(INDEX(元データ_14項目!$D$2:$Q$1300,0,MATCH($B34,元データ_14項目!$D$1:$Q$1,0)),元データ_14項目!$A$2:$A$1300,$A34,元データ_14項目!$B$2:$B$1300,"本年",元データ_14項目!$C$2:$C$1300,N$5)</f>
        <v>0</v>
      </c>
      <c r="O34" s="26">
        <f t="shared" si="0"/>
        <v>11471</v>
      </c>
      <c r="P34" s="26">
        <f>SUMIFS(INDEX(元データ_14項目!$D$2:$Q$1300,0,MATCH($B34,元データ_14項目!$D$1:$Q$1,0)),元データ_14項目!$A$2:$A$1300,$A34,元データ_14項目!$B$2:$B$1300,"前年")</f>
        <v>14556</v>
      </c>
      <c r="Q34" s="7">
        <f t="shared" si="1"/>
        <v>0.78805990656773839</v>
      </c>
    </row>
    <row r="35" spans="1:17" x14ac:dyDescent="0.45">
      <c r="A35" t="s">
        <v>37</v>
      </c>
      <c r="B35" t="s">
        <v>88</v>
      </c>
      <c r="C35" s="26">
        <f>SUMIFS(INDEX(元データ_14項目!$D$2:$Q$1300,0,MATCH($B35,元データ_14項目!$D$1:$Q$1,0)),元データ_14項目!$A$2:$A$1300,$A35,元データ_14項目!$B$2:$B$1300,"本年",元データ_14項目!$C$2:$C$1300,C$5)</f>
        <v>23</v>
      </c>
      <c r="D35" s="26">
        <f>SUMIFS(INDEX(元データ_14項目!$D$2:$Q$1300,0,MATCH($B35,元データ_14項目!$D$1:$Q$1,0)),元データ_14項目!$A$2:$A$1300,$A35,元データ_14項目!$B$2:$B$1300,"本年",元データ_14項目!$C$2:$C$1300,D$5)</f>
        <v>46</v>
      </c>
      <c r="E35" s="26">
        <f>SUMIFS(INDEX(元データ_14項目!$D$2:$Q$1300,0,MATCH($B35,元データ_14項目!$D$1:$Q$1,0)),元データ_14項目!$A$2:$A$1300,$A35,元データ_14項目!$B$2:$B$1300,"本年",元データ_14項目!$C$2:$C$1300,E$5)</f>
        <v>66</v>
      </c>
      <c r="F35" s="26">
        <f>SUMIFS(INDEX(元データ_14項目!$D$2:$Q$1300,0,MATCH($B35,元データ_14項目!$D$1:$Q$1,0)),元データ_14項目!$A$2:$A$1300,$A35,元データ_14項目!$B$2:$B$1300,"本年",元データ_14項目!$C$2:$C$1300,F$5)</f>
        <v>76</v>
      </c>
      <c r="G35" s="26">
        <f>SUMIFS(INDEX(元データ_14項目!$D$2:$Q$1300,0,MATCH($B35,元データ_14項目!$D$1:$Q$1,0)),元データ_14項目!$A$2:$A$1300,$A35,元データ_14項目!$B$2:$B$1300,"本年",元データ_14項目!$C$2:$C$1300,G$5)</f>
        <v>62</v>
      </c>
      <c r="H35" s="26">
        <f>SUMIFS(INDEX(元データ_14項目!$D$2:$Q$1300,0,MATCH($B35,元データ_14項目!$D$1:$Q$1,0)),元データ_14項目!$A$2:$A$1300,$A35,元データ_14項目!$B$2:$B$1300,"本年",元データ_14項目!$C$2:$C$1300,H$5)</f>
        <v>25</v>
      </c>
      <c r="I35" s="26">
        <f>SUMIFS(INDEX(元データ_14項目!$D$2:$Q$1300,0,MATCH($B35,元データ_14項目!$D$1:$Q$1,0)),元データ_14項目!$A$2:$A$1300,$A35,元データ_14項目!$B$2:$B$1300,"本年",元データ_14項目!$C$2:$C$1300,I$5)</f>
        <v>28</v>
      </c>
      <c r="J35" s="26">
        <f>SUMIFS(INDEX(元データ_14項目!$D$2:$Q$1300,0,MATCH($B35,元データ_14項目!$D$1:$Q$1,0)),元データ_14項目!$A$2:$A$1300,$A35,元データ_14項目!$B$2:$B$1300,"本年",元データ_14項目!$C$2:$C$1300,J$5)</f>
        <v>37</v>
      </c>
      <c r="K35" s="26">
        <f>SUMIFS(INDEX(元データ_14項目!$D$2:$Q$1300,0,MATCH($B35,元データ_14項目!$D$1:$Q$1,0)),元データ_14項目!$A$2:$A$1300,$A35,元データ_14項目!$B$2:$B$1300,"本年",元データ_14項目!$C$2:$C$1300,K$5)</f>
        <v>67</v>
      </c>
      <c r="L35" s="26">
        <f>SUMIFS(INDEX(元データ_14項目!$D$2:$Q$1300,0,MATCH($B35,元データ_14項目!$D$1:$Q$1,0)),元データ_14項目!$A$2:$A$1300,$A35,元データ_14項目!$B$2:$B$1300,"本年",元データ_14項目!$C$2:$C$1300,L$5)</f>
        <v>63</v>
      </c>
      <c r="M35" s="26">
        <f>SUMIFS(INDEX(元データ_14項目!$D$2:$Q$1300,0,MATCH($B35,元データ_14項目!$D$1:$Q$1,0)),元データ_14項目!$A$2:$A$1300,$A35,元データ_14項目!$B$2:$B$1300,"本年",元データ_14項目!$C$2:$C$1300,M$5)</f>
        <v>57</v>
      </c>
      <c r="N35" s="26">
        <f>SUMIFS(INDEX(元データ_14項目!$D$2:$Q$1300,0,MATCH($B35,元データ_14項目!$D$1:$Q$1,0)),元データ_14項目!$A$2:$A$1300,$A35,元データ_14項目!$B$2:$B$1300,"本年",元データ_14項目!$C$2:$C$1300,N$5)</f>
        <v>0</v>
      </c>
      <c r="O35" s="26">
        <f t="shared" si="0"/>
        <v>550</v>
      </c>
      <c r="P35" s="26">
        <f>SUMIFS(INDEX(元データ_14項目!$D$2:$Q$1300,0,MATCH($B35,元データ_14項目!$D$1:$Q$1,0)),元データ_14項目!$A$2:$A$1300,$A35,元データ_14項目!$B$2:$B$1300,"前年")</f>
        <v>571</v>
      </c>
      <c r="Q35" s="7">
        <f t="shared" si="1"/>
        <v>0.96322241681260945</v>
      </c>
    </row>
    <row r="36" spans="1:17" x14ac:dyDescent="0.45">
      <c r="A36" t="s">
        <v>37</v>
      </c>
      <c r="B36" t="s">
        <v>89</v>
      </c>
      <c r="C36" s="26">
        <f>SUMIFS(INDEX(元データ_14項目!$D$2:$Q$1300,0,MATCH($B36,元データ_14項目!$D$1:$Q$1,0)),元データ_14項目!$A$2:$A$1300,$A36,元データ_14項目!$B$2:$B$1300,"本年",元データ_14項目!$C$2:$C$1300,C$5)</f>
        <v>18</v>
      </c>
      <c r="D36" s="26">
        <f>SUMIFS(INDEX(元データ_14項目!$D$2:$Q$1300,0,MATCH($B36,元データ_14項目!$D$1:$Q$1,0)),元データ_14項目!$A$2:$A$1300,$A36,元データ_14項目!$B$2:$B$1300,"本年",元データ_14項目!$C$2:$C$1300,D$5)</f>
        <v>36</v>
      </c>
      <c r="E36" s="26">
        <f>SUMIFS(INDEX(元データ_14項目!$D$2:$Q$1300,0,MATCH($B36,元データ_14項目!$D$1:$Q$1,0)),元データ_14項目!$A$2:$A$1300,$A36,元データ_14項目!$B$2:$B$1300,"本年",元データ_14項目!$C$2:$C$1300,E$5)</f>
        <v>74</v>
      </c>
      <c r="F36" s="26">
        <f>SUMIFS(INDEX(元データ_14項目!$D$2:$Q$1300,0,MATCH($B36,元データ_14項目!$D$1:$Q$1,0)),元データ_14項目!$A$2:$A$1300,$A36,元データ_14項目!$B$2:$B$1300,"本年",元データ_14項目!$C$2:$C$1300,F$5)</f>
        <v>30</v>
      </c>
      <c r="G36" s="26">
        <f>SUMIFS(INDEX(元データ_14項目!$D$2:$Q$1300,0,MATCH($B36,元データ_14項目!$D$1:$Q$1,0)),元データ_14項目!$A$2:$A$1300,$A36,元データ_14項目!$B$2:$B$1300,"本年",元データ_14項目!$C$2:$C$1300,G$5)</f>
        <v>20</v>
      </c>
      <c r="H36" s="26">
        <f>SUMIFS(INDEX(元データ_14項目!$D$2:$Q$1300,0,MATCH($B36,元データ_14項目!$D$1:$Q$1,0)),元データ_14項目!$A$2:$A$1300,$A36,元データ_14項目!$B$2:$B$1300,"本年",元データ_14項目!$C$2:$C$1300,H$5)</f>
        <v>21</v>
      </c>
      <c r="I36" s="26">
        <f>SUMIFS(INDEX(元データ_14項目!$D$2:$Q$1300,0,MATCH($B36,元データ_14項目!$D$1:$Q$1,0)),元データ_14項目!$A$2:$A$1300,$A36,元データ_14項目!$B$2:$B$1300,"本年",元データ_14項目!$C$2:$C$1300,I$5)</f>
        <v>9</v>
      </c>
      <c r="J36" s="26">
        <f>SUMIFS(INDEX(元データ_14項目!$D$2:$Q$1300,0,MATCH($B36,元データ_14項目!$D$1:$Q$1,0)),元データ_14項目!$A$2:$A$1300,$A36,元データ_14項目!$B$2:$B$1300,"本年",元データ_14項目!$C$2:$C$1300,J$5)</f>
        <v>20</v>
      </c>
      <c r="K36" s="26">
        <f>SUMIFS(INDEX(元データ_14項目!$D$2:$Q$1300,0,MATCH($B36,元データ_14項目!$D$1:$Q$1,0)),元データ_14項目!$A$2:$A$1300,$A36,元データ_14項目!$B$2:$B$1300,"本年",元データ_14項目!$C$2:$C$1300,K$5)</f>
        <v>43</v>
      </c>
      <c r="L36" s="26">
        <f>SUMIFS(INDEX(元データ_14項目!$D$2:$Q$1300,0,MATCH($B36,元データ_14項目!$D$1:$Q$1,0)),元データ_14項目!$A$2:$A$1300,$A36,元データ_14項目!$B$2:$B$1300,"本年",元データ_14項目!$C$2:$C$1300,L$5)</f>
        <v>27</v>
      </c>
      <c r="M36" s="26">
        <f>SUMIFS(INDEX(元データ_14項目!$D$2:$Q$1300,0,MATCH($B36,元データ_14項目!$D$1:$Q$1,0)),元データ_14項目!$A$2:$A$1300,$A36,元データ_14項目!$B$2:$B$1300,"本年",元データ_14項目!$C$2:$C$1300,M$5)</f>
        <v>50</v>
      </c>
      <c r="N36" s="26">
        <f>SUMIFS(INDEX(元データ_14項目!$D$2:$Q$1300,0,MATCH($B36,元データ_14項目!$D$1:$Q$1,0)),元データ_14項目!$A$2:$A$1300,$A36,元データ_14項目!$B$2:$B$1300,"本年",元データ_14項目!$C$2:$C$1300,N$5)</f>
        <v>0</v>
      </c>
      <c r="O36" s="26">
        <f t="shared" si="0"/>
        <v>348</v>
      </c>
      <c r="P36" s="26">
        <f>SUMIFS(INDEX(元データ_14項目!$D$2:$Q$1300,0,MATCH($B36,元データ_14項目!$D$1:$Q$1,0)),元データ_14項目!$A$2:$A$1300,$A36,元データ_14項目!$B$2:$B$1300,"前年")</f>
        <v>306</v>
      </c>
      <c r="Q36" s="7">
        <f t="shared" si="1"/>
        <v>1.1372549019607843</v>
      </c>
    </row>
    <row r="37" spans="1:17" x14ac:dyDescent="0.45">
      <c r="A37" t="s">
        <v>37</v>
      </c>
      <c r="B37" t="s">
        <v>90</v>
      </c>
      <c r="C37" s="26">
        <f>SUMIFS(INDEX(元データ_14項目!$D$2:$Q$1300,0,MATCH($B37,元データ_14項目!$D$1:$Q$1,0)),元データ_14項目!$A$2:$A$1300,$A37,元データ_14項目!$B$2:$B$1300,"本年",元データ_14項目!$C$2:$C$1300,C$5)</f>
        <v>40</v>
      </c>
      <c r="D37" s="26">
        <f>SUMIFS(INDEX(元データ_14項目!$D$2:$Q$1300,0,MATCH($B37,元データ_14項目!$D$1:$Q$1,0)),元データ_14項目!$A$2:$A$1300,$A37,元データ_14項目!$B$2:$B$1300,"本年",元データ_14項目!$C$2:$C$1300,D$5)</f>
        <v>20</v>
      </c>
      <c r="E37" s="26">
        <f>SUMIFS(INDEX(元データ_14項目!$D$2:$Q$1300,0,MATCH($B37,元データ_14項目!$D$1:$Q$1,0)),元データ_14項目!$A$2:$A$1300,$A37,元データ_14項目!$B$2:$B$1300,"本年",元データ_14項目!$C$2:$C$1300,E$5)</f>
        <v>44</v>
      </c>
      <c r="F37" s="26">
        <f>SUMIFS(INDEX(元データ_14項目!$D$2:$Q$1300,0,MATCH($B37,元データ_14項目!$D$1:$Q$1,0)),元データ_14項目!$A$2:$A$1300,$A37,元データ_14項目!$B$2:$B$1300,"本年",元データ_14項目!$C$2:$C$1300,F$5)</f>
        <v>100</v>
      </c>
      <c r="G37" s="26">
        <f>SUMIFS(INDEX(元データ_14項目!$D$2:$Q$1300,0,MATCH($B37,元データ_14項目!$D$1:$Q$1,0)),元データ_14項目!$A$2:$A$1300,$A37,元データ_14項目!$B$2:$B$1300,"本年",元データ_14項目!$C$2:$C$1300,G$5)</f>
        <v>125</v>
      </c>
      <c r="H37" s="26">
        <f>SUMIFS(INDEX(元データ_14項目!$D$2:$Q$1300,0,MATCH($B37,元データ_14項目!$D$1:$Q$1,0)),元データ_14項目!$A$2:$A$1300,$A37,元データ_14項目!$B$2:$B$1300,"本年",元データ_14項目!$C$2:$C$1300,H$5)</f>
        <v>94</v>
      </c>
      <c r="I37" s="26">
        <f>SUMIFS(INDEX(元データ_14項目!$D$2:$Q$1300,0,MATCH($B37,元データ_14項目!$D$1:$Q$1,0)),元データ_14項目!$A$2:$A$1300,$A37,元データ_14項目!$B$2:$B$1300,"本年",元データ_14項目!$C$2:$C$1300,I$5)</f>
        <v>50</v>
      </c>
      <c r="J37" s="26">
        <f>SUMIFS(INDEX(元データ_14項目!$D$2:$Q$1300,0,MATCH($B37,元データ_14項目!$D$1:$Q$1,0)),元データ_14項目!$A$2:$A$1300,$A37,元データ_14項目!$B$2:$B$1300,"本年",元データ_14項目!$C$2:$C$1300,J$5)</f>
        <v>94</v>
      </c>
      <c r="K37" s="26">
        <f>SUMIFS(INDEX(元データ_14項目!$D$2:$Q$1300,0,MATCH($B37,元データ_14項目!$D$1:$Q$1,0)),元データ_14項目!$A$2:$A$1300,$A37,元データ_14項目!$B$2:$B$1300,"本年",元データ_14項目!$C$2:$C$1300,K$5)</f>
        <v>128</v>
      </c>
      <c r="L37" s="26">
        <f>SUMIFS(INDEX(元データ_14項目!$D$2:$Q$1300,0,MATCH($B37,元データ_14項目!$D$1:$Q$1,0)),元データ_14項目!$A$2:$A$1300,$A37,元データ_14項目!$B$2:$B$1300,"本年",元データ_14項目!$C$2:$C$1300,L$5)</f>
        <v>107</v>
      </c>
      <c r="M37" s="26">
        <f>SUMIFS(INDEX(元データ_14項目!$D$2:$Q$1300,0,MATCH($B37,元データ_14項目!$D$1:$Q$1,0)),元データ_14項目!$A$2:$A$1300,$A37,元データ_14項目!$B$2:$B$1300,"本年",元データ_14項目!$C$2:$C$1300,M$5)</f>
        <v>81</v>
      </c>
      <c r="N37" s="26">
        <f>SUMIFS(INDEX(元データ_14項目!$D$2:$Q$1300,0,MATCH($B37,元データ_14項目!$D$1:$Q$1,0)),元データ_14項目!$A$2:$A$1300,$A37,元データ_14項目!$B$2:$B$1300,"本年",元データ_14項目!$C$2:$C$1300,N$5)</f>
        <v>0</v>
      </c>
      <c r="O37" s="26">
        <f t="shared" si="0"/>
        <v>883</v>
      </c>
      <c r="P37" s="26">
        <f>SUMIFS(INDEX(元データ_14項目!$D$2:$Q$1300,0,MATCH($B37,元データ_14項目!$D$1:$Q$1,0)),元データ_14項目!$A$2:$A$1300,$A37,元データ_14項目!$B$2:$B$1300,"前年")</f>
        <v>1159</v>
      </c>
      <c r="Q37" s="7">
        <f t="shared" si="1"/>
        <v>0.76186367558239865</v>
      </c>
    </row>
    <row r="38" spans="1:17" x14ac:dyDescent="0.45">
      <c r="A38" t="s">
        <v>37</v>
      </c>
      <c r="B38" t="s">
        <v>91</v>
      </c>
      <c r="C38" s="26">
        <f>SUMIFS(INDEX(元データ_14項目!$D$2:$Q$1300,0,MATCH($B38,元データ_14項目!$D$1:$Q$1,0)),元データ_14項目!$A$2:$A$1300,$A38,元データ_14項目!$B$2:$B$1300,"本年",元データ_14項目!$C$2:$C$1300,C$5)</f>
        <v>24</v>
      </c>
      <c r="D38" s="26">
        <f>SUMIFS(INDEX(元データ_14項目!$D$2:$Q$1300,0,MATCH($B38,元データ_14項目!$D$1:$Q$1,0)),元データ_14項目!$A$2:$A$1300,$A38,元データ_14項目!$B$2:$B$1300,"本年",元データ_14項目!$C$2:$C$1300,D$5)</f>
        <v>23</v>
      </c>
      <c r="E38" s="26">
        <f>SUMIFS(INDEX(元データ_14項目!$D$2:$Q$1300,0,MATCH($B38,元データ_14項目!$D$1:$Q$1,0)),元データ_14項目!$A$2:$A$1300,$A38,元データ_14項目!$B$2:$B$1300,"本年",元データ_14項目!$C$2:$C$1300,E$5)</f>
        <v>49</v>
      </c>
      <c r="F38" s="26">
        <f>SUMIFS(INDEX(元データ_14項目!$D$2:$Q$1300,0,MATCH($B38,元データ_14項目!$D$1:$Q$1,0)),元データ_14項目!$A$2:$A$1300,$A38,元データ_14項目!$B$2:$B$1300,"本年",元データ_14項目!$C$2:$C$1300,F$5)</f>
        <v>41</v>
      </c>
      <c r="G38" s="26">
        <f>SUMIFS(INDEX(元データ_14項目!$D$2:$Q$1300,0,MATCH($B38,元データ_14項目!$D$1:$Q$1,0)),元データ_14項目!$A$2:$A$1300,$A38,元データ_14項目!$B$2:$B$1300,"本年",元データ_14項目!$C$2:$C$1300,G$5)</f>
        <v>9</v>
      </c>
      <c r="H38" s="26">
        <f>SUMIFS(INDEX(元データ_14項目!$D$2:$Q$1300,0,MATCH($B38,元データ_14項目!$D$1:$Q$1,0)),元データ_14項目!$A$2:$A$1300,$A38,元データ_14項目!$B$2:$B$1300,"本年",元データ_14項目!$C$2:$C$1300,H$5)</f>
        <v>1</v>
      </c>
      <c r="I38" s="26">
        <f>SUMIFS(INDEX(元データ_14項目!$D$2:$Q$1300,0,MATCH($B38,元データ_14項目!$D$1:$Q$1,0)),元データ_14項目!$A$2:$A$1300,$A38,元データ_14項目!$B$2:$B$1300,"本年",元データ_14項目!$C$2:$C$1300,I$5)</f>
        <v>15</v>
      </c>
      <c r="J38" s="26">
        <f>SUMIFS(INDEX(元データ_14項目!$D$2:$Q$1300,0,MATCH($B38,元データ_14項目!$D$1:$Q$1,0)),元データ_14項目!$A$2:$A$1300,$A38,元データ_14項目!$B$2:$B$1300,"本年",元データ_14項目!$C$2:$C$1300,J$5)</f>
        <v>12</v>
      </c>
      <c r="K38" s="26">
        <f>SUMIFS(INDEX(元データ_14項目!$D$2:$Q$1300,0,MATCH($B38,元データ_14項目!$D$1:$Q$1,0)),元データ_14項目!$A$2:$A$1300,$A38,元データ_14項目!$B$2:$B$1300,"本年",元データ_14項目!$C$2:$C$1300,K$5)</f>
        <v>16</v>
      </c>
      <c r="L38" s="26">
        <f>SUMIFS(INDEX(元データ_14項目!$D$2:$Q$1300,0,MATCH($B38,元データ_14項目!$D$1:$Q$1,0)),元データ_14項目!$A$2:$A$1300,$A38,元データ_14項目!$B$2:$B$1300,"本年",元データ_14項目!$C$2:$C$1300,L$5)</f>
        <v>15</v>
      </c>
      <c r="M38" s="26">
        <f>SUMIFS(INDEX(元データ_14項目!$D$2:$Q$1300,0,MATCH($B38,元データ_14項目!$D$1:$Q$1,0)),元データ_14項目!$A$2:$A$1300,$A38,元データ_14項目!$B$2:$B$1300,"本年",元データ_14項目!$C$2:$C$1300,M$5)</f>
        <v>30</v>
      </c>
      <c r="N38" s="26">
        <f>SUMIFS(INDEX(元データ_14項目!$D$2:$Q$1300,0,MATCH($B38,元データ_14項目!$D$1:$Q$1,0)),元データ_14項目!$A$2:$A$1300,$A38,元データ_14項目!$B$2:$B$1300,"本年",元データ_14項目!$C$2:$C$1300,N$5)</f>
        <v>0</v>
      </c>
      <c r="O38" s="26">
        <f t="shared" si="0"/>
        <v>235</v>
      </c>
      <c r="P38" s="26">
        <f>SUMIFS(INDEX(元データ_14項目!$D$2:$Q$1300,0,MATCH($B38,元データ_14項目!$D$1:$Q$1,0)),元データ_14項目!$A$2:$A$1300,$A38,元データ_14項目!$B$2:$B$1300,"前年")</f>
        <v>216</v>
      </c>
      <c r="Q38" s="7">
        <f t="shared" si="1"/>
        <v>1.087962962962963</v>
      </c>
    </row>
    <row r="39" spans="1:17" x14ac:dyDescent="0.45">
      <c r="A39" t="s">
        <v>37</v>
      </c>
      <c r="B39" t="s">
        <v>28</v>
      </c>
      <c r="C39" s="26">
        <f>SUMIFS(INDEX(元データ_14項目!$D$2:$Q$1300,0,MATCH($B39,元データ_14項目!$D$1:$Q$1,0)),元データ_14項目!$A$2:$A$1300,$A39,元データ_14項目!$B$2:$B$1300,"本年",元データ_14項目!$C$2:$C$1300,C$5)</f>
        <v>179</v>
      </c>
      <c r="D39" s="26">
        <f>SUMIFS(INDEX(元データ_14項目!$D$2:$Q$1300,0,MATCH($B39,元データ_14項目!$D$1:$Q$1,0)),元データ_14項目!$A$2:$A$1300,$A39,元データ_14項目!$B$2:$B$1300,"本年",元データ_14項目!$C$2:$C$1300,D$5)</f>
        <v>196</v>
      </c>
      <c r="E39" s="26">
        <f>SUMIFS(INDEX(元データ_14項目!$D$2:$Q$1300,0,MATCH($B39,元データ_14項目!$D$1:$Q$1,0)),元データ_14項目!$A$2:$A$1300,$A39,元データ_14項目!$B$2:$B$1300,"本年",元データ_14項目!$C$2:$C$1300,E$5)</f>
        <v>247</v>
      </c>
      <c r="F39" s="26">
        <f>SUMIFS(INDEX(元データ_14項目!$D$2:$Q$1300,0,MATCH($B39,元データ_14項目!$D$1:$Q$1,0)),元データ_14項目!$A$2:$A$1300,$A39,元データ_14項目!$B$2:$B$1300,"本年",元データ_14項目!$C$2:$C$1300,F$5)</f>
        <v>211</v>
      </c>
      <c r="G39" s="26">
        <f>SUMIFS(INDEX(元データ_14項目!$D$2:$Q$1300,0,MATCH($B39,元データ_14項目!$D$1:$Q$1,0)),元データ_14項目!$A$2:$A$1300,$A39,元データ_14項目!$B$2:$B$1300,"本年",元データ_14項目!$C$2:$C$1300,G$5)</f>
        <v>158</v>
      </c>
      <c r="H39" s="26">
        <f>SUMIFS(INDEX(元データ_14項目!$D$2:$Q$1300,0,MATCH($B39,元データ_14項目!$D$1:$Q$1,0)),元データ_14項目!$A$2:$A$1300,$A39,元データ_14項目!$B$2:$B$1300,"本年",元データ_14項目!$C$2:$C$1300,H$5)</f>
        <v>105</v>
      </c>
      <c r="I39" s="26">
        <f>SUMIFS(INDEX(元データ_14項目!$D$2:$Q$1300,0,MATCH($B39,元データ_14項目!$D$1:$Q$1,0)),元データ_14項目!$A$2:$A$1300,$A39,元データ_14項目!$B$2:$B$1300,"本年",元データ_14項目!$C$2:$C$1300,I$5)</f>
        <v>115</v>
      </c>
      <c r="J39" s="26">
        <f>SUMIFS(INDEX(元データ_14項目!$D$2:$Q$1300,0,MATCH($B39,元データ_14項目!$D$1:$Q$1,0)),元データ_14項目!$A$2:$A$1300,$A39,元データ_14項目!$B$2:$B$1300,"本年",元データ_14項目!$C$2:$C$1300,J$5)</f>
        <v>95</v>
      </c>
      <c r="K39" s="26">
        <f>SUMIFS(INDEX(元データ_14項目!$D$2:$Q$1300,0,MATCH($B39,元データ_14項目!$D$1:$Q$1,0)),元データ_14項目!$A$2:$A$1300,$A39,元データ_14項目!$B$2:$B$1300,"本年",元データ_14項目!$C$2:$C$1300,K$5)</f>
        <v>162</v>
      </c>
      <c r="L39" s="26">
        <f>SUMIFS(INDEX(元データ_14項目!$D$2:$Q$1300,0,MATCH($B39,元データ_14項目!$D$1:$Q$1,0)),元データ_14項目!$A$2:$A$1300,$A39,元データ_14項目!$B$2:$B$1300,"本年",元データ_14項目!$C$2:$C$1300,L$5)</f>
        <v>153</v>
      </c>
      <c r="M39" s="26">
        <f>SUMIFS(INDEX(元データ_14項目!$D$2:$Q$1300,0,MATCH($B39,元データ_14項目!$D$1:$Q$1,0)),元データ_14項目!$A$2:$A$1300,$A39,元データ_14項目!$B$2:$B$1300,"本年",元データ_14項目!$C$2:$C$1300,M$5)</f>
        <v>212</v>
      </c>
      <c r="N39" s="26">
        <f>SUMIFS(INDEX(元データ_14項目!$D$2:$Q$1300,0,MATCH($B39,元データ_14項目!$D$1:$Q$1,0)),元データ_14項目!$A$2:$A$1300,$A39,元データ_14項目!$B$2:$B$1300,"本年",元データ_14項目!$C$2:$C$1300,N$5)</f>
        <v>0</v>
      </c>
      <c r="O39" s="26">
        <f t="shared" si="0"/>
        <v>1833</v>
      </c>
      <c r="P39" s="26">
        <f>SUMIFS(INDEX(元データ_14項目!$D$2:$Q$1300,0,MATCH($B39,元データ_14項目!$D$1:$Q$1,0)),元データ_14項目!$A$2:$A$1300,$A39,元データ_14項目!$B$2:$B$1300,"前年")</f>
        <v>2038</v>
      </c>
      <c r="Q39" s="7">
        <f t="shared" si="1"/>
        <v>0.89941118743866533</v>
      </c>
    </row>
    <row r="40" spans="1:17" x14ac:dyDescent="0.45">
      <c r="A40" t="s">
        <v>37</v>
      </c>
      <c r="B40" t="s">
        <v>92</v>
      </c>
      <c r="C40" s="26">
        <f>SUMIFS(INDEX(元データ_14項目!$D$2:$Q$1300,0,MATCH($B40,元データ_14項目!$D$1:$Q$1,0)),元データ_14項目!$A$2:$A$1300,$A40,元データ_14項目!$B$2:$B$1300,"本年",元データ_14項目!$C$2:$C$1300,C$5)</f>
        <v>8</v>
      </c>
      <c r="D40" s="26">
        <f>SUMIFS(INDEX(元データ_14項目!$D$2:$Q$1300,0,MATCH($B40,元データ_14項目!$D$1:$Q$1,0)),元データ_14項目!$A$2:$A$1300,$A40,元データ_14項目!$B$2:$B$1300,"本年",元データ_14項目!$C$2:$C$1300,D$5)</f>
        <v>23</v>
      </c>
      <c r="E40" s="26">
        <f>SUMIFS(INDEX(元データ_14項目!$D$2:$Q$1300,0,MATCH($B40,元データ_14項目!$D$1:$Q$1,0)),元データ_14項目!$A$2:$A$1300,$A40,元データ_14項目!$B$2:$B$1300,"本年",元データ_14項目!$C$2:$C$1300,E$5)</f>
        <v>24</v>
      </c>
      <c r="F40" s="26">
        <f>SUMIFS(INDEX(元データ_14項目!$D$2:$Q$1300,0,MATCH($B40,元データ_14項目!$D$1:$Q$1,0)),元データ_14項目!$A$2:$A$1300,$A40,元データ_14項目!$B$2:$B$1300,"本年",元データ_14項目!$C$2:$C$1300,F$5)</f>
        <v>32</v>
      </c>
      <c r="G40" s="26">
        <f>SUMIFS(INDEX(元データ_14項目!$D$2:$Q$1300,0,MATCH($B40,元データ_14項目!$D$1:$Q$1,0)),元データ_14項目!$A$2:$A$1300,$A40,元データ_14項目!$B$2:$B$1300,"本年",元データ_14項目!$C$2:$C$1300,G$5)</f>
        <v>16</v>
      </c>
      <c r="H40" s="26">
        <f>SUMIFS(INDEX(元データ_14項目!$D$2:$Q$1300,0,MATCH($B40,元データ_14項目!$D$1:$Q$1,0)),元データ_14項目!$A$2:$A$1300,$A40,元データ_14項目!$B$2:$B$1300,"本年",元データ_14項目!$C$2:$C$1300,H$5)</f>
        <v>13</v>
      </c>
      <c r="I40" s="26">
        <f>SUMIFS(INDEX(元データ_14項目!$D$2:$Q$1300,0,MATCH($B40,元データ_14項目!$D$1:$Q$1,0)),元データ_14項目!$A$2:$A$1300,$A40,元データ_14項目!$B$2:$B$1300,"本年",元データ_14項目!$C$2:$C$1300,I$5)</f>
        <v>12</v>
      </c>
      <c r="J40" s="26">
        <f>SUMIFS(INDEX(元データ_14項目!$D$2:$Q$1300,0,MATCH($B40,元データ_14項目!$D$1:$Q$1,0)),元データ_14項目!$A$2:$A$1300,$A40,元データ_14項目!$B$2:$B$1300,"本年",元データ_14項目!$C$2:$C$1300,J$5)</f>
        <v>17</v>
      </c>
      <c r="K40" s="26">
        <f>SUMIFS(INDEX(元データ_14項目!$D$2:$Q$1300,0,MATCH($B40,元データ_14項目!$D$1:$Q$1,0)),元データ_14項目!$A$2:$A$1300,$A40,元データ_14項目!$B$2:$B$1300,"本年",元データ_14項目!$C$2:$C$1300,K$5)</f>
        <v>43</v>
      </c>
      <c r="L40" s="26">
        <f>SUMIFS(INDEX(元データ_14項目!$D$2:$Q$1300,0,MATCH($B40,元データ_14項目!$D$1:$Q$1,0)),元データ_14項目!$A$2:$A$1300,$A40,元データ_14項目!$B$2:$B$1300,"本年",元データ_14項目!$C$2:$C$1300,L$5)</f>
        <v>33</v>
      </c>
      <c r="M40" s="26">
        <f>SUMIFS(INDEX(元データ_14項目!$D$2:$Q$1300,0,MATCH($B40,元データ_14項目!$D$1:$Q$1,0)),元データ_14項目!$A$2:$A$1300,$A40,元データ_14項目!$B$2:$B$1300,"本年",元データ_14項目!$C$2:$C$1300,M$5)</f>
        <v>11</v>
      </c>
      <c r="N40" s="26">
        <f>SUMIFS(INDEX(元データ_14項目!$D$2:$Q$1300,0,MATCH($B40,元データ_14項目!$D$1:$Q$1,0)),元データ_14項目!$A$2:$A$1300,$A40,元データ_14項目!$B$2:$B$1300,"本年",元データ_14項目!$C$2:$C$1300,N$5)</f>
        <v>0</v>
      </c>
      <c r="O40" s="26">
        <f t="shared" si="0"/>
        <v>232</v>
      </c>
      <c r="P40" s="26">
        <f>SUMIFS(INDEX(元データ_14項目!$D$2:$Q$1300,0,MATCH($B40,元データ_14項目!$D$1:$Q$1,0)),元データ_14項目!$A$2:$A$1300,$A40,元データ_14項目!$B$2:$B$1300,"前年")</f>
        <v>240</v>
      </c>
      <c r="Q40" s="7">
        <f t="shared" si="1"/>
        <v>0.96666666666666667</v>
      </c>
    </row>
    <row r="41" spans="1:17" x14ac:dyDescent="0.45">
      <c r="A41" t="s">
        <v>37</v>
      </c>
      <c r="B41" t="s">
        <v>93</v>
      </c>
      <c r="C41" s="26">
        <f>SUMIFS(INDEX(元データ_14項目!$D$2:$Q$1300,0,MATCH($B41,元データ_14項目!$D$1:$Q$1,0)),元データ_14項目!$A$2:$A$1300,$A41,元データ_14項目!$B$2:$B$1300,"本年",元データ_14項目!$C$2:$C$1300,C$5)</f>
        <v>13</v>
      </c>
      <c r="D41" s="26">
        <f>SUMIFS(INDEX(元データ_14項目!$D$2:$Q$1300,0,MATCH($B41,元データ_14項目!$D$1:$Q$1,0)),元データ_14項目!$A$2:$A$1300,$A41,元データ_14項目!$B$2:$B$1300,"本年",元データ_14項目!$C$2:$C$1300,D$5)</f>
        <v>10</v>
      </c>
      <c r="E41" s="26">
        <f>SUMIFS(INDEX(元データ_14項目!$D$2:$Q$1300,0,MATCH($B41,元データ_14項目!$D$1:$Q$1,0)),元データ_14項目!$A$2:$A$1300,$A41,元データ_14項目!$B$2:$B$1300,"本年",元データ_14項目!$C$2:$C$1300,E$5)</f>
        <v>20</v>
      </c>
      <c r="F41" s="26">
        <f>SUMIFS(INDEX(元データ_14項目!$D$2:$Q$1300,0,MATCH($B41,元データ_14項目!$D$1:$Q$1,0)),元データ_14項目!$A$2:$A$1300,$A41,元データ_14項目!$B$2:$B$1300,"本年",元データ_14項目!$C$2:$C$1300,F$5)</f>
        <v>81</v>
      </c>
      <c r="G41" s="26">
        <f>SUMIFS(INDEX(元データ_14項目!$D$2:$Q$1300,0,MATCH($B41,元データ_14項目!$D$1:$Q$1,0)),元データ_14項目!$A$2:$A$1300,$A41,元データ_14項目!$B$2:$B$1300,"本年",元データ_14項目!$C$2:$C$1300,G$5)</f>
        <v>66</v>
      </c>
      <c r="H41" s="26">
        <f>SUMIFS(INDEX(元データ_14項目!$D$2:$Q$1300,0,MATCH($B41,元データ_14項目!$D$1:$Q$1,0)),元データ_14項目!$A$2:$A$1300,$A41,元データ_14項目!$B$2:$B$1300,"本年",元データ_14項目!$C$2:$C$1300,H$5)</f>
        <v>53</v>
      </c>
      <c r="I41" s="26">
        <f>SUMIFS(INDEX(元データ_14項目!$D$2:$Q$1300,0,MATCH($B41,元データ_14項目!$D$1:$Q$1,0)),元データ_14項目!$A$2:$A$1300,$A41,元データ_14項目!$B$2:$B$1300,"本年",元データ_14項目!$C$2:$C$1300,I$5)</f>
        <v>60</v>
      </c>
      <c r="J41" s="26">
        <f>SUMIFS(INDEX(元データ_14項目!$D$2:$Q$1300,0,MATCH($B41,元データ_14項目!$D$1:$Q$1,0)),元データ_14項目!$A$2:$A$1300,$A41,元データ_14項目!$B$2:$B$1300,"本年",元データ_14項目!$C$2:$C$1300,J$5)</f>
        <v>92</v>
      </c>
      <c r="K41" s="26">
        <f>SUMIFS(INDEX(元データ_14項目!$D$2:$Q$1300,0,MATCH($B41,元データ_14項目!$D$1:$Q$1,0)),元データ_14項目!$A$2:$A$1300,$A41,元データ_14項目!$B$2:$B$1300,"本年",元データ_14項目!$C$2:$C$1300,K$5)</f>
        <v>260</v>
      </c>
      <c r="L41" s="26">
        <f>SUMIFS(INDEX(元データ_14項目!$D$2:$Q$1300,0,MATCH($B41,元データ_14項目!$D$1:$Q$1,0)),元データ_14項目!$A$2:$A$1300,$A41,元データ_14項目!$B$2:$B$1300,"本年",元データ_14項目!$C$2:$C$1300,L$5)</f>
        <v>110</v>
      </c>
      <c r="M41" s="26">
        <f>SUMIFS(INDEX(元データ_14項目!$D$2:$Q$1300,0,MATCH($B41,元データ_14項目!$D$1:$Q$1,0)),元データ_14項目!$A$2:$A$1300,$A41,元データ_14項目!$B$2:$B$1300,"本年",元データ_14項目!$C$2:$C$1300,M$5)</f>
        <v>52</v>
      </c>
      <c r="N41" s="26">
        <f>SUMIFS(INDEX(元データ_14項目!$D$2:$Q$1300,0,MATCH($B41,元データ_14項目!$D$1:$Q$1,0)),元データ_14項目!$A$2:$A$1300,$A41,元データ_14項目!$B$2:$B$1300,"本年",元データ_14項目!$C$2:$C$1300,N$5)</f>
        <v>0</v>
      </c>
      <c r="O41" s="26">
        <f t="shared" si="0"/>
        <v>817</v>
      </c>
      <c r="P41" s="26">
        <f>SUMIFS(INDEX(元データ_14項目!$D$2:$Q$1300,0,MATCH($B41,元データ_14項目!$D$1:$Q$1,0)),元データ_14項目!$A$2:$A$1300,$A41,元データ_14項目!$B$2:$B$1300,"前年")</f>
        <v>956</v>
      </c>
      <c r="Q41" s="7">
        <f t="shared" si="1"/>
        <v>0.85460251046025104</v>
      </c>
    </row>
    <row r="42" spans="1:17" x14ac:dyDescent="0.45">
      <c r="A42" t="s">
        <v>37</v>
      </c>
      <c r="B42" t="s">
        <v>94</v>
      </c>
      <c r="C42" s="26">
        <f>SUMIFS(INDEX(元データ_14項目!$D$2:$Q$1300,0,MATCH($B42,元データ_14項目!$D$1:$Q$1,0)),元データ_14項目!$A$2:$A$1300,$A42,元データ_14項目!$B$2:$B$1300,"本年",元データ_14項目!$C$2:$C$1300,C$5)</f>
        <v>6</v>
      </c>
      <c r="D42" s="26">
        <f>SUMIFS(INDEX(元データ_14項目!$D$2:$Q$1300,0,MATCH($B42,元データ_14項目!$D$1:$Q$1,0)),元データ_14項目!$A$2:$A$1300,$A42,元データ_14項目!$B$2:$B$1300,"本年",元データ_14項目!$C$2:$C$1300,D$5)</f>
        <v>6</v>
      </c>
      <c r="E42" s="26">
        <f>SUMIFS(INDEX(元データ_14項目!$D$2:$Q$1300,0,MATCH($B42,元データ_14項目!$D$1:$Q$1,0)),元データ_14項目!$A$2:$A$1300,$A42,元データ_14項目!$B$2:$B$1300,"本年",元データ_14項目!$C$2:$C$1300,E$5)</f>
        <v>21</v>
      </c>
      <c r="F42" s="26">
        <f>SUMIFS(INDEX(元データ_14項目!$D$2:$Q$1300,0,MATCH($B42,元データ_14項目!$D$1:$Q$1,0)),元データ_14項目!$A$2:$A$1300,$A42,元データ_14項目!$B$2:$B$1300,"本年",元データ_14項目!$C$2:$C$1300,F$5)</f>
        <v>19</v>
      </c>
      <c r="G42" s="26">
        <f>SUMIFS(INDEX(元データ_14項目!$D$2:$Q$1300,0,MATCH($B42,元データ_14項目!$D$1:$Q$1,0)),元データ_14項目!$A$2:$A$1300,$A42,元データ_14項目!$B$2:$B$1300,"本年",元データ_14項目!$C$2:$C$1300,G$5)</f>
        <v>37</v>
      </c>
      <c r="H42" s="26">
        <f>SUMIFS(INDEX(元データ_14項目!$D$2:$Q$1300,0,MATCH($B42,元データ_14項目!$D$1:$Q$1,0)),元データ_14項目!$A$2:$A$1300,$A42,元データ_14項目!$B$2:$B$1300,"本年",元データ_14項目!$C$2:$C$1300,H$5)</f>
        <v>11</v>
      </c>
      <c r="I42" s="26">
        <f>SUMIFS(INDEX(元データ_14項目!$D$2:$Q$1300,0,MATCH($B42,元データ_14項目!$D$1:$Q$1,0)),元データ_14項目!$A$2:$A$1300,$A42,元データ_14項目!$B$2:$B$1300,"本年",元データ_14項目!$C$2:$C$1300,I$5)</f>
        <v>14</v>
      </c>
      <c r="J42" s="26">
        <f>SUMIFS(INDEX(元データ_14項目!$D$2:$Q$1300,0,MATCH($B42,元データ_14項目!$D$1:$Q$1,0)),元データ_14項目!$A$2:$A$1300,$A42,元データ_14項目!$B$2:$B$1300,"本年",元データ_14項目!$C$2:$C$1300,J$5)</f>
        <v>27</v>
      </c>
      <c r="K42" s="26">
        <f>SUMIFS(INDEX(元データ_14項目!$D$2:$Q$1300,0,MATCH($B42,元データ_14項目!$D$1:$Q$1,0)),元データ_14項目!$A$2:$A$1300,$A42,元データ_14項目!$B$2:$B$1300,"本年",元データ_14項目!$C$2:$C$1300,K$5)</f>
        <v>109</v>
      </c>
      <c r="L42" s="26">
        <f>SUMIFS(INDEX(元データ_14項目!$D$2:$Q$1300,0,MATCH($B42,元データ_14項目!$D$1:$Q$1,0)),元データ_14項目!$A$2:$A$1300,$A42,元データ_14項目!$B$2:$B$1300,"本年",元データ_14項目!$C$2:$C$1300,L$5)</f>
        <v>47</v>
      </c>
      <c r="M42" s="26">
        <f>SUMIFS(INDEX(元データ_14項目!$D$2:$Q$1300,0,MATCH($B42,元データ_14項目!$D$1:$Q$1,0)),元データ_14項目!$A$2:$A$1300,$A42,元データ_14項目!$B$2:$B$1300,"本年",元データ_14項目!$C$2:$C$1300,M$5)</f>
        <v>34</v>
      </c>
      <c r="N42" s="26">
        <f>SUMIFS(INDEX(元データ_14項目!$D$2:$Q$1300,0,MATCH($B42,元データ_14項目!$D$1:$Q$1,0)),元データ_14項目!$A$2:$A$1300,$A42,元データ_14項目!$B$2:$B$1300,"本年",元データ_14項目!$C$2:$C$1300,N$5)</f>
        <v>0</v>
      </c>
      <c r="O42" s="26">
        <f t="shared" si="0"/>
        <v>331</v>
      </c>
      <c r="P42" s="26">
        <f>SUMIFS(INDEX(元データ_14項目!$D$2:$Q$1300,0,MATCH($B42,元データ_14項目!$D$1:$Q$1,0)),元データ_14項目!$A$2:$A$1300,$A42,元データ_14項目!$B$2:$B$1300,"前年")</f>
        <v>331</v>
      </c>
      <c r="Q42" s="7">
        <f t="shared" si="1"/>
        <v>1</v>
      </c>
    </row>
    <row r="43" spans="1:17" x14ac:dyDescent="0.45">
      <c r="A43" t="s">
        <v>37</v>
      </c>
      <c r="B43" t="s">
        <v>95</v>
      </c>
      <c r="C43" s="26">
        <f>SUMIFS(INDEX(元データ_14項目!$D$2:$Q$1300,0,MATCH($B43,元データ_14項目!$D$1:$Q$1,0)),元データ_14項目!$A$2:$A$1300,$A43,元データ_14項目!$B$2:$B$1300,"本年",元データ_14項目!$C$2:$C$1300,C$5)</f>
        <v>14</v>
      </c>
      <c r="D43" s="26">
        <f>SUMIFS(INDEX(元データ_14項目!$D$2:$Q$1300,0,MATCH($B43,元データ_14項目!$D$1:$Q$1,0)),元データ_14項目!$A$2:$A$1300,$A43,元データ_14項目!$B$2:$B$1300,"本年",元データ_14項目!$C$2:$C$1300,D$5)</f>
        <v>31</v>
      </c>
      <c r="E43" s="26">
        <f>SUMIFS(INDEX(元データ_14項目!$D$2:$Q$1300,0,MATCH($B43,元データ_14項目!$D$1:$Q$1,0)),元データ_14項目!$A$2:$A$1300,$A43,元データ_14項目!$B$2:$B$1300,"本年",元データ_14項目!$C$2:$C$1300,E$5)</f>
        <v>22</v>
      </c>
      <c r="F43" s="26">
        <f>SUMIFS(INDEX(元データ_14項目!$D$2:$Q$1300,0,MATCH($B43,元データ_14項目!$D$1:$Q$1,0)),元データ_14項目!$A$2:$A$1300,$A43,元データ_14項目!$B$2:$B$1300,"本年",元データ_14項目!$C$2:$C$1300,F$5)</f>
        <v>27</v>
      </c>
      <c r="G43" s="26">
        <f>SUMIFS(INDEX(元データ_14項目!$D$2:$Q$1300,0,MATCH($B43,元データ_14項目!$D$1:$Q$1,0)),元データ_14項目!$A$2:$A$1300,$A43,元データ_14項目!$B$2:$B$1300,"本年",元データ_14項目!$C$2:$C$1300,G$5)</f>
        <v>20</v>
      </c>
      <c r="H43" s="26">
        <f>SUMIFS(INDEX(元データ_14項目!$D$2:$Q$1300,0,MATCH($B43,元データ_14項目!$D$1:$Q$1,0)),元データ_14項目!$A$2:$A$1300,$A43,元データ_14項目!$B$2:$B$1300,"本年",元データ_14項目!$C$2:$C$1300,H$5)</f>
        <v>11</v>
      </c>
      <c r="I43" s="26">
        <f>SUMIFS(INDEX(元データ_14項目!$D$2:$Q$1300,0,MATCH($B43,元データ_14項目!$D$1:$Q$1,0)),元データ_14項目!$A$2:$A$1300,$A43,元データ_14項目!$B$2:$B$1300,"本年",元データ_14項目!$C$2:$C$1300,I$5)</f>
        <v>13</v>
      </c>
      <c r="J43" s="26">
        <f>SUMIFS(INDEX(元データ_14項目!$D$2:$Q$1300,0,MATCH($B43,元データ_14項目!$D$1:$Q$1,0)),元データ_14項目!$A$2:$A$1300,$A43,元データ_14項目!$B$2:$B$1300,"本年",元データ_14項目!$C$2:$C$1300,J$5)</f>
        <v>13</v>
      </c>
      <c r="K43" s="26">
        <f>SUMIFS(INDEX(元データ_14項目!$D$2:$Q$1300,0,MATCH($B43,元データ_14項目!$D$1:$Q$1,0)),元データ_14項目!$A$2:$A$1300,$A43,元データ_14項目!$B$2:$B$1300,"本年",元データ_14項目!$C$2:$C$1300,K$5)</f>
        <v>28</v>
      </c>
      <c r="L43" s="26">
        <f>SUMIFS(INDEX(元データ_14項目!$D$2:$Q$1300,0,MATCH($B43,元データ_14項目!$D$1:$Q$1,0)),元データ_14項目!$A$2:$A$1300,$A43,元データ_14項目!$B$2:$B$1300,"本年",元データ_14項目!$C$2:$C$1300,L$5)</f>
        <v>15</v>
      </c>
      <c r="M43" s="26">
        <f>SUMIFS(INDEX(元データ_14項目!$D$2:$Q$1300,0,MATCH($B43,元データ_14項目!$D$1:$Q$1,0)),元データ_14項目!$A$2:$A$1300,$A43,元データ_14項目!$B$2:$B$1300,"本年",元データ_14項目!$C$2:$C$1300,M$5)</f>
        <v>15</v>
      </c>
      <c r="N43" s="26">
        <f>SUMIFS(INDEX(元データ_14項目!$D$2:$Q$1300,0,MATCH($B43,元データ_14項目!$D$1:$Q$1,0)),元データ_14項目!$A$2:$A$1300,$A43,元データ_14項目!$B$2:$B$1300,"本年",元データ_14項目!$C$2:$C$1300,N$5)</f>
        <v>0</v>
      </c>
      <c r="O43" s="26">
        <f t="shared" si="0"/>
        <v>209</v>
      </c>
      <c r="P43" s="26">
        <f>SUMIFS(INDEX(元データ_14項目!$D$2:$Q$1300,0,MATCH($B43,元データ_14項目!$D$1:$Q$1,0)),元データ_14項目!$A$2:$A$1300,$A43,元データ_14項目!$B$2:$B$1300,"前年")</f>
        <v>189</v>
      </c>
      <c r="Q43" s="7">
        <f t="shared" si="1"/>
        <v>1.1058201058201058</v>
      </c>
    </row>
    <row r="44" spans="1:17" x14ac:dyDescent="0.45">
      <c r="A44" t="s">
        <v>37</v>
      </c>
      <c r="B44" t="s">
        <v>96</v>
      </c>
      <c r="C44" s="26">
        <f>SUMIFS(INDEX(元データ_14項目!$D$2:$Q$1300,0,MATCH($B44,元データ_14項目!$D$1:$Q$1,0)),元データ_14項目!$A$2:$A$1300,$A44,元データ_14項目!$B$2:$B$1300,"本年",元データ_14項目!$C$2:$C$1300,C$5)</f>
        <v>9</v>
      </c>
      <c r="D44" s="26">
        <f>SUMIFS(INDEX(元データ_14項目!$D$2:$Q$1300,0,MATCH($B44,元データ_14項目!$D$1:$Q$1,0)),元データ_14項目!$A$2:$A$1300,$A44,元データ_14項目!$B$2:$B$1300,"本年",元データ_14項目!$C$2:$C$1300,D$5)</f>
        <v>10</v>
      </c>
      <c r="E44" s="26">
        <f>SUMIFS(INDEX(元データ_14項目!$D$2:$Q$1300,0,MATCH($B44,元データ_14項目!$D$1:$Q$1,0)),元データ_14項目!$A$2:$A$1300,$A44,元データ_14項目!$B$2:$B$1300,"本年",元データ_14項目!$C$2:$C$1300,E$5)</f>
        <v>27</v>
      </c>
      <c r="F44" s="26">
        <f>SUMIFS(INDEX(元データ_14項目!$D$2:$Q$1300,0,MATCH($B44,元データ_14項目!$D$1:$Q$1,0)),元データ_14項目!$A$2:$A$1300,$A44,元データ_14項目!$B$2:$B$1300,"本年",元データ_14項目!$C$2:$C$1300,F$5)</f>
        <v>36</v>
      </c>
      <c r="G44" s="26">
        <f>SUMIFS(INDEX(元データ_14項目!$D$2:$Q$1300,0,MATCH($B44,元データ_14項目!$D$1:$Q$1,0)),元データ_14項目!$A$2:$A$1300,$A44,元データ_14項目!$B$2:$B$1300,"本年",元データ_14項目!$C$2:$C$1300,G$5)</f>
        <v>37</v>
      </c>
      <c r="H44" s="26">
        <f>SUMIFS(INDEX(元データ_14項目!$D$2:$Q$1300,0,MATCH($B44,元データ_14項目!$D$1:$Q$1,0)),元データ_14項目!$A$2:$A$1300,$A44,元データ_14項目!$B$2:$B$1300,"本年",元データ_14項目!$C$2:$C$1300,H$5)</f>
        <v>17</v>
      </c>
      <c r="I44" s="26">
        <f>SUMIFS(INDEX(元データ_14項目!$D$2:$Q$1300,0,MATCH($B44,元データ_14項目!$D$1:$Q$1,0)),元データ_14項目!$A$2:$A$1300,$A44,元データ_14項目!$B$2:$B$1300,"本年",元データ_14項目!$C$2:$C$1300,I$5)</f>
        <v>14</v>
      </c>
      <c r="J44" s="26">
        <f>SUMIFS(INDEX(元データ_14項目!$D$2:$Q$1300,0,MATCH($B44,元データ_14項目!$D$1:$Q$1,0)),元データ_14項目!$A$2:$A$1300,$A44,元データ_14項目!$B$2:$B$1300,"本年",元データ_14項目!$C$2:$C$1300,J$5)</f>
        <v>92</v>
      </c>
      <c r="K44" s="26">
        <f>SUMIFS(INDEX(元データ_14項目!$D$2:$Q$1300,0,MATCH($B44,元データ_14項目!$D$1:$Q$1,0)),元データ_14項目!$A$2:$A$1300,$A44,元データ_14項目!$B$2:$B$1300,"本年",元データ_14項目!$C$2:$C$1300,K$5)</f>
        <v>212</v>
      </c>
      <c r="L44" s="26">
        <f>SUMIFS(INDEX(元データ_14項目!$D$2:$Q$1300,0,MATCH($B44,元データ_14項目!$D$1:$Q$1,0)),元データ_14項目!$A$2:$A$1300,$A44,元データ_14項目!$B$2:$B$1300,"本年",元データ_14項目!$C$2:$C$1300,L$5)</f>
        <v>83</v>
      </c>
      <c r="M44" s="26">
        <f>SUMIFS(INDEX(元データ_14項目!$D$2:$Q$1300,0,MATCH($B44,元データ_14項目!$D$1:$Q$1,0)),元データ_14項目!$A$2:$A$1300,$A44,元データ_14項目!$B$2:$B$1300,"本年",元データ_14項目!$C$2:$C$1300,M$5)</f>
        <v>48</v>
      </c>
      <c r="N44" s="26">
        <f>SUMIFS(INDEX(元データ_14項目!$D$2:$Q$1300,0,MATCH($B44,元データ_14項目!$D$1:$Q$1,0)),元データ_14項目!$A$2:$A$1300,$A44,元データ_14項目!$B$2:$B$1300,"本年",元データ_14項目!$C$2:$C$1300,N$5)</f>
        <v>0</v>
      </c>
      <c r="O44" s="26">
        <f t="shared" si="0"/>
        <v>585</v>
      </c>
      <c r="P44" s="26">
        <f>SUMIFS(INDEX(元データ_14項目!$D$2:$Q$1300,0,MATCH($B44,元データ_14項目!$D$1:$Q$1,0)),元データ_14項目!$A$2:$A$1300,$A44,元データ_14項目!$B$2:$B$1300,"前年")</f>
        <v>649</v>
      </c>
      <c r="Q44" s="7">
        <f t="shared" si="1"/>
        <v>0.90138674884437597</v>
      </c>
    </row>
    <row r="45" spans="1:17" x14ac:dyDescent="0.45">
      <c r="A45" t="s">
        <v>37</v>
      </c>
      <c r="B45" t="s">
        <v>97</v>
      </c>
      <c r="C45" s="26">
        <f>SUMIFS(INDEX(元データ_14項目!$D$2:$Q$1300,0,MATCH($B45,元データ_14項目!$D$1:$Q$1,0)),元データ_14項目!$A$2:$A$1300,$A45,元データ_14項目!$B$2:$B$1300,"本年",元データ_14項目!$C$2:$C$1300,C$5)</f>
        <v>18</v>
      </c>
      <c r="D45" s="26">
        <f>SUMIFS(INDEX(元データ_14項目!$D$2:$Q$1300,0,MATCH($B45,元データ_14項目!$D$1:$Q$1,0)),元データ_14項目!$A$2:$A$1300,$A45,元データ_14項目!$B$2:$B$1300,"本年",元データ_14項目!$C$2:$C$1300,D$5)</f>
        <v>11</v>
      </c>
      <c r="E45" s="26">
        <f>SUMIFS(INDEX(元データ_14項目!$D$2:$Q$1300,0,MATCH($B45,元データ_14項目!$D$1:$Q$1,0)),元データ_14項目!$A$2:$A$1300,$A45,元データ_14項目!$B$2:$B$1300,"本年",元データ_14項目!$C$2:$C$1300,E$5)</f>
        <v>19</v>
      </c>
      <c r="F45" s="26">
        <f>SUMIFS(INDEX(元データ_14項目!$D$2:$Q$1300,0,MATCH($B45,元データ_14項目!$D$1:$Q$1,0)),元データ_14項目!$A$2:$A$1300,$A45,元データ_14項目!$B$2:$B$1300,"本年",元データ_14項目!$C$2:$C$1300,F$5)</f>
        <v>29</v>
      </c>
      <c r="G45" s="26">
        <f>SUMIFS(INDEX(元データ_14項目!$D$2:$Q$1300,0,MATCH($B45,元データ_14項目!$D$1:$Q$1,0)),元データ_14項目!$A$2:$A$1300,$A45,元データ_14項目!$B$2:$B$1300,"本年",元データ_14項目!$C$2:$C$1300,G$5)</f>
        <v>60</v>
      </c>
      <c r="H45" s="26">
        <f>SUMIFS(INDEX(元データ_14項目!$D$2:$Q$1300,0,MATCH($B45,元データ_14項目!$D$1:$Q$1,0)),元データ_14項目!$A$2:$A$1300,$A45,元データ_14項目!$B$2:$B$1300,"本年",元データ_14項目!$C$2:$C$1300,H$5)</f>
        <v>18</v>
      </c>
      <c r="I45" s="26">
        <f>SUMIFS(INDEX(元データ_14項目!$D$2:$Q$1300,0,MATCH($B45,元データ_14項目!$D$1:$Q$1,0)),元データ_14項目!$A$2:$A$1300,$A45,元データ_14項目!$B$2:$B$1300,"本年",元データ_14項目!$C$2:$C$1300,I$5)</f>
        <v>18</v>
      </c>
      <c r="J45" s="26">
        <f>SUMIFS(INDEX(元データ_14項目!$D$2:$Q$1300,0,MATCH($B45,元データ_14項目!$D$1:$Q$1,0)),元データ_14項目!$A$2:$A$1300,$A45,元データ_14項目!$B$2:$B$1300,"本年",元データ_14項目!$C$2:$C$1300,J$5)</f>
        <v>58</v>
      </c>
      <c r="K45" s="26">
        <f>SUMIFS(INDEX(元データ_14項目!$D$2:$Q$1300,0,MATCH($B45,元データ_14項目!$D$1:$Q$1,0)),元データ_14項目!$A$2:$A$1300,$A45,元データ_14項目!$B$2:$B$1300,"本年",元データ_14項目!$C$2:$C$1300,K$5)</f>
        <v>135</v>
      </c>
      <c r="L45" s="26">
        <f>SUMIFS(INDEX(元データ_14項目!$D$2:$Q$1300,0,MATCH($B45,元データ_14項目!$D$1:$Q$1,0)),元データ_14項目!$A$2:$A$1300,$A45,元データ_14項目!$B$2:$B$1300,"本年",元データ_14項目!$C$2:$C$1300,L$5)</f>
        <v>71</v>
      </c>
      <c r="M45" s="26">
        <f>SUMIFS(INDEX(元データ_14項目!$D$2:$Q$1300,0,MATCH($B45,元データ_14項目!$D$1:$Q$1,0)),元データ_14項目!$A$2:$A$1300,$A45,元データ_14項目!$B$2:$B$1300,"本年",元データ_14項目!$C$2:$C$1300,M$5)</f>
        <v>46</v>
      </c>
      <c r="N45" s="26">
        <f>SUMIFS(INDEX(元データ_14項目!$D$2:$Q$1300,0,MATCH($B45,元データ_14項目!$D$1:$Q$1,0)),元データ_14項目!$A$2:$A$1300,$A45,元データ_14項目!$B$2:$B$1300,"本年",元データ_14項目!$C$2:$C$1300,N$5)</f>
        <v>0</v>
      </c>
      <c r="O45" s="26">
        <f t="shared" si="0"/>
        <v>483</v>
      </c>
      <c r="P45" s="26">
        <f>SUMIFS(INDEX(元データ_14項目!$D$2:$Q$1300,0,MATCH($B45,元データ_14項目!$D$1:$Q$1,0)),元データ_14項目!$A$2:$A$1300,$A45,元データ_14項目!$B$2:$B$1300,"前年")</f>
        <v>492</v>
      </c>
      <c r="Q45" s="7">
        <f t="shared" si="1"/>
        <v>0.98170731707317072</v>
      </c>
    </row>
    <row r="46" spans="1:17" x14ac:dyDescent="0.45">
      <c r="A46" t="s">
        <v>37</v>
      </c>
      <c r="B46" t="s">
        <v>98</v>
      </c>
      <c r="C46" s="26">
        <f>SUMIFS(INDEX(元データ_14項目!$D$2:$Q$1300,0,MATCH($B46,元データ_14項目!$D$1:$Q$1,0)),元データ_14項目!$A$2:$A$1300,$A46,元データ_14項目!$B$2:$B$1300,"本年",元データ_14項目!$C$2:$C$1300,C$5)</f>
        <v>3</v>
      </c>
      <c r="D46" s="26">
        <f>SUMIFS(INDEX(元データ_14項目!$D$2:$Q$1300,0,MATCH($B46,元データ_14項目!$D$1:$Q$1,0)),元データ_14項目!$A$2:$A$1300,$A46,元データ_14項目!$B$2:$B$1300,"本年",元データ_14項目!$C$2:$C$1300,D$5)</f>
        <v>5</v>
      </c>
      <c r="E46" s="26">
        <f>SUMIFS(INDEX(元データ_14項目!$D$2:$Q$1300,0,MATCH($B46,元データ_14項目!$D$1:$Q$1,0)),元データ_14項目!$A$2:$A$1300,$A46,元データ_14項目!$B$2:$B$1300,"本年",元データ_14項目!$C$2:$C$1300,E$5)</f>
        <v>9</v>
      </c>
      <c r="F46" s="26">
        <f>SUMIFS(INDEX(元データ_14項目!$D$2:$Q$1300,0,MATCH($B46,元データ_14項目!$D$1:$Q$1,0)),元データ_14項目!$A$2:$A$1300,$A46,元データ_14項目!$B$2:$B$1300,"本年",元データ_14項目!$C$2:$C$1300,F$5)</f>
        <v>14</v>
      </c>
      <c r="G46" s="26">
        <f>SUMIFS(INDEX(元データ_14項目!$D$2:$Q$1300,0,MATCH($B46,元データ_14項目!$D$1:$Q$1,0)),元データ_14項目!$A$2:$A$1300,$A46,元データ_14項目!$B$2:$B$1300,"本年",元データ_14項目!$C$2:$C$1300,G$5)</f>
        <v>11</v>
      </c>
      <c r="H46" s="26">
        <f>SUMIFS(INDEX(元データ_14項目!$D$2:$Q$1300,0,MATCH($B46,元データ_14項目!$D$1:$Q$1,0)),元データ_14項目!$A$2:$A$1300,$A46,元データ_14項目!$B$2:$B$1300,"本年",元データ_14項目!$C$2:$C$1300,H$5)</f>
        <v>12</v>
      </c>
      <c r="I46" s="26">
        <f>SUMIFS(INDEX(元データ_14項目!$D$2:$Q$1300,0,MATCH($B46,元データ_14項目!$D$1:$Q$1,0)),元データ_14項目!$A$2:$A$1300,$A46,元データ_14項目!$B$2:$B$1300,"本年",元データ_14項目!$C$2:$C$1300,I$5)</f>
        <v>11</v>
      </c>
      <c r="J46" s="26">
        <f>SUMIFS(INDEX(元データ_14項目!$D$2:$Q$1300,0,MATCH($B46,元データ_14項目!$D$1:$Q$1,0)),元データ_14項目!$A$2:$A$1300,$A46,元データ_14項目!$B$2:$B$1300,"本年",元データ_14項目!$C$2:$C$1300,J$5)</f>
        <v>65</v>
      </c>
      <c r="K46" s="26">
        <f>SUMIFS(INDEX(元データ_14項目!$D$2:$Q$1300,0,MATCH($B46,元データ_14項目!$D$1:$Q$1,0)),元データ_14項目!$A$2:$A$1300,$A46,元データ_14項目!$B$2:$B$1300,"本年",元データ_14項目!$C$2:$C$1300,K$5)</f>
        <v>109</v>
      </c>
      <c r="L46" s="26">
        <f>SUMIFS(INDEX(元データ_14項目!$D$2:$Q$1300,0,MATCH($B46,元データ_14項目!$D$1:$Q$1,0)),元データ_14項目!$A$2:$A$1300,$A46,元データ_14項目!$B$2:$B$1300,"本年",元データ_14項目!$C$2:$C$1300,L$5)</f>
        <v>39</v>
      </c>
      <c r="M46" s="26">
        <f>SUMIFS(INDEX(元データ_14項目!$D$2:$Q$1300,0,MATCH($B46,元データ_14項目!$D$1:$Q$1,0)),元データ_14項目!$A$2:$A$1300,$A46,元データ_14項目!$B$2:$B$1300,"本年",元データ_14項目!$C$2:$C$1300,M$5)</f>
        <v>21</v>
      </c>
      <c r="N46" s="26">
        <f>SUMIFS(INDEX(元データ_14項目!$D$2:$Q$1300,0,MATCH($B46,元データ_14項目!$D$1:$Q$1,0)),元データ_14項目!$A$2:$A$1300,$A46,元データ_14項目!$B$2:$B$1300,"本年",元データ_14項目!$C$2:$C$1300,N$5)</f>
        <v>0</v>
      </c>
      <c r="O46" s="26">
        <f t="shared" si="0"/>
        <v>299</v>
      </c>
      <c r="P46" s="26">
        <f>SUMIFS(INDEX(元データ_14項目!$D$2:$Q$1300,0,MATCH($B46,元データ_14項目!$D$1:$Q$1,0)),元データ_14項目!$A$2:$A$1300,$A46,元データ_14項目!$B$2:$B$1300,"前年")</f>
        <v>315</v>
      </c>
      <c r="Q46" s="7">
        <f t="shared" si="1"/>
        <v>0.94920634920634916</v>
      </c>
    </row>
    <row r="47" spans="1:17" x14ac:dyDescent="0.45">
      <c r="A47" t="s">
        <v>37</v>
      </c>
      <c r="B47" t="s">
        <v>99</v>
      </c>
      <c r="C47" s="26">
        <f>SUMIFS(INDEX(元データ_14項目!$D$2:$Q$1300,0,MATCH($B47,元データ_14項目!$D$1:$Q$1,0)),元データ_14項目!$A$2:$A$1300,$A47,元データ_14項目!$B$2:$B$1300,"本年",元データ_14項目!$C$2:$C$1300,C$5)</f>
        <v>0</v>
      </c>
      <c r="D47" s="26">
        <f>SUMIFS(INDEX(元データ_14項目!$D$2:$Q$1300,0,MATCH($B47,元データ_14項目!$D$1:$Q$1,0)),元データ_14項目!$A$2:$A$1300,$A47,元データ_14項目!$B$2:$B$1300,"本年",元データ_14項目!$C$2:$C$1300,D$5)</f>
        <v>0</v>
      </c>
      <c r="E47" s="26">
        <f>SUMIFS(INDEX(元データ_14項目!$D$2:$Q$1300,0,MATCH($B47,元データ_14項目!$D$1:$Q$1,0)),元データ_14項目!$A$2:$A$1300,$A47,元データ_14項目!$B$2:$B$1300,"本年",元データ_14項目!$C$2:$C$1300,E$5)</f>
        <v>0</v>
      </c>
      <c r="F47" s="26">
        <f>SUMIFS(INDEX(元データ_14項目!$D$2:$Q$1300,0,MATCH($B47,元データ_14項目!$D$1:$Q$1,0)),元データ_14項目!$A$2:$A$1300,$A47,元データ_14項目!$B$2:$B$1300,"本年",元データ_14項目!$C$2:$C$1300,F$5)</f>
        <v>0</v>
      </c>
      <c r="G47" s="26">
        <f>SUMIFS(INDEX(元データ_14項目!$D$2:$Q$1300,0,MATCH($B47,元データ_14項目!$D$1:$Q$1,0)),元データ_14項目!$A$2:$A$1300,$A47,元データ_14項目!$B$2:$B$1300,"本年",元データ_14項目!$C$2:$C$1300,G$5)</f>
        <v>0</v>
      </c>
      <c r="H47" s="26">
        <f>SUMIFS(INDEX(元データ_14項目!$D$2:$Q$1300,0,MATCH($B47,元データ_14項目!$D$1:$Q$1,0)),元データ_14項目!$A$2:$A$1300,$A47,元データ_14項目!$B$2:$B$1300,"本年",元データ_14項目!$C$2:$C$1300,H$5)</f>
        <v>1</v>
      </c>
      <c r="I47" s="26">
        <f>SUMIFS(INDEX(元データ_14項目!$D$2:$Q$1300,0,MATCH($B47,元データ_14項目!$D$1:$Q$1,0)),元データ_14項目!$A$2:$A$1300,$A47,元データ_14項目!$B$2:$B$1300,"本年",元データ_14項目!$C$2:$C$1300,I$5)</f>
        <v>0</v>
      </c>
      <c r="J47" s="26">
        <f>SUMIFS(INDEX(元データ_14項目!$D$2:$Q$1300,0,MATCH($B47,元データ_14項目!$D$1:$Q$1,0)),元データ_14項目!$A$2:$A$1300,$A47,元データ_14項目!$B$2:$B$1300,"本年",元データ_14項目!$C$2:$C$1300,J$5)</f>
        <v>3</v>
      </c>
      <c r="K47" s="26">
        <f>SUMIFS(INDEX(元データ_14項目!$D$2:$Q$1300,0,MATCH($B47,元データ_14項目!$D$1:$Q$1,0)),元データ_14項目!$A$2:$A$1300,$A47,元データ_14項目!$B$2:$B$1300,"本年",元データ_14項目!$C$2:$C$1300,K$5)</f>
        <v>2</v>
      </c>
      <c r="L47" s="26">
        <f>SUMIFS(INDEX(元データ_14項目!$D$2:$Q$1300,0,MATCH($B47,元データ_14項目!$D$1:$Q$1,0)),元データ_14項目!$A$2:$A$1300,$A47,元データ_14項目!$B$2:$B$1300,"本年",元データ_14項目!$C$2:$C$1300,L$5)</f>
        <v>1</v>
      </c>
      <c r="M47" s="26">
        <f>SUMIFS(INDEX(元データ_14項目!$D$2:$Q$1300,0,MATCH($B47,元データ_14項目!$D$1:$Q$1,0)),元データ_14項目!$A$2:$A$1300,$A47,元データ_14項目!$B$2:$B$1300,"本年",元データ_14項目!$C$2:$C$1300,M$5)</f>
        <v>0</v>
      </c>
      <c r="N47" s="26">
        <f>SUMIFS(INDEX(元データ_14項目!$D$2:$Q$1300,0,MATCH($B47,元データ_14項目!$D$1:$Q$1,0)),元データ_14項目!$A$2:$A$1300,$A47,元データ_14項目!$B$2:$B$1300,"本年",元データ_14項目!$C$2:$C$1300,N$5)</f>
        <v>0</v>
      </c>
      <c r="O47" s="26">
        <f t="shared" si="0"/>
        <v>7</v>
      </c>
      <c r="P47" s="26">
        <f>SUMIFS(INDEX(元データ_14項目!$D$2:$Q$1300,0,MATCH($B47,元データ_14項目!$D$1:$Q$1,0)),元データ_14項目!$A$2:$A$1300,$A47,元データ_14項目!$B$2:$B$1300,"前年")</f>
        <v>6</v>
      </c>
      <c r="Q47" s="7">
        <f t="shared" si="1"/>
        <v>1.1666666666666667</v>
      </c>
    </row>
    <row r="48" spans="1:17" x14ac:dyDescent="0.45">
      <c r="A48" t="s">
        <v>38</v>
      </c>
      <c r="B48" t="s">
        <v>27</v>
      </c>
      <c r="C48" s="26">
        <f>SUMIFS(INDEX(元データ_14項目!$D$2:$Q$1300,0,MATCH($B48,元データ_14項目!$D$1:$Q$1,0)),元データ_14項目!$A$2:$A$1300,$A48,元データ_14項目!$B$2:$B$1300,"本年",元データ_14項目!$C$2:$C$1300,C$5)</f>
        <v>896</v>
      </c>
      <c r="D48" s="26">
        <f>SUMIFS(INDEX(元データ_14項目!$D$2:$Q$1300,0,MATCH($B48,元データ_14項目!$D$1:$Q$1,0)),元データ_14項目!$A$2:$A$1300,$A48,元データ_14項目!$B$2:$B$1300,"本年",元データ_14項目!$C$2:$C$1300,D$5)</f>
        <v>1012</v>
      </c>
      <c r="E48" s="26">
        <f>SUMIFS(INDEX(元データ_14項目!$D$2:$Q$1300,0,MATCH($B48,元データ_14項目!$D$1:$Q$1,0)),元データ_14項目!$A$2:$A$1300,$A48,元データ_14項目!$B$2:$B$1300,"本年",元データ_14項目!$C$2:$C$1300,E$5)</f>
        <v>1294</v>
      </c>
      <c r="F48" s="26">
        <f>SUMIFS(INDEX(元データ_14項目!$D$2:$Q$1300,0,MATCH($B48,元データ_14項目!$D$1:$Q$1,0)),元データ_14項目!$A$2:$A$1300,$A48,元データ_14項目!$B$2:$B$1300,"本年",元データ_14項目!$C$2:$C$1300,F$5)</f>
        <v>1057</v>
      </c>
      <c r="G48" s="26">
        <f>SUMIFS(INDEX(元データ_14項目!$D$2:$Q$1300,0,MATCH($B48,元データ_14項目!$D$1:$Q$1,0)),元データ_14項目!$A$2:$A$1300,$A48,元データ_14項目!$B$2:$B$1300,"本年",元データ_14項目!$C$2:$C$1300,G$5)</f>
        <v>1064</v>
      </c>
      <c r="H48" s="26">
        <f>SUMIFS(INDEX(元データ_14項目!$D$2:$Q$1300,0,MATCH($B48,元データ_14項目!$D$1:$Q$1,0)),元データ_14項目!$A$2:$A$1300,$A48,元データ_14項目!$B$2:$B$1300,"本年",元データ_14項目!$C$2:$C$1300,H$5)</f>
        <v>784</v>
      </c>
      <c r="I48" s="26">
        <f>SUMIFS(INDEX(元データ_14項目!$D$2:$Q$1300,0,MATCH($B48,元データ_14項目!$D$1:$Q$1,0)),元データ_14項目!$A$2:$A$1300,$A48,元データ_14項目!$B$2:$B$1300,"本年",元データ_14項目!$C$2:$C$1300,I$5)</f>
        <v>790</v>
      </c>
      <c r="J48" s="26">
        <f>SUMIFS(INDEX(元データ_14項目!$D$2:$Q$1300,0,MATCH($B48,元データ_14項目!$D$1:$Q$1,0)),元データ_14項目!$A$2:$A$1300,$A48,元データ_14項目!$B$2:$B$1300,"本年",元データ_14項目!$C$2:$C$1300,J$5)</f>
        <v>1102</v>
      </c>
      <c r="K48" s="26">
        <f>SUMIFS(INDEX(元データ_14項目!$D$2:$Q$1300,0,MATCH($B48,元データ_14項目!$D$1:$Q$1,0)),元データ_14項目!$A$2:$A$1300,$A48,元データ_14項目!$B$2:$B$1300,"本年",元データ_14項目!$C$2:$C$1300,K$5)</f>
        <v>1068</v>
      </c>
      <c r="L48" s="26">
        <f>SUMIFS(INDEX(元データ_14項目!$D$2:$Q$1300,0,MATCH($B48,元データ_14項目!$D$1:$Q$1,0)),元データ_14項目!$A$2:$A$1300,$A48,元データ_14項目!$B$2:$B$1300,"本年",元データ_14項目!$C$2:$C$1300,L$5)</f>
        <v>941</v>
      </c>
      <c r="M48" s="26">
        <f>SUMIFS(INDEX(元データ_14項目!$D$2:$Q$1300,0,MATCH($B48,元データ_14項目!$D$1:$Q$1,0)),元データ_14項目!$A$2:$A$1300,$A48,元データ_14項目!$B$2:$B$1300,"本年",元データ_14項目!$C$2:$C$1300,M$5)</f>
        <v>1119</v>
      </c>
      <c r="N48" s="26">
        <f>SUMIFS(INDEX(元データ_14項目!$D$2:$Q$1300,0,MATCH($B48,元データ_14項目!$D$1:$Q$1,0)),元データ_14項目!$A$2:$A$1300,$A48,元データ_14項目!$B$2:$B$1300,"本年",元データ_14項目!$C$2:$C$1300,N$5)</f>
        <v>1123</v>
      </c>
      <c r="O48" s="26">
        <f t="shared" si="0"/>
        <v>12250</v>
      </c>
      <c r="P48" s="26">
        <f>SUMIFS(INDEX(元データ_14項目!$D$2:$Q$1300,0,MATCH($B48,元データ_14項目!$D$1:$Q$1,0)),元データ_14項目!$A$2:$A$1300,$A48,元データ_14項目!$B$2:$B$1300,"前年")</f>
        <v>13617</v>
      </c>
      <c r="Q48" s="7">
        <f t="shared" si="1"/>
        <v>0.89961078064184474</v>
      </c>
    </row>
    <row r="49" spans="1:17" x14ac:dyDescent="0.45">
      <c r="A49" t="s">
        <v>38</v>
      </c>
      <c r="B49" t="s">
        <v>88</v>
      </c>
      <c r="C49" s="26">
        <f>SUMIFS(INDEX(元データ_14項目!$D$2:$Q$1300,0,MATCH($B49,元データ_14項目!$D$1:$Q$1,0)),元データ_14項目!$A$2:$A$1300,$A49,元データ_14項目!$B$2:$B$1300,"本年",元データ_14項目!$C$2:$C$1300,C$5)</f>
        <v>92</v>
      </c>
      <c r="D49" s="26">
        <f>SUMIFS(INDEX(元データ_14項目!$D$2:$Q$1300,0,MATCH($B49,元データ_14項目!$D$1:$Q$1,0)),元データ_14項目!$A$2:$A$1300,$A49,元データ_14項目!$B$2:$B$1300,"本年",元データ_14項目!$C$2:$C$1300,D$5)</f>
        <v>123</v>
      </c>
      <c r="E49" s="26">
        <f>SUMIFS(INDEX(元データ_14項目!$D$2:$Q$1300,0,MATCH($B49,元データ_14項目!$D$1:$Q$1,0)),元データ_14項目!$A$2:$A$1300,$A49,元データ_14項目!$B$2:$B$1300,"本年",元データ_14項目!$C$2:$C$1300,E$5)</f>
        <v>163</v>
      </c>
      <c r="F49" s="26">
        <f>SUMIFS(INDEX(元データ_14項目!$D$2:$Q$1300,0,MATCH($B49,元データ_14項目!$D$1:$Q$1,0)),元データ_14項目!$A$2:$A$1300,$A49,元データ_14項目!$B$2:$B$1300,"本年",元データ_14項目!$C$2:$C$1300,F$5)</f>
        <v>100</v>
      </c>
      <c r="G49" s="26">
        <f>SUMIFS(INDEX(元データ_14項目!$D$2:$Q$1300,0,MATCH($B49,元データ_14項目!$D$1:$Q$1,0)),元データ_14項目!$A$2:$A$1300,$A49,元データ_14項目!$B$2:$B$1300,"本年",元データ_14項目!$C$2:$C$1300,G$5)</f>
        <v>87</v>
      </c>
      <c r="H49" s="26">
        <f>SUMIFS(INDEX(元データ_14項目!$D$2:$Q$1300,0,MATCH($B49,元データ_14項目!$D$1:$Q$1,0)),元データ_14項目!$A$2:$A$1300,$A49,元データ_14項目!$B$2:$B$1300,"本年",元データ_14項目!$C$2:$C$1300,H$5)</f>
        <v>68</v>
      </c>
      <c r="I49" s="26">
        <f>SUMIFS(INDEX(元データ_14項目!$D$2:$Q$1300,0,MATCH($B49,元データ_14項目!$D$1:$Q$1,0)),元データ_14項目!$A$2:$A$1300,$A49,元データ_14項目!$B$2:$B$1300,"本年",元データ_14項目!$C$2:$C$1300,I$5)</f>
        <v>49</v>
      </c>
      <c r="J49" s="26">
        <f>SUMIFS(INDEX(元データ_14項目!$D$2:$Q$1300,0,MATCH($B49,元データ_14項目!$D$1:$Q$1,0)),元データ_14項目!$A$2:$A$1300,$A49,元データ_14項目!$B$2:$B$1300,"本年",元データ_14項目!$C$2:$C$1300,J$5)</f>
        <v>100</v>
      </c>
      <c r="K49" s="26">
        <f>SUMIFS(INDEX(元データ_14項目!$D$2:$Q$1300,0,MATCH($B49,元データ_14項目!$D$1:$Q$1,0)),元データ_14項目!$A$2:$A$1300,$A49,元データ_14項目!$B$2:$B$1300,"本年",元データ_14項目!$C$2:$C$1300,K$5)</f>
        <v>85</v>
      </c>
      <c r="L49" s="26">
        <f>SUMIFS(INDEX(元データ_14項目!$D$2:$Q$1300,0,MATCH($B49,元データ_14項目!$D$1:$Q$1,0)),元データ_14項目!$A$2:$A$1300,$A49,元データ_14項目!$B$2:$B$1300,"本年",元データ_14項目!$C$2:$C$1300,L$5)</f>
        <v>102</v>
      </c>
      <c r="M49" s="26">
        <f>SUMIFS(INDEX(元データ_14項目!$D$2:$Q$1300,0,MATCH($B49,元データ_14項目!$D$1:$Q$1,0)),元データ_14項目!$A$2:$A$1300,$A49,元データ_14項目!$B$2:$B$1300,"本年",元データ_14項目!$C$2:$C$1300,M$5)</f>
        <v>103</v>
      </c>
      <c r="N49" s="26">
        <f>SUMIFS(INDEX(元データ_14項目!$D$2:$Q$1300,0,MATCH($B49,元データ_14項目!$D$1:$Q$1,0)),元データ_14項目!$A$2:$A$1300,$A49,元データ_14項目!$B$2:$B$1300,"本年",元データ_14項目!$C$2:$C$1300,N$5)</f>
        <v>100</v>
      </c>
      <c r="O49" s="26">
        <f t="shared" si="0"/>
        <v>1172</v>
      </c>
      <c r="P49" s="26">
        <f>SUMIFS(INDEX(元データ_14項目!$D$2:$Q$1300,0,MATCH($B49,元データ_14項目!$D$1:$Q$1,0)),元データ_14項目!$A$2:$A$1300,$A49,元データ_14項目!$B$2:$B$1300,"前年")</f>
        <v>937</v>
      </c>
      <c r="Q49" s="7">
        <f t="shared" si="1"/>
        <v>1.2508004268943436</v>
      </c>
    </row>
    <row r="50" spans="1:17" x14ac:dyDescent="0.45">
      <c r="A50" t="s">
        <v>38</v>
      </c>
      <c r="B50" t="s">
        <v>89</v>
      </c>
      <c r="C50" s="26">
        <f>SUMIFS(INDEX(元データ_14項目!$D$2:$Q$1300,0,MATCH($B50,元データ_14項目!$D$1:$Q$1,0)),元データ_14項目!$A$2:$A$1300,$A50,元データ_14項目!$B$2:$B$1300,"本年",元データ_14項目!$C$2:$C$1300,C$5)</f>
        <v>55</v>
      </c>
      <c r="D50" s="26">
        <f>SUMIFS(INDEX(元データ_14項目!$D$2:$Q$1300,0,MATCH($B50,元データ_14項目!$D$1:$Q$1,0)),元データ_14項目!$A$2:$A$1300,$A50,元データ_14項目!$B$2:$B$1300,"本年",元データ_14項目!$C$2:$C$1300,D$5)</f>
        <v>84</v>
      </c>
      <c r="E50" s="26">
        <f>SUMIFS(INDEX(元データ_14項目!$D$2:$Q$1300,0,MATCH($B50,元データ_14項目!$D$1:$Q$1,0)),元データ_14項目!$A$2:$A$1300,$A50,元データ_14項目!$B$2:$B$1300,"本年",元データ_14項目!$C$2:$C$1300,E$5)</f>
        <v>118</v>
      </c>
      <c r="F50" s="26">
        <f>SUMIFS(INDEX(元データ_14項目!$D$2:$Q$1300,0,MATCH($B50,元データ_14項目!$D$1:$Q$1,0)),元データ_14項目!$A$2:$A$1300,$A50,元データ_14項目!$B$2:$B$1300,"本年",元データ_14項目!$C$2:$C$1300,F$5)</f>
        <v>72</v>
      </c>
      <c r="G50" s="26">
        <f>SUMIFS(INDEX(元データ_14項目!$D$2:$Q$1300,0,MATCH($B50,元データ_14項目!$D$1:$Q$1,0)),元データ_14項目!$A$2:$A$1300,$A50,元データ_14項目!$B$2:$B$1300,"本年",元データ_14項目!$C$2:$C$1300,G$5)</f>
        <v>72</v>
      </c>
      <c r="H50" s="26">
        <f>SUMIFS(INDEX(元データ_14項目!$D$2:$Q$1300,0,MATCH($B50,元データ_14項目!$D$1:$Q$1,0)),元データ_14項目!$A$2:$A$1300,$A50,元データ_14項目!$B$2:$B$1300,"本年",元データ_14項目!$C$2:$C$1300,H$5)</f>
        <v>47</v>
      </c>
      <c r="I50" s="26">
        <f>SUMIFS(INDEX(元データ_14項目!$D$2:$Q$1300,0,MATCH($B50,元データ_14項目!$D$1:$Q$1,0)),元データ_14項目!$A$2:$A$1300,$A50,元データ_14項目!$B$2:$B$1300,"本年",元データ_14項目!$C$2:$C$1300,I$5)</f>
        <v>16</v>
      </c>
      <c r="J50" s="26">
        <f>SUMIFS(INDEX(元データ_14項目!$D$2:$Q$1300,0,MATCH($B50,元データ_14項目!$D$1:$Q$1,0)),元データ_14項目!$A$2:$A$1300,$A50,元データ_14項目!$B$2:$B$1300,"本年",元データ_14項目!$C$2:$C$1300,J$5)</f>
        <v>69</v>
      </c>
      <c r="K50" s="26">
        <f>SUMIFS(INDEX(元データ_14項目!$D$2:$Q$1300,0,MATCH($B50,元データ_14項目!$D$1:$Q$1,0)),元データ_14項目!$A$2:$A$1300,$A50,元データ_14項目!$B$2:$B$1300,"本年",元データ_14項目!$C$2:$C$1300,K$5)</f>
        <v>79</v>
      </c>
      <c r="L50" s="26">
        <f>SUMIFS(INDEX(元データ_14項目!$D$2:$Q$1300,0,MATCH($B50,元データ_14項目!$D$1:$Q$1,0)),元データ_14項目!$A$2:$A$1300,$A50,元データ_14項目!$B$2:$B$1300,"本年",元データ_14項目!$C$2:$C$1300,L$5)</f>
        <v>56</v>
      </c>
      <c r="M50" s="26">
        <f>SUMIFS(INDEX(元データ_14項目!$D$2:$Q$1300,0,MATCH($B50,元データ_14項目!$D$1:$Q$1,0)),元データ_14項目!$A$2:$A$1300,$A50,元データ_14項目!$B$2:$B$1300,"本年",元データ_14項目!$C$2:$C$1300,M$5)</f>
        <v>69</v>
      </c>
      <c r="N50" s="26">
        <f>SUMIFS(INDEX(元データ_14項目!$D$2:$Q$1300,0,MATCH($B50,元データ_14項目!$D$1:$Q$1,0)),元データ_14項目!$A$2:$A$1300,$A50,元データ_14項目!$B$2:$B$1300,"本年",元データ_14項目!$C$2:$C$1300,N$5)</f>
        <v>59</v>
      </c>
      <c r="O50" s="26">
        <f t="shared" si="0"/>
        <v>796</v>
      </c>
      <c r="P50" s="26">
        <f>SUMIFS(INDEX(元データ_14項目!$D$2:$Q$1300,0,MATCH($B50,元データ_14項目!$D$1:$Q$1,0)),元データ_14項目!$A$2:$A$1300,$A50,元データ_14項目!$B$2:$B$1300,"前年")</f>
        <v>742</v>
      </c>
      <c r="Q50" s="7">
        <f t="shared" si="1"/>
        <v>1.0727762803234502</v>
      </c>
    </row>
    <row r="51" spans="1:17" x14ac:dyDescent="0.45">
      <c r="A51" t="s">
        <v>38</v>
      </c>
      <c r="B51" t="s">
        <v>90</v>
      </c>
      <c r="C51" s="26">
        <f>SUMIFS(INDEX(元データ_14項目!$D$2:$Q$1300,0,MATCH($B51,元データ_14項目!$D$1:$Q$1,0)),元データ_14項目!$A$2:$A$1300,$A51,元データ_14項目!$B$2:$B$1300,"本年",元データ_14項目!$C$2:$C$1300,C$5)</f>
        <v>87</v>
      </c>
      <c r="D51" s="26">
        <f>SUMIFS(INDEX(元データ_14項目!$D$2:$Q$1300,0,MATCH($B51,元データ_14項目!$D$1:$Q$1,0)),元データ_14項目!$A$2:$A$1300,$A51,元データ_14項目!$B$2:$B$1300,"本年",元データ_14項目!$C$2:$C$1300,D$5)</f>
        <v>62</v>
      </c>
      <c r="E51" s="26">
        <f>SUMIFS(INDEX(元データ_14項目!$D$2:$Q$1300,0,MATCH($B51,元データ_14項目!$D$1:$Q$1,0)),元データ_14項目!$A$2:$A$1300,$A51,元データ_14項目!$B$2:$B$1300,"本年",元データ_14項目!$C$2:$C$1300,E$5)</f>
        <v>95</v>
      </c>
      <c r="F51" s="26">
        <f>SUMIFS(INDEX(元データ_14項目!$D$2:$Q$1300,0,MATCH($B51,元データ_14項目!$D$1:$Q$1,0)),元データ_14項目!$A$2:$A$1300,$A51,元データ_14項目!$B$2:$B$1300,"本年",元データ_14項目!$C$2:$C$1300,F$5)</f>
        <v>150</v>
      </c>
      <c r="G51" s="26">
        <f>SUMIFS(INDEX(元データ_14項目!$D$2:$Q$1300,0,MATCH($B51,元データ_14項目!$D$1:$Q$1,0)),元データ_14項目!$A$2:$A$1300,$A51,元データ_14項目!$B$2:$B$1300,"本年",元データ_14項目!$C$2:$C$1300,G$5)</f>
        <v>215</v>
      </c>
      <c r="H51" s="26">
        <f>SUMIFS(INDEX(元データ_14項目!$D$2:$Q$1300,0,MATCH($B51,元データ_14項目!$D$1:$Q$1,0)),元データ_14項目!$A$2:$A$1300,$A51,元データ_14項目!$B$2:$B$1300,"本年",元データ_14項目!$C$2:$C$1300,H$5)</f>
        <v>152</v>
      </c>
      <c r="I51" s="26">
        <f>SUMIFS(INDEX(元データ_14項目!$D$2:$Q$1300,0,MATCH($B51,元データ_14項目!$D$1:$Q$1,0)),元データ_14項目!$A$2:$A$1300,$A51,元データ_14項目!$B$2:$B$1300,"本年",元データ_14項目!$C$2:$C$1300,I$5)</f>
        <v>90</v>
      </c>
      <c r="J51" s="26">
        <f>SUMIFS(INDEX(元データ_14項目!$D$2:$Q$1300,0,MATCH($B51,元データ_14項目!$D$1:$Q$1,0)),元データ_14項目!$A$2:$A$1300,$A51,元データ_14項目!$B$2:$B$1300,"本年",元データ_14項目!$C$2:$C$1300,J$5)</f>
        <v>259</v>
      </c>
      <c r="K51" s="26">
        <f>SUMIFS(INDEX(元データ_14項目!$D$2:$Q$1300,0,MATCH($B51,元データ_14項目!$D$1:$Q$1,0)),元データ_14項目!$A$2:$A$1300,$A51,元データ_14項目!$B$2:$B$1300,"本年",元データ_14項目!$C$2:$C$1300,K$5)</f>
        <v>318</v>
      </c>
      <c r="L51" s="26">
        <f>SUMIFS(INDEX(元データ_14項目!$D$2:$Q$1300,0,MATCH($B51,元データ_14項目!$D$1:$Q$1,0)),元データ_14項目!$A$2:$A$1300,$A51,元データ_14項目!$B$2:$B$1300,"本年",元データ_14項目!$C$2:$C$1300,L$5)</f>
        <v>232</v>
      </c>
      <c r="M51" s="26">
        <f>SUMIFS(INDEX(元データ_14項目!$D$2:$Q$1300,0,MATCH($B51,元データ_14項目!$D$1:$Q$1,0)),元データ_14項目!$A$2:$A$1300,$A51,元データ_14項目!$B$2:$B$1300,"本年",元データ_14項目!$C$2:$C$1300,M$5)</f>
        <v>217</v>
      </c>
      <c r="N51" s="26">
        <f>SUMIFS(INDEX(元データ_14項目!$D$2:$Q$1300,0,MATCH($B51,元データ_14項目!$D$1:$Q$1,0)),元データ_14項目!$A$2:$A$1300,$A51,元データ_14項目!$B$2:$B$1300,"本年",元データ_14項目!$C$2:$C$1300,N$5)</f>
        <v>164</v>
      </c>
      <c r="O51" s="26">
        <f t="shared" si="0"/>
        <v>2041</v>
      </c>
      <c r="P51" s="26">
        <f>SUMIFS(INDEX(元データ_14項目!$D$2:$Q$1300,0,MATCH($B51,元データ_14項目!$D$1:$Q$1,0)),元データ_14項目!$A$2:$A$1300,$A51,元データ_14項目!$B$2:$B$1300,"前年")</f>
        <v>2135</v>
      </c>
      <c r="Q51" s="7">
        <f t="shared" si="1"/>
        <v>0.95597189695550355</v>
      </c>
    </row>
    <row r="52" spans="1:17" x14ac:dyDescent="0.45">
      <c r="A52" t="s">
        <v>38</v>
      </c>
      <c r="B52" t="s">
        <v>91</v>
      </c>
      <c r="C52" s="26">
        <f>SUMIFS(INDEX(元データ_14項目!$D$2:$Q$1300,0,MATCH($B52,元データ_14項目!$D$1:$Q$1,0)),元データ_14項目!$A$2:$A$1300,$A52,元データ_14項目!$B$2:$B$1300,"本年",元データ_14項目!$C$2:$C$1300,C$5)</f>
        <v>30</v>
      </c>
      <c r="D52" s="26">
        <f>SUMIFS(INDEX(元データ_14項目!$D$2:$Q$1300,0,MATCH($B52,元データ_14項目!$D$1:$Q$1,0)),元データ_14項目!$A$2:$A$1300,$A52,元データ_14項目!$B$2:$B$1300,"本年",元データ_14項目!$C$2:$C$1300,D$5)</f>
        <v>33</v>
      </c>
      <c r="E52" s="26">
        <f>SUMIFS(INDEX(元データ_14項目!$D$2:$Q$1300,0,MATCH($B52,元データ_14項目!$D$1:$Q$1,0)),元データ_14項目!$A$2:$A$1300,$A52,元データ_14項目!$B$2:$B$1300,"本年",元データ_14項目!$C$2:$C$1300,E$5)</f>
        <v>104</v>
      </c>
      <c r="F52" s="26">
        <f>SUMIFS(INDEX(元データ_14項目!$D$2:$Q$1300,0,MATCH($B52,元データ_14項目!$D$1:$Q$1,0)),元データ_14項目!$A$2:$A$1300,$A52,元データ_14項目!$B$2:$B$1300,"本年",元データ_14項目!$C$2:$C$1300,F$5)</f>
        <v>81</v>
      </c>
      <c r="G52" s="26">
        <f>SUMIFS(INDEX(元データ_14項目!$D$2:$Q$1300,0,MATCH($B52,元データ_14項目!$D$1:$Q$1,0)),元データ_14項目!$A$2:$A$1300,$A52,元データ_14項目!$B$2:$B$1300,"本年",元データ_14項目!$C$2:$C$1300,G$5)</f>
        <v>15</v>
      </c>
      <c r="H52" s="26">
        <f>SUMIFS(INDEX(元データ_14項目!$D$2:$Q$1300,0,MATCH($B52,元データ_14項目!$D$1:$Q$1,0)),元データ_14項目!$A$2:$A$1300,$A52,元データ_14項目!$B$2:$B$1300,"本年",元データ_14項目!$C$2:$C$1300,H$5)</f>
        <v>3</v>
      </c>
      <c r="I52" s="26">
        <f>SUMIFS(INDEX(元データ_14項目!$D$2:$Q$1300,0,MATCH($B52,元データ_14項目!$D$1:$Q$1,0)),元データ_14項目!$A$2:$A$1300,$A52,元データ_14項目!$B$2:$B$1300,"本年",元データ_14項目!$C$2:$C$1300,I$5)</f>
        <v>60</v>
      </c>
      <c r="J52" s="26">
        <f>SUMIFS(INDEX(元データ_14項目!$D$2:$Q$1300,0,MATCH($B52,元データ_14項目!$D$1:$Q$1,0)),元データ_14項目!$A$2:$A$1300,$A52,元データ_14項目!$B$2:$B$1300,"本年",元データ_14項目!$C$2:$C$1300,J$5)</f>
        <v>7</v>
      </c>
      <c r="K52" s="26">
        <f>SUMIFS(INDEX(元データ_14項目!$D$2:$Q$1300,0,MATCH($B52,元データ_14項目!$D$1:$Q$1,0)),元データ_14項目!$A$2:$A$1300,$A52,元データ_14項目!$B$2:$B$1300,"本年",元データ_14項目!$C$2:$C$1300,K$5)</f>
        <v>10</v>
      </c>
      <c r="L52" s="26">
        <f>SUMIFS(INDEX(元データ_14項目!$D$2:$Q$1300,0,MATCH($B52,元データ_14項目!$D$1:$Q$1,0)),元データ_14項目!$A$2:$A$1300,$A52,元データ_14項目!$B$2:$B$1300,"本年",元データ_14項目!$C$2:$C$1300,L$5)</f>
        <v>16</v>
      </c>
      <c r="M52" s="26">
        <f>SUMIFS(INDEX(元データ_14項目!$D$2:$Q$1300,0,MATCH($B52,元データ_14項目!$D$1:$Q$1,0)),元データ_14項目!$A$2:$A$1300,$A52,元データ_14項目!$B$2:$B$1300,"本年",元データ_14項目!$C$2:$C$1300,M$5)</f>
        <v>49</v>
      </c>
      <c r="N52" s="26">
        <f>SUMIFS(INDEX(元データ_14項目!$D$2:$Q$1300,0,MATCH($B52,元データ_14項目!$D$1:$Q$1,0)),元データ_14項目!$A$2:$A$1300,$A52,元データ_14項目!$B$2:$B$1300,"本年",元データ_14項目!$C$2:$C$1300,N$5)</f>
        <v>35</v>
      </c>
      <c r="O52" s="26">
        <f t="shared" si="0"/>
        <v>443</v>
      </c>
      <c r="P52" s="26">
        <f>SUMIFS(INDEX(元データ_14項目!$D$2:$Q$1300,0,MATCH($B52,元データ_14項目!$D$1:$Q$1,0)),元データ_14項目!$A$2:$A$1300,$A52,元データ_14項目!$B$2:$B$1300,"前年")</f>
        <v>311</v>
      </c>
      <c r="Q52" s="7">
        <f t="shared" si="1"/>
        <v>1.4244372990353698</v>
      </c>
    </row>
    <row r="53" spans="1:17" x14ac:dyDescent="0.45">
      <c r="A53" t="s">
        <v>38</v>
      </c>
      <c r="B53" t="s">
        <v>28</v>
      </c>
      <c r="C53" s="26">
        <f>SUMIFS(INDEX(元データ_14項目!$D$2:$Q$1300,0,MATCH($B53,元データ_14項目!$D$1:$Q$1,0)),元データ_14項目!$A$2:$A$1300,$A53,元データ_14項目!$B$2:$B$1300,"本年",元データ_14項目!$C$2:$C$1300,C$5)</f>
        <v>286</v>
      </c>
      <c r="D53" s="26">
        <f>SUMIFS(INDEX(元データ_14項目!$D$2:$Q$1300,0,MATCH($B53,元データ_14項目!$D$1:$Q$1,0)),元データ_14項目!$A$2:$A$1300,$A53,元データ_14項目!$B$2:$B$1300,"本年",元データ_14項目!$C$2:$C$1300,D$5)</f>
        <v>303</v>
      </c>
      <c r="E53" s="26">
        <f>SUMIFS(INDEX(元データ_14項目!$D$2:$Q$1300,0,MATCH($B53,元データ_14項目!$D$1:$Q$1,0)),元データ_14項目!$A$2:$A$1300,$A53,元データ_14項目!$B$2:$B$1300,"本年",元データ_14項目!$C$2:$C$1300,E$5)</f>
        <v>449</v>
      </c>
      <c r="F53" s="26">
        <f>SUMIFS(INDEX(元データ_14項目!$D$2:$Q$1300,0,MATCH($B53,元データ_14項目!$D$1:$Q$1,0)),元データ_14項目!$A$2:$A$1300,$A53,元データ_14項目!$B$2:$B$1300,"本年",元データ_14項目!$C$2:$C$1300,F$5)</f>
        <v>389</v>
      </c>
      <c r="G53" s="26">
        <f>SUMIFS(INDEX(元データ_14項目!$D$2:$Q$1300,0,MATCH($B53,元データ_14項目!$D$1:$Q$1,0)),元データ_14項目!$A$2:$A$1300,$A53,元データ_14項目!$B$2:$B$1300,"本年",元データ_14項目!$C$2:$C$1300,G$5)</f>
        <v>279</v>
      </c>
      <c r="H53" s="26">
        <f>SUMIFS(INDEX(元データ_14項目!$D$2:$Q$1300,0,MATCH($B53,元データ_14項目!$D$1:$Q$1,0)),元データ_14項目!$A$2:$A$1300,$A53,元データ_14項目!$B$2:$B$1300,"本年",元データ_14項目!$C$2:$C$1300,H$5)</f>
        <v>163</v>
      </c>
      <c r="I53" s="26">
        <f>SUMIFS(INDEX(元データ_14項目!$D$2:$Q$1300,0,MATCH($B53,元データ_14項目!$D$1:$Q$1,0)),元データ_14項目!$A$2:$A$1300,$A53,元データ_14項目!$B$2:$B$1300,"本年",元データ_14項目!$C$2:$C$1300,I$5)</f>
        <v>193</v>
      </c>
      <c r="J53" s="26">
        <f>SUMIFS(INDEX(元データ_14項目!$D$2:$Q$1300,0,MATCH($B53,元データ_14項目!$D$1:$Q$1,0)),元データ_14項目!$A$2:$A$1300,$A53,元データ_14項目!$B$2:$B$1300,"本年",元データ_14項目!$C$2:$C$1300,J$5)</f>
        <v>181</v>
      </c>
      <c r="K53" s="26">
        <f>SUMIFS(INDEX(元データ_14項目!$D$2:$Q$1300,0,MATCH($B53,元データ_14項目!$D$1:$Q$1,0)),元データ_14項目!$A$2:$A$1300,$A53,元データ_14項目!$B$2:$B$1300,"本年",元データ_14項目!$C$2:$C$1300,K$5)</f>
        <v>255</v>
      </c>
      <c r="L53" s="26">
        <f>SUMIFS(INDEX(元データ_14項目!$D$2:$Q$1300,0,MATCH($B53,元データ_14項目!$D$1:$Q$1,0)),元データ_14項目!$A$2:$A$1300,$A53,元データ_14項目!$B$2:$B$1300,"本年",元データ_14項目!$C$2:$C$1300,L$5)</f>
        <v>276</v>
      </c>
      <c r="M53" s="26">
        <f>SUMIFS(INDEX(元データ_14項目!$D$2:$Q$1300,0,MATCH($B53,元データ_14項目!$D$1:$Q$1,0)),元データ_14項目!$A$2:$A$1300,$A53,元データ_14項目!$B$2:$B$1300,"本年",元データ_14項目!$C$2:$C$1300,M$5)</f>
        <v>310</v>
      </c>
      <c r="N53" s="26">
        <f>SUMIFS(INDEX(元データ_14項目!$D$2:$Q$1300,0,MATCH($B53,元データ_14項目!$D$1:$Q$1,0)),元データ_14項目!$A$2:$A$1300,$A53,元データ_14項目!$B$2:$B$1300,"本年",元データ_14項目!$C$2:$C$1300,N$5)</f>
        <v>284</v>
      </c>
      <c r="O53" s="26">
        <f t="shared" si="0"/>
        <v>3368</v>
      </c>
      <c r="P53" s="26">
        <f>SUMIFS(INDEX(元データ_14項目!$D$2:$Q$1300,0,MATCH($B53,元データ_14項目!$D$1:$Q$1,0)),元データ_14項目!$A$2:$A$1300,$A53,元データ_14項目!$B$2:$B$1300,"前年")</f>
        <v>3326</v>
      </c>
      <c r="Q53" s="7">
        <f t="shared" si="1"/>
        <v>1.0126277811184605</v>
      </c>
    </row>
    <row r="54" spans="1:17" x14ac:dyDescent="0.45">
      <c r="A54" t="s">
        <v>38</v>
      </c>
      <c r="B54" t="s">
        <v>92</v>
      </c>
      <c r="C54" s="26">
        <f>SUMIFS(INDEX(元データ_14項目!$D$2:$Q$1300,0,MATCH($B54,元データ_14項目!$D$1:$Q$1,0)),元データ_14項目!$A$2:$A$1300,$A54,元データ_14項目!$B$2:$B$1300,"本年",元データ_14項目!$C$2:$C$1300,C$5)</f>
        <v>18</v>
      </c>
      <c r="D54" s="26">
        <f>SUMIFS(INDEX(元データ_14項目!$D$2:$Q$1300,0,MATCH($B54,元データ_14項目!$D$1:$Q$1,0)),元データ_14項目!$A$2:$A$1300,$A54,元データ_14項目!$B$2:$B$1300,"本年",元データ_14項目!$C$2:$C$1300,D$5)</f>
        <v>57</v>
      </c>
      <c r="E54" s="26">
        <f>SUMIFS(INDEX(元データ_14項目!$D$2:$Q$1300,0,MATCH($B54,元データ_14項目!$D$1:$Q$1,0)),元データ_14項目!$A$2:$A$1300,$A54,元データ_14項目!$B$2:$B$1300,"本年",元データ_14項目!$C$2:$C$1300,E$5)</f>
        <v>63</v>
      </c>
      <c r="F54" s="26">
        <f>SUMIFS(INDEX(元データ_14項目!$D$2:$Q$1300,0,MATCH($B54,元データ_14項目!$D$1:$Q$1,0)),元データ_14項目!$A$2:$A$1300,$A54,元データ_14項目!$B$2:$B$1300,"本年",元データ_14項目!$C$2:$C$1300,F$5)</f>
        <v>57</v>
      </c>
      <c r="G54" s="26">
        <f>SUMIFS(INDEX(元データ_14項目!$D$2:$Q$1300,0,MATCH($B54,元データ_14項目!$D$1:$Q$1,0)),元データ_14項目!$A$2:$A$1300,$A54,元データ_14項目!$B$2:$B$1300,"本年",元データ_14項目!$C$2:$C$1300,G$5)</f>
        <v>35</v>
      </c>
      <c r="H54" s="26">
        <f>SUMIFS(INDEX(元データ_14項目!$D$2:$Q$1300,0,MATCH($B54,元データ_14項目!$D$1:$Q$1,0)),元データ_14項目!$A$2:$A$1300,$A54,元データ_14項目!$B$2:$B$1300,"本年",元データ_14項目!$C$2:$C$1300,H$5)</f>
        <v>24</v>
      </c>
      <c r="I54" s="26">
        <f>SUMIFS(INDEX(元データ_14項目!$D$2:$Q$1300,0,MATCH($B54,元データ_14項目!$D$1:$Q$1,0)),元データ_14項目!$A$2:$A$1300,$A54,元データ_14項目!$B$2:$B$1300,"本年",元データ_14項目!$C$2:$C$1300,I$5)</f>
        <v>23</v>
      </c>
      <c r="J54" s="26">
        <f>SUMIFS(INDEX(元データ_14項目!$D$2:$Q$1300,0,MATCH($B54,元データ_14項目!$D$1:$Q$1,0)),元データ_14項目!$A$2:$A$1300,$A54,元データ_14項目!$B$2:$B$1300,"本年",元データ_14項目!$C$2:$C$1300,J$5)</f>
        <v>37</v>
      </c>
      <c r="K54" s="26">
        <f>SUMIFS(INDEX(元データ_14項目!$D$2:$Q$1300,0,MATCH($B54,元データ_14項目!$D$1:$Q$1,0)),元データ_14項目!$A$2:$A$1300,$A54,元データ_14項目!$B$2:$B$1300,"本年",元データ_14項目!$C$2:$C$1300,K$5)</f>
        <v>76</v>
      </c>
      <c r="L54" s="26">
        <f>SUMIFS(INDEX(元データ_14項目!$D$2:$Q$1300,0,MATCH($B54,元データ_14項目!$D$1:$Q$1,0)),元データ_14項目!$A$2:$A$1300,$A54,元データ_14項目!$B$2:$B$1300,"本年",元データ_14項目!$C$2:$C$1300,L$5)</f>
        <v>39</v>
      </c>
      <c r="M54" s="26">
        <f>SUMIFS(INDEX(元データ_14項目!$D$2:$Q$1300,0,MATCH($B54,元データ_14項目!$D$1:$Q$1,0)),元データ_14項目!$A$2:$A$1300,$A54,元データ_14項目!$B$2:$B$1300,"本年",元データ_14項目!$C$2:$C$1300,M$5)</f>
        <v>42</v>
      </c>
      <c r="N54" s="26">
        <f>SUMIFS(INDEX(元データ_14項目!$D$2:$Q$1300,0,MATCH($B54,元データ_14項目!$D$1:$Q$1,0)),元データ_14項目!$A$2:$A$1300,$A54,元データ_14項目!$B$2:$B$1300,"本年",元データ_14項目!$C$2:$C$1300,N$5)</f>
        <v>31</v>
      </c>
      <c r="O54" s="26">
        <f t="shared" si="0"/>
        <v>502</v>
      </c>
      <c r="P54" s="26">
        <f>SUMIFS(INDEX(元データ_14項目!$D$2:$Q$1300,0,MATCH($B54,元データ_14項目!$D$1:$Q$1,0)),元データ_14項目!$A$2:$A$1300,$A54,元データ_14項目!$B$2:$B$1300,"前年")</f>
        <v>570</v>
      </c>
      <c r="Q54" s="7">
        <f t="shared" si="1"/>
        <v>0.88070175438596487</v>
      </c>
    </row>
    <row r="55" spans="1:17" x14ac:dyDescent="0.45">
      <c r="A55" t="s">
        <v>38</v>
      </c>
      <c r="B55" t="s">
        <v>93</v>
      </c>
      <c r="C55" s="26">
        <f>SUMIFS(INDEX(元データ_14項目!$D$2:$Q$1300,0,MATCH($B55,元データ_14項目!$D$1:$Q$1,0)),元データ_14項目!$A$2:$A$1300,$A55,元データ_14項目!$B$2:$B$1300,"本年",元データ_14項目!$C$2:$C$1300,C$5)</f>
        <v>40</v>
      </c>
      <c r="D55" s="26">
        <f>SUMIFS(INDEX(元データ_14項目!$D$2:$Q$1300,0,MATCH($B55,元データ_14項目!$D$1:$Q$1,0)),元データ_14項目!$A$2:$A$1300,$A55,元データ_14項目!$B$2:$B$1300,"本年",元データ_14項目!$C$2:$C$1300,D$5)</f>
        <v>30</v>
      </c>
      <c r="E55" s="26">
        <f>SUMIFS(INDEX(元データ_14項目!$D$2:$Q$1300,0,MATCH($B55,元データ_14項目!$D$1:$Q$1,0)),元データ_14項目!$A$2:$A$1300,$A55,元データ_14項目!$B$2:$B$1300,"本年",元データ_14項目!$C$2:$C$1300,E$5)</f>
        <v>82</v>
      </c>
      <c r="F55" s="26">
        <f>SUMIFS(INDEX(元データ_14項目!$D$2:$Q$1300,0,MATCH($B55,元データ_14項目!$D$1:$Q$1,0)),元データ_14項目!$A$2:$A$1300,$A55,元データ_14項目!$B$2:$B$1300,"本年",元データ_14項目!$C$2:$C$1300,F$5)</f>
        <v>91</v>
      </c>
      <c r="G55" s="26">
        <f>SUMIFS(INDEX(元データ_14項目!$D$2:$Q$1300,0,MATCH($B55,元データ_14項目!$D$1:$Q$1,0)),元データ_14項目!$A$2:$A$1300,$A55,元データ_14項目!$B$2:$B$1300,"本年",元データ_14項目!$C$2:$C$1300,G$5)</f>
        <v>124</v>
      </c>
      <c r="H55" s="26">
        <f>SUMIFS(INDEX(元データ_14項目!$D$2:$Q$1300,0,MATCH($B55,元データ_14項目!$D$1:$Q$1,0)),元データ_14項目!$A$2:$A$1300,$A55,元データ_14項目!$B$2:$B$1300,"本年",元データ_14項目!$C$2:$C$1300,H$5)</f>
        <v>104</v>
      </c>
      <c r="I55" s="26">
        <f>SUMIFS(INDEX(元データ_14項目!$D$2:$Q$1300,0,MATCH($B55,元データ_14項目!$D$1:$Q$1,0)),元データ_14項目!$A$2:$A$1300,$A55,元データ_14項目!$B$2:$B$1300,"本年",元データ_14項目!$C$2:$C$1300,I$5)</f>
        <v>74</v>
      </c>
      <c r="J55" s="26">
        <f>SUMIFS(INDEX(元データ_14項目!$D$2:$Q$1300,0,MATCH($B55,元データ_14項目!$D$1:$Q$1,0)),元データ_14項目!$A$2:$A$1300,$A55,元データ_14項目!$B$2:$B$1300,"本年",元データ_14項目!$C$2:$C$1300,J$5)</f>
        <v>121</v>
      </c>
      <c r="K55" s="26">
        <f>SUMIFS(INDEX(元データ_14項目!$D$2:$Q$1300,0,MATCH($B55,元データ_14項目!$D$1:$Q$1,0)),元データ_14項目!$A$2:$A$1300,$A55,元データ_14項目!$B$2:$B$1300,"本年",元データ_14項目!$C$2:$C$1300,K$5)</f>
        <v>369</v>
      </c>
      <c r="L55" s="26">
        <f>SUMIFS(INDEX(元データ_14項目!$D$2:$Q$1300,0,MATCH($B55,元データ_14項目!$D$1:$Q$1,0)),元データ_14項目!$A$2:$A$1300,$A55,元データ_14項目!$B$2:$B$1300,"本年",元データ_14項目!$C$2:$C$1300,L$5)</f>
        <v>238</v>
      </c>
      <c r="M55" s="26">
        <f>SUMIFS(INDEX(元データ_14項目!$D$2:$Q$1300,0,MATCH($B55,元データ_14項目!$D$1:$Q$1,0)),元データ_14項目!$A$2:$A$1300,$A55,元データ_14項目!$B$2:$B$1300,"本年",元データ_14項目!$C$2:$C$1300,M$5)</f>
        <v>118</v>
      </c>
      <c r="N55" s="26">
        <f>SUMIFS(INDEX(元データ_14項目!$D$2:$Q$1300,0,MATCH($B55,元データ_14項目!$D$1:$Q$1,0)),元データ_14項目!$A$2:$A$1300,$A55,元データ_14項目!$B$2:$B$1300,"本年",元データ_14項目!$C$2:$C$1300,N$5)</f>
        <v>80</v>
      </c>
      <c r="O55" s="26">
        <f t="shared" si="0"/>
        <v>1471</v>
      </c>
      <c r="P55" s="26">
        <f>SUMIFS(INDEX(元データ_14項目!$D$2:$Q$1300,0,MATCH($B55,元データ_14項目!$D$1:$Q$1,0)),元データ_14項目!$A$2:$A$1300,$A55,元データ_14項目!$B$2:$B$1300,"前年")</f>
        <v>1594</v>
      </c>
      <c r="Q55" s="7">
        <f t="shared" si="1"/>
        <v>0.92283563362609788</v>
      </c>
    </row>
    <row r="56" spans="1:17" x14ac:dyDescent="0.45">
      <c r="A56" t="s">
        <v>38</v>
      </c>
      <c r="B56" t="s">
        <v>94</v>
      </c>
      <c r="C56" s="26">
        <f>SUMIFS(INDEX(元データ_14項目!$D$2:$Q$1300,0,MATCH($B56,元データ_14項目!$D$1:$Q$1,0)),元データ_14項目!$A$2:$A$1300,$A56,元データ_14項目!$B$2:$B$1300,"本年",元データ_14項目!$C$2:$C$1300,C$5)</f>
        <v>31</v>
      </c>
      <c r="D56" s="26">
        <f>SUMIFS(INDEX(元データ_14項目!$D$2:$Q$1300,0,MATCH($B56,元データ_14項目!$D$1:$Q$1,0)),元データ_14項目!$A$2:$A$1300,$A56,元データ_14項目!$B$2:$B$1300,"本年",元データ_14項目!$C$2:$C$1300,D$5)</f>
        <v>22</v>
      </c>
      <c r="E56" s="26">
        <f>SUMIFS(INDEX(元データ_14項目!$D$2:$Q$1300,0,MATCH($B56,元データ_14項目!$D$1:$Q$1,0)),元データ_14項目!$A$2:$A$1300,$A56,元データ_14項目!$B$2:$B$1300,"本年",元データ_14項目!$C$2:$C$1300,E$5)</f>
        <v>43</v>
      </c>
      <c r="F56" s="26">
        <f>SUMIFS(INDEX(元データ_14項目!$D$2:$Q$1300,0,MATCH($B56,元データ_14項目!$D$1:$Q$1,0)),元データ_14項目!$A$2:$A$1300,$A56,元データ_14項目!$B$2:$B$1300,"本年",元データ_14項目!$C$2:$C$1300,F$5)</f>
        <v>59</v>
      </c>
      <c r="G56" s="26">
        <f>SUMIFS(INDEX(元データ_14項目!$D$2:$Q$1300,0,MATCH($B56,元データ_14項目!$D$1:$Q$1,0)),元データ_14項目!$A$2:$A$1300,$A56,元データ_14項目!$B$2:$B$1300,"本年",元データ_14項目!$C$2:$C$1300,G$5)</f>
        <v>37</v>
      </c>
      <c r="H56" s="26">
        <f>SUMIFS(INDEX(元データ_14項目!$D$2:$Q$1300,0,MATCH($B56,元データ_14項目!$D$1:$Q$1,0)),元データ_14項目!$A$2:$A$1300,$A56,元データ_14項目!$B$2:$B$1300,"本年",元データ_14項目!$C$2:$C$1300,H$5)</f>
        <v>28</v>
      </c>
      <c r="I56" s="26">
        <f>SUMIFS(INDEX(元データ_14項目!$D$2:$Q$1300,0,MATCH($B56,元データ_14項目!$D$1:$Q$1,0)),元データ_14項目!$A$2:$A$1300,$A56,元データ_14項目!$B$2:$B$1300,"本年",元データ_14項目!$C$2:$C$1300,I$5)</f>
        <v>20</v>
      </c>
      <c r="J56" s="26">
        <f>SUMIFS(INDEX(元データ_14項目!$D$2:$Q$1300,0,MATCH($B56,元データ_14項目!$D$1:$Q$1,0)),元データ_14項目!$A$2:$A$1300,$A56,元データ_14項目!$B$2:$B$1300,"本年",元データ_14項目!$C$2:$C$1300,J$5)</f>
        <v>40</v>
      </c>
      <c r="K56" s="26">
        <f>SUMIFS(INDEX(元データ_14項目!$D$2:$Q$1300,0,MATCH($B56,元データ_14項目!$D$1:$Q$1,0)),元データ_14項目!$A$2:$A$1300,$A56,元データ_14項目!$B$2:$B$1300,"本年",元データ_14項目!$C$2:$C$1300,K$5)</f>
        <v>128</v>
      </c>
      <c r="L56" s="26">
        <f>SUMIFS(INDEX(元データ_14項目!$D$2:$Q$1300,0,MATCH($B56,元データ_14項目!$D$1:$Q$1,0)),元データ_14項目!$A$2:$A$1300,$A56,元データ_14項目!$B$2:$B$1300,"本年",元データ_14項目!$C$2:$C$1300,L$5)</f>
        <v>85</v>
      </c>
      <c r="M56" s="26">
        <f>SUMIFS(INDEX(元データ_14項目!$D$2:$Q$1300,0,MATCH($B56,元データ_14項目!$D$1:$Q$1,0)),元データ_14項目!$A$2:$A$1300,$A56,元データ_14項目!$B$2:$B$1300,"本年",元データ_14項目!$C$2:$C$1300,M$5)</f>
        <v>64</v>
      </c>
      <c r="N56" s="26">
        <f>SUMIFS(INDEX(元データ_14項目!$D$2:$Q$1300,0,MATCH($B56,元データ_14項目!$D$1:$Q$1,0)),元データ_14項目!$A$2:$A$1300,$A56,元データ_14項目!$B$2:$B$1300,"本年",元データ_14項目!$C$2:$C$1300,N$5)</f>
        <v>36</v>
      </c>
      <c r="O56" s="26">
        <f t="shared" si="0"/>
        <v>593</v>
      </c>
      <c r="P56" s="26">
        <f>SUMIFS(INDEX(元データ_14項目!$D$2:$Q$1300,0,MATCH($B56,元データ_14項目!$D$1:$Q$1,0)),元データ_14項目!$A$2:$A$1300,$A56,元データ_14項目!$B$2:$B$1300,"前年")</f>
        <v>671</v>
      </c>
      <c r="Q56" s="7">
        <f t="shared" si="1"/>
        <v>0.88375558867362147</v>
      </c>
    </row>
    <row r="57" spans="1:17" x14ac:dyDescent="0.45">
      <c r="A57" t="s">
        <v>38</v>
      </c>
      <c r="B57" t="s">
        <v>95</v>
      </c>
      <c r="C57" s="26">
        <f>SUMIFS(INDEX(元データ_14項目!$D$2:$Q$1300,0,MATCH($B57,元データ_14項目!$D$1:$Q$1,0)),元データ_14項目!$A$2:$A$1300,$A57,元データ_14項目!$B$2:$B$1300,"本年",元データ_14項目!$C$2:$C$1300,C$5)</f>
        <v>43</v>
      </c>
      <c r="D57" s="26">
        <f>SUMIFS(INDEX(元データ_14項目!$D$2:$Q$1300,0,MATCH($B57,元データ_14項目!$D$1:$Q$1,0)),元データ_14項目!$A$2:$A$1300,$A57,元データ_14項目!$B$2:$B$1300,"本年",元データ_14項目!$C$2:$C$1300,D$5)</f>
        <v>54</v>
      </c>
      <c r="E57" s="26">
        <f>SUMIFS(INDEX(元データ_14項目!$D$2:$Q$1300,0,MATCH($B57,元データ_14項目!$D$1:$Q$1,0)),元データ_14項目!$A$2:$A$1300,$A57,元データ_14項目!$B$2:$B$1300,"本年",元データ_14項目!$C$2:$C$1300,E$5)</f>
        <v>80</v>
      </c>
      <c r="F57" s="26">
        <f>SUMIFS(INDEX(元データ_14項目!$D$2:$Q$1300,0,MATCH($B57,元データ_14項目!$D$1:$Q$1,0)),元データ_14項目!$A$2:$A$1300,$A57,元データ_14項目!$B$2:$B$1300,"本年",元データ_14項目!$C$2:$C$1300,F$5)</f>
        <v>58</v>
      </c>
      <c r="G57" s="26">
        <f>SUMIFS(INDEX(元データ_14項目!$D$2:$Q$1300,0,MATCH($B57,元データ_14項目!$D$1:$Q$1,0)),元データ_14項目!$A$2:$A$1300,$A57,元データ_14項目!$B$2:$B$1300,"本年",元データ_14項目!$C$2:$C$1300,G$5)</f>
        <v>40</v>
      </c>
      <c r="H57" s="26">
        <f>SUMIFS(INDEX(元データ_14項目!$D$2:$Q$1300,0,MATCH($B57,元データ_14項目!$D$1:$Q$1,0)),元データ_14項目!$A$2:$A$1300,$A57,元データ_14項目!$B$2:$B$1300,"本年",元データ_14項目!$C$2:$C$1300,H$5)</f>
        <v>26</v>
      </c>
      <c r="I57" s="26">
        <f>SUMIFS(INDEX(元データ_14項目!$D$2:$Q$1300,0,MATCH($B57,元データ_14項目!$D$1:$Q$1,0)),元データ_14項目!$A$2:$A$1300,$A57,元データ_14項目!$B$2:$B$1300,"本年",元データ_14項目!$C$2:$C$1300,I$5)</f>
        <v>22</v>
      </c>
      <c r="J57" s="26">
        <f>SUMIFS(INDEX(元データ_14項目!$D$2:$Q$1300,0,MATCH($B57,元データ_14項目!$D$1:$Q$1,0)),元データ_14項目!$A$2:$A$1300,$A57,元データ_14項目!$B$2:$B$1300,"本年",元データ_14項目!$C$2:$C$1300,J$5)</f>
        <v>41</v>
      </c>
      <c r="K57" s="26">
        <f>SUMIFS(INDEX(元データ_14項目!$D$2:$Q$1300,0,MATCH($B57,元データ_14項目!$D$1:$Q$1,0)),元データ_14項目!$A$2:$A$1300,$A57,元データ_14項目!$B$2:$B$1300,"本年",元データ_14項目!$C$2:$C$1300,K$5)</f>
        <v>65</v>
      </c>
      <c r="L57" s="26">
        <f>SUMIFS(INDEX(元データ_14項目!$D$2:$Q$1300,0,MATCH($B57,元データ_14項目!$D$1:$Q$1,0)),元データ_14項目!$A$2:$A$1300,$A57,元データ_14項目!$B$2:$B$1300,"本年",元データ_14項目!$C$2:$C$1300,L$5)</f>
        <v>48</v>
      </c>
      <c r="M57" s="26">
        <f>SUMIFS(INDEX(元データ_14項目!$D$2:$Q$1300,0,MATCH($B57,元データ_14項目!$D$1:$Q$1,0)),元データ_14項目!$A$2:$A$1300,$A57,元データ_14項目!$B$2:$B$1300,"本年",元データ_14項目!$C$2:$C$1300,M$5)</f>
        <v>41</v>
      </c>
      <c r="N57" s="26">
        <f>SUMIFS(INDEX(元データ_14項目!$D$2:$Q$1300,0,MATCH($B57,元データ_14項目!$D$1:$Q$1,0)),元データ_14項目!$A$2:$A$1300,$A57,元データ_14項目!$B$2:$B$1300,"本年",元データ_14項目!$C$2:$C$1300,N$5)</f>
        <v>32</v>
      </c>
      <c r="O57" s="26">
        <f t="shared" si="0"/>
        <v>550</v>
      </c>
      <c r="P57" s="26">
        <f>SUMIFS(INDEX(元データ_14項目!$D$2:$Q$1300,0,MATCH($B57,元データ_14項目!$D$1:$Q$1,0)),元データ_14項目!$A$2:$A$1300,$A57,元データ_14項目!$B$2:$B$1300,"前年")</f>
        <v>574</v>
      </c>
      <c r="Q57" s="7">
        <f t="shared" si="1"/>
        <v>0.95818815331010454</v>
      </c>
    </row>
    <row r="58" spans="1:17" x14ac:dyDescent="0.45">
      <c r="A58" t="s">
        <v>38</v>
      </c>
      <c r="B58" t="s">
        <v>96</v>
      </c>
      <c r="C58" s="26">
        <f>SUMIFS(INDEX(元データ_14項目!$D$2:$Q$1300,0,MATCH($B58,元データ_14項目!$D$1:$Q$1,0)),元データ_14項目!$A$2:$A$1300,$A58,元データ_14項目!$B$2:$B$1300,"本年",元データ_14項目!$C$2:$C$1300,C$5)</f>
        <v>21</v>
      </c>
      <c r="D58" s="26">
        <f>SUMIFS(INDEX(元データ_14項目!$D$2:$Q$1300,0,MATCH($B58,元データ_14項目!$D$1:$Q$1,0)),元データ_14項目!$A$2:$A$1300,$A58,元データ_14項目!$B$2:$B$1300,"本年",元データ_14項目!$C$2:$C$1300,D$5)</f>
        <v>33</v>
      </c>
      <c r="E58" s="26">
        <f>SUMIFS(INDEX(元データ_14項目!$D$2:$Q$1300,0,MATCH($B58,元データ_14項目!$D$1:$Q$1,0)),元データ_14項目!$A$2:$A$1300,$A58,元データ_14項目!$B$2:$B$1300,"本年",元データ_14項目!$C$2:$C$1300,E$5)</f>
        <v>90</v>
      </c>
      <c r="F58" s="26">
        <f>SUMIFS(INDEX(元データ_14項目!$D$2:$Q$1300,0,MATCH($B58,元データ_14項目!$D$1:$Q$1,0)),元データ_14項目!$A$2:$A$1300,$A58,元データ_14項目!$B$2:$B$1300,"本年",元データ_14項目!$C$2:$C$1300,F$5)</f>
        <v>110</v>
      </c>
      <c r="G58" s="26">
        <f>SUMIFS(INDEX(元データ_14項目!$D$2:$Q$1300,0,MATCH($B58,元データ_14項目!$D$1:$Q$1,0)),元データ_14項目!$A$2:$A$1300,$A58,元データ_14項目!$B$2:$B$1300,"本年",元データ_14項目!$C$2:$C$1300,G$5)</f>
        <v>114</v>
      </c>
      <c r="H58" s="26">
        <f>SUMIFS(INDEX(元データ_14項目!$D$2:$Q$1300,0,MATCH($B58,元データ_14項目!$D$1:$Q$1,0)),元データ_14項目!$A$2:$A$1300,$A58,元データ_14項目!$B$2:$B$1300,"本年",元データ_14項目!$C$2:$C$1300,H$5)</f>
        <v>65</v>
      </c>
      <c r="I58" s="26">
        <f>SUMIFS(INDEX(元データ_14項目!$D$2:$Q$1300,0,MATCH($B58,元データ_14項目!$D$1:$Q$1,0)),元データ_14項目!$A$2:$A$1300,$A58,元データ_14項目!$B$2:$B$1300,"本年",元データ_14項目!$C$2:$C$1300,I$5)</f>
        <v>79</v>
      </c>
      <c r="J58" s="26">
        <f>SUMIFS(INDEX(元データ_14項目!$D$2:$Q$1300,0,MATCH($B58,元データ_14項目!$D$1:$Q$1,0)),元データ_14項目!$A$2:$A$1300,$A58,元データ_14項目!$B$2:$B$1300,"本年",元データ_14項目!$C$2:$C$1300,J$5)</f>
        <v>209</v>
      </c>
      <c r="K58" s="26">
        <f>SUMIFS(INDEX(元データ_14項目!$D$2:$Q$1300,0,MATCH($B58,元データ_14項目!$D$1:$Q$1,0)),元データ_14項目!$A$2:$A$1300,$A58,元データ_14項目!$B$2:$B$1300,"本年",元データ_14項目!$C$2:$C$1300,K$5)</f>
        <v>551</v>
      </c>
      <c r="L58" s="26">
        <f>SUMIFS(INDEX(元データ_14項目!$D$2:$Q$1300,0,MATCH($B58,元データ_14項目!$D$1:$Q$1,0)),元データ_14項目!$A$2:$A$1300,$A58,元データ_14項目!$B$2:$B$1300,"本年",元データ_14項目!$C$2:$C$1300,L$5)</f>
        <v>326</v>
      </c>
      <c r="M58" s="26">
        <f>SUMIFS(INDEX(元データ_14項目!$D$2:$Q$1300,0,MATCH($B58,元データ_14項目!$D$1:$Q$1,0)),元データ_14項目!$A$2:$A$1300,$A58,元データ_14項目!$B$2:$B$1300,"本年",元データ_14項目!$C$2:$C$1300,M$5)</f>
        <v>178</v>
      </c>
      <c r="N58" s="26">
        <f>SUMIFS(INDEX(元データ_14項目!$D$2:$Q$1300,0,MATCH($B58,元データ_14項目!$D$1:$Q$1,0)),元データ_14項目!$A$2:$A$1300,$A58,元データ_14項目!$B$2:$B$1300,"本年",元データ_14項目!$C$2:$C$1300,N$5)</f>
        <v>94</v>
      </c>
      <c r="O58" s="26">
        <f t="shared" si="0"/>
        <v>1870</v>
      </c>
      <c r="P58" s="26">
        <f>SUMIFS(INDEX(元データ_14項目!$D$2:$Q$1300,0,MATCH($B58,元データ_14項目!$D$1:$Q$1,0)),元データ_14項目!$A$2:$A$1300,$A58,元データ_14項目!$B$2:$B$1300,"前年")</f>
        <v>2006</v>
      </c>
      <c r="Q58" s="7">
        <f t="shared" si="1"/>
        <v>0.93220338983050843</v>
      </c>
    </row>
    <row r="59" spans="1:17" x14ac:dyDescent="0.45">
      <c r="A59" t="s">
        <v>38</v>
      </c>
      <c r="B59" t="s">
        <v>97</v>
      </c>
      <c r="C59" s="26">
        <f>SUMIFS(INDEX(元データ_14項目!$D$2:$Q$1300,0,MATCH($B59,元データ_14項目!$D$1:$Q$1,0)),元データ_14項目!$A$2:$A$1300,$A59,元データ_14項目!$B$2:$B$1300,"本年",元データ_14項目!$C$2:$C$1300,C$5)</f>
        <v>21</v>
      </c>
      <c r="D59" s="26">
        <f>SUMIFS(INDEX(元データ_14項目!$D$2:$Q$1300,0,MATCH($B59,元データ_14項目!$D$1:$Q$1,0)),元データ_14項目!$A$2:$A$1300,$A59,元データ_14項目!$B$2:$B$1300,"本年",元データ_14項目!$C$2:$C$1300,D$5)</f>
        <v>44</v>
      </c>
      <c r="E59" s="26">
        <f>SUMIFS(INDEX(元データ_14項目!$D$2:$Q$1300,0,MATCH($B59,元データ_14項目!$D$1:$Q$1,0)),元データ_14項目!$A$2:$A$1300,$A59,元データ_14項目!$B$2:$B$1300,"本年",元データ_14項目!$C$2:$C$1300,E$5)</f>
        <v>72</v>
      </c>
      <c r="F59" s="26">
        <f>SUMIFS(INDEX(元データ_14項目!$D$2:$Q$1300,0,MATCH($B59,元データ_14項目!$D$1:$Q$1,0)),元データ_14項目!$A$2:$A$1300,$A59,元データ_14項目!$B$2:$B$1300,"本年",元データ_14項目!$C$2:$C$1300,F$5)</f>
        <v>71</v>
      </c>
      <c r="G59" s="26">
        <f>SUMIFS(INDEX(元データ_14項目!$D$2:$Q$1300,0,MATCH($B59,元データ_14項目!$D$1:$Q$1,0)),元データ_14項目!$A$2:$A$1300,$A59,元データ_14項目!$B$2:$B$1300,"本年",元データ_14項目!$C$2:$C$1300,G$5)</f>
        <v>93</v>
      </c>
      <c r="H59" s="26">
        <f>SUMIFS(INDEX(元データ_14項目!$D$2:$Q$1300,0,MATCH($B59,元データ_14項目!$D$1:$Q$1,0)),元データ_14項目!$A$2:$A$1300,$A59,元データ_14項目!$B$2:$B$1300,"本年",元データ_14項目!$C$2:$C$1300,H$5)</f>
        <v>45</v>
      </c>
      <c r="I59" s="26">
        <f>SUMIFS(INDEX(元データ_14項目!$D$2:$Q$1300,0,MATCH($B59,元データ_14項目!$D$1:$Q$1,0)),元データ_14項目!$A$2:$A$1300,$A59,元データ_14項目!$B$2:$B$1300,"本年",元データ_14項目!$C$2:$C$1300,I$5)</f>
        <v>52</v>
      </c>
      <c r="J59" s="26">
        <f>SUMIFS(INDEX(元データ_14項目!$D$2:$Q$1300,0,MATCH($B59,元データ_14項目!$D$1:$Q$1,0)),元データ_14項目!$A$2:$A$1300,$A59,元データ_14項目!$B$2:$B$1300,"本年",元データ_14項目!$C$2:$C$1300,J$5)</f>
        <v>97</v>
      </c>
      <c r="K59" s="26">
        <f>SUMIFS(INDEX(元データ_14項目!$D$2:$Q$1300,0,MATCH($B59,元データ_14項目!$D$1:$Q$1,0)),元データ_14項目!$A$2:$A$1300,$A59,元データ_14項目!$B$2:$B$1300,"本年",元データ_14項目!$C$2:$C$1300,K$5)</f>
        <v>262</v>
      </c>
      <c r="L59" s="26">
        <f>SUMIFS(INDEX(元データ_14項目!$D$2:$Q$1300,0,MATCH($B59,元データ_14項目!$D$1:$Q$1,0)),元データ_14項目!$A$2:$A$1300,$A59,元データ_14項目!$B$2:$B$1300,"本年",元データ_14項目!$C$2:$C$1300,L$5)</f>
        <v>174</v>
      </c>
      <c r="M59" s="26">
        <f>SUMIFS(INDEX(元データ_14項目!$D$2:$Q$1300,0,MATCH($B59,元データ_14項目!$D$1:$Q$1,0)),元データ_14項目!$A$2:$A$1300,$A59,元データ_14項目!$B$2:$B$1300,"本年",元データ_14項目!$C$2:$C$1300,M$5)</f>
        <v>119</v>
      </c>
      <c r="N59" s="26">
        <f>SUMIFS(INDEX(元データ_14項目!$D$2:$Q$1300,0,MATCH($B59,元データ_14項目!$D$1:$Q$1,0)),元データ_14項目!$A$2:$A$1300,$A59,元データ_14項目!$B$2:$B$1300,"本年",元データ_14項目!$C$2:$C$1300,N$5)</f>
        <v>92</v>
      </c>
      <c r="O59" s="26">
        <f t="shared" si="0"/>
        <v>1142</v>
      </c>
      <c r="P59" s="26">
        <f>SUMIFS(INDEX(元データ_14項目!$D$2:$Q$1300,0,MATCH($B59,元データ_14項目!$D$1:$Q$1,0)),元データ_14項目!$A$2:$A$1300,$A59,元データ_14項目!$B$2:$B$1300,"前年")</f>
        <v>1148</v>
      </c>
      <c r="Q59" s="7">
        <f t="shared" si="1"/>
        <v>0.99477351916376311</v>
      </c>
    </row>
    <row r="60" spans="1:17" x14ac:dyDescent="0.45">
      <c r="A60" t="s">
        <v>38</v>
      </c>
      <c r="B60" t="s">
        <v>98</v>
      </c>
      <c r="C60" s="26">
        <f>SUMIFS(INDEX(元データ_14項目!$D$2:$Q$1300,0,MATCH($B60,元データ_14項目!$D$1:$Q$1,0)),元データ_14項目!$A$2:$A$1300,$A60,元データ_14項目!$B$2:$B$1300,"本年",元データ_14項目!$C$2:$C$1300,C$5)</f>
        <v>9</v>
      </c>
      <c r="D60" s="26">
        <f>SUMIFS(INDEX(元データ_14項目!$D$2:$Q$1300,0,MATCH($B60,元データ_14項目!$D$1:$Q$1,0)),元データ_14項目!$A$2:$A$1300,$A60,元データ_14項目!$B$2:$B$1300,"本年",元データ_14項目!$C$2:$C$1300,D$5)</f>
        <v>12</v>
      </c>
      <c r="E60" s="26">
        <f>SUMIFS(INDEX(元データ_14項目!$D$2:$Q$1300,0,MATCH($B60,元データ_14項目!$D$1:$Q$1,0)),元データ_14項目!$A$2:$A$1300,$A60,元データ_14項目!$B$2:$B$1300,"本年",元データ_14項目!$C$2:$C$1300,E$5)</f>
        <v>44</v>
      </c>
      <c r="F60" s="26">
        <f>SUMIFS(INDEX(元データ_14項目!$D$2:$Q$1300,0,MATCH($B60,元データ_14項目!$D$1:$Q$1,0)),元データ_14項目!$A$2:$A$1300,$A60,元データ_14項目!$B$2:$B$1300,"本年",元データ_14項目!$C$2:$C$1300,F$5)</f>
        <v>31</v>
      </c>
      <c r="G60" s="26">
        <f>SUMIFS(INDEX(元データ_14項目!$D$2:$Q$1300,0,MATCH($B60,元データ_14項目!$D$1:$Q$1,0)),元データ_14項目!$A$2:$A$1300,$A60,元データ_14項目!$B$2:$B$1300,"本年",元データ_14項目!$C$2:$C$1300,G$5)</f>
        <v>35</v>
      </c>
      <c r="H60" s="26">
        <f>SUMIFS(INDEX(元データ_14項目!$D$2:$Q$1300,0,MATCH($B60,元データ_14項目!$D$1:$Q$1,0)),元データ_14項目!$A$2:$A$1300,$A60,元データ_14項目!$B$2:$B$1300,"本年",元データ_14項目!$C$2:$C$1300,H$5)</f>
        <v>20</v>
      </c>
      <c r="I60" s="26">
        <f>SUMIFS(INDEX(元データ_14項目!$D$2:$Q$1300,0,MATCH($B60,元データ_14項目!$D$1:$Q$1,0)),元データ_14項目!$A$2:$A$1300,$A60,元データ_14項目!$B$2:$B$1300,"本年",元データ_14項目!$C$2:$C$1300,I$5)</f>
        <v>14</v>
      </c>
      <c r="J60" s="26">
        <f>SUMIFS(INDEX(元データ_14項目!$D$2:$Q$1300,0,MATCH($B60,元データ_14項目!$D$1:$Q$1,0)),元データ_14項目!$A$2:$A$1300,$A60,元データ_14項目!$B$2:$B$1300,"本年",元データ_14項目!$C$2:$C$1300,J$5)</f>
        <v>113</v>
      </c>
      <c r="K60" s="26">
        <f>SUMIFS(INDEX(元データ_14項目!$D$2:$Q$1300,0,MATCH($B60,元データ_14項目!$D$1:$Q$1,0)),元データ_14項目!$A$2:$A$1300,$A60,元データ_14項目!$B$2:$B$1300,"本年",元データ_14項目!$C$2:$C$1300,K$5)</f>
        <v>319</v>
      </c>
      <c r="L60" s="26">
        <f>SUMIFS(INDEX(元データ_14項目!$D$2:$Q$1300,0,MATCH($B60,元データ_14項目!$D$1:$Q$1,0)),元データ_14項目!$A$2:$A$1300,$A60,元データ_14項目!$B$2:$B$1300,"本年",元データ_14項目!$C$2:$C$1300,L$5)</f>
        <v>164</v>
      </c>
      <c r="M60" s="26">
        <f>SUMIFS(INDEX(元データ_14項目!$D$2:$Q$1300,0,MATCH($B60,元データ_14項目!$D$1:$Q$1,0)),元データ_14項目!$A$2:$A$1300,$A60,元データ_14項目!$B$2:$B$1300,"本年",元データ_14項目!$C$2:$C$1300,M$5)</f>
        <v>95</v>
      </c>
      <c r="N60" s="26">
        <f>SUMIFS(INDEX(元データ_14項目!$D$2:$Q$1300,0,MATCH($B60,元データ_14項目!$D$1:$Q$1,0)),元データ_14項目!$A$2:$A$1300,$A60,元データ_14項目!$B$2:$B$1300,"本年",元データ_14項目!$C$2:$C$1300,N$5)</f>
        <v>49</v>
      </c>
      <c r="O60" s="26">
        <f t="shared" si="0"/>
        <v>905</v>
      </c>
      <c r="P60" s="26">
        <f>SUMIFS(INDEX(元データ_14項目!$D$2:$Q$1300,0,MATCH($B60,元データ_14項目!$D$1:$Q$1,0)),元データ_14項目!$A$2:$A$1300,$A60,元データ_14項目!$B$2:$B$1300,"前年")</f>
        <v>880</v>
      </c>
      <c r="Q60" s="7">
        <f t="shared" si="1"/>
        <v>1.0284090909090908</v>
      </c>
    </row>
    <row r="61" spans="1:17" x14ac:dyDescent="0.45">
      <c r="A61" t="s">
        <v>38</v>
      </c>
      <c r="B61" t="s">
        <v>99</v>
      </c>
      <c r="C61" s="26">
        <f>SUMIFS(INDEX(元データ_14項目!$D$2:$Q$1300,0,MATCH($B61,元データ_14項目!$D$1:$Q$1,0)),元データ_14項目!$A$2:$A$1300,$A61,元データ_14項目!$B$2:$B$1300,"本年",元データ_14項目!$C$2:$C$1300,C$5)</f>
        <v>0</v>
      </c>
      <c r="D61" s="26">
        <f>SUMIFS(INDEX(元データ_14項目!$D$2:$Q$1300,0,MATCH($B61,元データ_14項目!$D$1:$Q$1,0)),元データ_14項目!$A$2:$A$1300,$A61,元データ_14項目!$B$2:$B$1300,"本年",元データ_14項目!$C$2:$C$1300,D$5)</f>
        <v>0</v>
      </c>
      <c r="E61" s="26">
        <f>SUMIFS(INDEX(元データ_14項目!$D$2:$Q$1300,0,MATCH($B61,元データ_14項目!$D$1:$Q$1,0)),元データ_14項目!$A$2:$A$1300,$A61,元データ_14項目!$B$2:$B$1300,"本年",元データ_14項目!$C$2:$C$1300,E$5)</f>
        <v>2</v>
      </c>
      <c r="F61" s="26">
        <f>SUMIFS(INDEX(元データ_14項目!$D$2:$Q$1300,0,MATCH($B61,元データ_14項目!$D$1:$Q$1,0)),元データ_14項目!$A$2:$A$1300,$A61,元データ_14項目!$B$2:$B$1300,"本年",元データ_14項目!$C$2:$C$1300,F$5)</f>
        <v>4</v>
      </c>
      <c r="G61" s="26">
        <f>SUMIFS(INDEX(元データ_14項目!$D$2:$Q$1300,0,MATCH($B61,元データ_14項目!$D$1:$Q$1,0)),元データ_14項目!$A$2:$A$1300,$A61,元データ_14項目!$B$2:$B$1300,"本年",元データ_14項目!$C$2:$C$1300,G$5)</f>
        <v>5</v>
      </c>
      <c r="H61" s="26">
        <f>SUMIFS(INDEX(元データ_14項目!$D$2:$Q$1300,0,MATCH($B61,元データ_14項目!$D$1:$Q$1,0)),元データ_14項目!$A$2:$A$1300,$A61,元データ_14項目!$B$2:$B$1300,"本年",元データ_14項目!$C$2:$C$1300,H$5)</f>
        <v>8</v>
      </c>
      <c r="I61" s="26">
        <f>SUMIFS(INDEX(元データ_14項目!$D$2:$Q$1300,0,MATCH($B61,元データ_14項目!$D$1:$Q$1,0)),元データ_14項目!$A$2:$A$1300,$A61,元データ_14項目!$B$2:$B$1300,"本年",元データ_14項目!$C$2:$C$1300,I$5)</f>
        <v>4</v>
      </c>
      <c r="J61" s="26">
        <f>SUMIFS(INDEX(元データ_14項目!$D$2:$Q$1300,0,MATCH($B61,元データ_14項目!$D$1:$Q$1,0)),元データ_14項目!$A$2:$A$1300,$A61,元データ_14項目!$B$2:$B$1300,"本年",元データ_14項目!$C$2:$C$1300,J$5)</f>
        <v>34</v>
      </c>
      <c r="K61" s="26">
        <f>SUMIFS(INDEX(元データ_14項目!$D$2:$Q$1300,0,MATCH($B61,元データ_14項目!$D$1:$Q$1,0)),元データ_14項目!$A$2:$A$1300,$A61,元データ_14項目!$B$2:$B$1300,"本年",元データ_14項目!$C$2:$C$1300,K$5)</f>
        <v>25</v>
      </c>
      <c r="L61" s="26">
        <f>SUMIFS(INDEX(元データ_14項目!$D$2:$Q$1300,0,MATCH($B61,元データ_14項目!$D$1:$Q$1,0)),元データ_14項目!$A$2:$A$1300,$A61,元データ_14項目!$B$2:$B$1300,"本年",元データ_14項目!$C$2:$C$1300,L$5)</f>
        <v>5</v>
      </c>
      <c r="M61" s="26">
        <f>SUMIFS(INDEX(元データ_14項目!$D$2:$Q$1300,0,MATCH($B61,元データ_14項目!$D$1:$Q$1,0)),元データ_14項目!$A$2:$A$1300,$A61,元データ_14項目!$B$2:$B$1300,"本年",元データ_14項目!$C$2:$C$1300,M$5)</f>
        <v>4</v>
      </c>
      <c r="N61" s="26">
        <f>SUMIFS(INDEX(元データ_14項目!$D$2:$Q$1300,0,MATCH($B61,元データ_14項目!$D$1:$Q$1,0)),元データ_14項目!$A$2:$A$1300,$A61,元データ_14項目!$B$2:$B$1300,"本年",元データ_14項目!$C$2:$C$1300,N$5)</f>
        <v>0</v>
      </c>
      <c r="O61" s="26">
        <f t="shared" si="0"/>
        <v>91</v>
      </c>
      <c r="P61" s="26">
        <f>SUMIFS(INDEX(元データ_14項目!$D$2:$Q$1300,0,MATCH($B61,元データ_14項目!$D$1:$Q$1,0)),元データ_14項目!$A$2:$A$1300,$A61,元データ_14項目!$B$2:$B$1300,"前年")</f>
        <v>112</v>
      </c>
      <c r="Q61" s="7">
        <f t="shared" si="1"/>
        <v>0.8125</v>
      </c>
    </row>
    <row r="62" spans="1:17" x14ac:dyDescent="0.45">
      <c r="A62" t="s">
        <v>39</v>
      </c>
      <c r="B62" t="s">
        <v>27</v>
      </c>
      <c r="C62" s="26">
        <f>SUMIFS(INDEX(元データ_14項目!$D$2:$Q$1300,0,MATCH($B62,元データ_14項目!$D$1:$Q$1,0)),元データ_14項目!$A$2:$A$1300,$A62,元データ_14項目!$B$2:$B$1300,"本年",元データ_14項目!$C$2:$C$1300,C$5)</f>
        <v>619</v>
      </c>
      <c r="D62" s="26">
        <f>SUMIFS(INDEX(元データ_14項目!$D$2:$Q$1300,0,MATCH($B62,元データ_14項目!$D$1:$Q$1,0)),元データ_14項目!$A$2:$A$1300,$A62,元データ_14項目!$B$2:$B$1300,"本年",元データ_14項目!$C$2:$C$1300,D$5)</f>
        <v>846</v>
      </c>
      <c r="E62" s="26">
        <f>SUMIFS(INDEX(元データ_14項目!$D$2:$Q$1300,0,MATCH($B62,元データ_14項目!$D$1:$Q$1,0)),元データ_14項目!$A$2:$A$1300,$A62,元データ_14項目!$B$2:$B$1300,"本年",元データ_14項目!$C$2:$C$1300,E$5)</f>
        <v>1060</v>
      </c>
      <c r="F62" s="26">
        <f>SUMIFS(INDEX(元データ_14項目!$D$2:$Q$1300,0,MATCH($B62,元データ_14項目!$D$1:$Q$1,0)),元データ_14項目!$A$2:$A$1300,$A62,元データ_14項目!$B$2:$B$1300,"本年",元データ_14項目!$C$2:$C$1300,F$5)</f>
        <v>909</v>
      </c>
      <c r="G62" s="26">
        <f>SUMIFS(INDEX(元データ_14項目!$D$2:$Q$1300,0,MATCH($B62,元データ_14項目!$D$1:$Q$1,0)),元データ_14項目!$A$2:$A$1300,$A62,元データ_14項目!$B$2:$B$1300,"本年",元データ_14項目!$C$2:$C$1300,G$5)</f>
        <v>990</v>
      </c>
      <c r="H62" s="26">
        <f>SUMIFS(INDEX(元データ_14項目!$D$2:$Q$1300,0,MATCH($B62,元データ_14項目!$D$1:$Q$1,0)),元データ_14項目!$A$2:$A$1300,$A62,元データ_14項目!$B$2:$B$1300,"本年",元データ_14項目!$C$2:$C$1300,H$5)</f>
        <v>748</v>
      </c>
      <c r="I62" s="26">
        <f>SUMIFS(INDEX(元データ_14項目!$D$2:$Q$1300,0,MATCH($B62,元データ_14項目!$D$1:$Q$1,0)),元データ_14項目!$A$2:$A$1300,$A62,元データ_14項目!$B$2:$B$1300,"本年",元データ_14項目!$C$2:$C$1300,I$5)</f>
        <v>750</v>
      </c>
      <c r="J62" s="26">
        <f>SUMIFS(INDEX(元データ_14項目!$D$2:$Q$1300,0,MATCH($B62,元データ_14項目!$D$1:$Q$1,0)),元データ_14項目!$A$2:$A$1300,$A62,元データ_14項目!$B$2:$B$1300,"本年",元データ_14項目!$C$2:$C$1300,J$5)</f>
        <v>950</v>
      </c>
      <c r="K62" s="26">
        <f>SUMIFS(INDEX(元データ_14項目!$D$2:$Q$1300,0,MATCH($B62,元データ_14項目!$D$1:$Q$1,0)),元データ_14項目!$A$2:$A$1300,$A62,元データ_14項目!$B$2:$B$1300,"本年",元データ_14項目!$C$2:$C$1300,K$5)</f>
        <v>959</v>
      </c>
      <c r="L62" s="26">
        <f>SUMIFS(INDEX(元データ_14項目!$D$2:$Q$1300,0,MATCH($B62,元データ_14項目!$D$1:$Q$1,0)),元データ_14項目!$A$2:$A$1300,$A62,元データ_14項目!$B$2:$B$1300,"本年",元データ_14項目!$C$2:$C$1300,L$5)</f>
        <v>750</v>
      </c>
      <c r="M62" s="26">
        <f>SUMIFS(INDEX(元データ_14項目!$D$2:$Q$1300,0,MATCH($B62,元データ_14項目!$D$1:$Q$1,0)),元データ_14項目!$A$2:$A$1300,$A62,元データ_14項目!$B$2:$B$1300,"本年",元データ_14項目!$C$2:$C$1300,M$5)</f>
        <v>889</v>
      </c>
      <c r="N62" s="26">
        <f>SUMIFS(INDEX(元データ_14項目!$D$2:$Q$1300,0,MATCH($B62,元データ_14項目!$D$1:$Q$1,0)),元データ_14項目!$A$2:$A$1300,$A62,元データ_14項目!$B$2:$B$1300,"本年",元データ_14項目!$C$2:$C$1300,N$5)</f>
        <v>780</v>
      </c>
      <c r="O62" s="26">
        <f t="shared" si="0"/>
        <v>10250</v>
      </c>
      <c r="P62" s="26">
        <f>SUMIFS(INDEX(元データ_14項目!$D$2:$Q$1300,0,MATCH($B62,元データ_14項目!$D$1:$Q$1,0)),元データ_14項目!$A$2:$A$1300,$A62,元データ_14項目!$B$2:$B$1300,"前年")</f>
        <v>12102</v>
      </c>
      <c r="Q62" s="7">
        <f t="shared" si="1"/>
        <v>0.84696744339778551</v>
      </c>
    </row>
    <row r="63" spans="1:17" x14ac:dyDescent="0.45">
      <c r="A63" t="s">
        <v>39</v>
      </c>
      <c r="B63" t="s">
        <v>88</v>
      </c>
      <c r="C63" s="26">
        <f>SUMIFS(INDEX(元データ_14項目!$D$2:$Q$1300,0,MATCH($B63,元データ_14項目!$D$1:$Q$1,0)),元データ_14項目!$A$2:$A$1300,$A63,元データ_14項目!$B$2:$B$1300,"本年",元データ_14項目!$C$2:$C$1300,C$5)</f>
        <v>32</v>
      </c>
      <c r="D63" s="26">
        <f>SUMIFS(INDEX(元データ_14項目!$D$2:$Q$1300,0,MATCH($B63,元データ_14項目!$D$1:$Q$1,0)),元データ_14項目!$A$2:$A$1300,$A63,元データ_14項目!$B$2:$B$1300,"本年",元データ_14項目!$C$2:$C$1300,D$5)</f>
        <v>39</v>
      </c>
      <c r="E63" s="26">
        <f>SUMIFS(INDEX(元データ_14項目!$D$2:$Q$1300,0,MATCH($B63,元データ_14項目!$D$1:$Q$1,0)),元データ_14項目!$A$2:$A$1300,$A63,元データ_14項目!$B$2:$B$1300,"本年",元データ_14項目!$C$2:$C$1300,E$5)</f>
        <v>57</v>
      </c>
      <c r="F63" s="26">
        <f>SUMIFS(INDEX(元データ_14項目!$D$2:$Q$1300,0,MATCH($B63,元データ_14項目!$D$1:$Q$1,0)),元データ_14項目!$A$2:$A$1300,$A63,元データ_14項目!$B$2:$B$1300,"本年",元データ_14項目!$C$2:$C$1300,F$5)</f>
        <v>76</v>
      </c>
      <c r="G63" s="26">
        <f>SUMIFS(INDEX(元データ_14項目!$D$2:$Q$1300,0,MATCH($B63,元データ_14項目!$D$1:$Q$1,0)),元データ_14項目!$A$2:$A$1300,$A63,元データ_14項目!$B$2:$B$1300,"本年",元データ_14項目!$C$2:$C$1300,G$5)</f>
        <v>52</v>
      </c>
      <c r="H63" s="26">
        <f>SUMIFS(INDEX(元データ_14項目!$D$2:$Q$1300,0,MATCH($B63,元データ_14項目!$D$1:$Q$1,0)),元データ_14項目!$A$2:$A$1300,$A63,元データ_14項目!$B$2:$B$1300,"本年",元データ_14項目!$C$2:$C$1300,H$5)</f>
        <v>31</v>
      </c>
      <c r="I63" s="26">
        <f>SUMIFS(INDEX(元データ_14項目!$D$2:$Q$1300,0,MATCH($B63,元データ_14項目!$D$1:$Q$1,0)),元データ_14項目!$A$2:$A$1300,$A63,元データ_14項目!$B$2:$B$1300,"本年",元データ_14項目!$C$2:$C$1300,I$5)</f>
        <v>45</v>
      </c>
      <c r="J63" s="26">
        <f>SUMIFS(INDEX(元データ_14項目!$D$2:$Q$1300,0,MATCH($B63,元データ_14項目!$D$1:$Q$1,0)),元データ_14項目!$A$2:$A$1300,$A63,元データ_14項目!$B$2:$B$1300,"本年",元データ_14項目!$C$2:$C$1300,J$5)</f>
        <v>55</v>
      </c>
      <c r="K63" s="26">
        <f>SUMIFS(INDEX(元データ_14項目!$D$2:$Q$1300,0,MATCH($B63,元データ_14項目!$D$1:$Q$1,0)),元データ_14項目!$A$2:$A$1300,$A63,元データ_14項目!$B$2:$B$1300,"本年",元データ_14項目!$C$2:$C$1300,K$5)</f>
        <v>65</v>
      </c>
      <c r="L63" s="26">
        <f>SUMIFS(INDEX(元データ_14項目!$D$2:$Q$1300,0,MATCH($B63,元データ_14項目!$D$1:$Q$1,0)),元データ_14項目!$A$2:$A$1300,$A63,元データ_14項目!$B$2:$B$1300,"本年",元データ_14項目!$C$2:$C$1300,L$5)</f>
        <v>49</v>
      </c>
      <c r="M63" s="26">
        <f>SUMIFS(INDEX(元データ_14項目!$D$2:$Q$1300,0,MATCH($B63,元データ_14項目!$D$1:$Q$1,0)),元データ_14項目!$A$2:$A$1300,$A63,元データ_14項目!$B$2:$B$1300,"本年",元データ_14項目!$C$2:$C$1300,M$5)</f>
        <v>66</v>
      </c>
      <c r="N63" s="26">
        <f>SUMIFS(INDEX(元データ_14項目!$D$2:$Q$1300,0,MATCH($B63,元データ_14項目!$D$1:$Q$1,0)),元データ_14項目!$A$2:$A$1300,$A63,元データ_14項目!$B$2:$B$1300,"本年",元データ_14項目!$C$2:$C$1300,N$5)</f>
        <v>66</v>
      </c>
      <c r="O63" s="26">
        <f t="shared" si="0"/>
        <v>633</v>
      </c>
      <c r="P63" s="26">
        <f>SUMIFS(INDEX(元データ_14項目!$D$2:$Q$1300,0,MATCH($B63,元データ_14項目!$D$1:$Q$1,0)),元データ_14項目!$A$2:$A$1300,$A63,元データ_14項目!$B$2:$B$1300,"前年")</f>
        <v>596</v>
      </c>
      <c r="Q63" s="7">
        <f t="shared" si="1"/>
        <v>1.0620805369127517</v>
      </c>
    </row>
    <row r="64" spans="1:17" x14ac:dyDescent="0.45">
      <c r="A64" t="s">
        <v>39</v>
      </c>
      <c r="B64" t="s">
        <v>89</v>
      </c>
      <c r="C64" s="26">
        <f>SUMIFS(INDEX(元データ_14項目!$D$2:$Q$1300,0,MATCH($B64,元データ_14項目!$D$1:$Q$1,0)),元データ_14項目!$A$2:$A$1300,$A64,元データ_14項目!$B$2:$B$1300,"本年",元データ_14項目!$C$2:$C$1300,C$5)</f>
        <v>48</v>
      </c>
      <c r="D64" s="26">
        <f>SUMIFS(INDEX(元データ_14項目!$D$2:$Q$1300,0,MATCH($B64,元データ_14項目!$D$1:$Q$1,0)),元データ_14項目!$A$2:$A$1300,$A64,元データ_14項目!$B$2:$B$1300,"本年",元データ_14項目!$C$2:$C$1300,D$5)</f>
        <v>59</v>
      </c>
      <c r="E64" s="26">
        <f>SUMIFS(INDEX(元データ_14項目!$D$2:$Q$1300,0,MATCH($B64,元データ_14項目!$D$1:$Q$1,0)),元データ_14項目!$A$2:$A$1300,$A64,元データ_14項目!$B$2:$B$1300,"本年",元データ_14項目!$C$2:$C$1300,E$5)</f>
        <v>107</v>
      </c>
      <c r="F64" s="26">
        <f>SUMIFS(INDEX(元データ_14項目!$D$2:$Q$1300,0,MATCH($B64,元データ_14項目!$D$1:$Q$1,0)),元データ_14項目!$A$2:$A$1300,$A64,元データ_14項目!$B$2:$B$1300,"本年",元データ_14項目!$C$2:$C$1300,F$5)</f>
        <v>61</v>
      </c>
      <c r="G64" s="26">
        <f>SUMIFS(INDEX(元データ_14項目!$D$2:$Q$1300,0,MATCH($B64,元データ_14項目!$D$1:$Q$1,0)),元データ_14項目!$A$2:$A$1300,$A64,元データ_14項目!$B$2:$B$1300,"本年",元データ_14項目!$C$2:$C$1300,G$5)</f>
        <v>40</v>
      </c>
      <c r="H64" s="26">
        <f>SUMIFS(INDEX(元データ_14項目!$D$2:$Q$1300,0,MATCH($B64,元データ_14項目!$D$1:$Q$1,0)),元データ_14項目!$A$2:$A$1300,$A64,元データ_14項目!$B$2:$B$1300,"本年",元データ_14項目!$C$2:$C$1300,H$5)</f>
        <v>28</v>
      </c>
      <c r="I64" s="26">
        <f>SUMIFS(INDEX(元データ_14項目!$D$2:$Q$1300,0,MATCH($B64,元データ_14項目!$D$1:$Q$1,0)),元データ_14項目!$A$2:$A$1300,$A64,元データ_14項目!$B$2:$B$1300,"本年",元データ_14項目!$C$2:$C$1300,I$5)</f>
        <v>29</v>
      </c>
      <c r="J64" s="26">
        <f>SUMIFS(INDEX(元データ_14項目!$D$2:$Q$1300,0,MATCH($B64,元データ_14項目!$D$1:$Q$1,0)),元データ_14項目!$A$2:$A$1300,$A64,元データ_14項目!$B$2:$B$1300,"本年",元データ_14項目!$C$2:$C$1300,J$5)</f>
        <v>62</v>
      </c>
      <c r="K64" s="26">
        <f>SUMIFS(INDEX(元データ_14項目!$D$2:$Q$1300,0,MATCH($B64,元データ_14項目!$D$1:$Q$1,0)),元データ_14項目!$A$2:$A$1300,$A64,元データ_14項目!$B$2:$B$1300,"本年",元データ_14項目!$C$2:$C$1300,K$5)</f>
        <v>58</v>
      </c>
      <c r="L64" s="26">
        <f>SUMIFS(INDEX(元データ_14項目!$D$2:$Q$1300,0,MATCH($B64,元データ_14項目!$D$1:$Q$1,0)),元データ_14項目!$A$2:$A$1300,$A64,元データ_14項目!$B$2:$B$1300,"本年",元データ_14項目!$C$2:$C$1300,L$5)</f>
        <v>69</v>
      </c>
      <c r="M64" s="26">
        <f>SUMIFS(INDEX(元データ_14項目!$D$2:$Q$1300,0,MATCH($B64,元データ_14項目!$D$1:$Q$1,0)),元データ_14項目!$A$2:$A$1300,$A64,元データ_14項目!$B$2:$B$1300,"本年",元データ_14項目!$C$2:$C$1300,M$5)</f>
        <v>54</v>
      </c>
      <c r="N64" s="26">
        <f>SUMIFS(INDEX(元データ_14項目!$D$2:$Q$1300,0,MATCH($B64,元データ_14項目!$D$1:$Q$1,0)),元データ_14項目!$A$2:$A$1300,$A64,元データ_14項目!$B$2:$B$1300,"本年",元データ_14項目!$C$2:$C$1300,N$5)</f>
        <v>43</v>
      </c>
      <c r="O64" s="26">
        <f t="shared" si="0"/>
        <v>658</v>
      </c>
      <c r="P64" s="26">
        <f>SUMIFS(INDEX(元データ_14項目!$D$2:$Q$1300,0,MATCH($B64,元データ_14項目!$D$1:$Q$1,0)),元データ_14項目!$A$2:$A$1300,$A64,元データ_14項目!$B$2:$B$1300,"前年")</f>
        <v>627</v>
      </c>
      <c r="Q64" s="7">
        <f t="shared" si="1"/>
        <v>1.0494417862838916</v>
      </c>
    </row>
    <row r="65" spans="1:17" x14ac:dyDescent="0.45">
      <c r="A65" t="s">
        <v>39</v>
      </c>
      <c r="B65" t="s">
        <v>90</v>
      </c>
      <c r="C65" s="26">
        <f>SUMIFS(INDEX(元データ_14項目!$D$2:$Q$1300,0,MATCH($B65,元データ_14項目!$D$1:$Q$1,0)),元データ_14項目!$A$2:$A$1300,$A65,元データ_14項目!$B$2:$B$1300,"本年",元データ_14項目!$C$2:$C$1300,C$5)</f>
        <v>48</v>
      </c>
      <c r="D65" s="26">
        <f>SUMIFS(INDEX(元データ_14項目!$D$2:$Q$1300,0,MATCH($B65,元データ_14項目!$D$1:$Q$1,0)),元データ_14項目!$A$2:$A$1300,$A65,元データ_14項目!$B$2:$B$1300,"本年",元データ_14項目!$C$2:$C$1300,D$5)</f>
        <v>36</v>
      </c>
      <c r="E65" s="26">
        <f>SUMIFS(INDEX(元データ_14項目!$D$2:$Q$1300,0,MATCH($B65,元データ_14項目!$D$1:$Q$1,0)),元データ_14項目!$A$2:$A$1300,$A65,元データ_14項目!$B$2:$B$1300,"本年",元データ_14項目!$C$2:$C$1300,E$5)</f>
        <v>71</v>
      </c>
      <c r="F65" s="26">
        <f>SUMIFS(INDEX(元データ_14項目!$D$2:$Q$1300,0,MATCH($B65,元データ_14項目!$D$1:$Q$1,0)),元データ_14項目!$A$2:$A$1300,$A65,元データ_14項目!$B$2:$B$1300,"本年",元データ_14項目!$C$2:$C$1300,F$5)</f>
        <v>131</v>
      </c>
      <c r="G65" s="26">
        <f>SUMIFS(INDEX(元データ_14項目!$D$2:$Q$1300,0,MATCH($B65,元データ_14項目!$D$1:$Q$1,0)),元データ_14項目!$A$2:$A$1300,$A65,元データ_14項目!$B$2:$B$1300,"本年",元データ_14項目!$C$2:$C$1300,G$5)</f>
        <v>217</v>
      </c>
      <c r="H65" s="26">
        <f>SUMIFS(INDEX(元データ_14項目!$D$2:$Q$1300,0,MATCH($B65,元データ_14項目!$D$1:$Q$1,0)),元データ_14項目!$A$2:$A$1300,$A65,元データ_14項目!$B$2:$B$1300,"本年",元データ_14項目!$C$2:$C$1300,H$5)</f>
        <v>169</v>
      </c>
      <c r="I65" s="26">
        <f>SUMIFS(INDEX(元データ_14項目!$D$2:$Q$1300,0,MATCH($B65,元データ_14項目!$D$1:$Q$1,0)),元データ_14項目!$A$2:$A$1300,$A65,元データ_14項目!$B$2:$B$1300,"本年",元データ_14項目!$C$2:$C$1300,I$5)</f>
        <v>100</v>
      </c>
      <c r="J65" s="26">
        <f>SUMIFS(INDEX(元データ_14項目!$D$2:$Q$1300,0,MATCH($B65,元データ_14項目!$D$1:$Q$1,0)),元データ_14項目!$A$2:$A$1300,$A65,元データ_14項目!$B$2:$B$1300,"本年",元データ_14項目!$C$2:$C$1300,J$5)</f>
        <v>204</v>
      </c>
      <c r="K65" s="26">
        <f>SUMIFS(INDEX(元データ_14項目!$D$2:$Q$1300,0,MATCH($B65,元データ_14項目!$D$1:$Q$1,0)),元データ_14項目!$A$2:$A$1300,$A65,元データ_14項目!$B$2:$B$1300,"本年",元データ_14項目!$C$2:$C$1300,K$5)</f>
        <v>285</v>
      </c>
      <c r="L65" s="26">
        <f>SUMIFS(INDEX(元データ_14項目!$D$2:$Q$1300,0,MATCH($B65,元データ_14項目!$D$1:$Q$1,0)),元データ_14項目!$A$2:$A$1300,$A65,元データ_14項目!$B$2:$B$1300,"本年",元データ_14項目!$C$2:$C$1300,L$5)</f>
        <v>155</v>
      </c>
      <c r="M65" s="26">
        <f>SUMIFS(INDEX(元データ_14項目!$D$2:$Q$1300,0,MATCH($B65,元データ_14項目!$D$1:$Q$1,0)),元データ_14項目!$A$2:$A$1300,$A65,元データ_14項目!$B$2:$B$1300,"本年",元データ_14項目!$C$2:$C$1300,M$5)</f>
        <v>138</v>
      </c>
      <c r="N65" s="26">
        <f>SUMIFS(INDEX(元データ_14項目!$D$2:$Q$1300,0,MATCH($B65,元データ_14項目!$D$1:$Q$1,0)),元データ_14項目!$A$2:$A$1300,$A65,元データ_14項目!$B$2:$B$1300,"本年",元データ_14項目!$C$2:$C$1300,N$5)</f>
        <v>87</v>
      </c>
      <c r="O65" s="26">
        <f t="shared" si="0"/>
        <v>1641</v>
      </c>
      <c r="P65" s="26">
        <f>SUMIFS(INDEX(元データ_14項目!$D$2:$Q$1300,0,MATCH($B65,元データ_14項目!$D$1:$Q$1,0)),元データ_14項目!$A$2:$A$1300,$A65,元データ_14項目!$B$2:$B$1300,"前年")</f>
        <v>1670</v>
      </c>
      <c r="Q65" s="7">
        <f t="shared" si="1"/>
        <v>0.98263473053892214</v>
      </c>
    </row>
    <row r="66" spans="1:17" x14ac:dyDescent="0.45">
      <c r="A66" t="s">
        <v>39</v>
      </c>
      <c r="B66" t="s">
        <v>91</v>
      </c>
      <c r="C66" s="26">
        <f>SUMIFS(INDEX(元データ_14項目!$D$2:$Q$1300,0,MATCH($B66,元データ_14項目!$D$1:$Q$1,0)),元データ_14項目!$A$2:$A$1300,$A66,元データ_14項目!$B$2:$B$1300,"本年",元データ_14項目!$C$2:$C$1300,C$5)</f>
        <v>30</v>
      </c>
      <c r="D66" s="26">
        <f>SUMIFS(INDEX(元データ_14項目!$D$2:$Q$1300,0,MATCH($B66,元データ_14項目!$D$1:$Q$1,0)),元データ_14項目!$A$2:$A$1300,$A66,元データ_14項目!$B$2:$B$1300,"本年",元データ_14項目!$C$2:$C$1300,D$5)</f>
        <v>48</v>
      </c>
      <c r="E66" s="26">
        <f>SUMIFS(INDEX(元データ_14項目!$D$2:$Q$1300,0,MATCH($B66,元データ_14項目!$D$1:$Q$1,0)),元データ_14項目!$A$2:$A$1300,$A66,元データ_14項目!$B$2:$B$1300,"本年",元データ_14項目!$C$2:$C$1300,E$5)</f>
        <v>117</v>
      </c>
      <c r="F66" s="26">
        <f>SUMIFS(INDEX(元データ_14項目!$D$2:$Q$1300,0,MATCH($B66,元データ_14項目!$D$1:$Q$1,0)),元データ_14項目!$A$2:$A$1300,$A66,元データ_14項目!$B$2:$B$1300,"本年",元データ_14項目!$C$2:$C$1300,F$5)</f>
        <v>65</v>
      </c>
      <c r="G66" s="26">
        <f>SUMIFS(INDEX(元データ_14項目!$D$2:$Q$1300,0,MATCH($B66,元データ_14項目!$D$1:$Q$1,0)),元データ_14項目!$A$2:$A$1300,$A66,元データ_14項目!$B$2:$B$1300,"本年",元データ_14項目!$C$2:$C$1300,G$5)</f>
        <v>46</v>
      </c>
      <c r="H66" s="26">
        <f>SUMIFS(INDEX(元データ_14項目!$D$2:$Q$1300,0,MATCH($B66,元データ_14項目!$D$1:$Q$1,0)),元データ_14項目!$A$2:$A$1300,$A66,元データ_14項目!$B$2:$B$1300,"本年",元データ_14項目!$C$2:$C$1300,H$5)</f>
        <v>13</v>
      </c>
      <c r="I66" s="26">
        <f>SUMIFS(INDEX(元データ_14項目!$D$2:$Q$1300,0,MATCH($B66,元データ_14項目!$D$1:$Q$1,0)),元データ_14項目!$A$2:$A$1300,$A66,元データ_14項目!$B$2:$B$1300,"本年",元データ_14項目!$C$2:$C$1300,I$5)</f>
        <v>30</v>
      </c>
      <c r="J66" s="26">
        <f>SUMIFS(INDEX(元データ_14項目!$D$2:$Q$1300,0,MATCH($B66,元データ_14項目!$D$1:$Q$1,0)),元データ_14項目!$A$2:$A$1300,$A66,元データ_14項目!$B$2:$B$1300,"本年",元データ_14項目!$C$2:$C$1300,J$5)</f>
        <v>24</v>
      </c>
      <c r="K66" s="26">
        <f>SUMIFS(INDEX(元データ_14項目!$D$2:$Q$1300,0,MATCH($B66,元データ_14項目!$D$1:$Q$1,0)),元データ_14項目!$A$2:$A$1300,$A66,元データ_14項目!$B$2:$B$1300,"本年",元データ_14項目!$C$2:$C$1300,K$5)</f>
        <v>62</v>
      </c>
      <c r="L66" s="26">
        <f>SUMIFS(INDEX(元データ_14項目!$D$2:$Q$1300,0,MATCH($B66,元データ_14項目!$D$1:$Q$1,0)),元データ_14項目!$A$2:$A$1300,$A66,元データ_14項目!$B$2:$B$1300,"本年",元データ_14項目!$C$2:$C$1300,L$5)</f>
        <v>68</v>
      </c>
      <c r="M66" s="26">
        <f>SUMIFS(INDEX(元データ_14項目!$D$2:$Q$1300,0,MATCH($B66,元データ_14項目!$D$1:$Q$1,0)),元データ_14項目!$A$2:$A$1300,$A66,元データ_14項目!$B$2:$B$1300,"本年",元データ_14項目!$C$2:$C$1300,M$5)</f>
        <v>114</v>
      </c>
      <c r="N66" s="26">
        <f>SUMIFS(INDEX(元データ_14項目!$D$2:$Q$1300,0,MATCH($B66,元データ_14項目!$D$1:$Q$1,0)),元データ_14項目!$A$2:$A$1300,$A66,元データ_14項目!$B$2:$B$1300,"本年",元データ_14項目!$C$2:$C$1300,N$5)</f>
        <v>55</v>
      </c>
      <c r="O66" s="26">
        <f t="shared" si="0"/>
        <v>672</v>
      </c>
      <c r="P66" s="26">
        <f>SUMIFS(INDEX(元データ_14項目!$D$2:$Q$1300,0,MATCH($B66,元データ_14項目!$D$1:$Q$1,0)),元データ_14項目!$A$2:$A$1300,$A66,元データ_14項目!$B$2:$B$1300,"前年")</f>
        <v>685</v>
      </c>
      <c r="Q66" s="7">
        <f t="shared" si="1"/>
        <v>0.98102189781021898</v>
      </c>
    </row>
    <row r="67" spans="1:17" x14ac:dyDescent="0.45">
      <c r="A67" t="s">
        <v>39</v>
      </c>
      <c r="B67" t="s">
        <v>28</v>
      </c>
      <c r="C67" s="26">
        <f>SUMIFS(INDEX(元データ_14項目!$D$2:$Q$1300,0,MATCH($B67,元データ_14項目!$D$1:$Q$1,0)),元データ_14項目!$A$2:$A$1300,$A67,元データ_14項目!$B$2:$B$1300,"本年",元データ_14項目!$C$2:$C$1300,C$5)</f>
        <v>257</v>
      </c>
      <c r="D67" s="26">
        <f>SUMIFS(INDEX(元データ_14項目!$D$2:$Q$1300,0,MATCH($B67,元データ_14項目!$D$1:$Q$1,0)),元データ_14項目!$A$2:$A$1300,$A67,元データ_14項目!$B$2:$B$1300,"本年",元データ_14項目!$C$2:$C$1300,D$5)</f>
        <v>315</v>
      </c>
      <c r="E67" s="26">
        <f>SUMIFS(INDEX(元データ_14項目!$D$2:$Q$1300,0,MATCH($B67,元データ_14項目!$D$1:$Q$1,0)),元データ_14項目!$A$2:$A$1300,$A67,元データ_14項目!$B$2:$B$1300,"本年",元データ_14項目!$C$2:$C$1300,E$5)</f>
        <v>406</v>
      </c>
      <c r="F67" s="26">
        <f>SUMIFS(INDEX(元データ_14項目!$D$2:$Q$1300,0,MATCH($B67,元データ_14項目!$D$1:$Q$1,0)),元データ_14項目!$A$2:$A$1300,$A67,元データ_14項目!$B$2:$B$1300,"本年",元データ_14項目!$C$2:$C$1300,F$5)</f>
        <v>296</v>
      </c>
      <c r="G67" s="26">
        <f>SUMIFS(INDEX(元データ_14項目!$D$2:$Q$1300,0,MATCH($B67,元データ_14項目!$D$1:$Q$1,0)),元データ_14項目!$A$2:$A$1300,$A67,元データ_14項目!$B$2:$B$1300,"本年",元データ_14項目!$C$2:$C$1300,G$5)</f>
        <v>258</v>
      </c>
      <c r="H67" s="26">
        <f>SUMIFS(INDEX(元データ_14項目!$D$2:$Q$1300,0,MATCH($B67,元データ_14項目!$D$1:$Q$1,0)),元データ_14項目!$A$2:$A$1300,$A67,元データ_14項目!$B$2:$B$1300,"本年",元データ_14項目!$C$2:$C$1300,H$5)</f>
        <v>146</v>
      </c>
      <c r="I67" s="26">
        <f>SUMIFS(INDEX(元データ_14項目!$D$2:$Q$1300,0,MATCH($B67,元データ_14項目!$D$1:$Q$1,0)),元データ_14項目!$A$2:$A$1300,$A67,元データ_14項目!$B$2:$B$1300,"本年",元データ_14項目!$C$2:$C$1300,I$5)</f>
        <v>131</v>
      </c>
      <c r="J67" s="26">
        <f>SUMIFS(INDEX(元データ_14項目!$D$2:$Q$1300,0,MATCH($B67,元データ_14項目!$D$1:$Q$1,0)),元データ_14項目!$A$2:$A$1300,$A67,元データ_14項目!$B$2:$B$1300,"本年",元データ_14項目!$C$2:$C$1300,J$5)</f>
        <v>184</v>
      </c>
      <c r="K67" s="26">
        <f>SUMIFS(INDEX(元データ_14項目!$D$2:$Q$1300,0,MATCH($B67,元データ_14項目!$D$1:$Q$1,0)),元データ_14項目!$A$2:$A$1300,$A67,元データ_14項目!$B$2:$B$1300,"本年",元データ_14項目!$C$2:$C$1300,K$5)</f>
        <v>236</v>
      </c>
      <c r="L67" s="26">
        <f>SUMIFS(INDEX(元データ_14項目!$D$2:$Q$1300,0,MATCH($B67,元データ_14項目!$D$1:$Q$1,0)),元データ_14項目!$A$2:$A$1300,$A67,元データ_14項目!$B$2:$B$1300,"本年",元データ_14項目!$C$2:$C$1300,L$5)</f>
        <v>243</v>
      </c>
      <c r="M67" s="26">
        <f>SUMIFS(INDEX(元データ_14項目!$D$2:$Q$1300,0,MATCH($B67,元データ_14項目!$D$1:$Q$1,0)),元データ_14項目!$A$2:$A$1300,$A67,元データ_14項目!$B$2:$B$1300,"本年",元データ_14項目!$C$2:$C$1300,M$5)</f>
        <v>295</v>
      </c>
      <c r="N67" s="26">
        <f>SUMIFS(INDEX(元データ_14項目!$D$2:$Q$1300,0,MATCH($B67,元データ_14項目!$D$1:$Q$1,0)),元データ_14項目!$A$2:$A$1300,$A67,元データ_14項目!$B$2:$B$1300,"本年",元データ_14項目!$C$2:$C$1300,N$5)</f>
        <v>311</v>
      </c>
      <c r="O67" s="26">
        <f t="shared" si="0"/>
        <v>3078</v>
      </c>
      <c r="P67" s="26">
        <f>SUMIFS(INDEX(元データ_14項目!$D$2:$Q$1300,0,MATCH($B67,元データ_14項目!$D$1:$Q$1,0)),元データ_14項目!$A$2:$A$1300,$A67,元データ_14項目!$B$2:$B$1300,"前年")</f>
        <v>3354</v>
      </c>
      <c r="Q67" s="7">
        <f t="shared" si="1"/>
        <v>0.91771019677996424</v>
      </c>
    </row>
    <row r="68" spans="1:17" x14ac:dyDescent="0.45">
      <c r="A68" t="s">
        <v>39</v>
      </c>
      <c r="B68" t="s">
        <v>92</v>
      </c>
      <c r="C68" s="26">
        <f>SUMIFS(INDEX(元データ_14項目!$D$2:$Q$1300,0,MATCH($B68,元データ_14項目!$D$1:$Q$1,0)),元データ_14項目!$A$2:$A$1300,$A68,元データ_14項目!$B$2:$B$1300,"本年",元データ_14項目!$C$2:$C$1300,C$5)</f>
        <v>29</v>
      </c>
      <c r="D68" s="26">
        <f>SUMIFS(INDEX(元データ_14項目!$D$2:$Q$1300,0,MATCH($B68,元データ_14項目!$D$1:$Q$1,0)),元データ_14項目!$A$2:$A$1300,$A68,元データ_14項目!$B$2:$B$1300,"本年",元データ_14項目!$C$2:$C$1300,D$5)</f>
        <v>29</v>
      </c>
      <c r="E68" s="26">
        <f>SUMIFS(INDEX(元データ_14項目!$D$2:$Q$1300,0,MATCH($B68,元データ_14項目!$D$1:$Q$1,0)),元データ_14項目!$A$2:$A$1300,$A68,元データ_14項目!$B$2:$B$1300,"本年",元データ_14項目!$C$2:$C$1300,E$5)</f>
        <v>40</v>
      </c>
      <c r="F68" s="26">
        <f>SUMIFS(INDEX(元データ_14項目!$D$2:$Q$1300,0,MATCH($B68,元データ_14項目!$D$1:$Q$1,0)),元データ_14項目!$A$2:$A$1300,$A68,元データ_14項目!$B$2:$B$1300,"本年",元データ_14項目!$C$2:$C$1300,F$5)</f>
        <v>46</v>
      </c>
      <c r="G68" s="26">
        <f>SUMIFS(INDEX(元データ_14項目!$D$2:$Q$1300,0,MATCH($B68,元データ_14項目!$D$1:$Q$1,0)),元データ_14項目!$A$2:$A$1300,$A68,元データ_14項目!$B$2:$B$1300,"本年",元データ_14項目!$C$2:$C$1300,G$5)</f>
        <v>37</v>
      </c>
      <c r="H68" s="26">
        <f>SUMIFS(INDEX(元データ_14項目!$D$2:$Q$1300,0,MATCH($B68,元データ_14項目!$D$1:$Q$1,0)),元データ_14項目!$A$2:$A$1300,$A68,元データ_14項目!$B$2:$B$1300,"本年",元データ_14項目!$C$2:$C$1300,H$5)</f>
        <v>16</v>
      </c>
      <c r="I68" s="26">
        <f>SUMIFS(INDEX(元データ_14項目!$D$2:$Q$1300,0,MATCH($B68,元データ_14項目!$D$1:$Q$1,0)),元データ_14項目!$A$2:$A$1300,$A68,元データ_14項目!$B$2:$B$1300,"本年",元データ_14項目!$C$2:$C$1300,I$5)</f>
        <v>13</v>
      </c>
      <c r="J68" s="26">
        <f>SUMIFS(INDEX(元データ_14項目!$D$2:$Q$1300,0,MATCH($B68,元データ_14項目!$D$1:$Q$1,0)),元データ_14項目!$A$2:$A$1300,$A68,元データ_14項目!$B$2:$B$1300,"本年",元データ_14項目!$C$2:$C$1300,J$5)</f>
        <v>33</v>
      </c>
      <c r="K68" s="26">
        <f>SUMIFS(INDEX(元データ_14項目!$D$2:$Q$1300,0,MATCH($B68,元データ_14項目!$D$1:$Q$1,0)),元データ_14項目!$A$2:$A$1300,$A68,元データ_14項目!$B$2:$B$1300,"本年",元データ_14項目!$C$2:$C$1300,K$5)</f>
        <v>87</v>
      </c>
      <c r="L68" s="26">
        <f>SUMIFS(INDEX(元データ_14項目!$D$2:$Q$1300,0,MATCH($B68,元データ_14項目!$D$1:$Q$1,0)),元データ_14項目!$A$2:$A$1300,$A68,元データ_14項目!$B$2:$B$1300,"本年",元データ_14項目!$C$2:$C$1300,L$5)</f>
        <v>61</v>
      </c>
      <c r="M68" s="26">
        <f>SUMIFS(INDEX(元データ_14項目!$D$2:$Q$1300,0,MATCH($B68,元データ_14項目!$D$1:$Q$1,0)),元データ_14項目!$A$2:$A$1300,$A68,元データ_14項目!$B$2:$B$1300,"本年",元データ_14項目!$C$2:$C$1300,M$5)</f>
        <v>28</v>
      </c>
      <c r="N68" s="26">
        <f>SUMIFS(INDEX(元データ_14項目!$D$2:$Q$1300,0,MATCH($B68,元データ_14項目!$D$1:$Q$1,0)),元データ_14項目!$A$2:$A$1300,$A68,元データ_14項目!$B$2:$B$1300,"本年",元データ_14項目!$C$2:$C$1300,N$5)</f>
        <v>22</v>
      </c>
      <c r="O68" s="26">
        <f t="shared" si="0"/>
        <v>441</v>
      </c>
      <c r="P68" s="26">
        <f>SUMIFS(INDEX(元データ_14項目!$D$2:$Q$1300,0,MATCH($B68,元データ_14項目!$D$1:$Q$1,0)),元データ_14項目!$A$2:$A$1300,$A68,元データ_14項目!$B$2:$B$1300,"前年")</f>
        <v>495</v>
      </c>
      <c r="Q68" s="7">
        <f t="shared" si="1"/>
        <v>0.89090909090909087</v>
      </c>
    </row>
    <row r="69" spans="1:17" x14ac:dyDescent="0.45">
      <c r="A69" t="s">
        <v>39</v>
      </c>
      <c r="B69" t="s">
        <v>93</v>
      </c>
      <c r="C69" s="26">
        <f>SUMIFS(INDEX(元データ_14項目!$D$2:$Q$1300,0,MATCH($B69,元データ_14項目!$D$1:$Q$1,0)),元データ_14項目!$A$2:$A$1300,$A69,元データ_14項目!$B$2:$B$1300,"本年",元データ_14項目!$C$2:$C$1300,C$5)</f>
        <v>12</v>
      </c>
      <c r="D69" s="26">
        <f>SUMIFS(INDEX(元データ_14項目!$D$2:$Q$1300,0,MATCH($B69,元データ_14項目!$D$1:$Q$1,0)),元データ_14項目!$A$2:$A$1300,$A69,元データ_14項目!$B$2:$B$1300,"本年",元データ_14項目!$C$2:$C$1300,D$5)</f>
        <v>9</v>
      </c>
      <c r="E69" s="26">
        <f>SUMIFS(INDEX(元データ_14項目!$D$2:$Q$1300,0,MATCH($B69,元データ_14項目!$D$1:$Q$1,0)),元データ_14項目!$A$2:$A$1300,$A69,元データ_14項目!$B$2:$B$1300,"本年",元データ_14項目!$C$2:$C$1300,E$5)</f>
        <v>42</v>
      </c>
      <c r="F69" s="26">
        <f>SUMIFS(INDEX(元データ_14項目!$D$2:$Q$1300,0,MATCH($B69,元データ_14項目!$D$1:$Q$1,0)),元データ_14項目!$A$2:$A$1300,$A69,元データ_14項目!$B$2:$B$1300,"本年",元データ_14項目!$C$2:$C$1300,F$5)</f>
        <v>54</v>
      </c>
      <c r="G69" s="26">
        <f>SUMIFS(INDEX(元データ_14項目!$D$2:$Q$1300,0,MATCH($B69,元データ_14項目!$D$1:$Q$1,0)),元データ_14項目!$A$2:$A$1300,$A69,元データ_14項目!$B$2:$B$1300,"本年",元データ_14項目!$C$2:$C$1300,G$5)</f>
        <v>110</v>
      </c>
      <c r="H69" s="26">
        <f>SUMIFS(INDEX(元データ_14項目!$D$2:$Q$1300,0,MATCH($B69,元データ_14項目!$D$1:$Q$1,0)),元データ_14項目!$A$2:$A$1300,$A69,元データ_14項目!$B$2:$B$1300,"本年",元データ_14項目!$C$2:$C$1300,H$5)</f>
        <v>70</v>
      </c>
      <c r="I69" s="26">
        <f>SUMIFS(INDEX(元データ_14項目!$D$2:$Q$1300,0,MATCH($B69,元データ_14項目!$D$1:$Q$1,0)),元データ_14項目!$A$2:$A$1300,$A69,元データ_14項目!$B$2:$B$1300,"本年",元データ_14項目!$C$2:$C$1300,I$5)</f>
        <v>58</v>
      </c>
      <c r="J69" s="26">
        <f>SUMIFS(INDEX(元データ_14項目!$D$2:$Q$1300,0,MATCH($B69,元データ_14項目!$D$1:$Q$1,0)),元データ_14項目!$A$2:$A$1300,$A69,元データ_14項目!$B$2:$B$1300,"本年",元データ_14項目!$C$2:$C$1300,J$5)</f>
        <v>129</v>
      </c>
      <c r="K69" s="26">
        <f>SUMIFS(INDEX(元データ_14項目!$D$2:$Q$1300,0,MATCH($B69,元データ_14項目!$D$1:$Q$1,0)),元データ_14項目!$A$2:$A$1300,$A69,元データ_14項目!$B$2:$B$1300,"本年",元データ_14項目!$C$2:$C$1300,K$5)</f>
        <v>367</v>
      </c>
      <c r="L69" s="26">
        <f>SUMIFS(INDEX(元データ_14項目!$D$2:$Q$1300,0,MATCH($B69,元データ_14項目!$D$1:$Q$1,0)),元データ_14項目!$A$2:$A$1300,$A69,元データ_14項目!$B$2:$B$1300,"本年",元データ_14項目!$C$2:$C$1300,L$5)</f>
        <v>207</v>
      </c>
      <c r="M69" s="26">
        <f>SUMIFS(INDEX(元データ_14項目!$D$2:$Q$1300,0,MATCH($B69,元データ_14項目!$D$1:$Q$1,0)),元データ_14項目!$A$2:$A$1300,$A69,元データ_14項目!$B$2:$B$1300,"本年",元データ_14項目!$C$2:$C$1300,M$5)</f>
        <v>77</v>
      </c>
      <c r="N69" s="26">
        <f>SUMIFS(INDEX(元データ_14項目!$D$2:$Q$1300,0,MATCH($B69,元データ_14項目!$D$1:$Q$1,0)),元データ_14項目!$A$2:$A$1300,$A69,元データ_14項目!$B$2:$B$1300,"本年",元データ_14項目!$C$2:$C$1300,N$5)</f>
        <v>58</v>
      </c>
      <c r="O69" s="26">
        <f t="shared" si="0"/>
        <v>1193</v>
      </c>
      <c r="P69" s="26">
        <f>SUMIFS(INDEX(元データ_14項目!$D$2:$Q$1300,0,MATCH($B69,元データ_14項目!$D$1:$Q$1,0)),元データ_14項目!$A$2:$A$1300,$A69,元データ_14項目!$B$2:$B$1300,"前年")</f>
        <v>1336</v>
      </c>
      <c r="Q69" s="7">
        <f t="shared" si="1"/>
        <v>0.89296407185628746</v>
      </c>
    </row>
    <row r="70" spans="1:17" x14ac:dyDescent="0.45">
      <c r="A70" t="s">
        <v>39</v>
      </c>
      <c r="B70" t="s">
        <v>94</v>
      </c>
      <c r="C70" s="26">
        <f>SUMIFS(INDEX(元データ_14項目!$D$2:$Q$1300,0,MATCH($B70,元データ_14項目!$D$1:$Q$1,0)),元データ_14項目!$A$2:$A$1300,$A70,元データ_14項目!$B$2:$B$1300,"本年",元データ_14項目!$C$2:$C$1300,C$5)</f>
        <v>15</v>
      </c>
      <c r="D70" s="26">
        <f>SUMIFS(INDEX(元データ_14項目!$D$2:$Q$1300,0,MATCH($B70,元データ_14項目!$D$1:$Q$1,0)),元データ_14項目!$A$2:$A$1300,$A70,元データ_14項目!$B$2:$B$1300,"本年",元データ_14項目!$C$2:$C$1300,D$5)</f>
        <v>5</v>
      </c>
      <c r="E70" s="26">
        <f>SUMIFS(INDEX(元データ_14項目!$D$2:$Q$1300,0,MATCH($B70,元データ_14項目!$D$1:$Q$1,0)),元データ_14項目!$A$2:$A$1300,$A70,元データ_14項目!$B$2:$B$1300,"本年",元データ_14項目!$C$2:$C$1300,E$5)</f>
        <v>37</v>
      </c>
      <c r="F70" s="26">
        <f>SUMIFS(INDEX(元データ_14項目!$D$2:$Q$1300,0,MATCH($B70,元データ_14項目!$D$1:$Q$1,0)),元データ_14項目!$A$2:$A$1300,$A70,元データ_14項目!$B$2:$B$1300,"本年",元データ_14項目!$C$2:$C$1300,F$5)</f>
        <v>33</v>
      </c>
      <c r="G70" s="26">
        <f>SUMIFS(INDEX(元データ_14項目!$D$2:$Q$1300,0,MATCH($B70,元データ_14項目!$D$1:$Q$1,0)),元データ_14項目!$A$2:$A$1300,$A70,元データ_14項目!$B$2:$B$1300,"本年",元データ_14項目!$C$2:$C$1300,G$5)</f>
        <v>45</v>
      </c>
      <c r="H70" s="26">
        <f>SUMIFS(INDEX(元データ_14項目!$D$2:$Q$1300,0,MATCH($B70,元データ_14項目!$D$1:$Q$1,0)),元データ_14項目!$A$2:$A$1300,$A70,元データ_14項目!$B$2:$B$1300,"本年",元データ_14項目!$C$2:$C$1300,H$5)</f>
        <v>15</v>
      </c>
      <c r="I70" s="26">
        <f>SUMIFS(INDEX(元データ_14項目!$D$2:$Q$1300,0,MATCH($B70,元データ_14項目!$D$1:$Q$1,0)),元データ_14項目!$A$2:$A$1300,$A70,元データ_14項目!$B$2:$B$1300,"本年",元データ_14項目!$C$2:$C$1300,I$5)</f>
        <v>19</v>
      </c>
      <c r="J70" s="26">
        <f>SUMIFS(INDEX(元データ_14項目!$D$2:$Q$1300,0,MATCH($B70,元データ_14項目!$D$1:$Q$1,0)),元データ_14項目!$A$2:$A$1300,$A70,元データ_14項目!$B$2:$B$1300,"本年",元データ_14項目!$C$2:$C$1300,J$5)</f>
        <v>29</v>
      </c>
      <c r="K70" s="26">
        <f>SUMIFS(INDEX(元データ_14項目!$D$2:$Q$1300,0,MATCH($B70,元データ_14項目!$D$1:$Q$1,0)),元データ_14項目!$A$2:$A$1300,$A70,元データ_14項目!$B$2:$B$1300,"本年",元データ_14項目!$C$2:$C$1300,K$5)</f>
        <v>130</v>
      </c>
      <c r="L70" s="26">
        <f>SUMIFS(INDEX(元データ_14項目!$D$2:$Q$1300,0,MATCH($B70,元データ_14項目!$D$1:$Q$1,0)),元データ_14項目!$A$2:$A$1300,$A70,元データ_14項目!$B$2:$B$1300,"本年",元データ_14項目!$C$2:$C$1300,L$5)</f>
        <v>78</v>
      </c>
      <c r="M70" s="26">
        <f>SUMIFS(INDEX(元データ_14項目!$D$2:$Q$1300,0,MATCH($B70,元データ_14項目!$D$1:$Q$1,0)),元データ_14項目!$A$2:$A$1300,$A70,元データ_14項目!$B$2:$B$1300,"本年",元データ_14項目!$C$2:$C$1300,M$5)</f>
        <v>59</v>
      </c>
      <c r="N70" s="26">
        <f>SUMIFS(INDEX(元データ_14項目!$D$2:$Q$1300,0,MATCH($B70,元データ_14項目!$D$1:$Q$1,0)),元データ_14項目!$A$2:$A$1300,$A70,元データ_14項目!$B$2:$B$1300,"本年",元データ_14項目!$C$2:$C$1300,N$5)</f>
        <v>49</v>
      </c>
      <c r="O70" s="26">
        <f t="shared" si="0"/>
        <v>514</v>
      </c>
      <c r="P70" s="26">
        <f>SUMIFS(INDEX(元データ_14項目!$D$2:$Q$1300,0,MATCH($B70,元データ_14項目!$D$1:$Q$1,0)),元データ_14項目!$A$2:$A$1300,$A70,元データ_14項目!$B$2:$B$1300,"前年")</f>
        <v>664</v>
      </c>
      <c r="Q70" s="7">
        <f t="shared" si="1"/>
        <v>0.77409638554216864</v>
      </c>
    </row>
    <row r="71" spans="1:17" x14ac:dyDescent="0.45">
      <c r="A71" t="s">
        <v>39</v>
      </c>
      <c r="B71" t="s">
        <v>95</v>
      </c>
      <c r="C71" s="26">
        <f>SUMIFS(INDEX(元データ_14項目!$D$2:$Q$1300,0,MATCH($B71,元データ_14項目!$D$1:$Q$1,0)),元データ_14項目!$A$2:$A$1300,$A71,元データ_14項目!$B$2:$B$1300,"本年",元データ_14項目!$C$2:$C$1300,C$5)</f>
        <v>20</v>
      </c>
      <c r="D71" s="26">
        <f>SUMIFS(INDEX(元データ_14項目!$D$2:$Q$1300,0,MATCH($B71,元データ_14項目!$D$1:$Q$1,0)),元データ_14項目!$A$2:$A$1300,$A71,元データ_14項目!$B$2:$B$1300,"本年",元データ_14項目!$C$2:$C$1300,D$5)</f>
        <v>34</v>
      </c>
      <c r="E71" s="26">
        <f>SUMIFS(INDEX(元データ_14項目!$D$2:$Q$1300,0,MATCH($B71,元データ_14項目!$D$1:$Q$1,0)),元データ_14項目!$A$2:$A$1300,$A71,元データ_14項目!$B$2:$B$1300,"本年",元データ_14項目!$C$2:$C$1300,E$5)</f>
        <v>40</v>
      </c>
      <c r="F71" s="26">
        <f>SUMIFS(INDEX(元データ_14項目!$D$2:$Q$1300,0,MATCH($B71,元データ_14項目!$D$1:$Q$1,0)),元データ_14項目!$A$2:$A$1300,$A71,元データ_14項目!$B$2:$B$1300,"本年",元データ_14項目!$C$2:$C$1300,F$5)</f>
        <v>31</v>
      </c>
      <c r="G71" s="26">
        <f>SUMIFS(INDEX(元データ_14項目!$D$2:$Q$1300,0,MATCH($B71,元データ_14項目!$D$1:$Q$1,0)),元データ_14項目!$A$2:$A$1300,$A71,元データ_14項目!$B$2:$B$1300,"本年",元データ_14項目!$C$2:$C$1300,G$5)</f>
        <v>47</v>
      </c>
      <c r="H71" s="26">
        <f>SUMIFS(INDEX(元データ_14項目!$D$2:$Q$1300,0,MATCH($B71,元データ_14項目!$D$1:$Q$1,0)),元データ_14項目!$A$2:$A$1300,$A71,元データ_14項目!$B$2:$B$1300,"本年",元データ_14項目!$C$2:$C$1300,H$5)</f>
        <v>22</v>
      </c>
      <c r="I71" s="26">
        <f>SUMIFS(INDEX(元データ_14項目!$D$2:$Q$1300,0,MATCH($B71,元データ_14項目!$D$1:$Q$1,0)),元データ_14項目!$A$2:$A$1300,$A71,元データ_14項目!$B$2:$B$1300,"本年",元データ_14項目!$C$2:$C$1300,I$5)</f>
        <v>20</v>
      </c>
      <c r="J71" s="26">
        <f>SUMIFS(INDEX(元データ_14項目!$D$2:$Q$1300,0,MATCH($B71,元データ_14項目!$D$1:$Q$1,0)),元データ_14項目!$A$2:$A$1300,$A71,元データ_14項目!$B$2:$B$1300,"本年",元データ_14項目!$C$2:$C$1300,J$5)</f>
        <v>36</v>
      </c>
      <c r="K71" s="26">
        <f>SUMIFS(INDEX(元データ_14項目!$D$2:$Q$1300,0,MATCH($B71,元データ_14項目!$D$1:$Q$1,0)),元データ_14項目!$A$2:$A$1300,$A71,元データ_14項目!$B$2:$B$1300,"本年",元データ_14項目!$C$2:$C$1300,K$5)</f>
        <v>86</v>
      </c>
      <c r="L71" s="26">
        <f>SUMIFS(INDEX(元データ_14項目!$D$2:$Q$1300,0,MATCH($B71,元データ_14項目!$D$1:$Q$1,0)),元データ_14項目!$A$2:$A$1300,$A71,元データ_14項目!$B$2:$B$1300,"本年",元データ_14項目!$C$2:$C$1300,L$5)</f>
        <v>45</v>
      </c>
      <c r="M71" s="26">
        <f>SUMIFS(INDEX(元データ_14項目!$D$2:$Q$1300,0,MATCH($B71,元データ_14項目!$D$1:$Q$1,0)),元データ_14項目!$A$2:$A$1300,$A71,元データ_14項目!$B$2:$B$1300,"本年",元データ_14項目!$C$2:$C$1300,M$5)</f>
        <v>34</v>
      </c>
      <c r="N71" s="26">
        <f>SUMIFS(INDEX(元データ_14項目!$D$2:$Q$1300,0,MATCH($B71,元データ_14項目!$D$1:$Q$1,0)),元データ_14項目!$A$2:$A$1300,$A71,元データ_14項目!$B$2:$B$1300,"本年",元データ_14項目!$C$2:$C$1300,N$5)</f>
        <v>39</v>
      </c>
      <c r="O71" s="26">
        <f t="shared" ref="O71:O134" si="2">SUM(C71:N71)</f>
        <v>454</v>
      </c>
      <c r="P71" s="26">
        <f>SUMIFS(INDEX(元データ_14項目!$D$2:$Q$1300,0,MATCH($B71,元データ_14項目!$D$1:$Q$1,0)),元データ_14項目!$A$2:$A$1300,$A71,元データ_14項目!$B$2:$B$1300,"前年")</f>
        <v>515</v>
      </c>
      <c r="Q71" s="7">
        <f t="shared" ref="Q71:Q134" si="3">IFERROR(O71/P71,"")</f>
        <v>0.88155339805825239</v>
      </c>
    </row>
    <row r="72" spans="1:17" x14ac:dyDescent="0.45">
      <c r="A72" t="s">
        <v>39</v>
      </c>
      <c r="B72" t="s">
        <v>96</v>
      </c>
      <c r="C72" s="26">
        <f>SUMIFS(INDEX(元データ_14項目!$D$2:$Q$1300,0,MATCH($B72,元データ_14項目!$D$1:$Q$1,0)),元データ_14項目!$A$2:$A$1300,$A72,元データ_14項目!$B$2:$B$1300,"本年",元データ_14項目!$C$2:$C$1300,C$5)</f>
        <v>9</v>
      </c>
      <c r="D72" s="26">
        <f>SUMIFS(INDEX(元データ_14項目!$D$2:$Q$1300,0,MATCH($B72,元データ_14項目!$D$1:$Q$1,0)),元データ_14項目!$A$2:$A$1300,$A72,元データ_14項目!$B$2:$B$1300,"本年",元データ_14項目!$C$2:$C$1300,D$5)</f>
        <v>17</v>
      </c>
      <c r="E72" s="26">
        <f>SUMIFS(INDEX(元データ_14項目!$D$2:$Q$1300,0,MATCH($B72,元データ_14項目!$D$1:$Q$1,0)),元データ_14項目!$A$2:$A$1300,$A72,元データ_14項目!$B$2:$B$1300,"本年",元データ_14項目!$C$2:$C$1300,E$5)</f>
        <v>34</v>
      </c>
      <c r="F72" s="26">
        <f>SUMIFS(INDEX(元データ_14項目!$D$2:$Q$1300,0,MATCH($B72,元データ_14項目!$D$1:$Q$1,0)),元データ_14項目!$A$2:$A$1300,$A72,元データ_14項目!$B$2:$B$1300,"本年",元データ_14項目!$C$2:$C$1300,F$5)</f>
        <v>52</v>
      </c>
      <c r="G72" s="26">
        <f>SUMIFS(INDEX(元データ_14項目!$D$2:$Q$1300,0,MATCH($B72,元データ_14項目!$D$1:$Q$1,0)),元データ_14項目!$A$2:$A$1300,$A72,元データ_14項目!$B$2:$B$1300,"本年",元データ_14項目!$C$2:$C$1300,G$5)</f>
        <v>68</v>
      </c>
      <c r="H72" s="26">
        <f>SUMIFS(INDEX(元データ_14項目!$D$2:$Q$1300,0,MATCH($B72,元データ_14項目!$D$1:$Q$1,0)),元データ_14項目!$A$2:$A$1300,$A72,元データ_14項目!$B$2:$B$1300,"本年",元データ_14項目!$C$2:$C$1300,H$5)</f>
        <v>30</v>
      </c>
      <c r="I72" s="26">
        <f>SUMIFS(INDEX(元データ_14項目!$D$2:$Q$1300,0,MATCH($B72,元データ_14項目!$D$1:$Q$1,0)),元データ_14項目!$A$2:$A$1300,$A72,元データ_14項目!$B$2:$B$1300,"本年",元データ_14項目!$C$2:$C$1300,I$5)</f>
        <v>36</v>
      </c>
      <c r="J72" s="26">
        <f>SUMIFS(INDEX(元データ_14項目!$D$2:$Q$1300,0,MATCH($B72,元データ_14項目!$D$1:$Q$1,0)),元データ_14項目!$A$2:$A$1300,$A72,元データ_14項目!$B$2:$B$1300,"本年",元データ_14項目!$C$2:$C$1300,J$5)</f>
        <v>162</v>
      </c>
      <c r="K72" s="26">
        <f>SUMIFS(INDEX(元データ_14項目!$D$2:$Q$1300,0,MATCH($B72,元データ_14項目!$D$1:$Q$1,0)),元データ_14項目!$A$2:$A$1300,$A72,元データ_14項目!$B$2:$B$1300,"本年",元データ_14項目!$C$2:$C$1300,K$5)</f>
        <v>407</v>
      </c>
      <c r="L72" s="26">
        <f>SUMIFS(INDEX(元データ_14項目!$D$2:$Q$1300,0,MATCH($B72,元データ_14項目!$D$1:$Q$1,0)),元データ_14項目!$A$2:$A$1300,$A72,元データ_14項目!$B$2:$B$1300,"本年",元データ_14項目!$C$2:$C$1300,L$5)</f>
        <v>207</v>
      </c>
      <c r="M72" s="26">
        <f>SUMIFS(INDEX(元データ_14項目!$D$2:$Q$1300,0,MATCH($B72,元データ_14項目!$D$1:$Q$1,0)),元データ_14項目!$A$2:$A$1300,$A72,元データ_14項目!$B$2:$B$1300,"本年",元データ_14項目!$C$2:$C$1300,M$5)</f>
        <v>140</v>
      </c>
      <c r="N72" s="26">
        <f>SUMIFS(INDEX(元データ_14項目!$D$2:$Q$1300,0,MATCH($B72,元データ_14項目!$D$1:$Q$1,0)),元データ_14項目!$A$2:$A$1300,$A72,元データ_14項目!$B$2:$B$1300,"本年",元データ_14項目!$C$2:$C$1300,N$5)</f>
        <v>68</v>
      </c>
      <c r="O72" s="26">
        <f t="shared" si="2"/>
        <v>1230</v>
      </c>
      <c r="P72" s="26">
        <f>SUMIFS(INDEX(元データ_14項目!$D$2:$Q$1300,0,MATCH($B72,元データ_14項目!$D$1:$Q$1,0)),元データ_14項目!$A$2:$A$1300,$A72,元データ_14項目!$B$2:$B$1300,"前年")</f>
        <v>1386</v>
      </c>
      <c r="Q72" s="7">
        <f t="shared" si="3"/>
        <v>0.88744588744588748</v>
      </c>
    </row>
    <row r="73" spans="1:17" x14ac:dyDescent="0.45">
      <c r="A73" t="s">
        <v>39</v>
      </c>
      <c r="B73" t="s">
        <v>97</v>
      </c>
      <c r="C73" s="26">
        <f>SUMIFS(INDEX(元データ_14項目!$D$2:$Q$1300,0,MATCH($B73,元データ_14項目!$D$1:$Q$1,0)),元データ_14項目!$A$2:$A$1300,$A73,元データ_14項目!$B$2:$B$1300,"本年",元データ_14項目!$C$2:$C$1300,C$5)</f>
        <v>10</v>
      </c>
      <c r="D73" s="26">
        <f>SUMIFS(INDEX(元データ_14項目!$D$2:$Q$1300,0,MATCH($B73,元データ_14項目!$D$1:$Q$1,0)),元データ_14項目!$A$2:$A$1300,$A73,元データ_14項目!$B$2:$B$1300,"本年",元データ_14項目!$C$2:$C$1300,D$5)</f>
        <v>23</v>
      </c>
      <c r="E73" s="26">
        <f>SUMIFS(INDEX(元データ_14項目!$D$2:$Q$1300,0,MATCH($B73,元データ_14項目!$D$1:$Q$1,0)),元データ_14項目!$A$2:$A$1300,$A73,元データ_14項目!$B$2:$B$1300,"本年",元データ_14項目!$C$2:$C$1300,E$5)</f>
        <v>21</v>
      </c>
      <c r="F73" s="26">
        <f>SUMIFS(INDEX(元データ_14項目!$D$2:$Q$1300,0,MATCH($B73,元データ_14項目!$D$1:$Q$1,0)),元データ_14項目!$A$2:$A$1300,$A73,元データ_14項目!$B$2:$B$1300,"本年",元データ_14項目!$C$2:$C$1300,F$5)</f>
        <v>37</v>
      </c>
      <c r="G73" s="26">
        <f>SUMIFS(INDEX(元データ_14項目!$D$2:$Q$1300,0,MATCH($B73,元データ_14項目!$D$1:$Q$1,0)),元データ_14項目!$A$2:$A$1300,$A73,元データ_14項目!$B$2:$B$1300,"本年",元データ_14項目!$C$2:$C$1300,G$5)</f>
        <v>56</v>
      </c>
      <c r="H73" s="26">
        <f>SUMIFS(INDEX(元データ_14項目!$D$2:$Q$1300,0,MATCH($B73,元データ_14項目!$D$1:$Q$1,0)),元データ_14項目!$A$2:$A$1300,$A73,元データ_14項目!$B$2:$B$1300,"本年",元データ_14項目!$C$2:$C$1300,H$5)</f>
        <v>30</v>
      </c>
      <c r="I73" s="26">
        <f>SUMIFS(INDEX(元データ_14項目!$D$2:$Q$1300,0,MATCH($B73,元データ_14項目!$D$1:$Q$1,0)),元データ_14項目!$A$2:$A$1300,$A73,元データ_14項目!$B$2:$B$1300,"本年",元データ_14項目!$C$2:$C$1300,I$5)</f>
        <v>40</v>
      </c>
      <c r="J73" s="26">
        <f>SUMIFS(INDEX(元データ_14項目!$D$2:$Q$1300,0,MATCH($B73,元データ_14項目!$D$1:$Q$1,0)),元データ_14項目!$A$2:$A$1300,$A73,元データ_14項目!$B$2:$B$1300,"本年",元データ_14項目!$C$2:$C$1300,J$5)</f>
        <v>99</v>
      </c>
      <c r="K73" s="26">
        <f>SUMIFS(INDEX(元データ_14項目!$D$2:$Q$1300,0,MATCH($B73,元データ_14項目!$D$1:$Q$1,0)),元データ_14項目!$A$2:$A$1300,$A73,元データ_14項目!$B$2:$B$1300,"本年",元データ_14項目!$C$2:$C$1300,K$5)</f>
        <v>280</v>
      </c>
      <c r="L73" s="26">
        <f>SUMIFS(INDEX(元データ_14項目!$D$2:$Q$1300,0,MATCH($B73,元データ_14項目!$D$1:$Q$1,0)),元データ_14項目!$A$2:$A$1300,$A73,元データ_14項目!$B$2:$B$1300,"本年",元データ_14項目!$C$2:$C$1300,L$5)</f>
        <v>174</v>
      </c>
      <c r="M73" s="26">
        <f>SUMIFS(INDEX(元データ_14項目!$D$2:$Q$1300,0,MATCH($B73,元データ_14項目!$D$1:$Q$1,0)),元データ_14項目!$A$2:$A$1300,$A73,元データ_14項目!$B$2:$B$1300,"本年",元データ_14項目!$C$2:$C$1300,M$5)</f>
        <v>117</v>
      </c>
      <c r="N73" s="26">
        <f>SUMIFS(INDEX(元データ_14項目!$D$2:$Q$1300,0,MATCH($B73,元データ_14項目!$D$1:$Q$1,0)),元データ_14項目!$A$2:$A$1300,$A73,元データ_14項目!$B$2:$B$1300,"本年",元データ_14項目!$C$2:$C$1300,N$5)</f>
        <v>53</v>
      </c>
      <c r="O73" s="26">
        <f t="shared" si="2"/>
        <v>940</v>
      </c>
      <c r="P73" s="26">
        <f>SUMIFS(INDEX(元データ_14項目!$D$2:$Q$1300,0,MATCH($B73,元データ_14項目!$D$1:$Q$1,0)),元データ_14項目!$A$2:$A$1300,$A73,元データ_14項目!$B$2:$B$1300,"前年")</f>
        <v>1052</v>
      </c>
      <c r="Q73" s="7">
        <f t="shared" si="3"/>
        <v>0.89353612167300378</v>
      </c>
    </row>
    <row r="74" spans="1:17" x14ac:dyDescent="0.45">
      <c r="A74" t="s">
        <v>39</v>
      </c>
      <c r="B74" t="s">
        <v>98</v>
      </c>
      <c r="C74" s="26">
        <f>SUMIFS(INDEX(元データ_14項目!$D$2:$Q$1300,0,MATCH($B74,元データ_14項目!$D$1:$Q$1,0)),元データ_14項目!$A$2:$A$1300,$A74,元データ_14項目!$B$2:$B$1300,"本年",元データ_14項目!$C$2:$C$1300,C$5)</f>
        <v>7</v>
      </c>
      <c r="D74" s="26">
        <f>SUMIFS(INDEX(元データ_14項目!$D$2:$Q$1300,0,MATCH($B74,元データ_14項目!$D$1:$Q$1,0)),元データ_14項目!$A$2:$A$1300,$A74,元データ_14項目!$B$2:$B$1300,"本年",元データ_14項目!$C$2:$C$1300,D$5)</f>
        <v>10</v>
      </c>
      <c r="E74" s="26">
        <f>SUMIFS(INDEX(元データ_14項目!$D$2:$Q$1300,0,MATCH($B74,元データ_14項目!$D$1:$Q$1,0)),元データ_14項目!$A$2:$A$1300,$A74,元データ_14項目!$B$2:$B$1300,"本年",元データ_14項目!$C$2:$C$1300,E$5)</f>
        <v>17</v>
      </c>
      <c r="F74" s="26">
        <f>SUMIFS(INDEX(元データ_14項目!$D$2:$Q$1300,0,MATCH($B74,元データ_14項目!$D$1:$Q$1,0)),元データ_14項目!$A$2:$A$1300,$A74,元データ_14項目!$B$2:$B$1300,"本年",元データ_14項目!$C$2:$C$1300,F$5)</f>
        <v>16</v>
      </c>
      <c r="G74" s="26">
        <f>SUMIFS(INDEX(元データ_14項目!$D$2:$Q$1300,0,MATCH($B74,元データ_14項目!$D$1:$Q$1,0)),元データ_14項目!$A$2:$A$1300,$A74,元データ_14項目!$B$2:$B$1300,"本年",元データ_14項目!$C$2:$C$1300,G$5)</f>
        <v>31</v>
      </c>
      <c r="H74" s="26">
        <f>SUMIFS(INDEX(元データ_14項目!$D$2:$Q$1300,0,MATCH($B74,元データ_14項目!$D$1:$Q$1,0)),元データ_14項目!$A$2:$A$1300,$A74,元データ_14項目!$B$2:$B$1300,"本年",元データ_14項目!$C$2:$C$1300,H$5)</f>
        <v>15</v>
      </c>
      <c r="I74" s="26">
        <f>SUMIFS(INDEX(元データ_14項目!$D$2:$Q$1300,0,MATCH($B74,元データ_14項目!$D$1:$Q$1,0)),元データ_14項目!$A$2:$A$1300,$A74,元データ_14項目!$B$2:$B$1300,"本年",元データ_14項目!$C$2:$C$1300,I$5)</f>
        <v>13</v>
      </c>
      <c r="J74" s="26">
        <f>SUMIFS(INDEX(元データ_14項目!$D$2:$Q$1300,0,MATCH($B74,元データ_14項目!$D$1:$Q$1,0)),元データ_14項目!$A$2:$A$1300,$A74,元データ_14項目!$B$2:$B$1300,"本年",元データ_14項目!$C$2:$C$1300,J$5)</f>
        <v>87</v>
      </c>
      <c r="K74" s="26">
        <f>SUMIFS(INDEX(元データ_14項目!$D$2:$Q$1300,0,MATCH($B74,元データ_14項目!$D$1:$Q$1,0)),元データ_14項目!$A$2:$A$1300,$A74,元データ_14項目!$B$2:$B$1300,"本年",元データ_14項目!$C$2:$C$1300,K$5)</f>
        <v>287</v>
      </c>
      <c r="L74" s="26">
        <f>SUMIFS(INDEX(元データ_14項目!$D$2:$Q$1300,0,MATCH($B74,元データ_14項目!$D$1:$Q$1,0)),元データ_14項目!$A$2:$A$1300,$A74,元データ_14項目!$B$2:$B$1300,"本年",元データ_14項目!$C$2:$C$1300,L$5)</f>
        <v>129</v>
      </c>
      <c r="M74" s="26">
        <f>SUMIFS(INDEX(元データ_14項目!$D$2:$Q$1300,0,MATCH($B74,元データ_14項目!$D$1:$Q$1,0)),元データ_14項目!$A$2:$A$1300,$A74,元データ_14項目!$B$2:$B$1300,"本年",元データ_14項目!$C$2:$C$1300,M$5)</f>
        <v>85</v>
      </c>
      <c r="N74" s="26">
        <f>SUMIFS(INDEX(元データ_14項目!$D$2:$Q$1300,0,MATCH($B74,元データ_14項目!$D$1:$Q$1,0)),元データ_14項目!$A$2:$A$1300,$A74,元データ_14項目!$B$2:$B$1300,"本年",元データ_14項目!$C$2:$C$1300,N$5)</f>
        <v>28</v>
      </c>
      <c r="O74" s="26">
        <f t="shared" si="2"/>
        <v>725</v>
      </c>
      <c r="P74" s="26">
        <f>SUMIFS(INDEX(元データ_14項目!$D$2:$Q$1300,0,MATCH($B74,元データ_14項目!$D$1:$Q$1,0)),元データ_14項目!$A$2:$A$1300,$A74,元データ_14項目!$B$2:$B$1300,"前年")</f>
        <v>800</v>
      </c>
      <c r="Q74" s="7">
        <f t="shared" si="3"/>
        <v>0.90625</v>
      </c>
    </row>
    <row r="75" spans="1:17" x14ac:dyDescent="0.45">
      <c r="A75" t="s">
        <v>39</v>
      </c>
      <c r="B75" t="s">
        <v>99</v>
      </c>
      <c r="C75" s="26">
        <f>SUMIFS(INDEX(元データ_14項目!$D$2:$Q$1300,0,MATCH($B75,元データ_14項目!$D$1:$Q$1,0)),元データ_14項目!$A$2:$A$1300,$A75,元データ_14項目!$B$2:$B$1300,"本年",元データ_14項目!$C$2:$C$1300,C$5)</f>
        <v>4</v>
      </c>
      <c r="D75" s="26">
        <f>SUMIFS(INDEX(元データ_14項目!$D$2:$Q$1300,0,MATCH($B75,元データ_14項目!$D$1:$Q$1,0)),元データ_14項目!$A$2:$A$1300,$A75,元データ_14項目!$B$2:$B$1300,"本年",元データ_14項目!$C$2:$C$1300,D$5)</f>
        <v>0</v>
      </c>
      <c r="E75" s="26">
        <f>SUMIFS(INDEX(元データ_14項目!$D$2:$Q$1300,0,MATCH($B75,元データ_14項目!$D$1:$Q$1,0)),元データ_14項目!$A$2:$A$1300,$A75,元データ_14項目!$B$2:$B$1300,"本年",元データ_14項目!$C$2:$C$1300,E$5)</f>
        <v>2</v>
      </c>
      <c r="F75" s="26">
        <f>SUMIFS(INDEX(元データ_14項目!$D$2:$Q$1300,0,MATCH($B75,元データ_14項目!$D$1:$Q$1,0)),元データ_14項目!$A$2:$A$1300,$A75,元データ_14項目!$B$2:$B$1300,"本年",元データ_14項目!$C$2:$C$1300,F$5)</f>
        <v>0</v>
      </c>
      <c r="G75" s="26">
        <f>SUMIFS(INDEX(元データ_14項目!$D$2:$Q$1300,0,MATCH($B75,元データ_14項目!$D$1:$Q$1,0)),元データ_14項目!$A$2:$A$1300,$A75,元データ_14項目!$B$2:$B$1300,"本年",元データ_14項目!$C$2:$C$1300,G$5)</f>
        <v>1</v>
      </c>
      <c r="H75" s="26">
        <f>SUMIFS(INDEX(元データ_14項目!$D$2:$Q$1300,0,MATCH($B75,元データ_14項目!$D$1:$Q$1,0)),元データ_14項目!$A$2:$A$1300,$A75,元データ_14項目!$B$2:$B$1300,"本年",元データ_14項目!$C$2:$C$1300,H$5)</f>
        <v>6</v>
      </c>
      <c r="I75" s="26">
        <f>SUMIFS(INDEX(元データ_14項目!$D$2:$Q$1300,0,MATCH($B75,元データ_14項目!$D$1:$Q$1,0)),元データ_14項目!$A$2:$A$1300,$A75,元データ_14項目!$B$2:$B$1300,"本年",元データ_14項目!$C$2:$C$1300,I$5)</f>
        <v>11</v>
      </c>
      <c r="J75" s="26">
        <f>SUMIFS(INDEX(元データ_14項目!$D$2:$Q$1300,0,MATCH($B75,元データ_14項目!$D$1:$Q$1,0)),元データ_14項目!$A$2:$A$1300,$A75,元データ_14項目!$B$2:$B$1300,"本年",元データ_14項目!$C$2:$C$1300,J$5)</f>
        <v>12</v>
      </c>
      <c r="K75" s="26">
        <f>SUMIFS(INDEX(元データ_14項目!$D$2:$Q$1300,0,MATCH($B75,元データ_14項目!$D$1:$Q$1,0)),元データ_14項目!$A$2:$A$1300,$A75,元データ_14項目!$B$2:$B$1300,"本年",元データ_14項目!$C$2:$C$1300,K$5)</f>
        <v>15</v>
      </c>
      <c r="L75" s="26">
        <f>SUMIFS(INDEX(元データ_14項目!$D$2:$Q$1300,0,MATCH($B75,元データ_14項目!$D$1:$Q$1,0)),元データ_14項目!$A$2:$A$1300,$A75,元データ_14項目!$B$2:$B$1300,"本年",元データ_14項目!$C$2:$C$1300,L$5)</f>
        <v>5</v>
      </c>
      <c r="M75" s="26">
        <f>SUMIFS(INDEX(元データ_14項目!$D$2:$Q$1300,0,MATCH($B75,元データ_14項目!$D$1:$Q$1,0)),元データ_14項目!$A$2:$A$1300,$A75,元データ_14項目!$B$2:$B$1300,"本年",元データ_14項目!$C$2:$C$1300,M$5)</f>
        <v>4</v>
      </c>
      <c r="N75" s="26">
        <f>SUMIFS(INDEX(元データ_14項目!$D$2:$Q$1300,0,MATCH($B75,元データ_14項目!$D$1:$Q$1,0)),元データ_14項目!$A$2:$A$1300,$A75,元データ_14項目!$B$2:$B$1300,"本年",元データ_14項目!$C$2:$C$1300,N$5)</f>
        <v>0</v>
      </c>
      <c r="O75" s="26">
        <f t="shared" si="2"/>
        <v>60</v>
      </c>
      <c r="P75" s="26">
        <f>SUMIFS(INDEX(元データ_14項目!$D$2:$Q$1300,0,MATCH($B75,元データ_14項目!$D$1:$Q$1,0)),元データ_14項目!$A$2:$A$1300,$A75,元データ_14項目!$B$2:$B$1300,"前年")</f>
        <v>29</v>
      </c>
      <c r="Q75" s="7">
        <f t="shared" si="3"/>
        <v>2.0689655172413794</v>
      </c>
    </row>
    <row r="76" spans="1:17" x14ac:dyDescent="0.45">
      <c r="A76" t="s">
        <v>40</v>
      </c>
      <c r="B76" t="s">
        <v>27</v>
      </c>
      <c r="C76" s="26">
        <f>SUMIFS(INDEX(元データ_14項目!$D$2:$Q$1300,0,MATCH($B76,元データ_14項目!$D$1:$Q$1,0)),元データ_14項目!$A$2:$A$1300,$A76,元データ_14項目!$B$2:$B$1300,"本年",元データ_14項目!$C$2:$C$1300,C$5)</f>
        <v>974</v>
      </c>
      <c r="D76" s="26">
        <f>SUMIFS(INDEX(元データ_14項目!$D$2:$Q$1300,0,MATCH($B76,元データ_14項目!$D$1:$Q$1,0)),元データ_14項目!$A$2:$A$1300,$A76,元データ_14項目!$B$2:$B$1300,"本年",元データ_14項目!$C$2:$C$1300,D$5)</f>
        <v>1106</v>
      </c>
      <c r="E76" s="26">
        <f>SUMIFS(INDEX(元データ_14項目!$D$2:$Q$1300,0,MATCH($B76,元データ_14項目!$D$1:$Q$1,0)),元データ_14項目!$A$2:$A$1300,$A76,元データ_14項目!$B$2:$B$1300,"本年",元データ_14項目!$C$2:$C$1300,E$5)</f>
        <v>1365</v>
      </c>
      <c r="F76" s="26">
        <f>SUMIFS(INDEX(元データ_14項目!$D$2:$Q$1300,0,MATCH($B76,元データ_14項目!$D$1:$Q$1,0)),元データ_14項目!$A$2:$A$1300,$A76,元データ_14項目!$B$2:$B$1300,"本年",元データ_14項目!$C$2:$C$1300,F$5)</f>
        <v>1315</v>
      </c>
      <c r="G76" s="26">
        <f>SUMIFS(INDEX(元データ_14項目!$D$2:$Q$1300,0,MATCH($B76,元データ_14項目!$D$1:$Q$1,0)),元データ_14項目!$A$2:$A$1300,$A76,元データ_14項目!$B$2:$B$1300,"本年",元データ_14項目!$C$2:$C$1300,G$5)</f>
        <v>1364</v>
      </c>
      <c r="H76" s="26">
        <f>SUMIFS(INDEX(元データ_14項目!$D$2:$Q$1300,0,MATCH($B76,元データ_14項目!$D$1:$Q$1,0)),元データ_14項目!$A$2:$A$1300,$A76,元データ_14項目!$B$2:$B$1300,"本年",元データ_14項目!$C$2:$C$1300,H$5)</f>
        <v>1058</v>
      </c>
      <c r="I76" s="26">
        <f>SUMIFS(INDEX(元データ_14項目!$D$2:$Q$1300,0,MATCH($B76,元データ_14項目!$D$1:$Q$1,0)),元データ_14項目!$A$2:$A$1300,$A76,元データ_14項目!$B$2:$B$1300,"本年",元データ_14項目!$C$2:$C$1300,I$5)</f>
        <v>987</v>
      </c>
      <c r="J76" s="26">
        <f>SUMIFS(INDEX(元データ_14項目!$D$2:$Q$1300,0,MATCH($B76,元データ_14項目!$D$1:$Q$1,0)),元データ_14項目!$A$2:$A$1300,$A76,元データ_14項目!$B$2:$B$1300,"本年",元データ_14項目!$C$2:$C$1300,J$5)</f>
        <v>1328</v>
      </c>
      <c r="K76" s="26">
        <f>SUMIFS(INDEX(元データ_14項目!$D$2:$Q$1300,0,MATCH($B76,元データ_14項目!$D$1:$Q$1,0)),元データ_14項目!$A$2:$A$1300,$A76,元データ_14項目!$B$2:$B$1300,"本年",元データ_14項目!$C$2:$C$1300,K$5)</f>
        <v>1210</v>
      </c>
      <c r="L76" s="26">
        <f>SUMIFS(INDEX(元データ_14項目!$D$2:$Q$1300,0,MATCH($B76,元データ_14項目!$D$1:$Q$1,0)),元データ_14項目!$A$2:$A$1300,$A76,元データ_14項目!$B$2:$B$1300,"本年",元データ_14項目!$C$2:$C$1300,L$5)</f>
        <v>1053</v>
      </c>
      <c r="M76" s="26">
        <f>SUMIFS(INDEX(元データ_14項目!$D$2:$Q$1300,0,MATCH($B76,元データ_14項目!$D$1:$Q$1,0)),元データ_14項目!$A$2:$A$1300,$A76,元データ_14項目!$B$2:$B$1300,"本年",元データ_14項目!$C$2:$C$1300,M$5)</f>
        <v>1202</v>
      </c>
      <c r="N76" s="26">
        <f>SUMIFS(INDEX(元データ_14項目!$D$2:$Q$1300,0,MATCH($B76,元データ_14項目!$D$1:$Q$1,0)),元データ_14項目!$A$2:$A$1300,$A76,元データ_14項目!$B$2:$B$1300,"本年",元データ_14項目!$C$2:$C$1300,N$5)</f>
        <v>1455</v>
      </c>
      <c r="O76" s="26">
        <f t="shared" si="2"/>
        <v>14417</v>
      </c>
      <c r="P76" s="26">
        <f>SUMIFS(INDEX(元データ_14項目!$D$2:$Q$1300,0,MATCH($B76,元データ_14項目!$D$1:$Q$1,0)),元データ_14項目!$A$2:$A$1300,$A76,元データ_14項目!$B$2:$B$1300,"前年")</f>
        <v>16632</v>
      </c>
      <c r="Q76" s="7">
        <f t="shared" si="3"/>
        <v>0.86682299182299183</v>
      </c>
    </row>
    <row r="77" spans="1:17" x14ac:dyDescent="0.45">
      <c r="A77" t="s">
        <v>40</v>
      </c>
      <c r="B77" t="s">
        <v>88</v>
      </c>
      <c r="C77" s="26">
        <f>SUMIFS(INDEX(元データ_14項目!$D$2:$Q$1300,0,MATCH($B77,元データ_14項目!$D$1:$Q$1,0)),元データ_14項目!$A$2:$A$1300,$A77,元データ_14項目!$B$2:$B$1300,"本年",元データ_14項目!$C$2:$C$1300,C$5)</f>
        <v>75</v>
      </c>
      <c r="D77" s="26">
        <f>SUMIFS(INDEX(元データ_14項目!$D$2:$Q$1300,0,MATCH($B77,元データ_14項目!$D$1:$Q$1,0)),元データ_14項目!$A$2:$A$1300,$A77,元データ_14項目!$B$2:$B$1300,"本年",元データ_14項目!$C$2:$C$1300,D$5)</f>
        <v>60</v>
      </c>
      <c r="E77" s="26">
        <f>SUMIFS(INDEX(元データ_14項目!$D$2:$Q$1300,0,MATCH($B77,元データ_14項目!$D$1:$Q$1,0)),元データ_14項目!$A$2:$A$1300,$A77,元データ_14項目!$B$2:$B$1300,"本年",元データ_14項目!$C$2:$C$1300,E$5)</f>
        <v>112</v>
      </c>
      <c r="F77" s="26">
        <f>SUMIFS(INDEX(元データ_14項目!$D$2:$Q$1300,0,MATCH($B77,元データ_14項目!$D$1:$Q$1,0)),元データ_14項目!$A$2:$A$1300,$A77,元データ_14項目!$B$2:$B$1300,"本年",元データ_14項目!$C$2:$C$1300,F$5)</f>
        <v>108</v>
      </c>
      <c r="G77" s="26">
        <f>SUMIFS(INDEX(元データ_14項目!$D$2:$Q$1300,0,MATCH($B77,元データ_14項目!$D$1:$Q$1,0)),元データ_14項目!$A$2:$A$1300,$A77,元データ_14項目!$B$2:$B$1300,"本年",元データ_14項目!$C$2:$C$1300,G$5)</f>
        <v>75</v>
      </c>
      <c r="H77" s="26">
        <f>SUMIFS(INDEX(元データ_14項目!$D$2:$Q$1300,0,MATCH($B77,元データ_14項目!$D$1:$Q$1,0)),元データ_14項目!$A$2:$A$1300,$A77,元データ_14項目!$B$2:$B$1300,"本年",元データ_14項目!$C$2:$C$1300,H$5)</f>
        <v>41</v>
      </c>
      <c r="I77" s="26">
        <f>SUMIFS(INDEX(元データ_14項目!$D$2:$Q$1300,0,MATCH($B77,元データ_14項目!$D$1:$Q$1,0)),元データ_14項目!$A$2:$A$1300,$A77,元データ_14項目!$B$2:$B$1300,"本年",元データ_14項目!$C$2:$C$1300,I$5)</f>
        <v>38</v>
      </c>
      <c r="J77" s="26">
        <f>SUMIFS(INDEX(元データ_14項目!$D$2:$Q$1300,0,MATCH($B77,元データ_14項目!$D$1:$Q$1,0)),元データ_14項目!$A$2:$A$1300,$A77,元データ_14項目!$B$2:$B$1300,"本年",元データ_14項目!$C$2:$C$1300,J$5)</f>
        <v>41</v>
      </c>
      <c r="K77" s="26">
        <f>SUMIFS(INDEX(元データ_14項目!$D$2:$Q$1300,0,MATCH($B77,元データ_14項目!$D$1:$Q$1,0)),元データ_14項目!$A$2:$A$1300,$A77,元データ_14項目!$B$2:$B$1300,"本年",元データ_14項目!$C$2:$C$1300,K$5)</f>
        <v>78</v>
      </c>
      <c r="L77" s="26">
        <f>SUMIFS(INDEX(元データ_14項目!$D$2:$Q$1300,0,MATCH($B77,元データ_14項目!$D$1:$Q$1,0)),元データ_14項目!$A$2:$A$1300,$A77,元データ_14項目!$B$2:$B$1300,"本年",元データ_14項目!$C$2:$C$1300,L$5)</f>
        <v>104</v>
      </c>
      <c r="M77" s="26">
        <f>SUMIFS(INDEX(元データ_14項目!$D$2:$Q$1300,0,MATCH($B77,元データ_14項目!$D$1:$Q$1,0)),元データ_14項目!$A$2:$A$1300,$A77,元データ_14項目!$B$2:$B$1300,"本年",元データ_14項目!$C$2:$C$1300,M$5)</f>
        <v>101</v>
      </c>
      <c r="N77" s="26">
        <f>SUMIFS(INDEX(元データ_14項目!$D$2:$Q$1300,0,MATCH($B77,元データ_14項目!$D$1:$Q$1,0)),元データ_14項目!$A$2:$A$1300,$A77,元データ_14項目!$B$2:$B$1300,"本年",元データ_14項目!$C$2:$C$1300,N$5)</f>
        <v>133</v>
      </c>
      <c r="O77" s="26">
        <f t="shared" si="2"/>
        <v>966</v>
      </c>
      <c r="P77" s="26">
        <f>SUMIFS(INDEX(元データ_14項目!$D$2:$Q$1300,0,MATCH($B77,元データ_14項目!$D$1:$Q$1,0)),元データ_14項目!$A$2:$A$1300,$A77,元データ_14項目!$B$2:$B$1300,"前年")</f>
        <v>945</v>
      </c>
      <c r="Q77" s="7">
        <f t="shared" si="3"/>
        <v>1.0222222222222221</v>
      </c>
    </row>
    <row r="78" spans="1:17" x14ac:dyDescent="0.45">
      <c r="A78" t="s">
        <v>40</v>
      </c>
      <c r="B78" t="s">
        <v>89</v>
      </c>
      <c r="C78" s="26">
        <f>SUMIFS(INDEX(元データ_14項目!$D$2:$Q$1300,0,MATCH($B78,元データ_14項目!$D$1:$Q$1,0)),元データ_14項目!$A$2:$A$1300,$A78,元データ_14項目!$B$2:$B$1300,"本年",元データ_14項目!$C$2:$C$1300,C$5)</f>
        <v>64</v>
      </c>
      <c r="D78" s="26">
        <f>SUMIFS(INDEX(元データ_14項目!$D$2:$Q$1300,0,MATCH($B78,元データ_14項目!$D$1:$Q$1,0)),元データ_14項目!$A$2:$A$1300,$A78,元データ_14項目!$B$2:$B$1300,"本年",元データ_14項目!$C$2:$C$1300,D$5)</f>
        <v>54</v>
      </c>
      <c r="E78" s="26">
        <f>SUMIFS(INDEX(元データ_14項目!$D$2:$Q$1300,0,MATCH($B78,元データ_14項目!$D$1:$Q$1,0)),元データ_14項目!$A$2:$A$1300,$A78,元データ_14項目!$B$2:$B$1300,"本年",元データ_14項目!$C$2:$C$1300,E$5)</f>
        <v>86</v>
      </c>
      <c r="F78" s="26">
        <f>SUMIFS(INDEX(元データ_14項目!$D$2:$Q$1300,0,MATCH($B78,元データ_14項目!$D$1:$Q$1,0)),元データ_14項目!$A$2:$A$1300,$A78,元データ_14項目!$B$2:$B$1300,"本年",元データ_14項目!$C$2:$C$1300,F$5)</f>
        <v>67</v>
      </c>
      <c r="G78" s="26">
        <f>SUMIFS(INDEX(元データ_14項目!$D$2:$Q$1300,0,MATCH($B78,元データ_14項目!$D$1:$Q$1,0)),元データ_14項目!$A$2:$A$1300,$A78,元データ_14項目!$B$2:$B$1300,"本年",元データ_14項目!$C$2:$C$1300,G$5)</f>
        <v>67</v>
      </c>
      <c r="H78" s="26">
        <f>SUMIFS(INDEX(元データ_14項目!$D$2:$Q$1300,0,MATCH($B78,元データ_14項目!$D$1:$Q$1,0)),元データ_14項目!$A$2:$A$1300,$A78,元データ_14項目!$B$2:$B$1300,"本年",元データ_14項目!$C$2:$C$1300,H$5)</f>
        <v>24</v>
      </c>
      <c r="I78" s="26">
        <f>SUMIFS(INDEX(元データ_14項目!$D$2:$Q$1300,0,MATCH($B78,元データ_14項目!$D$1:$Q$1,0)),元データ_14項目!$A$2:$A$1300,$A78,元データ_14項目!$B$2:$B$1300,"本年",元データ_14項目!$C$2:$C$1300,I$5)</f>
        <v>18</v>
      </c>
      <c r="J78" s="26">
        <f>SUMIFS(INDEX(元データ_14項目!$D$2:$Q$1300,0,MATCH($B78,元データ_14項目!$D$1:$Q$1,0)),元データ_14項目!$A$2:$A$1300,$A78,元データ_14項目!$B$2:$B$1300,"本年",元データ_14項目!$C$2:$C$1300,J$5)</f>
        <v>45</v>
      </c>
      <c r="K78" s="26">
        <f>SUMIFS(INDEX(元データ_14項目!$D$2:$Q$1300,0,MATCH($B78,元データ_14項目!$D$1:$Q$1,0)),元データ_14項目!$A$2:$A$1300,$A78,元データ_14項目!$B$2:$B$1300,"本年",元データ_14項目!$C$2:$C$1300,K$5)</f>
        <v>77</v>
      </c>
      <c r="L78" s="26">
        <f>SUMIFS(INDEX(元データ_14項目!$D$2:$Q$1300,0,MATCH($B78,元データ_14項目!$D$1:$Q$1,0)),元データ_14項目!$A$2:$A$1300,$A78,元データ_14項目!$B$2:$B$1300,"本年",元データ_14項目!$C$2:$C$1300,L$5)</f>
        <v>33</v>
      </c>
      <c r="M78" s="26">
        <f>SUMIFS(INDEX(元データ_14項目!$D$2:$Q$1300,0,MATCH($B78,元データ_14項目!$D$1:$Q$1,0)),元データ_14項目!$A$2:$A$1300,$A78,元データ_14項目!$B$2:$B$1300,"本年",元データ_14項目!$C$2:$C$1300,M$5)</f>
        <v>47</v>
      </c>
      <c r="N78" s="26">
        <f>SUMIFS(INDEX(元データ_14項目!$D$2:$Q$1300,0,MATCH($B78,元データ_14項目!$D$1:$Q$1,0)),元データ_14項目!$A$2:$A$1300,$A78,元データ_14項目!$B$2:$B$1300,"本年",元データ_14項目!$C$2:$C$1300,N$5)</f>
        <v>69</v>
      </c>
      <c r="O78" s="26">
        <f t="shared" si="2"/>
        <v>651</v>
      </c>
      <c r="P78" s="26">
        <f>SUMIFS(INDEX(元データ_14項目!$D$2:$Q$1300,0,MATCH($B78,元データ_14項目!$D$1:$Q$1,0)),元データ_14項目!$A$2:$A$1300,$A78,元データ_14項目!$B$2:$B$1300,"前年")</f>
        <v>599</v>
      </c>
      <c r="Q78" s="7">
        <f t="shared" si="3"/>
        <v>1.0868113522537564</v>
      </c>
    </row>
    <row r="79" spans="1:17" x14ac:dyDescent="0.45">
      <c r="A79" t="s">
        <v>40</v>
      </c>
      <c r="B79" t="s">
        <v>90</v>
      </c>
      <c r="C79" s="26">
        <f>SUMIFS(INDEX(元データ_14項目!$D$2:$Q$1300,0,MATCH($B79,元データ_14項目!$D$1:$Q$1,0)),元データ_14項目!$A$2:$A$1300,$A79,元データ_14項目!$B$2:$B$1300,"本年",元データ_14項目!$C$2:$C$1300,C$5)</f>
        <v>62</v>
      </c>
      <c r="D79" s="26">
        <f>SUMIFS(INDEX(元データ_14項目!$D$2:$Q$1300,0,MATCH($B79,元データ_14項目!$D$1:$Q$1,0)),元データ_14項目!$A$2:$A$1300,$A79,元データ_14項目!$B$2:$B$1300,"本年",元データ_14項目!$C$2:$C$1300,D$5)</f>
        <v>34</v>
      </c>
      <c r="E79" s="26">
        <f>SUMIFS(INDEX(元データ_14項目!$D$2:$Q$1300,0,MATCH($B79,元データ_14項目!$D$1:$Q$1,0)),元データ_14項目!$A$2:$A$1300,$A79,元データ_14項目!$B$2:$B$1300,"本年",元データ_14項目!$C$2:$C$1300,E$5)</f>
        <v>67</v>
      </c>
      <c r="F79" s="26">
        <f>SUMIFS(INDEX(元データ_14項目!$D$2:$Q$1300,0,MATCH($B79,元データ_14項目!$D$1:$Q$1,0)),元データ_14項目!$A$2:$A$1300,$A79,元データ_14項目!$B$2:$B$1300,"本年",元データ_14項目!$C$2:$C$1300,F$5)</f>
        <v>126</v>
      </c>
      <c r="G79" s="26">
        <f>SUMIFS(INDEX(元データ_14項目!$D$2:$Q$1300,0,MATCH($B79,元データ_14項目!$D$1:$Q$1,0)),元データ_14項目!$A$2:$A$1300,$A79,元データ_14項目!$B$2:$B$1300,"本年",元データ_14項目!$C$2:$C$1300,G$5)</f>
        <v>178</v>
      </c>
      <c r="H79" s="26">
        <f>SUMIFS(INDEX(元データ_14項目!$D$2:$Q$1300,0,MATCH($B79,元データ_14項目!$D$1:$Q$1,0)),元データ_14項目!$A$2:$A$1300,$A79,元データ_14項目!$B$2:$B$1300,"本年",元データ_14項目!$C$2:$C$1300,H$5)</f>
        <v>133</v>
      </c>
      <c r="I79" s="26">
        <f>SUMIFS(INDEX(元データ_14項目!$D$2:$Q$1300,0,MATCH($B79,元データ_14項目!$D$1:$Q$1,0)),元データ_14項目!$A$2:$A$1300,$A79,元データ_14項目!$B$2:$B$1300,"本年",元データ_14項目!$C$2:$C$1300,I$5)</f>
        <v>78</v>
      </c>
      <c r="J79" s="26">
        <f>SUMIFS(INDEX(元データ_14項目!$D$2:$Q$1300,0,MATCH($B79,元データ_14項目!$D$1:$Q$1,0)),元データ_14項目!$A$2:$A$1300,$A79,元データ_14項目!$B$2:$B$1300,"本年",元データ_14項目!$C$2:$C$1300,J$5)</f>
        <v>178</v>
      </c>
      <c r="K79" s="26">
        <f>SUMIFS(INDEX(元データ_14項目!$D$2:$Q$1300,0,MATCH($B79,元データ_14項目!$D$1:$Q$1,0)),元データ_14項目!$A$2:$A$1300,$A79,元データ_14項目!$B$2:$B$1300,"本年",元データ_14項目!$C$2:$C$1300,K$5)</f>
        <v>227</v>
      </c>
      <c r="L79" s="26">
        <f>SUMIFS(INDEX(元データ_14項目!$D$2:$Q$1300,0,MATCH($B79,元データ_14項目!$D$1:$Q$1,0)),元データ_14項目!$A$2:$A$1300,$A79,元データ_14項目!$B$2:$B$1300,"本年",元データ_14項目!$C$2:$C$1300,L$5)</f>
        <v>180</v>
      </c>
      <c r="M79" s="26">
        <f>SUMIFS(INDEX(元データ_14項目!$D$2:$Q$1300,0,MATCH($B79,元データ_14項目!$D$1:$Q$1,0)),元データ_14項目!$A$2:$A$1300,$A79,元データ_14項目!$B$2:$B$1300,"本年",元データ_14項目!$C$2:$C$1300,M$5)</f>
        <v>134</v>
      </c>
      <c r="N79" s="26">
        <f>SUMIFS(INDEX(元データ_14項目!$D$2:$Q$1300,0,MATCH($B79,元データ_14項目!$D$1:$Q$1,0)),元データ_14項目!$A$2:$A$1300,$A79,元データ_14項目!$B$2:$B$1300,"本年",元データ_14項目!$C$2:$C$1300,N$5)</f>
        <v>142</v>
      </c>
      <c r="O79" s="26">
        <f t="shared" si="2"/>
        <v>1539</v>
      </c>
      <c r="P79" s="26">
        <f>SUMIFS(INDEX(元データ_14項目!$D$2:$Q$1300,0,MATCH($B79,元データ_14項目!$D$1:$Q$1,0)),元データ_14項目!$A$2:$A$1300,$A79,元データ_14項目!$B$2:$B$1300,"前年")</f>
        <v>1697</v>
      </c>
      <c r="Q79" s="7">
        <f t="shared" si="3"/>
        <v>0.90689451974071889</v>
      </c>
    </row>
    <row r="80" spans="1:17" x14ac:dyDescent="0.45">
      <c r="A80" t="s">
        <v>40</v>
      </c>
      <c r="B80" t="s">
        <v>91</v>
      </c>
      <c r="C80" s="26">
        <f>SUMIFS(INDEX(元データ_14項目!$D$2:$Q$1300,0,MATCH($B80,元データ_14項目!$D$1:$Q$1,0)),元データ_14項目!$A$2:$A$1300,$A80,元データ_14項目!$B$2:$B$1300,"本年",元データ_14項目!$C$2:$C$1300,C$5)</f>
        <v>29</v>
      </c>
      <c r="D80" s="26">
        <f>SUMIFS(INDEX(元データ_14項目!$D$2:$Q$1300,0,MATCH($B80,元データ_14項目!$D$1:$Q$1,0)),元データ_14項目!$A$2:$A$1300,$A80,元データ_14項目!$B$2:$B$1300,"本年",元データ_14項目!$C$2:$C$1300,D$5)</f>
        <v>38</v>
      </c>
      <c r="E80" s="26">
        <f>SUMIFS(INDEX(元データ_14項目!$D$2:$Q$1300,0,MATCH($B80,元データ_14項目!$D$1:$Q$1,0)),元データ_14項目!$A$2:$A$1300,$A80,元データ_14項目!$B$2:$B$1300,"本年",元データ_14項目!$C$2:$C$1300,E$5)</f>
        <v>95</v>
      </c>
      <c r="F80" s="26">
        <f>SUMIFS(INDEX(元データ_14項目!$D$2:$Q$1300,0,MATCH($B80,元データ_14項目!$D$1:$Q$1,0)),元データ_14項目!$A$2:$A$1300,$A80,元データ_14項目!$B$2:$B$1300,"本年",元データ_14項目!$C$2:$C$1300,F$5)</f>
        <v>79</v>
      </c>
      <c r="G80" s="26">
        <f>SUMIFS(INDEX(元データ_14項目!$D$2:$Q$1300,0,MATCH($B80,元データ_14項目!$D$1:$Q$1,0)),元データ_14項目!$A$2:$A$1300,$A80,元データ_14項目!$B$2:$B$1300,"本年",元データ_14項目!$C$2:$C$1300,G$5)</f>
        <v>24</v>
      </c>
      <c r="H80" s="26">
        <f>SUMIFS(INDEX(元データ_14項目!$D$2:$Q$1300,0,MATCH($B80,元データ_14項目!$D$1:$Q$1,0)),元データ_14項目!$A$2:$A$1300,$A80,元データ_14項目!$B$2:$B$1300,"本年",元データ_14項目!$C$2:$C$1300,H$5)</f>
        <v>12</v>
      </c>
      <c r="I80" s="26">
        <f>SUMIFS(INDEX(元データ_14項目!$D$2:$Q$1300,0,MATCH($B80,元データ_14項目!$D$1:$Q$1,0)),元データ_14項目!$A$2:$A$1300,$A80,元データ_14項目!$B$2:$B$1300,"本年",元データ_14項目!$C$2:$C$1300,I$5)</f>
        <v>24</v>
      </c>
      <c r="J80" s="26">
        <f>SUMIFS(INDEX(元データ_14項目!$D$2:$Q$1300,0,MATCH($B80,元データ_14項目!$D$1:$Q$1,0)),元データ_14項目!$A$2:$A$1300,$A80,元データ_14項目!$B$2:$B$1300,"本年",元データ_14項目!$C$2:$C$1300,J$5)</f>
        <v>18</v>
      </c>
      <c r="K80" s="26">
        <f>SUMIFS(INDEX(元データ_14項目!$D$2:$Q$1300,0,MATCH($B80,元データ_14項目!$D$1:$Q$1,0)),元データ_14項目!$A$2:$A$1300,$A80,元データ_14項目!$B$2:$B$1300,"本年",元データ_14項目!$C$2:$C$1300,K$5)</f>
        <v>18</v>
      </c>
      <c r="L80" s="26">
        <f>SUMIFS(INDEX(元データ_14項目!$D$2:$Q$1300,0,MATCH($B80,元データ_14項目!$D$1:$Q$1,0)),元データ_14項目!$A$2:$A$1300,$A80,元データ_14項目!$B$2:$B$1300,"本年",元データ_14項目!$C$2:$C$1300,L$5)</f>
        <v>32</v>
      </c>
      <c r="M80" s="26">
        <f>SUMIFS(INDEX(元データ_14項目!$D$2:$Q$1300,0,MATCH($B80,元データ_14項目!$D$1:$Q$1,0)),元データ_14項目!$A$2:$A$1300,$A80,元データ_14項目!$B$2:$B$1300,"本年",元データ_14項目!$C$2:$C$1300,M$5)</f>
        <v>38</v>
      </c>
      <c r="N80" s="26">
        <f>SUMIFS(INDEX(元データ_14項目!$D$2:$Q$1300,0,MATCH($B80,元データ_14項目!$D$1:$Q$1,0)),元データ_14項目!$A$2:$A$1300,$A80,元データ_14項目!$B$2:$B$1300,"本年",元データ_14項目!$C$2:$C$1300,N$5)</f>
        <v>41</v>
      </c>
      <c r="O80" s="26">
        <f t="shared" si="2"/>
        <v>448</v>
      </c>
      <c r="P80" s="26">
        <f>SUMIFS(INDEX(元データ_14項目!$D$2:$Q$1300,0,MATCH($B80,元データ_14項目!$D$1:$Q$1,0)),元データ_14項目!$A$2:$A$1300,$A80,元データ_14項目!$B$2:$B$1300,"前年")</f>
        <v>375</v>
      </c>
      <c r="Q80" s="7">
        <f t="shared" si="3"/>
        <v>1.1946666666666668</v>
      </c>
    </row>
    <row r="81" spans="1:17" x14ac:dyDescent="0.45">
      <c r="A81" t="s">
        <v>40</v>
      </c>
      <c r="B81" t="s">
        <v>28</v>
      </c>
      <c r="C81" s="26">
        <f>SUMIFS(INDEX(元データ_14項目!$D$2:$Q$1300,0,MATCH($B81,元データ_14項目!$D$1:$Q$1,0)),元データ_14項目!$A$2:$A$1300,$A81,元データ_14項目!$B$2:$B$1300,"本年",元データ_14項目!$C$2:$C$1300,C$5)</f>
        <v>271</v>
      </c>
      <c r="D81" s="26">
        <f>SUMIFS(INDEX(元データ_14項目!$D$2:$Q$1300,0,MATCH($B81,元データ_14項目!$D$1:$Q$1,0)),元データ_14項目!$A$2:$A$1300,$A81,元データ_14項目!$B$2:$B$1300,"本年",元データ_14項目!$C$2:$C$1300,D$5)</f>
        <v>308</v>
      </c>
      <c r="E81" s="26">
        <f>SUMIFS(INDEX(元データ_14項目!$D$2:$Q$1300,0,MATCH($B81,元データ_14項目!$D$1:$Q$1,0)),元データ_14項目!$A$2:$A$1300,$A81,元データ_14項目!$B$2:$B$1300,"本年",元データ_14項目!$C$2:$C$1300,E$5)</f>
        <v>443</v>
      </c>
      <c r="F81" s="26">
        <f>SUMIFS(INDEX(元データ_14項目!$D$2:$Q$1300,0,MATCH($B81,元データ_14項目!$D$1:$Q$1,0)),元データ_14項目!$A$2:$A$1300,$A81,元データ_14項目!$B$2:$B$1300,"本年",元データ_14項目!$C$2:$C$1300,F$5)</f>
        <v>413</v>
      </c>
      <c r="G81" s="26">
        <f>SUMIFS(INDEX(元データ_14項目!$D$2:$Q$1300,0,MATCH($B81,元データ_14項目!$D$1:$Q$1,0)),元データ_14項目!$A$2:$A$1300,$A81,元データ_14項目!$B$2:$B$1300,"本年",元データ_14項目!$C$2:$C$1300,G$5)</f>
        <v>309</v>
      </c>
      <c r="H81" s="26">
        <f>SUMIFS(INDEX(元データ_14項目!$D$2:$Q$1300,0,MATCH($B81,元データ_14項目!$D$1:$Q$1,0)),元データ_14項目!$A$2:$A$1300,$A81,元データ_14項目!$B$2:$B$1300,"本年",元データ_14項目!$C$2:$C$1300,H$5)</f>
        <v>174</v>
      </c>
      <c r="I81" s="26">
        <f>SUMIFS(INDEX(元データ_14項目!$D$2:$Q$1300,0,MATCH($B81,元データ_14項目!$D$1:$Q$1,0)),元データ_14項目!$A$2:$A$1300,$A81,元データ_14項目!$B$2:$B$1300,"本年",元データ_14項目!$C$2:$C$1300,I$5)</f>
        <v>173</v>
      </c>
      <c r="J81" s="26">
        <f>SUMIFS(INDEX(元データ_14項目!$D$2:$Q$1300,0,MATCH($B81,元データ_14項目!$D$1:$Q$1,0)),元データ_14項目!$A$2:$A$1300,$A81,元データ_14項目!$B$2:$B$1300,"本年",元データ_14項目!$C$2:$C$1300,J$5)</f>
        <v>203</v>
      </c>
      <c r="K81" s="26">
        <f>SUMIFS(INDEX(元データ_14項目!$D$2:$Q$1300,0,MATCH($B81,元データ_14項目!$D$1:$Q$1,0)),元データ_14項目!$A$2:$A$1300,$A81,元データ_14項目!$B$2:$B$1300,"本年",元データ_14項目!$C$2:$C$1300,K$5)</f>
        <v>300</v>
      </c>
      <c r="L81" s="26">
        <f>SUMIFS(INDEX(元データ_14項目!$D$2:$Q$1300,0,MATCH($B81,元データ_14項目!$D$1:$Q$1,0)),元データ_14項目!$A$2:$A$1300,$A81,元データ_14項目!$B$2:$B$1300,"本年",元データ_14項目!$C$2:$C$1300,L$5)</f>
        <v>240</v>
      </c>
      <c r="M81" s="26">
        <f>SUMIFS(INDEX(元データ_14項目!$D$2:$Q$1300,0,MATCH($B81,元データ_14項目!$D$1:$Q$1,0)),元データ_14項目!$A$2:$A$1300,$A81,元データ_14項目!$B$2:$B$1300,"本年",元データ_14項目!$C$2:$C$1300,M$5)</f>
        <v>311</v>
      </c>
      <c r="N81" s="26">
        <f>SUMIFS(INDEX(元データ_14項目!$D$2:$Q$1300,0,MATCH($B81,元データ_14項目!$D$1:$Q$1,0)),元データ_14項目!$A$2:$A$1300,$A81,元データ_14項目!$B$2:$B$1300,"本年",元データ_14項目!$C$2:$C$1300,N$5)</f>
        <v>374</v>
      </c>
      <c r="O81" s="26">
        <f t="shared" si="2"/>
        <v>3519</v>
      </c>
      <c r="P81" s="26">
        <f>SUMIFS(INDEX(元データ_14項目!$D$2:$Q$1300,0,MATCH($B81,元データ_14項目!$D$1:$Q$1,0)),元データ_14項目!$A$2:$A$1300,$A81,元データ_14項目!$B$2:$B$1300,"前年")</f>
        <v>3672</v>
      </c>
      <c r="Q81" s="7">
        <f t="shared" si="3"/>
        <v>0.95833333333333337</v>
      </c>
    </row>
    <row r="82" spans="1:17" x14ac:dyDescent="0.45">
      <c r="A82" t="s">
        <v>40</v>
      </c>
      <c r="B82" t="s">
        <v>92</v>
      </c>
      <c r="C82" s="26">
        <f>SUMIFS(INDEX(元データ_14項目!$D$2:$Q$1300,0,MATCH($B82,元データ_14項目!$D$1:$Q$1,0)),元データ_14項目!$A$2:$A$1300,$A82,元データ_14項目!$B$2:$B$1300,"本年",元データ_14項目!$C$2:$C$1300,C$5)</f>
        <v>22</v>
      </c>
      <c r="D82" s="26">
        <f>SUMIFS(INDEX(元データ_14項目!$D$2:$Q$1300,0,MATCH($B82,元データ_14項目!$D$1:$Q$1,0)),元データ_14項目!$A$2:$A$1300,$A82,元データ_14項目!$B$2:$B$1300,"本年",元データ_14項目!$C$2:$C$1300,D$5)</f>
        <v>39</v>
      </c>
      <c r="E82" s="26">
        <f>SUMIFS(INDEX(元データ_14項目!$D$2:$Q$1300,0,MATCH($B82,元データ_14項目!$D$1:$Q$1,0)),元データ_14項目!$A$2:$A$1300,$A82,元データ_14項目!$B$2:$B$1300,"本年",元データ_14項目!$C$2:$C$1300,E$5)</f>
        <v>48</v>
      </c>
      <c r="F82" s="26">
        <f>SUMIFS(INDEX(元データ_14項目!$D$2:$Q$1300,0,MATCH($B82,元データ_14項目!$D$1:$Q$1,0)),元データ_14項目!$A$2:$A$1300,$A82,元データ_14項目!$B$2:$B$1300,"本年",元データ_14項目!$C$2:$C$1300,F$5)</f>
        <v>55</v>
      </c>
      <c r="G82" s="26">
        <f>SUMIFS(INDEX(元データ_14項目!$D$2:$Q$1300,0,MATCH($B82,元データ_14項目!$D$1:$Q$1,0)),元データ_14項目!$A$2:$A$1300,$A82,元データ_14項目!$B$2:$B$1300,"本年",元データ_14項目!$C$2:$C$1300,G$5)</f>
        <v>38</v>
      </c>
      <c r="H82" s="26">
        <f>SUMIFS(INDEX(元データ_14項目!$D$2:$Q$1300,0,MATCH($B82,元データ_14項目!$D$1:$Q$1,0)),元データ_14項目!$A$2:$A$1300,$A82,元データ_14項目!$B$2:$B$1300,"本年",元データ_14項目!$C$2:$C$1300,H$5)</f>
        <v>15</v>
      </c>
      <c r="I82" s="26">
        <f>SUMIFS(INDEX(元データ_14項目!$D$2:$Q$1300,0,MATCH($B82,元データ_14項目!$D$1:$Q$1,0)),元データ_14項目!$A$2:$A$1300,$A82,元データ_14項目!$B$2:$B$1300,"本年",元データ_14項目!$C$2:$C$1300,I$5)</f>
        <v>9</v>
      </c>
      <c r="J82" s="26">
        <f>SUMIFS(INDEX(元データ_14項目!$D$2:$Q$1300,0,MATCH($B82,元データ_14項目!$D$1:$Q$1,0)),元データ_14項目!$A$2:$A$1300,$A82,元データ_14項目!$B$2:$B$1300,"本年",元データ_14項目!$C$2:$C$1300,J$5)</f>
        <v>24</v>
      </c>
      <c r="K82" s="26">
        <f>SUMIFS(INDEX(元データ_14項目!$D$2:$Q$1300,0,MATCH($B82,元データ_14項目!$D$1:$Q$1,0)),元データ_14項目!$A$2:$A$1300,$A82,元データ_14項目!$B$2:$B$1300,"本年",元データ_14項目!$C$2:$C$1300,K$5)</f>
        <v>65</v>
      </c>
      <c r="L82" s="26">
        <f>SUMIFS(INDEX(元データ_14項目!$D$2:$Q$1300,0,MATCH($B82,元データ_14項目!$D$1:$Q$1,0)),元データ_14項目!$A$2:$A$1300,$A82,元データ_14項目!$B$2:$B$1300,"本年",元データ_14項目!$C$2:$C$1300,L$5)</f>
        <v>35</v>
      </c>
      <c r="M82" s="26">
        <f>SUMIFS(INDEX(元データ_14項目!$D$2:$Q$1300,0,MATCH($B82,元データ_14項目!$D$1:$Q$1,0)),元データ_14項目!$A$2:$A$1300,$A82,元データ_14項目!$B$2:$B$1300,"本年",元データ_14項目!$C$2:$C$1300,M$5)</f>
        <v>25</v>
      </c>
      <c r="N82" s="26">
        <f>SUMIFS(INDEX(元データ_14項目!$D$2:$Q$1300,0,MATCH($B82,元データ_14項目!$D$1:$Q$1,0)),元データ_14項目!$A$2:$A$1300,$A82,元データ_14項目!$B$2:$B$1300,"本年",元データ_14項目!$C$2:$C$1300,N$5)</f>
        <v>37</v>
      </c>
      <c r="O82" s="26">
        <f t="shared" si="2"/>
        <v>412</v>
      </c>
      <c r="P82" s="26">
        <f>SUMIFS(INDEX(元データ_14項目!$D$2:$Q$1300,0,MATCH($B82,元データ_14項目!$D$1:$Q$1,0)),元データ_14項目!$A$2:$A$1300,$A82,元データ_14項目!$B$2:$B$1300,"前年")</f>
        <v>399</v>
      </c>
      <c r="Q82" s="7">
        <f t="shared" si="3"/>
        <v>1.0325814536340852</v>
      </c>
    </row>
    <row r="83" spans="1:17" x14ac:dyDescent="0.45">
      <c r="A83" t="s">
        <v>40</v>
      </c>
      <c r="B83" t="s">
        <v>93</v>
      </c>
      <c r="C83" s="26">
        <f>SUMIFS(INDEX(元データ_14項目!$D$2:$Q$1300,0,MATCH($B83,元データ_14項目!$D$1:$Q$1,0)),元データ_14項目!$A$2:$A$1300,$A83,元データ_14項目!$B$2:$B$1300,"本年",元データ_14項目!$C$2:$C$1300,C$5)</f>
        <v>32</v>
      </c>
      <c r="D83" s="26">
        <f>SUMIFS(INDEX(元データ_14項目!$D$2:$Q$1300,0,MATCH($B83,元データ_14項目!$D$1:$Q$1,0)),元データ_14項目!$A$2:$A$1300,$A83,元データ_14項目!$B$2:$B$1300,"本年",元データ_14項目!$C$2:$C$1300,D$5)</f>
        <v>26</v>
      </c>
      <c r="E83" s="26">
        <f>SUMIFS(INDEX(元データ_14項目!$D$2:$Q$1300,0,MATCH($B83,元データ_14項目!$D$1:$Q$1,0)),元データ_14項目!$A$2:$A$1300,$A83,元データ_14項目!$B$2:$B$1300,"本年",元データ_14項目!$C$2:$C$1300,E$5)</f>
        <v>42</v>
      </c>
      <c r="F83" s="26">
        <f>SUMIFS(INDEX(元データ_14項目!$D$2:$Q$1300,0,MATCH($B83,元データ_14項目!$D$1:$Q$1,0)),元データ_14項目!$A$2:$A$1300,$A83,元データ_14項目!$B$2:$B$1300,"本年",元データ_14項目!$C$2:$C$1300,F$5)</f>
        <v>97</v>
      </c>
      <c r="G83" s="26">
        <f>SUMIFS(INDEX(元データ_14項目!$D$2:$Q$1300,0,MATCH($B83,元データ_14項目!$D$1:$Q$1,0)),元データ_14項目!$A$2:$A$1300,$A83,元データ_14項目!$B$2:$B$1300,"本年",元データ_14項目!$C$2:$C$1300,G$5)</f>
        <v>137</v>
      </c>
      <c r="H83" s="26">
        <f>SUMIFS(INDEX(元データ_14項目!$D$2:$Q$1300,0,MATCH($B83,元データ_14項目!$D$1:$Q$1,0)),元データ_14項目!$A$2:$A$1300,$A83,元データ_14項目!$B$2:$B$1300,"本年",元データ_14項目!$C$2:$C$1300,H$5)</f>
        <v>113</v>
      </c>
      <c r="I83" s="26">
        <f>SUMIFS(INDEX(元データ_14項目!$D$2:$Q$1300,0,MATCH($B83,元データ_14項目!$D$1:$Q$1,0)),元データ_14項目!$A$2:$A$1300,$A83,元データ_14項目!$B$2:$B$1300,"本年",元データ_14項目!$C$2:$C$1300,I$5)</f>
        <v>100</v>
      </c>
      <c r="J83" s="26">
        <f>SUMIFS(INDEX(元データ_14項目!$D$2:$Q$1300,0,MATCH($B83,元データ_14項目!$D$1:$Q$1,0)),元データ_14項目!$A$2:$A$1300,$A83,元データ_14項目!$B$2:$B$1300,"本年",元データ_14項目!$C$2:$C$1300,J$5)</f>
        <v>155</v>
      </c>
      <c r="K83" s="26">
        <f>SUMIFS(INDEX(元データ_14項目!$D$2:$Q$1300,0,MATCH($B83,元データ_14項目!$D$1:$Q$1,0)),元データ_14項目!$A$2:$A$1300,$A83,元データ_14項目!$B$2:$B$1300,"本年",元データ_14項目!$C$2:$C$1300,K$5)</f>
        <v>479</v>
      </c>
      <c r="L83" s="26">
        <f>SUMIFS(INDEX(元データ_14項目!$D$2:$Q$1300,0,MATCH($B83,元データ_14項目!$D$1:$Q$1,0)),元データ_14項目!$A$2:$A$1300,$A83,元データ_14項目!$B$2:$B$1300,"本年",元データ_14項目!$C$2:$C$1300,L$5)</f>
        <v>323</v>
      </c>
      <c r="M83" s="26">
        <f>SUMIFS(INDEX(元データ_14項目!$D$2:$Q$1300,0,MATCH($B83,元データ_14項目!$D$1:$Q$1,0)),元データ_14項目!$A$2:$A$1300,$A83,元データ_14項目!$B$2:$B$1300,"本年",元データ_14項目!$C$2:$C$1300,M$5)</f>
        <v>135</v>
      </c>
      <c r="N83" s="26">
        <f>SUMIFS(INDEX(元データ_14項目!$D$2:$Q$1300,0,MATCH($B83,元データ_14項目!$D$1:$Q$1,0)),元データ_14項目!$A$2:$A$1300,$A83,元データ_14項目!$B$2:$B$1300,"本年",元データ_14項目!$C$2:$C$1300,N$5)</f>
        <v>90</v>
      </c>
      <c r="O83" s="26">
        <f t="shared" si="2"/>
        <v>1729</v>
      </c>
      <c r="P83" s="26">
        <f>SUMIFS(INDEX(元データ_14項目!$D$2:$Q$1300,0,MATCH($B83,元データ_14項目!$D$1:$Q$1,0)),元データ_14項目!$A$2:$A$1300,$A83,元データ_14項目!$B$2:$B$1300,"前年")</f>
        <v>1719</v>
      </c>
      <c r="Q83" s="7">
        <f t="shared" si="3"/>
        <v>1.0058173356602675</v>
      </c>
    </row>
    <row r="84" spans="1:17" x14ac:dyDescent="0.45">
      <c r="A84" t="s">
        <v>40</v>
      </c>
      <c r="B84" t="s">
        <v>94</v>
      </c>
      <c r="C84" s="26">
        <f>SUMIFS(INDEX(元データ_14項目!$D$2:$Q$1300,0,MATCH($B84,元データ_14項目!$D$1:$Q$1,0)),元データ_14項目!$A$2:$A$1300,$A84,元データ_14項目!$B$2:$B$1300,"本年",元データ_14項目!$C$2:$C$1300,C$5)</f>
        <v>13</v>
      </c>
      <c r="D84" s="26">
        <f>SUMIFS(INDEX(元データ_14項目!$D$2:$Q$1300,0,MATCH($B84,元データ_14項目!$D$1:$Q$1,0)),元データ_14項目!$A$2:$A$1300,$A84,元データ_14項目!$B$2:$B$1300,"本年",元データ_14項目!$C$2:$C$1300,D$5)</f>
        <v>19</v>
      </c>
      <c r="E84" s="26">
        <f>SUMIFS(INDEX(元データ_14項目!$D$2:$Q$1300,0,MATCH($B84,元データ_14項目!$D$1:$Q$1,0)),元データ_14項目!$A$2:$A$1300,$A84,元データ_14項目!$B$2:$B$1300,"本年",元データ_14項目!$C$2:$C$1300,E$5)</f>
        <v>37</v>
      </c>
      <c r="F84" s="26">
        <f>SUMIFS(INDEX(元データ_14項目!$D$2:$Q$1300,0,MATCH($B84,元データ_14項目!$D$1:$Q$1,0)),元データ_14項目!$A$2:$A$1300,$A84,元データ_14項目!$B$2:$B$1300,"本年",元データ_14項目!$C$2:$C$1300,F$5)</f>
        <v>32</v>
      </c>
      <c r="G84" s="26">
        <f>SUMIFS(INDEX(元データ_14項目!$D$2:$Q$1300,0,MATCH($B84,元データ_14項目!$D$1:$Q$1,0)),元データ_14項目!$A$2:$A$1300,$A84,元データ_14項目!$B$2:$B$1300,"本年",元データ_14項目!$C$2:$C$1300,G$5)</f>
        <v>50</v>
      </c>
      <c r="H84" s="26">
        <f>SUMIFS(INDEX(元データ_14項目!$D$2:$Q$1300,0,MATCH($B84,元データ_14項目!$D$1:$Q$1,0)),元データ_14項目!$A$2:$A$1300,$A84,元データ_14項目!$B$2:$B$1300,"本年",元データ_14項目!$C$2:$C$1300,H$5)</f>
        <v>30</v>
      </c>
      <c r="I84" s="26">
        <f>SUMIFS(INDEX(元データ_14項目!$D$2:$Q$1300,0,MATCH($B84,元データ_14項目!$D$1:$Q$1,0)),元データ_14項目!$A$2:$A$1300,$A84,元データ_14項目!$B$2:$B$1300,"本年",元データ_14項目!$C$2:$C$1300,I$5)</f>
        <v>25</v>
      </c>
      <c r="J84" s="26">
        <f>SUMIFS(INDEX(元データ_14項目!$D$2:$Q$1300,0,MATCH($B84,元データ_14項目!$D$1:$Q$1,0)),元データ_14項目!$A$2:$A$1300,$A84,元データ_14項目!$B$2:$B$1300,"本年",元データ_14項目!$C$2:$C$1300,J$5)</f>
        <v>36</v>
      </c>
      <c r="K84" s="26">
        <f>SUMIFS(INDEX(元データ_14項目!$D$2:$Q$1300,0,MATCH($B84,元データ_14項目!$D$1:$Q$1,0)),元データ_14項目!$A$2:$A$1300,$A84,元データ_14項目!$B$2:$B$1300,"本年",元データ_14項目!$C$2:$C$1300,K$5)</f>
        <v>132</v>
      </c>
      <c r="L84" s="26">
        <f>SUMIFS(INDEX(元データ_14項目!$D$2:$Q$1300,0,MATCH($B84,元データ_14項目!$D$1:$Q$1,0)),元データ_14項目!$A$2:$A$1300,$A84,元データ_14項目!$B$2:$B$1300,"本年",元データ_14項目!$C$2:$C$1300,L$5)</f>
        <v>100</v>
      </c>
      <c r="M84" s="26">
        <f>SUMIFS(INDEX(元データ_14項目!$D$2:$Q$1300,0,MATCH($B84,元データ_14項目!$D$1:$Q$1,0)),元データ_14項目!$A$2:$A$1300,$A84,元データ_14項目!$B$2:$B$1300,"本年",元データ_14項目!$C$2:$C$1300,M$5)</f>
        <v>56</v>
      </c>
      <c r="N84" s="26">
        <f>SUMIFS(INDEX(元データ_14項目!$D$2:$Q$1300,0,MATCH($B84,元データ_14項目!$D$1:$Q$1,0)),元データ_14項目!$A$2:$A$1300,$A84,元データ_14項目!$B$2:$B$1300,"本年",元データ_14項目!$C$2:$C$1300,N$5)</f>
        <v>39</v>
      </c>
      <c r="O84" s="26">
        <f t="shared" si="2"/>
        <v>569</v>
      </c>
      <c r="P84" s="26">
        <f>SUMIFS(INDEX(元データ_14項目!$D$2:$Q$1300,0,MATCH($B84,元データ_14項目!$D$1:$Q$1,0)),元データ_14項目!$A$2:$A$1300,$A84,元データ_14項目!$B$2:$B$1300,"前年")</f>
        <v>611</v>
      </c>
      <c r="Q84" s="7">
        <f t="shared" si="3"/>
        <v>0.93126022913256956</v>
      </c>
    </row>
    <row r="85" spans="1:17" x14ac:dyDescent="0.45">
      <c r="A85" t="s">
        <v>40</v>
      </c>
      <c r="B85" t="s">
        <v>95</v>
      </c>
      <c r="C85" s="26">
        <f>SUMIFS(INDEX(元データ_14項目!$D$2:$Q$1300,0,MATCH($B85,元データ_14項目!$D$1:$Q$1,0)),元データ_14項目!$A$2:$A$1300,$A85,元データ_14項目!$B$2:$B$1300,"本年",元データ_14項目!$C$2:$C$1300,C$5)</f>
        <v>27</v>
      </c>
      <c r="D85" s="26">
        <f>SUMIFS(INDEX(元データ_14項目!$D$2:$Q$1300,0,MATCH($B85,元データ_14項目!$D$1:$Q$1,0)),元データ_14項目!$A$2:$A$1300,$A85,元データ_14項目!$B$2:$B$1300,"本年",元データ_14項目!$C$2:$C$1300,D$5)</f>
        <v>54</v>
      </c>
      <c r="E85" s="26">
        <f>SUMIFS(INDEX(元データ_14項目!$D$2:$Q$1300,0,MATCH($B85,元データ_14項目!$D$1:$Q$1,0)),元データ_14項目!$A$2:$A$1300,$A85,元データ_14項目!$B$2:$B$1300,"本年",元データ_14項目!$C$2:$C$1300,E$5)</f>
        <v>58</v>
      </c>
      <c r="F85" s="26">
        <f>SUMIFS(INDEX(元データ_14項目!$D$2:$Q$1300,0,MATCH($B85,元データ_14項目!$D$1:$Q$1,0)),元データ_14項目!$A$2:$A$1300,$A85,元データ_14項目!$B$2:$B$1300,"本年",元データ_14項目!$C$2:$C$1300,F$5)</f>
        <v>45</v>
      </c>
      <c r="G85" s="26">
        <f>SUMIFS(INDEX(元データ_14項目!$D$2:$Q$1300,0,MATCH($B85,元データ_14項目!$D$1:$Q$1,0)),元データ_14項目!$A$2:$A$1300,$A85,元データ_14項目!$B$2:$B$1300,"本年",元データ_14項目!$C$2:$C$1300,G$5)</f>
        <v>41</v>
      </c>
      <c r="H85" s="26">
        <f>SUMIFS(INDEX(元データ_14項目!$D$2:$Q$1300,0,MATCH($B85,元データ_14項目!$D$1:$Q$1,0)),元データ_14項目!$A$2:$A$1300,$A85,元データ_14項目!$B$2:$B$1300,"本年",元データ_14項目!$C$2:$C$1300,H$5)</f>
        <v>15</v>
      </c>
      <c r="I85" s="26">
        <f>SUMIFS(INDEX(元データ_14項目!$D$2:$Q$1300,0,MATCH($B85,元データ_14項目!$D$1:$Q$1,0)),元データ_14項目!$A$2:$A$1300,$A85,元データ_14項目!$B$2:$B$1300,"本年",元データ_14項目!$C$2:$C$1300,I$5)</f>
        <v>16</v>
      </c>
      <c r="J85" s="26">
        <f>SUMIFS(INDEX(元データ_14項目!$D$2:$Q$1300,0,MATCH($B85,元データ_14項目!$D$1:$Q$1,0)),元データ_14項目!$A$2:$A$1300,$A85,元データ_14項目!$B$2:$B$1300,"本年",元データ_14項目!$C$2:$C$1300,J$5)</f>
        <v>25</v>
      </c>
      <c r="K85" s="26">
        <f>SUMIFS(INDEX(元データ_14項目!$D$2:$Q$1300,0,MATCH($B85,元データ_14項目!$D$1:$Q$1,0)),元データ_14項目!$A$2:$A$1300,$A85,元データ_14項目!$B$2:$B$1300,"本年",元データ_14項目!$C$2:$C$1300,K$5)</f>
        <v>69</v>
      </c>
      <c r="L85" s="26">
        <f>SUMIFS(INDEX(元データ_14項目!$D$2:$Q$1300,0,MATCH($B85,元データ_14項目!$D$1:$Q$1,0)),元データ_14項目!$A$2:$A$1300,$A85,元データ_14項目!$B$2:$B$1300,"本年",元データ_14項目!$C$2:$C$1300,L$5)</f>
        <v>54</v>
      </c>
      <c r="M85" s="26">
        <f>SUMIFS(INDEX(元データ_14項目!$D$2:$Q$1300,0,MATCH($B85,元データ_14項目!$D$1:$Q$1,0)),元データ_14項目!$A$2:$A$1300,$A85,元データ_14項目!$B$2:$B$1300,"本年",元データ_14項目!$C$2:$C$1300,M$5)</f>
        <v>47</v>
      </c>
      <c r="N85" s="26">
        <f>SUMIFS(INDEX(元データ_14項目!$D$2:$Q$1300,0,MATCH($B85,元データ_14項目!$D$1:$Q$1,0)),元データ_14項目!$A$2:$A$1300,$A85,元データ_14項目!$B$2:$B$1300,"本年",元データ_14項目!$C$2:$C$1300,N$5)</f>
        <v>45</v>
      </c>
      <c r="O85" s="26">
        <f t="shared" si="2"/>
        <v>496</v>
      </c>
      <c r="P85" s="26">
        <f>SUMIFS(INDEX(元データ_14項目!$D$2:$Q$1300,0,MATCH($B85,元データ_14項目!$D$1:$Q$1,0)),元データ_14項目!$A$2:$A$1300,$A85,元データ_14項目!$B$2:$B$1300,"前年")</f>
        <v>436</v>
      </c>
      <c r="Q85" s="7">
        <f t="shared" si="3"/>
        <v>1.1376146788990826</v>
      </c>
    </row>
    <row r="86" spans="1:17" x14ac:dyDescent="0.45">
      <c r="A86" t="s">
        <v>40</v>
      </c>
      <c r="B86" t="s">
        <v>96</v>
      </c>
      <c r="C86" s="26">
        <f>SUMIFS(INDEX(元データ_14項目!$D$2:$Q$1300,0,MATCH($B86,元データ_14項目!$D$1:$Q$1,0)),元データ_14項目!$A$2:$A$1300,$A86,元データ_14項目!$B$2:$B$1300,"本年",元データ_14項目!$C$2:$C$1300,C$5)</f>
        <v>28</v>
      </c>
      <c r="D86" s="26">
        <f>SUMIFS(INDEX(元データ_14項目!$D$2:$Q$1300,0,MATCH($B86,元データ_14項目!$D$1:$Q$1,0)),元データ_14項目!$A$2:$A$1300,$A86,元データ_14項目!$B$2:$B$1300,"本年",元データ_14項目!$C$2:$C$1300,D$5)</f>
        <v>30</v>
      </c>
      <c r="E86" s="26">
        <f>SUMIFS(INDEX(元データ_14項目!$D$2:$Q$1300,0,MATCH($B86,元データ_14項目!$D$1:$Q$1,0)),元データ_14項目!$A$2:$A$1300,$A86,元データ_14項目!$B$2:$B$1300,"本年",元データ_14項目!$C$2:$C$1300,E$5)</f>
        <v>34</v>
      </c>
      <c r="F86" s="26">
        <f>SUMIFS(INDEX(元データ_14項目!$D$2:$Q$1300,0,MATCH($B86,元データ_14項目!$D$1:$Q$1,0)),元データ_14項目!$A$2:$A$1300,$A86,元データ_14項目!$B$2:$B$1300,"本年",元データ_14項目!$C$2:$C$1300,F$5)</f>
        <v>54</v>
      </c>
      <c r="G86" s="26">
        <f>SUMIFS(INDEX(元データ_14項目!$D$2:$Q$1300,0,MATCH($B86,元データ_14項目!$D$1:$Q$1,0)),元データ_14項目!$A$2:$A$1300,$A86,元データ_14項目!$B$2:$B$1300,"本年",元データ_14項目!$C$2:$C$1300,G$5)</f>
        <v>63</v>
      </c>
      <c r="H86" s="26">
        <f>SUMIFS(INDEX(元データ_14項目!$D$2:$Q$1300,0,MATCH($B86,元データ_14項目!$D$1:$Q$1,0)),元データ_14項目!$A$2:$A$1300,$A86,元データ_14項目!$B$2:$B$1300,"本年",元データ_14項目!$C$2:$C$1300,H$5)</f>
        <v>41</v>
      </c>
      <c r="I86" s="26">
        <f>SUMIFS(INDEX(元データ_14項目!$D$2:$Q$1300,0,MATCH($B86,元データ_14項目!$D$1:$Q$1,0)),元データ_14項目!$A$2:$A$1300,$A86,元データ_14項目!$B$2:$B$1300,"本年",元データ_14項目!$C$2:$C$1300,I$5)</f>
        <v>39</v>
      </c>
      <c r="J86" s="26">
        <f>SUMIFS(INDEX(元データ_14項目!$D$2:$Q$1300,0,MATCH($B86,元データ_14項目!$D$1:$Q$1,0)),元データ_14項目!$A$2:$A$1300,$A86,元データ_14項目!$B$2:$B$1300,"本年",元データ_14項目!$C$2:$C$1300,J$5)</f>
        <v>113</v>
      </c>
      <c r="K86" s="26">
        <f>SUMIFS(INDEX(元データ_14項目!$D$2:$Q$1300,0,MATCH($B86,元データ_14項目!$D$1:$Q$1,0)),元データ_14項目!$A$2:$A$1300,$A86,元データ_14項目!$B$2:$B$1300,"本年",元データ_14項目!$C$2:$C$1300,K$5)</f>
        <v>346</v>
      </c>
      <c r="L86" s="26">
        <f>SUMIFS(INDEX(元データ_14項目!$D$2:$Q$1300,0,MATCH($B86,元データ_14項目!$D$1:$Q$1,0)),元データ_14項目!$A$2:$A$1300,$A86,元データ_14項目!$B$2:$B$1300,"本年",元データ_14項目!$C$2:$C$1300,L$5)</f>
        <v>201</v>
      </c>
      <c r="M86" s="26">
        <f>SUMIFS(INDEX(元データ_14項目!$D$2:$Q$1300,0,MATCH($B86,元データ_14項目!$D$1:$Q$1,0)),元データ_14項目!$A$2:$A$1300,$A86,元データ_14項目!$B$2:$B$1300,"本年",元データ_14項目!$C$2:$C$1300,M$5)</f>
        <v>95</v>
      </c>
      <c r="N86" s="26">
        <f>SUMIFS(INDEX(元データ_14項目!$D$2:$Q$1300,0,MATCH($B86,元データ_14項目!$D$1:$Q$1,0)),元データ_14項目!$A$2:$A$1300,$A86,元データ_14項目!$B$2:$B$1300,"本年",元データ_14項目!$C$2:$C$1300,N$5)</f>
        <v>91</v>
      </c>
      <c r="O86" s="26">
        <f t="shared" si="2"/>
        <v>1135</v>
      </c>
      <c r="P86" s="26">
        <f>SUMIFS(INDEX(元データ_14項目!$D$2:$Q$1300,0,MATCH($B86,元データ_14項目!$D$1:$Q$1,0)),元データ_14項目!$A$2:$A$1300,$A86,元データ_14項目!$B$2:$B$1300,"前年")</f>
        <v>1152</v>
      </c>
      <c r="Q86" s="7">
        <f t="shared" si="3"/>
        <v>0.98524305555555558</v>
      </c>
    </row>
    <row r="87" spans="1:17" x14ac:dyDescent="0.45">
      <c r="A87" t="s">
        <v>40</v>
      </c>
      <c r="B87" t="s">
        <v>97</v>
      </c>
      <c r="C87" s="26">
        <f>SUMIFS(INDEX(元データ_14項目!$D$2:$Q$1300,0,MATCH($B87,元データ_14項目!$D$1:$Q$1,0)),元データ_14項目!$A$2:$A$1300,$A87,元データ_14項目!$B$2:$B$1300,"本年",元データ_14項目!$C$2:$C$1300,C$5)</f>
        <v>37</v>
      </c>
      <c r="D87" s="26">
        <f>SUMIFS(INDEX(元データ_14項目!$D$2:$Q$1300,0,MATCH($B87,元データ_14項目!$D$1:$Q$1,0)),元データ_14項目!$A$2:$A$1300,$A87,元データ_14項目!$B$2:$B$1300,"本年",元データ_14項目!$C$2:$C$1300,D$5)</f>
        <v>22</v>
      </c>
      <c r="E87" s="26">
        <f>SUMIFS(INDEX(元データ_14項目!$D$2:$Q$1300,0,MATCH($B87,元データ_14項目!$D$1:$Q$1,0)),元データ_14項目!$A$2:$A$1300,$A87,元データ_14項目!$B$2:$B$1300,"本年",元データ_14項目!$C$2:$C$1300,E$5)</f>
        <v>61</v>
      </c>
      <c r="F87" s="26">
        <f>SUMIFS(INDEX(元データ_14項目!$D$2:$Q$1300,0,MATCH($B87,元データ_14項目!$D$1:$Q$1,0)),元データ_14項目!$A$2:$A$1300,$A87,元データ_14項目!$B$2:$B$1300,"本年",元データ_14項目!$C$2:$C$1300,F$5)</f>
        <v>54</v>
      </c>
      <c r="G87" s="26">
        <f>SUMIFS(INDEX(元データ_14項目!$D$2:$Q$1300,0,MATCH($B87,元データ_14項目!$D$1:$Q$1,0)),元データ_14項目!$A$2:$A$1300,$A87,元データ_14項目!$B$2:$B$1300,"本年",元データ_14項目!$C$2:$C$1300,G$5)</f>
        <v>79</v>
      </c>
      <c r="H87" s="26">
        <f>SUMIFS(INDEX(元データ_14項目!$D$2:$Q$1300,0,MATCH($B87,元データ_14項目!$D$1:$Q$1,0)),元データ_14項目!$A$2:$A$1300,$A87,元データ_14項目!$B$2:$B$1300,"本年",元データ_14項目!$C$2:$C$1300,H$5)</f>
        <v>41</v>
      </c>
      <c r="I87" s="26">
        <f>SUMIFS(INDEX(元データ_14項目!$D$2:$Q$1300,0,MATCH($B87,元データ_14項目!$D$1:$Q$1,0)),元データ_14項目!$A$2:$A$1300,$A87,元データ_14項目!$B$2:$B$1300,"本年",元データ_14項目!$C$2:$C$1300,I$5)</f>
        <v>32</v>
      </c>
      <c r="J87" s="26">
        <f>SUMIFS(INDEX(元データ_14項目!$D$2:$Q$1300,0,MATCH($B87,元データ_14項目!$D$1:$Q$1,0)),元データ_14項目!$A$2:$A$1300,$A87,元データ_14項目!$B$2:$B$1300,"本年",元データ_14項目!$C$2:$C$1300,J$5)</f>
        <v>83</v>
      </c>
      <c r="K87" s="26">
        <f>SUMIFS(INDEX(元データ_14項目!$D$2:$Q$1300,0,MATCH($B87,元データ_14項目!$D$1:$Q$1,0)),元データ_14項目!$A$2:$A$1300,$A87,元データ_14項目!$B$2:$B$1300,"本年",元データ_14項目!$C$2:$C$1300,K$5)</f>
        <v>249</v>
      </c>
      <c r="L87" s="26">
        <f>SUMIFS(INDEX(元データ_14項目!$D$2:$Q$1300,0,MATCH($B87,元データ_14項目!$D$1:$Q$1,0)),元データ_14項目!$A$2:$A$1300,$A87,元データ_14項目!$B$2:$B$1300,"本年",元データ_14項目!$C$2:$C$1300,L$5)</f>
        <v>173</v>
      </c>
      <c r="M87" s="26">
        <f>SUMIFS(INDEX(元データ_14項目!$D$2:$Q$1300,0,MATCH($B87,元データ_14項目!$D$1:$Q$1,0)),元データ_14項目!$A$2:$A$1300,$A87,元データ_14項目!$B$2:$B$1300,"本年",元データ_14項目!$C$2:$C$1300,M$5)</f>
        <v>131</v>
      </c>
      <c r="N87" s="26">
        <f>SUMIFS(INDEX(元データ_14項目!$D$2:$Q$1300,0,MATCH($B87,元データ_14項目!$D$1:$Q$1,0)),元データ_14項目!$A$2:$A$1300,$A87,元データ_14項目!$B$2:$B$1300,"本年",元データ_14項目!$C$2:$C$1300,N$5)</f>
        <v>75</v>
      </c>
      <c r="O87" s="26">
        <f t="shared" si="2"/>
        <v>1037</v>
      </c>
      <c r="P87" s="26">
        <f>SUMIFS(INDEX(元データ_14項目!$D$2:$Q$1300,0,MATCH($B87,元データ_14項目!$D$1:$Q$1,0)),元データ_14項目!$A$2:$A$1300,$A87,元データ_14項目!$B$2:$B$1300,"前年")</f>
        <v>969</v>
      </c>
      <c r="Q87" s="7">
        <f t="shared" si="3"/>
        <v>1.0701754385964912</v>
      </c>
    </row>
    <row r="88" spans="1:17" x14ac:dyDescent="0.45">
      <c r="A88" t="s">
        <v>40</v>
      </c>
      <c r="B88" t="s">
        <v>98</v>
      </c>
      <c r="C88" s="26">
        <f>SUMIFS(INDEX(元データ_14項目!$D$2:$Q$1300,0,MATCH($B88,元データ_14項目!$D$1:$Q$1,0)),元データ_14項目!$A$2:$A$1300,$A88,元データ_14項目!$B$2:$B$1300,"本年",元データ_14項目!$C$2:$C$1300,C$5)</f>
        <v>13</v>
      </c>
      <c r="D88" s="26">
        <f>SUMIFS(INDEX(元データ_14項目!$D$2:$Q$1300,0,MATCH($B88,元データ_14項目!$D$1:$Q$1,0)),元データ_14項目!$A$2:$A$1300,$A88,元データ_14項目!$B$2:$B$1300,"本年",元データ_14項目!$C$2:$C$1300,D$5)</f>
        <v>8</v>
      </c>
      <c r="E88" s="26">
        <f>SUMIFS(INDEX(元データ_14項目!$D$2:$Q$1300,0,MATCH($B88,元データ_14項目!$D$1:$Q$1,0)),元データ_14項目!$A$2:$A$1300,$A88,元データ_14項目!$B$2:$B$1300,"本年",元データ_14項目!$C$2:$C$1300,E$5)</f>
        <v>18</v>
      </c>
      <c r="F88" s="26">
        <f>SUMIFS(INDEX(元データ_14項目!$D$2:$Q$1300,0,MATCH($B88,元データ_14項目!$D$1:$Q$1,0)),元データ_14項目!$A$2:$A$1300,$A88,元データ_14項目!$B$2:$B$1300,"本年",元データ_14項目!$C$2:$C$1300,F$5)</f>
        <v>17</v>
      </c>
      <c r="G88" s="26">
        <f>SUMIFS(INDEX(元データ_14項目!$D$2:$Q$1300,0,MATCH($B88,元データ_14項目!$D$1:$Q$1,0)),元データ_14項目!$A$2:$A$1300,$A88,元データ_14項目!$B$2:$B$1300,"本年",元データ_14項目!$C$2:$C$1300,G$5)</f>
        <v>27</v>
      </c>
      <c r="H88" s="26">
        <f>SUMIFS(INDEX(元データ_14項目!$D$2:$Q$1300,0,MATCH($B88,元データ_14項目!$D$1:$Q$1,0)),元データ_14項目!$A$2:$A$1300,$A88,元データ_14項目!$B$2:$B$1300,"本年",元データ_14項目!$C$2:$C$1300,H$5)</f>
        <v>21</v>
      </c>
      <c r="I88" s="26">
        <f>SUMIFS(INDEX(元データ_14項目!$D$2:$Q$1300,0,MATCH($B88,元データ_14項目!$D$1:$Q$1,0)),元データ_14項目!$A$2:$A$1300,$A88,元データ_14項目!$B$2:$B$1300,"本年",元データ_14項目!$C$2:$C$1300,I$5)</f>
        <v>5</v>
      </c>
      <c r="J88" s="26">
        <f>SUMIFS(INDEX(元データ_14項目!$D$2:$Q$1300,0,MATCH($B88,元データ_14項目!$D$1:$Q$1,0)),元データ_14項目!$A$2:$A$1300,$A88,元データ_14項目!$B$2:$B$1300,"本年",元データ_14項目!$C$2:$C$1300,J$5)</f>
        <v>88</v>
      </c>
      <c r="K88" s="26">
        <f>SUMIFS(INDEX(元データ_14項目!$D$2:$Q$1300,0,MATCH($B88,元データ_14項目!$D$1:$Q$1,0)),元データ_14項目!$A$2:$A$1300,$A88,元データ_14項目!$B$2:$B$1300,"本年",元データ_14項目!$C$2:$C$1300,K$5)</f>
        <v>220</v>
      </c>
      <c r="L88" s="26">
        <f>SUMIFS(INDEX(元データ_14項目!$D$2:$Q$1300,0,MATCH($B88,元データ_14項目!$D$1:$Q$1,0)),元データ_14項目!$A$2:$A$1300,$A88,元データ_14項目!$B$2:$B$1300,"本年",元データ_14項目!$C$2:$C$1300,L$5)</f>
        <v>85</v>
      </c>
      <c r="M88" s="26">
        <f>SUMIFS(INDEX(元データ_14項目!$D$2:$Q$1300,0,MATCH($B88,元データ_14項目!$D$1:$Q$1,0)),元データ_14項目!$A$2:$A$1300,$A88,元データ_14項目!$B$2:$B$1300,"本年",元データ_14項目!$C$2:$C$1300,M$5)</f>
        <v>59</v>
      </c>
      <c r="N88" s="26">
        <f>SUMIFS(INDEX(元データ_14項目!$D$2:$Q$1300,0,MATCH($B88,元データ_14項目!$D$1:$Q$1,0)),元データ_14項目!$A$2:$A$1300,$A88,元データ_14項目!$B$2:$B$1300,"本年",元データ_14項目!$C$2:$C$1300,N$5)</f>
        <v>26</v>
      </c>
      <c r="O88" s="26">
        <f t="shared" si="2"/>
        <v>587</v>
      </c>
      <c r="P88" s="26">
        <f>SUMIFS(INDEX(元データ_14項目!$D$2:$Q$1300,0,MATCH($B88,元データ_14項目!$D$1:$Q$1,0)),元データ_14項目!$A$2:$A$1300,$A88,元データ_14項目!$B$2:$B$1300,"前年")</f>
        <v>599</v>
      </c>
      <c r="Q88" s="7">
        <f t="shared" si="3"/>
        <v>0.97996661101836391</v>
      </c>
    </row>
    <row r="89" spans="1:17" x14ac:dyDescent="0.45">
      <c r="A89" t="s">
        <v>40</v>
      </c>
      <c r="B89" t="s">
        <v>99</v>
      </c>
      <c r="C89" s="26">
        <f>SUMIFS(INDEX(元データ_14項目!$D$2:$Q$1300,0,MATCH($B89,元データ_14項目!$D$1:$Q$1,0)),元データ_14項目!$A$2:$A$1300,$A89,元データ_14項目!$B$2:$B$1300,"本年",元データ_14項目!$C$2:$C$1300,C$5)</f>
        <v>0</v>
      </c>
      <c r="D89" s="26">
        <f>SUMIFS(INDEX(元データ_14項目!$D$2:$Q$1300,0,MATCH($B89,元データ_14項目!$D$1:$Q$1,0)),元データ_14項目!$A$2:$A$1300,$A89,元データ_14項目!$B$2:$B$1300,"本年",元データ_14項目!$C$2:$C$1300,D$5)</f>
        <v>0</v>
      </c>
      <c r="E89" s="26">
        <f>SUMIFS(INDEX(元データ_14項目!$D$2:$Q$1300,0,MATCH($B89,元データ_14項目!$D$1:$Q$1,0)),元データ_14項目!$A$2:$A$1300,$A89,元データ_14項目!$B$2:$B$1300,"本年",元データ_14項目!$C$2:$C$1300,E$5)</f>
        <v>1</v>
      </c>
      <c r="F89" s="26">
        <f>SUMIFS(INDEX(元データ_14項目!$D$2:$Q$1300,0,MATCH($B89,元データ_14項目!$D$1:$Q$1,0)),元データ_14項目!$A$2:$A$1300,$A89,元データ_14項目!$B$2:$B$1300,"本年",元データ_14項目!$C$2:$C$1300,F$5)</f>
        <v>0</v>
      </c>
      <c r="G89" s="26">
        <f>SUMIFS(INDEX(元データ_14項目!$D$2:$Q$1300,0,MATCH($B89,元データ_14項目!$D$1:$Q$1,0)),元データ_14項目!$A$2:$A$1300,$A89,元データ_14項目!$B$2:$B$1300,"本年",元データ_14項目!$C$2:$C$1300,G$5)</f>
        <v>4</v>
      </c>
      <c r="H89" s="26">
        <f>SUMIFS(INDEX(元データ_14項目!$D$2:$Q$1300,0,MATCH($B89,元データ_14項目!$D$1:$Q$1,0)),元データ_14項目!$A$2:$A$1300,$A89,元データ_14項目!$B$2:$B$1300,"本年",元データ_14項目!$C$2:$C$1300,H$5)</f>
        <v>1</v>
      </c>
      <c r="I89" s="26">
        <f>SUMIFS(INDEX(元データ_14項目!$D$2:$Q$1300,0,MATCH($B89,元データ_14項目!$D$1:$Q$1,0)),元データ_14項目!$A$2:$A$1300,$A89,元データ_14項目!$B$2:$B$1300,"本年",元データ_14項目!$C$2:$C$1300,I$5)</f>
        <v>2</v>
      </c>
      <c r="J89" s="26">
        <f>SUMIFS(INDEX(元データ_14項目!$D$2:$Q$1300,0,MATCH($B89,元データ_14項目!$D$1:$Q$1,0)),元データ_14項目!$A$2:$A$1300,$A89,元データ_14項目!$B$2:$B$1300,"本年",元データ_14項目!$C$2:$C$1300,J$5)</f>
        <v>14</v>
      </c>
      <c r="K89" s="26">
        <f>SUMIFS(INDEX(元データ_14項目!$D$2:$Q$1300,0,MATCH($B89,元データ_14項目!$D$1:$Q$1,0)),元データ_14項目!$A$2:$A$1300,$A89,元データ_14項目!$B$2:$B$1300,"本年",元データ_14項目!$C$2:$C$1300,K$5)</f>
        <v>10</v>
      </c>
      <c r="L89" s="26">
        <f>SUMIFS(INDEX(元データ_14項目!$D$2:$Q$1300,0,MATCH($B89,元データ_14項目!$D$1:$Q$1,0)),元データ_14項目!$A$2:$A$1300,$A89,元データ_14項目!$B$2:$B$1300,"本年",元データ_14項目!$C$2:$C$1300,L$5)</f>
        <v>2</v>
      </c>
      <c r="M89" s="26">
        <f>SUMIFS(INDEX(元データ_14項目!$D$2:$Q$1300,0,MATCH($B89,元データ_14項目!$D$1:$Q$1,0)),元データ_14項目!$A$2:$A$1300,$A89,元データ_14項目!$B$2:$B$1300,"本年",元データ_14項目!$C$2:$C$1300,M$5)</f>
        <v>0</v>
      </c>
      <c r="N89" s="26">
        <f>SUMIFS(INDEX(元データ_14項目!$D$2:$Q$1300,0,MATCH($B89,元データ_14項目!$D$1:$Q$1,0)),元データ_14項目!$A$2:$A$1300,$A89,元データ_14項目!$B$2:$B$1300,"本年",元データ_14項目!$C$2:$C$1300,N$5)</f>
        <v>0</v>
      </c>
      <c r="O89" s="26">
        <f t="shared" si="2"/>
        <v>34</v>
      </c>
      <c r="P89" s="26">
        <f>SUMIFS(INDEX(元データ_14項目!$D$2:$Q$1300,0,MATCH($B89,元データ_14項目!$D$1:$Q$1,0)),元データ_14項目!$A$2:$A$1300,$A89,元データ_14項目!$B$2:$B$1300,"前年")</f>
        <v>55</v>
      </c>
      <c r="Q89" s="7">
        <f t="shared" si="3"/>
        <v>0.61818181818181817</v>
      </c>
    </row>
    <row r="90" spans="1:17" x14ac:dyDescent="0.45">
      <c r="A90" t="s">
        <v>41</v>
      </c>
      <c r="B90" t="s">
        <v>27</v>
      </c>
      <c r="C90" s="26">
        <f>SUMIFS(INDEX(元データ_14項目!$D$2:$Q$1300,0,MATCH($B90,元データ_14項目!$D$1:$Q$1,0)),元データ_14項目!$A$2:$A$1300,$A90,元データ_14項目!$B$2:$B$1300,"本年",元データ_14項目!$C$2:$C$1300,C$5)</f>
        <v>1265</v>
      </c>
      <c r="D90" s="26">
        <f>SUMIFS(INDEX(元データ_14項目!$D$2:$Q$1300,0,MATCH($B90,元データ_14項目!$D$1:$Q$1,0)),元データ_14項目!$A$2:$A$1300,$A90,元データ_14項目!$B$2:$B$1300,"本年",元データ_14項目!$C$2:$C$1300,D$5)</f>
        <v>1405</v>
      </c>
      <c r="E90" s="26">
        <f>SUMIFS(INDEX(元データ_14項目!$D$2:$Q$1300,0,MATCH($B90,元データ_14項目!$D$1:$Q$1,0)),元データ_14項目!$A$2:$A$1300,$A90,元データ_14項目!$B$2:$B$1300,"本年",元データ_14項目!$C$2:$C$1300,E$5)</f>
        <v>1812</v>
      </c>
      <c r="F90" s="26">
        <f>SUMIFS(INDEX(元データ_14項目!$D$2:$Q$1300,0,MATCH($B90,元データ_14項目!$D$1:$Q$1,0)),元データ_14項目!$A$2:$A$1300,$A90,元データ_14項目!$B$2:$B$1300,"本年",元データ_14項目!$C$2:$C$1300,F$5)</f>
        <v>1664</v>
      </c>
      <c r="G90" s="26">
        <f>SUMIFS(INDEX(元データ_14項目!$D$2:$Q$1300,0,MATCH($B90,元データ_14項目!$D$1:$Q$1,0)),元データ_14項目!$A$2:$A$1300,$A90,元データ_14項目!$B$2:$B$1300,"本年",元データ_14項目!$C$2:$C$1300,G$5)</f>
        <v>1705</v>
      </c>
      <c r="H90" s="26">
        <f>SUMIFS(INDEX(元データ_14項目!$D$2:$Q$1300,0,MATCH($B90,元データ_14項目!$D$1:$Q$1,0)),元データ_14項目!$A$2:$A$1300,$A90,元データ_14項目!$B$2:$B$1300,"本年",元データ_14項目!$C$2:$C$1300,H$5)</f>
        <v>1212</v>
      </c>
      <c r="I90" s="26">
        <f>SUMIFS(INDEX(元データ_14項目!$D$2:$Q$1300,0,MATCH($B90,元データ_14項目!$D$1:$Q$1,0)),元データ_14項目!$A$2:$A$1300,$A90,元データ_14項目!$B$2:$B$1300,"本年",元データ_14項目!$C$2:$C$1300,I$5)</f>
        <v>1304</v>
      </c>
      <c r="J90" s="26">
        <f>SUMIFS(INDEX(元データ_14項目!$D$2:$Q$1300,0,MATCH($B90,元データ_14項目!$D$1:$Q$1,0)),元データ_14項目!$A$2:$A$1300,$A90,元データ_14項目!$B$2:$B$1300,"本年",元データ_14項目!$C$2:$C$1300,J$5)</f>
        <v>1537</v>
      </c>
      <c r="K90" s="26">
        <f>SUMIFS(INDEX(元データ_14項目!$D$2:$Q$1300,0,MATCH($B90,元データ_14項目!$D$1:$Q$1,0)),元データ_14項目!$A$2:$A$1300,$A90,元データ_14項目!$B$2:$B$1300,"本年",元データ_14項目!$C$2:$C$1300,K$5)</f>
        <v>1401</v>
      </c>
      <c r="L90" s="26">
        <f>SUMIFS(INDEX(元データ_14項目!$D$2:$Q$1300,0,MATCH($B90,元データ_14項目!$D$1:$Q$1,0)),元データ_14項目!$A$2:$A$1300,$A90,元データ_14項目!$B$2:$B$1300,"本年",元データ_14項目!$C$2:$C$1300,L$5)</f>
        <v>1208</v>
      </c>
      <c r="M90" s="26">
        <f>SUMIFS(INDEX(元データ_14項目!$D$2:$Q$1300,0,MATCH($B90,元データ_14項目!$D$1:$Q$1,0)),元データ_14項目!$A$2:$A$1300,$A90,元データ_14項目!$B$2:$B$1300,"本年",元データ_14項目!$C$2:$C$1300,M$5)</f>
        <v>1494</v>
      </c>
      <c r="N90" s="26">
        <f>SUMIFS(INDEX(元データ_14項目!$D$2:$Q$1300,0,MATCH($B90,元データ_14項目!$D$1:$Q$1,0)),元データ_14項目!$A$2:$A$1300,$A90,元データ_14項目!$B$2:$B$1300,"本年",元データ_14項目!$C$2:$C$1300,N$5)</f>
        <v>1257</v>
      </c>
      <c r="O90" s="26">
        <f t="shared" si="2"/>
        <v>17264</v>
      </c>
      <c r="P90" s="26">
        <f>SUMIFS(INDEX(元データ_14項目!$D$2:$Q$1300,0,MATCH($B90,元データ_14項目!$D$1:$Q$1,0)),元データ_14項目!$A$2:$A$1300,$A90,元データ_14項目!$B$2:$B$1300,"前年")</f>
        <v>20458</v>
      </c>
      <c r="Q90" s="7">
        <f t="shared" si="3"/>
        <v>0.84387525662332585</v>
      </c>
    </row>
    <row r="91" spans="1:17" x14ac:dyDescent="0.45">
      <c r="A91" t="s">
        <v>41</v>
      </c>
      <c r="B91" t="s">
        <v>88</v>
      </c>
      <c r="C91" s="26">
        <f>SUMIFS(INDEX(元データ_14項目!$D$2:$Q$1300,0,MATCH($B91,元データ_14項目!$D$1:$Q$1,0)),元データ_14項目!$A$2:$A$1300,$A91,元データ_14項目!$B$2:$B$1300,"本年",元データ_14項目!$C$2:$C$1300,C$5)</f>
        <v>111</v>
      </c>
      <c r="D91" s="26">
        <f>SUMIFS(INDEX(元データ_14項目!$D$2:$Q$1300,0,MATCH($B91,元データ_14項目!$D$1:$Q$1,0)),元データ_14項目!$A$2:$A$1300,$A91,元データ_14項目!$B$2:$B$1300,"本年",元データ_14項目!$C$2:$C$1300,D$5)</f>
        <v>114</v>
      </c>
      <c r="E91" s="26">
        <f>SUMIFS(INDEX(元データ_14項目!$D$2:$Q$1300,0,MATCH($B91,元データ_14項目!$D$1:$Q$1,0)),元データ_14項目!$A$2:$A$1300,$A91,元データ_14項目!$B$2:$B$1300,"本年",元データ_14項目!$C$2:$C$1300,E$5)</f>
        <v>198</v>
      </c>
      <c r="F91" s="26">
        <f>SUMIFS(INDEX(元データ_14項目!$D$2:$Q$1300,0,MATCH($B91,元データ_14項目!$D$1:$Q$1,0)),元データ_14項目!$A$2:$A$1300,$A91,元データ_14項目!$B$2:$B$1300,"本年",元データ_14項目!$C$2:$C$1300,F$5)</f>
        <v>141</v>
      </c>
      <c r="G91" s="26">
        <f>SUMIFS(INDEX(元データ_14項目!$D$2:$Q$1300,0,MATCH($B91,元データ_14項目!$D$1:$Q$1,0)),元データ_14項目!$A$2:$A$1300,$A91,元データ_14項目!$B$2:$B$1300,"本年",元データ_14項目!$C$2:$C$1300,G$5)</f>
        <v>130</v>
      </c>
      <c r="H91" s="26">
        <f>SUMIFS(INDEX(元データ_14項目!$D$2:$Q$1300,0,MATCH($B91,元データ_14項目!$D$1:$Q$1,0)),元データ_14項目!$A$2:$A$1300,$A91,元データ_14項目!$B$2:$B$1300,"本年",元データ_14項目!$C$2:$C$1300,H$5)</f>
        <v>79</v>
      </c>
      <c r="I91" s="26">
        <f>SUMIFS(INDEX(元データ_14項目!$D$2:$Q$1300,0,MATCH($B91,元データ_14項目!$D$1:$Q$1,0)),元データ_14項目!$A$2:$A$1300,$A91,元データ_14項目!$B$2:$B$1300,"本年",元データ_14項目!$C$2:$C$1300,I$5)</f>
        <v>78</v>
      </c>
      <c r="J91" s="26">
        <f>SUMIFS(INDEX(元データ_14項目!$D$2:$Q$1300,0,MATCH($B91,元データ_14項目!$D$1:$Q$1,0)),元データ_14項目!$A$2:$A$1300,$A91,元データ_14項目!$B$2:$B$1300,"本年",元データ_14項目!$C$2:$C$1300,J$5)</f>
        <v>85</v>
      </c>
      <c r="K91" s="26">
        <f>SUMIFS(INDEX(元データ_14項目!$D$2:$Q$1300,0,MATCH($B91,元データ_14項目!$D$1:$Q$1,0)),元データ_14項目!$A$2:$A$1300,$A91,元データ_14項目!$B$2:$B$1300,"本年",元データ_14項目!$C$2:$C$1300,K$5)</f>
        <v>149</v>
      </c>
      <c r="L91" s="26">
        <f>SUMIFS(INDEX(元データ_14項目!$D$2:$Q$1300,0,MATCH($B91,元データ_14項目!$D$1:$Q$1,0)),元データ_14項目!$A$2:$A$1300,$A91,元データ_14項目!$B$2:$B$1300,"本年",元データ_14項目!$C$2:$C$1300,L$5)</f>
        <v>140</v>
      </c>
      <c r="M91" s="26">
        <f>SUMIFS(INDEX(元データ_14項目!$D$2:$Q$1300,0,MATCH($B91,元データ_14項目!$D$1:$Q$1,0)),元データ_14項目!$A$2:$A$1300,$A91,元データ_14項目!$B$2:$B$1300,"本年",元データ_14項目!$C$2:$C$1300,M$5)</f>
        <v>138</v>
      </c>
      <c r="N91" s="26">
        <f>SUMIFS(INDEX(元データ_14項目!$D$2:$Q$1300,0,MATCH($B91,元データ_14項目!$D$1:$Q$1,0)),元データ_14項目!$A$2:$A$1300,$A91,元データ_14項目!$B$2:$B$1300,"本年",元データ_14項目!$C$2:$C$1300,N$5)</f>
        <v>91</v>
      </c>
      <c r="O91" s="26">
        <f t="shared" si="2"/>
        <v>1454</v>
      </c>
      <c r="P91" s="26">
        <f>SUMIFS(INDEX(元データ_14項目!$D$2:$Q$1300,0,MATCH($B91,元データ_14項目!$D$1:$Q$1,0)),元データ_14項目!$A$2:$A$1300,$A91,元データ_14項目!$B$2:$B$1300,"前年")</f>
        <v>1628</v>
      </c>
      <c r="Q91" s="7">
        <f t="shared" si="3"/>
        <v>0.89312039312039315</v>
      </c>
    </row>
    <row r="92" spans="1:17" x14ac:dyDescent="0.45">
      <c r="A92" t="s">
        <v>41</v>
      </c>
      <c r="B92" t="s">
        <v>89</v>
      </c>
      <c r="C92" s="26">
        <f>SUMIFS(INDEX(元データ_14項目!$D$2:$Q$1300,0,MATCH($B92,元データ_14項目!$D$1:$Q$1,0)),元データ_14項目!$A$2:$A$1300,$A92,元データ_14項目!$B$2:$B$1300,"本年",元データ_14項目!$C$2:$C$1300,C$5)</f>
        <v>71</v>
      </c>
      <c r="D92" s="26">
        <f>SUMIFS(INDEX(元データ_14項目!$D$2:$Q$1300,0,MATCH($B92,元データ_14項目!$D$1:$Q$1,0)),元データ_14項目!$A$2:$A$1300,$A92,元データ_14項目!$B$2:$B$1300,"本年",元データ_14項目!$C$2:$C$1300,D$5)</f>
        <v>78</v>
      </c>
      <c r="E92" s="26">
        <f>SUMIFS(INDEX(元データ_14項目!$D$2:$Q$1300,0,MATCH($B92,元データ_14項目!$D$1:$Q$1,0)),元データ_14項目!$A$2:$A$1300,$A92,元データ_14項目!$B$2:$B$1300,"本年",元データ_14項目!$C$2:$C$1300,E$5)</f>
        <v>95</v>
      </c>
      <c r="F92" s="26">
        <f>SUMIFS(INDEX(元データ_14項目!$D$2:$Q$1300,0,MATCH($B92,元データ_14項目!$D$1:$Q$1,0)),元データ_14項目!$A$2:$A$1300,$A92,元データ_14項目!$B$2:$B$1300,"本年",元データ_14項目!$C$2:$C$1300,F$5)</f>
        <v>90</v>
      </c>
      <c r="G92" s="26">
        <f>SUMIFS(INDEX(元データ_14項目!$D$2:$Q$1300,0,MATCH($B92,元データ_14項目!$D$1:$Q$1,0)),元データ_14項目!$A$2:$A$1300,$A92,元データ_14項目!$B$2:$B$1300,"本年",元データ_14項目!$C$2:$C$1300,G$5)</f>
        <v>77</v>
      </c>
      <c r="H92" s="26">
        <f>SUMIFS(INDEX(元データ_14項目!$D$2:$Q$1300,0,MATCH($B92,元データ_14項目!$D$1:$Q$1,0)),元データ_14項目!$A$2:$A$1300,$A92,元データ_14項目!$B$2:$B$1300,"本年",元データ_14項目!$C$2:$C$1300,H$5)</f>
        <v>29</v>
      </c>
      <c r="I92" s="26">
        <f>SUMIFS(INDEX(元データ_14項目!$D$2:$Q$1300,0,MATCH($B92,元データ_14項目!$D$1:$Q$1,0)),元データ_14項目!$A$2:$A$1300,$A92,元データ_14項目!$B$2:$B$1300,"本年",元データ_14項目!$C$2:$C$1300,I$5)</f>
        <v>49</v>
      </c>
      <c r="J92" s="26">
        <f>SUMIFS(INDEX(元データ_14項目!$D$2:$Q$1300,0,MATCH($B92,元データ_14項目!$D$1:$Q$1,0)),元データ_14項目!$A$2:$A$1300,$A92,元データ_14項目!$B$2:$B$1300,"本年",元データ_14項目!$C$2:$C$1300,J$5)</f>
        <v>43</v>
      </c>
      <c r="K92" s="26">
        <f>SUMIFS(INDEX(元データ_14項目!$D$2:$Q$1300,0,MATCH($B92,元データ_14項目!$D$1:$Q$1,0)),元データ_14項目!$A$2:$A$1300,$A92,元データ_14項目!$B$2:$B$1300,"本年",元データ_14項目!$C$2:$C$1300,K$5)</f>
        <v>62</v>
      </c>
      <c r="L92" s="26">
        <f>SUMIFS(INDEX(元データ_14項目!$D$2:$Q$1300,0,MATCH($B92,元データ_14項目!$D$1:$Q$1,0)),元データ_14項目!$A$2:$A$1300,$A92,元データ_14項目!$B$2:$B$1300,"本年",元データ_14項目!$C$2:$C$1300,L$5)</f>
        <v>66</v>
      </c>
      <c r="M92" s="26">
        <f>SUMIFS(INDEX(元データ_14項目!$D$2:$Q$1300,0,MATCH($B92,元データ_14項目!$D$1:$Q$1,0)),元データ_14項目!$A$2:$A$1300,$A92,元データ_14項目!$B$2:$B$1300,"本年",元データ_14項目!$C$2:$C$1300,M$5)</f>
        <v>83</v>
      </c>
      <c r="N92" s="26">
        <f>SUMIFS(INDEX(元データ_14項目!$D$2:$Q$1300,0,MATCH($B92,元データ_14項目!$D$1:$Q$1,0)),元データ_14項目!$A$2:$A$1300,$A92,元データ_14項目!$B$2:$B$1300,"本年",元データ_14項目!$C$2:$C$1300,N$5)</f>
        <v>110</v>
      </c>
      <c r="O92" s="26">
        <f t="shared" si="2"/>
        <v>853</v>
      </c>
      <c r="P92" s="26">
        <f>SUMIFS(INDEX(元データ_14項目!$D$2:$Q$1300,0,MATCH($B92,元データ_14項目!$D$1:$Q$1,0)),元データ_14項目!$A$2:$A$1300,$A92,元データ_14項目!$B$2:$B$1300,"前年")</f>
        <v>780</v>
      </c>
      <c r="Q92" s="7">
        <f t="shared" si="3"/>
        <v>1.0935897435897435</v>
      </c>
    </row>
    <row r="93" spans="1:17" x14ac:dyDescent="0.45">
      <c r="A93" t="s">
        <v>41</v>
      </c>
      <c r="B93" t="s">
        <v>90</v>
      </c>
      <c r="C93" s="26">
        <f>SUMIFS(INDEX(元データ_14項目!$D$2:$Q$1300,0,MATCH($B93,元データ_14項目!$D$1:$Q$1,0)),元データ_14項目!$A$2:$A$1300,$A93,元データ_14項目!$B$2:$B$1300,"本年",元データ_14項目!$C$2:$C$1300,C$5)</f>
        <v>86</v>
      </c>
      <c r="D93" s="26">
        <f>SUMIFS(INDEX(元データ_14項目!$D$2:$Q$1300,0,MATCH($B93,元データ_14項目!$D$1:$Q$1,0)),元データ_14項目!$A$2:$A$1300,$A93,元データ_14項目!$B$2:$B$1300,"本年",元データ_14項目!$C$2:$C$1300,D$5)</f>
        <v>62</v>
      </c>
      <c r="E93" s="26">
        <f>SUMIFS(INDEX(元データ_14項目!$D$2:$Q$1300,0,MATCH($B93,元データ_14項目!$D$1:$Q$1,0)),元データ_14項目!$A$2:$A$1300,$A93,元データ_14項目!$B$2:$B$1300,"本年",元データ_14項目!$C$2:$C$1300,E$5)</f>
        <v>84</v>
      </c>
      <c r="F93" s="26">
        <f>SUMIFS(INDEX(元データ_14項目!$D$2:$Q$1300,0,MATCH($B93,元データ_14項目!$D$1:$Q$1,0)),元データ_14項目!$A$2:$A$1300,$A93,元データ_14項目!$B$2:$B$1300,"本年",元データ_14項目!$C$2:$C$1300,F$5)</f>
        <v>154</v>
      </c>
      <c r="G93" s="26">
        <f>SUMIFS(INDEX(元データ_14項目!$D$2:$Q$1300,0,MATCH($B93,元データ_14項目!$D$1:$Q$1,0)),元データ_14項目!$A$2:$A$1300,$A93,元データ_14項目!$B$2:$B$1300,"本年",元データ_14項目!$C$2:$C$1300,G$5)</f>
        <v>221</v>
      </c>
      <c r="H93" s="26">
        <f>SUMIFS(INDEX(元データ_14項目!$D$2:$Q$1300,0,MATCH($B93,元データ_14項目!$D$1:$Q$1,0)),元データ_14項目!$A$2:$A$1300,$A93,元データ_14項目!$B$2:$B$1300,"本年",元データ_14項目!$C$2:$C$1300,H$5)</f>
        <v>116</v>
      </c>
      <c r="I93" s="26">
        <f>SUMIFS(INDEX(元データ_14項目!$D$2:$Q$1300,0,MATCH($B93,元データ_14項目!$D$1:$Q$1,0)),元データ_14項目!$A$2:$A$1300,$A93,元データ_14項目!$B$2:$B$1300,"本年",元データ_14項目!$C$2:$C$1300,I$5)</f>
        <v>84</v>
      </c>
      <c r="J93" s="26">
        <f>SUMIFS(INDEX(元データ_14項目!$D$2:$Q$1300,0,MATCH($B93,元データ_14項目!$D$1:$Q$1,0)),元データ_14項目!$A$2:$A$1300,$A93,元データ_14項目!$B$2:$B$1300,"本年",元データ_14項目!$C$2:$C$1300,J$5)</f>
        <v>18</v>
      </c>
      <c r="K93" s="26">
        <f>SUMIFS(INDEX(元データ_14項目!$D$2:$Q$1300,0,MATCH($B93,元データ_14項目!$D$1:$Q$1,0)),元データ_14項目!$A$2:$A$1300,$A93,元データ_14項目!$B$2:$B$1300,"本年",元データ_14項目!$C$2:$C$1300,K$5)</f>
        <v>226</v>
      </c>
      <c r="L93" s="26">
        <f>SUMIFS(INDEX(元データ_14項目!$D$2:$Q$1300,0,MATCH($B93,元データ_14項目!$D$1:$Q$1,0)),元データ_14項目!$A$2:$A$1300,$A93,元データ_14項目!$B$2:$B$1300,"本年",元データ_14項目!$C$2:$C$1300,L$5)</f>
        <v>163</v>
      </c>
      <c r="M93" s="26">
        <f>SUMIFS(INDEX(元データ_14項目!$D$2:$Q$1300,0,MATCH($B93,元データ_14項目!$D$1:$Q$1,0)),元データ_14項目!$A$2:$A$1300,$A93,元データ_14項目!$B$2:$B$1300,"本年",元データ_14項目!$C$2:$C$1300,M$5)</f>
        <v>132</v>
      </c>
      <c r="N93" s="26">
        <f>SUMIFS(INDEX(元データ_14項目!$D$2:$Q$1300,0,MATCH($B93,元データ_14項目!$D$1:$Q$1,0)),元データ_14項目!$A$2:$A$1300,$A93,元データ_14項目!$B$2:$B$1300,"本年",元データ_14項目!$C$2:$C$1300,N$5)</f>
        <v>89</v>
      </c>
      <c r="O93" s="26">
        <f t="shared" si="2"/>
        <v>1435</v>
      </c>
      <c r="P93" s="26">
        <f>SUMIFS(INDEX(元データ_14項目!$D$2:$Q$1300,0,MATCH($B93,元データ_14項目!$D$1:$Q$1,0)),元データ_14項目!$A$2:$A$1300,$A93,元データ_14項目!$B$2:$B$1300,"前年")</f>
        <v>1828</v>
      </c>
      <c r="Q93" s="7">
        <f t="shared" si="3"/>
        <v>0.78501094091903723</v>
      </c>
    </row>
    <row r="94" spans="1:17" x14ac:dyDescent="0.45">
      <c r="A94" t="s">
        <v>41</v>
      </c>
      <c r="B94" t="s">
        <v>91</v>
      </c>
      <c r="C94" s="26">
        <f>SUMIFS(INDEX(元データ_14項目!$D$2:$Q$1300,0,MATCH($B94,元データ_14項目!$D$1:$Q$1,0)),元データ_14項目!$A$2:$A$1300,$A94,元データ_14項目!$B$2:$B$1300,"本年",元データ_14項目!$C$2:$C$1300,C$5)</f>
        <v>24</v>
      </c>
      <c r="D94" s="26">
        <f>SUMIFS(INDEX(元データ_14項目!$D$2:$Q$1300,0,MATCH($B94,元データ_14項目!$D$1:$Q$1,0)),元データ_14項目!$A$2:$A$1300,$A94,元データ_14項目!$B$2:$B$1300,"本年",元データ_14項目!$C$2:$C$1300,D$5)</f>
        <v>53</v>
      </c>
      <c r="E94" s="26">
        <f>SUMIFS(INDEX(元データ_14項目!$D$2:$Q$1300,0,MATCH($B94,元データ_14項目!$D$1:$Q$1,0)),元データ_14項目!$A$2:$A$1300,$A94,元データ_14項目!$B$2:$B$1300,"本年",元データ_14項目!$C$2:$C$1300,E$5)</f>
        <v>91</v>
      </c>
      <c r="F94" s="26">
        <f>SUMIFS(INDEX(元データ_14項目!$D$2:$Q$1300,0,MATCH($B94,元データ_14項目!$D$1:$Q$1,0)),元データ_14項目!$A$2:$A$1300,$A94,元データ_14項目!$B$2:$B$1300,"本年",元データ_14項目!$C$2:$C$1300,F$5)</f>
        <v>83</v>
      </c>
      <c r="G94" s="26">
        <f>SUMIFS(INDEX(元データ_14項目!$D$2:$Q$1300,0,MATCH($B94,元データ_14項目!$D$1:$Q$1,0)),元データ_14項目!$A$2:$A$1300,$A94,元データ_14項目!$B$2:$B$1300,"本年",元データ_14項目!$C$2:$C$1300,G$5)</f>
        <v>81</v>
      </c>
      <c r="H94" s="26">
        <f>SUMIFS(INDEX(元データ_14項目!$D$2:$Q$1300,0,MATCH($B94,元データ_14項目!$D$1:$Q$1,0)),元データ_14項目!$A$2:$A$1300,$A94,元データ_14項目!$B$2:$B$1300,"本年",元データ_14項目!$C$2:$C$1300,H$5)</f>
        <v>30</v>
      </c>
      <c r="I94" s="26">
        <f>SUMIFS(INDEX(元データ_14項目!$D$2:$Q$1300,0,MATCH($B94,元データ_14項目!$D$1:$Q$1,0)),元データ_14項目!$A$2:$A$1300,$A94,元データ_14項目!$B$2:$B$1300,"本年",元データ_14項目!$C$2:$C$1300,I$5)</f>
        <v>60</v>
      </c>
      <c r="J94" s="26">
        <f>SUMIFS(INDEX(元データ_14項目!$D$2:$Q$1300,0,MATCH($B94,元データ_14項目!$D$1:$Q$1,0)),元データ_14項目!$A$2:$A$1300,$A94,元データ_14項目!$B$2:$B$1300,"本年",元データ_14項目!$C$2:$C$1300,J$5)</f>
        <v>27</v>
      </c>
      <c r="K94" s="26">
        <f>SUMIFS(INDEX(元データ_14項目!$D$2:$Q$1300,0,MATCH($B94,元データ_14項目!$D$1:$Q$1,0)),元データ_14項目!$A$2:$A$1300,$A94,元データ_14項目!$B$2:$B$1300,"本年",元データ_14項目!$C$2:$C$1300,K$5)</f>
        <v>53</v>
      </c>
      <c r="L94" s="26">
        <f>SUMIFS(INDEX(元データ_14項目!$D$2:$Q$1300,0,MATCH($B94,元データ_14項目!$D$1:$Q$1,0)),元データ_14項目!$A$2:$A$1300,$A94,元データ_14項目!$B$2:$B$1300,"本年",元データ_14項目!$C$2:$C$1300,L$5)</f>
        <v>77</v>
      </c>
      <c r="M94" s="26">
        <f>SUMIFS(INDEX(元データ_14項目!$D$2:$Q$1300,0,MATCH($B94,元データ_14項目!$D$1:$Q$1,0)),元データ_14項目!$A$2:$A$1300,$A94,元データ_14項目!$B$2:$B$1300,"本年",元データ_14項目!$C$2:$C$1300,M$5)</f>
        <v>75</v>
      </c>
      <c r="N94" s="26">
        <f>SUMIFS(INDEX(元データ_14項目!$D$2:$Q$1300,0,MATCH($B94,元データ_14項目!$D$1:$Q$1,0)),元データ_14項目!$A$2:$A$1300,$A94,元データ_14項目!$B$2:$B$1300,"本年",元データ_14項目!$C$2:$C$1300,N$5)</f>
        <v>43</v>
      </c>
      <c r="O94" s="26">
        <f t="shared" si="2"/>
        <v>697</v>
      </c>
      <c r="P94" s="26">
        <f>SUMIFS(INDEX(元データ_14項目!$D$2:$Q$1300,0,MATCH($B94,元データ_14項目!$D$1:$Q$1,0)),元データ_14項目!$A$2:$A$1300,$A94,元データ_14項目!$B$2:$B$1300,"前年")</f>
        <v>628</v>
      </c>
      <c r="Q94" s="7">
        <f t="shared" si="3"/>
        <v>1.1098726114649682</v>
      </c>
    </row>
    <row r="95" spans="1:17" x14ac:dyDescent="0.45">
      <c r="A95" t="s">
        <v>41</v>
      </c>
      <c r="B95" t="s">
        <v>28</v>
      </c>
      <c r="C95" s="26">
        <f>SUMIFS(INDEX(元データ_14項目!$D$2:$Q$1300,0,MATCH($B95,元データ_14項目!$D$1:$Q$1,0)),元データ_14項目!$A$2:$A$1300,$A95,元データ_14項目!$B$2:$B$1300,"本年",元データ_14項目!$C$2:$C$1300,C$5)</f>
        <v>296</v>
      </c>
      <c r="D95" s="26">
        <f>SUMIFS(INDEX(元データ_14項目!$D$2:$Q$1300,0,MATCH($B95,元データ_14項目!$D$1:$Q$1,0)),元データ_14項目!$A$2:$A$1300,$A95,元データ_14項目!$B$2:$B$1300,"本年",元データ_14項目!$C$2:$C$1300,D$5)</f>
        <v>330</v>
      </c>
      <c r="E95" s="26">
        <f>SUMIFS(INDEX(元データ_14項目!$D$2:$Q$1300,0,MATCH($B95,元データ_14項目!$D$1:$Q$1,0)),元データ_14項目!$A$2:$A$1300,$A95,元データ_14項目!$B$2:$B$1300,"本年",元データ_14項目!$C$2:$C$1300,E$5)</f>
        <v>472</v>
      </c>
      <c r="F95" s="26">
        <f>SUMIFS(INDEX(元データ_14項目!$D$2:$Q$1300,0,MATCH($B95,元データ_14項目!$D$1:$Q$1,0)),元データ_14項目!$A$2:$A$1300,$A95,元データ_14項目!$B$2:$B$1300,"本年",元データ_14項目!$C$2:$C$1300,F$5)</f>
        <v>336</v>
      </c>
      <c r="G95" s="26">
        <f>SUMIFS(INDEX(元データ_14項目!$D$2:$Q$1300,0,MATCH($B95,元データ_14項目!$D$1:$Q$1,0)),元データ_14項目!$A$2:$A$1300,$A95,元データ_14項目!$B$2:$B$1300,"本年",元データ_14項目!$C$2:$C$1300,G$5)</f>
        <v>256</v>
      </c>
      <c r="H95" s="26">
        <f>SUMIFS(INDEX(元データ_14項目!$D$2:$Q$1300,0,MATCH($B95,元データ_14項目!$D$1:$Q$1,0)),元データ_14項目!$A$2:$A$1300,$A95,元データ_14項目!$B$2:$B$1300,"本年",元データ_14項目!$C$2:$C$1300,H$5)</f>
        <v>160</v>
      </c>
      <c r="I95" s="26">
        <f>SUMIFS(INDEX(元データ_14項目!$D$2:$Q$1300,0,MATCH($B95,元データ_14項目!$D$1:$Q$1,0)),元データ_14項目!$A$2:$A$1300,$A95,元データ_14項目!$B$2:$B$1300,"本年",元データ_14項目!$C$2:$C$1300,I$5)</f>
        <v>186</v>
      </c>
      <c r="J95" s="26">
        <f>SUMIFS(INDEX(元データ_14項目!$D$2:$Q$1300,0,MATCH($B95,元データ_14項目!$D$1:$Q$1,0)),元データ_14項目!$A$2:$A$1300,$A95,元データ_14項目!$B$2:$B$1300,"本年",元データ_14項目!$C$2:$C$1300,J$5)</f>
        <v>179</v>
      </c>
      <c r="K95" s="26">
        <f>SUMIFS(INDEX(元データ_14項目!$D$2:$Q$1300,0,MATCH($B95,元データ_14項目!$D$1:$Q$1,0)),元データ_14項目!$A$2:$A$1300,$A95,元データ_14項目!$B$2:$B$1300,"本年",元データ_14項目!$C$2:$C$1300,K$5)</f>
        <v>285</v>
      </c>
      <c r="L95" s="26">
        <f>SUMIFS(INDEX(元データ_14項目!$D$2:$Q$1300,0,MATCH($B95,元データ_14項目!$D$1:$Q$1,0)),元データ_14項目!$A$2:$A$1300,$A95,元データ_14項目!$B$2:$B$1300,"本年",元データ_14項目!$C$2:$C$1300,L$5)</f>
        <v>264</v>
      </c>
      <c r="M95" s="26">
        <f>SUMIFS(INDEX(元データ_14項目!$D$2:$Q$1300,0,MATCH($B95,元データ_14項目!$D$1:$Q$1,0)),元データ_14項目!$A$2:$A$1300,$A95,元データ_14項目!$B$2:$B$1300,"本年",元データ_14項目!$C$2:$C$1300,M$5)</f>
        <v>305</v>
      </c>
      <c r="N95" s="26">
        <f>SUMIFS(INDEX(元データ_14項目!$D$2:$Q$1300,0,MATCH($B95,元データ_14項目!$D$1:$Q$1,0)),元データ_14項目!$A$2:$A$1300,$A95,元データ_14項目!$B$2:$B$1300,"本年",元データ_14項目!$C$2:$C$1300,N$5)</f>
        <v>335</v>
      </c>
      <c r="O95" s="26">
        <f t="shared" si="2"/>
        <v>3404</v>
      </c>
      <c r="P95" s="26">
        <f>SUMIFS(INDEX(元データ_14項目!$D$2:$Q$1300,0,MATCH($B95,元データ_14項目!$D$1:$Q$1,0)),元データ_14項目!$A$2:$A$1300,$A95,元データ_14項目!$B$2:$B$1300,"前年")</f>
        <v>3668</v>
      </c>
      <c r="Q95" s="7">
        <f t="shared" si="3"/>
        <v>0.9280261723009815</v>
      </c>
    </row>
    <row r="96" spans="1:17" x14ac:dyDescent="0.45">
      <c r="A96" t="s">
        <v>41</v>
      </c>
      <c r="B96" t="s">
        <v>92</v>
      </c>
      <c r="C96" s="26">
        <f>SUMIFS(INDEX(元データ_14項目!$D$2:$Q$1300,0,MATCH($B96,元データ_14項目!$D$1:$Q$1,0)),元データ_14項目!$A$2:$A$1300,$A96,元データ_14項目!$B$2:$B$1300,"本年",元データ_14項目!$C$2:$C$1300,C$5)</f>
        <v>33</v>
      </c>
      <c r="D96" s="26">
        <f>SUMIFS(INDEX(元データ_14項目!$D$2:$Q$1300,0,MATCH($B96,元データ_14項目!$D$1:$Q$1,0)),元データ_14項目!$A$2:$A$1300,$A96,元データ_14項目!$B$2:$B$1300,"本年",元データ_14項目!$C$2:$C$1300,D$5)</f>
        <v>40</v>
      </c>
      <c r="E96" s="26">
        <f>SUMIFS(INDEX(元データ_14項目!$D$2:$Q$1300,0,MATCH($B96,元データ_14項目!$D$1:$Q$1,0)),元データ_14項目!$A$2:$A$1300,$A96,元データ_14項目!$B$2:$B$1300,"本年",元データ_14項目!$C$2:$C$1300,E$5)</f>
        <v>72</v>
      </c>
      <c r="F96" s="26">
        <f>SUMIFS(INDEX(元データ_14項目!$D$2:$Q$1300,0,MATCH($B96,元データ_14項目!$D$1:$Q$1,0)),元データ_14項目!$A$2:$A$1300,$A96,元データ_14項目!$B$2:$B$1300,"本年",元データ_14項目!$C$2:$C$1300,F$5)</f>
        <v>77</v>
      </c>
      <c r="G96" s="26">
        <f>SUMIFS(INDEX(元データ_14項目!$D$2:$Q$1300,0,MATCH($B96,元データ_14項目!$D$1:$Q$1,0)),元データ_14項目!$A$2:$A$1300,$A96,元データ_14項目!$B$2:$B$1300,"本年",元データ_14項目!$C$2:$C$1300,G$5)</f>
        <v>55</v>
      </c>
      <c r="H96" s="26">
        <f>SUMIFS(INDEX(元データ_14項目!$D$2:$Q$1300,0,MATCH($B96,元データ_14項目!$D$1:$Q$1,0)),元データ_14項目!$A$2:$A$1300,$A96,元データ_14項目!$B$2:$B$1300,"本年",元データ_14項目!$C$2:$C$1300,H$5)</f>
        <v>41</v>
      </c>
      <c r="I96" s="26">
        <f>SUMIFS(INDEX(元データ_14項目!$D$2:$Q$1300,0,MATCH($B96,元データ_14項目!$D$1:$Q$1,0)),元データ_14項目!$A$2:$A$1300,$A96,元データ_14項目!$B$2:$B$1300,"本年",元データ_14項目!$C$2:$C$1300,I$5)</f>
        <v>22</v>
      </c>
      <c r="J96" s="26">
        <f>SUMIFS(INDEX(元データ_14項目!$D$2:$Q$1300,0,MATCH($B96,元データ_14項目!$D$1:$Q$1,0)),元データ_14項目!$A$2:$A$1300,$A96,元データ_14項目!$B$2:$B$1300,"本年",元データ_14項目!$C$2:$C$1300,J$5)</f>
        <v>35</v>
      </c>
      <c r="K96" s="26">
        <f>SUMIFS(INDEX(元データ_14項目!$D$2:$Q$1300,0,MATCH($B96,元データ_14項目!$D$1:$Q$1,0)),元データ_14項目!$A$2:$A$1300,$A96,元データ_14項目!$B$2:$B$1300,"本年",元データ_14項目!$C$2:$C$1300,K$5)</f>
        <v>89</v>
      </c>
      <c r="L96" s="26">
        <f>SUMIFS(INDEX(元データ_14項目!$D$2:$Q$1300,0,MATCH($B96,元データ_14項目!$D$1:$Q$1,0)),元データ_14項目!$A$2:$A$1300,$A96,元データ_14項目!$B$2:$B$1300,"本年",元データ_14項目!$C$2:$C$1300,L$5)</f>
        <v>50</v>
      </c>
      <c r="M96" s="26">
        <f>SUMIFS(INDEX(元データ_14項目!$D$2:$Q$1300,0,MATCH($B96,元データ_14項目!$D$1:$Q$1,0)),元データ_14項目!$A$2:$A$1300,$A96,元データ_14項目!$B$2:$B$1300,"本年",元データ_14項目!$C$2:$C$1300,M$5)</f>
        <v>60</v>
      </c>
      <c r="N96" s="26">
        <f>SUMIFS(INDEX(元データ_14項目!$D$2:$Q$1300,0,MATCH($B96,元データ_14項目!$D$1:$Q$1,0)),元データ_14項目!$A$2:$A$1300,$A96,元データ_14項目!$B$2:$B$1300,"本年",元データ_14項目!$C$2:$C$1300,N$5)</f>
        <v>30</v>
      </c>
      <c r="O96" s="26">
        <f t="shared" si="2"/>
        <v>604</v>
      </c>
      <c r="P96" s="26">
        <f>SUMIFS(INDEX(元データ_14項目!$D$2:$Q$1300,0,MATCH($B96,元データ_14項目!$D$1:$Q$1,0)),元データ_14項目!$A$2:$A$1300,$A96,元データ_14項目!$B$2:$B$1300,"前年")</f>
        <v>632</v>
      </c>
      <c r="Q96" s="7">
        <f t="shared" si="3"/>
        <v>0.95569620253164556</v>
      </c>
    </row>
    <row r="97" spans="1:17" x14ac:dyDescent="0.45">
      <c r="A97" t="s">
        <v>41</v>
      </c>
      <c r="B97" t="s">
        <v>93</v>
      </c>
      <c r="C97" s="26">
        <f>SUMIFS(INDEX(元データ_14項目!$D$2:$Q$1300,0,MATCH($B97,元データ_14項目!$D$1:$Q$1,0)),元データ_14項目!$A$2:$A$1300,$A97,元データ_14項目!$B$2:$B$1300,"本年",元データ_14項目!$C$2:$C$1300,C$5)</f>
        <v>20</v>
      </c>
      <c r="D97" s="26">
        <f>SUMIFS(INDEX(元データ_14項目!$D$2:$Q$1300,0,MATCH($B97,元データ_14項目!$D$1:$Q$1,0)),元データ_14項目!$A$2:$A$1300,$A97,元データ_14項目!$B$2:$B$1300,"本年",元データ_14項目!$C$2:$C$1300,D$5)</f>
        <v>38</v>
      </c>
      <c r="E97" s="26">
        <f>SUMIFS(INDEX(元データ_14項目!$D$2:$Q$1300,0,MATCH($B97,元データ_14項目!$D$1:$Q$1,0)),元データ_14項目!$A$2:$A$1300,$A97,元データ_14項目!$B$2:$B$1300,"本年",元データ_14項目!$C$2:$C$1300,E$5)</f>
        <v>76</v>
      </c>
      <c r="F97" s="26">
        <f>SUMIFS(INDEX(元データ_14項目!$D$2:$Q$1300,0,MATCH($B97,元データ_14項目!$D$1:$Q$1,0)),元データ_14項目!$A$2:$A$1300,$A97,元データ_14項目!$B$2:$B$1300,"本年",元データ_14項目!$C$2:$C$1300,F$5)</f>
        <v>132</v>
      </c>
      <c r="G97" s="26">
        <f>SUMIFS(INDEX(元データ_14項目!$D$2:$Q$1300,0,MATCH($B97,元データ_14項目!$D$1:$Q$1,0)),元データ_14項目!$A$2:$A$1300,$A97,元データ_14項目!$B$2:$B$1300,"本年",元データ_14項目!$C$2:$C$1300,G$5)</f>
        <v>149</v>
      </c>
      <c r="H97" s="26">
        <f>SUMIFS(INDEX(元データ_14項目!$D$2:$Q$1300,0,MATCH($B97,元データ_14項目!$D$1:$Q$1,0)),元データ_14項目!$A$2:$A$1300,$A97,元データ_14項目!$B$2:$B$1300,"本年",元データ_14項目!$C$2:$C$1300,H$5)</f>
        <v>133</v>
      </c>
      <c r="I97" s="26">
        <f>SUMIFS(INDEX(元データ_14項目!$D$2:$Q$1300,0,MATCH($B97,元データ_14項目!$D$1:$Q$1,0)),元データ_14項目!$A$2:$A$1300,$A97,元データ_14項目!$B$2:$B$1300,"本年",元データ_14項目!$C$2:$C$1300,I$5)</f>
        <v>108</v>
      </c>
      <c r="J97" s="26">
        <f>SUMIFS(INDEX(元データ_14項目!$D$2:$Q$1300,0,MATCH($B97,元データ_14項目!$D$1:$Q$1,0)),元データ_14項目!$A$2:$A$1300,$A97,元データ_14項目!$B$2:$B$1300,"本年",元データ_14項目!$C$2:$C$1300,J$5)</f>
        <v>168</v>
      </c>
      <c r="K97" s="26">
        <f>SUMIFS(INDEX(元データ_14項目!$D$2:$Q$1300,0,MATCH($B97,元データ_14項目!$D$1:$Q$1,0)),元データ_14項目!$A$2:$A$1300,$A97,元データ_14項目!$B$2:$B$1300,"本年",元データ_14項目!$C$2:$C$1300,K$5)</f>
        <v>528</v>
      </c>
      <c r="L97" s="26">
        <f>SUMIFS(INDEX(元データ_14項目!$D$2:$Q$1300,0,MATCH($B97,元データ_14項目!$D$1:$Q$1,0)),元データ_14項目!$A$2:$A$1300,$A97,元データ_14項目!$B$2:$B$1300,"本年",元データ_14項目!$C$2:$C$1300,L$5)</f>
        <v>238</v>
      </c>
      <c r="M97" s="26">
        <f>SUMIFS(INDEX(元データ_14項目!$D$2:$Q$1300,0,MATCH($B97,元データ_14項目!$D$1:$Q$1,0)),元データ_14項目!$A$2:$A$1300,$A97,元データ_14項目!$B$2:$B$1300,"本年",元データ_14項目!$C$2:$C$1300,M$5)</f>
        <v>129</v>
      </c>
      <c r="N97" s="26">
        <f>SUMIFS(INDEX(元データ_14項目!$D$2:$Q$1300,0,MATCH($B97,元データ_14項目!$D$1:$Q$1,0)),元データ_14項目!$A$2:$A$1300,$A97,元データ_14項目!$B$2:$B$1300,"本年",元データ_14項目!$C$2:$C$1300,N$5)</f>
        <v>62</v>
      </c>
      <c r="O97" s="26">
        <f t="shared" si="2"/>
        <v>1781</v>
      </c>
      <c r="P97" s="26">
        <f>SUMIFS(INDEX(元データ_14項目!$D$2:$Q$1300,0,MATCH($B97,元データ_14項目!$D$1:$Q$1,0)),元データ_14項目!$A$2:$A$1300,$A97,元データ_14項目!$B$2:$B$1300,"前年")</f>
        <v>1900</v>
      </c>
      <c r="Q97" s="7">
        <f t="shared" si="3"/>
        <v>0.93736842105263163</v>
      </c>
    </row>
    <row r="98" spans="1:17" x14ac:dyDescent="0.45">
      <c r="A98" t="s">
        <v>41</v>
      </c>
      <c r="B98" t="s">
        <v>94</v>
      </c>
      <c r="C98" s="26">
        <f>SUMIFS(INDEX(元データ_14項目!$D$2:$Q$1300,0,MATCH($B98,元データ_14項目!$D$1:$Q$1,0)),元データ_14項目!$A$2:$A$1300,$A98,元データ_14項目!$B$2:$B$1300,"本年",元データ_14項目!$C$2:$C$1300,C$5)</f>
        <v>19</v>
      </c>
      <c r="D98" s="26">
        <f>SUMIFS(INDEX(元データ_14項目!$D$2:$Q$1300,0,MATCH($B98,元データ_14項目!$D$1:$Q$1,0)),元データ_14項目!$A$2:$A$1300,$A98,元データ_14項目!$B$2:$B$1300,"本年",元データ_14項目!$C$2:$C$1300,D$5)</f>
        <v>32</v>
      </c>
      <c r="E98" s="26">
        <f>SUMIFS(INDEX(元データ_14項目!$D$2:$Q$1300,0,MATCH($B98,元データ_14項目!$D$1:$Q$1,0)),元データ_14項目!$A$2:$A$1300,$A98,元データ_14項目!$B$2:$B$1300,"本年",元データ_14項目!$C$2:$C$1300,E$5)</f>
        <v>64</v>
      </c>
      <c r="F98" s="26">
        <f>SUMIFS(INDEX(元データ_14項目!$D$2:$Q$1300,0,MATCH($B98,元データ_14項目!$D$1:$Q$1,0)),元データ_14項目!$A$2:$A$1300,$A98,元データ_14項目!$B$2:$B$1300,"本年",元データ_14項目!$C$2:$C$1300,F$5)</f>
        <v>67</v>
      </c>
      <c r="G98" s="26">
        <f>SUMIFS(INDEX(元データ_14項目!$D$2:$Q$1300,0,MATCH($B98,元データ_14項目!$D$1:$Q$1,0)),元データ_14項目!$A$2:$A$1300,$A98,元データ_14項目!$B$2:$B$1300,"本年",元データ_14項目!$C$2:$C$1300,G$5)</f>
        <v>62</v>
      </c>
      <c r="H98" s="26">
        <f>SUMIFS(INDEX(元データ_14項目!$D$2:$Q$1300,0,MATCH($B98,元データ_14項目!$D$1:$Q$1,0)),元データ_14項目!$A$2:$A$1300,$A98,元データ_14項目!$B$2:$B$1300,"本年",元データ_14項目!$C$2:$C$1300,H$5)</f>
        <v>43</v>
      </c>
      <c r="I98" s="26">
        <f>SUMIFS(INDEX(元データ_14項目!$D$2:$Q$1300,0,MATCH($B98,元データ_14項目!$D$1:$Q$1,0)),元データ_14項目!$A$2:$A$1300,$A98,元データ_14項目!$B$2:$B$1300,"本年",元データ_14項目!$C$2:$C$1300,I$5)</f>
        <v>39</v>
      </c>
      <c r="J98" s="26">
        <f>SUMIFS(INDEX(元データ_14項目!$D$2:$Q$1300,0,MATCH($B98,元データ_14項目!$D$1:$Q$1,0)),元データ_14項目!$A$2:$A$1300,$A98,元データ_14項目!$B$2:$B$1300,"本年",元データ_14項目!$C$2:$C$1300,J$5)</f>
        <v>71</v>
      </c>
      <c r="K98" s="26">
        <f>SUMIFS(INDEX(元データ_14項目!$D$2:$Q$1300,0,MATCH($B98,元データ_14項目!$D$1:$Q$1,0)),元データ_14項目!$A$2:$A$1300,$A98,元データ_14項目!$B$2:$B$1300,"本年",元データ_14項目!$C$2:$C$1300,K$5)</f>
        <v>175</v>
      </c>
      <c r="L98" s="26">
        <f>SUMIFS(INDEX(元データ_14項目!$D$2:$Q$1300,0,MATCH($B98,元データ_14項目!$D$1:$Q$1,0)),元データ_14項目!$A$2:$A$1300,$A98,元データ_14項目!$B$2:$B$1300,"本年",元データ_14項目!$C$2:$C$1300,L$5)</f>
        <v>104</v>
      </c>
      <c r="M98" s="26">
        <f>SUMIFS(INDEX(元データ_14項目!$D$2:$Q$1300,0,MATCH($B98,元データ_14項目!$D$1:$Q$1,0)),元データ_14項目!$A$2:$A$1300,$A98,元データ_14項目!$B$2:$B$1300,"本年",元データ_14項目!$C$2:$C$1300,M$5)</f>
        <v>647</v>
      </c>
      <c r="N98" s="26">
        <f>SUMIFS(INDEX(元データ_14項目!$D$2:$Q$1300,0,MATCH($B98,元データ_14項目!$D$1:$Q$1,0)),元データ_14項目!$A$2:$A$1300,$A98,元データ_14項目!$B$2:$B$1300,"本年",元データ_14項目!$C$2:$C$1300,N$5)</f>
        <v>36</v>
      </c>
      <c r="O98" s="26">
        <f t="shared" si="2"/>
        <v>1359</v>
      </c>
      <c r="P98" s="26">
        <f>SUMIFS(INDEX(元データ_14項目!$D$2:$Q$1300,0,MATCH($B98,元データ_14項目!$D$1:$Q$1,0)),元データ_14項目!$A$2:$A$1300,$A98,元データ_14項目!$B$2:$B$1300,"前年")</f>
        <v>822</v>
      </c>
      <c r="Q98" s="7">
        <f t="shared" si="3"/>
        <v>1.6532846715328466</v>
      </c>
    </row>
    <row r="99" spans="1:17" x14ac:dyDescent="0.45">
      <c r="A99" t="s">
        <v>41</v>
      </c>
      <c r="B99" t="s">
        <v>95</v>
      </c>
      <c r="C99" s="26">
        <f>SUMIFS(INDEX(元データ_14項目!$D$2:$Q$1300,0,MATCH($B99,元データ_14項目!$D$1:$Q$1,0)),元データ_14項目!$A$2:$A$1300,$A99,元データ_14項目!$B$2:$B$1300,"本年",元データ_14項目!$C$2:$C$1300,C$5)</f>
        <v>45</v>
      </c>
      <c r="D99" s="26">
        <f>SUMIFS(INDEX(元データ_14項目!$D$2:$Q$1300,0,MATCH($B99,元データ_14項目!$D$1:$Q$1,0)),元データ_14項目!$A$2:$A$1300,$A99,元データ_14項目!$B$2:$B$1300,"本年",元データ_14項目!$C$2:$C$1300,D$5)</f>
        <v>55</v>
      </c>
      <c r="E99" s="26">
        <f>SUMIFS(INDEX(元データ_14項目!$D$2:$Q$1300,0,MATCH($B99,元データ_14項目!$D$1:$Q$1,0)),元データ_14項目!$A$2:$A$1300,$A99,元データ_14項目!$B$2:$B$1300,"本年",元データ_14項目!$C$2:$C$1300,E$5)</f>
        <v>72</v>
      </c>
      <c r="F99" s="26">
        <f>SUMIFS(INDEX(元データ_14項目!$D$2:$Q$1300,0,MATCH($B99,元データ_14項目!$D$1:$Q$1,0)),元データ_14項目!$A$2:$A$1300,$A99,元データ_14項目!$B$2:$B$1300,"本年",元データ_14項目!$C$2:$C$1300,F$5)</f>
        <v>73</v>
      </c>
      <c r="G99" s="26">
        <f>SUMIFS(INDEX(元データ_14項目!$D$2:$Q$1300,0,MATCH($B99,元データ_14項目!$D$1:$Q$1,0)),元データ_14項目!$A$2:$A$1300,$A99,元データ_14項目!$B$2:$B$1300,"本年",元データ_14項目!$C$2:$C$1300,G$5)</f>
        <v>66</v>
      </c>
      <c r="H99" s="26">
        <f>SUMIFS(INDEX(元データ_14項目!$D$2:$Q$1300,0,MATCH($B99,元データ_14項目!$D$1:$Q$1,0)),元データ_14項目!$A$2:$A$1300,$A99,元データ_14項目!$B$2:$B$1300,"本年",元データ_14項目!$C$2:$C$1300,H$5)</f>
        <v>36</v>
      </c>
      <c r="I99" s="26">
        <f>SUMIFS(INDEX(元データ_14項目!$D$2:$Q$1300,0,MATCH($B99,元データ_14項目!$D$1:$Q$1,0)),元データ_14項目!$A$2:$A$1300,$A99,元データ_14項目!$B$2:$B$1300,"本年",元データ_14項目!$C$2:$C$1300,I$5)</f>
        <v>38</v>
      </c>
      <c r="J99" s="26">
        <f>SUMIFS(INDEX(元データ_14項目!$D$2:$Q$1300,0,MATCH($B99,元データ_14項目!$D$1:$Q$1,0)),元データ_14項目!$A$2:$A$1300,$A99,元データ_14項目!$B$2:$B$1300,"本年",元データ_14項目!$C$2:$C$1300,J$5)</f>
        <v>37</v>
      </c>
      <c r="K99" s="26">
        <f>SUMIFS(INDEX(元データ_14項目!$D$2:$Q$1300,0,MATCH($B99,元データ_14項目!$D$1:$Q$1,0)),元データ_14項目!$A$2:$A$1300,$A99,元データ_14項目!$B$2:$B$1300,"本年",元データ_14項目!$C$2:$C$1300,K$5)</f>
        <v>82</v>
      </c>
      <c r="L99" s="26">
        <f>SUMIFS(INDEX(元データ_14項目!$D$2:$Q$1300,0,MATCH($B99,元データ_14項目!$D$1:$Q$1,0)),元データ_14項目!$A$2:$A$1300,$A99,元データ_14項目!$B$2:$B$1300,"本年",元データ_14項目!$C$2:$C$1300,L$5)</f>
        <v>54</v>
      </c>
      <c r="M99" s="26">
        <f>SUMIFS(INDEX(元データ_14項目!$D$2:$Q$1300,0,MATCH($B99,元データ_14項目!$D$1:$Q$1,0)),元データ_14項目!$A$2:$A$1300,$A99,元データ_14項目!$B$2:$B$1300,"本年",元データ_14項目!$C$2:$C$1300,M$5)</f>
        <v>69</v>
      </c>
      <c r="N99" s="26">
        <f>SUMIFS(INDEX(元データ_14項目!$D$2:$Q$1300,0,MATCH($B99,元データ_14項目!$D$1:$Q$1,0)),元データ_14項目!$A$2:$A$1300,$A99,元データ_14項目!$B$2:$B$1300,"本年",元データ_14項目!$C$2:$C$1300,N$5)</f>
        <v>51</v>
      </c>
      <c r="O99" s="26">
        <f t="shared" si="2"/>
        <v>678</v>
      </c>
      <c r="P99" s="26">
        <f>SUMIFS(INDEX(元データ_14項目!$D$2:$Q$1300,0,MATCH($B99,元データ_14項目!$D$1:$Q$1,0)),元データ_14項目!$A$2:$A$1300,$A99,元データ_14項目!$B$2:$B$1300,"前年")</f>
        <v>514</v>
      </c>
      <c r="Q99" s="7">
        <f t="shared" si="3"/>
        <v>1.3190661478599222</v>
      </c>
    </row>
    <row r="100" spans="1:17" x14ac:dyDescent="0.45">
      <c r="A100" t="s">
        <v>41</v>
      </c>
      <c r="B100" t="s">
        <v>96</v>
      </c>
      <c r="C100" s="26">
        <f>SUMIFS(INDEX(元データ_14項目!$D$2:$Q$1300,0,MATCH($B100,元データ_14項目!$D$1:$Q$1,0)),元データ_14項目!$A$2:$A$1300,$A100,元データ_14項目!$B$2:$B$1300,"本年",元データ_14項目!$C$2:$C$1300,C$5)</f>
        <v>27</v>
      </c>
      <c r="D100" s="26">
        <f>SUMIFS(INDEX(元データ_14項目!$D$2:$Q$1300,0,MATCH($B100,元データ_14項目!$D$1:$Q$1,0)),元データ_14項目!$A$2:$A$1300,$A100,元データ_14項目!$B$2:$B$1300,"本年",元データ_14項目!$C$2:$C$1300,D$5)</f>
        <v>28</v>
      </c>
      <c r="E100" s="26">
        <f>SUMIFS(INDEX(元データ_14項目!$D$2:$Q$1300,0,MATCH($B100,元データ_14項目!$D$1:$Q$1,0)),元データ_14項目!$A$2:$A$1300,$A100,元データ_14項目!$B$2:$B$1300,"本年",元データ_14項目!$C$2:$C$1300,E$5)</f>
        <v>43</v>
      </c>
      <c r="F100" s="26">
        <f>SUMIFS(INDEX(元データ_14項目!$D$2:$Q$1300,0,MATCH($B100,元データ_14項目!$D$1:$Q$1,0)),元データ_14項目!$A$2:$A$1300,$A100,元データ_14項目!$B$2:$B$1300,"本年",元データ_14項目!$C$2:$C$1300,F$5)</f>
        <v>71</v>
      </c>
      <c r="G100" s="26">
        <f>SUMIFS(INDEX(元データ_14項目!$D$2:$Q$1300,0,MATCH($B100,元データ_14項目!$D$1:$Q$1,0)),元データ_14項目!$A$2:$A$1300,$A100,元データ_14項目!$B$2:$B$1300,"本年",元データ_14項目!$C$2:$C$1300,G$5)</f>
        <v>75</v>
      </c>
      <c r="H100" s="26">
        <f>SUMIFS(INDEX(元データ_14項目!$D$2:$Q$1300,0,MATCH($B100,元データ_14項目!$D$1:$Q$1,0)),元データ_14項目!$A$2:$A$1300,$A100,元データ_14項目!$B$2:$B$1300,"本年",元データ_14項目!$C$2:$C$1300,H$5)</f>
        <v>51</v>
      </c>
      <c r="I100" s="26">
        <f>SUMIFS(INDEX(元データ_14項目!$D$2:$Q$1300,0,MATCH($B100,元データ_14項目!$D$1:$Q$1,0)),元データ_14項目!$A$2:$A$1300,$A100,元データ_14項目!$B$2:$B$1300,"本年",元データ_14項目!$C$2:$C$1300,I$5)</f>
        <v>42</v>
      </c>
      <c r="J100" s="26">
        <f>SUMIFS(INDEX(元データ_14項目!$D$2:$Q$1300,0,MATCH($B100,元データ_14項目!$D$1:$Q$1,0)),元データ_14項目!$A$2:$A$1300,$A100,元データ_14項目!$B$2:$B$1300,"本年",元データ_14項目!$C$2:$C$1300,J$5)</f>
        <v>153</v>
      </c>
      <c r="K100" s="26">
        <f>SUMIFS(INDEX(元データ_14項目!$D$2:$Q$1300,0,MATCH($B100,元データ_14項目!$D$1:$Q$1,0)),元データ_14項目!$A$2:$A$1300,$A100,元データ_14項目!$B$2:$B$1300,"本年",元データ_14項目!$C$2:$C$1300,K$5)</f>
        <v>428</v>
      </c>
      <c r="L100" s="26">
        <f>SUMIFS(INDEX(元データ_14項目!$D$2:$Q$1300,0,MATCH($B100,元データ_14項目!$D$1:$Q$1,0)),元データ_14項目!$A$2:$A$1300,$A100,元データ_14項目!$B$2:$B$1300,"本年",元データ_14項目!$C$2:$C$1300,L$5)</f>
        <v>194</v>
      </c>
      <c r="M100" s="26">
        <f>SUMIFS(INDEX(元データ_14項目!$D$2:$Q$1300,0,MATCH($B100,元データ_14項目!$D$1:$Q$1,0)),元データ_14項目!$A$2:$A$1300,$A100,元データ_14項目!$B$2:$B$1300,"本年",元データ_14項目!$C$2:$C$1300,M$5)</f>
        <v>126</v>
      </c>
      <c r="N100" s="26">
        <f>SUMIFS(INDEX(元データ_14項目!$D$2:$Q$1300,0,MATCH($B100,元データ_14項目!$D$1:$Q$1,0)),元データ_14項目!$A$2:$A$1300,$A100,元データ_14項目!$B$2:$B$1300,"本年",元データ_14項目!$C$2:$C$1300,N$5)</f>
        <v>37</v>
      </c>
      <c r="O100" s="26">
        <f t="shared" si="2"/>
        <v>1275</v>
      </c>
      <c r="P100" s="26">
        <f>SUMIFS(INDEX(元データ_14項目!$D$2:$Q$1300,0,MATCH($B100,元データ_14項目!$D$1:$Q$1,0)),元データ_14項目!$A$2:$A$1300,$A100,元データ_14項目!$B$2:$B$1300,"前年")</f>
        <v>1215</v>
      </c>
      <c r="Q100" s="7">
        <f t="shared" si="3"/>
        <v>1.0493827160493827</v>
      </c>
    </row>
    <row r="101" spans="1:17" x14ac:dyDescent="0.45">
      <c r="A101" t="s">
        <v>41</v>
      </c>
      <c r="B101" t="s">
        <v>97</v>
      </c>
      <c r="C101" s="26">
        <f>SUMIFS(INDEX(元データ_14項目!$D$2:$Q$1300,0,MATCH($B101,元データ_14項目!$D$1:$Q$1,0)),元データ_14項目!$A$2:$A$1300,$A101,元データ_14項目!$B$2:$B$1300,"本年",元データ_14項目!$C$2:$C$1300,C$5)</f>
        <v>13</v>
      </c>
      <c r="D101" s="26">
        <f>SUMIFS(INDEX(元データ_14項目!$D$2:$Q$1300,0,MATCH($B101,元データ_14項目!$D$1:$Q$1,0)),元データ_14項目!$A$2:$A$1300,$A101,元データ_14項目!$B$2:$B$1300,"本年",元データ_14項目!$C$2:$C$1300,D$5)</f>
        <v>23</v>
      </c>
      <c r="E101" s="26">
        <f>SUMIFS(INDEX(元データ_14項目!$D$2:$Q$1300,0,MATCH($B101,元データ_14項目!$D$1:$Q$1,0)),元データ_14項目!$A$2:$A$1300,$A101,元データ_14項目!$B$2:$B$1300,"本年",元データ_14項目!$C$2:$C$1300,E$5)</f>
        <v>70</v>
      </c>
      <c r="F101" s="26">
        <f>SUMIFS(INDEX(元データ_14項目!$D$2:$Q$1300,0,MATCH($B101,元データ_14項目!$D$1:$Q$1,0)),元データ_14項目!$A$2:$A$1300,$A101,元データ_14項目!$B$2:$B$1300,"本年",元データ_14項目!$C$2:$C$1300,F$5)</f>
        <v>48</v>
      </c>
      <c r="G101" s="26">
        <f>SUMIFS(INDEX(元データ_14項目!$D$2:$Q$1300,0,MATCH($B101,元データ_14項目!$D$1:$Q$1,0)),元データ_14項目!$A$2:$A$1300,$A101,元データ_14項目!$B$2:$B$1300,"本年",元データ_14項目!$C$2:$C$1300,G$5)</f>
        <v>62</v>
      </c>
      <c r="H101" s="26">
        <f>SUMIFS(INDEX(元データ_14項目!$D$2:$Q$1300,0,MATCH($B101,元データ_14項目!$D$1:$Q$1,0)),元データ_14項目!$A$2:$A$1300,$A101,元データ_14項目!$B$2:$B$1300,"本年",元データ_14項目!$C$2:$C$1300,H$5)</f>
        <v>50</v>
      </c>
      <c r="I101" s="26">
        <f>SUMIFS(INDEX(元データ_14項目!$D$2:$Q$1300,0,MATCH($B101,元データ_14項目!$D$1:$Q$1,0)),元データ_14項目!$A$2:$A$1300,$A101,元データ_14項目!$B$2:$B$1300,"本年",元データ_14項目!$C$2:$C$1300,I$5)</f>
        <v>36</v>
      </c>
      <c r="J101" s="26">
        <f>SUMIFS(INDEX(元データ_14項目!$D$2:$Q$1300,0,MATCH($B101,元データ_14項目!$D$1:$Q$1,0)),元データ_14項目!$A$2:$A$1300,$A101,元データ_14項目!$B$2:$B$1300,"本年",元データ_14項目!$C$2:$C$1300,J$5)</f>
        <v>76</v>
      </c>
      <c r="K101" s="26">
        <f>SUMIFS(INDEX(元データ_14項目!$D$2:$Q$1300,0,MATCH($B101,元データ_14項目!$D$1:$Q$1,0)),元データ_14項目!$A$2:$A$1300,$A101,元データ_14項目!$B$2:$B$1300,"本年",元データ_14項目!$C$2:$C$1300,K$5)</f>
        <v>320</v>
      </c>
      <c r="L101" s="26">
        <f>SUMIFS(INDEX(元データ_14項目!$D$2:$Q$1300,0,MATCH($B101,元データ_14項目!$D$1:$Q$1,0)),元データ_14項目!$A$2:$A$1300,$A101,元データ_14項目!$B$2:$B$1300,"本年",元データ_14項目!$C$2:$C$1300,L$5)</f>
        <v>126</v>
      </c>
      <c r="M101" s="26">
        <f>SUMIFS(INDEX(元データ_14項目!$D$2:$Q$1300,0,MATCH($B101,元データ_14項目!$D$1:$Q$1,0)),元データ_14項目!$A$2:$A$1300,$A101,元データ_14項目!$B$2:$B$1300,"本年",元データ_14項目!$C$2:$C$1300,M$5)</f>
        <v>119</v>
      </c>
      <c r="N101" s="26">
        <f>SUMIFS(INDEX(元データ_14項目!$D$2:$Q$1300,0,MATCH($B101,元データ_14項目!$D$1:$Q$1,0)),元データ_14項目!$A$2:$A$1300,$A101,元データ_14項目!$B$2:$B$1300,"本年",元データ_14項目!$C$2:$C$1300,N$5)</f>
        <v>43</v>
      </c>
      <c r="O101" s="26">
        <f t="shared" si="2"/>
        <v>986</v>
      </c>
      <c r="P101" s="26">
        <f>SUMIFS(INDEX(元データ_14項目!$D$2:$Q$1300,0,MATCH($B101,元データ_14項目!$D$1:$Q$1,0)),元データ_14項目!$A$2:$A$1300,$A101,元データ_14項目!$B$2:$B$1300,"前年")</f>
        <v>1048</v>
      </c>
      <c r="Q101" s="7">
        <f t="shared" si="3"/>
        <v>0.94083969465648853</v>
      </c>
    </row>
    <row r="102" spans="1:17" x14ac:dyDescent="0.45">
      <c r="A102" t="s">
        <v>41</v>
      </c>
      <c r="B102" t="s">
        <v>98</v>
      </c>
      <c r="C102" s="26">
        <f>SUMIFS(INDEX(元データ_14項目!$D$2:$Q$1300,0,MATCH($B102,元データ_14項目!$D$1:$Q$1,0)),元データ_14項目!$A$2:$A$1300,$A102,元データ_14項目!$B$2:$B$1300,"本年",元データ_14項目!$C$2:$C$1300,C$5)</f>
        <v>2</v>
      </c>
      <c r="D102" s="26">
        <f>SUMIFS(INDEX(元データ_14項目!$D$2:$Q$1300,0,MATCH($B102,元データ_14項目!$D$1:$Q$1,0)),元データ_14項目!$A$2:$A$1300,$A102,元データ_14項目!$B$2:$B$1300,"本年",元データ_14項目!$C$2:$C$1300,D$5)</f>
        <v>3</v>
      </c>
      <c r="E102" s="26">
        <f>SUMIFS(INDEX(元データ_14項目!$D$2:$Q$1300,0,MATCH($B102,元データ_14項目!$D$1:$Q$1,0)),元データ_14項目!$A$2:$A$1300,$A102,元データ_14項目!$B$2:$B$1300,"本年",元データ_14項目!$C$2:$C$1300,E$5)</f>
        <v>21</v>
      </c>
      <c r="F102" s="26">
        <f>SUMIFS(INDEX(元データ_14項目!$D$2:$Q$1300,0,MATCH($B102,元データ_14項目!$D$1:$Q$1,0)),元データ_14項目!$A$2:$A$1300,$A102,元データ_14項目!$B$2:$B$1300,"本年",元データ_14項目!$C$2:$C$1300,F$5)</f>
        <v>23</v>
      </c>
      <c r="G102" s="26">
        <f>SUMIFS(INDEX(元データ_14項目!$D$2:$Q$1300,0,MATCH($B102,元データ_14項目!$D$1:$Q$1,0)),元データ_14項目!$A$2:$A$1300,$A102,元データ_14項目!$B$2:$B$1300,"本年",元データ_14項目!$C$2:$C$1300,G$5)</f>
        <v>30</v>
      </c>
      <c r="H102" s="26">
        <f>SUMIFS(INDEX(元データ_14項目!$D$2:$Q$1300,0,MATCH($B102,元データ_14項目!$D$1:$Q$1,0)),元データ_14項目!$A$2:$A$1300,$A102,元データ_14項目!$B$2:$B$1300,"本年",元データ_14項目!$C$2:$C$1300,H$5)</f>
        <v>21</v>
      </c>
      <c r="I102" s="26">
        <f>SUMIFS(INDEX(元データ_14項目!$D$2:$Q$1300,0,MATCH($B102,元データ_14項目!$D$1:$Q$1,0)),元データ_14項目!$A$2:$A$1300,$A102,元データ_14項目!$B$2:$B$1300,"本年",元データ_14項目!$C$2:$C$1300,I$5)</f>
        <v>18</v>
      </c>
      <c r="J102" s="26">
        <f>SUMIFS(INDEX(元データ_14項目!$D$2:$Q$1300,0,MATCH($B102,元データ_14項目!$D$1:$Q$1,0)),元データ_14項目!$A$2:$A$1300,$A102,元データ_14項目!$B$2:$B$1300,"本年",元データ_14項目!$C$2:$C$1300,J$5)</f>
        <v>109</v>
      </c>
      <c r="K102" s="26">
        <f>SUMIFS(INDEX(元データ_14項目!$D$2:$Q$1300,0,MATCH($B102,元データ_14項目!$D$1:$Q$1,0)),元データ_14項目!$A$2:$A$1300,$A102,元データ_14項目!$B$2:$B$1300,"本年",元データ_14項目!$C$2:$C$1300,K$5)</f>
        <v>226</v>
      </c>
      <c r="L102" s="26">
        <f>SUMIFS(INDEX(元データ_14項目!$D$2:$Q$1300,0,MATCH($B102,元データ_14項目!$D$1:$Q$1,0)),元データ_14項目!$A$2:$A$1300,$A102,元データ_14項目!$B$2:$B$1300,"本年",元データ_14項目!$C$2:$C$1300,L$5)</f>
        <v>86</v>
      </c>
      <c r="M102" s="26">
        <f>SUMIFS(INDEX(元データ_14項目!$D$2:$Q$1300,0,MATCH($B102,元データ_14項目!$D$1:$Q$1,0)),元データ_14項目!$A$2:$A$1300,$A102,元データ_14項目!$B$2:$B$1300,"本年",元データ_14項目!$C$2:$C$1300,M$5)</f>
        <v>49</v>
      </c>
      <c r="N102" s="26">
        <f>SUMIFS(INDEX(元データ_14項目!$D$2:$Q$1300,0,MATCH($B102,元データ_14項目!$D$1:$Q$1,0)),元データ_14項目!$A$2:$A$1300,$A102,元データ_14項目!$B$2:$B$1300,"本年",元データ_14項目!$C$2:$C$1300,N$5)</f>
        <v>10</v>
      </c>
      <c r="O102" s="26">
        <f t="shared" si="2"/>
        <v>598</v>
      </c>
      <c r="P102" s="26">
        <f>SUMIFS(INDEX(元データ_14項目!$D$2:$Q$1300,0,MATCH($B102,元データ_14項目!$D$1:$Q$1,0)),元データ_14項目!$A$2:$A$1300,$A102,元データ_14項目!$B$2:$B$1300,"前年")</f>
        <v>644</v>
      </c>
      <c r="Q102" s="7">
        <f t="shared" si="3"/>
        <v>0.9285714285714286</v>
      </c>
    </row>
    <row r="103" spans="1:17" x14ac:dyDescent="0.45">
      <c r="A103" t="s">
        <v>41</v>
      </c>
      <c r="B103" t="s">
        <v>99</v>
      </c>
      <c r="C103" s="26">
        <f>SUMIFS(INDEX(元データ_14項目!$D$2:$Q$1300,0,MATCH($B103,元データ_14項目!$D$1:$Q$1,0)),元データ_14項目!$A$2:$A$1300,$A103,元データ_14項目!$B$2:$B$1300,"本年",元データ_14項目!$C$2:$C$1300,C$5)</f>
        <v>0</v>
      </c>
      <c r="D103" s="26">
        <f>SUMIFS(INDEX(元データ_14項目!$D$2:$Q$1300,0,MATCH($B103,元データ_14項目!$D$1:$Q$1,0)),元データ_14項目!$A$2:$A$1300,$A103,元データ_14項目!$B$2:$B$1300,"本年",元データ_14項目!$C$2:$C$1300,D$5)</f>
        <v>0</v>
      </c>
      <c r="E103" s="26">
        <f>SUMIFS(INDEX(元データ_14項目!$D$2:$Q$1300,0,MATCH($B103,元データ_14項目!$D$1:$Q$1,0)),元データ_14項目!$A$2:$A$1300,$A103,元データ_14項目!$B$2:$B$1300,"本年",元データ_14項目!$C$2:$C$1300,E$5)</f>
        <v>0</v>
      </c>
      <c r="F103" s="26">
        <f>SUMIFS(INDEX(元データ_14項目!$D$2:$Q$1300,0,MATCH($B103,元データ_14項目!$D$1:$Q$1,0)),元データ_14項目!$A$2:$A$1300,$A103,元データ_14項目!$B$2:$B$1300,"本年",元データ_14項目!$C$2:$C$1300,F$5)</f>
        <v>2</v>
      </c>
      <c r="G103" s="26">
        <f>SUMIFS(INDEX(元データ_14項目!$D$2:$Q$1300,0,MATCH($B103,元データ_14項目!$D$1:$Q$1,0)),元データ_14項目!$A$2:$A$1300,$A103,元データ_14項目!$B$2:$B$1300,"本年",元データ_14項目!$C$2:$C$1300,G$5)</f>
        <v>2</v>
      </c>
      <c r="H103" s="26">
        <f>SUMIFS(INDEX(元データ_14項目!$D$2:$Q$1300,0,MATCH($B103,元データ_14項目!$D$1:$Q$1,0)),元データ_14項目!$A$2:$A$1300,$A103,元データ_14項目!$B$2:$B$1300,"本年",元データ_14項目!$C$2:$C$1300,H$5)</f>
        <v>7</v>
      </c>
      <c r="I103" s="26">
        <f>SUMIFS(INDEX(元データ_14項目!$D$2:$Q$1300,0,MATCH($B103,元データ_14項目!$D$1:$Q$1,0)),元データ_14項目!$A$2:$A$1300,$A103,元データ_14項目!$B$2:$B$1300,"本年",元データ_14項目!$C$2:$C$1300,I$5)</f>
        <v>1</v>
      </c>
      <c r="J103" s="26">
        <f>SUMIFS(INDEX(元データ_14項目!$D$2:$Q$1300,0,MATCH($B103,元データ_14項目!$D$1:$Q$1,0)),元データ_14項目!$A$2:$A$1300,$A103,元データ_14項目!$B$2:$B$1300,"本年",元データ_14項目!$C$2:$C$1300,J$5)</f>
        <v>7</v>
      </c>
      <c r="K103" s="26">
        <f>SUMIFS(INDEX(元データ_14項目!$D$2:$Q$1300,0,MATCH($B103,元データ_14項目!$D$1:$Q$1,0)),元データ_14項目!$A$2:$A$1300,$A103,元データ_14項目!$B$2:$B$1300,"本年",元データ_14項目!$C$2:$C$1300,K$5)</f>
        <v>12</v>
      </c>
      <c r="L103" s="26">
        <f>SUMIFS(INDEX(元データ_14項目!$D$2:$Q$1300,0,MATCH($B103,元データ_14項目!$D$1:$Q$1,0)),元データ_14項目!$A$2:$A$1300,$A103,元データ_14項目!$B$2:$B$1300,"本年",元データ_14項目!$C$2:$C$1300,L$5)</f>
        <v>5</v>
      </c>
      <c r="M103" s="26">
        <f>SUMIFS(INDEX(元データ_14項目!$D$2:$Q$1300,0,MATCH($B103,元データ_14項目!$D$1:$Q$1,0)),元データ_14項目!$A$2:$A$1300,$A103,元データ_14項目!$B$2:$B$1300,"本年",元データ_14項目!$C$2:$C$1300,M$5)</f>
        <v>8</v>
      </c>
      <c r="N103" s="26">
        <f>SUMIFS(INDEX(元データ_14項目!$D$2:$Q$1300,0,MATCH($B103,元データ_14項目!$D$1:$Q$1,0)),元データ_14項目!$A$2:$A$1300,$A103,元データ_14項目!$B$2:$B$1300,"本年",元データ_14項目!$C$2:$C$1300,N$5)</f>
        <v>0</v>
      </c>
      <c r="O103" s="26">
        <f t="shared" si="2"/>
        <v>44</v>
      </c>
      <c r="P103" s="26">
        <f>SUMIFS(INDEX(元データ_14項目!$D$2:$Q$1300,0,MATCH($B103,元データ_14項目!$D$1:$Q$1,0)),元データ_14項目!$A$2:$A$1300,$A103,元データ_14項目!$B$2:$B$1300,"前年")</f>
        <v>23</v>
      </c>
      <c r="Q103" s="7">
        <f t="shared" si="3"/>
        <v>1.9130434782608696</v>
      </c>
    </row>
    <row r="104" spans="1:17" x14ac:dyDescent="0.45">
      <c r="A104" t="s">
        <v>42</v>
      </c>
      <c r="B104" t="s">
        <v>27</v>
      </c>
      <c r="C104" s="26">
        <f>SUMIFS(INDEX(元データ_14項目!$D$2:$Q$1300,0,MATCH($B104,元データ_14項目!$D$1:$Q$1,0)),元データ_14項目!$A$2:$A$1300,$A104,元データ_14項目!$B$2:$B$1300,"本年",元データ_14項目!$C$2:$C$1300,C$5)</f>
        <v>643</v>
      </c>
      <c r="D104" s="26">
        <f>SUMIFS(INDEX(元データ_14項目!$D$2:$Q$1300,0,MATCH($B104,元データ_14項目!$D$1:$Q$1,0)),元データ_14項目!$A$2:$A$1300,$A104,元データ_14項目!$B$2:$B$1300,"本年",元データ_14項目!$C$2:$C$1300,D$5)</f>
        <v>777</v>
      </c>
      <c r="E104" s="26">
        <f>SUMIFS(INDEX(元データ_14項目!$D$2:$Q$1300,0,MATCH($B104,元データ_14項目!$D$1:$Q$1,0)),元データ_14項目!$A$2:$A$1300,$A104,元データ_14項目!$B$2:$B$1300,"本年",元データ_14項目!$C$2:$C$1300,E$5)</f>
        <v>832</v>
      </c>
      <c r="F104" s="26">
        <f>SUMIFS(INDEX(元データ_14項目!$D$2:$Q$1300,0,MATCH($B104,元データ_14項目!$D$1:$Q$1,0)),元データ_14項目!$A$2:$A$1300,$A104,元データ_14項目!$B$2:$B$1300,"本年",元データ_14項目!$C$2:$C$1300,F$5)</f>
        <v>741</v>
      </c>
      <c r="G104" s="26">
        <f>SUMIFS(INDEX(元データ_14項目!$D$2:$Q$1300,0,MATCH($B104,元データ_14項目!$D$1:$Q$1,0)),元データ_14項目!$A$2:$A$1300,$A104,元データ_14項目!$B$2:$B$1300,"本年",元データ_14項目!$C$2:$C$1300,G$5)</f>
        <v>841</v>
      </c>
      <c r="H104" s="26">
        <f>SUMIFS(INDEX(元データ_14項目!$D$2:$Q$1300,0,MATCH($B104,元データ_14項目!$D$1:$Q$1,0)),元データ_14項目!$A$2:$A$1300,$A104,元データ_14項目!$B$2:$B$1300,"本年",元データ_14項目!$C$2:$C$1300,H$5)</f>
        <v>638</v>
      </c>
      <c r="I104" s="26">
        <f>SUMIFS(INDEX(元データ_14項目!$D$2:$Q$1300,0,MATCH($B104,元データ_14項目!$D$1:$Q$1,0)),元データ_14項目!$A$2:$A$1300,$A104,元データ_14項目!$B$2:$B$1300,"本年",元データ_14項目!$C$2:$C$1300,I$5)</f>
        <v>659</v>
      </c>
      <c r="J104" s="26">
        <f>SUMIFS(INDEX(元データ_14項目!$D$2:$Q$1300,0,MATCH($B104,元データ_14項目!$D$1:$Q$1,0)),元データ_14項目!$A$2:$A$1300,$A104,元データ_14項目!$B$2:$B$1300,"本年",元データ_14項目!$C$2:$C$1300,J$5)</f>
        <v>868</v>
      </c>
      <c r="K104" s="26">
        <f>SUMIFS(INDEX(元データ_14項目!$D$2:$Q$1300,0,MATCH($B104,元データ_14項目!$D$1:$Q$1,0)),元データ_14項目!$A$2:$A$1300,$A104,元データ_14項目!$B$2:$B$1300,"本年",元データ_14項目!$C$2:$C$1300,K$5)</f>
        <v>827</v>
      </c>
      <c r="L104" s="26">
        <f>SUMIFS(INDEX(元データ_14項目!$D$2:$Q$1300,0,MATCH($B104,元データ_14項目!$D$1:$Q$1,0)),元データ_14項目!$A$2:$A$1300,$A104,元データ_14項目!$B$2:$B$1300,"本年",元データ_14項目!$C$2:$C$1300,L$5)</f>
        <v>721</v>
      </c>
      <c r="M104" s="26">
        <f>SUMIFS(INDEX(元データ_14項目!$D$2:$Q$1300,0,MATCH($B104,元データ_14項目!$D$1:$Q$1,0)),元データ_14項目!$A$2:$A$1300,$A104,元データ_14項目!$B$2:$B$1300,"本年",元データ_14項目!$C$2:$C$1300,M$5)</f>
        <v>0</v>
      </c>
      <c r="N104" s="26">
        <f>SUMIFS(INDEX(元データ_14項目!$D$2:$Q$1300,0,MATCH($B104,元データ_14項目!$D$1:$Q$1,0)),元データ_14項目!$A$2:$A$1300,$A104,元データ_14項目!$B$2:$B$1300,"本年",元データ_14項目!$C$2:$C$1300,N$5)</f>
        <v>0</v>
      </c>
      <c r="O104" s="26">
        <f t="shared" si="2"/>
        <v>7547</v>
      </c>
      <c r="P104" s="26">
        <f>SUMIFS(INDEX(元データ_14項目!$D$2:$Q$1300,0,MATCH($B104,元データ_14項目!$D$1:$Q$1,0)),元データ_14項目!$A$2:$A$1300,$A104,元データ_14項目!$B$2:$B$1300,"前年")</f>
        <v>8482</v>
      </c>
      <c r="Q104" s="7">
        <f t="shared" si="3"/>
        <v>0.88976656448950719</v>
      </c>
    </row>
    <row r="105" spans="1:17" x14ac:dyDescent="0.45">
      <c r="A105" t="s">
        <v>42</v>
      </c>
      <c r="B105" t="s">
        <v>88</v>
      </c>
      <c r="C105" s="26">
        <f>SUMIFS(INDEX(元データ_14項目!$D$2:$Q$1300,0,MATCH($B105,元データ_14項目!$D$1:$Q$1,0)),元データ_14項目!$A$2:$A$1300,$A105,元データ_14項目!$B$2:$B$1300,"本年",元データ_14項目!$C$2:$C$1300,C$5)</f>
        <v>48</v>
      </c>
      <c r="D105" s="26">
        <f>SUMIFS(INDEX(元データ_14項目!$D$2:$Q$1300,0,MATCH($B105,元データ_14項目!$D$1:$Q$1,0)),元データ_14項目!$A$2:$A$1300,$A105,元データ_14項目!$B$2:$B$1300,"本年",元データ_14項目!$C$2:$C$1300,D$5)</f>
        <v>46</v>
      </c>
      <c r="E105" s="26">
        <f>SUMIFS(INDEX(元データ_14項目!$D$2:$Q$1300,0,MATCH($B105,元データ_14項目!$D$1:$Q$1,0)),元データ_14項目!$A$2:$A$1300,$A105,元データ_14項目!$B$2:$B$1300,"本年",元データ_14項目!$C$2:$C$1300,E$5)</f>
        <v>87</v>
      </c>
      <c r="F105" s="26">
        <f>SUMIFS(INDEX(元データ_14項目!$D$2:$Q$1300,0,MATCH($B105,元データ_14項目!$D$1:$Q$1,0)),元データ_14項目!$A$2:$A$1300,$A105,元データ_14項目!$B$2:$B$1300,"本年",元データ_14項目!$C$2:$C$1300,F$5)</f>
        <v>45</v>
      </c>
      <c r="G105" s="26">
        <f>SUMIFS(INDEX(元データ_14項目!$D$2:$Q$1300,0,MATCH($B105,元データ_14項目!$D$1:$Q$1,0)),元データ_14項目!$A$2:$A$1300,$A105,元データ_14項目!$B$2:$B$1300,"本年",元データ_14項目!$C$2:$C$1300,G$5)</f>
        <v>35</v>
      </c>
      <c r="H105" s="26">
        <f>SUMIFS(INDEX(元データ_14項目!$D$2:$Q$1300,0,MATCH($B105,元データ_14項目!$D$1:$Q$1,0)),元データ_14項目!$A$2:$A$1300,$A105,元データ_14項目!$B$2:$B$1300,"本年",元データ_14項目!$C$2:$C$1300,H$5)</f>
        <v>43</v>
      </c>
      <c r="I105" s="26">
        <f>SUMIFS(INDEX(元データ_14項目!$D$2:$Q$1300,0,MATCH($B105,元データ_14項目!$D$1:$Q$1,0)),元データ_14項目!$A$2:$A$1300,$A105,元データ_14項目!$B$2:$B$1300,"本年",元データ_14項目!$C$2:$C$1300,I$5)</f>
        <v>30</v>
      </c>
      <c r="J105" s="26">
        <f>SUMIFS(INDEX(元データ_14項目!$D$2:$Q$1300,0,MATCH($B105,元データ_14項目!$D$1:$Q$1,0)),元データ_14項目!$A$2:$A$1300,$A105,元データ_14項目!$B$2:$B$1300,"本年",元データ_14項目!$C$2:$C$1300,J$5)</f>
        <v>35</v>
      </c>
      <c r="K105" s="26">
        <f>SUMIFS(INDEX(元データ_14項目!$D$2:$Q$1300,0,MATCH($B105,元データ_14項目!$D$1:$Q$1,0)),元データ_14項目!$A$2:$A$1300,$A105,元データ_14項目!$B$2:$B$1300,"本年",元データ_14項目!$C$2:$C$1300,K$5)</f>
        <v>50</v>
      </c>
      <c r="L105" s="26">
        <f>SUMIFS(INDEX(元データ_14項目!$D$2:$Q$1300,0,MATCH($B105,元データ_14項目!$D$1:$Q$1,0)),元データ_14項目!$A$2:$A$1300,$A105,元データ_14項目!$B$2:$B$1300,"本年",元データ_14項目!$C$2:$C$1300,L$5)</f>
        <v>51</v>
      </c>
      <c r="M105" s="26">
        <f>SUMIFS(INDEX(元データ_14項目!$D$2:$Q$1300,0,MATCH($B105,元データ_14項目!$D$1:$Q$1,0)),元データ_14項目!$A$2:$A$1300,$A105,元データ_14項目!$B$2:$B$1300,"本年",元データ_14項目!$C$2:$C$1300,M$5)</f>
        <v>0</v>
      </c>
      <c r="N105" s="26">
        <f>SUMIFS(INDEX(元データ_14項目!$D$2:$Q$1300,0,MATCH($B105,元データ_14項目!$D$1:$Q$1,0)),元データ_14項目!$A$2:$A$1300,$A105,元データ_14項目!$B$2:$B$1300,"本年",元データ_14項目!$C$2:$C$1300,N$5)</f>
        <v>0</v>
      </c>
      <c r="O105" s="26">
        <f t="shared" si="2"/>
        <v>470</v>
      </c>
      <c r="P105" s="26">
        <f>SUMIFS(INDEX(元データ_14項目!$D$2:$Q$1300,0,MATCH($B105,元データ_14項目!$D$1:$Q$1,0)),元データ_14項目!$A$2:$A$1300,$A105,元データ_14項目!$B$2:$B$1300,"前年")</f>
        <v>470</v>
      </c>
      <c r="Q105" s="7">
        <f t="shared" si="3"/>
        <v>1</v>
      </c>
    </row>
    <row r="106" spans="1:17" x14ac:dyDescent="0.45">
      <c r="A106" t="s">
        <v>42</v>
      </c>
      <c r="B106" t="s">
        <v>89</v>
      </c>
      <c r="C106" s="26">
        <f>SUMIFS(INDEX(元データ_14項目!$D$2:$Q$1300,0,MATCH($B106,元データ_14項目!$D$1:$Q$1,0)),元データ_14項目!$A$2:$A$1300,$A106,元データ_14項目!$B$2:$B$1300,"本年",元データ_14項目!$C$2:$C$1300,C$5)</f>
        <v>36</v>
      </c>
      <c r="D106" s="26">
        <f>SUMIFS(INDEX(元データ_14項目!$D$2:$Q$1300,0,MATCH($B106,元データ_14項目!$D$1:$Q$1,0)),元データ_14項目!$A$2:$A$1300,$A106,元データ_14項目!$B$2:$B$1300,"本年",元データ_14項目!$C$2:$C$1300,D$5)</f>
        <v>38</v>
      </c>
      <c r="E106" s="26">
        <f>SUMIFS(INDEX(元データ_14項目!$D$2:$Q$1300,0,MATCH($B106,元データ_14項目!$D$1:$Q$1,0)),元データ_14項目!$A$2:$A$1300,$A106,元データ_14項目!$B$2:$B$1300,"本年",元データ_14項目!$C$2:$C$1300,E$5)</f>
        <v>27</v>
      </c>
      <c r="F106" s="26">
        <f>SUMIFS(INDEX(元データ_14項目!$D$2:$Q$1300,0,MATCH($B106,元データ_14項目!$D$1:$Q$1,0)),元データ_14項目!$A$2:$A$1300,$A106,元データ_14項目!$B$2:$B$1300,"本年",元データ_14項目!$C$2:$C$1300,F$5)</f>
        <v>41</v>
      </c>
      <c r="G106" s="26">
        <f>SUMIFS(INDEX(元データ_14項目!$D$2:$Q$1300,0,MATCH($B106,元データ_14項目!$D$1:$Q$1,0)),元データ_14項目!$A$2:$A$1300,$A106,元データ_14項目!$B$2:$B$1300,"本年",元データ_14項目!$C$2:$C$1300,G$5)</f>
        <v>25</v>
      </c>
      <c r="H106" s="26">
        <f>SUMIFS(INDEX(元データ_14項目!$D$2:$Q$1300,0,MATCH($B106,元データ_14項目!$D$1:$Q$1,0)),元データ_14項目!$A$2:$A$1300,$A106,元データ_14項目!$B$2:$B$1300,"本年",元データ_14項目!$C$2:$C$1300,H$5)</f>
        <v>16</v>
      </c>
      <c r="I106" s="26">
        <f>SUMIFS(INDEX(元データ_14項目!$D$2:$Q$1300,0,MATCH($B106,元データ_14項目!$D$1:$Q$1,0)),元データ_14項目!$A$2:$A$1300,$A106,元データ_14項目!$B$2:$B$1300,"本年",元データ_14項目!$C$2:$C$1300,I$5)</f>
        <v>15</v>
      </c>
      <c r="J106" s="26">
        <f>SUMIFS(INDEX(元データ_14項目!$D$2:$Q$1300,0,MATCH($B106,元データ_14項目!$D$1:$Q$1,0)),元データ_14項目!$A$2:$A$1300,$A106,元データ_14項目!$B$2:$B$1300,"本年",元データ_14項目!$C$2:$C$1300,J$5)</f>
        <v>32</v>
      </c>
      <c r="K106" s="26">
        <f>SUMIFS(INDEX(元データ_14項目!$D$2:$Q$1300,0,MATCH($B106,元データ_14項目!$D$1:$Q$1,0)),元データ_14項目!$A$2:$A$1300,$A106,元データ_14項目!$B$2:$B$1300,"本年",元データ_14項目!$C$2:$C$1300,K$5)</f>
        <v>39</v>
      </c>
      <c r="L106" s="26">
        <f>SUMIFS(INDEX(元データ_14項目!$D$2:$Q$1300,0,MATCH($B106,元データ_14項目!$D$1:$Q$1,0)),元データ_14項目!$A$2:$A$1300,$A106,元データ_14項目!$B$2:$B$1300,"本年",元データ_14項目!$C$2:$C$1300,L$5)</f>
        <v>29</v>
      </c>
      <c r="M106" s="26">
        <f>SUMIFS(INDEX(元データ_14項目!$D$2:$Q$1300,0,MATCH($B106,元データ_14項目!$D$1:$Q$1,0)),元データ_14項目!$A$2:$A$1300,$A106,元データ_14項目!$B$2:$B$1300,"本年",元データ_14項目!$C$2:$C$1300,M$5)</f>
        <v>0</v>
      </c>
      <c r="N106" s="26">
        <f>SUMIFS(INDEX(元データ_14項目!$D$2:$Q$1300,0,MATCH($B106,元データ_14項目!$D$1:$Q$1,0)),元データ_14項目!$A$2:$A$1300,$A106,元データ_14項目!$B$2:$B$1300,"本年",元データ_14項目!$C$2:$C$1300,N$5)</f>
        <v>0</v>
      </c>
      <c r="O106" s="26">
        <f t="shared" si="2"/>
        <v>298</v>
      </c>
      <c r="P106" s="26">
        <f>SUMIFS(INDEX(元データ_14項目!$D$2:$Q$1300,0,MATCH($B106,元データ_14項目!$D$1:$Q$1,0)),元データ_14項目!$A$2:$A$1300,$A106,元データ_14項目!$B$2:$B$1300,"前年")</f>
        <v>275</v>
      </c>
      <c r="Q106" s="7">
        <f t="shared" si="3"/>
        <v>1.0836363636363637</v>
      </c>
    </row>
    <row r="107" spans="1:17" x14ac:dyDescent="0.45">
      <c r="A107" t="s">
        <v>42</v>
      </c>
      <c r="B107" t="s">
        <v>90</v>
      </c>
      <c r="C107" s="26">
        <f>SUMIFS(INDEX(元データ_14項目!$D$2:$Q$1300,0,MATCH($B107,元データ_14項目!$D$1:$Q$1,0)),元データ_14項目!$A$2:$A$1300,$A107,元データ_14項目!$B$2:$B$1300,"本年",元データ_14項目!$C$2:$C$1300,C$5)</f>
        <v>37</v>
      </c>
      <c r="D107" s="26">
        <f>SUMIFS(INDEX(元データ_14項目!$D$2:$Q$1300,0,MATCH($B107,元データ_14項目!$D$1:$Q$1,0)),元データ_14項目!$A$2:$A$1300,$A107,元データ_14項目!$B$2:$B$1300,"本年",元データ_14項目!$C$2:$C$1300,D$5)</f>
        <v>43</v>
      </c>
      <c r="E107" s="26">
        <f>SUMIFS(INDEX(元データ_14項目!$D$2:$Q$1300,0,MATCH($B107,元データ_14項目!$D$1:$Q$1,0)),元データ_14項目!$A$2:$A$1300,$A107,元データ_14項目!$B$2:$B$1300,"本年",元データ_14項目!$C$2:$C$1300,E$5)</f>
        <v>44</v>
      </c>
      <c r="F107" s="26">
        <f>SUMIFS(INDEX(元データ_14項目!$D$2:$Q$1300,0,MATCH($B107,元データ_14項目!$D$1:$Q$1,0)),元データ_14項目!$A$2:$A$1300,$A107,元データ_14項目!$B$2:$B$1300,"本年",元データ_14項目!$C$2:$C$1300,F$5)</f>
        <v>65</v>
      </c>
      <c r="G107" s="26">
        <f>SUMIFS(INDEX(元データ_14項目!$D$2:$Q$1300,0,MATCH($B107,元データ_14項目!$D$1:$Q$1,0)),元データ_14項目!$A$2:$A$1300,$A107,元データ_14項目!$B$2:$B$1300,"本年",元データ_14項目!$C$2:$C$1300,G$5)</f>
        <v>108</v>
      </c>
      <c r="H107" s="26">
        <f>SUMIFS(INDEX(元データ_14項目!$D$2:$Q$1300,0,MATCH($B107,元データ_14項目!$D$1:$Q$1,0)),元データ_14項目!$A$2:$A$1300,$A107,元データ_14項目!$B$2:$B$1300,"本年",元データ_14項目!$C$2:$C$1300,H$5)</f>
        <v>71</v>
      </c>
      <c r="I107" s="26">
        <f>SUMIFS(INDEX(元データ_14項目!$D$2:$Q$1300,0,MATCH($B107,元データ_14項目!$D$1:$Q$1,0)),元データ_14項目!$A$2:$A$1300,$A107,元データ_14項目!$B$2:$B$1300,"本年",元データ_14項目!$C$2:$C$1300,I$5)</f>
        <v>59</v>
      </c>
      <c r="J107" s="26">
        <f>SUMIFS(INDEX(元データ_14項目!$D$2:$Q$1300,0,MATCH($B107,元データ_14項目!$D$1:$Q$1,0)),元データ_14項目!$A$2:$A$1300,$A107,元データ_14項目!$B$2:$B$1300,"本年",元データ_14項目!$C$2:$C$1300,J$5)</f>
        <v>104</v>
      </c>
      <c r="K107" s="26">
        <f>SUMIFS(INDEX(元データ_14項目!$D$2:$Q$1300,0,MATCH($B107,元データ_14項目!$D$1:$Q$1,0)),元データ_14項目!$A$2:$A$1300,$A107,元データ_14項目!$B$2:$B$1300,"本年",元データ_14項目!$C$2:$C$1300,K$5)</f>
        <v>158</v>
      </c>
      <c r="L107" s="26">
        <f>SUMIFS(INDEX(元データ_14項目!$D$2:$Q$1300,0,MATCH($B107,元データ_14項目!$D$1:$Q$1,0)),元データ_14項目!$A$2:$A$1300,$A107,元データ_14項目!$B$2:$B$1300,"本年",元データ_14項目!$C$2:$C$1300,L$5)</f>
        <v>94</v>
      </c>
      <c r="M107" s="26">
        <f>SUMIFS(INDEX(元データ_14項目!$D$2:$Q$1300,0,MATCH($B107,元データ_14項目!$D$1:$Q$1,0)),元データ_14項目!$A$2:$A$1300,$A107,元データ_14項目!$B$2:$B$1300,"本年",元データ_14項目!$C$2:$C$1300,M$5)</f>
        <v>0</v>
      </c>
      <c r="N107" s="26">
        <f>SUMIFS(INDEX(元データ_14項目!$D$2:$Q$1300,0,MATCH($B107,元データ_14項目!$D$1:$Q$1,0)),元データ_14項目!$A$2:$A$1300,$A107,元データ_14項目!$B$2:$B$1300,"本年",元データ_14項目!$C$2:$C$1300,N$5)</f>
        <v>0</v>
      </c>
      <c r="O107" s="26">
        <f t="shared" si="2"/>
        <v>783</v>
      </c>
      <c r="P107" s="26">
        <f>SUMIFS(INDEX(元データ_14項目!$D$2:$Q$1300,0,MATCH($B107,元データ_14項目!$D$1:$Q$1,0)),元データ_14項目!$A$2:$A$1300,$A107,元データ_14項目!$B$2:$B$1300,"前年")</f>
        <v>939</v>
      </c>
      <c r="Q107" s="7">
        <f t="shared" si="3"/>
        <v>0.83386581469648557</v>
      </c>
    </row>
    <row r="108" spans="1:17" x14ac:dyDescent="0.45">
      <c r="A108" t="s">
        <v>42</v>
      </c>
      <c r="B108" t="s">
        <v>91</v>
      </c>
      <c r="C108" s="26">
        <f>SUMIFS(INDEX(元データ_14項目!$D$2:$Q$1300,0,MATCH($B108,元データ_14項目!$D$1:$Q$1,0)),元データ_14項目!$A$2:$A$1300,$A108,元データ_14項目!$B$2:$B$1300,"本年",元データ_14項目!$C$2:$C$1300,C$5)</f>
        <v>18</v>
      </c>
      <c r="D108" s="26">
        <f>SUMIFS(INDEX(元データ_14項目!$D$2:$Q$1300,0,MATCH($B108,元データ_14項目!$D$1:$Q$1,0)),元データ_14項目!$A$2:$A$1300,$A108,元データ_14項目!$B$2:$B$1300,"本年",元データ_14項目!$C$2:$C$1300,D$5)</f>
        <v>39</v>
      </c>
      <c r="E108" s="26">
        <f>SUMIFS(INDEX(元データ_14項目!$D$2:$Q$1300,0,MATCH($B108,元データ_14項目!$D$1:$Q$1,0)),元データ_14項目!$A$2:$A$1300,$A108,元データ_14項目!$B$2:$B$1300,"本年",元データ_14項目!$C$2:$C$1300,E$5)</f>
        <v>70</v>
      </c>
      <c r="F108" s="26">
        <f>SUMIFS(INDEX(元データ_14項目!$D$2:$Q$1300,0,MATCH($B108,元データ_14項目!$D$1:$Q$1,0)),元データ_14項目!$A$2:$A$1300,$A108,元データ_14項目!$B$2:$B$1300,"本年",元データ_14項目!$C$2:$C$1300,F$5)</f>
        <v>54</v>
      </c>
      <c r="G108" s="26">
        <f>SUMIFS(INDEX(元データ_14項目!$D$2:$Q$1300,0,MATCH($B108,元データ_14項目!$D$1:$Q$1,0)),元データ_14項目!$A$2:$A$1300,$A108,元データ_14項目!$B$2:$B$1300,"本年",元データ_14項目!$C$2:$C$1300,G$5)</f>
        <v>24</v>
      </c>
      <c r="H108" s="26">
        <f>SUMIFS(INDEX(元データ_14項目!$D$2:$Q$1300,0,MATCH($B108,元データ_14項目!$D$1:$Q$1,0)),元データ_14項目!$A$2:$A$1300,$A108,元データ_14項目!$B$2:$B$1300,"本年",元データ_14項目!$C$2:$C$1300,H$5)</f>
        <v>12</v>
      </c>
      <c r="I108" s="26">
        <f>SUMIFS(INDEX(元データ_14項目!$D$2:$Q$1300,0,MATCH($B108,元データ_14項目!$D$1:$Q$1,0)),元データ_14項目!$A$2:$A$1300,$A108,元データ_14項目!$B$2:$B$1300,"本年",元データ_14項目!$C$2:$C$1300,I$5)</f>
        <v>20</v>
      </c>
      <c r="J108" s="26">
        <f>SUMIFS(INDEX(元データ_14項目!$D$2:$Q$1300,0,MATCH($B108,元データ_14項目!$D$1:$Q$1,0)),元データ_14項目!$A$2:$A$1300,$A108,元データ_14項目!$B$2:$B$1300,"本年",元データ_14項目!$C$2:$C$1300,J$5)</f>
        <v>13</v>
      </c>
      <c r="K108" s="26">
        <f>SUMIFS(INDEX(元データ_14項目!$D$2:$Q$1300,0,MATCH($B108,元データ_14項目!$D$1:$Q$1,0)),元データ_14項目!$A$2:$A$1300,$A108,元データ_14項目!$B$2:$B$1300,"本年",元データ_14項目!$C$2:$C$1300,K$5)</f>
        <v>40</v>
      </c>
      <c r="L108" s="26">
        <f>SUMIFS(INDEX(元データ_14項目!$D$2:$Q$1300,0,MATCH($B108,元データ_14項目!$D$1:$Q$1,0)),元データ_14項目!$A$2:$A$1300,$A108,元データ_14項目!$B$2:$B$1300,"本年",元データ_14項目!$C$2:$C$1300,L$5)</f>
        <v>74</v>
      </c>
      <c r="M108" s="26">
        <f>SUMIFS(INDEX(元データ_14項目!$D$2:$Q$1300,0,MATCH($B108,元データ_14項目!$D$1:$Q$1,0)),元データ_14項目!$A$2:$A$1300,$A108,元データ_14項目!$B$2:$B$1300,"本年",元データ_14項目!$C$2:$C$1300,M$5)</f>
        <v>0</v>
      </c>
      <c r="N108" s="26">
        <f>SUMIFS(INDEX(元データ_14項目!$D$2:$Q$1300,0,MATCH($B108,元データ_14項目!$D$1:$Q$1,0)),元データ_14項目!$A$2:$A$1300,$A108,元データ_14項目!$B$2:$B$1300,"本年",元データ_14項目!$C$2:$C$1300,N$5)</f>
        <v>0</v>
      </c>
      <c r="O108" s="26">
        <f t="shared" si="2"/>
        <v>364</v>
      </c>
      <c r="P108" s="26">
        <f>SUMIFS(INDEX(元データ_14項目!$D$2:$Q$1300,0,MATCH($B108,元データ_14項目!$D$1:$Q$1,0)),元データ_14項目!$A$2:$A$1300,$A108,元データ_14項目!$B$2:$B$1300,"前年")</f>
        <v>272</v>
      </c>
      <c r="Q108" s="7">
        <f t="shared" si="3"/>
        <v>1.338235294117647</v>
      </c>
    </row>
    <row r="109" spans="1:17" x14ac:dyDescent="0.45">
      <c r="A109" t="s">
        <v>42</v>
      </c>
      <c r="B109" t="s">
        <v>28</v>
      </c>
      <c r="C109" s="26">
        <f>SUMIFS(INDEX(元データ_14項目!$D$2:$Q$1300,0,MATCH($B109,元データ_14項目!$D$1:$Q$1,0)),元データ_14項目!$A$2:$A$1300,$A109,元データ_14項目!$B$2:$B$1300,"本年",元データ_14項目!$C$2:$C$1300,C$5)</f>
        <v>153</v>
      </c>
      <c r="D109" s="26">
        <f>SUMIFS(INDEX(元データ_14項目!$D$2:$Q$1300,0,MATCH($B109,元データ_14項目!$D$1:$Q$1,0)),元データ_14項目!$A$2:$A$1300,$A109,元データ_14項目!$B$2:$B$1300,"本年",元データ_14項目!$C$2:$C$1300,D$5)</f>
        <v>171</v>
      </c>
      <c r="E109" s="26">
        <f>SUMIFS(INDEX(元データ_14項目!$D$2:$Q$1300,0,MATCH($B109,元データ_14項目!$D$1:$Q$1,0)),元データ_14項目!$A$2:$A$1300,$A109,元データ_14項目!$B$2:$B$1300,"本年",元データ_14項目!$C$2:$C$1300,E$5)</f>
        <v>216</v>
      </c>
      <c r="F109" s="26">
        <f>SUMIFS(INDEX(元データ_14項目!$D$2:$Q$1300,0,MATCH($B109,元データ_14項目!$D$1:$Q$1,0)),元データ_14項目!$A$2:$A$1300,$A109,元データ_14項目!$B$2:$B$1300,"本年",元データ_14項目!$C$2:$C$1300,F$5)</f>
        <v>185</v>
      </c>
      <c r="G109" s="26">
        <f>SUMIFS(INDEX(元データ_14項目!$D$2:$Q$1300,0,MATCH($B109,元データ_14項目!$D$1:$Q$1,0)),元データ_14項目!$A$2:$A$1300,$A109,元データ_14項目!$B$2:$B$1300,"本年",元データ_14項目!$C$2:$C$1300,G$5)</f>
        <v>168</v>
      </c>
      <c r="H109" s="26">
        <f>SUMIFS(INDEX(元データ_14項目!$D$2:$Q$1300,0,MATCH($B109,元データ_14項目!$D$1:$Q$1,0)),元データ_14項目!$A$2:$A$1300,$A109,元データ_14項目!$B$2:$B$1300,"本年",元データ_14項目!$C$2:$C$1300,H$5)</f>
        <v>124</v>
      </c>
      <c r="I109" s="26">
        <f>SUMIFS(INDEX(元データ_14項目!$D$2:$Q$1300,0,MATCH($B109,元データ_14項目!$D$1:$Q$1,0)),元データ_14項目!$A$2:$A$1300,$A109,元データ_14項目!$B$2:$B$1300,"本年",元データ_14項目!$C$2:$C$1300,I$5)</f>
        <v>91</v>
      </c>
      <c r="J109" s="26">
        <f>SUMIFS(INDEX(元データ_14項目!$D$2:$Q$1300,0,MATCH($B109,元データ_14項目!$D$1:$Q$1,0)),元データ_14項目!$A$2:$A$1300,$A109,元データ_14項目!$B$2:$B$1300,"本年",元データ_14項目!$C$2:$C$1300,J$5)</f>
        <v>127</v>
      </c>
      <c r="K109" s="26">
        <f>SUMIFS(INDEX(元データ_14項目!$D$2:$Q$1300,0,MATCH($B109,元データ_14項目!$D$1:$Q$1,0)),元データ_14項目!$A$2:$A$1300,$A109,元データ_14項目!$B$2:$B$1300,"本年",元データ_14項目!$C$2:$C$1300,K$5)</f>
        <v>156</v>
      </c>
      <c r="L109" s="26">
        <f>SUMIFS(INDEX(元データ_14項目!$D$2:$Q$1300,0,MATCH($B109,元データ_14項目!$D$1:$Q$1,0)),元データ_14項目!$A$2:$A$1300,$A109,元データ_14項目!$B$2:$B$1300,"本年",元データ_14項目!$C$2:$C$1300,L$5)</f>
        <v>212</v>
      </c>
      <c r="M109" s="26">
        <f>SUMIFS(INDEX(元データ_14項目!$D$2:$Q$1300,0,MATCH($B109,元データ_14項目!$D$1:$Q$1,0)),元データ_14項目!$A$2:$A$1300,$A109,元データ_14項目!$B$2:$B$1300,"本年",元データ_14項目!$C$2:$C$1300,M$5)</f>
        <v>0</v>
      </c>
      <c r="N109" s="26">
        <f>SUMIFS(INDEX(元データ_14項目!$D$2:$Q$1300,0,MATCH($B109,元データ_14項目!$D$1:$Q$1,0)),元データ_14項目!$A$2:$A$1300,$A109,元データ_14項目!$B$2:$B$1300,"本年",元データ_14項目!$C$2:$C$1300,N$5)</f>
        <v>0</v>
      </c>
      <c r="O109" s="26">
        <f t="shared" si="2"/>
        <v>1603</v>
      </c>
      <c r="P109" s="26">
        <f>SUMIFS(INDEX(元データ_14項目!$D$2:$Q$1300,0,MATCH($B109,元データ_14項目!$D$1:$Q$1,0)),元データ_14項目!$A$2:$A$1300,$A109,元データ_14項目!$B$2:$B$1300,"前年")</f>
        <v>1609</v>
      </c>
      <c r="Q109" s="7">
        <f t="shared" si="3"/>
        <v>0.99627097576134249</v>
      </c>
    </row>
    <row r="110" spans="1:17" x14ac:dyDescent="0.45">
      <c r="A110" t="s">
        <v>42</v>
      </c>
      <c r="B110" t="s">
        <v>92</v>
      </c>
      <c r="C110" s="26">
        <f>SUMIFS(INDEX(元データ_14項目!$D$2:$Q$1300,0,MATCH($B110,元データ_14項目!$D$1:$Q$1,0)),元データ_14項目!$A$2:$A$1300,$A110,元データ_14項目!$B$2:$B$1300,"本年",元データ_14項目!$C$2:$C$1300,C$5)</f>
        <v>17</v>
      </c>
      <c r="D110" s="26">
        <f>SUMIFS(INDEX(元データ_14項目!$D$2:$Q$1300,0,MATCH($B110,元データ_14項目!$D$1:$Q$1,0)),元データ_14項目!$A$2:$A$1300,$A110,元データ_14項目!$B$2:$B$1300,"本年",元データ_14項目!$C$2:$C$1300,D$5)</f>
        <v>40</v>
      </c>
      <c r="E110" s="26">
        <f>SUMIFS(INDEX(元データ_14項目!$D$2:$Q$1300,0,MATCH($B110,元データ_14項目!$D$1:$Q$1,0)),元データ_14項目!$A$2:$A$1300,$A110,元データ_14項目!$B$2:$B$1300,"本年",元データ_14項目!$C$2:$C$1300,E$5)</f>
        <v>36</v>
      </c>
      <c r="F110" s="26">
        <f>SUMIFS(INDEX(元データ_14項目!$D$2:$Q$1300,0,MATCH($B110,元データ_14項目!$D$1:$Q$1,0)),元データ_14項目!$A$2:$A$1300,$A110,元データ_14項目!$B$2:$B$1300,"本年",元データ_14項目!$C$2:$C$1300,F$5)</f>
        <v>33</v>
      </c>
      <c r="G110" s="26">
        <f>SUMIFS(INDEX(元データ_14項目!$D$2:$Q$1300,0,MATCH($B110,元データ_14項目!$D$1:$Q$1,0)),元データ_14項目!$A$2:$A$1300,$A110,元データ_14項目!$B$2:$B$1300,"本年",元データ_14項目!$C$2:$C$1300,G$5)</f>
        <v>36</v>
      </c>
      <c r="H110" s="26">
        <f>SUMIFS(INDEX(元データ_14項目!$D$2:$Q$1300,0,MATCH($B110,元データ_14項目!$D$1:$Q$1,0)),元データ_14項目!$A$2:$A$1300,$A110,元データ_14項目!$B$2:$B$1300,"本年",元データ_14項目!$C$2:$C$1300,H$5)</f>
        <v>18</v>
      </c>
      <c r="I110" s="26">
        <f>SUMIFS(INDEX(元データ_14項目!$D$2:$Q$1300,0,MATCH($B110,元データ_14項目!$D$1:$Q$1,0)),元データ_14項目!$A$2:$A$1300,$A110,元データ_14項目!$B$2:$B$1300,"本年",元データ_14項目!$C$2:$C$1300,I$5)</f>
        <v>19</v>
      </c>
      <c r="J110" s="26">
        <f>SUMIFS(INDEX(元データ_14項目!$D$2:$Q$1300,0,MATCH($B110,元データ_14項目!$D$1:$Q$1,0)),元データ_14項目!$A$2:$A$1300,$A110,元データ_14項目!$B$2:$B$1300,"本年",元データ_14項目!$C$2:$C$1300,J$5)</f>
        <v>28</v>
      </c>
      <c r="K110" s="26">
        <f>SUMIFS(INDEX(元データ_14項目!$D$2:$Q$1300,0,MATCH($B110,元データ_14項目!$D$1:$Q$1,0)),元データ_14項目!$A$2:$A$1300,$A110,元データ_14項目!$B$2:$B$1300,"本年",元データ_14項目!$C$2:$C$1300,K$5)</f>
        <v>65</v>
      </c>
      <c r="L110" s="26">
        <f>SUMIFS(INDEX(元データ_14項目!$D$2:$Q$1300,0,MATCH($B110,元データ_14項目!$D$1:$Q$1,0)),元データ_14項目!$A$2:$A$1300,$A110,元データ_14項目!$B$2:$B$1300,"本年",元データ_14項目!$C$2:$C$1300,L$5)</f>
        <v>35</v>
      </c>
      <c r="M110" s="26">
        <f>SUMIFS(INDEX(元データ_14項目!$D$2:$Q$1300,0,MATCH($B110,元データ_14項目!$D$1:$Q$1,0)),元データ_14項目!$A$2:$A$1300,$A110,元データ_14項目!$B$2:$B$1300,"本年",元データ_14項目!$C$2:$C$1300,M$5)</f>
        <v>0</v>
      </c>
      <c r="N110" s="26">
        <f>SUMIFS(INDEX(元データ_14項目!$D$2:$Q$1300,0,MATCH($B110,元データ_14項目!$D$1:$Q$1,0)),元データ_14項目!$A$2:$A$1300,$A110,元データ_14項目!$B$2:$B$1300,"本年",元データ_14項目!$C$2:$C$1300,N$5)</f>
        <v>0</v>
      </c>
      <c r="O110" s="26">
        <f t="shared" si="2"/>
        <v>327</v>
      </c>
      <c r="P110" s="26">
        <f>SUMIFS(INDEX(元データ_14項目!$D$2:$Q$1300,0,MATCH($B110,元データ_14項目!$D$1:$Q$1,0)),元データ_14項目!$A$2:$A$1300,$A110,元データ_14項目!$B$2:$B$1300,"前年")</f>
        <v>311</v>
      </c>
      <c r="Q110" s="7">
        <f t="shared" si="3"/>
        <v>1.0514469453376205</v>
      </c>
    </row>
    <row r="111" spans="1:17" x14ac:dyDescent="0.45">
      <c r="A111" t="s">
        <v>42</v>
      </c>
      <c r="B111" t="s">
        <v>93</v>
      </c>
      <c r="C111" s="26">
        <f>SUMIFS(INDEX(元データ_14項目!$D$2:$Q$1300,0,MATCH($B111,元データ_14項目!$D$1:$Q$1,0)),元データ_14項目!$A$2:$A$1300,$A111,元データ_14項目!$B$2:$B$1300,"本年",元データ_14項目!$C$2:$C$1300,C$5)</f>
        <v>8</v>
      </c>
      <c r="D111" s="26">
        <f>SUMIFS(INDEX(元データ_14項目!$D$2:$Q$1300,0,MATCH($B111,元データ_14項目!$D$1:$Q$1,0)),元データ_14項目!$A$2:$A$1300,$A111,元データ_14項目!$B$2:$B$1300,"本年",元データ_14項目!$C$2:$C$1300,D$5)</f>
        <v>23</v>
      </c>
      <c r="E111" s="26">
        <f>SUMIFS(INDEX(元データ_14項目!$D$2:$Q$1300,0,MATCH($B111,元データ_14項目!$D$1:$Q$1,0)),元データ_14項目!$A$2:$A$1300,$A111,元データ_14項目!$B$2:$B$1300,"本年",元データ_14項目!$C$2:$C$1300,E$5)</f>
        <v>38</v>
      </c>
      <c r="F111" s="26">
        <f>SUMIFS(INDEX(元データ_14項目!$D$2:$Q$1300,0,MATCH($B111,元データ_14項目!$D$1:$Q$1,0)),元データ_14項目!$A$2:$A$1300,$A111,元データ_14項目!$B$2:$B$1300,"本年",元データ_14項目!$C$2:$C$1300,F$5)</f>
        <v>15</v>
      </c>
      <c r="G111" s="26">
        <f>SUMIFS(INDEX(元データ_14項目!$D$2:$Q$1300,0,MATCH($B111,元データ_14項目!$D$1:$Q$1,0)),元データ_14項目!$A$2:$A$1300,$A111,元データ_14項目!$B$2:$B$1300,"本年",元データ_14項目!$C$2:$C$1300,G$5)</f>
        <v>87</v>
      </c>
      <c r="H111" s="26">
        <f>SUMIFS(INDEX(元データ_14項目!$D$2:$Q$1300,0,MATCH($B111,元データ_14項目!$D$1:$Q$1,0)),元データ_14項目!$A$2:$A$1300,$A111,元データ_14項目!$B$2:$B$1300,"本年",元データ_14項目!$C$2:$C$1300,H$5)</f>
        <v>73</v>
      </c>
      <c r="I111" s="26">
        <f>SUMIFS(INDEX(元データ_14項目!$D$2:$Q$1300,0,MATCH($B111,元データ_14項目!$D$1:$Q$1,0)),元データ_14項目!$A$2:$A$1300,$A111,元データ_14項目!$B$2:$B$1300,"本年",元データ_14項目!$C$2:$C$1300,I$5)</f>
        <v>70</v>
      </c>
      <c r="J111" s="26">
        <f>SUMIFS(INDEX(元データ_14項目!$D$2:$Q$1300,0,MATCH($B111,元データ_14項目!$D$1:$Q$1,0)),元データ_14項目!$A$2:$A$1300,$A111,元データ_14項目!$B$2:$B$1300,"本年",元データ_14項目!$C$2:$C$1300,J$5)</f>
        <v>113</v>
      </c>
      <c r="K111" s="26">
        <f>SUMIFS(INDEX(元データ_14項目!$D$2:$Q$1300,0,MATCH($B111,元データ_14項目!$D$1:$Q$1,0)),元データ_14項目!$A$2:$A$1300,$A111,元データ_14項目!$B$2:$B$1300,"本年",元データ_14項目!$C$2:$C$1300,K$5)</f>
        <v>279</v>
      </c>
      <c r="L111" s="26">
        <f>SUMIFS(INDEX(元データ_14項目!$D$2:$Q$1300,0,MATCH($B111,元データ_14項目!$D$1:$Q$1,0)),元データ_14項目!$A$2:$A$1300,$A111,元データ_14項目!$B$2:$B$1300,"本年",元データ_14項目!$C$2:$C$1300,L$5)</f>
        <v>99</v>
      </c>
      <c r="M111" s="26">
        <f>SUMIFS(INDEX(元データ_14項目!$D$2:$Q$1300,0,MATCH($B111,元データ_14項目!$D$1:$Q$1,0)),元データ_14項目!$A$2:$A$1300,$A111,元データ_14項目!$B$2:$B$1300,"本年",元データ_14項目!$C$2:$C$1300,M$5)</f>
        <v>0</v>
      </c>
      <c r="N111" s="26">
        <f>SUMIFS(INDEX(元データ_14項目!$D$2:$Q$1300,0,MATCH($B111,元データ_14項目!$D$1:$Q$1,0)),元データ_14項目!$A$2:$A$1300,$A111,元データ_14項目!$B$2:$B$1300,"本年",元データ_14項目!$C$2:$C$1300,N$5)</f>
        <v>0</v>
      </c>
      <c r="O111" s="26">
        <f t="shared" si="2"/>
        <v>805</v>
      </c>
      <c r="P111" s="26">
        <f>SUMIFS(INDEX(元データ_14項目!$D$2:$Q$1300,0,MATCH($B111,元データ_14項目!$D$1:$Q$1,0)),元データ_14項目!$A$2:$A$1300,$A111,元データ_14項目!$B$2:$B$1300,"前年")</f>
        <v>852</v>
      </c>
      <c r="Q111" s="7">
        <f t="shared" si="3"/>
        <v>0.94483568075117375</v>
      </c>
    </row>
    <row r="112" spans="1:17" x14ac:dyDescent="0.45">
      <c r="A112" t="s">
        <v>42</v>
      </c>
      <c r="B112" t="s">
        <v>94</v>
      </c>
      <c r="C112" s="26">
        <f>SUMIFS(INDEX(元データ_14項目!$D$2:$Q$1300,0,MATCH($B112,元データ_14項目!$D$1:$Q$1,0)),元データ_14項目!$A$2:$A$1300,$A112,元データ_14項目!$B$2:$B$1300,"本年",元データ_14項目!$C$2:$C$1300,C$5)</f>
        <v>19</v>
      </c>
      <c r="D112" s="26">
        <f>SUMIFS(INDEX(元データ_14項目!$D$2:$Q$1300,0,MATCH($B112,元データ_14項目!$D$1:$Q$1,0)),元データ_14項目!$A$2:$A$1300,$A112,元データ_14項目!$B$2:$B$1300,"本年",元データ_14項目!$C$2:$C$1300,D$5)</f>
        <v>17</v>
      </c>
      <c r="E112" s="26">
        <f>SUMIFS(INDEX(元データ_14項目!$D$2:$Q$1300,0,MATCH($B112,元データ_14項目!$D$1:$Q$1,0)),元データ_14項目!$A$2:$A$1300,$A112,元データ_14項目!$B$2:$B$1300,"本年",元データ_14項目!$C$2:$C$1300,E$5)</f>
        <v>40</v>
      </c>
      <c r="F112" s="26">
        <f>SUMIFS(INDEX(元データ_14項目!$D$2:$Q$1300,0,MATCH($B112,元データ_14項目!$D$1:$Q$1,0)),元データ_14項目!$A$2:$A$1300,$A112,元データ_14項目!$B$2:$B$1300,"本年",元データ_14項目!$C$2:$C$1300,F$5)</f>
        <v>24</v>
      </c>
      <c r="G112" s="26">
        <f>SUMIFS(INDEX(元データ_14項目!$D$2:$Q$1300,0,MATCH($B112,元データ_14項目!$D$1:$Q$1,0)),元データ_14項目!$A$2:$A$1300,$A112,元データ_14項目!$B$2:$B$1300,"本年",元データ_14項目!$C$2:$C$1300,G$5)</f>
        <v>44</v>
      </c>
      <c r="H112" s="26">
        <f>SUMIFS(INDEX(元データ_14項目!$D$2:$Q$1300,0,MATCH($B112,元データ_14項目!$D$1:$Q$1,0)),元データ_14項目!$A$2:$A$1300,$A112,元データ_14項目!$B$2:$B$1300,"本年",元データ_14項目!$C$2:$C$1300,H$5)</f>
        <v>25</v>
      </c>
      <c r="I112" s="26">
        <f>SUMIFS(INDEX(元データ_14項目!$D$2:$Q$1300,0,MATCH($B112,元データ_14項目!$D$1:$Q$1,0)),元データ_14項目!$A$2:$A$1300,$A112,元データ_14項目!$B$2:$B$1300,"本年",元データ_14項目!$C$2:$C$1300,I$5)</f>
        <v>17</v>
      </c>
      <c r="J112" s="26">
        <f>SUMIFS(INDEX(元データ_14項目!$D$2:$Q$1300,0,MATCH($B112,元データ_14項目!$D$1:$Q$1,0)),元データ_14項目!$A$2:$A$1300,$A112,元データ_14項目!$B$2:$B$1300,"本年",元データ_14項目!$C$2:$C$1300,J$5)</f>
        <v>31</v>
      </c>
      <c r="K112" s="26">
        <f>SUMIFS(INDEX(元データ_14項目!$D$2:$Q$1300,0,MATCH($B112,元データ_14項目!$D$1:$Q$1,0)),元データ_14項目!$A$2:$A$1300,$A112,元データ_14項目!$B$2:$B$1300,"本年",元データ_14項目!$C$2:$C$1300,K$5)</f>
        <v>87</v>
      </c>
      <c r="L112" s="26">
        <f>SUMIFS(INDEX(元データ_14項目!$D$2:$Q$1300,0,MATCH($B112,元データ_14項目!$D$1:$Q$1,0)),元データ_14項目!$A$2:$A$1300,$A112,元データ_14項目!$B$2:$B$1300,"本年",元データ_14項目!$C$2:$C$1300,L$5)</f>
        <v>41</v>
      </c>
      <c r="M112" s="26">
        <f>SUMIFS(INDEX(元データ_14項目!$D$2:$Q$1300,0,MATCH($B112,元データ_14項目!$D$1:$Q$1,0)),元データ_14項目!$A$2:$A$1300,$A112,元データ_14項目!$B$2:$B$1300,"本年",元データ_14項目!$C$2:$C$1300,M$5)</f>
        <v>0</v>
      </c>
      <c r="N112" s="26">
        <f>SUMIFS(INDEX(元データ_14項目!$D$2:$Q$1300,0,MATCH($B112,元データ_14項目!$D$1:$Q$1,0)),元データ_14項目!$A$2:$A$1300,$A112,元データ_14項目!$B$2:$B$1300,"本年",元データ_14項目!$C$2:$C$1300,N$5)</f>
        <v>0</v>
      </c>
      <c r="O112" s="26">
        <f t="shared" si="2"/>
        <v>345</v>
      </c>
      <c r="P112" s="26">
        <f>SUMIFS(INDEX(元データ_14項目!$D$2:$Q$1300,0,MATCH($B112,元データ_14項目!$D$1:$Q$1,0)),元データ_14項目!$A$2:$A$1300,$A112,元データ_14項目!$B$2:$B$1300,"前年")</f>
        <v>339</v>
      </c>
      <c r="Q112" s="7">
        <f t="shared" si="3"/>
        <v>1.0176991150442478</v>
      </c>
    </row>
    <row r="113" spans="1:17" x14ac:dyDescent="0.45">
      <c r="A113" t="s">
        <v>42</v>
      </c>
      <c r="B113" t="s">
        <v>95</v>
      </c>
      <c r="C113" s="26">
        <f>SUMIFS(INDEX(元データ_14項目!$D$2:$Q$1300,0,MATCH($B113,元データ_14項目!$D$1:$Q$1,0)),元データ_14項目!$A$2:$A$1300,$A113,元データ_14項目!$B$2:$B$1300,"本年",元データ_14項目!$C$2:$C$1300,C$5)</f>
        <v>23</v>
      </c>
      <c r="D113" s="26">
        <f>SUMIFS(INDEX(元データ_14項目!$D$2:$Q$1300,0,MATCH($B113,元データ_14項目!$D$1:$Q$1,0)),元データ_14項目!$A$2:$A$1300,$A113,元データ_14項目!$B$2:$B$1300,"本年",元データ_14項目!$C$2:$C$1300,D$5)</f>
        <v>42</v>
      </c>
      <c r="E113" s="26">
        <f>SUMIFS(INDEX(元データ_14項目!$D$2:$Q$1300,0,MATCH($B113,元データ_14項目!$D$1:$Q$1,0)),元データ_14項目!$A$2:$A$1300,$A113,元データ_14項目!$B$2:$B$1300,"本年",元データ_14項目!$C$2:$C$1300,E$5)</f>
        <v>36</v>
      </c>
      <c r="F113" s="26">
        <f>SUMIFS(INDEX(元データ_14項目!$D$2:$Q$1300,0,MATCH($B113,元データ_14項目!$D$1:$Q$1,0)),元データ_14項目!$A$2:$A$1300,$A113,元データ_14項目!$B$2:$B$1300,"本年",元データ_14項目!$C$2:$C$1300,F$5)</f>
        <v>37</v>
      </c>
      <c r="G113" s="26">
        <f>SUMIFS(INDEX(元データ_14項目!$D$2:$Q$1300,0,MATCH($B113,元データ_14項目!$D$1:$Q$1,0)),元データ_14項目!$A$2:$A$1300,$A113,元データ_14項目!$B$2:$B$1300,"本年",元データ_14項目!$C$2:$C$1300,G$5)</f>
        <v>30</v>
      </c>
      <c r="H113" s="26">
        <f>SUMIFS(INDEX(元データ_14項目!$D$2:$Q$1300,0,MATCH($B113,元データ_14項目!$D$1:$Q$1,0)),元データ_14項目!$A$2:$A$1300,$A113,元データ_14項目!$B$2:$B$1300,"本年",元データ_14項目!$C$2:$C$1300,H$5)</f>
        <v>14</v>
      </c>
      <c r="I113" s="26">
        <f>SUMIFS(INDEX(元データ_14項目!$D$2:$Q$1300,0,MATCH($B113,元データ_14項目!$D$1:$Q$1,0)),元データ_14項目!$A$2:$A$1300,$A113,元データ_14項目!$B$2:$B$1300,"本年",元データ_14項目!$C$2:$C$1300,I$5)</f>
        <v>21</v>
      </c>
      <c r="J113" s="26">
        <f>SUMIFS(INDEX(元データ_14項目!$D$2:$Q$1300,0,MATCH($B113,元データ_14項目!$D$1:$Q$1,0)),元データ_14項目!$A$2:$A$1300,$A113,元データ_14項目!$B$2:$B$1300,"本年",元データ_14項目!$C$2:$C$1300,J$5)</f>
        <v>28</v>
      </c>
      <c r="K113" s="26">
        <f>SUMIFS(INDEX(元データ_14項目!$D$2:$Q$1300,0,MATCH($B113,元データ_14項目!$D$1:$Q$1,0)),元データ_14項目!$A$2:$A$1300,$A113,元データ_14項目!$B$2:$B$1300,"本年",元データ_14項目!$C$2:$C$1300,K$5)</f>
        <v>55</v>
      </c>
      <c r="L113" s="26">
        <f>SUMIFS(INDEX(元データ_14項目!$D$2:$Q$1300,0,MATCH($B113,元データ_14項目!$D$1:$Q$1,0)),元データ_14項目!$A$2:$A$1300,$A113,元データ_14項目!$B$2:$B$1300,"本年",元データ_14項目!$C$2:$C$1300,L$5)</f>
        <v>35</v>
      </c>
      <c r="M113" s="26">
        <f>SUMIFS(INDEX(元データ_14項目!$D$2:$Q$1300,0,MATCH($B113,元データ_14項目!$D$1:$Q$1,0)),元データ_14項目!$A$2:$A$1300,$A113,元データ_14項目!$B$2:$B$1300,"本年",元データ_14項目!$C$2:$C$1300,M$5)</f>
        <v>0</v>
      </c>
      <c r="N113" s="26">
        <f>SUMIFS(INDEX(元データ_14項目!$D$2:$Q$1300,0,MATCH($B113,元データ_14項目!$D$1:$Q$1,0)),元データ_14項目!$A$2:$A$1300,$A113,元データ_14項目!$B$2:$B$1300,"本年",元データ_14項目!$C$2:$C$1300,N$5)</f>
        <v>0</v>
      </c>
      <c r="O113" s="26">
        <f t="shared" si="2"/>
        <v>321</v>
      </c>
      <c r="P113" s="26">
        <f>SUMIFS(INDEX(元データ_14項目!$D$2:$Q$1300,0,MATCH($B113,元データ_14項目!$D$1:$Q$1,0)),元データ_14項目!$A$2:$A$1300,$A113,元データ_14項目!$B$2:$B$1300,"前年")</f>
        <v>272</v>
      </c>
      <c r="Q113" s="7">
        <f t="shared" si="3"/>
        <v>1.1801470588235294</v>
      </c>
    </row>
    <row r="114" spans="1:17" x14ac:dyDescent="0.45">
      <c r="A114" t="s">
        <v>42</v>
      </c>
      <c r="B114" t="s">
        <v>96</v>
      </c>
      <c r="C114" s="26">
        <f>SUMIFS(INDEX(元データ_14項目!$D$2:$Q$1300,0,MATCH($B114,元データ_14項目!$D$1:$Q$1,0)),元データ_14項目!$A$2:$A$1300,$A114,元データ_14項目!$B$2:$B$1300,"本年",元データ_14項目!$C$2:$C$1300,C$5)</f>
        <v>8</v>
      </c>
      <c r="D114" s="26">
        <f>SUMIFS(INDEX(元データ_14項目!$D$2:$Q$1300,0,MATCH($B114,元データ_14項目!$D$1:$Q$1,0)),元データ_14項目!$A$2:$A$1300,$A114,元データ_14項目!$B$2:$B$1300,"本年",元データ_14項目!$C$2:$C$1300,D$5)</f>
        <v>9</v>
      </c>
      <c r="E114" s="26">
        <f>SUMIFS(INDEX(元データ_14項目!$D$2:$Q$1300,0,MATCH($B114,元データ_14項目!$D$1:$Q$1,0)),元データ_14項目!$A$2:$A$1300,$A114,元データ_14項目!$B$2:$B$1300,"本年",元データ_14項目!$C$2:$C$1300,E$5)</f>
        <v>24</v>
      </c>
      <c r="F114" s="26">
        <f>SUMIFS(INDEX(元データ_14項目!$D$2:$Q$1300,0,MATCH($B114,元データ_14項目!$D$1:$Q$1,0)),元データ_14項目!$A$2:$A$1300,$A114,元データ_14項目!$B$2:$B$1300,"本年",元データ_14項目!$C$2:$C$1300,F$5)</f>
        <v>24</v>
      </c>
      <c r="G114" s="26">
        <f>SUMIFS(INDEX(元データ_14項目!$D$2:$Q$1300,0,MATCH($B114,元データ_14項目!$D$1:$Q$1,0)),元データ_14項目!$A$2:$A$1300,$A114,元データ_14項目!$B$2:$B$1300,"本年",元データ_14項目!$C$2:$C$1300,G$5)</f>
        <v>39</v>
      </c>
      <c r="H114" s="26">
        <f>SUMIFS(INDEX(元データ_14項目!$D$2:$Q$1300,0,MATCH($B114,元データ_14項目!$D$1:$Q$1,0)),元データ_14項目!$A$2:$A$1300,$A114,元データ_14項目!$B$2:$B$1300,"本年",元データ_14項目!$C$2:$C$1300,H$5)</f>
        <v>24</v>
      </c>
      <c r="I114" s="26">
        <f>SUMIFS(INDEX(元データ_14項目!$D$2:$Q$1300,0,MATCH($B114,元データ_14項目!$D$1:$Q$1,0)),元データ_14項目!$A$2:$A$1300,$A114,元データ_14項目!$B$2:$B$1300,"本年",元データ_14項目!$C$2:$C$1300,I$5)</f>
        <v>18</v>
      </c>
      <c r="J114" s="26">
        <f>SUMIFS(INDEX(元データ_14項目!$D$2:$Q$1300,0,MATCH($B114,元データ_14項目!$D$1:$Q$1,0)),元データ_14項目!$A$2:$A$1300,$A114,元データ_14項目!$B$2:$B$1300,"本年",元データ_14項目!$C$2:$C$1300,J$5)</f>
        <v>95</v>
      </c>
      <c r="K114" s="26">
        <f>SUMIFS(INDEX(元データ_14項目!$D$2:$Q$1300,0,MATCH($B114,元データ_14項目!$D$1:$Q$1,0)),元データ_14項目!$A$2:$A$1300,$A114,元データ_14項目!$B$2:$B$1300,"本年",元データ_14項目!$C$2:$C$1300,K$5)</f>
        <v>252</v>
      </c>
      <c r="L114" s="26">
        <f>SUMIFS(INDEX(元データ_14項目!$D$2:$Q$1300,0,MATCH($B114,元データ_14項目!$D$1:$Q$1,0)),元データ_14項目!$A$2:$A$1300,$A114,元データ_14項目!$B$2:$B$1300,"本年",元データ_14項目!$C$2:$C$1300,L$5)</f>
        <v>126</v>
      </c>
      <c r="M114" s="26">
        <f>SUMIFS(INDEX(元データ_14項目!$D$2:$Q$1300,0,MATCH($B114,元データ_14項目!$D$1:$Q$1,0)),元データ_14項目!$A$2:$A$1300,$A114,元データ_14項目!$B$2:$B$1300,"本年",元データ_14項目!$C$2:$C$1300,M$5)</f>
        <v>0</v>
      </c>
      <c r="N114" s="26">
        <f>SUMIFS(INDEX(元データ_14項目!$D$2:$Q$1300,0,MATCH($B114,元データ_14項目!$D$1:$Q$1,0)),元データ_14項目!$A$2:$A$1300,$A114,元データ_14項目!$B$2:$B$1300,"本年",元データ_14項目!$C$2:$C$1300,N$5)</f>
        <v>0</v>
      </c>
      <c r="O114" s="26">
        <f t="shared" si="2"/>
        <v>619</v>
      </c>
      <c r="P114" s="26">
        <f>SUMIFS(INDEX(元データ_14項目!$D$2:$Q$1300,0,MATCH($B114,元データ_14項目!$D$1:$Q$1,0)),元データ_14項目!$A$2:$A$1300,$A114,元データ_14項目!$B$2:$B$1300,"前年")</f>
        <v>640</v>
      </c>
      <c r="Q114" s="7">
        <f t="shared" si="3"/>
        <v>0.96718749999999998</v>
      </c>
    </row>
    <row r="115" spans="1:17" x14ac:dyDescent="0.45">
      <c r="A115" t="s">
        <v>42</v>
      </c>
      <c r="B115" t="s">
        <v>97</v>
      </c>
      <c r="C115" s="26">
        <f>SUMIFS(INDEX(元データ_14項目!$D$2:$Q$1300,0,MATCH($B115,元データ_14項目!$D$1:$Q$1,0)),元データ_14項目!$A$2:$A$1300,$A115,元データ_14項目!$B$2:$B$1300,"本年",元データ_14項目!$C$2:$C$1300,C$5)</f>
        <v>10</v>
      </c>
      <c r="D115" s="26">
        <f>SUMIFS(INDEX(元データ_14項目!$D$2:$Q$1300,0,MATCH($B115,元データ_14項目!$D$1:$Q$1,0)),元データ_14項目!$A$2:$A$1300,$A115,元データ_14項目!$B$2:$B$1300,"本年",元データ_14項目!$C$2:$C$1300,D$5)</f>
        <v>9</v>
      </c>
      <c r="E115" s="26">
        <f>SUMIFS(INDEX(元データ_14項目!$D$2:$Q$1300,0,MATCH($B115,元データ_14項目!$D$1:$Q$1,0)),元データ_14項目!$A$2:$A$1300,$A115,元データ_14項目!$B$2:$B$1300,"本年",元データ_14項目!$C$2:$C$1300,E$5)</f>
        <v>35</v>
      </c>
      <c r="F115" s="26">
        <f>SUMIFS(INDEX(元データ_14項目!$D$2:$Q$1300,0,MATCH($B115,元データ_14項目!$D$1:$Q$1,0)),元データ_14項目!$A$2:$A$1300,$A115,元データ_14項目!$B$2:$B$1300,"本年",元データ_14項目!$C$2:$C$1300,F$5)</f>
        <v>21</v>
      </c>
      <c r="G115" s="26">
        <f>SUMIFS(INDEX(元データ_14項目!$D$2:$Q$1300,0,MATCH($B115,元データ_14項目!$D$1:$Q$1,0)),元データ_14項目!$A$2:$A$1300,$A115,元データ_14項目!$B$2:$B$1300,"本年",元データ_14項目!$C$2:$C$1300,G$5)</f>
        <v>32</v>
      </c>
      <c r="H115" s="26">
        <f>SUMIFS(INDEX(元データ_14項目!$D$2:$Q$1300,0,MATCH($B115,元データ_14項目!$D$1:$Q$1,0)),元データ_14項目!$A$2:$A$1300,$A115,元データ_14項目!$B$2:$B$1300,"本年",元データ_14項目!$C$2:$C$1300,H$5)</f>
        <v>21</v>
      </c>
      <c r="I115" s="26">
        <f>SUMIFS(INDEX(元データ_14項目!$D$2:$Q$1300,0,MATCH($B115,元データ_14項目!$D$1:$Q$1,0)),元データ_14項目!$A$2:$A$1300,$A115,元データ_14項目!$B$2:$B$1300,"本年",元データ_14項目!$C$2:$C$1300,I$5)</f>
        <v>11</v>
      </c>
      <c r="J115" s="26">
        <f>SUMIFS(INDEX(元データ_14項目!$D$2:$Q$1300,0,MATCH($B115,元データ_14項目!$D$1:$Q$1,0)),元データ_14項目!$A$2:$A$1300,$A115,元データ_14項目!$B$2:$B$1300,"本年",元データ_14項目!$C$2:$C$1300,J$5)</f>
        <v>42</v>
      </c>
      <c r="K115" s="26">
        <f>SUMIFS(INDEX(元データ_14項目!$D$2:$Q$1300,0,MATCH($B115,元データ_14項目!$D$1:$Q$1,0)),元データ_14項目!$A$2:$A$1300,$A115,元データ_14項目!$B$2:$B$1300,"本年",元データ_14項目!$C$2:$C$1300,K$5)</f>
        <v>129</v>
      </c>
      <c r="L115" s="26">
        <f>SUMIFS(INDEX(元データ_14項目!$D$2:$Q$1300,0,MATCH($B115,元データ_14項目!$D$1:$Q$1,0)),元データ_14項目!$A$2:$A$1300,$A115,元データ_14項目!$B$2:$B$1300,"本年",元データ_14項目!$C$2:$C$1300,L$5)</f>
        <v>78</v>
      </c>
      <c r="M115" s="26">
        <f>SUMIFS(INDEX(元データ_14項目!$D$2:$Q$1300,0,MATCH($B115,元データ_14項目!$D$1:$Q$1,0)),元データ_14項目!$A$2:$A$1300,$A115,元データ_14項目!$B$2:$B$1300,"本年",元データ_14項目!$C$2:$C$1300,M$5)</f>
        <v>0</v>
      </c>
      <c r="N115" s="26">
        <f>SUMIFS(INDEX(元データ_14項目!$D$2:$Q$1300,0,MATCH($B115,元データ_14項目!$D$1:$Q$1,0)),元データ_14項目!$A$2:$A$1300,$A115,元データ_14項目!$B$2:$B$1300,"本年",元データ_14項目!$C$2:$C$1300,N$5)</f>
        <v>0</v>
      </c>
      <c r="O115" s="26">
        <f t="shared" si="2"/>
        <v>388</v>
      </c>
      <c r="P115" s="26">
        <f>SUMIFS(INDEX(元データ_14項目!$D$2:$Q$1300,0,MATCH($B115,元データ_14項目!$D$1:$Q$1,0)),元データ_14項目!$A$2:$A$1300,$A115,元データ_14項目!$B$2:$B$1300,"前年")</f>
        <v>369</v>
      </c>
      <c r="Q115" s="7">
        <f t="shared" si="3"/>
        <v>1.051490514905149</v>
      </c>
    </row>
    <row r="116" spans="1:17" x14ac:dyDescent="0.45">
      <c r="A116" t="s">
        <v>42</v>
      </c>
      <c r="B116" t="s">
        <v>98</v>
      </c>
      <c r="C116" s="26">
        <f>SUMIFS(INDEX(元データ_14項目!$D$2:$Q$1300,0,MATCH($B116,元データ_14項目!$D$1:$Q$1,0)),元データ_14項目!$A$2:$A$1300,$A116,元データ_14項目!$B$2:$B$1300,"本年",元データ_14項目!$C$2:$C$1300,C$5)</f>
        <v>3</v>
      </c>
      <c r="D116" s="26">
        <f>SUMIFS(INDEX(元データ_14項目!$D$2:$Q$1300,0,MATCH($B116,元データ_14項目!$D$1:$Q$1,0)),元データ_14項目!$A$2:$A$1300,$A116,元データ_14項目!$B$2:$B$1300,"本年",元データ_14項目!$C$2:$C$1300,D$5)</f>
        <v>1</v>
      </c>
      <c r="E116" s="26">
        <f>SUMIFS(INDEX(元データ_14項目!$D$2:$Q$1300,0,MATCH($B116,元データ_14項目!$D$1:$Q$1,0)),元データ_14項目!$A$2:$A$1300,$A116,元データ_14項目!$B$2:$B$1300,"本年",元データ_14項目!$C$2:$C$1300,E$5)</f>
        <v>10</v>
      </c>
      <c r="F116" s="26">
        <f>SUMIFS(INDEX(元データ_14項目!$D$2:$Q$1300,0,MATCH($B116,元データ_14項目!$D$1:$Q$1,0)),元データ_14項目!$A$2:$A$1300,$A116,元データ_14項目!$B$2:$B$1300,"本年",元データ_14項目!$C$2:$C$1300,F$5)</f>
        <v>15</v>
      </c>
      <c r="G116" s="26">
        <f>SUMIFS(INDEX(元データ_14項目!$D$2:$Q$1300,0,MATCH($B116,元データ_14項目!$D$1:$Q$1,0)),元データ_14項目!$A$2:$A$1300,$A116,元データ_14項目!$B$2:$B$1300,"本年",元データ_14項目!$C$2:$C$1300,G$5)</f>
        <v>16</v>
      </c>
      <c r="H116" s="26">
        <f>SUMIFS(INDEX(元データ_14項目!$D$2:$Q$1300,0,MATCH($B116,元データ_14項目!$D$1:$Q$1,0)),元データ_14項目!$A$2:$A$1300,$A116,元データ_14項目!$B$2:$B$1300,"本年",元データ_14項目!$C$2:$C$1300,H$5)</f>
        <v>9</v>
      </c>
      <c r="I116" s="26">
        <f>SUMIFS(INDEX(元データ_14項目!$D$2:$Q$1300,0,MATCH($B116,元データ_14項目!$D$1:$Q$1,0)),元データ_14項目!$A$2:$A$1300,$A116,元データ_14項目!$B$2:$B$1300,"本年",元データ_14項目!$C$2:$C$1300,I$5)</f>
        <v>14</v>
      </c>
      <c r="J116" s="26">
        <f>SUMIFS(INDEX(元データ_14項目!$D$2:$Q$1300,0,MATCH($B116,元データ_14項目!$D$1:$Q$1,0)),元データ_14項目!$A$2:$A$1300,$A116,元データ_14項目!$B$2:$B$1300,"本年",元データ_14項目!$C$2:$C$1300,J$5)</f>
        <v>57</v>
      </c>
      <c r="K116" s="26">
        <f>SUMIFS(INDEX(元データ_14項目!$D$2:$Q$1300,0,MATCH($B116,元データ_14項目!$D$1:$Q$1,0)),元データ_14項目!$A$2:$A$1300,$A116,元データ_14項目!$B$2:$B$1300,"本年",元データ_14項目!$C$2:$C$1300,K$5)</f>
        <v>166</v>
      </c>
      <c r="L116" s="26">
        <f>SUMIFS(INDEX(元データ_14項目!$D$2:$Q$1300,0,MATCH($B116,元データ_14項目!$D$1:$Q$1,0)),元データ_14項目!$A$2:$A$1300,$A116,元データ_14項目!$B$2:$B$1300,"本年",元データ_14項目!$C$2:$C$1300,L$5)</f>
        <v>59</v>
      </c>
      <c r="M116" s="26">
        <f>SUMIFS(INDEX(元データ_14項目!$D$2:$Q$1300,0,MATCH($B116,元データ_14項目!$D$1:$Q$1,0)),元データ_14項目!$A$2:$A$1300,$A116,元データ_14項目!$B$2:$B$1300,"本年",元データ_14項目!$C$2:$C$1300,M$5)</f>
        <v>0</v>
      </c>
      <c r="N116" s="26">
        <f>SUMIFS(INDEX(元データ_14項目!$D$2:$Q$1300,0,MATCH($B116,元データ_14項目!$D$1:$Q$1,0)),元データ_14項目!$A$2:$A$1300,$A116,元データ_14項目!$B$2:$B$1300,"本年",元データ_14項目!$C$2:$C$1300,N$5)</f>
        <v>0</v>
      </c>
      <c r="O116" s="26">
        <f t="shared" si="2"/>
        <v>350</v>
      </c>
      <c r="P116" s="26">
        <f>SUMIFS(INDEX(元データ_14項目!$D$2:$Q$1300,0,MATCH($B116,元データ_14項目!$D$1:$Q$1,0)),元データ_14項目!$A$2:$A$1300,$A116,元データ_14項目!$B$2:$B$1300,"前年")</f>
        <v>334</v>
      </c>
      <c r="Q116" s="7">
        <f t="shared" si="3"/>
        <v>1.0479041916167664</v>
      </c>
    </row>
    <row r="117" spans="1:17" x14ac:dyDescent="0.45">
      <c r="A117" t="s">
        <v>42</v>
      </c>
      <c r="B117" t="s">
        <v>99</v>
      </c>
      <c r="C117" s="26">
        <f>SUMIFS(INDEX(元データ_14項目!$D$2:$Q$1300,0,MATCH($B117,元データ_14項目!$D$1:$Q$1,0)),元データ_14項目!$A$2:$A$1300,$A117,元データ_14項目!$B$2:$B$1300,"本年",元データ_14項目!$C$2:$C$1300,C$5)</f>
        <v>0</v>
      </c>
      <c r="D117" s="26">
        <f>SUMIFS(INDEX(元データ_14項目!$D$2:$Q$1300,0,MATCH($B117,元データ_14項目!$D$1:$Q$1,0)),元データ_14項目!$A$2:$A$1300,$A117,元データ_14項目!$B$2:$B$1300,"本年",元データ_14項目!$C$2:$C$1300,D$5)</f>
        <v>0</v>
      </c>
      <c r="E117" s="26">
        <f>SUMIFS(INDEX(元データ_14項目!$D$2:$Q$1300,0,MATCH($B117,元データ_14項目!$D$1:$Q$1,0)),元データ_14項目!$A$2:$A$1300,$A117,元データ_14項目!$B$2:$B$1300,"本年",元データ_14項目!$C$2:$C$1300,E$5)</f>
        <v>0</v>
      </c>
      <c r="F117" s="26">
        <f>SUMIFS(INDEX(元データ_14項目!$D$2:$Q$1300,0,MATCH($B117,元データ_14項目!$D$1:$Q$1,0)),元データ_14項目!$A$2:$A$1300,$A117,元データ_14項目!$B$2:$B$1300,"本年",元データ_14項目!$C$2:$C$1300,F$5)</f>
        <v>0</v>
      </c>
      <c r="G117" s="26">
        <f>SUMIFS(INDEX(元データ_14項目!$D$2:$Q$1300,0,MATCH($B117,元データ_14項目!$D$1:$Q$1,0)),元データ_14項目!$A$2:$A$1300,$A117,元データ_14項目!$B$2:$B$1300,"本年",元データ_14項目!$C$2:$C$1300,G$5)</f>
        <v>0</v>
      </c>
      <c r="H117" s="26">
        <f>SUMIFS(INDEX(元データ_14項目!$D$2:$Q$1300,0,MATCH($B117,元データ_14項目!$D$1:$Q$1,0)),元データ_14項目!$A$2:$A$1300,$A117,元データ_14項目!$B$2:$B$1300,"本年",元データ_14項目!$C$2:$C$1300,H$5)</f>
        <v>0</v>
      </c>
      <c r="I117" s="26">
        <f>SUMIFS(INDEX(元データ_14項目!$D$2:$Q$1300,0,MATCH($B117,元データ_14項目!$D$1:$Q$1,0)),元データ_14項目!$A$2:$A$1300,$A117,元データ_14項目!$B$2:$B$1300,"本年",元データ_14項目!$C$2:$C$1300,I$5)</f>
        <v>0</v>
      </c>
      <c r="J117" s="26">
        <f>SUMIFS(INDEX(元データ_14項目!$D$2:$Q$1300,0,MATCH($B117,元データ_14項目!$D$1:$Q$1,0)),元データ_14項目!$A$2:$A$1300,$A117,元データ_14項目!$B$2:$B$1300,"本年",元データ_14項目!$C$2:$C$1300,J$5)</f>
        <v>4</v>
      </c>
      <c r="K117" s="26">
        <f>SUMIFS(INDEX(元データ_14項目!$D$2:$Q$1300,0,MATCH($B117,元データ_14項目!$D$1:$Q$1,0)),元データ_14項目!$A$2:$A$1300,$A117,元データ_14項目!$B$2:$B$1300,"本年",元データ_14項目!$C$2:$C$1300,K$5)</f>
        <v>0</v>
      </c>
      <c r="L117" s="26">
        <f>SUMIFS(INDEX(元データ_14項目!$D$2:$Q$1300,0,MATCH($B117,元データ_14項目!$D$1:$Q$1,0)),元データ_14項目!$A$2:$A$1300,$A117,元データ_14項目!$B$2:$B$1300,"本年",元データ_14項目!$C$2:$C$1300,L$5)</f>
        <v>0</v>
      </c>
      <c r="M117" s="26">
        <f>SUMIFS(INDEX(元データ_14項目!$D$2:$Q$1300,0,MATCH($B117,元データ_14項目!$D$1:$Q$1,0)),元データ_14項目!$A$2:$A$1300,$A117,元データ_14項目!$B$2:$B$1300,"本年",元データ_14項目!$C$2:$C$1300,M$5)</f>
        <v>0</v>
      </c>
      <c r="N117" s="26">
        <f>SUMIFS(INDEX(元データ_14項目!$D$2:$Q$1300,0,MATCH($B117,元データ_14項目!$D$1:$Q$1,0)),元データ_14項目!$A$2:$A$1300,$A117,元データ_14項目!$B$2:$B$1300,"本年",元データ_14項目!$C$2:$C$1300,N$5)</f>
        <v>0</v>
      </c>
      <c r="O117" s="26">
        <f t="shared" si="2"/>
        <v>4</v>
      </c>
      <c r="P117" s="26">
        <f>SUMIFS(INDEX(元データ_14項目!$D$2:$Q$1300,0,MATCH($B117,元データ_14項目!$D$1:$Q$1,0)),元データ_14項目!$A$2:$A$1300,$A117,元データ_14項目!$B$2:$B$1300,"前年")</f>
        <v>28</v>
      </c>
      <c r="Q117" s="7">
        <f t="shared" si="3"/>
        <v>0.14285714285714285</v>
      </c>
    </row>
    <row r="118" spans="1:17" x14ac:dyDescent="0.45">
      <c r="A118" t="s">
        <v>43</v>
      </c>
      <c r="B118" t="s">
        <v>27</v>
      </c>
      <c r="C118" s="26">
        <f>SUMIFS(INDEX(元データ_14項目!$D$2:$Q$1300,0,MATCH($B118,元データ_14項目!$D$1:$Q$1,0)),元データ_14項目!$A$2:$A$1300,$A118,元データ_14項目!$B$2:$B$1300,"本年",元データ_14項目!$C$2:$C$1300,C$5)</f>
        <v>427</v>
      </c>
      <c r="D118" s="26">
        <f>SUMIFS(INDEX(元データ_14項目!$D$2:$Q$1300,0,MATCH($B118,元データ_14項目!$D$1:$Q$1,0)),元データ_14項目!$A$2:$A$1300,$A118,元データ_14項目!$B$2:$B$1300,"本年",元データ_14項目!$C$2:$C$1300,D$5)</f>
        <v>603</v>
      </c>
      <c r="E118" s="26">
        <f>SUMIFS(INDEX(元データ_14項目!$D$2:$Q$1300,0,MATCH($B118,元データ_14項目!$D$1:$Q$1,0)),元データ_14項目!$A$2:$A$1300,$A118,元データ_14項目!$B$2:$B$1300,"本年",元データ_14項目!$C$2:$C$1300,E$5)</f>
        <v>786</v>
      </c>
      <c r="F118" s="26">
        <f>SUMIFS(INDEX(元データ_14項目!$D$2:$Q$1300,0,MATCH($B118,元データ_14項目!$D$1:$Q$1,0)),元データ_14項目!$A$2:$A$1300,$A118,元データ_14項目!$B$2:$B$1300,"本年",元データ_14項目!$C$2:$C$1300,F$5)</f>
        <v>603</v>
      </c>
      <c r="G118" s="26">
        <f>SUMIFS(INDEX(元データ_14項目!$D$2:$Q$1300,0,MATCH($B118,元データ_14項目!$D$1:$Q$1,0)),元データ_14項目!$A$2:$A$1300,$A118,元データ_14項目!$B$2:$B$1300,"本年",元データ_14項目!$C$2:$C$1300,G$5)</f>
        <v>658</v>
      </c>
      <c r="H118" s="26">
        <f>SUMIFS(INDEX(元データ_14項目!$D$2:$Q$1300,0,MATCH($B118,元データ_14項目!$D$1:$Q$1,0)),元データ_14項目!$A$2:$A$1300,$A118,元データ_14項目!$B$2:$B$1300,"本年",元データ_14項目!$C$2:$C$1300,H$5)</f>
        <v>479</v>
      </c>
      <c r="I118" s="26">
        <f>SUMIFS(INDEX(元データ_14項目!$D$2:$Q$1300,0,MATCH($B118,元データ_14項目!$D$1:$Q$1,0)),元データ_14項目!$A$2:$A$1300,$A118,元データ_14項目!$B$2:$B$1300,"本年",元データ_14項目!$C$2:$C$1300,I$5)</f>
        <v>448</v>
      </c>
      <c r="J118" s="26">
        <f>SUMIFS(INDEX(元データ_14項目!$D$2:$Q$1300,0,MATCH($B118,元データ_14項目!$D$1:$Q$1,0)),元データ_14項目!$A$2:$A$1300,$A118,元データ_14項目!$B$2:$B$1300,"本年",元データ_14項目!$C$2:$C$1300,J$5)</f>
        <v>637</v>
      </c>
      <c r="K118" s="26">
        <f>SUMIFS(INDEX(元データ_14項目!$D$2:$Q$1300,0,MATCH($B118,元データ_14項目!$D$1:$Q$1,0)),元データ_14項目!$A$2:$A$1300,$A118,元データ_14項目!$B$2:$B$1300,"本年",元データ_14項目!$C$2:$C$1300,K$5)</f>
        <v>642</v>
      </c>
      <c r="L118" s="26">
        <f>SUMIFS(INDEX(元データ_14項目!$D$2:$Q$1300,0,MATCH($B118,元データ_14項目!$D$1:$Q$1,0)),元データ_14項目!$A$2:$A$1300,$A118,元データ_14項目!$B$2:$B$1300,"本年",元データ_14項目!$C$2:$C$1300,L$5)</f>
        <v>525</v>
      </c>
      <c r="M118" s="26">
        <f>SUMIFS(INDEX(元データ_14項目!$D$2:$Q$1300,0,MATCH($B118,元データ_14項目!$D$1:$Q$1,0)),元データ_14項目!$A$2:$A$1300,$A118,元データ_14項目!$B$2:$B$1300,"本年",元データ_14項目!$C$2:$C$1300,M$5)</f>
        <v>564</v>
      </c>
      <c r="N118" s="26">
        <f>SUMIFS(INDEX(元データ_14項目!$D$2:$Q$1300,0,MATCH($B118,元データ_14項目!$D$1:$Q$1,0)),元データ_14項目!$A$2:$A$1300,$A118,元データ_14項目!$B$2:$B$1300,"本年",元データ_14項目!$C$2:$C$1300,N$5)</f>
        <v>605</v>
      </c>
      <c r="O118" s="26">
        <f t="shared" si="2"/>
        <v>6977</v>
      </c>
      <c r="P118" s="26">
        <f>SUMIFS(INDEX(元データ_14項目!$D$2:$Q$1300,0,MATCH($B118,元データ_14項目!$D$1:$Q$1,0)),元データ_14項目!$A$2:$A$1300,$A118,元データ_14項目!$B$2:$B$1300,"前年")</f>
        <v>7747</v>
      </c>
      <c r="Q118" s="7">
        <f t="shared" si="3"/>
        <v>0.90060668645927455</v>
      </c>
    </row>
    <row r="119" spans="1:17" x14ac:dyDescent="0.45">
      <c r="A119" t="s">
        <v>43</v>
      </c>
      <c r="B119" t="s">
        <v>88</v>
      </c>
      <c r="C119" s="26">
        <f>SUMIFS(INDEX(元データ_14項目!$D$2:$Q$1300,0,MATCH($B119,元データ_14項目!$D$1:$Q$1,0)),元データ_14項目!$A$2:$A$1300,$A119,元データ_14項目!$B$2:$B$1300,"本年",元データ_14項目!$C$2:$C$1300,C$5)</f>
        <v>42</v>
      </c>
      <c r="D119" s="26">
        <f>SUMIFS(INDEX(元データ_14項目!$D$2:$Q$1300,0,MATCH($B119,元データ_14項目!$D$1:$Q$1,0)),元データ_14項目!$A$2:$A$1300,$A119,元データ_14項目!$B$2:$B$1300,"本年",元データ_14項目!$C$2:$C$1300,D$5)</f>
        <v>33</v>
      </c>
      <c r="E119" s="26">
        <f>SUMIFS(INDEX(元データ_14項目!$D$2:$Q$1300,0,MATCH($B119,元データ_14項目!$D$1:$Q$1,0)),元データ_14項目!$A$2:$A$1300,$A119,元データ_14項目!$B$2:$B$1300,"本年",元データ_14項目!$C$2:$C$1300,E$5)</f>
        <v>75</v>
      </c>
      <c r="F119" s="26">
        <f>SUMIFS(INDEX(元データ_14項目!$D$2:$Q$1300,0,MATCH($B119,元データ_14項目!$D$1:$Q$1,0)),元データ_14項目!$A$2:$A$1300,$A119,元データ_14項目!$B$2:$B$1300,"本年",元データ_14項目!$C$2:$C$1300,F$5)</f>
        <v>38</v>
      </c>
      <c r="G119" s="26">
        <f>SUMIFS(INDEX(元データ_14項目!$D$2:$Q$1300,0,MATCH($B119,元データ_14項目!$D$1:$Q$1,0)),元データ_14項目!$A$2:$A$1300,$A119,元データ_14項目!$B$2:$B$1300,"本年",元データ_14項目!$C$2:$C$1300,G$5)</f>
        <v>25</v>
      </c>
      <c r="H119" s="26">
        <f>SUMIFS(INDEX(元データ_14項目!$D$2:$Q$1300,0,MATCH($B119,元データ_14項目!$D$1:$Q$1,0)),元データ_14項目!$A$2:$A$1300,$A119,元データ_14項目!$B$2:$B$1300,"本年",元データ_14項目!$C$2:$C$1300,H$5)</f>
        <v>28</v>
      </c>
      <c r="I119" s="26">
        <f>SUMIFS(INDEX(元データ_14項目!$D$2:$Q$1300,0,MATCH($B119,元データ_14項目!$D$1:$Q$1,0)),元データ_14項目!$A$2:$A$1300,$A119,元データ_14項目!$B$2:$B$1300,"本年",元データ_14項目!$C$2:$C$1300,I$5)</f>
        <v>24</v>
      </c>
      <c r="J119" s="26">
        <f>SUMIFS(INDEX(元データ_14項目!$D$2:$Q$1300,0,MATCH($B119,元データ_14項目!$D$1:$Q$1,0)),元データ_14項目!$A$2:$A$1300,$A119,元データ_14項目!$B$2:$B$1300,"本年",元データ_14項目!$C$2:$C$1300,J$5)</f>
        <v>17</v>
      </c>
      <c r="K119" s="26">
        <f>SUMIFS(INDEX(元データ_14項目!$D$2:$Q$1300,0,MATCH($B119,元データ_14項目!$D$1:$Q$1,0)),元データ_14項目!$A$2:$A$1300,$A119,元データ_14項目!$B$2:$B$1300,"本年",元データ_14項目!$C$2:$C$1300,K$5)</f>
        <v>52</v>
      </c>
      <c r="L119" s="26">
        <f>SUMIFS(INDEX(元データ_14項目!$D$2:$Q$1300,0,MATCH($B119,元データ_14項目!$D$1:$Q$1,0)),元データ_14項目!$A$2:$A$1300,$A119,元データ_14項目!$B$2:$B$1300,"本年",元データ_14項目!$C$2:$C$1300,L$5)</f>
        <v>24</v>
      </c>
      <c r="M119" s="26">
        <f>SUMIFS(INDEX(元データ_14項目!$D$2:$Q$1300,0,MATCH($B119,元データ_14項目!$D$1:$Q$1,0)),元データ_14項目!$A$2:$A$1300,$A119,元データ_14項目!$B$2:$B$1300,"本年",元データ_14項目!$C$2:$C$1300,M$5)</f>
        <v>26</v>
      </c>
      <c r="N119" s="26">
        <f>SUMIFS(INDEX(元データ_14項目!$D$2:$Q$1300,0,MATCH($B119,元データ_14項目!$D$1:$Q$1,0)),元データ_14項目!$A$2:$A$1300,$A119,元データ_14項目!$B$2:$B$1300,"本年",元データ_14項目!$C$2:$C$1300,N$5)</f>
        <v>29</v>
      </c>
      <c r="O119" s="26">
        <f t="shared" si="2"/>
        <v>413</v>
      </c>
      <c r="P119" s="26">
        <f>SUMIFS(INDEX(元データ_14項目!$D$2:$Q$1300,0,MATCH($B119,元データ_14項目!$D$1:$Q$1,0)),元データ_14項目!$A$2:$A$1300,$A119,元データ_14項目!$B$2:$B$1300,"前年")</f>
        <v>462</v>
      </c>
      <c r="Q119" s="7">
        <f t="shared" si="3"/>
        <v>0.89393939393939392</v>
      </c>
    </row>
    <row r="120" spans="1:17" x14ac:dyDescent="0.45">
      <c r="A120" t="s">
        <v>43</v>
      </c>
      <c r="B120" t="s">
        <v>89</v>
      </c>
      <c r="C120" s="26">
        <f>SUMIFS(INDEX(元データ_14項目!$D$2:$Q$1300,0,MATCH($B120,元データ_14項目!$D$1:$Q$1,0)),元データ_14項目!$A$2:$A$1300,$A120,元データ_14項目!$B$2:$B$1300,"本年",元データ_14項目!$C$2:$C$1300,C$5)</f>
        <v>53</v>
      </c>
      <c r="D120" s="26">
        <f>SUMIFS(INDEX(元データ_14項目!$D$2:$Q$1300,0,MATCH($B120,元データ_14項目!$D$1:$Q$1,0)),元データ_14項目!$A$2:$A$1300,$A120,元データ_14項目!$B$2:$B$1300,"本年",元データ_14項目!$C$2:$C$1300,D$5)</f>
        <v>46</v>
      </c>
      <c r="E120" s="26">
        <f>SUMIFS(INDEX(元データ_14項目!$D$2:$Q$1300,0,MATCH($B120,元データ_14項目!$D$1:$Q$1,0)),元データ_14項目!$A$2:$A$1300,$A120,元データ_14項目!$B$2:$B$1300,"本年",元データ_14項目!$C$2:$C$1300,E$5)</f>
        <v>72</v>
      </c>
      <c r="F120" s="26">
        <f>SUMIFS(INDEX(元データ_14項目!$D$2:$Q$1300,0,MATCH($B120,元データ_14項目!$D$1:$Q$1,0)),元データ_14項目!$A$2:$A$1300,$A120,元データ_14項目!$B$2:$B$1300,"本年",元データ_14項目!$C$2:$C$1300,F$5)</f>
        <v>29</v>
      </c>
      <c r="G120" s="26">
        <f>SUMIFS(INDEX(元データ_14項目!$D$2:$Q$1300,0,MATCH($B120,元データ_14項目!$D$1:$Q$1,0)),元データ_14項目!$A$2:$A$1300,$A120,元データ_14項目!$B$2:$B$1300,"本年",元データ_14項目!$C$2:$C$1300,G$5)</f>
        <v>29</v>
      </c>
      <c r="H120" s="26">
        <f>SUMIFS(INDEX(元データ_14項目!$D$2:$Q$1300,0,MATCH($B120,元データ_14項目!$D$1:$Q$1,0)),元データ_14項目!$A$2:$A$1300,$A120,元データ_14項目!$B$2:$B$1300,"本年",元データ_14項目!$C$2:$C$1300,H$5)</f>
        <v>18</v>
      </c>
      <c r="I120" s="26">
        <f>SUMIFS(INDEX(元データ_14項目!$D$2:$Q$1300,0,MATCH($B120,元データ_14項目!$D$1:$Q$1,0)),元データ_14項目!$A$2:$A$1300,$A120,元データ_14項目!$B$2:$B$1300,"本年",元データ_14項目!$C$2:$C$1300,I$5)</f>
        <v>16</v>
      </c>
      <c r="J120" s="26">
        <f>SUMIFS(INDEX(元データ_14項目!$D$2:$Q$1300,0,MATCH($B120,元データ_14項目!$D$1:$Q$1,0)),元データ_14項目!$A$2:$A$1300,$A120,元データ_14項目!$B$2:$B$1300,"本年",元データ_14項目!$C$2:$C$1300,J$5)</f>
        <v>36</v>
      </c>
      <c r="K120" s="26">
        <f>SUMIFS(INDEX(元データ_14項目!$D$2:$Q$1300,0,MATCH($B120,元データ_14項目!$D$1:$Q$1,0)),元データ_14項目!$A$2:$A$1300,$A120,元データ_14項目!$B$2:$B$1300,"本年",元データ_14項目!$C$2:$C$1300,K$5)</f>
        <v>56</v>
      </c>
      <c r="L120" s="26">
        <f>SUMIFS(INDEX(元データ_14項目!$D$2:$Q$1300,0,MATCH($B120,元データ_14項目!$D$1:$Q$1,0)),元データ_14項目!$A$2:$A$1300,$A120,元データ_14項目!$B$2:$B$1300,"本年",元データ_14項目!$C$2:$C$1300,L$5)</f>
        <v>28</v>
      </c>
      <c r="M120" s="26">
        <f>SUMIFS(INDEX(元データ_14項目!$D$2:$Q$1300,0,MATCH($B120,元データ_14項目!$D$1:$Q$1,0)),元データ_14項目!$A$2:$A$1300,$A120,元データ_14項目!$B$2:$B$1300,"本年",元データ_14項目!$C$2:$C$1300,M$5)</f>
        <v>46</v>
      </c>
      <c r="N120" s="26">
        <f>SUMIFS(INDEX(元データ_14項目!$D$2:$Q$1300,0,MATCH($B120,元データ_14項目!$D$1:$Q$1,0)),元データ_14項目!$A$2:$A$1300,$A120,元データ_14項目!$B$2:$B$1300,"本年",元データ_14項目!$C$2:$C$1300,N$5)</f>
        <v>59</v>
      </c>
      <c r="O120" s="26">
        <f t="shared" si="2"/>
        <v>488</v>
      </c>
      <c r="P120" s="26">
        <f>SUMIFS(INDEX(元データ_14項目!$D$2:$Q$1300,0,MATCH($B120,元データ_14項目!$D$1:$Q$1,0)),元データ_14項目!$A$2:$A$1300,$A120,元データ_14項目!$B$2:$B$1300,"前年")</f>
        <v>490</v>
      </c>
      <c r="Q120" s="7">
        <f t="shared" si="3"/>
        <v>0.99591836734693873</v>
      </c>
    </row>
    <row r="121" spans="1:17" x14ac:dyDescent="0.45">
      <c r="A121" t="s">
        <v>43</v>
      </c>
      <c r="B121" t="s">
        <v>90</v>
      </c>
      <c r="C121" s="26">
        <f>SUMIFS(INDEX(元データ_14項目!$D$2:$Q$1300,0,MATCH($B121,元データ_14項目!$D$1:$Q$1,0)),元データ_14項目!$A$2:$A$1300,$A121,元データ_14項目!$B$2:$B$1300,"本年",元データ_14項目!$C$2:$C$1300,C$5)</f>
        <v>36</v>
      </c>
      <c r="D121" s="26">
        <f>SUMIFS(INDEX(元データ_14項目!$D$2:$Q$1300,0,MATCH($B121,元データ_14項目!$D$1:$Q$1,0)),元データ_14項目!$A$2:$A$1300,$A121,元データ_14項目!$B$2:$B$1300,"本年",元データ_14項目!$C$2:$C$1300,D$5)</f>
        <v>64</v>
      </c>
      <c r="E121" s="26">
        <f>SUMIFS(INDEX(元データ_14項目!$D$2:$Q$1300,0,MATCH($B121,元データ_14項目!$D$1:$Q$1,0)),元データ_14項目!$A$2:$A$1300,$A121,元データ_14項目!$B$2:$B$1300,"本年",元データ_14項目!$C$2:$C$1300,E$5)</f>
        <v>78</v>
      </c>
      <c r="F121" s="26">
        <f>SUMIFS(INDEX(元データ_14項目!$D$2:$Q$1300,0,MATCH($B121,元データ_14項目!$D$1:$Q$1,0)),元データ_14項目!$A$2:$A$1300,$A121,元データ_14項目!$B$2:$B$1300,"本年",元データ_14項目!$C$2:$C$1300,F$5)</f>
        <v>84</v>
      </c>
      <c r="G121" s="26">
        <f>SUMIFS(INDEX(元データ_14項目!$D$2:$Q$1300,0,MATCH($B121,元データ_14項目!$D$1:$Q$1,0)),元データ_14項目!$A$2:$A$1300,$A121,元データ_14項目!$B$2:$B$1300,"本年",元データ_14項目!$C$2:$C$1300,G$5)</f>
        <v>138</v>
      </c>
      <c r="H121" s="26">
        <f>SUMIFS(INDEX(元データ_14項目!$D$2:$Q$1300,0,MATCH($B121,元データ_14項目!$D$1:$Q$1,0)),元データ_14項目!$A$2:$A$1300,$A121,元データ_14項目!$B$2:$B$1300,"本年",元データ_14項目!$C$2:$C$1300,H$5)</f>
        <v>109</v>
      </c>
      <c r="I121" s="26">
        <f>SUMIFS(INDEX(元データ_14項目!$D$2:$Q$1300,0,MATCH($B121,元データ_14項目!$D$1:$Q$1,0)),元データ_14項目!$A$2:$A$1300,$A121,元データ_14項目!$B$2:$B$1300,"本年",元データ_14項目!$C$2:$C$1300,I$5)</f>
        <v>63</v>
      </c>
      <c r="J121" s="26">
        <f>SUMIFS(INDEX(元データ_14項目!$D$2:$Q$1300,0,MATCH($B121,元データ_14項目!$D$1:$Q$1,0)),元データ_14項目!$A$2:$A$1300,$A121,元データ_14項目!$B$2:$B$1300,"本年",元データ_14項目!$C$2:$C$1300,J$5)</f>
        <v>150</v>
      </c>
      <c r="K121" s="26">
        <f>SUMIFS(INDEX(元データ_14項目!$D$2:$Q$1300,0,MATCH($B121,元データ_14項目!$D$1:$Q$1,0)),元データ_14項目!$A$2:$A$1300,$A121,元データ_14項目!$B$2:$B$1300,"本年",元データ_14項目!$C$2:$C$1300,K$5)</f>
        <v>182</v>
      </c>
      <c r="L121" s="26">
        <f>SUMIFS(INDEX(元データ_14項目!$D$2:$Q$1300,0,MATCH($B121,元データ_14項目!$D$1:$Q$1,0)),元データ_14項目!$A$2:$A$1300,$A121,元データ_14項目!$B$2:$B$1300,"本年",元データ_14項目!$C$2:$C$1300,L$5)</f>
        <v>110</v>
      </c>
      <c r="M121" s="26">
        <f>SUMIFS(INDEX(元データ_14項目!$D$2:$Q$1300,0,MATCH($B121,元データ_14項目!$D$1:$Q$1,0)),元データ_14項目!$A$2:$A$1300,$A121,元データ_14項目!$B$2:$B$1300,"本年",元データ_14項目!$C$2:$C$1300,M$5)</f>
        <v>101</v>
      </c>
      <c r="N121" s="26">
        <f>SUMIFS(INDEX(元データ_14項目!$D$2:$Q$1300,0,MATCH($B121,元データ_14項目!$D$1:$Q$1,0)),元データ_14項目!$A$2:$A$1300,$A121,元データ_14項目!$B$2:$B$1300,"本年",元データ_14項目!$C$2:$C$1300,N$5)</f>
        <v>73</v>
      </c>
      <c r="O121" s="26">
        <f t="shared" si="2"/>
        <v>1188</v>
      </c>
      <c r="P121" s="26">
        <f>SUMIFS(INDEX(元データ_14項目!$D$2:$Q$1300,0,MATCH($B121,元データ_14項目!$D$1:$Q$1,0)),元データ_14項目!$A$2:$A$1300,$A121,元データ_14項目!$B$2:$B$1300,"前年")</f>
        <v>1308</v>
      </c>
      <c r="Q121" s="7">
        <f t="shared" si="3"/>
        <v>0.90825688073394495</v>
      </c>
    </row>
    <row r="122" spans="1:17" x14ac:dyDescent="0.45">
      <c r="A122" t="s">
        <v>43</v>
      </c>
      <c r="B122" t="s">
        <v>91</v>
      </c>
      <c r="C122" s="26">
        <f>SUMIFS(INDEX(元データ_14項目!$D$2:$Q$1300,0,MATCH($B122,元データ_14項目!$D$1:$Q$1,0)),元データ_14項目!$A$2:$A$1300,$A122,元データ_14項目!$B$2:$B$1300,"本年",元データ_14項目!$C$2:$C$1300,C$5)</f>
        <v>16</v>
      </c>
      <c r="D122" s="26">
        <f>SUMIFS(INDEX(元データ_14項目!$D$2:$Q$1300,0,MATCH($B122,元データ_14項目!$D$1:$Q$1,0)),元データ_14項目!$A$2:$A$1300,$A122,元データ_14項目!$B$2:$B$1300,"本年",元データ_14項目!$C$2:$C$1300,D$5)</f>
        <v>31</v>
      </c>
      <c r="E122" s="26">
        <f>SUMIFS(INDEX(元データ_14項目!$D$2:$Q$1300,0,MATCH($B122,元データ_14項目!$D$1:$Q$1,0)),元データ_14項目!$A$2:$A$1300,$A122,元データ_14項目!$B$2:$B$1300,"本年",元データ_14項目!$C$2:$C$1300,E$5)</f>
        <v>46</v>
      </c>
      <c r="F122" s="26">
        <f>SUMIFS(INDEX(元データ_14項目!$D$2:$Q$1300,0,MATCH($B122,元データ_14項目!$D$1:$Q$1,0)),元データ_14項目!$A$2:$A$1300,$A122,元データ_14項目!$B$2:$B$1300,"本年",元データ_14項目!$C$2:$C$1300,F$5)</f>
        <v>38</v>
      </c>
      <c r="G122" s="26">
        <f>SUMIFS(INDEX(元データ_14項目!$D$2:$Q$1300,0,MATCH($B122,元データ_14項目!$D$1:$Q$1,0)),元データ_14項目!$A$2:$A$1300,$A122,元データ_14項目!$B$2:$B$1300,"本年",元データ_14項目!$C$2:$C$1300,G$5)</f>
        <v>11</v>
      </c>
      <c r="H122" s="26">
        <f>SUMIFS(INDEX(元データ_14項目!$D$2:$Q$1300,0,MATCH($B122,元データ_14項目!$D$1:$Q$1,0)),元データ_14項目!$A$2:$A$1300,$A122,元データ_14項目!$B$2:$B$1300,"本年",元データ_14項目!$C$2:$C$1300,H$5)</f>
        <v>2</v>
      </c>
      <c r="I122" s="26">
        <f>SUMIFS(INDEX(元データ_14項目!$D$2:$Q$1300,0,MATCH($B122,元データ_14項目!$D$1:$Q$1,0)),元データ_14項目!$A$2:$A$1300,$A122,元データ_14項目!$B$2:$B$1300,"本年",元データ_14項目!$C$2:$C$1300,I$5)</f>
        <v>39</v>
      </c>
      <c r="J122" s="26">
        <f>SUMIFS(INDEX(元データ_14項目!$D$2:$Q$1300,0,MATCH($B122,元データ_14項目!$D$1:$Q$1,0)),元データ_14項目!$A$2:$A$1300,$A122,元データ_14項目!$B$2:$B$1300,"本年",元データ_14項目!$C$2:$C$1300,J$5)</f>
        <v>4</v>
      </c>
      <c r="K122" s="26">
        <f>SUMIFS(INDEX(元データ_14項目!$D$2:$Q$1300,0,MATCH($B122,元データ_14項目!$D$1:$Q$1,0)),元データ_14項目!$A$2:$A$1300,$A122,元データ_14項目!$B$2:$B$1300,"本年",元データ_14項目!$C$2:$C$1300,K$5)</f>
        <v>8</v>
      </c>
      <c r="L122" s="26">
        <f>SUMIFS(INDEX(元データ_14項目!$D$2:$Q$1300,0,MATCH($B122,元データ_14項目!$D$1:$Q$1,0)),元データ_14項目!$A$2:$A$1300,$A122,元データ_14項目!$B$2:$B$1300,"本年",元データ_14項目!$C$2:$C$1300,L$5)</f>
        <v>14</v>
      </c>
      <c r="M122" s="26">
        <f>SUMIFS(INDEX(元データ_14項目!$D$2:$Q$1300,0,MATCH($B122,元データ_14項目!$D$1:$Q$1,0)),元データ_14項目!$A$2:$A$1300,$A122,元データ_14項目!$B$2:$B$1300,"本年",元データ_14項目!$C$2:$C$1300,M$5)</f>
        <v>20</v>
      </c>
      <c r="N122" s="26">
        <f>SUMIFS(INDEX(元データ_14項目!$D$2:$Q$1300,0,MATCH($B122,元データ_14項目!$D$1:$Q$1,0)),元データ_14項目!$A$2:$A$1300,$A122,元データ_14項目!$B$2:$B$1300,"本年",元データ_14項目!$C$2:$C$1300,N$5)</f>
        <v>18</v>
      </c>
      <c r="O122" s="26">
        <f t="shared" si="2"/>
        <v>247</v>
      </c>
      <c r="P122" s="26">
        <f>SUMIFS(INDEX(元データ_14項目!$D$2:$Q$1300,0,MATCH($B122,元データ_14項目!$D$1:$Q$1,0)),元データ_14項目!$A$2:$A$1300,$A122,元データ_14項目!$B$2:$B$1300,"前年")</f>
        <v>228</v>
      </c>
      <c r="Q122" s="7">
        <f t="shared" si="3"/>
        <v>1.0833333333333333</v>
      </c>
    </row>
    <row r="123" spans="1:17" x14ac:dyDescent="0.45">
      <c r="A123" t="s">
        <v>43</v>
      </c>
      <c r="B123" t="s">
        <v>28</v>
      </c>
      <c r="C123" s="26">
        <f>SUMIFS(INDEX(元データ_14項目!$D$2:$Q$1300,0,MATCH($B123,元データ_14項目!$D$1:$Q$1,0)),元データ_14項目!$A$2:$A$1300,$A123,元データ_14項目!$B$2:$B$1300,"本年",元データ_14項目!$C$2:$C$1300,C$5)</f>
        <v>161</v>
      </c>
      <c r="D123" s="26">
        <f>SUMIFS(INDEX(元データ_14項目!$D$2:$Q$1300,0,MATCH($B123,元データ_14項目!$D$1:$Q$1,0)),元データ_14項目!$A$2:$A$1300,$A123,元データ_14項目!$B$2:$B$1300,"本年",元データ_14項目!$C$2:$C$1300,D$5)</f>
        <v>216</v>
      </c>
      <c r="E123" s="26">
        <f>SUMIFS(INDEX(元データ_14項目!$D$2:$Q$1300,0,MATCH($B123,元データ_14項目!$D$1:$Q$1,0)),元データ_14項目!$A$2:$A$1300,$A123,元データ_14項目!$B$2:$B$1300,"本年",元データ_14項目!$C$2:$C$1300,E$5)</f>
        <v>259</v>
      </c>
      <c r="F123" s="26">
        <f>SUMIFS(INDEX(元データ_14項目!$D$2:$Q$1300,0,MATCH($B123,元データ_14項目!$D$1:$Q$1,0)),元データ_14項目!$A$2:$A$1300,$A123,元データ_14項目!$B$2:$B$1300,"本年",元データ_14項目!$C$2:$C$1300,F$5)</f>
        <v>152</v>
      </c>
      <c r="G123" s="26">
        <f>SUMIFS(INDEX(元データ_14項目!$D$2:$Q$1300,0,MATCH($B123,元データ_14項目!$D$1:$Q$1,0)),元データ_14項目!$A$2:$A$1300,$A123,元データ_14項目!$B$2:$B$1300,"本年",元データ_14項目!$C$2:$C$1300,G$5)</f>
        <v>142</v>
      </c>
      <c r="H123" s="26">
        <f>SUMIFS(INDEX(元データ_14項目!$D$2:$Q$1300,0,MATCH($B123,元データ_14項目!$D$1:$Q$1,0)),元データ_14項目!$A$2:$A$1300,$A123,元データ_14項目!$B$2:$B$1300,"本年",元データ_14項目!$C$2:$C$1300,H$5)</f>
        <v>83</v>
      </c>
      <c r="I123" s="26">
        <f>SUMIFS(INDEX(元データ_14項目!$D$2:$Q$1300,0,MATCH($B123,元データ_14項目!$D$1:$Q$1,0)),元データ_14項目!$A$2:$A$1300,$A123,元データ_14項目!$B$2:$B$1300,"本年",元データ_14項目!$C$2:$C$1300,I$5)</f>
        <v>94</v>
      </c>
      <c r="J123" s="26">
        <f>SUMIFS(INDEX(元データ_14項目!$D$2:$Q$1300,0,MATCH($B123,元データ_14項目!$D$1:$Q$1,0)),元データ_14項目!$A$2:$A$1300,$A123,元データ_14項目!$B$2:$B$1300,"本年",元データ_14項目!$C$2:$C$1300,J$5)</f>
        <v>89</v>
      </c>
      <c r="K123" s="26">
        <f>SUMIFS(INDEX(元データ_14項目!$D$2:$Q$1300,0,MATCH($B123,元データ_14項目!$D$1:$Q$1,0)),元データ_14項目!$A$2:$A$1300,$A123,元データ_14項目!$B$2:$B$1300,"本年",元データ_14項目!$C$2:$C$1300,K$5)</f>
        <v>121</v>
      </c>
      <c r="L123" s="26">
        <f>SUMIFS(INDEX(元データ_14項目!$D$2:$Q$1300,0,MATCH($B123,元データ_14項目!$D$1:$Q$1,0)),元データ_14項目!$A$2:$A$1300,$A123,元データ_14項目!$B$2:$B$1300,"本年",元データ_14項目!$C$2:$C$1300,L$5)</f>
        <v>116</v>
      </c>
      <c r="M123" s="26">
        <f>SUMIFS(INDEX(元データ_14項目!$D$2:$Q$1300,0,MATCH($B123,元データ_14項目!$D$1:$Q$1,0)),元データ_14項目!$A$2:$A$1300,$A123,元データ_14項目!$B$2:$B$1300,"本年",元データ_14項目!$C$2:$C$1300,M$5)</f>
        <v>157</v>
      </c>
      <c r="N123" s="26">
        <f>SUMIFS(INDEX(元データ_14項目!$D$2:$Q$1300,0,MATCH($B123,元データ_14項目!$D$1:$Q$1,0)),元データ_14項目!$A$2:$A$1300,$A123,元データ_14項目!$B$2:$B$1300,"本年",元データ_14項目!$C$2:$C$1300,N$5)</f>
        <v>166</v>
      </c>
      <c r="O123" s="26">
        <f t="shared" si="2"/>
        <v>1756</v>
      </c>
      <c r="P123" s="26">
        <f>SUMIFS(INDEX(元データ_14項目!$D$2:$Q$1300,0,MATCH($B123,元データ_14項目!$D$1:$Q$1,0)),元データ_14項目!$A$2:$A$1300,$A123,元データ_14項目!$B$2:$B$1300,"前年")</f>
        <v>1970</v>
      </c>
      <c r="Q123" s="7">
        <f t="shared" si="3"/>
        <v>0.8913705583756345</v>
      </c>
    </row>
    <row r="124" spans="1:17" x14ac:dyDescent="0.45">
      <c r="A124" t="s">
        <v>43</v>
      </c>
      <c r="B124" t="s">
        <v>92</v>
      </c>
      <c r="C124" s="26">
        <f>SUMIFS(INDEX(元データ_14項目!$D$2:$Q$1300,0,MATCH($B124,元データ_14項目!$D$1:$Q$1,0)),元データ_14項目!$A$2:$A$1300,$A124,元データ_14項目!$B$2:$B$1300,"本年",元データ_14項目!$C$2:$C$1300,C$5)</f>
        <v>22</v>
      </c>
      <c r="D124" s="26">
        <f>SUMIFS(INDEX(元データ_14項目!$D$2:$Q$1300,0,MATCH($B124,元データ_14項目!$D$1:$Q$1,0)),元データ_14項目!$A$2:$A$1300,$A124,元データ_14項目!$B$2:$B$1300,"本年",元データ_14項目!$C$2:$C$1300,D$5)</f>
        <v>35</v>
      </c>
      <c r="E124" s="26">
        <f>SUMIFS(INDEX(元データ_14項目!$D$2:$Q$1300,0,MATCH($B124,元データ_14項目!$D$1:$Q$1,0)),元データ_14項目!$A$2:$A$1300,$A124,元データ_14項目!$B$2:$B$1300,"本年",元データ_14項目!$C$2:$C$1300,E$5)</f>
        <v>35</v>
      </c>
      <c r="F124" s="26">
        <f>SUMIFS(INDEX(元データ_14項目!$D$2:$Q$1300,0,MATCH($B124,元データ_14項目!$D$1:$Q$1,0)),元データ_14項目!$A$2:$A$1300,$A124,元データ_14項目!$B$2:$B$1300,"本年",元データ_14項目!$C$2:$C$1300,F$5)</f>
        <v>27</v>
      </c>
      <c r="G124" s="26">
        <f>SUMIFS(INDEX(元データ_14項目!$D$2:$Q$1300,0,MATCH($B124,元データ_14項目!$D$1:$Q$1,0)),元データ_14項目!$A$2:$A$1300,$A124,元データ_14項目!$B$2:$B$1300,"本年",元データ_14項目!$C$2:$C$1300,G$5)</f>
        <v>16</v>
      </c>
      <c r="H124" s="26">
        <f>SUMIFS(INDEX(元データ_14項目!$D$2:$Q$1300,0,MATCH($B124,元データ_14項目!$D$1:$Q$1,0)),元データ_14項目!$A$2:$A$1300,$A124,元データ_14項目!$B$2:$B$1300,"本年",元データ_14項目!$C$2:$C$1300,H$5)</f>
        <v>18</v>
      </c>
      <c r="I124" s="26">
        <f>SUMIFS(INDEX(元データ_14項目!$D$2:$Q$1300,0,MATCH($B124,元データ_14項目!$D$1:$Q$1,0)),元データ_14項目!$A$2:$A$1300,$A124,元データ_14項目!$B$2:$B$1300,"本年",元データ_14項目!$C$2:$C$1300,I$5)</f>
        <v>13</v>
      </c>
      <c r="J124" s="26">
        <f>SUMIFS(INDEX(元データ_14項目!$D$2:$Q$1300,0,MATCH($B124,元データ_14項目!$D$1:$Q$1,0)),元データ_14項目!$A$2:$A$1300,$A124,元データ_14項目!$B$2:$B$1300,"本年",元データ_14項目!$C$2:$C$1300,J$5)</f>
        <v>18</v>
      </c>
      <c r="K124" s="26">
        <f>SUMIFS(INDEX(元データ_14項目!$D$2:$Q$1300,0,MATCH($B124,元データ_14項目!$D$1:$Q$1,0)),元データ_14項目!$A$2:$A$1300,$A124,元データ_14項目!$B$2:$B$1300,"本年",元データ_14項目!$C$2:$C$1300,K$5)</f>
        <v>45</v>
      </c>
      <c r="L124" s="26">
        <f>SUMIFS(INDEX(元データ_14項目!$D$2:$Q$1300,0,MATCH($B124,元データ_14項目!$D$1:$Q$1,0)),元データ_14項目!$A$2:$A$1300,$A124,元データ_14項目!$B$2:$B$1300,"本年",元データ_14項目!$C$2:$C$1300,L$5)</f>
        <v>29</v>
      </c>
      <c r="M124" s="26">
        <f>SUMIFS(INDEX(元データ_14項目!$D$2:$Q$1300,0,MATCH($B124,元データ_14項目!$D$1:$Q$1,0)),元データ_14項目!$A$2:$A$1300,$A124,元データ_14項目!$B$2:$B$1300,"本年",元データ_14項目!$C$2:$C$1300,M$5)</f>
        <v>32</v>
      </c>
      <c r="N124" s="26">
        <f>SUMIFS(INDEX(元データ_14項目!$D$2:$Q$1300,0,MATCH($B124,元データ_14項目!$D$1:$Q$1,0)),元データ_14項目!$A$2:$A$1300,$A124,元データ_14項目!$B$2:$B$1300,"本年",元データ_14項目!$C$2:$C$1300,N$5)</f>
        <v>24</v>
      </c>
      <c r="O124" s="26">
        <f t="shared" si="2"/>
        <v>314</v>
      </c>
      <c r="P124" s="26">
        <f>SUMIFS(INDEX(元データ_14項目!$D$2:$Q$1300,0,MATCH($B124,元データ_14項目!$D$1:$Q$1,0)),元データ_14項目!$A$2:$A$1300,$A124,元データ_14項目!$B$2:$B$1300,"前年")</f>
        <v>287</v>
      </c>
      <c r="Q124" s="7">
        <f t="shared" si="3"/>
        <v>1.0940766550522647</v>
      </c>
    </row>
    <row r="125" spans="1:17" x14ac:dyDescent="0.45">
      <c r="A125" t="s">
        <v>43</v>
      </c>
      <c r="B125" t="s">
        <v>93</v>
      </c>
      <c r="C125" s="26">
        <f>SUMIFS(INDEX(元データ_14項目!$D$2:$Q$1300,0,MATCH($B125,元データ_14項目!$D$1:$Q$1,0)),元データ_14項目!$A$2:$A$1300,$A125,元データ_14項目!$B$2:$B$1300,"本年",元データ_14項目!$C$2:$C$1300,C$5)</f>
        <v>8</v>
      </c>
      <c r="D125" s="26">
        <f>SUMIFS(INDEX(元データ_14項目!$D$2:$Q$1300,0,MATCH($B125,元データ_14項目!$D$1:$Q$1,0)),元データ_14項目!$A$2:$A$1300,$A125,元データ_14項目!$B$2:$B$1300,"本年",元データ_14項目!$C$2:$C$1300,D$5)</f>
        <v>7</v>
      </c>
      <c r="E125" s="26">
        <f>SUMIFS(INDEX(元データ_14項目!$D$2:$Q$1300,0,MATCH($B125,元データ_14項目!$D$1:$Q$1,0)),元データ_14項目!$A$2:$A$1300,$A125,元データ_14項目!$B$2:$B$1300,"本年",元データ_14項目!$C$2:$C$1300,E$5)</f>
        <v>26</v>
      </c>
      <c r="F125" s="26">
        <f>SUMIFS(INDEX(元データ_14項目!$D$2:$Q$1300,0,MATCH($B125,元データ_14項目!$D$1:$Q$1,0)),元データ_14項目!$A$2:$A$1300,$A125,元データ_14項目!$B$2:$B$1300,"本年",元データ_14項目!$C$2:$C$1300,F$5)</f>
        <v>31</v>
      </c>
      <c r="G125" s="26">
        <f>SUMIFS(INDEX(元データ_14項目!$D$2:$Q$1300,0,MATCH($B125,元データ_14項目!$D$1:$Q$1,0)),元データ_14項目!$A$2:$A$1300,$A125,元データ_14項目!$B$2:$B$1300,"本年",元データ_14項目!$C$2:$C$1300,G$5)</f>
        <v>72</v>
      </c>
      <c r="H125" s="26">
        <f>SUMIFS(INDEX(元データ_14項目!$D$2:$Q$1300,0,MATCH($B125,元データ_14項目!$D$1:$Q$1,0)),元データ_14項目!$A$2:$A$1300,$A125,元データ_14項目!$B$2:$B$1300,"本年",元データ_14項目!$C$2:$C$1300,H$5)</f>
        <v>68</v>
      </c>
      <c r="I125" s="26">
        <f>SUMIFS(INDEX(元データ_14項目!$D$2:$Q$1300,0,MATCH($B125,元データ_14項目!$D$1:$Q$1,0)),元データ_14項目!$A$2:$A$1300,$A125,元データ_14項目!$B$2:$B$1300,"本年",元データ_14項目!$C$2:$C$1300,I$5)</f>
        <v>53</v>
      </c>
      <c r="J125" s="26">
        <f>SUMIFS(INDEX(元データ_14項目!$D$2:$Q$1300,0,MATCH($B125,元データ_14項目!$D$1:$Q$1,0)),元データ_14項目!$A$2:$A$1300,$A125,元データ_14項目!$B$2:$B$1300,"本年",元データ_14項目!$C$2:$C$1300,J$5)</f>
        <v>84</v>
      </c>
      <c r="K125" s="26">
        <f>SUMIFS(INDEX(元データ_14項目!$D$2:$Q$1300,0,MATCH($B125,元データ_14項目!$D$1:$Q$1,0)),元データ_14項目!$A$2:$A$1300,$A125,元データ_14項目!$B$2:$B$1300,"本年",元データ_14項目!$C$2:$C$1300,K$5)</f>
        <v>147</v>
      </c>
      <c r="L125" s="26">
        <f>SUMIFS(INDEX(元データ_14項目!$D$2:$Q$1300,0,MATCH($B125,元データ_14項目!$D$1:$Q$1,0)),元データ_14項目!$A$2:$A$1300,$A125,元データ_14項目!$B$2:$B$1300,"本年",元データ_14項目!$C$2:$C$1300,L$5)</f>
        <v>81</v>
      </c>
      <c r="M125" s="26">
        <f>SUMIFS(INDEX(元データ_14項目!$D$2:$Q$1300,0,MATCH($B125,元データ_14項目!$D$1:$Q$1,0)),元データ_14項目!$A$2:$A$1300,$A125,元データ_14項目!$B$2:$B$1300,"本年",元データ_14項目!$C$2:$C$1300,M$5)</f>
        <v>56</v>
      </c>
      <c r="N125" s="26">
        <f>SUMIFS(INDEX(元データ_14項目!$D$2:$Q$1300,0,MATCH($B125,元データ_14項目!$D$1:$Q$1,0)),元データ_14項目!$A$2:$A$1300,$A125,元データ_14項目!$B$2:$B$1300,"本年",元データ_14項目!$C$2:$C$1300,N$5)</f>
        <v>11</v>
      </c>
      <c r="O125" s="26">
        <f t="shared" si="2"/>
        <v>644</v>
      </c>
      <c r="P125" s="26">
        <f>SUMIFS(INDEX(元データ_14項目!$D$2:$Q$1300,0,MATCH($B125,元データ_14項目!$D$1:$Q$1,0)),元データ_14項目!$A$2:$A$1300,$A125,元データ_14項目!$B$2:$B$1300,"前年")</f>
        <v>786</v>
      </c>
      <c r="Q125" s="7">
        <f t="shared" si="3"/>
        <v>0.8193384223918575</v>
      </c>
    </row>
    <row r="126" spans="1:17" x14ac:dyDescent="0.45">
      <c r="A126" t="s">
        <v>43</v>
      </c>
      <c r="B126" t="s">
        <v>94</v>
      </c>
      <c r="C126" s="26">
        <f>SUMIFS(INDEX(元データ_14項目!$D$2:$Q$1300,0,MATCH($B126,元データ_14項目!$D$1:$Q$1,0)),元データ_14項目!$A$2:$A$1300,$A126,元データ_14項目!$B$2:$B$1300,"本年",元データ_14項目!$C$2:$C$1300,C$5)</f>
        <v>13</v>
      </c>
      <c r="D126" s="26">
        <f>SUMIFS(INDEX(元データ_14項目!$D$2:$Q$1300,0,MATCH($B126,元データ_14項目!$D$1:$Q$1,0)),元データ_14項目!$A$2:$A$1300,$A126,元データ_14項目!$B$2:$B$1300,"本年",元データ_14項目!$C$2:$C$1300,D$5)</f>
        <v>7</v>
      </c>
      <c r="E126" s="26">
        <f>SUMIFS(INDEX(元データ_14項目!$D$2:$Q$1300,0,MATCH($B126,元データ_14項目!$D$1:$Q$1,0)),元データ_14項目!$A$2:$A$1300,$A126,元データ_14項目!$B$2:$B$1300,"本年",元データ_14項目!$C$2:$C$1300,E$5)</f>
        <v>22</v>
      </c>
      <c r="F126" s="26">
        <f>SUMIFS(INDEX(元データ_14項目!$D$2:$Q$1300,0,MATCH($B126,元データ_14項目!$D$1:$Q$1,0)),元データ_14項目!$A$2:$A$1300,$A126,元データ_14項目!$B$2:$B$1300,"本年",元データ_14項目!$C$2:$C$1300,F$5)</f>
        <v>12</v>
      </c>
      <c r="G126" s="26">
        <f>SUMIFS(INDEX(元データ_14項目!$D$2:$Q$1300,0,MATCH($B126,元データ_14項目!$D$1:$Q$1,0)),元データ_14項目!$A$2:$A$1300,$A126,元データ_14項目!$B$2:$B$1300,"本年",元データ_14項目!$C$2:$C$1300,G$5)</f>
        <v>25</v>
      </c>
      <c r="H126" s="26">
        <f>SUMIFS(INDEX(元データ_14項目!$D$2:$Q$1300,0,MATCH($B126,元データ_14項目!$D$1:$Q$1,0)),元データ_14項目!$A$2:$A$1300,$A126,元データ_14項目!$B$2:$B$1300,"本年",元データ_14項目!$C$2:$C$1300,H$5)</f>
        <v>14</v>
      </c>
      <c r="I126" s="26">
        <f>SUMIFS(INDEX(元データ_14項目!$D$2:$Q$1300,0,MATCH($B126,元データ_14項目!$D$1:$Q$1,0)),元データ_14項目!$A$2:$A$1300,$A126,元データ_14項目!$B$2:$B$1300,"本年",元データ_14項目!$C$2:$C$1300,I$5)</f>
        <v>10</v>
      </c>
      <c r="J126" s="26">
        <f>SUMIFS(INDEX(元データ_14項目!$D$2:$Q$1300,0,MATCH($B126,元データ_14項目!$D$1:$Q$1,0)),元データ_14項目!$A$2:$A$1300,$A126,元データ_14項目!$B$2:$B$1300,"本年",元データ_14項目!$C$2:$C$1300,J$5)</f>
        <v>16</v>
      </c>
      <c r="K126" s="26">
        <f>SUMIFS(INDEX(元データ_14項目!$D$2:$Q$1300,0,MATCH($B126,元データ_14項目!$D$1:$Q$1,0)),元データ_14項目!$A$2:$A$1300,$A126,元データ_14項目!$B$2:$B$1300,"本年",元データ_14項目!$C$2:$C$1300,K$5)</f>
        <v>56</v>
      </c>
      <c r="L126" s="26">
        <f>SUMIFS(INDEX(元データ_14項目!$D$2:$Q$1300,0,MATCH($B126,元データ_14項目!$D$1:$Q$1,0)),元データ_14項目!$A$2:$A$1300,$A126,元データ_14項目!$B$2:$B$1300,"本年",元データ_14項目!$C$2:$C$1300,L$5)</f>
        <v>47</v>
      </c>
      <c r="M126" s="26">
        <f>SUMIFS(INDEX(元データ_14項目!$D$2:$Q$1300,0,MATCH($B126,元データ_14項目!$D$1:$Q$1,0)),元データ_14項目!$A$2:$A$1300,$A126,元データ_14項目!$B$2:$B$1300,"本年",元データ_14項目!$C$2:$C$1300,M$5)</f>
        <v>28</v>
      </c>
      <c r="N126" s="26">
        <f>SUMIFS(INDEX(元データ_14項目!$D$2:$Q$1300,0,MATCH($B126,元データ_14項目!$D$1:$Q$1,0)),元データ_14項目!$A$2:$A$1300,$A126,元データ_14項目!$B$2:$B$1300,"本年",元データ_14項目!$C$2:$C$1300,N$5)</f>
        <v>20</v>
      </c>
      <c r="O126" s="26">
        <f t="shared" si="2"/>
        <v>270</v>
      </c>
      <c r="P126" s="26">
        <f>SUMIFS(INDEX(元データ_14項目!$D$2:$Q$1300,0,MATCH($B126,元データ_14項目!$D$1:$Q$1,0)),元データ_14項目!$A$2:$A$1300,$A126,元データ_14項目!$B$2:$B$1300,"前年")</f>
        <v>278</v>
      </c>
      <c r="Q126" s="7">
        <f t="shared" si="3"/>
        <v>0.97122302158273377</v>
      </c>
    </row>
    <row r="127" spans="1:17" x14ac:dyDescent="0.45">
      <c r="A127" t="s">
        <v>43</v>
      </c>
      <c r="B127" t="s">
        <v>95</v>
      </c>
      <c r="C127" s="26">
        <f>SUMIFS(INDEX(元データ_14項目!$D$2:$Q$1300,0,MATCH($B127,元データ_14項目!$D$1:$Q$1,0)),元データ_14項目!$A$2:$A$1300,$A127,元データ_14項目!$B$2:$B$1300,"本年",元データ_14項目!$C$2:$C$1300,C$5)</f>
        <v>13</v>
      </c>
      <c r="D127" s="26">
        <f>SUMIFS(INDEX(元データ_14項目!$D$2:$Q$1300,0,MATCH($B127,元データ_14項目!$D$1:$Q$1,0)),元データ_14項目!$A$2:$A$1300,$A127,元データ_14項目!$B$2:$B$1300,"本年",元データ_14項目!$C$2:$C$1300,D$5)</f>
        <v>20</v>
      </c>
      <c r="E127" s="26">
        <f>SUMIFS(INDEX(元データ_14項目!$D$2:$Q$1300,0,MATCH($B127,元データ_14項目!$D$1:$Q$1,0)),元データ_14項目!$A$2:$A$1300,$A127,元データ_14項目!$B$2:$B$1300,"本年",元データ_14項目!$C$2:$C$1300,E$5)</f>
        <v>27</v>
      </c>
      <c r="F127" s="26">
        <f>SUMIFS(INDEX(元データ_14項目!$D$2:$Q$1300,0,MATCH($B127,元データ_14項目!$D$1:$Q$1,0)),元データ_14項目!$A$2:$A$1300,$A127,元データ_14項目!$B$2:$B$1300,"本年",元データ_14項目!$C$2:$C$1300,F$5)</f>
        <v>20</v>
      </c>
      <c r="G127" s="26">
        <f>SUMIFS(INDEX(元データ_14項目!$D$2:$Q$1300,0,MATCH($B127,元データ_14項目!$D$1:$Q$1,0)),元データ_14項目!$A$2:$A$1300,$A127,元データ_14項目!$B$2:$B$1300,"本年",元データ_14項目!$C$2:$C$1300,G$5)</f>
        <v>15</v>
      </c>
      <c r="H127" s="26">
        <f>SUMIFS(INDEX(元データ_14項目!$D$2:$Q$1300,0,MATCH($B127,元データ_14項目!$D$1:$Q$1,0)),元データ_14項目!$A$2:$A$1300,$A127,元データ_14項目!$B$2:$B$1300,"本年",元データ_14項目!$C$2:$C$1300,H$5)</f>
        <v>16</v>
      </c>
      <c r="I127" s="26">
        <f>SUMIFS(INDEX(元データ_14項目!$D$2:$Q$1300,0,MATCH($B127,元データ_14項目!$D$1:$Q$1,0)),元データ_14項目!$A$2:$A$1300,$A127,元データ_14項目!$B$2:$B$1300,"本年",元データ_14項目!$C$2:$C$1300,I$5)</f>
        <v>12</v>
      </c>
      <c r="J127" s="26">
        <f>SUMIFS(INDEX(元データ_14項目!$D$2:$Q$1300,0,MATCH($B127,元データ_14項目!$D$1:$Q$1,0)),元データ_14項目!$A$2:$A$1300,$A127,元データ_14項目!$B$2:$B$1300,"本年",元データ_14項目!$C$2:$C$1300,J$5)</f>
        <v>23</v>
      </c>
      <c r="K127" s="26">
        <f>SUMIFS(INDEX(元データ_14項目!$D$2:$Q$1300,0,MATCH($B127,元データ_14項目!$D$1:$Q$1,0)),元データ_14項目!$A$2:$A$1300,$A127,元データ_14項目!$B$2:$B$1300,"本年",元データ_14項目!$C$2:$C$1300,K$5)</f>
        <v>38</v>
      </c>
      <c r="L127" s="26">
        <f>SUMIFS(INDEX(元データ_14項目!$D$2:$Q$1300,0,MATCH($B127,元データ_14項目!$D$1:$Q$1,0)),元データ_14項目!$A$2:$A$1300,$A127,元データ_14項目!$B$2:$B$1300,"本年",元データ_14項目!$C$2:$C$1300,L$5)</f>
        <v>29</v>
      </c>
      <c r="M127" s="26">
        <f>SUMIFS(INDEX(元データ_14項目!$D$2:$Q$1300,0,MATCH($B127,元データ_14項目!$D$1:$Q$1,0)),元データ_14項目!$A$2:$A$1300,$A127,元データ_14項目!$B$2:$B$1300,"本年",元データ_14項目!$C$2:$C$1300,M$5)</f>
        <v>22</v>
      </c>
      <c r="N127" s="26">
        <f>SUMIFS(INDEX(元データ_14項目!$D$2:$Q$1300,0,MATCH($B127,元データ_14項目!$D$1:$Q$1,0)),元データ_14項目!$A$2:$A$1300,$A127,元データ_14項目!$B$2:$B$1300,"本年",元データ_14項目!$C$2:$C$1300,N$5)</f>
        <v>21</v>
      </c>
      <c r="O127" s="26">
        <f t="shared" si="2"/>
        <v>256</v>
      </c>
      <c r="P127" s="26">
        <f>SUMIFS(INDEX(元データ_14項目!$D$2:$Q$1300,0,MATCH($B127,元データ_14項目!$D$1:$Q$1,0)),元データ_14項目!$A$2:$A$1300,$A127,元データ_14項目!$B$2:$B$1300,"前年")</f>
        <v>245</v>
      </c>
      <c r="Q127" s="7">
        <f t="shared" si="3"/>
        <v>1.0448979591836736</v>
      </c>
    </row>
    <row r="128" spans="1:17" x14ac:dyDescent="0.45">
      <c r="A128" t="s">
        <v>43</v>
      </c>
      <c r="B128" t="s">
        <v>96</v>
      </c>
      <c r="C128" s="26">
        <f>SUMIFS(INDEX(元データ_14項目!$D$2:$Q$1300,0,MATCH($B128,元データ_14項目!$D$1:$Q$1,0)),元データ_14項目!$A$2:$A$1300,$A128,元データ_14項目!$B$2:$B$1300,"本年",元データ_14項目!$C$2:$C$1300,C$5)</f>
        <v>16</v>
      </c>
      <c r="D128" s="26">
        <f>SUMIFS(INDEX(元データ_14項目!$D$2:$Q$1300,0,MATCH($B128,元データ_14項目!$D$1:$Q$1,0)),元データ_14項目!$A$2:$A$1300,$A128,元データ_14項目!$B$2:$B$1300,"本年",元データ_14項目!$C$2:$C$1300,D$5)</f>
        <v>12</v>
      </c>
      <c r="E128" s="26">
        <f>SUMIFS(INDEX(元データ_14項目!$D$2:$Q$1300,0,MATCH($B128,元データ_14項目!$D$1:$Q$1,0)),元データ_14項目!$A$2:$A$1300,$A128,元データ_14項目!$B$2:$B$1300,"本年",元データ_14項目!$C$2:$C$1300,E$5)</f>
        <v>36</v>
      </c>
      <c r="F128" s="26">
        <f>SUMIFS(INDEX(元データ_14項目!$D$2:$Q$1300,0,MATCH($B128,元データ_14項目!$D$1:$Q$1,0)),元データ_14項目!$A$2:$A$1300,$A128,元データ_14項目!$B$2:$B$1300,"本年",元データ_14項目!$C$2:$C$1300,F$5)</f>
        <v>41</v>
      </c>
      <c r="G128" s="26">
        <f>SUMIFS(INDEX(元データ_14項目!$D$2:$Q$1300,0,MATCH($B128,元データ_14項目!$D$1:$Q$1,0)),元データ_14項目!$A$2:$A$1300,$A128,元データ_14項目!$B$2:$B$1300,"本年",元データ_14項目!$C$2:$C$1300,G$5)</f>
        <v>42</v>
      </c>
      <c r="H128" s="26">
        <f>SUMIFS(INDEX(元データ_14項目!$D$2:$Q$1300,0,MATCH($B128,元データ_14項目!$D$1:$Q$1,0)),元データ_14項目!$A$2:$A$1300,$A128,元データ_14項目!$B$2:$B$1300,"本年",元データ_14項目!$C$2:$C$1300,H$5)</f>
        <v>25</v>
      </c>
      <c r="I128" s="26">
        <f>SUMIFS(INDEX(元データ_14項目!$D$2:$Q$1300,0,MATCH($B128,元データ_14項目!$D$1:$Q$1,0)),元データ_14項目!$A$2:$A$1300,$A128,元データ_14項目!$B$2:$B$1300,"本年",元データ_14項目!$C$2:$C$1300,I$5)</f>
        <v>27</v>
      </c>
      <c r="J128" s="26">
        <f>SUMIFS(INDEX(元データ_14項目!$D$2:$Q$1300,0,MATCH($B128,元データ_14項目!$D$1:$Q$1,0)),元データ_14項目!$A$2:$A$1300,$A128,元データ_14項目!$B$2:$B$1300,"本年",元データ_14項目!$C$2:$C$1300,J$5)</f>
        <v>96</v>
      </c>
      <c r="K128" s="26">
        <f>SUMIFS(INDEX(元データ_14項目!$D$2:$Q$1300,0,MATCH($B128,元データ_14項目!$D$1:$Q$1,0)),元データ_14項目!$A$2:$A$1300,$A128,元データ_14項目!$B$2:$B$1300,"本年",元データ_14項目!$C$2:$C$1300,K$5)</f>
        <v>224</v>
      </c>
      <c r="L128" s="26">
        <f>SUMIFS(INDEX(元データ_14項目!$D$2:$Q$1300,0,MATCH($B128,元データ_14項目!$D$1:$Q$1,0)),元データ_14項目!$A$2:$A$1300,$A128,元データ_14項目!$B$2:$B$1300,"本年",元データ_14項目!$C$2:$C$1300,L$5)</f>
        <v>126</v>
      </c>
      <c r="M128" s="26">
        <f>SUMIFS(INDEX(元データ_14項目!$D$2:$Q$1300,0,MATCH($B128,元データ_14項目!$D$1:$Q$1,0)),元データ_14項目!$A$2:$A$1300,$A128,元データ_14項目!$B$2:$B$1300,"本年",元データ_14項目!$C$2:$C$1300,M$5)</f>
        <v>82</v>
      </c>
      <c r="N128" s="26">
        <f>SUMIFS(INDEX(元データ_14項目!$D$2:$Q$1300,0,MATCH($B128,元データ_14項目!$D$1:$Q$1,0)),元データ_14項目!$A$2:$A$1300,$A128,元データ_14項目!$B$2:$B$1300,"本年",元データ_14項目!$C$2:$C$1300,N$5)</f>
        <v>32</v>
      </c>
      <c r="O128" s="26">
        <f t="shared" si="2"/>
        <v>759</v>
      </c>
      <c r="P128" s="26">
        <f>SUMIFS(INDEX(元データ_14項目!$D$2:$Q$1300,0,MATCH($B128,元データ_14項目!$D$1:$Q$1,0)),元データ_14項目!$A$2:$A$1300,$A128,元データ_14項目!$B$2:$B$1300,"前年")</f>
        <v>845</v>
      </c>
      <c r="Q128" s="7">
        <f t="shared" si="3"/>
        <v>0.89822485207100589</v>
      </c>
    </row>
    <row r="129" spans="1:17" x14ac:dyDescent="0.45">
      <c r="A129" t="s">
        <v>43</v>
      </c>
      <c r="B129" t="s">
        <v>97</v>
      </c>
      <c r="C129" s="26">
        <f>SUMIFS(INDEX(元データ_14項目!$D$2:$Q$1300,0,MATCH($B129,元データ_14項目!$D$1:$Q$1,0)),元データ_14項目!$A$2:$A$1300,$A129,元データ_14項目!$B$2:$B$1300,"本年",元データ_14項目!$C$2:$C$1300,C$5)</f>
        <v>42</v>
      </c>
      <c r="D129" s="26">
        <f>SUMIFS(INDEX(元データ_14項目!$D$2:$Q$1300,0,MATCH($B129,元データ_14項目!$D$1:$Q$1,0)),元データ_14項目!$A$2:$A$1300,$A129,元データ_14項目!$B$2:$B$1300,"本年",元データ_14項目!$C$2:$C$1300,D$5)</f>
        <v>14</v>
      </c>
      <c r="E129" s="26">
        <f>SUMIFS(INDEX(元データ_14項目!$D$2:$Q$1300,0,MATCH($B129,元データ_14項目!$D$1:$Q$1,0)),元データ_14項目!$A$2:$A$1300,$A129,元データ_14項目!$B$2:$B$1300,"本年",元データ_14項目!$C$2:$C$1300,E$5)</f>
        <v>72</v>
      </c>
      <c r="F129" s="26">
        <f>SUMIFS(INDEX(元データ_14項目!$D$2:$Q$1300,0,MATCH($B129,元データ_14項目!$D$1:$Q$1,0)),元データ_14項目!$A$2:$A$1300,$A129,元データ_14項目!$B$2:$B$1300,"本年",元データ_14項目!$C$2:$C$1300,F$5)</f>
        <v>66</v>
      </c>
      <c r="G129" s="26">
        <f>SUMIFS(INDEX(元データ_14項目!$D$2:$Q$1300,0,MATCH($B129,元データ_14項目!$D$1:$Q$1,0)),元データ_14項目!$A$2:$A$1300,$A129,元データ_14項目!$B$2:$B$1300,"本年",元データ_14項目!$C$2:$C$1300,G$5)</f>
        <v>54</v>
      </c>
      <c r="H129" s="26">
        <f>SUMIFS(INDEX(元データ_14項目!$D$2:$Q$1300,0,MATCH($B129,元データ_14項目!$D$1:$Q$1,0)),元データ_14項目!$A$2:$A$1300,$A129,元データ_14項目!$B$2:$B$1300,"本年",元データ_14項目!$C$2:$C$1300,H$5)</f>
        <v>39</v>
      </c>
      <c r="I129" s="26">
        <f>SUMIFS(INDEX(元データ_14項目!$D$2:$Q$1300,0,MATCH($B129,元データ_14項目!$D$1:$Q$1,0)),元データ_14項目!$A$2:$A$1300,$A129,元データ_14項目!$B$2:$B$1300,"本年",元データ_14項目!$C$2:$C$1300,I$5)</f>
        <v>58</v>
      </c>
      <c r="J129" s="26">
        <f>SUMIFS(INDEX(元データ_14項目!$D$2:$Q$1300,0,MATCH($B129,元データ_14項目!$D$1:$Q$1,0)),元データ_14項目!$A$2:$A$1300,$A129,元データ_14項目!$B$2:$B$1300,"本年",元データ_14項目!$C$2:$C$1300,J$5)</f>
        <v>93</v>
      </c>
      <c r="K129" s="26">
        <f>SUMIFS(INDEX(元データ_14項目!$D$2:$Q$1300,0,MATCH($B129,元データ_14項目!$D$1:$Q$1,0)),元データ_14項目!$A$2:$A$1300,$A129,元データ_14項目!$B$2:$B$1300,"本年",元データ_14項目!$C$2:$C$1300,K$5)</f>
        <v>282</v>
      </c>
      <c r="L129" s="26">
        <f>SUMIFS(INDEX(元データ_14項目!$D$2:$Q$1300,0,MATCH($B129,元データ_14項目!$D$1:$Q$1,0)),元データ_14項目!$A$2:$A$1300,$A129,元データ_14項目!$B$2:$B$1300,"本年",元データ_14項目!$C$2:$C$1300,L$5)</f>
        <v>136</v>
      </c>
      <c r="M129" s="26">
        <f>SUMIFS(INDEX(元データ_14項目!$D$2:$Q$1300,0,MATCH($B129,元データ_14項目!$D$1:$Q$1,0)),元データ_14項目!$A$2:$A$1300,$A129,元データ_14項目!$B$2:$B$1300,"本年",元データ_14項目!$C$2:$C$1300,M$5)</f>
        <v>106</v>
      </c>
      <c r="N129" s="26">
        <f>SUMIFS(INDEX(元データ_14項目!$D$2:$Q$1300,0,MATCH($B129,元データ_14項目!$D$1:$Q$1,0)),元データ_14項目!$A$2:$A$1300,$A129,元データ_14項目!$B$2:$B$1300,"本年",元データ_14項目!$C$2:$C$1300,N$5)</f>
        <v>100</v>
      </c>
      <c r="O129" s="26">
        <f t="shared" si="2"/>
        <v>1062</v>
      </c>
      <c r="P129" s="26">
        <f>SUMIFS(INDEX(元データ_14項目!$D$2:$Q$1300,0,MATCH($B129,元データ_14項目!$D$1:$Q$1,0)),元データ_14項目!$A$2:$A$1300,$A129,元データ_14項目!$B$2:$B$1300,"前年")</f>
        <v>1098</v>
      </c>
      <c r="Q129" s="7">
        <f t="shared" si="3"/>
        <v>0.96721311475409832</v>
      </c>
    </row>
    <row r="130" spans="1:17" x14ac:dyDescent="0.45">
      <c r="A130" t="s">
        <v>43</v>
      </c>
      <c r="B130" t="s">
        <v>98</v>
      </c>
      <c r="C130" s="26">
        <f>SUMIFS(INDEX(元データ_14項目!$D$2:$Q$1300,0,MATCH($B130,元データ_14項目!$D$1:$Q$1,0)),元データ_14項目!$A$2:$A$1300,$A130,元データ_14項目!$B$2:$B$1300,"本年",元データ_14項目!$C$2:$C$1300,C$5)</f>
        <v>7</v>
      </c>
      <c r="D130" s="26">
        <f>SUMIFS(INDEX(元データ_14項目!$D$2:$Q$1300,0,MATCH($B130,元データ_14項目!$D$1:$Q$1,0)),元データ_14項目!$A$2:$A$1300,$A130,元データ_14項目!$B$2:$B$1300,"本年",元データ_14項目!$C$2:$C$1300,D$5)</f>
        <v>5</v>
      </c>
      <c r="E130" s="26">
        <f>SUMIFS(INDEX(元データ_14項目!$D$2:$Q$1300,0,MATCH($B130,元データ_14項目!$D$1:$Q$1,0)),元データ_14項目!$A$2:$A$1300,$A130,元データ_14項目!$B$2:$B$1300,"本年",元データ_14項目!$C$2:$C$1300,E$5)</f>
        <v>18</v>
      </c>
      <c r="F130" s="26">
        <f>SUMIFS(INDEX(元データ_14項目!$D$2:$Q$1300,0,MATCH($B130,元データ_14項目!$D$1:$Q$1,0)),元データ_14項目!$A$2:$A$1300,$A130,元データ_14項目!$B$2:$B$1300,"本年",元データ_14項目!$C$2:$C$1300,F$5)</f>
        <v>22</v>
      </c>
      <c r="G130" s="26">
        <f>SUMIFS(INDEX(元データ_14項目!$D$2:$Q$1300,0,MATCH($B130,元データ_14項目!$D$1:$Q$1,0)),元データ_14項目!$A$2:$A$1300,$A130,元データ_14項目!$B$2:$B$1300,"本年",元データ_14項目!$C$2:$C$1300,G$5)</f>
        <v>14</v>
      </c>
      <c r="H130" s="26">
        <f>SUMIFS(INDEX(元データ_14項目!$D$2:$Q$1300,0,MATCH($B130,元データ_14項目!$D$1:$Q$1,0)),元データ_14項目!$A$2:$A$1300,$A130,元データ_14項目!$B$2:$B$1300,"本年",元データ_14項目!$C$2:$C$1300,H$5)</f>
        <v>12</v>
      </c>
      <c r="I130" s="26">
        <f>SUMIFS(INDEX(元データ_14項目!$D$2:$Q$1300,0,MATCH($B130,元データ_14項目!$D$1:$Q$1,0)),元データ_14項目!$A$2:$A$1300,$A130,元データ_14項目!$B$2:$B$1300,"本年",元データ_14項目!$C$2:$C$1300,I$5)</f>
        <v>17</v>
      </c>
      <c r="J130" s="26">
        <f>SUMIFS(INDEX(元データ_14項目!$D$2:$Q$1300,0,MATCH($B130,元データ_14項目!$D$1:$Q$1,0)),元データ_14項目!$A$2:$A$1300,$A130,元データ_14項目!$B$2:$B$1300,"本年",元データ_14項目!$C$2:$C$1300,J$5)</f>
        <v>93</v>
      </c>
      <c r="K130" s="26">
        <f>SUMIFS(INDEX(元データ_14項目!$D$2:$Q$1300,0,MATCH($B130,元データ_14項目!$D$1:$Q$1,0)),元データ_14項目!$A$2:$A$1300,$A130,元データ_14項目!$B$2:$B$1300,"本年",元データ_14項目!$C$2:$C$1300,K$5)</f>
        <v>190</v>
      </c>
      <c r="L130" s="26">
        <f>SUMIFS(INDEX(元データ_14項目!$D$2:$Q$1300,0,MATCH($B130,元データ_14項目!$D$1:$Q$1,0)),元データ_14項目!$A$2:$A$1300,$A130,元データ_14項目!$B$2:$B$1300,"本年",元データ_14項目!$C$2:$C$1300,L$5)</f>
        <v>79</v>
      </c>
      <c r="M130" s="26">
        <f>SUMIFS(INDEX(元データ_14項目!$D$2:$Q$1300,0,MATCH($B130,元データ_14項目!$D$1:$Q$1,0)),元データ_14項目!$A$2:$A$1300,$A130,元データ_14項目!$B$2:$B$1300,"本年",元データ_14項目!$C$2:$C$1300,M$5)</f>
        <v>39</v>
      </c>
      <c r="N130" s="26">
        <f>SUMIFS(INDEX(元データ_14項目!$D$2:$Q$1300,0,MATCH($B130,元データ_14項目!$D$1:$Q$1,0)),元データ_14項目!$A$2:$A$1300,$A130,元データ_14項目!$B$2:$B$1300,"本年",元データ_14項目!$C$2:$C$1300,N$5)</f>
        <v>23</v>
      </c>
      <c r="O130" s="26">
        <f t="shared" si="2"/>
        <v>519</v>
      </c>
      <c r="P130" s="26">
        <f>SUMIFS(INDEX(元データ_14項目!$D$2:$Q$1300,0,MATCH($B130,元データ_14項目!$D$1:$Q$1,0)),元データ_14項目!$A$2:$A$1300,$A130,元データ_14項目!$B$2:$B$1300,"前年")</f>
        <v>578</v>
      </c>
      <c r="Q130" s="7">
        <f t="shared" si="3"/>
        <v>0.89792387543252594</v>
      </c>
    </row>
    <row r="131" spans="1:17" x14ac:dyDescent="0.45">
      <c r="A131" t="s">
        <v>43</v>
      </c>
      <c r="B131" t="s">
        <v>99</v>
      </c>
      <c r="C131" s="26">
        <f>SUMIFS(INDEX(元データ_14項目!$D$2:$Q$1300,0,MATCH($B131,元データ_14項目!$D$1:$Q$1,0)),元データ_14項目!$A$2:$A$1300,$A131,元データ_14項目!$B$2:$B$1300,"本年",元データ_14項目!$C$2:$C$1300,C$5)</f>
        <v>0</v>
      </c>
      <c r="D131" s="26">
        <f>SUMIFS(INDEX(元データ_14項目!$D$2:$Q$1300,0,MATCH($B131,元データ_14項目!$D$1:$Q$1,0)),元データ_14項目!$A$2:$A$1300,$A131,元データ_14項目!$B$2:$B$1300,"本年",元データ_14項目!$C$2:$C$1300,D$5)</f>
        <v>2</v>
      </c>
      <c r="E131" s="26">
        <f>SUMIFS(INDEX(元データ_14項目!$D$2:$Q$1300,0,MATCH($B131,元データ_14項目!$D$1:$Q$1,0)),元データ_14項目!$A$2:$A$1300,$A131,元データ_14項目!$B$2:$B$1300,"本年",元データ_14項目!$C$2:$C$1300,E$5)</f>
        <v>2</v>
      </c>
      <c r="F131" s="26">
        <f>SUMIFS(INDEX(元データ_14項目!$D$2:$Q$1300,0,MATCH($B131,元データ_14項目!$D$1:$Q$1,0)),元データ_14項目!$A$2:$A$1300,$A131,元データ_14項目!$B$2:$B$1300,"本年",元データ_14項目!$C$2:$C$1300,F$5)</f>
        <v>0</v>
      </c>
      <c r="G131" s="26">
        <f>SUMIFS(INDEX(元データ_14項目!$D$2:$Q$1300,0,MATCH($B131,元データ_14項目!$D$1:$Q$1,0)),元データ_14項目!$A$2:$A$1300,$A131,元データ_14項目!$B$2:$B$1300,"本年",元データ_14項目!$C$2:$C$1300,G$5)</f>
        <v>2</v>
      </c>
      <c r="H131" s="26">
        <f>SUMIFS(INDEX(元データ_14項目!$D$2:$Q$1300,0,MATCH($B131,元データ_14項目!$D$1:$Q$1,0)),元データ_14項目!$A$2:$A$1300,$A131,元データ_14項目!$B$2:$B$1300,"本年",元データ_14項目!$C$2:$C$1300,H$5)</f>
        <v>12</v>
      </c>
      <c r="I131" s="26">
        <f>SUMIFS(INDEX(元データ_14項目!$D$2:$Q$1300,0,MATCH($B131,元データ_14項目!$D$1:$Q$1,0)),元データ_14項目!$A$2:$A$1300,$A131,元データ_14項目!$B$2:$B$1300,"本年",元データ_14項目!$C$2:$C$1300,I$5)</f>
        <v>1</v>
      </c>
      <c r="J131" s="26">
        <f>SUMIFS(INDEX(元データ_14項目!$D$2:$Q$1300,0,MATCH($B131,元データ_14項目!$D$1:$Q$1,0)),元データ_14項目!$A$2:$A$1300,$A131,元データ_14項目!$B$2:$B$1300,"本年",元データ_14項目!$C$2:$C$1300,J$5)</f>
        <v>7</v>
      </c>
      <c r="K131" s="26">
        <f>SUMIFS(INDEX(元データ_14項目!$D$2:$Q$1300,0,MATCH($B131,元データ_14項目!$D$1:$Q$1,0)),元データ_14項目!$A$2:$A$1300,$A131,元データ_14項目!$B$2:$B$1300,"本年",元データ_14項目!$C$2:$C$1300,K$5)</f>
        <v>16</v>
      </c>
      <c r="L131" s="26">
        <f>SUMIFS(INDEX(元データ_14項目!$D$2:$Q$1300,0,MATCH($B131,元データ_14項目!$D$1:$Q$1,0)),元データ_14項目!$A$2:$A$1300,$A131,元データ_14項目!$B$2:$B$1300,"本年",元データ_14項目!$C$2:$C$1300,L$5)</f>
        <v>13</v>
      </c>
      <c r="M131" s="26">
        <f>SUMIFS(INDEX(元データ_14項目!$D$2:$Q$1300,0,MATCH($B131,元データ_14項目!$D$1:$Q$1,0)),元データ_14項目!$A$2:$A$1300,$A131,元データ_14項目!$B$2:$B$1300,"本年",元データ_14項目!$C$2:$C$1300,M$5)</f>
        <v>9</v>
      </c>
      <c r="N131" s="26">
        <f>SUMIFS(INDEX(元データ_14項目!$D$2:$Q$1300,0,MATCH($B131,元データ_14項目!$D$1:$Q$1,0)),元データ_14項目!$A$2:$A$1300,$A131,元データ_14項目!$B$2:$B$1300,"本年",元データ_14項目!$C$2:$C$1300,N$5)</f>
        <v>2</v>
      </c>
      <c r="O131" s="26">
        <f t="shared" si="2"/>
        <v>66</v>
      </c>
      <c r="P131" s="26">
        <f>SUMIFS(INDEX(元データ_14項目!$D$2:$Q$1300,0,MATCH($B131,元データ_14項目!$D$1:$Q$1,0)),元データ_14項目!$A$2:$A$1300,$A131,元データ_14項目!$B$2:$B$1300,"前年")</f>
        <v>64</v>
      </c>
      <c r="Q131" s="7">
        <f t="shared" si="3"/>
        <v>1.03125</v>
      </c>
    </row>
    <row r="132" spans="1:17" x14ac:dyDescent="0.45">
      <c r="A132" t="s">
        <v>44</v>
      </c>
      <c r="B132" t="s">
        <v>27</v>
      </c>
      <c r="C132" s="26">
        <f>SUMIFS(INDEX(元データ_14項目!$D$2:$Q$1300,0,MATCH($B132,元データ_14項目!$D$1:$Q$1,0)),元データ_14項目!$A$2:$A$1300,$A132,元データ_14項目!$B$2:$B$1300,"本年",元データ_14項目!$C$2:$C$1300,C$5)</f>
        <v>1134</v>
      </c>
      <c r="D132" s="26">
        <f>SUMIFS(INDEX(元データ_14項目!$D$2:$Q$1300,0,MATCH($B132,元データ_14項目!$D$1:$Q$1,0)),元データ_14項目!$A$2:$A$1300,$A132,元データ_14項目!$B$2:$B$1300,"本年",元データ_14項目!$C$2:$C$1300,D$5)</f>
        <v>1274</v>
      </c>
      <c r="E132" s="26">
        <f>SUMIFS(INDEX(元データ_14項目!$D$2:$Q$1300,0,MATCH($B132,元データ_14項目!$D$1:$Q$1,0)),元データ_14項目!$A$2:$A$1300,$A132,元データ_14項目!$B$2:$B$1300,"本年",元データ_14項目!$C$2:$C$1300,E$5)</f>
        <v>1606</v>
      </c>
      <c r="F132" s="26">
        <f>SUMIFS(INDEX(元データ_14項目!$D$2:$Q$1300,0,MATCH($B132,元データ_14項目!$D$1:$Q$1,0)),元データ_14項目!$A$2:$A$1300,$A132,元データ_14項目!$B$2:$B$1300,"本年",元データ_14項目!$C$2:$C$1300,F$5)</f>
        <v>1478</v>
      </c>
      <c r="G132" s="26">
        <f>SUMIFS(INDEX(元データ_14項目!$D$2:$Q$1300,0,MATCH($B132,元データ_14項目!$D$1:$Q$1,0)),元データ_14項目!$A$2:$A$1300,$A132,元データ_14項目!$B$2:$B$1300,"本年",元データ_14項目!$C$2:$C$1300,G$5)</f>
        <v>1472</v>
      </c>
      <c r="H132" s="26">
        <f>SUMIFS(INDEX(元データ_14項目!$D$2:$Q$1300,0,MATCH($B132,元データ_14項目!$D$1:$Q$1,0)),元データ_14項目!$A$2:$A$1300,$A132,元データ_14項目!$B$2:$B$1300,"本年",元データ_14項目!$C$2:$C$1300,H$5)</f>
        <v>1050</v>
      </c>
      <c r="I132" s="26">
        <f>SUMIFS(INDEX(元データ_14項目!$D$2:$Q$1300,0,MATCH($B132,元データ_14項目!$D$1:$Q$1,0)),元データ_14項目!$A$2:$A$1300,$A132,元データ_14項目!$B$2:$B$1300,"本年",元データ_14項目!$C$2:$C$1300,I$5)</f>
        <v>1072</v>
      </c>
      <c r="J132" s="26">
        <f>SUMIFS(INDEX(元データ_14項目!$D$2:$Q$1300,0,MATCH($B132,元データ_14項目!$D$1:$Q$1,0)),元データ_14項目!$A$2:$A$1300,$A132,元データ_14項目!$B$2:$B$1300,"本年",元データ_14項目!$C$2:$C$1300,J$5)</f>
        <v>1338</v>
      </c>
      <c r="K132" s="26">
        <f>SUMIFS(INDEX(元データ_14項目!$D$2:$Q$1300,0,MATCH($B132,元データ_14項目!$D$1:$Q$1,0)),元データ_14項目!$A$2:$A$1300,$A132,元データ_14項目!$B$2:$B$1300,"本年",元データ_14項目!$C$2:$C$1300,K$5)</f>
        <v>1334</v>
      </c>
      <c r="L132" s="26">
        <f>SUMIFS(INDEX(元データ_14項目!$D$2:$Q$1300,0,MATCH($B132,元データ_14項目!$D$1:$Q$1,0)),元データ_14項目!$A$2:$A$1300,$A132,元データ_14項目!$B$2:$B$1300,"本年",元データ_14項目!$C$2:$C$1300,L$5)</f>
        <v>1110</v>
      </c>
      <c r="M132" s="26">
        <f>SUMIFS(INDEX(元データ_14項目!$D$2:$Q$1300,0,MATCH($B132,元データ_14項目!$D$1:$Q$1,0)),元データ_14項目!$A$2:$A$1300,$A132,元データ_14項目!$B$2:$B$1300,"本年",元データ_14項目!$C$2:$C$1300,M$5)</f>
        <v>1453</v>
      </c>
      <c r="N132" s="26">
        <f>SUMIFS(INDEX(元データ_14項目!$D$2:$Q$1300,0,MATCH($B132,元データ_14項目!$D$1:$Q$1,0)),元データ_14項目!$A$2:$A$1300,$A132,元データ_14項目!$B$2:$B$1300,"本年",元データ_14項目!$C$2:$C$1300,N$5)</f>
        <v>1292</v>
      </c>
      <c r="O132" s="26">
        <f t="shared" si="2"/>
        <v>15613</v>
      </c>
      <c r="P132" s="26">
        <f>SUMIFS(INDEX(元データ_14項目!$D$2:$Q$1300,0,MATCH($B132,元データ_14項目!$D$1:$Q$1,0)),元データ_14項目!$A$2:$A$1300,$A132,元データ_14項目!$B$2:$B$1300,"前年")</f>
        <v>17895</v>
      </c>
      <c r="Q132" s="7">
        <f t="shared" si="3"/>
        <v>0.87247834590667783</v>
      </c>
    </row>
    <row r="133" spans="1:17" x14ac:dyDescent="0.45">
      <c r="A133" t="s">
        <v>44</v>
      </c>
      <c r="B133" t="s">
        <v>88</v>
      </c>
      <c r="C133" s="26">
        <f>SUMIFS(INDEX(元データ_14項目!$D$2:$Q$1300,0,MATCH($B133,元データ_14項目!$D$1:$Q$1,0)),元データ_14項目!$A$2:$A$1300,$A133,元データ_14項目!$B$2:$B$1300,"本年",元データ_14項目!$C$2:$C$1300,C$5)</f>
        <v>44</v>
      </c>
      <c r="D133" s="26">
        <f>SUMIFS(INDEX(元データ_14項目!$D$2:$Q$1300,0,MATCH($B133,元データ_14項目!$D$1:$Q$1,0)),元データ_14項目!$A$2:$A$1300,$A133,元データ_14項目!$B$2:$B$1300,"本年",元データ_14項目!$C$2:$C$1300,D$5)</f>
        <v>46</v>
      </c>
      <c r="E133" s="26">
        <f>SUMIFS(INDEX(元データ_14項目!$D$2:$Q$1300,0,MATCH($B133,元データ_14項目!$D$1:$Q$1,0)),元データ_14項目!$A$2:$A$1300,$A133,元データ_14項目!$B$2:$B$1300,"本年",元データ_14項目!$C$2:$C$1300,E$5)</f>
        <v>86</v>
      </c>
      <c r="F133" s="26">
        <f>SUMIFS(INDEX(元データ_14項目!$D$2:$Q$1300,0,MATCH($B133,元データ_14項目!$D$1:$Q$1,0)),元データ_14項目!$A$2:$A$1300,$A133,元データ_14項目!$B$2:$B$1300,"本年",元データ_14項目!$C$2:$C$1300,F$5)</f>
        <v>84</v>
      </c>
      <c r="G133" s="26">
        <f>SUMIFS(INDEX(元データ_14項目!$D$2:$Q$1300,0,MATCH($B133,元データ_14項目!$D$1:$Q$1,0)),元データ_14項目!$A$2:$A$1300,$A133,元データ_14項目!$B$2:$B$1300,"本年",元データ_14項目!$C$2:$C$1300,G$5)</f>
        <v>56</v>
      </c>
      <c r="H133" s="26">
        <f>SUMIFS(INDEX(元データ_14項目!$D$2:$Q$1300,0,MATCH($B133,元データ_14項目!$D$1:$Q$1,0)),元データ_14項目!$A$2:$A$1300,$A133,元データ_14項目!$B$2:$B$1300,"本年",元データ_14項目!$C$2:$C$1300,H$5)</f>
        <v>34</v>
      </c>
      <c r="I133" s="26">
        <f>SUMIFS(INDEX(元データ_14項目!$D$2:$Q$1300,0,MATCH($B133,元データ_14項目!$D$1:$Q$1,0)),元データ_14項目!$A$2:$A$1300,$A133,元データ_14項目!$B$2:$B$1300,"本年",元データ_14項目!$C$2:$C$1300,I$5)</f>
        <v>37</v>
      </c>
      <c r="J133" s="26">
        <f>SUMIFS(INDEX(元データ_14項目!$D$2:$Q$1300,0,MATCH($B133,元データ_14項目!$D$1:$Q$1,0)),元データ_14項目!$A$2:$A$1300,$A133,元データ_14項目!$B$2:$B$1300,"本年",元データ_14項目!$C$2:$C$1300,J$5)</f>
        <v>47</v>
      </c>
      <c r="K133" s="26">
        <f>SUMIFS(INDEX(元データ_14項目!$D$2:$Q$1300,0,MATCH($B133,元データ_14項目!$D$1:$Q$1,0)),元データ_14項目!$A$2:$A$1300,$A133,元データ_14項目!$B$2:$B$1300,"本年",元データ_14項目!$C$2:$C$1300,K$5)</f>
        <v>80</v>
      </c>
      <c r="L133" s="26">
        <f>SUMIFS(INDEX(元データ_14項目!$D$2:$Q$1300,0,MATCH($B133,元データ_14項目!$D$1:$Q$1,0)),元データ_14項目!$A$2:$A$1300,$A133,元データ_14項目!$B$2:$B$1300,"本年",元データ_14項目!$C$2:$C$1300,L$5)</f>
        <v>76</v>
      </c>
      <c r="M133" s="26">
        <f>SUMIFS(INDEX(元データ_14項目!$D$2:$Q$1300,0,MATCH($B133,元データ_14項目!$D$1:$Q$1,0)),元データ_14項目!$A$2:$A$1300,$A133,元データ_14項目!$B$2:$B$1300,"本年",元データ_14項目!$C$2:$C$1300,M$5)</f>
        <v>50</v>
      </c>
      <c r="N133" s="26">
        <f>SUMIFS(INDEX(元データ_14項目!$D$2:$Q$1300,0,MATCH($B133,元データ_14項目!$D$1:$Q$1,0)),元データ_14項目!$A$2:$A$1300,$A133,元データ_14項目!$B$2:$B$1300,"本年",元データ_14項目!$C$2:$C$1300,N$5)</f>
        <v>58</v>
      </c>
      <c r="O133" s="26">
        <f t="shared" si="2"/>
        <v>698</v>
      </c>
      <c r="P133" s="26">
        <f>SUMIFS(INDEX(元データ_14項目!$D$2:$Q$1300,0,MATCH($B133,元データ_14項目!$D$1:$Q$1,0)),元データ_14項目!$A$2:$A$1300,$A133,元データ_14項目!$B$2:$B$1300,"前年")</f>
        <v>734</v>
      </c>
      <c r="Q133" s="7">
        <f t="shared" si="3"/>
        <v>0.95095367847411449</v>
      </c>
    </row>
    <row r="134" spans="1:17" x14ac:dyDescent="0.45">
      <c r="A134" t="s">
        <v>44</v>
      </c>
      <c r="B134" t="s">
        <v>89</v>
      </c>
      <c r="C134" s="26">
        <f>SUMIFS(INDEX(元データ_14項目!$D$2:$Q$1300,0,MATCH($B134,元データ_14項目!$D$1:$Q$1,0)),元データ_14項目!$A$2:$A$1300,$A134,元データ_14項目!$B$2:$B$1300,"本年",元データ_14項目!$C$2:$C$1300,C$5)</f>
        <v>45</v>
      </c>
      <c r="D134" s="26">
        <f>SUMIFS(INDEX(元データ_14項目!$D$2:$Q$1300,0,MATCH($B134,元データ_14項目!$D$1:$Q$1,0)),元データ_14項目!$A$2:$A$1300,$A134,元データ_14項目!$B$2:$B$1300,"本年",元データ_14項目!$C$2:$C$1300,D$5)</f>
        <v>60</v>
      </c>
      <c r="E134" s="26">
        <f>SUMIFS(INDEX(元データ_14項目!$D$2:$Q$1300,0,MATCH($B134,元データ_14項目!$D$1:$Q$1,0)),元データ_14項目!$A$2:$A$1300,$A134,元データ_14項目!$B$2:$B$1300,"本年",元データ_14項目!$C$2:$C$1300,E$5)</f>
        <v>76</v>
      </c>
      <c r="F134" s="26">
        <f>SUMIFS(INDEX(元データ_14項目!$D$2:$Q$1300,0,MATCH($B134,元データ_14項目!$D$1:$Q$1,0)),元データ_14項目!$A$2:$A$1300,$A134,元データ_14項目!$B$2:$B$1300,"本年",元データ_14項目!$C$2:$C$1300,F$5)</f>
        <v>71</v>
      </c>
      <c r="G134" s="26">
        <f>SUMIFS(INDEX(元データ_14項目!$D$2:$Q$1300,0,MATCH($B134,元データ_14項目!$D$1:$Q$1,0)),元データ_14項目!$A$2:$A$1300,$A134,元データ_14項目!$B$2:$B$1300,"本年",元データ_14項目!$C$2:$C$1300,G$5)</f>
        <v>74</v>
      </c>
      <c r="H134" s="26">
        <f>SUMIFS(INDEX(元データ_14項目!$D$2:$Q$1300,0,MATCH($B134,元データ_14項目!$D$1:$Q$1,0)),元データ_14項目!$A$2:$A$1300,$A134,元データ_14項目!$B$2:$B$1300,"本年",元データ_14項目!$C$2:$C$1300,H$5)</f>
        <v>27</v>
      </c>
      <c r="I134" s="26">
        <f>SUMIFS(INDEX(元データ_14項目!$D$2:$Q$1300,0,MATCH($B134,元データ_14項目!$D$1:$Q$1,0)),元データ_14項目!$A$2:$A$1300,$A134,元データ_14項目!$B$2:$B$1300,"本年",元データ_14項目!$C$2:$C$1300,I$5)</f>
        <v>36</v>
      </c>
      <c r="J134" s="26">
        <f>SUMIFS(INDEX(元データ_14項目!$D$2:$Q$1300,0,MATCH($B134,元データ_14項目!$D$1:$Q$1,0)),元データ_14項目!$A$2:$A$1300,$A134,元データ_14項目!$B$2:$B$1300,"本年",元データ_14項目!$C$2:$C$1300,J$5)</f>
        <v>74</v>
      </c>
      <c r="K134" s="26">
        <f>SUMIFS(INDEX(元データ_14項目!$D$2:$Q$1300,0,MATCH($B134,元データ_14項目!$D$1:$Q$1,0)),元データ_14項目!$A$2:$A$1300,$A134,元データ_14項目!$B$2:$B$1300,"本年",元データ_14項目!$C$2:$C$1300,K$5)</f>
        <v>89</v>
      </c>
      <c r="L134" s="26">
        <f>SUMIFS(INDEX(元データ_14項目!$D$2:$Q$1300,0,MATCH($B134,元データ_14項目!$D$1:$Q$1,0)),元データ_14項目!$A$2:$A$1300,$A134,元データ_14項目!$B$2:$B$1300,"本年",元データ_14項目!$C$2:$C$1300,L$5)</f>
        <v>94</v>
      </c>
      <c r="M134" s="26">
        <f>SUMIFS(INDEX(元データ_14項目!$D$2:$Q$1300,0,MATCH($B134,元データ_14項目!$D$1:$Q$1,0)),元データ_14項目!$A$2:$A$1300,$A134,元データ_14項目!$B$2:$B$1300,"本年",元データ_14項目!$C$2:$C$1300,M$5)</f>
        <v>82</v>
      </c>
      <c r="N134" s="26">
        <f>SUMIFS(INDEX(元データ_14項目!$D$2:$Q$1300,0,MATCH($B134,元データ_14項目!$D$1:$Q$1,0)),元データ_14項目!$A$2:$A$1300,$A134,元データ_14項目!$B$2:$B$1300,"本年",元データ_14項目!$C$2:$C$1300,N$5)</f>
        <v>87</v>
      </c>
      <c r="O134" s="26">
        <f t="shared" si="2"/>
        <v>815</v>
      </c>
      <c r="P134" s="26">
        <f>SUMIFS(INDEX(元データ_14項目!$D$2:$Q$1300,0,MATCH($B134,元データ_14項目!$D$1:$Q$1,0)),元データ_14項目!$A$2:$A$1300,$A134,元データ_14項目!$B$2:$B$1300,"前年")</f>
        <v>799</v>
      </c>
      <c r="Q134" s="7">
        <f t="shared" si="3"/>
        <v>1.0200250312891115</v>
      </c>
    </row>
    <row r="135" spans="1:17" x14ac:dyDescent="0.45">
      <c r="A135" t="s">
        <v>44</v>
      </c>
      <c r="B135" t="s">
        <v>90</v>
      </c>
      <c r="C135" s="26">
        <f>SUMIFS(INDEX(元データ_14項目!$D$2:$Q$1300,0,MATCH($B135,元データ_14項目!$D$1:$Q$1,0)),元データ_14項目!$A$2:$A$1300,$A135,元データ_14項目!$B$2:$B$1300,"本年",元データ_14項目!$C$2:$C$1300,C$5)</f>
        <v>101</v>
      </c>
      <c r="D135" s="26">
        <f>SUMIFS(INDEX(元データ_14項目!$D$2:$Q$1300,0,MATCH($B135,元データ_14項目!$D$1:$Q$1,0)),元データ_14項目!$A$2:$A$1300,$A135,元データ_14項目!$B$2:$B$1300,"本年",元データ_14項目!$C$2:$C$1300,D$5)</f>
        <v>89</v>
      </c>
      <c r="E135" s="26">
        <f>SUMIFS(INDEX(元データ_14項目!$D$2:$Q$1300,0,MATCH($B135,元データ_14項目!$D$1:$Q$1,0)),元データ_14項目!$A$2:$A$1300,$A135,元データ_14項目!$B$2:$B$1300,"本年",元データ_14項目!$C$2:$C$1300,E$5)</f>
        <v>126</v>
      </c>
      <c r="F135" s="26">
        <f>SUMIFS(INDEX(元データ_14項目!$D$2:$Q$1300,0,MATCH($B135,元データ_14項目!$D$1:$Q$1,0)),元データ_14項目!$A$2:$A$1300,$A135,元データ_14項目!$B$2:$B$1300,"本年",元データ_14項目!$C$2:$C$1300,F$5)</f>
        <v>254</v>
      </c>
      <c r="G135" s="26">
        <f>SUMIFS(INDEX(元データ_14項目!$D$2:$Q$1300,0,MATCH($B135,元データ_14項目!$D$1:$Q$1,0)),元データ_14項目!$A$2:$A$1300,$A135,元データ_14項目!$B$2:$B$1300,"本年",元データ_14項目!$C$2:$C$1300,G$5)</f>
        <v>336</v>
      </c>
      <c r="H135" s="26">
        <f>SUMIFS(INDEX(元データ_14項目!$D$2:$Q$1300,0,MATCH($B135,元データ_14項目!$D$1:$Q$1,0)),元データ_14項目!$A$2:$A$1300,$A135,元データ_14項目!$B$2:$B$1300,"本年",元データ_14項目!$C$2:$C$1300,H$5)</f>
        <v>212</v>
      </c>
      <c r="I135" s="26">
        <f>SUMIFS(INDEX(元データ_14項目!$D$2:$Q$1300,0,MATCH($B135,元データ_14項目!$D$1:$Q$1,0)),元データ_14項目!$A$2:$A$1300,$A135,元データ_14項目!$B$2:$B$1300,"本年",元データ_14項目!$C$2:$C$1300,I$5)</f>
        <v>176</v>
      </c>
      <c r="J135" s="26">
        <f>SUMIFS(INDEX(元データ_14項目!$D$2:$Q$1300,0,MATCH($B135,元データ_14項目!$D$1:$Q$1,0)),元データ_14項目!$A$2:$A$1300,$A135,元データ_14項目!$B$2:$B$1300,"本年",元データ_14項目!$C$2:$C$1300,J$5)</f>
        <v>299</v>
      </c>
      <c r="K135" s="26">
        <f>SUMIFS(INDEX(元データ_14項目!$D$2:$Q$1300,0,MATCH($B135,元データ_14項目!$D$1:$Q$1,0)),元データ_14項目!$A$2:$A$1300,$A135,元データ_14項目!$B$2:$B$1300,"本年",元データ_14項目!$C$2:$C$1300,K$5)</f>
        <v>347</v>
      </c>
      <c r="L135" s="26">
        <f>SUMIFS(INDEX(元データ_14項目!$D$2:$Q$1300,0,MATCH($B135,元データ_14項目!$D$1:$Q$1,0)),元データ_14項目!$A$2:$A$1300,$A135,元データ_14項目!$B$2:$B$1300,"本年",元データ_14項目!$C$2:$C$1300,L$5)</f>
        <v>221</v>
      </c>
      <c r="M135" s="26">
        <f>SUMIFS(INDEX(元データ_14項目!$D$2:$Q$1300,0,MATCH($B135,元データ_14項目!$D$1:$Q$1,0)),元データ_14項目!$A$2:$A$1300,$A135,元データ_14項目!$B$2:$B$1300,"本年",元データ_14項目!$C$2:$C$1300,M$5)</f>
        <v>251</v>
      </c>
      <c r="N135" s="26">
        <f>SUMIFS(INDEX(元データ_14項目!$D$2:$Q$1300,0,MATCH($B135,元データ_14項目!$D$1:$Q$1,0)),元データ_14項目!$A$2:$A$1300,$A135,元データ_14項目!$B$2:$B$1300,"本年",元データ_14項目!$C$2:$C$1300,N$5)</f>
        <v>136</v>
      </c>
      <c r="O135" s="26">
        <f t="shared" ref="O135:O198" si="4">SUM(C135:N135)</f>
        <v>2548</v>
      </c>
      <c r="P135" s="26">
        <f>SUMIFS(INDEX(元データ_14項目!$D$2:$Q$1300,0,MATCH($B135,元データ_14項目!$D$1:$Q$1,0)),元データ_14項目!$A$2:$A$1300,$A135,元データ_14項目!$B$2:$B$1300,"前年")</f>
        <v>2749</v>
      </c>
      <c r="Q135" s="7">
        <f t="shared" ref="Q135:Q198" si="5">IFERROR(O135/P135,"")</f>
        <v>0.92688250272826478</v>
      </c>
    </row>
    <row r="136" spans="1:17" x14ac:dyDescent="0.45">
      <c r="A136" t="s">
        <v>44</v>
      </c>
      <c r="B136" t="s">
        <v>91</v>
      </c>
      <c r="C136" s="26">
        <f>SUMIFS(INDEX(元データ_14項目!$D$2:$Q$1300,0,MATCH($B136,元データ_14項目!$D$1:$Q$1,0)),元データ_14項目!$A$2:$A$1300,$A136,元データ_14項目!$B$2:$B$1300,"本年",元データ_14項目!$C$2:$C$1300,C$5)</f>
        <v>35</v>
      </c>
      <c r="D136" s="26">
        <f>SUMIFS(INDEX(元データ_14項目!$D$2:$Q$1300,0,MATCH($B136,元データ_14項目!$D$1:$Q$1,0)),元データ_14項目!$A$2:$A$1300,$A136,元データ_14項目!$B$2:$B$1300,"本年",元データ_14項目!$C$2:$C$1300,D$5)</f>
        <v>44</v>
      </c>
      <c r="E136" s="26">
        <f>SUMIFS(INDEX(元データ_14項目!$D$2:$Q$1300,0,MATCH($B136,元データ_14項目!$D$1:$Q$1,0)),元データ_14項目!$A$2:$A$1300,$A136,元データ_14項目!$B$2:$B$1300,"本年",元データ_14項目!$C$2:$C$1300,E$5)</f>
        <v>124</v>
      </c>
      <c r="F136" s="26">
        <f>SUMIFS(INDEX(元データ_14項目!$D$2:$Q$1300,0,MATCH($B136,元データ_14項目!$D$1:$Q$1,0)),元データ_14項目!$A$2:$A$1300,$A136,元データ_14項目!$B$2:$B$1300,"本年",元データ_14項目!$C$2:$C$1300,F$5)</f>
        <v>86</v>
      </c>
      <c r="G136" s="26">
        <f>SUMIFS(INDEX(元データ_14項目!$D$2:$Q$1300,0,MATCH($B136,元データ_14項目!$D$1:$Q$1,0)),元データ_14項目!$A$2:$A$1300,$A136,元データ_14項目!$B$2:$B$1300,"本年",元データ_14項目!$C$2:$C$1300,G$5)</f>
        <v>65</v>
      </c>
      <c r="H136" s="26">
        <f>SUMIFS(INDEX(元データ_14項目!$D$2:$Q$1300,0,MATCH($B136,元データ_14項目!$D$1:$Q$1,0)),元データ_14項目!$A$2:$A$1300,$A136,元データ_14項目!$B$2:$B$1300,"本年",元データ_14項目!$C$2:$C$1300,H$5)</f>
        <v>18</v>
      </c>
      <c r="I136" s="26">
        <f>SUMIFS(INDEX(元データ_14項目!$D$2:$Q$1300,0,MATCH($B136,元データ_14項目!$D$1:$Q$1,0)),元データ_14項目!$A$2:$A$1300,$A136,元データ_14項目!$B$2:$B$1300,"本年",元データ_14項目!$C$2:$C$1300,I$5)</f>
        <v>49</v>
      </c>
      <c r="J136" s="26">
        <f>SUMIFS(INDEX(元データ_14項目!$D$2:$Q$1300,0,MATCH($B136,元データ_14項目!$D$1:$Q$1,0)),元データ_14項目!$A$2:$A$1300,$A136,元データ_14項目!$B$2:$B$1300,"本年",元データ_14項目!$C$2:$C$1300,J$5)</f>
        <v>25</v>
      </c>
      <c r="K136" s="26">
        <f>SUMIFS(INDEX(元データ_14項目!$D$2:$Q$1300,0,MATCH($B136,元データ_14項目!$D$1:$Q$1,0)),元データ_14項目!$A$2:$A$1300,$A136,元データ_14項目!$B$2:$B$1300,"本年",元データ_14項目!$C$2:$C$1300,K$5)</f>
        <v>57</v>
      </c>
      <c r="L136" s="26">
        <f>SUMIFS(INDEX(元データ_14項目!$D$2:$Q$1300,0,MATCH($B136,元データ_14項目!$D$1:$Q$1,0)),元データ_14項目!$A$2:$A$1300,$A136,元データ_14項目!$B$2:$B$1300,"本年",元データ_14項目!$C$2:$C$1300,L$5)</f>
        <v>47</v>
      </c>
      <c r="M136" s="26">
        <f>SUMIFS(INDEX(元データ_14項目!$D$2:$Q$1300,0,MATCH($B136,元データ_14項目!$D$1:$Q$1,0)),元データ_14項目!$A$2:$A$1300,$A136,元データ_14項目!$B$2:$B$1300,"本年",元データ_14項目!$C$2:$C$1300,M$5)</f>
        <v>36</v>
      </c>
      <c r="N136" s="26">
        <f>SUMIFS(INDEX(元データ_14項目!$D$2:$Q$1300,0,MATCH($B136,元データ_14項目!$D$1:$Q$1,0)),元データ_14項目!$A$2:$A$1300,$A136,元データ_14項目!$B$2:$B$1300,"本年",元データ_14項目!$C$2:$C$1300,N$5)</f>
        <v>49</v>
      </c>
      <c r="O136" s="26">
        <f t="shared" si="4"/>
        <v>635</v>
      </c>
      <c r="P136" s="26">
        <f>SUMIFS(INDEX(元データ_14項目!$D$2:$Q$1300,0,MATCH($B136,元データ_14項目!$D$1:$Q$1,0)),元データ_14項目!$A$2:$A$1300,$A136,元データ_14項目!$B$2:$B$1300,"前年")</f>
        <v>515</v>
      </c>
      <c r="Q136" s="7">
        <f t="shared" si="5"/>
        <v>1.233009708737864</v>
      </c>
    </row>
    <row r="137" spans="1:17" x14ac:dyDescent="0.45">
      <c r="A137" t="s">
        <v>44</v>
      </c>
      <c r="B137" t="s">
        <v>28</v>
      </c>
      <c r="C137" s="26">
        <f>SUMIFS(INDEX(元データ_14項目!$D$2:$Q$1300,0,MATCH($B137,元データ_14項目!$D$1:$Q$1,0)),元データ_14項目!$A$2:$A$1300,$A137,元データ_14項目!$B$2:$B$1300,"本年",元データ_14項目!$C$2:$C$1300,C$5)</f>
        <v>359</v>
      </c>
      <c r="D137" s="26">
        <f>SUMIFS(INDEX(元データ_14項目!$D$2:$Q$1300,0,MATCH($B137,元データ_14項目!$D$1:$Q$1,0)),元データ_14項目!$A$2:$A$1300,$A137,元データ_14項目!$B$2:$B$1300,"本年",元データ_14項目!$C$2:$C$1300,D$5)</f>
        <v>397</v>
      </c>
      <c r="E137" s="26">
        <f>SUMIFS(INDEX(元データ_14項目!$D$2:$Q$1300,0,MATCH($B137,元データ_14項目!$D$1:$Q$1,0)),元データ_14項目!$A$2:$A$1300,$A137,元データ_14項目!$B$2:$B$1300,"本年",元データ_14項目!$C$2:$C$1300,E$5)</f>
        <v>504</v>
      </c>
      <c r="F137" s="26">
        <f>SUMIFS(INDEX(元データ_14項目!$D$2:$Q$1300,0,MATCH($B137,元データ_14項目!$D$1:$Q$1,0)),元データ_14項目!$A$2:$A$1300,$A137,元データ_14項目!$B$2:$B$1300,"本年",元データ_14項目!$C$2:$C$1300,F$5)</f>
        <v>452</v>
      </c>
      <c r="G137" s="26">
        <f>SUMIFS(INDEX(元データ_14項目!$D$2:$Q$1300,0,MATCH($B137,元データ_14項目!$D$1:$Q$1,0)),元データ_14項目!$A$2:$A$1300,$A137,元データ_14項目!$B$2:$B$1300,"本年",元データ_14項目!$C$2:$C$1300,G$5)</f>
        <v>332</v>
      </c>
      <c r="H137" s="26">
        <f>SUMIFS(INDEX(元データ_14項目!$D$2:$Q$1300,0,MATCH($B137,元データ_14項目!$D$1:$Q$1,0)),元データ_14項目!$A$2:$A$1300,$A137,元データ_14項目!$B$2:$B$1300,"本年",元データ_14項目!$C$2:$C$1300,H$5)</f>
        <v>167</v>
      </c>
      <c r="I137" s="26">
        <f>SUMIFS(INDEX(元データ_14項目!$D$2:$Q$1300,0,MATCH($B137,元データ_14項目!$D$1:$Q$1,0)),元データ_14項目!$A$2:$A$1300,$A137,元データ_14項目!$B$2:$B$1300,"本年",元データ_14項目!$C$2:$C$1300,I$5)</f>
        <v>197</v>
      </c>
      <c r="J137" s="26">
        <f>SUMIFS(INDEX(元データ_14項目!$D$2:$Q$1300,0,MATCH($B137,元データ_14項目!$D$1:$Q$1,0)),元データ_14項目!$A$2:$A$1300,$A137,元データ_14項目!$B$2:$B$1300,"本年",元データ_14項目!$C$2:$C$1300,J$5)</f>
        <v>250</v>
      </c>
      <c r="K137" s="26">
        <f>SUMIFS(INDEX(元データ_14項目!$D$2:$Q$1300,0,MATCH($B137,元データ_14項目!$D$1:$Q$1,0)),元データ_14項目!$A$2:$A$1300,$A137,元データ_14項目!$B$2:$B$1300,"本年",元データ_14項目!$C$2:$C$1300,K$5)</f>
        <v>311</v>
      </c>
      <c r="L137" s="26">
        <f>SUMIFS(INDEX(元データ_14項目!$D$2:$Q$1300,0,MATCH($B137,元データ_14項目!$D$1:$Q$1,0)),元データ_14項目!$A$2:$A$1300,$A137,元データ_14項目!$B$2:$B$1300,"本年",元データ_14項目!$C$2:$C$1300,L$5)</f>
        <v>311</v>
      </c>
      <c r="M137" s="26">
        <f>SUMIFS(INDEX(元データ_14項目!$D$2:$Q$1300,0,MATCH($B137,元データ_14項目!$D$1:$Q$1,0)),元データ_14項目!$A$2:$A$1300,$A137,元データ_14項目!$B$2:$B$1300,"本年",元データ_14項目!$C$2:$C$1300,M$5)</f>
        <v>381</v>
      </c>
      <c r="N137" s="26">
        <f>SUMIFS(INDEX(元データ_14項目!$D$2:$Q$1300,0,MATCH($B137,元データ_14項目!$D$1:$Q$1,0)),元データ_14項目!$A$2:$A$1300,$A137,元データ_14項目!$B$2:$B$1300,"本年",元データ_14項目!$C$2:$C$1300,N$5)</f>
        <v>375</v>
      </c>
      <c r="O137" s="26">
        <f t="shared" si="4"/>
        <v>4036</v>
      </c>
      <c r="P137" s="26">
        <f>SUMIFS(INDEX(元データ_14項目!$D$2:$Q$1300,0,MATCH($B137,元データ_14項目!$D$1:$Q$1,0)),元データ_14項目!$A$2:$A$1300,$A137,元データ_14項目!$B$2:$B$1300,"前年")</f>
        <v>4182</v>
      </c>
      <c r="Q137" s="7">
        <f t="shared" si="5"/>
        <v>0.96508847441415591</v>
      </c>
    </row>
    <row r="138" spans="1:17" x14ac:dyDescent="0.45">
      <c r="A138" t="s">
        <v>44</v>
      </c>
      <c r="B138" t="s">
        <v>92</v>
      </c>
      <c r="C138" s="26">
        <f>SUMIFS(INDEX(元データ_14項目!$D$2:$Q$1300,0,MATCH($B138,元データ_14項目!$D$1:$Q$1,0)),元データ_14項目!$A$2:$A$1300,$A138,元データ_14項目!$B$2:$B$1300,"本年",元データ_14項目!$C$2:$C$1300,C$5)</f>
        <v>28</v>
      </c>
      <c r="D138" s="26">
        <f>SUMIFS(INDEX(元データ_14項目!$D$2:$Q$1300,0,MATCH($B138,元データ_14項目!$D$1:$Q$1,0)),元データ_14項目!$A$2:$A$1300,$A138,元データ_14項目!$B$2:$B$1300,"本年",元データ_14項目!$C$2:$C$1300,D$5)</f>
        <v>29</v>
      </c>
      <c r="E138" s="26">
        <f>SUMIFS(INDEX(元データ_14項目!$D$2:$Q$1300,0,MATCH($B138,元データ_14項目!$D$1:$Q$1,0)),元データ_14項目!$A$2:$A$1300,$A138,元データ_14項目!$B$2:$B$1300,"本年",元データ_14項目!$C$2:$C$1300,E$5)</f>
        <v>58</v>
      </c>
      <c r="F138" s="26">
        <f>SUMIFS(INDEX(元データ_14項目!$D$2:$Q$1300,0,MATCH($B138,元データ_14項目!$D$1:$Q$1,0)),元データ_14項目!$A$2:$A$1300,$A138,元データ_14項目!$B$2:$B$1300,"本年",元データ_14項目!$C$2:$C$1300,F$5)</f>
        <v>49</v>
      </c>
      <c r="G138" s="26">
        <f>SUMIFS(INDEX(元データ_14項目!$D$2:$Q$1300,0,MATCH($B138,元データ_14項目!$D$1:$Q$1,0)),元データ_14項目!$A$2:$A$1300,$A138,元データ_14項目!$B$2:$B$1300,"本年",元データ_14項目!$C$2:$C$1300,G$5)</f>
        <v>45</v>
      </c>
      <c r="H138" s="26">
        <f>SUMIFS(INDEX(元データ_14項目!$D$2:$Q$1300,0,MATCH($B138,元データ_14項目!$D$1:$Q$1,0)),元データ_14項目!$A$2:$A$1300,$A138,元データ_14項目!$B$2:$B$1300,"本年",元データ_14項目!$C$2:$C$1300,H$5)</f>
        <v>29</v>
      </c>
      <c r="I138" s="26">
        <f>SUMIFS(INDEX(元データ_14項目!$D$2:$Q$1300,0,MATCH($B138,元データ_14項目!$D$1:$Q$1,0)),元データ_14項目!$A$2:$A$1300,$A138,元データ_14項目!$B$2:$B$1300,"本年",元データ_14項目!$C$2:$C$1300,I$5)</f>
        <v>20</v>
      </c>
      <c r="J138" s="26">
        <f>SUMIFS(INDEX(元データ_14項目!$D$2:$Q$1300,0,MATCH($B138,元データ_14項目!$D$1:$Q$1,0)),元データ_14項目!$A$2:$A$1300,$A138,元データ_14項目!$B$2:$B$1300,"本年",元データ_14項目!$C$2:$C$1300,J$5)</f>
        <v>48</v>
      </c>
      <c r="K138" s="26">
        <f>SUMIFS(INDEX(元データ_14項目!$D$2:$Q$1300,0,MATCH($B138,元データ_14項目!$D$1:$Q$1,0)),元データ_14項目!$A$2:$A$1300,$A138,元データ_14項目!$B$2:$B$1300,"本年",元データ_14項目!$C$2:$C$1300,K$5)</f>
        <v>59</v>
      </c>
      <c r="L138" s="26">
        <f>SUMIFS(INDEX(元データ_14項目!$D$2:$Q$1300,0,MATCH($B138,元データ_14項目!$D$1:$Q$1,0)),元データ_14項目!$A$2:$A$1300,$A138,元データ_14項目!$B$2:$B$1300,"本年",元データ_14項目!$C$2:$C$1300,L$5)</f>
        <v>49</v>
      </c>
      <c r="M138" s="26">
        <f>SUMIFS(INDEX(元データ_14項目!$D$2:$Q$1300,0,MATCH($B138,元データ_14項目!$D$1:$Q$1,0)),元データ_14項目!$A$2:$A$1300,$A138,元データ_14項目!$B$2:$B$1300,"本年",元データ_14項目!$C$2:$C$1300,M$5)</f>
        <v>42</v>
      </c>
      <c r="N138" s="26">
        <f>SUMIFS(INDEX(元データ_14項目!$D$2:$Q$1300,0,MATCH($B138,元データ_14項目!$D$1:$Q$1,0)),元データ_14項目!$A$2:$A$1300,$A138,元データ_14項目!$B$2:$B$1300,"本年",元データ_14項目!$C$2:$C$1300,N$5)</f>
        <v>25</v>
      </c>
      <c r="O138" s="26">
        <f t="shared" si="4"/>
        <v>481</v>
      </c>
      <c r="P138" s="26">
        <f>SUMIFS(INDEX(元データ_14項目!$D$2:$Q$1300,0,MATCH($B138,元データ_14項目!$D$1:$Q$1,0)),元データ_14項目!$A$2:$A$1300,$A138,元データ_14項目!$B$2:$B$1300,"前年")</f>
        <v>521</v>
      </c>
      <c r="Q138" s="7">
        <f t="shared" si="5"/>
        <v>0.92322456813819576</v>
      </c>
    </row>
    <row r="139" spans="1:17" x14ac:dyDescent="0.45">
      <c r="A139" t="s">
        <v>44</v>
      </c>
      <c r="B139" t="s">
        <v>93</v>
      </c>
      <c r="C139" s="26">
        <f>SUMIFS(INDEX(元データ_14項目!$D$2:$Q$1300,0,MATCH($B139,元データ_14項目!$D$1:$Q$1,0)),元データ_14項目!$A$2:$A$1300,$A139,元データ_14項目!$B$2:$B$1300,"本年",元データ_14項目!$C$2:$C$1300,C$5)</f>
        <v>29</v>
      </c>
      <c r="D139" s="26">
        <f>SUMIFS(INDEX(元データ_14項目!$D$2:$Q$1300,0,MATCH($B139,元データ_14項目!$D$1:$Q$1,0)),元データ_14項目!$A$2:$A$1300,$A139,元データ_14項目!$B$2:$B$1300,"本年",元データ_14項目!$C$2:$C$1300,D$5)</f>
        <v>52</v>
      </c>
      <c r="E139" s="26">
        <f>SUMIFS(INDEX(元データ_14項目!$D$2:$Q$1300,0,MATCH($B139,元データ_14項目!$D$1:$Q$1,0)),元データ_14項目!$A$2:$A$1300,$A139,元データ_14項目!$B$2:$B$1300,"本年",元データ_14項目!$C$2:$C$1300,E$5)</f>
        <v>47</v>
      </c>
      <c r="F139" s="26">
        <f>SUMIFS(INDEX(元データ_14項目!$D$2:$Q$1300,0,MATCH($B139,元データ_14項目!$D$1:$Q$1,0)),元データ_14項目!$A$2:$A$1300,$A139,元データ_14項目!$B$2:$B$1300,"本年",元データ_14項目!$C$2:$C$1300,F$5)</f>
        <v>91</v>
      </c>
      <c r="G139" s="26">
        <f>SUMIFS(INDEX(元データ_14項目!$D$2:$Q$1300,0,MATCH($B139,元データ_14項目!$D$1:$Q$1,0)),元データ_14項目!$A$2:$A$1300,$A139,元データ_14項目!$B$2:$B$1300,"本年",元データ_14項目!$C$2:$C$1300,G$5)</f>
        <v>123</v>
      </c>
      <c r="H139" s="26">
        <f>SUMIFS(INDEX(元データ_14項目!$D$2:$Q$1300,0,MATCH($B139,元データ_14項目!$D$1:$Q$1,0)),元データ_14項目!$A$2:$A$1300,$A139,元データ_14項目!$B$2:$B$1300,"本年",元データ_14項目!$C$2:$C$1300,H$5)</f>
        <v>125</v>
      </c>
      <c r="I139" s="26">
        <f>SUMIFS(INDEX(元データ_14項目!$D$2:$Q$1300,0,MATCH($B139,元データ_14項目!$D$1:$Q$1,0)),元データ_14項目!$A$2:$A$1300,$A139,元データ_14項目!$B$2:$B$1300,"本年",元データ_14項目!$C$2:$C$1300,I$5)</f>
        <v>103</v>
      </c>
      <c r="J139" s="26">
        <f>SUMIFS(INDEX(元データ_14項目!$D$2:$Q$1300,0,MATCH($B139,元データ_14項目!$D$1:$Q$1,0)),元データ_14項目!$A$2:$A$1300,$A139,元データ_14項目!$B$2:$B$1300,"本年",元データ_14項目!$C$2:$C$1300,J$5)</f>
        <v>201</v>
      </c>
      <c r="K139" s="26">
        <f>SUMIFS(INDEX(元データ_14項目!$D$2:$Q$1300,0,MATCH($B139,元データ_14項目!$D$1:$Q$1,0)),元データ_14項目!$A$2:$A$1300,$A139,元データ_14項目!$B$2:$B$1300,"本年",元データ_14項目!$C$2:$C$1300,K$5)</f>
        <v>361</v>
      </c>
      <c r="L139" s="26">
        <f>SUMIFS(INDEX(元データ_14項目!$D$2:$Q$1300,0,MATCH($B139,元データ_14項目!$D$1:$Q$1,0)),元データ_14項目!$A$2:$A$1300,$A139,元データ_14項目!$B$2:$B$1300,"本年",元データ_14項目!$C$2:$C$1300,L$5)</f>
        <v>208</v>
      </c>
      <c r="M139" s="26">
        <f>SUMIFS(INDEX(元データ_14項目!$D$2:$Q$1300,0,MATCH($B139,元データ_14項目!$D$1:$Q$1,0)),元データ_14項目!$A$2:$A$1300,$A139,元データ_14項目!$B$2:$B$1300,"本年",元データ_14項目!$C$2:$C$1300,M$5)</f>
        <v>115</v>
      </c>
      <c r="N139" s="26">
        <f>SUMIFS(INDEX(元データ_14項目!$D$2:$Q$1300,0,MATCH($B139,元データ_14項目!$D$1:$Q$1,0)),元データ_14項目!$A$2:$A$1300,$A139,元データ_14項目!$B$2:$B$1300,"本年",元データ_14項目!$C$2:$C$1300,N$5)</f>
        <v>65</v>
      </c>
      <c r="O139" s="26">
        <f t="shared" si="4"/>
        <v>1520</v>
      </c>
      <c r="P139" s="26">
        <f>SUMIFS(INDEX(元データ_14項目!$D$2:$Q$1300,0,MATCH($B139,元データ_14項目!$D$1:$Q$1,0)),元データ_14項目!$A$2:$A$1300,$A139,元データ_14項目!$B$2:$B$1300,"前年")</f>
        <v>1604</v>
      </c>
      <c r="Q139" s="7">
        <f t="shared" si="5"/>
        <v>0.94763092269326688</v>
      </c>
    </row>
    <row r="140" spans="1:17" x14ac:dyDescent="0.45">
      <c r="A140" t="s">
        <v>44</v>
      </c>
      <c r="B140" t="s">
        <v>94</v>
      </c>
      <c r="C140" s="26">
        <f>SUMIFS(INDEX(元データ_14項目!$D$2:$Q$1300,0,MATCH($B140,元データ_14項目!$D$1:$Q$1,0)),元データ_14項目!$A$2:$A$1300,$A140,元データ_14項目!$B$2:$B$1300,"本年",元データ_14項目!$C$2:$C$1300,C$5)</f>
        <v>15</v>
      </c>
      <c r="D140" s="26">
        <f>SUMIFS(INDEX(元データ_14項目!$D$2:$Q$1300,0,MATCH($B140,元データ_14項目!$D$1:$Q$1,0)),元データ_14項目!$A$2:$A$1300,$A140,元データ_14項目!$B$2:$B$1300,"本年",元データ_14項目!$C$2:$C$1300,D$5)</f>
        <v>17</v>
      </c>
      <c r="E140" s="26">
        <f>SUMIFS(INDEX(元データ_14項目!$D$2:$Q$1300,0,MATCH($B140,元データ_14項目!$D$1:$Q$1,0)),元データ_14項目!$A$2:$A$1300,$A140,元データ_14項目!$B$2:$B$1300,"本年",元データ_14項目!$C$2:$C$1300,E$5)</f>
        <v>20</v>
      </c>
      <c r="F140" s="26">
        <f>SUMIFS(INDEX(元データ_14項目!$D$2:$Q$1300,0,MATCH($B140,元データ_14項目!$D$1:$Q$1,0)),元データ_14項目!$A$2:$A$1300,$A140,元データ_14項目!$B$2:$B$1300,"本年",元データ_14項目!$C$2:$C$1300,F$5)</f>
        <v>57</v>
      </c>
      <c r="G140" s="26">
        <f>SUMIFS(INDEX(元データ_14項目!$D$2:$Q$1300,0,MATCH($B140,元データ_14項目!$D$1:$Q$1,0)),元データ_14項目!$A$2:$A$1300,$A140,元データ_14項目!$B$2:$B$1300,"本年",元データ_14項目!$C$2:$C$1300,G$5)</f>
        <v>39</v>
      </c>
      <c r="H140" s="26">
        <f>SUMIFS(INDEX(元データ_14項目!$D$2:$Q$1300,0,MATCH($B140,元データ_14項目!$D$1:$Q$1,0)),元データ_14項目!$A$2:$A$1300,$A140,元データ_14項目!$B$2:$B$1300,"本年",元データ_14項目!$C$2:$C$1300,H$5)</f>
        <v>17</v>
      </c>
      <c r="I140" s="26">
        <f>SUMIFS(INDEX(元データ_14項目!$D$2:$Q$1300,0,MATCH($B140,元データ_14項目!$D$1:$Q$1,0)),元データ_14項目!$A$2:$A$1300,$A140,元データ_14項目!$B$2:$B$1300,"本年",元データ_14項目!$C$2:$C$1300,I$5)</f>
        <v>17</v>
      </c>
      <c r="J140" s="26">
        <f>SUMIFS(INDEX(元データ_14項目!$D$2:$Q$1300,0,MATCH($B140,元データ_14項目!$D$1:$Q$1,0)),元データ_14項目!$A$2:$A$1300,$A140,元データ_14項目!$B$2:$B$1300,"本年",元データ_14項目!$C$2:$C$1300,J$5)</f>
        <v>37</v>
      </c>
      <c r="K140" s="26">
        <f>SUMIFS(INDEX(元データ_14項目!$D$2:$Q$1300,0,MATCH($B140,元データ_14項目!$D$1:$Q$1,0)),元データ_14項目!$A$2:$A$1300,$A140,元データ_14項目!$B$2:$B$1300,"本年",元データ_14項目!$C$2:$C$1300,K$5)</f>
        <v>128</v>
      </c>
      <c r="L140" s="26">
        <f>SUMIFS(INDEX(元データ_14項目!$D$2:$Q$1300,0,MATCH($B140,元データ_14項目!$D$1:$Q$1,0)),元データ_14項目!$A$2:$A$1300,$A140,元データ_14項目!$B$2:$B$1300,"本年",元データ_14項目!$C$2:$C$1300,L$5)</f>
        <v>78</v>
      </c>
      <c r="M140" s="26">
        <f>SUMIFS(INDEX(元データ_14項目!$D$2:$Q$1300,0,MATCH($B140,元データ_14項目!$D$1:$Q$1,0)),元データ_14項目!$A$2:$A$1300,$A140,元データ_14項目!$B$2:$B$1300,"本年",元データ_14項目!$C$2:$C$1300,M$5)</f>
        <v>67</v>
      </c>
      <c r="N140" s="26">
        <f>SUMIFS(INDEX(元データ_14項目!$D$2:$Q$1300,0,MATCH($B140,元データ_14項目!$D$1:$Q$1,0)),元データ_14項目!$A$2:$A$1300,$A140,元データ_14項目!$B$2:$B$1300,"本年",元データ_14項目!$C$2:$C$1300,N$5)</f>
        <v>28</v>
      </c>
      <c r="O140" s="26">
        <f t="shared" si="4"/>
        <v>520</v>
      </c>
      <c r="P140" s="26">
        <f>SUMIFS(INDEX(元データ_14項目!$D$2:$Q$1300,0,MATCH($B140,元データ_14項目!$D$1:$Q$1,0)),元データ_14項目!$A$2:$A$1300,$A140,元データ_14項目!$B$2:$B$1300,"前年")</f>
        <v>600</v>
      </c>
      <c r="Q140" s="7">
        <f t="shared" si="5"/>
        <v>0.8666666666666667</v>
      </c>
    </row>
    <row r="141" spans="1:17" x14ac:dyDescent="0.45">
      <c r="A141" t="s">
        <v>44</v>
      </c>
      <c r="B141" t="s">
        <v>95</v>
      </c>
      <c r="C141" s="26">
        <f>SUMIFS(INDEX(元データ_14項目!$D$2:$Q$1300,0,MATCH($B141,元データ_14項目!$D$1:$Q$1,0)),元データ_14項目!$A$2:$A$1300,$A141,元データ_14項目!$B$2:$B$1300,"本年",元データ_14項目!$C$2:$C$1300,C$5)</f>
        <v>54</v>
      </c>
      <c r="D141" s="26">
        <f>SUMIFS(INDEX(元データ_14項目!$D$2:$Q$1300,0,MATCH($B141,元データ_14項目!$D$1:$Q$1,0)),元データ_14項目!$A$2:$A$1300,$A141,元データ_14項目!$B$2:$B$1300,"本年",元データ_14項目!$C$2:$C$1300,D$5)</f>
        <v>53</v>
      </c>
      <c r="E141" s="26">
        <f>SUMIFS(INDEX(元データ_14項目!$D$2:$Q$1300,0,MATCH($B141,元データ_14項目!$D$1:$Q$1,0)),元データ_14項目!$A$2:$A$1300,$A141,元データ_14項目!$B$2:$B$1300,"本年",元データ_14項目!$C$2:$C$1300,E$5)</f>
        <v>58</v>
      </c>
      <c r="F141" s="26">
        <f>SUMIFS(INDEX(元データ_14項目!$D$2:$Q$1300,0,MATCH($B141,元データ_14項目!$D$1:$Q$1,0)),元データ_14項目!$A$2:$A$1300,$A141,元データ_14項目!$B$2:$B$1300,"本年",元データ_14項目!$C$2:$C$1300,F$5)</f>
        <v>54</v>
      </c>
      <c r="G141" s="26">
        <f>SUMIFS(INDEX(元データ_14項目!$D$2:$Q$1300,0,MATCH($B141,元データ_14項目!$D$1:$Q$1,0)),元データ_14項目!$A$2:$A$1300,$A141,元データ_14項目!$B$2:$B$1300,"本年",元データ_14項目!$C$2:$C$1300,G$5)</f>
        <v>37</v>
      </c>
      <c r="H141" s="26">
        <f>SUMIFS(INDEX(元データ_14項目!$D$2:$Q$1300,0,MATCH($B141,元データ_14項目!$D$1:$Q$1,0)),元データ_14項目!$A$2:$A$1300,$A141,元データ_14項目!$B$2:$B$1300,"本年",元データ_14項目!$C$2:$C$1300,H$5)</f>
        <v>29</v>
      </c>
      <c r="I141" s="26">
        <f>SUMIFS(INDEX(元データ_14項目!$D$2:$Q$1300,0,MATCH($B141,元データ_14項目!$D$1:$Q$1,0)),元データ_14項目!$A$2:$A$1300,$A141,元データ_14項目!$B$2:$B$1300,"本年",元データ_14項目!$C$2:$C$1300,I$5)</f>
        <v>17</v>
      </c>
      <c r="J141" s="26">
        <f>SUMIFS(INDEX(元データ_14項目!$D$2:$Q$1300,0,MATCH($B141,元データ_14項目!$D$1:$Q$1,0)),元データ_14項目!$A$2:$A$1300,$A141,元データ_14項目!$B$2:$B$1300,"本年",元データ_14項目!$C$2:$C$1300,J$5)</f>
        <v>49</v>
      </c>
      <c r="K141" s="26">
        <f>SUMIFS(INDEX(元データ_14項目!$D$2:$Q$1300,0,MATCH($B141,元データ_14項目!$D$1:$Q$1,0)),元データ_14項目!$A$2:$A$1300,$A141,元データ_14項目!$B$2:$B$1300,"本年",元データ_14項目!$C$2:$C$1300,K$5)</f>
        <v>86</v>
      </c>
      <c r="L141" s="26">
        <f>SUMIFS(INDEX(元データ_14項目!$D$2:$Q$1300,0,MATCH($B141,元データ_14項目!$D$1:$Q$1,0)),元データ_14項目!$A$2:$A$1300,$A141,元データ_14項目!$B$2:$B$1300,"本年",元データ_14項目!$C$2:$C$1300,L$5)</f>
        <v>49</v>
      </c>
      <c r="M141" s="26">
        <f>SUMIFS(INDEX(元データ_14項目!$D$2:$Q$1300,0,MATCH($B141,元データ_14項目!$D$1:$Q$1,0)),元データ_14項目!$A$2:$A$1300,$A141,元データ_14項目!$B$2:$B$1300,"本年",元データ_14項目!$C$2:$C$1300,M$5)</f>
        <v>32</v>
      </c>
      <c r="N141" s="26">
        <f>SUMIFS(INDEX(元データ_14項目!$D$2:$Q$1300,0,MATCH($B141,元データ_14項目!$D$1:$Q$1,0)),元データ_14項目!$A$2:$A$1300,$A141,元データ_14項目!$B$2:$B$1300,"本年",元データ_14項目!$C$2:$C$1300,N$5)</f>
        <v>53</v>
      </c>
      <c r="O141" s="26">
        <f t="shared" si="4"/>
        <v>571</v>
      </c>
      <c r="P141" s="26">
        <f>SUMIFS(INDEX(元データ_14項目!$D$2:$Q$1300,0,MATCH($B141,元データ_14項目!$D$1:$Q$1,0)),元データ_14項目!$A$2:$A$1300,$A141,元データ_14項目!$B$2:$B$1300,"前年")</f>
        <v>509</v>
      </c>
      <c r="Q141" s="7">
        <f t="shared" si="5"/>
        <v>1.1218074656188606</v>
      </c>
    </row>
    <row r="142" spans="1:17" x14ac:dyDescent="0.45">
      <c r="A142" t="s">
        <v>44</v>
      </c>
      <c r="B142" t="s">
        <v>96</v>
      </c>
      <c r="C142" s="26">
        <f>SUMIFS(INDEX(元データ_14項目!$D$2:$Q$1300,0,MATCH($B142,元データ_14項目!$D$1:$Q$1,0)),元データ_14項目!$A$2:$A$1300,$A142,元データ_14項目!$B$2:$B$1300,"本年",元データ_14項目!$C$2:$C$1300,C$5)</f>
        <v>12</v>
      </c>
      <c r="D142" s="26">
        <f>SUMIFS(INDEX(元データ_14項目!$D$2:$Q$1300,0,MATCH($B142,元データ_14項目!$D$1:$Q$1,0)),元データ_14項目!$A$2:$A$1300,$A142,元データ_14項目!$B$2:$B$1300,"本年",元データ_14項目!$C$2:$C$1300,D$5)</f>
        <v>14</v>
      </c>
      <c r="E142" s="26">
        <f>SUMIFS(INDEX(元データ_14項目!$D$2:$Q$1300,0,MATCH($B142,元データ_14項目!$D$1:$Q$1,0)),元データ_14項目!$A$2:$A$1300,$A142,元データ_14項目!$B$2:$B$1300,"本年",元データ_14項目!$C$2:$C$1300,E$5)</f>
        <v>32</v>
      </c>
      <c r="F142" s="26">
        <f>SUMIFS(INDEX(元データ_14項目!$D$2:$Q$1300,0,MATCH($B142,元データ_14項目!$D$1:$Q$1,0)),元データ_14項目!$A$2:$A$1300,$A142,元データ_14項目!$B$2:$B$1300,"本年",元データ_14項目!$C$2:$C$1300,F$5)</f>
        <v>54</v>
      </c>
      <c r="G142" s="26">
        <f>SUMIFS(INDEX(元データ_14項目!$D$2:$Q$1300,0,MATCH($B142,元データ_14項目!$D$1:$Q$1,0)),元データ_14項目!$A$2:$A$1300,$A142,元データ_14項目!$B$2:$B$1300,"本年",元データ_14項目!$C$2:$C$1300,G$5)</f>
        <v>83</v>
      </c>
      <c r="H142" s="26">
        <f>SUMIFS(INDEX(元データ_14項目!$D$2:$Q$1300,0,MATCH($B142,元データ_14項目!$D$1:$Q$1,0)),元データ_14項目!$A$2:$A$1300,$A142,元データ_14項目!$B$2:$B$1300,"本年",元データ_14項目!$C$2:$C$1300,H$5)</f>
        <v>40</v>
      </c>
      <c r="I142" s="26">
        <f>SUMIFS(INDEX(元データ_14項目!$D$2:$Q$1300,0,MATCH($B142,元データ_14項目!$D$1:$Q$1,0)),元データ_14項目!$A$2:$A$1300,$A142,元データ_14項目!$B$2:$B$1300,"本年",元データ_14項目!$C$2:$C$1300,I$5)</f>
        <v>43</v>
      </c>
      <c r="J142" s="26">
        <f>SUMIFS(INDEX(元データ_14項目!$D$2:$Q$1300,0,MATCH($B142,元データ_14項目!$D$1:$Q$1,0)),元データ_14項目!$A$2:$A$1300,$A142,元データ_14項目!$B$2:$B$1300,"本年",元データ_14項目!$C$2:$C$1300,J$5)</f>
        <v>160</v>
      </c>
      <c r="K142" s="26">
        <f>SUMIFS(INDEX(元データ_14項目!$D$2:$Q$1300,0,MATCH($B142,元データ_14項目!$D$1:$Q$1,0)),元データ_14項目!$A$2:$A$1300,$A142,元データ_14項目!$B$2:$B$1300,"本年",元データ_14項目!$C$2:$C$1300,K$5)</f>
        <v>359</v>
      </c>
      <c r="L142" s="26">
        <f>SUMIFS(INDEX(元データ_14項目!$D$2:$Q$1300,0,MATCH($B142,元データ_14項目!$D$1:$Q$1,0)),元データ_14項目!$A$2:$A$1300,$A142,元データ_14項目!$B$2:$B$1300,"本年",元データ_14項目!$C$2:$C$1300,L$5)</f>
        <v>183</v>
      </c>
      <c r="M142" s="26">
        <f>SUMIFS(INDEX(元データ_14項目!$D$2:$Q$1300,0,MATCH($B142,元データ_14項目!$D$1:$Q$1,0)),元データ_14項目!$A$2:$A$1300,$A142,元データ_14項目!$B$2:$B$1300,"本年",元データ_14項目!$C$2:$C$1300,M$5)</f>
        <v>125</v>
      </c>
      <c r="N142" s="26">
        <f>SUMIFS(INDEX(元データ_14項目!$D$2:$Q$1300,0,MATCH($B142,元データ_14項目!$D$1:$Q$1,0)),元データ_14項目!$A$2:$A$1300,$A142,元データ_14項目!$B$2:$B$1300,"本年",元データ_14項目!$C$2:$C$1300,N$5)</f>
        <v>39</v>
      </c>
      <c r="O142" s="26">
        <f t="shared" si="4"/>
        <v>1144</v>
      </c>
      <c r="P142" s="26">
        <f>SUMIFS(INDEX(元データ_14項目!$D$2:$Q$1300,0,MATCH($B142,元データ_14項目!$D$1:$Q$1,0)),元データ_14項目!$A$2:$A$1300,$A142,元データ_14項目!$B$2:$B$1300,"前年")</f>
        <v>1302</v>
      </c>
      <c r="Q142" s="7">
        <f t="shared" si="5"/>
        <v>0.87864823348694321</v>
      </c>
    </row>
    <row r="143" spans="1:17" x14ac:dyDescent="0.45">
      <c r="A143" t="s">
        <v>44</v>
      </c>
      <c r="B143" t="s">
        <v>97</v>
      </c>
      <c r="C143" s="26">
        <f>SUMIFS(INDEX(元データ_14項目!$D$2:$Q$1300,0,MATCH($B143,元データ_14項目!$D$1:$Q$1,0)),元データ_14項目!$A$2:$A$1300,$A143,元データ_14項目!$B$2:$B$1300,"本年",元データ_14項目!$C$2:$C$1300,C$5)</f>
        <v>34</v>
      </c>
      <c r="D143" s="26">
        <f>SUMIFS(INDEX(元データ_14項目!$D$2:$Q$1300,0,MATCH($B143,元データ_14項目!$D$1:$Q$1,0)),元データ_14項目!$A$2:$A$1300,$A143,元データ_14項目!$B$2:$B$1300,"本年",元データ_14項目!$C$2:$C$1300,D$5)</f>
        <v>19</v>
      </c>
      <c r="E143" s="26">
        <f>SUMIFS(INDEX(元データ_14項目!$D$2:$Q$1300,0,MATCH($B143,元データ_14項目!$D$1:$Q$1,0)),元データ_14項目!$A$2:$A$1300,$A143,元データ_14項目!$B$2:$B$1300,"本年",元データ_14項目!$C$2:$C$1300,E$5)</f>
        <v>44</v>
      </c>
      <c r="F143" s="26">
        <f>SUMIFS(INDEX(元データ_14項目!$D$2:$Q$1300,0,MATCH($B143,元データ_14項目!$D$1:$Q$1,0)),元データ_14項目!$A$2:$A$1300,$A143,元データ_14項目!$B$2:$B$1300,"本年",元データ_14項目!$C$2:$C$1300,F$5)</f>
        <v>70</v>
      </c>
      <c r="G143" s="26">
        <f>SUMIFS(INDEX(元データ_14項目!$D$2:$Q$1300,0,MATCH($B143,元データ_14項目!$D$1:$Q$1,0)),元データ_14項目!$A$2:$A$1300,$A143,元データ_14項目!$B$2:$B$1300,"本年",元データ_14項目!$C$2:$C$1300,G$5)</f>
        <v>61</v>
      </c>
      <c r="H143" s="26">
        <f>SUMIFS(INDEX(元データ_14項目!$D$2:$Q$1300,0,MATCH($B143,元データ_14項目!$D$1:$Q$1,0)),元データ_14項目!$A$2:$A$1300,$A143,元データ_14項目!$B$2:$B$1300,"本年",元データ_14項目!$C$2:$C$1300,H$5)</f>
        <v>55</v>
      </c>
      <c r="I143" s="26">
        <f>SUMIFS(INDEX(元データ_14項目!$D$2:$Q$1300,0,MATCH($B143,元データ_14項目!$D$1:$Q$1,0)),元データ_14項目!$A$2:$A$1300,$A143,元データ_14項目!$B$2:$B$1300,"本年",元データ_14項目!$C$2:$C$1300,I$5)</f>
        <v>32</v>
      </c>
      <c r="J143" s="26">
        <f>SUMIFS(INDEX(元データ_14項目!$D$2:$Q$1300,0,MATCH($B143,元データ_14項目!$D$1:$Q$1,0)),元データ_14項目!$A$2:$A$1300,$A143,元データ_14項目!$B$2:$B$1300,"本年",元データ_14項目!$C$2:$C$1300,J$5)</f>
        <v>122</v>
      </c>
      <c r="K143" s="26">
        <f>SUMIFS(INDEX(元データ_14項目!$D$2:$Q$1300,0,MATCH($B143,元データ_14項目!$D$1:$Q$1,0)),元データ_14項目!$A$2:$A$1300,$A143,元データ_14項目!$B$2:$B$1300,"本年",元データ_14項目!$C$2:$C$1300,K$5)</f>
        <v>290</v>
      </c>
      <c r="L143" s="26">
        <f>SUMIFS(INDEX(元データ_14項目!$D$2:$Q$1300,0,MATCH($B143,元データ_14項目!$D$1:$Q$1,0)),元データ_14項目!$A$2:$A$1300,$A143,元データ_14項目!$B$2:$B$1300,"本年",元データ_14項目!$C$2:$C$1300,L$5)</f>
        <v>159</v>
      </c>
      <c r="M143" s="26">
        <f>SUMIFS(INDEX(元データ_14項目!$D$2:$Q$1300,0,MATCH($B143,元データ_14項目!$D$1:$Q$1,0)),元データ_14項目!$A$2:$A$1300,$A143,元データ_14項目!$B$2:$B$1300,"本年",元データ_14項目!$C$2:$C$1300,M$5)</f>
        <v>111</v>
      </c>
      <c r="N143" s="26">
        <f>SUMIFS(INDEX(元データ_14項目!$D$2:$Q$1300,0,MATCH($B143,元データ_14項目!$D$1:$Q$1,0)),元データ_14項目!$A$2:$A$1300,$A143,元データ_14項目!$B$2:$B$1300,"本年",元データ_14項目!$C$2:$C$1300,N$5)</f>
        <v>52</v>
      </c>
      <c r="O143" s="26">
        <f t="shared" si="4"/>
        <v>1049</v>
      </c>
      <c r="P143" s="26">
        <f>SUMIFS(INDEX(元データ_14項目!$D$2:$Q$1300,0,MATCH($B143,元データ_14項目!$D$1:$Q$1,0)),元データ_14項目!$A$2:$A$1300,$A143,元データ_14項目!$B$2:$B$1300,"前年")</f>
        <v>1142</v>
      </c>
      <c r="Q143" s="7">
        <f t="shared" si="5"/>
        <v>0.91856392294220668</v>
      </c>
    </row>
    <row r="144" spans="1:17" x14ac:dyDescent="0.45">
      <c r="A144" t="s">
        <v>44</v>
      </c>
      <c r="B144" t="s">
        <v>98</v>
      </c>
      <c r="C144" s="26">
        <f>SUMIFS(INDEX(元データ_14項目!$D$2:$Q$1300,0,MATCH($B144,元データ_14項目!$D$1:$Q$1,0)),元データ_14項目!$A$2:$A$1300,$A144,元データ_14項目!$B$2:$B$1300,"本年",元データ_14項目!$C$2:$C$1300,C$5)</f>
        <v>11</v>
      </c>
      <c r="D144" s="26">
        <f>SUMIFS(INDEX(元データ_14項目!$D$2:$Q$1300,0,MATCH($B144,元データ_14項目!$D$1:$Q$1,0)),元データ_14項目!$A$2:$A$1300,$A144,元データ_14項目!$B$2:$B$1300,"本年",元データ_14項目!$C$2:$C$1300,D$5)</f>
        <v>5</v>
      </c>
      <c r="E144" s="26">
        <f>SUMIFS(INDEX(元データ_14項目!$D$2:$Q$1300,0,MATCH($B144,元データ_14項目!$D$1:$Q$1,0)),元データ_14項目!$A$2:$A$1300,$A144,元データ_14項目!$B$2:$B$1300,"本年",元データ_14項目!$C$2:$C$1300,E$5)</f>
        <v>11</v>
      </c>
      <c r="F144" s="26">
        <f>SUMIFS(INDEX(元データ_14項目!$D$2:$Q$1300,0,MATCH($B144,元データ_14項目!$D$1:$Q$1,0)),元データ_14項目!$A$2:$A$1300,$A144,元データ_14項目!$B$2:$B$1300,"本年",元データ_14項目!$C$2:$C$1300,F$5)</f>
        <v>37</v>
      </c>
      <c r="G144" s="26">
        <f>SUMIFS(INDEX(元データ_14項目!$D$2:$Q$1300,0,MATCH($B144,元データ_14項目!$D$1:$Q$1,0)),元データ_14項目!$A$2:$A$1300,$A144,元データ_14項目!$B$2:$B$1300,"本年",元データ_14項目!$C$2:$C$1300,G$5)</f>
        <v>27</v>
      </c>
      <c r="H144" s="26">
        <f>SUMIFS(INDEX(元データ_14項目!$D$2:$Q$1300,0,MATCH($B144,元データ_14項目!$D$1:$Q$1,0)),元データ_14項目!$A$2:$A$1300,$A144,元データ_14項目!$B$2:$B$1300,"本年",元データ_14項目!$C$2:$C$1300,H$5)</f>
        <v>18</v>
      </c>
      <c r="I144" s="26">
        <f>SUMIFS(INDEX(元データ_14項目!$D$2:$Q$1300,0,MATCH($B144,元データ_14項目!$D$1:$Q$1,0)),元データ_14項目!$A$2:$A$1300,$A144,元データ_14項目!$B$2:$B$1300,"本年",元データ_14項目!$C$2:$C$1300,I$5)</f>
        <v>18</v>
      </c>
      <c r="J144" s="26">
        <f>SUMIFS(INDEX(元データ_14項目!$D$2:$Q$1300,0,MATCH($B144,元データ_14項目!$D$1:$Q$1,0)),元データ_14項目!$A$2:$A$1300,$A144,元データ_14項目!$B$2:$B$1300,"本年",元データ_14項目!$C$2:$C$1300,J$5)</f>
        <v>90</v>
      </c>
      <c r="K144" s="26">
        <f>SUMIFS(INDEX(元データ_14項目!$D$2:$Q$1300,0,MATCH($B144,元データ_14項目!$D$1:$Q$1,0)),元データ_14項目!$A$2:$A$1300,$A144,元データ_14項目!$B$2:$B$1300,"本年",元データ_14項目!$C$2:$C$1300,K$5)</f>
        <v>270</v>
      </c>
      <c r="L144" s="26">
        <f>SUMIFS(INDEX(元データ_14項目!$D$2:$Q$1300,0,MATCH($B144,元データ_14項目!$D$1:$Q$1,0)),元データ_14項目!$A$2:$A$1300,$A144,元データ_14項目!$B$2:$B$1300,"本年",元データ_14項目!$C$2:$C$1300,L$5)</f>
        <v>125</v>
      </c>
      <c r="M144" s="26">
        <f>SUMIFS(INDEX(元データ_14項目!$D$2:$Q$1300,0,MATCH($B144,元データ_14項目!$D$1:$Q$1,0)),元データ_14項目!$A$2:$A$1300,$A144,元データ_14項目!$B$2:$B$1300,"本年",元データ_14項目!$C$2:$C$1300,M$5)</f>
        <v>77</v>
      </c>
      <c r="N144" s="26">
        <f>SUMIFS(INDEX(元データ_14項目!$D$2:$Q$1300,0,MATCH($B144,元データ_14項目!$D$1:$Q$1,0)),元データ_14項目!$A$2:$A$1300,$A144,元データ_14項目!$B$2:$B$1300,"本年",元データ_14項目!$C$2:$C$1300,N$5)</f>
        <v>22</v>
      </c>
      <c r="O144" s="26">
        <f t="shared" si="4"/>
        <v>711</v>
      </c>
      <c r="P144" s="26">
        <f>SUMIFS(INDEX(元データ_14項目!$D$2:$Q$1300,0,MATCH($B144,元データ_14項目!$D$1:$Q$1,0)),元データ_14項目!$A$2:$A$1300,$A144,元データ_14項目!$B$2:$B$1300,"前年")</f>
        <v>719</v>
      </c>
      <c r="Q144" s="7">
        <f t="shared" si="5"/>
        <v>0.9888734353268428</v>
      </c>
    </row>
    <row r="145" spans="1:17" x14ac:dyDescent="0.45">
      <c r="A145" t="s">
        <v>44</v>
      </c>
      <c r="B145" t="s">
        <v>99</v>
      </c>
      <c r="C145" s="26">
        <f>SUMIFS(INDEX(元データ_14項目!$D$2:$Q$1300,0,MATCH($B145,元データ_14項目!$D$1:$Q$1,0)),元データ_14項目!$A$2:$A$1300,$A145,元データ_14項目!$B$2:$B$1300,"本年",元データ_14項目!$C$2:$C$1300,C$5)</f>
        <v>0</v>
      </c>
      <c r="D145" s="26">
        <f>SUMIFS(INDEX(元データ_14項目!$D$2:$Q$1300,0,MATCH($B145,元データ_14項目!$D$1:$Q$1,0)),元データ_14項目!$A$2:$A$1300,$A145,元データ_14項目!$B$2:$B$1300,"本年",元データ_14項目!$C$2:$C$1300,D$5)</f>
        <v>0</v>
      </c>
      <c r="E145" s="26">
        <f>SUMIFS(INDEX(元データ_14項目!$D$2:$Q$1300,0,MATCH($B145,元データ_14項目!$D$1:$Q$1,0)),元データ_14項目!$A$2:$A$1300,$A145,元データ_14項目!$B$2:$B$1300,"本年",元データ_14項目!$C$2:$C$1300,E$5)</f>
        <v>4</v>
      </c>
      <c r="F145" s="26">
        <f>SUMIFS(INDEX(元データ_14項目!$D$2:$Q$1300,0,MATCH($B145,元データ_14項目!$D$1:$Q$1,0)),元データ_14項目!$A$2:$A$1300,$A145,元データ_14項目!$B$2:$B$1300,"本年",元データ_14項目!$C$2:$C$1300,F$5)</f>
        <v>2</v>
      </c>
      <c r="G145" s="26">
        <f>SUMIFS(INDEX(元データ_14項目!$D$2:$Q$1300,0,MATCH($B145,元データ_14項目!$D$1:$Q$1,0)),元データ_14項目!$A$2:$A$1300,$A145,元データ_14項目!$B$2:$B$1300,"本年",元データ_14項目!$C$2:$C$1300,G$5)</f>
        <v>1</v>
      </c>
      <c r="H145" s="26">
        <f>SUMIFS(INDEX(元データ_14項目!$D$2:$Q$1300,0,MATCH($B145,元データ_14項目!$D$1:$Q$1,0)),元データ_14項目!$A$2:$A$1300,$A145,元データ_14項目!$B$2:$B$1300,"本年",元データ_14項目!$C$2:$C$1300,H$5)</f>
        <v>5</v>
      </c>
      <c r="I145" s="26">
        <f>SUMIFS(INDEX(元データ_14項目!$D$2:$Q$1300,0,MATCH($B145,元データ_14項目!$D$1:$Q$1,0)),元データ_14項目!$A$2:$A$1300,$A145,元データ_14項目!$B$2:$B$1300,"本年",元データ_14項目!$C$2:$C$1300,I$5)</f>
        <v>13</v>
      </c>
      <c r="J145" s="26">
        <f>SUMIFS(INDEX(元データ_14項目!$D$2:$Q$1300,0,MATCH($B145,元データ_14項目!$D$1:$Q$1,0)),元データ_14項目!$A$2:$A$1300,$A145,元データ_14項目!$B$2:$B$1300,"本年",元データ_14項目!$C$2:$C$1300,J$5)</f>
        <v>7</v>
      </c>
      <c r="K145" s="26">
        <f>SUMIFS(INDEX(元データ_14項目!$D$2:$Q$1300,0,MATCH($B145,元データ_14項目!$D$1:$Q$1,0)),元データ_14項目!$A$2:$A$1300,$A145,元データ_14項目!$B$2:$B$1300,"本年",元データ_14項目!$C$2:$C$1300,K$5)</f>
        <v>23</v>
      </c>
      <c r="L145" s="26">
        <f>SUMIFS(INDEX(元データ_14項目!$D$2:$Q$1300,0,MATCH($B145,元データ_14項目!$D$1:$Q$1,0)),元データ_14項目!$A$2:$A$1300,$A145,元データ_14項目!$B$2:$B$1300,"本年",元データ_14項目!$C$2:$C$1300,L$5)</f>
        <v>2</v>
      </c>
      <c r="M145" s="26">
        <f>SUMIFS(INDEX(元データ_14項目!$D$2:$Q$1300,0,MATCH($B145,元データ_14項目!$D$1:$Q$1,0)),元データ_14項目!$A$2:$A$1300,$A145,元データ_14項目!$B$2:$B$1300,"本年",元データ_14項目!$C$2:$C$1300,M$5)</f>
        <v>5</v>
      </c>
      <c r="N145" s="26">
        <f>SUMIFS(INDEX(元データ_14項目!$D$2:$Q$1300,0,MATCH($B145,元データ_14項目!$D$1:$Q$1,0)),元データ_14項目!$A$2:$A$1300,$A145,元データ_14項目!$B$2:$B$1300,"本年",元データ_14項目!$C$2:$C$1300,N$5)</f>
        <v>1</v>
      </c>
      <c r="O145" s="26">
        <f t="shared" si="4"/>
        <v>63</v>
      </c>
      <c r="P145" s="26">
        <f>SUMIFS(INDEX(元データ_14項目!$D$2:$Q$1300,0,MATCH($B145,元データ_14項目!$D$1:$Q$1,0)),元データ_14項目!$A$2:$A$1300,$A145,元データ_14項目!$B$2:$B$1300,"前年")</f>
        <v>64</v>
      </c>
      <c r="Q145" s="7">
        <f t="shared" si="5"/>
        <v>0.984375</v>
      </c>
    </row>
    <row r="146" spans="1:17" x14ac:dyDescent="0.45">
      <c r="A146" t="s">
        <v>45</v>
      </c>
      <c r="B146" t="s">
        <v>27</v>
      </c>
      <c r="C146" s="26">
        <f>SUMIFS(INDEX(元データ_14項目!$D$2:$Q$1300,0,MATCH($B146,元データ_14項目!$D$1:$Q$1,0)),元データ_14項目!$A$2:$A$1300,$A146,元データ_14項目!$B$2:$B$1300,"本年",元データ_14項目!$C$2:$C$1300,C$5)</f>
        <v>697</v>
      </c>
      <c r="D146" s="26">
        <f>SUMIFS(INDEX(元データ_14項目!$D$2:$Q$1300,0,MATCH($B146,元データ_14項目!$D$1:$Q$1,0)),元データ_14項目!$A$2:$A$1300,$A146,元データ_14項目!$B$2:$B$1300,"本年",元データ_14項目!$C$2:$C$1300,D$5)</f>
        <v>808</v>
      </c>
      <c r="E146" s="26">
        <f>SUMIFS(INDEX(元データ_14項目!$D$2:$Q$1300,0,MATCH($B146,元データ_14項目!$D$1:$Q$1,0)),元データ_14項目!$A$2:$A$1300,$A146,元データ_14項目!$B$2:$B$1300,"本年",元データ_14項目!$C$2:$C$1300,E$5)</f>
        <v>947</v>
      </c>
      <c r="F146" s="26">
        <f>SUMIFS(INDEX(元データ_14項目!$D$2:$Q$1300,0,MATCH($B146,元データ_14項目!$D$1:$Q$1,0)),元データ_14項目!$A$2:$A$1300,$A146,元データ_14項目!$B$2:$B$1300,"本年",元データ_14項目!$C$2:$C$1300,F$5)</f>
        <v>782</v>
      </c>
      <c r="G146" s="26">
        <f>SUMIFS(INDEX(元データ_14項目!$D$2:$Q$1300,0,MATCH($B146,元データ_14項目!$D$1:$Q$1,0)),元データ_14項目!$A$2:$A$1300,$A146,元データ_14項目!$B$2:$B$1300,"本年",元データ_14項目!$C$2:$C$1300,G$5)</f>
        <v>879</v>
      </c>
      <c r="H146" s="26">
        <f>SUMIFS(INDEX(元データ_14項目!$D$2:$Q$1300,0,MATCH($B146,元データ_14項目!$D$1:$Q$1,0)),元データ_14項目!$A$2:$A$1300,$A146,元データ_14項目!$B$2:$B$1300,"本年",元データ_14項目!$C$2:$C$1300,H$5)</f>
        <v>664</v>
      </c>
      <c r="I146" s="26">
        <f>SUMIFS(INDEX(元データ_14項目!$D$2:$Q$1300,0,MATCH($B146,元データ_14項目!$D$1:$Q$1,0)),元データ_14項目!$A$2:$A$1300,$A146,元データ_14項目!$B$2:$B$1300,"本年",元データ_14項目!$C$2:$C$1300,I$5)</f>
        <v>666</v>
      </c>
      <c r="J146" s="26">
        <f>SUMIFS(INDEX(元データ_14項目!$D$2:$Q$1300,0,MATCH($B146,元データ_14項目!$D$1:$Q$1,0)),元データ_14項目!$A$2:$A$1300,$A146,元データ_14項目!$B$2:$B$1300,"本年",元データ_14項目!$C$2:$C$1300,J$5)</f>
        <v>786</v>
      </c>
      <c r="K146" s="26">
        <f>SUMIFS(INDEX(元データ_14項目!$D$2:$Q$1300,0,MATCH($B146,元データ_14項目!$D$1:$Q$1,0)),元データ_14項目!$A$2:$A$1300,$A146,元データ_14項目!$B$2:$B$1300,"本年",元データ_14項目!$C$2:$C$1300,K$5)</f>
        <v>723</v>
      </c>
      <c r="L146" s="26">
        <f>SUMIFS(INDEX(元データ_14項目!$D$2:$Q$1300,0,MATCH($B146,元データ_14項目!$D$1:$Q$1,0)),元データ_14項目!$A$2:$A$1300,$A146,元データ_14項目!$B$2:$B$1300,"本年",元データ_14項目!$C$2:$C$1300,L$5)</f>
        <v>700</v>
      </c>
      <c r="M146" s="26">
        <f>SUMIFS(INDEX(元データ_14項目!$D$2:$Q$1300,0,MATCH($B146,元データ_14項目!$D$1:$Q$1,0)),元データ_14項目!$A$2:$A$1300,$A146,元データ_14項目!$B$2:$B$1300,"本年",元データ_14項目!$C$2:$C$1300,M$5)</f>
        <v>763</v>
      </c>
      <c r="N146" s="26">
        <f>SUMIFS(INDEX(元データ_14項目!$D$2:$Q$1300,0,MATCH($B146,元データ_14項目!$D$1:$Q$1,0)),元データ_14項目!$A$2:$A$1300,$A146,元データ_14項目!$B$2:$B$1300,"本年",元データ_14項目!$C$2:$C$1300,N$5)</f>
        <v>777</v>
      </c>
      <c r="O146" s="26">
        <f t="shared" si="4"/>
        <v>9192</v>
      </c>
      <c r="P146" s="26">
        <f>SUMIFS(INDEX(元データ_14項目!$D$2:$Q$1300,0,MATCH($B146,元データ_14項目!$D$1:$Q$1,0)),元データ_14項目!$A$2:$A$1300,$A146,元データ_14項目!$B$2:$B$1300,"前年")</f>
        <v>10515</v>
      </c>
      <c r="Q146" s="7">
        <f t="shared" si="5"/>
        <v>0.87417974322396574</v>
      </c>
    </row>
    <row r="147" spans="1:17" x14ac:dyDescent="0.45">
      <c r="A147" t="s">
        <v>45</v>
      </c>
      <c r="B147" t="s">
        <v>88</v>
      </c>
      <c r="C147" s="26">
        <f>SUMIFS(INDEX(元データ_14項目!$D$2:$Q$1300,0,MATCH($B147,元データ_14項目!$D$1:$Q$1,0)),元データ_14項目!$A$2:$A$1300,$A147,元データ_14項目!$B$2:$B$1300,"本年",元データ_14項目!$C$2:$C$1300,C$5)</f>
        <v>46</v>
      </c>
      <c r="D147" s="26">
        <f>SUMIFS(INDEX(元データ_14項目!$D$2:$Q$1300,0,MATCH($B147,元データ_14項目!$D$1:$Q$1,0)),元データ_14項目!$A$2:$A$1300,$A147,元データ_14項目!$B$2:$B$1300,"本年",元データ_14項目!$C$2:$C$1300,D$5)</f>
        <v>56</v>
      </c>
      <c r="E147" s="26">
        <f>SUMIFS(INDEX(元データ_14項目!$D$2:$Q$1300,0,MATCH($B147,元データ_14項目!$D$1:$Q$1,0)),元データ_14項目!$A$2:$A$1300,$A147,元データ_14項目!$B$2:$B$1300,"本年",元データ_14項目!$C$2:$C$1300,E$5)</f>
        <v>79</v>
      </c>
      <c r="F147" s="26">
        <f>SUMIFS(INDEX(元データ_14項目!$D$2:$Q$1300,0,MATCH($B147,元データ_14項目!$D$1:$Q$1,0)),元データ_14項目!$A$2:$A$1300,$A147,元データ_14項目!$B$2:$B$1300,"本年",元データ_14項目!$C$2:$C$1300,F$5)</f>
        <v>65</v>
      </c>
      <c r="G147" s="26">
        <f>SUMIFS(INDEX(元データ_14項目!$D$2:$Q$1300,0,MATCH($B147,元データ_14項目!$D$1:$Q$1,0)),元データ_14項目!$A$2:$A$1300,$A147,元データ_14項目!$B$2:$B$1300,"本年",元データ_14項目!$C$2:$C$1300,G$5)</f>
        <v>64</v>
      </c>
      <c r="H147" s="26">
        <f>SUMIFS(INDEX(元データ_14項目!$D$2:$Q$1300,0,MATCH($B147,元データ_14項目!$D$1:$Q$1,0)),元データ_14項目!$A$2:$A$1300,$A147,元データ_14項目!$B$2:$B$1300,"本年",元データ_14項目!$C$2:$C$1300,H$5)</f>
        <v>43</v>
      </c>
      <c r="I147" s="26">
        <f>SUMIFS(INDEX(元データ_14項目!$D$2:$Q$1300,0,MATCH($B147,元データ_14項目!$D$1:$Q$1,0)),元データ_14項目!$A$2:$A$1300,$A147,元データ_14項目!$B$2:$B$1300,"本年",元データ_14項目!$C$2:$C$1300,I$5)</f>
        <v>19</v>
      </c>
      <c r="J147" s="26">
        <f>SUMIFS(INDEX(元データ_14項目!$D$2:$Q$1300,0,MATCH($B147,元データ_14項目!$D$1:$Q$1,0)),元データ_14項目!$A$2:$A$1300,$A147,元データ_14項目!$B$2:$B$1300,"本年",元データ_14項目!$C$2:$C$1300,J$5)</f>
        <v>80</v>
      </c>
      <c r="K147" s="26">
        <f>SUMIFS(INDEX(元データ_14項目!$D$2:$Q$1300,0,MATCH($B147,元データ_14項目!$D$1:$Q$1,0)),元データ_14項目!$A$2:$A$1300,$A147,元データ_14項目!$B$2:$B$1300,"本年",元データ_14項目!$C$2:$C$1300,K$5)</f>
        <v>61</v>
      </c>
      <c r="L147" s="26">
        <f>SUMIFS(INDEX(元データ_14項目!$D$2:$Q$1300,0,MATCH($B147,元データ_14項目!$D$1:$Q$1,0)),元データ_14項目!$A$2:$A$1300,$A147,元データ_14項目!$B$2:$B$1300,"本年",元データ_14項目!$C$2:$C$1300,L$5)</f>
        <v>53</v>
      </c>
      <c r="M147" s="26">
        <f>SUMIFS(INDEX(元データ_14項目!$D$2:$Q$1300,0,MATCH($B147,元データ_14項目!$D$1:$Q$1,0)),元データ_14項目!$A$2:$A$1300,$A147,元データ_14項目!$B$2:$B$1300,"本年",元データ_14項目!$C$2:$C$1300,M$5)</f>
        <v>64</v>
      </c>
      <c r="N147" s="26">
        <f>SUMIFS(INDEX(元データ_14項目!$D$2:$Q$1300,0,MATCH($B147,元データ_14項目!$D$1:$Q$1,0)),元データ_14項目!$A$2:$A$1300,$A147,元データ_14項目!$B$2:$B$1300,"本年",元データ_14項目!$C$2:$C$1300,N$5)</f>
        <v>76</v>
      </c>
      <c r="O147" s="26">
        <f t="shared" si="4"/>
        <v>706</v>
      </c>
      <c r="P147" s="26">
        <f>SUMIFS(INDEX(元データ_14項目!$D$2:$Q$1300,0,MATCH($B147,元データ_14項目!$D$1:$Q$1,0)),元データ_14項目!$A$2:$A$1300,$A147,元データ_14項目!$B$2:$B$1300,"前年")</f>
        <v>607</v>
      </c>
      <c r="Q147" s="7">
        <f t="shared" si="5"/>
        <v>1.1630971993410215</v>
      </c>
    </row>
    <row r="148" spans="1:17" x14ac:dyDescent="0.45">
      <c r="A148" t="s">
        <v>45</v>
      </c>
      <c r="B148" t="s">
        <v>89</v>
      </c>
      <c r="C148" s="26">
        <f>SUMIFS(INDEX(元データ_14項目!$D$2:$Q$1300,0,MATCH($B148,元データ_14項目!$D$1:$Q$1,0)),元データ_14項目!$A$2:$A$1300,$A148,元データ_14項目!$B$2:$B$1300,"本年",元データ_14項目!$C$2:$C$1300,C$5)</f>
        <v>25</v>
      </c>
      <c r="D148" s="26">
        <f>SUMIFS(INDEX(元データ_14項目!$D$2:$Q$1300,0,MATCH($B148,元データ_14項目!$D$1:$Q$1,0)),元データ_14項目!$A$2:$A$1300,$A148,元データ_14項目!$B$2:$B$1300,"本年",元データ_14項目!$C$2:$C$1300,D$5)</f>
        <v>33</v>
      </c>
      <c r="E148" s="26">
        <f>SUMIFS(INDEX(元データ_14項目!$D$2:$Q$1300,0,MATCH($B148,元データ_14項目!$D$1:$Q$1,0)),元データ_14項目!$A$2:$A$1300,$A148,元データ_14項目!$B$2:$B$1300,"本年",元データ_14項目!$C$2:$C$1300,E$5)</f>
        <v>48</v>
      </c>
      <c r="F148" s="26">
        <f>SUMIFS(INDEX(元データ_14項目!$D$2:$Q$1300,0,MATCH($B148,元データ_14項目!$D$1:$Q$1,0)),元データ_14項目!$A$2:$A$1300,$A148,元データ_14項目!$B$2:$B$1300,"本年",元データ_14項目!$C$2:$C$1300,F$5)</f>
        <v>32</v>
      </c>
      <c r="G148" s="26">
        <f>SUMIFS(INDEX(元データ_14項目!$D$2:$Q$1300,0,MATCH($B148,元データ_14項目!$D$1:$Q$1,0)),元データ_14項目!$A$2:$A$1300,$A148,元データ_14項目!$B$2:$B$1300,"本年",元データ_14項目!$C$2:$C$1300,G$5)</f>
        <v>10</v>
      </c>
      <c r="H148" s="26">
        <f>SUMIFS(INDEX(元データ_14項目!$D$2:$Q$1300,0,MATCH($B148,元データ_14項目!$D$1:$Q$1,0)),元データ_14項目!$A$2:$A$1300,$A148,元データ_14項目!$B$2:$B$1300,"本年",元データ_14項目!$C$2:$C$1300,H$5)</f>
        <v>8</v>
      </c>
      <c r="I148" s="26">
        <f>SUMIFS(INDEX(元データ_14項目!$D$2:$Q$1300,0,MATCH($B148,元データ_14項目!$D$1:$Q$1,0)),元データ_14項目!$A$2:$A$1300,$A148,元データ_14項目!$B$2:$B$1300,"本年",元データ_14項目!$C$2:$C$1300,I$5)</f>
        <v>14</v>
      </c>
      <c r="J148" s="26">
        <f>SUMIFS(INDEX(元データ_14項目!$D$2:$Q$1300,0,MATCH($B148,元データ_14項目!$D$1:$Q$1,0)),元データ_14項目!$A$2:$A$1300,$A148,元データ_14項目!$B$2:$B$1300,"本年",元データ_14項目!$C$2:$C$1300,J$5)</f>
        <v>29</v>
      </c>
      <c r="K148" s="26">
        <f>SUMIFS(INDEX(元データ_14項目!$D$2:$Q$1300,0,MATCH($B148,元データ_14項目!$D$1:$Q$1,0)),元データ_14項目!$A$2:$A$1300,$A148,元データ_14項目!$B$2:$B$1300,"本年",元データ_14項目!$C$2:$C$1300,K$5)</f>
        <v>51</v>
      </c>
      <c r="L148" s="26">
        <f>SUMIFS(INDEX(元データ_14項目!$D$2:$Q$1300,0,MATCH($B148,元データ_14項目!$D$1:$Q$1,0)),元データ_14項目!$A$2:$A$1300,$A148,元データ_14項目!$B$2:$B$1300,"本年",元データ_14項目!$C$2:$C$1300,L$5)</f>
        <v>27</v>
      </c>
      <c r="M148" s="26">
        <f>SUMIFS(INDEX(元データ_14項目!$D$2:$Q$1300,0,MATCH($B148,元データ_14項目!$D$1:$Q$1,0)),元データ_14項目!$A$2:$A$1300,$A148,元データ_14項目!$B$2:$B$1300,"本年",元データ_14項目!$C$2:$C$1300,M$5)</f>
        <v>21</v>
      </c>
      <c r="N148" s="26">
        <f>SUMIFS(INDEX(元データ_14項目!$D$2:$Q$1300,0,MATCH($B148,元データ_14項目!$D$1:$Q$1,0)),元データ_14項目!$A$2:$A$1300,$A148,元データ_14項目!$B$2:$B$1300,"本年",元データ_14項目!$C$2:$C$1300,N$5)</f>
        <v>25</v>
      </c>
      <c r="O148" s="26">
        <f t="shared" si="4"/>
        <v>323</v>
      </c>
      <c r="P148" s="26">
        <f>SUMIFS(INDEX(元データ_14項目!$D$2:$Q$1300,0,MATCH($B148,元データ_14項目!$D$1:$Q$1,0)),元データ_14項目!$A$2:$A$1300,$A148,元データ_14項目!$B$2:$B$1300,"前年")</f>
        <v>374</v>
      </c>
      <c r="Q148" s="7">
        <f t="shared" si="5"/>
        <v>0.86363636363636365</v>
      </c>
    </row>
    <row r="149" spans="1:17" x14ac:dyDescent="0.45">
      <c r="A149" t="s">
        <v>45</v>
      </c>
      <c r="B149" t="s">
        <v>90</v>
      </c>
      <c r="C149" s="26">
        <f>SUMIFS(INDEX(元データ_14項目!$D$2:$Q$1300,0,MATCH($B149,元データ_14項目!$D$1:$Q$1,0)),元データ_14項目!$A$2:$A$1300,$A149,元データ_14項目!$B$2:$B$1300,"本年",元データ_14項目!$C$2:$C$1300,C$5)</f>
        <v>37</v>
      </c>
      <c r="D149" s="26">
        <f>SUMIFS(INDEX(元データ_14項目!$D$2:$Q$1300,0,MATCH($B149,元データ_14項目!$D$1:$Q$1,0)),元データ_14項目!$A$2:$A$1300,$A149,元データ_14項目!$B$2:$B$1300,"本年",元データ_14項目!$C$2:$C$1300,D$5)</f>
        <v>59</v>
      </c>
      <c r="E149" s="26">
        <f>SUMIFS(INDEX(元データ_14項目!$D$2:$Q$1300,0,MATCH($B149,元データ_14項目!$D$1:$Q$1,0)),元データ_14項目!$A$2:$A$1300,$A149,元データ_14項目!$B$2:$B$1300,"本年",元データ_14項目!$C$2:$C$1300,E$5)</f>
        <v>88</v>
      </c>
      <c r="F149" s="26">
        <f>SUMIFS(INDEX(元データ_14項目!$D$2:$Q$1300,0,MATCH($B149,元データ_14項目!$D$1:$Q$1,0)),元データ_14項目!$A$2:$A$1300,$A149,元データ_14項目!$B$2:$B$1300,"本年",元データ_14項目!$C$2:$C$1300,F$5)</f>
        <v>90</v>
      </c>
      <c r="G149" s="26">
        <f>SUMIFS(INDEX(元データ_14項目!$D$2:$Q$1300,0,MATCH($B149,元データ_14項目!$D$1:$Q$1,0)),元データ_14項目!$A$2:$A$1300,$A149,元データ_14項目!$B$2:$B$1300,"本年",元データ_14項目!$C$2:$C$1300,G$5)</f>
        <v>113</v>
      </c>
      <c r="H149" s="26">
        <f>SUMIFS(INDEX(元データ_14項目!$D$2:$Q$1300,0,MATCH($B149,元データ_14項目!$D$1:$Q$1,0)),元データ_14項目!$A$2:$A$1300,$A149,元データ_14項目!$B$2:$B$1300,"本年",元データ_14項目!$C$2:$C$1300,H$5)</f>
        <v>101</v>
      </c>
      <c r="I149" s="26">
        <f>SUMIFS(INDEX(元データ_14項目!$D$2:$Q$1300,0,MATCH($B149,元データ_14項目!$D$1:$Q$1,0)),元データ_14項目!$A$2:$A$1300,$A149,元データ_14項目!$B$2:$B$1300,"本年",元データ_14項目!$C$2:$C$1300,I$5)</f>
        <v>70</v>
      </c>
      <c r="J149" s="26">
        <f>SUMIFS(INDEX(元データ_14項目!$D$2:$Q$1300,0,MATCH($B149,元データ_14項目!$D$1:$Q$1,0)),元データ_14項目!$A$2:$A$1300,$A149,元データ_14項目!$B$2:$B$1300,"本年",元データ_14項目!$C$2:$C$1300,J$5)</f>
        <v>136</v>
      </c>
      <c r="K149" s="26">
        <f>SUMIFS(INDEX(元データ_14項目!$D$2:$Q$1300,0,MATCH($B149,元データ_14項目!$D$1:$Q$1,0)),元データ_14項目!$A$2:$A$1300,$A149,元データ_14項目!$B$2:$B$1300,"本年",元データ_14項目!$C$2:$C$1300,K$5)</f>
        <v>154</v>
      </c>
      <c r="L149" s="26">
        <f>SUMIFS(INDEX(元データ_14項目!$D$2:$Q$1300,0,MATCH($B149,元データ_14項目!$D$1:$Q$1,0)),元データ_14項目!$A$2:$A$1300,$A149,元データ_14項目!$B$2:$B$1300,"本年",元データ_14項目!$C$2:$C$1300,L$5)</f>
        <v>98</v>
      </c>
      <c r="M149" s="26">
        <f>SUMIFS(INDEX(元データ_14項目!$D$2:$Q$1300,0,MATCH($B149,元データ_14項目!$D$1:$Q$1,0)),元データ_14項目!$A$2:$A$1300,$A149,元データ_14項目!$B$2:$B$1300,"本年",元データ_14項目!$C$2:$C$1300,M$5)</f>
        <v>100</v>
      </c>
      <c r="N149" s="26">
        <f>SUMIFS(INDEX(元データ_14項目!$D$2:$Q$1300,0,MATCH($B149,元データ_14項目!$D$1:$Q$1,0)),元データ_14項目!$A$2:$A$1300,$A149,元データ_14項目!$B$2:$B$1300,"本年",元データ_14項目!$C$2:$C$1300,N$5)</f>
        <v>69</v>
      </c>
      <c r="O149" s="26">
        <f t="shared" si="4"/>
        <v>1115</v>
      </c>
      <c r="P149" s="26">
        <f>SUMIFS(INDEX(元データ_14項目!$D$2:$Q$1300,0,MATCH($B149,元データ_14項目!$D$1:$Q$1,0)),元データ_14項目!$A$2:$A$1300,$A149,元データ_14項目!$B$2:$B$1300,"前年")</f>
        <v>1281</v>
      </c>
      <c r="Q149" s="7">
        <f t="shared" si="5"/>
        <v>0.87041373926619825</v>
      </c>
    </row>
    <row r="150" spans="1:17" x14ac:dyDescent="0.45">
      <c r="A150" t="s">
        <v>45</v>
      </c>
      <c r="B150" t="s">
        <v>91</v>
      </c>
      <c r="C150" s="26">
        <f>SUMIFS(INDEX(元データ_14項目!$D$2:$Q$1300,0,MATCH($B150,元データ_14項目!$D$1:$Q$1,0)),元データ_14項目!$A$2:$A$1300,$A150,元データ_14項目!$B$2:$B$1300,"本年",元データ_14項目!$C$2:$C$1300,C$5)</f>
        <v>21</v>
      </c>
      <c r="D150" s="26">
        <f>SUMIFS(INDEX(元データ_14項目!$D$2:$Q$1300,0,MATCH($B150,元データ_14項目!$D$1:$Q$1,0)),元データ_14項目!$A$2:$A$1300,$A150,元データ_14項目!$B$2:$B$1300,"本年",元データ_14項目!$C$2:$C$1300,D$5)</f>
        <v>42</v>
      </c>
      <c r="E150" s="26">
        <f>SUMIFS(INDEX(元データ_14項目!$D$2:$Q$1300,0,MATCH($B150,元データ_14項目!$D$1:$Q$1,0)),元データ_14項目!$A$2:$A$1300,$A150,元データ_14項目!$B$2:$B$1300,"本年",元データ_14項目!$C$2:$C$1300,E$5)</f>
        <v>60</v>
      </c>
      <c r="F150" s="26">
        <f>SUMIFS(INDEX(元データ_14項目!$D$2:$Q$1300,0,MATCH($B150,元データ_14項目!$D$1:$Q$1,0)),元データ_14項目!$A$2:$A$1300,$A150,元データ_14項目!$B$2:$B$1300,"本年",元データ_14項目!$C$2:$C$1300,F$5)</f>
        <v>50</v>
      </c>
      <c r="G150" s="26">
        <f>SUMIFS(INDEX(元データ_14項目!$D$2:$Q$1300,0,MATCH($B150,元データ_14項目!$D$1:$Q$1,0)),元データ_14項目!$A$2:$A$1300,$A150,元データ_14項目!$B$2:$B$1300,"本年",元データ_14項目!$C$2:$C$1300,G$5)</f>
        <v>6</v>
      </c>
      <c r="H150" s="26">
        <f>SUMIFS(INDEX(元データ_14項目!$D$2:$Q$1300,0,MATCH($B150,元データ_14項目!$D$1:$Q$1,0)),元データ_14項目!$A$2:$A$1300,$A150,元データ_14項目!$B$2:$B$1300,"本年",元データ_14項目!$C$2:$C$1300,H$5)</f>
        <v>8</v>
      </c>
      <c r="I150" s="26">
        <f>SUMIFS(INDEX(元データ_14項目!$D$2:$Q$1300,0,MATCH($B150,元データ_14項目!$D$1:$Q$1,0)),元データ_14項目!$A$2:$A$1300,$A150,元データ_14項目!$B$2:$B$1300,"本年",元データ_14項目!$C$2:$C$1300,I$5)</f>
        <v>24</v>
      </c>
      <c r="J150" s="26">
        <f>SUMIFS(INDEX(元データ_14項目!$D$2:$Q$1300,0,MATCH($B150,元データ_14項目!$D$1:$Q$1,0)),元データ_14項目!$A$2:$A$1300,$A150,元データ_14項目!$B$2:$B$1300,"本年",元データ_14項目!$C$2:$C$1300,J$5)</f>
        <v>9</v>
      </c>
      <c r="K150" s="26">
        <f>SUMIFS(INDEX(元データ_14項目!$D$2:$Q$1300,0,MATCH($B150,元データ_14項目!$D$1:$Q$1,0)),元データ_14項目!$A$2:$A$1300,$A150,元データ_14項目!$B$2:$B$1300,"本年",元データ_14項目!$C$2:$C$1300,K$5)</f>
        <v>9</v>
      </c>
      <c r="L150" s="26">
        <f>SUMIFS(INDEX(元データ_14項目!$D$2:$Q$1300,0,MATCH($B150,元データ_14項目!$D$1:$Q$1,0)),元データ_14項目!$A$2:$A$1300,$A150,元データ_14項目!$B$2:$B$1300,"本年",元データ_14項目!$C$2:$C$1300,L$5)</f>
        <v>9</v>
      </c>
      <c r="M150" s="26">
        <f>SUMIFS(INDEX(元データ_14項目!$D$2:$Q$1300,0,MATCH($B150,元データ_14項目!$D$1:$Q$1,0)),元データ_14項目!$A$2:$A$1300,$A150,元データ_14項目!$B$2:$B$1300,"本年",元データ_14項目!$C$2:$C$1300,M$5)</f>
        <v>27</v>
      </c>
      <c r="N150" s="26">
        <f>SUMIFS(INDEX(元データ_14項目!$D$2:$Q$1300,0,MATCH($B150,元データ_14項目!$D$1:$Q$1,0)),元データ_14項目!$A$2:$A$1300,$A150,元データ_14項目!$B$2:$B$1300,"本年",元データ_14項目!$C$2:$C$1300,N$5)</f>
        <v>16</v>
      </c>
      <c r="O150" s="26">
        <f t="shared" si="4"/>
        <v>281</v>
      </c>
      <c r="P150" s="26">
        <f>SUMIFS(INDEX(元データ_14項目!$D$2:$Q$1300,0,MATCH($B150,元データ_14項目!$D$1:$Q$1,0)),元データ_14項目!$A$2:$A$1300,$A150,元データ_14項目!$B$2:$B$1300,"前年")</f>
        <v>179</v>
      </c>
      <c r="Q150" s="7">
        <f t="shared" si="5"/>
        <v>1.5698324022346368</v>
      </c>
    </row>
    <row r="151" spans="1:17" x14ac:dyDescent="0.45">
      <c r="A151" t="s">
        <v>45</v>
      </c>
      <c r="B151" t="s">
        <v>28</v>
      </c>
      <c r="C151" s="26">
        <f>SUMIFS(INDEX(元データ_14項目!$D$2:$Q$1300,0,MATCH($B151,元データ_14項目!$D$1:$Q$1,0)),元データ_14項目!$A$2:$A$1300,$A151,元データ_14項目!$B$2:$B$1300,"本年",元データ_14項目!$C$2:$C$1300,C$5)</f>
        <v>224</v>
      </c>
      <c r="D151" s="26">
        <f>SUMIFS(INDEX(元データ_14項目!$D$2:$Q$1300,0,MATCH($B151,元データ_14項目!$D$1:$Q$1,0)),元データ_14項目!$A$2:$A$1300,$A151,元データ_14項目!$B$2:$B$1300,"本年",元データ_14項目!$C$2:$C$1300,D$5)</f>
        <v>235</v>
      </c>
      <c r="E151" s="26">
        <f>SUMIFS(INDEX(元データ_14項目!$D$2:$Q$1300,0,MATCH($B151,元データ_14項目!$D$1:$Q$1,0)),元データ_14項目!$A$2:$A$1300,$A151,元データ_14項目!$B$2:$B$1300,"本年",元データ_14項目!$C$2:$C$1300,E$5)</f>
        <v>286</v>
      </c>
      <c r="F151" s="26">
        <f>SUMIFS(INDEX(元データ_14項目!$D$2:$Q$1300,0,MATCH($B151,元データ_14項目!$D$1:$Q$1,0)),元データ_14項目!$A$2:$A$1300,$A151,元データ_14項目!$B$2:$B$1300,"本年",元データ_14項目!$C$2:$C$1300,F$5)</f>
        <v>244</v>
      </c>
      <c r="G151" s="26">
        <f>SUMIFS(INDEX(元データ_14項目!$D$2:$Q$1300,0,MATCH($B151,元データ_14項目!$D$1:$Q$1,0)),元データ_14項目!$A$2:$A$1300,$A151,元データ_14項目!$B$2:$B$1300,"本年",元データ_14項目!$C$2:$C$1300,G$5)</f>
        <v>171</v>
      </c>
      <c r="H151" s="26">
        <f>SUMIFS(INDEX(元データ_14項目!$D$2:$Q$1300,0,MATCH($B151,元データ_14項目!$D$1:$Q$1,0)),元データ_14項目!$A$2:$A$1300,$A151,元データ_14項目!$B$2:$B$1300,"本年",元データ_14項目!$C$2:$C$1300,H$5)</f>
        <v>124</v>
      </c>
      <c r="I151" s="26">
        <f>SUMIFS(INDEX(元データ_14項目!$D$2:$Q$1300,0,MATCH($B151,元データ_14項目!$D$1:$Q$1,0)),元データ_14項目!$A$2:$A$1300,$A151,元データ_14項目!$B$2:$B$1300,"本年",元データ_14項目!$C$2:$C$1300,I$5)</f>
        <v>118</v>
      </c>
      <c r="J151" s="26">
        <f>SUMIFS(INDEX(元データ_14項目!$D$2:$Q$1300,0,MATCH($B151,元データ_14項目!$D$1:$Q$1,0)),元データ_14項目!$A$2:$A$1300,$A151,元データ_14項目!$B$2:$B$1300,"本年",元データ_14項目!$C$2:$C$1300,J$5)</f>
        <v>160</v>
      </c>
      <c r="K151" s="26">
        <f>SUMIFS(INDEX(元データ_14項目!$D$2:$Q$1300,0,MATCH($B151,元データ_14項目!$D$1:$Q$1,0)),元データ_14項目!$A$2:$A$1300,$A151,元データ_14項目!$B$2:$B$1300,"本年",元データ_14項目!$C$2:$C$1300,K$5)</f>
        <v>184</v>
      </c>
      <c r="L151" s="26">
        <f>SUMIFS(INDEX(元データ_14項目!$D$2:$Q$1300,0,MATCH($B151,元データ_14項目!$D$1:$Q$1,0)),元データ_14項目!$A$2:$A$1300,$A151,元データ_14項目!$B$2:$B$1300,"本年",元データ_14項目!$C$2:$C$1300,L$5)</f>
        <v>140</v>
      </c>
      <c r="M151" s="26">
        <f>SUMIFS(INDEX(元データ_14項目!$D$2:$Q$1300,0,MATCH($B151,元データ_14項目!$D$1:$Q$1,0)),元データ_14項目!$A$2:$A$1300,$A151,元データ_14項目!$B$2:$B$1300,"本年",元データ_14項目!$C$2:$C$1300,M$5)</f>
        <v>191</v>
      </c>
      <c r="N151" s="26">
        <f>SUMIFS(INDEX(元データ_14項目!$D$2:$Q$1300,0,MATCH($B151,元データ_14項目!$D$1:$Q$1,0)),元データ_14項目!$A$2:$A$1300,$A151,元データ_14項目!$B$2:$B$1300,"本年",元データ_14項目!$C$2:$C$1300,N$5)</f>
        <v>173</v>
      </c>
      <c r="O151" s="26">
        <f t="shared" si="4"/>
        <v>2250</v>
      </c>
      <c r="P151" s="26">
        <f>SUMIFS(INDEX(元データ_14項目!$D$2:$Q$1300,0,MATCH($B151,元データ_14項目!$D$1:$Q$1,0)),元データ_14項目!$A$2:$A$1300,$A151,元データ_14項目!$B$2:$B$1300,"前年")</f>
        <v>2410</v>
      </c>
      <c r="Q151" s="7">
        <f t="shared" si="5"/>
        <v>0.93360995850622408</v>
      </c>
    </row>
    <row r="152" spans="1:17" x14ac:dyDescent="0.45">
      <c r="A152" t="s">
        <v>45</v>
      </c>
      <c r="B152" t="s">
        <v>92</v>
      </c>
      <c r="C152" s="26">
        <f>SUMIFS(INDEX(元データ_14項目!$D$2:$Q$1300,0,MATCH($B152,元データ_14項目!$D$1:$Q$1,0)),元データ_14項目!$A$2:$A$1300,$A152,元データ_14項目!$B$2:$B$1300,"本年",元データ_14項目!$C$2:$C$1300,C$5)</f>
        <v>10</v>
      </c>
      <c r="D152" s="26">
        <f>SUMIFS(INDEX(元データ_14項目!$D$2:$Q$1300,0,MATCH($B152,元データ_14項目!$D$1:$Q$1,0)),元データ_14項目!$A$2:$A$1300,$A152,元データ_14項目!$B$2:$B$1300,"本年",元データ_14項目!$C$2:$C$1300,D$5)</f>
        <v>8</v>
      </c>
      <c r="E152" s="26">
        <f>SUMIFS(INDEX(元データ_14項目!$D$2:$Q$1300,0,MATCH($B152,元データ_14項目!$D$1:$Q$1,0)),元データ_14項目!$A$2:$A$1300,$A152,元データ_14項目!$B$2:$B$1300,"本年",元データ_14項目!$C$2:$C$1300,E$5)</f>
        <v>19</v>
      </c>
      <c r="F152" s="26">
        <f>SUMIFS(INDEX(元データ_14項目!$D$2:$Q$1300,0,MATCH($B152,元データ_14項目!$D$1:$Q$1,0)),元データ_14項目!$A$2:$A$1300,$A152,元データ_14項目!$B$2:$B$1300,"本年",元データ_14項目!$C$2:$C$1300,F$5)</f>
        <v>25</v>
      </c>
      <c r="G152" s="26">
        <f>SUMIFS(INDEX(元データ_14項目!$D$2:$Q$1300,0,MATCH($B152,元データ_14項目!$D$1:$Q$1,0)),元データ_14項目!$A$2:$A$1300,$A152,元データ_14項目!$B$2:$B$1300,"本年",元データ_14項目!$C$2:$C$1300,G$5)</f>
        <v>11</v>
      </c>
      <c r="H152" s="26">
        <f>SUMIFS(INDEX(元データ_14項目!$D$2:$Q$1300,0,MATCH($B152,元データ_14項目!$D$1:$Q$1,0)),元データ_14項目!$A$2:$A$1300,$A152,元データ_14項目!$B$2:$B$1300,"本年",元データ_14項目!$C$2:$C$1300,H$5)</f>
        <v>3</v>
      </c>
      <c r="I152" s="26">
        <f>SUMIFS(INDEX(元データ_14項目!$D$2:$Q$1300,0,MATCH($B152,元データ_14項目!$D$1:$Q$1,0)),元データ_14項目!$A$2:$A$1300,$A152,元データ_14項目!$B$2:$B$1300,"本年",元データ_14項目!$C$2:$C$1300,I$5)</f>
        <v>6</v>
      </c>
      <c r="J152" s="26">
        <f>SUMIFS(INDEX(元データ_14項目!$D$2:$Q$1300,0,MATCH($B152,元データ_14項目!$D$1:$Q$1,0)),元データ_14項目!$A$2:$A$1300,$A152,元データ_14項目!$B$2:$B$1300,"本年",元データ_14項目!$C$2:$C$1300,J$5)</f>
        <v>13</v>
      </c>
      <c r="K152" s="26">
        <f>SUMIFS(INDEX(元データ_14項目!$D$2:$Q$1300,0,MATCH($B152,元データ_14項目!$D$1:$Q$1,0)),元データ_14項目!$A$2:$A$1300,$A152,元データ_14項目!$B$2:$B$1300,"本年",元データ_14項目!$C$2:$C$1300,K$5)</f>
        <v>33</v>
      </c>
      <c r="L152" s="26">
        <f>SUMIFS(INDEX(元データ_14項目!$D$2:$Q$1300,0,MATCH($B152,元データ_14項目!$D$1:$Q$1,0)),元データ_14項目!$A$2:$A$1300,$A152,元データ_14項目!$B$2:$B$1300,"本年",元データ_14項目!$C$2:$C$1300,L$5)</f>
        <v>11</v>
      </c>
      <c r="M152" s="26">
        <f>SUMIFS(INDEX(元データ_14項目!$D$2:$Q$1300,0,MATCH($B152,元データ_14項目!$D$1:$Q$1,0)),元データ_14項目!$A$2:$A$1300,$A152,元データ_14項目!$B$2:$B$1300,"本年",元データ_14項目!$C$2:$C$1300,M$5)</f>
        <v>9</v>
      </c>
      <c r="N152" s="26">
        <f>SUMIFS(INDEX(元データ_14項目!$D$2:$Q$1300,0,MATCH($B152,元データ_14項目!$D$1:$Q$1,0)),元データ_14項目!$A$2:$A$1300,$A152,元データ_14項目!$B$2:$B$1300,"本年",元データ_14項目!$C$2:$C$1300,N$5)</f>
        <v>20</v>
      </c>
      <c r="O152" s="26">
        <f t="shared" si="4"/>
        <v>168</v>
      </c>
      <c r="P152" s="26">
        <f>SUMIFS(INDEX(元データ_14項目!$D$2:$Q$1300,0,MATCH($B152,元データ_14項目!$D$1:$Q$1,0)),元データ_14項目!$A$2:$A$1300,$A152,元データ_14項目!$B$2:$B$1300,"前年")</f>
        <v>216</v>
      </c>
      <c r="Q152" s="7">
        <f t="shared" si="5"/>
        <v>0.77777777777777779</v>
      </c>
    </row>
    <row r="153" spans="1:17" x14ac:dyDescent="0.45">
      <c r="A153" t="s">
        <v>45</v>
      </c>
      <c r="B153" t="s">
        <v>93</v>
      </c>
      <c r="C153" s="26">
        <f>SUMIFS(INDEX(元データ_14項目!$D$2:$Q$1300,0,MATCH($B153,元データ_14項目!$D$1:$Q$1,0)),元データ_14項目!$A$2:$A$1300,$A153,元データ_14項目!$B$2:$B$1300,"本年",元データ_14項目!$C$2:$C$1300,C$5)</f>
        <v>14</v>
      </c>
      <c r="D153" s="26">
        <f>SUMIFS(INDEX(元データ_14項目!$D$2:$Q$1300,0,MATCH($B153,元データ_14項目!$D$1:$Q$1,0)),元データ_14項目!$A$2:$A$1300,$A153,元データ_14項目!$B$2:$B$1300,"本年",元データ_14項目!$C$2:$C$1300,D$5)</f>
        <v>27</v>
      </c>
      <c r="E153" s="26">
        <f>SUMIFS(INDEX(元データ_14項目!$D$2:$Q$1300,0,MATCH($B153,元データ_14項目!$D$1:$Q$1,0)),元データ_14項目!$A$2:$A$1300,$A153,元データ_14項目!$B$2:$B$1300,"本年",元データ_14項目!$C$2:$C$1300,E$5)</f>
        <v>31</v>
      </c>
      <c r="F153" s="26">
        <f>SUMIFS(INDEX(元データ_14項目!$D$2:$Q$1300,0,MATCH($B153,元データ_14項目!$D$1:$Q$1,0)),元データ_14項目!$A$2:$A$1300,$A153,元データ_14項目!$B$2:$B$1300,"本年",元データ_14項目!$C$2:$C$1300,F$5)</f>
        <v>77</v>
      </c>
      <c r="G153" s="26">
        <f>SUMIFS(INDEX(元データ_14項目!$D$2:$Q$1300,0,MATCH($B153,元データ_14項目!$D$1:$Q$1,0)),元データ_14項目!$A$2:$A$1300,$A153,元データ_14項目!$B$2:$B$1300,"本年",元データ_14項目!$C$2:$C$1300,G$5)</f>
        <v>64</v>
      </c>
      <c r="H153" s="26">
        <f>SUMIFS(INDEX(元データ_14項目!$D$2:$Q$1300,0,MATCH($B153,元データ_14項目!$D$1:$Q$1,0)),元データ_14項目!$A$2:$A$1300,$A153,元データ_14項目!$B$2:$B$1300,"本年",元データ_14項目!$C$2:$C$1300,H$5)</f>
        <v>78</v>
      </c>
      <c r="I153" s="26">
        <f>SUMIFS(INDEX(元データ_14項目!$D$2:$Q$1300,0,MATCH($B153,元データ_14項目!$D$1:$Q$1,0)),元データ_14項目!$A$2:$A$1300,$A153,元データ_14項目!$B$2:$B$1300,"本年",元データ_14項目!$C$2:$C$1300,I$5)</f>
        <v>40</v>
      </c>
      <c r="J153" s="26">
        <f>SUMIFS(INDEX(元データ_14項目!$D$2:$Q$1300,0,MATCH($B153,元データ_14項目!$D$1:$Q$1,0)),元データ_14項目!$A$2:$A$1300,$A153,元データ_14項目!$B$2:$B$1300,"本年",元データ_14項目!$C$2:$C$1300,J$5)</f>
        <v>73</v>
      </c>
      <c r="K153" s="26">
        <f>SUMIFS(INDEX(元データ_14項目!$D$2:$Q$1300,0,MATCH($B153,元データ_14項目!$D$1:$Q$1,0)),元データ_14項目!$A$2:$A$1300,$A153,元データ_14項目!$B$2:$B$1300,"本年",元データ_14項目!$C$2:$C$1300,K$5)</f>
        <v>267</v>
      </c>
      <c r="L153" s="26">
        <f>SUMIFS(INDEX(元データ_14項目!$D$2:$Q$1300,0,MATCH($B153,元データ_14項目!$D$1:$Q$1,0)),元データ_14項目!$A$2:$A$1300,$A153,元データ_14項目!$B$2:$B$1300,"本年",元データ_14項目!$C$2:$C$1300,L$5)</f>
        <v>82</v>
      </c>
      <c r="M153" s="26">
        <f>SUMIFS(INDEX(元データ_14項目!$D$2:$Q$1300,0,MATCH($B153,元データ_14項目!$D$1:$Q$1,0)),元データ_14項目!$A$2:$A$1300,$A153,元データ_14項目!$B$2:$B$1300,"本年",元データ_14項目!$C$2:$C$1300,M$5)</f>
        <v>72</v>
      </c>
      <c r="N153" s="26">
        <f>SUMIFS(INDEX(元データ_14項目!$D$2:$Q$1300,0,MATCH($B153,元データ_14項目!$D$1:$Q$1,0)),元データ_14項目!$A$2:$A$1300,$A153,元データ_14項目!$B$2:$B$1300,"本年",元データ_14項目!$C$2:$C$1300,N$5)</f>
        <v>46</v>
      </c>
      <c r="O153" s="26">
        <f t="shared" si="4"/>
        <v>871</v>
      </c>
      <c r="P153" s="26">
        <f>SUMIFS(INDEX(元データ_14項目!$D$2:$Q$1300,0,MATCH($B153,元データ_14項目!$D$1:$Q$1,0)),元データ_14項目!$A$2:$A$1300,$A153,元データ_14項目!$B$2:$B$1300,"前年")</f>
        <v>949</v>
      </c>
      <c r="Q153" s="7">
        <f t="shared" si="5"/>
        <v>0.9178082191780822</v>
      </c>
    </row>
    <row r="154" spans="1:17" x14ac:dyDescent="0.45">
      <c r="A154" t="s">
        <v>45</v>
      </c>
      <c r="B154" t="s">
        <v>94</v>
      </c>
      <c r="C154" s="26">
        <f>SUMIFS(INDEX(元データ_14項目!$D$2:$Q$1300,0,MATCH($B154,元データ_14項目!$D$1:$Q$1,0)),元データ_14項目!$A$2:$A$1300,$A154,元データ_14項目!$B$2:$B$1300,"本年",元データ_14項目!$C$2:$C$1300,C$5)</f>
        <v>9</v>
      </c>
      <c r="D154" s="26">
        <f>SUMIFS(INDEX(元データ_14項目!$D$2:$Q$1300,0,MATCH($B154,元データ_14項目!$D$1:$Q$1,0)),元データ_14項目!$A$2:$A$1300,$A154,元データ_14項目!$B$2:$B$1300,"本年",元データ_14項目!$C$2:$C$1300,D$5)</f>
        <v>10</v>
      </c>
      <c r="E154" s="26">
        <f>SUMIFS(INDEX(元データ_14項目!$D$2:$Q$1300,0,MATCH($B154,元データ_14項目!$D$1:$Q$1,0)),元データ_14項目!$A$2:$A$1300,$A154,元データ_14項目!$B$2:$B$1300,"本年",元データ_14項目!$C$2:$C$1300,E$5)</f>
        <v>22</v>
      </c>
      <c r="F154" s="26">
        <f>SUMIFS(INDEX(元データ_14項目!$D$2:$Q$1300,0,MATCH($B154,元データ_14項目!$D$1:$Q$1,0)),元データ_14項目!$A$2:$A$1300,$A154,元データ_14項目!$B$2:$B$1300,"本年",元データ_14項目!$C$2:$C$1300,F$5)</f>
        <v>31</v>
      </c>
      <c r="G154" s="26">
        <f>SUMIFS(INDEX(元データ_14項目!$D$2:$Q$1300,0,MATCH($B154,元データ_14項目!$D$1:$Q$1,0)),元データ_14項目!$A$2:$A$1300,$A154,元データ_14項目!$B$2:$B$1300,"本年",元データ_14項目!$C$2:$C$1300,G$5)</f>
        <v>24</v>
      </c>
      <c r="H154" s="26">
        <f>SUMIFS(INDEX(元データ_14項目!$D$2:$Q$1300,0,MATCH($B154,元データ_14項目!$D$1:$Q$1,0)),元データ_14項目!$A$2:$A$1300,$A154,元データ_14項目!$B$2:$B$1300,"本年",元データ_14項目!$C$2:$C$1300,H$5)</f>
        <v>15</v>
      </c>
      <c r="I154" s="26">
        <f>SUMIFS(INDEX(元データ_14項目!$D$2:$Q$1300,0,MATCH($B154,元データ_14項目!$D$1:$Q$1,0)),元データ_14項目!$A$2:$A$1300,$A154,元データ_14項目!$B$2:$B$1300,"本年",元データ_14項目!$C$2:$C$1300,I$5)</f>
        <v>18</v>
      </c>
      <c r="J154" s="26">
        <f>SUMIFS(INDEX(元データ_14項目!$D$2:$Q$1300,0,MATCH($B154,元データ_14項目!$D$1:$Q$1,0)),元データ_14項目!$A$2:$A$1300,$A154,元データ_14項目!$B$2:$B$1300,"本年",元データ_14項目!$C$2:$C$1300,J$5)</f>
        <v>27</v>
      </c>
      <c r="K154" s="26">
        <f>SUMIFS(INDEX(元データ_14項目!$D$2:$Q$1300,0,MATCH($B154,元データ_14項目!$D$1:$Q$1,0)),元データ_14項目!$A$2:$A$1300,$A154,元データ_14項目!$B$2:$B$1300,"本年",元データ_14項目!$C$2:$C$1300,K$5)</f>
        <v>93</v>
      </c>
      <c r="L154" s="26">
        <f>SUMIFS(INDEX(元データ_14項目!$D$2:$Q$1300,0,MATCH($B154,元データ_14項目!$D$1:$Q$1,0)),元データ_14項目!$A$2:$A$1300,$A154,元データ_14項目!$B$2:$B$1300,"本年",元データ_14項目!$C$2:$C$1300,L$5)</f>
        <v>31</v>
      </c>
      <c r="M154" s="26">
        <f>SUMIFS(INDEX(元データ_14項目!$D$2:$Q$1300,0,MATCH($B154,元データ_14項目!$D$1:$Q$1,0)),元データ_14項目!$A$2:$A$1300,$A154,元データ_14項目!$B$2:$B$1300,"本年",元データ_14項目!$C$2:$C$1300,M$5)</f>
        <v>44</v>
      </c>
      <c r="N154" s="26">
        <f>SUMIFS(INDEX(元データ_14項目!$D$2:$Q$1300,0,MATCH($B154,元データ_14項目!$D$1:$Q$1,0)),元データ_14項目!$A$2:$A$1300,$A154,元データ_14項目!$B$2:$B$1300,"本年",元データ_14項目!$C$2:$C$1300,N$5)</f>
        <v>34</v>
      </c>
      <c r="O154" s="26">
        <f t="shared" si="4"/>
        <v>358</v>
      </c>
      <c r="P154" s="26">
        <f>SUMIFS(INDEX(元データ_14項目!$D$2:$Q$1300,0,MATCH($B154,元データ_14項目!$D$1:$Q$1,0)),元データ_14項目!$A$2:$A$1300,$A154,元データ_14項目!$B$2:$B$1300,"前年")</f>
        <v>331</v>
      </c>
      <c r="Q154" s="7">
        <f t="shared" si="5"/>
        <v>1.0815709969788521</v>
      </c>
    </row>
    <row r="155" spans="1:17" x14ac:dyDescent="0.45">
      <c r="A155" t="s">
        <v>45</v>
      </c>
      <c r="B155" t="s">
        <v>95</v>
      </c>
      <c r="C155" s="26">
        <f>SUMIFS(INDEX(元データ_14項目!$D$2:$Q$1300,0,MATCH($B155,元データ_14項目!$D$1:$Q$1,0)),元データ_14項目!$A$2:$A$1300,$A155,元データ_14項目!$B$2:$B$1300,"本年",元データ_14項目!$C$2:$C$1300,C$5)</f>
        <v>18</v>
      </c>
      <c r="D155" s="26">
        <f>SUMIFS(INDEX(元データ_14項目!$D$2:$Q$1300,0,MATCH($B155,元データ_14項目!$D$1:$Q$1,0)),元データ_14項目!$A$2:$A$1300,$A155,元データ_14項目!$B$2:$B$1300,"本年",元データ_14項目!$C$2:$C$1300,D$5)</f>
        <v>23</v>
      </c>
      <c r="E155" s="26">
        <f>SUMIFS(INDEX(元データ_14項目!$D$2:$Q$1300,0,MATCH($B155,元データ_14項目!$D$1:$Q$1,0)),元データ_14項目!$A$2:$A$1300,$A155,元データ_14項目!$B$2:$B$1300,"本年",元データ_14項目!$C$2:$C$1300,E$5)</f>
        <v>39</v>
      </c>
      <c r="F155" s="26">
        <f>SUMIFS(INDEX(元データ_14項目!$D$2:$Q$1300,0,MATCH($B155,元データ_14項目!$D$1:$Q$1,0)),元データ_14項目!$A$2:$A$1300,$A155,元データ_14項目!$B$2:$B$1300,"本年",元データ_14項目!$C$2:$C$1300,F$5)</f>
        <v>31</v>
      </c>
      <c r="G155" s="26">
        <f>SUMIFS(INDEX(元データ_14項目!$D$2:$Q$1300,0,MATCH($B155,元データ_14項目!$D$1:$Q$1,0)),元データ_14項目!$A$2:$A$1300,$A155,元データ_14項目!$B$2:$B$1300,"本年",元データ_14項目!$C$2:$C$1300,G$5)</f>
        <v>21</v>
      </c>
      <c r="H155" s="26">
        <f>SUMIFS(INDEX(元データ_14項目!$D$2:$Q$1300,0,MATCH($B155,元データ_14項目!$D$1:$Q$1,0)),元データ_14項目!$A$2:$A$1300,$A155,元データ_14項目!$B$2:$B$1300,"本年",元データ_14項目!$C$2:$C$1300,H$5)</f>
        <v>12</v>
      </c>
      <c r="I155" s="26">
        <f>SUMIFS(INDEX(元データ_14項目!$D$2:$Q$1300,0,MATCH($B155,元データ_14項目!$D$1:$Q$1,0)),元データ_14項目!$A$2:$A$1300,$A155,元データ_14項目!$B$2:$B$1300,"本年",元データ_14項目!$C$2:$C$1300,I$5)</f>
        <v>15</v>
      </c>
      <c r="J155" s="26">
        <f>SUMIFS(INDEX(元データ_14項目!$D$2:$Q$1300,0,MATCH($B155,元データ_14項目!$D$1:$Q$1,0)),元データ_14項目!$A$2:$A$1300,$A155,元データ_14項目!$B$2:$B$1300,"本年",元データ_14項目!$C$2:$C$1300,J$5)</f>
        <v>25</v>
      </c>
      <c r="K155" s="26">
        <f>SUMIFS(INDEX(元データ_14項目!$D$2:$Q$1300,0,MATCH($B155,元データ_14項目!$D$1:$Q$1,0)),元データ_14項目!$A$2:$A$1300,$A155,元データ_14項目!$B$2:$B$1300,"本年",元データ_14項目!$C$2:$C$1300,K$5)</f>
        <v>53</v>
      </c>
      <c r="L155" s="26">
        <f>SUMIFS(INDEX(元データ_14項目!$D$2:$Q$1300,0,MATCH($B155,元データ_14項目!$D$1:$Q$1,0)),元データ_14項目!$A$2:$A$1300,$A155,元データ_14項目!$B$2:$B$1300,"本年",元データ_14項目!$C$2:$C$1300,L$5)</f>
        <v>22</v>
      </c>
      <c r="M155" s="26">
        <f>SUMIFS(INDEX(元データ_14項目!$D$2:$Q$1300,0,MATCH($B155,元データ_14項目!$D$1:$Q$1,0)),元データ_14項目!$A$2:$A$1300,$A155,元データ_14項目!$B$2:$B$1300,"本年",元データ_14項目!$C$2:$C$1300,M$5)</f>
        <v>12</v>
      </c>
      <c r="N155" s="26">
        <f>SUMIFS(INDEX(元データ_14項目!$D$2:$Q$1300,0,MATCH($B155,元データ_14項目!$D$1:$Q$1,0)),元データ_14項目!$A$2:$A$1300,$A155,元データ_14項目!$B$2:$B$1300,"本年",元データ_14項目!$C$2:$C$1300,N$5)</f>
        <v>25</v>
      </c>
      <c r="O155" s="26">
        <f t="shared" si="4"/>
        <v>296</v>
      </c>
      <c r="P155" s="26">
        <f>SUMIFS(INDEX(元データ_14項目!$D$2:$Q$1300,0,MATCH($B155,元データ_14項目!$D$1:$Q$1,0)),元データ_14項目!$A$2:$A$1300,$A155,元データ_14項目!$B$2:$B$1300,"前年")</f>
        <v>409</v>
      </c>
      <c r="Q155" s="7">
        <f t="shared" si="5"/>
        <v>0.72371638141809291</v>
      </c>
    </row>
    <row r="156" spans="1:17" x14ac:dyDescent="0.45">
      <c r="A156" t="s">
        <v>45</v>
      </c>
      <c r="B156" t="s">
        <v>96</v>
      </c>
      <c r="C156" s="26">
        <f>SUMIFS(INDEX(元データ_14項目!$D$2:$Q$1300,0,MATCH($B156,元データ_14項目!$D$1:$Q$1,0)),元データ_14項目!$A$2:$A$1300,$A156,元データ_14項目!$B$2:$B$1300,"本年",元データ_14項目!$C$2:$C$1300,C$5)</f>
        <v>13</v>
      </c>
      <c r="D156" s="26">
        <f>SUMIFS(INDEX(元データ_14項目!$D$2:$Q$1300,0,MATCH($B156,元データ_14項目!$D$1:$Q$1,0)),元データ_14項目!$A$2:$A$1300,$A156,元データ_14項目!$B$2:$B$1300,"本年",元データ_14項目!$C$2:$C$1300,D$5)</f>
        <v>28</v>
      </c>
      <c r="E156" s="26">
        <f>SUMIFS(INDEX(元データ_14項目!$D$2:$Q$1300,0,MATCH($B156,元データ_14項目!$D$1:$Q$1,0)),元データ_14項目!$A$2:$A$1300,$A156,元データ_14項目!$B$2:$B$1300,"本年",元データ_14項目!$C$2:$C$1300,E$5)</f>
        <v>37</v>
      </c>
      <c r="F156" s="26">
        <f>SUMIFS(INDEX(元データ_14項目!$D$2:$Q$1300,0,MATCH($B156,元データ_14項目!$D$1:$Q$1,0)),元データ_14項目!$A$2:$A$1300,$A156,元データ_14項目!$B$2:$B$1300,"本年",元データ_14項目!$C$2:$C$1300,F$5)</f>
        <v>57</v>
      </c>
      <c r="G156" s="26">
        <f>SUMIFS(INDEX(元データ_14項目!$D$2:$Q$1300,0,MATCH($B156,元データ_14項目!$D$1:$Q$1,0)),元データ_14項目!$A$2:$A$1300,$A156,元データ_14項目!$B$2:$B$1300,"本年",元データ_14項目!$C$2:$C$1300,G$5)</f>
        <v>57</v>
      </c>
      <c r="H156" s="26">
        <f>SUMIFS(INDEX(元データ_14項目!$D$2:$Q$1300,0,MATCH($B156,元データ_14項目!$D$1:$Q$1,0)),元データ_14項目!$A$2:$A$1300,$A156,元データ_14項目!$B$2:$B$1300,"本年",元データ_14項目!$C$2:$C$1300,H$5)</f>
        <v>40</v>
      </c>
      <c r="I156" s="26">
        <f>SUMIFS(INDEX(元データ_14項目!$D$2:$Q$1300,0,MATCH($B156,元データ_14項目!$D$1:$Q$1,0)),元データ_14項目!$A$2:$A$1300,$A156,元データ_14項目!$B$2:$B$1300,"本年",元データ_14項目!$C$2:$C$1300,I$5)</f>
        <v>53</v>
      </c>
      <c r="J156" s="26">
        <f>SUMIFS(INDEX(元データ_14項目!$D$2:$Q$1300,0,MATCH($B156,元データ_14項目!$D$1:$Q$1,0)),元データ_14項目!$A$2:$A$1300,$A156,元データ_14項目!$B$2:$B$1300,"本年",元データ_14項目!$C$2:$C$1300,J$5)</f>
        <v>78</v>
      </c>
      <c r="K156" s="26">
        <f>SUMIFS(INDEX(元データ_14項目!$D$2:$Q$1300,0,MATCH($B156,元データ_14項目!$D$1:$Q$1,0)),元データ_14項目!$A$2:$A$1300,$A156,元データ_14項目!$B$2:$B$1300,"本年",元データ_14項目!$C$2:$C$1300,K$5)</f>
        <v>322</v>
      </c>
      <c r="L156" s="26">
        <f>SUMIFS(INDEX(元データ_14項目!$D$2:$Q$1300,0,MATCH($B156,元データ_14項目!$D$1:$Q$1,0)),元データ_14項目!$A$2:$A$1300,$A156,元データ_14項目!$B$2:$B$1300,"本年",元データ_14項目!$C$2:$C$1300,L$5)</f>
        <v>145</v>
      </c>
      <c r="M156" s="26">
        <f>SUMIFS(INDEX(元データ_14項目!$D$2:$Q$1300,0,MATCH($B156,元データ_14項目!$D$1:$Q$1,0)),元データ_14項目!$A$2:$A$1300,$A156,元データ_14項目!$B$2:$B$1300,"本年",元データ_14項目!$C$2:$C$1300,M$5)</f>
        <v>70</v>
      </c>
      <c r="N156" s="26">
        <f>SUMIFS(INDEX(元データ_14項目!$D$2:$Q$1300,0,MATCH($B156,元データ_14項目!$D$1:$Q$1,0)),元データ_14項目!$A$2:$A$1300,$A156,元データ_14項目!$B$2:$B$1300,"本年",元データ_14項目!$C$2:$C$1300,N$5)</f>
        <v>30</v>
      </c>
      <c r="O156" s="26">
        <f t="shared" si="4"/>
        <v>930</v>
      </c>
      <c r="P156" s="26">
        <f>SUMIFS(INDEX(元データ_14項目!$D$2:$Q$1300,0,MATCH($B156,元データ_14項目!$D$1:$Q$1,0)),元データ_14項目!$A$2:$A$1300,$A156,元データ_14項目!$B$2:$B$1300,"前年")</f>
        <v>957</v>
      </c>
      <c r="Q156" s="7">
        <f t="shared" si="5"/>
        <v>0.97178683385579934</v>
      </c>
    </row>
    <row r="157" spans="1:17" x14ac:dyDescent="0.45">
      <c r="A157" t="s">
        <v>45</v>
      </c>
      <c r="B157" t="s">
        <v>97</v>
      </c>
      <c r="C157" s="26">
        <f>SUMIFS(INDEX(元データ_14項目!$D$2:$Q$1300,0,MATCH($B157,元データ_14項目!$D$1:$Q$1,0)),元データ_14項目!$A$2:$A$1300,$A157,元データ_14項目!$B$2:$B$1300,"本年",元データ_14項目!$C$2:$C$1300,C$5)</f>
        <v>19</v>
      </c>
      <c r="D157" s="26">
        <f>SUMIFS(INDEX(元データ_14項目!$D$2:$Q$1300,0,MATCH($B157,元データ_14項目!$D$1:$Q$1,0)),元データ_14項目!$A$2:$A$1300,$A157,元データ_14項目!$B$2:$B$1300,"本年",元データ_14項目!$C$2:$C$1300,D$5)</f>
        <v>31</v>
      </c>
      <c r="E157" s="26">
        <f>SUMIFS(INDEX(元データ_14項目!$D$2:$Q$1300,0,MATCH($B157,元データ_14項目!$D$1:$Q$1,0)),元データ_14項目!$A$2:$A$1300,$A157,元データ_14項目!$B$2:$B$1300,"本年",元データ_14項目!$C$2:$C$1300,E$5)</f>
        <v>46</v>
      </c>
      <c r="F157" s="26">
        <f>SUMIFS(INDEX(元データ_14項目!$D$2:$Q$1300,0,MATCH($B157,元データ_14項目!$D$1:$Q$1,0)),元データ_14項目!$A$2:$A$1300,$A157,元データ_14項目!$B$2:$B$1300,"本年",元データ_14項目!$C$2:$C$1300,F$5)</f>
        <v>73</v>
      </c>
      <c r="G157" s="26">
        <f>SUMIFS(INDEX(元データ_14項目!$D$2:$Q$1300,0,MATCH($B157,元データ_14項目!$D$1:$Q$1,0)),元データ_14項目!$A$2:$A$1300,$A157,元データ_14項目!$B$2:$B$1300,"本年",元データ_14項目!$C$2:$C$1300,G$5)</f>
        <v>50</v>
      </c>
      <c r="H157" s="26">
        <f>SUMIFS(INDEX(元データ_14項目!$D$2:$Q$1300,0,MATCH($B157,元データ_14項目!$D$1:$Q$1,0)),元データ_14項目!$A$2:$A$1300,$A157,元データ_14項目!$B$2:$B$1300,"本年",元データ_14項目!$C$2:$C$1300,H$5)</f>
        <v>39</v>
      </c>
      <c r="I157" s="26">
        <f>SUMIFS(INDEX(元データ_14項目!$D$2:$Q$1300,0,MATCH($B157,元データ_14項目!$D$1:$Q$1,0)),元データ_14項目!$A$2:$A$1300,$A157,元データ_14項目!$B$2:$B$1300,"本年",元データ_14項目!$C$2:$C$1300,I$5)</f>
        <v>53</v>
      </c>
      <c r="J157" s="26">
        <f>SUMIFS(INDEX(元データ_14項目!$D$2:$Q$1300,0,MATCH($B157,元データ_14項目!$D$1:$Q$1,0)),元データ_14項目!$A$2:$A$1300,$A157,元データ_14項目!$B$2:$B$1300,"本年",元データ_14項目!$C$2:$C$1300,J$5)</f>
        <v>53</v>
      </c>
      <c r="K157" s="26">
        <f>SUMIFS(INDEX(元データ_14項目!$D$2:$Q$1300,0,MATCH($B157,元データ_14項目!$D$1:$Q$1,0)),元データ_14項目!$A$2:$A$1300,$A157,元データ_14項目!$B$2:$B$1300,"本年",元データ_14項目!$C$2:$C$1300,K$5)</f>
        <v>166</v>
      </c>
      <c r="L157" s="26">
        <f>SUMIFS(INDEX(元データ_14項目!$D$2:$Q$1300,0,MATCH($B157,元データ_14項目!$D$1:$Q$1,0)),元データ_14項目!$A$2:$A$1300,$A157,元データ_14項目!$B$2:$B$1300,"本年",元データ_14項目!$C$2:$C$1300,L$5)</f>
        <v>99</v>
      </c>
      <c r="M157" s="26">
        <f>SUMIFS(INDEX(元データ_14項目!$D$2:$Q$1300,0,MATCH($B157,元データ_14項目!$D$1:$Q$1,0)),元データ_14項目!$A$2:$A$1300,$A157,元データ_14項目!$B$2:$B$1300,"本年",元データ_14項目!$C$2:$C$1300,M$5)</f>
        <v>60</v>
      </c>
      <c r="N157" s="26">
        <f>SUMIFS(INDEX(元データ_14項目!$D$2:$Q$1300,0,MATCH($B157,元データ_14項目!$D$1:$Q$1,0)),元データ_14項目!$A$2:$A$1300,$A157,元データ_14項目!$B$2:$B$1300,"本年",元データ_14項目!$C$2:$C$1300,N$5)</f>
        <v>50</v>
      </c>
      <c r="O157" s="26">
        <f t="shared" si="4"/>
        <v>739</v>
      </c>
      <c r="P157" s="26">
        <f>SUMIFS(INDEX(元データ_14項目!$D$2:$Q$1300,0,MATCH($B157,元データ_14項目!$D$1:$Q$1,0)),元データ_14項目!$A$2:$A$1300,$A157,元データ_14項目!$B$2:$B$1300,"前年")</f>
        <v>813</v>
      </c>
      <c r="Q157" s="7">
        <f t="shared" si="5"/>
        <v>0.90897908979089792</v>
      </c>
    </row>
    <row r="158" spans="1:17" x14ac:dyDescent="0.45">
      <c r="A158" t="s">
        <v>45</v>
      </c>
      <c r="B158" t="s">
        <v>98</v>
      </c>
      <c r="C158" s="26">
        <f>SUMIFS(INDEX(元データ_14項目!$D$2:$Q$1300,0,MATCH($B158,元データ_14項目!$D$1:$Q$1,0)),元データ_14項目!$A$2:$A$1300,$A158,元データ_14項目!$B$2:$B$1300,"本年",元データ_14項目!$C$2:$C$1300,C$5)</f>
        <v>6</v>
      </c>
      <c r="D158" s="26">
        <f>SUMIFS(INDEX(元データ_14項目!$D$2:$Q$1300,0,MATCH($B158,元データ_14項目!$D$1:$Q$1,0)),元データ_14項目!$A$2:$A$1300,$A158,元データ_14項目!$B$2:$B$1300,"本年",元データ_14項目!$C$2:$C$1300,D$5)</f>
        <v>6</v>
      </c>
      <c r="E158" s="26">
        <f>SUMIFS(INDEX(元データ_14項目!$D$2:$Q$1300,0,MATCH($B158,元データ_14項目!$D$1:$Q$1,0)),元データ_14項目!$A$2:$A$1300,$A158,元データ_14項目!$B$2:$B$1300,"本年",元データ_14項目!$C$2:$C$1300,E$5)</f>
        <v>29</v>
      </c>
      <c r="F158" s="26">
        <f>SUMIFS(INDEX(元データ_14項目!$D$2:$Q$1300,0,MATCH($B158,元データ_14項目!$D$1:$Q$1,0)),元データ_14項目!$A$2:$A$1300,$A158,元データ_14項目!$B$2:$B$1300,"本年",元データ_14項目!$C$2:$C$1300,F$5)</f>
        <v>23</v>
      </c>
      <c r="G158" s="26">
        <f>SUMIFS(INDEX(元データ_14項目!$D$2:$Q$1300,0,MATCH($B158,元データ_14項目!$D$1:$Q$1,0)),元データ_14項目!$A$2:$A$1300,$A158,元データ_14項目!$B$2:$B$1300,"本年",元データ_14項目!$C$2:$C$1300,G$5)</f>
        <v>17</v>
      </c>
      <c r="H158" s="26">
        <f>SUMIFS(INDEX(元データ_14項目!$D$2:$Q$1300,0,MATCH($B158,元データ_14項目!$D$1:$Q$1,0)),元データ_14項目!$A$2:$A$1300,$A158,元データ_14項目!$B$2:$B$1300,"本年",元データ_14項目!$C$2:$C$1300,H$5)</f>
        <v>16</v>
      </c>
      <c r="I158" s="26">
        <f>SUMIFS(INDEX(元データ_14項目!$D$2:$Q$1300,0,MATCH($B158,元データ_14項目!$D$1:$Q$1,0)),元データ_14項目!$A$2:$A$1300,$A158,元データ_14項目!$B$2:$B$1300,"本年",元データ_14項目!$C$2:$C$1300,I$5)</f>
        <v>11</v>
      </c>
      <c r="J158" s="26">
        <f>SUMIFS(INDEX(元データ_14項目!$D$2:$Q$1300,0,MATCH($B158,元データ_14項目!$D$1:$Q$1,0)),元データ_14項目!$A$2:$A$1300,$A158,元データ_14項目!$B$2:$B$1300,"本年",元データ_14項目!$C$2:$C$1300,J$5)</f>
        <v>68</v>
      </c>
      <c r="K158" s="26">
        <f>SUMIFS(INDEX(元データ_14項目!$D$2:$Q$1300,0,MATCH($B158,元データ_14項目!$D$1:$Q$1,0)),元データ_14項目!$A$2:$A$1300,$A158,元データ_14項目!$B$2:$B$1300,"本年",元データ_14項目!$C$2:$C$1300,K$5)</f>
        <v>241</v>
      </c>
      <c r="L158" s="26">
        <f>SUMIFS(INDEX(元データ_14項目!$D$2:$Q$1300,0,MATCH($B158,元データ_14項目!$D$1:$Q$1,0)),元データ_14項目!$A$2:$A$1300,$A158,元データ_14項目!$B$2:$B$1300,"本年",元データ_14項目!$C$2:$C$1300,L$5)</f>
        <v>75</v>
      </c>
      <c r="M158" s="26">
        <f>SUMIFS(INDEX(元データ_14項目!$D$2:$Q$1300,0,MATCH($B158,元データ_14項目!$D$1:$Q$1,0)),元データ_14項目!$A$2:$A$1300,$A158,元データ_14項目!$B$2:$B$1300,"本年",元データ_14項目!$C$2:$C$1300,M$5)</f>
        <v>46</v>
      </c>
      <c r="N158" s="26">
        <f>SUMIFS(INDEX(元データ_14項目!$D$2:$Q$1300,0,MATCH($B158,元データ_14項目!$D$1:$Q$1,0)),元データ_14項目!$A$2:$A$1300,$A158,元データ_14項目!$B$2:$B$1300,"本年",元データ_14項目!$C$2:$C$1300,N$5)</f>
        <v>16</v>
      </c>
      <c r="O158" s="26">
        <f t="shared" si="4"/>
        <v>554</v>
      </c>
      <c r="P158" s="26">
        <f>SUMIFS(INDEX(元データ_14項目!$D$2:$Q$1300,0,MATCH($B158,元データ_14項目!$D$1:$Q$1,0)),元データ_14項目!$A$2:$A$1300,$A158,元データ_14項目!$B$2:$B$1300,"前年")</f>
        <v>534</v>
      </c>
      <c r="Q158" s="7">
        <f t="shared" si="5"/>
        <v>1.0374531835205993</v>
      </c>
    </row>
    <row r="159" spans="1:17" x14ac:dyDescent="0.45">
      <c r="A159" t="s">
        <v>45</v>
      </c>
      <c r="B159" t="s">
        <v>99</v>
      </c>
      <c r="C159" s="26">
        <f>SUMIFS(INDEX(元データ_14項目!$D$2:$Q$1300,0,MATCH($B159,元データ_14項目!$D$1:$Q$1,0)),元データ_14項目!$A$2:$A$1300,$A159,元データ_14項目!$B$2:$B$1300,"本年",元データ_14項目!$C$2:$C$1300,C$5)</f>
        <v>0</v>
      </c>
      <c r="D159" s="26">
        <f>SUMIFS(INDEX(元データ_14項目!$D$2:$Q$1300,0,MATCH($B159,元データ_14項目!$D$1:$Q$1,0)),元データ_14項目!$A$2:$A$1300,$A159,元データ_14項目!$B$2:$B$1300,"本年",元データ_14項目!$C$2:$C$1300,D$5)</f>
        <v>2</v>
      </c>
      <c r="E159" s="26">
        <f>SUMIFS(INDEX(元データ_14項目!$D$2:$Q$1300,0,MATCH($B159,元データ_14項目!$D$1:$Q$1,0)),元データ_14項目!$A$2:$A$1300,$A159,元データ_14項目!$B$2:$B$1300,"本年",元データ_14項目!$C$2:$C$1300,E$5)</f>
        <v>2</v>
      </c>
      <c r="F159" s="26">
        <f>SUMIFS(INDEX(元データ_14項目!$D$2:$Q$1300,0,MATCH($B159,元データ_14項目!$D$1:$Q$1,0)),元データ_14項目!$A$2:$A$1300,$A159,元データ_14項目!$B$2:$B$1300,"本年",元データ_14項目!$C$2:$C$1300,F$5)</f>
        <v>0</v>
      </c>
      <c r="G159" s="26">
        <f>SUMIFS(INDEX(元データ_14項目!$D$2:$Q$1300,0,MATCH($B159,元データ_14項目!$D$1:$Q$1,0)),元データ_14項目!$A$2:$A$1300,$A159,元データ_14項目!$B$2:$B$1300,"本年",元データ_14項目!$C$2:$C$1300,G$5)</f>
        <v>5</v>
      </c>
      <c r="H159" s="26">
        <f>SUMIFS(INDEX(元データ_14項目!$D$2:$Q$1300,0,MATCH($B159,元データ_14項目!$D$1:$Q$1,0)),元データ_14項目!$A$2:$A$1300,$A159,元データ_14項目!$B$2:$B$1300,"本年",元データ_14項目!$C$2:$C$1300,H$5)</f>
        <v>0</v>
      </c>
      <c r="I159" s="26">
        <f>SUMIFS(INDEX(元データ_14項目!$D$2:$Q$1300,0,MATCH($B159,元データ_14項目!$D$1:$Q$1,0)),元データ_14項目!$A$2:$A$1300,$A159,元データ_14項目!$B$2:$B$1300,"本年",元データ_14項目!$C$2:$C$1300,I$5)</f>
        <v>1</v>
      </c>
      <c r="J159" s="26">
        <f>SUMIFS(INDEX(元データ_14項目!$D$2:$Q$1300,0,MATCH($B159,元データ_14項目!$D$1:$Q$1,0)),元データ_14項目!$A$2:$A$1300,$A159,元データ_14項目!$B$2:$B$1300,"本年",元データ_14項目!$C$2:$C$1300,J$5)</f>
        <v>10</v>
      </c>
      <c r="K159" s="26">
        <f>SUMIFS(INDEX(元データ_14項目!$D$2:$Q$1300,0,MATCH($B159,元データ_14項目!$D$1:$Q$1,0)),元データ_14項目!$A$2:$A$1300,$A159,元データ_14項目!$B$2:$B$1300,"本年",元データ_14項目!$C$2:$C$1300,K$5)</f>
        <v>16</v>
      </c>
      <c r="L159" s="26">
        <f>SUMIFS(INDEX(元データ_14項目!$D$2:$Q$1300,0,MATCH($B159,元データ_14項目!$D$1:$Q$1,0)),元データ_14項目!$A$2:$A$1300,$A159,元データ_14項目!$B$2:$B$1300,"本年",元データ_14項目!$C$2:$C$1300,L$5)</f>
        <v>7</v>
      </c>
      <c r="M159" s="26">
        <f>SUMIFS(INDEX(元データ_14項目!$D$2:$Q$1300,0,MATCH($B159,元データ_14項目!$D$1:$Q$1,0)),元データ_14項目!$A$2:$A$1300,$A159,元データ_14項目!$B$2:$B$1300,"本年",元データ_14項目!$C$2:$C$1300,M$5)</f>
        <v>7</v>
      </c>
      <c r="N159" s="26">
        <f>SUMIFS(INDEX(元データ_14項目!$D$2:$Q$1300,0,MATCH($B159,元データ_14項目!$D$1:$Q$1,0)),元データ_14項目!$A$2:$A$1300,$A159,元データ_14項目!$B$2:$B$1300,"本年",元データ_14項目!$C$2:$C$1300,N$5)</f>
        <v>0</v>
      </c>
      <c r="O159" s="26">
        <f t="shared" si="4"/>
        <v>50</v>
      </c>
      <c r="P159" s="26">
        <f>SUMIFS(INDEX(元データ_14項目!$D$2:$Q$1300,0,MATCH($B159,元データ_14項目!$D$1:$Q$1,0)),元データ_14項目!$A$2:$A$1300,$A159,元データ_14項目!$B$2:$B$1300,"前年")</f>
        <v>72</v>
      </c>
      <c r="Q159" s="7">
        <f t="shared" si="5"/>
        <v>0.69444444444444442</v>
      </c>
    </row>
    <row r="160" spans="1:17" x14ac:dyDescent="0.45">
      <c r="A160" t="s">
        <v>46</v>
      </c>
      <c r="B160" t="s">
        <v>27</v>
      </c>
      <c r="C160" s="26">
        <f>SUMIFS(INDEX(元データ_14項目!$D$2:$Q$1300,0,MATCH($B160,元データ_14項目!$D$1:$Q$1,0)),元データ_14項目!$A$2:$A$1300,$A160,元データ_14項目!$B$2:$B$1300,"本年",元データ_14項目!$C$2:$C$1300,C$5)</f>
        <v>1159</v>
      </c>
      <c r="D160" s="26">
        <f>SUMIFS(INDEX(元データ_14項目!$D$2:$Q$1300,0,MATCH($B160,元データ_14項目!$D$1:$Q$1,0)),元データ_14項目!$A$2:$A$1300,$A160,元データ_14項目!$B$2:$B$1300,"本年",元データ_14項目!$C$2:$C$1300,D$5)</f>
        <v>1263</v>
      </c>
      <c r="E160" s="26">
        <f>SUMIFS(INDEX(元データ_14項目!$D$2:$Q$1300,0,MATCH($B160,元データ_14項目!$D$1:$Q$1,0)),元データ_14項目!$A$2:$A$1300,$A160,元データ_14項目!$B$2:$B$1300,"本年",元データ_14項目!$C$2:$C$1300,E$5)</f>
        <v>1533</v>
      </c>
      <c r="F160" s="26">
        <f>SUMIFS(INDEX(元データ_14項目!$D$2:$Q$1300,0,MATCH($B160,元データ_14項目!$D$1:$Q$1,0)),元データ_14項目!$A$2:$A$1300,$A160,元データ_14項目!$B$2:$B$1300,"本年",元データ_14項目!$C$2:$C$1300,F$5)</f>
        <v>1252</v>
      </c>
      <c r="G160" s="26">
        <f>SUMIFS(INDEX(元データ_14項目!$D$2:$Q$1300,0,MATCH($B160,元データ_14項目!$D$1:$Q$1,0)),元データ_14項目!$A$2:$A$1300,$A160,元データ_14項目!$B$2:$B$1300,"本年",元データ_14項目!$C$2:$C$1300,G$5)</f>
        <v>1298</v>
      </c>
      <c r="H160" s="26">
        <f>SUMIFS(INDEX(元データ_14項目!$D$2:$Q$1300,0,MATCH($B160,元データ_14項目!$D$1:$Q$1,0)),元データ_14項目!$A$2:$A$1300,$A160,元データ_14項目!$B$2:$B$1300,"本年",元データ_14項目!$C$2:$C$1300,H$5)</f>
        <v>931</v>
      </c>
      <c r="I160" s="26">
        <f>SUMIFS(INDEX(元データ_14項目!$D$2:$Q$1300,0,MATCH($B160,元データ_14項目!$D$1:$Q$1,0)),元データ_14項目!$A$2:$A$1300,$A160,元データ_14項目!$B$2:$B$1300,"本年",元データ_14項目!$C$2:$C$1300,I$5)</f>
        <v>877</v>
      </c>
      <c r="J160" s="26">
        <f>SUMIFS(INDEX(元データ_14項目!$D$2:$Q$1300,0,MATCH($B160,元データ_14項目!$D$1:$Q$1,0)),元データ_14項目!$A$2:$A$1300,$A160,元データ_14項目!$B$2:$B$1300,"本年",元データ_14項目!$C$2:$C$1300,J$5)</f>
        <v>1171</v>
      </c>
      <c r="K160" s="26">
        <f>SUMIFS(INDEX(元データ_14項目!$D$2:$Q$1300,0,MATCH($B160,元データ_14項目!$D$1:$Q$1,0)),元データ_14項目!$A$2:$A$1300,$A160,元データ_14項目!$B$2:$B$1300,"本年",元データ_14項目!$C$2:$C$1300,K$5)</f>
        <v>1270</v>
      </c>
      <c r="L160" s="26">
        <f>SUMIFS(INDEX(元データ_14項目!$D$2:$Q$1300,0,MATCH($B160,元データ_14項目!$D$1:$Q$1,0)),元データ_14項目!$A$2:$A$1300,$A160,元データ_14項目!$B$2:$B$1300,"本年",元データ_14項目!$C$2:$C$1300,L$5)</f>
        <v>1126</v>
      </c>
      <c r="M160" s="26">
        <f>SUMIFS(INDEX(元データ_14項目!$D$2:$Q$1300,0,MATCH($B160,元データ_14項目!$D$1:$Q$1,0)),元データ_14項目!$A$2:$A$1300,$A160,元データ_14項目!$B$2:$B$1300,"本年",元データ_14項目!$C$2:$C$1300,M$5)</f>
        <v>1289</v>
      </c>
      <c r="N160" s="26">
        <f>SUMIFS(INDEX(元データ_14項目!$D$2:$Q$1300,0,MATCH($B160,元データ_14項目!$D$1:$Q$1,0)),元データ_14項目!$A$2:$A$1300,$A160,元データ_14項目!$B$2:$B$1300,"本年",元データ_14項目!$C$2:$C$1300,N$5)</f>
        <v>1124</v>
      </c>
      <c r="O160" s="26">
        <f t="shared" si="4"/>
        <v>14293</v>
      </c>
      <c r="P160" s="26">
        <f>SUMIFS(INDEX(元データ_14項目!$D$2:$Q$1300,0,MATCH($B160,元データ_14項目!$D$1:$Q$1,0)),元データ_14項目!$A$2:$A$1300,$A160,元データ_14項目!$B$2:$B$1300,"前年")</f>
        <v>16440</v>
      </c>
      <c r="Q160" s="7">
        <f t="shared" si="5"/>
        <v>0.86940389294403897</v>
      </c>
    </row>
    <row r="161" spans="1:17" x14ac:dyDescent="0.45">
      <c r="A161" t="s">
        <v>46</v>
      </c>
      <c r="B161" t="s">
        <v>88</v>
      </c>
      <c r="C161" s="26">
        <f>SUMIFS(INDEX(元データ_14項目!$D$2:$Q$1300,0,MATCH($B161,元データ_14項目!$D$1:$Q$1,0)),元データ_14項目!$A$2:$A$1300,$A161,元データ_14項目!$B$2:$B$1300,"本年",元データ_14項目!$C$2:$C$1300,C$5)</f>
        <v>42</v>
      </c>
      <c r="D161" s="26">
        <f>SUMIFS(INDEX(元データ_14項目!$D$2:$Q$1300,0,MATCH($B161,元データ_14項目!$D$1:$Q$1,0)),元データ_14項目!$A$2:$A$1300,$A161,元データ_14項目!$B$2:$B$1300,"本年",元データ_14項目!$C$2:$C$1300,D$5)</f>
        <v>58</v>
      </c>
      <c r="E161" s="26">
        <f>SUMIFS(INDEX(元データ_14項目!$D$2:$Q$1300,0,MATCH($B161,元データ_14項目!$D$1:$Q$1,0)),元データ_14項目!$A$2:$A$1300,$A161,元データ_14項目!$B$2:$B$1300,"本年",元データ_14項目!$C$2:$C$1300,E$5)</f>
        <v>119</v>
      </c>
      <c r="F161" s="26">
        <f>SUMIFS(INDEX(元データ_14項目!$D$2:$Q$1300,0,MATCH($B161,元データ_14項目!$D$1:$Q$1,0)),元データ_14項目!$A$2:$A$1300,$A161,元データ_14項目!$B$2:$B$1300,"本年",元データ_14項目!$C$2:$C$1300,F$5)</f>
        <v>53</v>
      </c>
      <c r="G161" s="26">
        <f>SUMIFS(INDEX(元データ_14項目!$D$2:$Q$1300,0,MATCH($B161,元データ_14項目!$D$1:$Q$1,0)),元データ_14項目!$A$2:$A$1300,$A161,元データ_14項目!$B$2:$B$1300,"本年",元データ_14項目!$C$2:$C$1300,G$5)</f>
        <v>56</v>
      </c>
      <c r="H161" s="26">
        <f>SUMIFS(INDEX(元データ_14項目!$D$2:$Q$1300,0,MATCH($B161,元データ_14項目!$D$1:$Q$1,0)),元データ_14項目!$A$2:$A$1300,$A161,元データ_14項目!$B$2:$B$1300,"本年",元データ_14項目!$C$2:$C$1300,H$5)</f>
        <v>51</v>
      </c>
      <c r="I161" s="26">
        <f>SUMIFS(INDEX(元データ_14項目!$D$2:$Q$1300,0,MATCH($B161,元データ_14項目!$D$1:$Q$1,0)),元データ_14項目!$A$2:$A$1300,$A161,元データ_14項目!$B$2:$B$1300,"本年",元データ_14項目!$C$2:$C$1300,I$5)</f>
        <v>28</v>
      </c>
      <c r="J161" s="26">
        <f>SUMIFS(INDEX(元データ_14項目!$D$2:$Q$1300,0,MATCH($B161,元データ_14項目!$D$1:$Q$1,0)),元データ_14項目!$A$2:$A$1300,$A161,元データ_14項目!$B$2:$B$1300,"本年",元データ_14項目!$C$2:$C$1300,J$5)</f>
        <v>60</v>
      </c>
      <c r="K161" s="26">
        <f>SUMIFS(INDEX(元データ_14項目!$D$2:$Q$1300,0,MATCH($B161,元データ_14項目!$D$1:$Q$1,0)),元データ_14項目!$A$2:$A$1300,$A161,元データ_14項目!$B$2:$B$1300,"本年",元データ_14項目!$C$2:$C$1300,K$5)</f>
        <v>67</v>
      </c>
      <c r="L161" s="26">
        <f>SUMIFS(INDEX(元データ_14項目!$D$2:$Q$1300,0,MATCH($B161,元データ_14項目!$D$1:$Q$1,0)),元データ_14項目!$A$2:$A$1300,$A161,元データ_14項目!$B$2:$B$1300,"本年",元データ_14項目!$C$2:$C$1300,L$5)</f>
        <v>41</v>
      </c>
      <c r="M161" s="26">
        <f>SUMIFS(INDEX(元データ_14項目!$D$2:$Q$1300,0,MATCH($B161,元データ_14項目!$D$1:$Q$1,0)),元データ_14項目!$A$2:$A$1300,$A161,元データ_14項目!$B$2:$B$1300,"本年",元データ_14項目!$C$2:$C$1300,M$5)</f>
        <v>57</v>
      </c>
      <c r="N161" s="26">
        <f>SUMIFS(INDEX(元データ_14項目!$D$2:$Q$1300,0,MATCH($B161,元データ_14項目!$D$1:$Q$1,0)),元データ_14項目!$A$2:$A$1300,$A161,元データ_14項目!$B$2:$B$1300,"本年",元データ_14項目!$C$2:$C$1300,N$5)</f>
        <v>73</v>
      </c>
      <c r="O161" s="26">
        <f t="shared" si="4"/>
        <v>705</v>
      </c>
      <c r="P161" s="26">
        <f>SUMIFS(INDEX(元データ_14項目!$D$2:$Q$1300,0,MATCH($B161,元データ_14項目!$D$1:$Q$1,0)),元データ_14項目!$A$2:$A$1300,$A161,元データ_14項目!$B$2:$B$1300,"前年")</f>
        <v>748</v>
      </c>
      <c r="Q161" s="7">
        <f t="shared" si="5"/>
        <v>0.94251336898395721</v>
      </c>
    </row>
    <row r="162" spans="1:17" x14ac:dyDescent="0.45">
      <c r="A162" t="s">
        <v>46</v>
      </c>
      <c r="B162" t="s">
        <v>89</v>
      </c>
      <c r="C162" s="26">
        <f>SUMIFS(INDEX(元データ_14項目!$D$2:$Q$1300,0,MATCH($B162,元データ_14項目!$D$1:$Q$1,0)),元データ_14項目!$A$2:$A$1300,$A162,元データ_14項目!$B$2:$B$1300,"本年",元データ_14項目!$C$2:$C$1300,C$5)</f>
        <v>66</v>
      </c>
      <c r="D162" s="26">
        <f>SUMIFS(INDEX(元データ_14項目!$D$2:$Q$1300,0,MATCH($B162,元データ_14項目!$D$1:$Q$1,0)),元データ_14項目!$A$2:$A$1300,$A162,元データ_14項目!$B$2:$B$1300,"本年",元データ_14項目!$C$2:$C$1300,D$5)</f>
        <v>127</v>
      </c>
      <c r="E162" s="26">
        <f>SUMIFS(INDEX(元データ_14項目!$D$2:$Q$1300,0,MATCH($B162,元データ_14項目!$D$1:$Q$1,0)),元データ_14項目!$A$2:$A$1300,$A162,元データ_14項目!$B$2:$B$1300,"本年",元データ_14項目!$C$2:$C$1300,E$5)</f>
        <v>119</v>
      </c>
      <c r="F162" s="26">
        <f>SUMIFS(INDEX(元データ_14項目!$D$2:$Q$1300,0,MATCH($B162,元データ_14項目!$D$1:$Q$1,0)),元データ_14項目!$A$2:$A$1300,$A162,元データ_14項目!$B$2:$B$1300,"本年",元データ_14項目!$C$2:$C$1300,F$5)</f>
        <v>66</v>
      </c>
      <c r="G162" s="26">
        <f>SUMIFS(INDEX(元データ_14項目!$D$2:$Q$1300,0,MATCH($B162,元データ_14項目!$D$1:$Q$1,0)),元データ_14項目!$A$2:$A$1300,$A162,元データ_14項目!$B$2:$B$1300,"本年",元データ_14項目!$C$2:$C$1300,G$5)</f>
        <v>76</v>
      </c>
      <c r="H162" s="26">
        <f>SUMIFS(INDEX(元データ_14項目!$D$2:$Q$1300,0,MATCH($B162,元データ_14項目!$D$1:$Q$1,0)),元データ_14項目!$A$2:$A$1300,$A162,元データ_14項目!$B$2:$B$1300,"本年",元データ_14項目!$C$2:$C$1300,H$5)</f>
        <v>31</v>
      </c>
      <c r="I162" s="26">
        <f>SUMIFS(INDEX(元データ_14項目!$D$2:$Q$1300,0,MATCH($B162,元データ_14項目!$D$1:$Q$1,0)),元データ_14項目!$A$2:$A$1300,$A162,元データ_14項目!$B$2:$B$1300,"本年",元データ_14項目!$C$2:$C$1300,I$5)</f>
        <v>23</v>
      </c>
      <c r="J162" s="26">
        <f>SUMIFS(INDEX(元データ_14項目!$D$2:$Q$1300,0,MATCH($B162,元データ_14項目!$D$1:$Q$1,0)),元データ_14項目!$A$2:$A$1300,$A162,元データ_14項目!$B$2:$B$1300,"本年",元データ_14項目!$C$2:$C$1300,J$5)</f>
        <v>51</v>
      </c>
      <c r="K162" s="26">
        <f>SUMIFS(INDEX(元データ_14項目!$D$2:$Q$1300,0,MATCH($B162,元データ_14項目!$D$1:$Q$1,0)),元データ_14項目!$A$2:$A$1300,$A162,元データ_14項目!$B$2:$B$1300,"本年",元データ_14項目!$C$2:$C$1300,K$5)</f>
        <v>90</v>
      </c>
      <c r="L162" s="26">
        <f>SUMIFS(INDEX(元データ_14項目!$D$2:$Q$1300,0,MATCH($B162,元データ_14項目!$D$1:$Q$1,0)),元データ_14項目!$A$2:$A$1300,$A162,元データ_14項目!$B$2:$B$1300,"本年",元データ_14項目!$C$2:$C$1300,L$5)</f>
        <v>75</v>
      </c>
      <c r="M162" s="26">
        <f>SUMIFS(INDEX(元データ_14項目!$D$2:$Q$1300,0,MATCH($B162,元データ_14項目!$D$1:$Q$1,0)),元データ_14項目!$A$2:$A$1300,$A162,元データ_14項目!$B$2:$B$1300,"本年",元データ_14項目!$C$2:$C$1300,M$5)</f>
        <v>82</v>
      </c>
      <c r="N162" s="26">
        <f>SUMIFS(INDEX(元データ_14項目!$D$2:$Q$1300,0,MATCH($B162,元データ_14項目!$D$1:$Q$1,0)),元データ_14項目!$A$2:$A$1300,$A162,元データ_14項目!$B$2:$B$1300,"本年",元データ_14項目!$C$2:$C$1300,N$5)</f>
        <v>73</v>
      </c>
      <c r="O162" s="26">
        <f t="shared" si="4"/>
        <v>879</v>
      </c>
      <c r="P162" s="26">
        <f>SUMIFS(INDEX(元データ_14項目!$D$2:$Q$1300,0,MATCH($B162,元データ_14項目!$D$1:$Q$1,0)),元データ_14項目!$A$2:$A$1300,$A162,元データ_14項目!$B$2:$B$1300,"前年")</f>
        <v>972</v>
      </c>
      <c r="Q162" s="7">
        <f t="shared" si="5"/>
        <v>0.90432098765432101</v>
      </c>
    </row>
    <row r="163" spans="1:17" x14ac:dyDescent="0.45">
      <c r="A163" t="s">
        <v>46</v>
      </c>
      <c r="B163" t="s">
        <v>90</v>
      </c>
      <c r="C163" s="26">
        <f>SUMIFS(INDEX(元データ_14項目!$D$2:$Q$1300,0,MATCH($B163,元データ_14項目!$D$1:$Q$1,0)),元データ_14項目!$A$2:$A$1300,$A163,元データ_14項目!$B$2:$B$1300,"本年",元データ_14項目!$C$2:$C$1300,C$5)</f>
        <v>89</v>
      </c>
      <c r="D163" s="26">
        <f>SUMIFS(INDEX(元データ_14項目!$D$2:$Q$1300,0,MATCH($B163,元データ_14項目!$D$1:$Q$1,0)),元データ_14項目!$A$2:$A$1300,$A163,元データ_14項目!$B$2:$B$1300,"本年",元データ_14項目!$C$2:$C$1300,D$5)</f>
        <v>76</v>
      </c>
      <c r="E163" s="26">
        <f>SUMIFS(INDEX(元データ_14項目!$D$2:$Q$1300,0,MATCH($B163,元データ_14項目!$D$1:$Q$1,0)),元データ_14項目!$A$2:$A$1300,$A163,元データ_14項目!$B$2:$B$1300,"本年",元データ_14項目!$C$2:$C$1300,E$5)</f>
        <v>129</v>
      </c>
      <c r="F163" s="26">
        <f>SUMIFS(INDEX(元データ_14項目!$D$2:$Q$1300,0,MATCH($B163,元データ_14項目!$D$1:$Q$1,0)),元データ_14項目!$A$2:$A$1300,$A163,元データ_14項目!$B$2:$B$1300,"本年",元データ_14項目!$C$2:$C$1300,F$5)</f>
        <v>162</v>
      </c>
      <c r="G163" s="26">
        <f>SUMIFS(INDEX(元データ_14項目!$D$2:$Q$1300,0,MATCH($B163,元データ_14項目!$D$1:$Q$1,0)),元データ_14項目!$A$2:$A$1300,$A163,元データ_14項目!$B$2:$B$1300,"本年",元データ_14項目!$C$2:$C$1300,G$5)</f>
        <v>200</v>
      </c>
      <c r="H163" s="26">
        <f>SUMIFS(INDEX(元データ_14項目!$D$2:$Q$1300,0,MATCH($B163,元データ_14項目!$D$1:$Q$1,0)),元データ_14項目!$A$2:$A$1300,$A163,元データ_14項目!$B$2:$B$1300,"本年",元データ_14項目!$C$2:$C$1300,H$5)</f>
        <v>136</v>
      </c>
      <c r="I163" s="26">
        <f>SUMIFS(INDEX(元データ_14項目!$D$2:$Q$1300,0,MATCH($B163,元データ_14項目!$D$1:$Q$1,0)),元データ_14項目!$A$2:$A$1300,$A163,元データ_14項目!$B$2:$B$1300,"本年",元データ_14項目!$C$2:$C$1300,I$5)</f>
        <v>131</v>
      </c>
      <c r="J163" s="26">
        <f>SUMIFS(INDEX(元データ_14項目!$D$2:$Q$1300,0,MATCH($B163,元データ_14項目!$D$1:$Q$1,0)),元データ_14項目!$A$2:$A$1300,$A163,元データ_14項目!$B$2:$B$1300,"本年",元データ_14項目!$C$2:$C$1300,J$5)</f>
        <v>226</v>
      </c>
      <c r="K163" s="26">
        <f>SUMIFS(INDEX(元データ_14項目!$D$2:$Q$1300,0,MATCH($B163,元データ_14項目!$D$1:$Q$1,0)),元データ_14項目!$A$2:$A$1300,$A163,元データ_14項目!$B$2:$B$1300,"本年",元データ_14項目!$C$2:$C$1300,K$5)</f>
        <v>295</v>
      </c>
      <c r="L163" s="26">
        <f>SUMIFS(INDEX(元データ_14項目!$D$2:$Q$1300,0,MATCH($B163,元データ_14項目!$D$1:$Q$1,0)),元データ_14項目!$A$2:$A$1300,$A163,元データ_14項目!$B$2:$B$1300,"本年",元データ_14項目!$C$2:$C$1300,L$5)</f>
        <v>193</v>
      </c>
      <c r="M163" s="26">
        <f>SUMIFS(INDEX(元データ_14項目!$D$2:$Q$1300,0,MATCH($B163,元データ_14項目!$D$1:$Q$1,0)),元データ_14項目!$A$2:$A$1300,$A163,元データ_14項目!$B$2:$B$1300,"本年",元データ_14項目!$C$2:$C$1300,M$5)</f>
        <v>187</v>
      </c>
      <c r="N163" s="26">
        <f>SUMIFS(INDEX(元データ_14項目!$D$2:$Q$1300,0,MATCH($B163,元データ_14項目!$D$1:$Q$1,0)),元データ_14項目!$A$2:$A$1300,$A163,元データ_14項目!$B$2:$B$1300,"本年",元データ_14項目!$C$2:$C$1300,N$5)</f>
        <v>108</v>
      </c>
      <c r="O163" s="26">
        <f t="shared" si="4"/>
        <v>1932</v>
      </c>
      <c r="P163" s="26">
        <f>SUMIFS(INDEX(元データ_14項目!$D$2:$Q$1300,0,MATCH($B163,元データ_14項目!$D$1:$Q$1,0)),元データ_14項目!$A$2:$A$1300,$A163,元データ_14項目!$B$2:$B$1300,"前年")</f>
        <v>2134</v>
      </c>
      <c r="Q163" s="7">
        <f t="shared" si="5"/>
        <v>0.90534208059981258</v>
      </c>
    </row>
    <row r="164" spans="1:17" x14ac:dyDescent="0.45">
      <c r="A164" t="s">
        <v>46</v>
      </c>
      <c r="B164" t="s">
        <v>91</v>
      </c>
      <c r="C164" s="26">
        <f>SUMIFS(INDEX(元データ_14項目!$D$2:$Q$1300,0,MATCH($B164,元データ_14項目!$D$1:$Q$1,0)),元データ_14項目!$A$2:$A$1300,$A164,元データ_14項目!$B$2:$B$1300,"本年",元データ_14項目!$C$2:$C$1300,C$5)</f>
        <v>9</v>
      </c>
      <c r="D164" s="26">
        <f>SUMIFS(INDEX(元データ_14項目!$D$2:$Q$1300,0,MATCH($B164,元データ_14項目!$D$1:$Q$1,0)),元データ_14項目!$A$2:$A$1300,$A164,元データ_14項目!$B$2:$B$1300,"本年",元データ_14項目!$C$2:$C$1300,D$5)</f>
        <v>48</v>
      </c>
      <c r="E164" s="26">
        <f>SUMIFS(INDEX(元データ_14項目!$D$2:$Q$1300,0,MATCH($B164,元データ_14項目!$D$1:$Q$1,0)),元データ_14項目!$A$2:$A$1300,$A164,元データ_14項目!$B$2:$B$1300,"本年",元データ_14項目!$C$2:$C$1300,E$5)</f>
        <v>54</v>
      </c>
      <c r="F164" s="26">
        <f>SUMIFS(INDEX(元データ_14項目!$D$2:$Q$1300,0,MATCH($B164,元データ_14項目!$D$1:$Q$1,0)),元データ_14項目!$A$2:$A$1300,$A164,元データ_14項目!$B$2:$B$1300,"本年",元データ_14項目!$C$2:$C$1300,F$5)</f>
        <v>48</v>
      </c>
      <c r="G164" s="26">
        <f>SUMIFS(INDEX(元データ_14項目!$D$2:$Q$1300,0,MATCH($B164,元データ_14項目!$D$1:$Q$1,0)),元データ_14項目!$A$2:$A$1300,$A164,元データ_14項目!$B$2:$B$1300,"本年",元データ_14項目!$C$2:$C$1300,G$5)</f>
        <v>12</v>
      </c>
      <c r="H164" s="26">
        <f>SUMIFS(INDEX(元データ_14項目!$D$2:$Q$1300,0,MATCH($B164,元データ_14項目!$D$1:$Q$1,0)),元データ_14項目!$A$2:$A$1300,$A164,元データ_14項目!$B$2:$B$1300,"本年",元データ_14項目!$C$2:$C$1300,H$5)</f>
        <v>8</v>
      </c>
      <c r="I164" s="26">
        <f>SUMIFS(INDEX(元データ_14項目!$D$2:$Q$1300,0,MATCH($B164,元データ_14項目!$D$1:$Q$1,0)),元データ_14項目!$A$2:$A$1300,$A164,元データ_14項目!$B$2:$B$1300,"本年",元データ_14項目!$C$2:$C$1300,I$5)</f>
        <v>21</v>
      </c>
      <c r="J164" s="26">
        <f>SUMIFS(INDEX(元データ_14項目!$D$2:$Q$1300,0,MATCH($B164,元データ_14項目!$D$1:$Q$1,0)),元データ_14項目!$A$2:$A$1300,$A164,元データ_14項目!$B$2:$B$1300,"本年",元データ_14項目!$C$2:$C$1300,J$5)</f>
        <v>12</v>
      </c>
      <c r="K164" s="26">
        <f>SUMIFS(INDEX(元データ_14項目!$D$2:$Q$1300,0,MATCH($B164,元データ_14項目!$D$1:$Q$1,0)),元データ_14項目!$A$2:$A$1300,$A164,元データ_14項目!$B$2:$B$1300,"本年",元データ_14項目!$C$2:$C$1300,K$5)</f>
        <v>20</v>
      </c>
      <c r="L164" s="26">
        <f>SUMIFS(INDEX(元データ_14項目!$D$2:$Q$1300,0,MATCH($B164,元データ_14項目!$D$1:$Q$1,0)),元データ_14項目!$A$2:$A$1300,$A164,元データ_14項目!$B$2:$B$1300,"本年",元データ_14項目!$C$2:$C$1300,L$5)</f>
        <v>15</v>
      </c>
      <c r="M164" s="26">
        <f>SUMIFS(INDEX(元データ_14項目!$D$2:$Q$1300,0,MATCH($B164,元データ_14項目!$D$1:$Q$1,0)),元データ_14項目!$A$2:$A$1300,$A164,元データ_14項目!$B$2:$B$1300,"本年",元データ_14項目!$C$2:$C$1300,M$5)</f>
        <v>31</v>
      </c>
      <c r="N164" s="26">
        <f>SUMIFS(INDEX(元データ_14項目!$D$2:$Q$1300,0,MATCH($B164,元データ_14項目!$D$1:$Q$1,0)),元データ_14項目!$A$2:$A$1300,$A164,元データ_14項目!$B$2:$B$1300,"本年",元データ_14項目!$C$2:$C$1300,N$5)</f>
        <v>28</v>
      </c>
      <c r="O164" s="26">
        <f t="shared" si="4"/>
        <v>306</v>
      </c>
      <c r="P164" s="26">
        <f>SUMIFS(INDEX(元データ_14項目!$D$2:$Q$1300,0,MATCH($B164,元データ_14項目!$D$1:$Q$1,0)),元データ_14項目!$A$2:$A$1300,$A164,元データ_14項目!$B$2:$B$1300,"前年")</f>
        <v>335</v>
      </c>
      <c r="Q164" s="7">
        <f t="shared" si="5"/>
        <v>0.91343283582089552</v>
      </c>
    </row>
    <row r="165" spans="1:17" x14ac:dyDescent="0.45">
      <c r="A165" t="s">
        <v>46</v>
      </c>
      <c r="B165" t="s">
        <v>28</v>
      </c>
      <c r="C165" s="26">
        <f>SUMIFS(INDEX(元データ_14項目!$D$2:$Q$1300,0,MATCH($B165,元データ_14項目!$D$1:$Q$1,0)),元データ_14項目!$A$2:$A$1300,$A165,元データ_14項目!$B$2:$B$1300,"本年",元データ_14項目!$C$2:$C$1300,C$5)</f>
        <v>275</v>
      </c>
      <c r="D165" s="26">
        <f>SUMIFS(INDEX(元データ_14項目!$D$2:$Q$1300,0,MATCH($B165,元データ_14項目!$D$1:$Q$1,0)),元データ_14項目!$A$2:$A$1300,$A165,元データ_14項目!$B$2:$B$1300,"本年",元データ_14項目!$C$2:$C$1300,D$5)</f>
        <v>373</v>
      </c>
      <c r="E165" s="26">
        <f>SUMIFS(INDEX(元データ_14項目!$D$2:$Q$1300,0,MATCH($B165,元データ_14項目!$D$1:$Q$1,0)),元データ_14項目!$A$2:$A$1300,$A165,元データ_14項目!$B$2:$B$1300,"本年",元データ_14項目!$C$2:$C$1300,E$5)</f>
        <v>402</v>
      </c>
      <c r="F165" s="26">
        <f>SUMIFS(INDEX(元データ_14項目!$D$2:$Q$1300,0,MATCH($B165,元データ_14項目!$D$1:$Q$1,0)),元データ_14項目!$A$2:$A$1300,$A165,元データ_14項目!$B$2:$B$1300,"本年",元データ_14項目!$C$2:$C$1300,F$5)</f>
        <v>353</v>
      </c>
      <c r="G165" s="26">
        <f>SUMIFS(INDEX(元データ_14項目!$D$2:$Q$1300,0,MATCH($B165,元データ_14項目!$D$1:$Q$1,0)),元データ_14項目!$A$2:$A$1300,$A165,元データ_14項目!$B$2:$B$1300,"本年",元データ_14項目!$C$2:$C$1300,G$5)</f>
        <v>278</v>
      </c>
      <c r="H165" s="26">
        <f>SUMIFS(INDEX(元データ_14項目!$D$2:$Q$1300,0,MATCH($B165,元データ_14項目!$D$1:$Q$1,0)),元データ_14項目!$A$2:$A$1300,$A165,元データ_14項目!$B$2:$B$1300,"本年",元データ_14項目!$C$2:$C$1300,H$5)</f>
        <v>199</v>
      </c>
      <c r="I165" s="26">
        <f>SUMIFS(INDEX(元データ_14項目!$D$2:$Q$1300,0,MATCH($B165,元データ_14項目!$D$1:$Q$1,0)),元データ_14項目!$A$2:$A$1300,$A165,元データ_14項目!$B$2:$B$1300,"本年",元データ_14項目!$C$2:$C$1300,I$5)</f>
        <v>187</v>
      </c>
      <c r="J165" s="26">
        <f>SUMIFS(INDEX(元データ_14項目!$D$2:$Q$1300,0,MATCH($B165,元データ_14項目!$D$1:$Q$1,0)),元データ_14項目!$A$2:$A$1300,$A165,元データ_14項目!$B$2:$B$1300,"本年",元データ_14項目!$C$2:$C$1300,J$5)</f>
        <v>222</v>
      </c>
      <c r="K165" s="26">
        <f>SUMIFS(INDEX(元データ_14項目!$D$2:$Q$1300,0,MATCH($B165,元データ_14項目!$D$1:$Q$1,0)),元データ_14項目!$A$2:$A$1300,$A165,元データ_14項目!$B$2:$B$1300,"本年",元データ_14項目!$C$2:$C$1300,K$5)</f>
        <v>260</v>
      </c>
      <c r="L165" s="26">
        <f>SUMIFS(INDEX(元データ_14項目!$D$2:$Q$1300,0,MATCH($B165,元データ_14項目!$D$1:$Q$1,0)),元データ_14項目!$A$2:$A$1300,$A165,元データ_14項目!$B$2:$B$1300,"本年",元データ_14項目!$C$2:$C$1300,L$5)</f>
        <v>265</v>
      </c>
      <c r="M165" s="26">
        <f>SUMIFS(INDEX(元データ_14項目!$D$2:$Q$1300,0,MATCH($B165,元データ_14項目!$D$1:$Q$1,0)),元データ_14項目!$A$2:$A$1300,$A165,元データ_14項目!$B$2:$B$1300,"本年",元データ_14項目!$C$2:$C$1300,M$5)</f>
        <v>318</v>
      </c>
      <c r="N165" s="26">
        <f>SUMIFS(INDEX(元データ_14項目!$D$2:$Q$1300,0,MATCH($B165,元データ_14項目!$D$1:$Q$1,0)),元データ_14項目!$A$2:$A$1300,$A165,元データ_14項目!$B$2:$B$1300,"本年",元データ_14項目!$C$2:$C$1300,N$5)</f>
        <v>316</v>
      </c>
      <c r="O165" s="26">
        <f t="shared" si="4"/>
        <v>3448</v>
      </c>
      <c r="P165" s="26">
        <f>SUMIFS(INDEX(元データ_14項目!$D$2:$Q$1300,0,MATCH($B165,元データ_14項目!$D$1:$Q$1,0)),元データ_14項目!$A$2:$A$1300,$A165,元データ_14項目!$B$2:$B$1300,"前年")</f>
        <v>3723</v>
      </c>
      <c r="Q165" s="7">
        <f t="shared" si="5"/>
        <v>0.92613483749664249</v>
      </c>
    </row>
    <row r="166" spans="1:17" x14ac:dyDescent="0.45">
      <c r="A166" t="s">
        <v>46</v>
      </c>
      <c r="B166" t="s">
        <v>92</v>
      </c>
      <c r="C166" s="26">
        <f>SUMIFS(INDEX(元データ_14項目!$D$2:$Q$1300,0,MATCH($B166,元データ_14項目!$D$1:$Q$1,0)),元データ_14項目!$A$2:$A$1300,$A166,元データ_14項目!$B$2:$B$1300,"本年",元データ_14項目!$C$2:$C$1300,C$5)</f>
        <v>22</v>
      </c>
      <c r="D166" s="26">
        <f>SUMIFS(INDEX(元データ_14項目!$D$2:$Q$1300,0,MATCH($B166,元データ_14項目!$D$1:$Q$1,0)),元データ_14項目!$A$2:$A$1300,$A166,元データ_14項目!$B$2:$B$1300,"本年",元データ_14項目!$C$2:$C$1300,D$5)</f>
        <v>45</v>
      </c>
      <c r="E166" s="26">
        <f>SUMIFS(INDEX(元データ_14項目!$D$2:$Q$1300,0,MATCH($B166,元データ_14項目!$D$1:$Q$1,0)),元データ_14項目!$A$2:$A$1300,$A166,元データ_14項目!$B$2:$B$1300,"本年",元データ_14項目!$C$2:$C$1300,E$5)</f>
        <v>58</v>
      </c>
      <c r="F166" s="26">
        <f>SUMIFS(INDEX(元データ_14項目!$D$2:$Q$1300,0,MATCH($B166,元データ_14項目!$D$1:$Q$1,0)),元データ_14項目!$A$2:$A$1300,$A166,元データ_14項目!$B$2:$B$1300,"本年",元データ_14項目!$C$2:$C$1300,F$5)</f>
        <v>60</v>
      </c>
      <c r="G166" s="26">
        <f>SUMIFS(INDEX(元データ_14項目!$D$2:$Q$1300,0,MATCH($B166,元データ_14項目!$D$1:$Q$1,0)),元データ_14項目!$A$2:$A$1300,$A166,元データ_14項目!$B$2:$B$1300,"本年",元データ_14項目!$C$2:$C$1300,G$5)</f>
        <v>28</v>
      </c>
      <c r="H166" s="26">
        <f>SUMIFS(INDEX(元データ_14項目!$D$2:$Q$1300,0,MATCH($B166,元データ_14項目!$D$1:$Q$1,0)),元データ_14項目!$A$2:$A$1300,$A166,元データ_14項目!$B$2:$B$1300,"本年",元データ_14項目!$C$2:$C$1300,H$5)</f>
        <v>30</v>
      </c>
      <c r="I166" s="26">
        <f>SUMIFS(INDEX(元データ_14項目!$D$2:$Q$1300,0,MATCH($B166,元データ_14項目!$D$1:$Q$1,0)),元データ_14項目!$A$2:$A$1300,$A166,元データ_14項目!$B$2:$B$1300,"本年",元データ_14項目!$C$2:$C$1300,I$5)</f>
        <v>16</v>
      </c>
      <c r="J166" s="26">
        <f>SUMIFS(INDEX(元データ_14項目!$D$2:$Q$1300,0,MATCH($B166,元データ_14項目!$D$1:$Q$1,0)),元データ_14項目!$A$2:$A$1300,$A166,元データ_14項目!$B$2:$B$1300,"本年",元データ_14項目!$C$2:$C$1300,J$5)</f>
        <v>44</v>
      </c>
      <c r="K166" s="26">
        <f>SUMIFS(INDEX(元データ_14項目!$D$2:$Q$1300,0,MATCH($B166,元データ_14項目!$D$1:$Q$1,0)),元データ_14項目!$A$2:$A$1300,$A166,元データ_14項目!$B$2:$B$1300,"本年",元データ_14項目!$C$2:$C$1300,K$5)</f>
        <v>66</v>
      </c>
      <c r="L166" s="26">
        <f>SUMIFS(INDEX(元データ_14項目!$D$2:$Q$1300,0,MATCH($B166,元データ_14項目!$D$1:$Q$1,0)),元データ_14項目!$A$2:$A$1300,$A166,元データ_14項目!$B$2:$B$1300,"本年",元データ_14項目!$C$2:$C$1300,L$5)</f>
        <v>43</v>
      </c>
      <c r="M166" s="26">
        <f>SUMIFS(INDEX(元データ_14項目!$D$2:$Q$1300,0,MATCH($B166,元データ_14項目!$D$1:$Q$1,0)),元データ_14項目!$A$2:$A$1300,$A166,元データ_14項目!$B$2:$B$1300,"本年",元データ_14項目!$C$2:$C$1300,M$5)</f>
        <v>21</v>
      </c>
      <c r="N166" s="26">
        <f>SUMIFS(INDEX(元データ_14項目!$D$2:$Q$1300,0,MATCH($B166,元データ_14項目!$D$1:$Q$1,0)),元データ_14項目!$A$2:$A$1300,$A166,元データ_14項目!$B$2:$B$1300,"本年",元データ_14項目!$C$2:$C$1300,N$5)</f>
        <v>25</v>
      </c>
      <c r="O166" s="26">
        <f t="shared" si="4"/>
        <v>458</v>
      </c>
      <c r="P166" s="26">
        <f>SUMIFS(INDEX(元データ_14項目!$D$2:$Q$1300,0,MATCH($B166,元データ_14項目!$D$1:$Q$1,0)),元データ_14項目!$A$2:$A$1300,$A166,元データ_14項目!$B$2:$B$1300,"前年")</f>
        <v>549</v>
      </c>
      <c r="Q166" s="7">
        <f t="shared" si="5"/>
        <v>0.83424408014571949</v>
      </c>
    </row>
    <row r="167" spans="1:17" x14ac:dyDescent="0.45">
      <c r="A167" t="s">
        <v>46</v>
      </c>
      <c r="B167" t="s">
        <v>93</v>
      </c>
      <c r="C167" s="26">
        <f>SUMIFS(INDEX(元データ_14項目!$D$2:$Q$1300,0,MATCH($B167,元データ_14項目!$D$1:$Q$1,0)),元データ_14項目!$A$2:$A$1300,$A167,元データ_14項目!$B$2:$B$1300,"本年",元データ_14項目!$C$2:$C$1300,C$5)</f>
        <v>60</v>
      </c>
      <c r="D167" s="26">
        <f>SUMIFS(INDEX(元データ_14項目!$D$2:$Q$1300,0,MATCH($B167,元データ_14項目!$D$1:$Q$1,0)),元データ_14項目!$A$2:$A$1300,$A167,元データ_14項目!$B$2:$B$1300,"本年",元データ_14項目!$C$2:$C$1300,D$5)</f>
        <v>43</v>
      </c>
      <c r="E167" s="26">
        <f>SUMIFS(INDEX(元データ_14項目!$D$2:$Q$1300,0,MATCH($B167,元データ_14項目!$D$1:$Q$1,0)),元データ_14項目!$A$2:$A$1300,$A167,元データ_14項目!$B$2:$B$1300,"本年",元データ_14項目!$C$2:$C$1300,E$5)</f>
        <v>79</v>
      </c>
      <c r="F167" s="26">
        <f>SUMIFS(INDEX(元データ_14項目!$D$2:$Q$1300,0,MATCH($B167,元データ_14項目!$D$1:$Q$1,0)),元データ_14項目!$A$2:$A$1300,$A167,元データ_14項目!$B$2:$B$1300,"本年",元データ_14項目!$C$2:$C$1300,F$5)</f>
        <v>87</v>
      </c>
      <c r="G167" s="26">
        <f>SUMIFS(INDEX(元データ_14項目!$D$2:$Q$1300,0,MATCH($B167,元データ_14項目!$D$1:$Q$1,0)),元データ_14項目!$A$2:$A$1300,$A167,元データ_14項目!$B$2:$B$1300,"本年",元データ_14項目!$C$2:$C$1300,G$5)</f>
        <v>140</v>
      </c>
      <c r="H167" s="26">
        <f>SUMIFS(INDEX(元データ_14項目!$D$2:$Q$1300,0,MATCH($B167,元データ_14項目!$D$1:$Q$1,0)),元データ_14項目!$A$2:$A$1300,$A167,元データ_14項目!$B$2:$B$1300,"本年",元データ_14項目!$C$2:$C$1300,H$5)</f>
        <v>135</v>
      </c>
      <c r="I167" s="26">
        <f>SUMIFS(INDEX(元データ_14項目!$D$2:$Q$1300,0,MATCH($B167,元データ_14項目!$D$1:$Q$1,0)),元データ_14項目!$A$2:$A$1300,$A167,元データ_14項目!$B$2:$B$1300,"本年",元データ_14項目!$C$2:$C$1300,I$5)</f>
        <v>96</v>
      </c>
      <c r="J167" s="26">
        <f>SUMIFS(INDEX(元データ_14項目!$D$2:$Q$1300,0,MATCH($B167,元データ_14項目!$D$1:$Q$1,0)),元データ_14項目!$A$2:$A$1300,$A167,元データ_14項目!$B$2:$B$1300,"本年",元データ_14項目!$C$2:$C$1300,J$5)</f>
        <v>182</v>
      </c>
      <c r="K167" s="26">
        <f>SUMIFS(INDEX(元データ_14項目!$D$2:$Q$1300,0,MATCH($B167,元データ_14項目!$D$1:$Q$1,0)),元データ_14項目!$A$2:$A$1300,$A167,元データ_14項目!$B$2:$B$1300,"本年",元データ_14項目!$C$2:$C$1300,K$5)</f>
        <v>426</v>
      </c>
      <c r="L167" s="26">
        <f>SUMIFS(INDEX(元データ_14項目!$D$2:$Q$1300,0,MATCH($B167,元データ_14項目!$D$1:$Q$1,0)),元データ_14項目!$A$2:$A$1300,$A167,元データ_14項目!$B$2:$B$1300,"本年",元データ_14項目!$C$2:$C$1300,L$5)</f>
        <v>259</v>
      </c>
      <c r="M167" s="26">
        <f>SUMIFS(INDEX(元データ_14項目!$D$2:$Q$1300,0,MATCH($B167,元データ_14項目!$D$1:$Q$1,0)),元データ_14項目!$A$2:$A$1300,$A167,元データ_14項目!$B$2:$B$1300,"本年",元データ_14項目!$C$2:$C$1300,M$5)</f>
        <v>123</v>
      </c>
      <c r="N167" s="26">
        <f>SUMIFS(INDEX(元データ_14項目!$D$2:$Q$1300,0,MATCH($B167,元データ_14項目!$D$1:$Q$1,0)),元データ_14項目!$A$2:$A$1300,$A167,元データ_14項目!$B$2:$B$1300,"本年",元データ_14項目!$C$2:$C$1300,N$5)</f>
        <v>60</v>
      </c>
      <c r="O167" s="26">
        <f t="shared" si="4"/>
        <v>1690</v>
      </c>
      <c r="P167" s="26">
        <f>SUMIFS(INDEX(元データ_14項目!$D$2:$Q$1300,0,MATCH($B167,元データ_14項目!$D$1:$Q$1,0)),元データ_14項目!$A$2:$A$1300,$A167,元データ_14項目!$B$2:$B$1300,"前年")</f>
        <v>1952</v>
      </c>
      <c r="Q167" s="7">
        <f t="shared" si="5"/>
        <v>0.86577868852459017</v>
      </c>
    </row>
    <row r="168" spans="1:17" x14ac:dyDescent="0.45">
      <c r="A168" t="s">
        <v>46</v>
      </c>
      <c r="B168" t="s">
        <v>94</v>
      </c>
      <c r="C168" s="26">
        <f>SUMIFS(INDEX(元データ_14項目!$D$2:$Q$1300,0,MATCH($B168,元データ_14項目!$D$1:$Q$1,0)),元データ_14項目!$A$2:$A$1300,$A168,元データ_14項目!$B$2:$B$1300,"本年",元データ_14項目!$C$2:$C$1300,C$5)</f>
        <v>36</v>
      </c>
      <c r="D168" s="26">
        <f>SUMIFS(INDEX(元データ_14項目!$D$2:$Q$1300,0,MATCH($B168,元データ_14項目!$D$1:$Q$1,0)),元データ_14項目!$A$2:$A$1300,$A168,元データ_14項目!$B$2:$B$1300,"本年",元データ_14項目!$C$2:$C$1300,D$5)</f>
        <v>24</v>
      </c>
      <c r="E168" s="26">
        <f>SUMIFS(INDEX(元データ_14項目!$D$2:$Q$1300,0,MATCH($B168,元データ_14項目!$D$1:$Q$1,0)),元データ_14項目!$A$2:$A$1300,$A168,元データ_14項目!$B$2:$B$1300,"本年",元データ_14項目!$C$2:$C$1300,E$5)</f>
        <v>63</v>
      </c>
      <c r="F168" s="26">
        <f>SUMIFS(INDEX(元データ_14項目!$D$2:$Q$1300,0,MATCH($B168,元データ_14項目!$D$1:$Q$1,0)),元データ_14項目!$A$2:$A$1300,$A168,元データ_14項目!$B$2:$B$1300,"本年",元データ_14項目!$C$2:$C$1300,F$5)</f>
        <v>46</v>
      </c>
      <c r="G168" s="26">
        <f>SUMIFS(INDEX(元データ_14項目!$D$2:$Q$1300,0,MATCH($B168,元データ_14項目!$D$1:$Q$1,0)),元データ_14項目!$A$2:$A$1300,$A168,元データ_14項目!$B$2:$B$1300,"本年",元データ_14項目!$C$2:$C$1300,G$5)</f>
        <v>63</v>
      </c>
      <c r="H168" s="26">
        <f>SUMIFS(INDEX(元データ_14項目!$D$2:$Q$1300,0,MATCH($B168,元データ_14項目!$D$1:$Q$1,0)),元データ_14項目!$A$2:$A$1300,$A168,元データ_14項目!$B$2:$B$1300,"本年",元データ_14項目!$C$2:$C$1300,H$5)</f>
        <v>55</v>
      </c>
      <c r="I168" s="26">
        <f>SUMIFS(INDEX(元データ_14項目!$D$2:$Q$1300,0,MATCH($B168,元データ_14項目!$D$1:$Q$1,0)),元データ_14項目!$A$2:$A$1300,$A168,元データ_14項目!$B$2:$B$1300,"本年",元データ_14項目!$C$2:$C$1300,I$5)</f>
        <v>26</v>
      </c>
      <c r="J168" s="26">
        <f>SUMIFS(INDEX(元データ_14項目!$D$2:$Q$1300,0,MATCH($B168,元データ_14項目!$D$1:$Q$1,0)),元データ_14項目!$A$2:$A$1300,$A168,元データ_14項目!$B$2:$B$1300,"本年",元データ_14項目!$C$2:$C$1300,J$5)</f>
        <v>48</v>
      </c>
      <c r="K168" s="26">
        <f>SUMIFS(INDEX(元データ_14項目!$D$2:$Q$1300,0,MATCH($B168,元データ_14項目!$D$1:$Q$1,0)),元データ_14項目!$A$2:$A$1300,$A168,元データ_14項目!$B$2:$B$1300,"本年",元データ_14項目!$C$2:$C$1300,K$5)</f>
        <v>134</v>
      </c>
      <c r="L168" s="26">
        <f>SUMIFS(INDEX(元データ_14項目!$D$2:$Q$1300,0,MATCH($B168,元データ_14項目!$D$1:$Q$1,0)),元データ_14項目!$A$2:$A$1300,$A168,元データ_14項目!$B$2:$B$1300,"本年",元データ_14項目!$C$2:$C$1300,L$5)</f>
        <v>99</v>
      </c>
      <c r="M168" s="26">
        <f>SUMIFS(INDEX(元データ_14項目!$D$2:$Q$1300,0,MATCH($B168,元データ_14項目!$D$1:$Q$1,0)),元データ_14項目!$A$2:$A$1300,$A168,元データ_14項目!$B$2:$B$1300,"本年",元データ_14項目!$C$2:$C$1300,M$5)</f>
        <v>77</v>
      </c>
      <c r="N168" s="26">
        <f>SUMIFS(INDEX(元データ_14項目!$D$2:$Q$1300,0,MATCH($B168,元データ_14項目!$D$1:$Q$1,0)),元データ_14項目!$A$2:$A$1300,$A168,元データ_14項目!$B$2:$B$1300,"本年",元データ_14項目!$C$2:$C$1300,N$5)</f>
        <v>43</v>
      </c>
      <c r="O168" s="26">
        <f t="shared" si="4"/>
        <v>714</v>
      </c>
      <c r="P168" s="26">
        <f>SUMIFS(INDEX(元データ_14項目!$D$2:$Q$1300,0,MATCH($B168,元データ_14項目!$D$1:$Q$1,0)),元データ_14項目!$A$2:$A$1300,$A168,元データ_14項目!$B$2:$B$1300,"前年")</f>
        <v>770</v>
      </c>
      <c r="Q168" s="7">
        <f t="shared" si="5"/>
        <v>0.92727272727272725</v>
      </c>
    </row>
    <row r="169" spans="1:17" x14ac:dyDescent="0.45">
      <c r="A169" t="s">
        <v>46</v>
      </c>
      <c r="B169" t="s">
        <v>95</v>
      </c>
      <c r="C169" s="26">
        <f>SUMIFS(INDEX(元データ_14項目!$D$2:$Q$1300,0,MATCH($B169,元データ_14項目!$D$1:$Q$1,0)),元データ_14項目!$A$2:$A$1300,$A169,元データ_14項目!$B$2:$B$1300,"本年",元データ_14項目!$C$2:$C$1300,C$5)</f>
        <v>42</v>
      </c>
      <c r="D169" s="26">
        <f>SUMIFS(INDEX(元データ_14項目!$D$2:$Q$1300,0,MATCH($B169,元データ_14項目!$D$1:$Q$1,0)),元データ_14項目!$A$2:$A$1300,$A169,元データ_14項目!$B$2:$B$1300,"本年",元データ_14項目!$C$2:$C$1300,D$5)</f>
        <v>78</v>
      </c>
      <c r="E169" s="26">
        <f>SUMIFS(INDEX(元データ_14項目!$D$2:$Q$1300,0,MATCH($B169,元データ_14項目!$D$1:$Q$1,0)),元データ_14項目!$A$2:$A$1300,$A169,元データ_14項目!$B$2:$B$1300,"本年",元データ_14項目!$C$2:$C$1300,E$5)</f>
        <v>103</v>
      </c>
      <c r="F169" s="26">
        <f>SUMIFS(INDEX(元データ_14項目!$D$2:$Q$1300,0,MATCH($B169,元データ_14項目!$D$1:$Q$1,0)),元データ_14項目!$A$2:$A$1300,$A169,元データ_14項目!$B$2:$B$1300,"本年",元データ_14項目!$C$2:$C$1300,F$5)</f>
        <v>66</v>
      </c>
      <c r="G169" s="26">
        <f>SUMIFS(INDEX(元データ_14項目!$D$2:$Q$1300,0,MATCH($B169,元データ_14項目!$D$1:$Q$1,0)),元データ_14項目!$A$2:$A$1300,$A169,元データ_14項目!$B$2:$B$1300,"本年",元データ_14項目!$C$2:$C$1300,G$5)</f>
        <v>46</v>
      </c>
      <c r="H169" s="26">
        <f>SUMIFS(INDEX(元データ_14項目!$D$2:$Q$1300,0,MATCH($B169,元データ_14項目!$D$1:$Q$1,0)),元データ_14項目!$A$2:$A$1300,$A169,元データ_14項目!$B$2:$B$1300,"本年",元データ_14項目!$C$2:$C$1300,H$5)</f>
        <v>47</v>
      </c>
      <c r="I169" s="26">
        <f>SUMIFS(INDEX(元データ_14項目!$D$2:$Q$1300,0,MATCH($B169,元データ_14項目!$D$1:$Q$1,0)),元データ_14項目!$A$2:$A$1300,$A169,元データ_14項目!$B$2:$B$1300,"本年",元データ_14項目!$C$2:$C$1300,I$5)</f>
        <v>17</v>
      </c>
      <c r="J169" s="26">
        <f>SUMIFS(INDEX(元データ_14項目!$D$2:$Q$1300,0,MATCH($B169,元データ_14項目!$D$1:$Q$1,0)),元データ_14項目!$A$2:$A$1300,$A169,元データ_14項目!$B$2:$B$1300,"本年",元データ_14項目!$C$2:$C$1300,J$5)</f>
        <v>59</v>
      </c>
      <c r="K169" s="26">
        <f>SUMIFS(INDEX(元データ_14項目!$D$2:$Q$1300,0,MATCH($B169,元データ_14項目!$D$1:$Q$1,0)),元データ_14項目!$A$2:$A$1300,$A169,元データ_14項目!$B$2:$B$1300,"本年",元データ_14項目!$C$2:$C$1300,K$5)</f>
        <v>111</v>
      </c>
      <c r="L169" s="26">
        <f>SUMIFS(INDEX(元データ_14項目!$D$2:$Q$1300,0,MATCH($B169,元データ_14項目!$D$1:$Q$1,0)),元データ_14項目!$A$2:$A$1300,$A169,元データ_14項目!$B$2:$B$1300,"本年",元データ_14項目!$C$2:$C$1300,L$5)</f>
        <v>62</v>
      </c>
      <c r="M169" s="26">
        <f>SUMIFS(INDEX(元データ_14項目!$D$2:$Q$1300,0,MATCH($B169,元データ_14項目!$D$1:$Q$1,0)),元データ_14項目!$A$2:$A$1300,$A169,元データ_14項目!$B$2:$B$1300,"本年",元データ_14項目!$C$2:$C$1300,M$5)</f>
        <v>56</v>
      </c>
      <c r="N169" s="26">
        <f>SUMIFS(INDEX(元データ_14項目!$D$2:$Q$1300,0,MATCH($B169,元データ_14項目!$D$1:$Q$1,0)),元データ_14項目!$A$2:$A$1300,$A169,元データ_14項目!$B$2:$B$1300,"本年",元データ_14項目!$C$2:$C$1300,N$5)</f>
        <v>51</v>
      </c>
      <c r="O169" s="26">
        <f t="shared" si="4"/>
        <v>738</v>
      </c>
      <c r="P169" s="26">
        <f>SUMIFS(INDEX(元データ_14項目!$D$2:$Q$1300,0,MATCH($B169,元データ_14項目!$D$1:$Q$1,0)),元データ_14項目!$A$2:$A$1300,$A169,元データ_14項目!$B$2:$B$1300,"前年")</f>
        <v>752</v>
      </c>
      <c r="Q169" s="7">
        <f t="shared" si="5"/>
        <v>0.9813829787234043</v>
      </c>
    </row>
    <row r="170" spans="1:17" x14ac:dyDescent="0.45">
      <c r="A170" t="s">
        <v>46</v>
      </c>
      <c r="B170" t="s">
        <v>96</v>
      </c>
      <c r="C170" s="26">
        <f>SUMIFS(INDEX(元データ_14項目!$D$2:$Q$1300,0,MATCH($B170,元データ_14項目!$D$1:$Q$1,0)),元データ_14項目!$A$2:$A$1300,$A170,元データ_14項目!$B$2:$B$1300,"本年",元データ_14項目!$C$2:$C$1300,C$5)</f>
        <v>17</v>
      </c>
      <c r="D170" s="26">
        <f>SUMIFS(INDEX(元データ_14項目!$D$2:$Q$1300,0,MATCH($B170,元データ_14項目!$D$1:$Q$1,0)),元データ_14項目!$A$2:$A$1300,$A170,元データ_14項目!$B$2:$B$1300,"本年",元データ_14項目!$C$2:$C$1300,D$5)</f>
        <v>34</v>
      </c>
      <c r="E170" s="26">
        <f>SUMIFS(INDEX(元データ_14項目!$D$2:$Q$1300,0,MATCH($B170,元データ_14項目!$D$1:$Q$1,0)),元データ_14項目!$A$2:$A$1300,$A170,元データ_14項目!$B$2:$B$1300,"本年",元データ_14項目!$C$2:$C$1300,E$5)</f>
        <v>86</v>
      </c>
      <c r="F170" s="26">
        <f>SUMIFS(INDEX(元データ_14項目!$D$2:$Q$1300,0,MATCH($B170,元データ_14項目!$D$1:$Q$1,0)),元データ_14項目!$A$2:$A$1300,$A170,元データ_14項目!$B$2:$B$1300,"本年",元データ_14項目!$C$2:$C$1300,F$5)</f>
        <v>85</v>
      </c>
      <c r="G170" s="26">
        <f>SUMIFS(INDEX(元データ_14項目!$D$2:$Q$1300,0,MATCH($B170,元データ_14項目!$D$1:$Q$1,0)),元データ_14項目!$A$2:$A$1300,$A170,元データ_14項目!$B$2:$B$1300,"本年",元データ_14項目!$C$2:$C$1300,G$5)</f>
        <v>87</v>
      </c>
      <c r="H170" s="26">
        <f>SUMIFS(INDEX(元データ_14項目!$D$2:$Q$1300,0,MATCH($B170,元データ_14項目!$D$1:$Q$1,0)),元データ_14項目!$A$2:$A$1300,$A170,元データ_14項目!$B$2:$B$1300,"本年",元データ_14項目!$C$2:$C$1300,H$5)</f>
        <v>65</v>
      </c>
      <c r="I170" s="26">
        <f>SUMIFS(INDEX(元データ_14項目!$D$2:$Q$1300,0,MATCH($B170,元データ_14項目!$D$1:$Q$1,0)),元データ_14項目!$A$2:$A$1300,$A170,元データ_14項目!$B$2:$B$1300,"本年",元データ_14項目!$C$2:$C$1300,I$5)</f>
        <v>31</v>
      </c>
      <c r="J170" s="26">
        <f>SUMIFS(INDEX(元データ_14項目!$D$2:$Q$1300,0,MATCH($B170,元データ_14項目!$D$1:$Q$1,0)),元データ_14項目!$A$2:$A$1300,$A170,元データ_14項目!$B$2:$B$1300,"本年",元データ_14項目!$C$2:$C$1300,J$5)</f>
        <v>192</v>
      </c>
      <c r="K170" s="26">
        <f>SUMIFS(INDEX(元データ_14項目!$D$2:$Q$1300,0,MATCH($B170,元データ_14項目!$D$1:$Q$1,0)),元データ_14項目!$A$2:$A$1300,$A170,元データ_14項目!$B$2:$B$1300,"本年",元データ_14項目!$C$2:$C$1300,K$5)</f>
        <v>463</v>
      </c>
      <c r="L170" s="26">
        <f>SUMIFS(INDEX(元データ_14項目!$D$2:$Q$1300,0,MATCH($B170,元データ_14項目!$D$1:$Q$1,0)),元データ_14項目!$A$2:$A$1300,$A170,元データ_14項目!$B$2:$B$1300,"本年",元データ_14項目!$C$2:$C$1300,L$5)</f>
        <v>250</v>
      </c>
      <c r="M170" s="26">
        <f>SUMIFS(INDEX(元データ_14項目!$D$2:$Q$1300,0,MATCH($B170,元データ_14項目!$D$1:$Q$1,0)),元データ_14項目!$A$2:$A$1300,$A170,元データ_14項目!$B$2:$B$1300,"本年",元データ_14項目!$C$2:$C$1300,M$5)</f>
        <v>160</v>
      </c>
      <c r="N170" s="26">
        <f>SUMIFS(INDEX(元データ_14項目!$D$2:$Q$1300,0,MATCH($B170,元データ_14項目!$D$1:$Q$1,0)),元データ_14項目!$A$2:$A$1300,$A170,元データ_14項目!$B$2:$B$1300,"本年",元データ_14項目!$C$2:$C$1300,N$5)</f>
        <v>73</v>
      </c>
      <c r="O170" s="26">
        <f t="shared" si="4"/>
        <v>1543</v>
      </c>
      <c r="P170" s="26">
        <f>SUMIFS(INDEX(元データ_14項目!$D$2:$Q$1300,0,MATCH($B170,元データ_14項目!$D$1:$Q$1,0)),元データ_14項目!$A$2:$A$1300,$A170,元データ_14項目!$B$2:$B$1300,"前年")</f>
        <v>1782</v>
      </c>
      <c r="Q170" s="7">
        <f t="shared" si="5"/>
        <v>0.86588103254769921</v>
      </c>
    </row>
    <row r="171" spans="1:17" x14ac:dyDescent="0.45">
      <c r="A171" t="s">
        <v>46</v>
      </c>
      <c r="B171" t="s">
        <v>97</v>
      </c>
      <c r="C171" s="26">
        <f>SUMIFS(INDEX(元データ_14項目!$D$2:$Q$1300,0,MATCH($B171,元データ_14項目!$D$1:$Q$1,0)),元データ_14項目!$A$2:$A$1300,$A171,元データ_14項目!$B$2:$B$1300,"本年",元データ_14項目!$C$2:$C$1300,C$5)</f>
        <v>47</v>
      </c>
      <c r="D171" s="26">
        <f>SUMIFS(INDEX(元データ_14項目!$D$2:$Q$1300,0,MATCH($B171,元データ_14項目!$D$1:$Q$1,0)),元データ_14項目!$A$2:$A$1300,$A171,元データ_14項目!$B$2:$B$1300,"本年",元データ_14項目!$C$2:$C$1300,D$5)</f>
        <v>58</v>
      </c>
      <c r="E171" s="26">
        <f>SUMIFS(INDEX(元データ_14項目!$D$2:$Q$1300,0,MATCH($B171,元データ_14項目!$D$1:$Q$1,0)),元データ_14項目!$A$2:$A$1300,$A171,元データ_14項目!$B$2:$B$1300,"本年",元データ_14項目!$C$2:$C$1300,E$5)</f>
        <v>85</v>
      </c>
      <c r="F171" s="26">
        <f>SUMIFS(INDEX(元データ_14項目!$D$2:$Q$1300,0,MATCH($B171,元データ_14項目!$D$1:$Q$1,0)),元データ_14項目!$A$2:$A$1300,$A171,元データ_14項目!$B$2:$B$1300,"本年",元データ_14項目!$C$2:$C$1300,F$5)</f>
        <v>92</v>
      </c>
      <c r="G171" s="26">
        <f>SUMIFS(INDEX(元データ_14項目!$D$2:$Q$1300,0,MATCH($B171,元データ_14項目!$D$1:$Q$1,0)),元データ_14項目!$A$2:$A$1300,$A171,元データ_14項目!$B$2:$B$1300,"本年",元データ_14項目!$C$2:$C$1300,G$5)</f>
        <v>89</v>
      </c>
      <c r="H171" s="26">
        <f>SUMIFS(INDEX(元データ_14項目!$D$2:$Q$1300,0,MATCH($B171,元データ_14項目!$D$1:$Q$1,0)),元データ_14項目!$A$2:$A$1300,$A171,元データ_14項目!$B$2:$B$1300,"本年",元データ_14項目!$C$2:$C$1300,H$5)</f>
        <v>71</v>
      </c>
      <c r="I171" s="26">
        <f>SUMIFS(INDEX(元データ_14項目!$D$2:$Q$1300,0,MATCH($B171,元データ_14項目!$D$1:$Q$1,0)),元データ_14項目!$A$2:$A$1300,$A171,元データ_14項目!$B$2:$B$1300,"本年",元データ_14項目!$C$2:$C$1300,I$5)</f>
        <v>34</v>
      </c>
      <c r="J171" s="26">
        <f>SUMIFS(INDEX(元データ_14項目!$D$2:$Q$1300,0,MATCH($B171,元データ_14項目!$D$1:$Q$1,0)),元データ_14項目!$A$2:$A$1300,$A171,元データ_14項目!$B$2:$B$1300,"本年",元データ_14項目!$C$2:$C$1300,J$5)</f>
        <v>130</v>
      </c>
      <c r="K171" s="26">
        <f>SUMIFS(INDEX(元データ_14項目!$D$2:$Q$1300,0,MATCH($B171,元データ_14項目!$D$1:$Q$1,0)),元データ_14項目!$A$2:$A$1300,$A171,元データ_14項目!$B$2:$B$1300,"本年",元データ_14項目!$C$2:$C$1300,K$5)</f>
        <v>300</v>
      </c>
      <c r="L171" s="26">
        <f>SUMIFS(INDEX(元データ_14項目!$D$2:$Q$1300,0,MATCH($B171,元データ_14項目!$D$1:$Q$1,0)),元データ_14項目!$A$2:$A$1300,$A171,元データ_14項目!$B$2:$B$1300,"本年",元データ_14項目!$C$2:$C$1300,L$5)</f>
        <v>171</v>
      </c>
      <c r="M171" s="26">
        <f>SUMIFS(INDEX(元データ_14項目!$D$2:$Q$1300,0,MATCH($B171,元データ_14項目!$D$1:$Q$1,0)),元データ_14項目!$A$2:$A$1300,$A171,元データ_14項目!$B$2:$B$1300,"本年",元データ_14項目!$C$2:$C$1300,M$5)</f>
        <v>185</v>
      </c>
      <c r="N171" s="26">
        <f>SUMIFS(INDEX(元データ_14項目!$D$2:$Q$1300,0,MATCH($B171,元データ_14項目!$D$1:$Q$1,0)),元データ_14項目!$A$2:$A$1300,$A171,元データ_14項目!$B$2:$B$1300,"本年",元データ_14項目!$C$2:$C$1300,N$5)</f>
        <v>62</v>
      </c>
      <c r="O171" s="26">
        <f t="shared" si="4"/>
        <v>1324</v>
      </c>
      <c r="P171" s="26">
        <f>SUMIFS(INDEX(元データ_14項目!$D$2:$Q$1300,0,MATCH($B171,元データ_14項目!$D$1:$Q$1,0)),元データ_14項目!$A$2:$A$1300,$A171,元データ_14項目!$B$2:$B$1300,"前年")</f>
        <v>1441</v>
      </c>
      <c r="Q171" s="7">
        <f t="shared" si="5"/>
        <v>0.91880638445523943</v>
      </c>
    </row>
    <row r="172" spans="1:17" x14ac:dyDescent="0.45">
      <c r="A172" t="s">
        <v>46</v>
      </c>
      <c r="B172" t="s">
        <v>98</v>
      </c>
      <c r="C172" s="26">
        <f>SUMIFS(INDEX(元データ_14項目!$D$2:$Q$1300,0,MATCH($B172,元データ_14項目!$D$1:$Q$1,0)),元データ_14項目!$A$2:$A$1300,$A172,元データ_14項目!$B$2:$B$1300,"本年",元データ_14項目!$C$2:$C$1300,C$5)</f>
        <v>13</v>
      </c>
      <c r="D172" s="26">
        <f>SUMIFS(INDEX(元データ_14項目!$D$2:$Q$1300,0,MATCH($B172,元データ_14項目!$D$1:$Q$1,0)),元データ_14項目!$A$2:$A$1300,$A172,元データ_14項目!$B$2:$B$1300,"本年",元データ_14項目!$C$2:$C$1300,D$5)</f>
        <v>23</v>
      </c>
      <c r="E172" s="26">
        <f>SUMIFS(INDEX(元データ_14項目!$D$2:$Q$1300,0,MATCH($B172,元データ_14項目!$D$1:$Q$1,0)),元データ_14項目!$A$2:$A$1300,$A172,元データ_14項目!$B$2:$B$1300,"本年",元データ_14項目!$C$2:$C$1300,E$5)</f>
        <v>48</v>
      </c>
      <c r="F172" s="26">
        <f>SUMIFS(INDEX(元データ_14項目!$D$2:$Q$1300,0,MATCH($B172,元データ_14項目!$D$1:$Q$1,0)),元データ_14項目!$A$2:$A$1300,$A172,元データ_14項目!$B$2:$B$1300,"本年",元データ_14項目!$C$2:$C$1300,F$5)</f>
        <v>28</v>
      </c>
      <c r="G172" s="26">
        <f>SUMIFS(INDEX(元データ_14項目!$D$2:$Q$1300,0,MATCH($B172,元データ_14項目!$D$1:$Q$1,0)),元データ_14項目!$A$2:$A$1300,$A172,元データ_14項目!$B$2:$B$1300,"本年",元データ_14項目!$C$2:$C$1300,G$5)</f>
        <v>33</v>
      </c>
      <c r="H172" s="26">
        <f>SUMIFS(INDEX(元データ_14項目!$D$2:$Q$1300,0,MATCH($B172,元データ_14項目!$D$1:$Q$1,0)),元データ_14項目!$A$2:$A$1300,$A172,元データ_14項目!$B$2:$B$1300,"本年",元データ_14項目!$C$2:$C$1300,H$5)</f>
        <v>29</v>
      </c>
      <c r="I172" s="26">
        <f>SUMIFS(INDEX(元データ_14項目!$D$2:$Q$1300,0,MATCH($B172,元データ_14項目!$D$1:$Q$1,0)),元データ_14項目!$A$2:$A$1300,$A172,元データ_14項目!$B$2:$B$1300,"本年",元データ_14項目!$C$2:$C$1300,I$5)</f>
        <v>18</v>
      </c>
      <c r="J172" s="26">
        <f>SUMIFS(INDEX(元データ_14項目!$D$2:$Q$1300,0,MATCH($B172,元データ_14項目!$D$1:$Q$1,0)),元データ_14項目!$A$2:$A$1300,$A172,元データ_14項目!$B$2:$B$1300,"本年",元データ_14項目!$C$2:$C$1300,J$5)</f>
        <v>131</v>
      </c>
      <c r="K172" s="26">
        <f>SUMIFS(INDEX(元データ_14項目!$D$2:$Q$1300,0,MATCH($B172,元データ_14項目!$D$1:$Q$1,0)),元データ_14項目!$A$2:$A$1300,$A172,元データ_14項目!$B$2:$B$1300,"本年",元データ_14項目!$C$2:$C$1300,K$5)</f>
        <v>343</v>
      </c>
      <c r="L172" s="26">
        <f>SUMIFS(INDEX(元データ_14項目!$D$2:$Q$1300,0,MATCH($B172,元データ_14項目!$D$1:$Q$1,0)),元データ_14項目!$A$2:$A$1300,$A172,元データ_14項目!$B$2:$B$1300,"本年",元データ_14項目!$C$2:$C$1300,L$5)</f>
        <v>170</v>
      </c>
      <c r="M172" s="26">
        <f>SUMIFS(INDEX(元データ_14項目!$D$2:$Q$1300,0,MATCH($B172,元データ_14項目!$D$1:$Q$1,0)),元データ_14項目!$A$2:$A$1300,$A172,元データ_14項目!$B$2:$B$1300,"本年",元データ_14項目!$C$2:$C$1300,M$5)</f>
        <v>102</v>
      </c>
      <c r="N172" s="26">
        <f>SUMIFS(INDEX(元データ_14項目!$D$2:$Q$1300,0,MATCH($B172,元データ_14項目!$D$1:$Q$1,0)),元データ_14項目!$A$2:$A$1300,$A172,元データ_14項目!$B$2:$B$1300,"本年",元データ_14項目!$C$2:$C$1300,N$5)</f>
        <v>39</v>
      </c>
      <c r="O172" s="26">
        <f t="shared" si="4"/>
        <v>977</v>
      </c>
      <c r="P172" s="26">
        <f>SUMIFS(INDEX(元データ_14項目!$D$2:$Q$1300,0,MATCH($B172,元データ_14項目!$D$1:$Q$1,0)),元データ_14項目!$A$2:$A$1300,$A172,元データ_14項目!$B$2:$B$1300,"前年")</f>
        <v>1049</v>
      </c>
      <c r="Q172" s="7">
        <f t="shared" si="5"/>
        <v>0.93136320305052434</v>
      </c>
    </row>
    <row r="173" spans="1:17" x14ac:dyDescent="0.45">
      <c r="A173" t="s">
        <v>46</v>
      </c>
      <c r="B173" t="s">
        <v>99</v>
      </c>
      <c r="C173" s="26">
        <f>SUMIFS(INDEX(元データ_14項目!$D$2:$Q$1300,0,MATCH($B173,元データ_14項目!$D$1:$Q$1,0)),元データ_14項目!$A$2:$A$1300,$A173,元データ_14項目!$B$2:$B$1300,"本年",元データ_14項目!$C$2:$C$1300,C$5)</f>
        <v>2</v>
      </c>
      <c r="D173" s="26">
        <f>SUMIFS(INDEX(元データ_14項目!$D$2:$Q$1300,0,MATCH($B173,元データ_14項目!$D$1:$Q$1,0)),元データ_14項目!$A$2:$A$1300,$A173,元データ_14項目!$B$2:$B$1300,"本年",元データ_14項目!$C$2:$C$1300,D$5)</f>
        <v>2</v>
      </c>
      <c r="E173" s="26">
        <f>SUMIFS(INDEX(元データ_14項目!$D$2:$Q$1300,0,MATCH($B173,元データ_14項目!$D$1:$Q$1,0)),元データ_14項目!$A$2:$A$1300,$A173,元データ_14項目!$B$2:$B$1300,"本年",元データ_14項目!$C$2:$C$1300,E$5)</f>
        <v>0</v>
      </c>
      <c r="F173" s="26">
        <f>SUMIFS(INDEX(元データ_14項目!$D$2:$Q$1300,0,MATCH($B173,元データ_14項目!$D$1:$Q$1,0)),元データ_14項目!$A$2:$A$1300,$A173,元データ_14項目!$B$2:$B$1300,"本年",元データ_14項目!$C$2:$C$1300,F$5)</f>
        <v>6</v>
      </c>
      <c r="G173" s="26">
        <f>SUMIFS(INDEX(元データ_14項目!$D$2:$Q$1300,0,MATCH($B173,元データ_14項目!$D$1:$Q$1,0)),元データ_14項目!$A$2:$A$1300,$A173,元データ_14項目!$B$2:$B$1300,"本年",元データ_14項目!$C$2:$C$1300,G$5)</f>
        <v>2</v>
      </c>
      <c r="H173" s="26">
        <f>SUMIFS(INDEX(元データ_14項目!$D$2:$Q$1300,0,MATCH($B173,元データ_14項目!$D$1:$Q$1,0)),元データ_14項目!$A$2:$A$1300,$A173,元データ_14項目!$B$2:$B$1300,"本年",元データ_14項目!$C$2:$C$1300,H$5)</f>
        <v>2</v>
      </c>
      <c r="I173" s="26">
        <f>SUMIFS(INDEX(元データ_14項目!$D$2:$Q$1300,0,MATCH($B173,元データ_14項目!$D$1:$Q$1,0)),元データ_14項目!$A$2:$A$1300,$A173,元データ_14項目!$B$2:$B$1300,"本年",元データ_14項目!$C$2:$C$1300,I$5)</f>
        <v>7</v>
      </c>
      <c r="J173" s="26">
        <f>SUMIFS(INDEX(元データ_14項目!$D$2:$Q$1300,0,MATCH($B173,元データ_14項目!$D$1:$Q$1,0)),元データ_14項目!$A$2:$A$1300,$A173,元データ_14項目!$B$2:$B$1300,"本年",元データ_14項目!$C$2:$C$1300,J$5)</f>
        <v>21</v>
      </c>
      <c r="K173" s="26">
        <f>SUMIFS(INDEX(元データ_14項目!$D$2:$Q$1300,0,MATCH($B173,元データ_14項目!$D$1:$Q$1,0)),元データ_14項目!$A$2:$A$1300,$A173,元データ_14項目!$B$2:$B$1300,"本年",元データ_14項目!$C$2:$C$1300,K$5)</f>
        <v>27</v>
      </c>
      <c r="L173" s="26">
        <f>SUMIFS(INDEX(元データ_14項目!$D$2:$Q$1300,0,MATCH($B173,元データ_14項目!$D$1:$Q$1,0)),元データ_14項目!$A$2:$A$1300,$A173,元データ_14項目!$B$2:$B$1300,"本年",元データ_14項目!$C$2:$C$1300,L$5)</f>
        <v>14</v>
      </c>
      <c r="M173" s="26">
        <f>SUMIFS(INDEX(元データ_14項目!$D$2:$Q$1300,0,MATCH($B173,元データ_14項目!$D$1:$Q$1,0)),元データ_14項目!$A$2:$A$1300,$A173,元データ_14項目!$B$2:$B$1300,"本年",元データ_14項目!$C$2:$C$1300,M$5)</f>
        <v>19</v>
      </c>
      <c r="N173" s="26">
        <f>SUMIFS(INDEX(元データ_14項目!$D$2:$Q$1300,0,MATCH($B173,元データ_14項目!$D$1:$Q$1,0)),元データ_14項目!$A$2:$A$1300,$A173,元データ_14項目!$B$2:$B$1300,"本年",元データ_14項目!$C$2:$C$1300,N$5)</f>
        <v>4</v>
      </c>
      <c r="O173" s="26">
        <f t="shared" si="4"/>
        <v>106</v>
      </c>
      <c r="P173" s="26">
        <f>SUMIFS(INDEX(元データ_14項目!$D$2:$Q$1300,0,MATCH($B173,元データ_14項目!$D$1:$Q$1,0)),元データ_14項目!$A$2:$A$1300,$A173,元データ_14項目!$B$2:$B$1300,"前年")</f>
        <v>111</v>
      </c>
      <c r="Q173" s="7">
        <f t="shared" si="5"/>
        <v>0.95495495495495497</v>
      </c>
    </row>
    <row r="174" spans="1:17" x14ac:dyDescent="0.45">
      <c r="A174" t="s">
        <v>47</v>
      </c>
      <c r="B174" t="s">
        <v>27</v>
      </c>
      <c r="C174" s="26">
        <f>SUMIFS(INDEX(元データ_14項目!$D$2:$Q$1300,0,MATCH($B174,元データ_14項目!$D$1:$Q$1,0)),元データ_14項目!$A$2:$A$1300,$A174,元データ_14項目!$B$2:$B$1300,"本年",元データ_14項目!$C$2:$C$1300,C$5)</f>
        <v>1481</v>
      </c>
      <c r="D174" s="26">
        <f>SUMIFS(INDEX(元データ_14項目!$D$2:$Q$1300,0,MATCH($B174,元データ_14項目!$D$1:$Q$1,0)),元データ_14項目!$A$2:$A$1300,$A174,元データ_14項目!$B$2:$B$1300,"本年",元データ_14項目!$C$2:$C$1300,D$5)</f>
        <v>1827</v>
      </c>
      <c r="E174" s="26">
        <f>SUMIFS(INDEX(元データ_14項目!$D$2:$Q$1300,0,MATCH($B174,元データ_14項目!$D$1:$Q$1,0)),元データ_14項目!$A$2:$A$1300,$A174,元データ_14項目!$B$2:$B$1300,"本年",元データ_14項目!$C$2:$C$1300,E$5)</f>
        <v>2154</v>
      </c>
      <c r="F174" s="26">
        <f>SUMIFS(INDEX(元データ_14項目!$D$2:$Q$1300,0,MATCH($B174,元データ_14項目!$D$1:$Q$1,0)),元データ_14項目!$A$2:$A$1300,$A174,元データ_14項目!$B$2:$B$1300,"本年",元データ_14項目!$C$2:$C$1300,F$5)</f>
        <v>1887</v>
      </c>
      <c r="G174" s="26">
        <f>SUMIFS(INDEX(元データ_14項目!$D$2:$Q$1300,0,MATCH($B174,元データ_14項目!$D$1:$Q$1,0)),元データ_14項目!$A$2:$A$1300,$A174,元データ_14項目!$B$2:$B$1300,"本年",元データ_14項目!$C$2:$C$1300,G$5)</f>
        <v>1909</v>
      </c>
      <c r="H174" s="26">
        <f>SUMIFS(INDEX(元データ_14項目!$D$2:$Q$1300,0,MATCH($B174,元データ_14項目!$D$1:$Q$1,0)),元データ_14項目!$A$2:$A$1300,$A174,元データ_14項目!$B$2:$B$1300,"本年",元データ_14項目!$C$2:$C$1300,H$5)</f>
        <v>1413</v>
      </c>
      <c r="I174" s="26">
        <f>SUMIFS(INDEX(元データ_14項目!$D$2:$Q$1300,0,MATCH($B174,元データ_14項目!$D$1:$Q$1,0)),元データ_14項目!$A$2:$A$1300,$A174,元データ_14項目!$B$2:$B$1300,"本年",元データ_14項目!$C$2:$C$1300,I$5)</f>
        <v>1434</v>
      </c>
      <c r="J174" s="26">
        <f>SUMIFS(INDEX(元データ_14項目!$D$2:$Q$1300,0,MATCH($B174,元データ_14項目!$D$1:$Q$1,0)),元データ_14項目!$A$2:$A$1300,$A174,元データ_14項目!$B$2:$B$1300,"本年",元データ_14項目!$C$2:$C$1300,J$5)</f>
        <v>1979</v>
      </c>
      <c r="K174" s="26">
        <f>SUMIFS(INDEX(元データ_14項目!$D$2:$Q$1300,0,MATCH($B174,元データ_14項目!$D$1:$Q$1,0)),元データ_14項目!$A$2:$A$1300,$A174,元データ_14項目!$B$2:$B$1300,"本年",元データ_14項目!$C$2:$C$1300,K$5)</f>
        <v>1793</v>
      </c>
      <c r="L174" s="26">
        <f>SUMIFS(INDEX(元データ_14項目!$D$2:$Q$1300,0,MATCH($B174,元データ_14項目!$D$1:$Q$1,0)),元データ_14項目!$A$2:$A$1300,$A174,元データ_14項目!$B$2:$B$1300,"本年",元データ_14項目!$C$2:$C$1300,L$5)</f>
        <v>1492</v>
      </c>
      <c r="M174" s="26">
        <f>SUMIFS(INDEX(元データ_14項目!$D$2:$Q$1300,0,MATCH($B174,元データ_14項目!$D$1:$Q$1,0)),元データ_14項目!$A$2:$A$1300,$A174,元データ_14項目!$B$2:$B$1300,"本年",元データ_14項目!$C$2:$C$1300,M$5)</f>
        <v>1824</v>
      </c>
      <c r="N174" s="26">
        <f>SUMIFS(INDEX(元データ_14項目!$D$2:$Q$1300,0,MATCH($B174,元データ_14項目!$D$1:$Q$1,0)),元データ_14項目!$A$2:$A$1300,$A174,元データ_14項目!$B$2:$B$1300,"本年",元データ_14項目!$C$2:$C$1300,N$5)</f>
        <v>1573</v>
      </c>
      <c r="O174" s="26">
        <f t="shared" si="4"/>
        <v>20766</v>
      </c>
      <c r="P174" s="26">
        <f>SUMIFS(INDEX(元データ_14項目!$D$2:$Q$1300,0,MATCH($B174,元データ_14項目!$D$1:$Q$1,0)),元データ_14項目!$A$2:$A$1300,$A174,元データ_14項目!$B$2:$B$1300,"前年")</f>
        <v>23713</v>
      </c>
      <c r="Q174" s="7">
        <f t="shared" si="5"/>
        <v>0.87572217770842997</v>
      </c>
    </row>
    <row r="175" spans="1:17" x14ac:dyDescent="0.45">
      <c r="A175" t="s">
        <v>47</v>
      </c>
      <c r="B175" t="s">
        <v>88</v>
      </c>
      <c r="C175" s="26">
        <f>SUMIFS(INDEX(元データ_14項目!$D$2:$Q$1300,0,MATCH($B175,元データ_14項目!$D$1:$Q$1,0)),元データ_14項目!$A$2:$A$1300,$A175,元データ_14項目!$B$2:$B$1300,"本年",元データ_14項目!$C$2:$C$1300,C$5)</f>
        <v>94</v>
      </c>
      <c r="D175" s="26">
        <f>SUMIFS(INDEX(元データ_14項目!$D$2:$Q$1300,0,MATCH($B175,元データ_14項目!$D$1:$Q$1,0)),元データ_14項目!$A$2:$A$1300,$A175,元データ_14項目!$B$2:$B$1300,"本年",元データ_14項目!$C$2:$C$1300,D$5)</f>
        <v>63</v>
      </c>
      <c r="E175" s="26">
        <f>SUMIFS(INDEX(元データ_14項目!$D$2:$Q$1300,0,MATCH($B175,元データ_14項目!$D$1:$Q$1,0)),元データ_14項目!$A$2:$A$1300,$A175,元データ_14項目!$B$2:$B$1300,"本年",元データ_14項目!$C$2:$C$1300,E$5)</f>
        <v>150</v>
      </c>
      <c r="F175" s="26">
        <f>SUMIFS(INDEX(元データ_14項目!$D$2:$Q$1300,0,MATCH($B175,元データ_14項目!$D$1:$Q$1,0)),元データ_14項目!$A$2:$A$1300,$A175,元データ_14項目!$B$2:$B$1300,"本年",元データ_14項目!$C$2:$C$1300,F$5)</f>
        <v>122</v>
      </c>
      <c r="G175" s="26">
        <f>SUMIFS(INDEX(元データ_14項目!$D$2:$Q$1300,0,MATCH($B175,元データ_14項目!$D$1:$Q$1,0)),元データ_14項目!$A$2:$A$1300,$A175,元データ_14項目!$B$2:$B$1300,"本年",元データ_14項目!$C$2:$C$1300,G$5)</f>
        <v>89</v>
      </c>
      <c r="H175" s="26">
        <f>SUMIFS(INDEX(元データ_14項目!$D$2:$Q$1300,0,MATCH($B175,元データ_14項目!$D$1:$Q$1,0)),元データ_14項目!$A$2:$A$1300,$A175,元データ_14項目!$B$2:$B$1300,"本年",元データ_14項目!$C$2:$C$1300,H$5)</f>
        <v>82</v>
      </c>
      <c r="I175" s="26">
        <f>SUMIFS(INDEX(元データ_14項目!$D$2:$Q$1300,0,MATCH($B175,元データ_14項目!$D$1:$Q$1,0)),元データ_14項目!$A$2:$A$1300,$A175,元データ_14項目!$B$2:$B$1300,"本年",元データ_14項目!$C$2:$C$1300,I$5)</f>
        <v>39</v>
      </c>
      <c r="J175" s="26">
        <f>SUMIFS(INDEX(元データ_14項目!$D$2:$Q$1300,0,MATCH($B175,元データ_14項目!$D$1:$Q$1,0)),元データ_14項目!$A$2:$A$1300,$A175,元データ_14項目!$B$2:$B$1300,"本年",元データ_14項目!$C$2:$C$1300,J$5)</f>
        <v>89</v>
      </c>
      <c r="K175" s="26">
        <f>SUMIFS(INDEX(元データ_14項目!$D$2:$Q$1300,0,MATCH($B175,元データ_14項目!$D$1:$Q$1,0)),元データ_14項目!$A$2:$A$1300,$A175,元データ_14項目!$B$2:$B$1300,"本年",元データ_14項目!$C$2:$C$1300,K$5)</f>
        <v>132</v>
      </c>
      <c r="L175" s="26">
        <f>SUMIFS(INDEX(元データ_14項目!$D$2:$Q$1300,0,MATCH($B175,元データ_14項目!$D$1:$Q$1,0)),元データ_14項目!$A$2:$A$1300,$A175,元データ_14項目!$B$2:$B$1300,"本年",元データ_14項目!$C$2:$C$1300,L$5)</f>
        <v>138</v>
      </c>
      <c r="M175" s="26">
        <f>SUMIFS(INDEX(元データ_14項目!$D$2:$Q$1300,0,MATCH($B175,元データ_14項目!$D$1:$Q$1,0)),元データ_14項目!$A$2:$A$1300,$A175,元データ_14項目!$B$2:$B$1300,"本年",元データ_14項目!$C$2:$C$1300,M$5)</f>
        <v>138</v>
      </c>
      <c r="N175" s="26">
        <f>SUMIFS(INDEX(元データ_14項目!$D$2:$Q$1300,0,MATCH($B175,元データ_14項目!$D$1:$Q$1,0)),元データ_14項目!$A$2:$A$1300,$A175,元データ_14項目!$B$2:$B$1300,"本年",元データ_14項目!$C$2:$C$1300,N$5)</f>
        <v>78</v>
      </c>
      <c r="O175" s="26">
        <f t="shared" si="4"/>
        <v>1214</v>
      </c>
      <c r="P175" s="26">
        <f>SUMIFS(INDEX(元データ_14項目!$D$2:$Q$1300,0,MATCH($B175,元データ_14項目!$D$1:$Q$1,0)),元データ_14項目!$A$2:$A$1300,$A175,元データ_14項目!$B$2:$B$1300,"前年")</f>
        <v>1221</v>
      </c>
      <c r="Q175" s="7">
        <f t="shared" si="5"/>
        <v>0.99426699426699428</v>
      </c>
    </row>
    <row r="176" spans="1:17" x14ac:dyDescent="0.45">
      <c r="A176" t="s">
        <v>47</v>
      </c>
      <c r="B176" t="s">
        <v>89</v>
      </c>
      <c r="C176" s="26">
        <f>SUMIFS(INDEX(元データ_14項目!$D$2:$Q$1300,0,MATCH($B176,元データ_14項目!$D$1:$Q$1,0)),元データ_14項目!$A$2:$A$1300,$A176,元データ_14項目!$B$2:$B$1300,"本年",元データ_14項目!$C$2:$C$1300,C$5)</f>
        <v>95</v>
      </c>
      <c r="D176" s="26">
        <f>SUMIFS(INDEX(元データ_14項目!$D$2:$Q$1300,0,MATCH($B176,元データ_14項目!$D$1:$Q$1,0)),元データ_14項目!$A$2:$A$1300,$A176,元データ_14項目!$B$2:$B$1300,"本年",元データ_14項目!$C$2:$C$1300,D$5)</f>
        <v>68</v>
      </c>
      <c r="E176" s="26">
        <f>SUMIFS(INDEX(元データ_14項目!$D$2:$Q$1300,0,MATCH($B176,元データ_14項目!$D$1:$Q$1,0)),元データ_14項目!$A$2:$A$1300,$A176,元データ_14項目!$B$2:$B$1300,"本年",元データ_14項目!$C$2:$C$1300,E$5)</f>
        <v>147</v>
      </c>
      <c r="F176" s="26">
        <f>SUMIFS(INDEX(元データ_14項目!$D$2:$Q$1300,0,MATCH($B176,元データ_14項目!$D$1:$Q$1,0)),元データ_14項目!$A$2:$A$1300,$A176,元データ_14項目!$B$2:$B$1300,"本年",元データ_14項目!$C$2:$C$1300,F$5)</f>
        <v>97</v>
      </c>
      <c r="G176" s="26">
        <f>SUMIFS(INDEX(元データ_14項目!$D$2:$Q$1300,0,MATCH($B176,元データ_14項目!$D$1:$Q$1,0)),元データ_14項目!$A$2:$A$1300,$A176,元データ_14項目!$B$2:$B$1300,"本年",元データ_14項目!$C$2:$C$1300,G$5)</f>
        <v>59</v>
      </c>
      <c r="H176" s="26">
        <f>SUMIFS(INDEX(元データ_14項目!$D$2:$Q$1300,0,MATCH($B176,元データ_14項目!$D$1:$Q$1,0)),元データ_14項目!$A$2:$A$1300,$A176,元データ_14項目!$B$2:$B$1300,"本年",元データ_14項目!$C$2:$C$1300,H$5)</f>
        <v>51</v>
      </c>
      <c r="I176" s="26">
        <f>SUMIFS(INDEX(元データ_14項目!$D$2:$Q$1300,0,MATCH($B176,元データ_14項目!$D$1:$Q$1,0)),元データ_14項目!$A$2:$A$1300,$A176,元データ_14項目!$B$2:$B$1300,"本年",元データ_14項目!$C$2:$C$1300,I$5)</f>
        <v>35</v>
      </c>
      <c r="J176" s="26">
        <f>SUMIFS(INDEX(元データ_14項目!$D$2:$Q$1300,0,MATCH($B176,元データ_14項目!$D$1:$Q$1,0)),元データ_14項目!$A$2:$A$1300,$A176,元データ_14項目!$B$2:$B$1300,"本年",元データ_14項目!$C$2:$C$1300,J$5)</f>
        <v>78</v>
      </c>
      <c r="K176" s="26">
        <f>SUMIFS(INDEX(元データ_14項目!$D$2:$Q$1300,0,MATCH($B176,元データ_14項目!$D$1:$Q$1,0)),元データ_14項目!$A$2:$A$1300,$A176,元データ_14項目!$B$2:$B$1300,"本年",元データ_14項目!$C$2:$C$1300,K$5)</f>
        <v>112</v>
      </c>
      <c r="L176" s="26">
        <f>SUMIFS(INDEX(元データ_14項目!$D$2:$Q$1300,0,MATCH($B176,元データ_14項目!$D$1:$Q$1,0)),元データ_14項目!$A$2:$A$1300,$A176,元データ_14項目!$B$2:$B$1300,"本年",元データ_14項目!$C$2:$C$1300,L$5)</f>
        <v>85</v>
      </c>
      <c r="M176" s="26">
        <f>SUMIFS(INDEX(元データ_14項目!$D$2:$Q$1300,0,MATCH($B176,元データ_14項目!$D$1:$Q$1,0)),元データ_14項目!$A$2:$A$1300,$A176,元データ_14項目!$B$2:$B$1300,"本年",元データ_14項目!$C$2:$C$1300,M$5)</f>
        <v>121</v>
      </c>
      <c r="N176" s="26">
        <f>SUMIFS(INDEX(元データ_14項目!$D$2:$Q$1300,0,MATCH($B176,元データ_14項目!$D$1:$Q$1,0)),元データ_14項目!$A$2:$A$1300,$A176,元データ_14項目!$B$2:$B$1300,"本年",元データ_14項目!$C$2:$C$1300,N$5)</f>
        <v>102</v>
      </c>
      <c r="O176" s="26">
        <f t="shared" si="4"/>
        <v>1050</v>
      </c>
      <c r="P176" s="26">
        <f>SUMIFS(INDEX(元データ_14項目!$D$2:$Q$1300,0,MATCH($B176,元データ_14項目!$D$1:$Q$1,0)),元データ_14項目!$A$2:$A$1300,$A176,元データ_14項目!$B$2:$B$1300,"前年")</f>
        <v>1089</v>
      </c>
      <c r="Q176" s="7">
        <f t="shared" si="5"/>
        <v>0.96418732782369143</v>
      </c>
    </row>
    <row r="177" spans="1:17" x14ac:dyDescent="0.45">
      <c r="A177" t="s">
        <v>47</v>
      </c>
      <c r="B177" t="s">
        <v>90</v>
      </c>
      <c r="C177" s="26">
        <f>SUMIFS(INDEX(元データ_14項目!$D$2:$Q$1300,0,MATCH($B177,元データ_14項目!$D$1:$Q$1,0)),元データ_14項目!$A$2:$A$1300,$A177,元データ_14項目!$B$2:$B$1300,"本年",元データ_14項目!$C$2:$C$1300,C$5)</f>
        <v>116</v>
      </c>
      <c r="D177" s="26">
        <f>SUMIFS(INDEX(元データ_14項目!$D$2:$Q$1300,0,MATCH($B177,元データ_14項目!$D$1:$Q$1,0)),元データ_14項目!$A$2:$A$1300,$A177,元データ_14項目!$B$2:$B$1300,"本年",元データ_14項目!$C$2:$C$1300,D$5)</f>
        <v>62</v>
      </c>
      <c r="E177" s="26">
        <f>SUMIFS(INDEX(元データ_14項目!$D$2:$Q$1300,0,MATCH($B177,元データ_14項目!$D$1:$Q$1,0)),元データ_14項目!$A$2:$A$1300,$A177,元データ_14項目!$B$2:$B$1300,"本年",元データ_14項目!$C$2:$C$1300,E$5)</f>
        <v>107</v>
      </c>
      <c r="F177" s="26">
        <f>SUMIFS(INDEX(元データ_14項目!$D$2:$Q$1300,0,MATCH($B177,元データ_14項目!$D$1:$Q$1,0)),元データ_14項目!$A$2:$A$1300,$A177,元データ_14項目!$B$2:$B$1300,"本年",元データ_14項目!$C$2:$C$1300,F$5)</f>
        <v>221</v>
      </c>
      <c r="G177" s="26">
        <f>SUMIFS(INDEX(元データ_14項目!$D$2:$Q$1300,0,MATCH($B177,元データ_14項目!$D$1:$Q$1,0)),元データ_14項目!$A$2:$A$1300,$A177,元データ_14項目!$B$2:$B$1300,"本年",元データ_14項目!$C$2:$C$1300,G$5)</f>
        <v>334</v>
      </c>
      <c r="H177" s="26">
        <f>SUMIFS(INDEX(元データ_14項目!$D$2:$Q$1300,0,MATCH($B177,元データ_14項目!$D$1:$Q$1,0)),元データ_14項目!$A$2:$A$1300,$A177,元データ_14項目!$B$2:$B$1300,"本年",元データ_14項目!$C$2:$C$1300,H$5)</f>
        <v>199</v>
      </c>
      <c r="I177" s="26">
        <f>SUMIFS(INDEX(元データ_14項目!$D$2:$Q$1300,0,MATCH($B177,元データ_14項目!$D$1:$Q$1,0)),元データ_14項目!$A$2:$A$1300,$A177,元データ_14項目!$B$2:$B$1300,"本年",元データ_14項目!$C$2:$C$1300,I$5)</f>
        <v>127</v>
      </c>
      <c r="J177" s="26">
        <f>SUMIFS(INDEX(元データ_14項目!$D$2:$Q$1300,0,MATCH($B177,元データ_14項目!$D$1:$Q$1,0)),元データ_14項目!$A$2:$A$1300,$A177,元データ_14項目!$B$2:$B$1300,"本年",元データ_14項目!$C$2:$C$1300,J$5)</f>
        <v>303</v>
      </c>
      <c r="K177" s="26">
        <f>SUMIFS(INDEX(元データ_14項目!$D$2:$Q$1300,0,MATCH($B177,元データ_14項目!$D$1:$Q$1,0)),元データ_14項目!$A$2:$A$1300,$A177,元データ_14項目!$B$2:$B$1300,"本年",元データ_14項目!$C$2:$C$1300,K$5)</f>
        <v>445</v>
      </c>
      <c r="L177" s="26">
        <f>SUMIFS(INDEX(元データ_14項目!$D$2:$Q$1300,0,MATCH($B177,元データ_14項目!$D$1:$Q$1,0)),元データ_14項目!$A$2:$A$1300,$A177,元データ_14項目!$B$2:$B$1300,"本年",元データ_14項目!$C$2:$C$1300,L$5)</f>
        <v>252</v>
      </c>
      <c r="M177" s="26">
        <f>SUMIFS(INDEX(元データ_14項目!$D$2:$Q$1300,0,MATCH($B177,元データ_14項目!$D$1:$Q$1,0)),元データ_14項目!$A$2:$A$1300,$A177,元データ_14項目!$B$2:$B$1300,"本年",元データ_14項目!$C$2:$C$1300,M$5)</f>
        <v>250</v>
      </c>
      <c r="N177" s="26">
        <f>SUMIFS(INDEX(元データ_14項目!$D$2:$Q$1300,0,MATCH($B177,元データ_14項目!$D$1:$Q$1,0)),元データ_14項目!$A$2:$A$1300,$A177,元データ_14項目!$B$2:$B$1300,"本年",元データ_14項目!$C$2:$C$1300,N$5)</f>
        <v>160</v>
      </c>
      <c r="O177" s="26">
        <f t="shared" si="4"/>
        <v>2576</v>
      </c>
      <c r="P177" s="26">
        <f>SUMIFS(INDEX(元データ_14項目!$D$2:$Q$1300,0,MATCH($B177,元データ_14項目!$D$1:$Q$1,0)),元データ_14項目!$A$2:$A$1300,$A177,元データ_14項目!$B$2:$B$1300,"前年")</f>
        <v>2835</v>
      </c>
      <c r="Q177" s="7">
        <f t="shared" si="5"/>
        <v>0.90864197530864199</v>
      </c>
    </row>
    <row r="178" spans="1:17" x14ac:dyDescent="0.45">
      <c r="A178" t="s">
        <v>47</v>
      </c>
      <c r="B178" t="s">
        <v>91</v>
      </c>
      <c r="C178" s="26">
        <f>SUMIFS(INDEX(元データ_14項目!$D$2:$Q$1300,0,MATCH($B178,元データ_14項目!$D$1:$Q$1,0)),元データ_14項目!$A$2:$A$1300,$A178,元データ_14項目!$B$2:$B$1300,"本年",元データ_14項目!$C$2:$C$1300,C$5)</f>
        <v>39</v>
      </c>
      <c r="D178" s="26">
        <f>SUMIFS(INDEX(元データ_14項目!$D$2:$Q$1300,0,MATCH($B178,元データ_14項目!$D$1:$Q$1,0)),元データ_14項目!$A$2:$A$1300,$A178,元データ_14項目!$B$2:$B$1300,"本年",元データ_14項目!$C$2:$C$1300,D$5)</f>
        <v>87</v>
      </c>
      <c r="E178" s="26">
        <f>SUMIFS(INDEX(元データ_14項目!$D$2:$Q$1300,0,MATCH($B178,元データ_14項目!$D$1:$Q$1,0)),元データ_14項目!$A$2:$A$1300,$A178,元データ_14項目!$B$2:$B$1300,"本年",元データ_14項目!$C$2:$C$1300,E$5)</f>
        <v>141</v>
      </c>
      <c r="F178" s="26">
        <f>SUMIFS(INDEX(元データ_14項目!$D$2:$Q$1300,0,MATCH($B178,元データ_14項目!$D$1:$Q$1,0)),元データ_14項目!$A$2:$A$1300,$A178,元データ_14項目!$B$2:$B$1300,"本年",元データ_14項目!$C$2:$C$1300,F$5)</f>
        <v>94</v>
      </c>
      <c r="G178" s="26">
        <f>SUMIFS(INDEX(元データ_14項目!$D$2:$Q$1300,0,MATCH($B178,元データ_14項目!$D$1:$Q$1,0)),元データ_14項目!$A$2:$A$1300,$A178,元データ_14項目!$B$2:$B$1300,"本年",元データ_14項目!$C$2:$C$1300,G$5)</f>
        <v>28</v>
      </c>
      <c r="H178" s="26">
        <f>SUMIFS(INDEX(元データ_14項目!$D$2:$Q$1300,0,MATCH($B178,元データ_14項目!$D$1:$Q$1,0)),元データ_14項目!$A$2:$A$1300,$A178,元データ_14項目!$B$2:$B$1300,"本年",元データ_14項目!$C$2:$C$1300,H$5)</f>
        <v>14</v>
      </c>
      <c r="I178" s="26">
        <f>SUMIFS(INDEX(元データ_14項目!$D$2:$Q$1300,0,MATCH($B178,元データ_14項目!$D$1:$Q$1,0)),元データ_14項目!$A$2:$A$1300,$A178,元データ_14項目!$B$2:$B$1300,"本年",元データ_14項目!$C$2:$C$1300,I$5)</f>
        <v>48</v>
      </c>
      <c r="J178" s="26">
        <f>SUMIFS(INDEX(元データ_14項目!$D$2:$Q$1300,0,MATCH($B178,元データ_14項目!$D$1:$Q$1,0)),元データ_14項目!$A$2:$A$1300,$A178,元データ_14項目!$B$2:$B$1300,"本年",元データ_14項目!$C$2:$C$1300,J$5)</f>
        <v>18</v>
      </c>
      <c r="K178" s="26">
        <f>SUMIFS(INDEX(元データ_14項目!$D$2:$Q$1300,0,MATCH($B178,元データ_14項目!$D$1:$Q$1,0)),元データ_14項目!$A$2:$A$1300,$A178,元データ_14項目!$B$2:$B$1300,"本年",元データ_14項目!$C$2:$C$1300,K$5)</f>
        <v>41</v>
      </c>
      <c r="L178" s="26">
        <f>SUMIFS(INDEX(元データ_14項目!$D$2:$Q$1300,0,MATCH($B178,元データ_14項目!$D$1:$Q$1,0)),元データ_14項目!$A$2:$A$1300,$A178,元データ_14項目!$B$2:$B$1300,"本年",元データ_14項目!$C$2:$C$1300,L$5)</f>
        <v>59</v>
      </c>
      <c r="M178" s="26">
        <f>SUMIFS(INDEX(元データ_14項目!$D$2:$Q$1300,0,MATCH($B178,元データ_14項目!$D$1:$Q$1,0)),元データ_14項目!$A$2:$A$1300,$A178,元データ_14項目!$B$2:$B$1300,"本年",元データ_14項目!$C$2:$C$1300,M$5)</f>
        <v>56</v>
      </c>
      <c r="N178" s="26">
        <f>SUMIFS(INDEX(元データ_14項目!$D$2:$Q$1300,0,MATCH($B178,元データ_14項目!$D$1:$Q$1,0)),元データ_14項目!$A$2:$A$1300,$A178,元データ_14項目!$B$2:$B$1300,"本年",元データ_14項目!$C$2:$C$1300,N$5)</f>
        <v>41</v>
      </c>
      <c r="O178" s="26">
        <f t="shared" si="4"/>
        <v>666</v>
      </c>
      <c r="P178" s="26">
        <f>SUMIFS(INDEX(元データ_14項目!$D$2:$Q$1300,0,MATCH($B178,元データ_14項目!$D$1:$Q$1,0)),元データ_14項目!$A$2:$A$1300,$A178,元データ_14項目!$B$2:$B$1300,"前年")</f>
        <v>695</v>
      </c>
      <c r="Q178" s="7">
        <f t="shared" si="5"/>
        <v>0.95827338129496398</v>
      </c>
    </row>
    <row r="179" spans="1:17" x14ac:dyDescent="0.45">
      <c r="A179" t="s">
        <v>47</v>
      </c>
      <c r="B179" t="s">
        <v>28</v>
      </c>
      <c r="C179" s="26">
        <f>SUMIFS(INDEX(元データ_14項目!$D$2:$Q$1300,0,MATCH($B179,元データ_14項目!$D$1:$Q$1,0)),元データ_14項目!$A$2:$A$1300,$A179,元データ_14項目!$B$2:$B$1300,"本年",元データ_14項目!$C$2:$C$1300,C$5)</f>
        <v>405</v>
      </c>
      <c r="D179" s="26">
        <f>SUMIFS(INDEX(元データ_14項目!$D$2:$Q$1300,0,MATCH($B179,元データ_14項目!$D$1:$Q$1,0)),元データ_14項目!$A$2:$A$1300,$A179,元データ_14項目!$B$2:$B$1300,"本年",元データ_14項目!$C$2:$C$1300,D$5)</f>
        <v>470</v>
      </c>
      <c r="E179" s="26">
        <f>SUMIFS(INDEX(元データ_14項目!$D$2:$Q$1300,0,MATCH($B179,元データ_14項目!$D$1:$Q$1,0)),元データ_14項目!$A$2:$A$1300,$A179,元データ_14項目!$B$2:$B$1300,"本年",元データ_14項目!$C$2:$C$1300,E$5)</f>
        <v>578</v>
      </c>
      <c r="F179" s="26">
        <f>SUMIFS(INDEX(元データ_14項目!$D$2:$Q$1300,0,MATCH($B179,元データ_14項目!$D$1:$Q$1,0)),元データ_14項目!$A$2:$A$1300,$A179,元データ_14項目!$B$2:$B$1300,"本年",元データ_14項目!$C$2:$C$1300,F$5)</f>
        <v>452</v>
      </c>
      <c r="G179" s="26">
        <f>SUMIFS(INDEX(元データ_14項目!$D$2:$Q$1300,0,MATCH($B179,元データ_14項目!$D$1:$Q$1,0)),元データ_14項目!$A$2:$A$1300,$A179,元データ_14項目!$B$2:$B$1300,"本年",元データ_14項目!$C$2:$C$1300,G$5)</f>
        <v>371</v>
      </c>
      <c r="H179" s="26">
        <f>SUMIFS(INDEX(元データ_14項目!$D$2:$Q$1300,0,MATCH($B179,元データ_14項目!$D$1:$Q$1,0)),元データ_14項目!$A$2:$A$1300,$A179,元データ_14項目!$B$2:$B$1300,"本年",元データ_14項目!$C$2:$C$1300,H$5)</f>
        <v>181</v>
      </c>
      <c r="I179" s="26">
        <f>SUMIFS(INDEX(元データ_14項目!$D$2:$Q$1300,0,MATCH($B179,元データ_14項目!$D$1:$Q$1,0)),元データ_14項目!$A$2:$A$1300,$A179,元データ_14項目!$B$2:$B$1300,"本年",元データ_14項目!$C$2:$C$1300,I$5)</f>
        <v>214</v>
      </c>
      <c r="J179" s="26">
        <f>SUMIFS(INDEX(元データ_14項目!$D$2:$Q$1300,0,MATCH($B179,元データ_14項目!$D$1:$Q$1,0)),元データ_14項目!$A$2:$A$1300,$A179,元データ_14項目!$B$2:$B$1300,"本年",元データ_14項目!$C$2:$C$1300,J$5)</f>
        <v>204</v>
      </c>
      <c r="K179" s="26">
        <f>SUMIFS(INDEX(元データ_14項目!$D$2:$Q$1300,0,MATCH($B179,元データ_14項目!$D$1:$Q$1,0)),元データ_14項目!$A$2:$A$1300,$A179,元データ_14項目!$B$2:$B$1300,"本年",元データ_14項目!$C$2:$C$1300,K$5)</f>
        <v>383</v>
      </c>
      <c r="L179" s="26">
        <f>SUMIFS(INDEX(元データ_14項目!$D$2:$Q$1300,0,MATCH($B179,元データ_14項目!$D$1:$Q$1,0)),元データ_14項目!$A$2:$A$1300,$A179,元データ_14項目!$B$2:$B$1300,"本年",元データ_14項目!$C$2:$C$1300,L$5)</f>
        <v>418</v>
      </c>
      <c r="M179" s="26">
        <f>SUMIFS(INDEX(元データ_14項目!$D$2:$Q$1300,0,MATCH($B179,元データ_14項目!$D$1:$Q$1,0)),元データ_14項目!$A$2:$A$1300,$A179,元データ_14項目!$B$2:$B$1300,"本年",元データ_14項目!$C$2:$C$1300,M$5)</f>
        <v>366</v>
      </c>
      <c r="N179" s="26">
        <f>SUMIFS(INDEX(元データ_14項目!$D$2:$Q$1300,0,MATCH($B179,元データ_14項目!$D$1:$Q$1,0)),元データ_14項目!$A$2:$A$1300,$A179,元データ_14項目!$B$2:$B$1300,"本年",元データ_14項目!$C$2:$C$1300,N$5)</f>
        <v>386</v>
      </c>
      <c r="O179" s="26">
        <f t="shared" si="4"/>
        <v>4428</v>
      </c>
      <c r="P179" s="26">
        <f>SUMIFS(INDEX(元データ_14項目!$D$2:$Q$1300,0,MATCH($B179,元データ_14項目!$D$1:$Q$1,0)),元データ_14項目!$A$2:$A$1300,$A179,元データ_14項目!$B$2:$B$1300,"前年")</f>
        <v>4815</v>
      </c>
      <c r="Q179" s="7">
        <f t="shared" si="5"/>
        <v>0.9196261682242991</v>
      </c>
    </row>
    <row r="180" spans="1:17" x14ac:dyDescent="0.45">
      <c r="A180" t="s">
        <v>47</v>
      </c>
      <c r="B180" t="s">
        <v>92</v>
      </c>
      <c r="C180" s="26">
        <f>SUMIFS(INDEX(元データ_14項目!$D$2:$Q$1300,0,MATCH($B180,元データ_14項目!$D$1:$Q$1,0)),元データ_14項目!$A$2:$A$1300,$A180,元データ_14項目!$B$2:$B$1300,"本年",元データ_14項目!$C$2:$C$1300,C$5)</f>
        <v>43</v>
      </c>
      <c r="D180" s="26">
        <f>SUMIFS(INDEX(元データ_14項目!$D$2:$Q$1300,0,MATCH($B180,元データ_14項目!$D$1:$Q$1,0)),元データ_14項目!$A$2:$A$1300,$A180,元データ_14項目!$B$2:$B$1300,"本年",元データ_14項目!$C$2:$C$1300,D$5)</f>
        <v>62</v>
      </c>
      <c r="E180" s="26">
        <f>SUMIFS(INDEX(元データ_14項目!$D$2:$Q$1300,0,MATCH($B180,元データ_14項目!$D$1:$Q$1,0)),元データ_14項目!$A$2:$A$1300,$A180,元データ_14項目!$B$2:$B$1300,"本年",元データ_14項目!$C$2:$C$1300,E$5)</f>
        <v>90</v>
      </c>
      <c r="F180" s="26">
        <f>SUMIFS(INDEX(元データ_14項目!$D$2:$Q$1300,0,MATCH($B180,元データ_14項目!$D$1:$Q$1,0)),元データ_14項目!$A$2:$A$1300,$A180,元データ_14項目!$B$2:$B$1300,"本年",元データ_14項目!$C$2:$C$1300,F$5)</f>
        <v>73</v>
      </c>
      <c r="G180" s="26">
        <f>SUMIFS(INDEX(元データ_14項目!$D$2:$Q$1300,0,MATCH($B180,元データ_14項目!$D$1:$Q$1,0)),元データ_14項目!$A$2:$A$1300,$A180,元データ_14項目!$B$2:$B$1300,"本年",元データ_14項目!$C$2:$C$1300,G$5)</f>
        <v>59</v>
      </c>
      <c r="H180" s="26">
        <f>SUMIFS(INDEX(元データ_14項目!$D$2:$Q$1300,0,MATCH($B180,元データ_14項目!$D$1:$Q$1,0)),元データ_14項目!$A$2:$A$1300,$A180,元データ_14項目!$B$2:$B$1300,"本年",元データ_14項目!$C$2:$C$1300,H$5)</f>
        <v>51</v>
      </c>
      <c r="I180" s="26">
        <f>SUMIFS(INDEX(元データ_14項目!$D$2:$Q$1300,0,MATCH($B180,元データ_14項目!$D$1:$Q$1,0)),元データ_14項目!$A$2:$A$1300,$A180,元データ_14項目!$B$2:$B$1300,"本年",元データ_14項目!$C$2:$C$1300,I$5)</f>
        <v>23</v>
      </c>
      <c r="J180" s="26">
        <f>SUMIFS(INDEX(元データ_14項目!$D$2:$Q$1300,0,MATCH($B180,元データ_14項目!$D$1:$Q$1,0)),元データ_14項目!$A$2:$A$1300,$A180,元データ_14項目!$B$2:$B$1300,"本年",元データ_14項目!$C$2:$C$1300,J$5)</f>
        <v>44</v>
      </c>
      <c r="K180" s="26">
        <f>SUMIFS(INDEX(元データ_14項目!$D$2:$Q$1300,0,MATCH($B180,元データ_14項目!$D$1:$Q$1,0)),元データ_14項目!$A$2:$A$1300,$A180,元データ_14項目!$B$2:$B$1300,"本年",元データ_14項目!$C$2:$C$1300,K$5)</f>
        <v>149</v>
      </c>
      <c r="L180" s="26">
        <f>SUMIFS(INDEX(元データ_14項目!$D$2:$Q$1300,0,MATCH($B180,元データ_14項目!$D$1:$Q$1,0)),元データ_14項目!$A$2:$A$1300,$A180,元データ_14項目!$B$2:$B$1300,"本年",元データ_14項目!$C$2:$C$1300,L$5)</f>
        <v>74</v>
      </c>
      <c r="M180" s="26">
        <f>SUMIFS(INDEX(元データ_14項目!$D$2:$Q$1300,0,MATCH($B180,元データ_14項目!$D$1:$Q$1,0)),元データ_14項目!$A$2:$A$1300,$A180,元データ_14項目!$B$2:$B$1300,"本年",元データ_14項目!$C$2:$C$1300,M$5)</f>
        <v>56</v>
      </c>
      <c r="N180" s="26">
        <f>SUMIFS(INDEX(元データ_14項目!$D$2:$Q$1300,0,MATCH($B180,元データ_14項目!$D$1:$Q$1,0)),元データ_14項目!$A$2:$A$1300,$A180,元データ_14項目!$B$2:$B$1300,"本年",元データ_14項目!$C$2:$C$1300,N$5)</f>
        <v>44</v>
      </c>
      <c r="O180" s="26">
        <f t="shared" si="4"/>
        <v>768</v>
      </c>
      <c r="P180" s="26">
        <f>SUMIFS(INDEX(元データ_14項目!$D$2:$Q$1300,0,MATCH($B180,元データ_14項目!$D$1:$Q$1,0)),元データ_14項目!$A$2:$A$1300,$A180,元データ_14項目!$B$2:$B$1300,"前年")</f>
        <v>755</v>
      </c>
      <c r="Q180" s="7">
        <f t="shared" si="5"/>
        <v>1.0172185430463576</v>
      </c>
    </row>
    <row r="181" spans="1:17" x14ac:dyDescent="0.45">
      <c r="A181" t="s">
        <v>47</v>
      </c>
      <c r="B181" t="s">
        <v>93</v>
      </c>
      <c r="C181" s="26">
        <f>SUMIFS(INDEX(元データ_14項目!$D$2:$Q$1300,0,MATCH($B181,元データ_14項目!$D$1:$Q$1,0)),元データ_14項目!$A$2:$A$1300,$A181,元データ_14項目!$B$2:$B$1300,"本年",元データ_14項目!$C$2:$C$1300,C$5)</f>
        <v>40</v>
      </c>
      <c r="D181" s="26">
        <f>SUMIFS(INDEX(元データ_14項目!$D$2:$Q$1300,0,MATCH($B181,元データ_14項目!$D$1:$Q$1,0)),元データ_14項目!$A$2:$A$1300,$A181,元データ_14項目!$B$2:$B$1300,"本年",元データ_14項目!$C$2:$C$1300,D$5)</f>
        <v>23</v>
      </c>
      <c r="E181" s="26">
        <f>SUMIFS(INDEX(元データ_14項目!$D$2:$Q$1300,0,MATCH($B181,元データ_14項目!$D$1:$Q$1,0)),元データ_14項目!$A$2:$A$1300,$A181,元データ_14項目!$B$2:$B$1300,"本年",元データ_14項目!$C$2:$C$1300,E$5)</f>
        <v>53</v>
      </c>
      <c r="F181" s="26">
        <f>SUMIFS(INDEX(元データ_14項目!$D$2:$Q$1300,0,MATCH($B181,元データ_14項目!$D$1:$Q$1,0)),元データ_14項目!$A$2:$A$1300,$A181,元データ_14項目!$B$2:$B$1300,"本年",元データ_14項目!$C$2:$C$1300,F$5)</f>
        <v>90</v>
      </c>
      <c r="G181" s="26">
        <f>SUMIFS(INDEX(元データ_14項目!$D$2:$Q$1300,0,MATCH($B181,元データ_14項目!$D$1:$Q$1,0)),元データ_14項目!$A$2:$A$1300,$A181,元データ_14項目!$B$2:$B$1300,"本年",元データ_14項目!$C$2:$C$1300,G$5)</f>
        <v>142</v>
      </c>
      <c r="H181" s="26">
        <f>SUMIFS(INDEX(元データ_14項目!$D$2:$Q$1300,0,MATCH($B181,元データ_14項目!$D$1:$Q$1,0)),元データ_14項目!$A$2:$A$1300,$A181,元データ_14項目!$B$2:$B$1300,"本年",元データ_14項目!$C$2:$C$1300,H$5)</f>
        <v>107</v>
      </c>
      <c r="I181" s="26">
        <f>SUMIFS(INDEX(元データ_14項目!$D$2:$Q$1300,0,MATCH($B181,元データ_14項目!$D$1:$Q$1,0)),元データ_14項目!$A$2:$A$1300,$A181,元データ_14項目!$B$2:$B$1300,"本年",元データ_14項目!$C$2:$C$1300,I$5)</f>
        <v>92</v>
      </c>
      <c r="J181" s="26">
        <f>SUMIFS(INDEX(元データ_14項目!$D$2:$Q$1300,0,MATCH($B181,元データ_14項目!$D$1:$Q$1,0)),元データ_14項目!$A$2:$A$1300,$A181,元データ_14項目!$B$2:$B$1300,"本年",元データ_14項目!$C$2:$C$1300,J$5)</f>
        <v>151</v>
      </c>
      <c r="K181" s="26">
        <f>SUMIFS(INDEX(元データ_14項目!$D$2:$Q$1300,0,MATCH($B181,元データ_14項目!$D$1:$Q$1,0)),元データ_14項目!$A$2:$A$1300,$A181,元データ_14項目!$B$2:$B$1300,"本年",元データ_14項目!$C$2:$C$1300,K$5)</f>
        <v>593</v>
      </c>
      <c r="L181" s="26">
        <f>SUMIFS(INDEX(元データ_14項目!$D$2:$Q$1300,0,MATCH($B181,元データ_14項目!$D$1:$Q$1,0)),元データ_14項目!$A$2:$A$1300,$A181,元データ_14項目!$B$2:$B$1300,"本年",元データ_14項目!$C$2:$C$1300,L$5)</f>
        <v>323</v>
      </c>
      <c r="M181" s="26">
        <f>SUMIFS(INDEX(元データ_14項目!$D$2:$Q$1300,0,MATCH($B181,元データ_14項目!$D$1:$Q$1,0)),元データ_14項目!$A$2:$A$1300,$A181,元データ_14項目!$B$2:$B$1300,"本年",元データ_14項目!$C$2:$C$1300,M$5)</f>
        <v>131</v>
      </c>
      <c r="N181" s="26">
        <f>SUMIFS(INDEX(元データ_14項目!$D$2:$Q$1300,0,MATCH($B181,元データ_14項目!$D$1:$Q$1,0)),元データ_14項目!$A$2:$A$1300,$A181,元データ_14項目!$B$2:$B$1300,"本年",元データ_14項目!$C$2:$C$1300,N$5)</f>
        <v>45</v>
      </c>
      <c r="O181" s="26">
        <f t="shared" si="4"/>
        <v>1790</v>
      </c>
      <c r="P181" s="26">
        <f>SUMIFS(INDEX(元データ_14項目!$D$2:$Q$1300,0,MATCH($B181,元データ_14項目!$D$1:$Q$1,0)),元データ_14項目!$A$2:$A$1300,$A181,元データ_14項目!$B$2:$B$1300,"前年")</f>
        <v>2005</v>
      </c>
      <c r="Q181" s="7">
        <f t="shared" si="5"/>
        <v>0.89276807980049877</v>
      </c>
    </row>
    <row r="182" spans="1:17" x14ac:dyDescent="0.45">
      <c r="A182" t="s">
        <v>47</v>
      </c>
      <c r="B182" t="s">
        <v>94</v>
      </c>
      <c r="C182" s="26">
        <f>SUMIFS(INDEX(元データ_14項目!$D$2:$Q$1300,0,MATCH($B182,元データ_14項目!$D$1:$Q$1,0)),元データ_14項目!$A$2:$A$1300,$A182,元データ_14項目!$B$2:$B$1300,"本年",元データ_14項目!$C$2:$C$1300,C$5)</f>
        <v>14</v>
      </c>
      <c r="D182" s="26">
        <f>SUMIFS(INDEX(元データ_14項目!$D$2:$Q$1300,0,MATCH($B182,元データ_14項目!$D$1:$Q$1,0)),元データ_14項目!$A$2:$A$1300,$A182,元データ_14項目!$B$2:$B$1300,"本年",元データ_14項目!$C$2:$C$1300,D$5)</f>
        <v>21</v>
      </c>
      <c r="E182" s="26">
        <f>SUMIFS(INDEX(元データ_14項目!$D$2:$Q$1300,0,MATCH($B182,元データ_14項目!$D$1:$Q$1,0)),元データ_14項目!$A$2:$A$1300,$A182,元データ_14項目!$B$2:$B$1300,"本年",元データ_14項目!$C$2:$C$1300,E$5)</f>
        <v>68</v>
      </c>
      <c r="F182" s="26">
        <f>SUMIFS(INDEX(元データ_14項目!$D$2:$Q$1300,0,MATCH($B182,元データ_14項目!$D$1:$Q$1,0)),元データ_14項目!$A$2:$A$1300,$A182,元データ_14項目!$B$2:$B$1300,"本年",元データ_14項目!$C$2:$C$1300,F$5)</f>
        <v>38</v>
      </c>
      <c r="G182" s="26">
        <f>SUMIFS(INDEX(元データ_14項目!$D$2:$Q$1300,0,MATCH($B182,元データ_14項目!$D$1:$Q$1,0)),元データ_14項目!$A$2:$A$1300,$A182,元データ_14項目!$B$2:$B$1300,"本年",元データ_14項目!$C$2:$C$1300,G$5)</f>
        <v>52</v>
      </c>
      <c r="H182" s="26">
        <f>SUMIFS(INDEX(元データ_14項目!$D$2:$Q$1300,0,MATCH($B182,元データ_14項目!$D$1:$Q$1,0)),元データ_14項目!$A$2:$A$1300,$A182,元データ_14項目!$B$2:$B$1300,"本年",元データ_14項目!$C$2:$C$1300,H$5)</f>
        <v>33</v>
      </c>
      <c r="I182" s="26">
        <f>SUMIFS(INDEX(元データ_14項目!$D$2:$Q$1300,0,MATCH($B182,元データ_14項目!$D$1:$Q$1,0)),元データ_14項目!$A$2:$A$1300,$A182,元データ_14項目!$B$2:$B$1300,"本年",元データ_14項目!$C$2:$C$1300,I$5)</f>
        <v>32</v>
      </c>
      <c r="J182" s="26">
        <f>SUMIFS(INDEX(元データ_14項目!$D$2:$Q$1300,0,MATCH($B182,元データ_14項目!$D$1:$Q$1,0)),元データ_14項目!$A$2:$A$1300,$A182,元データ_14項目!$B$2:$B$1300,"本年",元データ_14項目!$C$2:$C$1300,J$5)</f>
        <v>42</v>
      </c>
      <c r="K182" s="26">
        <f>SUMIFS(INDEX(元データ_14項目!$D$2:$Q$1300,0,MATCH($B182,元データ_14項目!$D$1:$Q$1,0)),元データ_14項目!$A$2:$A$1300,$A182,元データ_14項目!$B$2:$B$1300,"本年",元データ_14項目!$C$2:$C$1300,K$5)</f>
        <v>203</v>
      </c>
      <c r="L182" s="26">
        <f>SUMIFS(INDEX(元データ_14項目!$D$2:$Q$1300,0,MATCH($B182,元データ_14項目!$D$1:$Q$1,0)),元データ_14項目!$A$2:$A$1300,$A182,元データ_14項目!$B$2:$B$1300,"本年",元データ_14項目!$C$2:$C$1300,L$5)</f>
        <v>138</v>
      </c>
      <c r="M182" s="26">
        <f>SUMIFS(INDEX(元データ_14項目!$D$2:$Q$1300,0,MATCH($B182,元データ_14項目!$D$1:$Q$1,0)),元データ_14項目!$A$2:$A$1300,$A182,元データ_14項目!$B$2:$B$1300,"本年",元データ_14項目!$C$2:$C$1300,M$5)</f>
        <v>77</v>
      </c>
      <c r="N182" s="26">
        <f>SUMIFS(INDEX(元データ_14項目!$D$2:$Q$1300,0,MATCH($B182,元データ_14項目!$D$1:$Q$1,0)),元データ_14項目!$A$2:$A$1300,$A182,元データ_14項目!$B$2:$B$1300,"本年",元データ_14項目!$C$2:$C$1300,N$5)</f>
        <v>40</v>
      </c>
      <c r="O182" s="26">
        <f t="shared" si="4"/>
        <v>758</v>
      </c>
      <c r="P182" s="26">
        <f>SUMIFS(INDEX(元データ_14項目!$D$2:$Q$1300,0,MATCH($B182,元データ_14項目!$D$1:$Q$1,0)),元データ_14項目!$A$2:$A$1300,$A182,元データ_14項目!$B$2:$B$1300,"前年")</f>
        <v>838</v>
      </c>
      <c r="Q182" s="7">
        <f t="shared" si="5"/>
        <v>0.90453460620525061</v>
      </c>
    </row>
    <row r="183" spans="1:17" x14ac:dyDescent="0.45">
      <c r="A183" t="s">
        <v>47</v>
      </c>
      <c r="B183" t="s">
        <v>95</v>
      </c>
      <c r="C183" s="26">
        <f>SUMIFS(INDEX(元データ_14項目!$D$2:$Q$1300,0,MATCH($B183,元データ_14項目!$D$1:$Q$1,0)),元データ_14項目!$A$2:$A$1300,$A183,元データ_14項目!$B$2:$B$1300,"本年",元データ_14項目!$C$2:$C$1300,C$5)</f>
        <v>35</v>
      </c>
      <c r="D183" s="26">
        <f>SUMIFS(INDEX(元データ_14項目!$D$2:$Q$1300,0,MATCH($B183,元データ_14項目!$D$1:$Q$1,0)),元データ_14項目!$A$2:$A$1300,$A183,元データ_14項目!$B$2:$B$1300,"本年",元データ_14項目!$C$2:$C$1300,D$5)</f>
        <v>62</v>
      </c>
      <c r="E183" s="26">
        <f>SUMIFS(INDEX(元データ_14項目!$D$2:$Q$1300,0,MATCH($B183,元データ_14項目!$D$1:$Q$1,0)),元データ_14項目!$A$2:$A$1300,$A183,元データ_14項目!$B$2:$B$1300,"本年",元データ_14項目!$C$2:$C$1300,E$5)</f>
        <v>77</v>
      </c>
      <c r="F183" s="26">
        <f>SUMIFS(INDEX(元データ_14項目!$D$2:$Q$1300,0,MATCH($B183,元データ_14項目!$D$1:$Q$1,0)),元データ_14項目!$A$2:$A$1300,$A183,元データ_14項目!$B$2:$B$1300,"本年",元データ_14項目!$C$2:$C$1300,F$5)</f>
        <v>62</v>
      </c>
      <c r="G183" s="26">
        <f>SUMIFS(INDEX(元データ_14項目!$D$2:$Q$1300,0,MATCH($B183,元データ_14項目!$D$1:$Q$1,0)),元データ_14項目!$A$2:$A$1300,$A183,元データ_14項目!$B$2:$B$1300,"本年",元データ_14項目!$C$2:$C$1300,G$5)</f>
        <v>54</v>
      </c>
      <c r="H183" s="26">
        <f>SUMIFS(INDEX(元データ_14項目!$D$2:$Q$1300,0,MATCH($B183,元データ_14項目!$D$1:$Q$1,0)),元データ_14項目!$A$2:$A$1300,$A183,元データ_14項目!$B$2:$B$1300,"本年",元データ_14項目!$C$2:$C$1300,H$5)</f>
        <v>22</v>
      </c>
      <c r="I183" s="26">
        <f>SUMIFS(INDEX(元データ_14項目!$D$2:$Q$1300,0,MATCH($B183,元データ_14項目!$D$1:$Q$1,0)),元データ_14項目!$A$2:$A$1300,$A183,元データ_14項目!$B$2:$B$1300,"本年",元データ_14項目!$C$2:$C$1300,I$5)</f>
        <v>25</v>
      </c>
      <c r="J183" s="26">
        <f>SUMIFS(INDEX(元データ_14項目!$D$2:$Q$1300,0,MATCH($B183,元データ_14項目!$D$1:$Q$1,0)),元データ_14項目!$A$2:$A$1300,$A183,元データ_14項目!$B$2:$B$1300,"本年",元データ_14項目!$C$2:$C$1300,J$5)</f>
        <v>46</v>
      </c>
      <c r="K183" s="26">
        <f>SUMIFS(INDEX(元データ_14項目!$D$2:$Q$1300,0,MATCH($B183,元データ_14項目!$D$1:$Q$1,0)),元データ_14項目!$A$2:$A$1300,$A183,元データ_14項目!$B$2:$B$1300,"本年",元データ_14項目!$C$2:$C$1300,K$5)</f>
        <v>110</v>
      </c>
      <c r="L183" s="26">
        <f>SUMIFS(INDEX(元データ_14項目!$D$2:$Q$1300,0,MATCH($B183,元データ_14項目!$D$1:$Q$1,0)),元データ_14項目!$A$2:$A$1300,$A183,元データ_14項目!$B$2:$B$1300,"本年",元データ_14項目!$C$2:$C$1300,L$5)</f>
        <v>45</v>
      </c>
      <c r="M183" s="26">
        <f>SUMIFS(INDEX(元データ_14項目!$D$2:$Q$1300,0,MATCH($B183,元データ_14項目!$D$1:$Q$1,0)),元データ_14項目!$A$2:$A$1300,$A183,元データ_14項目!$B$2:$B$1300,"本年",元データ_14項目!$C$2:$C$1300,M$5)</f>
        <v>76</v>
      </c>
      <c r="N183" s="26">
        <f>SUMIFS(INDEX(元データ_14項目!$D$2:$Q$1300,0,MATCH($B183,元データ_14項目!$D$1:$Q$1,0)),元データ_14項目!$A$2:$A$1300,$A183,元データ_14項目!$B$2:$B$1300,"本年",元データ_14項目!$C$2:$C$1300,N$5)</f>
        <v>47</v>
      </c>
      <c r="O183" s="26">
        <f t="shared" si="4"/>
        <v>661</v>
      </c>
      <c r="P183" s="26">
        <f>SUMIFS(INDEX(元データ_14項目!$D$2:$Q$1300,0,MATCH($B183,元データ_14項目!$D$1:$Q$1,0)),元データ_14項目!$A$2:$A$1300,$A183,元データ_14項目!$B$2:$B$1300,"前年")</f>
        <v>693</v>
      </c>
      <c r="Q183" s="7">
        <f t="shared" si="5"/>
        <v>0.9538239538239538</v>
      </c>
    </row>
    <row r="184" spans="1:17" x14ac:dyDescent="0.45">
      <c r="A184" t="s">
        <v>47</v>
      </c>
      <c r="B184" t="s">
        <v>96</v>
      </c>
      <c r="C184" s="26">
        <f>SUMIFS(INDEX(元データ_14項目!$D$2:$Q$1300,0,MATCH($B184,元データ_14項目!$D$1:$Q$1,0)),元データ_14項目!$A$2:$A$1300,$A184,元データ_14項目!$B$2:$B$1300,"本年",元データ_14項目!$C$2:$C$1300,C$5)</f>
        <v>41</v>
      </c>
      <c r="D184" s="26">
        <f>SUMIFS(INDEX(元データ_14項目!$D$2:$Q$1300,0,MATCH($B184,元データ_14項目!$D$1:$Q$1,0)),元データ_14項目!$A$2:$A$1300,$A184,元データ_14項目!$B$2:$B$1300,"本年",元データ_14項目!$C$2:$C$1300,D$5)</f>
        <v>26</v>
      </c>
      <c r="E184" s="26">
        <f>SUMIFS(INDEX(元データ_14項目!$D$2:$Q$1300,0,MATCH($B184,元データ_14項目!$D$1:$Q$1,0)),元データ_14項目!$A$2:$A$1300,$A184,元データ_14項目!$B$2:$B$1300,"本年",元データ_14項目!$C$2:$C$1300,E$5)</f>
        <v>62</v>
      </c>
      <c r="F184" s="26">
        <f>SUMIFS(INDEX(元データ_14項目!$D$2:$Q$1300,0,MATCH($B184,元データ_14項目!$D$1:$Q$1,0)),元データ_14項目!$A$2:$A$1300,$A184,元データ_14項目!$B$2:$B$1300,"本年",元データ_14項目!$C$2:$C$1300,F$5)</f>
        <v>60</v>
      </c>
      <c r="G184" s="26">
        <f>SUMIFS(INDEX(元データ_14項目!$D$2:$Q$1300,0,MATCH($B184,元データ_14項目!$D$1:$Q$1,0)),元データ_14項目!$A$2:$A$1300,$A184,元データ_14項目!$B$2:$B$1300,"本年",元データ_14項目!$C$2:$C$1300,G$5)</f>
        <v>93</v>
      </c>
      <c r="H184" s="26">
        <f>SUMIFS(INDEX(元データ_14項目!$D$2:$Q$1300,0,MATCH($B184,元データ_14項目!$D$1:$Q$1,0)),元データ_14項目!$A$2:$A$1300,$A184,元データ_14項目!$B$2:$B$1300,"本年",元データ_14項目!$C$2:$C$1300,H$5)</f>
        <v>67</v>
      </c>
      <c r="I184" s="26">
        <f>SUMIFS(INDEX(元データ_14項目!$D$2:$Q$1300,0,MATCH($B184,元データ_14項目!$D$1:$Q$1,0)),元データ_14項目!$A$2:$A$1300,$A184,元データ_14項目!$B$2:$B$1300,"本年",元データ_14項目!$C$2:$C$1300,I$5)</f>
        <v>49</v>
      </c>
      <c r="J184" s="26">
        <f>SUMIFS(INDEX(元データ_14項目!$D$2:$Q$1300,0,MATCH($B184,元データ_14項目!$D$1:$Q$1,0)),元データ_14項目!$A$2:$A$1300,$A184,元データ_14項目!$B$2:$B$1300,"本年",元データ_14項目!$C$2:$C$1300,J$5)</f>
        <v>241</v>
      </c>
      <c r="K184" s="26">
        <f>SUMIFS(INDEX(元データ_14項目!$D$2:$Q$1300,0,MATCH($B184,元データ_14項目!$D$1:$Q$1,0)),元データ_14項目!$A$2:$A$1300,$A184,元データ_14項目!$B$2:$B$1300,"本年",元データ_14項目!$C$2:$C$1300,K$5)</f>
        <v>692</v>
      </c>
      <c r="L184" s="26">
        <f>SUMIFS(INDEX(元データ_14項目!$D$2:$Q$1300,0,MATCH($B184,元データ_14項目!$D$1:$Q$1,0)),元データ_14項目!$A$2:$A$1300,$A184,元データ_14項目!$B$2:$B$1300,"本年",元データ_14項目!$C$2:$C$1300,L$5)</f>
        <v>295</v>
      </c>
      <c r="M184" s="26">
        <f>SUMIFS(INDEX(元データ_14項目!$D$2:$Q$1300,0,MATCH($B184,元データ_14項目!$D$1:$Q$1,0)),元データ_14項目!$A$2:$A$1300,$A184,元データ_14項目!$B$2:$B$1300,"本年",元データ_14項目!$C$2:$C$1300,M$5)</f>
        <v>189</v>
      </c>
      <c r="N184" s="26">
        <f>SUMIFS(INDEX(元データ_14項目!$D$2:$Q$1300,0,MATCH($B184,元データ_14項目!$D$1:$Q$1,0)),元データ_14項目!$A$2:$A$1300,$A184,元データ_14項目!$B$2:$B$1300,"本年",元データ_14項目!$C$2:$C$1300,N$5)</f>
        <v>73</v>
      </c>
      <c r="O184" s="26">
        <f t="shared" si="4"/>
        <v>1888</v>
      </c>
      <c r="P184" s="26">
        <f>SUMIFS(INDEX(元データ_14項目!$D$2:$Q$1300,0,MATCH($B184,元データ_14項目!$D$1:$Q$1,0)),元データ_14項目!$A$2:$A$1300,$A184,元データ_14項目!$B$2:$B$1300,"前年")</f>
        <v>2061</v>
      </c>
      <c r="Q184" s="7">
        <f t="shared" si="5"/>
        <v>0.91606016496846188</v>
      </c>
    </row>
    <row r="185" spans="1:17" x14ac:dyDescent="0.45">
      <c r="A185" t="s">
        <v>47</v>
      </c>
      <c r="B185" t="s">
        <v>97</v>
      </c>
      <c r="C185" s="26">
        <f>SUMIFS(INDEX(元データ_14項目!$D$2:$Q$1300,0,MATCH($B185,元データ_14項目!$D$1:$Q$1,0)),元データ_14項目!$A$2:$A$1300,$A185,元データ_14項目!$B$2:$B$1300,"本年",元データ_14項目!$C$2:$C$1300,C$5)</f>
        <v>40</v>
      </c>
      <c r="D185" s="26">
        <f>SUMIFS(INDEX(元データ_14項目!$D$2:$Q$1300,0,MATCH($B185,元データ_14項目!$D$1:$Q$1,0)),元データ_14項目!$A$2:$A$1300,$A185,元データ_14項目!$B$2:$B$1300,"本年",元データ_14項目!$C$2:$C$1300,D$5)</f>
        <v>29</v>
      </c>
      <c r="E185" s="26">
        <f>SUMIFS(INDEX(元データ_14項目!$D$2:$Q$1300,0,MATCH($B185,元データ_14項目!$D$1:$Q$1,0)),元データ_14項目!$A$2:$A$1300,$A185,元データ_14項目!$B$2:$B$1300,"本年",元データ_14項目!$C$2:$C$1300,E$5)</f>
        <v>72</v>
      </c>
      <c r="F185" s="26">
        <f>SUMIFS(INDEX(元データ_14項目!$D$2:$Q$1300,0,MATCH($B185,元データ_14項目!$D$1:$Q$1,0)),元データ_14項目!$A$2:$A$1300,$A185,元データ_14項目!$B$2:$B$1300,"本年",元データ_14項目!$C$2:$C$1300,F$5)</f>
        <v>66</v>
      </c>
      <c r="G185" s="26">
        <f>SUMIFS(INDEX(元データ_14項目!$D$2:$Q$1300,0,MATCH($B185,元データ_14項目!$D$1:$Q$1,0)),元データ_14項目!$A$2:$A$1300,$A185,元データ_14項目!$B$2:$B$1300,"本年",元データ_14項目!$C$2:$C$1300,G$5)</f>
        <v>103</v>
      </c>
      <c r="H185" s="26">
        <f>SUMIFS(INDEX(元データ_14項目!$D$2:$Q$1300,0,MATCH($B185,元データ_14項目!$D$1:$Q$1,0)),元データ_14項目!$A$2:$A$1300,$A185,元データ_14項目!$B$2:$B$1300,"本年",元データ_14項目!$C$2:$C$1300,H$5)</f>
        <v>50</v>
      </c>
      <c r="I185" s="26">
        <f>SUMIFS(INDEX(元データ_14項目!$D$2:$Q$1300,0,MATCH($B185,元データ_14項目!$D$1:$Q$1,0)),元データ_14項目!$A$2:$A$1300,$A185,元データ_14項目!$B$2:$B$1300,"本年",元データ_14項目!$C$2:$C$1300,I$5)</f>
        <v>41</v>
      </c>
      <c r="J185" s="26">
        <f>SUMIFS(INDEX(元データ_14項目!$D$2:$Q$1300,0,MATCH($B185,元データ_14項目!$D$1:$Q$1,0)),元データ_14項目!$A$2:$A$1300,$A185,元データ_14項目!$B$2:$B$1300,"本年",元データ_14項目!$C$2:$C$1300,J$5)</f>
        <v>127</v>
      </c>
      <c r="K185" s="26">
        <f>SUMIFS(INDEX(元データ_14項目!$D$2:$Q$1300,0,MATCH($B185,元データ_14項目!$D$1:$Q$1,0)),元データ_14項目!$A$2:$A$1300,$A185,元データ_14項目!$B$2:$B$1300,"本年",元データ_14項目!$C$2:$C$1300,K$5)</f>
        <v>364</v>
      </c>
      <c r="L185" s="26">
        <f>SUMIFS(INDEX(元データ_14項目!$D$2:$Q$1300,0,MATCH($B185,元データ_14項目!$D$1:$Q$1,0)),元データ_14項目!$A$2:$A$1300,$A185,元データ_14項目!$B$2:$B$1300,"本年",元データ_14項目!$C$2:$C$1300,L$5)</f>
        <v>256</v>
      </c>
      <c r="M185" s="26">
        <f>SUMIFS(INDEX(元データ_14項目!$D$2:$Q$1300,0,MATCH($B185,元データ_14項目!$D$1:$Q$1,0)),元データ_14項目!$A$2:$A$1300,$A185,元データ_14項目!$B$2:$B$1300,"本年",元データ_14項目!$C$2:$C$1300,M$5)</f>
        <v>153</v>
      </c>
      <c r="N185" s="26">
        <f>SUMIFS(INDEX(元データ_14項目!$D$2:$Q$1300,0,MATCH($B185,元データ_14項目!$D$1:$Q$1,0)),元データ_14項目!$A$2:$A$1300,$A185,元データ_14項目!$B$2:$B$1300,"本年",元データ_14項目!$C$2:$C$1300,N$5)</f>
        <v>65</v>
      </c>
      <c r="O185" s="26">
        <f t="shared" si="4"/>
        <v>1366</v>
      </c>
      <c r="P185" s="26">
        <f>SUMIFS(INDEX(元データ_14項目!$D$2:$Q$1300,0,MATCH($B185,元データ_14項目!$D$1:$Q$1,0)),元データ_14項目!$A$2:$A$1300,$A185,元データ_14項目!$B$2:$B$1300,"前年")</f>
        <v>1489</v>
      </c>
      <c r="Q185" s="7">
        <f t="shared" si="5"/>
        <v>0.91739422431161854</v>
      </c>
    </row>
    <row r="186" spans="1:17" x14ac:dyDescent="0.45">
      <c r="A186" t="s">
        <v>47</v>
      </c>
      <c r="B186" t="s">
        <v>98</v>
      </c>
      <c r="C186" s="26">
        <f>SUMIFS(INDEX(元データ_14項目!$D$2:$Q$1300,0,MATCH($B186,元データ_14項目!$D$1:$Q$1,0)),元データ_14項目!$A$2:$A$1300,$A186,元データ_14項目!$B$2:$B$1300,"本年",元データ_14項目!$C$2:$C$1300,C$5)</f>
        <v>16</v>
      </c>
      <c r="D186" s="26">
        <f>SUMIFS(INDEX(元データ_14項目!$D$2:$Q$1300,0,MATCH($B186,元データ_14項目!$D$1:$Q$1,0)),元データ_14項目!$A$2:$A$1300,$A186,元データ_14項目!$B$2:$B$1300,"本年",元データ_14項目!$C$2:$C$1300,D$5)</f>
        <v>13</v>
      </c>
      <c r="E186" s="26">
        <f>SUMIFS(INDEX(元データ_14項目!$D$2:$Q$1300,0,MATCH($B186,元データ_14項目!$D$1:$Q$1,0)),元データ_14項目!$A$2:$A$1300,$A186,元データ_14項目!$B$2:$B$1300,"本年",元データ_14項目!$C$2:$C$1300,E$5)</f>
        <v>32</v>
      </c>
      <c r="F186" s="26">
        <f>SUMIFS(INDEX(元データ_14項目!$D$2:$Q$1300,0,MATCH($B186,元データ_14項目!$D$1:$Q$1,0)),元データ_14項目!$A$2:$A$1300,$A186,元データ_14項目!$B$2:$B$1300,"本年",元データ_14項目!$C$2:$C$1300,F$5)</f>
        <v>37</v>
      </c>
      <c r="G186" s="26">
        <f>SUMIFS(INDEX(元データ_14項目!$D$2:$Q$1300,0,MATCH($B186,元データ_14項目!$D$1:$Q$1,0)),元データ_14項目!$A$2:$A$1300,$A186,元データ_14項目!$B$2:$B$1300,"本年",元データ_14項目!$C$2:$C$1300,G$5)</f>
        <v>38</v>
      </c>
      <c r="H186" s="26">
        <f>SUMIFS(INDEX(元データ_14項目!$D$2:$Q$1300,0,MATCH($B186,元データ_14項目!$D$1:$Q$1,0)),元データ_14項目!$A$2:$A$1300,$A186,元データ_14項目!$B$2:$B$1300,"本年",元データ_14項目!$C$2:$C$1300,H$5)</f>
        <v>19</v>
      </c>
      <c r="I186" s="26">
        <f>SUMIFS(INDEX(元データ_14項目!$D$2:$Q$1300,0,MATCH($B186,元データ_14項目!$D$1:$Q$1,0)),元データ_14項目!$A$2:$A$1300,$A186,元データ_14項目!$B$2:$B$1300,"本年",元データ_14項目!$C$2:$C$1300,I$5)</f>
        <v>9</v>
      </c>
      <c r="J186" s="26">
        <f>SUMIFS(INDEX(元データ_14項目!$D$2:$Q$1300,0,MATCH($B186,元データ_14項目!$D$1:$Q$1,0)),元データ_14項目!$A$2:$A$1300,$A186,元データ_14項目!$B$2:$B$1300,"本年",元データ_14項目!$C$2:$C$1300,J$5)</f>
        <v>140</v>
      </c>
      <c r="K186" s="26">
        <f>SUMIFS(INDEX(元データ_14項目!$D$2:$Q$1300,0,MATCH($B186,元データ_14項目!$D$1:$Q$1,0)),元データ_14項目!$A$2:$A$1300,$A186,元データ_14項目!$B$2:$B$1300,"本年",元データ_14項目!$C$2:$C$1300,K$5)</f>
        <v>361</v>
      </c>
      <c r="L186" s="26">
        <f>SUMIFS(INDEX(元データ_14項目!$D$2:$Q$1300,0,MATCH($B186,元データ_14項目!$D$1:$Q$1,0)),元データ_14項目!$A$2:$A$1300,$A186,元データ_14項目!$B$2:$B$1300,"本年",元データ_14項目!$C$2:$C$1300,L$5)</f>
        <v>185</v>
      </c>
      <c r="M186" s="26">
        <f>SUMIFS(INDEX(元データ_14項目!$D$2:$Q$1300,0,MATCH($B186,元データ_14項目!$D$1:$Q$1,0)),元データ_14項目!$A$2:$A$1300,$A186,元データ_14項目!$B$2:$B$1300,"本年",元データ_14項目!$C$2:$C$1300,M$5)</f>
        <v>99</v>
      </c>
      <c r="N186" s="26">
        <f>SUMIFS(INDEX(元データ_14項目!$D$2:$Q$1300,0,MATCH($B186,元データ_14項目!$D$1:$Q$1,0)),元データ_14項目!$A$2:$A$1300,$A186,元データ_14項目!$B$2:$B$1300,"本年",元データ_14項目!$C$2:$C$1300,N$5)</f>
        <v>44</v>
      </c>
      <c r="O186" s="26">
        <f t="shared" si="4"/>
        <v>993</v>
      </c>
      <c r="P186" s="26">
        <f>SUMIFS(INDEX(元データ_14項目!$D$2:$Q$1300,0,MATCH($B186,元データ_14項目!$D$1:$Q$1,0)),元データ_14項目!$A$2:$A$1300,$A186,元データ_14項目!$B$2:$B$1300,"前年")</f>
        <v>1086</v>
      </c>
      <c r="Q186" s="7">
        <f t="shared" si="5"/>
        <v>0.91436464088397795</v>
      </c>
    </row>
    <row r="187" spans="1:17" x14ac:dyDescent="0.45">
      <c r="A187" t="s">
        <v>47</v>
      </c>
      <c r="B187" t="s">
        <v>99</v>
      </c>
      <c r="C187" s="26">
        <f>SUMIFS(INDEX(元データ_14項目!$D$2:$Q$1300,0,MATCH($B187,元データ_14項目!$D$1:$Q$1,0)),元データ_14項目!$A$2:$A$1300,$A187,元データ_14項目!$B$2:$B$1300,"本年",元データ_14項目!$C$2:$C$1300,C$5)</f>
        <v>0</v>
      </c>
      <c r="D187" s="26">
        <f>SUMIFS(INDEX(元データ_14項目!$D$2:$Q$1300,0,MATCH($B187,元データ_14項目!$D$1:$Q$1,0)),元データ_14項目!$A$2:$A$1300,$A187,元データ_14項目!$B$2:$B$1300,"本年",元データ_14項目!$C$2:$C$1300,D$5)</f>
        <v>0</v>
      </c>
      <c r="E187" s="26">
        <f>SUMIFS(INDEX(元データ_14項目!$D$2:$Q$1300,0,MATCH($B187,元データ_14項目!$D$1:$Q$1,0)),元データ_14項目!$A$2:$A$1300,$A187,元データ_14項目!$B$2:$B$1300,"本年",元データ_14項目!$C$2:$C$1300,E$5)</f>
        <v>0</v>
      </c>
      <c r="F187" s="26">
        <f>SUMIFS(INDEX(元データ_14項目!$D$2:$Q$1300,0,MATCH($B187,元データ_14項目!$D$1:$Q$1,0)),元データ_14項目!$A$2:$A$1300,$A187,元データ_14項目!$B$2:$B$1300,"本年",元データ_14項目!$C$2:$C$1300,F$5)</f>
        <v>0</v>
      </c>
      <c r="G187" s="26">
        <f>SUMIFS(INDEX(元データ_14項目!$D$2:$Q$1300,0,MATCH($B187,元データ_14項目!$D$1:$Q$1,0)),元データ_14項目!$A$2:$A$1300,$A187,元データ_14項目!$B$2:$B$1300,"本年",元データ_14項目!$C$2:$C$1300,G$5)</f>
        <v>3</v>
      </c>
      <c r="H187" s="26">
        <f>SUMIFS(INDEX(元データ_14項目!$D$2:$Q$1300,0,MATCH($B187,元データ_14項目!$D$1:$Q$1,0)),元データ_14項目!$A$2:$A$1300,$A187,元データ_14項目!$B$2:$B$1300,"本年",元データ_14項目!$C$2:$C$1300,H$5)</f>
        <v>14</v>
      </c>
      <c r="I187" s="26">
        <f>SUMIFS(INDEX(元データ_14項目!$D$2:$Q$1300,0,MATCH($B187,元データ_14項目!$D$1:$Q$1,0)),元データ_14項目!$A$2:$A$1300,$A187,元データ_14項目!$B$2:$B$1300,"本年",元データ_14項目!$C$2:$C$1300,I$5)</f>
        <v>15</v>
      </c>
      <c r="J187" s="26">
        <f>SUMIFS(INDEX(元データ_14項目!$D$2:$Q$1300,0,MATCH($B187,元データ_14項目!$D$1:$Q$1,0)),元データ_14項目!$A$2:$A$1300,$A187,元データ_14項目!$B$2:$B$1300,"本年",元データ_14項目!$C$2:$C$1300,J$5)</f>
        <v>14</v>
      </c>
      <c r="K187" s="26">
        <f>SUMIFS(INDEX(元データ_14項目!$D$2:$Q$1300,0,MATCH($B187,元データ_14項目!$D$1:$Q$1,0)),元データ_14項目!$A$2:$A$1300,$A187,元データ_14項目!$B$2:$B$1300,"本年",元データ_14項目!$C$2:$C$1300,K$5)</f>
        <v>22</v>
      </c>
      <c r="L187" s="26">
        <f>SUMIFS(INDEX(元データ_14項目!$D$2:$Q$1300,0,MATCH($B187,元データ_14項目!$D$1:$Q$1,0)),元データ_14項目!$A$2:$A$1300,$A187,元データ_14項目!$B$2:$B$1300,"本年",元データ_14項目!$C$2:$C$1300,L$5)</f>
        <v>9</v>
      </c>
      <c r="M187" s="26">
        <f>SUMIFS(INDEX(元データ_14項目!$D$2:$Q$1300,0,MATCH($B187,元データ_14項目!$D$1:$Q$1,0)),元データ_14項目!$A$2:$A$1300,$A187,元データ_14項目!$B$2:$B$1300,"本年",元データ_14項目!$C$2:$C$1300,M$5)</f>
        <v>2</v>
      </c>
      <c r="N187" s="26">
        <f>SUMIFS(INDEX(元データ_14項目!$D$2:$Q$1300,0,MATCH($B187,元データ_14項目!$D$1:$Q$1,0)),元データ_14項目!$A$2:$A$1300,$A187,元データ_14項目!$B$2:$B$1300,"本年",元データ_14項目!$C$2:$C$1300,N$5)</f>
        <v>8</v>
      </c>
      <c r="O187" s="26">
        <f t="shared" si="4"/>
        <v>87</v>
      </c>
      <c r="P187" s="26">
        <f>SUMIFS(INDEX(元データ_14項目!$D$2:$Q$1300,0,MATCH($B187,元データ_14項目!$D$1:$Q$1,0)),元データ_14項目!$A$2:$A$1300,$A187,元データ_14項目!$B$2:$B$1300,"前年")</f>
        <v>84</v>
      </c>
      <c r="Q187" s="7">
        <f t="shared" si="5"/>
        <v>1.0357142857142858</v>
      </c>
    </row>
    <row r="188" spans="1:17" x14ac:dyDescent="0.45">
      <c r="A188" t="s">
        <v>48</v>
      </c>
      <c r="B188" t="s">
        <v>27</v>
      </c>
      <c r="C188" s="26">
        <f>SUMIFS(INDEX(元データ_14項目!$D$2:$Q$1300,0,MATCH($B188,元データ_14項目!$D$1:$Q$1,0)),元データ_14項目!$A$2:$A$1300,$A188,元データ_14項目!$B$2:$B$1300,"本年",元データ_14項目!$C$2:$C$1300,C$5)</f>
        <v>736</v>
      </c>
      <c r="D188" s="26">
        <f>SUMIFS(INDEX(元データ_14項目!$D$2:$Q$1300,0,MATCH($B188,元データ_14項目!$D$1:$Q$1,0)),元データ_14項目!$A$2:$A$1300,$A188,元データ_14項目!$B$2:$B$1300,"本年",元データ_14項目!$C$2:$C$1300,D$5)</f>
        <v>912</v>
      </c>
      <c r="E188" s="26">
        <f>SUMIFS(INDEX(元データ_14項目!$D$2:$Q$1300,0,MATCH($B188,元データ_14項目!$D$1:$Q$1,0)),元データ_14項目!$A$2:$A$1300,$A188,元データ_14項目!$B$2:$B$1300,"本年",元データ_14項目!$C$2:$C$1300,E$5)</f>
        <v>1117</v>
      </c>
      <c r="F188" s="26">
        <f>SUMIFS(INDEX(元データ_14項目!$D$2:$Q$1300,0,MATCH($B188,元データ_14項目!$D$1:$Q$1,0)),元データ_14項目!$A$2:$A$1300,$A188,元データ_14項目!$B$2:$B$1300,"本年",元データ_14項目!$C$2:$C$1300,F$5)</f>
        <v>971</v>
      </c>
      <c r="G188" s="26">
        <f>SUMIFS(INDEX(元データ_14項目!$D$2:$Q$1300,0,MATCH($B188,元データ_14項目!$D$1:$Q$1,0)),元データ_14項目!$A$2:$A$1300,$A188,元データ_14項目!$B$2:$B$1300,"本年",元データ_14項目!$C$2:$C$1300,G$5)</f>
        <v>1106</v>
      </c>
      <c r="H188" s="26">
        <f>SUMIFS(INDEX(元データ_14項目!$D$2:$Q$1300,0,MATCH($B188,元データ_14項目!$D$1:$Q$1,0)),元データ_14項目!$A$2:$A$1300,$A188,元データ_14項目!$B$2:$B$1300,"本年",元データ_14項目!$C$2:$C$1300,H$5)</f>
        <v>724</v>
      </c>
      <c r="I188" s="26">
        <f>SUMIFS(INDEX(元データ_14項目!$D$2:$Q$1300,0,MATCH($B188,元データ_14項目!$D$1:$Q$1,0)),元データ_14項目!$A$2:$A$1300,$A188,元データ_14項目!$B$2:$B$1300,"本年",元データ_14項目!$C$2:$C$1300,I$5)</f>
        <v>794</v>
      </c>
      <c r="J188" s="26">
        <f>SUMIFS(INDEX(元データ_14項目!$D$2:$Q$1300,0,MATCH($B188,元データ_14項目!$D$1:$Q$1,0)),元データ_14項目!$A$2:$A$1300,$A188,元データ_14項目!$B$2:$B$1300,"本年",元データ_14項目!$C$2:$C$1300,J$5)</f>
        <v>960</v>
      </c>
      <c r="K188" s="26">
        <f>SUMIFS(INDEX(元データ_14項目!$D$2:$Q$1300,0,MATCH($B188,元データ_14項目!$D$1:$Q$1,0)),元データ_14項目!$A$2:$A$1300,$A188,元データ_14項目!$B$2:$B$1300,"本年",元データ_14項目!$C$2:$C$1300,K$5)</f>
        <v>948</v>
      </c>
      <c r="L188" s="26">
        <f>SUMIFS(INDEX(元データ_14項目!$D$2:$Q$1300,0,MATCH($B188,元データ_14項目!$D$1:$Q$1,0)),元データ_14項目!$A$2:$A$1300,$A188,元データ_14項目!$B$2:$B$1300,"本年",元データ_14項目!$C$2:$C$1300,L$5)</f>
        <v>791</v>
      </c>
      <c r="M188" s="26">
        <f>SUMIFS(INDEX(元データ_14項目!$D$2:$Q$1300,0,MATCH($B188,元データ_14項目!$D$1:$Q$1,0)),元データ_14項目!$A$2:$A$1300,$A188,元データ_14項目!$B$2:$B$1300,"本年",元データ_14項目!$C$2:$C$1300,M$5)</f>
        <v>1007</v>
      </c>
      <c r="N188" s="26">
        <f>SUMIFS(INDEX(元データ_14項目!$D$2:$Q$1300,0,MATCH($B188,元データ_14項目!$D$1:$Q$1,0)),元データ_14項目!$A$2:$A$1300,$A188,元データ_14項目!$B$2:$B$1300,"本年",元データ_14項目!$C$2:$C$1300,N$5)</f>
        <v>890</v>
      </c>
      <c r="O188" s="26">
        <f t="shared" si="4"/>
        <v>10956</v>
      </c>
      <c r="P188" s="26">
        <f>SUMIFS(INDEX(元データ_14項目!$D$2:$Q$1300,0,MATCH($B188,元データ_14項目!$D$1:$Q$1,0)),元データ_14項目!$A$2:$A$1300,$A188,元データ_14項目!$B$2:$B$1300,"前年")</f>
        <v>13783</v>
      </c>
      <c r="Q188" s="7">
        <f t="shared" si="5"/>
        <v>0.79489225857940937</v>
      </c>
    </row>
    <row r="189" spans="1:17" x14ac:dyDescent="0.45">
      <c r="A189" t="s">
        <v>48</v>
      </c>
      <c r="B189" t="s">
        <v>88</v>
      </c>
      <c r="C189" s="26">
        <f>SUMIFS(INDEX(元データ_14項目!$D$2:$Q$1300,0,MATCH($B189,元データ_14項目!$D$1:$Q$1,0)),元データ_14項目!$A$2:$A$1300,$A189,元データ_14項目!$B$2:$B$1300,"本年",元データ_14項目!$C$2:$C$1300,C$5)</f>
        <v>30</v>
      </c>
      <c r="D189" s="26">
        <f>SUMIFS(INDEX(元データ_14項目!$D$2:$Q$1300,0,MATCH($B189,元データ_14項目!$D$1:$Q$1,0)),元データ_14項目!$A$2:$A$1300,$A189,元データ_14項目!$B$2:$B$1300,"本年",元データ_14項目!$C$2:$C$1300,D$5)</f>
        <v>40</v>
      </c>
      <c r="E189" s="26">
        <f>SUMIFS(INDEX(元データ_14項目!$D$2:$Q$1300,0,MATCH($B189,元データ_14項目!$D$1:$Q$1,0)),元データ_14項目!$A$2:$A$1300,$A189,元データ_14項目!$B$2:$B$1300,"本年",元データ_14項目!$C$2:$C$1300,E$5)</f>
        <v>95</v>
      </c>
      <c r="F189" s="26">
        <f>SUMIFS(INDEX(元データ_14項目!$D$2:$Q$1300,0,MATCH($B189,元データ_14項目!$D$1:$Q$1,0)),元データ_14項目!$A$2:$A$1300,$A189,元データ_14項目!$B$2:$B$1300,"本年",元データ_14項目!$C$2:$C$1300,F$5)</f>
        <v>84</v>
      </c>
      <c r="G189" s="26">
        <f>SUMIFS(INDEX(元データ_14項目!$D$2:$Q$1300,0,MATCH($B189,元データ_14項目!$D$1:$Q$1,0)),元データ_14項目!$A$2:$A$1300,$A189,元データ_14項目!$B$2:$B$1300,"本年",元データ_14項目!$C$2:$C$1300,G$5)</f>
        <v>49</v>
      </c>
      <c r="H189" s="26">
        <f>SUMIFS(INDEX(元データ_14項目!$D$2:$Q$1300,0,MATCH($B189,元データ_14項目!$D$1:$Q$1,0)),元データ_14項目!$A$2:$A$1300,$A189,元データ_14項目!$B$2:$B$1300,"本年",元データ_14項目!$C$2:$C$1300,H$5)</f>
        <v>41</v>
      </c>
      <c r="I189" s="26">
        <f>SUMIFS(INDEX(元データ_14項目!$D$2:$Q$1300,0,MATCH($B189,元データ_14項目!$D$1:$Q$1,0)),元データ_14項目!$A$2:$A$1300,$A189,元データ_14項目!$B$2:$B$1300,"本年",元データ_14項目!$C$2:$C$1300,I$5)</f>
        <v>24</v>
      </c>
      <c r="J189" s="26">
        <f>SUMIFS(INDEX(元データ_14項目!$D$2:$Q$1300,0,MATCH($B189,元データ_14項目!$D$1:$Q$1,0)),元データ_14項目!$A$2:$A$1300,$A189,元データ_14項目!$B$2:$B$1300,"本年",元データ_14項目!$C$2:$C$1300,J$5)</f>
        <v>33</v>
      </c>
      <c r="K189" s="26">
        <f>SUMIFS(INDEX(元データ_14項目!$D$2:$Q$1300,0,MATCH($B189,元データ_14項目!$D$1:$Q$1,0)),元データ_14項目!$A$2:$A$1300,$A189,元データ_14項目!$B$2:$B$1300,"本年",元データ_14項目!$C$2:$C$1300,K$5)</f>
        <v>62</v>
      </c>
      <c r="L189" s="26">
        <f>SUMIFS(INDEX(元データ_14項目!$D$2:$Q$1300,0,MATCH($B189,元データ_14項目!$D$1:$Q$1,0)),元データ_14項目!$A$2:$A$1300,$A189,元データ_14項目!$B$2:$B$1300,"本年",元データ_14項目!$C$2:$C$1300,L$5)</f>
        <v>60</v>
      </c>
      <c r="M189" s="26">
        <f>SUMIFS(INDEX(元データ_14項目!$D$2:$Q$1300,0,MATCH($B189,元データ_14項目!$D$1:$Q$1,0)),元データ_14項目!$A$2:$A$1300,$A189,元データ_14項目!$B$2:$B$1300,"本年",元データ_14項目!$C$2:$C$1300,M$5)</f>
        <v>40</v>
      </c>
      <c r="N189" s="26">
        <f>SUMIFS(INDEX(元データ_14項目!$D$2:$Q$1300,0,MATCH($B189,元データ_14項目!$D$1:$Q$1,0)),元データ_14項目!$A$2:$A$1300,$A189,元データ_14項目!$B$2:$B$1300,"本年",元データ_14項目!$C$2:$C$1300,N$5)</f>
        <v>56</v>
      </c>
      <c r="O189" s="26">
        <f t="shared" si="4"/>
        <v>614</v>
      </c>
      <c r="P189" s="26">
        <f>SUMIFS(INDEX(元データ_14項目!$D$2:$Q$1300,0,MATCH($B189,元データ_14項目!$D$1:$Q$1,0)),元データ_14項目!$A$2:$A$1300,$A189,元データ_14項目!$B$2:$B$1300,"前年")</f>
        <v>551</v>
      </c>
      <c r="Q189" s="7">
        <f t="shared" si="5"/>
        <v>1.1143375680580763</v>
      </c>
    </row>
    <row r="190" spans="1:17" x14ac:dyDescent="0.45">
      <c r="A190" t="s">
        <v>48</v>
      </c>
      <c r="B190" t="s">
        <v>89</v>
      </c>
      <c r="C190" s="26">
        <f>SUMIFS(INDEX(元データ_14項目!$D$2:$Q$1300,0,MATCH($B190,元データ_14項目!$D$1:$Q$1,0)),元データ_14項目!$A$2:$A$1300,$A190,元データ_14項目!$B$2:$B$1300,"本年",元データ_14項目!$C$2:$C$1300,C$5)</f>
        <v>29</v>
      </c>
      <c r="D190" s="26">
        <f>SUMIFS(INDEX(元データ_14項目!$D$2:$Q$1300,0,MATCH($B190,元データ_14項目!$D$1:$Q$1,0)),元データ_14項目!$A$2:$A$1300,$A190,元データ_14項目!$B$2:$B$1300,"本年",元データ_14項目!$C$2:$C$1300,D$5)</f>
        <v>29</v>
      </c>
      <c r="E190" s="26">
        <f>SUMIFS(INDEX(元データ_14項目!$D$2:$Q$1300,0,MATCH($B190,元データ_14項目!$D$1:$Q$1,0)),元データ_14項目!$A$2:$A$1300,$A190,元データ_14項目!$B$2:$B$1300,"本年",元データ_14項目!$C$2:$C$1300,E$5)</f>
        <v>64</v>
      </c>
      <c r="F190" s="26">
        <f>SUMIFS(INDEX(元データ_14項目!$D$2:$Q$1300,0,MATCH($B190,元データ_14項目!$D$1:$Q$1,0)),元データ_14項目!$A$2:$A$1300,$A190,元データ_14項目!$B$2:$B$1300,"本年",元データ_14項目!$C$2:$C$1300,F$5)</f>
        <v>53</v>
      </c>
      <c r="G190" s="26">
        <f>SUMIFS(INDEX(元データ_14項目!$D$2:$Q$1300,0,MATCH($B190,元データ_14項目!$D$1:$Q$1,0)),元データ_14項目!$A$2:$A$1300,$A190,元データ_14項目!$B$2:$B$1300,"本年",元データ_14項目!$C$2:$C$1300,G$5)</f>
        <v>55</v>
      </c>
      <c r="H190" s="26">
        <f>SUMIFS(INDEX(元データ_14項目!$D$2:$Q$1300,0,MATCH($B190,元データ_14項目!$D$1:$Q$1,0)),元データ_14項目!$A$2:$A$1300,$A190,元データ_14項目!$B$2:$B$1300,"本年",元データ_14項目!$C$2:$C$1300,H$5)</f>
        <v>16</v>
      </c>
      <c r="I190" s="26">
        <f>SUMIFS(INDEX(元データ_14項目!$D$2:$Q$1300,0,MATCH($B190,元データ_14項目!$D$1:$Q$1,0)),元データ_14項目!$A$2:$A$1300,$A190,元データ_14項目!$B$2:$B$1300,"本年",元データ_14項目!$C$2:$C$1300,I$5)</f>
        <v>16</v>
      </c>
      <c r="J190" s="26">
        <f>SUMIFS(INDEX(元データ_14項目!$D$2:$Q$1300,0,MATCH($B190,元データ_14項目!$D$1:$Q$1,0)),元データ_14項目!$A$2:$A$1300,$A190,元データ_14項目!$B$2:$B$1300,"本年",元データ_14項目!$C$2:$C$1300,J$5)</f>
        <v>34</v>
      </c>
      <c r="K190" s="26">
        <f>SUMIFS(INDEX(元データ_14項目!$D$2:$Q$1300,0,MATCH($B190,元データ_14項目!$D$1:$Q$1,0)),元データ_14項目!$A$2:$A$1300,$A190,元データ_14項目!$B$2:$B$1300,"本年",元データ_14項目!$C$2:$C$1300,K$5)</f>
        <v>37</v>
      </c>
      <c r="L190" s="26">
        <f>SUMIFS(INDEX(元データ_14項目!$D$2:$Q$1300,0,MATCH($B190,元データ_14項目!$D$1:$Q$1,0)),元データ_14項目!$A$2:$A$1300,$A190,元データ_14項目!$B$2:$B$1300,"本年",元データ_14項目!$C$2:$C$1300,L$5)</f>
        <v>36</v>
      </c>
      <c r="M190" s="26">
        <f>SUMIFS(INDEX(元データ_14項目!$D$2:$Q$1300,0,MATCH($B190,元データ_14項目!$D$1:$Q$1,0)),元データ_14項目!$A$2:$A$1300,$A190,元データ_14項目!$B$2:$B$1300,"本年",元データ_14項目!$C$2:$C$1300,M$5)</f>
        <v>44</v>
      </c>
      <c r="N190" s="26">
        <f>SUMIFS(INDEX(元データ_14項目!$D$2:$Q$1300,0,MATCH($B190,元データ_14項目!$D$1:$Q$1,0)),元データ_14項目!$A$2:$A$1300,$A190,元データ_14項目!$B$2:$B$1300,"本年",元データ_14項目!$C$2:$C$1300,N$5)</f>
        <v>40</v>
      </c>
      <c r="O190" s="26">
        <f t="shared" si="4"/>
        <v>453</v>
      </c>
      <c r="P190" s="26">
        <f>SUMIFS(INDEX(元データ_14項目!$D$2:$Q$1300,0,MATCH($B190,元データ_14項目!$D$1:$Q$1,0)),元データ_14項目!$A$2:$A$1300,$A190,元データ_14項目!$B$2:$B$1300,"前年")</f>
        <v>502</v>
      </c>
      <c r="Q190" s="7">
        <f t="shared" si="5"/>
        <v>0.90239043824701193</v>
      </c>
    </row>
    <row r="191" spans="1:17" x14ac:dyDescent="0.45">
      <c r="A191" t="s">
        <v>48</v>
      </c>
      <c r="B191" t="s">
        <v>90</v>
      </c>
      <c r="C191" s="26">
        <f>SUMIFS(INDEX(元データ_14項目!$D$2:$Q$1300,0,MATCH($B191,元データ_14項目!$D$1:$Q$1,0)),元データ_14項目!$A$2:$A$1300,$A191,元データ_14項目!$B$2:$B$1300,"本年",元データ_14項目!$C$2:$C$1300,C$5)</f>
        <v>52</v>
      </c>
      <c r="D191" s="26">
        <f>SUMIFS(INDEX(元データ_14項目!$D$2:$Q$1300,0,MATCH($B191,元データ_14項目!$D$1:$Q$1,0)),元データ_14項目!$A$2:$A$1300,$A191,元データ_14項目!$B$2:$B$1300,"本年",元データ_14項目!$C$2:$C$1300,D$5)</f>
        <v>36</v>
      </c>
      <c r="E191" s="26">
        <f>SUMIFS(INDEX(元データ_14項目!$D$2:$Q$1300,0,MATCH($B191,元データ_14項目!$D$1:$Q$1,0)),元データ_14項目!$A$2:$A$1300,$A191,元データ_14項目!$B$2:$B$1300,"本年",元データ_14項目!$C$2:$C$1300,E$5)</f>
        <v>77</v>
      </c>
      <c r="F191" s="26">
        <f>SUMIFS(INDEX(元データ_14項目!$D$2:$Q$1300,0,MATCH($B191,元データ_14項目!$D$1:$Q$1,0)),元データ_14項目!$A$2:$A$1300,$A191,元データ_14項目!$B$2:$B$1300,"本年",元データ_14項目!$C$2:$C$1300,F$5)</f>
        <v>91</v>
      </c>
      <c r="G191" s="26">
        <f>SUMIFS(INDEX(元データ_14項目!$D$2:$Q$1300,0,MATCH($B191,元データ_14項目!$D$1:$Q$1,0)),元データ_14項目!$A$2:$A$1300,$A191,元データ_14項目!$B$2:$B$1300,"本年",元データ_14項目!$C$2:$C$1300,G$5)</f>
        <v>203</v>
      </c>
      <c r="H191" s="26">
        <f>SUMIFS(INDEX(元データ_14項目!$D$2:$Q$1300,0,MATCH($B191,元データ_14項目!$D$1:$Q$1,0)),元データ_14項目!$A$2:$A$1300,$A191,元データ_14項目!$B$2:$B$1300,"本年",元データ_14項目!$C$2:$C$1300,H$5)</f>
        <v>129</v>
      </c>
      <c r="I191" s="26">
        <f>SUMIFS(INDEX(元データ_14項目!$D$2:$Q$1300,0,MATCH($B191,元データ_14項目!$D$1:$Q$1,0)),元データ_14項目!$A$2:$A$1300,$A191,元データ_14項目!$B$2:$B$1300,"本年",元データ_14項目!$C$2:$C$1300,I$5)</f>
        <v>80</v>
      </c>
      <c r="J191" s="26">
        <f>SUMIFS(INDEX(元データ_14項目!$D$2:$Q$1300,0,MATCH($B191,元データ_14項目!$D$1:$Q$1,0)),元データ_14項目!$A$2:$A$1300,$A191,元データ_14項目!$B$2:$B$1300,"本年",元データ_14項目!$C$2:$C$1300,J$5)</f>
        <v>156</v>
      </c>
      <c r="K191" s="26">
        <f>SUMIFS(INDEX(元データ_14項目!$D$2:$Q$1300,0,MATCH($B191,元データ_14項目!$D$1:$Q$1,0)),元データ_14項目!$A$2:$A$1300,$A191,元データ_14項目!$B$2:$B$1300,"本年",元データ_14項目!$C$2:$C$1300,K$5)</f>
        <v>211</v>
      </c>
      <c r="L191" s="26">
        <f>SUMIFS(INDEX(元データ_14項目!$D$2:$Q$1300,0,MATCH($B191,元データ_14項目!$D$1:$Q$1,0)),元データ_14項目!$A$2:$A$1300,$A191,元データ_14項目!$B$2:$B$1300,"本年",元データ_14項目!$C$2:$C$1300,L$5)</f>
        <v>129</v>
      </c>
      <c r="M191" s="26">
        <f>SUMIFS(INDEX(元データ_14項目!$D$2:$Q$1300,0,MATCH($B191,元データ_14項目!$D$1:$Q$1,0)),元データ_14項目!$A$2:$A$1300,$A191,元データ_14項目!$B$2:$B$1300,"本年",元データ_14項目!$C$2:$C$1300,M$5)</f>
        <v>151</v>
      </c>
      <c r="N191" s="26">
        <f>SUMIFS(INDEX(元データ_14項目!$D$2:$Q$1300,0,MATCH($B191,元データ_14項目!$D$1:$Q$1,0)),元データ_14項目!$A$2:$A$1300,$A191,元データ_14項目!$B$2:$B$1300,"本年",元データ_14項目!$C$2:$C$1300,N$5)</f>
        <v>74</v>
      </c>
      <c r="O191" s="26">
        <f t="shared" si="4"/>
        <v>1389</v>
      </c>
      <c r="P191" s="26">
        <f>SUMIFS(INDEX(元データ_14項目!$D$2:$Q$1300,0,MATCH($B191,元データ_14項目!$D$1:$Q$1,0)),元データ_14項目!$A$2:$A$1300,$A191,元データ_14項目!$B$2:$B$1300,"前年")</f>
        <v>1553</v>
      </c>
      <c r="Q191" s="7">
        <f t="shared" si="5"/>
        <v>0.89439793947198964</v>
      </c>
    </row>
    <row r="192" spans="1:17" x14ac:dyDescent="0.45">
      <c r="A192" t="s">
        <v>48</v>
      </c>
      <c r="B192" t="s">
        <v>91</v>
      </c>
      <c r="C192" s="26">
        <f>SUMIFS(INDEX(元データ_14項目!$D$2:$Q$1300,0,MATCH($B192,元データ_14項目!$D$1:$Q$1,0)),元データ_14項目!$A$2:$A$1300,$A192,元データ_14項目!$B$2:$B$1300,"本年",元データ_14項目!$C$2:$C$1300,C$5)</f>
        <v>15</v>
      </c>
      <c r="D192" s="26">
        <f>SUMIFS(INDEX(元データ_14項目!$D$2:$Q$1300,0,MATCH($B192,元データ_14項目!$D$1:$Q$1,0)),元データ_14項目!$A$2:$A$1300,$A192,元データ_14項目!$B$2:$B$1300,"本年",元データ_14項目!$C$2:$C$1300,D$5)</f>
        <v>62</v>
      </c>
      <c r="E192" s="26">
        <f>SUMIFS(INDEX(元データ_14項目!$D$2:$Q$1300,0,MATCH($B192,元データ_14項目!$D$1:$Q$1,0)),元データ_14項目!$A$2:$A$1300,$A192,元データ_14項目!$B$2:$B$1300,"本年",元データ_14項目!$C$2:$C$1300,E$5)</f>
        <v>74</v>
      </c>
      <c r="F192" s="26">
        <f>SUMIFS(INDEX(元データ_14項目!$D$2:$Q$1300,0,MATCH($B192,元データ_14項目!$D$1:$Q$1,0)),元データ_14項目!$A$2:$A$1300,$A192,元データ_14項目!$B$2:$B$1300,"本年",元データ_14項目!$C$2:$C$1300,F$5)</f>
        <v>67</v>
      </c>
      <c r="G192" s="26">
        <f>SUMIFS(INDEX(元データ_14項目!$D$2:$Q$1300,0,MATCH($B192,元データ_14項目!$D$1:$Q$1,0)),元データ_14項目!$A$2:$A$1300,$A192,元データ_14項目!$B$2:$B$1300,"本年",元データ_14項目!$C$2:$C$1300,G$5)</f>
        <v>54</v>
      </c>
      <c r="H192" s="26">
        <f>SUMIFS(INDEX(元データ_14項目!$D$2:$Q$1300,0,MATCH($B192,元データ_14項目!$D$1:$Q$1,0)),元データ_14項目!$A$2:$A$1300,$A192,元データ_14項目!$B$2:$B$1300,"本年",元データ_14項目!$C$2:$C$1300,H$5)</f>
        <v>11</v>
      </c>
      <c r="I192" s="26">
        <f>SUMIFS(INDEX(元データ_14項目!$D$2:$Q$1300,0,MATCH($B192,元データ_14項目!$D$1:$Q$1,0)),元データ_14項目!$A$2:$A$1300,$A192,元データ_14項目!$B$2:$B$1300,"本年",元データ_14項目!$C$2:$C$1300,I$5)</f>
        <v>27</v>
      </c>
      <c r="J192" s="26">
        <f>SUMIFS(INDEX(元データ_14項目!$D$2:$Q$1300,0,MATCH($B192,元データ_14項目!$D$1:$Q$1,0)),元データ_14項目!$A$2:$A$1300,$A192,元データ_14項目!$B$2:$B$1300,"本年",元データ_14項目!$C$2:$C$1300,J$5)</f>
        <v>13</v>
      </c>
      <c r="K192" s="26">
        <f>SUMIFS(INDEX(元データ_14項目!$D$2:$Q$1300,0,MATCH($B192,元データ_14項目!$D$1:$Q$1,0)),元データ_14項目!$A$2:$A$1300,$A192,元データ_14項目!$B$2:$B$1300,"本年",元データ_14項目!$C$2:$C$1300,K$5)</f>
        <v>78</v>
      </c>
      <c r="L192" s="26">
        <f>SUMIFS(INDEX(元データ_14項目!$D$2:$Q$1300,0,MATCH($B192,元データ_14項目!$D$1:$Q$1,0)),元データ_14項目!$A$2:$A$1300,$A192,元データ_14項目!$B$2:$B$1300,"本年",元データ_14項目!$C$2:$C$1300,L$5)</f>
        <v>53</v>
      </c>
      <c r="M192" s="26">
        <f>SUMIFS(INDEX(元データ_14項目!$D$2:$Q$1300,0,MATCH($B192,元データ_14項目!$D$1:$Q$1,0)),元データ_14項目!$A$2:$A$1300,$A192,元データ_14項目!$B$2:$B$1300,"本年",元データ_14項目!$C$2:$C$1300,M$5)</f>
        <v>58</v>
      </c>
      <c r="N192" s="26">
        <f>SUMIFS(INDEX(元データ_14項目!$D$2:$Q$1300,0,MATCH($B192,元データ_14項目!$D$1:$Q$1,0)),元データ_14項目!$A$2:$A$1300,$A192,元データ_14項目!$B$2:$B$1300,"本年",元データ_14項目!$C$2:$C$1300,N$5)</f>
        <v>32</v>
      </c>
      <c r="O192" s="26">
        <f t="shared" si="4"/>
        <v>544</v>
      </c>
      <c r="P192" s="26">
        <f>SUMIFS(INDEX(元データ_14項目!$D$2:$Q$1300,0,MATCH($B192,元データ_14項目!$D$1:$Q$1,0)),元データ_14項目!$A$2:$A$1300,$A192,元データ_14項目!$B$2:$B$1300,"前年")</f>
        <v>500</v>
      </c>
      <c r="Q192" s="7">
        <f t="shared" si="5"/>
        <v>1.0880000000000001</v>
      </c>
    </row>
    <row r="193" spans="1:17" x14ac:dyDescent="0.45">
      <c r="A193" t="s">
        <v>48</v>
      </c>
      <c r="B193" t="s">
        <v>28</v>
      </c>
      <c r="C193" s="26">
        <f>SUMIFS(INDEX(元データ_14項目!$D$2:$Q$1300,0,MATCH($B193,元データ_14項目!$D$1:$Q$1,0)),元データ_14項目!$A$2:$A$1300,$A193,元データ_14項目!$B$2:$B$1300,"本年",元データ_14項目!$C$2:$C$1300,C$5)</f>
        <v>241</v>
      </c>
      <c r="D193" s="26">
        <f>SUMIFS(INDEX(元データ_14項目!$D$2:$Q$1300,0,MATCH($B193,元データ_14項目!$D$1:$Q$1,0)),元データ_14項目!$A$2:$A$1300,$A193,元データ_14項目!$B$2:$B$1300,"本年",元データ_14項目!$C$2:$C$1300,D$5)</f>
        <v>273</v>
      </c>
      <c r="E193" s="26">
        <f>SUMIFS(INDEX(元データ_14項目!$D$2:$Q$1300,0,MATCH($B193,元データ_14項目!$D$1:$Q$1,0)),元データ_14項目!$A$2:$A$1300,$A193,元データ_14項目!$B$2:$B$1300,"本年",元データ_14項目!$C$2:$C$1300,E$5)</f>
        <v>321</v>
      </c>
      <c r="F193" s="26">
        <f>SUMIFS(INDEX(元データ_14項目!$D$2:$Q$1300,0,MATCH($B193,元データ_14項目!$D$1:$Q$1,0)),元データ_14項目!$A$2:$A$1300,$A193,元データ_14項目!$B$2:$B$1300,"本年",元データ_14項目!$C$2:$C$1300,F$5)</f>
        <v>246</v>
      </c>
      <c r="G193" s="26">
        <f>SUMIFS(INDEX(元データ_14項目!$D$2:$Q$1300,0,MATCH($B193,元データ_14項目!$D$1:$Q$1,0)),元データ_14項目!$A$2:$A$1300,$A193,元データ_14項目!$B$2:$B$1300,"本年",元データ_14項目!$C$2:$C$1300,G$5)</f>
        <v>199</v>
      </c>
      <c r="H193" s="26">
        <f>SUMIFS(INDEX(元データ_14項目!$D$2:$Q$1300,0,MATCH($B193,元データ_14項目!$D$1:$Q$1,0)),元データ_14項目!$A$2:$A$1300,$A193,元データ_14項目!$B$2:$B$1300,"本年",元データ_14項目!$C$2:$C$1300,H$5)</f>
        <v>119</v>
      </c>
      <c r="I193" s="26">
        <f>SUMIFS(INDEX(元データ_14項目!$D$2:$Q$1300,0,MATCH($B193,元データ_14項目!$D$1:$Q$1,0)),元データ_14項目!$A$2:$A$1300,$A193,元データ_14項目!$B$2:$B$1300,"本年",元データ_14項目!$C$2:$C$1300,I$5)</f>
        <v>116</v>
      </c>
      <c r="J193" s="26">
        <f>SUMIFS(INDEX(元データ_14項目!$D$2:$Q$1300,0,MATCH($B193,元データ_14項目!$D$1:$Q$1,0)),元データ_14項目!$A$2:$A$1300,$A193,元データ_14項目!$B$2:$B$1300,"本年",元データ_14項目!$C$2:$C$1300,J$5)</f>
        <v>144</v>
      </c>
      <c r="K193" s="26">
        <f>SUMIFS(INDEX(元データ_14項目!$D$2:$Q$1300,0,MATCH($B193,元データ_14項目!$D$1:$Q$1,0)),元データ_14項目!$A$2:$A$1300,$A193,元データ_14項目!$B$2:$B$1300,"本年",元データ_14項目!$C$2:$C$1300,K$5)</f>
        <v>202</v>
      </c>
      <c r="L193" s="26">
        <f>SUMIFS(INDEX(元データ_14項目!$D$2:$Q$1300,0,MATCH($B193,元データ_14項目!$D$1:$Q$1,0)),元データ_14項目!$A$2:$A$1300,$A193,元データ_14項目!$B$2:$B$1300,"本年",元データ_14項目!$C$2:$C$1300,L$5)</f>
        <v>186</v>
      </c>
      <c r="M193" s="26">
        <f>SUMIFS(INDEX(元データ_14項目!$D$2:$Q$1300,0,MATCH($B193,元データ_14項目!$D$1:$Q$1,0)),元データ_14項目!$A$2:$A$1300,$A193,元データ_14項目!$B$2:$B$1300,"本年",元データ_14項目!$C$2:$C$1300,M$5)</f>
        <v>243</v>
      </c>
      <c r="N193" s="26">
        <f>SUMIFS(INDEX(元データ_14項目!$D$2:$Q$1300,0,MATCH($B193,元データ_14項目!$D$1:$Q$1,0)),元データ_14項目!$A$2:$A$1300,$A193,元データ_14項目!$B$2:$B$1300,"本年",元データ_14項目!$C$2:$C$1300,N$5)</f>
        <v>186</v>
      </c>
      <c r="O193" s="26">
        <f t="shared" si="4"/>
        <v>2476</v>
      </c>
      <c r="P193" s="26">
        <f>SUMIFS(INDEX(元データ_14項目!$D$2:$Q$1300,0,MATCH($B193,元データ_14項目!$D$1:$Q$1,0)),元データ_14項目!$A$2:$A$1300,$A193,元データ_14項目!$B$2:$B$1300,"前年")</f>
        <v>2717</v>
      </c>
      <c r="Q193" s="7">
        <f t="shared" si="5"/>
        <v>0.91129922708870081</v>
      </c>
    </row>
    <row r="194" spans="1:17" x14ac:dyDescent="0.45">
      <c r="A194" t="s">
        <v>48</v>
      </c>
      <c r="B194" t="s">
        <v>92</v>
      </c>
      <c r="C194" s="26">
        <f>SUMIFS(INDEX(元データ_14項目!$D$2:$Q$1300,0,MATCH($B194,元データ_14項目!$D$1:$Q$1,0)),元データ_14項目!$A$2:$A$1300,$A194,元データ_14項目!$B$2:$B$1300,"本年",元データ_14項目!$C$2:$C$1300,C$5)</f>
        <v>23</v>
      </c>
      <c r="D194" s="26">
        <f>SUMIFS(INDEX(元データ_14項目!$D$2:$Q$1300,0,MATCH($B194,元データ_14項目!$D$1:$Q$1,0)),元データ_14項目!$A$2:$A$1300,$A194,元データ_14項目!$B$2:$B$1300,"本年",元データ_14項目!$C$2:$C$1300,D$5)</f>
        <v>28</v>
      </c>
      <c r="E194" s="26">
        <f>SUMIFS(INDEX(元データ_14項目!$D$2:$Q$1300,0,MATCH($B194,元データ_14項目!$D$1:$Q$1,0)),元データ_14項目!$A$2:$A$1300,$A194,元データ_14項目!$B$2:$B$1300,"本年",元データ_14項目!$C$2:$C$1300,E$5)</f>
        <v>49</v>
      </c>
      <c r="F194" s="26">
        <f>SUMIFS(INDEX(元データ_14項目!$D$2:$Q$1300,0,MATCH($B194,元データ_14項目!$D$1:$Q$1,0)),元データ_14項目!$A$2:$A$1300,$A194,元データ_14項目!$B$2:$B$1300,"本年",元データ_14項目!$C$2:$C$1300,F$5)</f>
        <v>53</v>
      </c>
      <c r="G194" s="26">
        <f>SUMIFS(INDEX(元データ_14項目!$D$2:$Q$1300,0,MATCH($B194,元データ_14項目!$D$1:$Q$1,0)),元データ_14項目!$A$2:$A$1300,$A194,元データ_14項目!$B$2:$B$1300,"本年",元データ_14項目!$C$2:$C$1300,G$5)</f>
        <v>49</v>
      </c>
      <c r="H194" s="26">
        <f>SUMIFS(INDEX(元データ_14項目!$D$2:$Q$1300,0,MATCH($B194,元データ_14項目!$D$1:$Q$1,0)),元データ_14項目!$A$2:$A$1300,$A194,元データ_14項目!$B$2:$B$1300,"本年",元データ_14項目!$C$2:$C$1300,H$5)</f>
        <v>13</v>
      </c>
      <c r="I194" s="26">
        <f>SUMIFS(INDEX(元データ_14項目!$D$2:$Q$1300,0,MATCH($B194,元データ_14項目!$D$1:$Q$1,0)),元データ_14項目!$A$2:$A$1300,$A194,元データ_14項目!$B$2:$B$1300,"本年",元データ_14項目!$C$2:$C$1300,I$5)</f>
        <v>11</v>
      </c>
      <c r="J194" s="26">
        <f>SUMIFS(INDEX(元データ_14項目!$D$2:$Q$1300,0,MATCH($B194,元データ_14項目!$D$1:$Q$1,0)),元データ_14項目!$A$2:$A$1300,$A194,元データ_14項目!$B$2:$B$1300,"本年",元データ_14項目!$C$2:$C$1300,J$5)</f>
        <v>29</v>
      </c>
      <c r="K194" s="26">
        <f>SUMIFS(INDEX(元データ_14項目!$D$2:$Q$1300,0,MATCH($B194,元データ_14項目!$D$1:$Q$1,0)),元データ_14項目!$A$2:$A$1300,$A194,元データ_14項目!$B$2:$B$1300,"本年",元データ_14項目!$C$2:$C$1300,K$5)</f>
        <v>53</v>
      </c>
      <c r="L194" s="26">
        <f>SUMIFS(INDEX(元データ_14項目!$D$2:$Q$1300,0,MATCH($B194,元データ_14項目!$D$1:$Q$1,0)),元データ_14項目!$A$2:$A$1300,$A194,元データ_14項目!$B$2:$B$1300,"本年",元データ_14項目!$C$2:$C$1300,L$5)</f>
        <v>48</v>
      </c>
      <c r="M194" s="26">
        <f>SUMIFS(INDEX(元データ_14項目!$D$2:$Q$1300,0,MATCH($B194,元データ_14項目!$D$1:$Q$1,0)),元データ_14項目!$A$2:$A$1300,$A194,元データ_14項目!$B$2:$B$1300,"本年",元データ_14項目!$C$2:$C$1300,M$5)</f>
        <v>37</v>
      </c>
      <c r="N194" s="26">
        <f>SUMIFS(INDEX(元データ_14項目!$D$2:$Q$1300,0,MATCH($B194,元データ_14項目!$D$1:$Q$1,0)),元データ_14項目!$A$2:$A$1300,$A194,元データ_14項目!$B$2:$B$1300,"本年",元データ_14項目!$C$2:$C$1300,N$5)</f>
        <v>24</v>
      </c>
      <c r="O194" s="26">
        <f t="shared" si="4"/>
        <v>417</v>
      </c>
      <c r="P194" s="26">
        <f>SUMIFS(INDEX(元データ_14項目!$D$2:$Q$1300,0,MATCH($B194,元データ_14項目!$D$1:$Q$1,0)),元データ_14項目!$A$2:$A$1300,$A194,元データ_14項目!$B$2:$B$1300,"前年")</f>
        <v>454</v>
      </c>
      <c r="Q194" s="7">
        <f t="shared" si="5"/>
        <v>0.91850220264317184</v>
      </c>
    </row>
    <row r="195" spans="1:17" x14ac:dyDescent="0.45">
      <c r="A195" t="s">
        <v>48</v>
      </c>
      <c r="B195" t="s">
        <v>93</v>
      </c>
      <c r="C195" s="26">
        <f>SUMIFS(INDEX(元データ_14項目!$D$2:$Q$1300,0,MATCH($B195,元データ_14項目!$D$1:$Q$1,0)),元データ_14項目!$A$2:$A$1300,$A195,元データ_14項目!$B$2:$B$1300,"本年",元データ_14項目!$C$2:$C$1300,C$5)</f>
        <v>12</v>
      </c>
      <c r="D195" s="26">
        <f>SUMIFS(INDEX(元データ_14項目!$D$2:$Q$1300,0,MATCH($B195,元データ_14項目!$D$1:$Q$1,0)),元データ_14項目!$A$2:$A$1300,$A195,元データ_14項目!$B$2:$B$1300,"本年",元データ_14項目!$C$2:$C$1300,D$5)</f>
        <v>7</v>
      </c>
      <c r="E195" s="26">
        <f>SUMIFS(INDEX(元データ_14項目!$D$2:$Q$1300,0,MATCH($B195,元データ_14項目!$D$1:$Q$1,0)),元データ_14項目!$A$2:$A$1300,$A195,元データ_14項目!$B$2:$B$1300,"本年",元データ_14項目!$C$2:$C$1300,E$5)</f>
        <v>45</v>
      </c>
      <c r="F195" s="26">
        <f>SUMIFS(INDEX(元データ_14項目!$D$2:$Q$1300,0,MATCH($B195,元データ_14項目!$D$1:$Q$1,0)),元データ_14項目!$A$2:$A$1300,$A195,元データ_14項目!$B$2:$B$1300,"本年",元データ_14項目!$C$2:$C$1300,F$5)</f>
        <v>33</v>
      </c>
      <c r="G195" s="26">
        <f>SUMIFS(INDEX(元データ_14項目!$D$2:$Q$1300,0,MATCH($B195,元データ_14項目!$D$1:$Q$1,0)),元データ_14項目!$A$2:$A$1300,$A195,元データ_14項目!$B$2:$B$1300,"本年",元データ_14項目!$C$2:$C$1300,G$5)</f>
        <v>58</v>
      </c>
      <c r="H195" s="26">
        <f>SUMIFS(INDEX(元データ_14項目!$D$2:$Q$1300,0,MATCH($B195,元データ_14項目!$D$1:$Q$1,0)),元データ_14項目!$A$2:$A$1300,$A195,元データ_14項目!$B$2:$B$1300,"本年",元データ_14項目!$C$2:$C$1300,H$5)</f>
        <v>68</v>
      </c>
      <c r="I195" s="26">
        <f>SUMIFS(INDEX(元データ_14項目!$D$2:$Q$1300,0,MATCH($B195,元データ_14項目!$D$1:$Q$1,0)),元データ_14項目!$A$2:$A$1300,$A195,元データ_14項目!$B$2:$B$1300,"本年",元データ_14項目!$C$2:$C$1300,I$5)</f>
        <v>39</v>
      </c>
      <c r="J195" s="26">
        <f>SUMIFS(INDEX(元データ_14項目!$D$2:$Q$1300,0,MATCH($B195,元データ_14項目!$D$1:$Q$1,0)),元データ_14項目!$A$2:$A$1300,$A195,元データ_14項目!$B$2:$B$1300,"本年",元データ_14項目!$C$2:$C$1300,J$5)</f>
        <v>94</v>
      </c>
      <c r="K195" s="26">
        <f>SUMIFS(INDEX(元データ_14項目!$D$2:$Q$1300,0,MATCH($B195,元データ_14項目!$D$1:$Q$1,0)),元データ_14項目!$A$2:$A$1300,$A195,元データ_14項目!$B$2:$B$1300,"本年",元データ_14項目!$C$2:$C$1300,K$5)</f>
        <v>323</v>
      </c>
      <c r="L195" s="26">
        <f>SUMIFS(INDEX(元データ_14項目!$D$2:$Q$1300,0,MATCH($B195,元データ_14項目!$D$1:$Q$1,0)),元データ_14項目!$A$2:$A$1300,$A195,元データ_14項目!$B$2:$B$1300,"本年",元データ_14項目!$C$2:$C$1300,L$5)</f>
        <v>170</v>
      </c>
      <c r="M195" s="26">
        <f>SUMIFS(INDEX(元データ_14項目!$D$2:$Q$1300,0,MATCH($B195,元データ_14項目!$D$1:$Q$1,0)),元データ_14項目!$A$2:$A$1300,$A195,元データ_14項目!$B$2:$B$1300,"本年",元データ_14項目!$C$2:$C$1300,M$5)</f>
        <v>80</v>
      </c>
      <c r="N195" s="26">
        <f>SUMIFS(INDEX(元データ_14項目!$D$2:$Q$1300,0,MATCH($B195,元データ_14項目!$D$1:$Q$1,0)),元データ_14項目!$A$2:$A$1300,$A195,元データ_14項目!$B$2:$B$1300,"本年",元データ_14項目!$C$2:$C$1300,N$5)</f>
        <v>38</v>
      </c>
      <c r="O195" s="26">
        <f t="shared" si="4"/>
        <v>967</v>
      </c>
      <c r="P195" s="26">
        <f>SUMIFS(INDEX(元データ_14項目!$D$2:$Q$1300,0,MATCH($B195,元データ_14項目!$D$1:$Q$1,0)),元データ_14項目!$A$2:$A$1300,$A195,元データ_14項目!$B$2:$B$1300,"前年")</f>
        <v>1080</v>
      </c>
      <c r="Q195" s="7">
        <f t="shared" si="5"/>
        <v>0.89537037037037037</v>
      </c>
    </row>
    <row r="196" spans="1:17" x14ac:dyDescent="0.45">
      <c r="A196" t="s">
        <v>48</v>
      </c>
      <c r="B196" t="s">
        <v>94</v>
      </c>
      <c r="C196" s="26">
        <f>SUMIFS(INDEX(元データ_14項目!$D$2:$Q$1300,0,MATCH($B196,元データ_14項目!$D$1:$Q$1,0)),元データ_14項目!$A$2:$A$1300,$A196,元データ_14項目!$B$2:$B$1300,"本年",元データ_14項目!$C$2:$C$1300,C$5)</f>
        <v>12</v>
      </c>
      <c r="D196" s="26">
        <f>SUMIFS(INDEX(元データ_14項目!$D$2:$Q$1300,0,MATCH($B196,元データ_14項目!$D$1:$Q$1,0)),元データ_14項目!$A$2:$A$1300,$A196,元データ_14項目!$B$2:$B$1300,"本年",元データ_14項目!$C$2:$C$1300,D$5)</f>
        <v>6</v>
      </c>
      <c r="E196" s="26">
        <f>SUMIFS(INDEX(元データ_14項目!$D$2:$Q$1300,0,MATCH($B196,元データ_14項目!$D$1:$Q$1,0)),元データ_14項目!$A$2:$A$1300,$A196,元データ_14項目!$B$2:$B$1300,"本年",元データ_14項目!$C$2:$C$1300,E$5)</f>
        <v>28</v>
      </c>
      <c r="F196" s="26">
        <f>SUMIFS(INDEX(元データ_14項目!$D$2:$Q$1300,0,MATCH($B196,元データ_14項目!$D$1:$Q$1,0)),元データ_14項目!$A$2:$A$1300,$A196,元データ_14項目!$B$2:$B$1300,"本年",元データ_14項目!$C$2:$C$1300,F$5)</f>
        <v>30</v>
      </c>
      <c r="G196" s="26">
        <f>SUMIFS(INDEX(元データ_14項目!$D$2:$Q$1300,0,MATCH($B196,元データ_14項目!$D$1:$Q$1,0)),元データ_14項目!$A$2:$A$1300,$A196,元データ_14項目!$B$2:$B$1300,"本年",元データ_14項目!$C$2:$C$1300,G$5)</f>
        <v>41</v>
      </c>
      <c r="H196" s="26">
        <f>SUMIFS(INDEX(元データ_14項目!$D$2:$Q$1300,0,MATCH($B196,元データ_14項目!$D$1:$Q$1,0)),元データ_14項目!$A$2:$A$1300,$A196,元データ_14項目!$B$2:$B$1300,"本年",元データ_14項目!$C$2:$C$1300,H$5)</f>
        <v>13</v>
      </c>
      <c r="I196" s="26">
        <f>SUMIFS(INDEX(元データ_14項目!$D$2:$Q$1300,0,MATCH($B196,元データ_14項目!$D$1:$Q$1,0)),元データ_14項目!$A$2:$A$1300,$A196,元データ_14項目!$B$2:$B$1300,"本年",元データ_14項目!$C$2:$C$1300,I$5)</f>
        <v>15</v>
      </c>
      <c r="J196" s="26">
        <f>SUMIFS(INDEX(元データ_14項目!$D$2:$Q$1300,0,MATCH($B196,元データ_14項目!$D$1:$Q$1,0)),元データ_14項目!$A$2:$A$1300,$A196,元データ_14項目!$B$2:$B$1300,"本年",元データ_14項目!$C$2:$C$1300,J$5)</f>
        <v>34</v>
      </c>
      <c r="K196" s="26">
        <f>SUMIFS(INDEX(元データ_14項目!$D$2:$Q$1300,0,MATCH($B196,元データ_14項目!$D$1:$Q$1,0)),元データ_14項目!$A$2:$A$1300,$A196,元データ_14項目!$B$2:$B$1300,"本年",元データ_14項目!$C$2:$C$1300,K$5)</f>
        <v>118</v>
      </c>
      <c r="L196" s="26">
        <f>SUMIFS(INDEX(元データ_14項目!$D$2:$Q$1300,0,MATCH($B196,元データ_14項目!$D$1:$Q$1,0)),元データ_14項目!$A$2:$A$1300,$A196,元データ_14項目!$B$2:$B$1300,"本年",元データ_14項目!$C$2:$C$1300,L$5)</f>
        <v>84</v>
      </c>
      <c r="M196" s="26">
        <f>SUMIFS(INDEX(元データ_14項目!$D$2:$Q$1300,0,MATCH($B196,元データ_14項目!$D$1:$Q$1,0)),元データ_14項目!$A$2:$A$1300,$A196,元データ_14項目!$B$2:$B$1300,"本年",元データ_14項目!$C$2:$C$1300,M$5)</f>
        <v>56</v>
      </c>
      <c r="N196" s="26">
        <f>SUMIFS(INDEX(元データ_14項目!$D$2:$Q$1300,0,MATCH($B196,元データ_14項目!$D$1:$Q$1,0)),元データ_14項目!$A$2:$A$1300,$A196,元データ_14項目!$B$2:$B$1300,"本年",元データ_14項目!$C$2:$C$1300,N$5)</f>
        <v>24</v>
      </c>
      <c r="O196" s="26">
        <f t="shared" si="4"/>
        <v>461</v>
      </c>
      <c r="P196" s="26">
        <f>SUMIFS(INDEX(元データ_14項目!$D$2:$Q$1300,0,MATCH($B196,元データ_14項目!$D$1:$Q$1,0)),元データ_14項目!$A$2:$A$1300,$A196,元データ_14項目!$B$2:$B$1300,"前年")</f>
        <v>504</v>
      </c>
      <c r="Q196" s="7">
        <f t="shared" si="5"/>
        <v>0.91468253968253965</v>
      </c>
    </row>
    <row r="197" spans="1:17" x14ac:dyDescent="0.45">
      <c r="A197" t="s">
        <v>48</v>
      </c>
      <c r="B197" t="s">
        <v>95</v>
      </c>
      <c r="C197" s="26">
        <f>SUMIFS(INDEX(元データ_14項目!$D$2:$Q$1300,0,MATCH($B197,元データ_14項目!$D$1:$Q$1,0)),元データ_14項目!$A$2:$A$1300,$A197,元データ_14項目!$B$2:$B$1300,"本年",元データ_14項目!$C$2:$C$1300,C$5)</f>
        <v>15</v>
      </c>
      <c r="D197" s="26">
        <f>SUMIFS(INDEX(元データ_14項目!$D$2:$Q$1300,0,MATCH($B197,元データ_14項目!$D$1:$Q$1,0)),元データ_14項目!$A$2:$A$1300,$A197,元データ_14項目!$B$2:$B$1300,"本年",元データ_14項目!$C$2:$C$1300,D$5)</f>
        <v>45</v>
      </c>
      <c r="E197" s="26">
        <f>SUMIFS(INDEX(元データ_14項目!$D$2:$Q$1300,0,MATCH($B197,元データ_14項目!$D$1:$Q$1,0)),元データ_14項目!$A$2:$A$1300,$A197,元データ_14項目!$B$2:$B$1300,"本年",元データ_14項目!$C$2:$C$1300,E$5)</f>
        <v>41</v>
      </c>
      <c r="F197" s="26">
        <f>SUMIFS(INDEX(元データ_14項目!$D$2:$Q$1300,0,MATCH($B197,元データ_14項目!$D$1:$Q$1,0)),元データ_14項目!$A$2:$A$1300,$A197,元データ_14項目!$B$2:$B$1300,"本年",元データ_14項目!$C$2:$C$1300,F$5)</f>
        <v>48</v>
      </c>
      <c r="G197" s="26">
        <f>SUMIFS(INDEX(元データ_14項目!$D$2:$Q$1300,0,MATCH($B197,元データ_14項目!$D$1:$Q$1,0)),元データ_14項目!$A$2:$A$1300,$A197,元データ_14項目!$B$2:$B$1300,"本年",元データ_14項目!$C$2:$C$1300,G$5)</f>
        <v>49</v>
      </c>
      <c r="H197" s="26">
        <f>SUMIFS(INDEX(元データ_14項目!$D$2:$Q$1300,0,MATCH($B197,元データ_14項目!$D$1:$Q$1,0)),元データ_14項目!$A$2:$A$1300,$A197,元データ_14項目!$B$2:$B$1300,"本年",元データ_14項目!$C$2:$C$1300,H$5)</f>
        <v>16</v>
      </c>
      <c r="I197" s="26">
        <f>SUMIFS(INDEX(元データ_14項目!$D$2:$Q$1300,0,MATCH($B197,元データ_14項目!$D$1:$Q$1,0)),元データ_14項目!$A$2:$A$1300,$A197,元データ_14項目!$B$2:$B$1300,"本年",元データ_14項目!$C$2:$C$1300,I$5)</f>
        <v>6</v>
      </c>
      <c r="J197" s="26">
        <f>SUMIFS(INDEX(元データ_14項目!$D$2:$Q$1300,0,MATCH($B197,元データ_14項目!$D$1:$Q$1,0)),元データ_14項目!$A$2:$A$1300,$A197,元データ_14項目!$B$2:$B$1300,"本年",元データ_14項目!$C$2:$C$1300,J$5)</f>
        <v>37</v>
      </c>
      <c r="K197" s="26">
        <f>SUMIFS(INDEX(元データ_14項目!$D$2:$Q$1300,0,MATCH($B197,元データ_14項目!$D$1:$Q$1,0)),元データ_14項目!$A$2:$A$1300,$A197,元データ_14項目!$B$2:$B$1300,"本年",元データ_14項目!$C$2:$C$1300,K$5)</f>
        <v>51</v>
      </c>
      <c r="L197" s="26">
        <f>SUMIFS(INDEX(元データ_14項目!$D$2:$Q$1300,0,MATCH($B197,元データ_14項目!$D$1:$Q$1,0)),元データ_14項目!$A$2:$A$1300,$A197,元データ_14項目!$B$2:$B$1300,"本年",元データ_14項目!$C$2:$C$1300,L$5)</f>
        <v>42</v>
      </c>
      <c r="M197" s="26">
        <f>SUMIFS(INDEX(元データ_14項目!$D$2:$Q$1300,0,MATCH($B197,元データ_14項目!$D$1:$Q$1,0)),元データ_14項目!$A$2:$A$1300,$A197,元データ_14項目!$B$2:$B$1300,"本年",元データ_14項目!$C$2:$C$1300,M$5)</f>
        <v>32</v>
      </c>
      <c r="N197" s="26">
        <f>SUMIFS(INDEX(元データ_14項目!$D$2:$Q$1300,0,MATCH($B197,元データ_14項目!$D$1:$Q$1,0)),元データ_14項目!$A$2:$A$1300,$A197,元データ_14項目!$B$2:$B$1300,"本年",元データ_14項目!$C$2:$C$1300,N$5)</f>
        <v>24</v>
      </c>
      <c r="O197" s="26">
        <f t="shared" si="4"/>
        <v>406</v>
      </c>
      <c r="P197" s="26">
        <f>SUMIFS(INDEX(元データ_14項目!$D$2:$Q$1300,0,MATCH($B197,元データ_14項目!$D$1:$Q$1,0)),元データ_14項目!$A$2:$A$1300,$A197,元データ_14項目!$B$2:$B$1300,"前年")</f>
        <v>390</v>
      </c>
      <c r="Q197" s="7">
        <f t="shared" si="5"/>
        <v>1.0410256410256411</v>
      </c>
    </row>
    <row r="198" spans="1:17" x14ac:dyDescent="0.45">
      <c r="A198" t="s">
        <v>48</v>
      </c>
      <c r="B198" t="s">
        <v>96</v>
      </c>
      <c r="C198" s="26">
        <f>SUMIFS(INDEX(元データ_14項目!$D$2:$Q$1300,0,MATCH($B198,元データ_14項目!$D$1:$Q$1,0)),元データ_14項目!$A$2:$A$1300,$A198,元データ_14項目!$B$2:$B$1300,"本年",元データ_14項目!$C$2:$C$1300,C$5)</f>
        <v>8</v>
      </c>
      <c r="D198" s="26">
        <f>SUMIFS(INDEX(元データ_14項目!$D$2:$Q$1300,0,MATCH($B198,元データ_14項目!$D$1:$Q$1,0)),元データ_14項目!$A$2:$A$1300,$A198,元データ_14項目!$B$2:$B$1300,"本年",元データ_14項目!$C$2:$C$1300,D$5)</f>
        <v>15</v>
      </c>
      <c r="E198" s="26">
        <f>SUMIFS(INDEX(元データ_14項目!$D$2:$Q$1300,0,MATCH($B198,元データ_14項目!$D$1:$Q$1,0)),元データ_14項目!$A$2:$A$1300,$A198,元データ_14項目!$B$2:$B$1300,"本年",元データ_14項目!$C$2:$C$1300,E$5)</f>
        <v>34</v>
      </c>
      <c r="F198" s="26">
        <f>SUMIFS(INDEX(元データ_14項目!$D$2:$Q$1300,0,MATCH($B198,元データ_14項目!$D$1:$Q$1,0)),元データ_14項目!$A$2:$A$1300,$A198,元データ_14項目!$B$2:$B$1300,"本年",元データ_14項目!$C$2:$C$1300,F$5)</f>
        <v>30</v>
      </c>
      <c r="G198" s="26">
        <f>SUMIFS(INDEX(元データ_14項目!$D$2:$Q$1300,0,MATCH($B198,元データ_14項目!$D$1:$Q$1,0)),元データ_14項目!$A$2:$A$1300,$A198,元データ_14項目!$B$2:$B$1300,"本年",元データ_14項目!$C$2:$C$1300,G$5)</f>
        <v>62</v>
      </c>
      <c r="H198" s="26">
        <f>SUMIFS(INDEX(元データ_14項目!$D$2:$Q$1300,0,MATCH($B198,元データ_14項目!$D$1:$Q$1,0)),元データ_14項目!$A$2:$A$1300,$A198,元データ_14項目!$B$2:$B$1300,"本年",元データ_14項目!$C$2:$C$1300,H$5)</f>
        <v>22</v>
      </c>
      <c r="I198" s="26">
        <f>SUMIFS(INDEX(元データ_14項目!$D$2:$Q$1300,0,MATCH($B198,元データ_14項目!$D$1:$Q$1,0)),元データ_14項目!$A$2:$A$1300,$A198,元データ_14項目!$B$2:$B$1300,"本年",元データ_14項目!$C$2:$C$1300,I$5)</f>
        <v>30</v>
      </c>
      <c r="J198" s="26">
        <f>SUMIFS(INDEX(元データ_14項目!$D$2:$Q$1300,0,MATCH($B198,元データ_14項目!$D$1:$Q$1,0)),元データ_14項目!$A$2:$A$1300,$A198,元データ_14項目!$B$2:$B$1300,"本年",元データ_14項目!$C$2:$C$1300,J$5)</f>
        <v>116</v>
      </c>
      <c r="K198" s="26">
        <f>SUMIFS(INDEX(元データ_14項目!$D$2:$Q$1300,0,MATCH($B198,元データ_14項目!$D$1:$Q$1,0)),元データ_14項目!$A$2:$A$1300,$A198,元データ_14項目!$B$2:$B$1300,"本年",元データ_14項目!$C$2:$C$1300,K$5)</f>
        <v>322</v>
      </c>
      <c r="L198" s="26">
        <f>SUMIFS(INDEX(元データ_14項目!$D$2:$Q$1300,0,MATCH($B198,元データ_14項目!$D$1:$Q$1,0)),元データ_14項目!$A$2:$A$1300,$A198,元データ_14項目!$B$2:$B$1300,"本年",元データ_14項目!$C$2:$C$1300,L$5)</f>
        <v>187</v>
      </c>
      <c r="M198" s="26">
        <f>SUMIFS(INDEX(元データ_14項目!$D$2:$Q$1300,0,MATCH($B198,元データ_14項目!$D$1:$Q$1,0)),元データ_14項目!$A$2:$A$1300,$A198,元データ_14項目!$B$2:$B$1300,"本年",元データ_14項目!$C$2:$C$1300,M$5)</f>
        <v>91</v>
      </c>
      <c r="N198" s="26">
        <f>SUMIFS(INDEX(元データ_14項目!$D$2:$Q$1300,0,MATCH($B198,元データ_14項目!$D$1:$Q$1,0)),元データ_14項目!$A$2:$A$1300,$A198,元データ_14項目!$B$2:$B$1300,"本年",元データ_14項目!$C$2:$C$1300,N$5)</f>
        <v>42</v>
      </c>
      <c r="O198" s="26">
        <f t="shared" si="4"/>
        <v>959</v>
      </c>
      <c r="P198" s="26">
        <f>SUMIFS(INDEX(元データ_14項目!$D$2:$Q$1300,0,MATCH($B198,元データ_14項目!$D$1:$Q$1,0)),元データ_14項目!$A$2:$A$1300,$A198,元データ_14項目!$B$2:$B$1300,"前年")</f>
        <v>1118</v>
      </c>
      <c r="Q198" s="7">
        <f t="shared" si="5"/>
        <v>0.85778175313059035</v>
      </c>
    </row>
    <row r="199" spans="1:17" x14ac:dyDescent="0.45">
      <c r="A199" t="s">
        <v>48</v>
      </c>
      <c r="B199" t="s">
        <v>97</v>
      </c>
      <c r="C199" s="26">
        <f>SUMIFS(INDEX(元データ_14項目!$D$2:$Q$1300,0,MATCH($B199,元データ_14項目!$D$1:$Q$1,0)),元データ_14項目!$A$2:$A$1300,$A199,元データ_14項目!$B$2:$B$1300,"本年",元データ_14項目!$C$2:$C$1300,C$5)</f>
        <v>14</v>
      </c>
      <c r="D199" s="26">
        <f>SUMIFS(INDEX(元データ_14項目!$D$2:$Q$1300,0,MATCH($B199,元データ_14項目!$D$1:$Q$1,0)),元データ_14項目!$A$2:$A$1300,$A199,元データ_14項目!$B$2:$B$1300,"本年",元データ_14項目!$C$2:$C$1300,D$5)</f>
        <v>8</v>
      </c>
      <c r="E199" s="26">
        <f>SUMIFS(INDEX(元データ_14項目!$D$2:$Q$1300,0,MATCH($B199,元データ_14項目!$D$1:$Q$1,0)),元データ_14項目!$A$2:$A$1300,$A199,元データ_14項目!$B$2:$B$1300,"本年",元データ_14項目!$C$2:$C$1300,E$5)</f>
        <v>42</v>
      </c>
      <c r="F199" s="26">
        <f>SUMIFS(INDEX(元データ_14項目!$D$2:$Q$1300,0,MATCH($B199,元データ_14項目!$D$1:$Q$1,0)),元データ_14項目!$A$2:$A$1300,$A199,元データ_14項目!$B$2:$B$1300,"本年",元データ_14項目!$C$2:$C$1300,F$5)</f>
        <v>30</v>
      </c>
      <c r="G199" s="26">
        <f>SUMIFS(INDEX(元データ_14項目!$D$2:$Q$1300,0,MATCH($B199,元データ_14項目!$D$1:$Q$1,0)),元データ_14項目!$A$2:$A$1300,$A199,元データ_14項目!$B$2:$B$1300,"本年",元データ_14項目!$C$2:$C$1300,G$5)</f>
        <v>75</v>
      </c>
      <c r="H199" s="26">
        <f>SUMIFS(INDEX(元データ_14項目!$D$2:$Q$1300,0,MATCH($B199,元データ_14項目!$D$1:$Q$1,0)),元データ_14項目!$A$2:$A$1300,$A199,元データ_14項目!$B$2:$B$1300,"本年",元データ_14項目!$C$2:$C$1300,H$5)</f>
        <v>25</v>
      </c>
      <c r="I199" s="26">
        <f>SUMIFS(INDEX(元データ_14項目!$D$2:$Q$1300,0,MATCH($B199,元データ_14項目!$D$1:$Q$1,0)),元データ_14項目!$A$2:$A$1300,$A199,元データ_14項目!$B$2:$B$1300,"本年",元データ_14項目!$C$2:$C$1300,I$5)</f>
        <v>22</v>
      </c>
      <c r="J199" s="26">
        <f>SUMIFS(INDEX(元データ_14項目!$D$2:$Q$1300,0,MATCH($B199,元データ_14項目!$D$1:$Q$1,0)),元データ_14項目!$A$2:$A$1300,$A199,元データ_14項目!$B$2:$B$1300,"本年",元データ_14項目!$C$2:$C$1300,J$5)</f>
        <v>52</v>
      </c>
      <c r="K199" s="26">
        <f>SUMIFS(INDEX(元データ_14項目!$D$2:$Q$1300,0,MATCH($B199,元データ_14項目!$D$1:$Q$1,0)),元データ_14項目!$A$2:$A$1300,$A199,元データ_14項目!$B$2:$B$1300,"本年",元データ_14項目!$C$2:$C$1300,K$5)</f>
        <v>215</v>
      </c>
      <c r="L199" s="26">
        <f>SUMIFS(INDEX(元データ_14項目!$D$2:$Q$1300,0,MATCH($B199,元データ_14項目!$D$1:$Q$1,0)),元データ_14項目!$A$2:$A$1300,$A199,元データ_14項目!$B$2:$B$1300,"本年",元データ_14項目!$C$2:$C$1300,L$5)</f>
        <v>139</v>
      </c>
      <c r="M199" s="26">
        <f>SUMIFS(INDEX(元データ_14項目!$D$2:$Q$1300,0,MATCH($B199,元データ_14項目!$D$1:$Q$1,0)),元データ_14項目!$A$2:$A$1300,$A199,元データ_14項目!$B$2:$B$1300,"本年",元データ_14項目!$C$2:$C$1300,M$5)</f>
        <v>109</v>
      </c>
      <c r="N199" s="26">
        <f>SUMIFS(INDEX(元データ_14項目!$D$2:$Q$1300,0,MATCH($B199,元データ_14項目!$D$1:$Q$1,0)),元データ_14項目!$A$2:$A$1300,$A199,元データ_14項目!$B$2:$B$1300,"本年",元データ_14項目!$C$2:$C$1300,N$5)</f>
        <v>30</v>
      </c>
      <c r="O199" s="26">
        <f t="shared" ref="O199:O262" si="6">SUM(C199:N199)</f>
        <v>761</v>
      </c>
      <c r="P199" s="26">
        <f>SUMIFS(INDEX(元データ_14項目!$D$2:$Q$1300,0,MATCH($B199,元データ_14項目!$D$1:$Q$1,0)),元データ_14項目!$A$2:$A$1300,$A199,元データ_14項目!$B$2:$B$1300,"前年")</f>
        <v>661</v>
      </c>
      <c r="Q199" s="7">
        <f t="shared" ref="Q199:Q262" si="7">IFERROR(O199/P199,"")</f>
        <v>1.1512859304084719</v>
      </c>
    </row>
    <row r="200" spans="1:17" x14ac:dyDescent="0.45">
      <c r="A200" t="s">
        <v>48</v>
      </c>
      <c r="B200" t="s">
        <v>98</v>
      </c>
      <c r="C200" s="26">
        <f>SUMIFS(INDEX(元データ_14項目!$D$2:$Q$1300,0,MATCH($B200,元データ_14項目!$D$1:$Q$1,0)),元データ_14項目!$A$2:$A$1300,$A200,元データ_14項目!$B$2:$B$1300,"本年",元データ_14項目!$C$2:$C$1300,C$5)</f>
        <v>5</v>
      </c>
      <c r="D200" s="26">
        <f>SUMIFS(INDEX(元データ_14項目!$D$2:$Q$1300,0,MATCH($B200,元データ_14項目!$D$1:$Q$1,0)),元データ_14項目!$A$2:$A$1300,$A200,元データ_14項目!$B$2:$B$1300,"本年",元データ_14項目!$C$2:$C$1300,D$5)</f>
        <v>4</v>
      </c>
      <c r="E200" s="26">
        <f>SUMIFS(INDEX(元データ_14項目!$D$2:$Q$1300,0,MATCH($B200,元データ_14項目!$D$1:$Q$1,0)),元データ_14項目!$A$2:$A$1300,$A200,元データ_14項目!$B$2:$B$1300,"本年",元データ_14項目!$C$2:$C$1300,E$5)</f>
        <v>11</v>
      </c>
      <c r="F200" s="26">
        <f>SUMIFS(INDEX(元データ_14項目!$D$2:$Q$1300,0,MATCH($B200,元データ_14項目!$D$1:$Q$1,0)),元データ_14項目!$A$2:$A$1300,$A200,元データ_14項目!$B$2:$B$1300,"本年",元データ_14項目!$C$2:$C$1300,F$5)</f>
        <v>13</v>
      </c>
      <c r="G200" s="26">
        <f>SUMIFS(INDEX(元データ_14項目!$D$2:$Q$1300,0,MATCH($B200,元データ_14項目!$D$1:$Q$1,0)),元データ_14項目!$A$2:$A$1300,$A200,元データ_14項目!$B$2:$B$1300,"本年",元データ_14項目!$C$2:$C$1300,G$5)</f>
        <v>14</v>
      </c>
      <c r="H200" s="26">
        <f>SUMIFS(INDEX(元データ_14項目!$D$2:$Q$1300,0,MATCH($B200,元データ_14項目!$D$1:$Q$1,0)),元データ_14項目!$A$2:$A$1300,$A200,元データ_14項目!$B$2:$B$1300,"本年",元データ_14項目!$C$2:$C$1300,H$5)</f>
        <v>13</v>
      </c>
      <c r="I200" s="26">
        <f>SUMIFS(INDEX(元データ_14項目!$D$2:$Q$1300,0,MATCH($B200,元データ_14項目!$D$1:$Q$1,0)),元データ_14項目!$A$2:$A$1300,$A200,元データ_14項目!$B$2:$B$1300,"本年",元データ_14項目!$C$2:$C$1300,I$5)</f>
        <v>10</v>
      </c>
      <c r="J200" s="26">
        <f>SUMIFS(INDEX(元データ_14項目!$D$2:$Q$1300,0,MATCH($B200,元データ_14項目!$D$1:$Q$1,0)),元データ_14項目!$A$2:$A$1300,$A200,元データ_14項目!$B$2:$B$1300,"本年",元データ_14項目!$C$2:$C$1300,J$5)</f>
        <v>88</v>
      </c>
      <c r="K200" s="26">
        <f>SUMIFS(INDEX(元データ_14項目!$D$2:$Q$1300,0,MATCH($B200,元データ_14項目!$D$1:$Q$1,0)),元データ_14項目!$A$2:$A$1300,$A200,元データ_14項目!$B$2:$B$1300,"本年",元データ_14項目!$C$2:$C$1300,K$5)</f>
        <v>216</v>
      </c>
      <c r="L200" s="26">
        <f>SUMIFS(INDEX(元データ_14項目!$D$2:$Q$1300,0,MATCH($B200,元データ_14項目!$D$1:$Q$1,0)),元データ_14項目!$A$2:$A$1300,$A200,元データ_14項目!$B$2:$B$1300,"本年",元データ_14項目!$C$2:$C$1300,L$5)</f>
        <v>111</v>
      </c>
      <c r="M200" s="26">
        <f>SUMIFS(INDEX(元データ_14項目!$D$2:$Q$1300,0,MATCH($B200,元データ_14項目!$D$1:$Q$1,0)),元データ_14項目!$A$2:$A$1300,$A200,元データ_14項目!$B$2:$B$1300,"本年",元データ_14項目!$C$2:$C$1300,M$5)</f>
        <v>42</v>
      </c>
      <c r="N200" s="26">
        <f>SUMIFS(INDEX(元データ_14項目!$D$2:$Q$1300,0,MATCH($B200,元データ_14項目!$D$1:$Q$1,0)),元データ_14項目!$A$2:$A$1300,$A200,元データ_14項目!$B$2:$B$1300,"本年",元データ_14項目!$C$2:$C$1300,N$5)</f>
        <v>14</v>
      </c>
      <c r="O200" s="26">
        <f t="shared" si="6"/>
        <v>541</v>
      </c>
      <c r="P200" s="26">
        <f>SUMIFS(INDEX(元データ_14項目!$D$2:$Q$1300,0,MATCH($B200,元データ_14項目!$D$1:$Q$1,0)),元データ_14項目!$A$2:$A$1300,$A200,元データ_14項目!$B$2:$B$1300,"前年")</f>
        <v>559</v>
      </c>
      <c r="Q200" s="7">
        <f t="shared" si="7"/>
        <v>0.96779964221824688</v>
      </c>
    </row>
    <row r="201" spans="1:17" x14ac:dyDescent="0.45">
      <c r="A201" t="s">
        <v>48</v>
      </c>
      <c r="B201" t="s">
        <v>99</v>
      </c>
      <c r="C201" s="26">
        <f>SUMIFS(INDEX(元データ_14項目!$D$2:$Q$1300,0,MATCH($B201,元データ_14項目!$D$1:$Q$1,0)),元データ_14項目!$A$2:$A$1300,$A201,元データ_14項目!$B$2:$B$1300,"本年",元データ_14項目!$C$2:$C$1300,C$5)</f>
        <v>2</v>
      </c>
      <c r="D201" s="26">
        <f>SUMIFS(INDEX(元データ_14項目!$D$2:$Q$1300,0,MATCH($B201,元データ_14項目!$D$1:$Q$1,0)),元データ_14項目!$A$2:$A$1300,$A201,元データ_14項目!$B$2:$B$1300,"本年",元データ_14項目!$C$2:$C$1300,D$5)</f>
        <v>1</v>
      </c>
      <c r="E201" s="26">
        <f>SUMIFS(INDEX(元データ_14項目!$D$2:$Q$1300,0,MATCH($B201,元データ_14項目!$D$1:$Q$1,0)),元データ_14項目!$A$2:$A$1300,$A201,元データ_14項目!$B$2:$B$1300,"本年",元データ_14項目!$C$2:$C$1300,E$5)</f>
        <v>0</v>
      </c>
      <c r="F201" s="26">
        <f>SUMIFS(INDEX(元データ_14項目!$D$2:$Q$1300,0,MATCH($B201,元データ_14項目!$D$1:$Q$1,0)),元データ_14項目!$A$2:$A$1300,$A201,元データ_14項目!$B$2:$B$1300,"本年",元データ_14項目!$C$2:$C$1300,F$5)</f>
        <v>2</v>
      </c>
      <c r="G201" s="26">
        <f>SUMIFS(INDEX(元データ_14項目!$D$2:$Q$1300,0,MATCH($B201,元データ_14項目!$D$1:$Q$1,0)),元データ_14項目!$A$2:$A$1300,$A201,元データ_14項目!$B$2:$B$1300,"本年",元データ_14項目!$C$2:$C$1300,G$5)</f>
        <v>3</v>
      </c>
      <c r="H201" s="26">
        <f>SUMIFS(INDEX(元データ_14項目!$D$2:$Q$1300,0,MATCH($B201,元データ_14項目!$D$1:$Q$1,0)),元データ_14項目!$A$2:$A$1300,$A201,元データ_14項目!$B$2:$B$1300,"本年",元データ_14項目!$C$2:$C$1300,H$5)</f>
        <v>0</v>
      </c>
      <c r="I201" s="26">
        <f>SUMIFS(INDEX(元データ_14項目!$D$2:$Q$1300,0,MATCH($B201,元データ_14項目!$D$1:$Q$1,0)),元データ_14項目!$A$2:$A$1300,$A201,元データ_14項目!$B$2:$B$1300,"本年",元データ_14項目!$C$2:$C$1300,I$5)</f>
        <v>2</v>
      </c>
      <c r="J201" s="26">
        <f>SUMIFS(INDEX(元データ_14項目!$D$2:$Q$1300,0,MATCH($B201,元データ_14項目!$D$1:$Q$1,0)),元データ_14項目!$A$2:$A$1300,$A201,元データ_14項目!$B$2:$B$1300,"本年",元データ_14項目!$C$2:$C$1300,J$5)</f>
        <v>3</v>
      </c>
      <c r="K201" s="26">
        <f>SUMIFS(INDEX(元データ_14項目!$D$2:$Q$1300,0,MATCH($B201,元データ_14項目!$D$1:$Q$1,0)),元データ_14項目!$A$2:$A$1300,$A201,元データ_14項目!$B$2:$B$1300,"本年",元データ_14項目!$C$2:$C$1300,K$5)</f>
        <v>21</v>
      </c>
      <c r="L201" s="26">
        <f>SUMIFS(INDEX(元データ_14項目!$D$2:$Q$1300,0,MATCH($B201,元データ_14項目!$D$1:$Q$1,0)),元データ_14項目!$A$2:$A$1300,$A201,元データ_14項目!$B$2:$B$1300,"本年",元データ_14項目!$C$2:$C$1300,L$5)</f>
        <v>4</v>
      </c>
      <c r="M201" s="26">
        <f>SUMIFS(INDEX(元データ_14項目!$D$2:$Q$1300,0,MATCH($B201,元データ_14項目!$D$1:$Q$1,0)),元データ_14項目!$A$2:$A$1300,$A201,元データ_14項目!$B$2:$B$1300,"本年",元データ_14項目!$C$2:$C$1300,M$5)</f>
        <v>0</v>
      </c>
      <c r="N201" s="26">
        <f>SUMIFS(INDEX(元データ_14項目!$D$2:$Q$1300,0,MATCH($B201,元データ_14項目!$D$1:$Q$1,0)),元データ_14項目!$A$2:$A$1300,$A201,元データ_14項目!$B$2:$B$1300,"本年",元データ_14項目!$C$2:$C$1300,N$5)</f>
        <v>0</v>
      </c>
      <c r="O201" s="26">
        <f t="shared" si="6"/>
        <v>38</v>
      </c>
      <c r="P201" s="26">
        <f>SUMIFS(INDEX(元データ_14項目!$D$2:$Q$1300,0,MATCH($B201,元データ_14項目!$D$1:$Q$1,0)),元データ_14項目!$A$2:$A$1300,$A201,元データ_14項目!$B$2:$B$1300,"前年")</f>
        <v>54</v>
      </c>
      <c r="Q201" s="7">
        <f t="shared" si="7"/>
        <v>0.70370370370370372</v>
      </c>
    </row>
    <row r="202" spans="1:17" x14ac:dyDescent="0.45">
      <c r="A202" t="s">
        <v>49</v>
      </c>
      <c r="B202" t="s">
        <v>27</v>
      </c>
      <c r="C202" s="26">
        <f>SUMIFS(INDEX(元データ_14項目!$D$2:$Q$1300,0,MATCH($B202,元データ_14項目!$D$1:$Q$1,0)),元データ_14項目!$A$2:$A$1300,$A202,元データ_14項目!$B$2:$B$1300,"本年",元データ_14項目!$C$2:$C$1300,C$5)</f>
        <v>909</v>
      </c>
      <c r="D202" s="26">
        <f>SUMIFS(INDEX(元データ_14項目!$D$2:$Q$1300,0,MATCH($B202,元データ_14項目!$D$1:$Q$1,0)),元データ_14項目!$A$2:$A$1300,$A202,元データ_14項目!$B$2:$B$1300,"本年",元データ_14項目!$C$2:$C$1300,D$5)</f>
        <v>1261</v>
      </c>
      <c r="E202" s="26">
        <f>SUMIFS(INDEX(元データ_14項目!$D$2:$Q$1300,0,MATCH($B202,元データ_14項目!$D$1:$Q$1,0)),元データ_14項目!$A$2:$A$1300,$A202,元データ_14項目!$B$2:$B$1300,"本年",元データ_14項目!$C$2:$C$1300,E$5)</f>
        <v>1250</v>
      </c>
      <c r="F202" s="26">
        <f>SUMIFS(INDEX(元データ_14項目!$D$2:$Q$1300,0,MATCH($B202,元データ_14項目!$D$1:$Q$1,0)),元データ_14項目!$A$2:$A$1300,$A202,元データ_14項目!$B$2:$B$1300,"本年",元データ_14項目!$C$2:$C$1300,F$5)</f>
        <v>1047</v>
      </c>
      <c r="G202" s="26">
        <f>SUMIFS(INDEX(元データ_14項目!$D$2:$Q$1300,0,MATCH($B202,元データ_14項目!$D$1:$Q$1,0)),元データ_14項目!$A$2:$A$1300,$A202,元データ_14項目!$B$2:$B$1300,"本年",元データ_14項目!$C$2:$C$1300,G$5)</f>
        <v>1190</v>
      </c>
      <c r="H202" s="26">
        <f>SUMIFS(INDEX(元データ_14項目!$D$2:$Q$1300,0,MATCH($B202,元データ_14項目!$D$1:$Q$1,0)),元データ_14項目!$A$2:$A$1300,$A202,元データ_14項目!$B$2:$B$1300,"本年",元データ_14項目!$C$2:$C$1300,H$5)</f>
        <v>966</v>
      </c>
      <c r="I202" s="26">
        <f>SUMIFS(INDEX(元データ_14項目!$D$2:$Q$1300,0,MATCH($B202,元データ_14項目!$D$1:$Q$1,0)),元データ_14項目!$A$2:$A$1300,$A202,元データ_14項目!$B$2:$B$1300,"本年",元データ_14項目!$C$2:$C$1300,I$5)</f>
        <v>929</v>
      </c>
      <c r="J202" s="26">
        <f>SUMIFS(INDEX(元データ_14項目!$D$2:$Q$1300,0,MATCH($B202,元データ_14項目!$D$1:$Q$1,0)),元データ_14項目!$A$2:$A$1300,$A202,元データ_14項目!$B$2:$B$1300,"本年",元データ_14項目!$C$2:$C$1300,J$5)</f>
        <v>1187</v>
      </c>
      <c r="K202" s="26">
        <f>SUMIFS(INDEX(元データ_14項目!$D$2:$Q$1300,0,MATCH($B202,元データ_14項目!$D$1:$Q$1,0)),元データ_14項目!$A$2:$A$1300,$A202,元データ_14項目!$B$2:$B$1300,"本年",元データ_14項目!$C$2:$C$1300,K$5)</f>
        <v>1190</v>
      </c>
      <c r="L202" s="26">
        <f>SUMIFS(INDEX(元データ_14項目!$D$2:$Q$1300,0,MATCH($B202,元データ_14項目!$D$1:$Q$1,0)),元データ_14項目!$A$2:$A$1300,$A202,元データ_14項目!$B$2:$B$1300,"本年",元データ_14項目!$C$2:$C$1300,L$5)</f>
        <v>1041</v>
      </c>
      <c r="M202" s="26">
        <f>SUMIFS(INDEX(元データ_14項目!$D$2:$Q$1300,0,MATCH($B202,元データ_14項目!$D$1:$Q$1,0)),元データ_14項目!$A$2:$A$1300,$A202,元データ_14項目!$B$2:$B$1300,"本年",元データ_14項目!$C$2:$C$1300,M$5)</f>
        <v>1253</v>
      </c>
      <c r="N202" s="26">
        <f>SUMIFS(INDEX(元データ_14項目!$D$2:$Q$1300,0,MATCH($B202,元データ_14項目!$D$1:$Q$1,0)),元データ_14項目!$A$2:$A$1300,$A202,元データ_14項目!$B$2:$B$1300,"本年",元データ_14項目!$C$2:$C$1300,N$5)</f>
        <v>1443</v>
      </c>
      <c r="O202" s="26">
        <f t="shared" si="6"/>
        <v>13666</v>
      </c>
      <c r="P202" s="26">
        <f>SUMIFS(INDEX(元データ_14項目!$D$2:$Q$1300,0,MATCH($B202,元データ_14項目!$D$1:$Q$1,0)),元データ_14項目!$A$2:$A$1300,$A202,元データ_14項目!$B$2:$B$1300,"前年")</f>
        <v>13994</v>
      </c>
      <c r="Q202" s="7">
        <f t="shared" si="7"/>
        <v>0.97656138345005006</v>
      </c>
    </row>
    <row r="203" spans="1:17" x14ac:dyDescent="0.45">
      <c r="A203" t="s">
        <v>49</v>
      </c>
      <c r="B203" t="s">
        <v>88</v>
      </c>
      <c r="C203" s="26">
        <f>SUMIFS(INDEX(元データ_14項目!$D$2:$Q$1300,0,MATCH($B203,元データ_14項目!$D$1:$Q$1,0)),元データ_14項目!$A$2:$A$1300,$A203,元データ_14項目!$B$2:$B$1300,"本年",元データ_14項目!$C$2:$C$1300,C$5)</f>
        <v>33</v>
      </c>
      <c r="D203" s="26">
        <f>SUMIFS(INDEX(元データ_14項目!$D$2:$Q$1300,0,MATCH($B203,元データ_14項目!$D$1:$Q$1,0)),元データ_14項目!$A$2:$A$1300,$A203,元データ_14項目!$B$2:$B$1300,"本年",元データ_14項目!$C$2:$C$1300,D$5)</f>
        <v>23</v>
      </c>
      <c r="E203" s="26">
        <f>SUMIFS(INDEX(元データ_14項目!$D$2:$Q$1300,0,MATCH($B203,元データ_14項目!$D$1:$Q$1,0)),元データ_14項目!$A$2:$A$1300,$A203,元データ_14項目!$B$2:$B$1300,"本年",元データ_14項目!$C$2:$C$1300,E$5)</f>
        <v>38</v>
      </c>
      <c r="F203" s="26">
        <f>SUMIFS(INDEX(元データ_14項目!$D$2:$Q$1300,0,MATCH($B203,元データ_14項目!$D$1:$Q$1,0)),元データ_14項目!$A$2:$A$1300,$A203,元データ_14項目!$B$2:$B$1300,"本年",元データ_14項目!$C$2:$C$1300,F$5)</f>
        <v>40</v>
      </c>
      <c r="G203" s="26">
        <f>SUMIFS(INDEX(元データ_14項目!$D$2:$Q$1300,0,MATCH($B203,元データ_14項目!$D$1:$Q$1,0)),元データ_14項目!$A$2:$A$1300,$A203,元データ_14項目!$B$2:$B$1300,"本年",元データ_14項目!$C$2:$C$1300,G$5)</f>
        <v>31</v>
      </c>
      <c r="H203" s="26">
        <f>SUMIFS(INDEX(元データ_14項目!$D$2:$Q$1300,0,MATCH($B203,元データ_14項目!$D$1:$Q$1,0)),元データ_14項目!$A$2:$A$1300,$A203,元データ_14項目!$B$2:$B$1300,"本年",元データ_14項目!$C$2:$C$1300,H$5)</f>
        <v>24</v>
      </c>
      <c r="I203" s="26">
        <f>SUMIFS(INDEX(元データ_14項目!$D$2:$Q$1300,0,MATCH($B203,元データ_14項目!$D$1:$Q$1,0)),元データ_14項目!$A$2:$A$1300,$A203,元データ_14項目!$B$2:$B$1300,"本年",元データ_14項目!$C$2:$C$1300,I$5)</f>
        <v>115</v>
      </c>
      <c r="J203" s="26">
        <f>SUMIFS(INDEX(元データ_14項目!$D$2:$Q$1300,0,MATCH($B203,元データ_14項目!$D$1:$Q$1,0)),元データ_14項目!$A$2:$A$1300,$A203,元データ_14項目!$B$2:$B$1300,"本年",元データ_14項目!$C$2:$C$1300,J$5)</f>
        <v>23</v>
      </c>
      <c r="K203" s="26">
        <f>SUMIFS(INDEX(元データ_14項目!$D$2:$Q$1300,0,MATCH($B203,元データ_14項目!$D$1:$Q$1,0)),元データ_14項目!$A$2:$A$1300,$A203,元データ_14項目!$B$2:$B$1300,"本年",元データ_14項目!$C$2:$C$1300,K$5)</f>
        <v>38</v>
      </c>
      <c r="L203" s="26">
        <f>SUMIFS(INDEX(元データ_14項目!$D$2:$Q$1300,0,MATCH($B203,元データ_14項目!$D$1:$Q$1,0)),元データ_14項目!$A$2:$A$1300,$A203,元データ_14項目!$B$2:$B$1300,"本年",元データ_14項目!$C$2:$C$1300,L$5)</f>
        <v>32</v>
      </c>
      <c r="M203" s="26">
        <f>SUMIFS(INDEX(元データ_14項目!$D$2:$Q$1300,0,MATCH($B203,元データ_14項目!$D$1:$Q$1,0)),元データ_14項目!$A$2:$A$1300,$A203,元データ_14項目!$B$2:$B$1300,"本年",元データ_14項目!$C$2:$C$1300,M$5)</f>
        <v>17</v>
      </c>
      <c r="N203" s="26">
        <f>SUMIFS(INDEX(元データ_14項目!$D$2:$Q$1300,0,MATCH($B203,元データ_14項目!$D$1:$Q$1,0)),元データ_14項目!$A$2:$A$1300,$A203,元データ_14項目!$B$2:$B$1300,"本年",元データ_14項目!$C$2:$C$1300,N$5)</f>
        <v>32</v>
      </c>
      <c r="O203" s="26">
        <f t="shared" si="6"/>
        <v>446</v>
      </c>
      <c r="P203" s="26">
        <f>SUMIFS(INDEX(元データ_14項目!$D$2:$Q$1300,0,MATCH($B203,元データ_14項目!$D$1:$Q$1,0)),元データ_14項目!$A$2:$A$1300,$A203,元データ_14項目!$B$2:$B$1300,"前年")</f>
        <v>397</v>
      </c>
      <c r="Q203" s="7">
        <f t="shared" si="7"/>
        <v>1.1234256926952142</v>
      </c>
    </row>
    <row r="204" spans="1:17" x14ac:dyDescent="0.45">
      <c r="A204" t="s">
        <v>49</v>
      </c>
      <c r="B204" t="s">
        <v>89</v>
      </c>
      <c r="C204" s="26">
        <f>SUMIFS(INDEX(元データ_14項目!$D$2:$Q$1300,0,MATCH($B204,元データ_14項目!$D$1:$Q$1,0)),元データ_14項目!$A$2:$A$1300,$A204,元データ_14項目!$B$2:$B$1300,"本年",元データ_14項目!$C$2:$C$1300,C$5)</f>
        <v>27</v>
      </c>
      <c r="D204" s="26">
        <f>SUMIFS(INDEX(元データ_14項目!$D$2:$Q$1300,0,MATCH($B204,元データ_14項目!$D$1:$Q$1,0)),元データ_14項目!$A$2:$A$1300,$A204,元データ_14項目!$B$2:$B$1300,"本年",元データ_14項目!$C$2:$C$1300,D$5)</f>
        <v>23</v>
      </c>
      <c r="E204" s="26">
        <f>SUMIFS(INDEX(元データ_14項目!$D$2:$Q$1300,0,MATCH($B204,元データ_14項目!$D$1:$Q$1,0)),元データ_14項目!$A$2:$A$1300,$A204,元データ_14項目!$B$2:$B$1300,"本年",元データ_14項目!$C$2:$C$1300,E$5)</f>
        <v>66</v>
      </c>
      <c r="F204" s="26">
        <f>SUMIFS(INDEX(元データ_14項目!$D$2:$Q$1300,0,MATCH($B204,元データ_14項目!$D$1:$Q$1,0)),元データ_14項目!$A$2:$A$1300,$A204,元データ_14項目!$B$2:$B$1300,"本年",元データ_14項目!$C$2:$C$1300,F$5)</f>
        <v>22</v>
      </c>
      <c r="G204" s="26">
        <f>SUMIFS(INDEX(元データ_14項目!$D$2:$Q$1300,0,MATCH($B204,元データ_14項目!$D$1:$Q$1,0)),元データ_14項目!$A$2:$A$1300,$A204,元データ_14項目!$B$2:$B$1300,"本年",元データ_14項目!$C$2:$C$1300,G$5)</f>
        <v>20</v>
      </c>
      <c r="H204" s="26">
        <f>SUMIFS(INDEX(元データ_14項目!$D$2:$Q$1300,0,MATCH($B204,元データ_14項目!$D$1:$Q$1,0)),元データ_14項目!$A$2:$A$1300,$A204,元データ_14項目!$B$2:$B$1300,"本年",元データ_14項目!$C$2:$C$1300,H$5)</f>
        <v>26</v>
      </c>
      <c r="I204" s="26">
        <f>SUMIFS(INDEX(元データ_14項目!$D$2:$Q$1300,0,MATCH($B204,元データ_14項目!$D$1:$Q$1,0)),元データ_14項目!$A$2:$A$1300,$A204,元データ_14項目!$B$2:$B$1300,"本年",元データ_14項目!$C$2:$C$1300,I$5)</f>
        <v>20</v>
      </c>
      <c r="J204" s="26">
        <f>SUMIFS(INDEX(元データ_14項目!$D$2:$Q$1300,0,MATCH($B204,元データ_14項目!$D$1:$Q$1,0)),元データ_14項目!$A$2:$A$1300,$A204,元データ_14項目!$B$2:$B$1300,"本年",元データ_14項目!$C$2:$C$1300,J$5)</f>
        <v>15</v>
      </c>
      <c r="K204" s="26">
        <f>SUMIFS(INDEX(元データ_14項目!$D$2:$Q$1300,0,MATCH($B204,元データ_14項目!$D$1:$Q$1,0)),元データ_14項目!$A$2:$A$1300,$A204,元データ_14項目!$B$2:$B$1300,"本年",元データ_14項目!$C$2:$C$1300,K$5)</f>
        <v>23</v>
      </c>
      <c r="L204" s="26">
        <f>SUMIFS(INDEX(元データ_14項目!$D$2:$Q$1300,0,MATCH($B204,元データ_14項目!$D$1:$Q$1,0)),元データ_14項目!$A$2:$A$1300,$A204,元データ_14項目!$B$2:$B$1300,"本年",元データ_14項目!$C$2:$C$1300,L$5)</f>
        <v>22</v>
      </c>
      <c r="M204" s="26">
        <f>SUMIFS(INDEX(元データ_14項目!$D$2:$Q$1300,0,MATCH($B204,元データ_14項目!$D$1:$Q$1,0)),元データ_14項目!$A$2:$A$1300,$A204,元データ_14項目!$B$2:$B$1300,"本年",元データ_14項目!$C$2:$C$1300,M$5)</f>
        <v>20</v>
      </c>
      <c r="N204" s="26">
        <f>SUMIFS(INDEX(元データ_14項目!$D$2:$Q$1300,0,MATCH($B204,元データ_14項目!$D$1:$Q$1,0)),元データ_14項目!$A$2:$A$1300,$A204,元データ_14項目!$B$2:$B$1300,"本年",元データ_14項目!$C$2:$C$1300,N$5)</f>
        <v>25</v>
      </c>
      <c r="O204" s="26">
        <f t="shared" si="6"/>
        <v>309</v>
      </c>
      <c r="P204" s="26">
        <f>SUMIFS(INDEX(元データ_14項目!$D$2:$Q$1300,0,MATCH($B204,元データ_14項目!$D$1:$Q$1,0)),元データ_14項目!$A$2:$A$1300,$A204,元データ_14項目!$B$2:$B$1300,"前年")</f>
        <v>290</v>
      </c>
      <c r="Q204" s="7">
        <f t="shared" si="7"/>
        <v>1.0655172413793104</v>
      </c>
    </row>
    <row r="205" spans="1:17" x14ac:dyDescent="0.45">
      <c r="A205" t="s">
        <v>49</v>
      </c>
      <c r="B205" t="s">
        <v>90</v>
      </c>
      <c r="C205" s="26">
        <f>SUMIFS(INDEX(元データ_14項目!$D$2:$Q$1300,0,MATCH($B205,元データ_14項目!$D$1:$Q$1,0)),元データ_14項目!$A$2:$A$1300,$A205,元データ_14項目!$B$2:$B$1300,"本年",元データ_14項目!$C$2:$C$1300,C$5)</f>
        <v>57</v>
      </c>
      <c r="D205" s="26">
        <f>SUMIFS(INDEX(元データ_14項目!$D$2:$Q$1300,0,MATCH($B205,元データ_14項目!$D$1:$Q$1,0)),元データ_14項目!$A$2:$A$1300,$A205,元データ_14項目!$B$2:$B$1300,"本年",元データ_14項目!$C$2:$C$1300,D$5)</f>
        <v>30</v>
      </c>
      <c r="E205" s="26">
        <f>SUMIFS(INDEX(元データ_14項目!$D$2:$Q$1300,0,MATCH($B205,元データ_14項目!$D$1:$Q$1,0)),元データ_14項目!$A$2:$A$1300,$A205,元データ_14項目!$B$2:$B$1300,"本年",元データ_14項目!$C$2:$C$1300,E$5)</f>
        <v>60</v>
      </c>
      <c r="F205" s="26">
        <f>SUMIFS(INDEX(元データ_14項目!$D$2:$Q$1300,0,MATCH($B205,元データ_14項目!$D$1:$Q$1,0)),元データ_14項目!$A$2:$A$1300,$A205,元データ_14項目!$B$2:$B$1300,"本年",元データ_14項目!$C$2:$C$1300,F$5)</f>
        <v>114</v>
      </c>
      <c r="G205" s="26">
        <f>SUMIFS(INDEX(元データ_14項目!$D$2:$Q$1300,0,MATCH($B205,元データ_14項目!$D$1:$Q$1,0)),元データ_14項目!$A$2:$A$1300,$A205,元データ_14項目!$B$2:$B$1300,"本年",元データ_14項目!$C$2:$C$1300,G$5)</f>
        <v>138</v>
      </c>
      <c r="H205" s="26">
        <f>SUMIFS(INDEX(元データ_14項目!$D$2:$Q$1300,0,MATCH($B205,元データ_14項目!$D$1:$Q$1,0)),元データ_14項目!$A$2:$A$1300,$A205,元データ_14項目!$B$2:$B$1300,"本年",元データ_14項目!$C$2:$C$1300,H$5)</f>
        <v>108</v>
      </c>
      <c r="I205" s="26">
        <f>SUMIFS(INDEX(元データ_14項目!$D$2:$Q$1300,0,MATCH($B205,元データ_14項目!$D$1:$Q$1,0)),元データ_14項目!$A$2:$A$1300,$A205,元データ_14項目!$B$2:$B$1300,"本年",元データ_14項目!$C$2:$C$1300,I$5)</f>
        <v>73</v>
      </c>
      <c r="J205" s="26">
        <f>SUMIFS(INDEX(元データ_14項目!$D$2:$Q$1300,0,MATCH($B205,元データ_14項目!$D$1:$Q$1,0)),元データ_14項目!$A$2:$A$1300,$A205,元データ_14項目!$B$2:$B$1300,"本年",元データ_14項目!$C$2:$C$1300,J$5)</f>
        <v>136</v>
      </c>
      <c r="K205" s="26">
        <f>SUMIFS(INDEX(元データ_14項目!$D$2:$Q$1300,0,MATCH($B205,元データ_14項目!$D$1:$Q$1,0)),元データ_14項目!$A$2:$A$1300,$A205,元データ_14項目!$B$2:$B$1300,"本年",元データ_14項目!$C$2:$C$1300,K$5)</f>
        <v>168</v>
      </c>
      <c r="L205" s="26">
        <f>SUMIFS(INDEX(元データ_14項目!$D$2:$Q$1300,0,MATCH($B205,元データ_14項目!$D$1:$Q$1,0)),元データ_14項目!$A$2:$A$1300,$A205,元データ_14項目!$B$2:$B$1300,"本年",元データ_14項目!$C$2:$C$1300,L$5)</f>
        <v>138</v>
      </c>
      <c r="M205" s="26">
        <f>SUMIFS(INDEX(元データ_14項目!$D$2:$Q$1300,0,MATCH($B205,元データ_14項目!$D$1:$Q$1,0)),元データ_14項目!$A$2:$A$1300,$A205,元データ_14項目!$B$2:$B$1300,"本年",元データ_14項目!$C$2:$C$1300,M$5)</f>
        <v>108</v>
      </c>
      <c r="N205" s="26">
        <f>SUMIFS(INDEX(元データ_14項目!$D$2:$Q$1300,0,MATCH($B205,元データ_14項目!$D$1:$Q$1,0)),元データ_14項目!$A$2:$A$1300,$A205,元データ_14項目!$B$2:$B$1300,"本年",元データ_14項目!$C$2:$C$1300,N$5)</f>
        <v>114</v>
      </c>
      <c r="O205" s="26">
        <f t="shared" si="6"/>
        <v>1244</v>
      </c>
      <c r="P205" s="26">
        <f>SUMIFS(INDEX(元データ_14項目!$D$2:$Q$1300,0,MATCH($B205,元データ_14項目!$D$1:$Q$1,0)),元データ_14項目!$A$2:$A$1300,$A205,元データ_14項目!$B$2:$B$1300,"前年")</f>
        <v>1174</v>
      </c>
      <c r="Q205" s="7">
        <f t="shared" si="7"/>
        <v>1.059625212947189</v>
      </c>
    </row>
    <row r="206" spans="1:17" x14ac:dyDescent="0.45">
      <c r="A206" t="s">
        <v>49</v>
      </c>
      <c r="B206" t="s">
        <v>91</v>
      </c>
      <c r="C206" s="26">
        <f>SUMIFS(INDEX(元データ_14項目!$D$2:$Q$1300,0,MATCH($B206,元データ_14項目!$D$1:$Q$1,0)),元データ_14項目!$A$2:$A$1300,$A206,元データ_14項目!$B$2:$B$1300,"本年",元データ_14項目!$C$2:$C$1300,C$5)</f>
        <v>19</v>
      </c>
      <c r="D206" s="26">
        <f>SUMIFS(INDEX(元データ_14項目!$D$2:$Q$1300,0,MATCH($B206,元データ_14項目!$D$1:$Q$1,0)),元データ_14項目!$A$2:$A$1300,$A206,元データ_14項目!$B$2:$B$1300,"本年",元データ_14項目!$C$2:$C$1300,D$5)</f>
        <v>50</v>
      </c>
      <c r="E206" s="26">
        <f>SUMIFS(INDEX(元データ_14項目!$D$2:$Q$1300,0,MATCH($B206,元データ_14項目!$D$1:$Q$1,0)),元データ_14項目!$A$2:$A$1300,$A206,元データ_14項目!$B$2:$B$1300,"本年",元データ_14項目!$C$2:$C$1300,E$5)</f>
        <v>62</v>
      </c>
      <c r="F206" s="26">
        <f>SUMIFS(INDEX(元データ_14項目!$D$2:$Q$1300,0,MATCH($B206,元データ_14項目!$D$1:$Q$1,0)),元データ_14項目!$A$2:$A$1300,$A206,元データ_14項目!$B$2:$B$1300,"本年",元データ_14項目!$C$2:$C$1300,F$5)</f>
        <v>26</v>
      </c>
      <c r="G206" s="26">
        <f>SUMIFS(INDEX(元データ_14項目!$D$2:$Q$1300,0,MATCH($B206,元データ_14項目!$D$1:$Q$1,0)),元データ_14項目!$A$2:$A$1300,$A206,元データ_14項目!$B$2:$B$1300,"本年",元データ_14項目!$C$2:$C$1300,G$5)</f>
        <v>14</v>
      </c>
      <c r="H206" s="26">
        <f>SUMIFS(INDEX(元データ_14項目!$D$2:$Q$1300,0,MATCH($B206,元データ_14項目!$D$1:$Q$1,0)),元データ_14項目!$A$2:$A$1300,$A206,元データ_14項目!$B$2:$B$1300,"本年",元データ_14項目!$C$2:$C$1300,H$5)</f>
        <v>4</v>
      </c>
      <c r="I206" s="26">
        <f>SUMIFS(INDEX(元データ_14項目!$D$2:$Q$1300,0,MATCH($B206,元データ_14項目!$D$1:$Q$1,0)),元データ_14項目!$A$2:$A$1300,$A206,元データ_14項目!$B$2:$B$1300,"本年",元データ_14項目!$C$2:$C$1300,I$5)</f>
        <v>15</v>
      </c>
      <c r="J206" s="26">
        <f>SUMIFS(INDEX(元データ_14項目!$D$2:$Q$1300,0,MATCH($B206,元データ_14項目!$D$1:$Q$1,0)),元データ_14項目!$A$2:$A$1300,$A206,元データ_14項目!$B$2:$B$1300,"本年",元データ_14項目!$C$2:$C$1300,J$5)</f>
        <v>12</v>
      </c>
      <c r="K206" s="26">
        <f>SUMIFS(INDEX(元データ_14項目!$D$2:$Q$1300,0,MATCH($B206,元データ_14項目!$D$1:$Q$1,0)),元データ_14項目!$A$2:$A$1300,$A206,元データ_14項目!$B$2:$B$1300,"本年",元データ_14項目!$C$2:$C$1300,K$5)</f>
        <v>7</v>
      </c>
      <c r="L206" s="26">
        <f>SUMIFS(INDEX(元データ_14項目!$D$2:$Q$1300,0,MATCH($B206,元データ_14項目!$D$1:$Q$1,0)),元データ_14項目!$A$2:$A$1300,$A206,元データ_14項目!$B$2:$B$1300,"本年",元データ_14項目!$C$2:$C$1300,L$5)</f>
        <v>18</v>
      </c>
      <c r="M206" s="26">
        <f>SUMIFS(INDEX(元データ_14項目!$D$2:$Q$1300,0,MATCH($B206,元データ_14項目!$D$1:$Q$1,0)),元データ_14項目!$A$2:$A$1300,$A206,元データ_14項目!$B$2:$B$1300,"本年",元データ_14項目!$C$2:$C$1300,M$5)</f>
        <v>32</v>
      </c>
      <c r="N206" s="26">
        <f>SUMIFS(INDEX(元データ_14項目!$D$2:$Q$1300,0,MATCH($B206,元データ_14項目!$D$1:$Q$1,0)),元データ_14項目!$A$2:$A$1300,$A206,元データ_14項目!$B$2:$B$1300,"本年",元データ_14項目!$C$2:$C$1300,N$5)</f>
        <v>21</v>
      </c>
      <c r="O206" s="26">
        <f t="shared" si="6"/>
        <v>280</v>
      </c>
      <c r="P206" s="26">
        <f>SUMIFS(INDEX(元データ_14項目!$D$2:$Q$1300,0,MATCH($B206,元データ_14項目!$D$1:$Q$1,0)),元データ_14項目!$A$2:$A$1300,$A206,元データ_14項目!$B$2:$B$1300,"前年")</f>
        <v>251</v>
      </c>
      <c r="Q206" s="7">
        <f t="shared" si="7"/>
        <v>1.1155378486055776</v>
      </c>
    </row>
    <row r="207" spans="1:17" x14ac:dyDescent="0.45">
      <c r="A207" t="s">
        <v>49</v>
      </c>
      <c r="B207" t="s">
        <v>28</v>
      </c>
      <c r="C207" s="26">
        <f>SUMIFS(INDEX(元データ_14項目!$D$2:$Q$1300,0,MATCH($B207,元データ_14項目!$D$1:$Q$1,0)),元データ_14項目!$A$2:$A$1300,$A207,元データ_14項目!$B$2:$B$1300,"本年",元データ_14項目!$C$2:$C$1300,C$5)</f>
        <v>145</v>
      </c>
      <c r="D207" s="26">
        <f>SUMIFS(INDEX(元データ_14項目!$D$2:$Q$1300,0,MATCH($B207,元データ_14項目!$D$1:$Q$1,0)),元データ_14項目!$A$2:$A$1300,$A207,元データ_14項目!$B$2:$B$1300,"本年",元データ_14項目!$C$2:$C$1300,D$5)</f>
        <v>199</v>
      </c>
      <c r="E207" s="26">
        <f>SUMIFS(INDEX(元データ_14項目!$D$2:$Q$1300,0,MATCH($B207,元データ_14項目!$D$1:$Q$1,0)),元データ_14項目!$A$2:$A$1300,$A207,元データ_14項目!$B$2:$B$1300,"本年",元データ_14項目!$C$2:$C$1300,E$5)</f>
        <v>187</v>
      </c>
      <c r="F207" s="26">
        <f>SUMIFS(INDEX(元データ_14項目!$D$2:$Q$1300,0,MATCH($B207,元データ_14項目!$D$1:$Q$1,0)),元データ_14項目!$A$2:$A$1300,$A207,元データ_14項目!$B$2:$B$1300,"本年",元データ_14項目!$C$2:$C$1300,F$5)</f>
        <v>148</v>
      </c>
      <c r="G207" s="26">
        <f>SUMIFS(INDEX(元データ_14項目!$D$2:$Q$1300,0,MATCH($B207,元データ_14項目!$D$1:$Q$1,0)),元データ_14項目!$A$2:$A$1300,$A207,元データ_14項目!$B$2:$B$1300,"本年",元データ_14項目!$C$2:$C$1300,G$5)</f>
        <v>117</v>
      </c>
      <c r="H207" s="26">
        <f>SUMIFS(INDEX(元データ_14項目!$D$2:$Q$1300,0,MATCH($B207,元データ_14項目!$D$1:$Q$1,0)),元データ_14項目!$A$2:$A$1300,$A207,元データ_14項目!$B$2:$B$1300,"本年",元データ_14項目!$C$2:$C$1300,H$5)</f>
        <v>77</v>
      </c>
      <c r="I207" s="26">
        <f>SUMIFS(INDEX(元データ_14項目!$D$2:$Q$1300,0,MATCH($B207,元データ_14項目!$D$1:$Q$1,0)),元データ_14項目!$A$2:$A$1300,$A207,元データ_14項目!$B$2:$B$1300,"本年",元データ_14項目!$C$2:$C$1300,I$5)</f>
        <v>86</v>
      </c>
      <c r="J207" s="26">
        <f>SUMIFS(INDEX(元データ_14項目!$D$2:$Q$1300,0,MATCH($B207,元データ_14項目!$D$1:$Q$1,0)),元データ_14項目!$A$2:$A$1300,$A207,元データ_14項目!$B$2:$B$1300,"本年",元データ_14項目!$C$2:$C$1300,J$5)</f>
        <v>105</v>
      </c>
      <c r="K207" s="26">
        <f>SUMIFS(INDEX(元データ_14項目!$D$2:$Q$1300,0,MATCH($B207,元データ_14項目!$D$1:$Q$1,0)),元データ_14項目!$A$2:$A$1300,$A207,元データ_14項目!$B$2:$B$1300,"本年",元データ_14項目!$C$2:$C$1300,K$5)</f>
        <v>123</v>
      </c>
      <c r="L207" s="26">
        <f>SUMIFS(INDEX(元データ_14項目!$D$2:$Q$1300,0,MATCH($B207,元データ_14項目!$D$1:$Q$1,0)),元データ_14項目!$A$2:$A$1300,$A207,元データ_14項目!$B$2:$B$1300,"本年",元データ_14項目!$C$2:$C$1300,L$5)</f>
        <v>138</v>
      </c>
      <c r="M207" s="26">
        <f>SUMIFS(INDEX(元データ_14項目!$D$2:$Q$1300,0,MATCH($B207,元データ_14項目!$D$1:$Q$1,0)),元データ_14項目!$A$2:$A$1300,$A207,元データ_14項目!$B$2:$B$1300,"本年",元データ_14項目!$C$2:$C$1300,M$5)</f>
        <v>158</v>
      </c>
      <c r="N207" s="26">
        <f>SUMIFS(INDEX(元データ_14項目!$D$2:$Q$1300,0,MATCH($B207,元データ_14項目!$D$1:$Q$1,0)),元データ_14項目!$A$2:$A$1300,$A207,元データ_14項目!$B$2:$B$1300,"本年",元データ_14項目!$C$2:$C$1300,N$5)</f>
        <v>214</v>
      </c>
      <c r="O207" s="26">
        <f t="shared" si="6"/>
        <v>1697</v>
      </c>
      <c r="P207" s="26">
        <f>SUMIFS(INDEX(元データ_14項目!$D$2:$Q$1300,0,MATCH($B207,元データ_14項目!$D$1:$Q$1,0)),元データ_14項目!$A$2:$A$1300,$A207,元データ_14項目!$B$2:$B$1300,"前年")</f>
        <v>1663</v>
      </c>
      <c r="Q207" s="7">
        <f t="shared" si="7"/>
        <v>1.0204449789536982</v>
      </c>
    </row>
    <row r="208" spans="1:17" x14ac:dyDescent="0.45">
      <c r="A208" t="s">
        <v>49</v>
      </c>
      <c r="B208" t="s">
        <v>92</v>
      </c>
      <c r="C208" s="26">
        <f>SUMIFS(INDEX(元データ_14項目!$D$2:$Q$1300,0,MATCH($B208,元データ_14項目!$D$1:$Q$1,0)),元データ_14項目!$A$2:$A$1300,$A208,元データ_14項目!$B$2:$B$1300,"本年",元データ_14項目!$C$2:$C$1300,C$5)</f>
        <v>11</v>
      </c>
      <c r="D208" s="26">
        <f>SUMIFS(INDEX(元データ_14項目!$D$2:$Q$1300,0,MATCH($B208,元データ_14項目!$D$1:$Q$1,0)),元データ_14項目!$A$2:$A$1300,$A208,元データ_14項目!$B$2:$B$1300,"本年",元データ_14項目!$C$2:$C$1300,D$5)</f>
        <v>18</v>
      </c>
      <c r="E208" s="26">
        <f>SUMIFS(INDEX(元データ_14項目!$D$2:$Q$1300,0,MATCH($B208,元データ_14項目!$D$1:$Q$1,0)),元データ_14項目!$A$2:$A$1300,$A208,元データ_14項目!$B$2:$B$1300,"本年",元データ_14項目!$C$2:$C$1300,E$5)</f>
        <v>29</v>
      </c>
      <c r="F208" s="26">
        <f>SUMIFS(INDEX(元データ_14項目!$D$2:$Q$1300,0,MATCH($B208,元データ_14項目!$D$1:$Q$1,0)),元データ_14項目!$A$2:$A$1300,$A208,元データ_14項目!$B$2:$B$1300,"本年",元データ_14項目!$C$2:$C$1300,F$5)</f>
        <v>48</v>
      </c>
      <c r="G208" s="26">
        <f>SUMIFS(INDEX(元データ_14項目!$D$2:$Q$1300,0,MATCH($B208,元データ_14項目!$D$1:$Q$1,0)),元データ_14項目!$A$2:$A$1300,$A208,元データ_14項目!$B$2:$B$1300,"本年",元データ_14項目!$C$2:$C$1300,G$5)</f>
        <v>27</v>
      </c>
      <c r="H208" s="26">
        <f>SUMIFS(INDEX(元データ_14項目!$D$2:$Q$1300,0,MATCH($B208,元データ_14項目!$D$1:$Q$1,0)),元データ_14項目!$A$2:$A$1300,$A208,元データ_14項目!$B$2:$B$1300,"本年",元データ_14項目!$C$2:$C$1300,H$5)</f>
        <v>11</v>
      </c>
      <c r="I208" s="26">
        <f>SUMIFS(INDEX(元データ_14項目!$D$2:$Q$1300,0,MATCH($B208,元データ_14項目!$D$1:$Q$1,0)),元データ_14項目!$A$2:$A$1300,$A208,元データ_14項目!$B$2:$B$1300,"本年",元データ_14項目!$C$2:$C$1300,I$5)</f>
        <v>11</v>
      </c>
      <c r="J208" s="26">
        <f>SUMIFS(INDEX(元データ_14項目!$D$2:$Q$1300,0,MATCH($B208,元データ_14項目!$D$1:$Q$1,0)),元データ_14項目!$A$2:$A$1300,$A208,元データ_14項目!$B$2:$B$1300,"本年",元データ_14項目!$C$2:$C$1300,J$5)</f>
        <v>27</v>
      </c>
      <c r="K208" s="26">
        <f>SUMIFS(INDEX(元データ_14項目!$D$2:$Q$1300,0,MATCH($B208,元データ_14項目!$D$1:$Q$1,0)),元データ_14項目!$A$2:$A$1300,$A208,元データ_14項目!$B$2:$B$1300,"本年",元データ_14項目!$C$2:$C$1300,K$5)</f>
        <v>44</v>
      </c>
      <c r="L208" s="26">
        <f>SUMIFS(INDEX(元データ_14項目!$D$2:$Q$1300,0,MATCH($B208,元データ_14項目!$D$1:$Q$1,0)),元データ_14項目!$A$2:$A$1300,$A208,元データ_14項目!$B$2:$B$1300,"本年",元データ_14項目!$C$2:$C$1300,L$5)</f>
        <v>25</v>
      </c>
      <c r="M208" s="26">
        <f>SUMIFS(INDEX(元データ_14項目!$D$2:$Q$1300,0,MATCH($B208,元データ_14項目!$D$1:$Q$1,0)),元データ_14項目!$A$2:$A$1300,$A208,元データ_14項目!$B$2:$B$1300,"本年",元データ_14項目!$C$2:$C$1300,M$5)</f>
        <v>22</v>
      </c>
      <c r="N208" s="26">
        <f>SUMIFS(INDEX(元データ_14項目!$D$2:$Q$1300,0,MATCH($B208,元データ_14項目!$D$1:$Q$1,0)),元データ_14項目!$A$2:$A$1300,$A208,元データ_14項目!$B$2:$B$1300,"本年",元データ_14項目!$C$2:$C$1300,N$5)</f>
        <v>23</v>
      </c>
      <c r="O208" s="26">
        <f t="shared" si="6"/>
        <v>296</v>
      </c>
      <c r="P208" s="26">
        <f>SUMIFS(INDEX(元データ_14項目!$D$2:$Q$1300,0,MATCH($B208,元データ_14項目!$D$1:$Q$1,0)),元データ_14項目!$A$2:$A$1300,$A208,元データ_14項目!$B$2:$B$1300,"前年")</f>
        <v>333</v>
      </c>
      <c r="Q208" s="7">
        <f t="shared" si="7"/>
        <v>0.88888888888888884</v>
      </c>
    </row>
    <row r="209" spans="1:17" x14ac:dyDescent="0.45">
      <c r="A209" t="s">
        <v>49</v>
      </c>
      <c r="B209" t="s">
        <v>93</v>
      </c>
      <c r="C209" s="26">
        <f>SUMIFS(INDEX(元データ_14項目!$D$2:$Q$1300,0,MATCH($B209,元データ_14項目!$D$1:$Q$1,0)),元データ_14項目!$A$2:$A$1300,$A209,元データ_14項目!$B$2:$B$1300,"本年",元データ_14項目!$C$2:$C$1300,C$5)</f>
        <v>3</v>
      </c>
      <c r="D209" s="26">
        <f>SUMIFS(INDEX(元データ_14項目!$D$2:$Q$1300,0,MATCH($B209,元データ_14項目!$D$1:$Q$1,0)),元データ_14項目!$A$2:$A$1300,$A209,元データ_14項目!$B$2:$B$1300,"本年",元データ_14項目!$C$2:$C$1300,D$5)</f>
        <v>7</v>
      </c>
      <c r="E209" s="26">
        <f>SUMIFS(INDEX(元データ_14項目!$D$2:$Q$1300,0,MATCH($B209,元データ_14項目!$D$1:$Q$1,0)),元データ_14項目!$A$2:$A$1300,$A209,元データ_14項目!$B$2:$B$1300,"本年",元データ_14項目!$C$2:$C$1300,E$5)</f>
        <v>35</v>
      </c>
      <c r="F209" s="26">
        <f>SUMIFS(INDEX(元データ_14項目!$D$2:$Q$1300,0,MATCH($B209,元データ_14項目!$D$1:$Q$1,0)),元データ_14項目!$A$2:$A$1300,$A209,元データ_14項目!$B$2:$B$1300,"本年",元データ_14項目!$C$2:$C$1300,F$5)</f>
        <v>38</v>
      </c>
      <c r="G209" s="26">
        <f>SUMIFS(INDEX(元データ_14項目!$D$2:$Q$1300,0,MATCH($B209,元データ_14項目!$D$1:$Q$1,0)),元データ_14項目!$A$2:$A$1300,$A209,元データ_14項目!$B$2:$B$1300,"本年",元データ_14項目!$C$2:$C$1300,G$5)</f>
        <v>62</v>
      </c>
      <c r="H209" s="26">
        <f>SUMIFS(INDEX(元データ_14項目!$D$2:$Q$1300,0,MATCH($B209,元データ_14項目!$D$1:$Q$1,0)),元データ_14項目!$A$2:$A$1300,$A209,元データ_14項目!$B$2:$B$1300,"本年",元データ_14項目!$C$2:$C$1300,H$5)</f>
        <v>53</v>
      </c>
      <c r="I209" s="26">
        <f>SUMIFS(INDEX(元データ_14項目!$D$2:$Q$1300,0,MATCH($B209,元データ_14項目!$D$1:$Q$1,0)),元データ_14項目!$A$2:$A$1300,$A209,元データ_14項目!$B$2:$B$1300,"本年",元データ_14項目!$C$2:$C$1300,I$5)</f>
        <v>32</v>
      </c>
      <c r="J209" s="26">
        <f>SUMIFS(INDEX(元データ_14項目!$D$2:$Q$1300,0,MATCH($B209,元データ_14項目!$D$1:$Q$1,0)),元データ_14項目!$A$2:$A$1300,$A209,元データ_14項目!$B$2:$B$1300,"本年",元データ_14項目!$C$2:$C$1300,J$5)</f>
        <v>82</v>
      </c>
      <c r="K209" s="26">
        <f>SUMIFS(INDEX(元データ_14項目!$D$2:$Q$1300,0,MATCH($B209,元データ_14項目!$D$1:$Q$1,0)),元データ_14項目!$A$2:$A$1300,$A209,元データ_14項目!$B$2:$B$1300,"本年",元データ_14項目!$C$2:$C$1300,K$5)</f>
        <v>216</v>
      </c>
      <c r="L209" s="26">
        <f>SUMIFS(INDEX(元データ_14項目!$D$2:$Q$1300,0,MATCH($B209,元データ_14項目!$D$1:$Q$1,0)),元データ_14項目!$A$2:$A$1300,$A209,元データ_14項目!$B$2:$B$1300,"本年",元データ_14項目!$C$2:$C$1300,L$5)</f>
        <v>101</v>
      </c>
      <c r="M209" s="26">
        <f>SUMIFS(INDEX(元データ_14項目!$D$2:$Q$1300,0,MATCH($B209,元データ_14項目!$D$1:$Q$1,0)),元データ_14項目!$A$2:$A$1300,$A209,元データ_14項目!$B$2:$B$1300,"本年",元データ_14項目!$C$2:$C$1300,M$5)</f>
        <v>63</v>
      </c>
      <c r="N209" s="26">
        <f>SUMIFS(INDEX(元データ_14項目!$D$2:$Q$1300,0,MATCH($B209,元データ_14項目!$D$1:$Q$1,0)),元データ_14項目!$A$2:$A$1300,$A209,元データ_14項目!$B$2:$B$1300,"本年",元データ_14項目!$C$2:$C$1300,N$5)</f>
        <v>38</v>
      </c>
      <c r="O209" s="26">
        <f t="shared" si="6"/>
        <v>730</v>
      </c>
      <c r="P209" s="26">
        <f>SUMIFS(INDEX(元データ_14項目!$D$2:$Q$1300,0,MATCH($B209,元データ_14項目!$D$1:$Q$1,0)),元データ_14項目!$A$2:$A$1300,$A209,元データ_14項目!$B$2:$B$1300,"前年")</f>
        <v>691</v>
      </c>
      <c r="Q209" s="7">
        <f t="shared" si="7"/>
        <v>1.0564399421128798</v>
      </c>
    </row>
    <row r="210" spans="1:17" x14ac:dyDescent="0.45">
      <c r="A210" t="s">
        <v>49</v>
      </c>
      <c r="B210" t="s">
        <v>94</v>
      </c>
      <c r="C210" s="26">
        <f>SUMIFS(INDEX(元データ_14項目!$D$2:$Q$1300,0,MATCH($B210,元データ_14項目!$D$1:$Q$1,0)),元データ_14項目!$A$2:$A$1300,$A210,元データ_14項目!$B$2:$B$1300,"本年",元データ_14項目!$C$2:$C$1300,C$5)</f>
        <v>4</v>
      </c>
      <c r="D210" s="26">
        <f>SUMIFS(INDEX(元データ_14項目!$D$2:$Q$1300,0,MATCH($B210,元データ_14項目!$D$1:$Q$1,0)),元データ_14項目!$A$2:$A$1300,$A210,元データ_14項目!$B$2:$B$1300,"本年",元データ_14項目!$C$2:$C$1300,D$5)</f>
        <v>4</v>
      </c>
      <c r="E210" s="26">
        <f>SUMIFS(INDEX(元データ_14項目!$D$2:$Q$1300,0,MATCH($B210,元データ_14項目!$D$1:$Q$1,0)),元データ_14項目!$A$2:$A$1300,$A210,元データ_14項目!$B$2:$B$1300,"本年",元データ_14項目!$C$2:$C$1300,E$5)</f>
        <v>28</v>
      </c>
      <c r="F210" s="26">
        <f>SUMIFS(INDEX(元データ_14項目!$D$2:$Q$1300,0,MATCH($B210,元データ_14項目!$D$1:$Q$1,0)),元データ_14項目!$A$2:$A$1300,$A210,元データ_14項目!$B$2:$B$1300,"本年",元データ_14項目!$C$2:$C$1300,F$5)</f>
        <v>25</v>
      </c>
      <c r="G210" s="26">
        <f>SUMIFS(INDEX(元データ_14項目!$D$2:$Q$1300,0,MATCH($B210,元データ_14項目!$D$1:$Q$1,0)),元データ_14項目!$A$2:$A$1300,$A210,元データ_14項目!$B$2:$B$1300,"本年",元データ_14項目!$C$2:$C$1300,G$5)</f>
        <v>28</v>
      </c>
      <c r="H210" s="26">
        <f>SUMIFS(INDEX(元データ_14項目!$D$2:$Q$1300,0,MATCH($B210,元データ_14項目!$D$1:$Q$1,0)),元データ_14項目!$A$2:$A$1300,$A210,元データ_14項目!$B$2:$B$1300,"本年",元データ_14項目!$C$2:$C$1300,H$5)</f>
        <v>19</v>
      </c>
      <c r="I210" s="26">
        <f>SUMIFS(INDEX(元データ_14項目!$D$2:$Q$1300,0,MATCH($B210,元データ_14項目!$D$1:$Q$1,0)),元データ_14項目!$A$2:$A$1300,$A210,元データ_14項目!$B$2:$B$1300,"本年",元データ_14項目!$C$2:$C$1300,I$5)</f>
        <v>15</v>
      </c>
      <c r="J210" s="26">
        <f>SUMIFS(INDEX(元データ_14項目!$D$2:$Q$1300,0,MATCH($B210,元データ_14項目!$D$1:$Q$1,0)),元データ_14項目!$A$2:$A$1300,$A210,元データ_14項目!$B$2:$B$1300,"本年",元データ_14項目!$C$2:$C$1300,J$5)</f>
        <v>18</v>
      </c>
      <c r="K210" s="26">
        <f>SUMIFS(INDEX(元データ_14項目!$D$2:$Q$1300,0,MATCH($B210,元データ_14項目!$D$1:$Q$1,0)),元データ_14項目!$A$2:$A$1300,$A210,元データ_14項目!$B$2:$B$1300,"本年",元データ_14項目!$C$2:$C$1300,K$5)</f>
        <v>73</v>
      </c>
      <c r="L210" s="26">
        <f>SUMIFS(INDEX(元データ_14項目!$D$2:$Q$1300,0,MATCH($B210,元データ_14項目!$D$1:$Q$1,0)),元データ_14項目!$A$2:$A$1300,$A210,元データ_14項目!$B$2:$B$1300,"本年",元データ_14項目!$C$2:$C$1300,L$5)</f>
        <v>44</v>
      </c>
      <c r="M210" s="26">
        <f>SUMIFS(INDEX(元データ_14項目!$D$2:$Q$1300,0,MATCH($B210,元データ_14項目!$D$1:$Q$1,0)),元データ_14項目!$A$2:$A$1300,$A210,元データ_14項目!$B$2:$B$1300,"本年",元データ_14項目!$C$2:$C$1300,M$5)</f>
        <v>20</v>
      </c>
      <c r="N210" s="26">
        <f>SUMIFS(INDEX(元データ_14項目!$D$2:$Q$1300,0,MATCH($B210,元データ_14項目!$D$1:$Q$1,0)),元データ_14項目!$A$2:$A$1300,$A210,元データ_14項目!$B$2:$B$1300,"本年",元データ_14項目!$C$2:$C$1300,N$5)</f>
        <v>19</v>
      </c>
      <c r="O210" s="26">
        <f t="shared" si="6"/>
        <v>297</v>
      </c>
      <c r="P210" s="26">
        <f>SUMIFS(INDEX(元データ_14項目!$D$2:$Q$1300,0,MATCH($B210,元データ_14項目!$D$1:$Q$1,0)),元データ_14項目!$A$2:$A$1300,$A210,元データ_14項目!$B$2:$B$1300,"前年")</f>
        <v>308</v>
      </c>
      <c r="Q210" s="7">
        <f t="shared" si="7"/>
        <v>0.9642857142857143</v>
      </c>
    </row>
    <row r="211" spans="1:17" x14ac:dyDescent="0.45">
      <c r="A211" t="s">
        <v>49</v>
      </c>
      <c r="B211" t="s">
        <v>95</v>
      </c>
      <c r="C211" s="26">
        <f>SUMIFS(INDEX(元データ_14項目!$D$2:$Q$1300,0,MATCH($B211,元データ_14項目!$D$1:$Q$1,0)),元データ_14項目!$A$2:$A$1300,$A211,元データ_14項目!$B$2:$B$1300,"本年",元データ_14項目!$C$2:$C$1300,C$5)</f>
        <v>12</v>
      </c>
      <c r="D211" s="26">
        <f>SUMIFS(INDEX(元データ_14項目!$D$2:$Q$1300,0,MATCH($B211,元データ_14項目!$D$1:$Q$1,0)),元データ_14項目!$A$2:$A$1300,$A211,元データ_14項目!$B$2:$B$1300,"本年",元データ_14項目!$C$2:$C$1300,D$5)</f>
        <v>30</v>
      </c>
      <c r="E211" s="26">
        <f>SUMIFS(INDEX(元データ_14項目!$D$2:$Q$1300,0,MATCH($B211,元データ_14項目!$D$1:$Q$1,0)),元データ_14項目!$A$2:$A$1300,$A211,元データ_14項目!$B$2:$B$1300,"本年",元データ_14項目!$C$2:$C$1300,E$5)</f>
        <v>42</v>
      </c>
      <c r="F211" s="26">
        <f>SUMIFS(INDEX(元データ_14項目!$D$2:$Q$1300,0,MATCH($B211,元データ_14項目!$D$1:$Q$1,0)),元データ_14項目!$A$2:$A$1300,$A211,元データ_14項目!$B$2:$B$1300,"本年",元データ_14項目!$C$2:$C$1300,F$5)</f>
        <v>27</v>
      </c>
      <c r="G211" s="26">
        <f>SUMIFS(INDEX(元データ_14項目!$D$2:$Q$1300,0,MATCH($B211,元データ_14項目!$D$1:$Q$1,0)),元データ_14項目!$A$2:$A$1300,$A211,元データ_14項目!$B$2:$B$1300,"本年",元データ_14項目!$C$2:$C$1300,G$5)</f>
        <v>20</v>
      </c>
      <c r="H211" s="26">
        <f>SUMIFS(INDEX(元データ_14項目!$D$2:$Q$1300,0,MATCH($B211,元データ_14項目!$D$1:$Q$1,0)),元データ_14項目!$A$2:$A$1300,$A211,元データ_14項目!$B$2:$B$1300,"本年",元データ_14項目!$C$2:$C$1300,H$5)</f>
        <v>19</v>
      </c>
      <c r="I211" s="26">
        <f>SUMIFS(INDEX(元データ_14項目!$D$2:$Q$1300,0,MATCH($B211,元データ_14項目!$D$1:$Q$1,0)),元データ_14項目!$A$2:$A$1300,$A211,元データ_14項目!$B$2:$B$1300,"本年",元データ_14項目!$C$2:$C$1300,I$5)</f>
        <v>10</v>
      </c>
      <c r="J211" s="26">
        <f>SUMIFS(INDEX(元データ_14項目!$D$2:$Q$1300,0,MATCH($B211,元データ_14項目!$D$1:$Q$1,0)),元データ_14項目!$A$2:$A$1300,$A211,元データ_14項目!$B$2:$B$1300,"本年",元データ_14項目!$C$2:$C$1300,J$5)</f>
        <v>14</v>
      </c>
      <c r="K211" s="26">
        <f>SUMIFS(INDEX(元データ_14項目!$D$2:$Q$1300,0,MATCH($B211,元データ_14項目!$D$1:$Q$1,0)),元データ_14項目!$A$2:$A$1300,$A211,元データ_14項目!$B$2:$B$1300,"本年",元データ_14項目!$C$2:$C$1300,K$5)</f>
        <v>35</v>
      </c>
      <c r="L211" s="26">
        <f>SUMIFS(INDEX(元データ_14項目!$D$2:$Q$1300,0,MATCH($B211,元データ_14項目!$D$1:$Q$1,0)),元データ_14項目!$A$2:$A$1300,$A211,元データ_14項目!$B$2:$B$1300,"本年",元データ_14項目!$C$2:$C$1300,L$5)</f>
        <v>23</v>
      </c>
      <c r="M211" s="26">
        <f>SUMIFS(INDEX(元データ_14項目!$D$2:$Q$1300,0,MATCH($B211,元データ_14項目!$D$1:$Q$1,0)),元データ_14項目!$A$2:$A$1300,$A211,元データ_14項目!$B$2:$B$1300,"本年",元データ_14項目!$C$2:$C$1300,M$5)</f>
        <v>20</v>
      </c>
      <c r="N211" s="26">
        <f>SUMIFS(INDEX(元データ_14項目!$D$2:$Q$1300,0,MATCH($B211,元データ_14項目!$D$1:$Q$1,0)),元データ_14項目!$A$2:$A$1300,$A211,元データ_14項目!$B$2:$B$1300,"本年",元データ_14項目!$C$2:$C$1300,N$5)</f>
        <v>25</v>
      </c>
      <c r="O211" s="26">
        <f t="shared" si="6"/>
        <v>277</v>
      </c>
      <c r="P211" s="26">
        <f>SUMIFS(INDEX(元データ_14項目!$D$2:$Q$1300,0,MATCH($B211,元データ_14項目!$D$1:$Q$1,0)),元データ_14項目!$A$2:$A$1300,$A211,元データ_14項目!$B$2:$B$1300,"前年")</f>
        <v>219</v>
      </c>
      <c r="Q211" s="7">
        <f t="shared" si="7"/>
        <v>1.2648401826484019</v>
      </c>
    </row>
    <row r="212" spans="1:17" x14ac:dyDescent="0.45">
      <c r="A212" t="s">
        <v>49</v>
      </c>
      <c r="B212" t="s">
        <v>96</v>
      </c>
      <c r="C212" s="26">
        <f>SUMIFS(INDEX(元データ_14項目!$D$2:$Q$1300,0,MATCH($B212,元データ_14項目!$D$1:$Q$1,0)),元データ_14項目!$A$2:$A$1300,$A212,元データ_14項目!$B$2:$B$1300,"本年",元データ_14項目!$C$2:$C$1300,C$5)</f>
        <v>14</v>
      </c>
      <c r="D212" s="26">
        <f>SUMIFS(INDEX(元データ_14項目!$D$2:$Q$1300,0,MATCH($B212,元データ_14項目!$D$1:$Q$1,0)),元データ_14項目!$A$2:$A$1300,$A212,元データ_14項目!$B$2:$B$1300,"本年",元データ_14項目!$C$2:$C$1300,D$5)</f>
        <v>16</v>
      </c>
      <c r="E212" s="26">
        <f>SUMIFS(INDEX(元データ_14項目!$D$2:$Q$1300,0,MATCH($B212,元データ_14項目!$D$1:$Q$1,0)),元データ_14項目!$A$2:$A$1300,$A212,元データ_14項目!$B$2:$B$1300,"本年",元データ_14項目!$C$2:$C$1300,E$5)</f>
        <v>41</v>
      </c>
      <c r="F212" s="26">
        <f>SUMIFS(INDEX(元データ_14項目!$D$2:$Q$1300,0,MATCH($B212,元データ_14項目!$D$1:$Q$1,0)),元データ_14項目!$A$2:$A$1300,$A212,元データ_14項目!$B$2:$B$1300,"本年",元データ_14項目!$C$2:$C$1300,F$5)</f>
        <v>30</v>
      </c>
      <c r="G212" s="26">
        <f>SUMIFS(INDEX(元データ_14項目!$D$2:$Q$1300,0,MATCH($B212,元データ_14項目!$D$1:$Q$1,0)),元データ_14項目!$A$2:$A$1300,$A212,元データ_14項目!$B$2:$B$1300,"本年",元データ_14項目!$C$2:$C$1300,G$5)</f>
        <v>29</v>
      </c>
      <c r="H212" s="26">
        <f>SUMIFS(INDEX(元データ_14項目!$D$2:$Q$1300,0,MATCH($B212,元データ_14項目!$D$1:$Q$1,0)),元データ_14項目!$A$2:$A$1300,$A212,元データ_14項目!$B$2:$B$1300,"本年",元データ_14項目!$C$2:$C$1300,H$5)</f>
        <v>35</v>
      </c>
      <c r="I212" s="26">
        <f>SUMIFS(INDEX(元データ_14項目!$D$2:$Q$1300,0,MATCH($B212,元データ_14項目!$D$1:$Q$1,0)),元データ_14項目!$A$2:$A$1300,$A212,元データ_14項目!$B$2:$B$1300,"本年",元データ_14項目!$C$2:$C$1300,I$5)</f>
        <v>21</v>
      </c>
      <c r="J212" s="26">
        <f>SUMIFS(INDEX(元データ_14項目!$D$2:$Q$1300,0,MATCH($B212,元データ_14項目!$D$1:$Q$1,0)),元データ_14項目!$A$2:$A$1300,$A212,元データ_14項目!$B$2:$B$1300,"本年",元データ_14項目!$C$2:$C$1300,J$5)</f>
        <v>97</v>
      </c>
      <c r="K212" s="26">
        <f>SUMIFS(INDEX(元データ_14項目!$D$2:$Q$1300,0,MATCH($B212,元データ_14項目!$D$1:$Q$1,0)),元データ_14項目!$A$2:$A$1300,$A212,元データ_14項目!$B$2:$B$1300,"本年",元データ_14項目!$C$2:$C$1300,K$5)</f>
        <v>220</v>
      </c>
      <c r="L212" s="26">
        <f>SUMIFS(INDEX(元データ_14項目!$D$2:$Q$1300,0,MATCH($B212,元データ_14項目!$D$1:$Q$1,0)),元データ_14項目!$A$2:$A$1300,$A212,元データ_14項目!$B$2:$B$1300,"本年",元データ_14項目!$C$2:$C$1300,L$5)</f>
        <v>89</v>
      </c>
      <c r="M212" s="26">
        <f>SUMIFS(INDEX(元データ_14項目!$D$2:$Q$1300,0,MATCH($B212,元データ_14項目!$D$1:$Q$1,0)),元データ_14項目!$A$2:$A$1300,$A212,元データ_14項目!$B$2:$B$1300,"本年",元データ_14項目!$C$2:$C$1300,M$5)</f>
        <v>38</v>
      </c>
      <c r="N212" s="26">
        <f>SUMIFS(INDEX(元データ_14項目!$D$2:$Q$1300,0,MATCH($B212,元データ_14項目!$D$1:$Q$1,0)),元データ_14項目!$A$2:$A$1300,$A212,元データ_14項目!$B$2:$B$1300,"本年",元データ_14項目!$C$2:$C$1300,N$5)</f>
        <v>43</v>
      </c>
      <c r="O212" s="26">
        <f t="shared" si="6"/>
        <v>673</v>
      </c>
      <c r="P212" s="26">
        <f>SUMIFS(INDEX(元データ_14項目!$D$2:$Q$1300,0,MATCH($B212,元データ_14項目!$D$1:$Q$1,0)),元データ_14項目!$A$2:$A$1300,$A212,元データ_14項目!$B$2:$B$1300,"前年")</f>
        <v>683</v>
      </c>
      <c r="Q212" s="7">
        <f t="shared" si="7"/>
        <v>0.98535871156661792</v>
      </c>
    </row>
    <row r="213" spans="1:17" x14ac:dyDescent="0.45">
      <c r="A213" t="s">
        <v>49</v>
      </c>
      <c r="B213" t="s">
        <v>97</v>
      </c>
      <c r="C213" s="26">
        <f>SUMIFS(INDEX(元データ_14項目!$D$2:$Q$1300,0,MATCH($B213,元データ_14項目!$D$1:$Q$1,0)),元データ_14項目!$A$2:$A$1300,$A213,元データ_14項目!$B$2:$B$1300,"本年",元データ_14項目!$C$2:$C$1300,C$5)</f>
        <v>7</v>
      </c>
      <c r="D213" s="26">
        <f>SUMIFS(INDEX(元データ_14項目!$D$2:$Q$1300,0,MATCH($B213,元データ_14項目!$D$1:$Q$1,0)),元データ_14項目!$A$2:$A$1300,$A213,元データ_14項目!$B$2:$B$1300,"本年",元データ_14項目!$C$2:$C$1300,D$5)</f>
        <v>22</v>
      </c>
      <c r="E213" s="26">
        <f>SUMIFS(INDEX(元データ_14項目!$D$2:$Q$1300,0,MATCH($B213,元データ_14項目!$D$1:$Q$1,0)),元データ_14項目!$A$2:$A$1300,$A213,元データ_14項目!$B$2:$B$1300,"本年",元データ_14項目!$C$2:$C$1300,E$5)</f>
        <v>29</v>
      </c>
      <c r="F213" s="26">
        <f>SUMIFS(INDEX(元データ_14項目!$D$2:$Q$1300,0,MATCH($B213,元データ_14項目!$D$1:$Q$1,0)),元データ_14項目!$A$2:$A$1300,$A213,元データ_14項目!$B$2:$B$1300,"本年",元データ_14項目!$C$2:$C$1300,F$5)</f>
        <v>38</v>
      </c>
      <c r="G213" s="26">
        <f>SUMIFS(INDEX(元データ_14項目!$D$2:$Q$1300,0,MATCH($B213,元データ_14項目!$D$1:$Q$1,0)),元データ_14項目!$A$2:$A$1300,$A213,元データ_14項目!$B$2:$B$1300,"本年",元データ_14項目!$C$2:$C$1300,G$5)</f>
        <v>51</v>
      </c>
      <c r="H213" s="26">
        <f>SUMIFS(INDEX(元データ_14項目!$D$2:$Q$1300,0,MATCH($B213,元データ_14項目!$D$1:$Q$1,0)),元データ_14項目!$A$2:$A$1300,$A213,元データ_14項目!$B$2:$B$1300,"本年",元データ_14項目!$C$2:$C$1300,H$5)</f>
        <v>36</v>
      </c>
      <c r="I213" s="26">
        <f>SUMIFS(INDEX(元データ_14項目!$D$2:$Q$1300,0,MATCH($B213,元データ_14項目!$D$1:$Q$1,0)),元データ_14項目!$A$2:$A$1300,$A213,元データ_14項目!$B$2:$B$1300,"本年",元データ_14項目!$C$2:$C$1300,I$5)</f>
        <v>15</v>
      </c>
      <c r="J213" s="26">
        <f>SUMIFS(INDEX(元データ_14項目!$D$2:$Q$1300,0,MATCH($B213,元データ_14項目!$D$1:$Q$1,0)),元データ_14項目!$A$2:$A$1300,$A213,元データ_14項目!$B$2:$B$1300,"本年",元データ_14項目!$C$2:$C$1300,J$5)</f>
        <v>58</v>
      </c>
      <c r="K213" s="26">
        <f>SUMIFS(INDEX(元データ_14項目!$D$2:$Q$1300,0,MATCH($B213,元データ_14項目!$D$1:$Q$1,0)),元データ_14項目!$A$2:$A$1300,$A213,元データ_14項目!$B$2:$B$1300,"本年",元データ_14項目!$C$2:$C$1300,K$5)</f>
        <v>109</v>
      </c>
      <c r="L213" s="26">
        <f>SUMIFS(INDEX(元データ_14項目!$D$2:$Q$1300,0,MATCH($B213,元データ_14項目!$D$1:$Q$1,0)),元データ_14項目!$A$2:$A$1300,$A213,元データ_14項目!$B$2:$B$1300,"本年",元データ_14項目!$C$2:$C$1300,L$5)</f>
        <v>52</v>
      </c>
      <c r="M213" s="26">
        <f>SUMIFS(INDEX(元データ_14項目!$D$2:$Q$1300,0,MATCH($B213,元データ_14項目!$D$1:$Q$1,0)),元データ_14項目!$A$2:$A$1300,$A213,元データ_14項目!$B$2:$B$1300,"本年",元データ_14項目!$C$2:$C$1300,M$5)</f>
        <v>31</v>
      </c>
      <c r="N213" s="26">
        <f>SUMIFS(INDEX(元データ_14項目!$D$2:$Q$1300,0,MATCH($B213,元データ_14項目!$D$1:$Q$1,0)),元データ_14項目!$A$2:$A$1300,$A213,元データ_14項目!$B$2:$B$1300,"本年",元データ_14項目!$C$2:$C$1300,N$5)</f>
        <v>42</v>
      </c>
      <c r="O213" s="26">
        <f t="shared" si="6"/>
        <v>490</v>
      </c>
      <c r="P213" s="26">
        <f>SUMIFS(INDEX(元データ_14項目!$D$2:$Q$1300,0,MATCH($B213,元データ_14項目!$D$1:$Q$1,0)),元データ_14項目!$A$2:$A$1300,$A213,元データ_14項目!$B$2:$B$1300,"前年")</f>
        <v>419</v>
      </c>
      <c r="Q213" s="7">
        <f t="shared" si="7"/>
        <v>1.1694510739856803</v>
      </c>
    </row>
    <row r="214" spans="1:17" x14ac:dyDescent="0.45">
      <c r="A214" t="s">
        <v>49</v>
      </c>
      <c r="B214" t="s">
        <v>98</v>
      </c>
      <c r="C214" s="26">
        <f>SUMIFS(INDEX(元データ_14項目!$D$2:$Q$1300,0,MATCH($B214,元データ_14項目!$D$1:$Q$1,0)),元データ_14項目!$A$2:$A$1300,$A214,元データ_14項目!$B$2:$B$1300,"本年",元データ_14項目!$C$2:$C$1300,C$5)</f>
        <v>13</v>
      </c>
      <c r="D214" s="26">
        <f>SUMIFS(INDEX(元データ_14項目!$D$2:$Q$1300,0,MATCH($B214,元データ_14項目!$D$1:$Q$1,0)),元データ_14項目!$A$2:$A$1300,$A214,元データ_14項目!$B$2:$B$1300,"本年",元データ_14項目!$C$2:$C$1300,D$5)</f>
        <v>5</v>
      </c>
      <c r="E214" s="26">
        <f>SUMIFS(INDEX(元データ_14項目!$D$2:$Q$1300,0,MATCH($B214,元データ_14項目!$D$1:$Q$1,0)),元データ_14項目!$A$2:$A$1300,$A214,元データ_14項目!$B$2:$B$1300,"本年",元データ_14項目!$C$2:$C$1300,E$5)</f>
        <v>8</v>
      </c>
      <c r="F214" s="26">
        <f>SUMIFS(INDEX(元データ_14項目!$D$2:$Q$1300,0,MATCH($B214,元データ_14項目!$D$1:$Q$1,0)),元データ_14項目!$A$2:$A$1300,$A214,元データ_14項目!$B$2:$B$1300,"本年",元データ_14項目!$C$2:$C$1300,F$5)</f>
        <v>10</v>
      </c>
      <c r="G214" s="26">
        <f>SUMIFS(INDEX(元データ_14項目!$D$2:$Q$1300,0,MATCH($B214,元データ_14項目!$D$1:$Q$1,0)),元データ_14項目!$A$2:$A$1300,$A214,元データ_14項目!$B$2:$B$1300,"本年",元データ_14項目!$C$2:$C$1300,G$5)</f>
        <v>12</v>
      </c>
      <c r="H214" s="26">
        <f>SUMIFS(INDEX(元データ_14項目!$D$2:$Q$1300,0,MATCH($B214,元データ_14項目!$D$1:$Q$1,0)),元データ_14項目!$A$2:$A$1300,$A214,元データ_14項目!$B$2:$B$1300,"本年",元データ_14項目!$C$2:$C$1300,H$5)</f>
        <v>8</v>
      </c>
      <c r="I214" s="26">
        <f>SUMIFS(INDEX(元データ_14項目!$D$2:$Q$1300,0,MATCH($B214,元データ_14項目!$D$1:$Q$1,0)),元データ_14項目!$A$2:$A$1300,$A214,元データ_14項目!$B$2:$B$1300,"本年",元データ_14項目!$C$2:$C$1300,I$5)</f>
        <v>11</v>
      </c>
      <c r="J214" s="26">
        <f>SUMIFS(INDEX(元データ_14項目!$D$2:$Q$1300,0,MATCH($B214,元データ_14項目!$D$1:$Q$1,0)),元データ_14項目!$A$2:$A$1300,$A214,元データ_14項目!$B$2:$B$1300,"本年",元データ_14項目!$C$2:$C$1300,J$5)</f>
        <v>61</v>
      </c>
      <c r="K214" s="26">
        <f>SUMIFS(INDEX(元データ_14項目!$D$2:$Q$1300,0,MATCH($B214,元データ_14項目!$D$1:$Q$1,0)),元データ_14項目!$A$2:$A$1300,$A214,元データ_14項目!$B$2:$B$1300,"本年",元データ_14項目!$C$2:$C$1300,K$5)</f>
        <v>136</v>
      </c>
      <c r="L214" s="26">
        <f>SUMIFS(INDEX(元データ_14項目!$D$2:$Q$1300,0,MATCH($B214,元データ_14項目!$D$1:$Q$1,0)),元データ_14項目!$A$2:$A$1300,$A214,元データ_14項目!$B$2:$B$1300,"本年",元データ_14項目!$C$2:$C$1300,L$5)</f>
        <v>28</v>
      </c>
      <c r="M214" s="26">
        <f>SUMIFS(INDEX(元データ_14項目!$D$2:$Q$1300,0,MATCH($B214,元データ_14項目!$D$1:$Q$1,0)),元データ_14項目!$A$2:$A$1300,$A214,元データ_14項目!$B$2:$B$1300,"本年",元データ_14項目!$C$2:$C$1300,M$5)</f>
        <v>13</v>
      </c>
      <c r="N214" s="26">
        <f>SUMIFS(INDEX(元データ_14項目!$D$2:$Q$1300,0,MATCH($B214,元データ_14項目!$D$1:$Q$1,0)),元データ_14項目!$A$2:$A$1300,$A214,元データ_14項目!$B$2:$B$1300,"本年",元データ_14項目!$C$2:$C$1300,N$5)</f>
        <v>22</v>
      </c>
      <c r="O214" s="26">
        <f t="shared" si="6"/>
        <v>327</v>
      </c>
      <c r="P214" s="26">
        <f>SUMIFS(INDEX(元データ_14項目!$D$2:$Q$1300,0,MATCH($B214,元データ_14項目!$D$1:$Q$1,0)),元データ_14項目!$A$2:$A$1300,$A214,元データ_14項目!$B$2:$B$1300,"前年")</f>
        <v>279</v>
      </c>
      <c r="Q214" s="7">
        <f t="shared" si="7"/>
        <v>1.1720430107526882</v>
      </c>
    </row>
    <row r="215" spans="1:17" x14ac:dyDescent="0.45">
      <c r="A215" t="s">
        <v>49</v>
      </c>
      <c r="B215" t="s">
        <v>99</v>
      </c>
      <c r="C215" s="26">
        <f>SUMIFS(INDEX(元データ_14項目!$D$2:$Q$1300,0,MATCH($B215,元データ_14項目!$D$1:$Q$1,0)),元データ_14項目!$A$2:$A$1300,$A215,元データ_14項目!$B$2:$B$1300,"本年",元データ_14項目!$C$2:$C$1300,C$5)</f>
        <v>0</v>
      </c>
      <c r="D215" s="26">
        <f>SUMIFS(INDEX(元データ_14項目!$D$2:$Q$1300,0,MATCH($B215,元データ_14項目!$D$1:$Q$1,0)),元データ_14項目!$A$2:$A$1300,$A215,元データ_14項目!$B$2:$B$1300,"本年",元データ_14項目!$C$2:$C$1300,D$5)</f>
        <v>0</v>
      </c>
      <c r="E215" s="26">
        <f>SUMIFS(INDEX(元データ_14項目!$D$2:$Q$1300,0,MATCH($B215,元データ_14項目!$D$1:$Q$1,0)),元データ_14項目!$A$2:$A$1300,$A215,元データ_14項目!$B$2:$B$1300,"本年",元データ_14項目!$C$2:$C$1300,E$5)</f>
        <v>0</v>
      </c>
      <c r="F215" s="26">
        <f>SUMIFS(INDEX(元データ_14項目!$D$2:$Q$1300,0,MATCH($B215,元データ_14項目!$D$1:$Q$1,0)),元データ_14項目!$A$2:$A$1300,$A215,元データ_14項目!$B$2:$B$1300,"本年",元データ_14項目!$C$2:$C$1300,F$5)</f>
        <v>0</v>
      </c>
      <c r="G215" s="26">
        <f>SUMIFS(INDEX(元データ_14項目!$D$2:$Q$1300,0,MATCH($B215,元データ_14項目!$D$1:$Q$1,0)),元データ_14項目!$A$2:$A$1300,$A215,元データ_14項目!$B$2:$B$1300,"本年",元データ_14項目!$C$2:$C$1300,G$5)</f>
        <v>1</v>
      </c>
      <c r="H215" s="26">
        <f>SUMIFS(INDEX(元データ_14項目!$D$2:$Q$1300,0,MATCH($B215,元データ_14項目!$D$1:$Q$1,0)),元データ_14項目!$A$2:$A$1300,$A215,元データ_14項目!$B$2:$B$1300,"本年",元データ_14項目!$C$2:$C$1300,H$5)</f>
        <v>0</v>
      </c>
      <c r="I215" s="26">
        <f>SUMIFS(INDEX(元データ_14項目!$D$2:$Q$1300,0,MATCH($B215,元データ_14項目!$D$1:$Q$1,0)),元データ_14項目!$A$2:$A$1300,$A215,元データ_14項目!$B$2:$B$1300,"本年",元データ_14項目!$C$2:$C$1300,I$5)</f>
        <v>0</v>
      </c>
      <c r="J215" s="26">
        <f>SUMIFS(INDEX(元データ_14項目!$D$2:$Q$1300,0,MATCH($B215,元データ_14項目!$D$1:$Q$1,0)),元データ_14項目!$A$2:$A$1300,$A215,元データ_14項目!$B$2:$B$1300,"本年",元データ_14項目!$C$2:$C$1300,J$5)</f>
        <v>10</v>
      </c>
      <c r="K215" s="26">
        <f>SUMIFS(INDEX(元データ_14項目!$D$2:$Q$1300,0,MATCH($B215,元データ_14項目!$D$1:$Q$1,0)),元データ_14項目!$A$2:$A$1300,$A215,元データ_14項目!$B$2:$B$1300,"本年",元データ_14項目!$C$2:$C$1300,K$5)</f>
        <v>0</v>
      </c>
      <c r="L215" s="26">
        <f>SUMIFS(INDEX(元データ_14項目!$D$2:$Q$1300,0,MATCH($B215,元データ_14項目!$D$1:$Q$1,0)),元データ_14項目!$A$2:$A$1300,$A215,元データ_14項目!$B$2:$B$1300,"本年",元データ_14項目!$C$2:$C$1300,L$5)</f>
        <v>0</v>
      </c>
      <c r="M215" s="26">
        <f>SUMIFS(INDEX(元データ_14項目!$D$2:$Q$1300,0,MATCH($B215,元データ_14項目!$D$1:$Q$1,0)),元データ_14項目!$A$2:$A$1300,$A215,元データ_14項目!$B$2:$B$1300,"本年",元データ_14項目!$C$2:$C$1300,M$5)</f>
        <v>0</v>
      </c>
      <c r="N215" s="26">
        <f>SUMIFS(INDEX(元データ_14項目!$D$2:$Q$1300,0,MATCH($B215,元データ_14項目!$D$1:$Q$1,0)),元データ_14項目!$A$2:$A$1300,$A215,元データ_14項目!$B$2:$B$1300,"本年",元データ_14項目!$C$2:$C$1300,N$5)</f>
        <v>0</v>
      </c>
      <c r="O215" s="26">
        <f t="shared" si="6"/>
        <v>11</v>
      </c>
      <c r="P215" s="26">
        <f>SUMIFS(INDEX(元データ_14項目!$D$2:$Q$1300,0,MATCH($B215,元データ_14項目!$D$1:$Q$1,0)),元データ_14項目!$A$2:$A$1300,$A215,元データ_14項目!$B$2:$B$1300,"前年")</f>
        <v>7</v>
      </c>
      <c r="Q215" s="7">
        <f t="shared" si="7"/>
        <v>1.5714285714285714</v>
      </c>
    </row>
    <row r="216" spans="1:17" x14ac:dyDescent="0.45">
      <c r="A216" t="s">
        <v>50</v>
      </c>
      <c r="B216" t="s">
        <v>27</v>
      </c>
      <c r="C216" s="26">
        <f>SUMIFS(INDEX(元データ_14項目!$D$2:$Q$1300,0,MATCH($B216,元データ_14項目!$D$1:$Q$1,0)),元データ_14項目!$A$2:$A$1300,$A216,元データ_14項目!$B$2:$B$1300,"本年",元データ_14項目!$C$2:$C$1300,C$5)</f>
        <v>316</v>
      </c>
      <c r="D216" s="26">
        <f>SUMIFS(INDEX(元データ_14項目!$D$2:$Q$1300,0,MATCH($B216,元データ_14項目!$D$1:$Q$1,0)),元データ_14項目!$A$2:$A$1300,$A216,元データ_14項目!$B$2:$B$1300,"本年",元データ_14項目!$C$2:$C$1300,D$5)</f>
        <v>421</v>
      </c>
      <c r="E216" s="26">
        <f>SUMIFS(INDEX(元データ_14項目!$D$2:$Q$1300,0,MATCH($B216,元データ_14項目!$D$1:$Q$1,0)),元データ_14項目!$A$2:$A$1300,$A216,元データ_14項目!$B$2:$B$1300,"本年",元データ_14項目!$C$2:$C$1300,E$5)</f>
        <v>490</v>
      </c>
      <c r="F216" s="26">
        <f>SUMIFS(INDEX(元データ_14項目!$D$2:$Q$1300,0,MATCH($B216,元データ_14項目!$D$1:$Q$1,0)),元データ_14項目!$A$2:$A$1300,$A216,元データ_14項目!$B$2:$B$1300,"本年",元データ_14項目!$C$2:$C$1300,F$5)</f>
        <v>436</v>
      </c>
      <c r="G216" s="26">
        <f>SUMIFS(INDEX(元データ_14項目!$D$2:$Q$1300,0,MATCH($B216,元データ_14項目!$D$1:$Q$1,0)),元データ_14項目!$A$2:$A$1300,$A216,元データ_14項目!$B$2:$B$1300,"本年",元データ_14項目!$C$2:$C$1300,G$5)</f>
        <v>480</v>
      </c>
      <c r="H216" s="26">
        <f>SUMIFS(INDEX(元データ_14項目!$D$2:$Q$1300,0,MATCH($B216,元データ_14項目!$D$1:$Q$1,0)),元データ_14項目!$A$2:$A$1300,$A216,元データ_14項目!$B$2:$B$1300,"本年",元データ_14項目!$C$2:$C$1300,H$5)</f>
        <v>392</v>
      </c>
      <c r="I216" s="26">
        <f>SUMIFS(INDEX(元データ_14項目!$D$2:$Q$1300,0,MATCH($B216,元データ_14項目!$D$1:$Q$1,0)),元データ_14項目!$A$2:$A$1300,$A216,元データ_14項目!$B$2:$B$1300,"本年",元データ_14項目!$C$2:$C$1300,I$5)</f>
        <v>365</v>
      </c>
      <c r="J216" s="26">
        <f>SUMIFS(INDEX(元データ_14項目!$D$2:$Q$1300,0,MATCH($B216,元データ_14項目!$D$1:$Q$1,0)),元データ_14項目!$A$2:$A$1300,$A216,元データ_14項目!$B$2:$B$1300,"本年",元データ_14項目!$C$2:$C$1300,J$5)</f>
        <v>477</v>
      </c>
      <c r="K216" s="26">
        <f>SUMIFS(INDEX(元データ_14項目!$D$2:$Q$1300,0,MATCH($B216,元データ_14項目!$D$1:$Q$1,0)),元データ_14項目!$A$2:$A$1300,$A216,元データ_14項目!$B$2:$B$1300,"本年",元データ_14項目!$C$2:$C$1300,K$5)</f>
        <v>448</v>
      </c>
      <c r="L216" s="26">
        <f>SUMIFS(INDEX(元データ_14項目!$D$2:$Q$1300,0,MATCH($B216,元データ_14項目!$D$1:$Q$1,0)),元データ_14項目!$A$2:$A$1300,$A216,元データ_14項目!$B$2:$B$1300,"本年",元データ_14項目!$C$2:$C$1300,L$5)</f>
        <v>354</v>
      </c>
      <c r="M216" s="26">
        <f>SUMIFS(INDEX(元データ_14項目!$D$2:$Q$1300,0,MATCH($B216,元データ_14項目!$D$1:$Q$1,0)),元データ_14項目!$A$2:$A$1300,$A216,元データ_14項目!$B$2:$B$1300,"本年",元データ_14項目!$C$2:$C$1300,M$5)</f>
        <v>369</v>
      </c>
      <c r="N216" s="26">
        <f>SUMIFS(INDEX(元データ_14項目!$D$2:$Q$1300,0,MATCH($B216,元データ_14項目!$D$1:$Q$1,0)),元データ_14項目!$A$2:$A$1300,$A216,元データ_14項目!$B$2:$B$1300,"本年",元データ_14項目!$C$2:$C$1300,N$5)</f>
        <v>320</v>
      </c>
      <c r="O216" s="26">
        <f t="shared" si="6"/>
        <v>4868</v>
      </c>
      <c r="P216" s="26">
        <f>SUMIFS(INDEX(元データ_14項目!$D$2:$Q$1300,0,MATCH($B216,元データ_14項目!$D$1:$Q$1,0)),元データ_14項目!$A$2:$A$1300,$A216,元データ_14項目!$B$2:$B$1300,"前年")</f>
        <v>5259</v>
      </c>
      <c r="Q216" s="7">
        <f t="shared" si="7"/>
        <v>0.92565126449895418</v>
      </c>
    </row>
    <row r="217" spans="1:17" x14ac:dyDescent="0.45">
      <c r="A217" t="s">
        <v>50</v>
      </c>
      <c r="B217" t="s">
        <v>88</v>
      </c>
      <c r="C217" s="26">
        <f>SUMIFS(INDEX(元データ_14項目!$D$2:$Q$1300,0,MATCH($B217,元データ_14項目!$D$1:$Q$1,0)),元データ_14項目!$A$2:$A$1300,$A217,元データ_14項目!$B$2:$B$1300,"本年",元データ_14項目!$C$2:$C$1300,C$5)</f>
        <v>28</v>
      </c>
      <c r="D217" s="26">
        <f>SUMIFS(INDEX(元データ_14項目!$D$2:$Q$1300,0,MATCH($B217,元データ_14項目!$D$1:$Q$1,0)),元データ_14項目!$A$2:$A$1300,$A217,元データ_14項目!$B$2:$B$1300,"本年",元データ_14項目!$C$2:$C$1300,D$5)</f>
        <v>36</v>
      </c>
      <c r="E217" s="26">
        <f>SUMIFS(INDEX(元データ_14項目!$D$2:$Q$1300,0,MATCH($B217,元データ_14項目!$D$1:$Q$1,0)),元データ_14項目!$A$2:$A$1300,$A217,元データ_14項目!$B$2:$B$1300,"本年",元データ_14項目!$C$2:$C$1300,E$5)</f>
        <v>48</v>
      </c>
      <c r="F217" s="26">
        <f>SUMIFS(INDEX(元データ_14項目!$D$2:$Q$1300,0,MATCH($B217,元データ_14項目!$D$1:$Q$1,0)),元データ_14項目!$A$2:$A$1300,$A217,元データ_14項目!$B$2:$B$1300,"本年",元データ_14項目!$C$2:$C$1300,F$5)</f>
        <v>33</v>
      </c>
      <c r="G217" s="26">
        <f>SUMIFS(INDEX(元データ_14項目!$D$2:$Q$1300,0,MATCH($B217,元データ_14項目!$D$1:$Q$1,0)),元データ_14項目!$A$2:$A$1300,$A217,元データ_14項目!$B$2:$B$1300,"本年",元データ_14項目!$C$2:$C$1300,G$5)</f>
        <v>32</v>
      </c>
      <c r="H217" s="26">
        <f>SUMIFS(INDEX(元データ_14項目!$D$2:$Q$1300,0,MATCH($B217,元データ_14項目!$D$1:$Q$1,0)),元データ_14項目!$A$2:$A$1300,$A217,元データ_14項目!$B$2:$B$1300,"本年",元データ_14項目!$C$2:$C$1300,H$5)</f>
        <v>21</v>
      </c>
      <c r="I217" s="26">
        <f>SUMIFS(INDEX(元データ_14項目!$D$2:$Q$1300,0,MATCH($B217,元データ_14項目!$D$1:$Q$1,0)),元データ_14項目!$A$2:$A$1300,$A217,元データ_14項目!$B$2:$B$1300,"本年",元データ_14項目!$C$2:$C$1300,I$5)</f>
        <v>26</v>
      </c>
      <c r="J217" s="26">
        <f>SUMIFS(INDEX(元データ_14項目!$D$2:$Q$1300,0,MATCH($B217,元データ_14項目!$D$1:$Q$1,0)),元データ_14項目!$A$2:$A$1300,$A217,元データ_14項目!$B$2:$B$1300,"本年",元データ_14項目!$C$2:$C$1300,J$5)</f>
        <v>29</v>
      </c>
      <c r="K217" s="26">
        <f>SUMIFS(INDEX(元データ_14項目!$D$2:$Q$1300,0,MATCH($B217,元データ_14項目!$D$1:$Q$1,0)),元データ_14項目!$A$2:$A$1300,$A217,元データ_14項目!$B$2:$B$1300,"本年",元データ_14項目!$C$2:$C$1300,K$5)</f>
        <v>28</v>
      </c>
      <c r="L217" s="26">
        <f>SUMIFS(INDEX(元データ_14項目!$D$2:$Q$1300,0,MATCH($B217,元データ_14項目!$D$1:$Q$1,0)),元データ_14項目!$A$2:$A$1300,$A217,元データ_14項目!$B$2:$B$1300,"本年",元データ_14項目!$C$2:$C$1300,L$5)</f>
        <v>30</v>
      </c>
      <c r="M217" s="26">
        <f>SUMIFS(INDEX(元データ_14項目!$D$2:$Q$1300,0,MATCH($B217,元データ_14項目!$D$1:$Q$1,0)),元データ_14項目!$A$2:$A$1300,$A217,元データ_14項目!$B$2:$B$1300,"本年",元データ_14項目!$C$2:$C$1300,M$5)</f>
        <v>31</v>
      </c>
      <c r="N217" s="26">
        <f>SUMIFS(INDEX(元データ_14項目!$D$2:$Q$1300,0,MATCH($B217,元データ_14項目!$D$1:$Q$1,0)),元データ_14項目!$A$2:$A$1300,$A217,元データ_14項目!$B$2:$B$1300,"本年",元データ_14項目!$C$2:$C$1300,N$5)</f>
        <v>45</v>
      </c>
      <c r="O217" s="26">
        <f t="shared" si="6"/>
        <v>387</v>
      </c>
      <c r="P217" s="26">
        <f>SUMIFS(INDEX(元データ_14項目!$D$2:$Q$1300,0,MATCH($B217,元データ_14項目!$D$1:$Q$1,0)),元データ_14項目!$A$2:$A$1300,$A217,元データ_14項目!$B$2:$B$1300,"前年")</f>
        <v>428</v>
      </c>
      <c r="Q217" s="7">
        <f t="shared" si="7"/>
        <v>0.90420560747663548</v>
      </c>
    </row>
    <row r="218" spans="1:17" x14ac:dyDescent="0.45">
      <c r="A218" t="s">
        <v>50</v>
      </c>
      <c r="B218" t="s">
        <v>89</v>
      </c>
      <c r="C218" s="26">
        <f>SUMIFS(INDEX(元データ_14項目!$D$2:$Q$1300,0,MATCH($B218,元データ_14項目!$D$1:$Q$1,0)),元データ_14項目!$A$2:$A$1300,$A218,元データ_14項目!$B$2:$B$1300,"本年",元データ_14項目!$C$2:$C$1300,C$5)</f>
        <v>14</v>
      </c>
      <c r="D218" s="26">
        <f>SUMIFS(INDEX(元データ_14項目!$D$2:$Q$1300,0,MATCH($B218,元データ_14項目!$D$1:$Q$1,0)),元データ_14項目!$A$2:$A$1300,$A218,元データ_14項目!$B$2:$B$1300,"本年",元データ_14項目!$C$2:$C$1300,D$5)</f>
        <v>12</v>
      </c>
      <c r="E218" s="26">
        <f>SUMIFS(INDEX(元データ_14項目!$D$2:$Q$1300,0,MATCH($B218,元データ_14項目!$D$1:$Q$1,0)),元データ_14項目!$A$2:$A$1300,$A218,元データ_14項目!$B$2:$B$1300,"本年",元データ_14項目!$C$2:$C$1300,E$5)</f>
        <v>24</v>
      </c>
      <c r="F218" s="26">
        <f>SUMIFS(INDEX(元データ_14項目!$D$2:$Q$1300,0,MATCH($B218,元データ_14項目!$D$1:$Q$1,0)),元データ_14項目!$A$2:$A$1300,$A218,元データ_14項目!$B$2:$B$1300,"本年",元データ_14項目!$C$2:$C$1300,F$5)</f>
        <v>18</v>
      </c>
      <c r="G218" s="26">
        <f>SUMIFS(INDEX(元データ_14項目!$D$2:$Q$1300,0,MATCH($B218,元データ_14項目!$D$1:$Q$1,0)),元データ_14項目!$A$2:$A$1300,$A218,元データ_14項目!$B$2:$B$1300,"本年",元データ_14項目!$C$2:$C$1300,G$5)</f>
        <v>21</v>
      </c>
      <c r="H218" s="26">
        <f>SUMIFS(INDEX(元データ_14項目!$D$2:$Q$1300,0,MATCH($B218,元データ_14項目!$D$1:$Q$1,0)),元データ_14項目!$A$2:$A$1300,$A218,元データ_14項目!$B$2:$B$1300,"本年",元データ_14項目!$C$2:$C$1300,H$5)</f>
        <v>11</v>
      </c>
      <c r="I218" s="26">
        <f>SUMIFS(INDEX(元データ_14項目!$D$2:$Q$1300,0,MATCH($B218,元データ_14項目!$D$1:$Q$1,0)),元データ_14項目!$A$2:$A$1300,$A218,元データ_14項目!$B$2:$B$1300,"本年",元データ_14項目!$C$2:$C$1300,I$5)</f>
        <v>6</v>
      </c>
      <c r="J218" s="26">
        <f>SUMIFS(INDEX(元データ_14項目!$D$2:$Q$1300,0,MATCH($B218,元データ_14項目!$D$1:$Q$1,0)),元データ_14項目!$A$2:$A$1300,$A218,元データ_14項目!$B$2:$B$1300,"本年",元データ_14項目!$C$2:$C$1300,J$5)</f>
        <v>23</v>
      </c>
      <c r="K218" s="26">
        <f>SUMIFS(INDEX(元データ_14項目!$D$2:$Q$1300,0,MATCH($B218,元データ_14項目!$D$1:$Q$1,0)),元データ_14項目!$A$2:$A$1300,$A218,元データ_14項目!$B$2:$B$1300,"本年",元データ_14項目!$C$2:$C$1300,K$5)</f>
        <v>30</v>
      </c>
      <c r="L218" s="26">
        <f>SUMIFS(INDEX(元データ_14項目!$D$2:$Q$1300,0,MATCH($B218,元データ_14項目!$D$1:$Q$1,0)),元データ_14項目!$A$2:$A$1300,$A218,元データ_14項目!$B$2:$B$1300,"本年",元データ_14項目!$C$2:$C$1300,L$5)</f>
        <v>17</v>
      </c>
      <c r="M218" s="26">
        <f>SUMIFS(INDEX(元データ_14項目!$D$2:$Q$1300,0,MATCH($B218,元データ_14項目!$D$1:$Q$1,0)),元データ_14項目!$A$2:$A$1300,$A218,元データ_14項目!$B$2:$B$1300,"本年",元データ_14項目!$C$2:$C$1300,M$5)</f>
        <v>20</v>
      </c>
      <c r="N218" s="26">
        <f>SUMIFS(INDEX(元データ_14項目!$D$2:$Q$1300,0,MATCH($B218,元データ_14項目!$D$1:$Q$1,0)),元データ_14項目!$A$2:$A$1300,$A218,元データ_14項目!$B$2:$B$1300,"本年",元データ_14項目!$C$2:$C$1300,N$5)</f>
        <v>21</v>
      </c>
      <c r="O218" s="26">
        <f t="shared" si="6"/>
        <v>217</v>
      </c>
      <c r="P218" s="26">
        <f>SUMIFS(INDEX(元データ_14項目!$D$2:$Q$1300,0,MATCH($B218,元データ_14項目!$D$1:$Q$1,0)),元データ_14項目!$A$2:$A$1300,$A218,元データ_14項目!$B$2:$B$1300,"前年")</f>
        <v>175</v>
      </c>
      <c r="Q218" s="7">
        <f t="shared" si="7"/>
        <v>1.24</v>
      </c>
    </row>
    <row r="219" spans="1:17" x14ac:dyDescent="0.45">
      <c r="A219" t="s">
        <v>50</v>
      </c>
      <c r="B219" t="s">
        <v>90</v>
      </c>
      <c r="C219" s="26">
        <f>SUMIFS(INDEX(元データ_14項目!$D$2:$Q$1300,0,MATCH($B219,元データ_14項目!$D$1:$Q$1,0)),元データ_14項目!$A$2:$A$1300,$A219,元データ_14項目!$B$2:$B$1300,"本年",元データ_14項目!$C$2:$C$1300,C$5)</f>
        <v>26</v>
      </c>
      <c r="D219" s="26">
        <f>SUMIFS(INDEX(元データ_14項目!$D$2:$Q$1300,0,MATCH($B219,元データ_14項目!$D$1:$Q$1,0)),元データ_14項目!$A$2:$A$1300,$A219,元データ_14項目!$B$2:$B$1300,"本年",元データ_14項目!$C$2:$C$1300,D$5)</f>
        <v>13</v>
      </c>
      <c r="E219" s="26">
        <f>SUMIFS(INDEX(元データ_14項目!$D$2:$Q$1300,0,MATCH($B219,元データ_14項目!$D$1:$Q$1,0)),元データ_14項目!$A$2:$A$1300,$A219,元データ_14項目!$B$2:$B$1300,"本年",元データ_14項目!$C$2:$C$1300,E$5)</f>
        <v>33</v>
      </c>
      <c r="F219" s="26">
        <f>SUMIFS(INDEX(元データ_14項目!$D$2:$Q$1300,0,MATCH($B219,元データ_14項目!$D$1:$Q$1,0)),元データ_14項目!$A$2:$A$1300,$A219,元データ_14項目!$B$2:$B$1300,"本年",元データ_14項目!$C$2:$C$1300,F$5)</f>
        <v>60</v>
      </c>
      <c r="G219" s="26">
        <f>SUMIFS(INDEX(元データ_14項目!$D$2:$Q$1300,0,MATCH($B219,元データ_14項目!$D$1:$Q$1,0)),元データ_14項目!$A$2:$A$1300,$A219,元データ_14項目!$B$2:$B$1300,"本年",元データ_14項目!$C$2:$C$1300,G$5)</f>
        <v>60</v>
      </c>
      <c r="H219" s="26">
        <f>SUMIFS(INDEX(元データ_14項目!$D$2:$Q$1300,0,MATCH($B219,元データ_14項目!$D$1:$Q$1,0)),元データ_14項目!$A$2:$A$1300,$A219,元データ_14項目!$B$2:$B$1300,"本年",元データ_14項目!$C$2:$C$1300,H$5)</f>
        <v>55</v>
      </c>
      <c r="I219" s="26">
        <f>SUMIFS(INDEX(元データ_14項目!$D$2:$Q$1300,0,MATCH($B219,元データ_14項目!$D$1:$Q$1,0)),元データ_14項目!$A$2:$A$1300,$A219,元データ_14項目!$B$2:$B$1300,"本年",元データ_14項目!$C$2:$C$1300,I$5)</f>
        <v>35</v>
      </c>
      <c r="J219" s="26">
        <f>SUMIFS(INDEX(元データ_14項目!$D$2:$Q$1300,0,MATCH($B219,元データ_14項目!$D$1:$Q$1,0)),元データ_14項目!$A$2:$A$1300,$A219,元データ_14項目!$B$2:$B$1300,"本年",元データ_14項目!$C$2:$C$1300,J$5)</f>
        <v>74</v>
      </c>
      <c r="K219" s="26">
        <f>SUMIFS(INDEX(元データ_14項目!$D$2:$Q$1300,0,MATCH($B219,元データ_14項目!$D$1:$Q$1,0)),元データ_14項目!$A$2:$A$1300,$A219,元データ_14項目!$B$2:$B$1300,"本年",元データ_14項目!$C$2:$C$1300,K$5)</f>
        <v>105</v>
      </c>
      <c r="L219" s="26">
        <f>SUMIFS(INDEX(元データ_14項目!$D$2:$Q$1300,0,MATCH($B219,元データ_14項目!$D$1:$Q$1,0)),元データ_14項目!$A$2:$A$1300,$A219,元データ_14項目!$B$2:$B$1300,"本年",元データ_14項目!$C$2:$C$1300,L$5)</f>
        <v>76</v>
      </c>
      <c r="M219" s="26">
        <f>SUMIFS(INDEX(元データ_14項目!$D$2:$Q$1300,0,MATCH($B219,元データ_14項目!$D$1:$Q$1,0)),元データ_14項目!$A$2:$A$1300,$A219,元データ_14項目!$B$2:$B$1300,"本年",元データ_14項目!$C$2:$C$1300,M$5)</f>
        <v>66</v>
      </c>
      <c r="N219" s="26">
        <f>SUMIFS(INDEX(元データ_14項目!$D$2:$Q$1300,0,MATCH($B219,元データ_14項目!$D$1:$Q$1,0)),元データ_14項目!$A$2:$A$1300,$A219,元データ_14項目!$B$2:$B$1300,"本年",元データ_14項目!$C$2:$C$1300,N$5)</f>
        <v>29</v>
      </c>
      <c r="O219" s="26">
        <f t="shared" si="6"/>
        <v>632</v>
      </c>
      <c r="P219" s="26">
        <f>SUMIFS(INDEX(元データ_14項目!$D$2:$Q$1300,0,MATCH($B219,元データ_14項目!$D$1:$Q$1,0)),元データ_14項目!$A$2:$A$1300,$A219,元データ_14項目!$B$2:$B$1300,"前年")</f>
        <v>629</v>
      </c>
      <c r="Q219" s="7">
        <f t="shared" si="7"/>
        <v>1.0047694753577106</v>
      </c>
    </row>
    <row r="220" spans="1:17" x14ac:dyDescent="0.45">
      <c r="A220" t="s">
        <v>50</v>
      </c>
      <c r="B220" t="s">
        <v>91</v>
      </c>
      <c r="C220" s="26">
        <f>SUMIFS(INDEX(元データ_14項目!$D$2:$Q$1300,0,MATCH($B220,元データ_14項目!$D$1:$Q$1,0)),元データ_14項目!$A$2:$A$1300,$A220,元データ_14項目!$B$2:$B$1300,"本年",元データ_14項目!$C$2:$C$1300,C$5)</f>
        <v>2</v>
      </c>
      <c r="D220" s="26">
        <f>SUMIFS(INDEX(元データ_14項目!$D$2:$Q$1300,0,MATCH($B220,元データ_14項目!$D$1:$Q$1,0)),元データ_14項目!$A$2:$A$1300,$A220,元データ_14項目!$B$2:$B$1300,"本年",元データ_14項目!$C$2:$C$1300,D$5)</f>
        <v>18</v>
      </c>
      <c r="E220" s="26">
        <f>SUMIFS(INDEX(元データ_14項目!$D$2:$Q$1300,0,MATCH($B220,元データ_14項目!$D$1:$Q$1,0)),元データ_14項目!$A$2:$A$1300,$A220,元データ_14項目!$B$2:$B$1300,"本年",元データ_14項目!$C$2:$C$1300,E$5)</f>
        <v>24</v>
      </c>
      <c r="F220" s="26">
        <f>SUMIFS(INDEX(元データ_14項目!$D$2:$Q$1300,0,MATCH($B220,元データ_14項目!$D$1:$Q$1,0)),元データ_14項目!$A$2:$A$1300,$A220,元データ_14項目!$B$2:$B$1300,"本年",元データ_14項目!$C$2:$C$1300,F$5)</f>
        <v>19</v>
      </c>
      <c r="G220" s="26">
        <f>SUMIFS(INDEX(元データ_14項目!$D$2:$Q$1300,0,MATCH($B220,元データ_14項目!$D$1:$Q$1,0)),元データ_14項目!$A$2:$A$1300,$A220,元データ_14項目!$B$2:$B$1300,"本年",元データ_14項目!$C$2:$C$1300,G$5)</f>
        <v>3</v>
      </c>
      <c r="H220" s="26">
        <f>SUMIFS(INDEX(元データ_14項目!$D$2:$Q$1300,0,MATCH($B220,元データ_14項目!$D$1:$Q$1,0)),元データ_14項目!$A$2:$A$1300,$A220,元データ_14項目!$B$2:$B$1300,"本年",元データ_14項目!$C$2:$C$1300,H$5)</f>
        <v>0</v>
      </c>
      <c r="I220" s="26">
        <f>SUMIFS(INDEX(元データ_14項目!$D$2:$Q$1300,0,MATCH($B220,元データ_14項目!$D$1:$Q$1,0)),元データ_14項目!$A$2:$A$1300,$A220,元データ_14項目!$B$2:$B$1300,"本年",元データ_14項目!$C$2:$C$1300,I$5)</f>
        <v>1</v>
      </c>
      <c r="J220" s="26">
        <f>SUMIFS(INDEX(元データ_14項目!$D$2:$Q$1300,0,MATCH($B220,元データ_14項目!$D$1:$Q$1,0)),元データ_14項目!$A$2:$A$1300,$A220,元データ_14項目!$B$2:$B$1300,"本年",元データ_14項目!$C$2:$C$1300,J$5)</f>
        <v>5</v>
      </c>
      <c r="K220" s="26">
        <f>SUMIFS(INDEX(元データ_14項目!$D$2:$Q$1300,0,MATCH($B220,元データ_14項目!$D$1:$Q$1,0)),元データ_14項目!$A$2:$A$1300,$A220,元データ_14項目!$B$2:$B$1300,"本年",元データ_14項目!$C$2:$C$1300,K$5)</f>
        <v>8</v>
      </c>
      <c r="L220" s="26">
        <f>SUMIFS(INDEX(元データ_14項目!$D$2:$Q$1300,0,MATCH($B220,元データ_14項目!$D$1:$Q$1,0)),元データ_14項目!$A$2:$A$1300,$A220,元データ_14項目!$B$2:$B$1300,"本年",元データ_14項目!$C$2:$C$1300,L$5)</f>
        <v>13</v>
      </c>
      <c r="M220" s="26">
        <f>SUMIFS(INDEX(元データ_14項目!$D$2:$Q$1300,0,MATCH($B220,元データ_14項目!$D$1:$Q$1,0)),元データ_14項目!$A$2:$A$1300,$A220,元データ_14項目!$B$2:$B$1300,"本年",元データ_14項目!$C$2:$C$1300,M$5)</f>
        <v>9</v>
      </c>
      <c r="N220" s="26">
        <f>SUMIFS(INDEX(元データ_14項目!$D$2:$Q$1300,0,MATCH($B220,元データ_14項目!$D$1:$Q$1,0)),元データ_14項目!$A$2:$A$1300,$A220,元データ_14項目!$B$2:$B$1300,"本年",元データ_14項目!$C$2:$C$1300,N$5)</f>
        <v>5</v>
      </c>
      <c r="O220" s="26">
        <f t="shared" si="6"/>
        <v>107</v>
      </c>
      <c r="P220" s="26">
        <f>SUMIFS(INDEX(元データ_14項目!$D$2:$Q$1300,0,MATCH($B220,元データ_14項目!$D$1:$Q$1,0)),元データ_14項目!$A$2:$A$1300,$A220,元データ_14項目!$B$2:$B$1300,"前年")</f>
        <v>113</v>
      </c>
      <c r="Q220" s="7">
        <f t="shared" si="7"/>
        <v>0.94690265486725667</v>
      </c>
    </row>
    <row r="221" spans="1:17" x14ac:dyDescent="0.45">
      <c r="A221" t="s">
        <v>50</v>
      </c>
      <c r="B221" t="s">
        <v>28</v>
      </c>
      <c r="C221" s="26">
        <f>SUMIFS(INDEX(元データ_14項目!$D$2:$Q$1300,0,MATCH($B221,元データ_14項目!$D$1:$Q$1,0)),元データ_14項目!$A$2:$A$1300,$A221,元データ_14項目!$B$2:$B$1300,"本年",元データ_14項目!$C$2:$C$1300,C$5)</f>
        <v>98</v>
      </c>
      <c r="D221" s="26">
        <f>SUMIFS(INDEX(元データ_14項目!$D$2:$Q$1300,0,MATCH($B221,元データ_14項目!$D$1:$Q$1,0)),元データ_14項目!$A$2:$A$1300,$A221,元データ_14項目!$B$2:$B$1300,"本年",元データ_14項目!$C$2:$C$1300,D$5)</f>
        <v>108</v>
      </c>
      <c r="E221" s="26">
        <f>SUMIFS(INDEX(元データ_14項目!$D$2:$Q$1300,0,MATCH($B221,元データ_14項目!$D$1:$Q$1,0)),元データ_14項目!$A$2:$A$1300,$A221,元データ_14項目!$B$2:$B$1300,"本年",元データ_14項目!$C$2:$C$1300,E$5)</f>
        <v>109</v>
      </c>
      <c r="F221" s="26">
        <f>SUMIFS(INDEX(元データ_14項目!$D$2:$Q$1300,0,MATCH($B221,元データ_14項目!$D$1:$Q$1,0)),元データ_14項目!$A$2:$A$1300,$A221,元データ_14項目!$B$2:$B$1300,"本年",元データ_14項目!$C$2:$C$1300,F$5)</f>
        <v>108</v>
      </c>
      <c r="G221" s="26">
        <f>SUMIFS(INDEX(元データ_14項目!$D$2:$Q$1300,0,MATCH($B221,元データ_14項目!$D$1:$Q$1,0)),元データ_14項目!$A$2:$A$1300,$A221,元データ_14項目!$B$2:$B$1300,"本年",元データ_14項目!$C$2:$C$1300,G$5)</f>
        <v>87</v>
      </c>
      <c r="H221" s="26">
        <f>SUMIFS(INDEX(元データ_14項目!$D$2:$Q$1300,0,MATCH($B221,元データ_14項目!$D$1:$Q$1,0)),元データ_14項目!$A$2:$A$1300,$A221,元データ_14項目!$B$2:$B$1300,"本年",元データ_14項目!$C$2:$C$1300,H$5)</f>
        <v>37</v>
      </c>
      <c r="I221" s="26">
        <f>SUMIFS(INDEX(元データ_14項目!$D$2:$Q$1300,0,MATCH($B221,元データ_14項目!$D$1:$Q$1,0)),元データ_14項目!$A$2:$A$1300,$A221,元データ_14項目!$B$2:$B$1300,"本年",元データ_14項目!$C$2:$C$1300,I$5)</f>
        <v>45</v>
      </c>
      <c r="J221" s="26">
        <f>SUMIFS(INDEX(元データ_14項目!$D$2:$Q$1300,0,MATCH($B221,元データ_14項目!$D$1:$Q$1,0)),元データ_14項目!$A$2:$A$1300,$A221,元データ_14項目!$B$2:$B$1300,"本年",元データ_14項目!$C$2:$C$1300,J$5)</f>
        <v>72</v>
      </c>
      <c r="K221" s="26">
        <f>SUMIFS(INDEX(元データ_14項目!$D$2:$Q$1300,0,MATCH($B221,元データ_14項目!$D$1:$Q$1,0)),元データ_14項目!$A$2:$A$1300,$A221,元データ_14項目!$B$2:$B$1300,"本年",元データ_14項目!$C$2:$C$1300,K$5)</f>
        <v>78</v>
      </c>
      <c r="L221" s="26">
        <f>SUMIFS(INDEX(元データ_14項目!$D$2:$Q$1300,0,MATCH($B221,元データ_14項目!$D$1:$Q$1,0)),元データ_14項目!$A$2:$A$1300,$A221,元データ_14項目!$B$2:$B$1300,"本年",元データ_14項目!$C$2:$C$1300,L$5)</f>
        <v>71</v>
      </c>
      <c r="M221" s="26">
        <f>SUMIFS(INDEX(元データ_14項目!$D$2:$Q$1300,0,MATCH($B221,元データ_14項目!$D$1:$Q$1,0)),元データ_14項目!$A$2:$A$1300,$A221,元データ_14項目!$B$2:$B$1300,"本年",元データ_14項目!$C$2:$C$1300,M$5)</f>
        <v>92</v>
      </c>
      <c r="N221" s="26">
        <f>SUMIFS(INDEX(元データ_14項目!$D$2:$Q$1300,0,MATCH($B221,元データ_14項目!$D$1:$Q$1,0)),元データ_14項目!$A$2:$A$1300,$A221,元データ_14項目!$B$2:$B$1300,"本年",元データ_14項目!$C$2:$C$1300,N$5)</f>
        <v>80</v>
      </c>
      <c r="O221" s="26">
        <f t="shared" si="6"/>
        <v>985</v>
      </c>
      <c r="P221" s="26">
        <f>SUMIFS(INDEX(元データ_14項目!$D$2:$Q$1300,0,MATCH($B221,元データ_14項目!$D$1:$Q$1,0)),元データ_14項目!$A$2:$A$1300,$A221,元データ_14項目!$B$2:$B$1300,"前年")</f>
        <v>1191</v>
      </c>
      <c r="Q221" s="7">
        <f t="shared" si="7"/>
        <v>0.82703610411418971</v>
      </c>
    </row>
    <row r="222" spans="1:17" x14ac:dyDescent="0.45">
      <c r="A222" t="s">
        <v>50</v>
      </c>
      <c r="B222" t="s">
        <v>92</v>
      </c>
      <c r="C222" s="26">
        <f>SUMIFS(INDEX(元データ_14項目!$D$2:$Q$1300,0,MATCH($B222,元データ_14項目!$D$1:$Q$1,0)),元データ_14項目!$A$2:$A$1300,$A222,元データ_14項目!$B$2:$B$1300,"本年",元データ_14項目!$C$2:$C$1300,C$5)</f>
        <v>8</v>
      </c>
      <c r="D222" s="26">
        <f>SUMIFS(INDEX(元データ_14項目!$D$2:$Q$1300,0,MATCH($B222,元データ_14項目!$D$1:$Q$1,0)),元データ_14項目!$A$2:$A$1300,$A222,元データ_14項目!$B$2:$B$1300,"本年",元データ_14項目!$C$2:$C$1300,D$5)</f>
        <v>12</v>
      </c>
      <c r="E222" s="26">
        <f>SUMIFS(INDEX(元データ_14項目!$D$2:$Q$1300,0,MATCH($B222,元データ_14項目!$D$1:$Q$1,0)),元データ_14項目!$A$2:$A$1300,$A222,元データ_14項目!$B$2:$B$1300,"本年",元データ_14項目!$C$2:$C$1300,E$5)</f>
        <v>16</v>
      </c>
      <c r="F222" s="26">
        <f>SUMIFS(INDEX(元データ_14項目!$D$2:$Q$1300,0,MATCH($B222,元データ_14項目!$D$1:$Q$1,0)),元データ_14項目!$A$2:$A$1300,$A222,元データ_14項目!$B$2:$B$1300,"本年",元データ_14項目!$C$2:$C$1300,F$5)</f>
        <v>16</v>
      </c>
      <c r="G222" s="26">
        <f>SUMIFS(INDEX(元データ_14項目!$D$2:$Q$1300,0,MATCH($B222,元データ_14項目!$D$1:$Q$1,0)),元データ_14項目!$A$2:$A$1300,$A222,元データ_14項目!$B$2:$B$1300,"本年",元データ_14項目!$C$2:$C$1300,G$5)</f>
        <v>14</v>
      </c>
      <c r="H222" s="26">
        <f>SUMIFS(INDEX(元データ_14項目!$D$2:$Q$1300,0,MATCH($B222,元データ_14項目!$D$1:$Q$1,0)),元データ_14項目!$A$2:$A$1300,$A222,元データ_14項目!$B$2:$B$1300,"本年",元データ_14項目!$C$2:$C$1300,H$5)</f>
        <v>6</v>
      </c>
      <c r="I222" s="26">
        <f>SUMIFS(INDEX(元データ_14項目!$D$2:$Q$1300,0,MATCH($B222,元データ_14項目!$D$1:$Q$1,0)),元データ_14項目!$A$2:$A$1300,$A222,元データ_14項目!$B$2:$B$1300,"本年",元データ_14項目!$C$2:$C$1300,I$5)</f>
        <v>9</v>
      </c>
      <c r="J222" s="26">
        <f>SUMIFS(INDEX(元データ_14項目!$D$2:$Q$1300,0,MATCH($B222,元データ_14項目!$D$1:$Q$1,0)),元データ_14項目!$A$2:$A$1300,$A222,元データ_14項目!$B$2:$B$1300,"本年",元データ_14項目!$C$2:$C$1300,J$5)</f>
        <v>8</v>
      </c>
      <c r="K222" s="26">
        <f>SUMIFS(INDEX(元データ_14項目!$D$2:$Q$1300,0,MATCH($B222,元データ_14項目!$D$1:$Q$1,0)),元データ_14項目!$A$2:$A$1300,$A222,元データ_14項目!$B$2:$B$1300,"本年",元データ_14項目!$C$2:$C$1300,K$5)</f>
        <v>20</v>
      </c>
      <c r="L222" s="26">
        <f>SUMIFS(INDEX(元データ_14項目!$D$2:$Q$1300,0,MATCH($B222,元データ_14項目!$D$1:$Q$1,0)),元データ_14項目!$A$2:$A$1300,$A222,元データ_14項目!$B$2:$B$1300,"本年",元データ_14項目!$C$2:$C$1300,L$5)</f>
        <v>7</v>
      </c>
      <c r="M222" s="26">
        <f>SUMIFS(INDEX(元データ_14項目!$D$2:$Q$1300,0,MATCH($B222,元データ_14項目!$D$1:$Q$1,0)),元データ_14項目!$A$2:$A$1300,$A222,元データ_14項目!$B$2:$B$1300,"本年",元データ_14項目!$C$2:$C$1300,M$5)</f>
        <v>11</v>
      </c>
      <c r="N222" s="26">
        <f>SUMIFS(INDEX(元データ_14項目!$D$2:$Q$1300,0,MATCH($B222,元データ_14項目!$D$1:$Q$1,0)),元データ_14項目!$A$2:$A$1300,$A222,元データ_14項目!$B$2:$B$1300,"本年",元データ_14項目!$C$2:$C$1300,N$5)</f>
        <v>14</v>
      </c>
      <c r="O222" s="26">
        <f t="shared" si="6"/>
        <v>141</v>
      </c>
      <c r="P222" s="26">
        <f>SUMIFS(INDEX(元データ_14項目!$D$2:$Q$1300,0,MATCH($B222,元データ_14項目!$D$1:$Q$1,0)),元データ_14項目!$A$2:$A$1300,$A222,元データ_14項目!$B$2:$B$1300,"前年")</f>
        <v>171</v>
      </c>
      <c r="Q222" s="7">
        <f t="shared" si="7"/>
        <v>0.82456140350877194</v>
      </c>
    </row>
    <row r="223" spans="1:17" x14ac:dyDescent="0.45">
      <c r="A223" t="s">
        <v>50</v>
      </c>
      <c r="B223" t="s">
        <v>93</v>
      </c>
      <c r="C223" s="26">
        <f>SUMIFS(INDEX(元データ_14項目!$D$2:$Q$1300,0,MATCH($B223,元データ_14項目!$D$1:$Q$1,0)),元データ_14項目!$A$2:$A$1300,$A223,元データ_14項目!$B$2:$B$1300,"本年",元データ_14項目!$C$2:$C$1300,C$5)</f>
        <v>10</v>
      </c>
      <c r="D223" s="26">
        <f>SUMIFS(INDEX(元データ_14項目!$D$2:$Q$1300,0,MATCH($B223,元データ_14項目!$D$1:$Q$1,0)),元データ_14項目!$A$2:$A$1300,$A223,元データ_14項目!$B$2:$B$1300,"本年",元データ_14項目!$C$2:$C$1300,D$5)</f>
        <v>4</v>
      </c>
      <c r="E223" s="26">
        <f>SUMIFS(INDEX(元データ_14項目!$D$2:$Q$1300,0,MATCH($B223,元データ_14項目!$D$1:$Q$1,0)),元データ_14項目!$A$2:$A$1300,$A223,元データ_14項目!$B$2:$B$1300,"本年",元データ_14項目!$C$2:$C$1300,E$5)</f>
        <v>28</v>
      </c>
      <c r="F223" s="26">
        <f>SUMIFS(INDEX(元データ_14項目!$D$2:$Q$1300,0,MATCH($B223,元データ_14項目!$D$1:$Q$1,0)),元データ_14項目!$A$2:$A$1300,$A223,元データ_14項目!$B$2:$B$1300,"本年",元データ_14項目!$C$2:$C$1300,F$5)</f>
        <v>25</v>
      </c>
      <c r="G223" s="26">
        <f>SUMIFS(INDEX(元データ_14項目!$D$2:$Q$1300,0,MATCH($B223,元データ_14項目!$D$1:$Q$1,0)),元データ_14項目!$A$2:$A$1300,$A223,元データ_14項目!$B$2:$B$1300,"本年",元データ_14項目!$C$2:$C$1300,G$5)</f>
        <v>31</v>
      </c>
      <c r="H223" s="26">
        <f>SUMIFS(INDEX(元データ_14項目!$D$2:$Q$1300,0,MATCH($B223,元データ_14項目!$D$1:$Q$1,0)),元データ_14項目!$A$2:$A$1300,$A223,元データ_14項目!$B$2:$B$1300,"本年",元データ_14項目!$C$2:$C$1300,H$5)</f>
        <v>17</v>
      </c>
      <c r="I223" s="26">
        <f>SUMIFS(INDEX(元データ_14項目!$D$2:$Q$1300,0,MATCH($B223,元データ_14項目!$D$1:$Q$1,0)),元データ_14項目!$A$2:$A$1300,$A223,元データ_14項目!$B$2:$B$1300,"本年",元データ_14項目!$C$2:$C$1300,I$5)</f>
        <v>19</v>
      </c>
      <c r="J223" s="26">
        <f>SUMIFS(INDEX(元データ_14項目!$D$2:$Q$1300,0,MATCH($B223,元データ_14項目!$D$1:$Q$1,0)),元データ_14項目!$A$2:$A$1300,$A223,元データ_14項目!$B$2:$B$1300,"本年",元データ_14項目!$C$2:$C$1300,J$5)</f>
        <v>41</v>
      </c>
      <c r="K223" s="26">
        <f>SUMIFS(INDEX(元データ_14項目!$D$2:$Q$1300,0,MATCH($B223,元データ_14項目!$D$1:$Q$1,0)),元データ_14項目!$A$2:$A$1300,$A223,元データ_14項目!$B$2:$B$1300,"本年",元データ_14項目!$C$2:$C$1300,K$5)</f>
        <v>107</v>
      </c>
      <c r="L223" s="26">
        <f>SUMIFS(INDEX(元データ_14項目!$D$2:$Q$1300,0,MATCH($B223,元データ_14項目!$D$1:$Q$1,0)),元データ_14項目!$A$2:$A$1300,$A223,元データ_14項目!$B$2:$B$1300,"本年",元データ_14項目!$C$2:$C$1300,L$5)</f>
        <v>32</v>
      </c>
      <c r="M223" s="26">
        <f>SUMIFS(INDEX(元データ_14項目!$D$2:$Q$1300,0,MATCH($B223,元データ_14項目!$D$1:$Q$1,0)),元データ_14項目!$A$2:$A$1300,$A223,元データ_14項目!$B$2:$B$1300,"本年",元データ_14項目!$C$2:$C$1300,M$5)</f>
        <v>25</v>
      </c>
      <c r="N223" s="26">
        <f>SUMIFS(INDEX(元データ_14項目!$D$2:$Q$1300,0,MATCH($B223,元データ_14項目!$D$1:$Q$1,0)),元データ_14項目!$A$2:$A$1300,$A223,元データ_14項目!$B$2:$B$1300,"本年",元データ_14項目!$C$2:$C$1300,N$5)</f>
        <v>21</v>
      </c>
      <c r="O223" s="26">
        <f t="shared" si="6"/>
        <v>360</v>
      </c>
      <c r="P223" s="26">
        <f>SUMIFS(INDEX(元データ_14項目!$D$2:$Q$1300,0,MATCH($B223,元データ_14項目!$D$1:$Q$1,0)),元データ_14項目!$A$2:$A$1300,$A223,元データ_14項目!$B$2:$B$1300,"前年")</f>
        <v>426</v>
      </c>
      <c r="Q223" s="7">
        <f t="shared" si="7"/>
        <v>0.84507042253521125</v>
      </c>
    </row>
    <row r="224" spans="1:17" x14ac:dyDescent="0.45">
      <c r="A224" t="s">
        <v>50</v>
      </c>
      <c r="B224" t="s">
        <v>94</v>
      </c>
      <c r="C224" s="26">
        <f>SUMIFS(INDEX(元データ_14項目!$D$2:$Q$1300,0,MATCH($B224,元データ_14項目!$D$1:$Q$1,0)),元データ_14項目!$A$2:$A$1300,$A224,元データ_14項目!$B$2:$B$1300,"本年",元データ_14項目!$C$2:$C$1300,C$5)</f>
        <v>6</v>
      </c>
      <c r="D224" s="26">
        <f>SUMIFS(INDEX(元データ_14項目!$D$2:$Q$1300,0,MATCH($B224,元データ_14項目!$D$1:$Q$1,0)),元データ_14項目!$A$2:$A$1300,$A224,元データ_14項目!$B$2:$B$1300,"本年",元データ_14項目!$C$2:$C$1300,D$5)</f>
        <v>4</v>
      </c>
      <c r="E224" s="26">
        <f>SUMIFS(INDEX(元データ_14項目!$D$2:$Q$1300,0,MATCH($B224,元データ_14項目!$D$1:$Q$1,0)),元データ_14項目!$A$2:$A$1300,$A224,元データ_14項目!$B$2:$B$1300,"本年",元データ_14項目!$C$2:$C$1300,E$5)</f>
        <v>13</v>
      </c>
      <c r="F224" s="26">
        <f>SUMIFS(INDEX(元データ_14項目!$D$2:$Q$1300,0,MATCH($B224,元データ_14項目!$D$1:$Q$1,0)),元データ_14項目!$A$2:$A$1300,$A224,元データ_14項目!$B$2:$B$1300,"本年",元データ_14項目!$C$2:$C$1300,F$5)</f>
        <v>8</v>
      </c>
      <c r="G224" s="26">
        <f>SUMIFS(INDEX(元データ_14項目!$D$2:$Q$1300,0,MATCH($B224,元データ_14項目!$D$1:$Q$1,0)),元データ_14項目!$A$2:$A$1300,$A224,元データ_14項目!$B$2:$B$1300,"本年",元データ_14項目!$C$2:$C$1300,G$5)</f>
        <v>9</v>
      </c>
      <c r="H224" s="26">
        <f>SUMIFS(INDEX(元データ_14項目!$D$2:$Q$1300,0,MATCH($B224,元データ_14項目!$D$1:$Q$1,0)),元データ_14項目!$A$2:$A$1300,$A224,元データ_14項目!$B$2:$B$1300,"本年",元データ_14項目!$C$2:$C$1300,H$5)</f>
        <v>6</v>
      </c>
      <c r="I224" s="26">
        <f>SUMIFS(INDEX(元データ_14項目!$D$2:$Q$1300,0,MATCH($B224,元データ_14項目!$D$1:$Q$1,0)),元データ_14項目!$A$2:$A$1300,$A224,元データ_14項目!$B$2:$B$1300,"本年",元データ_14項目!$C$2:$C$1300,I$5)</f>
        <v>10</v>
      </c>
      <c r="J224" s="26">
        <f>SUMIFS(INDEX(元データ_14項目!$D$2:$Q$1300,0,MATCH($B224,元データ_14項目!$D$1:$Q$1,0)),元データ_14項目!$A$2:$A$1300,$A224,元データ_14項目!$B$2:$B$1300,"本年",元データ_14項目!$C$2:$C$1300,J$5)</f>
        <v>14</v>
      </c>
      <c r="K224" s="26">
        <f>SUMIFS(INDEX(元データ_14項目!$D$2:$Q$1300,0,MATCH($B224,元データ_14項目!$D$1:$Q$1,0)),元データ_14項目!$A$2:$A$1300,$A224,元データ_14項目!$B$2:$B$1300,"本年",元データ_14項目!$C$2:$C$1300,K$5)</f>
        <v>35</v>
      </c>
      <c r="L224" s="26">
        <f>SUMIFS(INDEX(元データ_14項目!$D$2:$Q$1300,0,MATCH($B224,元データ_14項目!$D$1:$Q$1,0)),元データ_14項目!$A$2:$A$1300,$A224,元データ_14項目!$B$2:$B$1300,"本年",元データ_14項目!$C$2:$C$1300,L$5)</f>
        <v>18</v>
      </c>
      <c r="M224" s="26">
        <f>SUMIFS(INDEX(元データ_14項目!$D$2:$Q$1300,0,MATCH($B224,元データ_14項目!$D$1:$Q$1,0)),元データ_14項目!$A$2:$A$1300,$A224,元データ_14項目!$B$2:$B$1300,"本年",元データ_14項目!$C$2:$C$1300,M$5)</f>
        <v>15</v>
      </c>
      <c r="N224" s="26">
        <f>SUMIFS(INDEX(元データ_14項目!$D$2:$Q$1300,0,MATCH($B224,元データ_14項目!$D$1:$Q$1,0)),元データ_14項目!$A$2:$A$1300,$A224,元データ_14項目!$B$2:$B$1300,"本年",元データ_14項目!$C$2:$C$1300,N$5)</f>
        <v>3</v>
      </c>
      <c r="O224" s="26">
        <f t="shared" si="6"/>
        <v>141</v>
      </c>
      <c r="P224" s="26">
        <f>SUMIFS(INDEX(元データ_14項目!$D$2:$Q$1300,0,MATCH($B224,元データ_14項目!$D$1:$Q$1,0)),元データ_14項目!$A$2:$A$1300,$A224,元データ_14項目!$B$2:$B$1300,"前年")</f>
        <v>162</v>
      </c>
      <c r="Q224" s="7">
        <f t="shared" si="7"/>
        <v>0.87037037037037035</v>
      </c>
    </row>
    <row r="225" spans="1:17" x14ac:dyDescent="0.45">
      <c r="A225" t="s">
        <v>50</v>
      </c>
      <c r="B225" t="s">
        <v>95</v>
      </c>
      <c r="C225" s="26">
        <f>SUMIFS(INDEX(元データ_14項目!$D$2:$Q$1300,0,MATCH($B225,元データ_14項目!$D$1:$Q$1,0)),元データ_14項目!$A$2:$A$1300,$A225,元データ_14項目!$B$2:$B$1300,"本年",元データ_14項目!$C$2:$C$1300,C$5)</f>
        <v>15</v>
      </c>
      <c r="D225" s="26">
        <f>SUMIFS(INDEX(元データ_14項目!$D$2:$Q$1300,0,MATCH($B225,元データ_14項目!$D$1:$Q$1,0)),元データ_14項目!$A$2:$A$1300,$A225,元データ_14項目!$B$2:$B$1300,"本年",元データ_14項目!$C$2:$C$1300,D$5)</f>
        <v>18</v>
      </c>
      <c r="E225" s="26">
        <f>SUMIFS(INDEX(元データ_14項目!$D$2:$Q$1300,0,MATCH($B225,元データ_14項目!$D$1:$Q$1,0)),元データ_14項目!$A$2:$A$1300,$A225,元データ_14項目!$B$2:$B$1300,"本年",元データ_14項目!$C$2:$C$1300,E$5)</f>
        <v>27</v>
      </c>
      <c r="F225" s="26">
        <f>SUMIFS(INDEX(元データ_14項目!$D$2:$Q$1300,0,MATCH($B225,元データ_14項目!$D$1:$Q$1,0)),元データ_14項目!$A$2:$A$1300,$A225,元データ_14項目!$B$2:$B$1300,"本年",元データ_14項目!$C$2:$C$1300,F$5)</f>
        <v>16</v>
      </c>
      <c r="G225" s="26">
        <f>SUMIFS(INDEX(元データ_14項目!$D$2:$Q$1300,0,MATCH($B225,元データ_14項目!$D$1:$Q$1,0)),元データ_14項目!$A$2:$A$1300,$A225,元データ_14項目!$B$2:$B$1300,"本年",元データ_14項目!$C$2:$C$1300,G$5)</f>
        <v>8</v>
      </c>
      <c r="H225" s="26">
        <f>SUMIFS(INDEX(元データ_14項目!$D$2:$Q$1300,0,MATCH($B225,元データ_14項目!$D$1:$Q$1,0)),元データ_14項目!$A$2:$A$1300,$A225,元データ_14項目!$B$2:$B$1300,"本年",元データ_14項目!$C$2:$C$1300,H$5)</f>
        <v>13</v>
      </c>
      <c r="I225" s="26">
        <f>SUMIFS(INDEX(元データ_14項目!$D$2:$Q$1300,0,MATCH($B225,元データ_14項目!$D$1:$Q$1,0)),元データ_14項目!$A$2:$A$1300,$A225,元データ_14項目!$B$2:$B$1300,"本年",元データ_14項目!$C$2:$C$1300,I$5)</f>
        <v>7</v>
      </c>
      <c r="J225" s="26">
        <f>SUMIFS(INDEX(元データ_14項目!$D$2:$Q$1300,0,MATCH($B225,元データ_14項目!$D$1:$Q$1,0)),元データ_14項目!$A$2:$A$1300,$A225,元データ_14項目!$B$2:$B$1300,"本年",元データ_14項目!$C$2:$C$1300,J$5)</f>
        <v>17</v>
      </c>
      <c r="K225" s="26">
        <f>SUMIFS(INDEX(元データ_14項目!$D$2:$Q$1300,0,MATCH($B225,元データ_14項目!$D$1:$Q$1,0)),元データ_14項目!$A$2:$A$1300,$A225,元データ_14項目!$B$2:$B$1300,"本年",元データ_14項目!$C$2:$C$1300,K$5)</f>
        <v>15</v>
      </c>
      <c r="L225" s="26">
        <f>SUMIFS(INDEX(元データ_14項目!$D$2:$Q$1300,0,MATCH($B225,元データ_14項目!$D$1:$Q$1,0)),元データ_14項目!$A$2:$A$1300,$A225,元データ_14項目!$B$2:$B$1300,"本年",元データ_14項目!$C$2:$C$1300,L$5)</f>
        <v>9</v>
      </c>
      <c r="M225" s="26">
        <f>SUMIFS(INDEX(元データ_14項目!$D$2:$Q$1300,0,MATCH($B225,元データ_14項目!$D$1:$Q$1,0)),元データ_14項目!$A$2:$A$1300,$A225,元データ_14項目!$B$2:$B$1300,"本年",元データ_14項目!$C$2:$C$1300,M$5)</f>
        <v>24</v>
      </c>
      <c r="N225" s="26">
        <f>SUMIFS(INDEX(元データ_14項目!$D$2:$Q$1300,0,MATCH($B225,元データ_14項目!$D$1:$Q$1,0)),元データ_14項目!$A$2:$A$1300,$A225,元データ_14項目!$B$2:$B$1300,"本年",元データ_14項目!$C$2:$C$1300,N$5)</f>
        <v>12</v>
      </c>
      <c r="O225" s="26">
        <f t="shared" si="6"/>
        <v>181</v>
      </c>
      <c r="P225" s="26">
        <f>SUMIFS(INDEX(元データ_14項目!$D$2:$Q$1300,0,MATCH($B225,元データ_14項目!$D$1:$Q$1,0)),元データ_14項目!$A$2:$A$1300,$A225,元データ_14項目!$B$2:$B$1300,"前年")</f>
        <v>197</v>
      </c>
      <c r="Q225" s="7">
        <f t="shared" si="7"/>
        <v>0.91878172588832485</v>
      </c>
    </row>
    <row r="226" spans="1:17" x14ac:dyDescent="0.45">
      <c r="A226" t="s">
        <v>50</v>
      </c>
      <c r="B226" t="s">
        <v>96</v>
      </c>
      <c r="C226" s="26">
        <f>SUMIFS(INDEX(元データ_14項目!$D$2:$Q$1300,0,MATCH($B226,元データ_14項目!$D$1:$Q$1,0)),元データ_14項目!$A$2:$A$1300,$A226,元データ_14項目!$B$2:$B$1300,"本年",元データ_14項目!$C$2:$C$1300,C$5)</f>
        <v>16</v>
      </c>
      <c r="D226" s="26">
        <f>SUMIFS(INDEX(元データ_14項目!$D$2:$Q$1300,0,MATCH($B226,元データ_14項目!$D$1:$Q$1,0)),元データ_14項目!$A$2:$A$1300,$A226,元データ_14項目!$B$2:$B$1300,"本年",元データ_14項目!$C$2:$C$1300,D$5)</f>
        <v>7</v>
      </c>
      <c r="E226" s="26">
        <f>SUMIFS(INDEX(元データ_14項目!$D$2:$Q$1300,0,MATCH($B226,元データ_14項目!$D$1:$Q$1,0)),元データ_14項目!$A$2:$A$1300,$A226,元データ_14項目!$B$2:$B$1300,"本年",元データ_14項目!$C$2:$C$1300,E$5)</f>
        <v>32</v>
      </c>
      <c r="F226" s="26">
        <f>SUMIFS(INDEX(元データ_14項目!$D$2:$Q$1300,0,MATCH($B226,元データ_14項目!$D$1:$Q$1,0)),元データ_14項目!$A$2:$A$1300,$A226,元データ_14項目!$B$2:$B$1300,"本年",元データ_14項目!$C$2:$C$1300,F$5)</f>
        <v>21</v>
      </c>
      <c r="G226" s="26">
        <f>SUMIFS(INDEX(元データ_14項目!$D$2:$Q$1300,0,MATCH($B226,元データ_14項目!$D$1:$Q$1,0)),元データ_14項目!$A$2:$A$1300,$A226,元データ_14項目!$B$2:$B$1300,"本年",元データ_14項目!$C$2:$C$1300,G$5)</f>
        <v>22</v>
      </c>
      <c r="H226" s="26">
        <f>SUMIFS(INDEX(元データ_14項目!$D$2:$Q$1300,0,MATCH($B226,元データ_14項目!$D$1:$Q$1,0)),元データ_14項目!$A$2:$A$1300,$A226,元データ_14項目!$B$2:$B$1300,"本年",元データ_14項目!$C$2:$C$1300,H$5)</f>
        <v>23</v>
      </c>
      <c r="I226" s="26">
        <f>SUMIFS(INDEX(元データ_14項目!$D$2:$Q$1300,0,MATCH($B226,元データ_14項目!$D$1:$Q$1,0)),元データ_14項目!$A$2:$A$1300,$A226,元データ_14項目!$B$2:$B$1300,"本年",元データ_14項目!$C$2:$C$1300,I$5)</f>
        <v>18</v>
      </c>
      <c r="J226" s="26">
        <f>SUMIFS(INDEX(元データ_14項目!$D$2:$Q$1300,0,MATCH($B226,元データ_14項目!$D$1:$Q$1,0)),元データ_14項目!$A$2:$A$1300,$A226,元データ_14項目!$B$2:$B$1300,"本年",元データ_14項目!$C$2:$C$1300,J$5)</f>
        <v>52</v>
      </c>
      <c r="K226" s="26">
        <f>SUMIFS(INDEX(元データ_14項目!$D$2:$Q$1300,0,MATCH($B226,元データ_14項目!$D$1:$Q$1,0)),元データ_14項目!$A$2:$A$1300,$A226,元データ_14項目!$B$2:$B$1300,"本年",元データ_14項目!$C$2:$C$1300,K$5)</f>
        <v>142</v>
      </c>
      <c r="L226" s="26">
        <f>SUMIFS(INDEX(元データ_14項目!$D$2:$Q$1300,0,MATCH($B226,元データ_14項目!$D$1:$Q$1,0)),元データ_14項目!$A$2:$A$1300,$A226,元データ_14項目!$B$2:$B$1300,"本年",元データ_14項目!$C$2:$C$1300,L$5)</f>
        <v>86</v>
      </c>
      <c r="M226" s="26">
        <f>SUMIFS(INDEX(元データ_14項目!$D$2:$Q$1300,0,MATCH($B226,元データ_14項目!$D$1:$Q$1,0)),元データ_14項目!$A$2:$A$1300,$A226,元データ_14項目!$B$2:$B$1300,"本年",元データ_14項目!$C$2:$C$1300,M$5)</f>
        <v>61</v>
      </c>
      <c r="N226" s="26">
        <f>SUMIFS(INDEX(元データ_14項目!$D$2:$Q$1300,0,MATCH($B226,元データ_14項目!$D$1:$Q$1,0)),元データ_14項目!$A$2:$A$1300,$A226,元データ_14項目!$B$2:$B$1300,"本年",元データ_14項目!$C$2:$C$1300,N$5)</f>
        <v>24</v>
      </c>
      <c r="O226" s="26">
        <f t="shared" si="6"/>
        <v>504</v>
      </c>
      <c r="P226" s="26">
        <f>SUMIFS(INDEX(元データ_14項目!$D$2:$Q$1300,0,MATCH($B226,元データ_14項目!$D$1:$Q$1,0)),元データ_14項目!$A$2:$A$1300,$A226,元データ_14項目!$B$2:$B$1300,"前年")</f>
        <v>620</v>
      </c>
      <c r="Q226" s="7">
        <f t="shared" si="7"/>
        <v>0.81290322580645158</v>
      </c>
    </row>
    <row r="227" spans="1:17" x14ac:dyDescent="0.45">
      <c r="A227" t="s">
        <v>50</v>
      </c>
      <c r="B227" t="s">
        <v>97</v>
      </c>
      <c r="C227" s="26">
        <f>SUMIFS(INDEX(元データ_14項目!$D$2:$Q$1300,0,MATCH($B227,元データ_14項目!$D$1:$Q$1,0)),元データ_14項目!$A$2:$A$1300,$A227,元データ_14項目!$B$2:$B$1300,"本年",元データ_14項目!$C$2:$C$1300,C$5)</f>
        <v>16</v>
      </c>
      <c r="D227" s="26">
        <f>SUMIFS(INDEX(元データ_14項目!$D$2:$Q$1300,0,MATCH($B227,元データ_14項目!$D$1:$Q$1,0)),元データ_14項目!$A$2:$A$1300,$A227,元データ_14項目!$B$2:$B$1300,"本年",元データ_14項目!$C$2:$C$1300,D$5)</f>
        <v>15</v>
      </c>
      <c r="E227" s="26">
        <f>SUMIFS(INDEX(元データ_14項目!$D$2:$Q$1300,0,MATCH($B227,元データ_14項目!$D$1:$Q$1,0)),元データ_14項目!$A$2:$A$1300,$A227,元データ_14項目!$B$2:$B$1300,"本年",元データ_14項目!$C$2:$C$1300,E$5)</f>
        <v>21</v>
      </c>
      <c r="F227" s="26">
        <f>SUMIFS(INDEX(元データ_14項目!$D$2:$Q$1300,0,MATCH($B227,元データ_14項目!$D$1:$Q$1,0)),元データ_14項目!$A$2:$A$1300,$A227,元データ_14項目!$B$2:$B$1300,"本年",元データ_14項目!$C$2:$C$1300,F$5)</f>
        <v>35</v>
      </c>
      <c r="G227" s="26">
        <f>SUMIFS(INDEX(元データ_14項目!$D$2:$Q$1300,0,MATCH($B227,元データ_14項目!$D$1:$Q$1,0)),元データ_14項目!$A$2:$A$1300,$A227,元データ_14項目!$B$2:$B$1300,"本年",元データ_14項目!$C$2:$C$1300,G$5)</f>
        <v>30</v>
      </c>
      <c r="H227" s="26">
        <f>SUMIFS(INDEX(元データ_14項目!$D$2:$Q$1300,0,MATCH($B227,元データ_14項目!$D$1:$Q$1,0)),元データ_14項目!$A$2:$A$1300,$A227,元データ_14項目!$B$2:$B$1300,"本年",元データ_14項目!$C$2:$C$1300,H$5)</f>
        <v>18</v>
      </c>
      <c r="I227" s="26">
        <f>SUMIFS(INDEX(元データ_14項目!$D$2:$Q$1300,0,MATCH($B227,元データ_14項目!$D$1:$Q$1,0)),元データ_14項目!$A$2:$A$1300,$A227,元データ_14項目!$B$2:$B$1300,"本年",元データ_14項目!$C$2:$C$1300,I$5)</f>
        <v>14</v>
      </c>
      <c r="J227" s="26">
        <f>SUMIFS(INDEX(元データ_14項目!$D$2:$Q$1300,0,MATCH($B227,元データ_14項目!$D$1:$Q$1,0)),元データ_14項目!$A$2:$A$1300,$A227,元データ_14項目!$B$2:$B$1300,"本年",元データ_14項目!$C$2:$C$1300,J$5)</f>
        <v>63</v>
      </c>
      <c r="K227" s="26">
        <f>SUMIFS(INDEX(元データ_14項目!$D$2:$Q$1300,0,MATCH($B227,元データ_14項目!$D$1:$Q$1,0)),元データ_14項目!$A$2:$A$1300,$A227,元データ_14項目!$B$2:$B$1300,"本年",元データ_14項目!$C$2:$C$1300,K$5)</f>
        <v>137</v>
      </c>
      <c r="L227" s="26">
        <f>SUMIFS(INDEX(元データ_14項目!$D$2:$Q$1300,0,MATCH($B227,元データ_14項目!$D$1:$Q$1,0)),元データ_14項目!$A$2:$A$1300,$A227,元データ_14項目!$B$2:$B$1300,"本年",元データ_14項目!$C$2:$C$1300,L$5)</f>
        <v>53</v>
      </c>
      <c r="M227" s="26">
        <f>SUMIFS(INDEX(元データ_14項目!$D$2:$Q$1300,0,MATCH($B227,元データ_14項目!$D$1:$Q$1,0)),元データ_14項目!$A$2:$A$1300,$A227,元データ_14項目!$B$2:$B$1300,"本年",元データ_14項目!$C$2:$C$1300,M$5)</f>
        <v>42</v>
      </c>
      <c r="N227" s="26">
        <f>SUMIFS(INDEX(元データ_14項目!$D$2:$Q$1300,0,MATCH($B227,元データ_14項目!$D$1:$Q$1,0)),元データ_14項目!$A$2:$A$1300,$A227,元データ_14項目!$B$2:$B$1300,"本年",元データ_14項目!$C$2:$C$1300,N$5)</f>
        <v>23</v>
      </c>
      <c r="O227" s="26">
        <f t="shared" si="6"/>
        <v>467</v>
      </c>
      <c r="P227" s="26">
        <f>SUMIFS(INDEX(元データ_14項目!$D$2:$Q$1300,0,MATCH($B227,元データ_14項目!$D$1:$Q$1,0)),元データ_14項目!$A$2:$A$1300,$A227,元データ_14項目!$B$2:$B$1300,"前年")</f>
        <v>469</v>
      </c>
      <c r="Q227" s="7">
        <f t="shared" si="7"/>
        <v>0.99573560767590619</v>
      </c>
    </row>
    <row r="228" spans="1:17" x14ac:dyDescent="0.45">
      <c r="A228" t="s">
        <v>50</v>
      </c>
      <c r="B228" t="s">
        <v>98</v>
      </c>
      <c r="C228" s="26">
        <f>SUMIFS(INDEX(元データ_14項目!$D$2:$Q$1300,0,MATCH($B228,元データ_14項目!$D$1:$Q$1,0)),元データ_14項目!$A$2:$A$1300,$A228,元データ_14項目!$B$2:$B$1300,"本年",元データ_14項目!$C$2:$C$1300,C$5)</f>
        <v>6</v>
      </c>
      <c r="D228" s="26">
        <f>SUMIFS(INDEX(元データ_14項目!$D$2:$Q$1300,0,MATCH($B228,元データ_14項目!$D$1:$Q$1,0)),元データ_14項目!$A$2:$A$1300,$A228,元データ_14項目!$B$2:$B$1300,"本年",元データ_14項目!$C$2:$C$1300,D$5)</f>
        <v>4</v>
      </c>
      <c r="E228" s="26">
        <f>SUMIFS(INDEX(元データ_14項目!$D$2:$Q$1300,0,MATCH($B228,元データ_14項目!$D$1:$Q$1,0)),元データ_14項目!$A$2:$A$1300,$A228,元データ_14項目!$B$2:$B$1300,"本年",元データ_14項目!$C$2:$C$1300,E$5)</f>
        <v>3</v>
      </c>
      <c r="F228" s="26">
        <f>SUMIFS(INDEX(元データ_14項目!$D$2:$Q$1300,0,MATCH($B228,元データ_14項目!$D$1:$Q$1,0)),元データ_14項目!$A$2:$A$1300,$A228,元データ_14項目!$B$2:$B$1300,"本年",元データ_14項目!$C$2:$C$1300,F$5)</f>
        <v>7</v>
      </c>
      <c r="G228" s="26">
        <f>SUMIFS(INDEX(元データ_14項目!$D$2:$Q$1300,0,MATCH($B228,元データ_14項目!$D$1:$Q$1,0)),元データ_14項目!$A$2:$A$1300,$A228,元データ_14項目!$B$2:$B$1300,"本年",元データ_14項目!$C$2:$C$1300,G$5)</f>
        <v>9</v>
      </c>
      <c r="H228" s="26">
        <f>SUMIFS(INDEX(元データ_14項目!$D$2:$Q$1300,0,MATCH($B228,元データ_14項目!$D$1:$Q$1,0)),元データ_14項目!$A$2:$A$1300,$A228,元データ_14項目!$B$2:$B$1300,"本年",元データ_14項目!$C$2:$C$1300,H$5)</f>
        <v>7</v>
      </c>
      <c r="I228" s="26">
        <f>SUMIFS(INDEX(元データ_14項目!$D$2:$Q$1300,0,MATCH($B228,元データ_14項目!$D$1:$Q$1,0)),元データ_14項目!$A$2:$A$1300,$A228,元データ_14項目!$B$2:$B$1300,"本年",元データ_14項目!$C$2:$C$1300,I$5)</f>
        <v>6</v>
      </c>
      <c r="J228" s="26">
        <f>SUMIFS(INDEX(元データ_14項目!$D$2:$Q$1300,0,MATCH($B228,元データ_14項目!$D$1:$Q$1,0)),元データ_14項目!$A$2:$A$1300,$A228,元データ_14項目!$B$2:$B$1300,"本年",元データ_14項目!$C$2:$C$1300,J$5)</f>
        <v>42</v>
      </c>
      <c r="K228" s="26">
        <f>SUMIFS(INDEX(元データ_14項目!$D$2:$Q$1300,0,MATCH($B228,元データ_14項目!$D$1:$Q$1,0)),元データ_14項目!$A$2:$A$1300,$A228,元データ_14項目!$B$2:$B$1300,"本年",元データ_14項目!$C$2:$C$1300,K$5)</f>
        <v>134</v>
      </c>
      <c r="L228" s="26">
        <f>SUMIFS(INDEX(元データ_14項目!$D$2:$Q$1300,0,MATCH($B228,元データ_14項目!$D$1:$Q$1,0)),元データ_14項目!$A$2:$A$1300,$A228,元データ_14項目!$B$2:$B$1300,"本年",元データ_14項目!$C$2:$C$1300,L$5)</f>
        <v>57</v>
      </c>
      <c r="M228" s="26">
        <f>SUMIFS(INDEX(元データ_14項目!$D$2:$Q$1300,0,MATCH($B228,元データ_14項目!$D$1:$Q$1,0)),元データ_14項目!$A$2:$A$1300,$A228,元データ_14項目!$B$2:$B$1300,"本年",元データ_14項目!$C$2:$C$1300,M$5)</f>
        <v>19</v>
      </c>
      <c r="N228" s="26">
        <f>SUMIFS(INDEX(元データ_14項目!$D$2:$Q$1300,0,MATCH($B228,元データ_14項目!$D$1:$Q$1,0)),元データ_14項目!$A$2:$A$1300,$A228,元データ_14項目!$B$2:$B$1300,"本年",元データ_14項目!$C$2:$C$1300,N$5)</f>
        <v>16</v>
      </c>
      <c r="O228" s="26">
        <f t="shared" si="6"/>
        <v>310</v>
      </c>
      <c r="P228" s="26">
        <f>SUMIFS(INDEX(元データ_14項目!$D$2:$Q$1300,0,MATCH($B228,元データ_14項目!$D$1:$Q$1,0)),元データ_14項目!$A$2:$A$1300,$A228,元データ_14項目!$B$2:$B$1300,"前年")</f>
        <v>368</v>
      </c>
      <c r="Q228" s="7">
        <f t="shared" si="7"/>
        <v>0.84239130434782605</v>
      </c>
    </row>
    <row r="229" spans="1:17" x14ac:dyDescent="0.45">
      <c r="A229" t="s">
        <v>50</v>
      </c>
      <c r="B229" t="s">
        <v>99</v>
      </c>
      <c r="C229" s="26">
        <f>SUMIFS(INDEX(元データ_14項目!$D$2:$Q$1300,0,MATCH($B229,元データ_14項目!$D$1:$Q$1,0)),元データ_14項目!$A$2:$A$1300,$A229,元データ_14項目!$B$2:$B$1300,"本年",元データ_14項目!$C$2:$C$1300,C$5)</f>
        <v>0</v>
      </c>
      <c r="D229" s="26">
        <f>SUMIFS(INDEX(元データ_14項目!$D$2:$Q$1300,0,MATCH($B229,元データ_14項目!$D$1:$Q$1,0)),元データ_14項目!$A$2:$A$1300,$A229,元データ_14項目!$B$2:$B$1300,"本年",元データ_14項目!$C$2:$C$1300,D$5)</f>
        <v>0</v>
      </c>
      <c r="E229" s="26">
        <f>SUMIFS(INDEX(元データ_14項目!$D$2:$Q$1300,0,MATCH($B229,元データ_14項目!$D$1:$Q$1,0)),元データ_14項目!$A$2:$A$1300,$A229,元データ_14項目!$B$2:$B$1300,"本年",元データ_14項目!$C$2:$C$1300,E$5)</f>
        <v>0</v>
      </c>
      <c r="F229" s="26">
        <f>SUMIFS(INDEX(元データ_14項目!$D$2:$Q$1300,0,MATCH($B229,元データ_14項目!$D$1:$Q$1,0)),元データ_14項目!$A$2:$A$1300,$A229,元データ_14項目!$B$2:$B$1300,"本年",元データ_14項目!$C$2:$C$1300,F$5)</f>
        <v>0</v>
      </c>
      <c r="G229" s="26">
        <f>SUMIFS(INDEX(元データ_14項目!$D$2:$Q$1300,0,MATCH($B229,元データ_14項目!$D$1:$Q$1,0)),元データ_14項目!$A$2:$A$1300,$A229,元データ_14項目!$B$2:$B$1300,"本年",元データ_14項目!$C$2:$C$1300,G$5)</f>
        <v>0</v>
      </c>
      <c r="H229" s="26">
        <f>SUMIFS(INDEX(元データ_14項目!$D$2:$Q$1300,0,MATCH($B229,元データ_14項目!$D$1:$Q$1,0)),元データ_14項目!$A$2:$A$1300,$A229,元データ_14項目!$B$2:$B$1300,"本年",元データ_14項目!$C$2:$C$1300,H$5)</f>
        <v>0</v>
      </c>
      <c r="I229" s="26">
        <f>SUMIFS(INDEX(元データ_14項目!$D$2:$Q$1300,0,MATCH($B229,元データ_14項目!$D$1:$Q$1,0)),元データ_14項目!$A$2:$A$1300,$A229,元データ_14項目!$B$2:$B$1300,"本年",元データ_14項目!$C$2:$C$1300,I$5)</f>
        <v>2</v>
      </c>
      <c r="J229" s="26">
        <f>SUMIFS(INDEX(元データ_14項目!$D$2:$Q$1300,0,MATCH($B229,元データ_14項目!$D$1:$Q$1,0)),元データ_14項目!$A$2:$A$1300,$A229,元データ_14項目!$B$2:$B$1300,"本年",元データ_14項目!$C$2:$C$1300,J$5)</f>
        <v>16</v>
      </c>
      <c r="K229" s="26">
        <f>SUMIFS(INDEX(元データ_14項目!$D$2:$Q$1300,0,MATCH($B229,元データ_14項目!$D$1:$Q$1,0)),元データ_14項目!$A$2:$A$1300,$A229,元データ_14項目!$B$2:$B$1300,"本年",元データ_14項目!$C$2:$C$1300,K$5)</f>
        <v>0</v>
      </c>
      <c r="L229" s="26">
        <f>SUMIFS(INDEX(元データ_14項目!$D$2:$Q$1300,0,MATCH($B229,元データ_14項目!$D$1:$Q$1,0)),元データ_14項目!$A$2:$A$1300,$A229,元データ_14項目!$B$2:$B$1300,"本年",元データ_14項目!$C$2:$C$1300,L$5)</f>
        <v>12</v>
      </c>
      <c r="M229" s="26">
        <f>SUMIFS(INDEX(元データ_14項目!$D$2:$Q$1300,0,MATCH($B229,元データ_14項目!$D$1:$Q$1,0)),元データ_14項目!$A$2:$A$1300,$A229,元データ_14項目!$B$2:$B$1300,"本年",元データ_14項目!$C$2:$C$1300,M$5)</f>
        <v>0</v>
      </c>
      <c r="N229" s="26">
        <f>SUMIFS(INDEX(元データ_14項目!$D$2:$Q$1300,0,MATCH($B229,元データ_14項目!$D$1:$Q$1,0)),元データ_14項目!$A$2:$A$1300,$A229,元データ_14項目!$B$2:$B$1300,"本年",元データ_14項目!$C$2:$C$1300,N$5)</f>
        <v>1</v>
      </c>
      <c r="O229" s="26">
        <f t="shared" si="6"/>
        <v>31</v>
      </c>
      <c r="P229" s="26">
        <f>SUMIFS(INDEX(元データ_14項目!$D$2:$Q$1300,0,MATCH($B229,元データ_14項目!$D$1:$Q$1,0)),元データ_14項目!$A$2:$A$1300,$A229,元データ_14項目!$B$2:$B$1300,"前年")</f>
        <v>38</v>
      </c>
      <c r="Q229" s="7">
        <f t="shared" si="7"/>
        <v>0.81578947368421051</v>
      </c>
    </row>
    <row r="230" spans="1:17" x14ac:dyDescent="0.45">
      <c r="A230" t="s">
        <v>51</v>
      </c>
      <c r="B230" t="s">
        <v>27</v>
      </c>
      <c r="C230" s="26">
        <f>SUMIFS(INDEX(元データ_14項目!$D$2:$Q$1300,0,MATCH($B230,元データ_14項目!$D$1:$Q$1,0)),元データ_14項目!$A$2:$A$1300,$A230,元データ_14項目!$B$2:$B$1300,"本年",元データ_14項目!$C$2:$C$1300,C$5)</f>
        <v>1030</v>
      </c>
      <c r="D230" s="26">
        <f>SUMIFS(INDEX(元データ_14項目!$D$2:$Q$1300,0,MATCH($B230,元データ_14項目!$D$1:$Q$1,0)),元データ_14項目!$A$2:$A$1300,$A230,元データ_14項目!$B$2:$B$1300,"本年",元データ_14項目!$C$2:$C$1300,D$5)</f>
        <v>1325</v>
      </c>
      <c r="E230" s="26">
        <f>SUMIFS(INDEX(元データ_14項目!$D$2:$Q$1300,0,MATCH($B230,元データ_14項目!$D$1:$Q$1,0)),元データ_14項目!$A$2:$A$1300,$A230,元データ_14項目!$B$2:$B$1300,"本年",元データ_14項目!$C$2:$C$1300,E$5)</f>
        <v>1614</v>
      </c>
      <c r="F230" s="26">
        <f>SUMIFS(INDEX(元データ_14項目!$D$2:$Q$1300,0,MATCH($B230,元データ_14項目!$D$1:$Q$1,0)),元データ_14項目!$A$2:$A$1300,$A230,元データ_14項目!$B$2:$B$1300,"本年",元データ_14項目!$C$2:$C$1300,F$5)</f>
        <v>1428</v>
      </c>
      <c r="G230" s="26">
        <f>SUMIFS(INDEX(元データ_14項目!$D$2:$Q$1300,0,MATCH($B230,元データ_14項目!$D$1:$Q$1,0)),元データ_14項目!$A$2:$A$1300,$A230,元データ_14項目!$B$2:$B$1300,"本年",元データ_14項目!$C$2:$C$1300,G$5)</f>
        <v>1522</v>
      </c>
      <c r="H230" s="26">
        <f>SUMIFS(INDEX(元データ_14項目!$D$2:$Q$1300,0,MATCH($B230,元データ_14項目!$D$1:$Q$1,0)),元データ_14項目!$A$2:$A$1300,$A230,元データ_14項目!$B$2:$B$1300,"本年",元データ_14項目!$C$2:$C$1300,H$5)</f>
        <v>1089</v>
      </c>
      <c r="I230" s="26">
        <f>SUMIFS(INDEX(元データ_14項目!$D$2:$Q$1300,0,MATCH($B230,元データ_14項目!$D$1:$Q$1,0)),元データ_14項目!$A$2:$A$1300,$A230,元データ_14項目!$B$2:$B$1300,"本年",元データ_14項目!$C$2:$C$1300,I$5)</f>
        <v>1220</v>
      </c>
      <c r="J230" s="26">
        <f>SUMIFS(INDEX(元データ_14項目!$D$2:$Q$1300,0,MATCH($B230,元データ_14項目!$D$1:$Q$1,0)),元データ_14項目!$A$2:$A$1300,$A230,元データ_14項目!$B$2:$B$1300,"本年",元データ_14項目!$C$2:$C$1300,J$5)</f>
        <v>1436</v>
      </c>
      <c r="K230" s="26">
        <f>SUMIFS(INDEX(元データ_14項目!$D$2:$Q$1300,0,MATCH($B230,元データ_14項目!$D$1:$Q$1,0)),元データ_14項目!$A$2:$A$1300,$A230,元データ_14項目!$B$2:$B$1300,"本年",元データ_14項目!$C$2:$C$1300,K$5)</f>
        <v>1388</v>
      </c>
      <c r="L230" s="26">
        <f>SUMIFS(INDEX(元データ_14項目!$D$2:$Q$1300,0,MATCH($B230,元データ_14項目!$D$1:$Q$1,0)),元データ_14項目!$A$2:$A$1300,$A230,元データ_14項目!$B$2:$B$1300,"本年",元データ_14項目!$C$2:$C$1300,L$5)</f>
        <v>1175</v>
      </c>
      <c r="M230" s="26">
        <f>SUMIFS(INDEX(元データ_14項目!$D$2:$Q$1300,0,MATCH($B230,元データ_14項目!$D$1:$Q$1,0)),元データ_14項目!$A$2:$A$1300,$A230,元データ_14項目!$B$2:$B$1300,"本年",元データ_14項目!$C$2:$C$1300,M$5)</f>
        <v>1419</v>
      </c>
      <c r="N230" s="26">
        <f>SUMIFS(INDEX(元データ_14項目!$D$2:$Q$1300,0,MATCH($B230,元データ_14項目!$D$1:$Q$1,0)),元データ_14項目!$A$2:$A$1300,$A230,元データ_14項目!$B$2:$B$1300,"本年",元データ_14項目!$C$2:$C$1300,N$5)</f>
        <v>1282</v>
      </c>
      <c r="O230" s="26">
        <f t="shared" si="6"/>
        <v>15928</v>
      </c>
      <c r="P230" s="26">
        <f>SUMIFS(INDEX(元データ_14項目!$D$2:$Q$1300,0,MATCH($B230,元データ_14項目!$D$1:$Q$1,0)),元データ_14項目!$A$2:$A$1300,$A230,元データ_14項目!$B$2:$B$1300,"前年")</f>
        <v>19330</v>
      </c>
      <c r="Q230" s="7">
        <f t="shared" si="7"/>
        <v>0.82400413864459388</v>
      </c>
    </row>
    <row r="231" spans="1:17" x14ac:dyDescent="0.45">
      <c r="A231" t="s">
        <v>51</v>
      </c>
      <c r="B231" t="s">
        <v>88</v>
      </c>
      <c r="C231" s="26">
        <f>SUMIFS(INDEX(元データ_14項目!$D$2:$Q$1300,0,MATCH($B231,元データ_14項目!$D$1:$Q$1,0)),元データ_14項目!$A$2:$A$1300,$A231,元データ_14項目!$B$2:$B$1300,"本年",元データ_14項目!$C$2:$C$1300,C$5)</f>
        <v>63</v>
      </c>
      <c r="D231" s="26">
        <f>SUMIFS(INDEX(元データ_14項目!$D$2:$Q$1300,0,MATCH($B231,元データ_14項目!$D$1:$Q$1,0)),元データ_14項目!$A$2:$A$1300,$A231,元データ_14項目!$B$2:$B$1300,"本年",元データ_14項目!$C$2:$C$1300,D$5)</f>
        <v>77</v>
      </c>
      <c r="E231" s="26">
        <f>SUMIFS(INDEX(元データ_14項目!$D$2:$Q$1300,0,MATCH($B231,元データ_14項目!$D$1:$Q$1,0)),元データ_14項目!$A$2:$A$1300,$A231,元データ_14項目!$B$2:$B$1300,"本年",元データ_14項目!$C$2:$C$1300,E$5)</f>
        <v>79</v>
      </c>
      <c r="F231" s="26">
        <f>SUMIFS(INDEX(元データ_14項目!$D$2:$Q$1300,0,MATCH($B231,元データ_14項目!$D$1:$Q$1,0)),元データ_14項目!$A$2:$A$1300,$A231,元データ_14項目!$B$2:$B$1300,"本年",元データ_14項目!$C$2:$C$1300,F$5)</f>
        <v>77</v>
      </c>
      <c r="G231" s="26">
        <f>SUMIFS(INDEX(元データ_14項目!$D$2:$Q$1300,0,MATCH($B231,元データ_14項目!$D$1:$Q$1,0)),元データ_14項目!$A$2:$A$1300,$A231,元データ_14項目!$B$2:$B$1300,"本年",元データ_14項目!$C$2:$C$1300,G$5)</f>
        <v>63</v>
      </c>
      <c r="H231" s="26">
        <f>SUMIFS(INDEX(元データ_14項目!$D$2:$Q$1300,0,MATCH($B231,元データ_14項目!$D$1:$Q$1,0)),元データ_14項目!$A$2:$A$1300,$A231,元データ_14項目!$B$2:$B$1300,"本年",元データ_14項目!$C$2:$C$1300,H$5)</f>
        <v>52</v>
      </c>
      <c r="I231" s="26">
        <f>SUMIFS(INDEX(元データ_14項目!$D$2:$Q$1300,0,MATCH($B231,元データ_14項目!$D$1:$Q$1,0)),元データ_14項目!$A$2:$A$1300,$A231,元データ_14項目!$B$2:$B$1300,"本年",元データ_14項目!$C$2:$C$1300,I$5)</f>
        <v>32</v>
      </c>
      <c r="J231" s="26">
        <f>SUMIFS(INDEX(元データ_14項目!$D$2:$Q$1300,0,MATCH($B231,元データ_14項目!$D$1:$Q$1,0)),元データ_14項目!$A$2:$A$1300,$A231,元データ_14項目!$B$2:$B$1300,"本年",元データ_14項目!$C$2:$C$1300,J$5)</f>
        <v>60</v>
      </c>
      <c r="K231" s="26">
        <f>SUMIFS(INDEX(元データ_14項目!$D$2:$Q$1300,0,MATCH($B231,元データ_14項目!$D$1:$Q$1,0)),元データ_14項目!$A$2:$A$1300,$A231,元データ_14項目!$B$2:$B$1300,"本年",元データ_14項目!$C$2:$C$1300,K$5)</f>
        <v>63</v>
      </c>
      <c r="L231" s="26">
        <f>SUMIFS(INDEX(元データ_14項目!$D$2:$Q$1300,0,MATCH($B231,元データ_14項目!$D$1:$Q$1,0)),元データ_14項目!$A$2:$A$1300,$A231,元データ_14項目!$B$2:$B$1300,"本年",元データ_14項目!$C$2:$C$1300,L$5)</f>
        <v>56</v>
      </c>
      <c r="M231" s="26">
        <f>SUMIFS(INDEX(元データ_14項目!$D$2:$Q$1300,0,MATCH($B231,元データ_14項目!$D$1:$Q$1,0)),元データ_14項目!$A$2:$A$1300,$A231,元データ_14項目!$B$2:$B$1300,"本年",元データ_14項目!$C$2:$C$1300,M$5)</f>
        <v>55</v>
      </c>
      <c r="N231" s="26">
        <f>SUMIFS(INDEX(元データ_14項目!$D$2:$Q$1300,0,MATCH($B231,元データ_14項目!$D$1:$Q$1,0)),元データ_14項目!$A$2:$A$1300,$A231,元データ_14項目!$B$2:$B$1300,"本年",元データ_14項目!$C$2:$C$1300,N$5)</f>
        <v>44</v>
      </c>
      <c r="O231" s="26">
        <f t="shared" si="6"/>
        <v>721</v>
      </c>
      <c r="P231" s="26">
        <f>SUMIFS(INDEX(元データ_14項目!$D$2:$Q$1300,0,MATCH($B231,元データ_14項目!$D$1:$Q$1,0)),元データ_14項目!$A$2:$A$1300,$A231,元データ_14項目!$B$2:$B$1300,"前年")</f>
        <v>731</v>
      </c>
      <c r="Q231" s="7">
        <f t="shared" si="7"/>
        <v>0.98632010943912451</v>
      </c>
    </row>
    <row r="232" spans="1:17" x14ac:dyDescent="0.45">
      <c r="A232" t="s">
        <v>51</v>
      </c>
      <c r="B232" t="s">
        <v>89</v>
      </c>
      <c r="C232" s="26">
        <f>SUMIFS(INDEX(元データ_14項目!$D$2:$Q$1300,0,MATCH($B232,元データ_14項目!$D$1:$Q$1,0)),元データ_14項目!$A$2:$A$1300,$A232,元データ_14項目!$B$2:$B$1300,"本年",元データ_14項目!$C$2:$C$1300,C$5)</f>
        <v>42</v>
      </c>
      <c r="D232" s="26">
        <f>SUMIFS(INDEX(元データ_14項目!$D$2:$Q$1300,0,MATCH($B232,元データ_14項目!$D$1:$Q$1,0)),元データ_14項目!$A$2:$A$1300,$A232,元データ_14項目!$B$2:$B$1300,"本年",元データ_14項目!$C$2:$C$1300,D$5)</f>
        <v>46</v>
      </c>
      <c r="E232" s="26">
        <f>SUMIFS(INDEX(元データ_14項目!$D$2:$Q$1300,0,MATCH($B232,元データ_14項目!$D$1:$Q$1,0)),元データ_14項目!$A$2:$A$1300,$A232,元データ_14項目!$B$2:$B$1300,"本年",元データ_14項目!$C$2:$C$1300,E$5)</f>
        <v>79</v>
      </c>
      <c r="F232" s="26">
        <f>SUMIFS(INDEX(元データ_14項目!$D$2:$Q$1300,0,MATCH($B232,元データ_14項目!$D$1:$Q$1,0)),元データ_14項目!$A$2:$A$1300,$A232,元データ_14項目!$B$2:$B$1300,"本年",元データ_14項目!$C$2:$C$1300,F$5)</f>
        <v>67</v>
      </c>
      <c r="G232" s="26">
        <f>SUMIFS(INDEX(元データ_14項目!$D$2:$Q$1300,0,MATCH($B232,元データ_14項目!$D$1:$Q$1,0)),元データ_14項目!$A$2:$A$1300,$A232,元データ_14項目!$B$2:$B$1300,"本年",元データ_14項目!$C$2:$C$1300,G$5)</f>
        <v>56</v>
      </c>
      <c r="H232" s="26">
        <f>SUMIFS(INDEX(元データ_14項目!$D$2:$Q$1300,0,MATCH($B232,元データ_14項目!$D$1:$Q$1,0)),元データ_14項目!$A$2:$A$1300,$A232,元データ_14項目!$B$2:$B$1300,"本年",元データ_14項目!$C$2:$C$1300,H$5)</f>
        <v>30</v>
      </c>
      <c r="I232" s="26">
        <f>SUMIFS(INDEX(元データ_14項目!$D$2:$Q$1300,0,MATCH($B232,元データ_14項目!$D$1:$Q$1,0)),元データ_14項目!$A$2:$A$1300,$A232,元データ_14項目!$B$2:$B$1300,"本年",元データ_14項目!$C$2:$C$1300,I$5)</f>
        <v>9</v>
      </c>
      <c r="J232" s="26">
        <f>SUMIFS(INDEX(元データ_14項目!$D$2:$Q$1300,0,MATCH($B232,元データ_14項目!$D$1:$Q$1,0)),元データ_14項目!$A$2:$A$1300,$A232,元データ_14項目!$B$2:$B$1300,"本年",元データ_14項目!$C$2:$C$1300,J$5)</f>
        <v>59</v>
      </c>
      <c r="K232" s="26">
        <f>SUMIFS(INDEX(元データ_14項目!$D$2:$Q$1300,0,MATCH($B232,元データ_14項目!$D$1:$Q$1,0)),元データ_14項目!$A$2:$A$1300,$A232,元データ_14項目!$B$2:$B$1300,"本年",元データ_14項目!$C$2:$C$1300,K$5)</f>
        <v>76</v>
      </c>
      <c r="L232" s="26">
        <f>SUMIFS(INDEX(元データ_14項目!$D$2:$Q$1300,0,MATCH($B232,元データ_14項目!$D$1:$Q$1,0)),元データ_14項目!$A$2:$A$1300,$A232,元データ_14項目!$B$2:$B$1300,"本年",元データ_14項目!$C$2:$C$1300,L$5)</f>
        <v>47</v>
      </c>
      <c r="M232" s="26">
        <f>SUMIFS(INDEX(元データ_14項目!$D$2:$Q$1300,0,MATCH($B232,元データ_14項目!$D$1:$Q$1,0)),元データ_14項目!$A$2:$A$1300,$A232,元データ_14項目!$B$2:$B$1300,"本年",元データ_14項目!$C$2:$C$1300,M$5)</f>
        <v>64</v>
      </c>
      <c r="N232" s="26">
        <f>SUMIFS(INDEX(元データ_14項目!$D$2:$Q$1300,0,MATCH($B232,元データ_14項目!$D$1:$Q$1,0)),元データ_14項目!$A$2:$A$1300,$A232,元データ_14項目!$B$2:$B$1300,"本年",元データ_14項目!$C$2:$C$1300,N$5)</f>
        <v>47</v>
      </c>
      <c r="O232" s="26">
        <f t="shared" si="6"/>
        <v>622</v>
      </c>
      <c r="P232" s="26">
        <f>SUMIFS(INDEX(元データ_14項目!$D$2:$Q$1300,0,MATCH($B232,元データ_14項目!$D$1:$Q$1,0)),元データ_14項目!$A$2:$A$1300,$A232,元データ_14項目!$B$2:$B$1300,"前年")</f>
        <v>647</v>
      </c>
      <c r="Q232" s="7">
        <f t="shared" si="7"/>
        <v>0.96136012364760437</v>
      </c>
    </row>
    <row r="233" spans="1:17" x14ac:dyDescent="0.45">
      <c r="A233" t="s">
        <v>51</v>
      </c>
      <c r="B233" t="s">
        <v>90</v>
      </c>
      <c r="C233" s="26">
        <f>SUMIFS(INDEX(元データ_14項目!$D$2:$Q$1300,0,MATCH($B233,元データ_14項目!$D$1:$Q$1,0)),元データ_14項目!$A$2:$A$1300,$A233,元データ_14項目!$B$2:$B$1300,"本年",元データ_14項目!$C$2:$C$1300,C$5)</f>
        <v>86</v>
      </c>
      <c r="D233" s="26">
        <f>SUMIFS(INDEX(元データ_14項目!$D$2:$Q$1300,0,MATCH($B233,元データ_14項目!$D$1:$Q$1,0)),元データ_14項目!$A$2:$A$1300,$A233,元データ_14項目!$B$2:$B$1300,"本年",元データ_14項目!$C$2:$C$1300,D$5)</f>
        <v>67</v>
      </c>
      <c r="E233" s="26">
        <f>SUMIFS(INDEX(元データ_14項目!$D$2:$Q$1300,0,MATCH($B233,元データ_14項目!$D$1:$Q$1,0)),元データ_14項目!$A$2:$A$1300,$A233,元データ_14項目!$B$2:$B$1300,"本年",元データ_14項目!$C$2:$C$1300,E$5)</f>
        <v>102</v>
      </c>
      <c r="F233" s="26">
        <f>SUMIFS(INDEX(元データ_14項目!$D$2:$Q$1300,0,MATCH($B233,元データ_14項目!$D$1:$Q$1,0)),元データ_14項目!$A$2:$A$1300,$A233,元データ_14項目!$B$2:$B$1300,"本年",元データ_14項目!$C$2:$C$1300,F$5)</f>
        <v>187</v>
      </c>
      <c r="G233" s="26">
        <f>SUMIFS(INDEX(元データ_14項目!$D$2:$Q$1300,0,MATCH($B233,元データ_14項目!$D$1:$Q$1,0)),元データ_14項目!$A$2:$A$1300,$A233,元データ_14項目!$B$2:$B$1300,"本年",元データ_14項目!$C$2:$C$1300,G$5)</f>
        <v>256</v>
      </c>
      <c r="H233" s="26">
        <f>SUMIFS(INDEX(元データ_14項目!$D$2:$Q$1300,0,MATCH($B233,元データ_14項目!$D$1:$Q$1,0)),元データ_14項目!$A$2:$A$1300,$A233,元データ_14項目!$B$2:$B$1300,"本年",元データ_14項目!$C$2:$C$1300,H$5)</f>
        <v>197</v>
      </c>
      <c r="I233" s="26">
        <f>SUMIFS(INDEX(元データ_14項目!$D$2:$Q$1300,0,MATCH($B233,元データ_14項目!$D$1:$Q$1,0)),元データ_14項目!$A$2:$A$1300,$A233,元データ_14項目!$B$2:$B$1300,"本年",元データ_14項目!$C$2:$C$1300,I$5)</f>
        <v>130</v>
      </c>
      <c r="J233" s="26">
        <f>SUMIFS(INDEX(元データ_14項目!$D$2:$Q$1300,0,MATCH($B233,元データ_14項目!$D$1:$Q$1,0)),元データ_14項目!$A$2:$A$1300,$A233,元データ_14項目!$B$2:$B$1300,"本年",元データ_14項目!$C$2:$C$1300,J$5)</f>
        <v>273</v>
      </c>
      <c r="K233" s="26">
        <f>SUMIFS(INDEX(元データ_14項目!$D$2:$Q$1300,0,MATCH($B233,元データ_14項目!$D$1:$Q$1,0)),元データ_14項目!$A$2:$A$1300,$A233,元データ_14項目!$B$2:$B$1300,"本年",元データ_14項目!$C$2:$C$1300,K$5)</f>
        <v>356</v>
      </c>
      <c r="L233" s="26">
        <f>SUMIFS(INDEX(元データ_14項目!$D$2:$Q$1300,0,MATCH($B233,元データ_14項目!$D$1:$Q$1,0)),元データ_14項目!$A$2:$A$1300,$A233,元データ_14項目!$B$2:$B$1300,"本年",元データ_14項目!$C$2:$C$1300,L$5)</f>
        <v>276</v>
      </c>
      <c r="M233" s="26">
        <f>SUMIFS(INDEX(元データ_14項目!$D$2:$Q$1300,0,MATCH($B233,元データ_14項目!$D$1:$Q$1,0)),元データ_14項目!$A$2:$A$1300,$A233,元データ_14項目!$B$2:$B$1300,"本年",元データ_14項目!$C$2:$C$1300,M$5)</f>
        <v>191</v>
      </c>
      <c r="N233" s="26">
        <f>SUMIFS(INDEX(元データ_14項目!$D$2:$Q$1300,0,MATCH($B233,元データ_14項目!$D$1:$Q$1,0)),元データ_14項目!$A$2:$A$1300,$A233,元データ_14項目!$B$2:$B$1300,"本年",元データ_14項目!$C$2:$C$1300,N$5)</f>
        <v>115</v>
      </c>
      <c r="O233" s="26">
        <f t="shared" si="6"/>
        <v>2236</v>
      </c>
      <c r="P233" s="26">
        <f>SUMIFS(INDEX(元データ_14項目!$D$2:$Q$1300,0,MATCH($B233,元データ_14項目!$D$1:$Q$1,0)),元データ_14項目!$A$2:$A$1300,$A233,元データ_14項目!$B$2:$B$1300,"前年")</f>
        <v>2447</v>
      </c>
      <c r="Q233" s="7">
        <f t="shared" si="7"/>
        <v>0.91377196567225172</v>
      </c>
    </row>
    <row r="234" spans="1:17" x14ac:dyDescent="0.45">
      <c r="A234" t="s">
        <v>51</v>
      </c>
      <c r="B234" t="s">
        <v>91</v>
      </c>
      <c r="C234" s="26">
        <f>SUMIFS(INDEX(元データ_14項目!$D$2:$Q$1300,0,MATCH($B234,元データ_14項目!$D$1:$Q$1,0)),元データ_14項目!$A$2:$A$1300,$A234,元データ_14項目!$B$2:$B$1300,"本年",元データ_14項目!$C$2:$C$1300,C$5)</f>
        <v>32</v>
      </c>
      <c r="D234" s="26">
        <f>SUMIFS(INDEX(元データ_14項目!$D$2:$Q$1300,0,MATCH($B234,元データ_14項目!$D$1:$Q$1,0)),元データ_14項目!$A$2:$A$1300,$A234,元データ_14項目!$B$2:$B$1300,"本年",元データ_14項目!$C$2:$C$1300,D$5)</f>
        <v>60</v>
      </c>
      <c r="E234" s="26">
        <f>SUMIFS(INDEX(元データ_14項目!$D$2:$Q$1300,0,MATCH($B234,元データ_14項目!$D$1:$Q$1,0)),元データ_14項目!$A$2:$A$1300,$A234,元データ_14項目!$B$2:$B$1300,"本年",元データ_14項目!$C$2:$C$1300,E$5)</f>
        <v>112</v>
      </c>
      <c r="F234" s="26">
        <f>SUMIFS(INDEX(元データ_14項目!$D$2:$Q$1300,0,MATCH($B234,元データ_14項目!$D$1:$Q$1,0)),元データ_14項目!$A$2:$A$1300,$A234,元データ_14項目!$B$2:$B$1300,"本年",元データ_14項目!$C$2:$C$1300,F$5)</f>
        <v>106</v>
      </c>
      <c r="G234" s="26">
        <f>SUMIFS(INDEX(元データ_14項目!$D$2:$Q$1300,0,MATCH($B234,元データ_14項目!$D$1:$Q$1,0)),元データ_14項目!$A$2:$A$1300,$A234,元データ_14項目!$B$2:$B$1300,"本年",元データ_14項目!$C$2:$C$1300,G$5)</f>
        <v>50</v>
      </c>
      <c r="H234" s="26">
        <f>SUMIFS(INDEX(元データ_14項目!$D$2:$Q$1300,0,MATCH($B234,元データ_14項目!$D$1:$Q$1,0)),元データ_14項目!$A$2:$A$1300,$A234,元データ_14項目!$B$2:$B$1300,"本年",元データ_14項目!$C$2:$C$1300,H$5)</f>
        <v>19</v>
      </c>
      <c r="I234" s="26">
        <f>SUMIFS(INDEX(元データ_14項目!$D$2:$Q$1300,0,MATCH($B234,元データ_14項目!$D$1:$Q$1,0)),元データ_14項目!$A$2:$A$1300,$A234,元データ_14項目!$B$2:$B$1300,"本年",元データ_14項目!$C$2:$C$1300,I$5)</f>
        <v>56</v>
      </c>
      <c r="J234" s="26">
        <f>SUMIFS(INDEX(元データ_14項目!$D$2:$Q$1300,0,MATCH($B234,元データ_14項目!$D$1:$Q$1,0)),元データ_14項目!$A$2:$A$1300,$A234,元データ_14項目!$B$2:$B$1300,"本年",元データ_14項目!$C$2:$C$1300,J$5)</f>
        <v>27</v>
      </c>
      <c r="K234" s="26">
        <f>SUMIFS(INDEX(元データ_14項目!$D$2:$Q$1300,0,MATCH($B234,元データ_14項目!$D$1:$Q$1,0)),元データ_14項目!$A$2:$A$1300,$A234,元データ_14項目!$B$2:$B$1300,"本年",元データ_14項目!$C$2:$C$1300,K$5)</f>
        <v>44</v>
      </c>
      <c r="L234" s="26">
        <f>SUMIFS(INDEX(元データ_14項目!$D$2:$Q$1300,0,MATCH($B234,元データ_14項目!$D$1:$Q$1,0)),元データ_14項目!$A$2:$A$1300,$A234,元データ_14項目!$B$2:$B$1300,"本年",元データ_14項目!$C$2:$C$1300,L$5)</f>
        <v>62</v>
      </c>
      <c r="M234" s="26">
        <f>SUMIFS(INDEX(元データ_14項目!$D$2:$Q$1300,0,MATCH($B234,元データ_14項目!$D$1:$Q$1,0)),元データ_14項目!$A$2:$A$1300,$A234,元データ_14項目!$B$2:$B$1300,"本年",元データ_14項目!$C$2:$C$1300,M$5)</f>
        <v>94</v>
      </c>
      <c r="N234" s="26">
        <f>SUMIFS(INDEX(元データ_14項目!$D$2:$Q$1300,0,MATCH($B234,元データ_14項目!$D$1:$Q$1,0)),元データ_14項目!$A$2:$A$1300,$A234,元データ_14項目!$B$2:$B$1300,"本年",元データ_14項目!$C$2:$C$1300,N$5)</f>
        <v>38</v>
      </c>
      <c r="O234" s="26">
        <f t="shared" si="6"/>
        <v>700</v>
      </c>
      <c r="P234" s="26">
        <f>SUMIFS(INDEX(元データ_14項目!$D$2:$Q$1300,0,MATCH($B234,元データ_14項目!$D$1:$Q$1,0)),元データ_14項目!$A$2:$A$1300,$A234,元データ_14項目!$B$2:$B$1300,"前年")</f>
        <v>693</v>
      </c>
      <c r="Q234" s="7">
        <f t="shared" si="7"/>
        <v>1.0101010101010102</v>
      </c>
    </row>
    <row r="235" spans="1:17" x14ac:dyDescent="0.45">
      <c r="A235" t="s">
        <v>51</v>
      </c>
      <c r="B235" t="s">
        <v>28</v>
      </c>
      <c r="C235" s="26">
        <f>SUMIFS(INDEX(元データ_14項目!$D$2:$Q$1300,0,MATCH($B235,元データ_14項目!$D$1:$Q$1,0)),元データ_14項目!$A$2:$A$1300,$A235,元データ_14項目!$B$2:$B$1300,"本年",元データ_14項目!$C$2:$C$1300,C$5)</f>
        <v>382</v>
      </c>
      <c r="D235" s="26">
        <f>SUMIFS(INDEX(元データ_14項目!$D$2:$Q$1300,0,MATCH($B235,元データ_14項目!$D$1:$Q$1,0)),元データ_14項目!$A$2:$A$1300,$A235,元データ_14項目!$B$2:$B$1300,"本年",元データ_14項目!$C$2:$C$1300,D$5)</f>
        <v>440</v>
      </c>
      <c r="E235" s="26">
        <f>SUMIFS(INDEX(元データ_14項目!$D$2:$Q$1300,0,MATCH($B235,元データ_14項目!$D$1:$Q$1,0)),元データ_14項目!$A$2:$A$1300,$A235,元データ_14項目!$B$2:$B$1300,"本年",元データ_14項目!$C$2:$C$1300,E$5)</f>
        <v>478</v>
      </c>
      <c r="F235" s="26">
        <f>SUMIFS(INDEX(元データ_14項目!$D$2:$Q$1300,0,MATCH($B235,元データ_14項目!$D$1:$Q$1,0)),元データ_14項目!$A$2:$A$1300,$A235,元データ_14項目!$B$2:$B$1300,"本年",元データ_14項目!$C$2:$C$1300,F$5)</f>
        <v>474</v>
      </c>
      <c r="G235" s="26">
        <f>SUMIFS(INDEX(元データ_14項目!$D$2:$Q$1300,0,MATCH($B235,元データ_14項目!$D$1:$Q$1,0)),元データ_14項目!$A$2:$A$1300,$A235,元データ_14項目!$B$2:$B$1300,"本年",元データ_14項目!$C$2:$C$1300,G$5)</f>
        <v>366</v>
      </c>
      <c r="H235" s="26">
        <f>SUMIFS(INDEX(元データ_14項目!$D$2:$Q$1300,0,MATCH($B235,元データ_14項目!$D$1:$Q$1,0)),元データ_14項目!$A$2:$A$1300,$A235,元データ_14項目!$B$2:$B$1300,"本年",元データ_14項目!$C$2:$C$1300,H$5)</f>
        <v>183</v>
      </c>
      <c r="I235" s="26">
        <f>SUMIFS(INDEX(元データ_14項目!$D$2:$Q$1300,0,MATCH($B235,元データ_14項目!$D$1:$Q$1,0)),元データ_14項目!$A$2:$A$1300,$A235,元データ_14項目!$B$2:$B$1300,"本年",元データ_14項目!$C$2:$C$1300,I$5)</f>
        <v>235</v>
      </c>
      <c r="J235" s="26">
        <f>SUMIFS(INDEX(元データ_14項目!$D$2:$Q$1300,0,MATCH($B235,元データ_14項目!$D$1:$Q$1,0)),元データ_14項目!$A$2:$A$1300,$A235,元データ_14項目!$B$2:$B$1300,"本年",元データ_14項目!$C$2:$C$1300,J$5)</f>
        <v>280</v>
      </c>
      <c r="K235" s="26">
        <f>SUMIFS(INDEX(元データ_14項目!$D$2:$Q$1300,0,MATCH($B235,元データ_14項目!$D$1:$Q$1,0)),元データ_14項目!$A$2:$A$1300,$A235,元データ_14項目!$B$2:$B$1300,"本年",元データ_14項目!$C$2:$C$1300,K$5)</f>
        <v>338</v>
      </c>
      <c r="L235" s="26">
        <f>SUMIFS(INDEX(元データ_14項目!$D$2:$Q$1300,0,MATCH($B235,元データ_14項目!$D$1:$Q$1,0)),元データ_14項目!$A$2:$A$1300,$A235,元データ_14項目!$B$2:$B$1300,"本年",元データ_14項目!$C$2:$C$1300,L$5)</f>
        <v>347</v>
      </c>
      <c r="M235" s="26">
        <f>SUMIFS(INDEX(元データ_14項目!$D$2:$Q$1300,0,MATCH($B235,元データ_14項目!$D$1:$Q$1,0)),元データ_14項目!$A$2:$A$1300,$A235,元データ_14項目!$B$2:$B$1300,"本年",元データ_14項目!$C$2:$C$1300,M$5)</f>
        <v>405</v>
      </c>
      <c r="N235" s="26">
        <f>SUMIFS(INDEX(元データ_14項目!$D$2:$Q$1300,0,MATCH($B235,元データ_14項目!$D$1:$Q$1,0)),元データ_14項目!$A$2:$A$1300,$A235,元データ_14項目!$B$2:$B$1300,"本年",元データ_14項目!$C$2:$C$1300,N$5)</f>
        <v>376</v>
      </c>
      <c r="O235" s="26">
        <f t="shared" si="6"/>
        <v>4304</v>
      </c>
      <c r="P235" s="26">
        <f>SUMIFS(INDEX(元データ_14項目!$D$2:$Q$1300,0,MATCH($B235,元データ_14項目!$D$1:$Q$1,0)),元データ_14項目!$A$2:$A$1300,$A235,元データ_14項目!$B$2:$B$1300,"前年")</f>
        <v>4224</v>
      </c>
      <c r="Q235" s="7">
        <f t="shared" si="7"/>
        <v>1.018939393939394</v>
      </c>
    </row>
    <row r="236" spans="1:17" x14ac:dyDescent="0.45">
      <c r="A236" t="s">
        <v>51</v>
      </c>
      <c r="B236" t="s">
        <v>92</v>
      </c>
      <c r="C236" s="26">
        <f>SUMIFS(INDEX(元データ_14項目!$D$2:$Q$1300,0,MATCH($B236,元データ_14項目!$D$1:$Q$1,0)),元データ_14項目!$A$2:$A$1300,$A236,元データ_14項目!$B$2:$B$1300,"本年",元データ_14項目!$C$2:$C$1300,C$5)</f>
        <v>20</v>
      </c>
      <c r="D236" s="26">
        <f>SUMIFS(INDEX(元データ_14項目!$D$2:$Q$1300,0,MATCH($B236,元データ_14項目!$D$1:$Q$1,0)),元データ_14項目!$A$2:$A$1300,$A236,元データ_14項目!$B$2:$B$1300,"本年",元データ_14項目!$C$2:$C$1300,D$5)</f>
        <v>37</v>
      </c>
      <c r="E236" s="26">
        <f>SUMIFS(INDEX(元データ_14項目!$D$2:$Q$1300,0,MATCH($B236,元データ_14項目!$D$1:$Q$1,0)),元データ_14項目!$A$2:$A$1300,$A236,元データ_14項目!$B$2:$B$1300,"本年",元データ_14項目!$C$2:$C$1300,E$5)</f>
        <v>61</v>
      </c>
      <c r="F236" s="26">
        <f>SUMIFS(INDEX(元データ_14項目!$D$2:$Q$1300,0,MATCH($B236,元データ_14項目!$D$1:$Q$1,0)),元データ_14項目!$A$2:$A$1300,$A236,元データ_14項目!$B$2:$B$1300,"本年",元データ_14項目!$C$2:$C$1300,F$5)</f>
        <v>49</v>
      </c>
      <c r="G236" s="26">
        <f>SUMIFS(INDEX(元データ_14項目!$D$2:$Q$1300,0,MATCH($B236,元データ_14項目!$D$1:$Q$1,0)),元データ_14項目!$A$2:$A$1300,$A236,元データ_14項目!$B$2:$B$1300,"本年",元データ_14項目!$C$2:$C$1300,G$5)</f>
        <v>32</v>
      </c>
      <c r="H236" s="26">
        <f>SUMIFS(INDEX(元データ_14項目!$D$2:$Q$1300,0,MATCH($B236,元データ_14項目!$D$1:$Q$1,0)),元データ_14項目!$A$2:$A$1300,$A236,元データ_14項目!$B$2:$B$1300,"本年",元データ_14項目!$C$2:$C$1300,H$5)</f>
        <v>23</v>
      </c>
      <c r="I236" s="26">
        <f>SUMIFS(INDEX(元データ_14項目!$D$2:$Q$1300,0,MATCH($B236,元データ_14項目!$D$1:$Q$1,0)),元データ_14項目!$A$2:$A$1300,$A236,元データ_14項目!$B$2:$B$1300,"本年",元データ_14項目!$C$2:$C$1300,I$5)</f>
        <v>12</v>
      </c>
      <c r="J236" s="26">
        <f>SUMIFS(INDEX(元データ_14項目!$D$2:$Q$1300,0,MATCH($B236,元データ_14項目!$D$1:$Q$1,0)),元データ_14項目!$A$2:$A$1300,$A236,元データ_14項目!$B$2:$B$1300,"本年",元データ_14項目!$C$2:$C$1300,J$5)</f>
        <v>24</v>
      </c>
      <c r="K236" s="26">
        <f>SUMIFS(INDEX(元データ_14項目!$D$2:$Q$1300,0,MATCH($B236,元データ_14項目!$D$1:$Q$1,0)),元データ_14項目!$A$2:$A$1300,$A236,元データ_14項目!$B$2:$B$1300,"本年",元データ_14項目!$C$2:$C$1300,K$5)</f>
        <v>114</v>
      </c>
      <c r="L236" s="26">
        <f>SUMIFS(INDEX(元データ_14項目!$D$2:$Q$1300,0,MATCH($B236,元データ_14項目!$D$1:$Q$1,0)),元データ_14項目!$A$2:$A$1300,$A236,元データ_14項目!$B$2:$B$1300,"本年",元データ_14項目!$C$2:$C$1300,L$5)</f>
        <v>56</v>
      </c>
      <c r="M236" s="26">
        <f>SUMIFS(INDEX(元データ_14項目!$D$2:$Q$1300,0,MATCH($B236,元データ_14項目!$D$1:$Q$1,0)),元データ_14項目!$A$2:$A$1300,$A236,元データ_14項目!$B$2:$B$1300,"本年",元データ_14項目!$C$2:$C$1300,M$5)</f>
        <v>37</v>
      </c>
      <c r="N236" s="26">
        <f>SUMIFS(INDEX(元データ_14項目!$D$2:$Q$1300,0,MATCH($B236,元データ_14項目!$D$1:$Q$1,0)),元データ_14項目!$A$2:$A$1300,$A236,元データ_14項目!$B$2:$B$1300,"本年",元データ_14項目!$C$2:$C$1300,N$5)</f>
        <v>21</v>
      </c>
      <c r="O236" s="26">
        <f t="shared" si="6"/>
        <v>486</v>
      </c>
      <c r="P236" s="26">
        <f>SUMIFS(INDEX(元データ_14項目!$D$2:$Q$1300,0,MATCH($B236,元データ_14項目!$D$1:$Q$1,0)),元データ_14項目!$A$2:$A$1300,$A236,元データ_14項目!$B$2:$B$1300,"前年")</f>
        <v>554</v>
      </c>
      <c r="Q236" s="7">
        <f t="shared" si="7"/>
        <v>0.87725631768953072</v>
      </c>
    </row>
    <row r="237" spans="1:17" x14ac:dyDescent="0.45">
      <c r="A237" t="s">
        <v>51</v>
      </c>
      <c r="B237" t="s">
        <v>93</v>
      </c>
      <c r="C237" s="26">
        <f>SUMIFS(INDEX(元データ_14項目!$D$2:$Q$1300,0,MATCH($B237,元データ_14項目!$D$1:$Q$1,0)),元データ_14項目!$A$2:$A$1300,$A237,元データ_14項目!$B$2:$B$1300,"本年",元データ_14項目!$C$2:$C$1300,C$5)</f>
        <v>46</v>
      </c>
      <c r="D237" s="26">
        <f>SUMIFS(INDEX(元データ_14項目!$D$2:$Q$1300,0,MATCH($B237,元データ_14項目!$D$1:$Q$1,0)),元データ_14項目!$A$2:$A$1300,$A237,元データ_14項目!$B$2:$B$1300,"本年",元データ_14項目!$C$2:$C$1300,D$5)</f>
        <v>26</v>
      </c>
      <c r="E237" s="26">
        <f>SUMIFS(INDEX(元データ_14項目!$D$2:$Q$1300,0,MATCH($B237,元データ_14項目!$D$1:$Q$1,0)),元データ_14項目!$A$2:$A$1300,$A237,元データ_14項目!$B$2:$B$1300,"本年",元データ_14項目!$C$2:$C$1300,E$5)</f>
        <v>49</v>
      </c>
      <c r="F237" s="26">
        <f>SUMIFS(INDEX(元データ_14項目!$D$2:$Q$1300,0,MATCH($B237,元データ_14項目!$D$1:$Q$1,0)),元データ_14項目!$A$2:$A$1300,$A237,元データ_14項目!$B$2:$B$1300,"本年",元データ_14項目!$C$2:$C$1300,F$5)</f>
        <v>81</v>
      </c>
      <c r="G237" s="26">
        <f>SUMIFS(INDEX(元データ_14項目!$D$2:$Q$1300,0,MATCH($B237,元データ_14項目!$D$1:$Q$1,0)),元データ_14項目!$A$2:$A$1300,$A237,元データ_14項目!$B$2:$B$1300,"本年",元データ_14項目!$C$2:$C$1300,G$5)</f>
        <v>99</v>
      </c>
      <c r="H237" s="26">
        <f>SUMIFS(INDEX(元データ_14項目!$D$2:$Q$1300,0,MATCH($B237,元データ_14項目!$D$1:$Q$1,0)),元データ_14項目!$A$2:$A$1300,$A237,元データ_14項目!$B$2:$B$1300,"本年",元データ_14項目!$C$2:$C$1300,H$5)</f>
        <v>104</v>
      </c>
      <c r="I237" s="26">
        <f>SUMIFS(INDEX(元データ_14項目!$D$2:$Q$1300,0,MATCH($B237,元データ_14項目!$D$1:$Q$1,0)),元データ_14項目!$A$2:$A$1300,$A237,元データ_14項目!$B$2:$B$1300,"本年",元データ_14項目!$C$2:$C$1300,I$5)</f>
        <v>68</v>
      </c>
      <c r="J237" s="26">
        <f>SUMIFS(INDEX(元データ_14項目!$D$2:$Q$1300,0,MATCH($B237,元データ_14項目!$D$1:$Q$1,0)),元データ_14項目!$A$2:$A$1300,$A237,元データ_14項目!$B$2:$B$1300,"本年",元データ_14項目!$C$2:$C$1300,J$5)</f>
        <v>145</v>
      </c>
      <c r="K237" s="26">
        <f>SUMIFS(INDEX(元データ_14項目!$D$2:$Q$1300,0,MATCH($B237,元データ_14項目!$D$1:$Q$1,0)),元データ_14項目!$A$2:$A$1300,$A237,元データ_14項目!$B$2:$B$1300,"本年",元データ_14項目!$C$2:$C$1300,K$5)</f>
        <v>473</v>
      </c>
      <c r="L237" s="26">
        <f>SUMIFS(INDEX(元データ_14項目!$D$2:$Q$1300,0,MATCH($B237,元データ_14項目!$D$1:$Q$1,0)),元データ_14項目!$A$2:$A$1300,$A237,元データ_14項目!$B$2:$B$1300,"本年",元データ_14項目!$C$2:$C$1300,L$5)</f>
        <v>200</v>
      </c>
      <c r="M237" s="26">
        <f>SUMIFS(INDEX(元データ_14項目!$D$2:$Q$1300,0,MATCH($B237,元データ_14項目!$D$1:$Q$1,0)),元データ_14項目!$A$2:$A$1300,$A237,元データ_14項目!$B$2:$B$1300,"本年",元データ_14項目!$C$2:$C$1300,M$5)</f>
        <v>93</v>
      </c>
      <c r="N237" s="26">
        <f>SUMIFS(INDEX(元データ_14項目!$D$2:$Q$1300,0,MATCH($B237,元データ_14項目!$D$1:$Q$1,0)),元データ_14項目!$A$2:$A$1300,$A237,元データ_14項目!$B$2:$B$1300,"本年",元データ_14項目!$C$2:$C$1300,N$5)</f>
        <v>36</v>
      </c>
      <c r="O237" s="26">
        <f t="shared" si="6"/>
        <v>1420</v>
      </c>
      <c r="P237" s="26">
        <f>SUMIFS(INDEX(元データ_14項目!$D$2:$Q$1300,0,MATCH($B237,元データ_14項目!$D$1:$Q$1,0)),元データ_14項目!$A$2:$A$1300,$A237,元データ_14項目!$B$2:$B$1300,"前年")</f>
        <v>1366</v>
      </c>
      <c r="Q237" s="7">
        <f t="shared" si="7"/>
        <v>1.0395314787701317</v>
      </c>
    </row>
    <row r="238" spans="1:17" x14ac:dyDescent="0.45">
      <c r="A238" t="s">
        <v>51</v>
      </c>
      <c r="B238" t="s">
        <v>94</v>
      </c>
      <c r="C238" s="26">
        <f>SUMIFS(INDEX(元データ_14項目!$D$2:$Q$1300,0,MATCH($B238,元データ_14項目!$D$1:$Q$1,0)),元データ_14項目!$A$2:$A$1300,$A238,元データ_14項目!$B$2:$B$1300,"本年",元データ_14項目!$C$2:$C$1300,C$5)</f>
        <v>18</v>
      </c>
      <c r="D238" s="26">
        <f>SUMIFS(INDEX(元データ_14項目!$D$2:$Q$1300,0,MATCH($B238,元データ_14項目!$D$1:$Q$1,0)),元データ_14項目!$A$2:$A$1300,$A238,元データ_14項目!$B$2:$B$1300,"本年",元データ_14項目!$C$2:$C$1300,D$5)</f>
        <v>23</v>
      </c>
      <c r="E238" s="26">
        <f>SUMIFS(INDEX(元データ_14項目!$D$2:$Q$1300,0,MATCH($B238,元データ_14項目!$D$1:$Q$1,0)),元データ_14項目!$A$2:$A$1300,$A238,元データ_14項目!$B$2:$B$1300,"本年",元データ_14項目!$C$2:$C$1300,E$5)</f>
        <v>43</v>
      </c>
      <c r="F238" s="26">
        <f>SUMIFS(INDEX(元データ_14項目!$D$2:$Q$1300,0,MATCH($B238,元データ_14項目!$D$1:$Q$1,0)),元データ_14項目!$A$2:$A$1300,$A238,元データ_14項目!$B$2:$B$1300,"本年",元データ_14項目!$C$2:$C$1300,F$5)</f>
        <v>31</v>
      </c>
      <c r="G238" s="26">
        <f>SUMIFS(INDEX(元データ_14項目!$D$2:$Q$1300,0,MATCH($B238,元データ_14項目!$D$1:$Q$1,0)),元データ_14項目!$A$2:$A$1300,$A238,元データ_14項目!$B$2:$B$1300,"本年",元データ_14項目!$C$2:$C$1300,G$5)</f>
        <v>53</v>
      </c>
      <c r="H238" s="26">
        <f>SUMIFS(INDEX(元データ_14項目!$D$2:$Q$1300,0,MATCH($B238,元データ_14項目!$D$1:$Q$1,0)),元データ_14項目!$A$2:$A$1300,$A238,元データ_14項目!$B$2:$B$1300,"本年",元データ_14項目!$C$2:$C$1300,H$5)</f>
        <v>32</v>
      </c>
      <c r="I238" s="26">
        <f>SUMIFS(INDEX(元データ_14項目!$D$2:$Q$1300,0,MATCH($B238,元データ_14項目!$D$1:$Q$1,0)),元データ_14項目!$A$2:$A$1300,$A238,元データ_14項目!$B$2:$B$1300,"本年",元データ_14項目!$C$2:$C$1300,I$5)</f>
        <v>18</v>
      </c>
      <c r="J238" s="26">
        <f>SUMIFS(INDEX(元データ_14項目!$D$2:$Q$1300,0,MATCH($B238,元データ_14項目!$D$1:$Q$1,0)),元データ_14項目!$A$2:$A$1300,$A238,元データ_14項目!$B$2:$B$1300,"本年",元データ_14項目!$C$2:$C$1300,J$5)</f>
        <v>46</v>
      </c>
      <c r="K238" s="26">
        <f>SUMIFS(INDEX(元データ_14項目!$D$2:$Q$1300,0,MATCH($B238,元データ_14項目!$D$1:$Q$1,0)),元データ_14項目!$A$2:$A$1300,$A238,元データ_14項目!$B$2:$B$1300,"本年",元データ_14項目!$C$2:$C$1300,K$5)</f>
        <v>173</v>
      </c>
      <c r="L238" s="26">
        <f>SUMIFS(INDEX(元データ_14項目!$D$2:$Q$1300,0,MATCH($B238,元データ_14項目!$D$1:$Q$1,0)),元データ_14項目!$A$2:$A$1300,$A238,元データ_14項目!$B$2:$B$1300,"本年",元データ_14項目!$C$2:$C$1300,L$5)</f>
        <v>99</v>
      </c>
      <c r="M238" s="26">
        <f>SUMIFS(INDEX(元データ_14項目!$D$2:$Q$1300,0,MATCH($B238,元データ_14項目!$D$1:$Q$1,0)),元データ_14項目!$A$2:$A$1300,$A238,元データ_14項目!$B$2:$B$1300,"本年",元データ_14項目!$C$2:$C$1300,M$5)</f>
        <v>70</v>
      </c>
      <c r="N238" s="26">
        <f>SUMIFS(INDEX(元データ_14項目!$D$2:$Q$1300,0,MATCH($B238,元データ_14項目!$D$1:$Q$1,0)),元データ_14項目!$A$2:$A$1300,$A238,元データ_14項目!$B$2:$B$1300,"本年",元データ_14項目!$C$2:$C$1300,N$5)</f>
        <v>23</v>
      </c>
      <c r="O238" s="26">
        <f t="shared" si="6"/>
        <v>629</v>
      </c>
      <c r="P238" s="26">
        <f>SUMIFS(INDEX(元データ_14項目!$D$2:$Q$1300,0,MATCH($B238,元データ_14項目!$D$1:$Q$1,0)),元データ_14項目!$A$2:$A$1300,$A238,元データ_14項目!$B$2:$B$1300,"前年")</f>
        <v>628</v>
      </c>
      <c r="Q238" s="7">
        <f t="shared" si="7"/>
        <v>1.0015923566878981</v>
      </c>
    </row>
    <row r="239" spans="1:17" x14ac:dyDescent="0.45">
      <c r="A239" t="s">
        <v>51</v>
      </c>
      <c r="B239" t="s">
        <v>95</v>
      </c>
      <c r="C239" s="26">
        <f>SUMIFS(INDEX(元データ_14項目!$D$2:$Q$1300,0,MATCH($B239,元データ_14項目!$D$1:$Q$1,0)),元データ_14項目!$A$2:$A$1300,$A239,元データ_14項目!$B$2:$B$1300,"本年",元データ_14項目!$C$2:$C$1300,C$5)</f>
        <v>45</v>
      </c>
      <c r="D239" s="26">
        <f>SUMIFS(INDEX(元データ_14項目!$D$2:$Q$1300,0,MATCH($B239,元データ_14項目!$D$1:$Q$1,0)),元データ_14項目!$A$2:$A$1300,$A239,元データ_14項目!$B$2:$B$1300,"本年",元データ_14項目!$C$2:$C$1300,D$5)</f>
        <v>68</v>
      </c>
      <c r="E239" s="26">
        <f>SUMIFS(INDEX(元データ_14項目!$D$2:$Q$1300,0,MATCH($B239,元データ_14項目!$D$1:$Q$1,0)),元データ_14項目!$A$2:$A$1300,$A239,元データ_14項目!$B$2:$B$1300,"本年",元データ_14項目!$C$2:$C$1300,E$5)</f>
        <v>49</v>
      </c>
      <c r="F239" s="26">
        <f>SUMIFS(INDEX(元データ_14項目!$D$2:$Q$1300,0,MATCH($B239,元データ_14項目!$D$1:$Q$1,0)),元データ_14項目!$A$2:$A$1300,$A239,元データ_14項目!$B$2:$B$1300,"本年",元データ_14項目!$C$2:$C$1300,F$5)</f>
        <v>71</v>
      </c>
      <c r="G239" s="26">
        <f>SUMIFS(INDEX(元データ_14項目!$D$2:$Q$1300,0,MATCH($B239,元データ_14項目!$D$1:$Q$1,0)),元データ_14項目!$A$2:$A$1300,$A239,元データ_14項目!$B$2:$B$1300,"本年",元データ_14項目!$C$2:$C$1300,G$5)</f>
        <v>62</v>
      </c>
      <c r="H239" s="26">
        <f>SUMIFS(INDEX(元データ_14項目!$D$2:$Q$1300,0,MATCH($B239,元データ_14項目!$D$1:$Q$1,0)),元データ_14項目!$A$2:$A$1300,$A239,元データ_14項目!$B$2:$B$1300,"本年",元データ_14項目!$C$2:$C$1300,H$5)</f>
        <v>33</v>
      </c>
      <c r="I239" s="26">
        <f>SUMIFS(INDEX(元データ_14項目!$D$2:$Q$1300,0,MATCH($B239,元データ_14項目!$D$1:$Q$1,0)),元データ_14項目!$A$2:$A$1300,$A239,元データ_14項目!$B$2:$B$1300,"本年",元データ_14項目!$C$2:$C$1300,I$5)</f>
        <v>30</v>
      </c>
      <c r="J239" s="26">
        <f>SUMIFS(INDEX(元データ_14項目!$D$2:$Q$1300,0,MATCH($B239,元データ_14項目!$D$1:$Q$1,0)),元データ_14項目!$A$2:$A$1300,$A239,元データ_14項目!$B$2:$B$1300,"本年",元データ_14項目!$C$2:$C$1300,J$5)</f>
        <v>50</v>
      </c>
      <c r="K239" s="26">
        <f>SUMIFS(INDEX(元データ_14項目!$D$2:$Q$1300,0,MATCH($B239,元データ_14項目!$D$1:$Q$1,0)),元データ_14項目!$A$2:$A$1300,$A239,元データ_14項目!$B$2:$B$1300,"本年",元データ_14項目!$C$2:$C$1300,K$5)</f>
        <v>98</v>
      </c>
      <c r="L239" s="26">
        <f>SUMIFS(INDEX(元データ_14項目!$D$2:$Q$1300,0,MATCH($B239,元データ_14項目!$D$1:$Q$1,0)),元データ_14項目!$A$2:$A$1300,$A239,元データ_14項目!$B$2:$B$1300,"本年",元データ_14項目!$C$2:$C$1300,L$5)</f>
        <v>48</v>
      </c>
      <c r="M239" s="26">
        <f>SUMIFS(INDEX(元データ_14項目!$D$2:$Q$1300,0,MATCH($B239,元データ_14項目!$D$1:$Q$1,0)),元データ_14項目!$A$2:$A$1300,$A239,元データ_14項目!$B$2:$B$1300,"本年",元データ_14項目!$C$2:$C$1300,M$5)</f>
        <v>57</v>
      </c>
      <c r="N239" s="26">
        <f>SUMIFS(INDEX(元データ_14項目!$D$2:$Q$1300,0,MATCH($B239,元データ_14項目!$D$1:$Q$1,0)),元データ_14項目!$A$2:$A$1300,$A239,元データ_14項目!$B$2:$B$1300,"本年",元データ_14項目!$C$2:$C$1300,N$5)</f>
        <v>39</v>
      </c>
      <c r="O239" s="26">
        <f t="shared" si="6"/>
        <v>650</v>
      </c>
      <c r="P239" s="26">
        <f>SUMIFS(INDEX(元データ_14項目!$D$2:$Q$1300,0,MATCH($B239,元データ_14項目!$D$1:$Q$1,0)),元データ_14項目!$A$2:$A$1300,$A239,元データ_14項目!$B$2:$B$1300,"前年")</f>
        <v>601</v>
      </c>
      <c r="Q239" s="7">
        <f t="shared" si="7"/>
        <v>1.08153078202995</v>
      </c>
    </row>
    <row r="240" spans="1:17" x14ac:dyDescent="0.45">
      <c r="A240" t="s">
        <v>51</v>
      </c>
      <c r="B240" t="s">
        <v>96</v>
      </c>
      <c r="C240" s="26">
        <f>SUMIFS(INDEX(元データ_14項目!$D$2:$Q$1300,0,MATCH($B240,元データ_14項目!$D$1:$Q$1,0)),元データ_14項目!$A$2:$A$1300,$A240,元データ_14項目!$B$2:$B$1300,"本年",元データ_14項目!$C$2:$C$1300,C$5)</f>
        <v>27</v>
      </c>
      <c r="D240" s="26">
        <f>SUMIFS(INDEX(元データ_14項目!$D$2:$Q$1300,0,MATCH($B240,元データ_14項目!$D$1:$Q$1,0)),元データ_14項目!$A$2:$A$1300,$A240,元データ_14項目!$B$2:$B$1300,"本年",元データ_14項目!$C$2:$C$1300,D$5)</f>
        <v>24</v>
      </c>
      <c r="E240" s="26">
        <f>SUMIFS(INDEX(元データ_14項目!$D$2:$Q$1300,0,MATCH($B240,元データ_14項目!$D$1:$Q$1,0)),元データ_14項目!$A$2:$A$1300,$A240,元データ_14項目!$B$2:$B$1300,"本年",元データ_14項目!$C$2:$C$1300,E$5)</f>
        <v>48</v>
      </c>
      <c r="F240" s="26">
        <f>SUMIFS(INDEX(元データ_14項目!$D$2:$Q$1300,0,MATCH($B240,元データ_14項目!$D$1:$Q$1,0)),元データ_14項目!$A$2:$A$1300,$A240,元データ_14項目!$B$2:$B$1300,"本年",元データ_14項目!$C$2:$C$1300,F$5)</f>
        <v>75</v>
      </c>
      <c r="G240" s="26">
        <f>SUMIFS(INDEX(元データ_14項目!$D$2:$Q$1300,0,MATCH($B240,元データ_14項目!$D$1:$Q$1,0)),元データ_14項目!$A$2:$A$1300,$A240,元データ_14項目!$B$2:$B$1300,"本年",元データ_14項目!$C$2:$C$1300,G$5)</f>
        <v>75</v>
      </c>
      <c r="H240" s="26">
        <f>SUMIFS(INDEX(元データ_14項目!$D$2:$Q$1300,0,MATCH($B240,元データ_14項目!$D$1:$Q$1,0)),元データ_14項目!$A$2:$A$1300,$A240,元データ_14項目!$B$2:$B$1300,"本年",元データ_14項目!$C$2:$C$1300,H$5)</f>
        <v>53</v>
      </c>
      <c r="I240" s="26">
        <f>SUMIFS(INDEX(元データ_14項目!$D$2:$Q$1300,0,MATCH($B240,元データ_14項目!$D$1:$Q$1,0)),元データ_14項目!$A$2:$A$1300,$A240,元データ_14項目!$B$2:$B$1300,"本年",元データ_14項目!$C$2:$C$1300,I$5)</f>
        <v>51</v>
      </c>
      <c r="J240" s="26">
        <f>SUMIFS(INDEX(元データ_14項目!$D$2:$Q$1300,0,MATCH($B240,元データ_14項目!$D$1:$Q$1,0)),元データ_14項目!$A$2:$A$1300,$A240,元データ_14項目!$B$2:$B$1300,"本年",元データ_14項目!$C$2:$C$1300,J$5)</f>
        <v>211</v>
      </c>
      <c r="K240" s="26">
        <f>SUMIFS(INDEX(元データ_14項目!$D$2:$Q$1300,0,MATCH($B240,元データ_14項目!$D$1:$Q$1,0)),元データ_14項目!$A$2:$A$1300,$A240,元データ_14項目!$B$2:$B$1300,"本年",元データ_14項目!$C$2:$C$1300,K$5)</f>
        <v>499</v>
      </c>
      <c r="L240" s="26">
        <f>SUMIFS(INDEX(元データ_14項目!$D$2:$Q$1300,0,MATCH($B240,元データ_14項目!$D$1:$Q$1,0)),元データ_14項目!$A$2:$A$1300,$A240,元データ_14項目!$B$2:$B$1300,"本年",元データ_14項目!$C$2:$C$1300,L$5)</f>
        <v>261</v>
      </c>
      <c r="M240" s="26">
        <f>SUMIFS(INDEX(元データ_14項目!$D$2:$Q$1300,0,MATCH($B240,元データ_14項目!$D$1:$Q$1,0)),元データ_14項目!$A$2:$A$1300,$A240,元データ_14項目!$B$2:$B$1300,"本年",元データ_14項目!$C$2:$C$1300,M$5)</f>
        <v>126</v>
      </c>
      <c r="N240" s="26">
        <f>SUMIFS(INDEX(元データ_14項目!$D$2:$Q$1300,0,MATCH($B240,元データ_14項目!$D$1:$Q$1,0)),元データ_14項目!$A$2:$A$1300,$A240,元データ_14項目!$B$2:$B$1300,"本年",元データ_14項目!$C$2:$C$1300,N$5)</f>
        <v>28</v>
      </c>
      <c r="O240" s="26">
        <f t="shared" si="6"/>
        <v>1478</v>
      </c>
      <c r="P240" s="26">
        <f>SUMIFS(INDEX(元データ_14項目!$D$2:$Q$1300,0,MATCH($B240,元データ_14項目!$D$1:$Q$1,0)),元データ_14項目!$A$2:$A$1300,$A240,元データ_14項目!$B$2:$B$1300,"前年")</f>
        <v>1494</v>
      </c>
      <c r="Q240" s="7">
        <f t="shared" si="7"/>
        <v>0.98929049531459168</v>
      </c>
    </row>
    <row r="241" spans="1:17" x14ac:dyDescent="0.45">
      <c r="A241" t="s">
        <v>51</v>
      </c>
      <c r="B241" t="s">
        <v>97</v>
      </c>
      <c r="C241" s="26">
        <f>SUMIFS(INDEX(元データ_14項目!$D$2:$Q$1300,0,MATCH($B241,元データ_14項目!$D$1:$Q$1,0)),元データ_14項目!$A$2:$A$1300,$A241,元データ_14項目!$B$2:$B$1300,"本年",元データ_14項目!$C$2:$C$1300,C$5)</f>
        <v>25</v>
      </c>
      <c r="D241" s="26">
        <f>SUMIFS(INDEX(元データ_14項目!$D$2:$Q$1300,0,MATCH($B241,元データ_14項目!$D$1:$Q$1,0)),元データ_14項目!$A$2:$A$1300,$A241,元データ_14項目!$B$2:$B$1300,"本年",元データ_14項目!$C$2:$C$1300,D$5)</f>
        <v>21</v>
      </c>
      <c r="E241" s="26">
        <f>SUMIFS(INDEX(元データ_14項目!$D$2:$Q$1300,0,MATCH($B241,元データ_14項目!$D$1:$Q$1,0)),元データ_14項目!$A$2:$A$1300,$A241,元データ_14項目!$B$2:$B$1300,"本年",元データ_14項目!$C$2:$C$1300,E$5)</f>
        <v>48</v>
      </c>
      <c r="F241" s="26">
        <f>SUMIFS(INDEX(元データ_14項目!$D$2:$Q$1300,0,MATCH($B241,元データ_14項目!$D$1:$Q$1,0)),元データ_14項目!$A$2:$A$1300,$A241,元データ_14項目!$B$2:$B$1300,"本年",元データ_14項目!$C$2:$C$1300,F$5)</f>
        <v>50</v>
      </c>
      <c r="G241" s="26">
        <f>SUMIFS(INDEX(元データ_14項目!$D$2:$Q$1300,0,MATCH($B241,元データ_14項目!$D$1:$Q$1,0)),元データ_14項目!$A$2:$A$1300,$A241,元データ_14項目!$B$2:$B$1300,"本年",元データ_14項目!$C$2:$C$1300,G$5)</f>
        <v>94</v>
      </c>
      <c r="H241" s="26">
        <f>SUMIFS(INDEX(元データ_14項目!$D$2:$Q$1300,0,MATCH($B241,元データ_14項目!$D$1:$Q$1,0)),元データ_14項目!$A$2:$A$1300,$A241,元データ_14項目!$B$2:$B$1300,"本年",元データ_14項目!$C$2:$C$1300,H$5)</f>
        <v>59</v>
      </c>
      <c r="I241" s="26">
        <f>SUMIFS(INDEX(元データ_14項目!$D$2:$Q$1300,0,MATCH($B241,元データ_14項目!$D$1:$Q$1,0)),元データ_14項目!$A$2:$A$1300,$A241,元データ_14項目!$B$2:$B$1300,"本年",元データ_14項目!$C$2:$C$1300,I$5)</f>
        <v>49</v>
      </c>
      <c r="J241" s="26">
        <f>SUMIFS(INDEX(元データ_14項目!$D$2:$Q$1300,0,MATCH($B241,元データ_14項目!$D$1:$Q$1,0)),元データ_14項目!$A$2:$A$1300,$A241,元データ_14項目!$B$2:$B$1300,"本年",元データ_14項目!$C$2:$C$1300,J$5)</f>
        <v>153</v>
      </c>
      <c r="K241" s="26">
        <f>SUMIFS(INDEX(元データ_14項目!$D$2:$Q$1300,0,MATCH($B241,元データ_14項目!$D$1:$Q$1,0)),元データ_14項目!$A$2:$A$1300,$A241,元データ_14項目!$B$2:$B$1300,"本年",元データ_14項目!$C$2:$C$1300,K$5)</f>
        <v>324</v>
      </c>
      <c r="L241" s="26">
        <f>SUMIFS(INDEX(元データ_14項目!$D$2:$Q$1300,0,MATCH($B241,元データ_14項目!$D$1:$Q$1,0)),元データ_14項目!$A$2:$A$1300,$A241,元データ_14項目!$B$2:$B$1300,"本年",元データ_14項目!$C$2:$C$1300,L$5)</f>
        <v>202</v>
      </c>
      <c r="M241" s="26">
        <f>SUMIFS(INDEX(元データ_14項目!$D$2:$Q$1300,0,MATCH($B241,元データ_14項目!$D$1:$Q$1,0)),元データ_14項目!$A$2:$A$1300,$A241,元データ_14項目!$B$2:$B$1300,"本年",元データ_14項目!$C$2:$C$1300,M$5)</f>
        <v>91</v>
      </c>
      <c r="N241" s="26">
        <f>SUMIFS(INDEX(元データ_14項目!$D$2:$Q$1300,0,MATCH($B241,元データ_14項目!$D$1:$Q$1,0)),元データ_14項目!$A$2:$A$1300,$A241,元データ_14項目!$B$2:$B$1300,"本年",元データ_14項目!$C$2:$C$1300,N$5)</f>
        <v>36</v>
      </c>
      <c r="O241" s="26">
        <f t="shared" si="6"/>
        <v>1152</v>
      </c>
      <c r="P241" s="26">
        <f>SUMIFS(INDEX(元データ_14項目!$D$2:$Q$1300,0,MATCH($B241,元データ_14項目!$D$1:$Q$1,0)),元データ_14項目!$A$2:$A$1300,$A241,元データ_14項目!$B$2:$B$1300,"前年")</f>
        <v>1119</v>
      </c>
      <c r="Q241" s="7">
        <f t="shared" si="7"/>
        <v>1.0294906166219839</v>
      </c>
    </row>
    <row r="242" spans="1:17" x14ac:dyDescent="0.45">
      <c r="A242" t="s">
        <v>51</v>
      </c>
      <c r="B242" t="s">
        <v>98</v>
      </c>
      <c r="C242" s="26">
        <f>SUMIFS(INDEX(元データ_14項目!$D$2:$Q$1300,0,MATCH($B242,元データ_14項目!$D$1:$Q$1,0)),元データ_14項目!$A$2:$A$1300,$A242,元データ_14項目!$B$2:$B$1300,"本年",元データ_14項目!$C$2:$C$1300,C$5)</f>
        <v>9</v>
      </c>
      <c r="D242" s="26">
        <f>SUMIFS(INDEX(元データ_14項目!$D$2:$Q$1300,0,MATCH($B242,元データ_14項目!$D$1:$Q$1,0)),元データ_14項目!$A$2:$A$1300,$A242,元データ_14項目!$B$2:$B$1300,"本年",元データ_14項目!$C$2:$C$1300,D$5)</f>
        <v>6</v>
      </c>
      <c r="E242" s="26">
        <f>SUMIFS(INDEX(元データ_14項目!$D$2:$Q$1300,0,MATCH($B242,元データ_14項目!$D$1:$Q$1,0)),元データ_14項目!$A$2:$A$1300,$A242,元データ_14項目!$B$2:$B$1300,"本年",元データ_14項目!$C$2:$C$1300,E$5)</f>
        <v>26</v>
      </c>
      <c r="F242" s="26">
        <f>SUMIFS(INDEX(元データ_14項目!$D$2:$Q$1300,0,MATCH($B242,元データ_14項目!$D$1:$Q$1,0)),元データ_14項目!$A$2:$A$1300,$A242,元データ_14項目!$B$2:$B$1300,"本年",元データ_14項目!$C$2:$C$1300,F$5)</f>
        <v>23</v>
      </c>
      <c r="G242" s="26">
        <f>SUMIFS(INDEX(元データ_14項目!$D$2:$Q$1300,0,MATCH($B242,元データ_14項目!$D$1:$Q$1,0)),元データ_14項目!$A$2:$A$1300,$A242,元データ_14項目!$B$2:$B$1300,"本年",元データ_14項目!$C$2:$C$1300,G$5)</f>
        <v>26</v>
      </c>
      <c r="H242" s="26">
        <f>SUMIFS(INDEX(元データ_14項目!$D$2:$Q$1300,0,MATCH($B242,元データ_14項目!$D$1:$Q$1,0)),元データ_14項目!$A$2:$A$1300,$A242,元データ_14項目!$B$2:$B$1300,"本年",元データ_14項目!$C$2:$C$1300,H$5)</f>
        <v>16</v>
      </c>
      <c r="I242" s="26">
        <f>SUMIFS(INDEX(元データ_14項目!$D$2:$Q$1300,0,MATCH($B242,元データ_14項目!$D$1:$Q$1,0)),元データ_14項目!$A$2:$A$1300,$A242,元データ_14項目!$B$2:$B$1300,"本年",元データ_14項目!$C$2:$C$1300,I$5)</f>
        <v>17</v>
      </c>
      <c r="J242" s="26">
        <f>SUMIFS(INDEX(元データ_14項目!$D$2:$Q$1300,0,MATCH($B242,元データ_14項目!$D$1:$Q$1,0)),元データ_14項目!$A$2:$A$1300,$A242,元データ_14項目!$B$2:$B$1300,"本年",元データ_14項目!$C$2:$C$1300,J$5)</f>
        <v>131</v>
      </c>
      <c r="K242" s="26">
        <f>SUMIFS(INDEX(元データ_14項目!$D$2:$Q$1300,0,MATCH($B242,元データ_14項目!$D$1:$Q$1,0)),元データ_14項目!$A$2:$A$1300,$A242,元データ_14項目!$B$2:$B$1300,"本年",元データ_14項目!$C$2:$C$1300,K$5)</f>
        <v>314</v>
      </c>
      <c r="L242" s="26">
        <f>SUMIFS(INDEX(元データ_14項目!$D$2:$Q$1300,0,MATCH($B242,元データ_14項目!$D$1:$Q$1,0)),元データ_14項目!$A$2:$A$1300,$A242,元データ_14項目!$B$2:$B$1300,"本年",元データ_14項目!$C$2:$C$1300,L$5)</f>
        <v>132</v>
      </c>
      <c r="M242" s="26">
        <f>SUMIFS(INDEX(元データ_14項目!$D$2:$Q$1300,0,MATCH($B242,元データ_14項目!$D$1:$Q$1,0)),元データ_14項目!$A$2:$A$1300,$A242,元データ_14項目!$B$2:$B$1300,"本年",元データ_14項目!$C$2:$C$1300,M$5)</f>
        <v>63</v>
      </c>
      <c r="N242" s="26">
        <f>SUMIFS(INDEX(元データ_14項目!$D$2:$Q$1300,0,MATCH($B242,元データ_14項目!$D$1:$Q$1,0)),元データ_14項目!$A$2:$A$1300,$A242,元データ_14項目!$B$2:$B$1300,"本年",元データ_14項目!$C$2:$C$1300,N$5)</f>
        <v>19</v>
      </c>
      <c r="O242" s="26">
        <f t="shared" si="6"/>
        <v>782</v>
      </c>
      <c r="P242" s="26">
        <f>SUMIFS(INDEX(元データ_14項目!$D$2:$Q$1300,0,MATCH($B242,元データ_14項目!$D$1:$Q$1,0)),元データ_14項目!$A$2:$A$1300,$A242,元データ_14項目!$B$2:$B$1300,"前年")</f>
        <v>826</v>
      </c>
      <c r="Q242" s="7">
        <f t="shared" si="7"/>
        <v>0.94673123486682809</v>
      </c>
    </row>
    <row r="243" spans="1:17" x14ac:dyDescent="0.45">
      <c r="A243" t="s">
        <v>51</v>
      </c>
      <c r="B243" t="s">
        <v>99</v>
      </c>
      <c r="C243" s="26">
        <f>SUMIFS(INDEX(元データ_14項目!$D$2:$Q$1300,0,MATCH($B243,元データ_14項目!$D$1:$Q$1,0)),元データ_14項目!$A$2:$A$1300,$A243,元データ_14項目!$B$2:$B$1300,"本年",元データ_14項目!$C$2:$C$1300,C$5)</f>
        <v>0</v>
      </c>
      <c r="D243" s="26">
        <f>SUMIFS(INDEX(元データ_14項目!$D$2:$Q$1300,0,MATCH($B243,元データ_14項目!$D$1:$Q$1,0)),元データ_14項目!$A$2:$A$1300,$A243,元データ_14項目!$B$2:$B$1300,"本年",元データ_14項目!$C$2:$C$1300,D$5)</f>
        <v>2</v>
      </c>
      <c r="E243" s="26">
        <f>SUMIFS(INDEX(元データ_14項目!$D$2:$Q$1300,0,MATCH($B243,元データ_14項目!$D$1:$Q$1,0)),元データ_14項目!$A$2:$A$1300,$A243,元データ_14項目!$B$2:$B$1300,"本年",元データ_14項目!$C$2:$C$1300,E$5)</f>
        <v>0</v>
      </c>
      <c r="F243" s="26">
        <f>SUMIFS(INDEX(元データ_14項目!$D$2:$Q$1300,0,MATCH($B243,元データ_14項目!$D$1:$Q$1,0)),元データ_14項目!$A$2:$A$1300,$A243,元データ_14項目!$B$2:$B$1300,"本年",元データ_14項目!$C$2:$C$1300,F$5)</f>
        <v>0</v>
      </c>
      <c r="G243" s="26">
        <f>SUMIFS(INDEX(元データ_14項目!$D$2:$Q$1300,0,MATCH($B243,元データ_14項目!$D$1:$Q$1,0)),元データ_14項目!$A$2:$A$1300,$A243,元データ_14項目!$B$2:$B$1300,"本年",元データ_14項目!$C$2:$C$1300,G$5)</f>
        <v>0</v>
      </c>
      <c r="H243" s="26">
        <f>SUMIFS(INDEX(元データ_14項目!$D$2:$Q$1300,0,MATCH($B243,元データ_14項目!$D$1:$Q$1,0)),元データ_14項目!$A$2:$A$1300,$A243,元データ_14項目!$B$2:$B$1300,"本年",元データ_14項目!$C$2:$C$1300,H$5)</f>
        <v>0</v>
      </c>
      <c r="I243" s="26">
        <f>SUMIFS(INDEX(元データ_14項目!$D$2:$Q$1300,0,MATCH($B243,元データ_14項目!$D$1:$Q$1,0)),元データ_14項目!$A$2:$A$1300,$A243,元データ_14項目!$B$2:$B$1300,"本年",元データ_14項目!$C$2:$C$1300,I$5)</f>
        <v>9</v>
      </c>
      <c r="J243" s="26">
        <f>SUMIFS(INDEX(元データ_14項目!$D$2:$Q$1300,0,MATCH($B243,元データ_14項目!$D$1:$Q$1,0)),元データ_14項目!$A$2:$A$1300,$A243,元データ_14項目!$B$2:$B$1300,"本年",元データ_14項目!$C$2:$C$1300,J$5)</f>
        <v>2</v>
      </c>
      <c r="K243" s="26">
        <f>SUMIFS(INDEX(元データ_14項目!$D$2:$Q$1300,0,MATCH($B243,元データ_14項目!$D$1:$Q$1,0)),元データ_14項目!$A$2:$A$1300,$A243,元データ_14項目!$B$2:$B$1300,"本年",元データ_14項目!$C$2:$C$1300,K$5)</f>
        <v>7</v>
      </c>
      <c r="L243" s="26">
        <f>SUMIFS(INDEX(元データ_14項目!$D$2:$Q$1300,0,MATCH($B243,元データ_14項目!$D$1:$Q$1,0)),元データ_14項目!$A$2:$A$1300,$A243,元データ_14項目!$B$2:$B$1300,"本年",元データ_14項目!$C$2:$C$1300,L$5)</f>
        <v>16</v>
      </c>
      <c r="M243" s="26">
        <f>SUMIFS(INDEX(元データ_14項目!$D$2:$Q$1300,0,MATCH($B243,元データ_14項目!$D$1:$Q$1,0)),元データ_14項目!$A$2:$A$1300,$A243,元データ_14項目!$B$2:$B$1300,"本年",元データ_14項目!$C$2:$C$1300,M$5)</f>
        <v>6</v>
      </c>
      <c r="N243" s="26">
        <f>SUMIFS(INDEX(元データ_14項目!$D$2:$Q$1300,0,MATCH($B243,元データ_14項目!$D$1:$Q$1,0)),元データ_14項目!$A$2:$A$1300,$A243,元データ_14項目!$B$2:$B$1300,"本年",元データ_14項目!$C$2:$C$1300,N$5)</f>
        <v>2</v>
      </c>
      <c r="O243" s="26">
        <f t="shared" si="6"/>
        <v>44</v>
      </c>
      <c r="P243" s="26">
        <f>SUMIFS(INDEX(元データ_14項目!$D$2:$Q$1300,0,MATCH($B243,元データ_14項目!$D$1:$Q$1,0)),元データ_14項目!$A$2:$A$1300,$A243,元データ_14項目!$B$2:$B$1300,"前年")</f>
        <v>76</v>
      </c>
      <c r="Q243" s="7">
        <f t="shared" si="7"/>
        <v>0.57894736842105265</v>
      </c>
    </row>
    <row r="244" spans="1:17" x14ac:dyDescent="0.45">
      <c r="A244" t="s">
        <v>52</v>
      </c>
      <c r="B244" t="s">
        <v>27</v>
      </c>
      <c r="C244" s="26">
        <f>SUMIFS(INDEX(元データ_14項目!$D$2:$Q$1300,0,MATCH($B244,元データ_14項目!$D$1:$Q$1,0)),元データ_14項目!$A$2:$A$1300,$A244,元データ_14項目!$B$2:$B$1300,"本年",元データ_14項目!$C$2:$C$1300,C$5)</f>
        <v>367</v>
      </c>
      <c r="D244" s="26">
        <f>SUMIFS(INDEX(元データ_14項目!$D$2:$Q$1300,0,MATCH($B244,元データ_14項目!$D$1:$Q$1,0)),元データ_14項目!$A$2:$A$1300,$A244,元データ_14項目!$B$2:$B$1300,"本年",元データ_14項目!$C$2:$C$1300,D$5)</f>
        <v>357</v>
      </c>
      <c r="E244" s="26">
        <f>SUMIFS(INDEX(元データ_14項目!$D$2:$Q$1300,0,MATCH($B244,元データ_14項目!$D$1:$Q$1,0)),元データ_14項目!$A$2:$A$1300,$A244,元データ_14項目!$B$2:$B$1300,"本年",元データ_14項目!$C$2:$C$1300,E$5)</f>
        <v>461</v>
      </c>
      <c r="F244" s="26">
        <f>SUMIFS(INDEX(元データ_14項目!$D$2:$Q$1300,0,MATCH($B244,元データ_14項目!$D$1:$Q$1,0)),元データ_14項目!$A$2:$A$1300,$A244,元データ_14項目!$B$2:$B$1300,"本年",元データ_14項目!$C$2:$C$1300,F$5)</f>
        <v>377</v>
      </c>
      <c r="G244" s="26">
        <f>SUMIFS(INDEX(元データ_14項目!$D$2:$Q$1300,0,MATCH($B244,元データ_14項目!$D$1:$Q$1,0)),元データ_14項目!$A$2:$A$1300,$A244,元データ_14項目!$B$2:$B$1300,"本年",元データ_14項目!$C$2:$C$1300,G$5)</f>
        <v>368</v>
      </c>
      <c r="H244" s="26">
        <f>SUMIFS(INDEX(元データ_14項目!$D$2:$Q$1300,0,MATCH($B244,元データ_14項目!$D$1:$Q$1,0)),元データ_14項目!$A$2:$A$1300,$A244,元データ_14項目!$B$2:$B$1300,"本年",元データ_14項目!$C$2:$C$1300,H$5)</f>
        <v>330</v>
      </c>
      <c r="I244" s="26">
        <f>SUMIFS(INDEX(元データ_14項目!$D$2:$Q$1300,0,MATCH($B244,元データ_14項目!$D$1:$Q$1,0)),元データ_14項目!$A$2:$A$1300,$A244,元データ_14項目!$B$2:$B$1300,"本年",元データ_14項目!$C$2:$C$1300,I$5)</f>
        <v>297</v>
      </c>
      <c r="J244" s="26">
        <f>SUMIFS(INDEX(元データ_14項目!$D$2:$Q$1300,0,MATCH($B244,元データ_14項目!$D$1:$Q$1,0)),元データ_14項目!$A$2:$A$1300,$A244,元データ_14項目!$B$2:$B$1300,"本年",元データ_14項目!$C$2:$C$1300,J$5)</f>
        <v>378</v>
      </c>
      <c r="K244" s="26">
        <f>SUMIFS(INDEX(元データ_14項目!$D$2:$Q$1300,0,MATCH($B244,元データ_14項目!$D$1:$Q$1,0)),元データ_14項目!$A$2:$A$1300,$A244,元データ_14項目!$B$2:$B$1300,"本年",元データ_14項目!$C$2:$C$1300,K$5)</f>
        <v>334</v>
      </c>
      <c r="L244" s="26">
        <f>SUMIFS(INDEX(元データ_14項目!$D$2:$Q$1300,0,MATCH($B244,元データ_14項目!$D$1:$Q$1,0)),元データ_14項目!$A$2:$A$1300,$A244,元データ_14項目!$B$2:$B$1300,"本年",元データ_14項目!$C$2:$C$1300,L$5)</f>
        <v>318</v>
      </c>
      <c r="M244" s="26">
        <f>SUMIFS(INDEX(元データ_14項目!$D$2:$Q$1300,0,MATCH($B244,元データ_14項目!$D$1:$Q$1,0)),元データ_14項目!$A$2:$A$1300,$A244,元データ_14項目!$B$2:$B$1300,"本年",元データ_14項目!$C$2:$C$1300,M$5)</f>
        <v>358</v>
      </c>
      <c r="N244" s="26">
        <f>SUMIFS(INDEX(元データ_14項目!$D$2:$Q$1300,0,MATCH($B244,元データ_14項目!$D$1:$Q$1,0)),元データ_14項目!$A$2:$A$1300,$A244,元データ_14項目!$B$2:$B$1300,"本年",元データ_14項目!$C$2:$C$1300,N$5)</f>
        <v>352</v>
      </c>
      <c r="O244" s="26">
        <f t="shared" si="6"/>
        <v>4297</v>
      </c>
      <c r="P244" s="26">
        <f>SUMIFS(INDEX(元データ_14項目!$D$2:$Q$1300,0,MATCH($B244,元データ_14項目!$D$1:$Q$1,0)),元データ_14項目!$A$2:$A$1300,$A244,元データ_14項目!$B$2:$B$1300,"前年")</f>
        <v>5327</v>
      </c>
      <c r="Q244" s="7">
        <f t="shared" si="7"/>
        <v>0.80664539140229019</v>
      </c>
    </row>
    <row r="245" spans="1:17" x14ac:dyDescent="0.45">
      <c r="A245" t="s">
        <v>52</v>
      </c>
      <c r="B245" t="s">
        <v>88</v>
      </c>
      <c r="C245" s="26">
        <f>SUMIFS(INDEX(元データ_14項目!$D$2:$Q$1300,0,MATCH($B245,元データ_14項目!$D$1:$Q$1,0)),元データ_14項目!$A$2:$A$1300,$A245,元データ_14項目!$B$2:$B$1300,"本年",元データ_14項目!$C$2:$C$1300,C$5)</f>
        <v>28</v>
      </c>
      <c r="D245" s="26">
        <f>SUMIFS(INDEX(元データ_14項目!$D$2:$Q$1300,0,MATCH($B245,元データ_14項目!$D$1:$Q$1,0)),元データ_14項目!$A$2:$A$1300,$A245,元データ_14項目!$B$2:$B$1300,"本年",元データ_14項目!$C$2:$C$1300,D$5)</f>
        <v>44</v>
      </c>
      <c r="E245" s="26">
        <f>SUMIFS(INDEX(元データ_14項目!$D$2:$Q$1300,0,MATCH($B245,元データ_14項目!$D$1:$Q$1,0)),元データ_14項目!$A$2:$A$1300,$A245,元データ_14項目!$B$2:$B$1300,"本年",元データ_14項目!$C$2:$C$1300,E$5)</f>
        <v>55</v>
      </c>
      <c r="F245" s="26">
        <f>SUMIFS(INDEX(元データ_14項目!$D$2:$Q$1300,0,MATCH($B245,元データ_14項目!$D$1:$Q$1,0)),元データ_14項目!$A$2:$A$1300,$A245,元データ_14項目!$B$2:$B$1300,"本年",元データ_14項目!$C$2:$C$1300,F$5)</f>
        <v>27</v>
      </c>
      <c r="G245" s="26">
        <f>SUMIFS(INDEX(元データ_14項目!$D$2:$Q$1300,0,MATCH($B245,元データ_14項目!$D$1:$Q$1,0)),元データ_14項目!$A$2:$A$1300,$A245,元データ_14項目!$B$2:$B$1300,"本年",元データ_14項目!$C$2:$C$1300,G$5)</f>
        <v>35</v>
      </c>
      <c r="H245" s="26">
        <f>SUMIFS(INDEX(元データ_14項目!$D$2:$Q$1300,0,MATCH($B245,元データ_14項目!$D$1:$Q$1,0)),元データ_14項目!$A$2:$A$1300,$A245,元データ_14項目!$B$2:$B$1300,"本年",元データ_14項目!$C$2:$C$1300,H$5)</f>
        <v>34</v>
      </c>
      <c r="I245" s="26">
        <f>SUMIFS(INDEX(元データ_14項目!$D$2:$Q$1300,0,MATCH($B245,元データ_14項目!$D$1:$Q$1,0)),元データ_14項目!$A$2:$A$1300,$A245,元データ_14項目!$B$2:$B$1300,"本年",元データ_14項目!$C$2:$C$1300,I$5)</f>
        <v>14</v>
      </c>
      <c r="J245" s="26">
        <f>SUMIFS(INDEX(元データ_14項目!$D$2:$Q$1300,0,MATCH($B245,元データ_14項目!$D$1:$Q$1,0)),元データ_14項目!$A$2:$A$1300,$A245,元データ_14項目!$B$2:$B$1300,"本年",元データ_14項目!$C$2:$C$1300,J$5)</f>
        <v>36</v>
      </c>
      <c r="K245" s="26">
        <f>SUMIFS(INDEX(元データ_14項目!$D$2:$Q$1300,0,MATCH($B245,元データ_14項目!$D$1:$Q$1,0)),元データ_14項目!$A$2:$A$1300,$A245,元データ_14項目!$B$2:$B$1300,"本年",元データ_14項目!$C$2:$C$1300,K$5)</f>
        <v>53</v>
      </c>
      <c r="L245" s="26">
        <f>SUMIFS(INDEX(元データ_14項目!$D$2:$Q$1300,0,MATCH($B245,元データ_14項目!$D$1:$Q$1,0)),元データ_14項目!$A$2:$A$1300,$A245,元データ_14項目!$B$2:$B$1300,"本年",元データ_14項目!$C$2:$C$1300,L$5)</f>
        <v>44</v>
      </c>
      <c r="M245" s="26">
        <f>SUMIFS(INDEX(元データ_14項目!$D$2:$Q$1300,0,MATCH($B245,元データ_14項目!$D$1:$Q$1,0)),元データ_14項目!$A$2:$A$1300,$A245,元データ_14項目!$B$2:$B$1300,"本年",元データ_14項目!$C$2:$C$1300,M$5)</f>
        <v>34</v>
      </c>
      <c r="N245" s="26">
        <f>SUMIFS(INDEX(元データ_14項目!$D$2:$Q$1300,0,MATCH($B245,元データ_14項目!$D$1:$Q$1,0)),元データ_14項目!$A$2:$A$1300,$A245,元データ_14項目!$B$2:$B$1300,"本年",元データ_14項目!$C$2:$C$1300,N$5)</f>
        <v>41</v>
      </c>
      <c r="O245" s="26">
        <f t="shared" si="6"/>
        <v>445</v>
      </c>
      <c r="P245" s="26">
        <f>SUMIFS(INDEX(元データ_14項目!$D$2:$Q$1300,0,MATCH($B245,元データ_14項目!$D$1:$Q$1,0)),元データ_14項目!$A$2:$A$1300,$A245,元データ_14項目!$B$2:$B$1300,"前年")</f>
        <v>391</v>
      </c>
      <c r="Q245" s="7">
        <f t="shared" si="7"/>
        <v>1.1381074168797953</v>
      </c>
    </row>
    <row r="246" spans="1:17" x14ac:dyDescent="0.45">
      <c r="A246" t="s">
        <v>52</v>
      </c>
      <c r="B246" t="s">
        <v>89</v>
      </c>
      <c r="C246" s="26">
        <f>SUMIFS(INDEX(元データ_14項目!$D$2:$Q$1300,0,MATCH($B246,元データ_14項目!$D$1:$Q$1,0)),元データ_14項目!$A$2:$A$1300,$A246,元データ_14項目!$B$2:$B$1300,"本年",元データ_14項目!$C$2:$C$1300,C$5)</f>
        <v>26</v>
      </c>
      <c r="D246" s="26">
        <f>SUMIFS(INDEX(元データ_14項目!$D$2:$Q$1300,0,MATCH($B246,元データ_14項目!$D$1:$Q$1,0)),元データ_14項目!$A$2:$A$1300,$A246,元データ_14項目!$B$2:$B$1300,"本年",元データ_14項目!$C$2:$C$1300,D$5)</f>
        <v>40</v>
      </c>
      <c r="E246" s="26">
        <f>SUMIFS(INDEX(元データ_14項目!$D$2:$Q$1300,0,MATCH($B246,元データ_14項目!$D$1:$Q$1,0)),元データ_14項目!$A$2:$A$1300,$A246,元データ_14項目!$B$2:$B$1300,"本年",元データ_14項目!$C$2:$C$1300,E$5)</f>
        <v>88</v>
      </c>
      <c r="F246" s="26">
        <f>SUMIFS(INDEX(元データ_14項目!$D$2:$Q$1300,0,MATCH($B246,元データ_14項目!$D$1:$Q$1,0)),元データ_14項目!$A$2:$A$1300,$A246,元データ_14項目!$B$2:$B$1300,"本年",元データ_14項目!$C$2:$C$1300,F$5)</f>
        <v>30</v>
      </c>
      <c r="G246" s="26">
        <f>SUMIFS(INDEX(元データ_14項目!$D$2:$Q$1300,0,MATCH($B246,元データ_14項目!$D$1:$Q$1,0)),元データ_14項目!$A$2:$A$1300,$A246,元データ_14項目!$B$2:$B$1300,"本年",元データ_14項目!$C$2:$C$1300,G$5)</f>
        <v>25</v>
      </c>
      <c r="H246" s="26">
        <f>SUMIFS(INDEX(元データ_14項目!$D$2:$Q$1300,0,MATCH($B246,元データ_14項目!$D$1:$Q$1,0)),元データ_14項目!$A$2:$A$1300,$A246,元データ_14項目!$B$2:$B$1300,"本年",元データ_14項目!$C$2:$C$1300,H$5)</f>
        <v>4</v>
      </c>
      <c r="I246" s="26">
        <f>SUMIFS(INDEX(元データ_14項目!$D$2:$Q$1300,0,MATCH($B246,元データ_14項目!$D$1:$Q$1,0)),元データ_14項目!$A$2:$A$1300,$A246,元データ_14項目!$B$2:$B$1300,"本年",元データ_14項目!$C$2:$C$1300,I$5)</f>
        <v>4</v>
      </c>
      <c r="J246" s="26">
        <f>SUMIFS(INDEX(元データ_14項目!$D$2:$Q$1300,0,MATCH($B246,元データ_14項目!$D$1:$Q$1,0)),元データ_14項目!$A$2:$A$1300,$A246,元データ_14項目!$B$2:$B$1300,"本年",元データ_14項目!$C$2:$C$1300,J$5)</f>
        <v>34</v>
      </c>
      <c r="K246" s="26">
        <f>SUMIFS(INDEX(元データ_14項目!$D$2:$Q$1300,0,MATCH($B246,元データ_14項目!$D$1:$Q$1,0)),元データ_14項目!$A$2:$A$1300,$A246,元データ_14項目!$B$2:$B$1300,"本年",元データ_14項目!$C$2:$C$1300,K$5)</f>
        <v>53</v>
      </c>
      <c r="L246" s="26">
        <f>SUMIFS(INDEX(元データ_14項目!$D$2:$Q$1300,0,MATCH($B246,元データ_14項目!$D$1:$Q$1,0)),元データ_14項目!$A$2:$A$1300,$A246,元データ_14項目!$B$2:$B$1300,"本年",元データ_14項目!$C$2:$C$1300,L$5)</f>
        <v>38</v>
      </c>
      <c r="M246" s="26">
        <f>SUMIFS(INDEX(元データ_14項目!$D$2:$Q$1300,0,MATCH($B246,元データ_14項目!$D$1:$Q$1,0)),元データ_14項目!$A$2:$A$1300,$A246,元データ_14項目!$B$2:$B$1300,"本年",元データ_14項目!$C$2:$C$1300,M$5)</f>
        <v>42</v>
      </c>
      <c r="N246" s="26">
        <f>SUMIFS(INDEX(元データ_14項目!$D$2:$Q$1300,0,MATCH($B246,元データ_14項目!$D$1:$Q$1,0)),元データ_14項目!$A$2:$A$1300,$A246,元データ_14項目!$B$2:$B$1300,"本年",元データ_14項目!$C$2:$C$1300,N$5)</f>
        <v>43</v>
      </c>
      <c r="O246" s="26">
        <f t="shared" si="6"/>
        <v>427</v>
      </c>
      <c r="P246" s="26">
        <f>SUMIFS(INDEX(元データ_14項目!$D$2:$Q$1300,0,MATCH($B246,元データ_14項目!$D$1:$Q$1,0)),元データ_14項目!$A$2:$A$1300,$A246,元データ_14項目!$B$2:$B$1300,"前年")</f>
        <v>361</v>
      </c>
      <c r="Q246" s="7">
        <f t="shared" si="7"/>
        <v>1.182825484764543</v>
      </c>
    </row>
    <row r="247" spans="1:17" x14ac:dyDescent="0.45">
      <c r="A247" t="s">
        <v>52</v>
      </c>
      <c r="B247" t="s">
        <v>90</v>
      </c>
      <c r="C247" s="26">
        <f>SUMIFS(INDEX(元データ_14項目!$D$2:$Q$1300,0,MATCH($B247,元データ_14項目!$D$1:$Q$1,0)),元データ_14項目!$A$2:$A$1300,$A247,元データ_14項目!$B$2:$B$1300,"本年",元データ_14項目!$C$2:$C$1300,C$5)</f>
        <v>21</v>
      </c>
      <c r="D247" s="26">
        <f>SUMIFS(INDEX(元データ_14項目!$D$2:$Q$1300,0,MATCH($B247,元データ_14項目!$D$1:$Q$1,0)),元データ_14項目!$A$2:$A$1300,$A247,元データ_14項目!$B$2:$B$1300,"本年",元データ_14項目!$C$2:$C$1300,D$5)</f>
        <v>34</v>
      </c>
      <c r="E247" s="26">
        <f>SUMIFS(INDEX(元データ_14項目!$D$2:$Q$1300,0,MATCH($B247,元データ_14項目!$D$1:$Q$1,0)),元データ_14項目!$A$2:$A$1300,$A247,元データ_14項目!$B$2:$B$1300,"本年",元データ_14項目!$C$2:$C$1300,E$5)</f>
        <v>52</v>
      </c>
      <c r="F247" s="26">
        <f>SUMIFS(INDEX(元データ_14項目!$D$2:$Q$1300,0,MATCH($B247,元データ_14項目!$D$1:$Q$1,0)),元データ_14項目!$A$2:$A$1300,$A247,元データ_14項目!$B$2:$B$1300,"本年",元データ_14項目!$C$2:$C$1300,F$5)</f>
        <v>34</v>
      </c>
      <c r="G247" s="26">
        <f>SUMIFS(INDEX(元データ_14項目!$D$2:$Q$1300,0,MATCH($B247,元データ_14項目!$D$1:$Q$1,0)),元データ_14項目!$A$2:$A$1300,$A247,元データ_14項目!$B$2:$B$1300,"本年",元データ_14項目!$C$2:$C$1300,G$5)</f>
        <v>70</v>
      </c>
      <c r="H247" s="26">
        <f>SUMIFS(INDEX(元データ_14項目!$D$2:$Q$1300,0,MATCH($B247,元データ_14項目!$D$1:$Q$1,0)),元データ_14項目!$A$2:$A$1300,$A247,元データ_14項目!$B$2:$B$1300,"本年",元データ_14項目!$C$2:$C$1300,H$5)</f>
        <v>55</v>
      </c>
      <c r="I247" s="26">
        <f>SUMIFS(INDEX(元データ_14項目!$D$2:$Q$1300,0,MATCH($B247,元データ_14項目!$D$1:$Q$1,0)),元データ_14項目!$A$2:$A$1300,$A247,元データ_14項目!$B$2:$B$1300,"本年",元データ_14項目!$C$2:$C$1300,I$5)</f>
        <v>35</v>
      </c>
      <c r="J247" s="26">
        <f>SUMIFS(INDEX(元データ_14項目!$D$2:$Q$1300,0,MATCH($B247,元データ_14項目!$D$1:$Q$1,0)),元データ_14項目!$A$2:$A$1300,$A247,元データ_14項目!$B$2:$B$1300,"本年",元データ_14項目!$C$2:$C$1300,J$5)</f>
        <v>105</v>
      </c>
      <c r="K247" s="26">
        <f>SUMIFS(INDEX(元データ_14項目!$D$2:$Q$1300,0,MATCH($B247,元データ_14項目!$D$1:$Q$1,0)),元データ_14項目!$A$2:$A$1300,$A247,元データ_14項目!$B$2:$B$1300,"本年",元データ_14項目!$C$2:$C$1300,K$5)</f>
        <v>113</v>
      </c>
      <c r="L247" s="26">
        <f>SUMIFS(INDEX(元データ_14項目!$D$2:$Q$1300,0,MATCH($B247,元データ_14項目!$D$1:$Q$1,0)),元データ_14項目!$A$2:$A$1300,$A247,元データ_14項目!$B$2:$B$1300,"本年",元データ_14項目!$C$2:$C$1300,L$5)</f>
        <v>92</v>
      </c>
      <c r="M247" s="26">
        <f>SUMIFS(INDEX(元データ_14項目!$D$2:$Q$1300,0,MATCH($B247,元データ_14項目!$D$1:$Q$1,0)),元データ_14項目!$A$2:$A$1300,$A247,元データ_14項目!$B$2:$B$1300,"本年",元データ_14項目!$C$2:$C$1300,M$5)</f>
        <v>67</v>
      </c>
      <c r="N247" s="26">
        <f>SUMIFS(INDEX(元データ_14項目!$D$2:$Q$1300,0,MATCH($B247,元データ_14項目!$D$1:$Q$1,0)),元データ_14項目!$A$2:$A$1300,$A247,元データ_14項目!$B$2:$B$1300,"本年",元データ_14項目!$C$2:$C$1300,N$5)</f>
        <v>47</v>
      </c>
      <c r="O247" s="26">
        <f t="shared" si="6"/>
        <v>725</v>
      </c>
      <c r="P247" s="26">
        <f>SUMIFS(INDEX(元データ_14項目!$D$2:$Q$1300,0,MATCH($B247,元データ_14項目!$D$1:$Q$1,0)),元データ_14項目!$A$2:$A$1300,$A247,元データ_14項目!$B$2:$B$1300,"前年")</f>
        <v>779</v>
      </c>
      <c r="Q247" s="7">
        <f t="shared" si="7"/>
        <v>0.93068035943517335</v>
      </c>
    </row>
    <row r="248" spans="1:17" x14ac:dyDescent="0.45">
      <c r="A248" t="s">
        <v>52</v>
      </c>
      <c r="B248" t="s">
        <v>91</v>
      </c>
      <c r="C248" s="26">
        <f>SUMIFS(INDEX(元データ_14項目!$D$2:$Q$1300,0,MATCH($B248,元データ_14項目!$D$1:$Q$1,0)),元データ_14項目!$A$2:$A$1300,$A248,元データ_14項目!$B$2:$B$1300,"本年",元データ_14項目!$C$2:$C$1300,C$5)</f>
        <v>9</v>
      </c>
      <c r="D248" s="26">
        <f>SUMIFS(INDEX(元データ_14項目!$D$2:$Q$1300,0,MATCH($B248,元データ_14項目!$D$1:$Q$1,0)),元データ_14項目!$A$2:$A$1300,$A248,元データ_14項目!$B$2:$B$1300,"本年",元データ_14項目!$C$2:$C$1300,D$5)</f>
        <v>10</v>
      </c>
      <c r="E248" s="26">
        <f>SUMIFS(INDEX(元データ_14項目!$D$2:$Q$1300,0,MATCH($B248,元データ_14項目!$D$1:$Q$1,0)),元データ_14項目!$A$2:$A$1300,$A248,元データ_14項目!$B$2:$B$1300,"本年",元データ_14項目!$C$2:$C$1300,E$5)</f>
        <v>44</v>
      </c>
      <c r="F248" s="26">
        <f>SUMIFS(INDEX(元データ_14項目!$D$2:$Q$1300,0,MATCH($B248,元データ_14項目!$D$1:$Q$1,0)),元データ_14項目!$A$2:$A$1300,$A248,元データ_14項目!$B$2:$B$1300,"本年",元データ_14項目!$C$2:$C$1300,F$5)</f>
        <v>33</v>
      </c>
      <c r="G248" s="26">
        <f>SUMIFS(INDEX(元データ_14項目!$D$2:$Q$1300,0,MATCH($B248,元データ_14項目!$D$1:$Q$1,0)),元データ_14項目!$A$2:$A$1300,$A248,元データ_14項目!$B$2:$B$1300,"本年",元データ_14項目!$C$2:$C$1300,G$5)</f>
        <v>28</v>
      </c>
      <c r="H248" s="26">
        <f>SUMIFS(INDEX(元データ_14項目!$D$2:$Q$1300,0,MATCH($B248,元データ_14項目!$D$1:$Q$1,0)),元データ_14項目!$A$2:$A$1300,$A248,元データ_14項目!$B$2:$B$1300,"本年",元データ_14項目!$C$2:$C$1300,H$5)</f>
        <v>6</v>
      </c>
      <c r="I248" s="26">
        <f>SUMIFS(INDEX(元データ_14項目!$D$2:$Q$1300,0,MATCH($B248,元データ_14項目!$D$1:$Q$1,0)),元データ_14項目!$A$2:$A$1300,$A248,元データ_14項目!$B$2:$B$1300,"本年",元データ_14項目!$C$2:$C$1300,I$5)</f>
        <v>22</v>
      </c>
      <c r="J248" s="26">
        <f>SUMIFS(INDEX(元データ_14項目!$D$2:$Q$1300,0,MATCH($B248,元データ_14項目!$D$1:$Q$1,0)),元データ_14項目!$A$2:$A$1300,$A248,元データ_14項目!$B$2:$B$1300,"本年",元データ_14項目!$C$2:$C$1300,J$5)</f>
        <v>5</v>
      </c>
      <c r="K248" s="26">
        <f>SUMIFS(INDEX(元データ_14項目!$D$2:$Q$1300,0,MATCH($B248,元データ_14項目!$D$1:$Q$1,0)),元データ_14項目!$A$2:$A$1300,$A248,元データ_14項目!$B$2:$B$1300,"本年",元データ_14項目!$C$2:$C$1300,K$5)</f>
        <v>25</v>
      </c>
      <c r="L248" s="26">
        <f>SUMIFS(INDEX(元データ_14項目!$D$2:$Q$1300,0,MATCH($B248,元データ_14項目!$D$1:$Q$1,0)),元データ_14項目!$A$2:$A$1300,$A248,元データ_14項目!$B$2:$B$1300,"本年",元データ_14項目!$C$2:$C$1300,L$5)</f>
        <v>20</v>
      </c>
      <c r="M248" s="26">
        <f>SUMIFS(INDEX(元データ_14項目!$D$2:$Q$1300,0,MATCH($B248,元データ_14項目!$D$1:$Q$1,0)),元データ_14項目!$A$2:$A$1300,$A248,元データ_14項目!$B$2:$B$1300,"本年",元データ_14項目!$C$2:$C$1300,M$5)</f>
        <v>28</v>
      </c>
      <c r="N248" s="26">
        <f>SUMIFS(INDEX(元データ_14項目!$D$2:$Q$1300,0,MATCH($B248,元データ_14項目!$D$1:$Q$1,0)),元データ_14項目!$A$2:$A$1300,$A248,元データ_14項目!$B$2:$B$1300,"本年",元データ_14項目!$C$2:$C$1300,N$5)</f>
        <v>13</v>
      </c>
      <c r="O248" s="26">
        <f t="shared" si="6"/>
        <v>243</v>
      </c>
      <c r="P248" s="26">
        <f>SUMIFS(INDEX(元データ_14項目!$D$2:$Q$1300,0,MATCH($B248,元データ_14項目!$D$1:$Q$1,0)),元データ_14項目!$A$2:$A$1300,$A248,元データ_14項目!$B$2:$B$1300,"前年")</f>
        <v>259</v>
      </c>
      <c r="Q248" s="7">
        <f t="shared" si="7"/>
        <v>0.93822393822393824</v>
      </c>
    </row>
    <row r="249" spans="1:17" x14ac:dyDescent="0.45">
      <c r="A249" t="s">
        <v>52</v>
      </c>
      <c r="B249" t="s">
        <v>28</v>
      </c>
      <c r="C249" s="26">
        <f>SUMIFS(INDEX(元データ_14項目!$D$2:$Q$1300,0,MATCH($B249,元データ_14項目!$D$1:$Q$1,0)),元データ_14項目!$A$2:$A$1300,$A249,元データ_14項目!$B$2:$B$1300,"本年",元データ_14項目!$C$2:$C$1300,C$5)</f>
        <v>108</v>
      </c>
      <c r="D249" s="26">
        <f>SUMIFS(INDEX(元データ_14項目!$D$2:$Q$1300,0,MATCH($B249,元データ_14項目!$D$1:$Q$1,0)),元データ_14項目!$A$2:$A$1300,$A249,元データ_14項目!$B$2:$B$1300,"本年",元データ_14項目!$C$2:$C$1300,D$5)</f>
        <v>106</v>
      </c>
      <c r="E249" s="26">
        <f>SUMIFS(INDEX(元データ_14項目!$D$2:$Q$1300,0,MATCH($B249,元データ_14項目!$D$1:$Q$1,0)),元データ_14項目!$A$2:$A$1300,$A249,元データ_14項目!$B$2:$B$1300,"本年",元データ_14項目!$C$2:$C$1300,E$5)</f>
        <v>164</v>
      </c>
      <c r="F249" s="26">
        <f>SUMIFS(INDEX(元データ_14項目!$D$2:$Q$1300,0,MATCH($B249,元データ_14項目!$D$1:$Q$1,0)),元データ_14項目!$A$2:$A$1300,$A249,元データ_14項目!$B$2:$B$1300,"本年",元データ_14項目!$C$2:$C$1300,F$5)</f>
        <v>96</v>
      </c>
      <c r="G249" s="26">
        <f>SUMIFS(INDEX(元データ_14項目!$D$2:$Q$1300,0,MATCH($B249,元データ_14項目!$D$1:$Q$1,0)),元データ_14項目!$A$2:$A$1300,$A249,元データ_14項目!$B$2:$B$1300,"本年",元データ_14項目!$C$2:$C$1300,G$5)</f>
        <v>94</v>
      </c>
      <c r="H249" s="26">
        <f>SUMIFS(INDEX(元データ_14項目!$D$2:$Q$1300,0,MATCH($B249,元データ_14項目!$D$1:$Q$1,0)),元データ_14項目!$A$2:$A$1300,$A249,元データ_14項目!$B$2:$B$1300,"本年",元データ_14項目!$C$2:$C$1300,H$5)</f>
        <v>53</v>
      </c>
      <c r="I249" s="26">
        <f>SUMIFS(INDEX(元データ_14項目!$D$2:$Q$1300,0,MATCH($B249,元データ_14項目!$D$1:$Q$1,0)),元データ_14項目!$A$2:$A$1300,$A249,元データ_14項目!$B$2:$B$1300,"本年",元データ_14項目!$C$2:$C$1300,I$5)</f>
        <v>63</v>
      </c>
      <c r="J249" s="26">
        <f>SUMIFS(INDEX(元データ_14項目!$D$2:$Q$1300,0,MATCH($B249,元データ_14項目!$D$1:$Q$1,0)),元データ_14項目!$A$2:$A$1300,$A249,元データ_14項目!$B$2:$B$1300,"本年",元データ_14項目!$C$2:$C$1300,J$5)</f>
        <v>87</v>
      </c>
      <c r="K249" s="26">
        <f>SUMIFS(INDEX(元データ_14項目!$D$2:$Q$1300,0,MATCH($B249,元データ_14項目!$D$1:$Q$1,0)),元データ_14項目!$A$2:$A$1300,$A249,元データ_14項目!$B$2:$B$1300,"本年",元データ_14項目!$C$2:$C$1300,K$5)</f>
        <v>120</v>
      </c>
      <c r="L249" s="26">
        <f>SUMIFS(INDEX(元データ_14項目!$D$2:$Q$1300,0,MATCH($B249,元データ_14項目!$D$1:$Q$1,0)),元データ_14項目!$A$2:$A$1300,$A249,元データ_14項目!$B$2:$B$1300,"本年",元データ_14項目!$C$2:$C$1300,L$5)</f>
        <v>78</v>
      </c>
      <c r="M249" s="26">
        <f>SUMIFS(INDEX(元データ_14項目!$D$2:$Q$1300,0,MATCH($B249,元データ_14項目!$D$1:$Q$1,0)),元データ_14項目!$A$2:$A$1300,$A249,元データ_14項目!$B$2:$B$1300,"本年",元データ_14項目!$C$2:$C$1300,M$5)</f>
        <v>113</v>
      </c>
      <c r="N249" s="26">
        <f>SUMIFS(INDEX(元データ_14項目!$D$2:$Q$1300,0,MATCH($B249,元データ_14項目!$D$1:$Q$1,0)),元データ_14項目!$A$2:$A$1300,$A249,元データ_14項目!$B$2:$B$1300,"本年",元データ_14項目!$C$2:$C$1300,N$5)</f>
        <v>118</v>
      </c>
      <c r="O249" s="26">
        <f t="shared" si="6"/>
        <v>1200</v>
      </c>
      <c r="P249" s="26">
        <f>SUMIFS(INDEX(元データ_14項目!$D$2:$Q$1300,0,MATCH($B249,元データ_14項目!$D$1:$Q$1,0)),元データ_14項目!$A$2:$A$1300,$A249,元データ_14項目!$B$2:$B$1300,"前年")</f>
        <v>1310</v>
      </c>
      <c r="Q249" s="7">
        <f t="shared" si="7"/>
        <v>0.91603053435114501</v>
      </c>
    </row>
    <row r="250" spans="1:17" x14ac:dyDescent="0.45">
      <c r="A250" t="s">
        <v>52</v>
      </c>
      <c r="B250" t="s">
        <v>92</v>
      </c>
      <c r="C250" s="26">
        <f>SUMIFS(INDEX(元データ_14項目!$D$2:$Q$1300,0,MATCH($B250,元データ_14項目!$D$1:$Q$1,0)),元データ_14項目!$A$2:$A$1300,$A250,元データ_14項目!$B$2:$B$1300,"本年",元データ_14項目!$C$2:$C$1300,C$5)</f>
        <v>5</v>
      </c>
      <c r="D250" s="26">
        <f>SUMIFS(INDEX(元データ_14項目!$D$2:$Q$1300,0,MATCH($B250,元データ_14項目!$D$1:$Q$1,0)),元データ_14項目!$A$2:$A$1300,$A250,元データ_14項目!$B$2:$B$1300,"本年",元データ_14項目!$C$2:$C$1300,D$5)</f>
        <v>16</v>
      </c>
      <c r="E250" s="26">
        <f>SUMIFS(INDEX(元データ_14項目!$D$2:$Q$1300,0,MATCH($B250,元データ_14項目!$D$1:$Q$1,0)),元データ_14項目!$A$2:$A$1300,$A250,元データ_14項目!$B$2:$B$1300,"本年",元データ_14項目!$C$2:$C$1300,E$5)</f>
        <v>32</v>
      </c>
      <c r="F250" s="26">
        <f>SUMIFS(INDEX(元データ_14項目!$D$2:$Q$1300,0,MATCH($B250,元データ_14項目!$D$1:$Q$1,0)),元データ_14項目!$A$2:$A$1300,$A250,元データ_14項目!$B$2:$B$1300,"本年",元データ_14項目!$C$2:$C$1300,F$5)</f>
        <v>16</v>
      </c>
      <c r="G250" s="26">
        <f>SUMIFS(INDEX(元データ_14項目!$D$2:$Q$1300,0,MATCH($B250,元データ_14項目!$D$1:$Q$1,0)),元データ_14項目!$A$2:$A$1300,$A250,元データ_14項目!$B$2:$B$1300,"本年",元データ_14項目!$C$2:$C$1300,G$5)</f>
        <v>21</v>
      </c>
      <c r="H250" s="26">
        <f>SUMIFS(INDEX(元データ_14項目!$D$2:$Q$1300,0,MATCH($B250,元データ_14項目!$D$1:$Q$1,0)),元データ_14項目!$A$2:$A$1300,$A250,元データ_14項目!$B$2:$B$1300,"本年",元データ_14項目!$C$2:$C$1300,H$5)</f>
        <v>9</v>
      </c>
      <c r="I250" s="26">
        <f>SUMIFS(INDEX(元データ_14項目!$D$2:$Q$1300,0,MATCH($B250,元データ_14項目!$D$1:$Q$1,0)),元データ_14項目!$A$2:$A$1300,$A250,元データ_14項目!$B$2:$B$1300,"本年",元データ_14項目!$C$2:$C$1300,I$5)</f>
        <v>6</v>
      </c>
      <c r="J250" s="26">
        <f>SUMIFS(INDEX(元データ_14項目!$D$2:$Q$1300,0,MATCH($B250,元データ_14項目!$D$1:$Q$1,0)),元データ_14項目!$A$2:$A$1300,$A250,元データ_14項目!$B$2:$B$1300,"本年",元データ_14項目!$C$2:$C$1300,J$5)</f>
        <v>17</v>
      </c>
      <c r="K250" s="26">
        <f>SUMIFS(INDEX(元データ_14項目!$D$2:$Q$1300,0,MATCH($B250,元データ_14項目!$D$1:$Q$1,0)),元データ_14項目!$A$2:$A$1300,$A250,元データ_14項目!$B$2:$B$1300,"本年",元データ_14項目!$C$2:$C$1300,K$5)</f>
        <v>52</v>
      </c>
      <c r="L250" s="26">
        <f>SUMIFS(INDEX(元データ_14項目!$D$2:$Q$1300,0,MATCH($B250,元データ_14項目!$D$1:$Q$1,0)),元データ_14項目!$A$2:$A$1300,$A250,元データ_14項目!$B$2:$B$1300,"本年",元データ_14項目!$C$2:$C$1300,L$5)</f>
        <v>30</v>
      </c>
      <c r="M250" s="26">
        <f>SUMIFS(INDEX(元データ_14項目!$D$2:$Q$1300,0,MATCH($B250,元データ_14項目!$D$1:$Q$1,0)),元データ_14項目!$A$2:$A$1300,$A250,元データ_14項目!$B$2:$B$1300,"本年",元データ_14項目!$C$2:$C$1300,M$5)</f>
        <v>32</v>
      </c>
      <c r="N250" s="26">
        <f>SUMIFS(INDEX(元データ_14項目!$D$2:$Q$1300,0,MATCH($B250,元データ_14項目!$D$1:$Q$1,0)),元データ_14項目!$A$2:$A$1300,$A250,元データ_14項目!$B$2:$B$1300,"本年",元データ_14項目!$C$2:$C$1300,N$5)</f>
        <v>22</v>
      </c>
      <c r="O250" s="26">
        <f t="shared" si="6"/>
        <v>258</v>
      </c>
      <c r="P250" s="26">
        <f>SUMIFS(INDEX(元データ_14項目!$D$2:$Q$1300,0,MATCH($B250,元データ_14項目!$D$1:$Q$1,0)),元データ_14項目!$A$2:$A$1300,$A250,元データ_14項目!$B$2:$B$1300,"前年")</f>
        <v>196</v>
      </c>
      <c r="Q250" s="7">
        <f t="shared" si="7"/>
        <v>1.3163265306122449</v>
      </c>
    </row>
    <row r="251" spans="1:17" x14ac:dyDescent="0.45">
      <c r="A251" t="s">
        <v>52</v>
      </c>
      <c r="B251" t="s">
        <v>93</v>
      </c>
      <c r="C251" s="26">
        <f>SUMIFS(INDEX(元データ_14項目!$D$2:$Q$1300,0,MATCH($B251,元データ_14項目!$D$1:$Q$1,0)),元データ_14項目!$A$2:$A$1300,$A251,元データ_14項目!$B$2:$B$1300,"本年",元データ_14項目!$C$2:$C$1300,C$5)</f>
        <v>10</v>
      </c>
      <c r="D251" s="26">
        <f>SUMIFS(INDEX(元データ_14項目!$D$2:$Q$1300,0,MATCH($B251,元データ_14項目!$D$1:$Q$1,0)),元データ_14項目!$A$2:$A$1300,$A251,元データ_14項目!$B$2:$B$1300,"本年",元データ_14項目!$C$2:$C$1300,D$5)</f>
        <v>11</v>
      </c>
      <c r="E251" s="26">
        <f>SUMIFS(INDEX(元データ_14項目!$D$2:$Q$1300,0,MATCH($B251,元データ_14項目!$D$1:$Q$1,0)),元データ_14項目!$A$2:$A$1300,$A251,元データ_14項目!$B$2:$B$1300,"本年",元データ_14項目!$C$2:$C$1300,E$5)</f>
        <v>30</v>
      </c>
      <c r="F251" s="26">
        <f>SUMIFS(INDEX(元データ_14項目!$D$2:$Q$1300,0,MATCH($B251,元データ_14項目!$D$1:$Q$1,0)),元データ_14項目!$A$2:$A$1300,$A251,元データ_14項目!$B$2:$B$1300,"本年",元データ_14項目!$C$2:$C$1300,F$5)</f>
        <v>27</v>
      </c>
      <c r="G251" s="26">
        <f>SUMIFS(INDEX(元データ_14項目!$D$2:$Q$1300,0,MATCH($B251,元データ_14項目!$D$1:$Q$1,0)),元データ_14項目!$A$2:$A$1300,$A251,元データ_14項目!$B$2:$B$1300,"本年",元データ_14項目!$C$2:$C$1300,G$5)</f>
        <v>62</v>
      </c>
      <c r="H251" s="26">
        <f>SUMIFS(INDEX(元データ_14項目!$D$2:$Q$1300,0,MATCH($B251,元データ_14項目!$D$1:$Q$1,0)),元データ_14項目!$A$2:$A$1300,$A251,元データ_14項目!$B$2:$B$1300,"本年",元データ_14項目!$C$2:$C$1300,H$5)</f>
        <v>43</v>
      </c>
      <c r="I251" s="26">
        <f>SUMIFS(INDEX(元データ_14項目!$D$2:$Q$1300,0,MATCH($B251,元データ_14項目!$D$1:$Q$1,0)),元データ_14項目!$A$2:$A$1300,$A251,元データ_14項目!$B$2:$B$1300,"本年",元データ_14項目!$C$2:$C$1300,I$5)</f>
        <v>37</v>
      </c>
      <c r="J251" s="26">
        <f>SUMIFS(INDEX(元データ_14項目!$D$2:$Q$1300,0,MATCH($B251,元データ_14項目!$D$1:$Q$1,0)),元データ_14項目!$A$2:$A$1300,$A251,元データ_14項目!$B$2:$B$1300,"本年",元データ_14項目!$C$2:$C$1300,J$5)</f>
        <v>118</v>
      </c>
      <c r="K251" s="26">
        <f>SUMIFS(INDEX(元データ_14項目!$D$2:$Q$1300,0,MATCH($B251,元データ_14項目!$D$1:$Q$1,0)),元データ_14項目!$A$2:$A$1300,$A251,元データ_14項目!$B$2:$B$1300,"本年",元データ_14項目!$C$2:$C$1300,K$5)</f>
        <v>256</v>
      </c>
      <c r="L251" s="26">
        <f>SUMIFS(INDEX(元データ_14項目!$D$2:$Q$1300,0,MATCH($B251,元データ_14項目!$D$1:$Q$1,0)),元データ_14項目!$A$2:$A$1300,$A251,元データ_14項目!$B$2:$B$1300,"本年",元データ_14項目!$C$2:$C$1300,L$5)</f>
        <v>139</v>
      </c>
      <c r="M251" s="26">
        <f>SUMIFS(INDEX(元データ_14項目!$D$2:$Q$1300,0,MATCH($B251,元データ_14項目!$D$1:$Q$1,0)),元データ_14項目!$A$2:$A$1300,$A251,元データ_14項目!$B$2:$B$1300,"本年",元データ_14項目!$C$2:$C$1300,M$5)</f>
        <v>77</v>
      </c>
      <c r="N251" s="26">
        <f>SUMIFS(INDEX(元データ_14項目!$D$2:$Q$1300,0,MATCH($B251,元データ_14項目!$D$1:$Q$1,0)),元データ_14項目!$A$2:$A$1300,$A251,元データ_14項目!$B$2:$B$1300,"本年",元データ_14項目!$C$2:$C$1300,N$5)</f>
        <v>39</v>
      </c>
      <c r="O251" s="26">
        <f t="shared" si="6"/>
        <v>849</v>
      </c>
      <c r="P251" s="26">
        <f>SUMIFS(INDEX(元データ_14項目!$D$2:$Q$1300,0,MATCH($B251,元データ_14項目!$D$1:$Q$1,0)),元データ_14項目!$A$2:$A$1300,$A251,元データ_14項目!$B$2:$B$1300,"前年")</f>
        <v>826</v>
      </c>
      <c r="Q251" s="7">
        <f t="shared" si="7"/>
        <v>1.0278450363196125</v>
      </c>
    </row>
    <row r="252" spans="1:17" x14ac:dyDescent="0.45">
      <c r="A252" t="s">
        <v>52</v>
      </c>
      <c r="B252" t="s">
        <v>94</v>
      </c>
      <c r="C252" s="26">
        <f>SUMIFS(INDEX(元データ_14項目!$D$2:$Q$1300,0,MATCH($B252,元データ_14項目!$D$1:$Q$1,0)),元データ_14項目!$A$2:$A$1300,$A252,元データ_14項目!$B$2:$B$1300,"本年",元データ_14項目!$C$2:$C$1300,C$5)</f>
        <v>18</v>
      </c>
      <c r="D252" s="26">
        <f>SUMIFS(INDEX(元データ_14項目!$D$2:$Q$1300,0,MATCH($B252,元データ_14項目!$D$1:$Q$1,0)),元データ_14項目!$A$2:$A$1300,$A252,元データ_14項目!$B$2:$B$1300,"本年",元データ_14項目!$C$2:$C$1300,D$5)</f>
        <v>3</v>
      </c>
      <c r="E252" s="26">
        <f>SUMIFS(INDEX(元データ_14項目!$D$2:$Q$1300,0,MATCH($B252,元データ_14項目!$D$1:$Q$1,0)),元データ_14項目!$A$2:$A$1300,$A252,元データ_14項目!$B$2:$B$1300,"本年",元データ_14項目!$C$2:$C$1300,E$5)</f>
        <v>35</v>
      </c>
      <c r="F252" s="26">
        <f>SUMIFS(INDEX(元データ_14項目!$D$2:$Q$1300,0,MATCH($B252,元データ_14項目!$D$1:$Q$1,0)),元データ_14項目!$A$2:$A$1300,$A252,元データ_14項目!$B$2:$B$1300,"本年",元データ_14項目!$C$2:$C$1300,F$5)</f>
        <v>32</v>
      </c>
      <c r="G252" s="26">
        <f>SUMIFS(INDEX(元データ_14項目!$D$2:$Q$1300,0,MATCH($B252,元データ_14項目!$D$1:$Q$1,0)),元データ_14項目!$A$2:$A$1300,$A252,元データ_14項目!$B$2:$B$1300,"本年",元データ_14項目!$C$2:$C$1300,G$5)</f>
        <v>26</v>
      </c>
      <c r="H252" s="26">
        <f>SUMIFS(INDEX(元データ_14項目!$D$2:$Q$1300,0,MATCH($B252,元データ_14項目!$D$1:$Q$1,0)),元データ_14項目!$A$2:$A$1300,$A252,元データ_14項目!$B$2:$B$1300,"本年",元データ_14項目!$C$2:$C$1300,H$5)</f>
        <v>16</v>
      </c>
      <c r="I252" s="26">
        <f>SUMIFS(INDEX(元データ_14項目!$D$2:$Q$1300,0,MATCH($B252,元データ_14項目!$D$1:$Q$1,0)),元データ_14項目!$A$2:$A$1300,$A252,元データ_14項目!$B$2:$B$1300,"本年",元データ_14項目!$C$2:$C$1300,I$5)</f>
        <v>10</v>
      </c>
      <c r="J252" s="26">
        <f>SUMIFS(INDEX(元データ_14項目!$D$2:$Q$1300,0,MATCH($B252,元データ_14項目!$D$1:$Q$1,0)),元データ_14項目!$A$2:$A$1300,$A252,元データ_14項目!$B$2:$B$1300,"本年",元データ_14項目!$C$2:$C$1300,J$5)</f>
        <v>24</v>
      </c>
      <c r="K252" s="26">
        <f>SUMIFS(INDEX(元データ_14項目!$D$2:$Q$1300,0,MATCH($B252,元データ_14項目!$D$1:$Q$1,0)),元データ_14項目!$A$2:$A$1300,$A252,元データ_14項目!$B$2:$B$1300,"本年",元データ_14項目!$C$2:$C$1300,K$5)</f>
        <v>97</v>
      </c>
      <c r="L252" s="26">
        <f>SUMIFS(INDEX(元データ_14項目!$D$2:$Q$1300,0,MATCH($B252,元データ_14項目!$D$1:$Q$1,0)),元データ_14項目!$A$2:$A$1300,$A252,元データ_14項目!$B$2:$B$1300,"本年",元データ_14項目!$C$2:$C$1300,L$5)</f>
        <v>58</v>
      </c>
      <c r="M252" s="26">
        <f>SUMIFS(INDEX(元データ_14項目!$D$2:$Q$1300,0,MATCH($B252,元データ_14項目!$D$1:$Q$1,0)),元データ_14項目!$A$2:$A$1300,$A252,元データ_14項目!$B$2:$B$1300,"本年",元データ_14項目!$C$2:$C$1300,M$5)</f>
        <v>34</v>
      </c>
      <c r="N252" s="26">
        <f>SUMIFS(INDEX(元データ_14項目!$D$2:$Q$1300,0,MATCH($B252,元データ_14項目!$D$1:$Q$1,0)),元データ_14項目!$A$2:$A$1300,$A252,元データ_14項目!$B$2:$B$1300,"本年",元データ_14項目!$C$2:$C$1300,N$5)</f>
        <v>13</v>
      </c>
      <c r="O252" s="26">
        <f t="shared" si="6"/>
        <v>366</v>
      </c>
      <c r="P252" s="26">
        <f>SUMIFS(INDEX(元データ_14項目!$D$2:$Q$1300,0,MATCH($B252,元データ_14項目!$D$1:$Q$1,0)),元データ_14項目!$A$2:$A$1300,$A252,元データ_14項目!$B$2:$B$1300,"前年")</f>
        <v>367</v>
      </c>
      <c r="Q252" s="7">
        <f t="shared" si="7"/>
        <v>0.99727520435967298</v>
      </c>
    </row>
    <row r="253" spans="1:17" x14ac:dyDescent="0.45">
      <c r="A253" t="s">
        <v>52</v>
      </c>
      <c r="B253" t="s">
        <v>95</v>
      </c>
      <c r="C253" s="26">
        <f>SUMIFS(INDEX(元データ_14項目!$D$2:$Q$1300,0,MATCH($B253,元データ_14項目!$D$1:$Q$1,0)),元データ_14項目!$A$2:$A$1300,$A253,元データ_14項目!$B$2:$B$1300,"本年",元データ_14項目!$C$2:$C$1300,C$5)</f>
        <v>9</v>
      </c>
      <c r="D253" s="26">
        <f>SUMIFS(INDEX(元データ_14項目!$D$2:$Q$1300,0,MATCH($B253,元データ_14項目!$D$1:$Q$1,0)),元データ_14項目!$A$2:$A$1300,$A253,元データ_14項目!$B$2:$B$1300,"本年",元データ_14項目!$C$2:$C$1300,D$5)</f>
        <v>13</v>
      </c>
      <c r="E253" s="26">
        <f>SUMIFS(INDEX(元データ_14項目!$D$2:$Q$1300,0,MATCH($B253,元データ_14項目!$D$1:$Q$1,0)),元データ_14項目!$A$2:$A$1300,$A253,元データ_14項目!$B$2:$B$1300,"本年",元データ_14項目!$C$2:$C$1300,E$5)</f>
        <v>44</v>
      </c>
      <c r="F253" s="26">
        <f>SUMIFS(INDEX(元データ_14項目!$D$2:$Q$1300,0,MATCH($B253,元データ_14項目!$D$1:$Q$1,0)),元データ_14項目!$A$2:$A$1300,$A253,元データ_14項目!$B$2:$B$1300,"本年",元データ_14項目!$C$2:$C$1300,F$5)</f>
        <v>19</v>
      </c>
      <c r="G253" s="26">
        <f>SUMIFS(INDEX(元データ_14項目!$D$2:$Q$1300,0,MATCH($B253,元データ_14項目!$D$1:$Q$1,0)),元データ_14項目!$A$2:$A$1300,$A253,元データ_14項目!$B$2:$B$1300,"本年",元データ_14項目!$C$2:$C$1300,G$5)</f>
        <v>20</v>
      </c>
      <c r="H253" s="26">
        <f>SUMIFS(INDEX(元データ_14項目!$D$2:$Q$1300,0,MATCH($B253,元データ_14項目!$D$1:$Q$1,0)),元データ_14項目!$A$2:$A$1300,$A253,元データ_14項目!$B$2:$B$1300,"本年",元データ_14項目!$C$2:$C$1300,H$5)</f>
        <v>7</v>
      </c>
      <c r="I253" s="26">
        <f>SUMIFS(INDEX(元データ_14項目!$D$2:$Q$1300,0,MATCH($B253,元データ_14項目!$D$1:$Q$1,0)),元データ_14項目!$A$2:$A$1300,$A253,元データ_14項目!$B$2:$B$1300,"本年",元データ_14項目!$C$2:$C$1300,I$5)</f>
        <v>8</v>
      </c>
      <c r="J253" s="26">
        <f>SUMIFS(INDEX(元データ_14項目!$D$2:$Q$1300,0,MATCH($B253,元データ_14項目!$D$1:$Q$1,0)),元データ_14項目!$A$2:$A$1300,$A253,元データ_14項目!$B$2:$B$1300,"本年",元データ_14項目!$C$2:$C$1300,J$5)</f>
        <v>6</v>
      </c>
      <c r="K253" s="26">
        <f>SUMIFS(INDEX(元データ_14項目!$D$2:$Q$1300,0,MATCH($B253,元データ_14項目!$D$1:$Q$1,0)),元データ_14項目!$A$2:$A$1300,$A253,元データ_14項目!$B$2:$B$1300,"本年",元データ_14項目!$C$2:$C$1300,K$5)</f>
        <v>66</v>
      </c>
      <c r="L253" s="26">
        <f>SUMIFS(INDEX(元データ_14項目!$D$2:$Q$1300,0,MATCH($B253,元データ_14項目!$D$1:$Q$1,0)),元データ_14項目!$A$2:$A$1300,$A253,元データ_14項目!$B$2:$B$1300,"本年",元データ_14項目!$C$2:$C$1300,L$5)</f>
        <v>34</v>
      </c>
      <c r="M253" s="26">
        <f>SUMIFS(INDEX(元データ_14項目!$D$2:$Q$1300,0,MATCH($B253,元データ_14項目!$D$1:$Q$1,0)),元データ_14項目!$A$2:$A$1300,$A253,元データ_14項目!$B$2:$B$1300,"本年",元データ_14項目!$C$2:$C$1300,M$5)</f>
        <v>36</v>
      </c>
      <c r="N253" s="26">
        <f>SUMIFS(INDEX(元データ_14項目!$D$2:$Q$1300,0,MATCH($B253,元データ_14項目!$D$1:$Q$1,0)),元データ_14項目!$A$2:$A$1300,$A253,元データ_14項目!$B$2:$B$1300,"本年",元データ_14項目!$C$2:$C$1300,N$5)</f>
        <v>19</v>
      </c>
      <c r="O253" s="26">
        <f t="shared" si="6"/>
        <v>281</v>
      </c>
      <c r="P253" s="26">
        <f>SUMIFS(INDEX(元データ_14項目!$D$2:$Q$1300,0,MATCH($B253,元データ_14項目!$D$1:$Q$1,0)),元データ_14項目!$A$2:$A$1300,$A253,元データ_14項目!$B$2:$B$1300,"前年")</f>
        <v>247</v>
      </c>
      <c r="Q253" s="7">
        <f t="shared" si="7"/>
        <v>1.1376518218623481</v>
      </c>
    </row>
    <row r="254" spans="1:17" x14ac:dyDescent="0.45">
      <c r="A254" t="s">
        <v>52</v>
      </c>
      <c r="B254" t="s">
        <v>96</v>
      </c>
      <c r="C254" s="26">
        <f>SUMIFS(INDEX(元データ_14項目!$D$2:$Q$1300,0,MATCH($B254,元データ_14項目!$D$1:$Q$1,0)),元データ_14項目!$A$2:$A$1300,$A254,元データ_14項目!$B$2:$B$1300,"本年",元データ_14項目!$C$2:$C$1300,C$5)</f>
        <v>8</v>
      </c>
      <c r="D254" s="26">
        <f>SUMIFS(INDEX(元データ_14項目!$D$2:$Q$1300,0,MATCH($B254,元データ_14項目!$D$1:$Q$1,0)),元データ_14項目!$A$2:$A$1300,$A254,元データ_14項目!$B$2:$B$1300,"本年",元データ_14項目!$C$2:$C$1300,D$5)</f>
        <v>6</v>
      </c>
      <c r="E254" s="26">
        <f>SUMIFS(INDEX(元データ_14項目!$D$2:$Q$1300,0,MATCH($B254,元データ_14項目!$D$1:$Q$1,0)),元データ_14項目!$A$2:$A$1300,$A254,元データ_14項目!$B$2:$B$1300,"本年",元データ_14項目!$C$2:$C$1300,E$5)</f>
        <v>32</v>
      </c>
      <c r="F254" s="26">
        <f>SUMIFS(INDEX(元データ_14項目!$D$2:$Q$1300,0,MATCH($B254,元データ_14項目!$D$1:$Q$1,0)),元データ_14項目!$A$2:$A$1300,$A254,元データ_14項目!$B$2:$B$1300,"本年",元データ_14項目!$C$2:$C$1300,F$5)</f>
        <v>32</v>
      </c>
      <c r="G254" s="26">
        <f>SUMIFS(INDEX(元データ_14項目!$D$2:$Q$1300,0,MATCH($B254,元データ_14項目!$D$1:$Q$1,0)),元データ_14項目!$A$2:$A$1300,$A254,元データ_14項目!$B$2:$B$1300,"本年",元データ_14項目!$C$2:$C$1300,G$5)</f>
        <v>31</v>
      </c>
      <c r="H254" s="26">
        <f>SUMIFS(INDEX(元データ_14項目!$D$2:$Q$1300,0,MATCH($B254,元データ_14項目!$D$1:$Q$1,0)),元データ_14項目!$A$2:$A$1300,$A254,元データ_14項目!$B$2:$B$1300,"本年",元データ_14項目!$C$2:$C$1300,H$5)</f>
        <v>16</v>
      </c>
      <c r="I254" s="26">
        <f>SUMIFS(INDEX(元データ_14項目!$D$2:$Q$1300,0,MATCH($B254,元データ_14項目!$D$1:$Q$1,0)),元データ_14項目!$A$2:$A$1300,$A254,元データ_14項目!$B$2:$B$1300,"本年",元データ_14項目!$C$2:$C$1300,I$5)</f>
        <v>17</v>
      </c>
      <c r="J254" s="26">
        <f>SUMIFS(INDEX(元データ_14項目!$D$2:$Q$1300,0,MATCH($B254,元データ_14項目!$D$1:$Q$1,0)),元データ_14項目!$A$2:$A$1300,$A254,元データ_14項目!$B$2:$B$1300,"本年",元データ_14項目!$C$2:$C$1300,J$5)</f>
        <v>84</v>
      </c>
      <c r="K254" s="26">
        <f>SUMIFS(INDEX(元データ_14項目!$D$2:$Q$1300,0,MATCH($B254,元データ_14項目!$D$1:$Q$1,0)),元データ_14項目!$A$2:$A$1300,$A254,元データ_14項目!$B$2:$B$1300,"本年",元データ_14項目!$C$2:$C$1300,K$5)</f>
        <v>213</v>
      </c>
      <c r="L254" s="26">
        <f>SUMIFS(INDEX(元データ_14項目!$D$2:$Q$1300,0,MATCH($B254,元データ_14項目!$D$1:$Q$1,0)),元データ_14項目!$A$2:$A$1300,$A254,元データ_14項目!$B$2:$B$1300,"本年",元データ_14項目!$C$2:$C$1300,L$5)</f>
        <v>91</v>
      </c>
      <c r="M254" s="26">
        <f>SUMIFS(INDEX(元データ_14項目!$D$2:$Q$1300,0,MATCH($B254,元データ_14項目!$D$1:$Q$1,0)),元データ_14項目!$A$2:$A$1300,$A254,元データ_14項目!$B$2:$B$1300,"本年",元データ_14項目!$C$2:$C$1300,M$5)</f>
        <v>74</v>
      </c>
      <c r="N254" s="26">
        <f>SUMIFS(INDEX(元データ_14項目!$D$2:$Q$1300,0,MATCH($B254,元データ_14項目!$D$1:$Q$1,0)),元データ_14項目!$A$2:$A$1300,$A254,元データ_14項目!$B$2:$B$1300,"本年",元データ_14項目!$C$2:$C$1300,N$5)</f>
        <v>10</v>
      </c>
      <c r="O254" s="26">
        <f t="shared" si="6"/>
        <v>614</v>
      </c>
      <c r="P254" s="26">
        <f>SUMIFS(INDEX(元データ_14項目!$D$2:$Q$1300,0,MATCH($B254,元データ_14項目!$D$1:$Q$1,0)),元データ_14項目!$A$2:$A$1300,$A254,元データ_14項目!$B$2:$B$1300,"前年")</f>
        <v>623</v>
      </c>
      <c r="Q254" s="7">
        <f t="shared" si="7"/>
        <v>0.985553772070626</v>
      </c>
    </row>
    <row r="255" spans="1:17" x14ac:dyDescent="0.45">
      <c r="A255" t="s">
        <v>52</v>
      </c>
      <c r="B255" t="s">
        <v>97</v>
      </c>
      <c r="C255" s="26">
        <f>SUMIFS(INDEX(元データ_14項目!$D$2:$Q$1300,0,MATCH($B255,元データ_14項目!$D$1:$Q$1,0)),元データ_14項目!$A$2:$A$1300,$A255,元データ_14項目!$B$2:$B$1300,"本年",元データ_14項目!$C$2:$C$1300,C$5)</f>
        <v>16</v>
      </c>
      <c r="D255" s="26">
        <f>SUMIFS(INDEX(元データ_14項目!$D$2:$Q$1300,0,MATCH($B255,元データ_14項目!$D$1:$Q$1,0)),元データ_14項目!$A$2:$A$1300,$A255,元データ_14項目!$B$2:$B$1300,"本年",元データ_14項目!$C$2:$C$1300,D$5)</f>
        <v>13</v>
      </c>
      <c r="E255" s="26">
        <f>SUMIFS(INDEX(元データ_14項目!$D$2:$Q$1300,0,MATCH($B255,元データ_14項目!$D$1:$Q$1,0)),元データ_14項目!$A$2:$A$1300,$A255,元データ_14項目!$B$2:$B$1300,"本年",元データ_14項目!$C$2:$C$1300,E$5)</f>
        <v>29</v>
      </c>
      <c r="F255" s="26">
        <f>SUMIFS(INDEX(元データ_14項目!$D$2:$Q$1300,0,MATCH($B255,元データ_14項目!$D$1:$Q$1,0)),元データ_14項目!$A$2:$A$1300,$A255,元データ_14項目!$B$2:$B$1300,"本年",元データ_14項目!$C$2:$C$1300,F$5)</f>
        <v>20</v>
      </c>
      <c r="G255" s="26">
        <f>SUMIFS(INDEX(元データ_14項目!$D$2:$Q$1300,0,MATCH($B255,元データ_14項目!$D$1:$Q$1,0)),元データ_14項目!$A$2:$A$1300,$A255,元データ_14項目!$B$2:$B$1300,"本年",元データ_14項目!$C$2:$C$1300,G$5)</f>
        <v>33</v>
      </c>
      <c r="H255" s="26">
        <f>SUMIFS(INDEX(元データ_14項目!$D$2:$Q$1300,0,MATCH($B255,元データ_14項目!$D$1:$Q$1,0)),元データ_14項目!$A$2:$A$1300,$A255,元データ_14項目!$B$2:$B$1300,"本年",元データ_14項目!$C$2:$C$1300,H$5)</f>
        <v>11</v>
      </c>
      <c r="I255" s="26">
        <f>SUMIFS(INDEX(元データ_14項目!$D$2:$Q$1300,0,MATCH($B255,元データ_14項目!$D$1:$Q$1,0)),元データ_14項目!$A$2:$A$1300,$A255,元データ_14項目!$B$2:$B$1300,"本年",元データ_14項目!$C$2:$C$1300,I$5)</f>
        <v>19</v>
      </c>
      <c r="J255" s="26">
        <f>SUMIFS(INDEX(元データ_14項目!$D$2:$Q$1300,0,MATCH($B255,元データ_14項目!$D$1:$Q$1,0)),元データ_14項目!$A$2:$A$1300,$A255,元データ_14項目!$B$2:$B$1300,"本年",元データ_14項目!$C$2:$C$1300,J$5)</f>
        <v>65</v>
      </c>
      <c r="K255" s="26">
        <f>SUMIFS(INDEX(元データ_14項目!$D$2:$Q$1300,0,MATCH($B255,元データ_14項目!$D$1:$Q$1,0)),元データ_14項目!$A$2:$A$1300,$A255,元データ_14項目!$B$2:$B$1300,"本年",元データ_14項目!$C$2:$C$1300,K$5)</f>
        <v>157</v>
      </c>
      <c r="L255" s="26">
        <f>SUMIFS(INDEX(元データ_14項目!$D$2:$Q$1300,0,MATCH($B255,元データ_14項目!$D$1:$Q$1,0)),元データ_14項目!$A$2:$A$1300,$A255,元データ_14項目!$B$2:$B$1300,"本年",元データ_14項目!$C$2:$C$1300,L$5)</f>
        <v>58</v>
      </c>
      <c r="M255" s="26">
        <f>SUMIFS(INDEX(元データ_14項目!$D$2:$Q$1300,0,MATCH($B255,元データ_14項目!$D$1:$Q$1,0)),元データ_14項目!$A$2:$A$1300,$A255,元データ_14項目!$B$2:$B$1300,"本年",元データ_14項目!$C$2:$C$1300,M$5)</f>
        <v>81</v>
      </c>
      <c r="N255" s="26">
        <f>SUMIFS(INDEX(元データ_14項目!$D$2:$Q$1300,0,MATCH($B255,元データ_14項目!$D$1:$Q$1,0)),元データ_14項目!$A$2:$A$1300,$A255,元データ_14項目!$B$2:$B$1300,"本年",元データ_14項目!$C$2:$C$1300,N$5)</f>
        <v>24</v>
      </c>
      <c r="O255" s="26">
        <f t="shared" si="6"/>
        <v>526</v>
      </c>
      <c r="P255" s="26">
        <f>SUMIFS(INDEX(元データ_14項目!$D$2:$Q$1300,0,MATCH($B255,元データ_14項目!$D$1:$Q$1,0)),元データ_14項目!$A$2:$A$1300,$A255,元データ_14項目!$B$2:$B$1300,"前年")</f>
        <v>559</v>
      </c>
      <c r="Q255" s="7">
        <f t="shared" si="7"/>
        <v>0.94096601073345254</v>
      </c>
    </row>
    <row r="256" spans="1:17" x14ac:dyDescent="0.45">
      <c r="A256" t="s">
        <v>52</v>
      </c>
      <c r="B256" t="s">
        <v>98</v>
      </c>
      <c r="C256" s="26">
        <f>SUMIFS(INDEX(元データ_14項目!$D$2:$Q$1300,0,MATCH($B256,元データ_14項目!$D$1:$Q$1,0)),元データ_14項目!$A$2:$A$1300,$A256,元データ_14項目!$B$2:$B$1300,"本年",元データ_14項目!$C$2:$C$1300,C$5)</f>
        <v>4</v>
      </c>
      <c r="D256" s="26">
        <f>SUMIFS(INDEX(元データ_14項目!$D$2:$Q$1300,0,MATCH($B256,元データ_14項目!$D$1:$Q$1,0)),元データ_14項目!$A$2:$A$1300,$A256,元データ_14項目!$B$2:$B$1300,"本年",元データ_14項目!$C$2:$C$1300,D$5)</f>
        <v>7</v>
      </c>
      <c r="E256" s="26">
        <f>SUMIFS(INDEX(元データ_14項目!$D$2:$Q$1300,0,MATCH($B256,元データ_14項目!$D$1:$Q$1,0)),元データ_14項目!$A$2:$A$1300,$A256,元データ_14項目!$B$2:$B$1300,"本年",元データ_14項目!$C$2:$C$1300,E$5)</f>
        <v>14</v>
      </c>
      <c r="F256" s="26">
        <f>SUMIFS(INDEX(元データ_14項目!$D$2:$Q$1300,0,MATCH($B256,元データ_14項目!$D$1:$Q$1,0)),元データ_14項目!$A$2:$A$1300,$A256,元データ_14項目!$B$2:$B$1300,"本年",元データ_14項目!$C$2:$C$1300,F$5)</f>
        <v>6</v>
      </c>
      <c r="G256" s="26">
        <f>SUMIFS(INDEX(元データ_14項目!$D$2:$Q$1300,0,MATCH($B256,元データ_14項目!$D$1:$Q$1,0)),元データ_14項目!$A$2:$A$1300,$A256,元データ_14項目!$B$2:$B$1300,"本年",元データ_14項目!$C$2:$C$1300,G$5)</f>
        <v>10</v>
      </c>
      <c r="H256" s="26">
        <f>SUMIFS(INDEX(元データ_14項目!$D$2:$Q$1300,0,MATCH($B256,元データ_14項目!$D$1:$Q$1,0)),元データ_14項目!$A$2:$A$1300,$A256,元データ_14項目!$B$2:$B$1300,"本年",元データ_14項目!$C$2:$C$1300,H$5)</f>
        <v>12</v>
      </c>
      <c r="I256" s="26">
        <f>SUMIFS(INDEX(元データ_14項目!$D$2:$Q$1300,0,MATCH($B256,元データ_14項目!$D$1:$Q$1,0)),元データ_14項目!$A$2:$A$1300,$A256,元データ_14項目!$B$2:$B$1300,"本年",元データ_14項目!$C$2:$C$1300,I$5)</f>
        <v>7</v>
      </c>
      <c r="J256" s="26">
        <f>SUMIFS(INDEX(元データ_14項目!$D$2:$Q$1300,0,MATCH($B256,元データ_14項目!$D$1:$Q$1,0)),元データ_14項目!$A$2:$A$1300,$A256,元データ_14項目!$B$2:$B$1300,"本年",元データ_14項目!$C$2:$C$1300,J$5)</f>
        <v>60</v>
      </c>
      <c r="K256" s="26">
        <f>SUMIFS(INDEX(元データ_14項目!$D$2:$Q$1300,0,MATCH($B256,元データ_14項目!$D$1:$Q$1,0)),元データ_14項目!$A$2:$A$1300,$A256,元データ_14項目!$B$2:$B$1300,"本年",元データ_14項目!$C$2:$C$1300,K$5)</f>
        <v>128</v>
      </c>
      <c r="L256" s="26">
        <f>SUMIFS(INDEX(元データ_14項目!$D$2:$Q$1300,0,MATCH($B256,元データ_14項目!$D$1:$Q$1,0)),元データ_14項目!$A$2:$A$1300,$A256,元データ_14項目!$B$2:$B$1300,"本年",元データ_14項目!$C$2:$C$1300,L$5)</f>
        <v>50</v>
      </c>
      <c r="M256" s="26">
        <f>SUMIFS(INDEX(元データ_14項目!$D$2:$Q$1300,0,MATCH($B256,元データ_14項目!$D$1:$Q$1,0)),元データ_14項目!$A$2:$A$1300,$A256,元データ_14項目!$B$2:$B$1300,"本年",元データ_14項目!$C$2:$C$1300,M$5)</f>
        <v>51</v>
      </c>
      <c r="N256" s="26">
        <f>SUMIFS(INDEX(元データ_14項目!$D$2:$Q$1300,0,MATCH($B256,元データ_14項目!$D$1:$Q$1,0)),元データ_14項目!$A$2:$A$1300,$A256,元データ_14項目!$B$2:$B$1300,"本年",元データ_14項目!$C$2:$C$1300,N$5)</f>
        <v>9</v>
      </c>
      <c r="O256" s="26">
        <f t="shared" si="6"/>
        <v>358</v>
      </c>
      <c r="P256" s="26">
        <f>SUMIFS(INDEX(元データ_14項目!$D$2:$Q$1300,0,MATCH($B256,元データ_14項目!$D$1:$Q$1,0)),元データ_14項目!$A$2:$A$1300,$A256,元データ_14項目!$B$2:$B$1300,"前年")</f>
        <v>322</v>
      </c>
      <c r="Q256" s="7">
        <f t="shared" si="7"/>
        <v>1.1118012422360248</v>
      </c>
    </row>
    <row r="257" spans="1:17" x14ac:dyDescent="0.45">
      <c r="A257" t="s">
        <v>52</v>
      </c>
      <c r="B257" t="s">
        <v>99</v>
      </c>
      <c r="C257" s="26">
        <f>SUMIFS(INDEX(元データ_14項目!$D$2:$Q$1300,0,MATCH($B257,元データ_14項目!$D$1:$Q$1,0)),元データ_14項目!$A$2:$A$1300,$A257,元データ_14項目!$B$2:$B$1300,"本年",元データ_14項目!$C$2:$C$1300,C$5)</f>
        <v>0</v>
      </c>
      <c r="D257" s="26">
        <f>SUMIFS(INDEX(元データ_14項目!$D$2:$Q$1300,0,MATCH($B257,元データ_14項目!$D$1:$Q$1,0)),元データ_14項目!$A$2:$A$1300,$A257,元データ_14項目!$B$2:$B$1300,"本年",元データ_14項目!$C$2:$C$1300,D$5)</f>
        <v>0</v>
      </c>
      <c r="E257" s="26">
        <f>SUMIFS(INDEX(元データ_14項目!$D$2:$Q$1300,0,MATCH($B257,元データ_14項目!$D$1:$Q$1,0)),元データ_14項目!$A$2:$A$1300,$A257,元データ_14項目!$B$2:$B$1300,"本年",元データ_14項目!$C$2:$C$1300,E$5)</f>
        <v>0</v>
      </c>
      <c r="F257" s="26">
        <f>SUMIFS(INDEX(元データ_14項目!$D$2:$Q$1300,0,MATCH($B257,元データ_14項目!$D$1:$Q$1,0)),元データ_14項目!$A$2:$A$1300,$A257,元データ_14項目!$B$2:$B$1300,"本年",元データ_14項目!$C$2:$C$1300,F$5)</f>
        <v>0</v>
      </c>
      <c r="G257" s="26">
        <f>SUMIFS(INDEX(元データ_14項目!$D$2:$Q$1300,0,MATCH($B257,元データ_14項目!$D$1:$Q$1,0)),元データ_14項目!$A$2:$A$1300,$A257,元データ_14項目!$B$2:$B$1300,"本年",元データ_14項目!$C$2:$C$1300,G$5)</f>
        <v>0</v>
      </c>
      <c r="H257" s="26">
        <f>SUMIFS(INDEX(元データ_14項目!$D$2:$Q$1300,0,MATCH($B257,元データ_14項目!$D$1:$Q$1,0)),元データ_14項目!$A$2:$A$1300,$A257,元データ_14項目!$B$2:$B$1300,"本年",元データ_14項目!$C$2:$C$1300,H$5)</f>
        <v>3</v>
      </c>
      <c r="I257" s="26">
        <f>SUMIFS(INDEX(元データ_14項目!$D$2:$Q$1300,0,MATCH($B257,元データ_14項目!$D$1:$Q$1,0)),元データ_14項目!$A$2:$A$1300,$A257,元データ_14項目!$B$2:$B$1300,"本年",元データ_14項目!$C$2:$C$1300,I$5)</f>
        <v>3</v>
      </c>
      <c r="J257" s="26">
        <f>SUMIFS(INDEX(元データ_14項目!$D$2:$Q$1300,0,MATCH($B257,元データ_14項目!$D$1:$Q$1,0)),元データ_14項目!$A$2:$A$1300,$A257,元データ_14項目!$B$2:$B$1300,"本年",元データ_14項目!$C$2:$C$1300,J$5)</f>
        <v>2</v>
      </c>
      <c r="K257" s="26">
        <f>SUMIFS(INDEX(元データ_14項目!$D$2:$Q$1300,0,MATCH($B257,元データ_14項目!$D$1:$Q$1,0)),元データ_14項目!$A$2:$A$1300,$A257,元データ_14項目!$B$2:$B$1300,"本年",元データ_14項目!$C$2:$C$1300,K$5)</f>
        <v>5</v>
      </c>
      <c r="L257" s="26">
        <f>SUMIFS(INDEX(元データ_14項目!$D$2:$Q$1300,0,MATCH($B257,元データ_14項目!$D$1:$Q$1,0)),元データ_14項目!$A$2:$A$1300,$A257,元データ_14項目!$B$2:$B$1300,"本年",元データ_14項目!$C$2:$C$1300,L$5)</f>
        <v>0</v>
      </c>
      <c r="M257" s="26">
        <f>SUMIFS(INDEX(元データ_14項目!$D$2:$Q$1300,0,MATCH($B257,元データ_14項目!$D$1:$Q$1,0)),元データ_14項目!$A$2:$A$1300,$A257,元データ_14項目!$B$2:$B$1300,"本年",元データ_14項目!$C$2:$C$1300,M$5)</f>
        <v>0</v>
      </c>
      <c r="N257" s="26">
        <f>SUMIFS(INDEX(元データ_14項目!$D$2:$Q$1300,0,MATCH($B257,元データ_14項目!$D$1:$Q$1,0)),元データ_14項目!$A$2:$A$1300,$A257,元データ_14項目!$B$2:$B$1300,"本年",元データ_14項目!$C$2:$C$1300,N$5)</f>
        <v>0</v>
      </c>
      <c r="O257" s="26">
        <f t="shared" si="6"/>
        <v>13</v>
      </c>
      <c r="P257" s="26">
        <f>SUMIFS(INDEX(元データ_14項目!$D$2:$Q$1300,0,MATCH($B257,元データ_14項目!$D$1:$Q$1,0)),元データ_14項目!$A$2:$A$1300,$A257,元データ_14項目!$B$2:$B$1300,"前年")</f>
        <v>30</v>
      </c>
      <c r="Q257" s="7">
        <f t="shared" si="7"/>
        <v>0.43333333333333335</v>
      </c>
    </row>
    <row r="258" spans="1:17" x14ac:dyDescent="0.45">
      <c r="A258" t="s">
        <v>53</v>
      </c>
      <c r="B258" t="s">
        <v>27</v>
      </c>
      <c r="C258" s="26">
        <f>SUMIFS(INDEX(元データ_14項目!$D$2:$Q$1300,0,MATCH($B258,元データ_14項目!$D$1:$Q$1,0)),元データ_14項目!$A$2:$A$1300,$A258,元データ_14項目!$B$2:$B$1300,"本年",元データ_14項目!$C$2:$C$1300,C$5)</f>
        <v>348</v>
      </c>
      <c r="D258" s="26">
        <f>SUMIFS(INDEX(元データ_14項目!$D$2:$Q$1300,0,MATCH($B258,元データ_14項目!$D$1:$Q$1,0)),元データ_14項目!$A$2:$A$1300,$A258,元データ_14項目!$B$2:$B$1300,"本年",元データ_14項目!$C$2:$C$1300,D$5)</f>
        <v>379</v>
      </c>
      <c r="E258" s="26">
        <f>SUMIFS(INDEX(元データ_14項目!$D$2:$Q$1300,0,MATCH($B258,元データ_14項目!$D$1:$Q$1,0)),元データ_14項目!$A$2:$A$1300,$A258,元データ_14項目!$B$2:$B$1300,"本年",元データ_14項目!$C$2:$C$1300,E$5)</f>
        <v>547</v>
      </c>
      <c r="F258" s="26">
        <f>SUMIFS(INDEX(元データ_14項目!$D$2:$Q$1300,0,MATCH($B258,元データ_14項目!$D$1:$Q$1,0)),元データ_14項目!$A$2:$A$1300,$A258,元データ_14項目!$B$2:$B$1300,"本年",元データ_14項目!$C$2:$C$1300,F$5)</f>
        <v>384</v>
      </c>
      <c r="G258" s="26">
        <f>SUMIFS(INDEX(元データ_14項目!$D$2:$Q$1300,0,MATCH($B258,元データ_14項目!$D$1:$Q$1,0)),元データ_14項目!$A$2:$A$1300,$A258,元データ_14項目!$B$2:$B$1300,"本年",元データ_14項目!$C$2:$C$1300,G$5)</f>
        <v>428</v>
      </c>
      <c r="H258" s="26">
        <f>SUMIFS(INDEX(元データ_14項目!$D$2:$Q$1300,0,MATCH($B258,元データ_14項目!$D$1:$Q$1,0)),元データ_14項目!$A$2:$A$1300,$A258,元データ_14項目!$B$2:$B$1300,"本年",元データ_14項目!$C$2:$C$1300,H$5)</f>
        <v>324</v>
      </c>
      <c r="I258" s="26">
        <f>SUMIFS(INDEX(元データ_14項目!$D$2:$Q$1300,0,MATCH($B258,元データ_14項目!$D$1:$Q$1,0)),元データ_14項目!$A$2:$A$1300,$A258,元データ_14項目!$B$2:$B$1300,"本年",元データ_14項目!$C$2:$C$1300,I$5)</f>
        <v>335</v>
      </c>
      <c r="J258" s="26">
        <f>SUMIFS(INDEX(元データ_14項目!$D$2:$Q$1300,0,MATCH($B258,元データ_14項目!$D$1:$Q$1,0)),元データ_14項目!$A$2:$A$1300,$A258,元データ_14項目!$B$2:$B$1300,"本年",元データ_14項目!$C$2:$C$1300,J$5)</f>
        <v>454</v>
      </c>
      <c r="K258" s="26">
        <f>SUMIFS(INDEX(元データ_14項目!$D$2:$Q$1300,0,MATCH($B258,元データ_14項目!$D$1:$Q$1,0)),元データ_14項目!$A$2:$A$1300,$A258,元データ_14項目!$B$2:$B$1300,"本年",元データ_14項目!$C$2:$C$1300,K$5)</f>
        <v>424</v>
      </c>
      <c r="L258" s="26">
        <f>SUMIFS(INDEX(元データ_14項目!$D$2:$Q$1300,0,MATCH($B258,元データ_14項目!$D$1:$Q$1,0)),元データ_14項目!$A$2:$A$1300,$A258,元データ_14項目!$B$2:$B$1300,"本年",元データ_14項目!$C$2:$C$1300,L$5)</f>
        <v>375</v>
      </c>
      <c r="M258" s="26">
        <f>SUMIFS(INDEX(元データ_14項目!$D$2:$Q$1300,0,MATCH($B258,元データ_14項目!$D$1:$Q$1,0)),元データ_14項目!$A$2:$A$1300,$A258,元データ_14項目!$B$2:$B$1300,"本年",元データ_14項目!$C$2:$C$1300,M$5)</f>
        <v>479</v>
      </c>
      <c r="N258" s="26">
        <f>SUMIFS(INDEX(元データ_14項目!$D$2:$Q$1300,0,MATCH($B258,元データ_14項目!$D$1:$Q$1,0)),元データ_14項目!$A$2:$A$1300,$A258,元データ_14項目!$B$2:$B$1300,"本年",元データ_14項目!$C$2:$C$1300,N$5)</f>
        <v>367</v>
      </c>
      <c r="O258" s="26">
        <f t="shared" si="6"/>
        <v>4844</v>
      </c>
      <c r="P258" s="26">
        <f>SUMIFS(INDEX(元データ_14項目!$D$2:$Q$1300,0,MATCH($B258,元データ_14項目!$D$1:$Q$1,0)),元データ_14項目!$A$2:$A$1300,$A258,元データ_14項目!$B$2:$B$1300,"前年")</f>
        <v>5269</v>
      </c>
      <c r="Q258" s="7">
        <f t="shared" si="7"/>
        <v>0.91933953311823879</v>
      </c>
    </row>
    <row r="259" spans="1:17" x14ac:dyDescent="0.45">
      <c r="A259" t="s">
        <v>53</v>
      </c>
      <c r="B259" t="s">
        <v>88</v>
      </c>
      <c r="C259" s="26">
        <f>SUMIFS(INDEX(元データ_14項目!$D$2:$Q$1300,0,MATCH($B259,元データ_14項目!$D$1:$Q$1,0)),元データ_14項目!$A$2:$A$1300,$A259,元データ_14項目!$B$2:$B$1300,"本年",元データ_14項目!$C$2:$C$1300,C$5)</f>
        <v>30</v>
      </c>
      <c r="D259" s="26">
        <f>SUMIFS(INDEX(元データ_14項目!$D$2:$Q$1300,0,MATCH($B259,元データ_14項目!$D$1:$Q$1,0)),元データ_14項目!$A$2:$A$1300,$A259,元データ_14項目!$B$2:$B$1300,"本年",元データ_14項目!$C$2:$C$1300,D$5)</f>
        <v>35</v>
      </c>
      <c r="E259" s="26">
        <f>SUMIFS(INDEX(元データ_14項目!$D$2:$Q$1300,0,MATCH($B259,元データ_14項目!$D$1:$Q$1,0)),元データ_14項目!$A$2:$A$1300,$A259,元データ_14項目!$B$2:$B$1300,"本年",元データ_14項目!$C$2:$C$1300,E$5)</f>
        <v>81</v>
      </c>
      <c r="F259" s="26">
        <f>SUMIFS(INDEX(元データ_14項目!$D$2:$Q$1300,0,MATCH($B259,元データ_14項目!$D$1:$Q$1,0)),元データ_14項目!$A$2:$A$1300,$A259,元データ_14項目!$B$2:$B$1300,"本年",元データ_14項目!$C$2:$C$1300,F$5)</f>
        <v>33</v>
      </c>
      <c r="G259" s="26">
        <f>SUMIFS(INDEX(元データ_14項目!$D$2:$Q$1300,0,MATCH($B259,元データ_14項目!$D$1:$Q$1,0)),元データ_14項目!$A$2:$A$1300,$A259,元データ_14項目!$B$2:$B$1300,"本年",元データ_14項目!$C$2:$C$1300,G$5)</f>
        <v>22</v>
      </c>
      <c r="H259" s="26">
        <f>SUMIFS(INDEX(元データ_14項目!$D$2:$Q$1300,0,MATCH($B259,元データ_14項目!$D$1:$Q$1,0)),元データ_14項目!$A$2:$A$1300,$A259,元データ_14項目!$B$2:$B$1300,"本年",元データ_14項目!$C$2:$C$1300,H$5)</f>
        <v>12</v>
      </c>
      <c r="I259" s="26">
        <f>SUMIFS(INDEX(元データ_14項目!$D$2:$Q$1300,0,MATCH($B259,元データ_14項目!$D$1:$Q$1,0)),元データ_14項目!$A$2:$A$1300,$A259,元データ_14項目!$B$2:$B$1300,"本年",元データ_14項目!$C$2:$C$1300,I$5)</f>
        <v>9</v>
      </c>
      <c r="J259" s="26">
        <f>SUMIFS(INDEX(元データ_14項目!$D$2:$Q$1300,0,MATCH($B259,元データ_14項目!$D$1:$Q$1,0)),元データ_14項目!$A$2:$A$1300,$A259,元データ_14項目!$B$2:$B$1300,"本年",元データ_14項目!$C$2:$C$1300,J$5)</f>
        <v>38</v>
      </c>
      <c r="K259" s="26">
        <f>SUMIFS(INDEX(元データ_14項目!$D$2:$Q$1300,0,MATCH($B259,元データ_14項目!$D$1:$Q$1,0)),元データ_14項目!$A$2:$A$1300,$A259,元データ_14項目!$B$2:$B$1300,"本年",元データ_14項目!$C$2:$C$1300,K$5)</f>
        <v>57</v>
      </c>
      <c r="L259" s="26">
        <f>SUMIFS(INDEX(元データ_14項目!$D$2:$Q$1300,0,MATCH($B259,元データ_14項目!$D$1:$Q$1,0)),元データ_14項目!$A$2:$A$1300,$A259,元データ_14項目!$B$2:$B$1300,"本年",元データ_14項目!$C$2:$C$1300,L$5)</f>
        <v>17</v>
      </c>
      <c r="M259" s="26">
        <f>SUMIFS(INDEX(元データ_14項目!$D$2:$Q$1300,0,MATCH($B259,元データ_14項目!$D$1:$Q$1,0)),元データ_14項目!$A$2:$A$1300,$A259,元データ_14項目!$B$2:$B$1300,"本年",元データ_14項目!$C$2:$C$1300,M$5)</f>
        <v>31</v>
      </c>
      <c r="N259" s="26">
        <f>SUMIFS(INDEX(元データ_14項目!$D$2:$Q$1300,0,MATCH($B259,元データ_14項目!$D$1:$Q$1,0)),元データ_14項目!$A$2:$A$1300,$A259,元データ_14項目!$B$2:$B$1300,"本年",元データ_14項目!$C$2:$C$1300,N$5)</f>
        <v>38</v>
      </c>
      <c r="O259" s="26">
        <f t="shared" si="6"/>
        <v>403</v>
      </c>
      <c r="P259" s="26">
        <f>SUMIFS(INDEX(元データ_14項目!$D$2:$Q$1300,0,MATCH($B259,元データ_14項目!$D$1:$Q$1,0)),元データ_14項目!$A$2:$A$1300,$A259,元データ_14項目!$B$2:$B$1300,"前年")</f>
        <v>381</v>
      </c>
      <c r="Q259" s="7">
        <f t="shared" si="7"/>
        <v>1.0577427821522309</v>
      </c>
    </row>
    <row r="260" spans="1:17" x14ac:dyDescent="0.45">
      <c r="A260" t="s">
        <v>53</v>
      </c>
      <c r="B260" t="s">
        <v>89</v>
      </c>
      <c r="C260" s="26">
        <f>SUMIFS(INDEX(元データ_14項目!$D$2:$Q$1300,0,MATCH($B260,元データ_14項目!$D$1:$Q$1,0)),元データ_14項目!$A$2:$A$1300,$A260,元データ_14項目!$B$2:$B$1300,"本年",元データ_14項目!$C$2:$C$1300,C$5)</f>
        <v>14</v>
      </c>
      <c r="D260" s="26">
        <f>SUMIFS(INDEX(元データ_14項目!$D$2:$Q$1300,0,MATCH($B260,元データ_14項目!$D$1:$Q$1,0)),元データ_14項目!$A$2:$A$1300,$A260,元データ_14項目!$B$2:$B$1300,"本年",元データ_14項目!$C$2:$C$1300,D$5)</f>
        <v>15</v>
      </c>
      <c r="E260" s="26">
        <f>SUMIFS(INDEX(元データ_14項目!$D$2:$Q$1300,0,MATCH($B260,元データ_14項目!$D$1:$Q$1,0)),元データ_14項目!$A$2:$A$1300,$A260,元データ_14項目!$B$2:$B$1300,"本年",元データ_14項目!$C$2:$C$1300,E$5)</f>
        <v>63</v>
      </c>
      <c r="F260" s="26">
        <f>SUMIFS(INDEX(元データ_14項目!$D$2:$Q$1300,0,MATCH($B260,元データ_14項目!$D$1:$Q$1,0)),元データ_14項目!$A$2:$A$1300,$A260,元データ_14項目!$B$2:$B$1300,"本年",元データ_14項目!$C$2:$C$1300,F$5)</f>
        <v>29</v>
      </c>
      <c r="G260" s="26">
        <f>SUMIFS(INDEX(元データ_14項目!$D$2:$Q$1300,0,MATCH($B260,元データ_14項目!$D$1:$Q$1,0)),元データ_14項目!$A$2:$A$1300,$A260,元データ_14項目!$B$2:$B$1300,"本年",元データ_14項目!$C$2:$C$1300,G$5)</f>
        <v>21</v>
      </c>
      <c r="H260" s="26">
        <f>SUMIFS(INDEX(元データ_14項目!$D$2:$Q$1300,0,MATCH($B260,元データ_14項目!$D$1:$Q$1,0)),元データ_14項目!$A$2:$A$1300,$A260,元データ_14項目!$B$2:$B$1300,"本年",元データ_14項目!$C$2:$C$1300,H$5)</f>
        <v>4</v>
      </c>
      <c r="I260" s="26">
        <f>SUMIFS(INDEX(元データ_14項目!$D$2:$Q$1300,0,MATCH($B260,元データ_14項目!$D$1:$Q$1,0)),元データ_14項目!$A$2:$A$1300,$A260,元データ_14項目!$B$2:$B$1300,"本年",元データ_14項目!$C$2:$C$1300,I$5)</f>
        <v>8</v>
      </c>
      <c r="J260" s="26">
        <f>SUMIFS(INDEX(元データ_14項目!$D$2:$Q$1300,0,MATCH($B260,元データ_14項目!$D$1:$Q$1,0)),元データ_14項目!$A$2:$A$1300,$A260,元データ_14項目!$B$2:$B$1300,"本年",元データ_14項目!$C$2:$C$1300,J$5)</f>
        <v>22</v>
      </c>
      <c r="K260" s="26">
        <f>SUMIFS(INDEX(元データ_14項目!$D$2:$Q$1300,0,MATCH($B260,元データ_14項目!$D$1:$Q$1,0)),元データ_14項目!$A$2:$A$1300,$A260,元データ_14項目!$B$2:$B$1300,"本年",元データ_14項目!$C$2:$C$1300,K$5)</f>
        <v>29</v>
      </c>
      <c r="L260" s="26">
        <f>SUMIFS(INDEX(元データ_14項目!$D$2:$Q$1300,0,MATCH($B260,元データ_14項目!$D$1:$Q$1,0)),元データ_14項目!$A$2:$A$1300,$A260,元データ_14項目!$B$2:$B$1300,"本年",元データ_14項目!$C$2:$C$1300,L$5)</f>
        <v>14</v>
      </c>
      <c r="M260" s="26">
        <f>SUMIFS(INDEX(元データ_14項目!$D$2:$Q$1300,0,MATCH($B260,元データ_14項目!$D$1:$Q$1,0)),元データ_14項目!$A$2:$A$1300,$A260,元データ_14項目!$B$2:$B$1300,"本年",元データ_14項目!$C$2:$C$1300,M$5)</f>
        <v>31</v>
      </c>
      <c r="N260" s="26">
        <f>SUMIFS(INDEX(元データ_14項目!$D$2:$Q$1300,0,MATCH($B260,元データ_14項目!$D$1:$Q$1,0)),元データ_14項目!$A$2:$A$1300,$A260,元データ_14項目!$B$2:$B$1300,"本年",元データ_14項目!$C$2:$C$1300,N$5)</f>
        <v>23</v>
      </c>
      <c r="O260" s="26">
        <f t="shared" si="6"/>
        <v>273</v>
      </c>
      <c r="P260" s="26">
        <f>SUMIFS(INDEX(元データ_14項目!$D$2:$Q$1300,0,MATCH($B260,元データ_14項目!$D$1:$Q$1,0)),元データ_14項目!$A$2:$A$1300,$A260,元データ_14項目!$B$2:$B$1300,"前年")</f>
        <v>282</v>
      </c>
      <c r="Q260" s="7">
        <f t="shared" si="7"/>
        <v>0.96808510638297873</v>
      </c>
    </row>
    <row r="261" spans="1:17" x14ac:dyDescent="0.45">
      <c r="A261" t="s">
        <v>53</v>
      </c>
      <c r="B261" t="s">
        <v>90</v>
      </c>
      <c r="C261" s="26">
        <f>SUMIFS(INDEX(元データ_14項目!$D$2:$Q$1300,0,MATCH($B261,元データ_14項目!$D$1:$Q$1,0)),元データ_14項目!$A$2:$A$1300,$A261,元データ_14項目!$B$2:$B$1300,"本年",元データ_14項目!$C$2:$C$1300,C$5)</f>
        <v>24</v>
      </c>
      <c r="D261" s="26">
        <f>SUMIFS(INDEX(元データ_14項目!$D$2:$Q$1300,0,MATCH($B261,元データ_14項目!$D$1:$Q$1,0)),元データ_14項目!$A$2:$A$1300,$A261,元データ_14項目!$B$2:$B$1300,"本年",元データ_14項目!$C$2:$C$1300,D$5)</f>
        <v>27</v>
      </c>
      <c r="E261" s="26">
        <f>SUMIFS(INDEX(元データ_14項目!$D$2:$Q$1300,0,MATCH($B261,元データ_14項目!$D$1:$Q$1,0)),元データ_14項目!$A$2:$A$1300,$A261,元データ_14項目!$B$2:$B$1300,"本年",元データ_14項目!$C$2:$C$1300,E$5)</f>
        <v>37</v>
      </c>
      <c r="F261" s="26">
        <f>SUMIFS(INDEX(元データ_14項目!$D$2:$Q$1300,0,MATCH($B261,元データ_14項目!$D$1:$Q$1,0)),元データ_14項目!$A$2:$A$1300,$A261,元データ_14項目!$B$2:$B$1300,"本年",元データ_14項目!$C$2:$C$1300,F$5)</f>
        <v>58</v>
      </c>
      <c r="G261" s="26">
        <f>SUMIFS(INDEX(元データ_14項目!$D$2:$Q$1300,0,MATCH($B261,元データ_14項目!$D$1:$Q$1,0)),元データ_14項目!$A$2:$A$1300,$A261,元データ_14項目!$B$2:$B$1300,"本年",元データ_14項目!$C$2:$C$1300,G$5)</f>
        <v>64</v>
      </c>
      <c r="H261" s="26">
        <f>SUMIFS(INDEX(元データ_14項目!$D$2:$Q$1300,0,MATCH($B261,元データ_14項目!$D$1:$Q$1,0)),元データ_14項目!$A$2:$A$1300,$A261,元データ_14項目!$B$2:$B$1300,"本年",元データ_14項目!$C$2:$C$1300,H$5)</f>
        <v>47</v>
      </c>
      <c r="I261" s="26">
        <f>SUMIFS(INDEX(元データ_14項目!$D$2:$Q$1300,0,MATCH($B261,元データ_14項目!$D$1:$Q$1,0)),元データ_14項目!$A$2:$A$1300,$A261,元データ_14項目!$B$2:$B$1300,"本年",元データ_14項目!$C$2:$C$1300,I$5)</f>
        <v>29</v>
      </c>
      <c r="J261" s="26">
        <f>SUMIFS(INDEX(元データ_14項目!$D$2:$Q$1300,0,MATCH($B261,元データ_14項目!$D$1:$Q$1,0)),元データ_14項目!$A$2:$A$1300,$A261,元データ_14項目!$B$2:$B$1300,"本年",元データ_14項目!$C$2:$C$1300,J$5)</f>
        <v>84</v>
      </c>
      <c r="K261" s="26">
        <f>SUMIFS(INDEX(元データ_14項目!$D$2:$Q$1300,0,MATCH($B261,元データ_14項目!$D$1:$Q$1,0)),元データ_14項目!$A$2:$A$1300,$A261,元データ_14項目!$B$2:$B$1300,"本年",元データ_14項目!$C$2:$C$1300,K$5)</f>
        <v>94</v>
      </c>
      <c r="L261" s="26">
        <f>SUMIFS(INDEX(元データ_14項目!$D$2:$Q$1300,0,MATCH($B261,元データ_14項目!$D$1:$Q$1,0)),元データ_14項目!$A$2:$A$1300,$A261,元データ_14項目!$B$2:$B$1300,"本年",元データ_14項目!$C$2:$C$1300,L$5)</f>
        <v>72</v>
      </c>
      <c r="M261" s="26">
        <f>SUMIFS(INDEX(元データ_14項目!$D$2:$Q$1300,0,MATCH($B261,元データ_14項目!$D$1:$Q$1,0)),元データ_14項目!$A$2:$A$1300,$A261,元データ_14項目!$B$2:$B$1300,"本年",元データ_14項目!$C$2:$C$1300,M$5)</f>
        <v>50</v>
      </c>
      <c r="N261" s="26">
        <f>SUMIFS(INDEX(元データ_14項目!$D$2:$Q$1300,0,MATCH($B261,元データ_14項目!$D$1:$Q$1,0)),元データ_14項目!$A$2:$A$1300,$A261,元データ_14項目!$B$2:$B$1300,"本年",元データ_14項目!$C$2:$C$1300,N$5)</f>
        <v>29</v>
      </c>
      <c r="O261" s="26">
        <f t="shared" si="6"/>
        <v>615</v>
      </c>
      <c r="P261" s="26">
        <f>SUMIFS(INDEX(元データ_14項目!$D$2:$Q$1300,0,MATCH($B261,元データ_14項目!$D$1:$Q$1,0)),元データ_14項目!$A$2:$A$1300,$A261,元データ_14項目!$B$2:$B$1300,"前年")</f>
        <v>800</v>
      </c>
      <c r="Q261" s="7">
        <f t="shared" si="7"/>
        <v>0.76875000000000004</v>
      </c>
    </row>
    <row r="262" spans="1:17" x14ac:dyDescent="0.45">
      <c r="A262" t="s">
        <v>53</v>
      </c>
      <c r="B262" t="s">
        <v>91</v>
      </c>
      <c r="C262" s="26">
        <f>SUMIFS(INDEX(元データ_14項目!$D$2:$Q$1300,0,MATCH($B262,元データ_14項目!$D$1:$Q$1,0)),元データ_14項目!$A$2:$A$1300,$A262,元データ_14項目!$B$2:$B$1300,"本年",元データ_14項目!$C$2:$C$1300,C$5)</f>
        <v>6</v>
      </c>
      <c r="D262" s="26">
        <f>SUMIFS(INDEX(元データ_14項目!$D$2:$Q$1300,0,MATCH($B262,元データ_14項目!$D$1:$Q$1,0)),元データ_14項目!$A$2:$A$1300,$A262,元データ_14項目!$B$2:$B$1300,"本年",元データ_14項目!$C$2:$C$1300,D$5)</f>
        <v>13</v>
      </c>
      <c r="E262" s="26">
        <f>SUMIFS(INDEX(元データ_14項目!$D$2:$Q$1300,0,MATCH($B262,元データ_14項目!$D$1:$Q$1,0)),元データ_14項目!$A$2:$A$1300,$A262,元データ_14項目!$B$2:$B$1300,"本年",元データ_14項目!$C$2:$C$1300,E$5)</f>
        <v>13</v>
      </c>
      <c r="F262" s="26">
        <f>SUMIFS(INDEX(元データ_14項目!$D$2:$Q$1300,0,MATCH($B262,元データ_14項目!$D$1:$Q$1,0)),元データ_14項目!$A$2:$A$1300,$A262,元データ_14項目!$B$2:$B$1300,"本年",元データ_14項目!$C$2:$C$1300,F$5)</f>
        <v>7</v>
      </c>
      <c r="G262" s="26">
        <f>SUMIFS(INDEX(元データ_14項目!$D$2:$Q$1300,0,MATCH($B262,元データ_14項目!$D$1:$Q$1,0)),元データ_14項目!$A$2:$A$1300,$A262,元データ_14項目!$B$2:$B$1300,"本年",元データ_14項目!$C$2:$C$1300,G$5)</f>
        <v>2</v>
      </c>
      <c r="H262" s="26">
        <f>SUMIFS(INDEX(元データ_14項目!$D$2:$Q$1300,0,MATCH($B262,元データ_14項目!$D$1:$Q$1,0)),元データ_14項目!$A$2:$A$1300,$A262,元データ_14項目!$B$2:$B$1300,"本年",元データ_14項目!$C$2:$C$1300,H$5)</f>
        <v>4</v>
      </c>
      <c r="I262" s="26">
        <f>SUMIFS(INDEX(元データ_14項目!$D$2:$Q$1300,0,MATCH($B262,元データ_14項目!$D$1:$Q$1,0)),元データ_14項目!$A$2:$A$1300,$A262,元データ_14項目!$B$2:$B$1300,"本年",元データ_14項目!$C$2:$C$1300,I$5)</f>
        <v>6</v>
      </c>
      <c r="J262" s="26">
        <f>SUMIFS(INDEX(元データ_14項目!$D$2:$Q$1300,0,MATCH($B262,元データ_14項目!$D$1:$Q$1,0)),元データ_14項目!$A$2:$A$1300,$A262,元データ_14項目!$B$2:$B$1300,"本年",元データ_14項目!$C$2:$C$1300,J$5)</f>
        <v>3</v>
      </c>
      <c r="K262" s="26">
        <f>SUMIFS(INDEX(元データ_14項目!$D$2:$Q$1300,0,MATCH($B262,元データ_14項目!$D$1:$Q$1,0)),元データ_14項目!$A$2:$A$1300,$A262,元データ_14項目!$B$2:$B$1300,"本年",元データ_14項目!$C$2:$C$1300,K$5)</f>
        <v>23</v>
      </c>
      <c r="L262" s="26">
        <f>SUMIFS(INDEX(元データ_14項目!$D$2:$Q$1300,0,MATCH($B262,元データ_14項目!$D$1:$Q$1,0)),元データ_14項目!$A$2:$A$1300,$A262,元データ_14項目!$B$2:$B$1300,"本年",元データ_14項目!$C$2:$C$1300,L$5)</f>
        <v>28</v>
      </c>
      <c r="M262" s="26">
        <f>SUMIFS(INDEX(元データ_14項目!$D$2:$Q$1300,0,MATCH($B262,元データ_14項目!$D$1:$Q$1,0)),元データ_14項目!$A$2:$A$1300,$A262,元データ_14項目!$B$2:$B$1300,"本年",元データ_14項目!$C$2:$C$1300,M$5)</f>
        <v>20</v>
      </c>
      <c r="N262" s="26">
        <f>SUMIFS(INDEX(元データ_14項目!$D$2:$Q$1300,0,MATCH($B262,元データ_14項目!$D$1:$Q$1,0)),元データ_14項目!$A$2:$A$1300,$A262,元データ_14項目!$B$2:$B$1300,"本年",元データ_14項目!$C$2:$C$1300,N$5)</f>
        <v>10</v>
      </c>
      <c r="O262" s="26">
        <f t="shared" si="6"/>
        <v>135</v>
      </c>
      <c r="P262" s="26">
        <f>SUMIFS(INDEX(元データ_14項目!$D$2:$Q$1300,0,MATCH($B262,元データ_14項目!$D$1:$Q$1,0)),元データ_14項目!$A$2:$A$1300,$A262,元データ_14項目!$B$2:$B$1300,"前年")</f>
        <v>86</v>
      </c>
      <c r="Q262" s="7">
        <f t="shared" si="7"/>
        <v>1.569767441860465</v>
      </c>
    </row>
    <row r="263" spans="1:17" x14ac:dyDescent="0.45">
      <c r="A263" t="s">
        <v>53</v>
      </c>
      <c r="B263" t="s">
        <v>28</v>
      </c>
      <c r="C263" s="26">
        <f>SUMIFS(INDEX(元データ_14項目!$D$2:$Q$1300,0,MATCH($B263,元データ_14項目!$D$1:$Q$1,0)),元データ_14項目!$A$2:$A$1300,$A263,元データ_14項目!$B$2:$B$1300,"本年",元データ_14項目!$C$2:$C$1300,C$5)</f>
        <v>103</v>
      </c>
      <c r="D263" s="26">
        <f>SUMIFS(INDEX(元データ_14項目!$D$2:$Q$1300,0,MATCH($B263,元データ_14項目!$D$1:$Q$1,0)),元データ_14項目!$A$2:$A$1300,$A263,元データ_14項目!$B$2:$B$1300,"本年",元データ_14項目!$C$2:$C$1300,D$5)</f>
        <v>102</v>
      </c>
      <c r="E263" s="26">
        <f>SUMIFS(INDEX(元データ_14項目!$D$2:$Q$1300,0,MATCH($B263,元データ_14項目!$D$1:$Q$1,0)),元データ_14項目!$A$2:$A$1300,$A263,元データ_14項目!$B$2:$B$1300,"本年",元データ_14項目!$C$2:$C$1300,E$5)</f>
        <v>173</v>
      </c>
      <c r="F263" s="26">
        <f>SUMIFS(INDEX(元データ_14項目!$D$2:$Q$1300,0,MATCH($B263,元データ_14項目!$D$1:$Q$1,0)),元データ_14項目!$A$2:$A$1300,$A263,元データ_14項目!$B$2:$B$1300,"本年",元データ_14項目!$C$2:$C$1300,F$5)</f>
        <v>153</v>
      </c>
      <c r="G263" s="26">
        <f>SUMIFS(INDEX(元データ_14項目!$D$2:$Q$1300,0,MATCH($B263,元データ_14項目!$D$1:$Q$1,0)),元データ_14項目!$A$2:$A$1300,$A263,元データ_14項目!$B$2:$B$1300,"本年",元データ_14項目!$C$2:$C$1300,G$5)</f>
        <v>99</v>
      </c>
      <c r="H263" s="26">
        <f>SUMIFS(INDEX(元データ_14項目!$D$2:$Q$1300,0,MATCH($B263,元データ_14項目!$D$1:$Q$1,0)),元データ_14項目!$A$2:$A$1300,$A263,元データ_14項目!$B$2:$B$1300,"本年",元データ_14項目!$C$2:$C$1300,H$5)</f>
        <v>65</v>
      </c>
      <c r="I263" s="26">
        <f>SUMIFS(INDEX(元データ_14項目!$D$2:$Q$1300,0,MATCH($B263,元データ_14項目!$D$1:$Q$1,0)),元データ_14項目!$A$2:$A$1300,$A263,元データ_14項目!$B$2:$B$1300,"本年",元データ_14項目!$C$2:$C$1300,I$5)</f>
        <v>60</v>
      </c>
      <c r="J263" s="26">
        <f>SUMIFS(INDEX(元データ_14項目!$D$2:$Q$1300,0,MATCH($B263,元データ_14項目!$D$1:$Q$1,0)),元データ_14項目!$A$2:$A$1300,$A263,元データ_14項目!$B$2:$B$1300,"本年",元データ_14項目!$C$2:$C$1300,J$5)</f>
        <v>88</v>
      </c>
      <c r="K263" s="26">
        <f>SUMIFS(INDEX(元データ_14項目!$D$2:$Q$1300,0,MATCH($B263,元データ_14項目!$D$1:$Q$1,0)),元データ_14項目!$A$2:$A$1300,$A263,元データ_14項目!$B$2:$B$1300,"本年",元データ_14項目!$C$2:$C$1300,K$5)</f>
        <v>126</v>
      </c>
      <c r="L263" s="26">
        <f>SUMIFS(INDEX(元データ_14項目!$D$2:$Q$1300,0,MATCH($B263,元データ_14項目!$D$1:$Q$1,0)),元データ_14項目!$A$2:$A$1300,$A263,元データ_14項目!$B$2:$B$1300,"本年",元データ_14項目!$C$2:$C$1300,L$5)</f>
        <v>111</v>
      </c>
      <c r="M263" s="26">
        <f>SUMIFS(INDEX(元データ_14項目!$D$2:$Q$1300,0,MATCH($B263,元データ_14項目!$D$1:$Q$1,0)),元データ_14項目!$A$2:$A$1300,$A263,元データ_14項目!$B$2:$B$1300,"本年",元データ_14項目!$C$2:$C$1300,M$5)</f>
        <v>136</v>
      </c>
      <c r="N263" s="26">
        <f>SUMIFS(INDEX(元データ_14項目!$D$2:$Q$1300,0,MATCH($B263,元データ_14項目!$D$1:$Q$1,0)),元データ_14項目!$A$2:$A$1300,$A263,元データ_14項目!$B$2:$B$1300,"本年",元データ_14項目!$C$2:$C$1300,N$5)</f>
        <v>114</v>
      </c>
      <c r="O263" s="26">
        <f t="shared" ref="O263:O326" si="8">SUM(C263:N263)</f>
        <v>1330</v>
      </c>
      <c r="P263" s="26">
        <f>SUMIFS(INDEX(元データ_14項目!$D$2:$Q$1300,0,MATCH($B263,元データ_14項目!$D$1:$Q$1,0)),元データ_14項目!$A$2:$A$1300,$A263,元データ_14項目!$B$2:$B$1300,"前年")</f>
        <v>1274</v>
      </c>
      <c r="Q263" s="7">
        <f t="shared" ref="Q263:Q326" si="9">IFERROR(O263/P263,"")</f>
        <v>1.043956043956044</v>
      </c>
    </row>
    <row r="264" spans="1:17" x14ac:dyDescent="0.45">
      <c r="A264" t="s">
        <v>53</v>
      </c>
      <c r="B264" t="s">
        <v>92</v>
      </c>
      <c r="C264" s="26">
        <f>SUMIFS(INDEX(元データ_14項目!$D$2:$Q$1300,0,MATCH($B264,元データ_14項目!$D$1:$Q$1,0)),元データ_14項目!$A$2:$A$1300,$A264,元データ_14項目!$B$2:$B$1300,"本年",元データ_14項目!$C$2:$C$1300,C$5)</f>
        <v>17</v>
      </c>
      <c r="D264" s="26">
        <f>SUMIFS(INDEX(元データ_14項目!$D$2:$Q$1300,0,MATCH($B264,元データ_14項目!$D$1:$Q$1,0)),元データ_14項目!$A$2:$A$1300,$A264,元データ_14項目!$B$2:$B$1300,"本年",元データ_14項目!$C$2:$C$1300,D$5)</f>
        <v>22</v>
      </c>
      <c r="E264" s="26">
        <f>SUMIFS(INDEX(元データ_14項目!$D$2:$Q$1300,0,MATCH($B264,元データ_14項目!$D$1:$Q$1,0)),元データ_14項目!$A$2:$A$1300,$A264,元データ_14項目!$B$2:$B$1300,"本年",元データ_14項目!$C$2:$C$1300,E$5)</f>
        <v>19</v>
      </c>
      <c r="F264" s="26">
        <f>SUMIFS(INDEX(元データ_14項目!$D$2:$Q$1300,0,MATCH($B264,元データ_14項目!$D$1:$Q$1,0)),元データ_14項目!$A$2:$A$1300,$A264,元データ_14項目!$B$2:$B$1300,"本年",元データ_14項目!$C$2:$C$1300,F$5)</f>
        <v>23</v>
      </c>
      <c r="G264" s="26">
        <f>SUMIFS(INDEX(元データ_14項目!$D$2:$Q$1300,0,MATCH($B264,元データ_14項目!$D$1:$Q$1,0)),元データ_14項目!$A$2:$A$1300,$A264,元データ_14項目!$B$2:$B$1300,"本年",元データ_14項目!$C$2:$C$1300,G$5)</f>
        <v>13</v>
      </c>
      <c r="H264" s="26">
        <f>SUMIFS(INDEX(元データ_14項目!$D$2:$Q$1300,0,MATCH($B264,元データ_14項目!$D$1:$Q$1,0)),元データ_14項目!$A$2:$A$1300,$A264,元データ_14項目!$B$2:$B$1300,"本年",元データ_14項目!$C$2:$C$1300,H$5)</f>
        <v>5</v>
      </c>
      <c r="I264" s="26">
        <f>SUMIFS(INDEX(元データ_14項目!$D$2:$Q$1300,0,MATCH($B264,元データ_14項目!$D$1:$Q$1,0)),元データ_14項目!$A$2:$A$1300,$A264,元データ_14項目!$B$2:$B$1300,"本年",元データ_14項目!$C$2:$C$1300,I$5)</f>
        <v>5</v>
      </c>
      <c r="J264" s="26">
        <f>SUMIFS(INDEX(元データ_14項目!$D$2:$Q$1300,0,MATCH($B264,元データ_14項目!$D$1:$Q$1,0)),元データ_14項目!$A$2:$A$1300,$A264,元データ_14項目!$B$2:$B$1300,"本年",元データ_14項目!$C$2:$C$1300,J$5)</f>
        <v>22</v>
      </c>
      <c r="K264" s="26">
        <f>SUMIFS(INDEX(元データ_14項目!$D$2:$Q$1300,0,MATCH($B264,元データ_14項目!$D$1:$Q$1,0)),元データ_14項目!$A$2:$A$1300,$A264,元データ_14項目!$B$2:$B$1300,"本年",元データ_14項目!$C$2:$C$1300,K$5)</f>
        <v>36</v>
      </c>
      <c r="L264" s="26">
        <f>SUMIFS(INDEX(元データ_14項目!$D$2:$Q$1300,0,MATCH($B264,元データ_14項目!$D$1:$Q$1,0)),元データ_14項目!$A$2:$A$1300,$A264,元データ_14項目!$B$2:$B$1300,"本年",元データ_14項目!$C$2:$C$1300,L$5)</f>
        <v>16</v>
      </c>
      <c r="M264" s="26">
        <f>SUMIFS(INDEX(元データ_14項目!$D$2:$Q$1300,0,MATCH($B264,元データ_14項目!$D$1:$Q$1,0)),元データ_14項目!$A$2:$A$1300,$A264,元データ_14項目!$B$2:$B$1300,"本年",元データ_14項目!$C$2:$C$1300,M$5)</f>
        <v>18</v>
      </c>
      <c r="N264" s="26">
        <f>SUMIFS(INDEX(元データ_14項目!$D$2:$Q$1300,0,MATCH($B264,元データ_14項目!$D$1:$Q$1,0)),元データ_14項目!$A$2:$A$1300,$A264,元データ_14項目!$B$2:$B$1300,"本年",元データ_14項目!$C$2:$C$1300,N$5)</f>
        <v>14</v>
      </c>
      <c r="O264" s="26">
        <f t="shared" si="8"/>
        <v>210</v>
      </c>
      <c r="P264" s="26">
        <f>SUMIFS(INDEX(元データ_14項目!$D$2:$Q$1300,0,MATCH($B264,元データ_14項目!$D$1:$Q$1,0)),元データ_14項目!$A$2:$A$1300,$A264,元データ_14項目!$B$2:$B$1300,"前年")</f>
        <v>228</v>
      </c>
      <c r="Q264" s="7">
        <f t="shared" si="9"/>
        <v>0.92105263157894735</v>
      </c>
    </row>
    <row r="265" spans="1:17" x14ac:dyDescent="0.45">
      <c r="A265" t="s">
        <v>53</v>
      </c>
      <c r="B265" t="s">
        <v>93</v>
      </c>
      <c r="C265" s="26">
        <f>SUMIFS(INDEX(元データ_14項目!$D$2:$Q$1300,0,MATCH($B265,元データ_14項目!$D$1:$Q$1,0)),元データ_14項目!$A$2:$A$1300,$A265,元データ_14項目!$B$2:$B$1300,"本年",元データ_14項目!$C$2:$C$1300,C$5)</f>
        <v>9</v>
      </c>
      <c r="D265" s="26">
        <f>SUMIFS(INDEX(元データ_14項目!$D$2:$Q$1300,0,MATCH($B265,元データ_14項目!$D$1:$Q$1,0)),元データ_14項目!$A$2:$A$1300,$A265,元データ_14項目!$B$2:$B$1300,"本年",元データ_14項目!$C$2:$C$1300,D$5)</f>
        <v>12</v>
      </c>
      <c r="E265" s="26">
        <f>SUMIFS(INDEX(元データ_14項目!$D$2:$Q$1300,0,MATCH($B265,元データ_14項目!$D$1:$Q$1,0)),元データ_14項目!$A$2:$A$1300,$A265,元データ_14項目!$B$2:$B$1300,"本年",元データ_14項目!$C$2:$C$1300,E$5)</f>
        <v>57</v>
      </c>
      <c r="F265" s="26">
        <f>SUMIFS(INDEX(元データ_14項目!$D$2:$Q$1300,0,MATCH($B265,元データ_14項目!$D$1:$Q$1,0)),元データ_14項目!$A$2:$A$1300,$A265,元データ_14項目!$B$2:$B$1300,"本年",元データ_14項目!$C$2:$C$1300,F$5)</f>
        <v>34</v>
      </c>
      <c r="G265" s="26">
        <f>SUMIFS(INDEX(元データ_14項目!$D$2:$Q$1300,0,MATCH($B265,元データ_14項目!$D$1:$Q$1,0)),元データ_14項目!$A$2:$A$1300,$A265,元データ_14項目!$B$2:$B$1300,"本年",元データ_14項目!$C$2:$C$1300,G$5)</f>
        <v>55</v>
      </c>
      <c r="H265" s="26">
        <f>SUMIFS(INDEX(元データ_14項目!$D$2:$Q$1300,0,MATCH($B265,元データ_14項目!$D$1:$Q$1,0)),元データ_14項目!$A$2:$A$1300,$A265,元データ_14項目!$B$2:$B$1300,"本年",元データ_14項目!$C$2:$C$1300,H$5)</f>
        <v>61</v>
      </c>
      <c r="I265" s="26">
        <f>SUMIFS(INDEX(元データ_14項目!$D$2:$Q$1300,0,MATCH($B265,元データ_14項目!$D$1:$Q$1,0)),元データ_14項目!$A$2:$A$1300,$A265,元データ_14項目!$B$2:$B$1300,"本年",元データ_14項目!$C$2:$C$1300,I$5)</f>
        <v>33</v>
      </c>
      <c r="J265" s="26">
        <f>SUMIFS(INDEX(元データ_14項目!$D$2:$Q$1300,0,MATCH($B265,元データ_14項目!$D$1:$Q$1,0)),元データ_14項目!$A$2:$A$1300,$A265,元データ_14項目!$B$2:$B$1300,"本年",元データ_14項目!$C$2:$C$1300,J$5)</f>
        <v>84</v>
      </c>
      <c r="K265" s="26">
        <f>SUMIFS(INDEX(元データ_14項目!$D$2:$Q$1300,0,MATCH($B265,元データ_14項目!$D$1:$Q$1,0)),元データ_14項目!$A$2:$A$1300,$A265,元データ_14項目!$B$2:$B$1300,"本年",元データ_14項目!$C$2:$C$1300,K$5)</f>
        <v>234</v>
      </c>
      <c r="L265" s="26">
        <f>SUMIFS(INDEX(元データ_14項目!$D$2:$Q$1300,0,MATCH($B265,元データ_14項目!$D$1:$Q$1,0)),元データ_14項目!$A$2:$A$1300,$A265,元データ_14項目!$B$2:$B$1300,"本年",元データ_14項目!$C$2:$C$1300,L$5)</f>
        <v>106</v>
      </c>
      <c r="M265" s="26">
        <f>SUMIFS(INDEX(元データ_14項目!$D$2:$Q$1300,0,MATCH($B265,元データ_14項目!$D$1:$Q$1,0)),元データ_14項目!$A$2:$A$1300,$A265,元データ_14項目!$B$2:$B$1300,"本年",元データ_14項目!$C$2:$C$1300,M$5)</f>
        <v>55</v>
      </c>
      <c r="N265" s="26">
        <f>SUMIFS(INDEX(元データ_14項目!$D$2:$Q$1300,0,MATCH($B265,元データ_14項目!$D$1:$Q$1,0)),元データ_14項目!$A$2:$A$1300,$A265,元データ_14項目!$B$2:$B$1300,"本年",元データ_14項目!$C$2:$C$1300,N$5)</f>
        <v>36</v>
      </c>
      <c r="O265" s="26">
        <f t="shared" si="8"/>
        <v>776</v>
      </c>
      <c r="P265" s="26">
        <f>SUMIFS(INDEX(元データ_14項目!$D$2:$Q$1300,0,MATCH($B265,元データ_14項目!$D$1:$Q$1,0)),元データ_14項目!$A$2:$A$1300,$A265,元データ_14項目!$B$2:$B$1300,"前年")</f>
        <v>779</v>
      </c>
      <c r="Q265" s="7">
        <f t="shared" si="9"/>
        <v>0.99614890885750962</v>
      </c>
    </row>
    <row r="266" spans="1:17" x14ac:dyDescent="0.45">
      <c r="A266" t="s">
        <v>53</v>
      </c>
      <c r="B266" t="s">
        <v>94</v>
      </c>
      <c r="C266" s="26">
        <f>SUMIFS(INDEX(元データ_14項目!$D$2:$Q$1300,0,MATCH($B266,元データ_14項目!$D$1:$Q$1,0)),元データ_14項目!$A$2:$A$1300,$A266,元データ_14項目!$B$2:$B$1300,"本年",元データ_14項目!$C$2:$C$1300,C$5)</f>
        <v>8</v>
      </c>
      <c r="D266" s="26">
        <f>SUMIFS(INDEX(元データ_14項目!$D$2:$Q$1300,0,MATCH($B266,元データ_14項目!$D$1:$Q$1,0)),元データ_14項目!$A$2:$A$1300,$A266,元データ_14項目!$B$2:$B$1300,"本年",元データ_14項目!$C$2:$C$1300,D$5)</f>
        <v>11</v>
      </c>
      <c r="E266" s="26">
        <f>SUMIFS(INDEX(元データ_14項目!$D$2:$Q$1300,0,MATCH($B266,元データ_14項目!$D$1:$Q$1,0)),元データ_14項目!$A$2:$A$1300,$A266,元データ_14項目!$B$2:$B$1300,"本年",元データ_14項目!$C$2:$C$1300,E$5)</f>
        <v>23</v>
      </c>
      <c r="F266" s="26">
        <f>SUMIFS(INDEX(元データ_14項目!$D$2:$Q$1300,0,MATCH($B266,元データ_14項目!$D$1:$Q$1,0)),元データ_14項目!$A$2:$A$1300,$A266,元データ_14項目!$B$2:$B$1300,"本年",元データ_14項目!$C$2:$C$1300,F$5)</f>
        <v>21</v>
      </c>
      <c r="G266" s="26">
        <f>SUMIFS(INDEX(元データ_14項目!$D$2:$Q$1300,0,MATCH($B266,元データ_14項目!$D$1:$Q$1,0)),元データ_14項目!$A$2:$A$1300,$A266,元データ_14項目!$B$2:$B$1300,"本年",元データ_14項目!$C$2:$C$1300,G$5)</f>
        <v>18</v>
      </c>
      <c r="H266" s="26">
        <f>SUMIFS(INDEX(元データ_14項目!$D$2:$Q$1300,0,MATCH($B266,元データ_14項目!$D$1:$Q$1,0)),元データ_14項目!$A$2:$A$1300,$A266,元データ_14項目!$B$2:$B$1300,"本年",元データ_14項目!$C$2:$C$1300,H$5)</f>
        <v>10</v>
      </c>
      <c r="I266" s="26">
        <f>SUMIFS(INDEX(元データ_14項目!$D$2:$Q$1300,0,MATCH($B266,元データ_14項目!$D$1:$Q$1,0)),元データ_14項目!$A$2:$A$1300,$A266,元データ_14項目!$B$2:$B$1300,"本年",元データ_14項目!$C$2:$C$1300,I$5)</f>
        <v>7</v>
      </c>
      <c r="J266" s="26">
        <f>SUMIFS(INDEX(元データ_14項目!$D$2:$Q$1300,0,MATCH($B266,元データ_14項目!$D$1:$Q$1,0)),元データ_14項目!$A$2:$A$1300,$A266,元データ_14項目!$B$2:$B$1300,"本年",元データ_14項目!$C$2:$C$1300,J$5)</f>
        <v>22</v>
      </c>
      <c r="K266" s="26">
        <f>SUMIFS(INDEX(元データ_14項目!$D$2:$Q$1300,0,MATCH($B266,元データ_14項目!$D$1:$Q$1,0)),元データ_14項目!$A$2:$A$1300,$A266,元データ_14項目!$B$2:$B$1300,"本年",元データ_14項目!$C$2:$C$1300,K$5)</f>
        <v>67</v>
      </c>
      <c r="L266" s="26">
        <f>SUMIFS(INDEX(元データ_14項目!$D$2:$Q$1300,0,MATCH($B266,元データ_14項目!$D$1:$Q$1,0)),元データ_14項目!$A$2:$A$1300,$A266,元データ_14項目!$B$2:$B$1300,"本年",元データ_14項目!$C$2:$C$1300,L$5)</f>
        <v>56</v>
      </c>
      <c r="M266" s="26">
        <f>SUMIFS(INDEX(元データ_14項目!$D$2:$Q$1300,0,MATCH($B266,元データ_14項目!$D$1:$Q$1,0)),元データ_14項目!$A$2:$A$1300,$A266,元データ_14項目!$B$2:$B$1300,"本年",元データ_14項目!$C$2:$C$1300,M$5)</f>
        <v>33</v>
      </c>
      <c r="N266" s="26">
        <f>SUMIFS(INDEX(元データ_14項目!$D$2:$Q$1300,0,MATCH($B266,元データ_14項目!$D$1:$Q$1,0)),元データ_14項目!$A$2:$A$1300,$A266,元データ_14項目!$B$2:$B$1300,"本年",元データ_14項目!$C$2:$C$1300,N$5)</f>
        <v>12</v>
      </c>
      <c r="O266" s="26">
        <f t="shared" si="8"/>
        <v>288</v>
      </c>
      <c r="P266" s="26">
        <f>SUMIFS(INDEX(元データ_14項目!$D$2:$Q$1300,0,MATCH($B266,元データ_14項目!$D$1:$Q$1,0)),元データ_14項目!$A$2:$A$1300,$A266,元データ_14項目!$B$2:$B$1300,"前年")</f>
        <v>305</v>
      </c>
      <c r="Q266" s="7">
        <f t="shared" si="9"/>
        <v>0.94426229508196724</v>
      </c>
    </row>
    <row r="267" spans="1:17" x14ac:dyDescent="0.45">
      <c r="A267" t="s">
        <v>53</v>
      </c>
      <c r="B267" t="s">
        <v>95</v>
      </c>
      <c r="C267" s="26">
        <f>SUMIFS(INDEX(元データ_14項目!$D$2:$Q$1300,0,MATCH($B267,元データ_14項目!$D$1:$Q$1,0)),元データ_14項目!$A$2:$A$1300,$A267,元データ_14項目!$B$2:$B$1300,"本年",元データ_14項目!$C$2:$C$1300,C$5)</f>
        <v>14</v>
      </c>
      <c r="D267" s="26">
        <f>SUMIFS(INDEX(元データ_14項目!$D$2:$Q$1300,0,MATCH($B267,元データ_14項目!$D$1:$Q$1,0)),元データ_14項目!$A$2:$A$1300,$A267,元データ_14項目!$B$2:$B$1300,"本年",元データ_14項目!$C$2:$C$1300,D$5)</f>
        <v>26</v>
      </c>
      <c r="E267" s="26">
        <f>SUMIFS(INDEX(元データ_14項目!$D$2:$Q$1300,0,MATCH($B267,元データ_14項目!$D$1:$Q$1,0)),元データ_14項目!$A$2:$A$1300,$A267,元データ_14項目!$B$2:$B$1300,"本年",元データ_14項目!$C$2:$C$1300,E$5)</f>
        <v>42</v>
      </c>
      <c r="F267" s="26">
        <f>SUMIFS(INDEX(元データ_14項目!$D$2:$Q$1300,0,MATCH($B267,元データ_14項目!$D$1:$Q$1,0)),元データ_14項目!$A$2:$A$1300,$A267,元データ_14項目!$B$2:$B$1300,"本年",元データ_14項目!$C$2:$C$1300,F$5)</f>
        <v>27</v>
      </c>
      <c r="G267" s="26">
        <f>SUMIFS(INDEX(元データ_14項目!$D$2:$Q$1300,0,MATCH($B267,元データ_14項目!$D$1:$Q$1,0)),元データ_14項目!$A$2:$A$1300,$A267,元データ_14項目!$B$2:$B$1300,"本年",元データ_14項目!$C$2:$C$1300,G$5)</f>
        <v>10</v>
      </c>
      <c r="H267" s="26">
        <f>SUMIFS(INDEX(元データ_14項目!$D$2:$Q$1300,0,MATCH($B267,元データ_14項目!$D$1:$Q$1,0)),元データ_14項目!$A$2:$A$1300,$A267,元データ_14項目!$B$2:$B$1300,"本年",元データ_14項目!$C$2:$C$1300,H$5)</f>
        <v>4</v>
      </c>
      <c r="I267" s="26">
        <f>SUMIFS(INDEX(元データ_14項目!$D$2:$Q$1300,0,MATCH($B267,元データ_14項目!$D$1:$Q$1,0)),元データ_14項目!$A$2:$A$1300,$A267,元データ_14項目!$B$2:$B$1300,"本年",元データ_14項目!$C$2:$C$1300,I$5)</f>
        <v>19</v>
      </c>
      <c r="J267" s="26">
        <f>SUMIFS(INDEX(元データ_14項目!$D$2:$Q$1300,0,MATCH($B267,元データ_14項目!$D$1:$Q$1,0)),元データ_14項目!$A$2:$A$1300,$A267,元データ_14項目!$B$2:$B$1300,"本年",元データ_14項目!$C$2:$C$1300,J$5)</f>
        <v>13</v>
      </c>
      <c r="K267" s="26">
        <f>SUMIFS(INDEX(元データ_14項目!$D$2:$Q$1300,0,MATCH($B267,元データ_14項目!$D$1:$Q$1,0)),元データ_14項目!$A$2:$A$1300,$A267,元データ_14項目!$B$2:$B$1300,"本年",元データ_14項目!$C$2:$C$1300,K$5)</f>
        <v>31</v>
      </c>
      <c r="L267" s="26">
        <f>SUMIFS(INDEX(元データ_14項目!$D$2:$Q$1300,0,MATCH($B267,元データ_14項目!$D$1:$Q$1,0)),元データ_14項目!$A$2:$A$1300,$A267,元データ_14項目!$B$2:$B$1300,"本年",元データ_14項目!$C$2:$C$1300,L$5)</f>
        <v>19</v>
      </c>
      <c r="M267" s="26">
        <f>SUMIFS(INDEX(元データ_14項目!$D$2:$Q$1300,0,MATCH($B267,元データ_14項目!$D$1:$Q$1,0)),元データ_14項目!$A$2:$A$1300,$A267,元データ_14項目!$B$2:$B$1300,"本年",元データ_14項目!$C$2:$C$1300,M$5)</f>
        <v>19</v>
      </c>
      <c r="N267" s="26">
        <f>SUMIFS(INDEX(元データ_14項目!$D$2:$Q$1300,0,MATCH($B267,元データ_14項目!$D$1:$Q$1,0)),元データ_14項目!$A$2:$A$1300,$A267,元データ_14項目!$B$2:$B$1300,"本年",元データ_14項目!$C$2:$C$1300,N$5)</f>
        <v>16</v>
      </c>
      <c r="O267" s="26">
        <f t="shared" si="8"/>
        <v>240</v>
      </c>
      <c r="P267" s="26">
        <f>SUMIFS(INDEX(元データ_14項目!$D$2:$Q$1300,0,MATCH($B267,元データ_14項目!$D$1:$Q$1,0)),元データ_14項目!$A$2:$A$1300,$A267,元データ_14項目!$B$2:$B$1300,"前年")</f>
        <v>237</v>
      </c>
      <c r="Q267" s="7">
        <f t="shared" si="9"/>
        <v>1.0126582278481013</v>
      </c>
    </row>
    <row r="268" spans="1:17" x14ac:dyDescent="0.45">
      <c r="A268" t="s">
        <v>53</v>
      </c>
      <c r="B268" t="s">
        <v>96</v>
      </c>
      <c r="C268" s="26">
        <f>SUMIFS(INDEX(元データ_14項目!$D$2:$Q$1300,0,MATCH($B268,元データ_14項目!$D$1:$Q$1,0)),元データ_14項目!$A$2:$A$1300,$A268,元データ_14項目!$B$2:$B$1300,"本年",元データ_14項目!$C$2:$C$1300,C$5)</f>
        <v>8</v>
      </c>
      <c r="D268" s="26">
        <f>SUMIFS(INDEX(元データ_14項目!$D$2:$Q$1300,0,MATCH($B268,元データ_14項目!$D$1:$Q$1,0)),元データ_14項目!$A$2:$A$1300,$A268,元データ_14項目!$B$2:$B$1300,"本年",元データ_14項目!$C$2:$C$1300,D$5)</f>
        <v>18</v>
      </c>
      <c r="E268" s="26">
        <f>SUMIFS(INDEX(元データ_14項目!$D$2:$Q$1300,0,MATCH($B268,元データ_14項目!$D$1:$Q$1,0)),元データ_14項目!$A$2:$A$1300,$A268,元データ_14項目!$B$2:$B$1300,"本年",元データ_14項目!$C$2:$C$1300,E$5)</f>
        <v>29</v>
      </c>
      <c r="F268" s="26">
        <f>SUMIFS(INDEX(元データ_14項目!$D$2:$Q$1300,0,MATCH($B268,元データ_14項目!$D$1:$Q$1,0)),元データ_14項目!$A$2:$A$1300,$A268,元データ_14項目!$B$2:$B$1300,"本年",元データ_14項目!$C$2:$C$1300,F$5)</f>
        <v>31</v>
      </c>
      <c r="G268" s="26">
        <f>SUMIFS(INDEX(元データ_14項目!$D$2:$Q$1300,0,MATCH($B268,元データ_14項目!$D$1:$Q$1,0)),元データ_14項目!$A$2:$A$1300,$A268,元データ_14項目!$B$2:$B$1300,"本年",元データ_14項目!$C$2:$C$1300,G$5)</f>
        <v>26</v>
      </c>
      <c r="H268" s="26">
        <f>SUMIFS(INDEX(元データ_14項目!$D$2:$Q$1300,0,MATCH($B268,元データ_14項目!$D$1:$Q$1,0)),元データ_14項目!$A$2:$A$1300,$A268,元データ_14項目!$B$2:$B$1300,"本年",元データ_14項目!$C$2:$C$1300,H$5)</f>
        <v>20</v>
      </c>
      <c r="I268" s="26">
        <f>SUMIFS(INDEX(元データ_14項目!$D$2:$Q$1300,0,MATCH($B268,元データ_14項目!$D$1:$Q$1,0)),元データ_14項目!$A$2:$A$1300,$A268,元データ_14項目!$B$2:$B$1300,"本年",元データ_14項目!$C$2:$C$1300,I$5)</f>
        <v>25</v>
      </c>
      <c r="J268" s="26">
        <f>SUMIFS(INDEX(元データ_14項目!$D$2:$Q$1300,0,MATCH($B268,元データ_14項目!$D$1:$Q$1,0)),元データ_14項目!$A$2:$A$1300,$A268,元データ_14項目!$B$2:$B$1300,"本年",元データ_14項目!$C$2:$C$1300,J$5)</f>
        <v>74</v>
      </c>
      <c r="K268" s="26">
        <f>SUMIFS(INDEX(元データ_14項目!$D$2:$Q$1300,0,MATCH($B268,元データ_14項目!$D$1:$Q$1,0)),元データ_14項目!$A$2:$A$1300,$A268,元データ_14項目!$B$2:$B$1300,"本年",元データ_14項目!$C$2:$C$1300,K$5)</f>
        <v>147</v>
      </c>
      <c r="L268" s="26">
        <f>SUMIFS(INDEX(元データ_14項目!$D$2:$Q$1300,0,MATCH($B268,元データ_14項目!$D$1:$Q$1,0)),元データ_14項目!$A$2:$A$1300,$A268,元データ_14項目!$B$2:$B$1300,"本年",元データ_14項目!$C$2:$C$1300,L$5)</f>
        <v>108</v>
      </c>
      <c r="M268" s="26">
        <f>SUMIFS(INDEX(元データ_14項目!$D$2:$Q$1300,0,MATCH($B268,元データ_14項目!$D$1:$Q$1,0)),元データ_14項目!$A$2:$A$1300,$A268,元データ_14項目!$B$2:$B$1300,"本年",元データ_14項目!$C$2:$C$1300,M$5)</f>
        <v>42</v>
      </c>
      <c r="N268" s="26">
        <f>SUMIFS(INDEX(元データ_14項目!$D$2:$Q$1300,0,MATCH($B268,元データ_14項目!$D$1:$Q$1,0)),元データ_14項目!$A$2:$A$1300,$A268,元データ_14項目!$B$2:$B$1300,"本年",元データ_14項目!$C$2:$C$1300,N$5)</f>
        <v>18</v>
      </c>
      <c r="O268" s="26">
        <f t="shared" si="8"/>
        <v>546</v>
      </c>
      <c r="P268" s="26">
        <f>SUMIFS(INDEX(元データ_14項目!$D$2:$Q$1300,0,MATCH($B268,元データ_14項目!$D$1:$Q$1,0)),元データ_14項目!$A$2:$A$1300,$A268,元データ_14項目!$B$2:$B$1300,"前年")</f>
        <v>551</v>
      </c>
      <c r="Q268" s="7">
        <f t="shared" si="9"/>
        <v>0.99092558983666057</v>
      </c>
    </row>
    <row r="269" spans="1:17" x14ac:dyDescent="0.45">
      <c r="A269" t="s">
        <v>53</v>
      </c>
      <c r="B269" t="s">
        <v>97</v>
      </c>
      <c r="C269" s="26">
        <f>SUMIFS(INDEX(元データ_14項目!$D$2:$Q$1300,0,MATCH($B269,元データ_14項目!$D$1:$Q$1,0)),元データ_14項目!$A$2:$A$1300,$A269,元データ_14項目!$B$2:$B$1300,"本年",元データ_14項目!$C$2:$C$1300,C$5)</f>
        <v>14</v>
      </c>
      <c r="D269" s="26">
        <f>SUMIFS(INDEX(元データ_14項目!$D$2:$Q$1300,0,MATCH($B269,元データ_14項目!$D$1:$Q$1,0)),元データ_14項目!$A$2:$A$1300,$A269,元データ_14項目!$B$2:$B$1300,"本年",元データ_14項目!$C$2:$C$1300,D$5)</f>
        <v>19</v>
      </c>
      <c r="E269" s="26">
        <f>SUMIFS(INDEX(元データ_14項目!$D$2:$Q$1300,0,MATCH($B269,元データ_14項目!$D$1:$Q$1,0)),元データ_14項目!$A$2:$A$1300,$A269,元データ_14項目!$B$2:$B$1300,"本年",元データ_14項目!$C$2:$C$1300,E$5)</f>
        <v>39</v>
      </c>
      <c r="F269" s="26">
        <f>SUMIFS(INDEX(元データ_14項目!$D$2:$Q$1300,0,MATCH($B269,元データ_14項目!$D$1:$Q$1,0)),元データ_14項目!$A$2:$A$1300,$A269,元データ_14項目!$B$2:$B$1300,"本年",元データ_14項目!$C$2:$C$1300,F$5)</f>
        <v>26</v>
      </c>
      <c r="G269" s="26">
        <f>SUMIFS(INDEX(元データ_14項目!$D$2:$Q$1300,0,MATCH($B269,元データ_14項目!$D$1:$Q$1,0)),元データ_14項目!$A$2:$A$1300,$A269,元データ_14項目!$B$2:$B$1300,"本年",元データ_14項目!$C$2:$C$1300,G$5)</f>
        <v>39</v>
      </c>
      <c r="H269" s="26">
        <f>SUMIFS(INDEX(元データ_14項目!$D$2:$Q$1300,0,MATCH($B269,元データ_14項目!$D$1:$Q$1,0)),元データ_14項目!$A$2:$A$1300,$A269,元データ_14項目!$B$2:$B$1300,"本年",元データ_14項目!$C$2:$C$1300,H$5)</f>
        <v>28</v>
      </c>
      <c r="I269" s="26">
        <f>SUMIFS(INDEX(元データ_14項目!$D$2:$Q$1300,0,MATCH($B269,元データ_14項目!$D$1:$Q$1,0)),元データ_14項目!$A$2:$A$1300,$A269,元データ_14項目!$B$2:$B$1300,"本年",元データ_14項目!$C$2:$C$1300,I$5)</f>
        <v>20</v>
      </c>
      <c r="J269" s="26">
        <f>SUMIFS(INDEX(元データ_14項目!$D$2:$Q$1300,0,MATCH($B269,元データ_14項目!$D$1:$Q$1,0)),元データ_14項目!$A$2:$A$1300,$A269,元データ_14項目!$B$2:$B$1300,"本年",元データ_14項目!$C$2:$C$1300,J$5)</f>
        <v>60</v>
      </c>
      <c r="K269" s="26">
        <f>SUMIFS(INDEX(元データ_14項目!$D$2:$Q$1300,0,MATCH($B269,元データ_14項目!$D$1:$Q$1,0)),元データ_14項目!$A$2:$A$1300,$A269,元データ_14項目!$B$2:$B$1300,"本年",元データ_14項目!$C$2:$C$1300,K$5)</f>
        <v>161</v>
      </c>
      <c r="L269" s="26">
        <f>SUMIFS(INDEX(元データ_14項目!$D$2:$Q$1300,0,MATCH($B269,元データ_14項目!$D$1:$Q$1,0)),元データ_14項目!$A$2:$A$1300,$A269,元データ_14項目!$B$2:$B$1300,"本年",元データ_14項目!$C$2:$C$1300,L$5)</f>
        <v>119</v>
      </c>
      <c r="M269" s="26">
        <f>SUMIFS(INDEX(元データ_14項目!$D$2:$Q$1300,0,MATCH($B269,元データ_14項目!$D$1:$Q$1,0)),元データ_14項目!$A$2:$A$1300,$A269,元データ_14項目!$B$2:$B$1300,"本年",元データ_14項目!$C$2:$C$1300,M$5)</f>
        <v>61</v>
      </c>
      <c r="N269" s="26">
        <f>SUMIFS(INDEX(元データ_14項目!$D$2:$Q$1300,0,MATCH($B269,元データ_14項目!$D$1:$Q$1,0)),元データ_14項目!$A$2:$A$1300,$A269,元データ_14項目!$B$2:$B$1300,"本年",元データ_14項目!$C$2:$C$1300,N$5)</f>
        <v>28</v>
      </c>
      <c r="O269" s="26">
        <f t="shared" si="8"/>
        <v>614</v>
      </c>
      <c r="P269" s="26">
        <f>SUMIFS(INDEX(元データ_14項目!$D$2:$Q$1300,0,MATCH($B269,元データ_14項目!$D$1:$Q$1,0)),元データ_14項目!$A$2:$A$1300,$A269,元データ_14項目!$B$2:$B$1300,"前年")</f>
        <v>663</v>
      </c>
      <c r="Q269" s="7">
        <f t="shared" si="9"/>
        <v>0.92609351432880849</v>
      </c>
    </row>
    <row r="270" spans="1:17" x14ac:dyDescent="0.45">
      <c r="A270" t="s">
        <v>53</v>
      </c>
      <c r="B270" t="s">
        <v>98</v>
      </c>
      <c r="C270" s="26">
        <f>SUMIFS(INDEX(元データ_14項目!$D$2:$Q$1300,0,MATCH($B270,元データ_14項目!$D$1:$Q$1,0)),元データ_14項目!$A$2:$A$1300,$A270,元データ_14項目!$B$2:$B$1300,"本年",元データ_14項目!$C$2:$C$1300,C$5)</f>
        <v>2</v>
      </c>
      <c r="D270" s="26">
        <f>SUMIFS(INDEX(元データ_14項目!$D$2:$Q$1300,0,MATCH($B270,元データ_14項目!$D$1:$Q$1,0)),元データ_14項目!$A$2:$A$1300,$A270,元データ_14項目!$B$2:$B$1300,"本年",元データ_14項目!$C$2:$C$1300,D$5)</f>
        <v>4</v>
      </c>
      <c r="E270" s="26">
        <f>SUMIFS(INDEX(元データ_14項目!$D$2:$Q$1300,0,MATCH($B270,元データ_14項目!$D$1:$Q$1,0)),元データ_14項目!$A$2:$A$1300,$A270,元データ_14項目!$B$2:$B$1300,"本年",元データ_14項目!$C$2:$C$1300,E$5)</f>
        <v>7</v>
      </c>
      <c r="F270" s="26">
        <f>SUMIFS(INDEX(元データ_14項目!$D$2:$Q$1300,0,MATCH($B270,元データ_14項目!$D$1:$Q$1,0)),元データ_14項目!$A$2:$A$1300,$A270,元データ_14項目!$B$2:$B$1300,"本年",元データ_14項目!$C$2:$C$1300,F$5)</f>
        <v>17</v>
      </c>
      <c r="G270" s="26">
        <f>SUMIFS(INDEX(元データ_14項目!$D$2:$Q$1300,0,MATCH($B270,元データ_14項目!$D$1:$Q$1,0)),元データ_14項目!$A$2:$A$1300,$A270,元データ_14項目!$B$2:$B$1300,"本年",元データ_14項目!$C$2:$C$1300,G$5)</f>
        <v>9</v>
      </c>
      <c r="H270" s="26">
        <f>SUMIFS(INDEX(元データ_14項目!$D$2:$Q$1300,0,MATCH($B270,元データ_14項目!$D$1:$Q$1,0)),元データ_14項目!$A$2:$A$1300,$A270,元データ_14項目!$B$2:$B$1300,"本年",元データ_14項目!$C$2:$C$1300,H$5)</f>
        <v>8</v>
      </c>
      <c r="I270" s="26">
        <f>SUMIFS(INDEX(元データ_14項目!$D$2:$Q$1300,0,MATCH($B270,元データ_14項目!$D$1:$Q$1,0)),元データ_14項目!$A$2:$A$1300,$A270,元データ_14項目!$B$2:$B$1300,"本年",元データ_14項目!$C$2:$C$1300,I$5)</f>
        <v>10</v>
      </c>
      <c r="J270" s="26">
        <f>SUMIFS(INDEX(元データ_14項目!$D$2:$Q$1300,0,MATCH($B270,元データ_14項目!$D$1:$Q$1,0)),元データ_14項目!$A$2:$A$1300,$A270,元データ_14項目!$B$2:$B$1300,"本年",元データ_14項目!$C$2:$C$1300,J$5)</f>
        <v>61</v>
      </c>
      <c r="K270" s="26">
        <f>SUMIFS(INDEX(元データ_14項目!$D$2:$Q$1300,0,MATCH($B270,元データ_14項目!$D$1:$Q$1,0)),元データ_14項目!$A$2:$A$1300,$A270,元データ_14項目!$B$2:$B$1300,"本年",元データ_14項目!$C$2:$C$1300,K$5)</f>
        <v>144</v>
      </c>
      <c r="L270" s="26">
        <f>SUMIFS(INDEX(元データ_14項目!$D$2:$Q$1300,0,MATCH($B270,元データ_14項目!$D$1:$Q$1,0)),元データ_14項目!$A$2:$A$1300,$A270,元データ_14項目!$B$2:$B$1300,"本年",元データ_14項目!$C$2:$C$1300,L$5)</f>
        <v>82</v>
      </c>
      <c r="M270" s="26">
        <f>SUMIFS(INDEX(元データ_14項目!$D$2:$Q$1300,0,MATCH($B270,元データ_14項目!$D$1:$Q$1,0)),元データ_14項目!$A$2:$A$1300,$A270,元データ_14項目!$B$2:$B$1300,"本年",元データ_14項目!$C$2:$C$1300,M$5)</f>
        <v>46</v>
      </c>
      <c r="N270" s="26">
        <f>SUMIFS(INDEX(元データ_14項目!$D$2:$Q$1300,0,MATCH($B270,元データ_14項目!$D$1:$Q$1,0)),元データ_14項目!$A$2:$A$1300,$A270,元データ_14項目!$B$2:$B$1300,"本年",元データ_14項目!$C$2:$C$1300,N$5)</f>
        <v>10</v>
      </c>
      <c r="O270" s="26">
        <f t="shared" si="8"/>
        <v>400</v>
      </c>
      <c r="P270" s="26">
        <f>SUMIFS(INDEX(元データ_14項目!$D$2:$Q$1300,0,MATCH($B270,元データ_14項目!$D$1:$Q$1,0)),元データ_14項目!$A$2:$A$1300,$A270,元データ_14項目!$B$2:$B$1300,"前年")</f>
        <v>418</v>
      </c>
      <c r="Q270" s="7">
        <f t="shared" si="9"/>
        <v>0.9569377990430622</v>
      </c>
    </row>
    <row r="271" spans="1:17" x14ac:dyDescent="0.45">
      <c r="A271" t="s">
        <v>53</v>
      </c>
      <c r="B271" t="s">
        <v>99</v>
      </c>
      <c r="C271" s="26">
        <f>SUMIFS(INDEX(元データ_14項目!$D$2:$Q$1300,0,MATCH($B271,元データ_14項目!$D$1:$Q$1,0)),元データ_14項目!$A$2:$A$1300,$A271,元データ_14項目!$B$2:$B$1300,"本年",元データ_14項目!$C$2:$C$1300,C$5)</f>
        <v>0</v>
      </c>
      <c r="D271" s="26">
        <f>SUMIFS(INDEX(元データ_14項目!$D$2:$Q$1300,0,MATCH($B271,元データ_14項目!$D$1:$Q$1,0)),元データ_14項目!$A$2:$A$1300,$A271,元データ_14項目!$B$2:$B$1300,"本年",元データ_14項目!$C$2:$C$1300,D$5)</f>
        <v>0</v>
      </c>
      <c r="E271" s="26">
        <f>SUMIFS(INDEX(元データ_14項目!$D$2:$Q$1300,0,MATCH($B271,元データ_14項目!$D$1:$Q$1,0)),元データ_14項目!$A$2:$A$1300,$A271,元データ_14項目!$B$2:$B$1300,"本年",元データ_14項目!$C$2:$C$1300,E$5)</f>
        <v>0</v>
      </c>
      <c r="F271" s="26">
        <f>SUMIFS(INDEX(元データ_14項目!$D$2:$Q$1300,0,MATCH($B271,元データ_14項目!$D$1:$Q$1,0)),元データ_14項目!$A$2:$A$1300,$A271,元データ_14項目!$B$2:$B$1300,"本年",元データ_14項目!$C$2:$C$1300,F$5)</f>
        <v>0</v>
      </c>
      <c r="G271" s="26">
        <f>SUMIFS(INDEX(元データ_14項目!$D$2:$Q$1300,0,MATCH($B271,元データ_14項目!$D$1:$Q$1,0)),元データ_14項目!$A$2:$A$1300,$A271,元データ_14項目!$B$2:$B$1300,"本年",元データ_14項目!$C$2:$C$1300,G$5)</f>
        <v>0</v>
      </c>
      <c r="H271" s="26">
        <f>SUMIFS(INDEX(元データ_14項目!$D$2:$Q$1300,0,MATCH($B271,元データ_14項目!$D$1:$Q$1,0)),元データ_14項目!$A$2:$A$1300,$A271,元データ_14項目!$B$2:$B$1300,"本年",元データ_14項目!$C$2:$C$1300,H$5)</f>
        <v>0</v>
      </c>
      <c r="I271" s="26">
        <f>SUMIFS(INDEX(元データ_14項目!$D$2:$Q$1300,0,MATCH($B271,元データ_14項目!$D$1:$Q$1,0)),元データ_14項目!$A$2:$A$1300,$A271,元データ_14項目!$B$2:$B$1300,"本年",元データ_14項目!$C$2:$C$1300,I$5)</f>
        <v>8</v>
      </c>
      <c r="J271" s="26">
        <f>SUMIFS(INDEX(元データ_14項目!$D$2:$Q$1300,0,MATCH($B271,元データ_14項目!$D$1:$Q$1,0)),元データ_14項目!$A$2:$A$1300,$A271,元データ_14項目!$B$2:$B$1300,"本年",元データ_14項目!$C$2:$C$1300,J$5)</f>
        <v>4</v>
      </c>
      <c r="K271" s="26">
        <f>SUMIFS(INDEX(元データ_14項目!$D$2:$Q$1300,0,MATCH($B271,元データ_14項目!$D$1:$Q$1,0)),元データ_14項目!$A$2:$A$1300,$A271,元データ_14項目!$B$2:$B$1300,"本年",元データ_14項目!$C$2:$C$1300,K$5)</f>
        <v>0</v>
      </c>
      <c r="L271" s="26">
        <f>SUMIFS(INDEX(元データ_14項目!$D$2:$Q$1300,0,MATCH($B271,元データ_14項目!$D$1:$Q$1,0)),元データ_14項目!$A$2:$A$1300,$A271,元データ_14項目!$B$2:$B$1300,"本年",元データ_14項目!$C$2:$C$1300,L$5)</f>
        <v>4</v>
      </c>
      <c r="M271" s="26">
        <f>SUMIFS(INDEX(元データ_14項目!$D$2:$Q$1300,0,MATCH($B271,元データ_14項目!$D$1:$Q$1,0)),元データ_14項目!$A$2:$A$1300,$A271,元データ_14項目!$B$2:$B$1300,"本年",元データ_14項目!$C$2:$C$1300,M$5)</f>
        <v>0</v>
      </c>
      <c r="N271" s="26">
        <f>SUMIFS(INDEX(元データ_14項目!$D$2:$Q$1300,0,MATCH($B271,元データ_14項目!$D$1:$Q$1,0)),元データ_14項目!$A$2:$A$1300,$A271,元データ_14項目!$B$2:$B$1300,"本年",元データ_14項目!$C$2:$C$1300,N$5)</f>
        <v>1</v>
      </c>
      <c r="O271" s="26">
        <f t="shared" si="8"/>
        <v>17</v>
      </c>
      <c r="P271" s="26">
        <f>SUMIFS(INDEX(元データ_14項目!$D$2:$Q$1300,0,MATCH($B271,元データ_14項目!$D$1:$Q$1,0)),元データ_14項目!$A$2:$A$1300,$A271,元データ_14項目!$B$2:$B$1300,"前年")</f>
        <v>19</v>
      </c>
      <c r="Q271" s="7">
        <f t="shared" si="9"/>
        <v>0.89473684210526316</v>
      </c>
    </row>
    <row r="272" spans="1:17" x14ac:dyDescent="0.45">
      <c r="A272" t="s">
        <v>54</v>
      </c>
      <c r="B272" t="s">
        <v>27</v>
      </c>
      <c r="C272" s="26">
        <f>SUMIFS(INDEX(元データ_14項目!$D$2:$Q$1300,0,MATCH($B272,元データ_14項目!$D$1:$Q$1,0)),元データ_14項目!$A$2:$A$1300,$A272,元データ_14項目!$B$2:$B$1300,"本年",元データ_14項目!$C$2:$C$1300,C$5)</f>
        <v>284</v>
      </c>
      <c r="D272" s="26">
        <f>SUMIFS(INDEX(元データ_14項目!$D$2:$Q$1300,0,MATCH($B272,元データ_14項目!$D$1:$Q$1,0)),元データ_14項目!$A$2:$A$1300,$A272,元データ_14項目!$B$2:$B$1300,"本年",元データ_14項目!$C$2:$C$1300,D$5)</f>
        <v>349</v>
      </c>
      <c r="E272" s="26">
        <f>SUMIFS(INDEX(元データ_14項目!$D$2:$Q$1300,0,MATCH($B272,元データ_14項目!$D$1:$Q$1,0)),元データ_14項目!$A$2:$A$1300,$A272,元データ_14項目!$B$2:$B$1300,"本年",元データ_14項目!$C$2:$C$1300,E$5)</f>
        <v>433</v>
      </c>
      <c r="F272" s="26">
        <f>SUMIFS(INDEX(元データ_14項目!$D$2:$Q$1300,0,MATCH($B272,元データ_14項目!$D$1:$Q$1,0)),元データ_14項目!$A$2:$A$1300,$A272,元データ_14項目!$B$2:$B$1300,"本年",元データ_14項目!$C$2:$C$1300,F$5)</f>
        <v>382</v>
      </c>
      <c r="G272" s="26">
        <f>SUMIFS(INDEX(元データ_14項目!$D$2:$Q$1300,0,MATCH($B272,元データ_14項目!$D$1:$Q$1,0)),元データ_14項目!$A$2:$A$1300,$A272,元データ_14項目!$B$2:$B$1300,"本年",元データ_14項目!$C$2:$C$1300,G$5)</f>
        <v>330</v>
      </c>
      <c r="H272" s="26">
        <f>SUMIFS(INDEX(元データ_14項目!$D$2:$Q$1300,0,MATCH($B272,元データ_14項目!$D$1:$Q$1,0)),元データ_14項目!$A$2:$A$1300,$A272,元データ_14項目!$B$2:$B$1300,"本年",元データ_14項目!$C$2:$C$1300,H$5)</f>
        <v>243</v>
      </c>
      <c r="I272" s="26">
        <f>SUMIFS(INDEX(元データ_14項目!$D$2:$Q$1300,0,MATCH($B272,元データ_14項目!$D$1:$Q$1,0)),元データ_14項目!$A$2:$A$1300,$A272,元データ_14項目!$B$2:$B$1300,"本年",元データ_14項目!$C$2:$C$1300,I$5)</f>
        <v>269</v>
      </c>
      <c r="J272" s="26">
        <f>SUMIFS(INDEX(元データ_14項目!$D$2:$Q$1300,0,MATCH($B272,元データ_14項目!$D$1:$Q$1,0)),元データ_14項目!$A$2:$A$1300,$A272,元データ_14項目!$B$2:$B$1300,"本年",元データ_14項目!$C$2:$C$1300,J$5)</f>
        <v>367</v>
      </c>
      <c r="K272" s="26">
        <f>SUMIFS(INDEX(元データ_14項目!$D$2:$Q$1300,0,MATCH($B272,元データ_14項目!$D$1:$Q$1,0)),元データ_14項目!$A$2:$A$1300,$A272,元データ_14項目!$B$2:$B$1300,"本年",元データ_14項目!$C$2:$C$1300,K$5)</f>
        <v>446</v>
      </c>
      <c r="L272" s="26">
        <f>SUMIFS(INDEX(元データ_14項目!$D$2:$Q$1300,0,MATCH($B272,元データ_14項目!$D$1:$Q$1,0)),元データ_14項目!$A$2:$A$1300,$A272,元データ_14項目!$B$2:$B$1300,"本年",元データ_14項目!$C$2:$C$1300,L$5)</f>
        <v>305</v>
      </c>
      <c r="M272" s="26">
        <f>SUMIFS(INDEX(元データ_14項目!$D$2:$Q$1300,0,MATCH($B272,元データ_14項目!$D$1:$Q$1,0)),元データ_14項目!$A$2:$A$1300,$A272,元データ_14項目!$B$2:$B$1300,"本年",元データ_14項目!$C$2:$C$1300,M$5)</f>
        <v>343</v>
      </c>
      <c r="N272" s="26">
        <f>SUMIFS(INDEX(元データ_14項目!$D$2:$Q$1300,0,MATCH($B272,元データ_14項目!$D$1:$Q$1,0)),元データ_14項目!$A$2:$A$1300,$A272,元データ_14項目!$B$2:$B$1300,"本年",元データ_14項目!$C$2:$C$1300,N$5)</f>
        <v>381</v>
      </c>
      <c r="O272" s="26">
        <f t="shared" si="8"/>
        <v>4132</v>
      </c>
      <c r="P272" s="26">
        <f>SUMIFS(INDEX(元データ_14項目!$D$2:$Q$1300,0,MATCH($B272,元データ_14項目!$D$1:$Q$1,0)),元データ_14項目!$A$2:$A$1300,$A272,元データ_14項目!$B$2:$B$1300,"前年")</f>
        <v>5713</v>
      </c>
      <c r="Q272" s="7">
        <f t="shared" si="9"/>
        <v>0.72326273411517594</v>
      </c>
    </row>
    <row r="273" spans="1:17" x14ac:dyDescent="0.45">
      <c r="A273" t="s">
        <v>54</v>
      </c>
      <c r="B273" t="s">
        <v>88</v>
      </c>
      <c r="C273" s="26">
        <f>SUMIFS(INDEX(元データ_14項目!$D$2:$Q$1300,0,MATCH($B273,元データ_14項目!$D$1:$Q$1,0)),元データ_14項目!$A$2:$A$1300,$A273,元データ_14項目!$B$2:$B$1300,"本年",元データ_14項目!$C$2:$C$1300,C$5)</f>
        <v>16</v>
      </c>
      <c r="D273" s="26">
        <f>SUMIFS(INDEX(元データ_14項目!$D$2:$Q$1300,0,MATCH($B273,元データ_14項目!$D$1:$Q$1,0)),元データ_14項目!$A$2:$A$1300,$A273,元データ_14項目!$B$2:$B$1300,"本年",元データ_14項目!$C$2:$C$1300,D$5)</f>
        <v>17</v>
      </c>
      <c r="E273" s="26">
        <f>SUMIFS(INDEX(元データ_14項目!$D$2:$Q$1300,0,MATCH($B273,元データ_14項目!$D$1:$Q$1,0)),元データ_14項目!$A$2:$A$1300,$A273,元データ_14項目!$B$2:$B$1300,"本年",元データ_14項目!$C$2:$C$1300,E$5)</f>
        <v>27</v>
      </c>
      <c r="F273" s="26">
        <f>SUMIFS(INDEX(元データ_14項目!$D$2:$Q$1300,0,MATCH($B273,元データ_14項目!$D$1:$Q$1,0)),元データ_14項目!$A$2:$A$1300,$A273,元データ_14項目!$B$2:$B$1300,"本年",元データ_14項目!$C$2:$C$1300,F$5)</f>
        <v>19</v>
      </c>
      <c r="G273" s="26">
        <f>SUMIFS(INDEX(元データ_14項目!$D$2:$Q$1300,0,MATCH($B273,元データ_14項目!$D$1:$Q$1,0)),元データ_14項目!$A$2:$A$1300,$A273,元データ_14項目!$B$2:$B$1300,"本年",元データ_14項目!$C$2:$C$1300,G$5)</f>
        <v>20</v>
      </c>
      <c r="H273" s="26">
        <f>SUMIFS(INDEX(元データ_14項目!$D$2:$Q$1300,0,MATCH($B273,元データ_14項目!$D$1:$Q$1,0)),元データ_14項目!$A$2:$A$1300,$A273,元データ_14項目!$B$2:$B$1300,"本年",元データ_14項目!$C$2:$C$1300,H$5)</f>
        <v>13</v>
      </c>
      <c r="I273" s="26">
        <f>SUMIFS(INDEX(元データ_14項目!$D$2:$Q$1300,0,MATCH($B273,元データ_14項目!$D$1:$Q$1,0)),元データ_14項目!$A$2:$A$1300,$A273,元データ_14項目!$B$2:$B$1300,"本年",元データ_14項目!$C$2:$C$1300,I$5)</f>
        <v>10</v>
      </c>
      <c r="J273" s="26">
        <f>SUMIFS(INDEX(元データ_14項目!$D$2:$Q$1300,0,MATCH($B273,元データ_14項目!$D$1:$Q$1,0)),元データ_14項目!$A$2:$A$1300,$A273,元データ_14項目!$B$2:$B$1300,"本年",元データ_14項目!$C$2:$C$1300,J$5)</f>
        <v>14</v>
      </c>
      <c r="K273" s="26">
        <f>SUMIFS(INDEX(元データ_14項目!$D$2:$Q$1300,0,MATCH($B273,元データ_14項目!$D$1:$Q$1,0)),元データ_14項目!$A$2:$A$1300,$A273,元データ_14項目!$B$2:$B$1300,"本年",元データ_14項目!$C$2:$C$1300,K$5)</f>
        <v>14</v>
      </c>
      <c r="L273" s="26">
        <f>SUMIFS(INDEX(元データ_14項目!$D$2:$Q$1300,0,MATCH($B273,元データ_14項目!$D$1:$Q$1,0)),元データ_14項目!$A$2:$A$1300,$A273,元データ_14項目!$B$2:$B$1300,"本年",元データ_14項目!$C$2:$C$1300,L$5)</f>
        <v>13</v>
      </c>
      <c r="M273" s="26">
        <f>SUMIFS(INDEX(元データ_14項目!$D$2:$Q$1300,0,MATCH($B273,元データ_14項目!$D$1:$Q$1,0)),元データ_14項目!$A$2:$A$1300,$A273,元データ_14項目!$B$2:$B$1300,"本年",元データ_14項目!$C$2:$C$1300,M$5)</f>
        <v>9</v>
      </c>
      <c r="N273" s="26">
        <f>SUMIFS(INDEX(元データ_14項目!$D$2:$Q$1300,0,MATCH($B273,元データ_14項目!$D$1:$Q$1,0)),元データ_14項目!$A$2:$A$1300,$A273,元データ_14項目!$B$2:$B$1300,"本年",元データ_14項目!$C$2:$C$1300,N$5)</f>
        <v>8</v>
      </c>
      <c r="O273" s="26">
        <f t="shared" si="8"/>
        <v>180</v>
      </c>
      <c r="P273" s="26">
        <f>SUMIFS(INDEX(元データ_14項目!$D$2:$Q$1300,0,MATCH($B273,元データ_14項目!$D$1:$Q$1,0)),元データ_14項目!$A$2:$A$1300,$A273,元データ_14項目!$B$2:$B$1300,"前年")</f>
        <v>296</v>
      </c>
      <c r="Q273" s="7">
        <f t="shared" si="9"/>
        <v>0.60810810810810811</v>
      </c>
    </row>
    <row r="274" spans="1:17" x14ac:dyDescent="0.45">
      <c r="A274" t="s">
        <v>54</v>
      </c>
      <c r="B274" t="s">
        <v>89</v>
      </c>
      <c r="C274" s="26">
        <f>SUMIFS(INDEX(元データ_14項目!$D$2:$Q$1300,0,MATCH($B274,元データ_14項目!$D$1:$Q$1,0)),元データ_14項目!$A$2:$A$1300,$A274,元データ_14項目!$B$2:$B$1300,"本年",元データ_14項目!$C$2:$C$1300,C$5)</f>
        <v>32</v>
      </c>
      <c r="D274" s="26">
        <f>SUMIFS(INDEX(元データ_14項目!$D$2:$Q$1300,0,MATCH($B274,元データ_14項目!$D$1:$Q$1,0)),元データ_14項目!$A$2:$A$1300,$A274,元データ_14項目!$B$2:$B$1300,"本年",元データ_14項目!$C$2:$C$1300,D$5)</f>
        <v>40</v>
      </c>
      <c r="E274" s="26">
        <f>SUMIFS(INDEX(元データ_14項目!$D$2:$Q$1300,0,MATCH($B274,元データ_14項目!$D$1:$Q$1,0)),元データ_14項目!$A$2:$A$1300,$A274,元データ_14項目!$B$2:$B$1300,"本年",元データ_14項目!$C$2:$C$1300,E$5)</f>
        <v>58</v>
      </c>
      <c r="F274" s="26">
        <f>SUMIFS(INDEX(元データ_14項目!$D$2:$Q$1300,0,MATCH($B274,元データ_14項目!$D$1:$Q$1,0)),元データ_14項目!$A$2:$A$1300,$A274,元データ_14項目!$B$2:$B$1300,"本年",元データ_14項目!$C$2:$C$1300,F$5)</f>
        <v>34</v>
      </c>
      <c r="G274" s="26">
        <f>SUMIFS(INDEX(元データ_14項目!$D$2:$Q$1300,0,MATCH($B274,元データ_14項目!$D$1:$Q$1,0)),元データ_14項目!$A$2:$A$1300,$A274,元データ_14項目!$B$2:$B$1300,"本年",元データ_14項目!$C$2:$C$1300,G$5)</f>
        <v>18</v>
      </c>
      <c r="H274" s="26">
        <f>SUMIFS(INDEX(元データ_14項目!$D$2:$Q$1300,0,MATCH($B274,元データ_14項目!$D$1:$Q$1,0)),元データ_14項目!$A$2:$A$1300,$A274,元データ_14項目!$B$2:$B$1300,"本年",元データ_14項目!$C$2:$C$1300,H$5)</f>
        <v>11</v>
      </c>
      <c r="I274" s="26">
        <f>SUMIFS(INDEX(元データ_14項目!$D$2:$Q$1300,0,MATCH($B274,元データ_14項目!$D$1:$Q$1,0)),元データ_14項目!$A$2:$A$1300,$A274,元データ_14項目!$B$2:$B$1300,"本年",元データ_14項目!$C$2:$C$1300,I$5)</f>
        <v>26</v>
      </c>
      <c r="J274" s="26">
        <f>SUMIFS(INDEX(元データ_14項目!$D$2:$Q$1300,0,MATCH($B274,元データ_14項目!$D$1:$Q$1,0)),元データ_14項目!$A$2:$A$1300,$A274,元データ_14項目!$B$2:$B$1300,"本年",元データ_14項目!$C$2:$C$1300,J$5)</f>
        <v>34</v>
      </c>
      <c r="K274" s="26">
        <f>SUMIFS(INDEX(元データ_14項目!$D$2:$Q$1300,0,MATCH($B274,元データ_14項目!$D$1:$Q$1,0)),元データ_14項目!$A$2:$A$1300,$A274,元データ_14項目!$B$2:$B$1300,"本年",元データ_14項目!$C$2:$C$1300,K$5)</f>
        <v>49</v>
      </c>
      <c r="L274" s="26">
        <f>SUMIFS(INDEX(元データ_14項目!$D$2:$Q$1300,0,MATCH($B274,元データ_14項目!$D$1:$Q$1,0)),元データ_14項目!$A$2:$A$1300,$A274,元データ_14項目!$B$2:$B$1300,"本年",元データ_14項目!$C$2:$C$1300,L$5)</f>
        <v>26</v>
      </c>
      <c r="M274" s="26">
        <f>SUMIFS(INDEX(元データ_14項目!$D$2:$Q$1300,0,MATCH($B274,元データ_14項目!$D$1:$Q$1,0)),元データ_14項目!$A$2:$A$1300,$A274,元データ_14項目!$B$2:$B$1300,"本年",元データ_14項目!$C$2:$C$1300,M$5)</f>
        <v>50</v>
      </c>
      <c r="N274" s="26">
        <f>SUMIFS(INDEX(元データ_14項目!$D$2:$Q$1300,0,MATCH($B274,元データ_14項目!$D$1:$Q$1,0)),元データ_14項目!$A$2:$A$1300,$A274,元データ_14項目!$B$2:$B$1300,"本年",元データ_14項目!$C$2:$C$1300,N$5)</f>
        <v>33</v>
      </c>
      <c r="O274" s="26">
        <f t="shared" si="8"/>
        <v>411</v>
      </c>
      <c r="P274" s="26">
        <f>SUMIFS(INDEX(元データ_14項目!$D$2:$Q$1300,0,MATCH($B274,元データ_14項目!$D$1:$Q$1,0)),元データ_14項目!$A$2:$A$1300,$A274,元データ_14項目!$B$2:$B$1300,"前年")</f>
        <v>467</v>
      </c>
      <c r="Q274" s="7">
        <f t="shared" si="9"/>
        <v>0.88008565310492504</v>
      </c>
    </row>
    <row r="275" spans="1:17" x14ac:dyDescent="0.45">
      <c r="A275" t="s">
        <v>54</v>
      </c>
      <c r="B275" t="s">
        <v>90</v>
      </c>
      <c r="C275" s="26">
        <f>SUMIFS(INDEX(元データ_14項目!$D$2:$Q$1300,0,MATCH($B275,元データ_14項目!$D$1:$Q$1,0)),元データ_14項目!$A$2:$A$1300,$A275,元データ_14項目!$B$2:$B$1300,"本年",元データ_14項目!$C$2:$C$1300,C$5)</f>
        <v>36</v>
      </c>
      <c r="D275" s="26">
        <f>SUMIFS(INDEX(元データ_14項目!$D$2:$Q$1300,0,MATCH($B275,元データ_14項目!$D$1:$Q$1,0)),元データ_14項目!$A$2:$A$1300,$A275,元データ_14項目!$B$2:$B$1300,"本年",元データ_14項目!$C$2:$C$1300,D$5)</f>
        <v>41</v>
      </c>
      <c r="E275" s="26">
        <f>SUMIFS(INDEX(元データ_14項目!$D$2:$Q$1300,0,MATCH($B275,元データ_14項目!$D$1:$Q$1,0)),元データ_14項目!$A$2:$A$1300,$A275,元データ_14項目!$B$2:$B$1300,"本年",元データ_14項目!$C$2:$C$1300,E$5)</f>
        <v>68</v>
      </c>
      <c r="F275" s="26">
        <f>SUMIFS(INDEX(元データ_14項目!$D$2:$Q$1300,0,MATCH($B275,元データ_14項目!$D$1:$Q$1,0)),元データ_14項目!$A$2:$A$1300,$A275,元データ_14項目!$B$2:$B$1300,"本年",元データ_14項目!$C$2:$C$1300,F$5)</f>
        <v>79</v>
      </c>
      <c r="G275" s="26">
        <f>SUMIFS(INDEX(元データ_14項目!$D$2:$Q$1300,0,MATCH($B275,元データ_14項目!$D$1:$Q$1,0)),元データ_14項目!$A$2:$A$1300,$A275,元データ_14項目!$B$2:$B$1300,"本年",元データ_14項目!$C$2:$C$1300,G$5)</f>
        <v>105</v>
      </c>
      <c r="H275" s="26">
        <f>SUMIFS(INDEX(元データ_14項目!$D$2:$Q$1300,0,MATCH($B275,元データ_14項目!$D$1:$Q$1,0)),元データ_14項目!$A$2:$A$1300,$A275,元データ_14項目!$B$2:$B$1300,"本年",元データ_14項目!$C$2:$C$1300,H$5)</f>
        <v>69</v>
      </c>
      <c r="I275" s="26">
        <f>SUMIFS(INDEX(元データ_14項目!$D$2:$Q$1300,0,MATCH($B275,元データ_14項目!$D$1:$Q$1,0)),元データ_14項目!$A$2:$A$1300,$A275,元データ_14項目!$B$2:$B$1300,"本年",元データ_14項目!$C$2:$C$1300,I$5)</f>
        <v>42</v>
      </c>
      <c r="J275" s="26">
        <f>SUMIFS(INDEX(元データ_14項目!$D$2:$Q$1300,0,MATCH($B275,元データ_14項目!$D$1:$Q$1,0)),元データ_14項目!$A$2:$A$1300,$A275,元データ_14項目!$B$2:$B$1300,"本年",元データ_14項目!$C$2:$C$1300,J$5)</f>
        <v>101</v>
      </c>
      <c r="K275" s="26">
        <f>SUMIFS(INDEX(元データ_14項目!$D$2:$Q$1300,0,MATCH($B275,元データ_14項目!$D$1:$Q$1,0)),元データ_14項目!$A$2:$A$1300,$A275,元データ_14項目!$B$2:$B$1300,"本年",元データ_14項目!$C$2:$C$1300,K$5)</f>
        <v>184</v>
      </c>
      <c r="L275" s="26">
        <f>SUMIFS(INDEX(元データ_14項目!$D$2:$Q$1300,0,MATCH($B275,元データ_14項目!$D$1:$Q$1,0)),元データ_14項目!$A$2:$A$1300,$A275,元データ_14項目!$B$2:$B$1300,"本年",元データ_14項目!$C$2:$C$1300,L$5)</f>
        <v>79</v>
      </c>
      <c r="M275" s="26">
        <f>SUMIFS(INDEX(元データ_14項目!$D$2:$Q$1300,0,MATCH($B275,元データ_14項目!$D$1:$Q$1,0)),元データ_14項目!$A$2:$A$1300,$A275,元データ_14項目!$B$2:$B$1300,"本年",元データ_14項目!$C$2:$C$1300,M$5)</f>
        <v>72</v>
      </c>
      <c r="N275" s="26">
        <f>SUMIFS(INDEX(元データ_14項目!$D$2:$Q$1300,0,MATCH($B275,元データ_14項目!$D$1:$Q$1,0)),元データ_14項目!$A$2:$A$1300,$A275,元データ_14項目!$B$2:$B$1300,"本年",元データ_14項目!$C$2:$C$1300,N$5)</f>
        <v>55</v>
      </c>
      <c r="O275" s="26">
        <f t="shared" si="8"/>
        <v>931</v>
      </c>
      <c r="P275" s="26">
        <f>SUMIFS(INDEX(元データ_14項目!$D$2:$Q$1300,0,MATCH($B275,元データ_14項目!$D$1:$Q$1,0)),元データ_14項目!$A$2:$A$1300,$A275,元データ_14項目!$B$2:$B$1300,"前年")</f>
        <v>1069</v>
      </c>
      <c r="Q275" s="7">
        <f t="shared" si="9"/>
        <v>0.87090739008419082</v>
      </c>
    </row>
    <row r="276" spans="1:17" x14ac:dyDescent="0.45">
      <c r="A276" t="s">
        <v>54</v>
      </c>
      <c r="B276" t="s">
        <v>91</v>
      </c>
      <c r="C276" s="26">
        <f>SUMIFS(INDEX(元データ_14項目!$D$2:$Q$1300,0,MATCH($B276,元データ_14項目!$D$1:$Q$1,0)),元データ_14項目!$A$2:$A$1300,$A276,元データ_14項目!$B$2:$B$1300,"本年",元データ_14項目!$C$2:$C$1300,C$5)</f>
        <v>6</v>
      </c>
      <c r="D276" s="26">
        <f>SUMIFS(INDEX(元データ_14項目!$D$2:$Q$1300,0,MATCH($B276,元データ_14項目!$D$1:$Q$1,0)),元データ_14項目!$A$2:$A$1300,$A276,元データ_14項目!$B$2:$B$1300,"本年",元データ_14項目!$C$2:$C$1300,D$5)</f>
        <v>22</v>
      </c>
      <c r="E276" s="26">
        <f>SUMIFS(INDEX(元データ_14項目!$D$2:$Q$1300,0,MATCH($B276,元データ_14項目!$D$1:$Q$1,0)),元データ_14項目!$A$2:$A$1300,$A276,元データ_14項目!$B$2:$B$1300,"本年",元データ_14項目!$C$2:$C$1300,E$5)</f>
        <v>37</v>
      </c>
      <c r="F276" s="26">
        <f>SUMIFS(INDEX(元データ_14項目!$D$2:$Q$1300,0,MATCH($B276,元データ_14項目!$D$1:$Q$1,0)),元データ_14項目!$A$2:$A$1300,$A276,元データ_14項目!$B$2:$B$1300,"本年",元データ_14項目!$C$2:$C$1300,F$5)</f>
        <v>37</v>
      </c>
      <c r="G276" s="26">
        <f>SUMIFS(INDEX(元データ_14項目!$D$2:$Q$1300,0,MATCH($B276,元データ_14項目!$D$1:$Q$1,0)),元データ_14項目!$A$2:$A$1300,$A276,元データ_14項目!$B$2:$B$1300,"本年",元データ_14項目!$C$2:$C$1300,G$5)</f>
        <v>10</v>
      </c>
      <c r="H276" s="26">
        <f>SUMIFS(INDEX(元データ_14項目!$D$2:$Q$1300,0,MATCH($B276,元データ_14項目!$D$1:$Q$1,0)),元データ_14項目!$A$2:$A$1300,$A276,元データ_14項目!$B$2:$B$1300,"本年",元データ_14項目!$C$2:$C$1300,H$5)</f>
        <v>4</v>
      </c>
      <c r="I276" s="26">
        <f>SUMIFS(INDEX(元データ_14項目!$D$2:$Q$1300,0,MATCH($B276,元データ_14項目!$D$1:$Q$1,0)),元データ_14項目!$A$2:$A$1300,$A276,元データ_14項目!$B$2:$B$1300,"本年",元データ_14項目!$C$2:$C$1300,I$5)</f>
        <v>15</v>
      </c>
      <c r="J276" s="26">
        <f>SUMIFS(INDEX(元データ_14項目!$D$2:$Q$1300,0,MATCH($B276,元データ_14項目!$D$1:$Q$1,0)),元データ_14項目!$A$2:$A$1300,$A276,元データ_14項目!$B$2:$B$1300,"本年",元データ_14項目!$C$2:$C$1300,J$5)</f>
        <v>9</v>
      </c>
      <c r="K276" s="26">
        <f>SUMIFS(INDEX(元データ_14項目!$D$2:$Q$1300,0,MATCH($B276,元データ_14項目!$D$1:$Q$1,0)),元データ_14項目!$A$2:$A$1300,$A276,元データ_14項目!$B$2:$B$1300,"本年",元データ_14項目!$C$2:$C$1300,K$5)</f>
        <v>10</v>
      </c>
      <c r="L276" s="26">
        <f>SUMIFS(INDEX(元データ_14項目!$D$2:$Q$1300,0,MATCH($B276,元データ_14項目!$D$1:$Q$1,0)),元データ_14項目!$A$2:$A$1300,$A276,元データ_14項目!$B$2:$B$1300,"本年",元データ_14項目!$C$2:$C$1300,L$5)</f>
        <v>15</v>
      </c>
      <c r="M276" s="26">
        <f>SUMIFS(INDEX(元データ_14項目!$D$2:$Q$1300,0,MATCH($B276,元データ_14項目!$D$1:$Q$1,0)),元データ_14項目!$A$2:$A$1300,$A276,元データ_14項目!$B$2:$B$1300,"本年",元データ_14項目!$C$2:$C$1300,M$5)</f>
        <v>19</v>
      </c>
      <c r="N276" s="26">
        <f>SUMIFS(INDEX(元データ_14項目!$D$2:$Q$1300,0,MATCH($B276,元データ_14項目!$D$1:$Q$1,0)),元データ_14項目!$A$2:$A$1300,$A276,元データ_14項目!$B$2:$B$1300,"本年",元データ_14項目!$C$2:$C$1300,N$5)</f>
        <v>5</v>
      </c>
      <c r="O276" s="26">
        <f t="shared" si="8"/>
        <v>189</v>
      </c>
      <c r="P276" s="26">
        <f>SUMIFS(INDEX(元データ_14項目!$D$2:$Q$1300,0,MATCH($B276,元データ_14項目!$D$1:$Q$1,0)),元データ_14項目!$A$2:$A$1300,$A276,元データ_14項目!$B$2:$B$1300,"前年")</f>
        <v>225</v>
      </c>
      <c r="Q276" s="7">
        <f t="shared" si="9"/>
        <v>0.84</v>
      </c>
    </row>
    <row r="277" spans="1:17" x14ac:dyDescent="0.45">
      <c r="A277" t="s">
        <v>54</v>
      </c>
      <c r="B277" t="s">
        <v>28</v>
      </c>
      <c r="C277" s="26">
        <f>SUMIFS(INDEX(元データ_14項目!$D$2:$Q$1300,0,MATCH($B277,元データ_14項目!$D$1:$Q$1,0)),元データ_14項目!$A$2:$A$1300,$A277,元データ_14項目!$B$2:$B$1300,"本年",元データ_14項目!$C$2:$C$1300,C$5)</f>
        <v>128</v>
      </c>
      <c r="D277" s="26">
        <f>SUMIFS(INDEX(元データ_14項目!$D$2:$Q$1300,0,MATCH($B277,元データ_14項目!$D$1:$Q$1,0)),元データ_14項目!$A$2:$A$1300,$A277,元データ_14項目!$B$2:$B$1300,"本年",元データ_14項目!$C$2:$C$1300,D$5)</f>
        <v>135</v>
      </c>
      <c r="E277" s="26">
        <f>SUMIFS(INDEX(元データ_14項目!$D$2:$Q$1300,0,MATCH($B277,元データ_14項目!$D$1:$Q$1,0)),元データ_14項目!$A$2:$A$1300,$A277,元データ_14項目!$B$2:$B$1300,"本年",元データ_14項目!$C$2:$C$1300,E$5)</f>
        <v>196</v>
      </c>
      <c r="F277" s="26">
        <f>SUMIFS(INDEX(元データ_14項目!$D$2:$Q$1300,0,MATCH($B277,元データ_14項目!$D$1:$Q$1,0)),元データ_14項目!$A$2:$A$1300,$A277,元データ_14項目!$B$2:$B$1300,"本年",元データ_14項目!$C$2:$C$1300,F$5)</f>
        <v>161</v>
      </c>
      <c r="G277" s="26">
        <f>SUMIFS(INDEX(元データ_14項目!$D$2:$Q$1300,0,MATCH($B277,元データ_14項目!$D$1:$Q$1,0)),元データ_14項目!$A$2:$A$1300,$A277,元データ_14項目!$B$2:$B$1300,"本年",元データ_14項目!$C$2:$C$1300,G$5)</f>
        <v>141</v>
      </c>
      <c r="H277" s="26">
        <f>SUMIFS(INDEX(元データ_14項目!$D$2:$Q$1300,0,MATCH($B277,元データ_14項目!$D$1:$Q$1,0)),元データ_14項目!$A$2:$A$1300,$A277,元データ_14項目!$B$2:$B$1300,"本年",元データ_14項目!$C$2:$C$1300,H$5)</f>
        <v>68</v>
      </c>
      <c r="I277" s="26">
        <f>SUMIFS(INDEX(元データ_14項目!$D$2:$Q$1300,0,MATCH($B277,元データ_14項目!$D$1:$Q$1,0)),元データ_14項目!$A$2:$A$1300,$A277,元データ_14項目!$B$2:$B$1300,"本年",元データ_14項目!$C$2:$C$1300,I$5)</f>
        <v>98</v>
      </c>
      <c r="J277" s="26">
        <f>SUMIFS(INDEX(元データ_14項目!$D$2:$Q$1300,0,MATCH($B277,元データ_14項目!$D$1:$Q$1,0)),元データ_14項目!$A$2:$A$1300,$A277,元データ_14項目!$B$2:$B$1300,"本年",元データ_14項目!$C$2:$C$1300,J$5)</f>
        <v>100</v>
      </c>
      <c r="K277" s="26">
        <f>SUMIFS(INDEX(元データ_14項目!$D$2:$Q$1300,0,MATCH($B277,元データ_14項目!$D$1:$Q$1,0)),元データ_14項目!$A$2:$A$1300,$A277,元データ_14項目!$B$2:$B$1300,"本年",元データ_14項目!$C$2:$C$1300,K$5)</f>
        <v>174</v>
      </c>
      <c r="L277" s="26">
        <f>SUMIFS(INDEX(元データ_14項目!$D$2:$Q$1300,0,MATCH($B277,元データ_14項目!$D$1:$Q$1,0)),元データ_14項目!$A$2:$A$1300,$A277,元データ_14項目!$B$2:$B$1300,"本年",元データ_14項目!$C$2:$C$1300,L$5)</f>
        <v>146</v>
      </c>
      <c r="M277" s="26">
        <f>SUMIFS(INDEX(元データ_14項目!$D$2:$Q$1300,0,MATCH($B277,元データ_14項目!$D$1:$Q$1,0)),元データ_14項目!$A$2:$A$1300,$A277,元データ_14項目!$B$2:$B$1300,"本年",元データ_14項目!$C$2:$C$1300,M$5)</f>
        <v>130</v>
      </c>
      <c r="N277" s="26">
        <f>SUMIFS(INDEX(元データ_14項目!$D$2:$Q$1300,0,MATCH($B277,元データ_14項目!$D$1:$Q$1,0)),元データ_14項目!$A$2:$A$1300,$A277,元データ_14項目!$B$2:$B$1300,"本年",元データ_14項目!$C$2:$C$1300,N$5)</f>
        <v>128</v>
      </c>
      <c r="O277" s="26">
        <f t="shared" si="8"/>
        <v>1605</v>
      </c>
      <c r="P277" s="26">
        <f>SUMIFS(INDEX(元データ_14項目!$D$2:$Q$1300,0,MATCH($B277,元データ_14項目!$D$1:$Q$1,0)),元データ_14項目!$A$2:$A$1300,$A277,元データ_14項目!$B$2:$B$1300,"前年")</f>
        <v>1928</v>
      </c>
      <c r="Q277" s="7">
        <f t="shared" si="9"/>
        <v>0.83246887966804983</v>
      </c>
    </row>
    <row r="278" spans="1:17" x14ac:dyDescent="0.45">
      <c r="A278" t="s">
        <v>54</v>
      </c>
      <c r="B278" t="s">
        <v>92</v>
      </c>
      <c r="C278" s="26">
        <f>SUMIFS(INDEX(元データ_14項目!$D$2:$Q$1300,0,MATCH($B278,元データ_14項目!$D$1:$Q$1,0)),元データ_14項目!$A$2:$A$1300,$A278,元データ_14項目!$B$2:$B$1300,"本年",元データ_14項目!$C$2:$C$1300,C$5)</f>
        <v>11</v>
      </c>
      <c r="D278" s="26">
        <f>SUMIFS(INDEX(元データ_14項目!$D$2:$Q$1300,0,MATCH($B278,元データ_14項目!$D$1:$Q$1,0)),元データ_14項目!$A$2:$A$1300,$A278,元データ_14項目!$B$2:$B$1300,"本年",元データ_14項目!$C$2:$C$1300,D$5)</f>
        <v>14</v>
      </c>
      <c r="E278" s="26">
        <f>SUMIFS(INDEX(元データ_14項目!$D$2:$Q$1300,0,MATCH($B278,元データ_14項目!$D$1:$Q$1,0)),元データ_14項目!$A$2:$A$1300,$A278,元データ_14項目!$B$2:$B$1300,"本年",元データ_14項目!$C$2:$C$1300,E$5)</f>
        <v>24</v>
      </c>
      <c r="F278" s="26">
        <f>SUMIFS(INDEX(元データ_14項目!$D$2:$Q$1300,0,MATCH($B278,元データ_14項目!$D$1:$Q$1,0)),元データ_14項目!$A$2:$A$1300,$A278,元データ_14項目!$B$2:$B$1300,"本年",元データ_14項目!$C$2:$C$1300,F$5)</f>
        <v>27</v>
      </c>
      <c r="G278" s="26">
        <f>SUMIFS(INDEX(元データ_14項目!$D$2:$Q$1300,0,MATCH($B278,元データ_14項目!$D$1:$Q$1,0)),元データ_14項目!$A$2:$A$1300,$A278,元データ_14項目!$B$2:$B$1300,"本年",元データ_14項目!$C$2:$C$1300,G$5)</f>
        <v>16</v>
      </c>
      <c r="H278" s="26">
        <f>SUMIFS(INDEX(元データ_14項目!$D$2:$Q$1300,0,MATCH($B278,元データ_14項目!$D$1:$Q$1,0)),元データ_14項目!$A$2:$A$1300,$A278,元データ_14項目!$B$2:$B$1300,"本年",元データ_14項目!$C$2:$C$1300,H$5)</f>
        <v>14</v>
      </c>
      <c r="I278" s="26">
        <f>SUMIFS(INDEX(元データ_14項目!$D$2:$Q$1300,0,MATCH($B278,元データ_14項目!$D$1:$Q$1,0)),元データ_14項目!$A$2:$A$1300,$A278,元データ_14項目!$B$2:$B$1300,"本年",元データ_14項目!$C$2:$C$1300,I$5)</f>
        <v>13</v>
      </c>
      <c r="J278" s="26">
        <f>SUMIFS(INDEX(元データ_14項目!$D$2:$Q$1300,0,MATCH($B278,元データ_14項目!$D$1:$Q$1,0)),元データ_14項目!$A$2:$A$1300,$A278,元データ_14項目!$B$2:$B$1300,"本年",元データ_14項目!$C$2:$C$1300,J$5)</f>
        <v>18</v>
      </c>
      <c r="K278" s="26">
        <f>SUMIFS(INDEX(元データ_14項目!$D$2:$Q$1300,0,MATCH($B278,元データ_14項目!$D$1:$Q$1,0)),元データ_14項目!$A$2:$A$1300,$A278,元データ_14項目!$B$2:$B$1300,"本年",元データ_14項目!$C$2:$C$1300,K$5)</f>
        <v>37</v>
      </c>
      <c r="L278" s="26">
        <f>SUMIFS(INDEX(元データ_14項目!$D$2:$Q$1300,0,MATCH($B278,元データ_14項目!$D$1:$Q$1,0)),元データ_14項目!$A$2:$A$1300,$A278,元データ_14項目!$B$2:$B$1300,"本年",元データ_14項目!$C$2:$C$1300,L$5)</f>
        <v>22</v>
      </c>
      <c r="M278" s="26">
        <f>SUMIFS(INDEX(元データ_14項目!$D$2:$Q$1300,0,MATCH($B278,元データ_14項目!$D$1:$Q$1,0)),元データ_14項目!$A$2:$A$1300,$A278,元データ_14項目!$B$2:$B$1300,"本年",元データ_14項目!$C$2:$C$1300,M$5)</f>
        <v>19</v>
      </c>
      <c r="N278" s="26">
        <f>SUMIFS(INDEX(元データ_14項目!$D$2:$Q$1300,0,MATCH($B278,元データ_14項目!$D$1:$Q$1,0)),元データ_14項目!$A$2:$A$1300,$A278,元データ_14項目!$B$2:$B$1300,"本年",元データ_14項目!$C$2:$C$1300,N$5)</f>
        <v>11</v>
      </c>
      <c r="O278" s="26">
        <f t="shared" si="8"/>
        <v>226</v>
      </c>
      <c r="P278" s="26">
        <f>SUMIFS(INDEX(元データ_14項目!$D$2:$Q$1300,0,MATCH($B278,元データ_14項目!$D$1:$Q$1,0)),元データ_14項目!$A$2:$A$1300,$A278,元データ_14項目!$B$2:$B$1300,"前年")</f>
        <v>267</v>
      </c>
      <c r="Q278" s="7">
        <f t="shared" si="9"/>
        <v>0.84644194756554303</v>
      </c>
    </row>
    <row r="279" spans="1:17" x14ac:dyDescent="0.45">
      <c r="A279" t="s">
        <v>54</v>
      </c>
      <c r="B279" t="s">
        <v>93</v>
      </c>
      <c r="C279" s="26">
        <f>SUMIFS(INDEX(元データ_14項目!$D$2:$Q$1300,0,MATCH($B279,元データ_14項目!$D$1:$Q$1,0)),元データ_14項目!$A$2:$A$1300,$A279,元データ_14項目!$B$2:$B$1300,"本年",元データ_14項目!$C$2:$C$1300,C$5)</f>
        <v>19</v>
      </c>
      <c r="D279" s="26">
        <f>SUMIFS(INDEX(元データ_14項目!$D$2:$Q$1300,0,MATCH($B279,元データ_14項目!$D$1:$Q$1,0)),元データ_14項目!$A$2:$A$1300,$A279,元データ_14項目!$B$2:$B$1300,"本年",元データ_14項目!$C$2:$C$1300,D$5)</f>
        <v>21</v>
      </c>
      <c r="E279" s="26">
        <f>SUMIFS(INDEX(元データ_14項目!$D$2:$Q$1300,0,MATCH($B279,元データ_14項目!$D$1:$Q$1,0)),元データ_14項目!$A$2:$A$1300,$A279,元データ_14項目!$B$2:$B$1300,"本年",元データ_14項目!$C$2:$C$1300,E$5)</f>
        <v>38</v>
      </c>
      <c r="F279" s="26">
        <f>SUMIFS(INDEX(元データ_14項目!$D$2:$Q$1300,0,MATCH($B279,元データ_14項目!$D$1:$Q$1,0)),元データ_14項目!$A$2:$A$1300,$A279,元データ_14項目!$B$2:$B$1300,"本年",元データ_14項目!$C$2:$C$1300,F$5)</f>
        <v>41</v>
      </c>
      <c r="G279" s="26">
        <f>SUMIFS(INDEX(元データ_14項目!$D$2:$Q$1300,0,MATCH($B279,元データ_14項目!$D$1:$Q$1,0)),元データ_14項目!$A$2:$A$1300,$A279,元データ_14項目!$B$2:$B$1300,"本年",元データ_14項目!$C$2:$C$1300,G$5)</f>
        <v>74</v>
      </c>
      <c r="H279" s="26">
        <f>SUMIFS(INDEX(元データ_14項目!$D$2:$Q$1300,0,MATCH($B279,元データ_14項目!$D$1:$Q$1,0)),元データ_14項目!$A$2:$A$1300,$A279,元データ_14項目!$B$2:$B$1300,"本年",元データ_14項目!$C$2:$C$1300,H$5)</f>
        <v>34</v>
      </c>
      <c r="I279" s="26">
        <f>SUMIFS(INDEX(元データ_14項目!$D$2:$Q$1300,0,MATCH($B279,元データ_14項目!$D$1:$Q$1,0)),元データ_14項目!$A$2:$A$1300,$A279,元データ_14項目!$B$2:$B$1300,"本年",元データ_14項目!$C$2:$C$1300,I$5)</f>
        <v>42</v>
      </c>
      <c r="J279" s="26">
        <f>SUMIFS(INDEX(元データ_14項目!$D$2:$Q$1300,0,MATCH($B279,元データ_14項目!$D$1:$Q$1,0)),元データ_14項目!$A$2:$A$1300,$A279,元データ_14項目!$B$2:$B$1300,"本年",元データ_14項目!$C$2:$C$1300,J$5)</f>
        <v>67</v>
      </c>
      <c r="K279" s="26">
        <f>SUMIFS(INDEX(元データ_14項目!$D$2:$Q$1300,0,MATCH($B279,元データ_14項目!$D$1:$Q$1,0)),元データ_14項目!$A$2:$A$1300,$A279,元データ_14項目!$B$2:$B$1300,"本年",元データ_14項目!$C$2:$C$1300,K$5)</f>
        <v>272</v>
      </c>
      <c r="L279" s="26">
        <f>SUMIFS(INDEX(元データ_14項目!$D$2:$Q$1300,0,MATCH($B279,元データ_14項目!$D$1:$Q$1,0)),元データ_14項目!$A$2:$A$1300,$A279,元データ_14項目!$B$2:$B$1300,"本年",元データ_14項目!$C$2:$C$1300,L$5)</f>
        <v>91</v>
      </c>
      <c r="M279" s="26">
        <f>SUMIFS(INDEX(元データ_14項目!$D$2:$Q$1300,0,MATCH($B279,元データ_14項目!$D$1:$Q$1,0)),元データ_14項目!$A$2:$A$1300,$A279,元データ_14項目!$B$2:$B$1300,"本年",元データ_14項目!$C$2:$C$1300,M$5)</f>
        <v>71</v>
      </c>
      <c r="N279" s="26">
        <f>SUMIFS(INDEX(元データ_14項目!$D$2:$Q$1300,0,MATCH($B279,元データ_14項目!$D$1:$Q$1,0)),元データ_14項目!$A$2:$A$1300,$A279,元データ_14項目!$B$2:$B$1300,"本年",元データ_14項目!$C$2:$C$1300,N$5)</f>
        <v>36</v>
      </c>
      <c r="O279" s="26">
        <f t="shared" si="8"/>
        <v>806</v>
      </c>
      <c r="P279" s="26">
        <f>SUMIFS(INDEX(元データ_14項目!$D$2:$Q$1300,0,MATCH($B279,元データ_14項目!$D$1:$Q$1,0)),元データ_14項目!$A$2:$A$1300,$A279,元データ_14項目!$B$2:$B$1300,"前年")</f>
        <v>872</v>
      </c>
      <c r="Q279" s="7">
        <f t="shared" si="9"/>
        <v>0.92431192660550454</v>
      </c>
    </row>
    <row r="280" spans="1:17" x14ac:dyDescent="0.45">
      <c r="A280" t="s">
        <v>54</v>
      </c>
      <c r="B280" t="s">
        <v>94</v>
      </c>
      <c r="C280" s="26">
        <f>SUMIFS(INDEX(元データ_14項目!$D$2:$Q$1300,0,MATCH($B280,元データ_14項目!$D$1:$Q$1,0)),元データ_14項目!$A$2:$A$1300,$A280,元データ_14項目!$B$2:$B$1300,"本年",元データ_14項目!$C$2:$C$1300,C$5)</f>
        <v>11</v>
      </c>
      <c r="D280" s="26">
        <f>SUMIFS(INDEX(元データ_14項目!$D$2:$Q$1300,0,MATCH($B280,元データ_14項目!$D$1:$Q$1,0)),元データ_14項目!$A$2:$A$1300,$A280,元データ_14項目!$B$2:$B$1300,"本年",元データ_14項目!$C$2:$C$1300,D$5)</f>
        <v>10</v>
      </c>
      <c r="E280" s="26">
        <f>SUMIFS(INDEX(元データ_14項目!$D$2:$Q$1300,0,MATCH($B280,元データ_14項目!$D$1:$Q$1,0)),元データ_14項目!$A$2:$A$1300,$A280,元データ_14項目!$B$2:$B$1300,"本年",元データ_14項目!$C$2:$C$1300,E$5)</f>
        <v>23</v>
      </c>
      <c r="F280" s="26">
        <f>SUMIFS(INDEX(元データ_14項目!$D$2:$Q$1300,0,MATCH($B280,元データ_14項目!$D$1:$Q$1,0)),元データ_14項目!$A$2:$A$1300,$A280,元データ_14項目!$B$2:$B$1300,"本年",元データ_14項目!$C$2:$C$1300,F$5)</f>
        <v>20</v>
      </c>
      <c r="G280" s="26">
        <f>SUMIFS(INDEX(元データ_14項目!$D$2:$Q$1300,0,MATCH($B280,元データ_14項目!$D$1:$Q$1,0)),元データ_14項目!$A$2:$A$1300,$A280,元データ_14項目!$B$2:$B$1300,"本年",元データ_14項目!$C$2:$C$1300,G$5)</f>
        <v>22</v>
      </c>
      <c r="H280" s="26">
        <f>SUMIFS(INDEX(元データ_14項目!$D$2:$Q$1300,0,MATCH($B280,元データ_14項目!$D$1:$Q$1,0)),元データ_14項目!$A$2:$A$1300,$A280,元データ_14項目!$B$2:$B$1300,"本年",元データ_14項目!$C$2:$C$1300,H$5)</f>
        <v>9</v>
      </c>
      <c r="I280" s="26">
        <f>SUMIFS(INDEX(元データ_14項目!$D$2:$Q$1300,0,MATCH($B280,元データ_14項目!$D$1:$Q$1,0)),元データ_14項目!$A$2:$A$1300,$A280,元データ_14項目!$B$2:$B$1300,"本年",元データ_14項目!$C$2:$C$1300,I$5)</f>
        <v>12</v>
      </c>
      <c r="J280" s="26">
        <f>SUMIFS(INDEX(元データ_14項目!$D$2:$Q$1300,0,MATCH($B280,元データ_14項目!$D$1:$Q$1,0)),元データ_14項目!$A$2:$A$1300,$A280,元データ_14項目!$B$2:$B$1300,"本年",元データ_14項目!$C$2:$C$1300,J$5)</f>
        <v>23</v>
      </c>
      <c r="K280" s="26">
        <f>SUMIFS(INDEX(元データ_14項目!$D$2:$Q$1300,0,MATCH($B280,元データ_14項目!$D$1:$Q$1,0)),元データ_14項目!$A$2:$A$1300,$A280,元データ_14項目!$B$2:$B$1300,"本年",元データ_14項目!$C$2:$C$1300,K$5)</f>
        <v>73</v>
      </c>
      <c r="L280" s="26">
        <f>SUMIFS(INDEX(元データ_14項目!$D$2:$Q$1300,0,MATCH($B280,元データ_14項目!$D$1:$Q$1,0)),元データ_14項目!$A$2:$A$1300,$A280,元データ_14項目!$B$2:$B$1300,"本年",元データ_14項目!$C$2:$C$1300,L$5)</f>
        <v>62</v>
      </c>
      <c r="M280" s="26">
        <f>SUMIFS(INDEX(元データ_14項目!$D$2:$Q$1300,0,MATCH($B280,元データ_14項目!$D$1:$Q$1,0)),元データ_14項目!$A$2:$A$1300,$A280,元データ_14項目!$B$2:$B$1300,"本年",元データ_14項目!$C$2:$C$1300,M$5)</f>
        <v>45</v>
      </c>
      <c r="N280" s="26">
        <f>SUMIFS(INDEX(元データ_14項目!$D$2:$Q$1300,0,MATCH($B280,元データ_14項目!$D$1:$Q$1,0)),元データ_14項目!$A$2:$A$1300,$A280,元データ_14項目!$B$2:$B$1300,"本年",元データ_14項目!$C$2:$C$1300,N$5)</f>
        <v>17</v>
      </c>
      <c r="O280" s="26">
        <f t="shared" si="8"/>
        <v>327</v>
      </c>
      <c r="P280" s="26">
        <f>SUMIFS(INDEX(元データ_14項目!$D$2:$Q$1300,0,MATCH($B280,元データ_14項目!$D$1:$Q$1,0)),元データ_14項目!$A$2:$A$1300,$A280,元データ_14項目!$B$2:$B$1300,"前年")</f>
        <v>408</v>
      </c>
      <c r="Q280" s="7">
        <f t="shared" si="9"/>
        <v>0.80147058823529416</v>
      </c>
    </row>
    <row r="281" spans="1:17" x14ac:dyDescent="0.45">
      <c r="A281" t="s">
        <v>54</v>
      </c>
      <c r="B281" t="s">
        <v>95</v>
      </c>
      <c r="C281" s="26">
        <f>SUMIFS(INDEX(元データ_14項目!$D$2:$Q$1300,0,MATCH($B281,元データ_14項目!$D$1:$Q$1,0)),元データ_14項目!$A$2:$A$1300,$A281,元データ_14項目!$B$2:$B$1300,"本年",元データ_14項目!$C$2:$C$1300,C$5)</f>
        <v>39</v>
      </c>
      <c r="D281" s="26">
        <f>SUMIFS(INDEX(元データ_14項目!$D$2:$Q$1300,0,MATCH($B281,元データ_14項目!$D$1:$Q$1,0)),元データ_14項目!$A$2:$A$1300,$A281,元データ_14項目!$B$2:$B$1300,"本年",元データ_14項目!$C$2:$C$1300,D$5)</f>
        <v>26</v>
      </c>
      <c r="E281" s="26">
        <f>SUMIFS(INDEX(元データ_14項目!$D$2:$Q$1300,0,MATCH($B281,元データ_14項目!$D$1:$Q$1,0)),元データ_14項目!$A$2:$A$1300,$A281,元データ_14項目!$B$2:$B$1300,"本年",元データ_14項目!$C$2:$C$1300,E$5)</f>
        <v>41</v>
      </c>
      <c r="F281" s="26">
        <f>SUMIFS(INDEX(元データ_14項目!$D$2:$Q$1300,0,MATCH($B281,元データ_14項目!$D$1:$Q$1,0)),元データ_14項目!$A$2:$A$1300,$A281,元データ_14項目!$B$2:$B$1300,"本年",元データ_14項目!$C$2:$C$1300,F$5)</f>
        <v>27</v>
      </c>
      <c r="G281" s="26">
        <f>SUMIFS(INDEX(元データ_14項目!$D$2:$Q$1300,0,MATCH($B281,元データ_14項目!$D$1:$Q$1,0)),元データ_14項目!$A$2:$A$1300,$A281,元データ_14項目!$B$2:$B$1300,"本年",元データ_14項目!$C$2:$C$1300,G$5)</f>
        <v>16</v>
      </c>
      <c r="H281" s="26">
        <f>SUMIFS(INDEX(元データ_14項目!$D$2:$Q$1300,0,MATCH($B281,元データ_14項目!$D$1:$Q$1,0)),元データ_14項目!$A$2:$A$1300,$A281,元データ_14項目!$B$2:$B$1300,"本年",元データ_14項目!$C$2:$C$1300,H$5)</f>
        <v>14</v>
      </c>
      <c r="I281" s="26">
        <f>SUMIFS(INDEX(元データ_14項目!$D$2:$Q$1300,0,MATCH($B281,元データ_14項目!$D$1:$Q$1,0)),元データ_14項目!$A$2:$A$1300,$A281,元データ_14項目!$B$2:$B$1300,"本年",元データ_14項目!$C$2:$C$1300,I$5)</f>
        <v>14</v>
      </c>
      <c r="J281" s="26">
        <f>SUMIFS(INDEX(元データ_14項目!$D$2:$Q$1300,0,MATCH($B281,元データ_14項目!$D$1:$Q$1,0)),元データ_14項目!$A$2:$A$1300,$A281,元データ_14項目!$B$2:$B$1300,"本年",元データ_14項目!$C$2:$C$1300,J$5)</f>
        <v>17</v>
      </c>
      <c r="K281" s="26">
        <f>SUMIFS(INDEX(元データ_14項目!$D$2:$Q$1300,0,MATCH($B281,元データ_14項目!$D$1:$Q$1,0)),元データ_14項目!$A$2:$A$1300,$A281,元データ_14項目!$B$2:$B$1300,"本年",元データ_14項目!$C$2:$C$1300,K$5)</f>
        <v>55</v>
      </c>
      <c r="L281" s="26">
        <f>SUMIFS(INDEX(元データ_14項目!$D$2:$Q$1300,0,MATCH($B281,元データ_14項目!$D$1:$Q$1,0)),元データ_14項目!$A$2:$A$1300,$A281,元データ_14項目!$B$2:$B$1300,"本年",元データ_14項目!$C$2:$C$1300,L$5)</f>
        <v>29</v>
      </c>
      <c r="M281" s="26">
        <f>SUMIFS(INDEX(元データ_14項目!$D$2:$Q$1300,0,MATCH($B281,元データ_14項目!$D$1:$Q$1,0)),元データ_14項目!$A$2:$A$1300,$A281,元データ_14項目!$B$2:$B$1300,"本年",元データ_14項目!$C$2:$C$1300,M$5)</f>
        <v>26</v>
      </c>
      <c r="N281" s="26">
        <f>SUMIFS(INDEX(元データ_14項目!$D$2:$Q$1300,0,MATCH($B281,元データ_14項目!$D$1:$Q$1,0)),元データ_14項目!$A$2:$A$1300,$A281,元データ_14項目!$B$2:$B$1300,"本年",元データ_14項目!$C$2:$C$1300,N$5)</f>
        <v>28</v>
      </c>
      <c r="O281" s="26">
        <f t="shared" si="8"/>
        <v>332</v>
      </c>
      <c r="P281" s="26">
        <f>SUMIFS(INDEX(元データ_14項目!$D$2:$Q$1300,0,MATCH($B281,元データ_14項目!$D$1:$Q$1,0)),元データ_14項目!$A$2:$A$1300,$A281,元データ_14項目!$B$2:$B$1300,"前年")</f>
        <v>333</v>
      </c>
      <c r="Q281" s="7">
        <f t="shared" si="9"/>
        <v>0.99699699699699695</v>
      </c>
    </row>
    <row r="282" spans="1:17" x14ac:dyDescent="0.45">
      <c r="A282" t="s">
        <v>54</v>
      </c>
      <c r="B282" t="s">
        <v>96</v>
      </c>
      <c r="C282" s="26">
        <f>SUMIFS(INDEX(元データ_14項目!$D$2:$Q$1300,0,MATCH($B282,元データ_14項目!$D$1:$Q$1,0)),元データ_14項目!$A$2:$A$1300,$A282,元データ_14項目!$B$2:$B$1300,"本年",元データ_14項目!$C$2:$C$1300,C$5)</f>
        <v>16</v>
      </c>
      <c r="D282" s="26">
        <f>SUMIFS(INDEX(元データ_14項目!$D$2:$Q$1300,0,MATCH($B282,元データ_14項目!$D$1:$Q$1,0)),元データ_14項目!$A$2:$A$1300,$A282,元データ_14項目!$B$2:$B$1300,"本年",元データ_14項目!$C$2:$C$1300,D$5)</f>
        <v>9</v>
      </c>
      <c r="E282" s="26">
        <f>SUMIFS(INDEX(元データ_14項目!$D$2:$Q$1300,0,MATCH($B282,元データ_14項目!$D$1:$Q$1,0)),元データ_14項目!$A$2:$A$1300,$A282,元データ_14項目!$B$2:$B$1300,"本年",元データ_14項目!$C$2:$C$1300,E$5)</f>
        <v>27</v>
      </c>
      <c r="F282" s="26">
        <f>SUMIFS(INDEX(元データ_14項目!$D$2:$Q$1300,0,MATCH($B282,元データ_14項目!$D$1:$Q$1,0)),元データ_14項目!$A$2:$A$1300,$A282,元データ_14項目!$B$2:$B$1300,"本年",元データ_14項目!$C$2:$C$1300,F$5)</f>
        <v>25</v>
      </c>
      <c r="G282" s="26">
        <f>SUMIFS(INDEX(元データ_14項目!$D$2:$Q$1300,0,MATCH($B282,元データ_14項目!$D$1:$Q$1,0)),元データ_14項目!$A$2:$A$1300,$A282,元データ_14項目!$B$2:$B$1300,"本年",元データ_14項目!$C$2:$C$1300,G$5)</f>
        <v>28</v>
      </c>
      <c r="H282" s="26">
        <f>SUMIFS(INDEX(元データ_14項目!$D$2:$Q$1300,0,MATCH($B282,元データ_14項目!$D$1:$Q$1,0)),元データ_14項目!$A$2:$A$1300,$A282,元データ_14項目!$B$2:$B$1300,"本年",元データ_14項目!$C$2:$C$1300,H$5)</f>
        <v>18</v>
      </c>
      <c r="I282" s="26">
        <f>SUMIFS(INDEX(元データ_14項目!$D$2:$Q$1300,0,MATCH($B282,元データ_14項目!$D$1:$Q$1,0)),元データ_14項目!$A$2:$A$1300,$A282,元データ_14項目!$B$2:$B$1300,"本年",元データ_14項目!$C$2:$C$1300,I$5)</f>
        <v>25</v>
      </c>
      <c r="J282" s="26">
        <f>SUMIFS(INDEX(元データ_14項目!$D$2:$Q$1300,0,MATCH($B282,元データ_14項目!$D$1:$Q$1,0)),元データ_14項目!$A$2:$A$1300,$A282,元データ_14項目!$B$2:$B$1300,"本年",元データ_14項目!$C$2:$C$1300,J$5)</f>
        <v>86</v>
      </c>
      <c r="K282" s="26">
        <f>SUMIFS(INDEX(元データ_14項目!$D$2:$Q$1300,0,MATCH($B282,元データ_14項目!$D$1:$Q$1,0)),元データ_14項目!$A$2:$A$1300,$A282,元データ_14項目!$B$2:$B$1300,"本年",元データ_14項目!$C$2:$C$1300,K$5)</f>
        <v>222</v>
      </c>
      <c r="L282" s="26">
        <f>SUMIFS(INDEX(元データ_14項目!$D$2:$Q$1300,0,MATCH($B282,元データ_14項目!$D$1:$Q$1,0)),元データ_14項目!$A$2:$A$1300,$A282,元データ_14項目!$B$2:$B$1300,"本年",元データ_14項目!$C$2:$C$1300,L$5)</f>
        <v>98</v>
      </c>
      <c r="M282" s="26">
        <f>SUMIFS(INDEX(元データ_14項目!$D$2:$Q$1300,0,MATCH($B282,元データ_14項目!$D$1:$Q$1,0)),元データ_14項目!$A$2:$A$1300,$A282,元データ_14項目!$B$2:$B$1300,"本年",元データ_14項目!$C$2:$C$1300,M$5)</f>
        <v>55</v>
      </c>
      <c r="N282" s="26">
        <f>SUMIFS(INDEX(元データ_14項目!$D$2:$Q$1300,0,MATCH($B282,元データ_14項目!$D$1:$Q$1,0)),元データ_14項目!$A$2:$A$1300,$A282,元データ_14項目!$B$2:$B$1300,"本年",元データ_14項目!$C$2:$C$1300,N$5)</f>
        <v>32</v>
      </c>
      <c r="O282" s="26">
        <f t="shared" si="8"/>
        <v>641</v>
      </c>
      <c r="P282" s="26">
        <f>SUMIFS(INDEX(元データ_14項目!$D$2:$Q$1300,0,MATCH($B282,元データ_14項目!$D$1:$Q$1,0)),元データ_14項目!$A$2:$A$1300,$A282,元データ_14項目!$B$2:$B$1300,"前年")</f>
        <v>677</v>
      </c>
      <c r="Q282" s="7">
        <f t="shared" si="9"/>
        <v>0.94682422451994097</v>
      </c>
    </row>
    <row r="283" spans="1:17" x14ac:dyDescent="0.45">
      <c r="A283" t="s">
        <v>54</v>
      </c>
      <c r="B283" t="s">
        <v>97</v>
      </c>
      <c r="C283" s="26">
        <f>SUMIFS(INDEX(元データ_14項目!$D$2:$Q$1300,0,MATCH($B283,元データ_14項目!$D$1:$Q$1,0)),元データ_14項目!$A$2:$A$1300,$A283,元データ_14項目!$B$2:$B$1300,"本年",元データ_14項目!$C$2:$C$1300,C$5)</f>
        <v>7</v>
      </c>
      <c r="D283" s="26">
        <f>SUMIFS(INDEX(元データ_14項目!$D$2:$Q$1300,0,MATCH($B283,元データ_14項目!$D$1:$Q$1,0)),元データ_14項目!$A$2:$A$1300,$A283,元データ_14項目!$B$2:$B$1300,"本年",元データ_14項目!$C$2:$C$1300,D$5)</f>
        <v>15</v>
      </c>
      <c r="E283" s="26">
        <f>SUMIFS(INDEX(元データ_14項目!$D$2:$Q$1300,0,MATCH($B283,元データ_14項目!$D$1:$Q$1,0)),元データ_14項目!$A$2:$A$1300,$A283,元データ_14項目!$B$2:$B$1300,"本年",元データ_14項目!$C$2:$C$1300,E$5)</f>
        <v>36</v>
      </c>
      <c r="F283" s="26">
        <f>SUMIFS(INDEX(元データ_14項目!$D$2:$Q$1300,0,MATCH($B283,元データ_14項目!$D$1:$Q$1,0)),元データ_14項目!$A$2:$A$1300,$A283,元データ_14項目!$B$2:$B$1300,"本年",元データ_14項目!$C$2:$C$1300,F$5)</f>
        <v>34</v>
      </c>
      <c r="G283" s="26">
        <f>SUMIFS(INDEX(元データ_14項目!$D$2:$Q$1300,0,MATCH($B283,元データ_14項目!$D$1:$Q$1,0)),元データ_14項目!$A$2:$A$1300,$A283,元データ_14項目!$B$2:$B$1300,"本年",元データ_14項目!$C$2:$C$1300,G$5)</f>
        <v>44</v>
      </c>
      <c r="H283" s="26">
        <f>SUMIFS(INDEX(元データ_14項目!$D$2:$Q$1300,0,MATCH($B283,元データ_14項目!$D$1:$Q$1,0)),元データ_14項目!$A$2:$A$1300,$A283,元データ_14項目!$B$2:$B$1300,"本年",元データ_14項目!$C$2:$C$1300,H$5)</f>
        <v>11</v>
      </c>
      <c r="I283" s="26">
        <f>SUMIFS(INDEX(元データ_14項目!$D$2:$Q$1300,0,MATCH($B283,元データ_14項目!$D$1:$Q$1,0)),元データ_14項目!$A$2:$A$1300,$A283,元データ_14項目!$B$2:$B$1300,"本年",元データ_14項目!$C$2:$C$1300,I$5)</f>
        <v>25</v>
      </c>
      <c r="J283" s="26">
        <f>SUMIFS(INDEX(元データ_14項目!$D$2:$Q$1300,0,MATCH($B283,元データ_14項目!$D$1:$Q$1,0)),元データ_14項目!$A$2:$A$1300,$A283,元データ_14項目!$B$2:$B$1300,"本年",元データ_14項目!$C$2:$C$1300,J$5)</f>
        <v>53</v>
      </c>
      <c r="K283" s="26">
        <f>SUMIFS(INDEX(元データ_14項目!$D$2:$Q$1300,0,MATCH($B283,元データ_14項目!$D$1:$Q$1,0)),元データ_14項目!$A$2:$A$1300,$A283,元データ_14項目!$B$2:$B$1300,"本年",元データ_14項目!$C$2:$C$1300,K$5)</f>
        <v>178</v>
      </c>
      <c r="L283" s="26">
        <f>SUMIFS(INDEX(元データ_14項目!$D$2:$Q$1300,0,MATCH($B283,元データ_14項目!$D$1:$Q$1,0)),元データ_14項目!$A$2:$A$1300,$A283,元データ_14項目!$B$2:$B$1300,"本年",元データ_14項目!$C$2:$C$1300,L$5)</f>
        <v>88</v>
      </c>
      <c r="M283" s="26">
        <f>SUMIFS(INDEX(元データ_14項目!$D$2:$Q$1300,0,MATCH($B283,元データ_14項目!$D$1:$Q$1,0)),元データ_14項目!$A$2:$A$1300,$A283,元データ_14項目!$B$2:$B$1300,"本年",元データ_14項目!$C$2:$C$1300,M$5)</f>
        <v>60</v>
      </c>
      <c r="N283" s="26">
        <f>SUMIFS(INDEX(元データ_14項目!$D$2:$Q$1300,0,MATCH($B283,元データ_14項目!$D$1:$Q$1,0)),元データ_14項目!$A$2:$A$1300,$A283,元データ_14項目!$B$2:$B$1300,"本年",元データ_14項目!$C$2:$C$1300,N$5)</f>
        <v>27</v>
      </c>
      <c r="O283" s="26">
        <f t="shared" si="8"/>
        <v>578</v>
      </c>
      <c r="P283" s="26">
        <f>SUMIFS(INDEX(元データ_14項目!$D$2:$Q$1300,0,MATCH($B283,元データ_14項目!$D$1:$Q$1,0)),元データ_14項目!$A$2:$A$1300,$A283,元データ_14項目!$B$2:$B$1300,"前年")</f>
        <v>627</v>
      </c>
      <c r="Q283" s="7">
        <f t="shared" si="9"/>
        <v>0.92185007974481659</v>
      </c>
    </row>
    <row r="284" spans="1:17" x14ac:dyDescent="0.45">
      <c r="A284" t="s">
        <v>54</v>
      </c>
      <c r="B284" t="s">
        <v>98</v>
      </c>
      <c r="C284" s="26">
        <f>SUMIFS(INDEX(元データ_14項目!$D$2:$Q$1300,0,MATCH($B284,元データ_14項目!$D$1:$Q$1,0)),元データ_14項目!$A$2:$A$1300,$A284,元データ_14項目!$B$2:$B$1300,"本年",元データ_14項目!$C$2:$C$1300,C$5)</f>
        <v>14</v>
      </c>
      <c r="D284" s="26">
        <f>SUMIFS(INDEX(元データ_14項目!$D$2:$Q$1300,0,MATCH($B284,元データ_14項目!$D$1:$Q$1,0)),元データ_14項目!$A$2:$A$1300,$A284,元データ_14項目!$B$2:$B$1300,"本年",元データ_14項目!$C$2:$C$1300,D$5)</f>
        <v>8</v>
      </c>
      <c r="E284" s="26">
        <f>SUMIFS(INDEX(元データ_14項目!$D$2:$Q$1300,0,MATCH($B284,元データ_14項目!$D$1:$Q$1,0)),元データ_14項目!$A$2:$A$1300,$A284,元データ_14項目!$B$2:$B$1300,"本年",元データ_14項目!$C$2:$C$1300,E$5)</f>
        <v>11</v>
      </c>
      <c r="F284" s="26">
        <f>SUMIFS(INDEX(元データ_14項目!$D$2:$Q$1300,0,MATCH($B284,元データ_14項目!$D$1:$Q$1,0)),元データ_14項目!$A$2:$A$1300,$A284,元データ_14項目!$B$2:$B$1300,"本年",元データ_14項目!$C$2:$C$1300,F$5)</f>
        <v>14</v>
      </c>
      <c r="G284" s="26">
        <f>SUMIFS(INDEX(元データ_14項目!$D$2:$Q$1300,0,MATCH($B284,元データ_14項目!$D$1:$Q$1,0)),元データ_14項目!$A$2:$A$1300,$A284,元データ_14項目!$B$2:$B$1300,"本年",元データ_14項目!$C$2:$C$1300,G$5)</f>
        <v>13</v>
      </c>
      <c r="H284" s="26">
        <f>SUMIFS(INDEX(元データ_14項目!$D$2:$Q$1300,0,MATCH($B284,元データ_14項目!$D$1:$Q$1,0)),元データ_14項目!$A$2:$A$1300,$A284,元データ_14項目!$B$2:$B$1300,"本年",元データ_14項目!$C$2:$C$1300,H$5)</f>
        <v>13</v>
      </c>
      <c r="I284" s="26">
        <f>SUMIFS(INDEX(元データ_14項目!$D$2:$Q$1300,0,MATCH($B284,元データ_14項目!$D$1:$Q$1,0)),元データ_14項目!$A$2:$A$1300,$A284,元データ_14項目!$B$2:$B$1300,"本年",元データ_14項目!$C$2:$C$1300,I$5)</f>
        <v>9</v>
      </c>
      <c r="J284" s="26">
        <f>SUMIFS(INDEX(元データ_14項目!$D$2:$Q$1300,0,MATCH($B284,元データ_14項目!$D$1:$Q$1,0)),元データ_14項目!$A$2:$A$1300,$A284,元データ_14項目!$B$2:$B$1300,"本年",元データ_14項目!$C$2:$C$1300,J$5)</f>
        <v>47</v>
      </c>
      <c r="K284" s="26">
        <f>SUMIFS(INDEX(元データ_14項目!$D$2:$Q$1300,0,MATCH($B284,元データ_14項目!$D$1:$Q$1,0)),元データ_14項目!$A$2:$A$1300,$A284,元データ_14項目!$B$2:$B$1300,"本年",元データ_14項目!$C$2:$C$1300,K$5)</f>
        <v>190</v>
      </c>
      <c r="L284" s="26">
        <f>SUMIFS(INDEX(元データ_14項目!$D$2:$Q$1300,0,MATCH($B284,元データ_14項目!$D$1:$Q$1,0)),元データ_14項目!$A$2:$A$1300,$A284,元データ_14項目!$B$2:$B$1300,"本年",元データ_14項目!$C$2:$C$1300,L$5)</f>
        <v>53</v>
      </c>
      <c r="M284" s="26">
        <f>SUMIFS(INDEX(元データ_14項目!$D$2:$Q$1300,0,MATCH($B284,元データ_14項目!$D$1:$Q$1,0)),元データ_14項目!$A$2:$A$1300,$A284,元データ_14項目!$B$2:$B$1300,"本年",元データ_14項目!$C$2:$C$1300,M$5)</f>
        <v>39</v>
      </c>
      <c r="N284" s="26">
        <f>SUMIFS(INDEX(元データ_14項目!$D$2:$Q$1300,0,MATCH($B284,元データ_14項目!$D$1:$Q$1,0)),元データ_14項目!$A$2:$A$1300,$A284,元データ_14項目!$B$2:$B$1300,"本年",元データ_14項目!$C$2:$C$1300,N$5)</f>
        <v>22</v>
      </c>
      <c r="O284" s="26">
        <f t="shared" si="8"/>
        <v>433</v>
      </c>
      <c r="P284" s="26">
        <f>SUMIFS(INDEX(元データ_14項目!$D$2:$Q$1300,0,MATCH($B284,元データ_14項目!$D$1:$Q$1,0)),元データ_14項目!$A$2:$A$1300,$A284,元データ_14項目!$B$2:$B$1300,"前年")</f>
        <v>400</v>
      </c>
      <c r="Q284" s="7">
        <f t="shared" si="9"/>
        <v>1.0825</v>
      </c>
    </row>
    <row r="285" spans="1:17" x14ac:dyDescent="0.45">
      <c r="A285" t="s">
        <v>54</v>
      </c>
      <c r="B285" t="s">
        <v>99</v>
      </c>
      <c r="C285" s="26">
        <f>SUMIFS(INDEX(元データ_14項目!$D$2:$Q$1300,0,MATCH($B285,元データ_14項目!$D$1:$Q$1,0)),元データ_14項目!$A$2:$A$1300,$A285,元データ_14項目!$B$2:$B$1300,"本年",元データ_14項目!$C$2:$C$1300,C$5)</f>
        <v>0</v>
      </c>
      <c r="D285" s="26">
        <f>SUMIFS(INDEX(元データ_14項目!$D$2:$Q$1300,0,MATCH($B285,元データ_14項目!$D$1:$Q$1,0)),元データ_14項目!$A$2:$A$1300,$A285,元データ_14項目!$B$2:$B$1300,"本年",元データ_14項目!$C$2:$C$1300,D$5)</f>
        <v>0</v>
      </c>
      <c r="E285" s="26">
        <f>SUMIFS(INDEX(元データ_14項目!$D$2:$Q$1300,0,MATCH($B285,元データ_14項目!$D$1:$Q$1,0)),元データ_14項目!$A$2:$A$1300,$A285,元データ_14項目!$B$2:$B$1300,"本年",元データ_14項目!$C$2:$C$1300,E$5)</f>
        <v>4</v>
      </c>
      <c r="F285" s="26">
        <f>SUMIFS(INDEX(元データ_14項目!$D$2:$Q$1300,0,MATCH($B285,元データ_14項目!$D$1:$Q$1,0)),元データ_14項目!$A$2:$A$1300,$A285,元データ_14項目!$B$2:$B$1300,"本年",元データ_14項目!$C$2:$C$1300,F$5)</f>
        <v>0</v>
      </c>
      <c r="G285" s="26">
        <f>SUMIFS(INDEX(元データ_14項目!$D$2:$Q$1300,0,MATCH($B285,元データ_14項目!$D$1:$Q$1,0)),元データ_14項目!$A$2:$A$1300,$A285,元データ_14項目!$B$2:$B$1300,"本年",元データ_14項目!$C$2:$C$1300,G$5)</f>
        <v>0</v>
      </c>
      <c r="H285" s="26">
        <f>SUMIFS(INDEX(元データ_14項目!$D$2:$Q$1300,0,MATCH($B285,元データ_14項目!$D$1:$Q$1,0)),元データ_14項目!$A$2:$A$1300,$A285,元データ_14項目!$B$2:$B$1300,"本年",元データ_14項目!$C$2:$C$1300,H$5)</f>
        <v>9</v>
      </c>
      <c r="I285" s="26">
        <f>SUMIFS(INDEX(元データ_14項目!$D$2:$Q$1300,0,MATCH($B285,元データ_14項目!$D$1:$Q$1,0)),元データ_14項目!$A$2:$A$1300,$A285,元データ_14項目!$B$2:$B$1300,"本年",元データ_14項目!$C$2:$C$1300,I$5)</f>
        <v>2</v>
      </c>
      <c r="J285" s="26">
        <f>SUMIFS(INDEX(元データ_14項目!$D$2:$Q$1300,0,MATCH($B285,元データ_14項目!$D$1:$Q$1,0)),元データ_14項目!$A$2:$A$1300,$A285,元データ_14項目!$B$2:$B$1300,"本年",元データ_14項目!$C$2:$C$1300,J$5)</f>
        <v>6</v>
      </c>
      <c r="K285" s="26">
        <f>SUMIFS(INDEX(元データ_14項目!$D$2:$Q$1300,0,MATCH($B285,元データ_14項目!$D$1:$Q$1,0)),元データ_14項目!$A$2:$A$1300,$A285,元データ_14項目!$B$2:$B$1300,"本年",元データ_14項目!$C$2:$C$1300,K$5)</f>
        <v>0</v>
      </c>
      <c r="L285" s="26">
        <f>SUMIFS(INDEX(元データ_14項目!$D$2:$Q$1300,0,MATCH($B285,元データ_14項目!$D$1:$Q$1,0)),元データ_14項目!$A$2:$A$1300,$A285,元データ_14項目!$B$2:$B$1300,"本年",元データ_14項目!$C$2:$C$1300,L$5)</f>
        <v>0</v>
      </c>
      <c r="M285" s="26">
        <f>SUMIFS(INDEX(元データ_14項目!$D$2:$Q$1300,0,MATCH($B285,元データ_14項目!$D$1:$Q$1,0)),元データ_14項目!$A$2:$A$1300,$A285,元データ_14項目!$B$2:$B$1300,"本年",元データ_14項目!$C$2:$C$1300,M$5)</f>
        <v>0</v>
      </c>
      <c r="N285" s="26">
        <f>SUMIFS(INDEX(元データ_14項目!$D$2:$Q$1300,0,MATCH($B285,元データ_14項目!$D$1:$Q$1,0)),元データ_14項目!$A$2:$A$1300,$A285,元データ_14項目!$B$2:$B$1300,"本年",元データ_14項目!$C$2:$C$1300,N$5)</f>
        <v>0</v>
      </c>
      <c r="O285" s="26">
        <f t="shared" si="8"/>
        <v>21</v>
      </c>
      <c r="P285" s="26">
        <f>SUMIFS(INDEX(元データ_14項目!$D$2:$Q$1300,0,MATCH($B285,元データ_14項目!$D$1:$Q$1,0)),元データ_14項目!$A$2:$A$1300,$A285,元データ_14項目!$B$2:$B$1300,"前年")</f>
        <v>34</v>
      </c>
      <c r="Q285" s="7">
        <f t="shared" si="9"/>
        <v>0.61764705882352944</v>
      </c>
    </row>
    <row r="286" spans="1:17" x14ac:dyDescent="0.45">
      <c r="A286" t="s">
        <v>55</v>
      </c>
      <c r="B286" t="s">
        <v>27</v>
      </c>
      <c r="C286" s="26">
        <f>SUMIFS(INDEX(元データ_14項目!$D$2:$Q$1300,0,MATCH($B286,元データ_14項目!$D$1:$Q$1,0)),元データ_14項目!$A$2:$A$1300,$A286,元データ_14項目!$B$2:$B$1300,"本年",元データ_14項目!$C$2:$C$1300,C$5)</f>
        <v>1166</v>
      </c>
      <c r="D286" s="26">
        <f>SUMIFS(INDEX(元データ_14項目!$D$2:$Q$1300,0,MATCH($B286,元データ_14項目!$D$1:$Q$1,0)),元データ_14項目!$A$2:$A$1300,$A286,元データ_14項目!$B$2:$B$1300,"本年",元データ_14項目!$C$2:$C$1300,D$5)</f>
        <v>1261</v>
      </c>
      <c r="E286" s="26">
        <f>SUMIFS(INDEX(元データ_14項目!$D$2:$Q$1300,0,MATCH($B286,元データ_14項目!$D$1:$Q$1,0)),元データ_14項目!$A$2:$A$1300,$A286,元データ_14項目!$B$2:$B$1300,"本年",元データ_14項目!$C$2:$C$1300,E$5)</f>
        <v>1624</v>
      </c>
      <c r="F286" s="26">
        <f>SUMIFS(INDEX(元データ_14項目!$D$2:$Q$1300,0,MATCH($B286,元データ_14項目!$D$1:$Q$1,0)),元データ_14項目!$A$2:$A$1300,$A286,元データ_14項目!$B$2:$B$1300,"本年",元データ_14項目!$C$2:$C$1300,F$5)</f>
        <v>1452</v>
      </c>
      <c r="G286" s="26">
        <f>SUMIFS(INDEX(元データ_14項目!$D$2:$Q$1300,0,MATCH($B286,元データ_14項目!$D$1:$Q$1,0)),元データ_14項目!$A$2:$A$1300,$A286,元データ_14項目!$B$2:$B$1300,"本年",元データ_14項目!$C$2:$C$1300,G$5)</f>
        <v>1417</v>
      </c>
      <c r="H286" s="26">
        <f>SUMIFS(INDEX(元データ_14項目!$D$2:$Q$1300,0,MATCH($B286,元データ_14項目!$D$1:$Q$1,0)),元データ_14項目!$A$2:$A$1300,$A286,元データ_14項目!$B$2:$B$1300,"本年",元データ_14項目!$C$2:$C$1300,H$5)</f>
        <v>1211</v>
      </c>
      <c r="I286" s="26">
        <f>SUMIFS(INDEX(元データ_14項目!$D$2:$Q$1300,0,MATCH($B286,元データ_14項目!$D$1:$Q$1,0)),元データ_14項目!$A$2:$A$1300,$A286,元データ_14項目!$B$2:$B$1300,"本年",元データ_14項目!$C$2:$C$1300,I$5)</f>
        <v>1265</v>
      </c>
      <c r="J286" s="26">
        <f>SUMIFS(INDEX(元データ_14項目!$D$2:$Q$1300,0,MATCH($B286,元データ_14項目!$D$1:$Q$1,0)),元データ_14項目!$A$2:$A$1300,$A286,元データ_14項目!$B$2:$B$1300,"本年",元データ_14項目!$C$2:$C$1300,J$5)</f>
        <v>1448</v>
      </c>
      <c r="K286" s="26">
        <f>SUMIFS(INDEX(元データ_14項目!$D$2:$Q$1300,0,MATCH($B286,元データ_14項目!$D$1:$Q$1,0)),元データ_14項目!$A$2:$A$1300,$A286,元データ_14項目!$B$2:$B$1300,"本年",元データ_14項目!$C$2:$C$1300,K$5)</f>
        <v>1516</v>
      </c>
      <c r="L286" s="26">
        <f>SUMIFS(INDEX(元データ_14項目!$D$2:$Q$1300,0,MATCH($B286,元データ_14項目!$D$1:$Q$1,0)),元データ_14項目!$A$2:$A$1300,$A286,元データ_14項目!$B$2:$B$1300,"本年",元データ_14項目!$C$2:$C$1300,L$5)</f>
        <v>1417</v>
      </c>
      <c r="M286" s="26">
        <f>SUMIFS(INDEX(元データ_14項目!$D$2:$Q$1300,0,MATCH($B286,元データ_14項目!$D$1:$Q$1,0)),元データ_14項目!$A$2:$A$1300,$A286,元データ_14項目!$B$2:$B$1300,"本年",元データ_14項目!$C$2:$C$1300,M$5)</f>
        <v>1453</v>
      </c>
      <c r="N286" s="26">
        <f>SUMIFS(INDEX(元データ_14項目!$D$2:$Q$1300,0,MATCH($B286,元データ_14項目!$D$1:$Q$1,0)),元データ_14項目!$A$2:$A$1300,$A286,元データ_14項目!$B$2:$B$1300,"本年",元データ_14項目!$C$2:$C$1300,N$5)</f>
        <v>1332</v>
      </c>
      <c r="O286" s="26">
        <f t="shared" si="8"/>
        <v>16562</v>
      </c>
      <c r="P286" s="26">
        <f>SUMIFS(INDEX(元データ_14項目!$D$2:$Q$1300,0,MATCH($B286,元データ_14項目!$D$1:$Q$1,0)),元データ_14項目!$A$2:$A$1300,$A286,元データ_14項目!$B$2:$B$1300,"前年")</f>
        <v>18235</v>
      </c>
      <c r="Q286" s="7">
        <f t="shared" si="9"/>
        <v>0.90825335892514392</v>
      </c>
    </row>
    <row r="287" spans="1:17" x14ac:dyDescent="0.45">
      <c r="A287" t="s">
        <v>55</v>
      </c>
      <c r="B287" t="s">
        <v>88</v>
      </c>
      <c r="C287" s="26">
        <f>SUMIFS(INDEX(元データ_14項目!$D$2:$Q$1300,0,MATCH($B287,元データ_14項目!$D$1:$Q$1,0)),元データ_14項目!$A$2:$A$1300,$A287,元データ_14項目!$B$2:$B$1300,"本年",元データ_14項目!$C$2:$C$1300,C$5)</f>
        <v>77</v>
      </c>
      <c r="D287" s="26">
        <f>SUMIFS(INDEX(元データ_14項目!$D$2:$Q$1300,0,MATCH($B287,元データ_14項目!$D$1:$Q$1,0)),元データ_14項目!$A$2:$A$1300,$A287,元データ_14項目!$B$2:$B$1300,"本年",元データ_14項目!$C$2:$C$1300,D$5)</f>
        <v>74</v>
      </c>
      <c r="E287" s="26">
        <f>SUMIFS(INDEX(元データ_14項目!$D$2:$Q$1300,0,MATCH($B287,元データ_14項目!$D$1:$Q$1,0)),元データ_14項目!$A$2:$A$1300,$A287,元データ_14項目!$B$2:$B$1300,"本年",元データ_14項目!$C$2:$C$1300,E$5)</f>
        <v>134</v>
      </c>
      <c r="F287" s="26">
        <f>SUMIFS(INDEX(元データ_14項目!$D$2:$Q$1300,0,MATCH($B287,元データ_14項目!$D$1:$Q$1,0)),元データ_14項目!$A$2:$A$1300,$A287,元データ_14項目!$B$2:$B$1300,"本年",元データ_14項目!$C$2:$C$1300,F$5)</f>
        <v>113</v>
      </c>
      <c r="G287" s="26">
        <f>SUMIFS(INDEX(元データ_14項目!$D$2:$Q$1300,0,MATCH($B287,元データ_14項目!$D$1:$Q$1,0)),元データ_14項目!$A$2:$A$1300,$A287,元データ_14項目!$B$2:$B$1300,"本年",元データ_14項目!$C$2:$C$1300,G$5)</f>
        <v>84</v>
      </c>
      <c r="H287" s="26">
        <f>SUMIFS(INDEX(元データ_14項目!$D$2:$Q$1300,0,MATCH($B287,元データ_14項目!$D$1:$Q$1,0)),元データ_14項目!$A$2:$A$1300,$A287,元データ_14項目!$B$2:$B$1300,"本年",元データ_14項目!$C$2:$C$1300,H$5)</f>
        <v>60</v>
      </c>
      <c r="I287" s="26">
        <f>SUMIFS(INDEX(元データ_14項目!$D$2:$Q$1300,0,MATCH($B287,元データ_14項目!$D$1:$Q$1,0)),元データ_14項目!$A$2:$A$1300,$A287,元データ_14項目!$B$2:$B$1300,"本年",元データ_14項目!$C$2:$C$1300,I$5)</f>
        <v>55</v>
      </c>
      <c r="J287" s="26">
        <f>SUMIFS(INDEX(元データ_14項目!$D$2:$Q$1300,0,MATCH($B287,元データ_14項目!$D$1:$Q$1,0)),元データ_14項目!$A$2:$A$1300,$A287,元データ_14項目!$B$2:$B$1300,"本年",元データ_14項目!$C$2:$C$1300,J$5)</f>
        <v>68</v>
      </c>
      <c r="K287" s="26">
        <f>SUMIFS(INDEX(元データ_14項目!$D$2:$Q$1300,0,MATCH($B287,元データ_14項目!$D$1:$Q$1,0)),元データ_14項目!$A$2:$A$1300,$A287,元データ_14項目!$B$2:$B$1300,"本年",元データ_14項目!$C$2:$C$1300,K$5)</f>
        <v>80</v>
      </c>
      <c r="L287" s="26">
        <f>SUMIFS(INDEX(元データ_14項目!$D$2:$Q$1300,0,MATCH($B287,元データ_14項目!$D$1:$Q$1,0)),元データ_14項目!$A$2:$A$1300,$A287,元データ_14項目!$B$2:$B$1300,"本年",元データ_14項目!$C$2:$C$1300,L$5)</f>
        <v>104</v>
      </c>
      <c r="M287" s="26">
        <f>SUMIFS(INDEX(元データ_14項目!$D$2:$Q$1300,0,MATCH($B287,元データ_14項目!$D$1:$Q$1,0)),元データ_14項目!$A$2:$A$1300,$A287,元データ_14項目!$B$2:$B$1300,"本年",元データ_14項目!$C$2:$C$1300,M$5)</f>
        <v>108</v>
      </c>
      <c r="N287" s="26">
        <f>SUMIFS(INDEX(元データ_14項目!$D$2:$Q$1300,0,MATCH($B287,元データ_14項目!$D$1:$Q$1,0)),元データ_14項目!$A$2:$A$1300,$A287,元データ_14項目!$B$2:$B$1300,"本年",元データ_14項目!$C$2:$C$1300,N$5)</f>
        <v>67</v>
      </c>
      <c r="O287" s="26">
        <f t="shared" si="8"/>
        <v>1024</v>
      </c>
      <c r="P287" s="26">
        <f>SUMIFS(INDEX(元データ_14項目!$D$2:$Q$1300,0,MATCH($B287,元データ_14項目!$D$1:$Q$1,0)),元データ_14項目!$A$2:$A$1300,$A287,元データ_14項目!$B$2:$B$1300,"前年")</f>
        <v>1077</v>
      </c>
      <c r="Q287" s="7">
        <f t="shared" si="9"/>
        <v>0.95078922934076138</v>
      </c>
    </row>
    <row r="288" spans="1:17" x14ac:dyDescent="0.45">
      <c r="A288" t="s">
        <v>55</v>
      </c>
      <c r="B288" t="s">
        <v>89</v>
      </c>
      <c r="C288" s="26">
        <f>SUMIFS(INDEX(元データ_14項目!$D$2:$Q$1300,0,MATCH($B288,元データ_14項目!$D$1:$Q$1,0)),元データ_14項目!$A$2:$A$1300,$A288,元データ_14項目!$B$2:$B$1300,"本年",元データ_14項目!$C$2:$C$1300,C$5)</f>
        <v>95</v>
      </c>
      <c r="D288" s="26">
        <f>SUMIFS(INDEX(元データ_14項目!$D$2:$Q$1300,0,MATCH($B288,元データ_14項目!$D$1:$Q$1,0)),元データ_14項目!$A$2:$A$1300,$A288,元データ_14項目!$B$2:$B$1300,"本年",元データ_14項目!$C$2:$C$1300,D$5)</f>
        <v>63</v>
      </c>
      <c r="E288" s="26">
        <f>SUMIFS(INDEX(元データ_14項目!$D$2:$Q$1300,0,MATCH($B288,元データ_14項目!$D$1:$Q$1,0)),元データ_14項目!$A$2:$A$1300,$A288,元データ_14項目!$B$2:$B$1300,"本年",元データ_14項目!$C$2:$C$1300,E$5)</f>
        <v>114</v>
      </c>
      <c r="F288" s="26">
        <f>SUMIFS(INDEX(元データ_14項目!$D$2:$Q$1300,0,MATCH($B288,元データ_14項目!$D$1:$Q$1,0)),元データ_14項目!$A$2:$A$1300,$A288,元データ_14項目!$B$2:$B$1300,"本年",元データ_14項目!$C$2:$C$1300,F$5)</f>
        <v>95</v>
      </c>
      <c r="G288" s="26">
        <f>SUMIFS(INDEX(元データ_14項目!$D$2:$Q$1300,0,MATCH($B288,元データ_14項目!$D$1:$Q$1,0)),元データ_14項目!$A$2:$A$1300,$A288,元データ_14項目!$B$2:$B$1300,"本年",元データ_14項目!$C$2:$C$1300,G$5)</f>
        <v>71</v>
      </c>
      <c r="H288" s="26">
        <f>SUMIFS(INDEX(元データ_14項目!$D$2:$Q$1300,0,MATCH($B288,元データ_14項目!$D$1:$Q$1,0)),元データ_14項目!$A$2:$A$1300,$A288,元データ_14項目!$B$2:$B$1300,"本年",元データ_14項目!$C$2:$C$1300,H$5)</f>
        <v>18</v>
      </c>
      <c r="I288" s="26">
        <f>SUMIFS(INDEX(元データ_14項目!$D$2:$Q$1300,0,MATCH($B288,元データ_14項目!$D$1:$Q$1,0)),元データ_14項目!$A$2:$A$1300,$A288,元データ_14項目!$B$2:$B$1300,"本年",元データ_14項目!$C$2:$C$1300,I$5)</f>
        <v>29</v>
      </c>
      <c r="J288" s="26">
        <f>SUMIFS(INDEX(元データ_14項目!$D$2:$Q$1300,0,MATCH($B288,元データ_14項目!$D$1:$Q$1,0)),元データ_14項目!$A$2:$A$1300,$A288,元データ_14項目!$B$2:$B$1300,"本年",元データ_14項目!$C$2:$C$1300,J$5)</f>
        <v>67</v>
      </c>
      <c r="K288" s="26">
        <f>SUMIFS(INDEX(元データ_14項目!$D$2:$Q$1300,0,MATCH($B288,元データ_14項目!$D$1:$Q$1,0)),元データ_14項目!$A$2:$A$1300,$A288,元データ_14項目!$B$2:$B$1300,"本年",元データ_14項目!$C$2:$C$1300,K$5)</f>
        <v>115</v>
      </c>
      <c r="L288" s="26">
        <f>SUMIFS(INDEX(元データ_14項目!$D$2:$Q$1300,0,MATCH($B288,元データ_14項目!$D$1:$Q$1,0)),元データ_14項目!$A$2:$A$1300,$A288,元データ_14項目!$B$2:$B$1300,"本年",元データ_14項目!$C$2:$C$1300,L$5)</f>
        <v>73</v>
      </c>
      <c r="M288" s="26">
        <f>SUMIFS(INDEX(元データ_14項目!$D$2:$Q$1300,0,MATCH($B288,元データ_14項目!$D$1:$Q$1,0)),元データ_14項目!$A$2:$A$1300,$A288,元データ_14項目!$B$2:$B$1300,"本年",元データ_14項目!$C$2:$C$1300,M$5)</f>
        <v>85</v>
      </c>
      <c r="N288" s="26">
        <f>SUMIFS(INDEX(元データ_14項目!$D$2:$Q$1300,0,MATCH($B288,元データ_14項目!$D$1:$Q$1,0)),元データ_14項目!$A$2:$A$1300,$A288,元データ_14項目!$B$2:$B$1300,"本年",元データ_14項目!$C$2:$C$1300,N$5)</f>
        <v>54</v>
      </c>
      <c r="O288" s="26">
        <f t="shared" si="8"/>
        <v>879</v>
      </c>
      <c r="P288" s="26">
        <f>SUMIFS(INDEX(元データ_14項目!$D$2:$Q$1300,0,MATCH($B288,元データ_14項目!$D$1:$Q$1,0)),元データ_14項目!$A$2:$A$1300,$A288,元データ_14項目!$B$2:$B$1300,"前年")</f>
        <v>851</v>
      </c>
      <c r="Q288" s="7">
        <f t="shared" si="9"/>
        <v>1.0329024676850764</v>
      </c>
    </row>
    <row r="289" spans="1:17" x14ac:dyDescent="0.45">
      <c r="A289" t="s">
        <v>55</v>
      </c>
      <c r="B289" t="s">
        <v>90</v>
      </c>
      <c r="C289" s="26">
        <f>SUMIFS(INDEX(元データ_14項目!$D$2:$Q$1300,0,MATCH($B289,元データ_14項目!$D$1:$Q$1,0)),元データ_14項目!$A$2:$A$1300,$A289,元データ_14項目!$B$2:$B$1300,"本年",元データ_14項目!$C$2:$C$1300,C$5)</f>
        <v>64</v>
      </c>
      <c r="D289" s="26">
        <f>SUMIFS(INDEX(元データ_14項目!$D$2:$Q$1300,0,MATCH($B289,元データ_14項目!$D$1:$Q$1,0)),元データ_14項目!$A$2:$A$1300,$A289,元データ_14項目!$B$2:$B$1300,"本年",元データ_14項目!$C$2:$C$1300,D$5)</f>
        <v>73</v>
      </c>
      <c r="E289" s="26">
        <f>SUMIFS(INDEX(元データ_14項目!$D$2:$Q$1300,0,MATCH($B289,元データ_14項目!$D$1:$Q$1,0)),元データ_14項目!$A$2:$A$1300,$A289,元データ_14項目!$B$2:$B$1300,"本年",元データ_14項目!$C$2:$C$1300,E$5)</f>
        <v>114</v>
      </c>
      <c r="F289" s="26">
        <f>SUMIFS(INDEX(元データ_14項目!$D$2:$Q$1300,0,MATCH($B289,元データ_14項目!$D$1:$Q$1,0)),元データ_14項目!$A$2:$A$1300,$A289,元データ_14項目!$B$2:$B$1300,"本年",元データ_14項目!$C$2:$C$1300,F$5)</f>
        <v>157</v>
      </c>
      <c r="G289" s="26">
        <f>SUMIFS(INDEX(元データ_14項目!$D$2:$Q$1300,0,MATCH($B289,元データ_14項目!$D$1:$Q$1,0)),元データ_14項目!$A$2:$A$1300,$A289,元データ_14項目!$B$2:$B$1300,"本年",元データ_14項目!$C$2:$C$1300,G$5)</f>
        <v>226</v>
      </c>
      <c r="H289" s="26">
        <f>SUMIFS(INDEX(元データ_14項目!$D$2:$Q$1300,0,MATCH($B289,元データ_14項目!$D$1:$Q$1,0)),元データ_14項目!$A$2:$A$1300,$A289,元データ_14項目!$B$2:$B$1300,"本年",元データ_14項目!$C$2:$C$1300,H$5)</f>
        <v>171</v>
      </c>
      <c r="I289" s="26">
        <f>SUMIFS(INDEX(元データ_14項目!$D$2:$Q$1300,0,MATCH($B289,元データ_14項目!$D$1:$Q$1,0)),元データ_14項目!$A$2:$A$1300,$A289,元データ_14項目!$B$2:$B$1300,"本年",元データ_14項目!$C$2:$C$1300,I$5)</f>
        <v>103</v>
      </c>
      <c r="J289" s="26">
        <f>SUMIFS(INDEX(元データ_14項目!$D$2:$Q$1300,0,MATCH($B289,元データ_14項目!$D$1:$Q$1,0)),元データ_14項目!$A$2:$A$1300,$A289,元データ_14項目!$B$2:$B$1300,"本年",元データ_14項目!$C$2:$C$1300,J$5)</f>
        <v>271</v>
      </c>
      <c r="K289" s="26">
        <f>SUMIFS(INDEX(元データ_14項目!$D$2:$Q$1300,0,MATCH($B289,元データ_14項目!$D$1:$Q$1,0)),元データ_14項目!$A$2:$A$1300,$A289,元データ_14項目!$B$2:$B$1300,"本年",元データ_14項目!$C$2:$C$1300,K$5)</f>
        <v>327</v>
      </c>
      <c r="L289" s="26">
        <f>SUMIFS(INDEX(元データ_14項目!$D$2:$Q$1300,0,MATCH($B289,元データ_14項目!$D$1:$Q$1,0)),元データ_14項目!$A$2:$A$1300,$A289,元データ_14項目!$B$2:$B$1300,"本年",元データ_14項目!$C$2:$C$1300,L$5)</f>
        <v>208</v>
      </c>
      <c r="M289" s="26">
        <f>SUMIFS(INDEX(元データ_14項目!$D$2:$Q$1300,0,MATCH($B289,元データ_14項目!$D$1:$Q$1,0)),元データ_14項目!$A$2:$A$1300,$A289,元データ_14項目!$B$2:$B$1300,"本年",元データ_14項目!$C$2:$C$1300,M$5)</f>
        <v>186</v>
      </c>
      <c r="N289" s="26">
        <f>SUMIFS(INDEX(元データ_14項目!$D$2:$Q$1300,0,MATCH($B289,元データ_14項目!$D$1:$Q$1,0)),元データ_14項目!$A$2:$A$1300,$A289,元データ_14項目!$B$2:$B$1300,"本年",元データ_14項目!$C$2:$C$1300,N$5)</f>
        <v>126</v>
      </c>
      <c r="O289" s="26">
        <f t="shared" si="8"/>
        <v>2026</v>
      </c>
      <c r="P289" s="26">
        <f>SUMIFS(INDEX(元データ_14項目!$D$2:$Q$1300,0,MATCH($B289,元データ_14項目!$D$1:$Q$1,0)),元データ_14項目!$A$2:$A$1300,$A289,元データ_14項目!$B$2:$B$1300,"前年")</f>
        <v>2108</v>
      </c>
      <c r="Q289" s="7">
        <f t="shared" si="9"/>
        <v>0.96110056925996201</v>
      </c>
    </row>
    <row r="290" spans="1:17" x14ac:dyDescent="0.45">
      <c r="A290" t="s">
        <v>55</v>
      </c>
      <c r="B290" t="s">
        <v>91</v>
      </c>
      <c r="C290" s="26">
        <f>SUMIFS(INDEX(元データ_14項目!$D$2:$Q$1300,0,MATCH($B290,元データ_14項目!$D$1:$Q$1,0)),元データ_14項目!$A$2:$A$1300,$A290,元データ_14項目!$B$2:$B$1300,"本年",元データ_14項目!$C$2:$C$1300,C$5)</f>
        <v>16</v>
      </c>
      <c r="D290" s="26">
        <f>SUMIFS(INDEX(元データ_14項目!$D$2:$Q$1300,0,MATCH($B290,元データ_14項目!$D$1:$Q$1,0)),元データ_14項目!$A$2:$A$1300,$A290,元データ_14項目!$B$2:$B$1300,"本年",元データ_14項目!$C$2:$C$1300,D$5)</f>
        <v>47</v>
      </c>
      <c r="E290" s="26">
        <f>SUMIFS(INDEX(元データ_14項目!$D$2:$Q$1300,0,MATCH($B290,元データ_14項目!$D$1:$Q$1,0)),元データ_14項目!$A$2:$A$1300,$A290,元データ_14項目!$B$2:$B$1300,"本年",元データ_14項目!$C$2:$C$1300,E$5)</f>
        <v>75</v>
      </c>
      <c r="F290" s="26">
        <f>SUMIFS(INDEX(元データ_14項目!$D$2:$Q$1300,0,MATCH($B290,元データ_14項目!$D$1:$Q$1,0)),元データ_14項目!$A$2:$A$1300,$A290,元データ_14項目!$B$2:$B$1300,"本年",元データ_14項目!$C$2:$C$1300,F$5)</f>
        <v>52</v>
      </c>
      <c r="G290" s="26">
        <f>SUMIFS(INDEX(元データ_14項目!$D$2:$Q$1300,0,MATCH($B290,元データ_14項目!$D$1:$Q$1,0)),元データ_14項目!$A$2:$A$1300,$A290,元データ_14項目!$B$2:$B$1300,"本年",元データ_14項目!$C$2:$C$1300,G$5)</f>
        <v>18</v>
      </c>
      <c r="H290" s="26">
        <f>SUMIFS(INDEX(元データ_14項目!$D$2:$Q$1300,0,MATCH($B290,元データ_14項目!$D$1:$Q$1,0)),元データ_14項目!$A$2:$A$1300,$A290,元データ_14項目!$B$2:$B$1300,"本年",元データ_14項目!$C$2:$C$1300,H$5)</f>
        <v>8</v>
      </c>
      <c r="I290" s="26">
        <f>SUMIFS(INDEX(元データ_14項目!$D$2:$Q$1300,0,MATCH($B290,元データ_14項目!$D$1:$Q$1,0)),元データ_14項目!$A$2:$A$1300,$A290,元データ_14項目!$B$2:$B$1300,"本年",元データ_14項目!$C$2:$C$1300,I$5)</f>
        <v>17</v>
      </c>
      <c r="J290" s="26">
        <f>SUMIFS(INDEX(元データ_14項目!$D$2:$Q$1300,0,MATCH($B290,元データ_14項目!$D$1:$Q$1,0)),元データ_14項目!$A$2:$A$1300,$A290,元データ_14項目!$B$2:$B$1300,"本年",元データ_14項目!$C$2:$C$1300,J$5)</f>
        <v>14</v>
      </c>
      <c r="K290" s="26">
        <f>SUMIFS(INDEX(元データ_14項目!$D$2:$Q$1300,0,MATCH($B290,元データ_14項目!$D$1:$Q$1,0)),元データ_14項目!$A$2:$A$1300,$A290,元データ_14項目!$B$2:$B$1300,"本年",元データ_14項目!$C$2:$C$1300,K$5)</f>
        <v>71</v>
      </c>
      <c r="L290" s="26">
        <f>SUMIFS(INDEX(元データ_14項目!$D$2:$Q$1300,0,MATCH($B290,元データ_14項目!$D$1:$Q$1,0)),元データ_14項目!$A$2:$A$1300,$A290,元データ_14項目!$B$2:$B$1300,"本年",元データ_14項目!$C$2:$C$1300,L$5)</f>
        <v>55</v>
      </c>
      <c r="M290" s="26">
        <f>SUMIFS(INDEX(元データ_14項目!$D$2:$Q$1300,0,MATCH($B290,元データ_14項目!$D$1:$Q$1,0)),元データ_14項目!$A$2:$A$1300,$A290,元データ_14項目!$B$2:$B$1300,"本年",元データ_14項目!$C$2:$C$1300,M$5)</f>
        <v>50</v>
      </c>
      <c r="N290" s="26">
        <f>SUMIFS(INDEX(元データ_14項目!$D$2:$Q$1300,0,MATCH($B290,元データ_14項目!$D$1:$Q$1,0)),元データ_14項目!$A$2:$A$1300,$A290,元データ_14項目!$B$2:$B$1300,"本年",元データ_14項目!$C$2:$C$1300,N$5)</f>
        <v>21</v>
      </c>
      <c r="O290" s="26">
        <f t="shared" si="8"/>
        <v>444</v>
      </c>
      <c r="P290" s="26">
        <f>SUMIFS(INDEX(元データ_14項目!$D$2:$Q$1300,0,MATCH($B290,元データ_14項目!$D$1:$Q$1,0)),元データ_14項目!$A$2:$A$1300,$A290,元データ_14項目!$B$2:$B$1300,"前年")</f>
        <v>550</v>
      </c>
      <c r="Q290" s="7">
        <f t="shared" si="9"/>
        <v>0.80727272727272725</v>
      </c>
    </row>
    <row r="291" spans="1:17" x14ac:dyDescent="0.45">
      <c r="A291" t="s">
        <v>55</v>
      </c>
      <c r="B291" t="s">
        <v>28</v>
      </c>
      <c r="C291" s="26">
        <f>SUMIFS(INDEX(元データ_14項目!$D$2:$Q$1300,0,MATCH($B291,元データ_14項目!$D$1:$Q$1,0)),元データ_14項目!$A$2:$A$1300,$A291,元データ_14項目!$B$2:$B$1300,"本年",元データ_14項目!$C$2:$C$1300,C$5)</f>
        <v>299</v>
      </c>
      <c r="D291" s="26">
        <f>SUMIFS(INDEX(元データ_14項目!$D$2:$Q$1300,0,MATCH($B291,元データ_14項目!$D$1:$Q$1,0)),元データ_14項目!$A$2:$A$1300,$A291,元データ_14項目!$B$2:$B$1300,"本年",元データ_14項目!$C$2:$C$1300,D$5)</f>
        <v>310</v>
      </c>
      <c r="E291" s="26">
        <f>SUMIFS(INDEX(元データ_14項目!$D$2:$Q$1300,0,MATCH($B291,元データ_14項目!$D$1:$Q$1,0)),元データ_14項目!$A$2:$A$1300,$A291,元データ_14項目!$B$2:$B$1300,"本年",元データ_14項目!$C$2:$C$1300,E$5)</f>
        <v>450</v>
      </c>
      <c r="F291" s="26">
        <f>SUMIFS(INDEX(元データ_14項目!$D$2:$Q$1300,0,MATCH($B291,元データ_14項目!$D$1:$Q$1,0)),元データ_14項目!$A$2:$A$1300,$A291,元データ_14項目!$B$2:$B$1300,"本年",元データ_14項目!$C$2:$C$1300,F$5)</f>
        <v>325</v>
      </c>
      <c r="G291" s="26">
        <f>SUMIFS(INDEX(元データ_14項目!$D$2:$Q$1300,0,MATCH($B291,元データ_14項目!$D$1:$Q$1,0)),元データ_14項目!$A$2:$A$1300,$A291,元データ_14項目!$B$2:$B$1300,"本年",元データ_14項目!$C$2:$C$1300,G$5)</f>
        <v>280</v>
      </c>
      <c r="H291" s="26">
        <f>SUMIFS(INDEX(元データ_14項目!$D$2:$Q$1300,0,MATCH($B291,元データ_14項目!$D$1:$Q$1,0)),元データ_14項目!$A$2:$A$1300,$A291,元データ_14項目!$B$2:$B$1300,"本年",元データ_14項目!$C$2:$C$1300,H$5)</f>
        <v>179</v>
      </c>
      <c r="I291" s="26">
        <f>SUMIFS(INDEX(元データ_14項目!$D$2:$Q$1300,0,MATCH($B291,元データ_14項目!$D$1:$Q$1,0)),元データ_14項目!$A$2:$A$1300,$A291,元データ_14項目!$B$2:$B$1300,"本年",元データ_14項目!$C$2:$C$1300,I$5)</f>
        <v>205</v>
      </c>
      <c r="J291" s="26">
        <f>SUMIFS(INDEX(元データ_14項目!$D$2:$Q$1300,0,MATCH($B291,元データ_14項目!$D$1:$Q$1,0)),元データ_14項目!$A$2:$A$1300,$A291,元データ_14項目!$B$2:$B$1300,"本年",元データ_14項目!$C$2:$C$1300,J$5)</f>
        <v>214</v>
      </c>
      <c r="K291" s="26">
        <f>SUMIFS(INDEX(元データ_14項目!$D$2:$Q$1300,0,MATCH($B291,元データ_14項目!$D$1:$Q$1,0)),元データ_14項目!$A$2:$A$1300,$A291,元データ_14項目!$B$2:$B$1300,"本年",元データ_14項目!$C$2:$C$1300,K$5)</f>
        <v>343</v>
      </c>
      <c r="L291" s="26">
        <f>SUMIFS(INDEX(元データ_14項目!$D$2:$Q$1300,0,MATCH($B291,元データ_14項目!$D$1:$Q$1,0)),元データ_14項目!$A$2:$A$1300,$A291,元データ_14項目!$B$2:$B$1300,"本年",元データ_14項目!$C$2:$C$1300,L$5)</f>
        <v>339</v>
      </c>
      <c r="M291" s="26">
        <f>SUMIFS(INDEX(元データ_14項目!$D$2:$Q$1300,0,MATCH($B291,元データ_14項目!$D$1:$Q$1,0)),元データ_14項目!$A$2:$A$1300,$A291,元データ_14項目!$B$2:$B$1300,"本年",元データ_14項目!$C$2:$C$1300,M$5)</f>
        <v>254</v>
      </c>
      <c r="N291" s="26">
        <f>SUMIFS(INDEX(元データ_14項目!$D$2:$Q$1300,0,MATCH($B291,元データ_14項目!$D$1:$Q$1,0)),元データ_14項目!$A$2:$A$1300,$A291,元データ_14項目!$B$2:$B$1300,"本年",元データ_14項目!$C$2:$C$1300,N$5)</f>
        <v>292</v>
      </c>
      <c r="O291" s="26">
        <f t="shared" si="8"/>
        <v>3490</v>
      </c>
      <c r="P291" s="26">
        <f>SUMIFS(INDEX(元データ_14項目!$D$2:$Q$1300,0,MATCH($B291,元データ_14項目!$D$1:$Q$1,0)),元データ_14項目!$A$2:$A$1300,$A291,元データ_14項目!$B$2:$B$1300,"前年")</f>
        <v>3576</v>
      </c>
      <c r="Q291" s="7">
        <f t="shared" si="9"/>
        <v>0.97595078299776283</v>
      </c>
    </row>
    <row r="292" spans="1:17" x14ac:dyDescent="0.45">
      <c r="A292" t="s">
        <v>55</v>
      </c>
      <c r="B292" t="s">
        <v>92</v>
      </c>
      <c r="C292" s="26">
        <f>SUMIFS(INDEX(元データ_14項目!$D$2:$Q$1300,0,MATCH($B292,元データ_14項目!$D$1:$Q$1,0)),元データ_14項目!$A$2:$A$1300,$A292,元データ_14項目!$B$2:$B$1300,"本年",元データ_14項目!$C$2:$C$1300,C$5)</f>
        <v>31</v>
      </c>
      <c r="D292" s="26">
        <f>SUMIFS(INDEX(元データ_14項目!$D$2:$Q$1300,0,MATCH($B292,元データ_14項目!$D$1:$Q$1,0)),元データ_14項目!$A$2:$A$1300,$A292,元データ_14項目!$B$2:$B$1300,"本年",元データ_14項目!$C$2:$C$1300,D$5)</f>
        <v>34</v>
      </c>
      <c r="E292" s="26">
        <f>SUMIFS(INDEX(元データ_14項目!$D$2:$Q$1300,0,MATCH($B292,元データ_14項目!$D$1:$Q$1,0)),元データ_14項目!$A$2:$A$1300,$A292,元データ_14項目!$B$2:$B$1300,"本年",元データ_14項目!$C$2:$C$1300,E$5)</f>
        <v>69</v>
      </c>
      <c r="F292" s="26">
        <f>SUMIFS(INDEX(元データ_14項目!$D$2:$Q$1300,0,MATCH($B292,元データ_14項目!$D$1:$Q$1,0)),元データ_14項目!$A$2:$A$1300,$A292,元データ_14項目!$B$2:$B$1300,"本年",元データ_14項目!$C$2:$C$1300,F$5)</f>
        <v>56</v>
      </c>
      <c r="G292" s="26">
        <f>SUMIFS(INDEX(元データ_14項目!$D$2:$Q$1300,0,MATCH($B292,元データ_14項目!$D$1:$Q$1,0)),元データ_14項目!$A$2:$A$1300,$A292,元データ_14項目!$B$2:$B$1300,"本年",元データ_14項目!$C$2:$C$1300,G$5)</f>
        <v>50</v>
      </c>
      <c r="H292" s="26">
        <f>SUMIFS(INDEX(元データ_14項目!$D$2:$Q$1300,0,MATCH($B292,元データ_14項目!$D$1:$Q$1,0)),元データ_14項目!$A$2:$A$1300,$A292,元データ_14項目!$B$2:$B$1300,"本年",元データ_14項目!$C$2:$C$1300,H$5)</f>
        <v>28</v>
      </c>
      <c r="I292" s="26">
        <f>SUMIFS(INDEX(元データ_14項目!$D$2:$Q$1300,0,MATCH($B292,元データ_14項目!$D$1:$Q$1,0)),元データ_14項目!$A$2:$A$1300,$A292,元データ_14項目!$B$2:$B$1300,"本年",元データ_14項目!$C$2:$C$1300,I$5)</f>
        <v>22</v>
      </c>
      <c r="J292" s="26">
        <f>SUMIFS(INDEX(元データ_14項目!$D$2:$Q$1300,0,MATCH($B292,元データ_14項目!$D$1:$Q$1,0)),元データ_14項目!$A$2:$A$1300,$A292,元データ_14項目!$B$2:$B$1300,"本年",元データ_14項目!$C$2:$C$1300,J$5)</f>
        <v>41</v>
      </c>
      <c r="K292" s="26">
        <f>SUMIFS(INDEX(元データ_14項目!$D$2:$Q$1300,0,MATCH($B292,元データ_14項目!$D$1:$Q$1,0)),元データ_14項目!$A$2:$A$1300,$A292,元データ_14項目!$B$2:$B$1300,"本年",元データ_14項目!$C$2:$C$1300,K$5)</f>
        <v>88</v>
      </c>
      <c r="L292" s="26">
        <f>SUMIFS(INDEX(元データ_14項目!$D$2:$Q$1300,0,MATCH($B292,元データ_14項目!$D$1:$Q$1,0)),元データ_14項目!$A$2:$A$1300,$A292,元データ_14項目!$B$2:$B$1300,"本年",元データ_14項目!$C$2:$C$1300,L$5)</f>
        <v>55</v>
      </c>
      <c r="M292" s="26">
        <f>SUMIFS(INDEX(元データ_14項目!$D$2:$Q$1300,0,MATCH($B292,元データ_14項目!$D$1:$Q$1,0)),元データ_14項目!$A$2:$A$1300,$A292,元データ_14項目!$B$2:$B$1300,"本年",元データ_14項目!$C$2:$C$1300,M$5)</f>
        <v>42</v>
      </c>
      <c r="N292" s="26">
        <f>SUMIFS(INDEX(元データ_14項目!$D$2:$Q$1300,0,MATCH($B292,元データ_14項目!$D$1:$Q$1,0)),元データ_14項目!$A$2:$A$1300,$A292,元データ_14項目!$B$2:$B$1300,"本年",元データ_14項目!$C$2:$C$1300,N$5)</f>
        <v>38</v>
      </c>
      <c r="O292" s="26">
        <f t="shared" si="8"/>
        <v>554</v>
      </c>
      <c r="P292" s="26">
        <f>SUMIFS(INDEX(元データ_14項目!$D$2:$Q$1300,0,MATCH($B292,元データ_14項目!$D$1:$Q$1,0)),元データ_14項目!$A$2:$A$1300,$A292,元データ_14項目!$B$2:$B$1300,"前年")</f>
        <v>562</v>
      </c>
      <c r="Q292" s="7">
        <f t="shared" si="9"/>
        <v>0.98576512455516019</v>
      </c>
    </row>
    <row r="293" spans="1:17" x14ac:dyDescent="0.45">
      <c r="A293" t="s">
        <v>55</v>
      </c>
      <c r="B293" t="s">
        <v>93</v>
      </c>
      <c r="C293" s="26">
        <f>SUMIFS(INDEX(元データ_14項目!$D$2:$Q$1300,0,MATCH($B293,元データ_14項目!$D$1:$Q$1,0)),元データ_14項目!$A$2:$A$1300,$A293,元データ_14項目!$B$2:$B$1300,"本年",元データ_14項目!$C$2:$C$1300,C$5)</f>
        <v>54</v>
      </c>
      <c r="D293" s="26">
        <f>SUMIFS(INDEX(元データ_14項目!$D$2:$Q$1300,0,MATCH($B293,元データ_14項目!$D$1:$Q$1,0)),元データ_14項目!$A$2:$A$1300,$A293,元データ_14項目!$B$2:$B$1300,"本年",元データ_14項目!$C$2:$C$1300,D$5)</f>
        <v>42</v>
      </c>
      <c r="E293" s="26">
        <f>SUMIFS(INDEX(元データ_14項目!$D$2:$Q$1300,0,MATCH($B293,元データ_14項目!$D$1:$Q$1,0)),元データ_14項目!$A$2:$A$1300,$A293,元データ_14項目!$B$2:$B$1300,"本年",元データ_14項目!$C$2:$C$1300,E$5)</f>
        <v>69</v>
      </c>
      <c r="F293" s="26">
        <f>SUMIFS(INDEX(元データ_14項目!$D$2:$Q$1300,0,MATCH($B293,元データ_14項目!$D$1:$Q$1,0)),元データ_14項目!$A$2:$A$1300,$A293,元データ_14項目!$B$2:$B$1300,"本年",元データ_14項目!$C$2:$C$1300,F$5)</f>
        <v>76</v>
      </c>
      <c r="G293" s="26">
        <f>SUMIFS(INDEX(元データ_14項目!$D$2:$Q$1300,0,MATCH($B293,元データ_14項目!$D$1:$Q$1,0)),元データ_14項目!$A$2:$A$1300,$A293,元データ_14項目!$B$2:$B$1300,"本年",元データ_14項目!$C$2:$C$1300,G$5)</f>
        <v>110</v>
      </c>
      <c r="H293" s="26">
        <f>SUMIFS(INDEX(元データ_14項目!$D$2:$Q$1300,0,MATCH($B293,元データ_14項目!$D$1:$Q$1,0)),元データ_14項目!$A$2:$A$1300,$A293,元データ_14項目!$B$2:$B$1300,"本年",元データ_14項目!$C$2:$C$1300,H$5)</f>
        <v>106</v>
      </c>
      <c r="I293" s="26">
        <f>SUMIFS(INDEX(元データ_14項目!$D$2:$Q$1300,0,MATCH($B293,元データ_14項目!$D$1:$Q$1,0)),元データ_14項目!$A$2:$A$1300,$A293,元データ_14項目!$B$2:$B$1300,"本年",元データ_14項目!$C$2:$C$1300,I$5)</f>
        <v>85</v>
      </c>
      <c r="J293" s="26">
        <f>SUMIFS(INDEX(元データ_14項目!$D$2:$Q$1300,0,MATCH($B293,元データ_14項目!$D$1:$Q$1,0)),元データ_14項目!$A$2:$A$1300,$A293,元データ_14項目!$B$2:$B$1300,"本年",元データ_14項目!$C$2:$C$1300,J$5)</f>
        <v>149</v>
      </c>
      <c r="K293" s="26">
        <f>SUMIFS(INDEX(元データ_14項目!$D$2:$Q$1300,0,MATCH($B293,元データ_14項目!$D$1:$Q$1,0)),元データ_14項目!$A$2:$A$1300,$A293,元データ_14項目!$B$2:$B$1300,"本年",元データ_14項目!$C$2:$C$1300,K$5)</f>
        <v>579</v>
      </c>
      <c r="L293" s="26">
        <f>SUMIFS(INDEX(元データ_14項目!$D$2:$Q$1300,0,MATCH($B293,元データ_14項目!$D$1:$Q$1,0)),元データ_14項目!$A$2:$A$1300,$A293,元データ_14項目!$B$2:$B$1300,"本年",元データ_14項目!$C$2:$C$1300,L$5)</f>
        <v>316</v>
      </c>
      <c r="M293" s="26">
        <f>SUMIFS(INDEX(元データ_14項目!$D$2:$Q$1300,0,MATCH($B293,元データ_14項目!$D$1:$Q$1,0)),元データ_14項目!$A$2:$A$1300,$A293,元データ_14項目!$B$2:$B$1300,"本年",元データ_14項目!$C$2:$C$1300,M$5)</f>
        <v>143</v>
      </c>
      <c r="N293" s="26">
        <f>SUMIFS(INDEX(元データ_14項目!$D$2:$Q$1300,0,MATCH($B293,元データ_14項目!$D$1:$Q$1,0)),元データ_14項目!$A$2:$A$1300,$A293,元データ_14項目!$B$2:$B$1300,"本年",元データ_14項目!$C$2:$C$1300,N$5)</f>
        <v>62</v>
      </c>
      <c r="O293" s="26">
        <f t="shared" si="8"/>
        <v>1791</v>
      </c>
      <c r="P293" s="26">
        <f>SUMIFS(INDEX(元データ_14項目!$D$2:$Q$1300,0,MATCH($B293,元データ_14項目!$D$1:$Q$1,0)),元データ_14項目!$A$2:$A$1300,$A293,元データ_14項目!$B$2:$B$1300,"前年")</f>
        <v>1794</v>
      </c>
      <c r="Q293" s="7">
        <f t="shared" si="9"/>
        <v>0.99832775919732442</v>
      </c>
    </row>
    <row r="294" spans="1:17" x14ac:dyDescent="0.45">
      <c r="A294" t="s">
        <v>55</v>
      </c>
      <c r="B294" t="s">
        <v>94</v>
      </c>
      <c r="C294" s="26">
        <f>SUMIFS(INDEX(元データ_14項目!$D$2:$Q$1300,0,MATCH($B294,元データ_14項目!$D$1:$Q$1,0)),元データ_14項目!$A$2:$A$1300,$A294,元データ_14項目!$B$2:$B$1300,"本年",元データ_14項目!$C$2:$C$1300,C$5)</f>
        <v>17</v>
      </c>
      <c r="D294" s="26">
        <f>SUMIFS(INDEX(元データ_14項目!$D$2:$Q$1300,0,MATCH($B294,元データ_14項目!$D$1:$Q$1,0)),元データ_14項目!$A$2:$A$1300,$A294,元データ_14項目!$B$2:$B$1300,"本年",元データ_14項目!$C$2:$C$1300,D$5)</f>
        <v>25</v>
      </c>
      <c r="E294" s="26">
        <f>SUMIFS(INDEX(元データ_14項目!$D$2:$Q$1300,0,MATCH($B294,元データ_14項目!$D$1:$Q$1,0)),元データ_14項目!$A$2:$A$1300,$A294,元データ_14項目!$B$2:$B$1300,"本年",元データ_14項目!$C$2:$C$1300,E$5)</f>
        <v>53</v>
      </c>
      <c r="F294" s="26">
        <f>SUMIFS(INDEX(元データ_14項目!$D$2:$Q$1300,0,MATCH($B294,元データ_14項目!$D$1:$Q$1,0)),元データ_14項目!$A$2:$A$1300,$A294,元データ_14項目!$B$2:$B$1300,"本年",元データ_14項目!$C$2:$C$1300,F$5)</f>
        <v>43</v>
      </c>
      <c r="G294" s="26">
        <f>SUMIFS(INDEX(元データ_14項目!$D$2:$Q$1300,0,MATCH($B294,元データ_14項目!$D$1:$Q$1,0)),元データ_14項目!$A$2:$A$1300,$A294,元データ_14項目!$B$2:$B$1300,"本年",元データ_14項目!$C$2:$C$1300,G$5)</f>
        <v>56</v>
      </c>
      <c r="H294" s="26">
        <f>SUMIFS(INDEX(元データ_14項目!$D$2:$Q$1300,0,MATCH($B294,元データ_14項目!$D$1:$Q$1,0)),元データ_14項目!$A$2:$A$1300,$A294,元データ_14項目!$B$2:$B$1300,"本年",元データ_14項目!$C$2:$C$1300,H$5)</f>
        <v>25</v>
      </c>
      <c r="I294" s="26">
        <f>SUMIFS(INDEX(元データ_14項目!$D$2:$Q$1300,0,MATCH($B294,元データ_14項目!$D$1:$Q$1,0)),元データ_14項目!$A$2:$A$1300,$A294,元データ_14項目!$B$2:$B$1300,"本年",元データ_14項目!$C$2:$C$1300,I$5)</f>
        <v>26</v>
      </c>
      <c r="J294" s="26">
        <f>SUMIFS(INDEX(元データ_14項目!$D$2:$Q$1300,0,MATCH($B294,元データ_14項目!$D$1:$Q$1,0)),元データ_14項目!$A$2:$A$1300,$A294,元データ_14項目!$B$2:$B$1300,"本年",元データ_14項目!$C$2:$C$1300,J$5)</f>
        <v>57</v>
      </c>
      <c r="K294" s="26">
        <f>SUMIFS(INDEX(元データ_14項目!$D$2:$Q$1300,0,MATCH($B294,元データ_14項目!$D$1:$Q$1,0)),元データ_14項目!$A$2:$A$1300,$A294,元データ_14項目!$B$2:$B$1300,"本年",元データ_14項目!$C$2:$C$1300,K$5)</f>
        <v>173</v>
      </c>
      <c r="L294" s="26">
        <f>SUMIFS(INDEX(元データ_14項目!$D$2:$Q$1300,0,MATCH($B294,元データ_14項目!$D$1:$Q$1,0)),元データ_14項目!$A$2:$A$1300,$A294,元データ_14項目!$B$2:$B$1300,"本年",元データ_14項目!$C$2:$C$1300,L$5)</f>
        <v>129</v>
      </c>
      <c r="M294" s="26">
        <f>SUMIFS(INDEX(元データ_14項目!$D$2:$Q$1300,0,MATCH($B294,元データ_14項目!$D$1:$Q$1,0)),元データ_14項目!$A$2:$A$1300,$A294,元データ_14項目!$B$2:$B$1300,"本年",元データ_14項目!$C$2:$C$1300,M$5)</f>
        <v>72</v>
      </c>
      <c r="N294" s="26">
        <f>SUMIFS(INDEX(元データ_14項目!$D$2:$Q$1300,0,MATCH($B294,元データ_14項目!$D$1:$Q$1,0)),元データ_14項目!$A$2:$A$1300,$A294,元データ_14項目!$B$2:$B$1300,"本年",元データ_14項目!$C$2:$C$1300,N$5)</f>
        <v>36</v>
      </c>
      <c r="O294" s="26">
        <f t="shared" si="8"/>
        <v>712</v>
      </c>
      <c r="P294" s="26">
        <f>SUMIFS(INDEX(元データ_14項目!$D$2:$Q$1300,0,MATCH($B294,元データ_14項目!$D$1:$Q$1,0)),元データ_14項目!$A$2:$A$1300,$A294,元データ_14項目!$B$2:$B$1300,"前年")</f>
        <v>745</v>
      </c>
      <c r="Q294" s="7">
        <f t="shared" si="9"/>
        <v>0.9557046979865772</v>
      </c>
    </row>
    <row r="295" spans="1:17" x14ac:dyDescent="0.45">
      <c r="A295" t="s">
        <v>55</v>
      </c>
      <c r="B295" t="s">
        <v>95</v>
      </c>
      <c r="C295" s="26">
        <f>SUMIFS(INDEX(元データ_14項目!$D$2:$Q$1300,0,MATCH($B295,元データ_14項目!$D$1:$Q$1,0)),元データ_14項目!$A$2:$A$1300,$A295,元データ_14項目!$B$2:$B$1300,"本年",元データ_14項目!$C$2:$C$1300,C$5)</f>
        <v>45</v>
      </c>
      <c r="D295" s="26">
        <f>SUMIFS(INDEX(元データ_14項目!$D$2:$Q$1300,0,MATCH($B295,元データ_14項目!$D$1:$Q$1,0)),元データ_14項目!$A$2:$A$1300,$A295,元データ_14項目!$B$2:$B$1300,"本年",元データ_14項目!$C$2:$C$1300,D$5)</f>
        <v>68</v>
      </c>
      <c r="E295" s="26">
        <f>SUMIFS(INDEX(元データ_14項目!$D$2:$Q$1300,0,MATCH($B295,元データ_14項目!$D$1:$Q$1,0)),元データ_14項目!$A$2:$A$1300,$A295,元データ_14項目!$B$2:$B$1300,"本年",元データ_14項目!$C$2:$C$1300,E$5)</f>
        <v>93</v>
      </c>
      <c r="F295" s="26">
        <f>SUMIFS(INDEX(元データ_14項目!$D$2:$Q$1300,0,MATCH($B295,元データ_14項目!$D$1:$Q$1,0)),元データ_14項目!$A$2:$A$1300,$A295,元データ_14項目!$B$2:$B$1300,"本年",元データ_14項目!$C$2:$C$1300,F$5)</f>
        <v>58</v>
      </c>
      <c r="G295" s="26">
        <f>SUMIFS(INDEX(元データ_14項目!$D$2:$Q$1300,0,MATCH($B295,元データ_14項目!$D$1:$Q$1,0)),元データ_14項目!$A$2:$A$1300,$A295,元データ_14項目!$B$2:$B$1300,"本年",元データ_14項目!$C$2:$C$1300,G$5)</f>
        <v>44</v>
      </c>
      <c r="H295" s="26">
        <f>SUMIFS(INDEX(元データ_14項目!$D$2:$Q$1300,0,MATCH($B295,元データ_14項目!$D$1:$Q$1,0)),元データ_14項目!$A$2:$A$1300,$A295,元データ_14項目!$B$2:$B$1300,"本年",元データ_14項目!$C$2:$C$1300,H$5)</f>
        <v>28</v>
      </c>
      <c r="I295" s="26">
        <f>SUMIFS(INDEX(元データ_14項目!$D$2:$Q$1300,0,MATCH($B295,元データ_14項目!$D$1:$Q$1,0)),元データ_14項目!$A$2:$A$1300,$A295,元データ_14項目!$B$2:$B$1300,"本年",元データ_14項目!$C$2:$C$1300,I$5)</f>
        <v>21</v>
      </c>
      <c r="J295" s="26">
        <f>SUMIFS(INDEX(元データ_14項目!$D$2:$Q$1300,0,MATCH($B295,元データ_14項目!$D$1:$Q$1,0)),元データ_14項目!$A$2:$A$1300,$A295,元データ_14項目!$B$2:$B$1300,"本年",元データ_14項目!$C$2:$C$1300,J$5)</f>
        <v>44</v>
      </c>
      <c r="K295" s="26">
        <f>SUMIFS(INDEX(元データ_14項目!$D$2:$Q$1300,0,MATCH($B295,元データ_14項目!$D$1:$Q$1,0)),元データ_14項目!$A$2:$A$1300,$A295,元データ_14項目!$B$2:$B$1300,"本年",元データ_14項目!$C$2:$C$1300,K$5)</f>
        <v>85</v>
      </c>
      <c r="L295" s="26">
        <f>SUMIFS(INDEX(元データ_14項目!$D$2:$Q$1300,0,MATCH($B295,元データ_14項目!$D$1:$Q$1,0)),元データ_14項目!$A$2:$A$1300,$A295,元データ_14項目!$B$2:$B$1300,"本年",元データ_14項目!$C$2:$C$1300,L$5)</f>
        <v>63</v>
      </c>
      <c r="M295" s="26">
        <f>SUMIFS(INDEX(元データ_14項目!$D$2:$Q$1300,0,MATCH($B295,元データ_14項目!$D$1:$Q$1,0)),元データ_14項目!$A$2:$A$1300,$A295,元データ_14項目!$B$2:$B$1300,"本年",元データ_14項目!$C$2:$C$1300,M$5)</f>
        <v>62</v>
      </c>
      <c r="N295" s="26">
        <f>SUMIFS(INDEX(元データ_14項目!$D$2:$Q$1300,0,MATCH($B295,元データ_14項目!$D$1:$Q$1,0)),元データ_14項目!$A$2:$A$1300,$A295,元データ_14項目!$B$2:$B$1300,"本年",元データ_14項目!$C$2:$C$1300,N$5)</f>
        <v>39</v>
      </c>
      <c r="O295" s="26">
        <f t="shared" si="8"/>
        <v>650</v>
      </c>
      <c r="P295" s="26">
        <f>SUMIFS(INDEX(元データ_14項目!$D$2:$Q$1300,0,MATCH($B295,元データ_14項目!$D$1:$Q$1,0)),元データ_14項目!$A$2:$A$1300,$A295,元データ_14項目!$B$2:$B$1300,"前年")</f>
        <v>619</v>
      </c>
      <c r="Q295" s="7">
        <f t="shared" si="9"/>
        <v>1.0500807754442649</v>
      </c>
    </row>
    <row r="296" spans="1:17" x14ac:dyDescent="0.45">
      <c r="A296" t="s">
        <v>55</v>
      </c>
      <c r="B296" t="s">
        <v>96</v>
      </c>
      <c r="C296" s="26">
        <f>SUMIFS(INDEX(元データ_14項目!$D$2:$Q$1300,0,MATCH($B296,元データ_14項目!$D$1:$Q$1,0)),元データ_14項目!$A$2:$A$1300,$A296,元データ_14項目!$B$2:$B$1300,"本年",元データ_14項目!$C$2:$C$1300,C$5)</f>
        <v>43</v>
      </c>
      <c r="D296" s="26">
        <f>SUMIFS(INDEX(元データ_14項目!$D$2:$Q$1300,0,MATCH($B296,元データ_14項目!$D$1:$Q$1,0)),元データ_14項目!$A$2:$A$1300,$A296,元データ_14項目!$B$2:$B$1300,"本年",元データ_14項目!$C$2:$C$1300,D$5)</f>
        <v>30</v>
      </c>
      <c r="E296" s="26">
        <f>SUMIFS(INDEX(元データ_14項目!$D$2:$Q$1300,0,MATCH($B296,元データ_14項目!$D$1:$Q$1,0)),元データ_14項目!$A$2:$A$1300,$A296,元データ_14項目!$B$2:$B$1300,"本年",元データ_14項目!$C$2:$C$1300,E$5)</f>
        <v>60</v>
      </c>
      <c r="F296" s="26">
        <f>SUMIFS(INDEX(元データ_14項目!$D$2:$Q$1300,0,MATCH($B296,元データ_14項目!$D$1:$Q$1,0)),元データ_14項目!$A$2:$A$1300,$A296,元データ_14項目!$B$2:$B$1300,"本年",元データ_14項目!$C$2:$C$1300,F$5)</f>
        <v>63</v>
      </c>
      <c r="G296" s="26">
        <f>SUMIFS(INDEX(元データ_14項目!$D$2:$Q$1300,0,MATCH($B296,元データ_14項目!$D$1:$Q$1,0)),元データ_14項目!$A$2:$A$1300,$A296,元データ_14項目!$B$2:$B$1300,"本年",元データ_14項目!$C$2:$C$1300,G$5)</f>
        <v>75</v>
      </c>
      <c r="H296" s="26">
        <f>SUMIFS(INDEX(元データ_14項目!$D$2:$Q$1300,0,MATCH($B296,元データ_14項目!$D$1:$Q$1,0)),元データ_14項目!$A$2:$A$1300,$A296,元データ_14項目!$B$2:$B$1300,"本年",元データ_14項目!$C$2:$C$1300,H$5)</f>
        <v>57</v>
      </c>
      <c r="I296" s="26">
        <f>SUMIFS(INDEX(元データ_14項目!$D$2:$Q$1300,0,MATCH($B296,元データ_14項目!$D$1:$Q$1,0)),元データ_14項目!$A$2:$A$1300,$A296,元データ_14項目!$B$2:$B$1300,"本年",元データ_14項目!$C$2:$C$1300,I$5)</f>
        <v>59</v>
      </c>
      <c r="J296" s="26">
        <f>SUMIFS(INDEX(元データ_14項目!$D$2:$Q$1300,0,MATCH($B296,元データ_14項目!$D$1:$Q$1,0)),元データ_14項目!$A$2:$A$1300,$A296,元データ_14項目!$B$2:$B$1300,"本年",元データ_14項目!$C$2:$C$1300,J$5)</f>
        <v>240</v>
      </c>
      <c r="K296" s="26">
        <f>SUMIFS(INDEX(元データ_14項目!$D$2:$Q$1300,0,MATCH($B296,元データ_14項目!$D$1:$Q$1,0)),元データ_14項目!$A$2:$A$1300,$A296,元データ_14項目!$B$2:$B$1300,"本年",元データ_14項目!$C$2:$C$1300,K$5)</f>
        <v>493</v>
      </c>
      <c r="L296" s="26">
        <f>SUMIFS(INDEX(元データ_14項目!$D$2:$Q$1300,0,MATCH($B296,元データ_14項目!$D$1:$Q$1,0)),元データ_14項目!$A$2:$A$1300,$A296,元データ_14項目!$B$2:$B$1300,"本年",元データ_14項目!$C$2:$C$1300,L$5)</f>
        <v>253</v>
      </c>
      <c r="M296" s="26">
        <f>SUMIFS(INDEX(元データ_14項目!$D$2:$Q$1300,0,MATCH($B296,元データ_14項目!$D$1:$Q$1,0)),元データ_14項目!$A$2:$A$1300,$A296,元データ_14項目!$B$2:$B$1300,"本年",元データ_14項目!$C$2:$C$1300,M$5)</f>
        <v>117</v>
      </c>
      <c r="N296" s="26">
        <f>SUMIFS(INDEX(元データ_14項目!$D$2:$Q$1300,0,MATCH($B296,元データ_14項目!$D$1:$Q$1,0)),元データ_14項目!$A$2:$A$1300,$A296,元データ_14項目!$B$2:$B$1300,"本年",元データ_14項目!$C$2:$C$1300,N$5)</f>
        <v>57</v>
      </c>
      <c r="O296" s="26">
        <f t="shared" si="8"/>
        <v>1547</v>
      </c>
      <c r="P296" s="26">
        <f>SUMIFS(INDEX(元データ_14項目!$D$2:$Q$1300,0,MATCH($B296,元データ_14項目!$D$1:$Q$1,0)),元データ_14項目!$A$2:$A$1300,$A296,元データ_14項目!$B$2:$B$1300,"前年")</f>
        <v>1318</v>
      </c>
      <c r="Q296" s="7">
        <f t="shared" si="9"/>
        <v>1.1737481031866464</v>
      </c>
    </row>
    <row r="297" spans="1:17" x14ac:dyDescent="0.45">
      <c r="A297" t="s">
        <v>55</v>
      </c>
      <c r="B297" t="s">
        <v>97</v>
      </c>
      <c r="C297" s="26">
        <f>SUMIFS(INDEX(元データ_14項目!$D$2:$Q$1300,0,MATCH($B297,元データ_14項目!$D$1:$Q$1,0)),元データ_14項目!$A$2:$A$1300,$A297,元データ_14項目!$B$2:$B$1300,"本年",元データ_14項目!$C$2:$C$1300,C$5)</f>
        <v>36</v>
      </c>
      <c r="D297" s="26">
        <f>SUMIFS(INDEX(元データ_14項目!$D$2:$Q$1300,0,MATCH($B297,元データ_14項目!$D$1:$Q$1,0)),元データ_14項目!$A$2:$A$1300,$A297,元データ_14項目!$B$2:$B$1300,"本年",元データ_14項目!$C$2:$C$1300,D$5)</f>
        <v>25</v>
      </c>
      <c r="E297" s="26">
        <f>SUMIFS(INDEX(元データ_14項目!$D$2:$Q$1300,0,MATCH($B297,元データ_14項目!$D$1:$Q$1,0)),元データ_14項目!$A$2:$A$1300,$A297,元データ_14項目!$B$2:$B$1300,"本年",元データ_14項目!$C$2:$C$1300,E$5)</f>
        <v>65</v>
      </c>
      <c r="F297" s="26">
        <f>SUMIFS(INDEX(元データ_14項目!$D$2:$Q$1300,0,MATCH($B297,元データ_14項目!$D$1:$Q$1,0)),元データ_14項目!$A$2:$A$1300,$A297,元データ_14項目!$B$2:$B$1300,"本年",元データ_14項目!$C$2:$C$1300,F$5)</f>
        <v>57</v>
      </c>
      <c r="G297" s="26">
        <f>SUMIFS(INDEX(元データ_14項目!$D$2:$Q$1300,0,MATCH($B297,元データ_14項目!$D$1:$Q$1,0)),元データ_14項目!$A$2:$A$1300,$A297,元データ_14項目!$B$2:$B$1300,"本年",元データ_14項目!$C$2:$C$1300,G$5)</f>
        <v>77</v>
      </c>
      <c r="H297" s="26">
        <f>SUMIFS(INDEX(元データ_14項目!$D$2:$Q$1300,0,MATCH($B297,元データ_14項目!$D$1:$Q$1,0)),元データ_14項目!$A$2:$A$1300,$A297,元データ_14項目!$B$2:$B$1300,"本年",元データ_14項目!$C$2:$C$1300,H$5)</f>
        <v>41</v>
      </c>
      <c r="I297" s="26">
        <f>SUMIFS(INDEX(元データ_14項目!$D$2:$Q$1300,0,MATCH($B297,元データ_14項目!$D$1:$Q$1,0)),元データ_14項目!$A$2:$A$1300,$A297,元データ_14項目!$B$2:$B$1300,"本年",元データ_14項目!$C$2:$C$1300,I$5)</f>
        <v>32</v>
      </c>
      <c r="J297" s="26">
        <f>SUMIFS(INDEX(元データ_14項目!$D$2:$Q$1300,0,MATCH($B297,元データ_14項目!$D$1:$Q$1,0)),元データ_14項目!$A$2:$A$1300,$A297,元データ_14項目!$B$2:$B$1300,"本年",元データ_14項目!$C$2:$C$1300,J$5)</f>
        <v>118</v>
      </c>
      <c r="K297" s="26">
        <f>SUMIFS(INDEX(元データ_14項目!$D$2:$Q$1300,0,MATCH($B297,元データ_14項目!$D$1:$Q$1,0)),元データ_14項目!$A$2:$A$1300,$A297,元データ_14項目!$B$2:$B$1300,"本年",元データ_14項目!$C$2:$C$1300,K$5)</f>
        <v>351</v>
      </c>
      <c r="L297" s="26">
        <f>SUMIFS(INDEX(元データ_14項目!$D$2:$Q$1300,0,MATCH($B297,元データ_14項目!$D$1:$Q$1,0)),元データ_14項目!$A$2:$A$1300,$A297,元データ_14項目!$B$2:$B$1300,"本年",元データ_14項目!$C$2:$C$1300,L$5)</f>
        <v>173</v>
      </c>
      <c r="M297" s="26">
        <f>SUMIFS(INDEX(元データ_14項目!$D$2:$Q$1300,0,MATCH($B297,元データ_14項目!$D$1:$Q$1,0)),元データ_14項目!$A$2:$A$1300,$A297,元データ_14項目!$B$2:$B$1300,"本年",元データ_14項目!$C$2:$C$1300,M$5)</f>
        <v>102</v>
      </c>
      <c r="N297" s="26">
        <f>SUMIFS(INDEX(元データ_14項目!$D$2:$Q$1300,0,MATCH($B297,元データ_14項目!$D$1:$Q$1,0)),元データ_14項目!$A$2:$A$1300,$A297,元データ_14項目!$B$2:$B$1300,"本年",元データ_14項目!$C$2:$C$1300,N$5)</f>
        <v>58</v>
      </c>
      <c r="O297" s="26">
        <f t="shared" si="8"/>
        <v>1135</v>
      </c>
      <c r="P297" s="26">
        <f>SUMIFS(INDEX(元データ_14項目!$D$2:$Q$1300,0,MATCH($B297,元データ_14項目!$D$1:$Q$1,0)),元データ_14項目!$A$2:$A$1300,$A297,元データ_14項目!$B$2:$B$1300,"前年")</f>
        <v>1123</v>
      </c>
      <c r="Q297" s="7">
        <f t="shared" si="9"/>
        <v>1.0106856634016028</v>
      </c>
    </row>
    <row r="298" spans="1:17" x14ac:dyDescent="0.45">
      <c r="A298" t="s">
        <v>55</v>
      </c>
      <c r="B298" t="s">
        <v>98</v>
      </c>
      <c r="C298" s="26">
        <f>SUMIFS(INDEX(元データ_14項目!$D$2:$Q$1300,0,MATCH($B298,元データ_14項目!$D$1:$Q$1,0)),元データ_14項目!$A$2:$A$1300,$A298,元データ_14項目!$B$2:$B$1300,"本年",元データ_14項目!$C$2:$C$1300,C$5)</f>
        <v>13</v>
      </c>
      <c r="D298" s="26">
        <f>SUMIFS(INDEX(元データ_14項目!$D$2:$Q$1300,0,MATCH($B298,元データ_14項目!$D$1:$Q$1,0)),元データ_14項目!$A$2:$A$1300,$A298,元データ_14項目!$B$2:$B$1300,"本年",元データ_14項目!$C$2:$C$1300,D$5)</f>
        <v>12</v>
      </c>
      <c r="E298" s="26">
        <f>SUMIFS(INDEX(元データ_14項目!$D$2:$Q$1300,0,MATCH($B298,元データ_14項目!$D$1:$Q$1,0)),元データ_14項目!$A$2:$A$1300,$A298,元データ_14項目!$B$2:$B$1300,"本年",元データ_14項目!$C$2:$C$1300,E$5)</f>
        <v>31</v>
      </c>
      <c r="F298" s="26">
        <f>SUMIFS(INDEX(元データ_14項目!$D$2:$Q$1300,0,MATCH($B298,元データ_14項目!$D$1:$Q$1,0)),元データ_14項目!$A$2:$A$1300,$A298,元データ_14項目!$B$2:$B$1300,"本年",元データ_14項目!$C$2:$C$1300,F$5)</f>
        <v>31</v>
      </c>
      <c r="G298" s="26">
        <f>SUMIFS(INDEX(元データ_14項目!$D$2:$Q$1300,0,MATCH($B298,元データ_14項目!$D$1:$Q$1,0)),元データ_14項目!$A$2:$A$1300,$A298,元データ_14項目!$B$2:$B$1300,"本年",元データ_14項目!$C$2:$C$1300,G$5)</f>
        <v>31</v>
      </c>
      <c r="H298" s="26">
        <f>SUMIFS(INDEX(元データ_14項目!$D$2:$Q$1300,0,MATCH($B298,元データ_14項目!$D$1:$Q$1,0)),元データ_14項目!$A$2:$A$1300,$A298,元データ_14項目!$B$2:$B$1300,"本年",元データ_14項目!$C$2:$C$1300,H$5)</f>
        <v>27</v>
      </c>
      <c r="I298" s="26">
        <f>SUMIFS(INDEX(元データ_14項目!$D$2:$Q$1300,0,MATCH($B298,元データ_14項目!$D$1:$Q$1,0)),元データ_14項目!$A$2:$A$1300,$A298,元データ_14項目!$B$2:$B$1300,"本年",元データ_14項目!$C$2:$C$1300,I$5)</f>
        <v>16</v>
      </c>
      <c r="J298" s="26">
        <f>SUMIFS(INDEX(元データ_14項目!$D$2:$Q$1300,0,MATCH($B298,元データ_14項目!$D$1:$Q$1,0)),元データ_14項目!$A$2:$A$1300,$A298,元データ_14項目!$B$2:$B$1300,"本年",元データ_14項目!$C$2:$C$1300,J$5)</f>
        <v>135</v>
      </c>
      <c r="K298" s="26">
        <f>SUMIFS(INDEX(元データ_14項目!$D$2:$Q$1300,0,MATCH($B298,元データ_14項目!$D$1:$Q$1,0)),元データ_14項目!$A$2:$A$1300,$A298,元データ_14項目!$B$2:$B$1300,"本年",元データ_14項目!$C$2:$C$1300,K$5)</f>
        <v>312</v>
      </c>
      <c r="L298" s="26">
        <f>SUMIFS(INDEX(元データ_14項目!$D$2:$Q$1300,0,MATCH($B298,元データ_14項目!$D$1:$Q$1,0)),元データ_14項目!$A$2:$A$1300,$A298,元データ_14項目!$B$2:$B$1300,"本年",元データ_14項目!$C$2:$C$1300,L$5)</f>
        <v>145</v>
      </c>
      <c r="M298" s="26">
        <f>SUMIFS(INDEX(元データ_14項目!$D$2:$Q$1300,0,MATCH($B298,元データ_14項目!$D$1:$Q$1,0)),元データ_14項目!$A$2:$A$1300,$A298,元データ_14項目!$B$2:$B$1300,"本年",元データ_14項目!$C$2:$C$1300,M$5)</f>
        <v>77</v>
      </c>
      <c r="N298" s="26">
        <f>SUMIFS(INDEX(元データ_14項目!$D$2:$Q$1300,0,MATCH($B298,元データ_14項目!$D$1:$Q$1,0)),元データ_14項目!$A$2:$A$1300,$A298,元データ_14項目!$B$2:$B$1300,"本年",元データ_14項目!$C$2:$C$1300,N$5)</f>
        <v>30</v>
      </c>
      <c r="O298" s="26">
        <f t="shared" si="8"/>
        <v>860</v>
      </c>
      <c r="P298" s="26">
        <f>SUMIFS(INDEX(元データ_14項目!$D$2:$Q$1300,0,MATCH($B298,元データ_14項目!$D$1:$Q$1,0)),元データ_14項目!$A$2:$A$1300,$A298,元データ_14項目!$B$2:$B$1300,"前年")</f>
        <v>853</v>
      </c>
      <c r="Q298" s="7">
        <f t="shared" si="9"/>
        <v>1.0082063305978899</v>
      </c>
    </row>
    <row r="299" spans="1:17" x14ac:dyDescent="0.45">
      <c r="A299" t="s">
        <v>55</v>
      </c>
      <c r="B299" t="s">
        <v>99</v>
      </c>
      <c r="C299" s="26">
        <f>SUMIFS(INDEX(元データ_14項目!$D$2:$Q$1300,0,MATCH($B299,元データ_14項目!$D$1:$Q$1,0)),元データ_14項目!$A$2:$A$1300,$A299,元データ_14項目!$B$2:$B$1300,"本年",元データ_14項目!$C$2:$C$1300,C$5)</f>
        <v>0</v>
      </c>
      <c r="D299" s="26">
        <f>SUMIFS(INDEX(元データ_14項目!$D$2:$Q$1300,0,MATCH($B299,元データ_14項目!$D$1:$Q$1,0)),元データ_14項目!$A$2:$A$1300,$A299,元データ_14項目!$B$2:$B$1300,"本年",元データ_14項目!$C$2:$C$1300,D$5)</f>
        <v>0</v>
      </c>
      <c r="E299" s="26">
        <f>SUMIFS(INDEX(元データ_14項目!$D$2:$Q$1300,0,MATCH($B299,元データ_14項目!$D$1:$Q$1,0)),元データ_14項目!$A$2:$A$1300,$A299,元データ_14項目!$B$2:$B$1300,"本年",元データ_14項目!$C$2:$C$1300,E$5)</f>
        <v>2</v>
      </c>
      <c r="F299" s="26">
        <f>SUMIFS(INDEX(元データ_14項目!$D$2:$Q$1300,0,MATCH($B299,元データ_14項目!$D$1:$Q$1,0)),元データ_14項目!$A$2:$A$1300,$A299,元データ_14項目!$B$2:$B$1300,"本年",元データ_14項目!$C$2:$C$1300,F$5)</f>
        <v>1</v>
      </c>
      <c r="G299" s="26">
        <f>SUMIFS(INDEX(元データ_14項目!$D$2:$Q$1300,0,MATCH($B299,元データ_14項目!$D$1:$Q$1,0)),元データ_14項目!$A$2:$A$1300,$A299,元データ_14項目!$B$2:$B$1300,"本年",元データ_14項目!$C$2:$C$1300,G$5)</f>
        <v>0</v>
      </c>
      <c r="H299" s="26">
        <f>SUMIFS(INDEX(元データ_14項目!$D$2:$Q$1300,0,MATCH($B299,元データ_14項目!$D$1:$Q$1,0)),元データ_14項目!$A$2:$A$1300,$A299,元データ_14項目!$B$2:$B$1300,"本年",元データ_14項目!$C$2:$C$1300,H$5)</f>
        <v>0</v>
      </c>
      <c r="I299" s="26">
        <f>SUMIFS(INDEX(元データ_14項目!$D$2:$Q$1300,0,MATCH($B299,元データ_14項目!$D$1:$Q$1,0)),元データ_14項目!$A$2:$A$1300,$A299,元データ_14項目!$B$2:$B$1300,"本年",元データ_14項目!$C$2:$C$1300,I$5)</f>
        <v>16</v>
      </c>
      <c r="J299" s="26">
        <f>SUMIFS(INDEX(元データ_14項目!$D$2:$Q$1300,0,MATCH($B299,元データ_14項目!$D$1:$Q$1,0)),元データ_14項目!$A$2:$A$1300,$A299,元データ_14項目!$B$2:$B$1300,"本年",元データ_14項目!$C$2:$C$1300,J$5)</f>
        <v>12</v>
      </c>
      <c r="K299" s="26">
        <f>SUMIFS(INDEX(元データ_14項目!$D$2:$Q$1300,0,MATCH($B299,元データ_14項目!$D$1:$Q$1,0)),元データ_14項目!$A$2:$A$1300,$A299,元データ_14項目!$B$2:$B$1300,"本年",元データ_14項目!$C$2:$C$1300,K$5)</f>
        <v>5</v>
      </c>
      <c r="L299" s="26">
        <f>SUMIFS(INDEX(元データ_14項目!$D$2:$Q$1300,0,MATCH($B299,元データ_14項目!$D$1:$Q$1,0)),元データ_14項目!$A$2:$A$1300,$A299,元データ_14項目!$B$2:$B$1300,"本年",元データ_14項目!$C$2:$C$1300,L$5)</f>
        <v>1</v>
      </c>
      <c r="M299" s="26">
        <f>SUMIFS(INDEX(元データ_14項目!$D$2:$Q$1300,0,MATCH($B299,元データ_14項目!$D$1:$Q$1,0)),元データ_14項目!$A$2:$A$1300,$A299,元データ_14項目!$B$2:$B$1300,"本年",元データ_14項目!$C$2:$C$1300,M$5)</f>
        <v>11</v>
      </c>
      <c r="N299" s="26">
        <f>SUMIFS(INDEX(元データ_14項目!$D$2:$Q$1300,0,MATCH($B299,元データ_14項目!$D$1:$Q$1,0)),元データ_14項目!$A$2:$A$1300,$A299,元データ_14項目!$B$2:$B$1300,"本年",元データ_14項目!$C$2:$C$1300,N$5)</f>
        <v>4</v>
      </c>
      <c r="O299" s="26">
        <f t="shared" si="8"/>
        <v>52</v>
      </c>
      <c r="P299" s="26">
        <f>SUMIFS(INDEX(元データ_14項目!$D$2:$Q$1300,0,MATCH($B299,元データ_14項目!$D$1:$Q$1,0)),元データ_14項目!$A$2:$A$1300,$A299,元データ_14項目!$B$2:$B$1300,"前年")</f>
        <v>55</v>
      </c>
      <c r="Q299" s="7">
        <f t="shared" si="9"/>
        <v>0.94545454545454544</v>
      </c>
    </row>
    <row r="300" spans="1:17" x14ac:dyDescent="0.45">
      <c r="A300" t="s">
        <v>56</v>
      </c>
      <c r="B300" t="s">
        <v>27</v>
      </c>
      <c r="C300" s="26">
        <f>SUMIFS(INDEX(元データ_14項目!$D$2:$Q$1300,0,MATCH($B300,元データ_14項目!$D$1:$Q$1,0)),元データ_14項目!$A$2:$A$1300,$A300,元データ_14項目!$B$2:$B$1300,"本年",元データ_14項目!$C$2:$C$1300,C$5)</f>
        <v>831</v>
      </c>
      <c r="D300" s="26">
        <f>SUMIFS(INDEX(元データ_14項目!$D$2:$Q$1300,0,MATCH($B300,元データ_14項目!$D$1:$Q$1,0)),元データ_14項目!$A$2:$A$1300,$A300,元データ_14項目!$B$2:$B$1300,"本年",元データ_14項目!$C$2:$C$1300,D$5)</f>
        <v>1003</v>
      </c>
      <c r="E300" s="26">
        <f>SUMIFS(INDEX(元データ_14項目!$D$2:$Q$1300,0,MATCH($B300,元データ_14項目!$D$1:$Q$1,0)),元データ_14項目!$A$2:$A$1300,$A300,元データ_14項目!$B$2:$B$1300,"本年",元データ_14項目!$C$2:$C$1300,E$5)</f>
        <v>1325</v>
      </c>
      <c r="F300" s="26">
        <f>SUMIFS(INDEX(元データ_14項目!$D$2:$Q$1300,0,MATCH($B300,元データ_14項目!$D$1:$Q$1,0)),元データ_14項目!$A$2:$A$1300,$A300,元データ_14項目!$B$2:$B$1300,"本年",元データ_14項目!$C$2:$C$1300,F$5)</f>
        <v>1225</v>
      </c>
      <c r="G300" s="26">
        <f>SUMIFS(INDEX(元データ_14項目!$D$2:$Q$1300,0,MATCH($B300,元データ_14項目!$D$1:$Q$1,0)),元データ_14項目!$A$2:$A$1300,$A300,元データ_14項目!$B$2:$B$1300,"本年",元データ_14項目!$C$2:$C$1300,G$5)</f>
        <v>1186</v>
      </c>
      <c r="H300" s="26">
        <f>SUMIFS(INDEX(元データ_14項目!$D$2:$Q$1300,0,MATCH($B300,元データ_14項目!$D$1:$Q$1,0)),元データ_14項目!$A$2:$A$1300,$A300,元データ_14項目!$B$2:$B$1300,"本年",元データ_14項目!$C$2:$C$1300,H$5)</f>
        <v>968</v>
      </c>
      <c r="I300" s="26">
        <f>SUMIFS(INDEX(元データ_14項目!$D$2:$Q$1300,0,MATCH($B300,元データ_14項目!$D$1:$Q$1,0)),元データ_14項目!$A$2:$A$1300,$A300,元データ_14項目!$B$2:$B$1300,"本年",元データ_14項目!$C$2:$C$1300,I$5)</f>
        <v>975</v>
      </c>
      <c r="J300" s="26">
        <f>SUMIFS(INDEX(元データ_14項目!$D$2:$Q$1300,0,MATCH($B300,元データ_14項目!$D$1:$Q$1,0)),元データ_14項目!$A$2:$A$1300,$A300,元データ_14項目!$B$2:$B$1300,"本年",元データ_14項目!$C$2:$C$1300,J$5)</f>
        <v>1202</v>
      </c>
      <c r="K300" s="26">
        <f>SUMIFS(INDEX(元データ_14項目!$D$2:$Q$1300,0,MATCH($B300,元データ_14項目!$D$1:$Q$1,0)),元データ_14項目!$A$2:$A$1300,$A300,元データ_14項目!$B$2:$B$1300,"本年",元データ_14項目!$C$2:$C$1300,K$5)</f>
        <v>1258</v>
      </c>
      <c r="L300" s="26">
        <f>SUMIFS(INDEX(元データ_14項目!$D$2:$Q$1300,0,MATCH($B300,元データ_14項目!$D$1:$Q$1,0)),元データ_14項目!$A$2:$A$1300,$A300,元データ_14項目!$B$2:$B$1300,"本年",元データ_14項目!$C$2:$C$1300,L$5)</f>
        <v>980</v>
      </c>
      <c r="M300" s="26">
        <f>SUMIFS(INDEX(元データ_14項目!$D$2:$Q$1300,0,MATCH($B300,元データ_14項目!$D$1:$Q$1,0)),元データ_14項目!$A$2:$A$1300,$A300,元データ_14項目!$B$2:$B$1300,"本年",元データ_14項目!$C$2:$C$1300,M$5)</f>
        <v>1146</v>
      </c>
      <c r="N300" s="26">
        <f>SUMIFS(INDEX(元データ_14項目!$D$2:$Q$1300,0,MATCH($B300,元データ_14項目!$D$1:$Q$1,0)),元データ_14項目!$A$2:$A$1300,$A300,元データ_14項目!$B$2:$B$1300,"本年",元データ_14項目!$C$2:$C$1300,N$5)</f>
        <v>1018</v>
      </c>
      <c r="O300" s="26">
        <f t="shared" si="8"/>
        <v>13117</v>
      </c>
      <c r="P300" s="26">
        <f>SUMIFS(INDEX(元データ_14項目!$D$2:$Q$1300,0,MATCH($B300,元データ_14項目!$D$1:$Q$1,0)),元データ_14項目!$A$2:$A$1300,$A300,元データ_14項目!$B$2:$B$1300,"前年")</f>
        <v>15289</v>
      </c>
      <c r="Q300" s="7">
        <f t="shared" si="9"/>
        <v>0.85793707894564719</v>
      </c>
    </row>
    <row r="301" spans="1:17" x14ac:dyDescent="0.45">
      <c r="A301" t="s">
        <v>56</v>
      </c>
      <c r="B301" t="s">
        <v>88</v>
      </c>
      <c r="C301" s="26">
        <f>SUMIFS(INDEX(元データ_14項目!$D$2:$Q$1300,0,MATCH($B301,元データ_14項目!$D$1:$Q$1,0)),元データ_14項目!$A$2:$A$1300,$A301,元データ_14項目!$B$2:$B$1300,"本年",元データ_14項目!$C$2:$C$1300,C$5)</f>
        <v>36</v>
      </c>
      <c r="D301" s="26">
        <f>SUMIFS(INDEX(元データ_14項目!$D$2:$Q$1300,0,MATCH($B301,元データ_14項目!$D$1:$Q$1,0)),元データ_14項目!$A$2:$A$1300,$A301,元データ_14項目!$B$2:$B$1300,"本年",元データ_14項目!$C$2:$C$1300,D$5)</f>
        <v>41</v>
      </c>
      <c r="E301" s="26">
        <f>SUMIFS(INDEX(元データ_14項目!$D$2:$Q$1300,0,MATCH($B301,元データ_14項目!$D$1:$Q$1,0)),元データ_14項目!$A$2:$A$1300,$A301,元データ_14項目!$B$2:$B$1300,"本年",元データ_14項目!$C$2:$C$1300,E$5)</f>
        <v>114</v>
      </c>
      <c r="F301" s="26">
        <f>SUMIFS(INDEX(元データ_14項目!$D$2:$Q$1300,0,MATCH($B301,元データ_14項目!$D$1:$Q$1,0)),元データ_14項目!$A$2:$A$1300,$A301,元データ_14項目!$B$2:$B$1300,"本年",元データ_14項目!$C$2:$C$1300,F$5)</f>
        <v>101</v>
      </c>
      <c r="G301" s="26">
        <f>SUMIFS(INDEX(元データ_14項目!$D$2:$Q$1300,0,MATCH($B301,元データ_14項目!$D$1:$Q$1,0)),元データ_14項目!$A$2:$A$1300,$A301,元データ_14項目!$B$2:$B$1300,"本年",元データ_14項目!$C$2:$C$1300,G$5)</f>
        <v>51</v>
      </c>
      <c r="H301" s="26">
        <f>SUMIFS(INDEX(元データ_14項目!$D$2:$Q$1300,0,MATCH($B301,元データ_14項目!$D$1:$Q$1,0)),元データ_14項目!$A$2:$A$1300,$A301,元データ_14項目!$B$2:$B$1300,"本年",元データ_14項目!$C$2:$C$1300,H$5)</f>
        <v>32</v>
      </c>
      <c r="I301" s="26">
        <f>SUMIFS(INDEX(元データ_14項目!$D$2:$Q$1300,0,MATCH($B301,元データ_14項目!$D$1:$Q$1,0)),元データ_14項目!$A$2:$A$1300,$A301,元データ_14項目!$B$2:$B$1300,"本年",元データ_14項目!$C$2:$C$1300,I$5)</f>
        <v>25</v>
      </c>
      <c r="J301" s="26">
        <f>SUMIFS(INDEX(元データ_14項目!$D$2:$Q$1300,0,MATCH($B301,元データ_14項目!$D$1:$Q$1,0)),元データ_14項目!$A$2:$A$1300,$A301,元データ_14項目!$B$2:$B$1300,"本年",元データ_14項目!$C$2:$C$1300,J$5)</f>
        <v>54</v>
      </c>
      <c r="K301" s="26">
        <f>SUMIFS(INDEX(元データ_14項目!$D$2:$Q$1300,0,MATCH($B301,元データ_14項目!$D$1:$Q$1,0)),元データ_14項目!$A$2:$A$1300,$A301,元データ_14項目!$B$2:$B$1300,"本年",元データ_14項目!$C$2:$C$1300,K$5)</f>
        <v>90</v>
      </c>
      <c r="L301" s="26">
        <f>SUMIFS(INDEX(元データ_14項目!$D$2:$Q$1300,0,MATCH($B301,元データ_14項目!$D$1:$Q$1,0)),元データ_14項目!$A$2:$A$1300,$A301,元データ_14項目!$B$2:$B$1300,"本年",元データ_14項目!$C$2:$C$1300,L$5)</f>
        <v>79</v>
      </c>
      <c r="M301" s="26">
        <f>SUMIFS(INDEX(元データ_14項目!$D$2:$Q$1300,0,MATCH($B301,元データ_14項目!$D$1:$Q$1,0)),元データ_14項目!$A$2:$A$1300,$A301,元データ_14項目!$B$2:$B$1300,"本年",元データ_14項目!$C$2:$C$1300,M$5)</f>
        <v>87</v>
      </c>
      <c r="N301" s="26">
        <f>SUMIFS(INDEX(元データ_14項目!$D$2:$Q$1300,0,MATCH($B301,元データ_14項目!$D$1:$Q$1,0)),元データ_14項目!$A$2:$A$1300,$A301,元データ_14項目!$B$2:$B$1300,"本年",元データ_14項目!$C$2:$C$1300,N$5)</f>
        <v>82</v>
      </c>
      <c r="O301" s="26">
        <f t="shared" si="8"/>
        <v>792</v>
      </c>
      <c r="P301" s="26">
        <f>SUMIFS(INDEX(元データ_14項目!$D$2:$Q$1300,0,MATCH($B301,元データ_14項目!$D$1:$Q$1,0)),元データ_14項目!$A$2:$A$1300,$A301,元データ_14項目!$B$2:$B$1300,"前年")</f>
        <v>709</v>
      </c>
      <c r="Q301" s="7">
        <f t="shared" si="9"/>
        <v>1.1170662905500706</v>
      </c>
    </row>
    <row r="302" spans="1:17" x14ac:dyDescent="0.45">
      <c r="A302" t="s">
        <v>56</v>
      </c>
      <c r="B302" t="s">
        <v>89</v>
      </c>
      <c r="C302" s="26">
        <f>SUMIFS(INDEX(元データ_14項目!$D$2:$Q$1300,0,MATCH($B302,元データ_14項目!$D$1:$Q$1,0)),元データ_14項目!$A$2:$A$1300,$A302,元データ_14項目!$B$2:$B$1300,"本年",元データ_14項目!$C$2:$C$1300,C$5)</f>
        <v>36</v>
      </c>
      <c r="D302" s="26">
        <f>SUMIFS(INDEX(元データ_14項目!$D$2:$Q$1300,0,MATCH($B302,元データ_14項目!$D$1:$Q$1,0)),元データ_14項目!$A$2:$A$1300,$A302,元データ_14項目!$B$2:$B$1300,"本年",元データ_14項目!$C$2:$C$1300,D$5)</f>
        <v>53</v>
      </c>
      <c r="E302" s="26">
        <f>SUMIFS(INDEX(元データ_14項目!$D$2:$Q$1300,0,MATCH($B302,元データ_14項目!$D$1:$Q$1,0)),元データ_14項目!$A$2:$A$1300,$A302,元データ_14項目!$B$2:$B$1300,"本年",元データ_14項目!$C$2:$C$1300,E$5)</f>
        <v>110</v>
      </c>
      <c r="F302" s="26">
        <f>SUMIFS(INDEX(元データ_14項目!$D$2:$Q$1300,0,MATCH($B302,元データ_14項目!$D$1:$Q$1,0)),元データ_14項目!$A$2:$A$1300,$A302,元データ_14項目!$B$2:$B$1300,"本年",元データ_14項目!$C$2:$C$1300,F$5)</f>
        <v>89</v>
      </c>
      <c r="G302" s="26">
        <f>SUMIFS(INDEX(元データ_14項目!$D$2:$Q$1300,0,MATCH($B302,元データ_14項目!$D$1:$Q$1,0)),元データ_14項目!$A$2:$A$1300,$A302,元データ_14項目!$B$2:$B$1300,"本年",元データ_14項目!$C$2:$C$1300,G$5)</f>
        <v>66</v>
      </c>
      <c r="H302" s="26">
        <f>SUMIFS(INDEX(元データ_14項目!$D$2:$Q$1300,0,MATCH($B302,元データ_14項目!$D$1:$Q$1,0)),元データ_14項目!$A$2:$A$1300,$A302,元データ_14項目!$B$2:$B$1300,"本年",元データ_14項目!$C$2:$C$1300,H$5)</f>
        <v>34</v>
      </c>
      <c r="I302" s="26">
        <f>SUMIFS(INDEX(元データ_14項目!$D$2:$Q$1300,0,MATCH($B302,元データ_14項目!$D$1:$Q$1,0)),元データ_14項目!$A$2:$A$1300,$A302,元データ_14項目!$B$2:$B$1300,"本年",元データ_14項目!$C$2:$C$1300,I$5)</f>
        <v>28</v>
      </c>
      <c r="J302" s="26">
        <f>SUMIFS(INDEX(元データ_14項目!$D$2:$Q$1300,0,MATCH($B302,元データ_14項目!$D$1:$Q$1,0)),元データ_14項目!$A$2:$A$1300,$A302,元データ_14項目!$B$2:$B$1300,"本年",元データ_14項目!$C$2:$C$1300,J$5)</f>
        <v>44</v>
      </c>
      <c r="K302" s="26">
        <f>SUMIFS(INDEX(元データ_14項目!$D$2:$Q$1300,0,MATCH($B302,元データ_14項目!$D$1:$Q$1,0)),元データ_14項目!$A$2:$A$1300,$A302,元データ_14項目!$B$2:$B$1300,"本年",元データ_14項目!$C$2:$C$1300,K$5)</f>
        <v>80</v>
      </c>
      <c r="L302" s="26">
        <f>SUMIFS(INDEX(元データ_14項目!$D$2:$Q$1300,0,MATCH($B302,元データ_14項目!$D$1:$Q$1,0)),元データ_14項目!$A$2:$A$1300,$A302,元データ_14項目!$B$2:$B$1300,"本年",元データ_14項目!$C$2:$C$1300,L$5)</f>
        <v>73</v>
      </c>
      <c r="M302" s="26">
        <f>SUMIFS(INDEX(元データ_14項目!$D$2:$Q$1300,0,MATCH($B302,元データ_14項目!$D$1:$Q$1,0)),元データ_14項目!$A$2:$A$1300,$A302,元データ_14項目!$B$2:$B$1300,"本年",元データ_14項目!$C$2:$C$1300,M$5)</f>
        <v>92</v>
      </c>
      <c r="N302" s="26">
        <f>SUMIFS(INDEX(元データ_14項目!$D$2:$Q$1300,0,MATCH($B302,元データ_14項目!$D$1:$Q$1,0)),元データ_14項目!$A$2:$A$1300,$A302,元データ_14項目!$B$2:$B$1300,"本年",元データ_14項目!$C$2:$C$1300,N$5)</f>
        <v>74</v>
      </c>
      <c r="O302" s="26">
        <f t="shared" si="8"/>
        <v>779</v>
      </c>
      <c r="P302" s="26">
        <f>SUMIFS(INDEX(元データ_14項目!$D$2:$Q$1300,0,MATCH($B302,元データ_14項目!$D$1:$Q$1,0)),元データ_14項目!$A$2:$A$1300,$A302,元データ_14項目!$B$2:$B$1300,"前年")</f>
        <v>699</v>
      </c>
      <c r="Q302" s="7">
        <f t="shared" si="9"/>
        <v>1.1144492131616595</v>
      </c>
    </row>
    <row r="303" spans="1:17" x14ac:dyDescent="0.45">
      <c r="A303" t="s">
        <v>56</v>
      </c>
      <c r="B303" t="s">
        <v>90</v>
      </c>
      <c r="C303" s="26">
        <f>SUMIFS(INDEX(元データ_14項目!$D$2:$Q$1300,0,MATCH($B303,元データ_14項目!$D$1:$Q$1,0)),元データ_14項目!$A$2:$A$1300,$A303,元データ_14項目!$B$2:$B$1300,"本年",元データ_14項目!$C$2:$C$1300,C$5)</f>
        <v>60</v>
      </c>
      <c r="D303" s="26">
        <f>SUMIFS(INDEX(元データ_14項目!$D$2:$Q$1300,0,MATCH($B303,元データ_14項目!$D$1:$Q$1,0)),元データ_14項目!$A$2:$A$1300,$A303,元データ_14項目!$B$2:$B$1300,"本年",元データ_14項目!$C$2:$C$1300,D$5)</f>
        <v>60</v>
      </c>
      <c r="E303" s="26">
        <f>SUMIFS(INDEX(元データ_14項目!$D$2:$Q$1300,0,MATCH($B303,元データ_14項目!$D$1:$Q$1,0)),元データ_14項目!$A$2:$A$1300,$A303,元データ_14項目!$B$2:$B$1300,"本年",元データ_14項目!$C$2:$C$1300,E$5)</f>
        <v>88</v>
      </c>
      <c r="F303" s="26">
        <f>SUMIFS(INDEX(元データ_14項目!$D$2:$Q$1300,0,MATCH($B303,元データ_14項目!$D$1:$Q$1,0)),元データ_14項目!$A$2:$A$1300,$A303,元データ_14項目!$B$2:$B$1300,"本年",元データ_14項目!$C$2:$C$1300,F$5)</f>
        <v>119</v>
      </c>
      <c r="G303" s="26">
        <f>SUMIFS(INDEX(元データ_14項目!$D$2:$Q$1300,0,MATCH($B303,元データ_14項目!$D$1:$Q$1,0)),元データ_14項目!$A$2:$A$1300,$A303,元データ_14項目!$B$2:$B$1300,"本年",元データ_14項目!$C$2:$C$1300,G$5)</f>
        <v>230</v>
      </c>
      <c r="H303" s="26">
        <f>SUMIFS(INDEX(元データ_14項目!$D$2:$Q$1300,0,MATCH($B303,元データ_14項目!$D$1:$Q$1,0)),元データ_14項目!$A$2:$A$1300,$A303,元データ_14項目!$B$2:$B$1300,"本年",元データ_14項目!$C$2:$C$1300,H$5)</f>
        <v>182</v>
      </c>
      <c r="I303" s="26">
        <f>SUMIFS(INDEX(元データ_14項目!$D$2:$Q$1300,0,MATCH($B303,元データ_14項目!$D$1:$Q$1,0)),元データ_14項目!$A$2:$A$1300,$A303,元データ_14項目!$B$2:$B$1300,"本年",元データ_14項目!$C$2:$C$1300,I$5)</f>
        <v>104</v>
      </c>
      <c r="J303" s="26">
        <f>SUMIFS(INDEX(元データ_14項目!$D$2:$Q$1300,0,MATCH($B303,元データ_14項目!$D$1:$Q$1,0)),元データ_14項目!$A$2:$A$1300,$A303,元データ_14項目!$B$2:$B$1300,"本年",元データ_14項目!$C$2:$C$1300,J$5)</f>
        <v>203</v>
      </c>
      <c r="K303" s="26">
        <f>SUMIFS(INDEX(元データ_14項目!$D$2:$Q$1300,0,MATCH($B303,元データ_14項目!$D$1:$Q$1,0)),元データ_14項目!$A$2:$A$1300,$A303,元データ_14項目!$B$2:$B$1300,"本年",元データ_14項目!$C$2:$C$1300,K$5)</f>
        <v>273</v>
      </c>
      <c r="L303" s="26">
        <f>SUMIFS(INDEX(元データ_14項目!$D$2:$Q$1300,0,MATCH($B303,元データ_14項目!$D$1:$Q$1,0)),元データ_14項目!$A$2:$A$1300,$A303,元データ_14項目!$B$2:$B$1300,"本年",元データ_14項目!$C$2:$C$1300,L$5)</f>
        <v>216</v>
      </c>
      <c r="M303" s="26">
        <f>SUMIFS(INDEX(元データ_14項目!$D$2:$Q$1300,0,MATCH($B303,元データ_14項目!$D$1:$Q$1,0)),元データ_14項目!$A$2:$A$1300,$A303,元データ_14項目!$B$2:$B$1300,"本年",元データ_14項目!$C$2:$C$1300,M$5)</f>
        <v>156</v>
      </c>
      <c r="N303" s="26">
        <f>SUMIFS(INDEX(元データ_14項目!$D$2:$Q$1300,0,MATCH($B303,元データ_14項目!$D$1:$Q$1,0)),元データ_14項目!$A$2:$A$1300,$A303,元データ_14項目!$B$2:$B$1300,"本年",元データ_14項目!$C$2:$C$1300,N$5)</f>
        <v>96</v>
      </c>
      <c r="O303" s="26">
        <f t="shared" si="8"/>
        <v>1787</v>
      </c>
      <c r="P303" s="26">
        <f>SUMIFS(INDEX(元データ_14項目!$D$2:$Q$1300,0,MATCH($B303,元データ_14項目!$D$1:$Q$1,0)),元データ_14項目!$A$2:$A$1300,$A303,元データ_14項目!$B$2:$B$1300,"前年")</f>
        <v>1932</v>
      </c>
      <c r="Q303" s="7">
        <f t="shared" si="9"/>
        <v>0.92494824016563149</v>
      </c>
    </row>
    <row r="304" spans="1:17" x14ac:dyDescent="0.45">
      <c r="A304" t="s">
        <v>56</v>
      </c>
      <c r="B304" t="s">
        <v>91</v>
      </c>
      <c r="C304" s="26">
        <f>SUMIFS(INDEX(元データ_14項目!$D$2:$Q$1300,0,MATCH($B304,元データ_14項目!$D$1:$Q$1,0)),元データ_14項目!$A$2:$A$1300,$A304,元データ_14項目!$B$2:$B$1300,"本年",元データ_14項目!$C$2:$C$1300,C$5)</f>
        <v>28</v>
      </c>
      <c r="D304" s="26">
        <f>SUMIFS(INDEX(元データ_14項目!$D$2:$Q$1300,0,MATCH($B304,元データ_14項目!$D$1:$Q$1,0)),元データ_14項目!$A$2:$A$1300,$A304,元データ_14項目!$B$2:$B$1300,"本年",元データ_14項目!$C$2:$C$1300,D$5)</f>
        <v>40</v>
      </c>
      <c r="E304" s="26">
        <f>SUMIFS(INDEX(元データ_14項目!$D$2:$Q$1300,0,MATCH($B304,元データ_14項目!$D$1:$Q$1,0)),元データ_14項目!$A$2:$A$1300,$A304,元データ_14項目!$B$2:$B$1300,"本年",元データ_14項目!$C$2:$C$1300,E$5)</f>
        <v>107</v>
      </c>
      <c r="F304" s="26">
        <f>SUMIFS(INDEX(元データ_14項目!$D$2:$Q$1300,0,MATCH($B304,元データ_14項目!$D$1:$Q$1,0)),元データ_14項目!$A$2:$A$1300,$A304,元データ_14項目!$B$2:$B$1300,"本年",元データ_14項目!$C$2:$C$1300,F$5)</f>
        <v>107</v>
      </c>
      <c r="G304" s="26">
        <f>SUMIFS(INDEX(元データ_14項目!$D$2:$Q$1300,0,MATCH($B304,元データ_14項目!$D$1:$Q$1,0)),元データ_14項目!$A$2:$A$1300,$A304,元データ_14項目!$B$2:$B$1300,"本年",元データ_14項目!$C$2:$C$1300,G$5)</f>
        <v>54</v>
      </c>
      <c r="H304" s="26">
        <f>SUMIFS(INDEX(元データ_14項目!$D$2:$Q$1300,0,MATCH($B304,元データ_14項目!$D$1:$Q$1,0)),元データ_14項目!$A$2:$A$1300,$A304,元データ_14項目!$B$2:$B$1300,"本年",元データ_14項目!$C$2:$C$1300,H$5)</f>
        <v>14</v>
      </c>
      <c r="I304" s="26">
        <f>SUMIFS(INDEX(元データ_14項目!$D$2:$Q$1300,0,MATCH($B304,元データ_14項目!$D$1:$Q$1,0)),元データ_14項目!$A$2:$A$1300,$A304,元データ_14項目!$B$2:$B$1300,"本年",元データ_14項目!$C$2:$C$1300,I$5)</f>
        <v>50</v>
      </c>
      <c r="J304" s="26">
        <f>SUMIFS(INDEX(元データ_14項目!$D$2:$Q$1300,0,MATCH($B304,元データ_14項目!$D$1:$Q$1,0)),元データ_14項目!$A$2:$A$1300,$A304,元データ_14項目!$B$2:$B$1300,"本年",元データ_14項目!$C$2:$C$1300,J$5)</f>
        <v>22</v>
      </c>
      <c r="K304" s="26">
        <f>SUMIFS(INDEX(元データ_14項目!$D$2:$Q$1300,0,MATCH($B304,元データ_14項目!$D$1:$Q$1,0)),元データ_14項目!$A$2:$A$1300,$A304,元データ_14項目!$B$2:$B$1300,"本年",元データ_14項目!$C$2:$C$1300,K$5)</f>
        <v>50</v>
      </c>
      <c r="L304" s="26">
        <f>SUMIFS(INDEX(元データ_14項目!$D$2:$Q$1300,0,MATCH($B304,元データ_14項目!$D$1:$Q$1,0)),元データ_14項目!$A$2:$A$1300,$A304,元データ_14項目!$B$2:$B$1300,"本年",元データ_14項目!$C$2:$C$1300,L$5)</f>
        <v>62</v>
      </c>
      <c r="M304" s="26">
        <f>SUMIFS(INDEX(元データ_14項目!$D$2:$Q$1300,0,MATCH($B304,元データ_14項目!$D$1:$Q$1,0)),元データ_14項目!$A$2:$A$1300,$A304,元データ_14項目!$B$2:$B$1300,"本年",元データ_14項目!$C$2:$C$1300,M$5)</f>
        <v>64</v>
      </c>
      <c r="N304" s="26">
        <f>SUMIFS(INDEX(元データ_14項目!$D$2:$Q$1300,0,MATCH($B304,元データ_14項目!$D$1:$Q$1,0)),元データ_14項目!$A$2:$A$1300,$A304,元データ_14項目!$B$2:$B$1300,"本年",元データ_14項目!$C$2:$C$1300,N$5)</f>
        <v>52</v>
      </c>
      <c r="O304" s="26">
        <f t="shared" si="8"/>
        <v>650</v>
      </c>
      <c r="P304" s="26">
        <f>SUMIFS(INDEX(元データ_14項目!$D$2:$Q$1300,0,MATCH($B304,元データ_14項目!$D$1:$Q$1,0)),元データ_14項目!$A$2:$A$1300,$A304,元データ_14項目!$B$2:$B$1300,"前年")</f>
        <v>499</v>
      </c>
      <c r="Q304" s="7">
        <f t="shared" si="9"/>
        <v>1.3026052104208417</v>
      </c>
    </row>
    <row r="305" spans="1:17" x14ac:dyDescent="0.45">
      <c r="A305" t="s">
        <v>56</v>
      </c>
      <c r="B305" t="s">
        <v>28</v>
      </c>
      <c r="C305" s="26">
        <f>SUMIFS(INDEX(元データ_14項目!$D$2:$Q$1300,0,MATCH($B305,元データ_14項目!$D$1:$Q$1,0)),元データ_14項目!$A$2:$A$1300,$A305,元データ_14項目!$B$2:$B$1300,"本年",元データ_14項目!$C$2:$C$1300,C$5)</f>
        <v>276</v>
      </c>
      <c r="D305" s="26">
        <f>SUMIFS(INDEX(元データ_14項目!$D$2:$Q$1300,0,MATCH($B305,元データ_14項目!$D$1:$Q$1,0)),元データ_14項目!$A$2:$A$1300,$A305,元データ_14項目!$B$2:$B$1300,"本年",元データ_14項目!$C$2:$C$1300,D$5)</f>
        <v>285</v>
      </c>
      <c r="E305" s="26">
        <f>SUMIFS(INDEX(元データ_14項目!$D$2:$Q$1300,0,MATCH($B305,元データ_14項目!$D$1:$Q$1,0)),元データ_14項目!$A$2:$A$1300,$A305,元データ_14項目!$B$2:$B$1300,"本年",元データ_14項目!$C$2:$C$1300,E$5)</f>
        <v>412</v>
      </c>
      <c r="F305" s="26">
        <f>SUMIFS(INDEX(元データ_14項目!$D$2:$Q$1300,0,MATCH($B305,元データ_14項目!$D$1:$Q$1,0)),元データ_14項目!$A$2:$A$1300,$A305,元データ_14項目!$B$2:$B$1300,"本年",元データ_14項目!$C$2:$C$1300,F$5)</f>
        <v>309</v>
      </c>
      <c r="G305" s="26">
        <f>SUMIFS(INDEX(元データ_14項目!$D$2:$Q$1300,0,MATCH($B305,元データ_14項目!$D$1:$Q$1,0)),元データ_14項目!$A$2:$A$1300,$A305,元データ_14項目!$B$2:$B$1300,"本年",元データ_14項目!$C$2:$C$1300,G$5)</f>
        <v>253</v>
      </c>
      <c r="H305" s="26">
        <f>SUMIFS(INDEX(元データ_14項目!$D$2:$Q$1300,0,MATCH($B305,元データ_14項目!$D$1:$Q$1,0)),元データ_14項目!$A$2:$A$1300,$A305,元データ_14項目!$B$2:$B$1300,"本年",元データ_14項目!$C$2:$C$1300,H$5)</f>
        <v>130</v>
      </c>
      <c r="I305" s="26">
        <f>SUMIFS(INDEX(元データ_14項目!$D$2:$Q$1300,0,MATCH($B305,元データ_14項目!$D$1:$Q$1,0)),元データ_14項目!$A$2:$A$1300,$A305,元データ_14項目!$B$2:$B$1300,"本年",元データ_14項目!$C$2:$C$1300,I$5)</f>
        <v>166</v>
      </c>
      <c r="J305" s="26">
        <f>SUMIFS(INDEX(元データ_14項目!$D$2:$Q$1300,0,MATCH($B305,元データ_14項目!$D$1:$Q$1,0)),元データ_14項目!$A$2:$A$1300,$A305,元データ_14項目!$B$2:$B$1300,"本年",元データ_14項目!$C$2:$C$1300,J$5)</f>
        <v>177</v>
      </c>
      <c r="K305" s="26">
        <f>SUMIFS(INDEX(元データ_14項目!$D$2:$Q$1300,0,MATCH($B305,元データ_14項目!$D$1:$Q$1,0)),元データ_14項目!$A$2:$A$1300,$A305,元データ_14項目!$B$2:$B$1300,"本年",元データ_14項目!$C$2:$C$1300,K$5)</f>
        <v>285</v>
      </c>
      <c r="L305" s="26">
        <f>SUMIFS(INDEX(元データ_14項目!$D$2:$Q$1300,0,MATCH($B305,元データ_14項目!$D$1:$Q$1,0)),元データ_14項目!$A$2:$A$1300,$A305,元データ_14項目!$B$2:$B$1300,"本年",元データ_14項目!$C$2:$C$1300,L$5)</f>
        <v>241</v>
      </c>
      <c r="M305" s="26">
        <f>SUMIFS(INDEX(元データ_14項目!$D$2:$Q$1300,0,MATCH($B305,元データ_14項目!$D$1:$Q$1,0)),元データ_14項目!$A$2:$A$1300,$A305,元データ_14項目!$B$2:$B$1300,"本年",元データ_14項目!$C$2:$C$1300,M$5)</f>
        <v>325</v>
      </c>
      <c r="N305" s="26">
        <f>SUMIFS(INDEX(元データ_14項目!$D$2:$Q$1300,0,MATCH($B305,元データ_14項目!$D$1:$Q$1,0)),元データ_14項目!$A$2:$A$1300,$A305,元データ_14項目!$B$2:$B$1300,"本年",元データ_14項目!$C$2:$C$1300,N$5)</f>
        <v>356</v>
      </c>
      <c r="O305" s="26">
        <f t="shared" si="8"/>
        <v>3215</v>
      </c>
      <c r="P305" s="26">
        <f>SUMIFS(INDEX(元データ_14項目!$D$2:$Q$1300,0,MATCH($B305,元データ_14項目!$D$1:$Q$1,0)),元データ_14項目!$A$2:$A$1300,$A305,元データ_14項目!$B$2:$B$1300,"前年")</f>
        <v>3243</v>
      </c>
      <c r="Q305" s="7">
        <f t="shared" si="9"/>
        <v>0.99136601911810052</v>
      </c>
    </row>
    <row r="306" spans="1:17" x14ac:dyDescent="0.45">
      <c r="A306" t="s">
        <v>56</v>
      </c>
      <c r="B306" t="s">
        <v>92</v>
      </c>
      <c r="C306" s="26">
        <f>SUMIFS(INDEX(元データ_14項目!$D$2:$Q$1300,0,MATCH($B306,元データ_14項目!$D$1:$Q$1,0)),元データ_14項目!$A$2:$A$1300,$A306,元データ_14項目!$B$2:$B$1300,"本年",元データ_14項目!$C$2:$C$1300,C$5)</f>
        <v>21</v>
      </c>
      <c r="D306" s="26">
        <f>SUMIFS(INDEX(元データ_14項目!$D$2:$Q$1300,0,MATCH($B306,元データ_14項目!$D$1:$Q$1,0)),元データ_14項目!$A$2:$A$1300,$A306,元データ_14項目!$B$2:$B$1300,"本年",元データ_14項目!$C$2:$C$1300,D$5)</f>
        <v>52</v>
      </c>
      <c r="E306" s="26">
        <f>SUMIFS(INDEX(元データ_14項目!$D$2:$Q$1300,0,MATCH($B306,元データ_14項目!$D$1:$Q$1,0)),元データ_14項目!$A$2:$A$1300,$A306,元データ_14項目!$B$2:$B$1300,"本年",元データ_14項目!$C$2:$C$1300,E$5)</f>
        <v>67</v>
      </c>
      <c r="F306" s="26">
        <f>SUMIFS(INDEX(元データ_14項目!$D$2:$Q$1300,0,MATCH($B306,元データ_14項目!$D$1:$Q$1,0)),元データ_14項目!$A$2:$A$1300,$A306,元データ_14項目!$B$2:$B$1300,"本年",元データ_14項目!$C$2:$C$1300,F$5)</f>
        <v>45</v>
      </c>
      <c r="G306" s="26">
        <f>SUMIFS(INDEX(元データ_14項目!$D$2:$Q$1300,0,MATCH($B306,元データ_14項目!$D$1:$Q$1,0)),元データ_14項目!$A$2:$A$1300,$A306,元データ_14項目!$B$2:$B$1300,"本年",元データ_14項目!$C$2:$C$1300,G$5)</f>
        <v>36</v>
      </c>
      <c r="H306" s="26">
        <f>SUMIFS(INDEX(元データ_14項目!$D$2:$Q$1300,0,MATCH($B306,元データ_14項目!$D$1:$Q$1,0)),元データ_14項目!$A$2:$A$1300,$A306,元データ_14項目!$B$2:$B$1300,"本年",元データ_14項目!$C$2:$C$1300,H$5)</f>
        <v>28</v>
      </c>
      <c r="I306" s="26">
        <f>SUMIFS(INDEX(元データ_14項目!$D$2:$Q$1300,0,MATCH($B306,元データ_14項目!$D$1:$Q$1,0)),元データ_14項目!$A$2:$A$1300,$A306,元データ_14項目!$B$2:$B$1300,"本年",元データ_14項目!$C$2:$C$1300,I$5)</f>
        <v>11</v>
      </c>
      <c r="J306" s="26">
        <f>SUMIFS(INDEX(元データ_14項目!$D$2:$Q$1300,0,MATCH($B306,元データ_14項目!$D$1:$Q$1,0)),元データ_14項目!$A$2:$A$1300,$A306,元データ_14項目!$B$2:$B$1300,"本年",元データ_14項目!$C$2:$C$1300,J$5)</f>
        <v>24</v>
      </c>
      <c r="K306" s="26">
        <f>SUMIFS(INDEX(元データ_14項目!$D$2:$Q$1300,0,MATCH($B306,元データ_14項目!$D$1:$Q$1,0)),元データ_14項目!$A$2:$A$1300,$A306,元データ_14項目!$B$2:$B$1300,"本年",元データ_14項目!$C$2:$C$1300,K$5)</f>
        <v>68</v>
      </c>
      <c r="L306" s="26">
        <f>SUMIFS(INDEX(元データ_14項目!$D$2:$Q$1300,0,MATCH($B306,元データ_14項目!$D$1:$Q$1,0)),元データ_14項目!$A$2:$A$1300,$A306,元データ_14項目!$B$2:$B$1300,"本年",元データ_14項目!$C$2:$C$1300,L$5)</f>
        <v>41</v>
      </c>
      <c r="M306" s="26">
        <f>SUMIFS(INDEX(元データ_14項目!$D$2:$Q$1300,0,MATCH($B306,元データ_14項目!$D$1:$Q$1,0)),元データ_14項目!$A$2:$A$1300,$A306,元データ_14項目!$B$2:$B$1300,"本年",元データ_14項目!$C$2:$C$1300,M$5)</f>
        <v>62</v>
      </c>
      <c r="N306" s="26">
        <f>SUMIFS(INDEX(元データ_14項目!$D$2:$Q$1300,0,MATCH($B306,元データ_14項目!$D$1:$Q$1,0)),元データ_14項目!$A$2:$A$1300,$A306,元データ_14項目!$B$2:$B$1300,"本年",元データ_14項目!$C$2:$C$1300,N$5)</f>
        <v>25</v>
      </c>
      <c r="O306" s="26">
        <f t="shared" si="8"/>
        <v>480</v>
      </c>
      <c r="P306" s="26">
        <f>SUMIFS(INDEX(元データ_14項目!$D$2:$Q$1300,0,MATCH($B306,元データ_14項目!$D$1:$Q$1,0)),元データ_14項目!$A$2:$A$1300,$A306,元データ_14項目!$B$2:$B$1300,"前年")</f>
        <v>458</v>
      </c>
      <c r="Q306" s="7">
        <f t="shared" si="9"/>
        <v>1.0480349344978166</v>
      </c>
    </row>
    <row r="307" spans="1:17" x14ac:dyDescent="0.45">
      <c r="A307" t="s">
        <v>56</v>
      </c>
      <c r="B307" t="s">
        <v>93</v>
      </c>
      <c r="C307" s="26">
        <f>SUMIFS(INDEX(元データ_14項目!$D$2:$Q$1300,0,MATCH($B307,元データ_14項目!$D$1:$Q$1,0)),元データ_14項目!$A$2:$A$1300,$A307,元データ_14項目!$B$2:$B$1300,"本年",元データ_14項目!$C$2:$C$1300,C$5)</f>
        <v>23</v>
      </c>
      <c r="D307" s="26">
        <f>SUMIFS(INDEX(元データ_14項目!$D$2:$Q$1300,0,MATCH($B307,元データ_14項目!$D$1:$Q$1,0)),元データ_14項目!$A$2:$A$1300,$A307,元データ_14項目!$B$2:$B$1300,"本年",元データ_14項目!$C$2:$C$1300,D$5)</f>
        <v>15</v>
      </c>
      <c r="E307" s="26">
        <f>SUMIFS(INDEX(元データ_14項目!$D$2:$Q$1300,0,MATCH($B307,元データ_14項目!$D$1:$Q$1,0)),元データ_14項目!$A$2:$A$1300,$A307,元データ_14項目!$B$2:$B$1300,"本年",元データ_14項目!$C$2:$C$1300,E$5)</f>
        <v>50</v>
      </c>
      <c r="F307" s="26">
        <f>SUMIFS(INDEX(元データ_14項目!$D$2:$Q$1300,0,MATCH($B307,元データ_14項目!$D$1:$Q$1,0)),元データ_14項目!$A$2:$A$1300,$A307,元データ_14項目!$B$2:$B$1300,"本年",元データ_14項目!$C$2:$C$1300,F$5)</f>
        <v>82</v>
      </c>
      <c r="G307" s="26">
        <f>SUMIFS(INDEX(元データ_14項目!$D$2:$Q$1300,0,MATCH($B307,元データ_14項目!$D$1:$Q$1,0)),元データ_14項目!$A$2:$A$1300,$A307,元データ_14項目!$B$2:$B$1300,"本年",元データ_14項目!$C$2:$C$1300,G$5)</f>
        <v>111</v>
      </c>
      <c r="H307" s="26">
        <f>SUMIFS(INDEX(元データ_14項目!$D$2:$Q$1300,0,MATCH($B307,元データ_14項目!$D$1:$Q$1,0)),元データ_14項目!$A$2:$A$1300,$A307,元データ_14項目!$B$2:$B$1300,"本年",元データ_14項目!$C$2:$C$1300,H$5)</f>
        <v>98</v>
      </c>
      <c r="I307" s="26">
        <f>SUMIFS(INDEX(元データ_14項目!$D$2:$Q$1300,0,MATCH($B307,元データ_14項目!$D$1:$Q$1,0)),元データ_14項目!$A$2:$A$1300,$A307,元データ_14項目!$B$2:$B$1300,"本年",元データ_14項目!$C$2:$C$1300,I$5)</f>
        <v>71</v>
      </c>
      <c r="J307" s="26">
        <f>SUMIFS(INDEX(元データ_14項目!$D$2:$Q$1300,0,MATCH($B307,元データ_14項目!$D$1:$Q$1,0)),元データ_14項目!$A$2:$A$1300,$A307,元データ_14項目!$B$2:$B$1300,"本年",元データ_14項目!$C$2:$C$1300,J$5)</f>
        <v>134</v>
      </c>
      <c r="K307" s="26">
        <f>SUMIFS(INDEX(元データ_14項目!$D$2:$Q$1300,0,MATCH($B307,元データ_14項目!$D$1:$Q$1,0)),元データ_14項目!$A$2:$A$1300,$A307,元データ_14項目!$B$2:$B$1300,"本年",元データ_14項目!$C$2:$C$1300,K$5)</f>
        <v>499</v>
      </c>
      <c r="L307" s="26">
        <f>SUMIFS(INDEX(元データ_14項目!$D$2:$Q$1300,0,MATCH($B307,元データ_14項目!$D$1:$Q$1,0)),元データ_14項目!$A$2:$A$1300,$A307,元データ_14項目!$B$2:$B$1300,"本年",元データ_14項目!$C$2:$C$1300,L$5)</f>
        <v>245</v>
      </c>
      <c r="M307" s="26">
        <f>SUMIFS(INDEX(元データ_14項目!$D$2:$Q$1300,0,MATCH($B307,元データ_14項目!$D$1:$Q$1,0)),元データ_14項目!$A$2:$A$1300,$A307,元データ_14項目!$B$2:$B$1300,"本年",元データ_14項目!$C$2:$C$1300,M$5)</f>
        <v>191</v>
      </c>
      <c r="N307" s="26">
        <f>SUMIFS(INDEX(元データ_14項目!$D$2:$Q$1300,0,MATCH($B307,元データ_14項目!$D$1:$Q$1,0)),元データ_14項目!$A$2:$A$1300,$A307,元データ_14項目!$B$2:$B$1300,"本年",元データ_14項目!$C$2:$C$1300,N$5)</f>
        <v>62</v>
      </c>
      <c r="O307" s="26">
        <f t="shared" si="8"/>
        <v>1581</v>
      </c>
      <c r="P307" s="26">
        <f>SUMIFS(INDEX(元データ_14項目!$D$2:$Q$1300,0,MATCH($B307,元データ_14項目!$D$1:$Q$1,0)),元データ_14項目!$A$2:$A$1300,$A307,元データ_14項目!$B$2:$B$1300,"前年")</f>
        <v>1762</v>
      </c>
      <c r="Q307" s="7">
        <f t="shared" si="9"/>
        <v>0.8972758229284904</v>
      </c>
    </row>
    <row r="308" spans="1:17" x14ac:dyDescent="0.45">
      <c r="A308" t="s">
        <v>56</v>
      </c>
      <c r="B308" t="s">
        <v>94</v>
      </c>
      <c r="C308" s="26">
        <f>SUMIFS(INDEX(元データ_14項目!$D$2:$Q$1300,0,MATCH($B308,元データ_14項目!$D$1:$Q$1,0)),元データ_14項目!$A$2:$A$1300,$A308,元データ_14項目!$B$2:$B$1300,"本年",元データ_14項目!$C$2:$C$1300,C$5)</f>
        <v>17</v>
      </c>
      <c r="D308" s="26">
        <f>SUMIFS(INDEX(元データ_14項目!$D$2:$Q$1300,0,MATCH($B308,元データ_14項目!$D$1:$Q$1,0)),元データ_14項目!$A$2:$A$1300,$A308,元データ_14項目!$B$2:$B$1300,"本年",元データ_14項目!$C$2:$C$1300,D$5)</f>
        <v>14</v>
      </c>
      <c r="E308" s="26">
        <f>SUMIFS(INDEX(元データ_14項目!$D$2:$Q$1300,0,MATCH($B308,元データ_14項目!$D$1:$Q$1,0)),元データ_14項目!$A$2:$A$1300,$A308,元データ_14項目!$B$2:$B$1300,"本年",元データ_14項目!$C$2:$C$1300,E$5)</f>
        <v>56</v>
      </c>
      <c r="F308" s="26">
        <f>SUMIFS(INDEX(元データ_14項目!$D$2:$Q$1300,0,MATCH($B308,元データ_14項目!$D$1:$Q$1,0)),元データ_14項目!$A$2:$A$1300,$A308,元データ_14項目!$B$2:$B$1300,"本年",元データ_14項目!$C$2:$C$1300,F$5)</f>
        <v>43</v>
      </c>
      <c r="G308" s="26">
        <f>SUMIFS(INDEX(元データ_14項目!$D$2:$Q$1300,0,MATCH($B308,元データ_14項目!$D$1:$Q$1,0)),元データ_14項目!$A$2:$A$1300,$A308,元データ_14項目!$B$2:$B$1300,"本年",元データ_14項目!$C$2:$C$1300,G$5)</f>
        <v>50</v>
      </c>
      <c r="H308" s="26">
        <f>SUMIFS(INDEX(元データ_14項目!$D$2:$Q$1300,0,MATCH($B308,元データ_14項目!$D$1:$Q$1,0)),元データ_14項目!$A$2:$A$1300,$A308,元データ_14項目!$B$2:$B$1300,"本年",元データ_14項目!$C$2:$C$1300,H$5)</f>
        <v>19</v>
      </c>
      <c r="I308" s="26">
        <f>SUMIFS(INDEX(元データ_14項目!$D$2:$Q$1300,0,MATCH($B308,元データ_14項目!$D$1:$Q$1,0)),元データ_14項目!$A$2:$A$1300,$A308,元データ_14項目!$B$2:$B$1300,"本年",元データ_14項目!$C$2:$C$1300,I$5)</f>
        <v>21</v>
      </c>
      <c r="J308" s="26">
        <f>SUMIFS(INDEX(元データ_14項目!$D$2:$Q$1300,0,MATCH($B308,元データ_14項目!$D$1:$Q$1,0)),元データ_14項目!$A$2:$A$1300,$A308,元データ_14項目!$B$2:$B$1300,"本年",元データ_14項目!$C$2:$C$1300,J$5)</f>
        <v>27</v>
      </c>
      <c r="K308" s="26">
        <f>SUMIFS(INDEX(元データ_14項目!$D$2:$Q$1300,0,MATCH($B308,元データ_14項目!$D$1:$Q$1,0)),元データ_14項目!$A$2:$A$1300,$A308,元データ_14項目!$B$2:$B$1300,"本年",元データ_14項目!$C$2:$C$1300,K$5)</f>
        <v>171</v>
      </c>
      <c r="L308" s="26">
        <f>SUMIFS(INDEX(元データ_14項目!$D$2:$Q$1300,0,MATCH($B308,元データ_14項目!$D$1:$Q$1,0)),元データ_14項目!$A$2:$A$1300,$A308,元データ_14項目!$B$2:$B$1300,"本年",元データ_14項目!$C$2:$C$1300,L$5)</f>
        <v>127</v>
      </c>
      <c r="M308" s="26">
        <f>SUMIFS(INDEX(元データ_14項目!$D$2:$Q$1300,0,MATCH($B308,元データ_14項目!$D$1:$Q$1,0)),元データ_14項目!$A$2:$A$1300,$A308,元データ_14項目!$B$2:$B$1300,"本年",元データ_14項目!$C$2:$C$1300,M$5)</f>
        <v>96</v>
      </c>
      <c r="N308" s="26">
        <f>SUMIFS(INDEX(元データ_14項目!$D$2:$Q$1300,0,MATCH($B308,元データ_14項目!$D$1:$Q$1,0)),元データ_14項目!$A$2:$A$1300,$A308,元データ_14項目!$B$2:$B$1300,"本年",元データ_14項目!$C$2:$C$1300,N$5)</f>
        <v>40</v>
      </c>
      <c r="O308" s="26">
        <f t="shared" si="8"/>
        <v>681</v>
      </c>
      <c r="P308" s="26">
        <f>SUMIFS(INDEX(元データ_14項目!$D$2:$Q$1300,0,MATCH($B308,元データ_14項目!$D$1:$Q$1,0)),元データ_14項目!$A$2:$A$1300,$A308,元データ_14項目!$B$2:$B$1300,"前年")</f>
        <v>758</v>
      </c>
      <c r="Q308" s="7">
        <f t="shared" si="9"/>
        <v>0.89841688654353558</v>
      </c>
    </row>
    <row r="309" spans="1:17" x14ac:dyDescent="0.45">
      <c r="A309" t="s">
        <v>56</v>
      </c>
      <c r="B309" t="s">
        <v>95</v>
      </c>
      <c r="C309" s="26">
        <f>SUMIFS(INDEX(元データ_14項目!$D$2:$Q$1300,0,MATCH($B309,元データ_14項目!$D$1:$Q$1,0)),元データ_14項目!$A$2:$A$1300,$A309,元データ_14項目!$B$2:$B$1300,"本年",元データ_14項目!$C$2:$C$1300,C$5)</f>
        <v>33</v>
      </c>
      <c r="D309" s="26">
        <f>SUMIFS(INDEX(元データ_14項目!$D$2:$Q$1300,0,MATCH($B309,元データ_14項目!$D$1:$Q$1,0)),元データ_14項目!$A$2:$A$1300,$A309,元データ_14項目!$B$2:$B$1300,"本年",元データ_14項目!$C$2:$C$1300,D$5)</f>
        <v>45</v>
      </c>
      <c r="E309" s="26">
        <f>SUMIFS(INDEX(元データ_14項目!$D$2:$Q$1300,0,MATCH($B309,元データ_14項目!$D$1:$Q$1,0)),元データ_14項目!$A$2:$A$1300,$A309,元データ_14項目!$B$2:$B$1300,"本年",元データ_14項目!$C$2:$C$1300,E$5)</f>
        <v>58</v>
      </c>
      <c r="F309" s="26">
        <f>SUMIFS(INDEX(元データ_14項目!$D$2:$Q$1300,0,MATCH($B309,元データ_14項目!$D$1:$Q$1,0)),元データ_14項目!$A$2:$A$1300,$A309,元データ_14項目!$B$2:$B$1300,"本年",元データ_14項目!$C$2:$C$1300,F$5)</f>
        <v>63</v>
      </c>
      <c r="G309" s="26">
        <f>SUMIFS(INDEX(元データ_14項目!$D$2:$Q$1300,0,MATCH($B309,元データ_14項目!$D$1:$Q$1,0)),元データ_14項目!$A$2:$A$1300,$A309,元データ_14項目!$B$2:$B$1300,"本年",元データ_14項目!$C$2:$C$1300,G$5)</f>
        <v>28</v>
      </c>
      <c r="H309" s="26">
        <f>SUMIFS(INDEX(元データ_14項目!$D$2:$Q$1300,0,MATCH($B309,元データ_14項目!$D$1:$Q$1,0)),元データ_14項目!$A$2:$A$1300,$A309,元データ_14項目!$B$2:$B$1300,"本年",元データ_14項目!$C$2:$C$1300,H$5)</f>
        <v>23</v>
      </c>
      <c r="I309" s="26">
        <f>SUMIFS(INDEX(元データ_14項目!$D$2:$Q$1300,0,MATCH($B309,元データ_14項目!$D$1:$Q$1,0)),元データ_14項目!$A$2:$A$1300,$A309,元データ_14項目!$B$2:$B$1300,"本年",元データ_14項目!$C$2:$C$1300,I$5)</f>
        <v>24</v>
      </c>
      <c r="J309" s="26">
        <f>SUMIFS(INDEX(元データ_14項目!$D$2:$Q$1300,0,MATCH($B309,元データ_14項目!$D$1:$Q$1,0)),元データ_14項目!$A$2:$A$1300,$A309,元データ_14項目!$B$2:$B$1300,"本年",元データ_14項目!$C$2:$C$1300,J$5)</f>
        <v>22</v>
      </c>
      <c r="K309" s="26">
        <f>SUMIFS(INDEX(元データ_14項目!$D$2:$Q$1300,0,MATCH($B309,元データ_14項目!$D$1:$Q$1,0)),元データ_14項目!$A$2:$A$1300,$A309,元データ_14項目!$B$2:$B$1300,"本年",元データ_14項目!$C$2:$C$1300,K$5)</f>
        <v>71</v>
      </c>
      <c r="L309" s="26">
        <f>SUMIFS(INDEX(元データ_14項目!$D$2:$Q$1300,0,MATCH($B309,元データ_14項目!$D$1:$Q$1,0)),元データ_14項目!$A$2:$A$1300,$A309,元データ_14項目!$B$2:$B$1300,"本年",元データ_14項目!$C$2:$C$1300,L$5)</f>
        <v>44</v>
      </c>
      <c r="M309" s="26">
        <f>SUMIFS(INDEX(元データ_14項目!$D$2:$Q$1300,0,MATCH($B309,元データ_14項目!$D$1:$Q$1,0)),元データ_14項目!$A$2:$A$1300,$A309,元データ_14項目!$B$2:$B$1300,"本年",元データ_14項目!$C$2:$C$1300,M$5)</f>
        <v>53</v>
      </c>
      <c r="N309" s="26">
        <f>SUMIFS(INDEX(元データ_14項目!$D$2:$Q$1300,0,MATCH($B309,元データ_14項目!$D$1:$Q$1,0)),元データ_14項目!$A$2:$A$1300,$A309,元データ_14項目!$B$2:$B$1300,"本年",元データ_14項目!$C$2:$C$1300,N$5)</f>
        <v>42</v>
      </c>
      <c r="O309" s="26">
        <f t="shared" si="8"/>
        <v>506</v>
      </c>
      <c r="P309" s="26">
        <f>SUMIFS(INDEX(元データ_14項目!$D$2:$Q$1300,0,MATCH($B309,元データ_14項目!$D$1:$Q$1,0)),元データ_14項目!$A$2:$A$1300,$A309,元データ_14項目!$B$2:$B$1300,"前年")</f>
        <v>557</v>
      </c>
      <c r="Q309" s="7">
        <f t="shared" si="9"/>
        <v>0.90843806104129265</v>
      </c>
    </row>
    <row r="310" spans="1:17" x14ac:dyDescent="0.45">
      <c r="A310" t="s">
        <v>56</v>
      </c>
      <c r="B310" t="s">
        <v>96</v>
      </c>
      <c r="C310" s="26">
        <f>SUMIFS(INDEX(元データ_14項目!$D$2:$Q$1300,0,MATCH($B310,元データ_14項目!$D$1:$Q$1,0)),元データ_14項目!$A$2:$A$1300,$A310,元データ_14項目!$B$2:$B$1300,"本年",元データ_14項目!$C$2:$C$1300,C$5)</f>
        <v>32</v>
      </c>
      <c r="D310" s="26">
        <f>SUMIFS(INDEX(元データ_14項目!$D$2:$Q$1300,0,MATCH($B310,元データ_14項目!$D$1:$Q$1,0)),元データ_14項目!$A$2:$A$1300,$A310,元データ_14項目!$B$2:$B$1300,"本年",元データ_14項目!$C$2:$C$1300,D$5)</f>
        <v>16</v>
      </c>
      <c r="E310" s="26">
        <f>SUMIFS(INDEX(元データ_14項目!$D$2:$Q$1300,0,MATCH($B310,元データ_14項目!$D$1:$Q$1,0)),元データ_14項目!$A$2:$A$1300,$A310,元データ_14項目!$B$2:$B$1300,"本年",元データ_14項目!$C$2:$C$1300,E$5)</f>
        <v>59</v>
      </c>
      <c r="F310" s="26">
        <f>SUMIFS(INDEX(元データ_14項目!$D$2:$Q$1300,0,MATCH($B310,元データ_14項目!$D$1:$Q$1,0)),元データ_14項目!$A$2:$A$1300,$A310,元データ_14項目!$B$2:$B$1300,"本年",元データ_14項目!$C$2:$C$1300,F$5)</f>
        <v>50</v>
      </c>
      <c r="G310" s="26">
        <f>SUMIFS(INDEX(元データ_14項目!$D$2:$Q$1300,0,MATCH($B310,元データ_14項目!$D$1:$Q$1,0)),元データ_14項目!$A$2:$A$1300,$A310,元データ_14項目!$B$2:$B$1300,"本年",元データ_14項目!$C$2:$C$1300,G$5)</f>
        <v>66</v>
      </c>
      <c r="H310" s="26">
        <f>SUMIFS(INDEX(元データ_14項目!$D$2:$Q$1300,0,MATCH($B310,元データ_14項目!$D$1:$Q$1,0)),元データ_14項目!$A$2:$A$1300,$A310,元データ_14項目!$B$2:$B$1300,"本年",元データ_14項目!$C$2:$C$1300,H$5)</f>
        <v>52</v>
      </c>
      <c r="I310" s="26">
        <f>SUMIFS(INDEX(元データ_14項目!$D$2:$Q$1300,0,MATCH($B310,元データ_14項目!$D$1:$Q$1,0)),元データ_14項目!$A$2:$A$1300,$A310,元データ_14項目!$B$2:$B$1300,"本年",元データ_14項目!$C$2:$C$1300,I$5)</f>
        <v>47</v>
      </c>
      <c r="J310" s="26">
        <f>SUMIFS(INDEX(元データ_14項目!$D$2:$Q$1300,0,MATCH($B310,元データ_14項目!$D$1:$Q$1,0)),元データ_14項目!$A$2:$A$1300,$A310,元データ_14項目!$B$2:$B$1300,"本年",元データ_14項目!$C$2:$C$1300,J$5)</f>
        <v>160</v>
      </c>
      <c r="K310" s="26">
        <f>SUMIFS(INDEX(元データ_14項目!$D$2:$Q$1300,0,MATCH($B310,元データ_14項目!$D$1:$Q$1,0)),元データ_14項目!$A$2:$A$1300,$A310,元データ_14項目!$B$2:$B$1300,"本年",元データ_14項目!$C$2:$C$1300,K$5)</f>
        <v>539</v>
      </c>
      <c r="L310" s="26">
        <f>SUMIFS(INDEX(元データ_14項目!$D$2:$Q$1300,0,MATCH($B310,元データ_14項目!$D$1:$Q$1,0)),元データ_14項目!$A$2:$A$1300,$A310,元データ_14項目!$B$2:$B$1300,"本年",元データ_14項目!$C$2:$C$1300,L$5)</f>
        <v>228</v>
      </c>
      <c r="M310" s="26">
        <f>SUMIFS(INDEX(元データ_14項目!$D$2:$Q$1300,0,MATCH($B310,元データ_14項目!$D$1:$Q$1,0)),元データ_14項目!$A$2:$A$1300,$A310,元データ_14項目!$B$2:$B$1300,"本年",元データ_14項目!$C$2:$C$1300,M$5)</f>
        <v>148</v>
      </c>
      <c r="N310" s="26">
        <f>SUMIFS(INDEX(元データ_14項目!$D$2:$Q$1300,0,MATCH($B310,元データ_14項目!$D$1:$Q$1,0)),元データ_14項目!$A$2:$A$1300,$A310,元データ_14項目!$B$2:$B$1300,"本年",元データ_14項目!$C$2:$C$1300,N$5)</f>
        <v>62</v>
      </c>
      <c r="O310" s="26">
        <f t="shared" si="8"/>
        <v>1459</v>
      </c>
      <c r="P310" s="26">
        <f>SUMIFS(INDEX(元データ_14項目!$D$2:$Q$1300,0,MATCH($B310,元データ_14項目!$D$1:$Q$1,0)),元データ_14項目!$A$2:$A$1300,$A310,元データ_14項目!$B$2:$B$1300,"前年")</f>
        <v>1634</v>
      </c>
      <c r="Q310" s="7">
        <f t="shared" si="9"/>
        <v>0.89290085679314568</v>
      </c>
    </row>
    <row r="311" spans="1:17" x14ac:dyDescent="0.45">
      <c r="A311" t="s">
        <v>56</v>
      </c>
      <c r="B311" t="s">
        <v>97</v>
      </c>
      <c r="C311" s="26">
        <f>SUMIFS(INDEX(元データ_14項目!$D$2:$Q$1300,0,MATCH($B311,元データ_14項目!$D$1:$Q$1,0)),元データ_14項目!$A$2:$A$1300,$A311,元データ_14項目!$B$2:$B$1300,"本年",元データ_14項目!$C$2:$C$1300,C$5)</f>
        <v>15</v>
      </c>
      <c r="D311" s="26">
        <f>SUMIFS(INDEX(元データ_14項目!$D$2:$Q$1300,0,MATCH($B311,元データ_14項目!$D$1:$Q$1,0)),元データ_14項目!$A$2:$A$1300,$A311,元データ_14項目!$B$2:$B$1300,"本年",元データ_14項目!$C$2:$C$1300,D$5)</f>
        <v>21</v>
      </c>
      <c r="E311" s="26">
        <f>SUMIFS(INDEX(元データ_14項目!$D$2:$Q$1300,0,MATCH($B311,元データ_14項目!$D$1:$Q$1,0)),元データ_14項目!$A$2:$A$1300,$A311,元データ_14項目!$B$2:$B$1300,"本年",元データ_14項目!$C$2:$C$1300,E$5)</f>
        <v>45</v>
      </c>
      <c r="F311" s="26">
        <f>SUMIFS(INDEX(元データ_14項目!$D$2:$Q$1300,0,MATCH($B311,元データ_14項目!$D$1:$Q$1,0)),元データ_14項目!$A$2:$A$1300,$A311,元データ_14項目!$B$2:$B$1300,"本年",元データ_14項目!$C$2:$C$1300,F$5)</f>
        <v>52</v>
      </c>
      <c r="G311" s="26">
        <f>SUMIFS(INDEX(元データ_14項目!$D$2:$Q$1300,0,MATCH($B311,元データ_14項目!$D$1:$Q$1,0)),元データ_14項目!$A$2:$A$1300,$A311,元データ_14項目!$B$2:$B$1300,"本年",元データ_14項目!$C$2:$C$1300,G$5)</f>
        <v>59</v>
      </c>
      <c r="H311" s="26">
        <f>SUMIFS(INDEX(元データ_14項目!$D$2:$Q$1300,0,MATCH($B311,元データ_14項目!$D$1:$Q$1,0)),元データ_14項目!$A$2:$A$1300,$A311,元データ_14項目!$B$2:$B$1300,"本年",元データ_14項目!$C$2:$C$1300,H$5)</f>
        <v>48</v>
      </c>
      <c r="I311" s="26">
        <f>SUMIFS(INDEX(元データ_14項目!$D$2:$Q$1300,0,MATCH($B311,元データ_14項目!$D$1:$Q$1,0)),元データ_14項目!$A$2:$A$1300,$A311,元データ_14項目!$B$2:$B$1300,"本年",元データ_14項目!$C$2:$C$1300,I$5)</f>
        <v>31</v>
      </c>
      <c r="J311" s="26">
        <f>SUMIFS(INDEX(元データ_14項目!$D$2:$Q$1300,0,MATCH($B311,元データ_14項目!$D$1:$Q$1,0)),元データ_14項目!$A$2:$A$1300,$A311,元データ_14項目!$B$2:$B$1300,"本年",元データ_14項目!$C$2:$C$1300,J$5)</f>
        <v>111</v>
      </c>
      <c r="K311" s="26">
        <f>SUMIFS(INDEX(元データ_14項目!$D$2:$Q$1300,0,MATCH($B311,元データ_14項目!$D$1:$Q$1,0)),元データ_14項目!$A$2:$A$1300,$A311,元データ_14項目!$B$2:$B$1300,"本年",元データ_14項目!$C$2:$C$1300,K$5)</f>
        <v>210</v>
      </c>
      <c r="L311" s="26">
        <f>SUMIFS(INDEX(元データ_14項目!$D$2:$Q$1300,0,MATCH($B311,元データ_14項目!$D$1:$Q$1,0)),元データ_14項目!$A$2:$A$1300,$A311,元データ_14項目!$B$2:$B$1300,"本年",元データ_14項目!$C$2:$C$1300,L$5)</f>
        <v>154</v>
      </c>
      <c r="M311" s="26">
        <f>SUMIFS(INDEX(元データ_14項目!$D$2:$Q$1300,0,MATCH($B311,元データ_14項目!$D$1:$Q$1,0)),元データ_14項目!$A$2:$A$1300,$A311,元データ_14項目!$B$2:$B$1300,"本年",元データ_14項目!$C$2:$C$1300,M$5)</f>
        <v>109</v>
      </c>
      <c r="N311" s="26">
        <f>SUMIFS(INDEX(元データ_14項目!$D$2:$Q$1300,0,MATCH($B311,元データ_14項目!$D$1:$Q$1,0)),元データ_14項目!$A$2:$A$1300,$A311,元データ_14項目!$B$2:$B$1300,"本年",元データ_14項目!$C$2:$C$1300,N$5)</f>
        <v>48</v>
      </c>
      <c r="O311" s="26">
        <f t="shared" si="8"/>
        <v>903</v>
      </c>
      <c r="P311" s="26">
        <f>SUMIFS(INDEX(元データ_14項目!$D$2:$Q$1300,0,MATCH($B311,元データ_14項目!$D$1:$Q$1,0)),元データ_14項目!$A$2:$A$1300,$A311,元データ_14項目!$B$2:$B$1300,"前年")</f>
        <v>941</v>
      </c>
      <c r="Q311" s="7">
        <f t="shared" si="9"/>
        <v>0.95961742826780017</v>
      </c>
    </row>
    <row r="312" spans="1:17" x14ac:dyDescent="0.45">
      <c r="A312" t="s">
        <v>56</v>
      </c>
      <c r="B312" t="s">
        <v>98</v>
      </c>
      <c r="C312" s="26">
        <f>SUMIFS(INDEX(元データ_14項目!$D$2:$Q$1300,0,MATCH($B312,元データ_14項目!$D$1:$Q$1,0)),元データ_14項目!$A$2:$A$1300,$A312,元データ_14項目!$B$2:$B$1300,"本年",元データ_14項目!$C$2:$C$1300,C$5)</f>
        <v>10</v>
      </c>
      <c r="D312" s="26">
        <f>SUMIFS(INDEX(元データ_14項目!$D$2:$Q$1300,0,MATCH($B312,元データ_14項目!$D$1:$Q$1,0)),元データ_14項目!$A$2:$A$1300,$A312,元データ_14項目!$B$2:$B$1300,"本年",元データ_14項目!$C$2:$C$1300,D$5)</f>
        <v>6</v>
      </c>
      <c r="E312" s="26">
        <f>SUMIFS(INDEX(元データ_14項目!$D$2:$Q$1300,0,MATCH($B312,元データ_14項目!$D$1:$Q$1,0)),元データ_14項目!$A$2:$A$1300,$A312,元データ_14項目!$B$2:$B$1300,"本年",元データ_14項目!$C$2:$C$1300,E$5)</f>
        <v>21</v>
      </c>
      <c r="F312" s="26">
        <f>SUMIFS(INDEX(元データ_14項目!$D$2:$Q$1300,0,MATCH($B312,元データ_14項目!$D$1:$Q$1,0)),元データ_14項目!$A$2:$A$1300,$A312,元データ_14項目!$B$2:$B$1300,"本年",元データ_14項目!$C$2:$C$1300,F$5)</f>
        <v>19</v>
      </c>
      <c r="G312" s="26">
        <f>SUMIFS(INDEX(元データ_14項目!$D$2:$Q$1300,0,MATCH($B312,元データ_14項目!$D$1:$Q$1,0)),元データ_14項目!$A$2:$A$1300,$A312,元データ_14項目!$B$2:$B$1300,"本年",元データ_14項目!$C$2:$C$1300,G$5)</f>
        <v>34</v>
      </c>
      <c r="H312" s="26">
        <f>SUMIFS(INDEX(元データ_14項目!$D$2:$Q$1300,0,MATCH($B312,元データ_14項目!$D$1:$Q$1,0)),元データ_14項目!$A$2:$A$1300,$A312,元データ_14項目!$B$2:$B$1300,"本年",元データ_14項目!$C$2:$C$1300,H$5)</f>
        <v>10</v>
      </c>
      <c r="I312" s="26">
        <f>SUMIFS(INDEX(元データ_14項目!$D$2:$Q$1300,0,MATCH($B312,元データ_14項目!$D$1:$Q$1,0)),元データ_14項目!$A$2:$A$1300,$A312,元データ_14項目!$B$2:$B$1300,"本年",元データ_14項目!$C$2:$C$1300,I$5)</f>
        <v>20</v>
      </c>
      <c r="J312" s="26">
        <f>SUMIFS(INDEX(元データ_14項目!$D$2:$Q$1300,0,MATCH($B312,元データ_14項目!$D$1:$Q$1,0)),元データ_14項目!$A$2:$A$1300,$A312,元データ_14項目!$B$2:$B$1300,"本年",元データ_14項目!$C$2:$C$1300,J$5)</f>
        <v>110</v>
      </c>
      <c r="K312" s="26">
        <f>SUMIFS(INDEX(元データ_14項目!$D$2:$Q$1300,0,MATCH($B312,元データ_14項目!$D$1:$Q$1,0)),元データ_14項目!$A$2:$A$1300,$A312,元データ_14項目!$B$2:$B$1300,"本年",元データ_14項目!$C$2:$C$1300,K$5)</f>
        <v>256</v>
      </c>
      <c r="L312" s="26">
        <f>SUMIFS(INDEX(元データ_14項目!$D$2:$Q$1300,0,MATCH($B312,元データ_14項目!$D$1:$Q$1,0)),元データ_14項目!$A$2:$A$1300,$A312,元データ_14項目!$B$2:$B$1300,"本年",元データ_14項目!$C$2:$C$1300,L$5)</f>
        <v>134</v>
      </c>
      <c r="M312" s="26">
        <f>SUMIFS(INDEX(元データ_14項目!$D$2:$Q$1300,0,MATCH($B312,元データ_14項目!$D$1:$Q$1,0)),元データ_14項目!$A$2:$A$1300,$A312,元データ_14項目!$B$2:$B$1300,"本年",元データ_14項目!$C$2:$C$1300,M$5)</f>
        <v>74</v>
      </c>
      <c r="N312" s="26">
        <f>SUMIFS(INDEX(元データ_14項目!$D$2:$Q$1300,0,MATCH($B312,元データ_14項目!$D$1:$Q$1,0)),元データ_14項目!$A$2:$A$1300,$A312,元データ_14項目!$B$2:$B$1300,"本年",元データ_14項目!$C$2:$C$1300,N$5)</f>
        <v>29</v>
      </c>
      <c r="O312" s="26">
        <f t="shared" si="8"/>
        <v>723</v>
      </c>
      <c r="P312" s="26">
        <f>SUMIFS(INDEX(元データ_14項目!$D$2:$Q$1300,0,MATCH($B312,元データ_14項目!$D$1:$Q$1,0)),元データ_14項目!$A$2:$A$1300,$A312,元データ_14項目!$B$2:$B$1300,"前年")</f>
        <v>762</v>
      </c>
      <c r="Q312" s="7">
        <f t="shared" si="9"/>
        <v>0.94881889763779526</v>
      </c>
    </row>
    <row r="313" spans="1:17" x14ac:dyDescent="0.45">
      <c r="A313" t="s">
        <v>56</v>
      </c>
      <c r="B313" t="s">
        <v>99</v>
      </c>
      <c r="C313" s="26">
        <f>SUMIFS(INDEX(元データ_14項目!$D$2:$Q$1300,0,MATCH($B313,元データ_14項目!$D$1:$Q$1,0)),元データ_14項目!$A$2:$A$1300,$A313,元データ_14項目!$B$2:$B$1300,"本年",元データ_14項目!$C$2:$C$1300,C$5)</f>
        <v>0</v>
      </c>
      <c r="D313" s="26">
        <f>SUMIFS(INDEX(元データ_14項目!$D$2:$Q$1300,0,MATCH($B313,元データ_14項目!$D$1:$Q$1,0)),元データ_14項目!$A$2:$A$1300,$A313,元データ_14項目!$B$2:$B$1300,"本年",元データ_14項目!$C$2:$C$1300,D$5)</f>
        <v>0</v>
      </c>
      <c r="E313" s="26">
        <f>SUMIFS(INDEX(元データ_14項目!$D$2:$Q$1300,0,MATCH($B313,元データ_14項目!$D$1:$Q$1,0)),元データ_14項目!$A$2:$A$1300,$A313,元データ_14項目!$B$2:$B$1300,"本年",元データ_14項目!$C$2:$C$1300,E$5)</f>
        <v>5</v>
      </c>
      <c r="F313" s="26">
        <f>SUMIFS(INDEX(元データ_14項目!$D$2:$Q$1300,0,MATCH($B313,元データ_14項目!$D$1:$Q$1,0)),元データ_14項目!$A$2:$A$1300,$A313,元データ_14項目!$B$2:$B$1300,"本年",元データ_14項目!$C$2:$C$1300,F$5)</f>
        <v>3</v>
      </c>
      <c r="G313" s="26">
        <f>SUMIFS(INDEX(元データ_14項目!$D$2:$Q$1300,0,MATCH($B313,元データ_14項目!$D$1:$Q$1,0)),元データ_14項目!$A$2:$A$1300,$A313,元データ_14項目!$B$2:$B$1300,"本年",元データ_14項目!$C$2:$C$1300,G$5)</f>
        <v>3</v>
      </c>
      <c r="H313" s="26">
        <f>SUMIFS(INDEX(元データ_14項目!$D$2:$Q$1300,0,MATCH($B313,元データ_14項目!$D$1:$Q$1,0)),元データ_14項目!$A$2:$A$1300,$A313,元データ_14項目!$B$2:$B$1300,"本年",元データ_14項目!$C$2:$C$1300,H$5)</f>
        <v>7</v>
      </c>
      <c r="I313" s="26">
        <f>SUMIFS(INDEX(元データ_14項目!$D$2:$Q$1300,0,MATCH($B313,元データ_14項目!$D$1:$Q$1,0)),元データ_14項目!$A$2:$A$1300,$A313,元データ_14項目!$B$2:$B$1300,"本年",元データ_14項目!$C$2:$C$1300,I$5)</f>
        <v>2</v>
      </c>
      <c r="J313" s="26">
        <f>SUMIFS(INDEX(元データ_14項目!$D$2:$Q$1300,0,MATCH($B313,元データ_14項目!$D$1:$Q$1,0)),元データ_14項目!$A$2:$A$1300,$A313,元データ_14項目!$B$2:$B$1300,"本年",元データ_14項目!$C$2:$C$1300,J$5)</f>
        <v>5</v>
      </c>
      <c r="K313" s="26">
        <f>SUMIFS(INDEX(元データ_14項目!$D$2:$Q$1300,0,MATCH($B313,元データ_14項目!$D$1:$Q$1,0)),元データ_14項目!$A$2:$A$1300,$A313,元データ_14項目!$B$2:$B$1300,"本年",元データ_14項目!$C$2:$C$1300,K$5)</f>
        <v>10</v>
      </c>
      <c r="L313" s="26">
        <f>SUMIFS(INDEX(元データ_14項目!$D$2:$Q$1300,0,MATCH($B313,元データ_14項目!$D$1:$Q$1,0)),元データ_14項目!$A$2:$A$1300,$A313,元データ_14項目!$B$2:$B$1300,"本年",元データ_14項目!$C$2:$C$1300,L$5)</f>
        <v>6</v>
      </c>
      <c r="M313" s="26">
        <f>SUMIFS(INDEX(元データ_14項目!$D$2:$Q$1300,0,MATCH($B313,元データ_14項目!$D$1:$Q$1,0)),元データ_14項目!$A$2:$A$1300,$A313,元データ_14項目!$B$2:$B$1300,"本年",元データ_14項目!$C$2:$C$1300,M$5)</f>
        <v>2</v>
      </c>
      <c r="N313" s="26">
        <f>SUMIFS(INDEX(元データ_14項目!$D$2:$Q$1300,0,MATCH($B313,元データ_14項目!$D$1:$Q$1,0)),元データ_14項目!$A$2:$A$1300,$A313,元データ_14項目!$B$2:$B$1300,"本年",元データ_14項目!$C$2:$C$1300,N$5)</f>
        <v>1</v>
      </c>
      <c r="O313" s="26">
        <f t="shared" si="8"/>
        <v>44</v>
      </c>
      <c r="P313" s="26">
        <f>SUMIFS(INDEX(元データ_14項目!$D$2:$Q$1300,0,MATCH($B313,元データ_14項目!$D$1:$Q$1,0)),元データ_14項目!$A$2:$A$1300,$A313,元データ_14項目!$B$2:$B$1300,"前年")</f>
        <v>45</v>
      </c>
      <c r="Q313" s="7">
        <f t="shared" si="9"/>
        <v>0.97777777777777775</v>
      </c>
    </row>
    <row r="314" spans="1:17" x14ac:dyDescent="0.45">
      <c r="A314" t="s">
        <v>57</v>
      </c>
      <c r="B314" t="s">
        <v>27</v>
      </c>
      <c r="C314" s="26">
        <f>SUMIFS(INDEX(元データ_14項目!$D$2:$Q$1300,0,MATCH($B314,元データ_14項目!$D$1:$Q$1,0)),元データ_14項目!$A$2:$A$1300,$A314,元データ_14項目!$B$2:$B$1300,"本年",元データ_14項目!$C$2:$C$1300,C$5)</f>
        <v>783</v>
      </c>
      <c r="D314" s="26">
        <f>SUMIFS(INDEX(元データ_14項目!$D$2:$Q$1300,0,MATCH($B314,元データ_14項目!$D$1:$Q$1,0)),元データ_14項目!$A$2:$A$1300,$A314,元データ_14項目!$B$2:$B$1300,"本年",元データ_14項目!$C$2:$C$1300,D$5)</f>
        <v>944</v>
      </c>
      <c r="E314" s="26">
        <f>SUMIFS(INDEX(元データ_14項目!$D$2:$Q$1300,0,MATCH($B314,元データ_14項目!$D$1:$Q$1,0)),元データ_14項目!$A$2:$A$1300,$A314,元データ_14項目!$B$2:$B$1300,"本年",元データ_14項目!$C$2:$C$1300,E$5)</f>
        <v>1078</v>
      </c>
      <c r="F314" s="26">
        <f>SUMIFS(INDEX(元データ_14項目!$D$2:$Q$1300,0,MATCH($B314,元データ_14項目!$D$1:$Q$1,0)),元データ_14項目!$A$2:$A$1300,$A314,元データ_14項目!$B$2:$B$1300,"本年",元データ_14項目!$C$2:$C$1300,F$5)</f>
        <v>988</v>
      </c>
      <c r="G314" s="26">
        <f>SUMIFS(INDEX(元データ_14項目!$D$2:$Q$1300,0,MATCH($B314,元データ_14項目!$D$1:$Q$1,0)),元データ_14項目!$A$2:$A$1300,$A314,元データ_14項目!$B$2:$B$1300,"本年",元データ_14項目!$C$2:$C$1300,G$5)</f>
        <v>1016</v>
      </c>
      <c r="H314" s="26">
        <f>SUMIFS(INDEX(元データ_14項目!$D$2:$Q$1300,0,MATCH($B314,元データ_14項目!$D$1:$Q$1,0)),元データ_14項目!$A$2:$A$1300,$A314,元データ_14項目!$B$2:$B$1300,"本年",元データ_14項目!$C$2:$C$1300,H$5)</f>
        <v>886</v>
      </c>
      <c r="I314" s="26">
        <f>SUMIFS(INDEX(元データ_14項目!$D$2:$Q$1300,0,MATCH($B314,元データ_14項目!$D$1:$Q$1,0)),元データ_14項目!$A$2:$A$1300,$A314,元データ_14項目!$B$2:$B$1300,"本年",元データ_14項目!$C$2:$C$1300,I$5)</f>
        <v>824</v>
      </c>
      <c r="J314" s="26">
        <f>SUMIFS(INDEX(元データ_14項目!$D$2:$Q$1300,0,MATCH($B314,元データ_14項目!$D$1:$Q$1,0)),元データ_14項目!$A$2:$A$1300,$A314,元データ_14項目!$B$2:$B$1300,"本年",元データ_14項目!$C$2:$C$1300,J$5)</f>
        <v>939</v>
      </c>
      <c r="K314" s="26">
        <f>SUMIFS(INDEX(元データ_14項目!$D$2:$Q$1300,0,MATCH($B314,元データ_14項目!$D$1:$Q$1,0)),元データ_14項目!$A$2:$A$1300,$A314,元データ_14項目!$B$2:$B$1300,"本年",元データ_14項目!$C$2:$C$1300,K$5)</f>
        <v>906</v>
      </c>
      <c r="L314" s="26">
        <f>SUMIFS(INDEX(元データ_14項目!$D$2:$Q$1300,0,MATCH($B314,元データ_14項目!$D$1:$Q$1,0)),元データ_14項目!$A$2:$A$1300,$A314,元データ_14項目!$B$2:$B$1300,"本年",元データ_14項目!$C$2:$C$1300,L$5)</f>
        <v>776</v>
      </c>
      <c r="M314" s="26">
        <f>SUMIFS(INDEX(元データ_14項目!$D$2:$Q$1300,0,MATCH($B314,元データ_14項目!$D$1:$Q$1,0)),元データ_14項目!$A$2:$A$1300,$A314,元データ_14項目!$B$2:$B$1300,"本年",元データ_14項目!$C$2:$C$1300,M$5)</f>
        <v>930</v>
      </c>
      <c r="N314" s="26">
        <f>SUMIFS(INDEX(元データ_14項目!$D$2:$Q$1300,0,MATCH($B314,元データ_14項目!$D$1:$Q$1,0)),元データ_14項目!$A$2:$A$1300,$A314,元データ_14項目!$B$2:$B$1300,"本年",元データ_14項目!$C$2:$C$1300,N$5)</f>
        <v>803</v>
      </c>
      <c r="O314" s="26">
        <f t="shared" si="8"/>
        <v>10873</v>
      </c>
      <c r="P314" s="26">
        <f>SUMIFS(INDEX(元データ_14項目!$D$2:$Q$1300,0,MATCH($B314,元データ_14項目!$D$1:$Q$1,0)),元データ_14項目!$A$2:$A$1300,$A314,元データ_14項目!$B$2:$B$1300,"前年")</f>
        <v>14045</v>
      </c>
      <c r="Q314" s="7">
        <f t="shared" si="9"/>
        <v>0.77415450338198644</v>
      </c>
    </row>
    <row r="315" spans="1:17" x14ac:dyDescent="0.45">
      <c r="A315" t="s">
        <v>57</v>
      </c>
      <c r="B315" t="s">
        <v>88</v>
      </c>
      <c r="C315" s="26">
        <f>SUMIFS(INDEX(元データ_14項目!$D$2:$Q$1300,0,MATCH($B315,元データ_14項目!$D$1:$Q$1,0)),元データ_14項目!$A$2:$A$1300,$A315,元データ_14項目!$B$2:$B$1300,"本年",元データ_14項目!$C$2:$C$1300,C$5)</f>
        <v>25</v>
      </c>
      <c r="D315" s="26">
        <f>SUMIFS(INDEX(元データ_14項目!$D$2:$Q$1300,0,MATCH($B315,元データ_14項目!$D$1:$Q$1,0)),元データ_14項目!$A$2:$A$1300,$A315,元データ_14項目!$B$2:$B$1300,"本年",元データ_14項目!$C$2:$C$1300,D$5)</f>
        <v>17</v>
      </c>
      <c r="E315" s="26">
        <f>SUMIFS(INDEX(元データ_14項目!$D$2:$Q$1300,0,MATCH($B315,元データ_14項目!$D$1:$Q$1,0)),元データ_14項目!$A$2:$A$1300,$A315,元データ_14項目!$B$2:$B$1300,"本年",元データ_14項目!$C$2:$C$1300,E$5)</f>
        <v>70</v>
      </c>
      <c r="F315" s="26">
        <f>SUMIFS(INDEX(元データ_14項目!$D$2:$Q$1300,0,MATCH($B315,元データ_14項目!$D$1:$Q$1,0)),元データ_14項目!$A$2:$A$1300,$A315,元データ_14項目!$B$2:$B$1300,"本年",元データ_14項目!$C$2:$C$1300,F$5)</f>
        <v>55</v>
      </c>
      <c r="G315" s="26">
        <f>SUMIFS(INDEX(元データ_14項目!$D$2:$Q$1300,0,MATCH($B315,元データ_14項目!$D$1:$Q$1,0)),元データ_14項目!$A$2:$A$1300,$A315,元データ_14項目!$B$2:$B$1300,"本年",元データ_14項目!$C$2:$C$1300,G$5)</f>
        <v>29</v>
      </c>
      <c r="H315" s="26">
        <f>SUMIFS(INDEX(元データ_14項目!$D$2:$Q$1300,0,MATCH($B315,元データ_14項目!$D$1:$Q$1,0)),元データ_14項目!$A$2:$A$1300,$A315,元データ_14項目!$B$2:$B$1300,"本年",元データ_14項目!$C$2:$C$1300,H$5)</f>
        <v>50</v>
      </c>
      <c r="I315" s="26">
        <f>SUMIFS(INDEX(元データ_14項目!$D$2:$Q$1300,0,MATCH($B315,元データ_14項目!$D$1:$Q$1,0)),元データ_14項目!$A$2:$A$1300,$A315,元データ_14項目!$B$2:$B$1300,"本年",元データ_14項目!$C$2:$C$1300,I$5)</f>
        <v>23</v>
      </c>
      <c r="J315" s="26">
        <f>SUMIFS(INDEX(元データ_14項目!$D$2:$Q$1300,0,MATCH($B315,元データ_14項目!$D$1:$Q$1,0)),元データ_14項目!$A$2:$A$1300,$A315,元データ_14項目!$B$2:$B$1300,"本年",元データ_14項目!$C$2:$C$1300,J$5)</f>
        <v>35</v>
      </c>
      <c r="K315" s="26">
        <f>SUMIFS(INDEX(元データ_14項目!$D$2:$Q$1300,0,MATCH($B315,元データ_14項目!$D$1:$Q$1,0)),元データ_14項目!$A$2:$A$1300,$A315,元データ_14項目!$B$2:$B$1300,"本年",元データ_14項目!$C$2:$C$1300,K$5)</f>
        <v>68</v>
      </c>
      <c r="L315" s="26">
        <f>SUMIFS(INDEX(元データ_14項目!$D$2:$Q$1300,0,MATCH($B315,元データ_14項目!$D$1:$Q$1,0)),元データ_14項目!$A$2:$A$1300,$A315,元データ_14項目!$B$2:$B$1300,"本年",元データ_14項目!$C$2:$C$1300,L$5)</f>
        <v>55</v>
      </c>
      <c r="M315" s="26">
        <f>SUMIFS(INDEX(元データ_14項目!$D$2:$Q$1300,0,MATCH($B315,元データ_14項目!$D$1:$Q$1,0)),元データ_14項目!$A$2:$A$1300,$A315,元データ_14項目!$B$2:$B$1300,"本年",元データ_14項目!$C$2:$C$1300,M$5)</f>
        <v>48</v>
      </c>
      <c r="N315" s="26">
        <f>SUMIFS(INDEX(元データ_14項目!$D$2:$Q$1300,0,MATCH($B315,元データ_14項目!$D$1:$Q$1,0)),元データ_14項目!$A$2:$A$1300,$A315,元データ_14項目!$B$2:$B$1300,"本年",元データ_14項目!$C$2:$C$1300,N$5)</f>
        <v>35</v>
      </c>
      <c r="O315" s="26">
        <f t="shared" si="8"/>
        <v>510</v>
      </c>
      <c r="P315" s="26">
        <f>SUMIFS(INDEX(元データ_14項目!$D$2:$Q$1300,0,MATCH($B315,元データ_14項目!$D$1:$Q$1,0)),元データ_14項目!$A$2:$A$1300,$A315,元データ_14項目!$B$2:$B$1300,"前年")</f>
        <v>452</v>
      </c>
      <c r="Q315" s="7">
        <f t="shared" si="9"/>
        <v>1.1283185840707965</v>
      </c>
    </row>
    <row r="316" spans="1:17" x14ac:dyDescent="0.45">
      <c r="A316" t="s">
        <v>57</v>
      </c>
      <c r="B316" t="s">
        <v>89</v>
      </c>
      <c r="C316" s="26">
        <f>SUMIFS(INDEX(元データ_14項目!$D$2:$Q$1300,0,MATCH($B316,元データ_14項目!$D$1:$Q$1,0)),元データ_14項目!$A$2:$A$1300,$A316,元データ_14項目!$B$2:$B$1300,"本年",元データ_14項目!$C$2:$C$1300,C$5)</f>
        <v>38</v>
      </c>
      <c r="D316" s="26">
        <f>SUMIFS(INDEX(元データ_14項目!$D$2:$Q$1300,0,MATCH($B316,元データ_14項目!$D$1:$Q$1,0)),元データ_14項目!$A$2:$A$1300,$A316,元データ_14項目!$B$2:$B$1300,"本年",元データ_14項目!$C$2:$C$1300,D$5)</f>
        <v>38</v>
      </c>
      <c r="E316" s="26">
        <f>SUMIFS(INDEX(元データ_14項目!$D$2:$Q$1300,0,MATCH($B316,元データ_14項目!$D$1:$Q$1,0)),元データ_14項目!$A$2:$A$1300,$A316,元データ_14項目!$B$2:$B$1300,"本年",元データ_14項目!$C$2:$C$1300,E$5)</f>
        <v>47</v>
      </c>
      <c r="F316" s="26">
        <f>SUMIFS(INDEX(元データ_14項目!$D$2:$Q$1300,0,MATCH($B316,元データ_14項目!$D$1:$Q$1,0)),元データ_14項目!$A$2:$A$1300,$A316,元データ_14項目!$B$2:$B$1300,"本年",元データ_14項目!$C$2:$C$1300,F$5)</f>
        <v>28</v>
      </c>
      <c r="G316" s="26">
        <f>SUMIFS(INDEX(元データ_14項目!$D$2:$Q$1300,0,MATCH($B316,元データ_14項目!$D$1:$Q$1,0)),元データ_14項目!$A$2:$A$1300,$A316,元データ_14項目!$B$2:$B$1300,"本年",元データ_14項目!$C$2:$C$1300,G$5)</f>
        <v>27</v>
      </c>
      <c r="H316" s="26">
        <f>SUMIFS(INDEX(元データ_14項目!$D$2:$Q$1300,0,MATCH($B316,元データ_14項目!$D$1:$Q$1,0)),元データ_14項目!$A$2:$A$1300,$A316,元データ_14項目!$B$2:$B$1300,"本年",元データ_14項目!$C$2:$C$1300,H$5)</f>
        <v>32</v>
      </c>
      <c r="I316" s="26">
        <f>SUMIFS(INDEX(元データ_14項目!$D$2:$Q$1300,0,MATCH($B316,元データ_14項目!$D$1:$Q$1,0)),元データ_14項目!$A$2:$A$1300,$A316,元データ_14項目!$B$2:$B$1300,"本年",元データ_14項目!$C$2:$C$1300,I$5)</f>
        <v>12</v>
      </c>
      <c r="J316" s="26">
        <f>SUMIFS(INDEX(元データ_14項目!$D$2:$Q$1300,0,MATCH($B316,元データ_14項目!$D$1:$Q$1,0)),元データ_14項目!$A$2:$A$1300,$A316,元データ_14項目!$B$2:$B$1300,"本年",元データ_14項目!$C$2:$C$1300,J$5)</f>
        <v>36</v>
      </c>
      <c r="K316" s="26">
        <f>SUMIFS(INDEX(元データ_14項目!$D$2:$Q$1300,0,MATCH($B316,元データ_14項目!$D$1:$Q$1,0)),元データ_14項目!$A$2:$A$1300,$A316,元データ_14項目!$B$2:$B$1300,"本年",元データ_14項目!$C$2:$C$1300,K$5)</f>
        <v>58</v>
      </c>
      <c r="L316" s="26">
        <f>SUMIFS(INDEX(元データ_14項目!$D$2:$Q$1300,0,MATCH($B316,元データ_14項目!$D$1:$Q$1,0)),元データ_14項目!$A$2:$A$1300,$A316,元データ_14項目!$B$2:$B$1300,"本年",元データ_14項目!$C$2:$C$1300,L$5)</f>
        <v>33</v>
      </c>
      <c r="M316" s="26">
        <f>SUMIFS(INDEX(元データ_14項目!$D$2:$Q$1300,0,MATCH($B316,元データ_14項目!$D$1:$Q$1,0)),元データ_14項目!$A$2:$A$1300,$A316,元データ_14項目!$B$2:$B$1300,"本年",元データ_14項目!$C$2:$C$1300,M$5)</f>
        <v>32</v>
      </c>
      <c r="N316" s="26">
        <f>SUMIFS(INDEX(元データ_14項目!$D$2:$Q$1300,0,MATCH($B316,元データ_14項目!$D$1:$Q$1,0)),元データ_14項目!$A$2:$A$1300,$A316,元データ_14項目!$B$2:$B$1300,"本年",元データ_14項目!$C$2:$C$1300,N$5)</f>
        <v>39</v>
      </c>
      <c r="O316" s="26">
        <f t="shared" si="8"/>
        <v>420</v>
      </c>
      <c r="P316" s="26">
        <f>SUMIFS(INDEX(元データ_14項目!$D$2:$Q$1300,0,MATCH($B316,元データ_14項目!$D$1:$Q$1,0)),元データ_14項目!$A$2:$A$1300,$A316,元データ_14項目!$B$2:$B$1300,"前年")</f>
        <v>448</v>
      </c>
      <c r="Q316" s="7">
        <f t="shared" si="9"/>
        <v>0.9375</v>
      </c>
    </row>
    <row r="317" spans="1:17" x14ac:dyDescent="0.45">
      <c r="A317" t="s">
        <v>57</v>
      </c>
      <c r="B317" t="s">
        <v>90</v>
      </c>
      <c r="C317" s="26">
        <f>SUMIFS(INDEX(元データ_14項目!$D$2:$Q$1300,0,MATCH($B317,元データ_14項目!$D$1:$Q$1,0)),元データ_14項目!$A$2:$A$1300,$A317,元データ_14項目!$B$2:$B$1300,"本年",元データ_14項目!$C$2:$C$1300,C$5)</f>
        <v>55</v>
      </c>
      <c r="D317" s="26">
        <f>SUMIFS(INDEX(元データ_14項目!$D$2:$Q$1300,0,MATCH($B317,元データ_14項目!$D$1:$Q$1,0)),元データ_14項目!$A$2:$A$1300,$A317,元データ_14項目!$B$2:$B$1300,"本年",元データ_14項目!$C$2:$C$1300,D$5)</f>
        <v>84</v>
      </c>
      <c r="E317" s="26">
        <f>SUMIFS(INDEX(元データ_14項目!$D$2:$Q$1300,0,MATCH($B317,元データ_14項目!$D$1:$Q$1,0)),元データ_14項目!$A$2:$A$1300,$A317,元データ_14項目!$B$2:$B$1300,"本年",元データ_14項目!$C$2:$C$1300,E$5)</f>
        <v>120</v>
      </c>
      <c r="F317" s="26">
        <f>SUMIFS(INDEX(元データ_14項目!$D$2:$Q$1300,0,MATCH($B317,元データ_14項目!$D$1:$Q$1,0)),元データ_14項目!$A$2:$A$1300,$A317,元データ_14項目!$B$2:$B$1300,"本年",元データ_14項目!$C$2:$C$1300,F$5)</f>
        <v>124</v>
      </c>
      <c r="G317" s="26">
        <f>SUMIFS(INDEX(元データ_14項目!$D$2:$Q$1300,0,MATCH($B317,元データ_14項目!$D$1:$Q$1,0)),元データ_14項目!$A$2:$A$1300,$A317,元データ_14項目!$B$2:$B$1300,"本年",元データ_14項目!$C$2:$C$1300,G$5)</f>
        <v>186</v>
      </c>
      <c r="H317" s="26">
        <f>SUMIFS(INDEX(元データ_14項目!$D$2:$Q$1300,0,MATCH($B317,元データ_14項目!$D$1:$Q$1,0)),元データ_14項目!$A$2:$A$1300,$A317,元データ_14項目!$B$2:$B$1300,"本年",元データ_14項目!$C$2:$C$1300,H$5)</f>
        <v>113</v>
      </c>
      <c r="I317" s="26">
        <f>SUMIFS(INDEX(元データ_14項目!$D$2:$Q$1300,0,MATCH($B317,元データ_14項目!$D$1:$Q$1,0)),元データ_14項目!$A$2:$A$1300,$A317,元データ_14項目!$B$2:$B$1300,"本年",元データ_14項目!$C$2:$C$1300,I$5)</f>
        <v>82</v>
      </c>
      <c r="J317" s="26">
        <f>SUMIFS(INDEX(元データ_14項目!$D$2:$Q$1300,0,MATCH($B317,元データ_14項目!$D$1:$Q$1,0)),元データ_14項目!$A$2:$A$1300,$A317,元データ_14項目!$B$2:$B$1300,"本年",元データ_14項目!$C$2:$C$1300,J$5)</f>
        <v>173</v>
      </c>
      <c r="K317" s="26">
        <f>SUMIFS(INDEX(元データ_14項目!$D$2:$Q$1300,0,MATCH($B317,元データ_14項目!$D$1:$Q$1,0)),元データ_14項目!$A$2:$A$1300,$A317,元データ_14項目!$B$2:$B$1300,"本年",元データ_14項目!$C$2:$C$1300,K$5)</f>
        <v>233</v>
      </c>
      <c r="L317" s="26">
        <f>SUMIFS(INDEX(元データ_14項目!$D$2:$Q$1300,0,MATCH($B317,元データ_14項目!$D$1:$Q$1,0)),元データ_14項目!$A$2:$A$1300,$A317,元データ_14項目!$B$2:$B$1300,"本年",元データ_14項目!$C$2:$C$1300,L$5)</f>
        <v>151</v>
      </c>
      <c r="M317" s="26">
        <f>SUMIFS(INDEX(元データ_14項目!$D$2:$Q$1300,0,MATCH($B317,元データ_14項目!$D$1:$Q$1,0)),元データ_14項目!$A$2:$A$1300,$A317,元データ_14項目!$B$2:$B$1300,"本年",元データ_14項目!$C$2:$C$1300,M$5)</f>
        <v>156</v>
      </c>
      <c r="N317" s="26">
        <f>SUMIFS(INDEX(元データ_14項目!$D$2:$Q$1300,0,MATCH($B317,元データ_14項目!$D$1:$Q$1,0)),元データ_14項目!$A$2:$A$1300,$A317,元データ_14項目!$B$2:$B$1300,"本年",元データ_14項目!$C$2:$C$1300,N$5)</f>
        <v>91</v>
      </c>
      <c r="O317" s="26">
        <f t="shared" si="8"/>
        <v>1568</v>
      </c>
      <c r="P317" s="26">
        <f>SUMIFS(INDEX(元データ_14項目!$D$2:$Q$1300,0,MATCH($B317,元データ_14項目!$D$1:$Q$1,0)),元データ_14項目!$A$2:$A$1300,$A317,元データ_14項目!$B$2:$B$1300,"前年")</f>
        <v>1590</v>
      </c>
      <c r="Q317" s="7">
        <f t="shared" si="9"/>
        <v>0.98616352201257862</v>
      </c>
    </row>
    <row r="318" spans="1:17" x14ac:dyDescent="0.45">
      <c r="A318" t="s">
        <v>57</v>
      </c>
      <c r="B318" t="s">
        <v>91</v>
      </c>
      <c r="C318" s="26">
        <f>SUMIFS(INDEX(元データ_14項目!$D$2:$Q$1300,0,MATCH($B318,元データ_14項目!$D$1:$Q$1,0)),元データ_14項目!$A$2:$A$1300,$A318,元データ_14項目!$B$2:$B$1300,"本年",元データ_14項目!$C$2:$C$1300,C$5)</f>
        <v>7</v>
      </c>
      <c r="D318" s="26">
        <f>SUMIFS(INDEX(元データ_14項目!$D$2:$Q$1300,0,MATCH($B318,元データ_14項目!$D$1:$Q$1,0)),元データ_14項目!$A$2:$A$1300,$A318,元データ_14項目!$B$2:$B$1300,"本年",元データ_14項目!$C$2:$C$1300,D$5)</f>
        <v>6</v>
      </c>
      <c r="E318" s="26">
        <f>SUMIFS(INDEX(元データ_14項目!$D$2:$Q$1300,0,MATCH($B318,元データ_14項目!$D$1:$Q$1,0)),元データ_14項目!$A$2:$A$1300,$A318,元データ_14項目!$B$2:$B$1300,"本年",元データ_14項目!$C$2:$C$1300,E$5)</f>
        <v>16</v>
      </c>
      <c r="F318" s="26">
        <f>SUMIFS(INDEX(元データ_14項目!$D$2:$Q$1300,0,MATCH($B318,元データ_14項目!$D$1:$Q$1,0)),元データ_14項目!$A$2:$A$1300,$A318,元データ_14項目!$B$2:$B$1300,"本年",元データ_14項目!$C$2:$C$1300,F$5)</f>
        <v>13</v>
      </c>
      <c r="G318" s="26">
        <f>SUMIFS(INDEX(元データ_14項目!$D$2:$Q$1300,0,MATCH($B318,元データ_14項目!$D$1:$Q$1,0)),元データ_14項目!$A$2:$A$1300,$A318,元データ_14項目!$B$2:$B$1300,"本年",元データ_14項目!$C$2:$C$1300,G$5)</f>
        <v>6</v>
      </c>
      <c r="H318" s="26">
        <f>SUMIFS(INDEX(元データ_14項目!$D$2:$Q$1300,0,MATCH($B318,元データ_14項目!$D$1:$Q$1,0)),元データ_14項目!$A$2:$A$1300,$A318,元データ_14項目!$B$2:$B$1300,"本年",元データ_14項目!$C$2:$C$1300,H$5)</f>
        <v>6</v>
      </c>
      <c r="I318" s="26">
        <f>SUMIFS(INDEX(元データ_14項目!$D$2:$Q$1300,0,MATCH($B318,元データ_14項目!$D$1:$Q$1,0)),元データ_14項目!$A$2:$A$1300,$A318,元データ_14項目!$B$2:$B$1300,"本年",元データ_14項目!$C$2:$C$1300,I$5)</f>
        <v>7</v>
      </c>
      <c r="J318" s="26">
        <f>SUMIFS(INDEX(元データ_14項目!$D$2:$Q$1300,0,MATCH($B318,元データ_14項目!$D$1:$Q$1,0)),元データ_14項目!$A$2:$A$1300,$A318,元データ_14項目!$B$2:$B$1300,"本年",元データ_14項目!$C$2:$C$1300,J$5)</f>
        <v>1</v>
      </c>
      <c r="K318" s="26">
        <f>SUMIFS(INDEX(元データ_14項目!$D$2:$Q$1300,0,MATCH($B318,元データ_14項目!$D$1:$Q$1,0)),元データ_14項目!$A$2:$A$1300,$A318,元データ_14項目!$B$2:$B$1300,"本年",元データ_14項目!$C$2:$C$1300,K$5)</f>
        <v>8</v>
      </c>
      <c r="L318" s="26">
        <f>SUMIFS(INDEX(元データ_14項目!$D$2:$Q$1300,0,MATCH($B318,元データ_14項目!$D$1:$Q$1,0)),元データ_14項目!$A$2:$A$1300,$A318,元データ_14項目!$B$2:$B$1300,"本年",元データ_14項目!$C$2:$C$1300,L$5)</f>
        <v>5</v>
      </c>
      <c r="M318" s="26">
        <f>SUMIFS(INDEX(元データ_14項目!$D$2:$Q$1300,0,MATCH($B318,元データ_14項目!$D$1:$Q$1,0)),元データ_14項目!$A$2:$A$1300,$A318,元データ_14項目!$B$2:$B$1300,"本年",元データ_14項目!$C$2:$C$1300,M$5)</f>
        <v>9</v>
      </c>
      <c r="N318" s="26">
        <f>SUMIFS(INDEX(元データ_14項目!$D$2:$Q$1300,0,MATCH($B318,元データ_14項目!$D$1:$Q$1,0)),元データ_14項目!$A$2:$A$1300,$A318,元データ_14項目!$B$2:$B$1300,"本年",元データ_14項目!$C$2:$C$1300,N$5)</f>
        <v>4</v>
      </c>
      <c r="O318" s="26">
        <f t="shared" si="8"/>
        <v>88</v>
      </c>
      <c r="P318" s="26">
        <f>SUMIFS(INDEX(元データ_14項目!$D$2:$Q$1300,0,MATCH($B318,元データ_14項目!$D$1:$Q$1,0)),元データ_14項目!$A$2:$A$1300,$A318,元データ_14項目!$B$2:$B$1300,"前年")</f>
        <v>148</v>
      </c>
      <c r="Q318" s="7">
        <f t="shared" si="9"/>
        <v>0.59459459459459463</v>
      </c>
    </row>
    <row r="319" spans="1:17" x14ac:dyDescent="0.45">
      <c r="A319" t="s">
        <v>57</v>
      </c>
      <c r="B319" t="s">
        <v>28</v>
      </c>
      <c r="C319" s="26">
        <f>SUMIFS(INDEX(元データ_14項目!$D$2:$Q$1300,0,MATCH($B319,元データ_14項目!$D$1:$Q$1,0)),元データ_14項目!$A$2:$A$1300,$A319,元データ_14項目!$B$2:$B$1300,"本年",元データ_14項目!$C$2:$C$1300,C$5)</f>
        <v>218</v>
      </c>
      <c r="D319" s="26">
        <f>SUMIFS(INDEX(元データ_14項目!$D$2:$Q$1300,0,MATCH($B319,元データ_14項目!$D$1:$Q$1,0)),元データ_14項目!$A$2:$A$1300,$A319,元データ_14項目!$B$2:$B$1300,"本年",元データ_14項目!$C$2:$C$1300,D$5)</f>
        <v>271</v>
      </c>
      <c r="E319" s="26">
        <f>SUMIFS(INDEX(元データ_14項目!$D$2:$Q$1300,0,MATCH($B319,元データ_14項目!$D$1:$Q$1,0)),元データ_14項目!$A$2:$A$1300,$A319,元データ_14項目!$B$2:$B$1300,"本年",元データ_14項目!$C$2:$C$1300,E$5)</f>
        <v>285</v>
      </c>
      <c r="F319" s="26">
        <f>SUMIFS(INDEX(元データ_14項目!$D$2:$Q$1300,0,MATCH($B319,元データ_14項目!$D$1:$Q$1,0)),元データ_14項目!$A$2:$A$1300,$A319,元データ_14項目!$B$2:$B$1300,"本年",元データ_14項目!$C$2:$C$1300,F$5)</f>
        <v>210</v>
      </c>
      <c r="G319" s="26">
        <f>SUMIFS(INDEX(元データ_14項目!$D$2:$Q$1300,0,MATCH($B319,元データ_14項目!$D$1:$Q$1,0)),元データ_14項目!$A$2:$A$1300,$A319,元データ_14項目!$B$2:$B$1300,"本年",元データ_14項目!$C$2:$C$1300,G$5)</f>
        <v>166</v>
      </c>
      <c r="H319" s="26">
        <f>SUMIFS(INDEX(元データ_14項目!$D$2:$Q$1300,0,MATCH($B319,元データ_14項目!$D$1:$Q$1,0)),元データ_14項目!$A$2:$A$1300,$A319,元データ_14項目!$B$2:$B$1300,"本年",元データ_14項目!$C$2:$C$1300,H$5)</f>
        <v>130</v>
      </c>
      <c r="I319" s="26">
        <f>SUMIFS(INDEX(元データ_14項目!$D$2:$Q$1300,0,MATCH($B319,元データ_14項目!$D$1:$Q$1,0)),元データ_14項目!$A$2:$A$1300,$A319,元データ_14項目!$B$2:$B$1300,"本年",元データ_14項目!$C$2:$C$1300,I$5)</f>
        <v>113</v>
      </c>
      <c r="J319" s="26">
        <f>SUMIFS(INDEX(元データ_14項目!$D$2:$Q$1300,0,MATCH($B319,元データ_14項目!$D$1:$Q$1,0)),元データ_14項目!$A$2:$A$1300,$A319,元データ_14項目!$B$2:$B$1300,"本年",元データ_14項目!$C$2:$C$1300,J$5)</f>
        <v>144</v>
      </c>
      <c r="K319" s="26">
        <f>SUMIFS(INDEX(元データ_14項目!$D$2:$Q$1300,0,MATCH($B319,元データ_14項目!$D$1:$Q$1,0)),元データ_14項目!$A$2:$A$1300,$A319,元データ_14項目!$B$2:$B$1300,"本年",元データ_14項目!$C$2:$C$1300,K$5)</f>
        <v>162</v>
      </c>
      <c r="L319" s="26">
        <f>SUMIFS(INDEX(元データ_14項目!$D$2:$Q$1300,0,MATCH($B319,元データ_14項目!$D$1:$Q$1,0)),元データ_14項目!$A$2:$A$1300,$A319,元データ_14項目!$B$2:$B$1300,"本年",元データ_14項目!$C$2:$C$1300,L$5)</f>
        <v>178</v>
      </c>
      <c r="M319" s="26">
        <f>SUMIFS(INDEX(元データ_14項目!$D$2:$Q$1300,0,MATCH($B319,元データ_14項目!$D$1:$Q$1,0)),元データ_14項目!$A$2:$A$1300,$A319,元データ_14項目!$B$2:$B$1300,"本年",元データ_14項目!$C$2:$C$1300,M$5)</f>
        <v>197</v>
      </c>
      <c r="N319" s="26">
        <f>SUMIFS(INDEX(元データ_14項目!$D$2:$Q$1300,0,MATCH($B319,元データ_14項目!$D$1:$Q$1,0)),元データ_14項目!$A$2:$A$1300,$A319,元データ_14項目!$B$2:$B$1300,"本年",元データ_14項目!$C$2:$C$1300,N$5)</f>
        <v>196</v>
      </c>
      <c r="O319" s="26">
        <f t="shared" si="8"/>
        <v>2270</v>
      </c>
      <c r="P319" s="26">
        <f>SUMIFS(INDEX(元データ_14項目!$D$2:$Q$1300,0,MATCH($B319,元データ_14項目!$D$1:$Q$1,0)),元データ_14項目!$A$2:$A$1300,$A319,元データ_14項目!$B$2:$B$1300,"前年")</f>
        <v>2573</v>
      </c>
      <c r="Q319" s="7">
        <f t="shared" si="9"/>
        <v>0.88223863194714336</v>
      </c>
    </row>
    <row r="320" spans="1:17" x14ac:dyDescent="0.45">
      <c r="A320" t="s">
        <v>57</v>
      </c>
      <c r="B320" t="s">
        <v>92</v>
      </c>
      <c r="C320" s="26">
        <f>SUMIFS(INDEX(元データ_14項目!$D$2:$Q$1300,0,MATCH($B320,元データ_14項目!$D$1:$Q$1,0)),元データ_14項目!$A$2:$A$1300,$A320,元データ_14項目!$B$2:$B$1300,"本年",元データ_14項目!$C$2:$C$1300,C$5)</f>
        <v>18</v>
      </c>
      <c r="D320" s="26">
        <f>SUMIFS(INDEX(元データ_14項目!$D$2:$Q$1300,0,MATCH($B320,元データ_14項目!$D$1:$Q$1,0)),元データ_14項目!$A$2:$A$1300,$A320,元データ_14項目!$B$2:$B$1300,"本年",元データ_14項目!$C$2:$C$1300,D$5)</f>
        <v>18</v>
      </c>
      <c r="E320" s="26">
        <f>SUMIFS(INDEX(元データ_14項目!$D$2:$Q$1300,0,MATCH($B320,元データ_14項目!$D$1:$Q$1,0)),元データ_14項目!$A$2:$A$1300,$A320,元データ_14項目!$B$2:$B$1300,"本年",元データ_14項目!$C$2:$C$1300,E$5)</f>
        <v>38</v>
      </c>
      <c r="F320" s="26">
        <f>SUMIFS(INDEX(元データ_14項目!$D$2:$Q$1300,0,MATCH($B320,元データ_14項目!$D$1:$Q$1,0)),元データ_14項目!$A$2:$A$1300,$A320,元データ_14項目!$B$2:$B$1300,"本年",元データ_14項目!$C$2:$C$1300,F$5)</f>
        <v>21</v>
      </c>
      <c r="G320" s="26">
        <f>SUMIFS(INDEX(元データ_14項目!$D$2:$Q$1300,0,MATCH($B320,元データ_14項目!$D$1:$Q$1,0)),元データ_14項目!$A$2:$A$1300,$A320,元データ_14項目!$B$2:$B$1300,"本年",元データ_14項目!$C$2:$C$1300,G$5)</f>
        <v>20</v>
      </c>
      <c r="H320" s="26">
        <f>SUMIFS(INDEX(元データ_14項目!$D$2:$Q$1300,0,MATCH($B320,元データ_14項目!$D$1:$Q$1,0)),元データ_14項目!$A$2:$A$1300,$A320,元データ_14項目!$B$2:$B$1300,"本年",元データ_14項目!$C$2:$C$1300,H$5)</f>
        <v>24</v>
      </c>
      <c r="I320" s="26">
        <f>SUMIFS(INDEX(元データ_14項目!$D$2:$Q$1300,0,MATCH($B320,元データ_14項目!$D$1:$Q$1,0)),元データ_14項目!$A$2:$A$1300,$A320,元データ_14項目!$B$2:$B$1300,"本年",元データ_14項目!$C$2:$C$1300,I$5)</f>
        <v>12</v>
      </c>
      <c r="J320" s="26">
        <f>SUMIFS(INDEX(元データ_14項目!$D$2:$Q$1300,0,MATCH($B320,元データ_14項目!$D$1:$Q$1,0)),元データ_14項目!$A$2:$A$1300,$A320,元データ_14項目!$B$2:$B$1300,"本年",元データ_14項目!$C$2:$C$1300,J$5)</f>
        <v>26</v>
      </c>
      <c r="K320" s="26">
        <f>SUMIFS(INDEX(元データ_14項目!$D$2:$Q$1300,0,MATCH($B320,元データ_14項目!$D$1:$Q$1,0)),元データ_14項目!$A$2:$A$1300,$A320,元データ_14項目!$B$2:$B$1300,"本年",元データ_14項目!$C$2:$C$1300,K$5)</f>
        <v>29</v>
      </c>
      <c r="L320" s="26">
        <f>SUMIFS(INDEX(元データ_14項目!$D$2:$Q$1300,0,MATCH($B320,元データ_14項目!$D$1:$Q$1,0)),元データ_14項目!$A$2:$A$1300,$A320,元データ_14項目!$B$2:$B$1300,"本年",元データ_14項目!$C$2:$C$1300,L$5)</f>
        <v>36</v>
      </c>
      <c r="M320" s="26">
        <f>SUMIFS(INDEX(元データ_14項目!$D$2:$Q$1300,0,MATCH($B320,元データ_14項目!$D$1:$Q$1,0)),元データ_14項目!$A$2:$A$1300,$A320,元データ_14項目!$B$2:$B$1300,"本年",元データ_14項目!$C$2:$C$1300,M$5)</f>
        <v>22</v>
      </c>
      <c r="N320" s="26">
        <f>SUMIFS(INDEX(元データ_14項目!$D$2:$Q$1300,0,MATCH($B320,元データ_14項目!$D$1:$Q$1,0)),元データ_14項目!$A$2:$A$1300,$A320,元データ_14項目!$B$2:$B$1300,"本年",元データ_14項目!$C$2:$C$1300,N$5)</f>
        <v>16</v>
      </c>
      <c r="O320" s="26">
        <f t="shared" si="8"/>
        <v>280</v>
      </c>
      <c r="P320" s="26">
        <f>SUMIFS(INDEX(元データ_14項目!$D$2:$Q$1300,0,MATCH($B320,元データ_14項目!$D$1:$Q$1,0)),元データ_14項目!$A$2:$A$1300,$A320,元データ_14項目!$B$2:$B$1300,"前年")</f>
        <v>256</v>
      </c>
      <c r="Q320" s="7">
        <f t="shared" si="9"/>
        <v>1.09375</v>
      </c>
    </row>
    <row r="321" spans="1:17" x14ac:dyDescent="0.45">
      <c r="A321" t="s">
        <v>57</v>
      </c>
      <c r="B321" t="s">
        <v>93</v>
      </c>
      <c r="C321" s="26">
        <f>SUMIFS(INDEX(元データ_14項目!$D$2:$Q$1300,0,MATCH($B321,元データ_14項目!$D$1:$Q$1,0)),元データ_14項目!$A$2:$A$1300,$A321,元データ_14項目!$B$2:$B$1300,"本年",元データ_14項目!$C$2:$C$1300,C$5)</f>
        <v>12</v>
      </c>
      <c r="D321" s="26">
        <f>SUMIFS(INDEX(元データ_14項目!$D$2:$Q$1300,0,MATCH($B321,元データ_14項目!$D$1:$Q$1,0)),元データ_14項目!$A$2:$A$1300,$A321,元データ_14項目!$B$2:$B$1300,"本年",元データ_14項目!$C$2:$C$1300,D$5)</f>
        <v>16</v>
      </c>
      <c r="E321" s="26">
        <f>SUMIFS(INDEX(元データ_14項目!$D$2:$Q$1300,0,MATCH($B321,元データ_14項目!$D$1:$Q$1,0)),元データ_14項目!$A$2:$A$1300,$A321,元データ_14項目!$B$2:$B$1300,"本年",元データ_14項目!$C$2:$C$1300,E$5)</f>
        <v>39</v>
      </c>
      <c r="F321" s="26">
        <f>SUMIFS(INDEX(元データ_14項目!$D$2:$Q$1300,0,MATCH($B321,元データ_14項目!$D$1:$Q$1,0)),元データ_14項目!$A$2:$A$1300,$A321,元データ_14項目!$B$2:$B$1300,"本年",元データ_14項目!$C$2:$C$1300,F$5)</f>
        <v>50</v>
      </c>
      <c r="G321" s="26">
        <f>SUMIFS(INDEX(元データ_14項目!$D$2:$Q$1300,0,MATCH($B321,元データ_14項目!$D$1:$Q$1,0)),元データ_14項目!$A$2:$A$1300,$A321,元データ_14項目!$B$2:$B$1300,"本年",元データ_14項目!$C$2:$C$1300,G$5)</f>
        <v>69</v>
      </c>
      <c r="H321" s="26">
        <f>SUMIFS(INDEX(元データ_14項目!$D$2:$Q$1300,0,MATCH($B321,元データ_14項目!$D$1:$Q$1,0)),元データ_14項目!$A$2:$A$1300,$A321,元データ_14項目!$B$2:$B$1300,"本年",元データ_14項目!$C$2:$C$1300,H$5)</f>
        <v>89</v>
      </c>
      <c r="I321" s="26">
        <f>SUMIFS(INDEX(元データ_14項目!$D$2:$Q$1300,0,MATCH($B321,元データ_14項目!$D$1:$Q$1,0)),元データ_14項目!$A$2:$A$1300,$A321,元データ_14項目!$B$2:$B$1300,"本年",元データ_14項目!$C$2:$C$1300,I$5)</f>
        <v>52</v>
      </c>
      <c r="J321" s="26">
        <f>SUMIFS(INDEX(元データ_14項目!$D$2:$Q$1300,0,MATCH($B321,元データ_14項目!$D$1:$Q$1,0)),元データ_14項目!$A$2:$A$1300,$A321,元データ_14項目!$B$2:$B$1300,"本年",元データ_14項目!$C$2:$C$1300,J$5)</f>
        <v>85</v>
      </c>
      <c r="K321" s="26">
        <f>SUMIFS(INDEX(元データ_14項目!$D$2:$Q$1300,0,MATCH($B321,元データ_14項目!$D$1:$Q$1,0)),元データ_14項目!$A$2:$A$1300,$A321,元データ_14項目!$B$2:$B$1300,"本年",元データ_14項目!$C$2:$C$1300,K$5)</f>
        <v>237</v>
      </c>
      <c r="L321" s="26">
        <f>SUMIFS(INDEX(元データ_14項目!$D$2:$Q$1300,0,MATCH($B321,元データ_14項目!$D$1:$Q$1,0)),元データ_14項目!$A$2:$A$1300,$A321,元データ_14項目!$B$2:$B$1300,"本年",元データ_14項目!$C$2:$C$1300,L$5)</f>
        <v>181</v>
      </c>
      <c r="M321" s="26">
        <f>SUMIFS(INDEX(元データ_14項目!$D$2:$Q$1300,0,MATCH($B321,元データ_14項目!$D$1:$Q$1,0)),元データ_14項目!$A$2:$A$1300,$A321,元データ_14項目!$B$2:$B$1300,"本年",元データ_14項目!$C$2:$C$1300,M$5)</f>
        <v>62</v>
      </c>
      <c r="N321" s="26">
        <f>SUMIFS(INDEX(元データ_14項目!$D$2:$Q$1300,0,MATCH($B321,元データ_14項目!$D$1:$Q$1,0)),元データ_14項目!$A$2:$A$1300,$A321,元データ_14項目!$B$2:$B$1300,"本年",元データ_14項目!$C$2:$C$1300,N$5)</f>
        <v>29</v>
      </c>
      <c r="O321" s="26">
        <f t="shared" si="8"/>
        <v>921</v>
      </c>
      <c r="P321" s="26">
        <f>SUMIFS(INDEX(元データ_14項目!$D$2:$Q$1300,0,MATCH($B321,元データ_14項目!$D$1:$Q$1,0)),元データ_14項目!$A$2:$A$1300,$A321,元データ_14項目!$B$2:$B$1300,"前年")</f>
        <v>902</v>
      </c>
      <c r="Q321" s="7">
        <f t="shared" si="9"/>
        <v>1.0210643015521064</v>
      </c>
    </row>
    <row r="322" spans="1:17" x14ac:dyDescent="0.45">
      <c r="A322" t="s">
        <v>57</v>
      </c>
      <c r="B322" t="s">
        <v>94</v>
      </c>
      <c r="C322" s="26">
        <f>SUMIFS(INDEX(元データ_14項目!$D$2:$Q$1300,0,MATCH($B322,元データ_14項目!$D$1:$Q$1,0)),元データ_14項目!$A$2:$A$1300,$A322,元データ_14項目!$B$2:$B$1300,"本年",元データ_14項目!$C$2:$C$1300,C$5)</f>
        <v>14</v>
      </c>
      <c r="D322" s="26">
        <f>SUMIFS(INDEX(元データ_14項目!$D$2:$Q$1300,0,MATCH($B322,元データ_14項目!$D$1:$Q$1,0)),元データ_14項目!$A$2:$A$1300,$A322,元データ_14項目!$B$2:$B$1300,"本年",元データ_14項目!$C$2:$C$1300,D$5)</f>
        <v>12</v>
      </c>
      <c r="E322" s="26">
        <f>SUMIFS(INDEX(元データ_14項目!$D$2:$Q$1300,0,MATCH($B322,元データ_14項目!$D$1:$Q$1,0)),元データ_14項目!$A$2:$A$1300,$A322,元データ_14項目!$B$2:$B$1300,"本年",元データ_14項目!$C$2:$C$1300,E$5)</f>
        <v>29</v>
      </c>
      <c r="F322" s="26">
        <f>SUMIFS(INDEX(元データ_14項目!$D$2:$Q$1300,0,MATCH($B322,元データ_14項目!$D$1:$Q$1,0)),元データ_14項目!$A$2:$A$1300,$A322,元データ_14項目!$B$2:$B$1300,"本年",元データ_14項目!$C$2:$C$1300,F$5)</f>
        <v>18</v>
      </c>
      <c r="G322" s="26">
        <f>SUMIFS(INDEX(元データ_14項目!$D$2:$Q$1300,0,MATCH($B322,元データ_14項目!$D$1:$Q$1,0)),元データ_14項目!$A$2:$A$1300,$A322,元データ_14項目!$B$2:$B$1300,"本年",元データ_14項目!$C$2:$C$1300,G$5)</f>
        <v>17</v>
      </c>
      <c r="H322" s="26">
        <f>SUMIFS(INDEX(元データ_14項目!$D$2:$Q$1300,0,MATCH($B322,元データ_14項目!$D$1:$Q$1,0)),元データ_14項目!$A$2:$A$1300,$A322,元データ_14項目!$B$2:$B$1300,"本年",元データ_14項目!$C$2:$C$1300,H$5)</f>
        <v>22</v>
      </c>
      <c r="I322" s="26">
        <f>SUMIFS(INDEX(元データ_14項目!$D$2:$Q$1300,0,MATCH($B322,元データ_14項目!$D$1:$Q$1,0)),元データ_14項目!$A$2:$A$1300,$A322,元データ_14項目!$B$2:$B$1300,"本年",元データ_14項目!$C$2:$C$1300,I$5)</f>
        <v>19</v>
      </c>
      <c r="J322" s="26">
        <f>SUMIFS(INDEX(元データ_14項目!$D$2:$Q$1300,0,MATCH($B322,元データ_14項目!$D$1:$Q$1,0)),元データ_14項目!$A$2:$A$1300,$A322,元データ_14項目!$B$2:$B$1300,"本年",元データ_14項目!$C$2:$C$1300,J$5)</f>
        <v>15</v>
      </c>
      <c r="K322" s="26">
        <f>SUMIFS(INDEX(元データ_14項目!$D$2:$Q$1300,0,MATCH($B322,元データ_14項目!$D$1:$Q$1,0)),元データ_14項目!$A$2:$A$1300,$A322,元データ_14項目!$B$2:$B$1300,"本年",元データ_14項目!$C$2:$C$1300,K$5)</f>
        <v>91</v>
      </c>
      <c r="L322" s="26">
        <f>SUMIFS(INDEX(元データ_14項目!$D$2:$Q$1300,0,MATCH($B322,元データ_14項目!$D$1:$Q$1,0)),元データ_14項目!$A$2:$A$1300,$A322,元データ_14項目!$B$2:$B$1300,"本年",元データ_14項目!$C$2:$C$1300,L$5)</f>
        <v>61</v>
      </c>
      <c r="M322" s="26">
        <f>SUMIFS(INDEX(元データ_14項目!$D$2:$Q$1300,0,MATCH($B322,元データ_14項目!$D$1:$Q$1,0)),元データ_14項目!$A$2:$A$1300,$A322,元データ_14項目!$B$2:$B$1300,"本年",元データ_14項目!$C$2:$C$1300,M$5)</f>
        <v>20</v>
      </c>
      <c r="N322" s="26">
        <f>SUMIFS(INDEX(元データ_14項目!$D$2:$Q$1300,0,MATCH($B322,元データ_14項目!$D$1:$Q$1,0)),元データ_14項目!$A$2:$A$1300,$A322,元データ_14項目!$B$2:$B$1300,"本年",元データ_14項目!$C$2:$C$1300,N$5)</f>
        <v>30</v>
      </c>
      <c r="O322" s="26">
        <f t="shared" si="8"/>
        <v>348</v>
      </c>
      <c r="P322" s="26">
        <f>SUMIFS(INDEX(元データ_14項目!$D$2:$Q$1300,0,MATCH($B322,元データ_14項目!$D$1:$Q$1,0)),元データ_14項目!$A$2:$A$1300,$A322,元データ_14項目!$B$2:$B$1300,"前年")</f>
        <v>373</v>
      </c>
      <c r="Q322" s="7">
        <f t="shared" si="9"/>
        <v>0.93297587131367288</v>
      </c>
    </row>
    <row r="323" spans="1:17" x14ac:dyDescent="0.45">
      <c r="A323" t="s">
        <v>57</v>
      </c>
      <c r="B323" t="s">
        <v>95</v>
      </c>
      <c r="C323" s="26">
        <f>SUMIFS(INDEX(元データ_14項目!$D$2:$Q$1300,0,MATCH($B323,元データ_14項目!$D$1:$Q$1,0)),元データ_14項目!$A$2:$A$1300,$A323,元データ_14項目!$B$2:$B$1300,"本年",元データ_14項目!$C$2:$C$1300,C$5)</f>
        <v>23</v>
      </c>
      <c r="D323" s="26">
        <f>SUMIFS(INDEX(元データ_14項目!$D$2:$Q$1300,0,MATCH($B323,元データ_14項目!$D$1:$Q$1,0)),元データ_14項目!$A$2:$A$1300,$A323,元データ_14項目!$B$2:$B$1300,"本年",元データ_14項目!$C$2:$C$1300,D$5)</f>
        <v>15</v>
      </c>
      <c r="E323" s="26">
        <f>SUMIFS(INDEX(元データ_14項目!$D$2:$Q$1300,0,MATCH($B323,元データ_14項目!$D$1:$Q$1,0)),元データ_14項目!$A$2:$A$1300,$A323,元データ_14項目!$B$2:$B$1300,"本年",元データ_14項目!$C$2:$C$1300,E$5)</f>
        <v>40</v>
      </c>
      <c r="F323" s="26">
        <f>SUMIFS(INDEX(元データ_14項目!$D$2:$Q$1300,0,MATCH($B323,元データ_14項目!$D$1:$Q$1,0)),元データ_14項目!$A$2:$A$1300,$A323,元データ_14項目!$B$2:$B$1300,"本年",元データ_14項目!$C$2:$C$1300,F$5)</f>
        <v>19</v>
      </c>
      <c r="G323" s="26">
        <f>SUMIFS(INDEX(元データ_14項目!$D$2:$Q$1300,0,MATCH($B323,元データ_14項目!$D$1:$Q$1,0)),元データ_14項目!$A$2:$A$1300,$A323,元データ_14項目!$B$2:$B$1300,"本年",元データ_14項目!$C$2:$C$1300,G$5)</f>
        <v>25</v>
      </c>
      <c r="H323" s="26">
        <f>SUMIFS(INDEX(元データ_14項目!$D$2:$Q$1300,0,MATCH($B323,元データ_14項目!$D$1:$Q$1,0)),元データ_14項目!$A$2:$A$1300,$A323,元データ_14項目!$B$2:$B$1300,"本年",元データ_14項目!$C$2:$C$1300,H$5)</f>
        <v>9</v>
      </c>
      <c r="I323" s="26">
        <f>SUMIFS(INDEX(元データ_14項目!$D$2:$Q$1300,0,MATCH($B323,元データ_14項目!$D$1:$Q$1,0)),元データ_14項目!$A$2:$A$1300,$A323,元データ_14項目!$B$2:$B$1300,"本年",元データ_14項目!$C$2:$C$1300,I$5)</f>
        <v>8</v>
      </c>
      <c r="J323" s="26">
        <f>SUMIFS(INDEX(元データ_14項目!$D$2:$Q$1300,0,MATCH($B323,元データ_14項目!$D$1:$Q$1,0)),元データ_14項目!$A$2:$A$1300,$A323,元データ_14項目!$B$2:$B$1300,"本年",元データ_14項目!$C$2:$C$1300,J$5)</f>
        <v>30</v>
      </c>
      <c r="K323" s="26">
        <f>SUMIFS(INDEX(元データ_14項目!$D$2:$Q$1300,0,MATCH($B323,元データ_14項目!$D$1:$Q$1,0)),元データ_14項目!$A$2:$A$1300,$A323,元データ_14項目!$B$2:$B$1300,"本年",元データ_14項目!$C$2:$C$1300,K$5)</f>
        <v>32</v>
      </c>
      <c r="L323" s="26">
        <f>SUMIFS(INDEX(元データ_14項目!$D$2:$Q$1300,0,MATCH($B323,元データ_14項目!$D$1:$Q$1,0)),元データ_14項目!$A$2:$A$1300,$A323,元データ_14項目!$B$2:$B$1300,"本年",元データ_14項目!$C$2:$C$1300,L$5)</f>
        <v>25</v>
      </c>
      <c r="M323" s="26">
        <f>SUMIFS(INDEX(元データ_14項目!$D$2:$Q$1300,0,MATCH($B323,元データ_14項目!$D$1:$Q$1,0)),元データ_14項目!$A$2:$A$1300,$A323,元データ_14項目!$B$2:$B$1300,"本年",元データ_14項目!$C$2:$C$1300,M$5)</f>
        <v>28</v>
      </c>
      <c r="N323" s="26">
        <f>SUMIFS(INDEX(元データ_14項目!$D$2:$Q$1300,0,MATCH($B323,元データ_14項目!$D$1:$Q$1,0)),元データ_14項目!$A$2:$A$1300,$A323,元データ_14項目!$B$2:$B$1300,"本年",元データ_14項目!$C$2:$C$1300,N$5)</f>
        <v>28</v>
      </c>
      <c r="O323" s="26">
        <f t="shared" si="8"/>
        <v>282</v>
      </c>
      <c r="P323" s="26">
        <f>SUMIFS(INDEX(元データ_14項目!$D$2:$Q$1300,0,MATCH($B323,元データ_14項目!$D$1:$Q$1,0)),元データ_14項目!$A$2:$A$1300,$A323,元データ_14項目!$B$2:$B$1300,"前年")</f>
        <v>291</v>
      </c>
      <c r="Q323" s="7">
        <f t="shared" si="9"/>
        <v>0.96907216494845361</v>
      </c>
    </row>
    <row r="324" spans="1:17" x14ac:dyDescent="0.45">
      <c r="A324" t="s">
        <v>57</v>
      </c>
      <c r="B324" t="s">
        <v>96</v>
      </c>
      <c r="C324" s="26">
        <f>SUMIFS(INDEX(元データ_14項目!$D$2:$Q$1300,0,MATCH($B324,元データ_14項目!$D$1:$Q$1,0)),元データ_14項目!$A$2:$A$1300,$A324,元データ_14項目!$B$2:$B$1300,"本年",元データ_14項目!$C$2:$C$1300,C$5)</f>
        <v>14</v>
      </c>
      <c r="D324" s="26">
        <f>SUMIFS(INDEX(元データ_14項目!$D$2:$Q$1300,0,MATCH($B324,元データ_14項目!$D$1:$Q$1,0)),元データ_14項目!$A$2:$A$1300,$A324,元データ_14項目!$B$2:$B$1300,"本年",元データ_14項目!$C$2:$C$1300,D$5)</f>
        <v>15</v>
      </c>
      <c r="E324" s="26">
        <f>SUMIFS(INDEX(元データ_14項目!$D$2:$Q$1300,0,MATCH($B324,元データ_14項目!$D$1:$Q$1,0)),元データ_14項目!$A$2:$A$1300,$A324,元データ_14項目!$B$2:$B$1300,"本年",元データ_14項目!$C$2:$C$1300,E$5)</f>
        <v>57</v>
      </c>
      <c r="F324" s="26">
        <f>SUMIFS(INDEX(元データ_14項目!$D$2:$Q$1300,0,MATCH($B324,元データ_14項目!$D$1:$Q$1,0)),元データ_14項目!$A$2:$A$1300,$A324,元データ_14項目!$B$2:$B$1300,"本年",元データ_14項目!$C$2:$C$1300,F$5)</f>
        <v>547</v>
      </c>
      <c r="G324" s="26">
        <f>SUMIFS(INDEX(元データ_14項目!$D$2:$Q$1300,0,MATCH($B324,元データ_14項目!$D$1:$Q$1,0)),元データ_14項目!$A$2:$A$1300,$A324,元データ_14項目!$B$2:$B$1300,"本年",元データ_14項目!$C$2:$C$1300,G$5)</f>
        <v>55</v>
      </c>
      <c r="H324" s="26">
        <f>SUMIFS(INDEX(元データ_14項目!$D$2:$Q$1300,0,MATCH($B324,元データ_14項目!$D$1:$Q$1,0)),元データ_14項目!$A$2:$A$1300,$A324,元データ_14項目!$B$2:$B$1300,"本年",元データ_14項目!$C$2:$C$1300,H$5)</f>
        <v>28</v>
      </c>
      <c r="I324" s="26">
        <f>SUMIFS(INDEX(元データ_14項目!$D$2:$Q$1300,0,MATCH($B324,元データ_14項目!$D$1:$Q$1,0)),元データ_14項目!$A$2:$A$1300,$A324,元データ_14項目!$B$2:$B$1300,"本年",元データ_14項目!$C$2:$C$1300,I$5)</f>
        <v>24</v>
      </c>
      <c r="J324" s="26">
        <f>SUMIFS(INDEX(元データ_14項目!$D$2:$Q$1300,0,MATCH($B324,元データ_14項目!$D$1:$Q$1,0)),元データ_14項目!$A$2:$A$1300,$A324,元データ_14項目!$B$2:$B$1300,"本年",元データ_14項目!$C$2:$C$1300,J$5)</f>
        <v>122</v>
      </c>
      <c r="K324" s="26">
        <f>SUMIFS(INDEX(元データ_14項目!$D$2:$Q$1300,0,MATCH($B324,元データ_14項目!$D$1:$Q$1,0)),元データ_14項目!$A$2:$A$1300,$A324,元データ_14項目!$B$2:$B$1300,"本年",元データ_14項目!$C$2:$C$1300,K$5)</f>
        <v>281</v>
      </c>
      <c r="L324" s="26">
        <f>SUMIFS(INDEX(元データ_14項目!$D$2:$Q$1300,0,MATCH($B324,元データ_14項目!$D$1:$Q$1,0)),元データ_14項目!$A$2:$A$1300,$A324,元データ_14項目!$B$2:$B$1300,"本年",元データ_14項目!$C$2:$C$1300,L$5)</f>
        <v>167</v>
      </c>
      <c r="M324" s="26">
        <f>SUMIFS(INDEX(元データ_14項目!$D$2:$Q$1300,0,MATCH($B324,元データ_14項目!$D$1:$Q$1,0)),元データ_14項目!$A$2:$A$1300,$A324,元データ_14項目!$B$2:$B$1300,"本年",元データ_14項目!$C$2:$C$1300,M$5)</f>
        <v>86</v>
      </c>
      <c r="N324" s="26">
        <f>SUMIFS(INDEX(元データ_14項目!$D$2:$Q$1300,0,MATCH($B324,元データ_14項目!$D$1:$Q$1,0)),元データ_14項目!$A$2:$A$1300,$A324,元データ_14項目!$B$2:$B$1300,"本年",元データ_14項目!$C$2:$C$1300,N$5)</f>
        <v>45</v>
      </c>
      <c r="O324" s="26">
        <f t="shared" si="8"/>
        <v>1441</v>
      </c>
      <c r="P324" s="26">
        <f>SUMIFS(INDEX(元データ_14項目!$D$2:$Q$1300,0,MATCH($B324,元データ_14項目!$D$1:$Q$1,0)),元データ_14項目!$A$2:$A$1300,$A324,元データ_14項目!$B$2:$B$1300,"前年")</f>
        <v>959</v>
      </c>
      <c r="Q324" s="7">
        <f t="shared" si="9"/>
        <v>1.502606882168926</v>
      </c>
    </row>
    <row r="325" spans="1:17" x14ac:dyDescent="0.45">
      <c r="A325" t="s">
        <v>57</v>
      </c>
      <c r="B325" t="s">
        <v>97</v>
      </c>
      <c r="C325" s="26">
        <f>SUMIFS(INDEX(元データ_14項目!$D$2:$Q$1300,0,MATCH($B325,元データ_14項目!$D$1:$Q$1,0)),元データ_14項目!$A$2:$A$1300,$A325,元データ_14項目!$B$2:$B$1300,"本年",元データ_14項目!$C$2:$C$1300,C$5)</f>
        <v>17</v>
      </c>
      <c r="D325" s="26">
        <f>SUMIFS(INDEX(元データ_14項目!$D$2:$Q$1300,0,MATCH($B325,元データ_14項目!$D$1:$Q$1,0)),元データ_14項目!$A$2:$A$1300,$A325,元データ_14項目!$B$2:$B$1300,"本年",元データ_14項目!$C$2:$C$1300,D$5)</f>
        <v>5</v>
      </c>
      <c r="E325" s="26">
        <f>SUMIFS(INDEX(元データ_14項目!$D$2:$Q$1300,0,MATCH($B325,元データ_14項目!$D$1:$Q$1,0)),元データ_14項目!$A$2:$A$1300,$A325,元データ_14項目!$B$2:$B$1300,"本年",元データ_14項目!$C$2:$C$1300,E$5)</f>
        <v>28</v>
      </c>
      <c r="F325" s="26">
        <f>SUMIFS(INDEX(元データ_14項目!$D$2:$Q$1300,0,MATCH($B325,元データ_14項目!$D$1:$Q$1,0)),元データ_14項目!$A$2:$A$1300,$A325,元データ_14項目!$B$2:$B$1300,"本年",元データ_14項目!$C$2:$C$1300,F$5)</f>
        <v>34</v>
      </c>
      <c r="G325" s="26">
        <f>SUMIFS(INDEX(元データ_14項目!$D$2:$Q$1300,0,MATCH($B325,元データ_14項目!$D$1:$Q$1,0)),元データ_14項目!$A$2:$A$1300,$A325,元データ_14項目!$B$2:$B$1300,"本年",元データ_14項目!$C$2:$C$1300,G$5)</f>
        <v>33</v>
      </c>
      <c r="H325" s="26">
        <f>SUMIFS(INDEX(元データ_14項目!$D$2:$Q$1300,0,MATCH($B325,元データ_14項目!$D$1:$Q$1,0)),元データ_14項目!$A$2:$A$1300,$A325,元データ_14項目!$B$2:$B$1300,"本年",元データ_14項目!$C$2:$C$1300,H$5)</f>
        <v>13</v>
      </c>
      <c r="I325" s="26">
        <f>SUMIFS(INDEX(元データ_14項目!$D$2:$Q$1300,0,MATCH($B325,元データ_14項目!$D$1:$Q$1,0)),元データ_14項目!$A$2:$A$1300,$A325,元データ_14項目!$B$2:$B$1300,"本年",元データ_14項目!$C$2:$C$1300,I$5)</f>
        <v>12</v>
      </c>
      <c r="J325" s="26">
        <f>SUMIFS(INDEX(元データ_14項目!$D$2:$Q$1300,0,MATCH($B325,元データ_14項目!$D$1:$Q$1,0)),元データ_14項目!$A$2:$A$1300,$A325,元データ_14項目!$B$2:$B$1300,"本年",元データ_14項目!$C$2:$C$1300,J$5)</f>
        <v>57</v>
      </c>
      <c r="K325" s="26">
        <f>SUMIFS(INDEX(元データ_14項目!$D$2:$Q$1300,0,MATCH($B325,元データ_14項目!$D$1:$Q$1,0)),元データ_14項目!$A$2:$A$1300,$A325,元データ_14項目!$B$2:$B$1300,"本年",元データ_14項目!$C$2:$C$1300,K$5)</f>
        <v>132</v>
      </c>
      <c r="L325" s="26">
        <f>SUMIFS(INDEX(元データ_14項目!$D$2:$Q$1300,0,MATCH($B325,元データ_14項目!$D$1:$Q$1,0)),元データ_14項目!$A$2:$A$1300,$A325,元データ_14項目!$B$2:$B$1300,"本年",元データ_14項目!$C$2:$C$1300,L$5)</f>
        <v>61</v>
      </c>
      <c r="M325" s="26">
        <f>SUMIFS(INDEX(元データ_14項目!$D$2:$Q$1300,0,MATCH($B325,元データ_14項目!$D$1:$Q$1,0)),元データ_14項目!$A$2:$A$1300,$A325,元データ_14項目!$B$2:$B$1300,"本年",元データ_14項目!$C$2:$C$1300,M$5)</f>
        <v>47</v>
      </c>
      <c r="N325" s="26">
        <f>SUMIFS(INDEX(元データ_14項目!$D$2:$Q$1300,0,MATCH($B325,元データ_14項目!$D$1:$Q$1,0)),元データ_14項目!$A$2:$A$1300,$A325,元データ_14項目!$B$2:$B$1300,"本年",元データ_14項目!$C$2:$C$1300,N$5)</f>
        <v>21</v>
      </c>
      <c r="O325" s="26">
        <f t="shared" si="8"/>
        <v>460</v>
      </c>
      <c r="P325" s="26">
        <f>SUMIFS(INDEX(元データ_14項目!$D$2:$Q$1300,0,MATCH($B325,元データ_14項目!$D$1:$Q$1,0)),元データ_14項目!$A$2:$A$1300,$A325,元データ_14項目!$B$2:$B$1300,"前年")</f>
        <v>475</v>
      </c>
      <c r="Q325" s="7">
        <f t="shared" si="9"/>
        <v>0.96842105263157896</v>
      </c>
    </row>
    <row r="326" spans="1:17" x14ac:dyDescent="0.45">
      <c r="A326" t="s">
        <v>57</v>
      </c>
      <c r="B326" t="s">
        <v>98</v>
      </c>
      <c r="C326" s="26">
        <f>SUMIFS(INDEX(元データ_14項目!$D$2:$Q$1300,0,MATCH($B326,元データ_14項目!$D$1:$Q$1,0)),元データ_14項目!$A$2:$A$1300,$A326,元データ_14項目!$B$2:$B$1300,"本年",元データ_14項目!$C$2:$C$1300,C$5)</f>
        <v>5</v>
      </c>
      <c r="D326" s="26">
        <f>SUMIFS(INDEX(元データ_14項目!$D$2:$Q$1300,0,MATCH($B326,元データ_14項目!$D$1:$Q$1,0)),元データ_14項目!$A$2:$A$1300,$A326,元データ_14項目!$B$2:$B$1300,"本年",元データ_14項目!$C$2:$C$1300,D$5)</f>
        <v>3</v>
      </c>
      <c r="E326" s="26">
        <f>SUMIFS(INDEX(元データ_14項目!$D$2:$Q$1300,0,MATCH($B326,元データ_14項目!$D$1:$Q$1,0)),元データ_14項目!$A$2:$A$1300,$A326,元データ_14項目!$B$2:$B$1300,"本年",元データ_14項目!$C$2:$C$1300,E$5)</f>
        <v>18</v>
      </c>
      <c r="F326" s="26">
        <f>SUMIFS(INDEX(元データ_14項目!$D$2:$Q$1300,0,MATCH($B326,元データ_14項目!$D$1:$Q$1,0)),元データ_14項目!$A$2:$A$1300,$A326,元データ_14項目!$B$2:$B$1300,"本年",元データ_14項目!$C$2:$C$1300,F$5)</f>
        <v>17</v>
      </c>
      <c r="G326" s="26">
        <f>SUMIFS(INDEX(元データ_14項目!$D$2:$Q$1300,0,MATCH($B326,元データ_14項目!$D$1:$Q$1,0)),元データ_14項目!$A$2:$A$1300,$A326,元データ_14項目!$B$2:$B$1300,"本年",元データ_14項目!$C$2:$C$1300,G$5)</f>
        <v>17</v>
      </c>
      <c r="H326" s="26">
        <f>SUMIFS(INDEX(元データ_14項目!$D$2:$Q$1300,0,MATCH($B326,元データ_14項目!$D$1:$Q$1,0)),元データ_14項目!$A$2:$A$1300,$A326,元データ_14項目!$B$2:$B$1300,"本年",元データ_14項目!$C$2:$C$1300,H$5)</f>
        <v>10</v>
      </c>
      <c r="I326" s="26">
        <f>SUMIFS(INDEX(元データ_14項目!$D$2:$Q$1300,0,MATCH($B326,元データ_14項目!$D$1:$Q$1,0)),元データ_14項目!$A$2:$A$1300,$A326,元データ_14項目!$B$2:$B$1300,"本年",元データ_14項目!$C$2:$C$1300,I$5)</f>
        <v>12</v>
      </c>
      <c r="J326" s="26">
        <f>SUMIFS(INDEX(元データ_14項目!$D$2:$Q$1300,0,MATCH($B326,元データ_14項目!$D$1:$Q$1,0)),元データ_14項目!$A$2:$A$1300,$A326,元データ_14項目!$B$2:$B$1300,"本年",元データ_14項目!$C$2:$C$1300,J$5)</f>
        <v>71</v>
      </c>
      <c r="K326" s="26">
        <f>SUMIFS(INDEX(元データ_14項目!$D$2:$Q$1300,0,MATCH($B326,元データ_14項目!$D$1:$Q$1,0)),元データ_14項目!$A$2:$A$1300,$A326,元データ_14項目!$B$2:$B$1300,"本年",元データ_14項目!$C$2:$C$1300,K$5)</f>
        <v>156</v>
      </c>
      <c r="L326" s="26">
        <f>SUMIFS(INDEX(元データ_14項目!$D$2:$Q$1300,0,MATCH($B326,元データ_14項目!$D$1:$Q$1,0)),元データ_14項目!$A$2:$A$1300,$A326,元データ_14項目!$B$2:$B$1300,"本年",元データ_14項目!$C$2:$C$1300,L$5)</f>
        <v>81</v>
      </c>
      <c r="M326" s="26">
        <f>SUMIFS(INDEX(元データ_14項目!$D$2:$Q$1300,0,MATCH($B326,元データ_14項目!$D$1:$Q$1,0)),元データ_14項目!$A$2:$A$1300,$A326,元データ_14項目!$B$2:$B$1300,"本年",元データ_14項目!$C$2:$C$1300,M$5)</f>
        <v>24</v>
      </c>
      <c r="N326" s="26">
        <f>SUMIFS(INDEX(元データ_14項目!$D$2:$Q$1300,0,MATCH($B326,元データ_14項目!$D$1:$Q$1,0)),元データ_14項目!$A$2:$A$1300,$A326,元データ_14項目!$B$2:$B$1300,"本年",元データ_14項目!$C$2:$C$1300,N$5)</f>
        <v>8</v>
      </c>
      <c r="O326" s="26">
        <f t="shared" si="8"/>
        <v>422</v>
      </c>
      <c r="P326" s="26">
        <f>SUMIFS(INDEX(元データ_14項目!$D$2:$Q$1300,0,MATCH($B326,元データ_14項目!$D$1:$Q$1,0)),元データ_14項目!$A$2:$A$1300,$A326,元データ_14項目!$B$2:$B$1300,"前年")</f>
        <v>444</v>
      </c>
      <c r="Q326" s="7">
        <f t="shared" si="9"/>
        <v>0.9504504504504504</v>
      </c>
    </row>
    <row r="327" spans="1:17" x14ac:dyDescent="0.45">
      <c r="A327" t="s">
        <v>57</v>
      </c>
      <c r="B327" t="s">
        <v>99</v>
      </c>
      <c r="C327" s="26">
        <f>SUMIFS(INDEX(元データ_14項目!$D$2:$Q$1300,0,MATCH($B327,元データ_14項目!$D$1:$Q$1,0)),元データ_14項目!$A$2:$A$1300,$A327,元データ_14項目!$B$2:$B$1300,"本年",元データ_14項目!$C$2:$C$1300,C$5)</f>
        <v>0</v>
      </c>
      <c r="D327" s="26">
        <f>SUMIFS(INDEX(元データ_14項目!$D$2:$Q$1300,0,MATCH($B327,元データ_14項目!$D$1:$Q$1,0)),元データ_14項目!$A$2:$A$1300,$A327,元データ_14項目!$B$2:$B$1300,"本年",元データ_14項目!$C$2:$C$1300,D$5)</f>
        <v>0</v>
      </c>
      <c r="E327" s="26">
        <f>SUMIFS(INDEX(元データ_14項目!$D$2:$Q$1300,0,MATCH($B327,元データ_14項目!$D$1:$Q$1,0)),元データ_14項目!$A$2:$A$1300,$A327,元データ_14項目!$B$2:$B$1300,"本年",元データ_14項目!$C$2:$C$1300,E$5)</f>
        <v>0</v>
      </c>
      <c r="F327" s="26">
        <f>SUMIFS(INDEX(元データ_14項目!$D$2:$Q$1300,0,MATCH($B327,元データ_14項目!$D$1:$Q$1,0)),元データ_14項目!$A$2:$A$1300,$A327,元データ_14項目!$B$2:$B$1300,"本年",元データ_14項目!$C$2:$C$1300,F$5)</f>
        <v>0</v>
      </c>
      <c r="G327" s="26">
        <f>SUMIFS(INDEX(元データ_14項目!$D$2:$Q$1300,0,MATCH($B327,元データ_14項目!$D$1:$Q$1,0)),元データ_14項目!$A$2:$A$1300,$A327,元データ_14項目!$B$2:$B$1300,"本年",元データ_14項目!$C$2:$C$1300,G$5)</f>
        <v>1</v>
      </c>
      <c r="H327" s="26">
        <f>SUMIFS(INDEX(元データ_14項目!$D$2:$Q$1300,0,MATCH($B327,元データ_14項目!$D$1:$Q$1,0)),元データ_14項目!$A$2:$A$1300,$A327,元データ_14項目!$B$2:$B$1300,"本年",元データ_14項目!$C$2:$C$1300,H$5)</f>
        <v>0</v>
      </c>
      <c r="I327" s="26">
        <f>SUMIFS(INDEX(元データ_14項目!$D$2:$Q$1300,0,MATCH($B327,元データ_14項目!$D$1:$Q$1,0)),元データ_14項目!$A$2:$A$1300,$A327,元データ_14項目!$B$2:$B$1300,"本年",元データ_14項目!$C$2:$C$1300,I$5)</f>
        <v>1</v>
      </c>
      <c r="J327" s="26">
        <f>SUMIFS(INDEX(元データ_14項目!$D$2:$Q$1300,0,MATCH($B327,元データ_14項目!$D$1:$Q$1,0)),元データ_14項目!$A$2:$A$1300,$A327,元データ_14項目!$B$2:$B$1300,"本年",元データ_14項目!$C$2:$C$1300,J$5)</f>
        <v>10</v>
      </c>
      <c r="K327" s="26">
        <f>SUMIFS(INDEX(元データ_14項目!$D$2:$Q$1300,0,MATCH($B327,元データ_14項目!$D$1:$Q$1,0)),元データ_14項目!$A$2:$A$1300,$A327,元データ_14項目!$B$2:$B$1300,"本年",元データ_14項目!$C$2:$C$1300,K$5)</f>
        <v>5</v>
      </c>
      <c r="L327" s="26">
        <f>SUMIFS(INDEX(元データ_14項目!$D$2:$Q$1300,0,MATCH($B327,元データ_14項目!$D$1:$Q$1,0)),元データ_14項目!$A$2:$A$1300,$A327,元データ_14項目!$B$2:$B$1300,"本年",元データ_14項目!$C$2:$C$1300,L$5)</f>
        <v>8</v>
      </c>
      <c r="M327" s="26">
        <f>SUMIFS(INDEX(元データ_14項目!$D$2:$Q$1300,0,MATCH($B327,元データ_14項目!$D$1:$Q$1,0)),元データ_14項目!$A$2:$A$1300,$A327,元データ_14項目!$B$2:$B$1300,"本年",元データ_14項目!$C$2:$C$1300,M$5)</f>
        <v>7</v>
      </c>
      <c r="N327" s="26">
        <f>SUMIFS(INDEX(元データ_14項目!$D$2:$Q$1300,0,MATCH($B327,元データ_14項目!$D$1:$Q$1,0)),元データ_14項目!$A$2:$A$1300,$A327,元データ_14項目!$B$2:$B$1300,"本年",元データ_14項目!$C$2:$C$1300,N$5)</f>
        <v>0</v>
      </c>
      <c r="O327" s="26">
        <f t="shared" ref="O327:O390" si="10">SUM(C327:N327)</f>
        <v>32</v>
      </c>
      <c r="P327" s="26">
        <f>SUMIFS(INDEX(元データ_14項目!$D$2:$Q$1300,0,MATCH($B327,元データ_14項目!$D$1:$Q$1,0)),元データ_14項目!$A$2:$A$1300,$A327,元データ_14項目!$B$2:$B$1300,"前年")</f>
        <v>17</v>
      </c>
      <c r="Q327" s="7">
        <f t="shared" ref="Q327:Q390" si="11">IFERROR(O327/P327,"")</f>
        <v>1.8823529411764706</v>
      </c>
    </row>
    <row r="328" spans="1:17" x14ac:dyDescent="0.45">
      <c r="A328" t="s">
        <v>58</v>
      </c>
      <c r="B328" t="s">
        <v>27</v>
      </c>
      <c r="C328" s="26">
        <f>SUMIFS(INDEX(元データ_14項目!$D$2:$Q$1300,0,MATCH($B328,元データ_14項目!$D$1:$Q$1,0)),元データ_14項目!$A$2:$A$1300,$A328,元データ_14項目!$B$2:$B$1300,"本年",元データ_14項目!$C$2:$C$1300,C$5)</f>
        <v>2015</v>
      </c>
      <c r="D328" s="26">
        <f>SUMIFS(INDEX(元データ_14項目!$D$2:$Q$1300,0,MATCH($B328,元データ_14項目!$D$1:$Q$1,0)),元データ_14項目!$A$2:$A$1300,$A328,元データ_14項目!$B$2:$B$1300,"本年",元データ_14項目!$C$2:$C$1300,D$5)</f>
        <v>2365</v>
      </c>
      <c r="E328" s="26">
        <f>SUMIFS(INDEX(元データ_14項目!$D$2:$Q$1300,0,MATCH($B328,元データ_14項目!$D$1:$Q$1,0)),元データ_14項目!$A$2:$A$1300,$A328,元データ_14項目!$B$2:$B$1300,"本年",元データ_14項目!$C$2:$C$1300,E$5)</f>
        <v>2798</v>
      </c>
      <c r="F328" s="26">
        <f>SUMIFS(INDEX(元データ_14項目!$D$2:$Q$1300,0,MATCH($B328,元データ_14項目!$D$1:$Q$1,0)),元データ_14項目!$A$2:$A$1300,$A328,元データ_14項目!$B$2:$B$1300,"本年",元データ_14項目!$C$2:$C$1300,F$5)</f>
        <v>2320</v>
      </c>
      <c r="G328" s="26">
        <f>SUMIFS(INDEX(元データ_14項目!$D$2:$Q$1300,0,MATCH($B328,元データ_14項目!$D$1:$Q$1,0)),元データ_14項目!$A$2:$A$1300,$A328,元データ_14項目!$B$2:$B$1300,"本年",元データ_14項目!$C$2:$C$1300,G$5)</f>
        <v>2499</v>
      </c>
      <c r="H328" s="26">
        <f>SUMIFS(INDEX(元データ_14項目!$D$2:$Q$1300,0,MATCH($B328,元データ_14項目!$D$1:$Q$1,0)),元データ_14項目!$A$2:$A$1300,$A328,元データ_14項目!$B$2:$B$1300,"本年",元データ_14項目!$C$2:$C$1300,H$5)</f>
        <v>1974</v>
      </c>
      <c r="I328" s="26">
        <f>SUMIFS(INDEX(元データ_14項目!$D$2:$Q$1300,0,MATCH($B328,元データ_14項目!$D$1:$Q$1,0)),元データ_14項目!$A$2:$A$1300,$A328,元データ_14項目!$B$2:$B$1300,"本年",元データ_14項目!$C$2:$C$1300,I$5)</f>
        <v>2067</v>
      </c>
      <c r="J328" s="26">
        <f>SUMIFS(INDEX(元データ_14項目!$D$2:$Q$1300,0,MATCH($B328,元データ_14項目!$D$1:$Q$1,0)),元データ_14項目!$A$2:$A$1300,$A328,元データ_14項目!$B$2:$B$1300,"本年",元データ_14項目!$C$2:$C$1300,J$5)</f>
        <v>2334</v>
      </c>
      <c r="K328" s="26">
        <f>SUMIFS(INDEX(元データ_14項目!$D$2:$Q$1300,0,MATCH($B328,元データ_14項目!$D$1:$Q$1,0)),元データ_14項目!$A$2:$A$1300,$A328,元データ_14項目!$B$2:$B$1300,"本年",元データ_14項目!$C$2:$C$1300,K$5)</f>
        <v>2386</v>
      </c>
      <c r="L328" s="26">
        <f>SUMIFS(INDEX(元データ_14項目!$D$2:$Q$1300,0,MATCH($B328,元データ_14項目!$D$1:$Q$1,0)),元データ_14項目!$A$2:$A$1300,$A328,元データ_14項目!$B$2:$B$1300,"本年",元データ_14項目!$C$2:$C$1300,L$5)</f>
        <v>2079</v>
      </c>
      <c r="M328" s="26">
        <f>SUMIFS(INDEX(元データ_14項目!$D$2:$Q$1300,0,MATCH($B328,元データ_14項目!$D$1:$Q$1,0)),元データ_14項目!$A$2:$A$1300,$A328,元データ_14項目!$B$2:$B$1300,"本年",元データ_14項目!$C$2:$C$1300,M$5)</f>
        <v>2485</v>
      </c>
      <c r="N328" s="26">
        <f>SUMIFS(INDEX(元データ_14項目!$D$2:$Q$1300,0,MATCH($B328,元データ_14項目!$D$1:$Q$1,0)),元データ_14項目!$A$2:$A$1300,$A328,元データ_14項目!$B$2:$B$1300,"本年",元データ_14項目!$C$2:$C$1300,N$5)</f>
        <v>2086</v>
      </c>
      <c r="O328" s="26">
        <f t="shared" si="10"/>
        <v>27408</v>
      </c>
      <c r="P328" s="26">
        <f>SUMIFS(INDEX(元データ_14項目!$D$2:$Q$1300,0,MATCH($B328,元データ_14項目!$D$1:$Q$1,0)),元データ_14項目!$A$2:$A$1300,$A328,元データ_14項目!$B$2:$B$1300,"前年")</f>
        <v>29395</v>
      </c>
      <c r="Q328" s="7">
        <f t="shared" si="11"/>
        <v>0.93240346997788737</v>
      </c>
    </row>
    <row r="329" spans="1:17" x14ac:dyDescent="0.45">
      <c r="A329" t="s">
        <v>58</v>
      </c>
      <c r="B329" t="s">
        <v>88</v>
      </c>
      <c r="C329" s="26">
        <f>SUMIFS(INDEX(元データ_14項目!$D$2:$Q$1300,0,MATCH($B329,元データ_14項目!$D$1:$Q$1,0)),元データ_14項目!$A$2:$A$1300,$A329,元データ_14項目!$B$2:$B$1300,"本年",元データ_14項目!$C$2:$C$1300,C$5)</f>
        <v>96</v>
      </c>
      <c r="D329" s="26">
        <f>SUMIFS(INDEX(元データ_14項目!$D$2:$Q$1300,0,MATCH($B329,元データ_14項目!$D$1:$Q$1,0)),元データ_14項目!$A$2:$A$1300,$A329,元データ_14項目!$B$2:$B$1300,"本年",元データ_14項目!$C$2:$C$1300,D$5)</f>
        <v>99</v>
      </c>
      <c r="E329" s="26">
        <f>SUMIFS(INDEX(元データ_14項目!$D$2:$Q$1300,0,MATCH($B329,元データ_14項目!$D$1:$Q$1,0)),元データ_14項目!$A$2:$A$1300,$A329,元データ_14項目!$B$2:$B$1300,"本年",元データ_14項目!$C$2:$C$1300,E$5)</f>
        <v>120</v>
      </c>
      <c r="F329" s="26">
        <f>SUMIFS(INDEX(元データ_14項目!$D$2:$Q$1300,0,MATCH($B329,元データ_14項目!$D$1:$Q$1,0)),元データ_14項目!$A$2:$A$1300,$A329,元データ_14項目!$B$2:$B$1300,"本年",元データ_14項目!$C$2:$C$1300,F$5)</f>
        <v>180</v>
      </c>
      <c r="G329" s="26">
        <f>SUMIFS(INDEX(元データ_14項目!$D$2:$Q$1300,0,MATCH($B329,元データ_14項目!$D$1:$Q$1,0)),元データ_14項目!$A$2:$A$1300,$A329,元データ_14項目!$B$2:$B$1300,"本年",元データ_14項目!$C$2:$C$1300,G$5)</f>
        <v>139</v>
      </c>
      <c r="H329" s="26">
        <f>SUMIFS(INDEX(元データ_14項目!$D$2:$Q$1300,0,MATCH($B329,元データ_14項目!$D$1:$Q$1,0)),元データ_14項目!$A$2:$A$1300,$A329,元データ_14項目!$B$2:$B$1300,"本年",元データ_14項目!$C$2:$C$1300,H$5)</f>
        <v>91</v>
      </c>
      <c r="I329" s="26">
        <f>SUMIFS(INDEX(元データ_14項目!$D$2:$Q$1300,0,MATCH($B329,元データ_14項目!$D$1:$Q$1,0)),元データ_14項目!$A$2:$A$1300,$A329,元データ_14項目!$B$2:$B$1300,"本年",元データ_14項目!$C$2:$C$1300,I$5)</f>
        <v>87</v>
      </c>
      <c r="J329" s="26">
        <f>SUMIFS(INDEX(元データ_14項目!$D$2:$Q$1300,0,MATCH($B329,元データ_14項目!$D$1:$Q$1,0)),元データ_14項目!$A$2:$A$1300,$A329,元データ_14項目!$B$2:$B$1300,"本年",元データ_14項目!$C$2:$C$1300,J$5)</f>
        <v>97</v>
      </c>
      <c r="K329" s="26">
        <f>SUMIFS(INDEX(元データ_14項目!$D$2:$Q$1300,0,MATCH($B329,元データ_14項目!$D$1:$Q$1,0)),元データ_14項目!$A$2:$A$1300,$A329,元データ_14項目!$B$2:$B$1300,"本年",元データ_14項目!$C$2:$C$1300,K$5)</f>
        <v>111</v>
      </c>
      <c r="L329" s="26">
        <f>SUMIFS(INDEX(元データ_14項目!$D$2:$Q$1300,0,MATCH($B329,元データ_14項目!$D$1:$Q$1,0)),元データ_14項目!$A$2:$A$1300,$A329,元データ_14項目!$B$2:$B$1300,"本年",元データ_14項目!$C$2:$C$1300,L$5)</f>
        <v>145</v>
      </c>
      <c r="M329" s="26">
        <f>SUMIFS(INDEX(元データ_14項目!$D$2:$Q$1300,0,MATCH($B329,元データ_14項目!$D$1:$Q$1,0)),元データ_14項目!$A$2:$A$1300,$A329,元データ_14項目!$B$2:$B$1300,"本年",元データ_14項目!$C$2:$C$1300,M$5)</f>
        <v>107</v>
      </c>
      <c r="N329" s="26">
        <f>SUMIFS(INDEX(元データ_14項目!$D$2:$Q$1300,0,MATCH($B329,元データ_14項目!$D$1:$Q$1,0)),元データ_14項目!$A$2:$A$1300,$A329,元データ_14項目!$B$2:$B$1300,"本年",元データ_14項目!$C$2:$C$1300,N$5)</f>
        <v>109</v>
      </c>
      <c r="O329" s="26">
        <f t="shared" si="10"/>
        <v>1381</v>
      </c>
      <c r="P329" s="26">
        <f>SUMIFS(INDEX(元データ_14項目!$D$2:$Q$1300,0,MATCH($B329,元データ_14項目!$D$1:$Q$1,0)),元データ_14項目!$A$2:$A$1300,$A329,元データ_14項目!$B$2:$B$1300,"前年")</f>
        <v>1351</v>
      </c>
      <c r="Q329" s="7">
        <f t="shared" si="11"/>
        <v>1.0222057735011103</v>
      </c>
    </row>
    <row r="330" spans="1:17" x14ac:dyDescent="0.45">
      <c r="A330" t="s">
        <v>58</v>
      </c>
      <c r="B330" t="s">
        <v>89</v>
      </c>
      <c r="C330" s="26">
        <f>SUMIFS(INDEX(元データ_14項目!$D$2:$Q$1300,0,MATCH($B330,元データ_14項目!$D$1:$Q$1,0)),元データ_14項目!$A$2:$A$1300,$A330,元データ_14項目!$B$2:$B$1300,"本年",元データ_14項目!$C$2:$C$1300,C$5)</f>
        <v>91</v>
      </c>
      <c r="D330" s="26">
        <f>SUMIFS(INDEX(元データ_14項目!$D$2:$Q$1300,0,MATCH($B330,元データ_14項目!$D$1:$Q$1,0)),元データ_14項目!$A$2:$A$1300,$A330,元データ_14項目!$B$2:$B$1300,"本年",元データ_14項目!$C$2:$C$1300,D$5)</f>
        <v>86</v>
      </c>
      <c r="E330" s="26">
        <f>SUMIFS(INDEX(元データ_14項目!$D$2:$Q$1300,0,MATCH($B330,元データ_14項目!$D$1:$Q$1,0)),元データ_14項目!$A$2:$A$1300,$A330,元データ_14項目!$B$2:$B$1300,"本年",元データ_14項目!$C$2:$C$1300,E$5)</f>
        <v>157</v>
      </c>
      <c r="F330" s="26">
        <f>SUMIFS(INDEX(元データ_14項目!$D$2:$Q$1300,0,MATCH($B330,元データ_14項目!$D$1:$Q$1,0)),元データ_14項目!$A$2:$A$1300,$A330,元データ_14項目!$B$2:$B$1300,"本年",元データ_14項目!$C$2:$C$1300,F$5)</f>
        <v>96</v>
      </c>
      <c r="G330" s="26">
        <f>SUMIFS(INDEX(元データ_14項目!$D$2:$Q$1300,0,MATCH($B330,元データ_14項目!$D$1:$Q$1,0)),元データ_14項目!$A$2:$A$1300,$A330,元データ_14項目!$B$2:$B$1300,"本年",元データ_14項目!$C$2:$C$1300,G$5)</f>
        <v>101</v>
      </c>
      <c r="H330" s="26">
        <f>SUMIFS(INDEX(元データ_14項目!$D$2:$Q$1300,0,MATCH($B330,元データ_14項目!$D$1:$Q$1,0)),元データ_14項目!$A$2:$A$1300,$A330,元データ_14項目!$B$2:$B$1300,"本年",元データ_14項目!$C$2:$C$1300,H$5)</f>
        <v>50</v>
      </c>
      <c r="I330" s="26">
        <f>SUMIFS(INDEX(元データ_14項目!$D$2:$Q$1300,0,MATCH($B330,元データ_14項目!$D$1:$Q$1,0)),元データ_14項目!$A$2:$A$1300,$A330,元データ_14項目!$B$2:$B$1300,"本年",元データ_14項目!$C$2:$C$1300,I$5)</f>
        <v>37</v>
      </c>
      <c r="J330" s="26">
        <f>SUMIFS(INDEX(元データ_14項目!$D$2:$Q$1300,0,MATCH($B330,元データ_14項目!$D$1:$Q$1,0)),元データ_14項目!$A$2:$A$1300,$A330,元データ_14項目!$B$2:$B$1300,"本年",元データ_14項目!$C$2:$C$1300,J$5)</f>
        <v>124</v>
      </c>
      <c r="K330" s="26">
        <f>SUMIFS(INDEX(元データ_14項目!$D$2:$Q$1300,0,MATCH($B330,元データ_14項目!$D$1:$Q$1,0)),元データ_14項目!$A$2:$A$1300,$A330,元データ_14項目!$B$2:$B$1300,"本年",元データ_14項目!$C$2:$C$1300,K$5)</f>
        <v>146</v>
      </c>
      <c r="L330" s="26">
        <f>SUMIFS(INDEX(元データ_14項目!$D$2:$Q$1300,0,MATCH($B330,元データ_14項目!$D$1:$Q$1,0)),元データ_14項目!$A$2:$A$1300,$A330,元データ_14項目!$B$2:$B$1300,"本年",元データ_14項目!$C$2:$C$1300,L$5)</f>
        <v>103</v>
      </c>
      <c r="M330" s="26">
        <f>SUMIFS(INDEX(元データ_14項目!$D$2:$Q$1300,0,MATCH($B330,元データ_14項目!$D$1:$Q$1,0)),元データ_14項目!$A$2:$A$1300,$A330,元データ_14項目!$B$2:$B$1300,"本年",元データ_14項目!$C$2:$C$1300,M$5)</f>
        <v>97</v>
      </c>
      <c r="N330" s="26">
        <f>SUMIFS(INDEX(元データ_14項目!$D$2:$Q$1300,0,MATCH($B330,元データ_14項目!$D$1:$Q$1,0)),元データ_14項目!$A$2:$A$1300,$A330,元データ_14項目!$B$2:$B$1300,"本年",元データ_14項目!$C$2:$C$1300,N$5)</f>
        <v>95</v>
      </c>
      <c r="O330" s="26">
        <f t="shared" si="10"/>
        <v>1183</v>
      </c>
      <c r="P330" s="26">
        <f>SUMIFS(INDEX(元データ_14項目!$D$2:$Q$1300,0,MATCH($B330,元データ_14項目!$D$1:$Q$1,0)),元データ_14項目!$A$2:$A$1300,$A330,元データ_14項目!$B$2:$B$1300,"前年")</f>
        <v>1005</v>
      </c>
      <c r="Q330" s="7">
        <f t="shared" si="11"/>
        <v>1.1771144278606964</v>
      </c>
    </row>
    <row r="331" spans="1:17" x14ac:dyDescent="0.45">
      <c r="A331" t="s">
        <v>58</v>
      </c>
      <c r="B331" t="s">
        <v>90</v>
      </c>
      <c r="C331" s="26">
        <f>SUMIFS(INDEX(元データ_14項目!$D$2:$Q$1300,0,MATCH($B331,元データ_14項目!$D$1:$Q$1,0)),元データ_14項目!$A$2:$A$1300,$A331,元データ_14項目!$B$2:$B$1300,"本年",元データ_14項目!$C$2:$C$1300,C$5)</f>
        <v>126</v>
      </c>
      <c r="D331" s="26">
        <f>SUMIFS(INDEX(元データ_14項目!$D$2:$Q$1300,0,MATCH($B331,元データ_14項目!$D$1:$Q$1,0)),元データ_14項目!$A$2:$A$1300,$A331,元データ_14項目!$B$2:$B$1300,"本年",元データ_14項目!$C$2:$C$1300,D$5)</f>
        <v>122</v>
      </c>
      <c r="E331" s="26">
        <f>SUMIFS(INDEX(元データ_14項目!$D$2:$Q$1300,0,MATCH($B331,元データ_14項目!$D$1:$Q$1,0)),元データ_14項目!$A$2:$A$1300,$A331,元データ_14項目!$B$2:$B$1300,"本年",元データ_14項目!$C$2:$C$1300,E$5)</f>
        <v>203</v>
      </c>
      <c r="F331" s="26">
        <f>SUMIFS(INDEX(元データ_14項目!$D$2:$Q$1300,0,MATCH($B331,元データ_14項目!$D$1:$Q$1,0)),元データ_14項目!$A$2:$A$1300,$A331,元データ_14項目!$B$2:$B$1300,"本年",元データ_14項目!$C$2:$C$1300,F$5)</f>
        <v>309</v>
      </c>
      <c r="G331" s="26">
        <f>SUMIFS(INDEX(元データ_14項目!$D$2:$Q$1300,0,MATCH($B331,元データ_14項目!$D$1:$Q$1,0)),元データ_14項目!$A$2:$A$1300,$A331,元データ_14項目!$B$2:$B$1300,"本年",元データ_14項目!$C$2:$C$1300,G$5)</f>
        <v>360</v>
      </c>
      <c r="H331" s="26">
        <f>SUMIFS(INDEX(元データ_14項目!$D$2:$Q$1300,0,MATCH($B331,元データ_14項目!$D$1:$Q$1,0)),元データ_14項目!$A$2:$A$1300,$A331,元データ_14項目!$B$2:$B$1300,"本年",元データ_14項目!$C$2:$C$1300,H$5)</f>
        <v>306</v>
      </c>
      <c r="I331" s="26">
        <f>SUMIFS(INDEX(元データ_14項目!$D$2:$Q$1300,0,MATCH($B331,元データ_14項目!$D$1:$Q$1,0)),元データ_14項目!$A$2:$A$1300,$A331,元データ_14項目!$B$2:$B$1300,"本年",元データ_14項目!$C$2:$C$1300,I$5)</f>
        <v>202</v>
      </c>
      <c r="J331" s="26">
        <f>SUMIFS(INDEX(元データ_14項目!$D$2:$Q$1300,0,MATCH($B331,元データ_14項目!$D$1:$Q$1,0)),元データ_14項目!$A$2:$A$1300,$A331,元データ_14項目!$B$2:$B$1300,"本年",元データ_14項目!$C$2:$C$1300,J$5)</f>
        <v>334</v>
      </c>
      <c r="K331" s="26">
        <f>SUMIFS(INDEX(元データ_14項目!$D$2:$Q$1300,0,MATCH($B331,元データ_14項目!$D$1:$Q$1,0)),元データ_14項目!$A$2:$A$1300,$A331,元データ_14項目!$B$2:$B$1300,"本年",元データ_14項目!$C$2:$C$1300,K$5)</f>
        <v>509</v>
      </c>
      <c r="L331" s="26">
        <f>SUMIFS(INDEX(元データ_14項目!$D$2:$Q$1300,0,MATCH($B331,元データ_14項目!$D$1:$Q$1,0)),元データ_14項目!$A$2:$A$1300,$A331,元データ_14項目!$B$2:$B$1300,"本年",元データ_14項目!$C$2:$C$1300,L$5)</f>
        <v>377</v>
      </c>
      <c r="M331" s="26">
        <f>SUMIFS(INDEX(元データ_14項目!$D$2:$Q$1300,0,MATCH($B331,元データ_14項目!$D$1:$Q$1,0)),元データ_14項目!$A$2:$A$1300,$A331,元データ_14項目!$B$2:$B$1300,"本年",元データ_14項目!$C$2:$C$1300,M$5)</f>
        <v>298</v>
      </c>
      <c r="N331" s="26">
        <f>SUMIFS(INDEX(元データ_14項目!$D$2:$Q$1300,0,MATCH($B331,元データ_14項目!$D$1:$Q$1,0)),元データ_14項目!$A$2:$A$1300,$A331,元データ_14項目!$B$2:$B$1300,"本年",元データ_14項目!$C$2:$C$1300,N$5)</f>
        <v>192</v>
      </c>
      <c r="O331" s="26">
        <f t="shared" si="10"/>
        <v>3338</v>
      </c>
      <c r="P331" s="26">
        <f>SUMIFS(INDEX(元データ_14項目!$D$2:$Q$1300,0,MATCH($B331,元データ_14項目!$D$1:$Q$1,0)),元データ_14項目!$A$2:$A$1300,$A331,元データ_14項目!$B$2:$B$1300,"前年")</f>
        <v>3597</v>
      </c>
      <c r="Q331" s="7">
        <f t="shared" si="11"/>
        <v>0.92799555184876281</v>
      </c>
    </row>
    <row r="332" spans="1:17" x14ac:dyDescent="0.45">
      <c r="A332" t="s">
        <v>58</v>
      </c>
      <c r="B332" t="s">
        <v>91</v>
      </c>
      <c r="C332" s="26">
        <f>SUMIFS(INDEX(元データ_14項目!$D$2:$Q$1300,0,MATCH($B332,元データ_14項目!$D$1:$Q$1,0)),元データ_14項目!$A$2:$A$1300,$A332,元データ_14項目!$B$2:$B$1300,"本年",元データ_14項目!$C$2:$C$1300,C$5)</f>
        <v>55</v>
      </c>
      <c r="D332" s="26">
        <f>SUMIFS(INDEX(元データ_14項目!$D$2:$Q$1300,0,MATCH($B332,元データ_14項目!$D$1:$Q$1,0)),元データ_14項目!$A$2:$A$1300,$A332,元データ_14項目!$B$2:$B$1300,"本年",元データ_14項目!$C$2:$C$1300,D$5)</f>
        <v>107</v>
      </c>
      <c r="E332" s="26">
        <f>SUMIFS(INDEX(元データ_14項目!$D$2:$Q$1300,0,MATCH($B332,元データ_14項目!$D$1:$Q$1,0)),元データ_14項目!$A$2:$A$1300,$A332,元データ_14項目!$B$2:$B$1300,"本年",元データ_14項目!$C$2:$C$1300,E$5)</f>
        <v>177</v>
      </c>
      <c r="F332" s="26">
        <f>SUMIFS(INDEX(元データ_14項目!$D$2:$Q$1300,0,MATCH($B332,元データ_14項目!$D$1:$Q$1,0)),元データ_14項目!$A$2:$A$1300,$A332,元データ_14項目!$B$2:$B$1300,"本年",元データ_14項目!$C$2:$C$1300,F$5)</f>
        <v>114</v>
      </c>
      <c r="G332" s="26">
        <f>SUMIFS(INDEX(元データ_14項目!$D$2:$Q$1300,0,MATCH($B332,元データ_14項目!$D$1:$Q$1,0)),元データ_14項目!$A$2:$A$1300,$A332,元データ_14項目!$B$2:$B$1300,"本年",元データ_14項目!$C$2:$C$1300,G$5)</f>
        <v>40</v>
      </c>
      <c r="H332" s="26">
        <f>SUMIFS(INDEX(元データ_14項目!$D$2:$Q$1300,0,MATCH($B332,元データ_14項目!$D$1:$Q$1,0)),元データ_14項目!$A$2:$A$1300,$A332,元データ_14項目!$B$2:$B$1300,"本年",元データ_14項目!$C$2:$C$1300,H$5)</f>
        <v>36</v>
      </c>
      <c r="I332" s="26">
        <f>SUMIFS(INDEX(元データ_14項目!$D$2:$Q$1300,0,MATCH($B332,元データ_14項目!$D$1:$Q$1,0)),元データ_14項目!$A$2:$A$1300,$A332,元データ_14項目!$B$2:$B$1300,"本年",元データ_14項目!$C$2:$C$1300,I$5)</f>
        <v>46</v>
      </c>
      <c r="J332" s="26">
        <f>SUMIFS(INDEX(元データ_14項目!$D$2:$Q$1300,0,MATCH($B332,元データ_14項目!$D$1:$Q$1,0)),元データ_14項目!$A$2:$A$1300,$A332,元データ_14項目!$B$2:$B$1300,"本年",元データ_14項目!$C$2:$C$1300,J$5)</f>
        <v>32</v>
      </c>
      <c r="K332" s="26">
        <f>SUMIFS(INDEX(元データ_14項目!$D$2:$Q$1300,0,MATCH($B332,元データ_14項目!$D$1:$Q$1,0)),元データ_14項目!$A$2:$A$1300,$A332,元データ_14項目!$B$2:$B$1300,"本年",元データ_14項目!$C$2:$C$1300,K$5)</f>
        <v>42</v>
      </c>
      <c r="L332" s="26">
        <f>SUMIFS(INDEX(元データ_14項目!$D$2:$Q$1300,0,MATCH($B332,元データ_14項目!$D$1:$Q$1,0)),元データ_14項目!$A$2:$A$1300,$A332,元データ_14項目!$B$2:$B$1300,"本年",元データ_14項目!$C$2:$C$1300,L$5)</f>
        <v>101</v>
      </c>
      <c r="M332" s="26">
        <f>SUMIFS(INDEX(元データ_14項目!$D$2:$Q$1300,0,MATCH($B332,元データ_14項目!$D$1:$Q$1,0)),元データ_14項目!$A$2:$A$1300,$A332,元データ_14項目!$B$2:$B$1300,"本年",元データ_14項目!$C$2:$C$1300,M$5)</f>
        <v>101</v>
      </c>
      <c r="N332" s="26">
        <f>SUMIFS(INDEX(元データ_14項目!$D$2:$Q$1300,0,MATCH($B332,元データ_14項目!$D$1:$Q$1,0)),元データ_14項目!$A$2:$A$1300,$A332,元データ_14項目!$B$2:$B$1300,"本年",元データ_14項目!$C$2:$C$1300,N$5)</f>
        <v>74</v>
      </c>
      <c r="O332" s="26">
        <f t="shared" si="10"/>
        <v>925</v>
      </c>
      <c r="P332" s="26">
        <f>SUMIFS(INDEX(元データ_14項目!$D$2:$Q$1300,0,MATCH($B332,元データ_14項目!$D$1:$Q$1,0)),元データ_14項目!$A$2:$A$1300,$A332,元データ_14項目!$B$2:$B$1300,"前年")</f>
        <v>674</v>
      </c>
      <c r="Q332" s="7">
        <f t="shared" si="11"/>
        <v>1.3724035608308605</v>
      </c>
    </row>
    <row r="333" spans="1:17" x14ac:dyDescent="0.45">
      <c r="A333" t="s">
        <v>58</v>
      </c>
      <c r="B333" t="s">
        <v>28</v>
      </c>
      <c r="C333" s="26">
        <f>SUMIFS(INDEX(元データ_14項目!$D$2:$Q$1300,0,MATCH($B333,元データ_14項目!$D$1:$Q$1,0)),元データ_14項目!$A$2:$A$1300,$A333,元データ_14項目!$B$2:$B$1300,"本年",元データ_14項目!$C$2:$C$1300,C$5)</f>
        <v>560</v>
      </c>
      <c r="D333" s="26">
        <f>SUMIFS(INDEX(元データ_14項目!$D$2:$Q$1300,0,MATCH($B333,元データ_14項目!$D$1:$Q$1,0)),元データ_14項目!$A$2:$A$1300,$A333,元データ_14項目!$B$2:$B$1300,"本年",元データ_14項目!$C$2:$C$1300,D$5)</f>
        <v>629</v>
      </c>
      <c r="E333" s="26">
        <f>SUMIFS(INDEX(元データ_14項目!$D$2:$Q$1300,0,MATCH($B333,元データ_14項目!$D$1:$Q$1,0)),元データ_14項目!$A$2:$A$1300,$A333,元データ_14項目!$B$2:$B$1300,"本年",元データ_14項目!$C$2:$C$1300,E$5)</f>
        <v>755</v>
      </c>
      <c r="F333" s="26">
        <f>SUMIFS(INDEX(元データ_14項目!$D$2:$Q$1300,0,MATCH($B333,元データ_14項目!$D$1:$Q$1,0)),元データ_14項目!$A$2:$A$1300,$A333,元データ_14項目!$B$2:$B$1300,"本年",元データ_14項目!$C$2:$C$1300,F$5)</f>
        <v>663</v>
      </c>
      <c r="G333" s="26">
        <f>SUMIFS(INDEX(元データ_14項目!$D$2:$Q$1300,0,MATCH($B333,元データ_14項目!$D$1:$Q$1,0)),元データ_14項目!$A$2:$A$1300,$A333,元データ_14項目!$B$2:$B$1300,"本年",元データ_14項目!$C$2:$C$1300,G$5)</f>
        <v>464</v>
      </c>
      <c r="H333" s="26">
        <f>SUMIFS(INDEX(元データ_14項目!$D$2:$Q$1300,0,MATCH($B333,元データ_14項目!$D$1:$Q$1,0)),元データ_14項目!$A$2:$A$1300,$A333,元データ_14項目!$B$2:$B$1300,"本年",元データ_14項目!$C$2:$C$1300,H$5)</f>
        <v>344</v>
      </c>
      <c r="I333" s="26">
        <f>SUMIFS(INDEX(元データ_14項目!$D$2:$Q$1300,0,MATCH($B333,元データ_14項目!$D$1:$Q$1,0)),元データ_14項目!$A$2:$A$1300,$A333,元データ_14項目!$B$2:$B$1300,"本年",元データ_14項目!$C$2:$C$1300,I$5)</f>
        <v>314</v>
      </c>
      <c r="J333" s="26">
        <f>SUMIFS(INDEX(元データ_14項目!$D$2:$Q$1300,0,MATCH($B333,元データ_14項目!$D$1:$Q$1,0)),元データ_14項目!$A$2:$A$1300,$A333,元データ_14項目!$B$2:$B$1300,"本年",元データ_14項目!$C$2:$C$1300,J$5)</f>
        <v>363</v>
      </c>
      <c r="K333" s="26">
        <f>SUMIFS(INDEX(元データ_14項目!$D$2:$Q$1300,0,MATCH($B333,元データ_14項目!$D$1:$Q$1,0)),元データ_14項目!$A$2:$A$1300,$A333,元データ_14項目!$B$2:$B$1300,"本年",元データ_14項目!$C$2:$C$1300,K$5)</f>
        <v>503</v>
      </c>
      <c r="L333" s="26">
        <f>SUMIFS(INDEX(元データ_14項目!$D$2:$Q$1300,0,MATCH($B333,元データ_14項目!$D$1:$Q$1,0)),元データ_14項目!$A$2:$A$1300,$A333,元データ_14項目!$B$2:$B$1300,"本年",元データ_14項目!$C$2:$C$1300,L$5)</f>
        <v>492</v>
      </c>
      <c r="M333" s="26">
        <f>SUMIFS(INDEX(元データ_14項目!$D$2:$Q$1300,0,MATCH($B333,元データ_14項目!$D$1:$Q$1,0)),元データ_14項目!$A$2:$A$1300,$A333,元データ_14項目!$B$2:$B$1300,"本年",元データ_14項目!$C$2:$C$1300,M$5)</f>
        <v>570</v>
      </c>
      <c r="N333" s="26">
        <f>SUMIFS(INDEX(元データ_14項目!$D$2:$Q$1300,0,MATCH($B333,元データ_14項目!$D$1:$Q$1,0)),元データ_14項目!$A$2:$A$1300,$A333,元データ_14項目!$B$2:$B$1300,"本年",元データ_14項目!$C$2:$C$1300,N$5)</f>
        <v>522</v>
      </c>
      <c r="O333" s="26">
        <f t="shared" si="10"/>
        <v>6179</v>
      </c>
      <c r="P333" s="26">
        <f>SUMIFS(INDEX(元データ_14項目!$D$2:$Q$1300,0,MATCH($B333,元データ_14項目!$D$1:$Q$1,0)),元データ_14項目!$A$2:$A$1300,$A333,元データ_14項目!$B$2:$B$1300,"前年")</f>
        <v>5970</v>
      </c>
      <c r="Q333" s="7">
        <f t="shared" si="11"/>
        <v>1.0350083752093802</v>
      </c>
    </row>
    <row r="334" spans="1:17" x14ac:dyDescent="0.45">
      <c r="A334" t="s">
        <v>58</v>
      </c>
      <c r="B334" t="s">
        <v>92</v>
      </c>
      <c r="C334" s="26">
        <f>SUMIFS(INDEX(元データ_14項目!$D$2:$Q$1300,0,MATCH($B334,元データ_14項目!$D$1:$Q$1,0)),元データ_14項目!$A$2:$A$1300,$A334,元データ_14項目!$B$2:$B$1300,"本年",元データ_14項目!$C$2:$C$1300,C$5)</f>
        <v>58</v>
      </c>
      <c r="D334" s="26">
        <f>SUMIFS(INDEX(元データ_14項目!$D$2:$Q$1300,0,MATCH($B334,元データ_14項目!$D$1:$Q$1,0)),元データ_14項目!$A$2:$A$1300,$A334,元データ_14項目!$B$2:$B$1300,"本年",元データ_14項目!$C$2:$C$1300,D$5)</f>
        <v>87</v>
      </c>
      <c r="E334" s="26">
        <f>SUMIFS(INDEX(元データ_14項目!$D$2:$Q$1300,0,MATCH($B334,元データ_14項目!$D$1:$Q$1,0)),元データ_14項目!$A$2:$A$1300,$A334,元データ_14項目!$B$2:$B$1300,"本年",元データ_14項目!$C$2:$C$1300,E$5)</f>
        <v>117</v>
      </c>
      <c r="F334" s="26">
        <f>SUMIFS(INDEX(元データ_14項目!$D$2:$Q$1300,0,MATCH($B334,元データ_14項目!$D$1:$Q$1,0)),元データ_14項目!$A$2:$A$1300,$A334,元データ_14項目!$B$2:$B$1300,"本年",元データ_14項目!$C$2:$C$1300,F$5)</f>
        <v>79</v>
      </c>
      <c r="G334" s="26">
        <f>SUMIFS(INDEX(元データ_14項目!$D$2:$Q$1300,0,MATCH($B334,元データ_14項目!$D$1:$Q$1,0)),元データ_14項目!$A$2:$A$1300,$A334,元データ_14項目!$B$2:$B$1300,"本年",元データ_14項目!$C$2:$C$1300,G$5)</f>
        <v>52</v>
      </c>
      <c r="H334" s="26">
        <f>SUMIFS(INDEX(元データ_14項目!$D$2:$Q$1300,0,MATCH($B334,元データ_14項目!$D$1:$Q$1,0)),元データ_14項目!$A$2:$A$1300,$A334,元データ_14項目!$B$2:$B$1300,"本年",元データ_14項目!$C$2:$C$1300,H$5)</f>
        <v>52</v>
      </c>
      <c r="I334" s="26">
        <f>SUMIFS(INDEX(元データ_14項目!$D$2:$Q$1300,0,MATCH($B334,元データ_14項目!$D$1:$Q$1,0)),元データ_14項目!$A$2:$A$1300,$A334,元データ_14項目!$B$2:$B$1300,"本年",元データ_14項目!$C$2:$C$1300,I$5)</f>
        <v>48</v>
      </c>
      <c r="J334" s="26">
        <f>SUMIFS(INDEX(元データ_14項目!$D$2:$Q$1300,0,MATCH($B334,元データ_14項目!$D$1:$Q$1,0)),元データ_14項目!$A$2:$A$1300,$A334,元データ_14項目!$B$2:$B$1300,"本年",元データ_14項目!$C$2:$C$1300,J$5)</f>
        <v>60</v>
      </c>
      <c r="K334" s="26">
        <f>SUMIFS(INDEX(元データ_14項目!$D$2:$Q$1300,0,MATCH($B334,元データ_14項目!$D$1:$Q$1,0)),元データ_14項目!$A$2:$A$1300,$A334,元データ_14項目!$B$2:$B$1300,"本年",元データ_14項目!$C$2:$C$1300,K$5)</f>
        <v>135</v>
      </c>
      <c r="L334" s="26">
        <f>SUMIFS(INDEX(元データ_14項目!$D$2:$Q$1300,0,MATCH($B334,元データ_14項目!$D$1:$Q$1,0)),元データ_14項目!$A$2:$A$1300,$A334,元データ_14項目!$B$2:$B$1300,"本年",元データ_14項目!$C$2:$C$1300,L$5)</f>
        <v>79</v>
      </c>
      <c r="M334" s="26">
        <f>SUMIFS(INDEX(元データ_14項目!$D$2:$Q$1300,0,MATCH($B334,元データ_14項目!$D$1:$Q$1,0)),元データ_14項目!$A$2:$A$1300,$A334,元データ_14項目!$B$2:$B$1300,"本年",元データ_14項目!$C$2:$C$1300,M$5)</f>
        <v>53</v>
      </c>
      <c r="N334" s="26">
        <f>SUMIFS(INDEX(元データ_14項目!$D$2:$Q$1300,0,MATCH($B334,元データ_14項目!$D$1:$Q$1,0)),元データ_14項目!$A$2:$A$1300,$A334,元データ_14項目!$B$2:$B$1300,"本年",元データ_14項目!$C$2:$C$1300,N$5)</f>
        <v>62</v>
      </c>
      <c r="O334" s="26">
        <f t="shared" si="10"/>
        <v>882</v>
      </c>
      <c r="P334" s="26">
        <f>SUMIFS(INDEX(元データ_14項目!$D$2:$Q$1300,0,MATCH($B334,元データ_14項目!$D$1:$Q$1,0)),元データ_14項目!$A$2:$A$1300,$A334,元データ_14項目!$B$2:$B$1300,"前年")</f>
        <v>832</v>
      </c>
      <c r="Q334" s="7">
        <f t="shared" si="11"/>
        <v>1.0600961538461537</v>
      </c>
    </row>
    <row r="335" spans="1:17" x14ac:dyDescent="0.45">
      <c r="A335" t="s">
        <v>58</v>
      </c>
      <c r="B335" t="s">
        <v>93</v>
      </c>
      <c r="C335" s="26">
        <f>SUMIFS(INDEX(元データ_14項目!$D$2:$Q$1300,0,MATCH($B335,元データ_14項目!$D$1:$Q$1,0)),元データ_14項目!$A$2:$A$1300,$A335,元データ_14項目!$B$2:$B$1300,"本年",元データ_14項目!$C$2:$C$1300,C$5)</f>
        <v>33</v>
      </c>
      <c r="D335" s="26">
        <f>SUMIFS(INDEX(元データ_14項目!$D$2:$Q$1300,0,MATCH($B335,元データ_14項目!$D$1:$Q$1,0)),元データ_14項目!$A$2:$A$1300,$A335,元データ_14項目!$B$2:$B$1300,"本年",元データ_14項目!$C$2:$C$1300,D$5)</f>
        <v>60</v>
      </c>
      <c r="E335" s="26">
        <f>SUMIFS(INDEX(元データ_14項目!$D$2:$Q$1300,0,MATCH($B335,元データ_14項目!$D$1:$Q$1,0)),元データ_14項目!$A$2:$A$1300,$A335,元データ_14項目!$B$2:$B$1300,"本年",元データ_14項目!$C$2:$C$1300,E$5)</f>
        <v>69</v>
      </c>
      <c r="F335" s="26">
        <f>SUMIFS(INDEX(元データ_14項目!$D$2:$Q$1300,0,MATCH($B335,元データ_14項目!$D$1:$Q$1,0)),元データ_14項目!$A$2:$A$1300,$A335,元データ_14項目!$B$2:$B$1300,"本年",元データ_14項目!$C$2:$C$1300,F$5)</f>
        <v>95</v>
      </c>
      <c r="G335" s="26">
        <f>SUMIFS(INDEX(元データ_14項目!$D$2:$Q$1300,0,MATCH($B335,元データ_14項目!$D$1:$Q$1,0)),元データ_14項目!$A$2:$A$1300,$A335,元データ_14項目!$B$2:$B$1300,"本年",元データ_14項目!$C$2:$C$1300,G$5)</f>
        <v>164</v>
      </c>
      <c r="H335" s="26">
        <f>SUMIFS(INDEX(元データ_14項目!$D$2:$Q$1300,0,MATCH($B335,元データ_14項目!$D$1:$Q$1,0)),元データ_14項目!$A$2:$A$1300,$A335,元データ_14項目!$B$2:$B$1300,"本年",元データ_14項目!$C$2:$C$1300,H$5)</f>
        <v>166</v>
      </c>
      <c r="I335" s="26">
        <f>SUMIFS(INDEX(元データ_14項目!$D$2:$Q$1300,0,MATCH($B335,元データ_14項目!$D$1:$Q$1,0)),元データ_14項目!$A$2:$A$1300,$A335,元データ_14項目!$B$2:$B$1300,"本年",元データ_14項目!$C$2:$C$1300,I$5)</f>
        <v>134</v>
      </c>
      <c r="J335" s="26">
        <f>SUMIFS(INDEX(元データ_14項目!$D$2:$Q$1300,0,MATCH($B335,元データ_14項目!$D$1:$Q$1,0)),元データ_14項目!$A$2:$A$1300,$A335,元データ_14項目!$B$2:$B$1300,"本年",元データ_14項目!$C$2:$C$1300,J$5)</f>
        <v>210</v>
      </c>
      <c r="K335" s="26">
        <f>SUMIFS(INDEX(元データ_14項目!$D$2:$Q$1300,0,MATCH($B335,元データ_14項目!$D$1:$Q$1,0)),元データ_14項目!$A$2:$A$1300,$A335,元データ_14項目!$B$2:$B$1300,"本年",元データ_14項目!$C$2:$C$1300,K$5)</f>
        <v>733</v>
      </c>
      <c r="L335" s="26">
        <f>SUMIFS(INDEX(元データ_14項目!$D$2:$Q$1300,0,MATCH($B335,元データ_14項目!$D$1:$Q$1,0)),元データ_14項目!$A$2:$A$1300,$A335,元データ_14項目!$B$2:$B$1300,"本年",元データ_14項目!$C$2:$C$1300,L$5)</f>
        <v>359</v>
      </c>
      <c r="M335" s="26">
        <f>SUMIFS(INDEX(元データ_14項目!$D$2:$Q$1300,0,MATCH($B335,元データ_14項目!$D$1:$Q$1,0)),元データ_14項目!$A$2:$A$1300,$A335,元データ_14項目!$B$2:$B$1300,"本年",元データ_14項目!$C$2:$C$1300,M$5)</f>
        <v>162</v>
      </c>
      <c r="N335" s="26">
        <f>SUMIFS(INDEX(元データ_14項目!$D$2:$Q$1300,0,MATCH($B335,元データ_14項目!$D$1:$Q$1,0)),元データ_14項目!$A$2:$A$1300,$A335,元データ_14項目!$B$2:$B$1300,"本年",元データ_14項目!$C$2:$C$1300,N$5)</f>
        <v>94</v>
      </c>
      <c r="O335" s="26">
        <f t="shared" si="10"/>
        <v>2279</v>
      </c>
      <c r="P335" s="26">
        <f>SUMIFS(INDEX(元データ_14項目!$D$2:$Q$1300,0,MATCH($B335,元データ_14項目!$D$1:$Q$1,0)),元データ_14項目!$A$2:$A$1300,$A335,元データ_14項目!$B$2:$B$1300,"前年")</f>
        <v>2359</v>
      </c>
      <c r="Q335" s="7">
        <f t="shared" si="11"/>
        <v>0.96608732513777029</v>
      </c>
    </row>
    <row r="336" spans="1:17" x14ac:dyDescent="0.45">
      <c r="A336" t="s">
        <v>58</v>
      </c>
      <c r="B336" t="s">
        <v>94</v>
      </c>
      <c r="C336" s="26">
        <f>SUMIFS(INDEX(元データ_14項目!$D$2:$Q$1300,0,MATCH($B336,元データ_14項目!$D$1:$Q$1,0)),元データ_14項目!$A$2:$A$1300,$A336,元データ_14項目!$B$2:$B$1300,"本年",元データ_14項目!$C$2:$C$1300,C$5)</f>
        <v>28</v>
      </c>
      <c r="D336" s="26">
        <f>SUMIFS(INDEX(元データ_14項目!$D$2:$Q$1300,0,MATCH($B336,元データ_14項目!$D$1:$Q$1,0)),元データ_14項目!$A$2:$A$1300,$A336,元データ_14項目!$B$2:$B$1300,"本年",元データ_14項目!$C$2:$C$1300,D$5)</f>
        <v>48</v>
      </c>
      <c r="E336" s="26">
        <f>SUMIFS(INDEX(元データ_14項目!$D$2:$Q$1300,0,MATCH($B336,元データ_14項目!$D$1:$Q$1,0)),元データ_14項目!$A$2:$A$1300,$A336,元データ_14項目!$B$2:$B$1300,"本年",元データ_14項目!$C$2:$C$1300,E$5)</f>
        <v>56</v>
      </c>
      <c r="F336" s="26">
        <f>SUMIFS(INDEX(元データ_14項目!$D$2:$Q$1300,0,MATCH($B336,元データ_14項目!$D$1:$Q$1,0)),元データ_14項目!$A$2:$A$1300,$A336,元データ_14項目!$B$2:$B$1300,"本年",元データ_14項目!$C$2:$C$1300,F$5)</f>
        <v>69</v>
      </c>
      <c r="G336" s="26">
        <f>SUMIFS(INDEX(元データ_14項目!$D$2:$Q$1300,0,MATCH($B336,元データ_14項目!$D$1:$Q$1,0)),元データ_14項目!$A$2:$A$1300,$A336,元データ_14項目!$B$2:$B$1300,"本年",元データ_14項目!$C$2:$C$1300,G$5)</f>
        <v>63</v>
      </c>
      <c r="H336" s="26">
        <f>SUMIFS(INDEX(元データ_14項目!$D$2:$Q$1300,0,MATCH($B336,元データ_14項目!$D$1:$Q$1,0)),元データ_14項目!$A$2:$A$1300,$A336,元データ_14項目!$B$2:$B$1300,"本年",元データ_14項目!$C$2:$C$1300,H$5)</f>
        <v>45</v>
      </c>
      <c r="I336" s="26">
        <f>SUMIFS(INDEX(元データ_14項目!$D$2:$Q$1300,0,MATCH($B336,元データ_14項目!$D$1:$Q$1,0)),元データ_14項目!$A$2:$A$1300,$A336,元データ_14項目!$B$2:$B$1300,"本年",元データ_14項目!$C$2:$C$1300,I$5)</f>
        <v>40</v>
      </c>
      <c r="J336" s="26">
        <f>SUMIFS(INDEX(元データ_14項目!$D$2:$Q$1300,0,MATCH($B336,元データ_14項目!$D$1:$Q$1,0)),元データ_14項目!$A$2:$A$1300,$A336,元データ_14項目!$B$2:$B$1300,"本年",元データ_14項目!$C$2:$C$1300,J$5)</f>
        <v>66</v>
      </c>
      <c r="K336" s="26">
        <f>SUMIFS(INDEX(元データ_14項目!$D$2:$Q$1300,0,MATCH($B336,元データ_14項目!$D$1:$Q$1,0)),元データ_14項目!$A$2:$A$1300,$A336,元データ_14項目!$B$2:$B$1300,"本年",元データ_14項目!$C$2:$C$1300,K$5)</f>
        <v>273</v>
      </c>
      <c r="L336" s="26">
        <f>SUMIFS(INDEX(元データ_14項目!$D$2:$Q$1300,0,MATCH($B336,元データ_14項目!$D$1:$Q$1,0)),元データ_14項目!$A$2:$A$1300,$A336,元データ_14項目!$B$2:$B$1300,"本年",元データ_14項目!$C$2:$C$1300,L$5)</f>
        <v>167</v>
      </c>
      <c r="M336" s="26">
        <f>SUMIFS(INDEX(元データ_14項目!$D$2:$Q$1300,0,MATCH($B336,元データ_14項目!$D$1:$Q$1,0)),元データ_14項目!$A$2:$A$1300,$A336,元データ_14項目!$B$2:$B$1300,"本年",元データ_14項目!$C$2:$C$1300,M$5)</f>
        <v>116</v>
      </c>
      <c r="N336" s="26">
        <f>SUMIFS(INDEX(元データ_14項目!$D$2:$Q$1300,0,MATCH($B336,元データ_14項目!$D$1:$Q$1,0)),元データ_14項目!$A$2:$A$1300,$A336,元データ_14項目!$B$2:$B$1300,"本年",元データ_14項目!$C$2:$C$1300,N$5)</f>
        <v>62</v>
      </c>
      <c r="O336" s="26">
        <f t="shared" si="10"/>
        <v>1033</v>
      </c>
      <c r="P336" s="26">
        <f>SUMIFS(INDEX(元データ_14項目!$D$2:$Q$1300,0,MATCH($B336,元データ_14項目!$D$1:$Q$1,0)),元データ_14項目!$A$2:$A$1300,$A336,元データ_14項目!$B$2:$B$1300,"前年")</f>
        <v>969</v>
      </c>
      <c r="Q336" s="7">
        <f t="shared" si="11"/>
        <v>1.0660474716202271</v>
      </c>
    </row>
    <row r="337" spans="1:17" x14ac:dyDescent="0.45">
      <c r="A337" t="s">
        <v>58</v>
      </c>
      <c r="B337" t="s">
        <v>95</v>
      </c>
      <c r="C337" s="26">
        <f>SUMIFS(INDEX(元データ_14項目!$D$2:$Q$1300,0,MATCH($B337,元データ_14項目!$D$1:$Q$1,0)),元データ_14項目!$A$2:$A$1300,$A337,元データ_14項目!$B$2:$B$1300,"本年",元データ_14項目!$C$2:$C$1300,C$5)</f>
        <v>55</v>
      </c>
      <c r="D337" s="26">
        <f>SUMIFS(INDEX(元データ_14項目!$D$2:$Q$1300,0,MATCH($B337,元データ_14項目!$D$1:$Q$1,0)),元データ_14項目!$A$2:$A$1300,$A337,元データ_14項目!$B$2:$B$1300,"本年",元データ_14項目!$C$2:$C$1300,D$5)</f>
        <v>79</v>
      </c>
      <c r="E337" s="26">
        <f>SUMIFS(INDEX(元データ_14項目!$D$2:$Q$1300,0,MATCH($B337,元データ_14項目!$D$1:$Q$1,0)),元データ_14項目!$A$2:$A$1300,$A337,元データ_14項目!$B$2:$B$1300,"本年",元データ_14項目!$C$2:$C$1300,E$5)</f>
        <v>83</v>
      </c>
      <c r="F337" s="26">
        <f>SUMIFS(INDEX(元データ_14項目!$D$2:$Q$1300,0,MATCH($B337,元データ_14項目!$D$1:$Q$1,0)),元データ_14項目!$A$2:$A$1300,$A337,元データ_14項目!$B$2:$B$1300,"本年",元データ_14項目!$C$2:$C$1300,F$5)</f>
        <v>81</v>
      </c>
      <c r="G337" s="26">
        <f>SUMIFS(INDEX(元データ_14項目!$D$2:$Q$1300,0,MATCH($B337,元データ_14項目!$D$1:$Q$1,0)),元データ_14項目!$A$2:$A$1300,$A337,元データ_14項目!$B$2:$B$1300,"本年",元データ_14項目!$C$2:$C$1300,G$5)</f>
        <v>62</v>
      </c>
      <c r="H337" s="26">
        <f>SUMIFS(INDEX(元データ_14項目!$D$2:$Q$1300,0,MATCH($B337,元データ_14項目!$D$1:$Q$1,0)),元データ_14項目!$A$2:$A$1300,$A337,元データ_14項目!$B$2:$B$1300,"本年",元データ_14項目!$C$2:$C$1300,H$5)</f>
        <v>46</v>
      </c>
      <c r="I337" s="26">
        <f>SUMIFS(INDEX(元データ_14項目!$D$2:$Q$1300,0,MATCH($B337,元データ_14項目!$D$1:$Q$1,0)),元データ_14項目!$A$2:$A$1300,$A337,元データ_14項目!$B$2:$B$1300,"本年",元データ_14項目!$C$2:$C$1300,I$5)</f>
        <v>39</v>
      </c>
      <c r="J337" s="26">
        <f>SUMIFS(INDEX(元データ_14項目!$D$2:$Q$1300,0,MATCH($B337,元データ_14項目!$D$1:$Q$1,0)),元データ_14項目!$A$2:$A$1300,$A337,元データ_14項目!$B$2:$B$1300,"本年",元データ_14項目!$C$2:$C$1300,J$5)</f>
        <v>64</v>
      </c>
      <c r="K337" s="26">
        <f>SUMIFS(INDEX(元データ_14項目!$D$2:$Q$1300,0,MATCH($B337,元データ_14項目!$D$1:$Q$1,0)),元データ_14項目!$A$2:$A$1300,$A337,元データ_14項目!$B$2:$B$1300,"本年",元データ_14項目!$C$2:$C$1300,K$5)</f>
        <v>141</v>
      </c>
      <c r="L337" s="26">
        <f>SUMIFS(INDEX(元データ_14項目!$D$2:$Q$1300,0,MATCH($B337,元データ_14項目!$D$1:$Q$1,0)),元データ_14項目!$A$2:$A$1300,$A337,元データ_14項目!$B$2:$B$1300,"本年",元データ_14項目!$C$2:$C$1300,L$5)</f>
        <v>95</v>
      </c>
      <c r="M337" s="26">
        <f>SUMIFS(INDEX(元データ_14項目!$D$2:$Q$1300,0,MATCH($B337,元データ_14項目!$D$1:$Q$1,0)),元データ_14項目!$A$2:$A$1300,$A337,元データ_14項目!$B$2:$B$1300,"本年",元データ_14項目!$C$2:$C$1300,M$5)</f>
        <v>70</v>
      </c>
      <c r="N337" s="26">
        <f>SUMIFS(INDEX(元データ_14項目!$D$2:$Q$1300,0,MATCH($B337,元データ_14項目!$D$1:$Q$1,0)),元データ_14項目!$A$2:$A$1300,$A337,元データ_14項目!$B$2:$B$1300,"本年",元データ_14項目!$C$2:$C$1300,N$5)</f>
        <v>65</v>
      </c>
      <c r="O337" s="26">
        <f t="shared" si="10"/>
        <v>880</v>
      </c>
      <c r="P337" s="26">
        <f>SUMIFS(INDEX(元データ_14項目!$D$2:$Q$1300,0,MATCH($B337,元データ_14項目!$D$1:$Q$1,0)),元データ_14項目!$A$2:$A$1300,$A337,元データ_14項目!$B$2:$B$1300,"前年")</f>
        <v>782</v>
      </c>
      <c r="Q337" s="7">
        <f t="shared" si="11"/>
        <v>1.1253196930946292</v>
      </c>
    </row>
    <row r="338" spans="1:17" x14ac:dyDescent="0.45">
      <c r="A338" t="s">
        <v>58</v>
      </c>
      <c r="B338" t="s">
        <v>96</v>
      </c>
      <c r="C338" s="26">
        <f>SUMIFS(INDEX(元データ_14項目!$D$2:$Q$1300,0,MATCH($B338,元データ_14項目!$D$1:$Q$1,0)),元データ_14項目!$A$2:$A$1300,$A338,元データ_14項目!$B$2:$B$1300,"本年",元データ_14項目!$C$2:$C$1300,C$5)</f>
        <v>29</v>
      </c>
      <c r="D338" s="26">
        <f>SUMIFS(INDEX(元データ_14項目!$D$2:$Q$1300,0,MATCH($B338,元データ_14項目!$D$1:$Q$1,0)),元データ_14項目!$A$2:$A$1300,$A338,元データ_14項目!$B$2:$B$1300,"本年",元データ_14項目!$C$2:$C$1300,D$5)</f>
        <v>32</v>
      </c>
      <c r="E338" s="26">
        <f>SUMIFS(INDEX(元データ_14項目!$D$2:$Q$1300,0,MATCH($B338,元データ_14項目!$D$1:$Q$1,0)),元データ_14項目!$A$2:$A$1300,$A338,元データ_14項目!$B$2:$B$1300,"本年",元データ_14項目!$C$2:$C$1300,E$5)</f>
        <v>73</v>
      </c>
      <c r="F338" s="26">
        <f>SUMIFS(INDEX(元データ_14項目!$D$2:$Q$1300,0,MATCH($B338,元データ_14項目!$D$1:$Q$1,0)),元データ_14項目!$A$2:$A$1300,$A338,元データ_14項目!$B$2:$B$1300,"本年",元データ_14項目!$C$2:$C$1300,F$5)</f>
        <v>103</v>
      </c>
      <c r="G338" s="26">
        <f>SUMIFS(INDEX(元データ_14項目!$D$2:$Q$1300,0,MATCH($B338,元データ_14項目!$D$1:$Q$1,0)),元データ_14項目!$A$2:$A$1300,$A338,元データ_14項目!$B$2:$B$1300,"本年",元データ_14項目!$C$2:$C$1300,G$5)</f>
        <v>100</v>
      </c>
      <c r="H338" s="26">
        <f>SUMIFS(INDEX(元データ_14項目!$D$2:$Q$1300,0,MATCH($B338,元データ_14項目!$D$1:$Q$1,0)),元データ_14項目!$A$2:$A$1300,$A338,元データ_14項目!$B$2:$B$1300,"本年",元データ_14項目!$C$2:$C$1300,H$5)</f>
        <v>73</v>
      </c>
      <c r="I338" s="26">
        <f>SUMIFS(INDEX(元データ_14項目!$D$2:$Q$1300,0,MATCH($B338,元データ_14項目!$D$1:$Q$1,0)),元データ_14項目!$A$2:$A$1300,$A338,元データ_14項目!$B$2:$B$1300,"本年",元データ_14項目!$C$2:$C$1300,I$5)</f>
        <v>51</v>
      </c>
      <c r="J338" s="26">
        <f>SUMIFS(INDEX(元データ_14項目!$D$2:$Q$1300,0,MATCH($B338,元データ_14項目!$D$1:$Q$1,0)),元データ_14項目!$A$2:$A$1300,$A338,元データ_14項目!$B$2:$B$1300,"本年",元データ_14項目!$C$2:$C$1300,J$5)</f>
        <v>218</v>
      </c>
      <c r="K338" s="26">
        <f>SUMIFS(INDEX(元データ_14項目!$D$2:$Q$1300,0,MATCH($B338,元データ_14項目!$D$1:$Q$1,0)),元データ_14項目!$A$2:$A$1300,$A338,元データ_14項目!$B$2:$B$1300,"本年",元データ_14項目!$C$2:$C$1300,K$5)</f>
        <v>659</v>
      </c>
      <c r="L338" s="26">
        <f>SUMIFS(INDEX(元データ_14項目!$D$2:$Q$1300,0,MATCH($B338,元データ_14項目!$D$1:$Q$1,0)),元データ_14項目!$A$2:$A$1300,$A338,元データ_14項目!$B$2:$B$1300,"本年",元データ_14項目!$C$2:$C$1300,L$5)</f>
        <v>330</v>
      </c>
      <c r="M338" s="26">
        <f>SUMIFS(INDEX(元データ_14項目!$D$2:$Q$1300,0,MATCH($B338,元データ_14項目!$D$1:$Q$1,0)),元データ_14項目!$A$2:$A$1300,$A338,元データ_14項目!$B$2:$B$1300,"本年",元データ_14項目!$C$2:$C$1300,M$5)</f>
        <v>164</v>
      </c>
      <c r="N338" s="26">
        <f>SUMIFS(INDEX(元データ_14項目!$D$2:$Q$1300,0,MATCH($B338,元データ_14項目!$D$1:$Q$1,0)),元データ_14項目!$A$2:$A$1300,$A338,元データ_14項目!$B$2:$B$1300,"本年",元データ_14項目!$C$2:$C$1300,N$5)</f>
        <v>82</v>
      </c>
      <c r="O338" s="26">
        <f t="shared" si="10"/>
        <v>1914</v>
      </c>
      <c r="P338" s="26">
        <f>SUMIFS(INDEX(元データ_14項目!$D$2:$Q$1300,0,MATCH($B338,元データ_14項目!$D$1:$Q$1,0)),元データ_14項目!$A$2:$A$1300,$A338,元データ_14項目!$B$2:$B$1300,"前年")</f>
        <v>2069</v>
      </c>
      <c r="Q338" s="7">
        <f t="shared" si="11"/>
        <v>0.92508458192363463</v>
      </c>
    </row>
    <row r="339" spans="1:17" x14ac:dyDescent="0.45">
      <c r="A339" t="s">
        <v>58</v>
      </c>
      <c r="B339" t="s">
        <v>97</v>
      </c>
      <c r="C339" s="26">
        <f>SUMIFS(INDEX(元データ_14項目!$D$2:$Q$1300,0,MATCH($B339,元データ_14項目!$D$1:$Q$1,0)),元データ_14項目!$A$2:$A$1300,$A339,元データ_14項目!$B$2:$B$1300,"本年",元データ_14項目!$C$2:$C$1300,C$5)</f>
        <v>39</v>
      </c>
      <c r="D339" s="26">
        <f>SUMIFS(INDEX(元データ_14項目!$D$2:$Q$1300,0,MATCH($B339,元データ_14項目!$D$1:$Q$1,0)),元データ_14項目!$A$2:$A$1300,$A339,元データ_14項目!$B$2:$B$1300,"本年",元データ_14項目!$C$2:$C$1300,D$5)</f>
        <v>45</v>
      </c>
      <c r="E339" s="26">
        <f>SUMIFS(INDEX(元データ_14項目!$D$2:$Q$1300,0,MATCH($B339,元データ_14項目!$D$1:$Q$1,0)),元データ_14項目!$A$2:$A$1300,$A339,元データ_14項目!$B$2:$B$1300,"本年",元データ_14項目!$C$2:$C$1300,E$5)</f>
        <v>70</v>
      </c>
      <c r="F339" s="26">
        <f>SUMIFS(INDEX(元データ_14項目!$D$2:$Q$1300,0,MATCH($B339,元データ_14項目!$D$1:$Q$1,0)),元データ_14項目!$A$2:$A$1300,$A339,元データ_14項目!$B$2:$B$1300,"本年",元データ_14項目!$C$2:$C$1300,F$5)</f>
        <v>100</v>
      </c>
      <c r="G339" s="26">
        <f>SUMIFS(INDEX(元データ_14項目!$D$2:$Q$1300,0,MATCH($B339,元データ_14項目!$D$1:$Q$1,0)),元データ_14項目!$A$2:$A$1300,$A339,元データ_14項目!$B$2:$B$1300,"本年",元データ_14項目!$C$2:$C$1300,G$5)</f>
        <v>82</v>
      </c>
      <c r="H339" s="26">
        <f>SUMIFS(INDEX(元データ_14項目!$D$2:$Q$1300,0,MATCH($B339,元データ_14項目!$D$1:$Q$1,0)),元データ_14項目!$A$2:$A$1300,$A339,元データ_14項目!$B$2:$B$1300,"本年",元データ_14項目!$C$2:$C$1300,H$5)</f>
        <v>63</v>
      </c>
      <c r="I339" s="26">
        <f>SUMIFS(INDEX(元データ_14項目!$D$2:$Q$1300,0,MATCH($B339,元データ_14項目!$D$1:$Q$1,0)),元データ_14項目!$A$2:$A$1300,$A339,元データ_14項目!$B$2:$B$1300,"本年",元データ_14項目!$C$2:$C$1300,I$5)</f>
        <v>59</v>
      </c>
      <c r="J339" s="26">
        <f>SUMIFS(INDEX(元データ_14項目!$D$2:$Q$1300,0,MATCH($B339,元データ_14項目!$D$1:$Q$1,0)),元データ_14項目!$A$2:$A$1300,$A339,元データ_14項目!$B$2:$B$1300,"本年",元データ_14項目!$C$2:$C$1300,J$5)</f>
        <v>173</v>
      </c>
      <c r="K339" s="26">
        <f>SUMIFS(INDEX(元データ_14項目!$D$2:$Q$1300,0,MATCH($B339,元データ_14項目!$D$1:$Q$1,0)),元データ_14項目!$A$2:$A$1300,$A339,元データ_14項目!$B$2:$B$1300,"本年",元データ_14項目!$C$2:$C$1300,K$5)</f>
        <v>424</v>
      </c>
      <c r="L339" s="26">
        <f>SUMIFS(INDEX(元データ_14項目!$D$2:$Q$1300,0,MATCH($B339,元データ_14項目!$D$1:$Q$1,0)),元データ_14項目!$A$2:$A$1300,$A339,元データ_14項目!$B$2:$B$1300,"本年",元データ_14項目!$C$2:$C$1300,L$5)</f>
        <v>309</v>
      </c>
      <c r="M339" s="26">
        <f>SUMIFS(INDEX(元データ_14項目!$D$2:$Q$1300,0,MATCH($B339,元データ_14項目!$D$1:$Q$1,0)),元データ_14項目!$A$2:$A$1300,$A339,元データ_14項目!$B$2:$B$1300,"本年",元データ_14項目!$C$2:$C$1300,M$5)</f>
        <v>167</v>
      </c>
      <c r="N339" s="26">
        <f>SUMIFS(INDEX(元データ_14項目!$D$2:$Q$1300,0,MATCH($B339,元データ_14項目!$D$1:$Q$1,0)),元データ_14項目!$A$2:$A$1300,$A339,元データ_14項目!$B$2:$B$1300,"本年",元データ_14項目!$C$2:$C$1300,N$5)</f>
        <v>92</v>
      </c>
      <c r="O339" s="26">
        <f t="shared" si="10"/>
        <v>1623</v>
      </c>
      <c r="P339" s="26">
        <f>SUMIFS(INDEX(元データ_14項目!$D$2:$Q$1300,0,MATCH($B339,元データ_14項目!$D$1:$Q$1,0)),元データ_14項目!$A$2:$A$1300,$A339,元データ_14項目!$B$2:$B$1300,"前年")</f>
        <v>1542</v>
      </c>
      <c r="Q339" s="7">
        <f t="shared" si="11"/>
        <v>1.0525291828793775</v>
      </c>
    </row>
    <row r="340" spans="1:17" x14ac:dyDescent="0.45">
      <c r="A340" t="s">
        <v>58</v>
      </c>
      <c r="B340" t="s">
        <v>98</v>
      </c>
      <c r="C340" s="26">
        <f>SUMIFS(INDEX(元データ_14項目!$D$2:$Q$1300,0,MATCH($B340,元データ_14項目!$D$1:$Q$1,0)),元データ_14項目!$A$2:$A$1300,$A340,元データ_14項目!$B$2:$B$1300,"本年",元データ_14項目!$C$2:$C$1300,C$5)</f>
        <v>15</v>
      </c>
      <c r="D340" s="26">
        <f>SUMIFS(INDEX(元データ_14項目!$D$2:$Q$1300,0,MATCH($B340,元データ_14項目!$D$1:$Q$1,0)),元データ_14項目!$A$2:$A$1300,$A340,元データ_14項目!$B$2:$B$1300,"本年",元データ_14項目!$C$2:$C$1300,D$5)</f>
        <v>13</v>
      </c>
      <c r="E340" s="26">
        <f>SUMIFS(INDEX(元データ_14項目!$D$2:$Q$1300,0,MATCH($B340,元データ_14項目!$D$1:$Q$1,0)),元データ_14項目!$A$2:$A$1300,$A340,元データ_14項目!$B$2:$B$1300,"本年",元データ_14項目!$C$2:$C$1300,E$5)</f>
        <v>37</v>
      </c>
      <c r="F340" s="26">
        <f>SUMIFS(INDEX(元データ_14項目!$D$2:$Q$1300,0,MATCH($B340,元データ_14項目!$D$1:$Q$1,0)),元データ_14項目!$A$2:$A$1300,$A340,元データ_14項目!$B$2:$B$1300,"本年",元データ_14項目!$C$2:$C$1300,F$5)</f>
        <v>47</v>
      </c>
      <c r="G340" s="26">
        <f>SUMIFS(INDEX(元データ_14項目!$D$2:$Q$1300,0,MATCH($B340,元データ_14項目!$D$1:$Q$1,0)),元データ_14項目!$A$2:$A$1300,$A340,元データ_14項目!$B$2:$B$1300,"本年",元データ_14項目!$C$2:$C$1300,G$5)</f>
        <v>37</v>
      </c>
      <c r="H340" s="26">
        <f>SUMIFS(INDEX(元データ_14項目!$D$2:$Q$1300,0,MATCH($B340,元データ_14項目!$D$1:$Q$1,0)),元データ_14項目!$A$2:$A$1300,$A340,元データ_14項目!$B$2:$B$1300,"本年",元データ_14項目!$C$2:$C$1300,H$5)</f>
        <v>29</v>
      </c>
      <c r="I340" s="26">
        <f>SUMIFS(INDEX(元データ_14項目!$D$2:$Q$1300,0,MATCH($B340,元データ_14項目!$D$1:$Q$1,0)),元データ_14項目!$A$2:$A$1300,$A340,元データ_14項目!$B$2:$B$1300,"本年",元データ_14項目!$C$2:$C$1300,I$5)</f>
        <v>26</v>
      </c>
      <c r="J340" s="26">
        <f>SUMIFS(INDEX(元データ_14項目!$D$2:$Q$1300,0,MATCH($B340,元データ_14項目!$D$1:$Q$1,0)),元データ_14項目!$A$2:$A$1300,$A340,元データ_14項目!$B$2:$B$1300,"本年",元データ_14項目!$C$2:$C$1300,J$5)</f>
        <v>130</v>
      </c>
      <c r="K340" s="26">
        <f>SUMIFS(INDEX(元データ_14項目!$D$2:$Q$1300,0,MATCH($B340,元データ_14項目!$D$1:$Q$1,0)),元データ_14項目!$A$2:$A$1300,$A340,元データ_14項目!$B$2:$B$1300,"本年",元データ_14項目!$C$2:$C$1300,K$5)</f>
        <v>394</v>
      </c>
      <c r="L340" s="26">
        <f>SUMIFS(INDEX(元データ_14項目!$D$2:$Q$1300,0,MATCH($B340,元データ_14項目!$D$1:$Q$1,0)),元データ_14項目!$A$2:$A$1300,$A340,元データ_14項目!$B$2:$B$1300,"本年",元データ_14項目!$C$2:$C$1300,L$5)</f>
        <v>224</v>
      </c>
      <c r="M340" s="26">
        <f>SUMIFS(INDEX(元データ_14項目!$D$2:$Q$1300,0,MATCH($B340,元データ_14項目!$D$1:$Q$1,0)),元データ_14項目!$A$2:$A$1300,$A340,元データ_14項目!$B$2:$B$1300,"本年",元データ_14項目!$C$2:$C$1300,M$5)</f>
        <v>66</v>
      </c>
      <c r="N340" s="26">
        <f>SUMIFS(INDEX(元データ_14項目!$D$2:$Q$1300,0,MATCH($B340,元データ_14項目!$D$1:$Q$1,0)),元データ_14項目!$A$2:$A$1300,$A340,元データ_14項目!$B$2:$B$1300,"本年",元データ_14項目!$C$2:$C$1300,N$5)</f>
        <v>46</v>
      </c>
      <c r="O340" s="26">
        <f t="shared" si="10"/>
        <v>1064</v>
      </c>
      <c r="P340" s="26">
        <f>SUMIFS(INDEX(元データ_14項目!$D$2:$Q$1300,0,MATCH($B340,元データ_14項目!$D$1:$Q$1,0)),元データ_14項目!$A$2:$A$1300,$A340,元データ_14項目!$B$2:$B$1300,"前年")</f>
        <v>1117</v>
      </c>
      <c r="Q340" s="7">
        <f t="shared" si="11"/>
        <v>0.95255147717099375</v>
      </c>
    </row>
    <row r="341" spans="1:17" x14ac:dyDescent="0.45">
      <c r="A341" t="s">
        <v>58</v>
      </c>
      <c r="B341" t="s">
        <v>99</v>
      </c>
      <c r="C341" s="26">
        <f>SUMIFS(INDEX(元データ_14項目!$D$2:$Q$1300,0,MATCH($B341,元データ_14項目!$D$1:$Q$1,0)),元データ_14項目!$A$2:$A$1300,$A341,元データ_14項目!$B$2:$B$1300,"本年",元データ_14項目!$C$2:$C$1300,C$5)</f>
        <v>2</v>
      </c>
      <c r="D341" s="26">
        <f>SUMIFS(INDEX(元データ_14項目!$D$2:$Q$1300,0,MATCH($B341,元データ_14項目!$D$1:$Q$1,0)),元データ_14項目!$A$2:$A$1300,$A341,元データ_14項目!$B$2:$B$1300,"本年",元データ_14項目!$C$2:$C$1300,D$5)</f>
        <v>0</v>
      </c>
      <c r="E341" s="26">
        <f>SUMIFS(INDEX(元データ_14項目!$D$2:$Q$1300,0,MATCH($B341,元データ_14項目!$D$1:$Q$1,0)),元データ_14項目!$A$2:$A$1300,$A341,元データ_14項目!$B$2:$B$1300,"本年",元データ_14項目!$C$2:$C$1300,E$5)</f>
        <v>3</v>
      </c>
      <c r="F341" s="26">
        <f>SUMIFS(INDEX(元データ_14項目!$D$2:$Q$1300,0,MATCH($B341,元データ_14項目!$D$1:$Q$1,0)),元データ_14項目!$A$2:$A$1300,$A341,元データ_14項目!$B$2:$B$1300,"本年",元データ_14項目!$C$2:$C$1300,F$5)</f>
        <v>1</v>
      </c>
      <c r="G341" s="26">
        <f>SUMIFS(INDEX(元データ_14項目!$D$2:$Q$1300,0,MATCH($B341,元データ_14項目!$D$1:$Q$1,0)),元データ_14項目!$A$2:$A$1300,$A341,元データ_14項目!$B$2:$B$1300,"本年",元データ_14項目!$C$2:$C$1300,G$5)</f>
        <v>3</v>
      </c>
      <c r="H341" s="26">
        <f>SUMIFS(INDEX(元データ_14項目!$D$2:$Q$1300,0,MATCH($B341,元データ_14項目!$D$1:$Q$1,0)),元データ_14項目!$A$2:$A$1300,$A341,元データ_14項目!$B$2:$B$1300,"本年",元データ_14項目!$C$2:$C$1300,H$5)</f>
        <v>9</v>
      </c>
      <c r="I341" s="26">
        <f>SUMIFS(INDEX(元データ_14項目!$D$2:$Q$1300,0,MATCH($B341,元データ_14項目!$D$1:$Q$1,0)),元データ_14項目!$A$2:$A$1300,$A341,元データ_14項目!$B$2:$B$1300,"本年",元データ_14項目!$C$2:$C$1300,I$5)</f>
        <v>1</v>
      </c>
      <c r="J341" s="26">
        <f>SUMIFS(INDEX(元データ_14項目!$D$2:$Q$1300,0,MATCH($B341,元データ_14項目!$D$1:$Q$1,0)),元データ_14項目!$A$2:$A$1300,$A341,元データ_14項目!$B$2:$B$1300,"本年",元データ_14項目!$C$2:$C$1300,J$5)</f>
        <v>12</v>
      </c>
      <c r="K341" s="26">
        <f>SUMIFS(INDEX(元データ_14項目!$D$2:$Q$1300,0,MATCH($B341,元データ_14項目!$D$1:$Q$1,0)),元データ_14項目!$A$2:$A$1300,$A341,元データ_14項目!$B$2:$B$1300,"本年",元データ_14項目!$C$2:$C$1300,K$5)</f>
        <v>22</v>
      </c>
      <c r="L341" s="26">
        <f>SUMIFS(INDEX(元データ_14項目!$D$2:$Q$1300,0,MATCH($B341,元データ_14項目!$D$1:$Q$1,0)),元データ_14項目!$A$2:$A$1300,$A341,元データ_14項目!$B$2:$B$1300,"本年",元データ_14項目!$C$2:$C$1300,L$5)</f>
        <v>13</v>
      </c>
      <c r="M341" s="26">
        <f>SUMIFS(INDEX(元データ_14項目!$D$2:$Q$1300,0,MATCH($B341,元データ_14項目!$D$1:$Q$1,0)),元データ_14項目!$A$2:$A$1300,$A341,元データ_14項目!$B$2:$B$1300,"本年",元データ_14項目!$C$2:$C$1300,M$5)</f>
        <v>6</v>
      </c>
      <c r="N341" s="26">
        <f>SUMIFS(INDEX(元データ_14項目!$D$2:$Q$1300,0,MATCH($B341,元データ_14項目!$D$1:$Q$1,0)),元データ_14項目!$A$2:$A$1300,$A341,元データ_14項目!$B$2:$B$1300,"本年",元データ_14項目!$C$2:$C$1300,N$5)</f>
        <v>0</v>
      </c>
      <c r="O341" s="26">
        <f t="shared" si="10"/>
        <v>72</v>
      </c>
      <c r="P341" s="26">
        <f>SUMIFS(INDEX(元データ_14項目!$D$2:$Q$1300,0,MATCH($B341,元データ_14項目!$D$1:$Q$1,0)),元データ_14項目!$A$2:$A$1300,$A341,元データ_14項目!$B$2:$B$1300,"前年")</f>
        <v>79</v>
      </c>
      <c r="Q341" s="7">
        <f t="shared" si="11"/>
        <v>0.91139240506329111</v>
      </c>
    </row>
    <row r="342" spans="1:17" x14ac:dyDescent="0.45">
      <c r="A342" t="s">
        <v>59</v>
      </c>
      <c r="B342" t="s">
        <v>27</v>
      </c>
      <c r="C342" s="26">
        <f>SUMIFS(INDEX(元データ_14項目!$D$2:$Q$1300,0,MATCH($B342,元データ_14項目!$D$1:$Q$1,0)),元データ_14項目!$A$2:$A$1300,$A342,元データ_14項目!$B$2:$B$1300,"本年",元データ_14項目!$C$2:$C$1300,C$5)</f>
        <v>329</v>
      </c>
      <c r="D342" s="26">
        <f>SUMIFS(INDEX(元データ_14項目!$D$2:$Q$1300,0,MATCH($B342,元データ_14項目!$D$1:$Q$1,0)),元データ_14項目!$A$2:$A$1300,$A342,元データ_14項目!$B$2:$B$1300,"本年",元データ_14項目!$C$2:$C$1300,D$5)</f>
        <v>350</v>
      </c>
      <c r="E342" s="26">
        <f>SUMIFS(INDEX(元データ_14項目!$D$2:$Q$1300,0,MATCH($B342,元データ_14項目!$D$1:$Q$1,0)),元データ_14項目!$A$2:$A$1300,$A342,元データ_14項目!$B$2:$B$1300,"本年",元データ_14項目!$C$2:$C$1300,E$5)</f>
        <v>475</v>
      </c>
      <c r="F342" s="26">
        <f>SUMIFS(INDEX(元データ_14項目!$D$2:$Q$1300,0,MATCH($B342,元データ_14項目!$D$1:$Q$1,0)),元データ_14項目!$A$2:$A$1300,$A342,元データ_14項目!$B$2:$B$1300,"本年",元データ_14項目!$C$2:$C$1300,F$5)</f>
        <v>357</v>
      </c>
      <c r="G342" s="26">
        <f>SUMIFS(INDEX(元データ_14項目!$D$2:$Q$1300,0,MATCH($B342,元データ_14項目!$D$1:$Q$1,0)),元データ_14項目!$A$2:$A$1300,$A342,元データ_14項目!$B$2:$B$1300,"本年",元データ_14項目!$C$2:$C$1300,G$5)</f>
        <v>0</v>
      </c>
      <c r="H342" s="26">
        <f>SUMIFS(INDEX(元データ_14項目!$D$2:$Q$1300,0,MATCH($B342,元データ_14項目!$D$1:$Q$1,0)),元データ_14項目!$A$2:$A$1300,$A342,元データ_14項目!$B$2:$B$1300,"本年",元データ_14項目!$C$2:$C$1300,H$5)</f>
        <v>332</v>
      </c>
      <c r="I342" s="26">
        <f>SUMIFS(INDEX(元データ_14項目!$D$2:$Q$1300,0,MATCH($B342,元データ_14項目!$D$1:$Q$1,0)),元データ_14項目!$A$2:$A$1300,$A342,元データ_14項目!$B$2:$B$1300,"本年",元データ_14項目!$C$2:$C$1300,I$5)</f>
        <v>319</v>
      </c>
      <c r="J342" s="26">
        <f>SUMIFS(INDEX(元データ_14項目!$D$2:$Q$1300,0,MATCH($B342,元データ_14項目!$D$1:$Q$1,0)),元データ_14項目!$A$2:$A$1300,$A342,元データ_14項目!$B$2:$B$1300,"本年",元データ_14項目!$C$2:$C$1300,J$5)</f>
        <v>404</v>
      </c>
      <c r="K342" s="26">
        <f>SUMIFS(INDEX(元データ_14項目!$D$2:$Q$1300,0,MATCH($B342,元データ_14項目!$D$1:$Q$1,0)),元データ_14項目!$A$2:$A$1300,$A342,元データ_14項目!$B$2:$B$1300,"本年",元データ_14項目!$C$2:$C$1300,K$5)</f>
        <v>0</v>
      </c>
      <c r="L342" s="26">
        <f>SUMIFS(INDEX(元データ_14項目!$D$2:$Q$1300,0,MATCH($B342,元データ_14項目!$D$1:$Q$1,0)),元データ_14項目!$A$2:$A$1300,$A342,元データ_14項目!$B$2:$B$1300,"本年",元データ_14項目!$C$2:$C$1300,L$5)</f>
        <v>298</v>
      </c>
      <c r="M342" s="26">
        <f>SUMIFS(INDEX(元データ_14項目!$D$2:$Q$1300,0,MATCH($B342,元データ_14項目!$D$1:$Q$1,0)),元データ_14項目!$A$2:$A$1300,$A342,元データ_14項目!$B$2:$B$1300,"本年",元データ_14項目!$C$2:$C$1300,M$5)</f>
        <v>348</v>
      </c>
      <c r="N342" s="26">
        <f>SUMIFS(INDEX(元データ_14項目!$D$2:$Q$1300,0,MATCH($B342,元データ_14項目!$D$1:$Q$1,0)),元データ_14項目!$A$2:$A$1300,$A342,元データ_14項目!$B$2:$B$1300,"本年",元データ_14項目!$C$2:$C$1300,N$5)</f>
        <v>354</v>
      </c>
      <c r="O342" s="26">
        <f t="shared" si="10"/>
        <v>3566</v>
      </c>
      <c r="P342" s="26">
        <f>SUMIFS(INDEX(元データ_14項目!$D$2:$Q$1300,0,MATCH($B342,元データ_14項目!$D$1:$Q$1,0)),元データ_14項目!$A$2:$A$1300,$A342,元データ_14項目!$B$2:$B$1300,"前年")</f>
        <v>4274</v>
      </c>
      <c r="Q342" s="7">
        <f t="shared" si="11"/>
        <v>0.8343472157229761</v>
      </c>
    </row>
    <row r="343" spans="1:17" x14ac:dyDescent="0.45">
      <c r="A343" t="s">
        <v>59</v>
      </c>
      <c r="B343" t="s">
        <v>88</v>
      </c>
      <c r="C343" s="26">
        <f>SUMIFS(INDEX(元データ_14項目!$D$2:$Q$1300,0,MATCH($B343,元データ_14項目!$D$1:$Q$1,0)),元データ_14項目!$A$2:$A$1300,$A343,元データ_14項目!$B$2:$B$1300,"本年",元データ_14項目!$C$2:$C$1300,C$5)</f>
        <v>14</v>
      </c>
      <c r="D343" s="26">
        <f>SUMIFS(INDEX(元データ_14項目!$D$2:$Q$1300,0,MATCH($B343,元データ_14項目!$D$1:$Q$1,0)),元データ_14項目!$A$2:$A$1300,$A343,元データ_14項目!$B$2:$B$1300,"本年",元データ_14項目!$C$2:$C$1300,D$5)</f>
        <v>12</v>
      </c>
      <c r="E343" s="26">
        <f>SUMIFS(INDEX(元データ_14項目!$D$2:$Q$1300,0,MATCH($B343,元データ_14項目!$D$1:$Q$1,0)),元データ_14項目!$A$2:$A$1300,$A343,元データ_14項目!$B$2:$B$1300,"本年",元データ_14項目!$C$2:$C$1300,E$5)</f>
        <v>26</v>
      </c>
      <c r="F343" s="26">
        <f>SUMIFS(INDEX(元データ_14項目!$D$2:$Q$1300,0,MATCH($B343,元データ_14項目!$D$1:$Q$1,0)),元データ_14項目!$A$2:$A$1300,$A343,元データ_14項目!$B$2:$B$1300,"本年",元データ_14項目!$C$2:$C$1300,F$5)</f>
        <v>25</v>
      </c>
      <c r="G343" s="26">
        <f>SUMIFS(INDEX(元データ_14項目!$D$2:$Q$1300,0,MATCH($B343,元データ_14項目!$D$1:$Q$1,0)),元データ_14項目!$A$2:$A$1300,$A343,元データ_14項目!$B$2:$B$1300,"本年",元データ_14項目!$C$2:$C$1300,G$5)</f>
        <v>0</v>
      </c>
      <c r="H343" s="26">
        <f>SUMIFS(INDEX(元データ_14項目!$D$2:$Q$1300,0,MATCH($B343,元データ_14項目!$D$1:$Q$1,0)),元データ_14項目!$A$2:$A$1300,$A343,元データ_14項目!$B$2:$B$1300,"本年",元データ_14項目!$C$2:$C$1300,H$5)</f>
        <v>15</v>
      </c>
      <c r="I343" s="26">
        <f>SUMIFS(INDEX(元データ_14項目!$D$2:$Q$1300,0,MATCH($B343,元データ_14項目!$D$1:$Q$1,0)),元データ_14項目!$A$2:$A$1300,$A343,元データ_14項目!$B$2:$B$1300,"本年",元データ_14項目!$C$2:$C$1300,I$5)</f>
        <v>9</v>
      </c>
      <c r="J343" s="26">
        <f>SUMIFS(INDEX(元データ_14項目!$D$2:$Q$1300,0,MATCH($B343,元データ_14項目!$D$1:$Q$1,0)),元データ_14項目!$A$2:$A$1300,$A343,元データ_14項目!$B$2:$B$1300,"本年",元データ_14項目!$C$2:$C$1300,J$5)</f>
        <v>24</v>
      </c>
      <c r="K343" s="26">
        <f>SUMIFS(INDEX(元データ_14項目!$D$2:$Q$1300,0,MATCH($B343,元データ_14項目!$D$1:$Q$1,0)),元データ_14項目!$A$2:$A$1300,$A343,元データ_14項目!$B$2:$B$1300,"本年",元データ_14項目!$C$2:$C$1300,K$5)</f>
        <v>0</v>
      </c>
      <c r="L343" s="26">
        <f>SUMIFS(INDEX(元データ_14項目!$D$2:$Q$1300,0,MATCH($B343,元データ_14項目!$D$1:$Q$1,0)),元データ_14項目!$A$2:$A$1300,$A343,元データ_14項目!$B$2:$B$1300,"本年",元データ_14項目!$C$2:$C$1300,L$5)</f>
        <v>20</v>
      </c>
      <c r="M343" s="26">
        <f>SUMIFS(INDEX(元データ_14項目!$D$2:$Q$1300,0,MATCH($B343,元データ_14項目!$D$1:$Q$1,0)),元データ_14項目!$A$2:$A$1300,$A343,元データ_14項目!$B$2:$B$1300,"本年",元データ_14項目!$C$2:$C$1300,M$5)</f>
        <v>24</v>
      </c>
      <c r="N343" s="26">
        <f>SUMIFS(INDEX(元データ_14項目!$D$2:$Q$1300,0,MATCH($B343,元データ_14項目!$D$1:$Q$1,0)),元データ_14項目!$A$2:$A$1300,$A343,元データ_14項目!$B$2:$B$1300,"本年",元データ_14項目!$C$2:$C$1300,N$5)</f>
        <v>27</v>
      </c>
      <c r="O343" s="26">
        <f t="shared" si="10"/>
        <v>196</v>
      </c>
      <c r="P343" s="26">
        <f>SUMIFS(INDEX(元データ_14項目!$D$2:$Q$1300,0,MATCH($B343,元データ_14項目!$D$1:$Q$1,0)),元データ_14項目!$A$2:$A$1300,$A343,元データ_14項目!$B$2:$B$1300,"前年")</f>
        <v>253</v>
      </c>
      <c r="Q343" s="7">
        <f t="shared" si="11"/>
        <v>0.77470355731225293</v>
      </c>
    </row>
    <row r="344" spans="1:17" x14ac:dyDescent="0.45">
      <c r="A344" t="s">
        <v>59</v>
      </c>
      <c r="B344" t="s">
        <v>89</v>
      </c>
      <c r="C344" s="26">
        <f>SUMIFS(INDEX(元データ_14項目!$D$2:$Q$1300,0,MATCH($B344,元データ_14項目!$D$1:$Q$1,0)),元データ_14項目!$A$2:$A$1300,$A344,元データ_14項目!$B$2:$B$1300,"本年",元データ_14項目!$C$2:$C$1300,C$5)</f>
        <v>24</v>
      </c>
      <c r="D344" s="26">
        <f>SUMIFS(INDEX(元データ_14項目!$D$2:$Q$1300,0,MATCH($B344,元データ_14項目!$D$1:$Q$1,0)),元データ_14項目!$A$2:$A$1300,$A344,元データ_14項目!$B$2:$B$1300,"本年",元データ_14項目!$C$2:$C$1300,D$5)</f>
        <v>26</v>
      </c>
      <c r="E344" s="26">
        <f>SUMIFS(INDEX(元データ_14項目!$D$2:$Q$1300,0,MATCH($B344,元データ_14項目!$D$1:$Q$1,0)),元データ_14項目!$A$2:$A$1300,$A344,元データ_14項目!$B$2:$B$1300,"本年",元データ_14項目!$C$2:$C$1300,E$5)</f>
        <v>41</v>
      </c>
      <c r="F344" s="26">
        <f>SUMIFS(INDEX(元データ_14項目!$D$2:$Q$1300,0,MATCH($B344,元データ_14項目!$D$1:$Q$1,0)),元データ_14項目!$A$2:$A$1300,$A344,元データ_14項目!$B$2:$B$1300,"本年",元データ_14項目!$C$2:$C$1300,F$5)</f>
        <v>24</v>
      </c>
      <c r="G344" s="26">
        <f>SUMIFS(INDEX(元データ_14項目!$D$2:$Q$1300,0,MATCH($B344,元データ_14項目!$D$1:$Q$1,0)),元データ_14項目!$A$2:$A$1300,$A344,元データ_14項目!$B$2:$B$1300,"本年",元データ_14項目!$C$2:$C$1300,G$5)</f>
        <v>0</v>
      </c>
      <c r="H344" s="26">
        <f>SUMIFS(INDEX(元データ_14項目!$D$2:$Q$1300,0,MATCH($B344,元データ_14項目!$D$1:$Q$1,0)),元データ_14項目!$A$2:$A$1300,$A344,元データ_14項目!$B$2:$B$1300,"本年",元データ_14項目!$C$2:$C$1300,H$5)</f>
        <v>12</v>
      </c>
      <c r="I344" s="26">
        <f>SUMIFS(INDEX(元データ_14項目!$D$2:$Q$1300,0,MATCH($B344,元データ_14項目!$D$1:$Q$1,0)),元データ_14項目!$A$2:$A$1300,$A344,元データ_14項目!$B$2:$B$1300,"本年",元データ_14項目!$C$2:$C$1300,I$5)</f>
        <v>4</v>
      </c>
      <c r="J344" s="26">
        <f>SUMIFS(INDEX(元データ_14項目!$D$2:$Q$1300,0,MATCH($B344,元データ_14項目!$D$1:$Q$1,0)),元データ_14項目!$A$2:$A$1300,$A344,元データ_14項目!$B$2:$B$1300,"本年",元データ_14項目!$C$2:$C$1300,J$5)</f>
        <v>36</v>
      </c>
      <c r="K344" s="26">
        <f>SUMIFS(INDEX(元データ_14項目!$D$2:$Q$1300,0,MATCH($B344,元データ_14項目!$D$1:$Q$1,0)),元データ_14項目!$A$2:$A$1300,$A344,元データ_14項目!$B$2:$B$1300,"本年",元データ_14項目!$C$2:$C$1300,K$5)</f>
        <v>0</v>
      </c>
      <c r="L344" s="26">
        <f>SUMIFS(INDEX(元データ_14項目!$D$2:$Q$1300,0,MATCH($B344,元データ_14項目!$D$1:$Q$1,0)),元データ_14項目!$A$2:$A$1300,$A344,元データ_14項目!$B$2:$B$1300,"本年",元データ_14項目!$C$2:$C$1300,L$5)</f>
        <v>13</v>
      </c>
      <c r="M344" s="26">
        <f>SUMIFS(INDEX(元データ_14項目!$D$2:$Q$1300,0,MATCH($B344,元データ_14項目!$D$1:$Q$1,0)),元データ_14項目!$A$2:$A$1300,$A344,元データ_14項目!$B$2:$B$1300,"本年",元データ_14項目!$C$2:$C$1300,M$5)</f>
        <v>23</v>
      </c>
      <c r="N344" s="26">
        <f>SUMIFS(INDEX(元データ_14項目!$D$2:$Q$1300,0,MATCH($B344,元データ_14項目!$D$1:$Q$1,0)),元データ_14項目!$A$2:$A$1300,$A344,元データ_14項目!$B$2:$B$1300,"本年",元データ_14項目!$C$2:$C$1300,N$5)</f>
        <v>25</v>
      </c>
      <c r="O344" s="26">
        <f t="shared" si="10"/>
        <v>228</v>
      </c>
      <c r="P344" s="26">
        <f>SUMIFS(INDEX(元データ_14項目!$D$2:$Q$1300,0,MATCH($B344,元データ_14項目!$D$1:$Q$1,0)),元データ_14項目!$A$2:$A$1300,$A344,元データ_14項目!$B$2:$B$1300,"前年")</f>
        <v>250</v>
      </c>
      <c r="Q344" s="7">
        <f t="shared" si="11"/>
        <v>0.91200000000000003</v>
      </c>
    </row>
    <row r="345" spans="1:17" x14ac:dyDescent="0.45">
      <c r="A345" t="s">
        <v>59</v>
      </c>
      <c r="B345" t="s">
        <v>90</v>
      </c>
      <c r="C345" s="26">
        <f>SUMIFS(INDEX(元データ_14項目!$D$2:$Q$1300,0,MATCH($B345,元データ_14項目!$D$1:$Q$1,0)),元データ_14項目!$A$2:$A$1300,$A345,元データ_14項目!$B$2:$B$1300,"本年",元データ_14項目!$C$2:$C$1300,C$5)</f>
        <v>39</v>
      </c>
      <c r="D345" s="26">
        <f>SUMIFS(INDEX(元データ_14項目!$D$2:$Q$1300,0,MATCH($B345,元データ_14項目!$D$1:$Q$1,0)),元データ_14項目!$A$2:$A$1300,$A345,元データ_14項目!$B$2:$B$1300,"本年",元データ_14項目!$C$2:$C$1300,D$5)</f>
        <v>34</v>
      </c>
      <c r="E345" s="26">
        <f>SUMIFS(INDEX(元データ_14項目!$D$2:$Q$1300,0,MATCH($B345,元データ_14項目!$D$1:$Q$1,0)),元データ_14項目!$A$2:$A$1300,$A345,元データ_14項目!$B$2:$B$1300,"本年",元データ_14項目!$C$2:$C$1300,E$5)</f>
        <v>46</v>
      </c>
      <c r="F345" s="26">
        <f>SUMIFS(INDEX(元データ_14項目!$D$2:$Q$1300,0,MATCH($B345,元データ_14項目!$D$1:$Q$1,0)),元データ_14項目!$A$2:$A$1300,$A345,元データ_14項目!$B$2:$B$1300,"本年",元データ_14項目!$C$2:$C$1300,F$5)</f>
        <v>45</v>
      </c>
      <c r="G345" s="26">
        <f>SUMIFS(INDEX(元データ_14項目!$D$2:$Q$1300,0,MATCH($B345,元データ_14項目!$D$1:$Q$1,0)),元データ_14項目!$A$2:$A$1300,$A345,元データ_14項目!$B$2:$B$1300,"本年",元データ_14項目!$C$2:$C$1300,G$5)</f>
        <v>0</v>
      </c>
      <c r="H345" s="26">
        <f>SUMIFS(INDEX(元データ_14項目!$D$2:$Q$1300,0,MATCH($B345,元データ_14項目!$D$1:$Q$1,0)),元データ_14項目!$A$2:$A$1300,$A345,元データ_14項目!$B$2:$B$1300,"本年",元データ_14項目!$C$2:$C$1300,H$5)</f>
        <v>82</v>
      </c>
      <c r="I345" s="26">
        <f>SUMIFS(INDEX(元データ_14項目!$D$2:$Q$1300,0,MATCH($B345,元データ_14項目!$D$1:$Q$1,0)),元データ_14項目!$A$2:$A$1300,$A345,元データ_14項目!$B$2:$B$1300,"本年",元データ_14項目!$C$2:$C$1300,I$5)</f>
        <v>43</v>
      </c>
      <c r="J345" s="26">
        <f>SUMIFS(INDEX(元データ_14項目!$D$2:$Q$1300,0,MATCH($B345,元データ_14項目!$D$1:$Q$1,0)),元データ_14項目!$A$2:$A$1300,$A345,元データ_14項目!$B$2:$B$1300,"本年",元データ_14項目!$C$2:$C$1300,J$5)</f>
        <v>100</v>
      </c>
      <c r="K345" s="26">
        <f>SUMIFS(INDEX(元データ_14項目!$D$2:$Q$1300,0,MATCH($B345,元データ_14項目!$D$1:$Q$1,0)),元データ_14項目!$A$2:$A$1300,$A345,元データ_14項目!$B$2:$B$1300,"本年",元データ_14項目!$C$2:$C$1300,K$5)</f>
        <v>0</v>
      </c>
      <c r="L345" s="26">
        <f>SUMIFS(INDEX(元データ_14項目!$D$2:$Q$1300,0,MATCH($B345,元データ_14項目!$D$1:$Q$1,0)),元データ_14項目!$A$2:$A$1300,$A345,元データ_14項目!$B$2:$B$1300,"本年",元データ_14項目!$C$2:$C$1300,L$5)</f>
        <v>74</v>
      </c>
      <c r="M345" s="26">
        <f>SUMIFS(INDEX(元データ_14項目!$D$2:$Q$1300,0,MATCH($B345,元データ_14項目!$D$1:$Q$1,0)),元データ_14項目!$A$2:$A$1300,$A345,元データ_14項目!$B$2:$B$1300,"本年",元データ_14項目!$C$2:$C$1300,M$5)</f>
        <v>73</v>
      </c>
      <c r="N345" s="26">
        <f>SUMIFS(INDEX(元データ_14項目!$D$2:$Q$1300,0,MATCH($B345,元データ_14項目!$D$1:$Q$1,0)),元データ_14項目!$A$2:$A$1300,$A345,元データ_14項目!$B$2:$B$1300,"本年",元データ_14項目!$C$2:$C$1300,N$5)</f>
        <v>53</v>
      </c>
      <c r="O345" s="26">
        <f t="shared" si="10"/>
        <v>589</v>
      </c>
      <c r="P345" s="26">
        <f>SUMIFS(INDEX(元データ_14項目!$D$2:$Q$1300,0,MATCH($B345,元データ_14項目!$D$1:$Q$1,0)),元データ_14項目!$A$2:$A$1300,$A345,元データ_14項目!$B$2:$B$1300,"前年")</f>
        <v>787</v>
      </c>
      <c r="Q345" s="7">
        <f t="shared" si="11"/>
        <v>0.74841168996188057</v>
      </c>
    </row>
    <row r="346" spans="1:17" x14ac:dyDescent="0.45">
      <c r="A346" t="s">
        <v>59</v>
      </c>
      <c r="B346" t="s">
        <v>91</v>
      </c>
      <c r="C346" s="26">
        <f>SUMIFS(INDEX(元データ_14項目!$D$2:$Q$1300,0,MATCH($B346,元データ_14項目!$D$1:$Q$1,0)),元データ_14項目!$A$2:$A$1300,$A346,元データ_14項目!$B$2:$B$1300,"本年",元データ_14項目!$C$2:$C$1300,C$5)</f>
        <v>18</v>
      </c>
      <c r="D346" s="26">
        <f>SUMIFS(INDEX(元データ_14項目!$D$2:$Q$1300,0,MATCH($B346,元データ_14項目!$D$1:$Q$1,0)),元データ_14項目!$A$2:$A$1300,$A346,元データ_14項目!$B$2:$B$1300,"本年",元データ_14項目!$C$2:$C$1300,D$5)</f>
        <v>14</v>
      </c>
      <c r="E346" s="26">
        <f>SUMIFS(INDEX(元データ_14項目!$D$2:$Q$1300,0,MATCH($B346,元データ_14項目!$D$1:$Q$1,0)),元データ_14項目!$A$2:$A$1300,$A346,元データ_14項目!$B$2:$B$1300,"本年",元データ_14項目!$C$2:$C$1300,E$5)</f>
        <v>61</v>
      </c>
      <c r="F346" s="26">
        <f>SUMIFS(INDEX(元データ_14項目!$D$2:$Q$1300,0,MATCH($B346,元データ_14項目!$D$1:$Q$1,0)),元データ_14項目!$A$2:$A$1300,$A346,元データ_14項目!$B$2:$B$1300,"本年",元データ_14項目!$C$2:$C$1300,F$5)</f>
        <v>68</v>
      </c>
      <c r="G346" s="26">
        <f>SUMIFS(INDEX(元データ_14項目!$D$2:$Q$1300,0,MATCH($B346,元データ_14項目!$D$1:$Q$1,0)),元データ_14項目!$A$2:$A$1300,$A346,元データ_14項目!$B$2:$B$1300,"本年",元データ_14項目!$C$2:$C$1300,G$5)</f>
        <v>0</v>
      </c>
      <c r="H346" s="26">
        <f>SUMIFS(INDEX(元データ_14項目!$D$2:$Q$1300,0,MATCH($B346,元データ_14項目!$D$1:$Q$1,0)),元データ_14項目!$A$2:$A$1300,$A346,元データ_14項目!$B$2:$B$1300,"本年",元データ_14項目!$C$2:$C$1300,H$5)</f>
        <v>14</v>
      </c>
      <c r="I346" s="26">
        <f>SUMIFS(INDEX(元データ_14項目!$D$2:$Q$1300,0,MATCH($B346,元データ_14項目!$D$1:$Q$1,0)),元データ_14項目!$A$2:$A$1300,$A346,元データ_14項目!$B$2:$B$1300,"本年",元データ_14項目!$C$2:$C$1300,I$5)</f>
        <v>19</v>
      </c>
      <c r="J346" s="26">
        <f>SUMIFS(INDEX(元データ_14項目!$D$2:$Q$1300,0,MATCH($B346,元データ_14項目!$D$1:$Q$1,0)),元データ_14項目!$A$2:$A$1300,$A346,元データ_14項目!$B$2:$B$1300,"本年",元データ_14項目!$C$2:$C$1300,J$5)</f>
        <v>9</v>
      </c>
      <c r="K346" s="26">
        <f>SUMIFS(INDEX(元データ_14項目!$D$2:$Q$1300,0,MATCH($B346,元データ_14項目!$D$1:$Q$1,0)),元データ_14項目!$A$2:$A$1300,$A346,元データ_14項目!$B$2:$B$1300,"本年",元データ_14項目!$C$2:$C$1300,K$5)</f>
        <v>0</v>
      </c>
      <c r="L346" s="26">
        <f>SUMIFS(INDEX(元データ_14項目!$D$2:$Q$1300,0,MATCH($B346,元データ_14項目!$D$1:$Q$1,0)),元データ_14項目!$A$2:$A$1300,$A346,元データ_14項目!$B$2:$B$1300,"本年",元データ_14項目!$C$2:$C$1300,L$5)</f>
        <v>16</v>
      </c>
      <c r="M346" s="26">
        <f>SUMIFS(INDEX(元データ_14項目!$D$2:$Q$1300,0,MATCH($B346,元データ_14項目!$D$1:$Q$1,0)),元データ_14項目!$A$2:$A$1300,$A346,元データ_14項目!$B$2:$B$1300,"本年",元データ_14項目!$C$2:$C$1300,M$5)</f>
        <v>34</v>
      </c>
      <c r="N346" s="26">
        <f>SUMIFS(INDEX(元データ_14項目!$D$2:$Q$1300,0,MATCH($B346,元データ_14項目!$D$1:$Q$1,0)),元データ_14項目!$A$2:$A$1300,$A346,元データ_14項目!$B$2:$B$1300,"本年",元データ_14項目!$C$2:$C$1300,N$5)</f>
        <v>26</v>
      </c>
      <c r="O346" s="26">
        <f t="shared" si="10"/>
        <v>279</v>
      </c>
      <c r="P346" s="26">
        <f>SUMIFS(INDEX(元データ_14項目!$D$2:$Q$1300,0,MATCH($B346,元データ_14項目!$D$1:$Q$1,0)),元データ_14項目!$A$2:$A$1300,$A346,元データ_14項目!$B$2:$B$1300,"前年")</f>
        <v>298</v>
      </c>
      <c r="Q346" s="7">
        <f t="shared" si="11"/>
        <v>0.93624161073825507</v>
      </c>
    </row>
    <row r="347" spans="1:17" x14ac:dyDescent="0.45">
      <c r="A347" t="s">
        <v>59</v>
      </c>
      <c r="B347" t="s">
        <v>28</v>
      </c>
      <c r="C347" s="26">
        <f>SUMIFS(INDEX(元データ_14項目!$D$2:$Q$1300,0,MATCH($B347,元データ_14項目!$D$1:$Q$1,0)),元データ_14項目!$A$2:$A$1300,$A347,元データ_14項目!$B$2:$B$1300,"本年",元データ_14項目!$C$2:$C$1300,C$5)</f>
        <v>132</v>
      </c>
      <c r="D347" s="26">
        <f>SUMIFS(INDEX(元データ_14項目!$D$2:$Q$1300,0,MATCH($B347,元データ_14項目!$D$1:$Q$1,0)),元データ_14項目!$A$2:$A$1300,$A347,元データ_14項目!$B$2:$B$1300,"本年",元データ_14項目!$C$2:$C$1300,D$5)</f>
        <v>150</v>
      </c>
      <c r="E347" s="26">
        <f>SUMIFS(INDEX(元データ_14項目!$D$2:$Q$1300,0,MATCH($B347,元データ_14項目!$D$1:$Q$1,0)),元データ_14項目!$A$2:$A$1300,$A347,元データ_14項目!$B$2:$B$1300,"本年",元データ_14項目!$C$2:$C$1300,E$5)</f>
        <v>205</v>
      </c>
      <c r="F347" s="26">
        <f>SUMIFS(INDEX(元データ_14項目!$D$2:$Q$1300,0,MATCH($B347,元データ_14項目!$D$1:$Q$1,0)),元データ_14項目!$A$2:$A$1300,$A347,元データ_14項目!$B$2:$B$1300,"本年",元データ_14項目!$C$2:$C$1300,F$5)</f>
        <v>165</v>
      </c>
      <c r="G347" s="26">
        <f>SUMIFS(INDEX(元データ_14項目!$D$2:$Q$1300,0,MATCH($B347,元データ_14項目!$D$1:$Q$1,0)),元データ_14項目!$A$2:$A$1300,$A347,元データ_14項目!$B$2:$B$1300,"本年",元データ_14項目!$C$2:$C$1300,G$5)</f>
        <v>0</v>
      </c>
      <c r="H347" s="26">
        <f>SUMIFS(INDEX(元データ_14項目!$D$2:$Q$1300,0,MATCH($B347,元データ_14項目!$D$1:$Q$1,0)),元データ_14項目!$A$2:$A$1300,$A347,元データ_14項目!$B$2:$B$1300,"本年",元データ_14項目!$C$2:$C$1300,H$5)</f>
        <v>90</v>
      </c>
      <c r="I347" s="26">
        <f>SUMIFS(INDEX(元データ_14項目!$D$2:$Q$1300,0,MATCH($B347,元データ_14項目!$D$1:$Q$1,0)),元データ_14項目!$A$2:$A$1300,$A347,元データ_14項目!$B$2:$B$1300,"本年",元データ_14項目!$C$2:$C$1300,I$5)</f>
        <v>98</v>
      </c>
      <c r="J347" s="26">
        <f>SUMIFS(INDEX(元データ_14項目!$D$2:$Q$1300,0,MATCH($B347,元データ_14項目!$D$1:$Q$1,0)),元データ_14項目!$A$2:$A$1300,$A347,元データ_14項目!$B$2:$B$1300,"本年",元データ_14項目!$C$2:$C$1300,J$5)</f>
        <v>85</v>
      </c>
      <c r="K347" s="26">
        <f>SUMIFS(INDEX(元データ_14項目!$D$2:$Q$1300,0,MATCH($B347,元データ_14項目!$D$1:$Q$1,0)),元データ_14項目!$A$2:$A$1300,$A347,元データ_14項目!$B$2:$B$1300,"本年",元データ_14項目!$C$2:$C$1300,K$5)</f>
        <v>0</v>
      </c>
      <c r="L347" s="26">
        <f>SUMIFS(INDEX(元データ_14項目!$D$2:$Q$1300,0,MATCH($B347,元データ_14項目!$D$1:$Q$1,0)),元データ_14項目!$A$2:$A$1300,$A347,元データ_14項目!$B$2:$B$1300,"本年",元データ_14項目!$C$2:$C$1300,L$5)</f>
        <v>83</v>
      </c>
      <c r="M347" s="26">
        <f>SUMIFS(INDEX(元データ_14項目!$D$2:$Q$1300,0,MATCH($B347,元データ_14項目!$D$1:$Q$1,0)),元データ_14項目!$A$2:$A$1300,$A347,元データ_14項目!$B$2:$B$1300,"本年",元データ_14項目!$C$2:$C$1300,M$5)</f>
        <v>119</v>
      </c>
      <c r="N347" s="26">
        <f>SUMIFS(INDEX(元データ_14項目!$D$2:$Q$1300,0,MATCH($B347,元データ_14項目!$D$1:$Q$1,0)),元データ_14項目!$A$2:$A$1300,$A347,元データ_14項目!$B$2:$B$1300,"本年",元データ_14項目!$C$2:$C$1300,N$5)</f>
        <v>134</v>
      </c>
      <c r="O347" s="26">
        <f t="shared" si="10"/>
        <v>1261</v>
      </c>
      <c r="P347" s="26">
        <f>SUMIFS(INDEX(元データ_14項目!$D$2:$Q$1300,0,MATCH($B347,元データ_14項目!$D$1:$Q$1,0)),元データ_14項目!$A$2:$A$1300,$A347,元データ_14項目!$B$2:$B$1300,"前年")</f>
        <v>1401</v>
      </c>
      <c r="Q347" s="7">
        <f t="shared" si="11"/>
        <v>0.90007137758743749</v>
      </c>
    </row>
    <row r="348" spans="1:17" x14ac:dyDescent="0.45">
      <c r="A348" t="s">
        <v>59</v>
      </c>
      <c r="B348" t="s">
        <v>92</v>
      </c>
      <c r="C348" s="26">
        <f>SUMIFS(INDEX(元データ_14項目!$D$2:$Q$1300,0,MATCH($B348,元データ_14項目!$D$1:$Q$1,0)),元データ_14項目!$A$2:$A$1300,$A348,元データ_14項目!$B$2:$B$1300,"本年",元データ_14項目!$C$2:$C$1300,C$5)</f>
        <v>14</v>
      </c>
      <c r="D348" s="26">
        <f>SUMIFS(INDEX(元データ_14項目!$D$2:$Q$1300,0,MATCH($B348,元データ_14項目!$D$1:$Q$1,0)),元データ_14項目!$A$2:$A$1300,$A348,元データ_14項目!$B$2:$B$1300,"本年",元データ_14項目!$C$2:$C$1300,D$5)</f>
        <v>11</v>
      </c>
      <c r="E348" s="26">
        <f>SUMIFS(INDEX(元データ_14項目!$D$2:$Q$1300,0,MATCH($B348,元データ_14項目!$D$1:$Q$1,0)),元データ_14項目!$A$2:$A$1300,$A348,元データ_14項目!$B$2:$B$1300,"本年",元データ_14項目!$C$2:$C$1300,E$5)</f>
        <v>27</v>
      </c>
      <c r="F348" s="26">
        <f>SUMIFS(INDEX(元データ_14項目!$D$2:$Q$1300,0,MATCH($B348,元データ_14項目!$D$1:$Q$1,0)),元データ_14項目!$A$2:$A$1300,$A348,元データ_14項目!$B$2:$B$1300,"本年",元データ_14項目!$C$2:$C$1300,F$5)</f>
        <v>22</v>
      </c>
      <c r="G348" s="26">
        <f>SUMIFS(INDEX(元データ_14項目!$D$2:$Q$1300,0,MATCH($B348,元データ_14項目!$D$1:$Q$1,0)),元データ_14項目!$A$2:$A$1300,$A348,元データ_14項目!$B$2:$B$1300,"本年",元データ_14項目!$C$2:$C$1300,G$5)</f>
        <v>0</v>
      </c>
      <c r="H348" s="26">
        <f>SUMIFS(INDEX(元データ_14項目!$D$2:$Q$1300,0,MATCH($B348,元データ_14項目!$D$1:$Q$1,0)),元データ_14項目!$A$2:$A$1300,$A348,元データ_14項目!$B$2:$B$1300,"本年",元データ_14項目!$C$2:$C$1300,H$5)</f>
        <v>6</v>
      </c>
      <c r="I348" s="26">
        <f>SUMIFS(INDEX(元データ_14項目!$D$2:$Q$1300,0,MATCH($B348,元データ_14項目!$D$1:$Q$1,0)),元データ_14項目!$A$2:$A$1300,$A348,元データ_14項目!$B$2:$B$1300,"本年",元データ_14項目!$C$2:$C$1300,I$5)</f>
        <v>3</v>
      </c>
      <c r="J348" s="26">
        <f>SUMIFS(INDEX(元データ_14項目!$D$2:$Q$1300,0,MATCH($B348,元データ_14項目!$D$1:$Q$1,0)),元データ_14項目!$A$2:$A$1300,$A348,元データ_14項目!$B$2:$B$1300,"本年",元データ_14項目!$C$2:$C$1300,J$5)</f>
        <v>17</v>
      </c>
      <c r="K348" s="26">
        <f>SUMIFS(INDEX(元データ_14項目!$D$2:$Q$1300,0,MATCH($B348,元データ_14項目!$D$1:$Q$1,0)),元データ_14項目!$A$2:$A$1300,$A348,元データ_14項目!$B$2:$B$1300,"本年",元データ_14項目!$C$2:$C$1300,K$5)</f>
        <v>0</v>
      </c>
      <c r="L348" s="26">
        <f>SUMIFS(INDEX(元データ_14項目!$D$2:$Q$1300,0,MATCH($B348,元データ_14項目!$D$1:$Q$1,0)),元データ_14項目!$A$2:$A$1300,$A348,元データ_14項目!$B$2:$B$1300,"本年",元データ_14項目!$C$2:$C$1300,L$5)</f>
        <v>8</v>
      </c>
      <c r="M348" s="26">
        <f>SUMIFS(INDEX(元データ_14項目!$D$2:$Q$1300,0,MATCH($B348,元データ_14項目!$D$1:$Q$1,0)),元データ_14項目!$A$2:$A$1300,$A348,元データ_14項目!$B$2:$B$1300,"本年",元データ_14項目!$C$2:$C$1300,M$5)</f>
        <v>11</v>
      </c>
      <c r="N348" s="26">
        <f>SUMIFS(INDEX(元データ_14項目!$D$2:$Q$1300,0,MATCH($B348,元データ_14項目!$D$1:$Q$1,0)),元データ_14項目!$A$2:$A$1300,$A348,元データ_14項目!$B$2:$B$1300,"本年",元データ_14項目!$C$2:$C$1300,N$5)</f>
        <v>13</v>
      </c>
      <c r="O348" s="26">
        <f t="shared" si="10"/>
        <v>132</v>
      </c>
      <c r="P348" s="26">
        <f>SUMIFS(INDEX(元データ_14項目!$D$2:$Q$1300,0,MATCH($B348,元データ_14項目!$D$1:$Q$1,0)),元データ_14項目!$A$2:$A$1300,$A348,元データ_14項目!$B$2:$B$1300,"前年")</f>
        <v>173</v>
      </c>
      <c r="Q348" s="7">
        <f t="shared" si="11"/>
        <v>0.76300578034682076</v>
      </c>
    </row>
    <row r="349" spans="1:17" x14ac:dyDescent="0.45">
      <c r="A349" t="s">
        <v>59</v>
      </c>
      <c r="B349" t="s">
        <v>93</v>
      </c>
      <c r="C349" s="26">
        <f>SUMIFS(INDEX(元データ_14項目!$D$2:$Q$1300,0,MATCH($B349,元データ_14項目!$D$1:$Q$1,0)),元データ_14項目!$A$2:$A$1300,$A349,元データ_14項目!$B$2:$B$1300,"本年",元データ_14項目!$C$2:$C$1300,C$5)</f>
        <v>7</v>
      </c>
      <c r="D349" s="26">
        <f>SUMIFS(INDEX(元データ_14項目!$D$2:$Q$1300,0,MATCH($B349,元データ_14項目!$D$1:$Q$1,0)),元データ_14項目!$A$2:$A$1300,$A349,元データ_14項目!$B$2:$B$1300,"本年",元データ_14項目!$C$2:$C$1300,D$5)</f>
        <v>8</v>
      </c>
      <c r="E349" s="26">
        <f>SUMIFS(INDEX(元データ_14項目!$D$2:$Q$1300,0,MATCH($B349,元データ_14項目!$D$1:$Q$1,0)),元データ_14項目!$A$2:$A$1300,$A349,元データ_14項目!$B$2:$B$1300,"本年",元データ_14項目!$C$2:$C$1300,E$5)</f>
        <v>31</v>
      </c>
      <c r="F349" s="26">
        <f>SUMIFS(INDEX(元データ_14項目!$D$2:$Q$1300,0,MATCH($B349,元データ_14項目!$D$1:$Q$1,0)),元データ_14項目!$A$2:$A$1300,$A349,元データ_14項目!$B$2:$B$1300,"本年",元データ_14項目!$C$2:$C$1300,F$5)</f>
        <v>21</v>
      </c>
      <c r="G349" s="26">
        <f>SUMIFS(INDEX(元データ_14項目!$D$2:$Q$1300,0,MATCH($B349,元データ_14項目!$D$1:$Q$1,0)),元データ_14項目!$A$2:$A$1300,$A349,元データ_14項目!$B$2:$B$1300,"本年",元データ_14項目!$C$2:$C$1300,G$5)</f>
        <v>0</v>
      </c>
      <c r="H349" s="26">
        <f>SUMIFS(INDEX(元データ_14項目!$D$2:$Q$1300,0,MATCH($B349,元データ_14項目!$D$1:$Q$1,0)),元データ_14項目!$A$2:$A$1300,$A349,元データ_14項目!$B$2:$B$1300,"本年",元データ_14項目!$C$2:$C$1300,H$5)</f>
        <v>41</v>
      </c>
      <c r="I349" s="26">
        <f>SUMIFS(INDEX(元データ_14項目!$D$2:$Q$1300,0,MATCH($B349,元データ_14項目!$D$1:$Q$1,0)),元データ_14項目!$A$2:$A$1300,$A349,元データ_14項目!$B$2:$B$1300,"本年",元データ_14項目!$C$2:$C$1300,I$5)</f>
        <v>18</v>
      </c>
      <c r="J349" s="26">
        <f>SUMIFS(INDEX(元データ_14項目!$D$2:$Q$1300,0,MATCH($B349,元データ_14項目!$D$1:$Q$1,0)),元データ_14項目!$A$2:$A$1300,$A349,元データ_14項目!$B$2:$B$1300,"本年",元データ_14項目!$C$2:$C$1300,J$5)</f>
        <v>50</v>
      </c>
      <c r="K349" s="26">
        <f>SUMIFS(INDEX(元データ_14項目!$D$2:$Q$1300,0,MATCH($B349,元データ_14項目!$D$1:$Q$1,0)),元データ_14項目!$A$2:$A$1300,$A349,元データ_14項目!$B$2:$B$1300,"本年",元データ_14項目!$C$2:$C$1300,K$5)</f>
        <v>0</v>
      </c>
      <c r="L349" s="26">
        <f>SUMIFS(INDEX(元データ_14項目!$D$2:$Q$1300,0,MATCH($B349,元データ_14項目!$D$1:$Q$1,0)),元データ_14項目!$A$2:$A$1300,$A349,元データ_14項目!$B$2:$B$1300,"本年",元データ_14項目!$C$2:$C$1300,L$5)</f>
        <v>42</v>
      </c>
      <c r="M349" s="26">
        <f>SUMIFS(INDEX(元データ_14項目!$D$2:$Q$1300,0,MATCH($B349,元データ_14項目!$D$1:$Q$1,0)),元データ_14項目!$A$2:$A$1300,$A349,元データ_14項目!$B$2:$B$1300,"本年",元データ_14項目!$C$2:$C$1300,M$5)</f>
        <v>41</v>
      </c>
      <c r="N349" s="26">
        <f>SUMIFS(INDEX(元データ_14項目!$D$2:$Q$1300,0,MATCH($B349,元データ_14項目!$D$1:$Q$1,0)),元データ_14項目!$A$2:$A$1300,$A349,元データ_14項目!$B$2:$B$1300,"本年",元データ_14項目!$C$2:$C$1300,N$5)</f>
        <v>16</v>
      </c>
      <c r="O349" s="26">
        <f t="shared" si="10"/>
        <v>275</v>
      </c>
      <c r="P349" s="26">
        <f>SUMIFS(INDEX(元データ_14項目!$D$2:$Q$1300,0,MATCH($B349,元データ_14項目!$D$1:$Q$1,0)),元データ_14項目!$A$2:$A$1300,$A349,元データ_14項目!$B$2:$B$1300,"前年")</f>
        <v>351</v>
      </c>
      <c r="Q349" s="7">
        <f t="shared" si="11"/>
        <v>0.7834757834757835</v>
      </c>
    </row>
    <row r="350" spans="1:17" x14ac:dyDescent="0.45">
      <c r="A350" t="s">
        <v>59</v>
      </c>
      <c r="B350" t="s">
        <v>94</v>
      </c>
      <c r="C350" s="26">
        <f>SUMIFS(INDEX(元データ_14項目!$D$2:$Q$1300,0,MATCH($B350,元データ_14項目!$D$1:$Q$1,0)),元データ_14項目!$A$2:$A$1300,$A350,元データ_14項目!$B$2:$B$1300,"本年",元データ_14項目!$C$2:$C$1300,C$5)</f>
        <v>12</v>
      </c>
      <c r="D350" s="26">
        <f>SUMIFS(INDEX(元データ_14項目!$D$2:$Q$1300,0,MATCH($B350,元データ_14項目!$D$1:$Q$1,0)),元データ_14項目!$A$2:$A$1300,$A350,元データ_14項目!$B$2:$B$1300,"本年",元データ_14項目!$C$2:$C$1300,D$5)</f>
        <v>3</v>
      </c>
      <c r="E350" s="26">
        <f>SUMIFS(INDEX(元データ_14項目!$D$2:$Q$1300,0,MATCH($B350,元データ_14項目!$D$1:$Q$1,0)),元データ_14項目!$A$2:$A$1300,$A350,元データ_14項目!$B$2:$B$1300,"本年",元データ_14項目!$C$2:$C$1300,E$5)</f>
        <v>29</v>
      </c>
      <c r="F350" s="26">
        <f>SUMIFS(INDEX(元データ_14項目!$D$2:$Q$1300,0,MATCH($B350,元データ_14項目!$D$1:$Q$1,0)),元データ_14項目!$A$2:$A$1300,$A350,元データ_14項目!$B$2:$B$1300,"本年",元データ_14項目!$C$2:$C$1300,F$5)</f>
        <v>17</v>
      </c>
      <c r="G350" s="26">
        <f>SUMIFS(INDEX(元データ_14項目!$D$2:$Q$1300,0,MATCH($B350,元データ_14項目!$D$1:$Q$1,0)),元データ_14項目!$A$2:$A$1300,$A350,元データ_14項目!$B$2:$B$1300,"本年",元データ_14項目!$C$2:$C$1300,G$5)</f>
        <v>0</v>
      </c>
      <c r="H350" s="26">
        <f>SUMIFS(INDEX(元データ_14項目!$D$2:$Q$1300,0,MATCH($B350,元データ_14項目!$D$1:$Q$1,0)),元データ_14項目!$A$2:$A$1300,$A350,元データ_14項目!$B$2:$B$1300,"本年",元データ_14項目!$C$2:$C$1300,H$5)</f>
        <v>8</v>
      </c>
      <c r="I350" s="26">
        <f>SUMIFS(INDEX(元データ_14項目!$D$2:$Q$1300,0,MATCH($B350,元データ_14項目!$D$1:$Q$1,0)),元データ_14項目!$A$2:$A$1300,$A350,元データ_14項目!$B$2:$B$1300,"本年",元データ_14項目!$C$2:$C$1300,I$5)</f>
        <v>7</v>
      </c>
      <c r="J350" s="26">
        <f>SUMIFS(INDEX(元データ_14項目!$D$2:$Q$1300,0,MATCH($B350,元データ_14項目!$D$1:$Q$1,0)),元データ_14項目!$A$2:$A$1300,$A350,元データ_14項目!$B$2:$B$1300,"本年",元データ_14項目!$C$2:$C$1300,J$5)</f>
        <v>13</v>
      </c>
      <c r="K350" s="26">
        <f>SUMIFS(INDEX(元データ_14項目!$D$2:$Q$1300,0,MATCH($B350,元データ_14項目!$D$1:$Q$1,0)),元データ_14項目!$A$2:$A$1300,$A350,元データ_14項目!$B$2:$B$1300,"本年",元データ_14項目!$C$2:$C$1300,K$5)</f>
        <v>0</v>
      </c>
      <c r="L350" s="26">
        <f>SUMIFS(INDEX(元データ_14項目!$D$2:$Q$1300,0,MATCH($B350,元データ_14項目!$D$1:$Q$1,0)),元データ_14項目!$A$2:$A$1300,$A350,元データ_14項目!$B$2:$B$1300,"本年",元データ_14項目!$C$2:$C$1300,L$5)</f>
        <v>23</v>
      </c>
      <c r="M350" s="26">
        <f>SUMIFS(INDEX(元データ_14項目!$D$2:$Q$1300,0,MATCH($B350,元データ_14項目!$D$1:$Q$1,0)),元データ_14項目!$A$2:$A$1300,$A350,元データ_14項目!$B$2:$B$1300,"本年",元データ_14項目!$C$2:$C$1300,M$5)</f>
        <v>33</v>
      </c>
      <c r="N350" s="26">
        <f>SUMIFS(INDEX(元データ_14項目!$D$2:$Q$1300,0,MATCH($B350,元データ_14項目!$D$1:$Q$1,0)),元データ_14項目!$A$2:$A$1300,$A350,元データ_14項目!$B$2:$B$1300,"本年",元データ_14項目!$C$2:$C$1300,N$5)</f>
        <v>10</v>
      </c>
      <c r="O350" s="26">
        <f t="shared" si="10"/>
        <v>155</v>
      </c>
      <c r="P350" s="26">
        <f>SUMIFS(INDEX(元データ_14項目!$D$2:$Q$1300,0,MATCH($B350,元データ_14項目!$D$1:$Q$1,0)),元データ_14項目!$A$2:$A$1300,$A350,元データ_14項目!$B$2:$B$1300,"前年")</f>
        <v>153</v>
      </c>
      <c r="Q350" s="7">
        <f t="shared" si="11"/>
        <v>1.0130718954248366</v>
      </c>
    </row>
    <row r="351" spans="1:17" x14ac:dyDescent="0.45">
      <c r="A351" t="s">
        <v>59</v>
      </c>
      <c r="B351" t="s">
        <v>95</v>
      </c>
      <c r="C351" s="26">
        <f>SUMIFS(INDEX(元データ_14項目!$D$2:$Q$1300,0,MATCH($B351,元データ_14項目!$D$1:$Q$1,0)),元データ_14項目!$A$2:$A$1300,$A351,元データ_14項目!$B$2:$B$1300,"本年",元データ_14項目!$C$2:$C$1300,C$5)</f>
        <v>30</v>
      </c>
      <c r="D351" s="26">
        <f>SUMIFS(INDEX(元データ_14項目!$D$2:$Q$1300,0,MATCH($B351,元データ_14項目!$D$1:$Q$1,0)),元データ_14項目!$A$2:$A$1300,$A351,元データ_14項目!$B$2:$B$1300,"本年",元データ_14項目!$C$2:$C$1300,D$5)</f>
        <v>24</v>
      </c>
      <c r="E351" s="26">
        <f>SUMIFS(INDEX(元データ_14項目!$D$2:$Q$1300,0,MATCH($B351,元データ_14項目!$D$1:$Q$1,0)),元データ_14項目!$A$2:$A$1300,$A351,元データ_14項目!$B$2:$B$1300,"本年",元データ_14項目!$C$2:$C$1300,E$5)</f>
        <v>28</v>
      </c>
      <c r="F351" s="26">
        <f>SUMIFS(INDEX(元データ_14項目!$D$2:$Q$1300,0,MATCH($B351,元データ_14項目!$D$1:$Q$1,0)),元データ_14項目!$A$2:$A$1300,$A351,元データ_14項目!$B$2:$B$1300,"本年",元データ_14項目!$C$2:$C$1300,F$5)</f>
        <v>22</v>
      </c>
      <c r="G351" s="26">
        <f>SUMIFS(INDEX(元データ_14項目!$D$2:$Q$1300,0,MATCH($B351,元データ_14項目!$D$1:$Q$1,0)),元データ_14項目!$A$2:$A$1300,$A351,元データ_14項目!$B$2:$B$1300,"本年",元データ_14項目!$C$2:$C$1300,G$5)</f>
        <v>0</v>
      </c>
      <c r="H351" s="26">
        <f>SUMIFS(INDEX(元データ_14項目!$D$2:$Q$1300,0,MATCH($B351,元データ_14項目!$D$1:$Q$1,0)),元データ_14項目!$A$2:$A$1300,$A351,元データ_14項目!$B$2:$B$1300,"本年",元データ_14項目!$C$2:$C$1300,H$5)</f>
        <v>19</v>
      </c>
      <c r="I351" s="26">
        <f>SUMIFS(INDEX(元データ_14項目!$D$2:$Q$1300,0,MATCH($B351,元データ_14項目!$D$1:$Q$1,0)),元データ_14項目!$A$2:$A$1300,$A351,元データ_14項目!$B$2:$B$1300,"本年",元データ_14項目!$C$2:$C$1300,I$5)</f>
        <v>6</v>
      </c>
      <c r="J351" s="26">
        <f>SUMIFS(INDEX(元データ_14項目!$D$2:$Q$1300,0,MATCH($B351,元データ_14項目!$D$1:$Q$1,0)),元データ_14項目!$A$2:$A$1300,$A351,元データ_14項目!$B$2:$B$1300,"本年",元データ_14項目!$C$2:$C$1300,J$5)</f>
        <v>18</v>
      </c>
      <c r="K351" s="26">
        <f>SUMIFS(INDEX(元データ_14項目!$D$2:$Q$1300,0,MATCH($B351,元データ_14項目!$D$1:$Q$1,0)),元データ_14項目!$A$2:$A$1300,$A351,元データ_14項目!$B$2:$B$1300,"本年",元データ_14項目!$C$2:$C$1300,K$5)</f>
        <v>0</v>
      </c>
      <c r="L351" s="26">
        <f>SUMIFS(INDEX(元データ_14項目!$D$2:$Q$1300,0,MATCH($B351,元データ_14項目!$D$1:$Q$1,0)),元データ_14項目!$A$2:$A$1300,$A351,元データ_14項目!$B$2:$B$1300,"本年",元データ_14項目!$C$2:$C$1300,L$5)</f>
        <v>24</v>
      </c>
      <c r="M351" s="26">
        <f>SUMIFS(INDEX(元データ_14項目!$D$2:$Q$1300,0,MATCH($B351,元データ_14項目!$D$1:$Q$1,0)),元データ_14項目!$A$2:$A$1300,$A351,元データ_14項目!$B$2:$B$1300,"本年",元データ_14項目!$C$2:$C$1300,M$5)</f>
        <v>32</v>
      </c>
      <c r="N351" s="26">
        <f>SUMIFS(INDEX(元データ_14項目!$D$2:$Q$1300,0,MATCH($B351,元データ_14項目!$D$1:$Q$1,0)),元データ_14項目!$A$2:$A$1300,$A351,元データ_14項目!$B$2:$B$1300,"本年",元データ_14項目!$C$2:$C$1300,N$5)</f>
        <v>12</v>
      </c>
      <c r="O351" s="26">
        <f t="shared" si="10"/>
        <v>215</v>
      </c>
      <c r="P351" s="26">
        <f>SUMIFS(INDEX(元データ_14項目!$D$2:$Q$1300,0,MATCH($B351,元データ_14項目!$D$1:$Q$1,0)),元データ_14項目!$A$2:$A$1300,$A351,元データ_14項目!$B$2:$B$1300,"前年")</f>
        <v>247</v>
      </c>
      <c r="Q351" s="7">
        <f t="shared" si="11"/>
        <v>0.87044534412955465</v>
      </c>
    </row>
    <row r="352" spans="1:17" x14ac:dyDescent="0.45">
      <c r="A352" t="s">
        <v>59</v>
      </c>
      <c r="B352" t="s">
        <v>96</v>
      </c>
      <c r="C352" s="26">
        <f>SUMIFS(INDEX(元データ_14項目!$D$2:$Q$1300,0,MATCH($B352,元データ_14項目!$D$1:$Q$1,0)),元データ_14項目!$A$2:$A$1300,$A352,元データ_14項目!$B$2:$B$1300,"本年",元データ_14項目!$C$2:$C$1300,C$5)</f>
        <v>22</v>
      </c>
      <c r="D352" s="26">
        <f>SUMIFS(INDEX(元データ_14項目!$D$2:$Q$1300,0,MATCH($B352,元データ_14項目!$D$1:$Q$1,0)),元データ_14項目!$A$2:$A$1300,$A352,元データ_14項目!$B$2:$B$1300,"本年",元データ_14項目!$C$2:$C$1300,D$5)</f>
        <v>6</v>
      </c>
      <c r="E352" s="26">
        <f>SUMIFS(INDEX(元データ_14項目!$D$2:$Q$1300,0,MATCH($B352,元データ_14項目!$D$1:$Q$1,0)),元データ_14項目!$A$2:$A$1300,$A352,元データ_14項目!$B$2:$B$1300,"本年",元データ_14項目!$C$2:$C$1300,E$5)</f>
        <v>26</v>
      </c>
      <c r="F352" s="26">
        <f>SUMIFS(INDEX(元データ_14項目!$D$2:$Q$1300,0,MATCH($B352,元データ_14項目!$D$1:$Q$1,0)),元データ_14項目!$A$2:$A$1300,$A352,元データ_14項目!$B$2:$B$1300,"本年",元データ_14項目!$C$2:$C$1300,F$5)</f>
        <v>39</v>
      </c>
      <c r="G352" s="26">
        <f>SUMIFS(INDEX(元データ_14項目!$D$2:$Q$1300,0,MATCH($B352,元データ_14項目!$D$1:$Q$1,0)),元データ_14項目!$A$2:$A$1300,$A352,元データ_14項目!$B$2:$B$1300,"本年",元データ_14項目!$C$2:$C$1300,G$5)</f>
        <v>0</v>
      </c>
      <c r="H352" s="26">
        <f>SUMIFS(INDEX(元データ_14項目!$D$2:$Q$1300,0,MATCH($B352,元データ_14項目!$D$1:$Q$1,0)),元データ_14項目!$A$2:$A$1300,$A352,元データ_14項目!$B$2:$B$1300,"本年",元データ_14項目!$C$2:$C$1300,H$5)</f>
        <v>28</v>
      </c>
      <c r="I352" s="26">
        <f>SUMIFS(INDEX(元データ_14項目!$D$2:$Q$1300,0,MATCH($B352,元データ_14項目!$D$1:$Q$1,0)),元データ_14項目!$A$2:$A$1300,$A352,元データ_14項目!$B$2:$B$1300,"本年",元データ_14項目!$C$2:$C$1300,I$5)</f>
        <v>19</v>
      </c>
      <c r="J352" s="26">
        <f>SUMIFS(INDEX(元データ_14項目!$D$2:$Q$1300,0,MATCH($B352,元データ_14項目!$D$1:$Q$1,0)),元データ_14項目!$A$2:$A$1300,$A352,元データ_14項目!$B$2:$B$1300,"本年",元データ_14項目!$C$2:$C$1300,J$5)</f>
        <v>97</v>
      </c>
      <c r="K352" s="26">
        <f>SUMIFS(INDEX(元データ_14項目!$D$2:$Q$1300,0,MATCH($B352,元データ_14項目!$D$1:$Q$1,0)),元データ_14項目!$A$2:$A$1300,$A352,元データ_14項目!$B$2:$B$1300,"本年",元データ_14項目!$C$2:$C$1300,K$5)</f>
        <v>0</v>
      </c>
      <c r="L352" s="26">
        <f>SUMIFS(INDEX(元データ_14項目!$D$2:$Q$1300,0,MATCH($B352,元データ_14項目!$D$1:$Q$1,0)),元データ_14項目!$A$2:$A$1300,$A352,元データ_14項目!$B$2:$B$1300,"本年",元データ_14項目!$C$2:$C$1300,L$5)</f>
        <v>104</v>
      </c>
      <c r="M352" s="26">
        <f>SUMIFS(INDEX(元データ_14項目!$D$2:$Q$1300,0,MATCH($B352,元データ_14項目!$D$1:$Q$1,0)),元データ_14項目!$A$2:$A$1300,$A352,元データ_14項目!$B$2:$B$1300,"本年",元データ_14項目!$C$2:$C$1300,M$5)</f>
        <v>84</v>
      </c>
      <c r="N352" s="26">
        <f>SUMIFS(INDEX(元データ_14項目!$D$2:$Q$1300,0,MATCH($B352,元データ_14項目!$D$1:$Q$1,0)),元データ_14項目!$A$2:$A$1300,$A352,元データ_14項目!$B$2:$B$1300,"本年",元データ_14項目!$C$2:$C$1300,N$5)</f>
        <v>36</v>
      </c>
      <c r="O352" s="26">
        <f t="shared" si="10"/>
        <v>461</v>
      </c>
      <c r="P352" s="26">
        <f>SUMIFS(INDEX(元データ_14項目!$D$2:$Q$1300,0,MATCH($B352,元データ_14項目!$D$1:$Q$1,0)),元データ_14項目!$A$2:$A$1300,$A352,元データ_14項目!$B$2:$B$1300,"前年")</f>
        <v>573</v>
      </c>
      <c r="Q352" s="7">
        <f t="shared" si="11"/>
        <v>0.8045375218150087</v>
      </c>
    </row>
    <row r="353" spans="1:17" x14ac:dyDescent="0.45">
      <c r="A353" t="s">
        <v>59</v>
      </c>
      <c r="B353" t="s">
        <v>97</v>
      </c>
      <c r="C353" s="26">
        <f>SUMIFS(INDEX(元データ_14項目!$D$2:$Q$1300,0,MATCH($B353,元データ_14項目!$D$1:$Q$1,0)),元データ_14項目!$A$2:$A$1300,$A353,元データ_14項目!$B$2:$B$1300,"本年",元データ_14項目!$C$2:$C$1300,C$5)</f>
        <v>12</v>
      </c>
      <c r="D353" s="26">
        <f>SUMIFS(INDEX(元データ_14項目!$D$2:$Q$1300,0,MATCH($B353,元データ_14項目!$D$1:$Q$1,0)),元データ_14項目!$A$2:$A$1300,$A353,元データ_14項目!$B$2:$B$1300,"本年",元データ_14項目!$C$2:$C$1300,D$5)</f>
        <v>32</v>
      </c>
      <c r="E353" s="26">
        <f>SUMIFS(INDEX(元データ_14項目!$D$2:$Q$1300,0,MATCH($B353,元データ_14項目!$D$1:$Q$1,0)),元データ_14項目!$A$2:$A$1300,$A353,元データ_14項目!$B$2:$B$1300,"本年",元データ_14項目!$C$2:$C$1300,E$5)</f>
        <v>39</v>
      </c>
      <c r="F353" s="26">
        <f>SUMIFS(INDEX(元データ_14項目!$D$2:$Q$1300,0,MATCH($B353,元データ_14項目!$D$1:$Q$1,0)),元データ_14項目!$A$2:$A$1300,$A353,元データ_14項目!$B$2:$B$1300,"本年",元データ_14項目!$C$2:$C$1300,F$5)</f>
        <v>44</v>
      </c>
      <c r="G353" s="26">
        <f>SUMIFS(INDEX(元データ_14項目!$D$2:$Q$1300,0,MATCH($B353,元データ_14項目!$D$1:$Q$1,0)),元データ_14項目!$A$2:$A$1300,$A353,元データ_14項目!$B$2:$B$1300,"本年",元データ_14項目!$C$2:$C$1300,G$5)</f>
        <v>0</v>
      </c>
      <c r="H353" s="26">
        <f>SUMIFS(INDEX(元データ_14項目!$D$2:$Q$1300,0,MATCH($B353,元データ_14項目!$D$1:$Q$1,0)),元データ_14項目!$A$2:$A$1300,$A353,元データ_14項目!$B$2:$B$1300,"本年",元データ_14項目!$C$2:$C$1300,H$5)</f>
        <v>29</v>
      </c>
      <c r="I353" s="26">
        <f>SUMIFS(INDEX(元データ_14項目!$D$2:$Q$1300,0,MATCH($B353,元データ_14項目!$D$1:$Q$1,0)),元データ_14項目!$A$2:$A$1300,$A353,元データ_14項目!$B$2:$B$1300,"本年",元データ_14項目!$C$2:$C$1300,I$5)</f>
        <v>74</v>
      </c>
      <c r="J353" s="26">
        <f>SUMIFS(INDEX(元データ_14項目!$D$2:$Q$1300,0,MATCH($B353,元データ_14項目!$D$1:$Q$1,0)),元データ_14項目!$A$2:$A$1300,$A353,元データ_14項目!$B$2:$B$1300,"本年",元データ_14項目!$C$2:$C$1300,J$5)</f>
        <v>63</v>
      </c>
      <c r="K353" s="26">
        <f>SUMIFS(INDEX(元データ_14項目!$D$2:$Q$1300,0,MATCH($B353,元データ_14項目!$D$1:$Q$1,0)),元データ_14項目!$A$2:$A$1300,$A353,元データ_14項目!$B$2:$B$1300,"本年",元データ_14項目!$C$2:$C$1300,K$5)</f>
        <v>0</v>
      </c>
      <c r="L353" s="26">
        <f>SUMIFS(INDEX(元データ_14項目!$D$2:$Q$1300,0,MATCH($B353,元データ_14項目!$D$1:$Q$1,0)),元データ_14項目!$A$2:$A$1300,$A353,元データ_14項目!$B$2:$B$1300,"本年",元データ_14項目!$C$2:$C$1300,L$5)</f>
        <v>99</v>
      </c>
      <c r="M353" s="26">
        <f>SUMIFS(INDEX(元データ_14項目!$D$2:$Q$1300,0,MATCH($B353,元データ_14項目!$D$1:$Q$1,0)),元データ_14項目!$A$2:$A$1300,$A353,元データ_14項目!$B$2:$B$1300,"本年",元データ_14項目!$C$2:$C$1300,M$5)</f>
        <v>99</v>
      </c>
      <c r="N353" s="26">
        <f>SUMIFS(INDEX(元データ_14項目!$D$2:$Q$1300,0,MATCH($B353,元データ_14項目!$D$1:$Q$1,0)),元データ_14項目!$A$2:$A$1300,$A353,元データ_14項目!$B$2:$B$1300,"本年",元データ_14項目!$C$2:$C$1300,N$5)</f>
        <v>38</v>
      </c>
      <c r="O353" s="26">
        <f t="shared" si="10"/>
        <v>529</v>
      </c>
      <c r="P353" s="26">
        <f>SUMIFS(INDEX(元データ_14項目!$D$2:$Q$1300,0,MATCH($B353,元データ_14項目!$D$1:$Q$1,0)),元データ_14項目!$A$2:$A$1300,$A353,元データ_14項目!$B$2:$B$1300,"前年")</f>
        <v>536</v>
      </c>
      <c r="Q353" s="7">
        <f t="shared" si="11"/>
        <v>0.98694029850746268</v>
      </c>
    </row>
    <row r="354" spans="1:17" x14ac:dyDescent="0.45">
      <c r="A354" t="s">
        <v>59</v>
      </c>
      <c r="B354" t="s">
        <v>98</v>
      </c>
      <c r="C354" s="26">
        <f>SUMIFS(INDEX(元データ_14項目!$D$2:$Q$1300,0,MATCH($B354,元データ_14項目!$D$1:$Q$1,0)),元データ_14項目!$A$2:$A$1300,$A354,元データ_14項目!$B$2:$B$1300,"本年",元データ_14項目!$C$2:$C$1300,C$5)</f>
        <v>5</v>
      </c>
      <c r="D354" s="26">
        <f>SUMIFS(INDEX(元データ_14項目!$D$2:$Q$1300,0,MATCH($B354,元データ_14項目!$D$1:$Q$1,0)),元データ_14項目!$A$2:$A$1300,$A354,元データ_14項目!$B$2:$B$1300,"本年",元データ_14項目!$C$2:$C$1300,D$5)</f>
        <v>5</v>
      </c>
      <c r="E354" s="26">
        <f>SUMIFS(INDEX(元データ_14項目!$D$2:$Q$1300,0,MATCH($B354,元データ_14項目!$D$1:$Q$1,0)),元データ_14項目!$A$2:$A$1300,$A354,元データ_14項目!$B$2:$B$1300,"本年",元データ_14項目!$C$2:$C$1300,E$5)</f>
        <v>14</v>
      </c>
      <c r="F354" s="26">
        <f>SUMIFS(INDEX(元データ_14項目!$D$2:$Q$1300,0,MATCH($B354,元データ_14項目!$D$1:$Q$1,0)),元データ_14項目!$A$2:$A$1300,$A354,元データ_14項目!$B$2:$B$1300,"本年",元データ_14項目!$C$2:$C$1300,F$5)</f>
        <v>8</v>
      </c>
      <c r="G354" s="26">
        <f>SUMIFS(INDEX(元データ_14項目!$D$2:$Q$1300,0,MATCH($B354,元データ_14項目!$D$1:$Q$1,0)),元データ_14項目!$A$2:$A$1300,$A354,元データ_14項目!$B$2:$B$1300,"本年",元データ_14項目!$C$2:$C$1300,G$5)</f>
        <v>0</v>
      </c>
      <c r="H354" s="26">
        <f>SUMIFS(INDEX(元データ_14項目!$D$2:$Q$1300,0,MATCH($B354,元データ_14項目!$D$1:$Q$1,0)),元データ_14項目!$A$2:$A$1300,$A354,元データ_14項目!$B$2:$B$1300,"本年",元データ_14項目!$C$2:$C$1300,H$5)</f>
        <v>11</v>
      </c>
      <c r="I354" s="26">
        <f>SUMIFS(INDEX(元データ_14項目!$D$2:$Q$1300,0,MATCH($B354,元データ_14項目!$D$1:$Q$1,0)),元データ_14項目!$A$2:$A$1300,$A354,元データ_14項目!$B$2:$B$1300,"本年",元データ_14項目!$C$2:$C$1300,I$5)</f>
        <v>7</v>
      </c>
      <c r="J354" s="26">
        <f>SUMIFS(INDEX(元データ_14項目!$D$2:$Q$1300,0,MATCH($B354,元データ_14項目!$D$1:$Q$1,0)),元データ_14項目!$A$2:$A$1300,$A354,元データ_14項目!$B$2:$B$1300,"本年",元データ_14項目!$C$2:$C$1300,J$5)</f>
        <v>60</v>
      </c>
      <c r="K354" s="26">
        <f>SUMIFS(INDEX(元データ_14項目!$D$2:$Q$1300,0,MATCH($B354,元データ_14項目!$D$1:$Q$1,0)),元データ_14項目!$A$2:$A$1300,$A354,元データ_14項目!$B$2:$B$1300,"本年",元データ_14項目!$C$2:$C$1300,K$5)</f>
        <v>0</v>
      </c>
      <c r="L354" s="26">
        <f>SUMIFS(INDEX(元データ_14項目!$D$2:$Q$1300,0,MATCH($B354,元データ_14項目!$D$1:$Q$1,0)),元データ_14項目!$A$2:$A$1300,$A354,元データ_14項目!$B$2:$B$1300,"本年",元データ_14項目!$C$2:$C$1300,L$5)</f>
        <v>84</v>
      </c>
      <c r="M354" s="26">
        <f>SUMIFS(INDEX(元データ_14項目!$D$2:$Q$1300,0,MATCH($B354,元データ_14項目!$D$1:$Q$1,0)),元データ_14項目!$A$2:$A$1300,$A354,元データ_14項目!$B$2:$B$1300,"本年",元データ_14項目!$C$2:$C$1300,M$5)</f>
        <v>34</v>
      </c>
      <c r="N354" s="26">
        <f>SUMIFS(INDEX(元データ_14項目!$D$2:$Q$1300,0,MATCH($B354,元データ_14項目!$D$1:$Q$1,0)),元データ_14項目!$A$2:$A$1300,$A354,元データ_14項目!$B$2:$B$1300,"本年",元データ_14項目!$C$2:$C$1300,N$5)</f>
        <v>10</v>
      </c>
      <c r="O354" s="26">
        <f t="shared" si="10"/>
        <v>238</v>
      </c>
      <c r="P354" s="26">
        <f>SUMIFS(INDEX(元データ_14項目!$D$2:$Q$1300,0,MATCH($B354,元データ_14項目!$D$1:$Q$1,0)),元データ_14項目!$A$2:$A$1300,$A354,元データ_14項目!$B$2:$B$1300,"前年")</f>
        <v>294</v>
      </c>
      <c r="Q354" s="7">
        <f t="shared" si="11"/>
        <v>0.80952380952380953</v>
      </c>
    </row>
    <row r="355" spans="1:17" x14ac:dyDescent="0.45">
      <c r="A355" t="s">
        <v>59</v>
      </c>
      <c r="B355" t="s">
        <v>99</v>
      </c>
      <c r="C355" s="26">
        <f>SUMIFS(INDEX(元データ_14項目!$D$2:$Q$1300,0,MATCH($B355,元データ_14項目!$D$1:$Q$1,0)),元データ_14項目!$A$2:$A$1300,$A355,元データ_14項目!$B$2:$B$1300,"本年",元データ_14項目!$C$2:$C$1300,C$5)</f>
        <v>0</v>
      </c>
      <c r="D355" s="26">
        <f>SUMIFS(INDEX(元データ_14項目!$D$2:$Q$1300,0,MATCH($B355,元データ_14項目!$D$1:$Q$1,0)),元データ_14項目!$A$2:$A$1300,$A355,元データ_14項目!$B$2:$B$1300,"本年",元データ_14項目!$C$2:$C$1300,D$5)</f>
        <v>0</v>
      </c>
      <c r="E355" s="26">
        <f>SUMIFS(INDEX(元データ_14項目!$D$2:$Q$1300,0,MATCH($B355,元データ_14項目!$D$1:$Q$1,0)),元データ_14項目!$A$2:$A$1300,$A355,元データ_14項目!$B$2:$B$1300,"本年",元データ_14項目!$C$2:$C$1300,E$5)</f>
        <v>0</v>
      </c>
      <c r="F355" s="26">
        <f>SUMIFS(INDEX(元データ_14項目!$D$2:$Q$1300,0,MATCH($B355,元データ_14項目!$D$1:$Q$1,0)),元データ_14項目!$A$2:$A$1300,$A355,元データ_14項目!$B$2:$B$1300,"本年",元データ_14項目!$C$2:$C$1300,F$5)</f>
        <v>0</v>
      </c>
      <c r="G355" s="26">
        <f>SUMIFS(INDEX(元データ_14項目!$D$2:$Q$1300,0,MATCH($B355,元データ_14項目!$D$1:$Q$1,0)),元データ_14項目!$A$2:$A$1300,$A355,元データ_14項目!$B$2:$B$1300,"本年",元データ_14項目!$C$2:$C$1300,G$5)</f>
        <v>0</v>
      </c>
      <c r="H355" s="26">
        <f>SUMIFS(INDEX(元データ_14項目!$D$2:$Q$1300,0,MATCH($B355,元データ_14項目!$D$1:$Q$1,0)),元データ_14項目!$A$2:$A$1300,$A355,元データ_14項目!$B$2:$B$1300,"本年",元データ_14項目!$C$2:$C$1300,H$5)</f>
        <v>4</v>
      </c>
      <c r="I355" s="26">
        <f>SUMIFS(INDEX(元データ_14項目!$D$2:$Q$1300,0,MATCH($B355,元データ_14項目!$D$1:$Q$1,0)),元データ_14項目!$A$2:$A$1300,$A355,元データ_14項目!$B$2:$B$1300,"本年",元データ_14項目!$C$2:$C$1300,I$5)</f>
        <v>4</v>
      </c>
      <c r="J355" s="26">
        <f>SUMIFS(INDEX(元データ_14項目!$D$2:$Q$1300,0,MATCH($B355,元データ_14項目!$D$1:$Q$1,0)),元データ_14項目!$A$2:$A$1300,$A355,元データ_14項目!$B$2:$B$1300,"本年",元データ_14項目!$C$2:$C$1300,J$5)</f>
        <v>7</v>
      </c>
      <c r="K355" s="26">
        <f>SUMIFS(INDEX(元データ_14項目!$D$2:$Q$1300,0,MATCH($B355,元データ_14項目!$D$1:$Q$1,0)),元データ_14項目!$A$2:$A$1300,$A355,元データ_14項目!$B$2:$B$1300,"本年",元データ_14項目!$C$2:$C$1300,K$5)</f>
        <v>0</v>
      </c>
      <c r="L355" s="26">
        <f>SUMIFS(INDEX(元データ_14項目!$D$2:$Q$1300,0,MATCH($B355,元データ_14項目!$D$1:$Q$1,0)),元データ_14項目!$A$2:$A$1300,$A355,元データ_14項目!$B$2:$B$1300,"本年",元データ_14項目!$C$2:$C$1300,L$5)</f>
        <v>14</v>
      </c>
      <c r="M355" s="26">
        <f>SUMIFS(INDEX(元データ_14項目!$D$2:$Q$1300,0,MATCH($B355,元データ_14項目!$D$1:$Q$1,0)),元データ_14項目!$A$2:$A$1300,$A355,元データ_14項目!$B$2:$B$1300,"本年",元データ_14項目!$C$2:$C$1300,M$5)</f>
        <v>6</v>
      </c>
      <c r="N355" s="26">
        <f>SUMIFS(INDEX(元データ_14項目!$D$2:$Q$1300,0,MATCH($B355,元データ_14項目!$D$1:$Q$1,0)),元データ_14項目!$A$2:$A$1300,$A355,元データ_14項目!$B$2:$B$1300,"本年",元データ_14項目!$C$2:$C$1300,N$5)</f>
        <v>4</v>
      </c>
      <c r="O355" s="26">
        <f t="shared" si="10"/>
        <v>39</v>
      </c>
      <c r="P355" s="26">
        <f>SUMIFS(INDEX(元データ_14項目!$D$2:$Q$1300,0,MATCH($B355,元データ_14項目!$D$1:$Q$1,0)),元データ_14項目!$A$2:$A$1300,$A355,元データ_14項目!$B$2:$B$1300,"前年")</f>
        <v>42</v>
      </c>
      <c r="Q355" s="7">
        <f t="shared" si="11"/>
        <v>0.9285714285714286</v>
      </c>
    </row>
    <row r="356" spans="1:17" x14ac:dyDescent="0.45">
      <c r="A356" t="s">
        <v>60</v>
      </c>
      <c r="B356" t="s">
        <v>27</v>
      </c>
      <c r="C356" s="26">
        <f>SUMIFS(INDEX(元データ_14項目!$D$2:$Q$1300,0,MATCH($B356,元データ_14項目!$D$1:$Q$1,0)),元データ_14項目!$A$2:$A$1300,$A356,元データ_14項目!$B$2:$B$1300,"本年",元データ_14項目!$C$2:$C$1300,C$5)</f>
        <v>304</v>
      </c>
      <c r="D356" s="26">
        <f>SUMIFS(INDEX(元データ_14項目!$D$2:$Q$1300,0,MATCH($B356,元データ_14項目!$D$1:$Q$1,0)),元データ_14項目!$A$2:$A$1300,$A356,元データ_14項目!$B$2:$B$1300,"本年",元データ_14項目!$C$2:$C$1300,D$5)</f>
        <v>404</v>
      </c>
      <c r="E356" s="26">
        <f>SUMIFS(INDEX(元データ_14項目!$D$2:$Q$1300,0,MATCH($B356,元データ_14項目!$D$1:$Q$1,0)),元データ_14項目!$A$2:$A$1300,$A356,元データ_14項目!$B$2:$B$1300,"本年",元データ_14項目!$C$2:$C$1300,E$5)</f>
        <v>438</v>
      </c>
      <c r="F356" s="26">
        <f>SUMIFS(INDEX(元データ_14項目!$D$2:$Q$1300,0,MATCH($B356,元データ_14項目!$D$1:$Q$1,0)),元データ_14項目!$A$2:$A$1300,$A356,元データ_14項目!$B$2:$B$1300,"本年",元データ_14項目!$C$2:$C$1300,F$5)</f>
        <v>396</v>
      </c>
      <c r="G356" s="26">
        <f>SUMIFS(INDEX(元データ_14項目!$D$2:$Q$1300,0,MATCH($B356,元データ_14項目!$D$1:$Q$1,0)),元データ_14項目!$A$2:$A$1300,$A356,元データ_14項目!$B$2:$B$1300,"本年",元データ_14項目!$C$2:$C$1300,G$5)</f>
        <v>427</v>
      </c>
      <c r="H356" s="26">
        <f>SUMIFS(INDEX(元データ_14項目!$D$2:$Q$1300,0,MATCH($B356,元データ_14項目!$D$1:$Q$1,0)),元データ_14項目!$A$2:$A$1300,$A356,元データ_14項目!$B$2:$B$1300,"本年",元データ_14項目!$C$2:$C$1300,H$5)</f>
        <v>308</v>
      </c>
      <c r="I356" s="26">
        <f>SUMIFS(INDEX(元データ_14項目!$D$2:$Q$1300,0,MATCH($B356,元データ_14項目!$D$1:$Q$1,0)),元データ_14項目!$A$2:$A$1300,$A356,元データ_14項目!$B$2:$B$1300,"本年",元データ_14項目!$C$2:$C$1300,I$5)</f>
        <v>331</v>
      </c>
      <c r="J356" s="26">
        <f>SUMIFS(INDEX(元データ_14項目!$D$2:$Q$1300,0,MATCH($B356,元データ_14項目!$D$1:$Q$1,0)),元データ_14項目!$A$2:$A$1300,$A356,元データ_14項目!$B$2:$B$1300,"本年",元データ_14項目!$C$2:$C$1300,J$5)</f>
        <v>426</v>
      </c>
      <c r="K356" s="26">
        <f>SUMIFS(INDEX(元データ_14項目!$D$2:$Q$1300,0,MATCH($B356,元データ_14項目!$D$1:$Q$1,0)),元データ_14項目!$A$2:$A$1300,$A356,元データ_14項目!$B$2:$B$1300,"本年",元データ_14項目!$C$2:$C$1300,K$5)</f>
        <v>434</v>
      </c>
      <c r="L356" s="26">
        <f>SUMIFS(INDEX(元データ_14項目!$D$2:$Q$1300,0,MATCH($B356,元データ_14項目!$D$1:$Q$1,0)),元データ_14項目!$A$2:$A$1300,$A356,元データ_14項目!$B$2:$B$1300,"本年",元データ_14項目!$C$2:$C$1300,L$5)</f>
        <v>384</v>
      </c>
      <c r="M356" s="26">
        <f>SUMIFS(INDEX(元データ_14項目!$D$2:$Q$1300,0,MATCH($B356,元データ_14項目!$D$1:$Q$1,0)),元データ_14項目!$A$2:$A$1300,$A356,元データ_14項目!$B$2:$B$1300,"本年",元データ_14項目!$C$2:$C$1300,M$5)</f>
        <v>437</v>
      </c>
      <c r="N356" s="26">
        <f>SUMIFS(INDEX(元データ_14項目!$D$2:$Q$1300,0,MATCH($B356,元データ_14項目!$D$1:$Q$1,0)),元データ_14項目!$A$2:$A$1300,$A356,元データ_14項目!$B$2:$B$1300,"本年",元データ_14項目!$C$2:$C$1300,N$5)</f>
        <v>387</v>
      </c>
      <c r="O356" s="26">
        <f t="shared" si="10"/>
        <v>4676</v>
      </c>
      <c r="P356" s="26">
        <f>SUMIFS(INDEX(元データ_14項目!$D$2:$Q$1300,0,MATCH($B356,元データ_14項目!$D$1:$Q$1,0)),元データ_14項目!$A$2:$A$1300,$A356,元データ_14項目!$B$2:$B$1300,"前年")</f>
        <v>5124</v>
      </c>
      <c r="Q356" s="7">
        <f t="shared" si="11"/>
        <v>0.91256830601092898</v>
      </c>
    </row>
    <row r="357" spans="1:17" x14ac:dyDescent="0.45">
      <c r="A357" t="s">
        <v>60</v>
      </c>
      <c r="B357" t="s">
        <v>88</v>
      </c>
      <c r="C357" s="26">
        <f>SUMIFS(INDEX(元データ_14項目!$D$2:$Q$1300,0,MATCH($B357,元データ_14項目!$D$1:$Q$1,0)),元データ_14項目!$A$2:$A$1300,$A357,元データ_14項目!$B$2:$B$1300,"本年",元データ_14項目!$C$2:$C$1300,C$5)</f>
        <v>11</v>
      </c>
      <c r="D357" s="26">
        <f>SUMIFS(INDEX(元データ_14項目!$D$2:$Q$1300,0,MATCH($B357,元データ_14項目!$D$1:$Q$1,0)),元データ_14項目!$A$2:$A$1300,$A357,元データ_14項目!$B$2:$B$1300,"本年",元データ_14項目!$C$2:$C$1300,D$5)</f>
        <v>7</v>
      </c>
      <c r="E357" s="26">
        <f>SUMIFS(INDEX(元データ_14項目!$D$2:$Q$1300,0,MATCH($B357,元データ_14項目!$D$1:$Q$1,0)),元データ_14項目!$A$2:$A$1300,$A357,元データ_14項目!$B$2:$B$1300,"本年",元データ_14項目!$C$2:$C$1300,E$5)</f>
        <v>13</v>
      </c>
      <c r="F357" s="26">
        <f>SUMIFS(INDEX(元データ_14項目!$D$2:$Q$1300,0,MATCH($B357,元データ_14項目!$D$1:$Q$1,0)),元データ_14項目!$A$2:$A$1300,$A357,元データ_14項目!$B$2:$B$1300,"本年",元データ_14項目!$C$2:$C$1300,F$5)</f>
        <v>16</v>
      </c>
      <c r="G357" s="26">
        <f>SUMIFS(INDEX(元データ_14項目!$D$2:$Q$1300,0,MATCH($B357,元データ_14項目!$D$1:$Q$1,0)),元データ_14項目!$A$2:$A$1300,$A357,元データ_14項目!$B$2:$B$1300,"本年",元データ_14項目!$C$2:$C$1300,G$5)</f>
        <v>11</v>
      </c>
      <c r="H357" s="26">
        <f>SUMIFS(INDEX(元データ_14項目!$D$2:$Q$1300,0,MATCH($B357,元データ_14項目!$D$1:$Q$1,0)),元データ_14項目!$A$2:$A$1300,$A357,元データ_14項目!$B$2:$B$1300,"本年",元データ_14項目!$C$2:$C$1300,H$5)</f>
        <v>15</v>
      </c>
      <c r="I357" s="26">
        <f>SUMIFS(INDEX(元データ_14項目!$D$2:$Q$1300,0,MATCH($B357,元データ_14項目!$D$1:$Q$1,0)),元データ_14項目!$A$2:$A$1300,$A357,元データ_14項目!$B$2:$B$1300,"本年",元データ_14項目!$C$2:$C$1300,I$5)</f>
        <v>3</v>
      </c>
      <c r="J357" s="26">
        <f>SUMIFS(INDEX(元データ_14項目!$D$2:$Q$1300,0,MATCH($B357,元データ_14項目!$D$1:$Q$1,0)),元データ_14項目!$A$2:$A$1300,$A357,元データ_14項目!$B$2:$B$1300,"本年",元データ_14項目!$C$2:$C$1300,J$5)</f>
        <v>4</v>
      </c>
      <c r="K357" s="26">
        <f>SUMIFS(INDEX(元データ_14項目!$D$2:$Q$1300,0,MATCH($B357,元データ_14項目!$D$1:$Q$1,0)),元データ_14項目!$A$2:$A$1300,$A357,元データ_14項目!$B$2:$B$1300,"本年",元データ_14項目!$C$2:$C$1300,K$5)</f>
        <v>18</v>
      </c>
      <c r="L357" s="26">
        <f>SUMIFS(INDEX(元データ_14項目!$D$2:$Q$1300,0,MATCH($B357,元データ_14項目!$D$1:$Q$1,0)),元データ_14項目!$A$2:$A$1300,$A357,元データ_14項目!$B$2:$B$1300,"本年",元データ_14項目!$C$2:$C$1300,L$5)</f>
        <v>16</v>
      </c>
      <c r="M357" s="26">
        <f>SUMIFS(INDEX(元データ_14項目!$D$2:$Q$1300,0,MATCH($B357,元データ_14項目!$D$1:$Q$1,0)),元データ_14項目!$A$2:$A$1300,$A357,元データ_14項目!$B$2:$B$1300,"本年",元データ_14項目!$C$2:$C$1300,M$5)</f>
        <v>17</v>
      </c>
      <c r="N357" s="26">
        <f>SUMIFS(INDEX(元データ_14項目!$D$2:$Q$1300,0,MATCH($B357,元データ_14項目!$D$1:$Q$1,0)),元データ_14項目!$A$2:$A$1300,$A357,元データ_14項目!$B$2:$B$1300,"本年",元データ_14項目!$C$2:$C$1300,N$5)</f>
        <v>5</v>
      </c>
      <c r="O357" s="26">
        <f t="shared" si="10"/>
        <v>136</v>
      </c>
      <c r="P357" s="26">
        <f>SUMIFS(INDEX(元データ_14項目!$D$2:$Q$1300,0,MATCH($B357,元データ_14項目!$D$1:$Q$1,0)),元データ_14項目!$A$2:$A$1300,$A357,元データ_14項目!$B$2:$B$1300,"前年")</f>
        <v>152</v>
      </c>
      <c r="Q357" s="7">
        <f t="shared" si="11"/>
        <v>0.89473684210526316</v>
      </c>
    </row>
    <row r="358" spans="1:17" x14ac:dyDescent="0.45">
      <c r="A358" t="s">
        <v>60</v>
      </c>
      <c r="B358" t="s">
        <v>89</v>
      </c>
      <c r="C358" s="26">
        <f>SUMIFS(INDEX(元データ_14項目!$D$2:$Q$1300,0,MATCH($B358,元データ_14項目!$D$1:$Q$1,0)),元データ_14項目!$A$2:$A$1300,$A358,元データ_14項目!$B$2:$B$1300,"本年",元データ_14項目!$C$2:$C$1300,C$5)</f>
        <v>15</v>
      </c>
      <c r="D358" s="26">
        <f>SUMIFS(INDEX(元データ_14項目!$D$2:$Q$1300,0,MATCH($B358,元データ_14項目!$D$1:$Q$1,0)),元データ_14項目!$A$2:$A$1300,$A358,元データ_14項目!$B$2:$B$1300,"本年",元データ_14項目!$C$2:$C$1300,D$5)</f>
        <v>9</v>
      </c>
      <c r="E358" s="26">
        <f>SUMIFS(INDEX(元データ_14項目!$D$2:$Q$1300,0,MATCH($B358,元データ_14項目!$D$1:$Q$1,0)),元データ_14項目!$A$2:$A$1300,$A358,元データ_14項目!$B$2:$B$1300,"本年",元データ_14項目!$C$2:$C$1300,E$5)</f>
        <v>37</v>
      </c>
      <c r="F358" s="26">
        <f>SUMIFS(INDEX(元データ_14項目!$D$2:$Q$1300,0,MATCH($B358,元データ_14項目!$D$1:$Q$1,0)),元データ_14項目!$A$2:$A$1300,$A358,元データ_14項目!$B$2:$B$1300,"本年",元データ_14項目!$C$2:$C$1300,F$5)</f>
        <v>18</v>
      </c>
      <c r="G358" s="26">
        <f>SUMIFS(INDEX(元データ_14項目!$D$2:$Q$1300,0,MATCH($B358,元データ_14項目!$D$1:$Q$1,0)),元データ_14項目!$A$2:$A$1300,$A358,元データ_14項目!$B$2:$B$1300,"本年",元データ_14項目!$C$2:$C$1300,G$5)</f>
        <v>19</v>
      </c>
      <c r="H358" s="26">
        <f>SUMIFS(INDEX(元データ_14項目!$D$2:$Q$1300,0,MATCH($B358,元データ_14項目!$D$1:$Q$1,0)),元データ_14項目!$A$2:$A$1300,$A358,元データ_14項目!$B$2:$B$1300,"本年",元データ_14項目!$C$2:$C$1300,H$5)</f>
        <v>10</v>
      </c>
      <c r="I358" s="26">
        <f>SUMIFS(INDEX(元データ_14項目!$D$2:$Q$1300,0,MATCH($B358,元データ_14項目!$D$1:$Q$1,0)),元データ_14項目!$A$2:$A$1300,$A358,元データ_14項目!$B$2:$B$1300,"本年",元データ_14項目!$C$2:$C$1300,I$5)</f>
        <v>1</v>
      </c>
      <c r="J358" s="26">
        <f>SUMIFS(INDEX(元データ_14項目!$D$2:$Q$1300,0,MATCH($B358,元データ_14項目!$D$1:$Q$1,0)),元データ_14項目!$A$2:$A$1300,$A358,元データ_14項目!$B$2:$B$1300,"本年",元データ_14項目!$C$2:$C$1300,J$5)</f>
        <v>20</v>
      </c>
      <c r="K358" s="26">
        <f>SUMIFS(INDEX(元データ_14項目!$D$2:$Q$1300,0,MATCH($B358,元データ_14項目!$D$1:$Q$1,0)),元データ_14項目!$A$2:$A$1300,$A358,元データ_14項目!$B$2:$B$1300,"本年",元データ_14項目!$C$2:$C$1300,K$5)</f>
        <v>30</v>
      </c>
      <c r="L358" s="26">
        <f>SUMIFS(INDEX(元データ_14項目!$D$2:$Q$1300,0,MATCH($B358,元データ_14項目!$D$1:$Q$1,0)),元データ_14項目!$A$2:$A$1300,$A358,元データ_14項目!$B$2:$B$1300,"本年",元データ_14項目!$C$2:$C$1300,L$5)</f>
        <v>20</v>
      </c>
      <c r="M358" s="26">
        <f>SUMIFS(INDEX(元データ_14項目!$D$2:$Q$1300,0,MATCH($B358,元データ_14項目!$D$1:$Q$1,0)),元データ_14項目!$A$2:$A$1300,$A358,元データ_14項目!$B$2:$B$1300,"本年",元データ_14項目!$C$2:$C$1300,M$5)</f>
        <v>22</v>
      </c>
      <c r="N358" s="26">
        <f>SUMIFS(INDEX(元データ_14項目!$D$2:$Q$1300,0,MATCH($B358,元データ_14項目!$D$1:$Q$1,0)),元データ_14項目!$A$2:$A$1300,$A358,元データ_14項目!$B$2:$B$1300,"本年",元データ_14項目!$C$2:$C$1300,N$5)</f>
        <v>5</v>
      </c>
      <c r="O358" s="26">
        <f t="shared" si="10"/>
        <v>206</v>
      </c>
      <c r="P358" s="26">
        <f>SUMIFS(INDEX(元データ_14項目!$D$2:$Q$1300,0,MATCH($B358,元データ_14項目!$D$1:$Q$1,0)),元データ_14項目!$A$2:$A$1300,$A358,元データ_14項目!$B$2:$B$1300,"前年")</f>
        <v>228</v>
      </c>
      <c r="Q358" s="7">
        <f t="shared" si="11"/>
        <v>0.90350877192982459</v>
      </c>
    </row>
    <row r="359" spans="1:17" x14ac:dyDescent="0.45">
      <c r="A359" t="s">
        <v>60</v>
      </c>
      <c r="B359" t="s">
        <v>90</v>
      </c>
      <c r="C359" s="26">
        <f>SUMIFS(INDEX(元データ_14項目!$D$2:$Q$1300,0,MATCH($B359,元データ_14項目!$D$1:$Q$1,0)),元データ_14項目!$A$2:$A$1300,$A359,元データ_14項目!$B$2:$B$1300,"本年",元データ_14項目!$C$2:$C$1300,C$5)</f>
        <v>25</v>
      </c>
      <c r="D359" s="26">
        <f>SUMIFS(INDEX(元データ_14項目!$D$2:$Q$1300,0,MATCH($B359,元データ_14項目!$D$1:$Q$1,0)),元データ_14項目!$A$2:$A$1300,$A359,元データ_14項目!$B$2:$B$1300,"本年",元データ_14項目!$C$2:$C$1300,D$5)</f>
        <v>17</v>
      </c>
      <c r="E359" s="26">
        <f>SUMIFS(INDEX(元データ_14項目!$D$2:$Q$1300,0,MATCH($B359,元データ_14項目!$D$1:$Q$1,0)),元データ_14項目!$A$2:$A$1300,$A359,元データ_14項目!$B$2:$B$1300,"本年",元データ_14項目!$C$2:$C$1300,E$5)</f>
        <v>31</v>
      </c>
      <c r="F359" s="26">
        <f>SUMIFS(INDEX(元データ_14項目!$D$2:$Q$1300,0,MATCH($B359,元データ_14項目!$D$1:$Q$1,0)),元データ_14項目!$A$2:$A$1300,$A359,元データ_14項目!$B$2:$B$1300,"本年",元データ_14項目!$C$2:$C$1300,F$5)</f>
        <v>51</v>
      </c>
      <c r="G359" s="26">
        <f>SUMIFS(INDEX(元データ_14項目!$D$2:$Q$1300,0,MATCH($B359,元データ_14項目!$D$1:$Q$1,0)),元データ_14項目!$A$2:$A$1300,$A359,元データ_14項目!$B$2:$B$1300,"本年",元データ_14項目!$C$2:$C$1300,G$5)</f>
        <v>62</v>
      </c>
      <c r="H359" s="26">
        <f>SUMIFS(INDEX(元データ_14項目!$D$2:$Q$1300,0,MATCH($B359,元データ_14項目!$D$1:$Q$1,0)),元データ_14項目!$A$2:$A$1300,$A359,元データ_14項目!$B$2:$B$1300,"本年",元データ_14項目!$C$2:$C$1300,H$5)</f>
        <v>64</v>
      </c>
      <c r="I359" s="26">
        <f>SUMIFS(INDEX(元データ_14項目!$D$2:$Q$1300,0,MATCH($B359,元データ_14項目!$D$1:$Q$1,0)),元データ_14項目!$A$2:$A$1300,$A359,元データ_14項目!$B$2:$B$1300,"本年",元データ_14項目!$C$2:$C$1300,I$5)</f>
        <v>28</v>
      </c>
      <c r="J359" s="26">
        <f>SUMIFS(INDEX(元データ_14項目!$D$2:$Q$1300,0,MATCH($B359,元データ_14項目!$D$1:$Q$1,0)),元データ_14項目!$A$2:$A$1300,$A359,元データ_14項目!$B$2:$B$1300,"本年",元データ_14項目!$C$2:$C$1300,J$5)</f>
        <v>81</v>
      </c>
      <c r="K359" s="26">
        <f>SUMIFS(INDEX(元データ_14項目!$D$2:$Q$1300,0,MATCH($B359,元データ_14項目!$D$1:$Q$1,0)),元データ_14項目!$A$2:$A$1300,$A359,元データ_14項目!$B$2:$B$1300,"本年",元データ_14項目!$C$2:$C$1300,K$5)</f>
        <v>107</v>
      </c>
      <c r="L359" s="26">
        <f>SUMIFS(INDEX(元データ_14項目!$D$2:$Q$1300,0,MATCH($B359,元データ_14項目!$D$1:$Q$1,0)),元データ_14項目!$A$2:$A$1300,$A359,元データ_14項目!$B$2:$B$1300,"本年",元データ_14項目!$C$2:$C$1300,L$5)</f>
        <v>71</v>
      </c>
      <c r="M359" s="26">
        <f>SUMIFS(INDEX(元データ_14項目!$D$2:$Q$1300,0,MATCH($B359,元データ_14項目!$D$1:$Q$1,0)),元データ_14項目!$A$2:$A$1300,$A359,元データ_14項目!$B$2:$B$1300,"本年",元データ_14項目!$C$2:$C$1300,M$5)</f>
        <v>50</v>
      </c>
      <c r="N359" s="26">
        <f>SUMIFS(INDEX(元データ_14項目!$D$2:$Q$1300,0,MATCH($B359,元データ_14項目!$D$1:$Q$1,0)),元データ_14項目!$A$2:$A$1300,$A359,元データ_14項目!$B$2:$B$1300,"本年",元データ_14項目!$C$2:$C$1300,N$5)</f>
        <v>38</v>
      </c>
      <c r="O359" s="26">
        <f t="shared" si="10"/>
        <v>625</v>
      </c>
      <c r="P359" s="26">
        <f>SUMIFS(INDEX(元データ_14項目!$D$2:$Q$1300,0,MATCH($B359,元データ_14項目!$D$1:$Q$1,0)),元データ_14項目!$A$2:$A$1300,$A359,元データ_14項目!$B$2:$B$1300,"前年")</f>
        <v>656</v>
      </c>
      <c r="Q359" s="7">
        <f t="shared" si="11"/>
        <v>0.9527439024390244</v>
      </c>
    </row>
    <row r="360" spans="1:17" x14ac:dyDescent="0.45">
      <c r="A360" t="s">
        <v>60</v>
      </c>
      <c r="B360" t="s">
        <v>91</v>
      </c>
      <c r="C360" s="26">
        <f>SUMIFS(INDEX(元データ_14項目!$D$2:$Q$1300,0,MATCH($B360,元データ_14項目!$D$1:$Q$1,0)),元データ_14項目!$A$2:$A$1300,$A360,元データ_14項目!$B$2:$B$1300,"本年",元データ_14項目!$C$2:$C$1300,C$5)</f>
        <v>11</v>
      </c>
      <c r="D360" s="26">
        <f>SUMIFS(INDEX(元データ_14項目!$D$2:$Q$1300,0,MATCH($B360,元データ_14項目!$D$1:$Q$1,0)),元データ_14項目!$A$2:$A$1300,$A360,元データ_14項目!$B$2:$B$1300,"本年",元データ_14項目!$C$2:$C$1300,D$5)</f>
        <v>30</v>
      </c>
      <c r="E360" s="26">
        <f>SUMIFS(INDEX(元データ_14項目!$D$2:$Q$1300,0,MATCH($B360,元データ_14項目!$D$1:$Q$1,0)),元データ_14項目!$A$2:$A$1300,$A360,元データ_14項目!$B$2:$B$1300,"本年",元データ_14項目!$C$2:$C$1300,E$5)</f>
        <v>41</v>
      </c>
      <c r="F360" s="26">
        <f>SUMIFS(INDEX(元データ_14項目!$D$2:$Q$1300,0,MATCH($B360,元データ_14項目!$D$1:$Q$1,0)),元データ_14項目!$A$2:$A$1300,$A360,元データ_14項目!$B$2:$B$1300,"本年",元データ_14項目!$C$2:$C$1300,F$5)</f>
        <v>40</v>
      </c>
      <c r="G360" s="26">
        <f>SUMIFS(INDEX(元データ_14項目!$D$2:$Q$1300,0,MATCH($B360,元データ_14項目!$D$1:$Q$1,0)),元データ_14項目!$A$2:$A$1300,$A360,元データ_14項目!$B$2:$B$1300,"本年",元データ_14項目!$C$2:$C$1300,G$5)</f>
        <v>16</v>
      </c>
      <c r="H360" s="26">
        <f>SUMIFS(INDEX(元データ_14項目!$D$2:$Q$1300,0,MATCH($B360,元データ_14項目!$D$1:$Q$1,0)),元データ_14項目!$A$2:$A$1300,$A360,元データ_14項目!$B$2:$B$1300,"本年",元データ_14項目!$C$2:$C$1300,H$5)</f>
        <v>9</v>
      </c>
      <c r="I360" s="26">
        <f>SUMIFS(INDEX(元データ_14項目!$D$2:$Q$1300,0,MATCH($B360,元データ_14項目!$D$1:$Q$1,0)),元データ_14項目!$A$2:$A$1300,$A360,元データ_14項目!$B$2:$B$1300,"本年",元データ_14項目!$C$2:$C$1300,I$5)</f>
        <v>9</v>
      </c>
      <c r="J360" s="26">
        <f>SUMIFS(INDEX(元データ_14項目!$D$2:$Q$1300,0,MATCH($B360,元データ_14項目!$D$1:$Q$1,0)),元データ_14項目!$A$2:$A$1300,$A360,元データ_14項目!$B$2:$B$1300,"本年",元データ_14項目!$C$2:$C$1300,J$5)</f>
        <v>7</v>
      </c>
      <c r="K360" s="26">
        <f>SUMIFS(INDEX(元データ_14項目!$D$2:$Q$1300,0,MATCH($B360,元データ_14項目!$D$1:$Q$1,0)),元データ_14項目!$A$2:$A$1300,$A360,元データ_14項目!$B$2:$B$1300,"本年",元データ_14項目!$C$2:$C$1300,K$5)</f>
        <v>16</v>
      </c>
      <c r="L360" s="26">
        <f>SUMIFS(INDEX(元データ_14項目!$D$2:$Q$1300,0,MATCH($B360,元データ_14項目!$D$1:$Q$1,0)),元データ_14項目!$A$2:$A$1300,$A360,元データ_14項目!$B$2:$B$1300,"本年",元データ_14項目!$C$2:$C$1300,L$5)</f>
        <v>12</v>
      </c>
      <c r="M360" s="26">
        <f>SUMIFS(INDEX(元データ_14項目!$D$2:$Q$1300,0,MATCH($B360,元データ_14項目!$D$1:$Q$1,0)),元データ_14項目!$A$2:$A$1300,$A360,元データ_14項目!$B$2:$B$1300,"本年",元データ_14項目!$C$2:$C$1300,M$5)</f>
        <v>21</v>
      </c>
      <c r="N360" s="26">
        <f>SUMIFS(INDEX(元データ_14項目!$D$2:$Q$1300,0,MATCH($B360,元データ_14項目!$D$1:$Q$1,0)),元データ_14項目!$A$2:$A$1300,$A360,元データ_14項目!$B$2:$B$1300,"本年",元データ_14項目!$C$2:$C$1300,N$5)</f>
        <v>11</v>
      </c>
      <c r="O360" s="26">
        <f t="shared" si="10"/>
        <v>223</v>
      </c>
      <c r="P360" s="26">
        <f>SUMIFS(INDEX(元データ_14項目!$D$2:$Q$1300,0,MATCH($B360,元データ_14項目!$D$1:$Q$1,0)),元データ_14項目!$A$2:$A$1300,$A360,元データ_14項目!$B$2:$B$1300,"前年")</f>
        <v>182</v>
      </c>
      <c r="Q360" s="7">
        <f t="shared" si="11"/>
        <v>1.2252747252747254</v>
      </c>
    </row>
    <row r="361" spans="1:17" x14ac:dyDescent="0.45">
      <c r="A361" t="s">
        <v>60</v>
      </c>
      <c r="B361" t="s">
        <v>28</v>
      </c>
      <c r="C361" s="26">
        <f>SUMIFS(INDEX(元データ_14項目!$D$2:$Q$1300,0,MATCH($B361,元データ_14項目!$D$1:$Q$1,0)),元データ_14項目!$A$2:$A$1300,$A361,元データ_14項目!$B$2:$B$1300,"本年",元データ_14項目!$C$2:$C$1300,C$5)</f>
        <v>80</v>
      </c>
      <c r="D361" s="26">
        <f>SUMIFS(INDEX(元データ_14項目!$D$2:$Q$1300,0,MATCH($B361,元データ_14項目!$D$1:$Q$1,0)),元データ_14項目!$A$2:$A$1300,$A361,元データ_14項目!$B$2:$B$1300,"本年",元データ_14項目!$C$2:$C$1300,D$5)</f>
        <v>129</v>
      </c>
      <c r="E361" s="26">
        <f>SUMIFS(INDEX(元データ_14項目!$D$2:$Q$1300,0,MATCH($B361,元データ_14項目!$D$1:$Q$1,0)),元データ_14項目!$A$2:$A$1300,$A361,元データ_14項目!$B$2:$B$1300,"本年",元データ_14項目!$C$2:$C$1300,E$5)</f>
        <v>156</v>
      </c>
      <c r="F361" s="26">
        <f>SUMIFS(INDEX(元データ_14項目!$D$2:$Q$1300,0,MATCH($B361,元データ_14項目!$D$1:$Q$1,0)),元データ_14項目!$A$2:$A$1300,$A361,元データ_14項目!$B$2:$B$1300,"本年",元データ_14項目!$C$2:$C$1300,F$5)</f>
        <v>122</v>
      </c>
      <c r="G361" s="26">
        <f>SUMIFS(INDEX(元データ_14項目!$D$2:$Q$1300,0,MATCH($B361,元データ_14項目!$D$1:$Q$1,0)),元データ_14項目!$A$2:$A$1300,$A361,元データ_14項目!$B$2:$B$1300,"本年",元データ_14項目!$C$2:$C$1300,G$5)</f>
        <v>134</v>
      </c>
      <c r="H361" s="26">
        <f>SUMIFS(INDEX(元データ_14項目!$D$2:$Q$1300,0,MATCH($B361,元データ_14項目!$D$1:$Q$1,0)),元データ_14項目!$A$2:$A$1300,$A361,元データ_14項目!$B$2:$B$1300,"本年",元データ_14項目!$C$2:$C$1300,H$5)</f>
        <v>67</v>
      </c>
      <c r="I361" s="26">
        <f>SUMIFS(INDEX(元データ_14項目!$D$2:$Q$1300,0,MATCH($B361,元データ_14項目!$D$1:$Q$1,0)),元データ_14項目!$A$2:$A$1300,$A361,元データ_14項目!$B$2:$B$1300,"本年",元データ_14項目!$C$2:$C$1300,I$5)</f>
        <v>50</v>
      </c>
      <c r="J361" s="26">
        <f>SUMIFS(INDEX(元データ_14項目!$D$2:$Q$1300,0,MATCH($B361,元データ_14項目!$D$1:$Q$1,0)),元データ_14項目!$A$2:$A$1300,$A361,元データ_14項目!$B$2:$B$1300,"本年",元データ_14項目!$C$2:$C$1300,J$5)</f>
        <v>92</v>
      </c>
      <c r="K361" s="26">
        <f>SUMIFS(INDEX(元データ_14項目!$D$2:$Q$1300,0,MATCH($B361,元データ_14項目!$D$1:$Q$1,0)),元データ_14項目!$A$2:$A$1300,$A361,元データ_14項目!$B$2:$B$1300,"本年",元データ_14項目!$C$2:$C$1300,K$5)</f>
        <v>93</v>
      </c>
      <c r="L361" s="26">
        <f>SUMIFS(INDEX(元データ_14項目!$D$2:$Q$1300,0,MATCH($B361,元データ_14項目!$D$1:$Q$1,0)),元データ_14項目!$A$2:$A$1300,$A361,元データ_14項目!$B$2:$B$1300,"本年",元データ_14項目!$C$2:$C$1300,L$5)</f>
        <v>92</v>
      </c>
      <c r="M361" s="26">
        <f>SUMIFS(INDEX(元データ_14項目!$D$2:$Q$1300,0,MATCH($B361,元データ_14項目!$D$1:$Q$1,0)),元データ_14項目!$A$2:$A$1300,$A361,元データ_14項目!$B$2:$B$1300,"本年",元データ_14項目!$C$2:$C$1300,M$5)</f>
        <v>101</v>
      </c>
      <c r="N361" s="26">
        <f>SUMIFS(INDEX(元データ_14項目!$D$2:$Q$1300,0,MATCH($B361,元データ_14項目!$D$1:$Q$1,0)),元データ_14項目!$A$2:$A$1300,$A361,元データ_14項目!$B$2:$B$1300,"本年",元データ_14項目!$C$2:$C$1300,N$5)</f>
        <v>129</v>
      </c>
      <c r="O361" s="26">
        <f t="shared" si="10"/>
        <v>1245</v>
      </c>
      <c r="P361" s="26">
        <f>SUMIFS(INDEX(元データ_14項目!$D$2:$Q$1300,0,MATCH($B361,元データ_14項目!$D$1:$Q$1,0)),元データ_14項目!$A$2:$A$1300,$A361,元データ_14項目!$B$2:$B$1300,"前年")</f>
        <v>1216</v>
      </c>
      <c r="Q361" s="7">
        <f t="shared" si="11"/>
        <v>1.0238486842105263</v>
      </c>
    </row>
    <row r="362" spans="1:17" x14ac:dyDescent="0.45">
      <c r="A362" t="s">
        <v>60</v>
      </c>
      <c r="B362" t="s">
        <v>92</v>
      </c>
      <c r="C362" s="26">
        <f>SUMIFS(INDEX(元データ_14項目!$D$2:$Q$1300,0,MATCH($B362,元データ_14項目!$D$1:$Q$1,0)),元データ_14項目!$A$2:$A$1300,$A362,元データ_14項目!$B$2:$B$1300,"本年",元データ_14項目!$C$2:$C$1300,C$5)</f>
        <v>3</v>
      </c>
      <c r="D362" s="26">
        <f>SUMIFS(INDEX(元データ_14項目!$D$2:$Q$1300,0,MATCH($B362,元データ_14項目!$D$1:$Q$1,0)),元データ_14項目!$A$2:$A$1300,$A362,元データ_14項目!$B$2:$B$1300,"本年",元データ_14項目!$C$2:$C$1300,D$5)</f>
        <v>16</v>
      </c>
      <c r="E362" s="26">
        <f>SUMIFS(INDEX(元データ_14項目!$D$2:$Q$1300,0,MATCH($B362,元データ_14項目!$D$1:$Q$1,0)),元データ_14項目!$A$2:$A$1300,$A362,元データ_14項目!$B$2:$B$1300,"本年",元データ_14項目!$C$2:$C$1300,E$5)</f>
        <v>23</v>
      </c>
      <c r="F362" s="26">
        <f>SUMIFS(INDEX(元データ_14項目!$D$2:$Q$1300,0,MATCH($B362,元データ_14項目!$D$1:$Q$1,0)),元データ_14項目!$A$2:$A$1300,$A362,元データ_14項目!$B$2:$B$1300,"本年",元データ_14項目!$C$2:$C$1300,F$5)</f>
        <v>12</v>
      </c>
      <c r="G362" s="26">
        <f>SUMIFS(INDEX(元データ_14項目!$D$2:$Q$1300,0,MATCH($B362,元データ_14項目!$D$1:$Q$1,0)),元データ_14項目!$A$2:$A$1300,$A362,元データ_14項目!$B$2:$B$1300,"本年",元データ_14項目!$C$2:$C$1300,G$5)</f>
        <v>14</v>
      </c>
      <c r="H362" s="26">
        <f>SUMIFS(INDEX(元データ_14項目!$D$2:$Q$1300,0,MATCH($B362,元データ_14項目!$D$1:$Q$1,0)),元データ_14項目!$A$2:$A$1300,$A362,元データ_14項目!$B$2:$B$1300,"本年",元データ_14項目!$C$2:$C$1300,H$5)</f>
        <v>3</v>
      </c>
      <c r="I362" s="26">
        <f>SUMIFS(INDEX(元データ_14項目!$D$2:$Q$1300,0,MATCH($B362,元データ_14項目!$D$1:$Q$1,0)),元データ_14項目!$A$2:$A$1300,$A362,元データ_14項目!$B$2:$B$1300,"本年",元データ_14項目!$C$2:$C$1300,I$5)</f>
        <v>2</v>
      </c>
      <c r="J362" s="26">
        <f>SUMIFS(INDEX(元データ_14項目!$D$2:$Q$1300,0,MATCH($B362,元データ_14項目!$D$1:$Q$1,0)),元データ_14項目!$A$2:$A$1300,$A362,元データ_14項目!$B$2:$B$1300,"本年",元データ_14項目!$C$2:$C$1300,J$5)</f>
        <v>15</v>
      </c>
      <c r="K362" s="26">
        <f>SUMIFS(INDEX(元データ_14項目!$D$2:$Q$1300,0,MATCH($B362,元データ_14項目!$D$1:$Q$1,0)),元データ_14項目!$A$2:$A$1300,$A362,元データ_14項目!$B$2:$B$1300,"本年",元データ_14項目!$C$2:$C$1300,K$5)</f>
        <v>25</v>
      </c>
      <c r="L362" s="26">
        <f>SUMIFS(INDEX(元データ_14項目!$D$2:$Q$1300,0,MATCH($B362,元データ_14項目!$D$1:$Q$1,0)),元データ_14項目!$A$2:$A$1300,$A362,元データ_14項目!$B$2:$B$1300,"本年",元データ_14項目!$C$2:$C$1300,L$5)</f>
        <v>3</v>
      </c>
      <c r="M362" s="26">
        <f>SUMIFS(INDEX(元データ_14項目!$D$2:$Q$1300,0,MATCH($B362,元データ_14項目!$D$1:$Q$1,0)),元データ_14項目!$A$2:$A$1300,$A362,元データ_14項目!$B$2:$B$1300,"本年",元データ_14項目!$C$2:$C$1300,M$5)</f>
        <v>3</v>
      </c>
      <c r="N362" s="26">
        <f>SUMIFS(INDEX(元データ_14項目!$D$2:$Q$1300,0,MATCH($B362,元データ_14項目!$D$1:$Q$1,0)),元データ_14項目!$A$2:$A$1300,$A362,元データ_14項目!$B$2:$B$1300,"本年",元データ_14項目!$C$2:$C$1300,N$5)</f>
        <v>5</v>
      </c>
      <c r="O362" s="26">
        <f t="shared" si="10"/>
        <v>124</v>
      </c>
      <c r="P362" s="26">
        <f>SUMIFS(INDEX(元データ_14項目!$D$2:$Q$1300,0,MATCH($B362,元データ_14項目!$D$1:$Q$1,0)),元データ_14項目!$A$2:$A$1300,$A362,元データ_14項目!$B$2:$B$1300,"前年")</f>
        <v>175</v>
      </c>
      <c r="Q362" s="7">
        <f t="shared" si="11"/>
        <v>0.70857142857142852</v>
      </c>
    </row>
    <row r="363" spans="1:17" x14ac:dyDescent="0.45">
      <c r="A363" t="s">
        <v>60</v>
      </c>
      <c r="B363" t="s">
        <v>93</v>
      </c>
      <c r="C363" s="26">
        <f>SUMIFS(INDEX(元データ_14項目!$D$2:$Q$1300,0,MATCH($B363,元データ_14項目!$D$1:$Q$1,0)),元データ_14項目!$A$2:$A$1300,$A363,元データ_14項目!$B$2:$B$1300,"本年",元データ_14項目!$C$2:$C$1300,C$5)</f>
        <v>3</v>
      </c>
      <c r="D363" s="26">
        <f>SUMIFS(INDEX(元データ_14項目!$D$2:$Q$1300,0,MATCH($B363,元データ_14項目!$D$1:$Q$1,0)),元データ_14項目!$A$2:$A$1300,$A363,元データ_14項目!$B$2:$B$1300,"本年",元データ_14項目!$C$2:$C$1300,D$5)</f>
        <v>23</v>
      </c>
      <c r="E363" s="26">
        <f>SUMIFS(INDEX(元データ_14項目!$D$2:$Q$1300,0,MATCH($B363,元データ_14項目!$D$1:$Q$1,0)),元データ_14項目!$A$2:$A$1300,$A363,元データ_14項目!$B$2:$B$1300,"本年",元データ_14項目!$C$2:$C$1300,E$5)</f>
        <v>11</v>
      </c>
      <c r="F363" s="26">
        <f>SUMIFS(INDEX(元データ_14項目!$D$2:$Q$1300,0,MATCH($B363,元データ_14項目!$D$1:$Q$1,0)),元データ_14項目!$A$2:$A$1300,$A363,元データ_14項目!$B$2:$B$1300,"本年",元データ_14項目!$C$2:$C$1300,F$5)</f>
        <v>13</v>
      </c>
      <c r="G363" s="26">
        <f>SUMIFS(INDEX(元データ_14項目!$D$2:$Q$1300,0,MATCH($B363,元データ_14項目!$D$1:$Q$1,0)),元データ_14項目!$A$2:$A$1300,$A363,元データ_14項目!$B$2:$B$1300,"本年",元データ_14項目!$C$2:$C$1300,G$5)</f>
        <v>31</v>
      </c>
      <c r="H363" s="26">
        <f>SUMIFS(INDEX(元データ_14項目!$D$2:$Q$1300,0,MATCH($B363,元データ_14項目!$D$1:$Q$1,0)),元データ_14項目!$A$2:$A$1300,$A363,元データ_14項目!$B$2:$B$1300,"本年",元データ_14項目!$C$2:$C$1300,H$5)</f>
        <v>25</v>
      </c>
      <c r="I363" s="26">
        <f>SUMIFS(INDEX(元データ_14項目!$D$2:$Q$1300,0,MATCH($B363,元データ_14項目!$D$1:$Q$1,0)),元データ_14項目!$A$2:$A$1300,$A363,元データ_14項目!$B$2:$B$1300,"本年",元データ_14項目!$C$2:$C$1300,I$5)</f>
        <v>14</v>
      </c>
      <c r="J363" s="26">
        <f>SUMIFS(INDEX(元データ_14項目!$D$2:$Q$1300,0,MATCH($B363,元データ_14項目!$D$1:$Q$1,0)),元データ_14項目!$A$2:$A$1300,$A363,元データ_14項目!$B$2:$B$1300,"本年",元データ_14項目!$C$2:$C$1300,J$5)</f>
        <v>48</v>
      </c>
      <c r="K363" s="26">
        <f>SUMIFS(INDEX(元データ_14項目!$D$2:$Q$1300,0,MATCH($B363,元データ_14項目!$D$1:$Q$1,0)),元データ_14項目!$A$2:$A$1300,$A363,元データ_14項目!$B$2:$B$1300,"本年",元データ_14項目!$C$2:$C$1300,K$5)</f>
        <v>120</v>
      </c>
      <c r="L363" s="26">
        <f>SUMIFS(INDEX(元データ_14項目!$D$2:$Q$1300,0,MATCH($B363,元データ_14項目!$D$1:$Q$1,0)),元データ_14項目!$A$2:$A$1300,$A363,元データ_14項目!$B$2:$B$1300,"本年",元データ_14項目!$C$2:$C$1300,L$5)</f>
        <v>55</v>
      </c>
      <c r="M363" s="26">
        <f>SUMIFS(INDEX(元データ_14項目!$D$2:$Q$1300,0,MATCH($B363,元データ_14項目!$D$1:$Q$1,0)),元データ_14項目!$A$2:$A$1300,$A363,元データ_14項目!$B$2:$B$1300,"本年",元データ_14項目!$C$2:$C$1300,M$5)</f>
        <v>28</v>
      </c>
      <c r="N363" s="26">
        <f>SUMIFS(INDEX(元データ_14項目!$D$2:$Q$1300,0,MATCH($B363,元データ_14項目!$D$1:$Q$1,0)),元データ_14項目!$A$2:$A$1300,$A363,元データ_14項目!$B$2:$B$1300,"本年",元データ_14項目!$C$2:$C$1300,N$5)</f>
        <v>11</v>
      </c>
      <c r="O363" s="26">
        <f t="shared" si="10"/>
        <v>382</v>
      </c>
      <c r="P363" s="26">
        <f>SUMIFS(INDEX(元データ_14項目!$D$2:$Q$1300,0,MATCH($B363,元データ_14項目!$D$1:$Q$1,0)),元データ_14項目!$A$2:$A$1300,$A363,元データ_14項目!$B$2:$B$1300,"前年")</f>
        <v>412</v>
      </c>
      <c r="Q363" s="7">
        <f t="shared" si="11"/>
        <v>0.92718446601941751</v>
      </c>
    </row>
    <row r="364" spans="1:17" x14ac:dyDescent="0.45">
      <c r="A364" t="s">
        <v>60</v>
      </c>
      <c r="B364" t="s">
        <v>94</v>
      </c>
      <c r="C364" s="26">
        <f>SUMIFS(INDEX(元データ_14項目!$D$2:$Q$1300,0,MATCH($B364,元データ_14項目!$D$1:$Q$1,0)),元データ_14項目!$A$2:$A$1300,$A364,元データ_14項目!$B$2:$B$1300,"本年",元データ_14項目!$C$2:$C$1300,C$5)</f>
        <v>2</v>
      </c>
      <c r="D364" s="26">
        <f>SUMIFS(INDEX(元データ_14項目!$D$2:$Q$1300,0,MATCH($B364,元データ_14項目!$D$1:$Q$1,0)),元データ_14項目!$A$2:$A$1300,$A364,元データ_14項目!$B$2:$B$1300,"本年",元データ_14項目!$C$2:$C$1300,D$5)</f>
        <v>3</v>
      </c>
      <c r="E364" s="26">
        <f>SUMIFS(INDEX(元データ_14項目!$D$2:$Q$1300,0,MATCH($B364,元データ_14項目!$D$1:$Q$1,0)),元データ_14項目!$A$2:$A$1300,$A364,元データ_14項目!$B$2:$B$1300,"本年",元データ_14項目!$C$2:$C$1300,E$5)</f>
        <v>11</v>
      </c>
      <c r="F364" s="26">
        <f>SUMIFS(INDEX(元データ_14項目!$D$2:$Q$1300,0,MATCH($B364,元データ_14項目!$D$1:$Q$1,0)),元データ_14項目!$A$2:$A$1300,$A364,元データ_14項目!$B$2:$B$1300,"本年",元データ_14項目!$C$2:$C$1300,F$5)</f>
        <v>11</v>
      </c>
      <c r="G364" s="26">
        <f>SUMIFS(INDEX(元データ_14項目!$D$2:$Q$1300,0,MATCH($B364,元データ_14項目!$D$1:$Q$1,0)),元データ_14項目!$A$2:$A$1300,$A364,元データ_14項目!$B$2:$B$1300,"本年",元データ_14項目!$C$2:$C$1300,G$5)</f>
        <v>16</v>
      </c>
      <c r="H364" s="26">
        <f>SUMIFS(INDEX(元データ_14項目!$D$2:$Q$1300,0,MATCH($B364,元データ_14項目!$D$1:$Q$1,0)),元データ_14項目!$A$2:$A$1300,$A364,元データ_14項目!$B$2:$B$1300,"本年",元データ_14項目!$C$2:$C$1300,H$5)</f>
        <v>5</v>
      </c>
      <c r="I364" s="26">
        <f>SUMIFS(INDEX(元データ_14項目!$D$2:$Q$1300,0,MATCH($B364,元データ_14項目!$D$1:$Q$1,0)),元データ_14項目!$A$2:$A$1300,$A364,元データ_14項目!$B$2:$B$1300,"本年",元データ_14項目!$C$2:$C$1300,I$5)</f>
        <v>6</v>
      </c>
      <c r="J364" s="26">
        <f>SUMIFS(INDEX(元データ_14項目!$D$2:$Q$1300,0,MATCH($B364,元データ_14項目!$D$1:$Q$1,0)),元データ_14項目!$A$2:$A$1300,$A364,元データ_14項目!$B$2:$B$1300,"本年",元データ_14項目!$C$2:$C$1300,J$5)</f>
        <v>18</v>
      </c>
      <c r="K364" s="26">
        <f>SUMIFS(INDEX(元データ_14項目!$D$2:$Q$1300,0,MATCH($B364,元データ_14項目!$D$1:$Q$1,0)),元データ_14項目!$A$2:$A$1300,$A364,元データ_14項目!$B$2:$B$1300,"本年",元データ_14項目!$C$2:$C$1300,K$5)</f>
        <v>45</v>
      </c>
      <c r="L364" s="26">
        <f>SUMIFS(INDEX(元データ_14項目!$D$2:$Q$1300,0,MATCH($B364,元データ_14項目!$D$1:$Q$1,0)),元データ_14項目!$A$2:$A$1300,$A364,元データ_14項目!$B$2:$B$1300,"本年",元データ_14項目!$C$2:$C$1300,L$5)</f>
        <v>20</v>
      </c>
      <c r="M364" s="26">
        <f>SUMIFS(INDEX(元データ_14項目!$D$2:$Q$1300,0,MATCH($B364,元データ_14項目!$D$1:$Q$1,0)),元データ_14項目!$A$2:$A$1300,$A364,元データ_14項目!$B$2:$B$1300,"本年",元データ_14項目!$C$2:$C$1300,M$5)</f>
        <v>23</v>
      </c>
      <c r="N364" s="26">
        <f>SUMIFS(INDEX(元データ_14項目!$D$2:$Q$1300,0,MATCH($B364,元データ_14項目!$D$1:$Q$1,0)),元データ_14項目!$A$2:$A$1300,$A364,元データ_14項目!$B$2:$B$1300,"本年",元データ_14項目!$C$2:$C$1300,N$5)</f>
        <v>12</v>
      </c>
      <c r="O364" s="26">
        <f t="shared" si="10"/>
        <v>172</v>
      </c>
      <c r="P364" s="26">
        <f>SUMIFS(INDEX(元データ_14項目!$D$2:$Q$1300,0,MATCH($B364,元データ_14項目!$D$1:$Q$1,0)),元データ_14項目!$A$2:$A$1300,$A364,元データ_14項目!$B$2:$B$1300,"前年")</f>
        <v>209</v>
      </c>
      <c r="Q364" s="7">
        <f t="shared" si="11"/>
        <v>0.82296650717703346</v>
      </c>
    </row>
    <row r="365" spans="1:17" x14ac:dyDescent="0.45">
      <c r="A365" t="s">
        <v>60</v>
      </c>
      <c r="B365" t="s">
        <v>95</v>
      </c>
      <c r="C365" s="26">
        <f>SUMIFS(INDEX(元データ_14項目!$D$2:$Q$1300,0,MATCH($B365,元データ_14項目!$D$1:$Q$1,0)),元データ_14項目!$A$2:$A$1300,$A365,元データ_14項目!$B$2:$B$1300,"本年",元データ_14項目!$C$2:$C$1300,C$5)</f>
        <v>6</v>
      </c>
      <c r="D365" s="26">
        <f>SUMIFS(INDEX(元データ_14項目!$D$2:$Q$1300,0,MATCH($B365,元データ_14項目!$D$1:$Q$1,0)),元データ_14項目!$A$2:$A$1300,$A365,元データ_14項目!$B$2:$B$1300,"本年",元データ_14項目!$C$2:$C$1300,D$5)</f>
        <v>16</v>
      </c>
      <c r="E365" s="26">
        <f>SUMIFS(INDEX(元データ_14項目!$D$2:$Q$1300,0,MATCH($B365,元データ_14項目!$D$1:$Q$1,0)),元データ_14項目!$A$2:$A$1300,$A365,元データ_14項目!$B$2:$B$1300,"本年",元データ_14項目!$C$2:$C$1300,E$5)</f>
        <v>18</v>
      </c>
      <c r="F365" s="26">
        <f>SUMIFS(INDEX(元データ_14項目!$D$2:$Q$1300,0,MATCH($B365,元データ_14項目!$D$1:$Q$1,0)),元データ_14項目!$A$2:$A$1300,$A365,元データ_14項目!$B$2:$B$1300,"本年",元データ_14項目!$C$2:$C$1300,F$5)</f>
        <v>15</v>
      </c>
      <c r="G365" s="26">
        <f>SUMIFS(INDEX(元データ_14項目!$D$2:$Q$1300,0,MATCH($B365,元データ_14項目!$D$1:$Q$1,0)),元データ_14項目!$A$2:$A$1300,$A365,元データ_14項目!$B$2:$B$1300,"本年",元データ_14項目!$C$2:$C$1300,G$5)</f>
        <v>13</v>
      </c>
      <c r="H365" s="26">
        <f>SUMIFS(INDEX(元データ_14項目!$D$2:$Q$1300,0,MATCH($B365,元データ_14項目!$D$1:$Q$1,0)),元データ_14項目!$A$2:$A$1300,$A365,元データ_14項目!$B$2:$B$1300,"本年",元データ_14項目!$C$2:$C$1300,H$5)</f>
        <v>3</v>
      </c>
      <c r="I365" s="26">
        <f>SUMIFS(INDEX(元データ_14項目!$D$2:$Q$1300,0,MATCH($B365,元データ_14項目!$D$1:$Q$1,0)),元データ_14項目!$A$2:$A$1300,$A365,元データ_14項目!$B$2:$B$1300,"本年",元データ_14項目!$C$2:$C$1300,I$5)</f>
        <v>4</v>
      </c>
      <c r="J365" s="26">
        <f>SUMIFS(INDEX(元データ_14項目!$D$2:$Q$1300,0,MATCH($B365,元データ_14項目!$D$1:$Q$1,0)),元データ_14項目!$A$2:$A$1300,$A365,元データ_14項目!$B$2:$B$1300,"本年",元データ_14項目!$C$2:$C$1300,J$5)</f>
        <v>14</v>
      </c>
      <c r="K365" s="26">
        <f>SUMIFS(INDEX(元データ_14項目!$D$2:$Q$1300,0,MATCH($B365,元データ_14項目!$D$1:$Q$1,0)),元データ_14項目!$A$2:$A$1300,$A365,元データ_14項目!$B$2:$B$1300,"本年",元データ_14項目!$C$2:$C$1300,K$5)</f>
        <v>36</v>
      </c>
      <c r="L365" s="26">
        <f>SUMIFS(INDEX(元データ_14項目!$D$2:$Q$1300,0,MATCH($B365,元データ_14項目!$D$1:$Q$1,0)),元データ_14項目!$A$2:$A$1300,$A365,元データ_14項目!$B$2:$B$1300,"本年",元データ_14項目!$C$2:$C$1300,L$5)</f>
        <v>11</v>
      </c>
      <c r="M365" s="26">
        <f>SUMIFS(INDEX(元データ_14項目!$D$2:$Q$1300,0,MATCH($B365,元データ_14項目!$D$1:$Q$1,0)),元データ_14項目!$A$2:$A$1300,$A365,元データ_14項目!$B$2:$B$1300,"本年",元データ_14項目!$C$2:$C$1300,M$5)</f>
        <v>9</v>
      </c>
      <c r="N365" s="26">
        <f>SUMIFS(INDEX(元データ_14項目!$D$2:$Q$1300,0,MATCH($B365,元データ_14項目!$D$1:$Q$1,0)),元データ_14項目!$A$2:$A$1300,$A365,元データ_14項目!$B$2:$B$1300,"本年",元データ_14項目!$C$2:$C$1300,N$5)</f>
        <v>15</v>
      </c>
      <c r="O365" s="26">
        <f t="shared" si="10"/>
        <v>160</v>
      </c>
      <c r="P365" s="26">
        <f>SUMIFS(INDEX(元データ_14項目!$D$2:$Q$1300,0,MATCH($B365,元データ_14項目!$D$1:$Q$1,0)),元データ_14項目!$A$2:$A$1300,$A365,元データ_14項目!$B$2:$B$1300,"前年")</f>
        <v>164</v>
      </c>
      <c r="Q365" s="7">
        <f t="shared" si="11"/>
        <v>0.97560975609756095</v>
      </c>
    </row>
    <row r="366" spans="1:17" x14ac:dyDescent="0.45">
      <c r="A366" t="s">
        <v>60</v>
      </c>
      <c r="B366" t="s">
        <v>96</v>
      </c>
      <c r="C366" s="26">
        <f>SUMIFS(INDEX(元データ_14項目!$D$2:$Q$1300,0,MATCH($B366,元データ_14項目!$D$1:$Q$1,0)),元データ_14項目!$A$2:$A$1300,$A366,元データ_14項目!$B$2:$B$1300,"本年",元データ_14項目!$C$2:$C$1300,C$5)</f>
        <v>10</v>
      </c>
      <c r="D366" s="26">
        <f>SUMIFS(INDEX(元データ_14項目!$D$2:$Q$1300,0,MATCH($B366,元データ_14項目!$D$1:$Q$1,0)),元データ_14項目!$A$2:$A$1300,$A366,元データ_14項目!$B$2:$B$1300,"本年",元データ_14項目!$C$2:$C$1300,D$5)</f>
        <v>11</v>
      </c>
      <c r="E366" s="26">
        <f>SUMIFS(INDEX(元データ_14項目!$D$2:$Q$1300,0,MATCH($B366,元データ_14項目!$D$1:$Q$1,0)),元データ_14項目!$A$2:$A$1300,$A366,元データ_14項目!$B$2:$B$1300,"本年",元データ_14項目!$C$2:$C$1300,E$5)</f>
        <v>17</v>
      </c>
      <c r="F366" s="26">
        <f>SUMIFS(INDEX(元データ_14項目!$D$2:$Q$1300,0,MATCH($B366,元データ_14項目!$D$1:$Q$1,0)),元データ_14項目!$A$2:$A$1300,$A366,元データ_14項目!$B$2:$B$1300,"本年",元データ_14項目!$C$2:$C$1300,F$5)</f>
        <v>8</v>
      </c>
      <c r="G366" s="26">
        <f>SUMIFS(INDEX(元データ_14項目!$D$2:$Q$1300,0,MATCH($B366,元データ_14項目!$D$1:$Q$1,0)),元データ_14項目!$A$2:$A$1300,$A366,元データ_14項目!$B$2:$B$1300,"本年",元データ_14項目!$C$2:$C$1300,G$5)</f>
        <v>17</v>
      </c>
      <c r="H366" s="26">
        <f>SUMIFS(INDEX(元データ_14項目!$D$2:$Q$1300,0,MATCH($B366,元データ_14項目!$D$1:$Q$1,0)),元データ_14項目!$A$2:$A$1300,$A366,元データ_14項目!$B$2:$B$1300,"本年",元データ_14項目!$C$2:$C$1300,H$5)</f>
        <v>21</v>
      </c>
      <c r="I366" s="26">
        <f>SUMIFS(INDEX(元データ_14項目!$D$2:$Q$1300,0,MATCH($B366,元データ_14項目!$D$1:$Q$1,0)),元データ_14項目!$A$2:$A$1300,$A366,元データ_14項目!$B$2:$B$1300,"本年",元データ_14項目!$C$2:$C$1300,I$5)</f>
        <v>23</v>
      </c>
      <c r="J366" s="26">
        <f>SUMIFS(INDEX(元データ_14項目!$D$2:$Q$1300,0,MATCH($B366,元データ_14項目!$D$1:$Q$1,0)),元データ_14項目!$A$2:$A$1300,$A366,元データ_14項目!$B$2:$B$1300,"本年",元データ_14項目!$C$2:$C$1300,J$5)</f>
        <v>77</v>
      </c>
      <c r="K366" s="26">
        <f>SUMIFS(INDEX(元データ_14項目!$D$2:$Q$1300,0,MATCH($B366,元データ_14項目!$D$1:$Q$1,0)),元データ_14項目!$A$2:$A$1300,$A366,元データ_14項目!$B$2:$B$1300,"本年",元データ_14項目!$C$2:$C$1300,K$5)</f>
        <v>149</v>
      </c>
      <c r="L366" s="26">
        <f>SUMIFS(INDEX(元データ_14項目!$D$2:$Q$1300,0,MATCH($B366,元データ_14項目!$D$1:$Q$1,0)),元データ_14項目!$A$2:$A$1300,$A366,元データ_14項目!$B$2:$B$1300,"本年",元データ_14項目!$C$2:$C$1300,L$5)</f>
        <v>93</v>
      </c>
      <c r="M366" s="26">
        <f>SUMIFS(INDEX(元データ_14項目!$D$2:$Q$1300,0,MATCH($B366,元データ_14項目!$D$1:$Q$1,0)),元データ_14項目!$A$2:$A$1300,$A366,元データ_14項目!$B$2:$B$1300,"本年",元データ_14項目!$C$2:$C$1300,M$5)</f>
        <v>44</v>
      </c>
      <c r="N366" s="26">
        <f>SUMIFS(INDEX(元データ_14項目!$D$2:$Q$1300,0,MATCH($B366,元データ_14項目!$D$1:$Q$1,0)),元データ_14項目!$A$2:$A$1300,$A366,元データ_14項目!$B$2:$B$1300,"本年",元データ_14項目!$C$2:$C$1300,N$5)</f>
        <v>19</v>
      </c>
      <c r="O366" s="26">
        <f t="shared" si="10"/>
        <v>489</v>
      </c>
      <c r="P366" s="26">
        <f>SUMIFS(INDEX(元データ_14項目!$D$2:$Q$1300,0,MATCH($B366,元データ_14項目!$D$1:$Q$1,0)),元データ_14項目!$A$2:$A$1300,$A366,元データ_14項目!$B$2:$B$1300,"前年")</f>
        <v>508</v>
      </c>
      <c r="Q366" s="7">
        <f t="shared" si="11"/>
        <v>0.96259842519685035</v>
      </c>
    </row>
    <row r="367" spans="1:17" x14ac:dyDescent="0.45">
      <c r="A367" t="s">
        <v>60</v>
      </c>
      <c r="B367" t="s">
        <v>97</v>
      </c>
      <c r="C367" s="26">
        <f>SUMIFS(INDEX(元データ_14項目!$D$2:$Q$1300,0,MATCH($B367,元データ_14項目!$D$1:$Q$1,0)),元データ_14項目!$A$2:$A$1300,$A367,元データ_14項目!$B$2:$B$1300,"本年",元データ_14項目!$C$2:$C$1300,C$5)</f>
        <v>3</v>
      </c>
      <c r="D367" s="26">
        <f>SUMIFS(INDEX(元データ_14項目!$D$2:$Q$1300,0,MATCH($B367,元データ_14項目!$D$1:$Q$1,0)),元データ_14項目!$A$2:$A$1300,$A367,元データ_14項目!$B$2:$B$1300,"本年",元データ_14項目!$C$2:$C$1300,D$5)</f>
        <v>6</v>
      </c>
      <c r="E367" s="26">
        <f>SUMIFS(INDEX(元データ_14項目!$D$2:$Q$1300,0,MATCH($B367,元データ_14項目!$D$1:$Q$1,0)),元データ_14項目!$A$2:$A$1300,$A367,元データ_14項目!$B$2:$B$1300,"本年",元データ_14項目!$C$2:$C$1300,E$5)</f>
        <v>14</v>
      </c>
      <c r="F367" s="26">
        <f>SUMIFS(INDEX(元データ_14項目!$D$2:$Q$1300,0,MATCH($B367,元データ_14項目!$D$1:$Q$1,0)),元データ_14項目!$A$2:$A$1300,$A367,元データ_14項目!$B$2:$B$1300,"本年",元データ_14項目!$C$2:$C$1300,F$5)</f>
        <v>13</v>
      </c>
      <c r="G367" s="26">
        <f>SUMIFS(INDEX(元データ_14項目!$D$2:$Q$1300,0,MATCH($B367,元データ_14項目!$D$1:$Q$1,0)),元データ_14項目!$A$2:$A$1300,$A367,元データ_14項目!$B$2:$B$1300,"本年",元データ_14項目!$C$2:$C$1300,G$5)</f>
        <v>9</v>
      </c>
      <c r="H367" s="26">
        <f>SUMIFS(INDEX(元データ_14項目!$D$2:$Q$1300,0,MATCH($B367,元データ_14項目!$D$1:$Q$1,0)),元データ_14項目!$A$2:$A$1300,$A367,元データ_14項目!$B$2:$B$1300,"本年",元データ_14項目!$C$2:$C$1300,H$5)</f>
        <v>9</v>
      </c>
      <c r="I367" s="26">
        <f>SUMIFS(INDEX(元データ_14項目!$D$2:$Q$1300,0,MATCH($B367,元データ_14項目!$D$1:$Q$1,0)),元データ_14項目!$A$2:$A$1300,$A367,元データ_14項目!$B$2:$B$1300,"本年",元データ_14項目!$C$2:$C$1300,I$5)</f>
        <v>18</v>
      </c>
      <c r="J367" s="26">
        <f>SUMIFS(INDEX(元データ_14項目!$D$2:$Q$1300,0,MATCH($B367,元データ_14項目!$D$1:$Q$1,0)),元データ_14項目!$A$2:$A$1300,$A367,元データ_14項目!$B$2:$B$1300,"本年",元データ_14項目!$C$2:$C$1300,J$5)</f>
        <v>38</v>
      </c>
      <c r="K367" s="26">
        <f>SUMIFS(INDEX(元データ_14項目!$D$2:$Q$1300,0,MATCH($B367,元データ_14項目!$D$1:$Q$1,0)),元データ_14項目!$A$2:$A$1300,$A367,元データ_14項目!$B$2:$B$1300,"本年",元データ_14項目!$C$2:$C$1300,K$5)</f>
        <v>65</v>
      </c>
      <c r="L367" s="26">
        <f>SUMIFS(INDEX(元データ_14項目!$D$2:$Q$1300,0,MATCH($B367,元データ_14項目!$D$1:$Q$1,0)),元データ_14項目!$A$2:$A$1300,$A367,元データ_14項目!$B$2:$B$1300,"本年",元データ_14項目!$C$2:$C$1300,L$5)</f>
        <v>53</v>
      </c>
      <c r="M367" s="26">
        <f>SUMIFS(INDEX(元データ_14項目!$D$2:$Q$1300,0,MATCH($B367,元データ_14項目!$D$1:$Q$1,0)),元データ_14項目!$A$2:$A$1300,$A367,元データ_14項目!$B$2:$B$1300,"本年",元データ_14項目!$C$2:$C$1300,M$5)</f>
        <v>24</v>
      </c>
      <c r="N367" s="26">
        <f>SUMIFS(INDEX(元データ_14項目!$D$2:$Q$1300,0,MATCH($B367,元データ_14項目!$D$1:$Q$1,0)),元データ_14項目!$A$2:$A$1300,$A367,元データ_14項目!$B$2:$B$1300,"本年",元データ_14項目!$C$2:$C$1300,N$5)</f>
        <v>7</v>
      </c>
      <c r="O367" s="26">
        <f t="shared" si="10"/>
        <v>259</v>
      </c>
      <c r="P367" s="26">
        <f>SUMIFS(INDEX(元データ_14項目!$D$2:$Q$1300,0,MATCH($B367,元データ_14項目!$D$1:$Q$1,0)),元データ_14項目!$A$2:$A$1300,$A367,元データ_14項目!$B$2:$B$1300,"前年")</f>
        <v>265</v>
      </c>
      <c r="Q367" s="7">
        <f t="shared" si="11"/>
        <v>0.97735849056603774</v>
      </c>
    </row>
    <row r="368" spans="1:17" x14ac:dyDescent="0.45">
      <c r="A368" t="s">
        <v>60</v>
      </c>
      <c r="B368" t="s">
        <v>98</v>
      </c>
      <c r="C368" s="26">
        <f>SUMIFS(INDEX(元データ_14項目!$D$2:$Q$1300,0,MATCH($B368,元データ_14項目!$D$1:$Q$1,0)),元データ_14項目!$A$2:$A$1300,$A368,元データ_14項目!$B$2:$B$1300,"本年",元データ_14項目!$C$2:$C$1300,C$5)</f>
        <v>1</v>
      </c>
      <c r="D368" s="26">
        <f>SUMIFS(INDEX(元データ_14項目!$D$2:$Q$1300,0,MATCH($B368,元データ_14項目!$D$1:$Q$1,0)),元データ_14項目!$A$2:$A$1300,$A368,元データ_14項目!$B$2:$B$1300,"本年",元データ_14項目!$C$2:$C$1300,D$5)</f>
        <v>3</v>
      </c>
      <c r="E368" s="26">
        <f>SUMIFS(INDEX(元データ_14項目!$D$2:$Q$1300,0,MATCH($B368,元データ_14項目!$D$1:$Q$1,0)),元データ_14項目!$A$2:$A$1300,$A368,元データ_14項目!$B$2:$B$1300,"本年",元データ_14項目!$C$2:$C$1300,E$5)</f>
        <v>3</v>
      </c>
      <c r="F368" s="26">
        <f>SUMIFS(INDEX(元データ_14項目!$D$2:$Q$1300,0,MATCH($B368,元データ_14項目!$D$1:$Q$1,0)),元データ_14項目!$A$2:$A$1300,$A368,元データ_14項目!$B$2:$B$1300,"本年",元データ_14項目!$C$2:$C$1300,F$5)</f>
        <v>7</v>
      </c>
      <c r="G368" s="26">
        <f>SUMIFS(INDEX(元データ_14項目!$D$2:$Q$1300,0,MATCH($B368,元データ_14項目!$D$1:$Q$1,0)),元データ_14項目!$A$2:$A$1300,$A368,元データ_14項目!$B$2:$B$1300,"本年",元データ_14項目!$C$2:$C$1300,G$5)</f>
        <v>6</v>
      </c>
      <c r="H368" s="26">
        <f>SUMIFS(INDEX(元データ_14項目!$D$2:$Q$1300,0,MATCH($B368,元データ_14項目!$D$1:$Q$1,0)),元データ_14項目!$A$2:$A$1300,$A368,元データ_14項目!$B$2:$B$1300,"本年",元データ_14項目!$C$2:$C$1300,H$5)</f>
        <v>6</v>
      </c>
      <c r="I368" s="26">
        <f>SUMIFS(INDEX(元データ_14項目!$D$2:$Q$1300,0,MATCH($B368,元データ_14項目!$D$1:$Q$1,0)),元データ_14項目!$A$2:$A$1300,$A368,元データ_14項目!$B$2:$B$1300,"本年",元データ_14項目!$C$2:$C$1300,I$5)</f>
        <v>7</v>
      </c>
      <c r="J368" s="26">
        <f>SUMIFS(INDEX(元データ_14項目!$D$2:$Q$1300,0,MATCH($B368,元データ_14項目!$D$1:$Q$1,0)),元データ_14項目!$A$2:$A$1300,$A368,元データ_14項目!$B$2:$B$1300,"本年",元データ_14項目!$C$2:$C$1300,J$5)</f>
        <v>42</v>
      </c>
      <c r="K368" s="26">
        <f>SUMIFS(INDEX(元データ_14項目!$D$2:$Q$1300,0,MATCH($B368,元データ_14項目!$D$1:$Q$1,0)),元データ_14項目!$A$2:$A$1300,$A368,元データ_14項目!$B$2:$B$1300,"本年",元データ_14項目!$C$2:$C$1300,K$5)</f>
        <v>85</v>
      </c>
      <c r="L368" s="26">
        <f>SUMIFS(INDEX(元データ_14項目!$D$2:$Q$1300,0,MATCH($B368,元データ_14項目!$D$1:$Q$1,0)),元データ_14項目!$A$2:$A$1300,$A368,元データ_14項目!$B$2:$B$1300,"本年",元データ_14項目!$C$2:$C$1300,L$5)</f>
        <v>34</v>
      </c>
      <c r="M368" s="26">
        <f>SUMIFS(INDEX(元データ_14項目!$D$2:$Q$1300,0,MATCH($B368,元データ_14項目!$D$1:$Q$1,0)),元データ_14項目!$A$2:$A$1300,$A368,元データ_14項目!$B$2:$B$1300,"本年",元データ_14項目!$C$2:$C$1300,M$5)</f>
        <v>30</v>
      </c>
      <c r="N368" s="26">
        <f>SUMIFS(INDEX(元データ_14項目!$D$2:$Q$1300,0,MATCH($B368,元データ_14項目!$D$1:$Q$1,0)),元データ_14項目!$A$2:$A$1300,$A368,元データ_14項目!$B$2:$B$1300,"本年",元データ_14項目!$C$2:$C$1300,N$5)</f>
        <v>6</v>
      </c>
      <c r="O368" s="26">
        <f t="shared" si="10"/>
        <v>230</v>
      </c>
      <c r="P368" s="26">
        <f>SUMIFS(INDEX(元データ_14項目!$D$2:$Q$1300,0,MATCH($B368,元データ_14項目!$D$1:$Q$1,0)),元データ_14項目!$A$2:$A$1300,$A368,元データ_14項目!$B$2:$B$1300,"前年")</f>
        <v>256</v>
      </c>
      <c r="Q368" s="7">
        <f t="shared" si="11"/>
        <v>0.8984375</v>
      </c>
    </row>
    <row r="369" spans="1:17" x14ac:dyDescent="0.45">
      <c r="A369" t="s">
        <v>60</v>
      </c>
      <c r="B369" t="s">
        <v>99</v>
      </c>
      <c r="C369" s="26">
        <f>SUMIFS(INDEX(元データ_14項目!$D$2:$Q$1300,0,MATCH($B369,元データ_14項目!$D$1:$Q$1,0)),元データ_14項目!$A$2:$A$1300,$A369,元データ_14項目!$B$2:$B$1300,"本年",元データ_14項目!$C$2:$C$1300,C$5)</f>
        <v>0</v>
      </c>
      <c r="D369" s="26">
        <f>SUMIFS(INDEX(元データ_14項目!$D$2:$Q$1300,0,MATCH($B369,元データ_14項目!$D$1:$Q$1,0)),元データ_14項目!$A$2:$A$1300,$A369,元データ_14項目!$B$2:$B$1300,"本年",元データ_14項目!$C$2:$C$1300,D$5)</f>
        <v>0</v>
      </c>
      <c r="E369" s="26">
        <f>SUMIFS(INDEX(元データ_14項目!$D$2:$Q$1300,0,MATCH($B369,元データ_14項目!$D$1:$Q$1,0)),元データ_14項目!$A$2:$A$1300,$A369,元データ_14項目!$B$2:$B$1300,"本年",元データ_14項目!$C$2:$C$1300,E$5)</f>
        <v>2</v>
      </c>
      <c r="F369" s="26">
        <f>SUMIFS(INDEX(元データ_14項目!$D$2:$Q$1300,0,MATCH($B369,元データ_14項目!$D$1:$Q$1,0)),元データ_14項目!$A$2:$A$1300,$A369,元データ_14項目!$B$2:$B$1300,"本年",元データ_14項目!$C$2:$C$1300,F$5)</f>
        <v>0</v>
      </c>
      <c r="G369" s="26">
        <f>SUMIFS(INDEX(元データ_14項目!$D$2:$Q$1300,0,MATCH($B369,元データ_14項目!$D$1:$Q$1,0)),元データ_14項目!$A$2:$A$1300,$A369,元データ_14項目!$B$2:$B$1300,"本年",元データ_14項目!$C$2:$C$1300,G$5)</f>
        <v>0</v>
      </c>
      <c r="H369" s="26">
        <f>SUMIFS(INDEX(元データ_14項目!$D$2:$Q$1300,0,MATCH($B369,元データ_14項目!$D$1:$Q$1,0)),元データ_14項目!$A$2:$A$1300,$A369,元データ_14項目!$B$2:$B$1300,"本年",元データ_14項目!$C$2:$C$1300,H$5)</f>
        <v>0</v>
      </c>
      <c r="I369" s="26">
        <f>SUMIFS(INDEX(元データ_14項目!$D$2:$Q$1300,0,MATCH($B369,元データ_14項目!$D$1:$Q$1,0)),元データ_14項目!$A$2:$A$1300,$A369,元データ_14項目!$B$2:$B$1300,"本年",元データ_14項目!$C$2:$C$1300,I$5)</f>
        <v>0</v>
      </c>
      <c r="J369" s="26">
        <f>SUMIFS(INDEX(元データ_14項目!$D$2:$Q$1300,0,MATCH($B369,元データ_14項目!$D$1:$Q$1,0)),元データ_14項目!$A$2:$A$1300,$A369,元データ_14項目!$B$2:$B$1300,"本年",元データ_14項目!$C$2:$C$1300,J$5)</f>
        <v>4</v>
      </c>
      <c r="K369" s="26">
        <f>SUMIFS(INDEX(元データ_14項目!$D$2:$Q$1300,0,MATCH($B369,元データ_14項目!$D$1:$Q$1,0)),元データ_14項目!$A$2:$A$1300,$A369,元データ_14項目!$B$2:$B$1300,"本年",元データ_14項目!$C$2:$C$1300,K$5)</f>
        <v>5</v>
      </c>
      <c r="L369" s="26">
        <f>SUMIFS(INDEX(元データ_14項目!$D$2:$Q$1300,0,MATCH($B369,元データ_14項目!$D$1:$Q$1,0)),元データ_14項目!$A$2:$A$1300,$A369,元データ_14項目!$B$2:$B$1300,"本年",元データ_14項目!$C$2:$C$1300,L$5)</f>
        <v>0</v>
      </c>
      <c r="M369" s="26">
        <f>SUMIFS(INDEX(元データ_14項目!$D$2:$Q$1300,0,MATCH($B369,元データ_14項目!$D$1:$Q$1,0)),元データ_14項目!$A$2:$A$1300,$A369,元データ_14項目!$B$2:$B$1300,"本年",元データ_14項目!$C$2:$C$1300,M$5)</f>
        <v>0</v>
      </c>
      <c r="N369" s="26">
        <f>SUMIFS(INDEX(元データ_14項目!$D$2:$Q$1300,0,MATCH($B369,元データ_14項目!$D$1:$Q$1,0)),元データ_14項目!$A$2:$A$1300,$A369,元データ_14項目!$B$2:$B$1300,"本年",元データ_14項目!$C$2:$C$1300,N$5)</f>
        <v>0</v>
      </c>
      <c r="O369" s="26">
        <f t="shared" si="10"/>
        <v>11</v>
      </c>
      <c r="P369" s="26">
        <f>SUMIFS(INDEX(元データ_14項目!$D$2:$Q$1300,0,MATCH($B369,元データ_14項目!$D$1:$Q$1,0)),元データ_14項目!$A$2:$A$1300,$A369,元データ_14項目!$B$2:$B$1300,"前年")</f>
        <v>25</v>
      </c>
      <c r="Q369" s="7">
        <f t="shared" si="11"/>
        <v>0.44</v>
      </c>
    </row>
    <row r="370" spans="1:17" x14ac:dyDescent="0.45">
      <c r="A370" t="s">
        <v>61</v>
      </c>
      <c r="B370" t="s">
        <v>27</v>
      </c>
      <c r="C370" s="26">
        <f>SUMIFS(INDEX(元データ_14項目!$D$2:$Q$1300,0,MATCH($B370,元データ_14項目!$D$1:$Q$1,0)),元データ_14項目!$A$2:$A$1300,$A370,元データ_14項目!$B$2:$B$1300,"本年",元データ_14項目!$C$2:$C$1300,C$5)</f>
        <v>513</v>
      </c>
      <c r="D370" s="26">
        <f>SUMIFS(INDEX(元データ_14項目!$D$2:$Q$1300,0,MATCH($B370,元データ_14項目!$D$1:$Q$1,0)),元データ_14項目!$A$2:$A$1300,$A370,元データ_14項目!$B$2:$B$1300,"本年",元データ_14項目!$C$2:$C$1300,D$5)</f>
        <v>567</v>
      </c>
      <c r="E370" s="26">
        <f>SUMIFS(INDEX(元データ_14項目!$D$2:$Q$1300,0,MATCH($B370,元データ_14項目!$D$1:$Q$1,0)),元データ_14項目!$A$2:$A$1300,$A370,元データ_14項目!$B$2:$B$1300,"本年",元データ_14項目!$C$2:$C$1300,E$5)</f>
        <v>690</v>
      </c>
      <c r="F370" s="26">
        <f>SUMIFS(INDEX(元データ_14項目!$D$2:$Q$1300,0,MATCH($B370,元データ_14項目!$D$1:$Q$1,0)),元データ_14項目!$A$2:$A$1300,$A370,元データ_14項目!$B$2:$B$1300,"本年",元データ_14項目!$C$2:$C$1300,F$5)</f>
        <v>650</v>
      </c>
      <c r="G370" s="26">
        <f>SUMIFS(INDEX(元データ_14項目!$D$2:$Q$1300,0,MATCH($B370,元データ_14項目!$D$1:$Q$1,0)),元データ_14項目!$A$2:$A$1300,$A370,元データ_14項目!$B$2:$B$1300,"本年",元データ_14項目!$C$2:$C$1300,G$5)</f>
        <v>628</v>
      </c>
      <c r="H370" s="26">
        <f>SUMIFS(INDEX(元データ_14項目!$D$2:$Q$1300,0,MATCH($B370,元データ_14項目!$D$1:$Q$1,0)),元データ_14項目!$A$2:$A$1300,$A370,元データ_14項目!$B$2:$B$1300,"本年",元データ_14項目!$C$2:$C$1300,H$5)</f>
        <v>555</v>
      </c>
      <c r="I370" s="26">
        <f>SUMIFS(INDEX(元データ_14項目!$D$2:$Q$1300,0,MATCH($B370,元データ_14項目!$D$1:$Q$1,0)),元データ_14項目!$A$2:$A$1300,$A370,元データ_14項目!$B$2:$B$1300,"本年",元データ_14項目!$C$2:$C$1300,I$5)</f>
        <v>494</v>
      </c>
      <c r="J370" s="26">
        <f>SUMIFS(INDEX(元データ_14項目!$D$2:$Q$1300,0,MATCH($B370,元データ_14項目!$D$1:$Q$1,0)),元データ_14項目!$A$2:$A$1300,$A370,元データ_14項目!$B$2:$B$1300,"本年",元データ_14項目!$C$2:$C$1300,J$5)</f>
        <v>604</v>
      </c>
      <c r="K370" s="26">
        <f>SUMIFS(INDEX(元データ_14項目!$D$2:$Q$1300,0,MATCH($B370,元データ_14項目!$D$1:$Q$1,0)),元データ_14項目!$A$2:$A$1300,$A370,元データ_14項目!$B$2:$B$1300,"本年",元データ_14項目!$C$2:$C$1300,K$5)</f>
        <v>607</v>
      </c>
      <c r="L370" s="26">
        <f>SUMIFS(INDEX(元データ_14項目!$D$2:$Q$1300,0,MATCH($B370,元データ_14項目!$D$1:$Q$1,0)),元データ_14項目!$A$2:$A$1300,$A370,元データ_14項目!$B$2:$B$1300,"本年",元データ_14項目!$C$2:$C$1300,L$5)</f>
        <v>524</v>
      </c>
      <c r="M370" s="26">
        <f>SUMIFS(INDEX(元データ_14項目!$D$2:$Q$1300,0,MATCH($B370,元データ_14項目!$D$1:$Q$1,0)),元データ_14項目!$A$2:$A$1300,$A370,元データ_14項目!$B$2:$B$1300,"本年",元データ_14項目!$C$2:$C$1300,M$5)</f>
        <v>591</v>
      </c>
      <c r="N370" s="26">
        <f>SUMIFS(INDEX(元データ_14項目!$D$2:$Q$1300,0,MATCH($B370,元データ_14項目!$D$1:$Q$1,0)),元データ_14項目!$A$2:$A$1300,$A370,元データ_14項目!$B$2:$B$1300,"本年",元データ_14項目!$C$2:$C$1300,N$5)</f>
        <v>570</v>
      </c>
      <c r="O370" s="26">
        <f t="shared" si="10"/>
        <v>6993</v>
      </c>
      <c r="P370" s="26">
        <f>SUMIFS(INDEX(元データ_14項目!$D$2:$Q$1300,0,MATCH($B370,元データ_14項目!$D$1:$Q$1,0)),元データ_14項目!$A$2:$A$1300,$A370,元データ_14項目!$B$2:$B$1300,"前年")</f>
        <v>7739</v>
      </c>
      <c r="Q370" s="7">
        <f t="shared" si="11"/>
        <v>0.9036051169401732</v>
      </c>
    </row>
    <row r="371" spans="1:17" x14ac:dyDescent="0.45">
      <c r="A371" t="s">
        <v>61</v>
      </c>
      <c r="B371" t="s">
        <v>88</v>
      </c>
      <c r="C371" s="26">
        <f>SUMIFS(INDEX(元データ_14項目!$D$2:$Q$1300,0,MATCH($B371,元データ_14項目!$D$1:$Q$1,0)),元データ_14項目!$A$2:$A$1300,$A371,元データ_14項目!$B$2:$B$1300,"本年",元データ_14項目!$C$2:$C$1300,C$5)</f>
        <v>35</v>
      </c>
      <c r="D371" s="26">
        <f>SUMIFS(INDEX(元データ_14項目!$D$2:$Q$1300,0,MATCH($B371,元データ_14項目!$D$1:$Q$1,0)),元データ_14項目!$A$2:$A$1300,$A371,元データ_14項目!$B$2:$B$1300,"本年",元データ_14項目!$C$2:$C$1300,D$5)</f>
        <v>29</v>
      </c>
      <c r="E371" s="26">
        <f>SUMIFS(INDEX(元データ_14項目!$D$2:$Q$1300,0,MATCH($B371,元データ_14項目!$D$1:$Q$1,0)),元データ_14項目!$A$2:$A$1300,$A371,元データ_14項目!$B$2:$B$1300,"本年",元データ_14項目!$C$2:$C$1300,E$5)</f>
        <v>59</v>
      </c>
      <c r="F371" s="26">
        <f>SUMIFS(INDEX(元データ_14項目!$D$2:$Q$1300,0,MATCH($B371,元データ_14項目!$D$1:$Q$1,0)),元データ_14項目!$A$2:$A$1300,$A371,元データ_14項目!$B$2:$B$1300,"本年",元データ_14項目!$C$2:$C$1300,F$5)</f>
        <v>43</v>
      </c>
      <c r="G371" s="26">
        <f>SUMIFS(INDEX(元データ_14項目!$D$2:$Q$1300,0,MATCH($B371,元データ_14項目!$D$1:$Q$1,0)),元データ_14項目!$A$2:$A$1300,$A371,元データ_14項目!$B$2:$B$1300,"本年",元データ_14項目!$C$2:$C$1300,G$5)</f>
        <v>61</v>
      </c>
      <c r="H371" s="26">
        <f>SUMIFS(INDEX(元データ_14項目!$D$2:$Q$1300,0,MATCH($B371,元データ_14項目!$D$1:$Q$1,0)),元データ_14項目!$A$2:$A$1300,$A371,元データ_14項目!$B$2:$B$1300,"本年",元データ_14項目!$C$2:$C$1300,H$5)</f>
        <v>30</v>
      </c>
      <c r="I371" s="26">
        <f>SUMIFS(INDEX(元データ_14項目!$D$2:$Q$1300,0,MATCH($B371,元データ_14項目!$D$1:$Q$1,0)),元データ_14項目!$A$2:$A$1300,$A371,元データ_14項目!$B$2:$B$1300,"本年",元データ_14項目!$C$2:$C$1300,I$5)</f>
        <v>19</v>
      </c>
      <c r="J371" s="26">
        <f>SUMIFS(INDEX(元データ_14項目!$D$2:$Q$1300,0,MATCH($B371,元データ_14項目!$D$1:$Q$1,0)),元データ_14項目!$A$2:$A$1300,$A371,元データ_14項目!$B$2:$B$1300,"本年",元データ_14項目!$C$2:$C$1300,J$5)</f>
        <v>22</v>
      </c>
      <c r="K371" s="26">
        <f>SUMIFS(INDEX(元データ_14項目!$D$2:$Q$1300,0,MATCH($B371,元データ_14項目!$D$1:$Q$1,0)),元データ_14項目!$A$2:$A$1300,$A371,元データ_14項目!$B$2:$B$1300,"本年",元データ_14項目!$C$2:$C$1300,K$5)</f>
        <v>45</v>
      </c>
      <c r="L371" s="26">
        <f>SUMIFS(INDEX(元データ_14項目!$D$2:$Q$1300,0,MATCH($B371,元データ_14項目!$D$1:$Q$1,0)),元データ_14項目!$A$2:$A$1300,$A371,元データ_14項目!$B$2:$B$1300,"本年",元データ_14項目!$C$2:$C$1300,L$5)</f>
        <v>44</v>
      </c>
      <c r="M371" s="26">
        <f>SUMIFS(INDEX(元データ_14項目!$D$2:$Q$1300,0,MATCH($B371,元データ_14項目!$D$1:$Q$1,0)),元データ_14項目!$A$2:$A$1300,$A371,元データ_14項目!$B$2:$B$1300,"本年",元データ_14項目!$C$2:$C$1300,M$5)</f>
        <v>66</v>
      </c>
      <c r="N371" s="26">
        <f>SUMIFS(INDEX(元データ_14項目!$D$2:$Q$1300,0,MATCH($B371,元データ_14項目!$D$1:$Q$1,0)),元データ_14項目!$A$2:$A$1300,$A371,元データ_14項目!$B$2:$B$1300,"本年",元データ_14項目!$C$2:$C$1300,N$5)</f>
        <v>52</v>
      </c>
      <c r="O371" s="26">
        <f t="shared" si="10"/>
        <v>505</v>
      </c>
      <c r="P371" s="26">
        <f>SUMIFS(INDEX(元データ_14項目!$D$2:$Q$1300,0,MATCH($B371,元データ_14項目!$D$1:$Q$1,0)),元データ_14項目!$A$2:$A$1300,$A371,元データ_14項目!$B$2:$B$1300,"前年")</f>
        <v>458</v>
      </c>
      <c r="Q371" s="7">
        <f t="shared" si="11"/>
        <v>1.1026200873362446</v>
      </c>
    </row>
    <row r="372" spans="1:17" x14ac:dyDescent="0.45">
      <c r="A372" t="s">
        <v>61</v>
      </c>
      <c r="B372" t="s">
        <v>89</v>
      </c>
      <c r="C372" s="26">
        <f>SUMIFS(INDEX(元データ_14項目!$D$2:$Q$1300,0,MATCH($B372,元データ_14項目!$D$1:$Q$1,0)),元データ_14項目!$A$2:$A$1300,$A372,元データ_14項目!$B$2:$B$1300,"本年",元データ_14項目!$C$2:$C$1300,C$5)</f>
        <v>37</v>
      </c>
      <c r="D372" s="26">
        <f>SUMIFS(INDEX(元データ_14項目!$D$2:$Q$1300,0,MATCH($B372,元データ_14項目!$D$1:$Q$1,0)),元データ_14項目!$A$2:$A$1300,$A372,元データ_14項目!$B$2:$B$1300,"本年",元データ_14項目!$C$2:$C$1300,D$5)</f>
        <v>28</v>
      </c>
      <c r="E372" s="26">
        <f>SUMIFS(INDEX(元データ_14項目!$D$2:$Q$1300,0,MATCH($B372,元データ_14項目!$D$1:$Q$1,0)),元データ_14項目!$A$2:$A$1300,$A372,元データ_14項目!$B$2:$B$1300,"本年",元データ_14項目!$C$2:$C$1300,E$5)</f>
        <v>58</v>
      </c>
      <c r="F372" s="26">
        <f>SUMIFS(INDEX(元データ_14項目!$D$2:$Q$1300,0,MATCH($B372,元データ_14項目!$D$1:$Q$1,0)),元データ_14項目!$A$2:$A$1300,$A372,元データ_14項目!$B$2:$B$1300,"本年",元データ_14項目!$C$2:$C$1300,F$5)</f>
        <v>42</v>
      </c>
      <c r="G372" s="26">
        <f>SUMIFS(INDEX(元データ_14項目!$D$2:$Q$1300,0,MATCH($B372,元データ_14項目!$D$1:$Q$1,0)),元データ_14項目!$A$2:$A$1300,$A372,元データ_14項目!$B$2:$B$1300,"本年",元データ_14項目!$C$2:$C$1300,G$5)</f>
        <v>38</v>
      </c>
      <c r="H372" s="26">
        <f>SUMIFS(INDEX(元データ_14項目!$D$2:$Q$1300,0,MATCH($B372,元データ_14項目!$D$1:$Q$1,0)),元データ_14項目!$A$2:$A$1300,$A372,元データ_14項目!$B$2:$B$1300,"本年",元データ_14項目!$C$2:$C$1300,H$5)</f>
        <v>11</v>
      </c>
      <c r="I372" s="26">
        <f>SUMIFS(INDEX(元データ_14項目!$D$2:$Q$1300,0,MATCH($B372,元データ_14項目!$D$1:$Q$1,0)),元データ_14項目!$A$2:$A$1300,$A372,元データ_14項目!$B$2:$B$1300,"本年",元データ_14項目!$C$2:$C$1300,I$5)</f>
        <v>7</v>
      </c>
      <c r="J372" s="26">
        <f>SUMIFS(INDEX(元データ_14項目!$D$2:$Q$1300,0,MATCH($B372,元データ_14項目!$D$1:$Q$1,0)),元データ_14項目!$A$2:$A$1300,$A372,元データ_14項目!$B$2:$B$1300,"本年",元データ_14項目!$C$2:$C$1300,J$5)</f>
        <v>49</v>
      </c>
      <c r="K372" s="26">
        <f>SUMIFS(INDEX(元データ_14項目!$D$2:$Q$1300,0,MATCH($B372,元データ_14項目!$D$1:$Q$1,0)),元データ_14項目!$A$2:$A$1300,$A372,元データ_14項目!$B$2:$B$1300,"本年",元データ_14項目!$C$2:$C$1300,K$5)</f>
        <v>33</v>
      </c>
      <c r="L372" s="26">
        <f>SUMIFS(INDEX(元データ_14項目!$D$2:$Q$1300,0,MATCH($B372,元データ_14項目!$D$1:$Q$1,0)),元データ_14項目!$A$2:$A$1300,$A372,元データ_14項目!$B$2:$B$1300,"本年",元データ_14項目!$C$2:$C$1300,L$5)</f>
        <v>22</v>
      </c>
      <c r="M372" s="26">
        <f>SUMIFS(INDEX(元データ_14項目!$D$2:$Q$1300,0,MATCH($B372,元データ_14項目!$D$1:$Q$1,0)),元データ_14項目!$A$2:$A$1300,$A372,元データ_14項目!$B$2:$B$1300,"本年",元データ_14項目!$C$2:$C$1300,M$5)</f>
        <v>35</v>
      </c>
      <c r="N372" s="26">
        <f>SUMIFS(INDEX(元データ_14項目!$D$2:$Q$1300,0,MATCH($B372,元データ_14項目!$D$1:$Q$1,0)),元データ_14項目!$A$2:$A$1300,$A372,元データ_14項目!$B$2:$B$1300,"本年",元データ_14項目!$C$2:$C$1300,N$5)</f>
        <v>28</v>
      </c>
      <c r="O372" s="26">
        <f t="shared" si="10"/>
        <v>388</v>
      </c>
      <c r="P372" s="26">
        <f>SUMIFS(INDEX(元データ_14項目!$D$2:$Q$1300,0,MATCH($B372,元データ_14項目!$D$1:$Q$1,0)),元データ_14項目!$A$2:$A$1300,$A372,元データ_14項目!$B$2:$B$1300,"前年")</f>
        <v>357</v>
      </c>
      <c r="Q372" s="7">
        <f t="shared" si="11"/>
        <v>1.0868347338935573</v>
      </c>
    </row>
    <row r="373" spans="1:17" x14ac:dyDescent="0.45">
      <c r="A373" t="s">
        <v>61</v>
      </c>
      <c r="B373" t="s">
        <v>90</v>
      </c>
      <c r="C373" s="26">
        <f>SUMIFS(INDEX(元データ_14項目!$D$2:$Q$1300,0,MATCH($B373,元データ_14項目!$D$1:$Q$1,0)),元データ_14項目!$A$2:$A$1300,$A373,元データ_14項目!$B$2:$B$1300,"本年",元データ_14項目!$C$2:$C$1300,C$5)</f>
        <v>40</v>
      </c>
      <c r="D373" s="26">
        <f>SUMIFS(INDEX(元データ_14項目!$D$2:$Q$1300,0,MATCH($B373,元データ_14項目!$D$1:$Q$1,0)),元データ_14項目!$A$2:$A$1300,$A373,元データ_14項目!$B$2:$B$1300,"本年",元データ_14項目!$C$2:$C$1300,D$5)</f>
        <v>33</v>
      </c>
      <c r="E373" s="26">
        <f>SUMIFS(INDEX(元データ_14項目!$D$2:$Q$1300,0,MATCH($B373,元データ_14項目!$D$1:$Q$1,0)),元データ_14項目!$A$2:$A$1300,$A373,元データ_14項目!$B$2:$B$1300,"本年",元データ_14項目!$C$2:$C$1300,E$5)</f>
        <v>47</v>
      </c>
      <c r="F373" s="26">
        <f>SUMIFS(INDEX(元データ_14項目!$D$2:$Q$1300,0,MATCH($B373,元データ_14項目!$D$1:$Q$1,0)),元データ_14項目!$A$2:$A$1300,$A373,元データ_14項目!$B$2:$B$1300,"本年",元データ_14項目!$C$2:$C$1300,F$5)</f>
        <v>78</v>
      </c>
      <c r="G373" s="26">
        <f>SUMIFS(INDEX(元データ_14項目!$D$2:$Q$1300,0,MATCH($B373,元データ_14項目!$D$1:$Q$1,0)),元データ_14項目!$A$2:$A$1300,$A373,元データ_14項目!$B$2:$B$1300,"本年",元データ_14項目!$C$2:$C$1300,G$5)</f>
        <v>123</v>
      </c>
      <c r="H373" s="26">
        <f>SUMIFS(INDEX(元データ_14項目!$D$2:$Q$1300,0,MATCH($B373,元データ_14項目!$D$1:$Q$1,0)),元データ_14項目!$A$2:$A$1300,$A373,元データ_14項目!$B$2:$B$1300,"本年",元データ_14項目!$C$2:$C$1300,H$5)</f>
        <v>80</v>
      </c>
      <c r="I373" s="26">
        <f>SUMIFS(INDEX(元データ_14項目!$D$2:$Q$1300,0,MATCH($B373,元データ_14項目!$D$1:$Q$1,0)),元データ_14項目!$A$2:$A$1300,$A373,元データ_14項目!$B$2:$B$1300,"本年",元データ_14項目!$C$2:$C$1300,I$5)</f>
        <v>61</v>
      </c>
      <c r="J373" s="26">
        <f>SUMIFS(INDEX(元データ_14項目!$D$2:$Q$1300,0,MATCH($B373,元データ_14項目!$D$1:$Q$1,0)),元データ_14項目!$A$2:$A$1300,$A373,元データ_14項目!$B$2:$B$1300,"本年",元データ_14項目!$C$2:$C$1300,J$5)</f>
        <v>112</v>
      </c>
      <c r="K373" s="26">
        <f>SUMIFS(INDEX(元データ_14項目!$D$2:$Q$1300,0,MATCH($B373,元データ_14項目!$D$1:$Q$1,0)),元データ_14項目!$A$2:$A$1300,$A373,元データ_14項目!$B$2:$B$1300,"本年",元データ_14項目!$C$2:$C$1300,K$5)</f>
        <v>167</v>
      </c>
      <c r="L373" s="26">
        <f>SUMIFS(INDEX(元データ_14項目!$D$2:$Q$1300,0,MATCH($B373,元データ_14項目!$D$1:$Q$1,0)),元データ_14項目!$A$2:$A$1300,$A373,元データ_14項目!$B$2:$B$1300,"本年",元データ_14項目!$C$2:$C$1300,L$5)</f>
        <v>92</v>
      </c>
      <c r="M373" s="26">
        <f>SUMIFS(INDEX(元データ_14項目!$D$2:$Q$1300,0,MATCH($B373,元データ_14項目!$D$1:$Q$1,0)),元データ_14項目!$A$2:$A$1300,$A373,元データ_14項目!$B$2:$B$1300,"本年",元データ_14項目!$C$2:$C$1300,M$5)</f>
        <v>66</v>
      </c>
      <c r="N373" s="26">
        <f>SUMIFS(INDEX(元データ_14項目!$D$2:$Q$1300,0,MATCH($B373,元データ_14項目!$D$1:$Q$1,0)),元データ_14項目!$A$2:$A$1300,$A373,元データ_14項目!$B$2:$B$1300,"本年",元データ_14項目!$C$2:$C$1300,N$5)</f>
        <v>48</v>
      </c>
      <c r="O373" s="26">
        <f t="shared" si="10"/>
        <v>947</v>
      </c>
      <c r="P373" s="26">
        <f>SUMIFS(INDEX(元データ_14項目!$D$2:$Q$1300,0,MATCH($B373,元データ_14項目!$D$1:$Q$1,0)),元データ_14項目!$A$2:$A$1300,$A373,元データ_14項目!$B$2:$B$1300,"前年")</f>
        <v>1090</v>
      </c>
      <c r="Q373" s="7">
        <f t="shared" si="11"/>
        <v>0.86880733944954125</v>
      </c>
    </row>
    <row r="374" spans="1:17" x14ac:dyDescent="0.45">
      <c r="A374" t="s">
        <v>61</v>
      </c>
      <c r="B374" t="s">
        <v>91</v>
      </c>
      <c r="C374" s="26">
        <f>SUMIFS(INDEX(元データ_14項目!$D$2:$Q$1300,0,MATCH($B374,元データ_14項目!$D$1:$Q$1,0)),元データ_14項目!$A$2:$A$1300,$A374,元データ_14項目!$B$2:$B$1300,"本年",元データ_14項目!$C$2:$C$1300,C$5)</f>
        <v>10</v>
      </c>
      <c r="D374" s="26">
        <f>SUMIFS(INDEX(元データ_14項目!$D$2:$Q$1300,0,MATCH($B374,元データ_14項目!$D$1:$Q$1,0)),元データ_14項目!$A$2:$A$1300,$A374,元データ_14項目!$B$2:$B$1300,"本年",元データ_14項目!$C$2:$C$1300,D$5)</f>
        <v>66</v>
      </c>
      <c r="E374" s="26">
        <f>SUMIFS(INDEX(元データ_14項目!$D$2:$Q$1300,0,MATCH($B374,元データ_14項目!$D$1:$Q$1,0)),元データ_14項目!$A$2:$A$1300,$A374,元データ_14項目!$B$2:$B$1300,"本年",元データ_14項目!$C$2:$C$1300,E$5)</f>
        <v>59</v>
      </c>
      <c r="F374" s="26">
        <f>SUMIFS(INDEX(元データ_14項目!$D$2:$Q$1300,0,MATCH($B374,元データ_14項目!$D$1:$Q$1,0)),元データ_14項目!$A$2:$A$1300,$A374,元データ_14項目!$B$2:$B$1300,"本年",元データ_14項目!$C$2:$C$1300,F$5)</f>
        <v>32</v>
      </c>
      <c r="G374" s="26">
        <f>SUMIFS(INDEX(元データ_14項目!$D$2:$Q$1300,0,MATCH($B374,元データ_14項目!$D$1:$Q$1,0)),元データ_14項目!$A$2:$A$1300,$A374,元データ_14項目!$B$2:$B$1300,"本年",元データ_14項目!$C$2:$C$1300,G$5)</f>
        <v>34</v>
      </c>
      <c r="H374" s="26">
        <f>SUMIFS(INDEX(元データ_14項目!$D$2:$Q$1300,0,MATCH($B374,元データ_14項目!$D$1:$Q$1,0)),元データ_14項目!$A$2:$A$1300,$A374,元データ_14項目!$B$2:$B$1300,"本年",元データ_14項目!$C$2:$C$1300,H$5)</f>
        <v>32</v>
      </c>
      <c r="I374" s="26">
        <f>SUMIFS(INDEX(元データ_14項目!$D$2:$Q$1300,0,MATCH($B374,元データ_14項目!$D$1:$Q$1,0)),元データ_14項目!$A$2:$A$1300,$A374,元データ_14項目!$B$2:$B$1300,"本年",元データ_14項目!$C$2:$C$1300,I$5)</f>
        <v>37</v>
      </c>
      <c r="J374" s="26">
        <f>SUMIFS(INDEX(元データ_14項目!$D$2:$Q$1300,0,MATCH($B374,元データ_14項目!$D$1:$Q$1,0)),元データ_14項目!$A$2:$A$1300,$A374,元データ_14項目!$B$2:$B$1300,"本年",元データ_14項目!$C$2:$C$1300,J$5)</f>
        <v>19</v>
      </c>
      <c r="K374" s="26">
        <f>SUMIFS(INDEX(元データ_14項目!$D$2:$Q$1300,0,MATCH($B374,元データ_14項目!$D$1:$Q$1,0)),元データ_14項目!$A$2:$A$1300,$A374,元データ_14項目!$B$2:$B$1300,"本年",元データ_14項目!$C$2:$C$1300,K$5)</f>
        <v>29</v>
      </c>
      <c r="L374" s="26">
        <f>SUMIFS(INDEX(元データ_14項目!$D$2:$Q$1300,0,MATCH($B374,元データ_14項目!$D$1:$Q$1,0)),元データ_14項目!$A$2:$A$1300,$A374,元データ_14項目!$B$2:$B$1300,"本年",元データ_14項目!$C$2:$C$1300,L$5)</f>
        <v>49</v>
      </c>
      <c r="M374" s="26">
        <f>SUMIFS(INDEX(元データ_14項目!$D$2:$Q$1300,0,MATCH($B374,元データ_14項目!$D$1:$Q$1,0)),元データ_14項目!$A$2:$A$1300,$A374,元データ_14項目!$B$2:$B$1300,"本年",元データ_14項目!$C$2:$C$1300,M$5)</f>
        <v>41</v>
      </c>
      <c r="N374" s="26">
        <f>SUMIFS(INDEX(元データ_14項目!$D$2:$Q$1300,0,MATCH($B374,元データ_14項目!$D$1:$Q$1,0)),元データ_14項目!$A$2:$A$1300,$A374,元データ_14項目!$B$2:$B$1300,"本年",元データ_14項目!$C$2:$C$1300,N$5)</f>
        <v>32</v>
      </c>
      <c r="O374" s="26">
        <f t="shared" si="10"/>
        <v>440</v>
      </c>
      <c r="P374" s="26">
        <f>SUMIFS(INDEX(元データ_14項目!$D$2:$Q$1300,0,MATCH($B374,元データ_14項目!$D$1:$Q$1,0)),元データ_14項目!$A$2:$A$1300,$A374,元データ_14項目!$B$2:$B$1300,"前年")</f>
        <v>409</v>
      </c>
      <c r="Q374" s="7">
        <f t="shared" si="11"/>
        <v>1.0757946210268949</v>
      </c>
    </row>
    <row r="375" spans="1:17" x14ac:dyDescent="0.45">
      <c r="A375" t="s">
        <v>61</v>
      </c>
      <c r="B375" t="s">
        <v>28</v>
      </c>
      <c r="C375" s="26">
        <f>SUMIFS(INDEX(元データ_14項目!$D$2:$Q$1300,0,MATCH($B375,元データ_14項目!$D$1:$Q$1,0)),元データ_14項目!$A$2:$A$1300,$A375,元データ_14項目!$B$2:$B$1300,"本年",元データ_14項目!$C$2:$C$1300,C$5)</f>
        <v>138</v>
      </c>
      <c r="D375" s="26">
        <f>SUMIFS(INDEX(元データ_14項目!$D$2:$Q$1300,0,MATCH($B375,元データ_14項目!$D$1:$Q$1,0)),元データ_14項目!$A$2:$A$1300,$A375,元データ_14項目!$B$2:$B$1300,"本年",元データ_14項目!$C$2:$C$1300,D$5)</f>
        <v>211</v>
      </c>
      <c r="E375" s="26">
        <f>SUMIFS(INDEX(元データ_14項目!$D$2:$Q$1300,0,MATCH($B375,元データ_14項目!$D$1:$Q$1,0)),元データ_14項目!$A$2:$A$1300,$A375,元データ_14項目!$B$2:$B$1300,"本年",元データ_14項目!$C$2:$C$1300,E$5)</f>
        <v>219</v>
      </c>
      <c r="F375" s="26">
        <f>SUMIFS(INDEX(元データ_14項目!$D$2:$Q$1300,0,MATCH($B375,元データ_14項目!$D$1:$Q$1,0)),元データ_14項目!$A$2:$A$1300,$A375,元データ_14項目!$B$2:$B$1300,"本年",元データ_14項目!$C$2:$C$1300,F$5)</f>
        <v>178</v>
      </c>
      <c r="G375" s="26">
        <f>SUMIFS(INDEX(元データ_14項目!$D$2:$Q$1300,0,MATCH($B375,元データ_14項目!$D$1:$Q$1,0)),元データ_14項目!$A$2:$A$1300,$A375,元データ_14項目!$B$2:$B$1300,"本年",元データ_14項目!$C$2:$C$1300,G$5)</f>
        <v>155</v>
      </c>
      <c r="H375" s="26">
        <f>SUMIFS(INDEX(元データ_14項目!$D$2:$Q$1300,0,MATCH($B375,元データ_14項目!$D$1:$Q$1,0)),元データ_14項目!$A$2:$A$1300,$A375,元データ_14項目!$B$2:$B$1300,"本年",元データ_14項目!$C$2:$C$1300,H$5)</f>
        <v>86</v>
      </c>
      <c r="I375" s="26">
        <f>SUMIFS(INDEX(元データ_14項目!$D$2:$Q$1300,0,MATCH($B375,元データ_14項目!$D$1:$Q$1,0)),元データ_14項目!$A$2:$A$1300,$A375,元データ_14項目!$B$2:$B$1300,"本年",元データ_14項目!$C$2:$C$1300,I$5)</f>
        <v>98</v>
      </c>
      <c r="J375" s="26">
        <f>SUMIFS(INDEX(元データ_14項目!$D$2:$Q$1300,0,MATCH($B375,元データ_14項目!$D$1:$Q$1,0)),元データ_14項目!$A$2:$A$1300,$A375,元データ_14項目!$B$2:$B$1300,"本年",元データ_14項目!$C$2:$C$1300,J$5)</f>
        <v>117</v>
      </c>
      <c r="K375" s="26">
        <f>SUMIFS(INDEX(元データ_14項目!$D$2:$Q$1300,0,MATCH($B375,元データ_14項目!$D$1:$Q$1,0)),元データ_14項目!$A$2:$A$1300,$A375,元データ_14項目!$B$2:$B$1300,"本年",元データ_14項目!$C$2:$C$1300,K$5)</f>
        <v>169</v>
      </c>
      <c r="L375" s="26">
        <f>SUMIFS(INDEX(元データ_14項目!$D$2:$Q$1300,0,MATCH($B375,元データ_14項目!$D$1:$Q$1,0)),元データ_14項目!$A$2:$A$1300,$A375,元データ_14項目!$B$2:$B$1300,"本年",元データ_14項目!$C$2:$C$1300,L$5)</f>
        <v>157</v>
      </c>
      <c r="M375" s="26">
        <f>SUMIFS(INDEX(元データ_14項目!$D$2:$Q$1300,0,MATCH($B375,元データ_14項目!$D$1:$Q$1,0)),元データ_14項目!$A$2:$A$1300,$A375,元データ_14項目!$B$2:$B$1300,"本年",元データ_14項目!$C$2:$C$1300,M$5)</f>
        <v>215</v>
      </c>
      <c r="N375" s="26">
        <f>SUMIFS(INDEX(元データ_14項目!$D$2:$Q$1300,0,MATCH($B375,元データ_14項目!$D$1:$Q$1,0)),元データ_14項目!$A$2:$A$1300,$A375,元データ_14項目!$B$2:$B$1300,"本年",元データ_14項目!$C$2:$C$1300,N$5)</f>
        <v>181</v>
      </c>
      <c r="O375" s="26">
        <f t="shared" si="10"/>
        <v>1924</v>
      </c>
      <c r="P375" s="26">
        <f>SUMIFS(INDEX(元データ_14項目!$D$2:$Q$1300,0,MATCH($B375,元データ_14項目!$D$1:$Q$1,0)),元データ_14項目!$A$2:$A$1300,$A375,元データ_14項目!$B$2:$B$1300,"前年")</f>
        <v>1963</v>
      </c>
      <c r="Q375" s="7">
        <f t="shared" si="11"/>
        <v>0.98013245033112584</v>
      </c>
    </row>
    <row r="376" spans="1:17" x14ac:dyDescent="0.45">
      <c r="A376" t="s">
        <v>61</v>
      </c>
      <c r="B376" t="s">
        <v>92</v>
      </c>
      <c r="C376" s="26">
        <f>SUMIFS(INDEX(元データ_14項目!$D$2:$Q$1300,0,MATCH($B376,元データ_14項目!$D$1:$Q$1,0)),元データ_14項目!$A$2:$A$1300,$A376,元データ_14項目!$B$2:$B$1300,"本年",元データ_14項目!$C$2:$C$1300,C$5)</f>
        <v>25</v>
      </c>
      <c r="D376" s="26">
        <f>SUMIFS(INDEX(元データ_14項目!$D$2:$Q$1300,0,MATCH($B376,元データ_14項目!$D$1:$Q$1,0)),元データ_14項目!$A$2:$A$1300,$A376,元データ_14項目!$B$2:$B$1300,"本年",元データ_14項目!$C$2:$C$1300,D$5)</f>
        <v>19</v>
      </c>
      <c r="E376" s="26">
        <f>SUMIFS(INDEX(元データ_14項目!$D$2:$Q$1300,0,MATCH($B376,元データ_14項目!$D$1:$Q$1,0)),元データ_14項目!$A$2:$A$1300,$A376,元データ_14項目!$B$2:$B$1300,"本年",元データ_14項目!$C$2:$C$1300,E$5)</f>
        <v>31</v>
      </c>
      <c r="F376" s="26">
        <f>SUMIFS(INDEX(元データ_14項目!$D$2:$Q$1300,0,MATCH($B376,元データ_14項目!$D$1:$Q$1,0)),元データ_14項目!$A$2:$A$1300,$A376,元データ_14項目!$B$2:$B$1300,"本年",元データ_14項目!$C$2:$C$1300,F$5)</f>
        <v>28</v>
      </c>
      <c r="G376" s="26">
        <f>SUMIFS(INDEX(元データ_14項目!$D$2:$Q$1300,0,MATCH($B376,元データ_14項目!$D$1:$Q$1,0)),元データ_14項目!$A$2:$A$1300,$A376,元データ_14項目!$B$2:$B$1300,"本年",元データ_14項目!$C$2:$C$1300,G$5)</f>
        <v>36</v>
      </c>
      <c r="H376" s="26">
        <f>SUMIFS(INDEX(元データ_14項目!$D$2:$Q$1300,0,MATCH($B376,元データ_14項目!$D$1:$Q$1,0)),元データ_14項目!$A$2:$A$1300,$A376,元データ_14項目!$B$2:$B$1300,"本年",元データ_14項目!$C$2:$C$1300,H$5)</f>
        <v>21</v>
      </c>
      <c r="I376" s="26">
        <f>SUMIFS(INDEX(元データ_14項目!$D$2:$Q$1300,0,MATCH($B376,元データ_14項目!$D$1:$Q$1,0)),元データ_14項目!$A$2:$A$1300,$A376,元データ_14項目!$B$2:$B$1300,"本年",元データ_14項目!$C$2:$C$1300,I$5)</f>
        <v>15</v>
      </c>
      <c r="J376" s="26">
        <f>SUMIFS(INDEX(元データ_14項目!$D$2:$Q$1300,0,MATCH($B376,元データ_14項目!$D$1:$Q$1,0)),元データ_14項目!$A$2:$A$1300,$A376,元データ_14項目!$B$2:$B$1300,"本年",元データ_14項目!$C$2:$C$1300,J$5)</f>
        <v>25</v>
      </c>
      <c r="K376" s="26">
        <f>SUMIFS(INDEX(元データ_14項目!$D$2:$Q$1300,0,MATCH($B376,元データ_14項目!$D$1:$Q$1,0)),元データ_14項目!$A$2:$A$1300,$A376,元データ_14項目!$B$2:$B$1300,"本年",元データ_14項目!$C$2:$C$1300,K$5)</f>
        <v>46</v>
      </c>
      <c r="L376" s="26">
        <f>SUMIFS(INDEX(元データ_14項目!$D$2:$Q$1300,0,MATCH($B376,元データ_14項目!$D$1:$Q$1,0)),元データ_14項目!$A$2:$A$1300,$A376,元データ_14項目!$B$2:$B$1300,"本年",元データ_14項目!$C$2:$C$1300,L$5)</f>
        <v>13</v>
      </c>
      <c r="M376" s="26">
        <f>SUMIFS(INDEX(元データ_14項目!$D$2:$Q$1300,0,MATCH($B376,元データ_14項目!$D$1:$Q$1,0)),元データ_14項目!$A$2:$A$1300,$A376,元データ_14項目!$B$2:$B$1300,"本年",元データ_14項目!$C$2:$C$1300,M$5)</f>
        <v>23</v>
      </c>
      <c r="N376" s="26">
        <f>SUMIFS(INDEX(元データ_14項目!$D$2:$Q$1300,0,MATCH($B376,元データ_14項目!$D$1:$Q$1,0)),元データ_14項目!$A$2:$A$1300,$A376,元データ_14項目!$B$2:$B$1300,"本年",元データ_14項目!$C$2:$C$1300,N$5)</f>
        <v>15</v>
      </c>
      <c r="O376" s="26">
        <f t="shared" si="10"/>
        <v>297</v>
      </c>
      <c r="P376" s="26">
        <f>SUMIFS(INDEX(元データ_14項目!$D$2:$Q$1300,0,MATCH($B376,元データ_14項目!$D$1:$Q$1,0)),元データ_14項目!$A$2:$A$1300,$A376,元データ_14項目!$B$2:$B$1300,"前年")</f>
        <v>304</v>
      </c>
      <c r="Q376" s="7">
        <f t="shared" si="11"/>
        <v>0.97697368421052633</v>
      </c>
    </row>
    <row r="377" spans="1:17" x14ac:dyDescent="0.45">
      <c r="A377" t="s">
        <v>61</v>
      </c>
      <c r="B377" t="s">
        <v>93</v>
      </c>
      <c r="C377" s="26">
        <f>SUMIFS(INDEX(元データ_14項目!$D$2:$Q$1300,0,MATCH($B377,元データ_14項目!$D$1:$Q$1,0)),元データ_14項目!$A$2:$A$1300,$A377,元データ_14項目!$B$2:$B$1300,"本年",元データ_14項目!$C$2:$C$1300,C$5)</f>
        <v>17</v>
      </c>
      <c r="D377" s="26">
        <f>SUMIFS(INDEX(元データ_14項目!$D$2:$Q$1300,0,MATCH($B377,元データ_14項目!$D$1:$Q$1,0)),元データ_14項目!$A$2:$A$1300,$A377,元データ_14項目!$B$2:$B$1300,"本年",元データ_14項目!$C$2:$C$1300,D$5)</f>
        <v>19</v>
      </c>
      <c r="E377" s="26">
        <f>SUMIFS(INDEX(元データ_14項目!$D$2:$Q$1300,0,MATCH($B377,元データ_14項目!$D$1:$Q$1,0)),元データ_14項目!$A$2:$A$1300,$A377,元データ_14項目!$B$2:$B$1300,"本年",元データ_14項目!$C$2:$C$1300,E$5)</f>
        <v>43</v>
      </c>
      <c r="F377" s="26">
        <f>SUMIFS(INDEX(元データ_14項目!$D$2:$Q$1300,0,MATCH($B377,元データ_14項目!$D$1:$Q$1,0)),元データ_14項目!$A$2:$A$1300,$A377,元データ_14項目!$B$2:$B$1300,"本年",元データ_14項目!$C$2:$C$1300,F$5)</f>
        <v>47</v>
      </c>
      <c r="G377" s="26">
        <f>SUMIFS(INDEX(元データ_14項目!$D$2:$Q$1300,0,MATCH($B377,元データ_14項目!$D$1:$Q$1,0)),元データ_14項目!$A$2:$A$1300,$A377,元データ_14項目!$B$2:$B$1300,"本年",元データ_14項目!$C$2:$C$1300,G$5)</f>
        <v>65</v>
      </c>
      <c r="H377" s="26">
        <f>SUMIFS(INDEX(元データ_14項目!$D$2:$Q$1300,0,MATCH($B377,元データ_14項目!$D$1:$Q$1,0)),元データ_14項目!$A$2:$A$1300,$A377,元データ_14項目!$B$2:$B$1300,"本年",元データ_14項目!$C$2:$C$1300,H$5)</f>
        <v>28</v>
      </c>
      <c r="I377" s="26">
        <f>SUMIFS(INDEX(元データ_14項目!$D$2:$Q$1300,0,MATCH($B377,元データ_14項目!$D$1:$Q$1,0)),元データ_14項目!$A$2:$A$1300,$A377,元データ_14項目!$B$2:$B$1300,"本年",元データ_14項目!$C$2:$C$1300,I$5)</f>
        <v>41</v>
      </c>
      <c r="J377" s="26">
        <f>SUMIFS(INDEX(元データ_14項目!$D$2:$Q$1300,0,MATCH($B377,元データ_14項目!$D$1:$Q$1,0)),元データ_14項目!$A$2:$A$1300,$A377,元データ_14項目!$B$2:$B$1300,"本年",元データ_14項目!$C$2:$C$1300,J$5)</f>
        <v>62</v>
      </c>
      <c r="K377" s="26">
        <f>SUMIFS(INDEX(元データ_14項目!$D$2:$Q$1300,0,MATCH($B377,元データ_14項目!$D$1:$Q$1,0)),元データ_14項目!$A$2:$A$1300,$A377,元データ_14項目!$B$2:$B$1300,"本年",元データ_14項目!$C$2:$C$1300,K$5)</f>
        <v>235</v>
      </c>
      <c r="L377" s="26">
        <f>SUMIFS(INDEX(元データ_14項目!$D$2:$Q$1300,0,MATCH($B377,元データ_14項目!$D$1:$Q$1,0)),元データ_14項目!$A$2:$A$1300,$A377,元データ_14項目!$B$2:$B$1300,"本年",元データ_14項目!$C$2:$C$1300,L$5)</f>
        <v>103</v>
      </c>
      <c r="M377" s="26">
        <f>SUMIFS(INDEX(元データ_14項目!$D$2:$Q$1300,0,MATCH($B377,元データ_14項目!$D$1:$Q$1,0)),元データ_14項目!$A$2:$A$1300,$A377,元データ_14項目!$B$2:$B$1300,"本年",元データ_14項目!$C$2:$C$1300,M$5)</f>
        <v>49</v>
      </c>
      <c r="N377" s="26">
        <f>SUMIFS(INDEX(元データ_14項目!$D$2:$Q$1300,0,MATCH($B377,元データ_14項目!$D$1:$Q$1,0)),元データ_14項目!$A$2:$A$1300,$A377,元データ_14項目!$B$2:$B$1300,"本年",元データ_14項目!$C$2:$C$1300,N$5)</f>
        <v>28</v>
      </c>
      <c r="O377" s="26">
        <f t="shared" si="10"/>
        <v>737</v>
      </c>
      <c r="P377" s="26">
        <f>SUMIFS(INDEX(元データ_14項目!$D$2:$Q$1300,0,MATCH($B377,元データ_14項目!$D$1:$Q$1,0)),元データ_14項目!$A$2:$A$1300,$A377,元データ_14項目!$B$2:$B$1300,"前年")</f>
        <v>830</v>
      </c>
      <c r="Q377" s="7">
        <f t="shared" si="11"/>
        <v>0.88795180722891565</v>
      </c>
    </row>
    <row r="378" spans="1:17" x14ac:dyDescent="0.45">
      <c r="A378" t="s">
        <v>61</v>
      </c>
      <c r="B378" t="s">
        <v>94</v>
      </c>
      <c r="C378" s="26">
        <f>SUMIFS(INDEX(元データ_14項目!$D$2:$Q$1300,0,MATCH($B378,元データ_14項目!$D$1:$Q$1,0)),元データ_14項目!$A$2:$A$1300,$A378,元データ_14項目!$B$2:$B$1300,"本年",元データ_14項目!$C$2:$C$1300,C$5)</f>
        <v>4</v>
      </c>
      <c r="D378" s="26">
        <f>SUMIFS(INDEX(元データ_14項目!$D$2:$Q$1300,0,MATCH($B378,元データ_14項目!$D$1:$Q$1,0)),元データ_14項目!$A$2:$A$1300,$A378,元データ_14項目!$B$2:$B$1300,"本年",元データ_14項目!$C$2:$C$1300,D$5)</f>
        <v>14</v>
      </c>
      <c r="E378" s="26">
        <f>SUMIFS(INDEX(元データ_14項目!$D$2:$Q$1300,0,MATCH($B378,元データ_14項目!$D$1:$Q$1,0)),元データ_14項目!$A$2:$A$1300,$A378,元データ_14項目!$B$2:$B$1300,"本年",元データ_14項目!$C$2:$C$1300,E$5)</f>
        <v>22</v>
      </c>
      <c r="F378" s="26">
        <f>SUMIFS(INDEX(元データ_14項目!$D$2:$Q$1300,0,MATCH($B378,元データ_14項目!$D$1:$Q$1,0)),元データ_14項目!$A$2:$A$1300,$A378,元データ_14項目!$B$2:$B$1300,"本年",元データ_14項目!$C$2:$C$1300,F$5)</f>
        <v>11</v>
      </c>
      <c r="G378" s="26">
        <f>SUMIFS(INDEX(元データ_14項目!$D$2:$Q$1300,0,MATCH($B378,元データ_14項目!$D$1:$Q$1,0)),元データ_14項目!$A$2:$A$1300,$A378,元データ_14項目!$B$2:$B$1300,"本年",元データ_14項目!$C$2:$C$1300,G$5)</f>
        <v>35</v>
      </c>
      <c r="H378" s="26">
        <f>SUMIFS(INDEX(元データ_14項目!$D$2:$Q$1300,0,MATCH($B378,元データ_14項目!$D$1:$Q$1,0)),元データ_14項目!$A$2:$A$1300,$A378,元データ_14項目!$B$2:$B$1300,"本年",元データ_14項目!$C$2:$C$1300,H$5)</f>
        <v>17</v>
      </c>
      <c r="I378" s="26">
        <f>SUMIFS(INDEX(元データ_14項目!$D$2:$Q$1300,0,MATCH($B378,元データ_14項目!$D$1:$Q$1,0)),元データ_14項目!$A$2:$A$1300,$A378,元データ_14項目!$B$2:$B$1300,"本年",元データ_14項目!$C$2:$C$1300,I$5)</f>
        <v>14</v>
      </c>
      <c r="J378" s="26">
        <f>SUMIFS(INDEX(元データ_14項目!$D$2:$Q$1300,0,MATCH($B378,元データ_14項目!$D$1:$Q$1,0)),元データ_14項目!$A$2:$A$1300,$A378,元データ_14項目!$B$2:$B$1300,"本年",元データ_14項目!$C$2:$C$1300,J$5)</f>
        <v>17</v>
      </c>
      <c r="K378" s="26">
        <f>SUMIFS(INDEX(元データ_14項目!$D$2:$Q$1300,0,MATCH($B378,元データ_14項目!$D$1:$Q$1,0)),元データ_14項目!$A$2:$A$1300,$A378,元データ_14項目!$B$2:$B$1300,"本年",元データ_14項目!$C$2:$C$1300,K$5)</f>
        <v>94</v>
      </c>
      <c r="L378" s="26">
        <f>SUMIFS(INDEX(元データ_14項目!$D$2:$Q$1300,0,MATCH($B378,元データ_14項目!$D$1:$Q$1,0)),元データ_14項目!$A$2:$A$1300,$A378,元データ_14項目!$B$2:$B$1300,"本年",元データ_14項目!$C$2:$C$1300,L$5)</f>
        <v>39</v>
      </c>
      <c r="M378" s="26">
        <f>SUMIFS(INDEX(元データ_14項目!$D$2:$Q$1300,0,MATCH($B378,元データ_14項目!$D$1:$Q$1,0)),元データ_14項目!$A$2:$A$1300,$A378,元データ_14項目!$B$2:$B$1300,"本年",元データ_14項目!$C$2:$C$1300,M$5)</f>
        <v>30</v>
      </c>
      <c r="N378" s="26">
        <f>SUMIFS(INDEX(元データ_14項目!$D$2:$Q$1300,0,MATCH($B378,元データ_14項目!$D$1:$Q$1,0)),元データ_14項目!$A$2:$A$1300,$A378,元データ_14項目!$B$2:$B$1300,"本年",元データ_14項目!$C$2:$C$1300,N$5)</f>
        <v>15</v>
      </c>
      <c r="O378" s="26">
        <f t="shared" si="10"/>
        <v>312</v>
      </c>
      <c r="P378" s="26">
        <f>SUMIFS(INDEX(元データ_14項目!$D$2:$Q$1300,0,MATCH($B378,元データ_14項目!$D$1:$Q$1,0)),元データ_14項目!$A$2:$A$1300,$A378,元データ_14項目!$B$2:$B$1300,"前年")</f>
        <v>358</v>
      </c>
      <c r="Q378" s="7">
        <f t="shared" si="11"/>
        <v>0.87150837988826813</v>
      </c>
    </row>
    <row r="379" spans="1:17" x14ac:dyDescent="0.45">
      <c r="A379" t="s">
        <v>61</v>
      </c>
      <c r="B379" t="s">
        <v>95</v>
      </c>
      <c r="C379" s="26">
        <f>SUMIFS(INDEX(元データ_14項目!$D$2:$Q$1300,0,MATCH($B379,元データ_14項目!$D$1:$Q$1,0)),元データ_14項目!$A$2:$A$1300,$A379,元データ_14項目!$B$2:$B$1300,"本年",元データ_14項目!$C$2:$C$1300,C$5)</f>
        <v>23</v>
      </c>
      <c r="D379" s="26">
        <f>SUMIFS(INDEX(元データ_14項目!$D$2:$Q$1300,0,MATCH($B379,元データ_14項目!$D$1:$Q$1,0)),元データ_14項目!$A$2:$A$1300,$A379,元データ_14項目!$B$2:$B$1300,"本年",元データ_14項目!$C$2:$C$1300,D$5)</f>
        <v>42</v>
      </c>
      <c r="E379" s="26">
        <f>SUMIFS(INDEX(元データ_14項目!$D$2:$Q$1300,0,MATCH($B379,元データ_14項目!$D$1:$Q$1,0)),元データ_14項目!$A$2:$A$1300,$A379,元データ_14項目!$B$2:$B$1300,"本年",元データ_14項目!$C$2:$C$1300,E$5)</f>
        <v>34</v>
      </c>
      <c r="F379" s="26">
        <f>SUMIFS(INDEX(元データ_14項目!$D$2:$Q$1300,0,MATCH($B379,元データ_14項目!$D$1:$Q$1,0)),元データ_14項目!$A$2:$A$1300,$A379,元データ_14項目!$B$2:$B$1300,"本年",元データ_14項目!$C$2:$C$1300,F$5)</f>
        <v>44</v>
      </c>
      <c r="G379" s="26">
        <f>SUMIFS(INDEX(元データ_14項目!$D$2:$Q$1300,0,MATCH($B379,元データ_14項目!$D$1:$Q$1,0)),元データ_14項目!$A$2:$A$1300,$A379,元データ_14項目!$B$2:$B$1300,"本年",元データ_14項目!$C$2:$C$1300,G$5)</f>
        <v>26</v>
      </c>
      <c r="H379" s="26">
        <f>SUMIFS(INDEX(元データ_14項目!$D$2:$Q$1300,0,MATCH($B379,元データ_14項目!$D$1:$Q$1,0)),元データ_14項目!$A$2:$A$1300,$A379,元データ_14項目!$B$2:$B$1300,"本年",元データ_14項目!$C$2:$C$1300,H$5)</f>
        <v>11</v>
      </c>
      <c r="I379" s="26">
        <f>SUMIFS(INDEX(元データ_14項目!$D$2:$Q$1300,0,MATCH($B379,元データ_14項目!$D$1:$Q$1,0)),元データ_14項目!$A$2:$A$1300,$A379,元データ_14項目!$B$2:$B$1300,"本年",元データ_14項目!$C$2:$C$1300,I$5)</f>
        <v>10</v>
      </c>
      <c r="J379" s="26">
        <f>SUMIFS(INDEX(元データ_14項目!$D$2:$Q$1300,0,MATCH($B379,元データ_14項目!$D$1:$Q$1,0)),元データ_14項目!$A$2:$A$1300,$A379,元データ_14項目!$B$2:$B$1300,"本年",元データ_14項目!$C$2:$C$1300,J$5)</f>
        <v>12</v>
      </c>
      <c r="K379" s="26">
        <f>SUMIFS(INDEX(元データ_14項目!$D$2:$Q$1300,0,MATCH($B379,元データ_14項目!$D$1:$Q$1,0)),元データ_14項目!$A$2:$A$1300,$A379,元データ_14項目!$B$2:$B$1300,"本年",元データ_14項目!$C$2:$C$1300,K$5)</f>
        <v>54</v>
      </c>
      <c r="L379" s="26">
        <f>SUMIFS(INDEX(元データ_14項目!$D$2:$Q$1300,0,MATCH($B379,元データ_14項目!$D$1:$Q$1,0)),元データ_14項目!$A$2:$A$1300,$A379,元データ_14項目!$B$2:$B$1300,"本年",元データ_14項目!$C$2:$C$1300,L$5)</f>
        <v>25</v>
      </c>
      <c r="M379" s="26">
        <f>SUMIFS(INDEX(元データ_14項目!$D$2:$Q$1300,0,MATCH($B379,元データ_14項目!$D$1:$Q$1,0)),元データ_14項目!$A$2:$A$1300,$A379,元データ_14項目!$B$2:$B$1300,"本年",元データ_14項目!$C$2:$C$1300,M$5)</f>
        <v>34</v>
      </c>
      <c r="N379" s="26">
        <f>SUMIFS(INDEX(元データ_14項目!$D$2:$Q$1300,0,MATCH($B379,元データ_14項目!$D$1:$Q$1,0)),元データ_14項目!$A$2:$A$1300,$A379,元データ_14項目!$B$2:$B$1300,"本年",元データ_14項目!$C$2:$C$1300,N$5)</f>
        <v>25</v>
      </c>
      <c r="O379" s="26">
        <f t="shared" si="10"/>
        <v>340</v>
      </c>
      <c r="P379" s="26">
        <f>SUMIFS(INDEX(元データ_14項目!$D$2:$Q$1300,0,MATCH($B379,元データ_14項目!$D$1:$Q$1,0)),元データ_14項目!$A$2:$A$1300,$A379,元データ_14項目!$B$2:$B$1300,"前年")</f>
        <v>341</v>
      </c>
      <c r="Q379" s="7">
        <f t="shared" si="11"/>
        <v>0.99706744868035191</v>
      </c>
    </row>
    <row r="380" spans="1:17" x14ac:dyDescent="0.45">
      <c r="A380" t="s">
        <v>61</v>
      </c>
      <c r="B380" t="s">
        <v>96</v>
      </c>
      <c r="C380" s="26">
        <f>SUMIFS(INDEX(元データ_14項目!$D$2:$Q$1300,0,MATCH($B380,元データ_14項目!$D$1:$Q$1,0)),元データ_14項目!$A$2:$A$1300,$A380,元データ_14項目!$B$2:$B$1300,"本年",元データ_14項目!$C$2:$C$1300,C$5)</f>
        <v>4</v>
      </c>
      <c r="D380" s="26">
        <f>SUMIFS(INDEX(元データ_14項目!$D$2:$Q$1300,0,MATCH($B380,元データ_14項目!$D$1:$Q$1,0)),元データ_14項目!$A$2:$A$1300,$A380,元データ_14項目!$B$2:$B$1300,"本年",元データ_14項目!$C$2:$C$1300,D$5)</f>
        <v>15</v>
      </c>
      <c r="E380" s="26">
        <f>SUMIFS(INDEX(元データ_14項目!$D$2:$Q$1300,0,MATCH($B380,元データ_14項目!$D$1:$Q$1,0)),元データ_14項目!$A$2:$A$1300,$A380,元データ_14項目!$B$2:$B$1300,"本年",元データ_14項目!$C$2:$C$1300,E$5)</f>
        <v>35</v>
      </c>
      <c r="F380" s="26">
        <f>SUMIFS(INDEX(元データ_14項目!$D$2:$Q$1300,0,MATCH($B380,元データ_14項目!$D$1:$Q$1,0)),元データ_14項目!$A$2:$A$1300,$A380,元データ_14項目!$B$2:$B$1300,"本年",元データ_14項目!$C$2:$C$1300,F$5)</f>
        <v>45</v>
      </c>
      <c r="G380" s="26">
        <f>SUMIFS(INDEX(元データ_14項目!$D$2:$Q$1300,0,MATCH($B380,元データ_14項目!$D$1:$Q$1,0)),元データ_14項目!$A$2:$A$1300,$A380,元データ_14項目!$B$2:$B$1300,"本年",元データ_14項目!$C$2:$C$1300,G$5)</f>
        <v>39</v>
      </c>
      <c r="H380" s="26">
        <f>SUMIFS(INDEX(元データ_14項目!$D$2:$Q$1300,0,MATCH($B380,元データ_14項目!$D$1:$Q$1,0)),元データ_14項目!$A$2:$A$1300,$A380,元データ_14項目!$B$2:$B$1300,"本年",元データ_14項目!$C$2:$C$1300,H$5)</f>
        <v>36</v>
      </c>
      <c r="I380" s="26">
        <f>SUMIFS(INDEX(元データ_14項目!$D$2:$Q$1300,0,MATCH($B380,元データ_14項目!$D$1:$Q$1,0)),元データ_14項目!$A$2:$A$1300,$A380,元データ_14項目!$B$2:$B$1300,"本年",元データ_14項目!$C$2:$C$1300,I$5)</f>
        <v>25</v>
      </c>
      <c r="J380" s="26">
        <f>SUMIFS(INDEX(元データ_14項目!$D$2:$Q$1300,0,MATCH($B380,元データ_14項目!$D$1:$Q$1,0)),元データ_14項目!$A$2:$A$1300,$A380,元データ_14項目!$B$2:$B$1300,"本年",元データ_14項目!$C$2:$C$1300,J$5)</f>
        <v>94</v>
      </c>
      <c r="K380" s="26">
        <f>SUMIFS(INDEX(元データ_14項目!$D$2:$Q$1300,0,MATCH($B380,元データ_14項目!$D$1:$Q$1,0)),元データ_14項目!$A$2:$A$1300,$A380,元データ_14項目!$B$2:$B$1300,"本年",元データ_14項目!$C$2:$C$1300,K$5)</f>
        <v>236</v>
      </c>
      <c r="L380" s="26">
        <f>SUMIFS(INDEX(元データ_14項目!$D$2:$Q$1300,0,MATCH($B380,元データ_14項目!$D$1:$Q$1,0)),元データ_14項目!$A$2:$A$1300,$A380,元データ_14項目!$B$2:$B$1300,"本年",元データ_14項目!$C$2:$C$1300,L$5)</f>
        <v>136</v>
      </c>
      <c r="M380" s="26">
        <f>SUMIFS(INDEX(元データ_14項目!$D$2:$Q$1300,0,MATCH($B380,元データ_14項目!$D$1:$Q$1,0)),元データ_14項目!$A$2:$A$1300,$A380,元データ_14項目!$B$2:$B$1300,"本年",元データ_14項目!$C$2:$C$1300,M$5)</f>
        <v>52</v>
      </c>
      <c r="N380" s="26">
        <f>SUMIFS(INDEX(元データ_14項目!$D$2:$Q$1300,0,MATCH($B380,元データ_14項目!$D$1:$Q$1,0)),元データ_14項目!$A$2:$A$1300,$A380,元データ_14項目!$B$2:$B$1300,"本年",元データ_14項目!$C$2:$C$1300,N$5)</f>
        <v>17</v>
      </c>
      <c r="O380" s="26">
        <f t="shared" si="10"/>
        <v>734</v>
      </c>
      <c r="P380" s="26">
        <f>SUMIFS(INDEX(元データ_14項目!$D$2:$Q$1300,0,MATCH($B380,元データ_14項目!$D$1:$Q$1,0)),元データ_14項目!$A$2:$A$1300,$A380,元データ_14項目!$B$2:$B$1300,"前年")</f>
        <v>829</v>
      </c>
      <c r="Q380" s="7">
        <f t="shared" si="11"/>
        <v>0.88540410132689984</v>
      </c>
    </row>
    <row r="381" spans="1:17" x14ac:dyDescent="0.45">
      <c r="A381" t="s">
        <v>61</v>
      </c>
      <c r="B381" t="s">
        <v>97</v>
      </c>
      <c r="C381" s="26">
        <f>SUMIFS(INDEX(元データ_14項目!$D$2:$Q$1300,0,MATCH($B381,元データ_14項目!$D$1:$Q$1,0)),元データ_14項目!$A$2:$A$1300,$A381,元データ_14項目!$B$2:$B$1300,"本年",元データ_14項目!$C$2:$C$1300,C$5)</f>
        <v>19</v>
      </c>
      <c r="D381" s="26">
        <f>SUMIFS(INDEX(元データ_14項目!$D$2:$Q$1300,0,MATCH($B381,元データ_14項目!$D$1:$Q$1,0)),元データ_14項目!$A$2:$A$1300,$A381,元データ_14項目!$B$2:$B$1300,"本年",元データ_14項目!$C$2:$C$1300,D$5)</f>
        <v>17</v>
      </c>
      <c r="E381" s="26">
        <f>SUMIFS(INDEX(元データ_14項目!$D$2:$Q$1300,0,MATCH($B381,元データ_14項目!$D$1:$Q$1,0)),元データ_14項目!$A$2:$A$1300,$A381,元データ_14項目!$B$2:$B$1300,"本年",元データ_14項目!$C$2:$C$1300,E$5)</f>
        <v>40</v>
      </c>
      <c r="F381" s="26">
        <f>SUMIFS(INDEX(元データ_14項目!$D$2:$Q$1300,0,MATCH($B381,元データ_14項目!$D$1:$Q$1,0)),元データ_14項目!$A$2:$A$1300,$A381,元データ_14項目!$B$2:$B$1300,"本年",元データ_14項目!$C$2:$C$1300,F$5)</f>
        <v>31</v>
      </c>
      <c r="G381" s="26">
        <f>SUMIFS(INDEX(元データ_14項目!$D$2:$Q$1300,0,MATCH($B381,元データ_14項目!$D$1:$Q$1,0)),元データ_14項目!$A$2:$A$1300,$A381,元データ_14項目!$B$2:$B$1300,"本年",元データ_14項目!$C$2:$C$1300,G$5)</f>
        <v>24</v>
      </c>
      <c r="H381" s="26">
        <f>SUMIFS(INDEX(元データ_14項目!$D$2:$Q$1300,0,MATCH($B381,元データ_14項目!$D$1:$Q$1,0)),元データ_14項目!$A$2:$A$1300,$A381,元データ_14項目!$B$2:$B$1300,"本年",元データ_14項目!$C$2:$C$1300,H$5)</f>
        <v>30</v>
      </c>
      <c r="I381" s="26">
        <f>SUMIFS(INDEX(元データ_14項目!$D$2:$Q$1300,0,MATCH($B381,元データ_14項目!$D$1:$Q$1,0)),元データ_14項目!$A$2:$A$1300,$A381,元データ_14項目!$B$2:$B$1300,"本年",元データ_14項目!$C$2:$C$1300,I$5)</f>
        <v>22</v>
      </c>
      <c r="J381" s="26">
        <f>SUMIFS(INDEX(元データ_14項目!$D$2:$Q$1300,0,MATCH($B381,元データ_14項目!$D$1:$Q$1,0)),元データ_14項目!$A$2:$A$1300,$A381,元データ_14項目!$B$2:$B$1300,"本年",元データ_14項目!$C$2:$C$1300,J$5)</f>
        <v>55</v>
      </c>
      <c r="K381" s="26">
        <f>SUMIFS(INDEX(元データ_14項目!$D$2:$Q$1300,0,MATCH($B381,元データ_14項目!$D$1:$Q$1,0)),元データ_14項目!$A$2:$A$1300,$A381,元データ_14項目!$B$2:$B$1300,"本年",元データ_14項目!$C$2:$C$1300,K$5)</f>
        <v>136</v>
      </c>
      <c r="L381" s="26">
        <f>SUMIFS(INDEX(元データ_14項目!$D$2:$Q$1300,0,MATCH($B381,元データ_14項目!$D$1:$Q$1,0)),元データ_14項目!$A$2:$A$1300,$A381,元データ_14項目!$B$2:$B$1300,"本年",元データ_14項目!$C$2:$C$1300,L$5)</f>
        <v>98</v>
      </c>
      <c r="M381" s="26">
        <f>SUMIFS(INDEX(元データ_14項目!$D$2:$Q$1300,0,MATCH($B381,元データ_14項目!$D$1:$Q$1,0)),元データ_14項目!$A$2:$A$1300,$A381,元データ_14項目!$B$2:$B$1300,"本年",元データ_14項目!$C$2:$C$1300,M$5)</f>
        <v>67</v>
      </c>
      <c r="N381" s="26">
        <f>SUMIFS(INDEX(元データ_14項目!$D$2:$Q$1300,0,MATCH($B381,元データ_14項目!$D$1:$Q$1,0)),元データ_14項目!$A$2:$A$1300,$A381,元データ_14項目!$B$2:$B$1300,"本年",元データ_14項目!$C$2:$C$1300,N$5)</f>
        <v>22</v>
      </c>
      <c r="O381" s="26">
        <f t="shared" si="10"/>
        <v>561</v>
      </c>
      <c r="P381" s="26">
        <f>SUMIFS(INDEX(元データ_14項目!$D$2:$Q$1300,0,MATCH($B381,元データ_14項目!$D$1:$Q$1,0)),元データ_14項目!$A$2:$A$1300,$A381,元データ_14項目!$B$2:$B$1300,"前年")</f>
        <v>550</v>
      </c>
      <c r="Q381" s="7">
        <f t="shared" si="11"/>
        <v>1.02</v>
      </c>
    </row>
    <row r="382" spans="1:17" x14ac:dyDescent="0.45">
      <c r="A382" t="s">
        <v>61</v>
      </c>
      <c r="B382" t="s">
        <v>98</v>
      </c>
      <c r="C382" s="26">
        <f>SUMIFS(INDEX(元データ_14項目!$D$2:$Q$1300,0,MATCH($B382,元データ_14項目!$D$1:$Q$1,0)),元データ_14項目!$A$2:$A$1300,$A382,元データ_14項目!$B$2:$B$1300,"本年",元データ_14項目!$C$2:$C$1300,C$5)</f>
        <v>6</v>
      </c>
      <c r="D382" s="26">
        <f>SUMIFS(INDEX(元データ_14項目!$D$2:$Q$1300,0,MATCH($B382,元データ_14項目!$D$1:$Q$1,0)),元データ_14項目!$A$2:$A$1300,$A382,元データ_14項目!$B$2:$B$1300,"本年",元データ_14項目!$C$2:$C$1300,D$5)</f>
        <v>5</v>
      </c>
      <c r="E382" s="26">
        <f>SUMIFS(INDEX(元データ_14項目!$D$2:$Q$1300,0,MATCH($B382,元データ_14項目!$D$1:$Q$1,0)),元データ_14項目!$A$2:$A$1300,$A382,元データ_14項目!$B$2:$B$1300,"本年",元データ_14項目!$C$2:$C$1300,E$5)</f>
        <v>9</v>
      </c>
      <c r="F382" s="26">
        <f>SUMIFS(INDEX(元データ_14項目!$D$2:$Q$1300,0,MATCH($B382,元データ_14項目!$D$1:$Q$1,0)),元データ_14項目!$A$2:$A$1300,$A382,元データ_14項目!$B$2:$B$1300,"本年",元データ_14項目!$C$2:$C$1300,F$5)</f>
        <v>18</v>
      </c>
      <c r="G382" s="26">
        <f>SUMIFS(INDEX(元データ_14項目!$D$2:$Q$1300,0,MATCH($B382,元データ_14項目!$D$1:$Q$1,0)),元データ_14項目!$A$2:$A$1300,$A382,元データ_14項目!$B$2:$B$1300,"本年",元データ_14項目!$C$2:$C$1300,G$5)</f>
        <v>13</v>
      </c>
      <c r="H382" s="26">
        <f>SUMIFS(INDEX(元データ_14項目!$D$2:$Q$1300,0,MATCH($B382,元データ_14項目!$D$1:$Q$1,0)),元データ_14項目!$A$2:$A$1300,$A382,元データ_14項目!$B$2:$B$1300,"本年",元データ_14項目!$C$2:$C$1300,H$5)</f>
        <v>6</v>
      </c>
      <c r="I382" s="26">
        <f>SUMIFS(INDEX(元データ_14項目!$D$2:$Q$1300,0,MATCH($B382,元データ_14項目!$D$1:$Q$1,0)),元データ_14項目!$A$2:$A$1300,$A382,元データ_14項目!$B$2:$B$1300,"本年",元データ_14項目!$C$2:$C$1300,I$5)</f>
        <v>12</v>
      </c>
      <c r="J382" s="26">
        <f>SUMIFS(INDEX(元データ_14項目!$D$2:$Q$1300,0,MATCH($B382,元データ_14項目!$D$1:$Q$1,0)),元データ_14項目!$A$2:$A$1300,$A382,元データ_14項目!$B$2:$B$1300,"本年",元データ_14項目!$C$2:$C$1300,J$5)</f>
        <v>43</v>
      </c>
      <c r="K382" s="26">
        <f>SUMIFS(INDEX(元データ_14項目!$D$2:$Q$1300,0,MATCH($B382,元データ_14項目!$D$1:$Q$1,0)),元データ_14項目!$A$2:$A$1300,$A382,元データ_14項目!$B$2:$B$1300,"本年",元データ_14項目!$C$2:$C$1300,K$5)</f>
        <v>150</v>
      </c>
      <c r="L382" s="26">
        <f>SUMIFS(INDEX(元データ_14項目!$D$2:$Q$1300,0,MATCH($B382,元データ_14項目!$D$1:$Q$1,0)),元データ_14項目!$A$2:$A$1300,$A382,元データ_14項目!$B$2:$B$1300,"本年",元データ_14項目!$C$2:$C$1300,L$5)</f>
        <v>110</v>
      </c>
      <c r="M382" s="26">
        <f>SUMIFS(INDEX(元データ_14項目!$D$2:$Q$1300,0,MATCH($B382,元データ_14項目!$D$1:$Q$1,0)),元データ_14項目!$A$2:$A$1300,$A382,元データ_14項目!$B$2:$B$1300,"本年",元データ_14項目!$C$2:$C$1300,M$5)</f>
        <v>30</v>
      </c>
      <c r="N382" s="26">
        <f>SUMIFS(INDEX(元データ_14項目!$D$2:$Q$1300,0,MATCH($B382,元データ_14項目!$D$1:$Q$1,0)),元データ_14項目!$A$2:$A$1300,$A382,元データ_14項目!$B$2:$B$1300,"本年",元データ_14項目!$C$2:$C$1300,N$5)</f>
        <v>9</v>
      </c>
      <c r="O382" s="26">
        <f t="shared" si="10"/>
        <v>411</v>
      </c>
      <c r="P382" s="26">
        <f>SUMIFS(INDEX(元データ_14項目!$D$2:$Q$1300,0,MATCH($B382,元データ_14項目!$D$1:$Q$1,0)),元データ_14項目!$A$2:$A$1300,$A382,元データ_14項目!$B$2:$B$1300,"前年")</f>
        <v>384</v>
      </c>
      <c r="Q382" s="7">
        <f t="shared" si="11"/>
        <v>1.0703125</v>
      </c>
    </row>
    <row r="383" spans="1:17" x14ac:dyDescent="0.45">
      <c r="A383" t="s">
        <v>61</v>
      </c>
      <c r="B383" t="s">
        <v>99</v>
      </c>
      <c r="C383" s="26">
        <f>SUMIFS(INDEX(元データ_14項目!$D$2:$Q$1300,0,MATCH($B383,元データ_14項目!$D$1:$Q$1,0)),元データ_14項目!$A$2:$A$1300,$A383,元データ_14項目!$B$2:$B$1300,"本年",元データ_14項目!$C$2:$C$1300,C$5)</f>
        <v>0</v>
      </c>
      <c r="D383" s="26">
        <f>SUMIFS(INDEX(元データ_14項目!$D$2:$Q$1300,0,MATCH($B383,元データ_14項目!$D$1:$Q$1,0)),元データ_14項目!$A$2:$A$1300,$A383,元データ_14項目!$B$2:$B$1300,"本年",元データ_14項目!$C$2:$C$1300,D$5)</f>
        <v>0</v>
      </c>
      <c r="E383" s="26">
        <f>SUMIFS(INDEX(元データ_14項目!$D$2:$Q$1300,0,MATCH($B383,元データ_14項目!$D$1:$Q$1,0)),元データ_14項目!$A$2:$A$1300,$A383,元データ_14項目!$B$2:$B$1300,"本年",元データ_14項目!$C$2:$C$1300,E$5)</f>
        <v>0</v>
      </c>
      <c r="F383" s="26">
        <f>SUMIFS(INDEX(元データ_14項目!$D$2:$Q$1300,0,MATCH($B383,元データ_14項目!$D$1:$Q$1,0)),元データ_14項目!$A$2:$A$1300,$A383,元データ_14項目!$B$2:$B$1300,"本年",元データ_14項目!$C$2:$C$1300,F$5)</f>
        <v>0</v>
      </c>
      <c r="G383" s="26">
        <f>SUMIFS(INDEX(元データ_14項目!$D$2:$Q$1300,0,MATCH($B383,元データ_14項目!$D$1:$Q$1,0)),元データ_14項目!$A$2:$A$1300,$A383,元データ_14項目!$B$2:$B$1300,"本年",元データ_14項目!$C$2:$C$1300,G$5)</f>
        <v>0</v>
      </c>
      <c r="H383" s="26">
        <f>SUMIFS(INDEX(元データ_14項目!$D$2:$Q$1300,0,MATCH($B383,元データ_14項目!$D$1:$Q$1,0)),元データ_14項目!$A$2:$A$1300,$A383,元データ_14項目!$B$2:$B$1300,"本年",元データ_14項目!$C$2:$C$1300,H$5)</f>
        <v>0</v>
      </c>
      <c r="I383" s="26">
        <f>SUMIFS(INDEX(元データ_14項目!$D$2:$Q$1300,0,MATCH($B383,元データ_14項目!$D$1:$Q$1,0)),元データ_14項目!$A$2:$A$1300,$A383,元データ_14項目!$B$2:$B$1300,"本年",元データ_14項目!$C$2:$C$1300,I$5)</f>
        <v>2</v>
      </c>
      <c r="J383" s="26">
        <f>SUMIFS(INDEX(元データ_14項目!$D$2:$Q$1300,0,MATCH($B383,元データ_14項目!$D$1:$Q$1,0)),元データ_14項目!$A$2:$A$1300,$A383,元データ_14項目!$B$2:$B$1300,"本年",元データ_14項目!$C$2:$C$1300,J$5)</f>
        <v>0</v>
      </c>
      <c r="K383" s="26">
        <f>SUMIFS(INDEX(元データ_14項目!$D$2:$Q$1300,0,MATCH($B383,元データ_14項目!$D$1:$Q$1,0)),元データ_14項目!$A$2:$A$1300,$A383,元データ_14項目!$B$2:$B$1300,"本年",元データ_14項目!$C$2:$C$1300,K$5)</f>
        <v>3</v>
      </c>
      <c r="L383" s="26">
        <f>SUMIFS(INDEX(元データ_14項目!$D$2:$Q$1300,0,MATCH($B383,元データ_14項目!$D$1:$Q$1,0)),元データ_14項目!$A$2:$A$1300,$A383,元データ_14項目!$B$2:$B$1300,"本年",元データ_14項目!$C$2:$C$1300,L$5)</f>
        <v>5</v>
      </c>
      <c r="M383" s="26">
        <f>SUMIFS(INDEX(元データ_14項目!$D$2:$Q$1300,0,MATCH($B383,元データ_14項目!$D$1:$Q$1,0)),元データ_14項目!$A$2:$A$1300,$A383,元データ_14項目!$B$2:$B$1300,"本年",元データ_14項目!$C$2:$C$1300,M$5)</f>
        <v>6</v>
      </c>
      <c r="N383" s="26">
        <f>SUMIFS(INDEX(元データ_14項目!$D$2:$Q$1300,0,MATCH($B383,元データ_14項目!$D$1:$Q$1,0)),元データ_14項目!$A$2:$A$1300,$A383,元データ_14項目!$B$2:$B$1300,"本年",元データ_14項目!$C$2:$C$1300,N$5)</f>
        <v>0</v>
      </c>
      <c r="O383" s="26">
        <f t="shared" si="10"/>
        <v>16</v>
      </c>
      <c r="P383" s="26">
        <f>SUMIFS(INDEX(元データ_14項目!$D$2:$Q$1300,0,MATCH($B383,元データ_14項目!$D$1:$Q$1,0)),元データ_14項目!$A$2:$A$1300,$A383,元データ_14項目!$B$2:$B$1300,"前年")</f>
        <v>20</v>
      </c>
      <c r="Q383" s="7">
        <f t="shared" si="11"/>
        <v>0.8</v>
      </c>
    </row>
    <row r="384" spans="1:17" x14ac:dyDescent="0.45">
      <c r="A384" t="s">
        <v>62</v>
      </c>
      <c r="B384" t="s">
        <v>27</v>
      </c>
      <c r="C384" s="26">
        <f>SUMIFS(INDEX(元データ_14項目!$D$2:$Q$1300,0,MATCH($B384,元データ_14項目!$D$1:$Q$1,0)),元データ_14項目!$A$2:$A$1300,$A384,元データ_14項目!$B$2:$B$1300,"本年",元データ_14項目!$C$2:$C$1300,C$5)</f>
        <v>1094</v>
      </c>
      <c r="D384" s="26">
        <f>SUMIFS(INDEX(元データ_14項目!$D$2:$Q$1300,0,MATCH($B384,元データ_14項目!$D$1:$Q$1,0)),元データ_14項目!$A$2:$A$1300,$A384,元データ_14項目!$B$2:$B$1300,"本年",元データ_14項目!$C$2:$C$1300,D$5)</f>
        <v>1450</v>
      </c>
      <c r="E384" s="26">
        <f>SUMIFS(INDEX(元データ_14項目!$D$2:$Q$1300,0,MATCH($B384,元データ_14項目!$D$1:$Q$1,0)),元データ_14項目!$A$2:$A$1300,$A384,元データ_14項目!$B$2:$B$1300,"本年",元データ_14項目!$C$2:$C$1300,E$5)</f>
        <v>1719</v>
      </c>
      <c r="F384" s="26">
        <f>SUMIFS(INDEX(元データ_14項目!$D$2:$Q$1300,0,MATCH($B384,元データ_14項目!$D$1:$Q$1,0)),元データ_14項目!$A$2:$A$1300,$A384,元データ_14項目!$B$2:$B$1300,"本年",元データ_14項目!$C$2:$C$1300,F$5)</f>
        <v>1641</v>
      </c>
      <c r="G384" s="26">
        <f>SUMIFS(INDEX(元データ_14項目!$D$2:$Q$1300,0,MATCH($B384,元データ_14項目!$D$1:$Q$1,0)),元データ_14項目!$A$2:$A$1300,$A384,元データ_14項目!$B$2:$B$1300,"本年",元データ_14項目!$C$2:$C$1300,G$5)</f>
        <v>1644</v>
      </c>
      <c r="H384" s="26">
        <f>SUMIFS(INDEX(元データ_14項目!$D$2:$Q$1300,0,MATCH($B384,元データ_14項目!$D$1:$Q$1,0)),元データ_14項目!$A$2:$A$1300,$A384,元データ_14項目!$B$2:$B$1300,"本年",元データ_14項目!$C$2:$C$1300,H$5)</f>
        <v>1221</v>
      </c>
      <c r="I384" s="26">
        <f>SUMIFS(INDEX(元データ_14項目!$D$2:$Q$1300,0,MATCH($B384,元データ_14項目!$D$1:$Q$1,0)),元データ_14項目!$A$2:$A$1300,$A384,元データ_14項目!$B$2:$B$1300,"本年",元データ_14項目!$C$2:$C$1300,I$5)</f>
        <v>1215</v>
      </c>
      <c r="J384" s="26">
        <f>SUMIFS(INDEX(元データ_14項目!$D$2:$Q$1300,0,MATCH($B384,元データ_14項目!$D$1:$Q$1,0)),元データ_14項目!$A$2:$A$1300,$A384,元データ_14項目!$B$2:$B$1300,"本年",元データ_14項目!$C$2:$C$1300,J$5)</f>
        <v>1578</v>
      </c>
      <c r="K384" s="26">
        <f>SUMIFS(INDEX(元データ_14項目!$D$2:$Q$1300,0,MATCH($B384,元データ_14項目!$D$1:$Q$1,0)),元データ_14項目!$A$2:$A$1300,$A384,元データ_14項目!$B$2:$B$1300,"本年",元データ_14項目!$C$2:$C$1300,K$5)</f>
        <v>1596</v>
      </c>
      <c r="L384" s="26">
        <f>SUMIFS(INDEX(元データ_14項目!$D$2:$Q$1300,0,MATCH($B384,元データ_14項目!$D$1:$Q$1,0)),元データ_14項目!$A$2:$A$1300,$A384,元データ_14項目!$B$2:$B$1300,"本年",元データ_14項目!$C$2:$C$1300,L$5)</f>
        <v>1311</v>
      </c>
      <c r="M384" s="26">
        <f>SUMIFS(INDEX(元データ_14項目!$D$2:$Q$1300,0,MATCH($B384,元データ_14項目!$D$1:$Q$1,0)),元データ_14項目!$A$2:$A$1300,$A384,元データ_14項目!$B$2:$B$1300,"本年",元データ_14項目!$C$2:$C$1300,M$5)</f>
        <v>1645</v>
      </c>
      <c r="N384" s="26">
        <f>SUMIFS(INDEX(元データ_14項目!$D$2:$Q$1300,0,MATCH($B384,元データ_14項目!$D$1:$Q$1,0)),元データ_14項目!$A$2:$A$1300,$A384,元データ_14項目!$B$2:$B$1300,"本年",元データ_14項目!$C$2:$C$1300,N$5)</f>
        <v>1319</v>
      </c>
      <c r="O384" s="26">
        <f t="shared" si="10"/>
        <v>17433</v>
      </c>
      <c r="P384" s="26">
        <f>SUMIFS(INDEX(元データ_14項目!$D$2:$Q$1300,0,MATCH($B384,元データ_14項目!$D$1:$Q$1,0)),元データ_14項目!$A$2:$A$1300,$A384,元データ_14項目!$B$2:$B$1300,"前年")</f>
        <v>17752</v>
      </c>
      <c r="Q384" s="7">
        <f t="shared" si="11"/>
        <v>0.98203019378098244</v>
      </c>
    </row>
    <row r="385" spans="1:17" x14ac:dyDescent="0.45">
      <c r="A385" t="s">
        <v>62</v>
      </c>
      <c r="B385" t="s">
        <v>88</v>
      </c>
      <c r="C385" s="26">
        <f>SUMIFS(INDEX(元データ_14項目!$D$2:$Q$1300,0,MATCH($B385,元データ_14項目!$D$1:$Q$1,0)),元データ_14項目!$A$2:$A$1300,$A385,元データ_14項目!$B$2:$B$1300,"本年",元データ_14項目!$C$2:$C$1300,C$5)</f>
        <v>71</v>
      </c>
      <c r="D385" s="26">
        <f>SUMIFS(INDEX(元データ_14項目!$D$2:$Q$1300,0,MATCH($B385,元データ_14項目!$D$1:$Q$1,0)),元データ_14項目!$A$2:$A$1300,$A385,元データ_14項目!$B$2:$B$1300,"本年",元データ_14項目!$C$2:$C$1300,D$5)</f>
        <v>71</v>
      </c>
      <c r="E385" s="26">
        <f>SUMIFS(INDEX(元データ_14項目!$D$2:$Q$1300,0,MATCH($B385,元データ_14項目!$D$1:$Q$1,0)),元データ_14項目!$A$2:$A$1300,$A385,元データ_14項目!$B$2:$B$1300,"本年",元データ_14項目!$C$2:$C$1300,E$5)</f>
        <v>117</v>
      </c>
      <c r="F385" s="26">
        <f>SUMIFS(INDEX(元データ_14項目!$D$2:$Q$1300,0,MATCH($B385,元データ_14項目!$D$1:$Q$1,0)),元データ_14項目!$A$2:$A$1300,$A385,元データ_14項目!$B$2:$B$1300,"本年",元データ_14項目!$C$2:$C$1300,F$5)</f>
        <v>98</v>
      </c>
      <c r="G385" s="26">
        <f>SUMIFS(INDEX(元データ_14項目!$D$2:$Q$1300,0,MATCH($B385,元データ_14項目!$D$1:$Q$1,0)),元データ_14項目!$A$2:$A$1300,$A385,元データ_14項目!$B$2:$B$1300,"本年",元データ_14項目!$C$2:$C$1300,G$5)</f>
        <v>83</v>
      </c>
      <c r="H385" s="26">
        <f>SUMIFS(INDEX(元データ_14項目!$D$2:$Q$1300,0,MATCH($B385,元データ_14項目!$D$1:$Q$1,0)),元データ_14項目!$A$2:$A$1300,$A385,元データ_14項目!$B$2:$B$1300,"本年",元データ_14項目!$C$2:$C$1300,H$5)</f>
        <v>50</v>
      </c>
      <c r="I385" s="26">
        <f>SUMIFS(INDEX(元データ_14項目!$D$2:$Q$1300,0,MATCH($B385,元データ_14項目!$D$1:$Q$1,0)),元データ_14項目!$A$2:$A$1300,$A385,元データ_14項目!$B$2:$B$1300,"本年",元データ_14項目!$C$2:$C$1300,I$5)</f>
        <v>38</v>
      </c>
      <c r="J385" s="26">
        <f>SUMIFS(INDEX(元データ_14項目!$D$2:$Q$1300,0,MATCH($B385,元データ_14項目!$D$1:$Q$1,0)),元データ_14項目!$A$2:$A$1300,$A385,元データ_14項目!$B$2:$B$1300,"本年",元データ_14項目!$C$2:$C$1300,J$5)</f>
        <v>56</v>
      </c>
      <c r="K385" s="26">
        <f>SUMIFS(INDEX(元データ_14項目!$D$2:$Q$1300,0,MATCH($B385,元データ_14項目!$D$1:$Q$1,0)),元データ_14項目!$A$2:$A$1300,$A385,元データ_14項目!$B$2:$B$1300,"本年",元データ_14項目!$C$2:$C$1300,K$5)</f>
        <v>109</v>
      </c>
      <c r="L385" s="26">
        <f>SUMIFS(INDEX(元データ_14項目!$D$2:$Q$1300,0,MATCH($B385,元データ_14項目!$D$1:$Q$1,0)),元データ_14項目!$A$2:$A$1300,$A385,元データ_14項目!$B$2:$B$1300,"本年",元データ_14項目!$C$2:$C$1300,L$5)</f>
        <v>76</v>
      </c>
      <c r="M385" s="26">
        <f>SUMIFS(INDEX(元データ_14項目!$D$2:$Q$1300,0,MATCH($B385,元データ_14項目!$D$1:$Q$1,0)),元データ_14項目!$A$2:$A$1300,$A385,元データ_14項目!$B$2:$B$1300,"本年",元データ_14項目!$C$2:$C$1300,M$5)</f>
        <v>75</v>
      </c>
      <c r="N385" s="26">
        <f>SUMIFS(INDEX(元データ_14項目!$D$2:$Q$1300,0,MATCH($B385,元データ_14項目!$D$1:$Q$1,0)),元データ_14項目!$A$2:$A$1300,$A385,元データ_14項目!$B$2:$B$1300,"本年",元データ_14項目!$C$2:$C$1300,N$5)</f>
        <v>87</v>
      </c>
      <c r="O385" s="26">
        <f t="shared" si="10"/>
        <v>931</v>
      </c>
      <c r="P385" s="26">
        <f>SUMIFS(INDEX(元データ_14項目!$D$2:$Q$1300,0,MATCH($B385,元データ_14項目!$D$1:$Q$1,0)),元データ_14項目!$A$2:$A$1300,$A385,元データ_14項目!$B$2:$B$1300,"前年")</f>
        <v>809</v>
      </c>
      <c r="Q385" s="7">
        <f t="shared" si="11"/>
        <v>1.1508034610630409</v>
      </c>
    </row>
    <row r="386" spans="1:17" x14ac:dyDescent="0.45">
      <c r="A386" t="s">
        <v>62</v>
      </c>
      <c r="B386" t="s">
        <v>89</v>
      </c>
      <c r="C386" s="26">
        <f>SUMIFS(INDEX(元データ_14項目!$D$2:$Q$1300,0,MATCH($B386,元データ_14項目!$D$1:$Q$1,0)),元データ_14項目!$A$2:$A$1300,$A386,元データ_14項目!$B$2:$B$1300,"本年",元データ_14項目!$C$2:$C$1300,C$5)</f>
        <v>37</v>
      </c>
      <c r="D386" s="26">
        <f>SUMIFS(INDEX(元データ_14項目!$D$2:$Q$1300,0,MATCH($B386,元データ_14項目!$D$1:$Q$1,0)),元データ_14項目!$A$2:$A$1300,$A386,元データ_14項目!$B$2:$B$1300,"本年",元データ_14項目!$C$2:$C$1300,D$5)</f>
        <v>54</v>
      </c>
      <c r="E386" s="26">
        <f>SUMIFS(INDEX(元データ_14項目!$D$2:$Q$1300,0,MATCH($B386,元データ_14項目!$D$1:$Q$1,0)),元データ_14項目!$A$2:$A$1300,$A386,元データ_14項目!$B$2:$B$1300,"本年",元データ_14項目!$C$2:$C$1300,E$5)</f>
        <v>112</v>
      </c>
      <c r="F386" s="26">
        <f>SUMIFS(INDEX(元データ_14項目!$D$2:$Q$1300,0,MATCH($B386,元データ_14項目!$D$1:$Q$1,0)),元データ_14項目!$A$2:$A$1300,$A386,元データ_14項目!$B$2:$B$1300,"本年",元データ_14項目!$C$2:$C$1300,F$5)</f>
        <v>91</v>
      </c>
      <c r="G386" s="26">
        <f>SUMIFS(INDEX(元データ_14項目!$D$2:$Q$1300,0,MATCH($B386,元データ_14項目!$D$1:$Q$1,0)),元データ_14項目!$A$2:$A$1300,$A386,元データ_14項目!$B$2:$B$1300,"本年",元データ_14項目!$C$2:$C$1300,G$5)</f>
        <v>70</v>
      </c>
      <c r="H386" s="26">
        <f>SUMIFS(INDEX(元データ_14項目!$D$2:$Q$1300,0,MATCH($B386,元データ_14項目!$D$1:$Q$1,0)),元データ_14項目!$A$2:$A$1300,$A386,元データ_14項目!$B$2:$B$1300,"本年",元データ_14項目!$C$2:$C$1300,H$5)</f>
        <v>28</v>
      </c>
      <c r="I386" s="26">
        <f>SUMIFS(INDEX(元データ_14項目!$D$2:$Q$1300,0,MATCH($B386,元データ_14項目!$D$1:$Q$1,0)),元データ_14項目!$A$2:$A$1300,$A386,元データ_14項目!$B$2:$B$1300,"本年",元データ_14項目!$C$2:$C$1300,I$5)</f>
        <v>29</v>
      </c>
      <c r="J386" s="26">
        <f>SUMIFS(INDEX(元データ_14項目!$D$2:$Q$1300,0,MATCH($B386,元データ_14項目!$D$1:$Q$1,0)),元データ_14項目!$A$2:$A$1300,$A386,元データ_14項目!$B$2:$B$1300,"本年",元データ_14項目!$C$2:$C$1300,J$5)</f>
        <v>60</v>
      </c>
      <c r="K386" s="26">
        <f>SUMIFS(INDEX(元データ_14項目!$D$2:$Q$1300,0,MATCH($B386,元データ_14項目!$D$1:$Q$1,0)),元データ_14項目!$A$2:$A$1300,$A386,元データ_14項目!$B$2:$B$1300,"本年",元データ_14項目!$C$2:$C$1300,K$5)</f>
        <v>91</v>
      </c>
      <c r="L386" s="26">
        <f>SUMIFS(INDEX(元データ_14項目!$D$2:$Q$1300,0,MATCH($B386,元データ_14項目!$D$1:$Q$1,0)),元データ_14項目!$A$2:$A$1300,$A386,元データ_14項目!$B$2:$B$1300,"本年",元データ_14項目!$C$2:$C$1300,L$5)</f>
        <v>82</v>
      </c>
      <c r="M386" s="26">
        <f>SUMIFS(INDEX(元データ_14項目!$D$2:$Q$1300,0,MATCH($B386,元データ_14項目!$D$1:$Q$1,0)),元データ_14項目!$A$2:$A$1300,$A386,元データ_14項目!$B$2:$B$1300,"本年",元データ_14項目!$C$2:$C$1300,M$5)</f>
        <v>75</v>
      </c>
      <c r="N386" s="26">
        <f>SUMIFS(INDEX(元データ_14項目!$D$2:$Q$1300,0,MATCH($B386,元データ_14項目!$D$1:$Q$1,0)),元データ_14項目!$A$2:$A$1300,$A386,元データ_14項目!$B$2:$B$1300,"本年",元データ_14項目!$C$2:$C$1300,N$5)</f>
        <v>48</v>
      </c>
      <c r="O386" s="26">
        <f t="shared" si="10"/>
        <v>777</v>
      </c>
      <c r="P386" s="26">
        <f>SUMIFS(INDEX(元データ_14項目!$D$2:$Q$1300,0,MATCH($B386,元データ_14項目!$D$1:$Q$1,0)),元データ_14項目!$A$2:$A$1300,$A386,元データ_14項目!$B$2:$B$1300,"前年")</f>
        <v>715</v>
      </c>
      <c r="Q386" s="7">
        <f t="shared" si="11"/>
        <v>1.0867132867132867</v>
      </c>
    </row>
    <row r="387" spans="1:17" x14ac:dyDescent="0.45">
      <c r="A387" t="s">
        <v>62</v>
      </c>
      <c r="B387" t="s">
        <v>90</v>
      </c>
      <c r="C387" s="26">
        <f>SUMIFS(INDEX(元データ_14項目!$D$2:$Q$1300,0,MATCH($B387,元データ_14項目!$D$1:$Q$1,0)),元データ_14項目!$A$2:$A$1300,$A387,元データ_14項目!$B$2:$B$1300,"本年",元データ_14項目!$C$2:$C$1300,C$5)</f>
        <v>111</v>
      </c>
      <c r="D387" s="26">
        <f>SUMIFS(INDEX(元データ_14項目!$D$2:$Q$1300,0,MATCH($B387,元データ_14項目!$D$1:$Q$1,0)),元データ_14項目!$A$2:$A$1300,$A387,元データ_14項目!$B$2:$B$1300,"本年",元データ_14項目!$C$2:$C$1300,D$5)</f>
        <v>80</v>
      </c>
      <c r="E387" s="26">
        <f>SUMIFS(INDEX(元データ_14項目!$D$2:$Q$1300,0,MATCH($B387,元データ_14項目!$D$1:$Q$1,0)),元データ_14項目!$A$2:$A$1300,$A387,元データ_14項目!$B$2:$B$1300,"本年",元データ_14項目!$C$2:$C$1300,E$5)</f>
        <v>174</v>
      </c>
      <c r="F387" s="26">
        <f>SUMIFS(INDEX(元データ_14項目!$D$2:$Q$1300,0,MATCH($B387,元データ_14項目!$D$1:$Q$1,0)),元データ_14項目!$A$2:$A$1300,$A387,元データ_14項目!$B$2:$B$1300,"本年",元データ_14項目!$C$2:$C$1300,F$5)</f>
        <v>259</v>
      </c>
      <c r="G387" s="26">
        <f>SUMIFS(INDEX(元データ_14項目!$D$2:$Q$1300,0,MATCH($B387,元データ_14項目!$D$1:$Q$1,0)),元データ_14項目!$A$2:$A$1300,$A387,元データ_14項目!$B$2:$B$1300,"本年",元データ_14項目!$C$2:$C$1300,G$5)</f>
        <v>361</v>
      </c>
      <c r="H387" s="26">
        <f>SUMIFS(INDEX(元データ_14項目!$D$2:$Q$1300,0,MATCH($B387,元データ_14項目!$D$1:$Q$1,0)),元データ_14項目!$A$2:$A$1300,$A387,元データ_14項目!$B$2:$B$1300,"本年",元データ_14項目!$C$2:$C$1300,H$5)</f>
        <v>233</v>
      </c>
      <c r="I387" s="26">
        <f>SUMIFS(INDEX(元データ_14項目!$D$2:$Q$1300,0,MATCH($B387,元データ_14項目!$D$1:$Q$1,0)),元データ_14項目!$A$2:$A$1300,$A387,元データ_14項目!$B$2:$B$1300,"本年",元データ_14項目!$C$2:$C$1300,I$5)</f>
        <v>170</v>
      </c>
      <c r="J387" s="26">
        <f>SUMIFS(INDEX(元データ_14項目!$D$2:$Q$1300,0,MATCH($B387,元データ_14項目!$D$1:$Q$1,0)),元データ_14項目!$A$2:$A$1300,$A387,元データ_14項目!$B$2:$B$1300,"本年",元データ_14項目!$C$2:$C$1300,J$5)</f>
        <v>368</v>
      </c>
      <c r="K387" s="26">
        <f>SUMIFS(INDEX(元データ_14項目!$D$2:$Q$1300,0,MATCH($B387,元データ_14項目!$D$1:$Q$1,0)),元データ_14項目!$A$2:$A$1300,$A387,元データ_14項目!$B$2:$B$1300,"本年",元データ_14項目!$C$2:$C$1300,K$5)</f>
        <v>468</v>
      </c>
      <c r="L387" s="26">
        <f>SUMIFS(INDEX(元データ_14項目!$D$2:$Q$1300,0,MATCH($B387,元データ_14項目!$D$1:$Q$1,0)),元データ_14項目!$A$2:$A$1300,$A387,元データ_14項目!$B$2:$B$1300,"本年",元データ_14項目!$C$2:$C$1300,L$5)</f>
        <v>310</v>
      </c>
      <c r="M387" s="26">
        <f>SUMIFS(INDEX(元データ_14項目!$D$2:$Q$1300,0,MATCH($B387,元データ_14項目!$D$1:$Q$1,0)),元データ_14項目!$A$2:$A$1300,$A387,元データ_14項目!$B$2:$B$1300,"本年",元データ_14項目!$C$2:$C$1300,M$5)</f>
        <v>273</v>
      </c>
      <c r="N387" s="26">
        <f>SUMIFS(INDEX(元データ_14項目!$D$2:$Q$1300,0,MATCH($B387,元データ_14項目!$D$1:$Q$1,0)),元データ_14項目!$A$2:$A$1300,$A387,元データ_14項目!$B$2:$B$1300,"本年",元データ_14項目!$C$2:$C$1300,N$5)</f>
        <v>153</v>
      </c>
      <c r="O387" s="26">
        <f t="shared" si="10"/>
        <v>2960</v>
      </c>
      <c r="P387" s="26">
        <f>SUMIFS(INDEX(元データ_14項目!$D$2:$Q$1300,0,MATCH($B387,元データ_14項目!$D$1:$Q$1,0)),元データ_14項目!$A$2:$A$1300,$A387,元データ_14項目!$B$2:$B$1300,"前年")</f>
        <v>2825</v>
      </c>
      <c r="Q387" s="7">
        <f t="shared" si="11"/>
        <v>1.047787610619469</v>
      </c>
    </row>
    <row r="388" spans="1:17" x14ac:dyDescent="0.45">
      <c r="A388" t="s">
        <v>62</v>
      </c>
      <c r="B388" t="s">
        <v>91</v>
      </c>
      <c r="C388" s="26">
        <f>SUMIFS(INDEX(元データ_14項目!$D$2:$Q$1300,0,MATCH($B388,元データ_14項目!$D$1:$Q$1,0)),元データ_14項目!$A$2:$A$1300,$A388,元データ_14項目!$B$2:$B$1300,"本年",元データ_14項目!$C$2:$C$1300,C$5)</f>
        <v>43</v>
      </c>
      <c r="D388" s="26">
        <f>SUMIFS(INDEX(元データ_14項目!$D$2:$Q$1300,0,MATCH($B388,元データ_14項目!$D$1:$Q$1,0)),元データ_14項目!$A$2:$A$1300,$A388,元データ_14項目!$B$2:$B$1300,"本年",元データ_14項目!$C$2:$C$1300,D$5)</f>
        <v>96</v>
      </c>
      <c r="E388" s="26">
        <f>SUMIFS(INDEX(元データ_14項目!$D$2:$Q$1300,0,MATCH($B388,元データ_14項目!$D$1:$Q$1,0)),元データ_14項目!$A$2:$A$1300,$A388,元データ_14項目!$B$2:$B$1300,"本年",元データ_14項目!$C$2:$C$1300,E$5)</f>
        <v>152</v>
      </c>
      <c r="F388" s="26">
        <f>SUMIFS(INDEX(元データ_14項目!$D$2:$Q$1300,0,MATCH($B388,元データ_14項目!$D$1:$Q$1,0)),元データ_14項目!$A$2:$A$1300,$A388,元データ_14項目!$B$2:$B$1300,"本年",元データ_14項目!$C$2:$C$1300,F$5)</f>
        <v>66</v>
      </c>
      <c r="G388" s="26">
        <f>SUMIFS(INDEX(元データ_14項目!$D$2:$Q$1300,0,MATCH($B388,元データ_14項目!$D$1:$Q$1,0)),元データ_14項目!$A$2:$A$1300,$A388,元データ_14項目!$B$2:$B$1300,"本年",元データ_14項目!$C$2:$C$1300,G$5)</f>
        <v>35</v>
      </c>
      <c r="H388" s="26">
        <f>SUMIFS(INDEX(元データ_14項目!$D$2:$Q$1300,0,MATCH($B388,元データ_14項目!$D$1:$Q$1,0)),元データ_14項目!$A$2:$A$1300,$A388,元データ_14項目!$B$2:$B$1300,"本年",元データ_14項目!$C$2:$C$1300,H$5)</f>
        <v>17</v>
      </c>
      <c r="I388" s="26">
        <f>SUMIFS(INDEX(元データ_14項目!$D$2:$Q$1300,0,MATCH($B388,元データ_14項目!$D$1:$Q$1,0)),元データ_14項目!$A$2:$A$1300,$A388,元データ_14項目!$B$2:$B$1300,"本年",元データ_14項目!$C$2:$C$1300,I$5)</f>
        <v>61</v>
      </c>
      <c r="J388" s="26">
        <f>SUMIFS(INDEX(元データ_14項目!$D$2:$Q$1300,0,MATCH($B388,元データ_14項目!$D$1:$Q$1,0)),元データ_14項目!$A$2:$A$1300,$A388,元データ_14項目!$B$2:$B$1300,"本年",元データ_14項目!$C$2:$C$1300,J$5)</f>
        <v>19</v>
      </c>
      <c r="K388" s="26">
        <f>SUMIFS(INDEX(元データ_14項目!$D$2:$Q$1300,0,MATCH($B388,元データ_14項目!$D$1:$Q$1,0)),元データ_14項目!$A$2:$A$1300,$A388,元データ_14項目!$B$2:$B$1300,"本年",元データ_14項目!$C$2:$C$1300,K$5)</f>
        <v>36</v>
      </c>
      <c r="L388" s="26">
        <f>SUMIFS(INDEX(元データ_14項目!$D$2:$Q$1300,0,MATCH($B388,元データ_14項目!$D$1:$Q$1,0)),元データ_14項目!$A$2:$A$1300,$A388,元データ_14項目!$B$2:$B$1300,"本年",元データ_14項目!$C$2:$C$1300,L$5)</f>
        <v>55</v>
      </c>
      <c r="M388" s="26">
        <f>SUMIFS(INDEX(元データ_14項目!$D$2:$Q$1300,0,MATCH($B388,元データ_14項目!$D$1:$Q$1,0)),元データ_14項目!$A$2:$A$1300,$A388,元データ_14項目!$B$2:$B$1300,"本年",元データ_14項目!$C$2:$C$1300,M$5)</f>
        <v>89</v>
      </c>
      <c r="N388" s="26">
        <f>SUMIFS(INDEX(元データ_14項目!$D$2:$Q$1300,0,MATCH($B388,元データ_14項目!$D$1:$Q$1,0)),元データ_14項目!$A$2:$A$1300,$A388,元データ_14項目!$B$2:$B$1300,"本年",元データ_14項目!$C$2:$C$1300,N$5)</f>
        <v>64</v>
      </c>
      <c r="O388" s="26">
        <f t="shared" si="10"/>
        <v>733</v>
      </c>
      <c r="P388" s="26">
        <f>SUMIFS(INDEX(元データ_14項目!$D$2:$Q$1300,0,MATCH($B388,元データ_14項目!$D$1:$Q$1,0)),元データ_14項目!$A$2:$A$1300,$A388,元データ_14項目!$B$2:$B$1300,"前年")</f>
        <v>552</v>
      </c>
      <c r="Q388" s="7">
        <f t="shared" si="11"/>
        <v>1.3278985507246377</v>
      </c>
    </row>
    <row r="389" spans="1:17" x14ac:dyDescent="0.45">
      <c r="A389" t="s">
        <v>62</v>
      </c>
      <c r="B389" t="s">
        <v>28</v>
      </c>
      <c r="C389" s="26">
        <f>SUMIFS(INDEX(元データ_14項目!$D$2:$Q$1300,0,MATCH($B389,元データ_14項目!$D$1:$Q$1,0)),元データ_14項目!$A$2:$A$1300,$A389,元データ_14項目!$B$2:$B$1300,"本年",元データ_14項目!$C$2:$C$1300,C$5)</f>
        <v>378</v>
      </c>
      <c r="D389" s="26">
        <f>SUMIFS(INDEX(元データ_14項目!$D$2:$Q$1300,0,MATCH($B389,元データ_14項目!$D$1:$Q$1,0)),元データ_14項目!$A$2:$A$1300,$A389,元データ_14項目!$B$2:$B$1300,"本年",元データ_14項目!$C$2:$C$1300,D$5)</f>
        <v>402</v>
      </c>
      <c r="E389" s="26">
        <f>SUMIFS(INDEX(元データ_14項目!$D$2:$Q$1300,0,MATCH($B389,元データ_14項目!$D$1:$Q$1,0)),元データ_14項目!$A$2:$A$1300,$A389,元データ_14項目!$B$2:$B$1300,"本年",元データ_14項目!$C$2:$C$1300,E$5)</f>
        <v>521</v>
      </c>
      <c r="F389" s="26">
        <f>SUMIFS(INDEX(元データ_14項目!$D$2:$Q$1300,0,MATCH($B389,元データ_14項目!$D$1:$Q$1,0)),元データ_14項目!$A$2:$A$1300,$A389,元データ_14項目!$B$2:$B$1300,"本年",元データ_14項目!$C$2:$C$1300,F$5)</f>
        <v>384</v>
      </c>
      <c r="G389" s="26">
        <f>SUMIFS(INDEX(元データ_14項目!$D$2:$Q$1300,0,MATCH($B389,元データ_14項目!$D$1:$Q$1,0)),元データ_14項目!$A$2:$A$1300,$A389,元データ_14項目!$B$2:$B$1300,"本年",元データ_14項目!$C$2:$C$1300,G$5)</f>
        <v>305</v>
      </c>
      <c r="H389" s="26">
        <f>SUMIFS(INDEX(元データ_14項目!$D$2:$Q$1300,0,MATCH($B389,元データ_14項目!$D$1:$Q$1,0)),元データ_14項目!$A$2:$A$1300,$A389,元データ_14項目!$B$2:$B$1300,"本年",元データ_14項目!$C$2:$C$1300,H$5)</f>
        <v>209</v>
      </c>
      <c r="I389" s="26">
        <f>SUMIFS(INDEX(元データ_14項目!$D$2:$Q$1300,0,MATCH($B389,元データ_14項目!$D$1:$Q$1,0)),元データ_14項目!$A$2:$A$1300,$A389,元データ_14項目!$B$2:$B$1300,"本年",元データ_14項目!$C$2:$C$1300,I$5)</f>
        <v>239</v>
      </c>
      <c r="J389" s="26">
        <f>SUMIFS(INDEX(元データ_14項目!$D$2:$Q$1300,0,MATCH($B389,元データ_14項目!$D$1:$Q$1,0)),元データ_14項目!$A$2:$A$1300,$A389,元データ_14項目!$B$2:$B$1300,"本年",元データ_14項目!$C$2:$C$1300,J$5)</f>
        <v>245</v>
      </c>
      <c r="K389" s="26">
        <f>SUMIFS(INDEX(元データ_14項目!$D$2:$Q$1300,0,MATCH($B389,元データ_14項目!$D$1:$Q$1,0)),元データ_14項目!$A$2:$A$1300,$A389,元データ_14項目!$B$2:$B$1300,"本年",元データ_14項目!$C$2:$C$1300,K$5)</f>
        <v>337</v>
      </c>
      <c r="L389" s="26">
        <f>SUMIFS(INDEX(元データ_14項目!$D$2:$Q$1300,0,MATCH($B389,元データ_14項目!$D$1:$Q$1,0)),元データ_14項目!$A$2:$A$1300,$A389,元データ_14項目!$B$2:$B$1300,"本年",元データ_14項目!$C$2:$C$1300,L$5)</f>
        <v>267</v>
      </c>
      <c r="M389" s="26">
        <f>SUMIFS(INDEX(元データ_14項目!$D$2:$Q$1300,0,MATCH($B389,元データ_14項目!$D$1:$Q$1,0)),元データ_14項目!$A$2:$A$1300,$A389,元データ_14項目!$B$2:$B$1300,"本年",元データ_14項目!$C$2:$C$1300,M$5)</f>
        <v>390</v>
      </c>
      <c r="N389" s="26">
        <f>SUMIFS(INDEX(元データ_14項目!$D$2:$Q$1300,0,MATCH($B389,元データ_14項目!$D$1:$Q$1,0)),元データ_14項目!$A$2:$A$1300,$A389,元データ_14項目!$B$2:$B$1300,"本年",元データ_14項目!$C$2:$C$1300,N$5)</f>
        <v>392</v>
      </c>
      <c r="O389" s="26">
        <f t="shared" si="10"/>
        <v>4069</v>
      </c>
      <c r="P389" s="26">
        <f>SUMIFS(INDEX(元データ_14項目!$D$2:$Q$1300,0,MATCH($B389,元データ_14項目!$D$1:$Q$1,0)),元データ_14項目!$A$2:$A$1300,$A389,元データ_14項目!$B$2:$B$1300,"前年")</f>
        <v>3831</v>
      </c>
      <c r="Q389" s="7">
        <f t="shared" si="11"/>
        <v>1.0621247716001043</v>
      </c>
    </row>
    <row r="390" spans="1:17" x14ac:dyDescent="0.45">
      <c r="A390" t="s">
        <v>62</v>
      </c>
      <c r="B390" t="s">
        <v>92</v>
      </c>
      <c r="C390" s="26">
        <f>SUMIFS(INDEX(元データ_14項目!$D$2:$Q$1300,0,MATCH($B390,元データ_14項目!$D$1:$Q$1,0)),元データ_14項目!$A$2:$A$1300,$A390,元データ_14項目!$B$2:$B$1300,"本年",元データ_14項目!$C$2:$C$1300,C$5)</f>
        <v>37</v>
      </c>
      <c r="D390" s="26">
        <f>SUMIFS(INDEX(元データ_14項目!$D$2:$Q$1300,0,MATCH($B390,元データ_14項目!$D$1:$Q$1,0)),元データ_14項目!$A$2:$A$1300,$A390,元データ_14項目!$B$2:$B$1300,"本年",元データ_14項目!$C$2:$C$1300,D$5)</f>
        <v>43</v>
      </c>
      <c r="E390" s="26">
        <f>SUMIFS(INDEX(元データ_14項目!$D$2:$Q$1300,0,MATCH($B390,元データ_14項目!$D$1:$Q$1,0)),元データ_14項目!$A$2:$A$1300,$A390,元データ_14項目!$B$2:$B$1300,"本年",元データ_14項目!$C$2:$C$1300,E$5)</f>
        <v>70</v>
      </c>
      <c r="F390" s="26">
        <f>SUMIFS(INDEX(元データ_14項目!$D$2:$Q$1300,0,MATCH($B390,元データ_14項目!$D$1:$Q$1,0)),元データ_14項目!$A$2:$A$1300,$A390,元データ_14項目!$B$2:$B$1300,"本年",元データ_14項目!$C$2:$C$1300,F$5)</f>
        <v>75</v>
      </c>
      <c r="G390" s="26">
        <f>SUMIFS(INDEX(元データ_14項目!$D$2:$Q$1300,0,MATCH($B390,元データ_14項目!$D$1:$Q$1,0)),元データ_14項目!$A$2:$A$1300,$A390,元データ_14項目!$B$2:$B$1300,"本年",元データ_14項目!$C$2:$C$1300,G$5)</f>
        <v>52</v>
      </c>
      <c r="H390" s="26">
        <f>SUMIFS(INDEX(元データ_14項目!$D$2:$Q$1300,0,MATCH($B390,元データ_14項目!$D$1:$Q$1,0)),元データ_14項目!$A$2:$A$1300,$A390,元データ_14項目!$B$2:$B$1300,"本年",元データ_14項目!$C$2:$C$1300,H$5)</f>
        <v>27</v>
      </c>
      <c r="I390" s="26">
        <f>SUMIFS(INDEX(元データ_14項目!$D$2:$Q$1300,0,MATCH($B390,元データ_14項目!$D$1:$Q$1,0)),元データ_14項目!$A$2:$A$1300,$A390,元データ_14項目!$B$2:$B$1300,"本年",元データ_14項目!$C$2:$C$1300,I$5)</f>
        <v>26</v>
      </c>
      <c r="J390" s="26">
        <f>SUMIFS(INDEX(元データ_14項目!$D$2:$Q$1300,0,MATCH($B390,元データ_14項目!$D$1:$Q$1,0)),元データ_14項目!$A$2:$A$1300,$A390,元データ_14項目!$B$2:$B$1300,"本年",元データ_14項目!$C$2:$C$1300,J$5)</f>
        <v>59</v>
      </c>
      <c r="K390" s="26">
        <f>SUMIFS(INDEX(元データ_14項目!$D$2:$Q$1300,0,MATCH($B390,元データ_14項目!$D$1:$Q$1,0)),元データ_14項目!$A$2:$A$1300,$A390,元データ_14項目!$B$2:$B$1300,"本年",元データ_14項目!$C$2:$C$1300,K$5)</f>
        <v>133</v>
      </c>
      <c r="L390" s="26">
        <f>SUMIFS(INDEX(元データ_14項目!$D$2:$Q$1300,0,MATCH($B390,元データ_14項目!$D$1:$Q$1,0)),元データ_14項目!$A$2:$A$1300,$A390,元データ_14項目!$B$2:$B$1300,"本年",元データ_14項目!$C$2:$C$1300,L$5)</f>
        <v>73</v>
      </c>
      <c r="M390" s="26">
        <f>SUMIFS(INDEX(元データ_14項目!$D$2:$Q$1300,0,MATCH($B390,元データ_14項目!$D$1:$Q$1,0)),元データ_14項目!$A$2:$A$1300,$A390,元データ_14項目!$B$2:$B$1300,"本年",元データ_14項目!$C$2:$C$1300,M$5)</f>
        <v>70</v>
      </c>
      <c r="N390" s="26">
        <f>SUMIFS(INDEX(元データ_14項目!$D$2:$Q$1300,0,MATCH($B390,元データ_14項目!$D$1:$Q$1,0)),元データ_14項目!$A$2:$A$1300,$A390,元データ_14項目!$B$2:$B$1300,"本年",元データ_14項目!$C$2:$C$1300,N$5)</f>
        <v>35</v>
      </c>
      <c r="O390" s="26">
        <f t="shared" si="10"/>
        <v>700</v>
      </c>
      <c r="P390" s="26">
        <f>SUMIFS(INDEX(元データ_14項目!$D$2:$Q$1300,0,MATCH($B390,元データ_14項目!$D$1:$Q$1,0)),元データ_14項目!$A$2:$A$1300,$A390,元データ_14項目!$B$2:$B$1300,"前年")</f>
        <v>718</v>
      </c>
      <c r="Q390" s="7">
        <f t="shared" si="11"/>
        <v>0.97493036211699169</v>
      </c>
    </row>
    <row r="391" spans="1:17" x14ac:dyDescent="0.45">
      <c r="A391" t="s">
        <v>62</v>
      </c>
      <c r="B391" t="s">
        <v>93</v>
      </c>
      <c r="C391" s="26">
        <f>SUMIFS(INDEX(元データ_14項目!$D$2:$Q$1300,0,MATCH($B391,元データ_14項目!$D$1:$Q$1,0)),元データ_14項目!$A$2:$A$1300,$A391,元データ_14項目!$B$2:$B$1300,"本年",元データ_14項目!$C$2:$C$1300,C$5)</f>
        <v>30</v>
      </c>
      <c r="D391" s="26">
        <f>SUMIFS(INDEX(元データ_14項目!$D$2:$Q$1300,0,MATCH($B391,元データ_14項目!$D$1:$Q$1,0)),元データ_14項目!$A$2:$A$1300,$A391,元データ_14項目!$B$2:$B$1300,"本年",元データ_14項目!$C$2:$C$1300,D$5)</f>
        <v>37</v>
      </c>
      <c r="E391" s="26">
        <f>SUMIFS(INDEX(元データ_14項目!$D$2:$Q$1300,0,MATCH($B391,元データ_14項目!$D$1:$Q$1,0)),元データ_14項目!$A$2:$A$1300,$A391,元データ_14項目!$B$2:$B$1300,"本年",元データ_14項目!$C$2:$C$1300,E$5)</f>
        <v>76</v>
      </c>
      <c r="F391" s="26">
        <f>SUMIFS(INDEX(元データ_14項目!$D$2:$Q$1300,0,MATCH($B391,元データ_14項目!$D$1:$Q$1,0)),元データ_14項目!$A$2:$A$1300,$A391,元データ_14項目!$B$2:$B$1300,"本年",元データ_14項目!$C$2:$C$1300,F$5)</f>
        <v>80</v>
      </c>
      <c r="G391" s="26">
        <f>SUMIFS(INDEX(元データ_14項目!$D$2:$Q$1300,0,MATCH($B391,元データ_14項目!$D$1:$Q$1,0)),元データ_14項目!$A$2:$A$1300,$A391,元データ_14項目!$B$2:$B$1300,"本年",元データ_14項目!$C$2:$C$1300,G$5)</f>
        <v>119</v>
      </c>
      <c r="H391" s="26">
        <f>SUMIFS(INDEX(元データ_14項目!$D$2:$Q$1300,0,MATCH($B391,元データ_14項目!$D$1:$Q$1,0)),元データ_14項目!$A$2:$A$1300,$A391,元データ_14項目!$B$2:$B$1300,"本年",元データ_14項目!$C$2:$C$1300,H$5)</f>
        <v>91</v>
      </c>
      <c r="I391" s="26">
        <f>SUMIFS(INDEX(元データ_14項目!$D$2:$Q$1300,0,MATCH($B391,元データ_14項目!$D$1:$Q$1,0)),元データ_14項目!$A$2:$A$1300,$A391,元データ_14項目!$B$2:$B$1300,"本年",元データ_14項目!$C$2:$C$1300,I$5)</f>
        <v>78</v>
      </c>
      <c r="J391" s="26">
        <f>SUMIFS(INDEX(元データ_14項目!$D$2:$Q$1300,0,MATCH($B391,元データ_14項目!$D$1:$Q$1,0)),元データ_14項目!$A$2:$A$1300,$A391,元データ_14項目!$B$2:$B$1300,"本年",元データ_14項目!$C$2:$C$1300,J$5)</f>
        <v>158</v>
      </c>
      <c r="K391" s="26">
        <f>SUMIFS(INDEX(元データ_14項目!$D$2:$Q$1300,0,MATCH($B391,元データ_14項目!$D$1:$Q$1,0)),元データ_14項目!$A$2:$A$1300,$A391,元データ_14項目!$B$2:$B$1300,"本年",元データ_14項目!$C$2:$C$1300,K$5)</f>
        <v>598</v>
      </c>
      <c r="L391" s="26">
        <f>SUMIFS(INDEX(元データ_14項目!$D$2:$Q$1300,0,MATCH($B391,元データ_14項目!$D$1:$Q$1,0)),元データ_14項目!$A$2:$A$1300,$A391,元データ_14項目!$B$2:$B$1300,"本年",元データ_14項目!$C$2:$C$1300,L$5)</f>
        <v>239</v>
      </c>
      <c r="M391" s="26">
        <f>SUMIFS(INDEX(元データ_14項目!$D$2:$Q$1300,0,MATCH($B391,元データ_14項目!$D$1:$Q$1,0)),元データ_14項目!$A$2:$A$1300,$A391,元データ_14項目!$B$2:$B$1300,"本年",元データ_14項目!$C$2:$C$1300,M$5)</f>
        <v>106</v>
      </c>
      <c r="N391" s="26">
        <f>SUMIFS(INDEX(元データ_14項目!$D$2:$Q$1300,0,MATCH($B391,元データ_14項目!$D$1:$Q$1,0)),元データ_14項目!$A$2:$A$1300,$A391,元データ_14項目!$B$2:$B$1300,"本年",元データ_14項目!$C$2:$C$1300,N$5)</f>
        <v>34</v>
      </c>
      <c r="O391" s="26">
        <f t="shared" ref="O391:O454" si="12">SUM(C391:N391)</f>
        <v>1646</v>
      </c>
      <c r="P391" s="26">
        <f>SUMIFS(INDEX(元データ_14項目!$D$2:$Q$1300,0,MATCH($B391,元データ_14項目!$D$1:$Q$1,0)),元データ_14項目!$A$2:$A$1300,$A391,元データ_14項目!$B$2:$B$1300,"前年")</f>
        <v>1685</v>
      </c>
      <c r="Q391" s="7">
        <f t="shared" ref="Q391:Q454" si="13">IFERROR(O391/P391,"")</f>
        <v>0.97685459940652819</v>
      </c>
    </row>
    <row r="392" spans="1:17" x14ac:dyDescent="0.45">
      <c r="A392" t="s">
        <v>62</v>
      </c>
      <c r="B392" t="s">
        <v>94</v>
      </c>
      <c r="C392" s="26">
        <f>SUMIFS(INDEX(元データ_14項目!$D$2:$Q$1300,0,MATCH($B392,元データ_14項目!$D$1:$Q$1,0)),元データ_14項目!$A$2:$A$1300,$A392,元データ_14項目!$B$2:$B$1300,"本年",元データ_14項目!$C$2:$C$1300,C$5)</f>
        <v>16</v>
      </c>
      <c r="D392" s="26">
        <f>SUMIFS(INDEX(元データ_14項目!$D$2:$Q$1300,0,MATCH($B392,元データ_14項目!$D$1:$Q$1,0)),元データ_14項目!$A$2:$A$1300,$A392,元データ_14項目!$B$2:$B$1300,"本年",元データ_14項目!$C$2:$C$1300,D$5)</f>
        <v>29</v>
      </c>
      <c r="E392" s="26">
        <f>SUMIFS(INDEX(元データ_14項目!$D$2:$Q$1300,0,MATCH($B392,元データ_14項目!$D$1:$Q$1,0)),元データ_14項目!$A$2:$A$1300,$A392,元データ_14項目!$B$2:$B$1300,"本年",元データ_14項目!$C$2:$C$1300,E$5)</f>
        <v>55</v>
      </c>
      <c r="F392" s="26">
        <f>SUMIFS(INDEX(元データ_14項目!$D$2:$Q$1300,0,MATCH($B392,元データ_14項目!$D$1:$Q$1,0)),元データ_14項目!$A$2:$A$1300,$A392,元データ_14項目!$B$2:$B$1300,"本年",元データ_14項目!$C$2:$C$1300,F$5)</f>
        <v>62</v>
      </c>
      <c r="G392" s="26">
        <f>SUMIFS(INDEX(元データ_14項目!$D$2:$Q$1300,0,MATCH($B392,元データ_14項目!$D$1:$Q$1,0)),元データ_14項目!$A$2:$A$1300,$A392,元データ_14項目!$B$2:$B$1300,"本年",元データ_14項目!$C$2:$C$1300,G$5)</f>
        <v>52</v>
      </c>
      <c r="H392" s="26">
        <f>SUMIFS(INDEX(元データ_14項目!$D$2:$Q$1300,0,MATCH($B392,元データ_14項目!$D$1:$Q$1,0)),元データ_14項目!$A$2:$A$1300,$A392,元データ_14項目!$B$2:$B$1300,"本年",元データ_14項目!$C$2:$C$1300,H$5)</f>
        <v>27</v>
      </c>
      <c r="I392" s="26">
        <f>SUMIFS(INDEX(元データ_14項目!$D$2:$Q$1300,0,MATCH($B392,元データ_14項目!$D$1:$Q$1,0)),元データ_14項目!$A$2:$A$1300,$A392,元データ_14項目!$B$2:$B$1300,"本年",元データ_14項目!$C$2:$C$1300,I$5)</f>
        <v>24</v>
      </c>
      <c r="J392" s="26">
        <f>SUMIFS(INDEX(元データ_14項目!$D$2:$Q$1300,0,MATCH($B392,元データ_14項目!$D$1:$Q$1,0)),元データ_14項目!$A$2:$A$1300,$A392,元データ_14項目!$B$2:$B$1300,"本年",元データ_14項目!$C$2:$C$1300,J$5)</f>
        <v>38</v>
      </c>
      <c r="K392" s="26">
        <f>SUMIFS(INDEX(元データ_14項目!$D$2:$Q$1300,0,MATCH($B392,元データ_14項目!$D$1:$Q$1,0)),元データ_14項目!$A$2:$A$1300,$A392,元データ_14項目!$B$2:$B$1300,"本年",元データ_14項目!$C$2:$C$1300,K$5)</f>
        <v>162</v>
      </c>
      <c r="L392" s="26">
        <f>SUMIFS(INDEX(元データ_14項目!$D$2:$Q$1300,0,MATCH($B392,元データ_14項目!$D$1:$Q$1,0)),元データ_14項目!$A$2:$A$1300,$A392,元データ_14項目!$B$2:$B$1300,"本年",元データ_14項目!$C$2:$C$1300,L$5)</f>
        <v>122</v>
      </c>
      <c r="M392" s="26">
        <f>SUMIFS(INDEX(元データ_14項目!$D$2:$Q$1300,0,MATCH($B392,元データ_14項目!$D$1:$Q$1,0)),元データ_14項目!$A$2:$A$1300,$A392,元データ_14項目!$B$2:$B$1300,"本年",元データ_14項目!$C$2:$C$1300,M$5)</f>
        <v>72</v>
      </c>
      <c r="N392" s="26">
        <f>SUMIFS(INDEX(元データ_14項目!$D$2:$Q$1300,0,MATCH($B392,元データ_14項目!$D$1:$Q$1,0)),元データ_14項目!$A$2:$A$1300,$A392,元データ_14項目!$B$2:$B$1300,"本年",元データ_14項目!$C$2:$C$1300,N$5)</f>
        <v>52</v>
      </c>
      <c r="O392" s="26">
        <f t="shared" si="12"/>
        <v>711</v>
      </c>
      <c r="P392" s="26">
        <f>SUMIFS(INDEX(元データ_14項目!$D$2:$Q$1300,0,MATCH($B392,元データ_14項目!$D$1:$Q$1,0)),元データ_14項目!$A$2:$A$1300,$A392,元データ_14項目!$B$2:$B$1300,"前年")</f>
        <v>755</v>
      </c>
      <c r="Q392" s="7">
        <f t="shared" si="13"/>
        <v>0.94172185430463573</v>
      </c>
    </row>
    <row r="393" spans="1:17" x14ac:dyDescent="0.45">
      <c r="A393" t="s">
        <v>62</v>
      </c>
      <c r="B393" t="s">
        <v>95</v>
      </c>
      <c r="C393" s="26">
        <f>SUMIFS(INDEX(元データ_14項目!$D$2:$Q$1300,0,MATCH($B393,元データ_14項目!$D$1:$Q$1,0)),元データ_14項目!$A$2:$A$1300,$A393,元データ_14項目!$B$2:$B$1300,"本年",元データ_14項目!$C$2:$C$1300,C$5)</f>
        <v>41</v>
      </c>
      <c r="D393" s="26">
        <f>SUMIFS(INDEX(元データ_14項目!$D$2:$Q$1300,0,MATCH($B393,元データ_14項目!$D$1:$Q$1,0)),元データ_14項目!$A$2:$A$1300,$A393,元データ_14項目!$B$2:$B$1300,"本年",元データ_14項目!$C$2:$C$1300,D$5)</f>
        <v>67</v>
      </c>
      <c r="E393" s="26">
        <f>SUMIFS(INDEX(元データ_14項目!$D$2:$Q$1300,0,MATCH($B393,元データ_14項目!$D$1:$Q$1,0)),元データ_14項目!$A$2:$A$1300,$A393,元データ_14項目!$B$2:$B$1300,"本年",元データ_14項目!$C$2:$C$1300,E$5)</f>
        <v>105</v>
      </c>
      <c r="F393" s="26">
        <f>SUMIFS(INDEX(元データ_14項目!$D$2:$Q$1300,0,MATCH($B393,元データ_14項目!$D$1:$Q$1,0)),元データ_14項目!$A$2:$A$1300,$A393,元データ_14項目!$B$2:$B$1300,"本年",元データ_14項目!$C$2:$C$1300,F$5)</f>
        <v>75</v>
      </c>
      <c r="G393" s="26">
        <f>SUMIFS(INDEX(元データ_14項目!$D$2:$Q$1300,0,MATCH($B393,元データ_14項目!$D$1:$Q$1,0)),元データ_14項目!$A$2:$A$1300,$A393,元データ_14項目!$B$2:$B$1300,"本年",元データ_14項目!$C$2:$C$1300,G$5)</f>
        <v>60</v>
      </c>
      <c r="H393" s="26">
        <f>SUMIFS(INDEX(元データ_14項目!$D$2:$Q$1300,0,MATCH($B393,元データ_14項目!$D$1:$Q$1,0)),元データ_14項目!$A$2:$A$1300,$A393,元データ_14項目!$B$2:$B$1300,"本年",元データ_14項目!$C$2:$C$1300,H$5)</f>
        <v>38</v>
      </c>
      <c r="I393" s="26">
        <f>SUMIFS(INDEX(元データ_14項目!$D$2:$Q$1300,0,MATCH($B393,元データ_14項目!$D$1:$Q$1,0)),元データ_14項目!$A$2:$A$1300,$A393,元データ_14項目!$B$2:$B$1300,"本年",元データ_14項目!$C$2:$C$1300,I$5)</f>
        <v>34</v>
      </c>
      <c r="J393" s="26">
        <f>SUMIFS(INDEX(元データ_14項目!$D$2:$Q$1300,0,MATCH($B393,元データ_14項目!$D$1:$Q$1,0)),元データ_14項目!$A$2:$A$1300,$A393,元データ_14項目!$B$2:$B$1300,"本年",元データ_14項目!$C$2:$C$1300,J$5)</f>
        <v>59</v>
      </c>
      <c r="K393" s="26">
        <f>SUMIFS(INDEX(元データ_14項目!$D$2:$Q$1300,0,MATCH($B393,元データ_14項目!$D$1:$Q$1,0)),元データ_14項目!$A$2:$A$1300,$A393,元データ_14項目!$B$2:$B$1300,"本年",元データ_14項目!$C$2:$C$1300,K$5)</f>
        <v>134</v>
      </c>
      <c r="L393" s="26">
        <f>SUMIFS(INDEX(元データ_14項目!$D$2:$Q$1300,0,MATCH($B393,元データ_14項目!$D$1:$Q$1,0)),元データ_14項目!$A$2:$A$1300,$A393,元データ_14項目!$B$2:$B$1300,"本年",元データ_14項目!$C$2:$C$1300,L$5)</f>
        <v>75</v>
      </c>
      <c r="M393" s="26">
        <f>SUMIFS(INDEX(元データ_14項目!$D$2:$Q$1300,0,MATCH($B393,元データ_14項目!$D$1:$Q$1,0)),元データ_14項目!$A$2:$A$1300,$A393,元データ_14項目!$B$2:$B$1300,"本年",元データ_14項目!$C$2:$C$1300,M$5)</f>
        <v>72</v>
      </c>
      <c r="N393" s="26">
        <f>SUMIFS(INDEX(元データ_14項目!$D$2:$Q$1300,0,MATCH($B393,元データ_14項目!$D$1:$Q$1,0)),元データ_14項目!$A$2:$A$1300,$A393,元データ_14項目!$B$2:$B$1300,"本年",元データ_14項目!$C$2:$C$1300,N$5)</f>
        <v>50</v>
      </c>
      <c r="O393" s="26">
        <f t="shared" si="12"/>
        <v>810</v>
      </c>
      <c r="P393" s="26">
        <f>SUMIFS(INDEX(元データ_14項目!$D$2:$Q$1300,0,MATCH($B393,元データ_14項目!$D$1:$Q$1,0)),元データ_14項目!$A$2:$A$1300,$A393,元データ_14項目!$B$2:$B$1300,"前年")</f>
        <v>797</v>
      </c>
      <c r="Q393" s="7">
        <f t="shared" si="13"/>
        <v>1.0163111668757843</v>
      </c>
    </row>
    <row r="394" spans="1:17" x14ac:dyDescent="0.45">
      <c r="A394" t="s">
        <v>62</v>
      </c>
      <c r="B394" t="s">
        <v>96</v>
      </c>
      <c r="C394" s="26">
        <f>SUMIFS(INDEX(元データ_14項目!$D$2:$Q$1300,0,MATCH($B394,元データ_14項目!$D$1:$Q$1,0)),元データ_14項目!$A$2:$A$1300,$A394,元データ_14項目!$B$2:$B$1300,"本年",元データ_14項目!$C$2:$C$1300,C$5)</f>
        <v>37</v>
      </c>
      <c r="D394" s="26">
        <f>SUMIFS(INDEX(元データ_14項目!$D$2:$Q$1300,0,MATCH($B394,元データ_14項目!$D$1:$Q$1,0)),元データ_14項目!$A$2:$A$1300,$A394,元データ_14項目!$B$2:$B$1300,"本年",元データ_14項目!$C$2:$C$1300,D$5)</f>
        <v>23</v>
      </c>
      <c r="E394" s="26">
        <f>SUMIFS(INDEX(元データ_14項目!$D$2:$Q$1300,0,MATCH($B394,元データ_14項目!$D$1:$Q$1,0)),元データ_14項目!$A$2:$A$1300,$A394,元データ_14項目!$B$2:$B$1300,"本年",元データ_14項目!$C$2:$C$1300,E$5)</f>
        <v>84</v>
      </c>
      <c r="F394" s="26">
        <f>SUMIFS(INDEX(元データ_14項目!$D$2:$Q$1300,0,MATCH($B394,元データ_14項目!$D$1:$Q$1,0)),元データ_14項目!$A$2:$A$1300,$A394,元データ_14項目!$B$2:$B$1300,"本年",元データ_14項目!$C$2:$C$1300,F$5)</f>
        <v>90</v>
      </c>
      <c r="G394" s="26">
        <f>SUMIFS(INDEX(元データ_14項目!$D$2:$Q$1300,0,MATCH($B394,元データ_14項目!$D$1:$Q$1,0)),元データ_14項目!$A$2:$A$1300,$A394,元データ_14項目!$B$2:$B$1300,"本年",元データ_14項目!$C$2:$C$1300,G$5)</f>
        <v>116</v>
      </c>
      <c r="H394" s="26">
        <f>SUMIFS(INDEX(元データ_14項目!$D$2:$Q$1300,0,MATCH($B394,元データ_14項目!$D$1:$Q$1,0)),元データ_14項目!$A$2:$A$1300,$A394,元データ_14項目!$B$2:$B$1300,"本年",元データ_14項目!$C$2:$C$1300,H$5)</f>
        <v>86</v>
      </c>
      <c r="I394" s="26">
        <f>SUMIFS(INDEX(元データ_14項目!$D$2:$Q$1300,0,MATCH($B394,元データ_14項目!$D$1:$Q$1,0)),元データ_14項目!$A$2:$A$1300,$A394,元データ_14項目!$B$2:$B$1300,"本年",元データ_14項目!$C$2:$C$1300,I$5)</f>
        <v>53</v>
      </c>
      <c r="J394" s="26">
        <f>SUMIFS(INDEX(元データ_14項目!$D$2:$Q$1300,0,MATCH($B394,元データ_14項目!$D$1:$Q$1,0)),元データ_14項目!$A$2:$A$1300,$A394,元データ_14項目!$B$2:$B$1300,"本年",元データ_14項目!$C$2:$C$1300,J$5)</f>
        <v>290</v>
      </c>
      <c r="K394" s="26">
        <f>SUMIFS(INDEX(元データ_14項目!$D$2:$Q$1300,0,MATCH($B394,元データ_14項目!$D$1:$Q$1,0)),元データ_14項目!$A$2:$A$1300,$A394,元データ_14項目!$B$2:$B$1300,"本年",元データ_14項目!$C$2:$C$1300,K$5)</f>
        <v>733</v>
      </c>
      <c r="L394" s="26">
        <f>SUMIFS(INDEX(元データ_14項目!$D$2:$Q$1300,0,MATCH($B394,元データ_14項目!$D$1:$Q$1,0)),元データ_14項目!$A$2:$A$1300,$A394,元データ_14項目!$B$2:$B$1300,"本年",元データ_14項目!$C$2:$C$1300,L$5)</f>
        <v>355</v>
      </c>
      <c r="M394" s="26">
        <f>SUMIFS(INDEX(元データ_14項目!$D$2:$Q$1300,0,MATCH($B394,元データ_14項目!$D$1:$Q$1,0)),元データ_14項目!$A$2:$A$1300,$A394,元データ_14項目!$B$2:$B$1300,"本年",元データ_14項目!$C$2:$C$1300,M$5)</f>
        <v>201</v>
      </c>
      <c r="N394" s="26">
        <f>SUMIFS(INDEX(元データ_14項目!$D$2:$Q$1300,0,MATCH($B394,元データ_14項目!$D$1:$Q$1,0)),元データ_14項目!$A$2:$A$1300,$A394,元データ_14項目!$B$2:$B$1300,"本年",元データ_14項目!$C$2:$C$1300,N$5)</f>
        <v>83</v>
      </c>
      <c r="O394" s="26">
        <f t="shared" si="12"/>
        <v>2151</v>
      </c>
      <c r="P394" s="26">
        <f>SUMIFS(INDEX(元データ_14項目!$D$2:$Q$1300,0,MATCH($B394,元データ_14項目!$D$1:$Q$1,0)),元データ_14項目!$A$2:$A$1300,$A394,元データ_14項目!$B$2:$B$1300,"前年")</f>
        <v>2100</v>
      </c>
      <c r="Q394" s="7">
        <f t="shared" si="13"/>
        <v>1.0242857142857142</v>
      </c>
    </row>
    <row r="395" spans="1:17" x14ac:dyDescent="0.45">
      <c r="A395" t="s">
        <v>62</v>
      </c>
      <c r="B395" t="s">
        <v>97</v>
      </c>
      <c r="C395" s="26">
        <f>SUMIFS(INDEX(元データ_14項目!$D$2:$Q$1300,0,MATCH($B395,元データ_14項目!$D$1:$Q$1,0)),元データ_14項目!$A$2:$A$1300,$A395,元データ_14項目!$B$2:$B$1300,"本年",元データ_14項目!$C$2:$C$1300,C$5)</f>
        <v>41</v>
      </c>
      <c r="D395" s="26">
        <f>SUMIFS(INDEX(元データ_14項目!$D$2:$Q$1300,0,MATCH($B395,元データ_14項目!$D$1:$Q$1,0)),元データ_14項目!$A$2:$A$1300,$A395,元データ_14項目!$B$2:$B$1300,"本年",元データ_14項目!$C$2:$C$1300,D$5)</f>
        <v>40</v>
      </c>
      <c r="E395" s="26">
        <f>SUMIFS(INDEX(元データ_14項目!$D$2:$Q$1300,0,MATCH($B395,元データ_14項目!$D$1:$Q$1,0)),元データ_14項目!$A$2:$A$1300,$A395,元データ_14項目!$B$2:$B$1300,"本年",元データ_14項目!$C$2:$C$1300,E$5)</f>
        <v>87</v>
      </c>
      <c r="F395" s="26">
        <f>SUMIFS(INDEX(元データ_14項目!$D$2:$Q$1300,0,MATCH($B395,元データ_14項目!$D$1:$Q$1,0)),元データ_14項目!$A$2:$A$1300,$A395,元データ_14項目!$B$2:$B$1300,"本年",元データ_14項目!$C$2:$C$1300,F$5)</f>
        <v>78</v>
      </c>
      <c r="G395" s="26">
        <f>SUMIFS(INDEX(元データ_14項目!$D$2:$Q$1300,0,MATCH($B395,元データ_14項目!$D$1:$Q$1,0)),元データ_14項目!$A$2:$A$1300,$A395,元データ_14項目!$B$2:$B$1300,"本年",元データ_14項目!$C$2:$C$1300,G$5)</f>
        <v>93</v>
      </c>
      <c r="H395" s="26">
        <f>SUMIFS(INDEX(元データ_14項目!$D$2:$Q$1300,0,MATCH($B395,元データ_14項目!$D$1:$Q$1,0)),元データ_14項目!$A$2:$A$1300,$A395,元データ_14項目!$B$2:$B$1300,"本年",元データ_14項目!$C$2:$C$1300,H$5)</f>
        <v>47</v>
      </c>
      <c r="I395" s="26">
        <f>SUMIFS(INDEX(元データ_14項目!$D$2:$Q$1300,0,MATCH($B395,元データ_14項目!$D$1:$Q$1,0)),元データ_14項目!$A$2:$A$1300,$A395,元データ_14項目!$B$2:$B$1300,"本年",元データ_14項目!$C$2:$C$1300,I$5)</f>
        <v>40</v>
      </c>
      <c r="J395" s="26">
        <f>SUMIFS(INDEX(元データ_14項目!$D$2:$Q$1300,0,MATCH($B395,元データ_14項目!$D$1:$Q$1,0)),元データ_14項目!$A$2:$A$1300,$A395,元データ_14項目!$B$2:$B$1300,"本年",元データ_14項目!$C$2:$C$1300,J$5)</f>
        <v>148</v>
      </c>
      <c r="K395" s="26">
        <f>SUMIFS(INDEX(元データ_14項目!$D$2:$Q$1300,0,MATCH($B395,元データ_14項目!$D$1:$Q$1,0)),元データ_14項目!$A$2:$A$1300,$A395,元データ_14項目!$B$2:$B$1300,"本年",元データ_14項目!$C$2:$C$1300,K$5)</f>
        <v>403</v>
      </c>
      <c r="L395" s="26">
        <f>SUMIFS(INDEX(元データ_14項目!$D$2:$Q$1300,0,MATCH($B395,元データ_14項目!$D$1:$Q$1,0)),元データ_14項目!$A$2:$A$1300,$A395,元データ_14項目!$B$2:$B$1300,"本年",元データ_14項目!$C$2:$C$1300,L$5)</f>
        <v>228</v>
      </c>
      <c r="M395" s="26">
        <f>SUMIFS(INDEX(元データ_14項目!$D$2:$Q$1300,0,MATCH($B395,元データ_14項目!$D$1:$Q$1,0)),元データ_14項目!$A$2:$A$1300,$A395,元データ_14項目!$B$2:$B$1300,"本年",元データ_14項目!$C$2:$C$1300,M$5)</f>
        <v>153</v>
      </c>
      <c r="N395" s="26">
        <f>SUMIFS(INDEX(元データ_14項目!$D$2:$Q$1300,0,MATCH($B395,元データ_14項目!$D$1:$Q$1,0)),元データ_14項目!$A$2:$A$1300,$A395,元データ_14項目!$B$2:$B$1300,"本年",元データ_14項目!$C$2:$C$1300,N$5)</f>
        <v>52</v>
      </c>
      <c r="O395" s="26">
        <f t="shared" si="12"/>
        <v>1410</v>
      </c>
      <c r="P395" s="26">
        <f>SUMIFS(INDEX(元データ_14項目!$D$2:$Q$1300,0,MATCH($B395,元データ_14項目!$D$1:$Q$1,0)),元データ_14項目!$A$2:$A$1300,$A395,元データ_14項目!$B$2:$B$1300,"前年")</f>
        <v>1216</v>
      </c>
      <c r="Q395" s="7">
        <f t="shared" si="13"/>
        <v>1.1595394736842106</v>
      </c>
    </row>
    <row r="396" spans="1:17" x14ac:dyDescent="0.45">
      <c r="A396" t="s">
        <v>62</v>
      </c>
      <c r="B396" t="s">
        <v>98</v>
      </c>
      <c r="C396" s="26">
        <f>SUMIFS(INDEX(元データ_14項目!$D$2:$Q$1300,0,MATCH($B396,元データ_14項目!$D$1:$Q$1,0)),元データ_14項目!$A$2:$A$1300,$A396,元データ_14項目!$B$2:$B$1300,"本年",元データ_14項目!$C$2:$C$1300,C$5)</f>
        <v>11</v>
      </c>
      <c r="D396" s="26">
        <f>SUMIFS(INDEX(元データ_14項目!$D$2:$Q$1300,0,MATCH($B396,元データ_14項目!$D$1:$Q$1,0)),元データ_14項目!$A$2:$A$1300,$A396,元データ_14項目!$B$2:$B$1300,"本年",元データ_14項目!$C$2:$C$1300,D$5)</f>
        <v>5</v>
      </c>
      <c r="E396" s="26">
        <f>SUMIFS(INDEX(元データ_14項目!$D$2:$Q$1300,0,MATCH($B396,元データ_14項目!$D$1:$Q$1,0)),元データ_14項目!$A$2:$A$1300,$A396,元データ_14項目!$B$2:$B$1300,"本年",元データ_14項目!$C$2:$C$1300,E$5)</f>
        <v>41</v>
      </c>
      <c r="F396" s="26">
        <f>SUMIFS(INDEX(元データ_14項目!$D$2:$Q$1300,0,MATCH($B396,元データ_14項目!$D$1:$Q$1,0)),元データ_14項目!$A$2:$A$1300,$A396,元データ_14項目!$B$2:$B$1300,"本年",元データ_14項目!$C$2:$C$1300,F$5)</f>
        <v>15</v>
      </c>
      <c r="G396" s="26">
        <f>SUMIFS(INDEX(元データ_14項目!$D$2:$Q$1300,0,MATCH($B396,元データ_14項目!$D$1:$Q$1,0)),元データ_14項目!$A$2:$A$1300,$A396,元データ_14項目!$B$2:$B$1300,"本年",元データ_14項目!$C$2:$C$1300,G$5)</f>
        <v>29</v>
      </c>
      <c r="H396" s="26">
        <f>SUMIFS(INDEX(元データ_14項目!$D$2:$Q$1300,0,MATCH($B396,元データ_14項目!$D$1:$Q$1,0)),元データ_14項目!$A$2:$A$1300,$A396,元データ_14項目!$B$2:$B$1300,"本年",元データ_14項目!$C$2:$C$1300,H$5)</f>
        <v>11</v>
      </c>
      <c r="I396" s="26">
        <f>SUMIFS(INDEX(元データ_14項目!$D$2:$Q$1300,0,MATCH($B396,元データ_14項目!$D$1:$Q$1,0)),元データ_14項目!$A$2:$A$1300,$A396,元データ_14項目!$B$2:$B$1300,"本年",元データ_14項目!$C$2:$C$1300,I$5)</f>
        <v>22</v>
      </c>
      <c r="J396" s="26">
        <f>SUMIFS(INDEX(元データ_14項目!$D$2:$Q$1300,0,MATCH($B396,元データ_14項目!$D$1:$Q$1,0)),元データ_14項目!$A$2:$A$1300,$A396,元データ_14項目!$B$2:$B$1300,"本年",元データ_14項目!$C$2:$C$1300,J$5)</f>
        <v>159</v>
      </c>
      <c r="K396" s="26">
        <f>SUMIFS(INDEX(元データ_14項目!$D$2:$Q$1300,0,MATCH($B396,元データ_14項目!$D$1:$Q$1,0)),元データ_14項目!$A$2:$A$1300,$A396,元データ_14項目!$B$2:$B$1300,"本年",元データ_14項目!$C$2:$C$1300,K$5)</f>
        <v>402</v>
      </c>
      <c r="L396" s="26">
        <f>SUMIFS(INDEX(元データ_14項目!$D$2:$Q$1300,0,MATCH($B396,元データ_14項目!$D$1:$Q$1,0)),元データ_14項目!$A$2:$A$1300,$A396,元データ_14項目!$B$2:$B$1300,"本年",元データ_14項目!$C$2:$C$1300,L$5)</f>
        <v>209</v>
      </c>
      <c r="M396" s="26">
        <f>SUMIFS(INDEX(元データ_14項目!$D$2:$Q$1300,0,MATCH($B396,元データ_14項目!$D$1:$Q$1,0)),元データ_14項目!$A$2:$A$1300,$A396,元データ_14項目!$B$2:$B$1300,"本年",元データ_14項目!$C$2:$C$1300,M$5)</f>
        <v>73</v>
      </c>
      <c r="N396" s="26">
        <f>SUMIFS(INDEX(元データ_14項目!$D$2:$Q$1300,0,MATCH($B396,元データ_14項目!$D$1:$Q$1,0)),元データ_14項目!$A$2:$A$1300,$A396,元データ_14項目!$B$2:$B$1300,"本年",元データ_14項目!$C$2:$C$1300,N$5)</f>
        <v>24</v>
      </c>
      <c r="O396" s="26">
        <f t="shared" si="12"/>
        <v>1001</v>
      </c>
      <c r="P396" s="26">
        <f>SUMIFS(INDEX(元データ_14項目!$D$2:$Q$1300,0,MATCH($B396,元データ_14項目!$D$1:$Q$1,0)),元データ_14項目!$A$2:$A$1300,$A396,元データ_14項目!$B$2:$B$1300,"前年")</f>
        <v>1097</v>
      </c>
      <c r="Q396" s="7">
        <f t="shared" si="13"/>
        <v>0.91248860528714681</v>
      </c>
    </row>
    <row r="397" spans="1:17" x14ac:dyDescent="0.45">
      <c r="A397" t="s">
        <v>62</v>
      </c>
      <c r="B397" t="s">
        <v>99</v>
      </c>
      <c r="C397" s="26">
        <f>SUMIFS(INDEX(元データ_14項目!$D$2:$Q$1300,0,MATCH($B397,元データ_14項目!$D$1:$Q$1,0)),元データ_14項目!$A$2:$A$1300,$A397,元データ_14項目!$B$2:$B$1300,"本年",元データ_14項目!$C$2:$C$1300,C$5)</f>
        <v>0</v>
      </c>
      <c r="D397" s="26">
        <f>SUMIFS(INDEX(元データ_14項目!$D$2:$Q$1300,0,MATCH($B397,元データ_14項目!$D$1:$Q$1,0)),元データ_14項目!$A$2:$A$1300,$A397,元データ_14項目!$B$2:$B$1300,"本年",元データ_14項目!$C$2:$C$1300,D$5)</f>
        <v>4</v>
      </c>
      <c r="E397" s="26">
        <f>SUMIFS(INDEX(元データ_14項目!$D$2:$Q$1300,0,MATCH($B397,元データ_14項目!$D$1:$Q$1,0)),元データ_14項目!$A$2:$A$1300,$A397,元データ_14項目!$B$2:$B$1300,"本年",元データ_14項目!$C$2:$C$1300,E$5)</f>
        <v>0</v>
      </c>
      <c r="F397" s="26">
        <f>SUMIFS(INDEX(元データ_14項目!$D$2:$Q$1300,0,MATCH($B397,元データ_14項目!$D$1:$Q$1,0)),元データ_14項目!$A$2:$A$1300,$A397,元データ_14項目!$B$2:$B$1300,"本年",元データ_14項目!$C$2:$C$1300,F$5)</f>
        <v>0</v>
      </c>
      <c r="G397" s="26">
        <f>SUMIFS(INDEX(元データ_14項目!$D$2:$Q$1300,0,MATCH($B397,元データ_14項目!$D$1:$Q$1,0)),元データ_14項目!$A$2:$A$1300,$A397,元データ_14項目!$B$2:$B$1300,"本年",元データ_14項目!$C$2:$C$1300,G$5)</f>
        <v>0</v>
      </c>
      <c r="H397" s="26">
        <f>SUMIFS(INDEX(元データ_14項目!$D$2:$Q$1300,0,MATCH($B397,元データ_14項目!$D$1:$Q$1,0)),元データ_14項目!$A$2:$A$1300,$A397,元データ_14項目!$B$2:$B$1300,"本年",元データ_14項目!$C$2:$C$1300,H$5)</f>
        <v>1</v>
      </c>
      <c r="I397" s="26">
        <f>SUMIFS(INDEX(元データ_14項目!$D$2:$Q$1300,0,MATCH($B397,元データ_14項目!$D$1:$Q$1,0)),元データ_14項目!$A$2:$A$1300,$A397,元データ_14項目!$B$2:$B$1300,"本年",元データ_14項目!$C$2:$C$1300,I$5)</f>
        <v>13</v>
      </c>
      <c r="J397" s="26">
        <f>SUMIFS(INDEX(元データ_14項目!$D$2:$Q$1300,0,MATCH($B397,元データ_14項目!$D$1:$Q$1,0)),元データ_14項目!$A$2:$A$1300,$A397,元データ_14項目!$B$2:$B$1300,"本年",元データ_14項目!$C$2:$C$1300,J$5)</f>
        <v>2</v>
      </c>
      <c r="K397" s="26">
        <f>SUMIFS(INDEX(元データ_14項目!$D$2:$Q$1300,0,MATCH($B397,元データ_14項目!$D$1:$Q$1,0)),元データ_14項目!$A$2:$A$1300,$A397,元データ_14項目!$B$2:$B$1300,"本年",元データ_14項目!$C$2:$C$1300,K$5)</f>
        <v>12</v>
      </c>
      <c r="L397" s="26">
        <f>SUMIFS(INDEX(元データ_14項目!$D$2:$Q$1300,0,MATCH($B397,元データ_14項目!$D$1:$Q$1,0)),元データ_14項目!$A$2:$A$1300,$A397,元データ_14項目!$B$2:$B$1300,"本年",元データ_14項目!$C$2:$C$1300,L$5)</f>
        <v>17</v>
      </c>
      <c r="M397" s="26">
        <f>SUMIFS(INDEX(元データ_14項目!$D$2:$Q$1300,0,MATCH($B397,元データ_14項目!$D$1:$Q$1,0)),元データ_14項目!$A$2:$A$1300,$A397,元データ_14項目!$B$2:$B$1300,"本年",元データ_14項目!$C$2:$C$1300,M$5)</f>
        <v>24</v>
      </c>
      <c r="N397" s="26">
        <f>SUMIFS(INDEX(元データ_14項目!$D$2:$Q$1300,0,MATCH($B397,元データ_14項目!$D$1:$Q$1,0)),元データ_14項目!$A$2:$A$1300,$A397,元データ_14項目!$B$2:$B$1300,"本年",元データ_14項目!$C$2:$C$1300,N$5)</f>
        <v>2</v>
      </c>
      <c r="O397" s="26">
        <f t="shared" si="12"/>
        <v>75</v>
      </c>
      <c r="P397" s="26">
        <f>SUMIFS(INDEX(元データ_14項目!$D$2:$Q$1300,0,MATCH($B397,元データ_14項目!$D$1:$Q$1,0)),元データ_14項目!$A$2:$A$1300,$A397,元データ_14項目!$B$2:$B$1300,"前年")</f>
        <v>147</v>
      </c>
      <c r="Q397" s="7">
        <f t="shared" si="13"/>
        <v>0.51020408163265307</v>
      </c>
    </row>
    <row r="398" spans="1:17" x14ac:dyDescent="0.45">
      <c r="A398" t="s">
        <v>63</v>
      </c>
      <c r="B398" t="s">
        <v>27</v>
      </c>
      <c r="C398" s="26">
        <f>SUMIFS(INDEX(元データ_14項目!$D$2:$Q$1300,0,MATCH($B398,元データ_14項目!$D$1:$Q$1,0)),元データ_14項目!$A$2:$A$1300,$A398,元データ_14項目!$B$2:$B$1300,"本年",元データ_14項目!$C$2:$C$1300,C$5)</f>
        <v>608</v>
      </c>
      <c r="D398" s="26">
        <f>SUMIFS(INDEX(元データ_14項目!$D$2:$Q$1300,0,MATCH($B398,元データ_14項目!$D$1:$Q$1,0)),元データ_14項目!$A$2:$A$1300,$A398,元データ_14項目!$B$2:$B$1300,"本年",元データ_14項目!$C$2:$C$1300,D$5)</f>
        <v>708</v>
      </c>
      <c r="E398" s="26">
        <f>SUMIFS(INDEX(元データ_14項目!$D$2:$Q$1300,0,MATCH($B398,元データ_14項目!$D$1:$Q$1,0)),元データ_14項目!$A$2:$A$1300,$A398,元データ_14項目!$B$2:$B$1300,"本年",元データ_14項目!$C$2:$C$1300,E$5)</f>
        <v>1114</v>
      </c>
      <c r="F398" s="26">
        <f>SUMIFS(INDEX(元データ_14項目!$D$2:$Q$1300,0,MATCH($B398,元データ_14項目!$D$1:$Q$1,0)),元データ_14項目!$A$2:$A$1300,$A398,元データ_14項目!$B$2:$B$1300,"本年",元データ_14項目!$C$2:$C$1300,F$5)</f>
        <v>958</v>
      </c>
      <c r="G398" s="26">
        <f>SUMIFS(INDEX(元データ_14項目!$D$2:$Q$1300,0,MATCH($B398,元データ_14項目!$D$1:$Q$1,0)),元データ_14項目!$A$2:$A$1300,$A398,元データ_14項目!$B$2:$B$1300,"本年",元データ_14項目!$C$2:$C$1300,G$5)</f>
        <v>1008</v>
      </c>
      <c r="H398" s="26">
        <f>SUMIFS(INDEX(元データ_14項目!$D$2:$Q$1300,0,MATCH($B398,元データ_14項目!$D$1:$Q$1,0)),元データ_14項目!$A$2:$A$1300,$A398,元データ_14項目!$B$2:$B$1300,"本年",元データ_14項目!$C$2:$C$1300,H$5)</f>
        <v>685</v>
      </c>
      <c r="I398" s="26">
        <f>SUMIFS(INDEX(元データ_14項目!$D$2:$Q$1300,0,MATCH($B398,元データ_14項目!$D$1:$Q$1,0)),元データ_14項目!$A$2:$A$1300,$A398,元データ_14項目!$B$2:$B$1300,"本年",元データ_14項目!$C$2:$C$1300,I$5)</f>
        <v>718</v>
      </c>
      <c r="J398" s="26">
        <f>SUMIFS(INDEX(元データ_14項目!$D$2:$Q$1300,0,MATCH($B398,元データ_14項目!$D$1:$Q$1,0)),元データ_14項目!$A$2:$A$1300,$A398,元データ_14項目!$B$2:$B$1300,"本年",元データ_14項目!$C$2:$C$1300,J$5)</f>
        <v>912</v>
      </c>
      <c r="K398" s="26">
        <f>SUMIFS(INDEX(元データ_14項目!$D$2:$Q$1300,0,MATCH($B398,元データ_14項目!$D$1:$Q$1,0)),元データ_14項目!$A$2:$A$1300,$A398,元データ_14項目!$B$2:$B$1300,"本年",元データ_14項目!$C$2:$C$1300,K$5)</f>
        <v>873</v>
      </c>
      <c r="L398" s="26">
        <f>SUMIFS(INDEX(元データ_14項目!$D$2:$Q$1300,0,MATCH($B398,元データ_14項目!$D$1:$Q$1,0)),元データ_14項目!$A$2:$A$1300,$A398,元データ_14項目!$B$2:$B$1300,"本年",元データ_14項目!$C$2:$C$1300,L$5)</f>
        <v>751</v>
      </c>
      <c r="M398" s="26">
        <f>SUMIFS(INDEX(元データ_14項目!$D$2:$Q$1300,0,MATCH($B398,元データ_14項目!$D$1:$Q$1,0)),元データ_14項目!$A$2:$A$1300,$A398,元データ_14項目!$B$2:$B$1300,"本年",元データ_14項目!$C$2:$C$1300,M$5)</f>
        <v>818</v>
      </c>
      <c r="N398" s="26">
        <f>SUMIFS(INDEX(元データ_14項目!$D$2:$Q$1300,0,MATCH($B398,元データ_14項目!$D$1:$Q$1,0)),元データ_14項目!$A$2:$A$1300,$A398,元データ_14項目!$B$2:$B$1300,"本年",元データ_14項目!$C$2:$C$1300,N$5)</f>
        <v>746</v>
      </c>
      <c r="O398" s="26">
        <f t="shared" si="12"/>
        <v>9899</v>
      </c>
      <c r="P398" s="26">
        <f>SUMIFS(INDEX(元データ_14項目!$D$2:$Q$1300,0,MATCH($B398,元データ_14項目!$D$1:$Q$1,0)),元データ_14項目!$A$2:$A$1300,$A398,元データ_14項目!$B$2:$B$1300,"前年")</f>
        <v>10034</v>
      </c>
      <c r="Q398" s="7">
        <f t="shared" si="13"/>
        <v>0.98654574446880605</v>
      </c>
    </row>
    <row r="399" spans="1:17" x14ac:dyDescent="0.45">
      <c r="A399" t="s">
        <v>63</v>
      </c>
      <c r="B399" t="s">
        <v>88</v>
      </c>
      <c r="C399" s="26">
        <f>SUMIFS(INDEX(元データ_14項目!$D$2:$Q$1300,0,MATCH($B399,元データ_14項目!$D$1:$Q$1,0)),元データ_14項目!$A$2:$A$1300,$A399,元データ_14項目!$B$2:$B$1300,"本年",元データ_14項目!$C$2:$C$1300,C$5)</f>
        <v>64</v>
      </c>
      <c r="D399" s="26">
        <f>SUMIFS(INDEX(元データ_14項目!$D$2:$Q$1300,0,MATCH($B399,元データ_14項目!$D$1:$Q$1,0)),元データ_14項目!$A$2:$A$1300,$A399,元データ_14項目!$B$2:$B$1300,"本年",元データ_14項目!$C$2:$C$1300,D$5)</f>
        <v>63</v>
      </c>
      <c r="E399" s="26">
        <f>SUMIFS(INDEX(元データ_14項目!$D$2:$Q$1300,0,MATCH($B399,元データ_14項目!$D$1:$Q$1,0)),元データ_14項目!$A$2:$A$1300,$A399,元データ_14項目!$B$2:$B$1300,"本年",元データ_14項目!$C$2:$C$1300,E$5)</f>
        <v>65</v>
      </c>
      <c r="F399" s="26">
        <f>SUMIFS(INDEX(元データ_14項目!$D$2:$Q$1300,0,MATCH($B399,元データ_14項目!$D$1:$Q$1,0)),元データ_14項目!$A$2:$A$1300,$A399,元データ_14項目!$B$2:$B$1300,"本年",元データ_14項目!$C$2:$C$1300,F$5)</f>
        <v>36</v>
      </c>
      <c r="G399" s="26">
        <f>SUMIFS(INDEX(元データ_14項目!$D$2:$Q$1300,0,MATCH($B399,元データ_14項目!$D$1:$Q$1,0)),元データ_14項目!$A$2:$A$1300,$A399,元データ_14項目!$B$2:$B$1300,"本年",元データ_14項目!$C$2:$C$1300,G$5)</f>
        <v>47</v>
      </c>
      <c r="H399" s="26">
        <f>SUMIFS(INDEX(元データ_14項目!$D$2:$Q$1300,0,MATCH($B399,元データ_14項目!$D$1:$Q$1,0)),元データ_14項目!$A$2:$A$1300,$A399,元データ_14項目!$B$2:$B$1300,"本年",元データ_14項目!$C$2:$C$1300,H$5)</f>
        <v>30</v>
      </c>
      <c r="I399" s="26">
        <f>SUMIFS(INDEX(元データ_14項目!$D$2:$Q$1300,0,MATCH($B399,元データ_14項目!$D$1:$Q$1,0)),元データ_14項目!$A$2:$A$1300,$A399,元データ_14項目!$B$2:$B$1300,"本年",元データ_14項目!$C$2:$C$1300,I$5)</f>
        <v>25</v>
      </c>
      <c r="J399" s="26">
        <f>SUMIFS(INDEX(元データ_14項目!$D$2:$Q$1300,0,MATCH($B399,元データ_14項目!$D$1:$Q$1,0)),元データ_14項目!$A$2:$A$1300,$A399,元データ_14項目!$B$2:$B$1300,"本年",元データ_14項目!$C$2:$C$1300,J$5)</f>
        <v>41</v>
      </c>
      <c r="K399" s="26">
        <f>SUMIFS(INDEX(元データ_14項目!$D$2:$Q$1300,0,MATCH($B399,元データ_14項目!$D$1:$Q$1,0)),元データ_14項目!$A$2:$A$1300,$A399,元データ_14項目!$B$2:$B$1300,"本年",元データ_14項目!$C$2:$C$1300,K$5)</f>
        <v>46</v>
      </c>
      <c r="L399" s="26">
        <f>SUMIFS(INDEX(元データ_14項目!$D$2:$Q$1300,0,MATCH($B399,元データ_14項目!$D$1:$Q$1,0)),元データ_14項目!$A$2:$A$1300,$A399,元データ_14項目!$B$2:$B$1300,"本年",元データ_14項目!$C$2:$C$1300,L$5)</f>
        <v>59</v>
      </c>
      <c r="M399" s="26">
        <f>SUMIFS(INDEX(元データ_14項目!$D$2:$Q$1300,0,MATCH($B399,元データ_14項目!$D$1:$Q$1,0)),元データ_14項目!$A$2:$A$1300,$A399,元データ_14項目!$B$2:$B$1300,"本年",元データ_14項目!$C$2:$C$1300,M$5)</f>
        <v>54</v>
      </c>
      <c r="N399" s="26">
        <f>SUMIFS(INDEX(元データ_14項目!$D$2:$Q$1300,0,MATCH($B399,元データ_14項目!$D$1:$Q$1,0)),元データ_14項目!$A$2:$A$1300,$A399,元データ_14項目!$B$2:$B$1300,"本年",元データ_14項目!$C$2:$C$1300,N$5)</f>
        <v>62</v>
      </c>
      <c r="O399" s="26">
        <f t="shared" si="12"/>
        <v>592</v>
      </c>
      <c r="P399" s="26">
        <f>SUMIFS(INDEX(元データ_14項目!$D$2:$Q$1300,0,MATCH($B399,元データ_14項目!$D$1:$Q$1,0)),元データ_14項目!$A$2:$A$1300,$A399,元データ_14項目!$B$2:$B$1300,"前年")</f>
        <v>641</v>
      </c>
      <c r="Q399" s="7">
        <f t="shared" si="13"/>
        <v>0.92355694227769114</v>
      </c>
    </row>
    <row r="400" spans="1:17" x14ac:dyDescent="0.45">
      <c r="A400" t="s">
        <v>63</v>
      </c>
      <c r="B400" t="s">
        <v>89</v>
      </c>
      <c r="C400" s="26">
        <f>SUMIFS(INDEX(元データ_14項目!$D$2:$Q$1300,0,MATCH($B400,元データ_14項目!$D$1:$Q$1,0)),元データ_14項目!$A$2:$A$1300,$A400,元データ_14項目!$B$2:$B$1300,"本年",元データ_14項目!$C$2:$C$1300,C$5)</f>
        <v>52</v>
      </c>
      <c r="D400" s="26">
        <f>SUMIFS(INDEX(元データ_14項目!$D$2:$Q$1300,0,MATCH($B400,元データ_14項目!$D$1:$Q$1,0)),元データ_14項目!$A$2:$A$1300,$A400,元データ_14項目!$B$2:$B$1300,"本年",元データ_14項目!$C$2:$C$1300,D$5)</f>
        <v>50</v>
      </c>
      <c r="E400" s="26">
        <f>SUMIFS(INDEX(元データ_14項目!$D$2:$Q$1300,0,MATCH($B400,元データ_14項目!$D$1:$Q$1,0)),元データ_14項目!$A$2:$A$1300,$A400,元データ_14項目!$B$2:$B$1300,"本年",元データ_14項目!$C$2:$C$1300,E$5)</f>
        <v>63</v>
      </c>
      <c r="F400" s="26">
        <f>SUMIFS(INDEX(元データ_14項目!$D$2:$Q$1300,0,MATCH($B400,元データ_14項目!$D$1:$Q$1,0)),元データ_14項目!$A$2:$A$1300,$A400,元データ_14項目!$B$2:$B$1300,"本年",元データ_14項目!$C$2:$C$1300,F$5)</f>
        <v>40</v>
      </c>
      <c r="G400" s="26">
        <f>SUMIFS(INDEX(元データ_14項目!$D$2:$Q$1300,0,MATCH($B400,元データ_14項目!$D$1:$Q$1,0)),元データ_14項目!$A$2:$A$1300,$A400,元データ_14項目!$B$2:$B$1300,"本年",元データ_14項目!$C$2:$C$1300,G$5)</f>
        <v>43</v>
      </c>
      <c r="H400" s="26">
        <f>SUMIFS(INDEX(元データ_14項目!$D$2:$Q$1300,0,MATCH($B400,元データ_14項目!$D$1:$Q$1,0)),元データ_14項目!$A$2:$A$1300,$A400,元データ_14項目!$B$2:$B$1300,"本年",元データ_14項目!$C$2:$C$1300,H$5)</f>
        <v>27</v>
      </c>
      <c r="I400" s="26">
        <f>SUMIFS(INDEX(元データ_14項目!$D$2:$Q$1300,0,MATCH($B400,元データ_14項目!$D$1:$Q$1,0)),元データ_14項目!$A$2:$A$1300,$A400,元データ_14項目!$B$2:$B$1300,"本年",元データ_14項目!$C$2:$C$1300,I$5)</f>
        <v>21</v>
      </c>
      <c r="J400" s="26">
        <f>SUMIFS(INDEX(元データ_14項目!$D$2:$Q$1300,0,MATCH($B400,元データ_14項目!$D$1:$Q$1,0)),元データ_14項目!$A$2:$A$1300,$A400,元データ_14項目!$B$2:$B$1300,"本年",元データ_14項目!$C$2:$C$1300,J$5)</f>
        <v>50</v>
      </c>
      <c r="K400" s="26">
        <f>SUMIFS(INDEX(元データ_14項目!$D$2:$Q$1300,0,MATCH($B400,元データ_14項目!$D$1:$Q$1,0)),元データ_14項目!$A$2:$A$1300,$A400,元データ_14項目!$B$2:$B$1300,"本年",元データ_14項目!$C$2:$C$1300,K$5)</f>
        <v>54</v>
      </c>
      <c r="L400" s="26">
        <f>SUMIFS(INDEX(元データ_14項目!$D$2:$Q$1300,0,MATCH($B400,元データ_14項目!$D$1:$Q$1,0)),元データ_14項目!$A$2:$A$1300,$A400,元データ_14項目!$B$2:$B$1300,"本年",元データ_14項目!$C$2:$C$1300,L$5)</f>
        <v>32</v>
      </c>
      <c r="M400" s="26">
        <f>SUMIFS(INDEX(元データ_14項目!$D$2:$Q$1300,0,MATCH($B400,元データ_14項目!$D$1:$Q$1,0)),元データ_14項目!$A$2:$A$1300,$A400,元データ_14項目!$B$2:$B$1300,"本年",元データ_14項目!$C$2:$C$1300,M$5)</f>
        <v>44</v>
      </c>
      <c r="N400" s="26">
        <f>SUMIFS(INDEX(元データ_14項目!$D$2:$Q$1300,0,MATCH($B400,元データ_14項目!$D$1:$Q$1,0)),元データ_14項目!$A$2:$A$1300,$A400,元データ_14項目!$B$2:$B$1300,"本年",元データ_14項目!$C$2:$C$1300,N$5)</f>
        <v>69</v>
      </c>
      <c r="O400" s="26">
        <f t="shared" si="12"/>
        <v>545</v>
      </c>
      <c r="P400" s="26">
        <f>SUMIFS(INDEX(元データ_14項目!$D$2:$Q$1300,0,MATCH($B400,元データ_14項目!$D$1:$Q$1,0)),元データ_14項目!$A$2:$A$1300,$A400,元データ_14項目!$B$2:$B$1300,"前年")</f>
        <v>587</v>
      </c>
      <c r="Q400" s="7">
        <f t="shared" si="13"/>
        <v>0.92844974446337314</v>
      </c>
    </row>
    <row r="401" spans="1:17" x14ac:dyDescent="0.45">
      <c r="A401" t="s">
        <v>63</v>
      </c>
      <c r="B401" t="s">
        <v>90</v>
      </c>
      <c r="C401" s="26">
        <f>SUMIFS(INDEX(元データ_14項目!$D$2:$Q$1300,0,MATCH($B401,元データ_14項目!$D$1:$Q$1,0)),元データ_14項目!$A$2:$A$1300,$A401,元データ_14項目!$B$2:$B$1300,"本年",元データ_14項目!$C$2:$C$1300,C$5)</f>
        <v>47</v>
      </c>
      <c r="D401" s="26">
        <f>SUMIFS(INDEX(元データ_14項目!$D$2:$Q$1300,0,MATCH($B401,元データ_14項目!$D$1:$Q$1,0)),元データ_14項目!$A$2:$A$1300,$A401,元データ_14項目!$B$2:$B$1300,"本年",元データ_14項目!$C$2:$C$1300,D$5)</f>
        <v>54</v>
      </c>
      <c r="E401" s="26">
        <f>SUMIFS(INDEX(元データ_14項目!$D$2:$Q$1300,0,MATCH($B401,元データ_14項目!$D$1:$Q$1,0)),元データ_14項目!$A$2:$A$1300,$A401,元データ_14項目!$B$2:$B$1300,"本年",元データ_14項目!$C$2:$C$1300,E$5)</f>
        <v>90</v>
      </c>
      <c r="F401" s="26">
        <f>SUMIFS(INDEX(元データ_14項目!$D$2:$Q$1300,0,MATCH($B401,元データ_14項目!$D$1:$Q$1,0)),元データ_14項目!$A$2:$A$1300,$A401,元データ_14項目!$B$2:$B$1300,"本年",元データ_14項目!$C$2:$C$1300,F$5)</f>
        <v>112</v>
      </c>
      <c r="G401" s="26">
        <f>SUMIFS(INDEX(元データ_14項目!$D$2:$Q$1300,0,MATCH($B401,元データ_14項目!$D$1:$Q$1,0)),元データ_14項目!$A$2:$A$1300,$A401,元データ_14項目!$B$2:$B$1300,"本年",元データ_14項目!$C$2:$C$1300,G$5)</f>
        <v>118</v>
      </c>
      <c r="H401" s="26">
        <f>SUMIFS(INDEX(元データ_14項目!$D$2:$Q$1300,0,MATCH($B401,元データ_14項目!$D$1:$Q$1,0)),元データ_14項目!$A$2:$A$1300,$A401,元データ_14項目!$B$2:$B$1300,"本年",元データ_14項目!$C$2:$C$1300,H$5)</f>
        <v>117</v>
      </c>
      <c r="I401" s="26">
        <f>SUMIFS(INDEX(元データ_14項目!$D$2:$Q$1300,0,MATCH($B401,元データ_14項目!$D$1:$Q$1,0)),元データ_14項目!$A$2:$A$1300,$A401,元データ_14項目!$B$2:$B$1300,"本年",元データ_14項目!$C$2:$C$1300,I$5)</f>
        <v>68</v>
      </c>
      <c r="J401" s="26">
        <f>SUMIFS(INDEX(元データ_14項目!$D$2:$Q$1300,0,MATCH($B401,元データ_14項目!$D$1:$Q$1,0)),元データ_14項目!$A$2:$A$1300,$A401,元データ_14項目!$B$2:$B$1300,"本年",元データ_14項目!$C$2:$C$1300,J$5)</f>
        <v>204</v>
      </c>
      <c r="K401" s="26">
        <f>SUMIFS(INDEX(元データ_14項目!$D$2:$Q$1300,0,MATCH($B401,元データ_14項目!$D$1:$Q$1,0)),元データ_14項目!$A$2:$A$1300,$A401,元データ_14項目!$B$2:$B$1300,"本年",元データ_14項目!$C$2:$C$1300,K$5)</f>
        <v>206</v>
      </c>
      <c r="L401" s="26">
        <f>SUMIFS(INDEX(元データ_14項目!$D$2:$Q$1300,0,MATCH($B401,元データ_14項目!$D$1:$Q$1,0)),元データ_14項目!$A$2:$A$1300,$A401,元データ_14項目!$B$2:$B$1300,"本年",元データ_14項目!$C$2:$C$1300,L$5)</f>
        <v>154</v>
      </c>
      <c r="M401" s="26">
        <f>SUMIFS(INDEX(元データ_14項目!$D$2:$Q$1300,0,MATCH($B401,元データ_14項目!$D$1:$Q$1,0)),元データ_14項目!$A$2:$A$1300,$A401,元データ_14項目!$B$2:$B$1300,"本年",元データ_14項目!$C$2:$C$1300,M$5)</f>
        <v>100</v>
      </c>
      <c r="N401" s="26">
        <f>SUMIFS(INDEX(元データ_14項目!$D$2:$Q$1300,0,MATCH($B401,元データ_14項目!$D$1:$Q$1,0)),元データ_14項目!$A$2:$A$1300,$A401,元データ_14項目!$B$2:$B$1300,"本年",元データ_14項目!$C$2:$C$1300,N$5)</f>
        <v>89</v>
      </c>
      <c r="O401" s="26">
        <f t="shared" si="12"/>
        <v>1359</v>
      </c>
      <c r="P401" s="26">
        <f>SUMIFS(INDEX(元データ_14項目!$D$2:$Q$1300,0,MATCH($B401,元データ_14項目!$D$1:$Q$1,0)),元データ_14項目!$A$2:$A$1300,$A401,元データ_14項目!$B$2:$B$1300,"前年")</f>
        <v>1324</v>
      </c>
      <c r="Q401" s="7">
        <f t="shared" si="13"/>
        <v>1.0264350453172206</v>
      </c>
    </row>
    <row r="402" spans="1:17" x14ac:dyDescent="0.45">
      <c r="A402" t="s">
        <v>63</v>
      </c>
      <c r="B402" t="s">
        <v>91</v>
      </c>
      <c r="C402" s="26">
        <f>SUMIFS(INDEX(元データ_14項目!$D$2:$Q$1300,0,MATCH($B402,元データ_14項目!$D$1:$Q$1,0)),元データ_14項目!$A$2:$A$1300,$A402,元データ_14項目!$B$2:$B$1300,"本年",元データ_14項目!$C$2:$C$1300,C$5)</f>
        <v>25</v>
      </c>
      <c r="D402" s="26">
        <f>SUMIFS(INDEX(元データ_14項目!$D$2:$Q$1300,0,MATCH($B402,元データ_14項目!$D$1:$Q$1,0)),元データ_14項目!$A$2:$A$1300,$A402,元データ_14項目!$B$2:$B$1300,"本年",元データ_14項目!$C$2:$C$1300,D$5)</f>
        <v>53</v>
      </c>
      <c r="E402" s="26">
        <f>SUMIFS(INDEX(元データ_14項目!$D$2:$Q$1300,0,MATCH($B402,元データ_14項目!$D$1:$Q$1,0)),元データ_14項目!$A$2:$A$1300,$A402,元データ_14項目!$B$2:$B$1300,"本年",元データ_14項目!$C$2:$C$1300,E$5)</f>
        <v>95</v>
      </c>
      <c r="F402" s="26">
        <f>SUMIFS(INDEX(元データ_14項目!$D$2:$Q$1300,0,MATCH($B402,元データ_14項目!$D$1:$Q$1,0)),元データ_14項目!$A$2:$A$1300,$A402,元データ_14項目!$B$2:$B$1300,"本年",元データ_14項目!$C$2:$C$1300,F$5)</f>
        <v>98</v>
      </c>
      <c r="G402" s="26">
        <f>SUMIFS(INDEX(元データ_14項目!$D$2:$Q$1300,0,MATCH($B402,元データ_14項目!$D$1:$Q$1,0)),元データ_14項目!$A$2:$A$1300,$A402,元データ_14項目!$B$2:$B$1300,"本年",元データ_14項目!$C$2:$C$1300,G$5)</f>
        <v>17</v>
      </c>
      <c r="H402" s="26">
        <f>SUMIFS(INDEX(元データ_14項目!$D$2:$Q$1300,0,MATCH($B402,元データ_14項目!$D$1:$Q$1,0)),元データ_14項目!$A$2:$A$1300,$A402,元データ_14項目!$B$2:$B$1300,"本年",元データ_14項目!$C$2:$C$1300,H$5)</f>
        <v>9</v>
      </c>
      <c r="I402" s="26">
        <f>SUMIFS(INDEX(元データ_14項目!$D$2:$Q$1300,0,MATCH($B402,元データ_14項目!$D$1:$Q$1,0)),元データ_14項目!$A$2:$A$1300,$A402,元データ_14項目!$B$2:$B$1300,"本年",元データ_14項目!$C$2:$C$1300,I$5)</f>
        <v>40</v>
      </c>
      <c r="J402" s="26">
        <f>SUMIFS(INDEX(元データ_14項目!$D$2:$Q$1300,0,MATCH($B402,元データ_14項目!$D$1:$Q$1,0)),元データ_14項目!$A$2:$A$1300,$A402,元データ_14項目!$B$2:$B$1300,"本年",元データ_14項目!$C$2:$C$1300,J$5)</f>
        <v>14</v>
      </c>
      <c r="K402" s="26">
        <f>SUMIFS(INDEX(元データ_14項目!$D$2:$Q$1300,0,MATCH($B402,元データ_14項目!$D$1:$Q$1,0)),元データ_14項目!$A$2:$A$1300,$A402,元データ_14項目!$B$2:$B$1300,"本年",元データ_14項目!$C$2:$C$1300,K$5)</f>
        <v>19</v>
      </c>
      <c r="L402" s="26">
        <f>SUMIFS(INDEX(元データ_14項目!$D$2:$Q$1300,0,MATCH($B402,元データ_14項目!$D$1:$Q$1,0)),元データ_14項目!$A$2:$A$1300,$A402,元データ_14項目!$B$2:$B$1300,"本年",元データ_14項目!$C$2:$C$1300,L$5)</f>
        <v>13</v>
      </c>
      <c r="M402" s="26">
        <f>SUMIFS(INDEX(元データ_14項目!$D$2:$Q$1300,0,MATCH($B402,元データ_14項目!$D$1:$Q$1,0)),元データ_14項目!$A$2:$A$1300,$A402,元データ_14項目!$B$2:$B$1300,"本年",元データ_14項目!$C$2:$C$1300,M$5)</f>
        <v>35</v>
      </c>
      <c r="N402" s="26">
        <f>SUMIFS(INDEX(元データ_14項目!$D$2:$Q$1300,0,MATCH($B402,元データ_14項目!$D$1:$Q$1,0)),元データ_14項目!$A$2:$A$1300,$A402,元データ_14項目!$B$2:$B$1300,"本年",元データ_14項目!$C$2:$C$1300,N$5)</f>
        <v>30</v>
      </c>
      <c r="O402" s="26">
        <f t="shared" si="12"/>
        <v>448</v>
      </c>
      <c r="P402" s="26">
        <f>SUMIFS(INDEX(元データ_14項目!$D$2:$Q$1300,0,MATCH($B402,元データ_14項目!$D$1:$Q$1,0)),元データ_14項目!$A$2:$A$1300,$A402,元データ_14項目!$B$2:$B$1300,"前年")</f>
        <v>425</v>
      </c>
      <c r="Q402" s="7">
        <f t="shared" si="13"/>
        <v>1.0541176470588236</v>
      </c>
    </row>
    <row r="403" spans="1:17" x14ac:dyDescent="0.45">
      <c r="A403" t="s">
        <v>63</v>
      </c>
      <c r="B403" t="s">
        <v>28</v>
      </c>
      <c r="C403" s="26">
        <f>SUMIFS(INDEX(元データ_14項目!$D$2:$Q$1300,0,MATCH($B403,元データ_14項目!$D$1:$Q$1,0)),元データ_14項目!$A$2:$A$1300,$A403,元データ_14項目!$B$2:$B$1300,"本年",元データ_14項目!$C$2:$C$1300,C$5)</f>
        <v>207</v>
      </c>
      <c r="D403" s="26">
        <f>SUMIFS(INDEX(元データ_14項目!$D$2:$Q$1300,0,MATCH($B403,元データ_14項目!$D$1:$Q$1,0)),元データ_14項目!$A$2:$A$1300,$A403,元データ_14項目!$B$2:$B$1300,"本年",元データ_14項目!$C$2:$C$1300,D$5)</f>
        <v>217</v>
      </c>
      <c r="E403" s="26">
        <f>SUMIFS(INDEX(元データ_14項目!$D$2:$Q$1300,0,MATCH($B403,元データ_14項目!$D$1:$Q$1,0)),元データ_14項目!$A$2:$A$1300,$A403,元データ_14項目!$B$2:$B$1300,"本年",元データ_14項目!$C$2:$C$1300,E$5)</f>
        <v>364</v>
      </c>
      <c r="F403" s="26">
        <f>SUMIFS(INDEX(元データ_14項目!$D$2:$Q$1300,0,MATCH($B403,元データ_14項目!$D$1:$Q$1,0)),元データ_14項目!$A$2:$A$1300,$A403,元データ_14項目!$B$2:$B$1300,"本年",元データ_14項目!$C$2:$C$1300,F$5)</f>
        <v>251</v>
      </c>
      <c r="G403" s="26">
        <f>SUMIFS(INDEX(元データ_14項目!$D$2:$Q$1300,0,MATCH($B403,元データ_14項目!$D$1:$Q$1,0)),元データ_14項目!$A$2:$A$1300,$A403,元データ_14項目!$B$2:$B$1300,"本年",元データ_14項目!$C$2:$C$1300,G$5)</f>
        <v>179</v>
      </c>
      <c r="H403" s="26">
        <f>SUMIFS(INDEX(元データ_14項目!$D$2:$Q$1300,0,MATCH($B403,元データ_14項目!$D$1:$Q$1,0)),元データ_14項目!$A$2:$A$1300,$A403,元データ_14項目!$B$2:$B$1300,"本年",元データ_14項目!$C$2:$C$1300,H$5)</f>
        <v>114</v>
      </c>
      <c r="I403" s="26">
        <f>SUMIFS(INDEX(元データ_14項目!$D$2:$Q$1300,0,MATCH($B403,元データ_14項目!$D$1:$Q$1,0)),元データ_14項目!$A$2:$A$1300,$A403,元データ_14項目!$B$2:$B$1300,"本年",元データ_14項目!$C$2:$C$1300,I$5)</f>
        <v>135</v>
      </c>
      <c r="J403" s="26">
        <f>SUMIFS(INDEX(元データ_14項目!$D$2:$Q$1300,0,MATCH($B403,元データ_14項目!$D$1:$Q$1,0)),元データ_14項目!$A$2:$A$1300,$A403,元データ_14項目!$B$2:$B$1300,"本年",元データ_14項目!$C$2:$C$1300,J$5)</f>
        <v>128</v>
      </c>
      <c r="K403" s="26">
        <f>SUMIFS(INDEX(元データ_14項目!$D$2:$Q$1300,0,MATCH($B403,元データ_14項目!$D$1:$Q$1,0)),元データ_14項目!$A$2:$A$1300,$A403,元データ_14項目!$B$2:$B$1300,"本年",元データ_14項目!$C$2:$C$1300,K$5)</f>
        <v>197</v>
      </c>
      <c r="L403" s="26">
        <f>SUMIFS(INDEX(元データ_14項目!$D$2:$Q$1300,0,MATCH($B403,元データ_14項目!$D$1:$Q$1,0)),元データ_14項目!$A$2:$A$1300,$A403,元データ_14項目!$B$2:$B$1300,"本年",元データ_14項目!$C$2:$C$1300,L$5)</f>
        <v>142</v>
      </c>
      <c r="M403" s="26">
        <f>SUMIFS(INDEX(元データ_14項目!$D$2:$Q$1300,0,MATCH($B403,元データ_14項目!$D$1:$Q$1,0)),元データ_14項目!$A$2:$A$1300,$A403,元データ_14項目!$B$2:$B$1300,"本年",元データ_14項目!$C$2:$C$1300,M$5)</f>
        <v>223</v>
      </c>
      <c r="N403" s="26">
        <f>SUMIFS(INDEX(元データ_14項目!$D$2:$Q$1300,0,MATCH($B403,元データ_14項目!$D$1:$Q$1,0)),元データ_14項目!$A$2:$A$1300,$A403,元データ_14項目!$B$2:$B$1300,"本年",元データ_14項目!$C$2:$C$1300,N$5)</f>
        <v>206</v>
      </c>
      <c r="O403" s="26">
        <f t="shared" si="12"/>
        <v>2363</v>
      </c>
      <c r="P403" s="26">
        <f>SUMIFS(INDEX(元データ_14項目!$D$2:$Q$1300,0,MATCH($B403,元データ_14項目!$D$1:$Q$1,0)),元データ_14項目!$A$2:$A$1300,$A403,元データ_14項目!$B$2:$B$1300,"前年")</f>
        <v>2553</v>
      </c>
      <c r="Q403" s="7">
        <f t="shared" si="13"/>
        <v>0.92557775166470824</v>
      </c>
    </row>
    <row r="404" spans="1:17" x14ac:dyDescent="0.45">
      <c r="A404" t="s">
        <v>63</v>
      </c>
      <c r="B404" t="s">
        <v>92</v>
      </c>
      <c r="C404" s="26">
        <f>SUMIFS(INDEX(元データ_14項目!$D$2:$Q$1300,0,MATCH($B404,元データ_14項目!$D$1:$Q$1,0)),元データ_14項目!$A$2:$A$1300,$A404,元データ_14項目!$B$2:$B$1300,"本年",元データ_14項目!$C$2:$C$1300,C$5)</f>
        <v>23</v>
      </c>
      <c r="D404" s="26">
        <f>SUMIFS(INDEX(元データ_14項目!$D$2:$Q$1300,0,MATCH($B404,元データ_14項目!$D$1:$Q$1,0)),元データ_14項目!$A$2:$A$1300,$A404,元データ_14項目!$B$2:$B$1300,"本年",元データ_14項目!$C$2:$C$1300,D$5)</f>
        <v>37</v>
      </c>
      <c r="E404" s="26">
        <f>SUMIFS(INDEX(元データ_14項目!$D$2:$Q$1300,0,MATCH($B404,元データ_14項目!$D$1:$Q$1,0)),元データ_14項目!$A$2:$A$1300,$A404,元データ_14項目!$B$2:$B$1300,"本年",元データ_14項目!$C$2:$C$1300,E$5)</f>
        <v>59</v>
      </c>
      <c r="F404" s="26">
        <f>SUMIFS(INDEX(元データ_14項目!$D$2:$Q$1300,0,MATCH($B404,元データ_14項目!$D$1:$Q$1,0)),元データ_14項目!$A$2:$A$1300,$A404,元データ_14項目!$B$2:$B$1300,"本年",元データ_14項目!$C$2:$C$1300,F$5)</f>
        <v>35</v>
      </c>
      <c r="G404" s="26">
        <f>SUMIFS(INDEX(元データ_14項目!$D$2:$Q$1300,0,MATCH($B404,元データ_14項目!$D$1:$Q$1,0)),元データ_14項目!$A$2:$A$1300,$A404,元データ_14項目!$B$2:$B$1300,"本年",元データ_14項目!$C$2:$C$1300,G$5)</f>
        <v>20</v>
      </c>
      <c r="H404" s="26">
        <f>SUMIFS(INDEX(元データ_14項目!$D$2:$Q$1300,0,MATCH($B404,元データ_14項目!$D$1:$Q$1,0)),元データ_14項目!$A$2:$A$1300,$A404,元データ_14項目!$B$2:$B$1300,"本年",元データ_14項目!$C$2:$C$1300,H$5)</f>
        <v>20</v>
      </c>
      <c r="I404" s="26">
        <f>SUMIFS(INDEX(元データ_14項目!$D$2:$Q$1300,0,MATCH($B404,元データ_14項目!$D$1:$Q$1,0)),元データ_14項目!$A$2:$A$1300,$A404,元データ_14項目!$B$2:$B$1300,"本年",元データ_14項目!$C$2:$C$1300,I$5)</f>
        <v>8</v>
      </c>
      <c r="J404" s="26">
        <f>SUMIFS(INDEX(元データ_14項目!$D$2:$Q$1300,0,MATCH($B404,元データ_14項目!$D$1:$Q$1,0)),元データ_14項目!$A$2:$A$1300,$A404,元データ_14項目!$B$2:$B$1300,"本年",元データ_14項目!$C$2:$C$1300,J$5)</f>
        <v>20</v>
      </c>
      <c r="K404" s="26">
        <f>SUMIFS(INDEX(元データ_14項目!$D$2:$Q$1300,0,MATCH($B404,元データ_14項目!$D$1:$Q$1,0)),元データ_14項目!$A$2:$A$1300,$A404,元データ_14項目!$B$2:$B$1300,"本年",元データ_14項目!$C$2:$C$1300,K$5)</f>
        <v>54</v>
      </c>
      <c r="L404" s="26">
        <f>SUMIFS(INDEX(元データ_14項目!$D$2:$Q$1300,0,MATCH($B404,元データ_14項目!$D$1:$Q$1,0)),元データ_14項目!$A$2:$A$1300,$A404,元データ_14項目!$B$2:$B$1300,"本年",元データ_14項目!$C$2:$C$1300,L$5)</f>
        <v>33</v>
      </c>
      <c r="M404" s="26">
        <f>SUMIFS(INDEX(元データ_14項目!$D$2:$Q$1300,0,MATCH($B404,元データ_14項目!$D$1:$Q$1,0)),元データ_14項目!$A$2:$A$1300,$A404,元データ_14項目!$B$2:$B$1300,"本年",元データ_14項目!$C$2:$C$1300,M$5)</f>
        <v>29</v>
      </c>
      <c r="N404" s="26">
        <f>SUMIFS(INDEX(元データ_14項目!$D$2:$Q$1300,0,MATCH($B404,元データ_14項目!$D$1:$Q$1,0)),元データ_14項目!$A$2:$A$1300,$A404,元データ_14項目!$B$2:$B$1300,"本年",元データ_14項目!$C$2:$C$1300,N$5)</f>
        <v>28</v>
      </c>
      <c r="O404" s="26">
        <f t="shared" si="12"/>
        <v>366</v>
      </c>
      <c r="P404" s="26">
        <f>SUMIFS(INDEX(元データ_14項目!$D$2:$Q$1300,0,MATCH($B404,元データ_14項目!$D$1:$Q$1,0)),元データ_14項目!$A$2:$A$1300,$A404,元データ_14項目!$B$2:$B$1300,"前年")</f>
        <v>353</v>
      </c>
      <c r="Q404" s="7">
        <f t="shared" si="13"/>
        <v>1.0368271954674222</v>
      </c>
    </row>
    <row r="405" spans="1:17" x14ac:dyDescent="0.45">
      <c r="A405" t="s">
        <v>63</v>
      </c>
      <c r="B405" t="s">
        <v>93</v>
      </c>
      <c r="C405" s="26">
        <f>SUMIFS(INDEX(元データ_14項目!$D$2:$Q$1300,0,MATCH($B405,元データ_14項目!$D$1:$Q$1,0)),元データ_14項目!$A$2:$A$1300,$A405,元データ_14項目!$B$2:$B$1300,"本年",元データ_14項目!$C$2:$C$1300,C$5)</f>
        <v>25</v>
      </c>
      <c r="D405" s="26">
        <f>SUMIFS(INDEX(元データ_14項目!$D$2:$Q$1300,0,MATCH($B405,元データ_14項目!$D$1:$Q$1,0)),元データ_14項目!$A$2:$A$1300,$A405,元データ_14項目!$B$2:$B$1300,"本年",元データ_14項目!$C$2:$C$1300,D$5)</f>
        <v>16</v>
      </c>
      <c r="E405" s="26">
        <f>SUMIFS(INDEX(元データ_14項目!$D$2:$Q$1300,0,MATCH($B405,元データ_14項目!$D$1:$Q$1,0)),元データ_14項目!$A$2:$A$1300,$A405,元データ_14項目!$B$2:$B$1300,"本年",元データ_14項目!$C$2:$C$1300,E$5)</f>
        <v>55</v>
      </c>
      <c r="F405" s="26">
        <f>SUMIFS(INDEX(元データ_14項目!$D$2:$Q$1300,0,MATCH($B405,元データ_14項目!$D$1:$Q$1,0)),元データ_14項目!$A$2:$A$1300,$A405,元データ_14項目!$B$2:$B$1300,"本年",元データ_14項目!$C$2:$C$1300,F$5)</f>
        <v>57</v>
      </c>
      <c r="G405" s="26">
        <f>SUMIFS(INDEX(元データ_14項目!$D$2:$Q$1300,0,MATCH($B405,元データ_14項目!$D$1:$Q$1,0)),元データ_14項目!$A$2:$A$1300,$A405,元データ_14項目!$B$2:$B$1300,"本年",元データ_14項目!$C$2:$C$1300,G$5)</f>
        <v>85</v>
      </c>
      <c r="H405" s="26">
        <f>SUMIFS(INDEX(元データ_14項目!$D$2:$Q$1300,0,MATCH($B405,元データ_14項目!$D$1:$Q$1,0)),元データ_14項目!$A$2:$A$1300,$A405,元データ_14項目!$B$2:$B$1300,"本年",元データ_14項目!$C$2:$C$1300,H$5)</f>
        <v>62</v>
      </c>
      <c r="I405" s="26">
        <f>SUMIFS(INDEX(元データ_14項目!$D$2:$Q$1300,0,MATCH($B405,元データ_14項目!$D$1:$Q$1,0)),元データ_14項目!$A$2:$A$1300,$A405,元データ_14項目!$B$2:$B$1300,"本年",元データ_14項目!$C$2:$C$1300,I$5)</f>
        <v>57</v>
      </c>
      <c r="J405" s="26">
        <f>SUMIFS(INDEX(元データ_14項目!$D$2:$Q$1300,0,MATCH($B405,元データ_14項目!$D$1:$Q$1,0)),元データ_14項目!$A$2:$A$1300,$A405,元データ_14項目!$B$2:$B$1300,"本年",元データ_14項目!$C$2:$C$1300,J$5)</f>
        <v>75</v>
      </c>
      <c r="K405" s="26">
        <f>SUMIFS(INDEX(元データ_14項目!$D$2:$Q$1300,0,MATCH($B405,元データ_14項目!$D$1:$Q$1,0)),元データ_14項目!$A$2:$A$1300,$A405,元データ_14項目!$B$2:$B$1300,"本年",元データ_14項目!$C$2:$C$1300,K$5)</f>
        <v>276</v>
      </c>
      <c r="L405" s="26">
        <f>SUMIFS(INDEX(元データ_14項目!$D$2:$Q$1300,0,MATCH($B405,元データ_14項目!$D$1:$Q$1,0)),元データ_14項目!$A$2:$A$1300,$A405,元データ_14項目!$B$2:$B$1300,"本年",元データ_14項目!$C$2:$C$1300,L$5)</f>
        <v>130</v>
      </c>
      <c r="M405" s="26">
        <f>SUMIFS(INDEX(元データ_14項目!$D$2:$Q$1300,0,MATCH($B405,元データ_14項目!$D$1:$Q$1,0)),元データ_14項目!$A$2:$A$1300,$A405,元データ_14項目!$B$2:$B$1300,"本年",元データ_14項目!$C$2:$C$1300,M$5)</f>
        <v>79</v>
      </c>
      <c r="N405" s="26">
        <f>SUMIFS(INDEX(元データ_14項目!$D$2:$Q$1300,0,MATCH($B405,元データ_14項目!$D$1:$Q$1,0)),元データ_14項目!$A$2:$A$1300,$A405,元データ_14項目!$B$2:$B$1300,"本年",元データ_14項目!$C$2:$C$1300,N$5)</f>
        <v>51</v>
      </c>
      <c r="O405" s="26">
        <f t="shared" si="12"/>
        <v>968</v>
      </c>
      <c r="P405" s="26">
        <f>SUMIFS(INDEX(元データ_14項目!$D$2:$Q$1300,0,MATCH($B405,元データ_14項目!$D$1:$Q$1,0)),元データ_14項目!$A$2:$A$1300,$A405,元データ_14項目!$B$2:$B$1300,"前年")</f>
        <v>912</v>
      </c>
      <c r="Q405" s="7">
        <f t="shared" si="13"/>
        <v>1.0614035087719298</v>
      </c>
    </row>
    <row r="406" spans="1:17" x14ac:dyDescent="0.45">
      <c r="A406" t="s">
        <v>63</v>
      </c>
      <c r="B406" t="s">
        <v>94</v>
      </c>
      <c r="C406" s="26">
        <f>SUMIFS(INDEX(元データ_14項目!$D$2:$Q$1300,0,MATCH($B406,元データ_14項目!$D$1:$Q$1,0)),元データ_14項目!$A$2:$A$1300,$A406,元データ_14項目!$B$2:$B$1300,"本年",元データ_14項目!$C$2:$C$1300,C$5)</f>
        <v>10</v>
      </c>
      <c r="D406" s="26">
        <f>SUMIFS(INDEX(元データ_14項目!$D$2:$Q$1300,0,MATCH($B406,元データ_14項目!$D$1:$Q$1,0)),元データ_14項目!$A$2:$A$1300,$A406,元データ_14項目!$B$2:$B$1300,"本年",元データ_14項目!$C$2:$C$1300,D$5)</f>
        <v>15</v>
      </c>
      <c r="E406" s="26">
        <f>SUMIFS(INDEX(元データ_14項目!$D$2:$Q$1300,0,MATCH($B406,元データ_14項目!$D$1:$Q$1,0)),元データ_14項目!$A$2:$A$1300,$A406,元データ_14項目!$B$2:$B$1300,"本年",元データ_14項目!$C$2:$C$1300,E$5)</f>
        <v>38</v>
      </c>
      <c r="F406" s="26">
        <f>SUMIFS(INDEX(元データ_14項目!$D$2:$Q$1300,0,MATCH($B406,元データ_14項目!$D$1:$Q$1,0)),元データ_14項目!$A$2:$A$1300,$A406,元データ_14項目!$B$2:$B$1300,"本年",元データ_14項目!$C$2:$C$1300,F$5)</f>
        <v>21</v>
      </c>
      <c r="G406" s="26">
        <f>SUMIFS(INDEX(元データ_14項目!$D$2:$Q$1300,0,MATCH($B406,元データ_14項目!$D$1:$Q$1,0)),元データ_14項目!$A$2:$A$1300,$A406,元データ_14項目!$B$2:$B$1300,"本年",元データ_14項目!$C$2:$C$1300,G$5)</f>
        <v>27</v>
      </c>
      <c r="H406" s="26">
        <f>SUMIFS(INDEX(元データ_14項目!$D$2:$Q$1300,0,MATCH($B406,元データ_14項目!$D$1:$Q$1,0)),元データ_14項目!$A$2:$A$1300,$A406,元データ_14項目!$B$2:$B$1300,"本年",元データ_14項目!$C$2:$C$1300,H$5)</f>
        <v>16</v>
      </c>
      <c r="I406" s="26">
        <f>SUMIFS(INDEX(元データ_14項目!$D$2:$Q$1300,0,MATCH($B406,元データ_14項目!$D$1:$Q$1,0)),元データ_14項目!$A$2:$A$1300,$A406,元データ_14項目!$B$2:$B$1300,"本年",元データ_14項目!$C$2:$C$1300,I$5)</f>
        <v>14</v>
      </c>
      <c r="J406" s="26">
        <f>SUMIFS(INDEX(元データ_14項目!$D$2:$Q$1300,0,MATCH($B406,元データ_14項目!$D$1:$Q$1,0)),元データ_14項目!$A$2:$A$1300,$A406,元データ_14項目!$B$2:$B$1300,"本年",元データ_14項目!$C$2:$C$1300,J$5)</f>
        <v>22</v>
      </c>
      <c r="K406" s="26">
        <f>SUMIFS(INDEX(元データ_14項目!$D$2:$Q$1300,0,MATCH($B406,元データ_14項目!$D$1:$Q$1,0)),元データ_14項目!$A$2:$A$1300,$A406,元データ_14項目!$B$2:$B$1300,"本年",元データ_14項目!$C$2:$C$1300,K$5)</f>
        <v>80</v>
      </c>
      <c r="L406" s="26">
        <f>SUMIFS(INDEX(元データ_14項目!$D$2:$Q$1300,0,MATCH($B406,元データ_14項目!$D$1:$Q$1,0)),元データ_14項目!$A$2:$A$1300,$A406,元データ_14項目!$B$2:$B$1300,"本年",元データ_14項目!$C$2:$C$1300,L$5)</f>
        <v>47</v>
      </c>
      <c r="M406" s="26">
        <f>SUMIFS(INDEX(元データ_14項目!$D$2:$Q$1300,0,MATCH($B406,元データ_14項目!$D$1:$Q$1,0)),元データ_14項目!$A$2:$A$1300,$A406,元データ_14項目!$B$2:$B$1300,"本年",元データ_14項目!$C$2:$C$1300,M$5)</f>
        <v>55</v>
      </c>
      <c r="N406" s="26">
        <f>SUMIFS(INDEX(元データ_14項目!$D$2:$Q$1300,0,MATCH($B406,元データ_14項目!$D$1:$Q$1,0)),元データ_14項目!$A$2:$A$1300,$A406,元データ_14項目!$B$2:$B$1300,"本年",元データ_14項目!$C$2:$C$1300,N$5)</f>
        <v>19</v>
      </c>
      <c r="O406" s="26">
        <f t="shared" si="12"/>
        <v>364</v>
      </c>
      <c r="P406" s="26">
        <f>SUMIFS(INDEX(元データ_14項目!$D$2:$Q$1300,0,MATCH($B406,元データ_14項目!$D$1:$Q$1,0)),元データ_14項目!$A$2:$A$1300,$A406,元データ_14項目!$B$2:$B$1300,"前年")</f>
        <v>410</v>
      </c>
      <c r="Q406" s="7">
        <f t="shared" si="13"/>
        <v>0.8878048780487805</v>
      </c>
    </row>
    <row r="407" spans="1:17" x14ac:dyDescent="0.45">
      <c r="A407" t="s">
        <v>63</v>
      </c>
      <c r="B407" t="s">
        <v>95</v>
      </c>
      <c r="C407" s="26">
        <f>SUMIFS(INDEX(元データ_14項目!$D$2:$Q$1300,0,MATCH($B407,元データ_14項目!$D$1:$Q$1,0)),元データ_14項目!$A$2:$A$1300,$A407,元データ_14項目!$B$2:$B$1300,"本年",元データ_14項目!$C$2:$C$1300,C$5)</f>
        <v>23</v>
      </c>
      <c r="D407" s="26">
        <f>SUMIFS(INDEX(元データ_14項目!$D$2:$Q$1300,0,MATCH($B407,元データ_14項目!$D$1:$Q$1,0)),元データ_14項目!$A$2:$A$1300,$A407,元データ_14項目!$B$2:$B$1300,"本年",元データ_14項目!$C$2:$C$1300,D$5)</f>
        <v>26</v>
      </c>
      <c r="E407" s="26">
        <f>SUMIFS(INDEX(元データ_14項目!$D$2:$Q$1300,0,MATCH($B407,元データ_14項目!$D$1:$Q$1,0)),元データ_14項目!$A$2:$A$1300,$A407,元データ_14項目!$B$2:$B$1300,"本年",元データ_14項目!$C$2:$C$1300,E$5)</f>
        <v>33</v>
      </c>
      <c r="F407" s="26">
        <f>SUMIFS(INDEX(元データ_14項目!$D$2:$Q$1300,0,MATCH($B407,元データ_14項目!$D$1:$Q$1,0)),元データ_14項目!$A$2:$A$1300,$A407,元データ_14項目!$B$2:$B$1300,"本年",元データ_14項目!$C$2:$C$1300,F$5)</f>
        <v>44</v>
      </c>
      <c r="G407" s="26">
        <f>SUMIFS(INDEX(元データ_14項目!$D$2:$Q$1300,0,MATCH($B407,元データ_14項目!$D$1:$Q$1,0)),元データ_14項目!$A$2:$A$1300,$A407,元データ_14項目!$B$2:$B$1300,"本年",元データ_14項目!$C$2:$C$1300,G$5)</f>
        <v>31</v>
      </c>
      <c r="H407" s="26">
        <f>SUMIFS(INDEX(元データ_14項目!$D$2:$Q$1300,0,MATCH($B407,元データ_14項目!$D$1:$Q$1,0)),元データ_14項目!$A$2:$A$1300,$A407,元データ_14項目!$B$2:$B$1300,"本年",元データ_14項目!$C$2:$C$1300,H$5)</f>
        <v>21</v>
      </c>
      <c r="I407" s="26">
        <f>SUMIFS(INDEX(元データ_14項目!$D$2:$Q$1300,0,MATCH($B407,元データ_14項目!$D$1:$Q$1,0)),元データ_14項目!$A$2:$A$1300,$A407,元データ_14項目!$B$2:$B$1300,"本年",元データ_14項目!$C$2:$C$1300,I$5)</f>
        <v>17</v>
      </c>
      <c r="J407" s="26">
        <f>SUMIFS(INDEX(元データ_14項目!$D$2:$Q$1300,0,MATCH($B407,元データ_14項目!$D$1:$Q$1,0)),元データ_14項目!$A$2:$A$1300,$A407,元データ_14項目!$B$2:$B$1300,"本年",元データ_14項目!$C$2:$C$1300,J$5)</f>
        <v>22</v>
      </c>
      <c r="K407" s="26">
        <f>SUMIFS(INDEX(元データ_14項目!$D$2:$Q$1300,0,MATCH($B407,元データ_14項目!$D$1:$Q$1,0)),元データ_14項目!$A$2:$A$1300,$A407,元データ_14項目!$B$2:$B$1300,"本年",元データ_14項目!$C$2:$C$1300,K$5)</f>
        <v>54</v>
      </c>
      <c r="L407" s="26">
        <f>SUMIFS(INDEX(元データ_14項目!$D$2:$Q$1300,0,MATCH($B407,元データ_14項目!$D$1:$Q$1,0)),元データ_14項目!$A$2:$A$1300,$A407,元データ_14項目!$B$2:$B$1300,"本年",元データ_14項目!$C$2:$C$1300,L$5)</f>
        <v>29</v>
      </c>
      <c r="M407" s="26">
        <f>SUMIFS(INDEX(元データ_14項目!$D$2:$Q$1300,0,MATCH($B407,元データ_14項目!$D$1:$Q$1,0)),元データ_14項目!$A$2:$A$1300,$A407,元データ_14項目!$B$2:$B$1300,"本年",元データ_14項目!$C$2:$C$1300,M$5)</f>
        <v>32</v>
      </c>
      <c r="N407" s="26">
        <f>SUMIFS(INDEX(元データ_14項目!$D$2:$Q$1300,0,MATCH($B407,元データ_14項目!$D$1:$Q$1,0)),元データ_14項目!$A$2:$A$1300,$A407,元データ_14項目!$B$2:$B$1300,"本年",元データ_14項目!$C$2:$C$1300,N$5)</f>
        <v>31</v>
      </c>
      <c r="O407" s="26">
        <f t="shared" si="12"/>
        <v>363</v>
      </c>
      <c r="P407" s="26">
        <f>SUMIFS(INDEX(元データ_14項目!$D$2:$Q$1300,0,MATCH($B407,元データ_14項目!$D$1:$Q$1,0)),元データ_14項目!$A$2:$A$1300,$A407,元データ_14項目!$B$2:$B$1300,"前年")</f>
        <v>366</v>
      </c>
      <c r="Q407" s="7">
        <f t="shared" si="13"/>
        <v>0.99180327868852458</v>
      </c>
    </row>
    <row r="408" spans="1:17" x14ac:dyDescent="0.45">
      <c r="A408" t="s">
        <v>63</v>
      </c>
      <c r="B408" t="s">
        <v>96</v>
      </c>
      <c r="C408" s="26">
        <f>SUMIFS(INDEX(元データ_14項目!$D$2:$Q$1300,0,MATCH($B408,元データ_14項目!$D$1:$Q$1,0)),元データ_14項目!$A$2:$A$1300,$A408,元データ_14項目!$B$2:$B$1300,"本年",元データ_14項目!$C$2:$C$1300,C$5)</f>
        <v>16</v>
      </c>
      <c r="D408" s="26">
        <f>SUMIFS(INDEX(元データ_14項目!$D$2:$Q$1300,0,MATCH($B408,元データ_14項目!$D$1:$Q$1,0)),元データ_14項目!$A$2:$A$1300,$A408,元データ_14項目!$B$2:$B$1300,"本年",元データ_14項目!$C$2:$C$1300,D$5)</f>
        <v>24</v>
      </c>
      <c r="E408" s="26">
        <f>SUMIFS(INDEX(元データ_14項目!$D$2:$Q$1300,0,MATCH($B408,元データ_14項目!$D$1:$Q$1,0)),元データ_14項目!$A$2:$A$1300,$A408,元データ_14項目!$B$2:$B$1300,"本年",元データ_14項目!$C$2:$C$1300,E$5)</f>
        <v>50</v>
      </c>
      <c r="F408" s="26">
        <f>SUMIFS(INDEX(元データ_14項目!$D$2:$Q$1300,0,MATCH($B408,元データ_14項目!$D$1:$Q$1,0)),元データ_14項目!$A$2:$A$1300,$A408,元データ_14項目!$B$2:$B$1300,"本年",元データ_14項目!$C$2:$C$1300,F$5)</f>
        <v>43</v>
      </c>
      <c r="G408" s="26">
        <f>SUMIFS(INDEX(元データ_14項目!$D$2:$Q$1300,0,MATCH($B408,元データ_14項目!$D$1:$Q$1,0)),元データ_14項目!$A$2:$A$1300,$A408,元データ_14項目!$B$2:$B$1300,"本年",元データ_14項目!$C$2:$C$1300,G$5)</f>
        <v>60</v>
      </c>
      <c r="H408" s="26">
        <f>SUMIFS(INDEX(元データ_14項目!$D$2:$Q$1300,0,MATCH($B408,元データ_14項目!$D$1:$Q$1,0)),元データ_14項目!$A$2:$A$1300,$A408,元データ_14項目!$B$2:$B$1300,"本年",元データ_14項目!$C$2:$C$1300,H$5)</f>
        <v>55</v>
      </c>
      <c r="I408" s="26">
        <f>SUMIFS(INDEX(元データ_14項目!$D$2:$Q$1300,0,MATCH($B408,元データ_14項目!$D$1:$Q$1,0)),元データ_14項目!$A$2:$A$1300,$A408,元データ_14項目!$B$2:$B$1300,"本年",元データ_14項目!$C$2:$C$1300,I$5)</f>
        <v>33</v>
      </c>
      <c r="J408" s="26">
        <f>SUMIFS(INDEX(元データ_14項目!$D$2:$Q$1300,0,MATCH($B408,元データ_14項目!$D$1:$Q$1,0)),元データ_14項目!$A$2:$A$1300,$A408,元データ_14項目!$B$2:$B$1300,"本年",元データ_14項目!$C$2:$C$1300,J$5)</f>
        <v>118</v>
      </c>
      <c r="K408" s="26">
        <f>SUMIFS(INDEX(元データ_14項目!$D$2:$Q$1300,0,MATCH($B408,元データ_14項目!$D$1:$Q$1,0)),元データ_14項目!$A$2:$A$1300,$A408,元データ_14項目!$B$2:$B$1300,"本年",元データ_14項目!$C$2:$C$1300,K$5)</f>
        <v>341</v>
      </c>
      <c r="L408" s="26">
        <f>SUMIFS(INDEX(元データ_14項目!$D$2:$Q$1300,0,MATCH($B408,元データ_14項目!$D$1:$Q$1,0)),元データ_14項目!$A$2:$A$1300,$A408,元データ_14項目!$B$2:$B$1300,"本年",元データ_14項目!$C$2:$C$1300,L$5)</f>
        <v>182</v>
      </c>
      <c r="M408" s="26">
        <f>SUMIFS(INDEX(元データ_14項目!$D$2:$Q$1300,0,MATCH($B408,元データ_14項目!$D$1:$Q$1,0)),元データ_14項目!$A$2:$A$1300,$A408,元データ_14項目!$B$2:$B$1300,"本年",元データ_14項目!$C$2:$C$1300,M$5)</f>
        <v>107</v>
      </c>
      <c r="N408" s="26">
        <f>SUMIFS(INDEX(元データ_14項目!$D$2:$Q$1300,0,MATCH($B408,元データ_14項目!$D$1:$Q$1,0)),元データ_14項目!$A$2:$A$1300,$A408,元データ_14項目!$B$2:$B$1300,"本年",元データ_14項目!$C$2:$C$1300,N$5)</f>
        <v>39</v>
      </c>
      <c r="O408" s="26">
        <f t="shared" si="12"/>
        <v>1068</v>
      </c>
      <c r="P408" s="26">
        <f>SUMIFS(INDEX(元データ_14項目!$D$2:$Q$1300,0,MATCH($B408,元データ_14項目!$D$1:$Q$1,0)),元データ_14項目!$A$2:$A$1300,$A408,元データ_14項目!$B$2:$B$1300,"前年")</f>
        <v>1179</v>
      </c>
      <c r="Q408" s="7">
        <f t="shared" si="13"/>
        <v>0.90585241730279897</v>
      </c>
    </row>
    <row r="409" spans="1:17" x14ac:dyDescent="0.45">
      <c r="A409" t="s">
        <v>63</v>
      </c>
      <c r="B409" t="s">
        <v>97</v>
      </c>
      <c r="C409" s="26">
        <f>SUMIFS(INDEX(元データ_14項目!$D$2:$Q$1300,0,MATCH($B409,元データ_14項目!$D$1:$Q$1,0)),元データ_14項目!$A$2:$A$1300,$A409,元データ_14項目!$B$2:$B$1300,"本年",元データ_14項目!$C$2:$C$1300,C$5)</f>
        <v>34</v>
      </c>
      <c r="D409" s="26">
        <f>SUMIFS(INDEX(元データ_14項目!$D$2:$Q$1300,0,MATCH($B409,元データ_14項目!$D$1:$Q$1,0)),元データ_14項目!$A$2:$A$1300,$A409,元データ_14項目!$B$2:$B$1300,"本年",元データ_14項目!$C$2:$C$1300,D$5)</f>
        <v>34</v>
      </c>
      <c r="E409" s="26">
        <f>SUMIFS(INDEX(元データ_14項目!$D$2:$Q$1300,0,MATCH($B409,元データ_14項目!$D$1:$Q$1,0)),元データ_14項目!$A$2:$A$1300,$A409,元データ_14項目!$B$2:$B$1300,"本年",元データ_14項目!$C$2:$C$1300,E$5)</f>
        <v>74</v>
      </c>
      <c r="F409" s="26">
        <f>SUMIFS(INDEX(元データ_14項目!$D$2:$Q$1300,0,MATCH($B409,元データ_14項目!$D$1:$Q$1,0)),元データ_14項目!$A$2:$A$1300,$A409,元データ_14項目!$B$2:$B$1300,"本年",元データ_14項目!$C$2:$C$1300,F$5)</f>
        <v>79</v>
      </c>
      <c r="G409" s="26">
        <f>SUMIFS(INDEX(元データ_14項目!$D$2:$Q$1300,0,MATCH($B409,元データ_14項目!$D$1:$Q$1,0)),元データ_14項目!$A$2:$A$1300,$A409,元データ_14項目!$B$2:$B$1300,"本年",元データ_14項目!$C$2:$C$1300,G$5)</f>
        <v>79</v>
      </c>
      <c r="H409" s="26">
        <f>SUMIFS(INDEX(元データ_14項目!$D$2:$Q$1300,0,MATCH($B409,元データ_14項目!$D$1:$Q$1,0)),元データ_14項目!$A$2:$A$1300,$A409,元データ_14項目!$B$2:$B$1300,"本年",元データ_14項目!$C$2:$C$1300,H$5)</f>
        <v>65</v>
      </c>
      <c r="I409" s="26">
        <f>SUMIFS(INDEX(元データ_14項目!$D$2:$Q$1300,0,MATCH($B409,元データ_14項目!$D$1:$Q$1,0)),元データ_14項目!$A$2:$A$1300,$A409,元データ_14項目!$B$2:$B$1300,"本年",元データ_14項目!$C$2:$C$1300,I$5)</f>
        <v>35</v>
      </c>
      <c r="J409" s="26">
        <f>SUMIFS(INDEX(元データ_14項目!$D$2:$Q$1300,0,MATCH($B409,元データ_14項目!$D$1:$Q$1,0)),元データ_14項目!$A$2:$A$1300,$A409,元データ_14項目!$B$2:$B$1300,"本年",元データ_14項目!$C$2:$C$1300,J$5)</f>
        <v>105</v>
      </c>
      <c r="K409" s="26">
        <f>SUMIFS(INDEX(元データ_14項目!$D$2:$Q$1300,0,MATCH($B409,元データ_14項目!$D$1:$Q$1,0)),元データ_14項目!$A$2:$A$1300,$A409,元データ_14項目!$B$2:$B$1300,"本年",元データ_14項目!$C$2:$C$1300,K$5)</f>
        <v>284</v>
      </c>
      <c r="L409" s="26">
        <f>SUMIFS(INDEX(元データ_14項目!$D$2:$Q$1300,0,MATCH($B409,元データ_14項目!$D$1:$Q$1,0)),元データ_14項目!$A$2:$A$1300,$A409,元データ_14項目!$B$2:$B$1300,"本年",元データ_14項目!$C$2:$C$1300,L$5)</f>
        <v>140</v>
      </c>
      <c r="M409" s="26">
        <f>SUMIFS(INDEX(元データ_14項目!$D$2:$Q$1300,0,MATCH($B409,元データ_14項目!$D$1:$Q$1,0)),元データ_14項目!$A$2:$A$1300,$A409,元データ_14項目!$B$2:$B$1300,"本年",元データ_14項目!$C$2:$C$1300,M$5)</f>
        <v>107</v>
      </c>
      <c r="N409" s="26">
        <f>SUMIFS(INDEX(元データ_14項目!$D$2:$Q$1300,0,MATCH($B409,元データ_14項目!$D$1:$Q$1,0)),元データ_14項目!$A$2:$A$1300,$A409,元データ_14項目!$B$2:$B$1300,"本年",元データ_14項目!$C$2:$C$1300,N$5)</f>
        <v>63</v>
      </c>
      <c r="O409" s="26">
        <f t="shared" si="12"/>
        <v>1099</v>
      </c>
      <c r="P409" s="26">
        <f>SUMIFS(INDEX(元データ_14項目!$D$2:$Q$1300,0,MATCH($B409,元データ_14項目!$D$1:$Q$1,0)),元データ_14項目!$A$2:$A$1300,$A409,元データ_14項目!$B$2:$B$1300,"前年")</f>
        <v>1185</v>
      </c>
      <c r="Q409" s="7">
        <f t="shared" si="13"/>
        <v>0.92742616033755276</v>
      </c>
    </row>
    <row r="410" spans="1:17" x14ac:dyDescent="0.45">
      <c r="A410" t="s">
        <v>63</v>
      </c>
      <c r="B410" t="s">
        <v>98</v>
      </c>
      <c r="C410" s="26">
        <f>SUMIFS(INDEX(元データ_14項目!$D$2:$Q$1300,0,MATCH($B410,元データ_14項目!$D$1:$Q$1,0)),元データ_14項目!$A$2:$A$1300,$A410,元データ_14項目!$B$2:$B$1300,"本年",元データ_14項目!$C$2:$C$1300,C$5)</f>
        <v>13</v>
      </c>
      <c r="D410" s="26">
        <f>SUMIFS(INDEX(元データ_14項目!$D$2:$Q$1300,0,MATCH($B410,元データ_14項目!$D$1:$Q$1,0)),元データ_14項目!$A$2:$A$1300,$A410,元データ_14項目!$B$2:$B$1300,"本年",元データ_14項目!$C$2:$C$1300,D$5)</f>
        <v>9</v>
      </c>
      <c r="E410" s="26">
        <f>SUMIFS(INDEX(元データ_14項目!$D$2:$Q$1300,0,MATCH($B410,元データ_14項目!$D$1:$Q$1,0)),元データ_14項目!$A$2:$A$1300,$A410,元データ_14項目!$B$2:$B$1300,"本年",元データ_14項目!$C$2:$C$1300,E$5)</f>
        <v>32</v>
      </c>
      <c r="F410" s="26">
        <f>SUMIFS(INDEX(元データ_14項目!$D$2:$Q$1300,0,MATCH($B410,元データ_14項目!$D$1:$Q$1,0)),元データ_14項目!$A$2:$A$1300,$A410,元データ_14項目!$B$2:$B$1300,"本年",元データ_14項目!$C$2:$C$1300,F$5)</f>
        <v>19</v>
      </c>
      <c r="G410" s="26">
        <f>SUMIFS(INDEX(元データ_14項目!$D$2:$Q$1300,0,MATCH($B410,元データ_14項目!$D$1:$Q$1,0)),元データ_14項目!$A$2:$A$1300,$A410,元データ_14項目!$B$2:$B$1300,"本年",元データ_14項目!$C$2:$C$1300,G$5)</f>
        <v>33</v>
      </c>
      <c r="H410" s="26">
        <f>SUMIFS(INDEX(元データ_14項目!$D$2:$Q$1300,0,MATCH($B410,元データ_14項目!$D$1:$Q$1,0)),元データ_14項目!$A$2:$A$1300,$A410,元データ_14項目!$B$2:$B$1300,"本年",元データ_14項目!$C$2:$C$1300,H$5)</f>
        <v>16</v>
      </c>
      <c r="I410" s="26">
        <f>SUMIFS(INDEX(元データ_14項目!$D$2:$Q$1300,0,MATCH($B410,元データ_14項目!$D$1:$Q$1,0)),元データ_14項目!$A$2:$A$1300,$A410,元データ_14項目!$B$2:$B$1300,"本年",元データ_14項目!$C$2:$C$1300,I$5)</f>
        <v>11</v>
      </c>
      <c r="J410" s="26">
        <f>SUMIFS(INDEX(元データ_14項目!$D$2:$Q$1300,0,MATCH($B410,元データ_14項目!$D$1:$Q$1,0)),元データ_14項目!$A$2:$A$1300,$A410,元データ_14項目!$B$2:$B$1300,"本年",元データ_14項目!$C$2:$C$1300,J$5)</f>
        <v>87</v>
      </c>
      <c r="K410" s="26">
        <f>SUMIFS(INDEX(元データ_14項目!$D$2:$Q$1300,0,MATCH($B410,元データ_14項目!$D$1:$Q$1,0)),元データ_14項目!$A$2:$A$1300,$A410,元データ_14項目!$B$2:$B$1300,"本年",元データ_14項目!$C$2:$C$1300,K$5)</f>
        <v>200</v>
      </c>
      <c r="L410" s="26">
        <f>SUMIFS(INDEX(元データ_14項目!$D$2:$Q$1300,0,MATCH($B410,元データ_14項目!$D$1:$Q$1,0)),元データ_14項目!$A$2:$A$1300,$A410,元データ_14項目!$B$2:$B$1300,"本年",元データ_14項目!$C$2:$C$1300,L$5)</f>
        <v>116</v>
      </c>
      <c r="M410" s="26">
        <f>SUMIFS(INDEX(元データ_14項目!$D$2:$Q$1300,0,MATCH($B410,元データ_14項目!$D$1:$Q$1,0)),元データ_14項目!$A$2:$A$1300,$A410,元データ_14項目!$B$2:$B$1300,"本年",元データ_14項目!$C$2:$C$1300,M$5)</f>
        <v>57</v>
      </c>
      <c r="N410" s="26">
        <f>SUMIFS(INDEX(元データ_14項目!$D$2:$Q$1300,0,MATCH($B410,元データ_14項目!$D$1:$Q$1,0)),元データ_14項目!$A$2:$A$1300,$A410,元データ_14項目!$B$2:$B$1300,"本年",元データ_14項目!$C$2:$C$1300,N$5)</f>
        <v>41</v>
      </c>
      <c r="O410" s="26">
        <f t="shared" si="12"/>
        <v>634</v>
      </c>
      <c r="P410" s="26">
        <f>SUMIFS(INDEX(元データ_14項目!$D$2:$Q$1300,0,MATCH($B410,元データ_14項目!$D$1:$Q$1,0)),元データ_14項目!$A$2:$A$1300,$A410,元データ_14項目!$B$2:$B$1300,"前年")</f>
        <v>639</v>
      </c>
      <c r="Q410" s="7">
        <f t="shared" si="13"/>
        <v>0.99217527386541471</v>
      </c>
    </row>
    <row r="411" spans="1:17" x14ac:dyDescent="0.45">
      <c r="A411" t="s">
        <v>63</v>
      </c>
      <c r="B411" t="s">
        <v>99</v>
      </c>
      <c r="C411" s="26">
        <f>SUMIFS(INDEX(元データ_14項目!$D$2:$Q$1300,0,MATCH($B411,元データ_14項目!$D$1:$Q$1,0)),元データ_14項目!$A$2:$A$1300,$A411,元データ_14項目!$B$2:$B$1300,"本年",元データ_14項目!$C$2:$C$1300,C$5)</f>
        <v>8</v>
      </c>
      <c r="D411" s="26">
        <f>SUMIFS(INDEX(元データ_14項目!$D$2:$Q$1300,0,MATCH($B411,元データ_14項目!$D$1:$Q$1,0)),元データ_14項目!$A$2:$A$1300,$A411,元データ_14項目!$B$2:$B$1300,"本年",元データ_14項目!$C$2:$C$1300,D$5)</f>
        <v>1</v>
      </c>
      <c r="E411" s="26">
        <f>SUMIFS(INDEX(元データ_14項目!$D$2:$Q$1300,0,MATCH($B411,元データ_14項目!$D$1:$Q$1,0)),元データ_14項目!$A$2:$A$1300,$A411,元データ_14項目!$B$2:$B$1300,"本年",元データ_14項目!$C$2:$C$1300,E$5)</f>
        <v>3</v>
      </c>
      <c r="F411" s="26">
        <f>SUMIFS(INDEX(元データ_14項目!$D$2:$Q$1300,0,MATCH($B411,元データ_14項目!$D$1:$Q$1,0)),元データ_14項目!$A$2:$A$1300,$A411,元データ_14項目!$B$2:$B$1300,"本年",元データ_14項目!$C$2:$C$1300,F$5)</f>
        <v>2</v>
      </c>
      <c r="G411" s="26">
        <f>SUMIFS(INDEX(元データ_14項目!$D$2:$Q$1300,0,MATCH($B411,元データ_14項目!$D$1:$Q$1,0)),元データ_14項目!$A$2:$A$1300,$A411,元データ_14項目!$B$2:$B$1300,"本年",元データ_14項目!$C$2:$C$1300,G$5)</f>
        <v>4</v>
      </c>
      <c r="H411" s="26">
        <f>SUMIFS(INDEX(元データ_14項目!$D$2:$Q$1300,0,MATCH($B411,元データ_14項目!$D$1:$Q$1,0)),元データ_14項目!$A$2:$A$1300,$A411,元データ_14項目!$B$2:$B$1300,"本年",元データ_14項目!$C$2:$C$1300,H$5)</f>
        <v>2</v>
      </c>
      <c r="I411" s="26">
        <f>SUMIFS(INDEX(元データ_14項目!$D$2:$Q$1300,0,MATCH($B411,元データ_14項目!$D$1:$Q$1,0)),元データ_14項目!$A$2:$A$1300,$A411,元データ_14項目!$B$2:$B$1300,"本年",元データ_14項目!$C$2:$C$1300,I$5)</f>
        <v>17</v>
      </c>
      <c r="J411" s="26">
        <f>SUMIFS(INDEX(元データ_14項目!$D$2:$Q$1300,0,MATCH($B411,元データ_14項目!$D$1:$Q$1,0)),元データ_14項目!$A$2:$A$1300,$A411,元データ_14項目!$B$2:$B$1300,"本年",元データ_14項目!$C$2:$C$1300,J$5)</f>
        <v>25</v>
      </c>
      <c r="K411" s="26">
        <f>SUMIFS(INDEX(元データ_14項目!$D$2:$Q$1300,0,MATCH($B411,元データ_14項目!$D$1:$Q$1,0)),元データ_14項目!$A$2:$A$1300,$A411,元データ_14項目!$B$2:$B$1300,"本年",元データ_14項目!$C$2:$C$1300,K$5)</f>
        <v>23</v>
      </c>
      <c r="L411" s="26">
        <f>SUMIFS(INDEX(元データ_14項目!$D$2:$Q$1300,0,MATCH($B411,元データ_14項目!$D$1:$Q$1,0)),元データ_14項目!$A$2:$A$1300,$A411,元データ_14項目!$B$2:$B$1300,"本年",元データ_14項目!$C$2:$C$1300,L$5)</f>
        <v>9</v>
      </c>
      <c r="M411" s="26">
        <f>SUMIFS(INDEX(元データ_14項目!$D$2:$Q$1300,0,MATCH($B411,元データ_14項目!$D$1:$Q$1,0)),元データ_14項目!$A$2:$A$1300,$A411,元データ_14項目!$B$2:$B$1300,"本年",元データ_14項目!$C$2:$C$1300,M$5)</f>
        <v>15</v>
      </c>
      <c r="N411" s="26">
        <f>SUMIFS(INDEX(元データ_14項目!$D$2:$Q$1300,0,MATCH($B411,元データ_14項目!$D$1:$Q$1,0)),元データ_14項目!$A$2:$A$1300,$A411,元データ_14項目!$B$2:$B$1300,"本年",元データ_14項目!$C$2:$C$1300,N$5)</f>
        <v>0</v>
      </c>
      <c r="O411" s="26">
        <f t="shared" si="12"/>
        <v>109</v>
      </c>
      <c r="P411" s="26">
        <f>SUMIFS(INDEX(元データ_14項目!$D$2:$Q$1300,0,MATCH($B411,元データ_14項目!$D$1:$Q$1,0)),元データ_14項目!$A$2:$A$1300,$A411,元データ_14項目!$B$2:$B$1300,"前年")</f>
        <v>74</v>
      </c>
      <c r="Q411" s="7">
        <f t="shared" si="13"/>
        <v>1.472972972972973</v>
      </c>
    </row>
    <row r="412" spans="1:17" x14ac:dyDescent="0.45">
      <c r="A412" t="s">
        <v>64</v>
      </c>
      <c r="B412" t="s">
        <v>27</v>
      </c>
      <c r="C412" s="26">
        <f>SUMIFS(INDEX(元データ_14項目!$D$2:$Q$1300,0,MATCH($B412,元データ_14項目!$D$1:$Q$1,0)),元データ_14項目!$A$2:$A$1300,$A412,元データ_14項目!$B$2:$B$1300,"本年",元データ_14項目!$C$2:$C$1300,C$5)</f>
        <v>225</v>
      </c>
      <c r="D412" s="26">
        <f>SUMIFS(INDEX(元データ_14項目!$D$2:$Q$1300,0,MATCH($B412,元データ_14項目!$D$1:$Q$1,0)),元データ_14項目!$A$2:$A$1300,$A412,元データ_14項目!$B$2:$B$1300,"本年",元データ_14項目!$C$2:$C$1300,D$5)</f>
        <v>249</v>
      </c>
      <c r="E412" s="26">
        <f>SUMIFS(INDEX(元データ_14項目!$D$2:$Q$1300,0,MATCH($B412,元データ_14項目!$D$1:$Q$1,0)),元データ_14項目!$A$2:$A$1300,$A412,元データ_14項目!$B$2:$B$1300,"本年",元データ_14項目!$C$2:$C$1300,E$5)</f>
        <v>218</v>
      </c>
      <c r="F412" s="26">
        <f>SUMIFS(INDEX(元データ_14項目!$D$2:$Q$1300,0,MATCH($B412,元データ_14項目!$D$1:$Q$1,0)),元データ_14項目!$A$2:$A$1300,$A412,元データ_14項目!$B$2:$B$1300,"本年",元データ_14項目!$C$2:$C$1300,F$5)</f>
        <v>259</v>
      </c>
      <c r="G412" s="26">
        <f>SUMIFS(INDEX(元データ_14項目!$D$2:$Q$1300,0,MATCH($B412,元データ_14項目!$D$1:$Q$1,0)),元データ_14項目!$A$2:$A$1300,$A412,元データ_14項目!$B$2:$B$1300,"本年",元データ_14項目!$C$2:$C$1300,G$5)</f>
        <v>226</v>
      </c>
      <c r="H412" s="26">
        <f>SUMIFS(INDEX(元データ_14項目!$D$2:$Q$1300,0,MATCH($B412,元データ_14項目!$D$1:$Q$1,0)),元データ_14項目!$A$2:$A$1300,$A412,元データ_14項目!$B$2:$B$1300,"本年",元データ_14項目!$C$2:$C$1300,H$5)</f>
        <v>217</v>
      </c>
      <c r="I412" s="26">
        <f>SUMIFS(INDEX(元データ_14項目!$D$2:$Q$1300,0,MATCH($B412,元データ_14項目!$D$1:$Q$1,0)),元データ_14項目!$A$2:$A$1300,$A412,元データ_14項目!$B$2:$B$1300,"本年",元データ_14項目!$C$2:$C$1300,I$5)</f>
        <v>170</v>
      </c>
      <c r="J412" s="26">
        <f>SUMIFS(INDEX(元データ_14項目!$D$2:$Q$1300,0,MATCH($B412,元データ_14項目!$D$1:$Q$1,0)),元データ_14項目!$A$2:$A$1300,$A412,元データ_14項目!$B$2:$B$1300,"本年",元データ_14項目!$C$2:$C$1300,J$5)</f>
        <v>211</v>
      </c>
      <c r="K412" s="26">
        <f>SUMIFS(INDEX(元データ_14項目!$D$2:$Q$1300,0,MATCH($B412,元データ_14項目!$D$1:$Q$1,0)),元データ_14項目!$A$2:$A$1300,$A412,元データ_14項目!$B$2:$B$1300,"本年",元データ_14項目!$C$2:$C$1300,K$5)</f>
        <v>203</v>
      </c>
      <c r="L412" s="26">
        <f>SUMIFS(INDEX(元データ_14項目!$D$2:$Q$1300,0,MATCH($B412,元データ_14項目!$D$1:$Q$1,0)),元データ_14項目!$A$2:$A$1300,$A412,元データ_14項目!$B$2:$B$1300,"本年",元データ_14項目!$C$2:$C$1300,L$5)</f>
        <v>159</v>
      </c>
      <c r="M412" s="26">
        <f>SUMIFS(INDEX(元データ_14項目!$D$2:$Q$1300,0,MATCH($B412,元データ_14項目!$D$1:$Q$1,0)),元データ_14項目!$A$2:$A$1300,$A412,元データ_14項目!$B$2:$B$1300,"本年",元データ_14項目!$C$2:$C$1300,M$5)</f>
        <v>210</v>
      </c>
      <c r="N412" s="26">
        <f>SUMIFS(INDEX(元データ_14項目!$D$2:$Q$1300,0,MATCH($B412,元データ_14項目!$D$1:$Q$1,0)),元データ_14項目!$A$2:$A$1300,$A412,元データ_14項目!$B$2:$B$1300,"本年",元データ_14項目!$C$2:$C$1300,N$5)</f>
        <v>201</v>
      </c>
      <c r="O412" s="26">
        <f t="shared" si="12"/>
        <v>2548</v>
      </c>
      <c r="P412" s="26">
        <f>SUMIFS(INDEX(元データ_14項目!$D$2:$Q$1300,0,MATCH($B412,元データ_14項目!$D$1:$Q$1,0)),元データ_14項目!$A$2:$A$1300,$A412,元データ_14項目!$B$2:$B$1300,"前年")</f>
        <v>2870</v>
      </c>
      <c r="Q412" s="7">
        <f t="shared" si="13"/>
        <v>0.8878048780487805</v>
      </c>
    </row>
    <row r="413" spans="1:17" x14ac:dyDescent="0.45">
      <c r="A413" t="s">
        <v>64</v>
      </c>
      <c r="B413" t="s">
        <v>88</v>
      </c>
      <c r="C413" s="26">
        <f>SUMIFS(INDEX(元データ_14項目!$D$2:$Q$1300,0,MATCH($B413,元データ_14項目!$D$1:$Q$1,0)),元データ_14項目!$A$2:$A$1300,$A413,元データ_14項目!$B$2:$B$1300,"本年",元データ_14項目!$C$2:$C$1300,C$5)</f>
        <v>9</v>
      </c>
      <c r="D413" s="26">
        <f>SUMIFS(INDEX(元データ_14項目!$D$2:$Q$1300,0,MATCH($B413,元データ_14項目!$D$1:$Q$1,0)),元データ_14項目!$A$2:$A$1300,$A413,元データ_14項目!$B$2:$B$1300,"本年",元データ_14項目!$C$2:$C$1300,D$5)</f>
        <v>4</v>
      </c>
      <c r="E413" s="26">
        <f>SUMIFS(INDEX(元データ_14項目!$D$2:$Q$1300,0,MATCH($B413,元データ_14項目!$D$1:$Q$1,0)),元データ_14項目!$A$2:$A$1300,$A413,元データ_14項目!$B$2:$B$1300,"本年",元データ_14項目!$C$2:$C$1300,E$5)</f>
        <v>18</v>
      </c>
      <c r="F413" s="26">
        <f>SUMIFS(INDEX(元データ_14項目!$D$2:$Q$1300,0,MATCH($B413,元データ_14項目!$D$1:$Q$1,0)),元データ_14項目!$A$2:$A$1300,$A413,元データ_14項目!$B$2:$B$1300,"本年",元データ_14項目!$C$2:$C$1300,F$5)</f>
        <v>17</v>
      </c>
      <c r="G413" s="26">
        <f>SUMIFS(INDEX(元データ_14項目!$D$2:$Q$1300,0,MATCH($B413,元データ_14項目!$D$1:$Q$1,0)),元データ_14項目!$A$2:$A$1300,$A413,元データ_14項目!$B$2:$B$1300,"本年",元データ_14項目!$C$2:$C$1300,G$5)</f>
        <v>3</v>
      </c>
      <c r="H413" s="26">
        <f>SUMIFS(INDEX(元データ_14項目!$D$2:$Q$1300,0,MATCH($B413,元データ_14項目!$D$1:$Q$1,0)),元データ_14項目!$A$2:$A$1300,$A413,元データ_14項目!$B$2:$B$1300,"本年",元データ_14項目!$C$2:$C$1300,H$5)</f>
        <v>2</v>
      </c>
      <c r="I413" s="26">
        <f>SUMIFS(INDEX(元データ_14項目!$D$2:$Q$1300,0,MATCH($B413,元データ_14項目!$D$1:$Q$1,0)),元データ_14項目!$A$2:$A$1300,$A413,元データ_14項目!$B$2:$B$1300,"本年",元データ_14項目!$C$2:$C$1300,I$5)</f>
        <v>6</v>
      </c>
      <c r="J413" s="26">
        <f>SUMIFS(INDEX(元データ_14項目!$D$2:$Q$1300,0,MATCH($B413,元データ_14項目!$D$1:$Q$1,0)),元データ_14項目!$A$2:$A$1300,$A413,元データ_14項目!$B$2:$B$1300,"本年",元データ_14項目!$C$2:$C$1300,J$5)</f>
        <v>1</v>
      </c>
      <c r="K413" s="26">
        <f>SUMIFS(INDEX(元データ_14項目!$D$2:$Q$1300,0,MATCH($B413,元データ_14項目!$D$1:$Q$1,0)),元データ_14項目!$A$2:$A$1300,$A413,元データ_14項目!$B$2:$B$1300,"本年",元データ_14項目!$C$2:$C$1300,K$5)</f>
        <v>4</v>
      </c>
      <c r="L413" s="26">
        <f>SUMIFS(INDEX(元データ_14項目!$D$2:$Q$1300,0,MATCH($B413,元データ_14項目!$D$1:$Q$1,0)),元データ_14項目!$A$2:$A$1300,$A413,元データ_14項目!$B$2:$B$1300,"本年",元データ_14項目!$C$2:$C$1300,L$5)</f>
        <v>7</v>
      </c>
      <c r="M413" s="26">
        <f>SUMIFS(INDEX(元データ_14項目!$D$2:$Q$1300,0,MATCH($B413,元データ_14項目!$D$1:$Q$1,0)),元データ_14項目!$A$2:$A$1300,$A413,元データ_14項目!$B$2:$B$1300,"本年",元データ_14項目!$C$2:$C$1300,M$5)</f>
        <v>15</v>
      </c>
      <c r="N413" s="26">
        <f>SUMIFS(INDEX(元データ_14項目!$D$2:$Q$1300,0,MATCH($B413,元データ_14項目!$D$1:$Q$1,0)),元データ_14項目!$A$2:$A$1300,$A413,元データ_14項目!$B$2:$B$1300,"本年",元データ_14項目!$C$2:$C$1300,N$5)</f>
        <v>12</v>
      </c>
      <c r="O413" s="26">
        <f t="shared" si="12"/>
        <v>98</v>
      </c>
      <c r="P413" s="26">
        <f>SUMIFS(INDEX(元データ_14項目!$D$2:$Q$1300,0,MATCH($B413,元データ_14項目!$D$1:$Q$1,0)),元データ_14項目!$A$2:$A$1300,$A413,元データ_14項目!$B$2:$B$1300,"前年")</f>
        <v>147</v>
      </c>
      <c r="Q413" s="7">
        <f t="shared" si="13"/>
        <v>0.66666666666666663</v>
      </c>
    </row>
    <row r="414" spans="1:17" x14ac:dyDescent="0.45">
      <c r="A414" t="s">
        <v>64</v>
      </c>
      <c r="B414" t="s">
        <v>89</v>
      </c>
      <c r="C414" s="26">
        <f>SUMIFS(INDEX(元データ_14項目!$D$2:$Q$1300,0,MATCH($B414,元データ_14項目!$D$1:$Q$1,0)),元データ_14項目!$A$2:$A$1300,$A414,元データ_14項目!$B$2:$B$1300,"本年",元データ_14項目!$C$2:$C$1300,C$5)</f>
        <v>26</v>
      </c>
      <c r="D414" s="26">
        <f>SUMIFS(INDEX(元データ_14項目!$D$2:$Q$1300,0,MATCH($B414,元データ_14項目!$D$1:$Q$1,0)),元データ_14項目!$A$2:$A$1300,$A414,元データ_14項目!$B$2:$B$1300,"本年",元データ_14項目!$C$2:$C$1300,D$5)</f>
        <v>8</v>
      </c>
      <c r="E414" s="26">
        <f>SUMIFS(INDEX(元データ_14項目!$D$2:$Q$1300,0,MATCH($B414,元データ_14項目!$D$1:$Q$1,0)),元データ_14項目!$A$2:$A$1300,$A414,元データ_14項目!$B$2:$B$1300,"本年",元データ_14項目!$C$2:$C$1300,E$5)</f>
        <v>26</v>
      </c>
      <c r="F414" s="26">
        <f>SUMIFS(INDEX(元データ_14項目!$D$2:$Q$1300,0,MATCH($B414,元データ_14項目!$D$1:$Q$1,0)),元データ_14項目!$A$2:$A$1300,$A414,元データ_14項目!$B$2:$B$1300,"本年",元データ_14項目!$C$2:$C$1300,F$5)</f>
        <v>7</v>
      </c>
      <c r="G414" s="26">
        <f>SUMIFS(INDEX(元データ_14項目!$D$2:$Q$1300,0,MATCH($B414,元データ_14項目!$D$1:$Q$1,0)),元データ_14項目!$A$2:$A$1300,$A414,元データ_14項目!$B$2:$B$1300,"本年",元データ_14項目!$C$2:$C$1300,G$5)</f>
        <v>2</v>
      </c>
      <c r="H414" s="26">
        <f>SUMIFS(INDEX(元データ_14項目!$D$2:$Q$1300,0,MATCH($B414,元データ_14項目!$D$1:$Q$1,0)),元データ_14項目!$A$2:$A$1300,$A414,元データ_14項目!$B$2:$B$1300,"本年",元データ_14項目!$C$2:$C$1300,H$5)</f>
        <v>0</v>
      </c>
      <c r="I414" s="26">
        <f>SUMIFS(INDEX(元データ_14項目!$D$2:$Q$1300,0,MATCH($B414,元データ_14項目!$D$1:$Q$1,0)),元データ_14項目!$A$2:$A$1300,$A414,元データ_14項目!$B$2:$B$1300,"本年",元データ_14項目!$C$2:$C$1300,I$5)</f>
        <v>1</v>
      </c>
      <c r="J414" s="26">
        <f>SUMIFS(INDEX(元データ_14項目!$D$2:$Q$1300,0,MATCH($B414,元データ_14項目!$D$1:$Q$1,0)),元データ_14項目!$A$2:$A$1300,$A414,元データ_14項目!$B$2:$B$1300,"本年",元データ_14項目!$C$2:$C$1300,J$5)</f>
        <v>2</v>
      </c>
      <c r="K414" s="26">
        <f>SUMIFS(INDEX(元データ_14項目!$D$2:$Q$1300,0,MATCH($B414,元データ_14項目!$D$1:$Q$1,0)),元データ_14項目!$A$2:$A$1300,$A414,元データ_14項目!$B$2:$B$1300,"本年",元データ_14項目!$C$2:$C$1300,K$5)</f>
        <v>2</v>
      </c>
      <c r="L414" s="26">
        <f>SUMIFS(INDEX(元データ_14項目!$D$2:$Q$1300,0,MATCH($B414,元データ_14項目!$D$1:$Q$1,0)),元データ_14項目!$A$2:$A$1300,$A414,元データ_14項目!$B$2:$B$1300,"本年",元データ_14項目!$C$2:$C$1300,L$5)</f>
        <v>2</v>
      </c>
      <c r="M414" s="26">
        <f>SUMIFS(INDEX(元データ_14項目!$D$2:$Q$1300,0,MATCH($B414,元データ_14項目!$D$1:$Q$1,0)),元データ_14項目!$A$2:$A$1300,$A414,元データ_14項目!$B$2:$B$1300,"本年",元データ_14項目!$C$2:$C$1300,M$5)</f>
        <v>2</v>
      </c>
      <c r="N414" s="26">
        <f>SUMIFS(INDEX(元データ_14項目!$D$2:$Q$1300,0,MATCH($B414,元データ_14項目!$D$1:$Q$1,0)),元データ_14項目!$A$2:$A$1300,$A414,元データ_14項目!$B$2:$B$1300,"本年",元データ_14項目!$C$2:$C$1300,N$5)</f>
        <v>22</v>
      </c>
      <c r="O414" s="26">
        <f t="shared" si="12"/>
        <v>100</v>
      </c>
      <c r="P414" s="26">
        <f>SUMIFS(INDEX(元データ_14項目!$D$2:$Q$1300,0,MATCH($B414,元データ_14項目!$D$1:$Q$1,0)),元データ_14項目!$A$2:$A$1300,$A414,元データ_14項目!$B$2:$B$1300,"前年")</f>
        <v>59</v>
      </c>
      <c r="Q414" s="7">
        <f t="shared" si="13"/>
        <v>1.6949152542372881</v>
      </c>
    </row>
    <row r="415" spans="1:17" x14ac:dyDescent="0.45">
      <c r="A415" t="s">
        <v>64</v>
      </c>
      <c r="B415" t="s">
        <v>90</v>
      </c>
      <c r="C415" s="26">
        <f>SUMIFS(INDEX(元データ_14項目!$D$2:$Q$1300,0,MATCH($B415,元データ_14項目!$D$1:$Q$1,0)),元データ_14項目!$A$2:$A$1300,$A415,元データ_14項目!$B$2:$B$1300,"本年",元データ_14項目!$C$2:$C$1300,C$5)</f>
        <v>14</v>
      </c>
      <c r="D415" s="26">
        <f>SUMIFS(INDEX(元データ_14項目!$D$2:$Q$1300,0,MATCH($B415,元データ_14項目!$D$1:$Q$1,0)),元データ_14項目!$A$2:$A$1300,$A415,元データ_14項目!$B$2:$B$1300,"本年",元データ_14項目!$C$2:$C$1300,D$5)</f>
        <v>16</v>
      </c>
      <c r="E415" s="26">
        <f>SUMIFS(INDEX(元データ_14項目!$D$2:$Q$1300,0,MATCH($B415,元データ_14項目!$D$1:$Q$1,0)),元データ_14項目!$A$2:$A$1300,$A415,元データ_14項目!$B$2:$B$1300,"本年",元データ_14項目!$C$2:$C$1300,E$5)</f>
        <v>16</v>
      </c>
      <c r="F415" s="26">
        <f>SUMIFS(INDEX(元データ_14項目!$D$2:$Q$1300,0,MATCH($B415,元データ_14項目!$D$1:$Q$1,0)),元データ_14項目!$A$2:$A$1300,$A415,元データ_14項目!$B$2:$B$1300,"本年",元データ_14項目!$C$2:$C$1300,F$5)</f>
        <v>36</v>
      </c>
      <c r="G415" s="26">
        <f>SUMIFS(INDEX(元データ_14項目!$D$2:$Q$1300,0,MATCH($B415,元データ_14項目!$D$1:$Q$1,0)),元データ_14項目!$A$2:$A$1300,$A415,元データ_14項目!$B$2:$B$1300,"本年",元データ_14項目!$C$2:$C$1300,G$5)</f>
        <v>26</v>
      </c>
      <c r="H415" s="26">
        <f>SUMIFS(INDEX(元データ_14項目!$D$2:$Q$1300,0,MATCH($B415,元データ_14項目!$D$1:$Q$1,0)),元データ_14項目!$A$2:$A$1300,$A415,元データ_14項目!$B$2:$B$1300,"本年",元データ_14項目!$C$2:$C$1300,H$5)</f>
        <v>27</v>
      </c>
      <c r="I415" s="26">
        <f>SUMIFS(INDEX(元データ_14項目!$D$2:$Q$1300,0,MATCH($B415,元データ_14項目!$D$1:$Q$1,0)),元データ_14項目!$A$2:$A$1300,$A415,元データ_14項目!$B$2:$B$1300,"本年",元データ_14項目!$C$2:$C$1300,I$5)</f>
        <v>12</v>
      </c>
      <c r="J415" s="26">
        <f>SUMIFS(INDEX(元データ_14項目!$D$2:$Q$1300,0,MATCH($B415,元データ_14項目!$D$1:$Q$1,0)),元データ_14項目!$A$2:$A$1300,$A415,元データ_14項目!$B$2:$B$1300,"本年",元データ_14項目!$C$2:$C$1300,J$5)</f>
        <v>36</v>
      </c>
      <c r="K415" s="26">
        <f>SUMIFS(INDEX(元データ_14項目!$D$2:$Q$1300,0,MATCH($B415,元データ_14項目!$D$1:$Q$1,0)),元データ_14項目!$A$2:$A$1300,$A415,元データ_14項目!$B$2:$B$1300,"本年",元データ_14項目!$C$2:$C$1300,K$5)</f>
        <v>21</v>
      </c>
      <c r="L415" s="26">
        <f>SUMIFS(INDEX(元データ_14項目!$D$2:$Q$1300,0,MATCH($B415,元データ_14項目!$D$1:$Q$1,0)),元データ_14項目!$A$2:$A$1300,$A415,元データ_14項目!$B$2:$B$1300,"本年",元データ_14項目!$C$2:$C$1300,L$5)</f>
        <v>50</v>
      </c>
      <c r="M415" s="26">
        <f>SUMIFS(INDEX(元データ_14項目!$D$2:$Q$1300,0,MATCH($B415,元データ_14項目!$D$1:$Q$1,0)),元データ_14項目!$A$2:$A$1300,$A415,元データ_14項目!$B$2:$B$1300,"本年",元データ_14項目!$C$2:$C$1300,M$5)</f>
        <v>18</v>
      </c>
      <c r="N415" s="26">
        <f>SUMIFS(INDEX(元データ_14項目!$D$2:$Q$1300,0,MATCH($B415,元データ_14項目!$D$1:$Q$1,0)),元データ_14項目!$A$2:$A$1300,$A415,元データ_14項目!$B$2:$B$1300,"本年",元データ_14項目!$C$2:$C$1300,N$5)</f>
        <v>13</v>
      </c>
      <c r="O415" s="26">
        <f t="shared" si="12"/>
        <v>285</v>
      </c>
      <c r="P415" s="26">
        <f>SUMIFS(INDEX(元データ_14項目!$D$2:$Q$1300,0,MATCH($B415,元データ_14項目!$D$1:$Q$1,0)),元データ_14項目!$A$2:$A$1300,$A415,元データ_14項目!$B$2:$B$1300,"前年")</f>
        <v>270</v>
      </c>
      <c r="Q415" s="7">
        <f t="shared" si="13"/>
        <v>1.0555555555555556</v>
      </c>
    </row>
    <row r="416" spans="1:17" x14ac:dyDescent="0.45">
      <c r="A416" t="s">
        <v>64</v>
      </c>
      <c r="B416" t="s">
        <v>91</v>
      </c>
      <c r="C416" s="26">
        <f>SUMIFS(INDEX(元データ_14項目!$D$2:$Q$1300,0,MATCH($B416,元データ_14項目!$D$1:$Q$1,0)),元データ_14項目!$A$2:$A$1300,$A416,元データ_14項目!$B$2:$B$1300,"本年",元データ_14項目!$C$2:$C$1300,C$5)</f>
        <v>11</v>
      </c>
      <c r="D416" s="26">
        <f>SUMIFS(INDEX(元データ_14項目!$D$2:$Q$1300,0,MATCH($B416,元データ_14項目!$D$1:$Q$1,0)),元データ_14項目!$A$2:$A$1300,$A416,元データ_14項目!$B$2:$B$1300,"本年",元データ_14項目!$C$2:$C$1300,D$5)</f>
        <v>2</v>
      </c>
      <c r="E416" s="26">
        <f>SUMIFS(INDEX(元データ_14項目!$D$2:$Q$1300,0,MATCH($B416,元データ_14項目!$D$1:$Q$1,0)),元データ_14項目!$A$2:$A$1300,$A416,元データ_14項目!$B$2:$B$1300,"本年",元データ_14項目!$C$2:$C$1300,E$5)</f>
        <v>2</v>
      </c>
      <c r="F416" s="26">
        <f>SUMIFS(INDEX(元データ_14項目!$D$2:$Q$1300,0,MATCH($B416,元データ_14項目!$D$1:$Q$1,0)),元データ_14項目!$A$2:$A$1300,$A416,元データ_14項目!$B$2:$B$1300,"本年",元データ_14項目!$C$2:$C$1300,F$5)</f>
        <v>4</v>
      </c>
      <c r="G416" s="26">
        <f>SUMIFS(INDEX(元データ_14項目!$D$2:$Q$1300,0,MATCH($B416,元データ_14項目!$D$1:$Q$1,0)),元データ_14項目!$A$2:$A$1300,$A416,元データ_14項目!$B$2:$B$1300,"本年",元データ_14項目!$C$2:$C$1300,G$5)</f>
        <v>3</v>
      </c>
      <c r="H416" s="26">
        <f>SUMIFS(INDEX(元データ_14項目!$D$2:$Q$1300,0,MATCH($B416,元データ_14項目!$D$1:$Q$1,0)),元データ_14項目!$A$2:$A$1300,$A416,元データ_14項目!$B$2:$B$1300,"本年",元データ_14項目!$C$2:$C$1300,H$5)</f>
        <v>0</v>
      </c>
      <c r="I416" s="26">
        <f>SUMIFS(INDEX(元データ_14項目!$D$2:$Q$1300,0,MATCH($B416,元データ_14項目!$D$1:$Q$1,0)),元データ_14項目!$A$2:$A$1300,$A416,元データ_14項目!$B$2:$B$1300,"本年",元データ_14項目!$C$2:$C$1300,I$5)</f>
        <v>1</v>
      </c>
      <c r="J416" s="26">
        <f>SUMIFS(INDEX(元データ_14項目!$D$2:$Q$1300,0,MATCH($B416,元データ_14項目!$D$1:$Q$1,0)),元データ_14項目!$A$2:$A$1300,$A416,元データ_14項目!$B$2:$B$1300,"本年",元データ_14項目!$C$2:$C$1300,J$5)</f>
        <v>2</v>
      </c>
      <c r="K416" s="26">
        <f>SUMIFS(INDEX(元データ_14項目!$D$2:$Q$1300,0,MATCH($B416,元データ_14項目!$D$1:$Q$1,0)),元データ_14項目!$A$2:$A$1300,$A416,元データ_14項目!$B$2:$B$1300,"本年",元データ_14項目!$C$2:$C$1300,K$5)</f>
        <v>5</v>
      </c>
      <c r="L416" s="26">
        <f>SUMIFS(INDEX(元データ_14項目!$D$2:$Q$1300,0,MATCH($B416,元データ_14項目!$D$1:$Q$1,0)),元データ_14項目!$A$2:$A$1300,$A416,元データ_14項目!$B$2:$B$1300,"本年",元データ_14項目!$C$2:$C$1300,L$5)</f>
        <v>4</v>
      </c>
      <c r="M416" s="26">
        <f>SUMIFS(INDEX(元データ_14項目!$D$2:$Q$1300,0,MATCH($B416,元データ_14項目!$D$1:$Q$1,0)),元データ_14項目!$A$2:$A$1300,$A416,元データ_14項目!$B$2:$B$1300,"本年",元データ_14項目!$C$2:$C$1300,M$5)</f>
        <v>3</v>
      </c>
      <c r="N416" s="26">
        <f>SUMIFS(INDEX(元データ_14項目!$D$2:$Q$1300,0,MATCH($B416,元データ_14項目!$D$1:$Q$1,0)),元データ_14項目!$A$2:$A$1300,$A416,元データ_14項目!$B$2:$B$1300,"本年",元データ_14項目!$C$2:$C$1300,N$5)</f>
        <v>1</v>
      </c>
      <c r="O416" s="26">
        <f t="shared" si="12"/>
        <v>38</v>
      </c>
      <c r="P416" s="26">
        <f>SUMIFS(INDEX(元データ_14項目!$D$2:$Q$1300,0,MATCH($B416,元データ_14項目!$D$1:$Q$1,0)),元データ_14項目!$A$2:$A$1300,$A416,元データ_14項目!$B$2:$B$1300,"前年")</f>
        <v>47</v>
      </c>
      <c r="Q416" s="7">
        <f t="shared" si="13"/>
        <v>0.80851063829787229</v>
      </c>
    </row>
    <row r="417" spans="1:17" x14ac:dyDescent="0.45">
      <c r="A417" t="s">
        <v>64</v>
      </c>
      <c r="B417" t="s">
        <v>28</v>
      </c>
      <c r="C417" s="26">
        <f>SUMIFS(INDEX(元データ_14項目!$D$2:$Q$1300,0,MATCH($B417,元データ_14項目!$D$1:$Q$1,0)),元データ_14項目!$A$2:$A$1300,$A417,元データ_14項目!$B$2:$B$1300,"本年",元データ_14項目!$C$2:$C$1300,C$5)</f>
        <v>39</v>
      </c>
      <c r="D417" s="26">
        <f>SUMIFS(INDEX(元データ_14項目!$D$2:$Q$1300,0,MATCH($B417,元データ_14項目!$D$1:$Q$1,0)),元データ_14項目!$A$2:$A$1300,$A417,元データ_14項目!$B$2:$B$1300,"本年",元データ_14項目!$C$2:$C$1300,D$5)</f>
        <v>49</v>
      </c>
      <c r="E417" s="26">
        <f>SUMIFS(INDEX(元データ_14項目!$D$2:$Q$1300,0,MATCH($B417,元データ_14項目!$D$1:$Q$1,0)),元データ_14項目!$A$2:$A$1300,$A417,元データ_14項目!$B$2:$B$1300,"本年",元データ_14項目!$C$2:$C$1300,E$5)</f>
        <v>46</v>
      </c>
      <c r="F417" s="26">
        <f>SUMIFS(INDEX(元データ_14項目!$D$2:$Q$1300,0,MATCH($B417,元データ_14項目!$D$1:$Q$1,0)),元データ_14項目!$A$2:$A$1300,$A417,元データ_14項目!$B$2:$B$1300,"本年",元データ_14項目!$C$2:$C$1300,F$5)</f>
        <v>63</v>
      </c>
      <c r="G417" s="26">
        <f>SUMIFS(INDEX(元データ_14項目!$D$2:$Q$1300,0,MATCH($B417,元データ_14項目!$D$1:$Q$1,0)),元データ_14項目!$A$2:$A$1300,$A417,元データ_14項目!$B$2:$B$1300,"本年",元データ_14項目!$C$2:$C$1300,G$5)</f>
        <v>50</v>
      </c>
      <c r="H417" s="26">
        <f>SUMIFS(INDEX(元データ_14項目!$D$2:$Q$1300,0,MATCH($B417,元データ_14項目!$D$1:$Q$1,0)),元データ_14項目!$A$2:$A$1300,$A417,元データ_14項目!$B$2:$B$1300,"本年",元データ_14項目!$C$2:$C$1300,H$5)</f>
        <v>29</v>
      </c>
      <c r="I417" s="26">
        <f>SUMIFS(INDEX(元データ_14項目!$D$2:$Q$1300,0,MATCH($B417,元データ_14項目!$D$1:$Q$1,0)),元データ_14項目!$A$2:$A$1300,$A417,元データ_14項目!$B$2:$B$1300,"本年",元データ_14項目!$C$2:$C$1300,I$5)</f>
        <v>21</v>
      </c>
      <c r="J417" s="26">
        <f>SUMIFS(INDEX(元データ_14項目!$D$2:$Q$1300,0,MATCH($B417,元データ_14項目!$D$1:$Q$1,0)),元データ_14項目!$A$2:$A$1300,$A417,元データ_14項目!$B$2:$B$1300,"本年",元データ_14項目!$C$2:$C$1300,J$5)</f>
        <v>44</v>
      </c>
      <c r="K417" s="26">
        <f>SUMIFS(INDEX(元データ_14項目!$D$2:$Q$1300,0,MATCH($B417,元データ_14項目!$D$1:$Q$1,0)),元データ_14項目!$A$2:$A$1300,$A417,元データ_14項目!$B$2:$B$1300,"本年",元データ_14項目!$C$2:$C$1300,K$5)</f>
        <v>46</v>
      </c>
      <c r="L417" s="26">
        <f>SUMIFS(INDEX(元データ_14項目!$D$2:$Q$1300,0,MATCH($B417,元データ_14項目!$D$1:$Q$1,0)),元データ_14項目!$A$2:$A$1300,$A417,元データ_14項目!$B$2:$B$1300,"本年",元データ_14項目!$C$2:$C$1300,L$5)</f>
        <v>27</v>
      </c>
      <c r="M417" s="26">
        <f>SUMIFS(INDEX(元データ_14項目!$D$2:$Q$1300,0,MATCH($B417,元データ_14項目!$D$1:$Q$1,0)),元データ_14項目!$A$2:$A$1300,$A417,元データ_14項目!$B$2:$B$1300,"本年",元データ_14項目!$C$2:$C$1300,M$5)</f>
        <v>47</v>
      </c>
      <c r="N417" s="26">
        <f>SUMIFS(INDEX(元データ_14項目!$D$2:$Q$1300,0,MATCH($B417,元データ_14項目!$D$1:$Q$1,0)),元データ_14項目!$A$2:$A$1300,$A417,元データ_14項目!$B$2:$B$1300,"本年",元データ_14項目!$C$2:$C$1300,N$5)</f>
        <v>50</v>
      </c>
      <c r="O417" s="26">
        <f t="shared" si="12"/>
        <v>511</v>
      </c>
      <c r="P417" s="26">
        <f>SUMIFS(INDEX(元データ_14項目!$D$2:$Q$1300,0,MATCH($B417,元データ_14項目!$D$1:$Q$1,0)),元データ_14項目!$A$2:$A$1300,$A417,元データ_14項目!$B$2:$B$1300,"前年")</f>
        <v>649</v>
      </c>
      <c r="Q417" s="7">
        <f t="shared" si="13"/>
        <v>0.78736517719568566</v>
      </c>
    </row>
    <row r="418" spans="1:17" x14ac:dyDescent="0.45">
      <c r="A418" t="s">
        <v>64</v>
      </c>
      <c r="B418" t="s">
        <v>92</v>
      </c>
      <c r="C418" s="26">
        <f>SUMIFS(INDEX(元データ_14項目!$D$2:$Q$1300,0,MATCH($B418,元データ_14項目!$D$1:$Q$1,0)),元データ_14項目!$A$2:$A$1300,$A418,元データ_14項目!$B$2:$B$1300,"本年",元データ_14項目!$C$2:$C$1300,C$5)</f>
        <v>5</v>
      </c>
      <c r="D418" s="26">
        <f>SUMIFS(INDEX(元データ_14項目!$D$2:$Q$1300,0,MATCH($B418,元データ_14項目!$D$1:$Q$1,0)),元データ_14項目!$A$2:$A$1300,$A418,元データ_14項目!$B$2:$B$1300,"本年",元データ_14項目!$C$2:$C$1300,D$5)</f>
        <v>6</v>
      </c>
      <c r="E418" s="26">
        <f>SUMIFS(INDEX(元データ_14項目!$D$2:$Q$1300,0,MATCH($B418,元データ_14項目!$D$1:$Q$1,0)),元データ_14項目!$A$2:$A$1300,$A418,元データ_14項目!$B$2:$B$1300,"本年",元データ_14項目!$C$2:$C$1300,E$5)</f>
        <v>11</v>
      </c>
      <c r="F418" s="26">
        <f>SUMIFS(INDEX(元データ_14項目!$D$2:$Q$1300,0,MATCH($B418,元データ_14項目!$D$1:$Q$1,0)),元データ_14項目!$A$2:$A$1300,$A418,元データ_14項目!$B$2:$B$1300,"本年",元データ_14項目!$C$2:$C$1300,F$5)</f>
        <v>6</v>
      </c>
      <c r="G418" s="26">
        <f>SUMIFS(INDEX(元データ_14項目!$D$2:$Q$1300,0,MATCH($B418,元データ_14項目!$D$1:$Q$1,0)),元データ_14項目!$A$2:$A$1300,$A418,元データ_14項目!$B$2:$B$1300,"本年",元データ_14項目!$C$2:$C$1300,G$5)</f>
        <v>1</v>
      </c>
      <c r="H418" s="26">
        <f>SUMIFS(INDEX(元データ_14項目!$D$2:$Q$1300,0,MATCH($B418,元データ_14項目!$D$1:$Q$1,0)),元データ_14項目!$A$2:$A$1300,$A418,元データ_14項目!$B$2:$B$1300,"本年",元データ_14項目!$C$2:$C$1300,H$5)</f>
        <v>2</v>
      </c>
      <c r="I418" s="26">
        <f>SUMIFS(INDEX(元データ_14項目!$D$2:$Q$1300,0,MATCH($B418,元データ_14項目!$D$1:$Q$1,0)),元データ_14項目!$A$2:$A$1300,$A418,元データ_14項目!$B$2:$B$1300,"本年",元データ_14項目!$C$2:$C$1300,I$5)</f>
        <v>3</v>
      </c>
      <c r="J418" s="26">
        <f>SUMIFS(INDEX(元データ_14項目!$D$2:$Q$1300,0,MATCH($B418,元データ_14項目!$D$1:$Q$1,0)),元データ_14項目!$A$2:$A$1300,$A418,元データ_14項目!$B$2:$B$1300,"本年",元データ_14項目!$C$2:$C$1300,J$5)</f>
        <v>1</v>
      </c>
      <c r="K418" s="26">
        <f>SUMIFS(INDEX(元データ_14項目!$D$2:$Q$1300,0,MATCH($B418,元データ_14項目!$D$1:$Q$1,0)),元データ_14項目!$A$2:$A$1300,$A418,元データ_14項目!$B$2:$B$1300,"本年",元データ_14項目!$C$2:$C$1300,K$5)</f>
        <v>15</v>
      </c>
      <c r="L418" s="26">
        <f>SUMIFS(INDEX(元データ_14項目!$D$2:$Q$1300,0,MATCH($B418,元データ_14項目!$D$1:$Q$1,0)),元データ_14項目!$A$2:$A$1300,$A418,元データ_14項目!$B$2:$B$1300,"本年",元データ_14項目!$C$2:$C$1300,L$5)</f>
        <v>2</v>
      </c>
      <c r="M418" s="26">
        <f>SUMIFS(INDEX(元データ_14項目!$D$2:$Q$1300,0,MATCH($B418,元データ_14項目!$D$1:$Q$1,0)),元データ_14項目!$A$2:$A$1300,$A418,元データ_14項目!$B$2:$B$1300,"本年",元データ_14項目!$C$2:$C$1300,M$5)</f>
        <v>5</v>
      </c>
      <c r="N418" s="26">
        <f>SUMIFS(INDEX(元データ_14項目!$D$2:$Q$1300,0,MATCH($B418,元データ_14項目!$D$1:$Q$1,0)),元データ_14項目!$A$2:$A$1300,$A418,元データ_14項目!$B$2:$B$1300,"本年",元データ_14項目!$C$2:$C$1300,N$5)</f>
        <v>7</v>
      </c>
      <c r="O418" s="26">
        <f t="shared" si="12"/>
        <v>64</v>
      </c>
      <c r="P418" s="26">
        <f>SUMIFS(INDEX(元データ_14項目!$D$2:$Q$1300,0,MATCH($B418,元データ_14項目!$D$1:$Q$1,0)),元データ_14項目!$A$2:$A$1300,$A418,元データ_14項目!$B$2:$B$1300,"前年")</f>
        <v>45</v>
      </c>
      <c r="Q418" s="7">
        <f t="shared" si="13"/>
        <v>1.4222222222222223</v>
      </c>
    </row>
    <row r="419" spans="1:17" x14ac:dyDescent="0.45">
      <c r="A419" t="s">
        <v>64</v>
      </c>
      <c r="B419" t="s">
        <v>93</v>
      </c>
      <c r="C419" s="26">
        <f>SUMIFS(INDEX(元データ_14項目!$D$2:$Q$1300,0,MATCH($B419,元データ_14項目!$D$1:$Q$1,0)),元データ_14項目!$A$2:$A$1300,$A419,元データ_14項目!$B$2:$B$1300,"本年",元データ_14項目!$C$2:$C$1300,C$5)</f>
        <v>7</v>
      </c>
      <c r="D419" s="26">
        <f>SUMIFS(INDEX(元データ_14項目!$D$2:$Q$1300,0,MATCH($B419,元データ_14項目!$D$1:$Q$1,0)),元データ_14項目!$A$2:$A$1300,$A419,元データ_14項目!$B$2:$B$1300,"本年",元データ_14項目!$C$2:$C$1300,D$5)</f>
        <v>4</v>
      </c>
      <c r="E419" s="26">
        <f>SUMIFS(INDEX(元データ_14項目!$D$2:$Q$1300,0,MATCH($B419,元データ_14項目!$D$1:$Q$1,0)),元データ_14項目!$A$2:$A$1300,$A419,元データ_14項目!$B$2:$B$1300,"本年",元データ_14項目!$C$2:$C$1300,E$5)</f>
        <v>27</v>
      </c>
      <c r="F419" s="26">
        <f>SUMIFS(INDEX(元データ_14項目!$D$2:$Q$1300,0,MATCH($B419,元データ_14項目!$D$1:$Q$1,0)),元データ_14項目!$A$2:$A$1300,$A419,元データ_14項目!$B$2:$B$1300,"本年",元データ_14項目!$C$2:$C$1300,F$5)</f>
        <v>8</v>
      </c>
      <c r="G419" s="26">
        <f>SUMIFS(INDEX(元データ_14項目!$D$2:$Q$1300,0,MATCH($B419,元データ_14項目!$D$1:$Q$1,0)),元データ_14項目!$A$2:$A$1300,$A419,元データ_14項目!$B$2:$B$1300,"本年",元データ_14項目!$C$2:$C$1300,G$5)</f>
        <v>14</v>
      </c>
      <c r="H419" s="26">
        <f>SUMIFS(INDEX(元データ_14項目!$D$2:$Q$1300,0,MATCH($B419,元データ_14項目!$D$1:$Q$1,0)),元データ_14項目!$A$2:$A$1300,$A419,元データ_14項目!$B$2:$B$1300,"本年",元データ_14項目!$C$2:$C$1300,H$5)</f>
        <v>7</v>
      </c>
      <c r="I419" s="26">
        <f>SUMIFS(INDEX(元データ_14項目!$D$2:$Q$1300,0,MATCH($B419,元データ_14項目!$D$1:$Q$1,0)),元データ_14項目!$A$2:$A$1300,$A419,元データ_14項目!$B$2:$B$1300,"本年",元データ_14項目!$C$2:$C$1300,I$5)</f>
        <v>6</v>
      </c>
      <c r="J419" s="26">
        <f>SUMIFS(INDEX(元データ_14項目!$D$2:$Q$1300,0,MATCH($B419,元データ_14項目!$D$1:$Q$1,0)),元データ_14項目!$A$2:$A$1300,$A419,元データ_14項目!$B$2:$B$1300,"本年",元データ_14項目!$C$2:$C$1300,J$5)</f>
        <v>23</v>
      </c>
      <c r="K419" s="26">
        <f>SUMIFS(INDEX(元データ_14項目!$D$2:$Q$1300,0,MATCH($B419,元データ_14項目!$D$1:$Q$1,0)),元データ_14項目!$A$2:$A$1300,$A419,元データ_14項目!$B$2:$B$1300,"本年",元データ_14項目!$C$2:$C$1300,K$5)</f>
        <v>42</v>
      </c>
      <c r="L419" s="26">
        <f>SUMIFS(INDEX(元データ_14項目!$D$2:$Q$1300,0,MATCH($B419,元データ_14項目!$D$1:$Q$1,0)),元データ_14項目!$A$2:$A$1300,$A419,元データ_14項目!$B$2:$B$1300,"本年",元データ_14項目!$C$2:$C$1300,L$5)</f>
        <v>24</v>
      </c>
      <c r="M419" s="26">
        <f>SUMIFS(INDEX(元データ_14項目!$D$2:$Q$1300,0,MATCH($B419,元データ_14項目!$D$1:$Q$1,0)),元データ_14項目!$A$2:$A$1300,$A419,元データ_14項目!$B$2:$B$1300,"本年",元データ_14項目!$C$2:$C$1300,M$5)</f>
        <v>24</v>
      </c>
      <c r="N419" s="26">
        <f>SUMIFS(INDEX(元データ_14項目!$D$2:$Q$1300,0,MATCH($B419,元データ_14項目!$D$1:$Q$1,0)),元データ_14項目!$A$2:$A$1300,$A419,元データ_14項目!$B$2:$B$1300,"本年",元データ_14項目!$C$2:$C$1300,N$5)</f>
        <v>16</v>
      </c>
      <c r="O419" s="26">
        <f t="shared" si="12"/>
        <v>202</v>
      </c>
      <c r="P419" s="26">
        <f>SUMIFS(INDEX(元データ_14項目!$D$2:$Q$1300,0,MATCH($B419,元データ_14項目!$D$1:$Q$1,0)),元データ_14項目!$A$2:$A$1300,$A419,元データ_14項目!$B$2:$B$1300,"前年")</f>
        <v>242</v>
      </c>
      <c r="Q419" s="7">
        <f t="shared" si="13"/>
        <v>0.83471074380165289</v>
      </c>
    </row>
    <row r="420" spans="1:17" x14ac:dyDescent="0.45">
      <c r="A420" t="s">
        <v>64</v>
      </c>
      <c r="B420" t="s">
        <v>94</v>
      </c>
      <c r="C420" s="26">
        <f>SUMIFS(INDEX(元データ_14項目!$D$2:$Q$1300,0,MATCH($B420,元データ_14項目!$D$1:$Q$1,0)),元データ_14項目!$A$2:$A$1300,$A420,元データ_14項目!$B$2:$B$1300,"本年",元データ_14項目!$C$2:$C$1300,C$5)</f>
        <v>0</v>
      </c>
      <c r="D420" s="26">
        <f>SUMIFS(INDEX(元データ_14項目!$D$2:$Q$1300,0,MATCH($B420,元データ_14項目!$D$1:$Q$1,0)),元データ_14項目!$A$2:$A$1300,$A420,元データ_14項目!$B$2:$B$1300,"本年",元データ_14項目!$C$2:$C$1300,D$5)</f>
        <v>1</v>
      </c>
      <c r="E420" s="26">
        <f>SUMIFS(INDEX(元データ_14項目!$D$2:$Q$1300,0,MATCH($B420,元データ_14項目!$D$1:$Q$1,0)),元データ_14項目!$A$2:$A$1300,$A420,元データ_14項目!$B$2:$B$1300,"本年",元データ_14項目!$C$2:$C$1300,E$5)</f>
        <v>7</v>
      </c>
      <c r="F420" s="26">
        <f>SUMIFS(INDEX(元データ_14項目!$D$2:$Q$1300,0,MATCH($B420,元データ_14項目!$D$1:$Q$1,0)),元データ_14項目!$A$2:$A$1300,$A420,元データ_14項目!$B$2:$B$1300,"本年",元データ_14項目!$C$2:$C$1300,F$5)</f>
        <v>2</v>
      </c>
      <c r="G420" s="26">
        <f>SUMIFS(INDEX(元データ_14項目!$D$2:$Q$1300,0,MATCH($B420,元データ_14項目!$D$1:$Q$1,0)),元データ_14項目!$A$2:$A$1300,$A420,元データ_14項目!$B$2:$B$1300,"本年",元データ_14項目!$C$2:$C$1300,G$5)</f>
        <v>6</v>
      </c>
      <c r="H420" s="26">
        <f>SUMIFS(INDEX(元データ_14項目!$D$2:$Q$1300,0,MATCH($B420,元データ_14項目!$D$1:$Q$1,0)),元データ_14項目!$A$2:$A$1300,$A420,元データ_14項目!$B$2:$B$1300,"本年",元データ_14項目!$C$2:$C$1300,H$5)</f>
        <v>1</v>
      </c>
      <c r="I420" s="26">
        <f>SUMIFS(INDEX(元データ_14項目!$D$2:$Q$1300,0,MATCH($B420,元データ_14項目!$D$1:$Q$1,0)),元データ_14項目!$A$2:$A$1300,$A420,元データ_14項目!$B$2:$B$1300,"本年",元データ_14項目!$C$2:$C$1300,I$5)</f>
        <v>1</v>
      </c>
      <c r="J420" s="26">
        <f>SUMIFS(INDEX(元データ_14項目!$D$2:$Q$1300,0,MATCH($B420,元データ_14項目!$D$1:$Q$1,0)),元データ_14項目!$A$2:$A$1300,$A420,元データ_14項目!$B$2:$B$1300,"本年",元データ_14項目!$C$2:$C$1300,J$5)</f>
        <v>1</v>
      </c>
      <c r="K420" s="26">
        <f>SUMIFS(INDEX(元データ_14項目!$D$2:$Q$1300,0,MATCH($B420,元データ_14項目!$D$1:$Q$1,0)),元データ_14項目!$A$2:$A$1300,$A420,元データ_14項目!$B$2:$B$1300,"本年",元データ_14項目!$C$2:$C$1300,K$5)</f>
        <v>5</v>
      </c>
      <c r="L420" s="26">
        <f>SUMIFS(INDEX(元データ_14項目!$D$2:$Q$1300,0,MATCH($B420,元データ_14項目!$D$1:$Q$1,0)),元データ_14項目!$A$2:$A$1300,$A420,元データ_14項目!$B$2:$B$1300,"本年",元データ_14項目!$C$2:$C$1300,L$5)</f>
        <v>7</v>
      </c>
      <c r="M420" s="26">
        <f>SUMIFS(INDEX(元データ_14項目!$D$2:$Q$1300,0,MATCH($B420,元データ_14項目!$D$1:$Q$1,0)),元データ_14項目!$A$2:$A$1300,$A420,元データ_14項目!$B$2:$B$1300,"本年",元データ_14項目!$C$2:$C$1300,M$5)</f>
        <v>0</v>
      </c>
      <c r="N420" s="26">
        <f>SUMIFS(INDEX(元データ_14項目!$D$2:$Q$1300,0,MATCH($B420,元データ_14項目!$D$1:$Q$1,0)),元データ_14項目!$A$2:$A$1300,$A420,元データ_14項目!$B$2:$B$1300,"本年",元データ_14項目!$C$2:$C$1300,N$5)</f>
        <v>2</v>
      </c>
      <c r="O420" s="26">
        <f t="shared" si="12"/>
        <v>33</v>
      </c>
      <c r="P420" s="26">
        <f>SUMIFS(INDEX(元データ_14項目!$D$2:$Q$1300,0,MATCH($B420,元データ_14項目!$D$1:$Q$1,0)),元データ_14項目!$A$2:$A$1300,$A420,元データ_14項目!$B$2:$B$1300,"前年")</f>
        <v>80</v>
      </c>
      <c r="Q420" s="7">
        <f t="shared" si="13"/>
        <v>0.41249999999999998</v>
      </c>
    </row>
    <row r="421" spans="1:17" x14ac:dyDescent="0.45">
      <c r="A421" t="s">
        <v>64</v>
      </c>
      <c r="B421" t="s">
        <v>95</v>
      </c>
      <c r="C421" s="26">
        <f>SUMIFS(INDEX(元データ_14項目!$D$2:$Q$1300,0,MATCH($B421,元データ_14項目!$D$1:$Q$1,0)),元データ_14項目!$A$2:$A$1300,$A421,元データ_14項目!$B$2:$B$1300,"本年",元データ_14項目!$C$2:$C$1300,C$5)</f>
        <v>24</v>
      </c>
      <c r="D421" s="26">
        <f>SUMIFS(INDEX(元データ_14項目!$D$2:$Q$1300,0,MATCH($B421,元データ_14項目!$D$1:$Q$1,0)),元データ_14項目!$A$2:$A$1300,$A421,元データ_14項目!$B$2:$B$1300,"本年",元データ_14項目!$C$2:$C$1300,D$5)</f>
        <v>4</v>
      </c>
      <c r="E421" s="26">
        <f>SUMIFS(INDEX(元データ_14項目!$D$2:$Q$1300,0,MATCH($B421,元データ_14項目!$D$1:$Q$1,0)),元データ_14項目!$A$2:$A$1300,$A421,元データ_14項目!$B$2:$B$1300,"本年",元データ_14項目!$C$2:$C$1300,E$5)</f>
        <v>18</v>
      </c>
      <c r="F421" s="26">
        <f>SUMIFS(INDEX(元データ_14項目!$D$2:$Q$1300,0,MATCH($B421,元データ_14項目!$D$1:$Q$1,0)),元データ_14項目!$A$2:$A$1300,$A421,元データ_14項目!$B$2:$B$1300,"本年",元データ_14項目!$C$2:$C$1300,F$5)</f>
        <v>0</v>
      </c>
      <c r="G421" s="26">
        <f>SUMIFS(INDEX(元データ_14項目!$D$2:$Q$1300,0,MATCH($B421,元データ_14項目!$D$1:$Q$1,0)),元データ_14項目!$A$2:$A$1300,$A421,元データ_14項目!$B$2:$B$1300,"本年",元データ_14項目!$C$2:$C$1300,G$5)</f>
        <v>3</v>
      </c>
      <c r="H421" s="26">
        <f>SUMIFS(INDEX(元データ_14項目!$D$2:$Q$1300,0,MATCH($B421,元データ_14項目!$D$1:$Q$1,0)),元データ_14項目!$A$2:$A$1300,$A421,元データ_14項目!$B$2:$B$1300,"本年",元データ_14項目!$C$2:$C$1300,H$5)</f>
        <v>2</v>
      </c>
      <c r="I421" s="26">
        <f>SUMIFS(INDEX(元データ_14項目!$D$2:$Q$1300,0,MATCH($B421,元データ_14項目!$D$1:$Q$1,0)),元データ_14項目!$A$2:$A$1300,$A421,元データ_14項目!$B$2:$B$1300,"本年",元データ_14項目!$C$2:$C$1300,I$5)</f>
        <v>0</v>
      </c>
      <c r="J421" s="26">
        <f>SUMIFS(INDEX(元データ_14項目!$D$2:$Q$1300,0,MATCH($B421,元データ_14項目!$D$1:$Q$1,0)),元データ_14項目!$A$2:$A$1300,$A421,元データ_14項目!$B$2:$B$1300,"本年",元データ_14項目!$C$2:$C$1300,J$5)</f>
        <v>6</v>
      </c>
      <c r="K421" s="26">
        <f>SUMIFS(INDEX(元データ_14項目!$D$2:$Q$1300,0,MATCH($B421,元データ_14項目!$D$1:$Q$1,0)),元データ_14項目!$A$2:$A$1300,$A421,元データ_14項目!$B$2:$B$1300,"本年",元データ_14項目!$C$2:$C$1300,K$5)</f>
        <v>7</v>
      </c>
      <c r="L421" s="26">
        <f>SUMIFS(INDEX(元データ_14項目!$D$2:$Q$1300,0,MATCH($B421,元データ_14項目!$D$1:$Q$1,0)),元データ_14項目!$A$2:$A$1300,$A421,元データ_14項目!$B$2:$B$1300,"本年",元データ_14項目!$C$2:$C$1300,L$5)</f>
        <v>2</v>
      </c>
      <c r="M421" s="26">
        <f>SUMIFS(INDEX(元データ_14項目!$D$2:$Q$1300,0,MATCH($B421,元データ_14項目!$D$1:$Q$1,0)),元データ_14項目!$A$2:$A$1300,$A421,元データ_14項目!$B$2:$B$1300,"本年",元データ_14項目!$C$2:$C$1300,M$5)</f>
        <v>4</v>
      </c>
      <c r="N421" s="26">
        <f>SUMIFS(INDEX(元データ_14項目!$D$2:$Q$1300,0,MATCH($B421,元データ_14項目!$D$1:$Q$1,0)),元データ_14項目!$A$2:$A$1300,$A421,元データ_14項目!$B$2:$B$1300,"本年",元データ_14項目!$C$2:$C$1300,N$5)</f>
        <v>13</v>
      </c>
      <c r="O421" s="26">
        <f t="shared" si="12"/>
        <v>83</v>
      </c>
      <c r="P421" s="26">
        <f>SUMIFS(INDEX(元データ_14項目!$D$2:$Q$1300,0,MATCH($B421,元データ_14項目!$D$1:$Q$1,0)),元データ_14項目!$A$2:$A$1300,$A421,元データ_14項目!$B$2:$B$1300,"前年")</f>
        <v>82</v>
      </c>
      <c r="Q421" s="7">
        <f t="shared" si="13"/>
        <v>1.0121951219512195</v>
      </c>
    </row>
    <row r="422" spans="1:17" x14ac:dyDescent="0.45">
      <c r="A422" t="s">
        <v>64</v>
      </c>
      <c r="B422" t="s">
        <v>96</v>
      </c>
      <c r="C422" s="26">
        <f>SUMIFS(INDEX(元データ_14項目!$D$2:$Q$1300,0,MATCH($B422,元データ_14項目!$D$1:$Q$1,0)),元データ_14項目!$A$2:$A$1300,$A422,元データ_14項目!$B$2:$B$1300,"本年",元データ_14項目!$C$2:$C$1300,C$5)</f>
        <v>5</v>
      </c>
      <c r="D422" s="26">
        <f>SUMIFS(INDEX(元データ_14項目!$D$2:$Q$1300,0,MATCH($B422,元データ_14項目!$D$1:$Q$1,0)),元データ_14項目!$A$2:$A$1300,$A422,元データ_14項目!$B$2:$B$1300,"本年",元データ_14項目!$C$2:$C$1300,D$5)</f>
        <v>2</v>
      </c>
      <c r="E422" s="26">
        <f>SUMIFS(INDEX(元データ_14項目!$D$2:$Q$1300,0,MATCH($B422,元データ_14項目!$D$1:$Q$1,0)),元データ_14項目!$A$2:$A$1300,$A422,元データ_14項目!$B$2:$B$1300,"本年",元データ_14項目!$C$2:$C$1300,E$5)</f>
        <v>2</v>
      </c>
      <c r="F422" s="26">
        <f>SUMIFS(INDEX(元データ_14項目!$D$2:$Q$1300,0,MATCH($B422,元データ_14項目!$D$1:$Q$1,0)),元データ_14項目!$A$2:$A$1300,$A422,元データ_14項目!$B$2:$B$1300,"本年",元データ_14項目!$C$2:$C$1300,F$5)</f>
        <v>3</v>
      </c>
      <c r="G422" s="26">
        <f>SUMIFS(INDEX(元データ_14項目!$D$2:$Q$1300,0,MATCH($B422,元データ_14項目!$D$1:$Q$1,0)),元データ_14項目!$A$2:$A$1300,$A422,元データ_14項目!$B$2:$B$1300,"本年",元データ_14項目!$C$2:$C$1300,G$5)</f>
        <v>13</v>
      </c>
      <c r="H422" s="26">
        <f>SUMIFS(INDEX(元データ_14項目!$D$2:$Q$1300,0,MATCH($B422,元データ_14項目!$D$1:$Q$1,0)),元データ_14項目!$A$2:$A$1300,$A422,元データ_14項目!$B$2:$B$1300,"本年",元データ_14項目!$C$2:$C$1300,H$5)</f>
        <v>4</v>
      </c>
      <c r="I422" s="26">
        <f>SUMIFS(INDEX(元データ_14項目!$D$2:$Q$1300,0,MATCH($B422,元データ_14項目!$D$1:$Q$1,0)),元データ_14項目!$A$2:$A$1300,$A422,元データ_14項目!$B$2:$B$1300,"本年",元データ_14項目!$C$2:$C$1300,I$5)</f>
        <v>4</v>
      </c>
      <c r="J422" s="26">
        <f>SUMIFS(INDEX(元データ_14項目!$D$2:$Q$1300,0,MATCH($B422,元データ_14項目!$D$1:$Q$1,0)),元データ_14項目!$A$2:$A$1300,$A422,元データ_14項目!$B$2:$B$1300,"本年",元データ_14項目!$C$2:$C$1300,J$5)</f>
        <v>12</v>
      </c>
      <c r="K422" s="26">
        <f>SUMIFS(INDEX(元データ_14項目!$D$2:$Q$1300,0,MATCH($B422,元データ_14項目!$D$1:$Q$1,0)),元データ_14項目!$A$2:$A$1300,$A422,元データ_14項目!$B$2:$B$1300,"本年",元データ_14項目!$C$2:$C$1300,K$5)</f>
        <v>23</v>
      </c>
      <c r="L422" s="26">
        <f>SUMIFS(INDEX(元データ_14項目!$D$2:$Q$1300,0,MATCH($B422,元データ_14項目!$D$1:$Q$1,0)),元データ_14項目!$A$2:$A$1300,$A422,元データ_14項目!$B$2:$B$1300,"本年",元データ_14項目!$C$2:$C$1300,L$5)</f>
        <v>17</v>
      </c>
      <c r="M422" s="26">
        <f>SUMIFS(INDEX(元データ_14項目!$D$2:$Q$1300,0,MATCH($B422,元データ_14項目!$D$1:$Q$1,0)),元データ_14項目!$A$2:$A$1300,$A422,元データ_14項目!$B$2:$B$1300,"本年",元データ_14項目!$C$2:$C$1300,M$5)</f>
        <v>4</v>
      </c>
      <c r="N422" s="26">
        <f>SUMIFS(INDEX(元データ_14項目!$D$2:$Q$1300,0,MATCH($B422,元データ_14項目!$D$1:$Q$1,0)),元データ_14項目!$A$2:$A$1300,$A422,元データ_14項目!$B$2:$B$1300,"本年",元データ_14項目!$C$2:$C$1300,N$5)</f>
        <v>7</v>
      </c>
      <c r="O422" s="26">
        <f t="shared" si="12"/>
        <v>96</v>
      </c>
      <c r="P422" s="26">
        <f>SUMIFS(INDEX(元データ_14項目!$D$2:$Q$1300,0,MATCH($B422,元データ_14項目!$D$1:$Q$1,0)),元データ_14項目!$A$2:$A$1300,$A422,元データ_14項目!$B$2:$B$1300,"前年")</f>
        <v>93</v>
      </c>
      <c r="Q422" s="7">
        <f t="shared" si="13"/>
        <v>1.032258064516129</v>
      </c>
    </row>
    <row r="423" spans="1:17" x14ac:dyDescent="0.45">
      <c r="A423" t="s">
        <v>64</v>
      </c>
      <c r="B423" t="s">
        <v>97</v>
      </c>
      <c r="C423" s="26">
        <f>SUMIFS(INDEX(元データ_14項目!$D$2:$Q$1300,0,MATCH($B423,元データ_14項目!$D$1:$Q$1,0)),元データ_14項目!$A$2:$A$1300,$A423,元データ_14項目!$B$2:$B$1300,"本年",元データ_14項目!$C$2:$C$1300,C$5)</f>
        <v>3</v>
      </c>
      <c r="D423" s="26">
        <f>SUMIFS(INDEX(元データ_14項目!$D$2:$Q$1300,0,MATCH($B423,元データ_14項目!$D$1:$Q$1,0)),元データ_14項目!$A$2:$A$1300,$A423,元データ_14項目!$B$2:$B$1300,"本年",元データ_14項目!$C$2:$C$1300,D$5)</f>
        <v>5</v>
      </c>
      <c r="E423" s="26">
        <f>SUMIFS(INDEX(元データ_14項目!$D$2:$Q$1300,0,MATCH($B423,元データ_14項目!$D$1:$Q$1,0)),元データ_14項目!$A$2:$A$1300,$A423,元データ_14項目!$B$2:$B$1300,"本年",元データ_14項目!$C$2:$C$1300,E$5)</f>
        <v>6</v>
      </c>
      <c r="F423" s="26">
        <f>SUMIFS(INDEX(元データ_14項目!$D$2:$Q$1300,0,MATCH($B423,元データ_14項目!$D$1:$Q$1,0)),元データ_14項目!$A$2:$A$1300,$A423,元データ_14項目!$B$2:$B$1300,"本年",元データ_14項目!$C$2:$C$1300,F$5)</f>
        <v>7</v>
      </c>
      <c r="G423" s="26">
        <f>SUMIFS(INDEX(元データ_14項目!$D$2:$Q$1300,0,MATCH($B423,元データ_14項目!$D$1:$Q$1,0)),元データ_14項目!$A$2:$A$1300,$A423,元データ_14項目!$B$2:$B$1300,"本年",元データ_14項目!$C$2:$C$1300,G$5)</f>
        <v>8</v>
      </c>
      <c r="H423" s="26">
        <f>SUMIFS(INDEX(元データ_14項目!$D$2:$Q$1300,0,MATCH($B423,元データ_14項目!$D$1:$Q$1,0)),元データ_14項目!$A$2:$A$1300,$A423,元データ_14項目!$B$2:$B$1300,"本年",元データ_14項目!$C$2:$C$1300,H$5)</f>
        <v>4</v>
      </c>
      <c r="I423" s="26">
        <f>SUMIFS(INDEX(元データ_14項目!$D$2:$Q$1300,0,MATCH($B423,元データ_14項目!$D$1:$Q$1,0)),元データ_14項目!$A$2:$A$1300,$A423,元データ_14項目!$B$2:$B$1300,"本年",元データ_14項目!$C$2:$C$1300,I$5)</f>
        <v>2</v>
      </c>
      <c r="J423" s="26">
        <f>SUMIFS(INDEX(元データ_14項目!$D$2:$Q$1300,0,MATCH($B423,元データ_14項目!$D$1:$Q$1,0)),元データ_14項目!$A$2:$A$1300,$A423,元データ_14項目!$B$2:$B$1300,"本年",元データ_14項目!$C$2:$C$1300,J$5)</f>
        <v>16</v>
      </c>
      <c r="K423" s="26">
        <f>SUMIFS(INDEX(元データ_14項目!$D$2:$Q$1300,0,MATCH($B423,元データ_14項目!$D$1:$Q$1,0)),元データ_14項目!$A$2:$A$1300,$A423,元データ_14項目!$B$2:$B$1300,"本年",元データ_14項目!$C$2:$C$1300,K$5)</f>
        <v>38</v>
      </c>
      <c r="L423" s="26">
        <f>SUMIFS(INDEX(元データ_14項目!$D$2:$Q$1300,0,MATCH($B423,元データ_14項目!$D$1:$Q$1,0)),元データ_14項目!$A$2:$A$1300,$A423,元データ_14項目!$B$2:$B$1300,"本年",元データ_14項目!$C$2:$C$1300,L$5)</f>
        <v>37</v>
      </c>
      <c r="M423" s="26">
        <f>SUMIFS(INDEX(元データ_14項目!$D$2:$Q$1300,0,MATCH($B423,元データ_14項目!$D$1:$Q$1,0)),元データ_14項目!$A$2:$A$1300,$A423,元データ_14項目!$B$2:$B$1300,"本年",元データ_14項目!$C$2:$C$1300,M$5)</f>
        <v>12</v>
      </c>
      <c r="N423" s="26">
        <f>SUMIFS(INDEX(元データ_14項目!$D$2:$Q$1300,0,MATCH($B423,元データ_14項目!$D$1:$Q$1,0)),元データ_14項目!$A$2:$A$1300,$A423,元データ_14項目!$B$2:$B$1300,"本年",元データ_14項目!$C$2:$C$1300,N$5)</f>
        <v>10</v>
      </c>
      <c r="O423" s="26">
        <f t="shared" si="12"/>
        <v>148</v>
      </c>
      <c r="P423" s="26">
        <f>SUMIFS(INDEX(元データ_14項目!$D$2:$Q$1300,0,MATCH($B423,元データ_14項目!$D$1:$Q$1,0)),元データ_14項目!$A$2:$A$1300,$A423,元データ_14項目!$B$2:$B$1300,"前年")</f>
        <v>156</v>
      </c>
      <c r="Q423" s="7">
        <f t="shared" si="13"/>
        <v>0.94871794871794868</v>
      </c>
    </row>
    <row r="424" spans="1:17" x14ac:dyDescent="0.45">
      <c r="A424" t="s">
        <v>64</v>
      </c>
      <c r="B424" t="s">
        <v>98</v>
      </c>
      <c r="C424" s="26">
        <f>SUMIFS(INDEX(元データ_14項目!$D$2:$Q$1300,0,MATCH($B424,元データ_14項目!$D$1:$Q$1,0)),元データ_14項目!$A$2:$A$1300,$A424,元データ_14項目!$B$2:$B$1300,"本年",元データ_14項目!$C$2:$C$1300,C$5)</f>
        <v>3</v>
      </c>
      <c r="D424" s="26">
        <f>SUMIFS(INDEX(元データ_14項目!$D$2:$Q$1300,0,MATCH($B424,元データ_14項目!$D$1:$Q$1,0)),元データ_14項目!$A$2:$A$1300,$A424,元データ_14項目!$B$2:$B$1300,"本年",元データ_14項目!$C$2:$C$1300,D$5)</f>
        <v>2</v>
      </c>
      <c r="E424" s="26">
        <f>SUMIFS(INDEX(元データ_14項目!$D$2:$Q$1300,0,MATCH($B424,元データ_14項目!$D$1:$Q$1,0)),元データ_14項目!$A$2:$A$1300,$A424,元データ_14項目!$B$2:$B$1300,"本年",元データ_14項目!$C$2:$C$1300,E$5)</f>
        <v>5</v>
      </c>
      <c r="F424" s="26">
        <f>SUMIFS(INDEX(元データ_14項目!$D$2:$Q$1300,0,MATCH($B424,元データ_14項目!$D$1:$Q$1,0)),元データ_14項目!$A$2:$A$1300,$A424,元データ_14項目!$B$2:$B$1300,"本年",元データ_14項目!$C$2:$C$1300,F$5)</f>
        <v>2</v>
      </c>
      <c r="G424" s="26">
        <f>SUMIFS(INDEX(元データ_14項目!$D$2:$Q$1300,0,MATCH($B424,元データ_14項目!$D$1:$Q$1,0)),元データ_14項目!$A$2:$A$1300,$A424,元データ_14項目!$B$2:$B$1300,"本年",元データ_14項目!$C$2:$C$1300,G$5)</f>
        <v>1</v>
      </c>
      <c r="H424" s="26">
        <f>SUMIFS(INDEX(元データ_14項目!$D$2:$Q$1300,0,MATCH($B424,元データ_14項目!$D$1:$Q$1,0)),元データ_14項目!$A$2:$A$1300,$A424,元データ_14項目!$B$2:$B$1300,"本年",元データ_14項目!$C$2:$C$1300,H$5)</f>
        <v>4</v>
      </c>
      <c r="I424" s="26">
        <f>SUMIFS(INDEX(元データ_14項目!$D$2:$Q$1300,0,MATCH($B424,元データ_14項目!$D$1:$Q$1,0)),元データ_14項目!$A$2:$A$1300,$A424,元データ_14項目!$B$2:$B$1300,"本年",元データ_14項目!$C$2:$C$1300,I$5)</f>
        <v>3</v>
      </c>
      <c r="J424" s="26">
        <f>SUMIFS(INDEX(元データ_14項目!$D$2:$Q$1300,0,MATCH($B424,元データ_14項目!$D$1:$Q$1,0)),元データ_14項目!$A$2:$A$1300,$A424,元データ_14項目!$B$2:$B$1300,"本年",元データ_14項目!$C$2:$C$1300,J$5)</f>
        <v>16</v>
      </c>
      <c r="K424" s="26">
        <f>SUMIFS(INDEX(元データ_14項目!$D$2:$Q$1300,0,MATCH($B424,元データ_14項目!$D$1:$Q$1,0)),元データ_14項目!$A$2:$A$1300,$A424,元データ_14項目!$B$2:$B$1300,"本年",元データ_14項目!$C$2:$C$1300,K$5)</f>
        <v>24</v>
      </c>
      <c r="L424" s="26">
        <f>SUMIFS(INDEX(元データ_14項目!$D$2:$Q$1300,0,MATCH($B424,元データ_14項目!$D$1:$Q$1,0)),元データ_14項目!$A$2:$A$1300,$A424,元データ_14項目!$B$2:$B$1300,"本年",元データ_14項目!$C$2:$C$1300,L$5)</f>
        <v>13</v>
      </c>
      <c r="M424" s="26">
        <f>SUMIFS(INDEX(元データ_14項目!$D$2:$Q$1300,0,MATCH($B424,元データ_14項目!$D$1:$Q$1,0)),元データ_14項目!$A$2:$A$1300,$A424,元データ_14項目!$B$2:$B$1300,"本年",元データ_14項目!$C$2:$C$1300,M$5)</f>
        <v>7</v>
      </c>
      <c r="N424" s="26">
        <f>SUMIFS(INDEX(元データ_14項目!$D$2:$Q$1300,0,MATCH($B424,元データ_14項目!$D$1:$Q$1,0)),元データ_14項目!$A$2:$A$1300,$A424,元データ_14項目!$B$2:$B$1300,"本年",元データ_14項目!$C$2:$C$1300,N$5)</f>
        <v>9</v>
      </c>
      <c r="O424" s="26">
        <f t="shared" si="12"/>
        <v>89</v>
      </c>
      <c r="P424" s="26">
        <f>SUMIFS(INDEX(元データ_14項目!$D$2:$Q$1300,0,MATCH($B424,元データ_14項目!$D$1:$Q$1,0)),元データ_14項目!$A$2:$A$1300,$A424,元データ_14項目!$B$2:$B$1300,"前年")</f>
        <v>90</v>
      </c>
      <c r="Q424" s="7">
        <f t="shared" si="13"/>
        <v>0.98888888888888893</v>
      </c>
    </row>
    <row r="425" spans="1:17" x14ac:dyDescent="0.45">
      <c r="A425" t="s">
        <v>64</v>
      </c>
      <c r="B425" t="s">
        <v>99</v>
      </c>
      <c r="C425" s="26">
        <f>SUMIFS(INDEX(元データ_14項目!$D$2:$Q$1300,0,MATCH($B425,元データ_14項目!$D$1:$Q$1,0)),元データ_14項目!$A$2:$A$1300,$A425,元データ_14項目!$B$2:$B$1300,"本年",元データ_14項目!$C$2:$C$1300,C$5)</f>
        <v>0</v>
      </c>
      <c r="D425" s="26">
        <f>SUMIFS(INDEX(元データ_14項目!$D$2:$Q$1300,0,MATCH($B425,元データ_14項目!$D$1:$Q$1,0)),元データ_14項目!$A$2:$A$1300,$A425,元データ_14項目!$B$2:$B$1300,"本年",元データ_14項目!$C$2:$C$1300,D$5)</f>
        <v>0</v>
      </c>
      <c r="E425" s="26">
        <f>SUMIFS(INDEX(元データ_14項目!$D$2:$Q$1300,0,MATCH($B425,元データ_14項目!$D$1:$Q$1,0)),元データ_14項目!$A$2:$A$1300,$A425,元データ_14項目!$B$2:$B$1300,"本年",元データ_14項目!$C$2:$C$1300,E$5)</f>
        <v>0</v>
      </c>
      <c r="F425" s="26">
        <f>SUMIFS(INDEX(元データ_14項目!$D$2:$Q$1300,0,MATCH($B425,元データ_14項目!$D$1:$Q$1,0)),元データ_14項目!$A$2:$A$1300,$A425,元データ_14項目!$B$2:$B$1300,"本年",元データ_14項目!$C$2:$C$1300,F$5)</f>
        <v>0</v>
      </c>
      <c r="G425" s="26">
        <f>SUMIFS(INDEX(元データ_14項目!$D$2:$Q$1300,0,MATCH($B425,元データ_14項目!$D$1:$Q$1,0)),元データ_14項目!$A$2:$A$1300,$A425,元データ_14項目!$B$2:$B$1300,"本年",元データ_14項目!$C$2:$C$1300,G$5)</f>
        <v>0</v>
      </c>
      <c r="H425" s="26">
        <f>SUMIFS(INDEX(元データ_14項目!$D$2:$Q$1300,0,MATCH($B425,元データ_14項目!$D$1:$Q$1,0)),元データ_14項目!$A$2:$A$1300,$A425,元データ_14項目!$B$2:$B$1300,"本年",元データ_14項目!$C$2:$C$1300,H$5)</f>
        <v>0</v>
      </c>
      <c r="I425" s="26">
        <f>SUMIFS(INDEX(元データ_14項目!$D$2:$Q$1300,0,MATCH($B425,元データ_14項目!$D$1:$Q$1,0)),元データ_14項目!$A$2:$A$1300,$A425,元データ_14項目!$B$2:$B$1300,"本年",元データ_14項目!$C$2:$C$1300,I$5)</f>
        <v>4</v>
      </c>
      <c r="J425" s="26">
        <f>SUMIFS(INDEX(元データ_14項目!$D$2:$Q$1300,0,MATCH($B425,元データ_14項目!$D$1:$Q$1,0)),元データ_14項目!$A$2:$A$1300,$A425,元データ_14項目!$B$2:$B$1300,"本年",元データ_14項目!$C$2:$C$1300,J$5)</f>
        <v>6</v>
      </c>
      <c r="K425" s="26">
        <f>SUMIFS(INDEX(元データ_14項目!$D$2:$Q$1300,0,MATCH($B425,元データ_14項目!$D$1:$Q$1,0)),元データ_14項目!$A$2:$A$1300,$A425,元データ_14項目!$B$2:$B$1300,"本年",元データ_14項目!$C$2:$C$1300,K$5)</f>
        <v>0</v>
      </c>
      <c r="L425" s="26">
        <f>SUMIFS(INDEX(元データ_14項目!$D$2:$Q$1300,0,MATCH($B425,元データ_14項目!$D$1:$Q$1,0)),元データ_14項目!$A$2:$A$1300,$A425,元データ_14項目!$B$2:$B$1300,"本年",元データ_14項目!$C$2:$C$1300,L$5)</f>
        <v>1</v>
      </c>
      <c r="M425" s="26">
        <f>SUMIFS(INDEX(元データ_14項目!$D$2:$Q$1300,0,MATCH($B425,元データ_14項目!$D$1:$Q$1,0)),元データ_14項目!$A$2:$A$1300,$A425,元データ_14項目!$B$2:$B$1300,"本年",元データ_14項目!$C$2:$C$1300,M$5)</f>
        <v>0</v>
      </c>
      <c r="N425" s="26">
        <f>SUMIFS(INDEX(元データ_14項目!$D$2:$Q$1300,0,MATCH($B425,元データ_14項目!$D$1:$Q$1,0)),元データ_14項目!$A$2:$A$1300,$A425,元データ_14項目!$B$2:$B$1300,"本年",元データ_14項目!$C$2:$C$1300,N$5)</f>
        <v>0</v>
      </c>
      <c r="O425" s="26">
        <f t="shared" si="12"/>
        <v>11</v>
      </c>
      <c r="P425" s="26">
        <f>SUMIFS(INDEX(元データ_14項目!$D$2:$Q$1300,0,MATCH($B425,元データ_14項目!$D$1:$Q$1,0)),元データ_14項目!$A$2:$A$1300,$A425,元データ_14項目!$B$2:$B$1300,"前年")</f>
        <v>15</v>
      </c>
      <c r="Q425" s="7">
        <f t="shared" si="13"/>
        <v>0.73333333333333328</v>
      </c>
    </row>
    <row r="426" spans="1:17" x14ac:dyDescent="0.45">
      <c r="A426" t="s">
        <v>65</v>
      </c>
      <c r="B426" t="s">
        <v>27</v>
      </c>
      <c r="C426" s="26">
        <f>SUMIFS(INDEX(元データ_14項目!$D$2:$Q$1300,0,MATCH($B426,元データ_14項目!$D$1:$Q$1,0)),元データ_14項目!$A$2:$A$1300,$A426,元データ_14項目!$B$2:$B$1300,"本年",元データ_14項目!$C$2:$C$1300,C$5)</f>
        <v>1388</v>
      </c>
      <c r="D426" s="26">
        <f>SUMIFS(INDEX(元データ_14項目!$D$2:$Q$1300,0,MATCH($B426,元データ_14項目!$D$1:$Q$1,0)),元データ_14項目!$A$2:$A$1300,$A426,元データ_14項目!$B$2:$B$1300,"本年",元データ_14項目!$C$2:$C$1300,D$5)</f>
        <v>1592</v>
      </c>
      <c r="E426" s="26">
        <f>SUMIFS(INDEX(元データ_14項目!$D$2:$Q$1300,0,MATCH($B426,元データ_14項目!$D$1:$Q$1,0)),元データ_14項目!$A$2:$A$1300,$A426,元データ_14項目!$B$2:$B$1300,"本年",元データ_14項目!$C$2:$C$1300,E$5)</f>
        <v>1968</v>
      </c>
      <c r="F426" s="26">
        <f>SUMIFS(INDEX(元データ_14項目!$D$2:$Q$1300,0,MATCH($B426,元データ_14項目!$D$1:$Q$1,0)),元データ_14項目!$A$2:$A$1300,$A426,元データ_14項目!$B$2:$B$1300,"本年",元データ_14項目!$C$2:$C$1300,F$5)</f>
        <v>1726</v>
      </c>
      <c r="G426" s="26">
        <f>SUMIFS(INDEX(元データ_14項目!$D$2:$Q$1300,0,MATCH($B426,元データ_14項目!$D$1:$Q$1,0)),元データ_14項目!$A$2:$A$1300,$A426,元データ_14項目!$B$2:$B$1300,"本年",元データ_14項目!$C$2:$C$1300,G$5)</f>
        <v>1838</v>
      </c>
      <c r="H426" s="26">
        <f>SUMIFS(INDEX(元データ_14項目!$D$2:$Q$1300,0,MATCH($B426,元データ_14項目!$D$1:$Q$1,0)),元データ_14項目!$A$2:$A$1300,$A426,元データ_14項目!$B$2:$B$1300,"本年",元データ_14項目!$C$2:$C$1300,H$5)</f>
        <v>1338</v>
      </c>
      <c r="I426" s="26">
        <f>SUMIFS(INDEX(元データ_14項目!$D$2:$Q$1300,0,MATCH($B426,元データ_14項目!$D$1:$Q$1,0)),元データ_14項目!$A$2:$A$1300,$A426,元データ_14項目!$B$2:$B$1300,"本年",元データ_14項目!$C$2:$C$1300,I$5)</f>
        <v>1418</v>
      </c>
      <c r="J426" s="26">
        <f>SUMIFS(INDEX(元データ_14項目!$D$2:$Q$1300,0,MATCH($B426,元データ_14項目!$D$1:$Q$1,0)),元データ_14項目!$A$2:$A$1300,$A426,元データ_14項目!$B$2:$B$1300,"本年",元データ_14項目!$C$2:$C$1300,J$5)</f>
        <v>1804</v>
      </c>
      <c r="K426" s="26">
        <f>SUMIFS(INDEX(元データ_14項目!$D$2:$Q$1300,0,MATCH($B426,元データ_14項目!$D$1:$Q$1,0)),元データ_14項目!$A$2:$A$1300,$A426,元データ_14項目!$B$2:$B$1300,"本年",元データ_14項目!$C$2:$C$1300,K$5)</f>
        <v>1646</v>
      </c>
      <c r="L426" s="26">
        <f>SUMIFS(INDEX(元データ_14項目!$D$2:$Q$1300,0,MATCH($B426,元データ_14項目!$D$1:$Q$1,0)),元データ_14項目!$A$2:$A$1300,$A426,元データ_14項目!$B$2:$B$1300,"本年",元データ_14項目!$C$2:$C$1300,L$5)</f>
        <v>1447</v>
      </c>
      <c r="M426" s="26">
        <f>SUMIFS(INDEX(元データ_14項目!$D$2:$Q$1300,0,MATCH($B426,元データ_14項目!$D$1:$Q$1,0)),元データ_14項目!$A$2:$A$1300,$A426,元データ_14項目!$B$2:$B$1300,"本年",元データ_14項目!$C$2:$C$1300,M$5)</f>
        <v>1638</v>
      </c>
      <c r="N426" s="26">
        <f>SUMIFS(INDEX(元データ_14項目!$D$2:$Q$1300,0,MATCH($B426,元データ_14項目!$D$1:$Q$1,0)),元データ_14項目!$A$2:$A$1300,$A426,元データ_14項目!$B$2:$B$1300,"本年",元データ_14項目!$C$2:$C$1300,N$5)</f>
        <v>1388</v>
      </c>
      <c r="O426" s="26">
        <f t="shared" si="12"/>
        <v>19191</v>
      </c>
      <c r="P426" s="26">
        <f>SUMIFS(INDEX(元データ_14項目!$D$2:$Q$1300,0,MATCH($B426,元データ_14項目!$D$1:$Q$1,0)),元データ_14項目!$A$2:$A$1300,$A426,元データ_14項目!$B$2:$B$1300,"前年")</f>
        <v>22610</v>
      </c>
      <c r="Q426" s="7">
        <f t="shared" si="13"/>
        <v>0.84878372401592217</v>
      </c>
    </row>
    <row r="427" spans="1:17" x14ac:dyDescent="0.45">
      <c r="A427" t="s">
        <v>65</v>
      </c>
      <c r="B427" t="s">
        <v>88</v>
      </c>
      <c r="C427" s="26">
        <f>SUMIFS(INDEX(元データ_14項目!$D$2:$Q$1300,0,MATCH($B427,元データ_14項目!$D$1:$Q$1,0)),元データ_14項目!$A$2:$A$1300,$A427,元データ_14項目!$B$2:$B$1300,"本年",元データ_14項目!$C$2:$C$1300,C$5)</f>
        <v>98</v>
      </c>
      <c r="D427" s="26">
        <f>SUMIFS(INDEX(元データ_14項目!$D$2:$Q$1300,0,MATCH($B427,元データ_14項目!$D$1:$Q$1,0)),元データ_14項目!$A$2:$A$1300,$A427,元データ_14項目!$B$2:$B$1300,"本年",元データ_14項目!$C$2:$C$1300,D$5)</f>
        <v>88</v>
      </c>
      <c r="E427" s="26">
        <f>SUMIFS(INDEX(元データ_14項目!$D$2:$Q$1300,0,MATCH($B427,元データ_14項目!$D$1:$Q$1,0)),元データ_14項目!$A$2:$A$1300,$A427,元データ_14項目!$B$2:$B$1300,"本年",元データ_14項目!$C$2:$C$1300,E$5)</f>
        <v>164</v>
      </c>
      <c r="F427" s="26">
        <f>SUMIFS(INDEX(元データ_14項目!$D$2:$Q$1300,0,MATCH($B427,元データ_14項目!$D$1:$Q$1,0)),元データ_14項目!$A$2:$A$1300,$A427,元データ_14項目!$B$2:$B$1300,"本年",元データ_14項目!$C$2:$C$1300,F$5)</f>
        <v>108</v>
      </c>
      <c r="G427" s="26">
        <f>SUMIFS(INDEX(元データ_14項目!$D$2:$Q$1300,0,MATCH($B427,元データ_14項目!$D$1:$Q$1,0)),元データ_14項目!$A$2:$A$1300,$A427,元データ_14項目!$B$2:$B$1300,"本年",元データ_14項目!$C$2:$C$1300,G$5)</f>
        <v>110</v>
      </c>
      <c r="H427" s="26">
        <f>SUMIFS(INDEX(元データ_14項目!$D$2:$Q$1300,0,MATCH($B427,元データ_14項目!$D$1:$Q$1,0)),元データ_14項目!$A$2:$A$1300,$A427,元データ_14項目!$B$2:$B$1300,"本年",元データ_14項目!$C$2:$C$1300,H$5)</f>
        <v>77</v>
      </c>
      <c r="I427" s="26">
        <f>SUMIFS(INDEX(元データ_14項目!$D$2:$Q$1300,0,MATCH($B427,元データ_14項目!$D$1:$Q$1,0)),元データ_14項目!$A$2:$A$1300,$A427,元データ_14項目!$B$2:$B$1300,"本年",元データ_14項目!$C$2:$C$1300,I$5)</f>
        <v>64</v>
      </c>
      <c r="J427" s="26">
        <f>SUMIFS(INDEX(元データ_14項目!$D$2:$Q$1300,0,MATCH($B427,元データ_14項目!$D$1:$Q$1,0)),元データ_14項目!$A$2:$A$1300,$A427,元データ_14項目!$B$2:$B$1300,"本年",元データ_14項目!$C$2:$C$1300,J$5)</f>
        <v>96</v>
      </c>
      <c r="K427" s="26">
        <f>SUMIFS(INDEX(元データ_14項目!$D$2:$Q$1300,0,MATCH($B427,元データ_14項目!$D$1:$Q$1,0)),元データ_14項目!$A$2:$A$1300,$A427,元データ_14項目!$B$2:$B$1300,"本年",元データ_14項目!$C$2:$C$1300,K$5)</f>
        <v>110</v>
      </c>
      <c r="L427" s="26">
        <f>SUMIFS(INDEX(元データ_14項目!$D$2:$Q$1300,0,MATCH($B427,元データ_14項目!$D$1:$Q$1,0)),元データ_14項目!$A$2:$A$1300,$A427,元データ_14項目!$B$2:$B$1300,"本年",元データ_14項目!$C$2:$C$1300,L$5)</f>
        <v>128</v>
      </c>
      <c r="M427" s="26">
        <f>SUMIFS(INDEX(元データ_14項目!$D$2:$Q$1300,0,MATCH($B427,元データ_14項目!$D$1:$Q$1,0)),元データ_14項目!$A$2:$A$1300,$A427,元データ_14項目!$B$2:$B$1300,"本年",元データ_14項目!$C$2:$C$1300,M$5)</f>
        <v>140</v>
      </c>
      <c r="N427" s="26">
        <f>SUMIFS(INDEX(元データ_14項目!$D$2:$Q$1300,0,MATCH($B427,元データ_14項目!$D$1:$Q$1,0)),元データ_14項目!$A$2:$A$1300,$A427,元データ_14項目!$B$2:$B$1300,"本年",元データ_14項目!$C$2:$C$1300,N$5)</f>
        <v>89</v>
      </c>
      <c r="O427" s="26">
        <f t="shared" si="12"/>
        <v>1272</v>
      </c>
      <c r="P427" s="26">
        <f>SUMIFS(INDEX(元データ_14項目!$D$2:$Q$1300,0,MATCH($B427,元データ_14項目!$D$1:$Q$1,0)),元データ_14項目!$A$2:$A$1300,$A427,元データ_14項目!$B$2:$B$1300,"前年")</f>
        <v>1313</v>
      </c>
      <c r="Q427" s="7">
        <f t="shared" si="13"/>
        <v>0.96877380045696881</v>
      </c>
    </row>
    <row r="428" spans="1:17" x14ac:dyDescent="0.45">
      <c r="A428" t="s">
        <v>65</v>
      </c>
      <c r="B428" t="s">
        <v>89</v>
      </c>
      <c r="C428" s="26">
        <f>SUMIFS(INDEX(元データ_14項目!$D$2:$Q$1300,0,MATCH($B428,元データ_14項目!$D$1:$Q$1,0)),元データ_14項目!$A$2:$A$1300,$A428,元データ_14項目!$B$2:$B$1300,"本年",元データ_14項目!$C$2:$C$1300,C$5)</f>
        <v>44</v>
      </c>
      <c r="D428" s="26">
        <f>SUMIFS(INDEX(元データ_14項目!$D$2:$Q$1300,0,MATCH($B428,元データ_14項目!$D$1:$Q$1,0)),元データ_14項目!$A$2:$A$1300,$A428,元データ_14項目!$B$2:$B$1300,"本年",元データ_14項目!$C$2:$C$1300,D$5)</f>
        <v>48</v>
      </c>
      <c r="E428" s="26">
        <f>SUMIFS(INDEX(元データ_14項目!$D$2:$Q$1300,0,MATCH($B428,元データ_14項目!$D$1:$Q$1,0)),元データ_14項目!$A$2:$A$1300,$A428,元データ_14項目!$B$2:$B$1300,"本年",元データ_14項目!$C$2:$C$1300,E$5)</f>
        <v>140</v>
      </c>
      <c r="F428" s="26">
        <f>SUMIFS(INDEX(元データ_14項目!$D$2:$Q$1300,0,MATCH($B428,元データ_14項目!$D$1:$Q$1,0)),元データ_14項目!$A$2:$A$1300,$A428,元データ_14項目!$B$2:$B$1300,"本年",元データ_14項目!$C$2:$C$1300,F$5)</f>
        <v>119</v>
      </c>
      <c r="G428" s="26">
        <f>SUMIFS(INDEX(元データ_14項目!$D$2:$Q$1300,0,MATCH($B428,元データ_14項目!$D$1:$Q$1,0)),元データ_14項目!$A$2:$A$1300,$A428,元データ_14項目!$B$2:$B$1300,"本年",元データ_14項目!$C$2:$C$1300,G$5)</f>
        <v>102</v>
      </c>
      <c r="H428" s="26">
        <f>SUMIFS(INDEX(元データ_14項目!$D$2:$Q$1300,0,MATCH($B428,元データ_14項目!$D$1:$Q$1,0)),元データ_14項目!$A$2:$A$1300,$A428,元データ_14項目!$B$2:$B$1300,"本年",元データ_14項目!$C$2:$C$1300,H$5)</f>
        <v>43</v>
      </c>
      <c r="I428" s="26">
        <f>SUMIFS(INDEX(元データ_14項目!$D$2:$Q$1300,0,MATCH($B428,元データ_14項目!$D$1:$Q$1,0)),元データ_14項目!$A$2:$A$1300,$A428,元データ_14項目!$B$2:$B$1300,"本年",元データ_14項目!$C$2:$C$1300,I$5)</f>
        <v>32</v>
      </c>
      <c r="J428" s="26">
        <f>SUMIFS(INDEX(元データ_14項目!$D$2:$Q$1300,0,MATCH($B428,元データ_14項目!$D$1:$Q$1,0)),元データ_14項目!$A$2:$A$1300,$A428,元データ_14項目!$B$2:$B$1300,"本年",元データ_14項目!$C$2:$C$1300,J$5)</f>
        <v>90</v>
      </c>
      <c r="K428" s="26">
        <f>SUMIFS(INDEX(元データ_14項目!$D$2:$Q$1300,0,MATCH($B428,元データ_14項目!$D$1:$Q$1,0)),元データ_14項目!$A$2:$A$1300,$A428,元データ_14項目!$B$2:$B$1300,"本年",元データ_14項目!$C$2:$C$1300,K$5)</f>
        <v>83</v>
      </c>
      <c r="L428" s="26">
        <f>SUMIFS(INDEX(元データ_14項目!$D$2:$Q$1300,0,MATCH($B428,元データ_14項目!$D$1:$Q$1,0)),元データ_14項目!$A$2:$A$1300,$A428,元データ_14項目!$B$2:$B$1300,"本年",元データ_14項目!$C$2:$C$1300,L$5)</f>
        <v>50</v>
      </c>
      <c r="M428" s="26">
        <f>SUMIFS(INDEX(元データ_14項目!$D$2:$Q$1300,0,MATCH($B428,元データ_14項目!$D$1:$Q$1,0)),元データ_14項目!$A$2:$A$1300,$A428,元データ_14項目!$B$2:$B$1300,"本年",元データ_14項目!$C$2:$C$1300,M$5)</f>
        <v>87</v>
      </c>
      <c r="N428" s="26">
        <f>SUMIFS(INDEX(元データ_14項目!$D$2:$Q$1300,0,MATCH($B428,元データ_14項目!$D$1:$Q$1,0)),元データ_14項目!$A$2:$A$1300,$A428,元データ_14項目!$B$2:$B$1300,"本年",元データ_14項目!$C$2:$C$1300,N$5)</f>
        <v>71</v>
      </c>
      <c r="O428" s="26">
        <f t="shared" si="12"/>
        <v>909</v>
      </c>
      <c r="P428" s="26">
        <f>SUMIFS(INDEX(元データ_14項目!$D$2:$Q$1300,0,MATCH($B428,元データ_14項目!$D$1:$Q$1,0)),元データ_14項目!$A$2:$A$1300,$A428,元データ_14項目!$B$2:$B$1300,"前年")</f>
        <v>962</v>
      </c>
      <c r="Q428" s="7">
        <f t="shared" si="13"/>
        <v>0.94490644490644493</v>
      </c>
    </row>
    <row r="429" spans="1:17" x14ac:dyDescent="0.45">
      <c r="A429" t="s">
        <v>65</v>
      </c>
      <c r="B429" t="s">
        <v>90</v>
      </c>
      <c r="C429" s="26">
        <f>SUMIFS(INDEX(元データ_14項目!$D$2:$Q$1300,0,MATCH($B429,元データ_14項目!$D$1:$Q$1,0)),元データ_14項目!$A$2:$A$1300,$A429,元データ_14項目!$B$2:$B$1300,"本年",元データ_14項目!$C$2:$C$1300,C$5)</f>
        <v>140</v>
      </c>
      <c r="D429" s="26">
        <f>SUMIFS(INDEX(元データ_14項目!$D$2:$Q$1300,0,MATCH($B429,元データ_14項目!$D$1:$Q$1,0)),元データ_14項目!$A$2:$A$1300,$A429,元データ_14項目!$B$2:$B$1300,"本年",元データ_14項目!$C$2:$C$1300,D$5)</f>
        <v>111</v>
      </c>
      <c r="E429" s="26">
        <f>SUMIFS(INDEX(元データ_14項目!$D$2:$Q$1300,0,MATCH($B429,元データ_14項目!$D$1:$Q$1,0)),元データ_14項目!$A$2:$A$1300,$A429,元データ_14項目!$B$2:$B$1300,"本年",元データ_14項目!$C$2:$C$1300,E$5)</f>
        <v>182</v>
      </c>
      <c r="F429" s="26">
        <f>SUMIFS(INDEX(元データ_14項目!$D$2:$Q$1300,0,MATCH($B429,元データ_14項目!$D$1:$Q$1,0)),元データ_14項目!$A$2:$A$1300,$A429,元データ_14項目!$B$2:$B$1300,"本年",元データ_14項目!$C$2:$C$1300,F$5)</f>
        <v>231</v>
      </c>
      <c r="G429" s="26">
        <f>SUMIFS(INDEX(元データ_14項目!$D$2:$Q$1300,0,MATCH($B429,元データ_14項目!$D$1:$Q$1,0)),元データ_14項目!$A$2:$A$1300,$A429,元データ_14項目!$B$2:$B$1300,"本年",元データ_14項目!$C$2:$C$1300,G$5)</f>
        <v>333</v>
      </c>
      <c r="H429" s="26">
        <f>SUMIFS(INDEX(元データ_14項目!$D$2:$Q$1300,0,MATCH($B429,元データ_14項目!$D$1:$Q$1,0)),元データ_14項目!$A$2:$A$1300,$A429,元データ_14項目!$B$2:$B$1300,"本年",元データ_14項目!$C$2:$C$1300,H$5)</f>
        <v>247</v>
      </c>
      <c r="I429" s="26">
        <f>SUMIFS(INDEX(元データ_14項目!$D$2:$Q$1300,0,MATCH($B429,元データ_14項目!$D$1:$Q$1,0)),元データ_14項目!$A$2:$A$1300,$A429,元データ_14項目!$B$2:$B$1300,"本年",元データ_14項目!$C$2:$C$1300,I$5)</f>
        <v>167</v>
      </c>
      <c r="J429" s="26">
        <f>SUMIFS(INDEX(元データ_14項目!$D$2:$Q$1300,0,MATCH($B429,元データ_14項目!$D$1:$Q$1,0)),元データ_14項目!$A$2:$A$1300,$A429,元データ_14項目!$B$2:$B$1300,"本年",元データ_14項目!$C$2:$C$1300,J$5)</f>
        <v>349</v>
      </c>
      <c r="K429" s="26">
        <f>SUMIFS(INDEX(元データ_14項目!$D$2:$Q$1300,0,MATCH($B429,元データ_14項目!$D$1:$Q$1,0)),元データ_14項目!$A$2:$A$1300,$A429,元データ_14項目!$B$2:$B$1300,"本年",元データ_14項目!$C$2:$C$1300,K$5)</f>
        <v>417</v>
      </c>
      <c r="L429" s="26">
        <f>SUMIFS(INDEX(元データ_14項目!$D$2:$Q$1300,0,MATCH($B429,元データ_14項目!$D$1:$Q$1,0)),元データ_14項目!$A$2:$A$1300,$A429,元データ_14項目!$B$2:$B$1300,"本年",元データ_14項目!$C$2:$C$1300,L$5)</f>
        <v>234</v>
      </c>
      <c r="M429" s="26">
        <f>SUMIFS(INDEX(元データ_14項目!$D$2:$Q$1300,0,MATCH($B429,元データ_14項目!$D$1:$Q$1,0)),元データ_14項目!$A$2:$A$1300,$A429,元データ_14項目!$B$2:$B$1300,"本年",元データ_14項目!$C$2:$C$1300,M$5)</f>
        <v>249</v>
      </c>
      <c r="N429" s="26">
        <f>SUMIFS(INDEX(元データ_14項目!$D$2:$Q$1300,0,MATCH($B429,元データ_14項目!$D$1:$Q$1,0)),元データ_14項目!$A$2:$A$1300,$A429,元データ_14項目!$B$2:$B$1300,"本年",元データ_14項目!$C$2:$C$1300,N$5)</f>
        <v>164</v>
      </c>
      <c r="O429" s="26">
        <f t="shared" si="12"/>
        <v>2824</v>
      </c>
      <c r="P429" s="26">
        <f>SUMIFS(INDEX(元データ_14項目!$D$2:$Q$1300,0,MATCH($B429,元データ_14項目!$D$1:$Q$1,0)),元データ_14項目!$A$2:$A$1300,$A429,元データ_14項目!$B$2:$B$1300,"前年")</f>
        <v>2838</v>
      </c>
      <c r="Q429" s="7">
        <f t="shared" si="13"/>
        <v>0.99506694855532063</v>
      </c>
    </row>
    <row r="430" spans="1:17" x14ac:dyDescent="0.45">
      <c r="A430" t="s">
        <v>65</v>
      </c>
      <c r="B430" t="s">
        <v>91</v>
      </c>
      <c r="C430" s="26">
        <f>SUMIFS(INDEX(元データ_14項目!$D$2:$Q$1300,0,MATCH($B430,元データ_14項目!$D$1:$Q$1,0)),元データ_14項目!$A$2:$A$1300,$A430,元データ_14項目!$B$2:$B$1300,"本年",元データ_14項目!$C$2:$C$1300,C$5)</f>
        <v>4</v>
      </c>
      <c r="D430" s="26">
        <f>SUMIFS(INDEX(元データ_14項目!$D$2:$Q$1300,0,MATCH($B430,元データ_14項目!$D$1:$Q$1,0)),元データ_14項目!$A$2:$A$1300,$A430,元データ_14項目!$B$2:$B$1300,"本年",元データ_14項目!$C$2:$C$1300,D$5)</f>
        <v>12</v>
      </c>
      <c r="E430" s="26">
        <f>SUMIFS(INDEX(元データ_14項目!$D$2:$Q$1300,0,MATCH($B430,元データ_14項目!$D$1:$Q$1,0)),元データ_14項目!$A$2:$A$1300,$A430,元データ_14項目!$B$2:$B$1300,"本年",元データ_14項目!$C$2:$C$1300,E$5)</f>
        <v>17</v>
      </c>
      <c r="F430" s="26">
        <f>SUMIFS(INDEX(元データ_14項目!$D$2:$Q$1300,0,MATCH($B430,元データ_14項目!$D$1:$Q$1,0)),元データ_14項目!$A$2:$A$1300,$A430,元データ_14項目!$B$2:$B$1300,"本年",元データ_14項目!$C$2:$C$1300,F$5)</f>
        <v>202</v>
      </c>
      <c r="G430" s="26">
        <f>SUMIFS(INDEX(元データ_14項目!$D$2:$Q$1300,0,MATCH($B430,元データ_14項目!$D$1:$Q$1,0)),元データ_14項目!$A$2:$A$1300,$A430,元データ_14項目!$B$2:$B$1300,"本年",元データ_14項目!$C$2:$C$1300,G$5)</f>
        <v>33</v>
      </c>
      <c r="H430" s="26">
        <f>SUMIFS(INDEX(元データ_14項目!$D$2:$Q$1300,0,MATCH($B430,元データ_14項目!$D$1:$Q$1,0)),元データ_14項目!$A$2:$A$1300,$A430,元データ_14項目!$B$2:$B$1300,"本年",元データ_14項目!$C$2:$C$1300,H$5)</f>
        <v>1</v>
      </c>
      <c r="I430" s="26">
        <f>SUMIFS(INDEX(元データ_14項目!$D$2:$Q$1300,0,MATCH($B430,元データ_14項目!$D$1:$Q$1,0)),元データ_14項目!$A$2:$A$1300,$A430,元データ_14項目!$B$2:$B$1300,"本年",元データ_14項目!$C$2:$C$1300,I$5)</f>
        <v>1</v>
      </c>
      <c r="J430" s="26">
        <f>SUMIFS(INDEX(元データ_14項目!$D$2:$Q$1300,0,MATCH($B430,元データ_14項目!$D$1:$Q$1,0)),元データ_14項目!$A$2:$A$1300,$A430,元データ_14項目!$B$2:$B$1300,"本年",元データ_14項目!$C$2:$C$1300,J$5)</f>
        <v>2</v>
      </c>
      <c r="K430" s="26">
        <f>SUMIFS(INDEX(元データ_14項目!$D$2:$Q$1300,0,MATCH($B430,元データ_14項目!$D$1:$Q$1,0)),元データ_14項目!$A$2:$A$1300,$A430,元データ_14項目!$B$2:$B$1300,"本年",元データ_14項目!$C$2:$C$1300,K$5)</f>
        <v>1</v>
      </c>
      <c r="L430" s="26">
        <f>SUMIFS(INDEX(元データ_14項目!$D$2:$Q$1300,0,MATCH($B430,元データ_14項目!$D$1:$Q$1,0)),元データ_14項目!$A$2:$A$1300,$A430,元データ_14項目!$B$2:$B$1300,"本年",元データ_14項目!$C$2:$C$1300,L$5)</f>
        <v>4</v>
      </c>
      <c r="M430" s="26">
        <f>SUMIFS(INDEX(元データ_14項目!$D$2:$Q$1300,0,MATCH($B430,元データ_14項目!$D$1:$Q$1,0)),元データ_14項目!$A$2:$A$1300,$A430,元データ_14項目!$B$2:$B$1300,"本年",元データ_14項目!$C$2:$C$1300,M$5)</f>
        <v>5</v>
      </c>
      <c r="N430" s="26">
        <f>SUMIFS(INDEX(元データ_14項目!$D$2:$Q$1300,0,MATCH($B430,元データ_14項目!$D$1:$Q$1,0)),元データ_14項目!$A$2:$A$1300,$A430,元データ_14項目!$B$2:$B$1300,"本年",元データ_14項目!$C$2:$C$1300,N$5)</f>
        <v>10</v>
      </c>
      <c r="O430" s="26">
        <f t="shared" si="12"/>
        <v>292</v>
      </c>
      <c r="P430" s="26">
        <f>SUMIFS(INDEX(元データ_14項目!$D$2:$Q$1300,0,MATCH($B430,元データ_14項目!$D$1:$Q$1,0)),元データ_14項目!$A$2:$A$1300,$A430,元データ_14項目!$B$2:$B$1300,"前年")</f>
        <v>218</v>
      </c>
      <c r="Q430" s="7">
        <f t="shared" si="13"/>
        <v>1.3394495412844036</v>
      </c>
    </row>
    <row r="431" spans="1:17" x14ac:dyDescent="0.45">
      <c r="A431" t="s">
        <v>65</v>
      </c>
      <c r="B431" t="s">
        <v>28</v>
      </c>
      <c r="C431" s="26">
        <f>SUMIFS(INDEX(元データ_14項目!$D$2:$Q$1300,0,MATCH($B431,元データ_14項目!$D$1:$Q$1,0)),元データ_14項目!$A$2:$A$1300,$A431,元データ_14項目!$B$2:$B$1300,"本年",元データ_14項目!$C$2:$C$1300,C$5)</f>
        <v>355</v>
      </c>
      <c r="D431" s="26">
        <f>SUMIFS(INDEX(元データ_14項目!$D$2:$Q$1300,0,MATCH($B431,元データ_14項目!$D$1:$Q$1,0)),元データ_14項目!$A$2:$A$1300,$A431,元データ_14項目!$B$2:$B$1300,"本年",元データ_14項目!$C$2:$C$1300,D$5)</f>
        <v>399</v>
      </c>
      <c r="E431" s="26">
        <f>SUMIFS(INDEX(元データ_14項目!$D$2:$Q$1300,0,MATCH($B431,元データ_14項目!$D$1:$Q$1,0)),元データ_14項目!$A$2:$A$1300,$A431,元データ_14項目!$B$2:$B$1300,"本年",元データ_14項目!$C$2:$C$1300,E$5)</f>
        <v>481</v>
      </c>
      <c r="F431" s="26">
        <f>SUMIFS(INDEX(元データ_14項目!$D$2:$Q$1300,0,MATCH($B431,元データ_14項目!$D$1:$Q$1,0)),元データ_14項目!$A$2:$A$1300,$A431,元データ_14項目!$B$2:$B$1300,"本年",元データ_14項目!$C$2:$C$1300,F$5)</f>
        <v>19</v>
      </c>
      <c r="G431" s="26">
        <f>SUMIFS(INDEX(元データ_14項目!$D$2:$Q$1300,0,MATCH($B431,元データ_14項目!$D$1:$Q$1,0)),元データ_14項目!$A$2:$A$1300,$A431,元データ_14項目!$B$2:$B$1300,"本年",元データ_14項目!$C$2:$C$1300,G$5)</f>
        <v>372</v>
      </c>
      <c r="H431" s="26">
        <f>SUMIFS(INDEX(元データ_14項目!$D$2:$Q$1300,0,MATCH($B431,元データ_14項目!$D$1:$Q$1,0)),元データ_14項目!$A$2:$A$1300,$A431,元データ_14項目!$B$2:$B$1300,"本年",元データ_14項目!$C$2:$C$1300,H$5)</f>
        <v>187</v>
      </c>
      <c r="I431" s="26">
        <f>SUMIFS(INDEX(元データ_14項目!$D$2:$Q$1300,0,MATCH($B431,元データ_14項目!$D$1:$Q$1,0)),元データ_14項目!$A$2:$A$1300,$A431,元データ_14項目!$B$2:$B$1300,"本年",元データ_14項目!$C$2:$C$1300,I$5)</f>
        <v>226</v>
      </c>
      <c r="J431" s="26">
        <f>SUMIFS(INDEX(元データ_14項目!$D$2:$Q$1300,0,MATCH($B431,元データ_14項目!$D$1:$Q$1,0)),元データ_14項目!$A$2:$A$1300,$A431,元データ_14項目!$B$2:$B$1300,"本年",元データ_14項目!$C$2:$C$1300,J$5)</f>
        <v>245</v>
      </c>
      <c r="K431" s="26">
        <f>SUMIFS(INDEX(元データ_14項目!$D$2:$Q$1300,0,MATCH($B431,元データ_14項目!$D$1:$Q$1,0)),元データ_14項目!$A$2:$A$1300,$A431,元データ_14項目!$B$2:$B$1300,"本年",元データ_14項目!$C$2:$C$1300,K$5)</f>
        <v>3018</v>
      </c>
      <c r="L431" s="26">
        <f>SUMIFS(INDEX(元データ_14項目!$D$2:$Q$1300,0,MATCH($B431,元データ_14項目!$D$1:$Q$1,0)),元データ_14項目!$A$2:$A$1300,$A431,元データ_14項目!$B$2:$B$1300,"本年",元データ_14項目!$C$2:$C$1300,L$5)</f>
        <v>291</v>
      </c>
      <c r="M431" s="26">
        <f>SUMIFS(INDEX(元データ_14項目!$D$2:$Q$1300,0,MATCH($B431,元データ_14項目!$D$1:$Q$1,0)),元データ_14項目!$A$2:$A$1300,$A431,元データ_14項目!$B$2:$B$1300,"本年",元データ_14項目!$C$2:$C$1300,M$5)</f>
        <v>381</v>
      </c>
      <c r="N431" s="26">
        <f>SUMIFS(INDEX(元データ_14項目!$D$2:$Q$1300,0,MATCH($B431,元データ_14項目!$D$1:$Q$1,0)),元データ_14項目!$A$2:$A$1300,$A431,元データ_14項目!$B$2:$B$1300,"本年",元データ_14項目!$C$2:$C$1300,N$5)</f>
        <v>374</v>
      </c>
      <c r="O431" s="26">
        <f t="shared" si="12"/>
        <v>6348</v>
      </c>
      <c r="P431" s="26">
        <f>SUMIFS(INDEX(元データ_14項目!$D$2:$Q$1300,0,MATCH($B431,元データ_14項目!$D$1:$Q$1,0)),元データ_14項目!$A$2:$A$1300,$A431,元データ_14項目!$B$2:$B$1300,"前年")</f>
        <v>4070</v>
      </c>
      <c r="Q431" s="7">
        <f t="shared" si="13"/>
        <v>1.5597051597051597</v>
      </c>
    </row>
    <row r="432" spans="1:17" x14ac:dyDescent="0.45">
      <c r="A432" t="s">
        <v>65</v>
      </c>
      <c r="B432" t="s">
        <v>92</v>
      </c>
      <c r="C432" s="26">
        <f>SUMIFS(INDEX(元データ_14項目!$D$2:$Q$1300,0,MATCH($B432,元データ_14項目!$D$1:$Q$1,0)),元データ_14項目!$A$2:$A$1300,$A432,元データ_14項目!$B$2:$B$1300,"本年",元データ_14項目!$C$2:$C$1300,C$5)</f>
        <v>32</v>
      </c>
      <c r="D432" s="26">
        <f>SUMIFS(INDEX(元データ_14項目!$D$2:$Q$1300,0,MATCH($B432,元データ_14項目!$D$1:$Q$1,0)),元データ_14項目!$A$2:$A$1300,$A432,元データ_14項目!$B$2:$B$1300,"本年",元データ_14項目!$C$2:$C$1300,D$5)</f>
        <v>58</v>
      </c>
      <c r="E432" s="26">
        <f>SUMIFS(INDEX(元データ_14項目!$D$2:$Q$1300,0,MATCH($B432,元データ_14項目!$D$1:$Q$1,0)),元データ_14項目!$A$2:$A$1300,$A432,元データ_14項目!$B$2:$B$1300,"本年",元データ_14項目!$C$2:$C$1300,E$5)</f>
        <v>93</v>
      </c>
      <c r="F432" s="26">
        <f>SUMIFS(INDEX(元データ_14項目!$D$2:$Q$1300,0,MATCH($B432,元データ_14項目!$D$1:$Q$1,0)),元データ_14項目!$A$2:$A$1300,$A432,元データ_14項目!$B$2:$B$1300,"本年",元データ_14項目!$C$2:$C$1300,F$5)</f>
        <v>387</v>
      </c>
      <c r="G432" s="26">
        <f>SUMIFS(INDEX(元データ_14項目!$D$2:$Q$1300,0,MATCH($B432,元データ_14項目!$D$1:$Q$1,0)),元データ_14項目!$A$2:$A$1300,$A432,元データ_14項目!$B$2:$B$1300,"本年",元データ_14項目!$C$2:$C$1300,G$5)</f>
        <v>74</v>
      </c>
      <c r="H432" s="26">
        <f>SUMIFS(INDEX(元データ_14項目!$D$2:$Q$1300,0,MATCH($B432,元データ_14項目!$D$1:$Q$1,0)),元データ_14項目!$A$2:$A$1300,$A432,元データ_14項目!$B$2:$B$1300,"本年",元データ_14項目!$C$2:$C$1300,H$5)</f>
        <v>34</v>
      </c>
      <c r="I432" s="26">
        <f>SUMIFS(INDEX(元データ_14項目!$D$2:$Q$1300,0,MATCH($B432,元データ_14項目!$D$1:$Q$1,0)),元データ_14項目!$A$2:$A$1300,$A432,元データ_14項目!$B$2:$B$1300,"本年",元データ_14項目!$C$2:$C$1300,I$5)</f>
        <v>16</v>
      </c>
      <c r="J432" s="26">
        <f>SUMIFS(INDEX(元データ_14項目!$D$2:$Q$1300,0,MATCH($B432,元データ_14項目!$D$1:$Q$1,0)),元データ_14項目!$A$2:$A$1300,$A432,元データ_14項目!$B$2:$B$1300,"本年",元データ_14項目!$C$2:$C$1300,J$5)</f>
        <v>62</v>
      </c>
      <c r="K432" s="26">
        <f>SUMIFS(INDEX(元データ_14項目!$D$2:$Q$1300,0,MATCH($B432,元データ_14項目!$D$1:$Q$1,0)),元データ_14項目!$A$2:$A$1300,$A432,元データ_14項目!$B$2:$B$1300,"本年",元データ_14項目!$C$2:$C$1300,K$5)</f>
        <v>107</v>
      </c>
      <c r="L432" s="26">
        <f>SUMIFS(INDEX(元データ_14項目!$D$2:$Q$1300,0,MATCH($B432,元データ_14項目!$D$1:$Q$1,0)),元データ_14項目!$A$2:$A$1300,$A432,元データ_14項目!$B$2:$B$1300,"本年",元データ_14項目!$C$2:$C$1300,L$5)</f>
        <v>64</v>
      </c>
      <c r="M432" s="26">
        <f>SUMIFS(INDEX(元データ_14項目!$D$2:$Q$1300,0,MATCH($B432,元データ_14項目!$D$1:$Q$1,0)),元データ_14項目!$A$2:$A$1300,$A432,元データ_14項目!$B$2:$B$1300,"本年",元データ_14項目!$C$2:$C$1300,M$5)</f>
        <v>69</v>
      </c>
      <c r="N432" s="26">
        <f>SUMIFS(INDEX(元データ_14項目!$D$2:$Q$1300,0,MATCH($B432,元データ_14項目!$D$1:$Q$1,0)),元データ_14項目!$A$2:$A$1300,$A432,元データ_14項目!$B$2:$B$1300,"本年",元データ_14項目!$C$2:$C$1300,N$5)</f>
        <v>47</v>
      </c>
      <c r="O432" s="26">
        <f t="shared" si="12"/>
        <v>1043</v>
      </c>
      <c r="P432" s="26">
        <f>SUMIFS(INDEX(元データ_14項目!$D$2:$Q$1300,0,MATCH($B432,元データ_14項目!$D$1:$Q$1,0)),元データ_14項目!$A$2:$A$1300,$A432,元データ_14項目!$B$2:$B$1300,"前年")</f>
        <v>793</v>
      </c>
      <c r="Q432" s="7">
        <f t="shared" si="13"/>
        <v>1.3152585119798235</v>
      </c>
    </row>
    <row r="433" spans="1:17" x14ac:dyDescent="0.45">
      <c r="A433" t="s">
        <v>65</v>
      </c>
      <c r="B433" t="s">
        <v>93</v>
      </c>
      <c r="C433" s="26">
        <f>SUMIFS(INDEX(元データ_14項目!$D$2:$Q$1300,0,MATCH($B433,元データ_14項目!$D$1:$Q$1,0)),元データ_14項目!$A$2:$A$1300,$A433,元データ_14項目!$B$2:$B$1300,"本年",元データ_14項目!$C$2:$C$1300,C$5)</f>
        <v>29</v>
      </c>
      <c r="D433" s="26">
        <f>SUMIFS(INDEX(元データ_14項目!$D$2:$Q$1300,0,MATCH($B433,元データ_14項目!$D$1:$Q$1,0)),元データ_14項目!$A$2:$A$1300,$A433,元データ_14項目!$B$2:$B$1300,"本年",元データ_14項目!$C$2:$C$1300,D$5)</f>
        <v>15</v>
      </c>
      <c r="E433" s="26">
        <f>SUMIFS(INDEX(元データ_14項目!$D$2:$Q$1300,0,MATCH($B433,元データ_14項目!$D$1:$Q$1,0)),元データ_14項目!$A$2:$A$1300,$A433,元データ_14項目!$B$2:$B$1300,"本年",元データ_14項目!$C$2:$C$1300,E$5)</f>
        <v>113</v>
      </c>
      <c r="F433" s="26">
        <f>SUMIFS(INDEX(元データ_14項目!$D$2:$Q$1300,0,MATCH($B433,元データ_14項目!$D$1:$Q$1,0)),元データ_14項目!$A$2:$A$1300,$A433,元データ_14項目!$B$2:$B$1300,"本年",元データ_14項目!$C$2:$C$1300,F$5)</f>
        <v>72</v>
      </c>
      <c r="G433" s="26">
        <f>SUMIFS(INDEX(元データ_14項目!$D$2:$Q$1300,0,MATCH($B433,元データ_14項目!$D$1:$Q$1,0)),元データ_14項目!$A$2:$A$1300,$A433,元データ_14項目!$B$2:$B$1300,"本年",元データ_14項目!$C$2:$C$1300,G$5)</f>
        <v>126</v>
      </c>
      <c r="H433" s="26">
        <f>SUMIFS(INDEX(元データ_14項目!$D$2:$Q$1300,0,MATCH($B433,元データ_14項目!$D$1:$Q$1,0)),元データ_14項目!$A$2:$A$1300,$A433,元データ_14項目!$B$2:$B$1300,"本年",元データ_14項目!$C$2:$C$1300,H$5)</f>
        <v>104</v>
      </c>
      <c r="I433" s="26">
        <f>SUMIFS(INDEX(元データ_14項目!$D$2:$Q$1300,0,MATCH($B433,元データ_14項目!$D$1:$Q$1,0)),元データ_14項目!$A$2:$A$1300,$A433,元データ_14項目!$B$2:$B$1300,"本年",元データ_14項目!$C$2:$C$1300,I$5)</f>
        <v>99</v>
      </c>
      <c r="J433" s="26">
        <f>SUMIFS(INDEX(元データ_14項目!$D$2:$Q$1300,0,MATCH($B433,元データ_14項目!$D$1:$Q$1,0)),元データ_14項目!$A$2:$A$1300,$A433,元データ_14項目!$B$2:$B$1300,"本年",元データ_14項目!$C$2:$C$1300,J$5)</f>
        <v>217</v>
      </c>
      <c r="K433" s="26">
        <f>SUMIFS(INDEX(元データ_14項目!$D$2:$Q$1300,0,MATCH($B433,元データ_14項目!$D$1:$Q$1,0)),元データ_14項目!$A$2:$A$1300,$A433,元データ_14項目!$B$2:$B$1300,"本年",元データ_14項目!$C$2:$C$1300,K$5)</f>
        <v>552</v>
      </c>
      <c r="L433" s="26">
        <f>SUMIFS(INDEX(元データ_14項目!$D$2:$Q$1300,0,MATCH($B433,元データ_14項目!$D$1:$Q$1,0)),元データ_14項目!$A$2:$A$1300,$A433,元データ_14項目!$B$2:$B$1300,"本年",元データ_14項目!$C$2:$C$1300,L$5)</f>
        <v>302</v>
      </c>
      <c r="M433" s="26">
        <f>SUMIFS(INDEX(元データ_14項目!$D$2:$Q$1300,0,MATCH($B433,元データ_14項目!$D$1:$Q$1,0)),元データ_14項目!$A$2:$A$1300,$A433,元データ_14項目!$B$2:$B$1300,"本年",元データ_14項目!$C$2:$C$1300,M$5)</f>
        <v>153</v>
      </c>
      <c r="N433" s="26">
        <f>SUMIFS(INDEX(元データ_14項目!$D$2:$Q$1300,0,MATCH($B433,元データ_14項目!$D$1:$Q$1,0)),元データ_14項目!$A$2:$A$1300,$A433,元データ_14項目!$B$2:$B$1300,"本年",元データ_14項目!$C$2:$C$1300,N$5)</f>
        <v>56</v>
      </c>
      <c r="O433" s="26">
        <f t="shared" si="12"/>
        <v>1838</v>
      </c>
      <c r="P433" s="26">
        <f>SUMIFS(INDEX(元データ_14項目!$D$2:$Q$1300,0,MATCH($B433,元データ_14項目!$D$1:$Q$1,0)),元データ_14項目!$A$2:$A$1300,$A433,元データ_14項目!$B$2:$B$1300,"前年")</f>
        <v>2169</v>
      </c>
      <c r="Q433" s="7">
        <f t="shared" si="13"/>
        <v>0.84739511295527892</v>
      </c>
    </row>
    <row r="434" spans="1:17" x14ac:dyDescent="0.45">
      <c r="A434" t="s">
        <v>65</v>
      </c>
      <c r="B434" t="s">
        <v>94</v>
      </c>
      <c r="C434" s="26">
        <f>SUMIFS(INDEX(元データ_14項目!$D$2:$Q$1300,0,MATCH($B434,元データ_14項目!$D$1:$Q$1,0)),元データ_14項目!$A$2:$A$1300,$A434,元データ_14項目!$B$2:$B$1300,"本年",元データ_14項目!$C$2:$C$1300,C$5)</f>
        <v>18</v>
      </c>
      <c r="D434" s="26">
        <f>SUMIFS(INDEX(元データ_14項目!$D$2:$Q$1300,0,MATCH($B434,元データ_14項目!$D$1:$Q$1,0)),元データ_14項目!$A$2:$A$1300,$A434,元データ_14項目!$B$2:$B$1300,"本年",元データ_14項目!$C$2:$C$1300,D$5)</f>
        <v>21</v>
      </c>
      <c r="E434" s="26">
        <f>SUMIFS(INDEX(元データ_14項目!$D$2:$Q$1300,0,MATCH($B434,元データ_14項目!$D$1:$Q$1,0)),元データ_14項目!$A$2:$A$1300,$A434,元データ_14項目!$B$2:$B$1300,"本年",元データ_14項目!$C$2:$C$1300,E$5)</f>
        <v>65</v>
      </c>
      <c r="F434" s="26">
        <f>SUMIFS(INDEX(元データ_14項目!$D$2:$Q$1300,0,MATCH($B434,元データ_14項目!$D$1:$Q$1,0)),元データ_14項目!$A$2:$A$1300,$A434,元データ_14項目!$B$2:$B$1300,"本年",元データ_14項目!$C$2:$C$1300,F$5)</f>
        <v>96</v>
      </c>
      <c r="G434" s="26">
        <f>SUMIFS(INDEX(元データ_14項目!$D$2:$Q$1300,0,MATCH($B434,元データ_14項目!$D$1:$Q$1,0)),元データ_14項目!$A$2:$A$1300,$A434,元データ_14項目!$B$2:$B$1300,"本年",元データ_14項目!$C$2:$C$1300,G$5)</f>
        <v>63</v>
      </c>
      <c r="H434" s="26">
        <f>SUMIFS(INDEX(元データ_14項目!$D$2:$Q$1300,0,MATCH($B434,元データ_14項目!$D$1:$Q$1,0)),元データ_14項目!$A$2:$A$1300,$A434,元データ_14項目!$B$2:$B$1300,"本年",元データ_14項目!$C$2:$C$1300,H$5)</f>
        <v>31</v>
      </c>
      <c r="I434" s="26">
        <f>SUMIFS(INDEX(元データ_14項目!$D$2:$Q$1300,0,MATCH($B434,元データ_14項目!$D$1:$Q$1,0)),元データ_14項目!$A$2:$A$1300,$A434,元データ_14項目!$B$2:$B$1300,"本年",元データ_14項目!$C$2:$C$1300,I$5)</f>
        <v>21</v>
      </c>
      <c r="J434" s="26">
        <f>SUMIFS(INDEX(元データ_14項目!$D$2:$Q$1300,0,MATCH($B434,元データ_14項目!$D$1:$Q$1,0)),元データ_14項目!$A$2:$A$1300,$A434,元データ_14項目!$B$2:$B$1300,"本年",元データ_14項目!$C$2:$C$1300,J$5)</f>
        <v>66</v>
      </c>
      <c r="K434" s="26">
        <f>SUMIFS(INDEX(元データ_14項目!$D$2:$Q$1300,0,MATCH($B434,元データ_14項目!$D$1:$Q$1,0)),元データ_14項目!$A$2:$A$1300,$A434,元データ_14項目!$B$2:$B$1300,"本年",元データ_14項目!$C$2:$C$1300,K$5)</f>
        <v>186</v>
      </c>
      <c r="L434" s="26">
        <f>SUMIFS(INDEX(元データ_14項目!$D$2:$Q$1300,0,MATCH($B434,元データ_14項目!$D$1:$Q$1,0)),元データ_14項目!$A$2:$A$1300,$A434,元データ_14項目!$B$2:$B$1300,"本年",元データ_14項目!$C$2:$C$1300,L$5)</f>
        <v>133</v>
      </c>
      <c r="M434" s="26">
        <f>SUMIFS(INDEX(元データ_14項目!$D$2:$Q$1300,0,MATCH($B434,元データ_14項目!$D$1:$Q$1,0)),元データ_14項目!$A$2:$A$1300,$A434,元データ_14項目!$B$2:$B$1300,"本年",元データ_14項目!$C$2:$C$1300,M$5)</f>
        <v>89</v>
      </c>
      <c r="N434" s="26">
        <f>SUMIFS(INDEX(元データ_14項目!$D$2:$Q$1300,0,MATCH($B434,元データ_14項目!$D$1:$Q$1,0)),元データ_14項目!$A$2:$A$1300,$A434,元データ_14項目!$B$2:$B$1300,"本年",元データ_14項目!$C$2:$C$1300,N$5)</f>
        <v>33</v>
      </c>
      <c r="O434" s="26">
        <f t="shared" si="12"/>
        <v>822</v>
      </c>
      <c r="P434" s="26">
        <f>SUMIFS(INDEX(元データ_14項目!$D$2:$Q$1300,0,MATCH($B434,元データ_14項目!$D$1:$Q$1,0)),元データ_14項目!$A$2:$A$1300,$A434,元データ_14項目!$B$2:$B$1300,"前年")</f>
        <v>887</v>
      </c>
      <c r="Q434" s="7">
        <f t="shared" si="13"/>
        <v>0.92671927846674185</v>
      </c>
    </row>
    <row r="435" spans="1:17" x14ac:dyDescent="0.45">
      <c r="A435" t="s">
        <v>65</v>
      </c>
      <c r="B435" t="s">
        <v>95</v>
      </c>
      <c r="C435" s="26">
        <f>SUMIFS(INDEX(元データ_14項目!$D$2:$Q$1300,0,MATCH($B435,元データ_14項目!$D$1:$Q$1,0)),元データ_14項目!$A$2:$A$1300,$A435,元データ_14項目!$B$2:$B$1300,"本年",元データ_14項目!$C$2:$C$1300,C$5)</f>
        <v>62</v>
      </c>
      <c r="D435" s="26">
        <f>SUMIFS(INDEX(元データ_14項目!$D$2:$Q$1300,0,MATCH($B435,元データ_14項目!$D$1:$Q$1,0)),元データ_14項目!$A$2:$A$1300,$A435,元データ_14項目!$B$2:$B$1300,"本年",元データ_14項目!$C$2:$C$1300,D$5)</f>
        <v>79</v>
      </c>
      <c r="E435" s="26">
        <f>SUMIFS(INDEX(元データ_14項目!$D$2:$Q$1300,0,MATCH($B435,元データ_14項目!$D$1:$Q$1,0)),元データ_14項目!$A$2:$A$1300,$A435,元データ_14項目!$B$2:$B$1300,"本年",元データ_14項目!$C$2:$C$1300,E$5)</f>
        <v>114</v>
      </c>
      <c r="F435" s="26">
        <f>SUMIFS(INDEX(元データ_14項目!$D$2:$Q$1300,0,MATCH($B435,元データ_14項目!$D$1:$Q$1,0)),元データ_14項目!$A$2:$A$1300,$A435,元データ_14項目!$B$2:$B$1300,"本年",元データ_14項目!$C$2:$C$1300,F$5)</f>
        <v>47</v>
      </c>
      <c r="G435" s="26">
        <f>SUMIFS(INDEX(元データ_14項目!$D$2:$Q$1300,0,MATCH($B435,元データ_14項目!$D$1:$Q$1,0)),元データ_14項目!$A$2:$A$1300,$A435,元データ_14項目!$B$2:$B$1300,"本年",元データ_14項目!$C$2:$C$1300,G$5)</f>
        <v>83</v>
      </c>
      <c r="H435" s="26">
        <f>SUMIFS(INDEX(元データ_14項目!$D$2:$Q$1300,0,MATCH($B435,元データ_14項目!$D$1:$Q$1,0)),元データ_14項目!$A$2:$A$1300,$A435,元データ_14項目!$B$2:$B$1300,"本年",元データ_14項目!$C$2:$C$1300,H$5)</f>
        <v>49</v>
      </c>
      <c r="I435" s="26">
        <f>SUMIFS(INDEX(元データ_14項目!$D$2:$Q$1300,0,MATCH($B435,元データ_14項目!$D$1:$Q$1,0)),元データ_14項目!$A$2:$A$1300,$A435,元データ_14項目!$B$2:$B$1300,"本年",元データ_14項目!$C$2:$C$1300,I$5)</f>
        <v>49</v>
      </c>
      <c r="J435" s="26">
        <f>SUMIFS(INDEX(元データ_14項目!$D$2:$Q$1300,0,MATCH($B435,元データ_14項目!$D$1:$Q$1,0)),元データ_14項目!$A$2:$A$1300,$A435,元データ_14項目!$B$2:$B$1300,"本年",元データ_14項目!$C$2:$C$1300,J$5)</f>
        <v>75</v>
      </c>
      <c r="K435" s="26">
        <f>SUMIFS(INDEX(元データ_14項目!$D$2:$Q$1300,0,MATCH($B435,元データ_14項目!$D$1:$Q$1,0)),元データ_14項目!$A$2:$A$1300,$A435,元データ_14項目!$B$2:$B$1300,"本年",元データ_14項目!$C$2:$C$1300,K$5)</f>
        <v>105</v>
      </c>
      <c r="L435" s="26">
        <f>SUMIFS(INDEX(元データ_14項目!$D$2:$Q$1300,0,MATCH($B435,元データ_14項目!$D$1:$Q$1,0)),元データ_14項目!$A$2:$A$1300,$A435,元データ_14項目!$B$2:$B$1300,"本年",元データ_14項目!$C$2:$C$1300,L$5)</f>
        <v>71</v>
      </c>
      <c r="M435" s="26">
        <f>SUMIFS(INDEX(元データ_14項目!$D$2:$Q$1300,0,MATCH($B435,元データ_14項目!$D$1:$Q$1,0)),元データ_14項目!$A$2:$A$1300,$A435,元データ_14項目!$B$2:$B$1300,"本年",元データ_14項目!$C$2:$C$1300,M$5)</f>
        <v>100</v>
      </c>
      <c r="N435" s="26">
        <f>SUMIFS(INDEX(元データ_14項目!$D$2:$Q$1300,0,MATCH($B435,元データ_14項目!$D$1:$Q$1,0)),元データ_14項目!$A$2:$A$1300,$A435,元データ_14項目!$B$2:$B$1300,"本年",元データ_14項目!$C$2:$C$1300,N$5)</f>
        <v>71</v>
      </c>
      <c r="O435" s="26">
        <f t="shared" si="12"/>
        <v>905</v>
      </c>
      <c r="P435" s="26">
        <f>SUMIFS(INDEX(元データ_14項目!$D$2:$Q$1300,0,MATCH($B435,元データ_14項目!$D$1:$Q$1,0)),元データ_14項目!$A$2:$A$1300,$A435,元データ_14項目!$B$2:$B$1300,"前年")</f>
        <v>851</v>
      </c>
      <c r="Q435" s="7">
        <f t="shared" si="13"/>
        <v>1.063454759106933</v>
      </c>
    </row>
    <row r="436" spans="1:17" x14ac:dyDescent="0.45">
      <c r="A436" t="s">
        <v>65</v>
      </c>
      <c r="B436" t="s">
        <v>96</v>
      </c>
      <c r="C436" s="26">
        <f>SUMIFS(INDEX(元データ_14項目!$D$2:$Q$1300,0,MATCH($B436,元データ_14項目!$D$1:$Q$1,0)),元データ_14項目!$A$2:$A$1300,$A436,元データ_14項目!$B$2:$B$1300,"本年",元データ_14項目!$C$2:$C$1300,C$5)</f>
        <v>25</v>
      </c>
      <c r="D436" s="26">
        <f>SUMIFS(INDEX(元データ_14項目!$D$2:$Q$1300,0,MATCH($B436,元データ_14項目!$D$1:$Q$1,0)),元データ_14項目!$A$2:$A$1300,$A436,元データ_14項目!$B$2:$B$1300,"本年",元データ_14項目!$C$2:$C$1300,D$5)</f>
        <v>12</v>
      </c>
      <c r="E436" s="26">
        <f>SUMIFS(INDEX(元データ_14項目!$D$2:$Q$1300,0,MATCH($B436,元データ_14項目!$D$1:$Q$1,0)),元データ_14項目!$A$2:$A$1300,$A436,元データ_14項目!$B$2:$B$1300,"本年",元データ_14項目!$C$2:$C$1300,E$5)</f>
        <v>75</v>
      </c>
      <c r="F436" s="26">
        <f>SUMIFS(INDEX(元データ_14項目!$D$2:$Q$1300,0,MATCH($B436,元データ_14項目!$D$1:$Q$1,0)),元データ_14項目!$A$2:$A$1300,$A436,元データ_14項目!$B$2:$B$1300,"本年",元データ_14項目!$C$2:$C$1300,F$5)</f>
        <v>103</v>
      </c>
      <c r="G436" s="26">
        <f>SUMIFS(INDEX(元データ_14項目!$D$2:$Q$1300,0,MATCH($B436,元データ_14項目!$D$1:$Q$1,0)),元データ_14項目!$A$2:$A$1300,$A436,元データ_14項目!$B$2:$B$1300,"本年",元データ_14項目!$C$2:$C$1300,G$5)</f>
        <v>96</v>
      </c>
      <c r="H436" s="26">
        <f>SUMIFS(INDEX(元データ_14項目!$D$2:$Q$1300,0,MATCH($B436,元データ_14項目!$D$1:$Q$1,0)),元データ_14項目!$A$2:$A$1300,$A436,元データ_14項目!$B$2:$B$1300,"本年",元データ_14項目!$C$2:$C$1300,H$5)</f>
        <v>65</v>
      </c>
      <c r="I436" s="26">
        <f>SUMIFS(INDEX(元データ_14項目!$D$2:$Q$1300,0,MATCH($B436,元データ_14項目!$D$1:$Q$1,0)),元データ_14項目!$A$2:$A$1300,$A436,元データ_14項目!$B$2:$B$1300,"本年",元データ_14項目!$C$2:$C$1300,I$5)</f>
        <v>32</v>
      </c>
      <c r="J436" s="26">
        <f>SUMIFS(INDEX(元データ_14項目!$D$2:$Q$1300,0,MATCH($B436,元データ_14項目!$D$1:$Q$1,0)),元データ_14項目!$A$2:$A$1300,$A436,元データ_14項目!$B$2:$B$1300,"本年",元データ_14項目!$C$2:$C$1300,J$5)</f>
        <v>203</v>
      </c>
      <c r="K436" s="26">
        <f>SUMIFS(INDEX(元データ_14項目!$D$2:$Q$1300,0,MATCH($B436,元データ_14項目!$D$1:$Q$1,0)),元データ_14項目!$A$2:$A$1300,$A436,元データ_14項目!$B$2:$B$1300,"本年",元データ_14項目!$C$2:$C$1300,K$5)</f>
        <v>519</v>
      </c>
      <c r="L436" s="26">
        <f>SUMIFS(INDEX(元データ_14項目!$D$2:$Q$1300,0,MATCH($B436,元データ_14項目!$D$1:$Q$1,0)),元データ_14項目!$A$2:$A$1300,$A436,元データ_14項目!$B$2:$B$1300,"本年",元データ_14項目!$C$2:$C$1300,L$5)</f>
        <v>313</v>
      </c>
      <c r="M436" s="26">
        <f>SUMIFS(INDEX(元データ_14項目!$D$2:$Q$1300,0,MATCH($B436,元データ_14項目!$D$1:$Q$1,0)),元データ_14項目!$A$2:$A$1300,$A436,元データ_14項目!$B$2:$B$1300,"本年",元データ_14項目!$C$2:$C$1300,M$5)</f>
        <v>202</v>
      </c>
      <c r="N436" s="26">
        <f>SUMIFS(INDEX(元データ_14項目!$D$2:$Q$1300,0,MATCH($B436,元データ_14項目!$D$1:$Q$1,0)),元データ_14項目!$A$2:$A$1300,$A436,元データ_14項目!$B$2:$B$1300,"本年",元データ_14項目!$C$2:$C$1300,N$5)</f>
        <v>85</v>
      </c>
      <c r="O436" s="26">
        <f t="shared" si="12"/>
        <v>1730</v>
      </c>
      <c r="P436" s="26">
        <f>SUMIFS(INDEX(元データ_14項目!$D$2:$Q$1300,0,MATCH($B436,元データ_14項目!$D$1:$Q$1,0)),元データ_14項目!$A$2:$A$1300,$A436,元データ_14項目!$B$2:$B$1300,"前年")</f>
        <v>1677</v>
      </c>
      <c r="Q436" s="7">
        <f t="shared" si="13"/>
        <v>1.0316040548598688</v>
      </c>
    </row>
    <row r="437" spans="1:17" x14ac:dyDescent="0.45">
      <c r="A437" t="s">
        <v>65</v>
      </c>
      <c r="B437" t="s">
        <v>97</v>
      </c>
      <c r="C437" s="26">
        <f>SUMIFS(INDEX(元データ_14項目!$D$2:$Q$1300,0,MATCH($B437,元データ_14項目!$D$1:$Q$1,0)),元データ_14項目!$A$2:$A$1300,$A437,元データ_14項目!$B$2:$B$1300,"本年",元データ_14項目!$C$2:$C$1300,C$5)</f>
        <v>46</v>
      </c>
      <c r="D437" s="26">
        <f>SUMIFS(INDEX(元データ_14項目!$D$2:$Q$1300,0,MATCH($B437,元データ_14項目!$D$1:$Q$1,0)),元データ_14項目!$A$2:$A$1300,$A437,元データ_14項目!$B$2:$B$1300,"本年",元データ_14項目!$C$2:$C$1300,D$5)</f>
        <v>22</v>
      </c>
      <c r="E437" s="26">
        <f>SUMIFS(INDEX(元データ_14項目!$D$2:$Q$1300,0,MATCH($B437,元データ_14項目!$D$1:$Q$1,0)),元データ_14項目!$A$2:$A$1300,$A437,元データ_14項目!$B$2:$B$1300,"本年",元データ_14項目!$C$2:$C$1300,E$5)</f>
        <v>27</v>
      </c>
      <c r="F437" s="26">
        <f>SUMIFS(INDEX(元データ_14項目!$D$2:$Q$1300,0,MATCH($B437,元データ_14項目!$D$1:$Q$1,0)),元データ_14項目!$A$2:$A$1300,$A437,元データ_14項目!$B$2:$B$1300,"本年",元データ_14項目!$C$2:$C$1300,F$5)</f>
        <v>88</v>
      </c>
      <c r="G437" s="26">
        <f>SUMIFS(INDEX(元データ_14項目!$D$2:$Q$1300,0,MATCH($B437,元データ_14項目!$D$1:$Q$1,0)),元データ_14項目!$A$2:$A$1300,$A437,元データ_14項目!$B$2:$B$1300,"本年",元データ_14項目!$C$2:$C$1300,G$5)</f>
        <v>81</v>
      </c>
      <c r="H437" s="26">
        <f>SUMIFS(INDEX(元データ_14項目!$D$2:$Q$1300,0,MATCH($B437,元データ_14項目!$D$1:$Q$1,0)),元データ_14項目!$A$2:$A$1300,$A437,元データ_14項目!$B$2:$B$1300,"本年",元データ_14項目!$C$2:$C$1300,H$5)</f>
        <v>39</v>
      </c>
      <c r="I437" s="26">
        <f>SUMIFS(INDEX(元データ_14項目!$D$2:$Q$1300,0,MATCH($B437,元データ_14項目!$D$1:$Q$1,0)),元データ_14項目!$A$2:$A$1300,$A437,元データ_14項目!$B$2:$B$1300,"本年",元データ_14項目!$C$2:$C$1300,I$5)</f>
        <v>60</v>
      </c>
      <c r="J437" s="26">
        <f>SUMIFS(INDEX(元データ_14項目!$D$2:$Q$1300,0,MATCH($B437,元データ_14項目!$D$1:$Q$1,0)),元データ_14項目!$A$2:$A$1300,$A437,元データ_14項目!$B$2:$B$1300,"本年",元データ_14項目!$C$2:$C$1300,J$5)</f>
        <v>141</v>
      </c>
      <c r="K437" s="26">
        <f>SUMIFS(INDEX(元データ_14項目!$D$2:$Q$1300,0,MATCH($B437,元データ_14項目!$D$1:$Q$1,0)),元データ_14項目!$A$2:$A$1300,$A437,元データ_14項目!$B$2:$B$1300,"本年",元データ_14項目!$C$2:$C$1300,K$5)</f>
        <v>298</v>
      </c>
      <c r="L437" s="26">
        <f>SUMIFS(INDEX(元データ_14項目!$D$2:$Q$1300,0,MATCH($B437,元データ_14項目!$D$1:$Q$1,0)),元データ_14項目!$A$2:$A$1300,$A437,元データ_14項目!$B$2:$B$1300,"本年",元データ_14項目!$C$2:$C$1300,L$5)</f>
        <v>161</v>
      </c>
      <c r="M437" s="26">
        <f>SUMIFS(INDEX(元データ_14項目!$D$2:$Q$1300,0,MATCH($B437,元データ_14項目!$D$1:$Q$1,0)),元データ_14項目!$A$2:$A$1300,$A437,元データ_14項目!$B$2:$B$1300,"本年",元データ_14項目!$C$2:$C$1300,M$5)</f>
        <v>110</v>
      </c>
      <c r="N437" s="26">
        <f>SUMIFS(INDEX(元データ_14項目!$D$2:$Q$1300,0,MATCH($B437,元データ_14項目!$D$1:$Q$1,0)),元データ_14項目!$A$2:$A$1300,$A437,元データ_14項目!$B$2:$B$1300,"本年",元データ_14項目!$C$2:$C$1300,N$5)</f>
        <v>52</v>
      </c>
      <c r="O437" s="26">
        <f t="shared" si="12"/>
        <v>1125</v>
      </c>
      <c r="P437" s="26">
        <f>SUMIFS(INDEX(元データ_14項目!$D$2:$Q$1300,0,MATCH($B437,元データ_14項目!$D$1:$Q$1,0)),元データ_14項目!$A$2:$A$1300,$A437,元データ_14項目!$B$2:$B$1300,"前年")</f>
        <v>1198</v>
      </c>
      <c r="Q437" s="7">
        <f t="shared" si="13"/>
        <v>0.93906510851419034</v>
      </c>
    </row>
    <row r="438" spans="1:17" x14ac:dyDescent="0.45">
      <c r="A438" t="s">
        <v>65</v>
      </c>
      <c r="B438" t="s">
        <v>98</v>
      </c>
      <c r="C438" s="26">
        <f>SUMIFS(INDEX(元データ_14項目!$D$2:$Q$1300,0,MATCH($B438,元データ_14項目!$D$1:$Q$1,0)),元データ_14項目!$A$2:$A$1300,$A438,元データ_14項目!$B$2:$B$1300,"本年",元データ_14項目!$C$2:$C$1300,C$5)</f>
        <v>13</v>
      </c>
      <c r="D438" s="26">
        <f>SUMIFS(INDEX(元データ_14項目!$D$2:$Q$1300,0,MATCH($B438,元データ_14項目!$D$1:$Q$1,0)),元データ_14項目!$A$2:$A$1300,$A438,元データ_14項目!$B$2:$B$1300,"本年",元データ_14項目!$C$2:$C$1300,D$5)</f>
        <v>7</v>
      </c>
      <c r="E438" s="26">
        <f>SUMIFS(INDEX(元データ_14項目!$D$2:$Q$1300,0,MATCH($B438,元データ_14項目!$D$1:$Q$1,0)),元データ_14項目!$A$2:$A$1300,$A438,元データ_14項目!$B$2:$B$1300,"本年",元データ_14項目!$C$2:$C$1300,E$5)</f>
        <v>0</v>
      </c>
      <c r="F438" s="26">
        <f>SUMIFS(INDEX(元データ_14項目!$D$2:$Q$1300,0,MATCH($B438,元データ_14項目!$D$1:$Q$1,0)),元データ_14項目!$A$2:$A$1300,$A438,元データ_14項目!$B$2:$B$1300,"本年",元データ_14項目!$C$2:$C$1300,F$5)</f>
        <v>24</v>
      </c>
      <c r="G438" s="26">
        <f>SUMIFS(INDEX(元データ_14項目!$D$2:$Q$1300,0,MATCH($B438,元データ_14項目!$D$1:$Q$1,0)),元データ_14項目!$A$2:$A$1300,$A438,元データ_14項目!$B$2:$B$1300,"本年",元データ_14項目!$C$2:$C$1300,G$5)</f>
        <v>43</v>
      </c>
      <c r="H438" s="26">
        <f>SUMIFS(INDEX(元データ_14項目!$D$2:$Q$1300,0,MATCH($B438,元データ_14項目!$D$1:$Q$1,0)),元データ_14項目!$A$2:$A$1300,$A438,元データ_14項目!$B$2:$B$1300,"本年",元データ_14項目!$C$2:$C$1300,H$5)</f>
        <v>26</v>
      </c>
      <c r="I438" s="26">
        <f>SUMIFS(INDEX(元データ_14項目!$D$2:$Q$1300,0,MATCH($B438,元データ_14項目!$D$1:$Q$1,0)),元データ_14項目!$A$2:$A$1300,$A438,元データ_14項目!$B$2:$B$1300,"本年",元データ_14項目!$C$2:$C$1300,I$5)</f>
        <v>17</v>
      </c>
      <c r="J438" s="26">
        <f>SUMIFS(INDEX(元データ_14項目!$D$2:$Q$1300,0,MATCH($B438,元データ_14項目!$D$1:$Q$1,0)),元データ_14項目!$A$2:$A$1300,$A438,元データ_14項目!$B$2:$B$1300,"本年",元データ_14項目!$C$2:$C$1300,J$5)</f>
        <v>148</v>
      </c>
      <c r="K438" s="26">
        <f>SUMIFS(INDEX(元データ_14項目!$D$2:$Q$1300,0,MATCH($B438,元データ_14項目!$D$1:$Q$1,0)),元データ_14項目!$A$2:$A$1300,$A438,元データ_14項目!$B$2:$B$1300,"本年",元データ_14項目!$C$2:$C$1300,K$5)</f>
        <v>296</v>
      </c>
      <c r="L438" s="26">
        <f>SUMIFS(INDEX(元データ_14項目!$D$2:$Q$1300,0,MATCH($B438,元データ_14項目!$D$1:$Q$1,0)),元データ_14項目!$A$2:$A$1300,$A438,元データ_14項目!$B$2:$B$1300,"本年",元データ_14項目!$C$2:$C$1300,L$5)</f>
        <v>149</v>
      </c>
      <c r="M438" s="26">
        <f>SUMIFS(INDEX(元データ_14項目!$D$2:$Q$1300,0,MATCH($B438,元データ_14項目!$D$1:$Q$1,0)),元データ_14項目!$A$2:$A$1300,$A438,元データ_14項目!$B$2:$B$1300,"本年",元データ_14項目!$C$2:$C$1300,M$5)</f>
        <v>78</v>
      </c>
      <c r="N438" s="26">
        <f>SUMIFS(INDEX(元データ_14項目!$D$2:$Q$1300,0,MATCH($B438,元データ_14項目!$D$1:$Q$1,0)),元データ_14項目!$A$2:$A$1300,$A438,元データ_14項目!$B$2:$B$1300,"本年",元データ_14項目!$C$2:$C$1300,N$5)</f>
        <v>26</v>
      </c>
      <c r="O438" s="26">
        <f t="shared" si="12"/>
        <v>827</v>
      </c>
      <c r="P438" s="26">
        <f>SUMIFS(INDEX(元データ_14項目!$D$2:$Q$1300,0,MATCH($B438,元データ_14項目!$D$1:$Q$1,0)),元データ_14項目!$A$2:$A$1300,$A438,元データ_14項目!$B$2:$B$1300,"前年")</f>
        <v>897</v>
      </c>
      <c r="Q438" s="7">
        <f t="shared" si="13"/>
        <v>0.92196209587513933</v>
      </c>
    </row>
    <row r="439" spans="1:17" x14ac:dyDescent="0.45">
      <c r="A439" t="s">
        <v>65</v>
      </c>
      <c r="B439" t="s">
        <v>99</v>
      </c>
      <c r="C439" s="26">
        <f>SUMIFS(INDEX(元データ_14項目!$D$2:$Q$1300,0,MATCH($B439,元データ_14項目!$D$1:$Q$1,0)),元データ_14項目!$A$2:$A$1300,$A439,元データ_14項目!$B$2:$B$1300,"本年",元データ_14項目!$C$2:$C$1300,C$5)</f>
        <v>0</v>
      </c>
      <c r="D439" s="26">
        <f>SUMIFS(INDEX(元データ_14項目!$D$2:$Q$1300,0,MATCH($B439,元データ_14項目!$D$1:$Q$1,0)),元データ_14項目!$A$2:$A$1300,$A439,元データ_14項目!$B$2:$B$1300,"本年",元データ_14項目!$C$2:$C$1300,D$5)</f>
        <v>0</v>
      </c>
      <c r="E439" s="26">
        <f>SUMIFS(INDEX(元データ_14項目!$D$2:$Q$1300,0,MATCH($B439,元データ_14項目!$D$1:$Q$1,0)),元データ_14項目!$A$2:$A$1300,$A439,元データ_14項目!$B$2:$B$1300,"本年",元データ_14項目!$C$2:$C$1300,E$5)</f>
        <v>0</v>
      </c>
      <c r="F439" s="26">
        <f>SUMIFS(INDEX(元データ_14項目!$D$2:$Q$1300,0,MATCH($B439,元データ_14項目!$D$1:$Q$1,0)),元データ_14項目!$A$2:$A$1300,$A439,元データ_14項目!$B$2:$B$1300,"本年",元データ_14項目!$C$2:$C$1300,F$5)</f>
        <v>1</v>
      </c>
      <c r="G439" s="26">
        <f>SUMIFS(INDEX(元データ_14項目!$D$2:$Q$1300,0,MATCH($B439,元データ_14項目!$D$1:$Q$1,0)),元データ_14項目!$A$2:$A$1300,$A439,元データ_14項目!$B$2:$B$1300,"本年",元データ_14項目!$C$2:$C$1300,G$5)</f>
        <v>3</v>
      </c>
      <c r="H439" s="26">
        <f>SUMIFS(INDEX(元データ_14項目!$D$2:$Q$1300,0,MATCH($B439,元データ_14項目!$D$1:$Q$1,0)),元データ_14項目!$A$2:$A$1300,$A439,元データ_14項目!$B$2:$B$1300,"本年",元データ_14項目!$C$2:$C$1300,H$5)</f>
        <v>3</v>
      </c>
      <c r="I439" s="26">
        <f>SUMIFS(INDEX(元データ_14項目!$D$2:$Q$1300,0,MATCH($B439,元データ_14項目!$D$1:$Q$1,0)),元データ_14項目!$A$2:$A$1300,$A439,元データ_14項目!$B$2:$B$1300,"本年",元データ_14項目!$C$2:$C$1300,I$5)</f>
        <v>15</v>
      </c>
      <c r="J439" s="26">
        <f>SUMIFS(INDEX(元データ_14項目!$D$2:$Q$1300,0,MATCH($B439,元データ_14項目!$D$1:$Q$1,0)),元データ_14項目!$A$2:$A$1300,$A439,元データ_14項目!$B$2:$B$1300,"本年",元データ_14項目!$C$2:$C$1300,J$5)</f>
        <v>13</v>
      </c>
      <c r="K439" s="26">
        <f>SUMIFS(INDEX(元データ_14項目!$D$2:$Q$1300,0,MATCH($B439,元データ_14項目!$D$1:$Q$1,0)),元データ_14項目!$A$2:$A$1300,$A439,元データ_14項目!$B$2:$B$1300,"本年",元データ_14項目!$C$2:$C$1300,K$5)</f>
        <v>17</v>
      </c>
      <c r="L439" s="26">
        <f>SUMIFS(INDEX(元データ_14項目!$D$2:$Q$1300,0,MATCH($B439,元データ_14項目!$D$1:$Q$1,0)),元データ_14項目!$A$2:$A$1300,$A439,元データ_14項目!$B$2:$B$1300,"本年",元データ_14項目!$C$2:$C$1300,L$5)</f>
        <v>22</v>
      </c>
      <c r="M439" s="26">
        <f>SUMIFS(INDEX(元データ_14項目!$D$2:$Q$1300,0,MATCH($B439,元データ_14項目!$D$1:$Q$1,0)),元データ_14項目!$A$2:$A$1300,$A439,元データ_14項目!$B$2:$B$1300,"本年",元データ_14項目!$C$2:$C$1300,M$5)</f>
        <v>5</v>
      </c>
      <c r="N439" s="26">
        <f>SUMIFS(INDEX(元データ_14項目!$D$2:$Q$1300,0,MATCH($B439,元データ_14項目!$D$1:$Q$1,0)),元データ_14項目!$A$2:$A$1300,$A439,元データ_14項目!$B$2:$B$1300,"本年",元データ_14項目!$C$2:$C$1300,N$5)</f>
        <v>1</v>
      </c>
      <c r="O439" s="26">
        <f t="shared" si="12"/>
        <v>80</v>
      </c>
      <c r="P439" s="26">
        <f>SUMIFS(INDEX(元データ_14項目!$D$2:$Q$1300,0,MATCH($B439,元データ_14項目!$D$1:$Q$1,0)),元データ_14項目!$A$2:$A$1300,$A439,元データ_14項目!$B$2:$B$1300,"前年")</f>
        <v>67</v>
      </c>
      <c r="Q439" s="7">
        <f t="shared" si="13"/>
        <v>1.1940298507462686</v>
      </c>
    </row>
    <row r="440" spans="1:17" x14ac:dyDescent="0.45">
      <c r="A440" t="s">
        <v>66</v>
      </c>
      <c r="B440" t="s">
        <v>27</v>
      </c>
      <c r="C440" s="26">
        <f>SUMIFS(INDEX(元データ_14項目!$D$2:$Q$1300,0,MATCH($B440,元データ_14項目!$D$1:$Q$1,0)),元データ_14項目!$A$2:$A$1300,$A440,元データ_14項目!$B$2:$B$1300,"本年",元データ_14項目!$C$2:$C$1300,C$5)</f>
        <v>767</v>
      </c>
      <c r="D440" s="26">
        <f>SUMIFS(INDEX(元データ_14項目!$D$2:$Q$1300,0,MATCH($B440,元データ_14項目!$D$1:$Q$1,0)),元データ_14項目!$A$2:$A$1300,$A440,元データ_14項目!$B$2:$B$1300,"本年",元データ_14項目!$C$2:$C$1300,D$5)</f>
        <v>1011</v>
      </c>
      <c r="E440" s="26">
        <f>SUMIFS(INDEX(元データ_14項目!$D$2:$Q$1300,0,MATCH($B440,元データ_14項目!$D$1:$Q$1,0)),元データ_14項目!$A$2:$A$1300,$A440,元データ_14項目!$B$2:$B$1300,"本年",元データ_14項目!$C$2:$C$1300,E$5)</f>
        <v>1062</v>
      </c>
      <c r="F440" s="26">
        <f>SUMIFS(INDEX(元データ_14項目!$D$2:$Q$1300,0,MATCH($B440,元データ_14項目!$D$1:$Q$1,0)),元データ_14項目!$A$2:$A$1300,$A440,元データ_14項目!$B$2:$B$1300,"本年",元データ_14項目!$C$2:$C$1300,F$5)</f>
        <v>990</v>
      </c>
      <c r="G440" s="26">
        <f>SUMIFS(INDEX(元データ_14項目!$D$2:$Q$1300,0,MATCH($B440,元データ_14項目!$D$1:$Q$1,0)),元データ_14項目!$A$2:$A$1300,$A440,元データ_14項目!$B$2:$B$1300,"本年",元データ_14項目!$C$2:$C$1300,G$5)</f>
        <v>1126</v>
      </c>
      <c r="H440" s="26">
        <f>SUMIFS(INDEX(元データ_14項目!$D$2:$Q$1300,0,MATCH($B440,元データ_14項目!$D$1:$Q$1,0)),元データ_14項目!$A$2:$A$1300,$A440,元データ_14項目!$B$2:$B$1300,"本年",元データ_14項目!$C$2:$C$1300,H$5)</f>
        <v>841</v>
      </c>
      <c r="I440" s="26">
        <f>SUMIFS(INDEX(元データ_14項目!$D$2:$Q$1300,0,MATCH($B440,元データ_14項目!$D$1:$Q$1,0)),元データ_14項目!$A$2:$A$1300,$A440,元データ_14項目!$B$2:$B$1300,"本年",元データ_14項目!$C$2:$C$1300,I$5)</f>
        <v>880</v>
      </c>
      <c r="J440" s="26">
        <f>SUMIFS(INDEX(元データ_14項目!$D$2:$Q$1300,0,MATCH($B440,元データ_14項目!$D$1:$Q$1,0)),元データ_14項目!$A$2:$A$1300,$A440,元データ_14項目!$B$2:$B$1300,"本年",元データ_14項目!$C$2:$C$1300,J$5)</f>
        <v>1055</v>
      </c>
      <c r="K440" s="26">
        <f>SUMIFS(INDEX(元データ_14項目!$D$2:$Q$1300,0,MATCH($B440,元データ_14項目!$D$1:$Q$1,0)),元データ_14項目!$A$2:$A$1300,$A440,元データ_14項目!$B$2:$B$1300,"本年",元データ_14項目!$C$2:$C$1300,K$5)</f>
        <v>996</v>
      </c>
      <c r="L440" s="26">
        <f>SUMIFS(INDEX(元データ_14項目!$D$2:$Q$1300,0,MATCH($B440,元データ_14項目!$D$1:$Q$1,0)),元データ_14項目!$A$2:$A$1300,$A440,元データ_14項目!$B$2:$B$1300,"本年",元データ_14項目!$C$2:$C$1300,L$5)</f>
        <v>890</v>
      </c>
      <c r="M440" s="26">
        <f>SUMIFS(INDEX(元データ_14項目!$D$2:$Q$1300,0,MATCH($B440,元データ_14項目!$D$1:$Q$1,0)),元データ_14項目!$A$2:$A$1300,$A440,元データ_14項目!$B$2:$B$1300,"本年",元データ_14項目!$C$2:$C$1300,M$5)</f>
        <v>987</v>
      </c>
      <c r="N440" s="26">
        <f>SUMIFS(INDEX(元データ_14項目!$D$2:$Q$1300,0,MATCH($B440,元データ_14項目!$D$1:$Q$1,0)),元データ_14項目!$A$2:$A$1300,$A440,元データ_14項目!$B$2:$B$1300,"本年",元データ_14項目!$C$2:$C$1300,N$5)</f>
        <v>816</v>
      </c>
      <c r="O440" s="26">
        <f t="shared" si="12"/>
        <v>11421</v>
      </c>
      <c r="P440" s="26">
        <f>SUMIFS(INDEX(元データ_14項目!$D$2:$Q$1300,0,MATCH($B440,元データ_14項目!$D$1:$Q$1,0)),元データ_14項目!$A$2:$A$1300,$A440,元データ_14項目!$B$2:$B$1300,"前年")</f>
        <v>13322</v>
      </c>
      <c r="Q440" s="7">
        <f t="shared" si="13"/>
        <v>0.85730370815192913</v>
      </c>
    </row>
    <row r="441" spans="1:17" x14ac:dyDescent="0.45">
      <c r="A441" t="s">
        <v>66</v>
      </c>
      <c r="B441" t="s">
        <v>88</v>
      </c>
      <c r="C441" s="26">
        <f>SUMIFS(INDEX(元データ_14項目!$D$2:$Q$1300,0,MATCH($B441,元データ_14項目!$D$1:$Q$1,0)),元データ_14項目!$A$2:$A$1300,$A441,元データ_14項目!$B$2:$B$1300,"本年",元データ_14項目!$C$2:$C$1300,C$5)</f>
        <v>11</v>
      </c>
      <c r="D441" s="26">
        <f>SUMIFS(INDEX(元データ_14項目!$D$2:$Q$1300,0,MATCH($B441,元データ_14項目!$D$1:$Q$1,0)),元データ_14項目!$A$2:$A$1300,$A441,元データ_14項目!$B$2:$B$1300,"本年",元データ_14項目!$C$2:$C$1300,D$5)</f>
        <v>14</v>
      </c>
      <c r="E441" s="26">
        <f>SUMIFS(INDEX(元データ_14項目!$D$2:$Q$1300,0,MATCH($B441,元データ_14項目!$D$1:$Q$1,0)),元データ_14項目!$A$2:$A$1300,$A441,元データ_14項目!$B$2:$B$1300,"本年",元データ_14項目!$C$2:$C$1300,E$5)</f>
        <v>21</v>
      </c>
      <c r="F441" s="26">
        <f>SUMIFS(INDEX(元データ_14項目!$D$2:$Q$1300,0,MATCH($B441,元データ_14項目!$D$1:$Q$1,0)),元データ_14項目!$A$2:$A$1300,$A441,元データ_14項目!$B$2:$B$1300,"本年",元データ_14項目!$C$2:$C$1300,F$5)</f>
        <v>26</v>
      </c>
      <c r="G441" s="26">
        <f>SUMIFS(INDEX(元データ_14項目!$D$2:$Q$1300,0,MATCH($B441,元データ_14項目!$D$1:$Q$1,0)),元データ_14項目!$A$2:$A$1300,$A441,元データ_14項目!$B$2:$B$1300,"本年",元データ_14項目!$C$2:$C$1300,G$5)</f>
        <v>28</v>
      </c>
      <c r="H441" s="26">
        <f>SUMIFS(INDEX(元データ_14項目!$D$2:$Q$1300,0,MATCH($B441,元データ_14項目!$D$1:$Q$1,0)),元データ_14項目!$A$2:$A$1300,$A441,元データ_14項目!$B$2:$B$1300,"本年",元データ_14項目!$C$2:$C$1300,H$5)</f>
        <v>15</v>
      </c>
      <c r="I441" s="26">
        <f>SUMIFS(INDEX(元データ_14項目!$D$2:$Q$1300,0,MATCH($B441,元データ_14項目!$D$1:$Q$1,0)),元データ_14項目!$A$2:$A$1300,$A441,元データ_14項目!$B$2:$B$1300,"本年",元データ_14項目!$C$2:$C$1300,I$5)</f>
        <v>20</v>
      </c>
      <c r="J441" s="26">
        <f>SUMIFS(INDEX(元データ_14項目!$D$2:$Q$1300,0,MATCH($B441,元データ_14項目!$D$1:$Q$1,0)),元データ_14項目!$A$2:$A$1300,$A441,元データ_14項目!$B$2:$B$1300,"本年",元データ_14項目!$C$2:$C$1300,J$5)</f>
        <v>28</v>
      </c>
      <c r="K441" s="26">
        <f>SUMIFS(INDEX(元データ_14項目!$D$2:$Q$1300,0,MATCH($B441,元データ_14項目!$D$1:$Q$1,0)),元データ_14項目!$A$2:$A$1300,$A441,元データ_14項目!$B$2:$B$1300,"本年",元データ_14項目!$C$2:$C$1300,K$5)</f>
        <v>38</v>
      </c>
      <c r="L441" s="26">
        <f>SUMIFS(INDEX(元データ_14項目!$D$2:$Q$1300,0,MATCH($B441,元データ_14項目!$D$1:$Q$1,0)),元データ_14項目!$A$2:$A$1300,$A441,元データ_14項目!$B$2:$B$1300,"本年",元データ_14項目!$C$2:$C$1300,L$5)</f>
        <v>27</v>
      </c>
      <c r="M441" s="26">
        <f>SUMIFS(INDEX(元データ_14項目!$D$2:$Q$1300,0,MATCH($B441,元データ_14項目!$D$1:$Q$1,0)),元データ_14項目!$A$2:$A$1300,$A441,元データ_14項目!$B$2:$B$1300,"本年",元データ_14項目!$C$2:$C$1300,M$5)</f>
        <v>28</v>
      </c>
      <c r="N441" s="26">
        <f>SUMIFS(INDEX(元データ_14項目!$D$2:$Q$1300,0,MATCH($B441,元データ_14項目!$D$1:$Q$1,0)),元データ_14項目!$A$2:$A$1300,$A441,元データ_14項目!$B$2:$B$1300,"本年",元データ_14項目!$C$2:$C$1300,N$5)</f>
        <v>23</v>
      </c>
      <c r="O441" s="26">
        <f t="shared" si="12"/>
        <v>279</v>
      </c>
      <c r="P441" s="26">
        <f>SUMIFS(INDEX(元データ_14項目!$D$2:$Q$1300,0,MATCH($B441,元データ_14項目!$D$1:$Q$1,0)),元データ_14項目!$A$2:$A$1300,$A441,元データ_14項目!$B$2:$B$1300,"前年")</f>
        <v>273</v>
      </c>
      <c r="Q441" s="7">
        <f t="shared" si="13"/>
        <v>1.0219780219780219</v>
      </c>
    </row>
    <row r="442" spans="1:17" x14ac:dyDescent="0.45">
      <c r="A442" t="s">
        <v>66</v>
      </c>
      <c r="B442" t="s">
        <v>89</v>
      </c>
      <c r="C442" s="26">
        <f>SUMIFS(INDEX(元データ_14項目!$D$2:$Q$1300,0,MATCH($B442,元データ_14項目!$D$1:$Q$1,0)),元データ_14項目!$A$2:$A$1300,$A442,元データ_14項目!$B$2:$B$1300,"本年",元データ_14項目!$C$2:$C$1300,C$5)</f>
        <v>30</v>
      </c>
      <c r="D442" s="26">
        <f>SUMIFS(INDEX(元データ_14項目!$D$2:$Q$1300,0,MATCH($B442,元データ_14項目!$D$1:$Q$1,0)),元データ_14項目!$A$2:$A$1300,$A442,元データ_14項目!$B$2:$B$1300,"本年",元データ_14項目!$C$2:$C$1300,D$5)</f>
        <v>30</v>
      </c>
      <c r="E442" s="26">
        <f>SUMIFS(INDEX(元データ_14項目!$D$2:$Q$1300,0,MATCH($B442,元データ_14項目!$D$1:$Q$1,0)),元データ_14項目!$A$2:$A$1300,$A442,元データ_14項目!$B$2:$B$1300,"本年",元データ_14項目!$C$2:$C$1300,E$5)</f>
        <v>67</v>
      </c>
      <c r="F442" s="26">
        <f>SUMIFS(INDEX(元データ_14項目!$D$2:$Q$1300,0,MATCH($B442,元データ_14項目!$D$1:$Q$1,0)),元データ_14項目!$A$2:$A$1300,$A442,元データ_14項目!$B$2:$B$1300,"本年",元データ_14項目!$C$2:$C$1300,F$5)</f>
        <v>69</v>
      </c>
      <c r="G442" s="26">
        <f>SUMIFS(INDEX(元データ_14項目!$D$2:$Q$1300,0,MATCH($B442,元データ_14項目!$D$1:$Q$1,0)),元データ_14項目!$A$2:$A$1300,$A442,元データ_14項目!$B$2:$B$1300,"本年",元データ_14項目!$C$2:$C$1300,G$5)</f>
        <v>34</v>
      </c>
      <c r="H442" s="26">
        <f>SUMIFS(INDEX(元データ_14項目!$D$2:$Q$1300,0,MATCH($B442,元データ_14項目!$D$1:$Q$1,0)),元データ_14項目!$A$2:$A$1300,$A442,元データ_14項目!$B$2:$B$1300,"本年",元データ_14項目!$C$2:$C$1300,H$5)</f>
        <v>21</v>
      </c>
      <c r="I442" s="26">
        <f>SUMIFS(INDEX(元データ_14項目!$D$2:$Q$1300,0,MATCH($B442,元データ_14項目!$D$1:$Q$1,0)),元データ_14項目!$A$2:$A$1300,$A442,元データ_14項目!$B$2:$B$1300,"本年",元データ_14項目!$C$2:$C$1300,I$5)</f>
        <v>17</v>
      </c>
      <c r="J442" s="26">
        <f>SUMIFS(INDEX(元データ_14項目!$D$2:$Q$1300,0,MATCH($B442,元データ_14項目!$D$1:$Q$1,0)),元データ_14項目!$A$2:$A$1300,$A442,元データ_14項目!$B$2:$B$1300,"本年",元データ_14項目!$C$2:$C$1300,J$5)</f>
        <v>28</v>
      </c>
      <c r="K442" s="26">
        <f>SUMIFS(INDEX(元データ_14項目!$D$2:$Q$1300,0,MATCH($B442,元データ_14項目!$D$1:$Q$1,0)),元データ_14項目!$A$2:$A$1300,$A442,元データ_14項目!$B$2:$B$1300,"本年",元データ_14項目!$C$2:$C$1300,K$5)</f>
        <v>47</v>
      </c>
      <c r="L442" s="26">
        <f>SUMIFS(INDEX(元データ_14項目!$D$2:$Q$1300,0,MATCH($B442,元データ_14項目!$D$1:$Q$1,0)),元データ_14項目!$A$2:$A$1300,$A442,元データ_14項目!$B$2:$B$1300,"本年",元データ_14項目!$C$2:$C$1300,L$5)</f>
        <v>42</v>
      </c>
      <c r="M442" s="26">
        <f>SUMIFS(INDEX(元データ_14項目!$D$2:$Q$1300,0,MATCH($B442,元データ_14項目!$D$1:$Q$1,0)),元データ_14項目!$A$2:$A$1300,$A442,元データ_14項目!$B$2:$B$1300,"本年",元データ_14項目!$C$2:$C$1300,M$5)</f>
        <v>49</v>
      </c>
      <c r="N442" s="26">
        <f>SUMIFS(INDEX(元データ_14項目!$D$2:$Q$1300,0,MATCH($B442,元データ_14項目!$D$1:$Q$1,0)),元データ_14項目!$A$2:$A$1300,$A442,元データ_14項目!$B$2:$B$1300,"本年",元データ_14項目!$C$2:$C$1300,N$5)</f>
        <v>51</v>
      </c>
      <c r="O442" s="26">
        <f t="shared" si="12"/>
        <v>485</v>
      </c>
      <c r="P442" s="26">
        <f>SUMIFS(INDEX(元データ_14項目!$D$2:$Q$1300,0,MATCH($B442,元データ_14項目!$D$1:$Q$1,0)),元データ_14項目!$A$2:$A$1300,$A442,元データ_14項目!$B$2:$B$1300,"前年")</f>
        <v>413</v>
      </c>
      <c r="Q442" s="7">
        <f t="shared" si="13"/>
        <v>1.1743341404358354</v>
      </c>
    </row>
    <row r="443" spans="1:17" x14ac:dyDescent="0.45">
      <c r="A443" t="s">
        <v>66</v>
      </c>
      <c r="B443" t="s">
        <v>90</v>
      </c>
      <c r="C443" s="26">
        <f>SUMIFS(INDEX(元データ_14項目!$D$2:$Q$1300,0,MATCH($B443,元データ_14項目!$D$1:$Q$1,0)),元データ_14項目!$A$2:$A$1300,$A443,元データ_14項目!$B$2:$B$1300,"本年",元データ_14項目!$C$2:$C$1300,C$5)</f>
        <v>49</v>
      </c>
      <c r="D443" s="26">
        <f>SUMIFS(INDEX(元データ_14項目!$D$2:$Q$1300,0,MATCH($B443,元データ_14項目!$D$1:$Q$1,0)),元データ_14項目!$A$2:$A$1300,$A443,元データ_14項目!$B$2:$B$1300,"本年",元データ_14項目!$C$2:$C$1300,D$5)</f>
        <v>57</v>
      </c>
      <c r="E443" s="26">
        <f>SUMIFS(INDEX(元データ_14項目!$D$2:$Q$1300,0,MATCH($B443,元データ_14項目!$D$1:$Q$1,0)),元データ_14項目!$A$2:$A$1300,$A443,元データ_14項目!$B$2:$B$1300,"本年",元データ_14項目!$C$2:$C$1300,E$5)</f>
        <v>60</v>
      </c>
      <c r="F443" s="26">
        <f>SUMIFS(INDEX(元データ_14項目!$D$2:$Q$1300,0,MATCH($B443,元データ_14項目!$D$1:$Q$1,0)),元データ_14項目!$A$2:$A$1300,$A443,元データ_14項目!$B$2:$B$1300,"本年",元データ_14項目!$C$2:$C$1300,F$5)</f>
        <v>113</v>
      </c>
      <c r="G443" s="26">
        <f>SUMIFS(INDEX(元データ_14項目!$D$2:$Q$1300,0,MATCH($B443,元データ_14項目!$D$1:$Q$1,0)),元データ_14項目!$A$2:$A$1300,$A443,元データ_14項目!$B$2:$B$1300,"本年",元データ_14項目!$C$2:$C$1300,G$5)</f>
        <v>132</v>
      </c>
      <c r="H443" s="26">
        <f>SUMIFS(INDEX(元データ_14項目!$D$2:$Q$1300,0,MATCH($B443,元データ_14項目!$D$1:$Q$1,0)),元データ_14項目!$A$2:$A$1300,$A443,元データ_14項目!$B$2:$B$1300,"本年",元データ_14項目!$C$2:$C$1300,H$5)</f>
        <v>95</v>
      </c>
      <c r="I443" s="26">
        <f>SUMIFS(INDEX(元データ_14項目!$D$2:$Q$1300,0,MATCH($B443,元データ_14項目!$D$1:$Q$1,0)),元データ_14項目!$A$2:$A$1300,$A443,元データ_14項目!$B$2:$B$1300,"本年",元データ_14項目!$C$2:$C$1300,I$5)</f>
        <v>55</v>
      </c>
      <c r="J443" s="26">
        <f>SUMIFS(INDEX(元データ_14項目!$D$2:$Q$1300,0,MATCH($B443,元データ_14項目!$D$1:$Q$1,0)),元データ_14項目!$A$2:$A$1300,$A443,元データ_14項目!$B$2:$B$1300,"本年",元データ_14項目!$C$2:$C$1300,J$5)</f>
        <v>136</v>
      </c>
      <c r="K443" s="26">
        <f>SUMIFS(INDEX(元データ_14項目!$D$2:$Q$1300,0,MATCH($B443,元データ_14項目!$D$1:$Q$1,0)),元データ_14項目!$A$2:$A$1300,$A443,元データ_14項目!$B$2:$B$1300,"本年",元データ_14項目!$C$2:$C$1300,K$5)</f>
        <v>184</v>
      </c>
      <c r="L443" s="26">
        <f>SUMIFS(INDEX(元データ_14項目!$D$2:$Q$1300,0,MATCH($B443,元データ_14項目!$D$1:$Q$1,0)),元データ_14項目!$A$2:$A$1300,$A443,元データ_14項目!$B$2:$B$1300,"本年",元データ_14項目!$C$2:$C$1300,L$5)</f>
        <v>124</v>
      </c>
      <c r="M443" s="26">
        <f>SUMIFS(INDEX(元データ_14項目!$D$2:$Q$1300,0,MATCH($B443,元データ_14項目!$D$1:$Q$1,0)),元データ_14項目!$A$2:$A$1300,$A443,元データ_14項目!$B$2:$B$1300,"本年",元データ_14項目!$C$2:$C$1300,M$5)</f>
        <v>161</v>
      </c>
      <c r="N443" s="26">
        <f>SUMIFS(INDEX(元データ_14項目!$D$2:$Q$1300,0,MATCH($B443,元データ_14項目!$D$1:$Q$1,0)),元データ_14項目!$A$2:$A$1300,$A443,元データ_14項目!$B$2:$B$1300,"本年",元データ_14項目!$C$2:$C$1300,N$5)</f>
        <v>68</v>
      </c>
      <c r="O443" s="26">
        <f t="shared" si="12"/>
        <v>1234</v>
      </c>
      <c r="P443" s="26">
        <f>SUMIFS(INDEX(元データ_14項目!$D$2:$Q$1300,0,MATCH($B443,元データ_14項目!$D$1:$Q$1,0)),元データ_14項目!$A$2:$A$1300,$A443,元データ_14項目!$B$2:$B$1300,"前年")</f>
        <v>1470</v>
      </c>
      <c r="Q443" s="7">
        <f t="shared" si="13"/>
        <v>0.83945578231292517</v>
      </c>
    </row>
    <row r="444" spans="1:17" x14ac:dyDescent="0.45">
      <c r="A444" t="s">
        <v>66</v>
      </c>
      <c r="B444" t="s">
        <v>91</v>
      </c>
      <c r="C444" s="26">
        <f>SUMIFS(INDEX(元データ_14項目!$D$2:$Q$1300,0,MATCH($B444,元データ_14項目!$D$1:$Q$1,0)),元データ_14項目!$A$2:$A$1300,$A444,元データ_14項目!$B$2:$B$1300,"本年",元データ_14項目!$C$2:$C$1300,C$5)</f>
        <v>13</v>
      </c>
      <c r="D444" s="26">
        <f>SUMIFS(INDEX(元データ_14項目!$D$2:$Q$1300,0,MATCH($B444,元データ_14項目!$D$1:$Q$1,0)),元データ_14項目!$A$2:$A$1300,$A444,元データ_14項目!$B$2:$B$1300,"本年",元データ_14項目!$C$2:$C$1300,D$5)</f>
        <v>29</v>
      </c>
      <c r="E444" s="26">
        <f>SUMIFS(INDEX(元データ_14項目!$D$2:$Q$1300,0,MATCH($B444,元データ_14項目!$D$1:$Q$1,0)),元データ_14項目!$A$2:$A$1300,$A444,元データ_14項目!$B$2:$B$1300,"本年",元データ_14項目!$C$2:$C$1300,E$5)</f>
        <v>76</v>
      </c>
      <c r="F444" s="26">
        <f>SUMIFS(INDEX(元データ_14項目!$D$2:$Q$1300,0,MATCH($B444,元データ_14項目!$D$1:$Q$1,0)),元データ_14項目!$A$2:$A$1300,$A444,元データ_14項目!$B$2:$B$1300,"本年",元データ_14項目!$C$2:$C$1300,F$5)</f>
        <v>78</v>
      </c>
      <c r="G444" s="26">
        <f>SUMIFS(INDEX(元データ_14項目!$D$2:$Q$1300,0,MATCH($B444,元データ_14項目!$D$1:$Q$1,0)),元データ_14項目!$A$2:$A$1300,$A444,元データ_14項目!$B$2:$B$1300,"本年",元データ_14項目!$C$2:$C$1300,G$5)</f>
        <v>41</v>
      </c>
      <c r="H444" s="26">
        <f>SUMIFS(INDEX(元データ_14項目!$D$2:$Q$1300,0,MATCH($B444,元データ_14項目!$D$1:$Q$1,0)),元データ_14項目!$A$2:$A$1300,$A444,元データ_14項目!$B$2:$B$1300,"本年",元データ_14項目!$C$2:$C$1300,H$5)</f>
        <v>32</v>
      </c>
      <c r="I444" s="26">
        <f>SUMIFS(INDEX(元データ_14項目!$D$2:$Q$1300,0,MATCH($B444,元データ_14項目!$D$1:$Q$1,0)),元データ_14項目!$A$2:$A$1300,$A444,元データ_14項目!$B$2:$B$1300,"本年",元データ_14項目!$C$2:$C$1300,I$5)</f>
        <v>51</v>
      </c>
      <c r="J444" s="26">
        <f>SUMIFS(INDEX(元データ_14項目!$D$2:$Q$1300,0,MATCH($B444,元データ_14項目!$D$1:$Q$1,0)),元データ_14項目!$A$2:$A$1300,$A444,元データ_14項目!$B$2:$B$1300,"本年",元データ_14項目!$C$2:$C$1300,J$5)</f>
        <v>28</v>
      </c>
      <c r="K444" s="26">
        <f>SUMIFS(INDEX(元データ_14項目!$D$2:$Q$1300,0,MATCH($B444,元データ_14項目!$D$1:$Q$1,0)),元データ_14項目!$A$2:$A$1300,$A444,元データ_14項目!$B$2:$B$1300,"本年",元データ_14項目!$C$2:$C$1300,K$5)</f>
        <v>75</v>
      </c>
      <c r="L444" s="26">
        <f>SUMIFS(INDEX(元データ_14項目!$D$2:$Q$1300,0,MATCH($B444,元データ_14項目!$D$1:$Q$1,0)),元データ_14項目!$A$2:$A$1300,$A444,元データ_14項目!$B$2:$B$1300,"本年",元データ_14項目!$C$2:$C$1300,L$5)</f>
        <v>42</v>
      </c>
      <c r="M444" s="26">
        <f>SUMIFS(INDEX(元データ_14項目!$D$2:$Q$1300,0,MATCH($B444,元データ_14項目!$D$1:$Q$1,0)),元データ_14項目!$A$2:$A$1300,$A444,元データ_14項目!$B$2:$B$1300,"本年",元データ_14項目!$C$2:$C$1300,M$5)</f>
        <v>42</v>
      </c>
      <c r="N444" s="26">
        <f>SUMIFS(INDEX(元データ_14項目!$D$2:$Q$1300,0,MATCH($B444,元データ_14項目!$D$1:$Q$1,0)),元データ_14項目!$A$2:$A$1300,$A444,元データ_14項目!$B$2:$B$1300,"本年",元データ_14項目!$C$2:$C$1300,N$5)</f>
        <v>39</v>
      </c>
      <c r="O444" s="26">
        <f t="shared" si="12"/>
        <v>546</v>
      </c>
      <c r="P444" s="26">
        <f>SUMIFS(INDEX(元データ_14項目!$D$2:$Q$1300,0,MATCH($B444,元データ_14項目!$D$1:$Q$1,0)),元データ_14項目!$A$2:$A$1300,$A444,元データ_14項目!$B$2:$B$1300,"前年")</f>
        <v>423</v>
      </c>
      <c r="Q444" s="7">
        <f t="shared" si="13"/>
        <v>1.2907801418439717</v>
      </c>
    </row>
    <row r="445" spans="1:17" x14ac:dyDescent="0.45">
      <c r="A445" t="s">
        <v>66</v>
      </c>
      <c r="B445" t="s">
        <v>28</v>
      </c>
      <c r="C445" s="26">
        <f>SUMIFS(INDEX(元データ_14項目!$D$2:$Q$1300,0,MATCH($B445,元データ_14項目!$D$1:$Q$1,0)),元データ_14項目!$A$2:$A$1300,$A445,元データ_14項目!$B$2:$B$1300,"本年",元データ_14項目!$C$2:$C$1300,C$5)</f>
        <v>199</v>
      </c>
      <c r="D445" s="26">
        <f>SUMIFS(INDEX(元データ_14項目!$D$2:$Q$1300,0,MATCH($B445,元データ_14項目!$D$1:$Q$1,0)),元データ_14項目!$A$2:$A$1300,$A445,元データ_14項目!$B$2:$B$1300,"本年",元データ_14項目!$C$2:$C$1300,D$5)</f>
        <v>198</v>
      </c>
      <c r="E445" s="26">
        <f>SUMIFS(INDEX(元データ_14項目!$D$2:$Q$1300,0,MATCH($B445,元データ_14項目!$D$1:$Q$1,0)),元データ_14項目!$A$2:$A$1300,$A445,元データ_14項目!$B$2:$B$1300,"本年",元データ_14項目!$C$2:$C$1300,E$5)</f>
        <v>316</v>
      </c>
      <c r="F445" s="26">
        <f>SUMIFS(INDEX(元データ_14項目!$D$2:$Q$1300,0,MATCH($B445,元データ_14項目!$D$1:$Q$1,0)),元データ_14項目!$A$2:$A$1300,$A445,元データ_14項目!$B$2:$B$1300,"本年",元データ_14項目!$C$2:$C$1300,F$5)</f>
        <v>244</v>
      </c>
      <c r="G445" s="26">
        <f>SUMIFS(INDEX(元データ_14項目!$D$2:$Q$1300,0,MATCH($B445,元データ_14項目!$D$1:$Q$1,0)),元データ_14項目!$A$2:$A$1300,$A445,元データ_14項目!$B$2:$B$1300,"本年",元データ_14項目!$C$2:$C$1300,G$5)</f>
        <v>176</v>
      </c>
      <c r="H445" s="26">
        <f>SUMIFS(INDEX(元データ_14項目!$D$2:$Q$1300,0,MATCH($B445,元データ_14項目!$D$1:$Q$1,0)),元データ_14項目!$A$2:$A$1300,$A445,元データ_14項目!$B$2:$B$1300,"本年",元データ_14項目!$C$2:$C$1300,H$5)</f>
        <v>113</v>
      </c>
      <c r="I445" s="26">
        <f>SUMIFS(INDEX(元データ_14項目!$D$2:$Q$1300,0,MATCH($B445,元データ_14項目!$D$1:$Q$1,0)),元データ_14項目!$A$2:$A$1300,$A445,元データ_14項目!$B$2:$B$1300,"本年",元データ_14項目!$C$2:$C$1300,I$5)</f>
        <v>146</v>
      </c>
      <c r="J445" s="26">
        <f>SUMIFS(INDEX(元データ_14項目!$D$2:$Q$1300,0,MATCH($B445,元データ_14項目!$D$1:$Q$1,0)),元データ_14項目!$A$2:$A$1300,$A445,元データ_14項目!$B$2:$B$1300,"本年",元データ_14項目!$C$2:$C$1300,J$5)</f>
        <v>169</v>
      </c>
      <c r="K445" s="26">
        <f>SUMIFS(INDEX(元データ_14項目!$D$2:$Q$1300,0,MATCH($B445,元データ_14項目!$D$1:$Q$1,0)),元データ_14項目!$A$2:$A$1300,$A445,元データ_14項目!$B$2:$B$1300,"本年",元データ_14項目!$C$2:$C$1300,K$5)</f>
        <v>201</v>
      </c>
      <c r="L445" s="26">
        <f>SUMIFS(INDEX(元データ_14項目!$D$2:$Q$1300,0,MATCH($B445,元データ_14項目!$D$1:$Q$1,0)),元データ_14項目!$A$2:$A$1300,$A445,元データ_14項目!$B$2:$B$1300,"本年",元データ_14項目!$C$2:$C$1300,L$5)</f>
        <v>195</v>
      </c>
      <c r="M445" s="26">
        <f>SUMIFS(INDEX(元データ_14項目!$D$2:$Q$1300,0,MATCH($B445,元データ_14項目!$D$1:$Q$1,0)),元データ_14項目!$A$2:$A$1300,$A445,元データ_14項目!$B$2:$B$1300,"本年",元データ_14項目!$C$2:$C$1300,M$5)</f>
        <v>208</v>
      </c>
      <c r="N445" s="26">
        <f>SUMIFS(INDEX(元データ_14項目!$D$2:$Q$1300,0,MATCH($B445,元データ_14項目!$D$1:$Q$1,0)),元データ_14項目!$A$2:$A$1300,$A445,元データ_14項目!$B$2:$B$1300,"本年",元データ_14項目!$C$2:$C$1300,N$5)</f>
        <v>224</v>
      </c>
      <c r="O445" s="26">
        <f t="shared" si="12"/>
        <v>2389</v>
      </c>
      <c r="P445" s="26">
        <f>SUMIFS(INDEX(元データ_14項目!$D$2:$Q$1300,0,MATCH($B445,元データ_14項目!$D$1:$Q$1,0)),元データ_14項目!$A$2:$A$1300,$A445,元データ_14項目!$B$2:$B$1300,"前年")</f>
        <v>2731</v>
      </c>
      <c r="Q445" s="7">
        <f t="shared" si="13"/>
        <v>0.87477114610032958</v>
      </c>
    </row>
    <row r="446" spans="1:17" x14ac:dyDescent="0.45">
      <c r="A446" t="s">
        <v>66</v>
      </c>
      <c r="B446" t="s">
        <v>92</v>
      </c>
      <c r="C446" s="26">
        <f>SUMIFS(INDEX(元データ_14項目!$D$2:$Q$1300,0,MATCH($B446,元データ_14項目!$D$1:$Q$1,0)),元データ_14項目!$A$2:$A$1300,$A446,元データ_14項目!$B$2:$B$1300,"本年",元データ_14項目!$C$2:$C$1300,C$5)</f>
        <v>10</v>
      </c>
      <c r="D446" s="26">
        <f>SUMIFS(INDEX(元データ_14項目!$D$2:$Q$1300,0,MATCH($B446,元データ_14項目!$D$1:$Q$1,0)),元データ_14項目!$A$2:$A$1300,$A446,元データ_14項目!$B$2:$B$1300,"本年",元データ_14項目!$C$2:$C$1300,D$5)</f>
        <v>24</v>
      </c>
      <c r="E446" s="26">
        <f>SUMIFS(INDEX(元データ_14項目!$D$2:$Q$1300,0,MATCH($B446,元データ_14項目!$D$1:$Q$1,0)),元データ_14項目!$A$2:$A$1300,$A446,元データ_14項目!$B$2:$B$1300,"本年",元データ_14項目!$C$2:$C$1300,E$5)</f>
        <v>38</v>
      </c>
      <c r="F446" s="26">
        <f>SUMIFS(INDEX(元データ_14項目!$D$2:$Q$1300,0,MATCH($B446,元データ_14項目!$D$1:$Q$1,0)),元データ_14項目!$A$2:$A$1300,$A446,元データ_14項目!$B$2:$B$1300,"本年",元データ_14項目!$C$2:$C$1300,F$5)</f>
        <v>33</v>
      </c>
      <c r="G446" s="26">
        <f>SUMIFS(INDEX(元データ_14項目!$D$2:$Q$1300,0,MATCH($B446,元データ_14項目!$D$1:$Q$1,0)),元データ_14項目!$A$2:$A$1300,$A446,元データ_14項目!$B$2:$B$1300,"本年",元データ_14項目!$C$2:$C$1300,G$5)</f>
        <v>19</v>
      </c>
      <c r="H446" s="26">
        <f>SUMIFS(INDEX(元データ_14項目!$D$2:$Q$1300,0,MATCH($B446,元データ_14項目!$D$1:$Q$1,0)),元データ_14項目!$A$2:$A$1300,$A446,元データ_14項目!$B$2:$B$1300,"本年",元データ_14項目!$C$2:$C$1300,H$5)</f>
        <v>23</v>
      </c>
      <c r="I446" s="26">
        <f>SUMIFS(INDEX(元データ_14項目!$D$2:$Q$1300,0,MATCH($B446,元データ_14項目!$D$1:$Q$1,0)),元データ_14項目!$A$2:$A$1300,$A446,元データ_14項目!$B$2:$B$1300,"本年",元データ_14項目!$C$2:$C$1300,I$5)</f>
        <v>15</v>
      </c>
      <c r="J446" s="26">
        <f>SUMIFS(INDEX(元データ_14項目!$D$2:$Q$1300,0,MATCH($B446,元データ_14項目!$D$1:$Q$1,0)),元データ_14項目!$A$2:$A$1300,$A446,元データ_14項目!$B$2:$B$1300,"本年",元データ_14項目!$C$2:$C$1300,J$5)</f>
        <v>22</v>
      </c>
      <c r="K446" s="26">
        <f>SUMIFS(INDEX(元データ_14項目!$D$2:$Q$1300,0,MATCH($B446,元データ_14項目!$D$1:$Q$1,0)),元データ_14項目!$A$2:$A$1300,$A446,元データ_14項目!$B$2:$B$1300,"本年",元データ_14項目!$C$2:$C$1300,K$5)</f>
        <v>68</v>
      </c>
      <c r="L446" s="26">
        <f>SUMIFS(INDEX(元データ_14項目!$D$2:$Q$1300,0,MATCH($B446,元データ_14項目!$D$1:$Q$1,0)),元データ_14項目!$A$2:$A$1300,$A446,元データ_14項目!$B$2:$B$1300,"本年",元データ_14項目!$C$2:$C$1300,L$5)</f>
        <v>25</v>
      </c>
      <c r="M446" s="26">
        <f>SUMIFS(INDEX(元データ_14項目!$D$2:$Q$1300,0,MATCH($B446,元データ_14項目!$D$1:$Q$1,0)),元データ_14項目!$A$2:$A$1300,$A446,元データ_14項目!$B$2:$B$1300,"本年",元データ_14項目!$C$2:$C$1300,M$5)</f>
        <v>32</v>
      </c>
      <c r="N446" s="26">
        <f>SUMIFS(INDEX(元データ_14項目!$D$2:$Q$1300,0,MATCH($B446,元データ_14項目!$D$1:$Q$1,0)),元データ_14項目!$A$2:$A$1300,$A446,元データ_14項目!$B$2:$B$1300,"本年",元データ_14項目!$C$2:$C$1300,N$5)</f>
        <v>21</v>
      </c>
      <c r="O446" s="26">
        <f t="shared" si="12"/>
        <v>330</v>
      </c>
      <c r="P446" s="26">
        <f>SUMIFS(INDEX(元データ_14項目!$D$2:$Q$1300,0,MATCH($B446,元データ_14項目!$D$1:$Q$1,0)),元データ_14項目!$A$2:$A$1300,$A446,元データ_14項目!$B$2:$B$1300,"前年")</f>
        <v>319</v>
      </c>
      <c r="Q446" s="7">
        <f t="shared" si="13"/>
        <v>1.0344827586206897</v>
      </c>
    </row>
    <row r="447" spans="1:17" x14ac:dyDescent="0.45">
      <c r="A447" t="s">
        <v>66</v>
      </c>
      <c r="B447" t="s">
        <v>93</v>
      </c>
      <c r="C447" s="26">
        <f>SUMIFS(INDEX(元データ_14項目!$D$2:$Q$1300,0,MATCH($B447,元データ_14項目!$D$1:$Q$1,0)),元データ_14項目!$A$2:$A$1300,$A447,元データ_14項目!$B$2:$B$1300,"本年",元データ_14項目!$C$2:$C$1300,C$5)</f>
        <v>14</v>
      </c>
      <c r="D447" s="26">
        <f>SUMIFS(INDEX(元データ_14項目!$D$2:$Q$1300,0,MATCH($B447,元データ_14項目!$D$1:$Q$1,0)),元データ_14項目!$A$2:$A$1300,$A447,元データ_14項目!$B$2:$B$1300,"本年",元データ_14項目!$C$2:$C$1300,D$5)</f>
        <v>20</v>
      </c>
      <c r="E447" s="26">
        <f>SUMIFS(INDEX(元データ_14項目!$D$2:$Q$1300,0,MATCH($B447,元データ_14項目!$D$1:$Q$1,0)),元データ_14項目!$A$2:$A$1300,$A447,元データ_14項目!$B$2:$B$1300,"本年",元データ_14項目!$C$2:$C$1300,E$5)</f>
        <v>27</v>
      </c>
      <c r="F447" s="26">
        <f>SUMIFS(INDEX(元データ_14項目!$D$2:$Q$1300,0,MATCH($B447,元データ_14項目!$D$1:$Q$1,0)),元データ_14項目!$A$2:$A$1300,$A447,元データ_14項目!$B$2:$B$1300,"本年",元データ_14項目!$C$2:$C$1300,F$5)</f>
        <v>36</v>
      </c>
      <c r="G447" s="26">
        <f>SUMIFS(INDEX(元データ_14項目!$D$2:$Q$1300,0,MATCH($B447,元データ_14項目!$D$1:$Q$1,0)),元データ_14項目!$A$2:$A$1300,$A447,元データ_14項目!$B$2:$B$1300,"本年",元データ_14項目!$C$2:$C$1300,G$5)</f>
        <v>76</v>
      </c>
      <c r="H447" s="26">
        <f>SUMIFS(INDEX(元データ_14項目!$D$2:$Q$1300,0,MATCH($B447,元データ_14項目!$D$1:$Q$1,0)),元データ_14項目!$A$2:$A$1300,$A447,元データ_14項目!$B$2:$B$1300,"本年",元データ_14項目!$C$2:$C$1300,H$5)</f>
        <v>96</v>
      </c>
      <c r="I447" s="26">
        <f>SUMIFS(INDEX(元データ_14項目!$D$2:$Q$1300,0,MATCH($B447,元データ_14項目!$D$1:$Q$1,0)),元データ_14項目!$A$2:$A$1300,$A447,元データ_14項目!$B$2:$B$1300,"本年",元データ_14項目!$C$2:$C$1300,I$5)</f>
        <v>44</v>
      </c>
      <c r="J447" s="26">
        <f>SUMIFS(INDEX(元データ_14項目!$D$2:$Q$1300,0,MATCH($B447,元データ_14項目!$D$1:$Q$1,0)),元データ_14項目!$A$2:$A$1300,$A447,元データ_14項目!$B$2:$B$1300,"本年",元データ_14項目!$C$2:$C$1300,J$5)</f>
        <v>97</v>
      </c>
      <c r="K447" s="26">
        <f>SUMIFS(INDEX(元データ_14項目!$D$2:$Q$1300,0,MATCH($B447,元データ_14項目!$D$1:$Q$1,0)),元データ_14項目!$A$2:$A$1300,$A447,元データ_14項目!$B$2:$B$1300,"本年",元データ_14項目!$C$2:$C$1300,K$5)</f>
        <v>295</v>
      </c>
      <c r="L447" s="26">
        <f>SUMIFS(INDEX(元データ_14項目!$D$2:$Q$1300,0,MATCH($B447,元データ_14項目!$D$1:$Q$1,0)),元データ_14項目!$A$2:$A$1300,$A447,元データ_14項目!$B$2:$B$1300,"本年",元データ_14項目!$C$2:$C$1300,L$5)</f>
        <v>115</v>
      </c>
      <c r="M447" s="26">
        <f>SUMIFS(INDEX(元データ_14項目!$D$2:$Q$1300,0,MATCH($B447,元データ_14項目!$D$1:$Q$1,0)),元データ_14項目!$A$2:$A$1300,$A447,元データ_14項目!$B$2:$B$1300,"本年",元データ_14項目!$C$2:$C$1300,M$5)</f>
        <v>112</v>
      </c>
      <c r="N447" s="26">
        <f>SUMIFS(INDEX(元データ_14項目!$D$2:$Q$1300,0,MATCH($B447,元データ_14項目!$D$1:$Q$1,0)),元データ_14項目!$A$2:$A$1300,$A447,元データ_14項目!$B$2:$B$1300,"本年",元データ_14項目!$C$2:$C$1300,N$5)</f>
        <v>19</v>
      </c>
      <c r="O447" s="26">
        <f t="shared" si="12"/>
        <v>951</v>
      </c>
      <c r="P447" s="26">
        <f>SUMIFS(INDEX(元データ_14項目!$D$2:$Q$1300,0,MATCH($B447,元データ_14項目!$D$1:$Q$1,0)),元データ_14項目!$A$2:$A$1300,$A447,元データ_14項目!$B$2:$B$1300,"前年")</f>
        <v>1088</v>
      </c>
      <c r="Q447" s="7">
        <f t="shared" si="13"/>
        <v>0.87408088235294112</v>
      </c>
    </row>
    <row r="448" spans="1:17" x14ac:dyDescent="0.45">
      <c r="A448" t="s">
        <v>66</v>
      </c>
      <c r="B448" t="s">
        <v>94</v>
      </c>
      <c r="C448" s="26">
        <f>SUMIFS(INDEX(元データ_14項目!$D$2:$Q$1300,0,MATCH($B448,元データ_14項目!$D$1:$Q$1,0)),元データ_14項目!$A$2:$A$1300,$A448,元データ_14項目!$B$2:$B$1300,"本年",元データ_14項目!$C$2:$C$1300,C$5)</f>
        <v>15</v>
      </c>
      <c r="D448" s="26">
        <f>SUMIFS(INDEX(元データ_14項目!$D$2:$Q$1300,0,MATCH($B448,元データ_14項目!$D$1:$Q$1,0)),元データ_14項目!$A$2:$A$1300,$A448,元データ_14項目!$B$2:$B$1300,"本年",元データ_14項目!$C$2:$C$1300,D$5)</f>
        <v>9</v>
      </c>
      <c r="E448" s="26">
        <f>SUMIFS(INDEX(元データ_14項目!$D$2:$Q$1300,0,MATCH($B448,元データ_14項目!$D$1:$Q$1,0)),元データ_14項目!$A$2:$A$1300,$A448,元データ_14項目!$B$2:$B$1300,"本年",元データ_14項目!$C$2:$C$1300,E$5)</f>
        <v>23</v>
      </c>
      <c r="F448" s="26">
        <f>SUMIFS(INDEX(元データ_14項目!$D$2:$Q$1300,0,MATCH($B448,元データ_14項目!$D$1:$Q$1,0)),元データ_14項目!$A$2:$A$1300,$A448,元データ_14項目!$B$2:$B$1300,"本年",元データ_14項目!$C$2:$C$1300,F$5)</f>
        <v>26</v>
      </c>
      <c r="G448" s="26">
        <f>SUMIFS(INDEX(元データ_14項目!$D$2:$Q$1300,0,MATCH($B448,元データ_14項目!$D$1:$Q$1,0)),元データ_14項目!$A$2:$A$1300,$A448,元データ_14項目!$B$2:$B$1300,"本年",元データ_14項目!$C$2:$C$1300,G$5)</f>
        <v>23</v>
      </c>
      <c r="H448" s="26">
        <f>SUMIFS(INDEX(元データ_14項目!$D$2:$Q$1300,0,MATCH($B448,元データ_14項目!$D$1:$Q$1,0)),元データ_14項目!$A$2:$A$1300,$A448,元データ_14項目!$B$2:$B$1300,"本年",元データ_14項目!$C$2:$C$1300,H$5)</f>
        <v>21</v>
      </c>
      <c r="I448" s="26">
        <f>SUMIFS(INDEX(元データ_14項目!$D$2:$Q$1300,0,MATCH($B448,元データ_14項目!$D$1:$Q$1,0)),元データ_14項目!$A$2:$A$1300,$A448,元データ_14項目!$B$2:$B$1300,"本年",元データ_14項目!$C$2:$C$1300,I$5)</f>
        <v>14</v>
      </c>
      <c r="J448" s="26">
        <f>SUMIFS(INDEX(元データ_14項目!$D$2:$Q$1300,0,MATCH($B448,元データ_14項目!$D$1:$Q$1,0)),元データ_14項目!$A$2:$A$1300,$A448,元データ_14項目!$B$2:$B$1300,"本年",元データ_14項目!$C$2:$C$1300,J$5)</f>
        <v>30</v>
      </c>
      <c r="K448" s="26">
        <f>SUMIFS(INDEX(元データ_14項目!$D$2:$Q$1300,0,MATCH($B448,元データ_14項目!$D$1:$Q$1,0)),元データ_14項目!$A$2:$A$1300,$A448,元データ_14項目!$B$2:$B$1300,"本年",元データ_14項目!$C$2:$C$1300,K$5)</f>
        <v>107</v>
      </c>
      <c r="L448" s="26">
        <f>SUMIFS(INDEX(元データ_14項目!$D$2:$Q$1300,0,MATCH($B448,元データ_14項目!$D$1:$Q$1,0)),元データ_14項目!$A$2:$A$1300,$A448,元データ_14項目!$B$2:$B$1300,"本年",元データ_14項目!$C$2:$C$1300,L$5)</f>
        <v>58</v>
      </c>
      <c r="M448" s="26">
        <f>SUMIFS(INDEX(元データ_14項目!$D$2:$Q$1300,0,MATCH($B448,元データ_14項目!$D$1:$Q$1,0)),元データ_14項目!$A$2:$A$1300,$A448,元データ_14項目!$B$2:$B$1300,"本年",元データ_14項目!$C$2:$C$1300,M$5)</f>
        <v>52</v>
      </c>
      <c r="N448" s="26">
        <f>SUMIFS(INDEX(元データ_14項目!$D$2:$Q$1300,0,MATCH($B448,元データ_14項目!$D$1:$Q$1,0)),元データ_14項目!$A$2:$A$1300,$A448,元データ_14項目!$B$2:$B$1300,"本年",元データ_14項目!$C$2:$C$1300,N$5)</f>
        <v>12</v>
      </c>
      <c r="O448" s="26">
        <f t="shared" si="12"/>
        <v>390</v>
      </c>
      <c r="P448" s="26">
        <f>SUMIFS(INDEX(元データ_14項目!$D$2:$Q$1300,0,MATCH($B448,元データ_14項目!$D$1:$Q$1,0)),元データ_14項目!$A$2:$A$1300,$A448,元データ_14項目!$B$2:$B$1300,"前年")</f>
        <v>429</v>
      </c>
      <c r="Q448" s="7">
        <f t="shared" si="13"/>
        <v>0.90909090909090906</v>
      </c>
    </row>
    <row r="449" spans="1:17" x14ac:dyDescent="0.45">
      <c r="A449" t="s">
        <v>66</v>
      </c>
      <c r="B449" t="s">
        <v>95</v>
      </c>
      <c r="C449" s="26">
        <f>SUMIFS(INDEX(元データ_14項目!$D$2:$Q$1300,0,MATCH($B449,元データ_14項目!$D$1:$Q$1,0)),元データ_14項目!$A$2:$A$1300,$A449,元データ_14項目!$B$2:$B$1300,"本年",元データ_14項目!$C$2:$C$1300,C$5)</f>
        <v>14</v>
      </c>
      <c r="D449" s="26">
        <f>SUMIFS(INDEX(元データ_14項目!$D$2:$Q$1300,0,MATCH($B449,元データ_14項目!$D$1:$Q$1,0)),元データ_14項目!$A$2:$A$1300,$A449,元データ_14項目!$B$2:$B$1300,"本年",元データ_14項目!$C$2:$C$1300,D$5)</f>
        <v>32</v>
      </c>
      <c r="E449" s="26">
        <f>SUMIFS(INDEX(元データ_14項目!$D$2:$Q$1300,0,MATCH($B449,元データ_14項目!$D$1:$Q$1,0)),元データ_14項目!$A$2:$A$1300,$A449,元データ_14項目!$B$2:$B$1300,"本年",元データ_14項目!$C$2:$C$1300,E$5)</f>
        <v>49</v>
      </c>
      <c r="F449" s="26">
        <f>SUMIFS(INDEX(元データ_14項目!$D$2:$Q$1300,0,MATCH($B449,元データ_14項目!$D$1:$Q$1,0)),元データ_14項目!$A$2:$A$1300,$A449,元データ_14項目!$B$2:$B$1300,"本年",元データ_14項目!$C$2:$C$1300,F$5)</f>
        <v>38</v>
      </c>
      <c r="G449" s="26">
        <f>SUMIFS(INDEX(元データ_14項目!$D$2:$Q$1300,0,MATCH($B449,元データ_14項目!$D$1:$Q$1,0)),元データ_14項目!$A$2:$A$1300,$A449,元データ_14項目!$B$2:$B$1300,"本年",元データ_14項目!$C$2:$C$1300,G$5)</f>
        <v>16</v>
      </c>
      <c r="H449" s="26">
        <f>SUMIFS(INDEX(元データ_14項目!$D$2:$Q$1300,0,MATCH($B449,元データ_14項目!$D$1:$Q$1,0)),元データ_14項目!$A$2:$A$1300,$A449,元データ_14項目!$B$2:$B$1300,"本年",元データ_14項目!$C$2:$C$1300,H$5)</f>
        <v>18</v>
      </c>
      <c r="I449" s="26">
        <f>SUMIFS(INDEX(元データ_14項目!$D$2:$Q$1300,0,MATCH($B449,元データ_14項目!$D$1:$Q$1,0)),元データ_14項目!$A$2:$A$1300,$A449,元データ_14項目!$B$2:$B$1300,"本年",元データ_14項目!$C$2:$C$1300,I$5)</f>
        <v>9</v>
      </c>
      <c r="J449" s="26">
        <f>SUMIFS(INDEX(元データ_14項目!$D$2:$Q$1300,0,MATCH($B449,元データ_14項目!$D$1:$Q$1,0)),元データ_14項目!$A$2:$A$1300,$A449,元データ_14項目!$B$2:$B$1300,"本年",元データ_14項目!$C$2:$C$1300,J$5)</f>
        <v>20</v>
      </c>
      <c r="K449" s="26">
        <f>SUMIFS(INDEX(元データ_14項目!$D$2:$Q$1300,0,MATCH($B449,元データ_14項目!$D$1:$Q$1,0)),元データ_14項目!$A$2:$A$1300,$A449,元データ_14項目!$B$2:$B$1300,"本年",元データ_14項目!$C$2:$C$1300,K$5)</f>
        <v>38</v>
      </c>
      <c r="L449" s="26">
        <f>SUMIFS(INDEX(元データ_14項目!$D$2:$Q$1300,0,MATCH($B449,元データ_14項目!$D$1:$Q$1,0)),元データ_14項目!$A$2:$A$1300,$A449,元データ_14項目!$B$2:$B$1300,"本年",元データ_14項目!$C$2:$C$1300,L$5)</f>
        <v>24</v>
      </c>
      <c r="M449" s="26">
        <f>SUMIFS(INDEX(元データ_14項目!$D$2:$Q$1300,0,MATCH($B449,元データ_14項目!$D$1:$Q$1,0)),元データ_14項目!$A$2:$A$1300,$A449,元データ_14項目!$B$2:$B$1300,"本年",元データ_14項目!$C$2:$C$1300,M$5)</f>
        <v>38</v>
      </c>
      <c r="N449" s="26">
        <f>SUMIFS(INDEX(元データ_14項目!$D$2:$Q$1300,0,MATCH($B449,元データ_14項目!$D$1:$Q$1,0)),元データ_14項目!$A$2:$A$1300,$A449,元データ_14項目!$B$2:$B$1300,"本年",元データ_14項目!$C$2:$C$1300,N$5)</f>
        <v>21</v>
      </c>
      <c r="O449" s="26">
        <f t="shared" si="12"/>
        <v>317</v>
      </c>
      <c r="P449" s="26">
        <f>SUMIFS(INDEX(元データ_14項目!$D$2:$Q$1300,0,MATCH($B449,元データ_14項目!$D$1:$Q$1,0)),元データ_14項目!$A$2:$A$1300,$A449,元データ_14項目!$B$2:$B$1300,"前年")</f>
        <v>323</v>
      </c>
      <c r="Q449" s="7">
        <f t="shared" si="13"/>
        <v>0.98142414860681115</v>
      </c>
    </row>
    <row r="450" spans="1:17" x14ac:dyDescent="0.45">
      <c r="A450" t="s">
        <v>66</v>
      </c>
      <c r="B450" t="s">
        <v>96</v>
      </c>
      <c r="C450" s="26">
        <f>SUMIFS(INDEX(元データ_14項目!$D$2:$Q$1300,0,MATCH($B450,元データ_14項目!$D$1:$Q$1,0)),元データ_14項目!$A$2:$A$1300,$A450,元データ_14項目!$B$2:$B$1300,"本年",元データ_14項目!$C$2:$C$1300,C$5)</f>
        <v>8</v>
      </c>
      <c r="D450" s="26">
        <f>SUMIFS(INDEX(元データ_14項目!$D$2:$Q$1300,0,MATCH($B450,元データ_14項目!$D$1:$Q$1,0)),元データ_14項目!$A$2:$A$1300,$A450,元データ_14項目!$B$2:$B$1300,"本年",元データ_14項目!$C$2:$C$1300,D$5)</f>
        <v>11</v>
      </c>
      <c r="E450" s="26">
        <f>SUMIFS(INDEX(元データ_14項目!$D$2:$Q$1300,0,MATCH($B450,元データ_14項目!$D$1:$Q$1,0)),元データ_14項目!$A$2:$A$1300,$A450,元データ_14項目!$B$2:$B$1300,"本年",元データ_14項目!$C$2:$C$1300,E$5)</f>
        <v>40</v>
      </c>
      <c r="F450" s="26">
        <f>SUMIFS(INDEX(元データ_14項目!$D$2:$Q$1300,0,MATCH($B450,元データ_14項目!$D$1:$Q$1,0)),元データ_14項目!$A$2:$A$1300,$A450,元データ_14項目!$B$2:$B$1300,"本年",元データ_14項目!$C$2:$C$1300,F$5)</f>
        <v>29</v>
      </c>
      <c r="G450" s="26">
        <f>SUMIFS(INDEX(元データ_14項目!$D$2:$Q$1300,0,MATCH($B450,元データ_14項目!$D$1:$Q$1,0)),元データ_14項目!$A$2:$A$1300,$A450,元データ_14項目!$B$2:$B$1300,"本年",元データ_14項目!$C$2:$C$1300,G$5)</f>
        <v>40</v>
      </c>
      <c r="H450" s="26">
        <f>SUMIFS(INDEX(元データ_14項目!$D$2:$Q$1300,0,MATCH($B450,元データ_14項目!$D$1:$Q$1,0)),元データ_14項目!$A$2:$A$1300,$A450,元データ_14項目!$B$2:$B$1300,"本年",元データ_14項目!$C$2:$C$1300,H$5)</f>
        <v>40</v>
      </c>
      <c r="I450" s="26">
        <f>SUMIFS(INDEX(元データ_14項目!$D$2:$Q$1300,0,MATCH($B450,元データ_14項目!$D$1:$Q$1,0)),元データ_14項目!$A$2:$A$1300,$A450,元データ_14項目!$B$2:$B$1300,"本年",元データ_14項目!$C$2:$C$1300,I$5)</f>
        <v>13</v>
      </c>
      <c r="J450" s="26">
        <f>SUMIFS(INDEX(元データ_14項目!$D$2:$Q$1300,0,MATCH($B450,元データ_14項目!$D$1:$Q$1,0)),元データ_14項目!$A$2:$A$1300,$A450,元データ_14項目!$B$2:$B$1300,"本年",元データ_14項目!$C$2:$C$1300,J$5)</f>
        <v>103</v>
      </c>
      <c r="K450" s="26">
        <f>SUMIFS(INDEX(元データ_14項目!$D$2:$Q$1300,0,MATCH($B450,元データ_14項目!$D$1:$Q$1,0)),元データ_14項目!$A$2:$A$1300,$A450,元データ_14項目!$B$2:$B$1300,"本年",元データ_14項目!$C$2:$C$1300,K$5)</f>
        <v>237</v>
      </c>
      <c r="L450" s="26">
        <f>SUMIFS(INDEX(元データ_14項目!$D$2:$Q$1300,0,MATCH($B450,元データ_14項目!$D$1:$Q$1,0)),元データ_14項目!$A$2:$A$1300,$A450,元データ_14項目!$B$2:$B$1300,"本年",元データ_14項目!$C$2:$C$1300,L$5)</f>
        <v>152</v>
      </c>
      <c r="M450" s="26">
        <f>SUMIFS(INDEX(元データ_14項目!$D$2:$Q$1300,0,MATCH($B450,元データ_14項目!$D$1:$Q$1,0)),元データ_14項目!$A$2:$A$1300,$A450,元データ_14項目!$B$2:$B$1300,"本年",元データ_14項目!$C$2:$C$1300,M$5)</f>
        <v>86</v>
      </c>
      <c r="N450" s="26">
        <f>SUMIFS(INDEX(元データ_14項目!$D$2:$Q$1300,0,MATCH($B450,元データ_14項目!$D$1:$Q$1,0)),元データ_14項目!$A$2:$A$1300,$A450,元データ_14項目!$B$2:$B$1300,"本年",元データ_14項目!$C$2:$C$1300,N$5)</f>
        <v>36</v>
      </c>
      <c r="O450" s="26">
        <f t="shared" si="12"/>
        <v>795</v>
      </c>
      <c r="P450" s="26">
        <f>SUMIFS(INDEX(元データ_14項目!$D$2:$Q$1300,0,MATCH($B450,元データ_14項目!$D$1:$Q$1,0)),元データ_14項目!$A$2:$A$1300,$A450,元データ_14項目!$B$2:$B$1300,"前年")</f>
        <v>821</v>
      </c>
      <c r="Q450" s="7">
        <f t="shared" si="13"/>
        <v>0.96833130328867234</v>
      </c>
    </row>
    <row r="451" spans="1:17" x14ac:dyDescent="0.45">
      <c r="A451" t="s">
        <v>66</v>
      </c>
      <c r="B451" t="s">
        <v>97</v>
      </c>
      <c r="C451" s="26">
        <f>SUMIFS(INDEX(元データ_14項目!$D$2:$Q$1300,0,MATCH($B451,元データ_14項目!$D$1:$Q$1,0)),元データ_14項目!$A$2:$A$1300,$A451,元データ_14項目!$B$2:$B$1300,"本年",元データ_14項目!$C$2:$C$1300,C$5)</f>
        <v>19</v>
      </c>
      <c r="D451" s="26">
        <f>SUMIFS(INDEX(元データ_14項目!$D$2:$Q$1300,0,MATCH($B451,元データ_14項目!$D$1:$Q$1,0)),元データ_14項目!$A$2:$A$1300,$A451,元データ_14項目!$B$2:$B$1300,"本年",元データ_14項目!$C$2:$C$1300,D$5)</f>
        <v>13</v>
      </c>
      <c r="E451" s="26">
        <f>SUMIFS(INDEX(元データ_14項目!$D$2:$Q$1300,0,MATCH($B451,元データ_14項目!$D$1:$Q$1,0)),元データ_14項目!$A$2:$A$1300,$A451,元データ_14項目!$B$2:$B$1300,"本年",元データ_14項目!$C$2:$C$1300,E$5)</f>
        <v>31</v>
      </c>
      <c r="F451" s="26">
        <f>SUMIFS(INDEX(元データ_14項目!$D$2:$Q$1300,0,MATCH($B451,元データ_14項目!$D$1:$Q$1,0)),元データ_14項目!$A$2:$A$1300,$A451,元データ_14項目!$B$2:$B$1300,"本年",元データ_14項目!$C$2:$C$1300,F$5)</f>
        <v>27</v>
      </c>
      <c r="G451" s="26">
        <f>SUMIFS(INDEX(元データ_14項目!$D$2:$Q$1300,0,MATCH($B451,元データ_14項目!$D$1:$Q$1,0)),元データ_14項目!$A$2:$A$1300,$A451,元データ_14項目!$B$2:$B$1300,"本年",元データ_14項目!$C$2:$C$1300,G$5)</f>
        <v>38</v>
      </c>
      <c r="H451" s="26">
        <f>SUMIFS(INDEX(元データ_14項目!$D$2:$Q$1300,0,MATCH($B451,元データ_14項目!$D$1:$Q$1,0)),元データ_14項目!$A$2:$A$1300,$A451,元データ_14項目!$B$2:$B$1300,"本年",元データ_14項目!$C$2:$C$1300,H$5)</f>
        <v>32</v>
      </c>
      <c r="I451" s="26">
        <f>SUMIFS(INDEX(元データ_14項目!$D$2:$Q$1300,0,MATCH($B451,元データ_14項目!$D$1:$Q$1,0)),元データ_14項目!$A$2:$A$1300,$A451,元データ_14項目!$B$2:$B$1300,"本年",元データ_14項目!$C$2:$C$1300,I$5)</f>
        <v>18</v>
      </c>
      <c r="J451" s="26">
        <f>SUMIFS(INDEX(元データ_14項目!$D$2:$Q$1300,0,MATCH($B451,元データ_14項目!$D$1:$Q$1,0)),元データ_14項目!$A$2:$A$1300,$A451,元データ_14項目!$B$2:$B$1300,"本年",元データ_14項目!$C$2:$C$1300,J$5)</f>
        <v>86</v>
      </c>
      <c r="K451" s="26">
        <f>SUMIFS(INDEX(元データ_14項目!$D$2:$Q$1300,0,MATCH($B451,元データ_14項目!$D$1:$Q$1,0)),元データ_14項目!$A$2:$A$1300,$A451,元データ_14項目!$B$2:$B$1300,"本年",元データ_14項目!$C$2:$C$1300,K$5)</f>
        <v>204</v>
      </c>
      <c r="L451" s="26">
        <f>SUMIFS(INDEX(元データ_14項目!$D$2:$Q$1300,0,MATCH($B451,元データ_14項目!$D$1:$Q$1,0)),元データ_14項目!$A$2:$A$1300,$A451,元データ_14項目!$B$2:$B$1300,"本年",元データ_14項目!$C$2:$C$1300,L$5)</f>
        <v>104</v>
      </c>
      <c r="M451" s="26">
        <f>SUMIFS(INDEX(元データ_14項目!$D$2:$Q$1300,0,MATCH($B451,元データ_14項目!$D$1:$Q$1,0)),元データ_14項目!$A$2:$A$1300,$A451,元データ_14項目!$B$2:$B$1300,"本年",元データ_14項目!$C$2:$C$1300,M$5)</f>
        <v>96</v>
      </c>
      <c r="N451" s="26">
        <f>SUMIFS(INDEX(元データ_14項目!$D$2:$Q$1300,0,MATCH($B451,元データ_14項目!$D$1:$Q$1,0)),元データ_14項目!$A$2:$A$1300,$A451,元データ_14項目!$B$2:$B$1300,"本年",元データ_14項目!$C$2:$C$1300,N$5)</f>
        <v>25</v>
      </c>
      <c r="O451" s="26">
        <f t="shared" si="12"/>
        <v>693</v>
      </c>
      <c r="P451" s="26">
        <f>SUMIFS(INDEX(元データ_14項目!$D$2:$Q$1300,0,MATCH($B451,元データ_14項目!$D$1:$Q$1,0)),元データ_14項目!$A$2:$A$1300,$A451,元データ_14項目!$B$2:$B$1300,"前年")</f>
        <v>729</v>
      </c>
      <c r="Q451" s="7">
        <f t="shared" si="13"/>
        <v>0.95061728395061729</v>
      </c>
    </row>
    <row r="452" spans="1:17" x14ac:dyDescent="0.45">
      <c r="A452" t="s">
        <v>66</v>
      </c>
      <c r="B452" t="s">
        <v>98</v>
      </c>
      <c r="C452" s="26">
        <f>SUMIFS(INDEX(元データ_14項目!$D$2:$Q$1300,0,MATCH($B452,元データ_14項目!$D$1:$Q$1,0)),元データ_14項目!$A$2:$A$1300,$A452,元データ_14項目!$B$2:$B$1300,"本年",元データ_14項目!$C$2:$C$1300,C$5)</f>
        <v>14</v>
      </c>
      <c r="D452" s="26">
        <f>SUMIFS(INDEX(元データ_14項目!$D$2:$Q$1300,0,MATCH($B452,元データ_14項目!$D$1:$Q$1,0)),元データ_14項目!$A$2:$A$1300,$A452,元データ_14項目!$B$2:$B$1300,"本年",元データ_14項目!$C$2:$C$1300,D$5)</f>
        <v>6</v>
      </c>
      <c r="E452" s="26">
        <f>SUMIFS(INDEX(元データ_14項目!$D$2:$Q$1300,0,MATCH($B452,元データ_14項目!$D$1:$Q$1,0)),元データ_14項目!$A$2:$A$1300,$A452,元データ_14項目!$B$2:$B$1300,"本年",元データ_14項目!$C$2:$C$1300,E$5)</f>
        <v>19</v>
      </c>
      <c r="F452" s="26">
        <f>SUMIFS(INDEX(元データ_14項目!$D$2:$Q$1300,0,MATCH($B452,元データ_14項目!$D$1:$Q$1,0)),元データ_14項目!$A$2:$A$1300,$A452,元データ_14項目!$B$2:$B$1300,"本年",元データ_14項目!$C$2:$C$1300,F$5)</f>
        <v>20</v>
      </c>
      <c r="G452" s="26">
        <f>SUMIFS(INDEX(元データ_14項目!$D$2:$Q$1300,0,MATCH($B452,元データ_14項目!$D$1:$Q$1,0)),元データ_14項目!$A$2:$A$1300,$A452,元データ_14項目!$B$2:$B$1300,"本年",元データ_14項目!$C$2:$C$1300,G$5)</f>
        <v>13</v>
      </c>
      <c r="H452" s="26">
        <f>SUMIFS(INDEX(元データ_14項目!$D$2:$Q$1300,0,MATCH($B452,元データ_14項目!$D$1:$Q$1,0)),元データ_14項目!$A$2:$A$1300,$A452,元データ_14項目!$B$2:$B$1300,"本年",元データ_14項目!$C$2:$C$1300,H$5)</f>
        <v>21</v>
      </c>
      <c r="I452" s="26">
        <f>SUMIFS(INDEX(元データ_14項目!$D$2:$Q$1300,0,MATCH($B452,元データ_14項目!$D$1:$Q$1,0)),元データ_14項目!$A$2:$A$1300,$A452,元データ_14項目!$B$2:$B$1300,"本年",元データ_14項目!$C$2:$C$1300,I$5)</f>
        <v>7</v>
      </c>
      <c r="J452" s="26">
        <f>SUMIFS(INDEX(元データ_14項目!$D$2:$Q$1300,0,MATCH($B452,元データ_14項目!$D$1:$Q$1,0)),元データ_14項目!$A$2:$A$1300,$A452,元データ_14項目!$B$2:$B$1300,"本年",元データ_14項目!$C$2:$C$1300,J$5)</f>
        <v>107</v>
      </c>
      <c r="K452" s="26">
        <f>SUMIFS(INDEX(元データ_14項目!$D$2:$Q$1300,0,MATCH($B452,元データ_14項目!$D$1:$Q$1,0)),元データ_14項目!$A$2:$A$1300,$A452,元データ_14項目!$B$2:$B$1300,"本年",元データ_14項目!$C$2:$C$1300,K$5)</f>
        <v>170</v>
      </c>
      <c r="L452" s="26">
        <f>SUMIFS(INDEX(元データ_14項目!$D$2:$Q$1300,0,MATCH($B452,元データ_14項目!$D$1:$Q$1,0)),元データ_14項目!$A$2:$A$1300,$A452,元データ_14項目!$B$2:$B$1300,"本年",元データ_14項目!$C$2:$C$1300,L$5)</f>
        <v>86</v>
      </c>
      <c r="M452" s="26">
        <f>SUMIFS(INDEX(元データ_14項目!$D$2:$Q$1300,0,MATCH($B452,元データ_14項目!$D$1:$Q$1,0)),元データ_14項目!$A$2:$A$1300,$A452,元データ_14項目!$B$2:$B$1300,"本年",元データ_14項目!$C$2:$C$1300,M$5)</f>
        <v>71</v>
      </c>
      <c r="N452" s="26">
        <f>SUMIFS(INDEX(元データ_14項目!$D$2:$Q$1300,0,MATCH($B452,元データ_14項目!$D$1:$Q$1,0)),元データ_14項目!$A$2:$A$1300,$A452,元データ_14項目!$B$2:$B$1300,"本年",元データ_14項目!$C$2:$C$1300,N$5)</f>
        <v>13</v>
      </c>
      <c r="O452" s="26">
        <f t="shared" si="12"/>
        <v>547</v>
      </c>
      <c r="P452" s="26">
        <f>SUMIFS(INDEX(元データ_14項目!$D$2:$Q$1300,0,MATCH($B452,元データ_14項目!$D$1:$Q$1,0)),元データ_14項目!$A$2:$A$1300,$A452,元データ_14項目!$B$2:$B$1300,"前年")</f>
        <v>514</v>
      </c>
      <c r="Q452" s="7">
        <f t="shared" si="13"/>
        <v>1.0642023346303502</v>
      </c>
    </row>
    <row r="453" spans="1:17" x14ac:dyDescent="0.45">
      <c r="A453" t="s">
        <v>66</v>
      </c>
      <c r="B453" t="s">
        <v>99</v>
      </c>
      <c r="C453" s="26">
        <f>SUMIFS(INDEX(元データ_14項目!$D$2:$Q$1300,0,MATCH($B453,元データ_14項目!$D$1:$Q$1,0)),元データ_14項目!$A$2:$A$1300,$A453,元データ_14項目!$B$2:$B$1300,"本年",元データ_14項目!$C$2:$C$1300,C$5)</f>
        <v>0</v>
      </c>
      <c r="D453" s="26">
        <f>SUMIFS(INDEX(元データ_14項目!$D$2:$Q$1300,0,MATCH($B453,元データ_14項目!$D$1:$Q$1,0)),元データ_14項目!$A$2:$A$1300,$A453,元データ_14項目!$B$2:$B$1300,"本年",元データ_14項目!$C$2:$C$1300,D$5)</f>
        <v>2</v>
      </c>
      <c r="E453" s="26">
        <f>SUMIFS(INDEX(元データ_14項目!$D$2:$Q$1300,0,MATCH($B453,元データ_14項目!$D$1:$Q$1,0)),元データ_14項目!$A$2:$A$1300,$A453,元データ_14項目!$B$2:$B$1300,"本年",元データ_14項目!$C$2:$C$1300,E$5)</f>
        <v>0</v>
      </c>
      <c r="F453" s="26">
        <f>SUMIFS(INDEX(元データ_14項目!$D$2:$Q$1300,0,MATCH($B453,元データ_14項目!$D$1:$Q$1,0)),元データ_14項目!$A$2:$A$1300,$A453,元データ_14項目!$B$2:$B$1300,"本年",元データ_14項目!$C$2:$C$1300,F$5)</f>
        <v>0</v>
      </c>
      <c r="G453" s="26">
        <f>SUMIFS(INDEX(元データ_14項目!$D$2:$Q$1300,0,MATCH($B453,元データ_14項目!$D$1:$Q$1,0)),元データ_14項目!$A$2:$A$1300,$A453,元データ_14項目!$B$2:$B$1300,"本年",元データ_14項目!$C$2:$C$1300,G$5)</f>
        <v>2</v>
      </c>
      <c r="H453" s="26">
        <f>SUMIFS(INDEX(元データ_14項目!$D$2:$Q$1300,0,MATCH($B453,元データ_14項目!$D$1:$Q$1,0)),元データ_14項目!$A$2:$A$1300,$A453,元データ_14項目!$B$2:$B$1300,"本年",元データ_14項目!$C$2:$C$1300,H$5)</f>
        <v>0</v>
      </c>
      <c r="I453" s="26">
        <f>SUMIFS(INDEX(元データ_14項目!$D$2:$Q$1300,0,MATCH($B453,元データ_14項目!$D$1:$Q$1,0)),元データ_14項目!$A$2:$A$1300,$A453,元データ_14項目!$B$2:$B$1300,"本年",元データ_14項目!$C$2:$C$1300,I$5)</f>
        <v>14</v>
      </c>
      <c r="J453" s="26">
        <f>SUMIFS(INDEX(元データ_14項目!$D$2:$Q$1300,0,MATCH($B453,元データ_14項目!$D$1:$Q$1,0)),元データ_14項目!$A$2:$A$1300,$A453,元データ_14項目!$B$2:$B$1300,"本年",元データ_14項目!$C$2:$C$1300,J$5)</f>
        <v>13</v>
      </c>
      <c r="K453" s="26">
        <f>SUMIFS(INDEX(元データ_14項目!$D$2:$Q$1300,0,MATCH($B453,元データ_14項目!$D$1:$Q$1,0)),元データ_14項目!$A$2:$A$1300,$A453,元データ_14項目!$B$2:$B$1300,"本年",元データ_14項目!$C$2:$C$1300,K$5)</f>
        <v>4</v>
      </c>
      <c r="L453" s="26">
        <f>SUMIFS(INDEX(元データ_14項目!$D$2:$Q$1300,0,MATCH($B453,元データ_14項目!$D$1:$Q$1,0)),元データ_14項目!$A$2:$A$1300,$A453,元データ_14項目!$B$2:$B$1300,"本年",元データ_14項目!$C$2:$C$1300,L$5)</f>
        <v>2</v>
      </c>
      <c r="M453" s="26">
        <f>SUMIFS(INDEX(元データ_14項目!$D$2:$Q$1300,0,MATCH($B453,元データ_14項目!$D$1:$Q$1,0)),元データ_14項目!$A$2:$A$1300,$A453,元データ_14項目!$B$2:$B$1300,"本年",元データ_14項目!$C$2:$C$1300,M$5)</f>
        <v>0</v>
      </c>
      <c r="N453" s="26">
        <f>SUMIFS(INDEX(元データ_14項目!$D$2:$Q$1300,0,MATCH($B453,元データ_14項目!$D$1:$Q$1,0)),元データ_14項目!$A$2:$A$1300,$A453,元データ_14項目!$B$2:$B$1300,"本年",元データ_14項目!$C$2:$C$1300,N$5)</f>
        <v>0</v>
      </c>
      <c r="O453" s="26">
        <f t="shared" si="12"/>
        <v>37</v>
      </c>
      <c r="P453" s="26">
        <f>SUMIFS(INDEX(元データ_14項目!$D$2:$Q$1300,0,MATCH($B453,元データ_14項目!$D$1:$Q$1,0)),元データ_14項目!$A$2:$A$1300,$A453,元データ_14項目!$B$2:$B$1300,"前年")</f>
        <v>41</v>
      </c>
      <c r="Q453" s="7">
        <f t="shared" si="13"/>
        <v>0.90243902439024393</v>
      </c>
    </row>
    <row r="454" spans="1:17" x14ac:dyDescent="0.45">
      <c r="A454" t="s">
        <v>67</v>
      </c>
      <c r="B454" t="s">
        <v>27</v>
      </c>
      <c r="C454" s="26">
        <f>SUMIFS(INDEX(元データ_14項目!$D$2:$Q$1300,0,MATCH($B454,元データ_14項目!$D$1:$Q$1,0)),元データ_14項目!$A$2:$A$1300,$A454,元データ_14項目!$B$2:$B$1300,"本年",元データ_14項目!$C$2:$C$1300,C$5)</f>
        <v>1041</v>
      </c>
      <c r="D454" s="26">
        <f>SUMIFS(INDEX(元データ_14項目!$D$2:$Q$1300,0,MATCH($B454,元データ_14項目!$D$1:$Q$1,0)),元データ_14項目!$A$2:$A$1300,$A454,元データ_14項目!$B$2:$B$1300,"本年",元データ_14項目!$C$2:$C$1300,D$5)</f>
        <v>1066</v>
      </c>
      <c r="E454" s="26">
        <f>SUMIFS(INDEX(元データ_14項目!$D$2:$Q$1300,0,MATCH($B454,元データ_14項目!$D$1:$Q$1,0)),元データ_14項目!$A$2:$A$1300,$A454,元データ_14項目!$B$2:$B$1300,"本年",元データ_14項目!$C$2:$C$1300,E$5)</f>
        <v>1370</v>
      </c>
      <c r="F454" s="26">
        <f>SUMIFS(INDEX(元データ_14項目!$D$2:$Q$1300,0,MATCH($B454,元データ_14項目!$D$1:$Q$1,0)),元データ_14項目!$A$2:$A$1300,$A454,元データ_14項目!$B$2:$B$1300,"本年",元データ_14項目!$C$2:$C$1300,F$5)</f>
        <v>1143</v>
      </c>
      <c r="G454" s="26">
        <f>SUMIFS(INDEX(元データ_14項目!$D$2:$Q$1300,0,MATCH($B454,元データ_14項目!$D$1:$Q$1,0)),元データ_14項目!$A$2:$A$1300,$A454,元データ_14項目!$B$2:$B$1300,"本年",元データ_14項目!$C$2:$C$1300,G$5)</f>
        <v>1182</v>
      </c>
      <c r="H454" s="26">
        <f>SUMIFS(INDEX(元データ_14項目!$D$2:$Q$1300,0,MATCH($B454,元データ_14項目!$D$1:$Q$1,0)),元データ_14項目!$A$2:$A$1300,$A454,元データ_14項目!$B$2:$B$1300,"本年",元データ_14項目!$C$2:$C$1300,H$5)</f>
        <v>870</v>
      </c>
      <c r="I454" s="26">
        <f>SUMIFS(INDEX(元データ_14項目!$D$2:$Q$1300,0,MATCH($B454,元データ_14項目!$D$1:$Q$1,0)),元データ_14項目!$A$2:$A$1300,$A454,元データ_14項目!$B$2:$B$1300,"本年",元データ_14項目!$C$2:$C$1300,I$5)</f>
        <v>998</v>
      </c>
      <c r="J454" s="26">
        <f>SUMIFS(INDEX(元データ_14項目!$D$2:$Q$1300,0,MATCH($B454,元データ_14項目!$D$1:$Q$1,0)),元データ_14項目!$A$2:$A$1300,$A454,元データ_14項目!$B$2:$B$1300,"本年",元データ_14項目!$C$2:$C$1300,J$5)</f>
        <v>1127</v>
      </c>
      <c r="K454" s="26">
        <f>SUMIFS(INDEX(元データ_14項目!$D$2:$Q$1300,0,MATCH($B454,元データ_14項目!$D$1:$Q$1,0)),元データ_14項目!$A$2:$A$1300,$A454,元データ_14項目!$B$2:$B$1300,"本年",元データ_14項目!$C$2:$C$1300,K$5)</f>
        <v>1123</v>
      </c>
      <c r="L454" s="26">
        <f>SUMIFS(INDEX(元データ_14項目!$D$2:$Q$1300,0,MATCH($B454,元データ_14項目!$D$1:$Q$1,0)),元データ_14項目!$A$2:$A$1300,$A454,元データ_14項目!$B$2:$B$1300,"本年",元データ_14項目!$C$2:$C$1300,L$5)</f>
        <v>1093</v>
      </c>
      <c r="M454" s="26">
        <f>SUMIFS(INDEX(元データ_14項目!$D$2:$Q$1300,0,MATCH($B454,元データ_14項目!$D$1:$Q$1,0)),元データ_14項目!$A$2:$A$1300,$A454,元データ_14項目!$B$2:$B$1300,"本年",元データ_14項目!$C$2:$C$1300,M$5)</f>
        <v>1060</v>
      </c>
      <c r="N454" s="26">
        <f>SUMIFS(INDEX(元データ_14項目!$D$2:$Q$1300,0,MATCH($B454,元データ_14項目!$D$1:$Q$1,0)),元データ_14項目!$A$2:$A$1300,$A454,元データ_14項目!$B$2:$B$1300,"本年",元データ_14項目!$C$2:$C$1300,N$5)</f>
        <v>1068</v>
      </c>
      <c r="O454" s="26">
        <f t="shared" si="12"/>
        <v>13141</v>
      </c>
      <c r="P454" s="26">
        <f>SUMIFS(INDEX(元データ_14項目!$D$2:$Q$1300,0,MATCH($B454,元データ_14項目!$D$1:$Q$1,0)),元データ_14項目!$A$2:$A$1300,$A454,元データ_14項目!$B$2:$B$1300,"前年")</f>
        <v>15915</v>
      </c>
      <c r="Q454" s="7">
        <f t="shared" si="13"/>
        <v>0.82569902607602885</v>
      </c>
    </row>
    <row r="455" spans="1:17" x14ac:dyDescent="0.45">
      <c r="A455" t="s">
        <v>67</v>
      </c>
      <c r="B455" t="s">
        <v>88</v>
      </c>
      <c r="C455" s="26">
        <f>SUMIFS(INDEX(元データ_14項目!$D$2:$Q$1300,0,MATCH($B455,元データ_14項目!$D$1:$Q$1,0)),元データ_14項目!$A$2:$A$1300,$A455,元データ_14項目!$B$2:$B$1300,"本年",元データ_14項目!$C$2:$C$1300,C$5)</f>
        <v>39</v>
      </c>
      <c r="D455" s="26">
        <f>SUMIFS(INDEX(元データ_14項目!$D$2:$Q$1300,0,MATCH($B455,元データ_14項目!$D$1:$Q$1,0)),元データ_14項目!$A$2:$A$1300,$A455,元データ_14項目!$B$2:$B$1300,"本年",元データ_14項目!$C$2:$C$1300,D$5)</f>
        <v>47</v>
      </c>
      <c r="E455" s="26">
        <f>SUMIFS(INDEX(元データ_14項目!$D$2:$Q$1300,0,MATCH($B455,元データ_14項目!$D$1:$Q$1,0)),元データ_14項目!$A$2:$A$1300,$A455,元データ_14項目!$B$2:$B$1300,"本年",元データ_14項目!$C$2:$C$1300,E$5)</f>
        <v>69</v>
      </c>
      <c r="F455" s="26">
        <f>SUMIFS(INDEX(元データ_14項目!$D$2:$Q$1300,0,MATCH($B455,元データ_14項目!$D$1:$Q$1,0)),元データ_14項目!$A$2:$A$1300,$A455,元データ_14項目!$B$2:$B$1300,"本年",元データ_14項目!$C$2:$C$1300,F$5)</f>
        <v>56</v>
      </c>
      <c r="G455" s="26">
        <f>SUMIFS(INDEX(元データ_14項目!$D$2:$Q$1300,0,MATCH($B455,元データ_14項目!$D$1:$Q$1,0)),元データ_14項目!$A$2:$A$1300,$A455,元データ_14項目!$B$2:$B$1300,"本年",元データ_14項目!$C$2:$C$1300,G$5)</f>
        <v>45</v>
      </c>
      <c r="H455" s="26">
        <f>SUMIFS(INDEX(元データ_14項目!$D$2:$Q$1300,0,MATCH($B455,元データ_14項目!$D$1:$Q$1,0)),元データ_14項目!$A$2:$A$1300,$A455,元データ_14項目!$B$2:$B$1300,"本年",元データ_14項目!$C$2:$C$1300,H$5)</f>
        <v>23</v>
      </c>
      <c r="I455" s="26">
        <f>SUMIFS(INDEX(元データ_14項目!$D$2:$Q$1300,0,MATCH($B455,元データ_14項目!$D$1:$Q$1,0)),元データ_14項目!$A$2:$A$1300,$A455,元データ_14項目!$B$2:$B$1300,"本年",元データ_14項目!$C$2:$C$1300,I$5)</f>
        <v>29</v>
      </c>
      <c r="J455" s="26">
        <f>SUMIFS(INDEX(元データ_14項目!$D$2:$Q$1300,0,MATCH($B455,元データ_14項目!$D$1:$Q$1,0)),元データ_14項目!$A$2:$A$1300,$A455,元データ_14項目!$B$2:$B$1300,"本年",元データ_14項目!$C$2:$C$1300,J$5)</f>
        <v>31</v>
      </c>
      <c r="K455" s="26">
        <f>SUMIFS(INDEX(元データ_14項目!$D$2:$Q$1300,0,MATCH($B455,元データ_14項目!$D$1:$Q$1,0)),元データ_14項目!$A$2:$A$1300,$A455,元データ_14項目!$B$2:$B$1300,"本年",元データ_14項目!$C$2:$C$1300,K$5)</f>
        <v>70</v>
      </c>
      <c r="L455" s="26">
        <f>SUMIFS(INDEX(元データ_14項目!$D$2:$Q$1300,0,MATCH($B455,元データ_14項目!$D$1:$Q$1,0)),元データ_14項目!$A$2:$A$1300,$A455,元データ_14項目!$B$2:$B$1300,"本年",元データ_14項目!$C$2:$C$1300,L$5)</f>
        <v>66</v>
      </c>
      <c r="M455" s="26">
        <f>SUMIFS(INDEX(元データ_14項目!$D$2:$Q$1300,0,MATCH($B455,元データ_14項目!$D$1:$Q$1,0)),元データ_14項目!$A$2:$A$1300,$A455,元データ_14項目!$B$2:$B$1300,"本年",元データ_14項目!$C$2:$C$1300,M$5)</f>
        <v>65</v>
      </c>
      <c r="N455" s="26">
        <f>SUMIFS(INDEX(元データ_14項目!$D$2:$Q$1300,0,MATCH($B455,元データ_14項目!$D$1:$Q$1,0)),元データ_14項目!$A$2:$A$1300,$A455,元データ_14項目!$B$2:$B$1300,"本年",元データ_14項目!$C$2:$C$1300,N$5)</f>
        <v>60</v>
      </c>
      <c r="O455" s="26">
        <f t="shared" ref="O455:O518" si="14">SUM(C455:N455)</f>
        <v>600</v>
      </c>
      <c r="P455" s="26">
        <f>SUMIFS(INDEX(元データ_14項目!$D$2:$Q$1300,0,MATCH($B455,元データ_14項目!$D$1:$Q$1,0)),元データ_14項目!$A$2:$A$1300,$A455,元データ_14項目!$B$2:$B$1300,"前年")</f>
        <v>602</v>
      </c>
      <c r="Q455" s="7">
        <f t="shared" ref="Q455:Q518" si="15">IFERROR(O455/P455,"")</f>
        <v>0.99667774086378735</v>
      </c>
    </row>
    <row r="456" spans="1:17" x14ac:dyDescent="0.45">
      <c r="A456" t="s">
        <v>67</v>
      </c>
      <c r="B456" t="s">
        <v>89</v>
      </c>
      <c r="C456" s="26">
        <f>SUMIFS(INDEX(元データ_14項目!$D$2:$Q$1300,0,MATCH($B456,元データ_14項目!$D$1:$Q$1,0)),元データ_14項目!$A$2:$A$1300,$A456,元データ_14項目!$B$2:$B$1300,"本年",元データ_14項目!$C$2:$C$1300,C$5)</f>
        <v>55</v>
      </c>
      <c r="D456" s="26">
        <f>SUMIFS(INDEX(元データ_14項目!$D$2:$Q$1300,0,MATCH($B456,元データ_14項目!$D$1:$Q$1,0)),元データ_14項目!$A$2:$A$1300,$A456,元データ_14項目!$B$2:$B$1300,"本年",元データ_14項目!$C$2:$C$1300,D$5)</f>
        <v>63</v>
      </c>
      <c r="E456" s="26">
        <f>SUMIFS(INDEX(元データ_14項目!$D$2:$Q$1300,0,MATCH($B456,元データ_14項目!$D$1:$Q$1,0)),元データ_14項目!$A$2:$A$1300,$A456,元データ_14項目!$B$2:$B$1300,"本年",元データ_14項目!$C$2:$C$1300,E$5)</f>
        <v>70</v>
      </c>
      <c r="F456" s="26">
        <f>SUMIFS(INDEX(元データ_14項目!$D$2:$Q$1300,0,MATCH($B456,元データ_14項目!$D$1:$Q$1,0)),元データ_14項目!$A$2:$A$1300,$A456,元データ_14項目!$B$2:$B$1300,"本年",元データ_14項目!$C$2:$C$1300,F$5)</f>
        <v>83</v>
      </c>
      <c r="G456" s="26">
        <f>SUMIFS(INDEX(元データ_14項目!$D$2:$Q$1300,0,MATCH($B456,元データ_14項目!$D$1:$Q$1,0)),元データ_14項目!$A$2:$A$1300,$A456,元データ_14項目!$B$2:$B$1300,"本年",元データ_14項目!$C$2:$C$1300,G$5)</f>
        <v>60</v>
      </c>
      <c r="H456" s="26">
        <f>SUMIFS(INDEX(元データ_14項目!$D$2:$Q$1300,0,MATCH($B456,元データ_14項目!$D$1:$Q$1,0)),元データ_14項目!$A$2:$A$1300,$A456,元データ_14項目!$B$2:$B$1300,"本年",元データ_14項目!$C$2:$C$1300,H$5)</f>
        <v>27</v>
      </c>
      <c r="I456" s="26">
        <f>SUMIFS(INDEX(元データ_14項目!$D$2:$Q$1300,0,MATCH($B456,元データ_14項目!$D$1:$Q$1,0)),元データ_14項目!$A$2:$A$1300,$A456,元データ_14項目!$B$2:$B$1300,"本年",元データ_14項目!$C$2:$C$1300,I$5)</f>
        <v>30</v>
      </c>
      <c r="J456" s="26">
        <f>SUMIFS(INDEX(元データ_14項目!$D$2:$Q$1300,0,MATCH($B456,元データ_14項目!$D$1:$Q$1,0)),元データ_14項目!$A$2:$A$1300,$A456,元データ_14項目!$B$2:$B$1300,"本年",元データ_14項目!$C$2:$C$1300,J$5)</f>
        <v>60</v>
      </c>
      <c r="K456" s="26">
        <f>SUMIFS(INDEX(元データ_14項目!$D$2:$Q$1300,0,MATCH($B456,元データ_14項目!$D$1:$Q$1,0)),元データ_14項目!$A$2:$A$1300,$A456,元データ_14項目!$B$2:$B$1300,"本年",元データ_14項目!$C$2:$C$1300,K$5)</f>
        <v>74</v>
      </c>
      <c r="L456" s="26">
        <f>SUMIFS(INDEX(元データ_14項目!$D$2:$Q$1300,0,MATCH($B456,元データ_14項目!$D$1:$Q$1,0)),元データ_14項目!$A$2:$A$1300,$A456,元データ_14項目!$B$2:$B$1300,"本年",元データ_14項目!$C$2:$C$1300,L$5)</f>
        <v>39</v>
      </c>
      <c r="M456" s="26">
        <f>SUMIFS(INDEX(元データ_14項目!$D$2:$Q$1300,0,MATCH($B456,元データ_14項目!$D$1:$Q$1,0)),元データ_14項目!$A$2:$A$1300,$A456,元データ_14項目!$B$2:$B$1300,"本年",元データ_14項目!$C$2:$C$1300,M$5)</f>
        <v>56</v>
      </c>
      <c r="N456" s="26">
        <f>SUMIFS(INDEX(元データ_14項目!$D$2:$Q$1300,0,MATCH($B456,元データ_14項目!$D$1:$Q$1,0)),元データ_14項目!$A$2:$A$1300,$A456,元データ_14項目!$B$2:$B$1300,"本年",元データ_14項目!$C$2:$C$1300,N$5)</f>
        <v>55</v>
      </c>
      <c r="O456" s="26">
        <f t="shared" si="14"/>
        <v>672</v>
      </c>
      <c r="P456" s="26">
        <f>SUMIFS(INDEX(元データ_14項目!$D$2:$Q$1300,0,MATCH($B456,元データ_14項目!$D$1:$Q$1,0)),元データ_14項目!$A$2:$A$1300,$A456,元データ_14項目!$B$2:$B$1300,"前年")</f>
        <v>666</v>
      </c>
      <c r="Q456" s="7">
        <f t="shared" si="15"/>
        <v>1.0090090090090089</v>
      </c>
    </row>
    <row r="457" spans="1:17" x14ac:dyDescent="0.45">
      <c r="A457" t="s">
        <v>67</v>
      </c>
      <c r="B457" t="s">
        <v>90</v>
      </c>
      <c r="C457" s="26">
        <f>SUMIFS(INDEX(元データ_14項目!$D$2:$Q$1300,0,MATCH($B457,元データ_14項目!$D$1:$Q$1,0)),元データ_14項目!$A$2:$A$1300,$A457,元データ_14項目!$B$2:$B$1300,"本年",元データ_14項目!$C$2:$C$1300,C$5)</f>
        <v>74</v>
      </c>
      <c r="D457" s="26">
        <f>SUMIFS(INDEX(元データ_14項目!$D$2:$Q$1300,0,MATCH($B457,元データ_14項目!$D$1:$Q$1,0)),元データ_14項目!$A$2:$A$1300,$A457,元データ_14項目!$B$2:$B$1300,"本年",元データ_14項目!$C$2:$C$1300,D$5)</f>
        <v>45</v>
      </c>
      <c r="E457" s="26">
        <f>SUMIFS(INDEX(元データ_14項目!$D$2:$Q$1300,0,MATCH($B457,元データ_14項目!$D$1:$Q$1,0)),元データ_14項目!$A$2:$A$1300,$A457,元データ_14項目!$B$2:$B$1300,"本年",元データ_14項目!$C$2:$C$1300,E$5)</f>
        <v>89</v>
      </c>
      <c r="F457" s="26">
        <f>SUMIFS(INDEX(元データ_14項目!$D$2:$Q$1300,0,MATCH($B457,元データ_14項目!$D$1:$Q$1,0)),元データ_14項目!$A$2:$A$1300,$A457,元データ_14項目!$B$2:$B$1300,"本年",元データ_14項目!$C$2:$C$1300,F$5)</f>
        <v>147</v>
      </c>
      <c r="G457" s="26">
        <f>SUMIFS(INDEX(元データ_14項目!$D$2:$Q$1300,0,MATCH($B457,元データ_14項目!$D$1:$Q$1,0)),元データ_14項目!$A$2:$A$1300,$A457,元データ_14項目!$B$2:$B$1300,"本年",元データ_14項目!$C$2:$C$1300,G$5)</f>
        <v>199</v>
      </c>
      <c r="H457" s="26">
        <f>SUMIFS(INDEX(元データ_14項目!$D$2:$Q$1300,0,MATCH($B457,元データ_14項目!$D$1:$Q$1,0)),元データ_14項目!$A$2:$A$1300,$A457,元データ_14項目!$B$2:$B$1300,"本年",元データ_14項目!$C$2:$C$1300,H$5)</f>
        <v>154</v>
      </c>
      <c r="I457" s="26">
        <f>SUMIFS(INDEX(元データ_14項目!$D$2:$Q$1300,0,MATCH($B457,元データ_14項目!$D$1:$Q$1,0)),元データ_14項目!$A$2:$A$1300,$A457,元データ_14項目!$B$2:$B$1300,"本年",元データ_14項目!$C$2:$C$1300,I$5)</f>
        <v>95</v>
      </c>
      <c r="J457" s="26">
        <f>SUMIFS(INDEX(元データ_14項目!$D$2:$Q$1300,0,MATCH($B457,元データ_14項目!$D$1:$Q$1,0)),元データ_14項目!$A$2:$A$1300,$A457,元データ_14項目!$B$2:$B$1300,"本年",元データ_14項目!$C$2:$C$1300,J$5)</f>
        <v>209</v>
      </c>
      <c r="K457" s="26">
        <f>SUMIFS(INDEX(元データ_14項目!$D$2:$Q$1300,0,MATCH($B457,元データ_14項目!$D$1:$Q$1,0)),元データ_14項目!$A$2:$A$1300,$A457,元データ_14項目!$B$2:$B$1300,"本年",元データ_14項目!$C$2:$C$1300,K$5)</f>
        <v>257</v>
      </c>
      <c r="L457" s="26">
        <f>SUMIFS(INDEX(元データ_14項目!$D$2:$Q$1300,0,MATCH($B457,元データ_14項目!$D$1:$Q$1,0)),元データ_14項目!$A$2:$A$1300,$A457,元データ_14項目!$B$2:$B$1300,"本年",元データ_14項目!$C$2:$C$1300,L$5)</f>
        <v>172</v>
      </c>
      <c r="M457" s="26">
        <f>SUMIFS(INDEX(元データ_14項目!$D$2:$Q$1300,0,MATCH($B457,元データ_14項目!$D$1:$Q$1,0)),元データ_14項目!$A$2:$A$1300,$A457,元データ_14項目!$B$2:$B$1300,"本年",元データ_14項目!$C$2:$C$1300,M$5)</f>
        <v>169</v>
      </c>
      <c r="N457" s="26">
        <f>SUMIFS(INDEX(元データ_14項目!$D$2:$Q$1300,0,MATCH($B457,元データ_14項目!$D$1:$Q$1,0)),元データ_14項目!$A$2:$A$1300,$A457,元データ_14項目!$B$2:$B$1300,"本年",元データ_14項目!$C$2:$C$1300,N$5)</f>
        <v>104</v>
      </c>
      <c r="O457" s="26">
        <f t="shared" si="14"/>
        <v>1714</v>
      </c>
      <c r="P457" s="26">
        <f>SUMIFS(INDEX(元データ_14項目!$D$2:$Q$1300,0,MATCH($B457,元データ_14項目!$D$1:$Q$1,0)),元データ_14項目!$A$2:$A$1300,$A457,元データ_14項目!$B$2:$B$1300,"前年")</f>
        <v>1950</v>
      </c>
      <c r="Q457" s="7">
        <f t="shared" si="15"/>
        <v>0.87897435897435894</v>
      </c>
    </row>
    <row r="458" spans="1:17" x14ac:dyDescent="0.45">
      <c r="A458" t="s">
        <v>67</v>
      </c>
      <c r="B458" t="s">
        <v>91</v>
      </c>
      <c r="C458" s="26">
        <f>SUMIFS(INDEX(元データ_14項目!$D$2:$Q$1300,0,MATCH($B458,元データ_14項目!$D$1:$Q$1,0)),元データ_14項目!$A$2:$A$1300,$A458,元データ_14項目!$B$2:$B$1300,"本年",元データ_14項目!$C$2:$C$1300,C$5)</f>
        <v>39</v>
      </c>
      <c r="D458" s="26">
        <f>SUMIFS(INDEX(元データ_14項目!$D$2:$Q$1300,0,MATCH($B458,元データ_14項目!$D$1:$Q$1,0)),元データ_14項目!$A$2:$A$1300,$A458,元データ_14項目!$B$2:$B$1300,"本年",元データ_14項目!$C$2:$C$1300,D$5)</f>
        <v>53</v>
      </c>
      <c r="E458" s="26">
        <f>SUMIFS(INDEX(元データ_14項目!$D$2:$Q$1300,0,MATCH($B458,元データ_14項目!$D$1:$Q$1,0)),元データ_14項目!$A$2:$A$1300,$A458,元データ_14項目!$B$2:$B$1300,"本年",元データ_14項目!$C$2:$C$1300,E$5)</f>
        <v>145</v>
      </c>
      <c r="F458" s="26">
        <f>SUMIFS(INDEX(元データ_14項目!$D$2:$Q$1300,0,MATCH($B458,元データ_14項目!$D$1:$Q$1,0)),元データ_14項目!$A$2:$A$1300,$A458,元データ_14項目!$B$2:$B$1300,"本年",元データ_14項目!$C$2:$C$1300,F$5)</f>
        <v>69</v>
      </c>
      <c r="G458" s="26">
        <f>SUMIFS(INDEX(元データ_14項目!$D$2:$Q$1300,0,MATCH($B458,元データ_14項目!$D$1:$Q$1,0)),元データ_14項目!$A$2:$A$1300,$A458,元データ_14項目!$B$2:$B$1300,"本年",元データ_14項目!$C$2:$C$1300,G$5)</f>
        <v>38</v>
      </c>
      <c r="H458" s="26">
        <f>SUMIFS(INDEX(元データ_14項目!$D$2:$Q$1300,0,MATCH($B458,元データ_14項目!$D$1:$Q$1,0)),元データ_14項目!$A$2:$A$1300,$A458,元データ_14項目!$B$2:$B$1300,"本年",元データ_14項目!$C$2:$C$1300,H$5)</f>
        <v>21</v>
      </c>
      <c r="I458" s="26">
        <f>SUMIFS(INDEX(元データ_14項目!$D$2:$Q$1300,0,MATCH($B458,元データ_14項目!$D$1:$Q$1,0)),元データ_14項目!$A$2:$A$1300,$A458,元データ_14項目!$B$2:$B$1300,"本年",元データ_14項目!$C$2:$C$1300,I$5)</f>
        <v>57</v>
      </c>
      <c r="J458" s="26">
        <f>SUMIFS(INDEX(元データ_14項目!$D$2:$Q$1300,0,MATCH($B458,元データ_14項目!$D$1:$Q$1,0)),元データ_14項目!$A$2:$A$1300,$A458,元データ_14項目!$B$2:$B$1300,"本年",元データ_14項目!$C$2:$C$1300,J$5)</f>
        <v>25</v>
      </c>
      <c r="K458" s="26">
        <f>SUMIFS(INDEX(元データ_14項目!$D$2:$Q$1300,0,MATCH($B458,元データ_14項目!$D$1:$Q$1,0)),元データ_14項目!$A$2:$A$1300,$A458,元データ_14項目!$B$2:$B$1300,"本年",元データ_14項目!$C$2:$C$1300,K$5)</f>
        <v>37</v>
      </c>
      <c r="L458" s="26">
        <f>SUMIFS(INDEX(元データ_14項目!$D$2:$Q$1300,0,MATCH($B458,元データ_14項目!$D$1:$Q$1,0)),元データ_14項目!$A$2:$A$1300,$A458,元データ_14項目!$B$2:$B$1300,"本年",元データ_14項目!$C$2:$C$1300,L$5)</f>
        <v>66</v>
      </c>
      <c r="M458" s="26">
        <f>SUMIFS(INDEX(元データ_14項目!$D$2:$Q$1300,0,MATCH($B458,元データ_14項目!$D$1:$Q$1,0)),元データ_14項目!$A$2:$A$1300,$A458,元データ_14項目!$B$2:$B$1300,"本年",元データ_14項目!$C$2:$C$1300,M$5)</f>
        <v>48</v>
      </c>
      <c r="N458" s="26">
        <f>SUMIFS(INDEX(元データ_14項目!$D$2:$Q$1300,0,MATCH($B458,元データ_14項目!$D$1:$Q$1,0)),元データ_14項目!$A$2:$A$1300,$A458,元データ_14項目!$B$2:$B$1300,"本年",元データ_14項目!$C$2:$C$1300,N$5)</f>
        <v>41</v>
      </c>
      <c r="O458" s="26">
        <f t="shared" si="14"/>
        <v>639</v>
      </c>
      <c r="P458" s="26">
        <f>SUMIFS(INDEX(元データ_14項目!$D$2:$Q$1300,0,MATCH($B458,元データ_14項目!$D$1:$Q$1,0)),元データ_14項目!$A$2:$A$1300,$A458,元データ_14項目!$B$2:$B$1300,"前年")</f>
        <v>630</v>
      </c>
      <c r="Q458" s="7">
        <f t="shared" si="15"/>
        <v>1.0142857142857142</v>
      </c>
    </row>
    <row r="459" spans="1:17" x14ac:dyDescent="0.45">
      <c r="A459" t="s">
        <v>67</v>
      </c>
      <c r="B459" t="s">
        <v>28</v>
      </c>
      <c r="C459" s="26">
        <f>SUMIFS(INDEX(元データ_14項目!$D$2:$Q$1300,0,MATCH($B459,元データ_14項目!$D$1:$Q$1,0)),元データ_14項目!$A$2:$A$1300,$A459,元データ_14項目!$B$2:$B$1300,"本年",元データ_14項目!$C$2:$C$1300,C$5)</f>
        <v>347</v>
      </c>
      <c r="D459" s="26">
        <f>SUMIFS(INDEX(元データ_14項目!$D$2:$Q$1300,0,MATCH($B459,元データ_14項目!$D$1:$Q$1,0)),元データ_14項目!$A$2:$A$1300,$A459,元データ_14項目!$B$2:$B$1300,"本年",元データ_14項目!$C$2:$C$1300,D$5)</f>
        <v>360</v>
      </c>
      <c r="E459" s="26">
        <f>SUMIFS(INDEX(元データ_14項目!$D$2:$Q$1300,0,MATCH($B459,元データ_14項目!$D$1:$Q$1,0)),元データ_14項目!$A$2:$A$1300,$A459,元データ_14項目!$B$2:$B$1300,"本年",元データ_14項目!$C$2:$C$1300,E$5)</f>
        <v>467</v>
      </c>
      <c r="F459" s="26">
        <f>SUMIFS(INDEX(元データ_14項目!$D$2:$Q$1300,0,MATCH($B459,元データ_14項目!$D$1:$Q$1,0)),元データ_14項目!$A$2:$A$1300,$A459,元データ_14項目!$B$2:$B$1300,"本年",元データ_14項目!$C$2:$C$1300,F$5)</f>
        <v>352</v>
      </c>
      <c r="G459" s="26">
        <f>SUMIFS(INDEX(元データ_14項目!$D$2:$Q$1300,0,MATCH($B459,元データ_14項目!$D$1:$Q$1,0)),元データ_14項目!$A$2:$A$1300,$A459,元データ_14項目!$B$2:$B$1300,"本年",元データ_14項目!$C$2:$C$1300,G$5)</f>
        <v>274</v>
      </c>
      <c r="H459" s="26">
        <f>SUMIFS(INDEX(元データ_14項目!$D$2:$Q$1300,0,MATCH($B459,元データ_14項目!$D$1:$Q$1,0)),元データ_14項目!$A$2:$A$1300,$A459,元データ_14項目!$B$2:$B$1300,"本年",元データ_14項目!$C$2:$C$1300,H$5)</f>
        <v>192</v>
      </c>
      <c r="I459" s="26">
        <f>SUMIFS(INDEX(元データ_14項目!$D$2:$Q$1300,0,MATCH($B459,元データ_14項目!$D$1:$Q$1,0)),元データ_14項目!$A$2:$A$1300,$A459,元データ_14項目!$B$2:$B$1300,"本年",元データ_14項目!$C$2:$C$1300,I$5)</f>
        <v>228</v>
      </c>
      <c r="J459" s="26">
        <f>SUMIFS(INDEX(元データ_14項目!$D$2:$Q$1300,0,MATCH($B459,元データ_14項目!$D$1:$Q$1,0)),元データ_14項目!$A$2:$A$1300,$A459,元データ_14項目!$B$2:$B$1300,"本年",元データ_14項目!$C$2:$C$1300,J$5)</f>
        <v>214</v>
      </c>
      <c r="K459" s="26">
        <f>SUMIFS(INDEX(元データ_14項目!$D$2:$Q$1300,0,MATCH($B459,元データ_14項目!$D$1:$Q$1,0)),元データ_14項目!$A$2:$A$1300,$A459,元データ_14項目!$B$2:$B$1300,"本年",元データ_14項目!$C$2:$C$1300,K$5)</f>
        <v>339</v>
      </c>
      <c r="L459" s="26">
        <f>SUMIFS(INDEX(元データ_14項目!$D$2:$Q$1300,0,MATCH($B459,元データ_14項目!$D$1:$Q$1,0)),元データ_14項目!$A$2:$A$1300,$A459,元データ_14項目!$B$2:$B$1300,"本年",元データ_14項目!$C$2:$C$1300,L$5)</f>
        <v>295</v>
      </c>
      <c r="M459" s="26">
        <f>SUMIFS(INDEX(元データ_14項目!$D$2:$Q$1300,0,MATCH($B459,元データ_14項目!$D$1:$Q$1,0)),元データ_14項目!$A$2:$A$1300,$A459,元データ_14項目!$B$2:$B$1300,"本年",元データ_14項目!$C$2:$C$1300,M$5)</f>
        <v>318</v>
      </c>
      <c r="N459" s="26">
        <f>SUMIFS(INDEX(元データ_14項目!$D$2:$Q$1300,0,MATCH($B459,元データ_14項目!$D$1:$Q$1,0)),元データ_14項目!$A$2:$A$1300,$A459,元データ_14項目!$B$2:$B$1300,"本年",元データ_14項目!$C$2:$C$1300,N$5)</f>
        <v>304</v>
      </c>
      <c r="O459" s="26">
        <f t="shared" si="14"/>
        <v>3690</v>
      </c>
      <c r="P459" s="26">
        <f>SUMIFS(INDEX(元データ_14項目!$D$2:$Q$1300,0,MATCH($B459,元データ_14項目!$D$1:$Q$1,0)),元データ_14項目!$A$2:$A$1300,$A459,元データ_14項目!$B$2:$B$1300,"前年")</f>
        <v>3814</v>
      </c>
      <c r="Q459" s="7">
        <f t="shared" si="15"/>
        <v>0.96748820136339797</v>
      </c>
    </row>
    <row r="460" spans="1:17" x14ac:dyDescent="0.45">
      <c r="A460" t="s">
        <v>67</v>
      </c>
      <c r="B460" t="s">
        <v>92</v>
      </c>
      <c r="C460" s="26">
        <f>SUMIFS(INDEX(元データ_14項目!$D$2:$Q$1300,0,MATCH($B460,元データ_14項目!$D$1:$Q$1,0)),元データ_14項目!$A$2:$A$1300,$A460,元データ_14項目!$B$2:$B$1300,"本年",元データ_14項目!$C$2:$C$1300,C$5)</f>
        <v>32</v>
      </c>
      <c r="D460" s="26">
        <f>SUMIFS(INDEX(元データ_14項目!$D$2:$Q$1300,0,MATCH($B460,元データ_14項目!$D$1:$Q$1,0)),元データ_14項目!$A$2:$A$1300,$A460,元データ_14項目!$B$2:$B$1300,"本年",元データ_14項目!$C$2:$C$1300,D$5)</f>
        <v>50</v>
      </c>
      <c r="E460" s="26">
        <f>SUMIFS(INDEX(元データ_14項目!$D$2:$Q$1300,0,MATCH($B460,元データ_14項目!$D$1:$Q$1,0)),元データ_14項目!$A$2:$A$1300,$A460,元データ_14項目!$B$2:$B$1300,"本年",元データ_14項目!$C$2:$C$1300,E$5)</f>
        <v>66</v>
      </c>
      <c r="F460" s="26">
        <f>SUMIFS(INDEX(元データ_14項目!$D$2:$Q$1300,0,MATCH($B460,元データ_14項目!$D$1:$Q$1,0)),元データ_14項目!$A$2:$A$1300,$A460,元データ_14項目!$B$2:$B$1300,"本年",元データ_14項目!$C$2:$C$1300,F$5)</f>
        <v>65</v>
      </c>
      <c r="G460" s="26">
        <f>SUMIFS(INDEX(元データ_14項目!$D$2:$Q$1300,0,MATCH($B460,元データ_14項目!$D$1:$Q$1,0)),元データ_14項目!$A$2:$A$1300,$A460,元データ_14項目!$B$2:$B$1300,"本年",元データ_14項目!$C$2:$C$1300,G$5)</f>
        <v>54</v>
      </c>
      <c r="H460" s="26">
        <f>SUMIFS(INDEX(元データ_14項目!$D$2:$Q$1300,0,MATCH($B460,元データ_14項目!$D$1:$Q$1,0)),元データ_14項目!$A$2:$A$1300,$A460,元データ_14項目!$B$2:$B$1300,"本年",元データ_14項目!$C$2:$C$1300,H$5)</f>
        <v>23</v>
      </c>
      <c r="I460" s="26">
        <f>SUMIFS(INDEX(元データ_14項目!$D$2:$Q$1300,0,MATCH($B460,元データ_14項目!$D$1:$Q$1,0)),元データ_14項目!$A$2:$A$1300,$A460,元データ_14項目!$B$2:$B$1300,"本年",元データ_14項目!$C$2:$C$1300,I$5)</f>
        <v>29</v>
      </c>
      <c r="J460" s="26">
        <f>SUMIFS(INDEX(元データ_14項目!$D$2:$Q$1300,0,MATCH($B460,元データ_14項目!$D$1:$Q$1,0)),元データ_14項目!$A$2:$A$1300,$A460,元データ_14項目!$B$2:$B$1300,"本年",元データ_14項目!$C$2:$C$1300,J$5)</f>
        <v>53</v>
      </c>
      <c r="K460" s="26">
        <f>SUMIFS(INDEX(元データ_14項目!$D$2:$Q$1300,0,MATCH($B460,元データ_14項目!$D$1:$Q$1,0)),元データ_14項目!$A$2:$A$1300,$A460,元データ_14項目!$B$2:$B$1300,"本年",元データ_14項目!$C$2:$C$1300,K$5)</f>
        <v>118</v>
      </c>
      <c r="L460" s="26">
        <f>SUMIFS(INDEX(元データ_14項目!$D$2:$Q$1300,0,MATCH($B460,元データ_14項目!$D$1:$Q$1,0)),元データ_14項目!$A$2:$A$1300,$A460,元データ_14項目!$B$2:$B$1300,"本年",元データ_14項目!$C$2:$C$1300,L$5)</f>
        <v>58</v>
      </c>
      <c r="M460" s="26">
        <f>SUMIFS(INDEX(元データ_14項目!$D$2:$Q$1300,0,MATCH($B460,元データ_14項目!$D$1:$Q$1,0)),元データ_14項目!$A$2:$A$1300,$A460,元データ_14項目!$B$2:$B$1300,"本年",元データ_14項目!$C$2:$C$1300,M$5)</f>
        <v>60</v>
      </c>
      <c r="N460" s="26">
        <f>SUMIFS(INDEX(元データ_14項目!$D$2:$Q$1300,0,MATCH($B460,元データ_14項目!$D$1:$Q$1,0)),元データ_14項目!$A$2:$A$1300,$A460,元データ_14項目!$B$2:$B$1300,"本年",元データ_14項目!$C$2:$C$1300,N$5)</f>
        <v>37</v>
      </c>
      <c r="O460" s="26">
        <f t="shared" si="14"/>
        <v>645</v>
      </c>
      <c r="P460" s="26">
        <f>SUMIFS(INDEX(元データ_14項目!$D$2:$Q$1300,0,MATCH($B460,元データ_14項目!$D$1:$Q$1,0)),元データ_14項目!$A$2:$A$1300,$A460,元データ_14項目!$B$2:$B$1300,"前年")</f>
        <v>680</v>
      </c>
      <c r="Q460" s="7">
        <f t="shared" si="15"/>
        <v>0.94852941176470584</v>
      </c>
    </row>
    <row r="461" spans="1:17" x14ac:dyDescent="0.45">
      <c r="A461" t="s">
        <v>67</v>
      </c>
      <c r="B461" t="s">
        <v>93</v>
      </c>
      <c r="C461" s="26">
        <f>SUMIFS(INDEX(元データ_14項目!$D$2:$Q$1300,0,MATCH($B461,元データ_14項目!$D$1:$Q$1,0)),元データ_14項目!$A$2:$A$1300,$A461,元データ_14項目!$B$2:$B$1300,"本年",元データ_14項目!$C$2:$C$1300,C$5)</f>
        <v>10</v>
      </c>
      <c r="D461" s="26">
        <f>SUMIFS(INDEX(元データ_14項目!$D$2:$Q$1300,0,MATCH($B461,元データ_14項目!$D$1:$Q$1,0)),元データ_14項目!$A$2:$A$1300,$A461,元データ_14項目!$B$2:$B$1300,"本年",元データ_14項目!$C$2:$C$1300,D$5)</f>
        <v>15</v>
      </c>
      <c r="E461" s="26">
        <f>SUMIFS(INDEX(元データ_14項目!$D$2:$Q$1300,0,MATCH($B461,元データ_14項目!$D$1:$Q$1,0)),元データ_14項目!$A$2:$A$1300,$A461,元データ_14項目!$B$2:$B$1300,"本年",元データ_14項目!$C$2:$C$1300,E$5)</f>
        <v>58</v>
      </c>
      <c r="F461" s="26">
        <f>SUMIFS(INDEX(元データ_14項目!$D$2:$Q$1300,0,MATCH($B461,元データ_14項目!$D$1:$Q$1,0)),元データ_14項目!$A$2:$A$1300,$A461,元データ_14項目!$B$2:$B$1300,"本年",元データ_14項目!$C$2:$C$1300,F$5)</f>
        <v>82</v>
      </c>
      <c r="G461" s="26">
        <f>SUMIFS(INDEX(元データ_14項目!$D$2:$Q$1300,0,MATCH($B461,元データ_14項目!$D$1:$Q$1,0)),元データ_14項目!$A$2:$A$1300,$A461,元データ_14項目!$B$2:$B$1300,"本年",元データ_14項目!$C$2:$C$1300,G$5)</f>
        <v>95</v>
      </c>
      <c r="H461" s="26">
        <f>SUMIFS(INDEX(元データ_14項目!$D$2:$Q$1300,0,MATCH($B461,元データ_14項目!$D$1:$Q$1,0)),元データ_14項目!$A$2:$A$1300,$A461,元データ_14項目!$B$2:$B$1300,"本年",元データ_14項目!$C$2:$C$1300,H$5)</f>
        <v>88</v>
      </c>
      <c r="I461" s="26">
        <f>SUMIFS(INDEX(元データ_14項目!$D$2:$Q$1300,0,MATCH($B461,元データ_14項目!$D$1:$Q$1,0)),元データ_14項目!$A$2:$A$1300,$A461,元データ_14項目!$B$2:$B$1300,"本年",元データ_14項目!$C$2:$C$1300,I$5)</f>
        <v>75</v>
      </c>
      <c r="J461" s="26">
        <f>SUMIFS(INDEX(元データ_14項目!$D$2:$Q$1300,0,MATCH($B461,元データ_14項目!$D$1:$Q$1,0)),元データ_14項目!$A$2:$A$1300,$A461,元データ_14項目!$B$2:$B$1300,"本年",元データ_14項目!$C$2:$C$1300,J$5)</f>
        <v>109</v>
      </c>
      <c r="K461" s="26">
        <f>SUMIFS(INDEX(元データ_14項目!$D$2:$Q$1300,0,MATCH($B461,元データ_14項目!$D$1:$Q$1,0)),元データ_14項目!$A$2:$A$1300,$A461,元データ_14項目!$B$2:$B$1300,"本年",元データ_14項目!$C$2:$C$1300,K$5)</f>
        <v>371</v>
      </c>
      <c r="L461" s="26">
        <f>SUMIFS(INDEX(元データ_14項目!$D$2:$Q$1300,0,MATCH($B461,元データ_14項目!$D$1:$Q$1,0)),元データ_14項目!$A$2:$A$1300,$A461,元データ_14項目!$B$2:$B$1300,"本年",元データ_14項目!$C$2:$C$1300,L$5)</f>
        <v>168</v>
      </c>
      <c r="M461" s="26">
        <f>SUMIFS(INDEX(元データ_14項目!$D$2:$Q$1300,0,MATCH($B461,元データ_14項目!$D$1:$Q$1,0)),元データ_14項目!$A$2:$A$1300,$A461,元データ_14項目!$B$2:$B$1300,"本年",元データ_14項目!$C$2:$C$1300,M$5)</f>
        <v>105</v>
      </c>
      <c r="N461" s="26">
        <f>SUMIFS(INDEX(元データ_14項目!$D$2:$Q$1300,0,MATCH($B461,元データ_14項目!$D$1:$Q$1,0)),元データ_14項目!$A$2:$A$1300,$A461,元データ_14項目!$B$2:$B$1300,"本年",元データ_14項目!$C$2:$C$1300,N$5)</f>
        <v>40</v>
      </c>
      <c r="O461" s="26">
        <f t="shared" si="14"/>
        <v>1216</v>
      </c>
      <c r="P461" s="26">
        <f>SUMIFS(INDEX(元データ_14項目!$D$2:$Q$1300,0,MATCH($B461,元データ_14項目!$D$1:$Q$1,0)),元データ_14項目!$A$2:$A$1300,$A461,元データ_14項目!$B$2:$B$1300,"前年")</f>
        <v>1401</v>
      </c>
      <c r="Q461" s="7">
        <f t="shared" si="15"/>
        <v>0.86795146324054251</v>
      </c>
    </row>
    <row r="462" spans="1:17" x14ac:dyDescent="0.45">
      <c r="A462" t="s">
        <v>67</v>
      </c>
      <c r="B462" t="s">
        <v>94</v>
      </c>
      <c r="C462" s="26">
        <f>SUMIFS(INDEX(元データ_14項目!$D$2:$Q$1300,0,MATCH($B462,元データ_14項目!$D$1:$Q$1,0)),元データ_14項目!$A$2:$A$1300,$A462,元データ_14項目!$B$2:$B$1300,"本年",元データ_14項目!$C$2:$C$1300,C$5)</f>
        <v>13</v>
      </c>
      <c r="D462" s="26">
        <f>SUMIFS(INDEX(元データ_14項目!$D$2:$Q$1300,0,MATCH($B462,元データ_14項目!$D$1:$Q$1,0)),元データ_14項目!$A$2:$A$1300,$A462,元データ_14項目!$B$2:$B$1300,"本年",元データ_14項目!$C$2:$C$1300,D$5)</f>
        <v>18</v>
      </c>
      <c r="E462" s="26">
        <f>SUMIFS(INDEX(元データ_14項目!$D$2:$Q$1300,0,MATCH($B462,元データ_14項目!$D$1:$Q$1,0)),元データ_14項目!$A$2:$A$1300,$A462,元データ_14項目!$B$2:$B$1300,"本年",元データ_14項目!$C$2:$C$1300,E$5)</f>
        <v>40</v>
      </c>
      <c r="F462" s="26">
        <f>SUMIFS(INDEX(元データ_14項目!$D$2:$Q$1300,0,MATCH($B462,元データ_14項目!$D$1:$Q$1,0)),元データ_14項目!$A$2:$A$1300,$A462,元データ_14項目!$B$2:$B$1300,"本年",元データ_14項目!$C$2:$C$1300,F$5)</f>
        <v>23</v>
      </c>
      <c r="G462" s="26">
        <f>SUMIFS(INDEX(元データ_14項目!$D$2:$Q$1300,0,MATCH($B462,元データ_14項目!$D$1:$Q$1,0)),元データ_14項目!$A$2:$A$1300,$A462,元データ_14項目!$B$2:$B$1300,"本年",元データ_14項目!$C$2:$C$1300,G$5)</f>
        <v>43</v>
      </c>
      <c r="H462" s="26">
        <f>SUMIFS(INDEX(元データ_14項目!$D$2:$Q$1300,0,MATCH($B462,元データ_14項目!$D$1:$Q$1,0)),元データ_14項目!$A$2:$A$1300,$A462,元データ_14項目!$B$2:$B$1300,"本年",元データ_14項目!$C$2:$C$1300,H$5)</f>
        <v>24</v>
      </c>
      <c r="I462" s="26">
        <f>SUMIFS(INDEX(元データ_14項目!$D$2:$Q$1300,0,MATCH($B462,元データ_14項目!$D$1:$Q$1,0)),元データ_14項目!$A$2:$A$1300,$A462,元データ_14項目!$B$2:$B$1300,"本年",元データ_14項目!$C$2:$C$1300,I$5)</f>
        <v>33</v>
      </c>
      <c r="J462" s="26">
        <f>SUMIFS(INDEX(元データ_14項目!$D$2:$Q$1300,0,MATCH($B462,元データ_14項目!$D$1:$Q$1,0)),元データ_14項目!$A$2:$A$1300,$A462,元データ_14項目!$B$2:$B$1300,"本年",元データ_14項目!$C$2:$C$1300,J$5)</f>
        <v>35</v>
      </c>
      <c r="K462" s="26">
        <f>SUMIFS(INDEX(元データ_14項目!$D$2:$Q$1300,0,MATCH($B462,元データ_14項目!$D$1:$Q$1,0)),元データ_14項目!$A$2:$A$1300,$A462,元データ_14項目!$B$2:$B$1300,"本年",元データ_14項目!$C$2:$C$1300,K$5)</f>
        <v>143</v>
      </c>
      <c r="L462" s="26">
        <f>SUMIFS(INDEX(元データ_14項目!$D$2:$Q$1300,0,MATCH($B462,元データ_14項目!$D$1:$Q$1,0)),元データ_14項目!$A$2:$A$1300,$A462,元データ_14項目!$B$2:$B$1300,"本年",元データ_14項目!$C$2:$C$1300,L$5)</f>
        <v>72</v>
      </c>
      <c r="M462" s="26">
        <f>SUMIFS(INDEX(元データ_14項目!$D$2:$Q$1300,0,MATCH($B462,元データ_14項目!$D$1:$Q$1,0)),元データ_14項目!$A$2:$A$1300,$A462,元データ_14項目!$B$2:$B$1300,"本年",元データ_14項目!$C$2:$C$1300,M$5)</f>
        <v>61</v>
      </c>
      <c r="N462" s="26">
        <f>SUMIFS(INDEX(元データ_14項目!$D$2:$Q$1300,0,MATCH($B462,元データ_14項目!$D$1:$Q$1,0)),元データ_14項目!$A$2:$A$1300,$A462,元データ_14項目!$B$2:$B$1300,"本年",元データ_14項目!$C$2:$C$1300,N$5)</f>
        <v>27</v>
      </c>
      <c r="O462" s="26">
        <f t="shared" si="14"/>
        <v>532</v>
      </c>
      <c r="P462" s="26">
        <f>SUMIFS(INDEX(元データ_14項目!$D$2:$Q$1300,0,MATCH($B462,元データ_14項目!$D$1:$Q$1,0)),元データ_14項目!$A$2:$A$1300,$A462,元データ_14項目!$B$2:$B$1300,"前年")</f>
        <v>650</v>
      </c>
      <c r="Q462" s="7">
        <f t="shared" si="15"/>
        <v>0.81846153846153846</v>
      </c>
    </row>
    <row r="463" spans="1:17" x14ac:dyDescent="0.45">
      <c r="A463" t="s">
        <v>67</v>
      </c>
      <c r="B463" t="s">
        <v>95</v>
      </c>
      <c r="C463" s="26">
        <f>SUMIFS(INDEX(元データ_14項目!$D$2:$Q$1300,0,MATCH($B463,元データ_14項目!$D$1:$Q$1,0)),元データ_14項目!$A$2:$A$1300,$A463,元データ_14項目!$B$2:$B$1300,"本年",元データ_14項目!$C$2:$C$1300,C$5)</f>
        <v>28</v>
      </c>
      <c r="D463" s="26">
        <f>SUMIFS(INDEX(元データ_14項目!$D$2:$Q$1300,0,MATCH($B463,元データ_14項目!$D$1:$Q$1,0)),元データ_14項目!$A$2:$A$1300,$A463,元データ_14項目!$B$2:$B$1300,"本年",元データ_14項目!$C$2:$C$1300,D$5)</f>
        <v>48</v>
      </c>
      <c r="E463" s="26">
        <f>SUMIFS(INDEX(元データ_14項目!$D$2:$Q$1300,0,MATCH($B463,元データ_14項目!$D$1:$Q$1,0)),元データ_14項目!$A$2:$A$1300,$A463,元データ_14項目!$B$2:$B$1300,"本年",元データ_14項目!$C$2:$C$1300,E$5)</f>
        <v>55</v>
      </c>
      <c r="F463" s="26">
        <f>SUMIFS(INDEX(元データ_14項目!$D$2:$Q$1300,0,MATCH($B463,元データ_14項目!$D$1:$Q$1,0)),元データ_14項目!$A$2:$A$1300,$A463,元データ_14項目!$B$2:$B$1300,"本年",元データ_14項目!$C$2:$C$1300,F$5)</f>
        <v>58</v>
      </c>
      <c r="G463" s="26">
        <f>SUMIFS(INDEX(元データ_14項目!$D$2:$Q$1300,0,MATCH($B463,元データ_14項目!$D$1:$Q$1,0)),元データ_14項目!$A$2:$A$1300,$A463,元データ_14項目!$B$2:$B$1300,"本年",元データ_14項目!$C$2:$C$1300,G$5)</f>
        <v>40</v>
      </c>
      <c r="H463" s="26">
        <f>SUMIFS(INDEX(元データ_14項目!$D$2:$Q$1300,0,MATCH($B463,元データ_14項目!$D$1:$Q$1,0)),元データ_14項目!$A$2:$A$1300,$A463,元データ_14項目!$B$2:$B$1300,"本年",元データ_14項目!$C$2:$C$1300,H$5)</f>
        <v>21</v>
      </c>
      <c r="I463" s="26">
        <f>SUMIFS(INDEX(元データ_14項目!$D$2:$Q$1300,0,MATCH($B463,元データ_14項目!$D$1:$Q$1,0)),元データ_14項目!$A$2:$A$1300,$A463,元データ_14項目!$B$2:$B$1300,"本年",元データ_14項目!$C$2:$C$1300,I$5)</f>
        <v>26</v>
      </c>
      <c r="J463" s="26">
        <f>SUMIFS(INDEX(元データ_14項目!$D$2:$Q$1300,0,MATCH($B463,元データ_14項目!$D$1:$Q$1,0)),元データ_14項目!$A$2:$A$1300,$A463,元データ_14項目!$B$2:$B$1300,"本年",元データ_14項目!$C$2:$C$1300,J$5)</f>
        <v>40</v>
      </c>
      <c r="K463" s="26">
        <f>SUMIFS(INDEX(元データ_14項目!$D$2:$Q$1300,0,MATCH($B463,元データ_14項目!$D$1:$Q$1,0)),元データ_14項目!$A$2:$A$1300,$A463,元データ_14項目!$B$2:$B$1300,"本年",元データ_14項目!$C$2:$C$1300,K$5)</f>
        <v>76</v>
      </c>
      <c r="L463" s="26">
        <f>SUMIFS(INDEX(元データ_14項目!$D$2:$Q$1300,0,MATCH($B463,元データ_14項目!$D$1:$Q$1,0)),元データ_14項目!$A$2:$A$1300,$A463,元データ_14項目!$B$2:$B$1300,"本年",元データ_14項目!$C$2:$C$1300,L$5)</f>
        <v>45</v>
      </c>
      <c r="M463" s="26">
        <f>SUMIFS(INDEX(元データ_14項目!$D$2:$Q$1300,0,MATCH($B463,元データ_14項目!$D$1:$Q$1,0)),元データ_14項目!$A$2:$A$1300,$A463,元データ_14項目!$B$2:$B$1300,"本年",元データ_14項目!$C$2:$C$1300,M$5)</f>
        <v>51</v>
      </c>
      <c r="N463" s="26">
        <f>SUMIFS(INDEX(元データ_14項目!$D$2:$Q$1300,0,MATCH($B463,元データ_14項目!$D$1:$Q$1,0)),元データ_14項目!$A$2:$A$1300,$A463,元データ_14項目!$B$2:$B$1300,"本年",元データ_14項目!$C$2:$C$1300,N$5)</f>
        <v>46</v>
      </c>
      <c r="O463" s="26">
        <f t="shared" si="14"/>
        <v>534</v>
      </c>
      <c r="P463" s="26">
        <f>SUMIFS(INDEX(元データ_14項目!$D$2:$Q$1300,0,MATCH($B463,元データ_14項目!$D$1:$Q$1,0)),元データ_14項目!$A$2:$A$1300,$A463,元データ_14項目!$B$2:$B$1300,"前年")</f>
        <v>609</v>
      </c>
      <c r="Q463" s="7">
        <f t="shared" si="15"/>
        <v>0.87684729064039413</v>
      </c>
    </row>
    <row r="464" spans="1:17" x14ac:dyDescent="0.45">
      <c r="A464" t="s">
        <v>67</v>
      </c>
      <c r="B464" t="s">
        <v>96</v>
      </c>
      <c r="C464" s="26">
        <f>SUMIFS(INDEX(元データ_14項目!$D$2:$Q$1300,0,MATCH($B464,元データ_14項目!$D$1:$Q$1,0)),元データ_14項目!$A$2:$A$1300,$A464,元データ_14項目!$B$2:$B$1300,"本年",元データ_14項目!$C$2:$C$1300,C$5)</f>
        <v>21</v>
      </c>
      <c r="D464" s="26">
        <f>SUMIFS(INDEX(元データ_14項目!$D$2:$Q$1300,0,MATCH($B464,元データ_14項目!$D$1:$Q$1,0)),元データ_14項目!$A$2:$A$1300,$A464,元データ_14項目!$B$2:$B$1300,"本年",元データ_14項目!$C$2:$C$1300,D$5)</f>
        <v>18</v>
      </c>
      <c r="E464" s="26">
        <f>SUMIFS(INDEX(元データ_14項目!$D$2:$Q$1300,0,MATCH($B464,元データ_14項目!$D$1:$Q$1,0)),元データ_14項目!$A$2:$A$1300,$A464,元データ_14項目!$B$2:$B$1300,"本年",元データ_14項目!$C$2:$C$1300,E$5)</f>
        <v>51</v>
      </c>
      <c r="F464" s="26">
        <f>SUMIFS(INDEX(元データ_14項目!$D$2:$Q$1300,0,MATCH($B464,元データ_14項目!$D$1:$Q$1,0)),元データ_14項目!$A$2:$A$1300,$A464,元データ_14項目!$B$2:$B$1300,"本年",元データ_14項目!$C$2:$C$1300,F$5)</f>
        <v>39</v>
      </c>
      <c r="G464" s="26">
        <f>SUMIFS(INDEX(元データ_14項目!$D$2:$Q$1300,0,MATCH($B464,元データ_14項目!$D$1:$Q$1,0)),元データ_14項目!$A$2:$A$1300,$A464,元データ_14項目!$B$2:$B$1300,"本年",元データ_14項目!$C$2:$C$1300,G$5)</f>
        <v>46</v>
      </c>
      <c r="H464" s="26">
        <f>SUMIFS(INDEX(元データ_14項目!$D$2:$Q$1300,0,MATCH($B464,元データ_14項目!$D$1:$Q$1,0)),元データ_14項目!$A$2:$A$1300,$A464,元データ_14項目!$B$2:$B$1300,"本年",元データ_14項目!$C$2:$C$1300,H$5)</f>
        <v>36</v>
      </c>
      <c r="I464" s="26">
        <f>SUMIFS(INDEX(元データ_14項目!$D$2:$Q$1300,0,MATCH($B464,元データ_14項目!$D$1:$Q$1,0)),元データ_14項目!$A$2:$A$1300,$A464,元データ_14項目!$B$2:$B$1300,"本年",元データ_14項目!$C$2:$C$1300,I$5)</f>
        <v>48</v>
      </c>
      <c r="J464" s="26">
        <f>SUMIFS(INDEX(元データ_14項目!$D$2:$Q$1300,0,MATCH($B464,元データ_14項目!$D$1:$Q$1,0)),元データ_14項目!$A$2:$A$1300,$A464,元データ_14項目!$B$2:$B$1300,"本年",元データ_14項目!$C$2:$C$1300,J$5)</f>
        <v>198</v>
      </c>
      <c r="K464" s="26">
        <f>SUMIFS(INDEX(元データ_14項目!$D$2:$Q$1300,0,MATCH($B464,元データ_14項目!$D$1:$Q$1,0)),元データ_14項目!$A$2:$A$1300,$A464,元データ_14項目!$B$2:$B$1300,"本年",元データ_14項目!$C$2:$C$1300,K$5)</f>
        <v>468</v>
      </c>
      <c r="L464" s="26">
        <f>SUMIFS(INDEX(元データ_14項目!$D$2:$Q$1300,0,MATCH($B464,元データ_14項目!$D$1:$Q$1,0)),元データ_14項目!$A$2:$A$1300,$A464,元データ_14項目!$B$2:$B$1300,"本年",元データ_14項目!$C$2:$C$1300,L$5)</f>
        <v>250</v>
      </c>
      <c r="M464" s="26">
        <f>SUMIFS(INDEX(元データ_14項目!$D$2:$Q$1300,0,MATCH($B464,元データ_14項目!$D$1:$Q$1,0)),元データ_14項目!$A$2:$A$1300,$A464,元データ_14項目!$B$2:$B$1300,"本年",元データ_14項目!$C$2:$C$1300,M$5)</f>
        <v>103</v>
      </c>
      <c r="N464" s="26">
        <f>SUMIFS(INDEX(元データ_14項目!$D$2:$Q$1300,0,MATCH($B464,元データ_14項目!$D$1:$Q$1,0)),元データ_14項目!$A$2:$A$1300,$A464,元データ_14項目!$B$2:$B$1300,"本年",元データ_14項目!$C$2:$C$1300,N$5)</f>
        <v>46</v>
      </c>
      <c r="O464" s="26">
        <f t="shared" si="14"/>
        <v>1324</v>
      </c>
      <c r="P464" s="26">
        <f>SUMIFS(INDEX(元データ_14項目!$D$2:$Q$1300,0,MATCH($B464,元データ_14項目!$D$1:$Q$1,0)),元データ_14項目!$A$2:$A$1300,$A464,元データ_14項目!$B$2:$B$1300,"前年")</f>
        <v>1551</v>
      </c>
      <c r="Q464" s="7">
        <f t="shared" si="15"/>
        <v>0.85364281108961959</v>
      </c>
    </row>
    <row r="465" spans="1:17" x14ac:dyDescent="0.45">
      <c r="A465" t="s">
        <v>67</v>
      </c>
      <c r="B465" t="s">
        <v>97</v>
      </c>
      <c r="C465" s="26">
        <f>SUMIFS(INDEX(元データ_14項目!$D$2:$Q$1300,0,MATCH($B465,元データ_14項目!$D$1:$Q$1,0)),元データ_14項目!$A$2:$A$1300,$A465,元データ_14項目!$B$2:$B$1300,"本年",元データ_14項目!$C$2:$C$1300,C$5)</f>
        <v>21</v>
      </c>
      <c r="D465" s="26">
        <f>SUMIFS(INDEX(元データ_14項目!$D$2:$Q$1300,0,MATCH($B465,元データ_14項目!$D$1:$Q$1,0)),元データ_14項目!$A$2:$A$1300,$A465,元データ_14項目!$B$2:$B$1300,"本年",元データ_14項目!$C$2:$C$1300,D$5)</f>
        <v>20</v>
      </c>
      <c r="E465" s="26">
        <f>SUMIFS(INDEX(元データ_14項目!$D$2:$Q$1300,0,MATCH($B465,元データ_14項目!$D$1:$Q$1,0)),元データ_14項目!$A$2:$A$1300,$A465,元データ_14項目!$B$2:$B$1300,"本年",元データ_14項目!$C$2:$C$1300,E$5)</f>
        <v>48</v>
      </c>
      <c r="F465" s="26">
        <f>SUMIFS(INDEX(元データ_14項目!$D$2:$Q$1300,0,MATCH($B465,元データ_14項目!$D$1:$Q$1,0)),元データ_14項目!$A$2:$A$1300,$A465,元データ_14項目!$B$2:$B$1300,"本年",元データ_14項目!$C$2:$C$1300,F$5)</f>
        <v>47</v>
      </c>
      <c r="G465" s="26">
        <f>SUMIFS(INDEX(元データ_14項目!$D$2:$Q$1300,0,MATCH($B465,元データ_14項目!$D$1:$Q$1,0)),元データ_14項目!$A$2:$A$1300,$A465,元データ_14項目!$B$2:$B$1300,"本年",元データ_14項目!$C$2:$C$1300,G$5)</f>
        <v>47</v>
      </c>
      <c r="H465" s="26">
        <f>SUMIFS(INDEX(元データ_14項目!$D$2:$Q$1300,0,MATCH($B465,元データ_14項目!$D$1:$Q$1,0)),元データ_14項目!$A$2:$A$1300,$A465,元データ_14項目!$B$2:$B$1300,"本年",元データ_14項目!$C$2:$C$1300,H$5)</f>
        <v>50</v>
      </c>
      <c r="I465" s="26">
        <f>SUMIFS(INDEX(元データ_14項目!$D$2:$Q$1300,0,MATCH($B465,元データ_14項目!$D$1:$Q$1,0)),元データ_14項目!$A$2:$A$1300,$A465,元データ_14項目!$B$2:$B$1300,"本年",元データ_14項目!$C$2:$C$1300,I$5)</f>
        <v>49</v>
      </c>
      <c r="J465" s="26">
        <f>SUMIFS(INDEX(元データ_14項目!$D$2:$Q$1300,0,MATCH($B465,元データ_14項目!$D$1:$Q$1,0)),元データ_14項目!$A$2:$A$1300,$A465,元データ_14項目!$B$2:$B$1300,"本年",元データ_14項目!$C$2:$C$1300,J$5)</f>
        <v>83</v>
      </c>
      <c r="K465" s="26">
        <f>SUMIFS(INDEX(元データ_14項目!$D$2:$Q$1300,0,MATCH($B465,元データ_14項目!$D$1:$Q$1,0)),元データ_14項目!$A$2:$A$1300,$A465,元データ_14項目!$B$2:$B$1300,"本年",元データ_14項目!$C$2:$C$1300,K$5)</f>
        <v>264</v>
      </c>
      <c r="L465" s="26">
        <f>SUMIFS(INDEX(元データ_14項目!$D$2:$Q$1300,0,MATCH($B465,元データ_14項目!$D$1:$Q$1,0)),元データ_14項目!$A$2:$A$1300,$A465,元データ_14項目!$B$2:$B$1300,"本年",元データ_14項目!$C$2:$C$1300,L$5)</f>
        <v>240</v>
      </c>
      <c r="M465" s="26">
        <f>SUMIFS(INDEX(元データ_14項目!$D$2:$Q$1300,0,MATCH($B465,元データ_14項目!$D$1:$Q$1,0)),元データ_14項目!$A$2:$A$1300,$A465,元データ_14項目!$B$2:$B$1300,"本年",元データ_14項目!$C$2:$C$1300,M$5)</f>
        <v>103</v>
      </c>
      <c r="N465" s="26">
        <f>SUMIFS(INDEX(元データ_14項目!$D$2:$Q$1300,0,MATCH($B465,元データ_14項目!$D$1:$Q$1,0)),元データ_14項目!$A$2:$A$1300,$A465,元データ_14項目!$B$2:$B$1300,"本年",元データ_14項目!$C$2:$C$1300,N$5)</f>
        <v>55</v>
      </c>
      <c r="O465" s="26">
        <f t="shared" si="14"/>
        <v>1027</v>
      </c>
      <c r="P465" s="26">
        <f>SUMIFS(INDEX(元データ_14項目!$D$2:$Q$1300,0,MATCH($B465,元データ_14項目!$D$1:$Q$1,0)),元データ_14項目!$A$2:$A$1300,$A465,元データ_14項目!$B$2:$B$1300,"前年")</f>
        <v>1086</v>
      </c>
      <c r="Q465" s="7">
        <f t="shared" si="15"/>
        <v>0.94567219152854509</v>
      </c>
    </row>
    <row r="466" spans="1:17" x14ac:dyDescent="0.45">
      <c r="A466" t="s">
        <v>67</v>
      </c>
      <c r="B466" t="s">
        <v>98</v>
      </c>
      <c r="C466" s="26">
        <f>SUMIFS(INDEX(元データ_14項目!$D$2:$Q$1300,0,MATCH($B466,元データ_14項目!$D$1:$Q$1,0)),元データ_14項目!$A$2:$A$1300,$A466,元データ_14項目!$B$2:$B$1300,"本年",元データ_14項目!$C$2:$C$1300,C$5)</f>
        <v>4</v>
      </c>
      <c r="D466" s="26">
        <f>SUMIFS(INDEX(元データ_14項目!$D$2:$Q$1300,0,MATCH($B466,元データ_14項目!$D$1:$Q$1,0)),元データ_14項目!$A$2:$A$1300,$A466,元データ_14項目!$B$2:$B$1300,"本年",元データ_14項目!$C$2:$C$1300,D$5)</f>
        <v>7</v>
      </c>
      <c r="E466" s="26">
        <f>SUMIFS(INDEX(元データ_14項目!$D$2:$Q$1300,0,MATCH($B466,元データ_14項目!$D$1:$Q$1,0)),元データ_14項目!$A$2:$A$1300,$A466,元データ_14項目!$B$2:$B$1300,"本年",元データ_14項目!$C$2:$C$1300,E$5)</f>
        <v>10</v>
      </c>
      <c r="F466" s="26">
        <f>SUMIFS(INDEX(元データ_14項目!$D$2:$Q$1300,0,MATCH($B466,元データ_14項目!$D$1:$Q$1,0)),元データ_14項目!$A$2:$A$1300,$A466,元データ_14項目!$B$2:$B$1300,"本年",元データ_14項目!$C$2:$C$1300,F$5)</f>
        <v>27</v>
      </c>
      <c r="G466" s="26">
        <f>SUMIFS(INDEX(元データ_14項目!$D$2:$Q$1300,0,MATCH($B466,元データ_14項目!$D$1:$Q$1,0)),元データ_14項目!$A$2:$A$1300,$A466,元データ_14項目!$B$2:$B$1300,"本年",元データ_14項目!$C$2:$C$1300,G$5)</f>
        <v>24</v>
      </c>
      <c r="H466" s="26">
        <f>SUMIFS(INDEX(元データ_14項目!$D$2:$Q$1300,0,MATCH($B466,元データ_14項目!$D$1:$Q$1,0)),元データ_14項目!$A$2:$A$1300,$A466,元データ_14項目!$B$2:$B$1300,"本年",元データ_14項目!$C$2:$C$1300,H$5)</f>
        <v>19</v>
      </c>
      <c r="I466" s="26">
        <f>SUMIFS(INDEX(元データ_14項目!$D$2:$Q$1300,0,MATCH($B466,元データ_14項目!$D$1:$Q$1,0)),元データ_14項目!$A$2:$A$1300,$A466,元データ_14項目!$B$2:$B$1300,"本年",元データ_14項目!$C$2:$C$1300,I$5)</f>
        <v>16</v>
      </c>
      <c r="J466" s="26">
        <f>SUMIFS(INDEX(元データ_14項目!$D$2:$Q$1300,0,MATCH($B466,元データ_14項目!$D$1:$Q$1,0)),元データ_14項目!$A$2:$A$1300,$A466,元データ_14項目!$B$2:$B$1300,"本年",元データ_14項目!$C$2:$C$1300,J$5)</f>
        <v>97</v>
      </c>
      <c r="K466" s="26">
        <f>SUMIFS(INDEX(元データ_14項目!$D$2:$Q$1300,0,MATCH($B466,元データ_14項目!$D$1:$Q$1,0)),元データ_14項目!$A$2:$A$1300,$A466,元データ_14項目!$B$2:$B$1300,"本年",元データ_14項目!$C$2:$C$1300,K$5)</f>
        <v>249</v>
      </c>
      <c r="L466" s="26">
        <f>SUMIFS(INDEX(元データ_14項目!$D$2:$Q$1300,0,MATCH($B466,元データ_14項目!$D$1:$Q$1,0)),元データ_14項目!$A$2:$A$1300,$A466,元データ_14項目!$B$2:$B$1300,"本年",元データ_14項目!$C$2:$C$1300,L$5)</f>
        <v>132</v>
      </c>
      <c r="M466" s="26">
        <f>SUMIFS(INDEX(元データ_14項目!$D$2:$Q$1300,0,MATCH($B466,元データ_14項目!$D$1:$Q$1,0)),元データ_14項目!$A$2:$A$1300,$A466,元データ_14項目!$B$2:$B$1300,"本年",元データ_14項目!$C$2:$C$1300,M$5)</f>
        <v>71</v>
      </c>
      <c r="N466" s="26">
        <f>SUMIFS(INDEX(元データ_14項目!$D$2:$Q$1300,0,MATCH($B466,元データ_14項目!$D$1:$Q$1,0)),元データ_14項目!$A$2:$A$1300,$A466,元データ_14項目!$B$2:$B$1300,"本年",元データ_14項目!$C$2:$C$1300,N$5)</f>
        <v>32</v>
      </c>
      <c r="O466" s="26">
        <f t="shared" si="14"/>
        <v>688</v>
      </c>
      <c r="P466" s="26">
        <f>SUMIFS(INDEX(元データ_14項目!$D$2:$Q$1300,0,MATCH($B466,元データ_14項目!$D$1:$Q$1,0)),元データ_14項目!$A$2:$A$1300,$A466,元データ_14項目!$B$2:$B$1300,"前年")</f>
        <v>819</v>
      </c>
      <c r="Q466" s="7">
        <f t="shared" si="15"/>
        <v>0.84004884004884006</v>
      </c>
    </row>
    <row r="467" spans="1:17" x14ac:dyDescent="0.45">
      <c r="A467" t="s">
        <v>67</v>
      </c>
      <c r="B467" t="s">
        <v>99</v>
      </c>
      <c r="C467" s="26">
        <f>SUMIFS(INDEX(元データ_14項目!$D$2:$Q$1300,0,MATCH($B467,元データ_14項目!$D$1:$Q$1,0)),元データ_14項目!$A$2:$A$1300,$A467,元データ_14項目!$B$2:$B$1300,"本年",元データ_14項目!$C$2:$C$1300,C$5)</f>
        <v>0</v>
      </c>
      <c r="D467" s="26">
        <f>SUMIFS(INDEX(元データ_14項目!$D$2:$Q$1300,0,MATCH($B467,元データ_14項目!$D$1:$Q$1,0)),元データ_14項目!$A$2:$A$1300,$A467,元データ_14項目!$B$2:$B$1300,"本年",元データ_14項目!$C$2:$C$1300,D$5)</f>
        <v>0</v>
      </c>
      <c r="E467" s="26">
        <f>SUMIFS(INDEX(元データ_14項目!$D$2:$Q$1300,0,MATCH($B467,元データ_14項目!$D$1:$Q$1,0)),元データ_14項目!$A$2:$A$1300,$A467,元データ_14項目!$B$2:$B$1300,"本年",元データ_14項目!$C$2:$C$1300,E$5)</f>
        <v>0</v>
      </c>
      <c r="F467" s="26">
        <f>SUMIFS(INDEX(元データ_14項目!$D$2:$Q$1300,0,MATCH($B467,元データ_14項目!$D$1:$Q$1,0)),元データ_14項目!$A$2:$A$1300,$A467,元データ_14項目!$B$2:$B$1300,"本年",元データ_14項目!$C$2:$C$1300,F$5)</f>
        <v>2</v>
      </c>
      <c r="G467" s="26">
        <f>SUMIFS(INDEX(元データ_14項目!$D$2:$Q$1300,0,MATCH($B467,元データ_14項目!$D$1:$Q$1,0)),元データ_14項目!$A$2:$A$1300,$A467,元データ_14項目!$B$2:$B$1300,"本年",元データ_14項目!$C$2:$C$1300,G$5)</f>
        <v>0</v>
      </c>
      <c r="H467" s="26">
        <f>SUMIFS(INDEX(元データ_14項目!$D$2:$Q$1300,0,MATCH($B467,元データ_14項目!$D$1:$Q$1,0)),元データ_14項目!$A$2:$A$1300,$A467,元データ_14項目!$B$2:$B$1300,"本年",元データ_14項目!$C$2:$C$1300,H$5)</f>
        <v>2</v>
      </c>
      <c r="I467" s="26">
        <f>SUMIFS(INDEX(元データ_14項目!$D$2:$Q$1300,0,MATCH($B467,元データ_14項目!$D$1:$Q$1,0)),元データ_14項目!$A$2:$A$1300,$A467,元データ_14項目!$B$2:$B$1300,"本年",元データ_14項目!$C$2:$C$1300,I$5)</f>
        <v>3</v>
      </c>
      <c r="J467" s="26">
        <f>SUMIFS(INDEX(元データ_14項目!$D$2:$Q$1300,0,MATCH($B467,元データ_14項目!$D$1:$Q$1,0)),元データ_14項目!$A$2:$A$1300,$A467,元データ_14項目!$B$2:$B$1300,"本年",元データ_14項目!$C$2:$C$1300,J$5)</f>
        <v>8</v>
      </c>
      <c r="K467" s="26">
        <f>SUMIFS(INDEX(元データ_14項目!$D$2:$Q$1300,0,MATCH($B467,元データ_14項目!$D$1:$Q$1,0)),元データ_14項目!$A$2:$A$1300,$A467,元データ_14項目!$B$2:$B$1300,"本年",元データ_14項目!$C$2:$C$1300,K$5)</f>
        <v>13</v>
      </c>
      <c r="L467" s="26">
        <f>SUMIFS(INDEX(元データ_14項目!$D$2:$Q$1300,0,MATCH($B467,元データ_14項目!$D$1:$Q$1,0)),元データ_14項目!$A$2:$A$1300,$A467,元データ_14項目!$B$2:$B$1300,"本年",元データ_14項目!$C$2:$C$1300,L$5)</f>
        <v>16</v>
      </c>
      <c r="M467" s="26">
        <f>SUMIFS(INDEX(元データ_14項目!$D$2:$Q$1300,0,MATCH($B467,元データ_14項目!$D$1:$Q$1,0)),元データ_14項目!$A$2:$A$1300,$A467,元データ_14項目!$B$2:$B$1300,"本年",元データ_14項目!$C$2:$C$1300,M$5)</f>
        <v>8</v>
      </c>
      <c r="N467" s="26">
        <f>SUMIFS(INDEX(元データ_14項目!$D$2:$Q$1300,0,MATCH($B467,元データ_14項目!$D$1:$Q$1,0)),元データ_14項目!$A$2:$A$1300,$A467,元データ_14項目!$B$2:$B$1300,"本年",元データ_14項目!$C$2:$C$1300,N$5)</f>
        <v>1</v>
      </c>
      <c r="O467" s="26">
        <f t="shared" si="14"/>
        <v>53</v>
      </c>
      <c r="P467" s="26">
        <f>SUMIFS(INDEX(元データ_14項目!$D$2:$Q$1300,0,MATCH($B467,元データ_14項目!$D$1:$Q$1,0)),元データ_14項目!$A$2:$A$1300,$A467,元データ_14項目!$B$2:$B$1300,"前年")</f>
        <v>63</v>
      </c>
      <c r="Q467" s="7">
        <f t="shared" si="15"/>
        <v>0.84126984126984128</v>
      </c>
    </row>
    <row r="468" spans="1:17" x14ac:dyDescent="0.45">
      <c r="A468" t="s">
        <v>68</v>
      </c>
      <c r="B468" t="s">
        <v>27</v>
      </c>
      <c r="C468" s="26">
        <f>SUMIFS(INDEX(元データ_14項目!$D$2:$Q$1300,0,MATCH($B468,元データ_14項目!$D$1:$Q$1,0)),元データ_14項目!$A$2:$A$1300,$A468,元データ_14項目!$B$2:$B$1300,"本年",元データ_14項目!$C$2:$C$1300,C$5)</f>
        <v>687</v>
      </c>
      <c r="D468" s="26">
        <f>SUMIFS(INDEX(元データ_14項目!$D$2:$Q$1300,0,MATCH($B468,元データ_14項目!$D$1:$Q$1,0)),元データ_14項目!$A$2:$A$1300,$A468,元データ_14項目!$B$2:$B$1300,"本年",元データ_14項目!$C$2:$C$1300,D$5)</f>
        <v>850</v>
      </c>
      <c r="E468" s="26">
        <f>SUMIFS(INDEX(元データ_14項目!$D$2:$Q$1300,0,MATCH($B468,元データ_14項目!$D$1:$Q$1,0)),元データ_14項目!$A$2:$A$1300,$A468,元データ_14項目!$B$2:$B$1300,"本年",元データ_14項目!$C$2:$C$1300,E$5)</f>
        <v>1160</v>
      </c>
      <c r="F468" s="26">
        <f>SUMIFS(INDEX(元データ_14項目!$D$2:$Q$1300,0,MATCH($B468,元データ_14項目!$D$1:$Q$1,0)),元データ_14項目!$A$2:$A$1300,$A468,元データ_14項目!$B$2:$B$1300,"本年",元データ_14項目!$C$2:$C$1300,F$5)</f>
        <v>943</v>
      </c>
      <c r="G468" s="26">
        <f>SUMIFS(INDEX(元データ_14項目!$D$2:$Q$1300,0,MATCH($B468,元データ_14項目!$D$1:$Q$1,0)),元データ_14項目!$A$2:$A$1300,$A468,元データ_14項目!$B$2:$B$1300,"本年",元データ_14項目!$C$2:$C$1300,G$5)</f>
        <v>1003</v>
      </c>
      <c r="H468" s="26">
        <f>SUMIFS(INDEX(元データ_14項目!$D$2:$Q$1300,0,MATCH($B468,元データ_14項目!$D$1:$Q$1,0)),元データ_14項目!$A$2:$A$1300,$A468,元データ_14項目!$B$2:$B$1300,"本年",元データ_14項目!$C$2:$C$1300,H$5)</f>
        <v>714</v>
      </c>
      <c r="I468" s="26">
        <f>SUMIFS(INDEX(元データ_14項目!$D$2:$Q$1300,0,MATCH($B468,元データ_14項目!$D$1:$Q$1,0)),元データ_14項目!$A$2:$A$1300,$A468,元データ_14項目!$B$2:$B$1300,"本年",元データ_14項目!$C$2:$C$1300,I$5)</f>
        <v>782</v>
      </c>
      <c r="J468" s="26">
        <f>SUMIFS(INDEX(元データ_14項目!$D$2:$Q$1300,0,MATCH($B468,元データ_14項目!$D$1:$Q$1,0)),元データ_14項目!$A$2:$A$1300,$A468,元データ_14項目!$B$2:$B$1300,"本年",元データ_14項目!$C$2:$C$1300,J$5)</f>
        <v>961</v>
      </c>
      <c r="K468" s="26">
        <f>SUMIFS(INDEX(元データ_14項目!$D$2:$Q$1300,0,MATCH($B468,元データ_14項目!$D$1:$Q$1,0)),元データ_14項目!$A$2:$A$1300,$A468,元データ_14項目!$B$2:$B$1300,"本年",元データ_14項目!$C$2:$C$1300,K$5)</f>
        <v>947</v>
      </c>
      <c r="L468" s="26">
        <f>SUMIFS(INDEX(元データ_14項目!$D$2:$Q$1300,0,MATCH($B468,元データ_14項目!$D$1:$Q$1,0)),元データ_14項目!$A$2:$A$1300,$A468,元データ_14項目!$B$2:$B$1300,"本年",元データ_14項目!$C$2:$C$1300,L$5)</f>
        <v>775</v>
      </c>
      <c r="M468" s="26">
        <f>SUMIFS(INDEX(元データ_14項目!$D$2:$Q$1300,0,MATCH($B468,元データ_14項目!$D$1:$Q$1,0)),元データ_14項目!$A$2:$A$1300,$A468,元データ_14項目!$B$2:$B$1300,"本年",元データ_14項目!$C$2:$C$1300,M$5)</f>
        <v>1007</v>
      </c>
      <c r="N468" s="26">
        <f>SUMIFS(INDEX(元データ_14項目!$D$2:$Q$1300,0,MATCH($B468,元データ_14項目!$D$1:$Q$1,0)),元データ_14項目!$A$2:$A$1300,$A468,元データ_14項目!$B$2:$B$1300,"本年",元データ_14項目!$C$2:$C$1300,N$5)</f>
        <v>745</v>
      </c>
      <c r="O468" s="26">
        <f t="shared" si="14"/>
        <v>10574</v>
      </c>
      <c r="P468" s="26">
        <f>SUMIFS(INDEX(元データ_14項目!$D$2:$Q$1300,0,MATCH($B468,元データ_14項目!$D$1:$Q$1,0)),元データ_14項目!$A$2:$A$1300,$A468,元データ_14項目!$B$2:$B$1300,"前年")</f>
        <v>12537</v>
      </c>
      <c r="Q468" s="7">
        <f t="shared" si="15"/>
        <v>0.84342346653904443</v>
      </c>
    </row>
    <row r="469" spans="1:17" x14ac:dyDescent="0.45">
      <c r="A469" t="s">
        <v>68</v>
      </c>
      <c r="B469" t="s">
        <v>88</v>
      </c>
      <c r="C469" s="26">
        <f>SUMIFS(INDEX(元データ_14項目!$D$2:$Q$1300,0,MATCH($B469,元データ_14項目!$D$1:$Q$1,0)),元データ_14項目!$A$2:$A$1300,$A469,元データ_14項目!$B$2:$B$1300,"本年",元データ_14項目!$C$2:$C$1300,C$5)</f>
        <v>17</v>
      </c>
      <c r="D469" s="26">
        <f>SUMIFS(INDEX(元データ_14項目!$D$2:$Q$1300,0,MATCH($B469,元データ_14項目!$D$1:$Q$1,0)),元データ_14項目!$A$2:$A$1300,$A469,元データ_14項目!$B$2:$B$1300,"本年",元データ_14項目!$C$2:$C$1300,D$5)</f>
        <v>13</v>
      </c>
      <c r="E469" s="26">
        <f>SUMIFS(INDEX(元データ_14項目!$D$2:$Q$1300,0,MATCH($B469,元データ_14項目!$D$1:$Q$1,0)),元データ_14項目!$A$2:$A$1300,$A469,元データ_14項目!$B$2:$B$1300,"本年",元データ_14項目!$C$2:$C$1300,E$5)</f>
        <v>21</v>
      </c>
      <c r="F469" s="26">
        <f>SUMIFS(INDEX(元データ_14項目!$D$2:$Q$1300,0,MATCH($B469,元データ_14項目!$D$1:$Q$1,0)),元データ_14項目!$A$2:$A$1300,$A469,元データ_14項目!$B$2:$B$1300,"本年",元データ_14項目!$C$2:$C$1300,F$5)</f>
        <v>21</v>
      </c>
      <c r="G469" s="26">
        <f>SUMIFS(INDEX(元データ_14項目!$D$2:$Q$1300,0,MATCH($B469,元データ_14項目!$D$1:$Q$1,0)),元データ_14項目!$A$2:$A$1300,$A469,元データ_14項目!$B$2:$B$1300,"本年",元データ_14項目!$C$2:$C$1300,G$5)</f>
        <v>22</v>
      </c>
      <c r="H469" s="26">
        <f>SUMIFS(INDEX(元データ_14項目!$D$2:$Q$1300,0,MATCH($B469,元データ_14項目!$D$1:$Q$1,0)),元データ_14項目!$A$2:$A$1300,$A469,元データ_14項目!$B$2:$B$1300,"本年",元データ_14項目!$C$2:$C$1300,H$5)</f>
        <v>8</v>
      </c>
      <c r="I469" s="26">
        <f>SUMIFS(INDEX(元データ_14項目!$D$2:$Q$1300,0,MATCH($B469,元データ_14項目!$D$1:$Q$1,0)),元データ_14項目!$A$2:$A$1300,$A469,元データ_14項目!$B$2:$B$1300,"本年",元データ_14項目!$C$2:$C$1300,I$5)</f>
        <v>8</v>
      </c>
      <c r="J469" s="26">
        <f>SUMIFS(INDEX(元データ_14項目!$D$2:$Q$1300,0,MATCH($B469,元データ_14項目!$D$1:$Q$1,0)),元データ_14項目!$A$2:$A$1300,$A469,元データ_14項目!$B$2:$B$1300,"本年",元データ_14項目!$C$2:$C$1300,J$5)</f>
        <v>10</v>
      </c>
      <c r="K469" s="26">
        <f>SUMIFS(INDEX(元データ_14項目!$D$2:$Q$1300,0,MATCH($B469,元データ_14項目!$D$1:$Q$1,0)),元データ_14項目!$A$2:$A$1300,$A469,元データ_14項目!$B$2:$B$1300,"本年",元データ_14項目!$C$2:$C$1300,K$5)</f>
        <v>24</v>
      </c>
      <c r="L469" s="26">
        <f>SUMIFS(INDEX(元データ_14項目!$D$2:$Q$1300,0,MATCH($B469,元データ_14項目!$D$1:$Q$1,0)),元データ_14項目!$A$2:$A$1300,$A469,元データ_14項目!$B$2:$B$1300,"本年",元データ_14項目!$C$2:$C$1300,L$5)</f>
        <v>23</v>
      </c>
      <c r="M469" s="26">
        <f>SUMIFS(INDEX(元データ_14項目!$D$2:$Q$1300,0,MATCH($B469,元データ_14項目!$D$1:$Q$1,0)),元データ_14項目!$A$2:$A$1300,$A469,元データ_14項目!$B$2:$B$1300,"本年",元データ_14項目!$C$2:$C$1300,M$5)</f>
        <v>17</v>
      </c>
      <c r="N469" s="26">
        <f>SUMIFS(INDEX(元データ_14項目!$D$2:$Q$1300,0,MATCH($B469,元データ_14項目!$D$1:$Q$1,0)),元データ_14項目!$A$2:$A$1300,$A469,元データ_14項目!$B$2:$B$1300,"本年",元データ_14項目!$C$2:$C$1300,N$5)</f>
        <v>2</v>
      </c>
      <c r="O469" s="26">
        <f t="shared" si="14"/>
        <v>186</v>
      </c>
      <c r="P469" s="26">
        <f>SUMIFS(INDEX(元データ_14項目!$D$2:$Q$1300,0,MATCH($B469,元データ_14項目!$D$1:$Q$1,0)),元データ_14項目!$A$2:$A$1300,$A469,元データ_14項目!$B$2:$B$1300,"前年")</f>
        <v>238</v>
      </c>
      <c r="Q469" s="7">
        <f t="shared" si="15"/>
        <v>0.78151260504201681</v>
      </c>
    </row>
    <row r="470" spans="1:17" x14ac:dyDescent="0.45">
      <c r="A470" t="s">
        <v>68</v>
      </c>
      <c r="B470" t="s">
        <v>89</v>
      </c>
      <c r="C470" s="26">
        <f>SUMIFS(INDEX(元データ_14項目!$D$2:$Q$1300,0,MATCH($B470,元データ_14項目!$D$1:$Q$1,0)),元データ_14項目!$A$2:$A$1300,$A470,元データ_14項目!$B$2:$B$1300,"本年",元データ_14項目!$C$2:$C$1300,C$5)</f>
        <v>29</v>
      </c>
      <c r="D470" s="26">
        <f>SUMIFS(INDEX(元データ_14項目!$D$2:$Q$1300,0,MATCH($B470,元データ_14項目!$D$1:$Q$1,0)),元データ_14項目!$A$2:$A$1300,$A470,元データ_14項目!$B$2:$B$1300,"本年",元データ_14項目!$C$2:$C$1300,D$5)</f>
        <v>21</v>
      </c>
      <c r="E470" s="26">
        <f>SUMIFS(INDEX(元データ_14項目!$D$2:$Q$1300,0,MATCH($B470,元データ_14項目!$D$1:$Q$1,0)),元データ_14項目!$A$2:$A$1300,$A470,元データ_14項目!$B$2:$B$1300,"本年",元データ_14項目!$C$2:$C$1300,E$5)</f>
        <v>22</v>
      </c>
      <c r="F470" s="26">
        <f>SUMIFS(INDEX(元データ_14項目!$D$2:$Q$1300,0,MATCH($B470,元データ_14項目!$D$1:$Q$1,0)),元データ_14項目!$A$2:$A$1300,$A470,元データ_14項目!$B$2:$B$1300,"本年",元データ_14項目!$C$2:$C$1300,F$5)</f>
        <v>41</v>
      </c>
      <c r="G470" s="26">
        <f>SUMIFS(INDEX(元データ_14項目!$D$2:$Q$1300,0,MATCH($B470,元データ_14項目!$D$1:$Q$1,0)),元データ_14項目!$A$2:$A$1300,$A470,元データ_14項目!$B$2:$B$1300,"本年",元データ_14項目!$C$2:$C$1300,G$5)</f>
        <v>36</v>
      </c>
      <c r="H470" s="26">
        <f>SUMIFS(INDEX(元データ_14項目!$D$2:$Q$1300,0,MATCH($B470,元データ_14項目!$D$1:$Q$1,0)),元データ_14項目!$A$2:$A$1300,$A470,元データ_14項目!$B$2:$B$1300,"本年",元データ_14項目!$C$2:$C$1300,H$5)</f>
        <v>11</v>
      </c>
      <c r="I470" s="26">
        <f>SUMIFS(INDEX(元データ_14項目!$D$2:$Q$1300,0,MATCH($B470,元データ_14項目!$D$1:$Q$1,0)),元データ_14項目!$A$2:$A$1300,$A470,元データ_14項目!$B$2:$B$1300,"本年",元データ_14項目!$C$2:$C$1300,I$5)</f>
        <v>10</v>
      </c>
      <c r="J470" s="26">
        <f>SUMIFS(INDEX(元データ_14項目!$D$2:$Q$1300,0,MATCH($B470,元データ_14項目!$D$1:$Q$1,0)),元データ_14項目!$A$2:$A$1300,$A470,元データ_14項目!$B$2:$B$1300,"本年",元データ_14項目!$C$2:$C$1300,J$5)</f>
        <v>26</v>
      </c>
      <c r="K470" s="26">
        <f>SUMIFS(INDEX(元データ_14項目!$D$2:$Q$1300,0,MATCH($B470,元データ_14項目!$D$1:$Q$1,0)),元データ_14項目!$A$2:$A$1300,$A470,元データ_14項目!$B$2:$B$1300,"本年",元データ_14項目!$C$2:$C$1300,K$5)</f>
        <v>34</v>
      </c>
      <c r="L470" s="26">
        <f>SUMIFS(INDEX(元データ_14項目!$D$2:$Q$1300,0,MATCH($B470,元データ_14項目!$D$1:$Q$1,0)),元データ_14項目!$A$2:$A$1300,$A470,元データ_14項目!$B$2:$B$1300,"本年",元データ_14項目!$C$2:$C$1300,L$5)</f>
        <v>15</v>
      </c>
      <c r="M470" s="26">
        <f>SUMIFS(INDEX(元データ_14項目!$D$2:$Q$1300,0,MATCH($B470,元データ_14項目!$D$1:$Q$1,0)),元データ_14項目!$A$2:$A$1300,$A470,元データ_14項目!$B$2:$B$1300,"本年",元データ_14項目!$C$2:$C$1300,M$5)</f>
        <v>21</v>
      </c>
      <c r="N470" s="26">
        <f>SUMIFS(INDEX(元データ_14項目!$D$2:$Q$1300,0,MATCH($B470,元データ_14項目!$D$1:$Q$1,0)),元データ_14項目!$A$2:$A$1300,$A470,元データ_14項目!$B$2:$B$1300,"本年",元データ_14項目!$C$2:$C$1300,N$5)</f>
        <v>18</v>
      </c>
      <c r="O470" s="26">
        <f t="shared" si="14"/>
        <v>284</v>
      </c>
      <c r="P470" s="26">
        <f>SUMIFS(INDEX(元データ_14項目!$D$2:$Q$1300,0,MATCH($B470,元データ_14項目!$D$1:$Q$1,0)),元データ_14項目!$A$2:$A$1300,$A470,元データ_14項目!$B$2:$B$1300,"前年")</f>
        <v>260</v>
      </c>
      <c r="Q470" s="7">
        <f t="shared" si="15"/>
        <v>1.0923076923076922</v>
      </c>
    </row>
    <row r="471" spans="1:17" x14ac:dyDescent="0.45">
      <c r="A471" t="s">
        <v>68</v>
      </c>
      <c r="B471" t="s">
        <v>90</v>
      </c>
      <c r="C471" s="26">
        <f>SUMIFS(INDEX(元データ_14項目!$D$2:$Q$1300,0,MATCH($B471,元データ_14項目!$D$1:$Q$1,0)),元データ_14項目!$A$2:$A$1300,$A471,元データ_14項目!$B$2:$B$1300,"本年",元データ_14項目!$C$2:$C$1300,C$5)</f>
        <v>15</v>
      </c>
      <c r="D471" s="26">
        <f>SUMIFS(INDEX(元データ_14項目!$D$2:$Q$1300,0,MATCH($B471,元データ_14項目!$D$1:$Q$1,0)),元データ_14項目!$A$2:$A$1300,$A471,元データ_14項目!$B$2:$B$1300,"本年",元データ_14項目!$C$2:$C$1300,D$5)</f>
        <v>22</v>
      </c>
      <c r="E471" s="26">
        <f>SUMIFS(INDEX(元データ_14項目!$D$2:$Q$1300,0,MATCH($B471,元データ_14項目!$D$1:$Q$1,0)),元データ_14項目!$A$2:$A$1300,$A471,元データ_14項目!$B$2:$B$1300,"本年",元データ_14項目!$C$2:$C$1300,E$5)</f>
        <v>30</v>
      </c>
      <c r="F471" s="26">
        <f>SUMIFS(INDEX(元データ_14項目!$D$2:$Q$1300,0,MATCH($B471,元データ_14項目!$D$1:$Q$1,0)),元データ_14項目!$A$2:$A$1300,$A471,元データ_14項目!$B$2:$B$1300,"本年",元データ_14項目!$C$2:$C$1300,F$5)</f>
        <v>17</v>
      </c>
      <c r="G471" s="26">
        <f>SUMIFS(INDEX(元データ_14項目!$D$2:$Q$1300,0,MATCH($B471,元データ_14項目!$D$1:$Q$1,0)),元データ_14項目!$A$2:$A$1300,$A471,元データ_14項目!$B$2:$B$1300,"本年",元データ_14項目!$C$2:$C$1300,G$5)</f>
        <v>33</v>
      </c>
      <c r="H471" s="26">
        <f>SUMIFS(INDEX(元データ_14項目!$D$2:$Q$1300,0,MATCH($B471,元データ_14項目!$D$1:$Q$1,0)),元データ_14項目!$A$2:$A$1300,$A471,元データ_14項目!$B$2:$B$1300,"本年",元データ_14項目!$C$2:$C$1300,H$5)</f>
        <v>54</v>
      </c>
      <c r="I471" s="26">
        <f>SUMIFS(INDEX(元データ_14項目!$D$2:$Q$1300,0,MATCH($B471,元データ_14項目!$D$1:$Q$1,0)),元データ_14項目!$A$2:$A$1300,$A471,元データ_14項目!$B$2:$B$1300,"本年",元データ_14項目!$C$2:$C$1300,I$5)</f>
        <v>11</v>
      </c>
      <c r="J471" s="26">
        <f>SUMIFS(INDEX(元データ_14項目!$D$2:$Q$1300,0,MATCH($B471,元データ_14項目!$D$1:$Q$1,0)),元データ_14項目!$A$2:$A$1300,$A471,元データ_14項目!$B$2:$B$1300,"本年",元データ_14項目!$C$2:$C$1300,J$5)</f>
        <v>21</v>
      </c>
      <c r="K471" s="26">
        <f>SUMIFS(INDEX(元データ_14項目!$D$2:$Q$1300,0,MATCH($B471,元データ_14項目!$D$1:$Q$1,0)),元データ_14項目!$A$2:$A$1300,$A471,元データ_14項目!$B$2:$B$1300,"本年",元データ_14項目!$C$2:$C$1300,K$5)</f>
        <v>150</v>
      </c>
      <c r="L471" s="26">
        <f>SUMIFS(INDEX(元データ_14項目!$D$2:$Q$1300,0,MATCH($B471,元データ_14項目!$D$1:$Q$1,0)),元データ_14項目!$A$2:$A$1300,$A471,元データ_14項目!$B$2:$B$1300,"本年",元データ_14項目!$C$2:$C$1300,L$5)</f>
        <v>78</v>
      </c>
      <c r="M471" s="26">
        <f>SUMIFS(INDEX(元データ_14項目!$D$2:$Q$1300,0,MATCH($B471,元データ_14項目!$D$1:$Q$1,0)),元データ_14項目!$A$2:$A$1300,$A471,元データ_14項目!$B$2:$B$1300,"本年",元データ_14項目!$C$2:$C$1300,M$5)</f>
        <v>67</v>
      </c>
      <c r="N471" s="26">
        <f>SUMIFS(INDEX(元データ_14項目!$D$2:$Q$1300,0,MATCH($B471,元データ_14項目!$D$1:$Q$1,0)),元データ_14項目!$A$2:$A$1300,$A471,元データ_14項目!$B$2:$B$1300,"本年",元データ_14項目!$C$2:$C$1300,N$5)</f>
        <v>15</v>
      </c>
      <c r="O471" s="26">
        <f t="shared" si="14"/>
        <v>513</v>
      </c>
      <c r="P471" s="26">
        <f>SUMIFS(INDEX(元データ_14項目!$D$2:$Q$1300,0,MATCH($B471,元データ_14項目!$D$1:$Q$1,0)),元データ_14項目!$A$2:$A$1300,$A471,元データ_14項目!$B$2:$B$1300,"前年")</f>
        <v>1045</v>
      </c>
      <c r="Q471" s="7">
        <f t="shared" si="15"/>
        <v>0.49090909090909091</v>
      </c>
    </row>
    <row r="472" spans="1:17" x14ac:dyDescent="0.45">
      <c r="A472" t="s">
        <v>68</v>
      </c>
      <c r="B472" t="s">
        <v>91</v>
      </c>
      <c r="C472" s="26">
        <f>SUMIFS(INDEX(元データ_14項目!$D$2:$Q$1300,0,MATCH($B472,元データ_14項目!$D$1:$Q$1,0)),元データ_14項目!$A$2:$A$1300,$A472,元データ_14項目!$B$2:$B$1300,"本年",元データ_14項目!$C$2:$C$1300,C$5)</f>
        <v>40</v>
      </c>
      <c r="D472" s="26">
        <f>SUMIFS(INDEX(元データ_14項目!$D$2:$Q$1300,0,MATCH($B472,元データ_14項目!$D$1:$Q$1,0)),元データ_14項目!$A$2:$A$1300,$A472,元データ_14項目!$B$2:$B$1300,"本年",元データ_14項目!$C$2:$C$1300,D$5)</f>
        <v>50</v>
      </c>
      <c r="E472" s="26">
        <f>SUMIFS(INDEX(元データ_14項目!$D$2:$Q$1300,0,MATCH($B472,元データ_14項目!$D$1:$Q$1,0)),元データ_14項目!$A$2:$A$1300,$A472,元データ_14項目!$B$2:$B$1300,"本年",元データ_14項目!$C$2:$C$1300,E$5)</f>
        <v>132</v>
      </c>
      <c r="F472" s="26">
        <f>SUMIFS(INDEX(元データ_14項目!$D$2:$Q$1300,0,MATCH($B472,元データ_14項目!$D$1:$Q$1,0)),元データ_14項目!$A$2:$A$1300,$A472,元データ_14項目!$B$2:$B$1300,"本年",元データ_14項目!$C$2:$C$1300,F$5)</f>
        <v>160</v>
      </c>
      <c r="G472" s="26">
        <f>SUMIFS(INDEX(元データ_14項目!$D$2:$Q$1300,0,MATCH($B472,元データ_14項目!$D$1:$Q$1,0)),元データ_14項目!$A$2:$A$1300,$A472,元データ_14項目!$B$2:$B$1300,"本年",元データ_14項目!$C$2:$C$1300,G$5)</f>
        <v>188</v>
      </c>
      <c r="H472" s="26">
        <f>SUMIFS(INDEX(元データ_14項目!$D$2:$Q$1300,0,MATCH($B472,元データ_14項目!$D$1:$Q$1,0)),元データ_14項目!$A$2:$A$1300,$A472,元データ_14項目!$B$2:$B$1300,"本年",元データ_14項目!$C$2:$C$1300,H$5)</f>
        <v>67</v>
      </c>
      <c r="I472" s="26">
        <f>SUMIFS(INDEX(元データ_14項目!$D$2:$Q$1300,0,MATCH($B472,元データ_14項目!$D$1:$Q$1,0)),元データ_14項目!$A$2:$A$1300,$A472,元データ_14項目!$B$2:$B$1300,"本年",元データ_14項目!$C$2:$C$1300,I$5)</f>
        <v>77</v>
      </c>
      <c r="J472" s="26">
        <f>SUMIFS(INDEX(元データ_14項目!$D$2:$Q$1300,0,MATCH($B472,元データ_14項目!$D$1:$Q$1,0)),元データ_14項目!$A$2:$A$1300,$A472,元データ_14項目!$B$2:$B$1300,"本年",元データ_14項目!$C$2:$C$1300,J$5)</f>
        <v>174</v>
      </c>
      <c r="K472" s="26">
        <f>SUMIFS(INDEX(元データ_14項目!$D$2:$Q$1300,0,MATCH($B472,元データ_14項目!$D$1:$Q$1,0)),元データ_14項目!$A$2:$A$1300,$A472,元データ_14項目!$B$2:$B$1300,"本年",元データ_14項目!$C$2:$C$1300,K$5)</f>
        <v>135</v>
      </c>
      <c r="L472" s="26">
        <f>SUMIFS(INDEX(元データ_14項目!$D$2:$Q$1300,0,MATCH($B472,元データ_14項目!$D$1:$Q$1,0)),元データ_14項目!$A$2:$A$1300,$A472,元データ_14項目!$B$2:$B$1300,"本年",元データ_14項目!$C$2:$C$1300,L$5)</f>
        <v>129</v>
      </c>
      <c r="M472" s="26">
        <f>SUMIFS(INDEX(元データ_14項目!$D$2:$Q$1300,0,MATCH($B472,元データ_14項目!$D$1:$Q$1,0)),元データ_14項目!$A$2:$A$1300,$A472,元データ_14項目!$B$2:$B$1300,"本年",元データ_14項目!$C$2:$C$1300,M$5)</f>
        <v>133</v>
      </c>
      <c r="N472" s="26">
        <f>SUMIFS(INDEX(元データ_14項目!$D$2:$Q$1300,0,MATCH($B472,元データ_14項目!$D$1:$Q$1,0)),元データ_14項目!$A$2:$A$1300,$A472,元データ_14項目!$B$2:$B$1300,"本年",元データ_14項目!$C$2:$C$1300,N$5)</f>
        <v>85</v>
      </c>
      <c r="O472" s="26">
        <f t="shared" si="14"/>
        <v>1370</v>
      </c>
      <c r="P472" s="26">
        <f>SUMIFS(INDEX(元データ_14項目!$D$2:$Q$1300,0,MATCH($B472,元データ_14項目!$D$1:$Q$1,0)),元データ_14項目!$A$2:$A$1300,$A472,元データ_14項目!$B$2:$B$1300,"前年")</f>
        <v>786</v>
      </c>
      <c r="Q472" s="7">
        <f t="shared" si="15"/>
        <v>1.7430025445292621</v>
      </c>
    </row>
    <row r="473" spans="1:17" x14ac:dyDescent="0.45">
      <c r="A473" t="s">
        <v>68</v>
      </c>
      <c r="B473" t="s">
        <v>28</v>
      </c>
      <c r="C473" s="26">
        <f>SUMIFS(INDEX(元データ_14項目!$D$2:$Q$1300,0,MATCH($B473,元データ_14項目!$D$1:$Q$1,0)),元データ_14項目!$A$2:$A$1300,$A473,元データ_14項目!$B$2:$B$1300,"本年",元データ_14項目!$C$2:$C$1300,C$5)</f>
        <v>211</v>
      </c>
      <c r="D473" s="26">
        <f>SUMIFS(INDEX(元データ_14項目!$D$2:$Q$1300,0,MATCH($B473,元データ_14項目!$D$1:$Q$1,0)),元データ_14項目!$A$2:$A$1300,$A473,元データ_14項目!$B$2:$B$1300,"本年",元データ_14項目!$C$2:$C$1300,D$5)</f>
        <v>214</v>
      </c>
      <c r="E473" s="26">
        <f>SUMIFS(INDEX(元データ_14項目!$D$2:$Q$1300,0,MATCH($B473,元データ_14項目!$D$1:$Q$1,0)),元データ_14項目!$A$2:$A$1300,$A473,元データ_14項目!$B$2:$B$1300,"本年",元データ_14項目!$C$2:$C$1300,E$5)</f>
        <v>337</v>
      </c>
      <c r="F473" s="26">
        <f>SUMIFS(INDEX(元データ_14項目!$D$2:$Q$1300,0,MATCH($B473,元データ_14項目!$D$1:$Q$1,0)),元データ_14項目!$A$2:$A$1300,$A473,元データ_14項目!$B$2:$B$1300,"本年",元データ_14項目!$C$2:$C$1300,F$5)</f>
        <v>349</v>
      </c>
      <c r="G473" s="26">
        <f>SUMIFS(INDEX(元データ_14項目!$D$2:$Q$1300,0,MATCH($B473,元データ_14項目!$D$1:$Q$1,0)),元データ_14項目!$A$2:$A$1300,$A473,元データ_14項目!$B$2:$B$1300,"本年",元データ_14項目!$C$2:$C$1300,G$5)</f>
        <v>316</v>
      </c>
      <c r="H473" s="26">
        <f>SUMIFS(INDEX(元データ_14項目!$D$2:$Q$1300,0,MATCH($B473,元データ_14項目!$D$1:$Q$1,0)),元データ_14項目!$A$2:$A$1300,$A473,元データ_14項目!$B$2:$B$1300,"本年",元データ_14項目!$C$2:$C$1300,H$5)</f>
        <v>161</v>
      </c>
      <c r="I473" s="26">
        <f>SUMIFS(INDEX(元データ_14項目!$D$2:$Q$1300,0,MATCH($B473,元データ_14項目!$D$1:$Q$1,0)),元データ_14項目!$A$2:$A$1300,$A473,元データ_14項目!$B$2:$B$1300,"本年",元データ_14項目!$C$2:$C$1300,I$5)</f>
        <v>158</v>
      </c>
      <c r="J473" s="26">
        <f>SUMIFS(INDEX(元データ_14項目!$D$2:$Q$1300,0,MATCH($B473,元データ_14項目!$D$1:$Q$1,0)),元データ_14項目!$A$2:$A$1300,$A473,元データ_14項目!$B$2:$B$1300,"本年",元データ_14項目!$C$2:$C$1300,J$5)</f>
        <v>299</v>
      </c>
      <c r="K473" s="26">
        <f>SUMIFS(INDEX(元データ_14項目!$D$2:$Q$1300,0,MATCH($B473,元データ_14項目!$D$1:$Q$1,0)),元データ_14項目!$A$2:$A$1300,$A473,元データ_14項目!$B$2:$B$1300,"本年",元データ_14項目!$C$2:$C$1300,K$5)</f>
        <v>256</v>
      </c>
      <c r="L473" s="26">
        <f>SUMIFS(INDEX(元データ_14項目!$D$2:$Q$1300,0,MATCH($B473,元データ_14項目!$D$1:$Q$1,0)),元データ_14項目!$A$2:$A$1300,$A473,元データ_14項目!$B$2:$B$1300,"本年",元データ_14項目!$C$2:$C$1300,L$5)</f>
        <v>266</v>
      </c>
      <c r="M473" s="26">
        <f>SUMIFS(INDEX(元データ_14項目!$D$2:$Q$1300,0,MATCH($B473,元データ_14項目!$D$1:$Q$1,0)),元データ_14項目!$A$2:$A$1300,$A473,元データ_14項目!$B$2:$B$1300,"本年",元データ_14項目!$C$2:$C$1300,M$5)</f>
        <v>311</v>
      </c>
      <c r="N473" s="26">
        <f>SUMIFS(INDEX(元データ_14項目!$D$2:$Q$1300,0,MATCH($B473,元データ_14項目!$D$1:$Q$1,0)),元データ_14項目!$A$2:$A$1300,$A473,元データ_14項目!$B$2:$B$1300,"本年",元データ_14項目!$C$2:$C$1300,N$5)</f>
        <v>276</v>
      </c>
      <c r="O473" s="26">
        <f t="shared" si="14"/>
        <v>3154</v>
      </c>
      <c r="P473" s="26">
        <f>SUMIFS(INDEX(元データ_14項目!$D$2:$Q$1300,0,MATCH($B473,元データ_14項目!$D$1:$Q$1,0)),元データ_14項目!$A$2:$A$1300,$A473,元データ_14項目!$B$2:$B$1300,"前年")</f>
        <v>2616</v>
      </c>
      <c r="Q473" s="7">
        <f t="shared" si="15"/>
        <v>1.2056574923547401</v>
      </c>
    </row>
    <row r="474" spans="1:17" x14ac:dyDescent="0.45">
      <c r="A474" t="s">
        <v>68</v>
      </c>
      <c r="B474" t="s">
        <v>92</v>
      </c>
      <c r="C474" s="26">
        <f>SUMIFS(INDEX(元データ_14項目!$D$2:$Q$1300,0,MATCH($B474,元データ_14項目!$D$1:$Q$1,0)),元データ_14項目!$A$2:$A$1300,$A474,元データ_14項目!$B$2:$B$1300,"本年",元データ_14項目!$C$2:$C$1300,C$5)</f>
        <v>4</v>
      </c>
      <c r="D474" s="26">
        <f>SUMIFS(INDEX(元データ_14項目!$D$2:$Q$1300,0,MATCH($B474,元データ_14項目!$D$1:$Q$1,0)),元データ_14項目!$A$2:$A$1300,$A474,元データ_14項目!$B$2:$B$1300,"本年",元データ_14項目!$C$2:$C$1300,D$5)</f>
        <v>19</v>
      </c>
      <c r="E474" s="26">
        <f>SUMIFS(INDEX(元データ_14項目!$D$2:$Q$1300,0,MATCH($B474,元データ_14項目!$D$1:$Q$1,0)),元データ_14項目!$A$2:$A$1300,$A474,元データ_14項目!$B$2:$B$1300,"本年",元データ_14項目!$C$2:$C$1300,E$5)</f>
        <v>31</v>
      </c>
      <c r="F474" s="26">
        <f>SUMIFS(INDEX(元データ_14項目!$D$2:$Q$1300,0,MATCH($B474,元データ_14項目!$D$1:$Q$1,0)),元データ_14項目!$A$2:$A$1300,$A474,元データ_14項目!$B$2:$B$1300,"本年",元データ_14項目!$C$2:$C$1300,F$5)</f>
        <v>24</v>
      </c>
      <c r="G474" s="26">
        <f>SUMIFS(INDEX(元データ_14項目!$D$2:$Q$1300,0,MATCH($B474,元データ_14項目!$D$1:$Q$1,0)),元データ_14項目!$A$2:$A$1300,$A474,元データ_14項目!$B$2:$B$1300,"本年",元データ_14項目!$C$2:$C$1300,G$5)</f>
        <v>40</v>
      </c>
      <c r="H474" s="26">
        <f>SUMIFS(INDEX(元データ_14項目!$D$2:$Q$1300,0,MATCH($B474,元データ_14項目!$D$1:$Q$1,0)),元データ_14項目!$A$2:$A$1300,$A474,元データ_14項目!$B$2:$B$1300,"本年",元データ_14項目!$C$2:$C$1300,H$5)</f>
        <v>13</v>
      </c>
      <c r="I474" s="26">
        <f>SUMIFS(INDEX(元データ_14項目!$D$2:$Q$1300,0,MATCH($B474,元データ_14項目!$D$1:$Q$1,0)),元データ_14項目!$A$2:$A$1300,$A474,元データ_14項目!$B$2:$B$1300,"本年",元データ_14項目!$C$2:$C$1300,I$5)</f>
        <v>4</v>
      </c>
      <c r="J474" s="26">
        <f>SUMIFS(INDEX(元データ_14項目!$D$2:$Q$1300,0,MATCH($B474,元データ_14項目!$D$1:$Q$1,0)),元データ_14項目!$A$2:$A$1300,$A474,元データ_14項目!$B$2:$B$1300,"本年",元データ_14項目!$C$2:$C$1300,J$5)</f>
        <v>27</v>
      </c>
      <c r="K474" s="26">
        <f>SUMIFS(INDEX(元データ_14項目!$D$2:$Q$1300,0,MATCH($B474,元データ_14項目!$D$1:$Q$1,0)),元データ_14項目!$A$2:$A$1300,$A474,元データ_14項目!$B$2:$B$1300,"本年",元データ_14項目!$C$2:$C$1300,K$5)</f>
        <v>31</v>
      </c>
      <c r="L474" s="26">
        <f>SUMIFS(INDEX(元データ_14項目!$D$2:$Q$1300,0,MATCH($B474,元データ_14項目!$D$1:$Q$1,0)),元データ_14項目!$A$2:$A$1300,$A474,元データ_14項目!$B$2:$B$1300,"本年",元データ_14項目!$C$2:$C$1300,L$5)</f>
        <v>40</v>
      </c>
      <c r="M474" s="26">
        <f>SUMIFS(INDEX(元データ_14項目!$D$2:$Q$1300,0,MATCH($B474,元データ_14項目!$D$1:$Q$1,0)),元データ_14項目!$A$2:$A$1300,$A474,元データ_14項目!$B$2:$B$1300,"本年",元データ_14項目!$C$2:$C$1300,M$5)</f>
        <v>24</v>
      </c>
      <c r="N474" s="26">
        <f>SUMIFS(INDEX(元データ_14項目!$D$2:$Q$1300,0,MATCH($B474,元データ_14項目!$D$1:$Q$1,0)),元データ_14項目!$A$2:$A$1300,$A474,元データ_14項目!$B$2:$B$1300,"本年",元データ_14項目!$C$2:$C$1300,N$5)</f>
        <v>7</v>
      </c>
      <c r="O474" s="26">
        <f t="shared" si="14"/>
        <v>264</v>
      </c>
      <c r="P474" s="26">
        <f>SUMIFS(INDEX(元データ_14項目!$D$2:$Q$1300,0,MATCH($B474,元データ_14項目!$D$1:$Q$1,0)),元データ_14項目!$A$2:$A$1300,$A474,元データ_14項目!$B$2:$B$1300,"前年")</f>
        <v>258</v>
      </c>
      <c r="Q474" s="7">
        <f t="shared" si="15"/>
        <v>1.0232558139534884</v>
      </c>
    </row>
    <row r="475" spans="1:17" x14ac:dyDescent="0.45">
      <c r="A475" t="s">
        <v>68</v>
      </c>
      <c r="B475" t="s">
        <v>93</v>
      </c>
      <c r="C475" s="26">
        <f>SUMIFS(INDEX(元データ_14項目!$D$2:$Q$1300,0,MATCH($B475,元データ_14項目!$D$1:$Q$1,0)),元データ_14項目!$A$2:$A$1300,$A475,元データ_14項目!$B$2:$B$1300,"本年",元データ_14項目!$C$2:$C$1300,C$5)</f>
        <v>16</v>
      </c>
      <c r="D475" s="26">
        <f>SUMIFS(INDEX(元データ_14項目!$D$2:$Q$1300,0,MATCH($B475,元データ_14項目!$D$1:$Q$1,0)),元データ_14項目!$A$2:$A$1300,$A475,元データ_14項目!$B$2:$B$1300,"本年",元データ_14項目!$C$2:$C$1300,D$5)</f>
        <v>9</v>
      </c>
      <c r="E475" s="26">
        <f>SUMIFS(INDEX(元データ_14項目!$D$2:$Q$1300,0,MATCH($B475,元データ_14項目!$D$1:$Q$1,0)),元データ_14項目!$A$2:$A$1300,$A475,元データ_14項目!$B$2:$B$1300,"本年",元データ_14項目!$C$2:$C$1300,E$5)</f>
        <v>8</v>
      </c>
      <c r="F475" s="26">
        <f>SUMIFS(INDEX(元データ_14項目!$D$2:$Q$1300,0,MATCH($B475,元データ_14項目!$D$1:$Q$1,0)),元データ_14項目!$A$2:$A$1300,$A475,元データ_14項目!$B$2:$B$1300,"本年",元データ_14項目!$C$2:$C$1300,F$5)</f>
        <v>33</v>
      </c>
      <c r="G475" s="26">
        <f>SUMIFS(INDEX(元データ_14項目!$D$2:$Q$1300,0,MATCH($B475,元データ_14項目!$D$1:$Q$1,0)),元データ_14項目!$A$2:$A$1300,$A475,元データ_14項目!$B$2:$B$1300,"本年",元データ_14項目!$C$2:$C$1300,G$5)</f>
        <v>62</v>
      </c>
      <c r="H475" s="26">
        <f>SUMIFS(INDEX(元データ_14項目!$D$2:$Q$1300,0,MATCH($B475,元データ_14項目!$D$1:$Q$1,0)),元データ_14項目!$A$2:$A$1300,$A475,元データ_14項目!$B$2:$B$1300,"本年",元データ_14項目!$C$2:$C$1300,H$5)</f>
        <v>44</v>
      </c>
      <c r="I475" s="26">
        <f>SUMIFS(INDEX(元データ_14項目!$D$2:$Q$1300,0,MATCH($B475,元データ_14項目!$D$1:$Q$1,0)),元データ_14項目!$A$2:$A$1300,$A475,元データ_14項目!$B$2:$B$1300,"本年",元データ_14項目!$C$2:$C$1300,I$5)</f>
        <v>27</v>
      </c>
      <c r="J475" s="26">
        <f>SUMIFS(INDEX(元データ_14項目!$D$2:$Q$1300,0,MATCH($B475,元データ_14項目!$D$1:$Q$1,0)),元データ_14項目!$A$2:$A$1300,$A475,元データ_14項目!$B$2:$B$1300,"本年",元データ_14項目!$C$2:$C$1300,J$5)</f>
        <v>70</v>
      </c>
      <c r="K475" s="26">
        <f>SUMIFS(INDEX(元データ_14項目!$D$2:$Q$1300,0,MATCH($B475,元データ_14項目!$D$1:$Q$1,0)),元データ_14項目!$A$2:$A$1300,$A475,元データ_14項目!$B$2:$B$1300,"本年",元データ_14項目!$C$2:$C$1300,K$5)</f>
        <v>22</v>
      </c>
      <c r="L475" s="26">
        <f>SUMIFS(INDEX(元データ_14項目!$D$2:$Q$1300,0,MATCH($B475,元データ_14項目!$D$1:$Q$1,0)),元データ_14項目!$A$2:$A$1300,$A475,元データ_14項目!$B$2:$B$1300,"本年",元データ_14項目!$C$2:$C$1300,L$5)</f>
        <v>108</v>
      </c>
      <c r="M475" s="26">
        <f>SUMIFS(INDEX(元データ_14項目!$D$2:$Q$1300,0,MATCH($B475,元データ_14項目!$D$1:$Q$1,0)),元データ_14項目!$A$2:$A$1300,$A475,元データ_14項目!$B$2:$B$1300,"本年",元データ_14項目!$C$2:$C$1300,M$5)</f>
        <v>48</v>
      </c>
      <c r="N475" s="26">
        <f>SUMIFS(INDEX(元データ_14項目!$D$2:$Q$1300,0,MATCH($B475,元データ_14項目!$D$1:$Q$1,0)),元データ_14項目!$A$2:$A$1300,$A475,元データ_14項目!$B$2:$B$1300,"本年",元データ_14項目!$C$2:$C$1300,N$5)</f>
        <v>25</v>
      </c>
      <c r="O475" s="26">
        <f t="shared" si="14"/>
        <v>472</v>
      </c>
      <c r="P475" s="26">
        <f>SUMIFS(INDEX(元データ_14項目!$D$2:$Q$1300,0,MATCH($B475,元データ_14項目!$D$1:$Q$1,0)),元データ_14項目!$A$2:$A$1300,$A475,元データ_14項目!$B$2:$B$1300,"前年")</f>
        <v>711</v>
      </c>
      <c r="Q475" s="7">
        <f t="shared" si="15"/>
        <v>0.66385372714486635</v>
      </c>
    </row>
    <row r="476" spans="1:17" x14ac:dyDescent="0.45">
      <c r="A476" t="s">
        <v>68</v>
      </c>
      <c r="B476" t="s">
        <v>94</v>
      </c>
      <c r="C476" s="26">
        <f>SUMIFS(INDEX(元データ_14項目!$D$2:$Q$1300,0,MATCH($B476,元データ_14項目!$D$1:$Q$1,0)),元データ_14項目!$A$2:$A$1300,$A476,元データ_14項目!$B$2:$B$1300,"本年",元データ_14項目!$C$2:$C$1300,C$5)</f>
        <v>10</v>
      </c>
      <c r="D476" s="26">
        <f>SUMIFS(INDEX(元データ_14項目!$D$2:$Q$1300,0,MATCH($B476,元データ_14項目!$D$1:$Q$1,0)),元データ_14項目!$A$2:$A$1300,$A476,元データ_14項目!$B$2:$B$1300,"本年",元データ_14項目!$C$2:$C$1300,D$5)</f>
        <v>12</v>
      </c>
      <c r="E476" s="26">
        <f>SUMIFS(INDEX(元データ_14項目!$D$2:$Q$1300,0,MATCH($B476,元データ_14項目!$D$1:$Q$1,0)),元データ_14項目!$A$2:$A$1300,$A476,元データ_14項目!$B$2:$B$1300,"本年",元データ_14項目!$C$2:$C$1300,E$5)</f>
        <v>20</v>
      </c>
      <c r="F476" s="26">
        <f>SUMIFS(INDEX(元データ_14項目!$D$2:$Q$1300,0,MATCH($B476,元データ_14項目!$D$1:$Q$1,0)),元データ_14項目!$A$2:$A$1300,$A476,元データ_14項目!$B$2:$B$1300,"本年",元データ_14項目!$C$2:$C$1300,F$5)</f>
        <v>22</v>
      </c>
      <c r="G476" s="26">
        <f>SUMIFS(INDEX(元データ_14項目!$D$2:$Q$1300,0,MATCH($B476,元データ_14項目!$D$1:$Q$1,0)),元データ_14項目!$A$2:$A$1300,$A476,元データ_14項目!$B$2:$B$1300,"本年",元データ_14項目!$C$2:$C$1300,G$5)</f>
        <v>13</v>
      </c>
      <c r="H476" s="26">
        <f>SUMIFS(INDEX(元データ_14項目!$D$2:$Q$1300,0,MATCH($B476,元データ_14項目!$D$1:$Q$1,0)),元データ_14項目!$A$2:$A$1300,$A476,元データ_14項目!$B$2:$B$1300,"本年",元データ_14項目!$C$2:$C$1300,H$5)</f>
        <v>9</v>
      </c>
      <c r="I476" s="26">
        <f>SUMIFS(INDEX(元データ_14項目!$D$2:$Q$1300,0,MATCH($B476,元データ_14項目!$D$1:$Q$1,0)),元データ_14項目!$A$2:$A$1300,$A476,元データ_14項目!$B$2:$B$1300,"本年",元データ_14項目!$C$2:$C$1300,I$5)</f>
        <v>6</v>
      </c>
      <c r="J476" s="26">
        <f>SUMIFS(INDEX(元データ_14項目!$D$2:$Q$1300,0,MATCH($B476,元データ_14項目!$D$1:$Q$1,0)),元データ_14項目!$A$2:$A$1300,$A476,元データ_14項目!$B$2:$B$1300,"本年",元データ_14項目!$C$2:$C$1300,J$5)</f>
        <v>12</v>
      </c>
      <c r="K476" s="26">
        <f>SUMIFS(INDEX(元データ_14項目!$D$2:$Q$1300,0,MATCH($B476,元データ_14項目!$D$1:$Q$1,0)),元データ_14項目!$A$2:$A$1300,$A476,元データ_14項目!$B$2:$B$1300,"本年",元データ_14項目!$C$2:$C$1300,K$5)</f>
        <v>79</v>
      </c>
      <c r="L476" s="26">
        <f>SUMIFS(INDEX(元データ_14項目!$D$2:$Q$1300,0,MATCH($B476,元データ_14項目!$D$1:$Q$1,0)),元データ_14項目!$A$2:$A$1300,$A476,元データ_14項目!$B$2:$B$1300,"本年",元データ_14項目!$C$2:$C$1300,L$5)</f>
        <v>41</v>
      </c>
      <c r="M476" s="26">
        <f>SUMIFS(INDEX(元データ_14項目!$D$2:$Q$1300,0,MATCH($B476,元データ_14項目!$D$1:$Q$1,0)),元データ_14項目!$A$2:$A$1300,$A476,元データ_14項目!$B$2:$B$1300,"本年",元データ_14項目!$C$2:$C$1300,M$5)</f>
        <v>29</v>
      </c>
      <c r="N476" s="26">
        <f>SUMIFS(INDEX(元データ_14項目!$D$2:$Q$1300,0,MATCH($B476,元データ_14項目!$D$1:$Q$1,0)),元データ_14項目!$A$2:$A$1300,$A476,元データ_14項目!$B$2:$B$1300,"本年",元データ_14項目!$C$2:$C$1300,N$5)</f>
        <v>10</v>
      </c>
      <c r="O476" s="26">
        <f t="shared" si="14"/>
        <v>263</v>
      </c>
      <c r="P476" s="26">
        <f>SUMIFS(INDEX(元データ_14項目!$D$2:$Q$1300,0,MATCH($B476,元データ_14項目!$D$1:$Q$1,0)),元データ_14項目!$A$2:$A$1300,$A476,元データ_14項目!$B$2:$B$1300,"前年")</f>
        <v>313</v>
      </c>
      <c r="Q476" s="7">
        <f t="shared" si="15"/>
        <v>0.84025559105431313</v>
      </c>
    </row>
    <row r="477" spans="1:17" x14ac:dyDescent="0.45">
      <c r="A477" t="s">
        <v>68</v>
      </c>
      <c r="B477" t="s">
        <v>95</v>
      </c>
      <c r="C477" s="26">
        <f>SUMIFS(INDEX(元データ_14項目!$D$2:$Q$1300,0,MATCH($B477,元データ_14項目!$D$1:$Q$1,0)),元データ_14項目!$A$2:$A$1300,$A477,元データ_14項目!$B$2:$B$1300,"本年",元データ_14項目!$C$2:$C$1300,C$5)</f>
        <v>15</v>
      </c>
      <c r="D477" s="26">
        <f>SUMIFS(INDEX(元データ_14項目!$D$2:$Q$1300,0,MATCH($B477,元データ_14項目!$D$1:$Q$1,0)),元データ_14項目!$A$2:$A$1300,$A477,元データ_14項目!$B$2:$B$1300,"本年",元データ_14項目!$C$2:$C$1300,D$5)</f>
        <v>25</v>
      </c>
      <c r="E477" s="26">
        <f>SUMIFS(INDEX(元データ_14項目!$D$2:$Q$1300,0,MATCH($B477,元データ_14項目!$D$1:$Q$1,0)),元データ_14項目!$A$2:$A$1300,$A477,元データ_14項目!$B$2:$B$1300,"本年",元データ_14項目!$C$2:$C$1300,E$5)</f>
        <v>19</v>
      </c>
      <c r="F477" s="26">
        <f>SUMIFS(INDEX(元データ_14項目!$D$2:$Q$1300,0,MATCH($B477,元データ_14項目!$D$1:$Q$1,0)),元データ_14項目!$A$2:$A$1300,$A477,元データ_14項目!$B$2:$B$1300,"本年",元データ_14項目!$C$2:$C$1300,F$5)</f>
        <v>10</v>
      </c>
      <c r="G477" s="26">
        <f>SUMIFS(INDEX(元データ_14項目!$D$2:$Q$1300,0,MATCH($B477,元データ_14項目!$D$1:$Q$1,0)),元データ_14項目!$A$2:$A$1300,$A477,元データ_14項目!$B$2:$B$1300,"本年",元データ_14項目!$C$2:$C$1300,G$5)</f>
        <v>13</v>
      </c>
      <c r="H477" s="26">
        <f>SUMIFS(INDEX(元データ_14項目!$D$2:$Q$1300,0,MATCH($B477,元データ_14項目!$D$1:$Q$1,0)),元データ_14項目!$A$2:$A$1300,$A477,元データ_14項目!$B$2:$B$1300,"本年",元データ_14項目!$C$2:$C$1300,H$5)</f>
        <v>6</v>
      </c>
      <c r="I477" s="26">
        <f>SUMIFS(INDEX(元データ_14項目!$D$2:$Q$1300,0,MATCH($B477,元データ_14項目!$D$1:$Q$1,0)),元データ_14項目!$A$2:$A$1300,$A477,元データ_14項目!$B$2:$B$1300,"本年",元データ_14項目!$C$2:$C$1300,I$5)</f>
        <v>12</v>
      </c>
      <c r="J477" s="26">
        <f>SUMIFS(INDEX(元データ_14項目!$D$2:$Q$1300,0,MATCH($B477,元データ_14項目!$D$1:$Q$1,0)),元データ_14項目!$A$2:$A$1300,$A477,元データ_14項目!$B$2:$B$1300,"本年",元データ_14項目!$C$2:$C$1300,J$5)</f>
        <v>17</v>
      </c>
      <c r="K477" s="26">
        <f>SUMIFS(INDEX(元データ_14項目!$D$2:$Q$1300,0,MATCH($B477,元データ_14項目!$D$1:$Q$1,0)),元データ_14項目!$A$2:$A$1300,$A477,元データ_14項目!$B$2:$B$1300,"本年",元データ_14項目!$C$2:$C$1300,K$5)</f>
        <v>34</v>
      </c>
      <c r="L477" s="26">
        <f>SUMIFS(INDEX(元データ_14項目!$D$2:$Q$1300,0,MATCH($B477,元データ_14項目!$D$1:$Q$1,0)),元データ_14項目!$A$2:$A$1300,$A477,元データ_14項目!$B$2:$B$1300,"本年",元データ_14項目!$C$2:$C$1300,L$5)</f>
        <v>19</v>
      </c>
      <c r="M477" s="26">
        <f>SUMIFS(INDEX(元データ_14項目!$D$2:$Q$1300,0,MATCH($B477,元データ_14項目!$D$1:$Q$1,0)),元データ_14項目!$A$2:$A$1300,$A477,元データ_14項目!$B$2:$B$1300,"本年",元データ_14項目!$C$2:$C$1300,M$5)</f>
        <v>15</v>
      </c>
      <c r="N477" s="26">
        <f>SUMIFS(INDEX(元データ_14項目!$D$2:$Q$1300,0,MATCH($B477,元データ_14項目!$D$1:$Q$1,0)),元データ_14項目!$A$2:$A$1300,$A477,元データ_14項目!$B$2:$B$1300,"本年",元データ_14項目!$C$2:$C$1300,N$5)</f>
        <v>7</v>
      </c>
      <c r="O477" s="26">
        <f t="shared" si="14"/>
        <v>192</v>
      </c>
      <c r="P477" s="26">
        <f>SUMIFS(INDEX(元データ_14項目!$D$2:$Q$1300,0,MATCH($B477,元データ_14項目!$D$1:$Q$1,0)),元データ_14項目!$A$2:$A$1300,$A477,元データ_14項目!$B$2:$B$1300,"前年")</f>
        <v>228</v>
      </c>
      <c r="Q477" s="7">
        <f t="shared" si="15"/>
        <v>0.84210526315789469</v>
      </c>
    </row>
    <row r="478" spans="1:17" x14ac:dyDescent="0.45">
      <c r="A478" t="s">
        <v>68</v>
      </c>
      <c r="B478" t="s">
        <v>96</v>
      </c>
      <c r="C478" s="26">
        <f>SUMIFS(INDEX(元データ_14項目!$D$2:$Q$1300,0,MATCH($B478,元データ_14項目!$D$1:$Q$1,0)),元データ_14項目!$A$2:$A$1300,$A478,元データ_14項目!$B$2:$B$1300,"本年",元データ_14項目!$C$2:$C$1300,C$5)</f>
        <v>5</v>
      </c>
      <c r="D478" s="26">
        <f>SUMIFS(INDEX(元データ_14項目!$D$2:$Q$1300,0,MATCH($B478,元データ_14項目!$D$1:$Q$1,0)),元データ_14項目!$A$2:$A$1300,$A478,元データ_14項目!$B$2:$B$1300,"本年",元データ_14項目!$C$2:$C$1300,D$5)</f>
        <v>12</v>
      </c>
      <c r="E478" s="26">
        <f>SUMIFS(INDEX(元データ_14項目!$D$2:$Q$1300,0,MATCH($B478,元データ_14項目!$D$1:$Q$1,0)),元データ_14項目!$A$2:$A$1300,$A478,元データ_14項目!$B$2:$B$1300,"本年",元データ_14項目!$C$2:$C$1300,E$5)</f>
        <v>16</v>
      </c>
      <c r="F478" s="26">
        <f>SUMIFS(INDEX(元データ_14項目!$D$2:$Q$1300,0,MATCH($B478,元データ_14項目!$D$1:$Q$1,0)),元データ_14項目!$A$2:$A$1300,$A478,元データ_14項目!$B$2:$B$1300,"本年",元データ_14項目!$C$2:$C$1300,F$5)</f>
        <v>30</v>
      </c>
      <c r="G478" s="26">
        <f>SUMIFS(INDEX(元データ_14項目!$D$2:$Q$1300,0,MATCH($B478,元データ_14項目!$D$1:$Q$1,0)),元データ_14項目!$A$2:$A$1300,$A478,元データ_14項目!$B$2:$B$1300,"本年",元データ_14項目!$C$2:$C$1300,G$5)</f>
        <v>27</v>
      </c>
      <c r="H478" s="26">
        <f>SUMIFS(INDEX(元データ_14項目!$D$2:$Q$1300,0,MATCH($B478,元データ_14項目!$D$1:$Q$1,0)),元データ_14項目!$A$2:$A$1300,$A478,元データ_14項目!$B$2:$B$1300,"本年",元データ_14項目!$C$2:$C$1300,H$5)</f>
        <v>17</v>
      </c>
      <c r="I478" s="26">
        <f>SUMIFS(INDEX(元データ_14項目!$D$2:$Q$1300,0,MATCH($B478,元データ_14項目!$D$1:$Q$1,0)),元データ_14項目!$A$2:$A$1300,$A478,元データ_14項目!$B$2:$B$1300,"本年",元データ_14項目!$C$2:$C$1300,I$5)</f>
        <v>27</v>
      </c>
      <c r="J478" s="26">
        <f>SUMIFS(INDEX(元データ_14項目!$D$2:$Q$1300,0,MATCH($B478,元データ_14項目!$D$1:$Q$1,0)),元データ_14項目!$A$2:$A$1300,$A478,元データ_14項目!$B$2:$B$1300,"本年",元データ_14項目!$C$2:$C$1300,J$5)</f>
        <v>95</v>
      </c>
      <c r="K478" s="26">
        <f>SUMIFS(INDEX(元データ_14項目!$D$2:$Q$1300,0,MATCH($B478,元データ_14項目!$D$1:$Q$1,0)),元データ_14項目!$A$2:$A$1300,$A478,元データ_14項目!$B$2:$B$1300,"本年",元データ_14項目!$C$2:$C$1300,K$5)</f>
        <v>184</v>
      </c>
      <c r="L478" s="26">
        <f>SUMIFS(INDEX(元データ_14項目!$D$2:$Q$1300,0,MATCH($B478,元データ_14項目!$D$1:$Q$1,0)),元データ_14項目!$A$2:$A$1300,$A478,元データ_14項目!$B$2:$B$1300,"本年",元データ_14項目!$C$2:$C$1300,L$5)</f>
        <v>131</v>
      </c>
      <c r="M478" s="26">
        <f>SUMIFS(INDEX(元データ_14項目!$D$2:$Q$1300,0,MATCH($B478,元データ_14項目!$D$1:$Q$1,0)),元データ_14項目!$A$2:$A$1300,$A478,元データ_14項目!$B$2:$B$1300,"本年",元データ_14項目!$C$2:$C$1300,M$5)</f>
        <v>56</v>
      </c>
      <c r="N478" s="26">
        <f>SUMIFS(INDEX(元データ_14項目!$D$2:$Q$1300,0,MATCH($B478,元データ_14項目!$D$1:$Q$1,0)),元データ_14項目!$A$2:$A$1300,$A478,元データ_14項目!$B$2:$B$1300,"本年",元データ_14項目!$C$2:$C$1300,N$5)</f>
        <v>35</v>
      </c>
      <c r="O478" s="26">
        <f t="shared" si="14"/>
        <v>635</v>
      </c>
      <c r="P478" s="26">
        <f>SUMIFS(INDEX(元データ_14項目!$D$2:$Q$1300,0,MATCH($B478,元データ_14項目!$D$1:$Q$1,0)),元データ_14項目!$A$2:$A$1300,$A478,元データ_14項目!$B$2:$B$1300,"前年")</f>
        <v>719</v>
      </c>
      <c r="Q478" s="7">
        <f t="shared" si="15"/>
        <v>0.88317107093184977</v>
      </c>
    </row>
    <row r="479" spans="1:17" x14ac:dyDescent="0.45">
      <c r="A479" t="s">
        <v>68</v>
      </c>
      <c r="B479" t="s">
        <v>97</v>
      </c>
      <c r="C479" s="26">
        <f>SUMIFS(INDEX(元データ_14項目!$D$2:$Q$1300,0,MATCH($B479,元データ_14項目!$D$1:$Q$1,0)),元データ_14項目!$A$2:$A$1300,$A479,元データ_14項目!$B$2:$B$1300,"本年",元データ_14項目!$C$2:$C$1300,C$5)</f>
        <v>12</v>
      </c>
      <c r="D479" s="26">
        <f>SUMIFS(INDEX(元データ_14項目!$D$2:$Q$1300,0,MATCH($B479,元データ_14項目!$D$1:$Q$1,0)),元データ_14項目!$A$2:$A$1300,$A479,元データ_14項目!$B$2:$B$1300,"本年",元データ_14項目!$C$2:$C$1300,D$5)</f>
        <v>12</v>
      </c>
      <c r="E479" s="26">
        <f>SUMIFS(INDEX(元データ_14項目!$D$2:$Q$1300,0,MATCH($B479,元データ_14項目!$D$1:$Q$1,0)),元データ_14項目!$A$2:$A$1300,$A479,元データ_14項目!$B$2:$B$1300,"本年",元データ_14項目!$C$2:$C$1300,E$5)</f>
        <v>14</v>
      </c>
      <c r="F479" s="26">
        <f>SUMIFS(INDEX(元データ_14項目!$D$2:$Q$1300,0,MATCH($B479,元データ_14項目!$D$1:$Q$1,0)),元データ_14項目!$A$2:$A$1300,$A479,元データ_14項目!$B$2:$B$1300,"本年",元データ_14項目!$C$2:$C$1300,F$5)</f>
        <v>26</v>
      </c>
      <c r="G479" s="26">
        <f>SUMIFS(INDEX(元データ_14項目!$D$2:$Q$1300,0,MATCH($B479,元データ_14項目!$D$1:$Q$1,0)),元データ_14項目!$A$2:$A$1300,$A479,元データ_14項目!$B$2:$B$1300,"本年",元データ_14項目!$C$2:$C$1300,G$5)</f>
        <v>36</v>
      </c>
      <c r="H479" s="26">
        <f>SUMIFS(INDEX(元データ_14項目!$D$2:$Q$1300,0,MATCH($B479,元データ_14項目!$D$1:$Q$1,0)),元データ_14項目!$A$2:$A$1300,$A479,元データ_14項目!$B$2:$B$1300,"本年",元データ_14項目!$C$2:$C$1300,H$5)</f>
        <v>12</v>
      </c>
      <c r="I479" s="26">
        <f>SUMIFS(INDEX(元データ_14項目!$D$2:$Q$1300,0,MATCH($B479,元データ_14項目!$D$1:$Q$1,0)),元データ_14項目!$A$2:$A$1300,$A479,元データ_14項目!$B$2:$B$1300,"本年",元データ_14項目!$C$2:$C$1300,I$5)</f>
        <v>11</v>
      </c>
      <c r="J479" s="26">
        <f>SUMIFS(INDEX(元データ_14項目!$D$2:$Q$1300,0,MATCH($B479,元データ_14項目!$D$1:$Q$1,0)),元データ_14項目!$A$2:$A$1300,$A479,元データ_14項目!$B$2:$B$1300,"本年",元データ_14項目!$C$2:$C$1300,J$5)</f>
        <v>72</v>
      </c>
      <c r="K479" s="26">
        <f>SUMIFS(INDEX(元データ_14項目!$D$2:$Q$1300,0,MATCH($B479,元データ_14項目!$D$1:$Q$1,0)),元データ_14項目!$A$2:$A$1300,$A479,元データ_14項目!$B$2:$B$1300,"本年",元データ_14項目!$C$2:$C$1300,K$5)</f>
        <v>180</v>
      </c>
      <c r="L479" s="26">
        <f>SUMIFS(INDEX(元データ_14項目!$D$2:$Q$1300,0,MATCH($B479,元データ_14項目!$D$1:$Q$1,0)),元データ_14項目!$A$2:$A$1300,$A479,元データ_14項目!$B$2:$B$1300,"本年",元データ_14項目!$C$2:$C$1300,L$5)</f>
        <v>85</v>
      </c>
      <c r="M479" s="26">
        <f>SUMIFS(INDEX(元データ_14項目!$D$2:$Q$1300,0,MATCH($B479,元データ_14項目!$D$1:$Q$1,0)),元データ_14項目!$A$2:$A$1300,$A479,元データ_14項目!$B$2:$B$1300,"本年",元データ_14項目!$C$2:$C$1300,M$5)</f>
        <v>48</v>
      </c>
      <c r="N479" s="26">
        <f>SUMIFS(INDEX(元データ_14項目!$D$2:$Q$1300,0,MATCH($B479,元データ_14項目!$D$1:$Q$1,0)),元データ_14項目!$A$2:$A$1300,$A479,元データ_14項目!$B$2:$B$1300,"本年",元データ_14項目!$C$2:$C$1300,N$5)</f>
        <v>18</v>
      </c>
      <c r="O479" s="26">
        <f t="shared" si="14"/>
        <v>526</v>
      </c>
      <c r="P479" s="26">
        <f>SUMIFS(INDEX(元データ_14項目!$D$2:$Q$1300,0,MATCH($B479,元データ_14項目!$D$1:$Q$1,0)),元データ_14項目!$A$2:$A$1300,$A479,元データ_14項目!$B$2:$B$1300,"前年")</f>
        <v>529</v>
      </c>
      <c r="Q479" s="7">
        <f t="shared" si="15"/>
        <v>0.99432892249527405</v>
      </c>
    </row>
    <row r="480" spans="1:17" x14ac:dyDescent="0.45">
      <c r="A480" t="s">
        <v>68</v>
      </c>
      <c r="B480" t="s">
        <v>98</v>
      </c>
      <c r="C480" s="26">
        <f>SUMIFS(INDEX(元データ_14項目!$D$2:$Q$1300,0,MATCH($B480,元データ_14項目!$D$1:$Q$1,0)),元データ_14項目!$A$2:$A$1300,$A480,元データ_14項目!$B$2:$B$1300,"本年",元データ_14項目!$C$2:$C$1300,C$5)</f>
        <v>6</v>
      </c>
      <c r="D480" s="26">
        <f>SUMIFS(INDEX(元データ_14項目!$D$2:$Q$1300,0,MATCH($B480,元データ_14項目!$D$1:$Q$1,0)),元データ_14項目!$A$2:$A$1300,$A480,元データ_14項目!$B$2:$B$1300,"本年",元データ_14項目!$C$2:$C$1300,D$5)</f>
        <v>2</v>
      </c>
      <c r="E480" s="26">
        <f>SUMIFS(INDEX(元データ_14項目!$D$2:$Q$1300,0,MATCH($B480,元データ_14項目!$D$1:$Q$1,0)),元データ_14項目!$A$2:$A$1300,$A480,元データ_14項目!$B$2:$B$1300,"本年",元データ_14項目!$C$2:$C$1300,E$5)</f>
        <v>13</v>
      </c>
      <c r="F480" s="26">
        <f>SUMIFS(INDEX(元データ_14項目!$D$2:$Q$1300,0,MATCH($B480,元データ_14項目!$D$1:$Q$1,0)),元データ_14項目!$A$2:$A$1300,$A480,元データ_14項目!$B$2:$B$1300,"本年",元データ_14項目!$C$2:$C$1300,F$5)</f>
        <v>9</v>
      </c>
      <c r="G480" s="26">
        <f>SUMIFS(INDEX(元データ_14項目!$D$2:$Q$1300,0,MATCH($B480,元データ_14項目!$D$1:$Q$1,0)),元データ_14項目!$A$2:$A$1300,$A480,元データ_14項目!$B$2:$B$1300,"本年",元データ_14項目!$C$2:$C$1300,G$5)</f>
        <v>12</v>
      </c>
      <c r="H480" s="26">
        <f>SUMIFS(INDEX(元データ_14項目!$D$2:$Q$1300,0,MATCH($B480,元データ_14項目!$D$1:$Q$1,0)),元データ_14項目!$A$2:$A$1300,$A480,元データ_14項目!$B$2:$B$1300,"本年",元データ_14項目!$C$2:$C$1300,H$5)</f>
        <v>10</v>
      </c>
      <c r="I480" s="26">
        <f>SUMIFS(INDEX(元データ_14項目!$D$2:$Q$1300,0,MATCH($B480,元データ_14項目!$D$1:$Q$1,0)),元データ_14項目!$A$2:$A$1300,$A480,元データ_14項目!$B$2:$B$1300,"本年",元データ_14項目!$C$2:$C$1300,I$5)</f>
        <v>8</v>
      </c>
      <c r="J480" s="26">
        <f>SUMIFS(INDEX(元データ_14項目!$D$2:$Q$1300,0,MATCH($B480,元データ_14項目!$D$1:$Q$1,0)),元データ_14項目!$A$2:$A$1300,$A480,元データ_14項目!$B$2:$B$1300,"本年",元データ_14項目!$C$2:$C$1300,J$5)</f>
        <v>77</v>
      </c>
      <c r="K480" s="26">
        <f>SUMIFS(INDEX(元データ_14項目!$D$2:$Q$1300,0,MATCH($B480,元データ_14項目!$D$1:$Q$1,0)),元データ_14項目!$A$2:$A$1300,$A480,元データ_14項目!$B$2:$B$1300,"本年",元データ_14項目!$C$2:$C$1300,K$5)</f>
        <v>136</v>
      </c>
      <c r="L480" s="26">
        <f>SUMIFS(INDEX(元データ_14項目!$D$2:$Q$1300,0,MATCH($B480,元データ_14項目!$D$1:$Q$1,0)),元データ_14項目!$A$2:$A$1300,$A480,元データ_14項目!$B$2:$B$1300,"本年",元データ_14項目!$C$2:$C$1300,L$5)</f>
        <v>56</v>
      </c>
      <c r="M480" s="26">
        <f>SUMIFS(INDEX(元データ_14項目!$D$2:$Q$1300,0,MATCH($B480,元データ_14項目!$D$1:$Q$1,0)),元データ_14項目!$A$2:$A$1300,$A480,元データ_14項目!$B$2:$B$1300,"本年",元データ_14項目!$C$2:$C$1300,M$5)</f>
        <v>25</v>
      </c>
      <c r="N480" s="26">
        <f>SUMIFS(INDEX(元データ_14項目!$D$2:$Q$1300,0,MATCH($B480,元データ_14項目!$D$1:$Q$1,0)),元データ_14項目!$A$2:$A$1300,$A480,元データ_14項目!$B$2:$B$1300,"本年",元データ_14項目!$C$2:$C$1300,N$5)</f>
        <v>7</v>
      </c>
      <c r="O480" s="26">
        <f t="shared" si="14"/>
        <v>361</v>
      </c>
      <c r="P480" s="26">
        <f>SUMIFS(INDEX(元データ_14項目!$D$2:$Q$1300,0,MATCH($B480,元データ_14項目!$D$1:$Q$1,0)),元データ_14項目!$A$2:$A$1300,$A480,元データ_14項目!$B$2:$B$1300,"前年")</f>
        <v>375</v>
      </c>
      <c r="Q480" s="7">
        <f t="shared" si="15"/>
        <v>0.96266666666666667</v>
      </c>
    </row>
    <row r="481" spans="1:17" x14ac:dyDescent="0.45">
      <c r="A481" t="s">
        <v>68</v>
      </c>
      <c r="B481" t="s">
        <v>99</v>
      </c>
      <c r="C481" s="26">
        <f>SUMIFS(INDEX(元データ_14項目!$D$2:$Q$1300,0,MATCH($B481,元データ_14項目!$D$1:$Q$1,0)),元データ_14項目!$A$2:$A$1300,$A481,元データ_14項目!$B$2:$B$1300,"本年",元データ_14項目!$C$2:$C$1300,C$5)</f>
        <v>0</v>
      </c>
      <c r="D481" s="26">
        <f>SUMIFS(INDEX(元データ_14項目!$D$2:$Q$1300,0,MATCH($B481,元データ_14項目!$D$1:$Q$1,0)),元データ_14項目!$A$2:$A$1300,$A481,元データ_14項目!$B$2:$B$1300,"本年",元データ_14項目!$C$2:$C$1300,D$5)</f>
        <v>0</v>
      </c>
      <c r="E481" s="26">
        <f>SUMIFS(INDEX(元データ_14項目!$D$2:$Q$1300,0,MATCH($B481,元データ_14項目!$D$1:$Q$1,0)),元データ_14項目!$A$2:$A$1300,$A481,元データ_14項目!$B$2:$B$1300,"本年",元データ_14項目!$C$2:$C$1300,E$5)</f>
        <v>0</v>
      </c>
      <c r="F481" s="26">
        <f>SUMIFS(INDEX(元データ_14項目!$D$2:$Q$1300,0,MATCH($B481,元データ_14項目!$D$1:$Q$1,0)),元データ_14項目!$A$2:$A$1300,$A481,元データ_14項目!$B$2:$B$1300,"本年",元データ_14項目!$C$2:$C$1300,F$5)</f>
        <v>0</v>
      </c>
      <c r="G481" s="26">
        <f>SUMIFS(INDEX(元データ_14項目!$D$2:$Q$1300,0,MATCH($B481,元データ_14項目!$D$1:$Q$1,0)),元データ_14項目!$A$2:$A$1300,$A481,元データ_14項目!$B$2:$B$1300,"本年",元データ_14項目!$C$2:$C$1300,G$5)</f>
        <v>0</v>
      </c>
      <c r="H481" s="26">
        <f>SUMIFS(INDEX(元データ_14項目!$D$2:$Q$1300,0,MATCH($B481,元データ_14項目!$D$1:$Q$1,0)),元データ_14項目!$A$2:$A$1300,$A481,元データ_14項目!$B$2:$B$1300,"本年",元データ_14項目!$C$2:$C$1300,H$5)</f>
        <v>0</v>
      </c>
      <c r="I481" s="26">
        <f>SUMIFS(INDEX(元データ_14項目!$D$2:$Q$1300,0,MATCH($B481,元データ_14項目!$D$1:$Q$1,0)),元データ_14項目!$A$2:$A$1300,$A481,元データ_14項目!$B$2:$B$1300,"本年",元データ_14項目!$C$2:$C$1300,I$5)</f>
        <v>4</v>
      </c>
      <c r="J481" s="26">
        <f>SUMIFS(INDEX(元データ_14項目!$D$2:$Q$1300,0,MATCH($B481,元データ_14項目!$D$1:$Q$1,0)),元データ_14項目!$A$2:$A$1300,$A481,元データ_14項目!$B$2:$B$1300,"本年",元データ_14項目!$C$2:$C$1300,J$5)</f>
        <v>0</v>
      </c>
      <c r="K481" s="26">
        <f>SUMIFS(INDEX(元データ_14項目!$D$2:$Q$1300,0,MATCH($B481,元データ_14項目!$D$1:$Q$1,0)),元データ_14項目!$A$2:$A$1300,$A481,元データ_14項目!$B$2:$B$1300,"本年",元データ_14項目!$C$2:$C$1300,K$5)</f>
        <v>14</v>
      </c>
      <c r="L481" s="26">
        <f>SUMIFS(INDEX(元データ_14項目!$D$2:$Q$1300,0,MATCH($B481,元データ_14項目!$D$1:$Q$1,0)),元データ_14項目!$A$2:$A$1300,$A481,元データ_14項目!$B$2:$B$1300,"本年",元データ_14項目!$C$2:$C$1300,L$5)</f>
        <v>3</v>
      </c>
      <c r="M481" s="26">
        <f>SUMIFS(INDEX(元データ_14項目!$D$2:$Q$1300,0,MATCH($B481,元データ_14項目!$D$1:$Q$1,0)),元データ_14項目!$A$2:$A$1300,$A481,元データ_14項目!$B$2:$B$1300,"本年",元データ_14項目!$C$2:$C$1300,M$5)</f>
        <v>0</v>
      </c>
      <c r="N481" s="26">
        <f>SUMIFS(INDEX(元データ_14項目!$D$2:$Q$1300,0,MATCH($B481,元データ_14項目!$D$1:$Q$1,0)),元データ_14項目!$A$2:$A$1300,$A481,元データ_14項目!$B$2:$B$1300,"本年",元データ_14項目!$C$2:$C$1300,N$5)</f>
        <v>0</v>
      </c>
      <c r="O481" s="26">
        <f t="shared" si="14"/>
        <v>21</v>
      </c>
      <c r="P481" s="26">
        <f>SUMIFS(INDEX(元データ_14項目!$D$2:$Q$1300,0,MATCH($B481,元データ_14項目!$D$1:$Q$1,0)),元データ_14項目!$A$2:$A$1300,$A481,元データ_14項目!$B$2:$B$1300,"前年")</f>
        <v>15</v>
      </c>
      <c r="Q481" s="7">
        <f t="shared" si="15"/>
        <v>1.4</v>
      </c>
    </row>
    <row r="482" spans="1:17" x14ac:dyDescent="0.45">
      <c r="A482" t="s">
        <v>69</v>
      </c>
      <c r="B482" t="s">
        <v>27</v>
      </c>
      <c r="C482" s="26">
        <f>SUMIFS(INDEX(元データ_14項目!$D$2:$Q$1300,0,MATCH($B482,元データ_14項目!$D$1:$Q$1,0)),元データ_14項目!$A$2:$A$1300,$A482,元データ_14項目!$B$2:$B$1300,"本年",元データ_14項目!$C$2:$C$1300,C$5)</f>
        <v>702</v>
      </c>
      <c r="D482" s="26">
        <f>SUMIFS(INDEX(元データ_14項目!$D$2:$Q$1300,0,MATCH($B482,元データ_14項目!$D$1:$Q$1,0)),元データ_14項目!$A$2:$A$1300,$A482,元データ_14項目!$B$2:$B$1300,"本年",元データ_14項目!$C$2:$C$1300,D$5)</f>
        <v>852</v>
      </c>
      <c r="E482" s="26">
        <f>SUMIFS(INDEX(元データ_14項目!$D$2:$Q$1300,0,MATCH($B482,元データ_14項目!$D$1:$Q$1,0)),元データ_14項目!$A$2:$A$1300,$A482,元データ_14項目!$B$2:$B$1300,"本年",元データ_14項目!$C$2:$C$1300,E$5)</f>
        <v>926</v>
      </c>
      <c r="F482" s="26">
        <f>SUMIFS(INDEX(元データ_14項目!$D$2:$Q$1300,0,MATCH($B482,元データ_14項目!$D$1:$Q$1,0)),元データ_14項目!$A$2:$A$1300,$A482,元データ_14項目!$B$2:$B$1300,"本年",元データ_14項目!$C$2:$C$1300,F$5)</f>
        <v>877</v>
      </c>
      <c r="G482" s="26">
        <f>SUMIFS(INDEX(元データ_14項目!$D$2:$Q$1300,0,MATCH($B482,元データ_14項目!$D$1:$Q$1,0)),元データ_14項目!$A$2:$A$1300,$A482,元データ_14項目!$B$2:$B$1300,"本年",元データ_14項目!$C$2:$C$1300,G$5)</f>
        <v>911</v>
      </c>
      <c r="H482" s="26">
        <f>SUMIFS(INDEX(元データ_14項目!$D$2:$Q$1300,0,MATCH($B482,元データ_14項目!$D$1:$Q$1,0)),元データ_14項目!$A$2:$A$1300,$A482,元データ_14項目!$B$2:$B$1300,"本年",元データ_14項目!$C$2:$C$1300,H$5)</f>
        <v>691</v>
      </c>
      <c r="I482" s="26">
        <f>SUMIFS(INDEX(元データ_14項目!$D$2:$Q$1300,0,MATCH($B482,元データ_14項目!$D$1:$Q$1,0)),元データ_14項目!$A$2:$A$1300,$A482,元データ_14項目!$B$2:$B$1300,"本年",元データ_14項目!$C$2:$C$1300,I$5)</f>
        <v>717</v>
      </c>
      <c r="J482" s="26">
        <f>SUMIFS(INDEX(元データ_14項目!$D$2:$Q$1300,0,MATCH($B482,元データ_14項目!$D$1:$Q$1,0)),元データ_14項目!$A$2:$A$1300,$A482,元データ_14項目!$B$2:$B$1300,"本年",元データ_14項目!$C$2:$C$1300,J$5)</f>
        <v>843</v>
      </c>
      <c r="K482" s="26">
        <f>SUMIFS(INDEX(元データ_14項目!$D$2:$Q$1300,0,MATCH($B482,元データ_14項目!$D$1:$Q$1,0)),元データ_14項目!$A$2:$A$1300,$A482,元データ_14項目!$B$2:$B$1300,"本年",元データ_14項目!$C$2:$C$1300,K$5)</f>
        <v>888</v>
      </c>
      <c r="L482" s="26">
        <f>SUMIFS(INDEX(元データ_14項目!$D$2:$Q$1300,0,MATCH($B482,元データ_14項目!$D$1:$Q$1,0)),元データ_14項目!$A$2:$A$1300,$A482,元データ_14項目!$B$2:$B$1300,"本年",元データ_14項目!$C$2:$C$1300,L$5)</f>
        <v>732</v>
      </c>
      <c r="M482" s="26">
        <f>SUMIFS(INDEX(元データ_14項目!$D$2:$Q$1300,0,MATCH($B482,元データ_14項目!$D$1:$Q$1,0)),元データ_14項目!$A$2:$A$1300,$A482,元データ_14項目!$B$2:$B$1300,"本年",元データ_14項目!$C$2:$C$1300,M$5)</f>
        <v>825</v>
      </c>
      <c r="N482" s="26">
        <f>SUMIFS(INDEX(元データ_14項目!$D$2:$Q$1300,0,MATCH($B482,元データ_14項目!$D$1:$Q$1,0)),元データ_14項目!$A$2:$A$1300,$A482,元データ_14項目!$B$2:$B$1300,"本年",元データ_14項目!$C$2:$C$1300,N$5)</f>
        <v>733</v>
      </c>
      <c r="O482" s="26">
        <f t="shared" si="14"/>
        <v>9697</v>
      </c>
      <c r="P482" s="26">
        <f>SUMIFS(INDEX(元データ_14項目!$D$2:$Q$1300,0,MATCH($B482,元データ_14項目!$D$1:$Q$1,0)),元データ_14項目!$A$2:$A$1300,$A482,元データ_14項目!$B$2:$B$1300,"前年")</f>
        <v>10194</v>
      </c>
      <c r="Q482" s="7">
        <f t="shared" si="15"/>
        <v>0.9512458308809103</v>
      </c>
    </row>
    <row r="483" spans="1:17" x14ac:dyDescent="0.45">
      <c r="A483" t="s">
        <v>69</v>
      </c>
      <c r="B483" t="s">
        <v>88</v>
      </c>
      <c r="C483" s="26">
        <f>SUMIFS(INDEX(元データ_14項目!$D$2:$Q$1300,0,MATCH($B483,元データ_14項目!$D$1:$Q$1,0)),元データ_14項目!$A$2:$A$1300,$A483,元データ_14項目!$B$2:$B$1300,"本年",元データ_14項目!$C$2:$C$1300,C$5)</f>
        <v>30</v>
      </c>
      <c r="D483" s="26">
        <f>SUMIFS(INDEX(元データ_14項目!$D$2:$Q$1300,0,MATCH($B483,元データ_14項目!$D$1:$Q$1,0)),元データ_14項目!$A$2:$A$1300,$A483,元データ_14項目!$B$2:$B$1300,"本年",元データ_14項目!$C$2:$C$1300,D$5)</f>
        <v>35</v>
      </c>
      <c r="E483" s="26">
        <f>SUMIFS(INDEX(元データ_14項目!$D$2:$Q$1300,0,MATCH($B483,元データ_14項目!$D$1:$Q$1,0)),元データ_14項目!$A$2:$A$1300,$A483,元データ_14項目!$B$2:$B$1300,"本年",元データ_14項目!$C$2:$C$1300,E$5)</f>
        <v>61</v>
      </c>
      <c r="F483" s="26">
        <f>SUMIFS(INDEX(元データ_14項目!$D$2:$Q$1300,0,MATCH($B483,元データ_14項目!$D$1:$Q$1,0)),元データ_14項目!$A$2:$A$1300,$A483,元データ_14項目!$B$2:$B$1300,"本年",元データ_14項目!$C$2:$C$1300,F$5)</f>
        <v>45</v>
      </c>
      <c r="G483" s="26">
        <f>SUMIFS(INDEX(元データ_14項目!$D$2:$Q$1300,0,MATCH($B483,元データ_14項目!$D$1:$Q$1,0)),元データ_14項目!$A$2:$A$1300,$A483,元データ_14項目!$B$2:$B$1300,"本年",元データ_14項目!$C$2:$C$1300,G$5)</f>
        <v>38</v>
      </c>
      <c r="H483" s="26">
        <f>SUMIFS(INDEX(元データ_14項目!$D$2:$Q$1300,0,MATCH($B483,元データ_14項目!$D$1:$Q$1,0)),元データ_14項目!$A$2:$A$1300,$A483,元データ_14項目!$B$2:$B$1300,"本年",元データ_14項目!$C$2:$C$1300,H$5)</f>
        <v>27</v>
      </c>
      <c r="I483" s="26">
        <f>SUMIFS(INDEX(元データ_14項目!$D$2:$Q$1300,0,MATCH($B483,元データ_14項目!$D$1:$Q$1,0)),元データ_14項目!$A$2:$A$1300,$A483,元データ_14項目!$B$2:$B$1300,"本年",元データ_14項目!$C$2:$C$1300,I$5)</f>
        <v>10</v>
      </c>
      <c r="J483" s="26">
        <f>SUMIFS(INDEX(元データ_14項目!$D$2:$Q$1300,0,MATCH($B483,元データ_14項目!$D$1:$Q$1,0)),元データ_14項目!$A$2:$A$1300,$A483,元データ_14項目!$B$2:$B$1300,"本年",元データ_14項目!$C$2:$C$1300,J$5)</f>
        <v>24</v>
      </c>
      <c r="K483" s="26">
        <f>SUMIFS(INDEX(元データ_14項目!$D$2:$Q$1300,0,MATCH($B483,元データ_14項目!$D$1:$Q$1,0)),元データ_14項目!$A$2:$A$1300,$A483,元データ_14項目!$B$2:$B$1300,"本年",元データ_14項目!$C$2:$C$1300,K$5)</f>
        <v>38</v>
      </c>
      <c r="L483" s="26">
        <f>SUMIFS(INDEX(元データ_14項目!$D$2:$Q$1300,0,MATCH($B483,元データ_14項目!$D$1:$Q$1,0)),元データ_14項目!$A$2:$A$1300,$A483,元データ_14項目!$B$2:$B$1300,"本年",元データ_14項目!$C$2:$C$1300,L$5)</f>
        <v>43</v>
      </c>
      <c r="M483" s="26">
        <f>SUMIFS(INDEX(元データ_14項目!$D$2:$Q$1300,0,MATCH($B483,元データ_14項目!$D$1:$Q$1,0)),元データ_14項目!$A$2:$A$1300,$A483,元データ_14項目!$B$2:$B$1300,"本年",元データ_14項目!$C$2:$C$1300,M$5)</f>
        <v>40</v>
      </c>
      <c r="N483" s="26">
        <f>SUMIFS(INDEX(元データ_14項目!$D$2:$Q$1300,0,MATCH($B483,元データ_14項目!$D$1:$Q$1,0)),元データ_14項目!$A$2:$A$1300,$A483,元データ_14項目!$B$2:$B$1300,"本年",元データ_14項目!$C$2:$C$1300,N$5)</f>
        <v>34</v>
      </c>
      <c r="O483" s="26">
        <f t="shared" si="14"/>
        <v>425</v>
      </c>
      <c r="P483" s="26">
        <f>SUMIFS(INDEX(元データ_14項目!$D$2:$Q$1300,0,MATCH($B483,元データ_14項目!$D$1:$Q$1,0)),元データ_14項目!$A$2:$A$1300,$A483,元データ_14項目!$B$2:$B$1300,"前年")</f>
        <v>529</v>
      </c>
      <c r="Q483" s="7">
        <f t="shared" si="15"/>
        <v>0.80340264650283555</v>
      </c>
    </row>
    <row r="484" spans="1:17" x14ac:dyDescent="0.45">
      <c r="A484" t="s">
        <v>69</v>
      </c>
      <c r="B484" t="s">
        <v>89</v>
      </c>
      <c r="C484" s="26">
        <f>SUMIFS(INDEX(元データ_14項目!$D$2:$Q$1300,0,MATCH($B484,元データ_14項目!$D$1:$Q$1,0)),元データ_14項目!$A$2:$A$1300,$A484,元データ_14項目!$B$2:$B$1300,"本年",元データ_14項目!$C$2:$C$1300,C$5)</f>
        <v>38</v>
      </c>
      <c r="D484" s="26">
        <f>SUMIFS(INDEX(元データ_14項目!$D$2:$Q$1300,0,MATCH($B484,元データ_14項目!$D$1:$Q$1,0)),元データ_14項目!$A$2:$A$1300,$A484,元データ_14項目!$B$2:$B$1300,"本年",元データ_14項目!$C$2:$C$1300,D$5)</f>
        <v>27</v>
      </c>
      <c r="E484" s="26">
        <f>SUMIFS(INDEX(元データ_14項目!$D$2:$Q$1300,0,MATCH($B484,元データ_14項目!$D$1:$Q$1,0)),元データ_14項目!$A$2:$A$1300,$A484,元データ_14項目!$B$2:$B$1300,"本年",元データ_14項目!$C$2:$C$1300,E$5)</f>
        <v>34</v>
      </c>
      <c r="F484" s="26">
        <f>SUMIFS(INDEX(元データ_14項目!$D$2:$Q$1300,0,MATCH($B484,元データ_14項目!$D$1:$Q$1,0)),元データ_14項目!$A$2:$A$1300,$A484,元データ_14項目!$B$2:$B$1300,"本年",元データ_14項目!$C$2:$C$1300,F$5)</f>
        <v>46</v>
      </c>
      <c r="G484" s="26">
        <f>SUMIFS(INDEX(元データ_14項目!$D$2:$Q$1300,0,MATCH($B484,元データ_14項目!$D$1:$Q$1,0)),元データ_14項目!$A$2:$A$1300,$A484,元データ_14項目!$B$2:$B$1300,"本年",元データ_14項目!$C$2:$C$1300,G$5)</f>
        <v>66</v>
      </c>
      <c r="H484" s="26">
        <f>SUMIFS(INDEX(元データ_14項目!$D$2:$Q$1300,0,MATCH($B484,元データ_14項目!$D$1:$Q$1,0)),元データ_14項目!$A$2:$A$1300,$A484,元データ_14項目!$B$2:$B$1300,"本年",元データ_14項目!$C$2:$C$1300,H$5)</f>
        <v>17</v>
      </c>
      <c r="I484" s="26">
        <f>SUMIFS(INDEX(元データ_14項目!$D$2:$Q$1300,0,MATCH($B484,元データ_14項目!$D$1:$Q$1,0)),元データ_14項目!$A$2:$A$1300,$A484,元データ_14項目!$B$2:$B$1300,"本年",元データ_14項目!$C$2:$C$1300,I$5)</f>
        <v>15</v>
      </c>
      <c r="J484" s="26">
        <f>SUMIFS(INDEX(元データ_14項目!$D$2:$Q$1300,0,MATCH($B484,元データ_14項目!$D$1:$Q$1,0)),元データ_14項目!$A$2:$A$1300,$A484,元データ_14項目!$B$2:$B$1300,"本年",元データ_14項目!$C$2:$C$1300,J$5)</f>
        <v>50</v>
      </c>
      <c r="K484" s="26">
        <f>SUMIFS(INDEX(元データ_14項目!$D$2:$Q$1300,0,MATCH($B484,元データ_14項目!$D$1:$Q$1,0)),元データ_14項目!$A$2:$A$1300,$A484,元データ_14項目!$B$2:$B$1300,"本年",元データ_14項目!$C$2:$C$1300,K$5)</f>
        <v>48</v>
      </c>
      <c r="L484" s="26">
        <f>SUMIFS(INDEX(元データ_14項目!$D$2:$Q$1300,0,MATCH($B484,元データ_14項目!$D$1:$Q$1,0)),元データ_14項目!$A$2:$A$1300,$A484,元データ_14項目!$B$2:$B$1300,"本年",元データ_14項目!$C$2:$C$1300,L$5)</f>
        <v>28</v>
      </c>
      <c r="M484" s="26">
        <f>SUMIFS(INDEX(元データ_14項目!$D$2:$Q$1300,0,MATCH($B484,元データ_14項目!$D$1:$Q$1,0)),元データ_14項目!$A$2:$A$1300,$A484,元データ_14項目!$B$2:$B$1300,"本年",元データ_14項目!$C$2:$C$1300,M$5)</f>
        <v>58</v>
      </c>
      <c r="N484" s="26">
        <f>SUMIFS(INDEX(元データ_14項目!$D$2:$Q$1300,0,MATCH($B484,元データ_14項目!$D$1:$Q$1,0)),元データ_14項目!$A$2:$A$1300,$A484,元データ_14項目!$B$2:$B$1300,"本年",元データ_14項目!$C$2:$C$1300,N$5)</f>
        <v>43</v>
      </c>
      <c r="O484" s="26">
        <f t="shared" si="14"/>
        <v>470</v>
      </c>
      <c r="P484" s="26">
        <f>SUMIFS(INDEX(元データ_14項目!$D$2:$Q$1300,0,MATCH($B484,元データ_14項目!$D$1:$Q$1,0)),元データ_14項目!$A$2:$A$1300,$A484,元データ_14項目!$B$2:$B$1300,"前年")</f>
        <v>450</v>
      </c>
      <c r="Q484" s="7">
        <f t="shared" si="15"/>
        <v>1.0444444444444445</v>
      </c>
    </row>
    <row r="485" spans="1:17" x14ac:dyDescent="0.45">
      <c r="A485" t="s">
        <v>69</v>
      </c>
      <c r="B485" t="s">
        <v>90</v>
      </c>
      <c r="C485" s="26">
        <f>SUMIFS(INDEX(元データ_14項目!$D$2:$Q$1300,0,MATCH($B485,元データ_14項目!$D$1:$Q$1,0)),元データ_14項目!$A$2:$A$1300,$A485,元データ_14項目!$B$2:$B$1300,"本年",元データ_14項目!$C$2:$C$1300,C$5)</f>
        <v>41</v>
      </c>
      <c r="D485" s="26">
        <f>SUMIFS(INDEX(元データ_14項目!$D$2:$Q$1300,0,MATCH($B485,元データ_14項目!$D$1:$Q$1,0)),元データ_14項目!$A$2:$A$1300,$A485,元データ_14項目!$B$2:$B$1300,"本年",元データ_14項目!$C$2:$C$1300,D$5)</f>
        <v>54</v>
      </c>
      <c r="E485" s="26">
        <f>SUMIFS(INDEX(元データ_14項目!$D$2:$Q$1300,0,MATCH($B485,元データ_14項目!$D$1:$Q$1,0)),元データ_14項目!$A$2:$A$1300,$A485,元データ_14項目!$B$2:$B$1300,"本年",元データ_14項目!$C$2:$C$1300,E$5)</f>
        <v>52</v>
      </c>
      <c r="F485" s="26">
        <f>SUMIFS(INDEX(元データ_14項目!$D$2:$Q$1300,0,MATCH($B485,元データ_14項目!$D$1:$Q$1,0)),元データ_14項目!$A$2:$A$1300,$A485,元データ_14項目!$B$2:$B$1300,"本年",元データ_14項目!$C$2:$C$1300,F$5)</f>
        <v>75</v>
      </c>
      <c r="G485" s="26">
        <f>SUMIFS(INDEX(元データ_14項目!$D$2:$Q$1300,0,MATCH($B485,元データ_14項目!$D$1:$Q$1,0)),元データ_14項目!$A$2:$A$1300,$A485,元データ_14項目!$B$2:$B$1300,"本年",元データ_14項目!$C$2:$C$1300,G$5)</f>
        <v>174</v>
      </c>
      <c r="H485" s="26">
        <f>SUMIFS(INDEX(元データ_14項目!$D$2:$Q$1300,0,MATCH($B485,元データ_14項目!$D$1:$Q$1,0)),元データ_14項目!$A$2:$A$1300,$A485,元データ_14項目!$B$2:$B$1300,"本年",元データ_14項目!$C$2:$C$1300,H$5)</f>
        <v>138</v>
      </c>
      <c r="I485" s="26">
        <f>SUMIFS(INDEX(元データ_14項目!$D$2:$Q$1300,0,MATCH($B485,元データ_14項目!$D$1:$Q$1,0)),元データ_14項目!$A$2:$A$1300,$A485,元データ_14項目!$B$2:$B$1300,"本年",元データ_14項目!$C$2:$C$1300,I$5)</f>
        <v>74</v>
      </c>
      <c r="J485" s="26">
        <f>SUMIFS(INDEX(元データ_14項目!$D$2:$Q$1300,0,MATCH($B485,元データ_14項目!$D$1:$Q$1,0)),元データ_14項目!$A$2:$A$1300,$A485,元データ_14項目!$B$2:$B$1300,"本年",元データ_14項目!$C$2:$C$1300,J$5)</f>
        <v>189</v>
      </c>
      <c r="K485" s="26">
        <f>SUMIFS(INDEX(元データ_14項目!$D$2:$Q$1300,0,MATCH($B485,元データ_14項目!$D$1:$Q$1,0)),元データ_14項目!$A$2:$A$1300,$A485,元データ_14項目!$B$2:$B$1300,"本年",元データ_14項目!$C$2:$C$1300,K$5)</f>
        <v>225</v>
      </c>
      <c r="L485" s="26">
        <f>SUMIFS(INDEX(元データ_14項目!$D$2:$Q$1300,0,MATCH($B485,元データ_14項目!$D$1:$Q$1,0)),元データ_14項目!$A$2:$A$1300,$A485,元データ_14項目!$B$2:$B$1300,"本年",元データ_14項目!$C$2:$C$1300,L$5)</f>
        <v>144</v>
      </c>
      <c r="M485" s="26">
        <f>SUMIFS(INDEX(元データ_14項目!$D$2:$Q$1300,0,MATCH($B485,元データ_14項目!$D$1:$Q$1,0)),元データ_14項目!$A$2:$A$1300,$A485,元データ_14項目!$B$2:$B$1300,"本年",元データ_14項目!$C$2:$C$1300,M$5)</f>
        <v>112</v>
      </c>
      <c r="N485" s="26">
        <f>SUMIFS(INDEX(元データ_14項目!$D$2:$Q$1300,0,MATCH($B485,元データ_14項目!$D$1:$Q$1,0)),元データ_14項目!$A$2:$A$1300,$A485,元データ_14項目!$B$2:$B$1300,"本年",元データ_14項目!$C$2:$C$1300,N$5)</f>
        <v>60</v>
      </c>
      <c r="O485" s="26">
        <f t="shared" si="14"/>
        <v>1338</v>
      </c>
      <c r="P485" s="26">
        <f>SUMIFS(INDEX(元データ_14項目!$D$2:$Q$1300,0,MATCH($B485,元データ_14項目!$D$1:$Q$1,0)),元データ_14項目!$A$2:$A$1300,$A485,元データ_14項目!$B$2:$B$1300,"前年")</f>
        <v>1514</v>
      </c>
      <c r="Q485" s="7">
        <f t="shared" si="15"/>
        <v>0.88375165125495381</v>
      </c>
    </row>
    <row r="486" spans="1:17" x14ac:dyDescent="0.45">
      <c r="A486" t="s">
        <v>69</v>
      </c>
      <c r="B486" t="s">
        <v>91</v>
      </c>
      <c r="C486" s="26">
        <f>SUMIFS(INDEX(元データ_14項目!$D$2:$Q$1300,0,MATCH($B486,元データ_14項目!$D$1:$Q$1,0)),元データ_14項目!$A$2:$A$1300,$A486,元データ_14項目!$B$2:$B$1300,"本年",元データ_14項目!$C$2:$C$1300,C$5)</f>
        <v>21</v>
      </c>
      <c r="D486" s="26">
        <f>SUMIFS(INDEX(元データ_14項目!$D$2:$Q$1300,0,MATCH($B486,元データ_14項目!$D$1:$Q$1,0)),元データ_14項目!$A$2:$A$1300,$A486,元データ_14項目!$B$2:$B$1300,"本年",元データ_14項目!$C$2:$C$1300,D$5)</f>
        <v>30</v>
      </c>
      <c r="E486" s="26">
        <f>SUMIFS(INDEX(元データ_14項目!$D$2:$Q$1300,0,MATCH($B486,元データ_14項目!$D$1:$Q$1,0)),元データ_14項目!$A$2:$A$1300,$A486,元データ_14項目!$B$2:$B$1300,"本年",元データ_14項目!$C$2:$C$1300,E$5)</f>
        <v>98</v>
      </c>
      <c r="F486" s="26">
        <f>SUMIFS(INDEX(元データ_14項目!$D$2:$Q$1300,0,MATCH($B486,元データ_14項目!$D$1:$Q$1,0)),元データ_14項目!$A$2:$A$1300,$A486,元データ_14項目!$B$2:$B$1300,"本年",元データ_14項目!$C$2:$C$1300,F$5)</f>
        <v>115</v>
      </c>
      <c r="G486" s="26">
        <f>SUMIFS(INDEX(元データ_14項目!$D$2:$Q$1300,0,MATCH($B486,元データ_14項目!$D$1:$Q$1,0)),元データ_14項目!$A$2:$A$1300,$A486,元データ_14項目!$B$2:$B$1300,"本年",元データ_14項目!$C$2:$C$1300,G$5)</f>
        <v>44</v>
      </c>
      <c r="H486" s="26">
        <f>SUMIFS(INDEX(元データ_14項目!$D$2:$Q$1300,0,MATCH($B486,元データ_14項目!$D$1:$Q$1,0)),元データ_14項目!$A$2:$A$1300,$A486,元データ_14項目!$B$2:$B$1300,"本年",元データ_14項目!$C$2:$C$1300,H$5)</f>
        <v>15</v>
      </c>
      <c r="I486" s="26">
        <f>SUMIFS(INDEX(元データ_14項目!$D$2:$Q$1300,0,MATCH($B486,元データ_14項目!$D$1:$Q$1,0)),元データ_14項目!$A$2:$A$1300,$A486,元データ_14項目!$B$2:$B$1300,"本年",元データ_14項目!$C$2:$C$1300,I$5)</f>
        <v>41</v>
      </c>
      <c r="J486" s="26">
        <f>SUMIFS(INDEX(元データ_14項目!$D$2:$Q$1300,0,MATCH($B486,元データ_14項目!$D$1:$Q$1,0)),元データ_14項目!$A$2:$A$1300,$A486,元データ_14項目!$B$2:$B$1300,"本年",元データ_14項目!$C$2:$C$1300,J$5)</f>
        <v>25</v>
      </c>
      <c r="K486" s="26">
        <f>SUMIFS(INDEX(元データ_14項目!$D$2:$Q$1300,0,MATCH($B486,元データ_14項目!$D$1:$Q$1,0)),元データ_14項目!$A$2:$A$1300,$A486,元データ_14項目!$B$2:$B$1300,"本年",元データ_14項目!$C$2:$C$1300,K$5)</f>
        <v>39</v>
      </c>
      <c r="L486" s="26">
        <f>SUMIFS(INDEX(元データ_14項目!$D$2:$Q$1300,0,MATCH($B486,元データ_14項目!$D$1:$Q$1,0)),元データ_14項目!$A$2:$A$1300,$A486,元データ_14項目!$B$2:$B$1300,"本年",元データ_14項目!$C$2:$C$1300,L$5)</f>
        <v>36</v>
      </c>
      <c r="M486" s="26">
        <f>SUMIFS(INDEX(元データ_14項目!$D$2:$Q$1300,0,MATCH($B486,元データ_14項目!$D$1:$Q$1,0)),元データ_14項目!$A$2:$A$1300,$A486,元データ_14項目!$B$2:$B$1300,"本年",元データ_14項目!$C$2:$C$1300,M$5)</f>
        <v>26</v>
      </c>
      <c r="N486" s="26">
        <f>SUMIFS(INDEX(元データ_14項目!$D$2:$Q$1300,0,MATCH($B486,元データ_14項目!$D$1:$Q$1,0)),元データ_14項目!$A$2:$A$1300,$A486,元データ_14項目!$B$2:$B$1300,"本年",元データ_14項目!$C$2:$C$1300,N$5)</f>
        <v>29</v>
      </c>
      <c r="O486" s="26">
        <f t="shared" si="14"/>
        <v>519</v>
      </c>
      <c r="P486" s="26">
        <f>SUMIFS(INDEX(元データ_14項目!$D$2:$Q$1300,0,MATCH($B486,元データ_14項目!$D$1:$Q$1,0)),元データ_14項目!$A$2:$A$1300,$A486,元データ_14項目!$B$2:$B$1300,"前年")</f>
        <v>344</v>
      </c>
      <c r="Q486" s="7">
        <f t="shared" si="15"/>
        <v>1.5087209302325582</v>
      </c>
    </row>
    <row r="487" spans="1:17" x14ac:dyDescent="0.45">
      <c r="A487" t="s">
        <v>69</v>
      </c>
      <c r="B487" t="s">
        <v>28</v>
      </c>
      <c r="C487" s="26">
        <f>SUMIFS(INDEX(元データ_14項目!$D$2:$Q$1300,0,MATCH($B487,元データ_14項目!$D$1:$Q$1,0)),元データ_14項目!$A$2:$A$1300,$A487,元データ_14項目!$B$2:$B$1300,"本年",元データ_14項目!$C$2:$C$1300,C$5)</f>
        <v>209</v>
      </c>
      <c r="D487" s="26">
        <f>SUMIFS(INDEX(元データ_14項目!$D$2:$Q$1300,0,MATCH($B487,元データ_14項目!$D$1:$Q$1,0)),元データ_14項目!$A$2:$A$1300,$A487,元データ_14項目!$B$2:$B$1300,"本年",元データ_14項目!$C$2:$C$1300,D$5)</f>
        <v>241</v>
      </c>
      <c r="E487" s="26">
        <f>SUMIFS(INDEX(元データ_14項目!$D$2:$Q$1300,0,MATCH($B487,元データ_14項目!$D$1:$Q$1,0)),元データ_14項目!$A$2:$A$1300,$A487,元データ_14項目!$B$2:$B$1300,"本年",元データ_14項目!$C$2:$C$1300,E$5)</f>
        <v>339</v>
      </c>
      <c r="F487" s="26">
        <f>SUMIFS(INDEX(元データ_14項目!$D$2:$Q$1300,0,MATCH($B487,元データ_14項目!$D$1:$Q$1,0)),元データ_14項目!$A$2:$A$1300,$A487,元データ_14項目!$B$2:$B$1300,"本年",元データ_14項目!$C$2:$C$1300,F$5)</f>
        <v>292</v>
      </c>
      <c r="G487" s="26">
        <f>SUMIFS(INDEX(元データ_14項目!$D$2:$Q$1300,0,MATCH($B487,元データ_14項目!$D$1:$Q$1,0)),元データ_14項目!$A$2:$A$1300,$A487,元データ_14項目!$B$2:$B$1300,"本年",元データ_14項目!$C$2:$C$1300,G$5)</f>
        <v>237</v>
      </c>
      <c r="H487" s="26">
        <f>SUMIFS(INDEX(元データ_14項目!$D$2:$Q$1300,0,MATCH($B487,元データ_14項目!$D$1:$Q$1,0)),元データ_14項目!$A$2:$A$1300,$A487,元データ_14項目!$B$2:$B$1300,"本年",元データ_14項目!$C$2:$C$1300,H$5)</f>
        <v>156</v>
      </c>
      <c r="I487" s="26">
        <f>SUMIFS(INDEX(元データ_14項目!$D$2:$Q$1300,0,MATCH($B487,元データ_14項目!$D$1:$Q$1,0)),元データ_14項目!$A$2:$A$1300,$A487,元データ_14項目!$B$2:$B$1300,"本年",元データ_14項目!$C$2:$C$1300,I$5)</f>
        <v>145</v>
      </c>
      <c r="J487" s="26">
        <f>SUMIFS(INDEX(元データ_14項目!$D$2:$Q$1300,0,MATCH($B487,元データ_14項目!$D$1:$Q$1,0)),元データ_14項目!$A$2:$A$1300,$A487,元データ_14項目!$B$2:$B$1300,"本年",元データ_14項目!$C$2:$C$1300,J$5)</f>
        <v>128</v>
      </c>
      <c r="K487" s="26">
        <f>SUMIFS(INDEX(元データ_14項目!$D$2:$Q$1300,0,MATCH($B487,元データ_14項目!$D$1:$Q$1,0)),元データ_14項目!$A$2:$A$1300,$A487,元データ_14項目!$B$2:$B$1300,"本年",元データ_14項目!$C$2:$C$1300,K$5)</f>
        <v>172</v>
      </c>
      <c r="L487" s="26">
        <f>SUMIFS(INDEX(元データ_14項目!$D$2:$Q$1300,0,MATCH($B487,元データ_14項目!$D$1:$Q$1,0)),元データ_14項目!$A$2:$A$1300,$A487,元データ_14項目!$B$2:$B$1300,"本年",元データ_14項目!$C$2:$C$1300,L$5)</f>
        <v>181</v>
      </c>
      <c r="M487" s="26">
        <f>SUMIFS(INDEX(元データ_14項目!$D$2:$Q$1300,0,MATCH($B487,元データ_14項目!$D$1:$Q$1,0)),元データ_14項目!$A$2:$A$1300,$A487,元データ_14項目!$B$2:$B$1300,"本年",元データ_14項目!$C$2:$C$1300,M$5)</f>
        <v>201</v>
      </c>
      <c r="N487" s="26">
        <f>SUMIFS(INDEX(元データ_14項目!$D$2:$Q$1300,0,MATCH($B487,元データ_14項目!$D$1:$Q$1,0)),元データ_14項目!$A$2:$A$1300,$A487,元データ_14項目!$B$2:$B$1300,"本年",元データ_14項目!$C$2:$C$1300,N$5)</f>
        <v>223</v>
      </c>
      <c r="O487" s="26">
        <f t="shared" si="14"/>
        <v>2524</v>
      </c>
      <c r="P487" s="26">
        <f>SUMIFS(INDEX(元データ_14項目!$D$2:$Q$1300,0,MATCH($B487,元データ_14項目!$D$1:$Q$1,0)),元データ_14項目!$A$2:$A$1300,$A487,元データ_14項目!$B$2:$B$1300,"前年")</f>
        <v>2431</v>
      </c>
      <c r="Q487" s="7">
        <f t="shared" si="15"/>
        <v>1.0382558617852735</v>
      </c>
    </row>
    <row r="488" spans="1:17" x14ac:dyDescent="0.45">
      <c r="A488" t="s">
        <v>69</v>
      </c>
      <c r="B488" t="s">
        <v>92</v>
      </c>
      <c r="C488" s="26">
        <f>SUMIFS(INDEX(元データ_14項目!$D$2:$Q$1300,0,MATCH($B488,元データ_14項目!$D$1:$Q$1,0)),元データ_14項目!$A$2:$A$1300,$A488,元データ_14項目!$B$2:$B$1300,"本年",元データ_14項目!$C$2:$C$1300,C$5)</f>
        <v>20</v>
      </c>
      <c r="D488" s="26">
        <f>SUMIFS(INDEX(元データ_14項目!$D$2:$Q$1300,0,MATCH($B488,元データ_14項目!$D$1:$Q$1,0)),元データ_14項目!$A$2:$A$1300,$A488,元データ_14項目!$B$2:$B$1300,"本年",元データ_14項目!$C$2:$C$1300,D$5)</f>
        <v>41</v>
      </c>
      <c r="E488" s="26">
        <f>SUMIFS(INDEX(元データ_14項目!$D$2:$Q$1300,0,MATCH($B488,元データ_14項目!$D$1:$Q$1,0)),元データ_14項目!$A$2:$A$1300,$A488,元データ_14項目!$B$2:$B$1300,"本年",元データ_14項目!$C$2:$C$1300,E$5)</f>
        <v>78</v>
      </c>
      <c r="F488" s="26">
        <f>SUMIFS(INDEX(元データ_14項目!$D$2:$Q$1300,0,MATCH($B488,元データ_14項目!$D$1:$Q$1,0)),元データ_14項目!$A$2:$A$1300,$A488,元データ_14項目!$B$2:$B$1300,"本年",元データ_14項目!$C$2:$C$1300,F$5)</f>
        <v>35</v>
      </c>
      <c r="G488" s="26">
        <f>SUMIFS(INDEX(元データ_14項目!$D$2:$Q$1300,0,MATCH($B488,元データ_14項目!$D$1:$Q$1,0)),元データ_14項目!$A$2:$A$1300,$A488,元データ_14項目!$B$2:$B$1300,"本年",元データ_14項目!$C$2:$C$1300,G$5)</f>
        <v>43</v>
      </c>
      <c r="H488" s="26">
        <f>SUMIFS(INDEX(元データ_14項目!$D$2:$Q$1300,0,MATCH($B488,元データ_14項目!$D$1:$Q$1,0)),元データ_14項目!$A$2:$A$1300,$A488,元データ_14項目!$B$2:$B$1300,"本年",元データ_14項目!$C$2:$C$1300,H$5)</f>
        <v>41</v>
      </c>
      <c r="I488" s="26">
        <f>SUMIFS(INDEX(元データ_14項目!$D$2:$Q$1300,0,MATCH($B488,元データ_14項目!$D$1:$Q$1,0)),元データ_14項目!$A$2:$A$1300,$A488,元データ_14項目!$B$2:$B$1300,"本年",元データ_14項目!$C$2:$C$1300,I$5)</f>
        <v>32</v>
      </c>
      <c r="J488" s="26">
        <f>SUMIFS(INDEX(元データ_14項目!$D$2:$Q$1300,0,MATCH($B488,元データ_14項目!$D$1:$Q$1,0)),元データ_14項目!$A$2:$A$1300,$A488,元データ_14項目!$B$2:$B$1300,"本年",元データ_14項目!$C$2:$C$1300,J$5)</f>
        <v>41</v>
      </c>
      <c r="K488" s="26">
        <f>SUMIFS(INDEX(元データ_14項目!$D$2:$Q$1300,0,MATCH($B488,元データ_14項目!$D$1:$Q$1,0)),元データ_14項目!$A$2:$A$1300,$A488,元データ_14項目!$B$2:$B$1300,"本年",元データ_14項目!$C$2:$C$1300,K$5)</f>
        <v>59</v>
      </c>
      <c r="L488" s="26">
        <f>SUMIFS(INDEX(元データ_14項目!$D$2:$Q$1300,0,MATCH($B488,元データ_14項目!$D$1:$Q$1,0)),元データ_14項目!$A$2:$A$1300,$A488,元データ_14項目!$B$2:$B$1300,"本年",元データ_14項目!$C$2:$C$1300,L$5)</f>
        <v>51</v>
      </c>
      <c r="M488" s="26">
        <f>SUMIFS(INDEX(元データ_14項目!$D$2:$Q$1300,0,MATCH($B488,元データ_14項目!$D$1:$Q$1,0)),元データ_14項目!$A$2:$A$1300,$A488,元データ_14項目!$B$2:$B$1300,"本年",元データ_14項目!$C$2:$C$1300,M$5)</f>
        <v>36</v>
      </c>
      <c r="N488" s="26">
        <f>SUMIFS(INDEX(元データ_14項目!$D$2:$Q$1300,0,MATCH($B488,元データ_14項目!$D$1:$Q$1,0)),元データ_14項目!$A$2:$A$1300,$A488,元データ_14項目!$B$2:$B$1300,"本年",元データ_14項目!$C$2:$C$1300,N$5)</f>
        <v>18</v>
      </c>
      <c r="O488" s="26">
        <f t="shared" si="14"/>
        <v>495</v>
      </c>
      <c r="P488" s="26">
        <f>SUMIFS(INDEX(元データ_14項目!$D$2:$Q$1300,0,MATCH($B488,元データ_14項目!$D$1:$Q$1,0)),元データ_14項目!$A$2:$A$1300,$A488,元データ_14項目!$B$2:$B$1300,"前年")</f>
        <v>552</v>
      </c>
      <c r="Q488" s="7">
        <f t="shared" si="15"/>
        <v>0.89673913043478259</v>
      </c>
    </row>
    <row r="489" spans="1:17" x14ac:dyDescent="0.45">
      <c r="A489" t="s">
        <v>69</v>
      </c>
      <c r="B489" t="s">
        <v>93</v>
      </c>
      <c r="C489" s="26">
        <f>SUMIFS(INDEX(元データ_14項目!$D$2:$Q$1300,0,MATCH($B489,元データ_14項目!$D$1:$Q$1,0)),元データ_14項目!$A$2:$A$1300,$A489,元データ_14項目!$B$2:$B$1300,"本年",元データ_14項目!$C$2:$C$1300,C$5)</f>
        <v>13</v>
      </c>
      <c r="D489" s="26">
        <f>SUMIFS(INDEX(元データ_14項目!$D$2:$Q$1300,0,MATCH($B489,元データ_14項目!$D$1:$Q$1,0)),元データ_14項目!$A$2:$A$1300,$A489,元データ_14項目!$B$2:$B$1300,"本年",元データ_14項目!$C$2:$C$1300,D$5)</f>
        <v>23</v>
      </c>
      <c r="E489" s="26">
        <f>SUMIFS(INDEX(元データ_14項目!$D$2:$Q$1300,0,MATCH($B489,元データ_14項目!$D$1:$Q$1,0)),元データ_14項目!$A$2:$A$1300,$A489,元データ_14項目!$B$2:$B$1300,"本年",元データ_14項目!$C$2:$C$1300,E$5)</f>
        <v>38</v>
      </c>
      <c r="F489" s="26">
        <f>SUMIFS(INDEX(元データ_14項目!$D$2:$Q$1300,0,MATCH($B489,元データ_14項目!$D$1:$Q$1,0)),元データ_14項目!$A$2:$A$1300,$A489,元データ_14項目!$B$2:$B$1300,"本年",元データ_14項目!$C$2:$C$1300,F$5)</f>
        <v>43</v>
      </c>
      <c r="G489" s="26">
        <f>SUMIFS(INDEX(元データ_14項目!$D$2:$Q$1300,0,MATCH($B489,元データ_14項目!$D$1:$Q$1,0)),元データ_14項目!$A$2:$A$1300,$A489,元データ_14項目!$B$2:$B$1300,"本年",元データ_14項目!$C$2:$C$1300,G$5)</f>
        <v>78</v>
      </c>
      <c r="H489" s="26">
        <f>SUMIFS(INDEX(元データ_14項目!$D$2:$Q$1300,0,MATCH($B489,元データ_14項目!$D$1:$Q$1,0)),元データ_14項目!$A$2:$A$1300,$A489,元データ_14項目!$B$2:$B$1300,"本年",元データ_14項目!$C$2:$C$1300,H$5)</f>
        <v>49</v>
      </c>
      <c r="I489" s="26">
        <f>SUMIFS(INDEX(元データ_14項目!$D$2:$Q$1300,0,MATCH($B489,元データ_14項目!$D$1:$Q$1,0)),元データ_14項目!$A$2:$A$1300,$A489,元データ_14項目!$B$2:$B$1300,"本年",元データ_14項目!$C$2:$C$1300,I$5)</f>
        <v>47</v>
      </c>
      <c r="J489" s="26">
        <f>SUMIFS(INDEX(元データ_14項目!$D$2:$Q$1300,0,MATCH($B489,元データ_14項目!$D$1:$Q$1,0)),元データ_14項目!$A$2:$A$1300,$A489,元データ_14項目!$B$2:$B$1300,"本年",元データ_14項目!$C$2:$C$1300,J$5)</f>
        <v>86</v>
      </c>
      <c r="K489" s="26">
        <f>SUMIFS(INDEX(元データ_14項目!$D$2:$Q$1300,0,MATCH($B489,元データ_14項目!$D$1:$Q$1,0)),元データ_14項目!$A$2:$A$1300,$A489,元データ_14項目!$B$2:$B$1300,"本年",元データ_14項目!$C$2:$C$1300,K$5)</f>
        <v>289</v>
      </c>
      <c r="L489" s="26">
        <f>SUMIFS(INDEX(元データ_14項目!$D$2:$Q$1300,0,MATCH($B489,元データ_14項目!$D$1:$Q$1,0)),元データ_14項目!$A$2:$A$1300,$A489,元データ_14項目!$B$2:$B$1300,"本年",元データ_14項目!$C$2:$C$1300,L$5)</f>
        <v>168</v>
      </c>
      <c r="M489" s="26">
        <f>SUMIFS(INDEX(元データ_14項目!$D$2:$Q$1300,0,MATCH($B489,元データ_14項目!$D$1:$Q$1,0)),元データ_14項目!$A$2:$A$1300,$A489,元データ_14項目!$B$2:$B$1300,"本年",元データ_14項目!$C$2:$C$1300,M$5)</f>
        <v>40</v>
      </c>
      <c r="N489" s="26">
        <f>SUMIFS(INDEX(元データ_14項目!$D$2:$Q$1300,0,MATCH($B489,元データ_14項目!$D$1:$Q$1,0)),元データ_14項目!$A$2:$A$1300,$A489,元データ_14項目!$B$2:$B$1300,"本年",元データ_14項目!$C$2:$C$1300,N$5)</f>
        <v>33</v>
      </c>
      <c r="O489" s="26">
        <f t="shared" si="14"/>
        <v>907</v>
      </c>
      <c r="P489" s="26">
        <f>SUMIFS(INDEX(元データ_14項目!$D$2:$Q$1300,0,MATCH($B489,元データ_14項目!$D$1:$Q$1,0)),元データ_14項目!$A$2:$A$1300,$A489,元データ_14項目!$B$2:$B$1300,"前年")</f>
        <v>1002</v>
      </c>
      <c r="Q489" s="7">
        <f t="shared" si="15"/>
        <v>0.90518962075848308</v>
      </c>
    </row>
    <row r="490" spans="1:17" x14ac:dyDescent="0.45">
      <c r="A490" t="s">
        <v>69</v>
      </c>
      <c r="B490" t="s">
        <v>94</v>
      </c>
      <c r="C490" s="26">
        <f>SUMIFS(INDEX(元データ_14項目!$D$2:$Q$1300,0,MATCH($B490,元データ_14項目!$D$1:$Q$1,0)),元データ_14項目!$A$2:$A$1300,$A490,元データ_14項目!$B$2:$B$1300,"本年",元データ_14項目!$C$2:$C$1300,C$5)</f>
        <v>16</v>
      </c>
      <c r="D490" s="26">
        <f>SUMIFS(INDEX(元データ_14項目!$D$2:$Q$1300,0,MATCH($B490,元データ_14項目!$D$1:$Q$1,0)),元データ_14項目!$A$2:$A$1300,$A490,元データ_14項目!$B$2:$B$1300,"本年",元データ_14項目!$C$2:$C$1300,D$5)</f>
        <v>13</v>
      </c>
      <c r="E490" s="26">
        <f>SUMIFS(INDEX(元データ_14項目!$D$2:$Q$1300,0,MATCH($B490,元データ_14項目!$D$1:$Q$1,0)),元データ_14項目!$A$2:$A$1300,$A490,元データ_14項目!$B$2:$B$1300,"本年",元データ_14項目!$C$2:$C$1300,E$5)</f>
        <v>19</v>
      </c>
      <c r="F490" s="26">
        <f>SUMIFS(INDEX(元データ_14項目!$D$2:$Q$1300,0,MATCH($B490,元データ_14項目!$D$1:$Q$1,0)),元データ_14項目!$A$2:$A$1300,$A490,元データ_14項目!$B$2:$B$1300,"本年",元データ_14項目!$C$2:$C$1300,F$5)</f>
        <v>21</v>
      </c>
      <c r="G490" s="26">
        <f>SUMIFS(INDEX(元データ_14項目!$D$2:$Q$1300,0,MATCH($B490,元データ_14項目!$D$1:$Q$1,0)),元データ_14項目!$A$2:$A$1300,$A490,元データ_14項目!$B$2:$B$1300,"本年",元データ_14項目!$C$2:$C$1300,G$5)</f>
        <v>43</v>
      </c>
      <c r="H490" s="26">
        <f>SUMIFS(INDEX(元データ_14項目!$D$2:$Q$1300,0,MATCH($B490,元データ_14項目!$D$1:$Q$1,0)),元データ_14項目!$A$2:$A$1300,$A490,元データ_14項目!$B$2:$B$1300,"本年",元データ_14項目!$C$2:$C$1300,H$5)</f>
        <v>27</v>
      </c>
      <c r="I490" s="26">
        <f>SUMIFS(INDEX(元データ_14項目!$D$2:$Q$1300,0,MATCH($B490,元データ_14項目!$D$1:$Q$1,0)),元データ_14項目!$A$2:$A$1300,$A490,元データ_14項目!$B$2:$B$1300,"本年",元データ_14項目!$C$2:$C$1300,I$5)</f>
        <v>16</v>
      </c>
      <c r="J490" s="26">
        <f>SUMIFS(INDEX(元データ_14項目!$D$2:$Q$1300,0,MATCH($B490,元データ_14項目!$D$1:$Q$1,0)),元データ_14項目!$A$2:$A$1300,$A490,元データ_14項目!$B$2:$B$1300,"本年",元データ_14項目!$C$2:$C$1300,J$5)</f>
        <v>27</v>
      </c>
      <c r="K490" s="26">
        <f>SUMIFS(INDEX(元データ_14項目!$D$2:$Q$1300,0,MATCH($B490,元データ_14項目!$D$1:$Q$1,0)),元データ_14項目!$A$2:$A$1300,$A490,元データ_14項目!$B$2:$B$1300,"本年",元データ_14項目!$C$2:$C$1300,K$5)</f>
        <v>79</v>
      </c>
      <c r="L490" s="26">
        <f>SUMIFS(INDEX(元データ_14項目!$D$2:$Q$1300,0,MATCH($B490,元データ_14項目!$D$1:$Q$1,0)),元データ_14項目!$A$2:$A$1300,$A490,元データ_14項目!$B$2:$B$1300,"本年",元データ_14項目!$C$2:$C$1300,L$5)</f>
        <v>77</v>
      </c>
      <c r="M490" s="26">
        <f>SUMIFS(INDEX(元データ_14項目!$D$2:$Q$1300,0,MATCH($B490,元データ_14項目!$D$1:$Q$1,0)),元データ_14項目!$A$2:$A$1300,$A490,元データ_14項目!$B$2:$B$1300,"本年",元データ_14項目!$C$2:$C$1300,M$5)</f>
        <v>48</v>
      </c>
      <c r="N490" s="26">
        <f>SUMIFS(INDEX(元データ_14項目!$D$2:$Q$1300,0,MATCH($B490,元データ_14項目!$D$1:$Q$1,0)),元データ_14項目!$A$2:$A$1300,$A490,元データ_14項目!$B$2:$B$1300,"本年",元データ_14項目!$C$2:$C$1300,N$5)</f>
        <v>18</v>
      </c>
      <c r="O490" s="26">
        <f t="shared" si="14"/>
        <v>404</v>
      </c>
      <c r="P490" s="26">
        <f>SUMIFS(INDEX(元データ_14項目!$D$2:$Q$1300,0,MATCH($B490,元データ_14項目!$D$1:$Q$1,0)),元データ_14項目!$A$2:$A$1300,$A490,元データ_14項目!$B$2:$B$1300,"前年")</f>
        <v>411</v>
      </c>
      <c r="Q490" s="7">
        <f t="shared" si="15"/>
        <v>0.98296836982968372</v>
      </c>
    </row>
    <row r="491" spans="1:17" x14ac:dyDescent="0.45">
      <c r="A491" t="s">
        <v>69</v>
      </c>
      <c r="B491" t="s">
        <v>95</v>
      </c>
      <c r="C491" s="26">
        <f>SUMIFS(INDEX(元データ_14項目!$D$2:$Q$1300,0,MATCH($B491,元データ_14項目!$D$1:$Q$1,0)),元データ_14項目!$A$2:$A$1300,$A491,元データ_14項目!$B$2:$B$1300,"本年",元データ_14項目!$C$2:$C$1300,C$5)</f>
        <v>25</v>
      </c>
      <c r="D491" s="26">
        <f>SUMIFS(INDEX(元データ_14項目!$D$2:$Q$1300,0,MATCH($B491,元データ_14項目!$D$1:$Q$1,0)),元データ_14項目!$A$2:$A$1300,$A491,元データ_14項目!$B$2:$B$1300,"本年",元データ_14項目!$C$2:$C$1300,D$5)</f>
        <v>36</v>
      </c>
      <c r="E491" s="26">
        <f>SUMIFS(INDEX(元データ_14項目!$D$2:$Q$1300,0,MATCH($B491,元データ_14項目!$D$1:$Q$1,0)),元データ_14項目!$A$2:$A$1300,$A491,元データ_14項目!$B$2:$B$1300,"本年",元データ_14項目!$C$2:$C$1300,E$5)</f>
        <v>43</v>
      </c>
      <c r="F491" s="26">
        <f>SUMIFS(INDEX(元データ_14項目!$D$2:$Q$1300,0,MATCH($B491,元データ_14項目!$D$1:$Q$1,0)),元データ_14項目!$A$2:$A$1300,$A491,元データ_14項目!$B$2:$B$1300,"本年",元データ_14項目!$C$2:$C$1300,F$5)</f>
        <v>42</v>
      </c>
      <c r="G491" s="26">
        <f>SUMIFS(INDEX(元データ_14項目!$D$2:$Q$1300,0,MATCH($B491,元データ_14項目!$D$1:$Q$1,0)),元データ_14項目!$A$2:$A$1300,$A491,元データ_14項目!$B$2:$B$1300,"本年",元データ_14項目!$C$2:$C$1300,G$5)</f>
        <v>39</v>
      </c>
      <c r="H491" s="26">
        <f>SUMIFS(INDEX(元データ_14項目!$D$2:$Q$1300,0,MATCH($B491,元データ_14項目!$D$1:$Q$1,0)),元データ_14項目!$A$2:$A$1300,$A491,元データ_14項目!$B$2:$B$1300,"本年",元データ_14項目!$C$2:$C$1300,H$5)</f>
        <v>25</v>
      </c>
      <c r="I491" s="26">
        <f>SUMIFS(INDEX(元データ_14項目!$D$2:$Q$1300,0,MATCH($B491,元データ_14項目!$D$1:$Q$1,0)),元データ_14項目!$A$2:$A$1300,$A491,元データ_14項目!$B$2:$B$1300,"本年",元データ_14項目!$C$2:$C$1300,I$5)</f>
        <v>13</v>
      </c>
      <c r="J491" s="26">
        <f>SUMIFS(INDEX(元データ_14項目!$D$2:$Q$1300,0,MATCH($B491,元データ_14項目!$D$1:$Q$1,0)),元データ_14項目!$A$2:$A$1300,$A491,元データ_14項目!$B$2:$B$1300,"本年",元データ_14項目!$C$2:$C$1300,J$5)</f>
        <v>29</v>
      </c>
      <c r="K491" s="26">
        <f>SUMIFS(INDEX(元データ_14項目!$D$2:$Q$1300,0,MATCH($B491,元データ_14項目!$D$1:$Q$1,0)),元データ_14項目!$A$2:$A$1300,$A491,元データ_14項目!$B$2:$B$1300,"本年",元データ_14項目!$C$2:$C$1300,K$5)</f>
        <v>55</v>
      </c>
      <c r="L491" s="26">
        <f>SUMIFS(INDEX(元データ_14項目!$D$2:$Q$1300,0,MATCH($B491,元データ_14項目!$D$1:$Q$1,0)),元データ_14項目!$A$2:$A$1300,$A491,元データ_14項目!$B$2:$B$1300,"本年",元データ_14項目!$C$2:$C$1300,L$5)</f>
        <v>35</v>
      </c>
      <c r="M491" s="26">
        <f>SUMIFS(INDEX(元データ_14項目!$D$2:$Q$1300,0,MATCH($B491,元データ_14項目!$D$1:$Q$1,0)),元データ_14項目!$A$2:$A$1300,$A491,元データ_14項目!$B$2:$B$1300,"本年",元データ_14項目!$C$2:$C$1300,M$5)</f>
        <v>28</v>
      </c>
      <c r="N491" s="26">
        <f>SUMIFS(INDEX(元データ_14項目!$D$2:$Q$1300,0,MATCH($B491,元データ_14項目!$D$1:$Q$1,0)),元データ_14項目!$A$2:$A$1300,$A491,元データ_14項目!$B$2:$B$1300,"本年",元データ_14項目!$C$2:$C$1300,N$5)</f>
        <v>17</v>
      </c>
      <c r="O491" s="26">
        <f t="shared" si="14"/>
        <v>387</v>
      </c>
      <c r="P491" s="26">
        <f>SUMIFS(INDEX(元データ_14項目!$D$2:$Q$1300,0,MATCH($B491,元データ_14項目!$D$1:$Q$1,0)),元データ_14項目!$A$2:$A$1300,$A491,元データ_14項目!$B$2:$B$1300,"前年")</f>
        <v>694</v>
      </c>
      <c r="Q491" s="7">
        <f t="shared" si="15"/>
        <v>0.55763688760806918</v>
      </c>
    </row>
    <row r="492" spans="1:17" x14ac:dyDescent="0.45">
      <c r="A492" t="s">
        <v>69</v>
      </c>
      <c r="B492" t="s">
        <v>96</v>
      </c>
      <c r="C492" s="26">
        <f>SUMIFS(INDEX(元データ_14項目!$D$2:$Q$1300,0,MATCH($B492,元データ_14項目!$D$1:$Q$1,0)),元データ_14項目!$A$2:$A$1300,$A492,元データ_14項目!$B$2:$B$1300,"本年",元データ_14項目!$C$2:$C$1300,C$5)</f>
        <v>12</v>
      </c>
      <c r="D492" s="26">
        <f>SUMIFS(INDEX(元データ_14項目!$D$2:$Q$1300,0,MATCH($B492,元データ_14項目!$D$1:$Q$1,0)),元データ_14項目!$A$2:$A$1300,$A492,元データ_14項目!$B$2:$B$1300,"本年",元データ_14項目!$C$2:$C$1300,D$5)</f>
        <v>3</v>
      </c>
      <c r="E492" s="26">
        <f>SUMIFS(INDEX(元データ_14項目!$D$2:$Q$1300,0,MATCH($B492,元データ_14項目!$D$1:$Q$1,0)),元データ_14項目!$A$2:$A$1300,$A492,元データ_14項目!$B$2:$B$1300,"本年",元データ_14項目!$C$2:$C$1300,E$5)</f>
        <v>51</v>
      </c>
      <c r="F492" s="26">
        <f>SUMIFS(INDEX(元データ_14項目!$D$2:$Q$1300,0,MATCH($B492,元データ_14項目!$D$1:$Q$1,0)),元データ_14項目!$A$2:$A$1300,$A492,元データ_14項目!$B$2:$B$1300,"本年",元データ_14項目!$C$2:$C$1300,F$5)</f>
        <v>31</v>
      </c>
      <c r="G492" s="26">
        <f>SUMIFS(INDEX(元データ_14項目!$D$2:$Q$1300,0,MATCH($B492,元データ_14項目!$D$1:$Q$1,0)),元データ_14項目!$A$2:$A$1300,$A492,元データ_14項目!$B$2:$B$1300,"本年",元データ_14項目!$C$2:$C$1300,G$5)</f>
        <v>58</v>
      </c>
      <c r="H492" s="26">
        <f>SUMIFS(INDEX(元データ_14項目!$D$2:$Q$1300,0,MATCH($B492,元データ_14項目!$D$1:$Q$1,0)),元データ_14項目!$A$2:$A$1300,$A492,元データ_14項目!$B$2:$B$1300,"本年",元データ_14項目!$C$2:$C$1300,H$5)</f>
        <v>33</v>
      </c>
      <c r="I492" s="26">
        <f>SUMIFS(INDEX(元データ_14項目!$D$2:$Q$1300,0,MATCH($B492,元データ_14項目!$D$1:$Q$1,0)),元データ_14項目!$A$2:$A$1300,$A492,元データ_14項目!$B$2:$B$1300,"本年",元データ_14項目!$C$2:$C$1300,I$5)</f>
        <v>25</v>
      </c>
      <c r="J492" s="26">
        <f>SUMIFS(INDEX(元データ_14項目!$D$2:$Q$1300,0,MATCH($B492,元データ_14項目!$D$1:$Q$1,0)),元データ_14項目!$A$2:$A$1300,$A492,元データ_14項目!$B$2:$B$1300,"本年",元データ_14項目!$C$2:$C$1300,J$5)</f>
        <v>113</v>
      </c>
      <c r="K492" s="26">
        <f>SUMIFS(INDEX(元データ_14項目!$D$2:$Q$1300,0,MATCH($B492,元データ_14項目!$D$1:$Q$1,0)),元データ_14項目!$A$2:$A$1300,$A492,元データ_14項目!$B$2:$B$1300,"本年",元データ_14項目!$C$2:$C$1300,K$5)</f>
        <v>271</v>
      </c>
      <c r="L492" s="26">
        <f>SUMIFS(INDEX(元データ_14項目!$D$2:$Q$1300,0,MATCH($B492,元データ_14項目!$D$1:$Q$1,0)),元データ_14項目!$A$2:$A$1300,$A492,元データ_14項目!$B$2:$B$1300,"本年",元データ_14項目!$C$2:$C$1300,L$5)</f>
        <v>177</v>
      </c>
      <c r="M492" s="26">
        <f>SUMIFS(INDEX(元データ_14項目!$D$2:$Q$1300,0,MATCH($B492,元データ_14項目!$D$1:$Q$1,0)),元データ_14項目!$A$2:$A$1300,$A492,元データ_14項目!$B$2:$B$1300,"本年",元データ_14項目!$C$2:$C$1300,M$5)</f>
        <v>98</v>
      </c>
      <c r="N492" s="26">
        <f>SUMIFS(INDEX(元データ_14項目!$D$2:$Q$1300,0,MATCH($B492,元データ_14項目!$D$1:$Q$1,0)),元データ_14項目!$A$2:$A$1300,$A492,元データ_14項目!$B$2:$B$1300,"本年",元データ_14項目!$C$2:$C$1300,N$5)</f>
        <v>33</v>
      </c>
      <c r="O492" s="26">
        <f t="shared" si="14"/>
        <v>905</v>
      </c>
      <c r="P492" s="26">
        <f>SUMIFS(INDEX(元データ_14項目!$D$2:$Q$1300,0,MATCH($B492,元データ_14項目!$D$1:$Q$1,0)),元データ_14項目!$A$2:$A$1300,$A492,元データ_14項目!$B$2:$B$1300,"前年")</f>
        <v>994</v>
      </c>
      <c r="Q492" s="7">
        <f t="shared" si="15"/>
        <v>0.91046277665995978</v>
      </c>
    </row>
    <row r="493" spans="1:17" x14ac:dyDescent="0.45">
      <c r="A493" t="s">
        <v>69</v>
      </c>
      <c r="B493" t="s">
        <v>97</v>
      </c>
      <c r="C493" s="26">
        <f>SUMIFS(INDEX(元データ_14項目!$D$2:$Q$1300,0,MATCH($B493,元データ_14項目!$D$1:$Q$1,0)),元データ_14項目!$A$2:$A$1300,$A493,元データ_14項目!$B$2:$B$1300,"本年",元データ_14項目!$C$2:$C$1300,C$5)</f>
        <v>10</v>
      </c>
      <c r="D493" s="26">
        <f>SUMIFS(INDEX(元データ_14項目!$D$2:$Q$1300,0,MATCH($B493,元データ_14項目!$D$1:$Q$1,0)),元データ_14項目!$A$2:$A$1300,$A493,元データ_14項目!$B$2:$B$1300,"本年",元データ_14項目!$C$2:$C$1300,D$5)</f>
        <v>14</v>
      </c>
      <c r="E493" s="26">
        <f>SUMIFS(INDEX(元データ_14項目!$D$2:$Q$1300,0,MATCH($B493,元データ_14項目!$D$1:$Q$1,0)),元データ_14項目!$A$2:$A$1300,$A493,元データ_14項目!$B$2:$B$1300,"本年",元データ_14項目!$C$2:$C$1300,E$5)</f>
        <v>35</v>
      </c>
      <c r="F493" s="26">
        <f>SUMIFS(INDEX(元データ_14項目!$D$2:$Q$1300,0,MATCH($B493,元データ_14項目!$D$1:$Q$1,0)),元データ_14項目!$A$2:$A$1300,$A493,元データ_14項目!$B$2:$B$1300,"本年",元データ_14項目!$C$2:$C$1300,F$5)</f>
        <v>32</v>
      </c>
      <c r="G493" s="26">
        <f>SUMIFS(INDEX(元データ_14項目!$D$2:$Q$1300,0,MATCH($B493,元データ_14項目!$D$1:$Q$1,0)),元データ_14項目!$A$2:$A$1300,$A493,元データ_14項目!$B$2:$B$1300,"本年",元データ_14項目!$C$2:$C$1300,G$5)</f>
        <v>44</v>
      </c>
      <c r="H493" s="26">
        <f>SUMIFS(INDEX(元データ_14項目!$D$2:$Q$1300,0,MATCH($B493,元データ_14項目!$D$1:$Q$1,0)),元データ_14項目!$A$2:$A$1300,$A493,元データ_14項目!$B$2:$B$1300,"本年",元データ_14項目!$C$2:$C$1300,H$5)</f>
        <v>23</v>
      </c>
      <c r="I493" s="26">
        <f>SUMIFS(INDEX(元データ_14項目!$D$2:$Q$1300,0,MATCH($B493,元データ_14項目!$D$1:$Q$1,0)),元データ_14項目!$A$2:$A$1300,$A493,元データ_14項目!$B$2:$B$1300,"本年",元データ_14項目!$C$2:$C$1300,I$5)</f>
        <v>21</v>
      </c>
      <c r="J493" s="26">
        <f>SUMIFS(INDEX(元データ_14項目!$D$2:$Q$1300,0,MATCH($B493,元データ_14項目!$D$1:$Q$1,0)),元データ_14項目!$A$2:$A$1300,$A493,元データ_14項目!$B$2:$B$1300,"本年",元データ_14項目!$C$2:$C$1300,J$5)</f>
        <v>66</v>
      </c>
      <c r="K493" s="26">
        <f>SUMIFS(INDEX(元データ_14項目!$D$2:$Q$1300,0,MATCH($B493,元データ_14項目!$D$1:$Q$1,0)),元データ_14項目!$A$2:$A$1300,$A493,元データ_14項目!$B$2:$B$1300,"本年",元データ_14項目!$C$2:$C$1300,K$5)</f>
        <v>204</v>
      </c>
      <c r="L493" s="26">
        <f>SUMIFS(INDEX(元データ_14項目!$D$2:$Q$1300,0,MATCH($B493,元データ_14項目!$D$1:$Q$1,0)),元データ_14項目!$A$2:$A$1300,$A493,元データ_14項目!$B$2:$B$1300,"本年",元データ_14項目!$C$2:$C$1300,L$5)</f>
        <v>136</v>
      </c>
      <c r="M493" s="26">
        <f>SUMIFS(INDEX(元データ_14項目!$D$2:$Q$1300,0,MATCH($B493,元データ_14項目!$D$1:$Q$1,0)),元データ_14項目!$A$2:$A$1300,$A493,元データ_14項目!$B$2:$B$1300,"本年",元データ_14項目!$C$2:$C$1300,M$5)</f>
        <v>91</v>
      </c>
      <c r="N493" s="26">
        <f>SUMIFS(INDEX(元データ_14項目!$D$2:$Q$1300,0,MATCH($B493,元データ_14項目!$D$1:$Q$1,0)),元データ_14項目!$A$2:$A$1300,$A493,元データ_14項目!$B$2:$B$1300,"本年",元データ_14項目!$C$2:$C$1300,N$5)</f>
        <v>48</v>
      </c>
      <c r="O493" s="26">
        <f t="shared" si="14"/>
        <v>724</v>
      </c>
      <c r="P493" s="26">
        <f>SUMIFS(INDEX(元データ_14項目!$D$2:$Q$1300,0,MATCH($B493,元データ_14項目!$D$1:$Q$1,0)),元データ_14項目!$A$2:$A$1300,$A493,元データ_14項目!$B$2:$B$1300,"前年")</f>
        <v>708</v>
      </c>
      <c r="Q493" s="7">
        <f t="shared" si="15"/>
        <v>1.0225988700564972</v>
      </c>
    </row>
    <row r="494" spans="1:17" x14ac:dyDescent="0.45">
      <c r="A494" t="s">
        <v>69</v>
      </c>
      <c r="B494" t="s">
        <v>98</v>
      </c>
      <c r="C494" s="26">
        <f>SUMIFS(INDEX(元データ_14項目!$D$2:$Q$1300,0,MATCH($B494,元データ_14項目!$D$1:$Q$1,0)),元データ_14項目!$A$2:$A$1300,$A494,元データ_14項目!$B$2:$B$1300,"本年",元データ_14項目!$C$2:$C$1300,C$5)</f>
        <v>7</v>
      </c>
      <c r="D494" s="26">
        <f>SUMIFS(INDEX(元データ_14項目!$D$2:$Q$1300,0,MATCH($B494,元データ_14項目!$D$1:$Q$1,0)),元データ_14項目!$A$2:$A$1300,$A494,元データ_14項目!$B$2:$B$1300,"本年",元データ_14項目!$C$2:$C$1300,D$5)</f>
        <v>7</v>
      </c>
      <c r="E494" s="26">
        <f>SUMIFS(INDEX(元データ_14項目!$D$2:$Q$1300,0,MATCH($B494,元データ_14項目!$D$1:$Q$1,0)),元データ_14項目!$A$2:$A$1300,$A494,元データ_14項目!$B$2:$B$1300,"本年",元データ_14項目!$C$2:$C$1300,E$5)</f>
        <v>19</v>
      </c>
      <c r="F494" s="26">
        <f>SUMIFS(INDEX(元データ_14項目!$D$2:$Q$1300,0,MATCH($B494,元データ_14項目!$D$1:$Q$1,0)),元データ_14項目!$A$2:$A$1300,$A494,元データ_14項目!$B$2:$B$1300,"本年",元データ_14項目!$C$2:$C$1300,F$5)</f>
        <v>9</v>
      </c>
      <c r="G494" s="26">
        <f>SUMIFS(INDEX(元データ_14項目!$D$2:$Q$1300,0,MATCH($B494,元データ_14項目!$D$1:$Q$1,0)),元データ_14項目!$A$2:$A$1300,$A494,元データ_14項目!$B$2:$B$1300,"本年",元データ_14項目!$C$2:$C$1300,G$5)</f>
        <v>12</v>
      </c>
      <c r="H494" s="26">
        <f>SUMIFS(INDEX(元データ_14項目!$D$2:$Q$1300,0,MATCH($B494,元データ_14項目!$D$1:$Q$1,0)),元データ_14項目!$A$2:$A$1300,$A494,元データ_14項目!$B$2:$B$1300,"本年",元データ_14項目!$C$2:$C$1300,H$5)</f>
        <v>13</v>
      </c>
      <c r="I494" s="26">
        <f>SUMIFS(INDEX(元データ_14項目!$D$2:$Q$1300,0,MATCH($B494,元データ_14項目!$D$1:$Q$1,0)),元データ_14項目!$A$2:$A$1300,$A494,元データ_14項目!$B$2:$B$1300,"本年",元データ_14項目!$C$2:$C$1300,I$5)</f>
        <v>15</v>
      </c>
      <c r="J494" s="26">
        <f>SUMIFS(INDEX(元データ_14項目!$D$2:$Q$1300,0,MATCH($B494,元データ_14項目!$D$1:$Q$1,0)),元データ_14項目!$A$2:$A$1300,$A494,元データ_14項目!$B$2:$B$1300,"本年",元データ_14項目!$C$2:$C$1300,J$5)</f>
        <v>65</v>
      </c>
      <c r="K494" s="26">
        <f>SUMIFS(INDEX(元データ_14項目!$D$2:$Q$1300,0,MATCH($B494,元データ_14項目!$D$1:$Q$1,0)),元データ_14項目!$A$2:$A$1300,$A494,元データ_14項目!$B$2:$B$1300,"本年",元データ_14項目!$C$2:$C$1300,K$5)</f>
        <v>223</v>
      </c>
      <c r="L494" s="26">
        <f>SUMIFS(INDEX(元データ_14項目!$D$2:$Q$1300,0,MATCH($B494,元データ_14項目!$D$1:$Q$1,0)),元データ_14項目!$A$2:$A$1300,$A494,元データ_14項目!$B$2:$B$1300,"本年",元データ_14項目!$C$2:$C$1300,L$5)</f>
        <v>109</v>
      </c>
      <c r="M494" s="26">
        <f>SUMIFS(INDEX(元データ_14項目!$D$2:$Q$1300,0,MATCH($B494,元データ_14項目!$D$1:$Q$1,0)),元データ_14項目!$A$2:$A$1300,$A494,元データ_14項目!$B$2:$B$1300,"本年",元データ_14項目!$C$2:$C$1300,M$5)</f>
        <v>41</v>
      </c>
      <c r="N494" s="26">
        <f>SUMIFS(INDEX(元データ_14項目!$D$2:$Q$1300,0,MATCH($B494,元データ_14項目!$D$1:$Q$1,0)),元データ_14項目!$A$2:$A$1300,$A494,元データ_14項目!$B$2:$B$1300,"本年",元データ_14項目!$C$2:$C$1300,N$5)</f>
        <v>17</v>
      </c>
      <c r="O494" s="26">
        <f t="shared" si="14"/>
        <v>537</v>
      </c>
      <c r="P494" s="26">
        <f>SUMIFS(INDEX(元データ_14項目!$D$2:$Q$1300,0,MATCH($B494,元データ_14項目!$D$1:$Q$1,0)),元データ_14項目!$A$2:$A$1300,$A494,元データ_14項目!$B$2:$B$1300,"前年")</f>
        <v>586</v>
      </c>
      <c r="Q494" s="7">
        <f t="shared" si="15"/>
        <v>0.91638225255972694</v>
      </c>
    </row>
    <row r="495" spans="1:17" x14ac:dyDescent="0.45">
      <c r="A495" t="s">
        <v>69</v>
      </c>
      <c r="B495" t="s">
        <v>99</v>
      </c>
      <c r="C495" s="26">
        <f>SUMIFS(INDEX(元データ_14項目!$D$2:$Q$1300,0,MATCH($B495,元データ_14項目!$D$1:$Q$1,0)),元データ_14項目!$A$2:$A$1300,$A495,元データ_14項目!$B$2:$B$1300,"本年",元データ_14項目!$C$2:$C$1300,C$5)</f>
        <v>0</v>
      </c>
      <c r="D495" s="26">
        <f>SUMIFS(INDEX(元データ_14項目!$D$2:$Q$1300,0,MATCH($B495,元データ_14項目!$D$1:$Q$1,0)),元データ_14項目!$A$2:$A$1300,$A495,元データ_14項目!$B$2:$B$1300,"本年",元データ_14項目!$C$2:$C$1300,D$5)</f>
        <v>0</v>
      </c>
      <c r="E495" s="26">
        <f>SUMIFS(INDEX(元データ_14項目!$D$2:$Q$1300,0,MATCH($B495,元データ_14項目!$D$1:$Q$1,0)),元データ_14項目!$A$2:$A$1300,$A495,元データ_14項目!$B$2:$B$1300,"本年",元データ_14項目!$C$2:$C$1300,E$5)</f>
        <v>0</v>
      </c>
      <c r="F495" s="26">
        <f>SUMIFS(INDEX(元データ_14項目!$D$2:$Q$1300,0,MATCH($B495,元データ_14項目!$D$1:$Q$1,0)),元データ_14項目!$A$2:$A$1300,$A495,元データ_14項目!$B$2:$B$1300,"本年",元データ_14項目!$C$2:$C$1300,F$5)</f>
        <v>1</v>
      </c>
      <c r="G495" s="26">
        <f>SUMIFS(INDEX(元データ_14項目!$D$2:$Q$1300,0,MATCH($B495,元データ_14項目!$D$1:$Q$1,0)),元データ_14項目!$A$2:$A$1300,$A495,元データ_14項目!$B$2:$B$1300,"本年",元データ_14項目!$C$2:$C$1300,G$5)</f>
        <v>0</v>
      </c>
      <c r="H495" s="26">
        <f>SUMIFS(INDEX(元データ_14項目!$D$2:$Q$1300,0,MATCH($B495,元データ_14項目!$D$1:$Q$1,0)),元データ_14項目!$A$2:$A$1300,$A495,元データ_14項目!$B$2:$B$1300,"本年",元データ_14項目!$C$2:$C$1300,H$5)</f>
        <v>5</v>
      </c>
      <c r="I495" s="26">
        <f>SUMIFS(INDEX(元データ_14項目!$D$2:$Q$1300,0,MATCH($B495,元データ_14項目!$D$1:$Q$1,0)),元データ_14項目!$A$2:$A$1300,$A495,元データ_14項目!$B$2:$B$1300,"本年",元データ_14項目!$C$2:$C$1300,I$5)</f>
        <v>7</v>
      </c>
      <c r="J495" s="26">
        <f>SUMIFS(INDEX(元データ_14項目!$D$2:$Q$1300,0,MATCH($B495,元データ_14項目!$D$1:$Q$1,0)),元データ_14項目!$A$2:$A$1300,$A495,元データ_14項目!$B$2:$B$1300,"本年",元データ_14項目!$C$2:$C$1300,J$5)</f>
        <v>7</v>
      </c>
      <c r="K495" s="26">
        <f>SUMIFS(INDEX(元データ_14項目!$D$2:$Q$1300,0,MATCH($B495,元データ_14項目!$D$1:$Q$1,0)),元データ_14項目!$A$2:$A$1300,$A495,元データ_14項目!$B$2:$B$1300,"本年",元データ_14項目!$C$2:$C$1300,K$5)</f>
        <v>7</v>
      </c>
      <c r="L495" s="26">
        <f>SUMIFS(INDEX(元データ_14項目!$D$2:$Q$1300,0,MATCH($B495,元データ_14項目!$D$1:$Q$1,0)),元データ_14項目!$A$2:$A$1300,$A495,元データ_14項目!$B$2:$B$1300,"本年",元データ_14項目!$C$2:$C$1300,L$5)</f>
        <v>11</v>
      </c>
      <c r="M495" s="26">
        <f>SUMIFS(INDEX(元データ_14項目!$D$2:$Q$1300,0,MATCH($B495,元データ_14項目!$D$1:$Q$1,0)),元データ_14項目!$A$2:$A$1300,$A495,元データ_14項目!$B$2:$B$1300,"本年",元データ_14項目!$C$2:$C$1300,M$5)</f>
        <v>2</v>
      </c>
      <c r="N495" s="26">
        <f>SUMIFS(INDEX(元データ_14項目!$D$2:$Q$1300,0,MATCH($B495,元データ_14項目!$D$1:$Q$1,0)),元データ_14項目!$A$2:$A$1300,$A495,元データ_14項目!$B$2:$B$1300,"本年",元データ_14項目!$C$2:$C$1300,N$5)</f>
        <v>0</v>
      </c>
      <c r="O495" s="26">
        <f t="shared" si="14"/>
        <v>40</v>
      </c>
      <c r="P495" s="26">
        <f>SUMIFS(INDEX(元データ_14項目!$D$2:$Q$1300,0,MATCH($B495,元データ_14項目!$D$1:$Q$1,0)),元データ_14項目!$A$2:$A$1300,$A495,元データ_14項目!$B$2:$B$1300,"前年")</f>
        <v>32</v>
      </c>
      <c r="Q495" s="7">
        <f t="shared" si="15"/>
        <v>1.25</v>
      </c>
    </row>
    <row r="496" spans="1:17" x14ac:dyDescent="0.45">
      <c r="A496" t="s">
        <v>70</v>
      </c>
      <c r="B496" t="s">
        <v>27</v>
      </c>
      <c r="C496" s="26">
        <f>SUMIFS(INDEX(元データ_14項目!$D$2:$Q$1300,0,MATCH($B496,元データ_14項目!$D$1:$Q$1,0)),元データ_14項目!$A$2:$A$1300,$A496,元データ_14項目!$B$2:$B$1300,"本年",元データ_14項目!$C$2:$C$1300,C$5)</f>
        <v>828</v>
      </c>
      <c r="D496" s="26">
        <f>SUMIFS(INDEX(元データ_14項目!$D$2:$Q$1300,0,MATCH($B496,元データ_14項目!$D$1:$Q$1,0)),元データ_14項目!$A$2:$A$1300,$A496,元データ_14項目!$B$2:$B$1300,"本年",元データ_14項目!$C$2:$C$1300,D$5)</f>
        <v>991</v>
      </c>
      <c r="E496" s="26">
        <f>SUMIFS(INDEX(元データ_14項目!$D$2:$Q$1300,0,MATCH($B496,元データ_14項目!$D$1:$Q$1,0)),元データ_14項目!$A$2:$A$1300,$A496,元データ_14項目!$B$2:$B$1300,"本年",元データ_14項目!$C$2:$C$1300,E$5)</f>
        <v>1110</v>
      </c>
      <c r="F496" s="26">
        <f>SUMIFS(INDEX(元データ_14項目!$D$2:$Q$1300,0,MATCH($B496,元データ_14項目!$D$1:$Q$1,0)),元データ_14項目!$A$2:$A$1300,$A496,元データ_14項目!$B$2:$B$1300,"本年",元データ_14項目!$C$2:$C$1300,F$5)</f>
        <v>972</v>
      </c>
      <c r="G496" s="26">
        <f>SUMIFS(INDEX(元データ_14項目!$D$2:$Q$1300,0,MATCH($B496,元データ_14項目!$D$1:$Q$1,0)),元データ_14項目!$A$2:$A$1300,$A496,元データ_14項目!$B$2:$B$1300,"本年",元データ_14項目!$C$2:$C$1300,G$5)</f>
        <v>1063</v>
      </c>
      <c r="H496" s="26">
        <f>SUMIFS(INDEX(元データ_14項目!$D$2:$Q$1300,0,MATCH($B496,元データ_14項目!$D$1:$Q$1,0)),元データ_14項目!$A$2:$A$1300,$A496,元データ_14項目!$B$2:$B$1300,"本年",元データ_14項目!$C$2:$C$1300,H$5)</f>
        <v>770</v>
      </c>
      <c r="I496" s="26">
        <f>SUMIFS(INDEX(元データ_14項目!$D$2:$Q$1300,0,MATCH($B496,元データ_14項目!$D$1:$Q$1,0)),元データ_14項目!$A$2:$A$1300,$A496,元データ_14項目!$B$2:$B$1300,"本年",元データ_14項目!$C$2:$C$1300,I$5)</f>
        <v>702</v>
      </c>
      <c r="J496" s="26">
        <f>SUMIFS(INDEX(元データ_14項目!$D$2:$Q$1300,0,MATCH($B496,元データ_14項目!$D$1:$Q$1,0)),元データ_14項目!$A$2:$A$1300,$A496,元データ_14項目!$B$2:$B$1300,"本年",元データ_14項目!$C$2:$C$1300,J$5)</f>
        <v>967</v>
      </c>
      <c r="K496" s="26">
        <f>SUMIFS(INDEX(元データ_14項目!$D$2:$Q$1300,0,MATCH($B496,元データ_14項目!$D$1:$Q$1,0)),元データ_14項目!$A$2:$A$1300,$A496,元データ_14項目!$B$2:$B$1300,"本年",元データ_14項目!$C$2:$C$1300,K$5)</f>
        <v>821</v>
      </c>
      <c r="L496" s="26">
        <f>SUMIFS(INDEX(元データ_14項目!$D$2:$Q$1300,0,MATCH($B496,元データ_14項目!$D$1:$Q$1,0)),元データ_14項目!$A$2:$A$1300,$A496,元データ_14項目!$B$2:$B$1300,"本年",元データ_14項目!$C$2:$C$1300,L$5)</f>
        <v>844</v>
      </c>
      <c r="M496" s="26">
        <f>SUMIFS(INDEX(元データ_14項目!$D$2:$Q$1300,0,MATCH($B496,元データ_14項目!$D$1:$Q$1,0)),元データ_14項目!$A$2:$A$1300,$A496,元データ_14項目!$B$2:$B$1300,"本年",元データ_14項目!$C$2:$C$1300,M$5)</f>
        <v>935</v>
      </c>
      <c r="N496" s="26">
        <f>SUMIFS(INDEX(元データ_14項目!$D$2:$Q$1300,0,MATCH($B496,元データ_14項目!$D$1:$Q$1,0)),元データ_14項目!$A$2:$A$1300,$A496,元データ_14項目!$B$2:$B$1300,"本年",元データ_14項目!$C$2:$C$1300,N$5)</f>
        <v>862</v>
      </c>
      <c r="O496" s="26">
        <f t="shared" si="14"/>
        <v>10865</v>
      </c>
      <c r="P496" s="26">
        <f>SUMIFS(INDEX(元データ_14項目!$D$2:$Q$1300,0,MATCH($B496,元データ_14項目!$D$1:$Q$1,0)),元データ_14項目!$A$2:$A$1300,$A496,元データ_14項目!$B$2:$B$1300,"前年")</f>
        <v>12974</v>
      </c>
      <c r="Q496" s="7">
        <f t="shared" si="15"/>
        <v>0.83744411900724525</v>
      </c>
    </row>
    <row r="497" spans="1:17" x14ac:dyDescent="0.45">
      <c r="A497" t="s">
        <v>70</v>
      </c>
      <c r="B497" t="s">
        <v>88</v>
      </c>
      <c r="C497" s="26">
        <f>SUMIFS(INDEX(元データ_14項目!$D$2:$Q$1300,0,MATCH($B497,元データ_14項目!$D$1:$Q$1,0)),元データ_14項目!$A$2:$A$1300,$A497,元データ_14項目!$B$2:$B$1300,"本年",元データ_14項目!$C$2:$C$1300,C$5)</f>
        <v>27</v>
      </c>
      <c r="D497" s="26">
        <f>SUMIFS(INDEX(元データ_14項目!$D$2:$Q$1300,0,MATCH($B497,元データ_14項目!$D$1:$Q$1,0)),元データ_14項目!$A$2:$A$1300,$A497,元データ_14項目!$B$2:$B$1300,"本年",元データ_14項目!$C$2:$C$1300,D$5)</f>
        <v>31</v>
      </c>
      <c r="E497" s="26">
        <f>SUMIFS(INDEX(元データ_14項目!$D$2:$Q$1300,0,MATCH($B497,元データ_14項目!$D$1:$Q$1,0)),元データ_14項目!$A$2:$A$1300,$A497,元データ_14項目!$B$2:$B$1300,"本年",元データ_14項目!$C$2:$C$1300,E$5)</f>
        <v>46</v>
      </c>
      <c r="F497" s="26">
        <f>SUMIFS(INDEX(元データ_14項目!$D$2:$Q$1300,0,MATCH($B497,元データ_14項目!$D$1:$Q$1,0)),元データ_14項目!$A$2:$A$1300,$A497,元データ_14項目!$B$2:$B$1300,"本年",元データ_14項目!$C$2:$C$1300,F$5)</f>
        <v>33</v>
      </c>
      <c r="G497" s="26">
        <f>SUMIFS(INDEX(元データ_14項目!$D$2:$Q$1300,0,MATCH($B497,元データ_14項目!$D$1:$Q$1,0)),元データ_14項目!$A$2:$A$1300,$A497,元データ_14項目!$B$2:$B$1300,"本年",元データ_14項目!$C$2:$C$1300,G$5)</f>
        <v>25</v>
      </c>
      <c r="H497" s="26">
        <f>SUMIFS(INDEX(元データ_14項目!$D$2:$Q$1300,0,MATCH($B497,元データ_14項目!$D$1:$Q$1,0)),元データ_14項目!$A$2:$A$1300,$A497,元データ_14項目!$B$2:$B$1300,"本年",元データ_14項目!$C$2:$C$1300,H$5)</f>
        <v>16</v>
      </c>
      <c r="I497" s="26">
        <f>SUMIFS(INDEX(元データ_14項目!$D$2:$Q$1300,0,MATCH($B497,元データ_14項目!$D$1:$Q$1,0)),元データ_14項目!$A$2:$A$1300,$A497,元データ_14項目!$B$2:$B$1300,"本年",元データ_14項目!$C$2:$C$1300,I$5)</f>
        <v>8</v>
      </c>
      <c r="J497" s="26">
        <f>SUMIFS(INDEX(元データ_14項目!$D$2:$Q$1300,0,MATCH($B497,元データ_14項目!$D$1:$Q$1,0)),元データ_14項目!$A$2:$A$1300,$A497,元データ_14項目!$B$2:$B$1300,"本年",元データ_14項目!$C$2:$C$1300,J$5)</f>
        <v>31</v>
      </c>
      <c r="K497" s="26">
        <f>SUMIFS(INDEX(元データ_14項目!$D$2:$Q$1300,0,MATCH($B497,元データ_14項目!$D$1:$Q$1,0)),元データ_14項目!$A$2:$A$1300,$A497,元データ_14項目!$B$2:$B$1300,"本年",元データ_14項目!$C$2:$C$1300,K$5)</f>
        <v>56</v>
      </c>
      <c r="L497" s="26">
        <f>SUMIFS(INDEX(元データ_14項目!$D$2:$Q$1300,0,MATCH($B497,元データ_14項目!$D$1:$Q$1,0)),元データ_14項目!$A$2:$A$1300,$A497,元データ_14項目!$B$2:$B$1300,"本年",元データ_14項目!$C$2:$C$1300,L$5)</f>
        <v>57</v>
      </c>
      <c r="M497" s="26">
        <f>SUMIFS(INDEX(元データ_14項目!$D$2:$Q$1300,0,MATCH($B497,元データ_14項目!$D$1:$Q$1,0)),元データ_14項目!$A$2:$A$1300,$A497,元データ_14項目!$B$2:$B$1300,"本年",元データ_14項目!$C$2:$C$1300,M$5)</f>
        <v>31</v>
      </c>
      <c r="N497" s="26">
        <f>SUMIFS(INDEX(元データ_14項目!$D$2:$Q$1300,0,MATCH($B497,元データ_14項目!$D$1:$Q$1,0)),元データ_14項目!$A$2:$A$1300,$A497,元データ_14項目!$B$2:$B$1300,"本年",元データ_14項目!$C$2:$C$1300,N$5)</f>
        <v>29</v>
      </c>
      <c r="O497" s="26">
        <f t="shared" si="14"/>
        <v>390</v>
      </c>
      <c r="P497" s="26">
        <f>SUMIFS(INDEX(元データ_14項目!$D$2:$Q$1300,0,MATCH($B497,元データ_14項目!$D$1:$Q$1,0)),元データ_14項目!$A$2:$A$1300,$A497,元データ_14項目!$B$2:$B$1300,"前年")</f>
        <v>371</v>
      </c>
      <c r="Q497" s="7">
        <f t="shared" si="15"/>
        <v>1.0512129380053907</v>
      </c>
    </row>
    <row r="498" spans="1:17" x14ac:dyDescent="0.45">
      <c r="A498" t="s">
        <v>70</v>
      </c>
      <c r="B498" t="s">
        <v>89</v>
      </c>
      <c r="C498" s="26">
        <f>SUMIFS(INDEX(元データ_14項目!$D$2:$Q$1300,0,MATCH($B498,元データ_14項目!$D$1:$Q$1,0)),元データ_14項目!$A$2:$A$1300,$A498,元データ_14項目!$B$2:$B$1300,"本年",元データ_14項目!$C$2:$C$1300,C$5)</f>
        <v>35</v>
      </c>
      <c r="D498" s="26">
        <f>SUMIFS(INDEX(元データ_14項目!$D$2:$Q$1300,0,MATCH($B498,元データ_14項目!$D$1:$Q$1,0)),元データ_14項目!$A$2:$A$1300,$A498,元データ_14項目!$B$2:$B$1300,"本年",元データ_14項目!$C$2:$C$1300,D$5)</f>
        <v>29</v>
      </c>
      <c r="E498" s="26">
        <f>SUMIFS(INDEX(元データ_14項目!$D$2:$Q$1300,0,MATCH($B498,元データ_14項目!$D$1:$Q$1,0)),元データ_14項目!$A$2:$A$1300,$A498,元データ_14項目!$B$2:$B$1300,"本年",元データ_14項目!$C$2:$C$1300,E$5)</f>
        <v>55</v>
      </c>
      <c r="F498" s="26">
        <f>SUMIFS(INDEX(元データ_14項目!$D$2:$Q$1300,0,MATCH($B498,元データ_14項目!$D$1:$Q$1,0)),元データ_14項目!$A$2:$A$1300,$A498,元データ_14項目!$B$2:$B$1300,"本年",元データ_14項目!$C$2:$C$1300,F$5)</f>
        <v>44</v>
      </c>
      <c r="G498" s="26">
        <f>SUMIFS(INDEX(元データ_14項目!$D$2:$Q$1300,0,MATCH($B498,元データ_14項目!$D$1:$Q$1,0)),元データ_14項目!$A$2:$A$1300,$A498,元データ_14項目!$B$2:$B$1300,"本年",元データ_14項目!$C$2:$C$1300,G$5)</f>
        <v>35</v>
      </c>
      <c r="H498" s="26">
        <f>SUMIFS(INDEX(元データ_14項目!$D$2:$Q$1300,0,MATCH($B498,元データ_14項目!$D$1:$Q$1,0)),元データ_14項目!$A$2:$A$1300,$A498,元データ_14項目!$B$2:$B$1300,"本年",元データ_14項目!$C$2:$C$1300,H$5)</f>
        <v>22</v>
      </c>
      <c r="I498" s="26">
        <f>SUMIFS(INDEX(元データ_14項目!$D$2:$Q$1300,0,MATCH($B498,元データ_14項目!$D$1:$Q$1,0)),元データ_14項目!$A$2:$A$1300,$A498,元データ_14項目!$B$2:$B$1300,"本年",元データ_14項目!$C$2:$C$1300,I$5)</f>
        <v>15</v>
      </c>
      <c r="J498" s="26">
        <f>SUMIFS(INDEX(元データ_14項目!$D$2:$Q$1300,0,MATCH($B498,元データ_14項目!$D$1:$Q$1,0)),元データ_14項目!$A$2:$A$1300,$A498,元データ_14項目!$B$2:$B$1300,"本年",元データ_14項目!$C$2:$C$1300,J$5)</f>
        <v>57</v>
      </c>
      <c r="K498" s="26">
        <f>SUMIFS(INDEX(元データ_14項目!$D$2:$Q$1300,0,MATCH($B498,元データ_14項目!$D$1:$Q$1,0)),元データ_14項目!$A$2:$A$1300,$A498,元データ_14項目!$B$2:$B$1300,"本年",元データ_14項目!$C$2:$C$1300,K$5)</f>
        <v>30</v>
      </c>
      <c r="L498" s="26">
        <f>SUMIFS(INDEX(元データ_14項目!$D$2:$Q$1300,0,MATCH($B498,元データ_14項目!$D$1:$Q$1,0)),元データ_14項目!$A$2:$A$1300,$A498,元データ_14項目!$B$2:$B$1300,"本年",元データ_14項目!$C$2:$C$1300,L$5)</f>
        <v>29</v>
      </c>
      <c r="M498" s="26">
        <f>SUMIFS(INDEX(元データ_14項目!$D$2:$Q$1300,0,MATCH($B498,元データ_14項目!$D$1:$Q$1,0)),元データ_14項目!$A$2:$A$1300,$A498,元データ_14項目!$B$2:$B$1300,"本年",元データ_14項目!$C$2:$C$1300,M$5)</f>
        <v>20</v>
      </c>
      <c r="N498" s="26">
        <f>SUMIFS(INDEX(元データ_14項目!$D$2:$Q$1300,0,MATCH($B498,元データ_14項目!$D$1:$Q$1,0)),元データ_14項目!$A$2:$A$1300,$A498,元データ_14項目!$B$2:$B$1300,"本年",元データ_14項目!$C$2:$C$1300,N$5)</f>
        <v>15</v>
      </c>
      <c r="O498" s="26">
        <f t="shared" si="14"/>
        <v>386</v>
      </c>
      <c r="P498" s="26">
        <f>SUMIFS(INDEX(元データ_14項目!$D$2:$Q$1300,0,MATCH($B498,元データ_14項目!$D$1:$Q$1,0)),元データ_14項目!$A$2:$A$1300,$A498,元データ_14項目!$B$2:$B$1300,"前年")</f>
        <v>419</v>
      </c>
      <c r="Q498" s="7">
        <f t="shared" si="15"/>
        <v>0.92124105011933177</v>
      </c>
    </row>
    <row r="499" spans="1:17" x14ac:dyDescent="0.45">
      <c r="A499" t="s">
        <v>70</v>
      </c>
      <c r="B499" t="s">
        <v>90</v>
      </c>
      <c r="C499" s="26">
        <f>SUMIFS(INDEX(元データ_14項目!$D$2:$Q$1300,0,MATCH($B499,元データ_14項目!$D$1:$Q$1,0)),元データ_14項目!$A$2:$A$1300,$A499,元データ_14項目!$B$2:$B$1300,"本年",元データ_14項目!$C$2:$C$1300,C$5)</f>
        <v>61</v>
      </c>
      <c r="D499" s="26">
        <f>SUMIFS(INDEX(元データ_14項目!$D$2:$Q$1300,0,MATCH($B499,元データ_14項目!$D$1:$Q$1,0)),元データ_14項目!$A$2:$A$1300,$A499,元データ_14項目!$B$2:$B$1300,"本年",元データ_14項目!$C$2:$C$1300,D$5)</f>
        <v>53</v>
      </c>
      <c r="E499" s="26">
        <f>SUMIFS(INDEX(元データ_14項目!$D$2:$Q$1300,0,MATCH($B499,元データ_14項目!$D$1:$Q$1,0)),元データ_14項目!$A$2:$A$1300,$A499,元データ_14項目!$B$2:$B$1300,"本年",元データ_14項目!$C$2:$C$1300,E$5)</f>
        <v>80</v>
      </c>
      <c r="F499" s="26">
        <f>SUMIFS(INDEX(元データ_14項目!$D$2:$Q$1300,0,MATCH($B499,元データ_14項目!$D$1:$Q$1,0)),元データ_14項目!$A$2:$A$1300,$A499,元データ_14項目!$B$2:$B$1300,"本年",元データ_14項目!$C$2:$C$1300,F$5)</f>
        <v>113</v>
      </c>
      <c r="G499" s="26">
        <f>SUMIFS(INDEX(元データ_14項目!$D$2:$Q$1300,0,MATCH($B499,元データ_14項目!$D$1:$Q$1,0)),元データ_14項目!$A$2:$A$1300,$A499,元データ_14項目!$B$2:$B$1300,"本年",元データ_14項目!$C$2:$C$1300,G$5)</f>
        <v>171</v>
      </c>
      <c r="H499" s="26">
        <f>SUMIFS(INDEX(元データ_14項目!$D$2:$Q$1300,0,MATCH($B499,元データ_14項目!$D$1:$Q$1,0)),元データ_14項目!$A$2:$A$1300,$A499,元データ_14項目!$B$2:$B$1300,"本年",元データ_14項目!$C$2:$C$1300,H$5)</f>
        <v>122</v>
      </c>
      <c r="I499" s="26">
        <f>SUMIFS(INDEX(元データ_14項目!$D$2:$Q$1300,0,MATCH($B499,元データ_14項目!$D$1:$Q$1,0)),元データ_14項目!$A$2:$A$1300,$A499,元データ_14項目!$B$2:$B$1300,"本年",元データ_14項目!$C$2:$C$1300,I$5)</f>
        <v>88</v>
      </c>
      <c r="J499" s="26">
        <f>SUMIFS(INDEX(元データ_14項目!$D$2:$Q$1300,0,MATCH($B499,元データ_14項目!$D$1:$Q$1,0)),元データ_14項目!$A$2:$A$1300,$A499,元データ_14項目!$B$2:$B$1300,"本年",元データ_14項目!$C$2:$C$1300,J$5)</f>
        <v>190</v>
      </c>
      <c r="K499" s="26">
        <f>SUMIFS(INDEX(元データ_14項目!$D$2:$Q$1300,0,MATCH($B499,元データ_14項目!$D$1:$Q$1,0)),元データ_14項目!$A$2:$A$1300,$A499,元データ_14項目!$B$2:$B$1300,"本年",元データ_14項目!$C$2:$C$1300,K$5)</f>
        <v>204</v>
      </c>
      <c r="L499" s="26">
        <f>SUMIFS(INDEX(元データ_14項目!$D$2:$Q$1300,0,MATCH($B499,元データ_14項目!$D$1:$Q$1,0)),元データ_14項目!$A$2:$A$1300,$A499,元データ_14項目!$B$2:$B$1300,"本年",元データ_14項目!$C$2:$C$1300,L$5)</f>
        <v>155</v>
      </c>
      <c r="M499" s="26">
        <f>SUMIFS(INDEX(元データ_14項目!$D$2:$Q$1300,0,MATCH($B499,元データ_14項目!$D$1:$Q$1,0)),元データ_14項目!$A$2:$A$1300,$A499,元データ_14項目!$B$2:$B$1300,"本年",元データ_14項目!$C$2:$C$1300,M$5)</f>
        <v>174</v>
      </c>
      <c r="N499" s="26">
        <f>SUMIFS(INDEX(元データ_14項目!$D$2:$Q$1300,0,MATCH($B499,元データ_14項目!$D$1:$Q$1,0)),元データ_14項目!$A$2:$A$1300,$A499,元データ_14項目!$B$2:$B$1300,"本年",元データ_14項目!$C$2:$C$1300,N$5)</f>
        <v>83</v>
      </c>
      <c r="O499" s="26">
        <f t="shared" si="14"/>
        <v>1494</v>
      </c>
      <c r="P499" s="26">
        <f>SUMIFS(INDEX(元データ_14項目!$D$2:$Q$1300,0,MATCH($B499,元データ_14項目!$D$1:$Q$1,0)),元データ_14項目!$A$2:$A$1300,$A499,元データ_14項目!$B$2:$B$1300,"前年")</f>
        <v>1643</v>
      </c>
      <c r="Q499" s="7">
        <f t="shared" si="15"/>
        <v>0.90931223371880709</v>
      </c>
    </row>
    <row r="500" spans="1:17" x14ac:dyDescent="0.45">
      <c r="A500" t="s">
        <v>70</v>
      </c>
      <c r="B500" t="s">
        <v>91</v>
      </c>
      <c r="C500" s="26">
        <f>SUMIFS(INDEX(元データ_14項目!$D$2:$Q$1300,0,MATCH($B500,元データ_14項目!$D$1:$Q$1,0)),元データ_14項目!$A$2:$A$1300,$A500,元データ_14項目!$B$2:$B$1300,"本年",元データ_14項目!$C$2:$C$1300,C$5)</f>
        <v>35</v>
      </c>
      <c r="D500" s="26">
        <f>SUMIFS(INDEX(元データ_14項目!$D$2:$Q$1300,0,MATCH($B500,元データ_14項目!$D$1:$Q$1,0)),元データ_14項目!$A$2:$A$1300,$A500,元データ_14項目!$B$2:$B$1300,"本年",元データ_14項目!$C$2:$C$1300,D$5)</f>
        <v>33</v>
      </c>
      <c r="E500" s="26">
        <f>SUMIFS(INDEX(元データ_14項目!$D$2:$Q$1300,0,MATCH($B500,元データ_14項目!$D$1:$Q$1,0)),元データ_14項目!$A$2:$A$1300,$A500,元データ_14項目!$B$2:$B$1300,"本年",元データ_14項目!$C$2:$C$1300,E$5)</f>
        <v>90</v>
      </c>
      <c r="F500" s="26">
        <f>SUMIFS(INDEX(元データ_14項目!$D$2:$Q$1300,0,MATCH($B500,元データ_14項目!$D$1:$Q$1,0)),元データ_14項目!$A$2:$A$1300,$A500,元データ_14項目!$B$2:$B$1300,"本年",元データ_14項目!$C$2:$C$1300,F$5)</f>
        <v>85</v>
      </c>
      <c r="G500" s="26">
        <f>SUMIFS(INDEX(元データ_14項目!$D$2:$Q$1300,0,MATCH($B500,元データ_14項目!$D$1:$Q$1,0)),元データ_14項目!$A$2:$A$1300,$A500,元データ_14項目!$B$2:$B$1300,"本年",元データ_14項目!$C$2:$C$1300,G$5)</f>
        <v>64</v>
      </c>
      <c r="H500" s="26">
        <f>SUMIFS(INDEX(元データ_14項目!$D$2:$Q$1300,0,MATCH($B500,元データ_14項目!$D$1:$Q$1,0)),元データ_14項目!$A$2:$A$1300,$A500,元データ_14項目!$B$2:$B$1300,"本年",元データ_14項目!$C$2:$C$1300,H$5)</f>
        <v>30</v>
      </c>
      <c r="I500" s="26">
        <f>SUMIFS(INDEX(元データ_14項目!$D$2:$Q$1300,0,MATCH($B500,元データ_14項目!$D$1:$Q$1,0)),元データ_14項目!$A$2:$A$1300,$A500,元データ_14項目!$B$2:$B$1300,"本年",元データ_14項目!$C$2:$C$1300,I$5)</f>
        <v>25</v>
      </c>
      <c r="J500" s="26">
        <f>SUMIFS(INDEX(元データ_14項目!$D$2:$Q$1300,0,MATCH($B500,元データ_14項目!$D$1:$Q$1,0)),元データ_14項目!$A$2:$A$1300,$A500,元データ_14項目!$B$2:$B$1300,"本年",元データ_14項目!$C$2:$C$1300,J$5)</f>
        <v>34</v>
      </c>
      <c r="K500" s="26">
        <f>SUMIFS(INDEX(元データ_14項目!$D$2:$Q$1300,0,MATCH($B500,元データ_14項目!$D$1:$Q$1,0)),元データ_14項目!$A$2:$A$1300,$A500,元データ_14項目!$B$2:$B$1300,"本年",元データ_14項目!$C$2:$C$1300,K$5)</f>
        <v>37</v>
      </c>
      <c r="L500" s="26">
        <f>SUMIFS(INDEX(元データ_14項目!$D$2:$Q$1300,0,MATCH($B500,元データ_14項目!$D$1:$Q$1,0)),元データ_14項目!$A$2:$A$1300,$A500,元データ_14項目!$B$2:$B$1300,"本年",元データ_14項目!$C$2:$C$1300,L$5)</f>
        <v>63</v>
      </c>
      <c r="M500" s="26">
        <f>SUMIFS(INDEX(元データ_14項目!$D$2:$Q$1300,0,MATCH($B500,元データ_14項目!$D$1:$Q$1,0)),元データ_14項目!$A$2:$A$1300,$A500,元データ_14項目!$B$2:$B$1300,"本年",元データ_14項目!$C$2:$C$1300,M$5)</f>
        <v>45</v>
      </c>
      <c r="N500" s="26">
        <f>SUMIFS(INDEX(元データ_14項目!$D$2:$Q$1300,0,MATCH($B500,元データ_14項目!$D$1:$Q$1,0)),元データ_14項目!$A$2:$A$1300,$A500,元データ_14項目!$B$2:$B$1300,"本年",元データ_14項目!$C$2:$C$1300,N$5)</f>
        <v>14</v>
      </c>
      <c r="O500" s="26">
        <f t="shared" si="14"/>
        <v>555</v>
      </c>
      <c r="P500" s="26">
        <f>SUMIFS(INDEX(元データ_14項目!$D$2:$Q$1300,0,MATCH($B500,元データ_14項目!$D$1:$Q$1,0)),元データ_14項目!$A$2:$A$1300,$A500,元データ_14項目!$B$2:$B$1300,"前年")</f>
        <v>539</v>
      </c>
      <c r="Q500" s="7">
        <f t="shared" si="15"/>
        <v>1.0296846011131726</v>
      </c>
    </row>
    <row r="501" spans="1:17" x14ac:dyDescent="0.45">
      <c r="A501" t="s">
        <v>70</v>
      </c>
      <c r="B501" t="s">
        <v>28</v>
      </c>
      <c r="C501" s="26">
        <f>SUMIFS(INDEX(元データ_14項目!$D$2:$Q$1300,0,MATCH($B501,元データ_14項目!$D$1:$Q$1,0)),元データ_14項目!$A$2:$A$1300,$A501,元データ_14項目!$B$2:$B$1300,"本年",元データ_14項目!$C$2:$C$1300,C$5)</f>
        <v>226</v>
      </c>
      <c r="D501" s="26">
        <f>SUMIFS(INDEX(元データ_14項目!$D$2:$Q$1300,0,MATCH($B501,元データ_14項目!$D$1:$Q$1,0)),元データ_14項目!$A$2:$A$1300,$A501,元データ_14項目!$B$2:$B$1300,"本年",元データ_14項目!$C$2:$C$1300,D$5)</f>
        <v>219</v>
      </c>
      <c r="E501" s="26">
        <f>SUMIFS(INDEX(元データ_14項目!$D$2:$Q$1300,0,MATCH($B501,元データ_14項目!$D$1:$Q$1,0)),元データ_14項目!$A$2:$A$1300,$A501,元データ_14項目!$B$2:$B$1300,"本年",元データ_14項目!$C$2:$C$1300,E$5)</f>
        <v>307</v>
      </c>
      <c r="F501" s="26">
        <f>SUMIFS(INDEX(元データ_14項目!$D$2:$Q$1300,0,MATCH($B501,元データ_14項目!$D$1:$Q$1,0)),元データ_14項目!$A$2:$A$1300,$A501,元データ_14項目!$B$2:$B$1300,"本年",元データ_14項目!$C$2:$C$1300,F$5)</f>
        <v>249</v>
      </c>
      <c r="G501" s="26">
        <f>SUMIFS(INDEX(元データ_14項目!$D$2:$Q$1300,0,MATCH($B501,元データ_14項目!$D$1:$Q$1,0)),元データ_14項目!$A$2:$A$1300,$A501,元データ_14項目!$B$2:$B$1300,"本年",元データ_14項目!$C$2:$C$1300,G$5)</f>
        <v>213</v>
      </c>
      <c r="H501" s="26">
        <f>SUMIFS(INDEX(元データ_14項目!$D$2:$Q$1300,0,MATCH($B501,元データ_14項目!$D$1:$Q$1,0)),元データ_14項目!$A$2:$A$1300,$A501,元データ_14項目!$B$2:$B$1300,"本年",元データ_14項目!$C$2:$C$1300,H$5)</f>
        <v>111</v>
      </c>
      <c r="I501" s="26">
        <f>SUMIFS(INDEX(元データ_14項目!$D$2:$Q$1300,0,MATCH($B501,元データ_14項目!$D$1:$Q$1,0)),元データ_14項目!$A$2:$A$1300,$A501,元データ_14項目!$B$2:$B$1300,"本年",元データ_14項目!$C$2:$C$1300,I$5)</f>
        <v>103</v>
      </c>
      <c r="J501" s="26">
        <f>SUMIFS(INDEX(元データ_14項目!$D$2:$Q$1300,0,MATCH($B501,元データ_14項目!$D$1:$Q$1,0)),元データ_14項目!$A$2:$A$1300,$A501,元データ_14項目!$B$2:$B$1300,"本年",元データ_14項目!$C$2:$C$1300,J$5)</f>
        <v>151</v>
      </c>
      <c r="K501" s="26">
        <f>SUMIFS(INDEX(元データ_14項目!$D$2:$Q$1300,0,MATCH($B501,元データ_14項目!$D$1:$Q$1,0)),元データ_14項目!$A$2:$A$1300,$A501,元データ_14項目!$B$2:$B$1300,"本年",元データ_14項目!$C$2:$C$1300,K$5)</f>
        <v>229</v>
      </c>
      <c r="L501" s="26">
        <f>SUMIFS(INDEX(元データ_14項目!$D$2:$Q$1300,0,MATCH($B501,元データ_14項目!$D$1:$Q$1,0)),元データ_14項目!$A$2:$A$1300,$A501,元データ_14項目!$B$2:$B$1300,"本年",元データ_14項目!$C$2:$C$1300,L$5)</f>
        <v>219</v>
      </c>
      <c r="M501" s="26">
        <f>SUMIFS(INDEX(元データ_14項目!$D$2:$Q$1300,0,MATCH($B501,元データ_14項目!$D$1:$Q$1,0)),元データ_14項目!$A$2:$A$1300,$A501,元データ_14項目!$B$2:$B$1300,"本年",元データ_14項目!$C$2:$C$1300,M$5)</f>
        <v>231</v>
      </c>
      <c r="N501" s="26">
        <f>SUMIFS(INDEX(元データ_14項目!$D$2:$Q$1300,0,MATCH($B501,元データ_14項目!$D$1:$Q$1,0)),元データ_14項目!$A$2:$A$1300,$A501,元データ_14項目!$B$2:$B$1300,"本年",元データ_14項目!$C$2:$C$1300,N$5)</f>
        <v>224</v>
      </c>
      <c r="O501" s="26">
        <f t="shared" si="14"/>
        <v>2482</v>
      </c>
      <c r="P501" s="26">
        <f>SUMIFS(INDEX(元データ_14項目!$D$2:$Q$1300,0,MATCH($B501,元データ_14項目!$D$1:$Q$1,0)),元データ_14項目!$A$2:$A$1300,$A501,元データ_14項目!$B$2:$B$1300,"前年")</f>
        <v>2789</v>
      </c>
      <c r="Q501" s="7">
        <f t="shared" si="15"/>
        <v>0.88992470419505199</v>
      </c>
    </row>
    <row r="502" spans="1:17" x14ac:dyDescent="0.45">
      <c r="A502" t="s">
        <v>70</v>
      </c>
      <c r="B502" t="s">
        <v>92</v>
      </c>
      <c r="C502" s="26">
        <f>SUMIFS(INDEX(元データ_14項目!$D$2:$Q$1300,0,MATCH($B502,元データ_14項目!$D$1:$Q$1,0)),元データ_14項目!$A$2:$A$1300,$A502,元データ_14項目!$B$2:$B$1300,"本年",元データ_14項目!$C$2:$C$1300,C$5)</f>
        <v>7</v>
      </c>
      <c r="D502" s="26">
        <f>SUMIFS(INDEX(元データ_14項目!$D$2:$Q$1300,0,MATCH($B502,元データ_14項目!$D$1:$Q$1,0)),元データ_14項目!$A$2:$A$1300,$A502,元データ_14項目!$B$2:$B$1300,"本年",元データ_14項目!$C$2:$C$1300,D$5)</f>
        <v>24</v>
      </c>
      <c r="E502" s="26">
        <f>SUMIFS(INDEX(元データ_14項目!$D$2:$Q$1300,0,MATCH($B502,元データ_14項目!$D$1:$Q$1,0)),元データ_14項目!$A$2:$A$1300,$A502,元データ_14項目!$B$2:$B$1300,"本年",元データ_14項目!$C$2:$C$1300,E$5)</f>
        <v>36</v>
      </c>
      <c r="F502" s="26">
        <f>SUMIFS(INDEX(元データ_14項目!$D$2:$Q$1300,0,MATCH($B502,元データ_14項目!$D$1:$Q$1,0)),元データ_14項目!$A$2:$A$1300,$A502,元データ_14項目!$B$2:$B$1300,"本年",元データ_14項目!$C$2:$C$1300,F$5)</f>
        <v>27</v>
      </c>
      <c r="G502" s="26">
        <f>SUMIFS(INDEX(元データ_14項目!$D$2:$Q$1300,0,MATCH($B502,元データ_14項目!$D$1:$Q$1,0)),元データ_14項目!$A$2:$A$1300,$A502,元データ_14項目!$B$2:$B$1300,"本年",元データ_14項目!$C$2:$C$1300,G$5)</f>
        <v>24</v>
      </c>
      <c r="H502" s="26">
        <f>SUMIFS(INDEX(元データ_14項目!$D$2:$Q$1300,0,MATCH($B502,元データ_14項目!$D$1:$Q$1,0)),元データ_14項目!$A$2:$A$1300,$A502,元データ_14項目!$B$2:$B$1300,"本年",元データ_14項目!$C$2:$C$1300,H$5)</f>
        <v>7</v>
      </c>
      <c r="I502" s="26">
        <f>SUMIFS(INDEX(元データ_14項目!$D$2:$Q$1300,0,MATCH($B502,元データ_14項目!$D$1:$Q$1,0)),元データ_14項目!$A$2:$A$1300,$A502,元データ_14項目!$B$2:$B$1300,"本年",元データ_14項目!$C$2:$C$1300,I$5)</f>
        <v>15</v>
      </c>
      <c r="J502" s="26">
        <f>SUMIFS(INDEX(元データ_14項目!$D$2:$Q$1300,0,MATCH($B502,元データ_14項目!$D$1:$Q$1,0)),元データ_14項目!$A$2:$A$1300,$A502,元データ_14項目!$B$2:$B$1300,"本年",元データ_14項目!$C$2:$C$1300,J$5)</f>
        <v>16</v>
      </c>
      <c r="K502" s="26">
        <f>SUMIFS(INDEX(元データ_14項目!$D$2:$Q$1300,0,MATCH($B502,元データ_14項目!$D$1:$Q$1,0)),元データ_14項目!$A$2:$A$1300,$A502,元データ_14項目!$B$2:$B$1300,"本年",元データ_14項目!$C$2:$C$1300,K$5)</f>
        <v>48</v>
      </c>
      <c r="L502" s="26">
        <f>SUMIFS(INDEX(元データ_14項目!$D$2:$Q$1300,0,MATCH($B502,元データ_14項目!$D$1:$Q$1,0)),元データ_14項目!$A$2:$A$1300,$A502,元データ_14項目!$B$2:$B$1300,"本年",元データ_14項目!$C$2:$C$1300,L$5)</f>
        <v>33</v>
      </c>
      <c r="M502" s="26">
        <f>SUMIFS(INDEX(元データ_14項目!$D$2:$Q$1300,0,MATCH($B502,元データ_14項目!$D$1:$Q$1,0)),元データ_14項目!$A$2:$A$1300,$A502,元データ_14項目!$B$2:$B$1300,"本年",元データ_14項目!$C$2:$C$1300,M$5)</f>
        <v>29</v>
      </c>
      <c r="N502" s="26">
        <f>SUMIFS(INDEX(元データ_14項目!$D$2:$Q$1300,0,MATCH($B502,元データ_14項目!$D$1:$Q$1,0)),元データ_14項目!$A$2:$A$1300,$A502,元データ_14項目!$B$2:$B$1300,"本年",元データ_14項目!$C$2:$C$1300,N$5)</f>
        <v>14</v>
      </c>
      <c r="O502" s="26">
        <f t="shared" si="14"/>
        <v>280</v>
      </c>
      <c r="P502" s="26">
        <f>SUMIFS(INDEX(元データ_14項目!$D$2:$Q$1300,0,MATCH($B502,元データ_14項目!$D$1:$Q$1,0)),元データ_14項目!$A$2:$A$1300,$A502,元データ_14項目!$B$2:$B$1300,"前年")</f>
        <v>323</v>
      </c>
      <c r="Q502" s="7">
        <f t="shared" si="15"/>
        <v>0.86687306501547989</v>
      </c>
    </row>
    <row r="503" spans="1:17" x14ac:dyDescent="0.45">
      <c r="A503" t="s">
        <v>70</v>
      </c>
      <c r="B503" t="s">
        <v>93</v>
      </c>
      <c r="C503" s="26">
        <f>SUMIFS(INDEX(元データ_14項目!$D$2:$Q$1300,0,MATCH($B503,元データ_14項目!$D$1:$Q$1,0)),元データ_14項目!$A$2:$A$1300,$A503,元データ_14項目!$B$2:$B$1300,"本年",元データ_14項目!$C$2:$C$1300,C$5)</f>
        <v>9</v>
      </c>
      <c r="D503" s="26">
        <f>SUMIFS(INDEX(元データ_14項目!$D$2:$Q$1300,0,MATCH($B503,元データ_14項目!$D$1:$Q$1,0)),元データ_14項目!$A$2:$A$1300,$A503,元データ_14項目!$B$2:$B$1300,"本年",元データ_14項目!$C$2:$C$1300,D$5)</f>
        <v>7</v>
      </c>
      <c r="E503" s="26">
        <f>SUMIFS(INDEX(元データ_14項目!$D$2:$Q$1300,0,MATCH($B503,元データ_14項目!$D$1:$Q$1,0)),元データ_14項目!$A$2:$A$1300,$A503,元データ_14項目!$B$2:$B$1300,"本年",元データ_14項目!$C$2:$C$1300,E$5)</f>
        <v>37</v>
      </c>
      <c r="F503" s="26">
        <f>SUMIFS(INDEX(元データ_14項目!$D$2:$Q$1300,0,MATCH($B503,元データ_14項目!$D$1:$Q$1,0)),元データ_14項目!$A$2:$A$1300,$A503,元データ_14項目!$B$2:$B$1300,"本年",元データ_14項目!$C$2:$C$1300,F$5)</f>
        <v>38</v>
      </c>
      <c r="G503" s="26">
        <f>SUMIFS(INDEX(元データ_14項目!$D$2:$Q$1300,0,MATCH($B503,元データ_14項目!$D$1:$Q$1,0)),元データ_14項目!$A$2:$A$1300,$A503,元データ_14項目!$B$2:$B$1300,"本年",元データ_14項目!$C$2:$C$1300,G$5)</f>
        <v>46</v>
      </c>
      <c r="H503" s="26">
        <f>SUMIFS(INDEX(元データ_14項目!$D$2:$Q$1300,0,MATCH($B503,元データ_14項目!$D$1:$Q$1,0)),元データ_14項目!$A$2:$A$1300,$A503,元データ_14項目!$B$2:$B$1300,"本年",元データ_14項目!$C$2:$C$1300,H$5)</f>
        <v>53</v>
      </c>
      <c r="I503" s="26">
        <f>SUMIFS(INDEX(元データ_14項目!$D$2:$Q$1300,0,MATCH($B503,元データ_14項目!$D$1:$Q$1,0)),元データ_14項目!$A$2:$A$1300,$A503,元データ_14項目!$B$2:$B$1300,"本年",元データ_14項目!$C$2:$C$1300,I$5)</f>
        <v>26</v>
      </c>
      <c r="J503" s="26">
        <f>SUMIFS(INDEX(元データ_14項目!$D$2:$Q$1300,0,MATCH($B503,元データ_14項目!$D$1:$Q$1,0)),元データ_14項目!$A$2:$A$1300,$A503,元データ_14項目!$B$2:$B$1300,"本年",元データ_14項目!$C$2:$C$1300,J$5)</f>
        <v>107</v>
      </c>
      <c r="K503" s="26">
        <f>SUMIFS(INDEX(元データ_14項目!$D$2:$Q$1300,0,MATCH($B503,元データ_14項目!$D$1:$Q$1,0)),元データ_14項目!$A$2:$A$1300,$A503,元データ_14項目!$B$2:$B$1300,"本年",元データ_14項目!$C$2:$C$1300,K$5)</f>
        <v>242</v>
      </c>
      <c r="L503" s="26">
        <f>SUMIFS(INDEX(元データ_14項目!$D$2:$Q$1300,0,MATCH($B503,元データ_14項目!$D$1:$Q$1,0)),元データ_14項目!$A$2:$A$1300,$A503,元データ_14項目!$B$2:$B$1300,"本年",元データ_14項目!$C$2:$C$1300,L$5)</f>
        <v>132</v>
      </c>
      <c r="M503" s="26">
        <f>SUMIFS(INDEX(元データ_14項目!$D$2:$Q$1300,0,MATCH($B503,元データ_14項目!$D$1:$Q$1,0)),元データ_14項目!$A$2:$A$1300,$A503,元データ_14項目!$B$2:$B$1300,"本年",元データ_14項目!$C$2:$C$1300,M$5)</f>
        <v>89</v>
      </c>
      <c r="N503" s="26">
        <f>SUMIFS(INDEX(元データ_14項目!$D$2:$Q$1300,0,MATCH($B503,元データ_14項目!$D$1:$Q$1,0)),元データ_14項目!$A$2:$A$1300,$A503,元データ_14項目!$B$2:$B$1300,"本年",元データ_14項目!$C$2:$C$1300,N$5)</f>
        <v>34</v>
      </c>
      <c r="O503" s="26">
        <f t="shared" si="14"/>
        <v>820</v>
      </c>
      <c r="P503" s="26">
        <f>SUMIFS(INDEX(元データ_14項目!$D$2:$Q$1300,0,MATCH($B503,元データ_14項目!$D$1:$Q$1,0)),元データ_14項目!$A$2:$A$1300,$A503,元データ_14項目!$B$2:$B$1300,"前年")</f>
        <v>820</v>
      </c>
      <c r="Q503" s="7">
        <f t="shared" si="15"/>
        <v>1</v>
      </c>
    </row>
    <row r="504" spans="1:17" x14ac:dyDescent="0.45">
      <c r="A504" t="s">
        <v>70</v>
      </c>
      <c r="B504" t="s">
        <v>94</v>
      </c>
      <c r="C504" s="26">
        <f>SUMIFS(INDEX(元データ_14項目!$D$2:$Q$1300,0,MATCH($B504,元データ_14項目!$D$1:$Q$1,0)),元データ_14項目!$A$2:$A$1300,$A504,元データ_14項目!$B$2:$B$1300,"本年",元データ_14項目!$C$2:$C$1300,C$5)</f>
        <v>8</v>
      </c>
      <c r="D504" s="26">
        <f>SUMIFS(INDEX(元データ_14項目!$D$2:$Q$1300,0,MATCH($B504,元データ_14項目!$D$1:$Q$1,0)),元データ_14項目!$A$2:$A$1300,$A504,元データ_14項目!$B$2:$B$1300,"本年",元データ_14項目!$C$2:$C$1300,D$5)</f>
        <v>8</v>
      </c>
      <c r="E504" s="26">
        <f>SUMIFS(INDEX(元データ_14項目!$D$2:$Q$1300,0,MATCH($B504,元データ_14項目!$D$1:$Q$1,0)),元データ_14項目!$A$2:$A$1300,$A504,元データ_14項目!$B$2:$B$1300,"本年",元データ_14項目!$C$2:$C$1300,E$5)</f>
        <v>22</v>
      </c>
      <c r="F504" s="26">
        <f>SUMIFS(INDEX(元データ_14項目!$D$2:$Q$1300,0,MATCH($B504,元データ_14項目!$D$1:$Q$1,0)),元データ_14項目!$A$2:$A$1300,$A504,元データ_14項目!$B$2:$B$1300,"本年",元データ_14項目!$C$2:$C$1300,F$5)</f>
        <v>20</v>
      </c>
      <c r="G504" s="26">
        <f>SUMIFS(INDEX(元データ_14項目!$D$2:$Q$1300,0,MATCH($B504,元データ_14項目!$D$1:$Q$1,0)),元データ_14項目!$A$2:$A$1300,$A504,元データ_14項目!$B$2:$B$1300,"本年",元データ_14項目!$C$2:$C$1300,G$5)</f>
        <v>26</v>
      </c>
      <c r="H504" s="26">
        <f>SUMIFS(INDEX(元データ_14項目!$D$2:$Q$1300,0,MATCH($B504,元データ_14項目!$D$1:$Q$1,0)),元データ_14項目!$A$2:$A$1300,$A504,元データ_14項目!$B$2:$B$1300,"本年",元データ_14項目!$C$2:$C$1300,H$5)</f>
        <v>15</v>
      </c>
      <c r="I504" s="26">
        <f>SUMIFS(INDEX(元データ_14項目!$D$2:$Q$1300,0,MATCH($B504,元データ_14項目!$D$1:$Q$1,0)),元データ_14項目!$A$2:$A$1300,$A504,元データ_14項目!$B$2:$B$1300,"本年",元データ_14項目!$C$2:$C$1300,I$5)</f>
        <v>7</v>
      </c>
      <c r="J504" s="26">
        <f>SUMIFS(INDEX(元データ_14項目!$D$2:$Q$1300,0,MATCH($B504,元データ_14項目!$D$1:$Q$1,0)),元データ_14項目!$A$2:$A$1300,$A504,元データ_14項目!$B$2:$B$1300,"本年",元データ_14項目!$C$2:$C$1300,J$5)</f>
        <v>25</v>
      </c>
      <c r="K504" s="26">
        <f>SUMIFS(INDEX(元データ_14項目!$D$2:$Q$1300,0,MATCH($B504,元データ_14項目!$D$1:$Q$1,0)),元データ_14項目!$A$2:$A$1300,$A504,元データ_14項目!$B$2:$B$1300,"本年",元データ_14項目!$C$2:$C$1300,K$5)</f>
        <v>86</v>
      </c>
      <c r="L504" s="26">
        <f>SUMIFS(INDEX(元データ_14項目!$D$2:$Q$1300,0,MATCH($B504,元データ_14項目!$D$1:$Q$1,0)),元データ_14項目!$A$2:$A$1300,$A504,元データ_14項目!$B$2:$B$1300,"本年",元データ_14項目!$C$2:$C$1300,L$5)</f>
        <v>52</v>
      </c>
      <c r="M504" s="26">
        <f>SUMIFS(INDEX(元データ_14項目!$D$2:$Q$1300,0,MATCH($B504,元データ_14項目!$D$1:$Q$1,0)),元データ_14項目!$A$2:$A$1300,$A504,元データ_14項目!$B$2:$B$1300,"本年",元データ_14項目!$C$2:$C$1300,M$5)</f>
        <v>46</v>
      </c>
      <c r="N504" s="26">
        <f>SUMIFS(INDEX(元データ_14項目!$D$2:$Q$1300,0,MATCH($B504,元データ_14項目!$D$1:$Q$1,0)),元データ_14項目!$A$2:$A$1300,$A504,元データ_14項目!$B$2:$B$1300,"本年",元データ_14項目!$C$2:$C$1300,N$5)</f>
        <v>28</v>
      </c>
      <c r="O504" s="26">
        <f t="shared" si="14"/>
        <v>343</v>
      </c>
      <c r="P504" s="26">
        <f>SUMIFS(INDEX(元データ_14項目!$D$2:$Q$1300,0,MATCH($B504,元データ_14項目!$D$1:$Q$1,0)),元データ_14項目!$A$2:$A$1300,$A504,元データ_14項目!$B$2:$B$1300,"前年")</f>
        <v>364</v>
      </c>
      <c r="Q504" s="7">
        <f t="shared" si="15"/>
        <v>0.94230769230769229</v>
      </c>
    </row>
    <row r="505" spans="1:17" x14ac:dyDescent="0.45">
      <c r="A505" t="s">
        <v>70</v>
      </c>
      <c r="B505" t="s">
        <v>95</v>
      </c>
      <c r="C505" s="26">
        <f>SUMIFS(INDEX(元データ_14項目!$D$2:$Q$1300,0,MATCH($B505,元データ_14項目!$D$1:$Q$1,0)),元データ_14項目!$A$2:$A$1300,$A505,元データ_14項目!$B$2:$B$1300,"本年",元データ_14項目!$C$2:$C$1300,C$5)</f>
        <v>18</v>
      </c>
      <c r="D505" s="26">
        <f>SUMIFS(INDEX(元データ_14項目!$D$2:$Q$1300,0,MATCH($B505,元データ_14項目!$D$1:$Q$1,0)),元データ_14項目!$A$2:$A$1300,$A505,元データ_14項目!$B$2:$B$1300,"本年",元データ_14項目!$C$2:$C$1300,D$5)</f>
        <v>32</v>
      </c>
      <c r="E505" s="26">
        <f>SUMIFS(INDEX(元データ_14項目!$D$2:$Q$1300,0,MATCH($B505,元データ_14項目!$D$1:$Q$1,0)),元データ_14項目!$A$2:$A$1300,$A505,元データ_14項目!$B$2:$B$1300,"本年",元データ_14項目!$C$2:$C$1300,E$5)</f>
        <v>45</v>
      </c>
      <c r="F505" s="26">
        <f>SUMIFS(INDEX(元データ_14項目!$D$2:$Q$1300,0,MATCH($B505,元データ_14項目!$D$1:$Q$1,0)),元データ_14項目!$A$2:$A$1300,$A505,元データ_14項目!$B$2:$B$1300,"本年",元データ_14項目!$C$2:$C$1300,F$5)</f>
        <v>38</v>
      </c>
      <c r="G505" s="26">
        <f>SUMIFS(INDEX(元データ_14項目!$D$2:$Q$1300,0,MATCH($B505,元データ_14項目!$D$1:$Q$1,0)),元データ_14項目!$A$2:$A$1300,$A505,元データ_14項目!$B$2:$B$1300,"本年",元データ_14項目!$C$2:$C$1300,G$5)</f>
        <v>20</v>
      </c>
      <c r="H505" s="26">
        <f>SUMIFS(INDEX(元データ_14項目!$D$2:$Q$1300,0,MATCH($B505,元データ_14項目!$D$1:$Q$1,0)),元データ_14項目!$A$2:$A$1300,$A505,元データ_14項目!$B$2:$B$1300,"本年",元データ_14項目!$C$2:$C$1300,H$5)</f>
        <v>15</v>
      </c>
      <c r="I505" s="26">
        <f>SUMIFS(INDEX(元データ_14項目!$D$2:$Q$1300,0,MATCH($B505,元データ_14項目!$D$1:$Q$1,0)),元データ_14項目!$A$2:$A$1300,$A505,元データ_14項目!$B$2:$B$1300,"本年",元データ_14項目!$C$2:$C$1300,I$5)</f>
        <v>6</v>
      </c>
      <c r="J505" s="26">
        <f>SUMIFS(INDEX(元データ_14項目!$D$2:$Q$1300,0,MATCH($B505,元データ_14項目!$D$1:$Q$1,0)),元データ_14項目!$A$2:$A$1300,$A505,元データ_14項目!$B$2:$B$1300,"本年",元データ_14項目!$C$2:$C$1300,J$5)</f>
        <v>31</v>
      </c>
      <c r="K505" s="26">
        <f>SUMIFS(INDEX(元データ_14項目!$D$2:$Q$1300,0,MATCH($B505,元データ_14項目!$D$1:$Q$1,0)),元データ_14項目!$A$2:$A$1300,$A505,元データ_14項目!$B$2:$B$1300,"本年",元データ_14項目!$C$2:$C$1300,K$5)</f>
        <v>53</v>
      </c>
      <c r="L505" s="26">
        <f>SUMIFS(INDEX(元データ_14項目!$D$2:$Q$1300,0,MATCH($B505,元データ_14項目!$D$1:$Q$1,0)),元データ_14項目!$A$2:$A$1300,$A505,元データ_14項目!$B$2:$B$1300,"本年",元データ_14項目!$C$2:$C$1300,L$5)</f>
        <v>33</v>
      </c>
      <c r="M505" s="26">
        <f>SUMIFS(INDEX(元データ_14項目!$D$2:$Q$1300,0,MATCH($B505,元データ_14項目!$D$1:$Q$1,0)),元データ_14項目!$A$2:$A$1300,$A505,元データ_14項目!$B$2:$B$1300,"本年",元データ_14項目!$C$2:$C$1300,M$5)</f>
        <v>29</v>
      </c>
      <c r="N505" s="26">
        <f>SUMIFS(INDEX(元データ_14項目!$D$2:$Q$1300,0,MATCH($B505,元データ_14項目!$D$1:$Q$1,0)),元データ_14項目!$A$2:$A$1300,$A505,元データ_14項目!$B$2:$B$1300,"本年",元データ_14項目!$C$2:$C$1300,N$5)</f>
        <v>23</v>
      </c>
      <c r="O505" s="26">
        <f t="shared" si="14"/>
        <v>343</v>
      </c>
      <c r="P505" s="26">
        <f>SUMIFS(INDEX(元データ_14項目!$D$2:$Q$1300,0,MATCH($B505,元データ_14項目!$D$1:$Q$1,0)),元データ_14項目!$A$2:$A$1300,$A505,元データ_14項目!$B$2:$B$1300,"前年")</f>
        <v>261</v>
      </c>
      <c r="Q505" s="7">
        <f t="shared" si="15"/>
        <v>1.314176245210728</v>
      </c>
    </row>
    <row r="506" spans="1:17" x14ac:dyDescent="0.45">
      <c r="A506" t="s">
        <v>70</v>
      </c>
      <c r="B506" t="s">
        <v>96</v>
      </c>
      <c r="C506" s="26">
        <f>SUMIFS(INDEX(元データ_14項目!$D$2:$Q$1300,0,MATCH($B506,元データ_14項目!$D$1:$Q$1,0)),元データ_14項目!$A$2:$A$1300,$A506,元データ_14項目!$B$2:$B$1300,"本年",元データ_14項目!$C$2:$C$1300,C$5)</f>
        <v>4</v>
      </c>
      <c r="D506" s="26">
        <f>SUMIFS(INDEX(元データ_14項目!$D$2:$Q$1300,0,MATCH($B506,元データ_14項目!$D$1:$Q$1,0)),元データ_14項目!$A$2:$A$1300,$A506,元データ_14項目!$B$2:$B$1300,"本年",元データ_14項目!$C$2:$C$1300,D$5)</f>
        <v>13</v>
      </c>
      <c r="E506" s="26">
        <f>SUMIFS(INDEX(元データ_14項目!$D$2:$Q$1300,0,MATCH($B506,元データ_14項目!$D$1:$Q$1,0)),元データ_14項目!$A$2:$A$1300,$A506,元データ_14項目!$B$2:$B$1300,"本年",元データ_14項目!$C$2:$C$1300,E$5)</f>
        <v>33</v>
      </c>
      <c r="F506" s="26">
        <f>SUMIFS(INDEX(元データ_14項目!$D$2:$Q$1300,0,MATCH($B506,元データ_14項目!$D$1:$Q$1,0)),元データ_14項目!$A$2:$A$1300,$A506,元データ_14項目!$B$2:$B$1300,"本年",元データ_14項目!$C$2:$C$1300,F$5)</f>
        <v>30</v>
      </c>
      <c r="G506" s="26">
        <f>SUMIFS(INDEX(元データ_14項目!$D$2:$Q$1300,0,MATCH($B506,元データ_14項目!$D$1:$Q$1,0)),元データ_14項目!$A$2:$A$1300,$A506,元データ_14項目!$B$2:$B$1300,"本年",元データ_14項目!$C$2:$C$1300,G$5)</f>
        <v>43</v>
      </c>
      <c r="H506" s="26">
        <f>SUMIFS(INDEX(元データ_14項目!$D$2:$Q$1300,0,MATCH($B506,元データ_14項目!$D$1:$Q$1,0)),元データ_14項目!$A$2:$A$1300,$A506,元データ_14項目!$B$2:$B$1300,"本年",元データ_14項目!$C$2:$C$1300,H$5)</f>
        <v>19</v>
      </c>
      <c r="I506" s="26">
        <f>SUMIFS(INDEX(元データ_14項目!$D$2:$Q$1300,0,MATCH($B506,元データ_14項目!$D$1:$Q$1,0)),元データ_14項目!$A$2:$A$1300,$A506,元データ_14項目!$B$2:$B$1300,"本年",元データ_14項目!$C$2:$C$1300,I$5)</f>
        <v>25</v>
      </c>
      <c r="J506" s="26">
        <f>SUMIFS(INDEX(元データ_14項目!$D$2:$Q$1300,0,MATCH($B506,元データ_14項目!$D$1:$Q$1,0)),元データ_14項目!$A$2:$A$1300,$A506,元データ_14項目!$B$2:$B$1300,"本年",元データ_14項目!$C$2:$C$1300,J$5)</f>
        <v>97</v>
      </c>
      <c r="K506" s="26">
        <f>SUMIFS(INDEX(元データ_14項目!$D$2:$Q$1300,0,MATCH($B506,元データ_14項目!$D$1:$Q$1,0)),元データ_14項目!$A$2:$A$1300,$A506,元データ_14項目!$B$2:$B$1300,"本年",元データ_14項目!$C$2:$C$1300,K$5)</f>
        <v>289</v>
      </c>
      <c r="L506" s="26">
        <f>SUMIFS(INDEX(元データ_14項目!$D$2:$Q$1300,0,MATCH($B506,元データ_14項目!$D$1:$Q$1,0)),元データ_14項目!$A$2:$A$1300,$A506,元データ_14項目!$B$2:$B$1300,"本年",元データ_14項目!$C$2:$C$1300,L$5)</f>
        <v>141</v>
      </c>
      <c r="M506" s="26">
        <f>SUMIFS(INDEX(元データ_14項目!$D$2:$Q$1300,0,MATCH($B506,元データ_14項目!$D$1:$Q$1,0)),元データ_14項目!$A$2:$A$1300,$A506,元データ_14項目!$B$2:$B$1300,"本年",元データ_14項目!$C$2:$C$1300,M$5)</f>
        <v>63</v>
      </c>
      <c r="N506" s="26">
        <f>SUMIFS(INDEX(元データ_14項目!$D$2:$Q$1300,0,MATCH($B506,元データ_14項目!$D$1:$Q$1,0)),元データ_14項目!$A$2:$A$1300,$A506,元データ_14項目!$B$2:$B$1300,"本年",元データ_14項目!$C$2:$C$1300,N$5)</f>
        <v>40</v>
      </c>
      <c r="O506" s="26">
        <f t="shared" si="14"/>
        <v>797</v>
      </c>
      <c r="P506" s="26">
        <f>SUMIFS(INDEX(元データ_14項目!$D$2:$Q$1300,0,MATCH($B506,元データ_14項目!$D$1:$Q$1,0)),元データ_14項目!$A$2:$A$1300,$A506,元データ_14項目!$B$2:$B$1300,"前年")</f>
        <v>913</v>
      </c>
      <c r="Q506" s="7">
        <f t="shared" si="15"/>
        <v>0.87294633077765604</v>
      </c>
    </row>
    <row r="507" spans="1:17" x14ac:dyDescent="0.45">
      <c r="A507" t="s">
        <v>70</v>
      </c>
      <c r="B507" t="s">
        <v>97</v>
      </c>
      <c r="C507" s="26">
        <f>SUMIFS(INDEX(元データ_14項目!$D$2:$Q$1300,0,MATCH($B507,元データ_14項目!$D$1:$Q$1,0)),元データ_14項目!$A$2:$A$1300,$A507,元データ_14項目!$B$2:$B$1300,"本年",元データ_14項目!$C$2:$C$1300,C$5)</f>
        <v>14</v>
      </c>
      <c r="D507" s="26">
        <f>SUMIFS(INDEX(元データ_14項目!$D$2:$Q$1300,0,MATCH($B507,元データ_14項目!$D$1:$Q$1,0)),元データ_14項目!$A$2:$A$1300,$A507,元データ_14項目!$B$2:$B$1300,"本年",元データ_14項目!$C$2:$C$1300,D$5)</f>
        <v>24</v>
      </c>
      <c r="E507" s="26">
        <f>SUMIFS(INDEX(元データ_14項目!$D$2:$Q$1300,0,MATCH($B507,元データ_14項目!$D$1:$Q$1,0)),元データ_14項目!$A$2:$A$1300,$A507,元データ_14項目!$B$2:$B$1300,"本年",元データ_14項目!$C$2:$C$1300,E$5)</f>
        <v>44</v>
      </c>
      <c r="F507" s="26">
        <f>SUMIFS(INDEX(元データ_14項目!$D$2:$Q$1300,0,MATCH($B507,元データ_14項目!$D$1:$Q$1,0)),元データ_14項目!$A$2:$A$1300,$A507,元データ_14項目!$B$2:$B$1300,"本年",元データ_14項目!$C$2:$C$1300,F$5)</f>
        <v>32</v>
      </c>
      <c r="G507" s="26">
        <f>SUMIFS(INDEX(元データ_14項目!$D$2:$Q$1300,0,MATCH($B507,元データ_14項目!$D$1:$Q$1,0)),元データ_14項目!$A$2:$A$1300,$A507,元データ_14項目!$B$2:$B$1300,"本年",元データ_14項目!$C$2:$C$1300,G$5)</f>
        <v>44</v>
      </c>
      <c r="H507" s="26">
        <f>SUMIFS(INDEX(元データ_14項目!$D$2:$Q$1300,0,MATCH($B507,元データ_14項目!$D$1:$Q$1,0)),元データ_14項目!$A$2:$A$1300,$A507,元データ_14項目!$B$2:$B$1300,"本年",元データ_14項目!$C$2:$C$1300,H$5)</f>
        <v>41</v>
      </c>
      <c r="I507" s="26">
        <f>SUMIFS(INDEX(元データ_14項目!$D$2:$Q$1300,0,MATCH($B507,元データ_14項目!$D$1:$Q$1,0)),元データ_14項目!$A$2:$A$1300,$A507,元データ_14項目!$B$2:$B$1300,"本年",元データ_14項目!$C$2:$C$1300,I$5)</f>
        <v>27</v>
      </c>
      <c r="J507" s="26">
        <f>SUMIFS(INDEX(元データ_14項目!$D$2:$Q$1300,0,MATCH($B507,元データ_14項目!$D$1:$Q$1,0)),元データ_14項目!$A$2:$A$1300,$A507,元データ_14項目!$B$2:$B$1300,"本年",元データ_14項目!$C$2:$C$1300,J$5)</f>
        <v>89</v>
      </c>
      <c r="K507" s="26">
        <f>SUMIFS(INDEX(元データ_14項目!$D$2:$Q$1300,0,MATCH($B507,元データ_14項目!$D$1:$Q$1,0)),元データ_14項目!$A$2:$A$1300,$A507,元データ_14項目!$B$2:$B$1300,"本年",元データ_14項目!$C$2:$C$1300,K$5)</f>
        <v>237</v>
      </c>
      <c r="L507" s="26">
        <f>SUMIFS(INDEX(元データ_14項目!$D$2:$Q$1300,0,MATCH($B507,元データ_14項目!$D$1:$Q$1,0)),元データ_14項目!$A$2:$A$1300,$A507,元データ_14項目!$B$2:$B$1300,"本年",元データ_14項目!$C$2:$C$1300,L$5)</f>
        <v>138</v>
      </c>
      <c r="M507" s="26">
        <f>SUMIFS(INDEX(元データ_14項目!$D$2:$Q$1300,0,MATCH($B507,元データ_14項目!$D$1:$Q$1,0)),元データ_14項目!$A$2:$A$1300,$A507,元データ_14項目!$B$2:$B$1300,"本年",元データ_14項目!$C$2:$C$1300,M$5)</f>
        <v>82</v>
      </c>
      <c r="N507" s="26">
        <f>SUMIFS(INDEX(元データ_14項目!$D$2:$Q$1300,0,MATCH($B507,元データ_14項目!$D$1:$Q$1,0)),元データ_14項目!$A$2:$A$1300,$A507,元データ_14項目!$B$2:$B$1300,"本年",元データ_14項目!$C$2:$C$1300,N$5)</f>
        <v>35</v>
      </c>
      <c r="O507" s="26">
        <f t="shared" si="14"/>
        <v>807</v>
      </c>
      <c r="P507" s="26">
        <f>SUMIFS(INDEX(元データ_14項目!$D$2:$Q$1300,0,MATCH($B507,元データ_14項目!$D$1:$Q$1,0)),元データ_14項目!$A$2:$A$1300,$A507,元データ_14項目!$B$2:$B$1300,"前年")</f>
        <v>777</v>
      </c>
      <c r="Q507" s="7">
        <f t="shared" si="15"/>
        <v>1.0386100386100385</v>
      </c>
    </row>
    <row r="508" spans="1:17" x14ac:dyDescent="0.45">
      <c r="A508" t="s">
        <v>70</v>
      </c>
      <c r="B508" t="s">
        <v>98</v>
      </c>
      <c r="C508" s="26">
        <f>SUMIFS(INDEX(元データ_14項目!$D$2:$Q$1300,0,MATCH($B508,元データ_14項目!$D$1:$Q$1,0)),元データ_14項目!$A$2:$A$1300,$A508,元データ_14項目!$B$2:$B$1300,"本年",元データ_14項目!$C$2:$C$1300,C$5)</f>
        <v>5</v>
      </c>
      <c r="D508" s="26">
        <f>SUMIFS(INDEX(元データ_14項目!$D$2:$Q$1300,0,MATCH($B508,元データ_14項目!$D$1:$Q$1,0)),元データ_14項目!$A$2:$A$1300,$A508,元データ_14項目!$B$2:$B$1300,"本年",元データ_14項目!$C$2:$C$1300,D$5)</f>
        <v>5</v>
      </c>
      <c r="E508" s="26">
        <f>SUMIFS(INDEX(元データ_14項目!$D$2:$Q$1300,0,MATCH($B508,元データ_14項目!$D$1:$Q$1,0)),元データ_14項目!$A$2:$A$1300,$A508,元データ_14項目!$B$2:$B$1300,"本年",元データ_14項目!$C$2:$C$1300,E$5)</f>
        <v>12</v>
      </c>
      <c r="F508" s="26">
        <f>SUMIFS(INDEX(元データ_14項目!$D$2:$Q$1300,0,MATCH($B508,元データ_14項目!$D$1:$Q$1,0)),元データ_14項目!$A$2:$A$1300,$A508,元データ_14項目!$B$2:$B$1300,"本年",元データ_14項目!$C$2:$C$1300,F$5)</f>
        <v>14</v>
      </c>
      <c r="G508" s="26">
        <f>SUMIFS(INDEX(元データ_14項目!$D$2:$Q$1300,0,MATCH($B508,元データ_14項目!$D$1:$Q$1,0)),元データ_14項目!$A$2:$A$1300,$A508,元データ_14項目!$B$2:$B$1300,"本年",元データ_14項目!$C$2:$C$1300,G$5)</f>
        <v>23</v>
      </c>
      <c r="H508" s="26">
        <f>SUMIFS(INDEX(元データ_14項目!$D$2:$Q$1300,0,MATCH($B508,元データ_14項目!$D$1:$Q$1,0)),元データ_14項目!$A$2:$A$1300,$A508,元データ_14項目!$B$2:$B$1300,"本年",元データ_14項目!$C$2:$C$1300,H$5)</f>
        <v>7</v>
      </c>
      <c r="I508" s="26">
        <f>SUMIFS(INDEX(元データ_14項目!$D$2:$Q$1300,0,MATCH($B508,元データ_14項目!$D$1:$Q$1,0)),元データ_14項目!$A$2:$A$1300,$A508,元データ_14項目!$B$2:$B$1300,"本年",元データ_14項目!$C$2:$C$1300,I$5)</f>
        <v>11</v>
      </c>
      <c r="J508" s="26">
        <f>SUMIFS(INDEX(元データ_14項目!$D$2:$Q$1300,0,MATCH($B508,元データ_14項目!$D$1:$Q$1,0)),元データ_14項目!$A$2:$A$1300,$A508,元データ_14項目!$B$2:$B$1300,"本年",元データ_14項目!$C$2:$C$1300,J$5)</f>
        <v>83</v>
      </c>
      <c r="K508" s="26">
        <f>SUMIFS(INDEX(元データ_14項目!$D$2:$Q$1300,0,MATCH($B508,元データ_14項目!$D$1:$Q$1,0)),元データ_14項目!$A$2:$A$1300,$A508,元データ_14項目!$B$2:$B$1300,"本年",元データ_14項目!$C$2:$C$1300,K$5)</f>
        <v>166</v>
      </c>
      <c r="L508" s="26">
        <f>SUMIFS(INDEX(元データ_14項目!$D$2:$Q$1300,0,MATCH($B508,元データ_14項目!$D$1:$Q$1,0)),元データ_14項目!$A$2:$A$1300,$A508,元データ_14項目!$B$2:$B$1300,"本年",元データ_14項目!$C$2:$C$1300,L$5)</f>
        <v>72</v>
      </c>
      <c r="M508" s="26">
        <f>SUMIFS(INDEX(元データ_14項目!$D$2:$Q$1300,0,MATCH($B508,元データ_14項目!$D$1:$Q$1,0)),元データ_14項目!$A$2:$A$1300,$A508,元データ_14項目!$B$2:$B$1300,"本年",元データ_14項目!$C$2:$C$1300,M$5)</f>
        <v>23</v>
      </c>
      <c r="N508" s="26">
        <f>SUMIFS(INDEX(元データ_14項目!$D$2:$Q$1300,0,MATCH($B508,元データ_14項目!$D$1:$Q$1,0)),元データ_14項目!$A$2:$A$1300,$A508,元データ_14項目!$B$2:$B$1300,"本年",元データ_14項目!$C$2:$C$1300,N$5)</f>
        <v>15</v>
      </c>
      <c r="O508" s="26">
        <f t="shared" si="14"/>
        <v>436</v>
      </c>
      <c r="P508" s="26">
        <f>SUMIFS(INDEX(元データ_14項目!$D$2:$Q$1300,0,MATCH($B508,元データ_14項目!$D$1:$Q$1,0)),元データ_14項目!$A$2:$A$1300,$A508,元データ_14項目!$B$2:$B$1300,"前年")</f>
        <v>495</v>
      </c>
      <c r="Q508" s="7">
        <f t="shared" si="15"/>
        <v>0.88080808080808082</v>
      </c>
    </row>
    <row r="509" spans="1:17" x14ac:dyDescent="0.45">
      <c r="A509" t="s">
        <v>70</v>
      </c>
      <c r="B509" t="s">
        <v>99</v>
      </c>
      <c r="C509" s="26">
        <f>SUMIFS(INDEX(元データ_14項目!$D$2:$Q$1300,0,MATCH($B509,元データ_14項目!$D$1:$Q$1,0)),元データ_14項目!$A$2:$A$1300,$A509,元データ_14項目!$B$2:$B$1300,"本年",元データ_14項目!$C$2:$C$1300,C$5)</f>
        <v>0</v>
      </c>
      <c r="D509" s="26">
        <f>SUMIFS(INDEX(元データ_14項目!$D$2:$Q$1300,0,MATCH($B509,元データ_14項目!$D$1:$Q$1,0)),元データ_14項目!$A$2:$A$1300,$A509,元データ_14項目!$B$2:$B$1300,"本年",元データ_14項目!$C$2:$C$1300,D$5)</f>
        <v>0</v>
      </c>
      <c r="E509" s="26">
        <f>SUMIFS(INDEX(元データ_14項目!$D$2:$Q$1300,0,MATCH($B509,元データ_14項目!$D$1:$Q$1,0)),元データ_14項目!$A$2:$A$1300,$A509,元データ_14項目!$B$2:$B$1300,"本年",元データ_14項目!$C$2:$C$1300,E$5)</f>
        <v>2</v>
      </c>
      <c r="F509" s="26">
        <f>SUMIFS(INDEX(元データ_14項目!$D$2:$Q$1300,0,MATCH($B509,元データ_14項目!$D$1:$Q$1,0)),元データ_14項目!$A$2:$A$1300,$A509,元データ_14項目!$B$2:$B$1300,"本年",元データ_14項目!$C$2:$C$1300,F$5)</f>
        <v>0</v>
      </c>
      <c r="G509" s="26">
        <f>SUMIFS(INDEX(元データ_14項目!$D$2:$Q$1300,0,MATCH($B509,元データ_14項目!$D$1:$Q$1,0)),元データ_14項目!$A$2:$A$1300,$A509,元データ_14項目!$B$2:$B$1300,"本年",元データ_14項目!$C$2:$C$1300,G$5)</f>
        <v>0</v>
      </c>
      <c r="H509" s="26">
        <f>SUMIFS(INDEX(元データ_14項目!$D$2:$Q$1300,0,MATCH($B509,元データ_14項目!$D$1:$Q$1,0)),元データ_14項目!$A$2:$A$1300,$A509,元データ_14項目!$B$2:$B$1300,"本年",元データ_14項目!$C$2:$C$1300,H$5)</f>
        <v>2</v>
      </c>
      <c r="I509" s="26">
        <f>SUMIFS(INDEX(元データ_14項目!$D$2:$Q$1300,0,MATCH($B509,元データ_14項目!$D$1:$Q$1,0)),元データ_14項目!$A$2:$A$1300,$A509,元データ_14項目!$B$2:$B$1300,"本年",元データ_14項目!$C$2:$C$1300,I$5)</f>
        <v>3</v>
      </c>
      <c r="J509" s="26">
        <f>SUMIFS(INDEX(元データ_14項目!$D$2:$Q$1300,0,MATCH($B509,元データ_14項目!$D$1:$Q$1,0)),元データ_14項目!$A$2:$A$1300,$A509,元データ_14項目!$B$2:$B$1300,"本年",元データ_14項目!$C$2:$C$1300,J$5)</f>
        <v>20</v>
      </c>
      <c r="K509" s="26">
        <f>SUMIFS(INDEX(元データ_14項目!$D$2:$Q$1300,0,MATCH($B509,元データ_14項目!$D$1:$Q$1,0)),元データ_14項目!$A$2:$A$1300,$A509,元データ_14項目!$B$2:$B$1300,"本年",元データ_14項目!$C$2:$C$1300,K$5)</f>
        <v>9</v>
      </c>
      <c r="L509" s="26">
        <f>SUMIFS(INDEX(元データ_14項目!$D$2:$Q$1300,0,MATCH($B509,元データ_14項目!$D$1:$Q$1,0)),元データ_14項目!$A$2:$A$1300,$A509,元データ_14項目!$B$2:$B$1300,"本年",元データ_14項目!$C$2:$C$1300,L$5)</f>
        <v>7</v>
      </c>
      <c r="M509" s="26">
        <f>SUMIFS(INDEX(元データ_14項目!$D$2:$Q$1300,0,MATCH($B509,元データ_14項目!$D$1:$Q$1,0)),元データ_14項目!$A$2:$A$1300,$A509,元データ_14項目!$B$2:$B$1300,"本年",元データ_14項目!$C$2:$C$1300,M$5)</f>
        <v>2</v>
      </c>
      <c r="N509" s="26">
        <f>SUMIFS(INDEX(元データ_14項目!$D$2:$Q$1300,0,MATCH($B509,元データ_14項目!$D$1:$Q$1,0)),元データ_14項目!$A$2:$A$1300,$A509,元データ_14項目!$B$2:$B$1300,"本年",元データ_14項目!$C$2:$C$1300,N$5)</f>
        <v>0</v>
      </c>
      <c r="O509" s="26">
        <f t="shared" si="14"/>
        <v>45</v>
      </c>
      <c r="P509" s="26">
        <f>SUMIFS(INDEX(元データ_14項目!$D$2:$Q$1300,0,MATCH($B509,元データ_14項目!$D$1:$Q$1,0)),元データ_14項目!$A$2:$A$1300,$A509,元データ_14項目!$B$2:$B$1300,"前年")</f>
        <v>51</v>
      </c>
      <c r="Q509" s="7">
        <f t="shared" si="15"/>
        <v>0.88235294117647056</v>
      </c>
    </row>
    <row r="510" spans="1:17" x14ac:dyDescent="0.45">
      <c r="A510" t="s">
        <v>71</v>
      </c>
      <c r="B510" t="s">
        <v>27</v>
      </c>
      <c r="C510" s="26">
        <f>SUMIFS(INDEX(元データ_14項目!$D$2:$Q$1300,0,MATCH($B510,元データ_14項目!$D$1:$Q$1,0)),元データ_14項目!$A$2:$A$1300,$A510,元データ_14項目!$B$2:$B$1300,"本年",元データ_14項目!$C$2:$C$1300,C$5)</f>
        <v>1005</v>
      </c>
      <c r="D510" s="26">
        <f>SUMIFS(INDEX(元データ_14項目!$D$2:$Q$1300,0,MATCH($B510,元データ_14項目!$D$1:$Q$1,0)),元データ_14項目!$A$2:$A$1300,$A510,元データ_14項目!$B$2:$B$1300,"本年",元データ_14項目!$C$2:$C$1300,D$5)</f>
        <v>1301</v>
      </c>
      <c r="E510" s="26">
        <f>SUMIFS(INDEX(元データ_14項目!$D$2:$Q$1300,0,MATCH($B510,元データ_14項目!$D$1:$Q$1,0)),元データ_14項目!$A$2:$A$1300,$A510,元データ_14項目!$B$2:$B$1300,"本年",元データ_14項目!$C$2:$C$1300,E$5)</f>
        <v>1600</v>
      </c>
      <c r="F510" s="26">
        <f>SUMIFS(INDEX(元データ_14項目!$D$2:$Q$1300,0,MATCH($B510,元データ_14項目!$D$1:$Q$1,0)),元データ_14項目!$A$2:$A$1300,$A510,元データ_14項目!$B$2:$B$1300,"本年",元データ_14項目!$C$2:$C$1300,F$5)</f>
        <v>1423</v>
      </c>
      <c r="G510" s="26">
        <f>SUMIFS(INDEX(元データ_14項目!$D$2:$Q$1300,0,MATCH($B510,元データ_14項目!$D$1:$Q$1,0)),元データ_14項目!$A$2:$A$1300,$A510,元データ_14項目!$B$2:$B$1300,"本年",元データ_14項目!$C$2:$C$1300,G$5)</f>
        <v>1455</v>
      </c>
      <c r="H510" s="26">
        <f>SUMIFS(INDEX(元データ_14項目!$D$2:$Q$1300,0,MATCH($B510,元データ_14項目!$D$1:$Q$1,0)),元データ_14項目!$A$2:$A$1300,$A510,元データ_14項目!$B$2:$B$1300,"本年",元データ_14項目!$C$2:$C$1300,H$5)</f>
        <v>1138</v>
      </c>
      <c r="I510" s="26">
        <f>SUMIFS(INDEX(元データ_14項目!$D$2:$Q$1300,0,MATCH($B510,元データ_14項目!$D$1:$Q$1,0)),元データ_14項目!$A$2:$A$1300,$A510,元データ_14項目!$B$2:$B$1300,"本年",元データ_14項目!$C$2:$C$1300,I$5)</f>
        <v>1148</v>
      </c>
      <c r="J510" s="26">
        <f>SUMIFS(INDEX(元データ_14項目!$D$2:$Q$1300,0,MATCH($B510,元データ_14項目!$D$1:$Q$1,0)),元データ_14項目!$A$2:$A$1300,$A510,元データ_14項目!$B$2:$B$1300,"本年",元データ_14項目!$C$2:$C$1300,J$5)</f>
        <v>1401</v>
      </c>
      <c r="K510" s="26">
        <f>SUMIFS(INDEX(元データ_14項目!$D$2:$Q$1300,0,MATCH($B510,元データ_14項目!$D$1:$Q$1,0)),元データ_14項目!$A$2:$A$1300,$A510,元データ_14項目!$B$2:$B$1300,"本年",元データ_14項目!$C$2:$C$1300,K$5)</f>
        <v>1296</v>
      </c>
      <c r="L510" s="26">
        <f>SUMIFS(INDEX(元データ_14項目!$D$2:$Q$1300,0,MATCH($B510,元データ_14項目!$D$1:$Q$1,0)),元データ_14項目!$A$2:$A$1300,$A510,元データ_14項目!$B$2:$B$1300,"本年",元データ_14項目!$C$2:$C$1300,L$5)</f>
        <v>1086</v>
      </c>
      <c r="M510" s="26">
        <f>SUMIFS(INDEX(元データ_14項目!$D$2:$Q$1300,0,MATCH($B510,元データ_14項目!$D$1:$Q$1,0)),元データ_14項目!$A$2:$A$1300,$A510,元データ_14項目!$B$2:$B$1300,"本年",元データ_14項目!$C$2:$C$1300,M$5)</f>
        <v>1304</v>
      </c>
      <c r="N510" s="26">
        <f>SUMIFS(INDEX(元データ_14項目!$D$2:$Q$1300,0,MATCH($B510,元データ_14項目!$D$1:$Q$1,0)),元データ_14項目!$A$2:$A$1300,$A510,元データ_14項目!$B$2:$B$1300,"本年",元データ_14項目!$C$2:$C$1300,N$5)</f>
        <v>1077</v>
      </c>
      <c r="O510" s="26">
        <f t="shared" si="14"/>
        <v>15234</v>
      </c>
      <c r="P510" s="26">
        <f>SUMIFS(INDEX(元データ_14項目!$D$2:$Q$1300,0,MATCH($B510,元データ_14項目!$D$1:$Q$1,0)),元データ_14項目!$A$2:$A$1300,$A510,元データ_14項目!$B$2:$B$1300,"前年")</f>
        <v>17246</v>
      </c>
      <c r="Q510" s="7">
        <f t="shared" si="15"/>
        <v>0.88333526614867219</v>
      </c>
    </row>
    <row r="511" spans="1:17" x14ac:dyDescent="0.45">
      <c r="A511" t="s">
        <v>71</v>
      </c>
      <c r="B511" t="s">
        <v>88</v>
      </c>
      <c r="C511" s="26">
        <f>SUMIFS(INDEX(元データ_14項目!$D$2:$Q$1300,0,MATCH($B511,元データ_14項目!$D$1:$Q$1,0)),元データ_14項目!$A$2:$A$1300,$A511,元データ_14項目!$B$2:$B$1300,"本年",元データ_14項目!$C$2:$C$1300,C$5)</f>
        <v>43</v>
      </c>
      <c r="D511" s="26">
        <f>SUMIFS(INDEX(元データ_14項目!$D$2:$Q$1300,0,MATCH($B511,元データ_14項目!$D$1:$Q$1,0)),元データ_14項目!$A$2:$A$1300,$A511,元データ_14項目!$B$2:$B$1300,"本年",元データ_14項目!$C$2:$C$1300,D$5)</f>
        <v>53</v>
      </c>
      <c r="E511" s="26">
        <f>SUMIFS(INDEX(元データ_14項目!$D$2:$Q$1300,0,MATCH($B511,元データ_14項目!$D$1:$Q$1,0)),元データ_14項目!$A$2:$A$1300,$A511,元データ_14項目!$B$2:$B$1300,"本年",元データ_14項目!$C$2:$C$1300,E$5)</f>
        <v>64</v>
      </c>
      <c r="F511" s="26">
        <f>SUMIFS(INDEX(元データ_14項目!$D$2:$Q$1300,0,MATCH($B511,元データ_14項目!$D$1:$Q$1,0)),元データ_14項目!$A$2:$A$1300,$A511,元データ_14項目!$B$2:$B$1300,"本年",元データ_14項目!$C$2:$C$1300,F$5)</f>
        <v>42</v>
      </c>
      <c r="G511" s="26">
        <f>SUMIFS(INDEX(元データ_14項目!$D$2:$Q$1300,0,MATCH($B511,元データ_14項目!$D$1:$Q$1,0)),元データ_14項目!$A$2:$A$1300,$A511,元データ_14項目!$B$2:$B$1300,"本年",元データ_14項目!$C$2:$C$1300,G$5)</f>
        <v>34</v>
      </c>
      <c r="H511" s="26">
        <f>SUMIFS(INDEX(元データ_14項目!$D$2:$Q$1300,0,MATCH($B511,元データ_14項目!$D$1:$Q$1,0)),元データ_14項目!$A$2:$A$1300,$A511,元データ_14項目!$B$2:$B$1300,"本年",元データ_14項目!$C$2:$C$1300,H$5)</f>
        <v>24</v>
      </c>
      <c r="I511" s="26">
        <f>SUMIFS(INDEX(元データ_14項目!$D$2:$Q$1300,0,MATCH($B511,元データ_14項目!$D$1:$Q$1,0)),元データ_14項目!$A$2:$A$1300,$A511,元データ_14項目!$B$2:$B$1300,"本年",元データ_14項目!$C$2:$C$1300,I$5)</f>
        <v>20</v>
      </c>
      <c r="J511" s="26">
        <f>SUMIFS(INDEX(元データ_14項目!$D$2:$Q$1300,0,MATCH($B511,元データ_14項目!$D$1:$Q$1,0)),元データ_14項目!$A$2:$A$1300,$A511,元データ_14項目!$B$2:$B$1300,"本年",元データ_14項目!$C$2:$C$1300,J$5)</f>
        <v>34</v>
      </c>
      <c r="K511" s="26">
        <f>SUMIFS(INDEX(元データ_14項目!$D$2:$Q$1300,0,MATCH($B511,元データ_14項目!$D$1:$Q$1,0)),元データ_14項目!$A$2:$A$1300,$A511,元データ_14項目!$B$2:$B$1300,"本年",元データ_14項目!$C$2:$C$1300,K$5)</f>
        <v>25</v>
      </c>
      <c r="L511" s="26">
        <f>SUMIFS(INDEX(元データ_14項目!$D$2:$Q$1300,0,MATCH($B511,元データ_14項目!$D$1:$Q$1,0)),元データ_14項目!$A$2:$A$1300,$A511,元データ_14項目!$B$2:$B$1300,"本年",元データ_14項目!$C$2:$C$1300,L$5)</f>
        <v>47</v>
      </c>
      <c r="M511" s="26">
        <f>SUMIFS(INDEX(元データ_14項目!$D$2:$Q$1300,0,MATCH($B511,元データ_14項目!$D$1:$Q$1,0)),元データ_14項目!$A$2:$A$1300,$A511,元データ_14項目!$B$2:$B$1300,"本年",元データ_14項目!$C$2:$C$1300,M$5)</f>
        <v>65</v>
      </c>
      <c r="N511" s="26">
        <f>SUMIFS(INDEX(元データ_14項目!$D$2:$Q$1300,0,MATCH($B511,元データ_14項目!$D$1:$Q$1,0)),元データ_14項目!$A$2:$A$1300,$A511,元データ_14項目!$B$2:$B$1300,"本年",元データ_14項目!$C$2:$C$1300,N$5)</f>
        <v>26</v>
      </c>
      <c r="O511" s="26">
        <f t="shared" si="14"/>
        <v>477</v>
      </c>
      <c r="P511" s="26">
        <f>SUMIFS(INDEX(元データ_14項目!$D$2:$Q$1300,0,MATCH($B511,元データ_14項目!$D$1:$Q$1,0)),元データ_14項目!$A$2:$A$1300,$A511,元データ_14項目!$B$2:$B$1300,"前年")</f>
        <v>477</v>
      </c>
      <c r="Q511" s="7">
        <f t="shared" si="15"/>
        <v>1</v>
      </c>
    </row>
    <row r="512" spans="1:17" x14ac:dyDescent="0.45">
      <c r="A512" t="s">
        <v>71</v>
      </c>
      <c r="B512" t="s">
        <v>89</v>
      </c>
      <c r="C512" s="26">
        <f>SUMIFS(INDEX(元データ_14項目!$D$2:$Q$1300,0,MATCH($B512,元データ_14項目!$D$1:$Q$1,0)),元データ_14項目!$A$2:$A$1300,$A512,元データ_14項目!$B$2:$B$1300,"本年",元データ_14項目!$C$2:$C$1300,C$5)</f>
        <v>28</v>
      </c>
      <c r="D512" s="26">
        <f>SUMIFS(INDEX(元データ_14項目!$D$2:$Q$1300,0,MATCH($B512,元データ_14項目!$D$1:$Q$1,0)),元データ_14項目!$A$2:$A$1300,$A512,元データ_14項目!$B$2:$B$1300,"本年",元データ_14項目!$C$2:$C$1300,D$5)</f>
        <v>50</v>
      </c>
      <c r="E512" s="26">
        <f>SUMIFS(INDEX(元データ_14項目!$D$2:$Q$1300,0,MATCH($B512,元データ_14項目!$D$1:$Q$1,0)),元データ_14項目!$A$2:$A$1300,$A512,元データ_14項目!$B$2:$B$1300,"本年",元データ_14項目!$C$2:$C$1300,E$5)</f>
        <v>60</v>
      </c>
      <c r="F512" s="26">
        <f>SUMIFS(INDEX(元データ_14項目!$D$2:$Q$1300,0,MATCH($B512,元データ_14項目!$D$1:$Q$1,0)),元データ_14項目!$A$2:$A$1300,$A512,元データ_14項目!$B$2:$B$1300,"本年",元データ_14項目!$C$2:$C$1300,F$5)</f>
        <v>32</v>
      </c>
      <c r="G512" s="26">
        <f>SUMIFS(INDEX(元データ_14項目!$D$2:$Q$1300,0,MATCH($B512,元データ_14項目!$D$1:$Q$1,0)),元データ_14項目!$A$2:$A$1300,$A512,元データ_14項目!$B$2:$B$1300,"本年",元データ_14項目!$C$2:$C$1300,G$5)</f>
        <v>45</v>
      </c>
      <c r="H512" s="26">
        <f>SUMIFS(INDEX(元データ_14項目!$D$2:$Q$1300,0,MATCH($B512,元データ_14項目!$D$1:$Q$1,0)),元データ_14項目!$A$2:$A$1300,$A512,元データ_14項目!$B$2:$B$1300,"本年",元データ_14項目!$C$2:$C$1300,H$5)</f>
        <v>25</v>
      </c>
      <c r="I512" s="26">
        <f>SUMIFS(INDEX(元データ_14項目!$D$2:$Q$1300,0,MATCH($B512,元データ_14項目!$D$1:$Q$1,0)),元データ_14項目!$A$2:$A$1300,$A512,元データ_14項目!$B$2:$B$1300,"本年",元データ_14項目!$C$2:$C$1300,I$5)</f>
        <v>7</v>
      </c>
      <c r="J512" s="26">
        <f>SUMIFS(INDEX(元データ_14項目!$D$2:$Q$1300,0,MATCH($B512,元データ_14項目!$D$1:$Q$1,0)),元データ_14項目!$A$2:$A$1300,$A512,元データ_14項目!$B$2:$B$1300,"本年",元データ_14項目!$C$2:$C$1300,J$5)</f>
        <v>32</v>
      </c>
      <c r="K512" s="26">
        <f>SUMIFS(INDEX(元データ_14項目!$D$2:$Q$1300,0,MATCH($B512,元データ_14項目!$D$1:$Q$1,0)),元データ_14項目!$A$2:$A$1300,$A512,元データ_14項目!$B$2:$B$1300,"本年",元データ_14項目!$C$2:$C$1300,K$5)</f>
        <v>35</v>
      </c>
      <c r="L512" s="26">
        <f>SUMIFS(INDEX(元データ_14項目!$D$2:$Q$1300,0,MATCH($B512,元データ_14項目!$D$1:$Q$1,0)),元データ_14項目!$A$2:$A$1300,$A512,元データ_14項目!$B$2:$B$1300,"本年",元データ_14項目!$C$2:$C$1300,L$5)</f>
        <v>30</v>
      </c>
      <c r="M512" s="26">
        <f>SUMIFS(INDEX(元データ_14項目!$D$2:$Q$1300,0,MATCH($B512,元データ_14項目!$D$1:$Q$1,0)),元データ_14項目!$A$2:$A$1300,$A512,元データ_14項目!$B$2:$B$1300,"本年",元データ_14項目!$C$2:$C$1300,M$5)</f>
        <v>41</v>
      </c>
      <c r="N512" s="26">
        <f>SUMIFS(INDEX(元データ_14項目!$D$2:$Q$1300,0,MATCH($B512,元データ_14項目!$D$1:$Q$1,0)),元データ_14項目!$A$2:$A$1300,$A512,元データ_14項目!$B$2:$B$1300,"本年",元データ_14項目!$C$2:$C$1300,N$5)</f>
        <v>32</v>
      </c>
      <c r="O512" s="26">
        <f t="shared" si="14"/>
        <v>417</v>
      </c>
      <c r="P512" s="26">
        <f>SUMIFS(INDEX(元データ_14項目!$D$2:$Q$1300,0,MATCH($B512,元データ_14項目!$D$1:$Q$1,0)),元データ_14項目!$A$2:$A$1300,$A512,元データ_14項目!$B$2:$B$1300,"前年")</f>
        <v>506</v>
      </c>
      <c r="Q512" s="7">
        <f t="shared" si="15"/>
        <v>0.82411067193675891</v>
      </c>
    </row>
    <row r="513" spans="1:17" x14ac:dyDescent="0.45">
      <c r="A513" t="s">
        <v>71</v>
      </c>
      <c r="B513" t="s">
        <v>90</v>
      </c>
      <c r="C513" s="26">
        <f>SUMIFS(INDEX(元データ_14項目!$D$2:$Q$1300,0,MATCH($B513,元データ_14項目!$D$1:$Q$1,0)),元データ_14項目!$A$2:$A$1300,$A513,元データ_14項目!$B$2:$B$1300,"本年",元データ_14項目!$C$2:$C$1300,C$5)</f>
        <v>30</v>
      </c>
      <c r="D513" s="26">
        <f>SUMIFS(INDEX(元データ_14項目!$D$2:$Q$1300,0,MATCH($B513,元データ_14項目!$D$1:$Q$1,0)),元データ_14項目!$A$2:$A$1300,$A513,元データ_14項目!$B$2:$B$1300,"本年",元データ_14項目!$C$2:$C$1300,D$5)</f>
        <v>62</v>
      </c>
      <c r="E513" s="26">
        <f>SUMIFS(INDEX(元データ_14項目!$D$2:$Q$1300,0,MATCH($B513,元データ_14項目!$D$1:$Q$1,0)),元データ_14項目!$A$2:$A$1300,$A513,元データ_14項目!$B$2:$B$1300,"本年",元データ_14項目!$C$2:$C$1300,E$5)</f>
        <v>85</v>
      </c>
      <c r="F513" s="26">
        <f>SUMIFS(INDEX(元データ_14項目!$D$2:$Q$1300,0,MATCH($B513,元データ_14項目!$D$1:$Q$1,0)),元データ_14項目!$A$2:$A$1300,$A513,元データ_14項目!$B$2:$B$1300,"本年",元データ_14項目!$C$2:$C$1300,F$5)</f>
        <v>102</v>
      </c>
      <c r="G513" s="26">
        <f>SUMIFS(INDEX(元データ_14項目!$D$2:$Q$1300,0,MATCH($B513,元データ_14項目!$D$1:$Q$1,0)),元データ_14項目!$A$2:$A$1300,$A513,元データ_14項目!$B$2:$B$1300,"本年",元データ_14項目!$C$2:$C$1300,G$5)</f>
        <v>101</v>
      </c>
      <c r="H513" s="26">
        <f>SUMIFS(INDEX(元データ_14項目!$D$2:$Q$1300,0,MATCH($B513,元データ_14項目!$D$1:$Q$1,0)),元データ_14項目!$A$2:$A$1300,$A513,元データ_14項目!$B$2:$B$1300,"本年",元データ_14項目!$C$2:$C$1300,H$5)</f>
        <v>114</v>
      </c>
      <c r="I513" s="26">
        <f>SUMIFS(INDEX(元データ_14項目!$D$2:$Q$1300,0,MATCH($B513,元データ_14項目!$D$1:$Q$1,0)),元データ_14項目!$A$2:$A$1300,$A513,元データ_14項目!$B$2:$B$1300,"本年",元データ_14項目!$C$2:$C$1300,I$5)</f>
        <v>39</v>
      </c>
      <c r="J513" s="26">
        <f>SUMIFS(INDEX(元データ_14項目!$D$2:$Q$1300,0,MATCH($B513,元データ_14項目!$D$1:$Q$1,0)),元データ_14項目!$A$2:$A$1300,$A513,元データ_14項目!$B$2:$B$1300,"本年",元データ_14項目!$C$2:$C$1300,J$5)</f>
        <v>106</v>
      </c>
      <c r="K513" s="26">
        <f>SUMIFS(INDEX(元データ_14項目!$D$2:$Q$1300,0,MATCH($B513,元データ_14項目!$D$1:$Q$1,0)),元データ_14項目!$A$2:$A$1300,$A513,元データ_14項目!$B$2:$B$1300,"本年",元データ_14項目!$C$2:$C$1300,K$5)</f>
        <v>187</v>
      </c>
      <c r="L513" s="26">
        <f>SUMIFS(INDEX(元データ_14項目!$D$2:$Q$1300,0,MATCH($B513,元データ_14項目!$D$1:$Q$1,0)),元データ_14項目!$A$2:$A$1300,$A513,元データ_14項目!$B$2:$B$1300,"本年",元データ_14項目!$C$2:$C$1300,L$5)</f>
        <v>126</v>
      </c>
      <c r="M513" s="26">
        <f>SUMIFS(INDEX(元データ_14項目!$D$2:$Q$1300,0,MATCH($B513,元データ_14項目!$D$1:$Q$1,0)),元データ_14項目!$A$2:$A$1300,$A513,元データ_14項目!$B$2:$B$1300,"本年",元データ_14項目!$C$2:$C$1300,M$5)</f>
        <v>121</v>
      </c>
      <c r="N513" s="26">
        <f>SUMIFS(INDEX(元データ_14項目!$D$2:$Q$1300,0,MATCH($B513,元データ_14項目!$D$1:$Q$1,0)),元データ_14項目!$A$2:$A$1300,$A513,元データ_14項目!$B$2:$B$1300,"本年",元データ_14項目!$C$2:$C$1300,N$5)</f>
        <v>48</v>
      </c>
      <c r="O513" s="26">
        <f t="shared" si="14"/>
        <v>1121</v>
      </c>
      <c r="P513" s="26">
        <f>SUMIFS(INDEX(元データ_14項目!$D$2:$Q$1300,0,MATCH($B513,元データ_14項目!$D$1:$Q$1,0)),元データ_14項目!$A$2:$A$1300,$A513,元データ_14項目!$B$2:$B$1300,"前年")</f>
        <v>1255</v>
      </c>
      <c r="Q513" s="7">
        <f t="shared" si="15"/>
        <v>0.89322709163346614</v>
      </c>
    </row>
    <row r="514" spans="1:17" x14ac:dyDescent="0.45">
      <c r="A514" t="s">
        <v>71</v>
      </c>
      <c r="B514" t="s">
        <v>91</v>
      </c>
      <c r="C514" s="26">
        <f>SUMIFS(INDEX(元データ_14項目!$D$2:$Q$1300,0,MATCH($B514,元データ_14項目!$D$1:$Q$1,0)),元データ_14項目!$A$2:$A$1300,$A514,元データ_14項目!$B$2:$B$1300,"本年",元データ_14項目!$C$2:$C$1300,C$5)</f>
        <v>79</v>
      </c>
      <c r="D514" s="26">
        <f>SUMIFS(INDEX(元データ_14項目!$D$2:$Q$1300,0,MATCH($B514,元データ_14項目!$D$1:$Q$1,0)),元データ_14項目!$A$2:$A$1300,$A514,元データ_14項目!$B$2:$B$1300,"本年",元データ_14項目!$C$2:$C$1300,D$5)</f>
        <v>78</v>
      </c>
      <c r="E514" s="26">
        <f>SUMIFS(INDEX(元データ_14項目!$D$2:$Q$1300,0,MATCH($B514,元データ_14項目!$D$1:$Q$1,0)),元データ_14項目!$A$2:$A$1300,$A514,元データ_14項目!$B$2:$B$1300,"本年",元データ_14項目!$C$2:$C$1300,E$5)</f>
        <v>194</v>
      </c>
      <c r="F514" s="26">
        <f>SUMIFS(INDEX(元データ_14項目!$D$2:$Q$1300,0,MATCH($B514,元データ_14項目!$D$1:$Q$1,0)),元データ_14項目!$A$2:$A$1300,$A514,元データ_14項目!$B$2:$B$1300,"本年",元データ_14項目!$C$2:$C$1300,F$5)</f>
        <v>194</v>
      </c>
      <c r="G514" s="26">
        <f>SUMIFS(INDEX(元データ_14項目!$D$2:$Q$1300,0,MATCH($B514,元データ_14項目!$D$1:$Q$1,0)),元データ_14項目!$A$2:$A$1300,$A514,元データ_14項目!$B$2:$B$1300,"本年",元データ_14項目!$C$2:$C$1300,G$5)</f>
        <v>181</v>
      </c>
      <c r="H514" s="26">
        <f>SUMIFS(INDEX(元データ_14項目!$D$2:$Q$1300,0,MATCH($B514,元データ_14項目!$D$1:$Q$1,0)),元データ_14項目!$A$2:$A$1300,$A514,元データ_14項目!$B$2:$B$1300,"本年",元データ_14項目!$C$2:$C$1300,H$5)</f>
        <v>75</v>
      </c>
      <c r="I514" s="26">
        <f>SUMIFS(INDEX(元データ_14項目!$D$2:$Q$1300,0,MATCH($B514,元データ_14項目!$D$1:$Q$1,0)),元データ_14項目!$A$2:$A$1300,$A514,元データ_14項目!$B$2:$B$1300,"本年",元データ_14項目!$C$2:$C$1300,I$5)</f>
        <v>122</v>
      </c>
      <c r="J514" s="26">
        <f>SUMIFS(INDEX(元データ_14項目!$D$2:$Q$1300,0,MATCH($B514,元データ_14項目!$D$1:$Q$1,0)),元データ_14項目!$A$2:$A$1300,$A514,元データ_14項目!$B$2:$B$1300,"本年",元データ_14項目!$C$2:$C$1300,J$5)</f>
        <v>157</v>
      </c>
      <c r="K514" s="26">
        <f>SUMIFS(INDEX(元データ_14項目!$D$2:$Q$1300,0,MATCH($B514,元データ_14項目!$D$1:$Q$1,0)),元データ_14項目!$A$2:$A$1300,$A514,元データ_14項目!$B$2:$B$1300,"本年",元データ_14項目!$C$2:$C$1300,K$5)</f>
        <v>223</v>
      </c>
      <c r="L514" s="26">
        <f>SUMIFS(INDEX(元データ_14項目!$D$2:$Q$1300,0,MATCH($B514,元データ_14項目!$D$1:$Q$1,0)),元データ_14項目!$A$2:$A$1300,$A514,元データ_14項目!$B$2:$B$1300,"本年",元データ_14項目!$C$2:$C$1300,L$5)</f>
        <v>153</v>
      </c>
      <c r="M514" s="26">
        <f>SUMIFS(INDEX(元データ_14項目!$D$2:$Q$1300,0,MATCH($B514,元データ_14項目!$D$1:$Q$1,0)),元データ_14項目!$A$2:$A$1300,$A514,元データ_14項目!$B$2:$B$1300,"本年",元データ_14項目!$C$2:$C$1300,M$5)</f>
        <v>154</v>
      </c>
      <c r="N514" s="26">
        <f>SUMIFS(INDEX(元データ_14項目!$D$2:$Q$1300,0,MATCH($B514,元データ_14項目!$D$1:$Q$1,0)),元データ_14項目!$A$2:$A$1300,$A514,元データ_14項目!$B$2:$B$1300,"本年",元データ_14項目!$C$2:$C$1300,N$5)</f>
        <v>72</v>
      </c>
      <c r="O514" s="26">
        <f t="shared" si="14"/>
        <v>1682</v>
      </c>
      <c r="P514" s="26">
        <f>SUMIFS(INDEX(元データ_14項目!$D$2:$Q$1300,0,MATCH($B514,元データ_14項目!$D$1:$Q$1,0)),元データ_14項目!$A$2:$A$1300,$A514,元データ_14項目!$B$2:$B$1300,"前年")</f>
        <v>1703</v>
      </c>
      <c r="Q514" s="7">
        <f t="shared" si="15"/>
        <v>0.9876688197298884</v>
      </c>
    </row>
    <row r="515" spans="1:17" x14ac:dyDescent="0.45">
      <c r="A515" t="s">
        <v>71</v>
      </c>
      <c r="B515" t="s">
        <v>28</v>
      </c>
      <c r="C515" s="26">
        <f>SUMIFS(INDEX(元データ_14項目!$D$2:$Q$1300,0,MATCH($B515,元データ_14項目!$D$1:$Q$1,0)),元データ_14項目!$A$2:$A$1300,$A515,元データ_14項目!$B$2:$B$1300,"本年",元データ_14項目!$C$2:$C$1300,C$5)</f>
        <v>373</v>
      </c>
      <c r="D515" s="26">
        <f>SUMIFS(INDEX(元データ_14項目!$D$2:$Q$1300,0,MATCH($B515,元データ_14項目!$D$1:$Q$1,0)),元データ_14項目!$A$2:$A$1300,$A515,元データ_14項目!$B$2:$B$1300,"本年",元データ_14項目!$C$2:$C$1300,D$5)</f>
        <v>406</v>
      </c>
      <c r="E515" s="26">
        <f>SUMIFS(INDEX(元データ_14項目!$D$2:$Q$1300,0,MATCH($B515,元データ_14項目!$D$1:$Q$1,0)),元データ_14項目!$A$2:$A$1300,$A515,元データ_14項目!$B$2:$B$1300,"本年",元データ_14項目!$C$2:$C$1300,E$5)</f>
        <v>571</v>
      </c>
      <c r="F515" s="26">
        <f>SUMIFS(INDEX(元データ_14項目!$D$2:$Q$1300,0,MATCH($B515,元データ_14項目!$D$1:$Q$1,0)),元データ_14項目!$A$2:$A$1300,$A515,元データ_14項目!$B$2:$B$1300,"本年",元データ_14項目!$C$2:$C$1300,F$5)</f>
        <v>448</v>
      </c>
      <c r="G515" s="26">
        <f>SUMIFS(INDEX(元データ_14項目!$D$2:$Q$1300,0,MATCH($B515,元データ_14項目!$D$1:$Q$1,0)),元データ_14項目!$A$2:$A$1300,$A515,元データ_14項目!$B$2:$B$1300,"本年",元データ_14項目!$C$2:$C$1300,G$5)</f>
        <v>440</v>
      </c>
      <c r="H515" s="26">
        <f>SUMIFS(INDEX(元データ_14項目!$D$2:$Q$1300,0,MATCH($B515,元データ_14項目!$D$1:$Q$1,0)),元データ_14項目!$A$2:$A$1300,$A515,元データ_14項目!$B$2:$B$1300,"本年",元データ_14項目!$C$2:$C$1300,H$5)</f>
        <v>219</v>
      </c>
      <c r="I515" s="26">
        <f>SUMIFS(INDEX(元データ_14項目!$D$2:$Q$1300,0,MATCH($B515,元データ_14項目!$D$1:$Q$1,0)),元データ_14項目!$A$2:$A$1300,$A515,元データ_14項目!$B$2:$B$1300,"本年",元データ_14項目!$C$2:$C$1300,I$5)</f>
        <v>284</v>
      </c>
      <c r="J515" s="26">
        <f>SUMIFS(INDEX(元データ_14項目!$D$2:$Q$1300,0,MATCH($B515,元データ_14項目!$D$1:$Q$1,0)),元データ_14項目!$A$2:$A$1300,$A515,元データ_14項目!$B$2:$B$1300,"本年",元データ_14項目!$C$2:$C$1300,J$5)</f>
        <v>323</v>
      </c>
      <c r="K515" s="26">
        <f>SUMIFS(INDEX(元データ_14項目!$D$2:$Q$1300,0,MATCH($B515,元データ_14項目!$D$1:$Q$1,0)),元データ_14項目!$A$2:$A$1300,$A515,元データ_14項目!$B$2:$B$1300,"本年",元データ_14項目!$C$2:$C$1300,K$5)</f>
        <v>452</v>
      </c>
      <c r="L515" s="26">
        <f>SUMIFS(INDEX(元データ_14項目!$D$2:$Q$1300,0,MATCH($B515,元データ_14項目!$D$1:$Q$1,0)),元データ_14項目!$A$2:$A$1300,$A515,元データ_14項目!$B$2:$B$1300,"本年",元データ_14項目!$C$2:$C$1300,L$5)</f>
        <v>398</v>
      </c>
      <c r="M515" s="26">
        <f>SUMIFS(INDEX(元データ_14項目!$D$2:$Q$1300,0,MATCH($B515,元データ_14項目!$D$1:$Q$1,0)),元データ_14項目!$A$2:$A$1300,$A515,元データ_14項目!$B$2:$B$1300,"本年",元データ_14項目!$C$2:$C$1300,M$5)</f>
        <v>372</v>
      </c>
      <c r="N515" s="26">
        <f>SUMIFS(INDEX(元データ_14項目!$D$2:$Q$1300,0,MATCH($B515,元データ_14項目!$D$1:$Q$1,0)),元データ_14項目!$A$2:$A$1300,$A515,元データ_14項目!$B$2:$B$1300,"本年",元データ_14項目!$C$2:$C$1300,N$5)</f>
        <v>314</v>
      </c>
      <c r="O515" s="26">
        <f t="shared" si="14"/>
        <v>4600</v>
      </c>
      <c r="P515" s="26">
        <f>SUMIFS(INDEX(元データ_14項目!$D$2:$Q$1300,0,MATCH($B515,元データ_14項目!$D$1:$Q$1,0)),元データ_14項目!$A$2:$A$1300,$A515,元データ_14項目!$B$2:$B$1300,"前年")</f>
        <v>5136</v>
      </c>
      <c r="Q515" s="7">
        <f t="shared" si="15"/>
        <v>0.89563862928348914</v>
      </c>
    </row>
    <row r="516" spans="1:17" x14ac:dyDescent="0.45">
      <c r="A516" t="s">
        <v>71</v>
      </c>
      <c r="B516" t="s">
        <v>92</v>
      </c>
      <c r="C516" s="26">
        <f>SUMIFS(INDEX(元データ_14項目!$D$2:$Q$1300,0,MATCH($B516,元データ_14項目!$D$1:$Q$1,0)),元データ_14項目!$A$2:$A$1300,$A516,元データ_14項目!$B$2:$B$1300,"本年",元データ_14項目!$C$2:$C$1300,C$5)</f>
        <v>14</v>
      </c>
      <c r="D516" s="26">
        <f>SUMIFS(INDEX(元データ_14項目!$D$2:$Q$1300,0,MATCH($B516,元データ_14項目!$D$1:$Q$1,0)),元データ_14項目!$A$2:$A$1300,$A516,元データ_14項目!$B$2:$B$1300,"本年",元データ_14項目!$C$2:$C$1300,D$5)</f>
        <v>36</v>
      </c>
      <c r="E516" s="26">
        <f>SUMIFS(INDEX(元データ_14項目!$D$2:$Q$1300,0,MATCH($B516,元データ_14項目!$D$1:$Q$1,0)),元データ_14項目!$A$2:$A$1300,$A516,元データ_14項目!$B$2:$B$1300,"本年",元データ_14項目!$C$2:$C$1300,E$5)</f>
        <v>58</v>
      </c>
      <c r="F516" s="26">
        <f>SUMIFS(INDEX(元データ_14項目!$D$2:$Q$1300,0,MATCH($B516,元データ_14項目!$D$1:$Q$1,0)),元データ_14項目!$A$2:$A$1300,$A516,元データ_14項目!$B$2:$B$1300,"本年",元データ_14項目!$C$2:$C$1300,F$5)</f>
        <v>31</v>
      </c>
      <c r="G516" s="26">
        <f>SUMIFS(INDEX(元データ_14項目!$D$2:$Q$1300,0,MATCH($B516,元データ_14項目!$D$1:$Q$1,0)),元データ_14項目!$A$2:$A$1300,$A516,元データ_14項目!$B$2:$B$1300,"本年",元データ_14項目!$C$2:$C$1300,G$5)</f>
        <v>32</v>
      </c>
      <c r="H516" s="26">
        <f>SUMIFS(INDEX(元データ_14項目!$D$2:$Q$1300,0,MATCH($B516,元データ_14項目!$D$1:$Q$1,0)),元データ_14項目!$A$2:$A$1300,$A516,元データ_14項目!$B$2:$B$1300,"本年",元データ_14項目!$C$2:$C$1300,H$5)</f>
        <v>14</v>
      </c>
      <c r="I516" s="26">
        <f>SUMIFS(INDEX(元データ_14項目!$D$2:$Q$1300,0,MATCH($B516,元データ_14項目!$D$1:$Q$1,0)),元データ_14項目!$A$2:$A$1300,$A516,元データ_14項目!$B$2:$B$1300,"本年",元データ_14項目!$C$2:$C$1300,I$5)</f>
        <v>15</v>
      </c>
      <c r="J516" s="26">
        <f>SUMIFS(INDEX(元データ_14項目!$D$2:$Q$1300,0,MATCH($B516,元データ_14項目!$D$1:$Q$1,0)),元データ_14項目!$A$2:$A$1300,$A516,元データ_14項目!$B$2:$B$1300,"本年",元データ_14項目!$C$2:$C$1300,J$5)</f>
        <v>28</v>
      </c>
      <c r="K516" s="26">
        <f>SUMIFS(INDEX(元データ_14項目!$D$2:$Q$1300,0,MATCH($B516,元データ_14項目!$D$1:$Q$1,0)),元データ_14項目!$A$2:$A$1300,$A516,元データ_14項目!$B$2:$B$1300,"本年",元データ_14項目!$C$2:$C$1300,K$5)</f>
        <v>68</v>
      </c>
      <c r="L516" s="26">
        <f>SUMIFS(INDEX(元データ_14項目!$D$2:$Q$1300,0,MATCH($B516,元データ_14項目!$D$1:$Q$1,0)),元データ_14項目!$A$2:$A$1300,$A516,元データ_14項目!$B$2:$B$1300,"本年",元データ_14項目!$C$2:$C$1300,L$5)</f>
        <v>40</v>
      </c>
      <c r="M516" s="26">
        <f>SUMIFS(INDEX(元データ_14項目!$D$2:$Q$1300,0,MATCH($B516,元データ_14項目!$D$1:$Q$1,0)),元データ_14項目!$A$2:$A$1300,$A516,元データ_14項目!$B$2:$B$1300,"本年",元データ_14項目!$C$2:$C$1300,M$5)</f>
        <v>39</v>
      </c>
      <c r="N516" s="26">
        <f>SUMIFS(INDEX(元データ_14項目!$D$2:$Q$1300,0,MATCH($B516,元データ_14項目!$D$1:$Q$1,0)),元データ_14項目!$A$2:$A$1300,$A516,元データ_14項目!$B$2:$B$1300,"本年",元データ_14項目!$C$2:$C$1300,N$5)</f>
        <v>21</v>
      </c>
      <c r="O516" s="26">
        <f t="shared" si="14"/>
        <v>396</v>
      </c>
      <c r="P516" s="26">
        <f>SUMIFS(INDEX(元データ_14項目!$D$2:$Q$1300,0,MATCH($B516,元データ_14項目!$D$1:$Q$1,0)),元データ_14項目!$A$2:$A$1300,$A516,元データ_14項目!$B$2:$B$1300,"前年")</f>
        <v>407</v>
      </c>
      <c r="Q516" s="7">
        <f t="shared" si="15"/>
        <v>0.97297297297297303</v>
      </c>
    </row>
    <row r="517" spans="1:17" x14ac:dyDescent="0.45">
      <c r="A517" t="s">
        <v>71</v>
      </c>
      <c r="B517" t="s">
        <v>93</v>
      </c>
      <c r="C517" s="26">
        <f>SUMIFS(INDEX(元データ_14項目!$D$2:$Q$1300,0,MATCH($B517,元データ_14項目!$D$1:$Q$1,0)),元データ_14項目!$A$2:$A$1300,$A517,元データ_14項目!$B$2:$B$1300,"本年",元データ_14項目!$C$2:$C$1300,C$5)</f>
        <v>12</v>
      </c>
      <c r="D517" s="26">
        <f>SUMIFS(INDEX(元データ_14項目!$D$2:$Q$1300,0,MATCH($B517,元データ_14項目!$D$1:$Q$1,0)),元データ_14項目!$A$2:$A$1300,$A517,元データ_14項目!$B$2:$B$1300,"本年",元データ_14項目!$C$2:$C$1300,D$5)</f>
        <v>23</v>
      </c>
      <c r="E517" s="26">
        <f>SUMIFS(INDEX(元データ_14項目!$D$2:$Q$1300,0,MATCH($B517,元データ_14項目!$D$1:$Q$1,0)),元データ_14項目!$A$2:$A$1300,$A517,元データ_14項目!$B$2:$B$1300,"本年",元データ_14項目!$C$2:$C$1300,E$5)</f>
        <v>52</v>
      </c>
      <c r="F517" s="26">
        <f>SUMIFS(INDEX(元データ_14項目!$D$2:$Q$1300,0,MATCH($B517,元データ_14項目!$D$1:$Q$1,0)),元データ_14項目!$A$2:$A$1300,$A517,元データ_14項目!$B$2:$B$1300,"本年",元データ_14項目!$C$2:$C$1300,F$5)</f>
        <v>45</v>
      </c>
      <c r="G517" s="26">
        <f>SUMIFS(INDEX(元データ_14項目!$D$2:$Q$1300,0,MATCH($B517,元データ_14項目!$D$1:$Q$1,0)),元データ_14項目!$A$2:$A$1300,$A517,元データ_14項目!$B$2:$B$1300,"本年",元データ_14項目!$C$2:$C$1300,G$5)</f>
        <v>105</v>
      </c>
      <c r="H517" s="26">
        <f>SUMIFS(INDEX(元データ_14項目!$D$2:$Q$1300,0,MATCH($B517,元データ_14項目!$D$1:$Q$1,0)),元データ_14項目!$A$2:$A$1300,$A517,元データ_14項目!$B$2:$B$1300,"本年",元データ_14項目!$C$2:$C$1300,H$5)</f>
        <v>82</v>
      </c>
      <c r="I517" s="26">
        <f>SUMIFS(INDEX(元データ_14項目!$D$2:$Q$1300,0,MATCH($B517,元データ_14項目!$D$1:$Q$1,0)),元データ_14項目!$A$2:$A$1300,$A517,元データ_14項目!$B$2:$B$1300,"本年",元データ_14項目!$C$2:$C$1300,I$5)</f>
        <v>32</v>
      </c>
      <c r="J517" s="26">
        <f>SUMIFS(INDEX(元データ_14項目!$D$2:$Q$1300,0,MATCH($B517,元データ_14項目!$D$1:$Q$1,0)),元データ_14項目!$A$2:$A$1300,$A517,元データ_14項目!$B$2:$B$1300,"本年",元データ_14項目!$C$2:$C$1300,J$5)</f>
        <v>93</v>
      </c>
      <c r="K517" s="26">
        <f>SUMIFS(INDEX(元データ_14項目!$D$2:$Q$1300,0,MATCH($B517,元データ_14項目!$D$1:$Q$1,0)),元データ_14項目!$A$2:$A$1300,$A517,元データ_14項目!$B$2:$B$1300,"本年",元データ_14項目!$C$2:$C$1300,K$5)</f>
        <v>274</v>
      </c>
      <c r="L517" s="26">
        <f>SUMIFS(INDEX(元データ_14項目!$D$2:$Q$1300,0,MATCH($B517,元データ_14項目!$D$1:$Q$1,0)),元データ_14項目!$A$2:$A$1300,$A517,元データ_14項目!$B$2:$B$1300,"本年",元データ_14項目!$C$2:$C$1300,L$5)</f>
        <v>124</v>
      </c>
      <c r="M517" s="26">
        <f>SUMIFS(INDEX(元データ_14項目!$D$2:$Q$1300,0,MATCH($B517,元データ_14項目!$D$1:$Q$1,0)),元データ_14項目!$A$2:$A$1300,$A517,元データ_14項目!$B$2:$B$1300,"本年",元データ_14項目!$C$2:$C$1300,M$5)</f>
        <v>101</v>
      </c>
      <c r="N517" s="26">
        <f>SUMIFS(INDEX(元データ_14項目!$D$2:$Q$1300,0,MATCH($B517,元データ_14項目!$D$1:$Q$1,0)),元データ_14項目!$A$2:$A$1300,$A517,元データ_14項目!$B$2:$B$1300,"本年",元データ_14項目!$C$2:$C$1300,N$5)</f>
        <v>17</v>
      </c>
      <c r="O517" s="26">
        <f t="shared" si="14"/>
        <v>960</v>
      </c>
      <c r="P517" s="26">
        <f>SUMIFS(INDEX(元データ_14項目!$D$2:$Q$1300,0,MATCH($B517,元データ_14項目!$D$1:$Q$1,0)),元データ_14項目!$A$2:$A$1300,$A517,元データ_14項目!$B$2:$B$1300,"前年")</f>
        <v>926</v>
      </c>
      <c r="Q517" s="7">
        <f t="shared" si="15"/>
        <v>1.0367170626349893</v>
      </c>
    </row>
    <row r="518" spans="1:17" x14ac:dyDescent="0.45">
      <c r="A518" t="s">
        <v>71</v>
      </c>
      <c r="B518" t="s">
        <v>94</v>
      </c>
      <c r="C518" s="26">
        <f>SUMIFS(INDEX(元データ_14項目!$D$2:$Q$1300,0,MATCH($B518,元データ_14項目!$D$1:$Q$1,0)),元データ_14項目!$A$2:$A$1300,$A518,元データ_14項目!$B$2:$B$1300,"本年",元データ_14項目!$C$2:$C$1300,C$5)</f>
        <v>4</v>
      </c>
      <c r="D518" s="26">
        <f>SUMIFS(INDEX(元データ_14項目!$D$2:$Q$1300,0,MATCH($B518,元データ_14項目!$D$1:$Q$1,0)),元データ_14項目!$A$2:$A$1300,$A518,元データ_14項目!$B$2:$B$1300,"本年",元データ_14項目!$C$2:$C$1300,D$5)</f>
        <v>16</v>
      </c>
      <c r="E518" s="26">
        <f>SUMIFS(INDEX(元データ_14項目!$D$2:$Q$1300,0,MATCH($B518,元データ_14項目!$D$1:$Q$1,0)),元データ_14項目!$A$2:$A$1300,$A518,元データ_14項目!$B$2:$B$1300,"本年",元データ_14項目!$C$2:$C$1300,E$5)</f>
        <v>31</v>
      </c>
      <c r="F518" s="26">
        <f>SUMIFS(INDEX(元データ_14項目!$D$2:$Q$1300,0,MATCH($B518,元データ_14項目!$D$1:$Q$1,0)),元データ_14項目!$A$2:$A$1300,$A518,元データ_14項目!$B$2:$B$1300,"本年",元データ_14項目!$C$2:$C$1300,F$5)</f>
        <v>16</v>
      </c>
      <c r="G518" s="26">
        <f>SUMIFS(INDEX(元データ_14項目!$D$2:$Q$1300,0,MATCH($B518,元データ_14項目!$D$1:$Q$1,0)),元データ_14項目!$A$2:$A$1300,$A518,元データ_14項目!$B$2:$B$1300,"本年",元データ_14項目!$C$2:$C$1300,G$5)</f>
        <v>25</v>
      </c>
      <c r="H518" s="26">
        <f>SUMIFS(INDEX(元データ_14項目!$D$2:$Q$1300,0,MATCH($B518,元データ_14項目!$D$1:$Q$1,0)),元データ_14項目!$A$2:$A$1300,$A518,元データ_14項目!$B$2:$B$1300,"本年",元データ_14項目!$C$2:$C$1300,H$5)</f>
        <v>22</v>
      </c>
      <c r="I518" s="26">
        <f>SUMIFS(INDEX(元データ_14項目!$D$2:$Q$1300,0,MATCH($B518,元データ_14項目!$D$1:$Q$1,0)),元データ_14項目!$A$2:$A$1300,$A518,元データ_14項目!$B$2:$B$1300,"本年",元データ_14項目!$C$2:$C$1300,I$5)</f>
        <v>10</v>
      </c>
      <c r="J518" s="26">
        <f>SUMIFS(INDEX(元データ_14項目!$D$2:$Q$1300,0,MATCH($B518,元データ_14項目!$D$1:$Q$1,0)),元データ_14項目!$A$2:$A$1300,$A518,元データ_14項目!$B$2:$B$1300,"本年",元データ_14項目!$C$2:$C$1300,J$5)</f>
        <v>34</v>
      </c>
      <c r="K518" s="26">
        <f>SUMIFS(INDEX(元データ_14項目!$D$2:$Q$1300,0,MATCH($B518,元データ_14項目!$D$1:$Q$1,0)),元データ_14項目!$A$2:$A$1300,$A518,元データ_14項目!$B$2:$B$1300,"本年",元データ_14項目!$C$2:$C$1300,K$5)</f>
        <v>82</v>
      </c>
      <c r="L518" s="26">
        <f>SUMIFS(INDEX(元データ_14項目!$D$2:$Q$1300,0,MATCH($B518,元データ_14項目!$D$1:$Q$1,0)),元データ_14項目!$A$2:$A$1300,$A518,元データ_14項目!$B$2:$B$1300,"本年",元データ_14項目!$C$2:$C$1300,L$5)</f>
        <v>75</v>
      </c>
      <c r="M518" s="26">
        <f>SUMIFS(INDEX(元データ_14項目!$D$2:$Q$1300,0,MATCH($B518,元データ_14項目!$D$1:$Q$1,0)),元データ_14項目!$A$2:$A$1300,$A518,元データ_14項目!$B$2:$B$1300,"本年",元データ_14項目!$C$2:$C$1300,M$5)</f>
        <v>46</v>
      </c>
      <c r="N518" s="26">
        <f>SUMIFS(INDEX(元データ_14項目!$D$2:$Q$1300,0,MATCH($B518,元データ_14項目!$D$1:$Q$1,0)),元データ_14項目!$A$2:$A$1300,$A518,元データ_14項目!$B$2:$B$1300,"本年",元データ_14項目!$C$2:$C$1300,N$5)</f>
        <v>27</v>
      </c>
      <c r="O518" s="26">
        <f t="shared" si="14"/>
        <v>388</v>
      </c>
      <c r="P518" s="26">
        <f>SUMIFS(INDEX(元データ_14項目!$D$2:$Q$1300,0,MATCH($B518,元データ_14項目!$D$1:$Q$1,0)),元データ_14項目!$A$2:$A$1300,$A518,元データ_14項目!$B$2:$B$1300,"前年")</f>
        <v>444</v>
      </c>
      <c r="Q518" s="7">
        <f t="shared" si="15"/>
        <v>0.87387387387387383</v>
      </c>
    </row>
    <row r="519" spans="1:17" x14ac:dyDescent="0.45">
      <c r="A519" t="s">
        <v>71</v>
      </c>
      <c r="B519" t="s">
        <v>95</v>
      </c>
      <c r="C519" s="26">
        <f>SUMIFS(INDEX(元データ_14項目!$D$2:$Q$1300,0,MATCH($B519,元データ_14項目!$D$1:$Q$1,0)),元データ_14項目!$A$2:$A$1300,$A519,元データ_14項目!$B$2:$B$1300,"本年",元データ_14項目!$C$2:$C$1300,C$5)</f>
        <v>23</v>
      </c>
      <c r="D519" s="26">
        <f>SUMIFS(INDEX(元データ_14項目!$D$2:$Q$1300,0,MATCH($B519,元データ_14項目!$D$1:$Q$1,0)),元データ_14項目!$A$2:$A$1300,$A519,元データ_14項目!$B$2:$B$1300,"本年",元データ_14項目!$C$2:$C$1300,D$5)</f>
        <v>49</v>
      </c>
      <c r="E519" s="26">
        <f>SUMIFS(INDEX(元データ_14項目!$D$2:$Q$1300,0,MATCH($B519,元データ_14項目!$D$1:$Q$1,0)),元データ_14項目!$A$2:$A$1300,$A519,元データ_14項目!$B$2:$B$1300,"本年",元データ_14項目!$C$2:$C$1300,E$5)</f>
        <v>45</v>
      </c>
      <c r="F519" s="26">
        <f>SUMIFS(INDEX(元データ_14項目!$D$2:$Q$1300,0,MATCH($B519,元データ_14項目!$D$1:$Q$1,0)),元データ_14項目!$A$2:$A$1300,$A519,元データ_14項目!$B$2:$B$1300,"本年",元データ_14項目!$C$2:$C$1300,F$5)</f>
        <v>39</v>
      </c>
      <c r="G519" s="26">
        <f>SUMIFS(INDEX(元データ_14項目!$D$2:$Q$1300,0,MATCH($B519,元データ_14項目!$D$1:$Q$1,0)),元データ_14項目!$A$2:$A$1300,$A519,元データ_14項目!$B$2:$B$1300,"本年",元データ_14項目!$C$2:$C$1300,G$5)</f>
        <v>57</v>
      </c>
      <c r="H519" s="26">
        <f>SUMIFS(INDEX(元データ_14項目!$D$2:$Q$1300,0,MATCH($B519,元データ_14項目!$D$1:$Q$1,0)),元データ_14項目!$A$2:$A$1300,$A519,元データ_14項目!$B$2:$B$1300,"本年",元データ_14項目!$C$2:$C$1300,H$5)</f>
        <v>41</v>
      </c>
      <c r="I519" s="26">
        <f>SUMIFS(INDEX(元データ_14項目!$D$2:$Q$1300,0,MATCH($B519,元データ_14項目!$D$1:$Q$1,0)),元データ_14項目!$A$2:$A$1300,$A519,元データ_14項目!$B$2:$B$1300,"本年",元データ_14項目!$C$2:$C$1300,I$5)</f>
        <v>18</v>
      </c>
      <c r="J519" s="26">
        <f>SUMIFS(INDEX(元データ_14項目!$D$2:$Q$1300,0,MATCH($B519,元データ_14項目!$D$1:$Q$1,0)),元データ_14項目!$A$2:$A$1300,$A519,元データ_14項目!$B$2:$B$1300,"本年",元データ_14項目!$C$2:$C$1300,J$5)</f>
        <v>26</v>
      </c>
      <c r="K519" s="26">
        <f>SUMIFS(INDEX(元データ_14項目!$D$2:$Q$1300,0,MATCH($B519,元データ_14項目!$D$1:$Q$1,0)),元データ_14項目!$A$2:$A$1300,$A519,元データ_14項目!$B$2:$B$1300,"本年",元データ_14項目!$C$2:$C$1300,K$5)</f>
        <v>67</v>
      </c>
      <c r="L519" s="26">
        <f>SUMIFS(INDEX(元データ_14項目!$D$2:$Q$1300,0,MATCH($B519,元データ_14項目!$D$1:$Q$1,0)),元データ_14項目!$A$2:$A$1300,$A519,元データ_14項目!$B$2:$B$1300,"本年",元データ_14項目!$C$2:$C$1300,L$5)</f>
        <v>38</v>
      </c>
      <c r="M519" s="26">
        <f>SUMIFS(INDEX(元データ_14項目!$D$2:$Q$1300,0,MATCH($B519,元データ_14項目!$D$1:$Q$1,0)),元データ_14項目!$A$2:$A$1300,$A519,元データ_14項目!$B$2:$B$1300,"本年",元データ_14項目!$C$2:$C$1300,M$5)</f>
        <v>34</v>
      </c>
      <c r="N519" s="26">
        <f>SUMIFS(INDEX(元データ_14項目!$D$2:$Q$1300,0,MATCH($B519,元データ_14項目!$D$1:$Q$1,0)),元データ_14項目!$A$2:$A$1300,$A519,元データ_14項目!$B$2:$B$1300,"本年",元データ_14項目!$C$2:$C$1300,N$5)</f>
        <v>34</v>
      </c>
      <c r="O519" s="26">
        <f t="shared" ref="O519:O582" si="16">SUM(C519:N519)</f>
        <v>471</v>
      </c>
      <c r="P519" s="26">
        <f>SUMIFS(INDEX(元データ_14項目!$D$2:$Q$1300,0,MATCH($B519,元データ_14項目!$D$1:$Q$1,0)),元データ_14項目!$A$2:$A$1300,$A519,元データ_14項目!$B$2:$B$1300,"前年")</f>
        <v>403</v>
      </c>
      <c r="Q519" s="7">
        <f t="shared" ref="Q519:Q582" si="17">IFERROR(O519/P519,"")</f>
        <v>1.1687344913151365</v>
      </c>
    </row>
    <row r="520" spans="1:17" x14ac:dyDescent="0.45">
      <c r="A520" t="s">
        <v>71</v>
      </c>
      <c r="B520" t="s">
        <v>96</v>
      </c>
      <c r="C520" s="26">
        <f>SUMIFS(INDEX(元データ_14項目!$D$2:$Q$1300,0,MATCH($B520,元データ_14項目!$D$1:$Q$1,0)),元データ_14項目!$A$2:$A$1300,$A520,元データ_14項目!$B$2:$B$1300,"本年",元データ_14項目!$C$2:$C$1300,C$5)</f>
        <v>19</v>
      </c>
      <c r="D520" s="26">
        <f>SUMIFS(INDEX(元データ_14項目!$D$2:$Q$1300,0,MATCH($B520,元データ_14項目!$D$1:$Q$1,0)),元データ_14項目!$A$2:$A$1300,$A520,元データ_14項目!$B$2:$B$1300,"本年",元データ_14項目!$C$2:$C$1300,D$5)</f>
        <v>15</v>
      </c>
      <c r="E520" s="26">
        <f>SUMIFS(INDEX(元データ_14項目!$D$2:$Q$1300,0,MATCH($B520,元データ_14項目!$D$1:$Q$1,0)),元データ_14項目!$A$2:$A$1300,$A520,元データ_14項目!$B$2:$B$1300,"本年",元データ_14項目!$C$2:$C$1300,E$5)</f>
        <v>64</v>
      </c>
      <c r="F520" s="26">
        <f>SUMIFS(INDEX(元データ_14項目!$D$2:$Q$1300,0,MATCH($B520,元データ_14項目!$D$1:$Q$1,0)),元データ_14項目!$A$2:$A$1300,$A520,元データ_14項目!$B$2:$B$1300,"本年",元データ_14項目!$C$2:$C$1300,F$5)</f>
        <v>44</v>
      </c>
      <c r="G520" s="26">
        <f>SUMIFS(INDEX(元データ_14項目!$D$2:$Q$1300,0,MATCH($B520,元データ_14項目!$D$1:$Q$1,0)),元データ_14項目!$A$2:$A$1300,$A520,元データ_14項目!$B$2:$B$1300,"本年",元データ_14項目!$C$2:$C$1300,G$5)</f>
        <v>55</v>
      </c>
      <c r="H520" s="26">
        <f>SUMIFS(INDEX(元データ_14項目!$D$2:$Q$1300,0,MATCH($B520,元データ_14項目!$D$1:$Q$1,0)),元データ_14項目!$A$2:$A$1300,$A520,元データ_14項目!$B$2:$B$1300,"本年",元データ_14項目!$C$2:$C$1300,H$5)</f>
        <v>45</v>
      </c>
      <c r="I520" s="26">
        <f>SUMIFS(INDEX(元データ_14項目!$D$2:$Q$1300,0,MATCH($B520,元データ_14項目!$D$1:$Q$1,0)),元データ_14項目!$A$2:$A$1300,$A520,元データ_14項目!$B$2:$B$1300,"本年",元データ_14項目!$C$2:$C$1300,I$5)</f>
        <v>30</v>
      </c>
      <c r="J520" s="26">
        <f>SUMIFS(INDEX(元データ_14項目!$D$2:$Q$1300,0,MATCH($B520,元データ_14項目!$D$1:$Q$1,0)),元データ_14項目!$A$2:$A$1300,$A520,元データ_14項目!$B$2:$B$1300,"本年",元データ_14項目!$C$2:$C$1300,J$5)</f>
        <v>150</v>
      </c>
      <c r="K520" s="26">
        <f>SUMIFS(INDEX(元データ_14項目!$D$2:$Q$1300,0,MATCH($B520,元データ_14項目!$D$1:$Q$1,0)),元データ_14項目!$A$2:$A$1300,$A520,元データ_14項目!$B$2:$B$1300,"本年",元データ_14項目!$C$2:$C$1300,K$5)</f>
        <v>383</v>
      </c>
      <c r="L520" s="26">
        <f>SUMIFS(INDEX(元データ_14項目!$D$2:$Q$1300,0,MATCH($B520,元データ_14項目!$D$1:$Q$1,0)),元データ_14項目!$A$2:$A$1300,$A520,元データ_14項目!$B$2:$B$1300,"本年",元データ_14項目!$C$2:$C$1300,L$5)</f>
        <v>184</v>
      </c>
      <c r="M520" s="26">
        <f>SUMIFS(INDEX(元データ_14項目!$D$2:$Q$1300,0,MATCH($B520,元データ_14項目!$D$1:$Q$1,0)),元データ_14項目!$A$2:$A$1300,$A520,元データ_14項目!$B$2:$B$1300,"本年",元データ_14項目!$C$2:$C$1300,M$5)</f>
        <v>114</v>
      </c>
      <c r="N520" s="26">
        <f>SUMIFS(INDEX(元データ_14項目!$D$2:$Q$1300,0,MATCH($B520,元データ_14項目!$D$1:$Q$1,0)),元データ_14項目!$A$2:$A$1300,$A520,元データ_14項目!$B$2:$B$1300,"本年",元データ_14項目!$C$2:$C$1300,N$5)</f>
        <v>61</v>
      </c>
      <c r="O520" s="26">
        <f t="shared" si="16"/>
        <v>1164</v>
      </c>
      <c r="P520" s="26">
        <f>SUMIFS(INDEX(元データ_14項目!$D$2:$Q$1300,0,MATCH($B520,元データ_14項目!$D$1:$Q$1,0)),元データ_14項目!$A$2:$A$1300,$A520,元データ_14項目!$B$2:$B$1300,"前年")</f>
        <v>1216</v>
      </c>
      <c r="Q520" s="7">
        <f t="shared" si="17"/>
        <v>0.95723684210526316</v>
      </c>
    </row>
    <row r="521" spans="1:17" x14ac:dyDescent="0.45">
      <c r="A521" t="s">
        <v>71</v>
      </c>
      <c r="B521" t="s">
        <v>97</v>
      </c>
      <c r="C521" s="26">
        <f>SUMIFS(INDEX(元データ_14項目!$D$2:$Q$1300,0,MATCH($B521,元データ_14項目!$D$1:$Q$1,0)),元データ_14項目!$A$2:$A$1300,$A521,元データ_14項目!$B$2:$B$1300,"本年",元データ_14項目!$C$2:$C$1300,C$5)</f>
        <v>22</v>
      </c>
      <c r="D521" s="26">
        <f>SUMIFS(INDEX(元データ_14項目!$D$2:$Q$1300,0,MATCH($B521,元データ_14項目!$D$1:$Q$1,0)),元データ_14項目!$A$2:$A$1300,$A521,元データ_14項目!$B$2:$B$1300,"本年",元データ_14項目!$C$2:$C$1300,D$5)</f>
        <v>16</v>
      </c>
      <c r="E521" s="26">
        <f>SUMIFS(INDEX(元データ_14項目!$D$2:$Q$1300,0,MATCH($B521,元データ_14項目!$D$1:$Q$1,0)),元データ_14項目!$A$2:$A$1300,$A521,元データ_14項目!$B$2:$B$1300,"本年",元データ_14項目!$C$2:$C$1300,E$5)</f>
        <v>54</v>
      </c>
      <c r="F521" s="26">
        <f>SUMIFS(INDEX(元データ_14項目!$D$2:$Q$1300,0,MATCH($B521,元データ_14項目!$D$1:$Q$1,0)),元データ_14項目!$A$2:$A$1300,$A521,元データ_14項目!$B$2:$B$1300,"本年",元データ_14項目!$C$2:$C$1300,F$5)</f>
        <v>38</v>
      </c>
      <c r="G521" s="26">
        <f>SUMIFS(INDEX(元データ_14項目!$D$2:$Q$1300,0,MATCH($B521,元データ_14項目!$D$1:$Q$1,0)),元データ_14項目!$A$2:$A$1300,$A521,元データ_14項目!$B$2:$B$1300,"本年",元データ_14項目!$C$2:$C$1300,G$5)</f>
        <v>37</v>
      </c>
      <c r="H521" s="26">
        <f>SUMIFS(INDEX(元データ_14項目!$D$2:$Q$1300,0,MATCH($B521,元データ_14項目!$D$1:$Q$1,0)),元データ_14項目!$A$2:$A$1300,$A521,元データ_14項目!$B$2:$B$1300,"本年",元データ_14項目!$C$2:$C$1300,H$5)</f>
        <v>36</v>
      </c>
      <c r="I521" s="26">
        <f>SUMIFS(INDEX(元データ_14項目!$D$2:$Q$1300,0,MATCH($B521,元データ_14項目!$D$1:$Q$1,0)),元データ_14項目!$A$2:$A$1300,$A521,元データ_14項目!$B$2:$B$1300,"本年",元データ_14項目!$C$2:$C$1300,I$5)</f>
        <v>24</v>
      </c>
      <c r="J521" s="26">
        <f>SUMIFS(INDEX(元データ_14項目!$D$2:$Q$1300,0,MATCH($B521,元データ_14項目!$D$1:$Q$1,0)),元データ_14項目!$A$2:$A$1300,$A521,元データ_14項目!$B$2:$B$1300,"本年",元データ_14項目!$C$2:$C$1300,J$5)</f>
        <v>93</v>
      </c>
      <c r="K521" s="26">
        <f>SUMIFS(INDEX(元データ_14項目!$D$2:$Q$1300,0,MATCH($B521,元データ_14項目!$D$1:$Q$1,0)),元データ_14項目!$A$2:$A$1300,$A521,元データ_14項目!$B$2:$B$1300,"本年",元データ_14項目!$C$2:$C$1300,K$5)</f>
        <v>221</v>
      </c>
      <c r="L521" s="26">
        <f>SUMIFS(INDEX(元データ_14項目!$D$2:$Q$1300,0,MATCH($B521,元データ_14項目!$D$1:$Q$1,0)),元データ_14項目!$A$2:$A$1300,$A521,元データ_14項目!$B$2:$B$1300,"本年",元データ_14項目!$C$2:$C$1300,L$5)</f>
        <v>110</v>
      </c>
      <c r="M521" s="26">
        <f>SUMIFS(INDEX(元データ_14項目!$D$2:$Q$1300,0,MATCH($B521,元データ_14項目!$D$1:$Q$1,0)),元データ_14項目!$A$2:$A$1300,$A521,元データ_14項目!$B$2:$B$1300,"本年",元データ_14項目!$C$2:$C$1300,M$5)</f>
        <v>91</v>
      </c>
      <c r="N521" s="26">
        <f>SUMIFS(INDEX(元データ_14項目!$D$2:$Q$1300,0,MATCH($B521,元データ_14項目!$D$1:$Q$1,0)),元データ_14項目!$A$2:$A$1300,$A521,元データ_14項目!$B$2:$B$1300,"本年",元データ_14項目!$C$2:$C$1300,N$5)</f>
        <v>34</v>
      </c>
      <c r="O521" s="26">
        <f t="shared" si="16"/>
        <v>776</v>
      </c>
      <c r="P521" s="26">
        <f>SUMIFS(INDEX(元データ_14項目!$D$2:$Q$1300,0,MATCH($B521,元データ_14項目!$D$1:$Q$1,0)),元データ_14項目!$A$2:$A$1300,$A521,元データ_14項目!$B$2:$B$1300,"前年")</f>
        <v>767</v>
      </c>
      <c r="Q521" s="7">
        <f t="shared" si="17"/>
        <v>1.0117340286831813</v>
      </c>
    </row>
    <row r="522" spans="1:17" x14ac:dyDescent="0.45">
      <c r="A522" t="s">
        <v>71</v>
      </c>
      <c r="B522" t="s">
        <v>98</v>
      </c>
      <c r="C522" s="26">
        <f>SUMIFS(INDEX(元データ_14項目!$D$2:$Q$1300,0,MATCH($B522,元データ_14項目!$D$1:$Q$1,0)),元データ_14項目!$A$2:$A$1300,$A522,元データ_14項目!$B$2:$B$1300,"本年",元データ_14項目!$C$2:$C$1300,C$5)</f>
        <v>10</v>
      </c>
      <c r="D522" s="26">
        <f>SUMIFS(INDEX(元データ_14項目!$D$2:$Q$1300,0,MATCH($B522,元データ_14項目!$D$1:$Q$1,0)),元データ_14項目!$A$2:$A$1300,$A522,元データ_14項目!$B$2:$B$1300,"本年",元データ_14項目!$C$2:$C$1300,D$5)</f>
        <v>3</v>
      </c>
      <c r="E522" s="26">
        <f>SUMIFS(INDEX(元データ_14項目!$D$2:$Q$1300,0,MATCH($B522,元データ_14項目!$D$1:$Q$1,0)),元データ_14項目!$A$2:$A$1300,$A522,元データ_14項目!$B$2:$B$1300,"本年",元データ_14項目!$C$2:$C$1300,E$5)</f>
        <v>9</v>
      </c>
      <c r="F522" s="26">
        <f>SUMIFS(INDEX(元データ_14項目!$D$2:$Q$1300,0,MATCH($B522,元データ_14項目!$D$1:$Q$1,0)),元データ_14項目!$A$2:$A$1300,$A522,元データ_14項目!$B$2:$B$1300,"本年",元データ_14項目!$C$2:$C$1300,F$5)</f>
        <v>8</v>
      </c>
      <c r="G522" s="26">
        <f>SUMIFS(INDEX(元データ_14項目!$D$2:$Q$1300,0,MATCH($B522,元データ_14項目!$D$1:$Q$1,0)),元データ_14項目!$A$2:$A$1300,$A522,元データ_14項目!$B$2:$B$1300,"本年",元データ_14項目!$C$2:$C$1300,G$5)</f>
        <v>17</v>
      </c>
      <c r="H522" s="26">
        <f>SUMIFS(INDEX(元データ_14項目!$D$2:$Q$1300,0,MATCH($B522,元データ_14項目!$D$1:$Q$1,0)),元データ_14項目!$A$2:$A$1300,$A522,元データ_14項目!$B$2:$B$1300,"本年",元データ_14項目!$C$2:$C$1300,H$5)</f>
        <v>10</v>
      </c>
      <c r="I522" s="26">
        <f>SUMIFS(INDEX(元データ_14項目!$D$2:$Q$1300,0,MATCH($B522,元データ_14項目!$D$1:$Q$1,0)),元データ_14項目!$A$2:$A$1300,$A522,元データ_14項目!$B$2:$B$1300,"本年",元データ_14項目!$C$2:$C$1300,I$5)</f>
        <v>8</v>
      </c>
      <c r="J522" s="26">
        <f>SUMIFS(INDEX(元データ_14項目!$D$2:$Q$1300,0,MATCH($B522,元データ_14項目!$D$1:$Q$1,0)),元データ_14項目!$A$2:$A$1300,$A522,元データ_14項目!$B$2:$B$1300,"本年",元データ_14項目!$C$2:$C$1300,J$5)</f>
        <v>83</v>
      </c>
      <c r="K522" s="26">
        <f>SUMIFS(INDEX(元データ_14項目!$D$2:$Q$1300,0,MATCH($B522,元データ_14項目!$D$1:$Q$1,0)),元データ_14項目!$A$2:$A$1300,$A522,元データ_14項目!$B$2:$B$1300,"本年",元データ_14項目!$C$2:$C$1300,K$5)</f>
        <v>185</v>
      </c>
      <c r="L522" s="26">
        <f>SUMIFS(INDEX(元データ_14項目!$D$2:$Q$1300,0,MATCH($B522,元データ_14項目!$D$1:$Q$1,0)),元データ_14項目!$A$2:$A$1300,$A522,元データ_14項目!$B$2:$B$1300,"本年",元データ_14項目!$C$2:$C$1300,L$5)</f>
        <v>90</v>
      </c>
      <c r="M522" s="26">
        <f>SUMIFS(INDEX(元データ_14項目!$D$2:$Q$1300,0,MATCH($B522,元データ_14項目!$D$1:$Q$1,0)),元データ_14項目!$A$2:$A$1300,$A522,元データ_14項目!$B$2:$B$1300,"本年",元データ_14項目!$C$2:$C$1300,M$5)</f>
        <v>44</v>
      </c>
      <c r="N522" s="26">
        <f>SUMIFS(INDEX(元データ_14項目!$D$2:$Q$1300,0,MATCH($B522,元データ_14項目!$D$1:$Q$1,0)),元データ_14項目!$A$2:$A$1300,$A522,元データ_14項目!$B$2:$B$1300,"本年",元データ_14項目!$C$2:$C$1300,N$5)</f>
        <v>17</v>
      </c>
      <c r="O522" s="26">
        <f t="shared" si="16"/>
        <v>484</v>
      </c>
      <c r="P522" s="26">
        <f>SUMIFS(INDEX(元データ_14項目!$D$2:$Q$1300,0,MATCH($B522,元データ_14項目!$D$1:$Q$1,0)),元データ_14項目!$A$2:$A$1300,$A522,元データ_14項目!$B$2:$B$1300,"前年")</f>
        <v>540</v>
      </c>
      <c r="Q522" s="7">
        <f t="shared" si="17"/>
        <v>0.89629629629629626</v>
      </c>
    </row>
    <row r="523" spans="1:17" x14ac:dyDescent="0.45">
      <c r="A523" t="s">
        <v>71</v>
      </c>
      <c r="B523" t="s">
        <v>99</v>
      </c>
      <c r="C523" s="26">
        <f>SUMIFS(INDEX(元データ_14項目!$D$2:$Q$1300,0,MATCH($B523,元データ_14項目!$D$1:$Q$1,0)),元データ_14項目!$A$2:$A$1300,$A523,元データ_14項目!$B$2:$B$1300,"本年",元データ_14項目!$C$2:$C$1300,C$5)</f>
        <v>0</v>
      </c>
      <c r="D523" s="26">
        <f>SUMIFS(INDEX(元データ_14項目!$D$2:$Q$1300,0,MATCH($B523,元データ_14項目!$D$1:$Q$1,0)),元データ_14項目!$A$2:$A$1300,$A523,元データ_14項目!$B$2:$B$1300,"本年",元データ_14項目!$C$2:$C$1300,D$5)</f>
        <v>0</v>
      </c>
      <c r="E523" s="26">
        <f>SUMIFS(INDEX(元データ_14項目!$D$2:$Q$1300,0,MATCH($B523,元データ_14項目!$D$1:$Q$1,0)),元データ_14項目!$A$2:$A$1300,$A523,元データ_14項目!$B$2:$B$1300,"本年",元データ_14項目!$C$2:$C$1300,E$5)</f>
        <v>1</v>
      </c>
      <c r="F523" s="26">
        <f>SUMIFS(INDEX(元データ_14項目!$D$2:$Q$1300,0,MATCH($B523,元データ_14項目!$D$1:$Q$1,0)),元データ_14項目!$A$2:$A$1300,$A523,元データ_14項目!$B$2:$B$1300,"本年",元データ_14項目!$C$2:$C$1300,F$5)</f>
        <v>0</v>
      </c>
      <c r="G523" s="26">
        <f>SUMIFS(INDEX(元データ_14項目!$D$2:$Q$1300,0,MATCH($B523,元データ_14項目!$D$1:$Q$1,0)),元データ_14項目!$A$2:$A$1300,$A523,元データ_14項目!$B$2:$B$1300,"本年",元データ_14項目!$C$2:$C$1300,G$5)</f>
        <v>0</v>
      </c>
      <c r="H523" s="26">
        <f>SUMIFS(INDEX(元データ_14項目!$D$2:$Q$1300,0,MATCH($B523,元データ_14項目!$D$1:$Q$1,0)),元データ_14項目!$A$2:$A$1300,$A523,元データ_14項目!$B$2:$B$1300,"本年",元データ_14項目!$C$2:$C$1300,H$5)</f>
        <v>0</v>
      </c>
      <c r="I523" s="26">
        <f>SUMIFS(INDEX(元データ_14項目!$D$2:$Q$1300,0,MATCH($B523,元データ_14項目!$D$1:$Q$1,0)),元データ_14項目!$A$2:$A$1300,$A523,元データ_14項目!$B$2:$B$1300,"本年",元データ_14項目!$C$2:$C$1300,I$5)</f>
        <v>7</v>
      </c>
      <c r="J523" s="26">
        <f>SUMIFS(INDEX(元データ_14項目!$D$2:$Q$1300,0,MATCH($B523,元データ_14項目!$D$1:$Q$1,0)),元データ_14項目!$A$2:$A$1300,$A523,元データ_14項目!$B$2:$B$1300,"本年",元データ_14項目!$C$2:$C$1300,J$5)</f>
        <v>14</v>
      </c>
      <c r="K523" s="26">
        <f>SUMIFS(INDEX(元データ_14項目!$D$2:$Q$1300,0,MATCH($B523,元データ_14項目!$D$1:$Q$1,0)),元データ_14項目!$A$2:$A$1300,$A523,元データ_14項目!$B$2:$B$1300,"本年",元データ_14項目!$C$2:$C$1300,K$5)</f>
        <v>2</v>
      </c>
      <c r="L523" s="26">
        <f>SUMIFS(INDEX(元データ_14項目!$D$2:$Q$1300,0,MATCH($B523,元データ_14項目!$D$1:$Q$1,0)),元データ_14項目!$A$2:$A$1300,$A523,元データ_14項目!$B$2:$B$1300,"本年",元データ_14項目!$C$2:$C$1300,L$5)</f>
        <v>6</v>
      </c>
      <c r="M523" s="26">
        <f>SUMIFS(INDEX(元データ_14項目!$D$2:$Q$1300,0,MATCH($B523,元データ_14項目!$D$1:$Q$1,0)),元データ_14項目!$A$2:$A$1300,$A523,元データ_14項目!$B$2:$B$1300,"本年",元データ_14項目!$C$2:$C$1300,M$5)</f>
        <v>0</v>
      </c>
      <c r="N523" s="26">
        <f>SUMIFS(INDEX(元データ_14項目!$D$2:$Q$1300,0,MATCH($B523,元データ_14項目!$D$1:$Q$1,0)),元データ_14項目!$A$2:$A$1300,$A523,元データ_14項目!$B$2:$B$1300,"本年",元データ_14項目!$C$2:$C$1300,N$5)</f>
        <v>1</v>
      </c>
      <c r="O523" s="26">
        <f t="shared" si="16"/>
        <v>31</v>
      </c>
      <c r="P523" s="26">
        <f>SUMIFS(INDEX(元データ_14項目!$D$2:$Q$1300,0,MATCH($B523,元データ_14項目!$D$1:$Q$1,0)),元データ_14項目!$A$2:$A$1300,$A523,元データ_14項目!$B$2:$B$1300,"前年")</f>
        <v>40</v>
      </c>
      <c r="Q523" s="7">
        <f t="shared" si="17"/>
        <v>0.77500000000000002</v>
      </c>
    </row>
    <row r="524" spans="1:17" x14ac:dyDescent="0.45">
      <c r="A524" t="s">
        <v>72</v>
      </c>
      <c r="B524" t="s">
        <v>27</v>
      </c>
      <c r="C524" s="26">
        <f>SUMIFS(INDEX(元データ_14項目!$D$2:$Q$1300,0,MATCH($B524,元データ_14項目!$D$1:$Q$1,0)),元データ_14項目!$A$2:$A$1300,$A524,元データ_14項目!$B$2:$B$1300,"本年",元データ_14項目!$C$2:$C$1300,C$5)</f>
        <v>618</v>
      </c>
      <c r="D524" s="26">
        <f>SUMIFS(INDEX(元データ_14項目!$D$2:$Q$1300,0,MATCH($B524,元データ_14項目!$D$1:$Q$1,0)),元データ_14項目!$A$2:$A$1300,$A524,元データ_14項目!$B$2:$B$1300,"本年",元データ_14項目!$C$2:$C$1300,D$5)</f>
        <v>658</v>
      </c>
      <c r="E524" s="26">
        <f>SUMIFS(INDEX(元データ_14項目!$D$2:$Q$1300,0,MATCH($B524,元データ_14項目!$D$1:$Q$1,0)),元データ_14項目!$A$2:$A$1300,$A524,元データ_14項目!$B$2:$B$1300,"本年",元データ_14項目!$C$2:$C$1300,E$5)</f>
        <v>784</v>
      </c>
      <c r="F524" s="26">
        <f>SUMIFS(INDEX(元データ_14項目!$D$2:$Q$1300,0,MATCH($B524,元データ_14項目!$D$1:$Q$1,0)),元データ_14項目!$A$2:$A$1300,$A524,元データ_14項目!$B$2:$B$1300,"本年",元データ_14項目!$C$2:$C$1300,F$5)</f>
        <v>728</v>
      </c>
      <c r="G524" s="26">
        <f>SUMIFS(INDEX(元データ_14項目!$D$2:$Q$1300,0,MATCH($B524,元データ_14項目!$D$1:$Q$1,0)),元データ_14項目!$A$2:$A$1300,$A524,元データ_14項目!$B$2:$B$1300,"本年",元データ_14項目!$C$2:$C$1300,G$5)</f>
        <v>685</v>
      </c>
      <c r="H524" s="26">
        <f>SUMIFS(INDEX(元データ_14項目!$D$2:$Q$1300,0,MATCH($B524,元データ_14項目!$D$1:$Q$1,0)),元データ_14項目!$A$2:$A$1300,$A524,元データ_14項目!$B$2:$B$1300,"本年",元データ_14項目!$C$2:$C$1300,H$5)</f>
        <v>586</v>
      </c>
      <c r="I524" s="26">
        <f>SUMIFS(INDEX(元データ_14項目!$D$2:$Q$1300,0,MATCH($B524,元データ_14項目!$D$1:$Q$1,0)),元データ_14項目!$A$2:$A$1300,$A524,元データ_14項目!$B$2:$B$1300,"本年",元データ_14項目!$C$2:$C$1300,I$5)</f>
        <v>544</v>
      </c>
      <c r="J524" s="26">
        <f>SUMIFS(INDEX(元データ_14項目!$D$2:$Q$1300,0,MATCH($B524,元データ_14項目!$D$1:$Q$1,0)),元データ_14項目!$A$2:$A$1300,$A524,元データ_14項目!$B$2:$B$1300,"本年",元データ_14項目!$C$2:$C$1300,J$5)</f>
        <v>675</v>
      </c>
      <c r="K524" s="26">
        <f>SUMIFS(INDEX(元データ_14項目!$D$2:$Q$1300,0,MATCH($B524,元データ_14項目!$D$1:$Q$1,0)),元データ_14項目!$A$2:$A$1300,$A524,元データ_14項目!$B$2:$B$1300,"本年",元データ_14項目!$C$2:$C$1300,K$5)</f>
        <v>754</v>
      </c>
      <c r="L524" s="26">
        <f>SUMIFS(INDEX(元データ_14項目!$D$2:$Q$1300,0,MATCH($B524,元データ_14項目!$D$1:$Q$1,0)),元データ_14項目!$A$2:$A$1300,$A524,元データ_14項目!$B$2:$B$1300,"本年",元データ_14項目!$C$2:$C$1300,L$5)</f>
        <v>0</v>
      </c>
      <c r="M524" s="26">
        <f>SUMIFS(INDEX(元データ_14項目!$D$2:$Q$1300,0,MATCH($B524,元データ_14項目!$D$1:$Q$1,0)),元データ_14項目!$A$2:$A$1300,$A524,元データ_14項目!$B$2:$B$1300,"本年",元データ_14項目!$C$2:$C$1300,M$5)</f>
        <v>0</v>
      </c>
      <c r="N524" s="26">
        <f>SUMIFS(INDEX(元データ_14項目!$D$2:$Q$1300,0,MATCH($B524,元データ_14項目!$D$1:$Q$1,0)),元データ_14項目!$A$2:$A$1300,$A524,元データ_14項目!$B$2:$B$1300,"本年",元データ_14項目!$C$2:$C$1300,N$5)</f>
        <v>0</v>
      </c>
      <c r="O524" s="26">
        <f t="shared" si="16"/>
        <v>6032</v>
      </c>
      <c r="P524" s="26">
        <f>SUMIFS(INDEX(元データ_14項目!$D$2:$Q$1300,0,MATCH($B524,元データ_14項目!$D$1:$Q$1,0)),元データ_14項目!$A$2:$A$1300,$A524,元データ_14項目!$B$2:$B$1300,"前年")</f>
        <v>6961</v>
      </c>
      <c r="Q524" s="7">
        <f t="shared" si="17"/>
        <v>0.86654216348225832</v>
      </c>
    </row>
    <row r="525" spans="1:17" x14ac:dyDescent="0.45">
      <c r="A525" t="s">
        <v>72</v>
      </c>
      <c r="B525" t="s">
        <v>88</v>
      </c>
      <c r="C525" s="26">
        <f>SUMIFS(INDEX(元データ_14項目!$D$2:$Q$1300,0,MATCH($B525,元データ_14項目!$D$1:$Q$1,0)),元データ_14項目!$A$2:$A$1300,$A525,元データ_14項目!$B$2:$B$1300,"本年",元データ_14項目!$C$2:$C$1300,C$5)</f>
        <v>30</v>
      </c>
      <c r="D525" s="26">
        <f>SUMIFS(INDEX(元データ_14項目!$D$2:$Q$1300,0,MATCH($B525,元データ_14項目!$D$1:$Q$1,0)),元データ_14項目!$A$2:$A$1300,$A525,元データ_14項目!$B$2:$B$1300,"本年",元データ_14項目!$C$2:$C$1300,D$5)</f>
        <v>30</v>
      </c>
      <c r="E525" s="26">
        <f>SUMIFS(INDEX(元データ_14項目!$D$2:$Q$1300,0,MATCH($B525,元データ_14項目!$D$1:$Q$1,0)),元データ_14項目!$A$2:$A$1300,$A525,元データ_14項目!$B$2:$B$1300,"本年",元データ_14項目!$C$2:$C$1300,E$5)</f>
        <v>88</v>
      </c>
      <c r="F525" s="26">
        <f>SUMIFS(INDEX(元データ_14項目!$D$2:$Q$1300,0,MATCH($B525,元データ_14項目!$D$1:$Q$1,0)),元データ_14項目!$A$2:$A$1300,$A525,元データ_14項目!$B$2:$B$1300,"本年",元データ_14項目!$C$2:$C$1300,F$5)</f>
        <v>36</v>
      </c>
      <c r="G525" s="26">
        <f>SUMIFS(INDEX(元データ_14項目!$D$2:$Q$1300,0,MATCH($B525,元データ_14項目!$D$1:$Q$1,0)),元データ_14項目!$A$2:$A$1300,$A525,元データ_14項目!$B$2:$B$1300,"本年",元データ_14項目!$C$2:$C$1300,G$5)</f>
        <v>32</v>
      </c>
      <c r="H525" s="26">
        <f>SUMIFS(INDEX(元データ_14項目!$D$2:$Q$1300,0,MATCH($B525,元データ_14項目!$D$1:$Q$1,0)),元データ_14項目!$A$2:$A$1300,$A525,元データ_14項目!$B$2:$B$1300,"本年",元データ_14項目!$C$2:$C$1300,H$5)</f>
        <v>14</v>
      </c>
      <c r="I525" s="26">
        <f>SUMIFS(INDEX(元データ_14項目!$D$2:$Q$1300,0,MATCH($B525,元データ_14項目!$D$1:$Q$1,0)),元データ_14項目!$A$2:$A$1300,$A525,元データ_14項目!$B$2:$B$1300,"本年",元データ_14項目!$C$2:$C$1300,I$5)</f>
        <v>22</v>
      </c>
      <c r="J525" s="26">
        <f>SUMIFS(INDEX(元データ_14項目!$D$2:$Q$1300,0,MATCH($B525,元データ_14項目!$D$1:$Q$1,0)),元データ_14項目!$A$2:$A$1300,$A525,元データ_14項目!$B$2:$B$1300,"本年",元データ_14項目!$C$2:$C$1300,J$5)</f>
        <v>18</v>
      </c>
      <c r="K525" s="26">
        <f>SUMIFS(INDEX(元データ_14項目!$D$2:$Q$1300,0,MATCH($B525,元データ_14項目!$D$1:$Q$1,0)),元データ_14項目!$A$2:$A$1300,$A525,元データ_14項目!$B$2:$B$1300,"本年",元データ_14項目!$C$2:$C$1300,K$5)</f>
        <v>39</v>
      </c>
      <c r="L525" s="26">
        <f>SUMIFS(INDEX(元データ_14項目!$D$2:$Q$1300,0,MATCH($B525,元データ_14項目!$D$1:$Q$1,0)),元データ_14項目!$A$2:$A$1300,$A525,元データ_14項目!$B$2:$B$1300,"本年",元データ_14項目!$C$2:$C$1300,L$5)</f>
        <v>0</v>
      </c>
      <c r="M525" s="26">
        <f>SUMIFS(INDEX(元データ_14項目!$D$2:$Q$1300,0,MATCH($B525,元データ_14項目!$D$1:$Q$1,0)),元データ_14項目!$A$2:$A$1300,$A525,元データ_14項目!$B$2:$B$1300,"本年",元データ_14項目!$C$2:$C$1300,M$5)</f>
        <v>0</v>
      </c>
      <c r="N525" s="26">
        <f>SUMIFS(INDEX(元データ_14項目!$D$2:$Q$1300,0,MATCH($B525,元データ_14項目!$D$1:$Q$1,0)),元データ_14項目!$A$2:$A$1300,$A525,元データ_14項目!$B$2:$B$1300,"本年",元データ_14項目!$C$2:$C$1300,N$5)</f>
        <v>0</v>
      </c>
      <c r="O525" s="26">
        <f t="shared" si="16"/>
        <v>309</v>
      </c>
      <c r="P525" s="26">
        <f>SUMIFS(INDEX(元データ_14項目!$D$2:$Q$1300,0,MATCH($B525,元データ_14項目!$D$1:$Q$1,0)),元データ_14項目!$A$2:$A$1300,$A525,元データ_14項目!$B$2:$B$1300,"前年")</f>
        <v>267</v>
      </c>
      <c r="Q525" s="7">
        <f t="shared" si="17"/>
        <v>1.1573033707865168</v>
      </c>
    </row>
    <row r="526" spans="1:17" x14ac:dyDescent="0.45">
      <c r="A526" t="s">
        <v>72</v>
      </c>
      <c r="B526" t="s">
        <v>89</v>
      </c>
      <c r="C526" s="26">
        <f>SUMIFS(INDEX(元データ_14項目!$D$2:$Q$1300,0,MATCH($B526,元データ_14項目!$D$1:$Q$1,0)),元データ_14項目!$A$2:$A$1300,$A526,元データ_14項目!$B$2:$B$1300,"本年",元データ_14項目!$C$2:$C$1300,C$5)</f>
        <v>148</v>
      </c>
      <c r="D526" s="26">
        <f>SUMIFS(INDEX(元データ_14項目!$D$2:$Q$1300,0,MATCH($B526,元データ_14項目!$D$1:$Q$1,0)),元データ_14項目!$A$2:$A$1300,$A526,元データ_14項目!$B$2:$B$1300,"本年",元データ_14項目!$C$2:$C$1300,D$5)</f>
        <v>35</v>
      </c>
      <c r="E526" s="26">
        <f>SUMIFS(INDEX(元データ_14項目!$D$2:$Q$1300,0,MATCH($B526,元データ_14項目!$D$1:$Q$1,0)),元データ_14項目!$A$2:$A$1300,$A526,元データ_14項目!$B$2:$B$1300,"本年",元データ_14項目!$C$2:$C$1300,E$5)</f>
        <v>56</v>
      </c>
      <c r="F526" s="26">
        <f>SUMIFS(INDEX(元データ_14項目!$D$2:$Q$1300,0,MATCH($B526,元データ_14項目!$D$1:$Q$1,0)),元データ_14項目!$A$2:$A$1300,$A526,元データ_14項目!$B$2:$B$1300,"本年",元データ_14項目!$C$2:$C$1300,F$5)</f>
        <v>34</v>
      </c>
      <c r="G526" s="26">
        <f>SUMIFS(INDEX(元データ_14項目!$D$2:$Q$1300,0,MATCH($B526,元データ_14項目!$D$1:$Q$1,0)),元データ_14項目!$A$2:$A$1300,$A526,元データ_14項目!$B$2:$B$1300,"本年",元データ_14項目!$C$2:$C$1300,G$5)</f>
        <v>44</v>
      </c>
      <c r="H526" s="26">
        <f>SUMIFS(INDEX(元データ_14項目!$D$2:$Q$1300,0,MATCH($B526,元データ_14項目!$D$1:$Q$1,0)),元データ_14項目!$A$2:$A$1300,$A526,元データ_14項目!$B$2:$B$1300,"本年",元データ_14項目!$C$2:$C$1300,H$5)</f>
        <v>38</v>
      </c>
      <c r="I526" s="26">
        <f>SUMIFS(INDEX(元データ_14項目!$D$2:$Q$1300,0,MATCH($B526,元データ_14項目!$D$1:$Q$1,0)),元データ_14項目!$A$2:$A$1300,$A526,元データ_14項目!$B$2:$B$1300,"本年",元データ_14項目!$C$2:$C$1300,I$5)</f>
        <v>16</v>
      </c>
      <c r="J526" s="26">
        <f>SUMIFS(INDEX(元データ_14項目!$D$2:$Q$1300,0,MATCH($B526,元データ_14項目!$D$1:$Q$1,0)),元データ_14項目!$A$2:$A$1300,$A526,元データ_14項目!$B$2:$B$1300,"本年",元データ_14項目!$C$2:$C$1300,J$5)</f>
        <v>41</v>
      </c>
      <c r="K526" s="26">
        <f>SUMIFS(INDEX(元データ_14項目!$D$2:$Q$1300,0,MATCH($B526,元データ_14項目!$D$1:$Q$1,0)),元データ_14項目!$A$2:$A$1300,$A526,元データ_14項目!$B$2:$B$1300,"本年",元データ_14項目!$C$2:$C$1300,K$5)</f>
        <v>66</v>
      </c>
      <c r="L526" s="26">
        <f>SUMIFS(INDEX(元データ_14項目!$D$2:$Q$1300,0,MATCH($B526,元データ_14項目!$D$1:$Q$1,0)),元データ_14項目!$A$2:$A$1300,$A526,元データ_14項目!$B$2:$B$1300,"本年",元データ_14項目!$C$2:$C$1300,L$5)</f>
        <v>0</v>
      </c>
      <c r="M526" s="26">
        <f>SUMIFS(INDEX(元データ_14項目!$D$2:$Q$1300,0,MATCH($B526,元データ_14項目!$D$1:$Q$1,0)),元データ_14項目!$A$2:$A$1300,$A526,元データ_14項目!$B$2:$B$1300,"本年",元データ_14項目!$C$2:$C$1300,M$5)</f>
        <v>0</v>
      </c>
      <c r="N526" s="26">
        <f>SUMIFS(INDEX(元データ_14項目!$D$2:$Q$1300,0,MATCH($B526,元データ_14項目!$D$1:$Q$1,0)),元データ_14項目!$A$2:$A$1300,$A526,元データ_14項目!$B$2:$B$1300,"本年",元データ_14項目!$C$2:$C$1300,N$5)</f>
        <v>0</v>
      </c>
      <c r="O526" s="26">
        <f t="shared" si="16"/>
        <v>478</v>
      </c>
      <c r="P526" s="26">
        <f>SUMIFS(INDEX(元データ_14項目!$D$2:$Q$1300,0,MATCH($B526,元データ_14項目!$D$1:$Q$1,0)),元データ_14項目!$A$2:$A$1300,$A526,元データ_14項目!$B$2:$B$1300,"前年")</f>
        <v>389</v>
      </c>
      <c r="Q526" s="7">
        <f t="shared" si="17"/>
        <v>1.2287917737789202</v>
      </c>
    </row>
    <row r="527" spans="1:17" x14ac:dyDescent="0.45">
      <c r="A527" t="s">
        <v>72</v>
      </c>
      <c r="B527" t="s">
        <v>90</v>
      </c>
      <c r="C527" s="26">
        <f>SUMIFS(INDEX(元データ_14項目!$D$2:$Q$1300,0,MATCH($B527,元データ_14項目!$D$1:$Q$1,0)),元データ_14項目!$A$2:$A$1300,$A527,元データ_14項目!$B$2:$B$1300,"本年",元データ_14項目!$C$2:$C$1300,C$5)</f>
        <v>72</v>
      </c>
      <c r="D527" s="26">
        <f>SUMIFS(INDEX(元データ_14項目!$D$2:$Q$1300,0,MATCH($B527,元データ_14項目!$D$1:$Q$1,0)),元データ_14項目!$A$2:$A$1300,$A527,元データ_14項目!$B$2:$B$1300,"本年",元データ_14項目!$C$2:$C$1300,D$5)</f>
        <v>40</v>
      </c>
      <c r="E527" s="26">
        <f>SUMIFS(INDEX(元データ_14項目!$D$2:$Q$1300,0,MATCH($B527,元データ_14項目!$D$1:$Q$1,0)),元データ_14項目!$A$2:$A$1300,$A527,元データ_14項目!$B$2:$B$1300,"本年",元データ_14項目!$C$2:$C$1300,E$5)</f>
        <v>60</v>
      </c>
      <c r="F527" s="26">
        <f>SUMIFS(INDEX(元データ_14項目!$D$2:$Q$1300,0,MATCH($B527,元データ_14項目!$D$1:$Q$1,0)),元データ_14項目!$A$2:$A$1300,$A527,元データ_14項目!$B$2:$B$1300,"本年",元データ_14項目!$C$2:$C$1300,F$5)</f>
        <v>67</v>
      </c>
      <c r="G527" s="26">
        <f>SUMIFS(INDEX(元データ_14項目!$D$2:$Q$1300,0,MATCH($B527,元データ_14項目!$D$1:$Q$1,0)),元データ_14項目!$A$2:$A$1300,$A527,元データ_14項目!$B$2:$B$1300,"本年",元データ_14項目!$C$2:$C$1300,G$5)</f>
        <v>119</v>
      </c>
      <c r="H527" s="26">
        <f>SUMIFS(INDEX(元データ_14項目!$D$2:$Q$1300,0,MATCH($B527,元データ_14項目!$D$1:$Q$1,0)),元データ_14項目!$A$2:$A$1300,$A527,元データ_14項目!$B$2:$B$1300,"本年",元データ_14項目!$C$2:$C$1300,H$5)</f>
        <v>115</v>
      </c>
      <c r="I527" s="26">
        <f>SUMIFS(INDEX(元データ_14項目!$D$2:$Q$1300,0,MATCH($B527,元データ_14項目!$D$1:$Q$1,0)),元データ_14項目!$A$2:$A$1300,$A527,元データ_14項目!$B$2:$B$1300,"本年",元データ_14項目!$C$2:$C$1300,I$5)</f>
        <v>69</v>
      </c>
      <c r="J527" s="26">
        <f>SUMIFS(INDEX(元データ_14項目!$D$2:$Q$1300,0,MATCH($B527,元データ_14項目!$D$1:$Q$1,0)),元データ_14項目!$A$2:$A$1300,$A527,元データ_14項目!$B$2:$B$1300,"本年",元データ_14項目!$C$2:$C$1300,J$5)</f>
        <v>166</v>
      </c>
      <c r="K527" s="26">
        <f>SUMIFS(INDEX(元データ_14項目!$D$2:$Q$1300,0,MATCH($B527,元データ_14項目!$D$1:$Q$1,0)),元データ_14項目!$A$2:$A$1300,$A527,元データ_14項目!$B$2:$B$1300,"本年",元データ_14項目!$C$2:$C$1300,K$5)</f>
        <v>253</v>
      </c>
      <c r="L527" s="26">
        <f>SUMIFS(INDEX(元データ_14項目!$D$2:$Q$1300,0,MATCH($B527,元データ_14項目!$D$1:$Q$1,0)),元データ_14項目!$A$2:$A$1300,$A527,元データ_14項目!$B$2:$B$1300,"本年",元データ_14項目!$C$2:$C$1300,L$5)</f>
        <v>0</v>
      </c>
      <c r="M527" s="26">
        <f>SUMIFS(INDEX(元データ_14項目!$D$2:$Q$1300,0,MATCH($B527,元データ_14項目!$D$1:$Q$1,0)),元データ_14項目!$A$2:$A$1300,$A527,元データ_14項目!$B$2:$B$1300,"本年",元データ_14項目!$C$2:$C$1300,M$5)</f>
        <v>0</v>
      </c>
      <c r="N527" s="26">
        <f>SUMIFS(INDEX(元データ_14項目!$D$2:$Q$1300,0,MATCH($B527,元データ_14項目!$D$1:$Q$1,0)),元データ_14項目!$A$2:$A$1300,$A527,元データ_14項目!$B$2:$B$1300,"本年",元データ_14項目!$C$2:$C$1300,N$5)</f>
        <v>0</v>
      </c>
      <c r="O527" s="26">
        <f t="shared" si="16"/>
        <v>961</v>
      </c>
      <c r="P527" s="26">
        <f>SUMIFS(INDEX(元データ_14項目!$D$2:$Q$1300,0,MATCH($B527,元データ_14項目!$D$1:$Q$1,0)),元データ_14項目!$A$2:$A$1300,$A527,元データ_14項目!$B$2:$B$1300,"前年")</f>
        <v>1239</v>
      </c>
      <c r="Q527" s="7">
        <f t="shared" si="17"/>
        <v>0.77562550443906375</v>
      </c>
    </row>
    <row r="528" spans="1:17" x14ac:dyDescent="0.45">
      <c r="A528" t="s">
        <v>72</v>
      </c>
      <c r="B528" t="s">
        <v>91</v>
      </c>
      <c r="C528" s="26">
        <f>SUMIFS(INDEX(元データ_14項目!$D$2:$Q$1300,0,MATCH($B528,元データ_14項目!$D$1:$Q$1,0)),元データ_14項目!$A$2:$A$1300,$A528,元データ_14項目!$B$2:$B$1300,"本年",元データ_14項目!$C$2:$C$1300,C$5)</f>
        <v>16</v>
      </c>
      <c r="D528" s="26">
        <f>SUMIFS(INDEX(元データ_14項目!$D$2:$Q$1300,0,MATCH($B528,元データ_14項目!$D$1:$Q$1,0)),元データ_14項目!$A$2:$A$1300,$A528,元データ_14項目!$B$2:$B$1300,"本年",元データ_14項目!$C$2:$C$1300,D$5)</f>
        <v>42</v>
      </c>
      <c r="E528" s="26">
        <f>SUMIFS(INDEX(元データ_14項目!$D$2:$Q$1300,0,MATCH($B528,元データ_14項目!$D$1:$Q$1,0)),元データ_14項目!$A$2:$A$1300,$A528,元データ_14項目!$B$2:$B$1300,"本年",元データ_14項目!$C$2:$C$1300,E$5)</f>
        <v>71</v>
      </c>
      <c r="F528" s="26">
        <f>SUMIFS(INDEX(元データ_14項目!$D$2:$Q$1300,0,MATCH($B528,元データ_14項目!$D$1:$Q$1,0)),元データ_14項目!$A$2:$A$1300,$A528,元データ_14項目!$B$2:$B$1300,"本年",元データ_14項目!$C$2:$C$1300,F$5)</f>
        <v>119</v>
      </c>
      <c r="G528" s="26">
        <f>SUMIFS(INDEX(元データ_14項目!$D$2:$Q$1300,0,MATCH($B528,元データ_14項目!$D$1:$Q$1,0)),元データ_14項目!$A$2:$A$1300,$A528,元データ_14項目!$B$2:$B$1300,"本年",元データ_14項目!$C$2:$C$1300,G$5)</f>
        <v>53</v>
      </c>
      <c r="H528" s="26">
        <f>SUMIFS(INDEX(元データ_14項目!$D$2:$Q$1300,0,MATCH($B528,元データ_14項目!$D$1:$Q$1,0)),元データ_14項目!$A$2:$A$1300,$A528,元データ_14項目!$B$2:$B$1300,"本年",元データ_14項目!$C$2:$C$1300,H$5)</f>
        <v>7</v>
      </c>
      <c r="I528" s="26">
        <f>SUMIFS(INDEX(元データ_14項目!$D$2:$Q$1300,0,MATCH($B528,元データ_14項目!$D$1:$Q$1,0)),元データ_14項目!$A$2:$A$1300,$A528,元データ_14項目!$B$2:$B$1300,"本年",元データ_14項目!$C$2:$C$1300,I$5)</f>
        <v>42</v>
      </c>
      <c r="J528" s="26">
        <f>SUMIFS(INDEX(元データ_14項目!$D$2:$Q$1300,0,MATCH($B528,元データ_14項目!$D$1:$Q$1,0)),元データ_14項目!$A$2:$A$1300,$A528,元データ_14項目!$B$2:$B$1300,"本年",元データ_14項目!$C$2:$C$1300,J$5)</f>
        <v>22</v>
      </c>
      <c r="K528" s="26">
        <f>SUMIFS(INDEX(元データ_14項目!$D$2:$Q$1300,0,MATCH($B528,元データ_14項目!$D$1:$Q$1,0)),元データ_14項目!$A$2:$A$1300,$A528,元データ_14項目!$B$2:$B$1300,"本年",元データ_14項目!$C$2:$C$1300,K$5)</f>
        <v>20</v>
      </c>
      <c r="L528" s="26">
        <f>SUMIFS(INDEX(元データ_14項目!$D$2:$Q$1300,0,MATCH($B528,元データ_14項目!$D$1:$Q$1,0)),元データ_14項目!$A$2:$A$1300,$A528,元データ_14項目!$B$2:$B$1300,"本年",元データ_14項目!$C$2:$C$1300,L$5)</f>
        <v>0</v>
      </c>
      <c r="M528" s="26">
        <f>SUMIFS(INDEX(元データ_14項目!$D$2:$Q$1300,0,MATCH($B528,元データ_14項目!$D$1:$Q$1,0)),元データ_14項目!$A$2:$A$1300,$A528,元データ_14項目!$B$2:$B$1300,"本年",元データ_14項目!$C$2:$C$1300,M$5)</f>
        <v>0</v>
      </c>
      <c r="N528" s="26">
        <f>SUMIFS(INDEX(元データ_14項目!$D$2:$Q$1300,0,MATCH($B528,元データ_14項目!$D$1:$Q$1,0)),元データ_14項目!$A$2:$A$1300,$A528,元データ_14項目!$B$2:$B$1300,"本年",元データ_14項目!$C$2:$C$1300,N$5)</f>
        <v>0</v>
      </c>
      <c r="O528" s="26">
        <f t="shared" si="16"/>
        <v>392</v>
      </c>
      <c r="P528" s="26">
        <f>SUMIFS(INDEX(元データ_14項目!$D$2:$Q$1300,0,MATCH($B528,元データ_14項目!$D$1:$Q$1,0)),元データ_14項目!$A$2:$A$1300,$A528,元データ_14項目!$B$2:$B$1300,"前年")</f>
        <v>219</v>
      </c>
      <c r="Q528" s="7">
        <f t="shared" si="17"/>
        <v>1.7899543378995433</v>
      </c>
    </row>
    <row r="529" spans="1:17" x14ac:dyDescent="0.45">
      <c r="A529" t="s">
        <v>72</v>
      </c>
      <c r="B529" t="s">
        <v>28</v>
      </c>
      <c r="C529" s="26">
        <f>SUMIFS(INDEX(元データ_14項目!$D$2:$Q$1300,0,MATCH($B529,元データ_14項目!$D$1:$Q$1,0)),元データ_14項目!$A$2:$A$1300,$A529,元データ_14項目!$B$2:$B$1300,"本年",元データ_14項目!$C$2:$C$1300,C$5)</f>
        <v>172</v>
      </c>
      <c r="D529" s="26">
        <f>SUMIFS(INDEX(元データ_14項目!$D$2:$Q$1300,0,MATCH($B529,元データ_14項目!$D$1:$Q$1,0)),元データ_14項目!$A$2:$A$1300,$A529,元データ_14項目!$B$2:$B$1300,"本年",元データ_14項目!$C$2:$C$1300,D$5)</f>
        <v>191</v>
      </c>
      <c r="E529" s="26">
        <f>SUMIFS(INDEX(元データ_14項目!$D$2:$Q$1300,0,MATCH($B529,元データ_14項目!$D$1:$Q$1,0)),元データ_14項目!$A$2:$A$1300,$A529,元データ_14項目!$B$2:$B$1300,"本年",元データ_14項目!$C$2:$C$1300,E$5)</f>
        <v>214</v>
      </c>
      <c r="F529" s="26">
        <f>SUMIFS(INDEX(元データ_14項目!$D$2:$Q$1300,0,MATCH($B529,元データ_14項目!$D$1:$Q$1,0)),元データ_14項目!$A$2:$A$1300,$A529,元データ_14項目!$B$2:$B$1300,"本年",元データ_14項目!$C$2:$C$1300,F$5)</f>
        <v>291</v>
      </c>
      <c r="G529" s="26">
        <f>SUMIFS(INDEX(元データ_14項目!$D$2:$Q$1300,0,MATCH($B529,元データ_14項目!$D$1:$Q$1,0)),元データ_14項目!$A$2:$A$1300,$A529,元データ_14項目!$B$2:$B$1300,"本年",元データ_14項目!$C$2:$C$1300,G$5)</f>
        <v>226</v>
      </c>
      <c r="H529" s="26">
        <f>SUMIFS(INDEX(元データ_14項目!$D$2:$Q$1300,0,MATCH($B529,元データ_14項目!$D$1:$Q$1,0)),元データ_14項目!$A$2:$A$1300,$A529,元データ_14項目!$B$2:$B$1300,"本年",元データ_14項目!$C$2:$C$1300,H$5)</f>
        <v>108</v>
      </c>
      <c r="I529" s="26">
        <f>SUMIFS(INDEX(元データ_14項目!$D$2:$Q$1300,0,MATCH($B529,元データ_14項目!$D$1:$Q$1,0)),元データ_14項目!$A$2:$A$1300,$A529,元データ_14項目!$B$2:$B$1300,"本年",元データ_14項目!$C$2:$C$1300,I$5)</f>
        <v>133</v>
      </c>
      <c r="J529" s="26">
        <f>SUMIFS(INDEX(元データ_14項目!$D$2:$Q$1300,0,MATCH($B529,元データ_14項目!$D$1:$Q$1,0)),元データ_14項目!$A$2:$A$1300,$A529,元データ_14項目!$B$2:$B$1300,"本年",元データ_14項目!$C$2:$C$1300,J$5)</f>
        <v>124</v>
      </c>
      <c r="K529" s="26">
        <f>SUMIFS(INDEX(元データ_14項目!$D$2:$Q$1300,0,MATCH($B529,元データ_14項目!$D$1:$Q$1,0)),元データ_14項目!$A$2:$A$1300,$A529,元データ_14項目!$B$2:$B$1300,"本年",元データ_14項目!$C$2:$C$1300,K$5)</f>
        <v>147</v>
      </c>
      <c r="L529" s="26">
        <f>SUMIFS(INDEX(元データ_14項目!$D$2:$Q$1300,0,MATCH($B529,元データ_14項目!$D$1:$Q$1,0)),元データ_14項目!$A$2:$A$1300,$A529,元データ_14項目!$B$2:$B$1300,"本年",元データ_14項目!$C$2:$C$1300,L$5)</f>
        <v>0</v>
      </c>
      <c r="M529" s="26">
        <f>SUMIFS(INDEX(元データ_14項目!$D$2:$Q$1300,0,MATCH($B529,元データ_14項目!$D$1:$Q$1,0)),元データ_14項目!$A$2:$A$1300,$A529,元データ_14項目!$B$2:$B$1300,"本年",元データ_14項目!$C$2:$C$1300,M$5)</f>
        <v>0</v>
      </c>
      <c r="N529" s="26">
        <f>SUMIFS(INDEX(元データ_14項目!$D$2:$Q$1300,0,MATCH($B529,元データ_14項目!$D$1:$Q$1,0)),元データ_14項目!$A$2:$A$1300,$A529,元データ_14項目!$B$2:$B$1300,"本年",元データ_14項目!$C$2:$C$1300,N$5)</f>
        <v>0</v>
      </c>
      <c r="O529" s="26">
        <f t="shared" si="16"/>
        <v>1606</v>
      </c>
      <c r="P529" s="26">
        <f>SUMIFS(INDEX(元データ_14項目!$D$2:$Q$1300,0,MATCH($B529,元データ_14項目!$D$1:$Q$1,0)),元データ_14項目!$A$2:$A$1300,$A529,元データ_14項目!$B$2:$B$1300,"前年")</f>
        <v>1570</v>
      </c>
      <c r="Q529" s="7">
        <f t="shared" si="17"/>
        <v>1.0229299363057325</v>
      </c>
    </row>
    <row r="530" spans="1:17" x14ac:dyDescent="0.45">
      <c r="A530" t="s">
        <v>72</v>
      </c>
      <c r="B530" t="s">
        <v>92</v>
      </c>
      <c r="C530" s="26">
        <f>SUMIFS(INDEX(元データ_14項目!$D$2:$Q$1300,0,MATCH($B530,元データ_14項目!$D$1:$Q$1,0)),元データ_14項目!$A$2:$A$1300,$A530,元データ_14項目!$B$2:$B$1300,"本年",元データ_14項目!$C$2:$C$1300,C$5)</f>
        <v>25</v>
      </c>
      <c r="D530" s="26">
        <f>SUMIFS(INDEX(元データ_14項目!$D$2:$Q$1300,0,MATCH($B530,元データ_14項目!$D$1:$Q$1,0)),元データ_14項目!$A$2:$A$1300,$A530,元データ_14項目!$B$2:$B$1300,"本年",元データ_14項目!$C$2:$C$1300,D$5)</f>
        <v>25</v>
      </c>
      <c r="E530" s="26">
        <f>SUMIFS(INDEX(元データ_14項目!$D$2:$Q$1300,0,MATCH($B530,元データ_14項目!$D$1:$Q$1,0)),元データ_14項目!$A$2:$A$1300,$A530,元データ_14項目!$B$2:$B$1300,"本年",元データ_14項目!$C$2:$C$1300,E$5)</f>
        <v>45</v>
      </c>
      <c r="F530" s="26">
        <f>SUMIFS(INDEX(元データ_14項目!$D$2:$Q$1300,0,MATCH($B530,元データ_14項目!$D$1:$Q$1,0)),元データ_14項目!$A$2:$A$1300,$A530,元データ_14項目!$B$2:$B$1300,"本年",元データ_14項目!$C$2:$C$1300,F$5)</f>
        <v>43</v>
      </c>
      <c r="G530" s="26">
        <f>SUMIFS(INDEX(元データ_14項目!$D$2:$Q$1300,0,MATCH($B530,元データ_14項目!$D$1:$Q$1,0)),元データ_14項目!$A$2:$A$1300,$A530,元データ_14項目!$B$2:$B$1300,"本年",元データ_14項目!$C$2:$C$1300,G$5)</f>
        <v>46</v>
      </c>
      <c r="H530" s="26">
        <f>SUMIFS(INDEX(元データ_14項目!$D$2:$Q$1300,0,MATCH($B530,元データ_14項目!$D$1:$Q$1,0)),元データ_14項目!$A$2:$A$1300,$A530,元データ_14項目!$B$2:$B$1300,"本年",元データ_14項目!$C$2:$C$1300,H$5)</f>
        <v>18</v>
      </c>
      <c r="I530" s="26">
        <f>SUMIFS(INDEX(元データ_14項目!$D$2:$Q$1300,0,MATCH($B530,元データ_14項目!$D$1:$Q$1,0)),元データ_14項目!$A$2:$A$1300,$A530,元データ_14項目!$B$2:$B$1300,"本年",元データ_14項目!$C$2:$C$1300,I$5)</f>
        <v>13</v>
      </c>
      <c r="J530" s="26">
        <f>SUMIFS(INDEX(元データ_14項目!$D$2:$Q$1300,0,MATCH($B530,元データ_14項目!$D$1:$Q$1,0)),元データ_14項目!$A$2:$A$1300,$A530,元データ_14項目!$B$2:$B$1300,"本年",元データ_14項目!$C$2:$C$1300,J$5)</f>
        <v>31</v>
      </c>
      <c r="K530" s="26">
        <f>SUMIFS(INDEX(元データ_14項目!$D$2:$Q$1300,0,MATCH($B530,元データ_14項目!$D$1:$Q$1,0)),元データ_14項目!$A$2:$A$1300,$A530,元データ_14項目!$B$2:$B$1300,"本年",元データ_14項目!$C$2:$C$1300,K$5)</f>
        <v>54</v>
      </c>
      <c r="L530" s="26">
        <f>SUMIFS(INDEX(元データ_14項目!$D$2:$Q$1300,0,MATCH($B530,元データ_14項目!$D$1:$Q$1,0)),元データ_14項目!$A$2:$A$1300,$A530,元データ_14項目!$B$2:$B$1300,"本年",元データ_14項目!$C$2:$C$1300,L$5)</f>
        <v>0</v>
      </c>
      <c r="M530" s="26">
        <f>SUMIFS(INDEX(元データ_14項目!$D$2:$Q$1300,0,MATCH($B530,元データ_14項目!$D$1:$Q$1,0)),元データ_14項目!$A$2:$A$1300,$A530,元データ_14項目!$B$2:$B$1300,"本年",元データ_14項目!$C$2:$C$1300,M$5)</f>
        <v>0</v>
      </c>
      <c r="N530" s="26">
        <f>SUMIFS(INDEX(元データ_14項目!$D$2:$Q$1300,0,MATCH($B530,元データ_14項目!$D$1:$Q$1,0)),元データ_14項目!$A$2:$A$1300,$A530,元データ_14項目!$B$2:$B$1300,"本年",元データ_14項目!$C$2:$C$1300,N$5)</f>
        <v>0</v>
      </c>
      <c r="O530" s="26">
        <f t="shared" si="16"/>
        <v>300</v>
      </c>
      <c r="P530" s="26">
        <f>SUMIFS(INDEX(元データ_14項目!$D$2:$Q$1300,0,MATCH($B530,元データ_14項目!$D$1:$Q$1,0)),元データ_14項目!$A$2:$A$1300,$A530,元データ_14項目!$B$2:$B$1300,"前年")</f>
        <v>295</v>
      </c>
      <c r="Q530" s="7">
        <f t="shared" si="17"/>
        <v>1.0169491525423728</v>
      </c>
    </row>
    <row r="531" spans="1:17" x14ac:dyDescent="0.45">
      <c r="A531" t="s">
        <v>72</v>
      </c>
      <c r="B531" t="s">
        <v>93</v>
      </c>
      <c r="C531" s="26">
        <f>SUMIFS(INDEX(元データ_14項目!$D$2:$Q$1300,0,MATCH($B531,元データ_14項目!$D$1:$Q$1,0)),元データ_14項目!$A$2:$A$1300,$A531,元データ_14項目!$B$2:$B$1300,"本年",元データ_14項目!$C$2:$C$1300,C$5)</f>
        <v>27</v>
      </c>
      <c r="D531" s="26">
        <f>SUMIFS(INDEX(元データ_14項目!$D$2:$Q$1300,0,MATCH($B531,元データ_14項目!$D$1:$Q$1,0)),元データ_14項目!$A$2:$A$1300,$A531,元データ_14項目!$B$2:$B$1300,"本年",元データ_14項目!$C$2:$C$1300,D$5)</f>
        <v>15</v>
      </c>
      <c r="E531" s="26">
        <f>SUMIFS(INDEX(元データ_14項目!$D$2:$Q$1300,0,MATCH($B531,元データ_14項目!$D$1:$Q$1,0)),元データ_14項目!$A$2:$A$1300,$A531,元データ_14項目!$B$2:$B$1300,"本年",元データ_14項目!$C$2:$C$1300,E$5)</f>
        <v>34</v>
      </c>
      <c r="F531" s="26">
        <f>SUMIFS(INDEX(元データ_14項目!$D$2:$Q$1300,0,MATCH($B531,元データ_14項目!$D$1:$Q$1,0)),元データ_14項目!$A$2:$A$1300,$A531,元データ_14項目!$B$2:$B$1300,"本年",元データ_14項目!$C$2:$C$1300,F$5)</f>
        <v>53</v>
      </c>
      <c r="G531" s="26">
        <f>SUMIFS(INDEX(元データ_14項目!$D$2:$Q$1300,0,MATCH($B531,元データ_14項目!$D$1:$Q$1,0)),元データ_14項目!$A$2:$A$1300,$A531,元データ_14項目!$B$2:$B$1300,"本年",元データ_14項目!$C$2:$C$1300,G$5)</f>
        <v>66</v>
      </c>
      <c r="H531" s="26">
        <f>SUMIFS(INDEX(元データ_14項目!$D$2:$Q$1300,0,MATCH($B531,元データ_14項目!$D$1:$Q$1,0)),元データ_14項目!$A$2:$A$1300,$A531,元データ_14項目!$B$2:$B$1300,"本年",元データ_14項目!$C$2:$C$1300,H$5)</f>
        <v>55</v>
      </c>
      <c r="I531" s="26">
        <f>SUMIFS(INDEX(元データ_14項目!$D$2:$Q$1300,0,MATCH($B531,元データ_14項目!$D$1:$Q$1,0)),元データ_14項目!$A$2:$A$1300,$A531,元データ_14項目!$B$2:$B$1300,"本年",元データ_14項目!$C$2:$C$1300,I$5)</f>
        <v>49</v>
      </c>
      <c r="J531" s="26">
        <f>SUMIFS(INDEX(元データ_14項目!$D$2:$Q$1300,0,MATCH($B531,元データ_14項目!$D$1:$Q$1,0)),元データ_14項目!$A$2:$A$1300,$A531,元データ_14項目!$B$2:$B$1300,"本年",元データ_14項目!$C$2:$C$1300,J$5)</f>
        <v>73</v>
      </c>
      <c r="K531" s="26">
        <f>SUMIFS(INDEX(元データ_14項目!$D$2:$Q$1300,0,MATCH($B531,元データ_14項目!$D$1:$Q$1,0)),元データ_14項目!$A$2:$A$1300,$A531,元データ_14項目!$B$2:$B$1300,"本年",元データ_14項目!$C$2:$C$1300,K$5)</f>
        <v>228</v>
      </c>
      <c r="L531" s="26">
        <f>SUMIFS(INDEX(元データ_14項目!$D$2:$Q$1300,0,MATCH($B531,元データ_14項目!$D$1:$Q$1,0)),元データ_14項目!$A$2:$A$1300,$A531,元データ_14項目!$B$2:$B$1300,"本年",元データ_14項目!$C$2:$C$1300,L$5)</f>
        <v>0</v>
      </c>
      <c r="M531" s="26">
        <f>SUMIFS(INDEX(元データ_14項目!$D$2:$Q$1300,0,MATCH($B531,元データ_14項目!$D$1:$Q$1,0)),元データ_14項目!$A$2:$A$1300,$A531,元データ_14項目!$B$2:$B$1300,"本年",元データ_14項目!$C$2:$C$1300,M$5)</f>
        <v>0</v>
      </c>
      <c r="N531" s="26">
        <f>SUMIFS(INDEX(元データ_14項目!$D$2:$Q$1300,0,MATCH($B531,元データ_14項目!$D$1:$Q$1,0)),元データ_14項目!$A$2:$A$1300,$A531,元データ_14項目!$B$2:$B$1300,"本年",元データ_14項目!$C$2:$C$1300,N$5)</f>
        <v>0</v>
      </c>
      <c r="O531" s="26">
        <f t="shared" si="16"/>
        <v>600</v>
      </c>
      <c r="P531" s="26">
        <f>SUMIFS(INDEX(元データ_14項目!$D$2:$Q$1300,0,MATCH($B531,元データ_14項目!$D$1:$Q$1,0)),元データ_14項目!$A$2:$A$1300,$A531,元データ_14項目!$B$2:$B$1300,"前年")</f>
        <v>652</v>
      </c>
      <c r="Q531" s="7">
        <f t="shared" si="17"/>
        <v>0.92024539877300615</v>
      </c>
    </row>
    <row r="532" spans="1:17" x14ac:dyDescent="0.45">
      <c r="A532" t="s">
        <v>72</v>
      </c>
      <c r="B532" t="s">
        <v>94</v>
      </c>
      <c r="C532" s="26">
        <f>SUMIFS(INDEX(元データ_14項目!$D$2:$Q$1300,0,MATCH($B532,元データ_14項目!$D$1:$Q$1,0)),元データ_14項目!$A$2:$A$1300,$A532,元データ_14項目!$B$2:$B$1300,"本年",元データ_14項目!$C$2:$C$1300,C$5)</f>
        <v>16</v>
      </c>
      <c r="D532" s="26">
        <f>SUMIFS(INDEX(元データ_14項目!$D$2:$Q$1300,0,MATCH($B532,元データ_14項目!$D$1:$Q$1,0)),元データ_14項目!$A$2:$A$1300,$A532,元データ_14項目!$B$2:$B$1300,"本年",元データ_14項目!$C$2:$C$1300,D$5)</f>
        <v>16</v>
      </c>
      <c r="E532" s="26">
        <f>SUMIFS(INDEX(元データ_14項目!$D$2:$Q$1300,0,MATCH($B532,元データ_14項目!$D$1:$Q$1,0)),元データ_14項目!$A$2:$A$1300,$A532,元データ_14項目!$B$2:$B$1300,"本年",元データ_14項目!$C$2:$C$1300,E$5)</f>
        <v>19</v>
      </c>
      <c r="F532" s="26">
        <f>SUMIFS(INDEX(元データ_14項目!$D$2:$Q$1300,0,MATCH($B532,元データ_14項目!$D$1:$Q$1,0)),元データ_14項目!$A$2:$A$1300,$A532,元データ_14項目!$B$2:$B$1300,"本年",元データ_14項目!$C$2:$C$1300,F$5)</f>
        <v>29</v>
      </c>
      <c r="G532" s="26">
        <f>SUMIFS(INDEX(元データ_14項目!$D$2:$Q$1300,0,MATCH($B532,元データ_14項目!$D$1:$Q$1,0)),元データ_14項目!$A$2:$A$1300,$A532,元データ_14項目!$B$2:$B$1300,"本年",元データ_14項目!$C$2:$C$1300,G$5)</f>
        <v>16</v>
      </c>
      <c r="H532" s="26">
        <f>SUMIFS(INDEX(元データ_14項目!$D$2:$Q$1300,0,MATCH($B532,元データ_14項目!$D$1:$Q$1,0)),元データ_14項目!$A$2:$A$1300,$A532,元データ_14項目!$B$2:$B$1300,"本年",元データ_14項目!$C$2:$C$1300,H$5)</f>
        <v>13</v>
      </c>
      <c r="I532" s="26">
        <f>SUMIFS(INDEX(元データ_14項目!$D$2:$Q$1300,0,MATCH($B532,元データ_14項目!$D$1:$Q$1,0)),元データ_14項目!$A$2:$A$1300,$A532,元データ_14項目!$B$2:$B$1300,"本年",元データ_14項目!$C$2:$C$1300,I$5)</f>
        <v>9</v>
      </c>
      <c r="J532" s="26">
        <f>SUMIFS(INDEX(元データ_14項目!$D$2:$Q$1300,0,MATCH($B532,元データ_14項目!$D$1:$Q$1,0)),元データ_14項目!$A$2:$A$1300,$A532,元データ_14項目!$B$2:$B$1300,"本年",元データ_14項目!$C$2:$C$1300,J$5)</f>
        <v>26</v>
      </c>
      <c r="K532" s="26">
        <f>SUMIFS(INDEX(元データ_14項目!$D$2:$Q$1300,0,MATCH($B532,元データ_14項目!$D$1:$Q$1,0)),元データ_14項目!$A$2:$A$1300,$A532,元データ_14項目!$B$2:$B$1300,"本年",元データ_14項目!$C$2:$C$1300,K$5)</f>
        <v>112</v>
      </c>
      <c r="L532" s="26">
        <f>SUMIFS(INDEX(元データ_14項目!$D$2:$Q$1300,0,MATCH($B532,元データ_14項目!$D$1:$Q$1,0)),元データ_14項目!$A$2:$A$1300,$A532,元データ_14項目!$B$2:$B$1300,"本年",元データ_14項目!$C$2:$C$1300,L$5)</f>
        <v>0</v>
      </c>
      <c r="M532" s="26">
        <f>SUMIFS(INDEX(元データ_14項目!$D$2:$Q$1300,0,MATCH($B532,元データ_14項目!$D$1:$Q$1,0)),元データ_14項目!$A$2:$A$1300,$A532,元データ_14項目!$B$2:$B$1300,"本年",元データ_14項目!$C$2:$C$1300,M$5)</f>
        <v>0</v>
      </c>
      <c r="N532" s="26">
        <f>SUMIFS(INDEX(元データ_14項目!$D$2:$Q$1300,0,MATCH($B532,元データ_14項目!$D$1:$Q$1,0)),元データ_14項目!$A$2:$A$1300,$A532,元データ_14項目!$B$2:$B$1300,"本年",元データ_14項目!$C$2:$C$1300,N$5)</f>
        <v>0</v>
      </c>
      <c r="O532" s="26">
        <f t="shared" si="16"/>
        <v>256</v>
      </c>
      <c r="P532" s="26">
        <f>SUMIFS(INDEX(元データ_14項目!$D$2:$Q$1300,0,MATCH($B532,元データ_14項目!$D$1:$Q$1,0)),元データ_14項目!$A$2:$A$1300,$A532,元データ_14項目!$B$2:$B$1300,"前年")</f>
        <v>263</v>
      </c>
      <c r="Q532" s="7">
        <f t="shared" si="17"/>
        <v>0.97338403041825095</v>
      </c>
    </row>
    <row r="533" spans="1:17" x14ac:dyDescent="0.45">
      <c r="A533" t="s">
        <v>72</v>
      </c>
      <c r="B533" t="s">
        <v>95</v>
      </c>
      <c r="C533" s="26">
        <f>SUMIFS(INDEX(元データ_14項目!$D$2:$Q$1300,0,MATCH($B533,元データ_14項目!$D$1:$Q$1,0)),元データ_14項目!$A$2:$A$1300,$A533,元データ_14項目!$B$2:$B$1300,"本年",元データ_14項目!$C$2:$C$1300,C$5)</f>
        <v>19</v>
      </c>
      <c r="D533" s="26">
        <f>SUMIFS(INDEX(元データ_14項目!$D$2:$Q$1300,0,MATCH($B533,元データ_14項目!$D$1:$Q$1,0)),元データ_14項目!$A$2:$A$1300,$A533,元データ_14項目!$B$2:$B$1300,"本年",元データ_14項目!$C$2:$C$1300,D$5)</f>
        <v>32</v>
      </c>
      <c r="E533" s="26">
        <f>SUMIFS(INDEX(元データ_14項目!$D$2:$Q$1300,0,MATCH($B533,元データ_14項目!$D$1:$Q$1,0)),元データ_14項目!$A$2:$A$1300,$A533,元データ_14項目!$B$2:$B$1300,"本年",元データ_14項目!$C$2:$C$1300,E$5)</f>
        <v>31</v>
      </c>
      <c r="F533" s="26">
        <f>SUMIFS(INDEX(元データ_14項目!$D$2:$Q$1300,0,MATCH($B533,元データ_14項目!$D$1:$Q$1,0)),元データ_14項目!$A$2:$A$1300,$A533,元データ_14項目!$B$2:$B$1300,"本年",元データ_14項目!$C$2:$C$1300,F$5)</f>
        <v>42</v>
      </c>
      <c r="G533" s="26">
        <f>SUMIFS(INDEX(元データ_14項目!$D$2:$Q$1300,0,MATCH($B533,元データ_14項目!$D$1:$Q$1,0)),元データ_14項目!$A$2:$A$1300,$A533,元データ_14項目!$B$2:$B$1300,"本年",元データ_14項目!$C$2:$C$1300,G$5)</f>
        <v>21</v>
      </c>
      <c r="H533" s="26">
        <f>SUMIFS(INDEX(元データ_14項目!$D$2:$Q$1300,0,MATCH($B533,元データ_14項目!$D$1:$Q$1,0)),元データ_14項目!$A$2:$A$1300,$A533,元データ_14項目!$B$2:$B$1300,"本年",元データ_14項目!$C$2:$C$1300,H$5)</f>
        <v>19</v>
      </c>
      <c r="I533" s="26">
        <f>SUMIFS(INDEX(元データ_14項目!$D$2:$Q$1300,0,MATCH($B533,元データ_14項目!$D$1:$Q$1,0)),元データ_14項目!$A$2:$A$1300,$A533,元データ_14項目!$B$2:$B$1300,"本年",元データ_14項目!$C$2:$C$1300,I$5)</f>
        <v>14</v>
      </c>
      <c r="J533" s="26">
        <f>SUMIFS(INDEX(元データ_14項目!$D$2:$Q$1300,0,MATCH($B533,元データ_14項目!$D$1:$Q$1,0)),元データ_14項目!$A$2:$A$1300,$A533,元データ_14項目!$B$2:$B$1300,"本年",元データ_14項目!$C$2:$C$1300,J$5)</f>
        <v>44</v>
      </c>
      <c r="K533" s="26">
        <f>SUMIFS(INDEX(元データ_14項目!$D$2:$Q$1300,0,MATCH($B533,元データ_14項目!$D$1:$Q$1,0)),元データ_14項目!$A$2:$A$1300,$A533,元データ_14項目!$B$2:$B$1300,"本年",元データ_14項目!$C$2:$C$1300,K$5)</f>
        <v>84</v>
      </c>
      <c r="L533" s="26">
        <f>SUMIFS(INDEX(元データ_14項目!$D$2:$Q$1300,0,MATCH($B533,元データ_14項目!$D$1:$Q$1,0)),元データ_14項目!$A$2:$A$1300,$A533,元データ_14項目!$B$2:$B$1300,"本年",元データ_14項目!$C$2:$C$1300,L$5)</f>
        <v>0</v>
      </c>
      <c r="M533" s="26">
        <f>SUMIFS(INDEX(元データ_14項目!$D$2:$Q$1300,0,MATCH($B533,元データ_14項目!$D$1:$Q$1,0)),元データ_14項目!$A$2:$A$1300,$A533,元データ_14項目!$B$2:$B$1300,"本年",元データ_14項目!$C$2:$C$1300,M$5)</f>
        <v>0</v>
      </c>
      <c r="N533" s="26">
        <f>SUMIFS(INDEX(元データ_14項目!$D$2:$Q$1300,0,MATCH($B533,元データ_14項目!$D$1:$Q$1,0)),元データ_14項目!$A$2:$A$1300,$A533,元データ_14項目!$B$2:$B$1300,"本年",元データ_14項目!$C$2:$C$1300,N$5)</f>
        <v>0</v>
      </c>
      <c r="O533" s="26">
        <f t="shared" si="16"/>
        <v>306</v>
      </c>
      <c r="P533" s="26">
        <f>SUMIFS(INDEX(元データ_14項目!$D$2:$Q$1300,0,MATCH($B533,元データ_14項目!$D$1:$Q$1,0)),元データ_14項目!$A$2:$A$1300,$A533,元データ_14項目!$B$2:$B$1300,"前年")</f>
        <v>326</v>
      </c>
      <c r="Q533" s="7">
        <f t="shared" si="17"/>
        <v>0.93865030674846628</v>
      </c>
    </row>
    <row r="534" spans="1:17" x14ac:dyDescent="0.45">
      <c r="A534" t="s">
        <v>72</v>
      </c>
      <c r="B534" t="s">
        <v>96</v>
      </c>
      <c r="C534" s="26">
        <f>SUMIFS(INDEX(元データ_14項目!$D$2:$Q$1300,0,MATCH($B534,元データ_14項目!$D$1:$Q$1,0)),元データ_14項目!$A$2:$A$1300,$A534,元データ_14項目!$B$2:$B$1300,"本年",元データ_14項目!$C$2:$C$1300,C$5)</f>
        <v>14</v>
      </c>
      <c r="D534" s="26">
        <f>SUMIFS(INDEX(元データ_14項目!$D$2:$Q$1300,0,MATCH($B534,元データ_14項目!$D$1:$Q$1,0)),元データ_14項目!$A$2:$A$1300,$A534,元データ_14項目!$B$2:$B$1300,"本年",元データ_14項目!$C$2:$C$1300,D$5)</f>
        <v>16</v>
      </c>
      <c r="E534" s="26">
        <f>SUMIFS(INDEX(元データ_14項目!$D$2:$Q$1300,0,MATCH($B534,元データ_14項目!$D$1:$Q$1,0)),元データ_14項目!$A$2:$A$1300,$A534,元データ_14項目!$B$2:$B$1300,"本年",元データ_14項目!$C$2:$C$1300,E$5)</f>
        <v>31</v>
      </c>
      <c r="F534" s="26">
        <f>SUMIFS(INDEX(元データ_14項目!$D$2:$Q$1300,0,MATCH($B534,元データ_14項目!$D$1:$Q$1,0)),元データ_14項目!$A$2:$A$1300,$A534,元データ_14項目!$B$2:$B$1300,"本年",元データ_14項目!$C$2:$C$1300,F$5)</f>
        <v>36</v>
      </c>
      <c r="G534" s="26">
        <f>SUMIFS(INDEX(元データ_14項目!$D$2:$Q$1300,0,MATCH($B534,元データ_14項目!$D$1:$Q$1,0)),元データ_14項目!$A$2:$A$1300,$A534,元データ_14項目!$B$2:$B$1300,"本年",元データ_14項目!$C$2:$C$1300,G$5)</f>
        <v>42</v>
      </c>
      <c r="H534" s="26">
        <f>SUMIFS(INDEX(元データ_14項目!$D$2:$Q$1300,0,MATCH($B534,元データ_14項目!$D$1:$Q$1,0)),元データ_14項目!$A$2:$A$1300,$A534,元データ_14項目!$B$2:$B$1300,"本年",元データ_14項目!$C$2:$C$1300,H$5)</f>
        <v>34</v>
      </c>
      <c r="I534" s="26">
        <f>SUMIFS(INDEX(元データ_14項目!$D$2:$Q$1300,0,MATCH($B534,元データ_14項目!$D$1:$Q$1,0)),元データ_14項目!$A$2:$A$1300,$A534,元データ_14項目!$B$2:$B$1300,"本年",元データ_14項目!$C$2:$C$1300,I$5)</f>
        <v>34</v>
      </c>
      <c r="J534" s="26">
        <f>SUMIFS(INDEX(元データ_14項目!$D$2:$Q$1300,0,MATCH($B534,元データ_14項目!$D$1:$Q$1,0)),元データ_14項目!$A$2:$A$1300,$A534,元データ_14項目!$B$2:$B$1300,"本年",元データ_14項目!$C$2:$C$1300,J$5)</f>
        <v>121</v>
      </c>
      <c r="K534" s="26">
        <f>SUMIFS(INDEX(元データ_14項目!$D$2:$Q$1300,0,MATCH($B534,元データ_14項目!$D$1:$Q$1,0)),元データ_14項目!$A$2:$A$1300,$A534,元データ_14項目!$B$2:$B$1300,"本年",元データ_14項目!$C$2:$C$1300,K$5)</f>
        <v>225</v>
      </c>
      <c r="L534" s="26">
        <f>SUMIFS(INDEX(元データ_14項目!$D$2:$Q$1300,0,MATCH($B534,元データ_14項目!$D$1:$Q$1,0)),元データ_14項目!$A$2:$A$1300,$A534,元データ_14項目!$B$2:$B$1300,"本年",元データ_14項目!$C$2:$C$1300,L$5)</f>
        <v>0</v>
      </c>
      <c r="M534" s="26">
        <f>SUMIFS(INDEX(元データ_14項目!$D$2:$Q$1300,0,MATCH($B534,元データ_14項目!$D$1:$Q$1,0)),元データ_14項目!$A$2:$A$1300,$A534,元データ_14項目!$B$2:$B$1300,"本年",元データ_14項目!$C$2:$C$1300,M$5)</f>
        <v>0</v>
      </c>
      <c r="N534" s="26">
        <f>SUMIFS(INDEX(元データ_14項目!$D$2:$Q$1300,0,MATCH($B534,元データ_14項目!$D$1:$Q$1,0)),元データ_14項目!$A$2:$A$1300,$A534,元データ_14項目!$B$2:$B$1300,"本年",元データ_14項目!$C$2:$C$1300,N$5)</f>
        <v>0</v>
      </c>
      <c r="O534" s="26">
        <f t="shared" si="16"/>
        <v>553</v>
      </c>
      <c r="P534" s="26">
        <f>SUMIFS(INDEX(元データ_14項目!$D$2:$Q$1300,0,MATCH($B534,元データ_14項目!$D$1:$Q$1,0)),元データ_14項目!$A$2:$A$1300,$A534,元データ_14項目!$B$2:$B$1300,"前年")</f>
        <v>632</v>
      </c>
      <c r="Q534" s="7">
        <f t="shared" si="17"/>
        <v>0.875</v>
      </c>
    </row>
    <row r="535" spans="1:17" x14ac:dyDescent="0.45">
      <c r="A535" t="s">
        <v>72</v>
      </c>
      <c r="B535" t="s">
        <v>97</v>
      </c>
      <c r="C535" s="26">
        <f>SUMIFS(INDEX(元データ_14項目!$D$2:$Q$1300,0,MATCH($B535,元データ_14項目!$D$1:$Q$1,0)),元データ_14項目!$A$2:$A$1300,$A535,元データ_14項目!$B$2:$B$1300,"本年",元データ_14項目!$C$2:$C$1300,C$5)</f>
        <v>28</v>
      </c>
      <c r="D535" s="26">
        <f>SUMIFS(INDEX(元データ_14項目!$D$2:$Q$1300,0,MATCH($B535,元データ_14項目!$D$1:$Q$1,0)),元データ_14項目!$A$2:$A$1300,$A535,元データ_14項目!$B$2:$B$1300,"本年",元データ_14項目!$C$2:$C$1300,D$5)</f>
        <v>21</v>
      </c>
      <c r="E535" s="26">
        <f>SUMIFS(INDEX(元データ_14項目!$D$2:$Q$1300,0,MATCH($B535,元データ_14項目!$D$1:$Q$1,0)),元データ_14項目!$A$2:$A$1300,$A535,元データ_14項目!$B$2:$B$1300,"本年",元データ_14項目!$C$2:$C$1300,E$5)</f>
        <v>52</v>
      </c>
      <c r="F535" s="26">
        <f>SUMIFS(INDEX(元データ_14項目!$D$2:$Q$1300,0,MATCH($B535,元データ_14項目!$D$1:$Q$1,0)),元データ_14項目!$A$2:$A$1300,$A535,元データ_14項目!$B$2:$B$1300,"本年",元データ_14項目!$C$2:$C$1300,F$5)</f>
        <v>23</v>
      </c>
      <c r="G535" s="26">
        <f>SUMIFS(INDEX(元データ_14項目!$D$2:$Q$1300,0,MATCH($B535,元データ_14項目!$D$1:$Q$1,0)),元データ_14項目!$A$2:$A$1300,$A535,元データ_14項目!$B$2:$B$1300,"本年",元データ_14項目!$C$2:$C$1300,G$5)</f>
        <v>40</v>
      </c>
      <c r="H535" s="26">
        <f>SUMIFS(INDEX(元データ_14項目!$D$2:$Q$1300,0,MATCH($B535,元データ_14項目!$D$1:$Q$1,0)),元データ_14項目!$A$2:$A$1300,$A535,元データ_14項目!$B$2:$B$1300,"本年",元データ_14項目!$C$2:$C$1300,H$5)</f>
        <v>27</v>
      </c>
      <c r="I535" s="26">
        <f>SUMIFS(INDEX(元データ_14項目!$D$2:$Q$1300,0,MATCH($B535,元データ_14項目!$D$1:$Q$1,0)),元データ_14項目!$A$2:$A$1300,$A535,元データ_14項目!$B$2:$B$1300,"本年",元データ_14項目!$C$2:$C$1300,I$5)</f>
        <v>6</v>
      </c>
      <c r="J535" s="26">
        <f>SUMIFS(INDEX(元データ_14項目!$D$2:$Q$1300,0,MATCH($B535,元データ_14項目!$D$1:$Q$1,0)),元データ_14項目!$A$2:$A$1300,$A535,元データ_14項目!$B$2:$B$1300,"本年",元データ_14項目!$C$2:$C$1300,J$5)</f>
        <v>67</v>
      </c>
      <c r="K535" s="26">
        <f>SUMIFS(INDEX(元データ_14項目!$D$2:$Q$1300,0,MATCH($B535,元データ_14項目!$D$1:$Q$1,0)),元データ_14項目!$A$2:$A$1300,$A535,元データ_14項目!$B$2:$B$1300,"本年",元データ_14項目!$C$2:$C$1300,K$5)</f>
        <v>222</v>
      </c>
      <c r="L535" s="26">
        <f>SUMIFS(INDEX(元データ_14項目!$D$2:$Q$1300,0,MATCH($B535,元データ_14項目!$D$1:$Q$1,0)),元データ_14項目!$A$2:$A$1300,$A535,元データ_14項目!$B$2:$B$1300,"本年",元データ_14項目!$C$2:$C$1300,L$5)</f>
        <v>0</v>
      </c>
      <c r="M535" s="26">
        <f>SUMIFS(INDEX(元データ_14項目!$D$2:$Q$1300,0,MATCH($B535,元データ_14項目!$D$1:$Q$1,0)),元データ_14項目!$A$2:$A$1300,$A535,元データ_14項目!$B$2:$B$1300,"本年",元データ_14項目!$C$2:$C$1300,M$5)</f>
        <v>0</v>
      </c>
      <c r="N535" s="26">
        <f>SUMIFS(INDEX(元データ_14項目!$D$2:$Q$1300,0,MATCH($B535,元データ_14項目!$D$1:$Q$1,0)),元データ_14項目!$A$2:$A$1300,$A535,元データ_14項目!$B$2:$B$1300,"本年",元データ_14項目!$C$2:$C$1300,N$5)</f>
        <v>0</v>
      </c>
      <c r="O535" s="26">
        <f t="shared" si="16"/>
        <v>486</v>
      </c>
      <c r="P535" s="26">
        <f>SUMIFS(INDEX(元データ_14項目!$D$2:$Q$1300,0,MATCH($B535,元データ_14項目!$D$1:$Q$1,0)),元データ_14項目!$A$2:$A$1300,$A535,元データ_14項目!$B$2:$B$1300,"前年")</f>
        <v>595</v>
      </c>
      <c r="Q535" s="7">
        <f t="shared" si="17"/>
        <v>0.81680672268907561</v>
      </c>
    </row>
    <row r="536" spans="1:17" x14ac:dyDescent="0.45">
      <c r="A536" t="s">
        <v>72</v>
      </c>
      <c r="B536" t="s">
        <v>98</v>
      </c>
      <c r="C536" s="26">
        <f>SUMIFS(INDEX(元データ_14項目!$D$2:$Q$1300,0,MATCH($B536,元データ_14項目!$D$1:$Q$1,0)),元データ_14項目!$A$2:$A$1300,$A536,元データ_14項目!$B$2:$B$1300,"本年",元データ_14項目!$C$2:$C$1300,C$5)</f>
        <v>9</v>
      </c>
      <c r="D536" s="26">
        <f>SUMIFS(INDEX(元データ_14項目!$D$2:$Q$1300,0,MATCH($B536,元データ_14項目!$D$1:$Q$1,0)),元データ_14項目!$A$2:$A$1300,$A536,元データ_14項目!$B$2:$B$1300,"本年",元データ_14項目!$C$2:$C$1300,D$5)</f>
        <v>7</v>
      </c>
      <c r="E536" s="26">
        <f>SUMIFS(INDEX(元データ_14項目!$D$2:$Q$1300,0,MATCH($B536,元データ_14項目!$D$1:$Q$1,0)),元データ_14項目!$A$2:$A$1300,$A536,元データ_14項目!$B$2:$B$1300,"本年",元データ_14項目!$C$2:$C$1300,E$5)</f>
        <v>18</v>
      </c>
      <c r="F536" s="26">
        <f>SUMIFS(INDEX(元データ_14項目!$D$2:$Q$1300,0,MATCH($B536,元データ_14項目!$D$1:$Q$1,0)),元データ_14項目!$A$2:$A$1300,$A536,元データ_14項目!$B$2:$B$1300,"本年",元データ_14項目!$C$2:$C$1300,F$5)</f>
        <v>17</v>
      </c>
      <c r="G536" s="26">
        <f>SUMIFS(INDEX(元データ_14項目!$D$2:$Q$1300,0,MATCH($B536,元データ_14項目!$D$1:$Q$1,0)),元データ_14項目!$A$2:$A$1300,$A536,元データ_14項目!$B$2:$B$1300,"本年",元データ_14項目!$C$2:$C$1300,G$5)</f>
        <v>18</v>
      </c>
      <c r="H536" s="26">
        <f>SUMIFS(INDEX(元データ_14項目!$D$2:$Q$1300,0,MATCH($B536,元データ_14項目!$D$1:$Q$1,0)),元データ_14項目!$A$2:$A$1300,$A536,元データ_14項目!$B$2:$B$1300,"本年",元データ_14項目!$C$2:$C$1300,H$5)</f>
        <v>14</v>
      </c>
      <c r="I536" s="26">
        <f>SUMIFS(INDEX(元データ_14項目!$D$2:$Q$1300,0,MATCH($B536,元データ_14項目!$D$1:$Q$1,0)),元データ_14項目!$A$2:$A$1300,$A536,元データ_14項目!$B$2:$B$1300,"本年",元データ_14項目!$C$2:$C$1300,I$5)</f>
        <v>4</v>
      </c>
      <c r="J536" s="26">
        <f>SUMIFS(INDEX(元データ_14項目!$D$2:$Q$1300,0,MATCH($B536,元データ_14項目!$D$1:$Q$1,0)),元データ_14項目!$A$2:$A$1300,$A536,元データ_14項目!$B$2:$B$1300,"本年",元データ_14項目!$C$2:$C$1300,J$5)</f>
        <v>67</v>
      </c>
      <c r="K536" s="26">
        <f>SUMIFS(INDEX(元データ_14項目!$D$2:$Q$1300,0,MATCH($B536,元データ_14項目!$D$1:$Q$1,0)),元データ_14項目!$A$2:$A$1300,$A536,元データ_14項目!$B$2:$B$1300,"本年",元データ_14項目!$C$2:$C$1300,K$5)</f>
        <v>194</v>
      </c>
      <c r="L536" s="26">
        <f>SUMIFS(INDEX(元データ_14項目!$D$2:$Q$1300,0,MATCH($B536,元データ_14項目!$D$1:$Q$1,0)),元データ_14項目!$A$2:$A$1300,$A536,元データ_14項目!$B$2:$B$1300,"本年",元データ_14項目!$C$2:$C$1300,L$5)</f>
        <v>0</v>
      </c>
      <c r="M536" s="26">
        <f>SUMIFS(INDEX(元データ_14項目!$D$2:$Q$1300,0,MATCH($B536,元データ_14項目!$D$1:$Q$1,0)),元データ_14項目!$A$2:$A$1300,$A536,元データ_14項目!$B$2:$B$1300,"本年",元データ_14項目!$C$2:$C$1300,M$5)</f>
        <v>0</v>
      </c>
      <c r="N536" s="26">
        <f>SUMIFS(INDEX(元データ_14項目!$D$2:$Q$1300,0,MATCH($B536,元データ_14項目!$D$1:$Q$1,0)),元データ_14項目!$A$2:$A$1300,$A536,元データ_14項目!$B$2:$B$1300,"本年",元データ_14項目!$C$2:$C$1300,N$5)</f>
        <v>0</v>
      </c>
      <c r="O536" s="26">
        <f t="shared" si="16"/>
        <v>348</v>
      </c>
      <c r="P536" s="26">
        <f>SUMIFS(INDEX(元データ_14項目!$D$2:$Q$1300,0,MATCH($B536,元データ_14項目!$D$1:$Q$1,0)),元データ_14項目!$A$2:$A$1300,$A536,元データ_14項目!$B$2:$B$1300,"前年")</f>
        <v>359</v>
      </c>
      <c r="Q536" s="7">
        <f t="shared" si="17"/>
        <v>0.96935933147632314</v>
      </c>
    </row>
    <row r="537" spans="1:17" x14ac:dyDescent="0.45">
      <c r="A537" t="s">
        <v>72</v>
      </c>
      <c r="B537" t="s">
        <v>99</v>
      </c>
      <c r="C537" s="26">
        <f>SUMIFS(INDEX(元データ_14項目!$D$2:$Q$1300,0,MATCH($B537,元データ_14項目!$D$1:$Q$1,0)),元データ_14項目!$A$2:$A$1300,$A537,元データ_14項目!$B$2:$B$1300,"本年",元データ_14項目!$C$2:$C$1300,C$5)</f>
        <v>0</v>
      </c>
      <c r="D537" s="26">
        <f>SUMIFS(INDEX(元データ_14項目!$D$2:$Q$1300,0,MATCH($B537,元データ_14項目!$D$1:$Q$1,0)),元データ_14項目!$A$2:$A$1300,$A537,元データ_14項目!$B$2:$B$1300,"本年",元データ_14項目!$C$2:$C$1300,D$5)</f>
        <v>0</v>
      </c>
      <c r="E537" s="26">
        <f>SUMIFS(INDEX(元データ_14項目!$D$2:$Q$1300,0,MATCH($B537,元データ_14項目!$D$1:$Q$1,0)),元データ_14項目!$A$2:$A$1300,$A537,元データ_14項目!$B$2:$B$1300,"本年",元データ_14項目!$C$2:$C$1300,E$5)</f>
        <v>2</v>
      </c>
      <c r="F537" s="26">
        <f>SUMIFS(INDEX(元データ_14項目!$D$2:$Q$1300,0,MATCH($B537,元データ_14項目!$D$1:$Q$1,0)),元データ_14項目!$A$2:$A$1300,$A537,元データ_14項目!$B$2:$B$1300,"本年",元データ_14項目!$C$2:$C$1300,F$5)</f>
        <v>2</v>
      </c>
      <c r="G537" s="26">
        <f>SUMIFS(INDEX(元データ_14項目!$D$2:$Q$1300,0,MATCH($B537,元データ_14項目!$D$1:$Q$1,0)),元データ_14項目!$A$2:$A$1300,$A537,元データ_14項目!$B$2:$B$1300,"本年",元データ_14項目!$C$2:$C$1300,G$5)</f>
        <v>2</v>
      </c>
      <c r="H537" s="26">
        <f>SUMIFS(INDEX(元データ_14項目!$D$2:$Q$1300,0,MATCH($B537,元データ_14項目!$D$1:$Q$1,0)),元データ_14項目!$A$2:$A$1300,$A537,元データ_14項目!$B$2:$B$1300,"本年",元データ_14項目!$C$2:$C$1300,H$5)</f>
        <v>4</v>
      </c>
      <c r="I537" s="26">
        <f>SUMIFS(INDEX(元データ_14項目!$D$2:$Q$1300,0,MATCH($B537,元データ_14項目!$D$1:$Q$1,0)),元データ_14項目!$A$2:$A$1300,$A537,元データ_14項目!$B$2:$B$1300,"本年",元データ_14項目!$C$2:$C$1300,I$5)</f>
        <v>4</v>
      </c>
      <c r="J537" s="26">
        <f>SUMIFS(INDEX(元データ_14項目!$D$2:$Q$1300,0,MATCH($B537,元データ_14項目!$D$1:$Q$1,0)),元データ_14項目!$A$2:$A$1300,$A537,元データ_14項目!$B$2:$B$1300,"本年",元データ_14項目!$C$2:$C$1300,J$5)</f>
        <v>12</v>
      </c>
      <c r="K537" s="26">
        <f>SUMIFS(INDEX(元データ_14項目!$D$2:$Q$1300,0,MATCH($B537,元データ_14項目!$D$1:$Q$1,0)),元データ_14項目!$A$2:$A$1300,$A537,元データ_14項目!$B$2:$B$1300,"本年",元データ_14項目!$C$2:$C$1300,K$5)</f>
        <v>2</v>
      </c>
      <c r="L537" s="26">
        <f>SUMIFS(INDEX(元データ_14項目!$D$2:$Q$1300,0,MATCH($B537,元データ_14項目!$D$1:$Q$1,0)),元データ_14項目!$A$2:$A$1300,$A537,元データ_14項目!$B$2:$B$1300,"本年",元データ_14項目!$C$2:$C$1300,L$5)</f>
        <v>0</v>
      </c>
      <c r="M537" s="26">
        <f>SUMIFS(INDEX(元データ_14項目!$D$2:$Q$1300,0,MATCH($B537,元データ_14項目!$D$1:$Q$1,0)),元データ_14項目!$A$2:$A$1300,$A537,元データ_14項目!$B$2:$B$1300,"本年",元データ_14項目!$C$2:$C$1300,M$5)</f>
        <v>0</v>
      </c>
      <c r="N537" s="26">
        <f>SUMIFS(INDEX(元データ_14項目!$D$2:$Q$1300,0,MATCH($B537,元データ_14項目!$D$1:$Q$1,0)),元データ_14項目!$A$2:$A$1300,$A537,元データ_14項目!$B$2:$B$1300,"本年",元データ_14項目!$C$2:$C$1300,N$5)</f>
        <v>0</v>
      </c>
      <c r="O537" s="26">
        <f t="shared" si="16"/>
        <v>28</v>
      </c>
      <c r="P537" s="26">
        <f>SUMIFS(INDEX(元データ_14項目!$D$2:$Q$1300,0,MATCH($B537,元データ_14項目!$D$1:$Q$1,0)),元データ_14項目!$A$2:$A$1300,$A537,元データ_14項目!$B$2:$B$1300,"前年")</f>
        <v>44</v>
      </c>
      <c r="Q537" s="7">
        <f t="shared" si="17"/>
        <v>0.63636363636363635</v>
      </c>
    </row>
    <row r="538" spans="1:17" x14ac:dyDescent="0.45">
      <c r="A538" t="s">
        <v>73</v>
      </c>
      <c r="B538" t="s">
        <v>27</v>
      </c>
      <c r="C538" s="26">
        <f>SUMIFS(INDEX(元データ_14項目!$D$2:$Q$1300,0,MATCH($B538,元データ_14項目!$D$1:$Q$1,0)),元データ_14項目!$A$2:$A$1300,$A538,元データ_14項目!$B$2:$B$1300,"本年",元データ_14項目!$C$2:$C$1300,C$5)</f>
        <v>808</v>
      </c>
      <c r="D538" s="26">
        <f>SUMIFS(INDEX(元データ_14項目!$D$2:$Q$1300,0,MATCH($B538,元データ_14項目!$D$1:$Q$1,0)),元データ_14項目!$A$2:$A$1300,$A538,元データ_14項目!$B$2:$B$1300,"本年",元データ_14項目!$C$2:$C$1300,D$5)</f>
        <v>919</v>
      </c>
      <c r="E538" s="26">
        <f>SUMIFS(INDEX(元データ_14項目!$D$2:$Q$1300,0,MATCH($B538,元データ_14項目!$D$1:$Q$1,0)),元データ_14項目!$A$2:$A$1300,$A538,元データ_14項目!$B$2:$B$1300,"本年",元データ_14項目!$C$2:$C$1300,E$5)</f>
        <v>1094</v>
      </c>
      <c r="F538" s="26">
        <f>SUMIFS(INDEX(元データ_14項目!$D$2:$Q$1300,0,MATCH($B538,元データ_14項目!$D$1:$Q$1,0)),元データ_14項目!$A$2:$A$1300,$A538,元データ_14項目!$B$2:$B$1300,"本年",元データ_14項目!$C$2:$C$1300,F$5)</f>
        <v>1022</v>
      </c>
      <c r="G538" s="26">
        <f>SUMIFS(INDEX(元データ_14項目!$D$2:$Q$1300,0,MATCH($B538,元データ_14項目!$D$1:$Q$1,0)),元データ_14項目!$A$2:$A$1300,$A538,元データ_14項目!$B$2:$B$1300,"本年",元データ_14項目!$C$2:$C$1300,G$5)</f>
        <v>1021</v>
      </c>
      <c r="H538" s="26">
        <f>SUMIFS(INDEX(元データ_14項目!$D$2:$Q$1300,0,MATCH($B538,元データ_14項目!$D$1:$Q$1,0)),元データ_14項目!$A$2:$A$1300,$A538,元データ_14項目!$B$2:$B$1300,"本年",元データ_14項目!$C$2:$C$1300,H$5)</f>
        <v>759</v>
      </c>
      <c r="I538" s="26">
        <f>SUMIFS(INDEX(元データ_14項目!$D$2:$Q$1300,0,MATCH($B538,元データ_14項目!$D$1:$Q$1,0)),元データ_14項目!$A$2:$A$1300,$A538,元データ_14項目!$B$2:$B$1300,"本年",元データ_14項目!$C$2:$C$1300,I$5)</f>
        <v>746</v>
      </c>
      <c r="J538" s="26">
        <f>SUMIFS(INDEX(元データ_14項目!$D$2:$Q$1300,0,MATCH($B538,元データ_14項目!$D$1:$Q$1,0)),元データ_14項目!$A$2:$A$1300,$A538,元データ_14項目!$B$2:$B$1300,"本年",元データ_14項目!$C$2:$C$1300,J$5)</f>
        <v>1039</v>
      </c>
      <c r="K538" s="26">
        <f>SUMIFS(INDEX(元データ_14項目!$D$2:$Q$1300,0,MATCH($B538,元データ_14項目!$D$1:$Q$1,0)),元データ_14項目!$A$2:$A$1300,$A538,元データ_14項目!$B$2:$B$1300,"本年",元データ_14項目!$C$2:$C$1300,K$5)</f>
        <v>915</v>
      </c>
      <c r="L538" s="26">
        <f>SUMIFS(INDEX(元データ_14項目!$D$2:$Q$1300,0,MATCH($B538,元データ_14項目!$D$1:$Q$1,0)),元データ_14項目!$A$2:$A$1300,$A538,元データ_14項目!$B$2:$B$1300,"本年",元データ_14項目!$C$2:$C$1300,L$5)</f>
        <v>726</v>
      </c>
      <c r="M538" s="26">
        <f>SUMIFS(INDEX(元データ_14項目!$D$2:$Q$1300,0,MATCH($B538,元データ_14項目!$D$1:$Q$1,0)),元データ_14項目!$A$2:$A$1300,$A538,元データ_14項目!$B$2:$B$1300,"本年",元データ_14項目!$C$2:$C$1300,M$5)</f>
        <v>829</v>
      </c>
      <c r="N538" s="26">
        <f>SUMIFS(INDEX(元データ_14項目!$D$2:$Q$1300,0,MATCH($B538,元データ_14項目!$D$1:$Q$1,0)),元データ_14項目!$A$2:$A$1300,$A538,元データ_14項目!$B$2:$B$1300,"本年",元データ_14項目!$C$2:$C$1300,N$5)</f>
        <v>814</v>
      </c>
      <c r="O538" s="26">
        <f t="shared" si="16"/>
        <v>10692</v>
      </c>
      <c r="P538" s="26">
        <f>SUMIFS(INDEX(元データ_14項目!$D$2:$Q$1300,0,MATCH($B538,元データ_14項目!$D$1:$Q$1,0)),元データ_14項目!$A$2:$A$1300,$A538,元データ_14項目!$B$2:$B$1300,"前年")</f>
        <v>11508</v>
      </c>
      <c r="Q538" s="7">
        <f t="shared" si="17"/>
        <v>0.92909280500521374</v>
      </c>
    </row>
    <row r="539" spans="1:17" x14ac:dyDescent="0.45">
      <c r="A539" t="s">
        <v>73</v>
      </c>
      <c r="B539" t="s">
        <v>88</v>
      </c>
      <c r="C539" s="26">
        <f>SUMIFS(INDEX(元データ_14項目!$D$2:$Q$1300,0,MATCH($B539,元データ_14項目!$D$1:$Q$1,0)),元データ_14項目!$A$2:$A$1300,$A539,元データ_14項目!$B$2:$B$1300,"本年",元データ_14項目!$C$2:$C$1300,C$5)</f>
        <v>29</v>
      </c>
      <c r="D539" s="26">
        <f>SUMIFS(INDEX(元データ_14項目!$D$2:$Q$1300,0,MATCH($B539,元データ_14項目!$D$1:$Q$1,0)),元データ_14項目!$A$2:$A$1300,$A539,元データ_14項目!$B$2:$B$1300,"本年",元データ_14項目!$C$2:$C$1300,D$5)</f>
        <v>32</v>
      </c>
      <c r="E539" s="26">
        <f>SUMIFS(INDEX(元データ_14項目!$D$2:$Q$1300,0,MATCH($B539,元データ_14項目!$D$1:$Q$1,0)),元データ_14項目!$A$2:$A$1300,$A539,元データ_14項目!$B$2:$B$1300,"本年",元データ_14項目!$C$2:$C$1300,E$5)</f>
        <v>65</v>
      </c>
      <c r="F539" s="26">
        <f>SUMIFS(INDEX(元データ_14項目!$D$2:$Q$1300,0,MATCH($B539,元データ_14項目!$D$1:$Q$1,0)),元データ_14項目!$A$2:$A$1300,$A539,元データ_14項目!$B$2:$B$1300,"本年",元データ_14項目!$C$2:$C$1300,F$5)</f>
        <v>71</v>
      </c>
      <c r="G539" s="26">
        <f>SUMIFS(INDEX(元データ_14項目!$D$2:$Q$1300,0,MATCH($B539,元データ_14項目!$D$1:$Q$1,0)),元データ_14項目!$A$2:$A$1300,$A539,元データ_14項目!$B$2:$B$1300,"本年",元データ_14項目!$C$2:$C$1300,G$5)</f>
        <v>39</v>
      </c>
      <c r="H539" s="26">
        <f>SUMIFS(INDEX(元データ_14項目!$D$2:$Q$1300,0,MATCH($B539,元データ_14項目!$D$1:$Q$1,0)),元データ_14項目!$A$2:$A$1300,$A539,元データ_14項目!$B$2:$B$1300,"本年",元データ_14項目!$C$2:$C$1300,H$5)</f>
        <v>37</v>
      </c>
      <c r="I539" s="26">
        <f>SUMIFS(INDEX(元データ_14項目!$D$2:$Q$1300,0,MATCH($B539,元データ_14項目!$D$1:$Q$1,0)),元データ_14項目!$A$2:$A$1300,$A539,元データ_14項目!$B$2:$B$1300,"本年",元データ_14項目!$C$2:$C$1300,I$5)</f>
        <v>27</v>
      </c>
      <c r="J539" s="26">
        <f>SUMIFS(INDEX(元データ_14項目!$D$2:$Q$1300,0,MATCH($B539,元データ_14項目!$D$1:$Q$1,0)),元データ_14項目!$A$2:$A$1300,$A539,元データ_14項目!$B$2:$B$1300,"本年",元データ_14項目!$C$2:$C$1300,J$5)</f>
        <v>53</v>
      </c>
      <c r="K539" s="26">
        <f>SUMIFS(INDEX(元データ_14項目!$D$2:$Q$1300,0,MATCH($B539,元データ_14項目!$D$1:$Q$1,0)),元データ_14項目!$A$2:$A$1300,$A539,元データ_14項目!$B$2:$B$1300,"本年",元データ_14項目!$C$2:$C$1300,K$5)</f>
        <v>70</v>
      </c>
      <c r="L539" s="26">
        <f>SUMIFS(INDEX(元データ_14項目!$D$2:$Q$1300,0,MATCH($B539,元データ_14項目!$D$1:$Q$1,0)),元データ_14項目!$A$2:$A$1300,$A539,元データ_14項目!$B$2:$B$1300,"本年",元データ_14項目!$C$2:$C$1300,L$5)</f>
        <v>67</v>
      </c>
      <c r="M539" s="26">
        <f>SUMIFS(INDEX(元データ_14項目!$D$2:$Q$1300,0,MATCH($B539,元データ_14項目!$D$1:$Q$1,0)),元データ_14項目!$A$2:$A$1300,$A539,元データ_14項目!$B$2:$B$1300,"本年",元データ_14項目!$C$2:$C$1300,M$5)</f>
        <v>53</v>
      </c>
      <c r="N539" s="26">
        <f>SUMIFS(INDEX(元データ_14項目!$D$2:$Q$1300,0,MATCH($B539,元データ_14項目!$D$1:$Q$1,0)),元データ_14項目!$A$2:$A$1300,$A539,元データ_14項目!$B$2:$B$1300,"本年",元データ_14項目!$C$2:$C$1300,N$5)</f>
        <v>67</v>
      </c>
      <c r="O539" s="26">
        <f t="shared" si="16"/>
        <v>610</v>
      </c>
      <c r="P539" s="26">
        <f>SUMIFS(INDEX(元データ_14項目!$D$2:$Q$1300,0,MATCH($B539,元データ_14項目!$D$1:$Q$1,0)),元データ_14項目!$A$2:$A$1300,$A539,元データ_14項目!$B$2:$B$1300,"前年")</f>
        <v>546</v>
      </c>
      <c r="Q539" s="7">
        <f t="shared" si="17"/>
        <v>1.1172161172161172</v>
      </c>
    </row>
    <row r="540" spans="1:17" x14ac:dyDescent="0.45">
      <c r="A540" t="s">
        <v>73</v>
      </c>
      <c r="B540" t="s">
        <v>89</v>
      </c>
      <c r="C540" s="26">
        <f>SUMIFS(INDEX(元データ_14項目!$D$2:$Q$1300,0,MATCH($B540,元データ_14項目!$D$1:$Q$1,0)),元データ_14項目!$A$2:$A$1300,$A540,元データ_14項目!$B$2:$B$1300,"本年",元データ_14項目!$C$2:$C$1300,C$5)</f>
        <v>39</v>
      </c>
      <c r="D540" s="26">
        <f>SUMIFS(INDEX(元データ_14項目!$D$2:$Q$1300,0,MATCH($B540,元データ_14項目!$D$1:$Q$1,0)),元データ_14項目!$A$2:$A$1300,$A540,元データ_14項目!$B$2:$B$1300,"本年",元データ_14項目!$C$2:$C$1300,D$5)</f>
        <v>38</v>
      </c>
      <c r="E540" s="26">
        <f>SUMIFS(INDEX(元データ_14項目!$D$2:$Q$1300,0,MATCH($B540,元データ_14項目!$D$1:$Q$1,0)),元データ_14項目!$A$2:$A$1300,$A540,元データ_14項目!$B$2:$B$1300,"本年",元データ_14項目!$C$2:$C$1300,E$5)</f>
        <v>66</v>
      </c>
      <c r="F540" s="26">
        <f>SUMIFS(INDEX(元データ_14項目!$D$2:$Q$1300,0,MATCH($B540,元データ_14項目!$D$1:$Q$1,0)),元データ_14項目!$A$2:$A$1300,$A540,元データ_14項目!$B$2:$B$1300,"本年",元データ_14項目!$C$2:$C$1300,F$5)</f>
        <v>96</v>
      </c>
      <c r="G540" s="26">
        <f>SUMIFS(INDEX(元データ_14項目!$D$2:$Q$1300,0,MATCH($B540,元データ_14項目!$D$1:$Q$1,0)),元データ_14項目!$A$2:$A$1300,$A540,元データ_14項目!$B$2:$B$1300,"本年",元データ_14項目!$C$2:$C$1300,G$5)</f>
        <v>45</v>
      </c>
      <c r="H540" s="26">
        <f>SUMIFS(INDEX(元データ_14項目!$D$2:$Q$1300,0,MATCH($B540,元データ_14項目!$D$1:$Q$1,0)),元データ_14項目!$A$2:$A$1300,$A540,元データ_14項目!$B$2:$B$1300,"本年",元データ_14項目!$C$2:$C$1300,H$5)</f>
        <v>26</v>
      </c>
      <c r="I540" s="26">
        <f>SUMIFS(INDEX(元データ_14項目!$D$2:$Q$1300,0,MATCH($B540,元データ_14項目!$D$1:$Q$1,0)),元データ_14項目!$A$2:$A$1300,$A540,元データ_14項目!$B$2:$B$1300,"本年",元データ_14項目!$C$2:$C$1300,I$5)</f>
        <v>29</v>
      </c>
      <c r="J540" s="26">
        <f>SUMIFS(INDEX(元データ_14項目!$D$2:$Q$1300,0,MATCH($B540,元データ_14項目!$D$1:$Q$1,0)),元データ_14項目!$A$2:$A$1300,$A540,元データ_14項目!$B$2:$B$1300,"本年",元データ_14項目!$C$2:$C$1300,J$5)</f>
        <v>37</v>
      </c>
      <c r="K540" s="26">
        <f>SUMIFS(INDEX(元データ_14項目!$D$2:$Q$1300,0,MATCH($B540,元データ_14項目!$D$1:$Q$1,0)),元データ_14項目!$A$2:$A$1300,$A540,元データ_14項目!$B$2:$B$1300,"本年",元データ_14項目!$C$2:$C$1300,K$5)</f>
        <v>85</v>
      </c>
      <c r="L540" s="26">
        <f>SUMIFS(INDEX(元データ_14項目!$D$2:$Q$1300,0,MATCH($B540,元データ_14項目!$D$1:$Q$1,0)),元データ_14項目!$A$2:$A$1300,$A540,元データ_14項目!$B$2:$B$1300,"本年",元データ_14項目!$C$2:$C$1300,L$5)</f>
        <v>38</v>
      </c>
      <c r="M540" s="26">
        <f>SUMIFS(INDEX(元データ_14項目!$D$2:$Q$1300,0,MATCH($B540,元データ_14項目!$D$1:$Q$1,0)),元データ_14項目!$A$2:$A$1300,$A540,元データ_14項目!$B$2:$B$1300,"本年",元データ_14項目!$C$2:$C$1300,M$5)</f>
        <v>53</v>
      </c>
      <c r="N540" s="26">
        <f>SUMIFS(INDEX(元データ_14項目!$D$2:$Q$1300,0,MATCH($B540,元データ_14項目!$D$1:$Q$1,0)),元データ_14項目!$A$2:$A$1300,$A540,元データ_14項目!$B$2:$B$1300,"本年",元データ_14項目!$C$2:$C$1300,N$5)</f>
        <v>48</v>
      </c>
      <c r="O540" s="26">
        <f t="shared" si="16"/>
        <v>600</v>
      </c>
      <c r="P540" s="26">
        <f>SUMIFS(INDEX(元データ_14項目!$D$2:$Q$1300,0,MATCH($B540,元データ_14項目!$D$1:$Q$1,0)),元データ_14項目!$A$2:$A$1300,$A540,元データ_14項目!$B$2:$B$1300,"前年")</f>
        <v>578</v>
      </c>
      <c r="Q540" s="7">
        <f t="shared" si="17"/>
        <v>1.0380622837370241</v>
      </c>
    </row>
    <row r="541" spans="1:17" x14ac:dyDescent="0.45">
      <c r="A541" t="s">
        <v>73</v>
      </c>
      <c r="B541" t="s">
        <v>90</v>
      </c>
      <c r="C541" s="26">
        <f>SUMIFS(INDEX(元データ_14項目!$D$2:$Q$1300,0,MATCH($B541,元データ_14項目!$D$1:$Q$1,0)),元データ_14項目!$A$2:$A$1300,$A541,元データ_14項目!$B$2:$B$1300,"本年",元データ_14項目!$C$2:$C$1300,C$5)</f>
        <v>66</v>
      </c>
      <c r="D541" s="26">
        <f>SUMIFS(INDEX(元データ_14項目!$D$2:$Q$1300,0,MATCH($B541,元データ_14項目!$D$1:$Q$1,0)),元データ_14項目!$A$2:$A$1300,$A541,元データ_14項目!$B$2:$B$1300,"本年",元データ_14項目!$C$2:$C$1300,D$5)</f>
        <v>49</v>
      </c>
      <c r="E541" s="26">
        <f>SUMIFS(INDEX(元データ_14項目!$D$2:$Q$1300,0,MATCH($B541,元データ_14項目!$D$1:$Q$1,0)),元データ_14項目!$A$2:$A$1300,$A541,元データ_14項目!$B$2:$B$1300,"本年",元データ_14項目!$C$2:$C$1300,E$5)</f>
        <v>75</v>
      </c>
      <c r="F541" s="26">
        <f>SUMIFS(INDEX(元データ_14項目!$D$2:$Q$1300,0,MATCH($B541,元データ_14項目!$D$1:$Q$1,0)),元データ_14項目!$A$2:$A$1300,$A541,元データ_14項目!$B$2:$B$1300,"本年",元データ_14項目!$C$2:$C$1300,F$5)</f>
        <v>102</v>
      </c>
      <c r="G541" s="26">
        <f>SUMIFS(INDEX(元データ_14項目!$D$2:$Q$1300,0,MATCH($B541,元データ_14項目!$D$1:$Q$1,0)),元データ_14項目!$A$2:$A$1300,$A541,元データ_14項目!$B$2:$B$1300,"本年",元データ_14項目!$C$2:$C$1300,G$5)</f>
        <v>187</v>
      </c>
      <c r="H541" s="26">
        <f>SUMIFS(INDEX(元データ_14項目!$D$2:$Q$1300,0,MATCH($B541,元データ_14項目!$D$1:$Q$1,0)),元データ_14項目!$A$2:$A$1300,$A541,元データ_14項目!$B$2:$B$1300,"本年",元データ_14項目!$C$2:$C$1300,H$5)</f>
        <v>170</v>
      </c>
      <c r="I541" s="26">
        <f>SUMIFS(INDEX(元データ_14項目!$D$2:$Q$1300,0,MATCH($B541,元データ_14項目!$D$1:$Q$1,0)),元データ_14項目!$A$2:$A$1300,$A541,元データ_14項目!$B$2:$B$1300,"本年",元データ_14項目!$C$2:$C$1300,I$5)</f>
        <v>105</v>
      </c>
      <c r="J541" s="26">
        <f>SUMIFS(INDEX(元データ_14項目!$D$2:$Q$1300,0,MATCH($B541,元データ_14項目!$D$1:$Q$1,0)),元データ_14項目!$A$2:$A$1300,$A541,元データ_14項目!$B$2:$B$1300,"本年",元データ_14項目!$C$2:$C$1300,J$5)</f>
        <v>179</v>
      </c>
      <c r="K541" s="26">
        <f>SUMIFS(INDEX(元データ_14項目!$D$2:$Q$1300,0,MATCH($B541,元データ_14項目!$D$1:$Q$1,0)),元データ_14項目!$A$2:$A$1300,$A541,元データ_14項目!$B$2:$B$1300,"本年",元データ_14項目!$C$2:$C$1300,K$5)</f>
        <v>254</v>
      </c>
      <c r="L541" s="26">
        <f>SUMIFS(INDEX(元データ_14項目!$D$2:$Q$1300,0,MATCH($B541,元データ_14項目!$D$1:$Q$1,0)),元データ_14項目!$A$2:$A$1300,$A541,元データ_14項目!$B$2:$B$1300,"本年",元データ_14項目!$C$2:$C$1300,L$5)</f>
        <v>165</v>
      </c>
      <c r="M541" s="26">
        <f>SUMIFS(INDEX(元データ_14項目!$D$2:$Q$1300,0,MATCH($B541,元データ_14項目!$D$1:$Q$1,0)),元データ_14項目!$A$2:$A$1300,$A541,元データ_14項目!$B$2:$B$1300,"本年",元データ_14項目!$C$2:$C$1300,M$5)</f>
        <v>121</v>
      </c>
      <c r="N541" s="26">
        <f>SUMIFS(INDEX(元データ_14項目!$D$2:$Q$1300,0,MATCH($B541,元データ_14項目!$D$1:$Q$1,0)),元データ_14項目!$A$2:$A$1300,$A541,元データ_14項目!$B$2:$B$1300,"本年",元データ_14項目!$C$2:$C$1300,N$5)</f>
        <v>70</v>
      </c>
      <c r="O541" s="26">
        <f t="shared" si="16"/>
        <v>1543</v>
      </c>
      <c r="P541" s="26">
        <f>SUMIFS(INDEX(元データ_14項目!$D$2:$Q$1300,0,MATCH($B541,元データ_14項目!$D$1:$Q$1,0)),元データ_14項目!$A$2:$A$1300,$A541,元データ_14項目!$B$2:$B$1300,"前年")</f>
        <v>1688</v>
      </c>
      <c r="Q541" s="7">
        <f t="shared" si="17"/>
        <v>0.9140995260663507</v>
      </c>
    </row>
    <row r="542" spans="1:17" x14ac:dyDescent="0.45">
      <c r="A542" t="s">
        <v>73</v>
      </c>
      <c r="B542" t="s">
        <v>91</v>
      </c>
      <c r="C542" s="26">
        <f>SUMIFS(INDEX(元データ_14項目!$D$2:$Q$1300,0,MATCH($B542,元データ_14項目!$D$1:$Q$1,0)),元データ_14項目!$A$2:$A$1300,$A542,元データ_14項目!$B$2:$B$1300,"本年",元データ_14項目!$C$2:$C$1300,C$5)</f>
        <v>10</v>
      </c>
      <c r="D542" s="26">
        <f>SUMIFS(INDEX(元データ_14項目!$D$2:$Q$1300,0,MATCH($B542,元データ_14項目!$D$1:$Q$1,0)),元データ_14項目!$A$2:$A$1300,$A542,元データ_14項目!$B$2:$B$1300,"本年",元データ_14項目!$C$2:$C$1300,D$5)</f>
        <v>45</v>
      </c>
      <c r="E542" s="26">
        <f>SUMIFS(INDEX(元データ_14項目!$D$2:$Q$1300,0,MATCH($B542,元データ_14項目!$D$1:$Q$1,0)),元データ_14項目!$A$2:$A$1300,$A542,元データ_14項目!$B$2:$B$1300,"本年",元データ_14項目!$C$2:$C$1300,E$5)</f>
        <v>89</v>
      </c>
      <c r="F542" s="26">
        <f>SUMIFS(INDEX(元データ_14項目!$D$2:$Q$1300,0,MATCH($B542,元データ_14項目!$D$1:$Q$1,0)),元データ_14項目!$A$2:$A$1300,$A542,元データ_14項目!$B$2:$B$1300,"本年",元データ_14項目!$C$2:$C$1300,F$5)</f>
        <v>82</v>
      </c>
      <c r="G542" s="26">
        <f>SUMIFS(INDEX(元データ_14項目!$D$2:$Q$1300,0,MATCH($B542,元データ_14項目!$D$1:$Q$1,0)),元データ_14項目!$A$2:$A$1300,$A542,元データ_14項目!$B$2:$B$1300,"本年",元データ_14項目!$C$2:$C$1300,G$5)</f>
        <v>33</v>
      </c>
      <c r="H542" s="26">
        <f>SUMIFS(INDEX(元データ_14項目!$D$2:$Q$1300,0,MATCH($B542,元データ_14項目!$D$1:$Q$1,0)),元データ_14項目!$A$2:$A$1300,$A542,元データ_14項目!$B$2:$B$1300,"本年",元データ_14項目!$C$2:$C$1300,H$5)</f>
        <v>18</v>
      </c>
      <c r="I542" s="26">
        <f>SUMIFS(INDEX(元データ_14項目!$D$2:$Q$1300,0,MATCH($B542,元データ_14項目!$D$1:$Q$1,0)),元データ_14項目!$A$2:$A$1300,$A542,元データ_14項目!$B$2:$B$1300,"本年",元データ_14項目!$C$2:$C$1300,I$5)</f>
        <v>29</v>
      </c>
      <c r="J542" s="26">
        <f>SUMIFS(INDEX(元データ_14項目!$D$2:$Q$1300,0,MATCH($B542,元データ_14項目!$D$1:$Q$1,0)),元データ_14項目!$A$2:$A$1300,$A542,元データ_14項目!$B$2:$B$1300,"本年",元データ_14項目!$C$2:$C$1300,J$5)</f>
        <v>39</v>
      </c>
      <c r="K542" s="26">
        <f>SUMIFS(INDEX(元データ_14項目!$D$2:$Q$1300,0,MATCH($B542,元データ_14項目!$D$1:$Q$1,0)),元データ_14項目!$A$2:$A$1300,$A542,元データ_14項目!$B$2:$B$1300,"本年",元データ_14項目!$C$2:$C$1300,K$5)</f>
        <v>27</v>
      </c>
      <c r="L542" s="26">
        <f>SUMIFS(INDEX(元データ_14項目!$D$2:$Q$1300,0,MATCH($B542,元データ_14項目!$D$1:$Q$1,0)),元データ_14項目!$A$2:$A$1300,$A542,元データ_14項目!$B$2:$B$1300,"本年",元データ_14項目!$C$2:$C$1300,L$5)</f>
        <v>35</v>
      </c>
      <c r="M542" s="26">
        <f>SUMIFS(INDEX(元データ_14項目!$D$2:$Q$1300,0,MATCH($B542,元データ_14項目!$D$1:$Q$1,0)),元データ_14項目!$A$2:$A$1300,$A542,元データ_14項目!$B$2:$B$1300,"本年",元データ_14項目!$C$2:$C$1300,M$5)</f>
        <v>42</v>
      </c>
      <c r="N542" s="26">
        <f>SUMIFS(INDEX(元データ_14項目!$D$2:$Q$1300,0,MATCH($B542,元データ_14項目!$D$1:$Q$1,0)),元データ_14項目!$A$2:$A$1300,$A542,元データ_14項目!$B$2:$B$1300,"本年",元データ_14項目!$C$2:$C$1300,N$5)</f>
        <v>22</v>
      </c>
      <c r="O542" s="26">
        <f t="shared" si="16"/>
        <v>471</v>
      </c>
      <c r="P542" s="26">
        <f>SUMIFS(INDEX(元データ_14項目!$D$2:$Q$1300,0,MATCH($B542,元データ_14項目!$D$1:$Q$1,0)),元データ_14項目!$A$2:$A$1300,$A542,元データ_14項目!$B$2:$B$1300,"前年")</f>
        <v>403</v>
      </c>
      <c r="Q542" s="7">
        <f t="shared" si="17"/>
        <v>1.1687344913151365</v>
      </c>
    </row>
    <row r="543" spans="1:17" x14ac:dyDescent="0.45">
      <c r="A543" t="s">
        <v>73</v>
      </c>
      <c r="B543" t="s">
        <v>28</v>
      </c>
      <c r="C543" s="26">
        <f>SUMIFS(INDEX(元データ_14項目!$D$2:$Q$1300,0,MATCH($B543,元データ_14項目!$D$1:$Q$1,0)),元データ_14項目!$A$2:$A$1300,$A543,元データ_14項目!$B$2:$B$1300,"本年",元データ_14項目!$C$2:$C$1300,C$5)</f>
        <v>185</v>
      </c>
      <c r="D543" s="26">
        <f>SUMIFS(INDEX(元データ_14項目!$D$2:$Q$1300,0,MATCH($B543,元データ_14項目!$D$1:$Q$1,0)),元データ_14項目!$A$2:$A$1300,$A543,元データ_14項目!$B$2:$B$1300,"本年",元データ_14項目!$C$2:$C$1300,D$5)</f>
        <v>242</v>
      </c>
      <c r="E543" s="26">
        <f>SUMIFS(INDEX(元データ_14項目!$D$2:$Q$1300,0,MATCH($B543,元データ_14項目!$D$1:$Q$1,0)),元データ_14項目!$A$2:$A$1300,$A543,元データ_14項目!$B$2:$B$1300,"本年",元データ_14項目!$C$2:$C$1300,E$5)</f>
        <v>292</v>
      </c>
      <c r="F543" s="26">
        <f>SUMIFS(INDEX(元データ_14項目!$D$2:$Q$1300,0,MATCH($B543,元データ_14項目!$D$1:$Q$1,0)),元データ_14項目!$A$2:$A$1300,$A543,元データ_14項目!$B$2:$B$1300,"本年",元データ_14項目!$C$2:$C$1300,F$5)</f>
        <v>245</v>
      </c>
      <c r="G543" s="26">
        <f>SUMIFS(INDEX(元データ_14項目!$D$2:$Q$1300,0,MATCH($B543,元データ_14項目!$D$1:$Q$1,0)),元データ_14項目!$A$2:$A$1300,$A543,元データ_14項目!$B$2:$B$1300,"本年",元データ_14項目!$C$2:$C$1300,G$5)</f>
        <v>166</v>
      </c>
      <c r="H543" s="26">
        <f>SUMIFS(INDEX(元データ_14項目!$D$2:$Q$1300,0,MATCH($B543,元データ_14項目!$D$1:$Q$1,0)),元データ_14項目!$A$2:$A$1300,$A543,元データ_14項目!$B$2:$B$1300,"本年",元データ_14項目!$C$2:$C$1300,H$5)</f>
        <v>87</v>
      </c>
      <c r="I543" s="26">
        <f>SUMIFS(INDEX(元データ_14項目!$D$2:$Q$1300,0,MATCH($B543,元データ_14項目!$D$1:$Q$1,0)),元データ_14項目!$A$2:$A$1300,$A543,元データ_14項目!$B$2:$B$1300,"本年",元データ_14項目!$C$2:$C$1300,I$5)</f>
        <v>104</v>
      </c>
      <c r="J543" s="26">
        <f>SUMIFS(INDEX(元データ_14項目!$D$2:$Q$1300,0,MATCH($B543,元データ_14項目!$D$1:$Q$1,0)),元データ_14項目!$A$2:$A$1300,$A543,元データ_14項目!$B$2:$B$1300,"本年",元データ_14項目!$C$2:$C$1300,J$5)</f>
        <v>168</v>
      </c>
      <c r="K543" s="26">
        <f>SUMIFS(INDEX(元データ_14項目!$D$2:$Q$1300,0,MATCH($B543,元データ_14項目!$D$1:$Q$1,0)),元データ_14項目!$A$2:$A$1300,$A543,元データ_14項目!$B$2:$B$1300,"本年",元データ_14項目!$C$2:$C$1300,K$5)</f>
        <v>167</v>
      </c>
      <c r="L543" s="26">
        <f>SUMIFS(INDEX(元データ_14項目!$D$2:$Q$1300,0,MATCH($B543,元データ_14項目!$D$1:$Q$1,0)),元データ_14項目!$A$2:$A$1300,$A543,元データ_14項目!$B$2:$B$1300,"本年",元データ_14項目!$C$2:$C$1300,L$5)</f>
        <v>175</v>
      </c>
      <c r="M543" s="26">
        <f>SUMIFS(INDEX(元データ_14項目!$D$2:$Q$1300,0,MATCH($B543,元データ_14項目!$D$1:$Q$1,0)),元データ_14項目!$A$2:$A$1300,$A543,元データ_14項目!$B$2:$B$1300,"本年",元データ_14項目!$C$2:$C$1300,M$5)</f>
        <v>200</v>
      </c>
      <c r="N543" s="26">
        <f>SUMIFS(INDEX(元データ_14項目!$D$2:$Q$1300,0,MATCH($B543,元データ_14項目!$D$1:$Q$1,0)),元データ_14項目!$A$2:$A$1300,$A543,元データ_14項目!$B$2:$B$1300,"本年",元データ_14項目!$C$2:$C$1300,N$5)</f>
        <v>186</v>
      </c>
      <c r="O543" s="26">
        <f t="shared" si="16"/>
        <v>2217</v>
      </c>
      <c r="P543" s="26">
        <f>SUMIFS(INDEX(元データ_14項目!$D$2:$Q$1300,0,MATCH($B543,元データ_14項目!$D$1:$Q$1,0)),元データ_14項目!$A$2:$A$1300,$A543,元データ_14項目!$B$2:$B$1300,"前年")</f>
        <v>2448</v>
      </c>
      <c r="Q543" s="7">
        <f t="shared" si="17"/>
        <v>0.90563725490196079</v>
      </c>
    </row>
    <row r="544" spans="1:17" x14ac:dyDescent="0.45">
      <c r="A544" t="s">
        <v>73</v>
      </c>
      <c r="B544" t="s">
        <v>92</v>
      </c>
      <c r="C544" s="26">
        <f>SUMIFS(INDEX(元データ_14項目!$D$2:$Q$1300,0,MATCH($B544,元データ_14項目!$D$1:$Q$1,0)),元データ_14項目!$A$2:$A$1300,$A544,元データ_14項目!$B$2:$B$1300,"本年",元データ_14項目!$C$2:$C$1300,C$5)</f>
        <v>30</v>
      </c>
      <c r="D544" s="26">
        <f>SUMIFS(INDEX(元データ_14項目!$D$2:$Q$1300,0,MATCH($B544,元データ_14項目!$D$1:$Q$1,0)),元データ_14項目!$A$2:$A$1300,$A544,元データ_14項目!$B$2:$B$1300,"本年",元データ_14項目!$C$2:$C$1300,D$5)</f>
        <v>43</v>
      </c>
      <c r="E544" s="26">
        <f>SUMIFS(INDEX(元データ_14項目!$D$2:$Q$1300,0,MATCH($B544,元データ_14項目!$D$1:$Q$1,0)),元データ_14項目!$A$2:$A$1300,$A544,元データ_14項目!$B$2:$B$1300,"本年",元データ_14項目!$C$2:$C$1300,E$5)</f>
        <v>80</v>
      </c>
      <c r="F544" s="26">
        <f>SUMIFS(INDEX(元データ_14項目!$D$2:$Q$1300,0,MATCH($B544,元データ_14項目!$D$1:$Q$1,0)),元データ_14項目!$A$2:$A$1300,$A544,元データ_14項目!$B$2:$B$1300,"本年",元データ_14項目!$C$2:$C$1300,F$5)</f>
        <v>44</v>
      </c>
      <c r="G544" s="26">
        <f>SUMIFS(INDEX(元データ_14項目!$D$2:$Q$1300,0,MATCH($B544,元データ_14項目!$D$1:$Q$1,0)),元データ_14項目!$A$2:$A$1300,$A544,元データ_14項目!$B$2:$B$1300,"本年",元データ_14項目!$C$2:$C$1300,G$5)</f>
        <v>36</v>
      </c>
      <c r="H544" s="26">
        <f>SUMIFS(INDEX(元データ_14項目!$D$2:$Q$1300,0,MATCH($B544,元データ_14項目!$D$1:$Q$1,0)),元データ_14項目!$A$2:$A$1300,$A544,元データ_14項目!$B$2:$B$1300,"本年",元データ_14項目!$C$2:$C$1300,H$5)</f>
        <v>26</v>
      </c>
      <c r="I544" s="26">
        <f>SUMIFS(INDEX(元データ_14項目!$D$2:$Q$1300,0,MATCH($B544,元データ_14項目!$D$1:$Q$1,0)),元データ_14項目!$A$2:$A$1300,$A544,元データ_14項目!$B$2:$B$1300,"本年",元データ_14項目!$C$2:$C$1300,I$5)</f>
        <v>30</v>
      </c>
      <c r="J544" s="26">
        <f>SUMIFS(INDEX(元データ_14項目!$D$2:$Q$1300,0,MATCH($B544,元データ_14項目!$D$1:$Q$1,0)),元データ_14項目!$A$2:$A$1300,$A544,元データ_14項目!$B$2:$B$1300,"本年",元データ_14項目!$C$2:$C$1300,J$5)</f>
        <v>39</v>
      </c>
      <c r="K544" s="26">
        <f>SUMIFS(INDEX(元データ_14項目!$D$2:$Q$1300,0,MATCH($B544,元データ_14項目!$D$1:$Q$1,0)),元データ_14項目!$A$2:$A$1300,$A544,元データ_14項目!$B$2:$B$1300,"本年",元データ_14項目!$C$2:$C$1300,K$5)</f>
        <v>93</v>
      </c>
      <c r="L544" s="26">
        <f>SUMIFS(INDEX(元データ_14項目!$D$2:$Q$1300,0,MATCH($B544,元データ_14項目!$D$1:$Q$1,0)),元データ_14項目!$A$2:$A$1300,$A544,元データ_14項目!$B$2:$B$1300,"本年",元データ_14項目!$C$2:$C$1300,L$5)</f>
        <v>65</v>
      </c>
      <c r="M544" s="26">
        <f>SUMIFS(INDEX(元データ_14項目!$D$2:$Q$1300,0,MATCH($B544,元データ_14項目!$D$1:$Q$1,0)),元データ_14項目!$A$2:$A$1300,$A544,元データ_14項目!$B$2:$B$1300,"本年",元データ_14項目!$C$2:$C$1300,M$5)</f>
        <v>47</v>
      </c>
      <c r="N544" s="26">
        <f>SUMIFS(INDEX(元データ_14項目!$D$2:$Q$1300,0,MATCH($B544,元データ_14項目!$D$1:$Q$1,0)),元データ_14項目!$A$2:$A$1300,$A544,元データ_14項目!$B$2:$B$1300,"本年",元データ_14項目!$C$2:$C$1300,N$5)</f>
        <v>31</v>
      </c>
      <c r="O544" s="26">
        <f t="shared" si="16"/>
        <v>564</v>
      </c>
      <c r="P544" s="26">
        <f>SUMIFS(INDEX(元データ_14項目!$D$2:$Q$1300,0,MATCH($B544,元データ_14項目!$D$1:$Q$1,0)),元データ_14項目!$A$2:$A$1300,$A544,元データ_14項目!$B$2:$B$1300,"前年")</f>
        <v>501</v>
      </c>
      <c r="Q544" s="7">
        <f t="shared" si="17"/>
        <v>1.125748502994012</v>
      </c>
    </row>
    <row r="545" spans="1:17" x14ac:dyDescent="0.45">
      <c r="A545" t="s">
        <v>73</v>
      </c>
      <c r="B545" t="s">
        <v>93</v>
      </c>
      <c r="C545" s="26">
        <f>SUMIFS(INDEX(元データ_14項目!$D$2:$Q$1300,0,MATCH($B545,元データ_14項目!$D$1:$Q$1,0)),元データ_14項目!$A$2:$A$1300,$A545,元データ_14項目!$B$2:$B$1300,"本年",元データ_14項目!$C$2:$C$1300,C$5)</f>
        <v>21</v>
      </c>
      <c r="D545" s="26">
        <f>SUMIFS(INDEX(元データ_14項目!$D$2:$Q$1300,0,MATCH($B545,元データ_14項目!$D$1:$Q$1,0)),元データ_14項目!$A$2:$A$1300,$A545,元データ_14項目!$B$2:$B$1300,"本年",元データ_14項目!$C$2:$C$1300,D$5)</f>
        <v>16</v>
      </c>
      <c r="E545" s="26">
        <f>SUMIFS(INDEX(元データ_14項目!$D$2:$Q$1300,0,MATCH($B545,元データ_14項目!$D$1:$Q$1,0)),元データ_14項目!$A$2:$A$1300,$A545,元データ_14項目!$B$2:$B$1300,"本年",元データ_14項目!$C$2:$C$1300,E$5)</f>
        <v>39</v>
      </c>
      <c r="F545" s="26">
        <f>SUMIFS(INDEX(元データ_14項目!$D$2:$Q$1300,0,MATCH($B545,元データ_14項目!$D$1:$Q$1,0)),元データ_14項目!$A$2:$A$1300,$A545,元データ_14項目!$B$2:$B$1300,"本年",元データ_14項目!$C$2:$C$1300,F$5)</f>
        <v>51</v>
      </c>
      <c r="G545" s="26">
        <f>SUMIFS(INDEX(元データ_14項目!$D$2:$Q$1300,0,MATCH($B545,元データ_14項目!$D$1:$Q$1,0)),元データ_14項目!$A$2:$A$1300,$A545,元データ_14項目!$B$2:$B$1300,"本年",元データ_14項目!$C$2:$C$1300,G$5)</f>
        <v>70</v>
      </c>
      <c r="H545" s="26">
        <f>SUMIFS(INDEX(元データ_14項目!$D$2:$Q$1300,0,MATCH($B545,元データ_14項目!$D$1:$Q$1,0)),元データ_14項目!$A$2:$A$1300,$A545,元データ_14項目!$B$2:$B$1300,"本年",元データ_14項目!$C$2:$C$1300,H$5)</f>
        <v>70</v>
      </c>
      <c r="I545" s="26">
        <f>SUMIFS(INDEX(元データ_14項目!$D$2:$Q$1300,0,MATCH($B545,元データ_14項目!$D$1:$Q$1,0)),元データ_14項目!$A$2:$A$1300,$A545,元データ_14項目!$B$2:$B$1300,"本年",元データ_14項目!$C$2:$C$1300,I$5)</f>
        <v>62</v>
      </c>
      <c r="J545" s="26">
        <f>SUMIFS(INDEX(元データ_14項目!$D$2:$Q$1300,0,MATCH($B545,元データ_14項目!$D$1:$Q$1,0)),元データ_14項目!$A$2:$A$1300,$A545,元データ_14項目!$B$2:$B$1300,"本年",元データ_14項目!$C$2:$C$1300,J$5)</f>
        <v>173</v>
      </c>
      <c r="K545" s="26">
        <f>SUMIFS(INDEX(元データ_14項目!$D$2:$Q$1300,0,MATCH($B545,元データ_14項目!$D$1:$Q$1,0)),元データ_14項目!$A$2:$A$1300,$A545,元データ_14項目!$B$2:$B$1300,"本年",元データ_14項目!$C$2:$C$1300,K$5)</f>
        <v>349</v>
      </c>
      <c r="L545" s="26">
        <f>SUMIFS(INDEX(元データ_14項目!$D$2:$Q$1300,0,MATCH($B545,元データ_14項目!$D$1:$Q$1,0)),元データ_14項目!$A$2:$A$1300,$A545,元データ_14項目!$B$2:$B$1300,"本年",元データ_14項目!$C$2:$C$1300,L$5)</f>
        <v>182</v>
      </c>
      <c r="M545" s="26">
        <f>SUMIFS(INDEX(元データ_14項目!$D$2:$Q$1300,0,MATCH($B545,元データ_14項目!$D$1:$Q$1,0)),元データ_14項目!$A$2:$A$1300,$A545,元データ_14項目!$B$2:$B$1300,"本年",元データ_14項目!$C$2:$C$1300,M$5)</f>
        <v>145</v>
      </c>
      <c r="N545" s="26">
        <f>SUMIFS(INDEX(元データ_14項目!$D$2:$Q$1300,0,MATCH($B545,元データ_14項目!$D$1:$Q$1,0)),元データ_14項目!$A$2:$A$1300,$A545,元データ_14項目!$B$2:$B$1300,"本年",元データ_14項目!$C$2:$C$1300,N$5)</f>
        <v>40</v>
      </c>
      <c r="O545" s="26">
        <f t="shared" si="16"/>
        <v>1218</v>
      </c>
      <c r="P545" s="26">
        <f>SUMIFS(INDEX(元データ_14項目!$D$2:$Q$1300,0,MATCH($B545,元データ_14項目!$D$1:$Q$1,0)),元データ_14項目!$A$2:$A$1300,$A545,元データ_14項目!$B$2:$B$1300,"前年")</f>
        <v>1024</v>
      </c>
      <c r="Q545" s="7">
        <f t="shared" si="17"/>
        <v>1.189453125</v>
      </c>
    </row>
    <row r="546" spans="1:17" x14ac:dyDescent="0.45">
      <c r="A546" t="s">
        <v>73</v>
      </c>
      <c r="B546" t="s">
        <v>94</v>
      </c>
      <c r="C546" s="26">
        <f>SUMIFS(INDEX(元データ_14項目!$D$2:$Q$1300,0,MATCH($B546,元データ_14項目!$D$1:$Q$1,0)),元データ_14項目!$A$2:$A$1300,$A546,元データ_14項目!$B$2:$B$1300,"本年",元データ_14項目!$C$2:$C$1300,C$5)</f>
        <v>11</v>
      </c>
      <c r="D546" s="26">
        <f>SUMIFS(INDEX(元データ_14項目!$D$2:$Q$1300,0,MATCH($B546,元データ_14項目!$D$1:$Q$1,0)),元データ_14項目!$A$2:$A$1300,$A546,元データ_14項目!$B$2:$B$1300,"本年",元データ_14項目!$C$2:$C$1300,D$5)</f>
        <v>9</v>
      </c>
      <c r="E546" s="26">
        <f>SUMIFS(INDEX(元データ_14項目!$D$2:$Q$1300,0,MATCH($B546,元データ_14項目!$D$1:$Q$1,0)),元データ_14項目!$A$2:$A$1300,$A546,元データ_14項目!$B$2:$B$1300,"本年",元データ_14項目!$C$2:$C$1300,E$5)</f>
        <v>36</v>
      </c>
      <c r="F546" s="26">
        <f>SUMIFS(INDEX(元データ_14項目!$D$2:$Q$1300,0,MATCH($B546,元データ_14項目!$D$1:$Q$1,0)),元データ_14項目!$A$2:$A$1300,$A546,元データ_14項目!$B$2:$B$1300,"本年",元データ_14項目!$C$2:$C$1300,F$5)</f>
        <v>30</v>
      </c>
      <c r="G546" s="26">
        <f>SUMIFS(INDEX(元データ_14項目!$D$2:$Q$1300,0,MATCH($B546,元データ_14項目!$D$1:$Q$1,0)),元データ_14項目!$A$2:$A$1300,$A546,元データ_14項目!$B$2:$B$1300,"本年",元データ_14項目!$C$2:$C$1300,G$5)</f>
        <v>22</v>
      </c>
      <c r="H546" s="26">
        <f>SUMIFS(INDEX(元データ_14項目!$D$2:$Q$1300,0,MATCH($B546,元データ_14項目!$D$1:$Q$1,0)),元データ_14項目!$A$2:$A$1300,$A546,元データ_14項目!$B$2:$B$1300,"本年",元データ_14項目!$C$2:$C$1300,H$5)</f>
        <v>18</v>
      </c>
      <c r="I546" s="26">
        <f>SUMIFS(INDEX(元データ_14項目!$D$2:$Q$1300,0,MATCH($B546,元データ_14項目!$D$1:$Q$1,0)),元データ_14項目!$A$2:$A$1300,$A546,元データ_14項目!$B$2:$B$1300,"本年",元データ_14項目!$C$2:$C$1300,I$5)</f>
        <v>18</v>
      </c>
      <c r="J546" s="26">
        <f>SUMIFS(INDEX(元データ_14項目!$D$2:$Q$1300,0,MATCH($B546,元データ_14項目!$D$1:$Q$1,0)),元データ_14項目!$A$2:$A$1300,$A546,元データ_14項目!$B$2:$B$1300,"本年",元データ_14項目!$C$2:$C$1300,J$5)</f>
        <v>46</v>
      </c>
      <c r="K546" s="26">
        <f>SUMIFS(INDEX(元データ_14項目!$D$2:$Q$1300,0,MATCH($B546,元データ_14項目!$D$1:$Q$1,0)),元データ_14項目!$A$2:$A$1300,$A546,元データ_14項目!$B$2:$B$1300,"本年",元データ_14項目!$C$2:$C$1300,K$5)</f>
        <v>123</v>
      </c>
      <c r="L546" s="26">
        <f>SUMIFS(INDEX(元データ_14項目!$D$2:$Q$1300,0,MATCH($B546,元データ_14項目!$D$1:$Q$1,0)),元データ_14項目!$A$2:$A$1300,$A546,元データ_14項目!$B$2:$B$1300,"本年",元データ_14項目!$C$2:$C$1300,L$5)</f>
        <v>82</v>
      </c>
      <c r="M546" s="26">
        <f>SUMIFS(INDEX(元データ_14項目!$D$2:$Q$1300,0,MATCH($B546,元データ_14項目!$D$1:$Q$1,0)),元データ_14項目!$A$2:$A$1300,$A546,元データ_14項目!$B$2:$B$1300,"本年",元データ_14項目!$C$2:$C$1300,M$5)</f>
        <v>66</v>
      </c>
      <c r="N546" s="26">
        <f>SUMIFS(INDEX(元データ_14項目!$D$2:$Q$1300,0,MATCH($B546,元データ_14項目!$D$1:$Q$1,0)),元データ_14項目!$A$2:$A$1300,$A546,元データ_14項目!$B$2:$B$1300,"本年",元データ_14項目!$C$2:$C$1300,N$5)</f>
        <v>33</v>
      </c>
      <c r="O546" s="26">
        <f t="shared" si="16"/>
        <v>494</v>
      </c>
      <c r="P546" s="26">
        <f>SUMIFS(INDEX(元データ_14項目!$D$2:$Q$1300,0,MATCH($B546,元データ_14項目!$D$1:$Q$1,0)),元データ_14項目!$A$2:$A$1300,$A546,元データ_14項目!$B$2:$B$1300,"前年")</f>
        <v>539</v>
      </c>
      <c r="Q546" s="7">
        <f t="shared" si="17"/>
        <v>0.91651205936920221</v>
      </c>
    </row>
    <row r="547" spans="1:17" x14ac:dyDescent="0.45">
      <c r="A547" t="s">
        <v>73</v>
      </c>
      <c r="B547" t="s">
        <v>95</v>
      </c>
      <c r="C547" s="26">
        <f>SUMIFS(INDEX(元データ_14項目!$D$2:$Q$1300,0,MATCH($B547,元データ_14項目!$D$1:$Q$1,0)),元データ_14項目!$A$2:$A$1300,$A547,元データ_14項目!$B$2:$B$1300,"本年",元データ_14項目!$C$2:$C$1300,C$5)</f>
        <v>36</v>
      </c>
      <c r="D547" s="26">
        <f>SUMIFS(INDEX(元データ_14項目!$D$2:$Q$1300,0,MATCH($B547,元データ_14項目!$D$1:$Q$1,0)),元データ_14項目!$A$2:$A$1300,$A547,元データ_14項目!$B$2:$B$1300,"本年",元データ_14項目!$C$2:$C$1300,D$5)</f>
        <v>53</v>
      </c>
      <c r="E547" s="26">
        <f>SUMIFS(INDEX(元データ_14項目!$D$2:$Q$1300,0,MATCH($B547,元データ_14項目!$D$1:$Q$1,0)),元データ_14項目!$A$2:$A$1300,$A547,元データ_14項目!$B$2:$B$1300,"本年",元データ_14項目!$C$2:$C$1300,E$5)</f>
        <v>74</v>
      </c>
      <c r="F547" s="26">
        <f>SUMIFS(INDEX(元データ_14項目!$D$2:$Q$1300,0,MATCH($B547,元データ_14項目!$D$1:$Q$1,0)),元データ_14項目!$A$2:$A$1300,$A547,元データ_14項目!$B$2:$B$1300,"本年",元データ_14項目!$C$2:$C$1300,F$5)</f>
        <v>58</v>
      </c>
      <c r="G547" s="26">
        <f>SUMIFS(INDEX(元データ_14項目!$D$2:$Q$1300,0,MATCH($B547,元データ_14項目!$D$1:$Q$1,0)),元データ_14項目!$A$2:$A$1300,$A547,元データ_14項目!$B$2:$B$1300,"本年",元データ_14項目!$C$2:$C$1300,G$5)</f>
        <v>57</v>
      </c>
      <c r="H547" s="26">
        <f>SUMIFS(INDEX(元データ_14項目!$D$2:$Q$1300,0,MATCH($B547,元データ_14項目!$D$1:$Q$1,0)),元データ_14項目!$A$2:$A$1300,$A547,元データ_14項目!$B$2:$B$1300,"本年",元データ_14項目!$C$2:$C$1300,H$5)</f>
        <v>28</v>
      </c>
      <c r="I547" s="26">
        <f>SUMIFS(INDEX(元データ_14項目!$D$2:$Q$1300,0,MATCH($B547,元データ_14項目!$D$1:$Q$1,0)),元データ_14項目!$A$2:$A$1300,$A547,元データ_14項目!$B$2:$B$1300,"本年",元データ_14項目!$C$2:$C$1300,I$5)</f>
        <v>26</v>
      </c>
      <c r="J547" s="26">
        <f>SUMIFS(INDEX(元データ_14項目!$D$2:$Q$1300,0,MATCH($B547,元データ_14項目!$D$1:$Q$1,0)),元データ_14項目!$A$2:$A$1300,$A547,元データ_14項目!$B$2:$B$1300,"本年",元データ_14項目!$C$2:$C$1300,J$5)</f>
        <v>42</v>
      </c>
      <c r="K547" s="26">
        <f>SUMIFS(INDEX(元データ_14項目!$D$2:$Q$1300,0,MATCH($B547,元データ_14項目!$D$1:$Q$1,0)),元データ_14項目!$A$2:$A$1300,$A547,元データ_14項目!$B$2:$B$1300,"本年",元データ_14項目!$C$2:$C$1300,K$5)</f>
        <v>101</v>
      </c>
      <c r="L547" s="26">
        <f>SUMIFS(INDEX(元データ_14項目!$D$2:$Q$1300,0,MATCH($B547,元データ_14項目!$D$1:$Q$1,0)),元データ_14項目!$A$2:$A$1300,$A547,元データ_14項目!$B$2:$B$1300,"本年",元データ_14項目!$C$2:$C$1300,L$5)</f>
        <v>49</v>
      </c>
      <c r="M547" s="26">
        <f>SUMIFS(INDEX(元データ_14項目!$D$2:$Q$1300,0,MATCH($B547,元データ_14項目!$D$1:$Q$1,0)),元データ_14項目!$A$2:$A$1300,$A547,元データ_14項目!$B$2:$B$1300,"本年",元データ_14項目!$C$2:$C$1300,M$5)</f>
        <v>43</v>
      </c>
      <c r="N547" s="26">
        <f>SUMIFS(INDEX(元データ_14項目!$D$2:$Q$1300,0,MATCH($B547,元データ_14項目!$D$1:$Q$1,0)),元データ_14項目!$A$2:$A$1300,$A547,元データ_14項目!$B$2:$B$1300,"本年",元データ_14項目!$C$2:$C$1300,N$5)</f>
        <v>36</v>
      </c>
      <c r="O547" s="26">
        <f t="shared" si="16"/>
        <v>603</v>
      </c>
      <c r="P547" s="26">
        <f>SUMIFS(INDEX(元データ_14項目!$D$2:$Q$1300,0,MATCH($B547,元データ_14項目!$D$1:$Q$1,0)),元データ_14項目!$A$2:$A$1300,$A547,元データ_14項目!$B$2:$B$1300,"前年")</f>
        <v>552</v>
      </c>
      <c r="Q547" s="7">
        <f t="shared" si="17"/>
        <v>1.0923913043478262</v>
      </c>
    </row>
    <row r="548" spans="1:17" x14ac:dyDescent="0.45">
      <c r="A548" t="s">
        <v>73</v>
      </c>
      <c r="B548" t="s">
        <v>96</v>
      </c>
      <c r="C548" s="26">
        <f>SUMIFS(INDEX(元データ_14項目!$D$2:$Q$1300,0,MATCH($B548,元データ_14項目!$D$1:$Q$1,0)),元データ_14項目!$A$2:$A$1300,$A548,元データ_14項目!$B$2:$B$1300,"本年",元データ_14項目!$C$2:$C$1300,C$5)</f>
        <v>10</v>
      </c>
      <c r="D548" s="26">
        <f>SUMIFS(INDEX(元データ_14項目!$D$2:$Q$1300,0,MATCH($B548,元データ_14項目!$D$1:$Q$1,0)),元データ_14項目!$A$2:$A$1300,$A548,元データ_14項目!$B$2:$B$1300,"本年",元データ_14項目!$C$2:$C$1300,D$5)</f>
        <v>13</v>
      </c>
      <c r="E548" s="26">
        <f>SUMIFS(INDEX(元データ_14項目!$D$2:$Q$1300,0,MATCH($B548,元データ_14項目!$D$1:$Q$1,0)),元データ_14項目!$A$2:$A$1300,$A548,元データ_14項目!$B$2:$B$1300,"本年",元データ_14項目!$C$2:$C$1300,E$5)</f>
        <v>45</v>
      </c>
      <c r="F548" s="26">
        <f>SUMIFS(INDEX(元データ_14項目!$D$2:$Q$1300,0,MATCH($B548,元データ_14項目!$D$1:$Q$1,0)),元データ_14項目!$A$2:$A$1300,$A548,元データ_14項目!$B$2:$B$1300,"本年",元データ_14項目!$C$2:$C$1300,F$5)</f>
        <v>53</v>
      </c>
      <c r="G548" s="26">
        <f>SUMIFS(INDEX(元データ_14項目!$D$2:$Q$1300,0,MATCH($B548,元データ_14項目!$D$1:$Q$1,0)),元データ_14項目!$A$2:$A$1300,$A548,元データ_14項目!$B$2:$B$1300,"本年",元データ_14項目!$C$2:$C$1300,G$5)</f>
        <v>49</v>
      </c>
      <c r="H548" s="26">
        <f>SUMIFS(INDEX(元データ_14項目!$D$2:$Q$1300,0,MATCH($B548,元データ_14項目!$D$1:$Q$1,0)),元データ_14項目!$A$2:$A$1300,$A548,元データ_14項目!$B$2:$B$1300,"本年",元データ_14項目!$C$2:$C$1300,H$5)</f>
        <v>39</v>
      </c>
      <c r="I548" s="26">
        <f>SUMIFS(INDEX(元データ_14項目!$D$2:$Q$1300,0,MATCH($B548,元データ_14項目!$D$1:$Q$1,0)),元データ_14項目!$A$2:$A$1300,$A548,元データ_14項目!$B$2:$B$1300,"本年",元データ_14項目!$C$2:$C$1300,I$5)</f>
        <v>47</v>
      </c>
      <c r="J548" s="26">
        <f>SUMIFS(INDEX(元データ_14項目!$D$2:$Q$1300,0,MATCH($B548,元データ_14項目!$D$1:$Q$1,0)),元データ_14項目!$A$2:$A$1300,$A548,元データ_14項目!$B$2:$B$1300,"本年",元データ_14項目!$C$2:$C$1300,J$5)</f>
        <v>252</v>
      </c>
      <c r="K548" s="26">
        <f>SUMIFS(INDEX(元データ_14項目!$D$2:$Q$1300,0,MATCH($B548,元データ_14項目!$D$1:$Q$1,0)),元データ_14項目!$A$2:$A$1300,$A548,元データ_14項目!$B$2:$B$1300,"本年",元データ_14項目!$C$2:$C$1300,K$5)</f>
        <v>402</v>
      </c>
      <c r="L548" s="26">
        <f>SUMIFS(INDEX(元データ_14項目!$D$2:$Q$1300,0,MATCH($B548,元データ_14項目!$D$1:$Q$1,0)),元データ_14項目!$A$2:$A$1300,$A548,元データ_14項目!$B$2:$B$1300,"本年",元データ_14項目!$C$2:$C$1300,L$5)</f>
        <v>146</v>
      </c>
      <c r="M548" s="26">
        <f>SUMIFS(INDEX(元データ_14項目!$D$2:$Q$1300,0,MATCH($B548,元データ_14項目!$D$1:$Q$1,0)),元データ_14項目!$A$2:$A$1300,$A548,元データ_14項目!$B$2:$B$1300,"本年",元データ_14項目!$C$2:$C$1300,M$5)</f>
        <v>128</v>
      </c>
      <c r="N548" s="26">
        <f>SUMIFS(INDEX(元データ_14項目!$D$2:$Q$1300,0,MATCH($B548,元データ_14項目!$D$1:$Q$1,0)),元データ_14項目!$A$2:$A$1300,$A548,元データ_14項目!$B$2:$B$1300,"本年",元データ_14項目!$C$2:$C$1300,N$5)</f>
        <v>59</v>
      </c>
      <c r="O548" s="26">
        <f t="shared" si="16"/>
        <v>1243</v>
      </c>
      <c r="P548" s="26">
        <f>SUMIFS(INDEX(元データ_14項目!$D$2:$Q$1300,0,MATCH($B548,元データ_14項目!$D$1:$Q$1,0)),元データ_14項目!$A$2:$A$1300,$A548,元データ_14項目!$B$2:$B$1300,"前年")</f>
        <v>1127</v>
      </c>
      <c r="Q548" s="7">
        <f t="shared" si="17"/>
        <v>1.1029281277728482</v>
      </c>
    </row>
    <row r="549" spans="1:17" x14ac:dyDescent="0.45">
      <c r="A549" t="s">
        <v>73</v>
      </c>
      <c r="B549" t="s">
        <v>97</v>
      </c>
      <c r="C549" s="26">
        <f>SUMIFS(INDEX(元データ_14項目!$D$2:$Q$1300,0,MATCH($B549,元データ_14項目!$D$1:$Q$1,0)),元データ_14項目!$A$2:$A$1300,$A549,元データ_14項目!$B$2:$B$1300,"本年",元データ_14項目!$C$2:$C$1300,C$5)</f>
        <v>28</v>
      </c>
      <c r="D549" s="26">
        <f>SUMIFS(INDEX(元データ_14項目!$D$2:$Q$1300,0,MATCH($B549,元データ_14項目!$D$1:$Q$1,0)),元データ_14項目!$A$2:$A$1300,$A549,元データ_14項目!$B$2:$B$1300,"本年",元データ_14項目!$C$2:$C$1300,D$5)</f>
        <v>16</v>
      </c>
      <c r="E549" s="26">
        <f>SUMIFS(INDEX(元データ_14項目!$D$2:$Q$1300,0,MATCH($B549,元データ_14項目!$D$1:$Q$1,0)),元データ_14項目!$A$2:$A$1300,$A549,元データ_14項目!$B$2:$B$1300,"本年",元データ_14項目!$C$2:$C$1300,E$5)</f>
        <v>44</v>
      </c>
      <c r="F549" s="26">
        <f>SUMIFS(INDEX(元データ_14項目!$D$2:$Q$1300,0,MATCH($B549,元データ_14項目!$D$1:$Q$1,0)),元データ_14項目!$A$2:$A$1300,$A549,元データ_14項目!$B$2:$B$1300,"本年",元データ_14項目!$C$2:$C$1300,F$5)</f>
        <v>62</v>
      </c>
      <c r="G549" s="26">
        <f>SUMIFS(INDEX(元データ_14項目!$D$2:$Q$1300,0,MATCH($B549,元データ_14項目!$D$1:$Q$1,0)),元データ_14項目!$A$2:$A$1300,$A549,元データ_14項目!$B$2:$B$1300,"本年",元データ_14項目!$C$2:$C$1300,G$5)</f>
        <v>58</v>
      </c>
      <c r="H549" s="26">
        <f>SUMIFS(INDEX(元データ_14項目!$D$2:$Q$1300,0,MATCH($B549,元データ_14項目!$D$1:$Q$1,0)),元データ_14項目!$A$2:$A$1300,$A549,元データ_14項目!$B$2:$B$1300,"本年",元データ_14項目!$C$2:$C$1300,H$5)</f>
        <v>32</v>
      </c>
      <c r="I549" s="26">
        <f>SUMIFS(INDEX(元データ_14項目!$D$2:$Q$1300,0,MATCH($B549,元データ_14項目!$D$1:$Q$1,0)),元データ_14項目!$A$2:$A$1300,$A549,元データ_14項目!$B$2:$B$1300,"本年",元データ_14項目!$C$2:$C$1300,I$5)</f>
        <v>47</v>
      </c>
      <c r="J549" s="26">
        <f>SUMIFS(INDEX(元データ_14項目!$D$2:$Q$1300,0,MATCH($B549,元データ_14項目!$D$1:$Q$1,0)),元データ_14項目!$A$2:$A$1300,$A549,元データ_14項目!$B$2:$B$1300,"本年",元データ_14項目!$C$2:$C$1300,J$5)</f>
        <v>130</v>
      </c>
      <c r="K549" s="26">
        <f>SUMIFS(INDEX(元データ_14項目!$D$2:$Q$1300,0,MATCH($B549,元データ_14項目!$D$1:$Q$1,0)),元データ_14項目!$A$2:$A$1300,$A549,元データ_14項目!$B$2:$B$1300,"本年",元データ_14項目!$C$2:$C$1300,K$5)</f>
        <v>294</v>
      </c>
      <c r="L549" s="26">
        <f>SUMIFS(INDEX(元データ_14項目!$D$2:$Q$1300,0,MATCH($B549,元データ_14項目!$D$1:$Q$1,0)),元データ_14項目!$A$2:$A$1300,$A549,元データ_14項目!$B$2:$B$1300,"本年",元データ_14項目!$C$2:$C$1300,L$5)</f>
        <v>139</v>
      </c>
      <c r="M549" s="26">
        <f>SUMIFS(INDEX(元データ_14項目!$D$2:$Q$1300,0,MATCH($B549,元データ_14項目!$D$1:$Q$1,0)),元データ_14項目!$A$2:$A$1300,$A549,元データ_14項目!$B$2:$B$1300,"本年",元データ_14項目!$C$2:$C$1300,M$5)</f>
        <v>112</v>
      </c>
      <c r="N549" s="26">
        <f>SUMIFS(INDEX(元データ_14項目!$D$2:$Q$1300,0,MATCH($B549,元データ_14項目!$D$1:$Q$1,0)),元データ_14項目!$A$2:$A$1300,$A549,元データ_14項目!$B$2:$B$1300,"本年",元データ_14項目!$C$2:$C$1300,N$5)</f>
        <v>53</v>
      </c>
      <c r="O549" s="26">
        <f t="shared" si="16"/>
        <v>1015</v>
      </c>
      <c r="P549" s="26">
        <f>SUMIFS(INDEX(元データ_14項目!$D$2:$Q$1300,0,MATCH($B549,元データ_14項目!$D$1:$Q$1,0)),元データ_14項目!$A$2:$A$1300,$A549,元データ_14項目!$B$2:$B$1300,"前年")</f>
        <v>885</v>
      </c>
      <c r="Q549" s="7">
        <f t="shared" si="17"/>
        <v>1.1468926553672316</v>
      </c>
    </row>
    <row r="550" spans="1:17" x14ac:dyDescent="0.45">
      <c r="A550" t="s">
        <v>73</v>
      </c>
      <c r="B550" t="s">
        <v>98</v>
      </c>
      <c r="C550" s="26">
        <f>SUMIFS(INDEX(元データ_14項目!$D$2:$Q$1300,0,MATCH($B550,元データ_14項目!$D$1:$Q$1,0)),元データ_14項目!$A$2:$A$1300,$A550,元データ_14項目!$B$2:$B$1300,"本年",元データ_14項目!$C$2:$C$1300,C$5)</f>
        <v>5</v>
      </c>
      <c r="D550" s="26">
        <f>SUMIFS(INDEX(元データ_14項目!$D$2:$Q$1300,0,MATCH($B550,元データ_14項目!$D$1:$Q$1,0)),元データ_14項目!$A$2:$A$1300,$A550,元データ_14項目!$B$2:$B$1300,"本年",元データ_14項目!$C$2:$C$1300,D$5)</f>
        <v>11</v>
      </c>
      <c r="E550" s="26">
        <f>SUMIFS(INDEX(元データ_14項目!$D$2:$Q$1300,0,MATCH($B550,元データ_14項目!$D$1:$Q$1,0)),元データ_14項目!$A$2:$A$1300,$A550,元データ_14項目!$B$2:$B$1300,"本年",元データ_14項目!$C$2:$C$1300,E$5)</f>
        <v>21</v>
      </c>
      <c r="F550" s="26">
        <f>SUMIFS(INDEX(元データ_14項目!$D$2:$Q$1300,0,MATCH($B550,元データ_14項目!$D$1:$Q$1,0)),元データ_14項目!$A$2:$A$1300,$A550,元データ_14項目!$B$2:$B$1300,"本年",元データ_14項目!$C$2:$C$1300,F$5)</f>
        <v>10</v>
      </c>
      <c r="G550" s="26">
        <f>SUMIFS(INDEX(元データ_14項目!$D$2:$Q$1300,0,MATCH($B550,元データ_14項目!$D$1:$Q$1,0)),元データ_14項目!$A$2:$A$1300,$A550,元データ_14項目!$B$2:$B$1300,"本年",元データ_14項目!$C$2:$C$1300,G$5)</f>
        <v>10</v>
      </c>
      <c r="H550" s="26">
        <f>SUMIFS(INDEX(元データ_14項目!$D$2:$Q$1300,0,MATCH($B550,元データ_14項目!$D$1:$Q$1,0)),元データ_14項目!$A$2:$A$1300,$A550,元データ_14項目!$B$2:$B$1300,"本年",元データ_14項目!$C$2:$C$1300,H$5)</f>
        <v>16</v>
      </c>
      <c r="I550" s="26">
        <f>SUMIFS(INDEX(元データ_14項目!$D$2:$Q$1300,0,MATCH($B550,元データ_14項目!$D$1:$Q$1,0)),元データ_14項目!$A$2:$A$1300,$A550,元データ_14項目!$B$2:$B$1300,"本年",元データ_14項目!$C$2:$C$1300,I$5)</f>
        <v>18</v>
      </c>
      <c r="J550" s="26">
        <f>SUMIFS(INDEX(元データ_14項目!$D$2:$Q$1300,0,MATCH($B550,元データ_14項目!$D$1:$Q$1,0)),元データ_14項目!$A$2:$A$1300,$A550,元データ_14項目!$B$2:$B$1300,"本年",元データ_14項目!$C$2:$C$1300,J$5)</f>
        <v>154</v>
      </c>
      <c r="K550" s="26">
        <f>SUMIFS(INDEX(元データ_14項目!$D$2:$Q$1300,0,MATCH($B550,元データ_14項目!$D$1:$Q$1,0)),元データ_14項目!$A$2:$A$1300,$A550,元データ_14項目!$B$2:$B$1300,"本年",元データ_14項目!$C$2:$C$1300,K$5)</f>
        <v>245</v>
      </c>
      <c r="L550" s="26">
        <f>SUMIFS(INDEX(元データ_14項目!$D$2:$Q$1300,0,MATCH($B550,元データ_14項目!$D$1:$Q$1,0)),元データ_14項目!$A$2:$A$1300,$A550,元データ_14項目!$B$2:$B$1300,"本年",元データ_14項目!$C$2:$C$1300,L$5)</f>
        <v>81</v>
      </c>
      <c r="M550" s="26">
        <f>SUMIFS(INDEX(元データ_14項目!$D$2:$Q$1300,0,MATCH($B550,元データ_14項目!$D$1:$Q$1,0)),元データ_14項目!$A$2:$A$1300,$A550,元データ_14項目!$B$2:$B$1300,"本年",元データ_14項目!$C$2:$C$1300,M$5)</f>
        <v>69</v>
      </c>
      <c r="N550" s="26">
        <f>SUMIFS(INDEX(元データ_14項目!$D$2:$Q$1300,0,MATCH($B550,元データ_14項目!$D$1:$Q$1,0)),元データ_14項目!$A$2:$A$1300,$A550,元データ_14項目!$B$2:$B$1300,"本年",元データ_14項目!$C$2:$C$1300,N$5)</f>
        <v>23</v>
      </c>
      <c r="O550" s="26">
        <f t="shared" si="16"/>
        <v>663</v>
      </c>
      <c r="P550" s="26">
        <f>SUMIFS(INDEX(元データ_14項目!$D$2:$Q$1300,0,MATCH($B550,元データ_14項目!$D$1:$Q$1,0)),元データ_14項目!$A$2:$A$1300,$A550,元データ_14項目!$B$2:$B$1300,"前年")</f>
        <v>583</v>
      </c>
      <c r="Q550" s="7">
        <f t="shared" si="17"/>
        <v>1.1372212692967409</v>
      </c>
    </row>
    <row r="551" spans="1:17" x14ac:dyDescent="0.45">
      <c r="A551" t="s">
        <v>73</v>
      </c>
      <c r="B551" t="s">
        <v>99</v>
      </c>
      <c r="C551" s="26">
        <f>SUMIFS(INDEX(元データ_14項目!$D$2:$Q$1300,0,MATCH($B551,元データ_14項目!$D$1:$Q$1,0)),元データ_14項目!$A$2:$A$1300,$A551,元データ_14項目!$B$2:$B$1300,"本年",元データ_14項目!$C$2:$C$1300,C$5)</f>
        <v>0</v>
      </c>
      <c r="D551" s="26">
        <f>SUMIFS(INDEX(元データ_14項目!$D$2:$Q$1300,0,MATCH($B551,元データ_14項目!$D$1:$Q$1,0)),元データ_14項目!$A$2:$A$1300,$A551,元データ_14項目!$B$2:$B$1300,"本年",元データ_14項目!$C$2:$C$1300,D$5)</f>
        <v>0</v>
      </c>
      <c r="E551" s="26">
        <f>SUMIFS(INDEX(元データ_14項目!$D$2:$Q$1300,0,MATCH($B551,元データ_14項目!$D$1:$Q$1,0)),元データ_14項目!$A$2:$A$1300,$A551,元データ_14項目!$B$2:$B$1300,"本年",元データ_14項目!$C$2:$C$1300,E$5)</f>
        <v>0</v>
      </c>
      <c r="F551" s="26">
        <f>SUMIFS(INDEX(元データ_14項目!$D$2:$Q$1300,0,MATCH($B551,元データ_14項目!$D$1:$Q$1,0)),元データ_14項目!$A$2:$A$1300,$A551,元データ_14項目!$B$2:$B$1300,"本年",元データ_14項目!$C$2:$C$1300,F$5)</f>
        <v>1</v>
      </c>
      <c r="G551" s="26">
        <f>SUMIFS(INDEX(元データ_14項目!$D$2:$Q$1300,0,MATCH($B551,元データ_14項目!$D$1:$Q$1,0)),元データ_14項目!$A$2:$A$1300,$A551,元データ_14項目!$B$2:$B$1300,"本年",元データ_14項目!$C$2:$C$1300,G$5)</f>
        <v>4</v>
      </c>
      <c r="H551" s="26">
        <f>SUMIFS(INDEX(元データ_14項目!$D$2:$Q$1300,0,MATCH($B551,元データ_14項目!$D$1:$Q$1,0)),元データ_14項目!$A$2:$A$1300,$A551,元データ_14項目!$B$2:$B$1300,"本年",元データ_14項目!$C$2:$C$1300,H$5)</f>
        <v>5</v>
      </c>
      <c r="I551" s="26">
        <f>SUMIFS(INDEX(元データ_14項目!$D$2:$Q$1300,0,MATCH($B551,元データ_14項目!$D$1:$Q$1,0)),元データ_14項目!$A$2:$A$1300,$A551,元データ_14項目!$B$2:$B$1300,"本年",元データ_14項目!$C$2:$C$1300,I$5)</f>
        <v>8</v>
      </c>
      <c r="J551" s="26">
        <f>SUMIFS(INDEX(元データ_14項目!$D$2:$Q$1300,0,MATCH($B551,元データ_14項目!$D$1:$Q$1,0)),元データ_14項目!$A$2:$A$1300,$A551,元データ_14項目!$B$2:$B$1300,"本年",元データ_14項目!$C$2:$C$1300,J$5)</f>
        <v>23</v>
      </c>
      <c r="K551" s="26">
        <f>SUMIFS(INDEX(元データ_14項目!$D$2:$Q$1300,0,MATCH($B551,元データ_14項目!$D$1:$Q$1,0)),元データ_14項目!$A$2:$A$1300,$A551,元データ_14項目!$B$2:$B$1300,"本年",元データ_14項目!$C$2:$C$1300,K$5)</f>
        <v>13</v>
      </c>
      <c r="L551" s="26">
        <f>SUMIFS(INDEX(元データ_14項目!$D$2:$Q$1300,0,MATCH($B551,元データ_14項目!$D$1:$Q$1,0)),元データ_14項目!$A$2:$A$1300,$A551,元データ_14項目!$B$2:$B$1300,"本年",元データ_14項目!$C$2:$C$1300,L$5)</f>
        <v>4</v>
      </c>
      <c r="M551" s="26">
        <f>SUMIFS(INDEX(元データ_14項目!$D$2:$Q$1300,0,MATCH($B551,元データ_14項目!$D$1:$Q$1,0)),元データ_14項目!$A$2:$A$1300,$A551,元データ_14項目!$B$2:$B$1300,"本年",元データ_14項目!$C$2:$C$1300,M$5)</f>
        <v>3</v>
      </c>
      <c r="N551" s="26">
        <f>SUMIFS(INDEX(元データ_14項目!$D$2:$Q$1300,0,MATCH($B551,元データ_14項目!$D$1:$Q$1,0)),元データ_14項目!$A$2:$A$1300,$A551,元データ_14項目!$B$2:$B$1300,"本年",元データ_14項目!$C$2:$C$1300,N$5)</f>
        <v>0</v>
      </c>
      <c r="O551" s="26">
        <f t="shared" si="16"/>
        <v>61</v>
      </c>
      <c r="P551" s="26">
        <f>SUMIFS(INDEX(元データ_14項目!$D$2:$Q$1300,0,MATCH($B551,元データ_14項目!$D$1:$Q$1,0)),元データ_14項目!$A$2:$A$1300,$A551,元データ_14項目!$B$2:$B$1300,"前年")</f>
        <v>67</v>
      </c>
      <c r="Q551" s="7">
        <f t="shared" si="17"/>
        <v>0.91044776119402981</v>
      </c>
    </row>
    <row r="552" spans="1:17" x14ac:dyDescent="0.45">
      <c r="A552" t="s">
        <v>74</v>
      </c>
      <c r="B552" t="s">
        <v>27</v>
      </c>
      <c r="C552" s="26">
        <f>SUMIFS(INDEX(元データ_14項目!$D$2:$Q$1300,0,MATCH($B552,元データ_14項目!$D$1:$Q$1,0)),元データ_14項目!$A$2:$A$1300,$A552,元データ_14項目!$B$2:$B$1300,"本年",元データ_14項目!$C$2:$C$1300,C$5)</f>
        <v>612</v>
      </c>
      <c r="D552" s="26">
        <f>SUMIFS(INDEX(元データ_14項目!$D$2:$Q$1300,0,MATCH($B552,元データ_14項目!$D$1:$Q$1,0)),元データ_14項目!$A$2:$A$1300,$A552,元データ_14項目!$B$2:$B$1300,"本年",元データ_14項目!$C$2:$C$1300,D$5)</f>
        <v>846</v>
      </c>
      <c r="E552" s="26">
        <f>SUMIFS(INDEX(元データ_14項目!$D$2:$Q$1300,0,MATCH($B552,元データ_14項目!$D$1:$Q$1,0)),元データ_14項目!$A$2:$A$1300,$A552,元データ_14項目!$B$2:$B$1300,"本年",元データ_14項目!$C$2:$C$1300,E$5)</f>
        <v>926</v>
      </c>
      <c r="F552" s="26">
        <f>SUMIFS(INDEX(元データ_14項目!$D$2:$Q$1300,0,MATCH($B552,元データ_14項目!$D$1:$Q$1,0)),元データ_14項目!$A$2:$A$1300,$A552,元データ_14項目!$B$2:$B$1300,"本年",元データ_14項目!$C$2:$C$1300,F$5)</f>
        <v>782</v>
      </c>
      <c r="G552" s="26">
        <f>SUMIFS(INDEX(元データ_14項目!$D$2:$Q$1300,0,MATCH($B552,元データ_14項目!$D$1:$Q$1,0)),元データ_14項目!$A$2:$A$1300,$A552,元データ_14項目!$B$2:$B$1300,"本年",元データ_14項目!$C$2:$C$1300,G$5)</f>
        <v>818</v>
      </c>
      <c r="H552" s="26">
        <f>SUMIFS(INDEX(元データ_14項目!$D$2:$Q$1300,0,MATCH($B552,元データ_14項目!$D$1:$Q$1,0)),元データ_14項目!$A$2:$A$1300,$A552,元データ_14項目!$B$2:$B$1300,"本年",元データ_14項目!$C$2:$C$1300,H$5)</f>
        <v>624</v>
      </c>
      <c r="I552" s="26">
        <f>SUMIFS(INDEX(元データ_14項目!$D$2:$Q$1300,0,MATCH($B552,元データ_14項目!$D$1:$Q$1,0)),元データ_14項目!$A$2:$A$1300,$A552,元データ_14項目!$B$2:$B$1300,"本年",元データ_14項目!$C$2:$C$1300,I$5)</f>
        <v>623</v>
      </c>
      <c r="J552" s="26">
        <f>SUMIFS(INDEX(元データ_14項目!$D$2:$Q$1300,0,MATCH($B552,元データ_14項目!$D$1:$Q$1,0)),元データ_14項目!$A$2:$A$1300,$A552,元データ_14項目!$B$2:$B$1300,"本年",元データ_14項目!$C$2:$C$1300,J$5)</f>
        <v>914</v>
      </c>
      <c r="K552" s="26">
        <f>SUMIFS(INDEX(元データ_14項目!$D$2:$Q$1300,0,MATCH($B552,元データ_14項目!$D$1:$Q$1,0)),元データ_14項目!$A$2:$A$1300,$A552,元データ_14項目!$B$2:$B$1300,"本年",元データ_14項目!$C$2:$C$1300,K$5)</f>
        <v>756</v>
      </c>
      <c r="L552" s="26">
        <f>SUMIFS(INDEX(元データ_14項目!$D$2:$Q$1300,0,MATCH($B552,元データ_14項目!$D$1:$Q$1,0)),元データ_14項目!$A$2:$A$1300,$A552,元データ_14項目!$B$2:$B$1300,"本年",元データ_14項目!$C$2:$C$1300,L$5)</f>
        <v>676</v>
      </c>
      <c r="M552" s="26">
        <f>SUMIFS(INDEX(元データ_14項目!$D$2:$Q$1300,0,MATCH($B552,元データ_14項目!$D$1:$Q$1,0)),元データ_14項目!$A$2:$A$1300,$A552,元データ_14項目!$B$2:$B$1300,"本年",元データ_14項目!$C$2:$C$1300,M$5)</f>
        <v>691</v>
      </c>
      <c r="N552" s="26">
        <f>SUMIFS(INDEX(元データ_14項目!$D$2:$Q$1300,0,MATCH($B552,元データ_14項目!$D$1:$Q$1,0)),元データ_14項目!$A$2:$A$1300,$A552,元データ_14項目!$B$2:$B$1300,"本年",元データ_14項目!$C$2:$C$1300,N$5)</f>
        <v>602</v>
      </c>
      <c r="O552" s="26">
        <f t="shared" si="16"/>
        <v>8870</v>
      </c>
      <c r="P552" s="26">
        <f>SUMIFS(INDEX(元データ_14項目!$D$2:$Q$1300,0,MATCH($B552,元データ_14項目!$D$1:$Q$1,0)),元データ_14項目!$A$2:$A$1300,$A552,元データ_14項目!$B$2:$B$1300,"前年")</f>
        <v>10737</v>
      </c>
      <c r="Q552" s="7">
        <f t="shared" si="17"/>
        <v>0.82611530222594765</v>
      </c>
    </row>
    <row r="553" spans="1:17" x14ac:dyDescent="0.45">
      <c r="A553" t="s">
        <v>74</v>
      </c>
      <c r="B553" t="s">
        <v>88</v>
      </c>
      <c r="C553" s="26">
        <f>SUMIFS(INDEX(元データ_14項目!$D$2:$Q$1300,0,MATCH($B553,元データ_14項目!$D$1:$Q$1,0)),元データ_14項目!$A$2:$A$1300,$A553,元データ_14項目!$B$2:$B$1300,"本年",元データ_14項目!$C$2:$C$1300,C$5)</f>
        <v>27</v>
      </c>
      <c r="D553" s="26">
        <f>SUMIFS(INDEX(元データ_14項目!$D$2:$Q$1300,0,MATCH($B553,元データ_14項目!$D$1:$Q$1,0)),元データ_14項目!$A$2:$A$1300,$A553,元データ_14項目!$B$2:$B$1300,"本年",元データ_14項目!$C$2:$C$1300,D$5)</f>
        <v>26</v>
      </c>
      <c r="E553" s="26">
        <f>SUMIFS(INDEX(元データ_14項目!$D$2:$Q$1300,0,MATCH($B553,元データ_14項目!$D$1:$Q$1,0)),元データ_14項目!$A$2:$A$1300,$A553,元データ_14項目!$B$2:$B$1300,"本年",元データ_14項目!$C$2:$C$1300,E$5)</f>
        <v>63</v>
      </c>
      <c r="F553" s="26">
        <f>SUMIFS(INDEX(元データ_14項目!$D$2:$Q$1300,0,MATCH($B553,元データ_14項目!$D$1:$Q$1,0)),元データ_14項目!$A$2:$A$1300,$A553,元データ_14項目!$B$2:$B$1300,"本年",元データ_14項目!$C$2:$C$1300,F$5)</f>
        <v>23</v>
      </c>
      <c r="G553" s="26">
        <f>SUMIFS(INDEX(元データ_14項目!$D$2:$Q$1300,0,MATCH($B553,元データ_14項目!$D$1:$Q$1,0)),元データ_14項目!$A$2:$A$1300,$A553,元データ_14項目!$B$2:$B$1300,"本年",元データ_14項目!$C$2:$C$1300,G$5)</f>
        <v>40</v>
      </c>
      <c r="H553" s="26">
        <f>SUMIFS(INDEX(元データ_14項目!$D$2:$Q$1300,0,MATCH($B553,元データ_14項目!$D$1:$Q$1,0)),元データ_14項目!$A$2:$A$1300,$A553,元データ_14項目!$B$2:$B$1300,"本年",元データ_14項目!$C$2:$C$1300,H$5)</f>
        <v>10</v>
      </c>
      <c r="I553" s="26">
        <f>SUMIFS(INDEX(元データ_14項目!$D$2:$Q$1300,0,MATCH($B553,元データ_14項目!$D$1:$Q$1,0)),元データ_14項目!$A$2:$A$1300,$A553,元データ_14項目!$B$2:$B$1300,"本年",元データ_14項目!$C$2:$C$1300,I$5)</f>
        <v>7</v>
      </c>
      <c r="J553" s="26">
        <f>SUMIFS(INDEX(元データ_14項目!$D$2:$Q$1300,0,MATCH($B553,元データ_14項目!$D$1:$Q$1,0)),元データ_14項目!$A$2:$A$1300,$A553,元データ_14項目!$B$2:$B$1300,"本年",元データ_14項目!$C$2:$C$1300,J$5)</f>
        <v>31</v>
      </c>
      <c r="K553" s="26">
        <f>SUMIFS(INDEX(元データ_14項目!$D$2:$Q$1300,0,MATCH($B553,元データ_14項目!$D$1:$Q$1,0)),元データ_14項目!$A$2:$A$1300,$A553,元データ_14項目!$B$2:$B$1300,"本年",元データ_14項目!$C$2:$C$1300,K$5)</f>
        <v>29</v>
      </c>
      <c r="L553" s="26">
        <f>SUMIFS(INDEX(元データ_14項目!$D$2:$Q$1300,0,MATCH($B553,元データ_14項目!$D$1:$Q$1,0)),元データ_14項目!$A$2:$A$1300,$A553,元データ_14項目!$B$2:$B$1300,"本年",元データ_14項目!$C$2:$C$1300,L$5)</f>
        <v>32</v>
      </c>
      <c r="M553" s="26">
        <f>SUMIFS(INDEX(元データ_14項目!$D$2:$Q$1300,0,MATCH($B553,元データ_14項目!$D$1:$Q$1,0)),元データ_14項目!$A$2:$A$1300,$A553,元データ_14項目!$B$2:$B$1300,"本年",元データ_14項目!$C$2:$C$1300,M$5)</f>
        <v>53</v>
      </c>
      <c r="N553" s="26">
        <f>SUMIFS(INDEX(元データ_14項目!$D$2:$Q$1300,0,MATCH($B553,元データ_14項目!$D$1:$Q$1,0)),元データ_14項目!$A$2:$A$1300,$A553,元データ_14項目!$B$2:$B$1300,"本年",元データ_14項目!$C$2:$C$1300,N$5)</f>
        <v>24</v>
      </c>
      <c r="O553" s="26">
        <f t="shared" si="16"/>
        <v>365</v>
      </c>
      <c r="P553" s="26">
        <f>SUMIFS(INDEX(元データ_14項目!$D$2:$Q$1300,0,MATCH($B553,元データ_14項目!$D$1:$Q$1,0)),元データ_14項目!$A$2:$A$1300,$A553,元データ_14項目!$B$2:$B$1300,"前年")</f>
        <v>421</v>
      </c>
      <c r="Q553" s="7">
        <f t="shared" si="17"/>
        <v>0.8669833729216152</v>
      </c>
    </row>
    <row r="554" spans="1:17" x14ac:dyDescent="0.45">
      <c r="A554" t="s">
        <v>74</v>
      </c>
      <c r="B554" t="s">
        <v>89</v>
      </c>
      <c r="C554" s="26">
        <f>SUMIFS(INDEX(元データ_14項目!$D$2:$Q$1300,0,MATCH($B554,元データ_14項目!$D$1:$Q$1,0)),元データ_14項目!$A$2:$A$1300,$A554,元データ_14項目!$B$2:$B$1300,"本年",元データ_14項目!$C$2:$C$1300,C$5)</f>
        <v>45</v>
      </c>
      <c r="D554" s="26">
        <f>SUMIFS(INDEX(元データ_14項目!$D$2:$Q$1300,0,MATCH($B554,元データ_14項目!$D$1:$Q$1,0)),元データ_14項目!$A$2:$A$1300,$A554,元データ_14項目!$B$2:$B$1300,"本年",元データ_14項目!$C$2:$C$1300,D$5)</f>
        <v>46</v>
      </c>
      <c r="E554" s="26">
        <f>SUMIFS(INDEX(元データ_14項目!$D$2:$Q$1300,0,MATCH($B554,元データ_14項目!$D$1:$Q$1,0)),元データ_14項目!$A$2:$A$1300,$A554,元データ_14項目!$B$2:$B$1300,"本年",元データ_14項目!$C$2:$C$1300,E$5)</f>
        <v>61</v>
      </c>
      <c r="F554" s="26">
        <f>SUMIFS(INDEX(元データ_14項目!$D$2:$Q$1300,0,MATCH($B554,元データ_14項目!$D$1:$Q$1,0)),元データ_14項目!$A$2:$A$1300,$A554,元データ_14項目!$B$2:$B$1300,"本年",元データ_14項目!$C$2:$C$1300,F$5)</f>
        <v>46</v>
      </c>
      <c r="G554" s="26">
        <f>SUMIFS(INDEX(元データ_14項目!$D$2:$Q$1300,0,MATCH($B554,元データ_14項目!$D$1:$Q$1,0)),元データ_14項目!$A$2:$A$1300,$A554,元データ_14項目!$B$2:$B$1300,"本年",元データ_14項目!$C$2:$C$1300,G$5)</f>
        <v>50</v>
      </c>
      <c r="H554" s="26">
        <f>SUMIFS(INDEX(元データ_14項目!$D$2:$Q$1300,0,MATCH($B554,元データ_14項目!$D$1:$Q$1,0)),元データ_14項目!$A$2:$A$1300,$A554,元データ_14項目!$B$2:$B$1300,"本年",元データ_14項目!$C$2:$C$1300,H$5)</f>
        <v>25</v>
      </c>
      <c r="I554" s="26">
        <f>SUMIFS(INDEX(元データ_14項目!$D$2:$Q$1300,0,MATCH($B554,元データ_14項目!$D$1:$Q$1,0)),元データ_14項目!$A$2:$A$1300,$A554,元データ_14項目!$B$2:$B$1300,"本年",元データ_14項目!$C$2:$C$1300,I$5)</f>
        <v>15</v>
      </c>
      <c r="J554" s="26">
        <f>SUMIFS(INDEX(元データ_14項目!$D$2:$Q$1300,0,MATCH($B554,元データ_14項目!$D$1:$Q$1,0)),元データ_14項目!$A$2:$A$1300,$A554,元データ_14項目!$B$2:$B$1300,"本年",元データ_14項目!$C$2:$C$1300,J$5)</f>
        <v>59</v>
      </c>
      <c r="K554" s="26">
        <f>SUMIFS(INDEX(元データ_14項目!$D$2:$Q$1300,0,MATCH($B554,元データ_14項目!$D$1:$Q$1,0)),元データ_14項目!$A$2:$A$1300,$A554,元データ_14項目!$B$2:$B$1300,"本年",元データ_14項目!$C$2:$C$1300,K$5)</f>
        <v>55</v>
      </c>
      <c r="L554" s="26">
        <f>SUMIFS(INDEX(元データ_14項目!$D$2:$Q$1300,0,MATCH($B554,元データ_14項目!$D$1:$Q$1,0)),元データ_14項目!$A$2:$A$1300,$A554,元データ_14項目!$B$2:$B$1300,"本年",元データ_14項目!$C$2:$C$1300,L$5)</f>
        <v>53</v>
      </c>
      <c r="M554" s="26">
        <f>SUMIFS(INDEX(元データ_14項目!$D$2:$Q$1300,0,MATCH($B554,元データ_14項目!$D$1:$Q$1,0)),元データ_14項目!$A$2:$A$1300,$A554,元データ_14項目!$B$2:$B$1300,"本年",元データ_14項目!$C$2:$C$1300,M$5)</f>
        <v>52</v>
      </c>
      <c r="N554" s="26">
        <f>SUMIFS(INDEX(元データ_14項目!$D$2:$Q$1300,0,MATCH($B554,元データ_14項目!$D$1:$Q$1,0)),元データ_14項目!$A$2:$A$1300,$A554,元データ_14項目!$B$2:$B$1300,"本年",元データ_14項目!$C$2:$C$1300,N$5)</f>
        <v>38</v>
      </c>
      <c r="O554" s="26">
        <f t="shared" si="16"/>
        <v>545</v>
      </c>
      <c r="P554" s="26">
        <f>SUMIFS(INDEX(元データ_14項目!$D$2:$Q$1300,0,MATCH($B554,元データ_14項目!$D$1:$Q$1,0)),元データ_14項目!$A$2:$A$1300,$A554,元データ_14項目!$B$2:$B$1300,"前年")</f>
        <v>585</v>
      </c>
      <c r="Q554" s="7">
        <f t="shared" si="17"/>
        <v>0.93162393162393164</v>
      </c>
    </row>
    <row r="555" spans="1:17" x14ac:dyDescent="0.45">
      <c r="A555" t="s">
        <v>74</v>
      </c>
      <c r="B555" t="s">
        <v>90</v>
      </c>
      <c r="C555" s="26">
        <f>SUMIFS(INDEX(元データ_14項目!$D$2:$Q$1300,0,MATCH($B555,元データ_14項目!$D$1:$Q$1,0)),元データ_14項目!$A$2:$A$1300,$A555,元データ_14項目!$B$2:$B$1300,"本年",元データ_14項目!$C$2:$C$1300,C$5)</f>
        <v>68</v>
      </c>
      <c r="D555" s="26">
        <f>SUMIFS(INDEX(元データ_14項目!$D$2:$Q$1300,0,MATCH($B555,元データ_14項目!$D$1:$Q$1,0)),元データ_14項目!$A$2:$A$1300,$A555,元データ_14項目!$B$2:$B$1300,"本年",元データ_14項目!$C$2:$C$1300,D$5)</f>
        <v>53</v>
      </c>
      <c r="E555" s="26">
        <f>SUMIFS(INDEX(元データ_14項目!$D$2:$Q$1300,0,MATCH($B555,元データ_14項目!$D$1:$Q$1,0)),元データ_14項目!$A$2:$A$1300,$A555,元データ_14項目!$B$2:$B$1300,"本年",元データ_14項目!$C$2:$C$1300,E$5)</f>
        <v>81</v>
      </c>
      <c r="F555" s="26">
        <f>SUMIFS(INDEX(元データ_14項目!$D$2:$Q$1300,0,MATCH($B555,元データ_14項目!$D$1:$Q$1,0)),元データ_14項目!$A$2:$A$1300,$A555,元データ_14項目!$B$2:$B$1300,"本年",元データ_14項目!$C$2:$C$1300,F$5)</f>
        <v>126</v>
      </c>
      <c r="G555" s="26">
        <f>SUMIFS(INDEX(元データ_14項目!$D$2:$Q$1300,0,MATCH($B555,元データ_14項目!$D$1:$Q$1,0)),元データ_14項目!$A$2:$A$1300,$A555,元データ_14項目!$B$2:$B$1300,"本年",元データ_14項目!$C$2:$C$1300,G$5)</f>
        <v>153</v>
      </c>
      <c r="H555" s="26">
        <f>SUMIFS(INDEX(元データ_14項目!$D$2:$Q$1300,0,MATCH($B555,元データ_14項目!$D$1:$Q$1,0)),元データ_14項目!$A$2:$A$1300,$A555,元データ_14項目!$B$2:$B$1300,"本年",元データ_14項目!$C$2:$C$1300,H$5)</f>
        <v>106</v>
      </c>
      <c r="I555" s="26">
        <f>SUMIFS(INDEX(元データ_14項目!$D$2:$Q$1300,0,MATCH($B555,元データ_14項目!$D$1:$Q$1,0)),元データ_14項目!$A$2:$A$1300,$A555,元データ_14項目!$B$2:$B$1300,"本年",元データ_14項目!$C$2:$C$1300,I$5)</f>
        <v>64</v>
      </c>
      <c r="J555" s="26">
        <f>SUMIFS(INDEX(元データ_14項目!$D$2:$Q$1300,0,MATCH($B555,元データ_14項目!$D$1:$Q$1,0)),元データ_14項目!$A$2:$A$1300,$A555,元データ_14項目!$B$2:$B$1300,"本年",元データ_14項目!$C$2:$C$1300,J$5)</f>
        <v>124</v>
      </c>
      <c r="K555" s="26">
        <f>SUMIFS(INDEX(元データ_14項目!$D$2:$Q$1300,0,MATCH($B555,元データ_14項目!$D$1:$Q$1,0)),元データ_14項目!$A$2:$A$1300,$A555,元データ_14項目!$B$2:$B$1300,"本年",元データ_14項目!$C$2:$C$1300,K$5)</f>
        <v>200</v>
      </c>
      <c r="L555" s="26">
        <f>SUMIFS(INDEX(元データ_14項目!$D$2:$Q$1300,0,MATCH($B555,元データ_14項目!$D$1:$Q$1,0)),元データ_14項目!$A$2:$A$1300,$A555,元データ_14項目!$B$2:$B$1300,"本年",元データ_14項目!$C$2:$C$1300,L$5)</f>
        <v>145</v>
      </c>
      <c r="M555" s="26">
        <f>SUMIFS(INDEX(元データ_14項目!$D$2:$Q$1300,0,MATCH($B555,元データ_14項目!$D$1:$Q$1,0)),元データ_14項目!$A$2:$A$1300,$A555,元データ_14項目!$B$2:$B$1300,"本年",元データ_14項目!$C$2:$C$1300,M$5)</f>
        <v>118</v>
      </c>
      <c r="N555" s="26">
        <f>SUMIFS(INDEX(元データ_14項目!$D$2:$Q$1300,0,MATCH($B555,元データ_14項目!$D$1:$Q$1,0)),元データ_14項目!$A$2:$A$1300,$A555,元データ_14項目!$B$2:$B$1300,"本年",元データ_14項目!$C$2:$C$1300,N$5)</f>
        <v>82</v>
      </c>
      <c r="O555" s="26">
        <f t="shared" si="16"/>
        <v>1320</v>
      </c>
      <c r="P555" s="26">
        <f>SUMIFS(INDEX(元データ_14項目!$D$2:$Q$1300,0,MATCH($B555,元データ_14項目!$D$1:$Q$1,0)),元データ_14項目!$A$2:$A$1300,$A555,元データ_14項目!$B$2:$B$1300,"前年")</f>
        <v>1354</v>
      </c>
      <c r="Q555" s="7">
        <f t="shared" si="17"/>
        <v>0.97488921713441656</v>
      </c>
    </row>
    <row r="556" spans="1:17" x14ac:dyDescent="0.45">
      <c r="A556" t="s">
        <v>74</v>
      </c>
      <c r="B556" t="s">
        <v>91</v>
      </c>
      <c r="C556" s="26">
        <f>SUMIFS(INDEX(元データ_14項目!$D$2:$Q$1300,0,MATCH($B556,元データ_14項目!$D$1:$Q$1,0)),元データ_14項目!$A$2:$A$1300,$A556,元データ_14項目!$B$2:$B$1300,"本年",元データ_14項目!$C$2:$C$1300,C$5)</f>
        <v>17</v>
      </c>
      <c r="D556" s="26">
        <f>SUMIFS(INDEX(元データ_14項目!$D$2:$Q$1300,0,MATCH($B556,元データ_14項目!$D$1:$Q$1,0)),元データ_14項目!$A$2:$A$1300,$A556,元データ_14項目!$B$2:$B$1300,"本年",元データ_14項目!$C$2:$C$1300,D$5)</f>
        <v>36</v>
      </c>
      <c r="E556" s="26">
        <f>SUMIFS(INDEX(元データ_14項目!$D$2:$Q$1300,0,MATCH($B556,元データ_14項目!$D$1:$Q$1,0)),元データ_14項目!$A$2:$A$1300,$A556,元データ_14項目!$B$2:$B$1300,"本年",元データ_14項目!$C$2:$C$1300,E$5)</f>
        <v>90</v>
      </c>
      <c r="F556" s="26">
        <f>SUMIFS(INDEX(元データ_14項目!$D$2:$Q$1300,0,MATCH($B556,元データ_14項目!$D$1:$Q$1,0)),元データ_14項目!$A$2:$A$1300,$A556,元データ_14項目!$B$2:$B$1300,"本年",元データ_14項目!$C$2:$C$1300,F$5)</f>
        <v>76</v>
      </c>
      <c r="G556" s="26">
        <f>SUMIFS(INDEX(元データ_14項目!$D$2:$Q$1300,0,MATCH($B556,元データ_14項目!$D$1:$Q$1,0)),元データ_14項目!$A$2:$A$1300,$A556,元データ_14項目!$B$2:$B$1300,"本年",元データ_14項目!$C$2:$C$1300,G$5)</f>
        <v>45</v>
      </c>
      <c r="H556" s="26">
        <f>SUMIFS(INDEX(元データ_14項目!$D$2:$Q$1300,0,MATCH($B556,元データ_14項目!$D$1:$Q$1,0)),元データ_14項目!$A$2:$A$1300,$A556,元データ_14項目!$B$2:$B$1300,"本年",元データ_14項目!$C$2:$C$1300,H$5)</f>
        <v>14</v>
      </c>
      <c r="I556" s="26">
        <f>SUMIFS(INDEX(元データ_14項目!$D$2:$Q$1300,0,MATCH($B556,元データ_14項目!$D$1:$Q$1,0)),元データ_14項目!$A$2:$A$1300,$A556,元データ_14項目!$B$2:$B$1300,"本年",元データ_14項目!$C$2:$C$1300,I$5)</f>
        <v>35</v>
      </c>
      <c r="J556" s="26">
        <f>SUMIFS(INDEX(元データ_14項目!$D$2:$Q$1300,0,MATCH($B556,元データ_14項目!$D$1:$Q$1,0)),元データ_14項目!$A$2:$A$1300,$A556,元データ_14項目!$B$2:$B$1300,"本年",元データ_14項目!$C$2:$C$1300,J$5)</f>
        <v>29</v>
      </c>
      <c r="K556" s="26">
        <f>SUMIFS(INDEX(元データ_14項目!$D$2:$Q$1300,0,MATCH($B556,元データ_14項目!$D$1:$Q$1,0)),元データ_14項目!$A$2:$A$1300,$A556,元データ_14項目!$B$2:$B$1300,"本年",元データ_14項目!$C$2:$C$1300,K$5)</f>
        <v>42</v>
      </c>
      <c r="L556" s="26">
        <f>SUMIFS(INDEX(元データ_14項目!$D$2:$Q$1300,0,MATCH($B556,元データ_14項目!$D$1:$Q$1,0)),元データ_14項目!$A$2:$A$1300,$A556,元データ_14項目!$B$2:$B$1300,"本年",元データ_14項目!$C$2:$C$1300,L$5)</f>
        <v>35</v>
      </c>
      <c r="M556" s="26">
        <f>SUMIFS(INDEX(元データ_14項目!$D$2:$Q$1300,0,MATCH($B556,元データ_14項目!$D$1:$Q$1,0)),元データ_14項目!$A$2:$A$1300,$A556,元データ_14項目!$B$2:$B$1300,"本年",元データ_14項目!$C$2:$C$1300,M$5)</f>
        <v>33</v>
      </c>
      <c r="N556" s="26">
        <f>SUMIFS(INDEX(元データ_14項目!$D$2:$Q$1300,0,MATCH($B556,元データ_14項目!$D$1:$Q$1,0)),元データ_14項目!$A$2:$A$1300,$A556,元データ_14項目!$B$2:$B$1300,"本年",元データ_14項目!$C$2:$C$1300,N$5)</f>
        <v>29</v>
      </c>
      <c r="O556" s="26">
        <f t="shared" si="16"/>
        <v>481</v>
      </c>
      <c r="P556" s="26">
        <f>SUMIFS(INDEX(元データ_14項目!$D$2:$Q$1300,0,MATCH($B556,元データ_14項目!$D$1:$Q$1,0)),元データ_14項目!$A$2:$A$1300,$A556,元データ_14項目!$B$2:$B$1300,"前年")</f>
        <v>413</v>
      </c>
      <c r="Q556" s="7">
        <f t="shared" si="17"/>
        <v>1.1646489104116222</v>
      </c>
    </row>
    <row r="557" spans="1:17" x14ac:dyDescent="0.45">
      <c r="A557" t="s">
        <v>74</v>
      </c>
      <c r="B557" t="s">
        <v>28</v>
      </c>
      <c r="C557" s="26">
        <f>SUMIFS(INDEX(元データ_14項目!$D$2:$Q$1300,0,MATCH($B557,元データ_14項目!$D$1:$Q$1,0)),元データ_14項目!$A$2:$A$1300,$A557,元データ_14項目!$B$2:$B$1300,"本年",元データ_14項目!$C$2:$C$1300,C$5)</f>
        <v>169</v>
      </c>
      <c r="D557" s="26">
        <f>SUMIFS(INDEX(元データ_14項目!$D$2:$Q$1300,0,MATCH($B557,元データ_14項目!$D$1:$Q$1,0)),元データ_14項目!$A$2:$A$1300,$A557,元データ_14項目!$B$2:$B$1300,"本年",元データ_14項目!$C$2:$C$1300,D$5)</f>
        <v>185</v>
      </c>
      <c r="E557" s="26">
        <f>SUMIFS(INDEX(元データ_14項目!$D$2:$Q$1300,0,MATCH($B557,元データ_14項目!$D$1:$Q$1,0)),元データ_14項目!$A$2:$A$1300,$A557,元データ_14項目!$B$2:$B$1300,"本年",元データ_14項目!$C$2:$C$1300,E$5)</f>
        <v>297</v>
      </c>
      <c r="F557" s="26">
        <f>SUMIFS(INDEX(元データ_14項目!$D$2:$Q$1300,0,MATCH($B557,元データ_14項目!$D$1:$Q$1,0)),元データ_14項目!$A$2:$A$1300,$A557,元データ_14項目!$B$2:$B$1300,"本年",元データ_14項目!$C$2:$C$1300,F$5)</f>
        <v>271</v>
      </c>
      <c r="G557" s="26">
        <f>SUMIFS(INDEX(元データ_14項目!$D$2:$Q$1300,0,MATCH($B557,元データ_14項目!$D$1:$Q$1,0)),元データ_14項目!$A$2:$A$1300,$A557,元データ_14項目!$B$2:$B$1300,"本年",元データ_14項目!$C$2:$C$1300,G$5)</f>
        <v>202</v>
      </c>
      <c r="H557" s="26">
        <f>SUMIFS(INDEX(元データ_14項目!$D$2:$Q$1300,0,MATCH($B557,元データ_14項目!$D$1:$Q$1,0)),元データ_14項目!$A$2:$A$1300,$A557,元データ_14項目!$B$2:$B$1300,"本年",元データ_14項目!$C$2:$C$1300,H$5)</f>
        <v>110</v>
      </c>
      <c r="I557" s="26">
        <f>SUMIFS(INDEX(元データ_14項目!$D$2:$Q$1300,0,MATCH($B557,元データ_14項目!$D$1:$Q$1,0)),元データ_14項目!$A$2:$A$1300,$A557,元データ_14項目!$B$2:$B$1300,"本年",元データ_14項目!$C$2:$C$1300,I$5)</f>
        <v>120</v>
      </c>
      <c r="J557" s="26">
        <f>SUMIFS(INDEX(元データ_14項目!$D$2:$Q$1300,0,MATCH($B557,元データ_14項目!$D$1:$Q$1,0)),元データ_14項目!$A$2:$A$1300,$A557,元データ_14項目!$B$2:$B$1300,"本年",元データ_14項目!$C$2:$C$1300,J$5)</f>
        <v>152</v>
      </c>
      <c r="K557" s="26">
        <f>SUMIFS(INDEX(元データ_14項目!$D$2:$Q$1300,0,MATCH($B557,元データ_14項目!$D$1:$Q$1,0)),元データ_14項目!$A$2:$A$1300,$A557,元データ_14項目!$B$2:$B$1300,"本年",元データ_14項目!$C$2:$C$1300,K$5)</f>
        <v>219</v>
      </c>
      <c r="L557" s="26">
        <f>SUMIFS(INDEX(元データ_14項目!$D$2:$Q$1300,0,MATCH($B557,元データ_14項目!$D$1:$Q$1,0)),元データ_14項目!$A$2:$A$1300,$A557,元データ_14項目!$B$2:$B$1300,"本年",元データ_14項目!$C$2:$C$1300,L$5)</f>
        <v>180</v>
      </c>
      <c r="M557" s="26">
        <f>SUMIFS(INDEX(元データ_14項目!$D$2:$Q$1300,0,MATCH($B557,元データ_14項目!$D$1:$Q$1,0)),元データ_14項目!$A$2:$A$1300,$A557,元データ_14項目!$B$2:$B$1300,"本年",元データ_14項目!$C$2:$C$1300,M$5)</f>
        <v>230</v>
      </c>
      <c r="N557" s="26">
        <f>SUMIFS(INDEX(元データ_14項目!$D$2:$Q$1300,0,MATCH($B557,元データ_14項目!$D$1:$Q$1,0)),元データ_14項目!$A$2:$A$1300,$A557,元データ_14項目!$B$2:$B$1300,"本年",元データ_14項目!$C$2:$C$1300,N$5)</f>
        <v>204</v>
      </c>
      <c r="O557" s="26">
        <f t="shared" si="16"/>
        <v>2339</v>
      </c>
      <c r="P557" s="26">
        <f>SUMIFS(INDEX(元データ_14項目!$D$2:$Q$1300,0,MATCH($B557,元データ_14項目!$D$1:$Q$1,0)),元データ_14項目!$A$2:$A$1300,$A557,元データ_14項目!$B$2:$B$1300,"前年")</f>
        <v>2317</v>
      </c>
      <c r="Q557" s="7">
        <f t="shared" si="17"/>
        <v>1.009495036685369</v>
      </c>
    </row>
    <row r="558" spans="1:17" x14ac:dyDescent="0.45">
      <c r="A558" t="s">
        <v>74</v>
      </c>
      <c r="B558" t="s">
        <v>92</v>
      </c>
      <c r="C558" s="26">
        <f>SUMIFS(INDEX(元データ_14項目!$D$2:$Q$1300,0,MATCH($B558,元データ_14項目!$D$1:$Q$1,0)),元データ_14項目!$A$2:$A$1300,$A558,元データ_14項目!$B$2:$B$1300,"本年",元データ_14項目!$C$2:$C$1300,C$5)</f>
        <v>35</v>
      </c>
      <c r="D558" s="26">
        <f>SUMIFS(INDEX(元データ_14項目!$D$2:$Q$1300,0,MATCH($B558,元データ_14項目!$D$1:$Q$1,0)),元データ_14項目!$A$2:$A$1300,$A558,元データ_14項目!$B$2:$B$1300,"本年",元データ_14項目!$C$2:$C$1300,D$5)</f>
        <v>26</v>
      </c>
      <c r="E558" s="26">
        <f>SUMIFS(INDEX(元データ_14項目!$D$2:$Q$1300,0,MATCH($B558,元データ_14項目!$D$1:$Q$1,0)),元データ_14項目!$A$2:$A$1300,$A558,元データ_14項目!$B$2:$B$1300,"本年",元データ_14項目!$C$2:$C$1300,E$5)</f>
        <v>44</v>
      </c>
      <c r="F558" s="26">
        <f>SUMIFS(INDEX(元データ_14項目!$D$2:$Q$1300,0,MATCH($B558,元データ_14項目!$D$1:$Q$1,0)),元データ_14項目!$A$2:$A$1300,$A558,元データ_14項目!$B$2:$B$1300,"本年",元データ_14項目!$C$2:$C$1300,F$5)</f>
        <v>31</v>
      </c>
      <c r="G558" s="26">
        <f>SUMIFS(INDEX(元データ_14項目!$D$2:$Q$1300,0,MATCH($B558,元データ_14項目!$D$1:$Q$1,0)),元データ_14項目!$A$2:$A$1300,$A558,元データ_14項目!$B$2:$B$1300,"本年",元データ_14項目!$C$2:$C$1300,G$5)</f>
        <v>46</v>
      </c>
      <c r="H558" s="26">
        <f>SUMIFS(INDEX(元データ_14項目!$D$2:$Q$1300,0,MATCH($B558,元データ_14項目!$D$1:$Q$1,0)),元データ_14項目!$A$2:$A$1300,$A558,元データ_14項目!$B$2:$B$1300,"本年",元データ_14項目!$C$2:$C$1300,H$5)</f>
        <v>35</v>
      </c>
      <c r="I558" s="26">
        <f>SUMIFS(INDEX(元データ_14項目!$D$2:$Q$1300,0,MATCH($B558,元データ_14項目!$D$1:$Q$1,0)),元データ_14項目!$A$2:$A$1300,$A558,元データ_14項目!$B$2:$B$1300,"本年",元データ_14項目!$C$2:$C$1300,I$5)</f>
        <v>5</v>
      </c>
      <c r="J558" s="26">
        <f>SUMIFS(INDEX(元データ_14項目!$D$2:$Q$1300,0,MATCH($B558,元データ_14項目!$D$1:$Q$1,0)),元データ_14項目!$A$2:$A$1300,$A558,元データ_14項目!$B$2:$B$1300,"本年",元データ_14項目!$C$2:$C$1300,J$5)</f>
        <v>32</v>
      </c>
      <c r="K558" s="26">
        <f>SUMIFS(INDEX(元データ_14項目!$D$2:$Q$1300,0,MATCH($B558,元データ_14項目!$D$1:$Q$1,0)),元データ_14項目!$A$2:$A$1300,$A558,元データ_14項目!$B$2:$B$1300,"本年",元データ_14項目!$C$2:$C$1300,K$5)</f>
        <v>66</v>
      </c>
      <c r="L558" s="26">
        <f>SUMIFS(INDEX(元データ_14項目!$D$2:$Q$1300,0,MATCH($B558,元データ_14項目!$D$1:$Q$1,0)),元データ_14項目!$A$2:$A$1300,$A558,元データ_14項目!$B$2:$B$1300,"本年",元データ_14項目!$C$2:$C$1300,L$5)</f>
        <v>28</v>
      </c>
      <c r="M558" s="26">
        <f>SUMIFS(INDEX(元データ_14項目!$D$2:$Q$1300,0,MATCH($B558,元データ_14項目!$D$1:$Q$1,0)),元データ_14項目!$A$2:$A$1300,$A558,元データ_14項目!$B$2:$B$1300,"本年",元データ_14項目!$C$2:$C$1300,M$5)</f>
        <v>35</v>
      </c>
      <c r="N558" s="26">
        <f>SUMIFS(INDEX(元データ_14項目!$D$2:$Q$1300,0,MATCH($B558,元データ_14項目!$D$1:$Q$1,0)),元データ_14項目!$A$2:$A$1300,$A558,元データ_14項目!$B$2:$B$1300,"本年",元データ_14項目!$C$2:$C$1300,N$5)</f>
        <v>40</v>
      </c>
      <c r="O558" s="26">
        <f t="shared" si="16"/>
        <v>423</v>
      </c>
      <c r="P558" s="26">
        <f>SUMIFS(INDEX(元データ_14項目!$D$2:$Q$1300,0,MATCH($B558,元データ_14項目!$D$1:$Q$1,0)),元データ_14項目!$A$2:$A$1300,$A558,元データ_14項目!$B$2:$B$1300,"前年")</f>
        <v>476</v>
      </c>
      <c r="Q558" s="7">
        <f t="shared" si="17"/>
        <v>0.8886554621848739</v>
      </c>
    </row>
    <row r="559" spans="1:17" x14ac:dyDescent="0.45">
      <c r="A559" t="s">
        <v>74</v>
      </c>
      <c r="B559" t="s">
        <v>93</v>
      </c>
      <c r="C559" s="26">
        <f>SUMIFS(INDEX(元データ_14項目!$D$2:$Q$1300,0,MATCH($B559,元データ_14項目!$D$1:$Q$1,0)),元データ_14項目!$A$2:$A$1300,$A559,元データ_14項目!$B$2:$B$1300,"本年",元データ_14項目!$C$2:$C$1300,C$5)</f>
        <v>15</v>
      </c>
      <c r="D559" s="26">
        <f>SUMIFS(INDEX(元データ_14項目!$D$2:$Q$1300,0,MATCH($B559,元データ_14項目!$D$1:$Q$1,0)),元データ_14項目!$A$2:$A$1300,$A559,元データ_14項目!$B$2:$B$1300,"本年",元データ_14項目!$C$2:$C$1300,D$5)</f>
        <v>12</v>
      </c>
      <c r="E559" s="26">
        <f>SUMIFS(INDEX(元データ_14項目!$D$2:$Q$1300,0,MATCH($B559,元データ_14項目!$D$1:$Q$1,0)),元データ_14項目!$A$2:$A$1300,$A559,元データ_14項目!$B$2:$B$1300,"本年",元データ_14項目!$C$2:$C$1300,E$5)</f>
        <v>44</v>
      </c>
      <c r="F559" s="26">
        <f>SUMIFS(INDEX(元データ_14項目!$D$2:$Q$1300,0,MATCH($B559,元データ_14項目!$D$1:$Q$1,0)),元データ_14項目!$A$2:$A$1300,$A559,元データ_14項目!$B$2:$B$1300,"本年",元データ_14項目!$C$2:$C$1300,F$5)</f>
        <v>85</v>
      </c>
      <c r="G559" s="26">
        <f>SUMIFS(INDEX(元データ_14項目!$D$2:$Q$1300,0,MATCH($B559,元データ_14項目!$D$1:$Q$1,0)),元データ_14項目!$A$2:$A$1300,$A559,元データ_14項目!$B$2:$B$1300,"本年",元データ_14項目!$C$2:$C$1300,G$5)</f>
        <v>69</v>
      </c>
      <c r="H559" s="26">
        <f>SUMIFS(INDEX(元データ_14項目!$D$2:$Q$1300,0,MATCH($B559,元データ_14項目!$D$1:$Q$1,0)),元データ_14項目!$A$2:$A$1300,$A559,元データ_14項目!$B$2:$B$1300,"本年",元データ_14項目!$C$2:$C$1300,H$5)</f>
        <v>76</v>
      </c>
      <c r="I559" s="26">
        <f>SUMIFS(INDEX(元データ_14項目!$D$2:$Q$1300,0,MATCH($B559,元データ_14項目!$D$1:$Q$1,0)),元データ_14項目!$A$2:$A$1300,$A559,元データ_14項目!$B$2:$B$1300,"本年",元データ_14項目!$C$2:$C$1300,I$5)</f>
        <v>51</v>
      </c>
      <c r="J559" s="26">
        <f>SUMIFS(INDEX(元データ_14項目!$D$2:$Q$1300,0,MATCH($B559,元データ_14項目!$D$1:$Q$1,0)),元データ_14項目!$A$2:$A$1300,$A559,元データ_14項目!$B$2:$B$1300,"本年",元データ_14項目!$C$2:$C$1300,J$5)</f>
        <v>132</v>
      </c>
      <c r="K559" s="26">
        <f>SUMIFS(INDEX(元データ_14項目!$D$2:$Q$1300,0,MATCH($B559,元データ_14項目!$D$1:$Q$1,0)),元データ_14項目!$A$2:$A$1300,$A559,元データ_14項目!$B$2:$B$1300,"本年",元データ_14項目!$C$2:$C$1300,K$5)</f>
        <v>297</v>
      </c>
      <c r="L559" s="26">
        <f>SUMIFS(INDEX(元データ_14項目!$D$2:$Q$1300,0,MATCH($B559,元データ_14項目!$D$1:$Q$1,0)),元データ_14項目!$A$2:$A$1300,$A559,元データ_14項目!$B$2:$B$1300,"本年",元データ_14項目!$C$2:$C$1300,L$5)</f>
        <v>165</v>
      </c>
      <c r="M559" s="26">
        <f>SUMIFS(INDEX(元データ_14項目!$D$2:$Q$1300,0,MATCH($B559,元データ_14項目!$D$1:$Q$1,0)),元データ_14項目!$A$2:$A$1300,$A559,元データ_14項目!$B$2:$B$1300,"本年",元データ_14項目!$C$2:$C$1300,M$5)</f>
        <v>114</v>
      </c>
      <c r="N559" s="26">
        <f>SUMIFS(INDEX(元データ_14項目!$D$2:$Q$1300,0,MATCH($B559,元データ_14項目!$D$1:$Q$1,0)),元データ_14項目!$A$2:$A$1300,$A559,元データ_14項目!$B$2:$B$1300,"本年",元データ_14項目!$C$2:$C$1300,N$5)</f>
        <v>54</v>
      </c>
      <c r="O559" s="26">
        <f t="shared" si="16"/>
        <v>1114</v>
      </c>
      <c r="P559" s="26">
        <f>SUMIFS(INDEX(元データ_14項目!$D$2:$Q$1300,0,MATCH($B559,元データ_14項目!$D$1:$Q$1,0)),元データ_14項目!$A$2:$A$1300,$A559,元データ_14項目!$B$2:$B$1300,"前年")</f>
        <v>1093</v>
      </c>
      <c r="Q559" s="7">
        <f t="shared" si="17"/>
        <v>1.019213174748399</v>
      </c>
    </row>
    <row r="560" spans="1:17" x14ac:dyDescent="0.45">
      <c r="A560" t="s">
        <v>74</v>
      </c>
      <c r="B560" t="s">
        <v>94</v>
      </c>
      <c r="C560" s="26">
        <f>SUMIFS(INDEX(元データ_14項目!$D$2:$Q$1300,0,MATCH($B560,元データ_14項目!$D$1:$Q$1,0)),元データ_14項目!$A$2:$A$1300,$A560,元データ_14項目!$B$2:$B$1300,"本年",元データ_14項目!$C$2:$C$1300,C$5)</f>
        <v>7</v>
      </c>
      <c r="D560" s="26">
        <f>SUMIFS(INDEX(元データ_14項目!$D$2:$Q$1300,0,MATCH($B560,元データ_14項目!$D$1:$Q$1,0)),元データ_14項目!$A$2:$A$1300,$A560,元データ_14項目!$B$2:$B$1300,"本年",元データ_14項目!$C$2:$C$1300,D$5)</f>
        <v>16</v>
      </c>
      <c r="E560" s="26">
        <f>SUMIFS(INDEX(元データ_14項目!$D$2:$Q$1300,0,MATCH($B560,元データ_14項目!$D$1:$Q$1,0)),元データ_14項目!$A$2:$A$1300,$A560,元データ_14項目!$B$2:$B$1300,"本年",元データ_14項目!$C$2:$C$1300,E$5)</f>
        <v>35</v>
      </c>
      <c r="F560" s="26">
        <f>SUMIFS(INDEX(元データ_14項目!$D$2:$Q$1300,0,MATCH($B560,元データ_14項目!$D$1:$Q$1,0)),元データ_14項目!$A$2:$A$1300,$A560,元データ_14項目!$B$2:$B$1300,"本年",元データ_14項目!$C$2:$C$1300,F$5)</f>
        <v>24</v>
      </c>
      <c r="G560" s="26">
        <f>SUMIFS(INDEX(元データ_14項目!$D$2:$Q$1300,0,MATCH($B560,元データ_14項目!$D$1:$Q$1,0)),元データ_14項目!$A$2:$A$1300,$A560,元データ_14項目!$B$2:$B$1300,"本年",元データ_14項目!$C$2:$C$1300,G$5)</f>
        <v>23</v>
      </c>
      <c r="H560" s="26">
        <f>SUMIFS(INDEX(元データ_14項目!$D$2:$Q$1300,0,MATCH($B560,元データ_14項目!$D$1:$Q$1,0)),元データ_14項目!$A$2:$A$1300,$A560,元データ_14項目!$B$2:$B$1300,"本年",元データ_14項目!$C$2:$C$1300,H$5)</f>
        <v>11</v>
      </c>
      <c r="I560" s="26">
        <f>SUMIFS(INDEX(元データ_14項目!$D$2:$Q$1300,0,MATCH($B560,元データ_14項目!$D$1:$Q$1,0)),元データ_14項目!$A$2:$A$1300,$A560,元データ_14項目!$B$2:$B$1300,"本年",元データ_14項目!$C$2:$C$1300,I$5)</f>
        <v>10</v>
      </c>
      <c r="J560" s="26">
        <f>SUMIFS(INDEX(元データ_14項目!$D$2:$Q$1300,0,MATCH($B560,元データ_14項目!$D$1:$Q$1,0)),元データ_14項目!$A$2:$A$1300,$A560,元データ_14項目!$B$2:$B$1300,"本年",元データ_14項目!$C$2:$C$1300,J$5)</f>
        <v>38</v>
      </c>
      <c r="K560" s="26">
        <f>SUMIFS(INDEX(元データ_14項目!$D$2:$Q$1300,0,MATCH($B560,元データ_14項目!$D$1:$Q$1,0)),元データ_14項目!$A$2:$A$1300,$A560,元データ_14項目!$B$2:$B$1300,"本年",元データ_14項目!$C$2:$C$1300,K$5)</f>
        <v>108</v>
      </c>
      <c r="L560" s="26">
        <f>SUMIFS(INDEX(元データ_14項目!$D$2:$Q$1300,0,MATCH($B560,元データ_14項目!$D$1:$Q$1,0)),元データ_14項目!$A$2:$A$1300,$A560,元データ_14項目!$B$2:$B$1300,"本年",元データ_14項目!$C$2:$C$1300,L$5)</f>
        <v>65</v>
      </c>
      <c r="M560" s="26">
        <f>SUMIFS(INDEX(元データ_14項目!$D$2:$Q$1300,0,MATCH($B560,元データ_14項目!$D$1:$Q$1,0)),元データ_14項目!$A$2:$A$1300,$A560,元データ_14項目!$B$2:$B$1300,"本年",元データ_14項目!$C$2:$C$1300,M$5)</f>
        <v>62</v>
      </c>
      <c r="N560" s="26">
        <f>SUMIFS(INDEX(元データ_14項目!$D$2:$Q$1300,0,MATCH($B560,元データ_14項目!$D$1:$Q$1,0)),元データ_14項目!$A$2:$A$1300,$A560,元データ_14項目!$B$2:$B$1300,"本年",元データ_14項目!$C$2:$C$1300,N$5)</f>
        <v>31</v>
      </c>
      <c r="O560" s="26">
        <f t="shared" si="16"/>
        <v>430</v>
      </c>
      <c r="P560" s="26">
        <f>SUMIFS(INDEX(元データ_14項目!$D$2:$Q$1300,0,MATCH($B560,元データ_14項目!$D$1:$Q$1,0)),元データ_14項目!$A$2:$A$1300,$A560,元データ_14項目!$B$2:$B$1300,"前年")</f>
        <v>441</v>
      </c>
      <c r="Q560" s="7">
        <f t="shared" si="17"/>
        <v>0.97505668934240364</v>
      </c>
    </row>
    <row r="561" spans="1:17" x14ac:dyDescent="0.45">
      <c r="A561" t="s">
        <v>74</v>
      </c>
      <c r="B561" t="s">
        <v>95</v>
      </c>
      <c r="C561" s="26">
        <f>SUMIFS(INDEX(元データ_14項目!$D$2:$Q$1300,0,MATCH($B561,元データ_14項目!$D$1:$Q$1,0)),元データ_14項目!$A$2:$A$1300,$A561,元データ_14項目!$B$2:$B$1300,"本年",元データ_14項目!$C$2:$C$1300,C$5)</f>
        <v>15</v>
      </c>
      <c r="D561" s="26">
        <f>SUMIFS(INDEX(元データ_14項目!$D$2:$Q$1300,0,MATCH($B561,元データ_14項目!$D$1:$Q$1,0)),元データ_14項目!$A$2:$A$1300,$A561,元データ_14項目!$B$2:$B$1300,"本年",元データ_14項目!$C$2:$C$1300,D$5)</f>
        <v>21</v>
      </c>
      <c r="E561" s="26">
        <f>SUMIFS(INDEX(元データ_14項目!$D$2:$Q$1300,0,MATCH($B561,元データ_14項目!$D$1:$Q$1,0)),元データ_14項目!$A$2:$A$1300,$A561,元データ_14項目!$B$2:$B$1300,"本年",元データ_14項目!$C$2:$C$1300,E$5)</f>
        <v>48</v>
      </c>
      <c r="F561" s="26">
        <f>SUMIFS(INDEX(元データ_14項目!$D$2:$Q$1300,0,MATCH($B561,元データ_14項目!$D$1:$Q$1,0)),元データ_14項目!$A$2:$A$1300,$A561,元データ_14項目!$B$2:$B$1300,"本年",元データ_14項目!$C$2:$C$1300,F$5)</f>
        <v>29</v>
      </c>
      <c r="G561" s="26">
        <f>SUMIFS(INDEX(元データ_14項目!$D$2:$Q$1300,0,MATCH($B561,元データ_14項目!$D$1:$Q$1,0)),元データ_14項目!$A$2:$A$1300,$A561,元データ_14項目!$B$2:$B$1300,"本年",元データ_14項目!$C$2:$C$1300,G$5)</f>
        <v>25</v>
      </c>
      <c r="H561" s="26">
        <f>SUMIFS(INDEX(元データ_14項目!$D$2:$Q$1300,0,MATCH($B561,元データ_14項目!$D$1:$Q$1,0)),元データ_14項目!$A$2:$A$1300,$A561,元データ_14項目!$B$2:$B$1300,"本年",元データ_14項目!$C$2:$C$1300,H$5)</f>
        <v>16</v>
      </c>
      <c r="I561" s="26">
        <f>SUMIFS(INDEX(元データ_14項目!$D$2:$Q$1300,0,MATCH($B561,元データ_14項目!$D$1:$Q$1,0)),元データ_14項目!$A$2:$A$1300,$A561,元データ_14項目!$B$2:$B$1300,"本年",元データ_14項目!$C$2:$C$1300,I$5)</f>
        <v>11</v>
      </c>
      <c r="J561" s="26">
        <f>SUMIFS(INDEX(元データ_14項目!$D$2:$Q$1300,0,MATCH($B561,元データ_14項目!$D$1:$Q$1,0)),元データ_14項目!$A$2:$A$1300,$A561,元データ_14項目!$B$2:$B$1300,"本年",元データ_14項目!$C$2:$C$1300,J$5)</f>
        <v>40</v>
      </c>
      <c r="K561" s="26">
        <f>SUMIFS(INDEX(元データ_14項目!$D$2:$Q$1300,0,MATCH($B561,元データ_14項目!$D$1:$Q$1,0)),元データ_14項目!$A$2:$A$1300,$A561,元データ_14項目!$B$2:$B$1300,"本年",元データ_14項目!$C$2:$C$1300,K$5)</f>
        <v>57</v>
      </c>
      <c r="L561" s="26">
        <f>SUMIFS(INDEX(元データ_14項目!$D$2:$Q$1300,0,MATCH($B561,元データ_14項目!$D$1:$Q$1,0)),元データ_14項目!$A$2:$A$1300,$A561,元データ_14項目!$B$2:$B$1300,"本年",元データ_14項目!$C$2:$C$1300,L$5)</f>
        <v>37</v>
      </c>
      <c r="M561" s="26">
        <f>SUMIFS(INDEX(元データ_14項目!$D$2:$Q$1300,0,MATCH($B561,元データ_14項目!$D$1:$Q$1,0)),元データ_14項目!$A$2:$A$1300,$A561,元データ_14項目!$B$2:$B$1300,"本年",元データ_14項目!$C$2:$C$1300,M$5)</f>
        <v>32</v>
      </c>
      <c r="N561" s="26">
        <f>SUMIFS(INDEX(元データ_14項目!$D$2:$Q$1300,0,MATCH($B561,元データ_14項目!$D$1:$Q$1,0)),元データ_14項目!$A$2:$A$1300,$A561,元データ_14項目!$B$2:$B$1300,"本年",元データ_14項目!$C$2:$C$1300,N$5)</f>
        <v>17</v>
      </c>
      <c r="O561" s="26">
        <f t="shared" si="16"/>
        <v>348</v>
      </c>
      <c r="P561" s="26">
        <f>SUMIFS(INDEX(元データ_14項目!$D$2:$Q$1300,0,MATCH($B561,元データ_14項目!$D$1:$Q$1,0)),元データ_14項目!$A$2:$A$1300,$A561,元データ_14項目!$B$2:$B$1300,"前年")</f>
        <v>358</v>
      </c>
      <c r="Q561" s="7">
        <f t="shared" si="17"/>
        <v>0.97206703910614523</v>
      </c>
    </row>
    <row r="562" spans="1:17" x14ac:dyDescent="0.45">
      <c r="A562" t="s">
        <v>74</v>
      </c>
      <c r="B562" t="s">
        <v>96</v>
      </c>
      <c r="C562" s="26">
        <f>SUMIFS(INDEX(元データ_14項目!$D$2:$Q$1300,0,MATCH($B562,元データ_14項目!$D$1:$Q$1,0)),元データ_14項目!$A$2:$A$1300,$A562,元データ_14項目!$B$2:$B$1300,"本年",元データ_14項目!$C$2:$C$1300,C$5)</f>
        <v>21</v>
      </c>
      <c r="D562" s="26">
        <f>SUMIFS(INDEX(元データ_14項目!$D$2:$Q$1300,0,MATCH($B562,元データ_14項目!$D$1:$Q$1,0)),元データ_14項目!$A$2:$A$1300,$A562,元データ_14項目!$B$2:$B$1300,"本年",元データ_14項目!$C$2:$C$1300,D$5)</f>
        <v>29</v>
      </c>
      <c r="E562" s="26">
        <f>SUMIFS(INDEX(元データ_14項目!$D$2:$Q$1300,0,MATCH($B562,元データ_14項目!$D$1:$Q$1,0)),元データ_14項目!$A$2:$A$1300,$A562,元データ_14項目!$B$2:$B$1300,"本年",元データ_14項目!$C$2:$C$1300,E$5)</f>
        <v>43</v>
      </c>
      <c r="F562" s="26">
        <f>SUMIFS(INDEX(元データ_14項目!$D$2:$Q$1300,0,MATCH($B562,元データ_14項目!$D$1:$Q$1,0)),元データ_14項目!$A$2:$A$1300,$A562,元データ_14項目!$B$2:$B$1300,"本年",元データ_14項目!$C$2:$C$1300,F$5)</f>
        <v>69</v>
      </c>
      <c r="G562" s="26">
        <f>SUMIFS(INDEX(元データ_14項目!$D$2:$Q$1300,0,MATCH($B562,元データ_14項目!$D$1:$Q$1,0)),元データ_14項目!$A$2:$A$1300,$A562,元データ_14項目!$B$2:$B$1300,"本年",元データ_14項目!$C$2:$C$1300,G$5)</f>
        <v>46</v>
      </c>
      <c r="H562" s="26">
        <f>SUMIFS(INDEX(元データ_14項目!$D$2:$Q$1300,0,MATCH($B562,元データ_14項目!$D$1:$Q$1,0)),元データ_14項目!$A$2:$A$1300,$A562,元データ_14項目!$B$2:$B$1300,"本年",元データ_14項目!$C$2:$C$1300,H$5)</f>
        <v>29</v>
      </c>
      <c r="I562" s="26">
        <f>SUMIFS(INDEX(元データ_14項目!$D$2:$Q$1300,0,MATCH($B562,元データ_14項目!$D$1:$Q$1,0)),元データ_14項目!$A$2:$A$1300,$A562,元データ_14項目!$B$2:$B$1300,"本年",元データ_14項目!$C$2:$C$1300,I$5)</f>
        <v>23</v>
      </c>
      <c r="J562" s="26">
        <f>SUMIFS(INDEX(元データ_14項目!$D$2:$Q$1300,0,MATCH($B562,元データ_14項目!$D$1:$Q$1,0)),元データ_14項目!$A$2:$A$1300,$A562,元データ_14項目!$B$2:$B$1300,"本年",元データ_14項目!$C$2:$C$1300,J$5)</f>
        <v>215</v>
      </c>
      <c r="K562" s="26">
        <f>SUMIFS(INDEX(元データ_14項目!$D$2:$Q$1300,0,MATCH($B562,元データ_14項目!$D$1:$Q$1,0)),元データ_14項目!$A$2:$A$1300,$A562,元データ_14項目!$B$2:$B$1300,"本年",元データ_14項目!$C$2:$C$1300,K$5)</f>
        <v>319</v>
      </c>
      <c r="L562" s="26">
        <f>SUMIFS(INDEX(元データ_14項目!$D$2:$Q$1300,0,MATCH($B562,元データ_14項目!$D$1:$Q$1,0)),元データ_14項目!$A$2:$A$1300,$A562,元データ_14項目!$B$2:$B$1300,"本年",元データ_14項目!$C$2:$C$1300,L$5)</f>
        <v>162</v>
      </c>
      <c r="M562" s="26">
        <f>SUMIFS(INDEX(元データ_14項目!$D$2:$Q$1300,0,MATCH($B562,元データ_14項目!$D$1:$Q$1,0)),元データ_14項目!$A$2:$A$1300,$A562,元データ_14項目!$B$2:$B$1300,"本年",元データ_14項目!$C$2:$C$1300,M$5)</f>
        <v>96</v>
      </c>
      <c r="N562" s="26">
        <f>SUMIFS(INDEX(元データ_14項目!$D$2:$Q$1300,0,MATCH($B562,元データ_14項目!$D$1:$Q$1,0)),元データ_14項目!$A$2:$A$1300,$A562,元データ_14項目!$B$2:$B$1300,"本年",元データ_14項目!$C$2:$C$1300,N$5)</f>
        <v>30</v>
      </c>
      <c r="O562" s="26">
        <f t="shared" si="16"/>
        <v>1082</v>
      </c>
      <c r="P562" s="26">
        <f>SUMIFS(INDEX(元データ_14項目!$D$2:$Q$1300,0,MATCH($B562,元データ_14項目!$D$1:$Q$1,0)),元データ_14項目!$A$2:$A$1300,$A562,元データ_14項目!$B$2:$B$1300,"前年")</f>
        <v>1051</v>
      </c>
      <c r="Q562" s="7">
        <f t="shared" si="17"/>
        <v>1.0294957183634634</v>
      </c>
    </row>
    <row r="563" spans="1:17" x14ac:dyDescent="0.45">
      <c r="A563" t="s">
        <v>74</v>
      </c>
      <c r="B563" t="s">
        <v>97</v>
      </c>
      <c r="C563" s="26">
        <f>SUMIFS(INDEX(元データ_14項目!$D$2:$Q$1300,0,MATCH($B563,元データ_14項目!$D$1:$Q$1,0)),元データ_14項目!$A$2:$A$1300,$A563,元データ_14項目!$B$2:$B$1300,"本年",元データ_14項目!$C$2:$C$1300,C$5)</f>
        <v>27</v>
      </c>
      <c r="D563" s="26">
        <f>SUMIFS(INDEX(元データ_14項目!$D$2:$Q$1300,0,MATCH($B563,元データ_14項目!$D$1:$Q$1,0)),元データ_14項目!$A$2:$A$1300,$A563,元データ_14項目!$B$2:$B$1300,"本年",元データ_14項目!$C$2:$C$1300,D$5)</f>
        <v>24</v>
      </c>
      <c r="E563" s="26">
        <f>SUMIFS(INDEX(元データ_14項目!$D$2:$Q$1300,0,MATCH($B563,元データ_14項目!$D$1:$Q$1,0)),元データ_14項目!$A$2:$A$1300,$A563,元データ_14項目!$B$2:$B$1300,"本年",元データ_14項目!$C$2:$C$1300,E$5)</f>
        <v>51</v>
      </c>
      <c r="F563" s="26">
        <f>SUMIFS(INDEX(元データ_14項目!$D$2:$Q$1300,0,MATCH($B563,元データ_14項目!$D$1:$Q$1,0)),元データ_14項目!$A$2:$A$1300,$A563,元データ_14項目!$B$2:$B$1300,"本年",元データ_14項目!$C$2:$C$1300,F$5)</f>
        <v>40</v>
      </c>
      <c r="G563" s="26">
        <f>SUMIFS(INDEX(元データ_14項目!$D$2:$Q$1300,0,MATCH($B563,元データ_14項目!$D$1:$Q$1,0)),元データ_14項目!$A$2:$A$1300,$A563,元データ_14項目!$B$2:$B$1300,"本年",元データ_14項目!$C$2:$C$1300,G$5)</f>
        <v>37</v>
      </c>
      <c r="H563" s="26">
        <f>SUMIFS(INDEX(元データ_14項目!$D$2:$Q$1300,0,MATCH($B563,元データ_14項目!$D$1:$Q$1,0)),元データ_14項目!$A$2:$A$1300,$A563,元データ_14項目!$B$2:$B$1300,"本年",元データ_14項目!$C$2:$C$1300,H$5)</f>
        <v>41</v>
      </c>
      <c r="I563" s="26">
        <f>SUMIFS(INDEX(元データ_14項目!$D$2:$Q$1300,0,MATCH($B563,元データ_14項目!$D$1:$Q$1,0)),元データ_14項目!$A$2:$A$1300,$A563,元データ_14項目!$B$2:$B$1300,"本年",元データ_14項目!$C$2:$C$1300,I$5)</f>
        <v>18</v>
      </c>
      <c r="J563" s="26">
        <f>SUMIFS(INDEX(元データ_14項目!$D$2:$Q$1300,0,MATCH($B563,元データ_14項目!$D$1:$Q$1,0)),元データ_14項目!$A$2:$A$1300,$A563,元データ_14項目!$B$2:$B$1300,"本年",元データ_14項目!$C$2:$C$1300,J$5)</f>
        <v>134</v>
      </c>
      <c r="K563" s="26">
        <f>SUMIFS(INDEX(元データ_14項目!$D$2:$Q$1300,0,MATCH($B563,元データ_14項目!$D$1:$Q$1,0)),元データ_14項目!$A$2:$A$1300,$A563,元データ_14項目!$B$2:$B$1300,"本年",元データ_14項目!$C$2:$C$1300,K$5)</f>
        <v>232</v>
      </c>
      <c r="L563" s="26">
        <f>SUMIFS(INDEX(元データ_14項目!$D$2:$Q$1300,0,MATCH($B563,元データ_14項目!$D$1:$Q$1,0)),元データ_14項目!$A$2:$A$1300,$A563,元データ_14項目!$B$2:$B$1300,"本年",元データ_14項目!$C$2:$C$1300,L$5)</f>
        <v>133</v>
      </c>
      <c r="M563" s="26">
        <f>SUMIFS(INDEX(元データ_14項目!$D$2:$Q$1300,0,MATCH($B563,元データ_14項目!$D$1:$Q$1,0)),元データ_14項目!$A$2:$A$1300,$A563,元データ_14項目!$B$2:$B$1300,"本年",元データ_14項目!$C$2:$C$1300,M$5)</f>
        <v>93</v>
      </c>
      <c r="N563" s="26">
        <f>SUMIFS(INDEX(元データ_14項目!$D$2:$Q$1300,0,MATCH($B563,元データ_14項目!$D$1:$Q$1,0)),元データ_14項目!$A$2:$A$1300,$A563,元データ_14項目!$B$2:$B$1300,"本年",元データ_14項目!$C$2:$C$1300,N$5)</f>
        <v>31</v>
      </c>
      <c r="O563" s="26">
        <f t="shared" si="16"/>
        <v>861</v>
      </c>
      <c r="P563" s="26">
        <f>SUMIFS(INDEX(元データ_14項目!$D$2:$Q$1300,0,MATCH($B563,元データ_14項目!$D$1:$Q$1,0)),元データ_14項目!$A$2:$A$1300,$A563,元データ_14項目!$B$2:$B$1300,"前年")</f>
        <v>788</v>
      </c>
      <c r="Q563" s="7">
        <f t="shared" si="17"/>
        <v>1.0926395939086295</v>
      </c>
    </row>
    <row r="564" spans="1:17" x14ac:dyDescent="0.45">
      <c r="A564" t="s">
        <v>74</v>
      </c>
      <c r="B564" t="s">
        <v>98</v>
      </c>
      <c r="C564" s="26">
        <f>SUMIFS(INDEX(元データ_14項目!$D$2:$Q$1300,0,MATCH($B564,元データ_14項目!$D$1:$Q$1,0)),元データ_14項目!$A$2:$A$1300,$A564,元データ_14項目!$B$2:$B$1300,"本年",元データ_14項目!$C$2:$C$1300,C$5)</f>
        <v>1</v>
      </c>
      <c r="D564" s="26">
        <f>SUMIFS(INDEX(元データ_14項目!$D$2:$Q$1300,0,MATCH($B564,元データ_14項目!$D$1:$Q$1,0)),元データ_14項目!$A$2:$A$1300,$A564,元データ_14項目!$B$2:$B$1300,"本年",元データ_14項目!$C$2:$C$1300,D$5)</f>
        <v>9</v>
      </c>
      <c r="E564" s="26">
        <f>SUMIFS(INDEX(元データ_14項目!$D$2:$Q$1300,0,MATCH($B564,元データ_14項目!$D$1:$Q$1,0)),元データ_14項目!$A$2:$A$1300,$A564,元データ_14項目!$B$2:$B$1300,"本年",元データ_14項目!$C$2:$C$1300,E$5)</f>
        <v>21</v>
      </c>
      <c r="F564" s="26">
        <f>SUMIFS(INDEX(元データ_14項目!$D$2:$Q$1300,0,MATCH($B564,元データ_14項目!$D$1:$Q$1,0)),元データ_14項目!$A$2:$A$1300,$A564,元データ_14項目!$B$2:$B$1300,"本年",元データ_14項目!$C$2:$C$1300,F$5)</f>
        <v>20</v>
      </c>
      <c r="G564" s="26">
        <f>SUMIFS(INDEX(元データ_14項目!$D$2:$Q$1300,0,MATCH($B564,元データ_14項目!$D$1:$Q$1,0)),元データ_14項目!$A$2:$A$1300,$A564,元データ_14項目!$B$2:$B$1300,"本年",元データ_14項目!$C$2:$C$1300,G$5)</f>
        <v>15</v>
      </c>
      <c r="H564" s="26">
        <f>SUMIFS(INDEX(元データ_14項目!$D$2:$Q$1300,0,MATCH($B564,元データ_14項目!$D$1:$Q$1,0)),元データ_14項目!$A$2:$A$1300,$A564,元データ_14項目!$B$2:$B$1300,"本年",元データ_14項目!$C$2:$C$1300,H$5)</f>
        <v>9</v>
      </c>
      <c r="I564" s="26">
        <f>SUMIFS(INDEX(元データ_14項目!$D$2:$Q$1300,0,MATCH($B564,元データ_14項目!$D$1:$Q$1,0)),元データ_14項目!$A$2:$A$1300,$A564,元データ_14項目!$B$2:$B$1300,"本年",元データ_14項目!$C$2:$C$1300,I$5)</f>
        <v>15</v>
      </c>
      <c r="J564" s="26">
        <f>SUMIFS(INDEX(元データ_14項目!$D$2:$Q$1300,0,MATCH($B564,元データ_14項目!$D$1:$Q$1,0)),元データ_14項目!$A$2:$A$1300,$A564,元データ_14項目!$B$2:$B$1300,"本年",元データ_14項目!$C$2:$C$1300,J$5)</f>
        <v>127</v>
      </c>
      <c r="K564" s="26">
        <f>SUMIFS(INDEX(元データ_14項目!$D$2:$Q$1300,0,MATCH($B564,元データ_14項目!$D$1:$Q$1,0)),元データ_14項目!$A$2:$A$1300,$A564,元データ_14項目!$B$2:$B$1300,"本年",元データ_14項目!$C$2:$C$1300,K$5)</f>
        <v>185</v>
      </c>
      <c r="L564" s="26">
        <f>SUMIFS(INDEX(元データ_14項目!$D$2:$Q$1300,0,MATCH($B564,元データ_14項目!$D$1:$Q$1,0)),元データ_14項目!$A$2:$A$1300,$A564,元データ_14項目!$B$2:$B$1300,"本年",元データ_14項目!$C$2:$C$1300,L$5)</f>
        <v>79</v>
      </c>
      <c r="M564" s="26">
        <f>SUMIFS(INDEX(元データ_14項目!$D$2:$Q$1300,0,MATCH($B564,元データ_14項目!$D$1:$Q$1,0)),元データ_14項目!$A$2:$A$1300,$A564,元データ_14項目!$B$2:$B$1300,"本年",元データ_14項目!$C$2:$C$1300,M$5)</f>
        <v>33</v>
      </c>
      <c r="N564" s="26">
        <f>SUMIFS(INDEX(元データ_14項目!$D$2:$Q$1300,0,MATCH($B564,元データ_14項目!$D$1:$Q$1,0)),元データ_14項目!$A$2:$A$1300,$A564,元データ_14項目!$B$2:$B$1300,"本年",元データ_14項目!$C$2:$C$1300,N$5)</f>
        <v>16</v>
      </c>
      <c r="O564" s="26">
        <f t="shared" si="16"/>
        <v>530</v>
      </c>
      <c r="P564" s="26">
        <f>SUMIFS(INDEX(元データ_14項目!$D$2:$Q$1300,0,MATCH($B564,元データ_14項目!$D$1:$Q$1,0)),元データ_14項目!$A$2:$A$1300,$A564,元データ_14項目!$B$2:$B$1300,"前年")</f>
        <v>493</v>
      </c>
      <c r="Q564" s="7">
        <f t="shared" si="17"/>
        <v>1.075050709939148</v>
      </c>
    </row>
    <row r="565" spans="1:17" x14ac:dyDescent="0.45">
      <c r="A565" t="s">
        <v>74</v>
      </c>
      <c r="B565" t="s">
        <v>99</v>
      </c>
      <c r="C565" s="26">
        <f>SUMIFS(INDEX(元データ_14項目!$D$2:$Q$1300,0,MATCH($B565,元データ_14項目!$D$1:$Q$1,0)),元データ_14項目!$A$2:$A$1300,$A565,元データ_14項目!$B$2:$B$1300,"本年",元データ_14項目!$C$2:$C$1300,C$5)</f>
        <v>0</v>
      </c>
      <c r="D565" s="26">
        <f>SUMIFS(INDEX(元データ_14項目!$D$2:$Q$1300,0,MATCH($B565,元データ_14項目!$D$1:$Q$1,0)),元データ_14項目!$A$2:$A$1300,$A565,元データ_14項目!$B$2:$B$1300,"本年",元データ_14項目!$C$2:$C$1300,D$5)</f>
        <v>0</v>
      </c>
      <c r="E565" s="26">
        <f>SUMIFS(INDEX(元データ_14項目!$D$2:$Q$1300,0,MATCH($B565,元データ_14項目!$D$1:$Q$1,0)),元データ_14項目!$A$2:$A$1300,$A565,元データ_14項目!$B$2:$B$1300,"本年",元データ_14項目!$C$2:$C$1300,E$5)</f>
        <v>0</v>
      </c>
      <c r="F565" s="26">
        <f>SUMIFS(INDEX(元データ_14項目!$D$2:$Q$1300,0,MATCH($B565,元データ_14項目!$D$1:$Q$1,0)),元データ_14項目!$A$2:$A$1300,$A565,元データ_14項目!$B$2:$B$1300,"本年",元データ_14項目!$C$2:$C$1300,F$5)</f>
        <v>0</v>
      </c>
      <c r="G565" s="26">
        <f>SUMIFS(INDEX(元データ_14項目!$D$2:$Q$1300,0,MATCH($B565,元データ_14項目!$D$1:$Q$1,0)),元データ_14項目!$A$2:$A$1300,$A565,元データ_14項目!$B$2:$B$1300,"本年",元データ_14項目!$C$2:$C$1300,G$5)</f>
        <v>0</v>
      </c>
      <c r="H565" s="26">
        <f>SUMIFS(INDEX(元データ_14項目!$D$2:$Q$1300,0,MATCH($B565,元データ_14項目!$D$1:$Q$1,0)),元データ_14項目!$A$2:$A$1300,$A565,元データ_14項目!$B$2:$B$1300,"本年",元データ_14項目!$C$2:$C$1300,H$5)</f>
        <v>2</v>
      </c>
      <c r="I565" s="26">
        <f>SUMIFS(INDEX(元データ_14項目!$D$2:$Q$1300,0,MATCH($B565,元データ_14項目!$D$1:$Q$1,0)),元データ_14項目!$A$2:$A$1300,$A565,元データ_14項目!$B$2:$B$1300,"本年",元データ_14項目!$C$2:$C$1300,I$5)</f>
        <v>2</v>
      </c>
      <c r="J565" s="26">
        <f>SUMIFS(INDEX(元データ_14項目!$D$2:$Q$1300,0,MATCH($B565,元データ_14項目!$D$1:$Q$1,0)),元データ_14項目!$A$2:$A$1300,$A565,元データ_14項目!$B$2:$B$1300,"本年",元データ_14項目!$C$2:$C$1300,J$5)</f>
        <v>12</v>
      </c>
      <c r="K565" s="26">
        <f>SUMIFS(INDEX(元データ_14項目!$D$2:$Q$1300,0,MATCH($B565,元データ_14項目!$D$1:$Q$1,0)),元データ_14項目!$A$2:$A$1300,$A565,元データ_14項目!$B$2:$B$1300,"本年",元データ_14項目!$C$2:$C$1300,K$5)</f>
        <v>4</v>
      </c>
      <c r="L565" s="26">
        <f>SUMIFS(INDEX(元データ_14項目!$D$2:$Q$1300,0,MATCH($B565,元データ_14項目!$D$1:$Q$1,0)),元データ_14項目!$A$2:$A$1300,$A565,元データ_14項目!$B$2:$B$1300,"本年",元データ_14項目!$C$2:$C$1300,L$5)</f>
        <v>2</v>
      </c>
      <c r="M565" s="26">
        <f>SUMIFS(INDEX(元データ_14項目!$D$2:$Q$1300,0,MATCH($B565,元データ_14項目!$D$1:$Q$1,0)),元データ_14項目!$A$2:$A$1300,$A565,元データ_14項目!$B$2:$B$1300,"本年",元データ_14項目!$C$2:$C$1300,M$5)</f>
        <v>0</v>
      </c>
      <c r="N565" s="26">
        <f>SUMIFS(INDEX(元データ_14項目!$D$2:$Q$1300,0,MATCH($B565,元データ_14項目!$D$1:$Q$1,0)),元データ_14項目!$A$2:$A$1300,$A565,元データ_14項目!$B$2:$B$1300,"本年",元データ_14項目!$C$2:$C$1300,N$5)</f>
        <v>0</v>
      </c>
      <c r="O565" s="26">
        <f t="shared" si="16"/>
        <v>22</v>
      </c>
      <c r="P565" s="26">
        <f>SUMIFS(INDEX(元データ_14項目!$D$2:$Q$1300,0,MATCH($B565,元データ_14項目!$D$1:$Q$1,0)),元データ_14項目!$A$2:$A$1300,$A565,元データ_14項目!$B$2:$B$1300,"前年")</f>
        <v>44</v>
      </c>
      <c r="Q565" s="7">
        <f t="shared" si="17"/>
        <v>0.5</v>
      </c>
    </row>
    <row r="566" spans="1:17" x14ac:dyDescent="0.45">
      <c r="A566" t="s">
        <v>75</v>
      </c>
      <c r="B566" t="s">
        <v>27</v>
      </c>
      <c r="C566" s="26">
        <f>SUMIFS(INDEX(元データ_14項目!$D$2:$Q$1300,0,MATCH($B566,元データ_14項目!$D$1:$Q$1,0)),元データ_14項目!$A$2:$A$1300,$A566,元データ_14項目!$B$2:$B$1300,"本年",元データ_14項目!$C$2:$C$1300,C$5)</f>
        <v>620</v>
      </c>
      <c r="D566" s="26">
        <f>SUMIFS(INDEX(元データ_14項目!$D$2:$Q$1300,0,MATCH($B566,元データ_14項目!$D$1:$Q$1,0)),元データ_14項目!$A$2:$A$1300,$A566,元データ_14項目!$B$2:$B$1300,"本年",元データ_14項目!$C$2:$C$1300,D$5)</f>
        <v>765</v>
      </c>
      <c r="E566" s="26">
        <f>SUMIFS(INDEX(元データ_14項目!$D$2:$Q$1300,0,MATCH($B566,元データ_14項目!$D$1:$Q$1,0)),元データ_14項目!$A$2:$A$1300,$A566,元データ_14項目!$B$2:$B$1300,"本年",元データ_14項目!$C$2:$C$1300,E$5)</f>
        <v>947</v>
      </c>
      <c r="F566" s="26">
        <f>SUMIFS(INDEX(元データ_14項目!$D$2:$Q$1300,0,MATCH($B566,元データ_14項目!$D$1:$Q$1,0)),元データ_14項目!$A$2:$A$1300,$A566,元データ_14項目!$B$2:$B$1300,"本年",元データ_14項目!$C$2:$C$1300,F$5)</f>
        <v>870</v>
      </c>
      <c r="G566" s="26">
        <f>SUMIFS(INDEX(元データ_14項目!$D$2:$Q$1300,0,MATCH($B566,元データ_14項目!$D$1:$Q$1,0)),元データ_14項目!$A$2:$A$1300,$A566,元データ_14項目!$B$2:$B$1300,"本年",元データ_14項目!$C$2:$C$1300,G$5)</f>
        <v>812</v>
      </c>
      <c r="H566" s="26">
        <f>SUMIFS(INDEX(元データ_14項目!$D$2:$Q$1300,0,MATCH($B566,元データ_14項目!$D$1:$Q$1,0)),元データ_14項目!$A$2:$A$1300,$A566,元データ_14項目!$B$2:$B$1300,"本年",元データ_14項目!$C$2:$C$1300,H$5)</f>
        <v>655</v>
      </c>
      <c r="I566" s="26">
        <f>SUMIFS(INDEX(元データ_14項目!$D$2:$Q$1300,0,MATCH($B566,元データ_14項目!$D$1:$Q$1,0)),元データ_14項目!$A$2:$A$1300,$A566,元データ_14項目!$B$2:$B$1300,"本年",元データ_14項目!$C$2:$C$1300,I$5)</f>
        <v>678</v>
      </c>
      <c r="J566" s="26">
        <f>SUMIFS(INDEX(元データ_14項目!$D$2:$Q$1300,0,MATCH($B566,元データ_14項目!$D$1:$Q$1,0)),元データ_14項目!$A$2:$A$1300,$A566,元データ_14項目!$B$2:$B$1300,"本年",元データ_14項目!$C$2:$C$1300,J$5)</f>
        <v>819</v>
      </c>
      <c r="K566" s="26">
        <f>SUMIFS(INDEX(元データ_14項目!$D$2:$Q$1300,0,MATCH($B566,元データ_14項目!$D$1:$Q$1,0)),元データ_14項目!$A$2:$A$1300,$A566,元データ_14項目!$B$2:$B$1300,"本年",元データ_14項目!$C$2:$C$1300,K$5)</f>
        <v>880</v>
      </c>
      <c r="L566" s="26">
        <f>SUMIFS(INDEX(元データ_14項目!$D$2:$Q$1300,0,MATCH($B566,元データ_14項目!$D$1:$Q$1,0)),元データ_14項目!$A$2:$A$1300,$A566,元データ_14項目!$B$2:$B$1300,"本年",元データ_14項目!$C$2:$C$1300,L$5)</f>
        <v>691</v>
      </c>
      <c r="M566" s="26">
        <f>SUMIFS(INDEX(元データ_14項目!$D$2:$Q$1300,0,MATCH($B566,元データ_14項目!$D$1:$Q$1,0)),元データ_14項目!$A$2:$A$1300,$A566,元データ_14項目!$B$2:$B$1300,"本年",元データ_14項目!$C$2:$C$1300,M$5)</f>
        <v>820</v>
      </c>
      <c r="N566" s="26">
        <f>SUMIFS(INDEX(元データ_14項目!$D$2:$Q$1300,0,MATCH($B566,元データ_14項目!$D$1:$Q$1,0)),元データ_14項目!$A$2:$A$1300,$A566,元データ_14項目!$B$2:$B$1300,"本年",元データ_14項目!$C$2:$C$1300,N$5)</f>
        <v>680</v>
      </c>
      <c r="O566" s="26">
        <f t="shared" si="16"/>
        <v>9237</v>
      </c>
      <c r="P566" s="26">
        <f>SUMIFS(INDEX(元データ_14項目!$D$2:$Q$1300,0,MATCH($B566,元データ_14項目!$D$1:$Q$1,0)),元データ_14項目!$A$2:$A$1300,$A566,元データ_14項目!$B$2:$B$1300,"前年")</f>
        <v>10880</v>
      </c>
      <c r="Q566" s="7">
        <f t="shared" si="17"/>
        <v>0.8489889705882353</v>
      </c>
    </row>
    <row r="567" spans="1:17" x14ac:dyDescent="0.45">
      <c r="A567" t="s">
        <v>75</v>
      </c>
      <c r="B567" t="s">
        <v>88</v>
      </c>
      <c r="C567" s="26">
        <f>SUMIFS(INDEX(元データ_14項目!$D$2:$Q$1300,0,MATCH($B567,元データ_14項目!$D$1:$Q$1,0)),元データ_14項目!$A$2:$A$1300,$A567,元データ_14項目!$B$2:$B$1300,"本年",元データ_14項目!$C$2:$C$1300,C$5)</f>
        <v>37</v>
      </c>
      <c r="D567" s="26">
        <f>SUMIFS(INDEX(元データ_14項目!$D$2:$Q$1300,0,MATCH($B567,元データ_14項目!$D$1:$Q$1,0)),元データ_14項目!$A$2:$A$1300,$A567,元データ_14項目!$B$2:$B$1300,"本年",元データ_14項目!$C$2:$C$1300,D$5)</f>
        <v>52</v>
      </c>
      <c r="E567" s="26">
        <f>SUMIFS(INDEX(元データ_14項目!$D$2:$Q$1300,0,MATCH($B567,元データ_14項目!$D$1:$Q$1,0)),元データ_14項目!$A$2:$A$1300,$A567,元データ_14項目!$B$2:$B$1300,"本年",元データ_14項目!$C$2:$C$1300,E$5)</f>
        <v>55</v>
      </c>
      <c r="F567" s="26">
        <f>SUMIFS(INDEX(元データ_14項目!$D$2:$Q$1300,0,MATCH($B567,元データ_14項目!$D$1:$Q$1,0)),元データ_14項目!$A$2:$A$1300,$A567,元データ_14項目!$B$2:$B$1300,"本年",元データ_14項目!$C$2:$C$1300,F$5)</f>
        <v>74</v>
      </c>
      <c r="G567" s="26">
        <f>SUMIFS(INDEX(元データ_14項目!$D$2:$Q$1300,0,MATCH($B567,元データ_14項目!$D$1:$Q$1,0)),元データ_14項目!$A$2:$A$1300,$A567,元データ_14項目!$B$2:$B$1300,"本年",元データ_14項目!$C$2:$C$1300,G$5)</f>
        <v>54</v>
      </c>
      <c r="H567" s="26">
        <f>SUMIFS(INDEX(元データ_14項目!$D$2:$Q$1300,0,MATCH($B567,元データ_14項目!$D$1:$Q$1,0)),元データ_14項目!$A$2:$A$1300,$A567,元データ_14項目!$B$2:$B$1300,"本年",元データ_14項目!$C$2:$C$1300,H$5)</f>
        <v>26</v>
      </c>
      <c r="I567" s="26">
        <f>SUMIFS(INDEX(元データ_14項目!$D$2:$Q$1300,0,MATCH($B567,元データ_14項目!$D$1:$Q$1,0)),元データ_14項目!$A$2:$A$1300,$A567,元データ_14項目!$B$2:$B$1300,"本年",元データ_14項目!$C$2:$C$1300,I$5)</f>
        <v>25</v>
      </c>
      <c r="J567" s="26">
        <f>SUMIFS(INDEX(元データ_14項目!$D$2:$Q$1300,0,MATCH($B567,元データ_14項目!$D$1:$Q$1,0)),元データ_14項目!$A$2:$A$1300,$A567,元データ_14項目!$B$2:$B$1300,"本年",元データ_14項目!$C$2:$C$1300,J$5)</f>
        <v>39</v>
      </c>
      <c r="K567" s="26">
        <f>SUMIFS(INDEX(元データ_14項目!$D$2:$Q$1300,0,MATCH($B567,元データ_14項目!$D$1:$Q$1,0)),元データ_14項目!$A$2:$A$1300,$A567,元データ_14項目!$B$2:$B$1300,"本年",元データ_14項目!$C$2:$C$1300,K$5)</f>
        <v>78</v>
      </c>
      <c r="L567" s="26">
        <f>SUMIFS(INDEX(元データ_14項目!$D$2:$Q$1300,0,MATCH($B567,元データ_14項目!$D$1:$Q$1,0)),元データ_14項目!$A$2:$A$1300,$A567,元データ_14項目!$B$2:$B$1300,"本年",元データ_14項目!$C$2:$C$1300,L$5)</f>
        <v>70</v>
      </c>
      <c r="M567" s="26">
        <f>SUMIFS(INDEX(元データ_14項目!$D$2:$Q$1300,0,MATCH($B567,元データ_14項目!$D$1:$Q$1,0)),元データ_14項目!$A$2:$A$1300,$A567,元データ_14項目!$B$2:$B$1300,"本年",元データ_14項目!$C$2:$C$1300,M$5)</f>
        <v>59</v>
      </c>
      <c r="N567" s="26">
        <f>SUMIFS(INDEX(元データ_14項目!$D$2:$Q$1300,0,MATCH($B567,元データ_14項目!$D$1:$Q$1,0)),元データ_14項目!$A$2:$A$1300,$A567,元データ_14項目!$B$2:$B$1300,"本年",元データ_14項目!$C$2:$C$1300,N$5)</f>
        <v>63</v>
      </c>
      <c r="O567" s="26">
        <f t="shared" si="16"/>
        <v>632</v>
      </c>
      <c r="P567" s="26">
        <f>SUMIFS(INDEX(元データ_14項目!$D$2:$Q$1300,0,MATCH($B567,元データ_14項目!$D$1:$Q$1,0)),元データ_14項目!$A$2:$A$1300,$A567,元データ_14項目!$B$2:$B$1300,"前年")</f>
        <v>612</v>
      </c>
      <c r="Q567" s="7">
        <f t="shared" si="17"/>
        <v>1.0326797385620916</v>
      </c>
    </row>
    <row r="568" spans="1:17" x14ac:dyDescent="0.45">
      <c r="A568" t="s">
        <v>75</v>
      </c>
      <c r="B568" t="s">
        <v>89</v>
      </c>
      <c r="C568" s="26">
        <f>SUMIFS(INDEX(元データ_14項目!$D$2:$Q$1300,0,MATCH($B568,元データ_14項目!$D$1:$Q$1,0)),元データ_14項目!$A$2:$A$1300,$A568,元データ_14項目!$B$2:$B$1300,"本年",元データ_14項目!$C$2:$C$1300,C$5)</f>
        <v>27</v>
      </c>
      <c r="D568" s="26">
        <f>SUMIFS(INDEX(元データ_14項目!$D$2:$Q$1300,0,MATCH($B568,元データ_14項目!$D$1:$Q$1,0)),元データ_14項目!$A$2:$A$1300,$A568,元データ_14項目!$B$2:$B$1300,"本年",元データ_14項目!$C$2:$C$1300,D$5)</f>
        <v>34</v>
      </c>
      <c r="E568" s="26">
        <f>SUMIFS(INDEX(元データ_14項目!$D$2:$Q$1300,0,MATCH($B568,元データ_14項目!$D$1:$Q$1,0)),元データ_14項目!$A$2:$A$1300,$A568,元データ_14項目!$B$2:$B$1300,"本年",元データ_14項目!$C$2:$C$1300,E$5)</f>
        <v>50</v>
      </c>
      <c r="F568" s="26">
        <f>SUMIFS(INDEX(元データ_14項目!$D$2:$Q$1300,0,MATCH($B568,元データ_14項目!$D$1:$Q$1,0)),元データ_14項目!$A$2:$A$1300,$A568,元データ_14項目!$B$2:$B$1300,"本年",元データ_14項目!$C$2:$C$1300,F$5)</f>
        <v>43</v>
      </c>
      <c r="G568" s="26">
        <f>SUMIFS(INDEX(元データ_14項目!$D$2:$Q$1300,0,MATCH($B568,元データ_14項目!$D$1:$Q$1,0)),元データ_14項目!$A$2:$A$1300,$A568,元データ_14項目!$B$2:$B$1300,"本年",元データ_14項目!$C$2:$C$1300,G$5)</f>
        <v>31</v>
      </c>
      <c r="H568" s="26">
        <f>SUMIFS(INDEX(元データ_14項目!$D$2:$Q$1300,0,MATCH($B568,元データ_14項目!$D$1:$Q$1,0)),元データ_14項目!$A$2:$A$1300,$A568,元データ_14項目!$B$2:$B$1300,"本年",元データ_14項目!$C$2:$C$1300,H$5)</f>
        <v>23</v>
      </c>
      <c r="I568" s="26">
        <f>SUMIFS(INDEX(元データ_14項目!$D$2:$Q$1300,0,MATCH($B568,元データ_14項目!$D$1:$Q$1,0)),元データ_14項目!$A$2:$A$1300,$A568,元データ_14項目!$B$2:$B$1300,"本年",元データ_14項目!$C$2:$C$1300,I$5)</f>
        <v>14</v>
      </c>
      <c r="J568" s="26">
        <f>SUMIFS(INDEX(元データ_14項目!$D$2:$Q$1300,0,MATCH($B568,元データ_14項目!$D$1:$Q$1,0)),元データ_14項目!$A$2:$A$1300,$A568,元データ_14項目!$B$2:$B$1300,"本年",元データ_14項目!$C$2:$C$1300,J$5)</f>
        <v>44</v>
      </c>
      <c r="K568" s="26">
        <f>SUMIFS(INDEX(元データ_14項目!$D$2:$Q$1300,0,MATCH($B568,元データ_14項目!$D$1:$Q$1,0)),元データ_14項目!$A$2:$A$1300,$A568,元データ_14項目!$B$2:$B$1300,"本年",元データ_14項目!$C$2:$C$1300,K$5)</f>
        <v>41</v>
      </c>
      <c r="L568" s="26">
        <f>SUMIFS(INDEX(元データ_14項目!$D$2:$Q$1300,0,MATCH($B568,元データ_14項目!$D$1:$Q$1,0)),元データ_14項目!$A$2:$A$1300,$A568,元データ_14項目!$B$2:$B$1300,"本年",元データ_14項目!$C$2:$C$1300,L$5)</f>
        <v>34</v>
      </c>
      <c r="M568" s="26">
        <f>SUMIFS(INDEX(元データ_14項目!$D$2:$Q$1300,0,MATCH($B568,元データ_14項目!$D$1:$Q$1,0)),元データ_14項目!$A$2:$A$1300,$A568,元データ_14項目!$B$2:$B$1300,"本年",元データ_14項目!$C$2:$C$1300,M$5)</f>
        <v>67</v>
      </c>
      <c r="N568" s="26">
        <f>SUMIFS(INDEX(元データ_14項目!$D$2:$Q$1300,0,MATCH($B568,元データ_14項目!$D$1:$Q$1,0)),元データ_14項目!$A$2:$A$1300,$A568,元データ_14項目!$B$2:$B$1300,"本年",元データ_14項目!$C$2:$C$1300,N$5)</f>
        <v>46</v>
      </c>
      <c r="O568" s="26">
        <f t="shared" si="16"/>
        <v>454</v>
      </c>
      <c r="P568" s="26">
        <f>SUMIFS(INDEX(元データ_14項目!$D$2:$Q$1300,0,MATCH($B568,元データ_14項目!$D$1:$Q$1,0)),元データ_14項目!$A$2:$A$1300,$A568,元データ_14項目!$B$2:$B$1300,"前年")</f>
        <v>474</v>
      </c>
      <c r="Q568" s="7">
        <f t="shared" si="17"/>
        <v>0.95780590717299574</v>
      </c>
    </row>
    <row r="569" spans="1:17" x14ac:dyDescent="0.45">
      <c r="A569" t="s">
        <v>75</v>
      </c>
      <c r="B569" t="s">
        <v>90</v>
      </c>
      <c r="C569" s="26">
        <f>SUMIFS(INDEX(元データ_14項目!$D$2:$Q$1300,0,MATCH($B569,元データ_14項目!$D$1:$Q$1,0)),元データ_14項目!$A$2:$A$1300,$A569,元データ_14項目!$B$2:$B$1300,"本年",元データ_14項目!$C$2:$C$1300,C$5)</f>
        <v>34</v>
      </c>
      <c r="D569" s="26">
        <f>SUMIFS(INDEX(元データ_14項目!$D$2:$Q$1300,0,MATCH($B569,元データ_14項目!$D$1:$Q$1,0)),元データ_14項目!$A$2:$A$1300,$A569,元データ_14項目!$B$2:$B$1300,"本年",元データ_14項目!$C$2:$C$1300,D$5)</f>
        <v>35</v>
      </c>
      <c r="E569" s="26">
        <f>SUMIFS(INDEX(元データ_14項目!$D$2:$Q$1300,0,MATCH($B569,元データ_14項目!$D$1:$Q$1,0)),元データ_14項目!$A$2:$A$1300,$A569,元データ_14項目!$B$2:$B$1300,"本年",元データ_14項目!$C$2:$C$1300,E$5)</f>
        <v>63</v>
      </c>
      <c r="F569" s="26">
        <f>SUMIFS(INDEX(元データ_14項目!$D$2:$Q$1300,0,MATCH($B569,元データ_14項目!$D$1:$Q$1,0)),元データ_14項目!$A$2:$A$1300,$A569,元データ_14項目!$B$2:$B$1300,"本年",元データ_14項目!$C$2:$C$1300,F$5)</f>
        <v>131</v>
      </c>
      <c r="G569" s="26">
        <f>SUMIFS(INDEX(元データ_14項目!$D$2:$Q$1300,0,MATCH($B569,元データ_14項目!$D$1:$Q$1,0)),元データ_14項目!$A$2:$A$1300,$A569,元データ_14項目!$B$2:$B$1300,"本年",元データ_14項目!$C$2:$C$1300,G$5)</f>
        <v>143</v>
      </c>
      <c r="H569" s="26">
        <f>SUMIFS(INDEX(元データ_14項目!$D$2:$Q$1300,0,MATCH($B569,元データ_14項目!$D$1:$Q$1,0)),元データ_14項目!$A$2:$A$1300,$A569,元データ_14項目!$B$2:$B$1300,"本年",元データ_14項目!$C$2:$C$1300,H$5)</f>
        <v>112</v>
      </c>
      <c r="I569" s="26">
        <f>SUMIFS(INDEX(元データ_14項目!$D$2:$Q$1300,0,MATCH($B569,元データ_14項目!$D$1:$Q$1,0)),元データ_14項目!$A$2:$A$1300,$A569,元データ_14項目!$B$2:$B$1300,"本年",元データ_14項目!$C$2:$C$1300,I$5)</f>
        <v>81</v>
      </c>
      <c r="J569" s="26">
        <f>SUMIFS(INDEX(元データ_14項目!$D$2:$Q$1300,0,MATCH($B569,元データ_14項目!$D$1:$Q$1,0)),元データ_14項目!$A$2:$A$1300,$A569,元データ_14項目!$B$2:$B$1300,"本年",元データ_14項目!$C$2:$C$1300,J$5)</f>
        <v>139</v>
      </c>
      <c r="K569" s="26">
        <f>SUMIFS(INDEX(元データ_14項目!$D$2:$Q$1300,0,MATCH($B569,元データ_14項目!$D$1:$Q$1,0)),元データ_14項目!$A$2:$A$1300,$A569,元データ_14項目!$B$2:$B$1300,"本年",元データ_14項目!$C$2:$C$1300,K$5)</f>
        <v>215</v>
      </c>
      <c r="L569" s="26">
        <f>SUMIFS(INDEX(元データ_14項目!$D$2:$Q$1300,0,MATCH($B569,元データ_14項目!$D$1:$Q$1,0)),元データ_14項目!$A$2:$A$1300,$A569,元データ_14項目!$B$2:$B$1300,"本年",元データ_14項目!$C$2:$C$1300,L$5)</f>
        <v>139</v>
      </c>
      <c r="M569" s="26">
        <f>SUMIFS(INDEX(元データ_14項目!$D$2:$Q$1300,0,MATCH($B569,元データ_14項目!$D$1:$Q$1,0)),元データ_14項目!$A$2:$A$1300,$A569,元データ_14項目!$B$2:$B$1300,"本年",元データ_14項目!$C$2:$C$1300,M$5)</f>
        <v>113</v>
      </c>
      <c r="N569" s="26">
        <f>SUMIFS(INDEX(元データ_14項目!$D$2:$Q$1300,0,MATCH($B569,元データ_14項目!$D$1:$Q$1,0)),元データ_14項目!$A$2:$A$1300,$A569,元データ_14項目!$B$2:$B$1300,"本年",元データ_14項目!$C$2:$C$1300,N$5)</f>
        <v>57</v>
      </c>
      <c r="O569" s="26">
        <f t="shared" si="16"/>
        <v>1262</v>
      </c>
      <c r="P569" s="26">
        <f>SUMIFS(INDEX(元データ_14項目!$D$2:$Q$1300,0,MATCH($B569,元データ_14項目!$D$1:$Q$1,0)),元データ_14項目!$A$2:$A$1300,$A569,元データ_14項目!$B$2:$B$1300,"前年")</f>
        <v>1278</v>
      </c>
      <c r="Q569" s="7">
        <f t="shared" si="17"/>
        <v>0.98748043818466358</v>
      </c>
    </row>
    <row r="570" spans="1:17" x14ac:dyDescent="0.45">
      <c r="A570" t="s">
        <v>75</v>
      </c>
      <c r="B570" t="s">
        <v>91</v>
      </c>
      <c r="C570" s="26">
        <f>SUMIFS(INDEX(元データ_14項目!$D$2:$Q$1300,0,MATCH($B570,元データ_14項目!$D$1:$Q$1,0)),元データ_14項目!$A$2:$A$1300,$A570,元データ_14項目!$B$2:$B$1300,"本年",元データ_14項目!$C$2:$C$1300,C$5)</f>
        <v>10</v>
      </c>
      <c r="D570" s="26">
        <f>SUMIFS(INDEX(元データ_14項目!$D$2:$Q$1300,0,MATCH($B570,元データ_14項目!$D$1:$Q$1,0)),元データ_14項目!$A$2:$A$1300,$A570,元データ_14項目!$B$2:$B$1300,"本年",元データ_14項目!$C$2:$C$1300,D$5)</f>
        <v>44</v>
      </c>
      <c r="E570" s="26">
        <f>SUMIFS(INDEX(元データ_14項目!$D$2:$Q$1300,0,MATCH($B570,元データ_14項目!$D$1:$Q$1,0)),元データ_14項目!$A$2:$A$1300,$A570,元データ_14項目!$B$2:$B$1300,"本年",元データ_14項目!$C$2:$C$1300,E$5)</f>
        <v>68</v>
      </c>
      <c r="F570" s="26">
        <f>SUMIFS(INDEX(元データ_14項目!$D$2:$Q$1300,0,MATCH($B570,元データ_14項目!$D$1:$Q$1,0)),元データ_14項目!$A$2:$A$1300,$A570,元データ_14項目!$B$2:$B$1300,"本年",元データ_14項目!$C$2:$C$1300,F$5)</f>
        <v>72</v>
      </c>
      <c r="G570" s="26">
        <f>SUMIFS(INDEX(元データ_14項目!$D$2:$Q$1300,0,MATCH($B570,元データ_14項目!$D$1:$Q$1,0)),元データ_14項目!$A$2:$A$1300,$A570,元データ_14項目!$B$2:$B$1300,"本年",元データ_14項目!$C$2:$C$1300,G$5)</f>
        <v>34</v>
      </c>
      <c r="H570" s="26">
        <f>SUMIFS(INDEX(元データ_14項目!$D$2:$Q$1300,0,MATCH($B570,元データ_14項目!$D$1:$Q$1,0)),元データ_14項目!$A$2:$A$1300,$A570,元データ_14項目!$B$2:$B$1300,"本年",元データ_14項目!$C$2:$C$1300,H$5)</f>
        <v>6</v>
      </c>
      <c r="I570" s="26">
        <f>SUMIFS(INDEX(元データ_14項目!$D$2:$Q$1300,0,MATCH($B570,元データ_14項目!$D$1:$Q$1,0)),元データ_14項目!$A$2:$A$1300,$A570,元データ_14項目!$B$2:$B$1300,"本年",元データ_14項目!$C$2:$C$1300,I$5)</f>
        <v>22</v>
      </c>
      <c r="J570" s="26">
        <f>SUMIFS(INDEX(元データ_14項目!$D$2:$Q$1300,0,MATCH($B570,元データ_14項目!$D$1:$Q$1,0)),元データ_14項目!$A$2:$A$1300,$A570,元データ_14項目!$B$2:$B$1300,"本年",元データ_14項目!$C$2:$C$1300,J$5)</f>
        <v>16</v>
      </c>
      <c r="K570" s="26">
        <f>SUMIFS(INDEX(元データ_14項目!$D$2:$Q$1300,0,MATCH($B570,元データ_14項目!$D$1:$Q$1,0)),元データ_14項目!$A$2:$A$1300,$A570,元データ_14項目!$B$2:$B$1300,"本年",元データ_14項目!$C$2:$C$1300,K$5)</f>
        <v>21</v>
      </c>
      <c r="L570" s="26">
        <f>SUMIFS(INDEX(元データ_14項目!$D$2:$Q$1300,0,MATCH($B570,元データ_14項目!$D$1:$Q$1,0)),元データ_14項目!$A$2:$A$1300,$A570,元データ_14項目!$B$2:$B$1300,"本年",元データ_14項目!$C$2:$C$1300,L$5)</f>
        <v>27</v>
      </c>
      <c r="M570" s="26">
        <f>SUMIFS(INDEX(元データ_14項目!$D$2:$Q$1300,0,MATCH($B570,元データ_14項目!$D$1:$Q$1,0)),元データ_14項目!$A$2:$A$1300,$A570,元データ_14項目!$B$2:$B$1300,"本年",元データ_14項目!$C$2:$C$1300,M$5)</f>
        <v>48</v>
      </c>
      <c r="N570" s="26">
        <f>SUMIFS(INDEX(元データ_14項目!$D$2:$Q$1300,0,MATCH($B570,元データ_14項目!$D$1:$Q$1,0)),元データ_14項目!$A$2:$A$1300,$A570,元データ_14項目!$B$2:$B$1300,"本年",元データ_14項目!$C$2:$C$1300,N$5)</f>
        <v>28</v>
      </c>
      <c r="O570" s="26">
        <f t="shared" si="16"/>
        <v>396</v>
      </c>
      <c r="P570" s="26">
        <f>SUMIFS(INDEX(元データ_14項目!$D$2:$Q$1300,0,MATCH($B570,元データ_14項目!$D$1:$Q$1,0)),元データ_14項目!$A$2:$A$1300,$A570,元データ_14項目!$B$2:$B$1300,"前年")</f>
        <v>468</v>
      </c>
      <c r="Q570" s="7">
        <f t="shared" si="17"/>
        <v>0.84615384615384615</v>
      </c>
    </row>
    <row r="571" spans="1:17" x14ac:dyDescent="0.45">
      <c r="A571" t="s">
        <v>75</v>
      </c>
      <c r="B571" t="s">
        <v>28</v>
      </c>
      <c r="C571" s="26">
        <f>SUMIFS(INDEX(元データ_14項目!$D$2:$Q$1300,0,MATCH($B571,元データ_14項目!$D$1:$Q$1,0)),元データ_14項目!$A$2:$A$1300,$A571,元データ_14項目!$B$2:$B$1300,"本年",元データ_14項目!$C$2:$C$1300,C$5)</f>
        <v>147</v>
      </c>
      <c r="D571" s="26">
        <f>SUMIFS(INDEX(元データ_14項目!$D$2:$Q$1300,0,MATCH($B571,元データ_14項目!$D$1:$Q$1,0)),元データ_14項目!$A$2:$A$1300,$A571,元データ_14項目!$B$2:$B$1300,"本年",元データ_14項目!$C$2:$C$1300,D$5)</f>
        <v>218</v>
      </c>
      <c r="E571" s="26">
        <f>SUMIFS(INDEX(元データ_14項目!$D$2:$Q$1300,0,MATCH($B571,元データ_14項目!$D$1:$Q$1,0)),元データ_14項目!$A$2:$A$1300,$A571,元データ_14項目!$B$2:$B$1300,"本年",元データ_14項目!$C$2:$C$1300,E$5)</f>
        <v>249</v>
      </c>
      <c r="F571" s="26">
        <f>SUMIFS(INDEX(元データ_14項目!$D$2:$Q$1300,0,MATCH($B571,元データ_14項目!$D$1:$Q$1,0)),元データ_14項目!$A$2:$A$1300,$A571,元データ_14項目!$B$2:$B$1300,"本年",元データ_14項目!$C$2:$C$1300,F$5)</f>
        <v>213</v>
      </c>
      <c r="G571" s="26">
        <f>SUMIFS(INDEX(元データ_14項目!$D$2:$Q$1300,0,MATCH($B571,元データ_14項目!$D$1:$Q$1,0)),元データ_14項目!$A$2:$A$1300,$A571,元データ_14項目!$B$2:$B$1300,"本年",元データ_14項目!$C$2:$C$1300,G$5)</f>
        <v>170</v>
      </c>
      <c r="H571" s="26">
        <f>SUMIFS(INDEX(元データ_14項目!$D$2:$Q$1300,0,MATCH($B571,元データ_14項目!$D$1:$Q$1,0)),元データ_14項目!$A$2:$A$1300,$A571,元データ_14項目!$B$2:$B$1300,"本年",元データ_14項目!$C$2:$C$1300,H$5)</f>
        <v>88</v>
      </c>
      <c r="I571" s="26">
        <f>SUMIFS(INDEX(元データ_14項目!$D$2:$Q$1300,0,MATCH($B571,元データ_14項目!$D$1:$Q$1,0)),元データ_14項目!$A$2:$A$1300,$A571,元データ_14項目!$B$2:$B$1300,"本年",元データ_14項目!$C$2:$C$1300,I$5)</f>
        <v>117</v>
      </c>
      <c r="J571" s="26">
        <f>SUMIFS(INDEX(元データ_14項目!$D$2:$Q$1300,0,MATCH($B571,元データ_14項目!$D$1:$Q$1,0)),元データ_14項目!$A$2:$A$1300,$A571,元データ_14項目!$B$2:$B$1300,"本年",元データ_14項目!$C$2:$C$1300,J$5)</f>
        <v>102</v>
      </c>
      <c r="K571" s="26">
        <f>SUMIFS(INDEX(元データ_14項目!$D$2:$Q$1300,0,MATCH($B571,元データ_14項目!$D$1:$Q$1,0)),元データ_14項目!$A$2:$A$1300,$A571,元データ_14項目!$B$2:$B$1300,"本年",元データ_14項目!$C$2:$C$1300,K$5)</f>
        <v>223</v>
      </c>
      <c r="L571" s="26">
        <f>SUMIFS(INDEX(元データ_14項目!$D$2:$Q$1300,0,MATCH($B571,元データ_14項目!$D$1:$Q$1,0)),元データ_14項目!$A$2:$A$1300,$A571,元データ_14項目!$B$2:$B$1300,"本年",元データ_14項目!$C$2:$C$1300,L$5)</f>
        <v>152</v>
      </c>
      <c r="M571" s="26">
        <f>SUMIFS(INDEX(元データ_14項目!$D$2:$Q$1300,0,MATCH($B571,元データ_14項目!$D$1:$Q$1,0)),元データ_14項目!$A$2:$A$1300,$A571,元データ_14項目!$B$2:$B$1300,"本年",元データ_14項目!$C$2:$C$1300,M$5)</f>
        <v>194</v>
      </c>
      <c r="N571" s="26">
        <f>SUMIFS(INDEX(元データ_14項目!$D$2:$Q$1300,0,MATCH($B571,元データ_14項目!$D$1:$Q$1,0)),元データ_14項目!$A$2:$A$1300,$A571,元データ_14項目!$B$2:$B$1300,"本年",元データ_14項目!$C$2:$C$1300,N$5)</f>
        <v>178</v>
      </c>
      <c r="O571" s="26">
        <f t="shared" si="16"/>
        <v>2051</v>
      </c>
      <c r="P571" s="26">
        <f>SUMIFS(INDEX(元データ_14項目!$D$2:$Q$1300,0,MATCH($B571,元データ_14項目!$D$1:$Q$1,0)),元データ_14項目!$A$2:$A$1300,$A571,元データ_14項目!$B$2:$B$1300,"前年")</f>
        <v>2252</v>
      </c>
      <c r="Q571" s="7">
        <f t="shared" si="17"/>
        <v>0.91074600355239788</v>
      </c>
    </row>
    <row r="572" spans="1:17" x14ac:dyDescent="0.45">
      <c r="A572" t="s">
        <v>75</v>
      </c>
      <c r="B572" t="s">
        <v>92</v>
      </c>
      <c r="C572" s="26">
        <f>SUMIFS(INDEX(元データ_14項目!$D$2:$Q$1300,0,MATCH($B572,元データ_14項目!$D$1:$Q$1,0)),元データ_14項目!$A$2:$A$1300,$A572,元データ_14項目!$B$2:$B$1300,"本年",元データ_14項目!$C$2:$C$1300,C$5)</f>
        <v>27</v>
      </c>
      <c r="D572" s="26">
        <f>SUMIFS(INDEX(元データ_14項目!$D$2:$Q$1300,0,MATCH($B572,元データ_14項目!$D$1:$Q$1,0)),元データ_14項目!$A$2:$A$1300,$A572,元データ_14項目!$B$2:$B$1300,"本年",元データ_14項目!$C$2:$C$1300,D$5)</f>
        <v>22</v>
      </c>
      <c r="E572" s="26">
        <f>SUMIFS(INDEX(元データ_14項目!$D$2:$Q$1300,0,MATCH($B572,元データ_14項目!$D$1:$Q$1,0)),元データ_14項目!$A$2:$A$1300,$A572,元データ_14項目!$B$2:$B$1300,"本年",元データ_14項目!$C$2:$C$1300,E$5)</f>
        <v>45</v>
      </c>
      <c r="F572" s="26">
        <f>SUMIFS(INDEX(元データ_14項目!$D$2:$Q$1300,0,MATCH($B572,元データ_14項目!$D$1:$Q$1,0)),元データ_14項目!$A$2:$A$1300,$A572,元データ_14項目!$B$2:$B$1300,"本年",元データ_14項目!$C$2:$C$1300,F$5)</f>
        <v>35</v>
      </c>
      <c r="G572" s="26">
        <f>SUMIFS(INDEX(元データ_14項目!$D$2:$Q$1300,0,MATCH($B572,元データ_14項目!$D$1:$Q$1,0)),元データ_14項目!$A$2:$A$1300,$A572,元データ_14項目!$B$2:$B$1300,"本年",元データ_14項目!$C$2:$C$1300,G$5)</f>
        <v>60</v>
      </c>
      <c r="H572" s="26">
        <f>SUMIFS(INDEX(元データ_14項目!$D$2:$Q$1300,0,MATCH($B572,元データ_14項目!$D$1:$Q$1,0)),元データ_14項目!$A$2:$A$1300,$A572,元データ_14項目!$B$2:$B$1300,"本年",元データ_14項目!$C$2:$C$1300,H$5)</f>
        <v>21</v>
      </c>
      <c r="I572" s="26">
        <f>SUMIFS(INDEX(元データ_14項目!$D$2:$Q$1300,0,MATCH($B572,元データ_14項目!$D$1:$Q$1,0)),元データ_14項目!$A$2:$A$1300,$A572,元データ_14項目!$B$2:$B$1300,"本年",元データ_14項目!$C$2:$C$1300,I$5)</f>
        <v>16</v>
      </c>
      <c r="J572" s="26">
        <f>SUMIFS(INDEX(元データ_14項目!$D$2:$Q$1300,0,MATCH($B572,元データ_14項目!$D$1:$Q$1,0)),元データ_14項目!$A$2:$A$1300,$A572,元データ_14項目!$B$2:$B$1300,"本年",元データ_14項目!$C$2:$C$1300,J$5)</f>
        <v>20</v>
      </c>
      <c r="K572" s="26">
        <f>SUMIFS(INDEX(元データ_14項目!$D$2:$Q$1300,0,MATCH($B572,元データ_14項目!$D$1:$Q$1,0)),元データ_14項目!$A$2:$A$1300,$A572,元データ_14項目!$B$2:$B$1300,"本年",元データ_14項目!$C$2:$C$1300,K$5)</f>
        <v>60</v>
      </c>
      <c r="L572" s="26">
        <f>SUMIFS(INDEX(元データ_14項目!$D$2:$Q$1300,0,MATCH($B572,元データ_14項目!$D$1:$Q$1,0)),元データ_14項目!$A$2:$A$1300,$A572,元データ_14項目!$B$2:$B$1300,"本年",元データ_14項目!$C$2:$C$1300,L$5)</f>
        <v>35</v>
      </c>
      <c r="M572" s="26">
        <f>SUMIFS(INDEX(元データ_14項目!$D$2:$Q$1300,0,MATCH($B572,元データ_14項目!$D$1:$Q$1,0)),元データ_14項目!$A$2:$A$1300,$A572,元データ_14項目!$B$2:$B$1300,"本年",元データ_14項目!$C$2:$C$1300,M$5)</f>
        <v>47</v>
      </c>
      <c r="N572" s="26">
        <f>SUMIFS(INDEX(元データ_14項目!$D$2:$Q$1300,0,MATCH($B572,元データ_14項目!$D$1:$Q$1,0)),元データ_14項目!$A$2:$A$1300,$A572,元データ_14項目!$B$2:$B$1300,"本年",元データ_14項目!$C$2:$C$1300,N$5)</f>
        <v>19</v>
      </c>
      <c r="O572" s="26">
        <f t="shared" si="16"/>
        <v>407</v>
      </c>
      <c r="P572" s="26">
        <f>SUMIFS(INDEX(元データ_14項目!$D$2:$Q$1300,0,MATCH($B572,元データ_14項目!$D$1:$Q$1,0)),元データ_14項目!$A$2:$A$1300,$A572,元データ_14項目!$B$2:$B$1300,"前年")</f>
        <v>466</v>
      </c>
      <c r="Q572" s="7">
        <f t="shared" si="17"/>
        <v>0.87339055793991416</v>
      </c>
    </row>
    <row r="573" spans="1:17" x14ac:dyDescent="0.45">
      <c r="A573" t="s">
        <v>75</v>
      </c>
      <c r="B573" t="s">
        <v>93</v>
      </c>
      <c r="C573" s="26">
        <f>SUMIFS(INDEX(元データ_14項目!$D$2:$Q$1300,0,MATCH($B573,元データ_14項目!$D$1:$Q$1,0)),元データ_14項目!$A$2:$A$1300,$A573,元データ_14項目!$B$2:$B$1300,"本年",元データ_14項目!$C$2:$C$1300,C$5)</f>
        <v>11</v>
      </c>
      <c r="D573" s="26">
        <f>SUMIFS(INDEX(元データ_14項目!$D$2:$Q$1300,0,MATCH($B573,元データ_14項目!$D$1:$Q$1,0)),元データ_14項目!$A$2:$A$1300,$A573,元データ_14項目!$B$2:$B$1300,"本年",元データ_14項目!$C$2:$C$1300,D$5)</f>
        <v>14</v>
      </c>
      <c r="E573" s="26">
        <f>SUMIFS(INDEX(元データ_14項目!$D$2:$Q$1300,0,MATCH($B573,元データ_14項目!$D$1:$Q$1,0)),元データ_14項目!$A$2:$A$1300,$A573,元データ_14項目!$B$2:$B$1300,"本年",元データ_14項目!$C$2:$C$1300,E$5)</f>
        <v>33</v>
      </c>
      <c r="F573" s="26">
        <f>SUMIFS(INDEX(元データ_14項目!$D$2:$Q$1300,0,MATCH($B573,元データ_14項目!$D$1:$Q$1,0)),元データ_14項目!$A$2:$A$1300,$A573,元データ_14項目!$B$2:$B$1300,"本年",元データ_14項目!$C$2:$C$1300,F$5)</f>
        <v>47</v>
      </c>
      <c r="G573" s="26">
        <f>SUMIFS(INDEX(元データ_14項目!$D$2:$Q$1300,0,MATCH($B573,元データ_14項目!$D$1:$Q$1,0)),元データ_14項目!$A$2:$A$1300,$A573,元データ_14項目!$B$2:$B$1300,"本年",元データ_14項目!$C$2:$C$1300,G$5)</f>
        <v>86</v>
      </c>
      <c r="H573" s="26">
        <f>SUMIFS(INDEX(元データ_14項目!$D$2:$Q$1300,0,MATCH($B573,元データ_14項目!$D$1:$Q$1,0)),元データ_14項目!$A$2:$A$1300,$A573,元データ_14項目!$B$2:$B$1300,"本年",元データ_14項目!$C$2:$C$1300,H$5)</f>
        <v>76</v>
      </c>
      <c r="I573" s="26">
        <f>SUMIFS(INDEX(元データ_14項目!$D$2:$Q$1300,0,MATCH($B573,元データ_14項目!$D$1:$Q$1,0)),元データ_14項目!$A$2:$A$1300,$A573,元データ_14項目!$B$2:$B$1300,"本年",元データ_14項目!$C$2:$C$1300,I$5)</f>
        <v>52</v>
      </c>
      <c r="J573" s="26">
        <f>SUMIFS(INDEX(元データ_14項目!$D$2:$Q$1300,0,MATCH($B573,元データ_14項目!$D$1:$Q$1,0)),元データ_14項目!$A$2:$A$1300,$A573,元データ_14項目!$B$2:$B$1300,"本年",元データ_14項目!$C$2:$C$1300,J$5)</f>
        <v>90</v>
      </c>
      <c r="K573" s="26">
        <f>SUMIFS(INDEX(元データ_14項目!$D$2:$Q$1300,0,MATCH($B573,元データ_14項目!$D$1:$Q$1,0)),元データ_14項目!$A$2:$A$1300,$A573,元データ_14項目!$B$2:$B$1300,"本年",元データ_14項目!$C$2:$C$1300,K$5)</f>
        <v>304</v>
      </c>
      <c r="L573" s="26">
        <f>SUMIFS(INDEX(元データ_14項目!$D$2:$Q$1300,0,MATCH($B573,元データ_14項目!$D$1:$Q$1,0)),元データ_14項目!$A$2:$A$1300,$A573,元データ_14項目!$B$2:$B$1300,"本年",元データ_14項目!$C$2:$C$1300,L$5)</f>
        <v>98</v>
      </c>
      <c r="M573" s="26">
        <f>SUMIFS(INDEX(元データ_14項目!$D$2:$Q$1300,0,MATCH($B573,元データ_14項目!$D$1:$Q$1,0)),元データ_14項目!$A$2:$A$1300,$A573,元データ_14項目!$B$2:$B$1300,"本年",元データ_14項目!$C$2:$C$1300,M$5)</f>
        <v>87</v>
      </c>
      <c r="N573" s="26">
        <f>SUMIFS(INDEX(元データ_14項目!$D$2:$Q$1300,0,MATCH($B573,元データ_14項目!$D$1:$Q$1,0)),元データ_14項目!$A$2:$A$1300,$A573,元データ_14項目!$B$2:$B$1300,"本年",元データ_14項目!$C$2:$C$1300,N$5)</f>
        <v>43</v>
      </c>
      <c r="O573" s="26">
        <f t="shared" si="16"/>
        <v>941</v>
      </c>
      <c r="P573" s="26">
        <f>SUMIFS(INDEX(元データ_14項目!$D$2:$Q$1300,0,MATCH($B573,元データ_14項目!$D$1:$Q$1,0)),元データ_14項目!$A$2:$A$1300,$A573,元データ_14項目!$B$2:$B$1300,"前年")</f>
        <v>998</v>
      </c>
      <c r="Q573" s="7">
        <f t="shared" si="17"/>
        <v>0.94288577154308617</v>
      </c>
    </row>
    <row r="574" spans="1:17" x14ac:dyDescent="0.45">
      <c r="A574" t="s">
        <v>75</v>
      </c>
      <c r="B574" t="s">
        <v>94</v>
      </c>
      <c r="C574" s="26">
        <f>SUMIFS(INDEX(元データ_14項目!$D$2:$Q$1300,0,MATCH($B574,元データ_14項目!$D$1:$Q$1,0)),元データ_14項目!$A$2:$A$1300,$A574,元データ_14項目!$B$2:$B$1300,"本年",元データ_14項目!$C$2:$C$1300,C$5)</f>
        <v>16</v>
      </c>
      <c r="D574" s="26">
        <f>SUMIFS(INDEX(元データ_14項目!$D$2:$Q$1300,0,MATCH($B574,元データ_14項目!$D$1:$Q$1,0)),元データ_14項目!$A$2:$A$1300,$A574,元データ_14項目!$B$2:$B$1300,"本年",元データ_14項目!$C$2:$C$1300,D$5)</f>
        <v>6</v>
      </c>
      <c r="E574" s="26">
        <f>SUMIFS(INDEX(元データ_14項目!$D$2:$Q$1300,0,MATCH($B574,元データ_14項目!$D$1:$Q$1,0)),元データ_14項目!$A$2:$A$1300,$A574,元データ_14項目!$B$2:$B$1300,"本年",元データ_14項目!$C$2:$C$1300,E$5)</f>
        <v>13</v>
      </c>
      <c r="F574" s="26">
        <f>SUMIFS(INDEX(元データ_14項目!$D$2:$Q$1300,0,MATCH($B574,元データ_14項目!$D$1:$Q$1,0)),元データ_14項目!$A$2:$A$1300,$A574,元データ_14項目!$B$2:$B$1300,"本年",元データ_14項目!$C$2:$C$1300,F$5)</f>
        <v>22</v>
      </c>
      <c r="G574" s="26">
        <f>SUMIFS(INDEX(元データ_14項目!$D$2:$Q$1300,0,MATCH($B574,元データ_14項目!$D$1:$Q$1,0)),元データ_14項目!$A$2:$A$1300,$A574,元データ_14項目!$B$2:$B$1300,"本年",元データ_14項目!$C$2:$C$1300,G$5)</f>
        <v>40</v>
      </c>
      <c r="H574" s="26">
        <f>SUMIFS(INDEX(元データ_14項目!$D$2:$Q$1300,0,MATCH($B574,元データ_14項目!$D$1:$Q$1,0)),元データ_14項目!$A$2:$A$1300,$A574,元データ_14項目!$B$2:$B$1300,"本年",元データ_14項目!$C$2:$C$1300,H$5)</f>
        <v>21</v>
      </c>
      <c r="I574" s="26">
        <f>SUMIFS(INDEX(元データ_14項目!$D$2:$Q$1300,0,MATCH($B574,元データ_14項目!$D$1:$Q$1,0)),元データ_14項目!$A$2:$A$1300,$A574,元データ_14項目!$B$2:$B$1300,"本年",元データ_14項目!$C$2:$C$1300,I$5)</f>
        <v>19</v>
      </c>
      <c r="J574" s="26">
        <f>SUMIFS(INDEX(元データ_14項目!$D$2:$Q$1300,0,MATCH($B574,元データ_14項目!$D$1:$Q$1,0)),元データ_14項目!$A$2:$A$1300,$A574,元データ_14項目!$B$2:$B$1300,"本年",元データ_14項目!$C$2:$C$1300,J$5)</f>
        <v>25</v>
      </c>
      <c r="K574" s="26">
        <f>SUMIFS(INDEX(元データ_14項目!$D$2:$Q$1300,0,MATCH($B574,元データ_14項目!$D$1:$Q$1,0)),元データ_14項目!$A$2:$A$1300,$A574,元データ_14項目!$B$2:$B$1300,"本年",元データ_14項目!$C$2:$C$1300,K$5)</f>
        <v>98</v>
      </c>
      <c r="L574" s="26">
        <f>SUMIFS(INDEX(元データ_14項目!$D$2:$Q$1300,0,MATCH($B574,元データ_14項目!$D$1:$Q$1,0)),元データ_14項目!$A$2:$A$1300,$A574,元データ_14項目!$B$2:$B$1300,"本年",元データ_14項目!$C$2:$C$1300,L$5)</f>
        <v>44</v>
      </c>
      <c r="M574" s="26">
        <f>SUMIFS(INDEX(元データ_14項目!$D$2:$Q$1300,0,MATCH($B574,元データ_14項目!$D$1:$Q$1,0)),元データ_14項目!$A$2:$A$1300,$A574,元データ_14項目!$B$2:$B$1300,"本年",元データ_14項目!$C$2:$C$1300,M$5)</f>
        <v>38</v>
      </c>
      <c r="N574" s="26">
        <f>SUMIFS(INDEX(元データ_14項目!$D$2:$Q$1300,0,MATCH($B574,元データ_14項目!$D$1:$Q$1,0)),元データ_14項目!$A$2:$A$1300,$A574,元データ_14項目!$B$2:$B$1300,"本年",元データ_14項目!$C$2:$C$1300,N$5)</f>
        <v>13</v>
      </c>
      <c r="O574" s="26">
        <f t="shared" si="16"/>
        <v>355</v>
      </c>
      <c r="P574" s="26">
        <f>SUMIFS(INDEX(元データ_14項目!$D$2:$Q$1300,0,MATCH($B574,元データ_14項目!$D$1:$Q$1,0)),元データ_14項目!$A$2:$A$1300,$A574,元データ_14項目!$B$2:$B$1300,"前年")</f>
        <v>487</v>
      </c>
      <c r="Q574" s="7">
        <f t="shared" si="17"/>
        <v>0.72895277207392195</v>
      </c>
    </row>
    <row r="575" spans="1:17" x14ac:dyDescent="0.45">
      <c r="A575" t="s">
        <v>75</v>
      </c>
      <c r="B575" t="s">
        <v>95</v>
      </c>
      <c r="C575" s="26">
        <f>SUMIFS(INDEX(元データ_14項目!$D$2:$Q$1300,0,MATCH($B575,元データ_14項目!$D$1:$Q$1,0)),元データ_14項目!$A$2:$A$1300,$A575,元データ_14項目!$B$2:$B$1300,"本年",元データ_14項目!$C$2:$C$1300,C$5)</f>
        <v>25</v>
      </c>
      <c r="D575" s="26">
        <f>SUMIFS(INDEX(元データ_14項目!$D$2:$Q$1300,0,MATCH($B575,元データ_14項目!$D$1:$Q$1,0)),元データ_14項目!$A$2:$A$1300,$A575,元データ_14項目!$B$2:$B$1300,"本年",元データ_14項目!$C$2:$C$1300,D$5)</f>
        <v>28</v>
      </c>
      <c r="E575" s="26">
        <f>SUMIFS(INDEX(元データ_14項目!$D$2:$Q$1300,0,MATCH($B575,元データ_14項目!$D$1:$Q$1,0)),元データ_14項目!$A$2:$A$1300,$A575,元データ_14項目!$B$2:$B$1300,"本年",元データ_14項目!$C$2:$C$1300,E$5)</f>
        <v>62</v>
      </c>
      <c r="F575" s="26">
        <f>SUMIFS(INDEX(元データ_14項目!$D$2:$Q$1300,0,MATCH($B575,元データ_14項目!$D$1:$Q$1,0)),元データ_14項目!$A$2:$A$1300,$A575,元データ_14項目!$B$2:$B$1300,"本年",元データ_14項目!$C$2:$C$1300,F$5)</f>
        <v>63</v>
      </c>
      <c r="G575" s="26">
        <f>SUMIFS(INDEX(元データ_14項目!$D$2:$Q$1300,0,MATCH($B575,元データ_14項目!$D$1:$Q$1,0)),元データ_14項目!$A$2:$A$1300,$A575,元データ_14項目!$B$2:$B$1300,"本年",元データ_14項目!$C$2:$C$1300,G$5)</f>
        <v>51</v>
      </c>
      <c r="H575" s="26">
        <f>SUMIFS(INDEX(元データ_14項目!$D$2:$Q$1300,0,MATCH($B575,元データ_14項目!$D$1:$Q$1,0)),元データ_14項目!$A$2:$A$1300,$A575,元データ_14項目!$B$2:$B$1300,"本年",元データ_14項目!$C$2:$C$1300,H$5)</f>
        <v>21</v>
      </c>
      <c r="I575" s="26">
        <f>SUMIFS(INDEX(元データ_14項目!$D$2:$Q$1300,0,MATCH($B575,元データ_14項目!$D$1:$Q$1,0)),元データ_14項目!$A$2:$A$1300,$A575,元データ_14項目!$B$2:$B$1300,"本年",元データ_14項目!$C$2:$C$1300,I$5)</f>
        <v>14</v>
      </c>
      <c r="J575" s="26">
        <f>SUMIFS(INDEX(元データ_14項目!$D$2:$Q$1300,0,MATCH($B575,元データ_14項目!$D$1:$Q$1,0)),元データ_14項目!$A$2:$A$1300,$A575,元データ_14項目!$B$2:$B$1300,"本年",元データ_14項目!$C$2:$C$1300,J$5)</f>
        <v>33</v>
      </c>
      <c r="K575" s="26">
        <f>SUMIFS(INDEX(元データ_14項目!$D$2:$Q$1300,0,MATCH($B575,元データ_14項目!$D$1:$Q$1,0)),元データ_14項目!$A$2:$A$1300,$A575,元データ_14項目!$B$2:$B$1300,"本年",元データ_14項目!$C$2:$C$1300,K$5)</f>
        <v>64</v>
      </c>
      <c r="L575" s="26">
        <f>SUMIFS(INDEX(元データ_14項目!$D$2:$Q$1300,0,MATCH($B575,元データ_14項目!$D$1:$Q$1,0)),元データ_14項目!$A$2:$A$1300,$A575,元データ_14項目!$B$2:$B$1300,"本年",元データ_14項目!$C$2:$C$1300,L$5)</f>
        <v>43</v>
      </c>
      <c r="M575" s="26">
        <f>SUMIFS(INDEX(元データ_14項目!$D$2:$Q$1300,0,MATCH($B575,元データ_14項目!$D$1:$Q$1,0)),元データ_14項目!$A$2:$A$1300,$A575,元データ_14項目!$B$2:$B$1300,"本年",元データ_14項目!$C$2:$C$1300,M$5)</f>
        <v>42</v>
      </c>
      <c r="N575" s="26">
        <f>SUMIFS(INDEX(元データ_14項目!$D$2:$Q$1300,0,MATCH($B575,元データ_14項目!$D$1:$Q$1,0)),元データ_14項目!$A$2:$A$1300,$A575,元データ_14項目!$B$2:$B$1300,"本年",元データ_14項目!$C$2:$C$1300,N$5)</f>
        <v>37</v>
      </c>
      <c r="O575" s="26">
        <f t="shared" si="16"/>
        <v>483</v>
      </c>
      <c r="P575" s="26">
        <f>SUMIFS(INDEX(元データ_14項目!$D$2:$Q$1300,0,MATCH($B575,元データ_14項目!$D$1:$Q$1,0)),元データ_14項目!$A$2:$A$1300,$A575,元データ_14項目!$B$2:$B$1300,"前年")</f>
        <v>562</v>
      </c>
      <c r="Q575" s="7">
        <f t="shared" si="17"/>
        <v>0.85943060498220636</v>
      </c>
    </row>
    <row r="576" spans="1:17" x14ac:dyDescent="0.45">
      <c r="A576" t="s">
        <v>75</v>
      </c>
      <c r="B576" t="s">
        <v>96</v>
      </c>
      <c r="C576" s="26">
        <f>SUMIFS(INDEX(元データ_14項目!$D$2:$Q$1300,0,MATCH($B576,元データ_14項目!$D$1:$Q$1,0)),元データ_14項目!$A$2:$A$1300,$A576,元データ_14項目!$B$2:$B$1300,"本年",元データ_14項目!$C$2:$C$1300,C$5)</f>
        <v>22</v>
      </c>
      <c r="D576" s="26">
        <f>SUMIFS(INDEX(元データ_14項目!$D$2:$Q$1300,0,MATCH($B576,元データ_14項目!$D$1:$Q$1,0)),元データ_14項目!$A$2:$A$1300,$A576,元データ_14項目!$B$2:$B$1300,"本年",元データ_14項目!$C$2:$C$1300,D$5)</f>
        <v>21</v>
      </c>
      <c r="E576" s="26">
        <f>SUMIFS(INDEX(元データ_14項目!$D$2:$Q$1300,0,MATCH($B576,元データ_14項目!$D$1:$Q$1,0)),元データ_14項目!$A$2:$A$1300,$A576,元データ_14項目!$B$2:$B$1300,"本年",元データ_14項目!$C$2:$C$1300,E$5)</f>
        <v>34</v>
      </c>
      <c r="F576" s="26">
        <f>SUMIFS(INDEX(元データ_14項目!$D$2:$Q$1300,0,MATCH($B576,元データ_14項目!$D$1:$Q$1,0)),元データ_14項目!$A$2:$A$1300,$A576,元データ_14項目!$B$2:$B$1300,"本年",元データ_14項目!$C$2:$C$1300,F$5)</f>
        <v>66</v>
      </c>
      <c r="G576" s="26">
        <f>SUMIFS(INDEX(元データ_14項目!$D$2:$Q$1300,0,MATCH($B576,元データ_14項目!$D$1:$Q$1,0)),元データ_14項目!$A$2:$A$1300,$A576,元データ_14項目!$B$2:$B$1300,"本年",元データ_14項目!$C$2:$C$1300,G$5)</f>
        <v>55</v>
      </c>
      <c r="H576" s="26">
        <f>SUMIFS(INDEX(元データ_14項目!$D$2:$Q$1300,0,MATCH($B576,元データ_14項目!$D$1:$Q$1,0)),元データ_14項目!$A$2:$A$1300,$A576,元データ_14項目!$B$2:$B$1300,"本年",元データ_14項目!$C$2:$C$1300,H$5)</f>
        <v>52</v>
      </c>
      <c r="I576" s="26">
        <f>SUMIFS(INDEX(元データ_14項目!$D$2:$Q$1300,0,MATCH($B576,元データ_14項目!$D$1:$Q$1,0)),元データ_14項目!$A$2:$A$1300,$A576,元データ_14項目!$B$2:$B$1300,"本年",元データ_14項目!$C$2:$C$1300,I$5)</f>
        <v>24</v>
      </c>
      <c r="J576" s="26">
        <f>SUMIFS(INDEX(元データ_14項目!$D$2:$Q$1300,0,MATCH($B576,元データ_14項目!$D$1:$Q$1,0)),元データ_14項目!$A$2:$A$1300,$A576,元データ_14項目!$B$2:$B$1300,"本年",元データ_14項目!$C$2:$C$1300,J$5)</f>
        <v>100</v>
      </c>
      <c r="K576" s="26">
        <f>SUMIFS(INDEX(元データ_14項目!$D$2:$Q$1300,0,MATCH($B576,元データ_14項目!$D$1:$Q$1,0)),元データ_14項目!$A$2:$A$1300,$A576,元データ_14項目!$B$2:$B$1300,"本年",元データ_14項目!$C$2:$C$1300,K$5)</f>
        <v>281</v>
      </c>
      <c r="L576" s="26">
        <f>SUMIFS(INDEX(元データ_14項目!$D$2:$Q$1300,0,MATCH($B576,元データ_14項目!$D$1:$Q$1,0)),元データ_14項目!$A$2:$A$1300,$A576,元データ_14項目!$B$2:$B$1300,"本年",元データ_14項目!$C$2:$C$1300,L$5)</f>
        <v>177</v>
      </c>
      <c r="M576" s="26">
        <f>SUMIFS(INDEX(元データ_14項目!$D$2:$Q$1300,0,MATCH($B576,元データ_14項目!$D$1:$Q$1,0)),元データ_14項目!$A$2:$A$1300,$A576,元データ_14項目!$B$2:$B$1300,"本年",元データ_14項目!$C$2:$C$1300,M$5)</f>
        <v>97</v>
      </c>
      <c r="N576" s="26">
        <f>SUMIFS(INDEX(元データ_14項目!$D$2:$Q$1300,0,MATCH($B576,元データ_14項目!$D$1:$Q$1,0)),元データ_14項目!$A$2:$A$1300,$A576,元データ_14項目!$B$2:$B$1300,"本年",元データ_14項目!$C$2:$C$1300,N$5)</f>
        <v>39</v>
      </c>
      <c r="O576" s="26">
        <f t="shared" si="16"/>
        <v>968</v>
      </c>
      <c r="P576" s="26">
        <f>SUMIFS(INDEX(元データ_14項目!$D$2:$Q$1300,0,MATCH($B576,元データ_14項目!$D$1:$Q$1,0)),元データ_14項目!$A$2:$A$1300,$A576,元データ_14項目!$B$2:$B$1300,"前年")</f>
        <v>1209</v>
      </c>
      <c r="Q576" s="7">
        <f t="shared" si="17"/>
        <v>0.80066170388751035</v>
      </c>
    </row>
    <row r="577" spans="1:17" x14ac:dyDescent="0.45">
      <c r="A577" t="s">
        <v>75</v>
      </c>
      <c r="B577" t="s">
        <v>97</v>
      </c>
      <c r="C577" s="26">
        <f>SUMIFS(INDEX(元データ_14項目!$D$2:$Q$1300,0,MATCH($B577,元データ_14項目!$D$1:$Q$1,0)),元データ_14項目!$A$2:$A$1300,$A577,元データ_14項目!$B$2:$B$1300,"本年",元データ_14項目!$C$2:$C$1300,C$5)</f>
        <v>26</v>
      </c>
      <c r="D577" s="26">
        <f>SUMIFS(INDEX(元データ_14項目!$D$2:$Q$1300,0,MATCH($B577,元データ_14項目!$D$1:$Q$1,0)),元データ_14項目!$A$2:$A$1300,$A577,元データ_14項目!$B$2:$B$1300,"本年",元データ_14項目!$C$2:$C$1300,D$5)</f>
        <v>34</v>
      </c>
      <c r="E577" s="26">
        <f>SUMIFS(INDEX(元データ_14項目!$D$2:$Q$1300,0,MATCH($B577,元データ_14項目!$D$1:$Q$1,0)),元データ_14項目!$A$2:$A$1300,$A577,元データ_14項目!$B$2:$B$1300,"本年",元データ_14項目!$C$2:$C$1300,E$5)</f>
        <v>47</v>
      </c>
      <c r="F577" s="26">
        <f>SUMIFS(INDEX(元データ_14項目!$D$2:$Q$1300,0,MATCH($B577,元データ_14項目!$D$1:$Q$1,0)),元データ_14項目!$A$2:$A$1300,$A577,元データ_14項目!$B$2:$B$1300,"本年",元データ_14項目!$C$2:$C$1300,F$5)</f>
        <v>78</v>
      </c>
      <c r="G577" s="26">
        <f>SUMIFS(INDEX(元データ_14項目!$D$2:$Q$1300,0,MATCH($B577,元データ_14項目!$D$1:$Q$1,0)),元データ_14項目!$A$2:$A$1300,$A577,元データ_14項目!$B$2:$B$1300,"本年",元データ_14項目!$C$2:$C$1300,G$5)</f>
        <v>56</v>
      </c>
      <c r="H577" s="26">
        <f>SUMIFS(INDEX(元データ_14項目!$D$2:$Q$1300,0,MATCH($B577,元データ_14項目!$D$1:$Q$1,0)),元データ_14項目!$A$2:$A$1300,$A577,元データ_14項目!$B$2:$B$1300,"本年",元データ_14項目!$C$2:$C$1300,H$5)</f>
        <v>38</v>
      </c>
      <c r="I577" s="26">
        <f>SUMIFS(INDEX(元データ_14項目!$D$2:$Q$1300,0,MATCH($B577,元データ_14項目!$D$1:$Q$1,0)),元データ_14項目!$A$2:$A$1300,$A577,元データ_14項目!$B$2:$B$1300,"本年",元データ_14項目!$C$2:$C$1300,I$5)</f>
        <v>35</v>
      </c>
      <c r="J577" s="26">
        <f>SUMIFS(INDEX(元データ_14項目!$D$2:$Q$1300,0,MATCH($B577,元データ_14項目!$D$1:$Q$1,0)),元データ_14項目!$A$2:$A$1300,$A577,元データ_14項目!$B$2:$B$1300,"本年",元データ_14項目!$C$2:$C$1300,J$5)</f>
        <v>73</v>
      </c>
      <c r="K577" s="26">
        <f>SUMIFS(INDEX(元データ_14項目!$D$2:$Q$1300,0,MATCH($B577,元データ_14項目!$D$1:$Q$1,0)),元データ_14項目!$A$2:$A$1300,$A577,元データ_14項目!$B$2:$B$1300,"本年",元データ_14項目!$C$2:$C$1300,K$5)</f>
        <v>223</v>
      </c>
      <c r="L577" s="26">
        <f>SUMIFS(INDEX(元データ_14項目!$D$2:$Q$1300,0,MATCH($B577,元データ_14項目!$D$1:$Q$1,0)),元データ_14項目!$A$2:$A$1300,$A577,元データ_14項目!$B$2:$B$1300,"本年",元データ_14項目!$C$2:$C$1300,L$5)</f>
        <v>116</v>
      </c>
      <c r="M577" s="26">
        <f>SUMIFS(INDEX(元データ_14項目!$D$2:$Q$1300,0,MATCH($B577,元データ_14項目!$D$1:$Q$1,0)),元データ_14項目!$A$2:$A$1300,$A577,元データ_14項目!$B$2:$B$1300,"本年",元データ_14項目!$C$2:$C$1300,M$5)</f>
        <v>91</v>
      </c>
      <c r="N577" s="26">
        <f>SUMIFS(INDEX(元データ_14項目!$D$2:$Q$1300,0,MATCH($B577,元データ_14項目!$D$1:$Q$1,0)),元データ_14項目!$A$2:$A$1300,$A577,元データ_14項目!$B$2:$B$1300,"本年",元データ_14項目!$C$2:$C$1300,N$5)</f>
        <v>52</v>
      </c>
      <c r="O577" s="26">
        <f t="shared" si="16"/>
        <v>869</v>
      </c>
      <c r="P577" s="26">
        <f>SUMIFS(INDEX(元データ_14項目!$D$2:$Q$1300,0,MATCH($B577,元データ_14項目!$D$1:$Q$1,0)),元データ_14項目!$A$2:$A$1300,$A577,元データ_14項目!$B$2:$B$1300,"前年")</f>
        <v>848</v>
      </c>
      <c r="Q577" s="7">
        <f t="shared" si="17"/>
        <v>1.0247641509433962</v>
      </c>
    </row>
    <row r="578" spans="1:17" x14ac:dyDescent="0.45">
      <c r="A578" t="s">
        <v>75</v>
      </c>
      <c r="B578" t="s">
        <v>98</v>
      </c>
      <c r="C578" s="26">
        <f>SUMIFS(INDEX(元データ_14項目!$D$2:$Q$1300,0,MATCH($B578,元データ_14項目!$D$1:$Q$1,0)),元データ_14項目!$A$2:$A$1300,$A578,元データ_14項目!$B$2:$B$1300,"本年",元データ_14項目!$C$2:$C$1300,C$5)</f>
        <v>1</v>
      </c>
      <c r="D578" s="26">
        <f>SUMIFS(INDEX(元データ_14項目!$D$2:$Q$1300,0,MATCH($B578,元データ_14項目!$D$1:$Q$1,0)),元データ_14項目!$A$2:$A$1300,$A578,元データ_14項目!$B$2:$B$1300,"本年",元データ_14項目!$C$2:$C$1300,D$5)</f>
        <v>6</v>
      </c>
      <c r="E578" s="26">
        <f>SUMIFS(INDEX(元データ_14項目!$D$2:$Q$1300,0,MATCH($B578,元データ_14項目!$D$1:$Q$1,0)),元データ_14項目!$A$2:$A$1300,$A578,元データ_14項目!$B$2:$B$1300,"本年",元データ_14項目!$C$2:$C$1300,E$5)</f>
        <v>9</v>
      </c>
      <c r="F578" s="26">
        <f>SUMIFS(INDEX(元データ_14項目!$D$2:$Q$1300,0,MATCH($B578,元データ_14項目!$D$1:$Q$1,0)),元データ_14項目!$A$2:$A$1300,$A578,元データ_14項目!$B$2:$B$1300,"本年",元データ_14項目!$C$2:$C$1300,F$5)</f>
        <v>17</v>
      </c>
      <c r="G578" s="26">
        <f>SUMIFS(INDEX(元データ_14項目!$D$2:$Q$1300,0,MATCH($B578,元データ_14項目!$D$1:$Q$1,0)),元データ_14項目!$A$2:$A$1300,$A578,元データ_14項目!$B$2:$B$1300,"本年",元データ_14項目!$C$2:$C$1300,G$5)</f>
        <v>26</v>
      </c>
      <c r="H578" s="26">
        <f>SUMIFS(INDEX(元データ_14項目!$D$2:$Q$1300,0,MATCH($B578,元データ_14項目!$D$1:$Q$1,0)),元データ_14項目!$A$2:$A$1300,$A578,元データ_14項目!$B$2:$B$1300,"本年",元データ_14項目!$C$2:$C$1300,H$5)</f>
        <v>16</v>
      </c>
      <c r="I578" s="26">
        <f>SUMIFS(INDEX(元データ_14項目!$D$2:$Q$1300,0,MATCH($B578,元データ_14項目!$D$1:$Q$1,0)),元データ_14項目!$A$2:$A$1300,$A578,元データ_14項目!$B$2:$B$1300,"本年",元データ_14項目!$C$2:$C$1300,I$5)</f>
        <v>5</v>
      </c>
      <c r="J578" s="26">
        <f>SUMIFS(INDEX(元データ_14項目!$D$2:$Q$1300,0,MATCH($B578,元データ_14項目!$D$1:$Q$1,0)),元データ_14項目!$A$2:$A$1300,$A578,元データ_14項目!$B$2:$B$1300,"本年",元データ_14項目!$C$2:$C$1300,J$5)</f>
        <v>76</v>
      </c>
      <c r="K578" s="26">
        <f>SUMIFS(INDEX(元データ_14項目!$D$2:$Q$1300,0,MATCH($B578,元データ_14項目!$D$1:$Q$1,0)),元データ_14項目!$A$2:$A$1300,$A578,元データ_14項目!$B$2:$B$1300,"本年",元データ_14項目!$C$2:$C$1300,K$5)</f>
        <v>195</v>
      </c>
      <c r="L578" s="26">
        <f>SUMIFS(INDEX(元データ_14項目!$D$2:$Q$1300,0,MATCH($B578,元データ_14項目!$D$1:$Q$1,0)),元データ_14項目!$A$2:$A$1300,$A578,元データ_14項目!$B$2:$B$1300,"本年",元データ_14項目!$C$2:$C$1300,L$5)</f>
        <v>70</v>
      </c>
      <c r="M578" s="26">
        <f>SUMIFS(INDEX(元データ_14項目!$D$2:$Q$1300,0,MATCH($B578,元データ_14項目!$D$1:$Q$1,0)),元データ_14項目!$A$2:$A$1300,$A578,元データ_14項目!$B$2:$B$1300,"本年",元データ_14項目!$C$2:$C$1300,M$5)</f>
        <v>38</v>
      </c>
      <c r="N578" s="26">
        <f>SUMIFS(INDEX(元データ_14項目!$D$2:$Q$1300,0,MATCH($B578,元データ_14項目!$D$1:$Q$1,0)),元データ_14項目!$A$2:$A$1300,$A578,元データ_14項目!$B$2:$B$1300,"本年",元データ_14項目!$C$2:$C$1300,N$5)</f>
        <v>17</v>
      </c>
      <c r="O578" s="26">
        <f t="shared" si="16"/>
        <v>476</v>
      </c>
      <c r="P578" s="26">
        <f>SUMIFS(INDEX(元データ_14項目!$D$2:$Q$1300,0,MATCH($B578,元データ_14項目!$D$1:$Q$1,0)),元データ_14項目!$A$2:$A$1300,$A578,元データ_14項目!$B$2:$B$1300,"前年")</f>
        <v>500</v>
      </c>
      <c r="Q578" s="7">
        <f t="shared" si="17"/>
        <v>0.95199999999999996</v>
      </c>
    </row>
    <row r="579" spans="1:17" x14ac:dyDescent="0.45">
      <c r="A579" t="s">
        <v>75</v>
      </c>
      <c r="B579" t="s">
        <v>99</v>
      </c>
      <c r="C579" s="26">
        <f>SUMIFS(INDEX(元データ_14項目!$D$2:$Q$1300,0,MATCH($B579,元データ_14項目!$D$1:$Q$1,0)),元データ_14項目!$A$2:$A$1300,$A579,元データ_14項目!$B$2:$B$1300,"本年",元データ_14項目!$C$2:$C$1300,C$5)</f>
        <v>1</v>
      </c>
      <c r="D579" s="26">
        <f>SUMIFS(INDEX(元データ_14項目!$D$2:$Q$1300,0,MATCH($B579,元データ_14項目!$D$1:$Q$1,0)),元データ_14項目!$A$2:$A$1300,$A579,元データ_14項目!$B$2:$B$1300,"本年",元データ_14項目!$C$2:$C$1300,D$5)</f>
        <v>0</v>
      </c>
      <c r="E579" s="26">
        <f>SUMIFS(INDEX(元データ_14項目!$D$2:$Q$1300,0,MATCH($B579,元データ_14項目!$D$1:$Q$1,0)),元データ_14項目!$A$2:$A$1300,$A579,元データ_14項目!$B$2:$B$1300,"本年",元データ_14項目!$C$2:$C$1300,E$5)</f>
        <v>1</v>
      </c>
      <c r="F579" s="26">
        <f>SUMIFS(INDEX(元データ_14項目!$D$2:$Q$1300,0,MATCH($B579,元データ_14項目!$D$1:$Q$1,0)),元データ_14項目!$A$2:$A$1300,$A579,元データ_14項目!$B$2:$B$1300,"本年",元データ_14項目!$C$2:$C$1300,F$5)</f>
        <v>0</v>
      </c>
      <c r="G579" s="26">
        <f>SUMIFS(INDEX(元データ_14項目!$D$2:$Q$1300,0,MATCH($B579,元データ_14項目!$D$1:$Q$1,0)),元データ_14項目!$A$2:$A$1300,$A579,元データ_14項目!$B$2:$B$1300,"本年",元データ_14項目!$C$2:$C$1300,G$5)</f>
        <v>3</v>
      </c>
      <c r="H579" s="26">
        <f>SUMIFS(INDEX(元データ_14項目!$D$2:$Q$1300,0,MATCH($B579,元データ_14項目!$D$1:$Q$1,0)),元データ_14項目!$A$2:$A$1300,$A579,元データ_14項目!$B$2:$B$1300,"本年",元データ_14項目!$C$2:$C$1300,H$5)</f>
        <v>5</v>
      </c>
      <c r="I579" s="26">
        <f>SUMIFS(INDEX(元データ_14項目!$D$2:$Q$1300,0,MATCH($B579,元データ_14項目!$D$1:$Q$1,0)),元データ_14項目!$A$2:$A$1300,$A579,元データ_14項目!$B$2:$B$1300,"本年",元データ_14項目!$C$2:$C$1300,I$5)</f>
        <v>2</v>
      </c>
      <c r="J579" s="26">
        <f>SUMIFS(INDEX(元データ_14項目!$D$2:$Q$1300,0,MATCH($B579,元データ_14項目!$D$1:$Q$1,0)),元データ_14項目!$A$2:$A$1300,$A579,元データ_14項目!$B$2:$B$1300,"本年",元データ_14項目!$C$2:$C$1300,J$5)</f>
        <v>13</v>
      </c>
      <c r="K579" s="26">
        <f>SUMIFS(INDEX(元データ_14項目!$D$2:$Q$1300,0,MATCH($B579,元データ_14項目!$D$1:$Q$1,0)),元データ_14項目!$A$2:$A$1300,$A579,元データ_14項目!$B$2:$B$1300,"本年",元データ_14項目!$C$2:$C$1300,K$5)</f>
        <v>6</v>
      </c>
      <c r="L579" s="26">
        <f>SUMIFS(INDEX(元データ_14項目!$D$2:$Q$1300,0,MATCH($B579,元データ_14項目!$D$1:$Q$1,0)),元データ_14項目!$A$2:$A$1300,$A579,元データ_14項目!$B$2:$B$1300,"本年",元データ_14項目!$C$2:$C$1300,L$5)</f>
        <v>4</v>
      </c>
      <c r="M579" s="26">
        <f>SUMIFS(INDEX(元データ_14項目!$D$2:$Q$1300,0,MATCH($B579,元データ_14項目!$D$1:$Q$1,0)),元データ_14項目!$A$2:$A$1300,$A579,元データ_14項目!$B$2:$B$1300,"本年",元データ_14項目!$C$2:$C$1300,M$5)</f>
        <v>7</v>
      </c>
      <c r="N579" s="26">
        <f>SUMIFS(INDEX(元データ_14項目!$D$2:$Q$1300,0,MATCH($B579,元データ_14項目!$D$1:$Q$1,0)),元データ_14項目!$A$2:$A$1300,$A579,元データ_14項目!$B$2:$B$1300,"本年",元データ_14項目!$C$2:$C$1300,N$5)</f>
        <v>4</v>
      </c>
      <c r="O579" s="26">
        <f t="shared" si="16"/>
        <v>46</v>
      </c>
      <c r="P579" s="26">
        <f>SUMIFS(INDEX(元データ_14項目!$D$2:$Q$1300,0,MATCH($B579,元データ_14項目!$D$1:$Q$1,0)),元データ_14項目!$A$2:$A$1300,$A579,元データ_14項目!$B$2:$B$1300,"前年")</f>
        <v>54</v>
      </c>
      <c r="Q579" s="7">
        <f t="shared" si="17"/>
        <v>0.85185185185185186</v>
      </c>
    </row>
    <row r="580" spans="1:17" x14ac:dyDescent="0.45">
      <c r="A580" t="s">
        <v>76</v>
      </c>
      <c r="B580" t="s">
        <v>27</v>
      </c>
      <c r="C580" s="26">
        <f>SUMIFS(INDEX(元データ_14項目!$D$2:$Q$1300,0,MATCH($B580,元データ_14項目!$D$1:$Q$1,0)),元データ_14項目!$A$2:$A$1300,$A580,元データ_14項目!$B$2:$B$1300,"本年",元データ_14項目!$C$2:$C$1300,C$5)</f>
        <v>442</v>
      </c>
      <c r="D580" s="26">
        <f>SUMIFS(INDEX(元データ_14項目!$D$2:$Q$1300,0,MATCH($B580,元データ_14項目!$D$1:$Q$1,0)),元データ_14項目!$A$2:$A$1300,$A580,元データ_14項目!$B$2:$B$1300,"本年",元データ_14項目!$C$2:$C$1300,D$5)</f>
        <v>445</v>
      </c>
      <c r="E580" s="26">
        <f>SUMIFS(INDEX(元データ_14項目!$D$2:$Q$1300,0,MATCH($B580,元データ_14項目!$D$1:$Q$1,0)),元データ_14項目!$A$2:$A$1300,$A580,元データ_14項目!$B$2:$B$1300,"本年",元データ_14項目!$C$2:$C$1300,E$5)</f>
        <v>627</v>
      </c>
      <c r="F580" s="26">
        <f>SUMIFS(INDEX(元データ_14項目!$D$2:$Q$1300,0,MATCH($B580,元データ_14項目!$D$1:$Q$1,0)),元データ_14項目!$A$2:$A$1300,$A580,元データ_14項目!$B$2:$B$1300,"本年",元データ_14項目!$C$2:$C$1300,F$5)</f>
        <v>553</v>
      </c>
      <c r="G580" s="26">
        <f>SUMIFS(INDEX(元データ_14項目!$D$2:$Q$1300,0,MATCH($B580,元データ_14項目!$D$1:$Q$1,0)),元データ_14項目!$A$2:$A$1300,$A580,元データ_14項目!$B$2:$B$1300,"本年",元データ_14項目!$C$2:$C$1300,G$5)</f>
        <v>532</v>
      </c>
      <c r="H580" s="26">
        <f>SUMIFS(INDEX(元データ_14項目!$D$2:$Q$1300,0,MATCH($B580,元データ_14項目!$D$1:$Q$1,0)),元データ_14項目!$A$2:$A$1300,$A580,元データ_14項目!$B$2:$B$1300,"本年",元データ_14項目!$C$2:$C$1300,H$5)</f>
        <v>410</v>
      </c>
      <c r="I580" s="26">
        <f>SUMIFS(INDEX(元データ_14項目!$D$2:$Q$1300,0,MATCH($B580,元データ_14項目!$D$1:$Q$1,0)),元データ_14項目!$A$2:$A$1300,$A580,元データ_14項目!$B$2:$B$1300,"本年",元データ_14項目!$C$2:$C$1300,I$5)</f>
        <v>472</v>
      </c>
      <c r="J580" s="26">
        <f>SUMIFS(INDEX(元データ_14項目!$D$2:$Q$1300,0,MATCH($B580,元データ_14項目!$D$1:$Q$1,0)),元データ_14項目!$A$2:$A$1300,$A580,元データ_14項目!$B$2:$B$1300,"本年",元データ_14項目!$C$2:$C$1300,J$5)</f>
        <v>552</v>
      </c>
      <c r="K580" s="26">
        <f>SUMIFS(INDEX(元データ_14項目!$D$2:$Q$1300,0,MATCH($B580,元データ_14項目!$D$1:$Q$1,0)),元データ_14項目!$A$2:$A$1300,$A580,元データ_14項目!$B$2:$B$1300,"本年",元データ_14項目!$C$2:$C$1300,K$5)</f>
        <v>480</v>
      </c>
      <c r="L580" s="26">
        <f>SUMIFS(INDEX(元データ_14項目!$D$2:$Q$1300,0,MATCH($B580,元データ_14項目!$D$1:$Q$1,0)),元データ_14項目!$A$2:$A$1300,$A580,元データ_14項目!$B$2:$B$1300,"本年",元データ_14項目!$C$2:$C$1300,L$5)</f>
        <v>416</v>
      </c>
      <c r="M580" s="26">
        <f>SUMIFS(INDEX(元データ_14項目!$D$2:$Q$1300,0,MATCH($B580,元データ_14項目!$D$1:$Q$1,0)),元データ_14項目!$A$2:$A$1300,$A580,元データ_14項目!$B$2:$B$1300,"本年",元データ_14項目!$C$2:$C$1300,M$5)</f>
        <v>526</v>
      </c>
      <c r="N580" s="26">
        <f>SUMIFS(INDEX(元データ_14項目!$D$2:$Q$1300,0,MATCH($B580,元データ_14項目!$D$1:$Q$1,0)),元データ_14項目!$A$2:$A$1300,$A580,元データ_14項目!$B$2:$B$1300,"本年",元データ_14項目!$C$2:$C$1300,N$5)</f>
        <v>451</v>
      </c>
      <c r="O580" s="26">
        <f t="shared" si="16"/>
        <v>5906</v>
      </c>
      <c r="P580" s="26">
        <f>SUMIFS(INDEX(元データ_14項目!$D$2:$Q$1300,0,MATCH($B580,元データ_14項目!$D$1:$Q$1,0)),元データ_14項目!$A$2:$A$1300,$A580,元データ_14項目!$B$2:$B$1300,"前年")</f>
        <v>6356</v>
      </c>
      <c r="Q580" s="7">
        <f t="shared" si="17"/>
        <v>0.92920075519194467</v>
      </c>
    </row>
    <row r="581" spans="1:17" x14ac:dyDescent="0.45">
      <c r="A581" t="s">
        <v>76</v>
      </c>
      <c r="B581" t="s">
        <v>88</v>
      </c>
      <c r="C581" s="26">
        <f>SUMIFS(INDEX(元データ_14項目!$D$2:$Q$1300,0,MATCH($B581,元データ_14項目!$D$1:$Q$1,0)),元データ_14項目!$A$2:$A$1300,$A581,元データ_14項目!$B$2:$B$1300,"本年",元データ_14項目!$C$2:$C$1300,C$5)</f>
        <v>52</v>
      </c>
      <c r="D581" s="26">
        <f>SUMIFS(INDEX(元データ_14項目!$D$2:$Q$1300,0,MATCH($B581,元データ_14項目!$D$1:$Q$1,0)),元データ_14項目!$A$2:$A$1300,$A581,元データ_14項目!$B$2:$B$1300,"本年",元データ_14項目!$C$2:$C$1300,D$5)</f>
        <v>35</v>
      </c>
      <c r="E581" s="26">
        <f>SUMIFS(INDEX(元データ_14項目!$D$2:$Q$1300,0,MATCH($B581,元データ_14項目!$D$1:$Q$1,0)),元データ_14項目!$A$2:$A$1300,$A581,元データ_14項目!$B$2:$B$1300,"本年",元データ_14項目!$C$2:$C$1300,E$5)</f>
        <v>79</v>
      </c>
      <c r="F581" s="26">
        <f>SUMIFS(INDEX(元データ_14項目!$D$2:$Q$1300,0,MATCH($B581,元データ_14項目!$D$1:$Q$1,0)),元データ_14項目!$A$2:$A$1300,$A581,元データ_14項目!$B$2:$B$1300,"本年",元データ_14項目!$C$2:$C$1300,F$5)</f>
        <v>52</v>
      </c>
      <c r="G581" s="26">
        <f>SUMIFS(INDEX(元データ_14項目!$D$2:$Q$1300,0,MATCH($B581,元データ_14項目!$D$1:$Q$1,0)),元データ_14項目!$A$2:$A$1300,$A581,元データ_14項目!$B$2:$B$1300,"本年",元データ_14項目!$C$2:$C$1300,G$5)</f>
        <v>48</v>
      </c>
      <c r="H581" s="26">
        <f>SUMIFS(INDEX(元データ_14項目!$D$2:$Q$1300,0,MATCH($B581,元データ_14項目!$D$1:$Q$1,0)),元データ_14項目!$A$2:$A$1300,$A581,元データ_14項目!$B$2:$B$1300,"本年",元データ_14項目!$C$2:$C$1300,H$5)</f>
        <v>29</v>
      </c>
      <c r="I581" s="26">
        <f>SUMIFS(INDEX(元データ_14項目!$D$2:$Q$1300,0,MATCH($B581,元データ_14項目!$D$1:$Q$1,0)),元データ_14項目!$A$2:$A$1300,$A581,元データ_14項目!$B$2:$B$1300,"本年",元データ_14項目!$C$2:$C$1300,I$5)</f>
        <v>22</v>
      </c>
      <c r="J581" s="26">
        <f>SUMIFS(INDEX(元データ_14項目!$D$2:$Q$1300,0,MATCH($B581,元データ_14項目!$D$1:$Q$1,0)),元データ_14項目!$A$2:$A$1300,$A581,元データ_14項目!$B$2:$B$1300,"本年",元データ_14項目!$C$2:$C$1300,J$5)</f>
        <v>34</v>
      </c>
      <c r="K581" s="26">
        <f>SUMIFS(INDEX(元データ_14項目!$D$2:$Q$1300,0,MATCH($B581,元データ_14項目!$D$1:$Q$1,0)),元データ_14項目!$A$2:$A$1300,$A581,元データ_14項目!$B$2:$B$1300,"本年",元データ_14項目!$C$2:$C$1300,K$5)</f>
        <v>59</v>
      </c>
      <c r="L581" s="26">
        <f>SUMIFS(INDEX(元データ_14項目!$D$2:$Q$1300,0,MATCH($B581,元データ_14項目!$D$1:$Q$1,0)),元データ_14項目!$A$2:$A$1300,$A581,元データ_14項目!$B$2:$B$1300,"本年",元データ_14項目!$C$2:$C$1300,L$5)</f>
        <v>48</v>
      </c>
      <c r="M581" s="26">
        <f>SUMIFS(INDEX(元データ_14項目!$D$2:$Q$1300,0,MATCH($B581,元データ_14項目!$D$1:$Q$1,0)),元データ_14項目!$A$2:$A$1300,$A581,元データ_14項目!$B$2:$B$1300,"本年",元データ_14項目!$C$2:$C$1300,M$5)</f>
        <v>28</v>
      </c>
      <c r="N581" s="26">
        <f>SUMIFS(INDEX(元データ_14項目!$D$2:$Q$1300,0,MATCH($B581,元データ_14項目!$D$1:$Q$1,0)),元データ_14項目!$A$2:$A$1300,$A581,元データ_14項目!$B$2:$B$1300,"本年",元データ_14項目!$C$2:$C$1300,N$5)</f>
        <v>56</v>
      </c>
      <c r="O581" s="26">
        <f t="shared" si="16"/>
        <v>542</v>
      </c>
      <c r="P581" s="26">
        <f>SUMIFS(INDEX(元データ_14項目!$D$2:$Q$1300,0,MATCH($B581,元データ_14項目!$D$1:$Q$1,0)),元データ_14項目!$A$2:$A$1300,$A581,元データ_14項目!$B$2:$B$1300,"前年")</f>
        <v>542</v>
      </c>
      <c r="Q581" s="7">
        <f t="shared" si="17"/>
        <v>1</v>
      </c>
    </row>
    <row r="582" spans="1:17" x14ac:dyDescent="0.45">
      <c r="A582" t="s">
        <v>76</v>
      </c>
      <c r="B582" t="s">
        <v>89</v>
      </c>
      <c r="C582" s="26">
        <f>SUMIFS(INDEX(元データ_14項目!$D$2:$Q$1300,0,MATCH($B582,元データ_14項目!$D$1:$Q$1,0)),元データ_14項目!$A$2:$A$1300,$A582,元データ_14項目!$B$2:$B$1300,"本年",元データ_14項目!$C$2:$C$1300,C$5)</f>
        <v>28</v>
      </c>
      <c r="D582" s="26">
        <f>SUMIFS(INDEX(元データ_14項目!$D$2:$Q$1300,0,MATCH($B582,元データ_14項目!$D$1:$Q$1,0)),元データ_14項目!$A$2:$A$1300,$A582,元データ_14項目!$B$2:$B$1300,"本年",元データ_14項目!$C$2:$C$1300,D$5)</f>
        <v>29</v>
      </c>
      <c r="E582" s="26">
        <f>SUMIFS(INDEX(元データ_14項目!$D$2:$Q$1300,0,MATCH($B582,元データ_14項目!$D$1:$Q$1,0)),元データ_14項目!$A$2:$A$1300,$A582,元データ_14項目!$B$2:$B$1300,"本年",元データ_14項目!$C$2:$C$1300,E$5)</f>
        <v>84</v>
      </c>
      <c r="F582" s="26">
        <f>SUMIFS(INDEX(元データ_14項目!$D$2:$Q$1300,0,MATCH($B582,元データ_14項目!$D$1:$Q$1,0)),元データ_14項目!$A$2:$A$1300,$A582,元データ_14項目!$B$2:$B$1300,"本年",元データ_14項目!$C$2:$C$1300,F$5)</f>
        <v>58</v>
      </c>
      <c r="G582" s="26">
        <f>SUMIFS(INDEX(元データ_14項目!$D$2:$Q$1300,0,MATCH($B582,元データ_14項目!$D$1:$Q$1,0)),元データ_14項目!$A$2:$A$1300,$A582,元データ_14項目!$B$2:$B$1300,"本年",元データ_14項目!$C$2:$C$1300,G$5)</f>
        <v>41</v>
      </c>
      <c r="H582" s="26">
        <f>SUMIFS(INDEX(元データ_14項目!$D$2:$Q$1300,0,MATCH($B582,元データ_14項目!$D$1:$Q$1,0)),元データ_14項目!$A$2:$A$1300,$A582,元データ_14項目!$B$2:$B$1300,"本年",元データ_14項目!$C$2:$C$1300,H$5)</f>
        <v>16</v>
      </c>
      <c r="I582" s="26">
        <f>SUMIFS(INDEX(元データ_14項目!$D$2:$Q$1300,0,MATCH($B582,元データ_14項目!$D$1:$Q$1,0)),元データ_14項目!$A$2:$A$1300,$A582,元データ_14項目!$B$2:$B$1300,"本年",元データ_14項目!$C$2:$C$1300,I$5)</f>
        <v>15</v>
      </c>
      <c r="J582" s="26">
        <f>SUMIFS(INDEX(元データ_14項目!$D$2:$Q$1300,0,MATCH($B582,元データ_14項目!$D$1:$Q$1,0)),元データ_14項目!$A$2:$A$1300,$A582,元データ_14項目!$B$2:$B$1300,"本年",元データ_14項目!$C$2:$C$1300,J$5)</f>
        <v>31</v>
      </c>
      <c r="K582" s="26">
        <f>SUMIFS(INDEX(元データ_14項目!$D$2:$Q$1300,0,MATCH($B582,元データ_14項目!$D$1:$Q$1,0)),元データ_14項目!$A$2:$A$1300,$A582,元データ_14項目!$B$2:$B$1300,"本年",元データ_14項目!$C$2:$C$1300,K$5)</f>
        <v>67</v>
      </c>
      <c r="L582" s="26">
        <f>SUMIFS(INDEX(元データ_14項目!$D$2:$Q$1300,0,MATCH($B582,元データ_14項目!$D$1:$Q$1,0)),元データ_14項目!$A$2:$A$1300,$A582,元データ_14項目!$B$2:$B$1300,"本年",元データ_14項目!$C$2:$C$1300,L$5)</f>
        <v>65</v>
      </c>
      <c r="M582" s="26">
        <f>SUMIFS(INDEX(元データ_14項目!$D$2:$Q$1300,0,MATCH($B582,元データ_14項目!$D$1:$Q$1,0)),元データ_14項目!$A$2:$A$1300,$A582,元データ_14項目!$B$2:$B$1300,"本年",元データ_14項目!$C$2:$C$1300,M$5)</f>
        <v>62</v>
      </c>
      <c r="N582" s="26">
        <f>SUMIFS(INDEX(元データ_14項目!$D$2:$Q$1300,0,MATCH($B582,元データ_14項目!$D$1:$Q$1,0)),元データ_14項目!$A$2:$A$1300,$A582,元データ_14項目!$B$2:$B$1300,"本年",元データ_14項目!$C$2:$C$1300,N$5)</f>
        <v>31</v>
      </c>
      <c r="O582" s="26">
        <f t="shared" si="16"/>
        <v>527</v>
      </c>
      <c r="P582" s="26">
        <f>SUMIFS(INDEX(元データ_14項目!$D$2:$Q$1300,0,MATCH($B582,元データ_14項目!$D$1:$Q$1,0)),元データ_14項目!$A$2:$A$1300,$A582,元データ_14項目!$B$2:$B$1300,"前年")</f>
        <v>480</v>
      </c>
      <c r="Q582" s="7">
        <f t="shared" si="17"/>
        <v>1.0979166666666667</v>
      </c>
    </row>
    <row r="583" spans="1:17" x14ac:dyDescent="0.45">
      <c r="A583" t="s">
        <v>76</v>
      </c>
      <c r="B583" t="s">
        <v>90</v>
      </c>
      <c r="C583" s="26">
        <f>SUMIFS(INDEX(元データ_14項目!$D$2:$Q$1300,0,MATCH($B583,元データ_14項目!$D$1:$Q$1,0)),元データ_14項目!$A$2:$A$1300,$A583,元データ_14項目!$B$2:$B$1300,"本年",元データ_14項目!$C$2:$C$1300,C$5)</f>
        <v>24</v>
      </c>
      <c r="D583" s="26">
        <f>SUMIFS(INDEX(元データ_14項目!$D$2:$Q$1300,0,MATCH($B583,元データ_14項目!$D$1:$Q$1,0)),元データ_14項目!$A$2:$A$1300,$A583,元データ_14項目!$B$2:$B$1300,"本年",元データ_14項目!$C$2:$C$1300,D$5)</f>
        <v>24</v>
      </c>
      <c r="E583" s="26">
        <f>SUMIFS(INDEX(元データ_14項目!$D$2:$Q$1300,0,MATCH($B583,元データ_14項目!$D$1:$Q$1,0)),元データ_14項目!$A$2:$A$1300,$A583,元データ_14項目!$B$2:$B$1300,"本年",元データ_14項目!$C$2:$C$1300,E$5)</f>
        <v>59</v>
      </c>
      <c r="F583" s="26">
        <f>SUMIFS(INDEX(元データ_14項目!$D$2:$Q$1300,0,MATCH($B583,元データ_14項目!$D$1:$Q$1,0)),元データ_14項目!$A$2:$A$1300,$A583,元データ_14項目!$B$2:$B$1300,"本年",元データ_14項目!$C$2:$C$1300,F$5)</f>
        <v>104</v>
      </c>
      <c r="G583" s="26">
        <f>SUMIFS(INDEX(元データ_14項目!$D$2:$Q$1300,0,MATCH($B583,元データ_14項目!$D$1:$Q$1,0)),元データ_14項目!$A$2:$A$1300,$A583,元データ_14項目!$B$2:$B$1300,"本年",元データ_14項目!$C$2:$C$1300,G$5)</f>
        <v>108</v>
      </c>
      <c r="H583" s="26">
        <f>SUMIFS(INDEX(元データ_14項目!$D$2:$Q$1300,0,MATCH($B583,元データ_14項目!$D$1:$Q$1,0)),元データ_14項目!$A$2:$A$1300,$A583,元データ_14項目!$B$2:$B$1300,"本年",元データ_14項目!$C$2:$C$1300,H$5)</f>
        <v>73</v>
      </c>
      <c r="I583" s="26">
        <f>SUMIFS(INDEX(元データ_14項目!$D$2:$Q$1300,0,MATCH($B583,元データ_14項目!$D$1:$Q$1,0)),元データ_14項目!$A$2:$A$1300,$A583,元データ_14項目!$B$2:$B$1300,"本年",元データ_14項目!$C$2:$C$1300,I$5)</f>
        <v>65</v>
      </c>
      <c r="J583" s="26">
        <f>SUMIFS(INDEX(元データ_14項目!$D$2:$Q$1300,0,MATCH($B583,元データ_14項目!$D$1:$Q$1,0)),元データ_14項目!$A$2:$A$1300,$A583,元データ_14項目!$B$2:$B$1300,"本年",元データ_14項目!$C$2:$C$1300,J$5)</f>
        <v>108</v>
      </c>
      <c r="K583" s="26">
        <f>SUMIFS(INDEX(元データ_14項目!$D$2:$Q$1300,0,MATCH($B583,元データ_14項目!$D$1:$Q$1,0)),元データ_14項目!$A$2:$A$1300,$A583,元データ_14項目!$B$2:$B$1300,"本年",元データ_14項目!$C$2:$C$1300,K$5)</f>
        <v>135</v>
      </c>
      <c r="L583" s="26">
        <f>SUMIFS(INDEX(元データ_14項目!$D$2:$Q$1300,0,MATCH($B583,元データ_14項目!$D$1:$Q$1,0)),元データ_14項目!$A$2:$A$1300,$A583,元データ_14項目!$B$2:$B$1300,"本年",元データ_14項目!$C$2:$C$1300,L$5)</f>
        <v>72</v>
      </c>
      <c r="M583" s="26">
        <f>SUMIFS(INDEX(元データ_14項目!$D$2:$Q$1300,0,MATCH($B583,元データ_14項目!$D$1:$Q$1,0)),元データ_14項目!$A$2:$A$1300,$A583,元データ_14項目!$B$2:$B$1300,"本年",元データ_14項目!$C$2:$C$1300,M$5)</f>
        <v>94</v>
      </c>
      <c r="N583" s="26">
        <f>SUMIFS(INDEX(元データ_14項目!$D$2:$Q$1300,0,MATCH($B583,元データ_14項目!$D$1:$Q$1,0)),元データ_14項目!$A$2:$A$1300,$A583,元データ_14項目!$B$2:$B$1300,"本年",元データ_14項目!$C$2:$C$1300,N$5)</f>
        <v>57</v>
      </c>
      <c r="O583" s="26">
        <f t="shared" ref="O583:O646" si="18">SUM(C583:N583)</f>
        <v>923</v>
      </c>
      <c r="P583" s="26">
        <f>SUMIFS(INDEX(元データ_14項目!$D$2:$Q$1300,0,MATCH($B583,元データ_14項目!$D$1:$Q$1,0)),元データ_14項目!$A$2:$A$1300,$A583,元データ_14項目!$B$2:$B$1300,"前年")</f>
        <v>965</v>
      </c>
      <c r="Q583" s="7">
        <f t="shared" ref="Q583:Q646" si="19">IFERROR(O583/P583,"")</f>
        <v>0.95647668393782381</v>
      </c>
    </row>
    <row r="584" spans="1:17" x14ac:dyDescent="0.45">
      <c r="A584" t="s">
        <v>76</v>
      </c>
      <c r="B584" t="s">
        <v>91</v>
      </c>
      <c r="C584" s="26">
        <f>SUMIFS(INDEX(元データ_14項目!$D$2:$Q$1300,0,MATCH($B584,元データ_14項目!$D$1:$Q$1,0)),元データ_14項目!$A$2:$A$1300,$A584,元データ_14項目!$B$2:$B$1300,"本年",元データ_14項目!$C$2:$C$1300,C$5)</f>
        <v>26</v>
      </c>
      <c r="D584" s="26">
        <f>SUMIFS(INDEX(元データ_14項目!$D$2:$Q$1300,0,MATCH($B584,元データ_14項目!$D$1:$Q$1,0)),元データ_14項目!$A$2:$A$1300,$A584,元データ_14項目!$B$2:$B$1300,"本年",元データ_14項目!$C$2:$C$1300,D$5)</f>
        <v>40</v>
      </c>
      <c r="E584" s="26">
        <f>SUMIFS(INDEX(元データ_14項目!$D$2:$Q$1300,0,MATCH($B584,元データ_14項目!$D$1:$Q$1,0)),元データ_14項目!$A$2:$A$1300,$A584,元データ_14項目!$B$2:$B$1300,"本年",元データ_14項目!$C$2:$C$1300,E$5)</f>
        <v>52</v>
      </c>
      <c r="F584" s="26">
        <f>SUMIFS(INDEX(元データ_14項目!$D$2:$Q$1300,0,MATCH($B584,元データ_14項目!$D$1:$Q$1,0)),元データ_14項目!$A$2:$A$1300,$A584,元データ_14項目!$B$2:$B$1300,"本年",元データ_14項目!$C$2:$C$1300,F$5)</f>
        <v>18</v>
      </c>
      <c r="G584" s="26">
        <f>SUMIFS(INDEX(元データ_14項目!$D$2:$Q$1300,0,MATCH($B584,元データ_14項目!$D$1:$Q$1,0)),元データ_14項目!$A$2:$A$1300,$A584,元データ_14項目!$B$2:$B$1300,"本年",元データ_14項目!$C$2:$C$1300,G$5)</f>
        <v>12</v>
      </c>
      <c r="H584" s="26">
        <f>SUMIFS(INDEX(元データ_14項目!$D$2:$Q$1300,0,MATCH($B584,元データ_14項目!$D$1:$Q$1,0)),元データ_14項目!$A$2:$A$1300,$A584,元データ_14項目!$B$2:$B$1300,"本年",元データ_14項目!$C$2:$C$1300,H$5)</f>
        <v>2</v>
      </c>
      <c r="I584" s="26">
        <f>SUMIFS(INDEX(元データ_14項目!$D$2:$Q$1300,0,MATCH($B584,元データ_14項目!$D$1:$Q$1,0)),元データ_14項目!$A$2:$A$1300,$A584,元データ_14項目!$B$2:$B$1300,"本年",元データ_14項目!$C$2:$C$1300,I$5)</f>
        <v>15</v>
      </c>
      <c r="J584" s="26">
        <f>SUMIFS(INDEX(元データ_14項目!$D$2:$Q$1300,0,MATCH($B584,元データ_14項目!$D$1:$Q$1,0)),元データ_14項目!$A$2:$A$1300,$A584,元データ_14項目!$B$2:$B$1300,"本年",元データ_14項目!$C$2:$C$1300,J$5)</f>
        <v>3</v>
      </c>
      <c r="K584" s="26">
        <f>SUMIFS(INDEX(元データ_14項目!$D$2:$Q$1300,0,MATCH($B584,元データ_14項目!$D$1:$Q$1,0)),元データ_14項目!$A$2:$A$1300,$A584,元データ_14項目!$B$2:$B$1300,"本年",元データ_14項目!$C$2:$C$1300,K$5)</f>
        <v>8</v>
      </c>
      <c r="L584" s="26">
        <f>SUMIFS(INDEX(元データ_14項目!$D$2:$Q$1300,0,MATCH($B584,元データ_14項目!$D$1:$Q$1,0)),元データ_14項目!$A$2:$A$1300,$A584,元データ_14項目!$B$2:$B$1300,"本年",元データ_14項目!$C$2:$C$1300,L$5)</f>
        <v>14</v>
      </c>
      <c r="M584" s="26">
        <f>SUMIFS(INDEX(元データ_14項目!$D$2:$Q$1300,0,MATCH($B584,元データ_14項目!$D$1:$Q$1,0)),元データ_14項目!$A$2:$A$1300,$A584,元データ_14項目!$B$2:$B$1300,"本年",元データ_14項目!$C$2:$C$1300,M$5)</f>
        <v>38</v>
      </c>
      <c r="N584" s="26">
        <f>SUMIFS(INDEX(元データ_14項目!$D$2:$Q$1300,0,MATCH($B584,元データ_14項目!$D$1:$Q$1,0)),元データ_14項目!$A$2:$A$1300,$A584,元データ_14項目!$B$2:$B$1300,"本年",元データ_14項目!$C$2:$C$1300,N$5)</f>
        <v>12</v>
      </c>
      <c r="O584" s="26">
        <f t="shared" si="18"/>
        <v>240</v>
      </c>
      <c r="P584" s="26">
        <f>SUMIFS(INDEX(元データ_14項目!$D$2:$Q$1300,0,MATCH($B584,元データ_14項目!$D$1:$Q$1,0)),元データ_14項目!$A$2:$A$1300,$A584,元データ_14項目!$B$2:$B$1300,"前年")</f>
        <v>291</v>
      </c>
      <c r="Q584" s="7">
        <f t="shared" si="19"/>
        <v>0.82474226804123707</v>
      </c>
    </row>
    <row r="585" spans="1:17" x14ac:dyDescent="0.45">
      <c r="A585" t="s">
        <v>76</v>
      </c>
      <c r="B585" t="s">
        <v>28</v>
      </c>
      <c r="C585" s="26">
        <f>SUMIFS(INDEX(元データ_14項目!$D$2:$Q$1300,0,MATCH($B585,元データ_14項目!$D$1:$Q$1,0)),元データ_14項目!$A$2:$A$1300,$A585,元データ_14項目!$B$2:$B$1300,"本年",元データ_14項目!$C$2:$C$1300,C$5)</f>
        <v>166</v>
      </c>
      <c r="D585" s="26">
        <f>SUMIFS(INDEX(元データ_14項目!$D$2:$Q$1300,0,MATCH($B585,元データ_14項目!$D$1:$Q$1,0)),元データ_14項目!$A$2:$A$1300,$A585,元データ_14項目!$B$2:$B$1300,"本年",元データ_14項目!$C$2:$C$1300,D$5)</f>
        <v>180</v>
      </c>
      <c r="E585" s="26">
        <f>SUMIFS(INDEX(元データ_14項目!$D$2:$Q$1300,0,MATCH($B585,元データ_14項目!$D$1:$Q$1,0)),元データ_14項目!$A$2:$A$1300,$A585,元データ_14項目!$B$2:$B$1300,"本年",元データ_14項目!$C$2:$C$1300,E$5)</f>
        <v>221</v>
      </c>
      <c r="F585" s="26">
        <f>SUMIFS(INDEX(元データ_14項目!$D$2:$Q$1300,0,MATCH($B585,元データ_14項目!$D$1:$Q$1,0)),元データ_14項目!$A$2:$A$1300,$A585,元データ_14項目!$B$2:$B$1300,"本年",元データ_14項目!$C$2:$C$1300,F$5)</f>
        <v>163</v>
      </c>
      <c r="G585" s="26">
        <f>SUMIFS(INDEX(元データ_14項目!$D$2:$Q$1300,0,MATCH($B585,元データ_14項目!$D$1:$Q$1,0)),元データ_14項目!$A$2:$A$1300,$A585,元データ_14項目!$B$2:$B$1300,"本年",元データ_14項目!$C$2:$C$1300,G$5)</f>
        <v>129</v>
      </c>
      <c r="H585" s="26">
        <f>SUMIFS(INDEX(元データ_14項目!$D$2:$Q$1300,0,MATCH($B585,元データ_14項目!$D$1:$Q$1,0)),元データ_14項目!$A$2:$A$1300,$A585,元データ_14項目!$B$2:$B$1300,"本年",元データ_14項目!$C$2:$C$1300,H$5)</f>
        <v>69</v>
      </c>
      <c r="I585" s="26">
        <f>SUMIFS(INDEX(元データ_14項目!$D$2:$Q$1300,0,MATCH($B585,元データ_14項目!$D$1:$Q$1,0)),元データ_14項目!$A$2:$A$1300,$A585,元データ_14項目!$B$2:$B$1300,"本年",元データ_14項目!$C$2:$C$1300,I$5)</f>
        <v>86</v>
      </c>
      <c r="J585" s="26">
        <f>SUMIFS(INDEX(元データ_14項目!$D$2:$Q$1300,0,MATCH($B585,元データ_14項目!$D$1:$Q$1,0)),元データ_14項目!$A$2:$A$1300,$A585,元データ_14項目!$B$2:$B$1300,"本年",元データ_14項目!$C$2:$C$1300,J$5)</f>
        <v>84</v>
      </c>
      <c r="K585" s="26">
        <f>SUMIFS(INDEX(元データ_14項目!$D$2:$Q$1300,0,MATCH($B585,元データ_14項目!$D$1:$Q$1,0)),元データ_14項目!$A$2:$A$1300,$A585,元データ_14項目!$B$2:$B$1300,"本年",元データ_14項目!$C$2:$C$1300,K$5)</f>
        <v>154</v>
      </c>
      <c r="L585" s="26">
        <f>SUMIFS(INDEX(元データ_14項目!$D$2:$Q$1300,0,MATCH($B585,元データ_14項目!$D$1:$Q$1,0)),元データ_14項目!$A$2:$A$1300,$A585,元データ_14項目!$B$2:$B$1300,"本年",元データ_14項目!$C$2:$C$1300,L$5)</f>
        <v>112</v>
      </c>
      <c r="M585" s="26">
        <f>SUMIFS(INDEX(元データ_14項目!$D$2:$Q$1300,0,MATCH($B585,元データ_14項目!$D$1:$Q$1,0)),元データ_14項目!$A$2:$A$1300,$A585,元データ_14項目!$B$2:$B$1300,"本年",元データ_14項目!$C$2:$C$1300,M$5)</f>
        <v>165</v>
      </c>
      <c r="N585" s="26">
        <f>SUMIFS(INDEX(元データ_14項目!$D$2:$Q$1300,0,MATCH($B585,元データ_14項目!$D$1:$Q$1,0)),元データ_14項目!$A$2:$A$1300,$A585,元データ_14項目!$B$2:$B$1300,"本年",元データ_14項目!$C$2:$C$1300,N$5)</f>
        <v>134</v>
      </c>
      <c r="O585" s="26">
        <f t="shared" si="18"/>
        <v>1663</v>
      </c>
      <c r="P585" s="26">
        <f>SUMIFS(INDEX(元データ_14項目!$D$2:$Q$1300,0,MATCH($B585,元データ_14項目!$D$1:$Q$1,0)),元データ_14項目!$A$2:$A$1300,$A585,元データ_14項目!$B$2:$B$1300,"前年")</f>
        <v>1719</v>
      </c>
      <c r="Q585" s="7">
        <f t="shared" si="19"/>
        <v>0.96742292030250143</v>
      </c>
    </row>
    <row r="586" spans="1:17" x14ac:dyDescent="0.45">
      <c r="A586" t="s">
        <v>76</v>
      </c>
      <c r="B586" t="s">
        <v>92</v>
      </c>
      <c r="C586" s="26">
        <f>SUMIFS(INDEX(元データ_14項目!$D$2:$Q$1300,0,MATCH($B586,元データ_14項目!$D$1:$Q$1,0)),元データ_14項目!$A$2:$A$1300,$A586,元データ_14項目!$B$2:$B$1300,"本年",元データ_14項目!$C$2:$C$1300,C$5)</f>
        <v>17</v>
      </c>
      <c r="D586" s="26">
        <f>SUMIFS(INDEX(元データ_14項目!$D$2:$Q$1300,0,MATCH($B586,元データ_14項目!$D$1:$Q$1,0)),元データ_14項目!$A$2:$A$1300,$A586,元データ_14項目!$B$2:$B$1300,"本年",元データ_14項目!$C$2:$C$1300,D$5)</f>
        <v>30</v>
      </c>
      <c r="E586" s="26">
        <f>SUMIFS(INDEX(元データ_14項目!$D$2:$Q$1300,0,MATCH($B586,元データ_14項目!$D$1:$Q$1,0)),元データ_14項目!$A$2:$A$1300,$A586,元データ_14項目!$B$2:$B$1300,"本年",元データ_14項目!$C$2:$C$1300,E$5)</f>
        <v>58</v>
      </c>
      <c r="F586" s="26">
        <f>SUMIFS(INDEX(元データ_14項目!$D$2:$Q$1300,0,MATCH($B586,元データ_14項目!$D$1:$Q$1,0)),元データ_14項目!$A$2:$A$1300,$A586,元データ_14項目!$B$2:$B$1300,"本年",元データ_14項目!$C$2:$C$1300,F$5)</f>
        <v>38</v>
      </c>
      <c r="G586" s="26">
        <f>SUMIFS(INDEX(元データ_14項目!$D$2:$Q$1300,0,MATCH($B586,元データ_14項目!$D$1:$Q$1,0)),元データ_14項目!$A$2:$A$1300,$A586,元データ_14項目!$B$2:$B$1300,"本年",元データ_14項目!$C$2:$C$1300,G$5)</f>
        <v>28</v>
      </c>
      <c r="H586" s="26">
        <f>SUMIFS(INDEX(元データ_14項目!$D$2:$Q$1300,0,MATCH($B586,元データ_14項目!$D$1:$Q$1,0)),元データ_14項目!$A$2:$A$1300,$A586,元データ_14項目!$B$2:$B$1300,"本年",元データ_14項目!$C$2:$C$1300,H$5)</f>
        <v>14</v>
      </c>
      <c r="I586" s="26">
        <f>SUMIFS(INDEX(元データ_14項目!$D$2:$Q$1300,0,MATCH($B586,元データ_14項目!$D$1:$Q$1,0)),元データ_14項目!$A$2:$A$1300,$A586,元データ_14項目!$B$2:$B$1300,"本年",元データ_14項目!$C$2:$C$1300,I$5)</f>
        <v>12</v>
      </c>
      <c r="J586" s="26">
        <f>SUMIFS(INDEX(元データ_14項目!$D$2:$Q$1300,0,MATCH($B586,元データ_14項目!$D$1:$Q$1,0)),元データ_14項目!$A$2:$A$1300,$A586,元データ_14項目!$B$2:$B$1300,"本年",元データ_14項目!$C$2:$C$1300,J$5)</f>
        <v>20</v>
      </c>
      <c r="K586" s="26">
        <f>SUMIFS(INDEX(元データ_14項目!$D$2:$Q$1300,0,MATCH($B586,元データ_14項目!$D$1:$Q$1,0)),元データ_14項目!$A$2:$A$1300,$A586,元データ_14項目!$B$2:$B$1300,"本年",元データ_14項目!$C$2:$C$1300,K$5)</f>
        <v>67</v>
      </c>
      <c r="L586" s="26">
        <f>SUMIFS(INDEX(元データ_14項目!$D$2:$Q$1300,0,MATCH($B586,元データ_14項目!$D$1:$Q$1,0)),元データ_14項目!$A$2:$A$1300,$A586,元データ_14項目!$B$2:$B$1300,"本年",元データ_14項目!$C$2:$C$1300,L$5)</f>
        <v>26</v>
      </c>
      <c r="M586" s="26">
        <f>SUMIFS(INDEX(元データ_14項目!$D$2:$Q$1300,0,MATCH($B586,元データ_14項目!$D$1:$Q$1,0)),元データ_14項目!$A$2:$A$1300,$A586,元データ_14項目!$B$2:$B$1300,"本年",元データ_14項目!$C$2:$C$1300,M$5)</f>
        <v>37</v>
      </c>
      <c r="N586" s="26">
        <f>SUMIFS(INDEX(元データ_14項目!$D$2:$Q$1300,0,MATCH($B586,元データ_14項目!$D$1:$Q$1,0)),元データ_14項目!$A$2:$A$1300,$A586,元データ_14項目!$B$2:$B$1300,"本年",元データ_14項目!$C$2:$C$1300,N$5)</f>
        <v>12</v>
      </c>
      <c r="O586" s="26">
        <f t="shared" si="18"/>
        <v>359</v>
      </c>
      <c r="P586" s="26">
        <f>SUMIFS(INDEX(元データ_14項目!$D$2:$Q$1300,0,MATCH($B586,元データ_14項目!$D$1:$Q$1,0)),元データ_14項目!$A$2:$A$1300,$A586,元データ_14項目!$B$2:$B$1300,"前年")</f>
        <v>327</v>
      </c>
      <c r="Q586" s="7">
        <f t="shared" si="19"/>
        <v>1.0978593272171253</v>
      </c>
    </row>
    <row r="587" spans="1:17" x14ac:dyDescent="0.45">
      <c r="A587" t="s">
        <v>76</v>
      </c>
      <c r="B587" t="s">
        <v>93</v>
      </c>
      <c r="C587" s="26">
        <f>SUMIFS(INDEX(元データ_14項目!$D$2:$Q$1300,0,MATCH($B587,元データ_14項目!$D$1:$Q$1,0)),元データ_14項目!$A$2:$A$1300,$A587,元データ_14項目!$B$2:$B$1300,"本年",元データ_14項目!$C$2:$C$1300,C$5)</f>
        <v>31</v>
      </c>
      <c r="D587" s="26">
        <f>SUMIFS(INDEX(元データ_14項目!$D$2:$Q$1300,0,MATCH($B587,元データ_14項目!$D$1:$Q$1,0)),元データ_14項目!$A$2:$A$1300,$A587,元データ_14項目!$B$2:$B$1300,"本年",元データ_14項目!$C$2:$C$1300,D$5)</f>
        <v>14</v>
      </c>
      <c r="E587" s="26">
        <f>SUMIFS(INDEX(元データ_14項目!$D$2:$Q$1300,0,MATCH($B587,元データ_14項目!$D$1:$Q$1,0)),元データ_14項目!$A$2:$A$1300,$A587,元データ_14項目!$B$2:$B$1300,"本年",元データ_14項目!$C$2:$C$1300,E$5)</f>
        <v>27</v>
      </c>
      <c r="F587" s="26">
        <f>SUMIFS(INDEX(元データ_14項目!$D$2:$Q$1300,0,MATCH($B587,元データ_14項目!$D$1:$Q$1,0)),元データ_14項目!$A$2:$A$1300,$A587,元データ_14項目!$B$2:$B$1300,"本年",元データ_14項目!$C$2:$C$1300,F$5)</f>
        <v>35</v>
      </c>
      <c r="G587" s="26">
        <f>SUMIFS(INDEX(元データ_14項目!$D$2:$Q$1300,0,MATCH($B587,元データ_14項目!$D$1:$Q$1,0)),元データ_14項目!$A$2:$A$1300,$A587,元データ_14項目!$B$2:$B$1300,"本年",元データ_14項目!$C$2:$C$1300,G$5)</f>
        <v>55</v>
      </c>
      <c r="H587" s="26">
        <f>SUMIFS(INDEX(元データ_14項目!$D$2:$Q$1300,0,MATCH($B587,元データ_14項目!$D$1:$Q$1,0)),元データ_14項目!$A$2:$A$1300,$A587,元データ_14項目!$B$2:$B$1300,"本年",元データ_14項目!$C$2:$C$1300,H$5)</f>
        <v>61</v>
      </c>
      <c r="I587" s="26">
        <f>SUMIFS(INDEX(元データ_14項目!$D$2:$Q$1300,0,MATCH($B587,元データ_14項目!$D$1:$Q$1,0)),元データ_14項目!$A$2:$A$1300,$A587,元データ_14項目!$B$2:$B$1300,"本年",元データ_14項目!$C$2:$C$1300,I$5)</f>
        <v>43</v>
      </c>
      <c r="J587" s="26">
        <f>SUMIFS(INDEX(元データ_14項目!$D$2:$Q$1300,0,MATCH($B587,元データ_14項目!$D$1:$Q$1,0)),元データ_14項目!$A$2:$A$1300,$A587,元データ_14項目!$B$2:$B$1300,"本年",元データ_14項目!$C$2:$C$1300,J$5)</f>
        <v>57</v>
      </c>
      <c r="K587" s="26">
        <f>SUMIFS(INDEX(元データ_14項目!$D$2:$Q$1300,0,MATCH($B587,元データ_14項目!$D$1:$Q$1,0)),元データ_14項目!$A$2:$A$1300,$A587,元データ_14項目!$B$2:$B$1300,"本年",元データ_14項目!$C$2:$C$1300,K$5)</f>
        <v>252</v>
      </c>
      <c r="L587" s="26">
        <f>SUMIFS(INDEX(元データ_14項目!$D$2:$Q$1300,0,MATCH($B587,元データ_14項目!$D$1:$Q$1,0)),元データ_14項目!$A$2:$A$1300,$A587,元データ_14項目!$B$2:$B$1300,"本年",元データ_14項目!$C$2:$C$1300,L$5)</f>
        <v>155</v>
      </c>
      <c r="M587" s="26">
        <f>SUMIFS(INDEX(元データ_14項目!$D$2:$Q$1300,0,MATCH($B587,元データ_14項目!$D$1:$Q$1,0)),元データ_14項目!$A$2:$A$1300,$A587,元データ_14項目!$B$2:$B$1300,"本年",元データ_14項目!$C$2:$C$1300,M$5)</f>
        <v>80</v>
      </c>
      <c r="N587" s="26">
        <f>SUMIFS(INDEX(元データ_14項目!$D$2:$Q$1300,0,MATCH($B587,元データ_14項目!$D$1:$Q$1,0)),元データ_14項目!$A$2:$A$1300,$A587,元データ_14項目!$B$2:$B$1300,"本年",元データ_14項目!$C$2:$C$1300,N$5)</f>
        <v>19</v>
      </c>
      <c r="O587" s="26">
        <f t="shared" si="18"/>
        <v>829</v>
      </c>
      <c r="P587" s="26">
        <f>SUMIFS(INDEX(元データ_14項目!$D$2:$Q$1300,0,MATCH($B587,元データ_14項目!$D$1:$Q$1,0)),元データ_14項目!$A$2:$A$1300,$A587,元データ_14項目!$B$2:$B$1300,"前年")</f>
        <v>931</v>
      </c>
      <c r="Q587" s="7">
        <f t="shared" si="19"/>
        <v>0.89044038668098824</v>
      </c>
    </row>
    <row r="588" spans="1:17" x14ac:dyDescent="0.45">
      <c r="A588" t="s">
        <v>76</v>
      </c>
      <c r="B588" t="s">
        <v>94</v>
      </c>
      <c r="C588" s="26">
        <f>SUMIFS(INDEX(元データ_14項目!$D$2:$Q$1300,0,MATCH($B588,元データ_14項目!$D$1:$Q$1,0)),元データ_14項目!$A$2:$A$1300,$A588,元データ_14項目!$B$2:$B$1300,"本年",元データ_14項目!$C$2:$C$1300,C$5)</f>
        <v>29</v>
      </c>
      <c r="D588" s="26">
        <f>SUMIFS(INDEX(元データ_14項目!$D$2:$Q$1300,0,MATCH($B588,元データ_14項目!$D$1:$Q$1,0)),元データ_14項目!$A$2:$A$1300,$A588,元データ_14項目!$B$2:$B$1300,"本年",元データ_14項目!$C$2:$C$1300,D$5)</f>
        <v>6</v>
      </c>
      <c r="E588" s="26">
        <f>SUMIFS(INDEX(元データ_14項目!$D$2:$Q$1300,0,MATCH($B588,元データ_14項目!$D$1:$Q$1,0)),元データ_14項目!$A$2:$A$1300,$A588,元データ_14項目!$B$2:$B$1300,"本年",元データ_14項目!$C$2:$C$1300,E$5)</f>
        <v>25</v>
      </c>
      <c r="F588" s="26">
        <f>SUMIFS(INDEX(元データ_14項目!$D$2:$Q$1300,0,MATCH($B588,元データ_14項目!$D$1:$Q$1,0)),元データ_14項目!$A$2:$A$1300,$A588,元データ_14項目!$B$2:$B$1300,"本年",元データ_14項目!$C$2:$C$1300,F$5)</f>
        <v>24</v>
      </c>
      <c r="G588" s="26">
        <f>SUMIFS(INDEX(元データ_14項目!$D$2:$Q$1300,0,MATCH($B588,元データ_14項目!$D$1:$Q$1,0)),元データ_14項目!$A$2:$A$1300,$A588,元データ_14項目!$B$2:$B$1300,"本年",元データ_14項目!$C$2:$C$1300,G$5)</f>
        <v>33</v>
      </c>
      <c r="H588" s="26">
        <f>SUMIFS(INDEX(元データ_14項目!$D$2:$Q$1300,0,MATCH($B588,元データ_14項目!$D$1:$Q$1,0)),元データ_14項目!$A$2:$A$1300,$A588,元データ_14項目!$B$2:$B$1300,"本年",元データ_14項目!$C$2:$C$1300,H$5)</f>
        <v>21</v>
      </c>
      <c r="I588" s="26">
        <f>SUMIFS(INDEX(元データ_14項目!$D$2:$Q$1300,0,MATCH($B588,元データ_14項目!$D$1:$Q$1,0)),元データ_14項目!$A$2:$A$1300,$A588,元データ_14項目!$B$2:$B$1300,"本年",元データ_14項目!$C$2:$C$1300,I$5)</f>
        <v>21</v>
      </c>
      <c r="J588" s="26">
        <f>SUMIFS(INDEX(元データ_14項目!$D$2:$Q$1300,0,MATCH($B588,元データ_14項目!$D$1:$Q$1,0)),元データ_14項目!$A$2:$A$1300,$A588,元データ_14項目!$B$2:$B$1300,"本年",元データ_14項目!$C$2:$C$1300,J$5)</f>
        <v>31</v>
      </c>
      <c r="K588" s="26">
        <f>SUMIFS(INDEX(元データ_14項目!$D$2:$Q$1300,0,MATCH($B588,元データ_14項目!$D$1:$Q$1,0)),元データ_14項目!$A$2:$A$1300,$A588,元データ_14項目!$B$2:$B$1300,"本年",元データ_14項目!$C$2:$C$1300,K$5)</f>
        <v>105</v>
      </c>
      <c r="L588" s="26">
        <f>SUMIFS(INDEX(元データ_14項目!$D$2:$Q$1300,0,MATCH($B588,元データ_14項目!$D$1:$Q$1,0)),元データ_14項目!$A$2:$A$1300,$A588,元データ_14項目!$B$2:$B$1300,"本年",元データ_14項目!$C$2:$C$1300,L$5)</f>
        <v>63</v>
      </c>
      <c r="M588" s="26">
        <f>SUMIFS(INDEX(元データ_14項目!$D$2:$Q$1300,0,MATCH($B588,元データ_14項目!$D$1:$Q$1,0)),元データ_14項目!$A$2:$A$1300,$A588,元データ_14項目!$B$2:$B$1300,"本年",元データ_14項目!$C$2:$C$1300,M$5)</f>
        <v>36</v>
      </c>
      <c r="N588" s="26">
        <f>SUMIFS(INDEX(元データ_14項目!$D$2:$Q$1300,0,MATCH($B588,元データ_14項目!$D$1:$Q$1,0)),元データ_14項目!$A$2:$A$1300,$A588,元データ_14項目!$B$2:$B$1300,"本年",元データ_14項目!$C$2:$C$1300,N$5)</f>
        <v>29</v>
      </c>
      <c r="O588" s="26">
        <f t="shared" si="18"/>
        <v>423</v>
      </c>
      <c r="P588" s="26">
        <f>SUMIFS(INDEX(元データ_14項目!$D$2:$Q$1300,0,MATCH($B588,元データ_14項目!$D$1:$Q$1,0)),元データ_14項目!$A$2:$A$1300,$A588,元データ_14項目!$B$2:$B$1300,"前年")</f>
        <v>419</v>
      </c>
      <c r="Q588" s="7">
        <f t="shared" si="19"/>
        <v>1.0095465393794749</v>
      </c>
    </row>
    <row r="589" spans="1:17" x14ac:dyDescent="0.45">
      <c r="A589" t="s">
        <v>76</v>
      </c>
      <c r="B589" t="s">
        <v>95</v>
      </c>
      <c r="C589" s="26">
        <f>SUMIFS(INDEX(元データ_14項目!$D$2:$Q$1300,0,MATCH($B589,元データ_14項目!$D$1:$Q$1,0)),元データ_14項目!$A$2:$A$1300,$A589,元データ_14項目!$B$2:$B$1300,"本年",元データ_14項目!$C$2:$C$1300,C$5)</f>
        <v>21</v>
      </c>
      <c r="D589" s="26">
        <f>SUMIFS(INDEX(元データ_14項目!$D$2:$Q$1300,0,MATCH($B589,元データ_14項目!$D$1:$Q$1,0)),元データ_14項目!$A$2:$A$1300,$A589,元データ_14項目!$B$2:$B$1300,"本年",元データ_14項目!$C$2:$C$1300,D$5)</f>
        <v>21</v>
      </c>
      <c r="E589" s="26">
        <f>SUMIFS(INDEX(元データ_14項目!$D$2:$Q$1300,0,MATCH($B589,元データ_14項目!$D$1:$Q$1,0)),元データ_14項目!$A$2:$A$1300,$A589,元データ_14項目!$B$2:$B$1300,"本年",元データ_14項目!$C$2:$C$1300,E$5)</f>
        <v>39</v>
      </c>
      <c r="F589" s="26">
        <f>SUMIFS(INDEX(元データ_14項目!$D$2:$Q$1300,0,MATCH($B589,元データ_14項目!$D$1:$Q$1,0)),元データ_14項目!$A$2:$A$1300,$A589,元データ_14項目!$B$2:$B$1300,"本年",元データ_14項目!$C$2:$C$1300,F$5)</f>
        <v>34</v>
      </c>
      <c r="G589" s="26">
        <f>SUMIFS(INDEX(元データ_14項目!$D$2:$Q$1300,0,MATCH($B589,元データ_14項目!$D$1:$Q$1,0)),元データ_14項目!$A$2:$A$1300,$A589,元データ_14項目!$B$2:$B$1300,"本年",元データ_14項目!$C$2:$C$1300,G$5)</f>
        <v>15</v>
      </c>
      <c r="H589" s="26">
        <f>SUMIFS(INDEX(元データ_14項目!$D$2:$Q$1300,0,MATCH($B589,元データ_14項目!$D$1:$Q$1,0)),元データ_14項目!$A$2:$A$1300,$A589,元データ_14項目!$B$2:$B$1300,"本年",元データ_14項目!$C$2:$C$1300,H$5)</f>
        <v>5</v>
      </c>
      <c r="I589" s="26">
        <f>SUMIFS(INDEX(元データ_14項目!$D$2:$Q$1300,0,MATCH($B589,元データ_14項目!$D$1:$Q$1,0)),元データ_14項目!$A$2:$A$1300,$A589,元データ_14項目!$B$2:$B$1300,"本年",元データ_14項目!$C$2:$C$1300,I$5)</f>
        <v>7</v>
      </c>
      <c r="J589" s="26">
        <f>SUMIFS(INDEX(元データ_14項目!$D$2:$Q$1300,0,MATCH($B589,元データ_14項目!$D$1:$Q$1,0)),元データ_14項目!$A$2:$A$1300,$A589,元データ_14項目!$B$2:$B$1300,"本年",元データ_14項目!$C$2:$C$1300,J$5)</f>
        <v>14</v>
      </c>
      <c r="K589" s="26">
        <f>SUMIFS(INDEX(元データ_14項目!$D$2:$Q$1300,0,MATCH($B589,元データ_14項目!$D$1:$Q$1,0)),元データ_14項目!$A$2:$A$1300,$A589,元データ_14項目!$B$2:$B$1300,"本年",元データ_14項目!$C$2:$C$1300,K$5)</f>
        <v>53</v>
      </c>
      <c r="L589" s="26">
        <f>SUMIFS(INDEX(元データ_14項目!$D$2:$Q$1300,0,MATCH($B589,元データ_14項目!$D$1:$Q$1,0)),元データ_14項目!$A$2:$A$1300,$A589,元データ_14項目!$B$2:$B$1300,"本年",元データ_14項目!$C$2:$C$1300,L$5)</f>
        <v>21</v>
      </c>
      <c r="M589" s="26">
        <f>SUMIFS(INDEX(元データ_14項目!$D$2:$Q$1300,0,MATCH($B589,元データ_14項目!$D$1:$Q$1,0)),元データ_14項目!$A$2:$A$1300,$A589,元データ_14項目!$B$2:$B$1300,"本年",元データ_14項目!$C$2:$C$1300,M$5)</f>
        <v>26</v>
      </c>
      <c r="N589" s="26">
        <f>SUMIFS(INDEX(元データ_14項目!$D$2:$Q$1300,0,MATCH($B589,元データ_14項目!$D$1:$Q$1,0)),元データ_14項目!$A$2:$A$1300,$A589,元データ_14項目!$B$2:$B$1300,"本年",元データ_14項目!$C$2:$C$1300,N$5)</f>
        <v>23</v>
      </c>
      <c r="O589" s="26">
        <f t="shared" si="18"/>
        <v>279</v>
      </c>
      <c r="P589" s="26">
        <f>SUMIFS(INDEX(元データ_14項目!$D$2:$Q$1300,0,MATCH($B589,元データ_14項目!$D$1:$Q$1,0)),元データ_14項目!$A$2:$A$1300,$A589,元データ_14項目!$B$2:$B$1300,"前年")</f>
        <v>308</v>
      </c>
      <c r="Q589" s="7">
        <f t="shared" si="19"/>
        <v>0.9058441558441559</v>
      </c>
    </row>
    <row r="590" spans="1:17" x14ac:dyDescent="0.45">
      <c r="A590" t="s">
        <v>76</v>
      </c>
      <c r="B590" t="s">
        <v>96</v>
      </c>
      <c r="C590" s="26">
        <f>SUMIFS(INDEX(元データ_14項目!$D$2:$Q$1300,0,MATCH($B590,元データ_14項目!$D$1:$Q$1,0)),元データ_14項目!$A$2:$A$1300,$A590,元データ_14項目!$B$2:$B$1300,"本年",元データ_14項目!$C$2:$C$1300,C$5)</f>
        <v>16</v>
      </c>
      <c r="D590" s="26">
        <f>SUMIFS(INDEX(元データ_14項目!$D$2:$Q$1300,0,MATCH($B590,元データ_14項目!$D$1:$Q$1,0)),元データ_14項目!$A$2:$A$1300,$A590,元データ_14項目!$B$2:$B$1300,"本年",元データ_14項目!$C$2:$C$1300,D$5)</f>
        <v>7</v>
      </c>
      <c r="E590" s="26">
        <f>SUMIFS(INDEX(元データ_14項目!$D$2:$Q$1300,0,MATCH($B590,元データ_14項目!$D$1:$Q$1,0)),元データ_14項目!$A$2:$A$1300,$A590,元データ_14項目!$B$2:$B$1300,"本年",元データ_14項目!$C$2:$C$1300,E$5)</f>
        <v>25</v>
      </c>
      <c r="F590" s="26">
        <f>SUMIFS(INDEX(元データ_14項目!$D$2:$Q$1300,0,MATCH($B590,元データ_14項目!$D$1:$Q$1,0)),元データ_14項目!$A$2:$A$1300,$A590,元データ_14項目!$B$2:$B$1300,"本年",元データ_14項目!$C$2:$C$1300,F$5)</f>
        <v>51</v>
      </c>
      <c r="G590" s="26">
        <f>SUMIFS(INDEX(元データ_14項目!$D$2:$Q$1300,0,MATCH($B590,元データ_14項目!$D$1:$Q$1,0)),元データ_14項目!$A$2:$A$1300,$A590,元データ_14項目!$B$2:$B$1300,"本年",元データ_14項目!$C$2:$C$1300,G$5)</f>
        <v>51</v>
      </c>
      <c r="H590" s="26">
        <f>SUMIFS(INDEX(元データ_14項目!$D$2:$Q$1300,0,MATCH($B590,元データ_14項目!$D$1:$Q$1,0)),元データ_14項目!$A$2:$A$1300,$A590,元データ_14項目!$B$2:$B$1300,"本年",元データ_14項目!$C$2:$C$1300,H$5)</f>
        <v>24</v>
      </c>
      <c r="I590" s="26">
        <f>SUMIFS(INDEX(元データ_14項目!$D$2:$Q$1300,0,MATCH($B590,元データ_14項目!$D$1:$Q$1,0)),元データ_14項目!$A$2:$A$1300,$A590,元データ_14項目!$B$2:$B$1300,"本年",元データ_14項目!$C$2:$C$1300,I$5)</f>
        <v>27</v>
      </c>
      <c r="J590" s="26">
        <f>SUMIFS(INDEX(元データ_14項目!$D$2:$Q$1300,0,MATCH($B590,元データ_14項目!$D$1:$Q$1,0)),元データ_14項目!$A$2:$A$1300,$A590,元データ_14項目!$B$2:$B$1300,"本年",元データ_14項目!$C$2:$C$1300,J$5)</f>
        <v>126</v>
      </c>
      <c r="K590" s="26">
        <f>SUMIFS(INDEX(元データ_14項目!$D$2:$Q$1300,0,MATCH($B590,元データ_14項目!$D$1:$Q$1,0)),元データ_14項目!$A$2:$A$1300,$A590,元データ_14項目!$B$2:$B$1300,"本年",元データ_14項目!$C$2:$C$1300,K$5)</f>
        <v>342</v>
      </c>
      <c r="L590" s="26">
        <f>SUMIFS(INDEX(元データ_14項目!$D$2:$Q$1300,0,MATCH($B590,元データ_14項目!$D$1:$Q$1,0)),元データ_14項目!$A$2:$A$1300,$A590,元データ_14項目!$B$2:$B$1300,"本年",元データ_14項目!$C$2:$C$1300,L$5)</f>
        <v>182</v>
      </c>
      <c r="M590" s="26">
        <f>SUMIFS(INDEX(元データ_14項目!$D$2:$Q$1300,0,MATCH($B590,元データ_14項目!$D$1:$Q$1,0)),元データ_14項目!$A$2:$A$1300,$A590,元データ_14項目!$B$2:$B$1300,"本年",元データ_14項目!$C$2:$C$1300,M$5)</f>
        <v>129</v>
      </c>
      <c r="N590" s="26">
        <f>SUMIFS(INDEX(元データ_14項目!$D$2:$Q$1300,0,MATCH($B590,元データ_14項目!$D$1:$Q$1,0)),元データ_14項目!$A$2:$A$1300,$A590,元データ_14項目!$B$2:$B$1300,"本年",元データ_14項目!$C$2:$C$1300,N$5)</f>
        <v>28</v>
      </c>
      <c r="O590" s="26">
        <f t="shared" si="18"/>
        <v>1008</v>
      </c>
      <c r="P590" s="26">
        <f>SUMIFS(INDEX(元データ_14項目!$D$2:$Q$1300,0,MATCH($B590,元データ_14項目!$D$1:$Q$1,0)),元データ_14項目!$A$2:$A$1300,$A590,元データ_14項目!$B$2:$B$1300,"前年")</f>
        <v>1177</v>
      </c>
      <c r="Q590" s="7">
        <f t="shared" si="19"/>
        <v>0.85641461342395919</v>
      </c>
    </row>
    <row r="591" spans="1:17" x14ac:dyDescent="0.45">
      <c r="A591" t="s">
        <v>76</v>
      </c>
      <c r="B591" t="s">
        <v>97</v>
      </c>
      <c r="C591" s="26">
        <f>SUMIFS(INDEX(元データ_14項目!$D$2:$Q$1300,0,MATCH($B591,元データ_14項目!$D$1:$Q$1,0)),元データ_14項目!$A$2:$A$1300,$A591,元データ_14項目!$B$2:$B$1300,"本年",元データ_14項目!$C$2:$C$1300,C$5)</f>
        <v>29</v>
      </c>
      <c r="D591" s="26">
        <f>SUMIFS(INDEX(元データ_14項目!$D$2:$Q$1300,0,MATCH($B591,元データ_14項目!$D$1:$Q$1,0)),元データ_14項目!$A$2:$A$1300,$A591,元データ_14項目!$B$2:$B$1300,"本年",元データ_14項目!$C$2:$C$1300,D$5)</f>
        <v>17</v>
      </c>
      <c r="E591" s="26">
        <f>SUMIFS(INDEX(元データ_14項目!$D$2:$Q$1300,0,MATCH($B591,元データ_14項目!$D$1:$Q$1,0)),元データ_14項目!$A$2:$A$1300,$A591,元データ_14項目!$B$2:$B$1300,"本年",元データ_14項目!$C$2:$C$1300,E$5)</f>
        <v>35</v>
      </c>
      <c r="F591" s="26">
        <f>SUMIFS(INDEX(元データ_14項目!$D$2:$Q$1300,0,MATCH($B591,元データ_14項目!$D$1:$Q$1,0)),元データ_14項目!$A$2:$A$1300,$A591,元データ_14項目!$B$2:$B$1300,"本年",元データ_14項目!$C$2:$C$1300,F$5)</f>
        <v>27</v>
      </c>
      <c r="G591" s="26">
        <f>SUMIFS(INDEX(元データ_14項目!$D$2:$Q$1300,0,MATCH($B591,元データ_14項目!$D$1:$Q$1,0)),元データ_14項目!$A$2:$A$1300,$A591,元データ_14項目!$B$2:$B$1300,"本年",元データ_14項目!$C$2:$C$1300,G$5)</f>
        <v>49</v>
      </c>
      <c r="H591" s="26">
        <f>SUMIFS(INDEX(元データ_14項目!$D$2:$Q$1300,0,MATCH($B591,元データ_14項目!$D$1:$Q$1,0)),元データ_14項目!$A$2:$A$1300,$A591,元データ_14項目!$B$2:$B$1300,"本年",元データ_14項目!$C$2:$C$1300,H$5)</f>
        <v>27</v>
      </c>
      <c r="I591" s="26">
        <f>SUMIFS(INDEX(元データ_14項目!$D$2:$Q$1300,0,MATCH($B591,元データ_14項目!$D$1:$Q$1,0)),元データ_14項目!$A$2:$A$1300,$A591,元データ_14項目!$B$2:$B$1300,"本年",元データ_14項目!$C$2:$C$1300,I$5)</f>
        <v>25</v>
      </c>
      <c r="J591" s="26">
        <f>SUMIFS(INDEX(元データ_14項目!$D$2:$Q$1300,0,MATCH($B591,元データ_14項目!$D$1:$Q$1,0)),元データ_14項目!$A$2:$A$1300,$A591,元データ_14項目!$B$2:$B$1300,"本年",元データ_14項目!$C$2:$C$1300,J$5)</f>
        <v>64</v>
      </c>
      <c r="K591" s="26">
        <f>SUMIFS(INDEX(元データ_14項目!$D$2:$Q$1300,0,MATCH($B591,元データ_14項目!$D$1:$Q$1,0)),元データ_14項目!$A$2:$A$1300,$A591,元データ_14項目!$B$2:$B$1300,"本年",元データ_14項目!$C$2:$C$1300,K$5)</f>
        <v>172</v>
      </c>
      <c r="L591" s="26">
        <f>SUMIFS(INDEX(元データ_14項目!$D$2:$Q$1300,0,MATCH($B591,元データ_14項目!$D$1:$Q$1,0)),元データ_14項目!$A$2:$A$1300,$A591,元データ_14項目!$B$2:$B$1300,"本年",元データ_14項目!$C$2:$C$1300,L$5)</f>
        <v>120</v>
      </c>
      <c r="M591" s="26">
        <f>SUMIFS(INDEX(元データ_14項目!$D$2:$Q$1300,0,MATCH($B591,元データ_14項目!$D$1:$Q$1,0)),元データ_14項目!$A$2:$A$1300,$A591,元データ_14項目!$B$2:$B$1300,"本年",元データ_14項目!$C$2:$C$1300,M$5)</f>
        <v>64</v>
      </c>
      <c r="N591" s="26">
        <f>SUMIFS(INDEX(元データ_14項目!$D$2:$Q$1300,0,MATCH($B591,元データ_14項目!$D$1:$Q$1,0)),元データ_14項目!$A$2:$A$1300,$A591,元データ_14項目!$B$2:$B$1300,"本年",元データ_14項目!$C$2:$C$1300,N$5)</f>
        <v>41</v>
      </c>
      <c r="O591" s="26">
        <f t="shared" si="18"/>
        <v>670</v>
      </c>
      <c r="P591" s="26">
        <f>SUMIFS(INDEX(元データ_14項目!$D$2:$Q$1300,0,MATCH($B591,元データ_14項目!$D$1:$Q$1,0)),元データ_14項目!$A$2:$A$1300,$A591,元データ_14項目!$B$2:$B$1300,"前年")</f>
        <v>613</v>
      </c>
      <c r="Q591" s="7">
        <f t="shared" si="19"/>
        <v>1.0929853181076672</v>
      </c>
    </row>
    <row r="592" spans="1:17" x14ac:dyDescent="0.45">
      <c r="A592" t="s">
        <v>76</v>
      </c>
      <c r="B592" t="s">
        <v>98</v>
      </c>
      <c r="C592" s="26">
        <f>SUMIFS(INDEX(元データ_14項目!$D$2:$Q$1300,0,MATCH($B592,元データ_14項目!$D$1:$Q$1,0)),元データ_14項目!$A$2:$A$1300,$A592,元データ_14項目!$B$2:$B$1300,"本年",元データ_14項目!$C$2:$C$1300,C$5)</f>
        <v>6</v>
      </c>
      <c r="D592" s="26">
        <f>SUMIFS(INDEX(元データ_14項目!$D$2:$Q$1300,0,MATCH($B592,元データ_14項目!$D$1:$Q$1,0)),元データ_14項目!$A$2:$A$1300,$A592,元データ_14項目!$B$2:$B$1300,"本年",元データ_14項目!$C$2:$C$1300,D$5)</f>
        <v>0</v>
      </c>
      <c r="E592" s="26">
        <f>SUMIFS(INDEX(元データ_14項目!$D$2:$Q$1300,0,MATCH($B592,元データ_14項目!$D$1:$Q$1,0)),元データ_14項目!$A$2:$A$1300,$A592,元データ_14項目!$B$2:$B$1300,"本年",元データ_14項目!$C$2:$C$1300,E$5)</f>
        <v>10</v>
      </c>
      <c r="F592" s="26">
        <f>SUMIFS(INDEX(元データ_14項目!$D$2:$Q$1300,0,MATCH($B592,元データ_14項目!$D$1:$Q$1,0)),元データ_14項目!$A$2:$A$1300,$A592,元データ_14項目!$B$2:$B$1300,"本年",元データ_14項目!$C$2:$C$1300,F$5)</f>
        <v>7</v>
      </c>
      <c r="G592" s="26">
        <f>SUMIFS(INDEX(元データ_14項目!$D$2:$Q$1300,0,MATCH($B592,元データ_14項目!$D$1:$Q$1,0)),元データ_14項目!$A$2:$A$1300,$A592,元データ_14項目!$B$2:$B$1300,"本年",元データ_14項目!$C$2:$C$1300,G$5)</f>
        <v>13</v>
      </c>
      <c r="H592" s="26">
        <f>SUMIFS(INDEX(元データ_14項目!$D$2:$Q$1300,0,MATCH($B592,元データ_14項目!$D$1:$Q$1,0)),元データ_14項目!$A$2:$A$1300,$A592,元データ_14項目!$B$2:$B$1300,"本年",元データ_14項目!$C$2:$C$1300,H$5)</f>
        <v>15</v>
      </c>
      <c r="I592" s="26">
        <f>SUMIFS(INDEX(元データ_14項目!$D$2:$Q$1300,0,MATCH($B592,元データ_14項目!$D$1:$Q$1,0)),元データ_14項目!$A$2:$A$1300,$A592,元データ_14項目!$B$2:$B$1300,"本年",元データ_14項目!$C$2:$C$1300,I$5)</f>
        <v>12</v>
      </c>
      <c r="J592" s="26">
        <f>SUMIFS(INDEX(元データ_14項目!$D$2:$Q$1300,0,MATCH($B592,元データ_14項目!$D$1:$Q$1,0)),元データ_14項目!$A$2:$A$1300,$A592,元データ_14項目!$B$2:$B$1300,"本年",元データ_14項目!$C$2:$C$1300,J$5)</f>
        <v>68</v>
      </c>
      <c r="K592" s="26">
        <f>SUMIFS(INDEX(元データ_14項目!$D$2:$Q$1300,0,MATCH($B592,元データ_14項目!$D$1:$Q$1,0)),元データ_14項目!$A$2:$A$1300,$A592,元データ_14項目!$B$2:$B$1300,"本年",元データ_14項目!$C$2:$C$1300,K$5)</f>
        <v>168</v>
      </c>
      <c r="L592" s="26">
        <f>SUMIFS(INDEX(元データ_14項目!$D$2:$Q$1300,0,MATCH($B592,元データ_14項目!$D$1:$Q$1,0)),元データ_14項目!$A$2:$A$1300,$A592,元データ_14項目!$B$2:$B$1300,"本年",元データ_14項目!$C$2:$C$1300,L$5)</f>
        <v>83</v>
      </c>
      <c r="M592" s="26">
        <f>SUMIFS(INDEX(元データ_14項目!$D$2:$Q$1300,0,MATCH($B592,元データ_14項目!$D$1:$Q$1,0)),元データ_14項目!$A$2:$A$1300,$A592,元データ_14項目!$B$2:$B$1300,"本年",元データ_14項目!$C$2:$C$1300,M$5)</f>
        <v>30</v>
      </c>
      <c r="N592" s="26">
        <f>SUMIFS(INDEX(元データ_14項目!$D$2:$Q$1300,0,MATCH($B592,元データ_14項目!$D$1:$Q$1,0)),元データ_14項目!$A$2:$A$1300,$A592,元データ_14項目!$B$2:$B$1300,"本年",元データ_14項目!$C$2:$C$1300,N$5)</f>
        <v>9</v>
      </c>
      <c r="O592" s="26">
        <f t="shared" si="18"/>
        <v>421</v>
      </c>
      <c r="P592" s="26">
        <f>SUMIFS(INDEX(元データ_14項目!$D$2:$Q$1300,0,MATCH($B592,元データ_14項目!$D$1:$Q$1,0)),元データ_14項目!$A$2:$A$1300,$A592,元データ_14項目!$B$2:$B$1300,"前年")</f>
        <v>428</v>
      </c>
      <c r="Q592" s="7">
        <f t="shared" si="19"/>
        <v>0.98364485981308414</v>
      </c>
    </row>
    <row r="593" spans="1:17" x14ac:dyDescent="0.45">
      <c r="A593" t="s">
        <v>76</v>
      </c>
      <c r="B593" t="s">
        <v>99</v>
      </c>
      <c r="C593" s="26">
        <f>SUMIFS(INDEX(元データ_14項目!$D$2:$Q$1300,0,MATCH($B593,元データ_14項目!$D$1:$Q$1,0)),元データ_14項目!$A$2:$A$1300,$A593,元データ_14項目!$B$2:$B$1300,"本年",元データ_14項目!$C$2:$C$1300,C$5)</f>
        <v>0</v>
      </c>
      <c r="D593" s="26">
        <f>SUMIFS(INDEX(元データ_14項目!$D$2:$Q$1300,0,MATCH($B593,元データ_14項目!$D$1:$Q$1,0)),元データ_14項目!$A$2:$A$1300,$A593,元データ_14項目!$B$2:$B$1300,"本年",元データ_14項目!$C$2:$C$1300,D$5)</f>
        <v>0</v>
      </c>
      <c r="E593" s="26">
        <f>SUMIFS(INDEX(元データ_14項目!$D$2:$Q$1300,0,MATCH($B593,元データ_14項目!$D$1:$Q$1,0)),元データ_14項目!$A$2:$A$1300,$A593,元データ_14項目!$B$2:$B$1300,"本年",元データ_14項目!$C$2:$C$1300,E$5)</f>
        <v>0</v>
      </c>
      <c r="F593" s="26">
        <f>SUMIFS(INDEX(元データ_14項目!$D$2:$Q$1300,0,MATCH($B593,元データ_14項目!$D$1:$Q$1,0)),元データ_14項目!$A$2:$A$1300,$A593,元データ_14項目!$B$2:$B$1300,"本年",元データ_14項目!$C$2:$C$1300,F$5)</f>
        <v>2</v>
      </c>
      <c r="G593" s="26">
        <f>SUMIFS(INDEX(元データ_14項目!$D$2:$Q$1300,0,MATCH($B593,元データ_14項目!$D$1:$Q$1,0)),元データ_14項目!$A$2:$A$1300,$A593,元データ_14項目!$B$2:$B$1300,"本年",元データ_14項目!$C$2:$C$1300,G$5)</f>
        <v>1</v>
      </c>
      <c r="H593" s="26">
        <f>SUMIFS(INDEX(元データ_14項目!$D$2:$Q$1300,0,MATCH($B593,元データ_14項目!$D$1:$Q$1,0)),元データ_14項目!$A$2:$A$1300,$A593,元データ_14項目!$B$2:$B$1300,"本年",元データ_14項目!$C$2:$C$1300,H$5)</f>
        <v>0</v>
      </c>
      <c r="I593" s="26">
        <f>SUMIFS(INDEX(元データ_14項目!$D$2:$Q$1300,0,MATCH($B593,元データ_14項目!$D$1:$Q$1,0)),元データ_14項目!$A$2:$A$1300,$A593,元データ_14項目!$B$2:$B$1300,"本年",元データ_14項目!$C$2:$C$1300,I$5)</f>
        <v>0</v>
      </c>
      <c r="J593" s="26">
        <f>SUMIFS(INDEX(元データ_14項目!$D$2:$Q$1300,0,MATCH($B593,元データ_14項目!$D$1:$Q$1,0)),元データ_14項目!$A$2:$A$1300,$A593,元データ_14項目!$B$2:$B$1300,"本年",元データ_14項目!$C$2:$C$1300,J$5)</f>
        <v>1</v>
      </c>
      <c r="K593" s="26">
        <f>SUMIFS(INDEX(元データ_14項目!$D$2:$Q$1300,0,MATCH($B593,元データ_14項目!$D$1:$Q$1,0)),元データ_14項目!$A$2:$A$1300,$A593,元データ_14項目!$B$2:$B$1300,"本年",元データ_14項目!$C$2:$C$1300,K$5)</f>
        <v>3</v>
      </c>
      <c r="L593" s="26">
        <f>SUMIFS(INDEX(元データ_14項目!$D$2:$Q$1300,0,MATCH($B593,元データ_14項目!$D$1:$Q$1,0)),元データ_14項目!$A$2:$A$1300,$A593,元データ_14項目!$B$2:$B$1300,"本年",元データ_14項目!$C$2:$C$1300,L$5)</f>
        <v>1</v>
      </c>
      <c r="M593" s="26">
        <f>SUMIFS(INDEX(元データ_14項目!$D$2:$Q$1300,0,MATCH($B593,元データ_14項目!$D$1:$Q$1,0)),元データ_14項目!$A$2:$A$1300,$A593,元データ_14項目!$B$2:$B$1300,"本年",元データ_14項目!$C$2:$C$1300,M$5)</f>
        <v>2</v>
      </c>
      <c r="N593" s="26">
        <f>SUMIFS(INDEX(元データ_14項目!$D$2:$Q$1300,0,MATCH($B593,元データ_14項目!$D$1:$Q$1,0)),元データ_14項目!$A$2:$A$1300,$A593,元データ_14項目!$B$2:$B$1300,"本年",元データ_14項目!$C$2:$C$1300,N$5)</f>
        <v>1</v>
      </c>
      <c r="O593" s="26">
        <f t="shared" si="18"/>
        <v>11</v>
      </c>
      <c r="P593" s="26">
        <f>SUMIFS(INDEX(元データ_14項目!$D$2:$Q$1300,0,MATCH($B593,元データ_14項目!$D$1:$Q$1,0)),元データ_14項目!$A$2:$A$1300,$A593,元データ_14項目!$B$2:$B$1300,"前年")</f>
        <v>22</v>
      </c>
      <c r="Q593" s="7">
        <f t="shared" si="19"/>
        <v>0.5</v>
      </c>
    </row>
    <row r="594" spans="1:17" x14ac:dyDescent="0.45">
      <c r="A594" t="s">
        <v>77</v>
      </c>
      <c r="B594" t="s">
        <v>27</v>
      </c>
      <c r="C594" s="26">
        <f>SUMIFS(INDEX(元データ_14項目!$D$2:$Q$1300,0,MATCH($B594,元データ_14項目!$D$1:$Q$1,0)),元データ_14項目!$A$2:$A$1300,$A594,元データ_14項目!$B$2:$B$1300,"本年",元データ_14項目!$C$2:$C$1300,C$5)</f>
        <v>422</v>
      </c>
      <c r="D594" s="26">
        <f>SUMIFS(INDEX(元データ_14項目!$D$2:$Q$1300,0,MATCH($B594,元データ_14項目!$D$1:$Q$1,0)),元データ_14項目!$A$2:$A$1300,$A594,元データ_14項目!$B$2:$B$1300,"本年",元データ_14項目!$C$2:$C$1300,D$5)</f>
        <v>528</v>
      </c>
      <c r="E594" s="26">
        <f>SUMIFS(INDEX(元データ_14項目!$D$2:$Q$1300,0,MATCH($B594,元データ_14項目!$D$1:$Q$1,0)),元データ_14項目!$A$2:$A$1300,$A594,元データ_14項目!$B$2:$B$1300,"本年",元データ_14項目!$C$2:$C$1300,E$5)</f>
        <v>658</v>
      </c>
      <c r="F594" s="26">
        <f>SUMIFS(INDEX(元データ_14項目!$D$2:$Q$1300,0,MATCH($B594,元データ_14項目!$D$1:$Q$1,0)),元データ_14項目!$A$2:$A$1300,$A594,元データ_14項目!$B$2:$B$1300,"本年",元データ_14項目!$C$2:$C$1300,F$5)</f>
        <v>608</v>
      </c>
      <c r="G594" s="26">
        <f>SUMIFS(INDEX(元データ_14項目!$D$2:$Q$1300,0,MATCH($B594,元データ_14項目!$D$1:$Q$1,0)),元データ_14項目!$A$2:$A$1300,$A594,元データ_14項目!$B$2:$B$1300,"本年",元データ_14項目!$C$2:$C$1300,G$5)</f>
        <v>605</v>
      </c>
      <c r="H594" s="26">
        <f>SUMIFS(INDEX(元データ_14項目!$D$2:$Q$1300,0,MATCH($B594,元データ_14項目!$D$1:$Q$1,0)),元データ_14項目!$A$2:$A$1300,$A594,元データ_14項目!$B$2:$B$1300,"本年",元データ_14項目!$C$2:$C$1300,H$5)</f>
        <v>496</v>
      </c>
      <c r="I594" s="26">
        <f>SUMIFS(INDEX(元データ_14項目!$D$2:$Q$1300,0,MATCH($B594,元データ_14項目!$D$1:$Q$1,0)),元データ_14項目!$A$2:$A$1300,$A594,元データ_14項目!$B$2:$B$1300,"本年",元データ_14項目!$C$2:$C$1300,I$5)</f>
        <v>496</v>
      </c>
      <c r="J594" s="26">
        <f>SUMIFS(INDEX(元データ_14項目!$D$2:$Q$1300,0,MATCH($B594,元データ_14項目!$D$1:$Q$1,0)),元データ_14項目!$A$2:$A$1300,$A594,元データ_14項目!$B$2:$B$1300,"本年",元データ_14項目!$C$2:$C$1300,J$5)</f>
        <v>557</v>
      </c>
      <c r="K594" s="26">
        <f>SUMIFS(INDEX(元データ_14項目!$D$2:$Q$1300,0,MATCH($B594,元データ_14項目!$D$1:$Q$1,0)),元データ_14項目!$A$2:$A$1300,$A594,元データ_14項目!$B$2:$B$1300,"本年",元データ_14項目!$C$2:$C$1300,K$5)</f>
        <v>616</v>
      </c>
      <c r="L594" s="26">
        <f>SUMIFS(INDEX(元データ_14項目!$D$2:$Q$1300,0,MATCH($B594,元データ_14項目!$D$1:$Q$1,0)),元データ_14項目!$A$2:$A$1300,$A594,元データ_14項目!$B$2:$B$1300,"本年",元データ_14項目!$C$2:$C$1300,L$5)</f>
        <v>558</v>
      </c>
      <c r="M594" s="26">
        <f>SUMIFS(INDEX(元データ_14項目!$D$2:$Q$1300,0,MATCH($B594,元データ_14項目!$D$1:$Q$1,0)),元データ_14項目!$A$2:$A$1300,$A594,元データ_14項目!$B$2:$B$1300,"本年",元データ_14項目!$C$2:$C$1300,M$5)</f>
        <v>675</v>
      </c>
      <c r="N594" s="26">
        <f>SUMIFS(INDEX(元データ_14項目!$D$2:$Q$1300,0,MATCH($B594,元データ_14項目!$D$1:$Q$1,0)),元データ_14項目!$A$2:$A$1300,$A594,元データ_14項目!$B$2:$B$1300,"本年",元データ_14項目!$C$2:$C$1300,N$5)</f>
        <v>534</v>
      </c>
      <c r="O594" s="26">
        <f t="shared" si="18"/>
        <v>6753</v>
      </c>
      <c r="P594" s="26">
        <f>SUMIFS(INDEX(元データ_14項目!$D$2:$Q$1300,0,MATCH($B594,元データ_14項目!$D$1:$Q$1,0)),元データ_14項目!$A$2:$A$1300,$A594,元データ_14項目!$B$2:$B$1300,"前年")</f>
        <v>7249</v>
      </c>
      <c r="Q594" s="7">
        <f t="shared" si="19"/>
        <v>0.93157676920954613</v>
      </c>
    </row>
    <row r="595" spans="1:17" x14ac:dyDescent="0.45">
      <c r="A595" t="s">
        <v>77</v>
      </c>
      <c r="B595" t="s">
        <v>88</v>
      </c>
      <c r="C595" s="26">
        <f>SUMIFS(INDEX(元データ_14項目!$D$2:$Q$1300,0,MATCH($B595,元データ_14項目!$D$1:$Q$1,0)),元データ_14項目!$A$2:$A$1300,$A595,元データ_14項目!$B$2:$B$1300,"本年",元データ_14項目!$C$2:$C$1300,C$5)</f>
        <v>36</v>
      </c>
      <c r="D595" s="26">
        <f>SUMIFS(INDEX(元データ_14項目!$D$2:$Q$1300,0,MATCH($B595,元データ_14項目!$D$1:$Q$1,0)),元データ_14項目!$A$2:$A$1300,$A595,元データ_14項目!$B$2:$B$1300,"本年",元データ_14項目!$C$2:$C$1300,D$5)</f>
        <v>31</v>
      </c>
      <c r="E595" s="26">
        <f>SUMIFS(INDEX(元データ_14項目!$D$2:$Q$1300,0,MATCH($B595,元データ_14項目!$D$1:$Q$1,0)),元データ_14項目!$A$2:$A$1300,$A595,元データ_14項目!$B$2:$B$1300,"本年",元データ_14項目!$C$2:$C$1300,E$5)</f>
        <v>52</v>
      </c>
      <c r="F595" s="26">
        <f>SUMIFS(INDEX(元データ_14項目!$D$2:$Q$1300,0,MATCH($B595,元データ_14項目!$D$1:$Q$1,0)),元データ_14項目!$A$2:$A$1300,$A595,元データ_14項目!$B$2:$B$1300,"本年",元データ_14項目!$C$2:$C$1300,F$5)</f>
        <v>51</v>
      </c>
      <c r="G595" s="26">
        <f>SUMIFS(INDEX(元データ_14項目!$D$2:$Q$1300,0,MATCH($B595,元データ_14項目!$D$1:$Q$1,0)),元データ_14項目!$A$2:$A$1300,$A595,元データ_14項目!$B$2:$B$1300,"本年",元データ_14項目!$C$2:$C$1300,G$5)</f>
        <v>36</v>
      </c>
      <c r="H595" s="26">
        <f>SUMIFS(INDEX(元データ_14項目!$D$2:$Q$1300,0,MATCH($B595,元データ_14項目!$D$1:$Q$1,0)),元データ_14項目!$A$2:$A$1300,$A595,元データ_14項目!$B$2:$B$1300,"本年",元データ_14項目!$C$2:$C$1300,H$5)</f>
        <v>29</v>
      </c>
      <c r="I595" s="26">
        <f>SUMIFS(INDEX(元データ_14項目!$D$2:$Q$1300,0,MATCH($B595,元データ_14項目!$D$1:$Q$1,0)),元データ_14項目!$A$2:$A$1300,$A595,元データ_14項目!$B$2:$B$1300,"本年",元データ_14項目!$C$2:$C$1300,I$5)</f>
        <v>27</v>
      </c>
      <c r="J595" s="26">
        <f>SUMIFS(INDEX(元データ_14項目!$D$2:$Q$1300,0,MATCH($B595,元データ_14項目!$D$1:$Q$1,0)),元データ_14項目!$A$2:$A$1300,$A595,元データ_14項目!$B$2:$B$1300,"本年",元データ_14項目!$C$2:$C$1300,J$5)</f>
        <v>39</v>
      </c>
      <c r="K595" s="26">
        <f>SUMIFS(INDEX(元データ_14項目!$D$2:$Q$1300,0,MATCH($B595,元データ_14項目!$D$1:$Q$1,0)),元データ_14項目!$A$2:$A$1300,$A595,元データ_14項目!$B$2:$B$1300,"本年",元データ_14項目!$C$2:$C$1300,K$5)</f>
        <v>49</v>
      </c>
      <c r="L595" s="26">
        <f>SUMIFS(INDEX(元データ_14項目!$D$2:$Q$1300,0,MATCH($B595,元データ_14項目!$D$1:$Q$1,0)),元データ_14項目!$A$2:$A$1300,$A595,元データ_14項目!$B$2:$B$1300,"本年",元データ_14項目!$C$2:$C$1300,L$5)</f>
        <v>47</v>
      </c>
      <c r="M595" s="26">
        <f>SUMIFS(INDEX(元データ_14項目!$D$2:$Q$1300,0,MATCH($B595,元データ_14項目!$D$1:$Q$1,0)),元データ_14項目!$A$2:$A$1300,$A595,元データ_14項目!$B$2:$B$1300,"本年",元データ_14項目!$C$2:$C$1300,M$5)</f>
        <v>50</v>
      </c>
      <c r="N595" s="26">
        <f>SUMIFS(INDEX(元データ_14項目!$D$2:$Q$1300,0,MATCH($B595,元データ_14項目!$D$1:$Q$1,0)),元データ_14項目!$A$2:$A$1300,$A595,元データ_14項目!$B$2:$B$1300,"本年",元データ_14項目!$C$2:$C$1300,N$5)</f>
        <v>45</v>
      </c>
      <c r="O595" s="26">
        <f t="shared" si="18"/>
        <v>492</v>
      </c>
      <c r="P595" s="26">
        <f>SUMIFS(INDEX(元データ_14項目!$D$2:$Q$1300,0,MATCH($B595,元データ_14項目!$D$1:$Q$1,0)),元データ_14項目!$A$2:$A$1300,$A595,元データ_14項目!$B$2:$B$1300,"前年")</f>
        <v>472</v>
      </c>
      <c r="Q595" s="7">
        <f t="shared" si="19"/>
        <v>1.0423728813559323</v>
      </c>
    </row>
    <row r="596" spans="1:17" x14ac:dyDescent="0.45">
      <c r="A596" t="s">
        <v>77</v>
      </c>
      <c r="B596" t="s">
        <v>89</v>
      </c>
      <c r="C596" s="26">
        <f>SUMIFS(INDEX(元データ_14項目!$D$2:$Q$1300,0,MATCH($B596,元データ_14項目!$D$1:$Q$1,0)),元データ_14項目!$A$2:$A$1300,$A596,元データ_14項目!$B$2:$B$1300,"本年",元データ_14項目!$C$2:$C$1300,C$5)</f>
        <v>147</v>
      </c>
      <c r="D596" s="26">
        <f>SUMIFS(INDEX(元データ_14項目!$D$2:$Q$1300,0,MATCH($B596,元データ_14項目!$D$1:$Q$1,0)),元データ_14項目!$A$2:$A$1300,$A596,元データ_14項目!$B$2:$B$1300,"本年",元データ_14項目!$C$2:$C$1300,D$5)</f>
        <v>18</v>
      </c>
      <c r="E596" s="26">
        <f>SUMIFS(INDEX(元データ_14項目!$D$2:$Q$1300,0,MATCH($B596,元データ_14項目!$D$1:$Q$1,0)),元データ_14項目!$A$2:$A$1300,$A596,元データ_14項目!$B$2:$B$1300,"本年",元データ_14項目!$C$2:$C$1300,E$5)</f>
        <v>60</v>
      </c>
      <c r="F596" s="26">
        <f>SUMIFS(INDEX(元データ_14項目!$D$2:$Q$1300,0,MATCH($B596,元データ_14項目!$D$1:$Q$1,0)),元データ_14項目!$A$2:$A$1300,$A596,元データ_14項目!$B$2:$B$1300,"本年",元データ_14項目!$C$2:$C$1300,F$5)</f>
        <v>33</v>
      </c>
      <c r="G596" s="26">
        <f>SUMIFS(INDEX(元データ_14項目!$D$2:$Q$1300,0,MATCH($B596,元データ_14項目!$D$1:$Q$1,0)),元データ_14項目!$A$2:$A$1300,$A596,元データ_14項目!$B$2:$B$1300,"本年",元データ_14項目!$C$2:$C$1300,G$5)</f>
        <v>55</v>
      </c>
      <c r="H596" s="26">
        <f>SUMIFS(INDEX(元データ_14項目!$D$2:$Q$1300,0,MATCH($B596,元データ_14項目!$D$1:$Q$1,0)),元データ_14項目!$A$2:$A$1300,$A596,元データ_14項目!$B$2:$B$1300,"本年",元データ_14項目!$C$2:$C$1300,H$5)</f>
        <v>20</v>
      </c>
      <c r="I596" s="26">
        <f>SUMIFS(INDEX(元データ_14項目!$D$2:$Q$1300,0,MATCH($B596,元データ_14項目!$D$1:$Q$1,0)),元データ_14項目!$A$2:$A$1300,$A596,元データ_14項目!$B$2:$B$1300,"本年",元データ_14項目!$C$2:$C$1300,I$5)</f>
        <v>18</v>
      </c>
      <c r="J596" s="26">
        <f>SUMIFS(INDEX(元データ_14項目!$D$2:$Q$1300,0,MATCH($B596,元データ_14項目!$D$1:$Q$1,0)),元データ_14項目!$A$2:$A$1300,$A596,元データ_14項目!$B$2:$B$1300,"本年",元データ_14項目!$C$2:$C$1300,J$5)</f>
        <v>29</v>
      </c>
      <c r="K596" s="26">
        <f>SUMIFS(INDEX(元データ_14項目!$D$2:$Q$1300,0,MATCH($B596,元データ_14項目!$D$1:$Q$1,0)),元データ_14項目!$A$2:$A$1300,$A596,元データ_14項目!$B$2:$B$1300,"本年",元データ_14項目!$C$2:$C$1300,K$5)</f>
        <v>56</v>
      </c>
      <c r="L596" s="26">
        <f>SUMIFS(INDEX(元データ_14項目!$D$2:$Q$1300,0,MATCH($B596,元データ_14項目!$D$1:$Q$1,0)),元データ_14項目!$A$2:$A$1300,$A596,元データ_14項目!$B$2:$B$1300,"本年",元データ_14項目!$C$2:$C$1300,L$5)</f>
        <v>52</v>
      </c>
      <c r="M596" s="26">
        <f>SUMIFS(INDEX(元データ_14項目!$D$2:$Q$1300,0,MATCH($B596,元データ_14項目!$D$1:$Q$1,0)),元データ_14項目!$A$2:$A$1300,$A596,元データ_14項目!$B$2:$B$1300,"本年",元データ_14項目!$C$2:$C$1300,M$5)</f>
        <v>27</v>
      </c>
      <c r="N596" s="26">
        <f>SUMIFS(INDEX(元データ_14項目!$D$2:$Q$1300,0,MATCH($B596,元データ_14項目!$D$1:$Q$1,0)),元データ_14項目!$A$2:$A$1300,$A596,元データ_14項目!$B$2:$B$1300,"本年",元データ_14項目!$C$2:$C$1300,N$5)</f>
        <v>30</v>
      </c>
      <c r="O596" s="26">
        <f t="shared" si="18"/>
        <v>545</v>
      </c>
      <c r="P596" s="26">
        <f>SUMIFS(INDEX(元データ_14項目!$D$2:$Q$1300,0,MATCH($B596,元データ_14項目!$D$1:$Q$1,0)),元データ_14項目!$A$2:$A$1300,$A596,元データ_14項目!$B$2:$B$1300,"前年")</f>
        <v>332</v>
      </c>
      <c r="Q596" s="7">
        <f t="shared" si="19"/>
        <v>1.6415662650602409</v>
      </c>
    </row>
    <row r="597" spans="1:17" x14ac:dyDescent="0.45">
      <c r="A597" t="s">
        <v>77</v>
      </c>
      <c r="B597" t="s">
        <v>90</v>
      </c>
      <c r="C597" s="26">
        <f>SUMIFS(INDEX(元データ_14項目!$D$2:$Q$1300,0,MATCH($B597,元データ_14項目!$D$1:$Q$1,0)),元データ_14項目!$A$2:$A$1300,$A597,元データ_14項目!$B$2:$B$1300,"本年",元データ_14項目!$C$2:$C$1300,C$5)</f>
        <v>31</v>
      </c>
      <c r="D597" s="26">
        <f>SUMIFS(INDEX(元データ_14項目!$D$2:$Q$1300,0,MATCH($B597,元データ_14項目!$D$1:$Q$1,0)),元データ_14項目!$A$2:$A$1300,$A597,元データ_14項目!$B$2:$B$1300,"本年",元データ_14項目!$C$2:$C$1300,D$5)</f>
        <v>45</v>
      </c>
      <c r="E597" s="26">
        <f>SUMIFS(INDEX(元データ_14項目!$D$2:$Q$1300,0,MATCH($B597,元データ_14項目!$D$1:$Q$1,0)),元データ_14項目!$A$2:$A$1300,$A597,元データ_14項目!$B$2:$B$1300,"本年",元データ_14項目!$C$2:$C$1300,E$5)</f>
        <v>61</v>
      </c>
      <c r="F597" s="26">
        <f>SUMIFS(INDEX(元データ_14項目!$D$2:$Q$1300,0,MATCH($B597,元データ_14項目!$D$1:$Q$1,0)),元データ_14項目!$A$2:$A$1300,$A597,元データ_14項目!$B$2:$B$1300,"本年",元データ_14項目!$C$2:$C$1300,F$5)</f>
        <v>78</v>
      </c>
      <c r="G597" s="26">
        <f>SUMIFS(INDEX(元データ_14項目!$D$2:$Q$1300,0,MATCH($B597,元データ_14項目!$D$1:$Q$1,0)),元データ_14項目!$A$2:$A$1300,$A597,元データ_14項目!$B$2:$B$1300,"本年",元データ_14項目!$C$2:$C$1300,G$5)</f>
        <v>107</v>
      </c>
      <c r="H597" s="26">
        <f>SUMIFS(INDEX(元データ_14項目!$D$2:$Q$1300,0,MATCH($B597,元データ_14項目!$D$1:$Q$1,0)),元データ_14項目!$A$2:$A$1300,$A597,元データ_14項目!$B$2:$B$1300,"本年",元データ_14項目!$C$2:$C$1300,H$5)</f>
        <v>94</v>
      </c>
      <c r="I597" s="26">
        <f>SUMIFS(INDEX(元データ_14項目!$D$2:$Q$1300,0,MATCH($B597,元データ_14項目!$D$1:$Q$1,0)),元データ_14項目!$A$2:$A$1300,$A597,元データ_14項目!$B$2:$B$1300,"本年",元データ_14項目!$C$2:$C$1300,I$5)</f>
        <v>56</v>
      </c>
      <c r="J597" s="26">
        <f>SUMIFS(INDEX(元データ_14項目!$D$2:$Q$1300,0,MATCH($B597,元データ_14項目!$D$1:$Q$1,0)),元データ_14項目!$A$2:$A$1300,$A597,元データ_14項目!$B$2:$B$1300,"本年",元データ_14項目!$C$2:$C$1300,J$5)</f>
        <v>137</v>
      </c>
      <c r="K597" s="26">
        <f>SUMIFS(INDEX(元データ_14項目!$D$2:$Q$1300,0,MATCH($B597,元データ_14項目!$D$1:$Q$1,0)),元データ_14項目!$A$2:$A$1300,$A597,元データ_14項目!$B$2:$B$1300,"本年",元データ_14項目!$C$2:$C$1300,K$5)</f>
        <v>151</v>
      </c>
      <c r="L597" s="26">
        <f>SUMIFS(INDEX(元データ_14項目!$D$2:$Q$1300,0,MATCH($B597,元データ_14項目!$D$1:$Q$1,0)),元データ_14項目!$A$2:$A$1300,$A597,元データ_14項目!$B$2:$B$1300,"本年",元データ_14項目!$C$2:$C$1300,L$5)</f>
        <v>110</v>
      </c>
      <c r="M597" s="26">
        <f>SUMIFS(INDEX(元データ_14項目!$D$2:$Q$1300,0,MATCH($B597,元データ_14項目!$D$1:$Q$1,0)),元データ_14項目!$A$2:$A$1300,$A597,元データ_14項目!$B$2:$B$1300,"本年",元データ_14項目!$C$2:$C$1300,M$5)</f>
        <v>98</v>
      </c>
      <c r="N597" s="26">
        <f>SUMIFS(INDEX(元データ_14項目!$D$2:$Q$1300,0,MATCH($B597,元データ_14項目!$D$1:$Q$1,0)),元データ_14項目!$A$2:$A$1300,$A597,元データ_14項目!$B$2:$B$1300,"本年",元データ_14項目!$C$2:$C$1300,N$5)</f>
        <v>61</v>
      </c>
      <c r="O597" s="26">
        <f t="shared" si="18"/>
        <v>1029</v>
      </c>
      <c r="P597" s="26">
        <f>SUMIFS(INDEX(元データ_14項目!$D$2:$Q$1300,0,MATCH($B597,元データ_14項目!$D$1:$Q$1,0)),元データ_14項目!$A$2:$A$1300,$A597,元データ_14項目!$B$2:$B$1300,"前年")</f>
        <v>981</v>
      </c>
      <c r="Q597" s="7">
        <f t="shared" si="19"/>
        <v>1.0489296636085628</v>
      </c>
    </row>
    <row r="598" spans="1:17" x14ac:dyDescent="0.45">
      <c r="A598" t="s">
        <v>77</v>
      </c>
      <c r="B598" t="s">
        <v>91</v>
      </c>
      <c r="C598" s="26">
        <f>SUMIFS(INDEX(元データ_14項目!$D$2:$Q$1300,0,MATCH($B598,元データ_14項目!$D$1:$Q$1,0)),元データ_14項目!$A$2:$A$1300,$A598,元データ_14項目!$B$2:$B$1300,"本年",元データ_14項目!$C$2:$C$1300,C$5)</f>
        <v>15</v>
      </c>
      <c r="D598" s="26">
        <f>SUMIFS(INDEX(元データ_14項目!$D$2:$Q$1300,0,MATCH($B598,元データ_14項目!$D$1:$Q$1,0)),元データ_14項目!$A$2:$A$1300,$A598,元データ_14項目!$B$2:$B$1300,"本年",元データ_14項目!$C$2:$C$1300,D$5)</f>
        <v>35</v>
      </c>
      <c r="E598" s="26">
        <f>SUMIFS(INDEX(元データ_14項目!$D$2:$Q$1300,0,MATCH($B598,元データ_14項目!$D$1:$Q$1,0)),元データ_14項目!$A$2:$A$1300,$A598,元データ_14項目!$B$2:$B$1300,"本年",元データ_14項目!$C$2:$C$1300,E$5)</f>
        <v>48</v>
      </c>
      <c r="F598" s="26">
        <f>SUMIFS(INDEX(元データ_14項目!$D$2:$Q$1300,0,MATCH($B598,元データ_14項目!$D$1:$Q$1,0)),元データ_14項目!$A$2:$A$1300,$A598,元データ_14項目!$B$2:$B$1300,"本年",元データ_14項目!$C$2:$C$1300,F$5)</f>
        <v>32</v>
      </c>
      <c r="G598" s="26">
        <f>SUMIFS(INDEX(元データ_14項目!$D$2:$Q$1300,0,MATCH($B598,元データ_14項目!$D$1:$Q$1,0)),元データ_14項目!$A$2:$A$1300,$A598,元データ_14項目!$B$2:$B$1300,"本年",元データ_14項目!$C$2:$C$1300,G$5)</f>
        <v>9</v>
      </c>
      <c r="H598" s="26">
        <f>SUMIFS(INDEX(元データ_14項目!$D$2:$Q$1300,0,MATCH($B598,元データ_14項目!$D$1:$Q$1,0)),元データ_14項目!$A$2:$A$1300,$A598,元データ_14項目!$B$2:$B$1300,"本年",元データ_14項目!$C$2:$C$1300,H$5)</f>
        <v>1</v>
      </c>
      <c r="I598" s="26">
        <f>SUMIFS(INDEX(元データ_14項目!$D$2:$Q$1300,0,MATCH($B598,元データ_14項目!$D$1:$Q$1,0)),元データ_14項目!$A$2:$A$1300,$A598,元データ_14項目!$B$2:$B$1300,"本年",元データ_14項目!$C$2:$C$1300,I$5)</f>
        <v>16</v>
      </c>
      <c r="J598" s="26">
        <f>SUMIFS(INDEX(元データ_14項目!$D$2:$Q$1300,0,MATCH($B598,元データ_14項目!$D$1:$Q$1,0)),元データ_14項目!$A$2:$A$1300,$A598,元データ_14項目!$B$2:$B$1300,"本年",元データ_14項目!$C$2:$C$1300,J$5)</f>
        <v>18</v>
      </c>
      <c r="K598" s="26">
        <f>SUMIFS(INDEX(元データ_14項目!$D$2:$Q$1300,0,MATCH($B598,元データ_14項目!$D$1:$Q$1,0)),元データ_14項目!$A$2:$A$1300,$A598,元データ_14項目!$B$2:$B$1300,"本年",元データ_14項目!$C$2:$C$1300,K$5)</f>
        <v>15</v>
      </c>
      <c r="L598" s="26">
        <f>SUMIFS(INDEX(元データ_14項目!$D$2:$Q$1300,0,MATCH($B598,元データ_14項目!$D$1:$Q$1,0)),元データ_14項目!$A$2:$A$1300,$A598,元データ_14項目!$B$2:$B$1300,"本年",元データ_14項目!$C$2:$C$1300,L$5)</f>
        <v>11</v>
      </c>
      <c r="M598" s="26">
        <f>SUMIFS(INDEX(元データ_14項目!$D$2:$Q$1300,0,MATCH($B598,元データ_14項目!$D$1:$Q$1,0)),元データ_14項目!$A$2:$A$1300,$A598,元データ_14項目!$B$2:$B$1300,"本年",元データ_14項目!$C$2:$C$1300,M$5)</f>
        <v>3</v>
      </c>
      <c r="N598" s="26">
        <f>SUMIFS(INDEX(元データ_14項目!$D$2:$Q$1300,0,MATCH($B598,元データ_14項目!$D$1:$Q$1,0)),元データ_14項目!$A$2:$A$1300,$A598,元データ_14項目!$B$2:$B$1300,"本年",元データ_14項目!$C$2:$C$1300,N$5)</f>
        <v>28</v>
      </c>
      <c r="O598" s="26">
        <f t="shared" si="18"/>
        <v>231</v>
      </c>
      <c r="P598" s="26">
        <f>SUMIFS(INDEX(元データ_14項目!$D$2:$Q$1300,0,MATCH($B598,元データ_14項目!$D$1:$Q$1,0)),元データ_14項目!$A$2:$A$1300,$A598,元データ_14項目!$B$2:$B$1300,"前年")</f>
        <v>241</v>
      </c>
      <c r="Q598" s="7">
        <f t="shared" si="19"/>
        <v>0.95850622406639008</v>
      </c>
    </row>
    <row r="599" spans="1:17" x14ac:dyDescent="0.45">
      <c r="A599" t="s">
        <v>77</v>
      </c>
      <c r="B599" t="s">
        <v>28</v>
      </c>
      <c r="C599" s="26">
        <f>SUMIFS(INDEX(元データ_14項目!$D$2:$Q$1300,0,MATCH($B599,元データ_14項目!$D$1:$Q$1,0)),元データ_14項目!$A$2:$A$1300,$A599,元データ_14項目!$B$2:$B$1300,"本年",元データ_14項目!$C$2:$C$1300,C$5)</f>
        <v>127</v>
      </c>
      <c r="D599" s="26">
        <f>SUMIFS(INDEX(元データ_14項目!$D$2:$Q$1300,0,MATCH($B599,元データ_14項目!$D$1:$Q$1,0)),元データ_14項目!$A$2:$A$1300,$A599,元データ_14項目!$B$2:$B$1300,"本年",元データ_14項目!$C$2:$C$1300,D$5)</f>
        <v>180</v>
      </c>
      <c r="E599" s="26">
        <f>SUMIFS(INDEX(元データ_14項目!$D$2:$Q$1300,0,MATCH($B599,元データ_14項目!$D$1:$Q$1,0)),元データ_14項目!$A$2:$A$1300,$A599,元データ_14項目!$B$2:$B$1300,"本年",元データ_14項目!$C$2:$C$1300,E$5)</f>
        <v>202</v>
      </c>
      <c r="F599" s="26">
        <f>SUMIFS(INDEX(元データ_14項目!$D$2:$Q$1300,0,MATCH($B599,元データ_14項目!$D$1:$Q$1,0)),元データ_14項目!$A$2:$A$1300,$A599,元データ_14項目!$B$2:$B$1300,"本年",元データ_14項目!$C$2:$C$1300,F$5)</f>
        <v>154</v>
      </c>
      <c r="G599" s="26">
        <f>SUMIFS(INDEX(元データ_14項目!$D$2:$Q$1300,0,MATCH($B599,元データ_14項目!$D$1:$Q$1,0)),元データ_14項目!$A$2:$A$1300,$A599,元データ_14項目!$B$2:$B$1300,"本年",元データ_14項目!$C$2:$C$1300,G$5)</f>
        <v>159</v>
      </c>
      <c r="H599" s="26">
        <f>SUMIFS(INDEX(元データ_14項目!$D$2:$Q$1300,0,MATCH($B599,元データ_14項目!$D$1:$Q$1,0)),元データ_14項目!$A$2:$A$1300,$A599,元データ_14項目!$B$2:$B$1300,"本年",元データ_14項目!$C$2:$C$1300,H$5)</f>
        <v>83</v>
      </c>
      <c r="I599" s="26">
        <f>SUMIFS(INDEX(元データ_14項目!$D$2:$Q$1300,0,MATCH($B599,元データ_14項目!$D$1:$Q$1,0)),元データ_14項目!$A$2:$A$1300,$A599,元データ_14項目!$B$2:$B$1300,"本年",元データ_14項目!$C$2:$C$1300,I$5)</f>
        <v>104</v>
      </c>
      <c r="J599" s="26">
        <f>SUMIFS(INDEX(元データ_14項目!$D$2:$Q$1300,0,MATCH($B599,元データ_14項目!$D$1:$Q$1,0)),元データ_14項目!$A$2:$A$1300,$A599,元データ_14項目!$B$2:$B$1300,"本年",元データ_14項目!$C$2:$C$1300,J$5)</f>
        <v>104</v>
      </c>
      <c r="K599" s="26">
        <f>SUMIFS(INDEX(元データ_14項目!$D$2:$Q$1300,0,MATCH($B599,元データ_14項目!$D$1:$Q$1,0)),元データ_14項目!$A$2:$A$1300,$A599,元データ_14項目!$B$2:$B$1300,"本年",元データ_14項目!$C$2:$C$1300,K$5)</f>
        <v>138</v>
      </c>
      <c r="L599" s="26">
        <f>SUMIFS(INDEX(元データ_14項目!$D$2:$Q$1300,0,MATCH($B599,元データ_14項目!$D$1:$Q$1,0)),元データ_14項目!$A$2:$A$1300,$A599,元データ_14項目!$B$2:$B$1300,"本年",元データ_14項目!$C$2:$C$1300,L$5)</f>
        <v>142</v>
      </c>
      <c r="M599" s="26">
        <f>SUMIFS(INDEX(元データ_14項目!$D$2:$Q$1300,0,MATCH($B599,元データ_14項目!$D$1:$Q$1,0)),元データ_14項目!$A$2:$A$1300,$A599,元データ_14項目!$B$2:$B$1300,"本年",元データ_14項目!$C$2:$C$1300,M$5)</f>
        <v>1485</v>
      </c>
      <c r="N599" s="26">
        <f>SUMIFS(INDEX(元データ_14項目!$D$2:$Q$1300,0,MATCH($B599,元データ_14項目!$D$1:$Q$1,0)),元データ_14項目!$A$2:$A$1300,$A599,元データ_14項目!$B$2:$B$1300,"本年",元データ_14項目!$C$2:$C$1300,N$5)</f>
        <v>159</v>
      </c>
      <c r="O599" s="26">
        <f t="shared" si="18"/>
        <v>3037</v>
      </c>
      <c r="P599" s="26">
        <f>SUMIFS(INDEX(元データ_14項目!$D$2:$Q$1300,0,MATCH($B599,元データ_14項目!$D$1:$Q$1,0)),元データ_14項目!$A$2:$A$1300,$A599,元データ_14項目!$B$2:$B$1300,"前年")</f>
        <v>1683</v>
      </c>
      <c r="Q599" s="7">
        <f t="shared" si="19"/>
        <v>1.8045157456922163</v>
      </c>
    </row>
    <row r="600" spans="1:17" x14ac:dyDescent="0.45">
      <c r="A600" t="s">
        <v>77</v>
      </c>
      <c r="B600" t="s">
        <v>92</v>
      </c>
      <c r="C600" s="26">
        <f>SUMIFS(INDEX(元データ_14項目!$D$2:$Q$1300,0,MATCH($B600,元データ_14項目!$D$1:$Q$1,0)),元データ_14項目!$A$2:$A$1300,$A600,元データ_14項目!$B$2:$B$1300,"本年",元データ_14項目!$C$2:$C$1300,C$5)</f>
        <v>13</v>
      </c>
      <c r="D600" s="26">
        <f>SUMIFS(INDEX(元データ_14項目!$D$2:$Q$1300,0,MATCH($B600,元データ_14項目!$D$1:$Q$1,0)),元データ_14項目!$A$2:$A$1300,$A600,元データ_14項目!$B$2:$B$1300,"本年",元データ_14項目!$C$2:$C$1300,D$5)</f>
        <v>30</v>
      </c>
      <c r="E600" s="26">
        <f>SUMIFS(INDEX(元データ_14項目!$D$2:$Q$1300,0,MATCH($B600,元データ_14項目!$D$1:$Q$1,0)),元データ_14項目!$A$2:$A$1300,$A600,元データ_14項目!$B$2:$B$1300,"本年",元データ_14項目!$C$2:$C$1300,E$5)</f>
        <v>38</v>
      </c>
      <c r="F600" s="26">
        <f>SUMIFS(INDEX(元データ_14項目!$D$2:$Q$1300,0,MATCH($B600,元データ_14項目!$D$1:$Q$1,0)),元データ_14項目!$A$2:$A$1300,$A600,元データ_14項目!$B$2:$B$1300,"本年",元データ_14項目!$C$2:$C$1300,F$5)</f>
        <v>24</v>
      </c>
      <c r="G600" s="26">
        <f>SUMIFS(INDEX(元データ_14項目!$D$2:$Q$1300,0,MATCH($B600,元データ_14項目!$D$1:$Q$1,0)),元データ_14項目!$A$2:$A$1300,$A600,元データ_14項目!$B$2:$B$1300,"本年",元データ_14項目!$C$2:$C$1300,G$5)</f>
        <v>30</v>
      </c>
      <c r="H600" s="26">
        <f>SUMIFS(INDEX(元データ_14項目!$D$2:$Q$1300,0,MATCH($B600,元データ_14項目!$D$1:$Q$1,0)),元データ_14項目!$A$2:$A$1300,$A600,元データ_14項目!$B$2:$B$1300,"本年",元データ_14項目!$C$2:$C$1300,H$5)</f>
        <v>14</v>
      </c>
      <c r="I600" s="26">
        <f>SUMIFS(INDEX(元データ_14項目!$D$2:$Q$1300,0,MATCH($B600,元データ_14項目!$D$1:$Q$1,0)),元データ_14項目!$A$2:$A$1300,$A600,元データ_14項目!$B$2:$B$1300,"本年",元データ_14項目!$C$2:$C$1300,I$5)</f>
        <v>13</v>
      </c>
      <c r="J600" s="26">
        <f>SUMIFS(INDEX(元データ_14項目!$D$2:$Q$1300,0,MATCH($B600,元データ_14項目!$D$1:$Q$1,0)),元データ_14項目!$A$2:$A$1300,$A600,元データ_14項目!$B$2:$B$1300,"本年",元データ_14項目!$C$2:$C$1300,J$5)</f>
        <v>19</v>
      </c>
      <c r="K600" s="26">
        <f>SUMIFS(INDEX(元データ_14項目!$D$2:$Q$1300,0,MATCH($B600,元データ_14項目!$D$1:$Q$1,0)),元データ_14項目!$A$2:$A$1300,$A600,元データ_14項目!$B$2:$B$1300,"本年",元データ_14項目!$C$2:$C$1300,K$5)</f>
        <v>52</v>
      </c>
      <c r="L600" s="26">
        <f>SUMIFS(INDEX(元データ_14項目!$D$2:$Q$1300,0,MATCH($B600,元データ_14項目!$D$1:$Q$1,0)),元データ_14項目!$A$2:$A$1300,$A600,元データ_14項目!$B$2:$B$1300,"本年",元データ_14項目!$C$2:$C$1300,L$5)</f>
        <v>50</v>
      </c>
      <c r="M600" s="26">
        <f>SUMIFS(INDEX(元データ_14項目!$D$2:$Q$1300,0,MATCH($B600,元データ_14項目!$D$1:$Q$1,0)),元データ_14項目!$A$2:$A$1300,$A600,元データ_14項目!$B$2:$B$1300,"本年",元データ_14項目!$C$2:$C$1300,M$5)</f>
        <v>32</v>
      </c>
      <c r="N600" s="26">
        <f>SUMIFS(INDEX(元データ_14項目!$D$2:$Q$1300,0,MATCH($B600,元データ_14項目!$D$1:$Q$1,0)),元データ_14項目!$A$2:$A$1300,$A600,元データ_14項目!$B$2:$B$1300,"本年",元データ_14項目!$C$2:$C$1300,N$5)</f>
        <v>18</v>
      </c>
      <c r="O600" s="26">
        <f t="shared" si="18"/>
        <v>333</v>
      </c>
      <c r="P600" s="26">
        <f>SUMIFS(INDEX(元データ_14項目!$D$2:$Q$1300,0,MATCH($B600,元データ_14項目!$D$1:$Q$1,0)),元データ_14項目!$A$2:$A$1300,$A600,元データ_14項目!$B$2:$B$1300,"前年")</f>
        <v>334</v>
      </c>
      <c r="Q600" s="7">
        <f t="shared" si="19"/>
        <v>0.99700598802395213</v>
      </c>
    </row>
    <row r="601" spans="1:17" x14ac:dyDescent="0.45">
      <c r="A601" t="s">
        <v>77</v>
      </c>
      <c r="B601" t="s">
        <v>93</v>
      </c>
      <c r="C601" s="26">
        <f>SUMIFS(INDEX(元データ_14項目!$D$2:$Q$1300,0,MATCH($B601,元データ_14項目!$D$1:$Q$1,0)),元データ_14項目!$A$2:$A$1300,$A601,元データ_14項目!$B$2:$B$1300,"本年",元データ_14項目!$C$2:$C$1300,C$5)</f>
        <v>6</v>
      </c>
      <c r="D601" s="26">
        <f>SUMIFS(INDEX(元データ_14項目!$D$2:$Q$1300,0,MATCH($B601,元データ_14項目!$D$1:$Q$1,0)),元データ_14項目!$A$2:$A$1300,$A601,元データ_14項目!$B$2:$B$1300,"本年",元データ_14項目!$C$2:$C$1300,D$5)</f>
        <v>14</v>
      </c>
      <c r="E601" s="26">
        <f>SUMIFS(INDEX(元データ_14項目!$D$2:$Q$1300,0,MATCH($B601,元データ_14項目!$D$1:$Q$1,0)),元データ_14項目!$A$2:$A$1300,$A601,元データ_14項目!$B$2:$B$1300,"本年",元データ_14項目!$C$2:$C$1300,E$5)</f>
        <v>34</v>
      </c>
      <c r="F601" s="26">
        <f>SUMIFS(INDEX(元データ_14項目!$D$2:$Q$1300,0,MATCH($B601,元データ_14項目!$D$1:$Q$1,0)),元データ_14項目!$A$2:$A$1300,$A601,元データ_14項目!$B$2:$B$1300,"本年",元データ_14項目!$C$2:$C$1300,F$5)</f>
        <v>45</v>
      </c>
      <c r="G601" s="26">
        <f>SUMIFS(INDEX(元データ_14項目!$D$2:$Q$1300,0,MATCH($B601,元データ_14項目!$D$1:$Q$1,0)),元データ_14項目!$A$2:$A$1300,$A601,元データ_14項目!$B$2:$B$1300,"本年",元データ_14項目!$C$2:$C$1300,G$5)</f>
        <v>75</v>
      </c>
      <c r="H601" s="26">
        <f>SUMIFS(INDEX(元データ_14項目!$D$2:$Q$1300,0,MATCH($B601,元データ_14項目!$D$1:$Q$1,0)),元データ_14項目!$A$2:$A$1300,$A601,元データ_14項目!$B$2:$B$1300,"本年",元データ_14項目!$C$2:$C$1300,H$5)</f>
        <v>38</v>
      </c>
      <c r="I601" s="26">
        <f>SUMIFS(INDEX(元データ_14項目!$D$2:$Q$1300,0,MATCH($B601,元データ_14項目!$D$1:$Q$1,0)),元データ_14項目!$A$2:$A$1300,$A601,元データ_14項目!$B$2:$B$1300,"本年",元データ_14項目!$C$2:$C$1300,I$5)</f>
        <v>41</v>
      </c>
      <c r="J601" s="26">
        <f>SUMIFS(INDEX(元データ_14項目!$D$2:$Q$1300,0,MATCH($B601,元データ_14項目!$D$1:$Q$1,0)),元データ_14項目!$A$2:$A$1300,$A601,元データ_14項目!$B$2:$B$1300,"本年",元データ_14項目!$C$2:$C$1300,J$5)</f>
        <v>99</v>
      </c>
      <c r="K601" s="26">
        <f>SUMIFS(INDEX(元データ_14項目!$D$2:$Q$1300,0,MATCH($B601,元データ_14項目!$D$1:$Q$1,0)),元データ_14項目!$A$2:$A$1300,$A601,元データ_14項目!$B$2:$B$1300,"本年",元データ_14項目!$C$2:$C$1300,K$5)</f>
        <v>256</v>
      </c>
      <c r="L601" s="26">
        <f>SUMIFS(INDEX(元データ_14項目!$D$2:$Q$1300,0,MATCH($B601,元データ_14項目!$D$1:$Q$1,0)),元データ_14項目!$A$2:$A$1300,$A601,元データ_14項目!$B$2:$B$1300,"本年",元データ_14項目!$C$2:$C$1300,L$5)</f>
        <v>104</v>
      </c>
      <c r="M601" s="26">
        <f>SUMIFS(INDEX(元データ_14項目!$D$2:$Q$1300,0,MATCH($B601,元データ_14項目!$D$1:$Q$1,0)),元データ_14項目!$A$2:$A$1300,$A601,元データ_14項目!$B$2:$B$1300,"本年",元データ_14項目!$C$2:$C$1300,M$5)</f>
        <v>73</v>
      </c>
      <c r="N601" s="26">
        <f>SUMIFS(INDEX(元データ_14項目!$D$2:$Q$1300,0,MATCH($B601,元データ_14項目!$D$1:$Q$1,0)),元データ_14項目!$A$2:$A$1300,$A601,元データ_14項目!$B$2:$B$1300,"本年",元データ_14項目!$C$2:$C$1300,N$5)</f>
        <v>37</v>
      </c>
      <c r="O601" s="26">
        <f t="shared" si="18"/>
        <v>822</v>
      </c>
      <c r="P601" s="26">
        <f>SUMIFS(INDEX(元データ_14項目!$D$2:$Q$1300,0,MATCH($B601,元データ_14項目!$D$1:$Q$1,0)),元データ_14項目!$A$2:$A$1300,$A601,元データ_14項目!$B$2:$B$1300,"前年")</f>
        <v>749</v>
      </c>
      <c r="Q601" s="7">
        <f t="shared" si="19"/>
        <v>1.0974632843791723</v>
      </c>
    </row>
    <row r="602" spans="1:17" x14ac:dyDescent="0.45">
      <c r="A602" t="s">
        <v>77</v>
      </c>
      <c r="B602" t="s">
        <v>94</v>
      </c>
      <c r="C602" s="26">
        <f>SUMIFS(INDEX(元データ_14項目!$D$2:$Q$1300,0,MATCH($B602,元データ_14項目!$D$1:$Q$1,0)),元データ_14項目!$A$2:$A$1300,$A602,元データ_14項目!$B$2:$B$1300,"本年",元データ_14項目!$C$2:$C$1300,C$5)</f>
        <v>5</v>
      </c>
      <c r="D602" s="26">
        <f>SUMIFS(INDEX(元データ_14項目!$D$2:$Q$1300,0,MATCH($B602,元データ_14項目!$D$1:$Q$1,0)),元データ_14項目!$A$2:$A$1300,$A602,元データ_14項目!$B$2:$B$1300,"本年",元データ_14項目!$C$2:$C$1300,D$5)</f>
        <v>9</v>
      </c>
      <c r="E602" s="26">
        <f>SUMIFS(INDEX(元データ_14項目!$D$2:$Q$1300,0,MATCH($B602,元データ_14項目!$D$1:$Q$1,0)),元データ_14項目!$A$2:$A$1300,$A602,元データ_14項目!$B$2:$B$1300,"本年",元データ_14項目!$C$2:$C$1300,E$5)</f>
        <v>28</v>
      </c>
      <c r="F602" s="26">
        <f>SUMIFS(INDEX(元データ_14項目!$D$2:$Q$1300,0,MATCH($B602,元データ_14項目!$D$1:$Q$1,0)),元データ_14項目!$A$2:$A$1300,$A602,元データ_14項目!$B$2:$B$1300,"本年",元データ_14項目!$C$2:$C$1300,F$5)</f>
        <v>23</v>
      </c>
      <c r="G602" s="26">
        <f>SUMIFS(INDEX(元データ_14項目!$D$2:$Q$1300,0,MATCH($B602,元データ_14項目!$D$1:$Q$1,0)),元データ_14項目!$A$2:$A$1300,$A602,元データ_14項目!$B$2:$B$1300,"本年",元データ_14項目!$C$2:$C$1300,G$5)</f>
        <v>33</v>
      </c>
      <c r="H602" s="26">
        <f>SUMIFS(INDEX(元データ_14項目!$D$2:$Q$1300,0,MATCH($B602,元データ_14項目!$D$1:$Q$1,0)),元データ_14項目!$A$2:$A$1300,$A602,元データ_14項目!$B$2:$B$1300,"本年",元データ_14項目!$C$2:$C$1300,H$5)</f>
        <v>13</v>
      </c>
      <c r="I602" s="26">
        <f>SUMIFS(INDEX(元データ_14項目!$D$2:$Q$1300,0,MATCH($B602,元データ_14項目!$D$1:$Q$1,0)),元データ_14項目!$A$2:$A$1300,$A602,元データ_14項目!$B$2:$B$1300,"本年",元データ_14項目!$C$2:$C$1300,I$5)</f>
        <v>14</v>
      </c>
      <c r="J602" s="26">
        <f>SUMIFS(INDEX(元データ_14項目!$D$2:$Q$1300,0,MATCH($B602,元データ_14項目!$D$1:$Q$1,0)),元データ_14項目!$A$2:$A$1300,$A602,元データ_14項目!$B$2:$B$1300,"本年",元データ_14項目!$C$2:$C$1300,J$5)</f>
        <v>36</v>
      </c>
      <c r="K602" s="26">
        <f>SUMIFS(INDEX(元データ_14項目!$D$2:$Q$1300,0,MATCH($B602,元データ_14項目!$D$1:$Q$1,0)),元データ_14項目!$A$2:$A$1300,$A602,元データ_14項目!$B$2:$B$1300,"本年",元データ_14項目!$C$2:$C$1300,K$5)</f>
        <v>105</v>
      </c>
      <c r="L602" s="26">
        <f>SUMIFS(INDEX(元データ_14項目!$D$2:$Q$1300,0,MATCH($B602,元データ_14項目!$D$1:$Q$1,0)),元データ_14項目!$A$2:$A$1300,$A602,元データ_14項目!$B$2:$B$1300,"本年",元データ_14項目!$C$2:$C$1300,L$5)</f>
        <v>62</v>
      </c>
      <c r="M602" s="26">
        <f>SUMIFS(INDEX(元データ_14項目!$D$2:$Q$1300,0,MATCH($B602,元データ_14項目!$D$1:$Q$1,0)),元データ_14項目!$A$2:$A$1300,$A602,元データ_14項目!$B$2:$B$1300,"本年",元データ_14項目!$C$2:$C$1300,M$5)</f>
        <v>39</v>
      </c>
      <c r="N602" s="26">
        <f>SUMIFS(INDEX(元データ_14項目!$D$2:$Q$1300,0,MATCH($B602,元データ_14項目!$D$1:$Q$1,0)),元データ_14項目!$A$2:$A$1300,$A602,元データ_14項目!$B$2:$B$1300,"本年",元データ_14項目!$C$2:$C$1300,N$5)</f>
        <v>24</v>
      </c>
      <c r="O602" s="26">
        <f t="shared" si="18"/>
        <v>391</v>
      </c>
      <c r="P602" s="26">
        <f>SUMIFS(INDEX(元データ_14項目!$D$2:$Q$1300,0,MATCH($B602,元データ_14項目!$D$1:$Q$1,0)),元データ_14項目!$A$2:$A$1300,$A602,元データ_14項目!$B$2:$B$1300,"前年")</f>
        <v>329</v>
      </c>
      <c r="Q602" s="7">
        <f t="shared" si="19"/>
        <v>1.1884498480243162</v>
      </c>
    </row>
    <row r="603" spans="1:17" x14ac:dyDescent="0.45">
      <c r="A603" t="s">
        <v>77</v>
      </c>
      <c r="B603" t="s">
        <v>95</v>
      </c>
      <c r="C603" s="26">
        <f>SUMIFS(INDEX(元データ_14項目!$D$2:$Q$1300,0,MATCH($B603,元データ_14項目!$D$1:$Q$1,0)),元データ_14項目!$A$2:$A$1300,$A603,元データ_14項目!$B$2:$B$1300,"本年",元データ_14項目!$C$2:$C$1300,C$5)</f>
        <v>13</v>
      </c>
      <c r="D603" s="26">
        <f>SUMIFS(INDEX(元データ_14項目!$D$2:$Q$1300,0,MATCH($B603,元データ_14項目!$D$1:$Q$1,0)),元データ_14項目!$A$2:$A$1300,$A603,元データ_14項目!$B$2:$B$1300,"本年",元データ_14項目!$C$2:$C$1300,D$5)</f>
        <v>22</v>
      </c>
      <c r="E603" s="26">
        <f>SUMIFS(INDEX(元データ_14項目!$D$2:$Q$1300,0,MATCH($B603,元データ_14項目!$D$1:$Q$1,0)),元データ_14項目!$A$2:$A$1300,$A603,元データ_14項目!$B$2:$B$1300,"本年",元データ_14項目!$C$2:$C$1300,E$5)</f>
        <v>36</v>
      </c>
      <c r="F603" s="26">
        <f>SUMIFS(INDEX(元データ_14項目!$D$2:$Q$1300,0,MATCH($B603,元データ_14項目!$D$1:$Q$1,0)),元データ_14項目!$A$2:$A$1300,$A603,元データ_14項目!$B$2:$B$1300,"本年",元データ_14項目!$C$2:$C$1300,F$5)</f>
        <v>43</v>
      </c>
      <c r="G603" s="26">
        <f>SUMIFS(INDEX(元データ_14項目!$D$2:$Q$1300,0,MATCH($B603,元データ_14項目!$D$1:$Q$1,0)),元データ_14項目!$A$2:$A$1300,$A603,元データ_14項目!$B$2:$B$1300,"本年",元データ_14項目!$C$2:$C$1300,G$5)</f>
        <v>23</v>
      </c>
      <c r="H603" s="26">
        <f>SUMIFS(INDEX(元データ_14項目!$D$2:$Q$1300,0,MATCH($B603,元データ_14項目!$D$1:$Q$1,0)),元データ_14項目!$A$2:$A$1300,$A603,元データ_14項目!$B$2:$B$1300,"本年",元データ_14項目!$C$2:$C$1300,H$5)</f>
        <v>9</v>
      </c>
      <c r="I603" s="26">
        <f>SUMIFS(INDEX(元データ_14項目!$D$2:$Q$1300,0,MATCH($B603,元データ_14項目!$D$1:$Q$1,0)),元データ_14項目!$A$2:$A$1300,$A603,元データ_14項目!$B$2:$B$1300,"本年",元データ_14項目!$C$2:$C$1300,I$5)</f>
        <v>7</v>
      </c>
      <c r="J603" s="26">
        <f>SUMIFS(INDEX(元データ_14項目!$D$2:$Q$1300,0,MATCH($B603,元データ_14項目!$D$1:$Q$1,0)),元データ_14項目!$A$2:$A$1300,$A603,元データ_14項目!$B$2:$B$1300,"本年",元データ_14項目!$C$2:$C$1300,J$5)</f>
        <v>17</v>
      </c>
      <c r="K603" s="26">
        <f>SUMIFS(INDEX(元データ_14項目!$D$2:$Q$1300,0,MATCH($B603,元データ_14項目!$D$1:$Q$1,0)),元データ_14項目!$A$2:$A$1300,$A603,元データ_14項目!$B$2:$B$1300,"本年",元データ_14項目!$C$2:$C$1300,K$5)</f>
        <v>62</v>
      </c>
      <c r="L603" s="26">
        <f>SUMIFS(INDEX(元データ_14項目!$D$2:$Q$1300,0,MATCH($B603,元データ_14項目!$D$1:$Q$1,0)),元データ_14項目!$A$2:$A$1300,$A603,元データ_14項目!$B$2:$B$1300,"本年",元データ_14項目!$C$2:$C$1300,L$5)</f>
        <v>36</v>
      </c>
      <c r="M603" s="26">
        <f>SUMIFS(INDEX(元データ_14項目!$D$2:$Q$1300,0,MATCH($B603,元データ_14項目!$D$1:$Q$1,0)),元データ_14項目!$A$2:$A$1300,$A603,元データ_14項目!$B$2:$B$1300,"本年",元データ_14項目!$C$2:$C$1300,M$5)</f>
        <v>25</v>
      </c>
      <c r="N603" s="26">
        <f>SUMIFS(INDEX(元データ_14項目!$D$2:$Q$1300,0,MATCH($B603,元データ_14項目!$D$1:$Q$1,0)),元データ_14項目!$A$2:$A$1300,$A603,元データ_14項目!$B$2:$B$1300,"本年",元データ_14項目!$C$2:$C$1300,N$5)</f>
        <v>27</v>
      </c>
      <c r="O603" s="26">
        <f t="shared" si="18"/>
        <v>320</v>
      </c>
      <c r="P603" s="26">
        <f>SUMIFS(INDEX(元データ_14項目!$D$2:$Q$1300,0,MATCH($B603,元データ_14項目!$D$1:$Q$1,0)),元データ_14項目!$A$2:$A$1300,$A603,元データ_14項目!$B$2:$B$1300,"前年")</f>
        <v>314</v>
      </c>
      <c r="Q603" s="7">
        <f t="shared" si="19"/>
        <v>1.0191082802547771</v>
      </c>
    </row>
    <row r="604" spans="1:17" x14ac:dyDescent="0.45">
      <c r="A604" t="s">
        <v>77</v>
      </c>
      <c r="B604" t="s">
        <v>96</v>
      </c>
      <c r="C604" s="26">
        <f>SUMIFS(INDEX(元データ_14項目!$D$2:$Q$1300,0,MATCH($B604,元データ_14項目!$D$1:$Q$1,0)),元データ_14項目!$A$2:$A$1300,$A604,元データ_14項目!$B$2:$B$1300,"本年",元データ_14項目!$C$2:$C$1300,C$5)</f>
        <v>20</v>
      </c>
      <c r="D604" s="26">
        <f>SUMIFS(INDEX(元データ_14項目!$D$2:$Q$1300,0,MATCH($B604,元データ_14項目!$D$1:$Q$1,0)),元データ_14項目!$A$2:$A$1300,$A604,元データ_14項目!$B$2:$B$1300,"本年",元データ_14項目!$C$2:$C$1300,D$5)</f>
        <v>12</v>
      </c>
      <c r="E604" s="26">
        <f>SUMIFS(INDEX(元データ_14項目!$D$2:$Q$1300,0,MATCH($B604,元データ_14項目!$D$1:$Q$1,0)),元データ_14項目!$A$2:$A$1300,$A604,元データ_14項目!$B$2:$B$1300,"本年",元データ_14項目!$C$2:$C$1300,E$5)</f>
        <v>29</v>
      </c>
      <c r="F604" s="26">
        <f>SUMIFS(INDEX(元データ_14項目!$D$2:$Q$1300,0,MATCH($B604,元データ_14項目!$D$1:$Q$1,0)),元データ_14項目!$A$2:$A$1300,$A604,元データ_14項目!$B$2:$B$1300,"本年",元データ_14項目!$C$2:$C$1300,F$5)</f>
        <v>49</v>
      </c>
      <c r="G604" s="26">
        <f>SUMIFS(INDEX(元データ_14項目!$D$2:$Q$1300,0,MATCH($B604,元データ_14項目!$D$1:$Q$1,0)),元データ_14項目!$A$2:$A$1300,$A604,元データ_14項目!$B$2:$B$1300,"本年",元データ_14項目!$C$2:$C$1300,G$5)</f>
        <v>32</v>
      </c>
      <c r="H604" s="26">
        <f>SUMIFS(INDEX(元データ_14項目!$D$2:$Q$1300,0,MATCH($B604,元データ_14項目!$D$1:$Q$1,0)),元データ_14項目!$A$2:$A$1300,$A604,元データ_14項目!$B$2:$B$1300,"本年",元データ_14項目!$C$2:$C$1300,H$5)</f>
        <v>31</v>
      </c>
      <c r="I604" s="26">
        <f>SUMIFS(INDEX(元データ_14項目!$D$2:$Q$1300,0,MATCH($B604,元データ_14項目!$D$1:$Q$1,0)),元データ_14項目!$A$2:$A$1300,$A604,元データ_14項目!$B$2:$B$1300,"本年",元データ_14項目!$C$2:$C$1300,I$5)</f>
        <v>13</v>
      </c>
      <c r="J604" s="26">
        <f>SUMIFS(INDEX(元データ_14項目!$D$2:$Q$1300,0,MATCH($B604,元データ_14項目!$D$1:$Q$1,0)),元データ_14項目!$A$2:$A$1300,$A604,元データ_14項目!$B$2:$B$1300,"本年",元データ_14項目!$C$2:$C$1300,J$5)</f>
        <v>117</v>
      </c>
      <c r="K604" s="26">
        <f>SUMIFS(INDEX(元データ_14項目!$D$2:$Q$1300,0,MATCH($B604,元データ_14項目!$D$1:$Q$1,0)),元データ_14項目!$A$2:$A$1300,$A604,元データ_14項目!$B$2:$B$1300,"本年",元データ_14項目!$C$2:$C$1300,K$5)</f>
        <v>253</v>
      </c>
      <c r="L604" s="26">
        <f>SUMIFS(INDEX(元データ_14項目!$D$2:$Q$1300,0,MATCH($B604,元データ_14項目!$D$1:$Q$1,0)),元データ_14項目!$A$2:$A$1300,$A604,元データ_14項目!$B$2:$B$1300,"本年",元データ_14項目!$C$2:$C$1300,L$5)</f>
        <v>151</v>
      </c>
      <c r="M604" s="26">
        <f>SUMIFS(INDEX(元データ_14項目!$D$2:$Q$1300,0,MATCH($B604,元データ_14項目!$D$1:$Q$1,0)),元データ_14項目!$A$2:$A$1300,$A604,元データ_14項目!$B$2:$B$1300,"本年",元データ_14項目!$C$2:$C$1300,M$5)</f>
        <v>69</v>
      </c>
      <c r="N604" s="26">
        <f>SUMIFS(INDEX(元データ_14項目!$D$2:$Q$1300,0,MATCH($B604,元データ_14項目!$D$1:$Q$1,0)),元データ_14項目!$A$2:$A$1300,$A604,元データ_14項目!$B$2:$B$1300,"本年",元データ_14項目!$C$2:$C$1300,N$5)</f>
        <v>45</v>
      </c>
      <c r="O604" s="26">
        <f t="shared" si="18"/>
        <v>821</v>
      </c>
      <c r="P604" s="26">
        <f>SUMIFS(INDEX(元データ_14項目!$D$2:$Q$1300,0,MATCH($B604,元データ_14項目!$D$1:$Q$1,0)),元データ_14項目!$A$2:$A$1300,$A604,元データ_14項目!$B$2:$B$1300,"前年")</f>
        <v>967</v>
      </c>
      <c r="Q604" s="7">
        <f t="shared" si="19"/>
        <v>0.84901758014477768</v>
      </c>
    </row>
    <row r="605" spans="1:17" x14ac:dyDescent="0.45">
      <c r="A605" t="s">
        <v>77</v>
      </c>
      <c r="B605" t="s">
        <v>97</v>
      </c>
      <c r="C605" s="26">
        <f>SUMIFS(INDEX(元データ_14項目!$D$2:$Q$1300,0,MATCH($B605,元データ_14項目!$D$1:$Q$1,0)),元データ_14項目!$A$2:$A$1300,$A605,元データ_14項目!$B$2:$B$1300,"本年",元データ_14項目!$C$2:$C$1300,C$5)</f>
        <v>15</v>
      </c>
      <c r="D605" s="26">
        <f>SUMIFS(INDEX(元データ_14項目!$D$2:$Q$1300,0,MATCH($B605,元データ_14項目!$D$1:$Q$1,0)),元データ_14項目!$A$2:$A$1300,$A605,元データ_14項目!$B$2:$B$1300,"本年",元データ_14項目!$C$2:$C$1300,D$5)</f>
        <v>34</v>
      </c>
      <c r="E605" s="26">
        <f>SUMIFS(INDEX(元データ_14項目!$D$2:$Q$1300,0,MATCH($B605,元データ_14項目!$D$1:$Q$1,0)),元データ_14項目!$A$2:$A$1300,$A605,元データ_14項目!$B$2:$B$1300,"本年",元データ_14項目!$C$2:$C$1300,E$5)</f>
        <v>48</v>
      </c>
      <c r="F605" s="26">
        <f>SUMIFS(INDEX(元データ_14項目!$D$2:$Q$1300,0,MATCH($B605,元データ_14項目!$D$1:$Q$1,0)),元データ_14項目!$A$2:$A$1300,$A605,元データ_14項目!$B$2:$B$1300,"本年",元データ_14項目!$C$2:$C$1300,F$5)</f>
        <v>41</v>
      </c>
      <c r="G605" s="26">
        <f>SUMIFS(INDEX(元データ_14項目!$D$2:$Q$1300,0,MATCH($B605,元データ_14項目!$D$1:$Q$1,0)),元データ_14項目!$A$2:$A$1300,$A605,元データ_14項目!$B$2:$B$1300,"本年",元データ_14項目!$C$2:$C$1300,G$5)</f>
        <v>43</v>
      </c>
      <c r="H605" s="26">
        <f>SUMIFS(INDEX(元データ_14項目!$D$2:$Q$1300,0,MATCH($B605,元データ_14項目!$D$1:$Q$1,0)),元データ_14項目!$A$2:$A$1300,$A605,元データ_14項目!$B$2:$B$1300,"本年",元データ_14項目!$C$2:$C$1300,H$5)</f>
        <v>25</v>
      </c>
      <c r="I605" s="26">
        <f>SUMIFS(INDEX(元データ_14項目!$D$2:$Q$1300,0,MATCH($B605,元データ_14項目!$D$1:$Q$1,0)),元データ_14項目!$A$2:$A$1300,$A605,元データ_14項目!$B$2:$B$1300,"本年",元データ_14項目!$C$2:$C$1300,I$5)</f>
        <v>36</v>
      </c>
      <c r="J605" s="26">
        <f>SUMIFS(INDEX(元データ_14項目!$D$2:$Q$1300,0,MATCH($B605,元データ_14項目!$D$1:$Q$1,0)),元データ_14項目!$A$2:$A$1300,$A605,元データ_14項目!$B$2:$B$1300,"本年",元データ_14項目!$C$2:$C$1300,J$5)</f>
        <v>62</v>
      </c>
      <c r="K605" s="26">
        <f>SUMIFS(INDEX(元データ_14項目!$D$2:$Q$1300,0,MATCH($B605,元データ_14項目!$D$1:$Q$1,0)),元データ_14項目!$A$2:$A$1300,$A605,元データ_14項目!$B$2:$B$1300,"本年",元データ_14項目!$C$2:$C$1300,K$5)</f>
        <v>175</v>
      </c>
      <c r="L605" s="26">
        <f>SUMIFS(INDEX(元データ_14項目!$D$2:$Q$1300,0,MATCH($B605,元データ_14項目!$D$1:$Q$1,0)),元データ_14項目!$A$2:$A$1300,$A605,元データ_14項目!$B$2:$B$1300,"本年",元データ_14項目!$C$2:$C$1300,L$5)</f>
        <v>105</v>
      </c>
      <c r="M605" s="26">
        <f>SUMIFS(INDEX(元データ_14項目!$D$2:$Q$1300,0,MATCH($B605,元データ_14項目!$D$1:$Q$1,0)),元データ_14項目!$A$2:$A$1300,$A605,元データ_14項目!$B$2:$B$1300,"本年",元データ_14項目!$C$2:$C$1300,M$5)</f>
        <v>70</v>
      </c>
      <c r="N605" s="26">
        <f>SUMIFS(INDEX(元データ_14項目!$D$2:$Q$1300,0,MATCH($B605,元データ_14項目!$D$1:$Q$1,0)),元データ_14項目!$A$2:$A$1300,$A605,元データ_14項目!$B$2:$B$1300,"本年",元データ_14項目!$C$2:$C$1300,N$5)</f>
        <v>50</v>
      </c>
      <c r="O605" s="26">
        <f t="shared" si="18"/>
        <v>704</v>
      </c>
      <c r="P605" s="26">
        <f>SUMIFS(INDEX(元データ_14項目!$D$2:$Q$1300,0,MATCH($B605,元データ_14項目!$D$1:$Q$1,0)),元データ_14項目!$A$2:$A$1300,$A605,元データ_14項目!$B$2:$B$1300,"前年")</f>
        <v>593</v>
      </c>
      <c r="Q605" s="7">
        <f t="shared" si="19"/>
        <v>1.1871838111298483</v>
      </c>
    </row>
    <row r="606" spans="1:17" x14ac:dyDescent="0.45">
      <c r="A606" t="s">
        <v>77</v>
      </c>
      <c r="B606" t="s">
        <v>98</v>
      </c>
      <c r="C606" s="26">
        <f>SUMIFS(INDEX(元データ_14項目!$D$2:$Q$1300,0,MATCH($B606,元データ_14項目!$D$1:$Q$1,0)),元データ_14項目!$A$2:$A$1300,$A606,元データ_14項目!$B$2:$B$1300,"本年",元データ_14項目!$C$2:$C$1300,C$5)</f>
        <v>4</v>
      </c>
      <c r="D606" s="26">
        <f>SUMIFS(INDEX(元データ_14項目!$D$2:$Q$1300,0,MATCH($B606,元データ_14項目!$D$1:$Q$1,0)),元データ_14項目!$A$2:$A$1300,$A606,元データ_14項目!$B$2:$B$1300,"本年",元データ_14項目!$C$2:$C$1300,D$5)</f>
        <v>8</v>
      </c>
      <c r="E606" s="26">
        <f>SUMIFS(INDEX(元データ_14項目!$D$2:$Q$1300,0,MATCH($B606,元データ_14項目!$D$1:$Q$1,0)),元データ_14項目!$A$2:$A$1300,$A606,元データ_14項目!$B$2:$B$1300,"本年",元データ_14項目!$C$2:$C$1300,E$5)</f>
        <v>11</v>
      </c>
      <c r="F606" s="26">
        <f>SUMIFS(INDEX(元データ_14項目!$D$2:$Q$1300,0,MATCH($B606,元データ_14項目!$D$1:$Q$1,0)),元データ_14項目!$A$2:$A$1300,$A606,元データ_14項目!$B$2:$B$1300,"本年",元データ_14項目!$C$2:$C$1300,F$5)</f>
        <v>17</v>
      </c>
      <c r="G606" s="26">
        <f>SUMIFS(INDEX(元データ_14項目!$D$2:$Q$1300,0,MATCH($B606,元データ_14項目!$D$1:$Q$1,0)),元データ_14項目!$A$2:$A$1300,$A606,元データ_14項目!$B$2:$B$1300,"本年",元データ_14項目!$C$2:$C$1300,G$5)</f>
        <v>13</v>
      </c>
      <c r="H606" s="26">
        <f>SUMIFS(INDEX(元データ_14項目!$D$2:$Q$1300,0,MATCH($B606,元データ_14項目!$D$1:$Q$1,0)),元データ_14項目!$A$2:$A$1300,$A606,元データ_14項目!$B$2:$B$1300,"本年",元データ_14項目!$C$2:$C$1300,H$5)</f>
        <v>11</v>
      </c>
      <c r="I606" s="26">
        <f>SUMIFS(INDEX(元データ_14項目!$D$2:$Q$1300,0,MATCH($B606,元データ_14項目!$D$1:$Q$1,0)),元データ_14項目!$A$2:$A$1300,$A606,元データ_14項目!$B$2:$B$1300,"本年",元データ_14項目!$C$2:$C$1300,I$5)</f>
        <v>9</v>
      </c>
      <c r="J606" s="26">
        <f>SUMIFS(INDEX(元データ_14項目!$D$2:$Q$1300,0,MATCH($B606,元データ_14項目!$D$1:$Q$1,0)),元データ_14項目!$A$2:$A$1300,$A606,元データ_14項目!$B$2:$B$1300,"本年",元データ_14項目!$C$2:$C$1300,J$5)</f>
        <v>47</v>
      </c>
      <c r="K606" s="26">
        <f>SUMIFS(INDEX(元データ_14項目!$D$2:$Q$1300,0,MATCH($B606,元データ_14項目!$D$1:$Q$1,0)),元データ_14項目!$A$2:$A$1300,$A606,元データ_14項目!$B$2:$B$1300,"本年",元データ_14項目!$C$2:$C$1300,K$5)</f>
        <v>129</v>
      </c>
      <c r="L606" s="26">
        <f>SUMIFS(INDEX(元データ_14項目!$D$2:$Q$1300,0,MATCH($B606,元データ_14項目!$D$1:$Q$1,0)),元データ_14項目!$A$2:$A$1300,$A606,元データ_14項目!$B$2:$B$1300,"本年",元データ_14項目!$C$2:$C$1300,L$5)</f>
        <v>68</v>
      </c>
      <c r="M606" s="26">
        <f>SUMIFS(INDEX(元データ_14項目!$D$2:$Q$1300,0,MATCH($B606,元データ_14項目!$D$1:$Q$1,0)),元データ_14項目!$A$2:$A$1300,$A606,元データ_14項目!$B$2:$B$1300,"本年",元データ_14項目!$C$2:$C$1300,M$5)</f>
        <v>42</v>
      </c>
      <c r="N606" s="26">
        <f>SUMIFS(INDEX(元データ_14項目!$D$2:$Q$1300,0,MATCH($B606,元データ_14項目!$D$1:$Q$1,0)),元データ_14項目!$A$2:$A$1300,$A606,元データ_14項目!$B$2:$B$1300,"本年",元データ_14項目!$C$2:$C$1300,N$5)</f>
        <v>19</v>
      </c>
      <c r="O606" s="26">
        <f t="shared" si="18"/>
        <v>378</v>
      </c>
      <c r="P606" s="26">
        <f>SUMIFS(INDEX(元データ_14項目!$D$2:$Q$1300,0,MATCH($B606,元データ_14項目!$D$1:$Q$1,0)),元データ_14項目!$A$2:$A$1300,$A606,元データ_14項目!$B$2:$B$1300,"前年")</f>
        <v>389</v>
      </c>
      <c r="Q606" s="7">
        <f t="shared" si="19"/>
        <v>0.97172236503856046</v>
      </c>
    </row>
    <row r="607" spans="1:17" x14ac:dyDescent="0.45">
      <c r="A607" t="s">
        <v>77</v>
      </c>
      <c r="B607" t="s">
        <v>99</v>
      </c>
      <c r="C607" s="26">
        <f>SUMIFS(INDEX(元データ_14項目!$D$2:$Q$1300,0,MATCH($B607,元データ_14項目!$D$1:$Q$1,0)),元データ_14項目!$A$2:$A$1300,$A607,元データ_14項目!$B$2:$B$1300,"本年",元データ_14項目!$C$2:$C$1300,C$5)</f>
        <v>0</v>
      </c>
      <c r="D607" s="26">
        <f>SUMIFS(INDEX(元データ_14項目!$D$2:$Q$1300,0,MATCH($B607,元データ_14項目!$D$1:$Q$1,0)),元データ_14項目!$A$2:$A$1300,$A607,元データ_14項目!$B$2:$B$1300,"本年",元データ_14項目!$C$2:$C$1300,D$5)</f>
        <v>0</v>
      </c>
      <c r="E607" s="26">
        <f>SUMIFS(INDEX(元データ_14項目!$D$2:$Q$1300,0,MATCH($B607,元データ_14項目!$D$1:$Q$1,0)),元データ_14項目!$A$2:$A$1300,$A607,元データ_14項目!$B$2:$B$1300,"本年",元データ_14項目!$C$2:$C$1300,E$5)</f>
        <v>0</v>
      </c>
      <c r="F607" s="26">
        <f>SUMIFS(INDEX(元データ_14項目!$D$2:$Q$1300,0,MATCH($B607,元データ_14項目!$D$1:$Q$1,0)),元データ_14項目!$A$2:$A$1300,$A607,元データ_14項目!$B$2:$B$1300,"本年",元データ_14項目!$C$2:$C$1300,F$5)</f>
        <v>0</v>
      </c>
      <c r="G607" s="26">
        <f>SUMIFS(INDEX(元データ_14項目!$D$2:$Q$1300,0,MATCH($B607,元データ_14項目!$D$1:$Q$1,0)),元データ_14項目!$A$2:$A$1300,$A607,元データ_14項目!$B$2:$B$1300,"本年",元データ_14項目!$C$2:$C$1300,G$5)</f>
        <v>4</v>
      </c>
      <c r="H607" s="26">
        <f>SUMIFS(INDEX(元データ_14項目!$D$2:$Q$1300,0,MATCH($B607,元データ_14項目!$D$1:$Q$1,0)),元データ_14項目!$A$2:$A$1300,$A607,元データ_14項目!$B$2:$B$1300,"本年",元データ_14項目!$C$2:$C$1300,H$5)</f>
        <v>0</v>
      </c>
      <c r="I607" s="26">
        <f>SUMIFS(INDEX(元データ_14項目!$D$2:$Q$1300,0,MATCH($B607,元データ_14項目!$D$1:$Q$1,0)),元データ_14項目!$A$2:$A$1300,$A607,元データ_14項目!$B$2:$B$1300,"本年",元データ_14項目!$C$2:$C$1300,I$5)</f>
        <v>3</v>
      </c>
      <c r="J607" s="26">
        <f>SUMIFS(INDEX(元データ_14項目!$D$2:$Q$1300,0,MATCH($B607,元データ_14項目!$D$1:$Q$1,0)),元データ_14項目!$A$2:$A$1300,$A607,元データ_14項目!$B$2:$B$1300,"本年",元データ_14項目!$C$2:$C$1300,J$5)</f>
        <v>8</v>
      </c>
      <c r="K607" s="26">
        <f>SUMIFS(INDEX(元データ_14項目!$D$2:$Q$1300,0,MATCH($B607,元データ_14項目!$D$1:$Q$1,0)),元データ_14項目!$A$2:$A$1300,$A607,元データ_14項目!$B$2:$B$1300,"本年",元データ_14項目!$C$2:$C$1300,K$5)</f>
        <v>4</v>
      </c>
      <c r="L607" s="26">
        <f>SUMIFS(INDEX(元データ_14項目!$D$2:$Q$1300,0,MATCH($B607,元データ_14項目!$D$1:$Q$1,0)),元データ_14項目!$A$2:$A$1300,$A607,元データ_14項目!$B$2:$B$1300,"本年",元データ_14項目!$C$2:$C$1300,L$5)</f>
        <v>2</v>
      </c>
      <c r="M607" s="26">
        <f>SUMIFS(INDEX(元データ_14項目!$D$2:$Q$1300,0,MATCH($B607,元データ_14項目!$D$1:$Q$1,0)),元データ_14項目!$A$2:$A$1300,$A607,元データ_14項目!$B$2:$B$1300,"本年",元データ_14項目!$C$2:$C$1300,M$5)</f>
        <v>0</v>
      </c>
      <c r="N607" s="26">
        <f>SUMIFS(INDEX(元データ_14項目!$D$2:$Q$1300,0,MATCH($B607,元データ_14項目!$D$1:$Q$1,0)),元データ_14項目!$A$2:$A$1300,$A607,元データ_14項目!$B$2:$B$1300,"本年",元データ_14項目!$C$2:$C$1300,N$5)</f>
        <v>2</v>
      </c>
      <c r="O607" s="26">
        <f t="shared" si="18"/>
        <v>23</v>
      </c>
      <c r="P607" s="26">
        <f>SUMIFS(INDEX(元データ_14項目!$D$2:$Q$1300,0,MATCH($B607,元データ_14項目!$D$1:$Q$1,0)),元データ_14項目!$A$2:$A$1300,$A607,元データ_14項目!$B$2:$B$1300,"前年")</f>
        <v>28</v>
      </c>
      <c r="Q607" s="7">
        <f t="shared" si="19"/>
        <v>0.8214285714285714</v>
      </c>
    </row>
    <row r="608" spans="1:17" x14ac:dyDescent="0.45">
      <c r="A608" t="s">
        <v>78</v>
      </c>
      <c r="B608" t="s">
        <v>27</v>
      </c>
      <c r="C608" s="26">
        <f>SUMIFS(INDEX(元データ_14項目!$D$2:$Q$1300,0,MATCH($B608,元データ_14項目!$D$1:$Q$1,0)),元データ_14項目!$A$2:$A$1300,$A608,元データ_14項目!$B$2:$B$1300,"本年",元データ_14項目!$C$2:$C$1300,C$5)</f>
        <v>578</v>
      </c>
      <c r="D608" s="26">
        <f>SUMIFS(INDEX(元データ_14項目!$D$2:$Q$1300,0,MATCH($B608,元データ_14項目!$D$1:$Q$1,0)),元データ_14項目!$A$2:$A$1300,$A608,元データ_14項目!$B$2:$B$1300,"本年",元データ_14項目!$C$2:$C$1300,D$5)</f>
        <v>661</v>
      </c>
      <c r="E608" s="26">
        <f>SUMIFS(INDEX(元データ_14項目!$D$2:$Q$1300,0,MATCH($B608,元データ_14項目!$D$1:$Q$1,0)),元データ_14項目!$A$2:$A$1300,$A608,元データ_14項目!$B$2:$B$1300,"本年",元データ_14項目!$C$2:$C$1300,E$5)</f>
        <v>738</v>
      </c>
      <c r="F608" s="26">
        <f>SUMIFS(INDEX(元データ_14項目!$D$2:$Q$1300,0,MATCH($B608,元データ_14項目!$D$1:$Q$1,0)),元データ_14項目!$A$2:$A$1300,$A608,元データ_14項目!$B$2:$B$1300,"本年",元データ_14項目!$C$2:$C$1300,F$5)</f>
        <v>633</v>
      </c>
      <c r="G608" s="26">
        <f>SUMIFS(INDEX(元データ_14項目!$D$2:$Q$1300,0,MATCH($B608,元データ_14項目!$D$1:$Q$1,0)),元データ_14項目!$A$2:$A$1300,$A608,元データ_14項目!$B$2:$B$1300,"本年",元データ_14項目!$C$2:$C$1300,G$5)</f>
        <v>686</v>
      </c>
      <c r="H608" s="26">
        <f>SUMIFS(INDEX(元データ_14項目!$D$2:$Q$1300,0,MATCH($B608,元データ_14項目!$D$1:$Q$1,0)),元データ_14項目!$A$2:$A$1300,$A608,元データ_14項目!$B$2:$B$1300,"本年",元データ_14項目!$C$2:$C$1300,H$5)</f>
        <v>524</v>
      </c>
      <c r="I608" s="26">
        <f>SUMIFS(INDEX(元データ_14項目!$D$2:$Q$1300,0,MATCH($B608,元データ_14項目!$D$1:$Q$1,0)),元データ_14項目!$A$2:$A$1300,$A608,元データ_14項目!$B$2:$B$1300,"本年",元データ_14項目!$C$2:$C$1300,I$5)</f>
        <v>506</v>
      </c>
      <c r="J608" s="26">
        <f>SUMIFS(INDEX(元データ_14項目!$D$2:$Q$1300,0,MATCH($B608,元データ_14項目!$D$1:$Q$1,0)),元データ_14項目!$A$2:$A$1300,$A608,元データ_14項目!$B$2:$B$1300,"本年",元データ_14項目!$C$2:$C$1300,J$5)</f>
        <v>599</v>
      </c>
      <c r="K608" s="26">
        <f>SUMIFS(INDEX(元データ_14項目!$D$2:$Q$1300,0,MATCH($B608,元データ_14項目!$D$1:$Q$1,0)),元データ_14項目!$A$2:$A$1300,$A608,元データ_14項目!$B$2:$B$1300,"本年",元データ_14項目!$C$2:$C$1300,K$5)</f>
        <v>721</v>
      </c>
      <c r="L608" s="26">
        <f>SUMIFS(INDEX(元データ_14項目!$D$2:$Q$1300,0,MATCH($B608,元データ_14項目!$D$1:$Q$1,0)),元データ_14項目!$A$2:$A$1300,$A608,元データ_14項目!$B$2:$B$1300,"本年",元データ_14項目!$C$2:$C$1300,L$5)</f>
        <v>525</v>
      </c>
      <c r="M608" s="26">
        <f>SUMIFS(INDEX(元データ_14項目!$D$2:$Q$1300,0,MATCH($B608,元データ_14項目!$D$1:$Q$1,0)),元データ_14項目!$A$2:$A$1300,$A608,元データ_14項目!$B$2:$B$1300,"本年",元データ_14項目!$C$2:$C$1300,M$5)</f>
        <v>668</v>
      </c>
      <c r="N608" s="26">
        <f>SUMIFS(INDEX(元データ_14項目!$D$2:$Q$1300,0,MATCH($B608,元データ_14項目!$D$1:$Q$1,0)),元データ_14項目!$A$2:$A$1300,$A608,元データ_14項目!$B$2:$B$1300,"本年",元データ_14項目!$C$2:$C$1300,N$5)</f>
        <v>589</v>
      </c>
      <c r="O608" s="26">
        <f t="shared" si="18"/>
        <v>7428</v>
      </c>
      <c r="P608" s="26">
        <f>SUMIFS(INDEX(元データ_14項目!$D$2:$Q$1300,0,MATCH($B608,元データ_14項目!$D$1:$Q$1,0)),元データ_14項目!$A$2:$A$1300,$A608,元データ_14項目!$B$2:$B$1300,"前年")</f>
        <v>9284</v>
      </c>
      <c r="Q608" s="7">
        <f t="shared" si="19"/>
        <v>0.80008616975441615</v>
      </c>
    </row>
    <row r="609" spans="1:17" x14ac:dyDescent="0.45">
      <c r="A609" t="s">
        <v>78</v>
      </c>
      <c r="B609" t="s">
        <v>88</v>
      </c>
      <c r="C609" s="26">
        <f>SUMIFS(INDEX(元データ_14項目!$D$2:$Q$1300,0,MATCH($B609,元データ_14項目!$D$1:$Q$1,0)),元データ_14項目!$A$2:$A$1300,$A609,元データ_14項目!$B$2:$B$1300,"本年",元データ_14項目!$C$2:$C$1300,C$5)</f>
        <v>40</v>
      </c>
      <c r="D609" s="26">
        <f>SUMIFS(INDEX(元データ_14項目!$D$2:$Q$1300,0,MATCH($B609,元データ_14項目!$D$1:$Q$1,0)),元データ_14項目!$A$2:$A$1300,$A609,元データ_14項目!$B$2:$B$1300,"本年",元データ_14項目!$C$2:$C$1300,D$5)</f>
        <v>38</v>
      </c>
      <c r="E609" s="26">
        <f>SUMIFS(INDEX(元データ_14項目!$D$2:$Q$1300,0,MATCH($B609,元データ_14項目!$D$1:$Q$1,0)),元データ_14項目!$A$2:$A$1300,$A609,元データ_14項目!$B$2:$B$1300,"本年",元データ_14項目!$C$2:$C$1300,E$5)</f>
        <v>93</v>
      </c>
      <c r="F609" s="26">
        <f>SUMIFS(INDEX(元データ_14項目!$D$2:$Q$1300,0,MATCH($B609,元データ_14項目!$D$1:$Q$1,0)),元データ_14項目!$A$2:$A$1300,$A609,元データ_14項目!$B$2:$B$1300,"本年",元データ_14項目!$C$2:$C$1300,F$5)</f>
        <v>68</v>
      </c>
      <c r="G609" s="26">
        <f>SUMIFS(INDEX(元データ_14項目!$D$2:$Q$1300,0,MATCH($B609,元データ_14項目!$D$1:$Q$1,0)),元データ_14項目!$A$2:$A$1300,$A609,元データ_14項目!$B$2:$B$1300,"本年",元データ_14項目!$C$2:$C$1300,G$5)</f>
        <v>35</v>
      </c>
      <c r="H609" s="26">
        <f>SUMIFS(INDEX(元データ_14項目!$D$2:$Q$1300,0,MATCH($B609,元データ_14項目!$D$1:$Q$1,0)),元データ_14項目!$A$2:$A$1300,$A609,元データ_14項目!$B$2:$B$1300,"本年",元データ_14項目!$C$2:$C$1300,H$5)</f>
        <v>32</v>
      </c>
      <c r="I609" s="26">
        <f>SUMIFS(INDEX(元データ_14項目!$D$2:$Q$1300,0,MATCH($B609,元データ_14項目!$D$1:$Q$1,0)),元データ_14項目!$A$2:$A$1300,$A609,元データ_14項目!$B$2:$B$1300,"本年",元データ_14項目!$C$2:$C$1300,I$5)</f>
        <v>25</v>
      </c>
      <c r="J609" s="26">
        <f>SUMIFS(INDEX(元データ_14項目!$D$2:$Q$1300,0,MATCH($B609,元データ_14項目!$D$1:$Q$1,0)),元データ_14項目!$A$2:$A$1300,$A609,元データ_14項目!$B$2:$B$1300,"本年",元データ_14項目!$C$2:$C$1300,J$5)</f>
        <v>32</v>
      </c>
      <c r="K609" s="26">
        <f>SUMIFS(INDEX(元データ_14項目!$D$2:$Q$1300,0,MATCH($B609,元データ_14項目!$D$1:$Q$1,0)),元データ_14項目!$A$2:$A$1300,$A609,元データ_14項目!$B$2:$B$1300,"本年",元データ_14項目!$C$2:$C$1300,K$5)</f>
        <v>47</v>
      </c>
      <c r="L609" s="26">
        <f>SUMIFS(INDEX(元データ_14項目!$D$2:$Q$1300,0,MATCH($B609,元データ_14項目!$D$1:$Q$1,0)),元データ_14項目!$A$2:$A$1300,$A609,元データ_14項目!$B$2:$B$1300,"本年",元データ_14項目!$C$2:$C$1300,L$5)</f>
        <v>62</v>
      </c>
      <c r="M609" s="26">
        <f>SUMIFS(INDEX(元データ_14項目!$D$2:$Q$1300,0,MATCH($B609,元データ_14項目!$D$1:$Q$1,0)),元データ_14項目!$A$2:$A$1300,$A609,元データ_14項目!$B$2:$B$1300,"本年",元データ_14項目!$C$2:$C$1300,M$5)</f>
        <v>60</v>
      </c>
      <c r="N609" s="26">
        <f>SUMIFS(INDEX(元データ_14項目!$D$2:$Q$1300,0,MATCH($B609,元データ_14項目!$D$1:$Q$1,0)),元データ_14項目!$A$2:$A$1300,$A609,元データ_14項目!$B$2:$B$1300,"本年",元データ_14項目!$C$2:$C$1300,N$5)</f>
        <v>35</v>
      </c>
      <c r="O609" s="26">
        <f t="shared" si="18"/>
        <v>567</v>
      </c>
      <c r="P609" s="26">
        <f>SUMIFS(INDEX(元データ_14項目!$D$2:$Q$1300,0,MATCH($B609,元データ_14項目!$D$1:$Q$1,0)),元データ_14項目!$A$2:$A$1300,$A609,元データ_14項目!$B$2:$B$1300,"前年")</f>
        <v>695</v>
      </c>
      <c r="Q609" s="7">
        <f t="shared" si="19"/>
        <v>0.81582733812949637</v>
      </c>
    </row>
    <row r="610" spans="1:17" x14ac:dyDescent="0.45">
      <c r="A610" t="s">
        <v>78</v>
      </c>
      <c r="B610" t="s">
        <v>89</v>
      </c>
      <c r="C610" s="26">
        <f>SUMIFS(INDEX(元データ_14項目!$D$2:$Q$1300,0,MATCH($B610,元データ_14項目!$D$1:$Q$1,0)),元データ_14項目!$A$2:$A$1300,$A610,元データ_14項目!$B$2:$B$1300,"本年",元データ_14項目!$C$2:$C$1300,C$5)</f>
        <v>67</v>
      </c>
      <c r="D610" s="26">
        <f>SUMIFS(INDEX(元データ_14項目!$D$2:$Q$1300,0,MATCH($B610,元データ_14項目!$D$1:$Q$1,0)),元データ_14項目!$A$2:$A$1300,$A610,元データ_14項目!$B$2:$B$1300,"本年",元データ_14項目!$C$2:$C$1300,D$5)</f>
        <v>76</v>
      </c>
      <c r="E610" s="26">
        <f>SUMIFS(INDEX(元データ_14項目!$D$2:$Q$1300,0,MATCH($B610,元データ_14項目!$D$1:$Q$1,0)),元データ_14項目!$A$2:$A$1300,$A610,元データ_14項目!$B$2:$B$1300,"本年",元データ_14項目!$C$2:$C$1300,E$5)</f>
        <v>146</v>
      </c>
      <c r="F610" s="26">
        <f>SUMIFS(INDEX(元データ_14項目!$D$2:$Q$1300,0,MATCH($B610,元データ_14項目!$D$1:$Q$1,0)),元データ_14項目!$A$2:$A$1300,$A610,元データ_14項目!$B$2:$B$1300,"本年",元データ_14項目!$C$2:$C$1300,F$5)</f>
        <v>98</v>
      </c>
      <c r="G610" s="26">
        <f>SUMIFS(INDEX(元データ_14項目!$D$2:$Q$1300,0,MATCH($B610,元データ_14項目!$D$1:$Q$1,0)),元データ_14項目!$A$2:$A$1300,$A610,元データ_14項目!$B$2:$B$1300,"本年",元データ_14項目!$C$2:$C$1300,G$5)</f>
        <v>61</v>
      </c>
      <c r="H610" s="26">
        <f>SUMIFS(INDEX(元データ_14項目!$D$2:$Q$1300,0,MATCH($B610,元データ_14項目!$D$1:$Q$1,0)),元データ_14項目!$A$2:$A$1300,$A610,元データ_14項目!$B$2:$B$1300,"本年",元データ_14項目!$C$2:$C$1300,H$5)</f>
        <v>34</v>
      </c>
      <c r="I610" s="26">
        <f>SUMIFS(INDEX(元データ_14項目!$D$2:$Q$1300,0,MATCH($B610,元データ_14項目!$D$1:$Q$1,0)),元データ_14項目!$A$2:$A$1300,$A610,元データ_14項目!$B$2:$B$1300,"本年",元データ_14項目!$C$2:$C$1300,I$5)</f>
        <v>30</v>
      </c>
      <c r="J610" s="26">
        <f>SUMIFS(INDEX(元データ_14項目!$D$2:$Q$1300,0,MATCH($B610,元データ_14項目!$D$1:$Q$1,0)),元データ_14項目!$A$2:$A$1300,$A610,元データ_14項目!$B$2:$B$1300,"本年",元データ_14項目!$C$2:$C$1300,J$5)</f>
        <v>59</v>
      </c>
      <c r="K610" s="26">
        <f>SUMIFS(INDEX(元データ_14項目!$D$2:$Q$1300,0,MATCH($B610,元データ_14項目!$D$1:$Q$1,0)),元データ_14項目!$A$2:$A$1300,$A610,元データ_14項目!$B$2:$B$1300,"本年",元データ_14項目!$C$2:$C$1300,K$5)</f>
        <v>101</v>
      </c>
      <c r="L610" s="26">
        <f>SUMIFS(INDEX(元データ_14項目!$D$2:$Q$1300,0,MATCH($B610,元データ_14項目!$D$1:$Q$1,0)),元データ_14項目!$A$2:$A$1300,$A610,元データ_14項目!$B$2:$B$1300,"本年",元データ_14項目!$C$2:$C$1300,L$5)</f>
        <v>59</v>
      </c>
      <c r="M610" s="26">
        <f>SUMIFS(INDEX(元データ_14項目!$D$2:$Q$1300,0,MATCH($B610,元データ_14項目!$D$1:$Q$1,0)),元データ_14項目!$A$2:$A$1300,$A610,元データ_14項目!$B$2:$B$1300,"本年",元データ_14項目!$C$2:$C$1300,M$5)</f>
        <v>101</v>
      </c>
      <c r="N610" s="26">
        <f>SUMIFS(INDEX(元データ_14項目!$D$2:$Q$1300,0,MATCH($B610,元データ_14項目!$D$1:$Q$1,0)),元データ_14項目!$A$2:$A$1300,$A610,元データ_14項目!$B$2:$B$1300,"本年",元データ_14項目!$C$2:$C$1300,N$5)</f>
        <v>81</v>
      </c>
      <c r="O610" s="26">
        <f t="shared" si="18"/>
        <v>913</v>
      </c>
      <c r="P610" s="26">
        <f>SUMIFS(INDEX(元データ_14項目!$D$2:$Q$1300,0,MATCH($B610,元データ_14項目!$D$1:$Q$1,0)),元データ_14項目!$A$2:$A$1300,$A610,元データ_14項目!$B$2:$B$1300,"前年")</f>
        <v>834</v>
      </c>
      <c r="Q610" s="7">
        <f t="shared" si="19"/>
        <v>1.0947242206235013</v>
      </c>
    </row>
    <row r="611" spans="1:17" x14ac:dyDescent="0.45">
      <c r="A611" t="s">
        <v>78</v>
      </c>
      <c r="B611" t="s">
        <v>90</v>
      </c>
      <c r="C611" s="26">
        <f>SUMIFS(INDEX(元データ_14項目!$D$2:$Q$1300,0,MATCH($B611,元データ_14項目!$D$1:$Q$1,0)),元データ_14項目!$A$2:$A$1300,$A611,元データ_14項目!$B$2:$B$1300,"本年",元データ_14項目!$C$2:$C$1300,C$5)</f>
        <v>49</v>
      </c>
      <c r="D611" s="26">
        <f>SUMIFS(INDEX(元データ_14項目!$D$2:$Q$1300,0,MATCH($B611,元データ_14項目!$D$1:$Q$1,0)),元データ_14項目!$A$2:$A$1300,$A611,元データ_14項目!$B$2:$B$1300,"本年",元データ_14項目!$C$2:$C$1300,D$5)</f>
        <v>60</v>
      </c>
      <c r="E611" s="26">
        <f>SUMIFS(INDEX(元データ_14項目!$D$2:$Q$1300,0,MATCH($B611,元データ_14項目!$D$1:$Q$1,0)),元データ_14項目!$A$2:$A$1300,$A611,元データ_14項目!$B$2:$B$1300,"本年",元データ_14項目!$C$2:$C$1300,E$5)</f>
        <v>57</v>
      </c>
      <c r="F611" s="26">
        <f>SUMIFS(INDEX(元データ_14項目!$D$2:$Q$1300,0,MATCH($B611,元データ_14項目!$D$1:$Q$1,0)),元データ_14項目!$A$2:$A$1300,$A611,元データ_14項目!$B$2:$B$1300,"本年",元データ_14項目!$C$2:$C$1300,F$5)</f>
        <v>69</v>
      </c>
      <c r="G611" s="26">
        <f>SUMIFS(INDEX(元データ_14項目!$D$2:$Q$1300,0,MATCH($B611,元データ_14項目!$D$1:$Q$1,0)),元データ_14項目!$A$2:$A$1300,$A611,元データ_14項目!$B$2:$B$1300,"本年",元データ_14項目!$C$2:$C$1300,G$5)</f>
        <v>127</v>
      </c>
      <c r="H611" s="26">
        <f>SUMIFS(INDEX(元データ_14項目!$D$2:$Q$1300,0,MATCH($B611,元データ_14項目!$D$1:$Q$1,0)),元データ_14項目!$A$2:$A$1300,$A611,元データ_14項目!$B$2:$B$1300,"本年",元データ_14項目!$C$2:$C$1300,H$5)</f>
        <v>105</v>
      </c>
      <c r="I611" s="26">
        <f>SUMIFS(INDEX(元データ_14項目!$D$2:$Q$1300,0,MATCH($B611,元データ_14項目!$D$1:$Q$1,0)),元データ_14項目!$A$2:$A$1300,$A611,元データ_14項目!$B$2:$B$1300,"本年",元データ_14項目!$C$2:$C$1300,I$5)</f>
        <v>75</v>
      </c>
      <c r="J611" s="26">
        <f>SUMIFS(INDEX(元データ_14項目!$D$2:$Q$1300,0,MATCH($B611,元データ_14項目!$D$1:$Q$1,0)),元データ_14項目!$A$2:$A$1300,$A611,元データ_14項目!$B$2:$B$1300,"本年",元データ_14項目!$C$2:$C$1300,J$5)</f>
        <v>166</v>
      </c>
      <c r="K611" s="26">
        <f>SUMIFS(INDEX(元データ_14項目!$D$2:$Q$1300,0,MATCH($B611,元データ_14項目!$D$1:$Q$1,0)),元データ_14項目!$A$2:$A$1300,$A611,元データ_14項目!$B$2:$B$1300,"本年",元データ_14項目!$C$2:$C$1300,K$5)</f>
        <v>211</v>
      </c>
      <c r="L611" s="26">
        <f>SUMIFS(INDEX(元データ_14項目!$D$2:$Q$1300,0,MATCH($B611,元データ_14項目!$D$1:$Q$1,0)),元データ_14項目!$A$2:$A$1300,$A611,元データ_14項目!$B$2:$B$1300,"本年",元データ_14項目!$C$2:$C$1300,L$5)</f>
        <v>120</v>
      </c>
      <c r="M611" s="26">
        <f>SUMIFS(INDEX(元データ_14項目!$D$2:$Q$1300,0,MATCH($B611,元データ_14項目!$D$1:$Q$1,0)),元データ_14項目!$A$2:$A$1300,$A611,元データ_14項目!$B$2:$B$1300,"本年",元データ_14項目!$C$2:$C$1300,M$5)</f>
        <v>106</v>
      </c>
      <c r="N611" s="26">
        <f>SUMIFS(INDEX(元データ_14項目!$D$2:$Q$1300,0,MATCH($B611,元データ_14項目!$D$1:$Q$1,0)),元データ_14項目!$A$2:$A$1300,$A611,元データ_14項目!$B$2:$B$1300,"本年",元データ_14項目!$C$2:$C$1300,N$5)</f>
        <v>78</v>
      </c>
      <c r="O611" s="26">
        <f t="shared" si="18"/>
        <v>1223</v>
      </c>
      <c r="P611" s="26">
        <f>SUMIFS(INDEX(元データ_14項目!$D$2:$Q$1300,0,MATCH($B611,元データ_14項目!$D$1:$Q$1,0)),元データ_14項目!$A$2:$A$1300,$A611,元データ_14項目!$B$2:$B$1300,"前年")</f>
        <v>1364</v>
      </c>
      <c r="Q611" s="7">
        <f t="shared" si="19"/>
        <v>0.89662756598240467</v>
      </c>
    </row>
    <row r="612" spans="1:17" x14ac:dyDescent="0.45">
      <c r="A612" t="s">
        <v>78</v>
      </c>
      <c r="B612" t="s">
        <v>91</v>
      </c>
      <c r="C612" s="26">
        <f>SUMIFS(INDEX(元データ_14項目!$D$2:$Q$1300,0,MATCH($B612,元データ_14項目!$D$1:$Q$1,0)),元データ_14項目!$A$2:$A$1300,$A612,元データ_14項目!$B$2:$B$1300,"本年",元データ_14項目!$C$2:$C$1300,C$5)</f>
        <v>18</v>
      </c>
      <c r="D612" s="26">
        <f>SUMIFS(INDEX(元データ_14項目!$D$2:$Q$1300,0,MATCH($B612,元データ_14項目!$D$1:$Q$1,0)),元データ_14項目!$A$2:$A$1300,$A612,元データ_14項目!$B$2:$B$1300,"本年",元データ_14項目!$C$2:$C$1300,D$5)</f>
        <v>48</v>
      </c>
      <c r="E612" s="26">
        <f>SUMIFS(INDEX(元データ_14項目!$D$2:$Q$1300,0,MATCH($B612,元データ_14項目!$D$1:$Q$1,0)),元データ_14項目!$A$2:$A$1300,$A612,元データ_14項目!$B$2:$B$1300,"本年",元データ_14項目!$C$2:$C$1300,E$5)</f>
        <v>92</v>
      </c>
      <c r="F612" s="26">
        <f>SUMIFS(INDEX(元データ_14項目!$D$2:$Q$1300,0,MATCH($B612,元データ_14項目!$D$1:$Q$1,0)),元データ_14項目!$A$2:$A$1300,$A612,元データ_14項目!$B$2:$B$1300,"本年",元データ_14項目!$C$2:$C$1300,F$5)</f>
        <v>76</v>
      </c>
      <c r="G612" s="26">
        <f>SUMIFS(INDEX(元データ_14項目!$D$2:$Q$1300,0,MATCH($B612,元データ_14項目!$D$1:$Q$1,0)),元データ_14項目!$A$2:$A$1300,$A612,元データ_14項目!$B$2:$B$1300,"本年",元データ_14項目!$C$2:$C$1300,G$5)</f>
        <v>30</v>
      </c>
      <c r="H612" s="26">
        <f>SUMIFS(INDEX(元データ_14項目!$D$2:$Q$1300,0,MATCH($B612,元データ_14項目!$D$1:$Q$1,0)),元データ_14項目!$A$2:$A$1300,$A612,元データ_14項目!$B$2:$B$1300,"本年",元データ_14項目!$C$2:$C$1300,H$5)</f>
        <v>8</v>
      </c>
      <c r="I612" s="26">
        <f>SUMIFS(INDEX(元データ_14項目!$D$2:$Q$1300,0,MATCH($B612,元データ_14項目!$D$1:$Q$1,0)),元データ_14項目!$A$2:$A$1300,$A612,元データ_14項目!$B$2:$B$1300,"本年",元データ_14項目!$C$2:$C$1300,I$5)</f>
        <v>20</v>
      </c>
      <c r="J612" s="26">
        <f>SUMIFS(INDEX(元データ_14項目!$D$2:$Q$1300,0,MATCH($B612,元データ_14項目!$D$1:$Q$1,0)),元データ_14項目!$A$2:$A$1300,$A612,元データ_14項目!$B$2:$B$1300,"本年",元データ_14項目!$C$2:$C$1300,J$5)</f>
        <v>10</v>
      </c>
      <c r="K612" s="26">
        <f>SUMIFS(INDEX(元データ_14項目!$D$2:$Q$1300,0,MATCH($B612,元データ_14項目!$D$1:$Q$1,0)),元データ_14項目!$A$2:$A$1300,$A612,元データ_14項目!$B$2:$B$1300,"本年",元データ_14項目!$C$2:$C$1300,K$5)</f>
        <v>26</v>
      </c>
      <c r="L612" s="26">
        <f>SUMIFS(INDEX(元データ_14項目!$D$2:$Q$1300,0,MATCH($B612,元データ_14項目!$D$1:$Q$1,0)),元データ_14項目!$A$2:$A$1300,$A612,元データ_14項目!$B$2:$B$1300,"本年",元データ_14項目!$C$2:$C$1300,L$5)</f>
        <v>18</v>
      </c>
      <c r="M612" s="26">
        <f>SUMIFS(INDEX(元データ_14項目!$D$2:$Q$1300,0,MATCH($B612,元データ_14項目!$D$1:$Q$1,0)),元データ_14項目!$A$2:$A$1300,$A612,元データ_14項目!$B$2:$B$1300,"本年",元データ_14項目!$C$2:$C$1300,M$5)</f>
        <v>50</v>
      </c>
      <c r="N612" s="26">
        <f>SUMIFS(INDEX(元データ_14項目!$D$2:$Q$1300,0,MATCH($B612,元データ_14項目!$D$1:$Q$1,0)),元データ_14項目!$A$2:$A$1300,$A612,元データ_14項目!$B$2:$B$1300,"本年",元データ_14項目!$C$2:$C$1300,N$5)</f>
        <v>20</v>
      </c>
      <c r="O612" s="26">
        <f t="shared" si="18"/>
        <v>416</v>
      </c>
      <c r="P612" s="26">
        <f>SUMIFS(INDEX(元データ_14項目!$D$2:$Q$1300,0,MATCH($B612,元データ_14項目!$D$1:$Q$1,0)),元データ_14項目!$A$2:$A$1300,$A612,元データ_14項目!$B$2:$B$1300,"前年")</f>
        <v>341</v>
      </c>
      <c r="Q612" s="7">
        <f t="shared" si="19"/>
        <v>1.2199413489736071</v>
      </c>
    </row>
    <row r="613" spans="1:17" x14ac:dyDescent="0.45">
      <c r="A613" t="s">
        <v>78</v>
      </c>
      <c r="B613" t="s">
        <v>28</v>
      </c>
      <c r="C613" s="26">
        <f>SUMIFS(INDEX(元データ_14項目!$D$2:$Q$1300,0,MATCH($B613,元データ_14項目!$D$1:$Q$1,0)),元データ_14項目!$A$2:$A$1300,$A613,元データ_14項目!$B$2:$B$1300,"本年",元データ_14項目!$C$2:$C$1300,C$5)</f>
        <v>229</v>
      </c>
      <c r="D613" s="26">
        <f>SUMIFS(INDEX(元データ_14項目!$D$2:$Q$1300,0,MATCH($B613,元データ_14項目!$D$1:$Q$1,0)),元データ_14項目!$A$2:$A$1300,$A613,元データ_14項目!$B$2:$B$1300,"本年",元データ_14項目!$C$2:$C$1300,D$5)</f>
        <v>218</v>
      </c>
      <c r="E613" s="26">
        <f>SUMIFS(INDEX(元データ_14項目!$D$2:$Q$1300,0,MATCH($B613,元データ_14項目!$D$1:$Q$1,0)),元データ_14項目!$A$2:$A$1300,$A613,元データ_14項目!$B$2:$B$1300,"本年",元データ_14項目!$C$2:$C$1300,E$5)</f>
        <v>340</v>
      </c>
      <c r="F613" s="26">
        <f>SUMIFS(INDEX(元データ_14項目!$D$2:$Q$1300,0,MATCH($B613,元データ_14項目!$D$1:$Q$1,0)),元データ_14項目!$A$2:$A$1300,$A613,元データ_14項目!$B$2:$B$1300,"本年",元データ_14項目!$C$2:$C$1300,F$5)</f>
        <v>265</v>
      </c>
      <c r="G613" s="26">
        <f>SUMIFS(INDEX(元データ_14項目!$D$2:$Q$1300,0,MATCH($B613,元データ_14項目!$D$1:$Q$1,0)),元データ_14項目!$A$2:$A$1300,$A613,元データ_14項目!$B$2:$B$1300,"本年",元データ_14項目!$C$2:$C$1300,G$5)</f>
        <v>216</v>
      </c>
      <c r="H613" s="26">
        <f>SUMIFS(INDEX(元データ_14項目!$D$2:$Q$1300,0,MATCH($B613,元データ_14項目!$D$1:$Q$1,0)),元データ_14項目!$A$2:$A$1300,$A613,元データ_14項目!$B$2:$B$1300,"本年",元データ_14項目!$C$2:$C$1300,H$5)</f>
        <v>108</v>
      </c>
      <c r="I613" s="26">
        <f>SUMIFS(INDEX(元データ_14項目!$D$2:$Q$1300,0,MATCH($B613,元データ_14項目!$D$1:$Q$1,0)),元データ_14項目!$A$2:$A$1300,$A613,元データ_14項目!$B$2:$B$1300,"本年",元データ_14項目!$C$2:$C$1300,I$5)</f>
        <v>125</v>
      </c>
      <c r="J613" s="26">
        <f>SUMIFS(INDEX(元データ_14項目!$D$2:$Q$1300,0,MATCH($B613,元データ_14項目!$D$1:$Q$1,0)),元データ_14項目!$A$2:$A$1300,$A613,元データ_14項目!$B$2:$B$1300,"本年",元データ_14項目!$C$2:$C$1300,J$5)</f>
        <v>137</v>
      </c>
      <c r="K613" s="26">
        <f>SUMIFS(INDEX(元データ_14項目!$D$2:$Q$1300,0,MATCH($B613,元データ_14項目!$D$1:$Q$1,0)),元データ_14項目!$A$2:$A$1300,$A613,元データ_14項目!$B$2:$B$1300,"本年",元データ_14項目!$C$2:$C$1300,K$5)</f>
        <v>262</v>
      </c>
      <c r="L613" s="26">
        <f>SUMIFS(INDEX(元データ_14項目!$D$2:$Q$1300,0,MATCH($B613,元データ_14項目!$D$1:$Q$1,0)),元データ_14項目!$A$2:$A$1300,$A613,元データ_14項目!$B$2:$B$1300,"本年",元データ_14項目!$C$2:$C$1300,L$5)</f>
        <v>191</v>
      </c>
      <c r="M613" s="26">
        <f>SUMIFS(INDEX(元データ_14項目!$D$2:$Q$1300,0,MATCH($B613,元データ_14項目!$D$1:$Q$1,0)),元データ_14項目!$A$2:$A$1300,$A613,元データ_14項目!$B$2:$B$1300,"本年",元データ_14項目!$C$2:$C$1300,M$5)</f>
        <v>226</v>
      </c>
      <c r="N613" s="26">
        <f>SUMIFS(INDEX(元データ_14項目!$D$2:$Q$1300,0,MATCH($B613,元データ_14項目!$D$1:$Q$1,0)),元データ_14項目!$A$2:$A$1300,$A613,元データ_14項目!$B$2:$B$1300,"本年",元データ_14項目!$C$2:$C$1300,N$5)</f>
        <v>237</v>
      </c>
      <c r="O613" s="26">
        <f t="shared" si="18"/>
        <v>2554</v>
      </c>
      <c r="P613" s="26">
        <f>SUMIFS(INDEX(元データ_14項目!$D$2:$Q$1300,0,MATCH($B613,元データ_14項目!$D$1:$Q$1,0)),元データ_14項目!$A$2:$A$1300,$A613,元データ_14項目!$B$2:$B$1300,"前年")</f>
        <v>2731</v>
      </c>
      <c r="Q613" s="7">
        <f t="shared" si="19"/>
        <v>0.93518857561332847</v>
      </c>
    </row>
    <row r="614" spans="1:17" x14ac:dyDescent="0.45">
      <c r="A614" t="s">
        <v>78</v>
      </c>
      <c r="B614" t="s">
        <v>92</v>
      </c>
      <c r="C614" s="26">
        <f>SUMIFS(INDEX(元データ_14項目!$D$2:$Q$1300,0,MATCH($B614,元データ_14項目!$D$1:$Q$1,0)),元データ_14項目!$A$2:$A$1300,$A614,元データ_14項目!$B$2:$B$1300,"本年",元データ_14項目!$C$2:$C$1300,C$5)</f>
        <v>44</v>
      </c>
      <c r="D614" s="26">
        <f>SUMIFS(INDEX(元データ_14項目!$D$2:$Q$1300,0,MATCH($B614,元データ_14項目!$D$1:$Q$1,0)),元データ_14項目!$A$2:$A$1300,$A614,元データ_14項目!$B$2:$B$1300,"本年",元データ_14項目!$C$2:$C$1300,D$5)</f>
        <v>42</v>
      </c>
      <c r="E614" s="26">
        <f>SUMIFS(INDEX(元データ_14項目!$D$2:$Q$1300,0,MATCH($B614,元データ_14項目!$D$1:$Q$1,0)),元データ_14項目!$A$2:$A$1300,$A614,元データ_14項目!$B$2:$B$1300,"本年",元データ_14項目!$C$2:$C$1300,E$5)</f>
        <v>70</v>
      </c>
      <c r="F614" s="26">
        <f>SUMIFS(INDEX(元データ_14項目!$D$2:$Q$1300,0,MATCH($B614,元データ_14項目!$D$1:$Q$1,0)),元データ_14項目!$A$2:$A$1300,$A614,元データ_14項目!$B$2:$B$1300,"本年",元データ_14項目!$C$2:$C$1300,F$5)</f>
        <v>66</v>
      </c>
      <c r="G614" s="26">
        <f>SUMIFS(INDEX(元データ_14項目!$D$2:$Q$1300,0,MATCH($B614,元データ_14項目!$D$1:$Q$1,0)),元データ_14項目!$A$2:$A$1300,$A614,元データ_14項目!$B$2:$B$1300,"本年",元データ_14項目!$C$2:$C$1300,G$5)</f>
        <v>41</v>
      </c>
      <c r="H614" s="26">
        <f>SUMIFS(INDEX(元データ_14項目!$D$2:$Q$1300,0,MATCH($B614,元データ_14項目!$D$1:$Q$1,0)),元データ_14項目!$A$2:$A$1300,$A614,元データ_14項目!$B$2:$B$1300,"本年",元データ_14項目!$C$2:$C$1300,H$5)</f>
        <v>25</v>
      </c>
      <c r="I614" s="26">
        <f>SUMIFS(INDEX(元データ_14項目!$D$2:$Q$1300,0,MATCH($B614,元データ_14項目!$D$1:$Q$1,0)),元データ_14項目!$A$2:$A$1300,$A614,元データ_14項目!$B$2:$B$1300,"本年",元データ_14項目!$C$2:$C$1300,I$5)</f>
        <v>17</v>
      </c>
      <c r="J614" s="26">
        <f>SUMIFS(INDEX(元データ_14項目!$D$2:$Q$1300,0,MATCH($B614,元データ_14項目!$D$1:$Q$1,0)),元データ_14項目!$A$2:$A$1300,$A614,元データ_14項目!$B$2:$B$1300,"本年",元データ_14項目!$C$2:$C$1300,J$5)</f>
        <v>28</v>
      </c>
      <c r="K614" s="26">
        <f>SUMIFS(INDEX(元データ_14項目!$D$2:$Q$1300,0,MATCH($B614,元データ_14項目!$D$1:$Q$1,0)),元データ_14項目!$A$2:$A$1300,$A614,元データ_14項目!$B$2:$B$1300,"本年",元データ_14項目!$C$2:$C$1300,K$5)</f>
        <v>81</v>
      </c>
      <c r="L614" s="26">
        <f>SUMIFS(INDEX(元データ_14項目!$D$2:$Q$1300,0,MATCH($B614,元データ_14項目!$D$1:$Q$1,0)),元データ_14項目!$A$2:$A$1300,$A614,元データ_14項目!$B$2:$B$1300,"本年",元データ_14項目!$C$2:$C$1300,L$5)</f>
        <v>54</v>
      </c>
      <c r="M614" s="26">
        <f>SUMIFS(INDEX(元データ_14項目!$D$2:$Q$1300,0,MATCH($B614,元データ_14項目!$D$1:$Q$1,0)),元データ_14項目!$A$2:$A$1300,$A614,元データ_14項目!$B$2:$B$1300,"本年",元データ_14項目!$C$2:$C$1300,M$5)</f>
        <v>42</v>
      </c>
      <c r="N614" s="26">
        <f>SUMIFS(INDEX(元データ_14項目!$D$2:$Q$1300,0,MATCH($B614,元データ_14項目!$D$1:$Q$1,0)),元データ_14項目!$A$2:$A$1300,$A614,元データ_14項目!$B$2:$B$1300,"本年",元データ_14項目!$C$2:$C$1300,N$5)</f>
        <v>42</v>
      </c>
      <c r="O614" s="26">
        <f t="shared" si="18"/>
        <v>552</v>
      </c>
      <c r="P614" s="26">
        <f>SUMIFS(INDEX(元データ_14項目!$D$2:$Q$1300,0,MATCH($B614,元データ_14項目!$D$1:$Q$1,0)),元データ_14項目!$A$2:$A$1300,$A614,元データ_14項目!$B$2:$B$1300,"前年")</f>
        <v>443</v>
      </c>
      <c r="Q614" s="7">
        <f t="shared" si="19"/>
        <v>1.2460496613995484</v>
      </c>
    </row>
    <row r="615" spans="1:17" x14ac:dyDescent="0.45">
      <c r="A615" t="s">
        <v>78</v>
      </c>
      <c r="B615" t="s">
        <v>93</v>
      </c>
      <c r="C615" s="26">
        <f>SUMIFS(INDEX(元データ_14項目!$D$2:$Q$1300,0,MATCH($B615,元データ_14項目!$D$1:$Q$1,0)),元データ_14項目!$A$2:$A$1300,$A615,元データ_14項目!$B$2:$B$1300,"本年",元データ_14項目!$C$2:$C$1300,C$5)</f>
        <v>12</v>
      </c>
      <c r="D615" s="26">
        <f>SUMIFS(INDEX(元データ_14項目!$D$2:$Q$1300,0,MATCH($B615,元データ_14項目!$D$1:$Q$1,0)),元データ_14項目!$A$2:$A$1300,$A615,元データ_14項目!$B$2:$B$1300,"本年",元データ_14項目!$C$2:$C$1300,D$5)</f>
        <v>19</v>
      </c>
      <c r="E615" s="26">
        <f>SUMIFS(INDEX(元データ_14項目!$D$2:$Q$1300,0,MATCH($B615,元データ_14項目!$D$1:$Q$1,0)),元データ_14項目!$A$2:$A$1300,$A615,元データ_14項目!$B$2:$B$1300,"本年",元データ_14項目!$C$2:$C$1300,E$5)</f>
        <v>54</v>
      </c>
      <c r="F615" s="26">
        <f>SUMIFS(INDEX(元データ_14項目!$D$2:$Q$1300,0,MATCH($B615,元データ_14項目!$D$1:$Q$1,0)),元データ_14項目!$A$2:$A$1300,$A615,元データ_14項目!$B$2:$B$1300,"本年",元データ_14項目!$C$2:$C$1300,F$5)</f>
        <v>52</v>
      </c>
      <c r="G615" s="26">
        <f>SUMIFS(INDEX(元データ_14項目!$D$2:$Q$1300,0,MATCH($B615,元データ_14項目!$D$1:$Q$1,0)),元データ_14項目!$A$2:$A$1300,$A615,元データ_14項目!$B$2:$B$1300,"本年",元データ_14項目!$C$2:$C$1300,G$5)</f>
        <v>63</v>
      </c>
      <c r="H615" s="26">
        <f>SUMIFS(INDEX(元データ_14項目!$D$2:$Q$1300,0,MATCH($B615,元データ_14項目!$D$1:$Q$1,0)),元データ_14項目!$A$2:$A$1300,$A615,元データ_14項目!$B$2:$B$1300,"本年",元データ_14項目!$C$2:$C$1300,H$5)</f>
        <v>84</v>
      </c>
      <c r="I615" s="26">
        <f>SUMIFS(INDEX(元データ_14項目!$D$2:$Q$1300,0,MATCH($B615,元データ_14項目!$D$1:$Q$1,0)),元データ_14項目!$A$2:$A$1300,$A615,元データ_14項目!$B$2:$B$1300,"本年",元データ_14項目!$C$2:$C$1300,I$5)</f>
        <v>36</v>
      </c>
      <c r="J615" s="26">
        <f>SUMIFS(INDEX(元データ_14項目!$D$2:$Q$1300,0,MATCH($B615,元データ_14項目!$D$1:$Q$1,0)),元データ_14項目!$A$2:$A$1300,$A615,元データ_14項目!$B$2:$B$1300,"本年",元データ_14項目!$C$2:$C$1300,J$5)</f>
        <v>97</v>
      </c>
      <c r="K615" s="26">
        <f>SUMIFS(INDEX(元データ_14項目!$D$2:$Q$1300,0,MATCH($B615,元データ_14項目!$D$1:$Q$1,0)),元データ_14項目!$A$2:$A$1300,$A615,元データ_14項目!$B$2:$B$1300,"本年",元データ_14項目!$C$2:$C$1300,K$5)</f>
        <v>303</v>
      </c>
      <c r="L615" s="26">
        <f>SUMIFS(INDEX(元データ_14項目!$D$2:$Q$1300,0,MATCH($B615,元データ_14項目!$D$1:$Q$1,0)),元データ_14項目!$A$2:$A$1300,$A615,元データ_14項目!$B$2:$B$1300,"本年",元データ_14項目!$C$2:$C$1300,L$5)</f>
        <v>177</v>
      </c>
      <c r="M615" s="26">
        <f>SUMIFS(INDEX(元データ_14項目!$D$2:$Q$1300,0,MATCH($B615,元データ_14項目!$D$1:$Q$1,0)),元データ_14項目!$A$2:$A$1300,$A615,元データ_14項目!$B$2:$B$1300,"本年",元データ_14項目!$C$2:$C$1300,M$5)</f>
        <v>73</v>
      </c>
      <c r="N615" s="26">
        <f>SUMIFS(INDEX(元データ_14項目!$D$2:$Q$1300,0,MATCH($B615,元データ_14項目!$D$1:$Q$1,0)),元データ_14項目!$A$2:$A$1300,$A615,元データ_14項目!$B$2:$B$1300,"本年",元データ_14項目!$C$2:$C$1300,N$5)</f>
        <v>68</v>
      </c>
      <c r="O615" s="26">
        <f t="shared" si="18"/>
        <v>1038</v>
      </c>
      <c r="P615" s="26">
        <f>SUMIFS(INDEX(元データ_14項目!$D$2:$Q$1300,0,MATCH($B615,元データ_14項目!$D$1:$Q$1,0)),元データ_14項目!$A$2:$A$1300,$A615,元データ_14項目!$B$2:$B$1300,"前年")</f>
        <v>1269</v>
      </c>
      <c r="Q615" s="7">
        <f t="shared" si="19"/>
        <v>0.81796690307328601</v>
      </c>
    </row>
    <row r="616" spans="1:17" x14ac:dyDescent="0.45">
      <c r="A616" t="s">
        <v>78</v>
      </c>
      <c r="B616" t="s">
        <v>94</v>
      </c>
      <c r="C616" s="26">
        <f>SUMIFS(INDEX(元データ_14項目!$D$2:$Q$1300,0,MATCH($B616,元データ_14項目!$D$1:$Q$1,0)),元データ_14項目!$A$2:$A$1300,$A616,元データ_14項目!$B$2:$B$1300,"本年",元データ_14項目!$C$2:$C$1300,C$5)</f>
        <v>19</v>
      </c>
      <c r="D616" s="26">
        <f>SUMIFS(INDEX(元データ_14項目!$D$2:$Q$1300,0,MATCH($B616,元データ_14項目!$D$1:$Q$1,0)),元データ_14項目!$A$2:$A$1300,$A616,元データ_14項目!$B$2:$B$1300,"本年",元データ_14項目!$C$2:$C$1300,D$5)</f>
        <v>18</v>
      </c>
      <c r="E616" s="26">
        <f>SUMIFS(INDEX(元データ_14項目!$D$2:$Q$1300,0,MATCH($B616,元データ_14項目!$D$1:$Q$1,0)),元データ_14項目!$A$2:$A$1300,$A616,元データ_14項目!$B$2:$B$1300,"本年",元データ_14項目!$C$2:$C$1300,E$5)</f>
        <v>35</v>
      </c>
      <c r="F616" s="26">
        <f>SUMIFS(INDEX(元データ_14項目!$D$2:$Q$1300,0,MATCH($B616,元データ_14項目!$D$1:$Q$1,0)),元データ_14項目!$A$2:$A$1300,$A616,元データ_14項目!$B$2:$B$1300,"本年",元データ_14項目!$C$2:$C$1300,F$5)</f>
        <v>27</v>
      </c>
      <c r="G616" s="26">
        <f>SUMIFS(INDEX(元データ_14項目!$D$2:$Q$1300,0,MATCH($B616,元データ_14項目!$D$1:$Q$1,0)),元データ_14項目!$A$2:$A$1300,$A616,元データ_14項目!$B$2:$B$1300,"本年",元データ_14項目!$C$2:$C$1300,G$5)</f>
        <v>53</v>
      </c>
      <c r="H616" s="26">
        <f>SUMIFS(INDEX(元データ_14項目!$D$2:$Q$1300,0,MATCH($B616,元データ_14項目!$D$1:$Q$1,0)),元データ_14項目!$A$2:$A$1300,$A616,元データ_14項目!$B$2:$B$1300,"本年",元データ_14項目!$C$2:$C$1300,H$5)</f>
        <v>27</v>
      </c>
      <c r="I616" s="26">
        <f>SUMIFS(INDEX(元データ_14項目!$D$2:$Q$1300,0,MATCH($B616,元データ_14項目!$D$1:$Q$1,0)),元データ_14項目!$A$2:$A$1300,$A616,元データ_14項目!$B$2:$B$1300,"本年",元データ_14項目!$C$2:$C$1300,I$5)</f>
        <v>19</v>
      </c>
      <c r="J616" s="26">
        <f>SUMIFS(INDEX(元データ_14項目!$D$2:$Q$1300,0,MATCH($B616,元データ_14項目!$D$1:$Q$1,0)),元データ_14項目!$A$2:$A$1300,$A616,元データ_14項目!$B$2:$B$1300,"本年",元データ_14項目!$C$2:$C$1300,J$5)</f>
        <v>28</v>
      </c>
      <c r="K616" s="26">
        <f>SUMIFS(INDEX(元データ_14項目!$D$2:$Q$1300,0,MATCH($B616,元データ_14項目!$D$1:$Q$1,0)),元データ_14項目!$A$2:$A$1300,$A616,元データ_14項目!$B$2:$B$1300,"本年",元データ_14項目!$C$2:$C$1300,K$5)</f>
        <v>132</v>
      </c>
      <c r="L616" s="26">
        <f>SUMIFS(INDEX(元データ_14項目!$D$2:$Q$1300,0,MATCH($B616,元データ_14項目!$D$1:$Q$1,0)),元データ_14項目!$A$2:$A$1300,$A616,元データ_14項目!$B$2:$B$1300,"本年",元データ_14項目!$C$2:$C$1300,L$5)</f>
        <v>53</v>
      </c>
      <c r="M616" s="26">
        <f>SUMIFS(INDEX(元データ_14項目!$D$2:$Q$1300,0,MATCH($B616,元データ_14項目!$D$1:$Q$1,0)),元データ_14項目!$A$2:$A$1300,$A616,元データ_14項目!$B$2:$B$1300,"本年",元データ_14項目!$C$2:$C$1300,M$5)</f>
        <v>58</v>
      </c>
      <c r="N616" s="26">
        <f>SUMIFS(INDEX(元データ_14項目!$D$2:$Q$1300,0,MATCH($B616,元データ_14項目!$D$1:$Q$1,0)),元データ_14項目!$A$2:$A$1300,$A616,元データ_14項目!$B$2:$B$1300,"本年",元データ_14項目!$C$2:$C$1300,N$5)</f>
        <v>32</v>
      </c>
      <c r="O616" s="26">
        <f t="shared" si="18"/>
        <v>501</v>
      </c>
      <c r="P616" s="26">
        <f>SUMIFS(INDEX(元データ_14項目!$D$2:$Q$1300,0,MATCH($B616,元データ_14項目!$D$1:$Q$1,0)),元データ_14項目!$A$2:$A$1300,$A616,元データ_14項目!$B$2:$B$1300,"前年")</f>
        <v>539</v>
      </c>
      <c r="Q616" s="7">
        <f t="shared" si="19"/>
        <v>0.92949907235621521</v>
      </c>
    </row>
    <row r="617" spans="1:17" x14ac:dyDescent="0.45">
      <c r="A617" t="s">
        <v>78</v>
      </c>
      <c r="B617" t="s">
        <v>95</v>
      </c>
      <c r="C617" s="26">
        <f>SUMIFS(INDEX(元データ_14項目!$D$2:$Q$1300,0,MATCH($B617,元データ_14項目!$D$1:$Q$1,0)),元データ_14項目!$A$2:$A$1300,$A617,元データ_14項目!$B$2:$B$1300,"本年",元データ_14項目!$C$2:$C$1300,C$5)</f>
        <v>21</v>
      </c>
      <c r="D617" s="26">
        <f>SUMIFS(INDEX(元データ_14項目!$D$2:$Q$1300,0,MATCH($B617,元データ_14項目!$D$1:$Q$1,0)),元データ_14項目!$A$2:$A$1300,$A617,元データ_14項目!$B$2:$B$1300,"本年",元データ_14項目!$C$2:$C$1300,D$5)</f>
        <v>35</v>
      </c>
      <c r="E617" s="26">
        <f>SUMIFS(INDEX(元データ_14項目!$D$2:$Q$1300,0,MATCH($B617,元データ_14項目!$D$1:$Q$1,0)),元データ_14項目!$A$2:$A$1300,$A617,元データ_14項目!$B$2:$B$1300,"本年",元データ_14項目!$C$2:$C$1300,E$5)</f>
        <v>37</v>
      </c>
      <c r="F617" s="26">
        <f>SUMIFS(INDEX(元データ_14項目!$D$2:$Q$1300,0,MATCH($B617,元データ_14項目!$D$1:$Q$1,0)),元データ_14項目!$A$2:$A$1300,$A617,元データ_14項目!$B$2:$B$1300,"本年",元データ_14項目!$C$2:$C$1300,F$5)</f>
        <v>440</v>
      </c>
      <c r="G617" s="26">
        <f>SUMIFS(INDEX(元データ_14項目!$D$2:$Q$1300,0,MATCH($B617,元データ_14項目!$D$1:$Q$1,0)),元データ_14項目!$A$2:$A$1300,$A617,元データ_14項目!$B$2:$B$1300,"本年",元データ_14項目!$C$2:$C$1300,G$5)</f>
        <v>45</v>
      </c>
      <c r="H617" s="26">
        <f>SUMIFS(INDEX(元データ_14項目!$D$2:$Q$1300,0,MATCH($B617,元データ_14項目!$D$1:$Q$1,0)),元データ_14項目!$A$2:$A$1300,$A617,元データ_14項目!$B$2:$B$1300,"本年",元データ_14項目!$C$2:$C$1300,H$5)</f>
        <v>24</v>
      </c>
      <c r="I617" s="26">
        <f>SUMIFS(INDEX(元データ_14項目!$D$2:$Q$1300,0,MATCH($B617,元データ_14項目!$D$1:$Q$1,0)),元データ_14項目!$A$2:$A$1300,$A617,元データ_14項目!$B$2:$B$1300,"本年",元データ_14項目!$C$2:$C$1300,I$5)</f>
        <v>12</v>
      </c>
      <c r="J617" s="26">
        <f>SUMIFS(INDEX(元データ_14項目!$D$2:$Q$1300,0,MATCH($B617,元データ_14項目!$D$1:$Q$1,0)),元データ_14項目!$A$2:$A$1300,$A617,元データ_14項目!$B$2:$B$1300,"本年",元データ_14項目!$C$2:$C$1300,J$5)</f>
        <v>23</v>
      </c>
      <c r="K617" s="26">
        <f>SUMIFS(INDEX(元データ_14項目!$D$2:$Q$1300,0,MATCH($B617,元データ_14項目!$D$1:$Q$1,0)),元データ_14項目!$A$2:$A$1300,$A617,元データ_14項目!$B$2:$B$1300,"本年",元データ_14項目!$C$2:$C$1300,K$5)</f>
        <v>70</v>
      </c>
      <c r="L617" s="26">
        <f>SUMIFS(INDEX(元データ_14項目!$D$2:$Q$1300,0,MATCH($B617,元データ_14項目!$D$1:$Q$1,0)),元データ_14項目!$A$2:$A$1300,$A617,元データ_14項目!$B$2:$B$1300,"本年",元データ_14項目!$C$2:$C$1300,L$5)</f>
        <v>37</v>
      </c>
      <c r="M617" s="26">
        <f>SUMIFS(INDEX(元データ_14項目!$D$2:$Q$1300,0,MATCH($B617,元データ_14項目!$D$1:$Q$1,0)),元データ_14項目!$A$2:$A$1300,$A617,元データ_14項目!$B$2:$B$1300,"本年",元データ_14項目!$C$2:$C$1300,M$5)</f>
        <v>44</v>
      </c>
      <c r="N617" s="26">
        <f>SUMIFS(INDEX(元データ_14項目!$D$2:$Q$1300,0,MATCH($B617,元データ_14項目!$D$1:$Q$1,0)),元データ_14項目!$A$2:$A$1300,$A617,元データ_14項目!$B$2:$B$1300,"本年",元データ_14項目!$C$2:$C$1300,N$5)</f>
        <v>36</v>
      </c>
      <c r="O617" s="26">
        <f t="shared" si="18"/>
        <v>824</v>
      </c>
      <c r="P617" s="26">
        <f>SUMIFS(INDEX(元データ_14項目!$D$2:$Q$1300,0,MATCH($B617,元データ_14項目!$D$1:$Q$1,0)),元データ_14項目!$A$2:$A$1300,$A617,元データ_14項目!$B$2:$B$1300,"前年")</f>
        <v>415</v>
      </c>
      <c r="Q617" s="7">
        <f t="shared" si="19"/>
        <v>1.9855421686746988</v>
      </c>
    </row>
    <row r="618" spans="1:17" x14ac:dyDescent="0.45">
      <c r="A618" t="s">
        <v>78</v>
      </c>
      <c r="B618" t="s">
        <v>96</v>
      </c>
      <c r="C618" s="26">
        <f>SUMIFS(INDEX(元データ_14項目!$D$2:$Q$1300,0,MATCH($B618,元データ_14項目!$D$1:$Q$1,0)),元データ_14項目!$A$2:$A$1300,$A618,元データ_14項目!$B$2:$B$1300,"本年",元データ_14項目!$C$2:$C$1300,C$5)</f>
        <v>17</v>
      </c>
      <c r="D618" s="26">
        <f>SUMIFS(INDEX(元データ_14項目!$D$2:$Q$1300,0,MATCH($B618,元データ_14項目!$D$1:$Q$1,0)),元データ_14項目!$A$2:$A$1300,$A618,元データ_14項目!$B$2:$B$1300,"本年",元データ_14項目!$C$2:$C$1300,D$5)</f>
        <v>9</v>
      </c>
      <c r="E618" s="26">
        <f>SUMIFS(INDEX(元データ_14項目!$D$2:$Q$1300,0,MATCH($B618,元データ_14項目!$D$1:$Q$1,0)),元データ_14項目!$A$2:$A$1300,$A618,元データ_14項目!$B$2:$B$1300,"本年",元データ_14項目!$C$2:$C$1300,E$5)</f>
        <v>32</v>
      </c>
      <c r="F618" s="26">
        <f>SUMIFS(INDEX(元データ_14項目!$D$2:$Q$1300,0,MATCH($B618,元データ_14項目!$D$1:$Q$1,0)),元データ_14項目!$A$2:$A$1300,$A618,元データ_14項目!$B$2:$B$1300,"本年",元データ_14項目!$C$2:$C$1300,F$5)</f>
        <v>39</v>
      </c>
      <c r="G618" s="26">
        <f>SUMIFS(INDEX(元データ_14項目!$D$2:$Q$1300,0,MATCH($B618,元データ_14項目!$D$1:$Q$1,0)),元データ_14項目!$A$2:$A$1300,$A618,元データ_14項目!$B$2:$B$1300,"本年",元データ_14項目!$C$2:$C$1300,G$5)</f>
        <v>40</v>
      </c>
      <c r="H618" s="26">
        <f>SUMIFS(INDEX(元データ_14項目!$D$2:$Q$1300,0,MATCH($B618,元データ_14項目!$D$1:$Q$1,0)),元データ_14項目!$A$2:$A$1300,$A618,元データ_14項目!$B$2:$B$1300,"本年",元データ_14項目!$C$2:$C$1300,H$5)</f>
        <v>26</v>
      </c>
      <c r="I618" s="26">
        <f>SUMIFS(INDEX(元データ_14項目!$D$2:$Q$1300,0,MATCH($B618,元データ_14項目!$D$1:$Q$1,0)),元データ_14項目!$A$2:$A$1300,$A618,元データ_14項目!$B$2:$B$1300,"本年",元データ_14項目!$C$2:$C$1300,I$5)</f>
        <v>26</v>
      </c>
      <c r="J618" s="26">
        <f>SUMIFS(INDEX(元データ_14項目!$D$2:$Q$1300,0,MATCH($B618,元データ_14項目!$D$1:$Q$1,0)),元データ_14項目!$A$2:$A$1300,$A618,元データ_14項目!$B$2:$B$1300,"本年",元データ_14項目!$C$2:$C$1300,J$5)</f>
        <v>122</v>
      </c>
      <c r="K618" s="26">
        <f>SUMIFS(INDEX(元データ_14項目!$D$2:$Q$1300,0,MATCH($B618,元データ_14項目!$D$1:$Q$1,0)),元データ_14項目!$A$2:$A$1300,$A618,元データ_14項目!$B$2:$B$1300,"本年",元データ_14項目!$C$2:$C$1300,K$5)</f>
        <v>277</v>
      </c>
      <c r="L618" s="26">
        <f>SUMIFS(INDEX(元データ_14項目!$D$2:$Q$1300,0,MATCH($B618,元データ_14項目!$D$1:$Q$1,0)),元データ_14項目!$A$2:$A$1300,$A618,元データ_14項目!$B$2:$B$1300,"本年",元データ_14項目!$C$2:$C$1300,L$5)</f>
        <v>142</v>
      </c>
      <c r="M618" s="26">
        <f>SUMIFS(INDEX(元データ_14項目!$D$2:$Q$1300,0,MATCH($B618,元データ_14項目!$D$1:$Q$1,0)),元データ_14項目!$A$2:$A$1300,$A618,元データ_14項目!$B$2:$B$1300,"本年",元データ_14項目!$C$2:$C$1300,M$5)</f>
        <v>66</v>
      </c>
      <c r="N618" s="26">
        <f>SUMIFS(INDEX(元データ_14項目!$D$2:$Q$1300,0,MATCH($B618,元データ_14項目!$D$1:$Q$1,0)),元データ_14項目!$A$2:$A$1300,$A618,元データ_14項目!$B$2:$B$1300,"本年",元データ_14項目!$C$2:$C$1300,N$5)</f>
        <v>63</v>
      </c>
      <c r="O618" s="26">
        <f t="shared" si="18"/>
        <v>859</v>
      </c>
      <c r="P618" s="26">
        <f>SUMIFS(INDEX(元データ_14項目!$D$2:$Q$1300,0,MATCH($B618,元データ_14項目!$D$1:$Q$1,0)),元データ_14項目!$A$2:$A$1300,$A618,元データ_14項目!$B$2:$B$1300,"前年")</f>
        <v>1044</v>
      </c>
      <c r="Q618" s="7">
        <f t="shared" si="19"/>
        <v>0.82279693486590033</v>
      </c>
    </row>
    <row r="619" spans="1:17" x14ac:dyDescent="0.45">
      <c r="A619" t="s">
        <v>78</v>
      </c>
      <c r="B619" t="s">
        <v>97</v>
      </c>
      <c r="C619" s="26">
        <f>SUMIFS(INDEX(元データ_14項目!$D$2:$Q$1300,0,MATCH($B619,元データ_14項目!$D$1:$Q$1,0)),元データ_14項目!$A$2:$A$1300,$A619,元データ_14項目!$B$2:$B$1300,"本年",元データ_14項目!$C$2:$C$1300,C$5)</f>
        <v>12</v>
      </c>
      <c r="D619" s="26">
        <f>SUMIFS(INDEX(元データ_14項目!$D$2:$Q$1300,0,MATCH($B619,元データ_14項目!$D$1:$Q$1,0)),元データ_14項目!$A$2:$A$1300,$A619,元データ_14項目!$B$2:$B$1300,"本年",元データ_14項目!$C$2:$C$1300,D$5)</f>
        <v>21</v>
      </c>
      <c r="E619" s="26">
        <f>SUMIFS(INDEX(元データ_14項目!$D$2:$Q$1300,0,MATCH($B619,元データ_14項目!$D$1:$Q$1,0)),元データ_14項目!$A$2:$A$1300,$A619,元データ_14項目!$B$2:$B$1300,"本年",元データ_14項目!$C$2:$C$1300,E$5)</f>
        <v>32</v>
      </c>
      <c r="F619" s="26">
        <f>SUMIFS(INDEX(元データ_14項目!$D$2:$Q$1300,0,MATCH($B619,元データ_14項目!$D$1:$Q$1,0)),元データ_14項目!$A$2:$A$1300,$A619,元データ_14項目!$B$2:$B$1300,"本年",元データ_14項目!$C$2:$C$1300,F$5)</f>
        <v>52</v>
      </c>
      <c r="G619" s="26">
        <f>SUMIFS(INDEX(元データ_14項目!$D$2:$Q$1300,0,MATCH($B619,元データ_14項目!$D$1:$Q$1,0)),元データ_14項目!$A$2:$A$1300,$A619,元データ_14項目!$B$2:$B$1300,"本年",元データ_14項目!$C$2:$C$1300,G$5)</f>
        <v>59</v>
      </c>
      <c r="H619" s="26">
        <f>SUMIFS(INDEX(元データ_14項目!$D$2:$Q$1300,0,MATCH($B619,元データ_14項目!$D$1:$Q$1,0)),元データ_14項目!$A$2:$A$1300,$A619,元データ_14項目!$B$2:$B$1300,"本年",元データ_14項目!$C$2:$C$1300,H$5)</f>
        <v>36</v>
      </c>
      <c r="I619" s="26">
        <f>SUMIFS(INDEX(元データ_14項目!$D$2:$Q$1300,0,MATCH($B619,元データ_14項目!$D$1:$Q$1,0)),元データ_14項目!$A$2:$A$1300,$A619,元データ_14項目!$B$2:$B$1300,"本年",元データ_14項目!$C$2:$C$1300,I$5)</f>
        <v>25</v>
      </c>
      <c r="J619" s="26">
        <f>SUMIFS(INDEX(元データ_14項目!$D$2:$Q$1300,0,MATCH($B619,元データ_14項目!$D$1:$Q$1,0)),元データ_14項目!$A$2:$A$1300,$A619,元データ_14項目!$B$2:$B$1300,"本年",元データ_14項目!$C$2:$C$1300,J$5)</f>
        <v>80</v>
      </c>
      <c r="K619" s="26">
        <f>SUMIFS(INDEX(元データ_14項目!$D$2:$Q$1300,0,MATCH($B619,元データ_14項目!$D$1:$Q$1,0)),元データ_14項目!$A$2:$A$1300,$A619,元データ_14項目!$B$2:$B$1300,"本年",元データ_14項目!$C$2:$C$1300,K$5)</f>
        <v>265</v>
      </c>
      <c r="L619" s="26">
        <f>SUMIFS(INDEX(元データ_14項目!$D$2:$Q$1300,0,MATCH($B619,元データ_14項目!$D$1:$Q$1,0)),元データ_14項目!$A$2:$A$1300,$A619,元データ_14項目!$B$2:$B$1300,"本年",元データ_14項目!$C$2:$C$1300,L$5)</f>
        <v>150</v>
      </c>
      <c r="M619" s="26">
        <f>SUMIFS(INDEX(元データ_14項目!$D$2:$Q$1300,0,MATCH($B619,元データ_14項目!$D$1:$Q$1,0)),元データ_14項目!$A$2:$A$1300,$A619,元データ_14項目!$B$2:$B$1300,"本年",元データ_14項目!$C$2:$C$1300,M$5)</f>
        <v>98</v>
      </c>
      <c r="N619" s="26">
        <f>SUMIFS(INDEX(元データ_14項目!$D$2:$Q$1300,0,MATCH($B619,元データ_14項目!$D$1:$Q$1,0)),元データ_14項目!$A$2:$A$1300,$A619,元データ_14項目!$B$2:$B$1300,"本年",元データ_14項目!$C$2:$C$1300,N$5)</f>
        <v>70</v>
      </c>
      <c r="O619" s="26">
        <f t="shared" si="18"/>
        <v>900</v>
      </c>
      <c r="P619" s="26">
        <f>SUMIFS(INDEX(元データ_14項目!$D$2:$Q$1300,0,MATCH($B619,元データ_14項目!$D$1:$Q$1,0)),元データ_14項目!$A$2:$A$1300,$A619,元データ_14項目!$B$2:$B$1300,"前年")</f>
        <v>909</v>
      </c>
      <c r="Q619" s="7">
        <f t="shared" si="19"/>
        <v>0.99009900990099009</v>
      </c>
    </row>
    <row r="620" spans="1:17" x14ac:dyDescent="0.45">
      <c r="A620" t="s">
        <v>78</v>
      </c>
      <c r="B620" t="s">
        <v>98</v>
      </c>
      <c r="C620" s="26">
        <f>SUMIFS(INDEX(元データ_14項目!$D$2:$Q$1300,0,MATCH($B620,元データ_14項目!$D$1:$Q$1,0)),元データ_14項目!$A$2:$A$1300,$A620,元データ_14項目!$B$2:$B$1300,"本年",元データ_14項目!$C$2:$C$1300,C$5)</f>
        <v>3</v>
      </c>
      <c r="D620" s="26">
        <f>SUMIFS(INDEX(元データ_14項目!$D$2:$Q$1300,0,MATCH($B620,元データ_14項目!$D$1:$Q$1,0)),元データ_14項目!$A$2:$A$1300,$A620,元データ_14項目!$B$2:$B$1300,"本年",元データ_14項目!$C$2:$C$1300,D$5)</f>
        <v>7</v>
      </c>
      <c r="E620" s="26">
        <f>SUMIFS(INDEX(元データ_14項目!$D$2:$Q$1300,0,MATCH($B620,元データ_14項目!$D$1:$Q$1,0)),元データ_14項目!$A$2:$A$1300,$A620,元データ_14項目!$B$2:$B$1300,"本年",元データ_14項目!$C$2:$C$1300,E$5)</f>
        <v>19</v>
      </c>
      <c r="F620" s="26">
        <f>SUMIFS(INDEX(元データ_14項目!$D$2:$Q$1300,0,MATCH($B620,元データ_14項目!$D$1:$Q$1,0)),元データ_14項目!$A$2:$A$1300,$A620,元データ_14項目!$B$2:$B$1300,"本年",元データ_14項目!$C$2:$C$1300,F$5)</f>
        <v>17</v>
      </c>
      <c r="G620" s="26">
        <f>SUMIFS(INDEX(元データ_14項目!$D$2:$Q$1300,0,MATCH($B620,元データ_14項目!$D$1:$Q$1,0)),元データ_14項目!$A$2:$A$1300,$A620,元データ_14項目!$B$2:$B$1300,"本年",元データ_14項目!$C$2:$C$1300,G$5)</f>
        <v>18</v>
      </c>
      <c r="H620" s="26">
        <f>SUMIFS(INDEX(元データ_14項目!$D$2:$Q$1300,0,MATCH($B620,元データ_14項目!$D$1:$Q$1,0)),元データ_14項目!$A$2:$A$1300,$A620,元データ_14項目!$B$2:$B$1300,"本年",元データ_14項目!$C$2:$C$1300,H$5)</f>
        <v>18</v>
      </c>
      <c r="I620" s="26">
        <f>SUMIFS(INDEX(元データ_14項目!$D$2:$Q$1300,0,MATCH($B620,元データ_14項目!$D$1:$Q$1,0)),元データ_14項目!$A$2:$A$1300,$A620,元データ_14項目!$B$2:$B$1300,"本年",元データ_14項目!$C$2:$C$1300,I$5)</f>
        <v>7</v>
      </c>
      <c r="J620" s="26">
        <f>SUMIFS(INDEX(元データ_14項目!$D$2:$Q$1300,0,MATCH($B620,元データ_14項目!$D$1:$Q$1,0)),元データ_14項目!$A$2:$A$1300,$A620,元データ_14項目!$B$2:$B$1300,"本年",元データ_14項目!$C$2:$C$1300,J$5)</f>
        <v>80</v>
      </c>
      <c r="K620" s="26">
        <f>SUMIFS(INDEX(元データ_14項目!$D$2:$Q$1300,0,MATCH($B620,元データ_14項目!$D$1:$Q$1,0)),元データ_14項目!$A$2:$A$1300,$A620,元データ_14項目!$B$2:$B$1300,"本年",元データ_14項目!$C$2:$C$1300,K$5)</f>
        <v>185</v>
      </c>
      <c r="L620" s="26">
        <f>SUMIFS(INDEX(元データ_14項目!$D$2:$Q$1300,0,MATCH($B620,元データ_14項目!$D$1:$Q$1,0)),元データ_14項目!$A$2:$A$1300,$A620,元データ_14項目!$B$2:$B$1300,"本年",元データ_14項目!$C$2:$C$1300,L$5)</f>
        <v>89</v>
      </c>
      <c r="M620" s="26">
        <f>SUMIFS(INDEX(元データ_14項目!$D$2:$Q$1300,0,MATCH($B620,元データ_14項目!$D$1:$Q$1,0)),元データ_14項目!$A$2:$A$1300,$A620,元データ_14項目!$B$2:$B$1300,"本年",元データ_14項目!$C$2:$C$1300,M$5)</f>
        <v>35</v>
      </c>
      <c r="N620" s="26">
        <f>SUMIFS(INDEX(元データ_14項目!$D$2:$Q$1300,0,MATCH($B620,元データ_14項目!$D$1:$Q$1,0)),元データ_14項目!$A$2:$A$1300,$A620,元データ_14項目!$B$2:$B$1300,"本年",元データ_14項目!$C$2:$C$1300,N$5)</f>
        <v>46</v>
      </c>
      <c r="O620" s="26">
        <f t="shared" si="18"/>
        <v>524</v>
      </c>
      <c r="P620" s="26">
        <f>SUMIFS(INDEX(元データ_14項目!$D$2:$Q$1300,0,MATCH($B620,元データ_14項目!$D$1:$Q$1,0)),元データ_14項目!$A$2:$A$1300,$A620,元データ_14項目!$B$2:$B$1300,"前年")</f>
        <v>563</v>
      </c>
      <c r="Q620" s="7">
        <f t="shared" si="19"/>
        <v>0.93072824156305511</v>
      </c>
    </row>
    <row r="621" spans="1:17" x14ac:dyDescent="0.45">
      <c r="A621" t="s">
        <v>78</v>
      </c>
      <c r="B621" t="s">
        <v>99</v>
      </c>
      <c r="C621" s="26">
        <f>SUMIFS(INDEX(元データ_14項目!$D$2:$Q$1300,0,MATCH($B621,元データ_14項目!$D$1:$Q$1,0)),元データ_14項目!$A$2:$A$1300,$A621,元データ_14項目!$B$2:$B$1300,"本年",元データ_14項目!$C$2:$C$1300,C$5)</f>
        <v>0</v>
      </c>
      <c r="D621" s="26">
        <f>SUMIFS(INDEX(元データ_14項目!$D$2:$Q$1300,0,MATCH($B621,元データ_14項目!$D$1:$Q$1,0)),元データ_14項目!$A$2:$A$1300,$A621,元データ_14項目!$B$2:$B$1300,"本年",元データ_14項目!$C$2:$C$1300,D$5)</f>
        <v>0</v>
      </c>
      <c r="E621" s="26">
        <f>SUMIFS(INDEX(元データ_14項目!$D$2:$Q$1300,0,MATCH($B621,元データ_14項目!$D$1:$Q$1,0)),元データ_14項目!$A$2:$A$1300,$A621,元データ_14項目!$B$2:$B$1300,"本年",元データ_14項目!$C$2:$C$1300,E$5)</f>
        <v>0</v>
      </c>
      <c r="F621" s="26">
        <f>SUMIFS(INDEX(元データ_14項目!$D$2:$Q$1300,0,MATCH($B621,元データ_14項目!$D$1:$Q$1,0)),元データ_14項目!$A$2:$A$1300,$A621,元データ_14項目!$B$2:$B$1300,"本年",元データ_14項目!$C$2:$C$1300,F$5)</f>
        <v>0</v>
      </c>
      <c r="G621" s="26">
        <f>SUMIFS(INDEX(元データ_14項目!$D$2:$Q$1300,0,MATCH($B621,元データ_14項目!$D$1:$Q$1,0)),元データ_14項目!$A$2:$A$1300,$A621,元データ_14項目!$B$2:$B$1300,"本年",元データ_14項目!$C$2:$C$1300,G$5)</f>
        <v>6</v>
      </c>
      <c r="H621" s="26">
        <f>SUMIFS(INDEX(元データ_14項目!$D$2:$Q$1300,0,MATCH($B621,元データ_14項目!$D$1:$Q$1,0)),元データ_14項目!$A$2:$A$1300,$A621,元データ_14項目!$B$2:$B$1300,"本年",元データ_14項目!$C$2:$C$1300,H$5)</f>
        <v>1</v>
      </c>
      <c r="I621" s="26">
        <f>SUMIFS(INDEX(元データ_14項目!$D$2:$Q$1300,0,MATCH($B621,元データ_14項目!$D$1:$Q$1,0)),元データ_14項目!$A$2:$A$1300,$A621,元データ_14項目!$B$2:$B$1300,"本年",元データ_14項目!$C$2:$C$1300,I$5)</f>
        <v>1</v>
      </c>
      <c r="J621" s="26">
        <f>SUMIFS(INDEX(元データ_14項目!$D$2:$Q$1300,0,MATCH($B621,元データ_14項目!$D$1:$Q$1,0)),元データ_14項目!$A$2:$A$1300,$A621,元データ_14項目!$B$2:$B$1300,"本年",元データ_14項目!$C$2:$C$1300,J$5)</f>
        <v>2</v>
      </c>
      <c r="K621" s="26">
        <f>SUMIFS(INDEX(元データ_14項目!$D$2:$Q$1300,0,MATCH($B621,元データ_14項目!$D$1:$Q$1,0)),元データ_14項目!$A$2:$A$1300,$A621,元データ_14項目!$B$2:$B$1300,"本年",元データ_14項目!$C$2:$C$1300,K$5)</f>
        <v>7</v>
      </c>
      <c r="L621" s="26">
        <f>SUMIFS(INDEX(元データ_14項目!$D$2:$Q$1300,0,MATCH($B621,元データ_14項目!$D$1:$Q$1,0)),元データ_14項目!$A$2:$A$1300,$A621,元データ_14項目!$B$2:$B$1300,"本年",元データ_14項目!$C$2:$C$1300,L$5)</f>
        <v>14</v>
      </c>
      <c r="M621" s="26">
        <f>SUMIFS(INDEX(元データ_14項目!$D$2:$Q$1300,0,MATCH($B621,元データ_14項目!$D$1:$Q$1,0)),元データ_14項目!$A$2:$A$1300,$A621,元データ_14項目!$B$2:$B$1300,"本年",元データ_14項目!$C$2:$C$1300,M$5)</f>
        <v>1</v>
      </c>
      <c r="N621" s="26">
        <f>SUMIFS(INDEX(元データ_14項目!$D$2:$Q$1300,0,MATCH($B621,元データ_14項目!$D$1:$Q$1,0)),元データ_14項目!$A$2:$A$1300,$A621,元データ_14項目!$B$2:$B$1300,"本年",元データ_14項目!$C$2:$C$1300,N$5)</f>
        <v>1</v>
      </c>
      <c r="O621" s="26">
        <f t="shared" si="18"/>
        <v>33</v>
      </c>
      <c r="P621" s="26">
        <f>SUMIFS(INDEX(元データ_14項目!$D$2:$Q$1300,0,MATCH($B621,元データ_14項目!$D$1:$Q$1,0)),元データ_14項目!$A$2:$A$1300,$A621,元データ_14項目!$B$2:$B$1300,"前年")</f>
        <v>57</v>
      </c>
      <c r="Q621" s="7">
        <f t="shared" si="19"/>
        <v>0.57894736842105265</v>
      </c>
    </row>
    <row r="622" spans="1:17" x14ac:dyDescent="0.45">
      <c r="A622" t="s">
        <v>79</v>
      </c>
      <c r="B622" t="s">
        <v>27</v>
      </c>
      <c r="C622" s="26">
        <f>SUMIFS(INDEX(元データ_14項目!$D$2:$Q$1300,0,MATCH($B622,元データ_14項目!$D$1:$Q$1,0)),元データ_14項目!$A$2:$A$1300,$A622,元データ_14項目!$B$2:$B$1300,"本年",元データ_14項目!$C$2:$C$1300,C$5)</f>
        <v>723</v>
      </c>
      <c r="D622" s="26">
        <f>SUMIFS(INDEX(元データ_14項目!$D$2:$Q$1300,0,MATCH($B622,元データ_14項目!$D$1:$Q$1,0)),元データ_14項目!$A$2:$A$1300,$A622,元データ_14項目!$B$2:$B$1300,"本年",元データ_14項目!$C$2:$C$1300,D$5)</f>
        <v>862</v>
      </c>
      <c r="E622" s="26">
        <f>SUMIFS(INDEX(元データ_14項目!$D$2:$Q$1300,0,MATCH($B622,元データ_14項目!$D$1:$Q$1,0)),元データ_14項目!$A$2:$A$1300,$A622,元データ_14項目!$B$2:$B$1300,"本年",元データ_14項目!$C$2:$C$1300,E$5)</f>
        <v>1024</v>
      </c>
      <c r="F622" s="26">
        <f>SUMIFS(INDEX(元データ_14項目!$D$2:$Q$1300,0,MATCH($B622,元データ_14項目!$D$1:$Q$1,0)),元データ_14項目!$A$2:$A$1300,$A622,元データ_14項目!$B$2:$B$1300,"本年",元データ_14項目!$C$2:$C$1300,F$5)</f>
        <v>869</v>
      </c>
      <c r="G622" s="26">
        <f>SUMIFS(INDEX(元データ_14項目!$D$2:$Q$1300,0,MATCH($B622,元データ_14項目!$D$1:$Q$1,0)),元データ_14項目!$A$2:$A$1300,$A622,元データ_14項目!$B$2:$B$1300,"本年",元データ_14項目!$C$2:$C$1300,G$5)</f>
        <v>879</v>
      </c>
      <c r="H622" s="26">
        <f>SUMIFS(INDEX(元データ_14項目!$D$2:$Q$1300,0,MATCH($B622,元データ_14項目!$D$1:$Q$1,0)),元データ_14項目!$A$2:$A$1300,$A622,元データ_14項目!$B$2:$B$1300,"本年",元データ_14項目!$C$2:$C$1300,H$5)</f>
        <v>675</v>
      </c>
      <c r="I622" s="26">
        <f>SUMIFS(INDEX(元データ_14項目!$D$2:$Q$1300,0,MATCH($B622,元データ_14項目!$D$1:$Q$1,0)),元データ_14項目!$A$2:$A$1300,$A622,元データ_14項目!$B$2:$B$1300,"本年",元データ_14項目!$C$2:$C$1300,I$5)</f>
        <v>638</v>
      </c>
      <c r="J622" s="26">
        <f>SUMIFS(INDEX(元データ_14項目!$D$2:$Q$1300,0,MATCH($B622,元データ_14項目!$D$1:$Q$1,0)),元データ_14項目!$A$2:$A$1300,$A622,元データ_14項目!$B$2:$B$1300,"本年",元データ_14項目!$C$2:$C$1300,J$5)</f>
        <v>845</v>
      </c>
      <c r="K622" s="26">
        <f>SUMIFS(INDEX(元データ_14項目!$D$2:$Q$1300,0,MATCH($B622,元データ_14項目!$D$1:$Q$1,0)),元データ_14項目!$A$2:$A$1300,$A622,元データ_14項目!$B$2:$B$1300,"本年",元データ_14項目!$C$2:$C$1300,K$5)</f>
        <v>832</v>
      </c>
      <c r="L622" s="26">
        <f>SUMIFS(INDEX(元データ_14項目!$D$2:$Q$1300,0,MATCH($B622,元データ_14項目!$D$1:$Q$1,0)),元データ_14項目!$A$2:$A$1300,$A622,元データ_14項目!$B$2:$B$1300,"本年",元データ_14項目!$C$2:$C$1300,L$5)</f>
        <v>779</v>
      </c>
      <c r="M622" s="26">
        <f>SUMIFS(INDEX(元データ_14項目!$D$2:$Q$1300,0,MATCH($B622,元データ_14項目!$D$1:$Q$1,0)),元データ_14項目!$A$2:$A$1300,$A622,元データ_14項目!$B$2:$B$1300,"本年",元データ_14項目!$C$2:$C$1300,M$5)</f>
        <v>846</v>
      </c>
      <c r="N622" s="26">
        <f>SUMIFS(INDEX(元データ_14項目!$D$2:$Q$1300,0,MATCH($B622,元データ_14項目!$D$1:$Q$1,0)),元データ_14項目!$A$2:$A$1300,$A622,元データ_14項目!$B$2:$B$1300,"本年",元データ_14項目!$C$2:$C$1300,N$5)</f>
        <v>726</v>
      </c>
      <c r="O622" s="26">
        <f t="shared" si="18"/>
        <v>9698</v>
      </c>
      <c r="P622" s="26">
        <f>SUMIFS(INDEX(元データ_14項目!$D$2:$Q$1300,0,MATCH($B622,元データ_14項目!$D$1:$Q$1,0)),元データ_14項目!$A$2:$A$1300,$A622,元データ_14項目!$B$2:$B$1300,"前年")</f>
        <v>11367</v>
      </c>
      <c r="Q622" s="7">
        <f t="shared" si="19"/>
        <v>0.85317146124747079</v>
      </c>
    </row>
    <row r="623" spans="1:17" x14ac:dyDescent="0.45">
      <c r="A623" t="s">
        <v>79</v>
      </c>
      <c r="B623" t="s">
        <v>88</v>
      </c>
      <c r="C623" s="26">
        <f>SUMIFS(INDEX(元データ_14項目!$D$2:$Q$1300,0,MATCH($B623,元データ_14項目!$D$1:$Q$1,0)),元データ_14項目!$A$2:$A$1300,$A623,元データ_14項目!$B$2:$B$1300,"本年",元データ_14項目!$C$2:$C$1300,C$5)</f>
        <v>52</v>
      </c>
      <c r="D623" s="26">
        <f>SUMIFS(INDEX(元データ_14項目!$D$2:$Q$1300,0,MATCH($B623,元データ_14項目!$D$1:$Q$1,0)),元データ_14項目!$A$2:$A$1300,$A623,元データ_14項目!$B$2:$B$1300,"本年",元データ_14項目!$C$2:$C$1300,D$5)</f>
        <v>40</v>
      </c>
      <c r="E623" s="26">
        <f>SUMIFS(INDEX(元データ_14項目!$D$2:$Q$1300,0,MATCH($B623,元データ_14項目!$D$1:$Q$1,0)),元データ_14項目!$A$2:$A$1300,$A623,元データ_14項目!$B$2:$B$1300,"本年",元データ_14項目!$C$2:$C$1300,E$5)</f>
        <v>66</v>
      </c>
      <c r="F623" s="26">
        <f>SUMIFS(INDEX(元データ_14項目!$D$2:$Q$1300,0,MATCH($B623,元データ_14項目!$D$1:$Q$1,0)),元データ_14項目!$A$2:$A$1300,$A623,元データ_14項目!$B$2:$B$1300,"本年",元データ_14項目!$C$2:$C$1300,F$5)</f>
        <v>59</v>
      </c>
      <c r="G623" s="26">
        <f>SUMIFS(INDEX(元データ_14項目!$D$2:$Q$1300,0,MATCH($B623,元データ_14項目!$D$1:$Q$1,0)),元データ_14項目!$A$2:$A$1300,$A623,元データ_14項目!$B$2:$B$1300,"本年",元データ_14項目!$C$2:$C$1300,G$5)</f>
        <v>30</v>
      </c>
      <c r="H623" s="26">
        <f>SUMIFS(INDEX(元データ_14項目!$D$2:$Q$1300,0,MATCH($B623,元データ_14項目!$D$1:$Q$1,0)),元データ_14項目!$A$2:$A$1300,$A623,元データ_14項目!$B$2:$B$1300,"本年",元データ_14項目!$C$2:$C$1300,H$5)</f>
        <v>38</v>
      </c>
      <c r="I623" s="26">
        <f>SUMIFS(INDEX(元データ_14項目!$D$2:$Q$1300,0,MATCH($B623,元データ_14項目!$D$1:$Q$1,0)),元データ_14項目!$A$2:$A$1300,$A623,元データ_14項目!$B$2:$B$1300,"本年",元データ_14項目!$C$2:$C$1300,I$5)</f>
        <v>21</v>
      </c>
      <c r="J623" s="26">
        <f>SUMIFS(INDEX(元データ_14項目!$D$2:$Q$1300,0,MATCH($B623,元データ_14項目!$D$1:$Q$1,0)),元データ_14項目!$A$2:$A$1300,$A623,元データ_14項目!$B$2:$B$1300,"本年",元データ_14項目!$C$2:$C$1300,J$5)</f>
        <v>31</v>
      </c>
      <c r="K623" s="26">
        <f>SUMIFS(INDEX(元データ_14項目!$D$2:$Q$1300,0,MATCH($B623,元データ_14項目!$D$1:$Q$1,0)),元データ_14項目!$A$2:$A$1300,$A623,元データ_14項目!$B$2:$B$1300,"本年",元データ_14項目!$C$2:$C$1300,K$5)</f>
        <v>52</v>
      </c>
      <c r="L623" s="26">
        <f>SUMIFS(INDEX(元データ_14項目!$D$2:$Q$1300,0,MATCH($B623,元データ_14項目!$D$1:$Q$1,0)),元データ_14項目!$A$2:$A$1300,$A623,元データ_14項目!$B$2:$B$1300,"本年",元データ_14項目!$C$2:$C$1300,L$5)</f>
        <v>59</v>
      </c>
      <c r="M623" s="26">
        <f>SUMIFS(INDEX(元データ_14項目!$D$2:$Q$1300,0,MATCH($B623,元データ_14項目!$D$1:$Q$1,0)),元データ_14項目!$A$2:$A$1300,$A623,元データ_14項目!$B$2:$B$1300,"本年",元データ_14項目!$C$2:$C$1300,M$5)</f>
        <v>47</v>
      </c>
      <c r="N623" s="26">
        <f>SUMIFS(INDEX(元データ_14項目!$D$2:$Q$1300,0,MATCH($B623,元データ_14項目!$D$1:$Q$1,0)),元データ_14項目!$A$2:$A$1300,$A623,元データ_14項目!$B$2:$B$1300,"本年",元データ_14項目!$C$2:$C$1300,N$5)</f>
        <v>61</v>
      </c>
      <c r="O623" s="26">
        <f t="shared" si="18"/>
        <v>556</v>
      </c>
      <c r="P623" s="26">
        <f>SUMIFS(INDEX(元データ_14項目!$D$2:$Q$1300,0,MATCH($B623,元データ_14項目!$D$1:$Q$1,0)),元データ_14項目!$A$2:$A$1300,$A623,元データ_14項目!$B$2:$B$1300,"前年")</f>
        <v>539</v>
      </c>
      <c r="Q623" s="7">
        <f t="shared" si="19"/>
        <v>1.0315398886827458</v>
      </c>
    </row>
    <row r="624" spans="1:17" x14ac:dyDescent="0.45">
      <c r="A624" t="s">
        <v>79</v>
      </c>
      <c r="B624" t="s">
        <v>89</v>
      </c>
      <c r="C624" s="26">
        <f>SUMIFS(INDEX(元データ_14項目!$D$2:$Q$1300,0,MATCH($B624,元データ_14項目!$D$1:$Q$1,0)),元データ_14項目!$A$2:$A$1300,$A624,元データ_14項目!$B$2:$B$1300,"本年",元データ_14項目!$C$2:$C$1300,C$5)</f>
        <v>36</v>
      </c>
      <c r="D624" s="26">
        <f>SUMIFS(INDEX(元データ_14項目!$D$2:$Q$1300,0,MATCH($B624,元データ_14項目!$D$1:$Q$1,0)),元データ_14項目!$A$2:$A$1300,$A624,元データ_14項目!$B$2:$B$1300,"本年",元データ_14項目!$C$2:$C$1300,D$5)</f>
        <v>33</v>
      </c>
      <c r="E624" s="26">
        <f>SUMIFS(INDEX(元データ_14項目!$D$2:$Q$1300,0,MATCH($B624,元データ_14項目!$D$1:$Q$1,0)),元データ_14項目!$A$2:$A$1300,$A624,元データ_14項目!$B$2:$B$1300,"本年",元データ_14項目!$C$2:$C$1300,E$5)</f>
        <v>61</v>
      </c>
      <c r="F624" s="26">
        <f>SUMIFS(INDEX(元データ_14項目!$D$2:$Q$1300,0,MATCH($B624,元データ_14項目!$D$1:$Q$1,0)),元データ_14項目!$A$2:$A$1300,$A624,元データ_14項目!$B$2:$B$1300,"本年",元データ_14項目!$C$2:$C$1300,F$5)</f>
        <v>40</v>
      </c>
      <c r="G624" s="26">
        <f>SUMIFS(INDEX(元データ_14項目!$D$2:$Q$1300,0,MATCH($B624,元データ_14項目!$D$1:$Q$1,0)),元データ_14項目!$A$2:$A$1300,$A624,元データ_14項目!$B$2:$B$1300,"本年",元データ_14項目!$C$2:$C$1300,G$5)</f>
        <v>34</v>
      </c>
      <c r="H624" s="26">
        <f>SUMIFS(INDEX(元データ_14項目!$D$2:$Q$1300,0,MATCH($B624,元データ_14項目!$D$1:$Q$1,0)),元データ_14項目!$A$2:$A$1300,$A624,元データ_14項目!$B$2:$B$1300,"本年",元データ_14項目!$C$2:$C$1300,H$5)</f>
        <v>21</v>
      </c>
      <c r="I624" s="26">
        <f>SUMIFS(INDEX(元データ_14項目!$D$2:$Q$1300,0,MATCH($B624,元データ_14項目!$D$1:$Q$1,0)),元データ_14項目!$A$2:$A$1300,$A624,元データ_14項目!$B$2:$B$1300,"本年",元データ_14項目!$C$2:$C$1300,I$5)</f>
        <v>12</v>
      </c>
      <c r="J624" s="26">
        <f>SUMIFS(INDEX(元データ_14項目!$D$2:$Q$1300,0,MATCH($B624,元データ_14項目!$D$1:$Q$1,0)),元データ_14項目!$A$2:$A$1300,$A624,元データ_14項目!$B$2:$B$1300,"本年",元データ_14項目!$C$2:$C$1300,J$5)</f>
        <v>48</v>
      </c>
      <c r="K624" s="26">
        <f>SUMIFS(INDEX(元データ_14項目!$D$2:$Q$1300,0,MATCH($B624,元データ_14項目!$D$1:$Q$1,0)),元データ_14項目!$A$2:$A$1300,$A624,元データ_14項目!$B$2:$B$1300,"本年",元データ_14項目!$C$2:$C$1300,K$5)</f>
        <v>93</v>
      </c>
      <c r="L624" s="26">
        <f>SUMIFS(INDEX(元データ_14項目!$D$2:$Q$1300,0,MATCH($B624,元データ_14項目!$D$1:$Q$1,0)),元データ_14項目!$A$2:$A$1300,$A624,元データ_14項目!$B$2:$B$1300,"本年",元データ_14項目!$C$2:$C$1300,L$5)</f>
        <v>58</v>
      </c>
      <c r="M624" s="26">
        <f>SUMIFS(INDEX(元データ_14項目!$D$2:$Q$1300,0,MATCH($B624,元データ_14項目!$D$1:$Q$1,0)),元データ_14項目!$A$2:$A$1300,$A624,元データ_14項目!$B$2:$B$1300,"本年",元データ_14項目!$C$2:$C$1300,M$5)</f>
        <v>85</v>
      </c>
      <c r="N624" s="26">
        <f>SUMIFS(INDEX(元データ_14項目!$D$2:$Q$1300,0,MATCH($B624,元データ_14項目!$D$1:$Q$1,0)),元データ_14項目!$A$2:$A$1300,$A624,元データ_14項目!$B$2:$B$1300,"本年",元データ_14項目!$C$2:$C$1300,N$5)</f>
        <v>79</v>
      </c>
      <c r="O624" s="26">
        <f t="shared" si="18"/>
        <v>600</v>
      </c>
      <c r="P624" s="26">
        <f>SUMIFS(INDEX(元データ_14項目!$D$2:$Q$1300,0,MATCH($B624,元データ_14項目!$D$1:$Q$1,0)),元データ_14項目!$A$2:$A$1300,$A624,元データ_14項目!$B$2:$B$1300,"前年")</f>
        <v>629</v>
      </c>
      <c r="Q624" s="7">
        <f t="shared" si="19"/>
        <v>0.95389507154213038</v>
      </c>
    </row>
    <row r="625" spans="1:17" x14ac:dyDescent="0.45">
      <c r="A625" t="s">
        <v>79</v>
      </c>
      <c r="B625" t="s">
        <v>90</v>
      </c>
      <c r="C625" s="26">
        <f>SUMIFS(INDEX(元データ_14項目!$D$2:$Q$1300,0,MATCH($B625,元データ_14項目!$D$1:$Q$1,0)),元データ_14項目!$A$2:$A$1300,$A625,元データ_14項目!$B$2:$B$1300,"本年",元データ_14項目!$C$2:$C$1300,C$5)</f>
        <v>61</v>
      </c>
      <c r="D625" s="26">
        <f>SUMIFS(INDEX(元データ_14項目!$D$2:$Q$1300,0,MATCH($B625,元データ_14項目!$D$1:$Q$1,0)),元データ_14項目!$A$2:$A$1300,$A625,元データ_14項目!$B$2:$B$1300,"本年",元データ_14項目!$C$2:$C$1300,D$5)</f>
        <v>42</v>
      </c>
      <c r="E625" s="26">
        <f>SUMIFS(INDEX(元データ_14項目!$D$2:$Q$1300,0,MATCH($B625,元データ_14項目!$D$1:$Q$1,0)),元データ_14項目!$A$2:$A$1300,$A625,元データ_14項目!$B$2:$B$1300,"本年",元データ_14項目!$C$2:$C$1300,E$5)</f>
        <v>48</v>
      </c>
      <c r="F625" s="26">
        <f>SUMIFS(INDEX(元データ_14項目!$D$2:$Q$1300,0,MATCH($B625,元データ_14項目!$D$1:$Q$1,0)),元データ_14項目!$A$2:$A$1300,$A625,元データ_14項目!$B$2:$B$1300,"本年",元データ_14項目!$C$2:$C$1300,F$5)</f>
        <v>69</v>
      </c>
      <c r="G625" s="26">
        <f>SUMIFS(INDEX(元データ_14項目!$D$2:$Q$1300,0,MATCH($B625,元データ_14項目!$D$1:$Q$1,0)),元データ_14項目!$A$2:$A$1300,$A625,元データ_14項目!$B$2:$B$1300,"本年",元データ_14項目!$C$2:$C$1300,G$5)</f>
        <v>129</v>
      </c>
      <c r="H625" s="26">
        <f>SUMIFS(INDEX(元データ_14項目!$D$2:$Q$1300,0,MATCH($B625,元データ_14項目!$D$1:$Q$1,0)),元データ_14項目!$A$2:$A$1300,$A625,元データ_14項目!$B$2:$B$1300,"本年",元データ_14項目!$C$2:$C$1300,H$5)</f>
        <v>108</v>
      </c>
      <c r="I625" s="26">
        <f>SUMIFS(INDEX(元データ_14項目!$D$2:$Q$1300,0,MATCH($B625,元データ_14項目!$D$1:$Q$1,0)),元データ_14項目!$A$2:$A$1300,$A625,元データ_14項目!$B$2:$B$1300,"本年",元データ_14項目!$C$2:$C$1300,I$5)</f>
        <v>44</v>
      </c>
      <c r="J625" s="26">
        <f>SUMIFS(INDEX(元データ_14項目!$D$2:$Q$1300,0,MATCH($B625,元データ_14項目!$D$1:$Q$1,0)),元データ_14項目!$A$2:$A$1300,$A625,元データ_14項目!$B$2:$B$1300,"本年",元データ_14項目!$C$2:$C$1300,J$5)</f>
        <v>140</v>
      </c>
      <c r="K625" s="26">
        <f>SUMIFS(INDEX(元データ_14項目!$D$2:$Q$1300,0,MATCH($B625,元データ_14項目!$D$1:$Q$1,0)),元データ_14項目!$A$2:$A$1300,$A625,元データ_14項目!$B$2:$B$1300,"本年",元データ_14項目!$C$2:$C$1300,K$5)</f>
        <v>200</v>
      </c>
      <c r="L625" s="26">
        <f>SUMIFS(INDEX(元データ_14項目!$D$2:$Q$1300,0,MATCH($B625,元データ_14項目!$D$1:$Q$1,0)),元データ_14項目!$A$2:$A$1300,$A625,元データ_14項目!$B$2:$B$1300,"本年",元データ_14項目!$C$2:$C$1300,L$5)</f>
        <v>150</v>
      </c>
      <c r="M625" s="26">
        <f>SUMIFS(INDEX(元データ_14項目!$D$2:$Q$1300,0,MATCH($B625,元データ_14項目!$D$1:$Q$1,0)),元データ_14項目!$A$2:$A$1300,$A625,元データ_14項目!$B$2:$B$1300,"本年",元データ_14項目!$C$2:$C$1300,M$5)</f>
        <v>169</v>
      </c>
      <c r="N625" s="26">
        <f>SUMIFS(INDEX(元データ_14項目!$D$2:$Q$1300,0,MATCH($B625,元データ_14項目!$D$1:$Q$1,0)),元データ_14項目!$A$2:$A$1300,$A625,元データ_14項目!$B$2:$B$1300,"本年",元データ_14項目!$C$2:$C$1300,N$5)</f>
        <v>66</v>
      </c>
      <c r="O625" s="26">
        <f t="shared" si="18"/>
        <v>1226</v>
      </c>
      <c r="P625" s="26">
        <f>SUMIFS(INDEX(元データ_14項目!$D$2:$Q$1300,0,MATCH($B625,元データ_14項目!$D$1:$Q$1,0)),元データ_14項目!$A$2:$A$1300,$A625,元データ_14項目!$B$2:$B$1300,"前年")</f>
        <v>1628</v>
      </c>
      <c r="Q625" s="7">
        <f t="shared" si="19"/>
        <v>0.75307125307125311</v>
      </c>
    </row>
    <row r="626" spans="1:17" x14ac:dyDescent="0.45">
      <c r="A626" t="s">
        <v>79</v>
      </c>
      <c r="B626" t="s">
        <v>91</v>
      </c>
      <c r="C626" s="26">
        <f>SUMIFS(INDEX(元データ_14項目!$D$2:$Q$1300,0,MATCH($B626,元データ_14項目!$D$1:$Q$1,0)),元データ_14項目!$A$2:$A$1300,$A626,元データ_14項目!$B$2:$B$1300,"本年",元データ_14項目!$C$2:$C$1300,C$5)</f>
        <v>22</v>
      </c>
      <c r="D626" s="26">
        <f>SUMIFS(INDEX(元データ_14項目!$D$2:$Q$1300,0,MATCH($B626,元データ_14項目!$D$1:$Q$1,0)),元データ_14項目!$A$2:$A$1300,$A626,元データ_14項目!$B$2:$B$1300,"本年",元データ_14項目!$C$2:$C$1300,D$5)</f>
        <v>51</v>
      </c>
      <c r="E626" s="26">
        <f>SUMIFS(INDEX(元データ_14項目!$D$2:$Q$1300,0,MATCH($B626,元データ_14項目!$D$1:$Q$1,0)),元データ_14項目!$A$2:$A$1300,$A626,元データ_14項目!$B$2:$B$1300,"本年",元データ_14項目!$C$2:$C$1300,E$5)</f>
        <v>101</v>
      </c>
      <c r="F626" s="26">
        <f>SUMIFS(INDEX(元データ_14項目!$D$2:$Q$1300,0,MATCH($B626,元データ_14項目!$D$1:$Q$1,0)),元データ_14項目!$A$2:$A$1300,$A626,元データ_14項目!$B$2:$B$1300,"本年",元データ_14項目!$C$2:$C$1300,F$5)</f>
        <v>146</v>
      </c>
      <c r="G626" s="26">
        <f>SUMIFS(INDEX(元データ_14項目!$D$2:$Q$1300,0,MATCH($B626,元データ_14項目!$D$1:$Q$1,0)),元データ_14項目!$A$2:$A$1300,$A626,元データ_14項目!$B$2:$B$1300,"本年",元データ_14項目!$C$2:$C$1300,G$5)</f>
        <v>22</v>
      </c>
      <c r="H626" s="26">
        <f>SUMIFS(INDEX(元データ_14項目!$D$2:$Q$1300,0,MATCH($B626,元データ_14項目!$D$1:$Q$1,0)),元データ_14項目!$A$2:$A$1300,$A626,元データ_14項目!$B$2:$B$1300,"本年",元データ_14項目!$C$2:$C$1300,H$5)</f>
        <v>14</v>
      </c>
      <c r="I626" s="26">
        <f>SUMIFS(INDEX(元データ_14項目!$D$2:$Q$1300,0,MATCH($B626,元データ_14項目!$D$1:$Q$1,0)),元データ_14項目!$A$2:$A$1300,$A626,元データ_14項目!$B$2:$B$1300,"本年",元データ_14項目!$C$2:$C$1300,I$5)</f>
        <v>38</v>
      </c>
      <c r="J626" s="26">
        <f>SUMIFS(INDEX(元データ_14項目!$D$2:$Q$1300,0,MATCH($B626,元データ_14項目!$D$1:$Q$1,0)),元データ_14項目!$A$2:$A$1300,$A626,元データ_14項目!$B$2:$B$1300,"本年",元データ_14項目!$C$2:$C$1300,J$5)</f>
        <v>20</v>
      </c>
      <c r="K626" s="26">
        <f>SUMIFS(INDEX(元データ_14項目!$D$2:$Q$1300,0,MATCH($B626,元データ_14項目!$D$1:$Q$1,0)),元データ_14項目!$A$2:$A$1300,$A626,元データ_14項目!$B$2:$B$1300,"本年",元データ_14項目!$C$2:$C$1300,K$5)</f>
        <v>22</v>
      </c>
      <c r="L626" s="26">
        <f>SUMIFS(INDEX(元データ_14項目!$D$2:$Q$1300,0,MATCH($B626,元データ_14項目!$D$1:$Q$1,0)),元データ_14項目!$A$2:$A$1300,$A626,元データ_14項目!$B$2:$B$1300,"本年",元データ_14項目!$C$2:$C$1300,L$5)</f>
        <v>160</v>
      </c>
      <c r="M626" s="26">
        <f>SUMIFS(INDEX(元データ_14項目!$D$2:$Q$1300,0,MATCH($B626,元データ_14項目!$D$1:$Q$1,0)),元データ_14項目!$A$2:$A$1300,$A626,元データ_14項目!$B$2:$B$1300,"本年",元データ_14項目!$C$2:$C$1300,M$5)</f>
        <v>21</v>
      </c>
      <c r="N626" s="26">
        <f>SUMIFS(INDEX(元データ_14項目!$D$2:$Q$1300,0,MATCH($B626,元データ_14項目!$D$1:$Q$1,0)),元データ_14項目!$A$2:$A$1300,$A626,元データ_14項目!$B$2:$B$1300,"本年",元データ_14項目!$C$2:$C$1300,N$5)</f>
        <v>20</v>
      </c>
      <c r="O626" s="26">
        <f t="shared" si="18"/>
        <v>637</v>
      </c>
      <c r="P626" s="26">
        <f>SUMIFS(INDEX(元データ_14項目!$D$2:$Q$1300,0,MATCH($B626,元データ_14項目!$D$1:$Q$1,0)),元データ_14項目!$A$2:$A$1300,$A626,元データ_14項目!$B$2:$B$1300,"前年")</f>
        <v>418</v>
      </c>
      <c r="Q626" s="7">
        <f t="shared" si="19"/>
        <v>1.5239234449760766</v>
      </c>
    </row>
    <row r="627" spans="1:17" x14ac:dyDescent="0.45">
      <c r="A627" t="s">
        <v>79</v>
      </c>
      <c r="B627" t="s">
        <v>28</v>
      </c>
      <c r="C627" s="26">
        <f>SUMIFS(INDEX(元データ_14項目!$D$2:$Q$1300,0,MATCH($B627,元データ_14項目!$D$1:$Q$1,0)),元データ_14項目!$A$2:$A$1300,$A627,元データ_14項目!$B$2:$B$1300,"本年",元データ_14項目!$C$2:$C$1300,C$5)</f>
        <v>227</v>
      </c>
      <c r="D627" s="26">
        <f>SUMIFS(INDEX(元データ_14項目!$D$2:$Q$1300,0,MATCH($B627,元データ_14項目!$D$1:$Q$1,0)),元データ_14項目!$A$2:$A$1300,$A627,元データ_14項目!$B$2:$B$1300,"本年",元データ_14項目!$C$2:$C$1300,D$5)</f>
        <v>232</v>
      </c>
      <c r="E627" s="26">
        <f>SUMIFS(INDEX(元データ_14項目!$D$2:$Q$1300,0,MATCH($B627,元データ_14項目!$D$1:$Q$1,0)),元データ_14項目!$A$2:$A$1300,$A627,元データ_14項目!$B$2:$B$1300,"本年",元データ_14項目!$C$2:$C$1300,E$5)</f>
        <v>302</v>
      </c>
      <c r="F627" s="26">
        <f>SUMIFS(INDEX(元データ_14項目!$D$2:$Q$1300,0,MATCH($B627,元データ_14項目!$D$1:$Q$1,0)),元データ_14項目!$A$2:$A$1300,$A627,元データ_14項目!$B$2:$B$1300,"本年",元データ_14項目!$C$2:$C$1300,F$5)</f>
        <v>341</v>
      </c>
      <c r="G627" s="26">
        <f>SUMIFS(INDEX(元データ_14項目!$D$2:$Q$1300,0,MATCH($B627,元データ_14項目!$D$1:$Q$1,0)),元データ_14項目!$A$2:$A$1300,$A627,元データ_14項目!$B$2:$B$1300,"本年",元データ_14項目!$C$2:$C$1300,G$5)</f>
        <v>162</v>
      </c>
      <c r="H627" s="26">
        <f>SUMIFS(INDEX(元データ_14項目!$D$2:$Q$1300,0,MATCH($B627,元データ_14項目!$D$1:$Q$1,0)),元データ_14項目!$A$2:$A$1300,$A627,元データ_14項目!$B$2:$B$1300,"本年",元データ_14項目!$C$2:$C$1300,H$5)</f>
        <v>117</v>
      </c>
      <c r="I627" s="26">
        <f>SUMIFS(INDEX(元データ_14項目!$D$2:$Q$1300,0,MATCH($B627,元データ_14項目!$D$1:$Q$1,0)),元データ_14項目!$A$2:$A$1300,$A627,元データ_14項目!$B$2:$B$1300,"本年",元データ_14項目!$C$2:$C$1300,I$5)</f>
        <v>130</v>
      </c>
      <c r="J627" s="26">
        <f>SUMIFS(INDEX(元データ_14項目!$D$2:$Q$1300,0,MATCH($B627,元データ_14項目!$D$1:$Q$1,0)),元データ_14項目!$A$2:$A$1300,$A627,元データ_14項目!$B$2:$B$1300,"本年",元データ_14項目!$C$2:$C$1300,J$5)</f>
        <v>126</v>
      </c>
      <c r="K627" s="26">
        <f>SUMIFS(INDEX(元データ_14項目!$D$2:$Q$1300,0,MATCH($B627,元データ_14項目!$D$1:$Q$1,0)),元データ_14項目!$A$2:$A$1300,$A627,元データ_14項目!$B$2:$B$1300,"本年",元データ_14項目!$C$2:$C$1300,K$5)</f>
        <v>171</v>
      </c>
      <c r="L627" s="26">
        <f>SUMIFS(INDEX(元データ_14項目!$D$2:$Q$1300,0,MATCH($B627,元データ_14項目!$D$1:$Q$1,0)),元データ_14項目!$A$2:$A$1300,$A627,元データ_14項目!$B$2:$B$1300,"本年",元データ_14項目!$C$2:$C$1300,L$5)</f>
        <v>190</v>
      </c>
      <c r="M627" s="26">
        <f>SUMIFS(INDEX(元データ_14項目!$D$2:$Q$1300,0,MATCH($B627,元データ_14項目!$D$1:$Q$1,0)),元データ_14項目!$A$2:$A$1300,$A627,元データ_14項目!$B$2:$B$1300,"本年",元データ_14項目!$C$2:$C$1300,M$5)</f>
        <v>202</v>
      </c>
      <c r="N627" s="26">
        <f>SUMIFS(INDEX(元データ_14項目!$D$2:$Q$1300,0,MATCH($B627,元データ_14項目!$D$1:$Q$1,0)),元データ_14項目!$A$2:$A$1300,$A627,元データ_14項目!$B$2:$B$1300,"本年",元データ_14項目!$C$2:$C$1300,N$5)</f>
        <v>202</v>
      </c>
      <c r="O627" s="26">
        <f t="shared" si="18"/>
        <v>2402</v>
      </c>
      <c r="P627" s="26">
        <f>SUMIFS(INDEX(元データ_14項目!$D$2:$Q$1300,0,MATCH($B627,元データ_14項目!$D$1:$Q$1,0)),元データ_14項目!$A$2:$A$1300,$A627,元データ_14項目!$B$2:$B$1300,"前年")</f>
        <v>2736</v>
      </c>
      <c r="Q627" s="7">
        <f t="shared" si="19"/>
        <v>0.87792397660818711</v>
      </c>
    </row>
    <row r="628" spans="1:17" x14ac:dyDescent="0.45">
      <c r="A628" t="s">
        <v>79</v>
      </c>
      <c r="B628" t="s">
        <v>92</v>
      </c>
      <c r="C628" s="26">
        <f>SUMIFS(INDEX(元データ_14項目!$D$2:$Q$1300,0,MATCH($B628,元データ_14項目!$D$1:$Q$1,0)),元データ_14項目!$A$2:$A$1300,$A628,元データ_14項目!$B$2:$B$1300,"本年",元データ_14項目!$C$2:$C$1300,C$5)</f>
        <v>17</v>
      </c>
      <c r="D628" s="26">
        <f>SUMIFS(INDEX(元データ_14項目!$D$2:$Q$1300,0,MATCH($B628,元データ_14項目!$D$1:$Q$1,0)),元データ_14項目!$A$2:$A$1300,$A628,元データ_14項目!$B$2:$B$1300,"本年",元データ_14項目!$C$2:$C$1300,D$5)</f>
        <v>42</v>
      </c>
      <c r="E628" s="26">
        <f>SUMIFS(INDEX(元データ_14項目!$D$2:$Q$1300,0,MATCH($B628,元データ_14項目!$D$1:$Q$1,0)),元データ_14項目!$A$2:$A$1300,$A628,元データ_14項目!$B$2:$B$1300,"本年",元データ_14項目!$C$2:$C$1300,E$5)</f>
        <v>64</v>
      </c>
      <c r="F628" s="26">
        <f>SUMIFS(INDEX(元データ_14項目!$D$2:$Q$1300,0,MATCH($B628,元データ_14項目!$D$1:$Q$1,0)),元データ_14項目!$A$2:$A$1300,$A628,元データ_14項目!$B$2:$B$1300,"本年",元データ_14項目!$C$2:$C$1300,F$5)</f>
        <v>57</v>
      </c>
      <c r="G628" s="26">
        <f>SUMIFS(INDEX(元データ_14項目!$D$2:$Q$1300,0,MATCH($B628,元データ_14項目!$D$1:$Q$1,0)),元データ_14項目!$A$2:$A$1300,$A628,元データ_14項目!$B$2:$B$1300,"本年",元データ_14項目!$C$2:$C$1300,G$5)</f>
        <v>37</v>
      </c>
      <c r="H628" s="26">
        <f>SUMIFS(INDEX(元データ_14項目!$D$2:$Q$1300,0,MATCH($B628,元データ_14項目!$D$1:$Q$1,0)),元データ_14項目!$A$2:$A$1300,$A628,元データ_14項目!$B$2:$B$1300,"本年",元データ_14項目!$C$2:$C$1300,H$5)</f>
        <v>21</v>
      </c>
      <c r="I628" s="26">
        <f>SUMIFS(INDEX(元データ_14項目!$D$2:$Q$1300,0,MATCH($B628,元データ_14項目!$D$1:$Q$1,0)),元データ_14項目!$A$2:$A$1300,$A628,元データ_14項目!$B$2:$B$1300,"本年",元データ_14項目!$C$2:$C$1300,I$5)</f>
        <v>18</v>
      </c>
      <c r="J628" s="26">
        <f>SUMIFS(INDEX(元データ_14項目!$D$2:$Q$1300,0,MATCH($B628,元データ_14項目!$D$1:$Q$1,0)),元データ_14項目!$A$2:$A$1300,$A628,元データ_14項目!$B$2:$B$1300,"本年",元データ_14項目!$C$2:$C$1300,J$5)</f>
        <v>36</v>
      </c>
      <c r="K628" s="26">
        <f>SUMIFS(INDEX(元データ_14項目!$D$2:$Q$1300,0,MATCH($B628,元データ_14項目!$D$1:$Q$1,0)),元データ_14項目!$A$2:$A$1300,$A628,元データ_14項目!$B$2:$B$1300,"本年",元データ_14項目!$C$2:$C$1300,K$5)</f>
        <v>93</v>
      </c>
      <c r="L628" s="26">
        <f>SUMIFS(INDEX(元データ_14項目!$D$2:$Q$1300,0,MATCH($B628,元データ_14項目!$D$1:$Q$1,0)),元データ_14項目!$A$2:$A$1300,$A628,元データ_14項目!$B$2:$B$1300,"本年",元データ_14項目!$C$2:$C$1300,L$5)</f>
        <v>46</v>
      </c>
      <c r="M628" s="26">
        <f>SUMIFS(INDEX(元データ_14項目!$D$2:$Q$1300,0,MATCH($B628,元データ_14項目!$D$1:$Q$1,0)),元データ_14項目!$A$2:$A$1300,$A628,元データ_14項目!$B$2:$B$1300,"本年",元データ_14項目!$C$2:$C$1300,M$5)</f>
        <v>43</v>
      </c>
      <c r="N628" s="26">
        <f>SUMIFS(INDEX(元データ_14項目!$D$2:$Q$1300,0,MATCH($B628,元データ_14項目!$D$1:$Q$1,0)),元データ_14項目!$A$2:$A$1300,$A628,元データ_14項目!$B$2:$B$1300,"本年",元データ_14項目!$C$2:$C$1300,N$5)</f>
        <v>20</v>
      </c>
      <c r="O628" s="26">
        <f t="shared" si="18"/>
        <v>494</v>
      </c>
      <c r="P628" s="26">
        <f>SUMIFS(INDEX(元データ_14項目!$D$2:$Q$1300,0,MATCH($B628,元データ_14項目!$D$1:$Q$1,0)),元データ_14項目!$A$2:$A$1300,$A628,元データ_14項目!$B$2:$B$1300,"前年")</f>
        <v>452</v>
      </c>
      <c r="Q628" s="7">
        <f t="shared" si="19"/>
        <v>1.0929203539823009</v>
      </c>
    </row>
    <row r="629" spans="1:17" x14ac:dyDescent="0.45">
      <c r="A629" t="s">
        <v>79</v>
      </c>
      <c r="B629" t="s">
        <v>93</v>
      </c>
      <c r="C629" s="26">
        <f>SUMIFS(INDEX(元データ_14項目!$D$2:$Q$1300,0,MATCH($B629,元データ_14項目!$D$1:$Q$1,0)),元データ_14項目!$A$2:$A$1300,$A629,元データ_14項目!$B$2:$B$1300,"本年",元データ_14項目!$C$2:$C$1300,C$5)</f>
        <v>21</v>
      </c>
      <c r="D629" s="26">
        <f>SUMIFS(INDEX(元データ_14項目!$D$2:$Q$1300,0,MATCH($B629,元データ_14項目!$D$1:$Q$1,0)),元データ_14項目!$A$2:$A$1300,$A629,元データ_14項目!$B$2:$B$1300,"本年",元データ_14項目!$C$2:$C$1300,D$5)</f>
        <v>19</v>
      </c>
      <c r="E629" s="26">
        <f>SUMIFS(INDEX(元データ_14項目!$D$2:$Q$1300,0,MATCH($B629,元データ_14項目!$D$1:$Q$1,0)),元データ_14項目!$A$2:$A$1300,$A629,元データ_14項目!$B$2:$B$1300,"本年",元データ_14項目!$C$2:$C$1300,E$5)</f>
        <v>19</v>
      </c>
      <c r="F629" s="26">
        <f>SUMIFS(INDEX(元データ_14項目!$D$2:$Q$1300,0,MATCH($B629,元データ_14項目!$D$1:$Q$1,0)),元データ_14項目!$A$2:$A$1300,$A629,元データ_14項目!$B$2:$B$1300,"本年",元データ_14項目!$C$2:$C$1300,F$5)</f>
        <v>52</v>
      </c>
      <c r="G629" s="26">
        <f>SUMIFS(INDEX(元データ_14項目!$D$2:$Q$1300,0,MATCH($B629,元データ_14項目!$D$1:$Q$1,0)),元データ_14項目!$A$2:$A$1300,$A629,元データ_14項目!$B$2:$B$1300,"本年",元データ_14項目!$C$2:$C$1300,G$5)</f>
        <v>76</v>
      </c>
      <c r="H629" s="26">
        <f>SUMIFS(INDEX(元データ_14項目!$D$2:$Q$1300,0,MATCH($B629,元データ_14項目!$D$1:$Q$1,0)),元データ_14項目!$A$2:$A$1300,$A629,元データ_14項目!$B$2:$B$1300,"本年",元データ_14項目!$C$2:$C$1300,H$5)</f>
        <v>86</v>
      </c>
      <c r="I629" s="26">
        <f>SUMIFS(INDEX(元データ_14項目!$D$2:$Q$1300,0,MATCH($B629,元データ_14項目!$D$1:$Q$1,0)),元データ_14項目!$A$2:$A$1300,$A629,元データ_14項目!$B$2:$B$1300,"本年",元データ_14項目!$C$2:$C$1300,I$5)</f>
        <v>73</v>
      </c>
      <c r="J629" s="26">
        <f>SUMIFS(INDEX(元データ_14項目!$D$2:$Q$1300,0,MATCH($B629,元データ_14項目!$D$1:$Q$1,0)),元データ_14項目!$A$2:$A$1300,$A629,元データ_14項目!$B$2:$B$1300,"本年",元データ_14項目!$C$2:$C$1300,J$5)</f>
        <v>115</v>
      </c>
      <c r="K629" s="26">
        <f>SUMIFS(INDEX(元データ_14項目!$D$2:$Q$1300,0,MATCH($B629,元データ_14項目!$D$1:$Q$1,0)),元データ_14項目!$A$2:$A$1300,$A629,元データ_14項目!$B$2:$B$1300,"本年",元データ_14項目!$C$2:$C$1300,K$5)</f>
        <v>422</v>
      </c>
      <c r="L629" s="26">
        <f>SUMIFS(INDEX(元データ_14項目!$D$2:$Q$1300,0,MATCH($B629,元データ_14項目!$D$1:$Q$1,0)),元データ_14項目!$A$2:$A$1300,$A629,元データ_14項目!$B$2:$B$1300,"本年",元データ_14項目!$C$2:$C$1300,L$5)</f>
        <v>192</v>
      </c>
      <c r="M629" s="26">
        <f>SUMIFS(INDEX(元データ_14項目!$D$2:$Q$1300,0,MATCH($B629,元データ_14項目!$D$1:$Q$1,0)),元データ_14項目!$A$2:$A$1300,$A629,元データ_14項目!$B$2:$B$1300,"本年",元データ_14項目!$C$2:$C$1300,M$5)</f>
        <v>110</v>
      </c>
      <c r="N629" s="26">
        <f>SUMIFS(INDEX(元データ_14項目!$D$2:$Q$1300,0,MATCH($B629,元データ_14項目!$D$1:$Q$1,0)),元データ_14項目!$A$2:$A$1300,$A629,元データ_14項目!$B$2:$B$1300,"本年",元データ_14項目!$C$2:$C$1300,N$5)</f>
        <v>34</v>
      </c>
      <c r="O629" s="26">
        <f t="shared" si="18"/>
        <v>1219</v>
      </c>
      <c r="P629" s="26">
        <f>SUMIFS(INDEX(元データ_14項目!$D$2:$Q$1300,0,MATCH($B629,元データ_14項目!$D$1:$Q$1,0)),元データ_14項目!$A$2:$A$1300,$A629,元データ_14項目!$B$2:$B$1300,"前年")</f>
        <v>1279</v>
      </c>
      <c r="Q629" s="7">
        <f t="shared" si="19"/>
        <v>0.95308835027365124</v>
      </c>
    </row>
    <row r="630" spans="1:17" x14ac:dyDescent="0.45">
      <c r="A630" t="s">
        <v>79</v>
      </c>
      <c r="B630" t="s">
        <v>94</v>
      </c>
      <c r="C630" s="26">
        <f>SUMIFS(INDEX(元データ_14項目!$D$2:$Q$1300,0,MATCH($B630,元データ_14項目!$D$1:$Q$1,0)),元データ_14項目!$A$2:$A$1300,$A630,元データ_14項目!$B$2:$B$1300,"本年",元データ_14項目!$C$2:$C$1300,C$5)</f>
        <v>17</v>
      </c>
      <c r="D630" s="26">
        <f>SUMIFS(INDEX(元データ_14項目!$D$2:$Q$1300,0,MATCH($B630,元データ_14項目!$D$1:$Q$1,0)),元データ_14項目!$A$2:$A$1300,$A630,元データ_14項目!$B$2:$B$1300,"本年",元データ_14項目!$C$2:$C$1300,D$5)</f>
        <v>8</v>
      </c>
      <c r="E630" s="26">
        <f>SUMIFS(INDEX(元データ_14項目!$D$2:$Q$1300,0,MATCH($B630,元データ_14項目!$D$1:$Q$1,0)),元データ_14項目!$A$2:$A$1300,$A630,元データ_14項目!$B$2:$B$1300,"本年",元データ_14項目!$C$2:$C$1300,E$5)</f>
        <v>35</v>
      </c>
      <c r="F630" s="26">
        <f>SUMIFS(INDEX(元データ_14項目!$D$2:$Q$1300,0,MATCH($B630,元データ_14項目!$D$1:$Q$1,0)),元データ_14項目!$A$2:$A$1300,$A630,元データ_14項目!$B$2:$B$1300,"本年",元データ_14項目!$C$2:$C$1300,F$5)</f>
        <v>39</v>
      </c>
      <c r="G630" s="26">
        <f>SUMIFS(INDEX(元データ_14項目!$D$2:$Q$1300,0,MATCH($B630,元データ_14項目!$D$1:$Q$1,0)),元データ_14項目!$A$2:$A$1300,$A630,元データ_14項目!$B$2:$B$1300,"本年",元データ_14項目!$C$2:$C$1300,G$5)</f>
        <v>34</v>
      </c>
      <c r="H630" s="26">
        <f>SUMIFS(INDEX(元データ_14項目!$D$2:$Q$1300,0,MATCH($B630,元データ_14項目!$D$1:$Q$1,0)),元データ_14項目!$A$2:$A$1300,$A630,元データ_14項目!$B$2:$B$1300,"本年",元データ_14項目!$C$2:$C$1300,H$5)</f>
        <v>23</v>
      </c>
      <c r="I630" s="26">
        <f>SUMIFS(INDEX(元データ_14項目!$D$2:$Q$1300,0,MATCH($B630,元データ_14項目!$D$1:$Q$1,0)),元データ_14項目!$A$2:$A$1300,$A630,元データ_14項目!$B$2:$B$1300,"本年",元データ_14項目!$C$2:$C$1300,I$5)</f>
        <v>32</v>
      </c>
      <c r="J630" s="26">
        <f>SUMIFS(INDEX(元データ_14項目!$D$2:$Q$1300,0,MATCH($B630,元データ_14項目!$D$1:$Q$1,0)),元データ_14項目!$A$2:$A$1300,$A630,元データ_14項目!$B$2:$B$1300,"本年",元データ_14項目!$C$2:$C$1300,J$5)</f>
        <v>31</v>
      </c>
      <c r="K630" s="26">
        <f>SUMIFS(INDEX(元データ_14項目!$D$2:$Q$1300,0,MATCH($B630,元データ_14項目!$D$1:$Q$1,0)),元データ_14項目!$A$2:$A$1300,$A630,元データ_14項目!$B$2:$B$1300,"本年",元データ_14項目!$C$2:$C$1300,K$5)</f>
        <v>162</v>
      </c>
      <c r="L630" s="26">
        <f>SUMIFS(INDEX(元データ_14項目!$D$2:$Q$1300,0,MATCH($B630,元データ_14項目!$D$1:$Q$1,0)),元データ_14項目!$A$2:$A$1300,$A630,元データ_14項目!$B$2:$B$1300,"本年",元データ_14項目!$C$2:$C$1300,L$5)</f>
        <v>94</v>
      </c>
      <c r="M630" s="26">
        <f>SUMIFS(INDEX(元データ_14項目!$D$2:$Q$1300,0,MATCH($B630,元データ_14項目!$D$1:$Q$1,0)),元データ_14項目!$A$2:$A$1300,$A630,元データ_14項目!$B$2:$B$1300,"本年",元データ_14項目!$C$2:$C$1300,M$5)</f>
        <v>57</v>
      </c>
      <c r="N630" s="26">
        <f>SUMIFS(INDEX(元データ_14項目!$D$2:$Q$1300,0,MATCH($B630,元データ_14項目!$D$1:$Q$1,0)),元データ_14項目!$A$2:$A$1300,$A630,元データ_14項目!$B$2:$B$1300,"本年",元データ_14項目!$C$2:$C$1300,N$5)</f>
        <v>56</v>
      </c>
      <c r="O630" s="26">
        <f t="shared" si="18"/>
        <v>588</v>
      </c>
      <c r="P630" s="26">
        <f>SUMIFS(INDEX(元データ_14項目!$D$2:$Q$1300,0,MATCH($B630,元データ_14項目!$D$1:$Q$1,0)),元データ_14項目!$A$2:$A$1300,$A630,元データ_14項目!$B$2:$B$1300,"前年")</f>
        <v>645</v>
      </c>
      <c r="Q630" s="7">
        <f t="shared" si="19"/>
        <v>0.91162790697674423</v>
      </c>
    </row>
    <row r="631" spans="1:17" x14ac:dyDescent="0.45">
      <c r="A631" t="s">
        <v>79</v>
      </c>
      <c r="B631" t="s">
        <v>95</v>
      </c>
      <c r="C631" s="26">
        <f>SUMIFS(INDEX(元データ_14項目!$D$2:$Q$1300,0,MATCH($B631,元データ_14項目!$D$1:$Q$1,0)),元データ_14項目!$A$2:$A$1300,$A631,元データ_14項目!$B$2:$B$1300,"本年",元データ_14項目!$C$2:$C$1300,C$5)</f>
        <v>25</v>
      </c>
      <c r="D631" s="26">
        <f>SUMIFS(INDEX(元データ_14項目!$D$2:$Q$1300,0,MATCH($B631,元データ_14項目!$D$1:$Q$1,0)),元データ_14項目!$A$2:$A$1300,$A631,元データ_14項目!$B$2:$B$1300,"本年",元データ_14項目!$C$2:$C$1300,D$5)</f>
        <v>47</v>
      </c>
      <c r="E631" s="26">
        <f>SUMIFS(INDEX(元データ_14項目!$D$2:$Q$1300,0,MATCH($B631,元データ_14項目!$D$1:$Q$1,0)),元データ_14項目!$A$2:$A$1300,$A631,元データ_14項目!$B$2:$B$1300,"本年",元データ_14項目!$C$2:$C$1300,E$5)</f>
        <v>47</v>
      </c>
      <c r="F631" s="26">
        <f>SUMIFS(INDEX(元データ_14項目!$D$2:$Q$1300,0,MATCH($B631,元データ_14項目!$D$1:$Q$1,0)),元データ_14項目!$A$2:$A$1300,$A631,元データ_14項目!$B$2:$B$1300,"本年",元データ_14項目!$C$2:$C$1300,F$5)</f>
        <v>50</v>
      </c>
      <c r="G631" s="26">
        <f>SUMIFS(INDEX(元データ_14項目!$D$2:$Q$1300,0,MATCH($B631,元データ_14項目!$D$1:$Q$1,0)),元データ_14項目!$A$2:$A$1300,$A631,元データ_14項目!$B$2:$B$1300,"本年",元データ_14項目!$C$2:$C$1300,G$5)</f>
        <v>24</v>
      </c>
      <c r="H631" s="26">
        <f>SUMIFS(INDEX(元データ_14項目!$D$2:$Q$1300,0,MATCH($B631,元データ_14項目!$D$1:$Q$1,0)),元データ_14項目!$A$2:$A$1300,$A631,元データ_14項目!$B$2:$B$1300,"本年",元データ_14項目!$C$2:$C$1300,H$5)</f>
        <v>19</v>
      </c>
      <c r="I631" s="26">
        <f>SUMIFS(INDEX(元データ_14項目!$D$2:$Q$1300,0,MATCH($B631,元データ_14項目!$D$1:$Q$1,0)),元データ_14項目!$A$2:$A$1300,$A631,元データ_14項目!$B$2:$B$1300,"本年",元データ_14項目!$C$2:$C$1300,I$5)</f>
        <v>8</v>
      </c>
      <c r="J631" s="26">
        <f>SUMIFS(INDEX(元データ_14項目!$D$2:$Q$1300,0,MATCH($B631,元データ_14項目!$D$1:$Q$1,0)),元データ_14項目!$A$2:$A$1300,$A631,元データ_14項目!$B$2:$B$1300,"本年",元データ_14項目!$C$2:$C$1300,J$5)</f>
        <v>25</v>
      </c>
      <c r="K631" s="26">
        <f>SUMIFS(INDEX(元データ_14項目!$D$2:$Q$1300,0,MATCH($B631,元データ_14項目!$D$1:$Q$1,0)),元データ_14項目!$A$2:$A$1300,$A631,元データ_14項目!$B$2:$B$1300,"本年",元データ_14項目!$C$2:$C$1300,K$5)</f>
        <v>72</v>
      </c>
      <c r="L631" s="26">
        <f>SUMIFS(INDEX(元データ_14項目!$D$2:$Q$1300,0,MATCH($B631,元データ_14項目!$D$1:$Q$1,0)),元データ_14項目!$A$2:$A$1300,$A631,元データ_14項目!$B$2:$B$1300,"本年",元データ_14項目!$C$2:$C$1300,L$5)</f>
        <v>35</v>
      </c>
      <c r="M631" s="26">
        <f>SUMIFS(INDEX(元データ_14項目!$D$2:$Q$1300,0,MATCH($B631,元データ_14項目!$D$1:$Q$1,0)),元データ_14項目!$A$2:$A$1300,$A631,元データ_14項目!$B$2:$B$1300,"本年",元データ_14項目!$C$2:$C$1300,M$5)</f>
        <v>49</v>
      </c>
      <c r="N631" s="26">
        <f>SUMIFS(INDEX(元データ_14項目!$D$2:$Q$1300,0,MATCH($B631,元データ_14項目!$D$1:$Q$1,0)),元データ_14項目!$A$2:$A$1300,$A631,元データ_14項目!$B$2:$B$1300,"本年",元データ_14項目!$C$2:$C$1300,N$5)</f>
        <v>24</v>
      </c>
      <c r="O631" s="26">
        <f t="shared" si="18"/>
        <v>425</v>
      </c>
      <c r="P631" s="26">
        <f>SUMIFS(INDEX(元データ_14項目!$D$2:$Q$1300,0,MATCH($B631,元データ_14項目!$D$1:$Q$1,0)),元データ_14項目!$A$2:$A$1300,$A631,元データ_14項目!$B$2:$B$1300,"前年")</f>
        <v>437</v>
      </c>
      <c r="Q631" s="7">
        <f t="shared" si="19"/>
        <v>0.97254004576659037</v>
      </c>
    </row>
    <row r="632" spans="1:17" x14ac:dyDescent="0.45">
      <c r="A632" t="s">
        <v>79</v>
      </c>
      <c r="B632" t="s">
        <v>96</v>
      </c>
      <c r="C632" s="26">
        <f>SUMIFS(INDEX(元データ_14項目!$D$2:$Q$1300,0,MATCH($B632,元データ_14項目!$D$1:$Q$1,0)),元データ_14項目!$A$2:$A$1300,$A632,元データ_14項目!$B$2:$B$1300,"本年",元データ_14項目!$C$2:$C$1300,C$5)</f>
        <v>15</v>
      </c>
      <c r="D632" s="26">
        <f>SUMIFS(INDEX(元データ_14項目!$D$2:$Q$1300,0,MATCH($B632,元データ_14項目!$D$1:$Q$1,0)),元データ_14項目!$A$2:$A$1300,$A632,元データ_14項目!$B$2:$B$1300,"本年",元データ_14項目!$C$2:$C$1300,D$5)</f>
        <v>24</v>
      </c>
      <c r="E632" s="26">
        <f>SUMIFS(INDEX(元データ_14項目!$D$2:$Q$1300,0,MATCH($B632,元データ_14項目!$D$1:$Q$1,0)),元データ_14項目!$A$2:$A$1300,$A632,元データ_14項目!$B$2:$B$1300,"本年",元データ_14項目!$C$2:$C$1300,E$5)</f>
        <v>21</v>
      </c>
      <c r="F632" s="26">
        <f>SUMIFS(INDEX(元データ_14項目!$D$2:$Q$1300,0,MATCH($B632,元データ_14項目!$D$1:$Q$1,0)),元データ_14項目!$A$2:$A$1300,$A632,元データ_14項目!$B$2:$B$1300,"本年",元データ_14項目!$C$2:$C$1300,F$5)</f>
        <v>35</v>
      </c>
      <c r="G632" s="26">
        <f>SUMIFS(INDEX(元データ_14項目!$D$2:$Q$1300,0,MATCH($B632,元データ_14項目!$D$1:$Q$1,0)),元データ_14項目!$A$2:$A$1300,$A632,元データ_14項目!$B$2:$B$1300,"本年",元データ_14項目!$C$2:$C$1300,G$5)</f>
        <v>38</v>
      </c>
      <c r="H632" s="26">
        <f>SUMIFS(INDEX(元データ_14項目!$D$2:$Q$1300,0,MATCH($B632,元データ_14項目!$D$1:$Q$1,0)),元データ_14項目!$A$2:$A$1300,$A632,元データ_14項目!$B$2:$B$1300,"本年",元データ_14項目!$C$2:$C$1300,H$5)</f>
        <v>28</v>
      </c>
      <c r="I632" s="26">
        <f>SUMIFS(INDEX(元データ_14項目!$D$2:$Q$1300,0,MATCH($B632,元データ_14項目!$D$1:$Q$1,0)),元データ_14項目!$A$2:$A$1300,$A632,元データ_14項目!$B$2:$B$1300,"本年",元データ_14項目!$C$2:$C$1300,I$5)</f>
        <v>23</v>
      </c>
      <c r="J632" s="26">
        <f>SUMIFS(INDEX(元データ_14項目!$D$2:$Q$1300,0,MATCH($B632,元データ_14項目!$D$1:$Q$1,0)),元データ_14項目!$A$2:$A$1300,$A632,元データ_14項目!$B$2:$B$1300,"本年",元データ_14項目!$C$2:$C$1300,J$5)</f>
        <v>112</v>
      </c>
      <c r="K632" s="26">
        <f>SUMIFS(INDEX(元データ_14項目!$D$2:$Q$1300,0,MATCH($B632,元データ_14項目!$D$1:$Q$1,0)),元データ_14項目!$A$2:$A$1300,$A632,元データ_14項目!$B$2:$B$1300,"本年",元データ_14項目!$C$2:$C$1300,K$5)</f>
        <v>278</v>
      </c>
      <c r="L632" s="26">
        <f>SUMIFS(INDEX(元データ_14項目!$D$2:$Q$1300,0,MATCH($B632,元データ_14項目!$D$1:$Q$1,0)),元データ_14項目!$A$2:$A$1300,$A632,元データ_14項目!$B$2:$B$1300,"本年",元データ_14項目!$C$2:$C$1300,L$5)</f>
        <v>117</v>
      </c>
      <c r="M632" s="26">
        <f>SUMIFS(INDEX(元データ_14項目!$D$2:$Q$1300,0,MATCH($B632,元データ_14項目!$D$1:$Q$1,0)),元データ_14項目!$A$2:$A$1300,$A632,元データ_14項目!$B$2:$B$1300,"本年",元データ_14項目!$C$2:$C$1300,M$5)</f>
        <v>59</v>
      </c>
      <c r="N632" s="26">
        <f>SUMIFS(INDEX(元データ_14項目!$D$2:$Q$1300,0,MATCH($B632,元データ_14項目!$D$1:$Q$1,0)),元データ_14項目!$A$2:$A$1300,$A632,元データ_14項目!$B$2:$B$1300,"本年",元データ_14項目!$C$2:$C$1300,N$5)</f>
        <v>44</v>
      </c>
      <c r="O632" s="26">
        <f t="shared" si="18"/>
        <v>794</v>
      </c>
      <c r="P632" s="26">
        <f>SUMIFS(INDEX(元データ_14項目!$D$2:$Q$1300,0,MATCH($B632,元データ_14項目!$D$1:$Q$1,0)),元データ_14項目!$A$2:$A$1300,$A632,元データ_14項目!$B$2:$B$1300,"前年")</f>
        <v>888</v>
      </c>
      <c r="Q632" s="7">
        <f t="shared" si="19"/>
        <v>0.89414414414414412</v>
      </c>
    </row>
    <row r="633" spans="1:17" x14ac:dyDescent="0.45">
      <c r="A633" t="s">
        <v>79</v>
      </c>
      <c r="B633" t="s">
        <v>97</v>
      </c>
      <c r="C633" s="26">
        <f>SUMIFS(INDEX(元データ_14項目!$D$2:$Q$1300,0,MATCH($B633,元データ_14項目!$D$1:$Q$1,0)),元データ_14項目!$A$2:$A$1300,$A633,元データ_14項目!$B$2:$B$1300,"本年",元データ_14項目!$C$2:$C$1300,C$5)</f>
        <v>13</v>
      </c>
      <c r="D633" s="26">
        <f>SUMIFS(INDEX(元データ_14項目!$D$2:$Q$1300,0,MATCH($B633,元データ_14項目!$D$1:$Q$1,0)),元データ_14項目!$A$2:$A$1300,$A633,元データ_14項目!$B$2:$B$1300,"本年",元データ_14項目!$C$2:$C$1300,D$5)</f>
        <v>28</v>
      </c>
      <c r="E633" s="26">
        <f>SUMIFS(INDEX(元データ_14項目!$D$2:$Q$1300,0,MATCH($B633,元データ_14項目!$D$1:$Q$1,0)),元データ_14項目!$A$2:$A$1300,$A633,元データ_14項目!$B$2:$B$1300,"本年",元データ_14項目!$C$2:$C$1300,E$5)</f>
        <v>55</v>
      </c>
      <c r="F633" s="26">
        <f>SUMIFS(INDEX(元データ_14項目!$D$2:$Q$1300,0,MATCH($B633,元データ_14項目!$D$1:$Q$1,0)),元データ_14項目!$A$2:$A$1300,$A633,元データ_14項目!$B$2:$B$1300,"本年",元データ_14項目!$C$2:$C$1300,F$5)</f>
        <v>62</v>
      </c>
      <c r="G633" s="26">
        <f>SUMIFS(INDEX(元データ_14項目!$D$2:$Q$1300,0,MATCH($B633,元データ_14項目!$D$1:$Q$1,0)),元データ_14項目!$A$2:$A$1300,$A633,元データ_14項目!$B$2:$B$1300,"本年",元データ_14項目!$C$2:$C$1300,G$5)</f>
        <v>52</v>
      </c>
      <c r="H633" s="26">
        <f>SUMIFS(INDEX(元データ_14項目!$D$2:$Q$1300,0,MATCH($B633,元データ_14項目!$D$1:$Q$1,0)),元データ_14項目!$A$2:$A$1300,$A633,元データ_14項目!$B$2:$B$1300,"本年",元データ_14項目!$C$2:$C$1300,H$5)</f>
        <v>29</v>
      </c>
      <c r="I633" s="26">
        <f>SUMIFS(INDEX(元データ_14項目!$D$2:$Q$1300,0,MATCH($B633,元データ_14項目!$D$1:$Q$1,0)),元データ_14項目!$A$2:$A$1300,$A633,元データ_14項目!$B$2:$B$1300,"本年",元データ_14項目!$C$2:$C$1300,I$5)</f>
        <v>20</v>
      </c>
      <c r="J633" s="26">
        <f>SUMIFS(INDEX(元データ_14項目!$D$2:$Q$1300,0,MATCH($B633,元データ_14項目!$D$1:$Q$1,0)),元データ_14項目!$A$2:$A$1300,$A633,元データ_14項目!$B$2:$B$1300,"本年",元データ_14項目!$C$2:$C$1300,J$5)</f>
        <v>112</v>
      </c>
      <c r="K633" s="26">
        <f>SUMIFS(INDEX(元データ_14項目!$D$2:$Q$1300,0,MATCH($B633,元データ_14項目!$D$1:$Q$1,0)),元データ_14項目!$A$2:$A$1300,$A633,元データ_14項目!$B$2:$B$1300,"本年",元データ_14項目!$C$2:$C$1300,K$5)</f>
        <v>294</v>
      </c>
      <c r="L633" s="26">
        <f>SUMIFS(INDEX(元データ_14項目!$D$2:$Q$1300,0,MATCH($B633,元データ_14項目!$D$1:$Q$1,0)),元データ_14項目!$A$2:$A$1300,$A633,元データ_14項目!$B$2:$B$1300,"本年",元データ_14項目!$C$2:$C$1300,L$5)</f>
        <v>233</v>
      </c>
      <c r="M633" s="26">
        <f>SUMIFS(INDEX(元データ_14項目!$D$2:$Q$1300,0,MATCH($B633,元データ_14項目!$D$1:$Q$1,0)),元データ_14項目!$A$2:$A$1300,$A633,元データ_14項目!$B$2:$B$1300,"本年",元データ_14項目!$C$2:$C$1300,M$5)</f>
        <v>106</v>
      </c>
      <c r="N633" s="26">
        <f>SUMIFS(INDEX(元データ_14項目!$D$2:$Q$1300,0,MATCH($B633,元データ_14項目!$D$1:$Q$1,0)),元データ_14項目!$A$2:$A$1300,$A633,元データ_14項目!$B$2:$B$1300,"本年",元データ_14項目!$C$2:$C$1300,N$5)</f>
        <v>60</v>
      </c>
      <c r="O633" s="26">
        <f t="shared" si="18"/>
        <v>1064</v>
      </c>
      <c r="P633" s="26">
        <f>SUMIFS(INDEX(元データ_14項目!$D$2:$Q$1300,0,MATCH($B633,元データ_14項目!$D$1:$Q$1,0)),元データ_14項目!$A$2:$A$1300,$A633,元データ_14項目!$B$2:$B$1300,"前年")</f>
        <v>1101</v>
      </c>
      <c r="Q633" s="7">
        <f t="shared" si="19"/>
        <v>0.96639418710263392</v>
      </c>
    </row>
    <row r="634" spans="1:17" x14ac:dyDescent="0.45">
      <c r="A634" t="s">
        <v>79</v>
      </c>
      <c r="B634" t="s">
        <v>98</v>
      </c>
      <c r="C634" s="26">
        <f>SUMIFS(INDEX(元データ_14項目!$D$2:$Q$1300,0,MATCH($B634,元データ_14項目!$D$1:$Q$1,0)),元データ_14項目!$A$2:$A$1300,$A634,元データ_14項目!$B$2:$B$1300,"本年",元データ_14項目!$C$2:$C$1300,C$5)</f>
        <v>4</v>
      </c>
      <c r="D634" s="26">
        <f>SUMIFS(INDEX(元データ_14項目!$D$2:$Q$1300,0,MATCH($B634,元データ_14項目!$D$1:$Q$1,0)),元データ_14項目!$A$2:$A$1300,$A634,元データ_14項目!$B$2:$B$1300,"本年",元データ_14項目!$C$2:$C$1300,D$5)</f>
        <v>9</v>
      </c>
      <c r="E634" s="26">
        <f>SUMIFS(INDEX(元データ_14項目!$D$2:$Q$1300,0,MATCH($B634,元データ_14項目!$D$1:$Q$1,0)),元データ_14項目!$A$2:$A$1300,$A634,元データ_14項目!$B$2:$B$1300,"本年",元データ_14項目!$C$2:$C$1300,E$5)</f>
        <v>8</v>
      </c>
      <c r="F634" s="26">
        <f>SUMIFS(INDEX(元データ_14項目!$D$2:$Q$1300,0,MATCH($B634,元データ_14項目!$D$1:$Q$1,0)),元データ_14項目!$A$2:$A$1300,$A634,元データ_14項目!$B$2:$B$1300,"本年",元データ_14項目!$C$2:$C$1300,F$5)</f>
        <v>13</v>
      </c>
      <c r="G634" s="26">
        <f>SUMIFS(INDEX(元データ_14項目!$D$2:$Q$1300,0,MATCH($B634,元データ_14項目!$D$1:$Q$1,0)),元データ_14項目!$A$2:$A$1300,$A634,元データ_14項目!$B$2:$B$1300,"本年",元データ_14項目!$C$2:$C$1300,G$5)</f>
        <v>16</v>
      </c>
      <c r="H634" s="26">
        <f>SUMIFS(INDEX(元データ_14項目!$D$2:$Q$1300,0,MATCH($B634,元データ_14項目!$D$1:$Q$1,0)),元データ_14項目!$A$2:$A$1300,$A634,元データ_14項目!$B$2:$B$1300,"本年",元データ_14項目!$C$2:$C$1300,H$5)</f>
        <v>5</v>
      </c>
      <c r="I634" s="26">
        <f>SUMIFS(INDEX(元データ_14項目!$D$2:$Q$1300,0,MATCH($B634,元データ_14項目!$D$1:$Q$1,0)),元データ_14項目!$A$2:$A$1300,$A634,元データ_14項目!$B$2:$B$1300,"本年",元データ_14項目!$C$2:$C$1300,I$5)</f>
        <v>21</v>
      </c>
      <c r="J634" s="26">
        <f>SUMIFS(INDEX(元データ_14項目!$D$2:$Q$1300,0,MATCH($B634,元データ_14項目!$D$1:$Q$1,0)),元データ_14項目!$A$2:$A$1300,$A634,元データ_14項目!$B$2:$B$1300,"本年",元データ_14項目!$C$2:$C$1300,J$5)</f>
        <v>95</v>
      </c>
      <c r="K634" s="26">
        <f>SUMIFS(INDEX(元データ_14項目!$D$2:$Q$1300,0,MATCH($B634,元データ_14項目!$D$1:$Q$1,0)),元データ_14項目!$A$2:$A$1300,$A634,元データ_14項目!$B$2:$B$1300,"本年",元データ_14項目!$C$2:$C$1300,K$5)</f>
        <v>198</v>
      </c>
      <c r="L634" s="26">
        <f>SUMIFS(INDEX(元データ_14項目!$D$2:$Q$1300,0,MATCH($B634,元データ_14項目!$D$1:$Q$1,0)),元データ_14項目!$A$2:$A$1300,$A634,元データ_14項目!$B$2:$B$1300,"本年",元データ_14項目!$C$2:$C$1300,L$5)</f>
        <v>112</v>
      </c>
      <c r="M634" s="26">
        <f>SUMIFS(INDEX(元データ_14項目!$D$2:$Q$1300,0,MATCH($B634,元データ_14項目!$D$1:$Q$1,0)),元データ_14項目!$A$2:$A$1300,$A634,元データ_14項目!$B$2:$B$1300,"本年",元データ_14項目!$C$2:$C$1300,M$5)</f>
        <v>44</v>
      </c>
      <c r="N634" s="26">
        <f>SUMIFS(INDEX(元データ_14項目!$D$2:$Q$1300,0,MATCH($B634,元データ_14項目!$D$1:$Q$1,0)),元データ_14項目!$A$2:$A$1300,$A634,元データ_14項目!$B$2:$B$1300,"本年",元データ_14項目!$C$2:$C$1300,N$5)</f>
        <v>29</v>
      </c>
      <c r="O634" s="26">
        <f t="shared" si="18"/>
        <v>554</v>
      </c>
      <c r="P634" s="26">
        <f>SUMIFS(INDEX(元データ_14項目!$D$2:$Q$1300,0,MATCH($B634,元データ_14項目!$D$1:$Q$1,0)),元データ_14項目!$A$2:$A$1300,$A634,元データ_14項目!$B$2:$B$1300,"前年")</f>
        <v>609</v>
      </c>
      <c r="Q634" s="7">
        <f t="shared" si="19"/>
        <v>0.909688013136289</v>
      </c>
    </row>
    <row r="635" spans="1:17" x14ac:dyDescent="0.45">
      <c r="A635" t="s">
        <v>79</v>
      </c>
      <c r="B635" t="s">
        <v>99</v>
      </c>
      <c r="C635" s="26">
        <f>SUMIFS(INDEX(元データ_14項目!$D$2:$Q$1300,0,MATCH($B635,元データ_14項目!$D$1:$Q$1,0)),元データ_14項目!$A$2:$A$1300,$A635,元データ_14項目!$B$2:$B$1300,"本年",元データ_14項目!$C$2:$C$1300,C$5)</f>
        <v>0</v>
      </c>
      <c r="D635" s="26">
        <f>SUMIFS(INDEX(元データ_14項目!$D$2:$Q$1300,0,MATCH($B635,元データ_14項目!$D$1:$Q$1,0)),元データ_14項目!$A$2:$A$1300,$A635,元データ_14項目!$B$2:$B$1300,"本年",元データ_14項目!$C$2:$C$1300,D$5)</f>
        <v>0</v>
      </c>
      <c r="E635" s="26">
        <f>SUMIFS(INDEX(元データ_14項目!$D$2:$Q$1300,0,MATCH($B635,元データ_14項目!$D$1:$Q$1,0)),元データ_14項目!$A$2:$A$1300,$A635,元データ_14項目!$B$2:$B$1300,"本年",元データ_14項目!$C$2:$C$1300,E$5)</f>
        <v>0</v>
      </c>
      <c r="F635" s="26">
        <f>SUMIFS(INDEX(元データ_14項目!$D$2:$Q$1300,0,MATCH($B635,元データ_14項目!$D$1:$Q$1,0)),元データ_14項目!$A$2:$A$1300,$A635,元データ_14項目!$B$2:$B$1300,"本年",元データ_14項目!$C$2:$C$1300,F$5)</f>
        <v>0</v>
      </c>
      <c r="G635" s="26">
        <f>SUMIFS(INDEX(元データ_14項目!$D$2:$Q$1300,0,MATCH($B635,元データ_14項目!$D$1:$Q$1,0)),元データ_14項目!$A$2:$A$1300,$A635,元データ_14項目!$B$2:$B$1300,"本年",元データ_14項目!$C$2:$C$1300,G$5)</f>
        <v>2</v>
      </c>
      <c r="H635" s="26">
        <f>SUMIFS(INDEX(元データ_14項目!$D$2:$Q$1300,0,MATCH($B635,元データ_14項目!$D$1:$Q$1,0)),元データ_14項目!$A$2:$A$1300,$A635,元データ_14項目!$B$2:$B$1300,"本年",元データ_14項目!$C$2:$C$1300,H$5)</f>
        <v>5</v>
      </c>
      <c r="I635" s="26">
        <f>SUMIFS(INDEX(元データ_14項目!$D$2:$Q$1300,0,MATCH($B635,元データ_14項目!$D$1:$Q$1,0)),元データ_14項目!$A$2:$A$1300,$A635,元データ_14項目!$B$2:$B$1300,"本年",元データ_14項目!$C$2:$C$1300,I$5)</f>
        <v>7</v>
      </c>
      <c r="J635" s="26">
        <f>SUMIFS(INDEX(元データ_14項目!$D$2:$Q$1300,0,MATCH($B635,元データ_14項目!$D$1:$Q$1,0)),元データ_14項目!$A$2:$A$1300,$A635,元データ_14項目!$B$2:$B$1300,"本年",元データ_14項目!$C$2:$C$1300,J$5)</f>
        <v>6</v>
      </c>
      <c r="K635" s="26">
        <f>SUMIFS(INDEX(元データ_14項目!$D$2:$Q$1300,0,MATCH($B635,元データ_14項目!$D$1:$Q$1,0)),元データ_14項目!$A$2:$A$1300,$A635,元データ_14項目!$B$2:$B$1300,"本年",元データ_14項目!$C$2:$C$1300,K$5)</f>
        <v>11</v>
      </c>
      <c r="L635" s="26">
        <f>SUMIFS(INDEX(元データ_14項目!$D$2:$Q$1300,0,MATCH($B635,元データ_14項目!$D$1:$Q$1,0)),元データ_14項目!$A$2:$A$1300,$A635,元データ_14項目!$B$2:$B$1300,"本年",元データ_14項目!$C$2:$C$1300,L$5)</f>
        <v>23</v>
      </c>
      <c r="M635" s="26">
        <f>SUMIFS(INDEX(元データ_14項目!$D$2:$Q$1300,0,MATCH($B635,元データ_14項目!$D$1:$Q$1,0)),元データ_14項目!$A$2:$A$1300,$A635,元データ_14項目!$B$2:$B$1300,"本年",元データ_14項目!$C$2:$C$1300,M$5)</f>
        <v>4</v>
      </c>
      <c r="N635" s="26">
        <f>SUMIFS(INDEX(元データ_14項目!$D$2:$Q$1300,0,MATCH($B635,元データ_14項目!$D$1:$Q$1,0)),元データ_14項目!$A$2:$A$1300,$A635,元データ_14項目!$B$2:$B$1300,"本年",元データ_14項目!$C$2:$C$1300,N$5)</f>
        <v>0</v>
      </c>
      <c r="O635" s="26">
        <f t="shared" si="18"/>
        <v>58</v>
      </c>
      <c r="P635" s="26">
        <f>SUMIFS(INDEX(元データ_14項目!$D$2:$Q$1300,0,MATCH($B635,元データ_14項目!$D$1:$Q$1,0)),元データ_14項目!$A$2:$A$1300,$A635,元データ_14項目!$B$2:$B$1300,"前年")</f>
        <v>62</v>
      </c>
      <c r="Q635" s="7">
        <f t="shared" si="19"/>
        <v>0.93548387096774188</v>
      </c>
    </row>
    <row r="636" spans="1:17" x14ac:dyDescent="0.45">
      <c r="A636" t="s">
        <v>80</v>
      </c>
      <c r="B636" t="s">
        <v>27</v>
      </c>
      <c r="C636" s="26">
        <f>SUMIFS(INDEX(元データ_14項目!$D$2:$Q$1300,0,MATCH($B636,元データ_14項目!$D$1:$Q$1,0)),元データ_14項目!$A$2:$A$1300,$A636,元データ_14項目!$B$2:$B$1300,"本年",元データ_14項目!$C$2:$C$1300,C$5)</f>
        <v>271</v>
      </c>
      <c r="D636" s="26">
        <f>SUMIFS(INDEX(元データ_14項目!$D$2:$Q$1300,0,MATCH($B636,元データ_14項目!$D$1:$Q$1,0)),元データ_14項目!$A$2:$A$1300,$A636,元データ_14項目!$B$2:$B$1300,"本年",元データ_14項目!$C$2:$C$1300,D$5)</f>
        <v>356</v>
      </c>
      <c r="E636" s="26">
        <f>SUMIFS(INDEX(元データ_14項目!$D$2:$Q$1300,0,MATCH($B636,元データ_14項目!$D$1:$Q$1,0)),元データ_14項目!$A$2:$A$1300,$A636,元データ_14項目!$B$2:$B$1300,"本年",元データ_14項目!$C$2:$C$1300,E$5)</f>
        <v>481</v>
      </c>
      <c r="F636" s="26">
        <f>SUMIFS(INDEX(元データ_14項目!$D$2:$Q$1300,0,MATCH($B636,元データ_14項目!$D$1:$Q$1,0)),元データ_14項目!$A$2:$A$1300,$A636,元データ_14項目!$B$2:$B$1300,"本年",元データ_14項目!$C$2:$C$1300,F$5)</f>
        <v>389</v>
      </c>
      <c r="G636" s="26">
        <f>SUMIFS(INDEX(元データ_14項目!$D$2:$Q$1300,0,MATCH($B636,元データ_14項目!$D$1:$Q$1,0)),元データ_14項目!$A$2:$A$1300,$A636,元データ_14項目!$B$2:$B$1300,"本年",元データ_14項目!$C$2:$C$1300,G$5)</f>
        <v>368</v>
      </c>
      <c r="H636" s="26">
        <f>SUMIFS(INDEX(元データ_14項目!$D$2:$Q$1300,0,MATCH($B636,元データ_14項目!$D$1:$Q$1,0)),元データ_14項目!$A$2:$A$1300,$A636,元データ_14項目!$B$2:$B$1300,"本年",元データ_14項目!$C$2:$C$1300,H$5)</f>
        <v>332</v>
      </c>
      <c r="I636" s="26">
        <f>SUMIFS(INDEX(元データ_14項目!$D$2:$Q$1300,0,MATCH($B636,元データ_14項目!$D$1:$Q$1,0)),元データ_14項目!$A$2:$A$1300,$A636,元データ_14項目!$B$2:$B$1300,"本年",元データ_14項目!$C$2:$C$1300,I$5)</f>
        <v>287</v>
      </c>
      <c r="J636" s="26">
        <f>SUMIFS(INDEX(元データ_14項目!$D$2:$Q$1300,0,MATCH($B636,元データ_14項目!$D$1:$Q$1,0)),元データ_14項目!$A$2:$A$1300,$A636,元データ_14項目!$B$2:$B$1300,"本年",元データ_14項目!$C$2:$C$1300,J$5)</f>
        <v>407</v>
      </c>
      <c r="K636" s="26">
        <f>SUMIFS(INDEX(元データ_14項目!$D$2:$Q$1300,0,MATCH($B636,元データ_14項目!$D$1:$Q$1,0)),元データ_14項目!$A$2:$A$1300,$A636,元データ_14項目!$B$2:$B$1300,"本年",元データ_14項目!$C$2:$C$1300,K$5)</f>
        <v>358</v>
      </c>
      <c r="L636" s="26">
        <f>SUMIFS(INDEX(元データ_14項目!$D$2:$Q$1300,0,MATCH($B636,元データ_14項目!$D$1:$Q$1,0)),元データ_14項目!$A$2:$A$1300,$A636,元データ_14項目!$B$2:$B$1300,"本年",元データ_14項目!$C$2:$C$1300,L$5)</f>
        <v>340</v>
      </c>
      <c r="M636" s="26">
        <f>SUMIFS(INDEX(元データ_14項目!$D$2:$Q$1300,0,MATCH($B636,元データ_14項目!$D$1:$Q$1,0)),元データ_14項目!$A$2:$A$1300,$A636,元データ_14項目!$B$2:$B$1300,"本年",元データ_14項目!$C$2:$C$1300,M$5)</f>
        <v>395</v>
      </c>
      <c r="N636" s="26">
        <f>SUMIFS(INDEX(元データ_14項目!$D$2:$Q$1300,0,MATCH($B636,元データ_14項目!$D$1:$Q$1,0)),元データ_14項目!$A$2:$A$1300,$A636,元データ_14項目!$B$2:$B$1300,"本年",元データ_14項目!$C$2:$C$1300,N$5)</f>
        <v>351</v>
      </c>
      <c r="O636" s="26">
        <f t="shared" si="18"/>
        <v>4335</v>
      </c>
      <c r="P636" s="26">
        <f>SUMIFS(INDEX(元データ_14項目!$D$2:$Q$1300,0,MATCH($B636,元データ_14項目!$D$1:$Q$1,0)),元データ_14項目!$A$2:$A$1300,$A636,元データ_14項目!$B$2:$B$1300,"前年")</f>
        <v>5508</v>
      </c>
      <c r="Q636" s="7">
        <f t="shared" si="19"/>
        <v>0.78703703703703709</v>
      </c>
    </row>
    <row r="637" spans="1:17" x14ac:dyDescent="0.45">
      <c r="A637" t="s">
        <v>80</v>
      </c>
      <c r="B637" t="s">
        <v>88</v>
      </c>
      <c r="C637" s="26">
        <f>SUMIFS(INDEX(元データ_14項目!$D$2:$Q$1300,0,MATCH($B637,元データ_14項目!$D$1:$Q$1,0)),元データ_14項目!$A$2:$A$1300,$A637,元データ_14項目!$B$2:$B$1300,"本年",元データ_14項目!$C$2:$C$1300,C$5)</f>
        <v>20</v>
      </c>
      <c r="D637" s="26">
        <f>SUMIFS(INDEX(元データ_14項目!$D$2:$Q$1300,0,MATCH($B637,元データ_14項目!$D$1:$Q$1,0)),元データ_14項目!$A$2:$A$1300,$A637,元データ_14項目!$B$2:$B$1300,"本年",元データ_14項目!$C$2:$C$1300,D$5)</f>
        <v>11</v>
      </c>
      <c r="E637" s="26">
        <f>SUMIFS(INDEX(元データ_14項目!$D$2:$Q$1300,0,MATCH($B637,元データ_14項目!$D$1:$Q$1,0)),元データ_14項目!$A$2:$A$1300,$A637,元データ_14項目!$B$2:$B$1300,"本年",元データ_14項目!$C$2:$C$1300,E$5)</f>
        <v>53</v>
      </c>
      <c r="F637" s="26">
        <f>SUMIFS(INDEX(元データ_14項目!$D$2:$Q$1300,0,MATCH($B637,元データ_14項目!$D$1:$Q$1,0)),元データ_14項目!$A$2:$A$1300,$A637,元データ_14項目!$B$2:$B$1300,"本年",元データ_14項目!$C$2:$C$1300,F$5)</f>
        <v>25</v>
      </c>
      <c r="G637" s="26">
        <f>SUMIFS(INDEX(元データ_14項目!$D$2:$Q$1300,0,MATCH($B637,元データ_14項目!$D$1:$Q$1,0)),元データ_14項目!$A$2:$A$1300,$A637,元データ_14項目!$B$2:$B$1300,"本年",元データ_14項目!$C$2:$C$1300,G$5)</f>
        <v>21</v>
      </c>
      <c r="H637" s="26">
        <f>SUMIFS(INDEX(元データ_14項目!$D$2:$Q$1300,0,MATCH($B637,元データ_14項目!$D$1:$Q$1,0)),元データ_14項目!$A$2:$A$1300,$A637,元データ_14項目!$B$2:$B$1300,"本年",元データ_14項目!$C$2:$C$1300,H$5)</f>
        <v>22</v>
      </c>
      <c r="I637" s="26">
        <f>SUMIFS(INDEX(元データ_14項目!$D$2:$Q$1300,0,MATCH($B637,元データ_14項目!$D$1:$Q$1,0)),元データ_14項目!$A$2:$A$1300,$A637,元データ_14項目!$B$2:$B$1300,"本年",元データ_14項目!$C$2:$C$1300,I$5)</f>
        <v>8</v>
      </c>
      <c r="J637" s="26">
        <f>SUMIFS(INDEX(元データ_14項目!$D$2:$Q$1300,0,MATCH($B637,元データ_14項目!$D$1:$Q$1,0)),元データ_14項目!$A$2:$A$1300,$A637,元データ_14項目!$B$2:$B$1300,"本年",元データ_14項目!$C$2:$C$1300,J$5)</f>
        <v>24</v>
      </c>
      <c r="K637" s="26">
        <f>SUMIFS(INDEX(元データ_14項目!$D$2:$Q$1300,0,MATCH($B637,元データ_14項目!$D$1:$Q$1,0)),元データ_14項目!$A$2:$A$1300,$A637,元データ_14項目!$B$2:$B$1300,"本年",元データ_14項目!$C$2:$C$1300,K$5)</f>
        <v>21</v>
      </c>
      <c r="L637" s="26">
        <f>SUMIFS(INDEX(元データ_14項目!$D$2:$Q$1300,0,MATCH($B637,元データ_14項目!$D$1:$Q$1,0)),元データ_14項目!$A$2:$A$1300,$A637,元データ_14項目!$B$2:$B$1300,"本年",元データ_14項目!$C$2:$C$1300,L$5)</f>
        <v>25</v>
      </c>
      <c r="M637" s="26">
        <f>SUMIFS(INDEX(元データ_14項目!$D$2:$Q$1300,0,MATCH($B637,元データ_14項目!$D$1:$Q$1,0)),元データ_14項目!$A$2:$A$1300,$A637,元データ_14項目!$B$2:$B$1300,"本年",元データ_14項目!$C$2:$C$1300,M$5)</f>
        <v>36</v>
      </c>
      <c r="N637" s="26">
        <f>SUMIFS(INDEX(元データ_14項目!$D$2:$Q$1300,0,MATCH($B637,元データ_14項目!$D$1:$Q$1,0)),元データ_14項目!$A$2:$A$1300,$A637,元データ_14項目!$B$2:$B$1300,"本年",元データ_14項目!$C$2:$C$1300,N$5)</f>
        <v>22</v>
      </c>
      <c r="O637" s="26">
        <f t="shared" si="18"/>
        <v>288</v>
      </c>
      <c r="P637" s="26">
        <f>SUMIFS(INDEX(元データ_14項目!$D$2:$Q$1300,0,MATCH($B637,元データ_14項目!$D$1:$Q$1,0)),元データ_14項目!$A$2:$A$1300,$A637,元データ_14項目!$B$2:$B$1300,"前年")</f>
        <v>298</v>
      </c>
      <c r="Q637" s="7">
        <f t="shared" si="19"/>
        <v>0.96644295302013428</v>
      </c>
    </row>
    <row r="638" spans="1:17" x14ac:dyDescent="0.45">
      <c r="A638" t="s">
        <v>80</v>
      </c>
      <c r="B638" t="s">
        <v>89</v>
      </c>
      <c r="C638" s="26">
        <f>SUMIFS(INDEX(元データ_14項目!$D$2:$Q$1300,0,MATCH($B638,元データ_14項目!$D$1:$Q$1,0)),元データ_14項目!$A$2:$A$1300,$A638,元データ_14項目!$B$2:$B$1300,"本年",元データ_14項目!$C$2:$C$1300,C$5)</f>
        <v>32</v>
      </c>
      <c r="D638" s="26">
        <f>SUMIFS(INDEX(元データ_14項目!$D$2:$Q$1300,0,MATCH($B638,元データ_14項目!$D$1:$Q$1,0)),元データ_14項目!$A$2:$A$1300,$A638,元データ_14項目!$B$2:$B$1300,"本年",元データ_14項目!$C$2:$C$1300,D$5)</f>
        <v>18</v>
      </c>
      <c r="E638" s="26">
        <f>SUMIFS(INDEX(元データ_14項目!$D$2:$Q$1300,0,MATCH($B638,元データ_14項目!$D$1:$Q$1,0)),元データ_14項目!$A$2:$A$1300,$A638,元データ_14項目!$B$2:$B$1300,"本年",元データ_14項目!$C$2:$C$1300,E$5)</f>
        <v>55</v>
      </c>
      <c r="F638" s="26">
        <f>SUMIFS(INDEX(元データ_14項目!$D$2:$Q$1300,0,MATCH($B638,元データ_14項目!$D$1:$Q$1,0)),元データ_14項目!$A$2:$A$1300,$A638,元データ_14項目!$B$2:$B$1300,"本年",元データ_14項目!$C$2:$C$1300,F$5)</f>
        <v>32</v>
      </c>
      <c r="G638" s="26">
        <f>SUMIFS(INDEX(元データ_14項目!$D$2:$Q$1300,0,MATCH($B638,元データ_14項目!$D$1:$Q$1,0)),元データ_14項目!$A$2:$A$1300,$A638,元データ_14項目!$B$2:$B$1300,"本年",元データ_14項目!$C$2:$C$1300,G$5)</f>
        <v>32</v>
      </c>
      <c r="H638" s="26">
        <f>SUMIFS(INDEX(元データ_14項目!$D$2:$Q$1300,0,MATCH($B638,元データ_14項目!$D$1:$Q$1,0)),元データ_14項目!$A$2:$A$1300,$A638,元データ_14項目!$B$2:$B$1300,"本年",元データ_14項目!$C$2:$C$1300,H$5)</f>
        <v>20</v>
      </c>
      <c r="I638" s="26">
        <f>SUMIFS(INDEX(元データ_14項目!$D$2:$Q$1300,0,MATCH($B638,元データ_14項目!$D$1:$Q$1,0)),元データ_14項目!$A$2:$A$1300,$A638,元データ_14項目!$B$2:$B$1300,"本年",元データ_14項目!$C$2:$C$1300,I$5)</f>
        <v>10</v>
      </c>
      <c r="J638" s="26">
        <f>SUMIFS(INDEX(元データ_14項目!$D$2:$Q$1300,0,MATCH($B638,元データ_14項目!$D$1:$Q$1,0)),元データ_14項目!$A$2:$A$1300,$A638,元データ_14項目!$B$2:$B$1300,"本年",元データ_14項目!$C$2:$C$1300,J$5)</f>
        <v>31</v>
      </c>
      <c r="K638" s="26">
        <f>SUMIFS(INDEX(元データ_14項目!$D$2:$Q$1300,0,MATCH($B638,元データ_14項目!$D$1:$Q$1,0)),元データ_14項目!$A$2:$A$1300,$A638,元データ_14項目!$B$2:$B$1300,"本年",元データ_14項目!$C$2:$C$1300,K$5)</f>
        <v>33</v>
      </c>
      <c r="L638" s="26">
        <f>SUMIFS(INDEX(元データ_14項目!$D$2:$Q$1300,0,MATCH($B638,元データ_14項目!$D$1:$Q$1,0)),元データ_14項目!$A$2:$A$1300,$A638,元データ_14項目!$B$2:$B$1300,"本年",元データ_14項目!$C$2:$C$1300,L$5)</f>
        <v>13</v>
      </c>
      <c r="M638" s="26">
        <f>SUMIFS(INDEX(元データ_14項目!$D$2:$Q$1300,0,MATCH($B638,元データ_14項目!$D$1:$Q$1,0)),元データ_14項目!$A$2:$A$1300,$A638,元データ_14項目!$B$2:$B$1300,"本年",元データ_14項目!$C$2:$C$1300,M$5)</f>
        <v>20</v>
      </c>
      <c r="N638" s="26">
        <f>SUMIFS(INDEX(元データ_14項目!$D$2:$Q$1300,0,MATCH($B638,元データ_14項目!$D$1:$Q$1,0)),元データ_14項目!$A$2:$A$1300,$A638,元データ_14項目!$B$2:$B$1300,"本年",元データ_14項目!$C$2:$C$1300,N$5)</f>
        <v>38</v>
      </c>
      <c r="O638" s="26">
        <f t="shared" si="18"/>
        <v>334</v>
      </c>
      <c r="P638" s="26">
        <f>SUMIFS(INDEX(元データ_14項目!$D$2:$Q$1300,0,MATCH($B638,元データ_14項目!$D$1:$Q$1,0)),元データ_14項目!$A$2:$A$1300,$A638,元データ_14項目!$B$2:$B$1300,"前年")</f>
        <v>316</v>
      </c>
      <c r="Q638" s="7">
        <f t="shared" si="19"/>
        <v>1.0569620253164558</v>
      </c>
    </row>
    <row r="639" spans="1:17" x14ac:dyDescent="0.45">
      <c r="A639" t="s">
        <v>80</v>
      </c>
      <c r="B639" t="s">
        <v>90</v>
      </c>
      <c r="C639" s="26">
        <f>SUMIFS(INDEX(元データ_14項目!$D$2:$Q$1300,0,MATCH($B639,元データ_14項目!$D$1:$Q$1,0)),元データ_14項目!$A$2:$A$1300,$A639,元データ_14項目!$B$2:$B$1300,"本年",元データ_14項目!$C$2:$C$1300,C$5)</f>
        <v>18</v>
      </c>
      <c r="D639" s="26">
        <f>SUMIFS(INDEX(元データ_14項目!$D$2:$Q$1300,0,MATCH($B639,元データ_14項目!$D$1:$Q$1,0)),元データ_14項目!$A$2:$A$1300,$A639,元データ_14項目!$B$2:$B$1300,"本年",元データ_14項目!$C$2:$C$1300,D$5)</f>
        <v>27</v>
      </c>
      <c r="E639" s="26">
        <f>SUMIFS(INDEX(元データ_14項目!$D$2:$Q$1300,0,MATCH($B639,元データ_14項目!$D$1:$Q$1,0)),元データ_14項目!$A$2:$A$1300,$A639,元データ_14項目!$B$2:$B$1300,"本年",元データ_14項目!$C$2:$C$1300,E$5)</f>
        <v>41</v>
      </c>
      <c r="F639" s="26">
        <f>SUMIFS(INDEX(元データ_14項目!$D$2:$Q$1300,0,MATCH($B639,元データ_14項目!$D$1:$Q$1,0)),元データ_14項目!$A$2:$A$1300,$A639,元データ_14項目!$B$2:$B$1300,"本年",元データ_14項目!$C$2:$C$1300,F$5)</f>
        <v>84</v>
      </c>
      <c r="G639" s="26">
        <f>SUMIFS(INDEX(元データ_14項目!$D$2:$Q$1300,0,MATCH($B639,元データ_14項目!$D$1:$Q$1,0)),元データ_14項目!$A$2:$A$1300,$A639,元データ_14項目!$B$2:$B$1300,"本年",元データ_14項目!$C$2:$C$1300,G$5)</f>
        <v>67</v>
      </c>
      <c r="H639" s="26">
        <f>SUMIFS(INDEX(元データ_14項目!$D$2:$Q$1300,0,MATCH($B639,元データ_14項目!$D$1:$Q$1,0)),元データ_14項目!$A$2:$A$1300,$A639,元データ_14項目!$B$2:$B$1300,"本年",元データ_14項目!$C$2:$C$1300,H$5)</f>
        <v>89</v>
      </c>
      <c r="I639" s="26">
        <f>SUMIFS(INDEX(元データ_14項目!$D$2:$Q$1300,0,MATCH($B639,元データ_14項目!$D$1:$Q$1,0)),元データ_14項目!$A$2:$A$1300,$A639,元データ_14項目!$B$2:$B$1300,"本年",元データ_14項目!$C$2:$C$1300,I$5)</f>
        <v>24</v>
      </c>
      <c r="J639" s="26">
        <f>SUMIFS(INDEX(元データ_14項目!$D$2:$Q$1300,0,MATCH($B639,元データ_14項目!$D$1:$Q$1,0)),元データ_14項目!$A$2:$A$1300,$A639,元データ_14項目!$B$2:$B$1300,"本年",元データ_14項目!$C$2:$C$1300,J$5)</f>
        <v>113</v>
      </c>
      <c r="K639" s="26">
        <f>SUMIFS(INDEX(元データ_14項目!$D$2:$Q$1300,0,MATCH($B639,元データ_14項目!$D$1:$Q$1,0)),元データ_14項目!$A$2:$A$1300,$A639,元データ_14項目!$B$2:$B$1300,"本年",元データ_14項目!$C$2:$C$1300,K$5)</f>
        <v>131</v>
      </c>
      <c r="L639" s="26">
        <f>SUMIFS(INDEX(元データ_14項目!$D$2:$Q$1300,0,MATCH($B639,元データ_14項目!$D$1:$Q$1,0)),元データ_14項目!$A$2:$A$1300,$A639,元データ_14項目!$B$2:$B$1300,"本年",元データ_14項目!$C$2:$C$1300,L$5)</f>
        <v>86</v>
      </c>
      <c r="M639" s="26">
        <f>SUMIFS(INDEX(元データ_14項目!$D$2:$Q$1300,0,MATCH($B639,元データ_14項目!$D$1:$Q$1,0)),元データ_14項目!$A$2:$A$1300,$A639,元データ_14項目!$B$2:$B$1300,"本年",元データ_14項目!$C$2:$C$1300,M$5)</f>
        <v>68</v>
      </c>
      <c r="N639" s="26">
        <f>SUMIFS(INDEX(元データ_14項目!$D$2:$Q$1300,0,MATCH($B639,元データ_14項目!$D$1:$Q$1,0)),元データ_14項目!$A$2:$A$1300,$A639,元データ_14項目!$B$2:$B$1300,"本年",元データ_14項目!$C$2:$C$1300,N$5)</f>
        <v>69</v>
      </c>
      <c r="O639" s="26">
        <f t="shared" si="18"/>
        <v>817</v>
      </c>
      <c r="P639" s="26">
        <f>SUMIFS(INDEX(元データ_14項目!$D$2:$Q$1300,0,MATCH($B639,元データ_14項目!$D$1:$Q$1,0)),元データ_14項目!$A$2:$A$1300,$A639,元データ_14項目!$B$2:$B$1300,"前年")</f>
        <v>774</v>
      </c>
      <c r="Q639" s="7">
        <f t="shared" si="19"/>
        <v>1.0555555555555556</v>
      </c>
    </row>
    <row r="640" spans="1:17" x14ac:dyDescent="0.45">
      <c r="A640" t="s">
        <v>80</v>
      </c>
      <c r="B640" t="s">
        <v>91</v>
      </c>
      <c r="C640" s="26">
        <f>SUMIFS(INDEX(元データ_14項目!$D$2:$Q$1300,0,MATCH($B640,元データ_14項目!$D$1:$Q$1,0)),元データ_14項目!$A$2:$A$1300,$A640,元データ_14項目!$B$2:$B$1300,"本年",元データ_14項目!$C$2:$C$1300,C$5)</f>
        <v>9</v>
      </c>
      <c r="D640" s="26">
        <f>SUMIFS(INDEX(元データ_14項目!$D$2:$Q$1300,0,MATCH($B640,元データ_14項目!$D$1:$Q$1,0)),元データ_14項目!$A$2:$A$1300,$A640,元データ_14項目!$B$2:$B$1300,"本年",元データ_14項目!$C$2:$C$1300,D$5)</f>
        <v>23</v>
      </c>
      <c r="E640" s="26">
        <f>SUMIFS(INDEX(元データ_14項目!$D$2:$Q$1300,0,MATCH($B640,元データ_14項目!$D$1:$Q$1,0)),元データ_14項目!$A$2:$A$1300,$A640,元データ_14項目!$B$2:$B$1300,"本年",元データ_14項目!$C$2:$C$1300,E$5)</f>
        <v>39</v>
      </c>
      <c r="F640" s="26">
        <f>SUMIFS(INDEX(元データ_14項目!$D$2:$Q$1300,0,MATCH($B640,元データ_14項目!$D$1:$Q$1,0)),元データ_14項目!$A$2:$A$1300,$A640,元データ_14項目!$B$2:$B$1300,"本年",元データ_14項目!$C$2:$C$1300,F$5)</f>
        <v>30</v>
      </c>
      <c r="G640" s="26">
        <f>SUMIFS(INDEX(元データ_14項目!$D$2:$Q$1300,0,MATCH($B640,元データ_14項目!$D$1:$Q$1,0)),元データ_14項目!$A$2:$A$1300,$A640,元データ_14項目!$B$2:$B$1300,"本年",元データ_14項目!$C$2:$C$1300,G$5)</f>
        <v>18</v>
      </c>
      <c r="H640" s="26">
        <f>SUMIFS(INDEX(元データ_14項目!$D$2:$Q$1300,0,MATCH($B640,元データ_14項目!$D$1:$Q$1,0)),元データ_14項目!$A$2:$A$1300,$A640,元データ_14項目!$B$2:$B$1300,"本年",元データ_14項目!$C$2:$C$1300,H$5)</f>
        <v>3</v>
      </c>
      <c r="I640" s="26">
        <f>SUMIFS(INDEX(元データ_14項目!$D$2:$Q$1300,0,MATCH($B640,元データ_14項目!$D$1:$Q$1,0)),元データ_14項目!$A$2:$A$1300,$A640,元データ_14項目!$B$2:$B$1300,"本年",元データ_14項目!$C$2:$C$1300,I$5)</f>
        <v>27</v>
      </c>
      <c r="J640" s="26">
        <f>SUMIFS(INDEX(元データ_14項目!$D$2:$Q$1300,0,MATCH($B640,元データ_14項目!$D$1:$Q$1,0)),元データ_14項目!$A$2:$A$1300,$A640,元データ_14項目!$B$2:$B$1300,"本年",元データ_14項目!$C$2:$C$1300,J$5)</f>
        <v>1</v>
      </c>
      <c r="K640" s="26">
        <f>SUMIFS(INDEX(元データ_14項目!$D$2:$Q$1300,0,MATCH($B640,元データ_14項目!$D$1:$Q$1,0)),元データ_14項目!$A$2:$A$1300,$A640,元データ_14項目!$B$2:$B$1300,"本年",元データ_14項目!$C$2:$C$1300,K$5)</f>
        <v>11</v>
      </c>
      <c r="L640" s="26">
        <f>SUMIFS(INDEX(元データ_14項目!$D$2:$Q$1300,0,MATCH($B640,元データ_14項目!$D$1:$Q$1,0)),元データ_14項目!$A$2:$A$1300,$A640,元データ_14項目!$B$2:$B$1300,"本年",元データ_14項目!$C$2:$C$1300,L$5)</f>
        <v>8</v>
      </c>
      <c r="M640" s="26">
        <f>SUMIFS(INDEX(元データ_14項目!$D$2:$Q$1300,0,MATCH($B640,元データ_14項目!$D$1:$Q$1,0)),元データ_14項目!$A$2:$A$1300,$A640,元データ_14項目!$B$2:$B$1300,"本年",元データ_14項目!$C$2:$C$1300,M$5)</f>
        <v>17</v>
      </c>
      <c r="N640" s="26">
        <f>SUMIFS(INDEX(元データ_14項目!$D$2:$Q$1300,0,MATCH($B640,元データ_14項目!$D$1:$Q$1,0)),元データ_14項目!$A$2:$A$1300,$A640,元データ_14項目!$B$2:$B$1300,"本年",元データ_14項目!$C$2:$C$1300,N$5)</f>
        <v>11</v>
      </c>
      <c r="O640" s="26">
        <f t="shared" si="18"/>
        <v>197</v>
      </c>
      <c r="P640" s="26">
        <f>SUMIFS(INDEX(元データ_14項目!$D$2:$Q$1300,0,MATCH($B640,元データ_14項目!$D$1:$Q$1,0)),元データ_14項目!$A$2:$A$1300,$A640,元データ_14項目!$B$2:$B$1300,"前年")</f>
        <v>247</v>
      </c>
      <c r="Q640" s="7">
        <f t="shared" si="19"/>
        <v>0.79757085020242913</v>
      </c>
    </row>
    <row r="641" spans="1:17" x14ac:dyDescent="0.45">
      <c r="A641" t="s">
        <v>80</v>
      </c>
      <c r="B641" t="s">
        <v>28</v>
      </c>
      <c r="C641" s="26">
        <f>SUMIFS(INDEX(元データ_14項目!$D$2:$Q$1300,0,MATCH($B641,元データ_14項目!$D$1:$Q$1,0)),元データ_14項目!$A$2:$A$1300,$A641,元データ_14項目!$B$2:$B$1300,"本年",元データ_14項目!$C$2:$C$1300,C$5)</f>
        <v>97</v>
      </c>
      <c r="D641" s="26">
        <f>SUMIFS(INDEX(元データ_14項目!$D$2:$Q$1300,0,MATCH($B641,元データ_14項目!$D$1:$Q$1,0)),元データ_14項目!$A$2:$A$1300,$A641,元データ_14項目!$B$2:$B$1300,"本年",元データ_14項目!$C$2:$C$1300,D$5)</f>
        <v>106</v>
      </c>
      <c r="E641" s="26">
        <f>SUMIFS(INDEX(元データ_14項目!$D$2:$Q$1300,0,MATCH($B641,元データ_14項目!$D$1:$Q$1,0)),元データ_14項目!$A$2:$A$1300,$A641,元データ_14項目!$B$2:$B$1300,"本年",元データ_14項目!$C$2:$C$1300,E$5)</f>
        <v>191</v>
      </c>
      <c r="F641" s="26">
        <f>SUMIFS(INDEX(元データ_14項目!$D$2:$Q$1300,0,MATCH($B641,元データ_14項目!$D$1:$Q$1,0)),元データ_14項目!$A$2:$A$1300,$A641,元データ_14項目!$B$2:$B$1300,"本年",元データ_14項目!$C$2:$C$1300,F$5)</f>
        <v>140</v>
      </c>
      <c r="G641" s="26">
        <f>SUMIFS(INDEX(元データ_14項目!$D$2:$Q$1300,0,MATCH($B641,元データ_14項目!$D$1:$Q$1,0)),元データ_14項目!$A$2:$A$1300,$A641,元データ_14項目!$B$2:$B$1300,"本年",元データ_14項目!$C$2:$C$1300,G$5)</f>
        <v>111</v>
      </c>
      <c r="H641" s="26">
        <f>SUMIFS(INDEX(元データ_14項目!$D$2:$Q$1300,0,MATCH($B641,元データ_14項目!$D$1:$Q$1,0)),元データ_14項目!$A$2:$A$1300,$A641,元データ_14項目!$B$2:$B$1300,"本年",元データ_14項目!$C$2:$C$1300,H$5)</f>
        <v>55</v>
      </c>
      <c r="I641" s="26">
        <f>SUMIFS(INDEX(元データ_14項目!$D$2:$Q$1300,0,MATCH($B641,元データ_14項目!$D$1:$Q$1,0)),元データ_14項目!$A$2:$A$1300,$A641,元データ_14項目!$B$2:$B$1300,"本年",元データ_14項目!$C$2:$C$1300,I$5)</f>
        <v>92</v>
      </c>
      <c r="J641" s="26">
        <f>SUMIFS(INDEX(元データ_14項目!$D$2:$Q$1300,0,MATCH($B641,元データ_14項目!$D$1:$Q$1,0)),元データ_14項目!$A$2:$A$1300,$A641,元データ_14項目!$B$2:$B$1300,"本年",元データ_14項目!$C$2:$C$1300,J$5)</f>
        <v>70</v>
      </c>
      <c r="K641" s="26">
        <f>SUMIFS(INDEX(元データ_14項目!$D$2:$Q$1300,0,MATCH($B641,元データ_14項目!$D$1:$Q$1,0)),元データ_14項目!$A$2:$A$1300,$A641,元データ_14項目!$B$2:$B$1300,"本年",元データ_14項目!$C$2:$C$1300,K$5)</f>
        <v>109</v>
      </c>
      <c r="L641" s="26">
        <f>SUMIFS(INDEX(元データ_14項目!$D$2:$Q$1300,0,MATCH($B641,元データ_14項目!$D$1:$Q$1,0)),元データ_14項目!$A$2:$A$1300,$A641,元データ_14項目!$B$2:$B$1300,"本年",元データ_14項目!$C$2:$C$1300,L$5)</f>
        <v>117</v>
      </c>
      <c r="M641" s="26">
        <f>SUMIFS(INDEX(元データ_14項目!$D$2:$Q$1300,0,MATCH($B641,元データ_14項目!$D$1:$Q$1,0)),元データ_14項目!$A$2:$A$1300,$A641,元データ_14項目!$B$2:$B$1300,"本年",元データ_14項目!$C$2:$C$1300,M$5)</f>
        <v>124</v>
      </c>
      <c r="N641" s="26">
        <f>SUMIFS(INDEX(元データ_14項目!$D$2:$Q$1300,0,MATCH($B641,元データ_14項目!$D$1:$Q$1,0)),元データ_14項目!$A$2:$A$1300,$A641,元データ_14項目!$B$2:$B$1300,"本年",元データ_14項目!$C$2:$C$1300,N$5)</f>
        <v>114</v>
      </c>
      <c r="O641" s="26">
        <f t="shared" si="18"/>
        <v>1326</v>
      </c>
      <c r="P641" s="26">
        <f>SUMIFS(INDEX(元データ_14項目!$D$2:$Q$1300,0,MATCH($B641,元データ_14項目!$D$1:$Q$1,0)),元データ_14項目!$A$2:$A$1300,$A641,元データ_14項目!$B$2:$B$1300,"前年")</f>
        <v>1525</v>
      </c>
      <c r="Q641" s="7">
        <f t="shared" si="19"/>
        <v>0.86950819672131152</v>
      </c>
    </row>
    <row r="642" spans="1:17" x14ac:dyDescent="0.45">
      <c r="A642" t="s">
        <v>80</v>
      </c>
      <c r="B642" t="s">
        <v>92</v>
      </c>
      <c r="C642" s="26">
        <f>SUMIFS(INDEX(元データ_14項目!$D$2:$Q$1300,0,MATCH($B642,元データ_14項目!$D$1:$Q$1,0)),元データ_14項目!$A$2:$A$1300,$A642,元データ_14項目!$B$2:$B$1300,"本年",元データ_14項目!$C$2:$C$1300,C$5)</f>
        <v>7</v>
      </c>
      <c r="D642" s="26">
        <f>SUMIFS(INDEX(元データ_14項目!$D$2:$Q$1300,0,MATCH($B642,元データ_14項目!$D$1:$Q$1,0)),元データ_14項目!$A$2:$A$1300,$A642,元データ_14項目!$B$2:$B$1300,"本年",元データ_14項目!$C$2:$C$1300,D$5)</f>
        <v>21</v>
      </c>
      <c r="E642" s="26">
        <f>SUMIFS(INDEX(元データ_14項目!$D$2:$Q$1300,0,MATCH($B642,元データ_14項目!$D$1:$Q$1,0)),元データ_14項目!$A$2:$A$1300,$A642,元データ_14項目!$B$2:$B$1300,"本年",元データ_14項目!$C$2:$C$1300,E$5)</f>
        <v>39</v>
      </c>
      <c r="F642" s="26">
        <f>SUMIFS(INDEX(元データ_14項目!$D$2:$Q$1300,0,MATCH($B642,元データ_14項目!$D$1:$Q$1,0)),元データ_14項目!$A$2:$A$1300,$A642,元データ_14項目!$B$2:$B$1300,"本年",元データ_14項目!$C$2:$C$1300,F$5)</f>
        <v>26</v>
      </c>
      <c r="G642" s="26">
        <f>SUMIFS(INDEX(元データ_14項目!$D$2:$Q$1300,0,MATCH($B642,元データ_14項目!$D$1:$Q$1,0)),元データ_14項目!$A$2:$A$1300,$A642,元データ_14項目!$B$2:$B$1300,"本年",元データ_14項目!$C$2:$C$1300,G$5)</f>
        <v>13</v>
      </c>
      <c r="H642" s="26">
        <f>SUMIFS(INDEX(元データ_14項目!$D$2:$Q$1300,0,MATCH($B642,元データ_14項目!$D$1:$Q$1,0)),元データ_14項目!$A$2:$A$1300,$A642,元データ_14項目!$B$2:$B$1300,"本年",元データ_14項目!$C$2:$C$1300,H$5)</f>
        <v>20</v>
      </c>
      <c r="I642" s="26">
        <f>SUMIFS(INDEX(元データ_14項目!$D$2:$Q$1300,0,MATCH($B642,元データ_14項目!$D$1:$Q$1,0)),元データ_14項目!$A$2:$A$1300,$A642,元データ_14項目!$B$2:$B$1300,"本年",元データ_14項目!$C$2:$C$1300,I$5)</f>
        <v>7</v>
      </c>
      <c r="J642" s="26">
        <f>SUMIFS(INDEX(元データ_14項目!$D$2:$Q$1300,0,MATCH($B642,元データ_14項目!$D$1:$Q$1,0)),元データ_14項目!$A$2:$A$1300,$A642,元データ_14項目!$B$2:$B$1300,"本年",元データ_14項目!$C$2:$C$1300,J$5)</f>
        <v>19</v>
      </c>
      <c r="K642" s="26">
        <f>SUMIFS(INDEX(元データ_14項目!$D$2:$Q$1300,0,MATCH($B642,元データ_14項目!$D$1:$Q$1,0)),元データ_14項目!$A$2:$A$1300,$A642,元データ_14項目!$B$2:$B$1300,"本年",元データ_14項目!$C$2:$C$1300,K$5)</f>
        <v>29</v>
      </c>
      <c r="L642" s="26">
        <f>SUMIFS(INDEX(元データ_14項目!$D$2:$Q$1300,0,MATCH($B642,元データ_14項目!$D$1:$Q$1,0)),元データ_14項目!$A$2:$A$1300,$A642,元データ_14項目!$B$2:$B$1300,"本年",元データ_14項目!$C$2:$C$1300,L$5)</f>
        <v>10</v>
      </c>
      <c r="M642" s="26">
        <f>SUMIFS(INDEX(元データ_14項目!$D$2:$Q$1300,0,MATCH($B642,元データ_14項目!$D$1:$Q$1,0)),元データ_14項目!$A$2:$A$1300,$A642,元データ_14項目!$B$2:$B$1300,"本年",元データ_14項目!$C$2:$C$1300,M$5)</f>
        <v>24</v>
      </c>
      <c r="N642" s="26">
        <f>SUMIFS(INDEX(元データ_14項目!$D$2:$Q$1300,0,MATCH($B642,元データ_14項目!$D$1:$Q$1,0)),元データ_14項目!$A$2:$A$1300,$A642,元データ_14項目!$B$2:$B$1300,"本年",元データ_14項目!$C$2:$C$1300,N$5)</f>
        <v>9</v>
      </c>
      <c r="O642" s="26">
        <f t="shared" si="18"/>
        <v>224</v>
      </c>
      <c r="P642" s="26">
        <f>SUMIFS(INDEX(元データ_14項目!$D$2:$Q$1300,0,MATCH($B642,元データ_14項目!$D$1:$Q$1,0)),元データ_14項目!$A$2:$A$1300,$A642,元データ_14項目!$B$2:$B$1300,"前年")</f>
        <v>226</v>
      </c>
      <c r="Q642" s="7">
        <f t="shared" si="19"/>
        <v>0.99115044247787609</v>
      </c>
    </row>
    <row r="643" spans="1:17" x14ac:dyDescent="0.45">
      <c r="A643" t="s">
        <v>80</v>
      </c>
      <c r="B643" t="s">
        <v>93</v>
      </c>
      <c r="C643" s="26">
        <f>SUMIFS(INDEX(元データ_14項目!$D$2:$Q$1300,0,MATCH($B643,元データ_14項目!$D$1:$Q$1,0)),元データ_14項目!$A$2:$A$1300,$A643,元データ_14項目!$B$2:$B$1300,"本年",元データ_14項目!$C$2:$C$1300,C$5)</f>
        <v>16</v>
      </c>
      <c r="D643" s="26">
        <f>SUMIFS(INDEX(元データ_14項目!$D$2:$Q$1300,0,MATCH($B643,元データ_14項目!$D$1:$Q$1,0)),元データ_14項目!$A$2:$A$1300,$A643,元データ_14項目!$B$2:$B$1300,"本年",元データ_14項目!$C$2:$C$1300,D$5)</f>
        <v>9</v>
      </c>
      <c r="E643" s="26">
        <f>SUMIFS(INDEX(元データ_14項目!$D$2:$Q$1300,0,MATCH($B643,元データ_14項目!$D$1:$Q$1,0)),元データ_14項目!$A$2:$A$1300,$A643,元データ_14項目!$B$2:$B$1300,"本年",元データ_14項目!$C$2:$C$1300,E$5)</f>
        <v>32</v>
      </c>
      <c r="F643" s="26">
        <f>SUMIFS(INDEX(元データ_14項目!$D$2:$Q$1300,0,MATCH($B643,元データ_14項目!$D$1:$Q$1,0)),元データ_14項目!$A$2:$A$1300,$A643,元データ_14項目!$B$2:$B$1300,"本年",元データ_14項目!$C$2:$C$1300,F$5)</f>
        <v>45</v>
      </c>
      <c r="G643" s="26">
        <f>SUMIFS(INDEX(元データ_14項目!$D$2:$Q$1300,0,MATCH($B643,元データ_14項目!$D$1:$Q$1,0)),元データ_14項目!$A$2:$A$1300,$A643,元データ_14項目!$B$2:$B$1300,"本年",元データ_14項目!$C$2:$C$1300,G$5)</f>
        <v>36</v>
      </c>
      <c r="H643" s="26">
        <f>SUMIFS(INDEX(元データ_14項目!$D$2:$Q$1300,0,MATCH($B643,元データ_14項目!$D$1:$Q$1,0)),元データ_14項目!$A$2:$A$1300,$A643,元データ_14項目!$B$2:$B$1300,"本年",元データ_14項目!$C$2:$C$1300,H$5)</f>
        <v>69</v>
      </c>
      <c r="I643" s="26">
        <f>SUMIFS(INDEX(元データ_14項目!$D$2:$Q$1300,0,MATCH($B643,元データ_14項目!$D$1:$Q$1,0)),元データ_14項目!$A$2:$A$1300,$A643,元データ_14項目!$B$2:$B$1300,"本年",元データ_14項目!$C$2:$C$1300,I$5)</f>
        <v>27</v>
      </c>
      <c r="J643" s="26">
        <f>SUMIFS(INDEX(元データ_14項目!$D$2:$Q$1300,0,MATCH($B643,元データ_14項目!$D$1:$Q$1,0)),元データ_14項目!$A$2:$A$1300,$A643,元データ_14項目!$B$2:$B$1300,"本年",元データ_14項目!$C$2:$C$1300,J$5)</f>
        <v>54</v>
      </c>
      <c r="K643" s="26">
        <f>SUMIFS(INDEX(元データ_14項目!$D$2:$Q$1300,0,MATCH($B643,元データ_14項目!$D$1:$Q$1,0)),元データ_14項目!$A$2:$A$1300,$A643,元データ_14項目!$B$2:$B$1300,"本年",元データ_14項目!$C$2:$C$1300,K$5)</f>
        <v>209</v>
      </c>
      <c r="L643" s="26">
        <f>SUMIFS(INDEX(元データ_14項目!$D$2:$Q$1300,0,MATCH($B643,元データ_14項目!$D$1:$Q$1,0)),元データ_14項目!$A$2:$A$1300,$A643,元データ_14項目!$B$2:$B$1300,"本年",元データ_14項目!$C$2:$C$1300,L$5)</f>
        <v>101</v>
      </c>
      <c r="M643" s="26">
        <f>SUMIFS(INDEX(元データ_14項目!$D$2:$Q$1300,0,MATCH($B643,元データ_14項目!$D$1:$Q$1,0)),元データ_14項目!$A$2:$A$1300,$A643,元データ_14項目!$B$2:$B$1300,"本年",元データ_14項目!$C$2:$C$1300,M$5)</f>
        <v>59</v>
      </c>
      <c r="N643" s="26">
        <f>SUMIFS(INDEX(元データ_14項目!$D$2:$Q$1300,0,MATCH($B643,元データ_14項目!$D$1:$Q$1,0)),元データ_14項目!$A$2:$A$1300,$A643,元データ_14項目!$B$2:$B$1300,"本年",元データ_14項目!$C$2:$C$1300,N$5)</f>
        <v>31</v>
      </c>
      <c r="O643" s="26">
        <f t="shared" si="18"/>
        <v>688</v>
      </c>
      <c r="P643" s="26">
        <f>SUMIFS(INDEX(元データ_14項目!$D$2:$Q$1300,0,MATCH($B643,元データ_14項目!$D$1:$Q$1,0)),元データ_14項目!$A$2:$A$1300,$A643,元データ_14項目!$B$2:$B$1300,"前年")</f>
        <v>640</v>
      </c>
      <c r="Q643" s="7">
        <f t="shared" si="19"/>
        <v>1.075</v>
      </c>
    </row>
    <row r="644" spans="1:17" x14ac:dyDescent="0.45">
      <c r="A644" t="s">
        <v>80</v>
      </c>
      <c r="B644" t="s">
        <v>94</v>
      </c>
      <c r="C644" s="26">
        <f>SUMIFS(INDEX(元データ_14項目!$D$2:$Q$1300,0,MATCH($B644,元データ_14項目!$D$1:$Q$1,0)),元データ_14項目!$A$2:$A$1300,$A644,元データ_14項目!$B$2:$B$1300,"本年",元データ_14項目!$C$2:$C$1300,C$5)</f>
        <v>17</v>
      </c>
      <c r="D644" s="26">
        <f>SUMIFS(INDEX(元データ_14項目!$D$2:$Q$1300,0,MATCH($B644,元データ_14項目!$D$1:$Q$1,0)),元データ_14項目!$A$2:$A$1300,$A644,元データ_14項目!$B$2:$B$1300,"本年",元データ_14項目!$C$2:$C$1300,D$5)</f>
        <v>10</v>
      </c>
      <c r="E644" s="26">
        <f>SUMIFS(INDEX(元データ_14項目!$D$2:$Q$1300,0,MATCH($B644,元データ_14項目!$D$1:$Q$1,0)),元データ_14項目!$A$2:$A$1300,$A644,元データ_14項目!$B$2:$B$1300,"本年",元データ_14項目!$C$2:$C$1300,E$5)</f>
        <v>20</v>
      </c>
      <c r="F644" s="26">
        <f>SUMIFS(INDEX(元データ_14項目!$D$2:$Q$1300,0,MATCH($B644,元データ_14項目!$D$1:$Q$1,0)),元データ_14項目!$A$2:$A$1300,$A644,元データ_14項目!$B$2:$B$1300,"本年",元データ_14項目!$C$2:$C$1300,F$5)</f>
        <v>20</v>
      </c>
      <c r="G644" s="26">
        <f>SUMIFS(INDEX(元データ_14項目!$D$2:$Q$1300,0,MATCH($B644,元データ_14項目!$D$1:$Q$1,0)),元データ_14項目!$A$2:$A$1300,$A644,元データ_14項目!$B$2:$B$1300,"本年",元データ_14項目!$C$2:$C$1300,G$5)</f>
        <v>10</v>
      </c>
      <c r="H644" s="26">
        <f>SUMIFS(INDEX(元データ_14項目!$D$2:$Q$1300,0,MATCH($B644,元データ_14項目!$D$1:$Q$1,0)),元データ_14項目!$A$2:$A$1300,$A644,元データ_14項目!$B$2:$B$1300,"本年",元データ_14項目!$C$2:$C$1300,H$5)</f>
        <v>13</v>
      </c>
      <c r="I644" s="26">
        <f>SUMIFS(INDEX(元データ_14項目!$D$2:$Q$1300,0,MATCH($B644,元データ_14項目!$D$1:$Q$1,0)),元データ_14項目!$A$2:$A$1300,$A644,元データ_14項目!$B$2:$B$1300,"本年",元データ_14項目!$C$2:$C$1300,I$5)</f>
        <v>10</v>
      </c>
      <c r="J644" s="26">
        <f>SUMIFS(INDEX(元データ_14項目!$D$2:$Q$1300,0,MATCH($B644,元データ_14項目!$D$1:$Q$1,0)),元データ_14項目!$A$2:$A$1300,$A644,元データ_14項目!$B$2:$B$1300,"本年",元データ_14項目!$C$2:$C$1300,J$5)</f>
        <v>20</v>
      </c>
      <c r="K644" s="26">
        <f>SUMIFS(INDEX(元データ_14項目!$D$2:$Q$1300,0,MATCH($B644,元データ_14項目!$D$1:$Q$1,0)),元データ_14項目!$A$2:$A$1300,$A644,元データ_14項目!$B$2:$B$1300,"本年",元データ_14項目!$C$2:$C$1300,K$5)</f>
        <v>77</v>
      </c>
      <c r="L644" s="26">
        <f>SUMIFS(INDEX(元データ_14項目!$D$2:$Q$1300,0,MATCH($B644,元データ_14項目!$D$1:$Q$1,0)),元データ_14項目!$A$2:$A$1300,$A644,元データ_14項目!$B$2:$B$1300,"本年",元データ_14項目!$C$2:$C$1300,L$5)</f>
        <v>37</v>
      </c>
      <c r="M644" s="26">
        <f>SUMIFS(INDEX(元データ_14項目!$D$2:$Q$1300,0,MATCH($B644,元データ_14項目!$D$1:$Q$1,0)),元データ_14項目!$A$2:$A$1300,$A644,元データ_14項目!$B$2:$B$1300,"本年",元データ_14項目!$C$2:$C$1300,M$5)</f>
        <v>25</v>
      </c>
      <c r="N644" s="26">
        <f>SUMIFS(INDEX(元データ_14項目!$D$2:$Q$1300,0,MATCH($B644,元データ_14項目!$D$1:$Q$1,0)),元データ_14項目!$A$2:$A$1300,$A644,元データ_14項目!$B$2:$B$1300,"本年",元データ_14項目!$C$2:$C$1300,N$5)</f>
        <v>11</v>
      </c>
      <c r="O644" s="26">
        <f t="shared" si="18"/>
        <v>270</v>
      </c>
      <c r="P644" s="26">
        <f>SUMIFS(INDEX(元データ_14項目!$D$2:$Q$1300,0,MATCH($B644,元データ_14項目!$D$1:$Q$1,0)),元データ_14項目!$A$2:$A$1300,$A644,元データ_14項目!$B$2:$B$1300,"前年")</f>
        <v>300</v>
      </c>
      <c r="Q644" s="7">
        <f t="shared" si="19"/>
        <v>0.9</v>
      </c>
    </row>
    <row r="645" spans="1:17" x14ac:dyDescent="0.45">
      <c r="A645" t="s">
        <v>80</v>
      </c>
      <c r="B645" t="s">
        <v>95</v>
      </c>
      <c r="C645" s="26">
        <f>SUMIFS(INDEX(元データ_14項目!$D$2:$Q$1300,0,MATCH($B645,元データ_14項目!$D$1:$Q$1,0)),元データ_14項目!$A$2:$A$1300,$A645,元データ_14項目!$B$2:$B$1300,"本年",元データ_14項目!$C$2:$C$1300,C$5)</f>
        <v>11</v>
      </c>
      <c r="D645" s="26">
        <f>SUMIFS(INDEX(元データ_14項目!$D$2:$Q$1300,0,MATCH($B645,元データ_14項目!$D$1:$Q$1,0)),元データ_14項目!$A$2:$A$1300,$A645,元データ_14項目!$B$2:$B$1300,"本年",元データ_14項目!$C$2:$C$1300,D$5)</f>
        <v>19</v>
      </c>
      <c r="E645" s="26">
        <f>SUMIFS(INDEX(元データ_14項目!$D$2:$Q$1300,0,MATCH($B645,元データ_14項目!$D$1:$Q$1,0)),元データ_14項目!$A$2:$A$1300,$A645,元データ_14項目!$B$2:$B$1300,"本年",元データ_14項目!$C$2:$C$1300,E$5)</f>
        <v>28</v>
      </c>
      <c r="F645" s="26">
        <f>SUMIFS(INDEX(元データ_14項目!$D$2:$Q$1300,0,MATCH($B645,元データ_14項目!$D$1:$Q$1,0)),元データ_14項目!$A$2:$A$1300,$A645,元データ_14項目!$B$2:$B$1300,"本年",元データ_14項目!$C$2:$C$1300,F$5)</f>
        <v>33</v>
      </c>
      <c r="G645" s="26">
        <f>SUMIFS(INDEX(元データ_14項目!$D$2:$Q$1300,0,MATCH($B645,元データ_14項目!$D$1:$Q$1,0)),元データ_14項目!$A$2:$A$1300,$A645,元データ_14項目!$B$2:$B$1300,"本年",元データ_14項目!$C$2:$C$1300,G$5)</f>
        <v>10</v>
      </c>
      <c r="H645" s="26">
        <f>SUMIFS(INDEX(元データ_14項目!$D$2:$Q$1300,0,MATCH($B645,元データ_14項目!$D$1:$Q$1,0)),元データ_14項目!$A$2:$A$1300,$A645,元データ_14項目!$B$2:$B$1300,"本年",元データ_14項目!$C$2:$C$1300,H$5)</f>
        <v>17</v>
      </c>
      <c r="I645" s="26">
        <f>SUMIFS(INDEX(元データ_14項目!$D$2:$Q$1300,0,MATCH($B645,元データ_14項目!$D$1:$Q$1,0)),元データ_14項目!$A$2:$A$1300,$A645,元データ_14項目!$B$2:$B$1300,"本年",元データ_14項目!$C$2:$C$1300,I$5)</f>
        <v>9</v>
      </c>
      <c r="J645" s="26">
        <f>SUMIFS(INDEX(元データ_14項目!$D$2:$Q$1300,0,MATCH($B645,元データ_14項目!$D$1:$Q$1,0)),元データ_14項目!$A$2:$A$1300,$A645,元データ_14項目!$B$2:$B$1300,"本年",元データ_14項目!$C$2:$C$1300,J$5)</f>
        <v>16</v>
      </c>
      <c r="K645" s="26">
        <f>SUMIFS(INDEX(元データ_14項目!$D$2:$Q$1300,0,MATCH($B645,元データ_14項目!$D$1:$Q$1,0)),元データ_14項目!$A$2:$A$1300,$A645,元データ_14項目!$B$2:$B$1300,"本年",元データ_14項目!$C$2:$C$1300,K$5)</f>
        <v>48</v>
      </c>
      <c r="L645" s="26">
        <f>SUMIFS(INDEX(元データ_14項目!$D$2:$Q$1300,0,MATCH($B645,元データ_14項目!$D$1:$Q$1,0)),元データ_14項目!$A$2:$A$1300,$A645,元データ_14項目!$B$2:$B$1300,"本年",元データ_14項目!$C$2:$C$1300,L$5)</f>
        <v>28</v>
      </c>
      <c r="M645" s="26">
        <f>SUMIFS(INDEX(元データ_14項目!$D$2:$Q$1300,0,MATCH($B645,元データ_14項目!$D$1:$Q$1,0)),元データ_14項目!$A$2:$A$1300,$A645,元データ_14項目!$B$2:$B$1300,"本年",元データ_14項目!$C$2:$C$1300,M$5)</f>
        <v>13</v>
      </c>
      <c r="N645" s="26">
        <f>SUMIFS(INDEX(元データ_14項目!$D$2:$Q$1300,0,MATCH($B645,元データ_14項目!$D$1:$Q$1,0)),元データ_14項目!$A$2:$A$1300,$A645,元データ_14項目!$B$2:$B$1300,"本年",元データ_14項目!$C$2:$C$1300,N$5)</f>
        <v>14</v>
      </c>
      <c r="O645" s="26">
        <f t="shared" si="18"/>
        <v>246</v>
      </c>
      <c r="P645" s="26">
        <f>SUMIFS(INDEX(元データ_14項目!$D$2:$Q$1300,0,MATCH($B645,元データ_14項目!$D$1:$Q$1,0)),元データ_14項目!$A$2:$A$1300,$A645,元データ_14項目!$B$2:$B$1300,"前年")</f>
        <v>221</v>
      </c>
      <c r="Q645" s="7">
        <f t="shared" si="19"/>
        <v>1.1131221719457014</v>
      </c>
    </row>
    <row r="646" spans="1:17" x14ac:dyDescent="0.45">
      <c r="A646" t="s">
        <v>80</v>
      </c>
      <c r="B646" t="s">
        <v>96</v>
      </c>
      <c r="C646" s="26">
        <f>SUMIFS(INDEX(元データ_14項目!$D$2:$Q$1300,0,MATCH($B646,元データ_14項目!$D$1:$Q$1,0)),元データ_14項目!$A$2:$A$1300,$A646,元データ_14項目!$B$2:$B$1300,"本年",元データ_14項目!$C$2:$C$1300,C$5)</f>
        <v>4</v>
      </c>
      <c r="D646" s="26">
        <f>SUMIFS(INDEX(元データ_14項目!$D$2:$Q$1300,0,MATCH($B646,元データ_14項目!$D$1:$Q$1,0)),元データ_14項目!$A$2:$A$1300,$A646,元データ_14項目!$B$2:$B$1300,"本年",元データ_14項目!$C$2:$C$1300,D$5)</f>
        <v>16</v>
      </c>
      <c r="E646" s="26">
        <f>SUMIFS(INDEX(元データ_14項目!$D$2:$Q$1300,0,MATCH($B646,元データ_14項目!$D$1:$Q$1,0)),元データ_14項目!$A$2:$A$1300,$A646,元データ_14項目!$B$2:$B$1300,"本年",元データ_14項目!$C$2:$C$1300,E$5)</f>
        <v>21</v>
      </c>
      <c r="F646" s="26">
        <f>SUMIFS(INDEX(元データ_14項目!$D$2:$Q$1300,0,MATCH($B646,元データ_14項目!$D$1:$Q$1,0)),元データ_14項目!$A$2:$A$1300,$A646,元データ_14項目!$B$2:$B$1300,"本年",元データ_14項目!$C$2:$C$1300,F$5)</f>
        <v>21</v>
      </c>
      <c r="G646" s="26">
        <f>SUMIFS(INDEX(元データ_14項目!$D$2:$Q$1300,0,MATCH($B646,元データ_14項目!$D$1:$Q$1,0)),元データ_14項目!$A$2:$A$1300,$A646,元データ_14項目!$B$2:$B$1300,"本年",元データ_14項目!$C$2:$C$1300,G$5)</f>
        <v>34</v>
      </c>
      <c r="H646" s="26">
        <f>SUMIFS(INDEX(元データ_14項目!$D$2:$Q$1300,0,MATCH($B646,元データ_14項目!$D$1:$Q$1,0)),元データ_14項目!$A$2:$A$1300,$A646,元データ_14項目!$B$2:$B$1300,"本年",元データ_14項目!$C$2:$C$1300,H$5)</f>
        <v>32</v>
      </c>
      <c r="I646" s="26">
        <f>SUMIFS(INDEX(元データ_14項目!$D$2:$Q$1300,0,MATCH($B646,元データ_14項目!$D$1:$Q$1,0)),元データ_14項目!$A$2:$A$1300,$A646,元データ_14項目!$B$2:$B$1300,"本年",元データ_14項目!$C$2:$C$1300,I$5)</f>
        <v>18</v>
      </c>
      <c r="J646" s="26">
        <f>SUMIFS(INDEX(元データ_14項目!$D$2:$Q$1300,0,MATCH($B646,元データ_14項目!$D$1:$Q$1,0)),元データ_14項目!$A$2:$A$1300,$A646,元データ_14項目!$B$2:$B$1300,"本年",元データ_14項目!$C$2:$C$1300,J$5)</f>
        <v>67</v>
      </c>
      <c r="K646" s="26">
        <f>SUMIFS(INDEX(元データ_14項目!$D$2:$Q$1300,0,MATCH($B646,元データ_14項目!$D$1:$Q$1,0)),元データ_14項目!$A$2:$A$1300,$A646,元データ_14項目!$B$2:$B$1300,"本年",元データ_14項目!$C$2:$C$1300,K$5)</f>
        <v>172</v>
      </c>
      <c r="L646" s="26">
        <f>SUMIFS(INDEX(元データ_14項目!$D$2:$Q$1300,0,MATCH($B646,元データ_14項目!$D$1:$Q$1,0)),元データ_14項目!$A$2:$A$1300,$A646,元データ_14項目!$B$2:$B$1300,"本年",元データ_14項目!$C$2:$C$1300,L$5)</f>
        <v>106</v>
      </c>
      <c r="M646" s="26">
        <f>SUMIFS(INDEX(元データ_14項目!$D$2:$Q$1300,0,MATCH($B646,元データ_14項目!$D$1:$Q$1,0)),元データ_14項目!$A$2:$A$1300,$A646,元データ_14項目!$B$2:$B$1300,"本年",元データ_14項目!$C$2:$C$1300,M$5)</f>
        <v>51</v>
      </c>
      <c r="N646" s="26">
        <f>SUMIFS(INDEX(元データ_14項目!$D$2:$Q$1300,0,MATCH($B646,元データ_14項目!$D$1:$Q$1,0)),元データ_14項目!$A$2:$A$1300,$A646,元データ_14項目!$B$2:$B$1300,"本年",元データ_14項目!$C$2:$C$1300,N$5)</f>
        <v>28</v>
      </c>
      <c r="O646" s="26">
        <f t="shared" si="18"/>
        <v>570</v>
      </c>
      <c r="P646" s="26">
        <f>SUMIFS(INDEX(元データ_14項目!$D$2:$Q$1300,0,MATCH($B646,元データ_14項目!$D$1:$Q$1,0)),元データ_14項目!$A$2:$A$1300,$A646,元データ_14項目!$B$2:$B$1300,"前年")</f>
        <v>606</v>
      </c>
      <c r="Q646" s="7">
        <f t="shared" si="19"/>
        <v>0.94059405940594054</v>
      </c>
    </row>
    <row r="647" spans="1:17" x14ac:dyDescent="0.45">
      <c r="A647" t="s">
        <v>80</v>
      </c>
      <c r="B647" t="s">
        <v>97</v>
      </c>
      <c r="C647" s="26">
        <f>SUMIFS(INDEX(元データ_14項目!$D$2:$Q$1300,0,MATCH($B647,元データ_14項目!$D$1:$Q$1,0)),元データ_14項目!$A$2:$A$1300,$A647,元データ_14項目!$B$2:$B$1300,"本年",元データ_14項目!$C$2:$C$1300,C$5)</f>
        <v>12</v>
      </c>
      <c r="D647" s="26">
        <f>SUMIFS(INDEX(元データ_14項目!$D$2:$Q$1300,0,MATCH($B647,元データ_14項目!$D$1:$Q$1,0)),元データ_14項目!$A$2:$A$1300,$A647,元データ_14項目!$B$2:$B$1300,"本年",元データ_14項目!$C$2:$C$1300,D$5)</f>
        <v>10</v>
      </c>
      <c r="E647" s="26">
        <f>SUMIFS(INDEX(元データ_14項目!$D$2:$Q$1300,0,MATCH($B647,元データ_14項目!$D$1:$Q$1,0)),元データ_14項目!$A$2:$A$1300,$A647,元データ_14項目!$B$2:$B$1300,"本年",元データ_14項目!$C$2:$C$1300,E$5)</f>
        <v>24</v>
      </c>
      <c r="F647" s="26">
        <f>SUMIFS(INDEX(元データ_14項目!$D$2:$Q$1300,0,MATCH($B647,元データ_14項目!$D$1:$Q$1,0)),元データ_14項目!$A$2:$A$1300,$A647,元データ_14項目!$B$2:$B$1300,"本年",元データ_14項目!$C$2:$C$1300,F$5)</f>
        <v>51</v>
      </c>
      <c r="G647" s="26">
        <f>SUMIFS(INDEX(元データ_14項目!$D$2:$Q$1300,0,MATCH($B647,元データ_14項目!$D$1:$Q$1,0)),元データ_14項目!$A$2:$A$1300,$A647,元データ_14項目!$B$2:$B$1300,"本年",元データ_14項目!$C$2:$C$1300,G$5)</f>
        <v>16</v>
      </c>
      <c r="H647" s="26">
        <f>SUMIFS(INDEX(元データ_14項目!$D$2:$Q$1300,0,MATCH($B647,元データ_14項目!$D$1:$Q$1,0)),元データ_14項目!$A$2:$A$1300,$A647,元データ_14項目!$B$2:$B$1300,"本年",元データ_14項目!$C$2:$C$1300,H$5)</f>
        <v>24</v>
      </c>
      <c r="I647" s="26">
        <f>SUMIFS(INDEX(元データ_14項目!$D$2:$Q$1300,0,MATCH($B647,元データ_14項目!$D$1:$Q$1,0)),元データ_14項目!$A$2:$A$1300,$A647,元データ_14項目!$B$2:$B$1300,"本年",元データ_14項目!$C$2:$C$1300,I$5)</f>
        <v>21</v>
      </c>
      <c r="J647" s="26">
        <f>SUMIFS(INDEX(元データ_14項目!$D$2:$Q$1300,0,MATCH($B647,元データ_14項目!$D$1:$Q$1,0)),元データ_14項目!$A$2:$A$1300,$A647,元データ_14項目!$B$2:$B$1300,"本年",元データ_14項目!$C$2:$C$1300,J$5)</f>
        <v>47</v>
      </c>
      <c r="K647" s="26">
        <f>SUMIFS(INDEX(元データ_14項目!$D$2:$Q$1300,0,MATCH($B647,元データ_14項目!$D$1:$Q$1,0)),元データ_14項目!$A$2:$A$1300,$A647,元データ_14項目!$B$2:$B$1300,"本年",元データ_14項目!$C$2:$C$1300,K$5)</f>
        <v>122</v>
      </c>
      <c r="L647" s="26">
        <f>SUMIFS(INDEX(元データ_14項目!$D$2:$Q$1300,0,MATCH($B647,元データ_14項目!$D$1:$Q$1,0)),元データ_14項目!$A$2:$A$1300,$A647,元データ_14項目!$B$2:$B$1300,"本年",元データ_14項目!$C$2:$C$1300,L$5)</f>
        <v>75</v>
      </c>
      <c r="M647" s="26">
        <f>SUMIFS(INDEX(元データ_14項目!$D$2:$Q$1300,0,MATCH($B647,元データ_14項目!$D$1:$Q$1,0)),元データ_14項目!$A$2:$A$1300,$A647,元データ_14項目!$B$2:$B$1300,"本年",元データ_14項目!$C$2:$C$1300,M$5)</f>
        <v>48</v>
      </c>
      <c r="N647" s="26">
        <f>SUMIFS(INDEX(元データ_14項目!$D$2:$Q$1300,0,MATCH($B647,元データ_14項目!$D$1:$Q$1,0)),元データ_14項目!$A$2:$A$1300,$A647,元データ_14項目!$B$2:$B$1300,"本年",元データ_14項目!$C$2:$C$1300,N$5)</f>
        <v>27</v>
      </c>
      <c r="O647" s="26">
        <f t="shared" ref="O647:O710" si="20">SUM(C647:N647)</f>
        <v>477</v>
      </c>
      <c r="P647" s="26">
        <f>SUMIFS(INDEX(元データ_14項目!$D$2:$Q$1300,0,MATCH($B647,元データ_14項目!$D$1:$Q$1,0)),元データ_14項目!$A$2:$A$1300,$A647,元データ_14項目!$B$2:$B$1300,"前年")</f>
        <v>479</v>
      </c>
      <c r="Q647" s="7">
        <f t="shared" ref="Q647:Q710" si="21">IFERROR(O647/P647,"")</f>
        <v>0.99582463465553239</v>
      </c>
    </row>
    <row r="648" spans="1:17" x14ac:dyDescent="0.45">
      <c r="A648" t="s">
        <v>80</v>
      </c>
      <c r="B648" t="s">
        <v>98</v>
      </c>
      <c r="C648" s="26">
        <f>SUMIFS(INDEX(元データ_14項目!$D$2:$Q$1300,0,MATCH($B648,元データ_14項目!$D$1:$Q$1,0)),元データ_14項目!$A$2:$A$1300,$A648,元データ_14項目!$B$2:$B$1300,"本年",元データ_14項目!$C$2:$C$1300,C$5)</f>
        <v>2</v>
      </c>
      <c r="D648" s="26">
        <f>SUMIFS(INDEX(元データ_14項目!$D$2:$Q$1300,0,MATCH($B648,元データ_14項目!$D$1:$Q$1,0)),元データ_14項目!$A$2:$A$1300,$A648,元データ_14項目!$B$2:$B$1300,"本年",元データ_14項目!$C$2:$C$1300,D$5)</f>
        <v>3</v>
      </c>
      <c r="E648" s="26">
        <f>SUMIFS(INDEX(元データ_14項目!$D$2:$Q$1300,0,MATCH($B648,元データ_14項目!$D$1:$Q$1,0)),元データ_14項目!$A$2:$A$1300,$A648,元データ_14項目!$B$2:$B$1300,"本年",元データ_14項目!$C$2:$C$1300,E$5)</f>
        <v>11</v>
      </c>
      <c r="F648" s="26">
        <f>SUMIFS(INDEX(元データ_14項目!$D$2:$Q$1300,0,MATCH($B648,元データ_14項目!$D$1:$Q$1,0)),元データ_14項目!$A$2:$A$1300,$A648,元データ_14項目!$B$2:$B$1300,"本年",元データ_14項目!$C$2:$C$1300,F$5)</f>
        <v>9</v>
      </c>
      <c r="G648" s="26">
        <f>SUMIFS(INDEX(元データ_14項目!$D$2:$Q$1300,0,MATCH($B648,元データ_14項目!$D$1:$Q$1,0)),元データ_14項目!$A$2:$A$1300,$A648,元データ_14項目!$B$2:$B$1300,"本年",元データ_14項目!$C$2:$C$1300,G$5)</f>
        <v>14</v>
      </c>
      <c r="H648" s="26">
        <f>SUMIFS(INDEX(元データ_14項目!$D$2:$Q$1300,0,MATCH($B648,元データ_14項目!$D$1:$Q$1,0)),元データ_14項目!$A$2:$A$1300,$A648,元データ_14項目!$B$2:$B$1300,"本年",元データ_14項目!$C$2:$C$1300,H$5)</f>
        <v>10</v>
      </c>
      <c r="I648" s="26">
        <f>SUMIFS(INDEX(元データ_14項目!$D$2:$Q$1300,0,MATCH($B648,元データ_14項目!$D$1:$Q$1,0)),元データ_14項目!$A$2:$A$1300,$A648,元データ_14項目!$B$2:$B$1300,"本年",元データ_14項目!$C$2:$C$1300,I$5)</f>
        <v>13</v>
      </c>
      <c r="J648" s="26">
        <f>SUMIFS(INDEX(元データ_14項目!$D$2:$Q$1300,0,MATCH($B648,元データ_14項目!$D$1:$Q$1,0)),元データ_14項目!$A$2:$A$1300,$A648,元データ_14項目!$B$2:$B$1300,"本年",元データ_14項目!$C$2:$C$1300,J$5)</f>
        <v>37</v>
      </c>
      <c r="K648" s="26">
        <f>SUMIFS(INDEX(元データ_14項目!$D$2:$Q$1300,0,MATCH($B648,元データ_14項目!$D$1:$Q$1,0)),元データ_14項目!$A$2:$A$1300,$A648,元データ_14項目!$B$2:$B$1300,"本年",元データ_14項目!$C$2:$C$1300,K$5)</f>
        <v>86</v>
      </c>
      <c r="L648" s="26">
        <f>SUMIFS(INDEX(元データ_14項目!$D$2:$Q$1300,0,MATCH($B648,元データ_14項目!$D$1:$Q$1,0)),元データ_14項目!$A$2:$A$1300,$A648,元データ_14項目!$B$2:$B$1300,"本年",元データ_14項目!$C$2:$C$1300,L$5)</f>
        <v>65</v>
      </c>
      <c r="M648" s="26">
        <f>SUMIFS(INDEX(元データ_14項目!$D$2:$Q$1300,0,MATCH($B648,元データ_14項目!$D$1:$Q$1,0)),元データ_14項目!$A$2:$A$1300,$A648,元データ_14項目!$B$2:$B$1300,"本年",元データ_14項目!$C$2:$C$1300,M$5)</f>
        <v>29</v>
      </c>
      <c r="N648" s="26">
        <f>SUMIFS(INDEX(元データ_14項目!$D$2:$Q$1300,0,MATCH($B648,元データ_14項目!$D$1:$Q$1,0)),元データ_14項目!$A$2:$A$1300,$A648,元データ_14項目!$B$2:$B$1300,"本年",元データ_14項目!$C$2:$C$1300,N$5)</f>
        <v>18</v>
      </c>
      <c r="O648" s="26">
        <f t="shared" si="20"/>
        <v>297</v>
      </c>
      <c r="P648" s="26">
        <f>SUMIFS(INDEX(元データ_14項目!$D$2:$Q$1300,0,MATCH($B648,元データ_14項目!$D$1:$Q$1,0)),元データ_14項目!$A$2:$A$1300,$A648,元データ_14項目!$B$2:$B$1300,"前年")</f>
        <v>312</v>
      </c>
      <c r="Q648" s="7">
        <f t="shared" si="21"/>
        <v>0.95192307692307687</v>
      </c>
    </row>
    <row r="649" spans="1:17" x14ac:dyDescent="0.45">
      <c r="A649" t="s">
        <v>80</v>
      </c>
      <c r="B649" t="s">
        <v>99</v>
      </c>
      <c r="C649" s="26">
        <f>SUMIFS(INDEX(元データ_14項目!$D$2:$Q$1300,0,MATCH($B649,元データ_14項目!$D$1:$Q$1,0)),元データ_14項目!$A$2:$A$1300,$A649,元データ_14項目!$B$2:$B$1300,"本年",元データ_14項目!$C$2:$C$1300,C$5)</f>
        <v>0</v>
      </c>
      <c r="D649" s="26">
        <f>SUMIFS(INDEX(元データ_14項目!$D$2:$Q$1300,0,MATCH($B649,元データ_14項目!$D$1:$Q$1,0)),元データ_14項目!$A$2:$A$1300,$A649,元データ_14項目!$B$2:$B$1300,"本年",元データ_14項目!$C$2:$C$1300,D$5)</f>
        <v>0</v>
      </c>
      <c r="E649" s="26">
        <f>SUMIFS(INDEX(元データ_14項目!$D$2:$Q$1300,0,MATCH($B649,元データ_14項目!$D$1:$Q$1,0)),元データ_14項目!$A$2:$A$1300,$A649,元データ_14項目!$B$2:$B$1300,"本年",元データ_14項目!$C$2:$C$1300,E$5)</f>
        <v>0</v>
      </c>
      <c r="F649" s="26">
        <f>SUMIFS(INDEX(元データ_14項目!$D$2:$Q$1300,0,MATCH($B649,元データ_14項目!$D$1:$Q$1,0)),元データ_14項目!$A$2:$A$1300,$A649,元データ_14項目!$B$2:$B$1300,"本年",元データ_14項目!$C$2:$C$1300,F$5)</f>
        <v>2</v>
      </c>
      <c r="G649" s="26">
        <f>SUMIFS(INDEX(元データ_14項目!$D$2:$Q$1300,0,MATCH($B649,元データ_14項目!$D$1:$Q$1,0)),元データ_14項目!$A$2:$A$1300,$A649,元データ_14項目!$B$2:$B$1300,"本年",元データ_14項目!$C$2:$C$1300,G$5)</f>
        <v>0</v>
      </c>
      <c r="H649" s="26">
        <f>SUMIFS(INDEX(元データ_14項目!$D$2:$Q$1300,0,MATCH($B649,元データ_14項目!$D$1:$Q$1,0)),元データ_14項目!$A$2:$A$1300,$A649,元データ_14項目!$B$2:$B$1300,"本年",元データ_14項目!$C$2:$C$1300,H$5)</f>
        <v>2</v>
      </c>
      <c r="I649" s="26">
        <f>SUMIFS(INDEX(元データ_14項目!$D$2:$Q$1300,0,MATCH($B649,元データ_14項目!$D$1:$Q$1,0)),元データ_14項目!$A$2:$A$1300,$A649,元データ_14項目!$B$2:$B$1300,"本年",元データ_14項目!$C$2:$C$1300,I$5)</f>
        <v>0</v>
      </c>
      <c r="J649" s="26">
        <f>SUMIFS(INDEX(元データ_14項目!$D$2:$Q$1300,0,MATCH($B649,元データ_14項目!$D$1:$Q$1,0)),元データ_14項目!$A$2:$A$1300,$A649,元データ_14項目!$B$2:$B$1300,"本年",元データ_14項目!$C$2:$C$1300,J$5)</f>
        <v>3</v>
      </c>
      <c r="K649" s="26">
        <f>SUMIFS(INDEX(元データ_14項目!$D$2:$Q$1300,0,MATCH($B649,元データ_14項目!$D$1:$Q$1,0)),元データ_14項目!$A$2:$A$1300,$A649,元データ_14項目!$B$2:$B$1300,"本年",元データ_14項目!$C$2:$C$1300,K$5)</f>
        <v>8</v>
      </c>
      <c r="L649" s="26">
        <f>SUMIFS(INDEX(元データ_14項目!$D$2:$Q$1300,0,MATCH($B649,元データ_14項目!$D$1:$Q$1,0)),元データ_14項目!$A$2:$A$1300,$A649,元データ_14項目!$B$2:$B$1300,"本年",元データ_14項目!$C$2:$C$1300,L$5)</f>
        <v>1</v>
      </c>
      <c r="M649" s="26">
        <f>SUMIFS(INDEX(元データ_14項目!$D$2:$Q$1300,0,MATCH($B649,元データ_14項目!$D$1:$Q$1,0)),元データ_14項目!$A$2:$A$1300,$A649,元データ_14項目!$B$2:$B$1300,"本年",元データ_14項目!$C$2:$C$1300,M$5)</f>
        <v>0</v>
      </c>
      <c r="N649" s="26">
        <f>SUMIFS(INDEX(元データ_14項目!$D$2:$Q$1300,0,MATCH($B649,元データ_14項目!$D$1:$Q$1,0)),元データ_14項目!$A$2:$A$1300,$A649,元データ_14項目!$B$2:$B$1300,"本年",元データ_14項目!$C$2:$C$1300,N$5)</f>
        <v>0</v>
      </c>
      <c r="O649" s="26">
        <f t="shared" si="20"/>
        <v>16</v>
      </c>
      <c r="P649" s="26">
        <f>SUMIFS(INDEX(元データ_14項目!$D$2:$Q$1300,0,MATCH($B649,元データ_14項目!$D$1:$Q$1,0)),元データ_14項目!$A$2:$A$1300,$A649,元データ_14項目!$B$2:$B$1300,"前年")</f>
        <v>19</v>
      </c>
      <c r="Q649" s="7">
        <f t="shared" si="21"/>
        <v>0.84210526315789469</v>
      </c>
    </row>
    <row r="650" spans="1:17" x14ac:dyDescent="0.45">
      <c r="A650" t="s">
        <v>81</v>
      </c>
      <c r="B650" t="s">
        <v>27</v>
      </c>
      <c r="C650" s="26">
        <f>SUMIFS(INDEX(元データ_14項目!$D$2:$Q$1300,0,MATCH($B650,元データ_14項目!$D$1:$Q$1,0)),元データ_14項目!$A$2:$A$1300,$A650,元データ_14項目!$B$2:$B$1300,"本年",元データ_14項目!$C$2:$C$1300,C$5)</f>
        <v>392</v>
      </c>
      <c r="D650" s="26">
        <f>SUMIFS(INDEX(元データ_14項目!$D$2:$Q$1300,0,MATCH($B650,元データ_14項目!$D$1:$Q$1,0)),元データ_14項目!$A$2:$A$1300,$A650,元データ_14項目!$B$2:$B$1300,"本年",元データ_14項目!$C$2:$C$1300,D$5)</f>
        <v>425</v>
      </c>
      <c r="E650" s="26">
        <f>SUMIFS(INDEX(元データ_14項目!$D$2:$Q$1300,0,MATCH($B650,元データ_14項目!$D$1:$Q$1,0)),元データ_14項目!$A$2:$A$1300,$A650,元データ_14項目!$B$2:$B$1300,"本年",元データ_14項目!$C$2:$C$1300,E$5)</f>
        <v>523</v>
      </c>
      <c r="F650" s="26">
        <f>SUMIFS(INDEX(元データ_14項目!$D$2:$Q$1300,0,MATCH($B650,元データ_14項目!$D$1:$Q$1,0)),元データ_14項目!$A$2:$A$1300,$A650,元データ_14項目!$B$2:$B$1300,"本年",元データ_14項目!$C$2:$C$1300,F$5)</f>
        <v>443</v>
      </c>
      <c r="G650" s="26">
        <f>SUMIFS(INDEX(元データ_14項目!$D$2:$Q$1300,0,MATCH($B650,元データ_14項目!$D$1:$Q$1,0)),元データ_14項目!$A$2:$A$1300,$A650,元データ_14項目!$B$2:$B$1300,"本年",元データ_14項目!$C$2:$C$1300,G$5)</f>
        <v>0</v>
      </c>
      <c r="H650" s="26">
        <f>SUMIFS(INDEX(元データ_14項目!$D$2:$Q$1300,0,MATCH($B650,元データ_14項目!$D$1:$Q$1,0)),元データ_14項目!$A$2:$A$1300,$A650,元データ_14項目!$B$2:$B$1300,"本年",元データ_14項目!$C$2:$C$1300,H$5)</f>
        <v>349</v>
      </c>
      <c r="I650" s="26">
        <f>SUMIFS(INDEX(元データ_14項目!$D$2:$Q$1300,0,MATCH($B650,元データ_14項目!$D$1:$Q$1,0)),元データ_14項目!$A$2:$A$1300,$A650,元データ_14項目!$B$2:$B$1300,"本年",元データ_14項目!$C$2:$C$1300,I$5)</f>
        <v>344</v>
      </c>
      <c r="J650" s="26">
        <f>SUMIFS(INDEX(元データ_14項目!$D$2:$Q$1300,0,MATCH($B650,元データ_14項目!$D$1:$Q$1,0)),元データ_14項目!$A$2:$A$1300,$A650,元データ_14項目!$B$2:$B$1300,"本年",元データ_14項目!$C$2:$C$1300,J$5)</f>
        <v>427</v>
      </c>
      <c r="K650" s="26">
        <f>SUMIFS(INDEX(元データ_14項目!$D$2:$Q$1300,0,MATCH($B650,元データ_14項目!$D$1:$Q$1,0)),元データ_14項目!$A$2:$A$1300,$A650,元データ_14項目!$B$2:$B$1300,"本年",元データ_14項目!$C$2:$C$1300,K$5)</f>
        <v>449</v>
      </c>
      <c r="L650" s="26">
        <f>SUMIFS(INDEX(元データ_14項目!$D$2:$Q$1300,0,MATCH($B650,元データ_14項目!$D$1:$Q$1,0)),元データ_14項目!$A$2:$A$1300,$A650,元データ_14項目!$B$2:$B$1300,"本年",元データ_14項目!$C$2:$C$1300,L$5)</f>
        <v>410</v>
      </c>
      <c r="M650" s="26">
        <f>SUMIFS(INDEX(元データ_14項目!$D$2:$Q$1300,0,MATCH($B650,元データ_14項目!$D$1:$Q$1,0)),元データ_14項目!$A$2:$A$1300,$A650,元データ_14項目!$B$2:$B$1300,"本年",元データ_14項目!$C$2:$C$1300,M$5)</f>
        <v>430</v>
      </c>
      <c r="N650" s="26">
        <f>SUMIFS(INDEX(元データ_14項目!$D$2:$Q$1300,0,MATCH($B650,元データ_14項目!$D$1:$Q$1,0)),元データ_14項目!$A$2:$A$1300,$A650,元データ_14項目!$B$2:$B$1300,"本年",元データ_14項目!$C$2:$C$1300,N$5)</f>
        <v>392</v>
      </c>
      <c r="O650" s="26">
        <f t="shared" si="20"/>
        <v>4584</v>
      </c>
      <c r="P650" s="26">
        <f>SUMIFS(INDEX(元データ_14項目!$D$2:$Q$1300,0,MATCH($B650,元データ_14項目!$D$1:$Q$1,0)),元データ_14項目!$A$2:$A$1300,$A650,元データ_14項目!$B$2:$B$1300,"前年")</f>
        <v>5229</v>
      </c>
      <c r="Q650" s="7">
        <f t="shared" si="21"/>
        <v>0.87664945496270796</v>
      </c>
    </row>
    <row r="651" spans="1:17" x14ac:dyDescent="0.45">
      <c r="A651" t="s">
        <v>81</v>
      </c>
      <c r="B651" t="s">
        <v>88</v>
      </c>
      <c r="C651" s="26">
        <f>SUMIFS(INDEX(元データ_14項目!$D$2:$Q$1300,0,MATCH($B651,元データ_14項目!$D$1:$Q$1,0)),元データ_14項目!$A$2:$A$1300,$A651,元データ_14項目!$B$2:$B$1300,"本年",元データ_14項目!$C$2:$C$1300,C$5)</f>
        <v>15</v>
      </c>
      <c r="D651" s="26">
        <f>SUMIFS(INDEX(元データ_14項目!$D$2:$Q$1300,0,MATCH($B651,元データ_14項目!$D$1:$Q$1,0)),元データ_14項目!$A$2:$A$1300,$A651,元データ_14項目!$B$2:$B$1300,"本年",元データ_14項目!$C$2:$C$1300,D$5)</f>
        <v>14</v>
      </c>
      <c r="E651" s="26">
        <f>SUMIFS(INDEX(元データ_14項目!$D$2:$Q$1300,0,MATCH($B651,元データ_14項目!$D$1:$Q$1,0)),元データ_14項目!$A$2:$A$1300,$A651,元データ_14項目!$B$2:$B$1300,"本年",元データ_14項目!$C$2:$C$1300,E$5)</f>
        <v>42</v>
      </c>
      <c r="F651" s="26">
        <f>SUMIFS(INDEX(元データ_14項目!$D$2:$Q$1300,0,MATCH($B651,元データ_14項目!$D$1:$Q$1,0)),元データ_14項目!$A$2:$A$1300,$A651,元データ_14項目!$B$2:$B$1300,"本年",元データ_14項目!$C$2:$C$1300,F$5)</f>
        <v>33</v>
      </c>
      <c r="G651" s="26">
        <f>SUMIFS(INDEX(元データ_14項目!$D$2:$Q$1300,0,MATCH($B651,元データ_14項目!$D$1:$Q$1,0)),元データ_14項目!$A$2:$A$1300,$A651,元データ_14項目!$B$2:$B$1300,"本年",元データ_14項目!$C$2:$C$1300,G$5)</f>
        <v>0</v>
      </c>
      <c r="H651" s="26">
        <f>SUMIFS(INDEX(元データ_14項目!$D$2:$Q$1300,0,MATCH($B651,元データ_14項目!$D$1:$Q$1,0)),元データ_14項目!$A$2:$A$1300,$A651,元データ_14項目!$B$2:$B$1300,"本年",元データ_14項目!$C$2:$C$1300,H$5)</f>
        <v>5</v>
      </c>
      <c r="I651" s="26">
        <f>SUMIFS(INDEX(元データ_14項目!$D$2:$Q$1300,0,MATCH($B651,元データ_14項目!$D$1:$Q$1,0)),元データ_14項目!$A$2:$A$1300,$A651,元データ_14項目!$B$2:$B$1300,"本年",元データ_14項目!$C$2:$C$1300,I$5)</f>
        <v>6</v>
      </c>
      <c r="J651" s="26">
        <f>SUMIFS(INDEX(元データ_14項目!$D$2:$Q$1300,0,MATCH($B651,元データ_14項目!$D$1:$Q$1,0)),元データ_14項目!$A$2:$A$1300,$A651,元データ_14項目!$B$2:$B$1300,"本年",元データ_14項目!$C$2:$C$1300,J$5)</f>
        <v>10</v>
      </c>
      <c r="K651" s="26">
        <f>SUMIFS(INDEX(元データ_14項目!$D$2:$Q$1300,0,MATCH($B651,元データ_14項目!$D$1:$Q$1,0)),元データ_14項目!$A$2:$A$1300,$A651,元データ_14項目!$B$2:$B$1300,"本年",元データ_14項目!$C$2:$C$1300,K$5)</f>
        <v>15</v>
      </c>
      <c r="L651" s="26">
        <f>SUMIFS(INDEX(元データ_14項目!$D$2:$Q$1300,0,MATCH($B651,元データ_14項目!$D$1:$Q$1,0)),元データ_14項目!$A$2:$A$1300,$A651,元データ_14項目!$B$2:$B$1300,"本年",元データ_14項目!$C$2:$C$1300,L$5)</f>
        <v>22</v>
      </c>
      <c r="M651" s="26">
        <f>SUMIFS(INDEX(元データ_14項目!$D$2:$Q$1300,0,MATCH($B651,元データ_14項目!$D$1:$Q$1,0)),元データ_14項目!$A$2:$A$1300,$A651,元データ_14項目!$B$2:$B$1300,"本年",元データ_14項目!$C$2:$C$1300,M$5)</f>
        <v>20</v>
      </c>
      <c r="N651" s="26">
        <f>SUMIFS(INDEX(元データ_14項目!$D$2:$Q$1300,0,MATCH($B651,元データ_14項目!$D$1:$Q$1,0)),元データ_14項目!$A$2:$A$1300,$A651,元データ_14項目!$B$2:$B$1300,"本年",元データ_14項目!$C$2:$C$1300,N$5)</f>
        <v>20</v>
      </c>
      <c r="O651" s="26">
        <f t="shared" si="20"/>
        <v>202</v>
      </c>
      <c r="P651" s="26">
        <f>SUMIFS(INDEX(元データ_14項目!$D$2:$Q$1300,0,MATCH($B651,元データ_14項目!$D$1:$Q$1,0)),元データ_14項目!$A$2:$A$1300,$A651,元データ_14項目!$B$2:$B$1300,"前年")</f>
        <v>320</v>
      </c>
      <c r="Q651" s="7">
        <f t="shared" si="21"/>
        <v>0.63124999999999998</v>
      </c>
    </row>
    <row r="652" spans="1:17" x14ac:dyDescent="0.45">
      <c r="A652" t="s">
        <v>81</v>
      </c>
      <c r="B652" t="s">
        <v>89</v>
      </c>
      <c r="C652" s="26">
        <f>SUMIFS(INDEX(元データ_14項目!$D$2:$Q$1300,0,MATCH($B652,元データ_14項目!$D$1:$Q$1,0)),元データ_14項目!$A$2:$A$1300,$A652,元データ_14項目!$B$2:$B$1300,"本年",元データ_14項目!$C$2:$C$1300,C$5)</f>
        <v>14</v>
      </c>
      <c r="D652" s="26">
        <f>SUMIFS(INDEX(元データ_14項目!$D$2:$Q$1300,0,MATCH($B652,元データ_14項目!$D$1:$Q$1,0)),元データ_14項目!$A$2:$A$1300,$A652,元データ_14項目!$B$2:$B$1300,"本年",元データ_14項目!$C$2:$C$1300,D$5)</f>
        <v>20</v>
      </c>
      <c r="E652" s="26">
        <f>SUMIFS(INDEX(元データ_14項目!$D$2:$Q$1300,0,MATCH($B652,元データ_14項目!$D$1:$Q$1,0)),元データ_14項目!$A$2:$A$1300,$A652,元データ_14項目!$B$2:$B$1300,"本年",元データ_14項目!$C$2:$C$1300,E$5)</f>
        <v>49</v>
      </c>
      <c r="F652" s="26">
        <f>SUMIFS(INDEX(元データ_14項目!$D$2:$Q$1300,0,MATCH($B652,元データ_14項目!$D$1:$Q$1,0)),元データ_14項目!$A$2:$A$1300,$A652,元データ_14項目!$B$2:$B$1300,"本年",元データ_14項目!$C$2:$C$1300,F$5)</f>
        <v>33</v>
      </c>
      <c r="G652" s="26">
        <f>SUMIFS(INDEX(元データ_14項目!$D$2:$Q$1300,0,MATCH($B652,元データ_14項目!$D$1:$Q$1,0)),元データ_14項目!$A$2:$A$1300,$A652,元データ_14項目!$B$2:$B$1300,"本年",元データ_14項目!$C$2:$C$1300,G$5)</f>
        <v>0</v>
      </c>
      <c r="H652" s="26">
        <f>SUMIFS(INDEX(元データ_14項目!$D$2:$Q$1300,0,MATCH($B652,元データ_14項目!$D$1:$Q$1,0)),元データ_14項目!$A$2:$A$1300,$A652,元データ_14項目!$B$2:$B$1300,"本年",元データ_14項目!$C$2:$C$1300,H$5)</f>
        <v>18</v>
      </c>
      <c r="I652" s="26">
        <f>SUMIFS(INDEX(元データ_14項目!$D$2:$Q$1300,0,MATCH($B652,元データ_14項目!$D$1:$Q$1,0)),元データ_14項目!$A$2:$A$1300,$A652,元データ_14項目!$B$2:$B$1300,"本年",元データ_14項目!$C$2:$C$1300,I$5)</f>
        <v>13</v>
      </c>
      <c r="J652" s="26">
        <f>SUMIFS(INDEX(元データ_14項目!$D$2:$Q$1300,0,MATCH($B652,元データ_14項目!$D$1:$Q$1,0)),元データ_14項目!$A$2:$A$1300,$A652,元データ_14項目!$B$2:$B$1300,"本年",元データ_14項目!$C$2:$C$1300,J$5)</f>
        <v>29</v>
      </c>
      <c r="K652" s="26">
        <f>SUMIFS(INDEX(元データ_14項目!$D$2:$Q$1300,0,MATCH($B652,元データ_14項目!$D$1:$Q$1,0)),元データ_14項目!$A$2:$A$1300,$A652,元データ_14項目!$B$2:$B$1300,"本年",元データ_14項目!$C$2:$C$1300,K$5)</f>
        <v>52</v>
      </c>
      <c r="L652" s="26">
        <f>SUMIFS(INDEX(元データ_14項目!$D$2:$Q$1300,0,MATCH($B652,元データ_14項目!$D$1:$Q$1,0)),元データ_14項目!$A$2:$A$1300,$A652,元データ_14項目!$B$2:$B$1300,"本年",元データ_14項目!$C$2:$C$1300,L$5)</f>
        <v>23</v>
      </c>
      <c r="M652" s="26">
        <f>SUMIFS(INDEX(元データ_14項目!$D$2:$Q$1300,0,MATCH($B652,元データ_14項目!$D$1:$Q$1,0)),元データ_14項目!$A$2:$A$1300,$A652,元データ_14項目!$B$2:$B$1300,"本年",元データ_14項目!$C$2:$C$1300,M$5)</f>
        <v>20</v>
      </c>
      <c r="N652" s="26">
        <f>SUMIFS(INDEX(元データ_14項目!$D$2:$Q$1300,0,MATCH($B652,元データ_14項目!$D$1:$Q$1,0)),元データ_14項目!$A$2:$A$1300,$A652,元データ_14項目!$B$2:$B$1300,"本年",元データ_14項目!$C$2:$C$1300,N$5)</f>
        <v>34</v>
      </c>
      <c r="O652" s="26">
        <f t="shared" si="20"/>
        <v>305</v>
      </c>
      <c r="P652" s="26">
        <f>SUMIFS(INDEX(元データ_14項目!$D$2:$Q$1300,0,MATCH($B652,元データ_14項目!$D$1:$Q$1,0)),元データ_14項目!$A$2:$A$1300,$A652,元データ_14項目!$B$2:$B$1300,"前年")</f>
        <v>321</v>
      </c>
      <c r="Q652" s="7">
        <f t="shared" si="21"/>
        <v>0.95015576323987538</v>
      </c>
    </row>
    <row r="653" spans="1:17" x14ac:dyDescent="0.45">
      <c r="A653" t="s">
        <v>81</v>
      </c>
      <c r="B653" t="s">
        <v>90</v>
      </c>
      <c r="C653" s="26">
        <f>SUMIFS(INDEX(元データ_14項目!$D$2:$Q$1300,0,MATCH($B653,元データ_14項目!$D$1:$Q$1,0)),元データ_14項目!$A$2:$A$1300,$A653,元データ_14項目!$B$2:$B$1300,"本年",元データ_14項目!$C$2:$C$1300,C$5)</f>
        <v>45</v>
      </c>
      <c r="D653" s="26">
        <f>SUMIFS(INDEX(元データ_14項目!$D$2:$Q$1300,0,MATCH($B653,元データ_14項目!$D$1:$Q$1,0)),元データ_14項目!$A$2:$A$1300,$A653,元データ_14項目!$B$2:$B$1300,"本年",元データ_14項目!$C$2:$C$1300,D$5)</f>
        <v>25</v>
      </c>
      <c r="E653" s="26">
        <f>SUMIFS(INDEX(元データ_14項目!$D$2:$Q$1300,0,MATCH($B653,元データ_14項目!$D$1:$Q$1,0)),元データ_14項目!$A$2:$A$1300,$A653,元データ_14項目!$B$2:$B$1300,"本年",元データ_14項目!$C$2:$C$1300,E$5)</f>
        <v>45</v>
      </c>
      <c r="F653" s="26">
        <f>SUMIFS(INDEX(元データ_14項目!$D$2:$Q$1300,0,MATCH($B653,元データ_14項目!$D$1:$Q$1,0)),元データ_14項目!$A$2:$A$1300,$A653,元データ_14項目!$B$2:$B$1300,"本年",元データ_14項目!$C$2:$C$1300,F$5)</f>
        <v>90</v>
      </c>
      <c r="G653" s="26">
        <f>SUMIFS(INDEX(元データ_14項目!$D$2:$Q$1300,0,MATCH($B653,元データ_14項目!$D$1:$Q$1,0)),元データ_14項目!$A$2:$A$1300,$A653,元データ_14項目!$B$2:$B$1300,"本年",元データ_14項目!$C$2:$C$1300,G$5)</f>
        <v>0</v>
      </c>
      <c r="H653" s="26">
        <f>SUMIFS(INDEX(元データ_14項目!$D$2:$Q$1300,0,MATCH($B653,元データ_14項目!$D$1:$Q$1,0)),元データ_14項目!$A$2:$A$1300,$A653,元データ_14項目!$B$2:$B$1300,"本年",元データ_14項目!$C$2:$C$1300,H$5)</f>
        <v>80</v>
      </c>
      <c r="I653" s="26">
        <f>SUMIFS(INDEX(元データ_14項目!$D$2:$Q$1300,0,MATCH($B653,元データ_14項目!$D$1:$Q$1,0)),元データ_14項目!$A$2:$A$1300,$A653,元データ_14項目!$B$2:$B$1300,"本年",元データ_14項目!$C$2:$C$1300,I$5)</f>
        <v>51</v>
      </c>
      <c r="J653" s="26">
        <f>SUMIFS(INDEX(元データ_14項目!$D$2:$Q$1300,0,MATCH($B653,元データ_14項目!$D$1:$Q$1,0)),元データ_14項目!$A$2:$A$1300,$A653,元データ_14項目!$B$2:$B$1300,"本年",元データ_14項目!$C$2:$C$1300,J$5)</f>
        <v>122</v>
      </c>
      <c r="K653" s="26">
        <f>SUMIFS(INDEX(元データ_14項目!$D$2:$Q$1300,0,MATCH($B653,元データ_14項目!$D$1:$Q$1,0)),元データ_14項目!$A$2:$A$1300,$A653,元データ_14項目!$B$2:$B$1300,"本年",元データ_14項目!$C$2:$C$1300,K$5)</f>
        <v>132</v>
      </c>
      <c r="L653" s="26">
        <f>SUMIFS(INDEX(元データ_14項目!$D$2:$Q$1300,0,MATCH($B653,元データ_14項目!$D$1:$Q$1,0)),元データ_14項目!$A$2:$A$1300,$A653,元データ_14項目!$B$2:$B$1300,"本年",元データ_14項目!$C$2:$C$1300,L$5)</f>
        <v>77</v>
      </c>
      <c r="M653" s="26">
        <f>SUMIFS(INDEX(元データ_14項目!$D$2:$Q$1300,0,MATCH($B653,元データ_14項目!$D$1:$Q$1,0)),元データ_14項目!$A$2:$A$1300,$A653,元データ_14項目!$B$2:$B$1300,"本年",元データ_14項目!$C$2:$C$1300,M$5)</f>
        <v>103</v>
      </c>
      <c r="N653" s="26">
        <f>SUMIFS(INDEX(元データ_14項目!$D$2:$Q$1300,0,MATCH($B653,元データ_14項目!$D$1:$Q$1,0)),元データ_14項目!$A$2:$A$1300,$A653,元データ_14項目!$B$2:$B$1300,"本年",元データ_14項目!$C$2:$C$1300,N$5)</f>
        <v>57</v>
      </c>
      <c r="O653" s="26">
        <f t="shared" si="20"/>
        <v>827</v>
      </c>
      <c r="P653" s="26">
        <f>SUMIFS(INDEX(元データ_14項目!$D$2:$Q$1300,0,MATCH($B653,元データ_14項目!$D$1:$Q$1,0)),元データ_14項目!$A$2:$A$1300,$A653,元データ_14項目!$B$2:$B$1300,"前年")</f>
        <v>955</v>
      </c>
      <c r="Q653" s="7">
        <f t="shared" si="21"/>
        <v>0.86596858638743457</v>
      </c>
    </row>
    <row r="654" spans="1:17" x14ac:dyDescent="0.45">
      <c r="A654" t="s">
        <v>81</v>
      </c>
      <c r="B654" t="s">
        <v>91</v>
      </c>
      <c r="C654" s="26">
        <f>SUMIFS(INDEX(元データ_14項目!$D$2:$Q$1300,0,MATCH($B654,元データ_14項目!$D$1:$Q$1,0)),元データ_14項目!$A$2:$A$1300,$A654,元データ_14項目!$B$2:$B$1300,"本年",元データ_14項目!$C$2:$C$1300,C$5)</f>
        <v>11</v>
      </c>
      <c r="D654" s="26">
        <f>SUMIFS(INDEX(元データ_14項目!$D$2:$Q$1300,0,MATCH($B654,元データ_14項目!$D$1:$Q$1,0)),元データ_14項目!$A$2:$A$1300,$A654,元データ_14項目!$B$2:$B$1300,"本年",元データ_14項目!$C$2:$C$1300,D$5)</f>
        <v>29</v>
      </c>
      <c r="E654" s="26">
        <f>SUMIFS(INDEX(元データ_14項目!$D$2:$Q$1300,0,MATCH($B654,元データ_14項目!$D$1:$Q$1,0)),元データ_14項目!$A$2:$A$1300,$A654,元データ_14項目!$B$2:$B$1300,"本年",元データ_14項目!$C$2:$C$1300,E$5)</f>
        <v>51</v>
      </c>
      <c r="F654" s="26">
        <f>SUMIFS(INDEX(元データ_14項目!$D$2:$Q$1300,0,MATCH($B654,元データ_14項目!$D$1:$Q$1,0)),元データ_14項目!$A$2:$A$1300,$A654,元データ_14項目!$B$2:$B$1300,"本年",元データ_14項目!$C$2:$C$1300,F$5)</f>
        <v>23</v>
      </c>
      <c r="G654" s="26">
        <f>SUMIFS(INDEX(元データ_14項目!$D$2:$Q$1300,0,MATCH($B654,元データ_14項目!$D$1:$Q$1,0)),元データ_14項目!$A$2:$A$1300,$A654,元データ_14項目!$B$2:$B$1300,"本年",元データ_14項目!$C$2:$C$1300,G$5)</f>
        <v>0</v>
      </c>
      <c r="H654" s="26">
        <f>SUMIFS(INDEX(元データ_14項目!$D$2:$Q$1300,0,MATCH($B654,元データ_14項目!$D$1:$Q$1,0)),元データ_14項目!$A$2:$A$1300,$A654,元データ_14項目!$B$2:$B$1300,"本年",元データ_14項目!$C$2:$C$1300,H$5)</f>
        <v>11</v>
      </c>
      <c r="I654" s="26">
        <f>SUMIFS(INDEX(元データ_14項目!$D$2:$Q$1300,0,MATCH($B654,元データ_14項目!$D$1:$Q$1,0)),元データ_14項目!$A$2:$A$1300,$A654,元データ_14項目!$B$2:$B$1300,"本年",元データ_14項目!$C$2:$C$1300,I$5)</f>
        <v>23</v>
      </c>
      <c r="J654" s="26">
        <f>SUMIFS(INDEX(元データ_14項目!$D$2:$Q$1300,0,MATCH($B654,元データ_14項目!$D$1:$Q$1,0)),元データ_14項目!$A$2:$A$1300,$A654,元データ_14項目!$B$2:$B$1300,"本年",元データ_14項目!$C$2:$C$1300,J$5)</f>
        <v>10</v>
      </c>
      <c r="K654" s="26">
        <f>SUMIFS(INDEX(元データ_14項目!$D$2:$Q$1300,0,MATCH($B654,元データ_14項目!$D$1:$Q$1,0)),元データ_14項目!$A$2:$A$1300,$A654,元データ_14項目!$B$2:$B$1300,"本年",元データ_14項目!$C$2:$C$1300,K$5)</f>
        <v>25</v>
      </c>
      <c r="L654" s="26">
        <f>SUMIFS(INDEX(元データ_14項目!$D$2:$Q$1300,0,MATCH($B654,元データ_14項目!$D$1:$Q$1,0)),元データ_14項目!$A$2:$A$1300,$A654,元データ_14項目!$B$2:$B$1300,"本年",元データ_14項目!$C$2:$C$1300,L$5)</f>
        <v>29</v>
      </c>
      <c r="M654" s="26">
        <f>SUMIFS(INDEX(元データ_14項目!$D$2:$Q$1300,0,MATCH($B654,元データ_14項目!$D$1:$Q$1,0)),元データ_14項目!$A$2:$A$1300,$A654,元データ_14項目!$B$2:$B$1300,"本年",元データ_14項目!$C$2:$C$1300,M$5)</f>
        <v>20</v>
      </c>
      <c r="N654" s="26">
        <f>SUMIFS(INDEX(元データ_14項目!$D$2:$Q$1300,0,MATCH($B654,元データ_14項目!$D$1:$Q$1,0)),元データ_14項目!$A$2:$A$1300,$A654,元データ_14項目!$B$2:$B$1300,"本年",元データ_14項目!$C$2:$C$1300,N$5)</f>
        <v>24</v>
      </c>
      <c r="O654" s="26">
        <f t="shared" si="20"/>
        <v>256</v>
      </c>
      <c r="P654" s="26">
        <f>SUMIFS(INDEX(元データ_14項目!$D$2:$Q$1300,0,MATCH($B654,元データ_14項目!$D$1:$Q$1,0)),元データ_14項目!$A$2:$A$1300,$A654,元データ_14項目!$B$2:$B$1300,"前年")</f>
        <v>282</v>
      </c>
      <c r="Q654" s="7">
        <f t="shared" si="21"/>
        <v>0.90780141843971629</v>
      </c>
    </row>
    <row r="655" spans="1:17" x14ac:dyDescent="0.45">
      <c r="A655" t="s">
        <v>81</v>
      </c>
      <c r="B655" t="s">
        <v>28</v>
      </c>
      <c r="C655" s="26">
        <f>SUMIFS(INDEX(元データ_14項目!$D$2:$Q$1300,0,MATCH($B655,元データ_14項目!$D$1:$Q$1,0)),元データ_14項目!$A$2:$A$1300,$A655,元データ_14項目!$B$2:$B$1300,"本年",元データ_14項目!$C$2:$C$1300,C$5)</f>
        <v>113</v>
      </c>
      <c r="D655" s="26">
        <f>SUMIFS(INDEX(元データ_14項目!$D$2:$Q$1300,0,MATCH($B655,元データ_14項目!$D$1:$Q$1,0)),元データ_14項目!$A$2:$A$1300,$A655,元データ_14項目!$B$2:$B$1300,"本年",元データ_14項目!$C$2:$C$1300,D$5)</f>
        <v>131</v>
      </c>
      <c r="E655" s="26">
        <f>SUMIFS(INDEX(元データ_14項目!$D$2:$Q$1300,0,MATCH($B655,元データ_14項目!$D$1:$Q$1,0)),元データ_14項目!$A$2:$A$1300,$A655,元データ_14項目!$B$2:$B$1300,"本年",元データ_14項目!$C$2:$C$1300,E$5)</f>
        <v>177</v>
      </c>
      <c r="F655" s="26">
        <f>SUMIFS(INDEX(元データ_14項目!$D$2:$Q$1300,0,MATCH($B655,元データ_14項目!$D$1:$Q$1,0)),元データ_14項目!$A$2:$A$1300,$A655,元データ_14項目!$B$2:$B$1300,"本年",元データ_14項目!$C$2:$C$1300,F$5)</f>
        <v>168</v>
      </c>
      <c r="G655" s="26">
        <f>SUMIFS(INDEX(元データ_14項目!$D$2:$Q$1300,0,MATCH($B655,元データ_14項目!$D$1:$Q$1,0)),元データ_14項目!$A$2:$A$1300,$A655,元データ_14項目!$B$2:$B$1300,"本年",元データ_14項目!$C$2:$C$1300,G$5)</f>
        <v>0</v>
      </c>
      <c r="H655" s="26">
        <f>SUMIFS(INDEX(元データ_14項目!$D$2:$Q$1300,0,MATCH($B655,元データ_14項目!$D$1:$Q$1,0)),元データ_14項目!$A$2:$A$1300,$A655,元データ_14項目!$B$2:$B$1300,"本年",元データ_14項目!$C$2:$C$1300,H$5)</f>
        <v>53</v>
      </c>
      <c r="I655" s="26">
        <f>SUMIFS(INDEX(元データ_14項目!$D$2:$Q$1300,0,MATCH($B655,元データ_14項目!$D$1:$Q$1,0)),元データ_14項目!$A$2:$A$1300,$A655,元データ_14項目!$B$2:$B$1300,"本年",元データ_14項目!$C$2:$C$1300,I$5)</f>
        <v>62</v>
      </c>
      <c r="J655" s="26">
        <f>SUMIFS(INDEX(元データ_14項目!$D$2:$Q$1300,0,MATCH($B655,元データ_14項目!$D$1:$Q$1,0)),元データ_14項目!$A$2:$A$1300,$A655,元データ_14項目!$B$2:$B$1300,"本年",元データ_14項目!$C$2:$C$1300,J$5)</f>
        <v>56</v>
      </c>
      <c r="K655" s="26">
        <f>SUMIFS(INDEX(元データ_14項目!$D$2:$Q$1300,0,MATCH($B655,元データ_14項目!$D$1:$Q$1,0)),元データ_14項目!$A$2:$A$1300,$A655,元データ_14項目!$B$2:$B$1300,"本年",元データ_14項目!$C$2:$C$1300,K$5)</f>
        <v>124</v>
      </c>
      <c r="L655" s="26">
        <f>SUMIFS(INDEX(元データ_14項目!$D$2:$Q$1300,0,MATCH($B655,元データ_14項目!$D$1:$Q$1,0)),元データ_14項目!$A$2:$A$1300,$A655,元データ_14項目!$B$2:$B$1300,"本年",元データ_14項目!$C$2:$C$1300,L$5)</f>
        <v>110</v>
      </c>
      <c r="M655" s="26">
        <f>SUMIFS(INDEX(元データ_14項目!$D$2:$Q$1300,0,MATCH($B655,元データ_14項目!$D$1:$Q$1,0)),元データ_14項目!$A$2:$A$1300,$A655,元データ_14項目!$B$2:$B$1300,"本年",元データ_14項目!$C$2:$C$1300,M$5)</f>
        <v>98</v>
      </c>
      <c r="N655" s="26">
        <f>SUMIFS(INDEX(元データ_14項目!$D$2:$Q$1300,0,MATCH($B655,元データ_14項目!$D$1:$Q$1,0)),元データ_14項目!$A$2:$A$1300,$A655,元データ_14項目!$B$2:$B$1300,"本年",元データ_14項目!$C$2:$C$1300,N$5)</f>
        <v>115</v>
      </c>
      <c r="O655" s="26">
        <f t="shared" si="20"/>
        <v>1207</v>
      </c>
      <c r="P655" s="26">
        <f>SUMIFS(INDEX(元データ_14項目!$D$2:$Q$1300,0,MATCH($B655,元データ_14項目!$D$1:$Q$1,0)),元データ_14項目!$A$2:$A$1300,$A655,元データ_14項目!$B$2:$B$1300,"前年")</f>
        <v>1359</v>
      </c>
      <c r="Q655" s="7">
        <f t="shared" si="21"/>
        <v>0.88815305371596764</v>
      </c>
    </row>
    <row r="656" spans="1:17" x14ac:dyDescent="0.45">
      <c r="A656" t="s">
        <v>81</v>
      </c>
      <c r="B656" t="s">
        <v>92</v>
      </c>
      <c r="C656" s="26">
        <f>SUMIFS(INDEX(元データ_14項目!$D$2:$Q$1300,0,MATCH($B656,元データ_14項目!$D$1:$Q$1,0)),元データ_14項目!$A$2:$A$1300,$A656,元データ_14項目!$B$2:$B$1300,"本年",元データ_14項目!$C$2:$C$1300,C$5)</f>
        <v>10</v>
      </c>
      <c r="D656" s="26">
        <f>SUMIFS(INDEX(元データ_14項目!$D$2:$Q$1300,0,MATCH($B656,元データ_14項目!$D$1:$Q$1,0)),元データ_14項目!$A$2:$A$1300,$A656,元データ_14項目!$B$2:$B$1300,"本年",元データ_14項目!$C$2:$C$1300,D$5)</f>
        <v>17</v>
      </c>
      <c r="E656" s="26">
        <f>SUMIFS(INDEX(元データ_14項目!$D$2:$Q$1300,0,MATCH($B656,元データ_14項目!$D$1:$Q$1,0)),元データ_14項目!$A$2:$A$1300,$A656,元データ_14項目!$B$2:$B$1300,"本年",元データ_14項目!$C$2:$C$1300,E$5)</f>
        <v>33</v>
      </c>
      <c r="F656" s="26">
        <f>SUMIFS(INDEX(元データ_14項目!$D$2:$Q$1300,0,MATCH($B656,元データ_14項目!$D$1:$Q$1,0)),元データ_14項目!$A$2:$A$1300,$A656,元データ_14項目!$B$2:$B$1300,"本年",元データ_14項目!$C$2:$C$1300,F$5)</f>
        <v>27</v>
      </c>
      <c r="G656" s="26">
        <f>SUMIFS(INDEX(元データ_14項目!$D$2:$Q$1300,0,MATCH($B656,元データ_14項目!$D$1:$Q$1,0)),元データ_14項目!$A$2:$A$1300,$A656,元データ_14項目!$B$2:$B$1300,"本年",元データ_14項目!$C$2:$C$1300,G$5)</f>
        <v>0</v>
      </c>
      <c r="H656" s="26">
        <f>SUMIFS(INDEX(元データ_14項目!$D$2:$Q$1300,0,MATCH($B656,元データ_14項目!$D$1:$Q$1,0)),元データ_14項目!$A$2:$A$1300,$A656,元データ_14項目!$B$2:$B$1300,"本年",元データ_14項目!$C$2:$C$1300,H$5)</f>
        <v>13</v>
      </c>
      <c r="I656" s="26">
        <f>SUMIFS(INDEX(元データ_14項目!$D$2:$Q$1300,0,MATCH($B656,元データ_14項目!$D$1:$Q$1,0)),元データ_14項目!$A$2:$A$1300,$A656,元データ_14項目!$B$2:$B$1300,"本年",元データ_14項目!$C$2:$C$1300,I$5)</f>
        <v>13</v>
      </c>
      <c r="J656" s="26">
        <f>SUMIFS(INDEX(元データ_14項目!$D$2:$Q$1300,0,MATCH($B656,元データ_14項目!$D$1:$Q$1,0)),元データ_14項目!$A$2:$A$1300,$A656,元データ_14項目!$B$2:$B$1300,"本年",元データ_14項目!$C$2:$C$1300,J$5)</f>
        <v>24</v>
      </c>
      <c r="K656" s="26">
        <f>SUMIFS(INDEX(元データ_14項目!$D$2:$Q$1300,0,MATCH($B656,元データ_14項目!$D$1:$Q$1,0)),元データ_14項目!$A$2:$A$1300,$A656,元データ_14項目!$B$2:$B$1300,"本年",元データ_14項目!$C$2:$C$1300,K$5)</f>
        <v>35</v>
      </c>
      <c r="L656" s="26">
        <f>SUMIFS(INDEX(元データ_14項目!$D$2:$Q$1300,0,MATCH($B656,元データ_14項目!$D$1:$Q$1,0)),元データ_14項目!$A$2:$A$1300,$A656,元データ_14項目!$B$2:$B$1300,"本年",元データ_14項目!$C$2:$C$1300,L$5)</f>
        <v>14</v>
      </c>
      <c r="M656" s="26">
        <f>SUMIFS(INDEX(元データ_14項目!$D$2:$Q$1300,0,MATCH($B656,元データ_14項目!$D$1:$Q$1,0)),元データ_14項目!$A$2:$A$1300,$A656,元データ_14項目!$B$2:$B$1300,"本年",元データ_14項目!$C$2:$C$1300,M$5)</f>
        <v>20</v>
      </c>
      <c r="N656" s="26">
        <f>SUMIFS(INDEX(元データ_14項目!$D$2:$Q$1300,0,MATCH($B656,元データ_14項目!$D$1:$Q$1,0)),元データ_14項目!$A$2:$A$1300,$A656,元データ_14項目!$B$2:$B$1300,"本年",元データ_14項目!$C$2:$C$1300,N$5)</f>
        <v>27</v>
      </c>
      <c r="O656" s="26">
        <f t="shared" si="20"/>
        <v>233</v>
      </c>
      <c r="P656" s="26">
        <f>SUMIFS(INDEX(元データ_14項目!$D$2:$Q$1300,0,MATCH($B656,元データ_14項目!$D$1:$Q$1,0)),元データ_14項目!$A$2:$A$1300,$A656,元データ_14項目!$B$2:$B$1300,"前年")</f>
        <v>278</v>
      </c>
      <c r="Q656" s="7">
        <f t="shared" si="21"/>
        <v>0.83812949640287771</v>
      </c>
    </row>
    <row r="657" spans="1:17" x14ac:dyDescent="0.45">
      <c r="A657" t="s">
        <v>81</v>
      </c>
      <c r="B657" t="s">
        <v>93</v>
      </c>
      <c r="C657" s="26">
        <f>SUMIFS(INDEX(元データ_14項目!$D$2:$Q$1300,0,MATCH($B657,元データ_14項目!$D$1:$Q$1,0)),元データ_14項目!$A$2:$A$1300,$A657,元データ_14項目!$B$2:$B$1300,"本年",元データ_14項目!$C$2:$C$1300,C$5)</f>
        <v>13</v>
      </c>
      <c r="D657" s="26">
        <f>SUMIFS(INDEX(元データ_14項目!$D$2:$Q$1300,0,MATCH($B657,元データ_14項目!$D$1:$Q$1,0)),元データ_14項目!$A$2:$A$1300,$A657,元データ_14項目!$B$2:$B$1300,"本年",元データ_14項目!$C$2:$C$1300,D$5)</f>
        <v>8</v>
      </c>
      <c r="E657" s="26">
        <f>SUMIFS(INDEX(元データ_14項目!$D$2:$Q$1300,0,MATCH($B657,元データ_14項目!$D$1:$Q$1,0)),元データ_14項目!$A$2:$A$1300,$A657,元データ_14項目!$B$2:$B$1300,"本年",元データ_14項目!$C$2:$C$1300,E$5)</f>
        <v>40</v>
      </c>
      <c r="F657" s="26">
        <f>SUMIFS(INDEX(元データ_14項目!$D$2:$Q$1300,0,MATCH($B657,元データ_14項目!$D$1:$Q$1,0)),元データ_14項目!$A$2:$A$1300,$A657,元データ_14項目!$B$2:$B$1300,"本年",元データ_14項目!$C$2:$C$1300,F$5)</f>
        <v>57</v>
      </c>
      <c r="G657" s="26">
        <f>SUMIFS(INDEX(元データ_14項目!$D$2:$Q$1300,0,MATCH($B657,元データ_14項目!$D$1:$Q$1,0)),元データ_14項目!$A$2:$A$1300,$A657,元データ_14項目!$B$2:$B$1300,"本年",元データ_14項目!$C$2:$C$1300,G$5)</f>
        <v>0</v>
      </c>
      <c r="H657" s="26">
        <f>SUMIFS(INDEX(元データ_14項目!$D$2:$Q$1300,0,MATCH($B657,元データ_14項目!$D$1:$Q$1,0)),元データ_14項目!$A$2:$A$1300,$A657,元データ_14項目!$B$2:$B$1300,"本年",元データ_14項目!$C$2:$C$1300,H$5)</f>
        <v>42</v>
      </c>
      <c r="I657" s="26">
        <f>SUMIFS(INDEX(元データ_14項目!$D$2:$Q$1300,0,MATCH($B657,元データ_14項目!$D$1:$Q$1,0)),元データ_14項目!$A$2:$A$1300,$A657,元データ_14項目!$B$2:$B$1300,"本年",元データ_14項目!$C$2:$C$1300,I$5)</f>
        <v>36</v>
      </c>
      <c r="J657" s="26">
        <f>SUMIFS(INDEX(元データ_14項目!$D$2:$Q$1300,0,MATCH($B657,元データ_14項目!$D$1:$Q$1,0)),元データ_14項目!$A$2:$A$1300,$A657,元データ_14項目!$B$2:$B$1300,"本年",元データ_14項目!$C$2:$C$1300,J$5)</f>
        <v>56</v>
      </c>
      <c r="K657" s="26">
        <f>SUMIFS(INDEX(元データ_14項目!$D$2:$Q$1300,0,MATCH($B657,元データ_14項目!$D$1:$Q$1,0)),元データ_14項目!$A$2:$A$1300,$A657,元データ_14項目!$B$2:$B$1300,"本年",元データ_14項目!$C$2:$C$1300,K$5)</f>
        <v>232</v>
      </c>
      <c r="L657" s="26">
        <f>SUMIFS(INDEX(元データ_14項目!$D$2:$Q$1300,0,MATCH($B657,元データ_14項目!$D$1:$Q$1,0)),元データ_14項目!$A$2:$A$1300,$A657,元データ_14項目!$B$2:$B$1300,"本年",元データ_14項目!$C$2:$C$1300,L$5)</f>
        <v>112</v>
      </c>
      <c r="M657" s="26">
        <f>SUMIFS(INDEX(元データ_14項目!$D$2:$Q$1300,0,MATCH($B657,元データ_14項目!$D$1:$Q$1,0)),元データ_14項目!$A$2:$A$1300,$A657,元データ_14項目!$B$2:$B$1300,"本年",元データ_14項目!$C$2:$C$1300,M$5)</f>
        <v>65</v>
      </c>
      <c r="N657" s="26">
        <f>SUMIFS(INDEX(元データ_14項目!$D$2:$Q$1300,0,MATCH($B657,元データ_14項目!$D$1:$Q$1,0)),元データ_14項目!$A$2:$A$1300,$A657,元データ_14項目!$B$2:$B$1300,"本年",元データ_14項目!$C$2:$C$1300,N$5)</f>
        <v>30</v>
      </c>
      <c r="O657" s="26">
        <f t="shared" si="20"/>
        <v>691</v>
      </c>
      <c r="P657" s="26">
        <f>SUMIFS(INDEX(元データ_14項目!$D$2:$Q$1300,0,MATCH($B657,元データ_14項目!$D$1:$Q$1,0)),元データ_14項目!$A$2:$A$1300,$A657,元データ_14項目!$B$2:$B$1300,"前年")</f>
        <v>797</v>
      </c>
      <c r="Q657" s="7">
        <f t="shared" si="21"/>
        <v>0.86700125470514433</v>
      </c>
    </row>
    <row r="658" spans="1:17" x14ac:dyDescent="0.45">
      <c r="A658" t="s">
        <v>81</v>
      </c>
      <c r="B658" t="s">
        <v>94</v>
      </c>
      <c r="C658" s="26">
        <f>SUMIFS(INDEX(元データ_14項目!$D$2:$Q$1300,0,MATCH($B658,元データ_14項目!$D$1:$Q$1,0)),元データ_14項目!$A$2:$A$1300,$A658,元データ_14項目!$B$2:$B$1300,"本年",元データ_14項目!$C$2:$C$1300,C$5)</f>
        <v>3</v>
      </c>
      <c r="D658" s="26">
        <f>SUMIFS(INDEX(元データ_14項目!$D$2:$Q$1300,0,MATCH($B658,元データ_14項目!$D$1:$Q$1,0)),元データ_14項目!$A$2:$A$1300,$A658,元データ_14項目!$B$2:$B$1300,"本年",元データ_14項目!$C$2:$C$1300,D$5)</f>
        <v>2</v>
      </c>
      <c r="E658" s="26">
        <f>SUMIFS(INDEX(元データ_14項目!$D$2:$Q$1300,0,MATCH($B658,元データ_14項目!$D$1:$Q$1,0)),元データ_14項目!$A$2:$A$1300,$A658,元データ_14項目!$B$2:$B$1300,"本年",元データ_14項目!$C$2:$C$1300,E$5)</f>
        <v>27</v>
      </c>
      <c r="F658" s="26">
        <f>SUMIFS(INDEX(元データ_14項目!$D$2:$Q$1300,0,MATCH($B658,元データ_14項目!$D$1:$Q$1,0)),元データ_14項目!$A$2:$A$1300,$A658,元データ_14項目!$B$2:$B$1300,"本年",元データ_14項目!$C$2:$C$1300,F$5)</f>
        <v>21</v>
      </c>
      <c r="G658" s="26">
        <f>SUMIFS(INDEX(元データ_14項目!$D$2:$Q$1300,0,MATCH($B658,元データ_14項目!$D$1:$Q$1,0)),元データ_14項目!$A$2:$A$1300,$A658,元データ_14項目!$B$2:$B$1300,"本年",元データ_14項目!$C$2:$C$1300,G$5)</f>
        <v>0</v>
      </c>
      <c r="H658" s="26">
        <f>SUMIFS(INDEX(元データ_14項目!$D$2:$Q$1300,0,MATCH($B658,元データ_14項目!$D$1:$Q$1,0)),元データ_14項目!$A$2:$A$1300,$A658,元データ_14項目!$B$2:$B$1300,"本年",元データ_14項目!$C$2:$C$1300,H$5)</f>
        <v>7</v>
      </c>
      <c r="I658" s="26">
        <f>SUMIFS(INDEX(元データ_14項目!$D$2:$Q$1300,0,MATCH($B658,元データ_14項目!$D$1:$Q$1,0)),元データ_14項目!$A$2:$A$1300,$A658,元データ_14項目!$B$2:$B$1300,"本年",元データ_14項目!$C$2:$C$1300,I$5)</f>
        <v>21</v>
      </c>
      <c r="J658" s="26">
        <f>SUMIFS(INDEX(元データ_14項目!$D$2:$Q$1300,0,MATCH($B658,元データ_14項目!$D$1:$Q$1,0)),元データ_14項目!$A$2:$A$1300,$A658,元データ_14項目!$B$2:$B$1300,"本年",元データ_14項目!$C$2:$C$1300,J$5)</f>
        <v>18</v>
      </c>
      <c r="K658" s="26">
        <f>SUMIFS(INDEX(元データ_14項目!$D$2:$Q$1300,0,MATCH($B658,元データ_14項目!$D$1:$Q$1,0)),元データ_14項目!$A$2:$A$1300,$A658,元データ_14項目!$B$2:$B$1300,"本年",元データ_14項目!$C$2:$C$1300,K$5)</f>
        <v>81</v>
      </c>
      <c r="L658" s="26">
        <f>SUMIFS(INDEX(元データ_14項目!$D$2:$Q$1300,0,MATCH($B658,元データ_14項目!$D$1:$Q$1,0)),元データ_14項目!$A$2:$A$1300,$A658,元データ_14項目!$B$2:$B$1300,"本年",元データ_14項目!$C$2:$C$1300,L$5)</f>
        <v>47</v>
      </c>
      <c r="M658" s="26">
        <f>SUMIFS(INDEX(元データ_14項目!$D$2:$Q$1300,0,MATCH($B658,元データ_14項目!$D$1:$Q$1,0)),元データ_14項目!$A$2:$A$1300,$A658,元データ_14項目!$B$2:$B$1300,"本年",元データ_14項目!$C$2:$C$1300,M$5)</f>
        <v>39</v>
      </c>
      <c r="N658" s="26">
        <f>SUMIFS(INDEX(元データ_14項目!$D$2:$Q$1300,0,MATCH($B658,元データ_14項目!$D$1:$Q$1,0)),元データ_14項目!$A$2:$A$1300,$A658,元データ_14項目!$B$2:$B$1300,"本年",元データ_14項目!$C$2:$C$1300,N$5)</f>
        <v>20</v>
      </c>
      <c r="O658" s="26">
        <f t="shared" si="20"/>
        <v>286</v>
      </c>
      <c r="P658" s="26">
        <f>SUMIFS(INDEX(元データ_14項目!$D$2:$Q$1300,0,MATCH($B658,元データ_14項目!$D$1:$Q$1,0)),元データ_14項目!$A$2:$A$1300,$A658,元データ_14項目!$B$2:$B$1300,"前年")</f>
        <v>351</v>
      </c>
      <c r="Q658" s="7">
        <f t="shared" si="21"/>
        <v>0.81481481481481477</v>
      </c>
    </row>
    <row r="659" spans="1:17" x14ac:dyDescent="0.45">
      <c r="A659" t="s">
        <v>81</v>
      </c>
      <c r="B659" t="s">
        <v>95</v>
      </c>
      <c r="C659" s="26">
        <f>SUMIFS(INDEX(元データ_14項目!$D$2:$Q$1300,0,MATCH($B659,元データ_14項目!$D$1:$Q$1,0)),元データ_14項目!$A$2:$A$1300,$A659,元データ_14項目!$B$2:$B$1300,"本年",元データ_14項目!$C$2:$C$1300,C$5)</f>
        <v>21</v>
      </c>
      <c r="D659" s="26">
        <f>SUMIFS(INDEX(元データ_14項目!$D$2:$Q$1300,0,MATCH($B659,元データ_14項目!$D$1:$Q$1,0)),元データ_14項目!$A$2:$A$1300,$A659,元データ_14項目!$B$2:$B$1300,"本年",元データ_14項目!$C$2:$C$1300,D$5)</f>
        <v>23</v>
      </c>
      <c r="E659" s="26">
        <f>SUMIFS(INDEX(元データ_14項目!$D$2:$Q$1300,0,MATCH($B659,元データ_14項目!$D$1:$Q$1,0)),元データ_14項目!$A$2:$A$1300,$A659,元データ_14項目!$B$2:$B$1300,"本年",元データ_14項目!$C$2:$C$1300,E$5)</f>
        <v>30</v>
      </c>
      <c r="F659" s="26">
        <f>SUMIFS(INDEX(元データ_14項目!$D$2:$Q$1300,0,MATCH($B659,元データ_14項目!$D$1:$Q$1,0)),元データ_14項目!$A$2:$A$1300,$A659,元データ_14項目!$B$2:$B$1300,"本年",元データ_14項目!$C$2:$C$1300,F$5)</f>
        <v>29</v>
      </c>
      <c r="G659" s="26">
        <f>SUMIFS(INDEX(元データ_14項目!$D$2:$Q$1300,0,MATCH($B659,元データ_14項目!$D$1:$Q$1,0)),元データ_14項目!$A$2:$A$1300,$A659,元データ_14項目!$B$2:$B$1300,"本年",元データ_14項目!$C$2:$C$1300,G$5)</f>
        <v>0</v>
      </c>
      <c r="H659" s="26">
        <f>SUMIFS(INDEX(元データ_14項目!$D$2:$Q$1300,0,MATCH($B659,元データ_14項目!$D$1:$Q$1,0)),元データ_14項目!$A$2:$A$1300,$A659,元データ_14項目!$B$2:$B$1300,"本年",元データ_14項目!$C$2:$C$1300,H$5)</f>
        <v>13</v>
      </c>
      <c r="I659" s="26">
        <f>SUMIFS(INDEX(元データ_14項目!$D$2:$Q$1300,0,MATCH($B659,元データ_14項目!$D$1:$Q$1,0)),元データ_14項目!$A$2:$A$1300,$A659,元データ_14項目!$B$2:$B$1300,"本年",元データ_14項目!$C$2:$C$1300,I$5)</f>
        <v>8</v>
      </c>
      <c r="J659" s="26">
        <f>SUMIFS(INDEX(元データ_14項目!$D$2:$Q$1300,0,MATCH($B659,元データ_14項目!$D$1:$Q$1,0)),元データ_14項目!$A$2:$A$1300,$A659,元データ_14項目!$B$2:$B$1300,"本年",元データ_14項目!$C$2:$C$1300,J$5)</f>
        <v>15</v>
      </c>
      <c r="K659" s="26">
        <f>SUMIFS(INDEX(元データ_14項目!$D$2:$Q$1300,0,MATCH($B659,元データ_14項目!$D$1:$Q$1,0)),元データ_14項目!$A$2:$A$1300,$A659,元データ_14項目!$B$2:$B$1300,"本年",元データ_14項目!$C$2:$C$1300,K$5)</f>
        <v>31</v>
      </c>
      <c r="L659" s="26">
        <f>SUMIFS(INDEX(元データ_14項目!$D$2:$Q$1300,0,MATCH($B659,元データ_14項目!$D$1:$Q$1,0)),元データ_14項目!$A$2:$A$1300,$A659,元データ_14項目!$B$2:$B$1300,"本年",元データ_14項目!$C$2:$C$1300,L$5)</f>
        <v>18</v>
      </c>
      <c r="M659" s="26">
        <f>SUMIFS(INDEX(元データ_14項目!$D$2:$Q$1300,0,MATCH($B659,元データ_14項目!$D$1:$Q$1,0)),元データ_14項目!$A$2:$A$1300,$A659,元データ_14項目!$B$2:$B$1300,"本年",元データ_14項目!$C$2:$C$1300,M$5)</f>
        <v>23</v>
      </c>
      <c r="N659" s="26">
        <f>SUMIFS(INDEX(元データ_14項目!$D$2:$Q$1300,0,MATCH($B659,元データ_14項目!$D$1:$Q$1,0)),元データ_14項目!$A$2:$A$1300,$A659,元データ_14項目!$B$2:$B$1300,"本年",元データ_14項目!$C$2:$C$1300,N$5)</f>
        <v>25</v>
      </c>
      <c r="O659" s="26">
        <f t="shared" si="20"/>
        <v>236</v>
      </c>
      <c r="P659" s="26">
        <f>SUMIFS(INDEX(元データ_14項目!$D$2:$Q$1300,0,MATCH($B659,元データ_14項目!$D$1:$Q$1,0)),元データ_14項目!$A$2:$A$1300,$A659,元データ_14項目!$B$2:$B$1300,"前年")</f>
        <v>240</v>
      </c>
      <c r="Q659" s="7">
        <f t="shared" si="21"/>
        <v>0.98333333333333328</v>
      </c>
    </row>
    <row r="660" spans="1:17" x14ac:dyDescent="0.45">
      <c r="A660" t="s">
        <v>81</v>
      </c>
      <c r="B660" t="s">
        <v>96</v>
      </c>
      <c r="C660" s="26">
        <f>SUMIFS(INDEX(元データ_14項目!$D$2:$Q$1300,0,MATCH($B660,元データ_14項目!$D$1:$Q$1,0)),元データ_14項目!$A$2:$A$1300,$A660,元データ_14項目!$B$2:$B$1300,"本年",元データ_14項目!$C$2:$C$1300,C$5)</f>
        <v>10</v>
      </c>
      <c r="D660" s="26">
        <f>SUMIFS(INDEX(元データ_14項目!$D$2:$Q$1300,0,MATCH($B660,元データ_14項目!$D$1:$Q$1,0)),元データ_14項目!$A$2:$A$1300,$A660,元データ_14項目!$B$2:$B$1300,"本年",元データ_14項目!$C$2:$C$1300,D$5)</f>
        <v>7</v>
      </c>
      <c r="E660" s="26">
        <f>SUMIFS(INDEX(元データ_14項目!$D$2:$Q$1300,0,MATCH($B660,元データ_14項目!$D$1:$Q$1,0)),元データ_14項目!$A$2:$A$1300,$A660,元データ_14項目!$B$2:$B$1300,"本年",元データ_14項目!$C$2:$C$1300,E$5)</f>
        <v>18</v>
      </c>
      <c r="F660" s="26">
        <f>SUMIFS(INDEX(元データ_14項目!$D$2:$Q$1300,0,MATCH($B660,元データ_14項目!$D$1:$Q$1,0)),元データ_14項目!$A$2:$A$1300,$A660,元データ_14項目!$B$2:$B$1300,"本年",元データ_14項目!$C$2:$C$1300,F$5)</f>
        <v>45</v>
      </c>
      <c r="G660" s="26">
        <f>SUMIFS(INDEX(元データ_14項目!$D$2:$Q$1300,0,MATCH($B660,元データ_14項目!$D$1:$Q$1,0)),元データ_14項目!$A$2:$A$1300,$A660,元データ_14項目!$B$2:$B$1300,"本年",元データ_14項目!$C$2:$C$1300,G$5)</f>
        <v>0</v>
      </c>
      <c r="H660" s="26">
        <f>SUMIFS(INDEX(元データ_14項目!$D$2:$Q$1300,0,MATCH($B660,元データ_14項目!$D$1:$Q$1,0)),元データ_14項目!$A$2:$A$1300,$A660,元データ_14項目!$B$2:$B$1300,"本年",元データ_14項目!$C$2:$C$1300,H$5)</f>
        <v>22</v>
      </c>
      <c r="I660" s="26">
        <f>SUMIFS(INDEX(元データ_14項目!$D$2:$Q$1300,0,MATCH($B660,元データ_14項目!$D$1:$Q$1,0)),元データ_14項目!$A$2:$A$1300,$A660,元データ_14項目!$B$2:$B$1300,"本年",元データ_14項目!$C$2:$C$1300,I$5)</f>
        <v>19</v>
      </c>
      <c r="J660" s="26">
        <f>SUMIFS(INDEX(元データ_14項目!$D$2:$Q$1300,0,MATCH($B660,元データ_14項目!$D$1:$Q$1,0)),元データ_14項目!$A$2:$A$1300,$A660,元データ_14項目!$B$2:$B$1300,"本年",元データ_14項目!$C$2:$C$1300,J$5)</f>
        <v>90</v>
      </c>
      <c r="K660" s="26">
        <f>SUMIFS(INDEX(元データ_14項目!$D$2:$Q$1300,0,MATCH($B660,元データ_14項目!$D$1:$Q$1,0)),元データ_14項目!$A$2:$A$1300,$A660,元データ_14項目!$B$2:$B$1300,"本年",元データ_14項目!$C$2:$C$1300,K$5)</f>
        <v>237</v>
      </c>
      <c r="L660" s="26">
        <f>SUMIFS(INDEX(元データ_14項目!$D$2:$Q$1300,0,MATCH($B660,元データ_14項目!$D$1:$Q$1,0)),元データ_14項目!$A$2:$A$1300,$A660,元データ_14項目!$B$2:$B$1300,"本年",元データ_14項目!$C$2:$C$1300,L$5)</f>
        <v>127</v>
      </c>
      <c r="M660" s="26">
        <f>SUMIFS(INDEX(元データ_14項目!$D$2:$Q$1300,0,MATCH($B660,元データ_14項目!$D$1:$Q$1,0)),元データ_14項目!$A$2:$A$1300,$A660,元データ_14項目!$B$2:$B$1300,"本年",元データ_14項目!$C$2:$C$1300,M$5)</f>
        <v>77</v>
      </c>
      <c r="N660" s="26">
        <f>SUMIFS(INDEX(元データ_14項目!$D$2:$Q$1300,0,MATCH($B660,元データ_14項目!$D$1:$Q$1,0)),元データ_14項目!$A$2:$A$1300,$A660,元データ_14項目!$B$2:$B$1300,"本年",元データ_14項目!$C$2:$C$1300,N$5)</f>
        <v>29</v>
      </c>
      <c r="O660" s="26">
        <f t="shared" si="20"/>
        <v>681</v>
      </c>
      <c r="P660" s="26">
        <f>SUMIFS(INDEX(元データ_14項目!$D$2:$Q$1300,0,MATCH($B660,元データ_14項目!$D$1:$Q$1,0)),元データ_14項目!$A$2:$A$1300,$A660,元データ_14項目!$B$2:$B$1300,"前年")</f>
        <v>779</v>
      </c>
      <c r="Q660" s="7">
        <f t="shared" si="21"/>
        <v>0.8741976893453145</v>
      </c>
    </row>
    <row r="661" spans="1:17" x14ac:dyDescent="0.45">
      <c r="A661" t="s">
        <v>81</v>
      </c>
      <c r="B661" t="s">
        <v>97</v>
      </c>
      <c r="C661" s="26">
        <f>SUMIFS(INDEX(元データ_14項目!$D$2:$Q$1300,0,MATCH($B661,元データ_14項目!$D$1:$Q$1,0)),元データ_14項目!$A$2:$A$1300,$A661,元データ_14項目!$B$2:$B$1300,"本年",元データ_14項目!$C$2:$C$1300,C$5)</f>
        <v>18</v>
      </c>
      <c r="D661" s="26">
        <f>SUMIFS(INDEX(元データ_14項目!$D$2:$Q$1300,0,MATCH($B661,元データ_14項目!$D$1:$Q$1,0)),元データ_14項目!$A$2:$A$1300,$A661,元データ_14項目!$B$2:$B$1300,"本年",元データ_14項目!$C$2:$C$1300,D$5)</f>
        <v>11</v>
      </c>
      <c r="E661" s="26">
        <f>SUMIFS(INDEX(元データ_14項目!$D$2:$Q$1300,0,MATCH($B661,元データ_14項目!$D$1:$Q$1,0)),元データ_14項目!$A$2:$A$1300,$A661,元データ_14項目!$B$2:$B$1300,"本年",元データ_14項目!$C$2:$C$1300,E$5)</f>
        <v>28</v>
      </c>
      <c r="F661" s="26">
        <f>SUMIFS(INDEX(元データ_14項目!$D$2:$Q$1300,0,MATCH($B661,元データ_14項目!$D$1:$Q$1,0)),元データ_14項目!$A$2:$A$1300,$A661,元データ_14項目!$B$2:$B$1300,"本年",元データ_14項目!$C$2:$C$1300,F$5)</f>
        <v>28</v>
      </c>
      <c r="G661" s="26">
        <f>SUMIFS(INDEX(元データ_14項目!$D$2:$Q$1300,0,MATCH($B661,元データ_14項目!$D$1:$Q$1,0)),元データ_14項目!$A$2:$A$1300,$A661,元データ_14項目!$B$2:$B$1300,"本年",元データ_14項目!$C$2:$C$1300,G$5)</f>
        <v>0</v>
      </c>
      <c r="H661" s="26">
        <f>SUMIFS(INDEX(元データ_14項目!$D$2:$Q$1300,0,MATCH($B661,元データ_14項目!$D$1:$Q$1,0)),元データ_14項目!$A$2:$A$1300,$A661,元データ_14項目!$B$2:$B$1300,"本年",元データ_14項目!$C$2:$C$1300,H$5)</f>
        <v>21</v>
      </c>
      <c r="I661" s="26">
        <f>SUMIFS(INDEX(元データ_14項目!$D$2:$Q$1300,0,MATCH($B661,元データ_14項目!$D$1:$Q$1,0)),元データ_14項目!$A$2:$A$1300,$A661,元データ_14項目!$B$2:$B$1300,"本年",元データ_14項目!$C$2:$C$1300,I$5)</f>
        <v>17</v>
      </c>
      <c r="J661" s="26">
        <f>SUMIFS(INDEX(元データ_14項目!$D$2:$Q$1300,0,MATCH($B661,元データ_14項目!$D$1:$Q$1,0)),元データ_14項目!$A$2:$A$1300,$A661,元データ_14項目!$B$2:$B$1300,"本年",元データ_14項目!$C$2:$C$1300,J$5)</f>
        <v>55</v>
      </c>
      <c r="K661" s="26">
        <f>SUMIFS(INDEX(元データ_14項目!$D$2:$Q$1300,0,MATCH($B661,元データ_14項目!$D$1:$Q$1,0)),元データ_14項目!$A$2:$A$1300,$A661,元データ_14項目!$B$2:$B$1300,"本年",元データ_14項目!$C$2:$C$1300,K$5)</f>
        <v>181</v>
      </c>
      <c r="L661" s="26">
        <f>SUMIFS(INDEX(元データ_14項目!$D$2:$Q$1300,0,MATCH($B661,元データ_14項目!$D$1:$Q$1,0)),元データ_14項目!$A$2:$A$1300,$A661,元データ_14項目!$B$2:$B$1300,"本年",元データ_14項目!$C$2:$C$1300,L$5)</f>
        <v>86</v>
      </c>
      <c r="M661" s="26">
        <f>SUMIFS(INDEX(元データ_14項目!$D$2:$Q$1300,0,MATCH($B661,元データ_14項目!$D$1:$Q$1,0)),元データ_14項目!$A$2:$A$1300,$A661,元データ_14項目!$B$2:$B$1300,"本年",元データ_14項目!$C$2:$C$1300,M$5)</f>
        <v>74</v>
      </c>
      <c r="N661" s="26">
        <f>SUMIFS(INDEX(元データ_14項目!$D$2:$Q$1300,0,MATCH($B661,元データ_14項目!$D$1:$Q$1,0)),元データ_14項目!$A$2:$A$1300,$A661,元データ_14項目!$B$2:$B$1300,"本年",元データ_14項目!$C$2:$C$1300,N$5)</f>
        <v>41</v>
      </c>
      <c r="O661" s="26">
        <f t="shared" si="20"/>
        <v>560</v>
      </c>
      <c r="P661" s="26">
        <f>SUMIFS(INDEX(元データ_14項目!$D$2:$Q$1300,0,MATCH($B661,元データ_14項目!$D$1:$Q$1,0)),元データ_14項目!$A$2:$A$1300,$A661,元データ_14項目!$B$2:$B$1300,"前年")</f>
        <v>628</v>
      </c>
      <c r="Q661" s="7">
        <f t="shared" si="21"/>
        <v>0.89171974522292996</v>
      </c>
    </row>
    <row r="662" spans="1:17" x14ac:dyDescent="0.45">
      <c r="A662" t="s">
        <v>81</v>
      </c>
      <c r="B662" t="s">
        <v>98</v>
      </c>
      <c r="C662" s="26">
        <f>SUMIFS(INDEX(元データ_14項目!$D$2:$Q$1300,0,MATCH($B662,元データ_14項目!$D$1:$Q$1,0)),元データ_14項目!$A$2:$A$1300,$A662,元データ_14項目!$B$2:$B$1300,"本年",元データ_14項目!$C$2:$C$1300,C$5)</f>
        <v>10</v>
      </c>
      <c r="D662" s="26">
        <f>SUMIFS(INDEX(元データ_14項目!$D$2:$Q$1300,0,MATCH($B662,元データ_14項目!$D$1:$Q$1,0)),元データ_14項目!$A$2:$A$1300,$A662,元データ_14項目!$B$2:$B$1300,"本年",元データ_14項目!$C$2:$C$1300,D$5)</f>
        <v>3</v>
      </c>
      <c r="E662" s="26">
        <f>SUMIFS(INDEX(元データ_14項目!$D$2:$Q$1300,0,MATCH($B662,元データ_14項目!$D$1:$Q$1,0)),元データ_14項目!$A$2:$A$1300,$A662,元データ_14項目!$B$2:$B$1300,"本年",元データ_14項目!$C$2:$C$1300,E$5)</f>
        <v>11</v>
      </c>
      <c r="F662" s="26">
        <f>SUMIFS(INDEX(元データ_14項目!$D$2:$Q$1300,0,MATCH($B662,元データ_14項目!$D$1:$Q$1,0)),元データ_14項目!$A$2:$A$1300,$A662,元データ_14項目!$B$2:$B$1300,"本年",元データ_14項目!$C$2:$C$1300,F$5)</f>
        <v>9</v>
      </c>
      <c r="G662" s="26">
        <f>SUMIFS(INDEX(元データ_14項目!$D$2:$Q$1300,0,MATCH($B662,元データ_14項目!$D$1:$Q$1,0)),元データ_14項目!$A$2:$A$1300,$A662,元データ_14項目!$B$2:$B$1300,"本年",元データ_14項目!$C$2:$C$1300,G$5)</f>
        <v>0</v>
      </c>
      <c r="H662" s="26">
        <f>SUMIFS(INDEX(元データ_14項目!$D$2:$Q$1300,0,MATCH($B662,元データ_14項目!$D$1:$Q$1,0)),元データ_14項目!$A$2:$A$1300,$A662,元データ_14項目!$B$2:$B$1300,"本年",元データ_14項目!$C$2:$C$1300,H$5)</f>
        <v>3</v>
      </c>
      <c r="I662" s="26">
        <f>SUMIFS(INDEX(元データ_14項目!$D$2:$Q$1300,0,MATCH($B662,元データ_14項目!$D$1:$Q$1,0)),元データ_14項目!$A$2:$A$1300,$A662,元データ_14項目!$B$2:$B$1300,"本年",元データ_14項目!$C$2:$C$1300,I$5)</f>
        <v>4</v>
      </c>
      <c r="J662" s="26">
        <f>SUMIFS(INDEX(元データ_14項目!$D$2:$Q$1300,0,MATCH($B662,元データ_14項目!$D$1:$Q$1,0)),元データ_14項目!$A$2:$A$1300,$A662,元データ_14項目!$B$2:$B$1300,"本年",元データ_14項目!$C$2:$C$1300,J$5)</f>
        <v>41</v>
      </c>
      <c r="K662" s="26">
        <f>SUMIFS(INDEX(元データ_14項目!$D$2:$Q$1300,0,MATCH($B662,元データ_14項目!$D$1:$Q$1,0)),元データ_14項目!$A$2:$A$1300,$A662,元データ_14項目!$B$2:$B$1300,"本年",元データ_14項目!$C$2:$C$1300,K$5)</f>
        <v>165</v>
      </c>
      <c r="L662" s="26">
        <f>SUMIFS(INDEX(元データ_14項目!$D$2:$Q$1300,0,MATCH($B662,元データ_14項目!$D$1:$Q$1,0)),元データ_14項目!$A$2:$A$1300,$A662,元データ_14項目!$B$2:$B$1300,"本年",元データ_14項目!$C$2:$C$1300,L$5)</f>
        <v>65</v>
      </c>
      <c r="M662" s="26">
        <f>SUMIFS(INDEX(元データ_14項目!$D$2:$Q$1300,0,MATCH($B662,元データ_14項目!$D$1:$Q$1,0)),元データ_14項目!$A$2:$A$1300,$A662,元データ_14項目!$B$2:$B$1300,"本年",元データ_14項目!$C$2:$C$1300,M$5)</f>
        <v>49</v>
      </c>
      <c r="N662" s="26">
        <f>SUMIFS(INDEX(元データ_14項目!$D$2:$Q$1300,0,MATCH($B662,元データ_14項目!$D$1:$Q$1,0)),元データ_14項目!$A$2:$A$1300,$A662,元データ_14項目!$B$2:$B$1300,"本年",元データ_14項目!$C$2:$C$1300,N$5)</f>
        <v>19</v>
      </c>
      <c r="O662" s="26">
        <f t="shared" si="20"/>
        <v>379</v>
      </c>
      <c r="P662" s="26">
        <f>SUMIFS(INDEX(元データ_14項目!$D$2:$Q$1300,0,MATCH($B662,元データ_14項目!$D$1:$Q$1,0)),元データ_14項目!$A$2:$A$1300,$A662,元データ_14項目!$B$2:$B$1300,"前年")</f>
        <v>459</v>
      </c>
      <c r="Q662" s="7">
        <f t="shared" si="21"/>
        <v>0.82570806100217864</v>
      </c>
    </row>
    <row r="663" spans="1:17" x14ac:dyDescent="0.45">
      <c r="A663" t="s">
        <v>81</v>
      </c>
      <c r="B663" t="s">
        <v>99</v>
      </c>
      <c r="C663" s="26">
        <f>SUMIFS(INDEX(元データ_14項目!$D$2:$Q$1300,0,MATCH($B663,元データ_14項目!$D$1:$Q$1,0)),元データ_14項目!$A$2:$A$1300,$A663,元データ_14項目!$B$2:$B$1300,"本年",元データ_14項目!$C$2:$C$1300,C$5)</f>
        <v>0</v>
      </c>
      <c r="D663" s="26">
        <f>SUMIFS(INDEX(元データ_14項目!$D$2:$Q$1300,0,MATCH($B663,元データ_14項目!$D$1:$Q$1,0)),元データ_14項目!$A$2:$A$1300,$A663,元データ_14項目!$B$2:$B$1300,"本年",元データ_14項目!$C$2:$C$1300,D$5)</f>
        <v>0</v>
      </c>
      <c r="E663" s="26">
        <f>SUMIFS(INDEX(元データ_14項目!$D$2:$Q$1300,0,MATCH($B663,元データ_14項目!$D$1:$Q$1,0)),元データ_14項目!$A$2:$A$1300,$A663,元データ_14項目!$B$2:$B$1300,"本年",元データ_14項目!$C$2:$C$1300,E$5)</f>
        <v>0</v>
      </c>
      <c r="F663" s="26">
        <f>SUMIFS(INDEX(元データ_14項目!$D$2:$Q$1300,0,MATCH($B663,元データ_14項目!$D$1:$Q$1,0)),元データ_14項目!$A$2:$A$1300,$A663,元データ_14項目!$B$2:$B$1300,"本年",元データ_14項目!$C$2:$C$1300,F$5)</f>
        <v>2</v>
      </c>
      <c r="G663" s="26">
        <f>SUMIFS(INDEX(元データ_14項目!$D$2:$Q$1300,0,MATCH($B663,元データ_14項目!$D$1:$Q$1,0)),元データ_14項目!$A$2:$A$1300,$A663,元データ_14項目!$B$2:$B$1300,"本年",元データ_14項目!$C$2:$C$1300,G$5)</f>
        <v>0</v>
      </c>
      <c r="H663" s="26">
        <f>SUMIFS(INDEX(元データ_14項目!$D$2:$Q$1300,0,MATCH($B663,元データ_14項目!$D$1:$Q$1,0)),元データ_14項目!$A$2:$A$1300,$A663,元データ_14項目!$B$2:$B$1300,"本年",元データ_14項目!$C$2:$C$1300,H$5)</f>
        <v>0</v>
      </c>
      <c r="I663" s="26">
        <f>SUMIFS(INDEX(元データ_14項目!$D$2:$Q$1300,0,MATCH($B663,元データ_14項目!$D$1:$Q$1,0)),元データ_14項目!$A$2:$A$1300,$A663,元データ_14項目!$B$2:$B$1300,"本年",元データ_14項目!$C$2:$C$1300,I$5)</f>
        <v>0</v>
      </c>
      <c r="J663" s="26">
        <f>SUMIFS(INDEX(元データ_14項目!$D$2:$Q$1300,0,MATCH($B663,元データ_14項目!$D$1:$Q$1,0)),元データ_14項目!$A$2:$A$1300,$A663,元データ_14項目!$B$2:$B$1300,"本年",元データ_14項目!$C$2:$C$1300,J$5)</f>
        <v>6</v>
      </c>
      <c r="K663" s="26">
        <f>SUMIFS(INDEX(元データ_14項目!$D$2:$Q$1300,0,MATCH($B663,元データ_14項目!$D$1:$Q$1,0)),元データ_14項目!$A$2:$A$1300,$A663,元データ_14項目!$B$2:$B$1300,"本年",元データ_14項目!$C$2:$C$1300,K$5)</f>
        <v>10</v>
      </c>
      <c r="L663" s="26">
        <f>SUMIFS(INDEX(元データ_14項目!$D$2:$Q$1300,0,MATCH($B663,元データ_14項目!$D$1:$Q$1,0)),元データ_14項目!$A$2:$A$1300,$A663,元データ_14項目!$B$2:$B$1300,"本年",元データ_14項目!$C$2:$C$1300,L$5)</f>
        <v>13</v>
      </c>
      <c r="M663" s="26">
        <f>SUMIFS(INDEX(元データ_14項目!$D$2:$Q$1300,0,MATCH($B663,元データ_14項目!$D$1:$Q$1,0)),元データ_14項目!$A$2:$A$1300,$A663,元データ_14項目!$B$2:$B$1300,"本年",元データ_14項目!$C$2:$C$1300,M$5)</f>
        <v>0</v>
      </c>
      <c r="N663" s="26">
        <f>SUMIFS(INDEX(元データ_14項目!$D$2:$Q$1300,0,MATCH($B663,元データ_14項目!$D$1:$Q$1,0)),元データ_14項目!$A$2:$A$1300,$A663,元データ_14項目!$B$2:$B$1300,"本年",元データ_14項目!$C$2:$C$1300,N$5)</f>
        <v>7</v>
      </c>
      <c r="O663" s="26">
        <f t="shared" si="20"/>
        <v>38</v>
      </c>
      <c r="P663" s="26">
        <f>SUMIFS(INDEX(元データ_14項目!$D$2:$Q$1300,0,MATCH($B663,元データ_14項目!$D$1:$Q$1,0)),元データ_14項目!$A$2:$A$1300,$A663,元データ_14項目!$B$2:$B$1300,"前年")</f>
        <v>32</v>
      </c>
      <c r="Q663" s="7">
        <f t="shared" si="21"/>
        <v>1.1875</v>
      </c>
    </row>
    <row r="664" spans="1:17" x14ac:dyDescent="0.45">
      <c r="A664" t="s">
        <v>82</v>
      </c>
      <c r="B664" t="s">
        <v>27</v>
      </c>
      <c r="C664" s="26">
        <f>SUMIFS(INDEX(元データ_14項目!$D$2:$Q$1300,0,MATCH($B664,元データ_14項目!$D$1:$Q$1,0)),元データ_14項目!$A$2:$A$1300,$A664,元データ_14項目!$B$2:$B$1300,"本年",元データ_14項目!$C$2:$C$1300,C$5)</f>
        <v>254</v>
      </c>
      <c r="D664" s="26">
        <f>SUMIFS(INDEX(元データ_14項目!$D$2:$Q$1300,0,MATCH($B664,元データ_14項目!$D$1:$Q$1,0)),元データ_14項目!$A$2:$A$1300,$A664,元データ_14項目!$B$2:$B$1300,"本年",元データ_14項目!$C$2:$C$1300,D$5)</f>
        <v>290</v>
      </c>
      <c r="E664" s="26">
        <f>SUMIFS(INDEX(元データ_14項目!$D$2:$Q$1300,0,MATCH($B664,元データ_14項目!$D$1:$Q$1,0)),元データ_14項目!$A$2:$A$1300,$A664,元データ_14項目!$B$2:$B$1300,"本年",元データ_14項目!$C$2:$C$1300,E$5)</f>
        <v>421</v>
      </c>
      <c r="F664" s="26">
        <f>SUMIFS(INDEX(元データ_14項目!$D$2:$Q$1300,0,MATCH($B664,元データ_14項目!$D$1:$Q$1,0)),元データ_14項目!$A$2:$A$1300,$A664,元データ_14項目!$B$2:$B$1300,"本年",元データ_14項目!$C$2:$C$1300,F$5)</f>
        <v>356</v>
      </c>
      <c r="G664" s="26">
        <f>SUMIFS(INDEX(元データ_14項目!$D$2:$Q$1300,0,MATCH($B664,元データ_14項目!$D$1:$Q$1,0)),元データ_14項目!$A$2:$A$1300,$A664,元データ_14項目!$B$2:$B$1300,"本年",元データ_14項目!$C$2:$C$1300,G$5)</f>
        <v>325</v>
      </c>
      <c r="H664" s="26">
        <f>SUMIFS(INDEX(元データ_14項目!$D$2:$Q$1300,0,MATCH($B664,元データ_14項目!$D$1:$Q$1,0)),元データ_14項目!$A$2:$A$1300,$A664,元データ_14項目!$B$2:$B$1300,"本年",元データ_14項目!$C$2:$C$1300,H$5)</f>
        <v>298</v>
      </c>
      <c r="I664" s="26">
        <f>SUMIFS(INDEX(元データ_14項目!$D$2:$Q$1300,0,MATCH($B664,元データ_14項目!$D$1:$Q$1,0)),元データ_14項目!$A$2:$A$1300,$A664,元データ_14項目!$B$2:$B$1300,"本年",元データ_14項目!$C$2:$C$1300,I$5)</f>
        <v>266</v>
      </c>
      <c r="J664" s="26">
        <f>SUMIFS(INDEX(元データ_14項目!$D$2:$Q$1300,0,MATCH($B664,元データ_14項目!$D$1:$Q$1,0)),元データ_14項目!$A$2:$A$1300,$A664,元データ_14項目!$B$2:$B$1300,"本年",元データ_14項目!$C$2:$C$1300,J$5)</f>
        <v>357</v>
      </c>
      <c r="K664" s="26">
        <f>SUMIFS(INDEX(元データ_14項目!$D$2:$Q$1300,0,MATCH($B664,元データ_14項目!$D$1:$Q$1,0)),元データ_14項目!$A$2:$A$1300,$A664,元データ_14項目!$B$2:$B$1300,"本年",元データ_14項目!$C$2:$C$1300,K$5)</f>
        <v>330</v>
      </c>
      <c r="L664" s="26">
        <f>SUMIFS(INDEX(元データ_14項目!$D$2:$Q$1300,0,MATCH($B664,元データ_14項目!$D$1:$Q$1,0)),元データ_14項目!$A$2:$A$1300,$A664,元データ_14項目!$B$2:$B$1300,"本年",元データ_14項目!$C$2:$C$1300,L$5)</f>
        <v>262</v>
      </c>
      <c r="M664" s="26">
        <f>SUMIFS(INDEX(元データ_14項目!$D$2:$Q$1300,0,MATCH($B664,元データ_14項目!$D$1:$Q$1,0)),元データ_14項目!$A$2:$A$1300,$A664,元データ_14項目!$B$2:$B$1300,"本年",元データ_14項目!$C$2:$C$1300,M$5)</f>
        <v>347</v>
      </c>
      <c r="N664" s="26">
        <f>SUMIFS(INDEX(元データ_14項目!$D$2:$Q$1300,0,MATCH($B664,元データ_14項目!$D$1:$Q$1,0)),元データ_14項目!$A$2:$A$1300,$A664,元データ_14項目!$B$2:$B$1300,"本年",元データ_14項目!$C$2:$C$1300,N$5)</f>
        <v>327</v>
      </c>
      <c r="O664" s="26">
        <f t="shared" si="20"/>
        <v>3833</v>
      </c>
      <c r="P664" s="26">
        <f>SUMIFS(INDEX(元データ_14項目!$D$2:$Q$1300,0,MATCH($B664,元データ_14項目!$D$1:$Q$1,0)),元データ_14項目!$A$2:$A$1300,$A664,元データ_14項目!$B$2:$B$1300,"前年")</f>
        <v>4529</v>
      </c>
      <c r="Q664" s="7">
        <f t="shared" si="21"/>
        <v>0.84632369176418631</v>
      </c>
    </row>
    <row r="665" spans="1:17" x14ac:dyDescent="0.45">
      <c r="A665" t="s">
        <v>82</v>
      </c>
      <c r="B665" t="s">
        <v>88</v>
      </c>
      <c r="C665" s="26">
        <f>SUMIFS(INDEX(元データ_14項目!$D$2:$Q$1300,0,MATCH($B665,元データ_14項目!$D$1:$Q$1,0)),元データ_14項目!$A$2:$A$1300,$A665,元データ_14項目!$B$2:$B$1300,"本年",元データ_14項目!$C$2:$C$1300,C$5)</f>
        <v>20</v>
      </c>
      <c r="D665" s="26">
        <f>SUMIFS(INDEX(元データ_14項目!$D$2:$Q$1300,0,MATCH($B665,元データ_14項目!$D$1:$Q$1,0)),元データ_14項目!$A$2:$A$1300,$A665,元データ_14項目!$B$2:$B$1300,"本年",元データ_14項目!$C$2:$C$1300,D$5)</f>
        <v>16</v>
      </c>
      <c r="E665" s="26">
        <f>SUMIFS(INDEX(元データ_14項目!$D$2:$Q$1300,0,MATCH($B665,元データ_14項目!$D$1:$Q$1,0)),元データ_14項目!$A$2:$A$1300,$A665,元データ_14項目!$B$2:$B$1300,"本年",元データ_14項目!$C$2:$C$1300,E$5)</f>
        <v>60</v>
      </c>
      <c r="F665" s="26">
        <f>SUMIFS(INDEX(元データ_14項目!$D$2:$Q$1300,0,MATCH($B665,元データ_14項目!$D$1:$Q$1,0)),元データ_14項目!$A$2:$A$1300,$A665,元データ_14項目!$B$2:$B$1300,"本年",元データ_14項目!$C$2:$C$1300,F$5)</f>
        <v>62</v>
      </c>
      <c r="G665" s="26">
        <f>SUMIFS(INDEX(元データ_14項目!$D$2:$Q$1300,0,MATCH($B665,元データ_14項目!$D$1:$Q$1,0)),元データ_14項目!$A$2:$A$1300,$A665,元データ_14項目!$B$2:$B$1300,"本年",元データ_14項目!$C$2:$C$1300,G$5)</f>
        <v>27</v>
      </c>
      <c r="H665" s="26">
        <f>SUMIFS(INDEX(元データ_14項目!$D$2:$Q$1300,0,MATCH($B665,元データ_14項目!$D$1:$Q$1,0)),元データ_14項目!$A$2:$A$1300,$A665,元データ_14項目!$B$2:$B$1300,"本年",元データ_14項目!$C$2:$C$1300,H$5)</f>
        <v>24</v>
      </c>
      <c r="I665" s="26">
        <f>SUMIFS(INDEX(元データ_14項目!$D$2:$Q$1300,0,MATCH($B665,元データ_14項目!$D$1:$Q$1,0)),元データ_14項目!$A$2:$A$1300,$A665,元データ_14項目!$B$2:$B$1300,"本年",元データ_14項目!$C$2:$C$1300,I$5)</f>
        <v>29</v>
      </c>
      <c r="J665" s="26">
        <f>SUMIFS(INDEX(元データ_14項目!$D$2:$Q$1300,0,MATCH($B665,元データ_14項目!$D$1:$Q$1,0)),元データ_14項目!$A$2:$A$1300,$A665,元データ_14項目!$B$2:$B$1300,"本年",元データ_14項目!$C$2:$C$1300,J$5)</f>
        <v>29</v>
      </c>
      <c r="K665" s="26">
        <f>SUMIFS(INDEX(元データ_14項目!$D$2:$Q$1300,0,MATCH($B665,元データ_14項目!$D$1:$Q$1,0)),元データ_14項目!$A$2:$A$1300,$A665,元データ_14項目!$B$2:$B$1300,"本年",元データ_14項目!$C$2:$C$1300,K$5)</f>
        <v>67</v>
      </c>
      <c r="L665" s="26">
        <f>SUMIFS(INDEX(元データ_14項目!$D$2:$Q$1300,0,MATCH($B665,元データ_14項目!$D$1:$Q$1,0)),元データ_14項目!$A$2:$A$1300,$A665,元データ_14項目!$B$2:$B$1300,"本年",元データ_14項目!$C$2:$C$1300,L$5)</f>
        <v>41</v>
      </c>
      <c r="M665" s="26">
        <f>SUMIFS(INDEX(元データ_14項目!$D$2:$Q$1300,0,MATCH($B665,元データ_14項目!$D$1:$Q$1,0)),元データ_14項目!$A$2:$A$1300,$A665,元データ_14項目!$B$2:$B$1300,"本年",元データ_14項目!$C$2:$C$1300,M$5)</f>
        <v>34</v>
      </c>
      <c r="N665" s="26">
        <f>SUMIFS(INDEX(元データ_14項目!$D$2:$Q$1300,0,MATCH($B665,元データ_14項目!$D$1:$Q$1,0)),元データ_14項目!$A$2:$A$1300,$A665,元データ_14項目!$B$2:$B$1300,"本年",元データ_14項目!$C$2:$C$1300,N$5)</f>
        <v>36</v>
      </c>
      <c r="O665" s="26">
        <f t="shared" si="20"/>
        <v>445</v>
      </c>
      <c r="P665" s="26">
        <f>SUMIFS(INDEX(元データ_14項目!$D$2:$Q$1300,0,MATCH($B665,元データ_14項目!$D$1:$Q$1,0)),元データ_14項目!$A$2:$A$1300,$A665,元データ_14項目!$B$2:$B$1300,"前年")</f>
        <v>493</v>
      </c>
      <c r="Q665" s="7">
        <f t="shared" si="21"/>
        <v>0.9026369168356998</v>
      </c>
    </row>
    <row r="666" spans="1:17" x14ac:dyDescent="0.45">
      <c r="A666" t="s">
        <v>82</v>
      </c>
      <c r="B666" t="s">
        <v>89</v>
      </c>
      <c r="C666" s="26">
        <f>SUMIFS(INDEX(元データ_14項目!$D$2:$Q$1300,0,MATCH($B666,元データ_14項目!$D$1:$Q$1,0)),元データ_14項目!$A$2:$A$1300,$A666,元データ_14項目!$B$2:$B$1300,"本年",元データ_14項目!$C$2:$C$1300,C$5)</f>
        <v>22</v>
      </c>
      <c r="D666" s="26">
        <f>SUMIFS(INDEX(元データ_14項目!$D$2:$Q$1300,0,MATCH($B666,元データ_14項目!$D$1:$Q$1,0)),元データ_14項目!$A$2:$A$1300,$A666,元データ_14項目!$B$2:$B$1300,"本年",元データ_14項目!$C$2:$C$1300,D$5)</f>
        <v>33</v>
      </c>
      <c r="E666" s="26">
        <f>SUMIFS(INDEX(元データ_14項目!$D$2:$Q$1300,0,MATCH($B666,元データ_14項目!$D$1:$Q$1,0)),元データ_14項目!$A$2:$A$1300,$A666,元データ_14項目!$B$2:$B$1300,"本年",元データ_14項目!$C$2:$C$1300,E$5)</f>
        <v>66</v>
      </c>
      <c r="F666" s="26">
        <f>SUMIFS(INDEX(元データ_14項目!$D$2:$Q$1300,0,MATCH($B666,元データ_14項目!$D$1:$Q$1,0)),元データ_14項目!$A$2:$A$1300,$A666,元データ_14項目!$B$2:$B$1300,"本年",元データ_14項目!$C$2:$C$1300,F$5)</f>
        <v>47</v>
      </c>
      <c r="G666" s="26">
        <f>SUMIFS(INDEX(元データ_14項目!$D$2:$Q$1300,0,MATCH($B666,元データ_14項目!$D$1:$Q$1,0)),元データ_14項目!$A$2:$A$1300,$A666,元データ_14項目!$B$2:$B$1300,"本年",元データ_14項目!$C$2:$C$1300,G$5)</f>
        <v>50</v>
      </c>
      <c r="H666" s="26">
        <f>SUMIFS(INDEX(元データ_14項目!$D$2:$Q$1300,0,MATCH($B666,元データ_14項目!$D$1:$Q$1,0)),元データ_14項目!$A$2:$A$1300,$A666,元データ_14項目!$B$2:$B$1300,"本年",元データ_14項目!$C$2:$C$1300,H$5)</f>
        <v>13</v>
      </c>
      <c r="I666" s="26">
        <f>SUMIFS(INDEX(元データ_14項目!$D$2:$Q$1300,0,MATCH($B666,元データ_14項目!$D$1:$Q$1,0)),元データ_14項目!$A$2:$A$1300,$A666,元データ_14項目!$B$2:$B$1300,"本年",元データ_14項目!$C$2:$C$1300,I$5)</f>
        <v>20</v>
      </c>
      <c r="J666" s="26">
        <f>SUMIFS(INDEX(元データ_14項目!$D$2:$Q$1300,0,MATCH($B666,元データ_14項目!$D$1:$Q$1,0)),元データ_14項目!$A$2:$A$1300,$A666,元データ_14項目!$B$2:$B$1300,"本年",元データ_14項目!$C$2:$C$1300,J$5)</f>
        <v>32</v>
      </c>
      <c r="K666" s="26">
        <f>SUMIFS(INDEX(元データ_14項目!$D$2:$Q$1300,0,MATCH($B666,元データ_14項目!$D$1:$Q$1,0)),元データ_14項目!$A$2:$A$1300,$A666,元データ_14項目!$B$2:$B$1300,"本年",元データ_14項目!$C$2:$C$1300,K$5)</f>
        <v>46</v>
      </c>
      <c r="L666" s="26">
        <f>SUMIFS(INDEX(元データ_14項目!$D$2:$Q$1300,0,MATCH($B666,元データ_14項目!$D$1:$Q$1,0)),元データ_14項目!$A$2:$A$1300,$A666,元データ_14項目!$B$2:$B$1300,"本年",元データ_14項目!$C$2:$C$1300,L$5)</f>
        <v>39</v>
      </c>
      <c r="M666" s="26">
        <f>SUMIFS(INDEX(元データ_14項目!$D$2:$Q$1300,0,MATCH($B666,元データ_14項目!$D$1:$Q$1,0)),元データ_14項目!$A$2:$A$1300,$A666,元データ_14項目!$B$2:$B$1300,"本年",元データ_14項目!$C$2:$C$1300,M$5)</f>
        <v>52</v>
      </c>
      <c r="N666" s="26">
        <f>SUMIFS(INDEX(元データ_14項目!$D$2:$Q$1300,0,MATCH($B666,元データ_14項目!$D$1:$Q$1,0)),元データ_14項目!$A$2:$A$1300,$A666,元データ_14項目!$B$2:$B$1300,"本年",元データ_14項目!$C$2:$C$1300,N$5)</f>
        <v>43</v>
      </c>
      <c r="O666" s="26">
        <f t="shared" si="20"/>
        <v>463</v>
      </c>
      <c r="P666" s="26">
        <f>SUMIFS(INDEX(元データ_14項目!$D$2:$Q$1300,0,MATCH($B666,元データ_14項目!$D$1:$Q$1,0)),元データ_14項目!$A$2:$A$1300,$A666,元データ_14項目!$B$2:$B$1300,"前年")</f>
        <v>564</v>
      </c>
      <c r="Q666" s="7">
        <f t="shared" si="21"/>
        <v>0.82092198581560283</v>
      </c>
    </row>
    <row r="667" spans="1:17" x14ac:dyDescent="0.45">
      <c r="A667" t="s">
        <v>82</v>
      </c>
      <c r="B667" t="s">
        <v>90</v>
      </c>
      <c r="C667" s="26">
        <f>SUMIFS(INDEX(元データ_14項目!$D$2:$Q$1300,0,MATCH($B667,元データ_14項目!$D$1:$Q$1,0)),元データ_14項目!$A$2:$A$1300,$A667,元データ_14項目!$B$2:$B$1300,"本年",元データ_14項目!$C$2:$C$1300,C$5)</f>
        <v>15</v>
      </c>
      <c r="D667" s="26">
        <f>SUMIFS(INDEX(元データ_14項目!$D$2:$Q$1300,0,MATCH($B667,元データ_14項目!$D$1:$Q$1,0)),元データ_14項目!$A$2:$A$1300,$A667,元データ_14項目!$B$2:$B$1300,"本年",元データ_14項目!$C$2:$C$1300,D$5)</f>
        <v>15</v>
      </c>
      <c r="E667" s="26">
        <f>SUMIFS(INDEX(元データ_14項目!$D$2:$Q$1300,0,MATCH($B667,元データ_14項目!$D$1:$Q$1,0)),元データ_14項目!$A$2:$A$1300,$A667,元データ_14項目!$B$2:$B$1300,"本年",元データ_14項目!$C$2:$C$1300,E$5)</f>
        <v>16</v>
      </c>
      <c r="F667" s="26">
        <f>SUMIFS(INDEX(元データ_14項目!$D$2:$Q$1300,0,MATCH($B667,元データ_14項目!$D$1:$Q$1,0)),元データ_14項目!$A$2:$A$1300,$A667,元データ_14項目!$B$2:$B$1300,"本年",元データ_14項目!$C$2:$C$1300,F$5)</f>
        <v>60</v>
      </c>
      <c r="G667" s="26">
        <f>SUMIFS(INDEX(元データ_14項目!$D$2:$Q$1300,0,MATCH($B667,元データ_14項目!$D$1:$Q$1,0)),元データ_14項目!$A$2:$A$1300,$A667,元データ_14項目!$B$2:$B$1300,"本年",元データ_14項目!$C$2:$C$1300,G$5)</f>
        <v>61</v>
      </c>
      <c r="H667" s="26">
        <f>SUMIFS(INDEX(元データ_14項目!$D$2:$Q$1300,0,MATCH($B667,元データ_14項目!$D$1:$Q$1,0)),元データ_14項目!$A$2:$A$1300,$A667,元データ_14項目!$B$2:$B$1300,"本年",元データ_14項目!$C$2:$C$1300,H$5)</f>
        <v>50</v>
      </c>
      <c r="I667" s="26">
        <f>SUMIFS(INDEX(元データ_14項目!$D$2:$Q$1300,0,MATCH($B667,元データ_14項目!$D$1:$Q$1,0)),元データ_14項目!$A$2:$A$1300,$A667,元データ_14項目!$B$2:$B$1300,"本年",元データ_14項目!$C$2:$C$1300,I$5)</f>
        <v>28</v>
      </c>
      <c r="J667" s="26">
        <f>SUMIFS(INDEX(元データ_14項目!$D$2:$Q$1300,0,MATCH($B667,元データ_14項目!$D$1:$Q$1,0)),元データ_14項目!$A$2:$A$1300,$A667,元データ_14項目!$B$2:$B$1300,"本年",元データ_14項目!$C$2:$C$1300,J$5)</f>
        <v>61</v>
      </c>
      <c r="K667" s="26">
        <f>SUMIFS(INDEX(元データ_14項目!$D$2:$Q$1300,0,MATCH($B667,元データ_14項目!$D$1:$Q$1,0)),元データ_14項目!$A$2:$A$1300,$A667,元データ_14項目!$B$2:$B$1300,"本年",元データ_14項目!$C$2:$C$1300,K$5)</f>
        <v>96</v>
      </c>
      <c r="L667" s="26">
        <f>SUMIFS(INDEX(元データ_14項目!$D$2:$Q$1300,0,MATCH($B667,元データ_14項目!$D$1:$Q$1,0)),元データ_14項目!$A$2:$A$1300,$A667,元データ_14項目!$B$2:$B$1300,"本年",元データ_14項目!$C$2:$C$1300,L$5)</f>
        <v>70</v>
      </c>
      <c r="M667" s="26">
        <f>SUMIFS(INDEX(元データ_14項目!$D$2:$Q$1300,0,MATCH($B667,元データ_14項目!$D$1:$Q$1,0)),元データ_14項目!$A$2:$A$1300,$A667,元データ_14項目!$B$2:$B$1300,"本年",元データ_14項目!$C$2:$C$1300,M$5)</f>
        <v>50</v>
      </c>
      <c r="N667" s="26">
        <f>SUMIFS(INDEX(元データ_14項目!$D$2:$Q$1300,0,MATCH($B667,元データ_14項目!$D$1:$Q$1,0)),元データ_14項目!$A$2:$A$1300,$A667,元データ_14項目!$B$2:$B$1300,"本年",元データ_14項目!$C$2:$C$1300,N$5)</f>
        <v>43</v>
      </c>
      <c r="O667" s="26">
        <f t="shared" si="20"/>
        <v>565</v>
      </c>
      <c r="P667" s="26">
        <f>SUMIFS(INDEX(元データ_14項目!$D$2:$Q$1300,0,MATCH($B667,元データ_14項目!$D$1:$Q$1,0)),元データ_14項目!$A$2:$A$1300,$A667,元データ_14項目!$B$2:$B$1300,"前年")</f>
        <v>699</v>
      </c>
      <c r="Q667" s="7">
        <f t="shared" si="21"/>
        <v>0.80829756795422036</v>
      </c>
    </row>
    <row r="668" spans="1:17" x14ac:dyDescent="0.45">
      <c r="A668" t="s">
        <v>82</v>
      </c>
      <c r="B668" t="s">
        <v>91</v>
      </c>
      <c r="C668" s="26">
        <f>SUMIFS(INDEX(元データ_14項目!$D$2:$Q$1300,0,MATCH($B668,元データ_14項目!$D$1:$Q$1,0)),元データ_14項目!$A$2:$A$1300,$A668,元データ_14項目!$B$2:$B$1300,"本年",元データ_14項目!$C$2:$C$1300,C$5)</f>
        <v>6</v>
      </c>
      <c r="D668" s="26">
        <f>SUMIFS(INDEX(元データ_14項目!$D$2:$Q$1300,0,MATCH($B668,元データ_14項目!$D$1:$Q$1,0)),元データ_14項目!$A$2:$A$1300,$A668,元データ_14項目!$B$2:$B$1300,"本年",元データ_14項目!$C$2:$C$1300,D$5)</f>
        <v>17</v>
      </c>
      <c r="E668" s="26">
        <f>SUMIFS(INDEX(元データ_14項目!$D$2:$Q$1300,0,MATCH($B668,元データ_14項目!$D$1:$Q$1,0)),元データ_14項目!$A$2:$A$1300,$A668,元データ_14項目!$B$2:$B$1300,"本年",元データ_14項目!$C$2:$C$1300,E$5)</f>
        <v>44</v>
      </c>
      <c r="F668" s="26">
        <f>SUMIFS(INDEX(元データ_14項目!$D$2:$Q$1300,0,MATCH($B668,元データ_14項目!$D$1:$Q$1,0)),元データ_14項目!$A$2:$A$1300,$A668,元データ_14項目!$B$2:$B$1300,"本年",元データ_14項目!$C$2:$C$1300,F$5)</f>
        <v>28</v>
      </c>
      <c r="G668" s="26">
        <f>SUMIFS(INDEX(元データ_14項目!$D$2:$Q$1300,0,MATCH($B668,元データ_14項目!$D$1:$Q$1,0)),元データ_14項目!$A$2:$A$1300,$A668,元データ_14項目!$B$2:$B$1300,"本年",元データ_14項目!$C$2:$C$1300,G$5)</f>
        <v>7</v>
      </c>
      <c r="H668" s="26">
        <f>SUMIFS(INDEX(元データ_14項目!$D$2:$Q$1300,0,MATCH($B668,元データ_14項目!$D$1:$Q$1,0)),元データ_14項目!$A$2:$A$1300,$A668,元データ_14項目!$B$2:$B$1300,"本年",元データ_14項目!$C$2:$C$1300,H$5)</f>
        <v>7</v>
      </c>
      <c r="I668" s="26">
        <f>SUMIFS(INDEX(元データ_14項目!$D$2:$Q$1300,0,MATCH($B668,元データ_14項目!$D$1:$Q$1,0)),元データ_14項目!$A$2:$A$1300,$A668,元データ_14項目!$B$2:$B$1300,"本年",元データ_14項目!$C$2:$C$1300,I$5)</f>
        <v>13</v>
      </c>
      <c r="J668" s="26">
        <f>SUMIFS(INDEX(元データ_14項目!$D$2:$Q$1300,0,MATCH($B668,元データ_14項目!$D$1:$Q$1,0)),元データ_14項目!$A$2:$A$1300,$A668,元データ_14項目!$B$2:$B$1300,"本年",元データ_14項目!$C$2:$C$1300,J$5)</f>
        <v>6</v>
      </c>
      <c r="K668" s="26">
        <f>SUMIFS(INDEX(元データ_14項目!$D$2:$Q$1300,0,MATCH($B668,元データ_14項目!$D$1:$Q$1,0)),元データ_14項目!$A$2:$A$1300,$A668,元データ_14項目!$B$2:$B$1300,"本年",元データ_14項目!$C$2:$C$1300,K$5)</f>
        <v>21</v>
      </c>
      <c r="L668" s="26">
        <f>SUMIFS(INDEX(元データ_14項目!$D$2:$Q$1300,0,MATCH($B668,元データ_14項目!$D$1:$Q$1,0)),元データ_14項目!$A$2:$A$1300,$A668,元データ_14項目!$B$2:$B$1300,"本年",元データ_14項目!$C$2:$C$1300,L$5)</f>
        <v>16</v>
      </c>
      <c r="M668" s="26">
        <f>SUMIFS(INDEX(元データ_14項目!$D$2:$Q$1300,0,MATCH($B668,元データ_14項目!$D$1:$Q$1,0)),元データ_14項目!$A$2:$A$1300,$A668,元データ_14項目!$B$2:$B$1300,"本年",元データ_14項目!$C$2:$C$1300,M$5)</f>
        <v>24</v>
      </c>
      <c r="N668" s="26">
        <f>SUMIFS(INDEX(元データ_14項目!$D$2:$Q$1300,0,MATCH($B668,元データ_14項目!$D$1:$Q$1,0)),元データ_14項目!$A$2:$A$1300,$A668,元データ_14項目!$B$2:$B$1300,"本年",元データ_14項目!$C$2:$C$1300,N$5)</f>
        <v>58</v>
      </c>
      <c r="O668" s="26">
        <f t="shared" si="20"/>
        <v>247</v>
      </c>
      <c r="P668" s="26">
        <f>SUMIFS(INDEX(元データ_14項目!$D$2:$Q$1300,0,MATCH($B668,元データ_14項目!$D$1:$Q$1,0)),元データ_14項目!$A$2:$A$1300,$A668,元データ_14項目!$B$2:$B$1300,"前年")</f>
        <v>192</v>
      </c>
      <c r="Q668" s="7">
        <f t="shared" si="21"/>
        <v>1.2864583333333333</v>
      </c>
    </row>
    <row r="669" spans="1:17" x14ac:dyDescent="0.45">
      <c r="A669" t="s">
        <v>82</v>
      </c>
      <c r="B669" t="s">
        <v>28</v>
      </c>
      <c r="C669" s="26">
        <f>SUMIFS(INDEX(元データ_14項目!$D$2:$Q$1300,0,MATCH($B669,元データ_14項目!$D$1:$Q$1,0)),元データ_14項目!$A$2:$A$1300,$A669,元データ_14項目!$B$2:$B$1300,"本年",元データ_14項目!$C$2:$C$1300,C$5)</f>
        <v>69</v>
      </c>
      <c r="D669" s="26">
        <f>SUMIFS(INDEX(元データ_14項目!$D$2:$Q$1300,0,MATCH($B669,元データ_14項目!$D$1:$Q$1,0)),元データ_14項目!$A$2:$A$1300,$A669,元データ_14項目!$B$2:$B$1300,"本年",元データ_14項目!$C$2:$C$1300,D$5)</f>
        <v>111</v>
      </c>
      <c r="E669" s="26">
        <f>SUMIFS(INDEX(元データ_14項目!$D$2:$Q$1300,0,MATCH($B669,元データ_14項目!$D$1:$Q$1,0)),元データ_14項目!$A$2:$A$1300,$A669,元データ_14項目!$B$2:$B$1300,"本年",元データ_14項目!$C$2:$C$1300,E$5)</f>
        <v>163</v>
      </c>
      <c r="F669" s="26">
        <f>SUMIFS(INDEX(元データ_14項目!$D$2:$Q$1300,0,MATCH($B669,元データ_14項目!$D$1:$Q$1,0)),元データ_14項目!$A$2:$A$1300,$A669,元データ_14項目!$B$2:$B$1300,"本年",元データ_14項目!$C$2:$C$1300,F$5)</f>
        <v>106</v>
      </c>
      <c r="G669" s="26">
        <f>SUMIFS(INDEX(元データ_14項目!$D$2:$Q$1300,0,MATCH($B669,元データ_14項目!$D$1:$Q$1,0)),元データ_14項目!$A$2:$A$1300,$A669,元データ_14項目!$B$2:$B$1300,"本年",元データ_14項目!$C$2:$C$1300,G$5)</f>
        <v>68</v>
      </c>
      <c r="H669" s="26">
        <f>SUMIFS(INDEX(元データ_14項目!$D$2:$Q$1300,0,MATCH($B669,元データ_14項目!$D$1:$Q$1,0)),元データ_14項目!$A$2:$A$1300,$A669,元データ_14項目!$B$2:$B$1300,"本年",元データ_14項目!$C$2:$C$1300,H$5)</f>
        <v>64</v>
      </c>
      <c r="I669" s="26">
        <f>SUMIFS(INDEX(元データ_14項目!$D$2:$Q$1300,0,MATCH($B669,元データ_14項目!$D$1:$Q$1,0)),元データ_14項目!$A$2:$A$1300,$A669,元データ_14項目!$B$2:$B$1300,"本年",元データ_14項目!$C$2:$C$1300,I$5)</f>
        <v>58</v>
      </c>
      <c r="J669" s="26">
        <f>SUMIFS(INDEX(元データ_14項目!$D$2:$Q$1300,0,MATCH($B669,元データ_14項目!$D$1:$Q$1,0)),元データ_14項目!$A$2:$A$1300,$A669,元データ_14項目!$B$2:$B$1300,"本年",元データ_14項目!$C$2:$C$1300,J$5)</f>
        <v>64</v>
      </c>
      <c r="K669" s="26">
        <f>SUMIFS(INDEX(元データ_14項目!$D$2:$Q$1300,0,MATCH($B669,元データ_14項目!$D$1:$Q$1,0)),元データ_14項目!$A$2:$A$1300,$A669,元データ_14項目!$B$2:$B$1300,"本年",元データ_14項目!$C$2:$C$1300,K$5)</f>
        <v>103</v>
      </c>
      <c r="L669" s="26">
        <f>SUMIFS(INDEX(元データ_14項目!$D$2:$Q$1300,0,MATCH($B669,元データ_14項目!$D$1:$Q$1,0)),元データ_14項目!$A$2:$A$1300,$A669,元データ_14項目!$B$2:$B$1300,"本年",元データ_14項目!$C$2:$C$1300,L$5)</f>
        <v>78</v>
      </c>
      <c r="M669" s="26">
        <f>SUMIFS(INDEX(元データ_14項目!$D$2:$Q$1300,0,MATCH($B669,元データ_14項目!$D$1:$Q$1,0)),元データ_14項目!$A$2:$A$1300,$A669,元データ_14項目!$B$2:$B$1300,"本年",元データ_14項目!$C$2:$C$1300,M$5)</f>
        <v>108</v>
      </c>
      <c r="N669" s="26">
        <f>SUMIFS(INDEX(元データ_14項目!$D$2:$Q$1300,0,MATCH($B669,元データ_14項目!$D$1:$Q$1,0)),元データ_14項目!$A$2:$A$1300,$A669,元データ_14項目!$B$2:$B$1300,"本年",元データ_14項目!$C$2:$C$1300,N$5)</f>
        <v>79</v>
      </c>
      <c r="O669" s="26">
        <f t="shared" si="20"/>
        <v>1071</v>
      </c>
      <c r="P669" s="26">
        <f>SUMIFS(INDEX(元データ_14項目!$D$2:$Q$1300,0,MATCH($B669,元データ_14項目!$D$1:$Q$1,0)),元データ_14項目!$A$2:$A$1300,$A669,元データ_14項目!$B$2:$B$1300,"前年")</f>
        <v>1174</v>
      </c>
      <c r="Q669" s="7">
        <f t="shared" si="21"/>
        <v>0.91226575809199317</v>
      </c>
    </row>
    <row r="670" spans="1:17" x14ac:dyDescent="0.45">
      <c r="A670" t="s">
        <v>82</v>
      </c>
      <c r="B670" t="s">
        <v>92</v>
      </c>
      <c r="C670" s="26">
        <f>SUMIFS(INDEX(元データ_14項目!$D$2:$Q$1300,0,MATCH($B670,元データ_14項目!$D$1:$Q$1,0)),元データ_14項目!$A$2:$A$1300,$A670,元データ_14項目!$B$2:$B$1300,"本年",元データ_14項目!$C$2:$C$1300,C$5)</f>
        <v>10</v>
      </c>
      <c r="D670" s="26">
        <f>SUMIFS(INDEX(元データ_14項目!$D$2:$Q$1300,0,MATCH($B670,元データ_14項目!$D$1:$Q$1,0)),元データ_14項目!$A$2:$A$1300,$A670,元データ_14項目!$B$2:$B$1300,"本年",元データ_14項目!$C$2:$C$1300,D$5)</f>
        <v>19</v>
      </c>
      <c r="E670" s="26">
        <f>SUMIFS(INDEX(元データ_14項目!$D$2:$Q$1300,0,MATCH($B670,元データ_14項目!$D$1:$Q$1,0)),元データ_14項目!$A$2:$A$1300,$A670,元データ_14項目!$B$2:$B$1300,"本年",元データ_14項目!$C$2:$C$1300,E$5)</f>
        <v>30</v>
      </c>
      <c r="F670" s="26">
        <f>SUMIFS(INDEX(元データ_14項目!$D$2:$Q$1300,0,MATCH($B670,元データ_14項目!$D$1:$Q$1,0)),元データ_14項目!$A$2:$A$1300,$A670,元データ_14項目!$B$2:$B$1300,"本年",元データ_14項目!$C$2:$C$1300,F$5)</f>
        <v>16</v>
      </c>
      <c r="G670" s="26">
        <f>SUMIFS(INDEX(元データ_14項目!$D$2:$Q$1300,0,MATCH($B670,元データ_14項目!$D$1:$Q$1,0)),元データ_14項目!$A$2:$A$1300,$A670,元データ_14項目!$B$2:$B$1300,"本年",元データ_14項目!$C$2:$C$1300,G$5)</f>
        <v>22</v>
      </c>
      <c r="H670" s="26">
        <f>SUMIFS(INDEX(元データ_14項目!$D$2:$Q$1300,0,MATCH($B670,元データ_14項目!$D$1:$Q$1,0)),元データ_14項目!$A$2:$A$1300,$A670,元データ_14項目!$B$2:$B$1300,"本年",元データ_14項目!$C$2:$C$1300,H$5)</f>
        <v>12</v>
      </c>
      <c r="I670" s="26">
        <f>SUMIFS(INDEX(元データ_14項目!$D$2:$Q$1300,0,MATCH($B670,元データ_14項目!$D$1:$Q$1,0)),元データ_14項目!$A$2:$A$1300,$A670,元データ_14項目!$B$2:$B$1300,"本年",元データ_14項目!$C$2:$C$1300,I$5)</f>
        <v>10</v>
      </c>
      <c r="J670" s="26">
        <f>SUMIFS(INDEX(元データ_14項目!$D$2:$Q$1300,0,MATCH($B670,元データ_14項目!$D$1:$Q$1,0)),元データ_14項目!$A$2:$A$1300,$A670,元データ_14項目!$B$2:$B$1300,"本年",元データ_14項目!$C$2:$C$1300,J$5)</f>
        <v>13</v>
      </c>
      <c r="K670" s="26">
        <f>SUMIFS(INDEX(元データ_14項目!$D$2:$Q$1300,0,MATCH($B670,元データ_14項目!$D$1:$Q$1,0)),元データ_14項目!$A$2:$A$1300,$A670,元データ_14項目!$B$2:$B$1300,"本年",元データ_14項目!$C$2:$C$1300,K$5)</f>
        <v>48</v>
      </c>
      <c r="L670" s="26">
        <f>SUMIFS(INDEX(元データ_14項目!$D$2:$Q$1300,0,MATCH($B670,元データ_14項目!$D$1:$Q$1,0)),元データ_14項目!$A$2:$A$1300,$A670,元データ_14項目!$B$2:$B$1300,"本年",元データ_14項目!$C$2:$C$1300,L$5)</f>
        <v>12</v>
      </c>
      <c r="M670" s="26">
        <f>SUMIFS(INDEX(元データ_14項目!$D$2:$Q$1300,0,MATCH($B670,元データ_14項目!$D$1:$Q$1,0)),元データ_14項目!$A$2:$A$1300,$A670,元データ_14項目!$B$2:$B$1300,"本年",元データ_14項目!$C$2:$C$1300,M$5)</f>
        <v>16</v>
      </c>
      <c r="N670" s="26">
        <f>SUMIFS(INDEX(元データ_14項目!$D$2:$Q$1300,0,MATCH($B670,元データ_14項目!$D$1:$Q$1,0)),元データ_14項目!$A$2:$A$1300,$A670,元データ_14項目!$B$2:$B$1300,"本年",元データ_14項目!$C$2:$C$1300,N$5)</f>
        <v>7</v>
      </c>
      <c r="O670" s="26">
        <f t="shared" si="20"/>
        <v>215</v>
      </c>
      <c r="P670" s="26">
        <f>SUMIFS(INDEX(元データ_14項目!$D$2:$Q$1300,0,MATCH($B670,元データ_14項目!$D$1:$Q$1,0)),元データ_14項目!$A$2:$A$1300,$A670,元データ_14項目!$B$2:$B$1300,"前年")</f>
        <v>245</v>
      </c>
      <c r="Q670" s="7">
        <f t="shared" si="21"/>
        <v>0.87755102040816324</v>
      </c>
    </row>
    <row r="671" spans="1:17" x14ac:dyDescent="0.45">
      <c r="A671" t="s">
        <v>82</v>
      </c>
      <c r="B671" t="s">
        <v>93</v>
      </c>
      <c r="C671" s="26">
        <f>SUMIFS(INDEX(元データ_14項目!$D$2:$Q$1300,0,MATCH($B671,元データ_14項目!$D$1:$Q$1,0)),元データ_14項目!$A$2:$A$1300,$A671,元データ_14項目!$B$2:$B$1300,"本年",元データ_14項目!$C$2:$C$1300,C$5)</f>
        <v>11</v>
      </c>
      <c r="D671" s="26">
        <f>SUMIFS(INDEX(元データ_14項目!$D$2:$Q$1300,0,MATCH($B671,元データ_14項目!$D$1:$Q$1,0)),元データ_14項目!$A$2:$A$1300,$A671,元データ_14項目!$B$2:$B$1300,"本年",元データ_14項目!$C$2:$C$1300,D$5)</f>
        <v>8</v>
      </c>
      <c r="E671" s="26">
        <f>SUMIFS(INDEX(元データ_14項目!$D$2:$Q$1300,0,MATCH($B671,元データ_14項目!$D$1:$Q$1,0)),元データ_14項目!$A$2:$A$1300,$A671,元データ_14項目!$B$2:$B$1300,"本年",元データ_14項目!$C$2:$C$1300,E$5)</f>
        <v>20</v>
      </c>
      <c r="F671" s="26">
        <f>SUMIFS(INDEX(元データ_14項目!$D$2:$Q$1300,0,MATCH($B671,元データ_14項目!$D$1:$Q$1,0)),元データ_14項目!$A$2:$A$1300,$A671,元データ_14項目!$B$2:$B$1300,"本年",元データ_14項目!$C$2:$C$1300,F$5)</f>
        <v>31</v>
      </c>
      <c r="G671" s="26">
        <f>SUMIFS(INDEX(元データ_14項目!$D$2:$Q$1300,0,MATCH($B671,元データ_14項目!$D$1:$Q$1,0)),元データ_14項目!$A$2:$A$1300,$A671,元データ_14項目!$B$2:$B$1300,"本年",元データ_14項目!$C$2:$C$1300,G$5)</f>
        <v>45</v>
      </c>
      <c r="H671" s="26">
        <f>SUMIFS(INDEX(元データ_14項目!$D$2:$Q$1300,0,MATCH($B671,元データ_14項目!$D$1:$Q$1,0)),元データ_14項目!$A$2:$A$1300,$A671,元データ_14項目!$B$2:$B$1300,"本年",元データ_14項目!$C$2:$C$1300,H$5)</f>
        <v>38</v>
      </c>
      <c r="I671" s="26">
        <f>SUMIFS(INDEX(元データ_14項目!$D$2:$Q$1300,0,MATCH($B671,元データ_14項目!$D$1:$Q$1,0)),元データ_14項目!$A$2:$A$1300,$A671,元データ_14項目!$B$2:$B$1300,"本年",元データ_14項目!$C$2:$C$1300,I$5)</f>
        <v>32</v>
      </c>
      <c r="J671" s="26">
        <f>SUMIFS(INDEX(元データ_14項目!$D$2:$Q$1300,0,MATCH($B671,元データ_14項目!$D$1:$Q$1,0)),元データ_14項目!$A$2:$A$1300,$A671,元データ_14項目!$B$2:$B$1300,"本年",元データ_14項目!$C$2:$C$1300,J$5)</f>
        <v>67</v>
      </c>
      <c r="K671" s="26">
        <f>SUMIFS(INDEX(元データ_14項目!$D$2:$Q$1300,0,MATCH($B671,元データ_14項目!$D$1:$Q$1,0)),元データ_14項目!$A$2:$A$1300,$A671,元データ_14項目!$B$2:$B$1300,"本年",元データ_14項目!$C$2:$C$1300,K$5)</f>
        <v>221</v>
      </c>
      <c r="L671" s="26">
        <f>SUMIFS(INDEX(元データ_14項目!$D$2:$Q$1300,0,MATCH($B671,元データ_14項目!$D$1:$Q$1,0)),元データ_14項目!$A$2:$A$1300,$A671,元データ_14項目!$B$2:$B$1300,"本年",元データ_14項目!$C$2:$C$1300,L$5)</f>
        <v>88</v>
      </c>
      <c r="M671" s="26">
        <f>SUMIFS(INDEX(元データ_14項目!$D$2:$Q$1300,0,MATCH($B671,元データ_14項目!$D$1:$Q$1,0)),元データ_14項目!$A$2:$A$1300,$A671,元データ_14項目!$B$2:$B$1300,"本年",元データ_14項目!$C$2:$C$1300,M$5)</f>
        <v>91</v>
      </c>
      <c r="N671" s="26">
        <f>SUMIFS(INDEX(元データ_14項目!$D$2:$Q$1300,0,MATCH($B671,元データ_14項目!$D$1:$Q$1,0)),元データ_14項目!$A$2:$A$1300,$A671,元データ_14項目!$B$2:$B$1300,"本年",元データ_14項目!$C$2:$C$1300,N$5)</f>
        <v>17</v>
      </c>
      <c r="O671" s="26">
        <f t="shared" si="20"/>
        <v>669</v>
      </c>
      <c r="P671" s="26">
        <f>SUMIFS(INDEX(元データ_14項目!$D$2:$Q$1300,0,MATCH($B671,元データ_14項目!$D$1:$Q$1,0)),元データ_14項目!$A$2:$A$1300,$A671,元データ_14項目!$B$2:$B$1300,"前年")</f>
        <v>777</v>
      </c>
      <c r="Q671" s="7">
        <f t="shared" si="21"/>
        <v>0.86100386100386095</v>
      </c>
    </row>
    <row r="672" spans="1:17" x14ac:dyDescent="0.45">
      <c r="A672" t="s">
        <v>82</v>
      </c>
      <c r="B672" t="s">
        <v>94</v>
      </c>
      <c r="C672" s="26">
        <f>SUMIFS(INDEX(元データ_14項目!$D$2:$Q$1300,0,MATCH($B672,元データ_14項目!$D$1:$Q$1,0)),元データ_14項目!$A$2:$A$1300,$A672,元データ_14項目!$B$2:$B$1300,"本年",元データ_14項目!$C$2:$C$1300,C$5)</f>
        <v>6</v>
      </c>
      <c r="D672" s="26">
        <f>SUMIFS(INDEX(元データ_14項目!$D$2:$Q$1300,0,MATCH($B672,元データ_14項目!$D$1:$Q$1,0)),元データ_14項目!$A$2:$A$1300,$A672,元データ_14項目!$B$2:$B$1300,"本年",元データ_14項目!$C$2:$C$1300,D$5)</f>
        <v>6</v>
      </c>
      <c r="E672" s="26">
        <f>SUMIFS(INDEX(元データ_14項目!$D$2:$Q$1300,0,MATCH($B672,元データ_14項目!$D$1:$Q$1,0)),元データ_14項目!$A$2:$A$1300,$A672,元データ_14項目!$B$2:$B$1300,"本年",元データ_14項目!$C$2:$C$1300,E$5)</f>
        <v>30</v>
      </c>
      <c r="F672" s="26">
        <f>SUMIFS(INDEX(元データ_14項目!$D$2:$Q$1300,0,MATCH($B672,元データ_14項目!$D$1:$Q$1,0)),元データ_14項目!$A$2:$A$1300,$A672,元データ_14項目!$B$2:$B$1300,"本年",元データ_14項目!$C$2:$C$1300,F$5)</f>
        <v>13</v>
      </c>
      <c r="G672" s="26">
        <f>SUMIFS(INDEX(元データ_14項目!$D$2:$Q$1300,0,MATCH($B672,元データ_14項目!$D$1:$Q$1,0)),元データ_14項目!$A$2:$A$1300,$A672,元データ_14項目!$B$2:$B$1300,"本年",元データ_14項目!$C$2:$C$1300,G$5)</f>
        <v>19</v>
      </c>
      <c r="H672" s="26">
        <f>SUMIFS(INDEX(元データ_14項目!$D$2:$Q$1300,0,MATCH($B672,元データ_14項目!$D$1:$Q$1,0)),元データ_14項目!$A$2:$A$1300,$A672,元データ_14項目!$B$2:$B$1300,"本年",元データ_14項目!$C$2:$C$1300,H$5)</f>
        <v>11</v>
      </c>
      <c r="I672" s="26">
        <f>SUMIFS(INDEX(元データ_14項目!$D$2:$Q$1300,0,MATCH($B672,元データ_14項目!$D$1:$Q$1,0)),元データ_14項目!$A$2:$A$1300,$A672,元データ_14項目!$B$2:$B$1300,"本年",元データ_14項目!$C$2:$C$1300,I$5)</f>
        <v>12</v>
      </c>
      <c r="J672" s="26">
        <f>SUMIFS(INDEX(元データ_14項目!$D$2:$Q$1300,0,MATCH($B672,元データ_14項目!$D$1:$Q$1,0)),元データ_14項目!$A$2:$A$1300,$A672,元データ_14項目!$B$2:$B$1300,"本年",元データ_14項目!$C$2:$C$1300,J$5)</f>
        <v>20</v>
      </c>
      <c r="K672" s="26">
        <f>SUMIFS(INDEX(元データ_14項目!$D$2:$Q$1300,0,MATCH($B672,元データ_14項目!$D$1:$Q$1,0)),元データ_14項目!$A$2:$A$1300,$A672,元データ_14項目!$B$2:$B$1300,"本年",元データ_14項目!$C$2:$C$1300,K$5)</f>
        <v>77</v>
      </c>
      <c r="L672" s="26">
        <f>SUMIFS(INDEX(元データ_14項目!$D$2:$Q$1300,0,MATCH($B672,元データ_14項目!$D$1:$Q$1,0)),元データ_14項目!$A$2:$A$1300,$A672,元データ_14項目!$B$2:$B$1300,"本年",元データ_14項目!$C$2:$C$1300,L$5)</f>
        <v>45</v>
      </c>
      <c r="M672" s="26">
        <f>SUMIFS(INDEX(元データ_14項目!$D$2:$Q$1300,0,MATCH($B672,元データ_14項目!$D$1:$Q$1,0)),元データ_14項目!$A$2:$A$1300,$A672,元データ_14項目!$B$2:$B$1300,"本年",元データ_14項目!$C$2:$C$1300,M$5)</f>
        <v>44</v>
      </c>
      <c r="N672" s="26">
        <f>SUMIFS(INDEX(元データ_14項目!$D$2:$Q$1300,0,MATCH($B672,元データ_14項目!$D$1:$Q$1,0)),元データ_14項目!$A$2:$A$1300,$A672,元データ_14項目!$B$2:$B$1300,"本年",元データ_14項目!$C$2:$C$1300,N$5)</f>
        <v>10</v>
      </c>
      <c r="O672" s="26">
        <f t="shared" si="20"/>
        <v>293</v>
      </c>
      <c r="P672" s="26">
        <f>SUMIFS(INDEX(元データ_14項目!$D$2:$Q$1300,0,MATCH($B672,元データ_14項目!$D$1:$Q$1,0)),元データ_14項目!$A$2:$A$1300,$A672,元データ_14項目!$B$2:$B$1300,"前年")</f>
        <v>372</v>
      </c>
      <c r="Q672" s="7">
        <f t="shared" si="21"/>
        <v>0.7876344086021505</v>
      </c>
    </row>
    <row r="673" spans="1:17" x14ac:dyDescent="0.45">
      <c r="A673" t="s">
        <v>82</v>
      </c>
      <c r="B673" t="s">
        <v>95</v>
      </c>
      <c r="C673" s="26">
        <f>SUMIFS(INDEX(元データ_14項目!$D$2:$Q$1300,0,MATCH($B673,元データ_14項目!$D$1:$Q$1,0)),元データ_14項目!$A$2:$A$1300,$A673,元データ_14項目!$B$2:$B$1300,"本年",元データ_14項目!$C$2:$C$1300,C$5)</f>
        <v>10</v>
      </c>
      <c r="D673" s="26">
        <f>SUMIFS(INDEX(元データ_14項目!$D$2:$Q$1300,0,MATCH($B673,元データ_14項目!$D$1:$Q$1,0)),元データ_14項目!$A$2:$A$1300,$A673,元データ_14項目!$B$2:$B$1300,"本年",元データ_14項目!$C$2:$C$1300,D$5)</f>
        <v>17</v>
      </c>
      <c r="E673" s="26">
        <f>SUMIFS(INDEX(元データ_14項目!$D$2:$Q$1300,0,MATCH($B673,元データ_14項目!$D$1:$Q$1,0)),元データ_14項目!$A$2:$A$1300,$A673,元データ_14項目!$B$2:$B$1300,"本年",元データ_14項目!$C$2:$C$1300,E$5)</f>
        <v>27</v>
      </c>
      <c r="F673" s="26">
        <f>SUMIFS(INDEX(元データ_14項目!$D$2:$Q$1300,0,MATCH($B673,元データ_14項目!$D$1:$Q$1,0)),元データ_14項目!$A$2:$A$1300,$A673,元データ_14項目!$B$2:$B$1300,"本年",元データ_14項目!$C$2:$C$1300,F$5)</f>
        <v>21</v>
      </c>
      <c r="G673" s="26">
        <f>SUMIFS(INDEX(元データ_14項目!$D$2:$Q$1300,0,MATCH($B673,元データ_14項目!$D$1:$Q$1,0)),元データ_14項目!$A$2:$A$1300,$A673,元データ_14項目!$B$2:$B$1300,"本年",元データ_14項目!$C$2:$C$1300,G$5)</f>
        <v>19</v>
      </c>
      <c r="H673" s="26">
        <f>SUMIFS(INDEX(元データ_14項目!$D$2:$Q$1300,0,MATCH($B673,元データ_14項目!$D$1:$Q$1,0)),元データ_14項目!$A$2:$A$1300,$A673,元データ_14項目!$B$2:$B$1300,"本年",元データ_14項目!$C$2:$C$1300,H$5)</f>
        <v>8</v>
      </c>
      <c r="I673" s="26">
        <f>SUMIFS(INDEX(元データ_14項目!$D$2:$Q$1300,0,MATCH($B673,元データ_14項目!$D$1:$Q$1,0)),元データ_14項目!$A$2:$A$1300,$A673,元データ_14項目!$B$2:$B$1300,"本年",元データ_14項目!$C$2:$C$1300,I$5)</f>
        <v>9</v>
      </c>
      <c r="J673" s="26">
        <f>SUMIFS(INDEX(元データ_14項目!$D$2:$Q$1300,0,MATCH($B673,元データ_14項目!$D$1:$Q$1,0)),元データ_14項目!$A$2:$A$1300,$A673,元データ_14項目!$B$2:$B$1300,"本年",元データ_14項目!$C$2:$C$1300,J$5)</f>
        <v>6</v>
      </c>
      <c r="K673" s="26">
        <f>SUMIFS(INDEX(元データ_14項目!$D$2:$Q$1300,0,MATCH($B673,元データ_14項目!$D$1:$Q$1,0)),元データ_14項目!$A$2:$A$1300,$A673,元データ_14項目!$B$2:$B$1300,"本年",元データ_14項目!$C$2:$C$1300,K$5)</f>
        <v>26</v>
      </c>
      <c r="L673" s="26">
        <f>SUMIFS(INDEX(元データ_14項目!$D$2:$Q$1300,0,MATCH($B673,元データ_14項目!$D$1:$Q$1,0)),元データ_14項目!$A$2:$A$1300,$A673,元データ_14項目!$B$2:$B$1300,"本年",元データ_14項目!$C$2:$C$1300,L$5)</f>
        <v>8</v>
      </c>
      <c r="M673" s="26">
        <f>SUMIFS(INDEX(元データ_14項目!$D$2:$Q$1300,0,MATCH($B673,元データ_14項目!$D$1:$Q$1,0)),元データ_14項目!$A$2:$A$1300,$A673,元データ_14項目!$B$2:$B$1300,"本年",元データ_14項目!$C$2:$C$1300,M$5)</f>
        <v>23</v>
      </c>
      <c r="N673" s="26">
        <f>SUMIFS(INDEX(元データ_14項目!$D$2:$Q$1300,0,MATCH($B673,元データ_14項目!$D$1:$Q$1,0)),元データ_14項目!$A$2:$A$1300,$A673,元データ_14項目!$B$2:$B$1300,"本年",元データ_14項目!$C$2:$C$1300,N$5)</f>
        <v>16</v>
      </c>
      <c r="O673" s="26">
        <f t="shared" si="20"/>
        <v>190</v>
      </c>
      <c r="P673" s="26">
        <f>SUMIFS(INDEX(元データ_14項目!$D$2:$Q$1300,0,MATCH($B673,元データ_14項目!$D$1:$Q$1,0)),元データ_14項目!$A$2:$A$1300,$A673,元データ_14項目!$B$2:$B$1300,"前年")</f>
        <v>235</v>
      </c>
      <c r="Q673" s="7">
        <f t="shared" si="21"/>
        <v>0.80851063829787229</v>
      </c>
    </row>
    <row r="674" spans="1:17" x14ac:dyDescent="0.45">
      <c r="A674" t="s">
        <v>82</v>
      </c>
      <c r="B674" t="s">
        <v>96</v>
      </c>
      <c r="C674" s="26">
        <f>SUMIFS(INDEX(元データ_14項目!$D$2:$Q$1300,0,MATCH($B674,元データ_14項目!$D$1:$Q$1,0)),元データ_14項目!$A$2:$A$1300,$A674,元データ_14項目!$B$2:$B$1300,"本年",元データ_14項目!$C$2:$C$1300,C$5)</f>
        <v>5</v>
      </c>
      <c r="D674" s="26">
        <f>SUMIFS(INDEX(元データ_14項目!$D$2:$Q$1300,0,MATCH($B674,元データ_14項目!$D$1:$Q$1,0)),元データ_14項目!$A$2:$A$1300,$A674,元データ_14項目!$B$2:$B$1300,"本年",元データ_14項目!$C$2:$C$1300,D$5)</f>
        <v>20</v>
      </c>
      <c r="E674" s="26">
        <f>SUMIFS(INDEX(元データ_14項目!$D$2:$Q$1300,0,MATCH($B674,元データ_14項目!$D$1:$Q$1,0)),元データ_14項目!$A$2:$A$1300,$A674,元データ_14項目!$B$2:$B$1300,"本年",元データ_14項目!$C$2:$C$1300,E$5)</f>
        <v>15</v>
      </c>
      <c r="F674" s="26">
        <f>SUMIFS(INDEX(元データ_14項目!$D$2:$Q$1300,0,MATCH($B674,元データ_14項目!$D$1:$Q$1,0)),元データ_14項目!$A$2:$A$1300,$A674,元データ_14項目!$B$2:$B$1300,"本年",元データ_14項目!$C$2:$C$1300,F$5)</f>
        <v>26</v>
      </c>
      <c r="G674" s="26">
        <f>SUMIFS(INDEX(元データ_14項目!$D$2:$Q$1300,0,MATCH($B674,元データ_14項目!$D$1:$Q$1,0)),元データ_14項目!$A$2:$A$1300,$A674,元データ_14項目!$B$2:$B$1300,"本年",元データ_14項目!$C$2:$C$1300,G$5)</f>
        <v>28</v>
      </c>
      <c r="H674" s="26">
        <f>SUMIFS(INDEX(元データ_14項目!$D$2:$Q$1300,0,MATCH($B674,元データ_14項目!$D$1:$Q$1,0)),元データ_14項目!$A$2:$A$1300,$A674,元データ_14項目!$B$2:$B$1300,"本年",元データ_14項目!$C$2:$C$1300,H$5)</f>
        <v>15</v>
      </c>
      <c r="I674" s="26">
        <f>SUMIFS(INDEX(元データ_14項目!$D$2:$Q$1300,0,MATCH($B674,元データ_14項目!$D$1:$Q$1,0)),元データ_14項目!$A$2:$A$1300,$A674,元データ_14項目!$B$2:$B$1300,"本年",元データ_14項目!$C$2:$C$1300,I$5)</f>
        <v>11</v>
      </c>
      <c r="J674" s="26">
        <f>SUMIFS(INDEX(元データ_14項目!$D$2:$Q$1300,0,MATCH($B674,元データ_14項目!$D$1:$Q$1,0)),元データ_14項目!$A$2:$A$1300,$A674,元データ_14項目!$B$2:$B$1300,"本年",元データ_14項目!$C$2:$C$1300,J$5)</f>
        <v>69</v>
      </c>
      <c r="K674" s="26">
        <f>SUMIFS(INDEX(元データ_14項目!$D$2:$Q$1300,0,MATCH($B674,元データ_14項目!$D$1:$Q$1,0)),元データ_14項目!$A$2:$A$1300,$A674,元データ_14項目!$B$2:$B$1300,"本年",元データ_14項目!$C$2:$C$1300,K$5)</f>
        <v>158</v>
      </c>
      <c r="L674" s="26">
        <f>SUMIFS(INDEX(元データ_14項目!$D$2:$Q$1300,0,MATCH($B674,元データ_14項目!$D$1:$Q$1,0)),元データ_14項目!$A$2:$A$1300,$A674,元データ_14項目!$B$2:$B$1300,"本年",元データ_14項目!$C$2:$C$1300,L$5)</f>
        <v>88</v>
      </c>
      <c r="M674" s="26">
        <f>SUMIFS(INDEX(元データ_14項目!$D$2:$Q$1300,0,MATCH($B674,元データ_14項目!$D$1:$Q$1,0)),元データ_14項目!$A$2:$A$1300,$A674,元データ_14項目!$B$2:$B$1300,"本年",元データ_14項目!$C$2:$C$1300,M$5)</f>
        <v>63</v>
      </c>
      <c r="N674" s="26">
        <f>SUMIFS(INDEX(元データ_14項目!$D$2:$Q$1300,0,MATCH($B674,元データ_14項目!$D$1:$Q$1,0)),元データ_14項目!$A$2:$A$1300,$A674,元データ_14項目!$B$2:$B$1300,"本年",元データ_14項目!$C$2:$C$1300,N$5)</f>
        <v>22</v>
      </c>
      <c r="O674" s="26">
        <f t="shared" si="20"/>
        <v>520</v>
      </c>
      <c r="P674" s="26">
        <f>SUMIFS(INDEX(元データ_14項目!$D$2:$Q$1300,0,MATCH($B674,元データ_14項目!$D$1:$Q$1,0)),元データ_14項目!$A$2:$A$1300,$A674,元データ_14項目!$B$2:$B$1300,"前年")</f>
        <v>604</v>
      </c>
      <c r="Q674" s="7">
        <f t="shared" si="21"/>
        <v>0.86092715231788075</v>
      </c>
    </row>
    <row r="675" spans="1:17" x14ac:dyDescent="0.45">
      <c r="A675" t="s">
        <v>82</v>
      </c>
      <c r="B675" t="s">
        <v>97</v>
      </c>
      <c r="C675" s="26">
        <f>SUMIFS(INDEX(元データ_14項目!$D$2:$Q$1300,0,MATCH($B675,元データ_14項目!$D$1:$Q$1,0)),元データ_14項目!$A$2:$A$1300,$A675,元データ_14項目!$B$2:$B$1300,"本年",元データ_14項目!$C$2:$C$1300,C$5)</f>
        <v>16</v>
      </c>
      <c r="D675" s="26">
        <f>SUMIFS(INDEX(元データ_14項目!$D$2:$Q$1300,0,MATCH($B675,元データ_14項目!$D$1:$Q$1,0)),元データ_14項目!$A$2:$A$1300,$A675,元データ_14項目!$B$2:$B$1300,"本年",元データ_14項目!$C$2:$C$1300,D$5)</f>
        <v>19</v>
      </c>
      <c r="E675" s="26">
        <f>SUMIFS(INDEX(元データ_14項目!$D$2:$Q$1300,0,MATCH($B675,元データ_14項目!$D$1:$Q$1,0)),元データ_14項目!$A$2:$A$1300,$A675,元データ_14項目!$B$2:$B$1300,"本年",元データ_14項目!$C$2:$C$1300,E$5)</f>
        <v>41</v>
      </c>
      <c r="F675" s="26">
        <f>SUMIFS(INDEX(元データ_14項目!$D$2:$Q$1300,0,MATCH($B675,元データ_14項目!$D$1:$Q$1,0)),元データ_14項目!$A$2:$A$1300,$A675,元データ_14項目!$B$2:$B$1300,"本年",元データ_14項目!$C$2:$C$1300,F$5)</f>
        <v>25</v>
      </c>
      <c r="G675" s="26">
        <f>SUMIFS(INDEX(元データ_14項目!$D$2:$Q$1300,0,MATCH($B675,元データ_14項目!$D$1:$Q$1,0)),元データ_14項目!$A$2:$A$1300,$A675,元データ_14項目!$B$2:$B$1300,"本年",元データ_14項目!$C$2:$C$1300,G$5)</f>
        <v>25</v>
      </c>
      <c r="H675" s="26">
        <f>SUMIFS(INDEX(元データ_14項目!$D$2:$Q$1300,0,MATCH($B675,元データ_14項目!$D$1:$Q$1,0)),元データ_14項目!$A$2:$A$1300,$A675,元データ_14項目!$B$2:$B$1300,"本年",元データ_14項目!$C$2:$C$1300,H$5)</f>
        <v>23</v>
      </c>
      <c r="I675" s="26">
        <f>SUMIFS(INDEX(元データ_14項目!$D$2:$Q$1300,0,MATCH($B675,元データ_14項目!$D$1:$Q$1,0)),元データ_14項目!$A$2:$A$1300,$A675,元データ_14項目!$B$2:$B$1300,"本年",元データ_14項目!$C$2:$C$1300,I$5)</f>
        <v>17</v>
      </c>
      <c r="J675" s="26">
        <f>SUMIFS(INDEX(元データ_14項目!$D$2:$Q$1300,0,MATCH($B675,元データ_14項目!$D$1:$Q$1,0)),元データ_14項目!$A$2:$A$1300,$A675,元データ_14項目!$B$2:$B$1300,"本年",元データ_14項目!$C$2:$C$1300,J$5)</f>
        <v>44</v>
      </c>
      <c r="K675" s="26">
        <f>SUMIFS(INDEX(元データ_14項目!$D$2:$Q$1300,0,MATCH($B675,元データ_14項目!$D$1:$Q$1,0)),元データ_14項目!$A$2:$A$1300,$A675,元データ_14項目!$B$2:$B$1300,"本年",元データ_14項目!$C$2:$C$1300,K$5)</f>
        <v>135</v>
      </c>
      <c r="L675" s="26">
        <f>SUMIFS(INDEX(元データ_14項目!$D$2:$Q$1300,0,MATCH($B675,元データ_14項目!$D$1:$Q$1,0)),元データ_14項目!$A$2:$A$1300,$A675,元データ_14項目!$B$2:$B$1300,"本年",元データ_14項目!$C$2:$C$1300,L$5)</f>
        <v>89</v>
      </c>
      <c r="M675" s="26">
        <f>SUMIFS(INDEX(元データ_14項目!$D$2:$Q$1300,0,MATCH($B675,元データ_14項目!$D$1:$Q$1,0)),元データ_14項目!$A$2:$A$1300,$A675,元データ_14項目!$B$2:$B$1300,"本年",元データ_14項目!$C$2:$C$1300,M$5)</f>
        <v>66</v>
      </c>
      <c r="N675" s="26">
        <f>SUMIFS(INDEX(元データ_14項目!$D$2:$Q$1300,0,MATCH($B675,元データ_14項目!$D$1:$Q$1,0)),元データ_14項目!$A$2:$A$1300,$A675,元データ_14項目!$B$2:$B$1300,"本年",元データ_14項目!$C$2:$C$1300,N$5)</f>
        <v>41</v>
      </c>
      <c r="O675" s="26">
        <f t="shared" si="20"/>
        <v>541</v>
      </c>
      <c r="P675" s="26">
        <f>SUMIFS(INDEX(元データ_14項目!$D$2:$Q$1300,0,MATCH($B675,元データ_14項目!$D$1:$Q$1,0)),元データ_14項目!$A$2:$A$1300,$A675,元データ_14項目!$B$2:$B$1300,"前年")</f>
        <v>526</v>
      </c>
      <c r="Q675" s="7">
        <f t="shared" si="21"/>
        <v>1.0285171102661597</v>
      </c>
    </row>
    <row r="676" spans="1:17" x14ac:dyDescent="0.45">
      <c r="A676" t="s">
        <v>82</v>
      </c>
      <c r="B676" t="s">
        <v>98</v>
      </c>
      <c r="C676" s="26">
        <f>SUMIFS(INDEX(元データ_14項目!$D$2:$Q$1300,0,MATCH($B676,元データ_14項目!$D$1:$Q$1,0)),元データ_14項目!$A$2:$A$1300,$A676,元データ_14項目!$B$2:$B$1300,"本年",元データ_14項目!$C$2:$C$1300,C$5)</f>
        <v>2</v>
      </c>
      <c r="D676" s="26">
        <f>SUMIFS(INDEX(元データ_14項目!$D$2:$Q$1300,0,MATCH($B676,元データ_14項目!$D$1:$Q$1,0)),元データ_14項目!$A$2:$A$1300,$A676,元データ_14項目!$B$2:$B$1300,"本年",元データ_14項目!$C$2:$C$1300,D$5)</f>
        <v>1</v>
      </c>
      <c r="E676" s="26">
        <f>SUMIFS(INDEX(元データ_14項目!$D$2:$Q$1300,0,MATCH($B676,元データ_14項目!$D$1:$Q$1,0)),元データ_14項目!$A$2:$A$1300,$A676,元データ_14項目!$B$2:$B$1300,"本年",元データ_14項目!$C$2:$C$1300,E$5)</f>
        <v>5</v>
      </c>
      <c r="F676" s="26">
        <f>SUMIFS(INDEX(元データ_14項目!$D$2:$Q$1300,0,MATCH($B676,元データ_14項目!$D$1:$Q$1,0)),元データ_14項目!$A$2:$A$1300,$A676,元データ_14項目!$B$2:$B$1300,"本年",元データ_14項目!$C$2:$C$1300,F$5)</f>
        <v>17</v>
      </c>
      <c r="G676" s="26">
        <f>SUMIFS(INDEX(元データ_14項目!$D$2:$Q$1300,0,MATCH($B676,元データ_14項目!$D$1:$Q$1,0)),元データ_14項目!$A$2:$A$1300,$A676,元データ_14項目!$B$2:$B$1300,"本年",元データ_14項目!$C$2:$C$1300,G$5)</f>
        <v>3</v>
      </c>
      <c r="H676" s="26">
        <f>SUMIFS(INDEX(元データ_14項目!$D$2:$Q$1300,0,MATCH($B676,元データ_14項目!$D$1:$Q$1,0)),元データ_14項目!$A$2:$A$1300,$A676,元データ_14項目!$B$2:$B$1300,"本年",元データ_14項目!$C$2:$C$1300,H$5)</f>
        <v>3</v>
      </c>
      <c r="I676" s="26">
        <f>SUMIFS(INDEX(元データ_14項目!$D$2:$Q$1300,0,MATCH($B676,元データ_14項目!$D$1:$Q$1,0)),元データ_14項目!$A$2:$A$1300,$A676,元データ_14項目!$B$2:$B$1300,"本年",元データ_14項目!$C$2:$C$1300,I$5)</f>
        <v>8</v>
      </c>
      <c r="J676" s="26">
        <f>SUMIFS(INDEX(元データ_14項目!$D$2:$Q$1300,0,MATCH($B676,元データ_14項目!$D$1:$Q$1,0)),元データ_14項目!$A$2:$A$1300,$A676,元データ_14項目!$B$2:$B$1300,"本年",元データ_14項目!$C$2:$C$1300,J$5)</f>
        <v>51</v>
      </c>
      <c r="K676" s="26">
        <f>SUMIFS(INDEX(元データ_14項目!$D$2:$Q$1300,0,MATCH($B676,元データ_14項目!$D$1:$Q$1,0)),元データ_14項目!$A$2:$A$1300,$A676,元データ_14項目!$B$2:$B$1300,"本年",元データ_14項目!$C$2:$C$1300,K$5)</f>
        <v>124</v>
      </c>
      <c r="L676" s="26">
        <f>SUMIFS(INDEX(元データ_14項目!$D$2:$Q$1300,0,MATCH($B676,元データ_14項目!$D$1:$Q$1,0)),元データ_14項目!$A$2:$A$1300,$A676,元データ_14項目!$B$2:$B$1300,"本年",元データ_14項目!$C$2:$C$1300,L$5)</f>
        <v>34</v>
      </c>
      <c r="M676" s="26">
        <f>SUMIFS(INDEX(元データ_14項目!$D$2:$Q$1300,0,MATCH($B676,元データ_14項目!$D$1:$Q$1,0)),元データ_14項目!$A$2:$A$1300,$A676,元データ_14項目!$B$2:$B$1300,"本年",元データ_14項目!$C$2:$C$1300,M$5)</f>
        <v>31</v>
      </c>
      <c r="N676" s="26">
        <f>SUMIFS(INDEX(元データ_14項目!$D$2:$Q$1300,0,MATCH($B676,元データ_14項目!$D$1:$Q$1,0)),元データ_14項目!$A$2:$A$1300,$A676,元データ_14項目!$B$2:$B$1300,"本年",元データ_14項目!$C$2:$C$1300,N$5)</f>
        <v>18</v>
      </c>
      <c r="O676" s="26">
        <f t="shared" si="20"/>
        <v>297</v>
      </c>
      <c r="P676" s="26">
        <f>SUMIFS(INDEX(元データ_14項目!$D$2:$Q$1300,0,MATCH($B676,元データ_14項目!$D$1:$Q$1,0)),元データ_14項目!$A$2:$A$1300,$A676,元データ_14項目!$B$2:$B$1300,"前年")</f>
        <v>337</v>
      </c>
      <c r="Q676" s="7">
        <f t="shared" si="21"/>
        <v>0.88130563798219586</v>
      </c>
    </row>
    <row r="677" spans="1:17" x14ac:dyDescent="0.45">
      <c r="A677" t="s">
        <v>82</v>
      </c>
      <c r="B677" t="s">
        <v>99</v>
      </c>
      <c r="C677" s="26">
        <f>SUMIFS(INDEX(元データ_14項目!$D$2:$Q$1300,0,MATCH($B677,元データ_14項目!$D$1:$Q$1,0)),元データ_14項目!$A$2:$A$1300,$A677,元データ_14項目!$B$2:$B$1300,"本年",元データ_14項目!$C$2:$C$1300,C$5)</f>
        <v>0</v>
      </c>
      <c r="D677" s="26">
        <f>SUMIFS(INDEX(元データ_14項目!$D$2:$Q$1300,0,MATCH($B677,元データ_14項目!$D$1:$Q$1,0)),元データ_14項目!$A$2:$A$1300,$A677,元データ_14項目!$B$2:$B$1300,"本年",元データ_14項目!$C$2:$C$1300,D$5)</f>
        <v>0</v>
      </c>
      <c r="E677" s="26">
        <f>SUMIFS(INDEX(元データ_14項目!$D$2:$Q$1300,0,MATCH($B677,元データ_14項目!$D$1:$Q$1,0)),元データ_14項目!$A$2:$A$1300,$A677,元データ_14項目!$B$2:$B$1300,"本年",元データ_14項目!$C$2:$C$1300,E$5)</f>
        <v>0</v>
      </c>
      <c r="F677" s="26">
        <f>SUMIFS(INDEX(元データ_14項目!$D$2:$Q$1300,0,MATCH($B677,元データ_14項目!$D$1:$Q$1,0)),元データ_14項目!$A$2:$A$1300,$A677,元データ_14項目!$B$2:$B$1300,"本年",元データ_14項目!$C$2:$C$1300,F$5)</f>
        <v>0</v>
      </c>
      <c r="G677" s="26">
        <f>SUMIFS(INDEX(元データ_14項目!$D$2:$Q$1300,0,MATCH($B677,元データ_14項目!$D$1:$Q$1,0)),元データ_14項目!$A$2:$A$1300,$A677,元データ_14項目!$B$2:$B$1300,"本年",元データ_14項目!$C$2:$C$1300,G$5)</f>
        <v>0</v>
      </c>
      <c r="H677" s="26">
        <f>SUMIFS(INDEX(元データ_14項目!$D$2:$Q$1300,0,MATCH($B677,元データ_14項目!$D$1:$Q$1,0)),元データ_14項目!$A$2:$A$1300,$A677,元データ_14項目!$B$2:$B$1300,"本年",元データ_14項目!$C$2:$C$1300,H$5)</f>
        <v>0</v>
      </c>
      <c r="I677" s="26">
        <f>SUMIFS(INDEX(元データ_14項目!$D$2:$Q$1300,0,MATCH($B677,元データ_14項目!$D$1:$Q$1,0)),元データ_14項目!$A$2:$A$1300,$A677,元データ_14項目!$B$2:$B$1300,"本年",元データ_14項目!$C$2:$C$1300,I$5)</f>
        <v>0</v>
      </c>
      <c r="J677" s="26">
        <f>SUMIFS(INDEX(元データ_14項目!$D$2:$Q$1300,0,MATCH($B677,元データ_14項目!$D$1:$Q$1,0)),元データ_14項目!$A$2:$A$1300,$A677,元データ_14項目!$B$2:$B$1300,"本年",元データ_14項目!$C$2:$C$1300,J$5)</f>
        <v>6</v>
      </c>
      <c r="K677" s="26">
        <f>SUMIFS(INDEX(元データ_14項目!$D$2:$Q$1300,0,MATCH($B677,元データ_14項目!$D$1:$Q$1,0)),元データ_14項目!$A$2:$A$1300,$A677,元データ_14項目!$B$2:$B$1300,"本年",元データ_14項目!$C$2:$C$1300,K$5)</f>
        <v>5</v>
      </c>
      <c r="L677" s="26">
        <f>SUMIFS(INDEX(元データ_14項目!$D$2:$Q$1300,0,MATCH($B677,元データ_14項目!$D$1:$Q$1,0)),元データ_14項目!$A$2:$A$1300,$A677,元データ_14項目!$B$2:$B$1300,"本年",元データ_14項目!$C$2:$C$1300,L$5)</f>
        <v>8</v>
      </c>
      <c r="M677" s="26">
        <f>SUMIFS(INDEX(元データ_14項目!$D$2:$Q$1300,0,MATCH($B677,元データ_14項目!$D$1:$Q$1,0)),元データ_14項目!$A$2:$A$1300,$A677,元データ_14項目!$B$2:$B$1300,"本年",元データ_14項目!$C$2:$C$1300,M$5)</f>
        <v>13</v>
      </c>
      <c r="N677" s="26">
        <f>SUMIFS(INDEX(元データ_14項目!$D$2:$Q$1300,0,MATCH($B677,元データ_14項目!$D$1:$Q$1,0)),元データ_14項目!$A$2:$A$1300,$A677,元データ_14項目!$B$2:$B$1300,"本年",元データ_14項目!$C$2:$C$1300,N$5)</f>
        <v>0</v>
      </c>
      <c r="O677" s="26">
        <f t="shared" si="20"/>
        <v>32</v>
      </c>
      <c r="P677" s="26">
        <f>SUMIFS(INDEX(元データ_14項目!$D$2:$Q$1300,0,MATCH($B677,元データ_14項目!$D$1:$Q$1,0)),元データ_14項目!$A$2:$A$1300,$A677,元データ_14項目!$B$2:$B$1300,"前年")</f>
        <v>45</v>
      </c>
      <c r="Q677" s="7">
        <f t="shared" si="21"/>
        <v>0.71111111111111114</v>
      </c>
    </row>
    <row r="678" spans="1:17" x14ac:dyDescent="0.45">
      <c r="A678" t="s">
        <v>83</v>
      </c>
      <c r="B678" t="s">
        <v>27</v>
      </c>
      <c r="C678" s="26">
        <f>SUMIFS(INDEX(元データ_14項目!$D$2:$Q$1300,0,MATCH($B678,元データ_14項目!$D$1:$Q$1,0)),元データ_14項目!$A$2:$A$1300,$A678,元データ_14項目!$B$2:$B$1300,"本年",元データ_14項目!$C$2:$C$1300,C$5)</f>
        <v>1048</v>
      </c>
      <c r="D678" s="26">
        <f>SUMIFS(INDEX(元データ_14項目!$D$2:$Q$1300,0,MATCH($B678,元データ_14項目!$D$1:$Q$1,0)),元データ_14項目!$A$2:$A$1300,$A678,元データ_14項目!$B$2:$B$1300,"本年",元データ_14項目!$C$2:$C$1300,D$5)</f>
        <v>1325</v>
      </c>
      <c r="E678" s="26">
        <f>SUMIFS(INDEX(元データ_14項目!$D$2:$Q$1300,0,MATCH($B678,元データ_14項目!$D$1:$Q$1,0)),元データ_14項目!$A$2:$A$1300,$A678,元データ_14項目!$B$2:$B$1300,"本年",元データ_14項目!$C$2:$C$1300,E$5)</f>
        <v>1457</v>
      </c>
      <c r="F678" s="26">
        <f>SUMIFS(INDEX(元データ_14項目!$D$2:$Q$1300,0,MATCH($B678,元データ_14項目!$D$1:$Q$1,0)),元データ_14項目!$A$2:$A$1300,$A678,元データ_14項目!$B$2:$B$1300,"本年",元データ_14項目!$C$2:$C$1300,F$5)</f>
        <v>1354</v>
      </c>
      <c r="G678" s="26">
        <f>SUMIFS(INDEX(元データ_14項目!$D$2:$Q$1300,0,MATCH($B678,元データ_14項目!$D$1:$Q$1,0)),元データ_14項目!$A$2:$A$1300,$A678,元データ_14項目!$B$2:$B$1300,"本年",元データ_14項目!$C$2:$C$1300,G$5)</f>
        <v>1375</v>
      </c>
      <c r="H678" s="26">
        <f>SUMIFS(INDEX(元データ_14項目!$D$2:$Q$1300,0,MATCH($B678,元データ_14項目!$D$1:$Q$1,0)),元データ_14項目!$A$2:$A$1300,$A678,元データ_14項目!$B$2:$B$1300,"本年",元データ_14項目!$C$2:$C$1300,H$5)</f>
        <v>1062</v>
      </c>
      <c r="I678" s="26">
        <f>SUMIFS(INDEX(元データ_14項目!$D$2:$Q$1300,0,MATCH($B678,元データ_14項目!$D$1:$Q$1,0)),元データ_14項目!$A$2:$A$1300,$A678,元データ_14項目!$B$2:$B$1300,"本年",元データ_14項目!$C$2:$C$1300,I$5)</f>
        <v>1069</v>
      </c>
      <c r="J678" s="26">
        <f>SUMIFS(INDEX(元データ_14項目!$D$2:$Q$1300,0,MATCH($B678,元データ_14項目!$D$1:$Q$1,0)),元データ_14項目!$A$2:$A$1300,$A678,元データ_14項目!$B$2:$B$1300,"本年",元データ_14項目!$C$2:$C$1300,J$5)</f>
        <v>1297</v>
      </c>
      <c r="K678" s="26">
        <f>SUMIFS(INDEX(元データ_14項目!$D$2:$Q$1300,0,MATCH($B678,元データ_14項目!$D$1:$Q$1,0)),元データ_14項目!$A$2:$A$1300,$A678,元データ_14項目!$B$2:$B$1300,"本年",元データ_14項目!$C$2:$C$1300,K$5)</f>
        <v>1327</v>
      </c>
      <c r="L678" s="26">
        <f>SUMIFS(INDEX(元データ_14項目!$D$2:$Q$1300,0,MATCH($B678,元データ_14項目!$D$1:$Q$1,0)),元データ_14項目!$A$2:$A$1300,$A678,元データ_14項目!$B$2:$B$1300,"本年",元データ_14項目!$C$2:$C$1300,L$5)</f>
        <v>1143</v>
      </c>
      <c r="M678" s="26">
        <f>SUMIFS(INDEX(元データ_14項目!$D$2:$Q$1300,0,MATCH($B678,元データ_14項目!$D$1:$Q$1,0)),元データ_14項目!$A$2:$A$1300,$A678,元データ_14項目!$B$2:$B$1300,"本年",元データ_14項目!$C$2:$C$1300,M$5)</f>
        <v>1284</v>
      </c>
      <c r="N678" s="26">
        <f>SUMIFS(INDEX(元データ_14項目!$D$2:$Q$1300,0,MATCH($B678,元データ_14項目!$D$1:$Q$1,0)),元データ_14項目!$A$2:$A$1300,$A678,元データ_14項目!$B$2:$B$1300,"本年",元データ_14項目!$C$2:$C$1300,N$5)</f>
        <v>1286</v>
      </c>
      <c r="O678" s="26">
        <f t="shared" si="20"/>
        <v>15027</v>
      </c>
      <c r="P678" s="26">
        <f>SUMIFS(INDEX(元データ_14項目!$D$2:$Q$1300,0,MATCH($B678,元データ_14項目!$D$1:$Q$1,0)),元データ_14項目!$A$2:$A$1300,$A678,元データ_14項目!$B$2:$B$1300,"前年")</f>
        <v>16422</v>
      </c>
      <c r="Q678" s="7">
        <f t="shared" si="21"/>
        <v>0.91505297771282423</v>
      </c>
    </row>
    <row r="679" spans="1:17" x14ac:dyDescent="0.45">
      <c r="A679" t="s">
        <v>83</v>
      </c>
      <c r="B679" t="s">
        <v>88</v>
      </c>
      <c r="C679" s="26">
        <f>SUMIFS(INDEX(元データ_14項目!$D$2:$Q$1300,0,MATCH($B679,元データ_14項目!$D$1:$Q$1,0)),元データ_14項目!$A$2:$A$1300,$A679,元データ_14項目!$B$2:$B$1300,"本年",元データ_14項目!$C$2:$C$1300,C$5)</f>
        <v>63</v>
      </c>
      <c r="D679" s="26">
        <f>SUMIFS(INDEX(元データ_14項目!$D$2:$Q$1300,0,MATCH($B679,元データ_14項目!$D$1:$Q$1,0)),元データ_14項目!$A$2:$A$1300,$A679,元データ_14項目!$B$2:$B$1300,"本年",元データ_14項目!$C$2:$C$1300,D$5)</f>
        <v>67</v>
      </c>
      <c r="E679" s="26">
        <f>SUMIFS(INDEX(元データ_14項目!$D$2:$Q$1300,0,MATCH($B679,元データ_14項目!$D$1:$Q$1,0)),元データ_14項目!$A$2:$A$1300,$A679,元データ_14項目!$B$2:$B$1300,"本年",元データ_14項目!$C$2:$C$1300,E$5)</f>
        <v>104</v>
      </c>
      <c r="F679" s="26">
        <f>SUMIFS(INDEX(元データ_14項目!$D$2:$Q$1300,0,MATCH($B679,元データ_14項目!$D$1:$Q$1,0)),元データ_14項目!$A$2:$A$1300,$A679,元データ_14項目!$B$2:$B$1300,"本年",元データ_14項目!$C$2:$C$1300,F$5)</f>
        <v>84</v>
      </c>
      <c r="G679" s="26">
        <f>SUMIFS(INDEX(元データ_14項目!$D$2:$Q$1300,0,MATCH($B679,元データ_14項目!$D$1:$Q$1,0)),元データ_14項目!$A$2:$A$1300,$A679,元データ_14項目!$B$2:$B$1300,"本年",元データ_14項目!$C$2:$C$1300,G$5)</f>
        <v>84</v>
      </c>
      <c r="H679" s="26">
        <f>SUMIFS(INDEX(元データ_14項目!$D$2:$Q$1300,0,MATCH($B679,元データ_14項目!$D$1:$Q$1,0)),元データ_14項目!$A$2:$A$1300,$A679,元データ_14項目!$B$2:$B$1300,"本年",元データ_14項目!$C$2:$C$1300,H$5)</f>
        <v>53</v>
      </c>
      <c r="I679" s="26">
        <f>SUMIFS(INDEX(元データ_14項目!$D$2:$Q$1300,0,MATCH($B679,元データ_14項目!$D$1:$Q$1,0)),元データ_14項目!$A$2:$A$1300,$A679,元データ_14項目!$B$2:$B$1300,"本年",元データ_14項目!$C$2:$C$1300,I$5)</f>
        <v>37</v>
      </c>
      <c r="J679" s="26">
        <f>SUMIFS(INDEX(元データ_14項目!$D$2:$Q$1300,0,MATCH($B679,元データ_14項目!$D$1:$Q$1,0)),元データ_14項目!$A$2:$A$1300,$A679,元データ_14項目!$B$2:$B$1300,"本年",元データ_14項目!$C$2:$C$1300,J$5)</f>
        <v>60</v>
      </c>
      <c r="K679" s="26">
        <f>SUMIFS(INDEX(元データ_14項目!$D$2:$Q$1300,0,MATCH($B679,元データ_14項目!$D$1:$Q$1,0)),元データ_14項目!$A$2:$A$1300,$A679,元データ_14項目!$B$2:$B$1300,"本年",元データ_14項目!$C$2:$C$1300,K$5)</f>
        <v>109</v>
      </c>
      <c r="L679" s="26">
        <f>SUMIFS(INDEX(元データ_14項目!$D$2:$Q$1300,0,MATCH($B679,元データ_14項目!$D$1:$Q$1,0)),元データ_14項目!$A$2:$A$1300,$A679,元データ_14項目!$B$2:$B$1300,"本年",元データ_14項目!$C$2:$C$1300,L$5)</f>
        <v>111</v>
      </c>
      <c r="M679" s="26">
        <f>SUMIFS(INDEX(元データ_14項目!$D$2:$Q$1300,0,MATCH($B679,元データ_14項目!$D$1:$Q$1,0)),元データ_14項目!$A$2:$A$1300,$A679,元データ_14項目!$B$2:$B$1300,"本年",元データ_14項目!$C$2:$C$1300,M$5)</f>
        <v>93</v>
      </c>
      <c r="N679" s="26">
        <f>SUMIFS(INDEX(元データ_14項目!$D$2:$Q$1300,0,MATCH($B679,元データ_14項目!$D$1:$Q$1,0)),元データ_14項目!$A$2:$A$1300,$A679,元データ_14項目!$B$2:$B$1300,"本年",元データ_14項目!$C$2:$C$1300,N$5)</f>
        <v>97</v>
      </c>
      <c r="O679" s="26">
        <f t="shared" si="20"/>
        <v>962</v>
      </c>
      <c r="P679" s="26">
        <f>SUMIFS(INDEX(元データ_14項目!$D$2:$Q$1300,0,MATCH($B679,元データ_14項目!$D$1:$Q$1,0)),元データ_14項目!$A$2:$A$1300,$A679,元データ_14項目!$B$2:$B$1300,"前年")</f>
        <v>910</v>
      </c>
      <c r="Q679" s="7">
        <f t="shared" si="21"/>
        <v>1.0571428571428572</v>
      </c>
    </row>
    <row r="680" spans="1:17" x14ac:dyDescent="0.45">
      <c r="A680" t="s">
        <v>83</v>
      </c>
      <c r="B680" t="s">
        <v>89</v>
      </c>
      <c r="C680" s="26">
        <f>SUMIFS(INDEX(元データ_14項目!$D$2:$Q$1300,0,MATCH($B680,元データ_14項目!$D$1:$Q$1,0)),元データ_14項目!$A$2:$A$1300,$A680,元データ_14項目!$B$2:$B$1300,"本年",元データ_14項目!$C$2:$C$1300,C$5)</f>
        <v>161</v>
      </c>
      <c r="D680" s="26">
        <f>SUMIFS(INDEX(元データ_14項目!$D$2:$Q$1300,0,MATCH($B680,元データ_14項目!$D$1:$Q$1,0)),元データ_14項目!$A$2:$A$1300,$A680,元データ_14項目!$B$2:$B$1300,"本年",元データ_14項目!$C$2:$C$1300,D$5)</f>
        <v>135</v>
      </c>
      <c r="E680" s="26">
        <f>SUMIFS(INDEX(元データ_14項目!$D$2:$Q$1300,0,MATCH($B680,元データ_14項目!$D$1:$Q$1,0)),元データ_14項目!$A$2:$A$1300,$A680,元データ_14項目!$B$2:$B$1300,"本年",元データ_14項目!$C$2:$C$1300,E$5)</f>
        <v>196</v>
      </c>
      <c r="F680" s="26">
        <f>SUMIFS(INDEX(元データ_14項目!$D$2:$Q$1300,0,MATCH($B680,元データ_14項目!$D$1:$Q$1,0)),元データ_14項目!$A$2:$A$1300,$A680,元データ_14項目!$B$2:$B$1300,"本年",元データ_14項目!$C$2:$C$1300,F$5)</f>
        <v>146</v>
      </c>
      <c r="G680" s="26">
        <f>SUMIFS(INDEX(元データ_14項目!$D$2:$Q$1300,0,MATCH($B680,元データ_14項目!$D$1:$Q$1,0)),元データ_14項目!$A$2:$A$1300,$A680,元データ_14項目!$B$2:$B$1300,"本年",元データ_14項目!$C$2:$C$1300,G$5)</f>
        <v>163</v>
      </c>
      <c r="H680" s="26">
        <f>SUMIFS(INDEX(元データ_14項目!$D$2:$Q$1300,0,MATCH($B680,元データ_14項目!$D$1:$Q$1,0)),元データ_14項目!$A$2:$A$1300,$A680,元データ_14項目!$B$2:$B$1300,"本年",元データ_14項目!$C$2:$C$1300,H$5)</f>
        <v>100</v>
      </c>
      <c r="I680" s="26">
        <f>SUMIFS(INDEX(元データ_14項目!$D$2:$Q$1300,0,MATCH($B680,元データ_14項目!$D$1:$Q$1,0)),元データ_14項目!$A$2:$A$1300,$A680,元データ_14項目!$B$2:$B$1300,"本年",元データ_14項目!$C$2:$C$1300,I$5)</f>
        <v>87</v>
      </c>
      <c r="J680" s="26">
        <f>SUMIFS(INDEX(元データ_14項目!$D$2:$Q$1300,0,MATCH($B680,元データ_14項目!$D$1:$Q$1,0)),元データ_14項目!$A$2:$A$1300,$A680,元データ_14項目!$B$2:$B$1300,"本年",元データ_14項目!$C$2:$C$1300,J$5)</f>
        <v>172</v>
      </c>
      <c r="K680" s="26">
        <f>SUMIFS(INDEX(元データ_14項目!$D$2:$Q$1300,0,MATCH($B680,元データ_14項目!$D$1:$Q$1,0)),元データ_14項目!$A$2:$A$1300,$A680,元データ_14項目!$B$2:$B$1300,"本年",元データ_14項目!$C$2:$C$1300,K$5)</f>
        <v>188</v>
      </c>
      <c r="L680" s="26">
        <f>SUMIFS(INDEX(元データ_14項目!$D$2:$Q$1300,0,MATCH($B680,元データ_14項目!$D$1:$Q$1,0)),元データ_14項目!$A$2:$A$1300,$A680,元データ_14項目!$B$2:$B$1300,"本年",元データ_14項目!$C$2:$C$1300,L$5)</f>
        <v>193</v>
      </c>
      <c r="M680" s="26">
        <f>SUMIFS(INDEX(元データ_14項目!$D$2:$Q$1300,0,MATCH($B680,元データ_14項目!$D$1:$Q$1,0)),元データ_14項目!$A$2:$A$1300,$A680,元データ_14項目!$B$2:$B$1300,"本年",元データ_14項目!$C$2:$C$1300,M$5)</f>
        <v>233</v>
      </c>
      <c r="N680" s="26">
        <f>SUMIFS(INDEX(元データ_14項目!$D$2:$Q$1300,0,MATCH($B680,元データ_14項目!$D$1:$Q$1,0)),元データ_14項目!$A$2:$A$1300,$A680,元データ_14項目!$B$2:$B$1300,"本年",元データ_14項目!$C$2:$C$1300,N$5)</f>
        <v>241</v>
      </c>
      <c r="O680" s="26">
        <f t="shared" si="20"/>
        <v>2015</v>
      </c>
      <c r="P680" s="26">
        <f>SUMIFS(INDEX(元データ_14項目!$D$2:$Q$1300,0,MATCH($B680,元データ_14項目!$D$1:$Q$1,0)),元データ_14項目!$A$2:$A$1300,$A680,元データ_14項目!$B$2:$B$1300,"前年")</f>
        <v>1909</v>
      </c>
      <c r="Q680" s="7">
        <f t="shared" si="21"/>
        <v>1.0555264536406495</v>
      </c>
    </row>
    <row r="681" spans="1:17" x14ac:dyDescent="0.45">
      <c r="A681" t="s">
        <v>83</v>
      </c>
      <c r="B681" t="s">
        <v>90</v>
      </c>
      <c r="C681" s="26">
        <f>SUMIFS(INDEX(元データ_14項目!$D$2:$Q$1300,0,MATCH($B681,元データ_14項目!$D$1:$Q$1,0)),元データ_14項目!$A$2:$A$1300,$A681,元データ_14項目!$B$2:$B$1300,"本年",元データ_14項目!$C$2:$C$1300,C$5)</f>
        <v>60</v>
      </c>
      <c r="D681" s="26">
        <f>SUMIFS(INDEX(元データ_14項目!$D$2:$Q$1300,0,MATCH($B681,元データ_14項目!$D$1:$Q$1,0)),元データ_14項目!$A$2:$A$1300,$A681,元データ_14項目!$B$2:$B$1300,"本年",元データ_14項目!$C$2:$C$1300,D$5)</f>
        <v>34</v>
      </c>
      <c r="E681" s="26">
        <f>SUMIFS(INDEX(元データ_14項目!$D$2:$Q$1300,0,MATCH($B681,元データ_14項目!$D$1:$Q$1,0)),元データ_14項目!$A$2:$A$1300,$A681,元データ_14項目!$B$2:$B$1300,"本年",元データ_14項目!$C$2:$C$1300,E$5)</f>
        <v>59</v>
      </c>
      <c r="F681" s="26">
        <f>SUMIFS(INDEX(元データ_14項目!$D$2:$Q$1300,0,MATCH($B681,元データ_14項目!$D$1:$Q$1,0)),元データ_14項目!$A$2:$A$1300,$A681,元データ_14項目!$B$2:$B$1300,"本年",元データ_14項目!$C$2:$C$1300,F$5)</f>
        <v>125</v>
      </c>
      <c r="G681" s="26">
        <f>SUMIFS(INDEX(元データ_14項目!$D$2:$Q$1300,0,MATCH($B681,元データ_14項目!$D$1:$Q$1,0)),元データ_14項目!$A$2:$A$1300,$A681,元データ_14項目!$B$2:$B$1300,"本年",元データ_14項目!$C$2:$C$1300,G$5)</f>
        <v>222</v>
      </c>
      <c r="H681" s="26">
        <f>SUMIFS(INDEX(元データ_14項目!$D$2:$Q$1300,0,MATCH($B681,元データ_14項目!$D$1:$Q$1,0)),元データ_14項目!$A$2:$A$1300,$A681,元データ_14項目!$B$2:$B$1300,"本年",元データ_14項目!$C$2:$C$1300,H$5)</f>
        <v>171</v>
      </c>
      <c r="I681" s="26">
        <f>SUMIFS(INDEX(元データ_14項目!$D$2:$Q$1300,0,MATCH($B681,元データ_14項目!$D$1:$Q$1,0)),元データ_14項目!$A$2:$A$1300,$A681,元データ_14項目!$B$2:$B$1300,"本年",元データ_14項目!$C$2:$C$1300,I$5)</f>
        <v>79</v>
      </c>
      <c r="J681" s="26">
        <f>SUMIFS(INDEX(元データ_14項目!$D$2:$Q$1300,0,MATCH($B681,元データ_14項目!$D$1:$Q$1,0)),元データ_14項目!$A$2:$A$1300,$A681,元データ_14項目!$B$2:$B$1300,"本年",元データ_14項目!$C$2:$C$1300,J$5)</f>
        <v>246</v>
      </c>
      <c r="K681" s="26">
        <f>SUMIFS(INDEX(元データ_14項目!$D$2:$Q$1300,0,MATCH($B681,元データ_14項目!$D$1:$Q$1,0)),元データ_14項目!$A$2:$A$1300,$A681,元データ_14項目!$B$2:$B$1300,"本年",元データ_14項目!$C$2:$C$1300,K$5)</f>
        <v>295</v>
      </c>
      <c r="L681" s="26">
        <f>SUMIFS(INDEX(元データ_14項目!$D$2:$Q$1300,0,MATCH($B681,元データ_14項目!$D$1:$Q$1,0)),元データ_14項目!$A$2:$A$1300,$A681,元データ_14項目!$B$2:$B$1300,"本年",元データ_14項目!$C$2:$C$1300,L$5)</f>
        <v>185</v>
      </c>
      <c r="M681" s="26">
        <f>SUMIFS(INDEX(元データ_14項目!$D$2:$Q$1300,0,MATCH($B681,元データ_14項目!$D$1:$Q$1,0)),元データ_14項目!$A$2:$A$1300,$A681,元データ_14項目!$B$2:$B$1300,"本年",元データ_14項目!$C$2:$C$1300,M$5)</f>
        <v>167</v>
      </c>
      <c r="N681" s="26">
        <f>SUMIFS(INDEX(元データ_14項目!$D$2:$Q$1300,0,MATCH($B681,元データ_14項目!$D$1:$Q$1,0)),元データ_14項目!$A$2:$A$1300,$A681,元データ_14項目!$B$2:$B$1300,"本年",元データ_14項目!$C$2:$C$1300,N$5)</f>
        <v>93</v>
      </c>
      <c r="O681" s="26">
        <f t="shared" si="20"/>
        <v>1736</v>
      </c>
      <c r="P681" s="26">
        <f>SUMIFS(INDEX(元データ_14項目!$D$2:$Q$1300,0,MATCH($B681,元データ_14項目!$D$1:$Q$1,0)),元データ_14項目!$A$2:$A$1300,$A681,元データ_14項目!$B$2:$B$1300,"前年")</f>
        <v>1894</v>
      </c>
      <c r="Q681" s="7">
        <f t="shared" si="21"/>
        <v>0.9165786694825766</v>
      </c>
    </row>
    <row r="682" spans="1:17" x14ac:dyDescent="0.45">
      <c r="A682" t="s">
        <v>83</v>
      </c>
      <c r="B682" t="s">
        <v>91</v>
      </c>
      <c r="C682" s="26">
        <f>SUMIFS(INDEX(元データ_14項目!$D$2:$Q$1300,0,MATCH($B682,元データ_14項目!$D$1:$Q$1,0)),元データ_14項目!$A$2:$A$1300,$A682,元データ_14項目!$B$2:$B$1300,"本年",元データ_14項目!$C$2:$C$1300,C$5)</f>
        <v>50</v>
      </c>
      <c r="D682" s="26">
        <f>SUMIFS(INDEX(元データ_14項目!$D$2:$Q$1300,0,MATCH($B682,元データ_14項目!$D$1:$Q$1,0)),元データ_14項目!$A$2:$A$1300,$A682,元データ_14項目!$B$2:$B$1300,"本年",元データ_14項目!$C$2:$C$1300,D$5)</f>
        <v>78</v>
      </c>
      <c r="E682" s="26">
        <f>SUMIFS(INDEX(元データ_14項目!$D$2:$Q$1300,0,MATCH($B682,元データ_14項目!$D$1:$Q$1,0)),元データ_14項目!$A$2:$A$1300,$A682,元データ_14項目!$B$2:$B$1300,"本年",元データ_14項目!$C$2:$C$1300,E$5)</f>
        <v>148</v>
      </c>
      <c r="F682" s="26">
        <f>SUMIFS(INDEX(元データ_14項目!$D$2:$Q$1300,0,MATCH($B682,元データ_14項目!$D$1:$Q$1,0)),元データ_14項目!$A$2:$A$1300,$A682,元データ_14項目!$B$2:$B$1300,"本年",元データ_14項目!$C$2:$C$1300,F$5)</f>
        <v>108</v>
      </c>
      <c r="G682" s="26">
        <f>SUMIFS(INDEX(元データ_14項目!$D$2:$Q$1300,0,MATCH($B682,元データ_14項目!$D$1:$Q$1,0)),元データ_14項目!$A$2:$A$1300,$A682,元データ_14項目!$B$2:$B$1300,"本年",元データ_14項目!$C$2:$C$1300,G$5)</f>
        <v>72</v>
      </c>
      <c r="H682" s="26">
        <f>SUMIFS(INDEX(元データ_14項目!$D$2:$Q$1300,0,MATCH($B682,元データ_14項目!$D$1:$Q$1,0)),元データ_14項目!$A$2:$A$1300,$A682,元データ_14項目!$B$2:$B$1300,"本年",元データ_14項目!$C$2:$C$1300,H$5)</f>
        <v>21</v>
      </c>
      <c r="I682" s="26">
        <f>SUMIFS(INDEX(元データ_14項目!$D$2:$Q$1300,0,MATCH($B682,元データ_14項目!$D$1:$Q$1,0)),元データ_14項目!$A$2:$A$1300,$A682,元データ_14項目!$B$2:$B$1300,"本年",元データ_14項目!$C$2:$C$1300,I$5)</f>
        <v>52</v>
      </c>
      <c r="J682" s="26">
        <f>SUMIFS(INDEX(元データ_14項目!$D$2:$Q$1300,0,MATCH($B682,元データ_14項目!$D$1:$Q$1,0)),元データ_14項目!$A$2:$A$1300,$A682,元データ_14項目!$B$2:$B$1300,"本年",元データ_14項目!$C$2:$C$1300,J$5)</f>
        <v>34</v>
      </c>
      <c r="K682" s="26">
        <f>SUMIFS(INDEX(元データ_14項目!$D$2:$Q$1300,0,MATCH($B682,元データ_14項目!$D$1:$Q$1,0)),元データ_14項目!$A$2:$A$1300,$A682,元データ_14項目!$B$2:$B$1300,"本年",元データ_14項目!$C$2:$C$1300,K$5)</f>
        <v>65</v>
      </c>
      <c r="L682" s="26">
        <f>SUMIFS(INDEX(元データ_14項目!$D$2:$Q$1300,0,MATCH($B682,元データ_14項目!$D$1:$Q$1,0)),元データ_14項目!$A$2:$A$1300,$A682,元データ_14項目!$B$2:$B$1300,"本年",元データ_14項目!$C$2:$C$1300,L$5)</f>
        <v>58</v>
      </c>
      <c r="M682" s="26">
        <f>SUMIFS(INDEX(元データ_14項目!$D$2:$Q$1300,0,MATCH($B682,元データ_14項目!$D$1:$Q$1,0)),元データ_14項目!$A$2:$A$1300,$A682,元データ_14項目!$B$2:$B$1300,"本年",元データ_14項目!$C$2:$C$1300,M$5)</f>
        <v>97</v>
      </c>
      <c r="N682" s="26">
        <f>SUMIFS(INDEX(元データ_14項目!$D$2:$Q$1300,0,MATCH($B682,元データ_14項目!$D$1:$Q$1,0)),元データ_14項目!$A$2:$A$1300,$A682,元データ_14項目!$B$2:$B$1300,"本年",元データ_14項目!$C$2:$C$1300,N$5)</f>
        <v>42</v>
      </c>
      <c r="O682" s="26">
        <f t="shared" si="20"/>
        <v>825</v>
      </c>
      <c r="P682" s="26">
        <f>SUMIFS(INDEX(元データ_14項目!$D$2:$Q$1300,0,MATCH($B682,元データ_14項目!$D$1:$Q$1,0)),元データ_14項目!$A$2:$A$1300,$A682,元データ_14項目!$B$2:$B$1300,"前年")</f>
        <v>760</v>
      </c>
      <c r="Q682" s="7">
        <f t="shared" si="21"/>
        <v>1.0855263157894737</v>
      </c>
    </row>
    <row r="683" spans="1:17" x14ac:dyDescent="0.45">
      <c r="A683" t="s">
        <v>83</v>
      </c>
      <c r="B683" t="s">
        <v>28</v>
      </c>
      <c r="C683" s="26">
        <f>SUMIFS(INDEX(元データ_14項目!$D$2:$Q$1300,0,MATCH($B683,元データ_14項目!$D$1:$Q$1,0)),元データ_14項目!$A$2:$A$1300,$A683,元データ_14項目!$B$2:$B$1300,"本年",元データ_14項目!$C$2:$C$1300,C$5)</f>
        <v>328</v>
      </c>
      <c r="D683" s="26">
        <f>SUMIFS(INDEX(元データ_14項目!$D$2:$Q$1300,0,MATCH($B683,元データ_14項目!$D$1:$Q$1,0)),元データ_14項目!$A$2:$A$1300,$A683,元データ_14項目!$B$2:$B$1300,"本年",元データ_14項目!$C$2:$C$1300,D$5)</f>
        <v>365</v>
      </c>
      <c r="E683" s="26">
        <f>SUMIFS(INDEX(元データ_14項目!$D$2:$Q$1300,0,MATCH($B683,元データ_14項目!$D$1:$Q$1,0)),元データ_14項目!$A$2:$A$1300,$A683,元データ_14項目!$B$2:$B$1300,"本年",元データ_14項目!$C$2:$C$1300,E$5)</f>
        <v>496</v>
      </c>
      <c r="F683" s="26">
        <f>SUMIFS(INDEX(元データ_14項目!$D$2:$Q$1300,0,MATCH($B683,元データ_14項目!$D$1:$Q$1,0)),元データ_14項目!$A$2:$A$1300,$A683,元データ_14項目!$B$2:$B$1300,"本年",元データ_14項目!$C$2:$C$1300,F$5)</f>
        <v>383</v>
      </c>
      <c r="G683" s="26">
        <f>SUMIFS(INDEX(元データ_14項目!$D$2:$Q$1300,0,MATCH($B683,元データ_14項目!$D$1:$Q$1,0)),元データ_14項目!$A$2:$A$1300,$A683,元データ_14項目!$B$2:$B$1300,"本年",元データ_14項目!$C$2:$C$1300,G$5)</f>
        <v>336</v>
      </c>
      <c r="H683" s="26">
        <f>SUMIFS(INDEX(元データ_14項目!$D$2:$Q$1300,0,MATCH($B683,元データ_14項目!$D$1:$Q$1,0)),元データ_14項目!$A$2:$A$1300,$A683,元データ_14項目!$B$2:$B$1300,"本年",元データ_14項目!$C$2:$C$1300,H$5)</f>
        <v>189</v>
      </c>
      <c r="I683" s="26">
        <f>SUMIFS(INDEX(元データ_14項目!$D$2:$Q$1300,0,MATCH($B683,元データ_14項目!$D$1:$Q$1,0)),元データ_14項目!$A$2:$A$1300,$A683,元データ_14項目!$B$2:$B$1300,"本年",元データ_14項目!$C$2:$C$1300,I$5)</f>
        <v>197</v>
      </c>
      <c r="J683" s="26">
        <f>SUMIFS(INDEX(元データ_14項目!$D$2:$Q$1300,0,MATCH($B683,元データ_14項目!$D$1:$Q$1,0)),元データ_14項目!$A$2:$A$1300,$A683,元データ_14項目!$B$2:$B$1300,"本年",元データ_14項目!$C$2:$C$1300,J$5)</f>
        <v>203</v>
      </c>
      <c r="K683" s="26">
        <f>SUMIFS(INDEX(元データ_14項目!$D$2:$Q$1300,0,MATCH($B683,元データ_14項目!$D$1:$Q$1,0)),元データ_14項目!$A$2:$A$1300,$A683,元データ_14項目!$B$2:$B$1300,"本年",元データ_14項目!$C$2:$C$1300,K$5)</f>
        <v>309</v>
      </c>
      <c r="L683" s="26">
        <f>SUMIFS(INDEX(元データ_14項目!$D$2:$Q$1300,0,MATCH($B683,元データ_14項目!$D$1:$Q$1,0)),元データ_14項目!$A$2:$A$1300,$A683,元データ_14項目!$B$2:$B$1300,"本年",元データ_14項目!$C$2:$C$1300,L$5)</f>
        <v>297</v>
      </c>
      <c r="M683" s="26">
        <f>SUMIFS(INDEX(元データ_14項目!$D$2:$Q$1300,0,MATCH($B683,元データ_14項目!$D$1:$Q$1,0)),元データ_14項目!$A$2:$A$1300,$A683,元データ_14項目!$B$2:$B$1300,"本年",元データ_14項目!$C$2:$C$1300,M$5)</f>
        <v>351</v>
      </c>
      <c r="N683" s="26">
        <f>SUMIFS(INDEX(元データ_14項目!$D$2:$Q$1300,0,MATCH($B683,元データ_14項目!$D$1:$Q$1,0)),元データ_14項目!$A$2:$A$1300,$A683,元データ_14項目!$B$2:$B$1300,"本年",元データ_14項目!$C$2:$C$1300,N$5)</f>
        <v>349</v>
      </c>
      <c r="O683" s="26">
        <f t="shared" si="20"/>
        <v>3803</v>
      </c>
      <c r="P683" s="26">
        <f>SUMIFS(INDEX(元データ_14項目!$D$2:$Q$1300,0,MATCH($B683,元データ_14項目!$D$1:$Q$1,0)),元データ_14項目!$A$2:$A$1300,$A683,元データ_14項目!$B$2:$B$1300,"前年")</f>
        <v>3966</v>
      </c>
      <c r="Q683" s="7">
        <f t="shared" si="21"/>
        <v>0.95890065557236515</v>
      </c>
    </row>
    <row r="684" spans="1:17" x14ac:dyDescent="0.45">
      <c r="A684" t="s">
        <v>83</v>
      </c>
      <c r="B684" t="s">
        <v>92</v>
      </c>
      <c r="C684" s="26">
        <f>SUMIFS(INDEX(元データ_14項目!$D$2:$Q$1300,0,MATCH($B684,元データ_14項目!$D$1:$Q$1,0)),元データ_14項目!$A$2:$A$1300,$A684,元データ_14項目!$B$2:$B$1300,"本年",元データ_14項目!$C$2:$C$1300,C$5)</f>
        <v>42</v>
      </c>
      <c r="D684" s="26">
        <f>SUMIFS(INDEX(元データ_14項目!$D$2:$Q$1300,0,MATCH($B684,元データ_14項目!$D$1:$Q$1,0)),元データ_14項目!$A$2:$A$1300,$A684,元データ_14項目!$B$2:$B$1300,"本年",元データ_14項目!$C$2:$C$1300,D$5)</f>
        <v>62</v>
      </c>
      <c r="E684" s="26">
        <f>SUMIFS(INDEX(元データ_14項目!$D$2:$Q$1300,0,MATCH($B684,元データ_14項目!$D$1:$Q$1,0)),元データ_14項目!$A$2:$A$1300,$A684,元データ_14項目!$B$2:$B$1300,"本年",元データ_14項目!$C$2:$C$1300,E$5)</f>
        <v>86</v>
      </c>
      <c r="F684" s="26">
        <f>SUMIFS(INDEX(元データ_14項目!$D$2:$Q$1300,0,MATCH($B684,元データ_14項目!$D$1:$Q$1,0)),元データ_14項目!$A$2:$A$1300,$A684,元データ_14項目!$B$2:$B$1300,"本年",元データ_14項目!$C$2:$C$1300,F$5)</f>
        <v>82</v>
      </c>
      <c r="G684" s="26">
        <f>SUMIFS(INDEX(元データ_14項目!$D$2:$Q$1300,0,MATCH($B684,元データ_14項目!$D$1:$Q$1,0)),元データ_14項目!$A$2:$A$1300,$A684,元データ_14項目!$B$2:$B$1300,"本年",元データ_14項目!$C$2:$C$1300,G$5)</f>
        <v>62</v>
      </c>
      <c r="H684" s="26">
        <f>SUMIFS(INDEX(元データ_14項目!$D$2:$Q$1300,0,MATCH($B684,元データ_14項目!$D$1:$Q$1,0)),元データ_14項目!$A$2:$A$1300,$A684,元データ_14項目!$B$2:$B$1300,"本年",元データ_14項目!$C$2:$C$1300,H$5)</f>
        <v>44</v>
      </c>
      <c r="I684" s="26">
        <f>SUMIFS(INDEX(元データ_14項目!$D$2:$Q$1300,0,MATCH($B684,元データ_14項目!$D$1:$Q$1,0)),元データ_14項目!$A$2:$A$1300,$A684,元データ_14項目!$B$2:$B$1300,"本年",元データ_14項目!$C$2:$C$1300,I$5)</f>
        <v>33</v>
      </c>
      <c r="J684" s="26">
        <f>SUMIFS(INDEX(元データ_14項目!$D$2:$Q$1300,0,MATCH($B684,元データ_14項目!$D$1:$Q$1,0)),元データ_14項目!$A$2:$A$1300,$A684,元データ_14項目!$B$2:$B$1300,"本年",元データ_14項目!$C$2:$C$1300,J$5)</f>
        <v>55</v>
      </c>
      <c r="K684" s="26">
        <f>SUMIFS(INDEX(元データ_14項目!$D$2:$Q$1300,0,MATCH($B684,元データ_14項目!$D$1:$Q$1,0)),元データ_14項目!$A$2:$A$1300,$A684,元データ_14項目!$B$2:$B$1300,"本年",元データ_14項目!$C$2:$C$1300,K$5)</f>
        <v>88</v>
      </c>
      <c r="L684" s="26">
        <f>SUMIFS(INDEX(元データ_14項目!$D$2:$Q$1300,0,MATCH($B684,元データ_14項目!$D$1:$Q$1,0)),元データ_14項目!$A$2:$A$1300,$A684,元データ_14項目!$B$2:$B$1300,"本年",元データ_14項目!$C$2:$C$1300,L$5)</f>
        <v>54</v>
      </c>
      <c r="M684" s="26">
        <f>SUMIFS(INDEX(元データ_14項目!$D$2:$Q$1300,0,MATCH($B684,元データ_14項目!$D$1:$Q$1,0)),元データ_14項目!$A$2:$A$1300,$A684,元データ_14項目!$B$2:$B$1300,"本年",元データ_14項目!$C$2:$C$1300,M$5)</f>
        <v>76</v>
      </c>
      <c r="N684" s="26">
        <f>SUMIFS(INDEX(元データ_14項目!$D$2:$Q$1300,0,MATCH($B684,元データ_14項目!$D$1:$Q$1,0)),元データ_14項目!$A$2:$A$1300,$A684,元データ_14項目!$B$2:$B$1300,"本年",元データ_14項目!$C$2:$C$1300,N$5)</f>
        <v>44</v>
      </c>
      <c r="O684" s="26">
        <f t="shared" si="20"/>
        <v>728</v>
      </c>
      <c r="P684" s="26">
        <f>SUMIFS(INDEX(元データ_14項目!$D$2:$Q$1300,0,MATCH($B684,元データ_14項目!$D$1:$Q$1,0)),元データ_14項目!$A$2:$A$1300,$A684,元データ_14項目!$B$2:$B$1300,"前年")</f>
        <v>785</v>
      </c>
      <c r="Q684" s="7">
        <f t="shared" si="21"/>
        <v>0.92738853503184715</v>
      </c>
    </row>
    <row r="685" spans="1:17" x14ac:dyDescent="0.45">
      <c r="A685" t="s">
        <v>83</v>
      </c>
      <c r="B685" t="s">
        <v>93</v>
      </c>
      <c r="C685" s="26">
        <f>SUMIFS(INDEX(元データ_14項目!$D$2:$Q$1300,0,MATCH($B685,元データ_14項目!$D$1:$Q$1,0)),元データ_14項目!$A$2:$A$1300,$A685,元データ_14項目!$B$2:$B$1300,"本年",元データ_14項目!$C$2:$C$1300,C$5)</f>
        <v>49</v>
      </c>
      <c r="D685" s="26">
        <f>SUMIFS(INDEX(元データ_14項目!$D$2:$Q$1300,0,MATCH($B685,元データ_14項目!$D$1:$Q$1,0)),元データ_14項目!$A$2:$A$1300,$A685,元データ_14項目!$B$2:$B$1300,"本年",元データ_14項目!$C$2:$C$1300,D$5)</f>
        <v>26</v>
      </c>
      <c r="E685" s="26">
        <f>SUMIFS(INDEX(元データ_14項目!$D$2:$Q$1300,0,MATCH($B685,元データ_14項目!$D$1:$Q$1,0)),元データ_14項目!$A$2:$A$1300,$A685,元データ_14項目!$B$2:$B$1300,"本年",元データ_14項目!$C$2:$C$1300,E$5)</f>
        <v>27</v>
      </c>
      <c r="F685" s="26">
        <f>SUMIFS(INDEX(元データ_14項目!$D$2:$Q$1300,0,MATCH($B685,元データ_14項目!$D$1:$Q$1,0)),元データ_14項目!$A$2:$A$1300,$A685,元データ_14項目!$B$2:$B$1300,"本年",元データ_14項目!$C$2:$C$1300,F$5)</f>
        <v>56</v>
      </c>
      <c r="G685" s="26">
        <f>SUMIFS(INDEX(元データ_14項目!$D$2:$Q$1300,0,MATCH($B685,元データ_14項目!$D$1:$Q$1,0)),元データ_14項目!$A$2:$A$1300,$A685,元データ_14項目!$B$2:$B$1300,"本年",元データ_14項目!$C$2:$C$1300,G$5)</f>
        <v>117</v>
      </c>
      <c r="H685" s="26">
        <f>SUMIFS(INDEX(元データ_14項目!$D$2:$Q$1300,0,MATCH($B685,元データ_14項目!$D$1:$Q$1,0)),元データ_14項目!$A$2:$A$1300,$A685,元データ_14項目!$B$2:$B$1300,"本年",元データ_14項目!$C$2:$C$1300,H$5)</f>
        <v>107</v>
      </c>
      <c r="I685" s="26">
        <f>SUMIFS(INDEX(元データ_14項目!$D$2:$Q$1300,0,MATCH($B685,元データ_14項目!$D$1:$Q$1,0)),元データ_14項目!$A$2:$A$1300,$A685,元データ_14項目!$B$2:$B$1300,"本年",元データ_14項目!$C$2:$C$1300,I$5)</f>
        <v>87</v>
      </c>
      <c r="J685" s="26">
        <f>SUMIFS(INDEX(元データ_14項目!$D$2:$Q$1300,0,MATCH($B685,元データ_14項目!$D$1:$Q$1,0)),元データ_14項目!$A$2:$A$1300,$A685,元データ_14項目!$B$2:$B$1300,"本年",元データ_14項目!$C$2:$C$1300,J$5)</f>
        <v>176</v>
      </c>
      <c r="K685" s="26">
        <f>SUMIFS(INDEX(元データ_14項目!$D$2:$Q$1300,0,MATCH($B685,元データ_14項目!$D$1:$Q$1,0)),元データ_14項目!$A$2:$A$1300,$A685,元データ_14項目!$B$2:$B$1300,"本年",元データ_14項目!$C$2:$C$1300,K$5)</f>
        <v>457</v>
      </c>
      <c r="L685" s="26">
        <f>SUMIFS(INDEX(元データ_14項目!$D$2:$Q$1300,0,MATCH($B685,元データ_14項目!$D$1:$Q$1,0)),元データ_14項目!$A$2:$A$1300,$A685,元データ_14項目!$B$2:$B$1300,"本年",元データ_14項目!$C$2:$C$1300,L$5)</f>
        <v>264</v>
      </c>
      <c r="M685" s="26">
        <f>SUMIFS(INDEX(元データ_14項目!$D$2:$Q$1300,0,MATCH($B685,元データ_14項目!$D$1:$Q$1,0)),元データ_14項目!$A$2:$A$1300,$A685,元データ_14項目!$B$2:$B$1300,"本年",元データ_14項目!$C$2:$C$1300,M$5)</f>
        <v>115</v>
      </c>
      <c r="N685" s="26">
        <f>SUMIFS(INDEX(元データ_14項目!$D$2:$Q$1300,0,MATCH($B685,元データ_14項目!$D$1:$Q$1,0)),元データ_14項目!$A$2:$A$1300,$A685,元データ_14項目!$B$2:$B$1300,"本年",元データ_14項目!$C$2:$C$1300,N$5)</f>
        <v>45</v>
      </c>
      <c r="O685" s="26">
        <f t="shared" si="20"/>
        <v>1526</v>
      </c>
      <c r="P685" s="26">
        <f>SUMIFS(INDEX(元データ_14項目!$D$2:$Q$1300,0,MATCH($B685,元データ_14項目!$D$1:$Q$1,0)),元データ_14項目!$A$2:$A$1300,$A685,元データ_14項目!$B$2:$B$1300,"前年")</f>
        <v>1554</v>
      </c>
      <c r="Q685" s="7">
        <f t="shared" si="21"/>
        <v>0.98198198198198194</v>
      </c>
    </row>
    <row r="686" spans="1:17" x14ac:dyDescent="0.45">
      <c r="A686" t="s">
        <v>83</v>
      </c>
      <c r="B686" t="s">
        <v>94</v>
      </c>
      <c r="C686" s="26">
        <f>SUMIFS(INDEX(元データ_14項目!$D$2:$Q$1300,0,MATCH($B686,元データ_14項目!$D$1:$Q$1,0)),元データ_14項目!$A$2:$A$1300,$A686,元データ_14項目!$B$2:$B$1300,"本年",元データ_14項目!$C$2:$C$1300,C$5)</f>
        <v>41</v>
      </c>
      <c r="D686" s="26">
        <f>SUMIFS(INDEX(元データ_14項目!$D$2:$Q$1300,0,MATCH($B686,元データ_14項目!$D$1:$Q$1,0)),元データ_14項目!$A$2:$A$1300,$A686,元データ_14項目!$B$2:$B$1300,"本年",元データ_14項目!$C$2:$C$1300,D$5)</f>
        <v>28</v>
      </c>
      <c r="E686" s="26">
        <f>SUMIFS(INDEX(元データ_14項目!$D$2:$Q$1300,0,MATCH($B686,元データ_14項目!$D$1:$Q$1,0)),元データ_14項目!$A$2:$A$1300,$A686,元データ_14項目!$B$2:$B$1300,"本年",元データ_14項目!$C$2:$C$1300,E$5)</f>
        <v>57</v>
      </c>
      <c r="F686" s="26">
        <f>SUMIFS(INDEX(元データ_14項目!$D$2:$Q$1300,0,MATCH($B686,元データ_14項目!$D$1:$Q$1,0)),元データ_14項目!$A$2:$A$1300,$A686,元データ_14項目!$B$2:$B$1300,"本年",元データ_14項目!$C$2:$C$1300,F$5)</f>
        <v>54</v>
      </c>
      <c r="G686" s="26">
        <f>SUMIFS(INDEX(元データ_14項目!$D$2:$Q$1300,0,MATCH($B686,元データ_14項目!$D$1:$Q$1,0)),元データ_14項目!$A$2:$A$1300,$A686,元データ_14項目!$B$2:$B$1300,"本年",元データ_14項目!$C$2:$C$1300,G$5)</f>
        <v>55</v>
      </c>
      <c r="H686" s="26">
        <f>SUMIFS(INDEX(元データ_14項目!$D$2:$Q$1300,0,MATCH($B686,元データ_14項目!$D$1:$Q$1,0)),元データ_14項目!$A$2:$A$1300,$A686,元データ_14項目!$B$2:$B$1300,"本年",元データ_14項目!$C$2:$C$1300,H$5)</f>
        <v>34</v>
      </c>
      <c r="I686" s="26">
        <f>SUMIFS(INDEX(元データ_14項目!$D$2:$Q$1300,0,MATCH($B686,元データ_14項目!$D$1:$Q$1,0)),元データ_14項目!$A$2:$A$1300,$A686,元データ_14項目!$B$2:$B$1300,"本年",元データ_14項目!$C$2:$C$1300,I$5)</f>
        <v>21</v>
      </c>
      <c r="J686" s="26">
        <f>SUMIFS(INDEX(元データ_14項目!$D$2:$Q$1300,0,MATCH($B686,元データ_14項目!$D$1:$Q$1,0)),元データ_14項目!$A$2:$A$1300,$A686,元データ_14項目!$B$2:$B$1300,"本年",元データ_14項目!$C$2:$C$1300,J$5)</f>
        <v>47</v>
      </c>
      <c r="K686" s="26">
        <f>SUMIFS(INDEX(元データ_14項目!$D$2:$Q$1300,0,MATCH($B686,元データ_14項目!$D$1:$Q$1,0)),元データ_14項目!$A$2:$A$1300,$A686,元データ_14項目!$B$2:$B$1300,"本年",元データ_14項目!$C$2:$C$1300,K$5)</f>
        <v>180</v>
      </c>
      <c r="L686" s="26">
        <f>SUMIFS(INDEX(元データ_14項目!$D$2:$Q$1300,0,MATCH($B686,元データ_14項目!$D$1:$Q$1,0)),元データ_14項目!$A$2:$A$1300,$A686,元データ_14項目!$B$2:$B$1300,"本年",元データ_14項目!$C$2:$C$1300,L$5)</f>
        <v>120</v>
      </c>
      <c r="M686" s="26">
        <f>SUMIFS(INDEX(元データ_14項目!$D$2:$Q$1300,0,MATCH($B686,元データ_14項目!$D$1:$Q$1,0)),元データ_14項目!$A$2:$A$1300,$A686,元データ_14項目!$B$2:$B$1300,"本年",元データ_14項目!$C$2:$C$1300,M$5)</f>
        <v>69</v>
      </c>
      <c r="N686" s="26">
        <f>SUMIFS(INDEX(元データ_14項目!$D$2:$Q$1300,0,MATCH($B686,元データ_14項目!$D$1:$Q$1,0)),元データ_14項目!$A$2:$A$1300,$A686,元データ_14項目!$B$2:$B$1300,"本年",元データ_14項目!$C$2:$C$1300,N$5)</f>
        <v>36</v>
      </c>
      <c r="O686" s="26">
        <f t="shared" si="20"/>
        <v>742</v>
      </c>
      <c r="P686" s="26">
        <f>SUMIFS(INDEX(元データ_14項目!$D$2:$Q$1300,0,MATCH($B686,元データ_14項目!$D$1:$Q$1,0)),元データ_14項目!$A$2:$A$1300,$A686,元データ_14項目!$B$2:$B$1300,"前年")</f>
        <v>714</v>
      </c>
      <c r="Q686" s="7">
        <f t="shared" si="21"/>
        <v>1.0392156862745099</v>
      </c>
    </row>
    <row r="687" spans="1:17" x14ac:dyDescent="0.45">
      <c r="A687" t="s">
        <v>83</v>
      </c>
      <c r="B687" t="s">
        <v>95</v>
      </c>
      <c r="C687" s="26">
        <f>SUMIFS(INDEX(元データ_14項目!$D$2:$Q$1300,0,MATCH($B687,元データ_14項目!$D$1:$Q$1,0)),元データ_14項目!$A$2:$A$1300,$A687,元データ_14項目!$B$2:$B$1300,"本年",元データ_14項目!$C$2:$C$1300,C$5)</f>
        <v>39</v>
      </c>
      <c r="D687" s="26">
        <f>SUMIFS(INDEX(元データ_14項目!$D$2:$Q$1300,0,MATCH($B687,元データ_14項目!$D$1:$Q$1,0)),元データ_14項目!$A$2:$A$1300,$A687,元データ_14項目!$B$2:$B$1300,"本年",元データ_14項目!$C$2:$C$1300,D$5)</f>
        <v>70</v>
      </c>
      <c r="E687" s="26">
        <f>SUMIFS(INDEX(元データ_14項目!$D$2:$Q$1300,0,MATCH($B687,元データ_14項目!$D$1:$Q$1,0)),元データ_14項目!$A$2:$A$1300,$A687,元データ_14項目!$B$2:$B$1300,"本年",元データ_14項目!$C$2:$C$1300,E$5)</f>
        <v>87</v>
      </c>
      <c r="F687" s="26">
        <f>SUMIFS(INDEX(元データ_14項目!$D$2:$Q$1300,0,MATCH($B687,元データ_14項目!$D$1:$Q$1,0)),元データ_14項目!$A$2:$A$1300,$A687,元データ_14項目!$B$2:$B$1300,"本年",元データ_14項目!$C$2:$C$1300,F$5)</f>
        <v>76</v>
      </c>
      <c r="G687" s="26">
        <f>SUMIFS(INDEX(元データ_14項目!$D$2:$Q$1300,0,MATCH($B687,元データ_14項目!$D$1:$Q$1,0)),元データ_14項目!$A$2:$A$1300,$A687,元データ_14項目!$B$2:$B$1300,"本年",元データ_14項目!$C$2:$C$1300,G$5)</f>
        <v>45</v>
      </c>
      <c r="H687" s="26">
        <f>SUMIFS(INDEX(元データ_14項目!$D$2:$Q$1300,0,MATCH($B687,元データ_14項目!$D$1:$Q$1,0)),元データ_14項目!$A$2:$A$1300,$A687,元データ_14項目!$B$2:$B$1300,"本年",元データ_14項目!$C$2:$C$1300,H$5)</f>
        <v>25</v>
      </c>
      <c r="I687" s="26">
        <f>SUMIFS(INDEX(元データ_14項目!$D$2:$Q$1300,0,MATCH($B687,元データ_14項目!$D$1:$Q$1,0)),元データ_14項目!$A$2:$A$1300,$A687,元データ_14項目!$B$2:$B$1300,"本年",元データ_14項目!$C$2:$C$1300,I$5)</f>
        <v>22</v>
      </c>
      <c r="J687" s="26">
        <f>SUMIFS(INDEX(元データ_14項目!$D$2:$Q$1300,0,MATCH($B687,元データ_14項目!$D$1:$Q$1,0)),元データ_14項目!$A$2:$A$1300,$A687,元データ_14項目!$B$2:$B$1300,"本年",元データ_14項目!$C$2:$C$1300,J$5)</f>
        <v>34</v>
      </c>
      <c r="K687" s="26">
        <f>SUMIFS(INDEX(元データ_14項目!$D$2:$Q$1300,0,MATCH($B687,元データ_14項目!$D$1:$Q$1,0)),元データ_14項目!$A$2:$A$1300,$A687,元データ_14項目!$B$2:$B$1300,"本年",元データ_14項目!$C$2:$C$1300,K$5)</f>
        <v>116</v>
      </c>
      <c r="L687" s="26">
        <f>SUMIFS(INDEX(元データ_14項目!$D$2:$Q$1300,0,MATCH($B687,元データ_14項目!$D$1:$Q$1,0)),元データ_14項目!$A$2:$A$1300,$A687,元データ_14項目!$B$2:$B$1300,"本年",元データ_14項目!$C$2:$C$1300,L$5)</f>
        <v>75</v>
      </c>
      <c r="M687" s="26">
        <f>SUMIFS(INDEX(元データ_14項目!$D$2:$Q$1300,0,MATCH($B687,元データ_14項目!$D$1:$Q$1,0)),元データ_14項目!$A$2:$A$1300,$A687,元データ_14項目!$B$2:$B$1300,"本年",元データ_14項目!$C$2:$C$1300,M$5)</f>
        <v>71</v>
      </c>
      <c r="N687" s="26">
        <f>SUMIFS(INDEX(元データ_14項目!$D$2:$Q$1300,0,MATCH($B687,元データ_14項目!$D$1:$Q$1,0)),元データ_14項目!$A$2:$A$1300,$A687,元データ_14項目!$B$2:$B$1300,"本年",元データ_14項目!$C$2:$C$1300,N$5)</f>
        <v>43</v>
      </c>
      <c r="O687" s="26">
        <f t="shared" si="20"/>
        <v>703</v>
      </c>
      <c r="P687" s="26">
        <f>SUMIFS(INDEX(元データ_14項目!$D$2:$Q$1300,0,MATCH($B687,元データ_14項目!$D$1:$Q$1,0)),元データ_14項目!$A$2:$A$1300,$A687,元データ_14項目!$B$2:$B$1300,"前年")</f>
        <v>675</v>
      </c>
      <c r="Q687" s="7">
        <f t="shared" si="21"/>
        <v>1.0414814814814815</v>
      </c>
    </row>
    <row r="688" spans="1:17" x14ac:dyDescent="0.45">
      <c r="A688" t="s">
        <v>83</v>
      </c>
      <c r="B688" t="s">
        <v>96</v>
      </c>
      <c r="C688" s="26">
        <f>SUMIFS(INDEX(元データ_14項目!$D$2:$Q$1300,0,MATCH($B688,元データ_14項目!$D$1:$Q$1,0)),元データ_14項目!$A$2:$A$1300,$A688,元データ_14項目!$B$2:$B$1300,"本年",元データ_14項目!$C$2:$C$1300,C$5)</f>
        <v>5</v>
      </c>
      <c r="D688" s="26">
        <f>SUMIFS(INDEX(元データ_14項目!$D$2:$Q$1300,0,MATCH($B688,元データ_14項目!$D$1:$Q$1,0)),元データ_14項目!$A$2:$A$1300,$A688,元データ_14項目!$B$2:$B$1300,"本年",元データ_14項目!$C$2:$C$1300,D$5)</f>
        <v>9</v>
      </c>
      <c r="E688" s="26">
        <f>SUMIFS(INDEX(元データ_14項目!$D$2:$Q$1300,0,MATCH($B688,元データ_14項目!$D$1:$Q$1,0)),元データ_14項目!$A$2:$A$1300,$A688,元データ_14項目!$B$2:$B$1300,"本年",元データ_14項目!$C$2:$C$1300,E$5)</f>
        <v>63</v>
      </c>
      <c r="F688" s="26">
        <f>SUMIFS(INDEX(元データ_14項目!$D$2:$Q$1300,0,MATCH($B688,元データ_14項目!$D$1:$Q$1,0)),元データ_14項目!$A$2:$A$1300,$A688,元データ_14項目!$B$2:$B$1300,"本年",元データ_14項目!$C$2:$C$1300,F$5)</f>
        <v>50</v>
      </c>
      <c r="G688" s="26">
        <f>SUMIFS(INDEX(元データ_14項目!$D$2:$Q$1300,0,MATCH($B688,元データ_14項目!$D$1:$Q$1,0)),元データ_14項目!$A$2:$A$1300,$A688,元データ_14項目!$B$2:$B$1300,"本年",元データ_14項目!$C$2:$C$1300,G$5)</f>
        <v>63</v>
      </c>
      <c r="H688" s="26">
        <f>SUMIFS(INDEX(元データ_14項目!$D$2:$Q$1300,0,MATCH($B688,元データ_14項目!$D$1:$Q$1,0)),元データ_14項目!$A$2:$A$1300,$A688,元データ_14項目!$B$2:$B$1300,"本年",元データ_14項目!$C$2:$C$1300,H$5)</f>
        <v>47</v>
      </c>
      <c r="I688" s="26">
        <f>SUMIFS(INDEX(元データ_14項目!$D$2:$Q$1300,0,MATCH($B688,元データ_14項目!$D$1:$Q$1,0)),元データ_14項目!$A$2:$A$1300,$A688,元データ_14項目!$B$2:$B$1300,"本年",元データ_14項目!$C$2:$C$1300,I$5)</f>
        <v>41</v>
      </c>
      <c r="J688" s="26">
        <f>SUMIFS(INDEX(元データ_14項目!$D$2:$Q$1300,0,MATCH($B688,元データ_14項目!$D$1:$Q$1,0)),元データ_14項目!$A$2:$A$1300,$A688,元データ_14項目!$B$2:$B$1300,"本年",元データ_14項目!$C$2:$C$1300,J$5)</f>
        <v>169</v>
      </c>
      <c r="K688" s="26">
        <f>SUMIFS(INDEX(元データ_14項目!$D$2:$Q$1300,0,MATCH($B688,元データ_14項目!$D$1:$Q$1,0)),元データ_14項目!$A$2:$A$1300,$A688,元データ_14項目!$B$2:$B$1300,"本年",元データ_14項目!$C$2:$C$1300,K$5)</f>
        <v>391</v>
      </c>
      <c r="L688" s="26">
        <f>SUMIFS(INDEX(元データ_14項目!$D$2:$Q$1300,0,MATCH($B688,元データ_14項目!$D$1:$Q$1,0)),元データ_14項目!$A$2:$A$1300,$A688,元データ_14項目!$B$2:$B$1300,"本年",元データ_14項目!$C$2:$C$1300,L$5)</f>
        <v>191</v>
      </c>
      <c r="M688" s="26">
        <f>SUMIFS(INDEX(元データ_14項目!$D$2:$Q$1300,0,MATCH($B688,元データ_14項目!$D$1:$Q$1,0)),元データ_14項目!$A$2:$A$1300,$A688,元データ_14項目!$B$2:$B$1300,"本年",元データ_14項目!$C$2:$C$1300,M$5)</f>
        <v>134</v>
      </c>
      <c r="N688" s="26">
        <f>SUMIFS(INDEX(元データ_14項目!$D$2:$Q$1300,0,MATCH($B688,元データ_14項目!$D$1:$Q$1,0)),元データ_14項目!$A$2:$A$1300,$A688,元データ_14項目!$B$2:$B$1300,"本年",元データ_14項目!$C$2:$C$1300,N$5)</f>
        <v>52</v>
      </c>
      <c r="O688" s="26">
        <f t="shared" si="20"/>
        <v>1215</v>
      </c>
      <c r="P688" s="26">
        <f>SUMIFS(INDEX(元データ_14項目!$D$2:$Q$1300,0,MATCH($B688,元データ_14項目!$D$1:$Q$1,0)),元データ_14項目!$A$2:$A$1300,$A688,元データ_14項目!$B$2:$B$1300,"前年")</f>
        <v>1344</v>
      </c>
      <c r="Q688" s="7">
        <f t="shared" si="21"/>
        <v>0.9040178571428571</v>
      </c>
    </row>
    <row r="689" spans="1:17" x14ac:dyDescent="0.45">
      <c r="A689" t="s">
        <v>83</v>
      </c>
      <c r="B689" t="s">
        <v>97</v>
      </c>
      <c r="C689" s="26">
        <f>SUMIFS(INDEX(元データ_14項目!$D$2:$Q$1300,0,MATCH($B689,元データ_14項目!$D$1:$Q$1,0)),元データ_14項目!$A$2:$A$1300,$A689,元データ_14項目!$B$2:$B$1300,"本年",元データ_14項目!$C$2:$C$1300,C$5)</f>
        <v>20</v>
      </c>
      <c r="D689" s="26">
        <f>SUMIFS(INDEX(元データ_14項目!$D$2:$Q$1300,0,MATCH($B689,元データ_14項目!$D$1:$Q$1,0)),元データ_14項目!$A$2:$A$1300,$A689,元データ_14項目!$B$2:$B$1300,"本年",元データ_14項目!$C$2:$C$1300,D$5)</f>
        <v>30</v>
      </c>
      <c r="E689" s="26">
        <f>SUMIFS(INDEX(元データ_14項目!$D$2:$Q$1300,0,MATCH($B689,元データ_14項目!$D$1:$Q$1,0)),元データ_14項目!$A$2:$A$1300,$A689,元データ_14項目!$B$2:$B$1300,"本年",元データ_14項目!$C$2:$C$1300,E$5)</f>
        <v>63</v>
      </c>
      <c r="F689" s="26">
        <f>SUMIFS(INDEX(元データ_14項目!$D$2:$Q$1300,0,MATCH($B689,元データ_14項目!$D$1:$Q$1,0)),元データ_14項目!$A$2:$A$1300,$A689,元データ_14項目!$B$2:$B$1300,"本年",元データ_14項目!$C$2:$C$1300,F$5)</f>
        <v>61</v>
      </c>
      <c r="G689" s="26">
        <f>SUMIFS(INDEX(元データ_14項目!$D$2:$Q$1300,0,MATCH($B689,元データ_14項目!$D$1:$Q$1,0)),元データ_14項目!$A$2:$A$1300,$A689,元データ_14項目!$B$2:$B$1300,"本年",元データ_14項目!$C$2:$C$1300,G$5)</f>
        <v>81</v>
      </c>
      <c r="H689" s="26">
        <f>SUMIFS(INDEX(元データ_14項目!$D$2:$Q$1300,0,MATCH($B689,元データ_14項目!$D$1:$Q$1,0)),元データ_14項目!$A$2:$A$1300,$A689,元データ_14項目!$B$2:$B$1300,"本年",元データ_14項目!$C$2:$C$1300,H$5)</f>
        <v>43</v>
      </c>
      <c r="I689" s="26">
        <f>SUMIFS(INDEX(元データ_14項目!$D$2:$Q$1300,0,MATCH($B689,元データ_14項目!$D$1:$Q$1,0)),元データ_14項目!$A$2:$A$1300,$A689,元データ_14項目!$B$2:$B$1300,"本年",元データ_14項目!$C$2:$C$1300,I$5)</f>
        <v>55</v>
      </c>
      <c r="J689" s="26">
        <f>SUMIFS(INDEX(元データ_14項目!$D$2:$Q$1300,0,MATCH($B689,元データ_14項目!$D$1:$Q$1,0)),元データ_14項目!$A$2:$A$1300,$A689,元データ_14項目!$B$2:$B$1300,"本年",元データ_14項目!$C$2:$C$1300,J$5)</f>
        <v>101</v>
      </c>
      <c r="K689" s="26">
        <f>SUMIFS(INDEX(元データ_14項目!$D$2:$Q$1300,0,MATCH($B689,元データ_14項目!$D$1:$Q$1,0)),元データ_14項目!$A$2:$A$1300,$A689,元データ_14項目!$B$2:$B$1300,"本年",元データ_14項目!$C$2:$C$1300,K$5)</f>
        <v>352</v>
      </c>
      <c r="L689" s="26">
        <f>SUMIFS(INDEX(元データ_14項目!$D$2:$Q$1300,0,MATCH($B689,元データ_14項目!$D$1:$Q$1,0)),元データ_14項目!$A$2:$A$1300,$A689,元データ_14項目!$B$2:$B$1300,"本年",元データ_14項目!$C$2:$C$1300,L$5)</f>
        <v>203</v>
      </c>
      <c r="M689" s="26">
        <f>SUMIFS(INDEX(元データ_14項目!$D$2:$Q$1300,0,MATCH($B689,元データ_14項目!$D$1:$Q$1,0)),元データ_14項目!$A$2:$A$1300,$A689,元データ_14項目!$B$2:$B$1300,"本年",元データ_14項目!$C$2:$C$1300,M$5)</f>
        <v>156</v>
      </c>
      <c r="N689" s="26">
        <f>SUMIFS(INDEX(元データ_14項目!$D$2:$Q$1300,0,MATCH($B689,元データ_14項目!$D$1:$Q$1,0)),元データ_14項目!$A$2:$A$1300,$A689,元データ_14項目!$B$2:$B$1300,"本年",元データ_14項目!$C$2:$C$1300,N$5)</f>
        <v>72</v>
      </c>
      <c r="O689" s="26">
        <f t="shared" si="20"/>
        <v>1237</v>
      </c>
      <c r="P689" s="26">
        <f>SUMIFS(INDEX(元データ_14項目!$D$2:$Q$1300,0,MATCH($B689,元データ_14項目!$D$1:$Q$1,0)),元データ_14項目!$A$2:$A$1300,$A689,元データ_14項目!$B$2:$B$1300,"前年")</f>
        <v>1219</v>
      </c>
      <c r="Q689" s="7">
        <f t="shared" si="21"/>
        <v>1.0147662018047581</v>
      </c>
    </row>
    <row r="690" spans="1:17" x14ac:dyDescent="0.45">
      <c r="A690" t="s">
        <v>83</v>
      </c>
      <c r="B690" t="s">
        <v>98</v>
      </c>
      <c r="C690" s="26">
        <f>SUMIFS(INDEX(元データ_14項目!$D$2:$Q$1300,0,MATCH($B690,元データ_14項目!$D$1:$Q$1,0)),元データ_14項目!$A$2:$A$1300,$A690,元データ_14項目!$B$2:$B$1300,"本年",元データ_14項目!$C$2:$C$1300,C$5)</f>
        <v>3</v>
      </c>
      <c r="D690" s="26">
        <f>SUMIFS(INDEX(元データ_14項目!$D$2:$Q$1300,0,MATCH($B690,元データ_14項目!$D$1:$Q$1,0)),元データ_14項目!$A$2:$A$1300,$A690,元データ_14項目!$B$2:$B$1300,"本年",元データ_14項目!$C$2:$C$1300,D$5)</f>
        <v>3</v>
      </c>
      <c r="E690" s="26">
        <f>SUMIFS(INDEX(元データ_14項目!$D$2:$Q$1300,0,MATCH($B690,元データ_14項目!$D$1:$Q$1,0)),元データ_14項目!$A$2:$A$1300,$A690,元データ_14項目!$B$2:$B$1300,"本年",元データ_14項目!$C$2:$C$1300,E$5)</f>
        <v>26</v>
      </c>
      <c r="F690" s="26">
        <f>SUMIFS(INDEX(元データ_14項目!$D$2:$Q$1300,0,MATCH($B690,元データ_14項目!$D$1:$Q$1,0)),元データ_14項目!$A$2:$A$1300,$A690,元データ_14項目!$B$2:$B$1300,"本年",元データ_14項目!$C$2:$C$1300,F$5)</f>
        <v>19</v>
      </c>
      <c r="G690" s="26">
        <f>SUMIFS(INDEX(元データ_14項目!$D$2:$Q$1300,0,MATCH($B690,元データ_14項目!$D$1:$Q$1,0)),元データ_14項目!$A$2:$A$1300,$A690,元データ_14項目!$B$2:$B$1300,"本年",元データ_14項目!$C$2:$C$1300,G$5)</f>
        <v>23</v>
      </c>
      <c r="H690" s="26">
        <f>SUMIFS(INDEX(元データ_14項目!$D$2:$Q$1300,0,MATCH($B690,元データ_14項目!$D$1:$Q$1,0)),元データ_14項目!$A$2:$A$1300,$A690,元データ_14項目!$B$2:$B$1300,"本年",元データ_14項目!$C$2:$C$1300,H$5)</f>
        <v>17</v>
      </c>
      <c r="I690" s="26">
        <f>SUMIFS(INDEX(元データ_14項目!$D$2:$Q$1300,0,MATCH($B690,元データ_14項目!$D$1:$Q$1,0)),元データ_14項目!$A$2:$A$1300,$A690,元データ_14項目!$B$2:$B$1300,"本年",元データ_14項目!$C$2:$C$1300,I$5)</f>
        <v>24</v>
      </c>
      <c r="J690" s="26">
        <f>SUMIFS(INDEX(元データ_14項目!$D$2:$Q$1300,0,MATCH($B690,元データ_14項目!$D$1:$Q$1,0)),元データ_14項目!$A$2:$A$1300,$A690,元データ_14項目!$B$2:$B$1300,"本年",元データ_14項目!$C$2:$C$1300,J$5)</f>
        <v>99</v>
      </c>
      <c r="K690" s="26">
        <f>SUMIFS(INDEX(元データ_14項目!$D$2:$Q$1300,0,MATCH($B690,元データ_14項目!$D$1:$Q$1,0)),元データ_14項目!$A$2:$A$1300,$A690,元データ_14項目!$B$2:$B$1300,"本年",元データ_14項目!$C$2:$C$1300,K$5)</f>
        <v>220</v>
      </c>
      <c r="L690" s="26">
        <f>SUMIFS(INDEX(元データ_14項目!$D$2:$Q$1300,0,MATCH($B690,元データ_14項目!$D$1:$Q$1,0)),元データ_14項目!$A$2:$A$1300,$A690,元データ_14項目!$B$2:$B$1300,"本年",元データ_14項目!$C$2:$C$1300,L$5)</f>
        <v>99</v>
      </c>
      <c r="M690" s="26">
        <f>SUMIFS(INDEX(元データ_14項目!$D$2:$Q$1300,0,MATCH($B690,元データ_14項目!$D$1:$Q$1,0)),元データ_14項目!$A$2:$A$1300,$A690,元データ_14項目!$B$2:$B$1300,"本年",元データ_14項目!$C$2:$C$1300,M$5)</f>
        <v>69</v>
      </c>
      <c r="N690" s="26">
        <f>SUMIFS(INDEX(元データ_14項目!$D$2:$Q$1300,0,MATCH($B690,元データ_14項目!$D$1:$Q$1,0)),元データ_14項目!$A$2:$A$1300,$A690,元データ_14項目!$B$2:$B$1300,"本年",元データ_14項目!$C$2:$C$1300,N$5)</f>
        <v>32</v>
      </c>
      <c r="O690" s="26">
        <f t="shared" si="20"/>
        <v>634</v>
      </c>
      <c r="P690" s="26">
        <f>SUMIFS(INDEX(元データ_14項目!$D$2:$Q$1300,0,MATCH($B690,元データ_14項目!$D$1:$Q$1,0)),元データ_14項目!$A$2:$A$1300,$A690,元データ_14項目!$B$2:$B$1300,"前年")</f>
        <v>672</v>
      </c>
      <c r="Q690" s="7">
        <f t="shared" si="21"/>
        <v>0.94345238095238093</v>
      </c>
    </row>
    <row r="691" spans="1:17" x14ac:dyDescent="0.45">
      <c r="A691" t="s">
        <v>83</v>
      </c>
      <c r="B691" t="s">
        <v>99</v>
      </c>
      <c r="C691" s="26">
        <f>SUMIFS(INDEX(元データ_14項目!$D$2:$Q$1300,0,MATCH($B691,元データ_14項目!$D$1:$Q$1,0)),元データ_14項目!$A$2:$A$1300,$A691,元データ_14項目!$B$2:$B$1300,"本年",元データ_14項目!$C$2:$C$1300,C$5)</f>
        <v>0</v>
      </c>
      <c r="D691" s="26">
        <f>SUMIFS(INDEX(元データ_14項目!$D$2:$Q$1300,0,MATCH($B691,元データ_14項目!$D$1:$Q$1,0)),元データ_14項目!$A$2:$A$1300,$A691,元データ_14項目!$B$2:$B$1300,"本年",元データ_14項目!$C$2:$C$1300,D$5)</f>
        <v>0</v>
      </c>
      <c r="E691" s="26">
        <f>SUMIFS(INDEX(元データ_14項目!$D$2:$Q$1300,0,MATCH($B691,元データ_14項目!$D$1:$Q$1,0)),元データ_14項目!$A$2:$A$1300,$A691,元データ_14項目!$B$2:$B$1300,"本年",元データ_14項目!$C$2:$C$1300,E$5)</f>
        <v>8</v>
      </c>
      <c r="F691" s="26">
        <f>SUMIFS(INDEX(元データ_14項目!$D$2:$Q$1300,0,MATCH($B691,元データ_14項目!$D$1:$Q$1,0)),元データ_14項目!$A$2:$A$1300,$A691,元データ_14項目!$B$2:$B$1300,"本年",元データ_14項目!$C$2:$C$1300,F$5)</f>
        <v>4</v>
      </c>
      <c r="G691" s="26">
        <f>SUMIFS(INDEX(元データ_14項目!$D$2:$Q$1300,0,MATCH($B691,元データ_14項目!$D$1:$Q$1,0)),元データ_14項目!$A$2:$A$1300,$A691,元データ_14項目!$B$2:$B$1300,"本年",元データ_14項目!$C$2:$C$1300,G$5)</f>
        <v>0</v>
      </c>
      <c r="H691" s="26">
        <f>SUMIFS(INDEX(元データ_14項目!$D$2:$Q$1300,0,MATCH($B691,元データ_14項目!$D$1:$Q$1,0)),元データ_14項目!$A$2:$A$1300,$A691,元データ_14項目!$B$2:$B$1300,"本年",元データ_14項目!$C$2:$C$1300,H$5)</f>
        <v>2</v>
      </c>
      <c r="I691" s="26">
        <f>SUMIFS(INDEX(元データ_14項目!$D$2:$Q$1300,0,MATCH($B691,元データ_14項目!$D$1:$Q$1,0)),元データ_14項目!$A$2:$A$1300,$A691,元データ_14項目!$B$2:$B$1300,"本年",元データ_14項目!$C$2:$C$1300,I$5)</f>
        <v>2</v>
      </c>
      <c r="J691" s="26">
        <f>SUMIFS(INDEX(元データ_14項目!$D$2:$Q$1300,0,MATCH($B691,元データ_14項目!$D$1:$Q$1,0)),元データ_14項目!$A$2:$A$1300,$A691,元データ_14項目!$B$2:$B$1300,"本年",元データ_14項目!$C$2:$C$1300,J$5)</f>
        <v>9</v>
      </c>
      <c r="K691" s="26">
        <f>SUMIFS(INDEX(元データ_14項目!$D$2:$Q$1300,0,MATCH($B691,元データ_14項目!$D$1:$Q$1,0)),元データ_14項目!$A$2:$A$1300,$A691,元データ_14項目!$B$2:$B$1300,"本年",元データ_14項目!$C$2:$C$1300,K$5)</f>
        <v>43</v>
      </c>
      <c r="L691" s="26">
        <f>SUMIFS(INDEX(元データ_14項目!$D$2:$Q$1300,0,MATCH($B691,元データ_14項目!$D$1:$Q$1,0)),元データ_14項目!$A$2:$A$1300,$A691,元データ_14項目!$B$2:$B$1300,"本年",元データ_14項目!$C$2:$C$1300,L$5)</f>
        <v>17</v>
      </c>
      <c r="M691" s="26">
        <f>SUMIFS(INDEX(元データ_14項目!$D$2:$Q$1300,0,MATCH($B691,元データ_14項目!$D$1:$Q$1,0)),元データ_14項目!$A$2:$A$1300,$A691,元データ_14項目!$B$2:$B$1300,"本年",元データ_14項目!$C$2:$C$1300,M$5)</f>
        <v>9</v>
      </c>
      <c r="N691" s="26">
        <f>SUMIFS(INDEX(元データ_14項目!$D$2:$Q$1300,0,MATCH($B691,元データ_14項目!$D$1:$Q$1,0)),元データ_14項目!$A$2:$A$1300,$A691,元データ_14項目!$B$2:$B$1300,"本年",元データ_14項目!$C$2:$C$1300,N$5)</f>
        <v>6</v>
      </c>
      <c r="O691" s="26">
        <f t="shared" si="20"/>
        <v>100</v>
      </c>
      <c r="P691" s="26">
        <f>SUMIFS(INDEX(元データ_14項目!$D$2:$Q$1300,0,MATCH($B691,元データ_14項目!$D$1:$Q$1,0)),元データ_14項目!$A$2:$A$1300,$A691,元データ_14項目!$B$2:$B$1300,"前年")</f>
        <v>67</v>
      </c>
      <c r="Q691" s="7">
        <f t="shared" si="21"/>
        <v>1.4925373134328359</v>
      </c>
    </row>
    <row r="692" spans="1:17" x14ac:dyDescent="0.45">
      <c r="A692" t="s">
        <v>84</v>
      </c>
      <c r="B692" t="s">
        <v>27</v>
      </c>
      <c r="C692" s="26">
        <f>SUMIFS(INDEX(元データ_14項目!$D$2:$Q$1300,0,MATCH($B692,元データ_14項目!$D$1:$Q$1,0)),元データ_14項目!$A$2:$A$1300,$A692,元データ_14項目!$B$2:$B$1300,"本年",元データ_14項目!$C$2:$C$1300,C$5)</f>
        <v>660</v>
      </c>
      <c r="D692" s="26">
        <f>SUMIFS(INDEX(元データ_14項目!$D$2:$Q$1300,0,MATCH($B692,元データ_14項目!$D$1:$Q$1,0)),元データ_14項目!$A$2:$A$1300,$A692,元データ_14項目!$B$2:$B$1300,"本年",元データ_14項目!$C$2:$C$1300,D$5)</f>
        <v>816</v>
      </c>
      <c r="E692" s="26">
        <f>SUMIFS(INDEX(元データ_14項目!$D$2:$Q$1300,0,MATCH($B692,元データ_14項目!$D$1:$Q$1,0)),元データ_14項目!$A$2:$A$1300,$A692,元データ_14項目!$B$2:$B$1300,"本年",元データ_14項目!$C$2:$C$1300,E$5)</f>
        <v>930</v>
      </c>
      <c r="F692" s="26">
        <f>SUMIFS(INDEX(元データ_14項目!$D$2:$Q$1300,0,MATCH($B692,元データ_14項目!$D$1:$Q$1,0)),元データ_14項目!$A$2:$A$1300,$A692,元データ_14項目!$B$2:$B$1300,"本年",元データ_14項目!$C$2:$C$1300,F$5)</f>
        <v>889</v>
      </c>
      <c r="G692" s="26">
        <f>SUMIFS(INDEX(元データ_14項目!$D$2:$Q$1300,0,MATCH($B692,元データ_14項目!$D$1:$Q$1,0)),元データ_14項目!$A$2:$A$1300,$A692,元データ_14項目!$B$2:$B$1300,"本年",元データ_14項目!$C$2:$C$1300,G$5)</f>
        <v>867</v>
      </c>
      <c r="H692" s="26">
        <f>SUMIFS(INDEX(元データ_14項目!$D$2:$Q$1300,0,MATCH($B692,元データ_14項目!$D$1:$Q$1,0)),元データ_14項目!$A$2:$A$1300,$A692,元データ_14項目!$B$2:$B$1300,"本年",元データ_14項目!$C$2:$C$1300,H$5)</f>
        <v>741</v>
      </c>
      <c r="I692" s="26">
        <f>SUMIFS(INDEX(元データ_14項目!$D$2:$Q$1300,0,MATCH($B692,元データ_14項目!$D$1:$Q$1,0)),元データ_14項目!$A$2:$A$1300,$A692,元データ_14項目!$B$2:$B$1300,"本年",元データ_14項目!$C$2:$C$1300,I$5)</f>
        <v>757</v>
      </c>
      <c r="J692" s="26">
        <f>SUMIFS(INDEX(元データ_14項目!$D$2:$Q$1300,0,MATCH($B692,元データ_14項目!$D$1:$Q$1,0)),元データ_14項目!$A$2:$A$1300,$A692,元データ_14項目!$B$2:$B$1300,"本年",元データ_14項目!$C$2:$C$1300,J$5)</f>
        <v>887</v>
      </c>
      <c r="K692" s="26">
        <f>SUMIFS(INDEX(元データ_14項目!$D$2:$Q$1300,0,MATCH($B692,元データ_14項目!$D$1:$Q$1,0)),元データ_14項目!$A$2:$A$1300,$A692,元データ_14項目!$B$2:$B$1300,"本年",元データ_14項目!$C$2:$C$1300,K$5)</f>
        <v>885</v>
      </c>
      <c r="L692" s="26">
        <f>SUMIFS(INDEX(元データ_14項目!$D$2:$Q$1300,0,MATCH($B692,元データ_14項目!$D$1:$Q$1,0)),元データ_14項目!$A$2:$A$1300,$A692,元データ_14項目!$B$2:$B$1300,"本年",元データ_14項目!$C$2:$C$1300,L$5)</f>
        <v>842</v>
      </c>
      <c r="M692" s="26">
        <f>SUMIFS(INDEX(元データ_14項目!$D$2:$Q$1300,0,MATCH($B692,元データ_14項目!$D$1:$Q$1,0)),元データ_14項目!$A$2:$A$1300,$A692,元データ_14項目!$B$2:$B$1300,"本年",元データ_14項目!$C$2:$C$1300,M$5)</f>
        <v>911</v>
      </c>
      <c r="N692" s="26">
        <f>SUMIFS(INDEX(元データ_14項目!$D$2:$Q$1300,0,MATCH($B692,元データ_14項目!$D$1:$Q$1,0)),元データ_14項目!$A$2:$A$1300,$A692,元データ_14項目!$B$2:$B$1300,"本年",元データ_14項目!$C$2:$C$1300,N$5)</f>
        <v>835</v>
      </c>
      <c r="O692" s="26">
        <f t="shared" si="20"/>
        <v>10020</v>
      </c>
      <c r="P692" s="26">
        <f>SUMIFS(INDEX(元データ_14項目!$D$2:$Q$1300,0,MATCH($B692,元データ_14項目!$D$1:$Q$1,0)),元データ_14項目!$A$2:$A$1300,$A692,元データ_14項目!$B$2:$B$1300,"前年")</f>
        <v>10294</v>
      </c>
      <c r="Q692" s="7">
        <f t="shared" si="21"/>
        <v>0.97338255294346221</v>
      </c>
    </row>
    <row r="693" spans="1:17" x14ac:dyDescent="0.45">
      <c r="A693" t="s">
        <v>84</v>
      </c>
      <c r="B693" t="s">
        <v>88</v>
      </c>
      <c r="C693" s="26">
        <f>SUMIFS(INDEX(元データ_14項目!$D$2:$Q$1300,0,MATCH($B693,元データ_14項目!$D$1:$Q$1,0)),元データ_14項目!$A$2:$A$1300,$A693,元データ_14項目!$B$2:$B$1300,"本年",元データ_14項目!$C$2:$C$1300,C$5)</f>
        <v>37</v>
      </c>
      <c r="D693" s="26">
        <f>SUMIFS(INDEX(元データ_14項目!$D$2:$Q$1300,0,MATCH($B693,元データ_14項目!$D$1:$Q$1,0)),元データ_14項目!$A$2:$A$1300,$A693,元データ_14項目!$B$2:$B$1300,"本年",元データ_14項目!$C$2:$C$1300,D$5)</f>
        <v>40</v>
      </c>
      <c r="E693" s="26">
        <f>SUMIFS(INDEX(元データ_14項目!$D$2:$Q$1300,0,MATCH($B693,元データ_14項目!$D$1:$Q$1,0)),元データ_14項目!$A$2:$A$1300,$A693,元データ_14項目!$B$2:$B$1300,"本年",元データ_14項目!$C$2:$C$1300,E$5)</f>
        <v>59</v>
      </c>
      <c r="F693" s="26">
        <f>SUMIFS(INDEX(元データ_14項目!$D$2:$Q$1300,0,MATCH($B693,元データ_14項目!$D$1:$Q$1,0)),元データ_14項目!$A$2:$A$1300,$A693,元データ_14項目!$B$2:$B$1300,"本年",元データ_14項目!$C$2:$C$1300,F$5)</f>
        <v>72</v>
      </c>
      <c r="G693" s="26">
        <f>SUMIFS(INDEX(元データ_14項目!$D$2:$Q$1300,0,MATCH($B693,元データ_14項目!$D$1:$Q$1,0)),元データ_14項目!$A$2:$A$1300,$A693,元データ_14項目!$B$2:$B$1300,"本年",元データ_14項目!$C$2:$C$1300,G$5)</f>
        <v>58</v>
      </c>
      <c r="H693" s="26">
        <f>SUMIFS(INDEX(元データ_14項目!$D$2:$Q$1300,0,MATCH($B693,元データ_14項目!$D$1:$Q$1,0)),元データ_14項目!$A$2:$A$1300,$A693,元データ_14項目!$B$2:$B$1300,"本年",元データ_14項目!$C$2:$C$1300,H$5)</f>
        <v>20</v>
      </c>
      <c r="I693" s="26">
        <f>SUMIFS(INDEX(元データ_14項目!$D$2:$Q$1300,0,MATCH($B693,元データ_14項目!$D$1:$Q$1,0)),元データ_14項目!$A$2:$A$1300,$A693,元データ_14項目!$B$2:$B$1300,"本年",元データ_14項目!$C$2:$C$1300,I$5)</f>
        <v>21</v>
      </c>
      <c r="J693" s="26">
        <f>SUMIFS(INDEX(元データ_14項目!$D$2:$Q$1300,0,MATCH($B693,元データ_14項目!$D$1:$Q$1,0)),元データ_14項目!$A$2:$A$1300,$A693,元データ_14項目!$B$2:$B$1300,"本年",元データ_14項目!$C$2:$C$1300,J$5)</f>
        <v>40</v>
      </c>
      <c r="K693" s="26">
        <f>SUMIFS(INDEX(元データ_14項目!$D$2:$Q$1300,0,MATCH($B693,元データ_14項目!$D$1:$Q$1,0)),元データ_14項目!$A$2:$A$1300,$A693,元データ_14項目!$B$2:$B$1300,"本年",元データ_14項目!$C$2:$C$1300,K$5)</f>
        <v>61</v>
      </c>
      <c r="L693" s="26">
        <f>SUMIFS(INDEX(元データ_14項目!$D$2:$Q$1300,0,MATCH($B693,元データ_14項目!$D$1:$Q$1,0)),元データ_14項目!$A$2:$A$1300,$A693,元データ_14項目!$B$2:$B$1300,"本年",元データ_14項目!$C$2:$C$1300,L$5)</f>
        <v>53</v>
      </c>
      <c r="M693" s="26">
        <f>SUMIFS(INDEX(元データ_14項目!$D$2:$Q$1300,0,MATCH($B693,元データ_14項目!$D$1:$Q$1,0)),元データ_14項目!$A$2:$A$1300,$A693,元データ_14項目!$B$2:$B$1300,"本年",元データ_14項目!$C$2:$C$1300,M$5)</f>
        <v>85</v>
      </c>
      <c r="N693" s="26">
        <f>SUMIFS(INDEX(元データ_14項目!$D$2:$Q$1300,0,MATCH($B693,元データ_14項目!$D$1:$Q$1,0)),元データ_14項目!$A$2:$A$1300,$A693,元データ_14項目!$B$2:$B$1300,"本年",元データ_14項目!$C$2:$C$1300,N$5)</f>
        <v>26</v>
      </c>
      <c r="O693" s="26">
        <f t="shared" si="20"/>
        <v>572</v>
      </c>
      <c r="P693" s="26">
        <f>SUMIFS(INDEX(元データ_14項目!$D$2:$Q$1300,0,MATCH($B693,元データ_14項目!$D$1:$Q$1,0)),元データ_14項目!$A$2:$A$1300,$A693,元データ_14項目!$B$2:$B$1300,"前年")</f>
        <v>566</v>
      </c>
      <c r="Q693" s="7">
        <f t="shared" si="21"/>
        <v>1.010600706713781</v>
      </c>
    </row>
    <row r="694" spans="1:17" x14ac:dyDescent="0.45">
      <c r="A694" t="s">
        <v>84</v>
      </c>
      <c r="B694" t="s">
        <v>89</v>
      </c>
      <c r="C694" s="26">
        <f>SUMIFS(INDEX(元データ_14項目!$D$2:$Q$1300,0,MATCH($B694,元データ_14項目!$D$1:$Q$1,0)),元データ_14項目!$A$2:$A$1300,$A694,元データ_14項目!$B$2:$B$1300,"本年",元データ_14項目!$C$2:$C$1300,C$5)</f>
        <v>39</v>
      </c>
      <c r="D694" s="26">
        <f>SUMIFS(INDEX(元データ_14項目!$D$2:$Q$1300,0,MATCH($B694,元データ_14項目!$D$1:$Q$1,0)),元データ_14項目!$A$2:$A$1300,$A694,元データ_14項目!$B$2:$B$1300,"本年",元データ_14項目!$C$2:$C$1300,D$5)</f>
        <v>32</v>
      </c>
      <c r="E694" s="26">
        <f>SUMIFS(INDEX(元データ_14項目!$D$2:$Q$1300,0,MATCH($B694,元データ_14項目!$D$1:$Q$1,0)),元データ_14項目!$A$2:$A$1300,$A694,元データ_14項目!$B$2:$B$1300,"本年",元データ_14項目!$C$2:$C$1300,E$5)</f>
        <v>71</v>
      </c>
      <c r="F694" s="26">
        <f>SUMIFS(INDEX(元データ_14項目!$D$2:$Q$1300,0,MATCH($B694,元データ_14項目!$D$1:$Q$1,0)),元データ_14項目!$A$2:$A$1300,$A694,元データ_14項目!$B$2:$B$1300,"本年",元データ_14項目!$C$2:$C$1300,F$5)</f>
        <v>53</v>
      </c>
      <c r="G694" s="26">
        <f>SUMIFS(INDEX(元データ_14項目!$D$2:$Q$1300,0,MATCH($B694,元データ_14項目!$D$1:$Q$1,0)),元データ_14項目!$A$2:$A$1300,$A694,元データ_14項目!$B$2:$B$1300,"本年",元データ_14項目!$C$2:$C$1300,G$5)</f>
        <v>23</v>
      </c>
      <c r="H694" s="26">
        <f>SUMIFS(INDEX(元データ_14項目!$D$2:$Q$1300,0,MATCH($B694,元データ_14項目!$D$1:$Q$1,0)),元データ_14項目!$A$2:$A$1300,$A694,元データ_14項目!$B$2:$B$1300,"本年",元データ_14項目!$C$2:$C$1300,H$5)</f>
        <v>18</v>
      </c>
      <c r="I694" s="26">
        <f>SUMIFS(INDEX(元データ_14項目!$D$2:$Q$1300,0,MATCH($B694,元データ_14項目!$D$1:$Q$1,0)),元データ_14項目!$A$2:$A$1300,$A694,元データ_14項目!$B$2:$B$1300,"本年",元データ_14項目!$C$2:$C$1300,I$5)</f>
        <v>13</v>
      </c>
      <c r="J694" s="26">
        <f>SUMIFS(INDEX(元データ_14項目!$D$2:$Q$1300,0,MATCH($B694,元データ_14項目!$D$1:$Q$1,0)),元データ_14項目!$A$2:$A$1300,$A694,元データ_14項目!$B$2:$B$1300,"本年",元データ_14項目!$C$2:$C$1300,J$5)</f>
        <v>27</v>
      </c>
      <c r="K694" s="26">
        <f>SUMIFS(INDEX(元データ_14項目!$D$2:$Q$1300,0,MATCH($B694,元データ_14項目!$D$1:$Q$1,0)),元データ_14項目!$A$2:$A$1300,$A694,元データ_14項目!$B$2:$B$1300,"本年",元データ_14項目!$C$2:$C$1300,K$5)</f>
        <v>42</v>
      </c>
      <c r="L694" s="26">
        <f>SUMIFS(INDEX(元データ_14項目!$D$2:$Q$1300,0,MATCH($B694,元データ_14項目!$D$1:$Q$1,0)),元データ_14項目!$A$2:$A$1300,$A694,元データ_14項目!$B$2:$B$1300,"本年",元データ_14項目!$C$2:$C$1300,L$5)</f>
        <v>53</v>
      </c>
      <c r="M694" s="26">
        <f>SUMIFS(INDEX(元データ_14項目!$D$2:$Q$1300,0,MATCH($B694,元データ_14項目!$D$1:$Q$1,0)),元データ_14項目!$A$2:$A$1300,$A694,元データ_14項目!$B$2:$B$1300,"本年",元データ_14項目!$C$2:$C$1300,M$5)</f>
        <v>26</v>
      </c>
      <c r="N694" s="26">
        <f>SUMIFS(INDEX(元データ_14項目!$D$2:$Q$1300,0,MATCH($B694,元データ_14項目!$D$1:$Q$1,0)),元データ_14項目!$A$2:$A$1300,$A694,元データ_14項目!$B$2:$B$1300,"本年",元データ_14項目!$C$2:$C$1300,N$5)</f>
        <v>47</v>
      </c>
      <c r="O694" s="26">
        <f t="shared" si="20"/>
        <v>444</v>
      </c>
      <c r="P694" s="26">
        <f>SUMIFS(INDEX(元データ_14項目!$D$2:$Q$1300,0,MATCH($B694,元データ_14項目!$D$1:$Q$1,0)),元データ_14項目!$A$2:$A$1300,$A694,元データ_14項目!$B$2:$B$1300,"前年")</f>
        <v>480</v>
      </c>
      <c r="Q694" s="7">
        <f t="shared" si="21"/>
        <v>0.92500000000000004</v>
      </c>
    </row>
    <row r="695" spans="1:17" x14ac:dyDescent="0.45">
      <c r="A695" t="s">
        <v>84</v>
      </c>
      <c r="B695" t="s">
        <v>90</v>
      </c>
      <c r="C695" s="26">
        <f>SUMIFS(INDEX(元データ_14項目!$D$2:$Q$1300,0,MATCH($B695,元データ_14項目!$D$1:$Q$1,0)),元データ_14項目!$A$2:$A$1300,$A695,元データ_14項目!$B$2:$B$1300,"本年",元データ_14項目!$C$2:$C$1300,C$5)</f>
        <v>40</v>
      </c>
      <c r="D695" s="26">
        <f>SUMIFS(INDEX(元データ_14項目!$D$2:$Q$1300,0,MATCH($B695,元データ_14項目!$D$1:$Q$1,0)),元データ_14項目!$A$2:$A$1300,$A695,元データ_14項目!$B$2:$B$1300,"本年",元データ_14項目!$C$2:$C$1300,D$5)</f>
        <v>35</v>
      </c>
      <c r="E695" s="26">
        <f>SUMIFS(INDEX(元データ_14項目!$D$2:$Q$1300,0,MATCH($B695,元データ_14項目!$D$1:$Q$1,0)),元データ_14項目!$A$2:$A$1300,$A695,元データ_14項目!$B$2:$B$1300,"本年",元データ_14項目!$C$2:$C$1300,E$5)</f>
        <v>33</v>
      </c>
      <c r="F695" s="26">
        <f>SUMIFS(INDEX(元データ_14項目!$D$2:$Q$1300,0,MATCH($B695,元データ_14項目!$D$1:$Q$1,0)),元データ_14項目!$A$2:$A$1300,$A695,元データ_14項目!$B$2:$B$1300,"本年",元データ_14項目!$C$2:$C$1300,F$5)</f>
        <v>66</v>
      </c>
      <c r="G695" s="26">
        <f>SUMIFS(INDEX(元データ_14項目!$D$2:$Q$1300,0,MATCH($B695,元データ_14項目!$D$1:$Q$1,0)),元データ_14項目!$A$2:$A$1300,$A695,元データ_14項目!$B$2:$B$1300,"本年",元データ_14項目!$C$2:$C$1300,G$5)</f>
        <v>143</v>
      </c>
      <c r="H695" s="26">
        <f>SUMIFS(INDEX(元データ_14項目!$D$2:$Q$1300,0,MATCH($B695,元データ_14項目!$D$1:$Q$1,0)),元データ_14項目!$A$2:$A$1300,$A695,元データ_14項目!$B$2:$B$1300,"本年",元データ_14項目!$C$2:$C$1300,H$5)</f>
        <v>95</v>
      </c>
      <c r="I695" s="26">
        <f>SUMIFS(INDEX(元データ_14項目!$D$2:$Q$1300,0,MATCH($B695,元データ_14項目!$D$1:$Q$1,0)),元データ_14項目!$A$2:$A$1300,$A695,元データ_14項目!$B$2:$B$1300,"本年",元データ_14項目!$C$2:$C$1300,I$5)</f>
        <v>57</v>
      </c>
      <c r="J695" s="26">
        <f>SUMIFS(INDEX(元データ_14項目!$D$2:$Q$1300,0,MATCH($B695,元データ_14項目!$D$1:$Q$1,0)),元データ_14項目!$A$2:$A$1300,$A695,元データ_14項目!$B$2:$B$1300,"本年",元データ_14項目!$C$2:$C$1300,J$5)</f>
        <v>116</v>
      </c>
      <c r="K695" s="26">
        <f>SUMIFS(INDEX(元データ_14項目!$D$2:$Q$1300,0,MATCH($B695,元データ_14項目!$D$1:$Q$1,0)),元データ_14項目!$A$2:$A$1300,$A695,元データ_14項目!$B$2:$B$1300,"本年",元データ_14項目!$C$2:$C$1300,K$5)</f>
        <v>180</v>
      </c>
      <c r="L695" s="26">
        <f>SUMIFS(INDEX(元データ_14項目!$D$2:$Q$1300,0,MATCH($B695,元データ_14項目!$D$1:$Q$1,0)),元データ_14項目!$A$2:$A$1300,$A695,元データ_14項目!$B$2:$B$1300,"本年",元データ_14項目!$C$2:$C$1300,L$5)</f>
        <v>159</v>
      </c>
      <c r="M695" s="26">
        <f>SUMIFS(INDEX(元データ_14項目!$D$2:$Q$1300,0,MATCH($B695,元データ_14項目!$D$1:$Q$1,0)),元データ_14項目!$A$2:$A$1300,$A695,元データ_14項目!$B$2:$B$1300,"本年",元データ_14項目!$C$2:$C$1300,M$5)</f>
        <v>98</v>
      </c>
      <c r="N695" s="26">
        <f>SUMIFS(INDEX(元データ_14項目!$D$2:$Q$1300,0,MATCH($B695,元データ_14項目!$D$1:$Q$1,0)),元データ_14項目!$A$2:$A$1300,$A695,元データ_14項目!$B$2:$B$1300,"本年",元データ_14項目!$C$2:$C$1300,N$5)</f>
        <v>71</v>
      </c>
      <c r="O695" s="26">
        <f t="shared" si="20"/>
        <v>1093</v>
      </c>
      <c r="P695" s="26">
        <f>SUMIFS(INDEX(元データ_14項目!$D$2:$Q$1300,0,MATCH($B695,元データ_14項目!$D$1:$Q$1,0)),元データ_14項目!$A$2:$A$1300,$A695,元データ_14項目!$B$2:$B$1300,"前年")</f>
        <v>1140</v>
      </c>
      <c r="Q695" s="7">
        <f t="shared" si="21"/>
        <v>0.95877192982456139</v>
      </c>
    </row>
    <row r="696" spans="1:17" x14ac:dyDescent="0.45">
      <c r="A696" t="s">
        <v>84</v>
      </c>
      <c r="B696" t="s">
        <v>91</v>
      </c>
      <c r="C696" s="26">
        <f>SUMIFS(INDEX(元データ_14項目!$D$2:$Q$1300,0,MATCH($B696,元データ_14項目!$D$1:$Q$1,0)),元データ_14項目!$A$2:$A$1300,$A696,元データ_14項目!$B$2:$B$1300,"本年",元データ_14項目!$C$2:$C$1300,C$5)</f>
        <v>23</v>
      </c>
      <c r="D696" s="26">
        <f>SUMIFS(INDEX(元データ_14項目!$D$2:$Q$1300,0,MATCH($B696,元データ_14項目!$D$1:$Q$1,0)),元データ_14項目!$A$2:$A$1300,$A696,元データ_14項目!$B$2:$B$1300,"本年",元データ_14項目!$C$2:$C$1300,D$5)</f>
        <v>36</v>
      </c>
      <c r="E696" s="26">
        <f>SUMIFS(INDEX(元データ_14項目!$D$2:$Q$1300,0,MATCH($B696,元データ_14項目!$D$1:$Q$1,0)),元データ_14項目!$A$2:$A$1300,$A696,元データ_14項目!$B$2:$B$1300,"本年",元データ_14項目!$C$2:$C$1300,E$5)</f>
        <v>60</v>
      </c>
      <c r="F696" s="26">
        <f>SUMIFS(INDEX(元データ_14項目!$D$2:$Q$1300,0,MATCH($B696,元データ_14項目!$D$1:$Q$1,0)),元データ_14項目!$A$2:$A$1300,$A696,元データ_14項目!$B$2:$B$1300,"本年",元データ_14項目!$C$2:$C$1300,F$5)</f>
        <v>69</v>
      </c>
      <c r="G696" s="26">
        <f>SUMIFS(INDEX(元データ_14項目!$D$2:$Q$1300,0,MATCH($B696,元データ_14項目!$D$1:$Q$1,0)),元データ_14項目!$A$2:$A$1300,$A696,元データ_14項目!$B$2:$B$1300,"本年",元データ_14項目!$C$2:$C$1300,G$5)</f>
        <v>30</v>
      </c>
      <c r="H696" s="26">
        <f>SUMIFS(INDEX(元データ_14項目!$D$2:$Q$1300,0,MATCH($B696,元データ_14項目!$D$1:$Q$1,0)),元データ_14項目!$A$2:$A$1300,$A696,元データ_14項目!$B$2:$B$1300,"本年",元データ_14項目!$C$2:$C$1300,H$5)</f>
        <v>6</v>
      </c>
      <c r="I696" s="26">
        <f>SUMIFS(INDEX(元データ_14項目!$D$2:$Q$1300,0,MATCH($B696,元データ_14項目!$D$1:$Q$1,0)),元データ_14項目!$A$2:$A$1300,$A696,元データ_14項目!$B$2:$B$1300,"本年",元データ_14項目!$C$2:$C$1300,I$5)</f>
        <v>25</v>
      </c>
      <c r="J696" s="26">
        <f>SUMIFS(INDEX(元データ_14項目!$D$2:$Q$1300,0,MATCH($B696,元データ_14項目!$D$1:$Q$1,0)),元データ_14項目!$A$2:$A$1300,$A696,元データ_14項目!$B$2:$B$1300,"本年",元データ_14項目!$C$2:$C$1300,J$5)</f>
        <v>7</v>
      </c>
      <c r="K696" s="26">
        <f>SUMIFS(INDEX(元データ_14項目!$D$2:$Q$1300,0,MATCH($B696,元データ_14項目!$D$1:$Q$1,0)),元データ_14項目!$A$2:$A$1300,$A696,元データ_14項目!$B$2:$B$1300,"本年",元データ_14項目!$C$2:$C$1300,K$5)</f>
        <v>17</v>
      </c>
      <c r="L696" s="26">
        <f>SUMIFS(INDEX(元データ_14項目!$D$2:$Q$1300,0,MATCH($B696,元データ_14項目!$D$1:$Q$1,0)),元データ_14項目!$A$2:$A$1300,$A696,元データ_14項目!$B$2:$B$1300,"本年",元データ_14項目!$C$2:$C$1300,L$5)</f>
        <v>46</v>
      </c>
      <c r="M696" s="26">
        <f>SUMIFS(INDEX(元データ_14項目!$D$2:$Q$1300,0,MATCH($B696,元データ_14項目!$D$1:$Q$1,0)),元データ_14項目!$A$2:$A$1300,$A696,元データ_14項目!$B$2:$B$1300,"本年",元データ_14項目!$C$2:$C$1300,M$5)</f>
        <v>33</v>
      </c>
      <c r="N696" s="26">
        <f>SUMIFS(INDEX(元データ_14項目!$D$2:$Q$1300,0,MATCH($B696,元データ_14項目!$D$1:$Q$1,0)),元データ_14項目!$A$2:$A$1300,$A696,元データ_14項目!$B$2:$B$1300,"本年",元データ_14項目!$C$2:$C$1300,N$5)</f>
        <v>23</v>
      </c>
      <c r="O696" s="26">
        <f t="shared" si="20"/>
        <v>375</v>
      </c>
      <c r="P696" s="26">
        <f>SUMIFS(INDEX(元データ_14項目!$D$2:$Q$1300,0,MATCH($B696,元データ_14項目!$D$1:$Q$1,0)),元データ_14項目!$A$2:$A$1300,$A696,元データ_14項目!$B$2:$B$1300,"前年")</f>
        <v>318</v>
      </c>
      <c r="Q696" s="7">
        <f t="shared" si="21"/>
        <v>1.179245283018868</v>
      </c>
    </row>
    <row r="697" spans="1:17" x14ac:dyDescent="0.45">
      <c r="A697" t="s">
        <v>84</v>
      </c>
      <c r="B697" t="s">
        <v>28</v>
      </c>
      <c r="C697" s="26">
        <f>SUMIFS(INDEX(元データ_14項目!$D$2:$Q$1300,0,MATCH($B697,元データ_14項目!$D$1:$Q$1,0)),元データ_14項目!$A$2:$A$1300,$A697,元データ_14項目!$B$2:$B$1300,"本年",元データ_14項目!$C$2:$C$1300,C$5)</f>
        <v>177</v>
      </c>
      <c r="D697" s="26">
        <f>SUMIFS(INDEX(元データ_14項目!$D$2:$Q$1300,0,MATCH($B697,元データ_14項目!$D$1:$Q$1,0)),元データ_14項目!$A$2:$A$1300,$A697,元データ_14項目!$B$2:$B$1300,"本年",元データ_14項目!$C$2:$C$1300,D$5)</f>
        <v>173</v>
      </c>
      <c r="E697" s="26">
        <f>SUMIFS(INDEX(元データ_14項目!$D$2:$Q$1300,0,MATCH($B697,元データ_14項目!$D$1:$Q$1,0)),元データ_14項目!$A$2:$A$1300,$A697,元データ_14項目!$B$2:$B$1300,"本年",元データ_14項目!$C$2:$C$1300,E$5)</f>
        <v>258</v>
      </c>
      <c r="F697" s="26">
        <f>SUMIFS(INDEX(元データ_14項目!$D$2:$Q$1300,0,MATCH($B697,元データ_14項目!$D$1:$Q$1,0)),元データ_14項目!$A$2:$A$1300,$A697,元データ_14項目!$B$2:$B$1300,"本年",元データ_14項目!$C$2:$C$1300,F$5)</f>
        <v>290</v>
      </c>
      <c r="G697" s="26">
        <f>SUMIFS(INDEX(元データ_14項目!$D$2:$Q$1300,0,MATCH($B697,元データ_14項目!$D$1:$Q$1,0)),元データ_14項目!$A$2:$A$1300,$A697,元データ_14項目!$B$2:$B$1300,"本年",元データ_14項目!$C$2:$C$1300,G$5)</f>
        <v>215</v>
      </c>
      <c r="H697" s="26">
        <f>SUMIFS(INDEX(元データ_14項目!$D$2:$Q$1300,0,MATCH($B697,元データ_14項目!$D$1:$Q$1,0)),元データ_14項目!$A$2:$A$1300,$A697,元データ_14項目!$B$2:$B$1300,"本年",元データ_14項目!$C$2:$C$1300,H$5)</f>
        <v>104</v>
      </c>
      <c r="I697" s="26">
        <f>SUMIFS(INDEX(元データ_14項目!$D$2:$Q$1300,0,MATCH($B697,元データ_14項目!$D$1:$Q$1,0)),元データ_14項目!$A$2:$A$1300,$A697,元データ_14項目!$B$2:$B$1300,"本年",元データ_14項目!$C$2:$C$1300,I$5)</f>
        <v>120</v>
      </c>
      <c r="J697" s="26">
        <f>SUMIFS(INDEX(元データ_14項目!$D$2:$Q$1300,0,MATCH($B697,元データ_14項目!$D$1:$Q$1,0)),元データ_14項目!$A$2:$A$1300,$A697,元データ_14項目!$B$2:$B$1300,"本年",元データ_14項目!$C$2:$C$1300,J$5)</f>
        <v>123</v>
      </c>
      <c r="K697" s="26">
        <f>SUMIFS(INDEX(元データ_14項目!$D$2:$Q$1300,0,MATCH($B697,元データ_14項目!$D$1:$Q$1,0)),元データ_14項目!$A$2:$A$1300,$A697,元データ_14項目!$B$2:$B$1300,"本年",元データ_14項目!$C$2:$C$1300,K$5)</f>
        <v>177</v>
      </c>
      <c r="L697" s="26">
        <f>SUMIFS(INDEX(元データ_14項目!$D$2:$Q$1300,0,MATCH($B697,元データ_14項目!$D$1:$Q$1,0)),元データ_14項目!$A$2:$A$1300,$A697,元データ_14項目!$B$2:$B$1300,"本年",元データ_14項目!$C$2:$C$1300,L$5)</f>
        <v>225</v>
      </c>
      <c r="M697" s="26">
        <f>SUMIFS(INDEX(元データ_14項目!$D$2:$Q$1300,0,MATCH($B697,元データ_14項目!$D$1:$Q$1,0)),元データ_14項目!$A$2:$A$1300,$A697,元データ_14項目!$B$2:$B$1300,"本年",元データ_14項目!$C$2:$C$1300,M$5)</f>
        <v>191</v>
      </c>
      <c r="N697" s="26">
        <f>SUMIFS(INDEX(元データ_14項目!$D$2:$Q$1300,0,MATCH($B697,元データ_14項目!$D$1:$Q$1,0)),元データ_14項目!$A$2:$A$1300,$A697,元データ_14項目!$B$2:$B$1300,"本年",元データ_14項目!$C$2:$C$1300,N$5)</f>
        <v>206</v>
      </c>
      <c r="O697" s="26">
        <f t="shared" si="20"/>
        <v>2259</v>
      </c>
      <c r="P697" s="26">
        <f>SUMIFS(INDEX(元データ_14項目!$D$2:$Q$1300,0,MATCH($B697,元データ_14項目!$D$1:$Q$1,0)),元データ_14項目!$A$2:$A$1300,$A697,元データ_14項目!$B$2:$B$1300,"前年")</f>
        <v>2455</v>
      </c>
      <c r="Q697" s="7">
        <f t="shared" si="21"/>
        <v>0.92016293279022399</v>
      </c>
    </row>
    <row r="698" spans="1:17" x14ac:dyDescent="0.45">
      <c r="A698" t="s">
        <v>84</v>
      </c>
      <c r="B698" t="s">
        <v>92</v>
      </c>
      <c r="C698" s="26">
        <f>SUMIFS(INDEX(元データ_14項目!$D$2:$Q$1300,0,MATCH($B698,元データ_14項目!$D$1:$Q$1,0)),元データ_14項目!$A$2:$A$1300,$A698,元データ_14項目!$B$2:$B$1300,"本年",元データ_14項目!$C$2:$C$1300,C$5)</f>
        <v>17</v>
      </c>
      <c r="D698" s="26">
        <f>SUMIFS(INDEX(元データ_14項目!$D$2:$Q$1300,0,MATCH($B698,元データ_14項目!$D$1:$Q$1,0)),元データ_14項目!$A$2:$A$1300,$A698,元データ_14項目!$B$2:$B$1300,"本年",元データ_14項目!$C$2:$C$1300,D$5)</f>
        <v>21</v>
      </c>
      <c r="E698" s="26">
        <f>SUMIFS(INDEX(元データ_14項目!$D$2:$Q$1300,0,MATCH($B698,元データ_14項目!$D$1:$Q$1,0)),元データ_14項目!$A$2:$A$1300,$A698,元データ_14項目!$B$2:$B$1300,"本年",元データ_14項目!$C$2:$C$1300,E$5)</f>
        <v>24</v>
      </c>
      <c r="F698" s="26">
        <f>SUMIFS(INDEX(元データ_14項目!$D$2:$Q$1300,0,MATCH($B698,元データ_14項目!$D$1:$Q$1,0)),元データ_14項目!$A$2:$A$1300,$A698,元データ_14項目!$B$2:$B$1300,"本年",元データ_14項目!$C$2:$C$1300,F$5)</f>
        <v>37</v>
      </c>
      <c r="G698" s="26">
        <f>SUMIFS(INDEX(元データ_14項目!$D$2:$Q$1300,0,MATCH($B698,元データ_14項目!$D$1:$Q$1,0)),元データ_14項目!$A$2:$A$1300,$A698,元データ_14項目!$B$2:$B$1300,"本年",元データ_14項目!$C$2:$C$1300,G$5)</f>
        <v>25</v>
      </c>
      <c r="H698" s="26">
        <f>SUMIFS(INDEX(元データ_14項目!$D$2:$Q$1300,0,MATCH($B698,元データ_14項目!$D$1:$Q$1,0)),元データ_14項目!$A$2:$A$1300,$A698,元データ_14項目!$B$2:$B$1300,"本年",元データ_14項目!$C$2:$C$1300,H$5)</f>
        <v>16</v>
      </c>
      <c r="I698" s="26">
        <f>SUMIFS(INDEX(元データ_14項目!$D$2:$Q$1300,0,MATCH($B698,元データ_14項目!$D$1:$Q$1,0)),元データ_14項目!$A$2:$A$1300,$A698,元データ_14項目!$B$2:$B$1300,"本年",元データ_14項目!$C$2:$C$1300,I$5)</f>
        <v>13</v>
      </c>
      <c r="J698" s="26">
        <f>SUMIFS(INDEX(元データ_14項目!$D$2:$Q$1300,0,MATCH($B698,元データ_14項目!$D$1:$Q$1,0)),元データ_14項目!$A$2:$A$1300,$A698,元データ_14項目!$B$2:$B$1300,"本年",元データ_14項目!$C$2:$C$1300,J$5)</f>
        <v>19</v>
      </c>
      <c r="K698" s="26">
        <f>SUMIFS(INDEX(元データ_14項目!$D$2:$Q$1300,0,MATCH($B698,元データ_14項目!$D$1:$Q$1,0)),元データ_14項目!$A$2:$A$1300,$A698,元データ_14項目!$B$2:$B$1300,"本年",元データ_14項目!$C$2:$C$1300,K$5)</f>
        <v>42</v>
      </c>
      <c r="L698" s="26">
        <f>SUMIFS(INDEX(元データ_14項目!$D$2:$Q$1300,0,MATCH($B698,元データ_14項目!$D$1:$Q$1,0)),元データ_14項目!$A$2:$A$1300,$A698,元データ_14項目!$B$2:$B$1300,"本年",元データ_14項目!$C$2:$C$1300,L$5)</f>
        <v>43</v>
      </c>
      <c r="M698" s="26">
        <f>SUMIFS(INDEX(元データ_14項目!$D$2:$Q$1300,0,MATCH($B698,元データ_14項目!$D$1:$Q$1,0)),元データ_14項目!$A$2:$A$1300,$A698,元データ_14項目!$B$2:$B$1300,"本年",元データ_14項目!$C$2:$C$1300,M$5)</f>
        <v>25</v>
      </c>
      <c r="N698" s="26">
        <f>SUMIFS(INDEX(元データ_14項目!$D$2:$Q$1300,0,MATCH($B698,元データ_14項目!$D$1:$Q$1,0)),元データ_14項目!$A$2:$A$1300,$A698,元データ_14項目!$B$2:$B$1300,"本年",元データ_14項目!$C$2:$C$1300,N$5)</f>
        <v>20</v>
      </c>
      <c r="O698" s="26">
        <f t="shared" si="20"/>
        <v>302</v>
      </c>
      <c r="P698" s="26">
        <f>SUMIFS(INDEX(元データ_14項目!$D$2:$Q$1300,0,MATCH($B698,元データ_14項目!$D$1:$Q$1,0)),元データ_14項目!$A$2:$A$1300,$A698,元データ_14項目!$B$2:$B$1300,"前年")</f>
        <v>295</v>
      </c>
      <c r="Q698" s="7">
        <f t="shared" si="21"/>
        <v>1.0237288135593221</v>
      </c>
    </row>
    <row r="699" spans="1:17" x14ac:dyDescent="0.45">
      <c r="A699" t="s">
        <v>84</v>
      </c>
      <c r="B699" t="s">
        <v>93</v>
      </c>
      <c r="C699" s="26">
        <f>SUMIFS(INDEX(元データ_14項目!$D$2:$Q$1300,0,MATCH($B699,元データ_14項目!$D$1:$Q$1,0)),元データ_14項目!$A$2:$A$1300,$A699,元データ_14項目!$B$2:$B$1300,"本年",元データ_14項目!$C$2:$C$1300,C$5)</f>
        <v>26</v>
      </c>
      <c r="D699" s="26">
        <f>SUMIFS(INDEX(元データ_14項目!$D$2:$Q$1300,0,MATCH($B699,元データ_14項目!$D$1:$Q$1,0)),元データ_14項目!$A$2:$A$1300,$A699,元データ_14項目!$B$2:$B$1300,"本年",元データ_14項目!$C$2:$C$1300,D$5)</f>
        <v>10</v>
      </c>
      <c r="E699" s="26">
        <f>SUMIFS(INDEX(元データ_14項目!$D$2:$Q$1300,0,MATCH($B699,元データ_14項目!$D$1:$Q$1,0)),元データ_14項目!$A$2:$A$1300,$A699,元データ_14項目!$B$2:$B$1300,"本年",元データ_14項目!$C$2:$C$1300,E$5)</f>
        <v>28</v>
      </c>
      <c r="F699" s="26">
        <f>SUMIFS(INDEX(元データ_14項目!$D$2:$Q$1300,0,MATCH($B699,元データ_14項目!$D$1:$Q$1,0)),元データ_14項目!$A$2:$A$1300,$A699,元データ_14項目!$B$2:$B$1300,"本年",元データ_14項目!$C$2:$C$1300,F$5)</f>
        <v>56</v>
      </c>
      <c r="G699" s="26">
        <f>SUMIFS(INDEX(元データ_14項目!$D$2:$Q$1300,0,MATCH($B699,元データ_14項目!$D$1:$Q$1,0)),元データ_14項目!$A$2:$A$1300,$A699,元データ_14項目!$B$2:$B$1300,"本年",元データ_14項目!$C$2:$C$1300,G$5)</f>
        <v>86</v>
      </c>
      <c r="H699" s="26">
        <f>SUMIFS(INDEX(元データ_14項目!$D$2:$Q$1300,0,MATCH($B699,元データ_14項目!$D$1:$Q$1,0)),元データ_14項目!$A$2:$A$1300,$A699,元データ_14項目!$B$2:$B$1300,"本年",元データ_14項目!$C$2:$C$1300,H$5)</f>
        <v>81</v>
      </c>
      <c r="I699" s="26">
        <f>SUMIFS(INDEX(元データ_14項目!$D$2:$Q$1300,0,MATCH($B699,元データ_14項目!$D$1:$Q$1,0)),元データ_14項目!$A$2:$A$1300,$A699,元データ_14項目!$B$2:$B$1300,"本年",元データ_14項目!$C$2:$C$1300,I$5)</f>
        <v>58</v>
      </c>
      <c r="J699" s="26">
        <f>SUMIFS(INDEX(元データ_14項目!$D$2:$Q$1300,0,MATCH($B699,元データ_14項目!$D$1:$Q$1,0)),元データ_14項目!$A$2:$A$1300,$A699,元データ_14項目!$B$2:$B$1300,"本年",元データ_14項目!$C$2:$C$1300,J$5)</f>
        <v>126</v>
      </c>
      <c r="K699" s="26">
        <f>SUMIFS(INDEX(元データ_14項目!$D$2:$Q$1300,0,MATCH($B699,元データ_14項目!$D$1:$Q$1,0)),元データ_14項目!$A$2:$A$1300,$A699,元データ_14項目!$B$2:$B$1300,"本年",元データ_14項目!$C$2:$C$1300,K$5)</f>
        <v>299</v>
      </c>
      <c r="L699" s="26">
        <f>SUMIFS(INDEX(元データ_14項目!$D$2:$Q$1300,0,MATCH($B699,元データ_14項目!$D$1:$Q$1,0)),元データ_14項目!$A$2:$A$1300,$A699,元データ_14項目!$B$2:$B$1300,"本年",元データ_14項目!$C$2:$C$1300,L$5)</f>
        <v>165</v>
      </c>
      <c r="M699" s="26">
        <f>SUMIFS(INDEX(元データ_14項目!$D$2:$Q$1300,0,MATCH($B699,元データ_14項目!$D$1:$Q$1,0)),元データ_14項目!$A$2:$A$1300,$A699,元データ_14項目!$B$2:$B$1300,"本年",元データ_14項目!$C$2:$C$1300,M$5)</f>
        <v>74</v>
      </c>
      <c r="N699" s="26">
        <f>SUMIFS(INDEX(元データ_14項目!$D$2:$Q$1300,0,MATCH($B699,元データ_14項目!$D$1:$Q$1,0)),元データ_14項目!$A$2:$A$1300,$A699,元データ_14項目!$B$2:$B$1300,"本年",元データ_14項目!$C$2:$C$1300,N$5)</f>
        <v>37</v>
      </c>
      <c r="O699" s="26">
        <f t="shared" si="20"/>
        <v>1046</v>
      </c>
      <c r="P699" s="26">
        <f>SUMIFS(INDEX(元データ_14項目!$D$2:$Q$1300,0,MATCH($B699,元データ_14項目!$D$1:$Q$1,0)),元データ_14項目!$A$2:$A$1300,$A699,元データ_14項目!$B$2:$B$1300,"前年")</f>
        <v>1023</v>
      </c>
      <c r="Q699" s="7">
        <f t="shared" si="21"/>
        <v>1.0224828934506354</v>
      </c>
    </row>
    <row r="700" spans="1:17" x14ac:dyDescent="0.45">
      <c r="A700" t="s">
        <v>84</v>
      </c>
      <c r="B700" t="s">
        <v>94</v>
      </c>
      <c r="C700" s="26">
        <f>SUMIFS(INDEX(元データ_14項目!$D$2:$Q$1300,0,MATCH($B700,元データ_14項目!$D$1:$Q$1,0)),元データ_14項目!$A$2:$A$1300,$A700,元データ_14項目!$B$2:$B$1300,"本年",元データ_14項目!$C$2:$C$1300,C$5)</f>
        <v>9</v>
      </c>
      <c r="D700" s="26">
        <f>SUMIFS(INDEX(元データ_14項目!$D$2:$Q$1300,0,MATCH($B700,元データ_14項目!$D$1:$Q$1,0)),元データ_14項目!$A$2:$A$1300,$A700,元データ_14項目!$B$2:$B$1300,"本年",元データ_14項目!$C$2:$C$1300,D$5)</f>
        <v>6</v>
      </c>
      <c r="E700" s="26">
        <f>SUMIFS(INDEX(元データ_14項目!$D$2:$Q$1300,0,MATCH($B700,元データ_14項目!$D$1:$Q$1,0)),元データ_14項目!$A$2:$A$1300,$A700,元データ_14項目!$B$2:$B$1300,"本年",元データ_14項目!$C$2:$C$1300,E$5)</f>
        <v>20</v>
      </c>
      <c r="F700" s="26">
        <f>SUMIFS(INDEX(元データ_14項目!$D$2:$Q$1300,0,MATCH($B700,元データ_14項目!$D$1:$Q$1,0)),元データ_14項目!$A$2:$A$1300,$A700,元データ_14項目!$B$2:$B$1300,"本年",元データ_14項目!$C$2:$C$1300,F$5)</f>
        <v>17</v>
      </c>
      <c r="G700" s="26">
        <f>SUMIFS(INDEX(元データ_14項目!$D$2:$Q$1300,0,MATCH($B700,元データ_14項目!$D$1:$Q$1,0)),元データ_14項目!$A$2:$A$1300,$A700,元データ_14項目!$B$2:$B$1300,"本年",元データ_14項目!$C$2:$C$1300,G$5)</f>
        <v>29</v>
      </c>
      <c r="H700" s="26">
        <f>SUMIFS(INDEX(元データ_14項目!$D$2:$Q$1300,0,MATCH($B700,元データ_14項目!$D$1:$Q$1,0)),元データ_14項目!$A$2:$A$1300,$A700,元データ_14項目!$B$2:$B$1300,"本年",元データ_14項目!$C$2:$C$1300,H$5)</f>
        <v>17</v>
      </c>
      <c r="I700" s="26">
        <f>SUMIFS(INDEX(元データ_14項目!$D$2:$Q$1300,0,MATCH($B700,元データ_14項目!$D$1:$Q$1,0)),元データ_14項目!$A$2:$A$1300,$A700,元データ_14項目!$B$2:$B$1300,"本年",元データ_14項目!$C$2:$C$1300,I$5)</f>
        <v>15</v>
      </c>
      <c r="J700" s="26">
        <f>SUMIFS(INDEX(元データ_14項目!$D$2:$Q$1300,0,MATCH($B700,元データ_14項目!$D$1:$Q$1,0)),元データ_14項目!$A$2:$A$1300,$A700,元データ_14項目!$B$2:$B$1300,"本年",元データ_14項目!$C$2:$C$1300,J$5)</f>
        <v>29</v>
      </c>
      <c r="K700" s="26">
        <f>SUMIFS(INDEX(元データ_14項目!$D$2:$Q$1300,0,MATCH($B700,元データ_14項目!$D$1:$Q$1,0)),元データ_14項目!$A$2:$A$1300,$A700,元データ_14項目!$B$2:$B$1300,"本年",元データ_14項目!$C$2:$C$1300,K$5)</f>
        <v>99</v>
      </c>
      <c r="L700" s="26">
        <f>SUMIFS(INDEX(元データ_14項目!$D$2:$Q$1300,0,MATCH($B700,元データ_14項目!$D$1:$Q$1,0)),元データ_14項目!$A$2:$A$1300,$A700,元データ_14項目!$B$2:$B$1300,"本年",元データ_14項目!$C$2:$C$1300,L$5)</f>
        <v>41</v>
      </c>
      <c r="M700" s="26">
        <f>SUMIFS(INDEX(元データ_14項目!$D$2:$Q$1300,0,MATCH($B700,元データ_14項目!$D$1:$Q$1,0)),元データ_14項目!$A$2:$A$1300,$A700,元データ_14項目!$B$2:$B$1300,"本年",元データ_14項目!$C$2:$C$1300,M$5)</f>
        <v>38</v>
      </c>
      <c r="N700" s="26">
        <f>SUMIFS(INDEX(元データ_14項目!$D$2:$Q$1300,0,MATCH($B700,元データ_14項目!$D$1:$Q$1,0)),元データ_14項目!$A$2:$A$1300,$A700,元データ_14項目!$B$2:$B$1300,"本年",元データ_14項目!$C$2:$C$1300,N$5)</f>
        <v>15</v>
      </c>
      <c r="O700" s="26">
        <f t="shared" si="20"/>
        <v>335</v>
      </c>
      <c r="P700" s="26">
        <f>SUMIFS(INDEX(元データ_14項目!$D$2:$Q$1300,0,MATCH($B700,元データ_14項目!$D$1:$Q$1,0)),元データ_14項目!$A$2:$A$1300,$A700,元データ_14項目!$B$2:$B$1300,"前年")</f>
        <v>341</v>
      </c>
      <c r="Q700" s="7">
        <f t="shared" si="21"/>
        <v>0.98240469208211145</v>
      </c>
    </row>
    <row r="701" spans="1:17" x14ac:dyDescent="0.45">
      <c r="A701" t="s">
        <v>84</v>
      </c>
      <c r="B701" t="s">
        <v>95</v>
      </c>
      <c r="C701" s="26">
        <f>SUMIFS(INDEX(元データ_14項目!$D$2:$Q$1300,0,MATCH($B701,元データ_14項目!$D$1:$Q$1,0)),元データ_14項目!$A$2:$A$1300,$A701,元データ_14項目!$B$2:$B$1300,"本年",元データ_14項目!$C$2:$C$1300,C$5)</f>
        <v>16</v>
      </c>
      <c r="D701" s="26">
        <f>SUMIFS(INDEX(元データ_14項目!$D$2:$Q$1300,0,MATCH($B701,元データ_14項目!$D$1:$Q$1,0)),元データ_14項目!$A$2:$A$1300,$A701,元データ_14項目!$B$2:$B$1300,"本年",元データ_14項目!$C$2:$C$1300,D$5)</f>
        <v>28</v>
      </c>
      <c r="E701" s="26">
        <f>SUMIFS(INDEX(元データ_14項目!$D$2:$Q$1300,0,MATCH($B701,元データ_14項目!$D$1:$Q$1,0)),元データ_14項目!$A$2:$A$1300,$A701,元データ_14項目!$B$2:$B$1300,"本年",元データ_14項目!$C$2:$C$1300,E$5)</f>
        <v>31</v>
      </c>
      <c r="F701" s="26">
        <f>SUMIFS(INDEX(元データ_14項目!$D$2:$Q$1300,0,MATCH($B701,元データ_14項目!$D$1:$Q$1,0)),元データ_14項目!$A$2:$A$1300,$A701,元データ_14項目!$B$2:$B$1300,"本年",元データ_14項目!$C$2:$C$1300,F$5)</f>
        <v>43</v>
      </c>
      <c r="G701" s="26">
        <f>SUMIFS(INDEX(元データ_14項目!$D$2:$Q$1300,0,MATCH($B701,元データ_14項目!$D$1:$Q$1,0)),元データ_14項目!$A$2:$A$1300,$A701,元データ_14項目!$B$2:$B$1300,"本年",元データ_14項目!$C$2:$C$1300,G$5)</f>
        <v>30</v>
      </c>
      <c r="H701" s="26">
        <f>SUMIFS(INDEX(元データ_14項目!$D$2:$Q$1300,0,MATCH($B701,元データ_14項目!$D$1:$Q$1,0)),元データ_14項目!$A$2:$A$1300,$A701,元データ_14項目!$B$2:$B$1300,"本年",元データ_14項目!$C$2:$C$1300,H$5)</f>
        <v>18</v>
      </c>
      <c r="I701" s="26">
        <f>SUMIFS(INDEX(元データ_14項目!$D$2:$Q$1300,0,MATCH($B701,元データ_14項目!$D$1:$Q$1,0)),元データ_14項目!$A$2:$A$1300,$A701,元データ_14項目!$B$2:$B$1300,"本年",元データ_14項目!$C$2:$C$1300,I$5)</f>
        <v>9</v>
      </c>
      <c r="J701" s="26">
        <f>SUMIFS(INDEX(元データ_14項目!$D$2:$Q$1300,0,MATCH($B701,元データ_14項目!$D$1:$Q$1,0)),元データ_14項目!$A$2:$A$1300,$A701,元データ_14項目!$B$2:$B$1300,"本年",元データ_14項目!$C$2:$C$1300,J$5)</f>
        <v>22</v>
      </c>
      <c r="K701" s="26">
        <f>SUMIFS(INDEX(元データ_14項目!$D$2:$Q$1300,0,MATCH($B701,元データ_14項目!$D$1:$Q$1,0)),元データ_14項目!$A$2:$A$1300,$A701,元データ_14項目!$B$2:$B$1300,"本年",元データ_14項目!$C$2:$C$1300,K$5)</f>
        <v>48</v>
      </c>
      <c r="L701" s="26">
        <f>SUMIFS(INDEX(元データ_14項目!$D$2:$Q$1300,0,MATCH($B701,元データ_14項目!$D$1:$Q$1,0)),元データ_14項目!$A$2:$A$1300,$A701,元データ_14項目!$B$2:$B$1300,"本年",元データ_14項目!$C$2:$C$1300,L$5)</f>
        <v>52</v>
      </c>
      <c r="M701" s="26">
        <f>SUMIFS(INDEX(元データ_14項目!$D$2:$Q$1300,0,MATCH($B701,元データ_14項目!$D$1:$Q$1,0)),元データ_14項目!$A$2:$A$1300,$A701,元データ_14項目!$B$2:$B$1300,"本年",元データ_14項目!$C$2:$C$1300,M$5)</f>
        <v>20</v>
      </c>
      <c r="N701" s="26">
        <f>SUMIFS(INDEX(元データ_14項目!$D$2:$Q$1300,0,MATCH($B701,元データ_14項目!$D$1:$Q$1,0)),元データ_14項目!$A$2:$A$1300,$A701,元データ_14項目!$B$2:$B$1300,"本年",元データ_14項目!$C$2:$C$1300,N$5)</f>
        <v>29</v>
      </c>
      <c r="O701" s="26">
        <f t="shared" si="20"/>
        <v>346</v>
      </c>
      <c r="P701" s="26">
        <f>SUMIFS(INDEX(元データ_14項目!$D$2:$Q$1300,0,MATCH($B701,元データ_14項目!$D$1:$Q$1,0)),元データ_14項目!$A$2:$A$1300,$A701,元データ_14項目!$B$2:$B$1300,"前年")</f>
        <v>377</v>
      </c>
      <c r="Q701" s="7">
        <f t="shared" si="21"/>
        <v>0.91777188328912462</v>
      </c>
    </row>
    <row r="702" spans="1:17" x14ac:dyDescent="0.45">
      <c r="A702" t="s">
        <v>84</v>
      </c>
      <c r="B702" t="s">
        <v>96</v>
      </c>
      <c r="C702" s="26">
        <f>SUMIFS(INDEX(元データ_14項目!$D$2:$Q$1300,0,MATCH($B702,元データ_14項目!$D$1:$Q$1,0)),元データ_14項目!$A$2:$A$1300,$A702,元データ_14項目!$B$2:$B$1300,"本年",元データ_14項目!$C$2:$C$1300,C$5)</f>
        <v>16</v>
      </c>
      <c r="D702" s="26">
        <f>SUMIFS(INDEX(元データ_14項目!$D$2:$Q$1300,0,MATCH($B702,元データ_14項目!$D$1:$Q$1,0)),元データ_14項目!$A$2:$A$1300,$A702,元データ_14項目!$B$2:$B$1300,"本年",元データ_14項目!$C$2:$C$1300,D$5)</f>
        <v>18</v>
      </c>
      <c r="E702" s="26">
        <f>SUMIFS(INDEX(元データ_14項目!$D$2:$Q$1300,0,MATCH($B702,元データ_14項目!$D$1:$Q$1,0)),元データ_14項目!$A$2:$A$1300,$A702,元データ_14項目!$B$2:$B$1300,"本年",元データ_14項目!$C$2:$C$1300,E$5)</f>
        <v>14</v>
      </c>
      <c r="F702" s="26">
        <f>SUMIFS(INDEX(元データ_14項目!$D$2:$Q$1300,0,MATCH($B702,元データ_14項目!$D$1:$Q$1,0)),元データ_14項目!$A$2:$A$1300,$A702,元データ_14項目!$B$2:$B$1300,"本年",元データ_14項目!$C$2:$C$1300,F$5)</f>
        <v>23</v>
      </c>
      <c r="G702" s="26">
        <f>SUMIFS(INDEX(元データ_14項目!$D$2:$Q$1300,0,MATCH($B702,元データ_14項目!$D$1:$Q$1,0)),元データ_14項目!$A$2:$A$1300,$A702,元データ_14項目!$B$2:$B$1300,"本年",元データ_14項目!$C$2:$C$1300,G$5)</f>
        <v>28</v>
      </c>
      <c r="H702" s="26">
        <f>SUMIFS(INDEX(元データ_14項目!$D$2:$Q$1300,0,MATCH($B702,元データ_14項目!$D$1:$Q$1,0)),元データ_14項目!$A$2:$A$1300,$A702,元データ_14項目!$B$2:$B$1300,"本年",元データ_14項目!$C$2:$C$1300,H$5)</f>
        <v>24</v>
      </c>
      <c r="I702" s="26">
        <f>SUMIFS(INDEX(元データ_14項目!$D$2:$Q$1300,0,MATCH($B702,元データ_14項目!$D$1:$Q$1,0)),元データ_14項目!$A$2:$A$1300,$A702,元データ_14項目!$B$2:$B$1300,"本年",元データ_14項目!$C$2:$C$1300,I$5)</f>
        <v>18</v>
      </c>
      <c r="J702" s="26">
        <f>SUMIFS(INDEX(元データ_14項目!$D$2:$Q$1300,0,MATCH($B702,元データ_14項目!$D$1:$Q$1,0)),元データ_14項目!$A$2:$A$1300,$A702,元データ_14項目!$B$2:$B$1300,"本年",元データ_14項目!$C$2:$C$1300,J$5)</f>
        <v>103</v>
      </c>
      <c r="K702" s="26">
        <f>SUMIFS(INDEX(元データ_14項目!$D$2:$Q$1300,0,MATCH($B702,元データ_14項目!$D$1:$Q$1,0)),元データ_14項目!$A$2:$A$1300,$A702,元データ_14項目!$B$2:$B$1300,"本年",元データ_14項目!$C$2:$C$1300,K$5)</f>
        <v>221</v>
      </c>
      <c r="L702" s="26">
        <f>SUMIFS(INDEX(元データ_14項目!$D$2:$Q$1300,0,MATCH($B702,元データ_14項目!$D$1:$Q$1,0)),元データ_14項目!$A$2:$A$1300,$A702,元データ_14項目!$B$2:$B$1300,"本年",元データ_14項目!$C$2:$C$1300,L$5)</f>
        <v>130</v>
      </c>
      <c r="M702" s="26">
        <f>SUMIFS(INDEX(元データ_14項目!$D$2:$Q$1300,0,MATCH($B702,元データ_14項目!$D$1:$Q$1,0)),元データ_14項目!$A$2:$A$1300,$A702,元データ_14項目!$B$2:$B$1300,"本年",元データ_14項目!$C$2:$C$1300,M$5)</f>
        <v>50</v>
      </c>
      <c r="N702" s="26">
        <f>SUMIFS(INDEX(元データ_14項目!$D$2:$Q$1300,0,MATCH($B702,元データ_14項目!$D$1:$Q$1,0)),元データ_14項目!$A$2:$A$1300,$A702,元データ_14項目!$B$2:$B$1300,"本年",元データ_14項目!$C$2:$C$1300,N$5)</f>
        <v>23</v>
      </c>
      <c r="O702" s="26">
        <f t="shared" si="20"/>
        <v>668</v>
      </c>
      <c r="P702" s="26">
        <f>SUMIFS(INDEX(元データ_14項目!$D$2:$Q$1300,0,MATCH($B702,元データ_14項目!$D$1:$Q$1,0)),元データ_14項目!$A$2:$A$1300,$A702,元データ_14項目!$B$2:$B$1300,"前年")</f>
        <v>715</v>
      </c>
      <c r="Q702" s="7">
        <f t="shared" si="21"/>
        <v>0.93426573426573423</v>
      </c>
    </row>
    <row r="703" spans="1:17" x14ac:dyDescent="0.45">
      <c r="A703" t="s">
        <v>84</v>
      </c>
      <c r="B703" t="s">
        <v>97</v>
      </c>
      <c r="C703" s="26">
        <f>SUMIFS(INDEX(元データ_14項目!$D$2:$Q$1300,0,MATCH($B703,元データ_14項目!$D$1:$Q$1,0)),元データ_14項目!$A$2:$A$1300,$A703,元データ_14項目!$B$2:$B$1300,"本年",元データ_14項目!$C$2:$C$1300,C$5)</f>
        <v>19</v>
      </c>
      <c r="D703" s="26">
        <f>SUMIFS(INDEX(元データ_14項目!$D$2:$Q$1300,0,MATCH($B703,元データ_14項目!$D$1:$Q$1,0)),元データ_14項目!$A$2:$A$1300,$A703,元データ_14項目!$B$2:$B$1300,"本年",元データ_14項目!$C$2:$C$1300,D$5)</f>
        <v>21</v>
      </c>
      <c r="E703" s="26">
        <f>SUMIFS(INDEX(元データ_14項目!$D$2:$Q$1300,0,MATCH($B703,元データ_14項目!$D$1:$Q$1,0)),元データ_14項目!$A$2:$A$1300,$A703,元データ_14項目!$B$2:$B$1300,"本年",元データ_14項目!$C$2:$C$1300,E$5)</f>
        <v>27</v>
      </c>
      <c r="F703" s="26">
        <f>SUMIFS(INDEX(元データ_14項目!$D$2:$Q$1300,0,MATCH($B703,元データ_14項目!$D$1:$Q$1,0)),元データ_14項目!$A$2:$A$1300,$A703,元データ_14項目!$B$2:$B$1300,"本年",元データ_14項目!$C$2:$C$1300,F$5)</f>
        <v>35</v>
      </c>
      <c r="G703" s="26">
        <f>SUMIFS(INDEX(元データ_14項目!$D$2:$Q$1300,0,MATCH($B703,元データ_14項目!$D$1:$Q$1,0)),元データ_14項目!$A$2:$A$1300,$A703,元データ_14項目!$B$2:$B$1300,"本年",元データ_14項目!$C$2:$C$1300,G$5)</f>
        <v>53</v>
      </c>
      <c r="H703" s="26">
        <f>SUMIFS(INDEX(元データ_14項目!$D$2:$Q$1300,0,MATCH($B703,元データ_14項目!$D$1:$Q$1,0)),元データ_14項目!$A$2:$A$1300,$A703,元データ_14項目!$B$2:$B$1300,"本年",元データ_14項目!$C$2:$C$1300,H$5)</f>
        <v>38</v>
      </c>
      <c r="I703" s="26">
        <f>SUMIFS(INDEX(元データ_14項目!$D$2:$Q$1300,0,MATCH($B703,元データ_14項目!$D$1:$Q$1,0)),元データ_14項目!$A$2:$A$1300,$A703,元データ_14項目!$B$2:$B$1300,"本年",元データ_14項目!$C$2:$C$1300,I$5)</f>
        <v>24</v>
      </c>
      <c r="J703" s="26">
        <f>SUMIFS(INDEX(元データ_14項目!$D$2:$Q$1300,0,MATCH($B703,元データ_14項目!$D$1:$Q$1,0)),元データ_14項目!$A$2:$A$1300,$A703,元データ_14項目!$B$2:$B$1300,"本年",元データ_14項目!$C$2:$C$1300,J$5)</f>
        <v>70</v>
      </c>
      <c r="K703" s="26">
        <f>SUMIFS(INDEX(元データ_14項目!$D$2:$Q$1300,0,MATCH($B703,元データ_14項目!$D$1:$Q$1,0)),元データ_14項目!$A$2:$A$1300,$A703,元データ_14項目!$B$2:$B$1300,"本年",元データ_14項目!$C$2:$C$1300,K$5)</f>
        <v>219</v>
      </c>
      <c r="L703" s="26">
        <f>SUMIFS(INDEX(元データ_14項目!$D$2:$Q$1300,0,MATCH($B703,元データ_14項目!$D$1:$Q$1,0)),元データ_14項目!$A$2:$A$1300,$A703,元データ_14項目!$B$2:$B$1300,"本年",元データ_14項目!$C$2:$C$1300,L$5)</f>
        <v>144</v>
      </c>
      <c r="M703" s="26">
        <f>SUMIFS(INDEX(元データ_14項目!$D$2:$Q$1300,0,MATCH($B703,元データ_14項目!$D$1:$Q$1,0)),元データ_14項目!$A$2:$A$1300,$A703,元データ_14項目!$B$2:$B$1300,"本年",元データ_14項目!$C$2:$C$1300,M$5)</f>
        <v>75</v>
      </c>
      <c r="N703" s="26">
        <f>SUMIFS(INDEX(元データ_14項目!$D$2:$Q$1300,0,MATCH($B703,元データ_14項目!$D$1:$Q$1,0)),元データ_14項目!$A$2:$A$1300,$A703,元データ_14項目!$B$2:$B$1300,"本年",元データ_14項目!$C$2:$C$1300,N$5)</f>
        <v>45</v>
      </c>
      <c r="O703" s="26">
        <f t="shared" si="20"/>
        <v>770</v>
      </c>
      <c r="P703" s="26">
        <f>SUMIFS(INDEX(元データ_14項目!$D$2:$Q$1300,0,MATCH($B703,元データ_14項目!$D$1:$Q$1,0)),元データ_14項目!$A$2:$A$1300,$A703,元データ_14項目!$B$2:$B$1300,"前年")</f>
        <v>886</v>
      </c>
      <c r="Q703" s="7">
        <f t="shared" si="21"/>
        <v>0.86907449209932275</v>
      </c>
    </row>
    <row r="704" spans="1:17" x14ac:dyDescent="0.45">
      <c r="A704" t="s">
        <v>84</v>
      </c>
      <c r="B704" t="s">
        <v>98</v>
      </c>
      <c r="C704" s="26">
        <f>SUMIFS(INDEX(元データ_14項目!$D$2:$Q$1300,0,MATCH($B704,元データ_14項目!$D$1:$Q$1,0)),元データ_14項目!$A$2:$A$1300,$A704,元データ_14項目!$B$2:$B$1300,"本年",元データ_14項目!$C$2:$C$1300,C$5)</f>
        <v>6</v>
      </c>
      <c r="D704" s="26">
        <f>SUMIFS(INDEX(元データ_14項目!$D$2:$Q$1300,0,MATCH($B704,元データ_14項目!$D$1:$Q$1,0)),元データ_14項目!$A$2:$A$1300,$A704,元データ_14項目!$B$2:$B$1300,"本年",元データ_14項目!$C$2:$C$1300,D$5)</f>
        <v>3</v>
      </c>
      <c r="E704" s="26">
        <f>SUMIFS(INDEX(元データ_14項目!$D$2:$Q$1300,0,MATCH($B704,元データ_14項目!$D$1:$Q$1,0)),元データ_14項目!$A$2:$A$1300,$A704,元データ_14項目!$B$2:$B$1300,"本年",元データ_14項目!$C$2:$C$1300,E$5)</f>
        <v>3</v>
      </c>
      <c r="F704" s="26">
        <f>SUMIFS(INDEX(元データ_14項目!$D$2:$Q$1300,0,MATCH($B704,元データ_14項目!$D$1:$Q$1,0)),元データ_14項目!$A$2:$A$1300,$A704,元データ_14項目!$B$2:$B$1300,"本年",元データ_14項目!$C$2:$C$1300,F$5)</f>
        <v>17</v>
      </c>
      <c r="G704" s="26">
        <f>SUMIFS(INDEX(元データ_14項目!$D$2:$Q$1300,0,MATCH($B704,元データ_14項目!$D$1:$Q$1,0)),元データ_14項目!$A$2:$A$1300,$A704,元データ_14項目!$B$2:$B$1300,"本年",元データ_14項目!$C$2:$C$1300,G$5)</f>
        <v>10</v>
      </c>
      <c r="H704" s="26">
        <f>SUMIFS(INDEX(元データ_14項目!$D$2:$Q$1300,0,MATCH($B704,元データ_14項目!$D$1:$Q$1,0)),元データ_14項目!$A$2:$A$1300,$A704,元データ_14項目!$B$2:$B$1300,"本年",元データ_14項目!$C$2:$C$1300,H$5)</f>
        <v>9</v>
      </c>
      <c r="I704" s="26">
        <f>SUMIFS(INDEX(元データ_14項目!$D$2:$Q$1300,0,MATCH($B704,元データ_14項目!$D$1:$Q$1,0)),元データ_14項目!$A$2:$A$1300,$A704,元データ_14項目!$B$2:$B$1300,"本年",元データ_14項目!$C$2:$C$1300,I$5)</f>
        <v>11</v>
      </c>
      <c r="J704" s="26">
        <f>SUMIFS(INDEX(元データ_14項目!$D$2:$Q$1300,0,MATCH($B704,元データ_14項目!$D$1:$Q$1,0)),元データ_14項目!$A$2:$A$1300,$A704,元データ_14項目!$B$2:$B$1300,"本年",元データ_14項目!$C$2:$C$1300,J$5)</f>
        <v>52</v>
      </c>
      <c r="K704" s="26">
        <f>SUMIFS(INDEX(元データ_14項目!$D$2:$Q$1300,0,MATCH($B704,元データ_14項目!$D$1:$Q$1,0)),元データ_14項目!$A$2:$A$1300,$A704,元データ_14項目!$B$2:$B$1300,"本年",元データ_14項目!$C$2:$C$1300,K$5)</f>
        <v>155</v>
      </c>
      <c r="L704" s="26">
        <f>SUMIFS(INDEX(元データ_14項目!$D$2:$Q$1300,0,MATCH($B704,元データ_14項目!$D$1:$Q$1,0)),元データ_14項目!$A$2:$A$1300,$A704,元データ_14項目!$B$2:$B$1300,"本年",元データ_14項目!$C$2:$C$1300,L$5)</f>
        <v>78</v>
      </c>
      <c r="M704" s="26">
        <f>SUMIFS(INDEX(元データ_14項目!$D$2:$Q$1300,0,MATCH($B704,元データ_14項目!$D$1:$Q$1,0)),元データ_14項目!$A$2:$A$1300,$A704,元データ_14項目!$B$2:$B$1300,"本年",元データ_14項目!$C$2:$C$1300,M$5)</f>
        <v>42</v>
      </c>
      <c r="N704" s="26">
        <f>SUMIFS(INDEX(元データ_14項目!$D$2:$Q$1300,0,MATCH($B704,元データ_14項目!$D$1:$Q$1,0)),元データ_14項目!$A$2:$A$1300,$A704,元データ_14項目!$B$2:$B$1300,"本年",元データ_14項目!$C$2:$C$1300,N$5)</f>
        <v>12</v>
      </c>
      <c r="O704" s="26">
        <f t="shared" si="20"/>
        <v>398</v>
      </c>
      <c r="P704" s="26">
        <f>SUMIFS(INDEX(元データ_14項目!$D$2:$Q$1300,0,MATCH($B704,元データ_14項目!$D$1:$Q$1,0)),元データ_14項目!$A$2:$A$1300,$A704,元データ_14項目!$B$2:$B$1300,"前年")</f>
        <v>388</v>
      </c>
      <c r="Q704" s="7">
        <f t="shared" si="21"/>
        <v>1.0257731958762886</v>
      </c>
    </row>
    <row r="705" spans="1:17" x14ac:dyDescent="0.45">
      <c r="A705" t="s">
        <v>84</v>
      </c>
      <c r="B705" t="s">
        <v>99</v>
      </c>
      <c r="C705" s="26">
        <f>SUMIFS(INDEX(元データ_14項目!$D$2:$Q$1300,0,MATCH($B705,元データ_14項目!$D$1:$Q$1,0)),元データ_14項目!$A$2:$A$1300,$A705,元データ_14項目!$B$2:$B$1300,"本年",元データ_14項目!$C$2:$C$1300,C$5)</f>
        <v>0</v>
      </c>
      <c r="D705" s="26">
        <f>SUMIFS(INDEX(元データ_14項目!$D$2:$Q$1300,0,MATCH($B705,元データ_14項目!$D$1:$Q$1,0)),元データ_14項目!$A$2:$A$1300,$A705,元データ_14項目!$B$2:$B$1300,"本年",元データ_14項目!$C$2:$C$1300,D$5)</f>
        <v>0</v>
      </c>
      <c r="E705" s="26">
        <f>SUMIFS(INDEX(元データ_14項目!$D$2:$Q$1300,0,MATCH($B705,元データ_14項目!$D$1:$Q$1,0)),元データ_14項目!$A$2:$A$1300,$A705,元データ_14項目!$B$2:$B$1300,"本年",元データ_14項目!$C$2:$C$1300,E$5)</f>
        <v>0</v>
      </c>
      <c r="F705" s="26">
        <f>SUMIFS(INDEX(元データ_14項目!$D$2:$Q$1300,0,MATCH($B705,元データ_14項目!$D$1:$Q$1,0)),元データ_14項目!$A$2:$A$1300,$A705,元データ_14項目!$B$2:$B$1300,"本年",元データ_14項目!$C$2:$C$1300,F$5)</f>
        <v>2</v>
      </c>
      <c r="G705" s="26">
        <f>SUMIFS(INDEX(元データ_14項目!$D$2:$Q$1300,0,MATCH($B705,元データ_14項目!$D$1:$Q$1,0)),元データ_14項目!$A$2:$A$1300,$A705,元データ_14項目!$B$2:$B$1300,"本年",元データ_14項目!$C$2:$C$1300,G$5)</f>
        <v>1</v>
      </c>
      <c r="H705" s="26">
        <f>SUMIFS(INDEX(元データ_14項目!$D$2:$Q$1300,0,MATCH($B705,元データ_14項目!$D$1:$Q$1,0)),元データ_14項目!$A$2:$A$1300,$A705,元データ_14項目!$B$2:$B$1300,"本年",元データ_14項目!$C$2:$C$1300,H$5)</f>
        <v>1</v>
      </c>
      <c r="I705" s="26">
        <f>SUMIFS(INDEX(元データ_14項目!$D$2:$Q$1300,0,MATCH($B705,元データ_14項目!$D$1:$Q$1,0)),元データ_14項目!$A$2:$A$1300,$A705,元データ_14項目!$B$2:$B$1300,"本年",元データ_14項目!$C$2:$C$1300,I$5)</f>
        <v>9</v>
      </c>
      <c r="J705" s="26">
        <f>SUMIFS(INDEX(元データ_14項目!$D$2:$Q$1300,0,MATCH($B705,元データ_14項目!$D$1:$Q$1,0)),元データ_14項目!$A$2:$A$1300,$A705,元データ_14項目!$B$2:$B$1300,"本年",元データ_14項目!$C$2:$C$1300,J$5)</f>
        <v>13</v>
      </c>
      <c r="K705" s="26">
        <f>SUMIFS(INDEX(元データ_14項目!$D$2:$Q$1300,0,MATCH($B705,元データ_14項目!$D$1:$Q$1,0)),元データ_14項目!$A$2:$A$1300,$A705,元データ_14項目!$B$2:$B$1300,"本年",元データ_14項目!$C$2:$C$1300,K$5)</f>
        <v>9</v>
      </c>
      <c r="L705" s="26">
        <f>SUMIFS(INDEX(元データ_14項目!$D$2:$Q$1300,0,MATCH($B705,元データ_14項目!$D$1:$Q$1,0)),元データ_14項目!$A$2:$A$1300,$A705,元データ_14項目!$B$2:$B$1300,"本年",元データ_14項目!$C$2:$C$1300,L$5)</f>
        <v>5</v>
      </c>
      <c r="M705" s="26">
        <f>SUMIFS(INDEX(元データ_14項目!$D$2:$Q$1300,0,MATCH($B705,元データ_14項目!$D$1:$Q$1,0)),元データ_14項目!$A$2:$A$1300,$A705,元データ_14項目!$B$2:$B$1300,"本年",元データ_14項目!$C$2:$C$1300,M$5)</f>
        <v>0</v>
      </c>
      <c r="N705" s="26">
        <f>SUMIFS(INDEX(元データ_14項目!$D$2:$Q$1300,0,MATCH($B705,元データ_14項目!$D$1:$Q$1,0)),元データ_14項目!$A$2:$A$1300,$A705,元データ_14項目!$B$2:$B$1300,"本年",元データ_14項目!$C$2:$C$1300,N$5)</f>
        <v>0</v>
      </c>
      <c r="O705" s="26">
        <f t="shared" si="20"/>
        <v>40</v>
      </c>
      <c r="P705" s="26">
        <f>SUMIFS(INDEX(元データ_14項目!$D$2:$Q$1300,0,MATCH($B705,元データ_14項目!$D$1:$Q$1,0)),元データ_14項目!$A$2:$A$1300,$A705,元データ_14項目!$B$2:$B$1300,"前年")</f>
        <v>48</v>
      </c>
      <c r="Q705" s="7">
        <f t="shared" si="21"/>
        <v>0.83333333333333337</v>
      </c>
    </row>
    <row r="706" spans="1:17" x14ac:dyDescent="0.45">
      <c r="A706" t="s">
        <v>85</v>
      </c>
      <c r="B706" t="s">
        <v>27</v>
      </c>
      <c r="C706" s="26">
        <f>SUMIFS(INDEX(元データ_14項目!$D$2:$Q$1300,0,MATCH($B706,元データ_14項目!$D$1:$Q$1,0)),元データ_14項目!$A$2:$A$1300,$A706,元データ_14項目!$B$2:$B$1300,"本年",元データ_14項目!$C$2:$C$1300,C$5)</f>
        <v>458</v>
      </c>
      <c r="D706" s="26">
        <f>SUMIFS(INDEX(元データ_14項目!$D$2:$Q$1300,0,MATCH($B706,元データ_14項目!$D$1:$Q$1,0)),元データ_14項目!$A$2:$A$1300,$A706,元データ_14項目!$B$2:$B$1300,"本年",元データ_14項目!$C$2:$C$1300,D$5)</f>
        <v>598</v>
      </c>
      <c r="E706" s="26">
        <f>SUMIFS(INDEX(元データ_14項目!$D$2:$Q$1300,0,MATCH($B706,元データ_14項目!$D$1:$Q$1,0)),元データ_14項目!$A$2:$A$1300,$A706,元データ_14項目!$B$2:$B$1300,"本年",元データ_14項目!$C$2:$C$1300,E$5)</f>
        <v>696</v>
      </c>
      <c r="F706" s="26">
        <f>SUMIFS(INDEX(元データ_14項目!$D$2:$Q$1300,0,MATCH($B706,元データ_14項目!$D$1:$Q$1,0)),元データ_14項目!$A$2:$A$1300,$A706,元データ_14項目!$B$2:$B$1300,"本年",元データ_14項目!$C$2:$C$1300,F$5)</f>
        <v>628</v>
      </c>
      <c r="G706" s="26">
        <f>SUMIFS(INDEX(元データ_14項目!$D$2:$Q$1300,0,MATCH($B706,元データ_14項目!$D$1:$Q$1,0)),元データ_14項目!$A$2:$A$1300,$A706,元データ_14項目!$B$2:$B$1300,"本年",元データ_14項目!$C$2:$C$1300,G$5)</f>
        <v>650</v>
      </c>
      <c r="H706" s="26">
        <f>SUMIFS(INDEX(元データ_14項目!$D$2:$Q$1300,0,MATCH($B706,元データ_14項目!$D$1:$Q$1,0)),元データ_14項目!$A$2:$A$1300,$A706,元データ_14項目!$B$2:$B$1300,"本年",元データ_14項目!$C$2:$C$1300,H$5)</f>
        <v>535</v>
      </c>
      <c r="I706" s="26">
        <f>SUMIFS(INDEX(元データ_14項目!$D$2:$Q$1300,0,MATCH($B706,元データ_14項目!$D$1:$Q$1,0)),元データ_14項目!$A$2:$A$1300,$A706,元データ_14項目!$B$2:$B$1300,"本年",元データ_14項目!$C$2:$C$1300,I$5)</f>
        <v>481</v>
      </c>
      <c r="J706" s="26">
        <f>SUMIFS(INDEX(元データ_14項目!$D$2:$Q$1300,0,MATCH($B706,元データ_14項目!$D$1:$Q$1,0)),元データ_14項目!$A$2:$A$1300,$A706,元データ_14項目!$B$2:$B$1300,"本年",元データ_14項目!$C$2:$C$1300,J$5)</f>
        <v>655</v>
      </c>
      <c r="K706" s="26">
        <f>SUMIFS(INDEX(元データ_14項目!$D$2:$Q$1300,0,MATCH($B706,元データ_14項目!$D$1:$Q$1,0)),元データ_14項目!$A$2:$A$1300,$A706,元データ_14項目!$B$2:$B$1300,"本年",元データ_14項目!$C$2:$C$1300,K$5)</f>
        <v>660</v>
      </c>
      <c r="L706" s="26">
        <f>SUMIFS(INDEX(元データ_14項目!$D$2:$Q$1300,0,MATCH($B706,元データ_14項目!$D$1:$Q$1,0)),元データ_14項目!$A$2:$A$1300,$A706,元データ_14項目!$B$2:$B$1300,"本年",元データ_14項目!$C$2:$C$1300,L$5)</f>
        <v>575</v>
      </c>
      <c r="M706" s="26">
        <f>SUMIFS(INDEX(元データ_14項目!$D$2:$Q$1300,0,MATCH($B706,元データ_14項目!$D$1:$Q$1,0)),元データ_14項目!$A$2:$A$1300,$A706,元データ_14項目!$B$2:$B$1300,"本年",元データ_14項目!$C$2:$C$1300,M$5)</f>
        <v>701</v>
      </c>
      <c r="N706" s="26">
        <f>SUMIFS(INDEX(元データ_14項目!$D$2:$Q$1300,0,MATCH($B706,元データ_14項目!$D$1:$Q$1,0)),元データ_14項目!$A$2:$A$1300,$A706,元データ_14項目!$B$2:$B$1300,"本年",元データ_14項目!$C$2:$C$1300,N$5)</f>
        <v>653</v>
      </c>
      <c r="O706" s="26">
        <f t="shared" si="20"/>
        <v>7290</v>
      </c>
      <c r="P706" s="26">
        <f>SUMIFS(INDEX(元データ_14項目!$D$2:$Q$1300,0,MATCH($B706,元データ_14項目!$D$1:$Q$1,0)),元データ_14項目!$A$2:$A$1300,$A706,元データ_14項目!$B$2:$B$1300,"前年")</f>
        <v>8446</v>
      </c>
      <c r="Q706" s="7">
        <f t="shared" si="21"/>
        <v>0.86313047596495385</v>
      </c>
    </row>
    <row r="707" spans="1:17" x14ac:dyDescent="0.45">
      <c r="A707" t="s">
        <v>85</v>
      </c>
      <c r="B707" t="s">
        <v>88</v>
      </c>
      <c r="C707" s="26">
        <f>SUMIFS(INDEX(元データ_14項目!$D$2:$Q$1300,0,MATCH($B707,元データ_14項目!$D$1:$Q$1,0)),元データ_14項目!$A$2:$A$1300,$A707,元データ_14項目!$B$2:$B$1300,"本年",元データ_14項目!$C$2:$C$1300,C$5)</f>
        <v>40</v>
      </c>
      <c r="D707" s="26">
        <f>SUMIFS(INDEX(元データ_14項目!$D$2:$Q$1300,0,MATCH($B707,元データ_14項目!$D$1:$Q$1,0)),元データ_14項目!$A$2:$A$1300,$A707,元データ_14項目!$B$2:$B$1300,"本年",元データ_14項目!$C$2:$C$1300,D$5)</f>
        <v>23</v>
      </c>
      <c r="E707" s="26">
        <f>SUMIFS(INDEX(元データ_14項目!$D$2:$Q$1300,0,MATCH($B707,元データ_14項目!$D$1:$Q$1,0)),元データ_14項目!$A$2:$A$1300,$A707,元データ_14項目!$B$2:$B$1300,"本年",元データ_14項目!$C$2:$C$1300,E$5)</f>
        <v>45</v>
      </c>
      <c r="F707" s="26">
        <f>SUMIFS(INDEX(元データ_14項目!$D$2:$Q$1300,0,MATCH($B707,元データ_14項目!$D$1:$Q$1,0)),元データ_14項目!$A$2:$A$1300,$A707,元データ_14項目!$B$2:$B$1300,"本年",元データ_14項目!$C$2:$C$1300,F$5)</f>
        <v>48</v>
      </c>
      <c r="G707" s="26">
        <f>SUMIFS(INDEX(元データ_14項目!$D$2:$Q$1300,0,MATCH($B707,元データ_14項目!$D$1:$Q$1,0)),元データ_14項目!$A$2:$A$1300,$A707,元データ_14項目!$B$2:$B$1300,"本年",元データ_14項目!$C$2:$C$1300,G$5)</f>
        <v>27</v>
      </c>
      <c r="H707" s="26">
        <f>SUMIFS(INDEX(元データ_14項目!$D$2:$Q$1300,0,MATCH($B707,元データ_14項目!$D$1:$Q$1,0)),元データ_14項目!$A$2:$A$1300,$A707,元データ_14項目!$B$2:$B$1300,"本年",元データ_14項目!$C$2:$C$1300,H$5)</f>
        <v>26</v>
      </c>
      <c r="I707" s="26">
        <f>SUMIFS(INDEX(元データ_14項目!$D$2:$Q$1300,0,MATCH($B707,元データ_14項目!$D$1:$Q$1,0)),元データ_14項目!$A$2:$A$1300,$A707,元データ_14項目!$B$2:$B$1300,"本年",元データ_14項目!$C$2:$C$1300,I$5)</f>
        <v>16</v>
      </c>
      <c r="J707" s="26">
        <f>SUMIFS(INDEX(元データ_14項目!$D$2:$Q$1300,0,MATCH($B707,元データ_14項目!$D$1:$Q$1,0)),元データ_14項目!$A$2:$A$1300,$A707,元データ_14項目!$B$2:$B$1300,"本年",元データ_14項目!$C$2:$C$1300,J$5)</f>
        <v>27</v>
      </c>
      <c r="K707" s="26">
        <f>SUMIFS(INDEX(元データ_14項目!$D$2:$Q$1300,0,MATCH($B707,元データ_14項目!$D$1:$Q$1,0)),元データ_14項目!$A$2:$A$1300,$A707,元データ_14項目!$B$2:$B$1300,"本年",元データ_14項目!$C$2:$C$1300,K$5)</f>
        <v>26</v>
      </c>
      <c r="L707" s="26">
        <f>SUMIFS(INDEX(元データ_14項目!$D$2:$Q$1300,0,MATCH($B707,元データ_14項目!$D$1:$Q$1,0)),元データ_14項目!$A$2:$A$1300,$A707,元データ_14項目!$B$2:$B$1300,"本年",元データ_14項目!$C$2:$C$1300,L$5)</f>
        <v>38</v>
      </c>
      <c r="M707" s="26">
        <f>SUMIFS(INDEX(元データ_14項目!$D$2:$Q$1300,0,MATCH($B707,元データ_14項目!$D$1:$Q$1,0)),元データ_14項目!$A$2:$A$1300,$A707,元データ_14項目!$B$2:$B$1300,"本年",元データ_14項目!$C$2:$C$1300,M$5)</f>
        <v>52</v>
      </c>
      <c r="N707" s="26">
        <f>SUMIFS(INDEX(元データ_14項目!$D$2:$Q$1300,0,MATCH($B707,元データ_14項目!$D$1:$Q$1,0)),元データ_14項目!$A$2:$A$1300,$A707,元データ_14項目!$B$2:$B$1300,"本年",元データ_14項目!$C$2:$C$1300,N$5)</f>
        <v>23</v>
      </c>
      <c r="O707" s="26">
        <f t="shared" si="20"/>
        <v>391</v>
      </c>
      <c r="P707" s="26">
        <f>SUMIFS(INDEX(元データ_14項目!$D$2:$Q$1300,0,MATCH($B707,元データ_14項目!$D$1:$Q$1,0)),元データ_14項目!$A$2:$A$1300,$A707,元データ_14項目!$B$2:$B$1300,"前年")</f>
        <v>409</v>
      </c>
      <c r="Q707" s="7">
        <f t="shared" si="21"/>
        <v>0.95599022004889977</v>
      </c>
    </row>
    <row r="708" spans="1:17" x14ac:dyDescent="0.45">
      <c r="A708" t="s">
        <v>85</v>
      </c>
      <c r="B708" t="s">
        <v>89</v>
      </c>
      <c r="C708" s="26">
        <f>SUMIFS(INDEX(元データ_14項目!$D$2:$Q$1300,0,MATCH($B708,元データ_14項目!$D$1:$Q$1,0)),元データ_14項目!$A$2:$A$1300,$A708,元データ_14項目!$B$2:$B$1300,"本年",元データ_14項目!$C$2:$C$1300,C$5)</f>
        <v>27</v>
      </c>
      <c r="D708" s="26">
        <f>SUMIFS(INDEX(元データ_14項目!$D$2:$Q$1300,0,MATCH($B708,元データ_14項目!$D$1:$Q$1,0)),元データ_14項目!$A$2:$A$1300,$A708,元データ_14項目!$B$2:$B$1300,"本年",元データ_14項目!$C$2:$C$1300,D$5)</f>
        <v>41</v>
      </c>
      <c r="E708" s="26">
        <f>SUMIFS(INDEX(元データ_14項目!$D$2:$Q$1300,0,MATCH($B708,元データ_14項目!$D$1:$Q$1,0)),元データ_14項目!$A$2:$A$1300,$A708,元データ_14項目!$B$2:$B$1300,"本年",元データ_14項目!$C$2:$C$1300,E$5)</f>
        <v>52</v>
      </c>
      <c r="F708" s="26">
        <f>SUMIFS(INDEX(元データ_14項目!$D$2:$Q$1300,0,MATCH($B708,元データ_14項目!$D$1:$Q$1,0)),元データ_14項目!$A$2:$A$1300,$A708,元データ_14項目!$B$2:$B$1300,"本年",元データ_14項目!$C$2:$C$1300,F$5)</f>
        <v>45</v>
      </c>
      <c r="G708" s="26">
        <f>SUMIFS(INDEX(元データ_14項目!$D$2:$Q$1300,0,MATCH($B708,元データ_14項目!$D$1:$Q$1,0)),元データ_14項目!$A$2:$A$1300,$A708,元データ_14項目!$B$2:$B$1300,"本年",元データ_14項目!$C$2:$C$1300,G$5)</f>
        <v>32</v>
      </c>
      <c r="H708" s="26">
        <f>SUMIFS(INDEX(元データ_14項目!$D$2:$Q$1300,0,MATCH($B708,元データ_14項目!$D$1:$Q$1,0)),元データ_14項目!$A$2:$A$1300,$A708,元データ_14項目!$B$2:$B$1300,"本年",元データ_14項目!$C$2:$C$1300,H$5)</f>
        <v>22</v>
      </c>
      <c r="I708" s="26">
        <f>SUMIFS(INDEX(元データ_14項目!$D$2:$Q$1300,0,MATCH($B708,元データ_14項目!$D$1:$Q$1,0)),元データ_14項目!$A$2:$A$1300,$A708,元データ_14項目!$B$2:$B$1300,"本年",元データ_14項目!$C$2:$C$1300,I$5)</f>
        <v>20</v>
      </c>
      <c r="J708" s="26">
        <f>SUMIFS(INDEX(元データ_14項目!$D$2:$Q$1300,0,MATCH($B708,元データ_14項目!$D$1:$Q$1,0)),元データ_14項目!$A$2:$A$1300,$A708,元データ_14項目!$B$2:$B$1300,"本年",元データ_14項目!$C$2:$C$1300,J$5)</f>
        <v>44</v>
      </c>
      <c r="K708" s="26">
        <f>SUMIFS(INDEX(元データ_14項目!$D$2:$Q$1300,0,MATCH($B708,元データ_14項目!$D$1:$Q$1,0)),元データ_14項目!$A$2:$A$1300,$A708,元データ_14項目!$B$2:$B$1300,"本年",元データ_14項目!$C$2:$C$1300,K$5)</f>
        <v>54</v>
      </c>
      <c r="L708" s="26">
        <f>SUMIFS(INDEX(元データ_14項目!$D$2:$Q$1300,0,MATCH($B708,元データ_14項目!$D$1:$Q$1,0)),元データ_14項目!$A$2:$A$1300,$A708,元データ_14項目!$B$2:$B$1300,"本年",元データ_14項目!$C$2:$C$1300,L$5)</f>
        <v>42</v>
      </c>
      <c r="M708" s="26">
        <f>SUMIFS(INDEX(元データ_14項目!$D$2:$Q$1300,0,MATCH($B708,元データ_14項目!$D$1:$Q$1,0)),元データ_14項目!$A$2:$A$1300,$A708,元データ_14項目!$B$2:$B$1300,"本年",元データ_14項目!$C$2:$C$1300,M$5)</f>
        <v>41</v>
      </c>
      <c r="N708" s="26">
        <f>SUMIFS(INDEX(元データ_14項目!$D$2:$Q$1300,0,MATCH($B708,元データ_14項目!$D$1:$Q$1,0)),元データ_14項目!$A$2:$A$1300,$A708,元データ_14項目!$B$2:$B$1300,"本年",元データ_14項目!$C$2:$C$1300,N$5)</f>
        <v>22</v>
      </c>
      <c r="O708" s="26">
        <f t="shared" si="20"/>
        <v>442</v>
      </c>
      <c r="P708" s="26">
        <f>SUMIFS(INDEX(元データ_14項目!$D$2:$Q$1300,0,MATCH($B708,元データ_14項目!$D$1:$Q$1,0)),元データ_14項目!$A$2:$A$1300,$A708,元データ_14項目!$B$2:$B$1300,"前年")</f>
        <v>475</v>
      </c>
      <c r="Q708" s="7">
        <f t="shared" si="21"/>
        <v>0.93052631578947365</v>
      </c>
    </row>
    <row r="709" spans="1:17" x14ac:dyDescent="0.45">
      <c r="A709" t="s">
        <v>85</v>
      </c>
      <c r="B709" t="s">
        <v>90</v>
      </c>
      <c r="C709" s="26">
        <f>SUMIFS(INDEX(元データ_14項目!$D$2:$Q$1300,0,MATCH($B709,元データ_14項目!$D$1:$Q$1,0)),元データ_14項目!$A$2:$A$1300,$A709,元データ_14項目!$B$2:$B$1300,"本年",元データ_14項目!$C$2:$C$1300,C$5)</f>
        <v>45</v>
      </c>
      <c r="D709" s="26">
        <f>SUMIFS(INDEX(元データ_14項目!$D$2:$Q$1300,0,MATCH($B709,元データ_14項目!$D$1:$Q$1,0)),元データ_14項目!$A$2:$A$1300,$A709,元データ_14項目!$B$2:$B$1300,"本年",元データ_14項目!$C$2:$C$1300,D$5)</f>
        <v>40</v>
      </c>
      <c r="E709" s="26">
        <f>SUMIFS(INDEX(元データ_14項目!$D$2:$Q$1300,0,MATCH($B709,元データ_14項目!$D$1:$Q$1,0)),元データ_14項目!$A$2:$A$1300,$A709,元データ_14項目!$B$2:$B$1300,"本年",元データ_14項目!$C$2:$C$1300,E$5)</f>
        <v>84</v>
      </c>
      <c r="F709" s="26">
        <f>SUMIFS(INDEX(元データ_14項目!$D$2:$Q$1300,0,MATCH($B709,元データ_14項目!$D$1:$Q$1,0)),元データ_14項目!$A$2:$A$1300,$A709,元データ_14項目!$B$2:$B$1300,"本年",元データ_14項目!$C$2:$C$1300,F$5)</f>
        <v>104</v>
      </c>
      <c r="G709" s="26">
        <f>SUMIFS(INDEX(元データ_14項目!$D$2:$Q$1300,0,MATCH($B709,元データ_14項目!$D$1:$Q$1,0)),元データ_14項目!$A$2:$A$1300,$A709,元データ_14項目!$B$2:$B$1300,"本年",元データ_14項目!$C$2:$C$1300,G$5)</f>
        <v>133</v>
      </c>
      <c r="H709" s="26">
        <f>SUMIFS(INDEX(元データ_14項目!$D$2:$Q$1300,0,MATCH($B709,元データ_14項目!$D$1:$Q$1,0)),元データ_14項目!$A$2:$A$1300,$A709,元データ_14項目!$B$2:$B$1300,"本年",元データ_14項目!$C$2:$C$1300,H$5)</f>
        <v>107</v>
      </c>
      <c r="I709" s="26">
        <f>SUMIFS(INDEX(元データ_14項目!$D$2:$Q$1300,0,MATCH($B709,元データ_14項目!$D$1:$Q$1,0)),元データ_14項目!$A$2:$A$1300,$A709,元データ_14項目!$B$2:$B$1300,"本年",元データ_14項目!$C$2:$C$1300,I$5)</f>
        <v>41</v>
      </c>
      <c r="J709" s="26">
        <f>SUMIFS(INDEX(元データ_14項目!$D$2:$Q$1300,0,MATCH($B709,元データ_14項目!$D$1:$Q$1,0)),元データ_14項目!$A$2:$A$1300,$A709,元データ_14項目!$B$2:$B$1300,"本年",元データ_14項目!$C$2:$C$1300,J$5)</f>
        <v>138</v>
      </c>
      <c r="K709" s="26">
        <f>SUMIFS(INDEX(元データ_14項目!$D$2:$Q$1300,0,MATCH($B709,元データ_14項目!$D$1:$Q$1,0)),元データ_14項目!$A$2:$A$1300,$A709,元データ_14項目!$B$2:$B$1300,"本年",元データ_14項目!$C$2:$C$1300,K$5)</f>
        <v>171</v>
      </c>
      <c r="L709" s="26">
        <f>SUMIFS(INDEX(元データ_14項目!$D$2:$Q$1300,0,MATCH($B709,元データ_14項目!$D$1:$Q$1,0)),元データ_14項目!$A$2:$A$1300,$A709,元データ_14項目!$B$2:$B$1300,"本年",元データ_14項目!$C$2:$C$1300,L$5)</f>
        <v>127</v>
      </c>
      <c r="M709" s="26">
        <f>SUMIFS(INDEX(元データ_14項目!$D$2:$Q$1300,0,MATCH($B709,元データ_14項目!$D$1:$Q$1,0)),元データ_14項目!$A$2:$A$1300,$A709,元データ_14項目!$B$2:$B$1300,"本年",元データ_14項目!$C$2:$C$1300,M$5)</f>
        <v>99</v>
      </c>
      <c r="N709" s="26">
        <f>SUMIFS(INDEX(元データ_14項目!$D$2:$Q$1300,0,MATCH($B709,元データ_14項目!$D$1:$Q$1,0)),元データ_14項目!$A$2:$A$1300,$A709,元データ_14項目!$B$2:$B$1300,"本年",元データ_14項目!$C$2:$C$1300,N$5)</f>
        <v>76</v>
      </c>
      <c r="O709" s="26">
        <f t="shared" si="20"/>
        <v>1165</v>
      </c>
      <c r="P709" s="26">
        <f>SUMIFS(INDEX(元データ_14項目!$D$2:$Q$1300,0,MATCH($B709,元データ_14項目!$D$1:$Q$1,0)),元データ_14項目!$A$2:$A$1300,$A709,元データ_14項目!$B$2:$B$1300,"前年")</f>
        <v>1394</v>
      </c>
      <c r="Q709" s="7">
        <f t="shared" si="21"/>
        <v>0.83572453371592537</v>
      </c>
    </row>
    <row r="710" spans="1:17" x14ac:dyDescent="0.45">
      <c r="A710" t="s">
        <v>85</v>
      </c>
      <c r="B710" t="s">
        <v>91</v>
      </c>
      <c r="C710" s="26">
        <f>SUMIFS(INDEX(元データ_14項目!$D$2:$Q$1300,0,MATCH($B710,元データ_14項目!$D$1:$Q$1,0)),元データ_14項目!$A$2:$A$1300,$A710,元データ_14項目!$B$2:$B$1300,"本年",元データ_14項目!$C$2:$C$1300,C$5)</f>
        <v>6</v>
      </c>
      <c r="D710" s="26">
        <f>SUMIFS(INDEX(元データ_14項目!$D$2:$Q$1300,0,MATCH($B710,元データ_14項目!$D$1:$Q$1,0)),元データ_14項目!$A$2:$A$1300,$A710,元データ_14項目!$B$2:$B$1300,"本年",元データ_14項目!$C$2:$C$1300,D$5)</f>
        <v>31</v>
      </c>
      <c r="E710" s="26">
        <f>SUMIFS(INDEX(元データ_14項目!$D$2:$Q$1300,0,MATCH($B710,元データ_14項目!$D$1:$Q$1,0)),元データ_14項目!$A$2:$A$1300,$A710,元データ_14項目!$B$2:$B$1300,"本年",元データ_14項目!$C$2:$C$1300,E$5)</f>
        <v>48</v>
      </c>
      <c r="F710" s="26">
        <f>SUMIFS(INDEX(元データ_14項目!$D$2:$Q$1300,0,MATCH($B710,元データ_14項目!$D$1:$Q$1,0)),元データ_14項目!$A$2:$A$1300,$A710,元データ_14項目!$B$2:$B$1300,"本年",元データ_14項目!$C$2:$C$1300,F$5)</f>
        <v>29</v>
      </c>
      <c r="G710" s="26">
        <f>SUMIFS(INDEX(元データ_14項目!$D$2:$Q$1300,0,MATCH($B710,元データ_14項目!$D$1:$Q$1,0)),元データ_14項目!$A$2:$A$1300,$A710,元データ_14項目!$B$2:$B$1300,"本年",元データ_14項目!$C$2:$C$1300,G$5)</f>
        <v>7</v>
      </c>
      <c r="H710" s="26">
        <f>SUMIFS(INDEX(元データ_14項目!$D$2:$Q$1300,0,MATCH($B710,元データ_14項目!$D$1:$Q$1,0)),元データ_14項目!$A$2:$A$1300,$A710,元データ_14項目!$B$2:$B$1300,"本年",元データ_14項目!$C$2:$C$1300,H$5)</f>
        <v>4</v>
      </c>
      <c r="I710" s="26">
        <f>SUMIFS(INDEX(元データ_14項目!$D$2:$Q$1300,0,MATCH($B710,元データ_14項目!$D$1:$Q$1,0)),元データ_14項目!$A$2:$A$1300,$A710,元データ_14項目!$B$2:$B$1300,"本年",元データ_14項目!$C$2:$C$1300,I$5)</f>
        <v>13</v>
      </c>
      <c r="J710" s="26">
        <f>SUMIFS(INDEX(元データ_14項目!$D$2:$Q$1300,0,MATCH($B710,元データ_14項目!$D$1:$Q$1,0)),元データ_14項目!$A$2:$A$1300,$A710,元データ_14項目!$B$2:$B$1300,"本年",元データ_14項目!$C$2:$C$1300,J$5)</f>
        <v>9</v>
      </c>
      <c r="K710" s="26">
        <f>SUMIFS(INDEX(元データ_14項目!$D$2:$Q$1300,0,MATCH($B710,元データ_14項目!$D$1:$Q$1,0)),元データ_14項目!$A$2:$A$1300,$A710,元データ_14項目!$B$2:$B$1300,"本年",元データ_14項目!$C$2:$C$1300,K$5)</f>
        <v>15</v>
      </c>
      <c r="L710" s="26">
        <f>SUMIFS(INDEX(元データ_14項目!$D$2:$Q$1300,0,MATCH($B710,元データ_14項目!$D$1:$Q$1,0)),元データ_14項目!$A$2:$A$1300,$A710,元データ_14項目!$B$2:$B$1300,"本年",元データ_14項目!$C$2:$C$1300,L$5)</f>
        <v>12</v>
      </c>
      <c r="M710" s="26">
        <f>SUMIFS(INDEX(元データ_14項目!$D$2:$Q$1300,0,MATCH($B710,元データ_14項目!$D$1:$Q$1,0)),元データ_14項目!$A$2:$A$1300,$A710,元データ_14項目!$B$2:$B$1300,"本年",元データ_14項目!$C$2:$C$1300,M$5)</f>
        <v>18</v>
      </c>
      <c r="N710" s="26">
        <f>SUMIFS(INDEX(元データ_14項目!$D$2:$Q$1300,0,MATCH($B710,元データ_14項目!$D$1:$Q$1,0)),元データ_14項目!$A$2:$A$1300,$A710,元データ_14項目!$B$2:$B$1300,"本年",元データ_14項目!$C$2:$C$1300,N$5)</f>
        <v>14</v>
      </c>
      <c r="O710" s="26">
        <f t="shared" si="20"/>
        <v>206</v>
      </c>
      <c r="P710" s="26">
        <f>SUMIFS(INDEX(元データ_14項目!$D$2:$Q$1300,0,MATCH($B710,元データ_14項目!$D$1:$Q$1,0)),元データ_14項目!$A$2:$A$1300,$A710,元データ_14項目!$B$2:$B$1300,"前年")</f>
        <v>198</v>
      </c>
      <c r="Q710" s="7">
        <f t="shared" si="21"/>
        <v>1.0404040404040404</v>
      </c>
    </row>
    <row r="711" spans="1:17" x14ac:dyDescent="0.45">
      <c r="A711" t="s">
        <v>85</v>
      </c>
      <c r="B711" t="s">
        <v>28</v>
      </c>
      <c r="C711" s="26">
        <f>SUMIFS(INDEX(元データ_14項目!$D$2:$Q$1300,0,MATCH($B711,元データ_14項目!$D$1:$Q$1,0)),元データ_14項目!$A$2:$A$1300,$A711,元データ_14項目!$B$2:$B$1300,"本年",元データ_14項目!$C$2:$C$1300,C$5)</f>
        <v>182</v>
      </c>
      <c r="D711" s="26">
        <f>SUMIFS(INDEX(元データ_14項目!$D$2:$Q$1300,0,MATCH($B711,元データ_14項目!$D$1:$Q$1,0)),元データ_14項目!$A$2:$A$1300,$A711,元データ_14項目!$B$2:$B$1300,"本年",元データ_14項目!$C$2:$C$1300,D$5)</f>
        <v>188</v>
      </c>
      <c r="E711" s="26">
        <f>SUMIFS(INDEX(元データ_14項目!$D$2:$Q$1300,0,MATCH($B711,元データ_14項目!$D$1:$Q$1,0)),元データ_14項目!$A$2:$A$1300,$A711,元データ_14項目!$B$2:$B$1300,"本年",元データ_14項目!$C$2:$C$1300,E$5)</f>
        <v>211</v>
      </c>
      <c r="F711" s="26">
        <f>SUMIFS(INDEX(元データ_14項目!$D$2:$Q$1300,0,MATCH($B711,元データ_14項目!$D$1:$Q$1,0)),元データ_14項目!$A$2:$A$1300,$A711,元データ_14項目!$B$2:$B$1300,"本年",元データ_14項目!$C$2:$C$1300,F$5)</f>
        <v>205</v>
      </c>
      <c r="G711" s="26">
        <f>SUMIFS(INDEX(元データ_14項目!$D$2:$Q$1300,0,MATCH($B711,元データ_14項目!$D$1:$Q$1,0)),元データ_14項目!$A$2:$A$1300,$A711,元データ_14項目!$B$2:$B$1300,"本年",元データ_14項目!$C$2:$C$1300,G$5)</f>
        <v>172</v>
      </c>
      <c r="H711" s="26">
        <f>SUMIFS(INDEX(元データ_14項目!$D$2:$Q$1300,0,MATCH($B711,元データ_14項目!$D$1:$Q$1,0)),元データ_14項目!$A$2:$A$1300,$A711,元データ_14項目!$B$2:$B$1300,"本年",元データ_14項目!$C$2:$C$1300,H$5)</f>
        <v>75</v>
      </c>
      <c r="I711" s="26">
        <f>SUMIFS(INDEX(元データ_14項目!$D$2:$Q$1300,0,MATCH($B711,元データ_14項目!$D$1:$Q$1,0)),元データ_14項目!$A$2:$A$1300,$A711,元データ_14項目!$B$2:$B$1300,"本年",元データ_14項目!$C$2:$C$1300,I$5)</f>
        <v>88</v>
      </c>
      <c r="J711" s="26">
        <f>SUMIFS(INDEX(元データ_14項目!$D$2:$Q$1300,0,MATCH($B711,元データ_14項目!$D$1:$Q$1,0)),元データ_14項目!$A$2:$A$1300,$A711,元データ_14項目!$B$2:$B$1300,"本年",元データ_14項目!$C$2:$C$1300,J$5)</f>
        <v>118</v>
      </c>
      <c r="K711" s="26">
        <f>SUMIFS(INDEX(元データ_14項目!$D$2:$Q$1300,0,MATCH($B711,元データ_14項目!$D$1:$Q$1,0)),元データ_14項目!$A$2:$A$1300,$A711,元データ_14項目!$B$2:$B$1300,"本年",元データ_14項目!$C$2:$C$1300,K$5)</f>
        <v>139</v>
      </c>
      <c r="L711" s="26">
        <f>SUMIFS(INDEX(元データ_14項目!$D$2:$Q$1300,0,MATCH($B711,元データ_14項目!$D$1:$Q$1,0)),元データ_14項目!$A$2:$A$1300,$A711,元データ_14項目!$B$2:$B$1300,"本年",元データ_14項目!$C$2:$C$1300,L$5)</f>
        <v>150</v>
      </c>
      <c r="M711" s="26">
        <f>SUMIFS(INDEX(元データ_14項目!$D$2:$Q$1300,0,MATCH($B711,元データ_14項目!$D$1:$Q$1,0)),元データ_14項目!$A$2:$A$1300,$A711,元データ_14項目!$B$2:$B$1300,"本年",元データ_14項目!$C$2:$C$1300,M$5)</f>
        <v>166</v>
      </c>
      <c r="N711" s="26">
        <f>SUMIFS(INDEX(元データ_14項目!$D$2:$Q$1300,0,MATCH($B711,元データ_14項目!$D$1:$Q$1,0)),元データ_14項目!$A$2:$A$1300,$A711,元データ_14項目!$B$2:$B$1300,"本年",元データ_14項目!$C$2:$C$1300,N$5)</f>
        <v>190</v>
      </c>
      <c r="O711" s="26">
        <f t="shared" ref="O711:O747" si="22">SUM(C711:N711)</f>
        <v>1884</v>
      </c>
      <c r="P711" s="26">
        <f>SUMIFS(INDEX(元データ_14項目!$D$2:$Q$1300,0,MATCH($B711,元データ_14項目!$D$1:$Q$1,0)),元データ_14項目!$A$2:$A$1300,$A711,元データ_14項目!$B$2:$B$1300,"前年")</f>
        <v>2028</v>
      </c>
      <c r="Q711" s="7">
        <f t="shared" ref="Q711:Q747" si="23">IFERROR(O711/P711,"")</f>
        <v>0.92899408284023666</v>
      </c>
    </row>
    <row r="712" spans="1:17" x14ac:dyDescent="0.45">
      <c r="A712" t="s">
        <v>85</v>
      </c>
      <c r="B712" t="s">
        <v>92</v>
      </c>
      <c r="C712" s="26">
        <f>SUMIFS(INDEX(元データ_14項目!$D$2:$Q$1300,0,MATCH($B712,元データ_14項目!$D$1:$Q$1,0)),元データ_14項目!$A$2:$A$1300,$A712,元データ_14項目!$B$2:$B$1300,"本年",元データ_14項目!$C$2:$C$1300,C$5)</f>
        <v>17</v>
      </c>
      <c r="D712" s="26">
        <f>SUMIFS(INDEX(元データ_14項目!$D$2:$Q$1300,0,MATCH($B712,元データ_14項目!$D$1:$Q$1,0)),元データ_14項目!$A$2:$A$1300,$A712,元データ_14項目!$B$2:$B$1300,"本年",元データ_14項目!$C$2:$C$1300,D$5)</f>
        <v>20</v>
      </c>
      <c r="E712" s="26">
        <f>SUMIFS(INDEX(元データ_14項目!$D$2:$Q$1300,0,MATCH($B712,元データ_14項目!$D$1:$Q$1,0)),元データ_14項目!$A$2:$A$1300,$A712,元データ_14項目!$B$2:$B$1300,"本年",元データ_14項目!$C$2:$C$1300,E$5)</f>
        <v>44</v>
      </c>
      <c r="F712" s="26">
        <f>SUMIFS(INDEX(元データ_14項目!$D$2:$Q$1300,0,MATCH($B712,元データ_14項目!$D$1:$Q$1,0)),元データ_14項目!$A$2:$A$1300,$A712,元データ_14項目!$B$2:$B$1300,"本年",元データ_14項目!$C$2:$C$1300,F$5)</f>
        <v>28</v>
      </c>
      <c r="G712" s="26">
        <f>SUMIFS(INDEX(元データ_14項目!$D$2:$Q$1300,0,MATCH($B712,元データ_14項目!$D$1:$Q$1,0)),元データ_14項目!$A$2:$A$1300,$A712,元データ_14項目!$B$2:$B$1300,"本年",元データ_14項目!$C$2:$C$1300,G$5)</f>
        <v>15</v>
      </c>
      <c r="H712" s="26">
        <f>SUMIFS(INDEX(元データ_14項目!$D$2:$Q$1300,0,MATCH($B712,元データ_14項目!$D$1:$Q$1,0)),元データ_14項目!$A$2:$A$1300,$A712,元データ_14項目!$B$2:$B$1300,"本年",元データ_14項目!$C$2:$C$1300,H$5)</f>
        <v>17</v>
      </c>
      <c r="I712" s="26">
        <f>SUMIFS(INDEX(元データ_14項目!$D$2:$Q$1300,0,MATCH($B712,元データ_14項目!$D$1:$Q$1,0)),元データ_14項目!$A$2:$A$1300,$A712,元データ_14項目!$B$2:$B$1300,"本年",元データ_14項目!$C$2:$C$1300,I$5)</f>
        <v>5</v>
      </c>
      <c r="J712" s="26">
        <f>SUMIFS(INDEX(元データ_14項目!$D$2:$Q$1300,0,MATCH($B712,元データ_14項目!$D$1:$Q$1,0)),元データ_14項目!$A$2:$A$1300,$A712,元データ_14項目!$B$2:$B$1300,"本年",元データ_14項目!$C$2:$C$1300,J$5)</f>
        <v>27</v>
      </c>
      <c r="K712" s="26">
        <f>SUMIFS(INDEX(元データ_14項目!$D$2:$Q$1300,0,MATCH($B712,元データ_14項目!$D$1:$Q$1,0)),元データ_14項目!$A$2:$A$1300,$A712,元データ_14項目!$B$2:$B$1300,"本年",元データ_14項目!$C$2:$C$1300,K$5)</f>
        <v>27</v>
      </c>
      <c r="L712" s="26">
        <f>SUMIFS(INDEX(元データ_14項目!$D$2:$Q$1300,0,MATCH($B712,元データ_14項目!$D$1:$Q$1,0)),元データ_14項目!$A$2:$A$1300,$A712,元データ_14項目!$B$2:$B$1300,"本年",元データ_14項目!$C$2:$C$1300,L$5)</f>
        <v>41</v>
      </c>
      <c r="M712" s="26">
        <f>SUMIFS(INDEX(元データ_14項目!$D$2:$Q$1300,0,MATCH($B712,元データ_14項目!$D$1:$Q$1,0)),元データ_14項目!$A$2:$A$1300,$A712,元データ_14項目!$B$2:$B$1300,"本年",元データ_14項目!$C$2:$C$1300,M$5)</f>
        <v>36</v>
      </c>
      <c r="N712" s="26">
        <f>SUMIFS(INDEX(元データ_14項目!$D$2:$Q$1300,0,MATCH($B712,元データ_14項目!$D$1:$Q$1,0)),元データ_14項目!$A$2:$A$1300,$A712,元データ_14項目!$B$2:$B$1300,"本年",元データ_14項目!$C$2:$C$1300,N$5)</f>
        <v>11</v>
      </c>
      <c r="O712" s="26">
        <f t="shared" si="22"/>
        <v>288</v>
      </c>
      <c r="P712" s="26">
        <f>SUMIFS(INDEX(元データ_14項目!$D$2:$Q$1300,0,MATCH($B712,元データ_14項目!$D$1:$Q$1,0)),元データ_14項目!$A$2:$A$1300,$A712,元データ_14項目!$B$2:$B$1300,"前年")</f>
        <v>298</v>
      </c>
      <c r="Q712" s="7">
        <f t="shared" si="23"/>
        <v>0.96644295302013428</v>
      </c>
    </row>
    <row r="713" spans="1:17" x14ac:dyDescent="0.45">
      <c r="A713" t="s">
        <v>85</v>
      </c>
      <c r="B713" t="s">
        <v>93</v>
      </c>
      <c r="C713" s="26">
        <f>SUMIFS(INDEX(元データ_14項目!$D$2:$Q$1300,0,MATCH($B713,元データ_14項目!$D$1:$Q$1,0)),元データ_14項目!$A$2:$A$1300,$A713,元データ_14項目!$B$2:$B$1300,"本年",元データ_14項目!$C$2:$C$1300,C$5)</f>
        <v>10</v>
      </c>
      <c r="D713" s="26">
        <f>SUMIFS(INDEX(元データ_14項目!$D$2:$Q$1300,0,MATCH($B713,元データ_14項目!$D$1:$Q$1,0)),元データ_14項目!$A$2:$A$1300,$A713,元データ_14項目!$B$2:$B$1300,"本年",元データ_14項目!$C$2:$C$1300,D$5)</f>
        <v>22</v>
      </c>
      <c r="E713" s="26">
        <f>SUMIFS(INDEX(元データ_14項目!$D$2:$Q$1300,0,MATCH($B713,元データ_14項目!$D$1:$Q$1,0)),元データ_14項目!$A$2:$A$1300,$A713,元データ_14項目!$B$2:$B$1300,"本年",元データ_14項目!$C$2:$C$1300,E$5)</f>
        <v>22</v>
      </c>
      <c r="F713" s="26">
        <f>SUMIFS(INDEX(元データ_14項目!$D$2:$Q$1300,0,MATCH($B713,元データ_14項目!$D$1:$Q$1,0)),元データ_14項目!$A$2:$A$1300,$A713,元データ_14項目!$B$2:$B$1300,"本年",元データ_14項目!$C$2:$C$1300,F$5)</f>
        <v>38</v>
      </c>
      <c r="G713" s="26">
        <f>SUMIFS(INDEX(元データ_14項目!$D$2:$Q$1300,0,MATCH($B713,元データ_14項目!$D$1:$Q$1,0)),元データ_14項目!$A$2:$A$1300,$A713,元データ_14項目!$B$2:$B$1300,"本年",元データ_14項目!$C$2:$C$1300,G$5)</f>
        <v>76</v>
      </c>
      <c r="H713" s="26">
        <f>SUMIFS(INDEX(元データ_14項目!$D$2:$Q$1300,0,MATCH($B713,元データ_14項目!$D$1:$Q$1,0)),元データ_14項目!$A$2:$A$1300,$A713,元データ_14項目!$B$2:$B$1300,"本年",元データ_14項目!$C$2:$C$1300,H$5)</f>
        <v>84</v>
      </c>
      <c r="I713" s="26">
        <f>SUMIFS(INDEX(元データ_14項目!$D$2:$Q$1300,0,MATCH($B713,元データ_14項目!$D$1:$Q$1,0)),元データ_14項目!$A$2:$A$1300,$A713,元データ_14項目!$B$2:$B$1300,"本年",元データ_14項目!$C$2:$C$1300,I$5)</f>
        <v>40</v>
      </c>
      <c r="J713" s="26">
        <f>SUMIFS(INDEX(元データ_14項目!$D$2:$Q$1300,0,MATCH($B713,元データ_14項目!$D$1:$Q$1,0)),元データ_14項目!$A$2:$A$1300,$A713,元データ_14項目!$B$2:$B$1300,"本年",元データ_14項目!$C$2:$C$1300,J$5)</f>
        <v>87</v>
      </c>
      <c r="K713" s="26">
        <f>SUMIFS(INDEX(元データ_14項目!$D$2:$Q$1300,0,MATCH($B713,元データ_14項目!$D$1:$Q$1,0)),元データ_14項目!$A$2:$A$1300,$A713,元データ_14項目!$B$2:$B$1300,"本年",元データ_14項目!$C$2:$C$1300,K$5)</f>
        <v>255</v>
      </c>
      <c r="L713" s="26">
        <f>SUMIFS(INDEX(元データ_14項目!$D$2:$Q$1300,0,MATCH($B713,元データ_14項目!$D$1:$Q$1,0)),元データ_14項目!$A$2:$A$1300,$A713,元データ_14項目!$B$2:$B$1300,"本年",元データ_14項目!$C$2:$C$1300,L$5)</f>
        <v>86</v>
      </c>
      <c r="M713" s="26">
        <f>SUMIFS(INDEX(元データ_14項目!$D$2:$Q$1300,0,MATCH($B713,元データ_14項目!$D$1:$Q$1,0)),元データ_14項目!$A$2:$A$1300,$A713,元データ_14項目!$B$2:$B$1300,"本年",元データ_14項目!$C$2:$C$1300,M$5)</f>
        <v>65</v>
      </c>
      <c r="N713" s="26">
        <f>SUMIFS(INDEX(元データ_14項目!$D$2:$Q$1300,0,MATCH($B713,元データ_14項目!$D$1:$Q$1,0)),元データ_14項目!$A$2:$A$1300,$A713,元データ_14項目!$B$2:$B$1300,"本年",元データ_14項目!$C$2:$C$1300,N$5)</f>
        <v>26</v>
      </c>
      <c r="O713" s="26">
        <f t="shared" si="22"/>
        <v>811</v>
      </c>
      <c r="P713" s="26">
        <f>SUMIFS(INDEX(元データ_14項目!$D$2:$Q$1300,0,MATCH($B713,元データ_14項目!$D$1:$Q$1,0)),元データ_14項目!$A$2:$A$1300,$A713,元データ_14項目!$B$2:$B$1300,"前年")</f>
        <v>863</v>
      </c>
      <c r="Q713" s="7">
        <f t="shared" si="23"/>
        <v>0.93974507531865581</v>
      </c>
    </row>
    <row r="714" spans="1:17" x14ac:dyDescent="0.45">
      <c r="A714" t="s">
        <v>85</v>
      </c>
      <c r="B714" t="s">
        <v>94</v>
      </c>
      <c r="C714" s="26">
        <f>SUMIFS(INDEX(元データ_14項目!$D$2:$Q$1300,0,MATCH($B714,元データ_14項目!$D$1:$Q$1,0)),元データ_14項目!$A$2:$A$1300,$A714,元データ_14項目!$B$2:$B$1300,"本年",元データ_14項目!$C$2:$C$1300,C$5)</f>
        <v>12</v>
      </c>
      <c r="D714" s="26">
        <f>SUMIFS(INDEX(元データ_14項目!$D$2:$Q$1300,0,MATCH($B714,元データ_14項目!$D$1:$Q$1,0)),元データ_14項目!$A$2:$A$1300,$A714,元データ_14項目!$B$2:$B$1300,"本年",元データ_14項目!$C$2:$C$1300,D$5)</f>
        <v>4</v>
      </c>
      <c r="E714" s="26">
        <f>SUMIFS(INDEX(元データ_14項目!$D$2:$Q$1300,0,MATCH($B714,元データ_14項目!$D$1:$Q$1,0)),元データ_14項目!$A$2:$A$1300,$A714,元データ_14項目!$B$2:$B$1300,"本年",元データ_14項目!$C$2:$C$1300,E$5)</f>
        <v>25</v>
      </c>
      <c r="F714" s="26">
        <f>SUMIFS(INDEX(元データ_14項目!$D$2:$Q$1300,0,MATCH($B714,元データ_14項目!$D$1:$Q$1,0)),元データ_14項目!$A$2:$A$1300,$A714,元データ_14項目!$B$2:$B$1300,"本年",元データ_14項目!$C$2:$C$1300,F$5)</f>
        <v>30</v>
      </c>
      <c r="G714" s="26">
        <f>SUMIFS(INDEX(元データ_14項目!$D$2:$Q$1300,0,MATCH($B714,元データ_14項目!$D$1:$Q$1,0)),元データ_14項目!$A$2:$A$1300,$A714,元データ_14項目!$B$2:$B$1300,"本年",元データ_14項目!$C$2:$C$1300,G$5)</f>
        <v>32</v>
      </c>
      <c r="H714" s="26">
        <f>SUMIFS(INDEX(元データ_14項目!$D$2:$Q$1300,0,MATCH($B714,元データ_14項目!$D$1:$Q$1,0)),元データ_14項目!$A$2:$A$1300,$A714,元データ_14項目!$B$2:$B$1300,"本年",元データ_14項目!$C$2:$C$1300,H$5)</f>
        <v>14</v>
      </c>
      <c r="I714" s="26">
        <f>SUMIFS(INDEX(元データ_14項目!$D$2:$Q$1300,0,MATCH($B714,元データ_14項目!$D$1:$Q$1,0)),元データ_14項目!$A$2:$A$1300,$A714,元データ_14項目!$B$2:$B$1300,"本年",元データ_14項目!$C$2:$C$1300,I$5)</f>
        <v>13</v>
      </c>
      <c r="J714" s="26">
        <f>SUMIFS(INDEX(元データ_14項目!$D$2:$Q$1300,0,MATCH($B714,元データ_14項目!$D$1:$Q$1,0)),元データ_14項目!$A$2:$A$1300,$A714,元データ_14項目!$B$2:$B$1300,"本年",元データ_14項目!$C$2:$C$1300,J$5)</f>
        <v>23</v>
      </c>
      <c r="K714" s="26">
        <f>SUMIFS(INDEX(元データ_14項目!$D$2:$Q$1300,0,MATCH($B714,元データ_14項目!$D$1:$Q$1,0)),元データ_14項目!$A$2:$A$1300,$A714,元データ_14項目!$B$2:$B$1300,"本年",元データ_14項目!$C$2:$C$1300,K$5)</f>
        <v>103</v>
      </c>
      <c r="L714" s="26">
        <f>SUMIFS(INDEX(元データ_14項目!$D$2:$Q$1300,0,MATCH($B714,元データ_14項目!$D$1:$Q$1,0)),元データ_14項目!$A$2:$A$1300,$A714,元データ_14項目!$B$2:$B$1300,"本年",元データ_14項目!$C$2:$C$1300,L$5)</f>
        <v>53</v>
      </c>
      <c r="M714" s="26">
        <f>SUMIFS(INDEX(元データ_14項目!$D$2:$Q$1300,0,MATCH($B714,元データ_14項目!$D$1:$Q$1,0)),元データ_14項目!$A$2:$A$1300,$A714,元データ_14項目!$B$2:$B$1300,"本年",元データ_14項目!$C$2:$C$1300,M$5)</f>
        <v>54</v>
      </c>
      <c r="N714" s="26">
        <f>SUMIFS(INDEX(元データ_14項目!$D$2:$Q$1300,0,MATCH($B714,元データ_14項目!$D$1:$Q$1,0)),元データ_14項目!$A$2:$A$1300,$A714,元データ_14項目!$B$2:$B$1300,"本年",元データ_14項目!$C$2:$C$1300,N$5)</f>
        <v>24</v>
      </c>
      <c r="O714" s="26">
        <f t="shared" si="22"/>
        <v>387</v>
      </c>
      <c r="P714" s="26">
        <f>SUMIFS(INDEX(元データ_14項目!$D$2:$Q$1300,0,MATCH($B714,元データ_14項目!$D$1:$Q$1,0)),元データ_14項目!$A$2:$A$1300,$A714,元データ_14項目!$B$2:$B$1300,"前年")</f>
        <v>436</v>
      </c>
      <c r="Q714" s="7">
        <f t="shared" si="23"/>
        <v>0.88761467889908252</v>
      </c>
    </row>
    <row r="715" spans="1:17" x14ac:dyDescent="0.45">
      <c r="A715" t="s">
        <v>85</v>
      </c>
      <c r="B715" t="s">
        <v>95</v>
      </c>
      <c r="C715" s="26">
        <f>SUMIFS(INDEX(元データ_14項目!$D$2:$Q$1300,0,MATCH($B715,元データ_14項目!$D$1:$Q$1,0)),元データ_14項目!$A$2:$A$1300,$A715,元データ_14項目!$B$2:$B$1300,"本年",元データ_14項目!$C$2:$C$1300,C$5)</f>
        <v>14</v>
      </c>
      <c r="D715" s="26">
        <f>SUMIFS(INDEX(元データ_14項目!$D$2:$Q$1300,0,MATCH($B715,元データ_14項目!$D$1:$Q$1,0)),元データ_14項目!$A$2:$A$1300,$A715,元データ_14項目!$B$2:$B$1300,"本年",元データ_14項目!$C$2:$C$1300,D$5)</f>
        <v>28</v>
      </c>
      <c r="E715" s="26">
        <f>SUMIFS(INDEX(元データ_14項目!$D$2:$Q$1300,0,MATCH($B715,元データ_14項目!$D$1:$Q$1,0)),元データ_14項目!$A$2:$A$1300,$A715,元データ_14項目!$B$2:$B$1300,"本年",元データ_14項目!$C$2:$C$1300,E$5)</f>
        <v>31</v>
      </c>
      <c r="F715" s="26">
        <f>SUMIFS(INDEX(元データ_14項目!$D$2:$Q$1300,0,MATCH($B715,元データ_14項目!$D$1:$Q$1,0)),元データ_14項目!$A$2:$A$1300,$A715,元データ_14項目!$B$2:$B$1300,"本年",元データ_14項目!$C$2:$C$1300,F$5)</f>
        <v>35</v>
      </c>
      <c r="G715" s="26">
        <f>SUMIFS(INDEX(元データ_14項目!$D$2:$Q$1300,0,MATCH($B715,元データ_14項目!$D$1:$Q$1,0)),元データ_14項目!$A$2:$A$1300,$A715,元データ_14項目!$B$2:$B$1300,"本年",元データ_14項目!$C$2:$C$1300,G$5)</f>
        <v>28</v>
      </c>
      <c r="H715" s="26">
        <f>SUMIFS(INDEX(元データ_14項目!$D$2:$Q$1300,0,MATCH($B715,元データ_14項目!$D$1:$Q$1,0)),元データ_14項目!$A$2:$A$1300,$A715,元データ_14項目!$B$2:$B$1300,"本年",元データ_14項目!$C$2:$C$1300,H$5)</f>
        <v>13</v>
      </c>
      <c r="I715" s="26">
        <f>SUMIFS(INDEX(元データ_14項目!$D$2:$Q$1300,0,MATCH($B715,元データ_14項目!$D$1:$Q$1,0)),元データ_14項目!$A$2:$A$1300,$A715,元データ_14項目!$B$2:$B$1300,"本年",元データ_14項目!$C$2:$C$1300,I$5)</f>
        <v>15</v>
      </c>
      <c r="J715" s="26">
        <f>SUMIFS(INDEX(元データ_14項目!$D$2:$Q$1300,0,MATCH($B715,元データ_14項目!$D$1:$Q$1,0)),元データ_14項目!$A$2:$A$1300,$A715,元データ_14項目!$B$2:$B$1300,"本年",元データ_14項目!$C$2:$C$1300,J$5)</f>
        <v>22</v>
      </c>
      <c r="K715" s="26">
        <f>SUMIFS(INDEX(元データ_14項目!$D$2:$Q$1300,0,MATCH($B715,元データ_14項目!$D$1:$Q$1,0)),元データ_14項目!$A$2:$A$1300,$A715,元データ_14項目!$B$2:$B$1300,"本年",元データ_14項目!$C$2:$C$1300,K$5)</f>
        <v>69</v>
      </c>
      <c r="L715" s="26">
        <f>SUMIFS(INDEX(元データ_14項目!$D$2:$Q$1300,0,MATCH($B715,元データ_14項目!$D$1:$Q$1,0)),元データ_14項目!$A$2:$A$1300,$A715,元データ_14項目!$B$2:$B$1300,"本年",元データ_14項目!$C$2:$C$1300,L$5)</f>
        <v>26</v>
      </c>
      <c r="M715" s="26">
        <f>SUMIFS(INDEX(元データ_14項目!$D$2:$Q$1300,0,MATCH($B715,元データ_14項目!$D$1:$Q$1,0)),元データ_14項目!$A$2:$A$1300,$A715,元データ_14項目!$B$2:$B$1300,"本年",元データ_14項目!$C$2:$C$1300,M$5)</f>
        <v>24</v>
      </c>
      <c r="N715" s="26">
        <f>SUMIFS(INDEX(元データ_14項目!$D$2:$Q$1300,0,MATCH($B715,元データ_14項目!$D$1:$Q$1,0)),元データ_14項目!$A$2:$A$1300,$A715,元データ_14項目!$B$2:$B$1300,"本年",元データ_14項目!$C$2:$C$1300,N$5)</f>
        <v>25</v>
      </c>
      <c r="O715" s="26">
        <f t="shared" si="22"/>
        <v>330</v>
      </c>
      <c r="P715" s="26">
        <f>SUMIFS(INDEX(元データ_14項目!$D$2:$Q$1300,0,MATCH($B715,元データ_14項目!$D$1:$Q$1,0)),元データ_14項目!$A$2:$A$1300,$A715,元データ_14項目!$B$2:$B$1300,"前年")</f>
        <v>335</v>
      </c>
      <c r="Q715" s="7">
        <f t="shared" si="23"/>
        <v>0.9850746268656716</v>
      </c>
    </row>
    <row r="716" spans="1:17" x14ac:dyDescent="0.45">
      <c r="A716" t="s">
        <v>85</v>
      </c>
      <c r="B716" t="s">
        <v>96</v>
      </c>
      <c r="C716" s="26">
        <f>SUMIFS(INDEX(元データ_14項目!$D$2:$Q$1300,0,MATCH($B716,元データ_14項目!$D$1:$Q$1,0)),元データ_14項目!$A$2:$A$1300,$A716,元データ_14項目!$B$2:$B$1300,"本年",元データ_14項目!$C$2:$C$1300,C$5)</f>
        <v>8</v>
      </c>
      <c r="D716" s="26">
        <f>SUMIFS(INDEX(元データ_14項目!$D$2:$Q$1300,0,MATCH($B716,元データ_14項目!$D$1:$Q$1,0)),元データ_14項目!$A$2:$A$1300,$A716,元データ_14項目!$B$2:$B$1300,"本年",元データ_14項目!$C$2:$C$1300,D$5)</f>
        <v>15</v>
      </c>
      <c r="E716" s="26">
        <f>SUMIFS(INDEX(元データ_14項目!$D$2:$Q$1300,0,MATCH($B716,元データ_14項目!$D$1:$Q$1,0)),元データ_14項目!$A$2:$A$1300,$A716,元データ_14項目!$B$2:$B$1300,"本年",元データ_14項目!$C$2:$C$1300,E$5)</f>
        <v>34</v>
      </c>
      <c r="F716" s="26">
        <f>SUMIFS(INDEX(元データ_14項目!$D$2:$Q$1300,0,MATCH($B716,元データ_14項目!$D$1:$Q$1,0)),元データ_14項目!$A$2:$A$1300,$A716,元データ_14項目!$B$2:$B$1300,"本年",元データ_14項目!$C$2:$C$1300,F$5)</f>
        <v>33</v>
      </c>
      <c r="G716" s="26">
        <f>SUMIFS(INDEX(元データ_14項目!$D$2:$Q$1300,0,MATCH($B716,元データ_14項目!$D$1:$Q$1,0)),元データ_14項目!$A$2:$A$1300,$A716,元データ_14項目!$B$2:$B$1300,"本年",元データ_14項目!$C$2:$C$1300,G$5)</f>
        <v>41</v>
      </c>
      <c r="H716" s="26">
        <f>SUMIFS(INDEX(元データ_14項目!$D$2:$Q$1300,0,MATCH($B716,元データ_14項目!$D$1:$Q$1,0)),元データ_14項目!$A$2:$A$1300,$A716,元データ_14項目!$B$2:$B$1300,"本年",元データ_14項目!$C$2:$C$1300,H$5)</f>
        <v>25</v>
      </c>
      <c r="I716" s="26">
        <f>SUMIFS(INDEX(元データ_14項目!$D$2:$Q$1300,0,MATCH($B716,元データ_14項目!$D$1:$Q$1,0)),元データ_14項目!$A$2:$A$1300,$A716,元データ_14項目!$B$2:$B$1300,"本年",元データ_14項目!$C$2:$C$1300,I$5)</f>
        <v>26</v>
      </c>
      <c r="J716" s="26">
        <f>SUMIFS(INDEX(元データ_14項目!$D$2:$Q$1300,0,MATCH($B716,元データ_14項目!$D$1:$Q$1,0)),元データ_14項目!$A$2:$A$1300,$A716,元データ_14項目!$B$2:$B$1300,"本年",元データ_14項目!$C$2:$C$1300,J$5)</f>
        <v>123</v>
      </c>
      <c r="K716" s="26">
        <f>SUMIFS(INDEX(元データ_14項目!$D$2:$Q$1300,0,MATCH($B716,元データ_14項目!$D$1:$Q$1,0)),元データ_14項目!$A$2:$A$1300,$A716,元データ_14項目!$B$2:$B$1300,"本年",元データ_14項目!$C$2:$C$1300,K$5)</f>
        <v>306</v>
      </c>
      <c r="L716" s="26">
        <f>SUMIFS(INDEX(元データ_14項目!$D$2:$Q$1300,0,MATCH($B716,元データ_14項目!$D$1:$Q$1,0)),元データ_14項目!$A$2:$A$1300,$A716,元データ_14項目!$B$2:$B$1300,"本年",元データ_14項目!$C$2:$C$1300,L$5)</f>
        <v>164</v>
      </c>
      <c r="M716" s="26">
        <f>SUMIFS(INDEX(元データ_14項目!$D$2:$Q$1300,0,MATCH($B716,元データ_14項目!$D$1:$Q$1,0)),元データ_14項目!$A$2:$A$1300,$A716,元データ_14項目!$B$2:$B$1300,"本年",元データ_14項目!$C$2:$C$1300,M$5)</f>
        <v>82</v>
      </c>
      <c r="N716" s="26">
        <f>SUMIFS(INDEX(元データ_14項目!$D$2:$Q$1300,0,MATCH($B716,元データ_14項目!$D$1:$Q$1,0)),元データ_14項目!$A$2:$A$1300,$A716,元データ_14項目!$B$2:$B$1300,"本年",元データ_14項目!$C$2:$C$1300,N$5)</f>
        <v>40</v>
      </c>
      <c r="O716" s="26">
        <f t="shared" si="22"/>
        <v>897</v>
      </c>
      <c r="P716" s="26">
        <f>SUMIFS(INDEX(元データ_14項目!$D$2:$Q$1300,0,MATCH($B716,元データ_14項目!$D$1:$Q$1,0)),元データ_14項目!$A$2:$A$1300,$A716,元データ_14項目!$B$2:$B$1300,"前年")</f>
        <v>911</v>
      </c>
      <c r="Q716" s="7">
        <f t="shared" si="23"/>
        <v>0.9846322722283205</v>
      </c>
    </row>
    <row r="717" spans="1:17" x14ac:dyDescent="0.45">
      <c r="A717" t="s">
        <v>85</v>
      </c>
      <c r="B717" t="s">
        <v>97</v>
      </c>
      <c r="C717" s="26">
        <f>SUMIFS(INDEX(元データ_14項目!$D$2:$Q$1300,0,MATCH($B717,元データ_14項目!$D$1:$Q$1,0)),元データ_14項目!$A$2:$A$1300,$A717,元データ_14項目!$B$2:$B$1300,"本年",元データ_14項目!$C$2:$C$1300,C$5)</f>
        <v>18</v>
      </c>
      <c r="D717" s="26">
        <f>SUMIFS(INDEX(元データ_14項目!$D$2:$Q$1300,0,MATCH($B717,元データ_14項目!$D$1:$Q$1,0)),元データ_14項目!$A$2:$A$1300,$A717,元データ_14項目!$B$2:$B$1300,"本年",元データ_14項目!$C$2:$C$1300,D$5)</f>
        <v>19</v>
      </c>
      <c r="E717" s="26">
        <f>SUMIFS(INDEX(元データ_14項目!$D$2:$Q$1300,0,MATCH($B717,元データ_14項目!$D$1:$Q$1,0)),元データ_14項目!$A$2:$A$1300,$A717,元データ_14項目!$B$2:$B$1300,"本年",元データ_14項目!$C$2:$C$1300,E$5)</f>
        <v>43</v>
      </c>
      <c r="F717" s="26">
        <f>SUMIFS(INDEX(元データ_14項目!$D$2:$Q$1300,0,MATCH($B717,元データ_14項目!$D$1:$Q$1,0)),元データ_14項目!$A$2:$A$1300,$A717,元データ_14項目!$B$2:$B$1300,"本年",元データ_14項目!$C$2:$C$1300,F$5)</f>
        <v>17</v>
      </c>
      <c r="G717" s="26">
        <f>SUMIFS(INDEX(元データ_14項目!$D$2:$Q$1300,0,MATCH($B717,元データ_14項目!$D$1:$Q$1,0)),元データ_14項目!$A$2:$A$1300,$A717,元データ_14項目!$B$2:$B$1300,"本年",元データ_14項目!$C$2:$C$1300,G$5)</f>
        <v>48</v>
      </c>
      <c r="H717" s="26">
        <f>SUMIFS(INDEX(元データ_14項目!$D$2:$Q$1300,0,MATCH($B717,元データ_14項目!$D$1:$Q$1,0)),元データ_14項目!$A$2:$A$1300,$A717,元データ_14項目!$B$2:$B$1300,"本年",元データ_14項目!$C$2:$C$1300,H$5)</f>
        <v>24</v>
      </c>
      <c r="I717" s="26">
        <f>SUMIFS(INDEX(元データ_14項目!$D$2:$Q$1300,0,MATCH($B717,元データ_14項目!$D$1:$Q$1,0)),元データ_14項目!$A$2:$A$1300,$A717,元データ_14項目!$B$2:$B$1300,"本年",元データ_14項目!$C$2:$C$1300,I$5)</f>
        <v>29</v>
      </c>
      <c r="J717" s="26">
        <f>SUMIFS(INDEX(元データ_14項目!$D$2:$Q$1300,0,MATCH($B717,元データ_14項目!$D$1:$Q$1,0)),元データ_14項目!$A$2:$A$1300,$A717,元データ_14項目!$B$2:$B$1300,"本年",元データ_14項目!$C$2:$C$1300,J$5)</f>
        <v>62</v>
      </c>
      <c r="K717" s="26">
        <f>SUMIFS(INDEX(元データ_14項目!$D$2:$Q$1300,0,MATCH($B717,元データ_14項目!$D$1:$Q$1,0)),元データ_14項目!$A$2:$A$1300,$A717,元データ_14項目!$B$2:$B$1300,"本年",元データ_14項目!$C$2:$C$1300,K$5)</f>
        <v>241</v>
      </c>
      <c r="L717" s="26">
        <f>SUMIFS(INDEX(元データ_14項目!$D$2:$Q$1300,0,MATCH($B717,元データ_14項目!$D$1:$Q$1,0)),元データ_14項目!$A$2:$A$1300,$A717,元データ_14項目!$B$2:$B$1300,"本年",元データ_14項目!$C$2:$C$1300,L$5)</f>
        <v>127</v>
      </c>
      <c r="M717" s="26">
        <f>SUMIFS(INDEX(元データ_14項目!$D$2:$Q$1300,0,MATCH($B717,元データ_14項目!$D$1:$Q$1,0)),元データ_14項目!$A$2:$A$1300,$A717,元データ_14項目!$B$2:$B$1300,"本年",元データ_14項目!$C$2:$C$1300,M$5)</f>
        <v>75</v>
      </c>
      <c r="N717" s="26">
        <f>SUMIFS(INDEX(元データ_14項目!$D$2:$Q$1300,0,MATCH($B717,元データ_14項目!$D$1:$Q$1,0)),元データ_14項目!$A$2:$A$1300,$A717,元データ_14項目!$B$2:$B$1300,"本年",元データ_14項目!$C$2:$C$1300,N$5)</f>
        <v>40</v>
      </c>
      <c r="O717" s="26">
        <f t="shared" si="22"/>
        <v>743</v>
      </c>
      <c r="P717" s="26">
        <f>SUMIFS(INDEX(元データ_14項目!$D$2:$Q$1300,0,MATCH($B717,元データ_14項目!$D$1:$Q$1,0)),元データ_14項目!$A$2:$A$1300,$A717,元データ_14項目!$B$2:$B$1300,"前年")</f>
        <v>715</v>
      </c>
      <c r="Q717" s="7">
        <f t="shared" si="23"/>
        <v>1.0391608391608391</v>
      </c>
    </row>
    <row r="718" spans="1:17" x14ac:dyDescent="0.45">
      <c r="A718" t="s">
        <v>85</v>
      </c>
      <c r="B718" t="s">
        <v>98</v>
      </c>
      <c r="C718" s="26">
        <f>SUMIFS(INDEX(元データ_14項目!$D$2:$Q$1300,0,MATCH($B718,元データ_14項目!$D$1:$Q$1,0)),元データ_14項目!$A$2:$A$1300,$A718,元データ_14項目!$B$2:$B$1300,"本年",元データ_14項目!$C$2:$C$1300,C$5)</f>
        <v>10</v>
      </c>
      <c r="D718" s="26">
        <f>SUMIFS(INDEX(元データ_14項目!$D$2:$Q$1300,0,MATCH($B718,元データ_14項目!$D$1:$Q$1,0)),元データ_14項目!$A$2:$A$1300,$A718,元データ_14項目!$B$2:$B$1300,"本年",元データ_14項目!$C$2:$C$1300,D$5)</f>
        <v>6</v>
      </c>
      <c r="E718" s="26">
        <f>SUMIFS(INDEX(元データ_14項目!$D$2:$Q$1300,0,MATCH($B718,元データ_14項目!$D$1:$Q$1,0)),元データ_14項目!$A$2:$A$1300,$A718,元データ_14項目!$B$2:$B$1300,"本年",元データ_14項目!$C$2:$C$1300,E$5)</f>
        <v>18</v>
      </c>
      <c r="F718" s="26">
        <f>SUMIFS(INDEX(元データ_14項目!$D$2:$Q$1300,0,MATCH($B718,元データ_14項目!$D$1:$Q$1,0)),元データ_14項目!$A$2:$A$1300,$A718,元データ_14項目!$B$2:$B$1300,"本年",元データ_14項目!$C$2:$C$1300,F$5)</f>
        <v>10</v>
      </c>
      <c r="G718" s="26">
        <f>SUMIFS(INDEX(元データ_14項目!$D$2:$Q$1300,0,MATCH($B718,元データ_14項目!$D$1:$Q$1,0)),元データ_14項目!$A$2:$A$1300,$A718,元データ_14項目!$B$2:$B$1300,"本年",元データ_14項目!$C$2:$C$1300,G$5)</f>
        <v>7</v>
      </c>
      <c r="H718" s="26">
        <f>SUMIFS(INDEX(元データ_14項目!$D$2:$Q$1300,0,MATCH($B718,元データ_14項目!$D$1:$Q$1,0)),元データ_14項目!$A$2:$A$1300,$A718,元データ_14項目!$B$2:$B$1300,"本年",元データ_14項目!$C$2:$C$1300,H$5)</f>
        <v>9</v>
      </c>
      <c r="I718" s="26">
        <f>SUMIFS(INDEX(元データ_14項目!$D$2:$Q$1300,0,MATCH($B718,元データ_14項目!$D$1:$Q$1,0)),元データ_14項目!$A$2:$A$1300,$A718,元データ_14項目!$B$2:$B$1300,"本年",元データ_14項目!$C$2:$C$1300,I$5)</f>
        <v>4</v>
      </c>
      <c r="J718" s="26">
        <f>SUMIFS(INDEX(元データ_14項目!$D$2:$Q$1300,0,MATCH($B718,元データ_14項目!$D$1:$Q$1,0)),元データ_14項目!$A$2:$A$1300,$A718,元データ_14項目!$B$2:$B$1300,"本年",元データ_14項目!$C$2:$C$1300,J$5)</f>
        <v>75</v>
      </c>
      <c r="K718" s="26">
        <f>SUMIFS(INDEX(元データ_14項目!$D$2:$Q$1300,0,MATCH($B718,元データ_14項目!$D$1:$Q$1,0)),元データ_14項目!$A$2:$A$1300,$A718,元データ_14項目!$B$2:$B$1300,"本年",元データ_14項目!$C$2:$C$1300,K$5)</f>
        <v>175</v>
      </c>
      <c r="L718" s="26">
        <f>SUMIFS(INDEX(元データ_14項目!$D$2:$Q$1300,0,MATCH($B718,元データ_14項目!$D$1:$Q$1,0)),元データ_14項目!$A$2:$A$1300,$A718,元データ_14項目!$B$2:$B$1300,"本年",元データ_14項目!$C$2:$C$1300,L$5)</f>
        <v>68</v>
      </c>
      <c r="M718" s="26">
        <f>SUMIFS(INDEX(元データ_14項目!$D$2:$Q$1300,0,MATCH($B718,元データ_14項目!$D$1:$Q$1,0)),元データ_14項目!$A$2:$A$1300,$A718,元データ_14項目!$B$2:$B$1300,"本年",元データ_14項目!$C$2:$C$1300,M$5)</f>
        <v>27</v>
      </c>
      <c r="N718" s="26">
        <f>SUMIFS(INDEX(元データ_14項目!$D$2:$Q$1300,0,MATCH($B718,元データ_14項目!$D$1:$Q$1,0)),元データ_14項目!$A$2:$A$1300,$A718,元データ_14項目!$B$2:$B$1300,"本年",元データ_14項目!$C$2:$C$1300,N$5)</f>
        <v>11</v>
      </c>
      <c r="O718" s="26">
        <f t="shared" si="22"/>
        <v>420</v>
      </c>
      <c r="P718" s="26">
        <f>SUMIFS(INDEX(元データ_14項目!$D$2:$Q$1300,0,MATCH($B718,元データ_14項目!$D$1:$Q$1,0)),元データ_14項目!$A$2:$A$1300,$A718,元データ_14項目!$B$2:$B$1300,"前年")</f>
        <v>449</v>
      </c>
      <c r="Q718" s="7">
        <f t="shared" si="23"/>
        <v>0.93541202672605794</v>
      </c>
    </row>
    <row r="719" spans="1:17" x14ac:dyDescent="0.45">
      <c r="A719" t="s">
        <v>85</v>
      </c>
      <c r="B719" t="s">
        <v>99</v>
      </c>
      <c r="C719" s="26">
        <f>SUMIFS(INDEX(元データ_14項目!$D$2:$Q$1300,0,MATCH($B719,元データ_14項目!$D$1:$Q$1,0)),元データ_14項目!$A$2:$A$1300,$A719,元データ_14項目!$B$2:$B$1300,"本年",元データ_14項目!$C$2:$C$1300,C$5)</f>
        <v>0</v>
      </c>
      <c r="D719" s="26">
        <f>SUMIFS(INDEX(元データ_14項目!$D$2:$Q$1300,0,MATCH($B719,元データ_14項目!$D$1:$Q$1,0)),元データ_14項目!$A$2:$A$1300,$A719,元データ_14項目!$B$2:$B$1300,"本年",元データ_14項目!$C$2:$C$1300,D$5)</f>
        <v>0</v>
      </c>
      <c r="E719" s="26">
        <f>SUMIFS(INDEX(元データ_14項目!$D$2:$Q$1300,0,MATCH($B719,元データ_14項目!$D$1:$Q$1,0)),元データ_14項目!$A$2:$A$1300,$A719,元データ_14項目!$B$2:$B$1300,"本年",元データ_14項目!$C$2:$C$1300,E$5)</f>
        <v>0</v>
      </c>
      <c r="F719" s="26">
        <f>SUMIFS(INDEX(元データ_14項目!$D$2:$Q$1300,0,MATCH($B719,元データ_14項目!$D$1:$Q$1,0)),元データ_14項目!$A$2:$A$1300,$A719,元データ_14項目!$B$2:$B$1300,"本年",元データ_14項目!$C$2:$C$1300,F$5)</f>
        <v>0</v>
      </c>
      <c r="G719" s="26">
        <f>SUMIFS(INDEX(元データ_14項目!$D$2:$Q$1300,0,MATCH($B719,元データ_14項目!$D$1:$Q$1,0)),元データ_14項目!$A$2:$A$1300,$A719,元データ_14項目!$B$2:$B$1300,"本年",元データ_14項目!$C$2:$C$1300,G$5)</f>
        <v>2</v>
      </c>
      <c r="H719" s="26">
        <f>SUMIFS(INDEX(元データ_14項目!$D$2:$Q$1300,0,MATCH($B719,元データ_14項目!$D$1:$Q$1,0)),元データ_14項目!$A$2:$A$1300,$A719,元データ_14項目!$B$2:$B$1300,"本年",元データ_14項目!$C$2:$C$1300,H$5)</f>
        <v>2</v>
      </c>
      <c r="I719" s="26">
        <f>SUMIFS(INDEX(元データ_14項目!$D$2:$Q$1300,0,MATCH($B719,元データ_14項目!$D$1:$Q$1,0)),元データ_14項目!$A$2:$A$1300,$A719,元データ_14項目!$B$2:$B$1300,"本年",元データ_14項目!$C$2:$C$1300,I$5)</f>
        <v>1</v>
      </c>
      <c r="J719" s="26">
        <f>SUMIFS(INDEX(元データ_14項目!$D$2:$Q$1300,0,MATCH($B719,元データ_14項目!$D$1:$Q$1,0)),元データ_14項目!$A$2:$A$1300,$A719,元データ_14項目!$B$2:$B$1300,"本年",元データ_14項目!$C$2:$C$1300,J$5)</f>
        <v>2</v>
      </c>
      <c r="K719" s="26">
        <f>SUMIFS(INDEX(元データ_14項目!$D$2:$Q$1300,0,MATCH($B719,元データ_14項目!$D$1:$Q$1,0)),元データ_14項目!$A$2:$A$1300,$A719,元データ_14項目!$B$2:$B$1300,"本年",元データ_14項目!$C$2:$C$1300,K$5)</f>
        <v>8</v>
      </c>
      <c r="L719" s="26">
        <f>SUMIFS(INDEX(元データ_14項目!$D$2:$Q$1300,0,MATCH($B719,元データ_14項目!$D$1:$Q$1,0)),元データ_14項目!$A$2:$A$1300,$A719,元データ_14項目!$B$2:$B$1300,"本年",元データ_14項目!$C$2:$C$1300,L$5)</f>
        <v>4</v>
      </c>
      <c r="M719" s="26">
        <f>SUMIFS(INDEX(元データ_14項目!$D$2:$Q$1300,0,MATCH($B719,元データ_14項目!$D$1:$Q$1,0)),元データ_14項目!$A$2:$A$1300,$A719,元データ_14項目!$B$2:$B$1300,"本年",元データ_14項目!$C$2:$C$1300,M$5)</f>
        <v>1</v>
      </c>
      <c r="N719" s="26">
        <f>SUMIFS(INDEX(元データ_14項目!$D$2:$Q$1300,0,MATCH($B719,元データ_14項目!$D$1:$Q$1,0)),元データ_14項目!$A$2:$A$1300,$A719,元データ_14項目!$B$2:$B$1300,"本年",元データ_14項目!$C$2:$C$1300,N$5)</f>
        <v>0</v>
      </c>
      <c r="O719" s="26">
        <f t="shared" si="22"/>
        <v>20</v>
      </c>
      <c r="P719" s="26">
        <f>SUMIFS(INDEX(元データ_14項目!$D$2:$Q$1300,0,MATCH($B719,元データ_14項目!$D$1:$Q$1,0)),元データ_14項目!$A$2:$A$1300,$A719,元データ_14項目!$B$2:$B$1300,"前年")</f>
        <v>32</v>
      </c>
      <c r="Q719" s="7">
        <f t="shared" si="23"/>
        <v>0.625</v>
      </c>
    </row>
    <row r="720" spans="1:17" x14ac:dyDescent="0.45">
      <c r="A720" t="s">
        <v>86</v>
      </c>
      <c r="B720" t="s">
        <v>27</v>
      </c>
      <c r="C720" s="26">
        <f>SUMIFS(INDEX(元データ_14項目!$D$2:$Q$1300,0,MATCH($B720,元データ_14項目!$D$1:$Q$1,0)),元データ_14項目!$A$2:$A$1300,$A720,元データ_14項目!$B$2:$B$1300,"本年",元データ_14項目!$C$2:$C$1300,C$5)</f>
        <v>342</v>
      </c>
      <c r="D720" s="26">
        <f>SUMIFS(INDEX(元データ_14項目!$D$2:$Q$1300,0,MATCH($B720,元データ_14項目!$D$1:$Q$1,0)),元データ_14項目!$A$2:$A$1300,$A720,元データ_14項目!$B$2:$B$1300,"本年",元データ_14項目!$C$2:$C$1300,D$5)</f>
        <v>449</v>
      </c>
      <c r="E720" s="26">
        <f>SUMIFS(INDEX(元データ_14項目!$D$2:$Q$1300,0,MATCH($B720,元データ_14項目!$D$1:$Q$1,0)),元データ_14項目!$A$2:$A$1300,$A720,元データ_14項目!$B$2:$B$1300,"本年",元データ_14項目!$C$2:$C$1300,E$5)</f>
        <v>535</v>
      </c>
      <c r="F720" s="26">
        <f>SUMIFS(INDEX(元データ_14項目!$D$2:$Q$1300,0,MATCH($B720,元データ_14項目!$D$1:$Q$1,0)),元データ_14項目!$A$2:$A$1300,$A720,元データ_14項目!$B$2:$B$1300,"本年",元データ_14項目!$C$2:$C$1300,F$5)</f>
        <v>510</v>
      </c>
      <c r="G720" s="26">
        <f>SUMIFS(INDEX(元データ_14項目!$D$2:$Q$1300,0,MATCH($B720,元データ_14項目!$D$1:$Q$1,0)),元データ_14項目!$A$2:$A$1300,$A720,元データ_14項目!$B$2:$B$1300,"本年",元データ_14項目!$C$2:$C$1300,G$5)</f>
        <v>491</v>
      </c>
      <c r="H720" s="26">
        <f>SUMIFS(INDEX(元データ_14項目!$D$2:$Q$1300,0,MATCH($B720,元データ_14項目!$D$1:$Q$1,0)),元データ_14項目!$A$2:$A$1300,$A720,元データ_14項目!$B$2:$B$1300,"本年",元データ_14項目!$C$2:$C$1300,H$5)</f>
        <v>411</v>
      </c>
      <c r="I720" s="26">
        <f>SUMIFS(INDEX(元データ_14項目!$D$2:$Q$1300,0,MATCH($B720,元データ_14項目!$D$1:$Q$1,0)),元データ_14項目!$A$2:$A$1300,$A720,元データ_14項目!$B$2:$B$1300,"本年",元データ_14項目!$C$2:$C$1300,I$5)</f>
        <v>385</v>
      </c>
      <c r="J720" s="26">
        <f>SUMIFS(INDEX(元データ_14項目!$D$2:$Q$1300,0,MATCH($B720,元データ_14項目!$D$1:$Q$1,0)),元データ_14項目!$A$2:$A$1300,$A720,元データ_14項目!$B$2:$B$1300,"本年",元データ_14項目!$C$2:$C$1300,J$5)</f>
        <v>476</v>
      </c>
      <c r="K720" s="26">
        <f>SUMIFS(INDEX(元データ_14項目!$D$2:$Q$1300,0,MATCH($B720,元データ_14項目!$D$1:$Q$1,0)),元データ_14項目!$A$2:$A$1300,$A720,元データ_14項目!$B$2:$B$1300,"本年",元データ_14項目!$C$2:$C$1300,K$5)</f>
        <v>492</v>
      </c>
      <c r="L720" s="26">
        <f>SUMIFS(INDEX(元データ_14項目!$D$2:$Q$1300,0,MATCH($B720,元データ_14項目!$D$1:$Q$1,0)),元データ_14項目!$A$2:$A$1300,$A720,元データ_14項目!$B$2:$B$1300,"本年",元データ_14項目!$C$2:$C$1300,L$5)</f>
        <v>394</v>
      </c>
      <c r="M720" s="26">
        <f>SUMIFS(INDEX(元データ_14項目!$D$2:$Q$1300,0,MATCH($B720,元データ_14項目!$D$1:$Q$1,0)),元データ_14項目!$A$2:$A$1300,$A720,元データ_14項目!$B$2:$B$1300,"本年",元データ_14項目!$C$2:$C$1300,M$5)</f>
        <v>504</v>
      </c>
      <c r="N720" s="26">
        <f>SUMIFS(INDEX(元データ_14項目!$D$2:$Q$1300,0,MATCH($B720,元データ_14項目!$D$1:$Q$1,0)),元データ_14項目!$A$2:$A$1300,$A720,元データ_14項目!$B$2:$B$1300,"本年",元データ_14項目!$C$2:$C$1300,N$5)</f>
        <v>461</v>
      </c>
      <c r="O720" s="26">
        <f t="shared" si="22"/>
        <v>5450</v>
      </c>
      <c r="P720" s="26">
        <f>SUMIFS(INDEX(元データ_14項目!$D$2:$Q$1300,0,MATCH($B720,元データ_14項目!$D$1:$Q$1,0)),元データ_14項目!$A$2:$A$1300,$A720,元データ_14項目!$B$2:$B$1300,"前年")</f>
        <v>5539</v>
      </c>
      <c r="Q720" s="7">
        <f t="shared" si="23"/>
        <v>0.98393211771077815</v>
      </c>
    </row>
    <row r="721" spans="1:17" x14ac:dyDescent="0.45">
      <c r="A721" t="s">
        <v>86</v>
      </c>
      <c r="B721" t="s">
        <v>88</v>
      </c>
      <c r="C721" s="26">
        <f>SUMIFS(INDEX(元データ_14項目!$D$2:$Q$1300,0,MATCH($B721,元データ_14項目!$D$1:$Q$1,0)),元データ_14項目!$A$2:$A$1300,$A721,元データ_14項目!$B$2:$B$1300,"本年",元データ_14項目!$C$2:$C$1300,C$5)</f>
        <v>23</v>
      </c>
      <c r="D721" s="26">
        <f>SUMIFS(INDEX(元データ_14項目!$D$2:$Q$1300,0,MATCH($B721,元データ_14項目!$D$1:$Q$1,0)),元データ_14項目!$A$2:$A$1300,$A721,元データ_14項目!$B$2:$B$1300,"本年",元データ_14項目!$C$2:$C$1300,D$5)</f>
        <v>28</v>
      </c>
      <c r="E721" s="26">
        <f>SUMIFS(INDEX(元データ_14項目!$D$2:$Q$1300,0,MATCH($B721,元データ_14項目!$D$1:$Q$1,0)),元データ_14項目!$A$2:$A$1300,$A721,元データ_14項目!$B$2:$B$1300,"本年",元データ_14項目!$C$2:$C$1300,E$5)</f>
        <v>73</v>
      </c>
      <c r="F721" s="26">
        <f>SUMIFS(INDEX(元データ_14項目!$D$2:$Q$1300,0,MATCH($B721,元データ_14項目!$D$1:$Q$1,0)),元データ_14項目!$A$2:$A$1300,$A721,元データ_14項目!$B$2:$B$1300,"本年",元データ_14項目!$C$2:$C$1300,F$5)</f>
        <v>62</v>
      </c>
      <c r="G721" s="26">
        <f>SUMIFS(INDEX(元データ_14項目!$D$2:$Q$1300,0,MATCH($B721,元データ_14項目!$D$1:$Q$1,0)),元データ_14項目!$A$2:$A$1300,$A721,元データ_14項目!$B$2:$B$1300,"本年",元データ_14項目!$C$2:$C$1300,G$5)</f>
        <v>63</v>
      </c>
      <c r="H721" s="26">
        <f>SUMIFS(INDEX(元データ_14項目!$D$2:$Q$1300,0,MATCH($B721,元データ_14項目!$D$1:$Q$1,0)),元データ_14項目!$A$2:$A$1300,$A721,元データ_14項目!$B$2:$B$1300,"本年",元データ_14項目!$C$2:$C$1300,H$5)</f>
        <v>34</v>
      </c>
      <c r="I721" s="26">
        <f>SUMIFS(INDEX(元データ_14項目!$D$2:$Q$1300,0,MATCH($B721,元データ_14項目!$D$1:$Q$1,0)),元データ_14項目!$A$2:$A$1300,$A721,元データ_14項目!$B$2:$B$1300,"本年",元データ_14項目!$C$2:$C$1300,I$5)</f>
        <v>32</v>
      </c>
      <c r="J721" s="26">
        <f>SUMIFS(INDEX(元データ_14項目!$D$2:$Q$1300,0,MATCH($B721,元データ_14項目!$D$1:$Q$1,0)),元データ_14項目!$A$2:$A$1300,$A721,元データ_14項目!$B$2:$B$1300,"本年",元データ_14項目!$C$2:$C$1300,J$5)</f>
        <v>31</v>
      </c>
      <c r="K721" s="26">
        <f>SUMIFS(INDEX(元データ_14項目!$D$2:$Q$1300,0,MATCH($B721,元データ_14項目!$D$1:$Q$1,0)),元データ_14項目!$A$2:$A$1300,$A721,元データ_14項目!$B$2:$B$1300,"本年",元データ_14項目!$C$2:$C$1300,K$5)</f>
        <v>61</v>
      </c>
      <c r="L721" s="26">
        <f>SUMIFS(INDEX(元データ_14項目!$D$2:$Q$1300,0,MATCH($B721,元データ_14項目!$D$1:$Q$1,0)),元データ_14項目!$A$2:$A$1300,$A721,元データ_14項目!$B$2:$B$1300,"本年",元データ_14項目!$C$2:$C$1300,L$5)</f>
        <v>70</v>
      </c>
      <c r="M721" s="26">
        <f>SUMIFS(INDEX(元データ_14項目!$D$2:$Q$1300,0,MATCH($B721,元データ_14項目!$D$1:$Q$1,0)),元データ_14項目!$A$2:$A$1300,$A721,元データ_14項目!$B$2:$B$1300,"本年",元データ_14項目!$C$2:$C$1300,M$5)</f>
        <v>58</v>
      </c>
      <c r="N721" s="26">
        <f>SUMIFS(INDEX(元データ_14項目!$D$2:$Q$1300,0,MATCH($B721,元データ_14項目!$D$1:$Q$1,0)),元データ_14項目!$A$2:$A$1300,$A721,元データ_14項目!$B$2:$B$1300,"本年",元データ_14項目!$C$2:$C$1300,N$5)</f>
        <v>55</v>
      </c>
      <c r="O721" s="26">
        <f t="shared" si="22"/>
        <v>590</v>
      </c>
      <c r="P721" s="26">
        <f>SUMIFS(INDEX(元データ_14項目!$D$2:$Q$1300,0,MATCH($B721,元データ_14項目!$D$1:$Q$1,0)),元データ_14項目!$A$2:$A$1300,$A721,元データ_14項目!$B$2:$B$1300,"前年")</f>
        <v>520</v>
      </c>
      <c r="Q721" s="7">
        <f t="shared" si="23"/>
        <v>1.1346153846153846</v>
      </c>
    </row>
    <row r="722" spans="1:17" x14ac:dyDescent="0.45">
      <c r="A722" t="s">
        <v>86</v>
      </c>
      <c r="B722" t="s">
        <v>89</v>
      </c>
      <c r="C722" s="26">
        <f>SUMIFS(INDEX(元データ_14項目!$D$2:$Q$1300,0,MATCH($B722,元データ_14項目!$D$1:$Q$1,0)),元データ_14項目!$A$2:$A$1300,$A722,元データ_14項目!$B$2:$B$1300,"本年",元データ_14項目!$C$2:$C$1300,C$5)</f>
        <v>47</v>
      </c>
      <c r="D722" s="26">
        <f>SUMIFS(INDEX(元データ_14項目!$D$2:$Q$1300,0,MATCH($B722,元データ_14項目!$D$1:$Q$1,0)),元データ_14項目!$A$2:$A$1300,$A722,元データ_14項目!$B$2:$B$1300,"本年",元データ_14項目!$C$2:$C$1300,D$5)</f>
        <v>44</v>
      </c>
      <c r="E722" s="26">
        <f>SUMIFS(INDEX(元データ_14項目!$D$2:$Q$1300,0,MATCH($B722,元データ_14項目!$D$1:$Q$1,0)),元データ_14項目!$A$2:$A$1300,$A722,元データ_14項目!$B$2:$B$1300,"本年",元データ_14項目!$C$2:$C$1300,E$5)</f>
        <v>78</v>
      </c>
      <c r="F722" s="26">
        <f>SUMIFS(INDEX(元データ_14項目!$D$2:$Q$1300,0,MATCH($B722,元データ_14項目!$D$1:$Q$1,0)),元データ_14項目!$A$2:$A$1300,$A722,元データ_14項目!$B$2:$B$1300,"本年",元データ_14項目!$C$2:$C$1300,F$5)</f>
        <v>73</v>
      </c>
      <c r="G722" s="26">
        <f>SUMIFS(INDEX(元データ_14項目!$D$2:$Q$1300,0,MATCH($B722,元データ_14項目!$D$1:$Q$1,0)),元データ_14項目!$A$2:$A$1300,$A722,元データ_14項目!$B$2:$B$1300,"本年",元データ_14項目!$C$2:$C$1300,G$5)</f>
        <v>63</v>
      </c>
      <c r="H722" s="26">
        <f>SUMIFS(INDEX(元データ_14項目!$D$2:$Q$1300,0,MATCH($B722,元データ_14項目!$D$1:$Q$1,0)),元データ_14項目!$A$2:$A$1300,$A722,元データ_14項目!$B$2:$B$1300,"本年",元データ_14項目!$C$2:$C$1300,H$5)</f>
        <v>22</v>
      </c>
      <c r="I722" s="26">
        <f>SUMIFS(INDEX(元データ_14項目!$D$2:$Q$1300,0,MATCH($B722,元データ_14項目!$D$1:$Q$1,0)),元データ_14項目!$A$2:$A$1300,$A722,元データ_14項目!$B$2:$B$1300,"本年",元データ_14項目!$C$2:$C$1300,I$5)</f>
        <v>28</v>
      </c>
      <c r="J722" s="26">
        <f>SUMIFS(INDEX(元データ_14項目!$D$2:$Q$1300,0,MATCH($B722,元データ_14項目!$D$1:$Q$1,0)),元データ_14項目!$A$2:$A$1300,$A722,元データ_14項目!$B$2:$B$1300,"本年",元データ_14項目!$C$2:$C$1300,J$5)</f>
        <v>78</v>
      </c>
      <c r="K722" s="26">
        <f>SUMIFS(INDEX(元データ_14項目!$D$2:$Q$1300,0,MATCH($B722,元データ_14項目!$D$1:$Q$1,0)),元データ_14項目!$A$2:$A$1300,$A722,元データ_14項目!$B$2:$B$1300,"本年",元データ_14項目!$C$2:$C$1300,K$5)</f>
        <v>105</v>
      </c>
      <c r="L722" s="26">
        <f>SUMIFS(INDEX(元データ_14項目!$D$2:$Q$1300,0,MATCH($B722,元データ_14項目!$D$1:$Q$1,0)),元データ_14項目!$A$2:$A$1300,$A722,元データ_14項目!$B$2:$B$1300,"本年",元データ_14項目!$C$2:$C$1300,L$5)</f>
        <v>89</v>
      </c>
      <c r="M722" s="26">
        <f>SUMIFS(INDEX(元データ_14項目!$D$2:$Q$1300,0,MATCH($B722,元データ_14項目!$D$1:$Q$1,0)),元データ_14項目!$A$2:$A$1300,$A722,元データ_14項目!$B$2:$B$1300,"本年",元データ_14項目!$C$2:$C$1300,M$5)</f>
        <v>93</v>
      </c>
      <c r="N722" s="26">
        <f>SUMIFS(INDEX(元データ_14項目!$D$2:$Q$1300,0,MATCH($B722,元データ_14項目!$D$1:$Q$1,0)),元データ_14項目!$A$2:$A$1300,$A722,元データ_14項目!$B$2:$B$1300,"本年",元データ_14項目!$C$2:$C$1300,N$5)</f>
        <v>75</v>
      </c>
      <c r="O722" s="26">
        <f t="shared" si="22"/>
        <v>795</v>
      </c>
      <c r="P722" s="26">
        <f>SUMIFS(INDEX(元データ_14項目!$D$2:$Q$1300,0,MATCH($B722,元データ_14項目!$D$1:$Q$1,0)),元データ_14項目!$A$2:$A$1300,$A722,元データ_14項目!$B$2:$B$1300,"前年")</f>
        <v>650</v>
      </c>
      <c r="Q722" s="7">
        <f t="shared" si="23"/>
        <v>1.2230769230769232</v>
      </c>
    </row>
    <row r="723" spans="1:17" x14ac:dyDescent="0.45">
      <c r="A723" t="s">
        <v>86</v>
      </c>
      <c r="B723" t="s">
        <v>90</v>
      </c>
      <c r="C723" s="26">
        <f>SUMIFS(INDEX(元データ_14項目!$D$2:$Q$1300,0,MATCH($B723,元データ_14項目!$D$1:$Q$1,0)),元データ_14項目!$A$2:$A$1300,$A723,元データ_14項目!$B$2:$B$1300,"本年",元データ_14項目!$C$2:$C$1300,C$5)</f>
        <v>43</v>
      </c>
      <c r="D723" s="26">
        <f>SUMIFS(INDEX(元データ_14項目!$D$2:$Q$1300,0,MATCH($B723,元データ_14項目!$D$1:$Q$1,0)),元データ_14項目!$A$2:$A$1300,$A723,元データ_14項目!$B$2:$B$1300,"本年",元データ_14項目!$C$2:$C$1300,D$5)</f>
        <v>38</v>
      </c>
      <c r="E723" s="26">
        <f>SUMIFS(INDEX(元データ_14項目!$D$2:$Q$1300,0,MATCH($B723,元データ_14項目!$D$1:$Q$1,0)),元データ_14項目!$A$2:$A$1300,$A723,元データ_14項目!$B$2:$B$1300,"本年",元データ_14項目!$C$2:$C$1300,E$5)</f>
        <v>31</v>
      </c>
      <c r="F723" s="26">
        <f>SUMIFS(INDEX(元データ_14項目!$D$2:$Q$1300,0,MATCH($B723,元データ_14項目!$D$1:$Q$1,0)),元データ_14項目!$A$2:$A$1300,$A723,元データ_14項目!$B$2:$B$1300,"本年",元データ_14項目!$C$2:$C$1300,F$5)</f>
        <v>72</v>
      </c>
      <c r="G723" s="26">
        <f>SUMIFS(INDEX(元データ_14項目!$D$2:$Q$1300,0,MATCH($B723,元データ_14項目!$D$1:$Q$1,0)),元データ_14項目!$A$2:$A$1300,$A723,元データ_14項目!$B$2:$B$1300,"本年",元データ_14項目!$C$2:$C$1300,G$5)</f>
        <v>113</v>
      </c>
      <c r="H723" s="26">
        <f>SUMIFS(INDEX(元データ_14項目!$D$2:$Q$1300,0,MATCH($B723,元データ_14項目!$D$1:$Q$1,0)),元データ_14項目!$A$2:$A$1300,$A723,元データ_14項目!$B$2:$B$1300,"本年",元データ_14項目!$C$2:$C$1300,H$5)</f>
        <v>129</v>
      </c>
      <c r="I723" s="26">
        <f>SUMIFS(INDEX(元データ_14項目!$D$2:$Q$1300,0,MATCH($B723,元データ_14項目!$D$1:$Q$1,0)),元データ_14項目!$A$2:$A$1300,$A723,元データ_14項目!$B$2:$B$1300,"本年",元データ_14項目!$C$2:$C$1300,I$5)</f>
        <v>56</v>
      </c>
      <c r="J723" s="26">
        <f>SUMIFS(INDEX(元データ_14項目!$D$2:$Q$1300,0,MATCH($B723,元データ_14項目!$D$1:$Q$1,0)),元データ_14項目!$A$2:$A$1300,$A723,元データ_14項目!$B$2:$B$1300,"本年",元データ_14項目!$C$2:$C$1300,J$5)</f>
        <v>133</v>
      </c>
      <c r="K723" s="26">
        <f>SUMIFS(INDEX(元データ_14項目!$D$2:$Q$1300,0,MATCH($B723,元データ_14項目!$D$1:$Q$1,0)),元データ_14項目!$A$2:$A$1300,$A723,元データ_14項目!$B$2:$B$1300,"本年",元データ_14項目!$C$2:$C$1300,K$5)</f>
        <v>175</v>
      </c>
      <c r="L723" s="26">
        <f>SUMIFS(INDEX(元データ_14項目!$D$2:$Q$1300,0,MATCH($B723,元データ_14項目!$D$1:$Q$1,0)),元データ_14項目!$A$2:$A$1300,$A723,元データ_14項目!$B$2:$B$1300,"本年",元データ_14項目!$C$2:$C$1300,L$5)</f>
        <v>99</v>
      </c>
      <c r="M723" s="26">
        <f>SUMIFS(INDEX(元データ_14項目!$D$2:$Q$1300,0,MATCH($B723,元データ_14項目!$D$1:$Q$1,0)),元データ_14項目!$A$2:$A$1300,$A723,元データ_14項目!$B$2:$B$1300,"本年",元データ_14項目!$C$2:$C$1300,M$5)</f>
        <v>109</v>
      </c>
      <c r="N723" s="26">
        <f>SUMIFS(INDEX(元データ_14項目!$D$2:$Q$1300,0,MATCH($B723,元データ_14項目!$D$1:$Q$1,0)),元データ_14項目!$A$2:$A$1300,$A723,元データ_14項目!$B$2:$B$1300,"本年",元データ_14項目!$C$2:$C$1300,N$5)</f>
        <v>63</v>
      </c>
      <c r="O723" s="26">
        <f t="shared" si="22"/>
        <v>1061</v>
      </c>
      <c r="P723" s="26">
        <f>SUMIFS(INDEX(元データ_14項目!$D$2:$Q$1300,0,MATCH($B723,元データ_14項目!$D$1:$Q$1,0)),元データ_14項目!$A$2:$A$1300,$A723,元データ_14項目!$B$2:$B$1300,"前年")</f>
        <v>1084</v>
      </c>
      <c r="Q723" s="7">
        <f t="shared" si="23"/>
        <v>0.97878228782287824</v>
      </c>
    </row>
    <row r="724" spans="1:17" x14ac:dyDescent="0.45">
      <c r="A724" t="s">
        <v>86</v>
      </c>
      <c r="B724" t="s">
        <v>91</v>
      </c>
      <c r="C724" s="26">
        <f>SUMIFS(INDEX(元データ_14項目!$D$2:$Q$1300,0,MATCH($B724,元データ_14項目!$D$1:$Q$1,0)),元データ_14項目!$A$2:$A$1300,$A724,元データ_14項目!$B$2:$B$1300,"本年",元データ_14項目!$C$2:$C$1300,C$5)</f>
        <v>9</v>
      </c>
      <c r="D724" s="26">
        <f>SUMIFS(INDEX(元データ_14項目!$D$2:$Q$1300,0,MATCH($B724,元データ_14項目!$D$1:$Q$1,0)),元データ_14項目!$A$2:$A$1300,$A724,元データ_14項目!$B$2:$B$1300,"本年",元データ_14項目!$C$2:$C$1300,D$5)</f>
        <v>45</v>
      </c>
      <c r="E724" s="26">
        <f>SUMIFS(INDEX(元データ_14項目!$D$2:$Q$1300,0,MATCH($B724,元データ_14項目!$D$1:$Q$1,0)),元データ_14項目!$A$2:$A$1300,$A724,元データ_14項目!$B$2:$B$1300,"本年",元データ_14項目!$C$2:$C$1300,E$5)</f>
        <v>68</v>
      </c>
      <c r="F724" s="26">
        <f>SUMIFS(INDEX(元データ_14項目!$D$2:$Q$1300,0,MATCH($B724,元データ_14項目!$D$1:$Q$1,0)),元データ_14項目!$A$2:$A$1300,$A724,元データ_14項目!$B$2:$B$1300,"本年",元データ_14項目!$C$2:$C$1300,F$5)</f>
        <v>19</v>
      </c>
      <c r="G724" s="26">
        <f>SUMIFS(INDEX(元データ_14項目!$D$2:$Q$1300,0,MATCH($B724,元データ_14項目!$D$1:$Q$1,0)),元データ_14項目!$A$2:$A$1300,$A724,元データ_14項目!$B$2:$B$1300,"本年",元データ_14項目!$C$2:$C$1300,G$5)</f>
        <v>16</v>
      </c>
      <c r="H724" s="26">
        <f>SUMIFS(INDEX(元データ_14項目!$D$2:$Q$1300,0,MATCH($B724,元データ_14項目!$D$1:$Q$1,0)),元データ_14項目!$A$2:$A$1300,$A724,元データ_14項目!$B$2:$B$1300,"本年",元データ_14項目!$C$2:$C$1300,H$5)</f>
        <v>14</v>
      </c>
      <c r="I724" s="26">
        <f>SUMIFS(INDEX(元データ_14項目!$D$2:$Q$1300,0,MATCH($B724,元データ_14項目!$D$1:$Q$1,0)),元データ_14項目!$A$2:$A$1300,$A724,元データ_14項目!$B$2:$B$1300,"本年",元データ_14項目!$C$2:$C$1300,I$5)</f>
        <v>24</v>
      </c>
      <c r="J724" s="26">
        <f>SUMIFS(INDEX(元データ_14項目!$D$2:$Q$1300,0,MATCH($B724,元データ_14項目!$D$1:$Q$1,0)),元データ_14項目!$A$2:$A$1300,$A724,元データ_14項目!$B$2:$B$1300,"本年",元データ_14項目!$C$2:$C$1300,J$5)</f>
        <v>23</v>
      </c>
      <c r="K724" s="26">
        <f>SUMIFS(INDEX(元データ_14項目!$D$2:$Q$1300,0,MATCH($B724,元データ_14項目!$D$1:$Q$1,0)),元データ_14項目!$A$2:$A$1300,$A724,元データ_14項目!$B$2:$B$1300,"本年",元データ_14項目!$C$2:$C$1300,K$5)</f>
        <v>30</v>
      </c>
      <c r="L724" s="26">
        <f>SUMIFS(INDEX(元データ_14項目!$D$2:$Q$1300,0,MATCH($B724,元データ_14項目!$D$1:$Q$1,0)),元データ_14項目!$A$2:$A$1300,$A724,元データ_14項目!$B$2:$B$1300,"本年",元データ_14項目!$C$2:$C$1300,L$5)</f>
        <v>31</v>
      </c>
      <c r="M724" s="26">
        <f>SUMIFS(INDEX(元データ_14項目!$D$2:$Q$1300,0,MATCH($B724,元データ_14項目!$D$1:$Q$1,0)),元データ_14項目!$A$2:$A$1300,$A724,元データ_14項目!$B$2:$B$1300,"本年",元データ_14項目!$C$2:$C$1300,M$5)</f>
        <v>40</v>
      </c>
      <c r="N724" s="26">
        <f>SUMIFS(INDEX(元データ_14項目!$D$2:$Q$1300,0,MATCH($B724,元データ_14項目!$D$1:$Q$1,0)),元データ_14項目!$A$2:$A$1300,$A724,元データ_14項目!$B$2:$B$1300,"本年",元データ_14項目!$C$2:$C$1300,N$5)</f>
        <v>17</v>
      </c>
      <c r="O724" s="26">
        <f t="shared" si="22"/>
        <v>336</v>
      </c>
      <c r="P724" s="26">
        <f>SUMIFS(INDEX(元データ_14項目!$D$2:$Q$1300,0,MATCH($B724,元データ_14項目!$D$1:$Q$1,0)),元データ_14項目!$A$2:$A$1300,$A724,元データ_14項目!$B$2:$B$1300,"前年")</f>
        <v>305</v>
      </c>
      <c r="Q724" s="7">
        <f t="shared" si="23"/>
        <v>1.1016393442622952</v>
      </c>
    </row>
    <row r="725" spans="1:17" x14ac:dyDescent="0.45">
      <c r="A725" t="s">
        <v>86</v>
      </c>
      <c r="B725" t="s">
        <v>28</v>
      </c>
      <c r="C725" s="26">
        <f>SUMIFS(INDEX(元データ_14項目!$D$2:$Q$1300,0,MATCH($B725,元データ_14項目!$D$1:$Q$1,0)),元データ_14項目!$A$2:$A$1300,$A725,元データ_14項目!$B$2:$B$1300,"本年",元データ_14項目!$C$2:$C$1300,C$5)</f>
        <v>145</v>
      </c>
      <c r="D725" s="26">
        <f>SUMIFS(INDEX(元データ_14項目!$D$2:$Q$1300,0,MATCH($B725,元データ_14項目!$D$1:$Q$1,0)),元データ_14項目!$A$2:$A$1300,$A725,元データ_14項目!$B$2:$B$1300,"本年",元データ_14項目!$C$2:$C$1300,D$5)</f>
        <v>198</v>
      </c>
      <c r="E725" s="26">
        <f>SUMIFS(INDEX(元データ_14項目!$D$2:$Q$1300,0,MATCH($B725,元データ_14項目!$D$1:$Q$1,0)),元データ_14項目!$A$2:$A$1300,$A725,元データ_14項目!$B$2:$B$1300,"本年",元データ_14項目!$C$2:$C$1300,E$5)</f>
        <v>224</v>
      </c>
      <c r="F725" s="26">
        <f>SUMIFS(INDEX(元データ_14項目!$D$2:$Q$1300,0,MATCH($B725,元データ_14項目!$D$1:$Q$1,0)),元データ_14項目!$A$2:$A$1300,$A725,元データ_14項目!$B$2:$B$1300,"本年",元データ_14項目!$C$2:$C$1300,F$5)</f>
        <v>159</v>
      </c>
      <c r="G725" s="26">
        <f>SUMIFS(INDEX(元データ_14項目!$D$2:$Q$1300,0,MATCH($B725,元データ_14項目!$D$1:$Q$1,0)),元データ_14項目!$A$2:$A$1300,$A725,元データ_14項目!$B$2:$B$1300,"本年",元データ_14項目!$C$2:$C$1300,G$5)</f>
        <v>131</v>
      </c>
      <c r="H725" s="26">
        <f>SUMIFS(INDEX(元データ_14項目!$D$2:$Q$1300,0,MATCH($B725,元データ_14項目!$D$1:$Q$1,0)),元データ_14項目!$A$2:$A$1300,$A725,元データ_14項目!$B$2:$B$1300,"本年",元データ_14項目!$C$2:$C$1300,H$5)</f>
        <v>83</v>
      </c>
      <c r="I725" s="26">
        <f>SUMIFS(INDEX(元データ_14項目!$D$2:$Q$1300,0,MATCH($B725,元データ_14項目!$D$1:$Q$1,0)),元データ_14項目!$A$2:$A$1300,$A725,元データ_14項目!$B$2:$B$1300,"本年",元データ_14項目!$C$2:$C$1300,I$5)</f>
        <v>99</v>
      </c>
      <c r="J725" s="26">
        <f>SUMIFS(INDEX(元データ_14項目!$D$2:$Q$1300,0,MATCH($B725,元データ_14項目!$D$1:$Q$1,0)),元データ_14項目!$A$2:$A$1300,$A725,元データ_14項目!$B$2:$B$1300,"本年",元データ_14項目!$C$2:$C$1300,J$5)</f>
        <v>111</v>
      </c>
      <c r="K725" s="26">
        <f>SUMIFS(INDEX(元データ_14項目!$D$2:$Q$1300,0,MATCH($B725,元データ_14項目!$D$1:$Q$1,0)),元データ_14項目!$A$2:$A$1300,$A725,元データ_14項目!$B$2:$B$1300,"本年",元データ_14項目!$C$2:$C$1300,K$5)</f>
        <v>173</v>
      </c>
      <c r="L725" s="26">
        <f>SUMIFS(INDEX(元データ_14項目!$D$2:$Q$1300,0,MATCH($B725,元データ_14項目!$D$1:$Q$1,0)),元データ_14項目!$A$2:$A$1300,$A725,元データ_14項目!$B$2:$B$1300,"本年",元データ_14項目!$C$2:$C$1300,L$5)</f>
        <v>127</v>
      </c>
      <c r="M725" s="26">
        <f>SUMIFS(INDEX(元データ_14項目!$D$2:$Q$1300,0,MATCH($B725,元データ_14項目!$D$1:$Q$1,0)),元データ_14項目!$A$2:$A$1300,$A725,元データ_14項目!$B$2:$B$1300,"本年",元データ_14項目!$C$2:$C$1300,M$5)</f>
        <v>172</v>
      </c>
      <c r="N725" s="26">
        <f>SUMIFS(INDEX(元データ_14項目!$D$2:$Q$1300,0,MATCH($B725,元データ_14項目!$D$1:$Q$1,0)),元データ_14項目!$A$2:$A$1300,$A725,元データ_14項目!$B$2:$B$1300,"本年",元データ_14項目!$C$2:$C$1300,N$5)</f>
        <v>145</v>
      </c>
      <c r="O725" s="26">
        <f t="shared" si="22"/>
        <v>1767</v>
      </c>
      <c r="P725" s="26">
        <f>SUMIFS(INDEX(元データ_14項目!$D$2:$Q$1300,0,MATCH($B725,元データ_14項目!$D$1:$Q$1,0)),元データ_14項目!$A$2:$A$1300,$A725,元データ_14項目!$B$2:$B$1300,"前年")</f>
        <v>1745</v>
      </c>
      <c r="Q725" s="7">
        <f t="shared" si="23"/>
        <v>1.0126074498567335</v>
      </c>
    </row>
    <row r="726" spans="1:17" x14ac:dyDescent="0.45">
      <c r="A726" t="s">
        <v>86</v>
      </c>
      <c r="B726" t="s">
        <v>92</v>
      </c>
      <c r="C726" s="26">
        <f>SUMIFS(INDEX(元データ_14項目!$D$2:$Q$1300,0,MATCH($B726,元データ_14項目!$D$1:$Q$1,0)),元データ_14項目!$A$2:$A$1300,$A726,元データ_14項目!$B$2:$B$1300,"本年",元データ_14項目!$C$2:$C$1300,C$5)</f>
        <v>17</v>
      </c>
      <c r="D726" s="26">
        <f>SUMIFS(INDEX(元データ_14項目!$D$2:$Q$1300,0,MATCH($B726,元データ_14項目!$D$1:$Q$1,0)),元データ_14項目!$A$2:$A$1300,$A726,元データ_14項目!$B$2:$B$1300,"本年",元データ_14項目!$C$2:$C$1300,D$5)</f>
        <v>13</v>
      </c>
      <c r="E726" s="26">
        <f>SUMIFS(INDEX(元データ_14項目!$D$2:$Q$1300,0,MATCH($B726,元データ_14項目!$D$1:$Q$1,0)),元データ_14項目!$A$2:$A$1300,$A726,元データ_14項目!$B$2:$B$1300,"本年",元データ_14項目!$C$2:$C$1300,E$5)</f>
        <v>25</v>
      </c>
      <c r="F726" s="26">
        <f>SUMIFS(INDEX(元データ_14項目!$D$2:$Q$1300,0,MATCH($B726,元データ_14項目!$D$1:$Q$1,0)),元データ_14項目!$A$2:$A$1300,$A726,元データ_14項目!$B$2:$B$1300,"本年",元データ_14項目!$C$2:$C$1300,F$5)</f>
        <v>21</v>
      </c>
      <c r="G726" s="26">
        <f>SUMIFS(INDEX(元データ_14項目!$D$2:$Q$1300,0,MATCH($B726,元データ_14項目!$D$1:$Q$1,0)),元データ_14項目!$A$2:$A$1300,$A726,元データ_14項目!$B$2:$B$1300,"本年",元データ_14項目!$C$2:$C$1300,G$5)</f>
        <v>24</v>
      </c>
      <c r="H726" s="26">
        <f>SUMIFS(INDEX(元データ_14項目!$D$2:$Q$1300,0,MATCH($B726,元データ_14項目!$D$1:$Q$1,0)),元データ_14項目!$A$2:$A$1300,$A726,元データ_14項目!$B$2:$B$1300,"本年",元データ_14項目!$C$2:$C$1300,H$5)</f>
        <v>17</v>
      </c>
      <c r="I726" s="26">
        <f>SUMIFS(INDEX(元データ_14項目!$D$2:$Q$1300,0,MATCH($B726,元データ_14項目!$D$1:$Q$1,0)),元データ_14項目!$A$2:$A$1300,$A726,元データ_14項目!$B$2:$B$1300,"本年",元データ_14項目!$C$2:$C$1300,I$5)</f>
        <v>4</v>
      </c>
      <c r="J726" s="26">
        <f>SUMIFS(INDEX(元データ_14項目!$D$2:$Q$1300,0,MATCH($B726,元データ_14項目!$D$1:$Q$1,0)),元データ_14項目!$A$2:$A$1300,$A726,元データ_14項目!$B$2:$B$1300,"本年",元データ_14項目!$C$2:$C$1300,J$5)</f>
        <v>22</v>
      </c>
      <c r="K726" s="26">
        <f>SUMIFS(INDEX(元データ_14項目!$D$2:$Q$1300,0,MATCH($B726,元データ_14項目!$D$1:$Q$1,0)),元データ_14項目!$A$2:$A$1300,$A726,元データ_14項目!$B$2:$B$1300,"本年",元データ_14項目!$C$2:$C$1300,K$5)</f>
        <v>40</v>
      </c>
      <c r="L726" s="26">
        <f>SUMIFS(INDEX(元データ_14項目!$D$2:$Q$1300,0,MATCH($B726,元データ_14項目!$D$1:$Q$1,0)),元データ_14項目!$A$2:$A$1300,$A726,元データ_14項目!$B$2:$B$1300,"本年",元データ_14項目!$C$2:$C$1300,L$5)</f>
        <v>41</v>
      </c>
      <c r="M726" s="26">
        <f>SUMIFS(INDEX(元データ_14項目!$D$2:$Q$1300,0,MATCH($B726,元データ_14項目!$D$1:$Q$1,0)),元データ_14項目!$A$2:$A$1300,$A726,元データ_14項目!$B$2:$B$1300,"本年",元データ_14項目!$C$2:$C$1300,M$5)</f>
        <v>32</v>
      </c>
      <c r="N726" s="26">
        <f>SUMIFS(INDEX(元データ_14項目!$D$2:$Q$1300,0,MATCH($B726,元データ_14項目!$D$1:$Q$1,0)),元データ_14項目!$A$2:$A$1300,$A726,元データ_14項目!$B$2:$B$1300,"本年",元データ_14項目!$C$2:$C$1300,N$5)</f>
        <v>21</v>
      </c>
      <c r="O726" s="26">
        <f t="shared" si="22"/>
        <v>277</v>
      </c>
      <c r="P726" s="26">
        <f>SUMIFS(INDEX(元データ_14項目!$D$2:$Q$1300,0,MATCH($B726,元データ_14項目!$D$1:$Q$1,0)),元データ_14項目!$A$2:$A$1300,$A726,元データ_14項目!$B$2:$B$1300,"前年")</f>
        <v>294</v>
      </c>
      <c r="Q726" s="7">
        <f t="shared" si="23"/>
        <v>0.94217687074829937</v>
      </c>
    </row>
    <row r="727" spans="1:17" x14ac:dyDescent="0.45">
      <c r="A727" t="s">
        <v>86</v>
      </c>
      <c r="B727" t="s">
        <v>93</v>
      </c>
      <c r="C727" s="26">
        <f>SUMIFS(INDEX(元データ_14項目!$D$2:$Q$1300,0,MATCH($B727,元データ_14項目!$D$1:$Q$1,0)),元データ_14項目!$A$2:$A$1300,$A727,元データ_14項目!$B$2:$B$1300,"本年",元データ_14項目!$C$2:$C$1300,C$5)</f>
        <v>22</v>
      </c>
      <c r="D727" s="26">
        <f>SUMIFS(INDEX(元データ_14項目!$D$2:$Q$1300,0,MATCH($B727,元データ_14項目!$D$1:$Q$1,0)),元データ_14項目!$A$2:$A$1300,$A727,元データ_14項目!$B$2:$B$1300,"本年",元データ_14項目!$C$2:$C$1300,D$5)</f>
        <v>12</v>
      </c>
      <c r="E727" s="26">
        <f>SUMIFS(INDEX(元データ_14項目!$D$2:$Q$1300,0,MATCH($B727,元データ_14項目!$D$1:$Q$1,0)),元データ_14項目!$A$2:$A$1300,$A727,元データ_14項目!$B$2:$B$1300,"本年",元データ_14項目!$C$2:$C$1300,E$5)</f>
        <v>24</v>
      </c>
      <c r="F727" s="26">
        <f>SUMIFS(INDEX(元データ_14項目!$D$2:$Q$1300,0,MATCH($B727,元データ_14項目!$D$1:$Q$1,0)),元データ_14項目!$A$2:$A$1300,$A727,元データ_14項目!$B$2:$B$1300,"本年",元データ_14項目!$C$2:$C$1300,F$5)</f>
        <v>33</v>
      </c>
      <c r="G727" s="26">
        <f>SUMIFS(INDEX(元データ_14項目!$D$2:$Q$1300,0,MATCH($B727,元データ_14項目!$D$1:$Q$1,0)),元データ_14項目!$A$2:$A$1300,$A727,元データ_14項目!$B$2:$B$1300,"本年",元データ_14項目!$C$2:$C$1300,G$5)</f>
        <v>73</v>
      </c>
      <c r="H727" s="26">
        <f>SUMIFS(INDEX(元データ_14項目!$D$2:$Q$1300,0,MATCH($B727,元データ_14項目!$D$1:$Q$1,0)),元データ_14項目!$A$2:$A$1300,$A727,元データ_14項目!$B$2:$B$1300,"本年",元データ_14項目!$C$2:$C$1300,H$5)</f>
        <v>47</v>
      </c>
      <c r="I727" s="26">
        <f>SUMIFS(INDEX(元データ_14項目!$D$2:$Q$1300,0,MATCH($B727,元データ_14項目!$D$1:$Q$1,0)),元データ_14項目!$A$2:$A$1300,$A727,元データ_14項目!$B$2:$B$1300,"本年",元データ_14項目!$C$2:$C$1300,I$5)</f>
        <v>32</v>
      </c>
      <c r="J727" s="26">
        <f>SUMIFS(INDEX(元データ_14項目!$D$2:$Q$1300,0,MATCH($B727,元データ_14項目!$D$1:$Q$1,0)),元データ_14項目!$A$2:$A$1300,$A727,元データ_14項目!$B$2:$B$1300,"本年",元データ_14項目!$C$2:$C$1300,J$5)</f>
        <v>101</v>
      </c>
      <c r="K727" s="26">
        <f>SUMIFS(INDEX(元データ_14項目!$D$2:$Q$1300,0,MATCH($B727,元データ_14項目!$D$1:$Q$1,0)),元データ_14項目!$A$2:$A$1300,$A727,元データ_14項目!$B$2:$B$1300,"本年",元データ_14項目!$C$2:$C$1300,K$5)</f>
        <v>287</v>
      </c>
      <c r="L727" s="26">
        <f>SUMIFS(INDEX(元データ_14項目!$D$2:$Q$1300,0,MATCH($B727,元データ_14項目!$D$1:$Q$1,0)),元データ_14項目!$A$2:$A$1300,$A727,元データ_14項目!$B$2:$B$1300,"本年",元データ_14項目!$C$2:$C$1300,L$5)</f>
        <v>171</v>
      </c>
      <c r="M727" s="26">
        <f>SUMIFS(INDEX(元データ_14項目!$D$2:$Q$1300,0,MATCH($B727,元データ_14項目!$D$1:$Q$1,0)),元データ_14項目!$A$2:$A$1300,$A727,元データ_14項目!$B$2:$B$1300,"本年",元データ_14項目!$C$2:$C$1300,M$5)</f>
        <v>89</v>
      </c>
      <c r="N727" s="26">
        <f>SUMIFS(INDEX(元データ_14項目!$D$2:$Q$1300,0,MATCH($B727,元データ_14項目!$D$1:$Q$1,0)),元データ_14項目!$A$2:$A$1300,$A727,元データ_14項目!$B$2:$B$1300,"本年",元データ_14項目!$C$2:$C$1300,N$5)</f>
        <v>60</v>
      </c>
      <c r="O727" s="26">
        <f t="shared" si="22"/>
        <v>951</v>
      </c>
      <c r="P727" s="26">
        <f>SUMIFS(INDEX(元データ_14項目!$D$2:$Q$1300,0,MATCH($B727,元データ_14項目!$D$1:$Q$1,0)),元データ_14項目!$A$2:$A$1300,$A727,元データ_14項目!$B$2:$B$1300,"前年")</f>
        <v>812</v>
      </c>
      <c r="Q727" s="7">
        <f t="shared" si="23"/>
        <v>1.1711822660098523</v>
      </c>
    </row>
    <row r="728" spans="1:17" x14ac:dyDescent="0.45">
      <c r="A728" t="s">
        <v>86</v>
      </c>
      <c r="B728" t="s">
        <v>94</v>
      </c>
      <c r="C728" s="26">
        <f>SUMIFS(INDEX(元データ_14項目!$D$2:$Q$1300,0,MATCH($B728,元データ_14項目!$D$1:$Q$1,0)),元データ_14項目!$A$2:$A$1300,$A728,元データ_14項目!$B$2:$B$1300,"本年",元データ_14項目!$C$2:$C$1300,C$5)</f>
        <v>10</v>
      </c>
      <c r="D728" s="26">
        <f>SUMIFS(INDEX(元データ_14項目!$D$2:$Q$1300,0,MATCH($B728,元データ_14項目!$D$1:$Q$1,0)),元データ_14項目!$A$2:$A$1300,$A728,元データ_14項目!$B$2:$B$1300,"本年",元データ_14項目!$C$2:$C$1300,D$5)</f>
        <v>7</v>
      </c>
      <c r="E728" s="26">
        <f>SUMIFS(INDEX(元データ_14項目!$D$2:$Q$1300,0,MATCH($B728,元データ_14項目!$D$1:$Q$1,0)),元データ_14項目!$A$2:$A$1300,$A728,元データ_14項目!$B$2:$B$1300,"本年",元データ_14項目!$C$2:$C$1300,E$5)</f>
        <v>15</v>
      </c>
      <c r="F728" s="26">
        <f>SUMIFS(INDEX(元データ_14項目!$D$2:$Q$1300,0,MATCH($B728,元データ_14項目!$D$1:$Q$1,0)),元データ_14項目!$A$2:$A$1300,$A728,元データ_14項目!$B$2:$B$1300,"本年",元データ_14項目!$C$2:$C$1300,F$5)</f>
        <v>16</v>
      </c>
      <c r="G728" s="26">
        <f>SUMIFS(INDEX(元データ_14項目!$D$2:$Q$1300,0,MATCH($B728,元データ_14項目!$D$1:$Q$1,0)),元データ_14項目!$A$2:$A$1300,$A728,元データ_14項目!$B$2:$B$1300,"本年",元データ_14項目!$C$2:$C$1300,G$5)</f>
        <v>30</v>
      </c>
      <c r="H728" s="26">
        <f>SUMIFS(INDEX(元データ_14項目!$D$2:$Q$1300,0,MATCH($B728,元データ_14項目!$D$1:$Q$1,0)),元データ_14項目!$A$2:$A$1300,$A728,元データ_14項目!$B$2:$B$1300,"本年",元データ_14項目!$C$2:$C$1300,H$5)</f>
        <v>13</v>
      </c>
      <c r="I728" s="26">
        <f>SUMIFS(INDEX(元データ_14項目!$D$2:$Q$1300,0,MATCH($B728,元データ_14項目!$D$1:$Q$1,0)),元データ_14項目!$A$2:$A$1300,$A728,元データ_14項目!$B$2:$B$1300,"本年",元データ_14項目!$C$2:$C$1300,I$5)</f>
        <v>7</v>
      </c>
      <c r="J728" s="26">
        <f>SUMIFS(INDEX(元データ_14項目!$D$2:$Q$1300,0,MATCH($B728,元データ_14項目!$D$1:$Q$1,0)),元データ_14項目!$A$2:$A$1300,$A728,元データ_14項目!$B$2:$B$1300,"本年",元データ_14項目!$C$2:$C$1300,J$5)</f>
        <v>27</v>
      </c>
      <c r="K728" s="26">
        <f>SUMIFS(INDEX(元データ_14項目!$D$2:$Q$1300,0,MATCH($B728,元データ_14項目!$D$1:$Q$1,0)),元データ_14項目!$A$2:$A$1300,$A728,元データ_14項目!$B$2:$B$1300,"本年",元データ_14項目!$C$2:$C$1300,K$5)</f>
        <v>103</v>
      </c>
      <c r="L728" s="26">
        <f>SUMIFS(INDEX(元データ_14項目!$D$2:$Q$1300,0,MATCH($B728,元データ_14項目!$D$1:$Q$1,0)),元データ_14項目!$A$2:$A$1300,$A728,元データ_14項目!$B$2:$B$1300,"本年",元データ_14項目!$C$2:$C$1300,L$5)</f>
        <v>61</v>
      </c>
      <c r="M728" s="26">
        <f>SUMIFS(INDEX(元データ_14項目!$D$2:$Q$1300,0,MATCH($B728,元データ_14項目!$D$1:$Q$1,0)),元データ_14項目!$A$2:$A$1300,$A728,元データ_14項目!$B$2:$B$1300,"本年",元データ_14項目!$C$2:$C$1300,M$5)</f>
        <v>32</v>
      </c>
      <c r="N728" s="26">
        <f>SUMIFS(INDEX(元データ_14項目!$D$2:$Q$1300,0,MATCH($B728,元データ_14項目!$D$1:$Q$1,0)),元データ_14項目!$A$2:$A$1300,$A728,元データ_14項目!$B$2:$B$1300,"本年",元データ_14項目!$C$2:$C$1300,N$5)</f>
        <v>19</v>
      </c>
      <c r="O728" s="26">
        <f t="shared" si="22"/>
        <v>340</v>
      </c>
      <c r="P728" s="26">
        <f>SUMIFS(INDEX(元データ_14項目!$D$2:$Q$1300,0,MATCH($B728,元データ_14項目!$D$1:$Q$1,0)),元データ_14項目!$A$2:$A$1300,$A728,元データ_14項目!$B$2:$B$1300,"前年")</f>
        <v>375</v>
      </c>
      <c r="Q728" s="7">
        <f t="shared" si="23"/>
        <v>0.90666666666666662</v>
      </c>
    </row>
    <row r="729" spans="1:17" x14ac:dyDescent="0.45">
      <c r="A729" t="s">
        <v>86</v>
      </c>
      <c r="B729" t="s">
        <v>95</v>
      </c>
      <c r="C729" s="26">
        <f>SUMIFS(INDEX(元データ_14項目!$D$2:$Q$1300,0,MATCH($B729,元データ_14項目!$D$1:$Q$1,0)),元データ_14項目!$A$2:$A$1300,$A729,元データ_14項目!$B$2:$B$1300,"本年",元データ_14項目!$C$2:$C$1300,C$5)</f>
        <v>14</v>
      </c>
      <c r="D729" s="26">
        <f>SUMIFS(INDEX(元データ_14項目!$D$2:$Q$1300,0,MATCH($B729,元データ_14項目!$D$1:$Q$1,0)),元データ_14項目!$A$2:$A$1300,$A729,元データ_14項目!$B$2:$B$1300,"本年",元データ_14項目!$C$2:$C$1300,D$5)</f>
        <v>27</v>
      </c>
      <c r="E729" s="26">
        <f>SUMIFS(INDEX(元データ_14項目!$D$2:$Q$1300,0,MATCH($B729,元データ_14項目!$D$1:$Q$1,0)),元データ_14項目!$A$2:$A$1300,$A729,元データ_14項目!$B$2:$B$1300,"本年",元データ_14項目!$C$2:$C$1300,E$5)</f>
        <v>55</v>
      </c>
      <c r="F729" s="26">
        <f>SUMIFS(INDEX(元データ_14項目!$D$2:$Q$1300,0,MATCH($B729,元データ_14項目!$D$1:$Q$1,0)),元データ_14項目!$A$2:$A$1300,$A729,元データ_14項目!$B$2:$B$1300,"本年",元データ_14項目!$C$2:$C$1300,F$5)</f>
        <v>28</v>
      </c>
      <c r="G729" s="26">
        <f>SUMIFS(INDEX(元データ_14項目!$D$2:$Q$1300,0,MATCH($B729,元データ_14項目!$D$1:$Q$1,0)),元データ_14項目!$A$2:$A$1300,$A729,元データ_14項目!$B$2:$B$1300,"本年",元データ_14項目!$C$2:$C$1300,G$5)</f>
        <v>19</v>
      </c>
      <c r="H729" s="26">
        <f>SUMIFS(INDEX(元データ_14項目!$D$2:$Q$1300,0,MATCH($B729,元データ_14項目!$D$1:$Q$1,0)),元データ_14項目!$A$2:$A$1300,$A729,元データ_14項目!$B$2:$B$1300,"本年",元データ_14項目!$C$2:$C$1300,H$5)</f>
        <v>8</v>
      </c>
      <c r="I729" s="26">
        <f>SUMIFS(INDEX(元データ_14項目!$D$2:$Q$1300,0,MATCH($B729,元データ_14項目!$D$1:$Q$1,0)),元データ_14項目!$A$2:$A$1300,$A729,元データ_14項目!$B$2:$B$1300,"本年",元データ_14項目!$C$2:$C$1300,I$5)</f>
        <v>15</v>
      </c>
      <c r="J729" s="26">
        <f>SUMIFS(INDEX(元データ_14項目!$D$2:$Q$1300,0,MATCH($B729,元データ_14項目!$D$1:$Q$1,0)),元データ_14項目!$A$2:$A$1300,$A729,元データ_14項目!$B$2:$B$1300,"本年",元データ_14項目!$C$2:$C$1300,J$5)</f>
        <v>25</v>
      </c>
      <c r="K729" s="26">
        <f>SUMIFS(INDEX(元データ_14項目!$D$2:$Q$1300,0,MATCH($B729,元データ_14項目!$D$1:$Q$1,0)),元データ_14項目!$A$2:$A$1300,$A729,元データ_14項目!$B$2:$B$1300,"本年",元データ_14項目!$C$2:$C$1300,K$5)</f>
        <v>46</v>
      </c>
      <c r="L729" s="26">
        <f>SUMIFS(INDEX(元データ_14項目!$D$2:$Q$1300,0,MATCH($B729,元データ_14項目!$D$1:$Q$1,0)),元データ_14項目!$A$2:$A$1300,$A729,元データ_14項目!$B$2:$B$1300,"本年",元データ_14項目!$C$2:$C$1300,L$5)</f>
        <v>23</v>
      </c>
      <c r="M729" s="26">
        <f>SUMIFS(INDEX(元データ_14項目!$D$2:$Q$1300,0,MATCH($B729,元データ_14項目!$D$1:$Q$1,0)),元データ_14項目!$A$2:$A$1300,$A729,元データ_14項目!$B$2:$B$1300,"本年",元データ_14項目!$C$2:$C$1300,M$5)</f>
        <v>27</v>
      </c>
      <c r="N729" s="26">
        <f>SUMIFS(INDEX(元データ_14項目!$D$2:$Q$1300,0,MATCH($B729,元データ_14項目!$D$1:$Q$1,0)),元データ_14項目!$A$2:$A$1300,$A729,元データ_14項目!$B$2:$B$1300,"本年",元データ_14項目!$C$2:$C$1300,N$5)</f>
        <v>24</v>
      </c>
      <c r="O729" s="26">
        <f t="shared" si="22"/>
        <v>311</v>
      </c>
      <c r="P729" s="26">
        <f>SUMIFS(INDEX(元データ_14項目!$D$2:$Q$1300,0,MATCH($B729,元データ_14項目!$D$1:$Q$1,0)),元データ_14項目!$A$2:$A$1300,$A729,元データ_14項目!$B$2:$B$1300,"前年")</f>
        <v>346</v>
      </c>
      <c r="Q729" s="7">
        <f t="shared" si="23"/>
        <v>0.89884393063583812</v>
      </c>
    </row>
    <row r="730" spans="1:17" x14ac:dyDescent="0.45">
      <c r="A730" t="s">
        <v>86</v>
      </c>
      <c r="B730" t="s">
        <v>96</v>
      </c>
      <c r="C730" s="26">
        <f>SUMIFS(INDEX(元データ_14項目!$D$2:$Q$1300,0,MATCH($B730,元データ_14項目!$D$1:$Q$1,0)),元データ_14項目!$A$2:$A$1300,$A730,元データ_14項目!$B$2:$B$1300,"本年",元データ_14項目!$C$2:$C$1300,C$5)</f>
        <v>14</v>
      </c>
      <c r="D730" s="26">
        <f>SUMIFS(INDEX(元データ_14項目!$D$2:$Q$1300,0,MATCH($B730,元データ_14項目!$D$1:$Q$1,0)),元データ_14項目!$A$2:$A$1300,$A730,元データ_14項目!$B$2:$B$1300,"本年",元データ_14項目!$C$2:$C$1300,D$5)</f>
        <v>26</v>
      </c>
      <c r="E730" s="26">
        <f>SUMIFS(INDEX(元データ_14項目!$D$2:$Q$1300,0,MATCH($B730,元データ_14項目!$D$1:$Q$1,0)),元データ_14項目!$A$2:$A$1300,$A730,元データ_14項目!$B$2:$B$1300,"本年",元データ_14項目!$C$2:$C$1300,E$5)</f>
        <v>33</v>
      </c>
      <c r="F730" s="26">
        <f>SUMIFS(INDEX(元データ_14項目!$D$2:$Q$1300,0,MATCH($B730,元データ_14項目!$D$1:$Q$1,0)),元データ_14項目!$A$2:$A$1300,$A730,元データ_14項目!$B$2:$B$1300,"本年",元データ_14項目!$C$2:$C$1300,F$5)</f>
        <v>26</v>
      </c>
      <c r="G730" s="26">
        <f>SUMIFS(INDEX(元データ_14項目!$D$2:$Q$1300,0,MATCH($B730,元データ_14項目!$D$1:$Q$1,0)),元データ_14項目!$A$2:$A$1300,$A730,元データ_14項目!$B$2:$B$1300,"本年",元データ_14項目!$C$2:$C$1300,G$5)</f>
        <v>41</v>
      </c>
      <c r="H730" s="26">
        <f>SUMIFS(INDEX(元データ_14項目!$D$2:$Q$1300,0,MATCH($B730,元データ_14項目!$D$1:$Q$1,0)),元データ_14項目!$A$2:$A$1300,$A730,元データ_14項目!$B$2:$B$1300,"本年",元データ_14項目!$C$2:$C$1300,H$5)</f>
        <v>28</v>
      </c>
      <c r="I730" s="26">
        <f>SUMIFS(INDEX(元データ_14項目!$D$2:$Q$1300,0,MATCH($B730,元データ_14項目!$D$1:$Q$1,0)),元データ_14項目!$A$2:$A$1300,$A730,元データ_14項目!$B$2:$B$1300,"本年",元データ_14項目!$C$2:$C$1300,I$5)</f>
        <v>28</v>
      </c>
      <c r="J730" s="26">
        <f>SUMIFS(INDEX(元データ_14項目!$D$2:$Q$1300,0,MATCH($B730,元データ_14項目!$D$1:$Q$1,0)),元データ_14項目!$A$2:$A$1300,$A730,元データ_14項目!$B$2:$B$1300,"本年",元データ_14項目!$C$2:$C$1300,J$5)</f>
        <v>118</v>
      </c>
      <c r="K730" s="26">
        <f>SUMIFS(INDEX(元データ_14項目!$D$2:$Q$1300,0,MATCH($B730,元データ_14項目!$D$1:$Q$1,0)),元データ_14項目!$A$2:$A$1300,$A730,元データ_14項目!$B$2:$B$1300,"本年",元データ_14項目!$C$2:$C$1300,K$5)</f>
        <v>238</v>
      </c>
      <c r="L730" s="26">
        <f>SUMIFS(INDEX(元データ_14項目!$D$2:$Q$1300,0,MATCH($B730,元データ_14項目!$D$1:$Q$1,0)),元データ_14項目!$A$2:$A$1300,$A730,元データ_14項目!$B$2:$B$1300,"本年",元データ_14項目!$C$2:$C$1300,L$5)</f>
        <v>125</v>
      </c>
      <c r="M730" s="26">
        <f>SUMIFS(INDEX(元データ_14項目!$D$2:$Q$1300,0,MATCH($B730,元データ_14項目!$D$1:$Q$1,0)),元データ_14項目!$A$2:$A$1300,$A730,元データ_14項目!$B$2:$B$1300,"本年",元データ_14項目!$C$2:$C$1300,M$5)</f>
        <v>75</v>
      </c>
      <c r="N730" s="26">
        <f>SUMIFS(INDEX(元データ_14項目!$D$2:$Q$1300,0,MATCH($B730,元データ_14項目!$D$1:$Q$1,0)),元データ_14項目!$A$2:$A$1300,$A730,元データ_14項目!$B$2:$B$1300,"本年",元データ_14項目!$C$2:$C$1300,N$5)</f>
        <v>44</v>
      </c>
      <c r="O730" s="26">
        <f t="shared" si="22"/>
        <v>796</v>
      </c>
      <c r="P730" s="26">
        <f>SUMIFS(INDEX(元データ_14項目!$D$2:$Q$1300,0,MATCH($B730,元データ_14項目!$D$1:$Q$1,0)),元データ_14項目!$A$2:$A$1300,$A730,元データ_14項目!$B$2:$B$1300,"前年")</f>
        <v>680</v>
      </c>
      <c r="Q730" s="7">
        <f t="shared" si="23"/>
        <v>1.1705882352941177</v>
      </c>
    </row>
    <row r="731" spans="1:17" x14ac:dyDescent="0.45">
      <c r="A731" t="s">
        <v>86</v>
      </c>
      <c r="B731" t="s">
        <v>97</v>
      </c>
      <c r="C731" s="26">
        <f>SUMIFS(INDEX(元データ_14項目!$D$2:$Q$1300,0,MATCH($B731,元データ_14項目!$D$1:$Q$1,0)),元データ_14項目!$A$2:$A$1300,$A731,元データ_14項目!$B$2:$B$1300,"本年",元データ_14項目!$C$2:$C$1300,C$5)</f>
        <v>31</v>
      </c>
      <c r="D731" s="26">
        <f>SUMIFS(INDEX(元データ_14項目!$D$2:$Q$1300,0,MATCH($B731,元データ_14項目!$D$1:$Q$1,0)),元データ_14項目!$A$2:$A$1300,$A731,元データ_14項目!$B$2:$B$1300,"本年",元データ_14項目!$C$2:$C$1300,D$5)</f>
        <v>21</v>
      </c>
      <c r="E731" s="26">
        <f>SUMIFS(INDEX(元データ_14項目!$D$2:$Q$1300,0,MATCH($B731,元データ_14項目!$D$1:$Q$1,0)),元データ_14項目!$A$2:$A$1300,$A731,元データ_14項目!$B$2:$B$1300,"本年",元データ_14項目!$C$2:$C$1300,E$5)</f>
        <v>35</v>
      </c>
      <c r="F731" s="26">
        <f>SUMIFS(INDEX(元データ_14項目!$D$2:$Q$1300,0,MATCH($B731,元データ_14項目!$D$1:$Q$1,0)),元データ_14項目!$A$2:$A$1300,$A731,元データ_14項目!$B$2:$B$1300,"本年",元データ_14項目!$C$2:$C$1300,F$5)</f>
        <v>43</v>
      </c>
      <c r="G731" s="26">
        <f>SUMIFS(INDEX(元データ_14項目!$D$2:$Q$1300,0,MATCH($B731,元データ_14項目!$D$1:$Q$1,0)),元データ_14項目!$A$2:$A$1300,$A731,元データ_14項目!$B$2:$B$1300,"本年",元データ_14項目!$C$2:$C$1300,G$5)</f>
        <v>54</v>
      </c>
      <c r="H731" s="26">
        <f>SUMIFS(INDEX(元データ_14項目!$D$2:$Q$1300,0,MATCH($B731,元データ_14項目!$D$1:$Q$1,0)),元データ_14項目!$A$2:$A$1300,$A731,元データ_14項目!$B$2:$B$1300,"本年",元データ_14項目!$C$2:$C$1300,H$5)</f>
        <v>39</v>
      </c>
      <c r="I731" s="26">
        <f>SUMIFS(INDEX(元データ_14項目!$D$2:$Q$1300,0,MATCH($B731,元データ_14項目!$D$1:$Q$1,0)),元データ_14項目!$A$2:$A$1300,$A731,元データ_14項目!$B$2:$B$1300,"本年",元データ_14項目!$C$2:$C$1300,I$5)</f>
        <v>30</v>
      </c>
      <c r="J731" s="26">
        <f>SUMIFS(INDEX(元データ_14項目!$D$2:$Q$1300,0,MATCH($B731,元データ_14項目!$D$1:$Q$1,0)),元データ_14項目!$A$2:$A$1300,$A731,元データ_14項目!$B$2:$B$1300,"本年",元データ_14項目!$C$2:$C$1300,J$5)</f>
        <v>95</v>
      </c>
      <c r="K731" s="26">
        <f>SUMIFS(INDEX(元データ_14項目!$D$2:$Q$1300,0,MATCH($B731,元データ_14項目!$D$1:$Q$1,0)),元データ_14項目!$A$2:$A$1300,$A731,元データ_14項目!$B$2:$B$1300,"本年",元データ_14項目!$C$2:$C$1300,K$5)</f>
        <v>266</v>
      </c>
      <c r="L731" s="26">
        <f>SUMIFS(INDEX(元データ_14項目!$D$2:$Q$1300,0,MATCH($B731,元データ_14項目!$D$1:$Q$1,0)),元データ_14項目!$A$2:$A$1300,$A731,元データ_14項目!$B$2:$B$1300,"本年",元データ_14項目!$C$2:$C$1300,L$5)</f>
        <v>167</v>
      </c>
      <c r="M731" s="26">
        <f>SUMIFS(INDEX(元データ_14項目!$D$2:$Q$1300,0,MATCH($B731,元データ_14項目!$D$1:$Q$1,0)),元データ_14項目!$A$2:$A$1300,$A731,元データ_14項目!$B$2:$B$1300,"本年",元データ_14項目!$C$2:$C$1300,M$5)</f>
        <v>86</v>
      </c>
      <c r="N731" s="26">
        <f>SUMIFS(INDEX(元データ_14項目!$D$2:$Q$1300,0,MATCH($B731,元データ_14項目!$D$1:$Q$1,0)),元データ_14項目!$A$2:$A$1300,$A731,元データ_14項目!$B$2:$B$1300,"本年",元データ_14項目!$C$2:$C$1300,N$5)</f>
        <v>53</v>
      </c>
      <c r="O731" s="26">
        <f t="shared" si="22"/>
        <v>920</v>
      </c>
      <c r="P731" s="26">
        <f>SUMIFS(INDEX(元データ_14項目!$D$2:$Q$1300,0,MATCH($B731,元データ_14項目!$D$1:$Q$1,0)),元データ_14項目!$A$2:$A$1300,$A731,元データ_14項目!$B$2:$B$1300,"前年")</f>
        <v>782</v>
      </c>
      <c r="Q731" s="7">
        <f t="shared" si="23"/>
        <v>1.1764705882352942</v>
      </c>
    </row>
    <row r="732" spans="1:17" x14ac:dyDescent="0.45">
      <c r="A732" t="s">
        <v>86</v>
      </c>
      <c r="B732" t="s">
        <v>98</v>
      </c>
      <c r="C732" s="26">
        <f>SUMIFS(INDEX(元データ_14項目!$D$2:$Q$1300,0,MATCH($B732,元データ_14項目!$D$1:$Q$1,0)),元データ_14項目!$A$2:$A$1300,$A732,元データ_14項目!$B$2:$B$1300,"本年",元データ_14項目!$C$2:$C$1300,C$5)</f>
        <v>6</v>
      </c>
      <c r="D732" s="26">
        <f>SUMIFS(INDEX(元データ_14項目!$D$2:$Q$1300,0,MATCH($B732,元データ_14項目!$D$1:$Q$1,0)),元データ_14項目!$A$2:$A$1300,$A732,元データ_14項目!$B$2:$B$1300,"本年",元データ_14項目!$C$2:$C$1300,D$5)</f>
        <v>10</v>
      </c>
      <c r="E732" s="26">
        <f>SUMIFS(INDEX(元データ_14項目!$D$2:$Q$1300,0,MATCH($B732,元データ_14項目!$D$1:$Q$1,0)),元データ_14項目!$A$2:$A$1300,$A732,元データ_14項目!$B$2:$B$1300,"本年",元データ_14項目!$C$2:$C$1300,E$5)</f>
        <v>11</v>
      </c>
      <c r="F732" s="26">
        <f>SUMIFS(INDEX(元データ_14項目!$D$2:$Q$1300,0,MATCH($B732,元データ_14項目!$D$1:$Q$1,0)),元データ_14項目!$A$2:$A$1300,$A732,元データ_14項目!$B$2:$B$1300,"本年",元データ_14項目!$C$2:$C$1300,F$5)</f>
        <v>15</v>
      </c>
      <c r="G732" s="26">
        <f>SUMIFS(INDEX(元データ_14項目!$D$2:$Q$1300,0,MATCH($B732,元データ_14項目!$D$1:$Q$1,0)),元データ_14項目!$A$2:$A$1300,$A732,元データ_14項目!$B$2:$B$1300,"本年",元データ_14項目!$C$2:$C$1300,G$5)</f>
        <v>11</v>
      </c>
      <c r="H732" s="26">
        <f>SUMIFS(INDEX(元データ_14項目!$D$2:$Q$1300,0,MATCH($B732,元データ_14項目!$D$1:$Q$1,0)),元データ_14項目!$A$2:$A$1300,$A732,元データ_14項目!$B$2:$B$1300,"本年",元データ_14項目!$C$2:$C$1300,H$5)</f>
        <v>14</v>
      </c>
      <c r="I732" s="26">
        <f>SUMIFS(INDEX(元データ_14項目!$D$2:$Q$1300,0,MATCH($B732,元データ_14項目!$D$1:$Q$1,0)),元データ_14項目!$A$2:$A$1300,$A732,元データ_14項目!$B$2:$B$1300,"本年",元データ_14項目!$C$2:$C$1300,I$5)</f>
        <v>7</v>
      </c>
      <c r="J732" s="26">
        <f>SUMIFS(INDEX(元データ_14項目!$D$2:$Q$1300,0,MATCH($B732,元データ_14項目!$D$1:$Q$1,0)),元データ_14項目!$A$2:$A$1300,$A732,元データ_14項目!$B$2:$B$1300,"本年",元データ_14項目!$C$2:$C$1300,J$5)</f>
        <v>88</v>
      </c>
      <c r="K732" s="26">
        <f>SUMIFS(INDEX(元データ_14項目!$D$2:$Q$1300,0,MATCH($B732,元データ_14項目!$D$1:$Q$1,0)),元データ_14項目!$A$2:$A$1300,$A732,元データ_14項目!$B$2:$B$1300,"本年",元データ_14項目!$C$2:$C$1300,K$5)</f>
        <v>164</v>
      </c>
      <c r="L732" s="26">
        <f>SUMIFS(INDEX(元データ_14項目!$D$2:$Q$1300,0,MATCH($B732,元データ_14項目!$D$1:$Q$1,0)),元データ_14項目!$A$2:$A$1300,$A732,元データ_14項目!$B$2:$B$1300,"本年",元データ_14項目!$C$2:$C$1300,L$5)</f>
        <v>81</v>
      </c>
      <c r="M732" s="26">
        <f>SUMIFS(INDEX(元データ_14項目!$D$2:$Q$1300,0,MATCH($B732,元データ_14項目!$D$1:$Q$1,0)),元データ_14項目!$A$2:$A$1300,$A732,元データ_14項目!$B$2:$B$1300,"本年",元データ_14項目!$C$2:$C$1300,M$5)</f>
        <v>66</v>
      </c>
      <c r="N732" s="26">
        <f>SUMIFS(INDEX(元データ_14項目!$D$2:$Q$1300,0,MATCH($B732,元データ_14項目!$D$1:$Q$1,0)),元データ_14項目!$A$2:$A$1300,$A732,元データ_14項目!$B$2:$B$1300,"本年",元データ_14項目!$C$2:$C$1300,N$5)</f>
        <v>18</v>
      </c>
      <c r="O732" s="26">
        <f t="shared" si="22"/>
        <v>491</v>
      </c>
      <c r="P732" s="26">
        <f>SUMIFS(INDEX(元データ_14項目!$D$2:$Q$1300,0,MATCH($B732,元データ_14項目!$D$1:$Q$1,0)),元データ_14項目!$A$2:$A$1300,$A732,元データ_14項目!$B$2:$B$1300,"前年")</f>
        <v>445</v>
      </c>
      <c r="Q732" s="7">
        <f t="shared" si="23"/>
        <v>1.1033707865168538</v>
      </c>
    </row>
    <row r="733" spans="1:17" x14ac:dyDescent="0.45">
      <c r="A733" t="s">
        <v>86</v>
      </c>
      <c r="B733" t="s">
        <v>99</v>
      </c>
      <c r="C733" s="26">
        <f>SUMIFS(INDEX(元データ_14項目!$D$2:$Q$1300,0,MATCH($B733,元データ_14項目!$D$1:$Q$1,0)),元データ_14項目!$A$2:$A$1300,$A733,元データ_14項目!$B$2:$B$1300,"本年",元データ_14項目!$C$2:$C$1300,C$5)</f>
        <v>0</v>
      </c>
      <c r="D733" s="26">
        <f>SUMIFS(INDEX(元データ_14項目!$D$2:$Q$1300,0,MATCH($B733,元データ_14項目!$D$1:$Q$1,0)),元データ_14項目!$A$2:$A$1300,$A733,元データ_14項目!$B$2:$B$1300,"本年",元データ_14項目!$C$2:$C$1300,D$5)</f>
        <v>0</v>
      </c>
      <c r="E733" s="26">
        <f>SUMIFS(INDEX(元データ_14項目!$D$2:$Q$1300,0,MATCH($B733,元データ_14項目!$D$1:$Q$1,0)),元データ_14項目!$A$2:$A$1300,$A733,元データ_14項目!$B$2:$B$1300,"本年",元データ_14項目!$C$2:$C$1300,E$5)</f>
        <v>0</v>
      </c>
      <c r="F733" s="26">
        <f>SUMIFS(INDEX(元データ_14項目!$D$2:$Q$1300,0,MATCH($B733,元データ_14項目!$D$1:$Q$1,0)),元データ_14項目!$A$2:$A$1300,$A733,元データ_14項目!$B$2:$B$1300,"本年",元データ_14項目!$C$2:$C$1300,F$5)</f>
        <v>2</v>
      </c>
      <c r="G733" s="26">
        <f>SUMIFS(INDEX(元データ_14項目!$D$2:$Q$1300,0,MATCH($B733,元データ_14項目!$D$1:$Q$1,0)),元データ_14項目!$A$2:$A$1300,$A733,元データ_14項目!$B$2:$B$1300,"本年",元データ_14項目!$C$2:$C$1300,G$5)</f>
        <v>0</v>
      </c>
      <c r="H733" s="26">
        <f>SUMIFS(INDEX(元データ_14項目!$D$2:$Q$1300,0,MATCH($B733,元データ_14項目!$D$1:$Q$1,0)),元データ_14項目!$A$2:$A$1300,$A733,元データ_14項目!$B$2:$B$1300,"本年",元データ_14項目!$C$2:$C$1300,H$5)</f>
        <v>0</v>
      </c>
      <c r="I733" s="26">
        <f>SUMIFS(INDEX(元データ_14項目!$D$2:$Q$1300,0,MATCH($B733,元データ_14項目!$D$1:$Q$1,0)),元データ_14項目!$A$2:$A$1300,$A733,元データ_14項目!$B$2:$B$1300,"本年",元データ_14項目!$C$2:$C$1300,I$5)</f>
        <v>16</v>
      </c>
      <c r="J733" s="26">
        <f>SUMIFS(INDEX(元データ_14項目!$D$2:$Q$1300,0,MATCH($B733,元データ_14項目!$D$1:$Q$1,0)),元データ_14項目!$A$2:$A$1300,$A733,元データ_14項目!$B$2:$B$1300,"本年",元データ_14項目!$C$2:$C$1300,J$5)</f>
        <v>8</v>
      </c>
      <c r="K733" s="26">
        <f>SUMIFS(INDEX(元データ_14項目!$D$2:$Q$1300,0,MATCH($B733,元データ_14項目!$D$1:$Q$1,0)),元データ_14項目!$A$2:$A$1300,$A733,元データ_14項目!$B$2:$B$1300,"本年",元データ_14項目!$C$2:$C$1300,K$5)</f>
        <v>8</v>
      </c>
      <c r="L733" s="26">
        <f>SUMIFS(INDEX(元データ_14項目!$D$2:$Q$1300,0,MATCH($B733,元データ_14項目!$D$1:$Q$1,0)),元データ_14項目!$A$2:$A$1300,$A733,元データ_14項目!$B$2:$B$1300,"本年",元データ_14項目!$C$2:$C$1300,L$5)</f>
        <v>2</v>
      </c>
      <c r="M733" s="26">
        <f>SUMIFS(INDEX(元データ_14項目!$D$2:$Q$1300,0,MATCH($B733,元データ_14項目!$D$1:$Q$1,0)),元データ_14項目!$A$2:$A$1300,$A733,元データ_14項目!$B$2:$B$1300,"本年",元データ_14項目!$C$2:$C$1300,M$5)</f>
        <v>0</v>
      </c>
      <c r="N733" s="26">
        <f>SUMIFS(INDEX(元データ_14項目!$D$2:$Q$1300,0,MATCH($B733,元データ_14項目!$D$1:$Q$1,0)),元データ_14項目!$A$2:$A$1300,$A733,元データ_14項目!$B$2:$B$1300,"本年",元データ_14項目!$C$2:$C$1300,N$5)</f>
        <v>1</v>
      </c>
      <c r="O733" s="26">
        <f t="shared" si="22"/>
        <v>37</v>
      </c>
      <c r="P733" s="26">
        <f>SUMIFS(INDEX(元データ_14項目!$D$2:$Q$1300,0,MATCH($B733,元データ_14項目!$D$1:$Q$1,0)),元データ_14項目!$A$2:$A$1300,$A733,元データ_14項目!$B$2:$B$1300,"前年")</f>
        <v>28</v>
      </c>
      <c r="Q733" s="7">
        <f t="shared" si="23"/>
        <v>1.3214285714285714</v>
      </c>
    </row>
    <row r="734" spans="1:17" x14ac:dyDescent="0.45">
      <c r="A734" t="s">
        <v>87</v>
      </c>
      <c r="B734" t="s">
        <v>27</v>
      </c>
      <c r="C734" s="26">
        <f>SUMIFS(INDEX(元データ_14項目!$D$2:$Q$1300,0,MATCH($B734,元データ_14項目!$D$1:$Q$1,0)),元データ_14項目!$A$2:$A$1300,$A734,元データ_14項目!$B$2:$B$1300,"本年",元データ_14項目!$C$2:$C$1300,C$5)</f>
        <v>0</v>
      </c>
      <c r="D734" s="26">
        <f>SUMIFS(INDEX(元データ_14項目!$D$2:$Q$1300,0,MATCH($B734,元データ_14項目!$D$1:$Q$1,0)),元データ_14項目!$A$2:$A$1300,$A734,元データ_14項目!$B$2:$B$1300,"本年",元データ_14項目!$C$2:$C$1300,D$5)</f>
        <v>0</v>
      </c>
      <c r="E734" s="26">
        <f>SUMIFS(INDEX(元データ_14項目!$D$2:$Q$1300,0,MATCH($B734,元データ_14項目!$D$1:$Q$1,0)),元データ_14項目!$A$2:$A$1300,$A734,元データ_14項目!$B$2:$B$1300,"本年",元データ_14項目!$C$2:$C$1300,E$5)</f>
        <v>0</v>
      </c>
      <c r="F734" s="26">
        <f>SUMIFS(INDEX(元データ_14項目!$D$2:$Q$1300,0,MATCH($B734,元データ_14項目!$D$1:$Q$1,0)),元データ_14項目!$A$2:$A$1300,$A734,元データ_14項目!$B$2:$B$1300,"本年",元データ_14項目!$C$2:$C$1300,F$5)</f>
        <v>0</v>
      </c>
      <c r="G734" s="26">
        <f>SUMIFS(INDEX(元データ_14項目!$D$2:$Q$1300,0,MATCH($B734,元データ_14項目!$D$1:$Q$1,0)),元データ_14項目!$A$2:$A$1300,$A734,元データ_14項目!$B$2:$B$1300,"本年",元データ_14項目!$C$2:$C$1300,G$5)</f>
        <v>0</v>
      </c>
      <c r="H734" s="26">
        <f>SUMIFS(INDEX(元データ_14項目!$D$2:$Q$1300,0,MATCH($B734,元データ_14項目!$D$1:$Q$1,0)),元データ_14項目!$A$2:$A$1300,$A734,元データ_14項目!$B$2:$B$1300,"本年",元データ_14項目!$C$2:$C$1300,H$5)</f>
        <v>0</v>
      </c>
      <c r="I734" s="26">
        <f>SUMIFS(INDEX(元データ_14項目!$D$2:$Q$1300,0,MATCH($B734,元データ_14項目!$D$1:$Q$1,0)),元データ_14項目!$A$2:$A$1300,$A734,元データ_14項目!$B$2:$B$1300,"本年",元データ_14項目!$C$2:$C$1300,I$5)</f>
        <v>0</v>
      </c>
      <c r="J734" s="26">
        <f>SUMIFS(INDEX(元データ_14項目!$D$2:$Q$1300,0,MATCH($B734,元データ_14項目!$D$1:$Q$1,0)),元データ_14項目!$A$2:$A$1300,$A734,元データ_14項目!$B$2:$B$1300,"本年",元データ_14項目!$C$2:$C$1300,J$5)</f>
        <v>0</v>
      </c>
      <c r="K734" s="26">
        <f>SUMIFS(INDEX(元データ_14項目!$D$2:$Q$1300,0,MATCH($B734,元データ_14項目!$D$1:$Q$1,0)),元データ_14項目!$A$2:$A$1300,$A734,元データ_14項目!$B$2:$B$1300,"本年",元データ_14項目!$C$2:$C$1300,K$5)</f>
        <v>0</v>
      </c>
      <c r="L734" s="26">
        <f>SUMIFS(INDEX(元データ_14項目!$D$2:$Q$1300,0,MATCH($B734,元データ_14項目!$D$1:$Q$1,0)),元データ_14項目!$A$2:$A$1300,$A734,元データ_14項目!$B$2:$B$1300,"本年",元データ_14項目!$C$2:$C$1300,L$5)</f>
        <v>0</v>
      </c>
      <c r="M734" s="26">
        <f>SUMIFS(INDEX(元データ_14項目!$D$2:$Q$1300,0,MATCH($B734,元データ_14項目!$D$1:$Q$1,0)),元データ_14項目!$A$2:$A$1300,$A734,元データ_14項目!$B$2:$B$1300,"本年",元データ_14項目!$C$2:$C$1300,M$5)</f>
        <v>923</v>
      </c>
      <c r="N734" s="26">
        <f>SUMIFS(INDEX(元データ_14項目!$D$2:$Q$1300,0,MATCH($B734,元データ_14項目!$D$1:$Q$1,0)),元データ_14項目!$A$2:$A$1300,$A734,元データ_14項目!$B$2:$B$1300,"本年",元データ_14項目!$C$2:$C$1300,N$5)</f>
        <v>773</v>
      </c>
      <c r="O734" s="26">
        <f t="shared" si="22"/>
        <v>1696</v>
      </c>
      <c r="P734" s="26">
        <f>SUMIFS(INDEX(元データ_14項目!$D$2:$Q$1300,0,MATCH($B734,元データ_14項目!$D$1:$Q$1,0)),元データ_14項目!$A$2:$A$1300,$A734,元データ_14項目!$B$2:$B$1300,"前年")</f>
        <v>1719</v>
      </c>
      <c r="Q734" s="7">
        <f t="shared" si="23"/>
        <v>0.98662012798138454</v>
      </c>
    </row>
    <row r="735" spans="1:17" x14ac:dyDescent="0.45">
      <c r="A735" t="s">
        <v>87</v>
      </c>
      <c r="B735" t="s">
        <v>88</v>
      </c>
      <c r="C735" s="26">
        <f>SUMIFS(INDEX(元データ_14項目!$D$2:$Q$1300,0,MATCH($B735,元データ_14項目!$D$1:$Q$1,0)),元データ_14項目!$A$2:$A$1300,$A735,元データ_14項目!$B$2:$B$1300,"本年",元データ_14項目!$C$2:$C$1300,C$5)</f>
        <v>0</v>
      </c>
      <c r="D735" s="26">
        <f>SUMIFS(INDEX(元データ_14項目!$D$2:$Q$1300,0,MATCH($B735,元データ_14項目!$D$1:$Q$1,0)),元データ_14項目!$A$2:$A$1300,$A735,元データ_14項目!$B$2:$B$1300,"本年",元データ_14項目!$C$2:$C$1300,D$5)</f>
        <v>0</v>
      </c>
      <c r="E735" s="26">
        <f>SUMIFS(INDEX(元データ_14項目!$D$2:$Q$1300,0,MATCH($B735,元データ_14項目!$D$1:$Q$1,0)),元データ_14項目!$A$2:$A$1300,$A735,元データ_14項目!$B$2:$B$1300,"本年",元データ_14項目!$C$2:$C$1300,E$5)</f>
        <v>0</v>
      </c>
      <c r="F735" s="26">
        <f>SUMIFS(INDEX(元データ_14項目!$D$2:$Q$1300,0,MATCH($B735,元データ_14項目!$D$1:$Q$1,0)),元データ_14項目!$A$2:$A$1300,$A735,元データ_14項目!$B$2:$B$1300,"本年",元データ_14項目!$C$2:$C$1300,F$5)</f>
        <v>0</v>
      </c>
      <c r="G735" s="26">
        <f>SUMIFS(INDEX(元データ_14項目!$D$2:$Q$1300,0,MATCH($B735,元データ_14項目!$D$1:$Q$1,0)),元データ_14項目!$A$2:$A$1300,$A735,元データ_14項目!$B$2:$B$1300,"本年",元データ_14項目!$C$2:$C$1300,G$5)</f>
        <v>0</v>
      </c>
      <c r="H735" s="26">
        <f>SUMIFS(INDEX(元データ_14項目!$D$2:$Q$1300,0,MATCH($B735,元データ_14項目!$D$1:$Q$1,0)),元データ_14項目!$A$2:$A$1300,$A735,元データ_14項目!$B$2:$B$1300,"本年",元データ_14項目!$C$2:$C$1300,H$5)</f>
        <v>0</v>
      </c>
      <c r="I735" s="26">
        <f>SUMIFS(INDEX(元データ_14項目!$D$2:$Q$1300,0,MATCH($B735,元データ_14項目!$D$1:$Q$1,0)),元データ_14項目!$A$2:$A$1300,$A735,元データ_14項目!$B$2:$B$1300,"本年",元データ_14項目!$C$2:$C$1300,I$5)</f>
        <v>0</v>
      </c>
      <c r="J735" s="26">
        <f>SUMIFS(INDEX(元データ_14項目!$D$2:$Q$1300,0,MATCH($B735,元データ_14項目!$D$1:$Q$1,0)),元データ_14項目!$A$2:$A$1300,$A735,元データ_14項目!$B$2:$B$1300,"本年",元データ_14項目!$C$2:$C$1300,J$5)</f>
        <v>0</v>
      </c>
      <c r="K735" s="26">
        <f>SUMIFS(INDEX(元データ_14項目!$D$2:$Q$1300,0,MATCH($B735,元データ_14項目!$D$1:$Q$1,0)),元データ_14項目!$A$2:$A$1300,$A735,元データ_14項目!$B$2:$B$1300,"本年",元データ_14項目!$C$2:$C$1300,K$5)</f>
        <v>0</v>
      </c>
      <c r="L735" s="26">
        <f>SUMIFS(INDEX(元データ_14項目!$D$2:$Q$1300,0,MATCH($B735,元データ_14項目!$D$1:$Q$1,0)),元データ_14項目!$A$2:$A$1300,$A735,元データ_14項目!$B$2:$B$1300,"本年",元データ_14項目!$C$2:$C$1300,L$5)</f>
        <v>0</v>
      </c>
      <c r="M735" s="26">
        <f>SUMIFS(INDEX(元データ_14項目!$D$2:$Q$1300,0,MATCH($B735,元データ_14項目!$D$1:$Q$1,0)),元データ_14項目!$A$2:$A$1300,$A735,元データ_14項目!$B$2:$B$1300,"本年",元データ_14項目!$C$2:$C$1300,M$5)</f>
        <v>67</v>
      </c>
      <c r="N735" s="26">
        <f>SUMIFS(INDEX(元データ_14項目!$D$2:$Q$1300,0,MATCH($B735,元データ_14項目!$D$1:$Q$1,0)),元データ_14項目!$A$2:$A$1300,$A735,元データ_14項目!$B$2:$B$1300,"本年",元データ_14項目!$C$2:$C$1300,N$5)</f>
        <v>62</v>
      </c>
      <c r="O735" s="26">
        <f t="shared" si="22"/>
        <v>129</v>
      </c>
      <c r="P735" s="26">
        <f>SUMIFS(INDEX(元データ_14項目!$D$2:$Q$1300,0,MATCH($B735,元データ_14項目!$D$1:$Q$1,0)),元データ_14項目!$A$2:$A$1300,$A735,元データ_14項目!$B$2:$B$1300,"前年")</f>
        <v>100</v>
      </c>
      <c r="Q735" s="7">
        <f t="shared" si="23"/>
        <v>1.29</v>
      </c>
    </row>
    <row r="736" spans="1:17" x14ac:dyDescent="0.45">
      <c r="A736" t="s">
        <v>87</v>
      </c>
      <c r="B736" t="s">
        <v>89</v>
      </c>
      <c r="C736" s="26">
        <f>SUMIFS(INDEX(元データ_14項目!$D$2:$Q$1300,0,MATCH($B736,元データ_14項目!$D$1:$Q$1,0)),元データ_14項目!$A$2:$A$1300,$A736,元データ_14項目!$B$2:$B$1300,"本年",元データ_14項目!$C$2:$C$1300,C$5)</f>
        <v>0</v>
      </c>
      <c r="D736" s="26">
        <f>SUMIFS(INDEX(元データ_14項目!$D$2:$Q$1300,0,MATCH($B736,元データ_14項目!$D$1:$Q$1,0)),元データ_14項目!$A$2:$A$1300,$A736,元データ_14項目!$B$2:$B$1300,"本年",元データ_14項目!$C$2:$C$1300,D$5)</f>
        <v>0</v>
      </c>
      <c r="E736" s="26">
        <f>SUMIFS(INDEX(元データ_14項目!$D$2:$Q$1300,0,MATCH($B736,元データ_14項目!$D$1:$Q$1,0)),元データ_14項目!$A$2:$A$1300,$A736,元データ_14項目!$B$2:$B$1300,"本年",元データ_14項目!$C$2:$C$1300,E$5)</f>
        <v>0</v>
      </c>
      <c r="F736" s="26">
        <f>SUMIFS(INDEX(元データ_14項目!$D$2:$Q$1300,0,MATCH($B736,元データ_14項目!$D$1:$Q$1,0)),元データ_14項目!$A$2:$A$1300,$A736,元データ_14項目!$B$2:$B$1300,"本年",元データ_14項目!$C$2:$C$1300,F$5)</f>
        <v>0</v>
      </c>
      <c r="G736" s="26">
        <f>SUMIFS(INDEX(元データ_14項目!$D$2:$Q$1300,0,MATCH($B736,元データ_14項目!$D$1:$Q$1,0)),元データ_14項目!$A$2:$A$1300,$A736,元データ_14項目!$B$2:$B$1300,"本年",元データ_14項目!$C$2:$C$1300,G$5)</f>
        <v>0</v>
      </c>
      <c r="H736" s="26">
        <f>SUMIFS(INDEX(元データ_14項目!$D$2:$Q$1300,0,MATCH($B736,元データ_14項目!$D$1:$Q$1,0)),元データ_14項目!$A$2:$A$1300,$A736,元データ_14項目!$B$2:$B$1300,"本年",元データ_14項目!$C$2:$C$1300,H$5)</f>
        <v>0</v>
      </c>
      <c r="I736" s="26">
        <f>SUMIFS(INDEX(元データ_14項目!$D$2:$Q$1300,0,MATCH($B736,元データ_14項目!$D$1:$Q$1,0)),元データ_14項目!$A$2:$A$1300,$A736,元データ_14項目!$B$2:$B$1300,"本年",元データ_14項目!$C$2:$C$1300,I$5)</f>
        <v>0</v>
      </c>
      <c r="J736" s="26">
        <f>SUMIFS(INDEX(元データ_14項目!$D$2:$Q$1300,0,MATCH($B736,元データ_14項目!$D$1:$Q$1,0)),元データ_14項目!$A$2:$A$1300,$A736,元データ_14項目!$B$2:$B$1300,"本年",元データ_14項目!$C$2:$C$1300,J$5)</f>
        <v>0</v>
      </c>
      <c r="K736" s="26">
        <f>SUMIFS(INDEX(元データ_14項目!$D$2:$Q$1300,0,MATCH($B736,元データ_14項目!$D$1:$Q$1,0)),元データ_14項目!$A$2:$A$1300,$A736,元データ_14項目!$B$2:$B$1300,"本年",元データ_14項目!$C$2:$C$1300,K$5)</f>
        <v>0</v>
      </c>
      <c r="L736" s="26">
        <f>SUMIFS(INDEX(元データ_14項目!$D$2:$Q$1300,0,MATCH($B736,元データ_14項目!$D$1:$Q$1,0)),元データ_14項目!$A$2:$A$1300,$A736,元データ_14項目!$B$2:$B$1300,"本年",元データ_14項目!$C$2:$C$1300,L$5)</f>
        <v>0</v>
      </c>
      <c r="M736" s="26">
        <f>SUMIFS(INDEX(元データ_14項目!$D$2:$Q$1300,0,MATCH($B736,元データ_14項目!$D$1:$Q$1,0)),元データ_14項目!$A$2:$A$1300,$A736,元データ_14項目!$B$2:$B$1300,"本年",元データ_14項目!$C$2:$C$1300,M$5)</f>
        <v>45</v>
      </c>
      <c r="N736" s="26">
        <f>SUMIFS(INDEX(元データ_14項目!$D$2:$Q$1300,0,MATCH($B736,元データ_14項目!$D$1:$Q$1,0)),元データ_14項目!$A$2:$A$1300,$A736,元データ_14項目!$B$2:$B$1300,"本年",元データ_14項目!$C$2:$C$1300,N$5)</f>
        <v>32</v>
      </c>
      <c r="O736" s="26">
        <f t="shared" si="22"/>
        <v>77</v>
      </c>
      <c r="P736" s="26">
        <f>SUMIFS(INDEX(元データ_14項目!$D$2:$Q$1300,0,MATCH($B736,元データ_14項目!$D$1:$Q$1,0)),元データ_14項目!$A$2:$A$1300,$A736,元データ_14項目!$B$2:$B$1300,"前年")</f>
        <v>70</v>
      </c>
      <c r="Q736" s="7">
        <f t="shared" si="23"/>
        <v>1.1000000000000001</v>
      </c>
    </row>
    <row r="737" spans="1:17" x14ac:dyDescent="0.45">
      <c r="A737" t="s">
        <v>87</v>
      </c>
      <c r="B737" t="s">
        <v>90</v>
      </c>
      <c r="C737" s="26">
        <f>SUMIFS(INDEX(元データ_14項目!$D$2:$Q$1300,0,MATCH($B737,元データ_14項目!$D$1:$Q$1,0)),元データ_14項目!$A$2:$A$1300,$A737,元データ_14項目!$B$2:$B$1300,"本年",元データ_14項目!$C$2:$C$1300,C$5)</f>
        <v>0</v>
      </c>
      <c r="D737" s="26">
        <f>SUMIFS(INDEX(元データ_14項目!$D$2:$Q$1300,0,MATCH($B737,元データ_14項目!$D$1:$Q$1,0)),元データ_14項目!$A$2:$A$1300,$A737,元データ_14項目!$B$2:$B$1300,"本年",元データ_14項目!$C$2:$C$1300,D$5)</f>
        <v>0</v>
      </c>
      <c r="E737" s="26">
        <f>SUMIFS(INDEX(元データ_14項目!$D$2:$Q$1300,0,MATCH($B737,元データ_14項目!$D$1:$Q$1,0)),元データ_14項目!$A$2:$A$1300,$A737,元データ_14項目!$B$2:$B$1300,"本年",元データ_14項目!$C$2:$C$1300,E$5)</f>
        <v>0</v>
      </c>
      <c r="F737" s="26">
        <f>SUMIFS(INDEX(元データ_14項目!$D$2:$Q$1300,0,MATCH($B737,元データ_14項目!$D$1:$Q$1,0)),元データ_14項目!$A$2:$A$1300,$A737,元データ_14項目!$B$2:$B$1300,"本年",元データ_14項目!$C$2:$C$1300,F$5)</f>
        <v>0</v>
      </c>
      <c r="G737" s="26">
        <f>SUMIFS(INDEX(元データ_14項目!$D$2:$Q$1300,0,MATCH($B737,元データ_14項目!$D$1:$Q$1,0)),元データ_14項目!$A$2:$A$1300,$A737,元データ_14項目!$B$2:$B$1300,"本年",元データ_14項目!$C$2:$C$1300,G$5)</f>
        <v>0</v>
      </c>
      <c r="H737" s="26">
        <f>SUMIFS(INDEX(元データ_14項目!$D$2:$Q$1300,0,MATCH($B737,元データ_14項目!$D$1:$Q$1,0)),元データ_14項目!$A$2:$A$1300,$A737,元データ_14項目!$B$2:$B$1300,"本年",元データ_14項目!$C$2:$C$1300,H$5)</f>
        <v>0</v>
      </c>
      <c r="I737" s="26">
        <f>SUMIFS(INDEX(元データ_14項目!$D$2:$Q$1300,0,MATCH($B737,元データ_14項目!$D$1:$Q$1,0)),元データ_14項目!$A$2:$A$1300,$A737,元データ_14項目!$B$2:$B$1300,"本年",元データ_14項目!$C$2:$C$1300,I$5)</f>
        <v>0</v>
      </c>
      <c r="J737" s="26">
        <f>SUMIFS(INDEX(元データ_14項目!$D$2:$Q$1300,0,MATCH($B737,元データ_14項目!$D$1:$Q$1,0)),元データ_14項目!$A$2:$A$1300,$A737,元データ_14項目!$B$2:$B$1300,"本年",元データ_14項目!$C$2:$C$1300,J$5)</f>
        <v>0</v>
      </c>
      <c r="K737" s="26">
        <f>SUMIFS(INDEX(元データ_14項目!$D$2:$Q$1300,0,MATCH($B737,元データ_14項目!$D$1:$Q$1,0)),元データ_14項目!$A$2:$A$1300,$A737,元データ_14項目!$B$2:$B$1300,"本年",元データ_14項目!$C$2:$C$1300,K$5)</f>
        <v>0</v>
      </c>
      <c r="L737" s="26">
        <f>SUMIFS(INDEX(元データ_14項目!$D$2:$Q$1300,0,MATCH($B737,元データ_14項目!$D$1:$Q$1,0)),元データ_14項目!$A$2:$A$1300,$A737,元データ_14項目!$B$2:$B$1300,"本年",元データ_14項目!$C$2:$C$1300,L$5)</f>
        <v>0</v>
      </c>
      <c r="M737" s="26">
        <f>SUMIFS(INDEX(元データ_14項目!$D$2:$Q$1300,0,MATCH($B737,元データ_14項目!$D$1:$Q$1,0)),元データ_14項目!$A$2:$A$1300,$A737,元データ_14項目!$B$2:$B$1300,"本年",元データ_14項目!$C$2:$C$1300,M$5)</f>
        <v>211</v>
      </c>
      <c r="N737" s="26">
        <f>SUMIFS(INDEX(元データ_14項目!$D$2:$Q$1300,0,MATCH($B737,元データ_14項目!$D$1:$Q$1,0)),元データ_14項目!$A$2:$A$1300,$A737,元データ_14項目!$B$2:$B$1300,"本年",元データ_14項目!$C$2:$C$1300,N$5)</f>
        <v>68</v>
      </c>
      <c r="O737" s="26">
        <f t="shared" si="22"/>
        <v>279</v>
      </c>
      <c r="P737" s="26">
        <f>SUMIFS(INDEX(元データ_14項目!$D$2:$Q$1300,0,MATCH($B737,元データ_14項目!$D$1:$Q$1,0)),元データ_14項目!$A$2:$A$1300,$A737,元データ_14項目!$B$2:$B$1300,"前年")</f>
        <v>143</v>
      </c>
      <c r="Q737" s="7">
        <f t="shared" si="23"/>
        <v>1.951048951048951</v>
      </c>
    </row>
    <row r="738" spans="1:17" x14ac:dyDescent="0.45">
      <c r="A738" t="s">
        <v>87</v>
      </c>
      <c r="B738" t="s">
        <v>91</v>
      </c>
      <c r="C738" s="26">
        <f>SUMIFS(INDEX(元データ_14項目!$D$2:$Q$1300,0,MATCH($B738,元データ_14項目!$D$1:$Q$1,0)),元データ_14項目!$A$2:$A$1300,$A738,元データ_14項目!$B$2:$B$1300,"本年",元データ_14項目!$C$2:$C$1300,C$5)</f>
        <v>0</v>
      </c>
      <c r="D738" s="26">
        <f>SUMIFS(INDEX(元データ_14項目!$D$2:$Q$1300,0,MATCH($B738,元データ_14項目!$D$1:$Q$1,0)),元データ_14項目!$A$2:$A$1300,$A738,元データ_14項目!$B$2:$B$1300,"本年",元データ_14項目!$C$2:$C$1300,D$5)</f>
        <v>0</v>
      </c>
      <c r="E738" s="26">
        <f>SUMIFS(INDEX(元データ_14項目!$D$2:$Q$1300,0,MATCH($B738,元データ_14項目!$D$1:$Q$1,0)),元データ_14項目!$A$2:$A$1300,$A738,元データ_14項目!$B$2:$B$1300,"本年",元データ_14項目!$C$2:$C$1300,E$5)</f>
        <v>0</v>
      </c>
      <c r="F738" s="26">
        <f>SUMIFS(INDEX(元データ_14項目!$D$2:$Q$1300,0,MATCH($B738,元データ_14項目!$D$1:$Q$1,0)),元データ_14項目!$A$2:$A$1300,$A738,元データ_14項目!$B$2:$B$1300,"本年",元データ_14項目!$C$2:$C$1300,F$5)</f>
        <v>0</v>
      </c>
      <c r="G738" s="26">
        <f>SUMIFS(INDEX(元データ_14項目!$D$2:$Q$1300,0,MATCH($B738,元データ_14項目!$D$1:$Q$1,0)),元データ_14項目!$A$2:$A$1300,$A738,元データ_14項目!$B$2:$B$1300,"本年",元データ_14項目!$C$2:$C$1300,G$5)</f>
        <v>0</v>
      </c>
      <c r="H738" s="26">
        <f>SUMIFS(INDEX(元データ_14項目!$D$2:$Q$1300,0,MATCH($B738,元データ_14項目!$D$1:$Q$1,0)),元データ_14項目!$A$2:$A$1300,$A738,元データ_14項目!$B$2:$B$1300,"本年",元データ_14項目!$C$2:$C$1300,H$5)</f>
        <v>0</v>
      </c>
      <c r="I738" s="26">
        <f>SUMIFS(INDEX(元データ_14項目!$D$2:$Q$1300,0,MATCH($B738,元データ_14項目!$D$1:$Q$1,0)),元データ_14項目!$A$2:$A$1300,$A738,元データ_14項目!$B$2:$B$1300,"本年",元データ_14項目!$C$2:$C$1300,I$5)</f>
        <v>0</v>
      </c>
      <c r="J738" s="26">
        <f>SUMIFS(INDEX(元データ_14項目!$D$2:$Q$1300,0,MATCH($B738,元データ_14項目!$D$1:$Q$1,0)),元データ_14項目!$A$2:$A$1300,$A738,元データ_14項目!$B$2:$B$1300,"本年",元データ_14項目!$C$2:$C$1300,J$5)</f>
        <v>0</v>
      </c>
      <c r="K738" s="26">
        <f>SUMIFS(INDEX(元データ_14項目!$D$2:$Q$1300,0,MATCH($B738,元データ_14項目!$D$1:$Q$1,0)),元データ_14項目!$A$2:$A$1300,$A738,元データ_14項目!$B$2:$B$1300,"本年",元データ_14項目!$C$2:$C$1300,K$5)</f>
        <v>0</v>
      </c>
      <c r="L738" s="26">
        <f>SUMIFS(INDEX(元データ_14項目!$D$2:$Q$1300,0,MATCH($B738,元データ_14項目!$D$1:$Q$1,0)),元データ_14項目!$A$2:$A$1300,$A738,元データ_14項目!$B$2:$B$1300,"本年",元データ_14項目!$C$2:$C$1300,L$5)</f>
        <v>0</v>
      </c>
      <c r="M738" s="26">
        <f>SUMIFS(INDEX(元データ_14項目!$D$2:$Q$1300,0,MATCH($B738,元データ_14項目!$D$1:$Q$1,0)),元データ_14項目!$A$2:$A$1300,$A738,元データ_14項目!$B$2:$B$1300,"本年",元データ_14項目!$C$2:$C$1300,M$5)</f>
        <v>33</v>
      </c>
      <c r="N738" s="26">
        <f>SUMIFS(INDEX(元データ_14項目!$D$2:$Q$1300,0,MATCH($B738,元データ_14項目!$D$1:$Q$1,0)),元データ_14項目!$A$2:$A$1300,$A738,元データ_14項目!$B$2:$B$1300,"本年",元データ_14項目!$C$2:$C$1300,N$5)</f>
        <v>21</v>
      </c>
      <c r="O738" s="26">
        <f t="shared" si="22"/>
        <v>54</v>
      </c>
      <c r="P738" s="26">
        <f>SUMIFS(INDEX(元データ_14項目!$D$2:$Q$1300,0,MATCH($B738,元データ_14項目!$D$1:$Q$1,0)),元データ_14項目!$A$2:$A$1300,$A738,元データ_14項目!$B$2:$B$1300,"前年")</f>
        <v>76</v>
      </c>
      <c r="Q738" s="7">
        <f t="shared" si="23"/>
        <v>0.71052631578947367</v>
      </c>
    </row>
    <row r="739" spans="1:17" x14ac:dyDescent="0.45">
      <c r="A739" t="s">
        <v>87</v>
      </c>
      <c r="B739" t="s">
        <v>28</v>
      </c>
      <c r="C739" s="26">
        <f>SUMIFS(INDEX(元データ_14項目!$D$2:$Q$1300,0,MATCH($B739,元データ_14項目!$D$1:$Q$1,0)),元データ_14項目!$A$2:$A$1300,$A739,元データ_14項目!$B$2:$B$1300,"本年",元データ_14項目!$C$2:$C$1300,C$5)</f>
        <v>0</v>
      </c>
      <c r="D739" s="26">
        <f>SUMIFS(INDEX(元データ_14項目!$D$2:$Q$1300,0,MATCH($B739,元データ_14項目!$D$1:$Q$1,0)),元データ_14項目!$A$2:$A$1300,$A739,元データ_14項目!$B$2:$B$1300,"本年",元データ_14項目!$C$2:$C$1300,D$5)</f>
        <v>0</v>
      </c>
      <c r="E739" s="26">
        <f>SUMIFS(INDEX(元データ_14項目!$D$2:$Q$1300,0,MATCH($B739,元データ_14項目!$D$1:$Q$1,0)),元データ_14項目!$A$2:$A$1300,$A739,元データ_14項目!$B$2:$B$1300,"本年",元データ_14項目!$C$2:$C$1300,E$5)</f>
        <v>0</v>
      </c>
      <c r="F739" s="26">
        <f>SUMIFS(INDEX(元データ_14項目!$D$2:$Q$1300,0,MATCH($B739,元データ_14項目!$D$1:$Q$1,0)),元データ_14項目!$A$2:$A$1300,$A739,元データ_14項目!$B$2:$B$1300,"本年",元データ_14項目!$C$2:$C$1300,F$5)</f>
        <v>0</v>
      </c>
      <c r="G739" s="26">
        <f>SUMIFS(INDEX(元データ_14項目!$D$2:$Q$1300,0,MATCH($B739,元データ_14項目!$D$1:$Q$1,0)),元データ_14項目!$A$2:$A$1300,$A739,元データ_14項目!$B$2:$B$1300,"本年",元データ_14項目!$C$2:$C$1300,G$5)</f>
        <v>0</v>
      </c>
      <c r="H739" s="26">
        <f>SUMIFS(INDEX(元データ_14項目!$D$2:$Q$1300,0,MATCH($B739,元データ_14項目!$D$1:$Q$1,0)),元データ_14項目!$A$2:$A$1300,$A739,元データ_14項目!$B$2:$B$1300,"本年",元データ_14項目!$C$2:$C$1300,H$5)</f>
        <v>0</v>
      </c>
      <c r="I739" s="26">
        <f>SUMIFS(INDEX(元データ_14項目!$D$2:$Q$1300,0,MATCH($B739,元データ_14項目!$D$1:$Q$1,0)),元データ_14項目!$A$2:$A$1300,$A739,元データ_14項目!$B$2:$B$1300,"本年",元データ_14項目!$C$2:$C$1300,I$5)</f>
        <v>0</v>
      </c>
      <c r="J739" s="26">
        <f>SUMIFS(INDEX(元データ_14項目!$D$2:$Q$1300,0,MATCH($B739,元データ_14項目!$D$1:$Q$1,0)),元データ_14項目!$A$2:$A$1300,$A739,元データ_14項目!$B$2:$B$1300,"本年",元データ_14項目!$C$2:$C$1300,J$5)</f>
        <v>0</v>
      </c>
      <c r="K739" s="26">
        <f>SUMIFS(INDEX(元データ_14項目!$D$2:$Q$1300,0,MATCH($B739,元データ_14項目!$D$1:$Q$1,0)),元データ_14項目!$A$2:$A$1300,$A739,元データ_14項目!$B$2:$B$1300,"本年",元データ_14項目!$C$2:$C$1300,K$5)</f>
        <v>0</v>
      </c>
      <c r="L739" s="26">
        <f>SUMIFS(INDEX(元データ_14項目!$D$2:$Q$1300,0,MATCH($B739,元データ_14項目!$D$1:$Q$1,0)),元データ_14項目!$A$2:$A$1300,$A739,元データ_14項目!$B$2:$B$1300,"本年",元データ_14項目!$C$2:$C$1300,L$5)</f>
        <v>0</v>
      </c>
      <c r="M739" s="26">
        <f>SUMIFS(INDEX(元データ_14項目!$D$2:$Q$1300,0,MATCH($B739,元データ_14項目!$D$1:$Q$1,0)),元データ_14項目!$A$2:$A$1300,$A739,元データ_14項目!$B$2:$B$1300,"本年",元データ_14項目!$C$2:$C$1300,M$5)</f>
        <v>240</v>
      </c>
      <c r="N739" s="26">
        <f>SUMIFS(INDEX(元データ_14項目!$D$2:$Q$1300,0,MATCH($B739,元データ_14項目!$D$1:$Q$1,0)),元データ_14項目!$A$2:$A$1300,$A739,元データ_14項目!$B$2:$B$1300,"本年",元データ_14項目!$C$2:$C$1300,N$5)</f>
        <v>192</v>
      </c>
      <c r="O739" s="26">
        <f t="shared" si="22"/>
        <v>432</v>
      </c>
      <c r="P739" s="26">
        <f>SUMIFS(INDEX(元データ_14項目!$D$2:$Q$1300,0,MATCH($B739,元データ_14項目!$D$1:$Q$1,0)),元データ_14項目!$A$2:$A$1300,$A739,元データ_14項目!$B$2:$B$1300,"前年")</f>
        <v>383</v>
      </c>
      <c r="Q739" s="7">
        <f t="shared" si="23"/>
        <v>1.1279373368146215</v>
      </c>
    </row>
    <row r="740" spans="1:17" x14ac:dyDescent="0.45">
      <c r="A740" t="s">
        <v>87</v>
      </c>
      <c r="B740" t="s">
        <v>92</v>
      </c>
      <c r="C740" s="26">
        <f>SUMIFS(INDEX(元データ_14項目!$D$2:$Q$1300,0,MATCH($B740,元データ_14項目!$D$1:$Q$1,0)),元データ_14項目!$A$2:$A$1300,$A740,元データ_14項目!$B$2:$B$1300,"本年",元データ_14項目!$C$2:$C$1300,C$5)</f>
        <v>0</v>
      </c>
      <c r="D740" s="26">
        <f>SUMIFS(INDEX(元データ_14項目!$D$2:$Q$1300,0,MATCH($B740,元データ_14項目!$D$1:$Q$1,0)),元データ_14項目!$A$2:$A$1300,$A740,元データ_14項目!$B$2:$B$1300,"本年",元データ_14項目!$C$2:$C$1300,D$5)</f>
        <v>0</v>
      </c>
      <c r="E740" s="26">
        <f>SUMIFS(INDEX(元データ_14項目!$D$2:$Q$1300,0,MATCH($B740,元データ_14項目!$D$1:$Q$1,0)),元データ_14項目!$A$2:$A$1300,$A740,元データ_14項目!$B$2:$B$1300,"本年",元データ_14項目!$C$2:$C$1300,E$5)</f>
        <v>0</v>
      </c>
      <c r="F740" s="26">
        <f>SUMIFS(INDEX(元データ_14項目!$D$2:$Q$1300,0,MATCH($B740,元データ_14項目!$D$1:$Q$1,0)),元データ_14項目!$A$2:$A$1300,$A740,元データ_14項目!$B$2:$B$1300,"本年",元データ_14項目!$C$2:$C$1300,F$5)</f>
        <v>0</v>
      </c>
      <c r="G740" s="26">
        <f>SUMIFS(INDEX(元データ_14項目!$D$2:$Q$1300,0,MATCH($B740,元データ_14項目!$D$1:$Q$1,0)),元データ_14項目!$A$2:$A$1300,$A740,元データ_14項目!$B$2:$B$1300,"本年",元データ_14項目!$C$2:$C$1300,G$5)</f>
        <v>0</v>
      </c>
      <c r="H740" s="26">
        <f>SUMIFS(INDEX(元データ_14項目!$D$2:$Q$1300,0,MATCH($B740,元データ_14項目!$D$1:$Q$1,0)),元データ_14項目!$A$2:$A$1300,$A740,元データ_14項目!$B$2:$B$1300,"本年",元データ_14項目!$C$2:$C$1300,H$5)</f>
        <v>0</v>
      </c>
      <c r="I740" s="26">
        <f>SUMIFS(INDEX(元データ_14項目!$D$2:$Q$1300,0,MATCH($B740,元データ_14項目!$D$1:$Q$1,0)),元データ_14項目!$A$2:$A$1300,$A740,元データ_14項目!$B$2:$B$1300,"本年",元データ_14項目!$C$2:$C$1300,I$5)</f>
        <v>0</v>
      </c>
      <c r="J740" s="26">
        <f>SUMIFS(INDEX(元データ_14項目!$D$2:$Q$1300,0,MATCH($B740,元データ_14項目!$D$1:$Q$1,0)),元データ_14項目!$A$2:$A$1300,$A740,元データ_14項目!$B$2:$B$1300,"本年",元データ_14項目!$C$2:$C$1300,J$5)</f>
        <v>0</v>
      </c>
      <c r="K740" s="26">
        <f>SUMIFS(INDEX(元データ_14項目!$D$2:$Q$1300,0,MATCH($B740,元データ_14項目!$D$1:$Q$1,0)),元データ_14項目!$A$2:$A$1300,$A740,元データ_14項目!$B$2:$B$1300,"本年",元データ_14項目!$C$2:$C$1300,K$5)</f>
        <v>0</v>
      </c>
      <c r="L740" s="26">
        <f>SUMIFS(INDEX(元データ_14項目!$D$2:$Q$1300,0,MATCH($B740,元データ_14項目!$D$1:$Q$1,0)),元データ_14項目!$A$2:$A$1300,$A740,元データ_14項目!$B$2:$B$1300,"本年",元データ_14項目!$C$2:$C$1300,L$5)</f>
        <v>0</v>
      </c>
      <c r="M740" s="26">
        <f>SUMIFS(INDEX(元データ_14項目!$D$2:$Q$1300,0,MATCH($B740,元データ_14項目!$D$1:$Q$1,0)),元データ_14項目!$A$2:$A$1300,$A740,元データ_14項目!$B$2:$B$1300,"本年",元データ_14項目!$C$2:$C$1300,M$5)</f>
        <v>33</v>
      </c>
      <c r="N740" s="26">
        <f>SUMIFS(INDEX(元データ_14項目!$D$2:$Q$1300,0,MATCH($B740,元データ_14項目!$D$1:$Q$1,0)),元データ_14項目!$A$2:$A$1300,$A740,元データ_14項目!$B$2:$B$1300,"本年",元データ_14項目!$C$2:$C$1300,N$5)</f>
        <v>26</v>
      </c>
      <c r="O740" s="26">
        <f t="shared" si="22"/>
        <v>59</v>
      </c>
      <c r="P740" s="26">
        <f>SUMIFS(INDEX(元データ_14項目!$D$2:$Q$1300,0,MATCH($B740,元データ_14項目!$D$1:$Q$1,0)),元データ_14項目!$A$2:$A$1300,$A740,元データ_14項目!$B$2:$B$1300,"前年")</f>
        <v>71</v>
      </c>
      <c r="Q740" s="7">
        <f t="shared" si="23"/>
        <v>0.83098591549295775</v>
      </c>
    </row>
    <row r="741" spans="1:17" x14ac:dyDescent="0.45">
      <c r="A741" t="s">
        <v>87</v>
      </c>
      <c r="B741" t="s">
        <v>93</v>
      </c>
      <c r="C741" s="26">
        <f>SUMIFS(INDEX(元データ_14項目!$D$2:$Q$1300,0,MATCH($B741,元データ_14項目!$D$1:$Q$1,0)),元データ_14項目!$A$2:$A$1300,$A741,元データ_14項目!$B$2:$B$1300,"本年",元データ_14項目!$C$2:$C$1300,C$5)</f>
        <v>0</v>
      </c>
      <c r="D741" s="26">
        <f>SUMIFS(INDEX(元データ_14項目!$D$2:$Q$1300,0,MATCH($B741,元データ_14項目!$D$1:$Q$1,0)),元データ_14項目!$A$2:$A$1300,$A741,元データ_14項目!$B$2:$B$1300,"本年",元データ_14項目!$C$2:$C$1300,D$5)</f>
        <v>0</v>
      </c>
      <c r="E741" s="26">
        <f>SUMIFS(INDEX(元データ_14項目!$D$2:$Q$1300,0,MATCH($B741,元データ_14項目!$D$1:$Q$1,0)),元データ_14項目!$A$2:$A$1300,$A741,元データ_14項目!$B$2:$B$1300,"本年",元データ_14項目!$C$2:$C$1300,E$5)</f>
        <v>0</v>
      </c>
      <c r="F741" s="26">
        <f>SUMIFS(INDEX(元データ_14項目!$D$2:$Q$1300,0,MATCH($B741,元データ_14項目!$D$1:$Q$1,0)),元データ_14項目!$A$2:$A$1300,$A741,元データ_14項目!$B$2:$B$1300,"本年",元データ_14項目!$C$2:$C$1300,F$5)</f>
        <v>0</v>
      </c>
      <c r="G741" s="26">
        <f>SUMIFS(INDEX(元データ_14項目!$D$2:$Q$1300,0,MATCH($B741,元データ_14項目!$D$1:$Q$1,0)),元データ_14項目!$A$2:$A$1300,$A741,元データ_14項目!$B$2:$B$1300,"本年",元データ_14項目!$C$2:$C$1300,G$5)</f>
        <v>0</v>
      </c>
      <c r="H741" s="26">
        <f>SUMIFS(INDEX(元データ_14項目!$D$2:$Q$1300,0,MATCH($B741,元データ_14項目!$D$1:$Q$1,0)),元データ_14項目!$A$2:$A$1300,$A741,元データ_14項目!$B$2:$B$1300,"本年",元データ_14項目!$C$2:$C$1300,H$5)</f>
        <v>0</v>
      </c>
      <c r="I741" s="26">
        <f>SUMIFS(INDEX(元データ_14項目!$D$2:$Q$1300,0,MATCH($B741,元データ_14項目!$D$1:$Q$1,0)),元データ_14項目!$A$2:$A$1300,$A741,元データ_14項目!$B$2:$B$1300,"本年",元データ_14項目!$C$2:$C$1300,I$5)</f>
        <v>0</v>
      </c>
      <c r="J741" s="26">
        <f>SUMIFS(INDEX(元データ_14項目!$D$2:$Q$1300,0,MATCH($B741,元データ_14項目!$D$1:$Q$1,0)),元データ_14項目!$A$2:$A$1300,$A741,元データ_14項目!$B$2:$B$1300,"本年",元データ_14項目!$C$2:$C$1300,J$5)</f>
        <v>0</v>
      </c>
      <c r="K741" s="26">
        <f>SUMIFS(INDEX(元データ_14項目!$D$2:$Q$1300,0,MATCH($B741,元データ_14項目!$D$1:$Q$1,0)),元データ_14項目!$A$2:$A$1300,$A741,元データ_14項目!$B$2:$B$1300,"本年",元データ_14項目!$C$2:$C$1300,K$5)</f>
        <v>0</v>
      </c>
      <c r="L741" s="26">
        <f>SUMIFS(INDEX(元データ_14項目!$D$2:$Q$1300,0,MATCH($B741,元データ_14項目!$D$1:$Q$1,0)),元データ_14項目!$A$2:$A$1300,$A741,元データ_14項目!$B$2:$B$1300,"本年",元データ_14項目!$C$2:$C$1300,L$5)</f>
        <v>0</v>
      </c>
      <c r="M741" s="26">
        <f>SUMIFS(INDEX(元データ_14項目!$D$2:$Q$1300,0,MATCH($B741,元データ_14項目!$D$1:$Q$1,0)),元データ_14項目!$A$2:$A$1300,$A741,元データ_14項目!$B$2:$B$1300,"本年",元データ_14項目!$C$2:$C$1300,M$5)</f>
        <v>94</v>
      </c>
      <c r="N741" s="26">
        <f>SUMIFS(INDEX(元データ_14項目!$D$2:$Q$1300,0,MATCH($B741,元データ_14項目!$D$1:$Q$1,0)),元データ_14項目!$A$2:$A$1300,$A741,元データ_14項目!$B$2:$B$1300,"本年",元データ_14項目!$C$2:$C$1300,N$5)</f>
        <v>27</v>
      </c>
      <c r="O741" s="26">
        <f t="shared" si="22"/>
        <v>121</v>
      </c>
      <c r="P741" s="26">
        <f>SUMIFS(INDEX(元データ_14項目!$D$2:$Q$1300,0,MATCH($B741,元データ_14項目!$D$1:$Q$1,0)),元データ_14項目!$A$2:$A$1300,$A741,元データ_14項目!$B$2:$B$1300,"前年")</f>
        <v>126</v>
      </c>
      <c r="Q741" s="7">
        <f t="shared" si="23"/>
        <v>0.96031746031746035</v>
      </c>
    </row>
    <row r="742" spans="1:17" x14ac:dyDescent="0.45">
      <c r="A742" t="s">
        <v>87</v>
      </c>
      <c r="B742" t="s">
        <v>94</v>
      </c>
      <c r="C742" s="26">
        <f>SUMIFS(INDEX(元データ_14項目!$D$2:$Q$1300,0,MATCH($B742,元データ_14項目!$D$1:$Q$1,0)),元データ_14項目!$A$2:$A$1300,$A742,元データ_14項目!$B$2:$B$1300,"本年",元データ_14項目!$C$2:$C$1300,C$5)</f>
        <v>0</v>
      </c>
      <c r="D742" s="26">
        <f>SUMIFS(INDEX(元データ_14項目!$D$2:$Q$1300,0,MATCH($B742,元データ_14項目!$D$1:$Q$1,0)),元データ_14項目!$A$2:$A$1300,$A742,元データ_14項目!$B$2:$B$1300,"本年",元データ_14項目!$C$2:$C$1300,D$5)</f>
        <v>0</v>
      </c>
      <c r="E742" s="26">
        <f>SUMIFS(INDEX(元データ_14項目!$D$2:$Q$1300,0,MATCH($B742,元データ_14項目!$D$1:$Q$1,0)),元データ_14項目!$A$2:$A$1300,$A742,元データ_14項目!$B$2:$B$1300,"本年",元データ_14項目!$C$2:$C$1300,E$5)</f>
        <v>0</v>
      </c>
      <c r="F742" s="26">
        <f>SUMIFS(INDEX(元データ_14項目!$D$2:$Q$1300,0,MATCH($B742,元データ_14項目!$D$1:$Q$1,0)),元データ_14項目!$A$2:$A$1300,$A742,元データ_14項目!$B$2:$B$1300,"本年",元データ_14項目!$C$2:$C$1300,F$5)</f>
        <v>0</v>
      </c>
      <c r="G742" s="26">
        <f>SUMIFS(INDEX(元データ_14項目!$D$2:$Q$1300,0,MATCH($B742,元データ_14項目!$D$1:$Q$1,0)),元データ_14項目!$A$2:$A$1300,$A742,元データ_14項目!$B$2:$B$1300,"本年",元データ_14項目!$C$2:$C$1300,G$5)</f>
        <v>0</v>
      </c>
      <c r="H742" s="26">
        <f>SUMIFS(INDEX(元データ_14項目!$D$2:$Q$1300,0,MATCH($B742,元データ_14項目!$D$1:$Q$1,0)),元データ_14項目!$A$2:$A$1300,$A742,元データ_14項目!$B$2:$B$1300,"本年",元データ_14項目!$C$2:$C$1300,H$5)</f>
        <v>0</v>
      </c>
      <c r="I742" s="26">
        <f>SUMIFS(INDEX(元データ_14項目!$D$2:$Q$1300,0,MATCH($B742,元データ_14項目!$D$1:$Q$1,0)),元データ_14項目!$A$2:$A$1300,$A742,元データ_14項目!$B$2:$B$1300,"本年",元データ_14項目!$C$2:$C$1300,I$5)</f>
        <v>0</v>
      </c>
      <c r="J742" s="26">
        <f>SUMIFS(INDEX(元データ_14項目!$D$2:$Q$1300,0,MATCH($B742,元データ_14項目!$D$1:$Q$1,0)),元データ_14項目!$A$2:$A$1300,$A742,元データ_14項目!$B$2:$B$1300,"本年",元データ_14項目!$C$2:$C$1300,J$5)</f>
        <v>0</v>
      </c>
      <c r="K742" s="26">
        <f>SUMIFS(INDEX(元データ_14項目!$D$2:$Q$1300,0,MATCH($B742,元データ_14項目!$D$1:$Q$1,0)),元データ_14項目!$A$2:$A$1300,$A742,元データ_14項目!$B$2:$B$1300,"本年",元データ_14項目!$C$2:$C$1300,K$5)</f>
        <v>0</v>
      </c>
      <c r="L742" s="26">
        <f>SUMIFS(INDEX(元データ_14項目!$D$2:$Q$1300,0,MATCH($B742,元データ_14項目!$D$1:$Q$1,0)),元データ_14項目!$A$2:$A$1300,$A742,元データ_14項目!$B$2:$B$1300,"本年",元データ_14項目!$C$2:$C$1300,L$5)</f>
        <v>0</v>
      </c>
      <c r="M742" s="26">
        <f>SUMIFS(INDEX(元データ_14項目!$D$2:$Q$1300,0,MATCH($B742,元データ_14項目!$D$1:$Q$1,0)),元データ_14項目!$A$2:$A$1300,$A742,元データ_14項目!$B$2:$B$1300,"本年",元データ_14項目!$C$2:$C$1300,M$5)</f>
        <v>63</v>
      </c>
      <c r="N742" s="26">
        <f>SUMIFS(INDEX(元データ_14項目!$D$2:$Q$1300,0,MATCH($B742,元データ_14項目!$D$1:$Q$1,0)),元データ_14項目!$A$2:$A$1300,$A742,元データ_14項目!$B$2:$B$1300,"本年",元データ_14項目!$C$2:$C$1300,N$5)</f>
        <v>17</v>
      </c>
      <c r="O742" s="26">
        <f t="shared" si="22"/>
        <v>80</v>
      </c>
      <c r="P742" s="26">
        <f>SUMIFS(INDEX(元データ_14項目!$D$2:$Q$1300,0,MATCH($B742,元データ_14項目!$D$1:$Q$1,0)),元データ_14項目!$A$2:$A$1300,$A742,元データ_14項目!$B$2:$B$1300,"前年")</f>
        <v>66</v>
      </c>
      <c r="Q742" s="7">
        <f t="shared" si="23"/>
        <v>1.2121212121212122</v>
      </c>
    </row>
    <row r="743" spans="1:17" x14ac:dyDescent="0.45">
      <c r="A743" t="s">
        <v>87</v>
      </c>
      <c r="B743" t="s">
        <v>95</v>
      </c>
      <c r="C743" s="26">
        <f>SUMIFS(INDEX(元データ_14項目!$D$2:$Q$1300,0,MATCH($B743,元データ_14項目!$D$1:$Q$1,0)),元データ_14項目!$A$2:$A$1300,$A743,元データ_14項目!$B$2:$B$1300,"本年",元データ_14項目!$C$2:$C$1300,C$5)</f>
        <v>0</v>
      </c>
      <c r="D743" s="26">
        <f>SUMIFS(INDEX(元データ_14項目!$D$2:$Q$1300,0,MATCH($B743,元データ_14項目!$D$1:$Q$1,0)),元データ_14項目!$A$2:$A$1300,$A743,元データ_14項目!$B$2:$B$1300,"本年",元データ_14項目!$C$2:$C$1300,D$5)</f>
        <v>0</v>
      </c>
      <c r="E743" s="26">
        <f>SUMIFS(INDEX(元データ_14項目!$D$2:$Q$1300,0,MATCH($B743,元データ_14項目!$D$1:$Q$1,0)),元データ_14項目!$A$2:$A$1300,$A743,元データ_14項目!$B$2:$B$1300,"本年",元データ_14項目!$C$2:$C$1300,E$5)</f>
        <v>0</v>
      </c>
      <c r="F743" s="26">
        <f>SUMIFS(INDEX(元データ_14項目!$D$2:$Q$1300,0,MATCH($B743,元データ_14項目!$D$1:$Q$1,0)),元データ_14項目!$A$2:$A$1300,$A743,元データ_14項目!$B$2:$B$1300,"本年",元データ_14項目!$C$2:$C$1300,F$5)</f>
        <v>0</v>
      </c>
      <c r="G743" s="26">
        <f>SUMIFS(INDEX(元データ_14項目!$D$2:$Q$1300,0,MATCH($B743,元データ_14項目!$D$1:$Q$1,0)),元データ_14項目!$A$2:$A$1300,$A743,元データ_14項目!$B$2:$B$1300,"本年",元データ_14項目!$C$2:$C$1300,G$5)</f>
        <v>0</v>
      </c>
      <c r="H743" s="26">
        <f>SUMIFS(INDEX(元データ_14項目!$D$2:$Q$1300,0,MATCH($B743,元データ_14項目!$D$1:$Q$1,0)),元データ_14項目!$A$2:$A$1300,$A743,元データ_14項目!$B$2:$B$1300,"本年",元データ_14項目!$C$2:$C$1300,H$5)</f>
        <v>0</v>
      </c>
      <c r="I743" s="26">
        <f>SUMIFS(INDEX(元データ_14項目!$D$2:$Q$1300,0,MATCH($B743,元データ_14項目!$D$1:$Q$1,0)),元データ_14項目!$A$2:$A$1300,$A743,元データ_14項目!$B$2:$B$1300,"本年",元データ_14項目!$C$2:$C$1300,I$5)</f>
        <v>0</v>
      </c>
      <c r="J743" s="26">
        <f>SUMIFS(INDEX(元データ_14項目!$D$2:$Q$1300,0,MATCH($B743,元データ_14項目!$D$1:$Q$1,0)),元データ_14項目!$A$2:$A$1300,$A743,元データ_14項目!$B$2:$B$1300,"本年",元データ_14項目!$C$2:$C$1300,J$5)</f>
        <v>0</v>
      </c>
      <c r="K743" s="26">
        <f>SUMIFS(INDEX(元データ_14項目!$D$2:$Q$1300,0,MATCH($B743,元データ_14項目!$D$1:$Q$1,0)),元データ_14項目!$A$2:$A$1300,$A743,元データ_14項目!$B$2:$B$1300,"本年",元データ_14項目!$C$2:$C$1300,K$5)</f>
        <v>0</v>
      </c>
      <c r="L743" s="26">
        <f>SUMIFS(INDEX(元データ_14項目!$D$2:$Q$1300,0,MATCH($B743,元データ_14項目!$D$1:$Q$1,0)),元データ_14項目!$A$2:$A$1300,$A743,元データ_14項目!$B$2:$B$1300,"本年",元データ_14項目!$C$2:$C$1300,L$5)</f>
        <v>0</v>
      </c>
      <c r="M743" s="26">
        <f>SUMIFS(INDEX(元データ_14項目!$D$2:$Q$1300,0,MATCH($B743,元データ_14項目!$D$1:$Q$1,0)),元データ_14項目!$A$2:$A$1300,$A743,元データ_14項目!$B$2:$B$1300,"本年",元データ_14項目!$C$2:$C$1300,M$5)</f>
        <v>44</v>
      </c>
      <c r="N743" s="26">
        <f>SUMIFS(INDEX(元データ_14項目!$D$2:$Q$1300,0,MATCH($B743,元データ_14項目!$D$1:$Q$1,0)),元データ_14項目!$A$2:$A$1300,$A743,元データ_14項目!$B$2:$B$1300,"本年",元データ_14項目!$C$2:$C$1300,N$5)</f>
        <v>42</v>
      </c>
      <c r="O743" s="26">
        <f t="shared" si="22"/>
        <v>86</v>
      </c>
      <c r="P743" s="26">
        <f>SUMIFS(INDEX(元データ_14項目!$D$2:$Q$1300,0,MATCH($B743,元データ_14項目!$D$1:$Q$1,0)),元データ_14項目!$A$2:$A$1300,$A743,元データ_14項目!$B$2:$B$1300,"前年")</f>
        <v>71</v>
      </c>
      <c r="Q743" s="7">
        <f t="shared" si="23"/>
        <v>1.2112676056338028</v>
      </c>
    </row>
    <row r="744" spans="1:17" x14ac:dyDescent="0.45">
      <c r="A744" t="s">
        <v>87</v>
      </c>
      <c r="B744" t="s">
        <v>96</v>
      </c>
      <c r="C744" s="26">
        <f>SUMIFS(INDEX(元データ_14項目!$D$2:$Q$1300,0,MATCH($B744,元データ_14項目!$D$1:$Q$1,0)),元データ_14項目!$A$2:$A$1300,$A744,元データ_14項目!$B$2:$B$1300,"本年",元データ_14項目!$C$2:$C$1300,C$5)</f>
        <v>0</v>
      </c>
      <c r="D744" s="26">
        <f>SUMIFS(INDEX(元データ_14項目!$D$2:$Q$1300,0,MATCH($B744,元データ_14項目!$D$1:$Q$1,0)),元データ_14項目!$A$2:$A$1300,$A744,元データ_14項目!$B$2:$B$1300,"本年",元データ_14項目!$C$2:$C$1300,D$5)</f>
        <v>0</v>
      </c>
      <c r="E744" s="26">
        <f>SUMIFS(INDEX(元データ_14項目!$D$2:$Q$1300,0,MATCH($B744,元データ_14項目!$D$1:$Q$1,0)),元データ_14項目!$A$2:$A$1300,$A744,元データ_14項目!$B$2:$B$1300,"本年",元データ_14項目!$C$2:$C$1300,E$5)</f>
        <v>0</v>
      </c>
      <c r="F744" s="26">
        <f>SUMIFS(INDEX(元データ_14項目!$D$2:$Q$1300,0,MATCH($B744,元データ_14項目!$D$1:$Q$1,0)),元データ_14項目!$A$2:$A$1300,$A744,元データ_14項目!$B$2:$B$1300,"本年",元データ_14項目!$C$2:$C$1300,F$5)</f>
        <v>0</v>
      </c>
      <c r="G744" s="26">
        <f>SUMIFS(INDEX(元データ_14項目!$D$2:$Q$1300,0,MATCH($B744,元データ_14項目!$D$1:$Q$1,0)),元データ_14項目!$A$2:$A$1300,$A744,元データ_14項目!$B$2:$B$1300,"本年",元データ_14項目!$C$2:$C$1300,G$5)</f>
        <v>0</v>
      </c>
      <c r="H744" s="26">
        <f>SUMIFS(INDEX(元データ_14項目!$D$2:$Q$1300,0,MATCH($B744,元データ_14項目!$D$1:$Q$1,0)),元データ_14項目!$A$2:$A$1300,$A744,元データ_14項目!$B$2:$B$1300,"本年",元データ_14項目!$C$2:$C$1300,H$5)</f>
        <v>0</v>
      </c>
      <c r="I744" s="26">
        <f>SUMIFS(INDEX(元データ_14項目!$D$2:$Q$1300,0,MATCH($B744,元データ_14項目!$D$1:$Q$1,0)),元データ_14項目!$A$2:$A$1300,$A744,元データ_14項目!$B$2:$B$1300,"本年",元データ_14項目!$C$2:$C$1300,I$5)</f>
        <v>0</v>
      </c>
      <c r="J744" s="26">
        <f>SUMIFS(INDEX(元データ_14項目!$D$2:$Q$1300,0,MATCH($B744,元データ_14項目!$D$1:$Q$1,0)),元データ_14項目!$A$2:$A$1300,$A744,元データ_14項目!$B$2:$B$1300,"本年",元データ_14項目!$C$2:$C$1300,J$5)</f>
        <v>0</v>
      </c>
      <c r="K744" s="26">
        <f>SUMIFS(INDEX(元データ_14項目!$D$2:$Q$1300,0,MATCH($B744,元データ_14項目!$D$1:$Q$1,0)),元データ_14項目!$A$2:$A$1300,$A744,元データ_14項目!$B$2:$B$1300,"本年",元データ_14項目!$C$2:$C$1300,K$5)</f>
        <v>0</v>
      </c>
      <c r="L744" s="26">
        <f>SUMIFS(INDEX(元データ_14項目!$D$2:$Q$1300,0,MATCH($B744,元データ_14項目!$D$1:$Q$1,0)),元データ_14項目!$A$2:$A$1300,$A744,元データ_14項目!$B$2:$B$1300,"本年",元データ_14項目!$C$2:$C$1300,L$5)</f>
        <v>0</v>
      </c>
      <c r="M744" s="26">
        <f>SUMIFS(INDEX(元データ_14項目!$D$2:$Q$1300,0,MATCH($B744,元データ_14項目!$D$1:$Q$1,0)),元データ_14項目!$A$2:$A$1300,$A744,元データ_14項目!$B$2:$B$1300,"本年",元データ_14項目!$C$2:$C$1300,M$5)</f>
        <v>170</v>
      </c>
      <c r="N744" s="26">
        <f>SUMIFS(INDEX(元データ_14項目!$D$2:$Q$1300,0,MATCH($B744,元データ_14項目!$D$1:$Q$1,0)),元データ_14項目!$A$2:$A$1300,$A744,元データ_14項目!$B$2:$B$1300,"本年",元データ_14項目!$C$2:$C$1300,N$5)</f>
        <v>32</v>
      </c>
      <c r="O744" s="26">
        <f t="shared" si="22"/>
        <v>202</v>
      </c>
      <c r="P744" s="26">
        <f>SUMIFS(INDEX(元データ_14項目!$D$2:$Q$1300,0,MATCH($B744,元データ_14項目!$D$1:$Q$1,0)),元データ_14項目!$A$2:$A$1300,$A744,元データ_14項目!$B$2:$B$1300,"前年")</f>
        <v>115</v>
      </c>
      <c r="Q744" s="7">
        <f t="shared" si="23"/>
        <v>1.7565217391304349</v>
      </c>
    </row>
    <row r="745" spans="1:17" x14ac:dyDescent="0.45">
      <c r="A745" t="s">
        <v>87</v>
      </c>
      <c r="B745" t="s">
        <v>97</v>
      </c>
      <c r="C745" s="26">
        <f>SUMIFS(INDEX(元データ_14項目!$D$2:$Q$1300,0,MATCH($B745,元データ_14項目!$D$1:$Q$1,0)),元データ_14項目!$A$2:$A$1300,$A745,元データ_14項目!$B$2:$B$1300,"本年",元データ_14項目!$C$2:$C$1300,C$5)</f>
        <v>0</v>
      </c>
      <c r="D745" s="26">
        <f>SUMIFS(INDEX(元データ_14項目!$D$2:$Q$1300,0,MATCH($B745,元データ_14項目!$D$1:$Q$1,0)),元データ_14項目!$A$2:$A$1300,$A745,元データ_14項目!$B$2:$B$1300,"本年",元データ_14項目!$C$2:$C$1300,D$5)</f>
        <v>0</v>
      </c>
      <c r="E745" s="26">
        <f>SUMIFS(INDEX(元データ_14項目!$D$2:$Q$1300,0,MATCH($B745,元データ_14項目!$D$1:$Q$1,0)),元データ_14項目!$A$2:$A$1300,$A745,元データ_14項目!$B$2:$B$1300,"本年",元データ_14項目!$C$2:$C$1300,E$5)</f>
        <v>0</v>
      </c>
      <c r="F745" s="26">
        <f>SUMIFS(INDEX(元データ_14項目!$D$2:$Q$1300,0,MATCH($B745,元データ_14項目!$D$1:$Q$1,0)),元データ_14項目!$A$2:$A$1300,$A745,元データ_14項目!$B$2:$B$1300,"本年",元データ_14項目!$C$2:$C$1300,F$5)</f>
        <v>0</v>
      </c>
      <c r="G745" s="26">
        <f>SUMIFS(INDEX(元データ_14項目!$D$2:$Q$1300,0,MATCH($B745,元データ_14項目!$D$1:$Q$1,0)),元データ_14項目!$A$2:$A$1300,$A745,元データ_14項目!$B$2:$B$1300,"本年",元データ_14項目!$C$2:$C$1300,G$5)</f>
        <v>0</v>
      </c>
      <c r="H745" s="26">
        <f>SUMIFS(INDEX(元データ_14項目!$D$2:$Q$1300,0,MATCH($B745,元データ_14項目!$D$1:$Q$1,0)),元データ_14項目!$A$2:$A$1300,$A745,元データ_14項目!$B$2:$B$1300,"本年",元データ_14項目!$C$2:$C$1300,H$5)</f>
        <v>0</v>
      </c>
      <c r="I745" s="26">
        <f>SUMIFS(INDEX(元データ_14項目!$D$2:$Q$1300,0,MATCH($B745,元データ_14項目!$D$1:$Q$1,0)),元データ_14項目!$A$2:$A$1300,$A745,元データ_14項目!$B$2:$B$1300,"本年",元データ_14項目!$C$2:$C$1300,I$5)</f>
        <v>0</v>
      </c>
      <c r="J745" s="26">
        <f>SUMIFS(INDEX(元データ_14項目!$D$2:$Q$1300,0,MATCH($B745,元データ_14項目!$D$1:$Q$1,0)),元データ_14項目!$A$2:$A$1300,$A745,元データ_14項目!$B$2:$B$1300,"本年",元データ_14項目!$C$2:$C$1300,J$5)</f>
        <v>0</v>
      </c>
      <c r="K745" s="26">
        <f>SUMIFS(INDEX(元データ_14項目!$D$2:$Q$1300,0,MATCH($B745,元データ_14項目!$D$1:$Q$1,0)),元データ_14項目!$A$2:$A$1300,$A745,元データ_14項目!$B$2:$B$1300,"本年",元データ_14項目!$C$2:$C$1300,K$5)</f>
        <v>0</v>
      </c>
      <c r="L745" s="26">
        <f>SUMIFS(INDEX(元データ_14項目!$D$2:$Q$1300,0,MATCH($B745,元データ_14項目!$D$1:$Q$1,0)),元データ_14項目!$A$2:$A$1300,$A745,元データ_14項目!$B$2:$B$1300,"本年",元データ_14項目!$C$2:$C$1300,L$5)</f>
        <v>0</v>
      </c>
      <c r="M745" s="26">
        <f>SUMIFS(INDEX(元データ_14項目!$D$2:$Q$1300,0,MATCH($B745,元データ_14項目!$D$1:$Q$1,0)),元データ_14項目!$A$2:$A$1300,$A745,元データ_14項目!$B$2:$B$1300,"本年",元データ_14項目!$C$2:$C$1300,M$5)</f>
        <v>100</v>
      </c>
      <c r="N745" s="26">
        <f>SUMIFS(INDEX(元データ_14項目!$D$2:$Q$1300,0,MATCH($B745,元データ_14項目!$D$1:$Q$1,0)),元データ_14項目!$A$2:$A$1300,$A745,元データ_14項目!$B$2:$B$1300,"本年",元データ_14項目!$C$2:$C$1300,N$5)</f>
        <v>26</v>
      </c>
      <c r="O745" s="26">
        <f t="shared" si="22"/>
        <v>126</v>
      </c>
      <c r="P745" s="26">
        <f>SUMIFS(INDEX(元データ_14項目!$D$2:$Q$1300,0,MATCH($B745,元データ_14項目!$D$1:$Q$1,0)),元データ_14項目!$A$2:$A$1300,$A745,元データ_14項目!$B$2:$B$1300,"前年")</f>
        <v>93</v>
      </c>
      <c r="Q745" s="7">
        <f t="shared" si="23"/>
        <v>1.3548387096774193</v>
      </c>
    </row>
    <row r="746" spans="1:17" x14ac:dyDescent="0.45">
      <c r="A746" t="s">
        <v>87</v>
      </c>
      <c r="B746" t="s">
        <v>98</v>
      </c>
      <c r="C746" s="26">
        <f>SUMIFS(INDEX(元データ_14項目!$D$2:$Q$1300,0,MATCH($B746,元データ_14項目!$D$1:$Q$1,0)),元データ_14項目!$A$2:$A$1300,$A746,元データ_14項目!$B$2:$B$1300,"本年",元データ_14項目!$C$2:$C$1300,C$5)</f>
        <v>0</v>
      </c>
      <c r="D746" s="26">
        <f>SUMIFS(INDEX(元データ_14項目!$D$2:$Q$1300,0,MATCH($B746,元データ_14項目!$D$1:$Q$1,0)),元データ_14項目!$A$2:$A$1300,$A746,元データ_14項目!$B$2:$B$1300,"本年",元データ_14項目!$C$2:$C$1300,D$5)</f>
        <v>0</v>
      </c>
      <c r="E746" s="26">
        <f>SUMIFS(INDEX(元データ_14項目!$D$2:$Q$1300,0,MATCH($B746,元データ_14項目!$D$1:$Q$1,0)),元データ_14項目!$A$2:$A$1300,$A746,元データ_14項目!$B$2:$B$1300,"本年",元データ_14項目!$C$2:$C$1300,E$5)</f>
        <v>0</v>
      </c>
      <c r="F746" s="26">
        <f>SUMIFS(INDEX(元データ_14項目!$D$2:$Q$1300,0,MATCH($B746,元データ_14項目!$D$1:$Q$1,0)),元データ_14項目!$A$2:$A$1300,$A746,元データ_14項目!$B$2:$B$1300,"本年",元データ_14項目!$C$2:$C$1300,F$5)</f>
        <v>0</v>
      </c>
      <c r="G746" s="26">
        <f>SUMIFS(INDEX(元データ_14項目!$D$2:$Q$1300,0,MATCH($B746,元データ_14項目!$D$1:$Q$1,0)),元データ_14項目!$A$2:$A$1300,$A746,元データ_14項目!$B$2:$B$1300,"本年",元データ_14項目!$C$2:$C$1300,G$5)</f>
        <v>0</v>
      </c>
      <c r="H746" s="26">
        <f>SUMIFS(INDEX(元データ_14項目!$D$2:$Q$1300,0,MATCH($B746,元データ_14項目!$D$1:$Q$1,0)),元データ_14項目!$A$2:$A$1300,$A746,元データ_14項目!$B$2:$B$1300,"本年",元データ_14項目!$C$2:$C$1300,H$5)</f>
        <v>0</v>
      </c>
      <c r="I746" s="26">
        <f>SUMIFS(INDEX(元データ_14項目!$D$2:$Q$1300,0,MATCH($B746,元データ_14項目!$D$1:$Q$1,0)),元データ_14項目!$A$2:$A$1300,$A746,元データ_14項目!$B$2:$B$1300,"本年",元データ_14項目!$C$2:$C$1300,I$5)</f>
        <v>0</v>
      </c>
      <c r="J746" s="26">
        <f>SUMIFS(INDEX(元データ_14項目!$D$2:$Q$1300,0,MATCH($B746,元データ_14項目!$D$1:$Q$1,0)),元データ_14項目!$A$2:$A$1300,$A746,元データ_14項目!$B$2:$B$1300,"本年",元データ_14項目!$C$2:$C$1300,J$5)</f>
        <v>0</v>
      </c>
      <c r="K746" s="26">
        <f>SUMIFS(INDEX(元データ_14項目!$D$2:$Q$1300,0,MATCH($B746,元データ_14項目!$D$1:$Q$1,0)),元データ_14項目!$A$2:$A$1300,$A746,元データ_14項目!$B$2:$B$1300,"本年",元データ_14項目!$C$2:$C$1300,K$5)</f>
        <v>0</v>
      </c>
      <c r="L746" s="26">
        <f>SUMIFS(INDEX(元データ_14項目!$D$2:$Q$1300,0,MATCH($B746,元データ_14項目!$D$1:$Q$1,0)),元データ_14項目!$A$2:$A$1300,$A746,元データ_14項目!$B$2:$B$1300,"本年",元データ_14項目!$C$2:$C$1300,L$5)</f>
        <v>0</v>
      </c>
      <c r="M746" s="26">
        <f>SUMIFS(INDEX(元データ_14項目!$D$2:$Q$1300,0,MATCH($B746,元データ_14項目!$D$1:$Q$1,0)),元データ_14項目!$A$2:$A$1300,$A746,元データ_14項目!$B$2:$B$1300,"本年",元データ_14項目!$C$2:$C$1300,M$5)</f>
        <v>112</v>
      </c>
      <c r="N746" s="26">
        <f>SUMIFS(INDEX(元データ_14項目!$D$2:$Q$1300,0,MATCH($B746,元データ_14項目!$D$1:$Q$1,0)),元データ_14項目!$A$2:$A$1300,$A746,元データ_14項目!$B$2:$B$1300,"本年",元データ_14項目!$C$2:$C$1300,N$5)</f>
        <v>12</v>
      </c>
      <c r="O746" s="26">
        <f t="shared" si="22"/>
        <v>124</v>
      </c>
      <c r="P746" s="26">
        <f>SUMIFS(INDEX(元データ_14項目!$D$2:$Q$1300,0,MATCH($B746,元データ_14項目!$D$1:$Q$1,0)),元データ_14項目!$A$2:$A$1300,$A746,元データ_14項目!$B$2:$B$1300,"前年")</f>
        <v>32</v>
      </c>
      <c r="Q746" s="7">
        <f t="shared" si="23"/>
        <v>3.875</v>
      </c>
    </row>
    <row r="747" spans="1:17" x14ac:dyDescent="0.45">
      <c r="A747" t="s">
        <v>87</v>
      </c>
      <c r="B747" t="s">
        <v>99</v>
      </c>
      <c r="C747" s="26">
        <f>SUMIFS(INDEX(元データ_14項目!$D$2:$Q$1300,0,MATCH($B747,元データ_14項目!$D$1:$Q$1,0)),元データ_14項目!$A$2:$A$1300,$A747,元データ_14項目!$B$2:$B$1300,"本年",元データ_14項目!$C$2:$C$1300,C$5)</f>
        <v>0</v>
      </c>
      <c r="D747" s="26">
        <f>SUMIFS(INDEX(元データ_14項目!$D$2:$Q$1300,0,MATCH($B747,元データ_14項目!$D$1:$Q$1,0)),元データ_14項目!$A$2:$A$1300,$A747,元データ_14項目!$B$2:$B$1300,"本年",元データ_14項目!$C$2:$C$1300,D$5)</f>
        <v>0</v>
      </c>
      <c r="E747" s="26">
        <f>SUMIFS(INDEX(元データ_14項目!$D$2:$Q$1300,0,MATCH($B747,元データ_14項目!$D$1:$Q$1,0)),元データ_14項目!$A$2:$A$1300,$A747,元データ_14項目!$B$2:$B$1300,"本年",元データ_14項目!$C$2:$C$1300,E$5)</f>
        <v>0</v>
      </c>
      <c r="F747" s="26">
        <f>SUMIFS(INDEX(元データ_14項目!$D$2:$Q$1300,0,MATCH($B747,元データ_14項目!$D$1:$Q$1,0)),元データ_14項目!$A$2:$A$1300,$A747,元データ_14項目!$B$2:$B$1300,"本年",元データ_14項目!$C$2:$C$1300,F$5)</f>
        <v>0</v>
      </c>
      <c r="G747" s="26">
        <f>SUMIFS(INDEX(元データ_14項目!$D$2:$Q$1300,0,MATCH($B747,元データ_14項目!$D$1:$Q$1,0)),元データ_14項目!$A$2:$A$1300,$A747,元データ_14項目!$B$2:$B$1300,"本年",元データ_14項目!$C$2:$C$1300,G$5)</f>
        <v>0</v>
      </c>
      <c r="H747" s="26">
        <f>SUMIFS(INDEX(元データ_14項目!$D$2:$Q$1300,0,MATCH($B747,元データ_14項目!$D$1:$Q$1,0)),元データ_14項目!$A$2:$A$1300,$A747,元データ_14項目!$B$2:$B$1300,"本年",元データ_14項目!$C$2:$C$1300,H$5)</f>
        <v>0</v>
      </c>
      <c r="I747" s="26">
        <f>SUMIFS(INDEX(元データ_14項目!$D$2:$Q$1300,0,MATCH($B747,元データ_14項目!$D$1:$Q$1,0)),元データ_14項目!$A$2:$A$1300,$A747,元データ_14項目!$B$2:$B$1300,"本年",元データ_14項目!$C$2:$C$1300,I$5)</f>
        <v>0</v>
      </c>
      <c r="J747" s="26">
        <f>SUMIFS(INDEX(元データ_14項目!$D$2:$Q$1300,0,MATCH($B747,元データ_14項目!$D$1:$Q$1,0)),元データ_14項目!$A$2:$A$1300,$A747,元データ_14項目!$B$2:$B$1300,"本年",元データ_14項目!$C$2:$C$1300,J$5)</f>
        <v>0</v>
      </c>
      <c r="K747" s="26">
        <f>SUMIFS(INDEX(元データ_14項目!$D$2:$Q$1300,0,MATCH($B747,元データ_14項目!$D$1:$Q$1,0)),元データ_14項目!$A$2:$A$1300,$A747,元データ_14項目!$B$2:$B$1300,"本年",元データ_14項目!$C$2:$C$1300,K$5)</f>
        <v>0</v>
      </c>
      <c r="L747" s="26">
        <f>SUMIFS(INDEX(元データ_14項目!$D$2:$Q$1300,0,MATCH($B747,元データ_14項目!$D$1:$Q$1,0)),元データ_14項目!$A$2:$A$1300,$A747,元データ_14項目!$B$2:$B$1300,"本年",元データ_14項目!$C$2:$C$1300,L$5)</f>
        <v>0</v>
      </c>
      <c r="M747" s="26">
        <f>SUMIFS(INDEX(元データ_14項目!$D$2:$Q$1300,0,MATCH($B747,元データ_14項目!$D$1:$Q$1,0)),元データ_14項目!$A$2:$A$1300,$A747,元データ_14項目!$B$2:$B$1300,"本年",元データ_14項目!$C$2:$C$1300,M$5)</f>
        <v>5</v>
      </c>
      <c r="N747" s="26">
        <f>SUMIFS(INDEX(元データ_14項目!$D$2:$Q$1300,0,MATCH($B747,元データ_14項目!$D$1:$Q$1,0)),元データ_14項目!$A$2:$A$1300,$A747,元データ_14項目!$B$2:$B$1300,"本年",元データ_14項目!$C$2:$C$1300,N$5)</f>
        <v>0</v>
      </c>
      <c r="O747" s="26">
        <f t="shared" si="22"/>
        <v>5</v>
      </c>
      <c r="P747" s="26">
        <f>SUMIFS(INDEX(元データ_14項目!$D$2:$Q$1300,0,MATCH($B747,元データ_14項目!$D$1:$Q$1,0)),元データ_14項目!$A$2:$A$1300,$A747,元データ_14項目!$B$2:$B$1300,"前年")</f>
        <v>6</v>
      </c>
      <c r="Q747" s="7">
        <f t="shared" si="23"/>
        <v>0.83333333333333337</v>
      </c>
    </row>
  </sheetData>
  <phoneticPr fontId="2"/>
  <pageMargins left="0.70866141732283472" right="0.70866141732283472" top="0.74803149606299213" bottom="0.74803149606299213" header="0.31496062992125984" footer="0.31496062992125984"/>
  <pageSetup paperSize="8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8BFE-D579-45A0-BCFD-AF36B60227D1}">
  <dimension ref="A1:P747"/>
  <sheetViews>
    <sheetView workbookViewId="0">
      <pane ySplit="5" topLeftCell="A6" activePane="bottomLeft" state="frozen"/>
      <selection pane="bottomLeft"/>
    </sheetView>
  </sheetViews>
  <sheetFormatPr defaultRowHeight="18" x14ac:dyDescent="0.45"/>
  <cols>
    <col min="1" max="1" width="16.69921875" customWidth="1"/>
    <col min="2" max="2" width="20" customWidth="1"/>
    <col min="3" max="16" width="9.69921875" customWidth="1"/>
  </cols>
  <sheetData>
    <row r="1" spans="1:16" ht="22.2" x14ac:dyDescent="0.45">
      <c r="A1" s="4" t="s">
        <v>117</v>
      </c>
    </row>
    <row r="3" spans="1:16" x14ac:dyDescent="0.45">
      <c r="A3" t="s">
        <v>118</v>
      </c>
    </row>
    <row r="5" spans="1:16" x14ac:dyDescent="0.45">
      <c r="A5" s="6" t="s">
        <v>0</v>
      </c>
      <c r="B5" s="6" t="s">
        <v>3</v>
      </c>
      <c r="C5" s="20">
        <v>8</v>
      </c>
      <c r="D5" s="20">
        <v>9</v>
      </c>
      <c r="E5" s="20">
        <v>10</v>
      </c>
      <c r="F5" s="20">
        <v>11</v>
      </c>
      <c r="G5" s="20">
        <v>12</v>
      </c>
      <c r="H5" s="20">
        <v>1</v>
      </c>
      <c r="I5" s="20">
        <v>2</v>
      </c>
      <c r="J5" s="20">
        <v>3</v>
      </c>
      <c r="K5" s="20">
        <v>4</v>
      </c>
      <c r="L5" s="20">
        <v>5</v>
      </c>
      <c r="M5" s="20">
        <v>6</v>
      </c>
      <c r="N5" s="20">
        <v>7</v>
      </c>
      <c r="O5" s="6" t="s">
        <v>23</v>
      </c>
      <c r="P5" s="6" t="s">
        <v>119</v>
      </c>
    </row>
    <row r="6" spans="1:16" x14ac:dyDescent="0.45">
      <c r="A6" t="s">
        <v>35</v>
      </c>
      <c r="B6" t="s">
        <v>100</v>
      </c>
      <c r="C6" s="26">
        <f>SUMIFS(INDEX(元データ_加工!$C$2:$P$700,0,MATCH($B6,元データ_加工!$C$1:$P$1,0)),元データ_加工!$A$2:$A$700,$A6,元データ_加工!$B$2:$B$700,C$5)</f>
        <v>1955</v>
      </c>
      <c r="D6" s="26">
        <f>SUMIFS(INDEX(元データ_加工!$C$2:$P$700,0,MATCH($B6,元データ_加工!$C$1:$P$1,0)),元データ_加工!$A$2:$A$700,$A6,元データ_加工!$B$2:$B$700,D$5)</f>
        <v>1765</v>
      </c>
      <c r="E6" s="26">
        <f>SUMIFS(INDEX(元データ_加工!$C$2:$P$700,0,MATCH($B6,元データ_加工!$C$1:$P$1,0)),元データ_加工!$A$2:$A$700,$A6,元データ_加工!$B$2:$B$700,E$5)</f>
        <v>3017</v>
      </c>
      <c r="F6" s="26">
        <f>SUMIFS(INDEX(元データ_加工!$C$2:$P$700,0,MATCH($B6,元データ_加工!$C$1:$P$1,0)),元データ_加工!$A$2:$A$700,$A6,元データ_加工!$B$2:$B$700,F$5)</f>
        <v>2459</v>
      </c>
      <c r="G6" s="26">
        <f>SUMIFS(INDEX(元データ_加工!$C$2:$P$700,0,MATCH($B6,元データ_加工!$C$1:$P$1,0)),元データ_加工!$A$2:$A$700,$A6,元データ_加工!$B$2:$B$700,G$5)</f>
        <v>2741</v>
      </c>
      <c r="H6" s="26">
        <f>SUMIFS(INDEX(元データ_加工!$C$2:$P$700,0,MATCH($B6,元データ_加工!$C$1:$P$1,0)),元データ_加工!$A$2:$A$700,$A6,元データ_加工!$B$2:$B$700,H$5)</f>
        <v>1587</v>
      </c>
      <c r="I6" s="26">
        <f>SUMIFS(INDEX(元データ_加工!$C$2:$P$700,0,MATCH($B6,元データ_加工!$C$1:$P$1,0)),元データ_加工!$A$2:$A$700,$A6,元データ_加工!$B$2:$B$700,I$5)</f>
        <v>1698</v>
      </c>
      <c r="J6" s="26">
        <f>SUMIFS(INDEX(元データ_加工!$C$2:$P$700,0,MATCH($B6,元データ_加工!$C$1:$P$1,0)),元データ_加工!$A$2:$A$700,$A6,元データ_加工!$B$2:$B$700,J$5)</f>
        <v>2821</v>
      </c>
      <c r="K6" s="26">
        <f>SUMIFS(INDEX(元データ_加工!$C$2:$P$700,0,MATCH($B6,元データ_加工!$C$1:$P$1,0)),元データ_加工!$A$2:$A$700,$A6,元データ_加工!$B$2:$B$700,K$5)</f>
        <v>4711</v>
      </c>
      <c r="L6" s="26">
        <f>SUMIFS(INDEX(元データ_加工!$C$2:$P$700,0,MATCH($B6,元データ_加工!$C$1:$P$1,0)),元データ_加工!$A$2:$A$700,$A6,元データ_加工!$B$2:$B$700,L$5)</f>
        <v>3008</v>
      </c>
      <c r="M6" s="26">
        <f>SUMIFS(INDEX(元データ_加工!$C$2:$P$700,0,MATCH($B6,元データ_加工!$C$1:$P$1,0)),元データ_加工!$A$2:$A$700,$A6,元データ_加工!$B$2:$B$700,M$5)</f>
        <v>2834</v>
      </c>
      <c r="N6" s="26">
        <f>SUMIFS(INDEX(元データ_加工!$C$2:$P$700,0,MATCH($B6,元データ_加工!$C$1:$P$1,0)),元データ_加工!$A$2:$A$700,$A6,元データ_加工!$B$2:$B$700,N$5)</f>
        <v>2193</v>
      </c>
      <c r="O6" s="26">
        <f>SUM(C6:N6)</f>
        <v>30789</v>
      </c>
      <c r="P6" s="7">
        <f>IFERROR(O6/SUMIFS(元データ_加工!$C$2:$C$700,元データ_加工!$A$2:$A$700,$A6),"")</f>
        <v>1</v>
      </c>
    </row>
    <row r="7" spans="1:16" x14ac:dyDescent="0.45">
      <c r="A7" t="s">
        <v>35</v>
      </c>
      <c r="B7" t="s">
        <v>101</v>
      </c>
      <c r="C7" s="26">
        <f>SUMIFS(INDEX(元データ_加工!$C$2:$P$700,0,MATCH($B7,元データ_加工!$C$1:$P$1,0)),元データ_加工!$A$2:$A$700,$A7,元データ_加工!$B$2:$B$700,C$5)</f>
        <v>909</v>
      </c>
      <c r="D7" s="26">
        <f>SUMIFS(INDEX(元データ_加工!$C$2:$P$700,0,MATCH($B7,元データ_加工!$C$1:$P$1,0)),元データ_加工!$A$2:$A$700,$A7,元データ_加工!$B$2:$B$700,D$5)</f>
        <v>1076</v>
      </c>
      <c r="E7" s="26">
        <f>SUMIFS(INDEX(元データ_加工!$C$2:$P$700,0,MATCH($B7,元データ_加工!$C$1:$P$1,0)),元データ_加工!$A$2:$A$700,$A7,元データ_加工!$B$2:$B$700,E$5)</f>
        <v>1328</v>
      </c>
      <c r="F7" s="26">
        <f>SUMIFS(INDEX(元データ_加工!$C$2:$P$700,0,MATCH($B7,元データ_加工!$C$1:$P$1,0)),元データ_加工!$A$2:$A$700,$A7,元データ_加工!$B$2:$B$700,F$5)</f>
        <v>1295</v>
      </c>
      <c r="G7" s="26">
        <f>SUMIFS(INDEX(元データ_加工!$C$2:$P$700,0,MATCH($B7,元データ_加工!$C$1:$P$1,0)),元データ_加工!$A$2:$A$700,$A7,元データ_加工!$B$2:$B$700,G$5)</f>
        <v>1277</v>
      </c>
      <c r="H7" s="26">
        <f>SUMIFS(INDEX(元データ_加工!$C$2:$P$700,0,MATCH($B7,元データ_加工!$C$1:$P$1,0)),元データ_加工!$A$2:$A$700,$A7,元データ_加工!$B$2:$B$700,H$5)</f>
        <v>931</v>
      </c>
      <c r="I7" s="26">
        <f>SUMIFS(INDEX(元データ_加工!$C$2:$P$700,0,MATCH($B7,元データ_加工!$C$1:$P$1,0)),元データ_加工!$A$2:$A$700,$A7,元データ_加工!$B$2:$B$700,I$5)</f>
        <v>1229</v>
      </c>
      <c r="J7" s="26">
        <f>SUMIFS(INDEX(元データ_加工!$C$2:$P$700,0,MATCH($B7,元データ_加工!$C$1:$P$1,0)),元データ_加工!$A$2:$A$700,$A7,元データ_加工!$B$2:$B$700,J$5)</f>
        <v>1145</v>
      </c>
      <c r="K7" s="26">
        <f>SUMIFS(INDEX(元データ_加工!$C$2:$P$700,0,MATCH($B7,元データ_加工!$C$1:$P$1,0)),元データ_加工!$A$2:$A$700,$A7,元データ_加工!$B$2:$B$700,K$5)</f>
        <v>1104</v>
      </c>
      <c r="L7" s="26">
        <f>SUMIFS(INDEX(元データ_加工!$C$2:$P$700,0,MATCH($B7,元データ_加工!$C$1:$P$1,0)),元データ_加工!$A$2:$A$700,$A7,元データ_加工!$B$2:$B$700,L$5)</f>
        <v>1000</v>
      </c>
      <c r="M7" s="26">
        <f>SUMIFS(INDEX(元データ_加工!$C$2:$P$700,0,MATCH($B7,元データ_加工!$C$1:$P$1,0)),元データ_加工!$A$2:$A$700,$A7,元データ_加工!$B$2:$B$700,M$5)</f>
        <v>995</v>
      </c>
      <c r="N7" s="26">
        <f>SUMIFS(INDEX(元データ_加工!$C$2:$P$700,0,MATCH($B7,元データ_加工!$C$1:$P$1,0)),元データ_加工!$A$2:$A$700,$A7,元データ_加工!$B$2:$B$700,N$5)</f>
        <v>920</v>
      </c>
      <c r="O7" s="26">
        <f t="shared" ref="O7:O70" si="0">SUM(C7:N7)</f>
        <v>13209</v>
      </c>
      <c r="P7" s="7">
        <f>IFERROR(O7/SUMIFS(元データ_加工!$C$2:$C$700,元データ_加工!$A$2:$A$700,$A7),"")</f>
        <v>0.42901685666958977</v>
      </c>
    </row>
    <row r="8" spans="1:16" x14ac:dyDescent="0.45">
      <c r="A8" t="s">
        <v>35</v>
      </c>
      <c r="B8" t="s">
        <v>102</v>
      </c>
      <c r="C8" s="26">
        <f>SUMIFS(INDEX(元データ_加工!$C$2:$P$700,0,MATCH($B8,元データ_加工!$C$1:$P$1,0)),元データ_加工!$A$2:$A$700,$A8,元データ_加工!$B$2:$B$700,C$5)</f>
        <v>0</v>
      </c>
      <c r="D8" s="26">
        <f>SUMIFS(INDEX(元データ_加工!$C$2:$P$700,0,MATCH($B8,元データ_加工!$C$1:$P$1,0)),元データ_加工!$A$2:$A$700,$A8,元データ_加工!$B$2:$B$700,D$5)</f>
        <v>0</v>
      </c>
      <c r="E8" s="26">
        <f>SUMIFS(INDEX(元データ_加工!$C$2:$P$700,0,MATCH($B8,元データ_加工!$C$1:$P$1,0)),元データ_加工!$A$2:$A$700,$A8,元データ_加工!$B$2:$B$700,E$5)</f>
        <v>0</v>
      </c>
      <c r="F8" s="26">
        <f>SUMIFS(INDEX(元データ_加工!$C$2:$P$700,0,MATCH($B8,元データ_加工!$C$1:$P$1,0)),元データ_加工!$A$2:$A$700,$A8,元データ_加工!$B$2:$B$700,F$5)</f>
        <v>0</v>
      </c>
      <c r="G8" s="26">
        <f>SUMIFS(INDEX(元データ_加工!$C$2:$P$700,0,MATCH($B8,元データ_加工!$C$1:$P$1,0)),元データ_加工!$A$2:$A$700,$A8,元データ_加工!$B$2:$B$700,G$5)</f>
        <v>0</v>
      </c>
      <c r="H8" s="26">
        <f>SUMIFS(INDEX(元データ_加工!$C$2:$P$700,0,MATCH($B8,元データ_加工!$C$1:$P$1,0)),元データ_加工!$A$2:$A$700,$A8,元データ_加工!$B$2:$B$700,H$5)</f>
        <v>0</v>
      </c>
      <c r="I8" s="26">
        <f>SUMIFS(INDEX(元データ_加工!$C$2:$P$700,0,MATCH($B8,元データ_加工!$C$1:$P$1,0)),元データ_加工!$A$2:$A$700,$A8,元データ_加工!$B$2:$B$700,I$5)</f>
        <v>0</v>
      </c>
      <c r="J8" s="26">
        <f>SUMIFS(INDEX(元データ_加工!$C$2:$P$700,0,MATCH($B8,元データ_加工!$C$1:$P$1,0)),元データ_加工!$A$2:$A$700,$A8,元データ_加工!$B$2:$B$700,J$5)</f>
        <v>2</v>
      </c>
      <c r="K8" s="26">
        <f>SUMIFS(INDEX(元データ_加工!$C$2:$P$700,0,MATCH($B8,元データ_加工!$C$1:$P$1,0)),元データ_加工!$A$2:$A$700,$A8,元データ_加工!$B$2:$B$700,K$5)</f>
        <v>0</v>
      </c>
      <c r="L8" s="26">
        <f>SUMIFS(INDEX(元データ_加工!$C$2:$P$700,0,MATCH($B8,元データ_加工!$C$1:$P$1,0)),元データ_加工!$A$2:$A$700,$A8,元データ_加工!$B$2:$B$700,L$5)</f>
        <v>0</v>
      </c>
      <c r="M8" s="26">
        <f>SUMIFS(INDEX(元データ_加工!$C$2:$P$700,0,MATCH($B8,元データ_加工!$C$1:$P$1,0)),元データ_加工!$A$2:$A$700,$A8,元データ_加工!$B$2:$B$700,M$5)</f>
        <v>0</v>
      </c>
      <c r="N8" s="26">
        <f>SUMIFS(INDEX(元データ_加工!$C$2:$P$700,0,MATCH($B8,元データ_加工!$C$1:$P$1,0)),元データ_加工!$A$2:$A$700,$A8,元データ_加工!$B$2:$B$700,N$5)</f>
        <v>0</v>
      </c>
      <c r="O8" s="26">
        <f t="shared" si="0"/>
        <v>2</v>
      </c>
      <c r="P8" s="7">
        <f>IFERROR(O8/SUMIFS(元データ_加工!$C$2:$C$700,元データ_加工!$A$2:$A$700,$A8),"")</f>
        <v>6.4958264315177503E-5</v>
      </c>
    </row>
    <row r="9" spans="1:16" x14ac:dyDescent="0.45">
      <c r="A9" t="s">
        <v>35</v>
      </c>
      <c r="B9" t="s">
        <v>103</v>
      </c>
      <c r="C9" s="26">
        <f>SUMIFS(INDEX(元データ_加工!$C$2:$P$700,0,MATCH($B9,元データ_加工!$C$1:$P$1,0)),元データ_加工!$A$2:$A$700,$A9,元データ_加工!$B$2:$B$700,C$5)</f>
        <v>4</v>
      </c>
      <c r="D9" s="26">
        <f>SUMIFS(INDEX(元データ_加工!$C$2:$P$700,0,MATCH($B9,元データ_加工!$C$1:$P$1,0)),元データ_加工!$A$2:$A$700,$A9,元データ_加工!$B$2:$B$700,D$5)</f>
        <v>0</v>
      </c>
      <c r="E9" s="26">
        <f>SUMIFS(INDEX(元データ_加工!$C$2:$P$700,0,MATCH($B9,元データ_加工!$C$1:$P$1,0)),元データ_加工!$A$2:$A$700,$A9,元データ_加工!$B$2:$B$700,E$5)</f>
        <v>0</v>
      </c>
      <c r="F9" s="26">
        <f>SUMIFS(INDEX(元データ_加工!$C$2:$P$700,0,MATCH($B9,元データ_加工!$C$1:$P$1,0)),元データ_加工!$A$2:$A$700,$A9,元データ_加工!$B$2:$B$700,F$5)</f>
        <v>5</v>
      </c>
      <c r="G9" s="26">
        <f>SUMIFS(INDEX(元データ_加工!$C$2:$P$700,0,MATCH($B9,元データ_加工!$C$1:$P$1,0)),元データ_加工!$A$2:$A$700,$A9,元データ_加工!$B$2:$B$700,G$5)</f>
        <v>14</v>
      </c>
      <c r="H9" s="26">
        <f>SUMIFS(INDEX(元データ_加工!$C$2:$P$700,0,MATCH($B9,元データ_加工!$C$1:$P$1,0)),元データ_加工!$A$2:$A$700,$A9,元データ_加工!$B$2:$B$700,H$5)</f>
        <v>25</v>
      </c>
      <c r="I9" s="26">
        <f>SUMIFS(INDEX(元データ_加工!$C$2:$P$700,0,MATCH($B9,元データ_加工!$C$1:$P$1,0)),元データ_加工!$A$2:$A$700,$A9,元データ_加工!$B$2:$B$700,I$5)</f>
        <v>9</v>
      </c>
      <c r="J9" s="26">
        <f>SUMIFS(INDEX(元データ_加工!$C$2:$P$700,0,MATCH($B9,元データ_加工!$C$1:$P$1,0)),元データ_加工!$A$2:$A$700,$A9,元データ_加工!$B$2:$B$700,J$5)</f>
        <v>1</v>
      </c>
      <c r="K9" s="26">
        <f>SUMIFS(INDEX(元データ_加工!$C$2:$P$700,0,MATCH($B9,元データ_加工!$C$1:$P$1,0)),元データ_加工!$A$2:$A$700,$A9,元データ_加工!$B$2:$B$700,K$5)</f>
        <v>0</v>
      </c>
      <c r="L9" s="26">
        <f>SUMIFS(INDEX(元データ_加工!$C$2:$P$700,0,MATCH($B9,元データ_加工!$C$1:$P$1,0)),元データ_加工!$A$2:$A$700,$A9,元データ_加工!$B$2:$B$700,L$5)</f>
        <v>0</v>
      </c>
      <c r="M9" s="26">
        <f>SUMIFS(INDEX(元データ_加工!$C$2:$P$700,0,MATCH($B9,元データ_加工!$C$1:$P$1,0)),元データ_加工!$A$2:$A$700,$A9,元データ_加工!$B$2:$B$700,M$5)</f>
        <v>0</v>
      </c>
      <c r="N9" s="26">
        <f>SUMIFS(INDEX(元データ_加工!$C$2:$P$700,0,MATCH($B9,元データ_加工!$C$1:$P$1,0)),元データ_加工!$A$2:$A$700,$A9,元データ_加工!$B$2:$B$700,N$5)</f>
        <v>0</v>
      </c>
      <c r="O9" s="26">
        <f t="shared" si="0"/>
        <v>58</v>
      </c>
      <c r="P9" s="7">
        <f>IFERROR(O9/SUMIFS(元データ_加工!$C$2:$C$700,元データ_加工!$A$2:$A$700,$A9),"")</f>
        <v>1.8837896651401475E-3</v>
      </c>
    </row>
    <row r="10" spans="1:16" x14ac:dyDescent="0.45">
      <c r="A10" t="s">
        <v>35</v>
      </c>
      <c r="B10" t="s">
        <v>104</v>
      </c>
      <c r="C10" s="26">
        <f>SUMIFS(INDEX(元データ_加工!$C$2:$P$700,0,MATCH($B10,元データ_加工!$C$1:$P$1,0)),元データ_加工!$A$2:$A$700,$A10,元データ_加工!$B$2:$B$700,C$5)</f>
        <v>48</v>
      </c>
      <c r="D10" s="26">
        <f>SUMIFS(INDEX(元データ_加工!$C$2:$P$700,0,MATCH($B10,元データ_加工!$C$1:$P$1,0)),元データ_加工!$A$2:$A$700,$A10,元データ_加工!$B$2:$B$700,D$5)</f>
        <v>35</v>
      </c>
      <c r="E10" s="26">
        <f>SUMIFS(INDEX(元データ_加工!$C$2:$P$700,0,MATCH($B10,元データ_加工!$C$1:$P$1,0)),元データ_加工!$A$2:$A$700,$A10,元データ_加工!$B$2:$B$700,E$5)</f>
        <v>53</v>
      </c>
      <c r="F10" s="26">
        <f>SUMIFS(INDEX(元データ_加工!$C$2:$P$700,0,MATCH($B10,元データ_加工!$C$1:$P$1,0)),元データ_加工!$A$2:$A$700,$A10,元データ_加工!$B$2:$B$700,F$5)</f>
        <v>40</v>
      </c>
      <c r="G10" s="26">
        <f>SUMIFS(INDEX(元データ_加工!$C$2:$P$700,0,MATCH($B10,元データ_加工!$C$1:$P$1,0)),元データ_加工!$A$2:$A$700,$A10,元データ_加工!$B$2:$B$700,G$5)</f>
        <v>70</v>
      </c>
      <c r="H10" s="26">
        <f>SUMIFS(INDEX(元データ_加工!$C$2:$P$700,0,MATCH($B10,元データ_加工!$C$1:$P$1,0)),元データ_加工!$A$2:$A$700,$A10,元データ_加工!$B$2:$B$700,H$5)</f>
        <v>26</v>
      </c>
      <c r="I10" s="26">
        <f>SUMIFS(INDEX(元データ_加工!$C$2:$P$700,0,MATCH($B10,元データ_加工!$C$1:$P$1,0)),元データ_加工!$A$2:$A$700,$A10,元データ_加工!$B$2:$B$700,I$5)</f>
        <v>10</v>
      </c>
      <c r="J10" s="26">
        <f>SUMIFS(INDEX(元データ_加工!$C$2:$P$700,0,MATCH($B10,元データ_加工!$C$1:$P$1,0)),元データ_加工!$A$2:$A$700,$A10,元データ_加工!$B$2:$B$700,J$5)</f>
        <v>159</v>
      </c>
      <c r="K10" s="26">
        <f>SUMIFS(INDEX(元データ_加工!$C$2:$P$700,0,MATCH($B10,元データ_加工!$C$1:$P$1,0)),元データ_加工!$A$2:$A$700,$A10,元データ_加工!$B$2:$B$700,K$5)</f>
        <v>226</v>
      </c>
      <c r="L10" s="26">
        <f>SUMIFS(INDEX(元データ_加工!$C$2:$P$700,0,MATCH($B10,元データ_加工!$C$1:$P$1,0)),元データ_加工!$A$2:$A$700,$A10,元データ_加工!$B$2:$B$700,L$5)</f>
        <v>89</v>
      </c>
      <c r="M10" s="26">
        <f>SUMIFS(INDEX(元データ_加工!$C$2:$P$700,0,MATCH($B10,元データ_加工!$C$1:$P$1,0)),元データ_加工!$A$2:$A$700,$A10,元データ_加工!$B$2:$B$700,M$5)</f>
        <v>91</v>
      </c>
      <c r="N10" s="26">
        <f>SUMIFS(INDEX(元データ_加工!$C$2:$P$700,0,MATCH($B10,元データ_加工!$C$1:$P$1,0)),元データ_加工!$A$2:$A$700,$A10,元データ_加工!$B$2:$B$700,N$5)</f>
        <v>56</v>
      </c>
      <c r="O10" s="26">
        <f t="shared" si="0"/>
        <v>903</v>
      </c>
      <c r="P10" s="7">
        <f>IFERROR(O10/SUMIFS(元データ_加工!$C$2:$C$700,元データ_加工!$A$2:$A$700,$A10),"")</f>
        <v>2.9328656338302641E-2</v>
      </c>
    </row>
    <row r="11" spans="1:16" x14ac:dyDescent="0.45">
      <c r="A11" t="s">
        <v>35</v>
      </c>
      <c r="B11" t="s">
        <v>105</v>
      </c>
      <c r="C11" s="26">
        <f>SUMIFS(INDEX(元データ_加工!$C$2:$P$700,0,MATCH($B11,元データ_加工!$C$1:$P$1,0)),元データ_加工!$A$2:$A$700,$A11,元データ_加工!$B$2:$B$700,C$5)</f>
        <v>1</v>
      </c>
      <c r="D11" s="26">
        <f>SUMIFS(INDEX(元データ_加工!$C$2:$P$700,0,MATCH($B11,元データ_加工!$C$1:$P$1,0)),元データ_加工!$A$2:$A$700,$A11,元データ_加工!$B$2:$B$700,D$5)</f>
        <v>0</v>
      </c>
      <c r="E11" s="26">
        <f>SUMIFS(INDEX(元データ_加工!$C$2:$P$700,0,MATCH($B11,元データ_加工!$C$1:$P$1,0)),元データ_加工!$A$2:$A$700,$A11,元データ_加工!$B$2:$B$700,E$5)</f>
        <v>2</v>
      </c>
      <c r="F11" s="26">
        <f>SUMIFS(INDEX(元データ_加工!$C$2:$P$700,0,MATCH($B11,元データ_加工!$C$1:$P$1,0)),元データ_加工!$A$2:$A$700,$A11,元データ_加工!$B$2:$B$700,F$5)</f>
        <v>1</v>
      </c>
      <c r="G11" s="26">
        <f>SUMIFS(INDEX(元データ_加工!$C$2:$P$700,0,MATCH($B11,元データ_加工!$C$1:$P$1,0)),元データ_加工!$A$2:$A$700,$A11,元データ_加工!$B$2:$B$700,G$5)</f>
        <v>0</v>
      </c>
      <c r="H11" s="26">
        <f>SUMIFS(INDEX(元データ_加工!$C$2:$P$700,0,MATCH($B11,元データ_加工!$C$1:$P$1,0)),元データ_加工!$A$2:$A$700,$A11,元データ_加工!$B$2:$B$700,H$5)</f>
        <v>0</v>
      </c>
      <c r="I11" s="26">
        <f>SUMIFS(INDEX(元データ_加工!$C$2:$P$700,0,MATCH($B11,元データ_加工!$C$1:$P$1,0)),元データ_加工!$A$2:$A$700,$A11,元データ_加工!$B$2:$B$700,I$5)</f>
        <v>1</v>
      </c>
      <c r="J11" s="26">
        <f>SUMIFS(INDEX(元データ_加工!$C$2:$P$700,0,MATCH($B11,元データ_加工!$C$1:$P$1,0)),元データ_加工!$A$2:$A$700,$A11,元データ_加工!$B$2:$B$700,J$5)</f>
        <v>49</v>
      </c>
      <c r="K11" s="26">
        <f>SUMIFS(INDEX(元データ_加工!$C$2:$P$700,0,MATCH($B11,元データ_加工!$C$1:$P$1,0)),元データ_加工!$A$2:$A$700,$A11,元データ_加工!$B$2:$B$700,K$5)</f>
        <v>65</v>
      </c>
      <c r="L11" s="26">
        <f>SUMIFS(INDEX(元データ_加工!$C$2:$P$700,0,MATCH($B11,元データ_加工!$C$1:$P$1,0)),元データ_加工!$A$2:$A$700,$A11,元データ_加工!$B$2:$B$700,L$5)</f>
        <v>23</v>
      </c>
      <c r="M11" s="26">
        <f>SUMIFS(INDEX(元データ_加工!$C$2:$P$700,0,MATCH($B11,元データ_加工!$C$1:$P$1,0)),元データ_加工!$A$2:$A$700,$A11,元データ_加工!$B$2:$B$700,M$5)</f>
        <v>29</v>
      </c>
      <c r="N11" s="26">
        <f>SUMIFS(INDEX(元データ_加工!$C$2:$P$700,0,MATCH($B11,元データ_加工!$C$1:$P$1,0)),元データ_加工!$A$2:$A$700,$A11,元データ_加工!$B$2:$B$700,N$5)</f>
        <v>3</v>
      </c>
      <c r="O11" s="26">
        <f t="shared" si="0"/>
        <v>174</v>
      </c>
      <c r="P11" s="7">
        <f>IFERROR(O11/SUMIFS(元データ_加工!$C$2:$C$700,元データ_加工!$A$2:$A$700,$A11),"")</f>
        <v>5.6513689954204426E-3</v>
      </c>
    </row>
    <row r="12" spans="1:16" x14ac:dyDescent="0.45">
      <c r="A12" t="s">
        <v>35</v>
      </c>
      <c r="B12" t="s">
        <v>106</v>
      </c>
      <c r="C12" s="26">
        <f>SUMIFS(INDEX(元データ_加工!$C$2:$P$700,0,MATCH($B12,元データ_加工!$C$1:$P$1,0)),元データ_加工!$A$2:$A$700,$A12,元データ_加工!$B$2:$B$700,C$5)</f>
        <v>196</v>
      </c>
      <c r="D12" s="26">
        <f>SUMIFS(INDEX(元データ_加工!$C$2:$P$700,0,MATCH($B12,元データ_加工!$C$1:$P$1,0)),元データ_加工!$A$2:$A$700,$A12,元データ_加工!$B$2:$B$700,D$5)</f>
        <v>164</v>
      </c>
      <c r="E12" s="26">
        <f>SUMIFS(INDEX(元データ_加工!$C$2:$P$700,0,MATCH($B12,元データ_加工!$C$1:$P$1,0)),元データ_加工!$A$2:$A$700,$A12,元データ_加工!$B$2:$B$700,E$5)</f>
        <v>226</v>
      </c>
      <c r="F12" s="26">
        <f>SUMIFS(INDEX(元データ_加工!$C$2:$P$700,0,MATCH($B12,元データ_加工!$C$1:$P$1,0)),元データ_加工!$A$2:$A$700,$A12,元データ_加工!$B$2:$B$700,F$5)</f>
        <v>169</v>
      </c>
      <c r="G12" s="26">
        <f>SUMIFS(INDEX(元データ_加工!$C$2:$P$700,0,MATCH($B12,元データ_加工!$C$1:$P$1,0)),元データ_加工!$A$2:$A$700,$A12,元データ_加工!$B$2:$B$700,G$5)</f>
        <v>186</v>
      </c>
      <c r="H12" s="26">
        <f>SUMIFS(INDEX(元データ_加工!$C$2:$P$700,0,MATCH($B12,元データ_加工!$C$1:$P$1,0)),元データ_加工!$A$2:$A$700,$A12,元データ_加工!$B$2:$B$700,H$5)</f>
        <v>90</v>
      </c>
      <c r="I12" s="26">
        <f>SUMIFS(INDEX(元データ_加工!$C$2:$P$700,0,MATCH($B12,元データ_加工!$C$1:$P$1,0)),元データ_加工!$A$2:$A$700,$A12,元データ_加工!$B$2:$B$700,I$5)</f>
        <v>74</v>
      </c>
      <c r="J12" s="26">
        <f>SUMIFS(INDEX(元データ_加工!$C$2:$P$700,0,MATCH($B12,元データ_加工!$C$1:$P$1,0)),元データ_加工!$A$2:$A$700,$A12,元データ_加工!$B$2:$B$700,J$5)</f>
        <v>172</v>
      </c>
      <c r="K12" s="26">
        <f>SUMIFS(INDEX(元データ_加工!$C$2:$P$700,0,MATCH($B12,元データ_加工!$C$1:$P$1,0)),元データ_加工!$A$2:$A$700,$A12,元データ_加工!$B$2:$B$700,K$5)</f>
        <v>173</v>
      </c>
      <c r="L12" s="26">
        <f>SUMIFS(INDEX(元データ_加工!$C$2:$P$700,0,MATCH($B12,元データ_加工!$C$1:$P$1,0)),元データ_加工!$A$2:$A$700,$A12,元データ_加工!$B$2:$B$700,L$5)</f>
        <v>148</v>
      </c>
      <c r="M12" s="26">
        <f>SUMIFS(INDEX(元データ_加工!$C$2:$P$700,0,MATCH($B12,元データ_加工!$C$1:$P$1,0)),元データ_加工!$A$2:$A$700,$A12,元データ_加工!$B$2:$B$700,M$5)</f>
        <v>172</v>
      </c>
      <c r="N12" s="26">
        <f>SUMIFS(INDEX(元データ_加工!$C$2:$P$700,0,MATCH($B12,元データ_加工!$C$1:$P$1,0)),元データ_加工!$A$2:$A$700,$A12,元データ_加工!$B$2:$B$700,N$5)</f>
        <v>165</v>
      </c>
      <c r="O12" s="26">
        <f t="shared" si="0"/>
        <v>1935</v>
      </c>
      <c r="P12" s="7">
        <f>IFERROR(O12/SUMIFS(元データ_加工!$C$2:$C$700,元データ_加工!$A$2:$A$700,$A12),"")</f>
        <v>6.284712072493423E-2</v>
      </c>
    </row>
    <row r="13" spans="1:16" x14ac:dyDescent="0.45">
      <c r="A13" t="s">
        <v>35</v>
      </c>
      <c r="B13" t="s">
        <v>107</v>
      </c>
      <c r="C13" s="26">
        <f>SUMIFS(INDEX(元データ_加工!$C$2:$P$700,0,MATCH($B13,元データ_加工!$C$1:$P$1,0)),元データ_加工!$A$2:$A$700,$A13,元データ_加工!$B$2:$B$700,C$5)</f>
        <v>129</v>
      </c>
      <c r="D13" s="26">
        <f>SUMIFS(INDEX(元データ_加工!$C$2:$P$700,0,MATCH($B13,元データ_加工!$C$1:$P$1,0)),元データ_加工!$A$2:$A$700,$A13,元データ_加工!$B$2:$B$700,D$5)</f>
        <v>119</v>
      </c>
      <c r="E13" s="26">
        <f>SUMIFS(INDEX(元データ_加工!$C$2:$P$700,0,MATCH($B13,元データ_加工!$C$1:$P$1,0)),元データ_加工!$A$2:$A$700,$A13,元データ_加工!$B$2:$B$700,E$5)</f>
        <v>146</v>
      </c>
      <c r="F13" s="26">
        <f>SUMIFS(INDEX(元データ_加工!$C$2:$P$700,0,MATCH($B13,元データ_加工!$C$1:$P$1,0)),元データ_加工!$A$2:$A$700,$A13,元データ_加工!$B$2:$B$700,F$5)</f>
        <v>151</v>
      </c>
      <c r="G13" s="26">
        <f>SUMIFS(INDEX(元データ_加工!$C$2:$P$700,0,MATCH($B13,元データ_加工!$C$1:$P$1,0)),元データ_加工!$A$2:$A$700,$A13,元データ_加工!$B$2:$B$700,G$5)</f>
        <v>128</v>
      </c>
      <c r="H13" s="26">
        <f>SUMIFS(INDEX(元データ_加工!$C$2:$P$700,0,MATCH($B13,元データ_加工!$C$1:$P$1,0)),元データ_加工!$A$2:$A$700,$A13,元データ_加工!$B$2:$B$700,H$5)</f>
        <v>65</v>
      </c>
      <c r="I13" s="26">
        <f>SUMIFS(INDEX(元データ_加工!$C$2:$P$700,0,MATCH($B13,元データ_加工!$C$1:$P$1,0)),元データ_加工!$A$2:$A$700,$A13,元データ_加工!$B$2:$B$700,I$5)</f>
        <v>68</v>
      </c>
      <c r="J13" s="26">
        <f>SUMIFS(INDEX(元データ_加工!$C$2:$P$700,0,MATCH($B13,元データ_加工!$C$1:$P$1,0)),元データ_加工!$A$2:$A$700,$A13,元データ_加工!$B$2:$B$700,J$5)</f>
        <v>91</v>
      </c>
      <c r="K13" s="26">
        <f>SUMIFS(INDEX(元データ_加工!$C$2:$P$700,0,MATCH($B13,元データ_加工!$C$1:$P$1,0)),元データ_加工!$A$2:$A$700,$A13,元データ_加工!$B$2:$B$700,K$5)</f>
        <v>100</v>
      </c>
      <c r="L13" s="26">
        <f>SUMIFS(INDEX(元データ_加工!$C$2:$P$700,0,MATCH($B13,元データ_加工!$C$1:$P$1,0)),元データ_加工!$A$2:$A$700,$A13,元データ_加工!$B$2:$B$700,L$5)</f>
        <v>91</v>
      </c>
      <c r="M13" s="26">
        <f>SUMIFS(INDEX(元データ_加工!$C$2:$P$700,0,MATCH($B13,元データ_加工!$C$1:$P$1,0)),元データ_加工!$A$2:$A$700,$A13,元データ_加工!$B$2:$B$700,M$5)</f>
        <v>102</v>
      </c>
      <c r="N13" s="26">
        <f>SUMIFS(INDEX(元データ_加工!$C$2:$P$700,0,MATCH($B13,元データ_加工!$C$1:$P$1,0)),元データ_加工!$A$2:$A$700,$A13,元データ_加工!$B$2:$B$700,N$5)</f>
        <v>112</v>
      </c>
      <c r="O13" s="26">
        <f t="shared" si="0"/>
        <v>1302</v>
      </c>
      <c r="P13" s="7">
        <f>IFERROR(O13/SUMIFS(元データ_加工!$C$2:$C$700,元データ_加工!$A$2:$A$700,$A13),"")</f>
        <v>4.2287830069180549E-2</v>
      </c>
    </row>
    <row r="14" spans="1:16" x14ac:dyDescent="0.45">
      <c r="A14" t="s">
        <v>35</v>
      </c>
      <c r="B14" t="s">
        <v>108</v>
      </c>
      <c r="C14" s="26">
        <f>SUMIFS(INDEX(元データ_加工!$C$2:$P$700,0,MATCH($B14,元データ_加工!$C$1:$P$1,0)),元データ_加工!$A$2:$A$700,$A14,元データ_加工!$B$2:$B$700,C$5)</f>
        <v>0</v>
      </c>
      <c r="D14" s="26">
        <f>SUMIFS(INDEX(元データ_加工!$C$2:$P$700,0,MATCH($B14,元データ_加工!$C$1:$P$1,0)),元データ_加工!$A$2:$A$700,$A14,元データ_加工!$B$2:$B$700,D$5)</f>
        <v>16</v>
      </c>
      <c r="E14" s="26">
        <f>SUMIFS(INDEX(元データ_加工!$C$2:$P$700,0,MATCH($B14,元データ_加工!$C$1:$P$1,0)),元データ_加工!$A$2:$A$700,$A14,元データ_加工!$B$2:$B$700,E$5)</f>
        <v>6</v>
      </c>
      <c r="F14" s="26">
        <f>SUMIFS(INDEX(元データ_加工!$C$2:$P$700,0,MATCH($B14,元データ_加工!$C$1:$P$1,0)),元データ_加工!$A$2:$A$700,$A14,元データ_加工!$B$2:$B$700,F$5)</f>
        <v>39</v>
      </c>
      <c r="G14" s="26">
        <f>SUMIFS(INDEX(元データ_加工!$C$2:$P$700,0,MATCH($B14,元データ_加工!$C$1:$P$1,0)),元データ_加工!$A$2:$A$700,$A14,元データ_加工!$B$2:$B$700,G$5)</f>
        <v>32</v>
      </c>
      <c r="H14" s="26">
        <f>SUMIFS(INDEX(元データ_加工!$C$2:$P$700,0,MATCH($B14,元データ_加工!$C$1:$P$1,0)),元データ_加工!$A$2:$A$700,$A14,元データ_加工!$B$2:$B$700,H$5)</f>
        <v>0</v>
      </c>
      <c r="I14" s="26">
        <f>SUMIFS(INDEX(元データ_加工!$C$2:$P$700,0,MATCH($B14,元データ_加工!$C$1:$P$1,0)),元データ_加工!$A$2:$A$700,$A14,元データ_加工!$B$2:$B$700,I$5)</f>
        <v>0</v>
      </c>
      <c r="J14" s="26">
        <f>SUMIFS(INDEX(元データ_加工!$C$2:$P$700,0,MATCH($B14,元データ_加工!$C$1:$P$1,0)),元データ_加工!$A$2:$A$700,$A14,元データ_加工!$B$2:$B$700,J$5)</f>
        <v>2</v>
      </c>
      <c r="K14" s="26">
        <f>SUMIFS(INDEX(元データ_加工!$C$2:$P$700,0,MATCH($B14,元データ_加工!$C$1:$P$1,0)),元データ_加工!$A$2:$A$700,$A14,元データ_加工!$B$2:$B$700,K$5)</f>
        <v>0</v>
      </c>
      <c r="L14" s="26">
        <f>SUMIFS(INDEX(元データ_加工!$C$2:$P$700,0,MATCH($B14,元データ_加工!$C$1:$P$1,0)),元データ_加工!$A$2:$A$700,$A14,元データ_加工!$B$2:$B$700,L$5)</f>
        <v>0</v>
      </c>
      <c r="M14" s="26">
        <f>SUMIFS(INDEX(元データ_加工!$C$2:$P$700,0,MATCH($B14,元データ_加工!$C$1:$P$1,0)),元データ_加工!$A$2:$A$700,$A14,元データ_加工!$B$2:$B$700,M$5)</f>
        <v>0</v>
      </c>
      <c r="N14" s="26">
        <f>SUMIFS(INDEX(元データ_加工!$C$2:$P$700,0,MATCH($B14,元データ_加工!$C$1:$P$1,0)),元データ_加工!$A$2:$A$700,$A14,元データ_加工!$B$2:$B$700,N$5)</f>
        <v>2</v>
      </c>
      <c r="O14" s="26">
        <f t="shared" si="0"/>
        <v>97</v>
      </c>
      <c r="P14" s="7">
        <f>IFERROR(O14/SUMIFS(元データ_加工!$C$2:$C$700,元データ_加工!$A$2:$A$700,$A14),"")</f>
        <v>3.1504758192861088E-3</v>
      </c>
    </row>
    <row r="15" spans="1:16" x14ac:dyDescent="0.45">
      <c r="A15" t="s">
        <v>35</v>
      </c>
      <c r="B15" t="s">
        <v>109</v>
      </c>
      <c r="C15" s="26">
        <f>SUMIFS(INDEX(元データ_加工!$C$2:$P$700,0,MATCH($B15,元データ_加工!$C$1:$P$1,0)),元データ_加工!$A$2:$A$700,$A15,元データ_加工!$B$2:$B$700,C$5)</f>
        <v>32</v>
      </c>
      <c r="D15" s="26">
        <f>SUMIFS(INDEX(元データ_加工!$C$2:$P$700,0,MATCH($B15,元データ_加工!$C$1:$P$1,0)),元データ_加工!$A$2:$A$700,$A15,元データ_加工!$B$2:$B$700,D$5)</f>
        <v>48</v>
      </c>
      <c r="E15" s="26">
        <f>SUMIFS(INDEX(元データ_加工!$C$2:$P$700,0,MATCH($B15,元データ_加工!$C$1:$P$1,0)),元データ_加工!$A$2:$A$700,$A15,元データ_加工!$B$2:$B$700,E$5)</f>
        <v>55</v>
      </c>
      <c r="F15" s="26">
        <f>SUMIFS(INDEX(元データ_加工!$C$2:$P$700,0,MATCH($B15,元データ_加工!$C$1:$P$1,0)),元データ_加工!$A$2:$A$700,$A15,元データ_加工!$B$2:$B$700,F$5)</f>
        <v>44</v>
      </c>
      <c r="G15" s="26">
        <f>SUMIFS(INDEX(元データ_加工!$C$2:$P$700,0,MATCH($B15,元データ_加工!$C$1:$P$1,0)),元データ_加工!$A$2:$A$700,$A15,元データ_加工!$B$2:$B$700,G$5)</f>
        <v>74</v>
      </c>
      <c r="H15" s="26">
        <f>SUMIFS(INDEX(元データ_加工!$C$2:$P$700,0,MATCH($B15,元データ_加工!$C$1:$P$1,0)),元データ_加工!$A$2:$A$700,$A15,元データ_加工!$B$2:$B$700,H$5)</f>
        <v>43</v>
      </c>
      <c r="I15" s="26">
        <f>SUMIFS(INDEX(元データ_加工!$C$2:$P$700,0,MATCH($B15,元データ_加工!$C$1:$P$1,0)),元データ_加工!$A$2:$A$700,$A15,元データ_加工!$B$2:$B$700,I$5)</f>
        <v>63</v>
      </c>
      <c r="J15" s="26">
        <f>SUMIFS(INDEX(元データ_加工!$C$2:$P$700,0,MATCH($B15,元データ_加工!$C$1:$P$1,0)),元データ_加工!$A$2:$A$700,$A15,元データ_加工!$B$2:$B$700,J$5)</f>
        <v>45</v>
      </c>
      <c r="K15" s="26">
        <f>SUMIFS(INDEX(元データ_加工!$C$2:$P$700,0,MATCH($B15,元データ_加工!$C$1:$P$1,0)),元データ_加工!$A$2:$A$700,$A15,元データ_加工!$B$2:$B$700,K$5)</f>
        <v>37</v>
      </c>
      <c r="L15" s="26">
        <f>SUMIFS(INDEX(元データ_加工!$C$2:$P$700,0,MATCH($B15,元データ_加工!$C$1:$P$1,0)),元データ_加工!$A$2:$A$700,$A15,元データ_加工!$B$2:$B$700,L$5)</f>
        <v>30</v>
      </c>
      <c r="M15" s="26">
        <f>SUMIFS(INDEX(元データ_加工!$C$2:$P$700,0,MATCH($B15,元データ_加工!$C$1:$P$1,0)),元データ_加工!$A$2:$A$700,$A15,元データ_加工!$B$2:$B$700,M$5)</f>
        <v>29</v>
      </c>
      <c r="N15" s="26">
        <f>SUMIFS(INDEX(元データ_加工!$C$2:$P$700,0,MATCH($B15,元データ_加工!$C$1:$P$1,0)),元データ_加工!$A$2:$A$700,$A15,元データ_加工!$B$2:$B$700,N$5)</f>
        <v>32</v>
      </c>
      <c r="O15" s="26">
        <f t="shared" si="0"/>
        <v>532</v>
      </c>
      <c r="P15" s="7">
        <f>IFERROR(O15/SUMIFS(元データ_加工!$C$2:$C$700,元データ_加工!$A$2:$A$700,$A15),"")</f>
        <v>1.7278898307837215E-2</v>
      </c>
    </row>
    <row r="16" spans="1:16" x14ac:dyDescent="0.45">
      <c r="A16" t="s">
        <v>35</v>
      </c>
      <c r="B16" t="s">
        <v>110</v>
      </c>
      <c r="C16" s="26">
        <f>SUMIFS(INDEX(元データ_加工!$C$2:$P$700,0,MATCH($B16,元データ_加工!$C$1:$P$1,0)),元データ_加工!$A$2:$A$700,$A16,元データ_加工!$B$2:$B$700,C$5)</f>
        <v>0</v>
      </c>
      <c r="D16" s="26">
        <f>SUMIFS(INDEX(元データ_加工!$C$2:$P$700,0,MATCH($B16,元データ_加工!$C$1:$P$1,0)),元データ_加工!$A$2:$A$700,$A16,元データ_加工!$B$2:$B$700,D$5)</f>
        <v>0</v>
      </c>
      <c r="E16" s="26">
        <f>SUMIFS(INDEX(元データ_加工!$C$2:$P$700,0,MATCH($B16,元データ_加工!$C$1:$P$1,0)),元データ_加工!$A$2:$A$700,$A16,元データ_加工!$B$2:$B$700,E$5)</f>
        <v>0</v>
      </c>
      <c r="F16" s="26">
        <f>SUMIFS(INDEX(元データ_加工!$C$2:$P$700,0,MATCH($B16,元データ_加工!$C$1:$P$1,0)),元データ_加工!$A$2:$A$700,$A16,元データ_加工!$B$2:$B$700,F$5)</f>
        <v>0</v>
      </c>
      <c r="G16" s="26">
        <f>SUMIFS(INDEX(元データ_加工!$C$2:$P$700,0,MATCH($B16,元データ_加工!$C$1:$P$1,0)),元データ_加工!$A$2:$A$700,$A16,元データ_加工!$B$2:$B$700,G$5)</f>
        <v>0</v>
      </c>
      <c r="H16" s="26">
        <f>SUMIFS(INDEX(元データ_加工!$C$2:$P$700,0,MATCH($B16,元データ_加工!$C$1:$P$1,0)),元データ_加工!$A$2:$A$700,$A16,元データ_加工!$B$2:$B$700,H$5)</f>
        <v>0</v>
      </c>
      <c r="I16" s="26">
        <f>SUMIFS(INDEX(元データ_加工!$C$2:$P$700,0,MATCH($B16,元データ_加工!$C$1:$P$1,0)),元データ_加工!$A$2:$A$700,$A16,元データ_加工!$B$2:$B$700,I$5)</f>
        <v>0</v>
      </c>
      <c r="J16" s="26">
        <f>SUMIFS(INDEX(元データ_加工!$C$2:$P$700,0,MATCH($B16,元データ_加工!$C$1:$P$1,0)),元データ_加工!$A$2:$A$700,$A16,元データ_加工!$B$2:$B$700,J$5)</f>
        <v>0</v>
      </c>
      <c r="K16" s="26">
        <f>SUMIFS(INDEX(元データ_加工!$C$2:$P$700,0,MATCH($B16,元データ_加工!$C$1:$P$1,0)),元データ_加工!$A$2:$A$700,$A16,元データ_加工!$B$2:$B$700,K$5)</f>
        <v>0</v>
      </c>
      <c r="L16" s="26">
        <f>SUMIFS(INDEX(元データ_加工!$C$2:$P$700,0,MATCH($B16,元データ_加工!$C$1:$P$1,0)),元データ_加工!$A$2:$A$700,$A16,元データ_加工!$B$2:$B$700,L$5)</f>
        <v>0</v>
      </c>
      <c r="M16" s="26">
        <f>SUMIFS(INDEX(元データ_加工!$C$2:$P$700,0,MATCH($B16,元データ_加工!$C$1:$P$1,0)),元データ_加工!$A$2:$A$700,$A16,元データ_加工!$B$2:$B$700,M$5)</f>
        <v>0</v>
      </c>
      <c r="N16" s="26">
        <f>SUMIFS(INDEX(元データ_加工!$C$2:$P$700,0,MATCH($B16,元データ_加工!$C$1:$P$1,0)),元データ_加工!$A$2:$A$700,$A16,元データ_加工!$B$2:$B$700,N$5)</f>
        <v>0</v>
      </c>
      <c r="O16" s="26">
        <f t="shared" si="0"/>
        <v>0</v>
      </c>
      <c r="P16" s="7">
        <f>IFERROR(O16/SUMIFS(元データ_加工!$C$2:$C$700,元データ_加工!$A$2:$A$700,$A16),"")</f>
        <v>0</v>
      </c>
    </row>
    <row r="17" spans="1:16" x14ac:dyDescent="0.45">
      <c r="A17" t="s">
        <v>35</v>
      </c>
      <c r="B17" t="s">
        <v>111</v>
      </c>
      <c r="C17" s="26">
        <f>SUMIFS(INDEX(元データ_加工!$C$2:$P$700,0,MATCH($B17,元データ_加工!$C$1:$P$1,0)),元データ_加工!$A$2:$A$700,$A17,元データ_加工!$B$2:$B$700,C$5)</f>
        <v>0</v>
      </c>
      <c r="D17" s="26">
        <f>SUMIFS(INDEX(元データ_加工!$C$2:$P$700,0,MATCH($B17,元データ_加工!$C$1:$P$1,0)),元データ_加工!$A$2:$A$700,$A17,元データ_加工!$B$2:$B$700,D$5)</f>
        <v>0</v>
      </c>
      <c r="E17" s="26">
        <f>SUMIFS(INDEX(元データ_加工!$C$2:$P$700,0,MATCH($B17,元データ_加工!$C$1:$P$1,0)),元データ_加工!$A$2:$A$700,$A17,元データ_加工!$B$2:$B$700,E$5)</f>
        <v>0</v>
      </c>
      <c r="F17" s="26">
        <f>SUMIFS(INDEX(元データ_加工!$C$2:$P$700,0,MATCH($B17,元データ_加工!$C$1:$P$1,0)),元データ_加工!$A$2:$A$700,$A17,元データ_加工!$B$2:$B$700,F$5)</f>
        <v>0</v>
      </c>
      <c r="G17" s="26">
        <f>SUMIFS(INDEX(元データ_加工!$C$2:$P$700,0,MATCH($B17,元データ_加工!$C$1:$P$1,0)),元データ_加工!$A$2:$A$700,$A17,元データ_加工!$B$2:$B$700,G$5)</f>
        <v>0</v>
      </c>
      <c r="H17" s="26">
        <f>SUMIFS(INDEX(元データ_加工!$C$2:$P$700,0,MATCH($B17,元データ_加工!$C$1:$P$1,0)),元データ_加工!$A$2:$A$700,$A17,元データ_加工!$B$2:$B$700,H$5)</f>
        <v>0</v>
      </c>
      <c r="I17" s="26">
        <f>SUMIFS(INDEX(元データ_加工!$C$2:$P$700,0,MATCH($B17,元データ_加工!$C$1:$P$1,0)),元データ_加工!$A$2:$A$700,$A17,元データ_加工!$B$2:$B$700,I$5)</f>
        <v>0</v>
      </c>
      <c r="J17" s="26">
        <f>SUMIFS(INDEX(元データ_加工!$C$2:$P$700,0,MATCH($B17,元データ_加工!$C$1:$P$1,0)),元データ_加工!$A$2:$A$700,$A17,元データ_加工!$B$2:$B$700,J$5)</f>
        <v>0</v>
      </c>
      <c r="K17" s="26">
        <f>SUMIFS(INDEX(元データ_加工!$C$2:$P$700,0,MATCH($B17,元データ_加工!$C$1:$P$1,0)),元データ_加工!$A$2:$A$700,$A17,元データ_加工!$B$2:$B$700,K$5)</f>
        <v>0</v>
      </c>
      <c r="L17" s="26">
        <f>SUMIFS(INDEX(元データ_加工!$C$2:$P$700,0,MATCH($B17,元データ_加工!$C$1:$P$1,0)),元データ_加工!$A$2:$A$700,$A17,元データ_加工!$B$2:$B$700,L$5)</f>
        <v>0</v>
      </c>
      <c r="M17" s="26">
        <f>SUMIFS(INDEX(元データ_加工!$C$2:$P$700,0,MATCH($B17,元データ_加工!$C$1:$P$1,0)),元データ_加工!$A$2:$A$700,$A17,元データ_加工!$B$2:$B$700,M$5)</f>
        <v>0</v>
      </c>
      <c r="N17" s="26">
        <f>SUMIFS(INDEX(元データ_加工!$C$2:$P$700,0,MATCH($B17,元データ_加工!$C$1:$P$1,0)),元データ_加工!$A$2:$A$700,$A17,元データ_加工!$B$2:$B$700,N$5)</f>
        <v>0</v>
      </c>
      <c r="O17" s="26">
        <f t="shared" si="0"/>
        <v>0</v>
      </c>
      <c r="P17" s="7">
        <f>IFERROR(O17/SUMIFS(元データ_加工!$C$2:$C$700,元データ_加工!$A$2:$A$700,$A17),"")</f>
        <v>0</v>
      </c>
    </row>
    <row r="18" spans="1:16" x14ac:dyDescent="0.45">
      <c r="A18" t="s">
        <v>35</v>
      </c>
      <c r="B18" t="s">
        <v>112</v>
      </c>
      <c r="C18" s="26">
        <f>SUMIFS(INDEX(元データ_加工!$C$2:$P$700,0,MATCH($B18,元データ_加工!$C$1:$P$1,0)),元データ_加工!$A$2:$A$700,$A18,元データ_加工!$B$2:$B$700,C$5)</f>
        <v>0</v>
      </c>
      <c r="D18" s="26">
        <f>SUMIFS(INDEX(元データ_加工!$C$2:$P$700,0,MATCH($B18,元データ_加工!$C$1:$P$1,0)),元データ_加工!$A$2:$A$700,$A18,元データ_加工!$B$2:$B$700,D$5)</f>
        <v>0</v>
      </c>
      <c r="E18" s="26">
        <f>SUMIFS(INDEX(元データ_加工!$C$2:$P$700,0,MATCH($B18,元データ_加工!$C$1:$P$1,0)),元データ_加工!$A$2:$A$700,$A18,元データ_加工!$B$2:$B$700,E$5)</f>
        <v>0</v>
      </c>
      <c r="F18" s="26">
        <f>SUMIFS(INDEX(元データ_加工!$C$2:$P$700,0,MATCH($B18,元データ_加工!$C$1:$P$1,0)),元データ_加工!$A$2:$A$700,$A18,元データ_加工!$B$2:$B$700,F$5)</f>
        <v>0</v>
      </c>
      <c r="G18" s="26">
        <f>SUMIFS(INDEX(元データ_加工!$C$2:$P$700,0,MATCH($B18,元データ_加工!$C$1:$P$1,0)),元データ_加工!$A$2:$A$700,$A18,元データ_加工!$B$2:$B$700,G$5)</f>
        <v>0</v>
      </c>
      <c r="H18" s="26">
        <f>SUMIFS(INDEX(元データ_加工!$C$2:$P$700,0,MATCH($B18,元データ_加工!$C$1:$P$1,0)),元データ_加工!$A$2:$A$700,$A18,元データ_加工!$B$2:$B$700,H$5)</f>
        <v>0</v>
      </c>
      <c r="I18" s="26">
        <f>SUMIFS(INDEX(元データ_加工!$C$2:$P$700,0,MATCH($B18,元データ_加工!$C$1:$P$1,0)),元データ_加工!$A$2:$A$700,$A18,元データ_加工!$B$2:$B$700,I$5)</f>
        <v>0</v>
      </c>
      <c r="J18" s="26">
        <f>SUMIFS(INDEX(元データ_加工!$C$2:$P$700,0,MATCH($B18,元データ_加工!$C$1:$P$1,0)),元データ_加工!$A$2:$A$700,$A18,元データ_加工!$B$2:$B$700,J$5)</f>
        <v>0</v>
      </c>
      <c r="K18" s="26">
        <f>SUMIFS(INDEX(元データ_加工!$C$2:$P$700,0,MATCH($B18,元データ_加工!$C$1:$P$1,0)),元データ_加工!$A$2:$A$700,$A18,元データ_加工!$B$2:$B$700,K$5)</f>
        <v>1</v>
      </c>
      <c r="L18" s="26">
        <f>SUMIFS(INDEX(元データ_加工!$C$2:$P$700,0,MATCH($B18,元データ_加工!$C$1:$P$1,0)),元データ_加工!$A$2:$A$700,$A18,元データ_加工!$B$2:$B$700,L$5)</f>
        <v>0</v>
      </c>
      <c r="M18" s="26">
        <f>SUMIFS(INDEX(元データ_加工!$C$2:$P$700,0,MATCH($B18,元データ_加工!$C$1:$P$1,0)),元データ_加工!$A$2:$A$700,$A18,元データ_加工!$B$2:$B$700,M$5)</f>
        <v>0</v>
      </c>
      <c r="N18" s="26">
        <f>SUMIFS(INDEX(元データ_加工!$C$2:$P$700,0,MATCH($B18,元データ_加工!$C$1:$P$1,0)),元データ_加工!$A$2:$A$700,$A18,元データ_加工!$B$2:$B$700,N$5)</f>
        <v>0</v>
      </c>
      <c r="O18" s="26">
        <f t="shared" si="0"/>
        <v>1</v>
      </c>
      <c r="P18" s="7">
        <f>IFERROR(O18/SUMIFS(元データ_加工!$C$2:$C$700,元データ_加工!$A$2:$A$700,$A18),"")</f>
        <v>3.2479132157588752E-5</v>
      </c>
    </row>
    <row r="19" spans="1:16" x14ac:dyDescent="0.45">
      <c r="A19" t="s">
        <v>35</v>
      </c>
      <c r="B19" t="s">
        <v>113</v>
      </c>
      <c r="C19" s="26">
        <f>SUMIFS(INDEX(元データ_加工!$C$2:$P$700,0,MATCH($B19,元データ_加工!$C$1:$P$1,0)),元データ_加工!$A$2:$A$700,$A19,元データ_加工!$B$2:$B$700,C$5)</f>
        <v>0</v>
      </c>
      <c r="D19" s="26">
        <f>SUMIFS(INDEX(元データ_加工!$C$2:$P$700,0,MATCH($B19,元データ_加工!$C$1:$P$1,0)),元データ_加工!$A$2:$A$700,$A19,元データ_加工!$B$2:$B$700,D$5)</f>
        <v>0</v>
      </c>
      <c r="E19" s="26">
        <f>SUMIFS(INDEX(元データ_加工!$C$2:$P$700,0,MATCH($B19,元データ_加工!$C$1:$P$1,0)),元データ_加工!$A$2:$A$700,$A19,元データ_加工!$B$2:$B$700,E$5)</f>
        <v>3</v>
      </c>
      <c r="F19" s="26">
        <f>SUMIFS(INDEX(元データ_加工!$C$2:$P$700,0,MATCH($B19,元データ_加工!$C$1:$P$1,0)),元データ_加工!$A$2:$A$700,$A19,元データ_加工!$B$2:$B$700,F$5)</f>
        <v>1</v>
      </c>
      <c r="G19" s="26">
        <f>SUMIFS(INDEX(元データ_加工!$C$2:$P$700,0,MATCH($B19,元データ_加工!$C$1:$P$1,0)),元データ_加工!$A$2:$A$700,$A19,元データ_加工!$B$2:$B$700,G$5)</f>
        <v>2</v>
      </c>
      <c r="H19" s="26">
        <f>SUMIFS(INDEX(元データ_加工!$C$2:$P$700,0,MATCH($B19,元データ_加工!$C$1:$P$1,0)),元データ_加工!$A$2:$A$700,$A19,元データ_加工!$B$2:$B$700,H$5)</f>
        <v>2</v>
      </c>
      <c r="I19" s="26">
        <f>SUMIFS(INDEX(元データ_加工!$C$2:$P$700,0,MATCH($B19,元データ_加工!$C$1:$P$1,0)),元データ_加工!$A$2:$A$700,$A19,元データ_加工!$B$2:$B$700,I$5)</f>
        <v>2</v>
      </c>
      <c r="J19" s="26">
        <f>SUMIFS(INDEX(元データ_加工!$C$2:$P$700,0,MATCH($B19,元データ_加工!$C$1:$P$1,0)),元データ_加工!$A$2:$A$700,$A19,元データ_加工!$B$2:$B$700,J$5)</f>
        <v>2</v>
      </c>
      <c r="K19" s="26">
        <f>SUMIFS(INDEX(元データ_加工!$C$2:$P$700,0,MATCH($B19,元データ_加工!$C$1:$P$1,0)),元データ_加工!$A$2:$A$700,$A19,元データ_加工!$B$2:$B$700,K$5)</f>
        <v>3</v>
      </c>
      <c r="L19" s="26">
        <f>SUMIFS(INDEX(元データ_加工!$C$2:$P$700,0,MATCH($B19,元データ_加工!$C$1:$P$1,0)),元データ_加工!$A$2:$A$700,$A19,元データ_加工!$B$2:$B$700,L$5)</f>
        <v>4</v>
      </c>
      <c r="M19" s="26">
        <f>SUMIFS(INDEX(元データ_加工!$C$2:$P$700,0,MATCH($B19,元データ_加工!$C$1:$P$1,0)),元データ_加工!$A$2:$A$700,$A19,元データ_加工!$B$2:$B$700,M$5)</f>
        <v>4</v>
      </c>
      <c r="N19" s="26">
        <f>SUMIFS(INDEX(元データ_加工!$C$2:$P$700,0,MATCH($B19,元データ_加工!$C$1:$P$1,0)),元データ_加工!$A$2:$A$700,$A19,元データ_加工!$B$2:$B$700,N$5)</f>
        <v>5</v>
      </c>
      <c r="O19" s="26">
        <f t="shared" si="0"/>
        <v>28</v>
      </c>
      <c r="P19" s="7">
        <f>IFERROR(O19/SUMIFS(元データ_加工!$C$2:$C$700,元データ_加工!$A$2:$A$700,$A19),"")</f>
        <v>9.0941570041248496E-4</v>
      </c>
    </row>
    <row r="20" spans="1:16" x14ac:dyDescent="0.45">
      <c r="A20" t="s">
        <v>36</v>
      </c>
      <c r="B20" t="s">
        <v>100</v>
      </c>
      <c r="C20" s="26">
        <f>SUMIFS(INDEX(元データ_加工!$C$2:$P$700,0,MATCH($B20,元データ_加工!$C$1:$P$1,0)),元データ_加工!$A$2:$A$700,$A20,元データ_加工!$B$2:$B$700,C$5)</f>
        <v>1548</v>
      </c>
      <c r="D20" s="26">
        <f>SUMIFS(INDEX(元データ_加工!$C$2:$P$700,0,MATCH($B20,元データ_加工!$C$1:$P$1,0)),元データ_加工!$A$2:$A$700,$A20,元データ_加工!$B$2:$B$700,D$5)</f>
        <v>1589</v>
      </c>
      <c r="E20" s="26">
        <f>SUMIFS(INDEX(元データ_加工!$C$2:$P$700,0,MATCH($B20,元データ_加工!$C$1:$P$1,0)),元データ_加工!$A$2:$A$700,$A20,元データ_加工!$B$2:$B$700,E$5)</f>
        <v>2135</v>
      </c>
      <c r="F20" s="26">
        <f>SUMIFS(INDEX(元データ_加工!$C$2:$P$700,0,MATCH($B20,元データ_加工!$C$1:$P$1,0)),元データ_加工!$A$2:$A$700,$A20,元データ_加工!$B$2:$B$700,F$5)</f>
        <v>1883</v>
      </c>
      <c r="G20" s="26">
        <f>SUMIFS(INDEX(元データ_加工!$C$2:$P$700,0,MATCH($B20,元データ_加工!$C$1:$P$1,0)),元データ_加工!$A$2:$A$700,$A20,元データ_加工!$B$2:$B$700,G$5)</f>
        <v>2274</v>
      </c>
      <c r="H20" s="26">
        <f>SUMIFS(INDEX(元データ_加工!$C$2:$P$700,0,MATCH($B20,元データ_加工!$C$1:$P$1,0)),元データ_加工!$A$2:$A$700,$A20,元データ_加工!$B$2:$B$700,H$5)</f>
        <v>1354</v>
      </c>
      <c r="I20" s="26">
        <f>SUMIFS(INDEX(元データ_加工!$C$2:$P$700,0,MATCH($B20,元データ_加工!$C$1:$P$1,0)),元データ_加工!$A$2:$A$700,$A20,元データ_加工!$B$2:$B$700,I$5)</f>
        <v>1117</v>
      </c>
      <c r="J20" s="26">
        <f>SUMIFS(INDEX(元データ_加工!$C$2:$P$700,0,MATCH($B20,元データ_加工!$C$1:$P$1,0)),元データ_加工!$A$2:$A$700,$A20,元データ_加工!$B$2:$B$700,J$5)</f>
        <v>2455</v>
      </c>
      <c r="K20" s="26">
        <f>SUMIFS(INDEX(元データ_加工!$C$2:$P$700,0,MATCH($B20,元データ_加工!$C$1:$P$1,0)),元データ_加工!$A$2:$A$700,$A20,元データ_加工!$B$2:$B$700,K$5)</f>
        <v>4959</v>
      </c>
      <c r="L20" s="26">
        <f>SUMIFS(INDEX(元データ_加工!$C$2:$P$700,0,MATCH($B20,元データ_加工!$C$1:$P$1,0)),元データ_加工!$A$2:$A$700,$A20,元データ_加工!$B$2:$B$700,L$5)</f>
        <v>2726</v>
      </c>
      <c r="M20" s="26">
        <f>SUMIFS(INDEX(元データ_加工!$C$2:$P$700,0,MATCH($B20,元データ_加工!$C$1:$P$1,0)),元データ_加工!$A$2:$A$700,$A20,元データ_加工!$B$2:$B$700,M$5)</f>
        <v>2453</v>
      </c>
      <c r="N20" s="26">
        <f>SUMIFS(INDEX(元データ_加工!$C$2:$P$700,0,MATCH($B20,元データ_加工!$C$1:$P$1,0)),元データ_加工!$A$2:$A$700,$A20,元データ_加工!$B$2:$B$700,N$5)</f>
        <v>1878</v>
      </c>
      <c r="O20" s="26">
        <f t="shared" si="0"/>
        <v>26371</v>
      </c>
      <c r="P20" s="7">
        <f>IFERROR(O20/SUMIFS(元データ_加工!$C$2:$C$700,元データ_加工!$A$2:$A$700,$A20),"")</f>
        <v>1</v>
      </c>
    </row>
    <row r="21" spans="1:16" x14ac:dyDescent="0.45">
      <c r="A21" t="s">
        <v>36</v>
      </c>
      <c r="B21" t="s">
        <v>101</v>
      </c>
      <c r="C21" s="26">
        <f>SUMIFS(INDEX(元データ_加工!$C$2:$P$700,0,MATCH($B21,元データ_加工!$C$1:$P$1,0)),元データ_加工!$A$2:$A$700,$A21,元データ_加工!$B$2:$B$700,C$5)</f>
        <v>1227</v>
      </c>
      <c r="D21" s="26">
        <f>SUMIFS(INDEX(元データ_加工!$C$2:$P$700,0,MATCH($B21,元データ_加工!$C$1:$P$1,0)),元データ_加工!$A$2:$A$700,$A21,元データ_加工!$B$2:$B$700,D$5)</f>
        <v>1396</v>
      </c>
      <c r="E21" s="26">
        <f>SUMIFS(INDEX(元データ_加工!$C$2:$P$700,0,MATCH($B21,元データ_加工!$C$1:$P$1,0)),元データ_加工!$A$2:$A$700,$A21,元データ_加工!$B$2:$B$700,E$5)</f>
        <v>1641</v>
      </c>
      <c r="F21" s="26">
        <f>SUMIFS(INDEX(元データ_加工!$C$2:$P$700,0,MATCH($B21,元データ_加工!$C$1:$P$1,0)),元データ_加工!$A$2:$A$700,$A21,元データ_加工!$B$2:$B$700,F$5)</f>
        <v>1391</v>
      </c>
      <c r="G21" s="26">
        <f>SUMIFS(INDEX(元データ_加工!$C$2:$P$700,0,MATCH($B21,元データ_加工!$C$1:$P$1,0)),元データ_加工!$A$2:$A$700,$A21,元データ_加工!$B$2:$B$700,G$5)</f>
        <v>1467</v>
      </c>
      <c r="H21" s="26">
        <f>SUMIFS(INDEX(元データ_加工!$C$2:$P$700,0,MATCH($B21,元データ_加工!$C$1:$P$1,0)),元データ_加工!$A$2:$A$700,$A21,元データ_加工!$B$2:$B$700,H$5)</f>
        <v>1107</v>
      </c>
      <c r="I21" s="26">
        <f>SUMIFS(INDEX(元データ_加工!$C$2:$P$700,0,MATCH($B21,元データ_加工!$C$1:$P$1,0)),元データ_加工!$A$2:$A$700,$A21,元データ_加工!$B$2:$B$700,I$5)</f>
        <v>1136</v>
      </c>
      <c r="J21" s="26">
        <f>SUMIFS(INDEX(元データ_加工!$C$2:$P$700,0,MATCH($B21,元データ_加工!$C$1:$P$1,0)),元データ_加工!$A$2:$A$700,$A21,元データ_加工!$B$2:$B$700,J$5)</f>
        <v>1407</v>
      </c>
      <c r="K21" s="26">
        <f>SUMIFS(INDEX(元データ_加工!$C$2:$P$700,0,MATCH($B21,元データ_加工!$C$1:$P$1,0)),元データ_加工!$A$2:$A$700,$A21,元データ_加工!$B$2:$B$700,K$5)</f>
        <v>1396</v>
      </c>
      <c r="L21" s="26">
        <f>SUMIFS(INDEX(元データ_加工!$C$2:$P$700,0,MATCH($B21,元データ_加工!$C$1:$P$1,0)),元データ_加工!$A$2:$A$700,$A21,元データ_加工!$B$2:$B$700,L$5)</f>
        <v>1164</v>
      </c>
      <c r="M21" s="26">
        <f>SUMIFS(INDEX(元データ_加工!$C$2:$P$700,0,MATCH($B21,元データ_加工!$C$1:$P$1,0)),元データ_加工!$A$2:$A$700,$A21,元データ_加工!$B$2:$B$700,M$5)</f>
        <v>1453</v>
      </c>
      <c r="N21" s="26">
        <f>SUMIFS(INDEX(元データ_加工!$C$2:$P$700,0,MATCH($B21,元データ_加工!$C$1:$P$1,0)),元データ_加工!$A$2:$A$700,$A21,元データ_加工!$B$2:$B$700,N$5)</f>
        <v>1244</v>
      </c>
      <c r="O21" s="26">
        <f t="shared" si="0"/>
        <v>16029</v>
      </c>
      <c r="P21" s="7">
        <f>IFERROR(O21/SUMIFS(元データ_加工!$C$2:$C$700,元データ_加工!$A$2:$A$700,$A21),"")</f>
        <v>0.60782677941678354</v>
      </c>
    </row>
    <row r="22" spans="1:16" x14ac:dyDescent="0.45">
      <c r="A22" t="s">
        <v>36</v>
      </c>
      <c r="B22" t="s">
        <v>102</v>
      </c>
      <c r="C22" s="26">
        <f>SUMIFS(INDEX(元データ_加工!$C$2:$P$700,0,MATCH($B22,元データ_加工!$C$1:$P$1,0)),元データ_加工!$A$2:$A$700,$A22,元データ_加工!$B$2:$B$700,C$5)</f>
        <v>0</v>
      </c>
      <c r="D22" s="26">
        <f>SUMIFS(INDEX(元データ_加工!$C$2:$P$700,0,MATCH($B22,元データ_加工!$C$1:$P$1,0)),元データ_加工!$A$2:$A$700,$A22,元データ_加工!$B$2:$B$700,D$5)</f>
        <v>0</v>
      </c>
      <c r="E22" s="26">
        <f>SUMIFS(INDEX(元データ_加工!$C$2:$P$700,0,MATCH($B22,元データ_加工!$C$1:$P$1,0)),元データ_加工!$A$2:$A$700,$A22,元データ_加工!$B$2:$B$700,E$5)</f>
        <v>0</v>
      </c>
      <c r="F22" s="26">
        <f>SUMIFS(INDEX(元データ_加工!$C$2:$P$700,0,MATCH($B22,元データ_加工!$C$1:$P$1,0)),元データ_加工!$A$2:$A$700,$A22,元データ_加工!$B$2:$B$700,F$5)</f>
        <v>0</v>
      </c>
      <c r="G22" s="26">
        <f>SUMIFS(INDEX(元データ_加工!$C$2:$P$700,0,MATCH($B22,元データ_加工!$C$1:$P$1,0)),元データ_加工!$A$2:$A$700,$A22,元データ_加工!$B$2:$B$700,G$5)</f>
        <v>0</v>
      </c>
      <c r="H22" s="26">
        <f>SUMIFS(INDEX(元データ_加工!$C$2:$P$700,0,MATCH($B22,元データ_加工!$C$1:$P$1,0)),元データ_加工!$A$2:$A$700,$A22,元データ_加工!$B$2:$B$700,H$5)</f>
        <v>0</v>
      </c>
      <c r="I22" s="26">
        <f>SUMIFS(INDEX(元データ_加工!$C$2:$P$700,0,MATCH($B22,元データ_加工!$C$1:$P$1,0)),元データ_加工!$A$2:$A$700,$A22,元データ_加工!$B$2:$B$700,I$5)</f>
        <v>0</v>
      </c>
      <c r="J22" s="26">
        <f>SUMIFS(INDEX(元データ_加工!$C$2:$P$700,0,MATCH($B22,元データ_加工!$C$1:$P$1,0)),元データ_加工!$A$2:$A$700,$A22,元データ_加工!$B$2:$B$700,J$5)</f>
        <v>10</v>
      </c>
      <c r="K22" s="26">
        <f>SUMIFS(INDEX(元データ_加工!$C$2:$P$700,0,MATCH($B22,元データ_加工!$C$1:$P$1,0)),元データ_加工!$A$2:$A$700,$A22,元データ_加工!$B$2:$B$700,K$5)</f>
        <v>1</v>
      </c>
      <c r="L22" s="26">
        <f>SUMIFS(INDEX(元データ_加工!$C$2:$P$700,0,MATCH($B22,元データ_加工!$C$1:$P$1,0)),元データ_加工!$A$2:$A$700,$A22,元データ_加工!$B$2:$B$700,L$5)</f>
        <v>0</v>
      </c>
      <c r="M22" s="26">
        <f>SUMIFS(INDEX(元データ_加工!$C$2:$P$700,0,MATCH($B22,元データ_加工!$C$1:$P$1,0)),元データ_加工!$A$2:$A$700,$A22,元データ_加工!$B$2:$B$700,M$5)</f>
        <v>1</v>
      </c>
      <c r="N22" s="26">
        <f>SUMIFS(INDEX(元データ_加工!$C$2:$P$700,0,MATCH($B22,元データ_加工!$C$1:$P$1,0)),元データ_加工!$A$2:$A$700,$A22,元データ_加工!$B$2:$B$700,N$5)</f>
        <v>0</v>
      </c>
      <c r="O22" s="26">
        <f t="shared" si="0"/>
        <v>12</v>
      </c>
      <c r="P22" s="7">
        <f>IFERROR(O22/SUMIFS(元データ_加工!$C$2:$C$700,元データ_加工!$A$2:$A$700,$A22),"")</f>
        <v>4.5504531492927835E-4</v>
      </c>
    </row>
    <row r="23" spans="1:16" x14ac:dyDescent="0.45">
      <c r="A23" t="s">
        <v>36</v>
      </c>
      <c r="B23" t="s">
        <v>103</v>
      </c>
      <c r="C23" s="26">
        <f>SUMIFS(INDEX(元データ_加工!$C$2:$P$700,0,MATCH($B23,元データ_加工!$C$1:$P$1,0)),元データ_加工!$A$2:$A$700,$A23,元データ_加工!$B$2:$B$700,C$5)</f>
        <v>1</v>
      </c>
      <c r="D23" s="26">
        <f>SUMIFS(INDEX(元データ_加工!$C$2:$P$700,0,MATCH($B23,元データ_加工!$C$1:$P$1,0)),元データ_加工!$A$2:$A$700,$A23,元データ_加工!$B$2:$B$700,D$5)</f>
        <v>5</v>
      </c>
      <c r="E23" s="26">
        <f>SUMIFS(INDEX(元データ_加工!$C$2:$P$700,0,MATCH($B23,元データ_加工!$C$1:$P$1,0)),元データ_加工!$A$2:$A$700,$A23,元データ_加工!$B$2:$B$700,E$5)</f>
        <v>2</v>
      </c>
      <c r="F23" s="26">
        <f>SUMIFS(INDEX(元データ_加工!$C$2:$P$700,0,MATCH($B23,元データ_加工!$C$1:$P$1,0)),元データ_加工!$A$2:$A$700,$A23,元データ_加工!$B$2:$B$700,F$5)</f>
        <v>2</v>
      </c>
      <c r="G23" s="26">
        <f>SUMIFS(INDEX(元データ_加工!$C$2:$P$700,0,MATCH($B23,元データ_加工!$C$1:$P$1,0)),元データ_加工!$A$2:$A$700,$A23,元データ_加工!$B$2:$B$700,G$5)</f>
        <v>8</v>
      </c>
      <c r="H23" s="26">
        <f>SUMIFS(INDEX(元データ_加工!$C$2:$P$700,0,MATCH($B23,元データ_加工!$C$1:$P$1,0)),元データ_加工!$A$2:$A$700,$A23,元データ_加工!$B$2:$B$700,H$5)</f>
        <v>4</v>
      </c>
      <c r="I23" s="26">
        <f>SUMIFS(INDEX(元データ_加工!$C$2:$P$700,0,MATCH($B23,元データ_加工!$C$1:$P$1,0)),元データ_加工!$A$2:$A$700,$A23,元データ_加工!$B$2:$B$700,I$5)</f>
        <v>5</v>
      </c>
      <c r="J23" s="26">
        <f>SUMIFS(INDEX(元データ_加工!$C$2:$P$700,0,MATCH($B23,元データ_加工!$C$1:$P$1,0)),元データ_加工!$A$2:$A$700,$A23,元データ_加工!$B$2:$B$700,J$5)</f>
        <v>0</v>
      </c>
      <c r="K23" s="26">
        <f>SUMIFS(INDEX(元データ_加工!$C$2:$P$700,0,MATCH($B23,元データ_加工!$C$1:$P$1,0)),元データ_加工!$A$2:$A$700,$A23,元データ_加工!$B$2:$B$700,K$5)</f>
        <v>0</v>
      </c>
      <c r="L23" s="26">
        <f>SUMIFS(INDEX(元データ_加工!$C$2:$P$700,0,MATCH($B23,元データ_加工!$C$1:$P$1,0)),元データ_加工!$A$2:$A$700,$A23,元データ_加工!$B$2:$B$700,L$5)</f>
        <v>2</v>
      </c>
      <c r="M23" s="26">
        <f>SUMIFS(INDEX(元データ_加工!$C$2:$P$700,0,MATCH($B23,元データ_加工!$C$1:$P$1,0)),元データ_加工!$A$2:$A$700,$A23,元データ_加工!$B$2:$B$700,M$5)</f>
        <v>0</v>
      </c>
      <c r="N23" s="26">
        <f>SUMIFS(INDEX(元データ_加工!$C$2:$P$700,0,MATCH($B23,元データ_加工!$C$1:$P$1,0)),元データ_加工!$A$2:$A$700,$A23,元データ_加工!$B$2:$B$700,N$5)</f>
        <v>0</v>
      </c>
      <c r="O23" s="26">
        <f t="shared" si="0"/>
        <v>29</v>
      </c>
      <c r="P23" s="7">
        <f>IFERROR(O23/SUMIFS(元データ_加工!$C$2:$C$700,元データ_加工!$A$2:$A$700,$A23),"")</f>
        <v>1.0996928444124228E-3</v>
      </c>
    </row>
    <row r="24" spans="1:16" x14ac:dyDescent="0.45">
      <c r="A24" t="s">
        <v>36</v>
      </c>
      <c r="B24" t="s">
        <v>104</v>
      </c>
      <c r="C24" s="26">
        <f>SUMIFS(INDEX(元データ_加工!$C$2:$P$700,0,MATCH($B24,元データ_加工!$C$1:$P$1,0)),元データ_加工!$A$2:$A$700,$A24,元データ_加工!$B$2:$B$700,C$5)</f>
        <v>25</v>
      </c>
      <c r="D24" s="26">
        <f>SUMIFS(INDEX(元データ_加工!$C$2:$P$700,0,MATCH($B24,元データ_加工!$C$1:$P$1,0)),元データ_加工!$A$2:$A$700,$A24,元データ_加工!$B$2:$B$700,D$5)</f>
        <v>29</v>
      </c>
      <c r="E24" s="26">
        <f>SUMIFS(INDEX(元データ_加工!$C$2:$P$700,0,MATCH($B24,元データ_加工!$C$1:$P$1,0)),元データ_加工!$A$2:$A$700,$A24,元データ_加工!$B$2:$B$700,E$5)</f>
        <v>38</v>
      </c>
      <c r="F24" s="26">
        <f>SUMIFS(INDEX(元データ_加工!$C$2:$P$700,0,MATCH($B24,元データ_加工!$C$1:$P$1,0)),元データ_加工!$A$2:$A$700,$A24,元データ_加工!$B$2:$B$700,F$5)</f>
        <v>31</v>
      </c>
      <c r="G24" s="26">
        <f>SUMIFS(INDEX(元データ_加工!$C$2:$P$700,0,MATCH($B24,元データ_加工!$C$1:$P$1,0)),元データ_加工!$A$2:$A$700,$A24,元データ_加工!$B$2:$B$700,G$5)</f>
        <v>67</v>
      </c>
      <c r="H24" s="26">
        <f>SUMIFS(INDEX(元データ_加工!$C$2:$P$700,0,MATCH($B24,元データ_加工!$C$1:$P$1,0)),元データ_加工!$A$2:$A$700,$A24,元データ_加工!$B$2:$B$700,H$5)</f>
        <v>16</v>
      </c>
      <c r="I24" s="26">
        <f>SUMIFS(INDEX(元データ_加工!$C$2:$P$700,0,MATCH($B24,元データ_加工!$C$1:$P$1,0)),元データ_加工!$A$2:$A$700,$A24,元データ_加工!$B$2:$B$700,I$5)</f>
        <v>44</v>
      </c>
      <c r="J24" s="26">
        <f>SUMIFS(INDEX(元データ_加工!$C$2:$P$700,0,MATCH($B24,元データ_加工!$C$1:$P$1,0)),元データ_加工!$A$2:$A$700,$A24,元データ_加工!$B$2:$B$700,J$5)</f>
        <v>149</v>
      </c>
      <c r="K24" s="26">
        <f>SUMIFS(INDEX(元データ_加工!$C$2:$P$700,0,MATCH($B24,元データ_加工!$C$1:$P$1,0)),元データ_加工!$A$2:$A$700,$A24,元データ_加工!$B$2:$B$700,K$5)</f>
        <v>156</v>
      </c>
      <c r="L24" s="26">
        <f>SUMIFS(INDEX(元データ_加工!$C$2:$P$700,0,MATCH($B24,元データ_加工!$C$1:$P$1,0)),元データ_加工!$A$2:$A$700,$A24,元データ_加工!$B$2:$B$700,L$5)</f>
        <v>73</v>
      </c>
      <c r="M24" s="26">
        <f>SUMIFS(INDEX(元データ_加工!$C$2:$P$700,0,MATCH($B24,元データ_加工!$C$1:$P$1,0)),元データ_加工!$A$2:$A$700,$A24,元データ_加工!$B$2:$B$700,M$5)</f>
        <v>76</v>
      </c>
      <c r="N24" s="26">
        <f>SUMIFS(INDEX(元データ_加工!$C$2:$P$700,0,MATCH($B24,元データ_加工!$C$1:$P$1,0)),元データ_加工!$A$2:$A$700,$A24,元データ_加工!$B$2:$B$700,N$5)</f>
        <v>63</v>
      </c>
      <c r="O24" s="26">
        <f t="shared" si="0"/>
        <v>767</v>
      </c>
      <c r="P24" s="7">
        <f>IFERROR(O24/SUMIFS(元データ_加工!$C$2:$C$700,元データ_加工!$A$2:$A$700,$A24),"")</f>
        <v>2.9084979712563044E-2</v>
      </c>
    </row>
    <row r="25" spans="1:16" x14ac:dyDescent="0.45">
      <c r="A25" t="s">
        <v>36</v>
      </c>
      <c r="B25" t="s">
        <v>105</v>
      </c>
      <c r="C25" s="26">
        <f>SUMIFS(INDEX(元データ_加工!$C$2:$P$700,0,MATCH($B25,元データ_加工!$C$1:$P$1,0)),元データ_加工!$A$2:$A$700,$A25,元データ_加工!$B$2:$B$700,C$5)</f>
        <v>5</v>
      </c>
      <c r="D25" s="26">
        <f>SUMIFS(INDEX(元データ_加工!$C$2:$P$700,0,MATCH($B25,元データ_加工!$C$1:$P$1,0)),元データ_加工!$A$2:$A$700,$A25,元データ_加工!$B$2:$B$700,D$5)</f>
        <v>12</v>
      </c>
      <c r="E25" s="26">
        <f>SUMIFS(INDEX(元データ_加工!$C$2:$P$700,0,MATCH($B25,元データ_加工!$C$1:$P$1,0)),元データ_加工!$A$2:$A$700,$A25,元データ_加工!$B$2:$B$700,E$5)</f>
        <v>23</v>
      </c>
      <c r="F25" s="26">
        <f>SUMIFS(INDEX(元データ_加工!$C$2:$P$700,0,MATCH($B25,元データ_加工!$C$1:$P$1,0)),元データ_加工!$A$2:$A$700,$A25,元データ_加工!$B$2:$B$700,F$5)</f>
        <v>24</v>
      </c>
      <c r="G25" s="26">
        <f>SUMIFS(INDEX(元データ_加工!$C$2:$P$700,0,MATCH($B25,元データ_加工!$C$1:$P$1,0)),元データ_加工!$A$2:$A$700,$A25,元データ_加工!$B$2:$B$700,G$5)</f>
        <v>11</v>
      </c>
      <c r="H25" s="26">
        <f>SUMIFS(INDEX(元データ_加工!$C$2:$P$700,0,MATCH($B25,元データ_加工!$C$1:$P$1,0)),元データ_加工!$A$2:$A$700,$A25,元データ_加工!$B$2:$B$700,H$5)</f>
        <v>15</v>
      </c>
      <c r="I25" s="26">
        <f>SUMIFS(INDEX(元データ_加工!$C$2:$P$700,0,MATCH($B25,元データ_加工!$C$1:$P$1,0)),元データ_加工!$A$2:$A$700,$A25,元データ_加工!$B$2:$B$700,I$5)</f>
        <v>17</v>
      </c>
      <c r="J25" s="26">
        <f>SUMIFS(INDEX(元データ_加工!$C$2:$P$700,0,MATCH($B25,元データ_加工!$C$1:$P$1,0)),元データ_加工!$A$2:$A$700,$A25,元データ_加工!$B$2:$B$700,J$5)</f>
        <v>56</v>
      </c>
      <c r="K25" s="26">
        <f>SUMIFS(INDEX(元データ_加工!$C$2:$P$700,0,MATCH($B25,元データ_加工!$C$1:$P$1,0)),元データ_加工!$A$2:$A$700,$A25,元データ_加工!$B$2:$B$700,K$5)</f>
        <v>97</v>
      </c>
      <c r="L25" s="26">
        <f>SUMIFS(INDEX(元データ_加工!$C$2:$P$700,0,MATCH($B25,元データ_加工!$C$1:$P$1,0)),元データ_加工!$A$2:$A$700,$A25,元データ_加工!$B$2:$B$700,L$5)</f>
        <v>71</v>
      </c>
      <c r="M25" s="26">
        <f>SUMIFS(INDEX(元データ_加工!$C$2:$P$700,0,MATCH($B25,元データ_加工!$C$1:$P$1,0)),元データ_加工!$A$2:$A$700,$A25,元データ_加工!$B$2:$B$700,M$5)</f>
        <v>13</v>
      </c>
      <c r="N25" s="26">
        <f>SUMIFS(INDEX(元データ_加工!$C$2:$P$700,0,MATCH($B25,元データ_加工!$C$1:$P$1,0)),元データ_加工!$A$2:$A$700,$A25,元データ_加工!$B$2:$B$700,N$5)</f>
        <v>17</v>
      </c>
      <c r="O25" s="26">
        <f t="shared" si="0"/>
        <v>361</v>
      </c>
      <c r="P25" s="7">
        <f>IFERROR(O25/SUMIFS(元データ_加工!$C$2:$C$700,元データ_加工!$A$2:$A$700,$A25),"")</f>
        <v>1.3689279890789125E-2</v>
      </c>
    </row>
    <row r="26" spans="1:16" x14ac:dyDescent="0.45">
      <c r="A26" t="s">
        <v>36</v>
      </c>
      <c r="B26" t="s">
        <v>106</v>
      </c>
      <c r="C26" s="26">
        <f>SUMIFS(INDEX(元データ_加工!$C$2:$P$700,0,MATCH($B26,元データ_加工!$C$1:$P$1,0)),元データ_加工!$A$2:$A$700,$A26,元データ_加工!$B$2:$B$700,C$5)</f>
        <v>206</v>
      </c>
      <c r="D26" s="26">
        <f>SUMIFS(INDEX(元データ_加工!$C$2:$P$700,0,MATCH($B26,元データ_加工!$C$1:$P$1,0)),元データ_加工!$A$2:$A$700,$A26,元データ_加工!$B$2:$B$700,D$5)</f>
        <v>187</v>
      </c>
      <c r="E26" s="26">
        <f>SUMIFS(INDEX(元データ_加工!$C$2:$P$700,0,MATCH($B26,元データ_加工!$C$1:$P$1,0)),元データ_加工!$A$2:$A$700,$A26,元データ_加工!$B$2:$B$700,E$5)</f>
        <v>204</v>
      </c>
      <c r="F26" s="26">
        <f>SUMIFS(INDEX(元データ_加工!$C$2:$P$700,0,MATCH($B26,元データ_加工!$C$1:$P$1,0)),元データ_加工!$A$2:$A$700,$A26,元データ_加工!$B$2:$B$700,F$5)</f>
        <v>154</v>
      </c>
      <c r="G26" s="26">
        <f>SUMIFS(INDEX(元データ_加工!$C$2:$P$700,0,MATCH($B26,元データ_加工!$C$1:$P$1,0)),元データ_加工!$A$2:$A$700,$A26,元データ_加工!$B$2:$B$700,G$5)</f>
        <v>183</v>
      </c>
      <c r="H26" s="26">
        <f>SUMIFS(INDEX(元データ_加工!$C$2:$P$700,0,MATCH($B26,元データ_加工!$C$1:$P$1,0)),元データ_加工!$A$2:$A$700,$A26,元データ_加工!$B$2:$B$700,H$5)</f>
        <v>86</v>
      </c>
      <c r="I26" s="26">
        <f>SUMIFS(INDEX(元データ_加工!$C$2:$P$700,0,MATCH($B26,元データ_加工!$C$1:$P$1,0)),元データ_加工!$A$2:$A$700,$A26,元データ_加工!$B$2:$B$700,I$5)</f>
        <v>65</v>
      </c>
      <c r="J26" s="26">
        <f>SUMIFS(INDEX(元データ_加工!$C$2:$P$700,0,MATCH($B26,元データ_加工!$C$1:$P$1,0)),元データ_加工!$A$2:$A$700,$A26,元データ_加工!$B$2:$B$700,J$5)</f>
        <v>185</v>
      </c>
      <c r="K26" s="26">
        <f>SUMIFS(INDEX(元データ_加工!$C$2:$P$700,0,MATCH($B26,元データ_加工!$C$1:$P$1,0)),元データ_加工!$A$2:$A$700,$A26,元データ_加工!$B$2:$B$700,K$5)</f>
        <v>190</v>
      </c>
      <c r="L26" s="26">
        <f>SUMIFS(INDEX(元データ_加工!$C$2:$P$700,0,MATCH($B26,元データ_加工!$C$1:$P$1,0)),元データ_加工!$A$2:$A$700,$A26,元データ_加工!$B$2:$B$700,L$5)</f>
        <v>192</v>
      </c>
      <c r="M26" s="26">
        <f>SUMIFS(INDEX(元データ_加工!$C$2:$P$700,0,MATCH($B26,元データ_加工!$C$1:$P$1,0)),元データ_加工!$A$2:$A$700,$A26,元データ_加工!$B$2:$B$700,M$5)</f>
        <v>262</v>
      </c>
      <c r="N26" s="26">
        <f>SUMIFS(INDEX(元データ_加工!$C$2:$P$700,0,MATCH($B26,元データ_加工!$C$1:$P$1,0)),元データ_加工!$A$2:$A$700,$A26,元データ_加工!$B$2:$B$700,N$5)</f>
        <v>204</v>
      </c>
      <c r="O26" s="26">
        <f t="shared" si="0"/>
        <v>2118</v>
      </c>
      <c r="P26" s="7">
        <f>IFERROR(O26/SUMIFS(元データ_加工!$C$2:$C$700,元データ_加工!$A$2:$A$700,$A26),"")</f>
        <v>8.0315498085017631E-2</v>
      </c>
    </row>
    <row r="27" spans="1:16" x14ac:dyDescent="0.45">
      <c r="A27" t="s">
        <v>36</v>
      </c>
      <c r="B27" t="s">
        <v>107</v>
      </c>
      <c r="C27" s="26">
        <f>SUMIFS(INDEX(元データ_加工!$C$2:$P$700,0,MATCH($B27,元データ_加工!$C$1:$P$1,0)),元データ_加工!$A$2:$A$700,$A27,元データ_加工!$B$2:$B$700,C$5)</f>
        <v>80</v>
      </c>
      <c r="D27" s="26">
        <f>SUMIFS(INDEX(元データ_加工!$C$2:$P$700,0,MATCH($B27,元データ_加工!$C$1:$P$1,0)),元データ_加工!$A$2:$A$700,$A27,元データ_加工!$B$2:$B$700,D$5)</f>
        <v>68</v>
      </c>
      <c r="E27" s="26">
        <f>SUMIFS(INDEX(元データ_加工!$C$2:$P$700,0,MATCH($B27,元データ_加工!$C$1:$P$1,0)),元データ_加工!$A$2:$A$700,$A27,元データ_加工!$B$2:$B$700,E$5)</f>
        <v>71</v>
      </c>
      <c r="F27" s="26">
        <f>SUMIFS(INDEX(元データ_加工!$C$2:$P$700,0,MATCH($B27,元データ_加工!$C$1:$P$1,0)),元データ_加工!$A$2:$A$700,$A27,元データ_加工!$B$2:$B$700,F$5)</f>
        <v>54</v>
      </c>
      <c r="G27" s="26">
        <f>SUMIFS(INDEX(元データ_加工!$C$2:$P$700,0,MATCH($B27,元データ_加工!$C$1:$P$1,0)),元データ_加工!$A$2:$A$700,$A27,元データ_加工!$B$2:$B$700,G$5)</f>
        <v>47</v>
      </c>
      <c r="H27" s="26">
        <f>SUMIFS(INDEX(元データ_加工!$C$2:$P$700,0,MATCH($B27,元データ_加工!$C$1:$P$1,0)),元データ_加工!$A$2:$A$700,$A27,元データ_加工!$B$2:$B$700,H$5)</f>
        <v>14</v>
      </c>
      <c r="I27" s="26">
        <f>SUMIFS(INDEX(元データ_加工!$C$2:$P$700,0,MATCH($B27,元データ_加工!$C$1:$P$1,0)),元データ_加工!$A$2:$A$700,$A27,元データ_加工!$B$2:$B$700,I$5)</f>
        <v>19</v>
      </c>
      <c r="J27" s="26">
        <f>SUMIFS(INDEX(元データ_加工!$C$2:$P$700,0,MATCH($B27,元データ_加工!$C$1:$P$1,0)),元データ_加工!$A$2:$A$700,$A27,元データ_加工!$B$2:$B$700,J$5)</f>
        <v>45</v>
      </c>
      <c r="K27" s="26">
        <f>SUMIFS(INDEX(元データ_加工!$C$2:$P$700,0,MATCH($B27,元データ_加工!$C$1:$P$1,0)),元データ_加工!$A$2:$A$700,$A27,元データ_加工!$B$2:$B$700,K$5)</f>
        <v>15</v>
      </c>
      <c r="L27" s="26">
        <f>SUMIFS(INDEX(元データ_加工!$C$2:$P$700,0,MATCH($B27,元データ_加工!$C$1:$P$1,0)),元データ_加工!$A$2:$A$700,$A27,元データ_加工!$B$2:$B$700,L$5)</f>
        <v>37</v>
      </c>
      <c r="M27" s="26">
        <f>SUMIFS(INDEX(元データ_加工!$C$2:$P$700,0,MATCH($B27,元データ_加工!$C$1:$P$1,0)),元データ_加工!$A$2:$A$700,$A27,元データ_加工!$B$2:$B$700,M$5)</f>
        <v>26</v>
      </c>
      <c r="N27" s="26">
        <f>SUMIFS(INDEX(元データ_加工!$C$2:$P$700,0,MATCH($B27,元データ_加工!$C$1:$P$1,0)),元データ_加工!$A$2:$A$700,$A27,元データ_加工!$B$2:$B$700,N$5)</f>
        <v>61</v>
      </c>
      <c r="O27" s="26">
        <f t="shared" si="0"/>
        <v>537</v>
      </c>
      <c r="P27" s="7">
        <f>IFERROR(O27/SUMIFS(元データ_加工!$C$2:$C$700,元データ_加工!$A$2:$A$700,$A27),"")</f>
        <v>2.0363277843085208E-2</v>
      </c>
    </row>
    <row r="28" spans="1:16" x14ac:dyDescent="0.45">
      <c r="A28" t="s">
        <v>36</v>
      </c>
      <c r="B28" t="s">
        <v>108</v>
      </c>
      <c r="C28" s="26">
        <f>SUMIFS(INDEX(元データ_加工!$C$2:$P$700,0,MATCH($B28,元データ_加工!$C$1:$P$1,0)),元データ_加工!$A$2:$A$700,$A28,元データ_加工!$B$2:$B$700,C$5)</f>
        <v>1</v>
      </c>
      <c r="D28" s="26">
        <f>SUMIFS(INDEX(元データ_加工!$C$2:$P$700,0,MATCH($B28,元データ_加工!$C$1:$P$1,0)),元データ_加工!$A$2:$A$700,$A28,元データ_加工!$B$2:$B$700,D$5)</f>
        <v>24</v>
      </c>
      <c r="E28" s="26">
        <f>SUMIFS(INDEX(元データ_加工!$C$2:$P$700,0,MATCH($B28,元データ_加工!$C$1:$P$1,0)),元データ_加工!$A$2:$A$700,$A28,元データ_加工!$B$2:$B$700,E$5)</f>
        <v>39</v>
      </c>
      <c r="F28" s="26">
        <f>SUMIFS(INDEX(元データ_加工!$C$2:$P$700,0,MATCH($B28,元データ_加工!$C$1:$P$1,0)),元データ_加工!$A$2:$A$700,$A28,元データ_加工!$B$2:$B$700,F$5)</f>
        <v>12</v>
      </c>
      <c r="G28" s="26">
        <f>SUMIFS(INDEX(元データ_加工!$C$2:$P$700,0,MATCH($B28,元データ_加工!$C$1:$P$1,0)),元データ_加工!$A$2:$A$700,$A28,元データ_加工!$B$2:$B$700,G$5)</f>
        <v>27</v>
      </c>
      <c r="H28" s="26">
        <f>SUMIFS(INDEX(元データ_加工!$C$2:$P$700,0,MATCH($B28,元データ_加工!$C$1:$P$1,0)),元データ_加工!$A$2:$A$700,$A28,元データ_加工!$B$2:$B$700,H$5)</f>
        <v>3</v>
      </c>
      <c r="I28" s="26">
        <f>SUMIFS(INDEX(元データ_加工!$C$2:$P$700,0,MATCH($B28,元データ_加工!$C$1:$P$1,0)),元データ_加工!$A$2:$A$700,$A28,元データ_加工!$B$2:$B$700,I$5)</f>
        <v>4</v>
      </c>
      <c r="J28" s="26">
        <f>SUMIFS(INDEX(元データ_加工!$C$2:$P$700,0,MATCH($B28,元データ_加工!$C$1:$P$1,0)),元データ_加工!$A$2:$A$700,$A28,元データ_加工!$B$2:$B$700,J$5)</f>
        <v>4</v>
      </c>
      <c r="K28" s="26">
        <f>SUMIFS(INDEX(元データ_加工!$C$2:$P$700,0,MATCH($B28,元データ_加工!$C$1:$P$1,0)),元データ_加工!$A$2:$A$700,$A28,元データ_加工!$B$2:$B$700,K$5)</f>
        <v>3</v>
      </c>
      <c r="L28" s="26">
        <f>SUMIFS(INDEX(元データ_加工!$C$2:$P$700,0,MATCH($B28,元データ_加工!$C$1:$P$1,0)),元データ_加工!$A$2:$A$700,$A28,元データ_加工!$B$2:$B$700,L$5)</f>
        <v>0</v>
      </c>
      <c r="M28" s="26">
        <f>SUMIFS(INDEX(元データ_加工!$C$2:$P$700,0,MATCH($B28,元データ_加工!$C$1:$P$1,0)),元データ_加工!$A$2:$A$700,$A28,元データ_加工!$B$2:$B$700,M$5)</f>
        <v>4</v>
      </c>
      <c r="N28" s="26">
        <f>SUMIFS(INDEX(元データ_加工!$C$2:$P$700,0,MATCH($B28,元データ_加工!$C$1:$P$1,0)),元データ_加工!$A$2:$A$700,$A28,元データ_加工!$B$2:$B$700,N$5)</f>
        <v>0</v>
      </c>
      <c r="O28" s="26">
        <f t="shared" si="0"/>
        <v>121</v>
      </c>
      <c r="P28" s="7">
        <f>IFERROR(O28/SUMIFS(元データ_加工!$C$2:$C$700,元データ_加工!$A$2:$A$700,$A28),"")</f>
        <v>4.5883735922035568E-3</v>
      </c>
    </row>
    <row r="29" spans="1:16" x14ac:dyDescent="0.45">
      <c r="A29" t="s">
        <v>36</v>
      </c>
      <c r="B29" t="s">
        <v>109</v>
      </c>
      <c r="C29" s="26">
        <f>SUMIFS(INDEX(元データ_加工!$C$2:$P$700,0,MATCH($B29,元データ_加工!$C$1:$P$1,0)),元データ_加工!$A$2:$A$700,$A29,元データ_加工!$B$2:$B$700,C$5)</f>
        <v>35</v>
      </c>
      <c r="D29" s="26">
        <f>SUMIFS(INDEX(元データ_加工!$C$2:$P$700,0,MATCH($B29,元データ_加工!$C$1:$P$1,0)),元データ_加工!$A$2:$A$700,$A29,元データ_加工!$B$2:$B$700,D$5)</f>
        <v>35</v>
      </c>
      <c r="E29" s="26">
        <f>SUMIFS(INDEX(元データ_加工!$C$2:$P$700,0,MATCH($B29,元データ_加工!$C$1:$P$1,0)),元データ_加工!$A$2:$A$700,$A29,元データ_加工!$B$2:$B$700,E$5)</f>
        <v>45</v>
      </c>
      <c r="F29" s="26">
        <f>SUMIFS(INDEX(元データ_加工!$C$2:$P$700,0,MATCH($B29,元データ_加工!$C$1:$P$1,0)),元データ_加工!$A$2:$A$700,$A29,元データ_加工!$B$2:$B$700,F$5)</f>
        <v>40</v>
      </c>
      <c r="G29" s="26">
        <f>SUMIFS(INDEX(元データ_加工!$C$2:$P$700,0,MATCH($B29,元データ_加工!$C$1:$P$1,0)),元データ_加工!$A$2:$A$700,$A29,元データ_加工!$B$2:$B$700,G$5)</f>
        <v>36</v>
      </c>
      <c r="H29" s="26">
        <f>SUMIFS(INDEX(元データ_加工!$C$2:$P$700,0,MATCH($B29,元データ_加工!$C$1:$P$1,0)),元データ_加工!$A$2:$A$700,$A29,元データ_加工!$B$2:$B$700,H$5)</f>
        <v>27</v>
      </c>
      <c r="I29" s="26">
        <f>SUMIFS(INDEX(元データ_加工!$C$2:$P$700,0,MATCH($B29,元データ_加工!$C$1:$P$1,0)),元データ_加工!$A$2:$A$700,$A29,元データ_加工!$B$2:$B$700,I$5)</f>
        <v>37</v>
      </c>
      <c r="J29" s="26">
        <f>SUMIFS(INDEX(元データ_加工!$C$2:$P$700,0,MATCH($B29,元データ_加工!$C$1:$P$1,0)),元データ_加工!$A$2:$A$700,$A29,元データ_加工!$B$2:$B$700,J$5)</f>
        <v>27</v>
      </c>
      <c r="K29" s="26">
        <f>SUMIFS(INDEX(元データ_加工!$C$2:$P$700,0,MATCH($B29,元データ_加工!$C$1:$P$1,0)),元データ_加工!$A$2:$A$700,$A29,元データ_加工!$B$2:$B$700,K$5)</f>
        <v>35</v>
      </c>
      <c r="L29" s="26">
        <f>SUMIFS(INDEX(元データ_加工!$C$2:$P$700,0,MATCH($B29,元データ_加工!$C$1:$P$1,0)),元データ_加工!$A$2:$A$700,$A29,元データ_加工!$B$2:$B$700,L$5)</f>
        <v>21</v>
      </c>
      <c r="M29" s="26">
        <f>SUMIFS(INDEX(元データ_加工!$C$2:$P$700,0,MATCH($B29,元データ_加工!$C$1:$P$1,0)),元データ_加工!$A$2:$A$700,$A29,元データ_加工!$B$2:$B$700,M$5)</f>
        <v>40</v>
      </c>
      <c r="N29" s="26">
        <f>SUMIFS(INDEX(元データ_加工!$C$2:$P$700,0,MATCH($B29,元データ_加工!$C$1:$P$1,0)),元データ_加工!$A$2:$A$700,$A29,元データ_加工!$B$2:$B$700,N$5)</f>
        <v>2</v>
      </c>
      <c r="O29" s="26">
        <f t="shared" si="0"/>
        <v>380</v>
      </c>
      <c r="P29" s="7">
        <f>IFERROR(O29/SUMIFS(元データ_加工!$C$2:$C$700,元データ_加工!$A$2:$A$700,$A29),"")</f>
        <v>1.4409768306093815E-2</v>
      </c>
    </row>
    <row r="30" spans="1:16" x14ac:dyDescent="0.45">
      <c r="A30" t="s">
        <v>36</v>
      </c>
      <c r="B30" t="s">
        <v>110</v>
      </c>
      <c r="C30" s="26">
        <f>SUMIFS(INDEX(元データ_加工!$C$2:$P$700,0,MATCH($B30,元データ_加工!$C$1:$P$1,0)),元データ_加工!$A$2:$A$700,$A30,元データ_加工!$B$2:$B$700,C$5)</f>
        <v>0</v>
      </c>
      <c r="D30" s="26">
        <f>SUMIFS(INDEX(元データ_加工!$C$2:$P$700,0,MATCH($B30,元データ_加工!$C$1:$P$1,0)),元データ_加工!$A$2:$A$700,$A30,元データ_加工!$B$2:$B$700,D$5)</f>
        <v>0</v>
      </c>
      <c r="E30" s="26">
        <f>SUMIFS(INDEX(元データ_加工!$C$2:$P$700,0,MATCH($B30,元データ_加工!$C$1:$P$1,0)),元データ_加工!$A$2:$A$700,$A30,元データ_加工!$B$2:$B$700,E$5)</f>
        <v>0</v>
      </c>
      <c r="F30" s="26">
        <f>SUMIFS(INDEX(元データ_加工!$C$2:$P$700,0,MATCH($B30,元データ_加工!$C$1:$P$1,0)),元データ_加工!$A$2:$A$700,$A30,元データ_加工!$B$2:$B$700,F$5)</f>
        <v>0</v>
      </c>
      <c r="G30" s="26">
        <f>SUMIFS(INDEX(元データ_加工!$C$2:$P$700,0,MATCH($B30,元データ_加工!$C$1:$P$1,0)),元データ_加工!$A$2:$A$700,$A30,元データ_加工!$B$2:$B$700,G$5)</f>
        <v>0</v>
      </c>
      <c r="H30" s="26">
        <f>SUMIFS(INDEX(元データ_加工!$C$2:$P$700,0,MATCH($B30,元データ_加工!$C$1:$P$1,0)),元データ_加工!$A$2:$A$700,$A30,元データ_加工!$B$2:$B$700,H$5)</f>
        <v>0</v>
      </c>
      <c r="I30" s="26">
        <f>SUMIFS(INDEX(元データ_加工!$C$2:$P$700,0,MATCH($B30,元データ_加工!$C$1:$P$1,0)),元データ_加工!$A$2:$A$700,$A30,元データ_加工!$B$2:$B$700,I$5)</f>
        <v>0</v>
      </c>
      <c r="J30" s="26">
        <f>SUMIFS(INDEX(元データ_加工!$C$2:$P$700,0,MATCH($B30,元データ_加工!$C$1:$P$1,0)),元データ_加工!$A$2:$A$700,$A30,元データ_加工!$B$2:$B$700,J$5)</f>
        <v>0</v>
      </c>
      <c r="K30" s="26">
        <f>SUMIFS(INDEX(元データ_加工!$C$2:$P$700,0,MATCH($B30,元データ_加工!$C$1:$P$1,0)),元データ_加工!$A$2:$A$700,$A30,元データ_加工!$B$2:$B$700,K$5)</f>
        <v>0</v>
      </c>
      <c r="L30" s="26">
        <f>SUMIFS(INDEX(元データ_加工!$C$2:$P$700,0,MATCH($B30,元データ_加工!$C$1:$P$1,0)),元データ_加工!$A$2:$A$700,$A30,元データ_加工!$B$2:$B$700,L$5)</f>
        <v>0</v>
      </c>
      <c r="M30" s="26">
        <f>SUMIFS(INDEX(元データ_加工!$C$2:$P$700,0,MATCH($B30,元データ_加工!$C$1:$P$1,0)),元データ_加工!$A$2:$A$700,$A30,元データ_加工!$B$2:$B$700,M$5)</f>
        <v>0</v>
      </c>
      <c r="N30" s="26">
        <f>SUMIFS(INDEX(元データ_加工!$C$2:$P$700,0,MATCH($B30,元データ_加工!$C$1:$P$1,0)),元データ_加工!$A$2:$A$700,$A30,元データ_加工!$B$2:$B$700,N$5)</f>
        <v>0</v>
      </c>
      <c r="O30" s="26">
        <f t="shared" si="0"/>
        <v>0</v>
      </c>
      <c r="P30" s="7">
        <f>IFERROR(O30/SUMIFS(元データ_加工!$C$2:$C$700,元データ_加工!$A$2:$A$700,$A30),"")</f>
        <v>0</v>
      </c>
    </row>
    <row r="31" spans="1:16" x14ac:dyDescent="0.45">
      <c r="A31" t="s">
        <v>36</v>
      </c>
      <c r="B31" t="s">
        <v>111</v>
      </c>
      <c r="C31" s="26">
        <f>SUMIFS(INDEX(元データ_加工!$C$2:$P$700,0,MATCH($B31,元データ_加工!$C$1:$P$1,0)),元データ_加工!$A$2:$A$700,$A31,元データ_加工!$B$2:$B$700,C$5)</f>
        <v>0</v>
      </c>
      <c r="D31" s="26">
        <f>SUMIFS(INDEX(元データ_加工!$C$2:$P$700,0,MATCH($B31,元データ_加工!$C$1:$P$1,0)),元データ_加工!$A$2:$A$700,$A31,元データ_加工!$B$2:$B$700,D$5)</f>
        <v>0</v>
      </c>
      <c r="E31" s="26">
        <f>SUMIFS(INDEX(元データ_加工!$C$2:$P$700,0,MATCH($B31,元データ_加工!$C$1:$P$1,0)),元データ_加工!$A$2:$A$700,$A31,元データ_加工!$B$2:$B$700,E$5)</f>
        <v>0</v>
      </c>
      <c r="F31" s="26">
        <f>SUMIFS(INDEX(元データ_加工!$C$2:$P$700,0,MATCH($B31,元データ_加工!$C$1:$P$1,0)),元データ_加工!$A$2:$A$700,$A31,元データ_加工!$B$2:$B$700,F$5)</f>
        <v>1</v>
      </c>
      <c r="G31" s="26">
        <f>SUMIFS(INDEX(元データ_加工!$C$2:$P$700,0,MATCH($B31,元データ_加工!$C$1:$P$1,0)),元データ_加工!$A$2:$A$700,$A31,元データ_加工!$B$2:$B$700,G$5)</f>
        <v>0</v>
      </c>
      <c r="H31" s="26">
        <f>SUMIFS(INDEX(元データ_加工!$C$2:$P$700,0,MATCH($B31,元データ_加工!$C$1:$P$1,0)),元データ_加工!$A$2:$A$700,$A31,元データ_加工!$B$2:$B$700,H$5)</f>
        <v>0</v>
      </c>
      <c r="I31" s="26">
        <f>SUMIFS(INDEX(元データ_加工!$C$2:$P$700,0,MATCH($B31,元データ_加工!$C$1:$P$1,0)),元データ_加工!$A$2:$A$700,$A31,元データ_加工!$B$2:$B$700,I$5)</f>
        <v>0</v>
      </c>
      <c r="J31" s="26">
        <f>SUMIFS(INDEX(元データ_加工!$C$2:$P$700,0,MATCH($B31,元データ_加工!$C$1:$P$1,0)),元データ_加工!$A$2:$A$700,$A31,元データ_加工!$B$2:$B$700,J$5)</f>
        <v>0</v>
      </c>
      <c r="K31" s="26">
        <f>SUMIFS(INDEX(元データ_加工!$C$2:$P$700,0,MATCH($B31,元データ_加工!$C$1:$P$1,0)),元データ_加工!$A$2:$A$700,$A31,元データ_加工!$B$2:$B$700,K$5)</f>
        <v>1</v>
      </c>
      <c r="L31" s="26">
        <f>SUMIFS(INDEX(元データ_加工!$C$2:$P$700,0,MATCH($B31,元データ_加工!$C$1:$P$1,0)),元データ_加工!$A$2:$A$700,$A31,元データ_加工!$B$2:$B$700,L$5)</f>
        <v>2</v>
      </c>
      <c r="M31" s="26">
        <f>SUMIFS(INDEX(元データ_加工!$C$2:$P$700,0,MATCH($B31,元データ_加工!$C$1:$P$1,0)),元データ_加工!$A$2:$A$700,$A31,元データ_加工!$B$2:$B$700,M$5)</f>
        <v>0</v>
      </c>
      <c r="N31" s="26">
        <f>SUMIFS(INDEX(元データ_加工!$C$2:$P$700,0,MATCH($B31,元データ_加工!$C$1:$P$1,0)),元データ_加工!$A$2:$A$700,$A31,元データ_加工!$B$2:$B$700,N$5)</f>
        <v>0</v>
      </c>
      <c r="O31" s="26">
        <f t="shared" si="0"/>
        <v>4</v>
      </c>
      <c r="P31" s="7">
        <f>IFERROR(O31/SUMIFS(元データ_加工!$C$2:$C$700,元データ_加工!$A$2:$A$700,$A31),"")</f>
        <v>1.5168177164309279E-4</v>
      </c>
    </row>
    <row r="32" spans="1:16" x14ac:dyDescent="0.45">
      <c r="A32" t="s">
        <v>36</v>
      </c>
      <c r="B32" t="s">
        <v>112</v>
      </c>
      <c r="C32" s="26">
        <f>SUMIFS(INDEX(元データ_加工!$C$2:$P$700,0,MATCH($B32,元データ_加工!$C$1:$P$1,0)),元データ_加工!$A$2:$A$700,$A32,元データ_加工!$B$2:$B$700,C$5)</f>
        <v>0</v>
      </c>
      <c r="D32" s="26">
        <f>SUMIFS(INDEX(元データ_加工!$C$2:$P$700,0,MATCH($B32,元データ_加工!$C$1:$P$1,0)),元データ_加工!$A$2:$A$700,$A32,元データ_加工!$B$2:$B$700,D$5)</f>
        <v>0</v>
      </c>
      <c r="E32" s="26">
        <f>SUMIFS(INDEX(元データ_加工!$C$2:$P$700,0,MATCH($B32,元データ_加工!$C$1:$P$1,0)),元データ_加工!$A$2:$A$700,$A32,元データ_加工!$B$2:$B$700,E$5)</f>
        <v>0</v>
      </c>
      <c r="F32" s="26">
        <f>SUMIFS(INDEX(元データ_加工!$C$2:$P$700,0,MATCH($B32,元データ_加工!$C$1:$P$1,0)),元データ_加工!$A$2:$A$700,$A32,元データ_加工!$B$2:$B$700,F$5)</f>
        <v>1</v>
      </c>
      <c r="G32" s="26">
        <f>SUMIFS(INDEX(元データ_加工!$C$2:$P$700,0,MATCH($B32,元データ_加工!$C$1:$P$1,0)),元データ_加工!$A$2:$A$700,$A32,元データ_加工!$B$2:$B$700,G$5)</f>
        <v>0</v>
      </c>
      <c r="H32" s="26">
        <f>SUMIFS(INDEX(元データ_加工!$C$2:$P$700,0,MATCH($B32,元データ_加工!$C$1:$P$1,0)),元データ_加工!$A$2:$A$700,$A32,元データ_加工!$B$2:$B$700,H$5)</f>
        <v>0</v>
      </c>
      <c r="I32" s="26">
        <f>SUMIFS(INDEX(元データ_加工!$C$2:$P$700,0,MATCH($B32,元データ_加工!$C$1:$P$1,0)),元データ_加工!$A$2:$A$700,$A32,元データ_加工!$B$2:$B$700,I$5)</f>
        <v>0</v>
      </c>
      <c r="J32" s="26">
        <f>SUMIFS(INDEX(元データ_加工!$C$2:$P$700,0,MATCH($B32,元データ_加工!$C$1:$P$1,0)),元データ_加工!$A$2:$A$700,$A32,元データ_加工!$B$2:$B$700,J$5)</f>
        <v>1</v>
      </c>
      <c r="K32" s="26">
        <f>SUMIFS(INDEX(元データ_加工!$C$2:$P$700,0,MATCH($B32,元データ_加工!$C$1:$P$1,0)),元データ_加工!$A$2:$A$700,$A32,元データ_加工!$B$2:$B$700,K$5)</f>
        <v>7</v>
      </c>
      <c r="L32" s="26">
        <f>SUMIFS(INDEX(元データ_加工!$C$2:$P$700,0,MATCH($B32,元データ_加工!$C$1:$P$1,0)),元データ_加工!$A$2:$A$700,$A32,元データ_加工!$B$2:$B$700,L$5)</f>
        <v>0</v>
      </c>
      <c r="M32" s="26">
        <f>SUMIFS(INDEX(元データ_加工!$C$2:$P$700,0,MATCH($B32,元データ_加工!$C$1:$P$1,0)),元データ_加工!$A$2:$A$700,$A32,元データ_加工!$B$2:$B$700,M$5)</f>
        <v>0</v>
      </c>
      <c r="N32" s="26">
        <f>SUMIFS(INDEX(元データ_加工!$C$2:$P$700,0,MATCH($B32,元データ_加工!$C$1:$P$1,0)),元データ_加工!$A$2:$A$700,$A32,元データ_加工!$B$2:$B$700,N$5)</f>
        <v>0</v>
      </c>
      <c r="O32" s="26">
        <f t="shared" si="0"/>
        <v>9</v>
      </c>
      <c r="P32" s="7">
        <f>IFERROR(O32/SUMIFS(元データ_加工!$C$2:$C$700,元データ_加工!$A$2:$A$700,$A32),"")</f>
        <v>3.4128398619695879E-4</v>
      </c>
    </row>
    <row r="33" spans="1:16" x14ac:dyDescent="0.45">
      <c r="A33" t="s">
        <v>36</v>
      </c>
      <c r="B33" t="s">
        <v>113</v>
      </c>
      <c r="C33" s="26">
        <f>SUMIFS(INDEX(元データ_加工!$C$2:$P$700,0,MATCH($B33,元データ_加工!$C$1:$P$1,0)),元データ_加工!$A$2:$A$700,$A33,元データ_加工!$B$2:$B$700,C$5)</f>
        <v>0</v>
      </c>
      <c r="D33" s="26">
        <f>SUMIFS(INDEX(元データ_加工!$C$2:$P$700,0,MATCH($B33,元データ_加工!$C$1:$P$1,0)),元データ_加工!$A$2:$A$700,$A33,元データ_加工!$B$2:$B$700,D$5)</f>
        <v>0</v>
      </c>
      <c r="E33" s="26">
        <f>SUMIFS(INDEX(元データ_加工!$C$2:$P$700,0,MATCH($B33,元データ_加工!$C$1:$P$1,0)),元データ_加工!$A$2:$A$700,$A33,元データ_加工!$B$2:$B$700,E$5)</f>
        <v>0</v>
      </c>
      <c r="F33" s="26">
        <f>SUMIFS(INDEX(元データ_加工!$C$2:$P$700,0,MATCH($B33,元データ_加工!$C$1:$P$1,0)),元データ_加工!$A$2:$A$700,$A33,元データ_加工!$B$2:$B$700,F$5)</f>
        <v>8</v>
      </c>
      <c r="G33" s="26">
        <f>SUMIFS(INDEX(元データ_加工!$C$2:$P$700,0,MATCH($B33,元データ_加工!$C$1:$P$1,0)),元データ_加工!$A$2:$A$700,$A33,元データ_加工!$B$2:$B$700,G$5)</f>
        <v>2</v>
      </c>
      <c r="H33" s="26">
        <f>SUMIFS(INDEX(元データ_加工!$C$2:$P$700,0,MATCH($B33,元データ_加工!$C$1:$P$1,0)),元データ_加工!$A$2:$A$700,$A33,元データ_加工!$B$2:$B$700,H$5)</f>
        <v>1</v>
      </c>
      <c r="I33" s="26">
        <f>SUMIFS(INDEX(元データ_加工!$C$2:$P$700,0,MATCH($B33,元データ_加工!$C$1:$P$1,0)),元データ_加工!$A$2:$A$700,$A33,元データ_加工!$B$2:$B$700,I$5)</f>
        <v>3</v>
      </c>
      <c r="J33" s="26">
        <f>SUMIFS(INDEX(元データ_加工!$C$2:$P$700,0,MATCH($B33,元データ_加工!$C$1:$P$1,0)),元データ_加工!$A$2:$A$700,$A33,元データ_加工!$B$2:$B$700,J$5)</f>
        <v>9</v>
      </c>
      <c r="K33" s="26">
        <f>SUMIFS(INDEX(元データ_加工!$C$2:$P$700,0,MATCH($B33,元データ_加工!$C$1:$P$1,0)),元データ_加工!$A$2:$A$700,$A33,元データ_加工!$B$2:$B$700,K$5)</f>
        <v>6</v>
      </c>
      <c r="L33" s="26">
        <f>SUMIFS(INDEX(元データ_加工!$C$2:$P$700,0,MATCH($B33,元データ_加工!$C$1:$P$1,0)),元データ_加工!$A$2:$A$700,$A33,元データ_加工!$B$2:$B$700,L$5)</f>
        <v>1</v>
      </c>
      <c r="M33" s="26">
        <f>SUMIFS(INDEX(元データ_加工!$C$2:$P$700,0,MATCH($B33,元データ_加工!$C$1:$P$1,0)),元データ_加工!$A$2:$A$700,$A33,元データ_加工!$B$2:$B$700,M$5)</f>
        <v>7</v>
      </c>
      <c r="N33" s="26">
        <f>SUMIFS(INDEX(元データ_加工!$C$2:$P$700,0,MATCH($B33,元データ_加工!$C$1:$P$1,0)),元データ_加工!$A$2:$A$700,$A33,元データ_加工!$B$2:$B$700,N$5)</f>
        <v>21</v>
      </c>
      <c r="O33" s="26">
        <f t="shared" si="0"/>
        <v>58</v>
      </c>
      <c r="P33" s="7">
        <f>IFERROR(O33/SUMIFS(元データ_加工!$C$2:$C$700,元データ_加工!$A$2:$A$700,$A33),"")</f>
        <v>2.1993856888248456E-3</v>
      </c>
    </row>
    <row r="34" spans="1:16" x14ac:dyDescent="0.45">
      <c r="A34" t="s">
        <v>37</v>
      </c>
      <c r="B34" t="s">
        <v>100</v>
      </c>
      <c r="C34" s="26">
        <f>SUMIFS(INDEX(元データ_加工!$C$2:$P$700,0,MATCH($B34,元データ_加工!$C$1:$P$1,0)),元データ_加工!$A$2:$A$700,$A34,元データ_加工!$B$2:$B$700,C$5)</f>
        <v>731</v>
      </c>
      <c r="D34" s="26">
        <f>SUMIFS(INDEX(元データ_加工!$C$2:$P$700,0,MATCH($B34,元データ_加工!$C$1:$P$1,0)),元データ_加工!$A$2:$A$700,$A34,元データ_加工!$B$2:$B$700,D$5)</f>
        <v>1091</v>
      </c>
      <c r="E34" s="26">
        <f>SUMIFS(INDEX(元データ_加工!$C$2:$P$700,0,MATCH($B34,元データ_加工!$C$1:$P$1,0)),元データ_加工!$A$2:$A$700,$A34,元データ_加工!$B$2:$B$700,E$5)</f>
        <v>1120</v>
      </c>
      <c r="F34" s="26">
        <f>SUMIFS(INDEX(元データ_加工!$C$2:$P$700,0,MATCH($B34,元データ_加工!$C$1:$P$1,0)),元データ_加工!$A$2:$A$700,$A34,元データ_加工!$B$2:$B$700,F$5)</f>
        <v>1265</v>
      </c>
      <c r="G34" s="26">
        <f>SUMIFS(INDEX(元データ_加工!$C$2:$P$700,0,MATCH($B34,元データ_加工!$C$1:$P$1,0)),元データ_加工!$A$2:$A$700,$A34,元データ_加工!$B$2:$B$700,G$5)</f>
        <v>1166</v>
      </c>
      <c r="H34" s="26">
        <f>SUMIFS(INDEX(元データ_加工!$C$2:$P$700,0,MATCH($B34,元データ_加工!$C$1:$P$1,0)),元データ_加工!$A$2:$A$700,$A34,元データ_加工!$B$2:$B$700,H$5)</f>
        <v>681</v>
      </c>
      <c r="I34" s="26">
        <f>SUMIFS(INDEX(元データ_加工!$C$2:$P$700,0,MATCH($B34,元データ_加工!$C$1:$P$1,0)),元データ_加工!$A$2:$A$700,$A34,元データ_加工!$B$2:$B$700,I$5)</f>
        <v>592</v>
      </c>
      <c r="J34" s="26">
        <f>SUMIFS(INDEX(元データ_加工!$C$2:$P$700,0,MATCH($B34,元データ_加工!$C$1:$P$1,0)),元データ_加工!$A$2:$A$700,$A34,元データ_加工!$B$2:$B$700,J$5)</f>
        <v>1150</v>
      </c>
      <c r="K34" s="26">
        <f>SUMIFS(INDEX(元データ_加工!$C$2:$P$700,0,MATCH($B34,元データ_加工!$C$1:$P$1,0)),元データ_加工!$A$2:$A$700,$A34,元データ_加工!$B$2:$B$700,K$5)</f>
        <v>2210</v>
      </c>
      <c r="L34" s="26">
        <f>SUMIFS(INDEX(元データ_加工!$C$2:$P$700,0,MATCH($B34,元データ_加工!$C$1:$P$1,0)),元データ_加工!$A$2:$A$700,$A34,元データ_加工!$B$2:$B$700,L$5)</f>
        <v>1443</v>
      </c>
      <c r="M34" s="26">
        <f>SUMIFS(INDEX(元データ_加工!$C$2:$P$700,0,MATCH($B34,元データ_加工!$C$1:$P$1,0)),元データ_加工!$A$2:$A$700,$A34,元データ_加工!$B$2:$B$700,M$5)</f>
        <v>1259</v>
      </c>
      <c r="N34" s="26">
        <f>SUMIFS(INDEX(元データ_加工!$C$2:$P$700,0,MATCH($B34,元データ_加工!$C$1:$P$1,0)),元データ_加工!$A$2:$A$700,$A34,元データ_加工!$B$2:$B$700,N$5)</f>
        <v>0</v>
      </c>
      <c r="O34" s="26">
        <f t="shared" si="0"/>
        <v>12708</v>
      </c>
      <c r="P34" s="7">
        <f>IFERROR(O34/SUMIFS(元データ_加工!$C$2:$C$700,元データ_加工!$A$2:$A$700,$A34),"")</f>
        <v>1</v>
      </c>
    </row>
    <row r="35" spans="1:16" x14ac:dyDescent="0.45">
      <c r="A35" t="s">
        <v>37</v>
      </c>
      <c r="B35" t="s">
        <v>101</v>
      </c>
      <c r="C35" s="26">
        <f>SUMIFS(INDEX(元データ_加工!$C$2:$P$700,0,MATCH($B35,元データ_加工!$C$1:$P$1,0)),元データ_加工!$A$2:$A$700,$A35,元データ_加工!$B$2:$B$700,C$5)</f>
        <v>779</v>
      </c>
      <c r="D35" s="26">
        <f>SUMIFS(INDEX(元データ_加工!$C$2:$P$700,0,MATCH($B35,元データ_加工!$C$1:$P$1,0)),元データ_加工!$A$2:$A$700,$A35,元データ_加工!$B$2:$B$700,D$5)</f>
        <v>959</v>
      </c>
      <c r="E35" s="26">
        <f>SUMIFS(INDEX(元データ_加工!$C$2:$P$700,0,MATCH($B35,元データ_加工!$C$1:$P$1,0)),元データ_加工!$A$2:$A$700,$A35,元データ_加工!$B$2:$B$700,E$5)</f>
        <v>1175</v>
      </c>
      <c r="F35" s="26">
        <f>SUMIFS(INDEX(元データ_加工!$C$2:$P$700,0,MATCH($B35,元データ_加工!$C$1:$P$1,0)),元データ_加工!$A$2:$A$700,$A35,元データ_加工!$B$2:$B$700,F$5)</f>
        <v>1123</v>
      </c>
      <c r="G35" s="26">
        <f>SUMIFS(INDEX(元データ_加工!$C$2:$P$700,0,MATCH($B35,元データ_加工!$C$1:$P$1,0)),元データ_加工!$A$2:$A$700,$A35,元データ_加工!$B$2:$B$700,G$5)</f>
        <v>1141</v>
      </c>
      <c r="H35" s="26">
        <f>SUMIFS(INDEX(元データ_加工!$C$2:$P$700,0,MATCH($B35,元データ_加工!$C$1:$P$1,0)),元データ_加工!$A$2:$A$700,$A35,元データ_加工!$B$2:$B$700,H$5)</f>
        <v>1005</v>
      </c>
      <c r="I35" s="26">
        <f>SUMIFS(INDEX(元データ_加工!$C$2:$P$700,0,MATCH($B35,元データ_加工!$C$1:$P$1,0)),元データ_加工!$A$2:$A$700,$A35,元データ_加工!$B$2:$B$700,I$5)</f>
        <v>904</v>
      </c>
      <c r="J35" s="26">
        <f>SUMIFS(INDEX(元データ_加工!$C$2:$P$700,0,MATCH($B35,元データ_加工!$C$1:$P$1,0)),元データ_加工!$A$2:$A$700,$A35,元データ_加工!$B$2:$B$700,J$5)</f>
        <v>1154</v>
      </c>
      <c r="K35" s="26">
        <f>SUMIFS(INDEX(元データ_加工!$C$2:$P$700,0,MATCH($B35,元データ_加工!$C$1:$P$1,0)),元データ_加工!$A$2:$A$700,$A35,元データ_加工!$B$2:$B$700,K$5)</f>
        <v>1120</v>
      </c>
      <c r="L35" s="26">
        <f>SUMIFS(INDEX(元データ_加工!$C$2:$P$700,0,MATCH($B35,元データ_加工!$C$1:$P$1,0)),元データ_加工!$A$2:$A$700,$A35,元データ_加工!$B$2:$B$700,L$5)</f>
        <v>1015</v>
      </c>
      <c r="M35" s="26">
        <f>SUMIFS(INDEX(元データ_加工!$C$2:$P$700,0,MATCH($B35,元データ_加工!$C$1:$P$1,0)),元データ_加工!$A$2:$A$700,$A35,元データ_加工!$B$2:$B$700,M$5)</f>
        <v>1061</v>
      </c>
      <c r="N35" s="26">
        <f>SUMIFS(INDEX(元データ_加工!$C$2:$P$700,0,MATCH($B35,元データ_加工!$C$1:$P$1,0)),元データ_加工!$A$2:$A$700,$A35,元データ_加工!$B$2:$B$700,N$5)</f>
        <v>0</v>
      </c>
      <c r="O35" s="26">
        <f t="shared" si="0"/>
        <v>11436</v>
      </c>
      <c r="P35" s="7">
        <f>IFERROR(O35/SUMIFS(元データ_加工!$C$2:$C$700,元データ_加工!$A$2:$A$700,$A35),"")</f>
        <v>0.89990557129367332</v>
      </c>
    </row>
    <row r="36" spans="1:16" x14ac:dyDescent="0.45">
      <c r="A36" t="s">
        <v>37</v>
      </c>
      <c r="B36" t="s">
        <v>102</v>
      </c>
      <c r="C36" s="26">
        <f>SUMIFS(INDEX(元データ_加工!$C$2:$P$700,0,MATCH($B36,元データ_加工!$C$1:$P$1,0)),元データ_加工!$A$2:$A$700,$A36,元データ_加工!$B$2:$B$700,C$5)</f>
        <v>0</v>
      </c>
      <c r="D36" s="26">
        <f>SUMIFS(INDEX(元データ_加工!$C$2:$P$700,0,MATCH($B36,元データ_加工!$C$1:$P$1,0)),元データ_加工!$A$2:$A$700,$A36,元データ_加工!$B$2:$B$700,D$5)</f>
        <v>0</v>
      </c>
      <c r="E36" s="26">
        <f>SUMIFS(INDEX(元データ_加工!$C$2:$P$700,0,MATCH($B36,元データ_加工!$C$1:$P$1,0)),元データ_加工!$A$2:$A$700,$A36,元データ_加工!$B$2:$B$700,E$5)</f>
        <v>0</v>
      </c>
      <c r="F36" s="26">
        <f>SUMIFS(INDEX(元データ_加工!$C$2:$P$700,0,MATCH($B36,元データ_加工!$C$1:$P$1,0)),元データ_加工!$A$2:$A$700,$A36,元データ_加工!$B$2:$B$700,F$5)</f>
        <v>0</v>
      </c>
      <c r="G36" s="26">
        <f>SUMIFS(INDEX(元データ_加工!$C$2:$P$700,0,MATCH($B36,元データ_加工!$C$1:$P$1,0)),元データ_加工!$A$2:$A$700,$A36,元データ_加工!$B$2:$B$700,G$5)</f>
        <v>0</v>
      </c>
      <c r="H36" s="26">
        <f>SUMIFS(INDEX(元データ_加工!$C$2:$P$700,0,MATCH($B36,元データ_加工!$C$1:$P$1,0)),元データ_加工!$A$2:$A$700,$A36,元データ_加工!$B$2:$B$700,H$5)</f>
        <v>0</v>
      </c>
      <c r="I36" s="26">
        <f>SUMIFS(INDEX(元データ_加工!$C$2:$P$700,0,MATCH($B36,元データ_加工!$C$1:$P$1,0)),元データ_加工!$A$2:$A$700,$A36,元データ_加工!$B$2:$B$700,I$5)</f>
        <v>0</v>
      </c>
      <c r="J36" s="26">
        <f>SUMIFS(INDEX(元データ_加工!$C$2:$P$700,0,MATCH($B36,元データ_加工!$C$1:$P$1,0)),元データ_加工!$A$2:$A$700,$A36,元データ_加工!$B$2:$B$700,J$5)</f>
        <v>1</v>
      </c>
      <c r="K36" s="26">
        <f>SUMIFS(INDEX(元データ_加工!$C$2:$P$700,0,MATCH($B36,元データ_加工!$C$1:$P$1,0)),元データ_加工!$A$2:$A$700,$A36,元データ_加工!$B$2:$B$700,K$5)</f>
        <v>0</v>
      </c>
      <c r="L36" s="26">
        <f>SUMIFS(INDEX(元データ_加工!$C$2:$P$700,0,MATCH($B36,元データ_加工!$C$1:$P$1,0)),元データ_加工!$A$2:$A$700,$A36,元データ_加工!$B$2:$B$700,L$5)</f>
        <v>0</v>
      </c>
      <c r="M36" s="26">
        <f>SUMIFS(INDEX(元データ_加工!$C$2:$P$700,0,MATCH($B36,元データ_加工!$C$1:$P$1,0)),元データ_加工!$A$2:$A$700,$A36,元データ_加工!$B$2:$B$700,M$5)</f>
        <v>0</v>
      </c>
      <c r="N36" s="26">
        <f>SUMIFS(INDEX(元データ_加工!$C$2:$P$700,0,MATCH($B36,元データ_加工!$C$1:$P$1,0)),元データ_加工!$A$2:$A$700,$A36,元データ_加工!$B$2:$B$700,N$5)</f>
        <v>0</v>
      </c>
      <c r="O36" s="26">
        <f t="shared" si="0"/>
        <v>1</v>
      </c>
      <c r="P36" s="7">
        <f>IFERROR(O36/SUMIFS(元データ_加工!$C$2:$C$700,元データ_加工!$A$2:$A$700,$A36),"")</f>
        <v>7.8690588605602769E-5</v>
      </c>
    </row>
    <row r="37" spans="1:16" x14ac:dyDescent="0.45">
      <c r="A37" t="s">
        <v>37</v>
      </c>
      <c r="B37" t="s">
        <v>103</v>
      </c>
      <c r="C37" s="26">
        <f>SUMIFS(INDEX(元データ_加工!$C$2:$P$700,0,MATCH($B37,元データ_加工!$C$1:$P$1,0)),元データ_加工!$A$2:$A$700,$A37,元データ_加工!$B$2:$B$700,C$5)</f>
        <v>0</v>
      </c>
      <c r="D37" s="26">
        <f>SUMIFS(INDEX(元データ_加工!$C$2:$P$700,0,MATCH($B37,元データ_加工!$C$1:$P$1,0)),元データ_加工!$A$2:$A$700,$A37,元データ_加工!$B$2:$B$700,D$5)</f>
        <v>0</v>
      </c>
      <c r="E37" s="26">
        <f>SUMIFS(INDEX(元データ_加工!$C$2:$P$700,0,MATCH($B37,元データ_加工!$C$1:$P$1,0)),元データ_加工!$A$2:$A$700,$A37,元データ_加工!$B$2:$B$700,E$5)</f>
        <v>0</v>
      </c>
      <c r="F37" s="26">
        <f>SUMIFS(INDEX(元データ_加工!$C$2:$P$700,0,MATCH($B37,元データ_加工!$C$1:$P$1,0)),元データ_加工!$A$2:$A$700,$A37,元データ_加工!$B$2:$B$700,F$5)</f>
        <v>1</v>
      </c>
      <c r="G37" s="26">
        <f>SUMIFS(INDEX(元データ_加工!$C$2:$P$700,0,MATCH($B37,元データ_加工!$C$1:$P$1,0)),元データ_加工!$A$2:$A$700,$A37,元データ_加工!$B$2:$B$700,G$5)</f>
        <v>3</v>
      </c>
      <c r="H37" s="26">
        <f>SUMIFS(INDEX(元データ_加工!$C$2:$P$700,0,MATCH($B37,元データ_加工!$C$1:$P$1,0)),元データ_加工!$A$2:$A$700,$A37,元データ_加工!$B$2:$B$700,H$5)</f>
        <v>3</v>
      </c>
      <c r="I37" s="26">
        <f>SUMIFS(INDEX(元データ_加工!$C$2:$P$700,0,MATCH($B37,元データ_加工!$C$1:$P$1,0)),元データ_加工!$A$2:$A$700,$A37,元データ_加工!$B$2:$B$700,I$5)</f>
        <v>1</v>
      </c>
      <c r="J37" s="26">
        <f>SUMIFS(INDEX(元データ_加工!$C$2:$P$700,0,MATCH($B37,元データ_加工!$C$1:$P$1,0)),元データ_加工!$A$2:$A$700,$A37,元データ_加工!$B$2:$B$700,J$5)</f>
        <v>1</v>
      </c>
      <c r="K37" s="26">
        <f>SUMIFS(INDEX(元データ_加工!$C$2:$P$700,0,MATCH($B37,元データ_加工!$C$1:$P$1,0)),元データ_加工!$A$2:$A$700,$A37,元データ_加工!$B$2:$B$700,K$5)</f>
        <v>1</v>
      </c>
      <c r="L37" s="26">
        <f>SUMIFS(INDEX(元データ_加工!$C$2:$P$700,0,MATCH($B37,元データ_加工!$C$1:$P$1,0)),元データ_加工!$A$2:$A$700,$A37,元データ_加工!$B$2:$B$700,L$5)</f>
        <v>0</v>
      </c>
      <c r="M37" s="26">
        <f>SUMIFS(INDEX(元データ_加工!$C$2:$P$700,0,MATCH($B37,元データ_加工!$C$1:$P$1,0)),元データ_加工!$A$2:$A$700,$A37,元データ_加工!$B$2:$B$700,M$5)</f>
        <v>0</v>
      </c>
      <c r="N37" s="26">
        <f>SUMIFS(INDEX(元データ_加工!$C$2:$P$700,0,MATCH($B37,元データ_加工!$C$1:$P$1,0)),元データ_加工!$A$2:$A$700,$A37,元データ_加工!$B$2:$B$700,N$5)</f>
        <v>0</v>
      </c>
      <c r="O37" s="26">
        <f t="shared" si="0"/>
        <v>10</v>
      </c>
      <c r="P37" s="7">
        <f>IFERROR(O37/SUMIFS(元データ_加工!$C$2:$C$700,元データ_加工!$A$2:$A$700,$A37),"")</f>
        <v>7.8690588605602766E-4</v>
      </c>
    </row>
    <row r="38" spans="1:16" x14ac:dyDescent="0.45">
      <c r="A38" t="s">
        <v>37</v>
      </c>
      <c r="B38" t="s">
        <v>104</v>
      </c>
      <c r="C38" s="26">
        <f>SUMIFS(INDEX(元データ_加工!$C$2:$P$700,0,MATCH($B38,元データ_加工!$C$1:$P$1,0)),元データ_加工!$A$2:$A$700,$A38,元データ_加工!$B$2:$B$700,C$5)</f>
        <v>2</v>
      </c>
      <c r="D38" s="26">
        <f>SUMIFS(INDEX(元データ_加工!$C$2:$P$700,0,MATCH($B38,元データ_加工!$C$1:$P$1,0)),元データ_加工!$A$2:$A$700,$A38,元データ_加工!$B$2:$B$700,D$5)</f>
        <v>4</v>
      </c>
      <c r="E38" s="26">
        <f>SUMIFS(INDEX(元データ_加工!$C$2:$P$700,0,MATCH($B38,元データ_加工!$C$1:$P$1,0)),元データ_加工!$A$2:$A$700,$A38,元データ_加工!$B$2:$B$700,E$5)</f>
        <v>6</v>
      </c>
      <c r="F38" s="26">
        <f>SUMIFS(INDEX(元データ_加工!$C$2:$P$700,0,MATCH($B38,元データ_加工!$C$1:$P$1,0)),元データ_加工!$A$2:$A$700,$A38,元データ_加工!$B$2:$B$700,F$5)</f>
        <v>11</v>
      </c>
      <c r="G38" s="26">
        <f>SUMIFS(INDEX(元データ_加工!$C$2:$P$700,0,MATCH($B38,元データ_加工!$C$1:$P$1,0)),元データ_加工!$A$2:$A$700,$A38,元データ_加工!$B$2:$B$700,G$5)</f>
        <v>11</v>
      </c>
      <c r="H38" s="26">
        <f>SUMIFS(INDEX(元データ_加工!$C$2:$P$700,0,MATCH($B38,元データ_加工!$C$1:$P$1,0)),元データ_加工!$A$2:$A$700,$A38,元データ_加工!$B$2:$B$700,H$5)</f>
        <v>6</v>
      </c>
      <c r="I38" s="26">
        <f>SUMIFS(INDEX(元データ_加工!$C$2:$P$700,0,MATCH($B38,元データ_加工!$C$1:$P$1,0)),元データ_加工!$A$2:$A$700,$A38,元データ_加工!$B$2:$B$700,I$5)</f>
        <v>4</v>
      </c>
      <c r="J38" s="26">
        <f>SUMIFS(INDEX(元データ_加工!$C$2:$P$700,0,MATCH($B38,元データ_加工!$C$1:$P$1,0)),元データ_加工!$A$2:$A$700,$A38,元データ_加工!$B$2:$B$700,J$5)</f>
        <v>11</v>
      </c>
      <c r="K38" s="26">
        <f>SUMIFS(INDEX(元データ_加工!$C$2:$P$700,0,MATCH($B38,元データ_加工!$C$1:$P$1,0)),元データ_加工!$A$2:$A$700,$A38,元データ_加工!$B$2:$B$700,K$5)</f>
        <v>22</v>
      </c>
      <c r="L38" s="26">
        <f>SUMIFS(INDEX(元データ_加工!$C$2:$P$700,0,MATCH($B38,元データ_加工!$C$1:$P$1,0)),元データ_加工!$A$2:$A$700,$A38,元データ_加工!$B$2:$B$700,L$5)</f>
        <v>12</v>
      </c>
      <c r="M38" s="26">
        <f>SUMIFS(INDEX(元データ_加工!$C$2:$P$700,0,MATCH($B38,元データ_加工!$C$1:$P$1,0)),元データ_加工!$A$2:$A$700,$A38,元データ_加工!$B$2:$B$700,M$5)</f>
        <v>12</v>
      </c>
      <c r="N38" s="26">
        <f>SUMIFS(INDEX(元データ_加工!$C$2:$P$700,0,MATCH($B38,元データ_加工!$C$1:$P$1,0)),元データ_加工!$A$2:$A$700,$A38,元データ_加工!$B$2:$B$700,N$5)</f>
        <v>0</v>
      </c>
      <c r="O38" s="26">
        <f t="shared" si="0"/>
        <v>101</v>
      </c>
      <c r="P38" s="7">
        <f>IFERROR(O38/SUMIFS(元データ_加工!$C$2:$C$700,元データ_加工!$A$2:$A$700,$A38),"")</f>
        <v>7.9477494491658803E-3</v>
      </c>
    </row>
    <row r="39" spans="1:16" x14ac:dyDescent="0.45">
      <c r="A39" t="s">
        <v>37</v>
      </c>
      <c r="B39" t="s">
        <v>105</v>
      </c>
      <c r="C39" s="26">
        <f>SUMIFS(INDEX(元データ_加工!$C$2:$P$700,0,MATCH($B39,元データ_加工!$C$1:$P$1,0)),元データ_加工!$A$2:$A$700,$A39,元データ_加工!$B$2:$B$700,C$5)</f>
        <v>4</v>
      </c>
      <c r="D39" s="26">
        <f>SUMIFS(INDEX(元データ_加工!$C$2:$P$700,0,MATCH($B39,元データ_加工!$C$1:$P$1,0)),元データ_加工!$A$2:$A$700,$A39,元データ_加工!$B$2:$B$700,D$5)</f>
        <v>0</v>
      </c>
      <c r="E39" s="26">
        <f>SUMIFS(INDEX(元データ_加工!$C$2:$P$700,0,MATCH($B39,元データ_加工!$C$1:$P$1,0)),元データ_加工!$A$2:$A$700,$A39,元データ_加工!$B$2:$B$700,E$5)</f>
        <v>1</v>
      </c>
      <c r="F39" s="26">
        <f>SUMIFS(INDEX(元データ_加工!$C$2:$P$700,0,MATCH($B39,元データ_加工!$C$1:$P$1,0)),元データ_加工!$A$2:$A$700,$A39,元データ_加工!$B$2:$B$700,F$5)</f>
        <v>0</v>
      </c>
      <c r="G39" s="26">
        <f>SUMIFS(INDEX(元データ_加工!$C$2:$P$700,0,MATCH($B39,元データ_加工!$C$1:$P$1,0)),元データ_加工!$A$2:$A$700,$A39,元データ_加工!$B$2:$B$700,G$5)</f>
        <v>1</v>
      </c>
      <c r="H39" s="26">
        <f>SUMIFS(INDEX(元データ_加工!$C$2:$P$700,0,MATCH($B39,元データ_加工!$C$1:$P$1,0)),元データ_加工!$A$2:$A$700,$A39,元データ_加工!$B$2:$B$700,H$5)</f>
        <v>2</v>
      </c>
      <c r="I39" s="26">
        <f>SUMIFS(INDEX(元データ_加工!$C$2:$P$700,0,MATCH($B39,元データ_加工!$C$1:$P$1,0)),元データ_加工!$A$2:$A$700,$A39,元データ_加工!$B$2:$B$700,I$5)</f>
        <v>0</v>
      </c>
      <c r="J39" s="26">
        <f>SUMIFS(INDEX(元データ_加工!$C$2:$P$700,0,MATCH($B39,元データ_加工!$C$1:$P$1,0)),元データ_加工!$A$2:$A$700,$A39,元データ_加工!$B$2:$B$700,J$5)</f>
        <v>1</v>
      </c>
      <c r="K39" s="26">
        <f>SUMIFS(INDEX(元データ_加工!$C$2:$P$700,0,MATCH($B39,元データ_加工!$C$1:$P$1,0)),元データ_加工!$A$2:$A$700,$A39,元データ_加工!$B$2:$B$700,K$5)</f>
        <v>18</v>
      </c>
      <c r="L39" s="26">
        <f>SUMIFS(INDEX(元データ_加工!$C$2:$P$700,0,MATCH($B39,元データ_加工!$C$1:$P$1,0)),元データ_加工!$A$2:$A$700,$A39,元データ_加工!$B$2:$B$700,L$5)</f>
        <v>3</v>
      </c>
      <c r="M39" s="26">
        <f>SUMIFS(INDEX(元データ_加工!$C$2:$P$700,0,MATCH($B39,元データ_加工!$C$1:$P$1,0)),元データ_加工!$A$2:$A$700,$A39,元データ_加工!$B$2:$B$700,M$5)</f>
        <v>1</v>
      </c>
      <c r="N39" s="26">
        <f>SUMIFS(INDEX(元データ_加工!$C$2:$P$700,0,MATCH($B39,元データ_加工!$C$1:$P$1,0)),元データ_加工!$A$2:$A$700,$A39,元データ_加工!$B$2:$B$700,N$5)</f>
        <v>0</v>
      </c>
      <c r="O39" s="26">
        <f t="shared" si="0"/>
        <v>31</v>
      </c>
      <c r="P39" s="7">
        <f>IFERROR(O39/SUMIFS(元データ_加工!$C$2:$C$700,元データ_加工!$A$2:$A$700,$A39),"")</f>
        <v>2.4394082467736858E-3</v>
      </c>
    </row>
    <row r="40" spans="1:16" x14ac:dyDescent="0.45">
      <c r="A40" t="s">
        <v>37</v>
      </c>
      <c r="B40" t="s">
        <v>106</v>
      </c>
      <c r="C40" s="26">
        <f>SUMIFS(INDEX(元データ_加工!$C$2:$P$700,0,MATCH($B40,元データ_加工!$C$1:$P$1,0)),元データ_加工!$A$2:$A$700,$A40,元データ_加工!$B$2:$B$700,C$5)</f>
        <v>119</v>
      </c>
      <c r="D40" s="26">
        <f>SUMIFS(INDEX(元データ_加工!$C$2:$P$700,0,MATCH($B40,元データ_加工!$C$1:$P$1,0)),元データ_加工!$A$2:$A$700,$A40,元データ_加工!$B$2:$B$700,D$5)</f>
        <v>77</v>
      </c>
      <c r="E40" s="26">
        <f>SUMIFS(INDEX(元データ_加工!$C$2:$P$700,0,MATCH($B40,元データ_加工!$C$1:$P$1,0)),元データ_加工!$A$2:$A$700,$A40,元データ_加工!$B$2:$B$700,E$5)</f>
        <v>117</v>
      </c>
      <c r="F40" s="26">
        <f>SUMIFS(INDEX(元データ_加工!$C$2:$P$700,0,MATCH($B40,元データ_加工!$C$1:$P$1,0)),元データ_加工!$A$2:$A$700,$A40,元データ_加工!$B$2:$B$700,F$5)</f>
        <v>122</v>
      </c>
      <c r="G40" s="26">
        <f>SUMIFS(INDEX(元データ_加工!$C$2:$P$700,0,MATCH($B40,元データ_加工!$C$1:$P$1,0)),元データ_加工!$A$2:$A$700,$A40,元データ_加工!$B$2:$B$700,G$5)</f>
        <v>129</v>
      </c>
      <c r="H40" s="26">
        <f>SUMIFS(INDEX(元データ_加工!$C$2:$P$700,0,MATCH($B40,元データ_加工!$C$1:$P$1,0)),元データ_加工!$A$2:$A$700,$A40,元データ_加工!$B$2:$B$700,H$5)</f>
        <v>55</v>
      </c>
      <c r="I40" s="26">
        <f>SUMIFS(INDEX(元データ_加工!$C$2:$P$700,0,MATCH($B40,元データ_加工!$C$1:$P$1,0)),元データ_加工!$A$2:$A$700,$A40,元データ_加工!$B$2:$B$700,I$5)</f>
        <v>49</v>
      </c>
      <c r="J40" s="26">
        <f>SUMIFS(INDEX(元データ_加工!$C$2:$P$700,0,MATCH($B40,元データ_加工!$C$1:$P$1,0)),元データ_加工!$A$2:$A$700,$A40,元データ_加工!$B$2:$B$700,J$5)</f>
        <v>61</v>
      </c>
      <c r="K40" s="26">
        <f>SUMIFS(INDEX(元データ_加工!$C$2:$P$700,0,MATCH($B40,元データ_加工!$C$1:$P$1,0)),元データ_加工!$A$2:$A$700,$A40,元データ_加工!$B$2:$B$700,K$5)</f>
        <v>117</v>
      </c>
      <c r="L40" s="26">
        <f>SUMIFS(INDEX(元データ_加工!$C$2:$P$700,0,MATCH($B40,元データ_加工!$C$1:$P$1,0)),元データ_加工!$A$2:$A$700,$A40,元データ_加工!$B$2:$B$700,L$5)</f>
        <v>101</v>
      </c>
      <c r="M40" s="26">
        <f>SUMIFS(INDEX(元データ_加工!$C$2:$P$700,0,MATCH($B40,元データ_加工!$C$1:$P$1,0)),元データ_加工!$A$2:$A$700,$A40,元データ_加工!$B$2:$B$700,M$5)</f>
        <v>79</v>
      </c>
      <c r="N40" s="26">
        <f>SUMIFS(INDEX(元データ_加工!$C$2:$P$700,0,MATCH($B40,元データ_加工!$C$1:$P$1,0)),元データ_加工!$A$2:$A$700,$A40,元データ_加工!$B$2:$B$700,N$5)</f>
        <v>0</v>
      </c>
      <c r="O40" s="26">
        <f t="shared" si="0"/>
        <v>1026</v>
      </c>
      <c r="P40" s="7">
        <f>IFERROR(O40/SUMIFS(元データ_加工!$C$2:$C$700,元データ_加工!$A$2:$A$700,$A40),"")</f>
        <v>8.0736543909348438E-2</v>
      </c>
    </row>
    <row r="41" spans="1:16" x14ac:dyDescent="0.45">
      <c r="A41" t="s">
        <v>37</v>
      </c>
      <c r="B41" t="s">
        <v>107</v>
      </c>
      <c r="C41" s="26">
        <f>SUMIFS(INDEX(元データ_加工!$C$2:$P$700,0,MATCH($B41,元データ_加工!$C$1:$P$1,0)),元データ_加工!$A$2:$A$700,$A41,元データ_加工!$B$2:$B$700,C$5)</f>
        <v>43</v>
      </c>
      <c r="D41" s="26">
        <f>SUMIFS(INDEX(元データ_加工!$C$2:$P$700,0,MATCH($B41,元データ_加工!$C$1:$P$1,0)),元データ_加工!$A$2:$A$700,$A41,元データ_加工!$B$2:$B$700,D$5)</f>
        <v>65</v>
      </c>
      <c r="E41" s="26">
        <f>SUMIFS(INDEX(元データ_加工!$C$2:$P$700,0,MATCH($B41,元データ_加工!$C$1:$P$1,0)),元データ_加工!$A$2:$A$700,$A41,元データ_加工!$B$2:$B$700,E$5)</f>
        <v>37</v>
      </c>
      <c r="F41" s="26">
        <f>SUMIFS(INDEX(元データ_加工!$C$2:$P$700,0,MATCH($B41,元データ_加工!$C$1:$P$1,0)),元データ_加工!$A$2:$A$700,$A41,元データ_加工!$B$2:$B$700,F$5)</f>
        <v>16</v>
      </c>
      <c r="G41" s="26">
        <f>SUMIFS(INDEX(元データ_加工!$C$2:$P$700,0,MATCH($B41,元データ_加工!$C$1:$P$1,0)),元データ_加工!$A$2:$A$700,$A41,元データ_加工!$B$2:$B$700,G$5)</f>
        <v>7</v>
      </c>
      <c r="H41" s="26">
        <f>SUMIFS(INDEX(元データ_加工!$C$2:$P$700,0,MATCH($B41,元データ_加工!$C$1:$P$1,0)),元データ_加工!$A$2:$A$700,$A41,元データ_加工!$B$2:$B$700,H$5)</f>
        <v>16</v>
      </c>
      <c r="I41" s="26">
        <f>SUMIFS(INDEX(元データ_加工!$C$2:$P$700,0,MATCH($B41,元データ_加工!$C$1:$P$1,0)),元データ_加工!$A$2:$A$700,$A41,元データ_加工!$B$2:$B$700,I$5)</f>
        <v>18</v>
      </c>
      <c r="J41" s="26">
        <f>SUMIFS(INDEX(元データ_加工!$C$2:$P$700,0,MATCH($B41,元データ_加工!$C$1:$P$1,0)),元データ_加工!$A$2:$A$700,$A41,元データ_加工!$B$2:$B$700,J$5)</f>
        <v>12</v>
      </c>
      <c r="K41" s="26">
        <f>SUMIFS(INDEX(元データ_加工!$C$2:$P$700,0,MATCH($B41,元データ_加工!$C$1:$P$1,0)),元データ_加工!$A$2:$A$700,$A41,元データ_加工!$B$2:$B$700,K$5)</f>
        <v>19</v>
      </c>
      <c r="L41" s="26">
        <f>SUMIFS(INDEX(元データ_加工!$C$2:$P$700,0,MATCH($B41,元データ_加工!$C$1:$P$1,0)),元データ_加工!$A$2:$A$700,$A41,元データ_加工!$B$2:$B$700,L$5)</f>
        <v>14</v>
      </c>
      <c r="M41" s="26">
        <f>SUMIFS(INDEX(元データ_加工!$C$2:$P$700,0,MATCH($B41,元データ_加工!$C$1:$P$1,0)),元データ_加工!$A$2:$A$700,$A41,元データ_加工!$B$2:$B$700,M$5)</f>
        <v>20</v>
      </c>
      <c r="N41" s="26">
        <f>SUMIFS(INDEX(元データ_加工!$C$2:$P$700,0,MATCH($B41,元データ_加工!$C$1:$P$1,0)),元データ_加工!$A$2:$A$700,$A41,元データ_加工!$B$2:$B$700,N$5)</f>
        <v>0</v>
      </c>
      <c r="O41" s="26">
        <f t="shared" si="0"/>
        <v>267</v>
      </c>
      <c r="P41" s="7">
        <f>IFERROR(O41/SUMIFS(元データ_加工!$C$2:$C$700,元データ_加工!$A$2:$A$700,$A41),"")</f>
        <v>2.1010387157695938E-2</v>
      </c>
    </row>
    <row r="42" spans="1:16" x14ac:dyDescent="0.45">
      <c r="A42" t="s">
        <v>37</v>
      </c>
      <c r="B42" t="s">
        <v>108</v>
      </c>
      <c r="C42" s="26">
        <f>SUMIFS(INDEX(元データ_加工!$C$2:$P$700,0,MATCH($B42,元データ_加工!$C$1:$P$1,0)),元データ_加工!$A$2:$A$700,$A42,元データ_加工!$B$2:$B$700,C$5)</f>
        <v>0</v>
      </c>
      <c r="D42" s="26">
        <f>SUMIFS(INDEX(元データ_加工!$C$2:$P$700,0,MATCH($B42,元データ_加工!$C$1:$P$1,0)),元データ_加工!$A$2:$A$700,$A42,元データ_加工!$B$2:$B$700,D$5)</f>
        <v>12</v>
      </c>
      <c r="E42" s="26">
        <f>SUMIFS(INDEX(元データ_加工!$C$2:$P$700,0,MATCH($B42,元データ_加工!$C$1:$P$1,0)),元データ_加工!$A$2:$A$700,$A42,元データ_加工!$B$2:$B$700,E$5)</f>
        <v>15</v>
      </c>
      <c r="F42" s="26">
        <f>SUMIFS(INDEX(元データ_加工!$C$2:$P$700,0,MATCH($B42,元データ_加工!$C$1:$P$1,0)),元データ_加工!$A$2:$A$700,$A42,元データ_加工!$B$2:$B$700,F$5)</f>
        <v>19</v>
      </c>
      <c r="G42" s="26">
        <f>SUMIFS(INDEX(元データ_加工!$C$2:$P$700,0,MATCH($B42,元データ_加工!$C$1:$P$1,0)),元データ_加工!$A$2:$A$700,$A42,元データ_加工!$B$2:$B$700,G$5)</f>
        <v>5</v>
      </c>
      <c r="H42" s="26">
        <f>SUMIFS(INDEX(元データ_加工!$C$2:$P$700,0,MATCH($B42,元データ_加工!$C$1:$P$1,0)),元データ_加工!$A$2:$A$700,$A42,元データ_加工!$B$2:$B$700,H$5)</f>
        <v>2</v>
      </c>
      <c r="I42" s="26">
        <f>SUMIFS(INDEX(元データ_加工!$C$2:$P$700,0,MATCH($B42,元データ_加工!$C$1:$P$1,0)),元データ_加工!$A$2:$A$700,$A42,元データ_加工!$B$2:$B$700,I$5)</f>
        <v>1</v>
      </c>
      <c r="J42" s="26">
        <f>SUMIFS(INDEX(元データ_加工!$C$2:$P$700,0,MATCH($B42,元データ_加工!$C$1:$P$1,0)),元データ_加工!$A$2:$A$700,$A42,元データ_加工!$B$2:$B$700,J$5)</f>
        <v>0</v>
      </c>
      <c r="K42" s="26">
        <f>SUMIFS(INDEX(元データ_加工!$C$2:$P$700,0,MATCH($B42,元データ_加工!$C$1:$P$1,0)),元データ_加工!$A$2:$A$700,$A42,元データ_加工!$B$2:$B$700,K$5)</f>
        <v>0</v>
      </c>
      <c r="L42" s="26">
        <f>SUMIFS(INDEX(元データ_加工!$C$2:$P$700,0,MATCH($B42,元データ_加工!$C$1:$P$1,0)),元データ_加工!$A$2:$A$700,$A42,元データ_加工!$B$2:$B$700,L$5)</f>
        <v>1</v>
      </c>
      <c r="M42" s="26">
        <f>SUMIFS(INDEX(元データ_加工!$C$2:$P$700,0,MATCH($B42,元データ_加工!$C$1:$P$1,0)),元データ_加工!$A$2:$A$700,$A42,元データ_加工!$B$2:$B$700,M$5)</f>
        <v>0</v>
      </c>
      <c r="N42" s="26">
        <f>SUMIFS(INDEX(元データ_加工!$C$2:$P$700,0,MATCH($B42,元データ_加工!$C$1:$P$1,0)),元データ_加工!$A$2:$A$700,$A42,元データ_加工!$B$2:$B$700,N$5)</f>
        <v>0</v>
      </c>
      <c r="O42" s="26">
        <f t="shared" si="0"/>
        <v>55</v>
      </c>
      <c r="P42" s="7">
        <f>IFERROR(O42/SUMIFS(元データ_加工!$C$2:$C$700,元データ_加工!$A$2:$A$700,$A42),"")</f>
        <v>4.3279823733081519E-3</v>
      </c>
    </row>
    <row r="43" spans="1:16" x14ac:dyDescent="0.45">
      <c r="A43" t="s">
        <v>37</v>
      </c>
      <c r="B43" t="s">
        <v>109</v>
      </c>
      <c r="C43" s="26">
        <f>SUMIFS(INDEX(元データ_加工!$C$2:$P$700,0,MATCH($B43,元データ_加工!$C$1:$P$1,0)),元データ_加工!$A$2:$A$700,$A43,元データ_加工!$B$2:$B$700,C$5)</f>
        <v>31</v>
      </c>
      <c r="D43" s="26">
        <f>SUMIFS(INDEX(元データ_加工!$C$2:$P$700,0,MATCH($B43,元データ_加工!$C$1:$P$1,0)),元データ_加工!$A$2:$A$700,$A43,元データ_加工!$B$2:$B$700,D$5)</f>
        <v>29</v>
      </c>
      <c r="E43" s="26">
        <f>SUMIFS(INDEX(元データ_加工!$C$2:$P$700,0,MATCH($B43,元データ_加工!$C$1:$P$1,0)),元データ_加工!$A$2:$A$700,$A43,元データ_加工!$B$2:$B$700,E$5)</f>
        <v>41</v>
      </c>
      <c r="F43" s="26">
        <f>SUMIFS(INDEX(元データ_加工!$C$2:$P$700,0,MATCH($B43,元データ_加工!$C$1:$P$1,0)),元データ_加工!$A$2:$A$700,$A43,元データ_加工!$B$2:$B$700,F$5)</f>
        <v>46</v>
      </c>
      <c r="G43" s="26">
        <f>SUMIFS(INDEX(元データ_加工!$C$2:$P$700,0,MATCH($B43,元データ_加工!$C$1:$P$1,0)),元データ_加工!$A$2:$A$700,$A43,元データ_加工!$B$2:$B$700,G$5)</f>
        <v>44</v>
      </c>
      <c r="H43" s="26">
        <f>SUMIFS(INDEX(元データ_加工!$C$2:$P$700,0,MATCH($B43,元データ_加工!$C$1:$P$1,0)),元データ_加工!$A$2:$A$700,$A43,元データ_加工!$B$2:$B$700,H$5)</f>
        <v>31</v>
      </c>
      <c r="I43" s="26">
        <f>SUMIFS(INDEX(元データ_加工!$C$2:$P$700,0,MATCH($B43,元データ_加工!$C$1:$P$1,0)),元データ_加工!$A$2:$A$700,$A43,元データ_加工!$B$2:$B$700,I$5)</f>
        <v>20</v>
      </c>
      <c r="J43" s="26">
        <f>SUMIFS(INDEX(元データ_加工!$C$2:$P$700,0,MATCH($B43,元データ_加工!$C$1:$P$1,0)),元データ_加工!$A$2:$A$700,$A43,元データ_加工!$B$2:$B$700,J$5)</f>
        <v>27</v>
      </c>
      <c r="K43" s="26">
        <f>SUMIFS(INDEX(元データ_加工!$C$2:$P$700,0,MATCH($B43,元データ_加工!$C$1:$P$1,0)),元データ_加工!$A$2:$A$700,$A43,元データ_加工!$B$2:$B$700,K$5)</f>
        <v>28</v>
      </c>
      <c r="L43" s="26">
        <f>SUMIFS(INDEX(元データ_加工!$C$2:$P$700,0,MATCH($B43,元データ_加工!$C$1:$P$1,0)),元データ_加工!$A$2:$A$700,$A43,元データ_加工!$B$2:$B$700,L$5)</f>
        <v>28</v>
      </c>
      <c r="M43" s="26">
        <f>SUMIFS(INDEX(元データ_加工!$C$2:$P$700,0,MATCH($B43,元データ_加工!$C$1:$P$1,0)),元データ_加工!$A$2:$A$700,$A43,元データ_加工!$B$2:$B$700,M$5)</f>
        <v>18</v>
      </c>
      <c r="N43" s="26">
        <f>SUMIFS(INDEX(元データ_加工!$C$2:$P$700,0,MATCH($B43,元データ_加工!$C$1:$P$1,0)),元データ_加工!$A$2:$A$700,$A43,元データ_加工!$B$2:$B$700,N$5)</f>
        <v>0</v>
      </c>
      <c r="O43" s="26">
        <f t="shared" si="0"/>
        <v>343</v>
      </c>
      <c r="P43" s="7">
        <f>IFERROR(O43/SUMIFS(元データ_加工!$C$2:$C$700,元データ_加工!$A$2:$A$700,$A43),"")</f>
        <v>2.6990871891721752E-2</v>
      </c>
    </row>
    <row r="44" spans="1:16" x14ac:dyDescent="0.45">
      <c r="A44" t="s">
        <v>37</v>
      </c>
      <c r="B44" t="s">
        <v>110</v>
      </c>
      <c r="C44" s="26">
        <f>SUMIFS(INDEX(元データ_加工!$C$2:$P$700,0,MATCH($B44,元データ_加工!$C$1:$P$1,0)),元データ_加工!$A$2:$A$700,$A44,元データ_加工!$B$2:$B$700,C$5)</f>
        <v>0</v>
      </c>
      <c r="D44" s="26">
        <f>SUMIFS(INDEX(元データ_加工!$C$2:$P$700,0,MATCH($B44,元データ_加工!$C$1:$P$1,0)),元データ_加工!$A$2:$A$700,$A44,元データ_加工!$B$2:$B$700,D$5)</f>
        <v>0</v>
      </c>
      <c r="E44" s="26">
        <f>SUMIFS(INDEX(元データ_加工!$C$2:$P$700,0,MATCH($B44,元データ_加工!$C$1:$P$1,0)),元データ_加工!$A$2:$A$700,$A44,元データ_加工!$B$2:$B$700,E$5)</f>
        <v>0</v>
      </c>
      <c r="F44" s="26">
        <f>SUMIFS(INDEX(元データ_加工!$C$2:$P$700,0,MATCH($B44,元データ_加工!$C$1:$P$1,0)),元データ_加工!$A$2:$A$700,$A44,元データ_加工!$B$2:$B$700,F$5)</f>
        <v>1</v>
      </c>
      <c r="G44" s="26">
        <f>SUMIFS(INDEX(元データ_加工!$C$2:$P$700,0,MATCH($B44,元データ_加工!$C$1:$P$1,0)),元データ_加工!$A$2:$A$700,$A44,元データ_加工!$B$2:$B$700,G$5)</f>
        <v>2</v>
      </c>
      <c r="H44" s="26">
        <f>SUMIFS(INDEX(元データ_加工!$C$2:$P$700,0,MATCH($B44,元データ_加工!$C$1:$P$1,0)),元データ_加工!$A$2:$A$700,$A44,元データ_加工!$B$2:$B$700,H$5)</f>
        <v>0</v>
      </c>
      <c r="I44" s="26">
        <f>SUMIFS(INDEX(元データ_加工!$C$2:$P$700,0,MATCH($B44,元データ_加工!$C$1:$P$1,0)),元データ_加工!$A$2:$A$700,$A44,元データ_加工!$B$2:$B$700,I$5)</f>
        <v>0</v>
      </c>
      <c r="J44" s="26">
        <f>SUMIFS(INDEX(元データ_加工!$C$2:$P$700,0,MATCH($B44,元データ_加工!$C$1:$P$1,0)),元データ_加工!$A$2:$A$700,$A44,元データ_加工!$B$2:$B$700,J$5)</f>
        <v>0</v>
      </c>
      <c r="K44" s="26">
        <f>SUMIFS(INDEX(元データ_加工!$C$2:$P$700,0,MATCH($B44,元データ_加工!$C$1:$P$1,0)),元データ_加工!$A$2:$A$700,$A44,元データ_加工!$B$2:$B$700,K$5)</f>
        <v>0</v>
      </c>
      <c r="L44" s="26">
        <f>SUMIFS(INDEX(元データ_加工!$C$2:$P$700,0,MATCH($B44,元データ_加工!$C$1:$P$1,0)),元データ_加工!$A$2:$A$700,$A44,元データ_加工!$B$2:$B$700,L$5)</f>
        <v>0</v>
      </c>
      <c r="M44" s="26">
        <f>SUMIFS(INDEX(元データ_加工!$C$2:$P$700,0,MATCH($B44,元データ_加工!$C$1:$P$1,0)),元データ_加工!$A$2:$A$700,$A44,元データ_加工!$B$2:$B$700,M$5)</f>
        <v>0</v>
      </c>
      <c r="N44" s="26">
        <f>SUMIFS(INDEX(元データ_加工!$C$2:$P$700,0,MATCH($B44,元データ_加工!$C$1:$P$1,0)),元データ_加工!$A$2:$A$700,$A44,元データ_加工!$B$2:$B$700,N$5)</f>
        <v>0</v>
      </c>
      <c r="O44" s="26">
        <f t="shared" si="0"/>
        <v>3</v>
      </c>
      <c r="P44" s="7">
        <f>IFERROR(O44/SUMIFS(元データ_加工!$C$2:$C$700,元データ_加工!$A$2:$A$700,$A44),"")</f>
        <v>2.3607176581680832E-4</v>
      </c>
    </row>
    <row r="45" spans="1:16" x14ac:dyDescent="0.45">
      <c r="A45" t="s">
        <v>37</v>
      </c>
      <c r="B45" t="s">
        <v>111</v>
      </c>
      <c r="C45" s="26">
        <f>SUMIFS(INDEX(元データ_加工!$C$2:$P$700,0,MATCH($B45,元データ_加工!$C$1:$P$1,0)),元データ_加工!$A$2:$A$700,$A45,元データ_加工!$B$2:$B$700,C$5)</f>
        <v>0</v>
      </c>
      <c r="D45" s="26">
        <f>SUMIFS(INDEX(元データ_加工!$C$2:$P$700,0,MATCH($B45,元データ_加工!$C$1:$P$1,0)),元データ_加工!$A$2:$A$700,$A45,元データ_加工!$B$2:$B$700,D$5)</f>
        <v>0</v>
      </c>
      <c r="E45" s="26">
        <f>SUMIFS(INDEX(元データ_加工!$C$2:$P$700,0,MATCH($B45,元データ_加工!$C$1:$P$1,0)),元データ_加工!$A$2:$A$700,$A45,元データ_加工!$B$2:$B$700,E$5)</f>
        <v>0</v>
      </c>
      <c r="F45" s="26">
        <f>SUMIFS(INDEX(元データ_加工!$C$2:$P$700,0,MATCH($B45,元データ_加工!$C$1:$P$1,0)),元データ_加工!$A$2:$A$700,$A45,元データ_加工!$B$2:$B$700,F$5)</f>
        <v>0</v>
      </c>
      <c r="G45" s="26">
        <f>SUMIFS(INDEX(元データ_加工!$C$2:$P$700,0,MATCH($B45,元データ_加工!$C$1:$P$1,0)),元データ_加工!$A$2:$A$700,$A45,元データ_加工!$B$2:$B$700,G$5)</f>
        <v>0</v>
      </c>
      <c r="H45" s="26">
        <f>SUMIFS(INDEX(元データ_加工!$C$2:$P$700,0,MATCH($B45,元データ_加工!$C$1:$P$1,0)),元データ_加工!$A$2:$A$700,$A45,元データ_加工!$B$2:$B$700,H$5)</f>
        <v>0</v>
      </c>
      <c r="I45" s="26">
        <f>SUMIFS(INDEX(元データ_加工!$C$2:$P$700,0,MATCH($B45,元データ_加工!$C$1:$P$1,0)),元データ_加工!$A$2:$A$700,$A45,元データ_加工!$B$2:$B$700,I$5)</f>
        <v>0</v>
      </c>
      <c r="J45" s="26">
        <f>SUMIFS(INDEX(元データ_加工!$C$2:$P$700,0,MATCH($B45,元データ_加工!$C$1:$P$1,0)),元データ_加工!$A$2:$A$700,$A45,元データ_加工!$B$2:$B$700,J$5)</f>
        <v>0</v>
      </c>
      <c r="K45" s="26">
        <f>SUMIFS(INDEX(元データ_加工!$C$2:$P$700,0,MATCH($B45,元データ_加工!$C$1:$P$1,0)),元データ_加工!$A$2:$A$700,$A45,元データ_加工!$B$2:$B$700,K$5)</f>
        <v>0</v>
      </c>
      <c r="L45" s="26">
        <f>SUMIFS(INDEX(元データ_加工!$C$2:$P$700,0,MATCH($B45,元データ_加工!$C$1:$P$1,0)),元データ_加工!$A$2:$A$700,$A45,元データ_加工!$B$2:$B$700,L$5)</f>
        <v>0</v>
      </c>
      <c r="M45" s="26">
        <f>SUMIFS(INDEX(元データ_加工!$C$2:$P$700,0,MATCH($B45,元データ_加工!$C$1:$P$1,0)),元データ_加工!$A$2:$A$700,$A45,元データ_加工!$B$2:$B$700,M$5)</f>
        <v>0</v>
      </c>
      <c r="N45" s="26">
        <f>SUMIFS(INDEX(元データ_加工!$C$2:$P$700,0,MATCH($B45,元データ_加工!$C$1:$P$1,0)),元データ_加工!$A$2:$A$700,$A45,元データ_加工!$B$2:$B$700,N$5)</f>
        <v>0</v>
      </c>
      <c r="O45" s="26">
        <f t="shared" si="0"/>
        <v>0</v>
      </c>
      <c r="P45" s="7">
        <f>IFERROR(O45/SUMIFS(元データ_加工!$C$2:$C$700,元データ_加工!$A$2:$A$700,$A45),"")</f>
        <v>0</v>
      </c>
    </row>
    <row r="46" spans="1:16" x14ac:dyDescent="0.45">
      <c r="A46" t="s">
        <v>37</v>
      </c>
      <c r="B46" t="s">
        <v>112</v>
      </c>
      <c r="C46" s="26">
        <f>SUMIFS(INDEX(元データ_加工!$C$2:$P$700,0,MATCH($B46,元データ_加工!$C$1:$P$1,0)),元データ_加工!$A$2:$A$700,$A46,元データ_加工!$B$2:$B$700,C$5)</f>
        <v>1</v>
      </c>
      <c r="D46" s="26">
        <f>SUMIFS(INDEX(元データ_加工!$C$2:$P$700,0,MATCH($B46,元データ_加工!$C$1:$P$1,0)),元データ_加工!$A$2:$A$700,$A46,元データ_加工!$B$2:$B$700,D$5)</f>
        <v>0</v>
      </c>
      <c r="E46" s="26">
        <f>SUMIFS(INDEX(元データ_加工!$C$2:$P$700,0,MATCH($B46,元データ_加工!$C$1:$P$1,0)),元データ_加工!$A$2:$A$700,$A46,元データ_加工!$B$2:$B$700,E$5)</f>
        <v>0</v>
      </c>
      <c r="F46" s="26">
        <f>SUMIFS(INDEX(元データ_加工!$C$2:$P$700,0,MATCH($B46,元データ_加工!$C$1:$P$1,0)),元データ_加工!$A$2:$A$700,$A46,元データ_加工!$B$2:$B$700,F$5)</f>
        <v>1</v>
      </c>
      <c r="G46" s="26">
        <f>SUMIFS(INDEX(元データ_加工!$C$2:$P$700,0,MATCH($B46,元データ_加工!$C$1:$P$1,0)),元データ_加工!$A$2:$A$700,$A46,元データ_加工!$B$2:$B$700,G$5)</f>
        <v>0</v>
      </c>
      <c r="H46" s="26">
        <f>SUMIFS(INDEX(元データ_加工!$C$2:$P$700,0,MATCH($B46,元データ_加工!$C$1:$P$1,0)),元データ_加工!$A$2:$A$700,$A46,元データ_加工!$B$2:$B$700,H$5)</f>
        <v>4</v>
      </c>
      <c r="I46" s="26">
        <f>SUMIFS(INDEX(元データ_加工!$C$2:$P$700,0,MATCH($B46,元データ_加工!$C$1:$P$1,0)),元データ_加工!$A$2:$A$700,$A46,元データ_加工!$B$2:$B$700,I$5)</f>
        <v>0</v>
      </c>
      <c r="J46" s="26">
        <f>SUMIFS(INDEX(元データ_加工!$C$2:$P$700,0,MATCH($B46,元データ_加工!$C$1:$P$1,0)),元データ_加工!$A$2:$A$700,$A46,元データ_加工!$B$2:$B$700,J$5)</f>
        <v>2</v>
      </c>
      <c r="K46" s="26">
        <f>SUMIFS(INDEX(元データ_加工!$C$2:$P$700,0,MATCH($B46,元データ_加工!$C$1:$P$1,0)),元データ_加工!$A$2:$A$700,$A46,元データ_加工!$B$2:$B$700,K$5)</f>
        <v>0</v>
      </c>
      <c r="L46" s="26">
        <f>SUMIFS(INDEX(元データ_加工!$C$2:$P$700,0,MATCH($B46,元データ_加工!$C$1:$P$1,0)),元データ_加工!$A$2:$A$700,$A46,元データ_加工!$B$2:$B$700,L$5)</f>
        <v>0</v>
      </c>
      <c r="M46" s="26">
        <f>SUMIFS(INDEX(元データ_加工!$C$2:$P$700,0,MATCH($B46,元データ_加工!$C$1:$P$1,0)),元データ_加工!$A$2:$A$700,$A46,元データ_加工!$B$2:$B$700,M$5)</f>
        <v>1</v>
      </c>
      <c r="N46" s="26">
        <f>SUMIFS(INDEX(元データ_加工!$C$2:$P$700,0,MATCH($B46,元データ_加工!$C$1:$P$1,0)),元データ_加工!$A$2:$A$700,$A46,元データ_加工!$B$2:$B$700,N$5)</f>
        <v>0</v>
      </c>
      <c r="O46" s="26">
        <f t="shared" si="0"/>
        <v>9</v>
      </c>
      <c r="P46" s="7">
        <f>IFERROR(O46/SUMIFS(元データ_加工!$C$2:$C$700,元データ_加工!$A$2:$A$700,$A46),"")</f>
        <v>7.0821529745042496E-4</v>
      </c>
    </row>
    <row r="47" spans="1:16" x14ac:dyDescent="0.45">
      <c r="A47" t="s">
        <v>37</v>
      </c>
      <c r="B47" t="s">
        <v>113</v>
      </c>
      <c r="C47" s="26">
        <f>SUMIFS(INDEX(元データ_加工!$C$2:$P$700,0,MATCH($B47,元データ_加工!$C$1:$P$1,0)),元データ_加工!$A$2:$A$700,$A47,元データ_加工!$B$2:$B$700,C$5)</f>
        <v>0</v>
      </c>
      <c r="D47" s="26">
        <f>SUMIFS(INDEX(元データ_加工!$C$2:$P$700,0,MATCH($B47,元データ_加工!$C$1:$P$1,0)),元データ_加工!$A$2:$A$700,$A47,元データ_加工!$B$2:$B$700,D$5)</f>
        <v>0</v>
      </c>
      <c r="E47" s="26">
        <f>SUMIFS(INDEX(元データ_加工!$C$2:$P$700,0,MATCH($B47,元データ_加工!$C$1:$P$1,0)),元データ_加工!$A$2:$A$700,$A47,元データ_加工!$B$2:$B$700,E$5)</f>
        <v>0</v>
      </c>
      <c r="F47" s="26">
        <f>SUMIFS(INDEX(元データ_加工!$C$2:$P$700,0,MATCH($B47,元データ_加工!$C$1:$P$1,0)),元データ_加工!$A$2:$A$700,$A47,元データ_加工!$B$2:$B$700,F$5)</f>
        <v>0</v>
      </c>
      <c r="G47" s="26">
        <f>SUMIFS(INDEX(元データ_加工!$C$2:$P$700,0,MATCH($B47,元データ_加工!$C$1:$P$1,0)),元データ_加工!$A$2:$A$700,$A47,元データ_加工!$B$2:$B$700,G$5)</f>
        <v>0</v>
      </c>
      <c r="H47" s="26">
        <f>SUMIFS(INDEX(元データ_加工!$C$2:$P$700,0,MATCH($B47,元データ_加工!$C$1:$P$1,0)),元データ_加工!$A$2:$A$700,$A47,元データ_加工!$B$2:$B$700,H$5)</f>
        <v>0</v>
      </c>
      <c r="I47" s="26">
        <f>SUMIFS(INDEX(元データ_加工!$C$2:$P$700,0,MATCH($B47,元データ_加工!$C$1:$P$1,0)),元データ_加工!$A$2:$A$700,$A47,元データ_加工!$B$2:$B$700,I$5)</f>
        <v>0</v>
      </c>
      <c r="J47" s="26">
        <f>SUMIFS(INDEX(元データ_加工!$C$2:$P$700,0,MATCH($B47,元データ_加工!$C$1:$P$1,0)),元データ_加工!$A$2:$A$700,$A47,元データ_加工!$B$2:$B$700,J$5)</f>
        <v>0</v>
      </c>
      <c r="K47" s="26">
        <f>SUMIFS(INDEX(元データ_加工!$C$2:$P$700,0,MATCH($B47,元データ_加工!$C$1:$P$1,0)),元データ_加工!$A$2:$A$700,$A47,元データ_加工!$B$2:$B$700,K$5)</f>
        <v>0</v>
      </c>
      <c r="L47" s="26">
        <f>SUMIFS(INDEX(元データ_加工!$C$2:$P$700,0,MATCH($B47,元データ_加工!$C$1:$P$1,0)),元データ_加工!$A$2:$A$700,$A47,元データ_加工!$B$2:$B$700,L$5)</f>
        <v>0</v>
      </c>
      <c r="M47" s="26">
        <f>SUMIFS(INDEX(元データ_加工!$C$2:$P$700,0,MATCH($B47,元データ_加工!$C$1:$P$1,0)),元データ_加工!$A$2:$A$700,$A47,元データ_加工!$B$2:$B$700,M$5)</f>
        <v>0</v>
      </c>
      <c r="N47" s="26">
        <f>SUMIFS(INDEX(元データ_加工!$C$2:$P$700,0,MATCH($B47,元データ_加工!$C$1:$P$1,0)),元データ_加工!$A$2:$A$700,$A47,元データ_加工!$B$2:$B$700,N$5)</f>
        <v>0</v>
      </c>
      <c r="O47" s="26">
        <f t="shared" si="0"/>
        <v>0</v>
      </c>
      <c r="P47" s="7">
        <f>IFERROR(O47/SUMIFS(元データ_加工!$C$2:$C$700,元データ_加工!$A$2:$A$700,$A47),"")</f>
        <v>0</v>
      </c>
    </row>
    <row r="48" spans="1:16" x14ac:dyDescent="0.45">
      <c r="A48" t="s">
        <v>38</v>
      </c>
      <c r="B48" t="s">
        <v>100</v>
      </c>
      <c r="C48" s="26">
        <f>SUMIFS(INDEX(元データ_加工!$C$2:$P$700,0,MATCH($B48,元データ_加工!$C$1:$P$1,0)),元データ_加工!$A$2:$A$700,$A48,元データ_加工!$B$2:$B$700,C$5)</f>
        <v>2158</v>
      </c>
      <c r="D48" s="26">
        <f>SUMIFS(INDEX(元データ_加工!$C$2:$P$700,0,MATCH($B48,元データ_加工!$C$1:$P$1,0)),元データ_加工!$A$2:$A$700,$A48,元データ_加工!$B$2:$B$700,D$5)</f>
        <v>2258</v>
      </c>
      <c r="E48" s="26">
        <f>SUMIFS(INDEX(元データ_加工!$C$2:$P$700,0,MATCH($B48,元データ_加工!$C$1:$P$1,0)),元データ_加工!$A$2:$A$700,$A48,元データ_加工!$B$2:$B$700,E$5)</f>
        <v>3568</v>
      </c>
      <c r="F48" s="26">
        <f>SUMIFS(INDEX(元データ_加工!$C$2:$P$700,0,MATCH($B48,元データ_加工!$C$1:$P$1,0)),元データ_加工!$A$2:$A$700,$A48,元データ_加工!$B$2:$B$700,F$5)</f>
        <v>2783</v>
      </c>
      <c r="G48" s="26">
        <f>SUMIFS(INDEX(元データ_加工!$C$2:$P$700,0,MATCH($B48,元データ_加工!$C$1:$P$1,0)),元データ_加工!$A$2:$A$700,$A48,元データ_加工!$B$2:$B$700,G$5)</f>
        <v>2819</v>
      </c>
      <c r="H48" s="26">
        <f>SUMIFS(INDEX(元データ_加工!$C$2:$P$700,0,MATCH($B48,元データ_加工!$C$1:$P$1,0)),元データ_加工!$A$2:$A$700,$A48,元データ_加工!$B$2:$B$700,H$5)</f>
        <v>1866</v>
      </c>
      <c r="I48" s="26">
        <f>SUMIFS(INDEX(元データ_加工!$C$2:$P$700,0,MATCH($B48,元データ_加工!$C$1:$P$1,0)),元データ_加工!$A$2:$A$700,$A48,元データ_加工!$B$2:$B$700,I$5)</f>
        <v>1699</v>
      </c>
      <c r="J48" s="26">
        <f>SUMIFS(INDEX(元データ_加工!$C$2:$P$700,0,MATCH($B48,元データ_加工!$C$1:$P$1,0)),元データ_加工!$A$2:$A$700,$A48,元データ_加工!$B$2:$B$700,J$5)</f>
        <v>3156</v>
      </c>
      <c r="K48" s="26">
        <f>SUMIFS(INDEX(元データ_加工!$C$2:$P$700,0,MATCH($B48,元データ_加工!$C$1:$P$1,0)),元データ_加工!$A$2:$A$700,$A48,元データ_加工!$B$2:$B$700,K$5)</f>
        <v>5117</v>
      </c>
      <c r="L48" s="26">
        <f>SUMIFS(INDEX(元データ_加工!$C$2:$P$700,0,MATCH($B48,元データ_加工!$C$1:$P$1,0)),元データ_加工!$A$2:$A$700,$A48,元データ_加工!$B$2:$B$700,L$5)</f>
        <v>3564</v>
      </c>
      <c r="M48" s="26">
        <f>SUMIFS(INDEX(元データ_加工!$C$2:$P$700,0,MATCH($B48,元データ_加工!$C$1:$P$1,0)),元データ_加工!$A$2:$A$700,$A48,元データ_加工!$B$2:$B$700,M$5)</f>
        <v>3444</v>
      </c>
      <c r="N48" s="26">
        <f>SUMIFS(INDEX(元データ_加工!$C$2:$P$700,0,MATCH($B48,元データ_加工!$C$1:$P$1,0)),元データ_加工!$A$2:$A$700,$A48,元データ_加工!$B$2:$B$700,N$5)</f>
        <v>2987</v>
      </c>
      <c r="O48" s="26">
        <f t="shared" si="0"/>
        <v>35419</v>
      </c>
      <c r="P48" s="7">
        <f>IFERROR(O48/SUMIFS(元データ_加工!$C$2:$C$700,元データ_加工!$A$2:$A$700,$A48),"")</f>
        <v>1</v>
      </c>
    </row>
    <row r="49" spans="1:16" x14ac:dyDescent="0.45">
      <c r="A49" t="s">
        <v>38</v>
      </c>
      <c r="B49" t="s">
        <v>101</v>
      </c>
      <c r="C49" s="26">
        <f>SUMIFS(INDEX(元データ_加工!$C$2:$P$700,0,MATCH($B49,元データ_加工!$C$1:$P$1,0)),元データ_加工!$A$2:$A$700,$A49,元データ_加工!$B$2:$B$700,C$5)</f>
        <v>896</v>
      </c>
      <c r="D49" s="26">
        <f>SUMIFS(INDEX(元データ_加工!$C$2:$P$700,0,MATCH($B49,元データ_加工!$C$1:$P$1,0)),元データ_加工!$A$2:$A$700,$A49,元データ_加工!$B$2:$B$700,D$5)</f>
        <v>1101</v>
      </c>
      <c r="E49" s="26">
        <f>SUMIFS(INDEX(元データ_加工!$C$2:$P$700,0,MATCH($B49,元データ_加工!$C$1:$P$1,0)),元データ_加工!$A$2:$A$700,$A49,元データ_加工!$B$2:$B$700,E$5)</f>
        <v>1294</v>
      </c>
      <c r="F49" s="26">
        <f>SUMIFS(INDEX(元データ_加工!$C$2:$P$700,0,MATCH($B49,元データ_加工!$C$1:$P$1,0)),元データ_加工!$A$2:$A$700,$A49,元データ_加工!$B$2:$B$700,F$5)</f>
        <v>1057</v>
      </c>
      <c r="G49" s="26">
        <f>SUMIFS(INDEX(元データ_加工!$C$2:$P$700,0,MATCH($B49,元データ_加工!$C$1:$P$1,0)),元データ_加工!$A$2:$A$700,$A49,元データ_加工!$B$2:$B$700,G$5)</f>
        <v>1064</v>
      </c>
      <c r="H49" s="26">
        <f>SUMIFS(INDEX(元データ_加工!$C$2:$P$700,0,MATCH($B49,元データ_加工!$C$1:$P$1,0)),元データ_加工!$A$2:$A$700,$A49,元データ_加工!$B$2:$B$700,H$5)</f>
        <v>784</v>
      </c>
      <c r="I49" s="26">
        <f>SUMIFS(INDEX(元データ_加工!$C$2:$P$700,0,MATCH($B49,元データ_加工!$C$1:$P$1,0)),元データ_加工!$A$2:$A$700,$A49,元データ_加工!$B$2:$B$700,I$5)</f>
        <v>790</v>
      </c>
      <c r="J49" s="26">
        <f>SUMIFS(INDEX(元データ_加工!$C$2:$P$700,0,MATCH($B49,元データ_加工!$C$1:$P$1,0)),元データ_加工!$A$2:$A$700,$A49,元データ_加工!$B$2:$B$700,J$5)</f>
        <v>1102</v>
      </c>
      <c r="K49" s="26">
        <f>SUMIFS(INDEX(元データ_加工!$C$2:$P$700,0,MATCH($B49,元データ_加工!$C$1:$P$1,0)),元データ_加工!$A$2:$A$700,$A49,元データ_加工!$B$2:$B$700,K$5)</f>
        <v>10368</v>
      </c>
      <c r="L49" s="26">
        <f>SUMIFS(INDEX(元データ_加工!$C$2:$P$700,0,MATCH($B49,元データ_加工!$C$1:$P$1,0)),元データ_加工!$A$2:$A$700,$A49,元データ_加工!$B$2:$B$700,L$5)</f>
        <v>941</v>
      </c>
      <c r="M49" s="26">
        <f>SUMIFS(INDEX(元データ_加工!$C$2:$P$700,0,MATCH($B49,元データ_加工!$C$1:$P$1,0)),元データ_加工!$A$2:$A$700,$A49,元データ_加工!$B$2:$B$700,M$5)</f>
        <v>1119</v>
      </c>
      <c r="N49" s="26">
        <f>SUMIFS(INDEX(元データ_加工!$C$2:$P$700,0,MATCH($B49,元データ_加工!$C$1:$P$1,0)),元データ_加工!$A$2:$A$700,$A49,元データ_加工!$B$2:$B$700,N$5)</f>
        <v>1123</v>
      </c>
      <c r="O49" s="26">
        <f t="shared" si="0"/>
        <v>21639</v>
      </c>
      <c r="P49" s="7">
        <f>IFERROR(O49/SUMIFS(元データ_加工!$C$2:$C$700,元データ_加工!$A$2:$A$700,$A49),"")</f>
        <v>0.61094327903102852</v>
      </c>
    </row>
    <row r="50" spans="1:16" x14ac:dyDescent="0.45">
      <c r="A50" t="s">
        <v>38</v>
      </c>
      <c r="B50" t="s">
        <v>102</v>
      </c>
      <c r="C50" s="26">
        <f>SUMIFS(INDEX(元データ_加工!$C$2:$P$700,0,MATCH($B50,元データ_加工!$C$1:$P$1,0)),元データ_加工!$A$2:$A$700,$A50,元データ_加工!$B$2:$B$700,C$5)</f>
        <v>0</v>
      </c>
      <c r="D50" s="26">
        <f>SUMIFS(INDEX(元データ_加工!$C$2:$P$700,0,MATCH($B50,元データ_加工!$C$1:$P$1,0)),元データ_加工!$A$2:$A$700,$A50,元データ_加工!$B$2:$B$700,D$5)</f>
        <v>0</v>
      </c>
      <c r="E50" s="26">
        <f>SUMIFS(INDEX(元データ_加工!$C$2:$P$700,0,MATCH($B50,元データ_加工!$C$1:$P$1,0)),元データ_加工!$A$2:$A$700,$A50,元データ_加工!$B$2:$B$700,E$5)</f>
        <v>0</v>
      </c>
      <c r="F50" s="26">
        <f>SUMIFS(INDEX(元データ_加工!$C$2:$P$700,0,MATCH($B50,元データ_加工!$C$1:$P$1,0)),元データ_加工!$A$2:$A$700,$A50,元データ_加工!$B$2:$B$700,F$5)</f>
        <v>0</v>
      </c>
      <c r="G50" s="26">
        <f>SUMIFS(INDEX(元データ_加工!$C$2:$P$700,0,MATCH($B50,元データ_加工!$C$1:$P$1,0)),元データ_加工!$A$2:$A$700,$A50,元データ_加工!$B$2:$B$700,G$5)</f>
        <v>0</v>
      </c>
      <c r="H50" s="26">
        <f>SUMIFS(INDEX(元データ_加工!$C$2:$P$700,0,MATCH($B50,元データ_加工!$C$1:$P$1,0)),元データ_加工!$A$2:$A$700,$A50,元データ_加工!$B$2:$B$700,H$5)</f>
        <v>0</v>
      </c>
      <c r="I50" s="26">
        <f>SUMIFS(INDEX(元データ_加工!$C$2:$P$700,0,MATCH($B50,元データ_加工!$C$1:$P$1,0)),元データ_加工!$A$2:$A$700,$A50,元データ_加工!$B$2:$B$700,I$5)</f>
        <v>0</v>
      </c>
      <c r="J50" s="26">
        <f>SUMIFS(INDEX(元データ_加工!$C$2:$P$700,0,MATCH($B50,元データ_加工!$C$1:$P$1,0)),元データ_加工!$A$2:$A$700,$A50,元データ_加工!$B$2:$B$700,J$5)</f>
        <v>0</v>
      </c>
      <c r="K50" s="26">
        <f>SUMIFS(INDEX(元データ_加工!$C$2:$P$700,0,MATCH($B50,元データ_加工!$C$1:$P$1,0)),元データ_加工!$A$2:$A$700,$A50,元データ_加工!$B$2:$B$700,K$5)</f>
        <v>0</v>
      </c>
      <c r="L50" s="26">
        <f>SUMIFS(INDEX(元データ_加工!$C$2:$P$700,0,MATCH($B50,元データ_加工!$C$1:$P$1,0)),元データ_加工!$A$2:$A$700,$A50,元データ_加工!$B$2:$B$700,L$5)</f>
        <v>0</v>
      </c>
      <c r="M50" s="26">
        <f>SUMIFS(INDEX(元データ_加工!$C$2:$P$700,0,MATCH($B50,元データ_加工!$C$1:$P$1,0)),元データ_加工!$A$2:$A$700,$A50,元データ_加工!$B$2:$B$700,M$5)</f>
        <v>0</v>
      </c>
      <c r="N50" s="26">
        <f>SUMIFS(INDEX(元データ_加工!$C$2:$P$700,0,MATCH($B50,元データ_加工!$C$1:$P$1,0)),元データ_加工!$A$2:$A$700,$A50,元データ_加工!$B$2:$B$700,N$5)</f>
        <v>0</v>
      </c>
      <c r="O50" s="26">
        <f t="shared" si="0"/>
        <v>0</v>
      </c>
      <c r="P50" s="7">
        <f>IFERROR(O50/SUMIFS(元データ_加工!$C$2:$C$700,元データ_加工!$A$2:$A$700,$A50),"")</f>
        <v>0</v>
      </c>
    </row>
    <row r="51" spans="1:16" x14ac:dyDescent="0.45">
      <c r="A51" t="s">
        <v>38</v>
      </c>
      <c r="B51" t="s">
        <v>103</v>
      </c>
      <c r="C51" s="26">
        <f>SUMIFS(INDEX(元データ_加工!$C$2:$P$700,0,MATCH($B51,元データ_加工!$C$1:$P$1,0)),元データ_加工!$A$2:$A$700,$A51,元データ_加工!$B$2:$B$700,C$5)</f>
        <v>0</v>
      </c>
      <c r="D51" s="26">
        <f>SUMIFS(INDEX(元データ_加工!$C$2:$P$700,0,MATCH($B51,元データ_加工!$C$1:$P$1,0)),元データ_加工!$A$2:$A$700,$A51,元データ_加工!$B$2:$B$700,D$5)</f>
        <v>0</v>
      </c>
      <c r="E51" s="26">
        <f>SUMIFS(INDEX(元データ_加工!$C$2:$P$700,0,MATCH($B51,元データ_加工!$C$1:$P$1,0)),元データ_加工!$A$2:$A$700,$A51,元データ_加工!$B$2:$B$700,E$5)</f>
        <v>3</v>
      </c>
      <c r="F51" s="26">
        <f>SUMIFS(INDEX(元データ_加工!$C$2:$P$700,0,MATCH($B51,元データ_加工!$C$1:$P$1,0)),元データ_加工!$A$2:$A$700,$A51,元データ_加工!$B$2:$B$700,F$5)</f>
        <v>3</v>
      </c>
      <c r="G51" s="26">
        <f>SUMIFS(INDEX(元データ_加工!$C$2:$P$700,0,MATCH($B51,元データ_加工!$C$1:$P$1,0)),元データ_加工!$A$2:$A$700,$A51,元データ_加工!$B$2:$B$700,G$5)</f>
        <v>3</v>
      </c>
      <c r="H51" s="26">
        <f>SUMIFS(INDEX(元データ_加工!$C$2:$P$700,0,MATCH($B51,元データ_加工!$C$1:$P$1,0)),元データ_加工!$A$2:$A$700,$A51,元データ_加工!$B$2:$B$700,H$5)</f>
        <v>15</v>
      </c>
      <c r="I51" s="26">
        <f>SUMIFS(INDEX(元データ_加工!$C$2:$P$700,0,MATCH($B51,元データ_加工!$C$1:$P$1,0)),元データ_加工!$A$2:$A$700,$A51,元データ_加工!$B$2:$B$700,I$5)</f>
        <v>5</v>
      </c>
      <c r="J51" s="26">
        <f>SUMIFS(INDEX(元データ_加工!$C$2:$P$700,0,MATCH($B51,元データ_加工!$C$1:$P$1,0)),元データ_加工!$A$2:$A$700,$A51,元データ_加工!$B$2:$B$700,J$5)</f>
        <v>1</v>
      </c>
      <c r="K51" s="26">
        <f>SUMIFS(INDEX(元データ_加工!$C$2:$P$700,0,MATCH($B51,元データ_加工!$C$1:$P$1,0)),元データ_加工!$A$2:$A$700,$A51,元データ_加工!$B$2:$B$700,K$5)</f>
        <v>0</v>
      </c>
      <c r="L51" s="26">
        <f>SUMIFS(INDEX(元データ_加工!$C$2:$P$700,0,MATCH($B51,元データ_加工!$C$1:$P$1,0)),元データ_加工!$A$2:$A$700,$A51,元データ_加工!$B$2:$B$700,L$5)</f>
        <v>0</v>
      </c>
      <c r="M51" s="26">
        <f>SUMIFS(INDEX(元データ_加工!$C$2:$P$700,0,MATCH($B51,元データ_加工!$C$1:$P$1,0)),元データ_加工!$A$2:$A$700,$A51,元データ_加工!$B$2:$B$700,M$5)</f>
        <v>0</v>
      </c>
      <c r="N51" s="26">
        <f>SUMIFS(INDEX(元データ_加工!$C$2:$P$700,0,MATCH($B51,元データ_加工!$C$1:$P$1,0)),元データ_加工!$A$2:$A$700,$A51,元データ_加工!$B$2:$B$700,N$5)</f>
        <v>1</v>
      </c>
      <c r="O51" s="26">
        <f t="shared" si="0"/>
        <v>31</v>
      </c>
      <c r="P51" s="7">
        <f>IFERROR(O51/SUMIFS(元データ_加工!$C$2:$C$700,元データ_加工!$A$2:$A$700,$A51),"")</f>
        <v>8.7523645501002287E-4</v>
      </c>
    </row>
    <row r="52" spans="1:16" x14ac:dyDescent="0.45">
      <c r="A52" t="s">
        <v>38</v>
      </c>
      <c r="B52" t="s">
        <v>104</v>
      </c>
      <c r="C52" s="26">
        <f>SUMIFS(INDEX(元データ_加工!$C$2:$P$700,0,MATCH($B52,元データ_加工!$C$1:$P$1,0)),元データ_加工!$A$2:$A$700,$A52,元データ_加工!$B$2:$B$700,C$5)</f>
        <v>49</v>
      </c>
      <c r="D52" s="26">
        <f>SUMIFS(INDEX(元データ_加工!$C$2:$P$700,0,MATCH($B52,元データ_加工!$C$1:$P$1,0)),元データ_加工!$A$2:$A$700,$A52,元データ_加工!$B$2:$B$700,D$5)</f>
        <v>26</v>
      </c>
      <c r="E52" s="26">
        <f>SUMIFS(INDEX(元データ_加工!$C$2:$P$700,0,MATCH($B52,元データ_加工!$C$1:$P$1,0)),元データ_加工!$A$2:$A$700,$A52,元データ_加工!$B$2:$B$700,E$5)</f>
        <v>65</v>
      </c>
      <c r="F52" s="26">
        <f>SUMIFS(INDEX(元データ_加工!$C$2:$P$700,0,MATCH($B52,元データ_加工!$C$1:$P$1,0)),元データ_加工!$A$2:$A$700,$A52,元データ_加工!$B$2:$B$700,F$5)</f>
        <v>52</v>
      </c>
      <c r="G52" s="26">
        <f>SUMIFS(INDEX(元データ_加工!$C$2:$P$700,0,MATCH($B52,元データ_加工!$C$1:$P$1,0)),元データ_加工!$A$2:$A$700,$A52,元データ_加工!$B$2:$B$700,G$5)</f>
        <v>137</v>
      </c>
      <c r="H52" s="26">
        <f>SUMIFS(INDEX(元データ_加工!$C$2:$P$700,0,MATCH($B52,元データ_加工!$C$1:$P$1,0)),元データ_加工!$A$2:$A$700,$A52,元データ_加工!$B$2:$B$700,H$5)</f>
        <v>77</v>
      </c>
      <c r="I52" s="26">
        <f>SUMIFS(INDEX(元データ_加工!$C$2:$P$700,0,MATCH($B52,元データ_加工!$C$1:$P$1,0)),元データ_加工!$A$2:$A$700,$A52,元データ_加工!$B$2:$B$700,I$5)</f>
        <v>40</v>
      </c>
      <c r="J52" s="26">
        <f>SUMIFS(INDEX(元データ_加工!$C$2:$P$700,0,MATCH($B52,元データ_加工!$C$1:$P$1,0)),元データ_加工!$A$2:$A$700,$A52,元データ_加工!$B$2:$B$700,J$5)</f>
        <v>203</v>
      </c>
      <c r="K52" s="26">
        <f>SUMIFS(INDEX(元データ_加工!$C$2:$P$700,0,MATCH($B52,元データ_加工!$C$1:$P$1,0)),元データ_加工!$A$2:$A$700,$A52,元データ_加工!$B$2:$B$700,K$5)</f>
        <v>233</v>
      </c>
      <c r="L52" s="26">
        <f>SUMIFS(INDEX(元データ_加工!$C$2:$P$700,0,MATCH($B52,元データ_加工!$C$1:$P$1,0)),元データ_加工!$A$2:$A$700,$A52,元データ_加工!$B$2:$B$700,L$5)</f>
        <v>116</v>
      </c>
      <c r="M52" s="26">
        <f>SUMIFS(INDEX(元データ_加工!$C$2:$P$700,0,MATCH($B52,元データ_加工!$C$1:$P$1,0)),元データ_加工!$A$2:$A$700,$A52,元データ_加工!$B$2:$B$700,M$5)</f>
        <v>98</v>
      </c>
      <c r="N52" s="26">
        <f>SUMIFS(INDEX(元データ_加工!$C$2:$P$700,0,MATCH($B52,元データ_加工!$C$1:$P$1,0)),元データ_加工!$A$2:$A$700,$A52,元データ_加工!$B$2:$B$700,N$5)</f>
        <v>84</v>
      </c>
      <c r="O52" s="26">
        <f t="shared" si="0"/>
        <v>1180</v>
      </c>
      <c r="P52" s="7">
        <f>IFERROR(O52/SUMIFS(元データ_加工!$C$2:$C$700,元データ_加工!$A$2:$A$700,$A52),"")</f>
        <v>3.3315452158446029E-2</v>
      </c>
    </row>
    <row r="53" spans="1:16" x14ac:dyDescent="0.45">
      <c r="A53" t="s">
        <v>38</v>
      </c>
      <c r="B53" t="s">
        <v>105</v>
      </c>
      <c r="C53" s="26">
        <f>SUMIFS(INDEX(元データ_加工!$C$2:$P$700,0,MATCH($B53,元データ_加工!$C$1:$P$1,0)),元データ_加工!$A$2:$A$700,$A53,元データ_加工!$B$2:$B$700,C$5)</f>
        <v>0</v>
      </c>
      <c r="D53" s="26">
        <f>SUMIFS(INDEX(元データ_加工!$C$2:$P$700,0,MATCH($B53,元データ_加工!$C$1:$P$1,0)),元データ_加工!$A$2:$A$700,$A53,元データ_加工!$B$2:$B$700,D$5)</f>
        <v>0</v>
      </c>
      <c r="E53" s="26">
        <f>SUMIFS(INDEX(元データ_加工!$C$2:$P$700,0,MATCH($B53,元データ_加工!$C$1:$P$1,0)),元データ_加工!$A$2:$A$700,$A53,元データ_加工!$B$2:$B$700,E$5)</f>
        <v>2</v>
      </c>
      <c r="F53" s="26">
        <f>SUMIFS(INDEX(元データ_加工!$C$2:$P$700,0,MATCH($B53,元データ_加工!$C$1:$P$1,0)),元データ_加工!$A$2:$A$700,$A53,元データ_加工!$B$2:$B$700,F$5)</f>
        <v>7</v>
      </c>
      <c r="G53" s="26">
        <f>SUMIFS(INDEX(元データ_加工!$C$2:$P$700,0,MATCH($B53,元データ_加工!$C$1:$P$1,0)),元データ_加工!$A$2:$A$700,$A53,元データ_加工!$B$2:$B$700,G$5)</f>
        <v>0</v>
      </c>
      <c r="H53" s="26">
        <f>SUMIFS(INDEX(元データ_加工!$C$2:$P$700,0,MATCH($B53,元データ_加工!$C$1:$P$1,0)),元データ_加工!$A$2:$A$700,$A53,元データ_加工!$B$2:$B$700,H$5)</f>
        <v>5</v>
      </c>
      <c r="I53" s="26">
        <f>SUMIFS(INDEX(元データ_加工!$C$2:$P$700,0,MATCH($B53,元データ_加工!$C$1:$P$1,0)),元データ_加工!$A$2:$A$700,$A53,元データ_加工!$B$2:$B$700,I$5)</f>
        <v>0</v>
      </c>
      <c r="J53" s="26">
        <f>SUMIFS(INDEX(元データ_加工!$C$2:$P$700,0,MATCH($B53,元データ_加工!$C$1:$P$1,0)),元データ_加工!$A$2:$A$700,$A53,元データ_加工!$B$2:$B$700,J$5)</f>
        <v>13</v>
      </c>
      <c r="K53" s="26">
        <f>SUMIFS(INDEX(元データ_加工!$C$2:$P$700,0,MATCH($B53,元データ_加工!$C$1:$P$1,0)),元データ_加工!$A$2:$A$700,$A53,元データ_加工!$B$2:$B$700,K$5)</f>
        <v>42</v>
      </c>
      <c r="L53" s="26">
        <f>SUMIFS(INDEX(元データ_加工!$C$2:$P$700,0,MATCH($B53,元データ_加工!$C$1:$P$1,0)),元データ_加工!$A$2:$A$700,$A53,元データ_加工!$B$2:$B$700,L$5)</f>
        <v>34</v>
      </c>
      <c r="M53" s="26">
        <f>SUMIFS(INDEX(元データ_加工!$C$2:$P$700,0,MATCH($B53,元データ_加工!$C$1:$P$1,0)),元データ_加工!$A$2:$A$700,$A53,元データ_加工!$B$2:$B$700,M$5)</f>
        <v>14</v>
      </c>
      <c r="N53" s="26">
        <f>SUMIFS(INDEX(元データ_加工!$C$2:$P$700,0,MATCH($B53,元データ_加工!$C$1:$P$1,0)),元データ_加工!$A$2:$A$700,$A53,元データ_加工!$B$2:$B$700,N$5)</f>
        <v>11</v>
      </c>
      <c r="O53" s="26">
        <f t="shared" si="0"/>
        <v>128</v>
      </c>
      <c r="P53" s="7">
        <f>IFERROR(O53/SUMIFS(元データ_加工!$C$2:$C$700,元データ_加工!$A$2:$A$700,$A53),"")</f>
        <v>3.613879556170417E-3</v>
      </c>
    </row>
    <row r="54" spans="1:16" x14ac:dyDescent="0.45">
      <c r="A54" t="s">
        <v>38</v>
      </c>
      <c r="B54" t="s">
        <v>106</v>
      </c>
      <c r="C54" s="26">
        <f>SUMIFS(INDEX(元データ_加工!$C$2:$P$700,0,MATCH($B54,元データ_加工!$C$1:$P$1,0)),元データ_加工!$A$2:$A$700,$A54,元データ_加工!$B$2:$B$700,C$5)</f>
        <v>198</v>
      </c>
      <c r="D54" s="26">
        <f>SUMIFS(INDEX(元データ_加工!$C$2:$P$700,0,MATCH($B54,元データ_加工!$C$1:$P$1,0)),元データ_加工!$A$2:$A$700,$A54,元データ_加工!$B$2:$B$700,D$5)</f>
        <v>221</v>
      </c>
      <c r="E54" s="26">
        <f>SUMIFS(INDEX(元データ_加工!$C$2:$P$700,0,MATCH($B54,元データ_加工!$C$1:$P$1,0)),元データ_加工!$A$2:$A$700,$A54,元データ_加工!$B$2:$B$700,E$5)</f>
        <v>375</v>
      </c>
      <c r="F54" s="26">
        <f>SUMIFS(INDEX(元データ_加工!$C$2:$P$700,0,MATCH($B54,元データ_加工!$C$1:$P$1,0)),元データ_加工!$A$2:$A$700,$A54,元データ_加工!$B$2:$B$700,F$5)</f>
        <v>215</v>
      </c>
      <c r="G54" s="26">
        <f>SUMIFS(INDEX(元データ_加工!$C$2:$P$700,0,MATCH($B54,元データ_加工!$C$1:$P$1,0)),元データ_加工!$A$2:$A$700,$A54,元データ_加工!$B$2:$B$700,G$5)</f>
        <v>197</v>
      </c>
      <c r="H54" s="26">
        <f>SUMIFS(INDEX(元データ_加工!$C$2:$P$700,0,MATCH($B54,元データ_加工!$C$1:$P$1,0)),元データ_加工!$A$2:$A$700,$A54,元データ_加工!$B$2:$B$700,H$5)</f>
        <v>157</v>
      </c>
      <c r="I54" s="26">
        <f>SUMIFS(INDEX(元データ_加工!$C$2:$P$700,0,MATCH($B54,元データ_加工!$C$1:$P$1,0)),元データ_加工!$A$2:$A$700,$A54,元データ_加工!$B$2:$B$700,I$5)</f>
        <v>136</v>
      </c>
      <c r="J54" s="26">
        <f>SUMIFS(INDEX(元データ_加工!$C$2:$P$700,0,MATCH($B54,元データ_加工!$C$1:$P$1,0)),元データ_加工!$A$2:$A$700,$A54,元データ_加工!$B$2:$B$700,J$5)</f>
        <v>187</v>
      </c>
      <c r="K54" s="26">
        <f>SUMIFS(INDEX(元データ_加工!$C$2:$P$700,0,MATCH($B54,元データ_加工!$C$1:$P$1,0)),元データ_加工!$A$2:$A$700,$A54,元データ_加工!$B$2:$B$700,K$5)</f>
        <v>220</v>
      </c>
      <c r="L54" s="26">
        <f>SUMIFS(INDEX(元データ_加工!$C$2:$P$700,0,MATCH($B54,元データ_加工!$C$1:$P$1,0)),元データ_加工!$A$2:$A$700,$A54,元データ_加工!$B$2:$B$700,L$5)</f>
        <v>177</v>
      </c>
      <c r="M54" s="26">
        <f>SUMIFS(INDEX(元データ_加工!$C$2:$P$700,0,MATCH($B54,元データ_加工!$C$1:$P$1,0)),元データ_加工!$A$2:$A$700,$A54,元データ_加工!$B$2:$B$700,M$5)</f>
        <v>218</v>
      </c>
      <c r="N54" s="26">
        <f>SUMIFS(INDEX(元データ_加工!$C$2:$P$700,0,MATCH($B54,元データ_加工!$C$1:$P$1,0)),元データ_加工!$A$2:$A$700,$A54,元データ_加工!$B$2:$B$700,N$5)</f>
        <v>298</v>
      </c>
      <c r="O54" s="26">
        <f t="shared" si="0"/>
        <v>2599</v>
      </c>
      <c r="P54" s="7">
        <f>IFERROR(O54/SUMIFS(元データ_加工!$C$2:$C$700,元データ_加工!$A$2:$A$700,$A54),"")</f>
        <v>7.337869505067901E-2</v>
      </c>
    </row>
    <row r="55" spans="1:16" x14ac:dyDescent="0.45">
      <c r="A55" t="s">
        <v>38</v>
      </c>
      <c r="B55" t="s">
        <v>107</v>
      </c>
      <c r="C55" s="26">
        <f>SUMIFS(INDEX(元データ_加工!$C$2:$P$700,0,MATCH($B55,元データ_加工!$C$1:$P$1,0)),元データ_加工!$A$2:$A$700,$A55,元データ_加工!$B$2:$B$700,C$5)</f>
        <v>25</v>
      </c>
      <c r="D55" s="26">
        <f>SUMIFS(INDEX(元データ_加工!$C$2:$P$700,0,MATCH($B55,元データ_加工!$C$1:$P$1,0)),元データ_加工!$A$2:$A$700,$A55,元データ_加工!$B$2:$B$700,D$5)</f>
        <v>38</v>
      </c>
      <c r="E55" s="26">
        <f>SUMIFS(INDEX(元データ_加工!$C$2:$P$700,0,MATCH($B55,元データ_加工!$C$1:$P$1,0)),元データ_加工!$A$2:$A$700,$A55,元データ_加工!$B$2:$B$700,E$5)</f>
        <v>45</v>
      </c>
      <c r="F55" s="26">
        <f>SUMIFS(INDEX(元データ_加工!$C$2:$P$700,0,MATCH($B55,元データ_加工!$C$1:$P$1,0)),元データ_加工!$A$2:$A$700,$A55,元データ_加工!$B$2:$B$700,F$5)</f>
        <v>28</v>
      </c>
      <c r="G55" s="26">
        <f>SUMIFS(INDEX(元データ_加工!$C$2:$P$700,0,MATCH($B55,元データ_加工!$C$1:$P$1,0)),元データ_加工!$A$2:$A$700,$A55,元データ_加工!$B$2:$B$700,G$5)</f>
        <v>21</v>
      </c>
      <c r="H55" s="26">
        <f>SUMIFS(INDEX(元データ_加工!$C$2:$P$700,0,MATCH($B55,元データ_加工!$C$1:$P$1,0)),元データ_加工!$A$2:$A$700,$A55,元データ_加工!$B$2:$B$700,H$5)</f>
        <v>16</v>
      </c>
      <c r="I55" s="26">
        <f>SUMIFS(INDEX(元データ_加工!$C$2:$P$700,0,MATCH($B55,元データ_加工!$C$1:$P$1,0)),元データ_加工!$A$2:$A$700,$A55,元データ_加工!$B$2:$B$700,I$5)</f>
        <v>11</v>
      </c>
      <c r="J55" s="26">
        <f>SUMIFS(INDEX(元データ_加工!$C$2:$P$700,0,MATCH($B55,元データ_加工!$C$1:$P$1,0)),元データ_加工!$A$2:$A$700,$A55,元データ_加工!$B$2:$B$700,J$5)</f>
        <v>25</v>
      </c>
      <c r="K55" s="26">
        <f>SUMIFS(INDEX(元データ_加工!$C$2:$P$700,0,MATCH($B55,元データ_加工!$C$1:$P$1,0)),元データ_加工!$A$2:$A$700,$A55,元データ_加工!$B$2:$B$700,K$5)</f>
        <v>16</v>
      </c>
      <c r="L55" s="26">
        <f>SUMIFS(INDEX(元データ_加工!$C$2:$P$700,0,MATCH($B55,元データ_加工!$C$1:$P$1,0)),元データ_加工!$A$2:$A$700,$A55,元データ_加工!$B$2:$B$700,L$5)</f>
        <v>7</v>
      </c>
      <c r="M55" s="26">
        <f>SUMIFS(INDEX(元データ_加工!$C$2:$P$700,0,MATCH($B55,元データ_加工!$C$1:$P$1,0)),元データ_加工!$A$2:$A$700,$A55,元データ_加工!$B$2:$B$700,M$5)</f>
        <v>11</v>
      </c>
      <c r="N55" s="26">
        <f>SUMIFS(INDEX(元データ_加工!$C$2:$P$700,0,MATCH($B55,元データ_加工!$C$1:$P$1,0)),元データ_加工!$A$2:$A$700,$A55,元データ_加工!$B$2:$B$700,N$5)</f>
        <v>60</v>
      </c>
      <c r="O55" s="26">
        <f t="shared" si="0"/>
        <v>303</v>
      </c>
      <c r="P55" s="7">
        <f>IFERROR(O55/SUMIFS(元データ_加工!$C$2:$C$700,元データ_加工!$A$2:$A$700,$A55),"")</f>
        <v>8.5547305118721592E-3</v>
      </c>
    </row>
    <row r="56" spans="1:16" x14ac:dyDescent="0.45">
      <c r="A56" t="s">
        <v>38</v>
      </c>
      <c r="B56" t="s">
        <v>108</v>
      </c>
      <c r="C56" s="26">
        <f>SUMIFS(INDEX(元データ_加工!$C$2:$P$700,0,MATCH($B56,元データ_加工!$C$1:$P$1,0)),元データ_加工!$A$2:$A$700,$A56,元データ_加工!$B$2:$B$700,C$5)</f>
        <v>5</v>
      </c>
      <c r="D56" s="26">
        <f>SUMIFS(INDEX(元データ_加工!$C$2:$P$700,0,MATCH($B56,元データ_加工!$C$1:$P$1,0)),元データ_加工!$A$2:$A$700,$A56,元データ_加工!$B$2:$B$700,D$5)</f>
        <v>19</v>
      </c>
      <c r="E56" s="26">
        <f>SUMIFS(INDEX(元データ_加工!$C$2:$P$700,0,MATCH($B56,元データ_加工!$C$1:$P$1,0)),元データ_加工!$A$2:$A$700,$A56,元データ_加工!$B$2:$B$700,E$5)</f>
        <v>30</v>
      </c>
      <c r="F56" s="26">
        <f>SUMIFS(INDEX(元データ_加工!$C$2:$P$700,0,MATCH($B56,元データ_加工!$C$1:$P$1,0)),元データ_加工!$A$2:$A$700,$A56,元データ_加工!$B$2:$B$700,F$5)</f>
        <v>26</v>
      </c>
      <c r="G56" s="26">
        <f>SUMIFS(INDEX(元データ_加工!$C$2:$P$700,0,MATCH($B56,元データ_加工!$C$1:$P$1,0)),元データ_加工!$A$2:$A$700,$A56,元データ_加工!$B$2:$B$700,G$5)</f>
        <v>5</v>
      </c>
      <c r="H56" s="26">
        <f>SUMIFS(INDEX(元データ_加工!$C$2:$P$700,0,MATCH($B56,元データ_加工!$C$1:$P$1,0)),元データ_加工!$A$2:$A$700,$A56,元データ_加工!$B$2:$B$700,H$5)</f>
        <v>12</v>
      </c>
      <c r="I56" s="26">
        <f>SUMIFS(INDEX(元データ_加工!$C$2:$P$700,0,MATCH($B56,元データ_加工!$C$1:$P$1,0)),元データ_加工!$A$2:$A$700,$A56,元データ_加工!$B$2:$B$700,I$5)</f>
        <v>3</v>
      </c>
      <c r="J56" s="26">
        <f>SUMIFS(INDEX(元データ_加工!$C$2:$P$700,0,MATCH($B56,元データ_加工!$C$1:$P$1,0)),元データ_加工!$A$2:$A$700,$A56,元データ_加工!$B$2:$B$700,J$5)</f>
        <v>5</v>
      </c>
      <c r="K56" s="26">
        <f>SUMIFS(INDEX(元データ_加工!$C$2:$P$700,0,MATCH($B56,元データ_加工!$C$1:$P$1,0)),元データ_加工!$A$2:$A$700,$A56,元データ_加工!$B$2:$B$700,K$5)</f>
        <v>5</v>
      </c>
      <c r="L56" s="26">
        <f>SUMIFS(INDEX(元データ_加工!$C$2:$P$700,0,MATCH($B56,元データ_加工!$C$1:$P$1,0)),元データ_加工!$A$2:$A$700,$A56,元データ_加工!$B$2:$B$700,L$5)</f>
        <v>0</v>
      </c>
      <c r="M56" s="26">
        <f>SUMIFS(INDEX(元データ_加工!$C$2:$P$700,0,MATCH($B56,元データ_加工!$C$1:$P$1,0)),元データ_加工!$A$2:$A$700,$A56,元データ_加工!$B$2:$B$700,M$5)</f>
        <v>0</v>
      </c>
      <c r="N56" s="26">
        <f>SUMIFS(INDEX(元データ_加工!$C$2:$P$700,0,MATCH($B56,元データ_加工!$C$1:$P$1,0)),元データ_加工!$A$2:$A$700,$A56,元データ_加工!$B$2:$B$700,N$5)</f>
        <v>10</v>
      </c>
      <c r="O56" s="26">
        <f t="shared" si="0"/>
        <v>120</v>
      </c>
      <c r="P56" s="7">
        <f>IFERROR(O56/SUMIFS(元データ_加工!$C$2:$C$700,元データ_加工!$A$2:$A$700,$A56),"")</f>
        <v>3.388012083909766E-3</v>
      </c>
    </row>
    <row r="57" spans="1:16" x14ac:dyDescent="0.45">
      <c r="A57" t="s">
        <v>38</v>
      </c>
      <c r="B57" t="s">
        <v>109</v>
      </c>
      <c r="C57" s="26">
        <f>SUMIFS(INDEX(元データ_加工!$C$2:$P$700,0,MATCH($B57,元データ_加工!$C$1:$P$1,0)),元データ_加工!$A$2:$A$700,$A57,元データ_加工!$B$2:$B$700,C$5)</f>
        <v>14</v>
      </c>
      <c r="D57" s="26">
        <f>SUMIFS(INDEX(元データ_加工!$C$2:$P$700,0,MATCH($B57,元データ_加工!$C$1:$P$1,0)),元データ_加工!$A$2:$A$700,$A57,元データ_加工!$B$2:$B$700,D$5)</f>
        <v>27</v>
      </c>
      <c r="E57" s="26">
        <f>SUMIFS(INDEX(元データ_加工!$C$2:$P$700,0,MATCH($B57,元データ_加工!$C$1:$P$1,0)),元データ_加工!$A$2:$A$700,$A57,元データ_加工!$B$2:$B$700,E$5)</f>
        <v>17</v>
      </c>
      <c r="F57" s="26">
        <f>SUMIFS(INDEX(元データ_加工!$C$2:$P$700,0,MATCH($B57,元データ_加工!$C$1:$P$1,0)),元データ_加工!$A$2:$A$700,$A57,元データ_加工!$B$2:$B$700,F$5)</f>
        <v>15</v>
      </c>
      <c r="G57" s="26">
        <f>SUMIFS(INDEX(元データ_加工!$C$2:$P$700,0,MATCH($B57,元データ_加工!$C$1:$P$1,0)),元データ_加工!$A$2:$A$700,$A57,元データ_加工!$B$2:$B$700,G$5)</f>
        <v>45</v>
      </c>
      <c r="H57" s="26">
        <f>SUMIFS(INDEX(元データ_加工!$C$2:$P$700,0,MATCH($B57,元データ_加工!$C$1:$P$1,0)),元データ_加工!$A$2:$A$700,$A57,元データ_加工!$B$2:$B$700,H$5)</f>
        <v>22</v>
      </c>
      <c r="I57" s="26">
        <f>SUMIFS(INDEX(元データ_加工!$C$2:$P$700,0,MATCH($B57,元データ_加工!$C$1:$P$1,0)),元データ_加工!$A$2:$A$700,$A57,元データ_加工!$B$2:$B$700,I$5)</f>
        <v>34</v>
      </c>
      <c r="J57" s="26">
        <f>SUMIFS(INDEX(元データ_加工!$C$2:$P$700,0,MATCH($B57,元データ_加工!$C$1:$P$1,0)),元データ_加工!$A$2:$A$700,$A57,元データ_加工!$B$2:$B$700,J$5)</f>
        <v>50</v>
      </c>
      <c r="K57" s="26">
        <f>SUMIFS(INDEX(元データ_加工!$C$2:$P$700,0,MATCH($B57,元データ_加工!$C$1:$P$1,0)),元データ_加工!$A$2:$A$700,$A57,元データ_加工!$B$2:$B$700,K$5)</f>
        <v>48</v>
      </c>
      <c r="L57" s="26">
        <f>SUMIFS(INDEX(元データ_加工!$C$2:$P$700,0,MATCH($B57,元データ_加工!$C$1:$P$1,0)),元データ_加工!$A$2:$A$700,$A57,元データ_加工!$B$2:$B$700,L$5)</f>
        <v>42</v>
      </c>
      <c r="M57" s="26">
        <f>SUMIFS(INDEX(元データ_加工!$C$2:$P$700,0,MATCH($B57,元データ_加工!$C$1:$P$1,0)),元データ_加工!$A$2:$A$700,$A57,元データ_加工!$B$2:$B$700,M$5)</f>
        <v>53</v>
      </c>
      <c r="N57" s="26">
        <f>SUMIFS(INDEX(元データ_加工!$C$2:$P$700,0,MATCH($B57,元データ_加工!$C$1:$P$1,0)),元データ_加工!$A$2:$A$700,$A57,元データ_加工!$B$2:$B$700,N$5)</f>
        <v>48</v>
      </c>
      <c r="O57" s="26">
        <f t="shared" si="0"/>
        <v>415</v>
      </c>
      <c r="P57" s="7">
        <f>IFERROR(O57/SUMIFS(元データ_加工!$C$2:$C$700,元データ_加工!$A$2:$A$700,$A57),"")</f>
        <v>1.1716875123521275E-2</v>
      </c>
    </row>
    <row r="58" spans="1:16" x14ac:dyDescent="0.45">
      <c r="A58" t="s">
        <v>38</v>
      </c>
      <c r="B58" t="s">
        <v>110</v>
      </c>
      <c r="C58" s="26">
        <f>SUMIFS(INDEX(元データ_加工!$C$2:$P$700,0,MATCH($B58,元データ_加工!$C$1:$P$1,0)),元データ_加工!$A$2:$A$700,$A58,元データ_加工!$B$2:$B$700,C$5)</f>
        <v>0</v>
      </c>
      <c r="D58" s="26">
        <f>SUMIFS(INDEX(元データ_加工!$C$2:$P$700,0,MATCH($B58,元データ_加工!$C$1:$P$1,0)),元データ_加工!$A$2:$A$700,$A58,元データ_加工!$B$2:$B$700,D$5)</f>
        <v>0</v>
      </c>
      <c r="E58" s="26">
        <f>SUMIFS(INDEX(元データ_加工!$C$2:$P$700,0,MATCH($B58,元データ_加工!$C$1:$P$1,0)),元データ_加工!$A$2:$A$700,$A58,元データ_加工!$B$2:$B$700,E$5)</f>
        <v>0</v>
      </c>
      <c r="F58" s="26">
        <f>SUMIFS(INDEX(元データ_加工!$C$2:$P$700,0,MATCH($B58,元データ_加工!$C$1:$P$1,0)),元データ_加工!$A$2:$A$700,$A58,元データ_加工!$B$2:$B$700,F$5)</f>
        <v>0</v>
      </c>
      <c r="G58" s="26">
        <f>SUMIFS(INDEX(元データ_加工!$C$2:$P$700,0,MATCH($B58,元データ_加工!$C$1:$P$1,0)),元データ_加工!$A$2:$A$700,$A58,元データ_加工!$B$2:$B$700,G$5)</f>
        <v>0</v>
      </c>
      <c r="H58" s="26">
        <f>SUMIFS(INDEX(元データ_加工!$C$2:$P$700,0,MATCH($B58,元データ_加工!$C$1:$P$1,0)),元データ_加工!$A$2:$A$700,$A58,元データ_加工!$B$2:$B$700,H$5)</f>
        <v>0</v>
      </c>
      <c r="I58" s="26">
        <f>SUMIFS(INDEX(元データ_加工!$C$2:$P$700,0,MATCH($B58,元データ_加工!$C$1:$P$1,0)),元データ_加工!$A$2:$A$700,$A58,元データ_加工!$B$2:$B$700,I$5)</f>
        <v>0</v>
      </c>
      <c r="J58" s="26">
        <f>SUMIFS(INDEX(元データ_加工!$C$2:$P$700,0,MATCH($B58,元データ_加工!$C$1:$P$1,0)),元データ_加工!$A$2:$A$700,$A58,元データ_加工!$B$2:$B$700,J$5)</f>
        <v>0</v>
      </c>
      <c r="K58" s="26">
        <f>SUMIFS(INDEX(元データ_加工!$C$2:$P$700,0,MATCH($B58,元データ_加工!$C$1:$P$1,0)),元データ_加工!$A$2:$A$700,$A58,元データ_加工!$B$2:$B$700,K$5)</f>
        <v>0</v>
      </c>
      <c r="L58" s="26">
        <f>SUMIFS(INDEX(元データ_加工!$C$2:$P$700,0,MATCH($B58,元データ_加工!$C$1:$P$1,0)),元データ_加工!$A$2:$A$700,$A58,元データ_加工!$B$2:$B$700,L$5)</f>
        <v>0</v>
      </c>
      <c r="M58" s="26">
        <f>SUMIFS(INDEX(元データ_加工!$C$2:$P$700,0,MATCH($B58,元データ_加工!$C$1:$P$1,0)),元データ_加工!$A$2:$A$700,$A58,元データ_加工!$B$2:$B$700,M$5)</f>
        <v>0</v>
      </c>
      <c r="N58" s="26">
        <f>SUMIFS(INDEX(元データ_加工!$C$2:$P$700,0,MATCH($B58,元データ_加工!$C$1:$P$1,0)),元データ_加工!$A$2:$A$700,$A58,元データ_加工!$B$2:$B$700,N$5)</f>
        <v>0</v>
      </c>
      <c r="O58" s="26">
        <f t="shared" si="0"/>
        <v>0</v>
      </c>
      <c r="P58" s="7">
        <f>IFERROR(O58/SUMIFS(元データ_加工!$C$2:$C$700,元データ_加工!$A$2:$A$700,$A58),"")</f>
        <v>0</v>
      </c>
    </row>
    <row r="59" spans="1:16" x14ac:dyDescent="0.45">
      <c r="A59" t="s">
        <v>38</v>
      </c>
      <c r="B59" t="s">
        <v>111</v>
      </c>
      <c r="C59" s="26">
        <f>SUMIFS(INDEX(元データ_加工!$C$2:$P$700,0,MATCH($B59,元データ_加工!$C$1:$P$1,0)),元データ_加工!$A$2:$A$700,$A59,元データ_加工!$B$2:$B$700,C$5)</f>
        <v>0</v>
      </c>
      <c r="D59" s="26">
        <f>SUMIFS(INDEX(元データ_加工!$C$2:$P$700,0,MATCH($B59,元データ_加工!$C$1:$P$1,0)),元データ_加工!$A$2:$A$700,$A59,元データ_加工!$B$2:$B$700,D$5)</f>
        <v>0</v>
      </c>
      <c r="E59" s="26">
        <f>SUMIFS(INDEX(元データ_加工!$C$2:$P$700,0,MATCH($B59,元データ_加工!$C$1:$P$1,0)),元データ_加工!$A$2:$A$700,$A59,元データ_加工!$B$2:$B$700,E$5)</f>
        <v>0</v>
      </c>
      <c r="F59" s="26">
        <f>SUMIFS(INDEX(元データ_加工!$C$2:$P$700,0,MATCH($B59,元データ_加工!$C$1:$P$1,0)),元データ_加工!$A$2:$A$700,$A59,元データ_加工!$B$2:$B$700,F$5)</f>
        <v>0</v>
      </c>
      <c r="G59" s="26">
        <f>SUMIFS(INDEX(元データ_加工!$C$2:$P$700,0,MATCH($B59,元データ_加工!$C$1:$P$1,0)),元データ_加工!$A$2:$A$700,$A59,元データ_加工!$B$2:$B$700,G$5)</f>
        <v>0</v>
      </c>
      <c r="H59" s="26">
        <f>SUMIFS(INDEX(元データ_加工!$C$2:$P$700,0,MATCH($B59,元データ_加工!$C$1:$P$1,0)),元データ_加工!$A$2:$A$700,$A59,元データ_加工!$B$2:$B$700,H$5)</f>
        <v>0</v>
      </c>
      <c r="I59" s="26">
        <f>SUMIFS(INDEX(元データ_加工!$C$2:$P$700,0,MATCH($B59,元データ_加工!$C$1:$P$1,0)),元データ_加工!$A$2:$A$700,$A59,元データ_加工!$B$2:$B$700,I$5)</f>
        <v>0</v>
      </c>
      <c r="J59" s="26">
        <f>SUMIFS(INDEX(元データ_加工!$C$2:$P$700,0,MATCH($B59,元データ_加工!$C$1:$P$1,0)),元データ_加工!$A$2:$A$700,$A59,元データ_加工!$B$2:$B$700,J$5)</f>
        <v>0</v>
      </c>
      <c r="K59" s="26">
        <f>SUMIFS(INDEX(元データ_加工!$C$2:$P$700,0,MATCH($B59,元データ_加工!$C$1:$P$1,0)),元データ_加工!$A$2:$A$700,$A59,元データ_加工!$B$2:$B$700,K$5)</f>
        <v>0</v>
      </c>
      <c r="L59" s="26">
        <f>SUMIFS(INDEX(元データ_加工!$C$2:$P$700,0,MATCH($B59,元データ_加工!$C$1:$P$1,0)),元データ_加工!$A$2:$A$700,$A59,元データ_加工!$B$2:$B$700,L$5)</f>
        <v>0</v>
      </c>
      <c r="M59" s="26">
        <f>SUMIFS(INDEX(元データ_加工!$C$2:$P$700,0,MATCH($B59,元データ_加工!$C$1:$P$1,0)),元データ_加工!$A$2:$A$700,$A59,元データ_加工!$B$2:$B$700,M$5)</f>
        <v>0</v>
      </c>
      <c r="N59" s="26">
        <f>SUMIFS(INDEX(元データ_加工!$C$2:$P$700,0,MATCH($B59,元データ_加工!$C$1:$P$1,0)),元データ_加工!$A$2:$A$700,$A59,元データ_加工!$B$2:$B$700,N$5)</f>
        <v>0</v>
      </c>
      <c r="O59" s="26">
        <f t="shared" si="0"/>
        <v>0</v>
      </c>
      <c r="P59" s="7">
        <f>IFERROR(O59/SUMIFS(元データ_加工!$C$2:$C$700,元データ_加工!$A$2:$A$700,$A59),"")</f>
        <v>0</v>
      </c>
    </row>
    <row r="60" spans="1:16" x14ac:dyDescent="0.45">
      <c r="A60" t="s">
        <v>38</v>
      </c>
      <c r="B60" t="s">
        <v>112</v>
      </c>
      <c r="C60" s="26">
        <f>SUMIFS(INDEX(元データ_加工!$C$2:$P$700,0,MATCH($B60,元データ_加工!$C$1:$P$1,0)),元データ_加工!$A$2:$A$700,$A60,元データ_加工!$B$2:$B$700,C$5)</f>
        <v>0</v>
      </c>
      <c r="D60" s="26">
        <f>SUMIFS(INDEX(元データ_加工!$C$2:$P$700,0,MATCH($B60,元データ_加工!$C$1:$P$1,0)),元データ_加工!$A$2:$A$700,$A60,元データ_加工!$B$2:$B$700,D$5)</f>
        <v>0</v>
      </c>
      <c r="E60" s="26">
        <f>SUMIFS(INDEX(元データ_加工!$C$2:$P$700,0,MATCH($B60,元データ_加工!$C$1:$P$1,0)),元データ_加工!$A$2:$A$700,$A60,元データ_加工!$B$2:$B$700,E$5)</f>
        <v>2</v>
      </c>
      <c r="F60" s="26">
        <f>SUMIFS(INDEX(元データ_加工!$C$2:$P$700,0,MATCH($B60,元データ_加工!$C$1:$P$1,0)),元データ_加工!$A$2:$A$700,$A60,元データ_加工!$B$2:$B$700,F$5)</f>
        <v>2</v>
      </c>
      <c r="G60" s="26">
        <f>SUMIFS(INDEX(元データ_加工!$C$2:$P$700,0,MATCH($B60,元データ_加工!$C$1:$P$1,0)),元データ_加工!$A$2:$A$700,$A60,元データ_加工!$B$2:$B$700,G$5)</f>
        <v>2</v>
      </c>
      <c r="H60" s="26">
        <f>SUMIFS(INDEX(元データ_加工!$C$2:$P$700,0,MATCH($B60,元データ_加工!$C$1:$P$1,0)),元データ_加工!$A$2:$A$700,$A60,元データ_加工!$B$2:$B$700,H$5)</f>
        <v>2</v>
      </c>
      <c r="I60" s="26">
        <f>SUMIFS(INDEX(元データ_加工!$C$2:$P$700,0,MATCH($B60,元データ_加工!$C$1:$P$1,0)),元データ_加工!$A$2:$A$700,$A60,元データ_加工!$B$2:$B$700,I$5)</f>
        <v>2</v>
      </c>
      <c r="J60" s="26">
        <f>SUMIFS(INDEX(元データ_加工!$C$2:$P$700,0,MATCH($B60,元データ_加工!$C$1:$P$1,0)),元データ_加工!$A$2:$A$700,$A60,元データ_加工!$B$2:$B$700,J$5)</f>
        <v>2</v>
      </c>
      <c r="K60" s="26">
        <f>SUMIFS(INDEX(元データ_加工!$C$2:$P$700,0,MATCH($B60,元データ_加工!$C$1:$P$1,0)),元データ_加工!$A$2:$A$700,$A60,元データ_加工!$B$2:$B$700,K$5)</f>
        <v>2</v>
      </c>
      <c r="L60" s="26">
        <f>SUMIFS(INDEX(元データ_加工!$C$2:$P$700,0,MATCH($B60,元データ_加工!$C$1:$P$1,0)),元データ_加工!$A$2:$A$700,$A60,元データ_加工!$B$2:$B$700,L$5)</f>
        <v>3</v>
      </c>
      <c r="M60" s="26">
        <f>SUMIFS(INDEX(元データ_加工!$C$2:$P$700,0,MATCH($B60,元データ_加工!$C$1:$P$1,0)),元データ_加工!$A$2:$A$700,$A60,元データ_加工!$B$2:$B$700,M$5)</f>
        <v>1</v>
      </c>
      <c r="N60" s="26">
        <f>SUMIFS(INDEX(元データ_加工!$C$2:$P$700,0,MATCH($B60,元データ_加工!$C$1:$P$1,0)),元データ_加工!$A$2:$A$700,$A60,元データ_加工!$B$2:$B$700,N$5)</f>
        <v>1</v>
      </c>
      <c r="O60" s="26">
        <f t="shared" si="0"/>
        <v>19</v>
      </c>
      <c r="P60" s="7">
        <f>IFERROR(O60/SUMIFS(元データ_加工!$C$2:$C$700,元データ_加工!$A$2:$A$700,$A60),"")</f>
        <v>5.3643524661904629E-4</v>
      </c>
    </row>
    <row r="61" spans="1:16" x14ac:dyDescent="0.45">
      <c r="A61" t="s">
        <v>38</v>
      </c>
      <c r="B61" t="s">
        <v>113</v>
      </c>
      <c r="C61" s="26">
        <f>SUMIFS(INDEX(元データ_加工!$C$2:$P$700,0,MATCH($B61,元データ_加工!$C$1:$P$1,0)),元データ_加工!$A$2:$A$700,$A61,元データ_加工!$B$2:$B$700,C$5)</f>
        <v>0</v>
      </c>
      <c r="D61" s="26">
        <f>SUMIFS(INDEX(元データ_加工!$C$2:$P$700,0,MATCH($B61,元データ_加工!$C$1:$P$1,0)),元データ_加工!$A$2:$A$700,$A61,元データ_加工!$B$2:$B$700,D$5)</f>
        <v>7</v>
      </c>
      <c r="E61" s="26">
        <f>SUMIFS(INDEX(元データ_加工!$C$2:$P$700,0,MATCH($B61,元データ_加工!$C$1:$P$1,0)),元データ_加工!$A$2:$A$700,$A61,元データ_加工!$B$2:$B$700,E$5)</f>
        <v>12</v>
      </c>
      <c r="F61" s="26">
        <f>SUMIFS(INDEX(元データ_加工!$C$2:$P$700,0,MATCH($B61,元データ_加工!$C$1:$P$1,0)),元データ_加工!$A$2:$A$700,$A61,元データ_加工!$B$2:$B$700,F$5)</f>
        <v>3</v>
      </c>
      <c r="G61" s="26">
        <f>SUMIFS(INDEX(元データ_加工!$C$2:$P$700,0,MATCH($B61,元データ_加工!$C$1:$P$1,0)),元データ_加工!$A$2:$A$700,$A61,元データ_加工!$B$2:$B$700,G$5)</f>
        <v>4</v>
      </c>
      <c r="H61" s="26">
        <f>SUMIFS(INDEX(元データ_加工!$C$2:$P$700,0,MATCH($B61,元データ_加工!$C$1:$P$1,0)),元データ_加工!$A$2:$A$700,$A61,元データ_加工!$B$2:$B$700,H$5)</f>
        <v>5</v>
      </c>
      <c r="I61" s="26">
        <f>SUMIFS(INDEX(元データ_加工!$C$2:$P$700,0,MATCH($B61,元データ_加工!$C$1:$P$1,0)),元データ_加工!$A$2:$A$700,$A61,元データ_加工!$B$2:$B$700,I$5)</f>
        <v>1</v>
      </c>
      <c r="J61" s="26">
        <f>SUMIFS(INDEX(元データ_加工!$C$2:$P$700,0,MATCH($B61,元データ_加工!$C$1:$P$1,0)),元データ_加工!$A$2:$A$700,$A61,元データ_加工!$B$2:$B$700,J$5)</f>
        <v>3</v>
      </c>
      <c r="K61" s="26">
        <f>SUMIFS(INDEX(元データ_加工!$C$2:$P$700,0,MATCH($B61,元データ_加工!$C$1:$P$1,0)),元データ_加工!$A$2:$A$700,$A61,元データ_加工!$B$2:$B$700,K$5)</f>
        <v>4</v>
      </c>
      <c r="L61" s="26">
        <f>SUMIFS(INDEX(元データ_加工!$C$2:$P$700,0,MATCH($B61,元データ_加工!$C$1:$P$1,0)),元データ_加工!$A$2:$A$700,$A61,元データ_加工!$B$2:$B$700,L$5)</f>
        <v>6</v>
      </c>
      <c r="M61" s="26">
        <f>SUMIFS(INDEX(元データ_加工!$C$2:$P$700,0,MATCH($B61,元データ_加工!$C$1:$P$1,0)),元データ_加工!$A$2:$A$700,$A61,元データ_加工!$B$2:$B$700,M$5)</f>
        <v>1</v>
      </c>
      <c r="N61" s="26">
        <f>SUMIFS(INDEX(元データ_加工!$C$2:$P$700,0,MATCH($B61,元データ_加工!$C$1:$P$1,0)),元データ_加工!$A$2:$A$700,$A61,元データ_加工!$B$2:$B$700,N$5)</f>
        <v>6</v>
      </c>
      <c r="O61" s="26">
        <f t="shared" si="0"/>
        <v>52</v>
      </c>
      <c r="P61" s="7">
        <f>IFERROR(O61/SUMIFS(元データ_加工!$C$2:$C$700,元データ_加工!$A$2:$A$700,$A61),"")</f>
        <v>1.4681385696942318E-3</v>
      </c>
    </row>
    <row r="62" spans="1:16" x14ac:dyDescent="0.45">
      <c r="A62" t="s">
        <v>39</v>
      </c>
      <c r="B62" t="s">
        <v>100</v>
      </c>
      <c r="C62" s="26">
        <f>SUMIFS(INDEX(元データ_加工!$C$2:$P$700,0,MATCH($B62,元データ_加工!$C$1:$P$1,0)),元データ_加工!$A$2:$A$700,$A62,元データ_加工!$B$2:$B$700,C$5)</f>
        <v>1360</v>
      </c>
      <c r="D62" s="26">
        <f>SUMIFS(INDEX(元データ_加工!$C$2:$P$700,0,MATCH($B62,元データ_加工!$C$1:$P$1,0)),元データ_加工!$A$2:$A$700,$A62,元データ_加工!$B$2:$B$700,D$5)</f>
        <v>1427</v>
      </c>
      <c r="E62" s="26">
        <f>SUMIFS(INDEX(元データ_加工!$C$2:$P$700,0,MATCH($B62,元データ_加工!$C$1:$P$1,0)),元データ_加工!$A$2:$A$700,$A62,元データ_加工!$B$2:$B$700,E$5)</f>
        <v>2012</v>
      </c>
      <c r="F62" s="26">
        <f>SUMIFS(INDEX(元データ_加工!$C$2:$P$700,0,MATCH($B62,元データ_加工!$C$1:$P$1,0)),元データ_加工!$A$2:$A$700,$A62,元データ_加工!$B$2:$B$700,F$5)</f>
        <v>1853</v>
      </c>
      <c r="G62" s="26">
        <f>SUMIFS(INDEX(元データ_加工!$C$2:$P$700,0,MATCH($B62,元データ_加工!$C$1:$P$1,0)),元データ_加工!$A$2:$A$700,$A62,元データ_加工!$B$2:$B$700,G$5)</f>
        <v>2169</v>
      </c>
      <c r="H62" s="26">
        <f>SUMIFS(INDEX(元データ_加工!$C$2:$P$700,0,MATCH($B62,元データ_加工!$C$1:$P$1,0)),元データ_加工!$A$2:$A$700,$A62,元データ_加工!$B$2:$B$700,H$5)</f>
        <v>1427</v>
      </c>
      <c r="I62" s="26">
        <f>SUMIFS(INDEX(元データ_加工!$C$2:$P$700,0,MATCH($B62,元データ_加工!$C$1:$P$1,0)),元データ_加工!$A$2:$A$700,$A62,元データ_加工!$B$2:$B$700,I$5)</f>
        <v>1295</v>
      </c>
      <c r="J62" s="26">
        <f>SUMIFS(INDEX(元データ_加工!$C$2:$P$700,0,MATCH($B62,元データ_加工!$C$1:$P$1,0)),元データ_加工!$A$2:$A$700,$A62,元データ_加工!$B$2:$B$700,J$5)</f>
        <v>2595</v>
      </c>
      <c r="K62" s="26">
        <f>SUMIFS(INDEX(元データ_加工!$C$2:$P$700,0,MATCH($B62,元データ_加工!$C$1:$P$1,0)),元データ_加工!$A$2:$A$700,$A62,元データ_加工!$B$2:$B$700,K$5)</f>
        <v>4400</v>
      </c>
      <c r="L62" s="26">
        <f>SUMIFS(INDEX(元データ_加工!$C$2:$P$700,0,MATCH($B62,元データ_加工!$C$1:$P$1,0)),元データ_加工!$A$2:$A$700,$A62,元データ_加工!$B$2:$B$700,L$5)</f>
        <v>2857</v>
      </c>
      <c r="M62" s="26">
        <f>SUMIFS(INDEX(元データ_加工!$C$2:$P$700,0,MATCH($B62,元データ_加工!$C$1:$P$1,0)),元データ_加工!$A$2:$A$700,$A62,元データ_加工!$B$2:$B$700,M$5)</f>
        <v>2440</v>
      </c>
      <c r="N62" s="26">
        <f>SUMIFS(INDEX(元データ_加工!$C$2:$P$700,0,MATCH($B62,元データ_加工!$C$1:$P$1,0)),元データ_加工!$A$2:$A$700,$A62,元データ_加工!$B$2:$B$700,N$5)</f>
        <v>2053</v>
      </c>
      <c r="O62" s="26">
        <f t="shared" si="0"/>
        <v>25888</v>
      </c>
      <c r="P62" s="7">
        <f>IFERROR(O62/SUMIFS(元データ_加工!$C$2:$C$700,元データ_加工!$A$2:$A$700,$A62),"")</f>
        <v>1</v>
      </c>
    </row>
    <row r="63" spans="1:16" x14ac:dyDescent="0.45">
      <c r="A63" t="s">
        <v>39</v>
      </c>
      <c r="B63" t="s">
        <v>101</v>
      </c>
      <c r="C63" s="26">
        <f>SUMIFS(INDEX(元データ_加工!$C$2:$P$700,0,MATCH($B63,元データ_加工!$C$1:$P$1,0)),元データ_加工!$A$2:$A$700,$A63,元データ_加工!$B$2:$B$700,C$5)</f>
        <v>619</v>
      </c>
      <c r="D63" s="26">
        <f>SUMIFS(INDEX(元データ_加工!$C$2:$P$700,0,MATCH($B63,元データ_加工!$C$1:$P$1,0)),元データ_加工!$A$2:$A$700,$A63,元データ_加工!$B$2:$B$700,D$5)</f>
        <v>846</v>
      </c>
      <c r="E63" s="26">
        <f>SUMIFS(INDEX(元データ_加工!$C$2:$P$700,0,MATCH($B63,元データ_加工!$C$1:$P$1,0)),元データ_加工!$A$2:$A$700,$A63,元データ_加工!$B$2:$B$700,E$5)</f>
        <v>1060</v>
      </c>
      <c r="F63" s="26">
        <f>SUMIFS(INDEX(元データ_加工!$C$2:$P$700,0,MATCH($B63,元データ_加工!$C$1:$P$1,0)),元データ_加工!$A$2:$A$700,$A63,元データ_加工!$B$2:$B$700,F$5)</f>
        <v>909</v>
      </c>
      <c r="G63" s="26">
        <f>SUMIFS(INDEX(元データ_加工!$C$2:$P$700,0,MATCH($B63,元データ_加工!$C$1:$P$1,0)),元データ_加工!$A$2:$A$700,$A63,元データ_加工!$B$2:$B$700,G$5)</f>
        <v>990</v>
      </c>
      <c r="H63" s="26">
        <f>SUMIFS(INDEX(元データ_加工!$C$2:$P$700,0,MATCH($B63,元データ_加工!$C$1:$P$1,0)),元データ_加工!$A$2:$A$700,$A63,元データ_加工!$B$2:$B$700,H$5)</f>
        <v>748</v>
      </c>
      <c r="I63" s="26">
        <f>SUMIFS(INDEX(元データ_加工!$C$2:$P$700,0,MATCH($B63,元データ_加工!$C$1:$P$1,0)),元データ_加工!$A$2:$A$700,$A63,元データ_加工!$B$2:$B$700,I$5)</f>
        <v>750</v>
      </c>
      <c r="J63" s="26">
        <f>SUMIFS(INDEX(元データ_加工!$C$2:$P$700,0,MATCH($B63,元データ_加工!$C$1:$P$1,0)),元データ_加工!$A$2:$A$700,$A63,元データ_加工!$B$2:$B$700,J$5)</f>
        <v>950</v>
      </c>
      <c r="K63" s="26">
        <f>SUMIFS(INDEX(元データ_加工!$C$2:$P$700,0,MATCH($B63,元データ_加工!$C$1:$P$1,0)),元データ_加工!$A$2:$A$700,$A63,元データ_加工!$B$2:$B$700,K$5)</f>
        <v>959</v>
      </c>
      <c r="L63" s="26">
        <f>SUMIFS(INDEX(元データ_加工!$C$2:$P$700,0,MATCH($B63,元データ_加工!$C$1:$P$1,0)),元データ_加工!$A$2:$A$700,$A63,元データ_加工!$B$2:$B$700,L$5)</f>
        <v>750</v>
      </c>
      <c r="M63" s="26">
        <f>SUMIFS(INDEX(元データ_加工!$C$2:$P$700,0,MATCH($B63,元データ_加工!$C$1:$P$1,0)),元データ_加工!$A$2:$A$700,$A63,元データ_加工!$B$2:$B$700,M$5)</f>
        <v>889</v>
      </c>
      <c r="N63" s="26">
        <f>SUMIFS(INDEX(元データ_加工!$C$2:$P$700,0,MATCH($B63,元データ_加工!$C$1:$P$1,0)),元データ_加工!$A$2:$A$700,$A63,元データ_加工!$B$2:$B$700,N$5)</f>
        <v>739</v>
      </c>
      <c r="O63" s="26">
        <f t="shared" si="0"/>
        <v>10209</v>
      </c>
      <c r="P63" s="7">
        <f>IFERROR(O63/SUMIFS(元データ_加工!$C$2:$C$700,元データ_加工!$A$2:$A$700,$A63),"")</f>
        <v>0.3943525957972806</v>
      </c>
    </row>
    <row r="64" spans="1:16" x14ac:dyDescent="0.45">
      <c r="A64" t="s">
        <v>39</v>
      </c>
      <c r="B64" t="s">
        <v>102</v>
      </c>
      <c r="C64" s="26">
        <f>SUMIFS(INDEX(元データ_加工!$C$2:$P$700,0,MATCH($B64,元データ_加工!$C$1:$P$1,0)),元データ_加工!$A$2:$A$700,$A64,元データ_加工!$B$2:$B$700,C$5)</f>
        <v>0</v>
      </c>
      <c r="D64" s="26">
        <f>SUMIFS(INDEX(元データ_加工!$C$2:$P$700,0,MATCH($B64,元データ_加工!$C$1:$P$1,0)),元データ_加工!$A$2:$A$700,$A64,元データ_加工!$B$2:$B$700,D$5)</f>
        <v>0</v>
      </c>
      <c r="E64" s="26">
        <f>SUMIFS(INDEX(元データ_加工!$C$2:$P$700,0,MATCH($B64,元データ_加工!$C$1:$P$1,0)),元データ_加工!$A$2:$A$700,$A64,元データ_加工!$B$2:$B$700,E$5)</f>
        <v>0</v>
      </c>
      <c r="F64" s="26">
        <f>SUMIFS(INDEX(元データ_加工!$C$2:$P$700,0,MATCH($B64,元データ_加工!$C$1:$P$1,0)),元データ_加工!$A$2:$A$700,$A64,元データ_加工!$B$2:$B$700,F$5)</f>
        <v>0</v>
      </c>
      <c r="G64" s="26">
        <f>SUMIFS(INDEX(元データ_加工!$C$2:$P$700,0,MATCH($B64,元データ_加工!$C$1:$P$1,0)),元データ_加工!$A$2:$A$700,$A64,元データ_加工!$B$2:$B$700,G$5)</f>
        <v>0</v>
      </c>
      <c r="H64" s="26">
        <f>SUMIFS(INDEX(元データ_加工!$C$2:$P$700,0,MATCH($B64,元データ_加工!$C$1:$P$1,0)),元データ_加工!$A$2:$A$700,$A64,元データ_加工!$B$2:$B$700,H$5)</f>
        <v>0</v>
      </c>
      <c r="I64" s="26">
        <f>SUMIFS(INDEX(元データ_加工!$C$2:$P$700,0,MATCH($B64,元データ_加工!$C$1:$P$1,0)),元データ_加工!$A$2:$A$700,$A64,元データ_加工!$B$2:$B$700,I$5)</f>
        <v>0</v>
      </c>
      <c r="J64" s="26">
        <f>SUMIFS(INDEX(元データ_加工!$C$2:$P$700,0,MATCH($B64,元データ_加工!$C$1:$P$1,0)),元データ_加工!$A$2:$A$700,$A64,元データ_加工!$B$2:$B$700,J$5)</f>
        <v>1</v>
      </c>
      <c r="K64" s="26">
        <f>SUMIFS(INDEX(元データ_加工!$C$2:$P$700,0,MATCH($B64,元データ_加工!$C$1:$P$1,0)),元データ_加工!$A$2:$A$700,$A64,元データ_加工!$B$2:$B$700,K$5)</f>
        <v>0</v>
      </c>
      <c r="L64" s="26">
        <f>SUMIFS(INDEX(元データ_加工!$C$2:$P$700,0,MATCH($B64,元データ_加工!$C$1:$P$1,0)),元データ_加工!$A$2:$A$700,$A64,元データ_加工!$B$2:$B$700,L$5)</f>
        <v>0</v>
      </c>
      <c r="M64" s="26">
        <f>SUMIFS(INDEX(元データ_加工!$C$2:$P$700,0,MATCH($B64,元データ_加工!$C$1:$P$1,0)),元データ_加工!$A$2:$A$700,$A64,元データ_加工!$B$2:$B$700,M$5)</f>
        <v>0</v>
      </c>
      <c r="N64" s="26">
        <f>SUMIFS(INDEX(元データ_加工!$C$2:$P$700,0,MATCH($B64,元データ_加工!$C$1:$P$1,0)),元データ_加工!$A$2:$A$700,$A64,元データ_加工!$B$2:$B$700,N$5)</f>
        <v>0</v>
      </c>
      <c r="O64" s="26">
        <f t="shared" si="0"/>
        <v>1</v>
      </c>
      <c r="P64" s="7">
        <f>IFERROR(O64/SUMIFS(元データ_加工!$C$2:$C$700,元データ_加工!$A$2:$A$700,$A64),"")</f>
        <v>3.8627935723114953E-5</v>
      </c>
    </row>
    <row r="65" spans="1:16" x14ac:dyDescent="0.45">
      <c r="A65" t="s">
        <v>39</v>
      </c>
      <c r="B65" t="s">
        <v>103</v>
      </c>
      <c r="C65" s="26">
        <f>SUMIFS(INDEX(元データ_加工!$C$2:$P$700,0,MATCH($B65,元データ_加工!$C$1:$P$1,0)),元データ_加工!$A$2:$A$700,$A65,元データ_加工!$B$2:$B$700,C$5)</f>
        <v>0</v>
      </c>
      <c r="D65" s="26">
        <f>SUMIFS(INDEX(元データ_加工!$C$2:$P$700,0,MATCH($B65,元データ_加工!$C$1:$P$1,0)),元データ_加工!$A$2:$A$700,$A65,元データ_加工!$B$2:$B$700,D$5)</f>
        <v>0</v>
      </c>
      <c r="E65" s="26">
        <f>SUMIFS(INDEX(元データ_加工!$C$2:$P$700,0,MATCH($B65,元データ_加工!$C$1:$P$1,0)),元データ_加工!$A$2:$A$700,$A65,元データ_加工!$B$2:$B$700,E$5)</f>
        <v>1</v>
      </c>
      <c r="F65" s="26">
        <f>SUMIFS(INDEX(元データ_加工!$C$2:$P$700,0,MATCH($B65,元データ_加工!$C$1:$P$1,0)),元データ_加工!$A$2:$A$700,$A65,元データ_加工!$B$2:$B$700,F$5)</f>
        <v>12</v>
      </c>
      <c r="G65" s="26">
        <f>SUMIFS(INDEX(元データ_加工!$C$2:$P$700,0,MATCH($B65,元データ_加工!$C$1:$P$1,0)),元データ_加工!$A$2:$A$700,$A65,元データ_加工!$B$2:$B$700,G$5)</f>
        <v>10</v>
      </c>
      <c r="H65" s="26">
        <f>SUMIFS(INDEX(元データ_加工!$C$2:$P$700,0,MATCH($B65,元データ_加工!$C$1:$P$1,0)),元データ_加工!$A$2:$A$700,$A65,元データ_加工!$B$2:$B$700,H$5)</f>
        <v>4</v>
      </c>
      <c r="I65" s="26">
        <f>SUMIFS(INDEX(元データ_加工!$C$2:$P$700,0,MATCH($B65,元データ_加工!$C$1:$P$1,0)),元データ_加工!$A$2:$A$700,$A65,元データ_加工!$B$2:$B$700,I$5)</f>
        <v>2</v>
      </c>
      <c r="J65" s="26">
        <f>SUMIFS(INDEX(元データ_加工!$C$2:$P$700,0,MATCH($B65,元データ_加工!$C$1:$P$1,0)),元データ_加工!$A$2:$A$700,$A65,元データ_加工!$B$2:$B$700,J$5)</f>
        <v>7</v>
      </c>
      <c r="K65" s="26">
        <f>SUMIFS(INDEX(元データ_加工!$C$2:$P$700,0,MATCH($B65,元データ_加工!$C$1:$P$1,0)),元データ_加工!$A$2:$A$700,$A65,元データ_加工!$B$2:$B$700,K$5)</f>
        <v>3</v>
      </c>
      <c r="L65" s="26">
        <f>SUMIFS(INDEX(元データ_加工!$C$2:$P$700,0,MATCH($B65,元データ_加工!$C$1:$P$1,0)),元データ_加工!$A$2:$A$700,$A65,元データ_加工!$B$2:$B$700,L$5)</f>
        <v>2</v>
      </c>
      <c r="M65" s="26">
        <f>SUMIFS(INDEX(元データ_加工!$C$2:$P$700,0,MATCH($B65,元データ_加工!$C$1:$P$1,0)),元データ_加工!$A$2:$A$700,$A65,元データ_加工!$B$2:$B$700,M$5)</f>
        <v>0</v>
      </c>
      <c r="N65" s="26">
        <f>SUMIFS(INDEX(元データ_加工!$C$2:$P$700,0,MATCH($B65,元データ_加工!$C$1:$P$1,0)),元データ_加工!$A$2:$A$700,$A65,元データ_加工!$B$2:$B$700,N$5)</f>
        <v>1</v>
      </c>
      <c r="O65" s="26">
        <f t="shared" si="0"/>
        <v>42</v>
      </c>
      <c r="P65" s="7">
        <f>IFERROR(O65/SUMIFS(元データ_加工!$C$2:$C$700,元データ_加工!$A$2:$A$700,$A65),"")</f>
        <v>1.6223733003708281E-3</v>
      </c>
    </row>
    <row r="66" spans="1:16" x14ac:dyDescent="0.45">
      <c r="A66" t="s">
        <v>39</v>
      </c>
      <c r="B66" t="s">
        <v>104</v>
      </c>
      <c r="C66" s="26">
        <f>SUMIFS(INDEX(元データ_加工!$C$2:$P$700,0,MATCH($B66,元データ_加工!$C$1:$P$1,0)),元データ_加工!$A$2:$A$700,$A66,元データ_加工!$B$2:$B$700,C$5)</f>
        <v>12</v>
      </c>
      <c r="D66" s="26">
        <f>SUMIFS(INDEX(元データ_加工!$C$2:$P$700,0,MATCH($B66,元データ_加工!$C$1:$P$1,0)),元データ_加工!$A$2:$A$700,$A66,元データ_加工!$B$2:$B$700,D$5)</f>
        <v>22</v>
      </c>
      <c r="E66" s="26">
        <f>SUMIFS(INDEX(元データ_加工!$C$2:$P$700,0,MATCH($B66,元データ_加工!$C$1:$P$1,0)),元データ_加工!$A$2:$A$700,$A66,元データ_加工!$B$2:$B$700,E$5)</f>
        <v>0</v>
      </c>
      <c r="F66" s="26">
        <f>SUMIFS(INDEX(元データ_加工!$C$2:$P$700,0,MATCH($B66,元データ_加工!$C$1:$P$1,0)),元データ_加工!$A$2:$A$700,$A66,元データ_加工!$B$2:$B$700,F$5)</f>
        <v>21</v>
      </c>
      <c r="G66" s="26">
        <f>SUMIFS(INDEX(元データ_加工!$C$2:$P$700,0,MATCH($B66,元データ_加工!$C$1:$P$1,0)),元データ_加工!$A$2:$A$700,$A66,元データ_加工!$B$2:$B$700,G$5)</f>
        <v>39</v>
      </c>
      <c r="H66" s="26">
        <f>SUMIFS(INDEX(元データ_加工!$C$2:$P$700,0,MATCH($B66,元データ_加工!$C$1:$P$1,0)),元データ_加工!$A$2:$A$700,$A66,元データ_加工!$B$2:$B$700,H$5)</f>
        <v>18</v>
      </c>
      <c r="I66" s="26">
        <f>SUMIFS(INDEX(元データ_加工!$C$2:$P$700,0,MATCH($B66,元データ_加工!$C$1:$P$1,0)),元データ_加工!$A$2:$A$700,$A66,元データ_加工!$B$2:$B$700,I$5)</f>
        <v>18</v>
      </c>
      <c r="J66" s="26">
        <f>SUMIFS(INDEX(元データ_加工!$C$2:$P$700,0,MATCH($B66,元データ_加工!$C$1:$P$1,0)),元データ_加工!$A$2:$A$700,$A66,元データ_加工!$B$2:$B$700,J$5)</f>
        <v>87</v>
      </c>
      <c r="K66" s="26">
        <f>SUMIFS(INDEX(元データ_加工!$C$2:$P$700,0,MATCH($B66,元データ_加工!$C$1:$P$1,0)),元データ_加工!$A$2:$A$700,$A66,元データ_加工!$B$2:$B$700,K$5)</f>
        <v>75</v>
      </c>
      <c r="L66" s="26">
        <f>SUMIFS(INDEX(元データ_加工!$C$2:$P$700,0,MATCH($B66,元データ_加工!$C$1:$P$1,0)),元データ_加工!$A$2:$A$700,$A66,元データ_加工!$B$2:$B$700,L$5)</f>
        <v>83</v>
      </c>
      <c r="M66" s="26">
        <f>SUMIFS(INDEX(元データ_加工!$C$2:$P$700,0,MATCH($B66,元データ_加工!$C$1:$P$1,0)),元データ_加工!$A$2:$A$700,$A66,元データ_加工!$B$2:$B$700,M$5)</f>
        <v>54</v>
      </c>
      <c r="N66" s="26">
        <f>SUMIFS(INDEX(元データ_加工!$C$2:$P$700,0,MATCH($B66,元データ_加工!$C$1:$P$1,0)),元データ_加工!$A$2:$A$700,$A66,元データ_加工!$B$2:$B$700,N$5)</f>
        <v>10</v>
      </c>
      <c r="O66" s="26">
        <f t="shared" si="0"/>
        <v>439</v>
      </c>
      <c r="P66" s="7">
        <f>IFERROR(O66/SUMIFS(元データ_加工!$C$2:$C$700,元データ_加工!$A$2:$A$700,$A66),"")</f>
        <v>1.6957663782447466E-2</v>
      </c>
    </row>
    <row r="67" spans="1:16" x14ac:dyDescent="0.45">
      <c r="A67" t="s">
        <v>39</v>
      </c>
      <c r="B67" t="s">
        <v>105</v>
      </c>
      <c r="C67" s="26">
        <f>SUMIFS(INDEX(元データ_加工!$C$2:$P$700,0,MATCH($B67,元データ_加工!$C$1:$P$1,0)),元データ_加工!$A$2:$A$700,$A67,元データ_加工!$B$2:$B$700,C$5)</f>
        <v>2</v>
      </c>
      <c r="D67" s="26">
        <f>SUMIFS(INDEX(元データ_加工!$C$2:$P$700,0,MATCH($B67,元データ_加工!$C$1:$P$1,0)),元データ_加工!$A$2:$A$700,$A67,元データ_加工!$B$2:$B$700,D$5)</f>
        <v>5</v>
      </c>
      <c r="E67" s="26">
        <f>SUMIFS(INDEX(元データ_加工!$C$2:$P$700,0,MATCH($B67,元データ_加工!$C$1:$P$1,0)),元データ_加工!$A$2:$A$700,$A67,元データ_加工!$B$2:$B$700,E$5)</f>
        <v>34</v>
      </c>
      <c r="F67" s="26">
        <f>SUMIFS(INDEX(元データ_加工!$C$2:$P$700,0,MATCH($B67,元データ_加工!$C$1:$P$1,0)),元データ_加工!$A$2:$A$700,$A67,元データ_加工!$B$2:$B$700,F$5)</f>
        <v>8</v>
      </c>
      <c r="G67" s="26">
        <f>SUMIFS(INDEX(元データ_加工!$C$2:$P$700,0,MATCH($B67,元データ_加工!$C$1:$P$1,0)),元データ_加工!$A$2:$A$700,$A67,元データ_加工!$B$2:$B$700,G$5)</f>
        <v>6</v>
      </c>
      <c r="H67" s="26">
        <f>SUMIFS(INDEX(元データ_加工!$C$2:$P$700,0,MATCH($B67,元データ_加工!$C$1:$P$1,0)),元データ_加工!$A$2:$A$700,$A67,元データ_加工!$B$2:$B$700,H$5)</f>
        <v>7</v>
      </c>
      <c r="I67" s="26">
        <f>SUMIFS(INDEX(元データ_加工!$C$2:$P$700,0,MATCH($B67,元データ_加工!$C$1:$P$1,0)),元データ_加工!$A$2:$A$700,$A67,元データ_加工!$B$2:$B$700,I$5)</f>
        <v>14</v>
      </c>
      <c r="J67" s="26">
        <f>SUMIFS(INDEX(元データ_加工!$C$2:$P$700,0,MATCH($B67,元データ_加工!$C$1:$P$1,0)),元データ_加工!$A$2:$A$700,$A67,元データ_加工!$B$2:$B$700,J$5)</f>
        <v>35</v>
      </c>
      <c r="K67" s="26">
        <f>SUMIFS(INDEX(元データ_加工!$C$2:$P$700,0,MATCH($B67,元データ_加工!$C$1:$P$1,0)),元データ_加工!$A$2:$A$700,$A67,元データ_加工!$B$2:$B$700,K$5)</f>
        <v>50</v>
      </c>
      <c r="L67" s="26">
        <f>SUMIFS(INDEX(元データ_加工!$C$2:$P$700,0,MATCH($B67,元データ_加工!$C$1:$P$1,0)),元データ_加工!$A$2:$A$700,$A67,元データ_加工!$B$2:$B$700,L$5)</f>
        <v>41</v>
      </c>
      <c r="M67" s="26">
        <f>SUMIFS(INDEX(元データ_加工!$C$2:$P$700,0,MATCH($B67,元データ_加工!$C$1:$P$1,0)),元データ_加工!$A$2:$A$700,$A67,元データ_加工!$B$2:$B$700,M$5)</f>
        <v>17</v>
      </c>
      <c r="N67" s="26">
        <f>SUMIFS(INDEX(元データ_加工!$C$2:$P$700,0,MATCH($B67,元データ_加工!$C$1:$P$1,0)),元データ_加工!$A$2:$A$700,$A67,元データ_加工!$B$2:$B$700,N$5)</f>
        <v>16</v>
      </c>
      <c r="O67" s="26">
        <f t="shared" si="0"/>
        <v>235</v>
      </c>
      <c r="P67" s="7">
        <f>IFERROR(O67/SUMIFS(元データ_加工!$C$2:$C$700,元データ_加工!$A$2:$A$700,$A67),"")</f>
        <v>9.0775648949320154E-3</v>
      </c>
    </row>
    <row r="68" spans="1:16" x14ac:dyDescent="0.45">
      <c r="A68" t="s">
        <v>39</v>
      </c>
      <c r="B68" t="s">
        <v>106</v>
      </c>
      <c r="C68" s="26">
        <f>SUMIFS(INDEX(元データ_加工!$C$2:$P$700,0,MATCH($B68,元データ_加工!$C$1:$P$1,0)),元データ_加工!$A$2:$A$700,$A68,元データ_加工!$B$2:$B$700,C$5)</f>
        <v>155</v>
      </c>
      <c r="D68" s="26">
        <f>SUMIFS(INDEX(元データ_加工!$C$2:$P$700,0,MATCH($B68,元データ_加工!$C$1:$P$1,0)),元データ_加工!$A$2:$A$700,$A68,元データ_加工!$B$2:$B$700,D$5)</f>
        <v>169</v>
      </c>
      <c r="E68" s="26">
        <f>SUMIFS(INDEX(元データ_加工!$C$2:$P$700,0,MATCH($B68,元データ_加工!$C$1:$P$1,0)),元データ_加工!$A$2:$A$700,$A68,元データ_加工!$B$2:$B$700,E$5)</f>
        <v>175</v>
      </c>
      <c r="F68" s="26">
        <f>SUMIFS(INDEX(元データ_加工!$C$2:$P$700,0,MATCH($B68,元データ_加工!$C$1:$P$1,0)),元データ_加工!$A$2:$A$700,$A68,元データ_加工!$B$2:$B$700,F$5)</f>
        <v>122</v>
      </c>
      <c r="G68" s="26">
        <f>SUMIFS(INDEX(元データ_加工!$C$2:$P$700,0,MATCH($B68,元データ_加工!$C$1:$P$1,0)),元データ_加工!$A$2:$A$700,$A68,元データ_加工!$B$2:$B$700,G$5)</f>
        <v>214</v>
      </c>
      <c r="H68" s="26">
        <f>SUMIFS(INDEX(元データ_加工!$C$2:$P$700,0,MATCH($B68,元データ_加工!$C$1:$P$1,0)),元データ_加工!$A$2:$A$700,$A68,元データ_加工!$B$2:$B$700,H$5)</f>
        <v>105</v>
      </c>
      <c r="I68" s="26">
        <f>SUMIFS(INDEX(元データ_加工!$C$2:$P$700,0,MATCH($B68,元データ_加工!$C$1:$P$1,0)),元データ_加工!$A$2:$A$700,$A68,元データ_加工!$B$2:$B$700,I$5)</f>
        <v>123</v>
      </c>
      <c r="J68" s="26">
        <f>SUMIFS(INDEX(元データ_加工!$C$2:$P$700,0,MATCH($B68,元データ_加工!$C$1:$P$1,0)),元データ_加工!$A$2:$A$700,$A68,元データ_加工!$B$2:$B$700,J$5)</f>
        <v>185</v>
      </c>
      <c r="K68" s="26">
        <f>SUMIFS(INDEX(元データ_加工!$C$2:$P$700,0,MATCH($B68,元データ_加工!$C$1:$P$1,0)),元データ_加工!$A$2:$A$700,$A68,元データ_加工!$B$2:$B$700,K$5)</f>
        <v>202</v>
      </c>
      <c r="L68" s="26">
        <f>SUMIFS(INDEX(元データ_加工!$C$2:$P$700,0,MATCH($B68,元データ_加工!$C$1:$P$1,0)),元データ_加工!$A$2:$A$700,$A68,元データ_加工!$B$2:$B$700,L$5)</f>
        <v>177</v>
      </c>
      <c r="M68" s="26">
        <f>SUMIFS(INDEX(元データ_加工!$C$2:$P$700,0,MATCH($B68,元データ_加工!$C$1:$P$1,0)),元データ_加工!$A$2:$A$700,$A68,元データ_加工!$B$2:$B$700,M$5)</f>
        <v>249</v>
      </c>
      <c r="N68" s="26">
        <f>SUMIFS(INDEX(元データ_加工!$C$2:$P$700,0,MATCH($B68,元データ_加工!$C$1:$P$1,0)),元データ_加工!$A$2:$A$700,$A68,元データ_加工!$B$2:$B$700,N$5)</f>
        <v>245</v>
      </c>
      <c r="O68" s="26">
        <f t="shared" si="0"/>
        <v>2121</v>
      </c>
      <c r="P68" s="7">
        <f>IFERROR(O68/SUMIFS(元データ_加工!$C$2:$C$700,元データ_加工!$A$2:$A$700,$A68),"")</f>
        <v>8.1929851668726822E-2</v>
      </c>
    </row>
    <row r="69" spans="1:16" x14ac:dyDescent="0.45">
      <c r="A69" t="s">
        <v>39</v>
      </c>
      <c r="B69" t="s">
        <v>107</v>
      </c>
      <c r="C69" s="26">
        <f>SUMIFS(INDEX(元データ_加工!$C$2:$P$700,0,MATCH($B69,元データ_加工!$C$1:$P$1,0)),元データ_加工!$A$2:$A$700,$A69,元データ_加工!$B$2:$B$700,C$5)</f>
        <v>24</v>
      </c>
      <c r="D69" s="26">
        <f>SUMIFS(INDEX(元データ_加工!$C$2:$P$700,0,MATCH($B69,元データ_加工!$C$1:$P$1,0)),元データ_加工!$A$2:$A$700,$A69,元データ_加工!$B$2:$B$700,D$5)</f>
        <v>32</v>
      </c>
      <c r="E69" s="26">
        <f>SUMIFS(INDEX(元データ_加工!$C$2:$P$700,0,MATCH($B69,元データ_加工!$C$1:$P$1,0)),元データ_加工!$A$2:$A$700,$A69,元データ_加工!$B$2:$B$700,E$5)</f>
        <v>28</v>
      </c>
      <c r="F69" s="26">
        <f>SUMIFS(INDEX(元データ_加工!$C$2:$P$700,0,MATCH($B69,元データ_加工!$C$1:$P$1,0)),元データ_加工!$A$2:$A$700,$A69,元データ_加工!$B$2:$B$700,F$5)</f>
        <v>21</v>
      </c>
      <c r="G69" s="26">
        <f>SUMIFS(INDEX(元データ_加工!$C$2:$P$700,0,MATCH($B69,元データ_加工!$C$1:$P$1,0)),元データ_加工!$A$2:$A$700,$A69,元データ_加工!$B$2:$B$700,G$5)</f>
        <v>14</v>
      </c>
      <c r="H69" s="26">
        <f>SUMIFS(INDEX(元データ_加工!$C$2:$P$700,0,MATCH($B69,元データ_加工!$C$1:$P$1,0)),元データ_加工!$A$2:$A$700,$A69,元データ_加工!$B$2:$B$700,H$5)</f>
        <v>4</v>
      </c>
      <c r="I69" s="26">
        <f>SUMIFS(INDEX(元データ_加工!$C$2:$P$700,0,MATCH($B69,元データ_加工!$C$1:$P$1,0)),元データ_加工!$A$2:$A$700,$A69,元データ_加工!$B$2:$B$700,I$5)</f>
        <v>5</v>
      </c>
      <c r="J69" s="26">
        <f>SUMIFS(INDEX(元データ_加工!$C$2:$P$700,0,MATCH($B69,元データ_加工!$C$1:$P$1,0)),元データ_加工!$A$2:$A$700,$A69,元データ_加工!$B$2:$B$700,J$5)</f>
        <v>6</v>
      </c>
      <c r="K69" s="26">
        <f>SUMIFS(INDEX(元データ_加工!$C$2:$P$700,0,MATCH($B69,元データ_加工!$C$1:$P$1,0)),元データ_加工!$A$2:$A$700,$A69,元データ_加工!$B$2:$B$700,K$5)</f>
        <v>21</v>
      </c>
      <c r="L69" s="26">
        <f>SUMIFS(INDEX(元データ_加工!$C$2:$P$700,0,MATCH($B69,元データ_加工!$C$1:$P$1,0)),元データ_加工!$A$2:$A$700,$A69,元データ_加工!$B$2:$B$700,L$5)</f>
        <v>14</v>
      </c>
      <c r="M69" s="26">
        <f>SUMIFS(INDEX(元データ_加工!$C$2:$P$700,0,MATCH($B69,元データ_加工!$C$1:$P$1,0)),元データ_加工!$A$2:$A$700,$A69,元データ_加工!$B$2:$B$700,M$5)</f>
        <v>5</v>
      </c>
      <c r="N69" s="26">
        <f>SUMIFS(INDEX(元データ_加工!$C$2:$P$700,0,MATCH($B69,元データ_加工!$C$1:$P$1,0)),元データ_加工!$A$2:$A$700,$A69,元データ_加工!$B$2:$B$700,N$5)</f>
        <v>52</v>
      </c>
      <c r="O69" s="26">
        <f t="shared" si="0"/>
        <v>226</v>
      </c>
      <c r="P69" s="7">
        <f>IFERROR(O69/SUMIFS(元データ_加工!$C$2:$C$700,元データ_加工!$A$2:$A$700,$A69),"")</f>
        <v>8.7299134734239794E-3</v>
      </c>
    </row>
    <row r="70" spans="1:16" x14ac:dyDescent="0.45">
      <c r="A70" t="s">
        <v>39</v>
      </c>
      <c r="B70" t="s">
        <v>108</v>
      </c>
      <c r="C70" s="26">
        <f>SUMIFS(INDEX(元データ_加工!$C$2:$P$700,0,MATCH($B70,元データ_加工!$C$1:$P$1,0)),元データ_加工!$A$2:$A$700,$A70,元データ_加工!$B$2:$B$700,C$5)</f>
        <v>3</v>
      </c>
      <c r="D70" s="26">
        <f>SUMIFS(INDEX(元データ_加工!$C$2:$P$700,0,MATCH($B70,元データ_加工!$C$1:$P$1,0)),元データ_加工!$A$2:$A$700,$A70,元データ_加工!$B$2:$B$700,D$5)</f>
        <v>20</v>
      </c>
      <c r="E70" s="26">
        <f>SUMIFS(INDEX(元データ_加工!$C$2:$P$700,0,MATCH($B70,元データ_加工!$C$1:$P$1,0)),元データ_加工!$A$2:$A$700,$A70,元データ_加工!$B$2:$B$700,E$5)</f>
        <v>47</v>
      </c>
      <c r="F70" s="26">
        <f>SUMIFS(INDEX(元データ_加工!$C$2:$P$700,0,MATCH($B70,元データ_加工!$C$1:$P$1,0)),元データ_加工!$A$2:$A$700,$A70,元データ_加工!$B$2:$B$700,F$5)</f>
        <v>30</v>
      </c>
      <c r="G70" s="26">
        <f>SUMIFS(INDEX(元データ_加工!$C$2:$P$700,0,MATCH($B70,元データ_加工!$C$1:$P$1,0)),元データ_加工!$A$2:$A$700,$A70,元データ_加工!$B$2:$B$700,G$5)</f>
        <v>22</v>
      </c>
      <c r="H70" s="26">
        <f>SUMIFS(INDEX(元データ_加工!$C$2:$P$700,0,MATCH($B70,元データ_加工!$C$1:$P$1,0)),元データ_加工!$A$2:$A$700,$A70,元データ_加工!$B$2:$B$700,H$5)</f>
        <v>24</v>
      </c>
      <c r="I70" s="26">
        <f>SUMIFS(INDEX(元データ_加工!$C$2:$P$700,0,MATCH($B70,元データ_加工!$C$1:$P$1,0)),元データ_加工!$A$2:$A$700,$A70,元データ_加工!$B$2:$B$700,I$5)</f>
        <v>29</v>
      </c>
      <c r="J70" s="26">
        <f>SUMIFS(INDEX(元データ_加工!$C$2:$P$700,0,MATCH($B70,元データ_加工!$C$1:$P$1,0)),元データ_加工!$A$2:$A$700,$A70,元データ_加工!$B$2:$B$700,J$5)</f>
        <v>27</v>
      </c>
      <c r="K70" s="26">
        <f>SUMIFS(INDEX(元データ_加工!$C$2:$P$700,0,MATCH($B70,元データ_加工!$C$1:$P$1,0)),元データ_加工!$A$2:$A$700,$A70,元データ_加工!$B$2:$B$700,K$5)</f>
        <v>22</v>
      </c>
      <c r="L70" s="26">
        <f>SUMIFS(INDEX(元データ_加工!$C$2:$P$700,0,MATCH($B70,元データ_加工!$C$1:$P$1,0)),元データ_加工!$A$2:$A$700,$A70,元データ_加工!$B$2:$B$700,L$5)</f>
        <v>8</v>
      </c>
      <c r="M70" s="26">
        <f>SUMIFS(INDEX(元データ_加工!$C$2:$P$700,0,MATCH($B70,元データ_加工!$C$1:$P$1,0)),元データ_加工!$A$2:$A$700,$A70,元データ_加工!$B$2:$B$700,M$5)</f>
        <v>19</v>
      </c>
      <c r="N70" s="26">
        <f>SUMIFS(INDEX(元データ_加工!$C$2:$P$700,0,MATCH($B70,元データ_加工!$C$1:$P$1,0)),元データ_加工!$A$2:$A$700,$A70,元データ_加工!$B$2:$B$700,N$5)</f>
        <v>6</v>
      </c>
      <c r="O70" s="26">
        <f t="shared" si="0"/>
        <v>257</v>
      </c>
      <c r="P70" s="7">
        <f>IFERROR(O70/SUMIFS(元データ_加工!$C$2:$C$700,元データ_加工!$A$2:$A$700,$A70),"")</f>
        <v>9.9273794808405445E-3</v>
      </c>
    </row>
    <row r="71" spans="1:16" x14ac:dyDescent="0.45">
      <c r="A71" t="s">
        <v>39</v>
      </c>
      <c r="B71" t="s">
        <v>109</v>
      </c>
      <c r="C71" s="26">
        <f>SUMIFS(INDEX(元データ_加工!$C$2:$P$700,0,MATCH($B71,元データ_加工!$C$1:$P$1,0)),元データ_加工!$A$2:$A$700,$A71,元データ_加工!$B$2:$B$700,C$5)</f>
        <v>23</v>
      </c>
      <c r="D71" s="26">
        <f>SUMIFS(INDEX(元データ_加工!$C$2:$P$700,0,MATCH($B71,元データ_加工!$C$1:$P$1,0)),元データ_加工!$A$2:$A$700,$A71,元データ_加工!$B$2:$B$700,D$5)</f>
        <v>45</v>
      </c>
      <c r="E71" s="26">
        <f>SUMIFS(INDEX(元データ_加工!$C$2:$P$700,0,MATCH($B71,元データ_加工!$C$1:$P$1,0)),元データ_加工!$A$2:$A$700,$A71,元データ_加工!$B$2:$B$700,E$5)</f>
        <v>60</v>
      </c>
      <c r="F71" s="26">
        <f>SUMIFS(INDEX(元データ_加工!$C$2:$P$700,0,MATCH($B71,元データ_加工!$C$1:$P$1,0)),元データ_加工!$A$2:$A$700,$A71,元データ_加工!$B$2:$B$700,F$5)</f>
        <v>51</v>
      </c>
      <c r="G71" s="26">
        <f>SUMIFS(INDEX(元データ_加工!$C$2:$P$700,0,MATCH($B71,元データ_加工!$C$1:$P$1,0)),元データ_加工!$A$2:$A$700,$A71,元データ_加工!$B$2:$B$700,G$5)</f>
        <v>65</v>
      </c>
      <c r="H71" s="26">
        <f>SUMIFS(INDEX(元データ_加工!$C$2:$P$700,0,MATCH($B71,元データ_加工!$C$1:$P$1,0)),元データ_加工!$A$2:$A$700,$A71,元データ_加工!$B$2:$B$700,H$5)</f>
        <v>33</v>
      </c>
      <c r="I71" s="26">
        <f>SUMIFS(INDEX(元データ_加工!$C$2:$P$700,0,MATCH($B71,元データ_加工!$C$1:$P$1,0)),元データ_加工!$A$2:$A$700,$A71,元データ_加工!$B$2:$B$700,I$5)</f>
        <v>31</v>
      </c>
      <c r="J71" s="26">
        <f>SUMIFS(INDEX(元データ_加工!$C$2:$P$700,0,MATCH($B71,元データ_加工!$C$1:$P$1,0)),元データ_加工!$A$2:$A$700,$A71,元データ_加工!$B$2:$B$700,J$5)</f>
        <v>78</v>
      </c>
      <c r="K71" s="26">
        <f>SUMIFS(INDEX(元データ_加工!$C$2:$P$700,0,MATCH($B71,元データ_加工!$C$1:$P$1,0)),元データ_加工!$A$2:$A$700,$A71,元データ_加工!$B$2:$B$700,K$5)</f>
        <v>70</v>
      </c>
      <c r="L71" s="26">
        <f>SUMIFS(INDEX(元データ_加工!$C$2:$P$700,0,MATCH($B71,元データ_加工!$C$1:$P$1,0)),元データ_加工!$A$2:$A$700,$A71,元データ_加工!$B$2:$B$700,L$5)</f>
        <v>54</v>
      </c>
      <c r="M71" s="26">
        <f>SUMIFS(INDEX(元データ_加工!$C$2:$P$700,0,MATCH($B71,元データ_加工!$C$1:$P$1,0)),元データ_加工!$A$2:$A$700,$A71,元データ_加工!$B$2:$B$700,M$5)</f>
        <v>41</v>
      </c>
      <c r="N71" s="26">
        <f>SUMIFS(INDEX(元データ_加工!$C$2:$P$700,0,MATCH($B71,元データ_加工!$C$1:$P$1,0)),元データ_加工!$A$2:$A$700,$A71,元データ_加工!$B$2:$B$700,N$5)</f>
        <v>63</v>
      </c>
      <c r="O71" s="26">
        <f t="shared" ref="O71:O134" si="1">SUM(C71:N71)</f>
        <v>614</v>
      </c>
      <c r="P71" s="7">
        <f>IFERROR(O71/SUMIFS(元データ_加工!$C$2:$C$700,元データ_加工!$A$2:$A$700,$A71),"")</f>
        <v>2.3717552533992582E-2</v>
      </c>
    </row>
    <row r="72" spans="1:16" x14ac:dyDescent="0.45">
      <c r="A72" t="s">
        <v>39</v>
      </c>
      <c r="B72" t="s">
        <v>110</v>
      </c>
      <c r="C72" s="26">
        <f>SUMIFS(INDEX(元データ_加工!$C$2:$P$700,0,MATCH($B72,元データ_加工!$C$1:$P$1,0)),元データ_加工!$A$2:$A$700,$A72,元データ_加工!$B$2:$B$700,C$5)</f>
        <v>0</v>
      </c>
      <c r="D72" s="26">
        <f>SUMIFS(INDEX(元データ_加工!$C$2:$P$700,0,MATCH($B72,元データ_加工!$C$1:$P$1,0)),元データ_加工!$A$2:$A$700,$A72,元データ_加工!$B$2:$B$700,D$5)</f>
        <v>0</v>
      </c>
      <c r="E72" s="26">
        <f>SUMIFS(INDEX(元データ_加工!$C$2:$P$700,0,MATCH($B72,元データ_加工!$C$1:$P$1,0)),元データ_加工!$A$2:$A$700,$A72,元データ_加工!$B$2:$B$700,E$5)</f>
        <v>0</v>
      </c>
      <c r="F72" s="26">
        <f>SUMIFS(INDEX(元データ_加工!$C$2:$P$700,0,MATCH($B72,元データ_加工!$C$1:$P$1,0)),元データ_加工!$A$2:$A$700,$A72,元データ_加工!$B$2:$B$700,F$5)</f>
        <v>0</v>
      </c>
      <c r="G72" s="26">
        <f>SUMIFS(INDEX(元データ_加工!$C$2:$P$700,0,MATCH($B72,元データ_加工!$C$1:$P$1,0)),元データ_加工!$A$2:$A$700,$A72,元データ_加工!$B$2:$B$700,G$5)</f>
        <v>0</v>
      </c>
      <c r="H72" s="26">
        <f>SUMIFS(INDEX(元データ_加工!$C$2:$P$700,0,MATCH($B72,元データ_加工!$C$1:$P$1,0)),元データ_加工!$A$2:$A$700,$A72,元データ_加工!$B$2:$B$700,H$5)</f>
        <v>0</v>
      </c>
      <c r="I72" s="26">
        <f>SUMIFS(INDEX(元データ_加工!$C$2:$P$700,0,MATCH($B72,元データ_加工!$C$1:$P$1,0)),元データ_加工!$A$2:$A$700,$A72,元データ_加工!$B$2:$B$700,I$5)</f>
        <v>0</v>
      </c>
      <c r="J72" s="26">
        <f>SUMIFS(INDEX(元データ_加工!$C$2:$P$700,0,MATCH($B72,元データ_加工!$C$1:$P$1,0)),元データ_加工!$A$2:$A$700,$A72,元データ_加工!$B$2:$B$700,J$5)</f>
        <v>0</v>
      </c>
      <c r="K72" s="26">
        <f>SUMIFS(INDEX(元データ_加工!$C$2:$P$700,0,MATCH($B72,元データ_加工!$C$1:$P$1,0)),元データ_加工!$A$2:$A$700,$A72,元データ_加工!$B$2:$B$700,K$5)</f>
        <v>0</v>
      </c>
      <c r="L72" s="26">
        <f>SUMIFS(INDEX(元データ_加工!$C$2:$P$700,0,MATCH($B72,元データ_加工!$C$1:$P$1,0)),元データ_加工!$A$2:$A$700,$A72,元データ_加工!$B$2:$B$700,L$5)</f>
        <v>0</v>
      </c>
      <c r="M72" s="26">
        <f>SUMIFS(INDEX(元データ_加工!$C$2:$P$700,0,MATCH($B72,元データ_加工!$C$1:$P$1,0)),元データ_加工!$A$2:$A$700,$A72,元データ_加工!$B$2:$B$700,M$5)</f>
        <v>0</v>
      </c>
      <c r="N72" s="26">
        <f>SUMIFS(INDEX(元データ_加工!$C$2:$P$700,0,MATCH($B72,元データ_加工!$C$1:$P$1,0)),元データ_加工!$A$2:$A$700,$A72,元データ_加工!$B$2:$B$700,N$5)</f>
        <v>0</v>
      </c>
      <c r="O72" s="26">
        <f t="shared" si="1"/>
        <v>0</v>
      </c>
      <c r="P72" s="7">
        <f>IFERROR(O72/SUMIFS(元データ_加工!$C$2:$C$700,元データ_加工!$A$2:$A$700,$A72),"")</f>
        <v>0</v>
      </c>
    </row>
    <row r="73" spans="1:16" x14ac:dyDescent="0.45">
      <c r="A73" t="s">
        <v>39</v>
      </c>
      <c r="B73" t="s">
        <v>111</v>
      </c>
      <c r="C73" s="26">
        <f>SUMIFS(INDEX(元データ_加工!$C$2:$P$700,0,MATCH($B73,元データ_加工!$C$1:$P$1,0)),元データ_加工!$A$2:$A$700,$A73,元データ_加工!$B$2:$B$700,C$5)</f>
        <v>0</v>
      </c>
      <c r="D73" s="26">
        <f>SUMIFS(INDEX(元データ_加工!$C$2:$P$700,0,MATCH($B73,元データ_加工!$C$1:$P$1,0)),元データ_加工!$A$2:$A$700,$A73,元データ_加工!$B$2:$B$700,D$5)</f>
        <v>0</v>
      </c>
      <c r="E73" s="26">
        <f>SUMIFS(INDEX(元データ_加工!$C$2:$P$700,0,MATCH($B73,元データ_加工!$C$1:$P$1,0)),元データ_加工!$A$2:$A$700,$A73,元データ_加工!$B$2:$B$700,E$5)</f>
        <v>0</v>
      </c>
      <c r="F73" s="26">
        <f>SUMIFS(INDEX(元データ_加工!$C$2:$P$700,0,MATCH($B73,元データ_加工!$C$1:$P$1,0)),元データ_加工!$A$2:$A$700,$A73,元データ_加工!$B$2:$B$700,F$5)</f>
        <v>0</v>
      </c>
      <c r="G73" s="26">
        <f>SUMIFS(INDEX(元データ_加工!$C$2:$P$700,0,MATCH($B73,元データ_加工!$C$1:$P$1,0)),元データ_加工!$A$2:$A$700,$A73,元データ_加工!$B$2:$B$700,G$5)</f>
        <v>0</v>
      </c>
      <c r="H73" s="26">
        <f>SUMIFS(INDEX(元データ_加工!$C$2:$P$700,0,MATCH($B73,元データ_加工!$C$1:$P$1,0)),元データ_加工!$A$2:$A$700,$A73,元データ_加工!$B$2:$B$700,H$5)</f>
        <v>0</v>
      </c>
      <c r="I73" s="26">
        <f>SUMIFS(INDEX(元データ_加工!$C$2:$P$700,0,MATCH($B73,元データ_加工!$C$1:$P$1,0)),元データ_加工!$A$2:$A$700,$A73,元データ_加工!$B$2:$B$700,I$5)</f>
        <v>0</v>
      </c>
      <c r="J73" s="26">
        <f>SUMIFS(INDEX(元データ_加工!$C$2:$P$700,0,MATCH($B73,元データ_加工!$C$1:$P$1,0)),元データ_加工!$A$2:$A$700,$A73,元データ_加工!$B$2:$B$700,J$5)</f>
        <v>0</v>
      </c>
      <c r="K73" s="26">
        <f>SUMIFS(INDEX(元データ_加工!$C$2:$P$700,0,MATCH($B73,元データ_加工!$C$1:$P$1,0)),元データ_加工!$A$2:$A$700,$A73,元データ_加工!$B$2:$B$700,K$5)</f>
        <v>0</v>
      </c>
      <c r="L73" s="26">
        <f>SUMIFS(INDEX(元データ_加工!$C$2:$P$700,0,MATCH($B73,元データ_加工!$C$1:$P$1,0)),元データ_加工!$A$2:$A$700,$A73,元データ_加工!$B$2:$B$700,L$5)</f>
        <v>0</v>
      </c>
      <c r="M73" s="26">
        <f>SUMIFS(INDEX(元データ_加工!$C$2:$P$700,0,MATCH($B73,元データ_加工!$C$1:$P$1,0)),元データ_加工!$A$2:$A$700,$A73,元データ_加工!$B$2:$B$700,M$5)</f>
        <v>0</v>
      </c>
      <c r="N73" s="26">
        <f>SUMIFS(INDEX(元データ_加工!$C$2:$P$700,0,MATCH($B73,元データ_加工!$C$1:$P$1,0)),元データ_加工!$A$2:$A$700,$A73,元データ_加工!$B$2:$B$700,N$5)</f>
        <v>0</v>
      </c>
      <c r="O73" s="26">
        <f t="shared" si="1"/>
        <v>0</v>
      </c>
      <c r="P73" s="7">
        <f>IFERROR(O73/SUMIFS(元データ_加工!$C$2:$C$700,元データ_加工!$A$2:$A$700,$A73),"")</f>
        <v>0</v>
      </c>
    </row>
    <row r="74" spans="1:16" x14ac:dyDescent="0.45">
      <c r="A74" t="s">
        <v>39</v>
      </c>
      <c r="B74" t="s">
        <v>112</v>
      </c>
      <c r="C74" s="26">
        <f>SUMIFS(INDEX(元データ_加工!$C$2:$P$700,0,MATCH($B74,元データ_加工!$C$1:$P$1,0)),元データ_加工!$A$2:$A$700,$A74,元データ_加工!$B$2:$B$700,C$5)</f>
        <v>0</v>
      </c>
      <c r="D74" s="26">
        <f>SUMIFS(INDEX(元データ_加工!$C$2:$P$700,0,MATCH($B74,元データ_加工!$C$1:$P$1,0)),元データ_加工!$A$2:$A$700,$A74,元データ_加工!$B$2:$B$700,D$5)</f>
        <v>0</v>
      </c>
      <c r="E74" s="26">
        <f>SUMIFS(INDEX(元データ_加工!$C$2:$P$700,0,MATCH($B74,元データ_加工!$C$1:$P$1,0)),元データ_加工!$A$2:$A$700,$A74,元データ_加工!$B$2:$B$700,E$5)</f>
        <v>0</v>
      </c>
      <c r="F74" s="26">
        <f>SUMIFS(INDEX(元データ_加工!$C$2:$P$700,0,MATCH($B74,元データ_加工!$C$1:$P$1,0)),元データ_加工!$A$2:$A$700,$A74,元データ_加工!$B$2:$B$700,F$5)</f>
        <v>1</v>
      </c>
      <c r="G74" s="26">
        <f>SUMIFS(INDEX(元データ_加工!$C$2:$P$700,0,MATCH($B74,元データ_加工!$C$1:$P$1,0)),元データ_加工!$A$2:$A$700,$A74,元データ_加工!$B$2:$B$700,G$5)</f>
        <v>3</v>
      </c>
      <c r="H74" s="26">
        <f>SUMIFS(INDEX(元データ_加工!$C$2:$P$700,0,MATCH($B74,元データ_加工!$C$1:$P$1,0)),元データ_加工!$A$2:$A$700,$A74,元データ_加工!$B$2:$B$700,H$5)</f>
        <v>2</v>
      </c>
      <c r="I74" s="26">
        <f>SUMIFS(INDEX(元データ_加工!$C$2:$P$700,0,MATCH($B74,元データ_加工!$C$1:$P$1,0)),元データ_加工!$A$2:$A$700,$A74,元データ_加工!$B$2:$B$700,I$5)</f>
        <v>1</v>
      </c>
      <c r="J74" s="26">
        <f>SUMIFS(INDEX(元データ_加工!$C$2:$P$700,0,MATCH($B74,元データ_加工!$C$1:$P$1,0)),元データ_加工!$A$2:$A$700,$A74,元データ_加工!$B$2:$B$700,J$5)</f>
        <v>3</v>
      </c>
      <c r="K74" s="26">
        <f>SUMIFS(INDEX(元データ_加工!$C$2:$P$700,0,MATCH($B74,元データ_加工!$C$1:$P$1,0)),元データ_加工!$A$2:$A$700,$A74,元データ_加工!$B$2:$B$700,K$5)</f>
        <v>18</v>
      </c>
      <c r="L74" s="26">
        <f>SUMIFS(INDEX(元データ_加工!$C$2:$P$700,0,MATCH($B74,元データ_加工!$C$1:$P$1,0)),元データ_加工!$A$2:$A$700,$A74,元データ_加工!$B$2:$B$700,L$5)</f>
        <v>3</v>
      </c>
      <c r="M74" s="26">
        <f>SUMIFS(INDEX(元データ_加工!$C$2:$P$700,0,MATCH($B74,元データ_加工!$C$1:$P$1,0)),元データ_加工!$A$2:$A$700,$A74,元データ_加工!$B$2:$B$700,M$5)</f>
        <v>1</v>
      </c>
      <c r="N74" s="26">
        <f>SUMIFS(INDEX(元データ_加工!$C$2:$P$700,0,MATCH($B74,元データ_加工!$C$1:$P$1,0)),元データ_加工!$A$2:$A$700,$A74,元データ_加工!$B$2:$B$700,N$5)</f>
        <v>0</v>
      </c>
      <c r="O74" s="26">
        <f t="shared" si="1"/>
        <v>32</v>
      </c>
      <c r="P74" s="7">
        <f>IFERROR(O74/SUMIFS(元データ_加工!$C$2:$C$700,元データ_加工!$A$2:$A$700,$A74),"")</f>
        <v>1.2360939431396785E-3</v>
      </c>
    </row>
    <row r="75" spans="1:16" x14ac:dyDescent="0.45">
      <c r="A75" t="s">
        <v>39</v>
      </c>
      <c r="B75" t="s">
        <v>113</v>
      </c>
      <c r="C75" s="26">
        <f>SUMIFS(INDEX(元データ_加工!$C$2:$P$700,0,MATCH($B75,元データ_加工!$C$1:$P$1,0)),元データ_加工!$A$2:$A$700,$A75,元データ_加工!$B$2:$B$700,C$5)</f>
        <v>0</v>
      </c>
      <c r="D75" s="26">
        <f>SUMIFS(INDEX(元データ_加工!$C$2:$P$700,0,MATCH($B75,元データ_加工!$C$1:$P$1,0)),元データ_加工!$A$2:$A$700,$A75,元データ_加工!$B$2:$B$700,D$5)</f>
        <v>3</v>
      </c>
      <c r="E75" s="26">
        <f>SUMIFS(INDEX(元データ_加工!$C$2:$P$700,0,MATCH($B75,元データ_加工!$C$1:$P$1,0)),元データ_加工!$A$2:$A$700,$A75,元データ_加工!$B$2:$B$700,E$5)</f>
        <v>13</v>
      </c>
      <c r="F75" s="26">
        <f>SUMIFS(INDEX(元データ_加工!$C$2:$P$700,0,MATCH($B75,元データ_加工!$C$1:$P$1,0)),元データ_加工!$A$2:$A$700,$A75,元データ_加工!$B$2:$B$700,F$5)</f>
        <v>1</v>
      </c>
      <c r="G75" s="26">
        <f>SUMIFS(INDEX(元データ_加工!$C$2:$P$700,0,MATCH($B75,元データ_加工!$C$1:$P$1,0)),元データ_加工!$A$2:$A$700,$A75,元データ_加工!$B$2:$B$700,G$5)</f>
        <v>2</v>
      </c>
      <c r="H75" s="26">
        <f>SUMIFS(INDEX(元データ_加工!$C$2:$P$700,0,MATCH($B75,元データ_加工!$C$1:$P$1,0)),元データ_加工!$A$2:$A$700,$A75,元データ_加工!$B$2:$B$700,H$5)</f>
        <v>3</v>
      </c>
      <c r="I75" s="26">
        <f>SUMIFS(INDEX(元データ_加工!$C$2:$P$700,0,MATCH($B75,元データ_加工!$C$1:$P$1,0)),元データ_加工!$A$2:$A$700,$A75,元データ_加工!$B$2:$B$700,I$5)</f>
        <v>2</v>
      </c>
      <c r="J75" s="26">
        <f>SUMIFS(INDEX(元データ_加工!$C$2:$P$700,0,MATCH($B75,元データ_加工!$C$1:$P$1,0)),元データ_加工!$A$2:$A$700,$A75,元データ_加工!$B$2:$B$700,J$5)</f>
        <v>6</v>
      </c>
      <c r="K75" s="26">
        <f>SUMIFS(INDEX(元データ_加工!$C$2:$P$700,0,MATCH($B75,元データ_加工!$C$1:$P$1,0)),元データ_加工!$A$2:$A$700,$A75,元データ_加工!$B$2:$B$700,K$5)</f>
        <v>4</v>
      </c>
      <c r="L75" s="26">
        <f>SUMIFS(INDEX(元データ_加工!$C$2:$P$700,0,MATCH($B75,元データ_加工!$C$1:$P$1,0)),元データ_加工!$A$2:$A$700,$A75,元データ_加工!$B$2:$B$700,L$5)</f>
        <v>5</v>
      </c>
      <c r="M75" s="26">
        <f>SUMIFS(INDEX(元データ_加工!$C$2:$P$700,0,MATCH($B75,元データ_加工!$C$1:$P$1,0)),元データ_加工!$A$2:$A$700,$A75,元データ_加工!$B$2:$B$700,M$5)</f>
        <v>1</v>
      </c>
      <c r="N75" s="26">
        <f>SUMIFS(INDEX(元データ_加工!$C$2:$P$700,0,MATCH($B75,元データ_加工!$C$1:$P$1,0)),元データ_加工!$A$2:$A$700,$A75,元データ_加工!$B$2:$B$700,N$5)</f>
        <v>12</v>
      </c>
      <c r="O75" s="26">
        <f t="shared" si="1"/>
        <v>52</v>
      </c>
      <c r="P75" s="7">
        <f>IFERROR(O75/SUMIFS(元データ_加工!$C$2:$C$700,元データ_加工!$A$2:$A$700,$A75),"")</f>
        <v>2.0086526576019777E-3</v>
      </c>
    </row>
    <row r="76" spans="1:16" x14ac:dyDescent="0.45">
      <c r="A76" t="s">
        <v>40</v>
      </c>
      <c r="B76" t="s">
        <v>100</v>
      </c>
      <c r="C76" s="26">
        <f>SUMIFS(INDEX(元データ_加工!$C$2:$P$700,0,MATCH($B76,元データ_加工!$C$1:$P$1,0)),元データ_加工!$A$2:$A$700,$A76,元データ_加工!$B$2:$B$700,C$5)</f>
        <v>1631</v>
      </c>
      <c r="D76" s="26">
        <f>SUMIFS(INDEX(元データ_加工!$C$2:$P$700,0,MATCH($B76,元データ_加工!$C$1:$P$1,0)),元データ_加工!$A$2:$A$700,$A76,元データ_加工!$B$2:$B$700,D$5)</f>
        <v>1480</v>
      </c>
      <c r="E76" s="26">
        <f>SUMIFS(INDEX(元データ_加工!$C$2:$P$700,0,MATCH($B76,元データ_加工!$C$1:$P$1,0)),元データ_加工!$A$2:$A$700,$A76,元データ_加工!$B$2:$B$700,E$5)</f>
        <v>2271</v>
      </c>
      <c r="F76" s="26">
        <f>SUMIFS(INDEX(元データ_加工!$C$2:$P$700,0,MATCH($B76,元データ_加工!$C$1:$P$1,0)),元データ_加工!$A$2:$A$700,$A76,元データ_加工!$B$2:$B$700,F$5)</f>
        <v>2240</v>
      </c>
      <c r="G76" s="26">
        <f>SUMIFS(INDEX(元データ_加工!$C$2:$P$700,0,MATCH($B76,元データ_加工!$C$1:$P$1,0)),元データ_加工!$A$2:$A$700,$A76,元データ_加工!$B$2:$B$700,G$5)</f>
        <v>2219</v>
      </c>
      <c r="H76" s="26">
        <f>SUMIFS(INDEX(元データ_加工!$C$2:$P$700,0,MATCH($B76,元データ_加工!$C$1:$P$1,0)),元データ_加工!$A$2:$A$700,$A76,元データ_加工!$B$2:$B$700,H$5)</f>
        <v>1534</v>
      </c>
      <c r="I76" s="26">
        <f>SUMIFS(INDEX(元データ_加工!$C$2:$P$700,0,MATCH($B76,元データ_加工!$C$1:$P$1,0)),元データ_加工!$A$2:$A$700,$A76,元データ_加工!$B$2:$B$700,I$5)</f>
        <v>1116</v>
      </c>
      <c r="J76" s="26">
        <f>SUMIFS(INDEX(元データ_加工!$C$2:$P$700,0,MATCH($B76,元データ_加工!$C$1:$P$1,0)),元データ_加工!$A$2:$A$700,$A76,元データ_加工!$B$2:$B$700,J$5)</f>
        <v>2162</v>
      </c>
      <c r="K76" s="26">
        <f>SUMIFS(INDEX(元データ_加工!$C$2:$P$700,0,MATCH($B76,元データ_加工!$C$1:$P$1,0)),元データ_加工!$A$2:$A$700,$A76,元データ_加工!$B$2:$B$700,K$5)</f>
        <v>3984</v>
      </c>
      <c r="L76" s="26">
        <f>SUMIFS(INDEX(元データ_加工!$C$2:$P$700,0,MATCH($B76,元データ_加工!$C$1:$P$1,0)),元データ_加工!$A$2:$A$700,$A76,元データ_加工!$B$2:$B$700,L$5)</f>
        <v>2936</v>
      </c>
      <c r="M76" s="26">
        <f>SUMIFS(INDEX(元データ_加工!$C$2:$P$700,0,MATCH($B76,元データ_加工!$C$1:$P$1,0)),元データ_加工!$A$2:$A$700,$A76,元データ_加工!$B$2:$B$700,M$5)</f>
        <v>2503</v>
      </c>
      <c r="N76" s="26">
        <f>SUMIFS(INDEX(元データ_加工!$C$2:$P$700,0,MATCH($B76,元データ_加工!$C$1:$P$1,0)),元データ_加工!$A$2:$A$700,$A76,元データ_加工!$B$2:$B$700,N$5)</f>
        <v>2643</v>
      </c>
      <c r="O76" s="26">
        <f t="shared" si="1"/>
        <v>26719</v>
      </c>
      <c r="P76" s="7">
        <f>IFERROR(O76/SUMIFS(元データ_加工!$C$2:$C$700,元データ_加工!$A$2:$A$700,$A76),"")</f>
        <v>1</v>
      </c>
    </row>
    <row r="77" spans="1:16" x14ac:dyDescent="0.45">
      <c r="A77" t="s">
        <v>40</v>
      </c>
      <c r="B77" t="s">
        <v>101</v>
      </c>
      <c r="C77" s="26">
        <f>SUMIFS(INDEX(元データ_加工!$C$2:$P$700,0,MATCH($B77,元データ_加工!$C$1:$P$1,0)),元データ_加工!$A$2:$A$700,$A77,元データ_加工!$B$2:$B$700,C$5)</f>
        <v>974</v>
      </c>
      <c r="D77" s="26">
        <f>SUMIFS(INDEX(元データ_加工!$C$2:$P$700,0,MATCH($B77,元データ_加工!$C$1:$P$1,0)),元データ_加工!$A$2:$A$700,$A77,元データ_加工!$B$2:$B$700,D$5)</f>
        <v>1106</v>
      </c>
      <c r="E77" s="26">
        <f>SUMIFS(INDEX(元データ_加工!$C$2:$P$700,0,MATCH($B77,元データ_加工!$C$1:$P$1,0)),元データ_加工!$A$2:$A$700,$A77,元データ_加工!$B$2:$B$700,E$5)</f>
        <v>1365</v>
      </c>
      <c r="F77" s="26">
        <f>SUMIFS(INDEX(元データ_加工!$C$2:$P$700,0,MATCH($B77,元データ_加工!$C$1:$P$1,0)),元データ_加工!$A$2:$A$700,$A77,元データ_加工!$B$2:$B$700,F$5)</f>
        <v>1315</v>
      </c>
      <c r="G77" s="26">
        <f>SUMIFS(INDEX(元データ_加工!$C$2:$P$700,0,MATCH($B77,元データ_加工!$C$1:$P$1,0)),元データ_加工!$A$2:$A$700,$A77,元データ_加工!$B$2:$B$700,G$5)</f>
        <v>1364</v>
      </c>
      <c r="H77" s="26">
        <f>SUMIFS(INDEX(元データ_加工!$C$2:$P$700,0,MATCH($B77,元データ_加工!$C$1:$P$1,0)),元データ_加工!$A$2:$A$700,$A77,元データ_加工!$B$2:$B$700,H$5)</f>
        <v>1058</v>
      </c>
      <c r="I77" s="26">
        <f>SUMIFS(INDEX(元データ_加工!$C$2:$P$700,0,MATCH($B77,元データ_加工!$C$1:$P$1,0)),元データ_加工!$A$2:$A$700,$A77,元データ_加工!$B$2:$B$700,I$5)</f>
        <v>987</v>
      </c>
      <c r="J77" s="26">
        <f>SUMIFS(INDEX(元データ_加工!$C$2:$P$700,0,MATCH($B77,元データ_加工!$C$1:$P$1,0)),元データ_加工!$A$2:$A$700,$A77,元データ_加工!$B$2:$B$700,J$5)</f>
        <v>1328</v>
      </c>
      <c r="K77" s="26">
        <f>SUMIFS(INDEX(元データ_加工!$C$2:$P$700,0,MATCH($B77,元データ_加工!$C$1:$P$1,0)),元データ_加工!$A$2:$A$700,$A77,元データ_加工!$B$2:$B$700,K$5)</f>
        <v>1210</v>
      </c>
      <c r="L77" s="26">
        <f>SUMIFS(INDEX(元データ_加工!$C$2:$P$700,0,MATCH($B77,元データ_加工!$C$1:$P$1,0)),元データ_加工!$A$2:$A$700,$A77,元データ_加工!$B$2:$B$700,L$5)</f>
        <v>1053</v>
      </c>
      <c r="M77" s="26">
        <f>SUMIFS(INDEX(元データ_加工!$C$2:$P$700,0,MATCH($B77,元データ_加工!$C$1:$P$1,0)),元データ_加工!$A$2:$A$700,$A77,元データ_加工!$B$2:$B$700,M$5)</f>
        <v>1202</v>
      </c>
      <c r="N77" s="26">
        <f>SUMIFS(INDEX(元データ_加工!$C$2:$P$700,0,MATCH($B77,元データ_加工!$C$1:$P$1,0)),元データ_加工!$A$2:$A$700,$A77,元データ_加工!$B$2:$B$700,N$5)</f>
        <v>1455</v>
      </c>
      <c r="O77" s="26">
        <f t="shared" si="1"/>
        <v>14417</v>
      </c>
      <c r="P77" s="7">
        <f>IFERROR(O77/SUMIFS(元データ_加工!$C$2:$C$700,元データ_加工!$A$2:$A$700,$A77),"")</f>
        <v>0.53957857704255396</v>
      </c>
    </row>
    <row r="78" spans="1:16" x14ac:dyDescent="0.45">
      <c r="A78" t="s">
        <v>40</v>
      </c>
      <c r="B78" t="s">
        <v>102</v>
      </c>
      <c r="C78" s="26">
        <f>SUMIFS(INDEX(元データ_加工!$C$2:$P$700,0,MATCH($B78,元データ_加工!$C$1:$P$1,0)),元データ_加工!$A$2:$A$700,$A78,元データ_加工!$B$2:$B$700,C$5)</f>
        <v>0</v>
      </c>
      <c r="D78" s="26">
        <f>SUMIFS(INDEX(元データ_加工!$C$2:$P$700,0,MATCH($B78,元データ_加工!$C$1:$P$1,0)),元データ_加工!$A$2:$A$700,$A78,元データ_加工!$B$2:$B$700,D$5)</f>
        <v>0</v>
      </c>
      <c r="E78" s="26">
        <f>SUMIFS(INDEX(元データ_加工!$C$2:$P$700,0,MATCH($B78,元データ_加工!$C$1:$P$1,0)),元データ_加工!$A$2:$A$700,$A78,元データ_加工!$B$2:$B$700,E$5)</f>
        <v>0</v>
      </c>
      <c r="F78" s="26">
        <f>SUMIFS(INDEX(元データ_加工!$C$2:$P$700,0,MATCH($B78,元データ_加工!$C$1:$P$1,0)),元データ_加工!$A$2:$A$700,$A78,元データ_加工!$B$2:$B$700,F$5)</f>
        <v>0</v>
      </c>
      <c r="G78" s="26">
        <f>SUMIFS(INDEX(元データ_加工!$C$2:$P$700,0,MATCH($B78,元データ_加工!$C$1:$P$1,0)),元データ_加工!$A$2:$A$700,$A78,元データ_加工!$B$2:$B$700,G$5)</f>
        <v>0</v>
      </c>
      <c r="H78" s="26">
        <f>SUMIFS(INDEX(元データ_加工!$C$2:$P$700,0,MATCH($B78,元データ_加工!$C$1:$P$1,0)),元データ_加工!$A$2:$A$700,$A78,元データ_加工!$B$2:$B$700,H$5)</f>
        <v>0</v>
      </c>
      <c r="I78" s="26">
        <f>SUMIFS(INDEX(元データ_加工!$C$2:$P$700,0,MATCH($B78,元データ_加工!$C$1:$P$1,0)),元データ_加工!$A$2:$A$700,$A78,元データ_加工!$B$2:$B$700,I$5)</f>
        <v>0</v>
      </c>
      <c r="J78" s="26">
        <f>SUMIFS(INDEX(元データ_加工!$C$2:$P$700,0,MATCH($B78,元データ_加工!$C$1:$P$1,0)),元データ_加工!$A$2:$A$700,$A78,元データ_加工!$B$2:$B$700,J$5)</f>
        <v>3</v>
      </c>
      <c r="K78" s="26">
        <f>SUMIFS(INDEX(元データ_加工!$C$2:$P$700,0,MATCH($B78,元データ_加工!$C$1:$P$1,0)),元データ_加工!$A$2:$A$700,$A78,元データ_加工!$B$2:$B$700,K$5)</f>
        <v>4</v>
      </c>
      <c r="L78" s="26">
        <f>SUMIFS(INDEX(元データ_加工!$C$2:$P$700,0,MATCH($B78,元データ_加工!$C$1:$P$1,0)),元データ_加工!$A$2:$A$700,$A78,元データ_加工!$B$2:$B$700,L$5)</f>
        <v>0</v>
      </c>
      <c r="M78" s="26">
        <f>SUMIFS(INDEX(元データ_加工!$C$2:$P$700,0,MATCH($B78,元データ_加工!$C$1:$P$1,0)),元データ_加工!$A$2:$A$700,$A78,元データ_加工!$B$2:$B$700,M$5)</f>
        <v>0</v>
      </c>
      <c r="N78" s="26">
        <f>SUMIFS(INDEX(元データ_加工!$C$2:$P$700,0,MATCH($B78,元データ_加工!$C$1:$P$1,0)),元データ_加工!$A$2:$A$700,$A78,元データ_加工!$B$2:$B$700,N$5)</f>
        <v>0</v>
      </c>
      <c r="O78" s="26">
        <f t="shared" si="1"/>
        <v>7</v>
      </c>
      <c r="P78" s="7">
        <f>IFERROR(O78/SUMIFS(元データ_加工!$C$2:$C$700,元データ_加工!$A$2:$A$700,$A78),"")</f>
        <v>2.6198585276395077E-4</v>
      </c>
    </row>
    <row r="79" spans="1:16" x14ac:dyDescent="0.45">
      <c r="A79" t="s">
        <v>40</v>
      </c>
      <c r="B79" t="s">
        <v>103</v>
      </c>
      <c r="C79" s="26">
        <f>SUMIFS(INDEX(元データ_加工!$C$2:$P$700,0,MATCH($B79,元データ_加工!$C$1:$P$1,0)),元データ_加工!$A$2:$A$700,$A79,元データ_加工!$B$2:$B$700,C$5)</f>
        <v>0</v>
      </c>
      <c r="D79" s="26">
        <f>SUMIFS(INDEX(元データ_加工!$C$2:$P$700,0,MATCH($B79,元データ_加工!$C$1:$P$1,0)),元データ_加工!$A$2:$A$700,$A79,元データ_加工!$B$2:$B$700,D$5)</f>
        <v>0</v>
      </c>
      <c r="E79" s="26">
        <f>SUMIFS(INDEX(元データ_加工!$C$2:$P$700,0,MATCH($B79,元データ_加工!$C$1:$P$1,0)),元データ_加工!$A$2:$A$700,$A79,元データ_加工!$B$2:$B$700,E$5)</f>
        <v>1</v>
      </c>
      <c r="F79" s="26">
        <f>SUMIFS(INDEX(元データ_加工!$C$2:$P$700,0,MATCH($B79,元データ_加工!$C$1:$P$1,0)),元データ_加工!$A$2:$A$700,$A79,元データ_加工!$B$2:$B$700,F$5)</f>
        <v>13</v>
      </c>
      <c r="G79" s="26">
        <f>SUMIFS(INDEX(元データ_加工!$C$2:$P$700,0,MATCH($B79,元データ_加工!$C$1:$P$1,0)),元データ_加工!$A$2:$A$700,$A79,元データ_加工!$B$2:$B$700,G$5)</f>
        <v>21</v>
      </c>
      <c r="H79" s="26">
        <f>SUMIFS(INDEX(元データ_加工!$C$2:$P$700,0,MATCH($B79,元データ_加工!$C$1:$P$1,0)),元データ_加工!$A$2:$A$700,$A79,元データ_加工!$B$2:$B$700,H$5)</f>
        <v>8</v>
      </c>
      <c r="I79" s="26">
        <f>SUMIFS(INDEX(元データ_加工!$C$2:$P$700,0,MATCH($B79,元データ_加工!$C$1:$P$1,0)),元データ_加工!$A$2:$A$700,$A79,元データ_加工!$B$2:$B$700,I$5)</f>
        <v>12</v>
      </c>
      <c r="J79" s="26">
        <f>SUMIFS(INDEX(元データ_加工!$C$2:$P$700,0,MATCH($B79,元データ_加工!$C$1:$P$1,0)),元データ_加工!$A$2:$A$700,$A79,元データ_加工!$B$2:$B$700,J$5)</f>
        <v>2</v>
      </c>
      <c r="K79" s="26">
        <f>SUMIFS(INDEX(元データ_加工!$C$2:$P$700,0,MATCH($B79,元データ_加工!$C$1:$P$1,0)),元データ_加工!$A$2:$A$700,$A79,元データ_加工!$B$2:$B$700,K$5)</f>
        <v>1</v>
      </c>
      <c r="L79" s="26">
        <f>SUMIFS(INDEX(元データ_加工!$C$2:$P$700,0,MATCH($B79,元データ_加工!$C$1:$P$1,0)),元データ_加工!$A$2:$A$700,$A79,元データ_加工!$B$2:$B$700,L$5)</f>
        <v>0</v>
      </c>
      <c r="M79" s="26">
        <f>SUMIFS(INDEX(元データ_加工!$C$2:$P$700,0,MATCH($B79,元データ_加工!$C$1:$P$1,0)),元データ_加工!$A$2:$A$700,$A79,元データ_加工!$B$2:$B$700,M$5)</f>
        <v>0</v>
      </c>
      <c r="N79" s="26">
        <f>SUMIFS(INDEX(元データ_加工!$C$2:$P$700,0,MATCH($B79,元データ_加工!$C$1:$P$1,0)),元データ_加工!$A$2:$A$700,$A79,元データ_加工!$B$2:$B$700,N$5)</f>
        <v>0</v>
      </c>
      <c r="O79" s="26">
        <f t="shared" si="1"/>
        <v>58</v>
      </c>
      <c r="P79" s="7">
        <f>IFERROR(O79/SUMIFS(元データ_加工!$C$2:$C$700,元データ_加工!$A$2:$A$700,$A79),"")</f>
        <v>2.1707399229013062E-3</v>
      </c>
    </row>
    <row r="80" spans="1:16" x14ac:dyDescent="0.45">
      <c r="A80" t="s">
        <v>40</v>
      </c>
      <c r="B80" t="s">
        <v>104</v>
      </c>
      <c r="C80" s="26">
        <f>SUMIFS(INDEX(元データ_加工!$C$2:$P$700,0,MATCH($B80,元データ_加工!$C$1:$P$1,0)),元データ_加工!$A$2:$A$700,$A80,元データ_加工!$B$2:$B$700,C$5)</f>
        <v>52</v>
      </c>
      <c r="D80" s="26">
        <f>SUMIFS(INDEX(元データ_加工!$C$2:$P$700,0,MATCH($B80,元データ_加工!$C$1:$P$1,0)),元データ_加工!$A$2:$A$700,$A80,元データ_加工!$B$2:$B$700,D$5)</f>
        <v>26</v>
      </c>
      <c r="E80" s="26">
        <f>SUMIFS(INDEX(元データ_加工!$C$2:$P$700,0,MATCH($B80,元データ_加工!$C$1:$P$1,0)),元データ_加工!$A$2:$A$700,$A80,元データ_加工!$B$2:$B$700,E$5)</f>
        <v>33</v>
      </c>
      <c r="F80" s="26">
        <f>SUMIFS(INDEX(元データ_加工!$C$2:$P$700,0,MATCH($B80,元データ_加工!$C$1:$P$1,0)),元データ_加工!$A$2:$A$700,$A80,元データ_加工!$B$2:$B$700,F$5)</f>
        <v>46</v>
      </c>
      <c r="G80" s="26">
        <f>SUMIFS(INDEX(元データ_加工!$C$2:$P$700,0,MATCH($B80,元データ_加工!$C$1:$P$1,0)),元データ_加工!$A$2:$A$700,$A80,元データ_加工!$B$2:$B$700,G$5)</f>
        <v>93</v>
      </c>
      <c r="H80" s="26">
        <f>SUMIFS(INDEX(元データ_加工!$C$2:$P$700,0,MATCH($B80,元データ_加工!$C$1:$P$1,0)),元データ_加工!$A$2:$A$700,$A80,元データ_加工!$B$2:$B$700,H$5)</f>
        <v>37</v>
      </c>
      <c r="I80" s="26">
        <f>SUMIFS(INDEX(元データ_加工!$C$2:$P$700,0,MATCH($B80,元データ_加工!$C$1:$P$1,0)),元データ_加工!$A$2:$A$700,$A80,元データ_加工!$B$2:$B$700,I$5)</f>
        <v>16</v>
      </c>
      <c r="J80" s="26">
        <f>SUMIFS(INDEX(元データ_加工!$C$2:$P$700,0,MATCH($B80,元データ_加工!$C$1:$P$1,0)),元データ_加工!$A$2:$A$700,$A80,元データ_加工!$B$2:$B$700,J$5)</f>
        <v>81</v>
      </c>
      <c r="K80" s="26">
        <f>SUMIFS(INDEX(元データ_加工!$C$2:$P$700,0,MATCH($B80,元データ_加工!$C$1:$P$1,0)),元データ_加工!$A$2:$A$700,$A80,元データ_加工!$B$2:$B$700,K$5)</f>
        <v>144</v>
      </c>
      <c r="L80" s="26">
        <f>SUMIFS(INDEX(元データ_加工!$C$2:$P$700,0,MATCH($B80,元データ_加工!$C$1:$P$1,0)),元データ_加工!$A$2:$A$700,$A80,元データ_加工!$B$2:$B$700,L$5)</f>
        <v>110</v>
      </c>
      <c r="M80" s="26">
        <f>SUMIFS(INDEX(元データ_加工!$C$2:$P$700,0,MATCH($B80,元データ_加工!$C$1:$P$1,0)),元データ_加工!$A$2:$A$700,$A80,元データ_加工!$B$2:$B$700,M$5)</f>
        <v>88</v>
      </c>
      <c r="N80" s="26">
        <f>SUMIFS(INDEX(元データ_加工!$C$2:$P$700,0,MATCH($B80,元データ_加工!$C$1:$P$1,0)),元データ_加工!$A$2:$A$700,$A80,元データ_加工!$B$2:$B$700,N$5)</f>
        <v>79</v>
      </c>
      <c r="O80" s="26">
        <f t="shared" si="1"/>
        <v>805</v>
      </c>
      <c r="P80" s="7">
        <f>IFERROR(O80/SUMIFS(元データ_加工!$C$2:$C$700,元データ_加工!$A$2:$A$700,$A80),"")</f>
        <v>3.0128373067854337E-2</v>
      </c>
    </row>
    <row r="81" spans="1:16" x14ac:dyDescent="0.45">
      <c r="A81" t="s">
        <v>40</v>
      </c>
      <c r="B81" t="s">
        <v>105</v>
      </c>
      <c r="C81" s="26">
        <f>SUMIFS(INDEX(元データ_加工!$C$2:$P$700,0,MATCH($B81,元データ_加工!$C$1:$P$1,0)),元データ_加工!$A$2:$A$700,$A81,元データ_加工!$B$2:$B$700,C$5)</f>
        <v>2</v>
      </c>
      <c r="D81" s="26">
        <f>SUMIFS(INDEX(元データ_加工!$C$2:$P$700,0,MATCH($B81,元データ_加工!$C$1:$P$1,0)),元データ_加工!$A$2:$A$700,$A81,元データ_加工!$B$2:$B$700,D$5)</f>
        <v>4</v>
      </c>
      <c r="E81" s="26">
        <f>SUMIFS(INDEX(元データ_加工!$C$2:$P$700,0,MATCH($B81,元データ_加工!$C$1:$P$1,0)),元データ_加工!$A$2:$A$700,$A81,元データ_加工!$B$2:$B$700,E$5)</f>
        <v>0</v>
      </c>
      <c r="F81" s="26">
        <f>SUMIFS(INDEX(元データ_加工!$C$2:$P$700,0,MATCH($B81,元データ_加工!$C$1:$P$1,0)),元データ_加工!$A$2:$A$700,$A81,元データ_加工!$B$2:$B$700,F$5)</f>
        <v>1</v>
      </c>
      <c r="G81" s="26">
        <f>SUMIFS(INDEX(元データ_加工!$C$2:$P$700,0,MATCH($B81,元データ_加工!$C$1:$P$1,0)),元データ_加工!$A$2:$A$700,$A81,元データ_加工!$B$2:$B$700,G$5)</f>
        <v>4</v>
      </c>
      <c r="H81" s="26">
        <f>SUMIFS(INDEX(元データ_加工!$C$2:$P$700,0,MATCH($B81,元データ_加工!$C$1:$P$1,0)),元データ_加工!$A$2:$A$700,$A81,元データ_加工!$B$2:$B$700,H$5)</f>
        <v>5</v>
      </c>
      <c r="I81" s="26">
        <f>SUMIFS(INDEX(元データ_加工!$C$2:$P$700,0,MATCH($B81,元データ_加工!$C$1:$P$1,0)),元データ_加工!$A$2:$A$700,$A81,元データ_加工!$B$2:$B$700,I$5)</f>
        <v>14</v>
      </c>
      <c r="J81" s="26">
        <f>SUMIFS(INDEX(元データ_加工!$C$2:$P$700,0,MATCH($B81,元データ_加工!$C$1:$P$1,0)),元データ_加工!$A$2:$A$700,$A81,元データ_加工!$B$2:$B$700,J$5)</f>
        <v>42</v>
      </c>
      <c r="K81" s="26">
        <f>SUMIFS(INDEX(元データ_加工!$C$2:$P$700,0,MATCH($B81,元データ_加工!$C$1:$P$1,0)),元データ_加工!$A$2:$A$700,$A81,元データ_加工!$B$2:$B$700,K$5)</f>
        <v>183</v>
      </c>
      <c r="L81" s="26">
        <f>SUMIFS(INDEX(元データ_加工!$C$2:$P$700,0,MATCH($B81,元データ_加工!$C$1:$P$1,0)),元データ_加工!$A$2:$A$700,$A81,元データ_加工!$B$2:$B$700,L$5)</f>
        <v>87</v>
      </c>
      <c r="M81" s="26">
        <f>SUMIFS(INDEX(元データ_加工!$C$2:$P$700,0,MATCH($B81,元データ_加工!$C$1:$P$1,0)),元データ_加工!$A$2:$A$700,$A81,元データ_加工!$B$2:$B$700,M$5)</f>
        <v>20</v>
      </c>
      <c r="N81" s="26">
        <f>SUMIFS(INDEX(元データ_加工!$C$2:$P$700,0,MATCH($B81,元データ_加工!$C$1:$P$1,0)),元データ_加工!$A$2:$A$700,$A81,元データ_加工!$B$2:$B$700,N$5)</f>
        <v>15</v>
      </c>
      <c r="O81" s="26">
        <f t="shared" si="1"/>
        <v>377</v>
      </c>
      <c r="P81" s="7">
        <f>IFERROR(O81/SUMIFS(元データ_加工!$C$2:$C$700,元データ_加工!$A$2:$A$700,$A81),"")</f>
        <v>1.410980949885849E-2</v>
      </c>
    </row>
    <row r="82" spans="1:16" x14ac:dyDescent="0.45">
      <c r="A82" t="s">
        <v>40</v>
      </c>
      <c r="B82" t="s">
        <v>106</v>
      </c>
      <c r="C82" s="26">
        <f>SUMIFS(INDEX(元データ_加工!$C$2:$P$700,0,MATCH($B82,元データ_加工!$C$1:$P$1,0)),元データ_加工!$A$2:$A$700,$A82,元データ_加工!$B$2:$B$700,C$5)</f>
        <v>348</v>
      </c>
      <c r="D82" s="26">
        <f>SUMIFS(INDEX(元データ_加工!$C$2:$P$700,0,MATCH($B82,元データ_加工!$C$1:$P$1,0)),元データ_加工!$A$2:$A$700,$A82,元データ_加工!$B$2:$B$700,D$5)</f>
        <v>338</v>
      </c>
      <c r="E82" s="26">
        <f>SUMIFS(INDEX(元データ_加工!$C$2:$P$700,0,MATCH($B82,元データ_加工!$C$1:$P$1,0)),元データ_加工!$A$2:$A$700,$A82,元データ_加工!$B$2:$B$700,E$5)</f>
        <v>382</v>
      </c>
      <c r="F82" s="26">
        <f>SUMIFS(INDEX(元データ_加工!$C$2:$P$700,0,MATCH($B82,元データ_加工!$C$1:$P$1,0)),元データ_加工!$A$2:$A$700,$A82,元データ_加工!$B$2:$B$700,F$5)</f>
        <v>357</v>
      </c>
      <c r="G82" s="26">
        <f>SUMIFS(INDEX(元データ_加工!$C$2:$P$700,0,MATCH($B82,元データ_加工!$C$1:$P$1,0)),元データ_加工!$A$2:$A$700,$A82,元データ_加工!$B$2:$B$700,G$5)</f>
        <v>387</v>
      </c>
      <c r="H82" s="26">
        <f>SUMIFS(INDEX(元データ_加工!$C$2:$P$700,0,MATCH($B82,元データ_加工!$C$1:$P$1,0)),元データ_加工!$A$2:$A$700,$A82,元データ_加工!$B$2:$B$700,H$5)</f>
        <v>211</v>
      </c>
      <c r="I82" s="26">
        <f>SUMIFS(INDEX(元データ_加工!$C$2:$P$700,0,MATCH($B82,元データ_加工!$C$1:$P$1,0)),元データ_加工!$A$2:$A$700,$A82,元データ_加工!$B$2:$B$700,I$5)</f>
        <v>173</v>
      </c>
      <c r="J82" s="26">
        <f>SUMIFS(INDEX(元データ_加工!$C$2:$P$700,0,MATCH($B82,元データ_加工!$C$1:$P$1,0)),元データ_加工!$A$2:$A$700,$A82,元データ_加工!$B$2:$B$700,J$5)</f>
        <v>343</v>
      </c>
      <c r="K82" s="26">
        <f>SUMIFS(INDEX(元データ_加工!$C$2:$P$700,0,MATCH($B82,元データ_加工!$C$1:$P$1,0)),元データ_加工!$A$2:$A$700,$A82,元データ_加工!$B$2:$B$700,K$5)</f>
        <v>454</v>
      </c>
      <c r="L82" s="26">
        <f>SUMIFS(INDEX(元データ_加工!$C$2:$P$700,0,MATCH($B82,元データ_加工!$C$1:$P$1,0)),元データ_加工!$A$2:$A$700,$A82,元データ_加工!$B$2:$B$700,L$5)</f>
        <v>367</v>
      </c>
      <c r="M82" s="26">
        <f>SUMIFS(INDEX(元データ_加工!$C$2:$P$700,0,MATCH($B82,元データ_加工!$C$1:$P$1,0)),元データ_加工!$A$2:$A$700,$A82,元データ_加工!$B$2:$B$700,M$5)</f>
        <v>382</v>
      </c>
      <c r="N82" s="26">
        <f>SUMIFS(INDEX(元データ_加工!$C$2:$P$700,0,MATCH($B82,元データ_加工!$C$1:$P$1,0)),元データ_加工!$A$2:$A$700,$A82,元データ_加工!$B$2:$B$700,N$5)</f>
        <v>412</v>
      </c>
      <c r="O82" s="26">
        <f t="shared" si="1"/>
        <v>4154</v>
      </c>
      <c r="P82" s="7">
        <f>IFERROR(O82/SUMIFS(元データ_加工!$C$2:$C$700,元データ_加工!$A$2:$A$700,$A82),"")</f>
        <v>0.15546989034020733</v>
      </c>
    </row>
    <row r="83" spans="1:16" x14ac:dyDescent="0.45">
      <c r="A83" t="s">
        <v>40</v>
      </c>
      <c r="B83" t="s">
        <v>107</v>
      </c>
      <c r="C83" s="26">
        <f>SUMIFS(INDEX(元データ_加工!$C$2:$P$700,0,MATCH($B83,元データ_加工!$C$1:$P$1,0)),元データ_加工!$A$2:$A$700,$A83,元データ_加工!$B$2:$B$700,C$5)</f>
        <v>39</v>
      </c>
      <c r="D83" s="26">
        <f>SUMIFS(INDEX(元データ_加工!$C$2:$P$700,0,MATCH($B83,元データ_加工!$C$1:$P$1,0)),元データ_加工!$A$2:$A$700,$A83,元データ_加工!$B$2:$B$700,D$5)</f>
        <v>39</v>
      </c>
      <c r="E83" s="26">
        <f>SUMIFS(INDEX(元データ_加工!$C$2:$P$700,0,MATCH($B83,元データ_加工!$C$1:$P$1,0)),元データ_加工!$A$2:$A$700,$A83,元データ_加工!$B$2:$B$700,E$5)</f>
        <v>25</v>
      </c>
      <c r="F83" s="26">
        <f>SUMIFS(INDEX(元データ_加工!$C$2:$P$700,0,MATCH($B83,元データ_加工!$C$1:$P$1,0)),元データ_加工!$A$2:$A$700,$A83,元データ_加工!$B$2:$B$700,F$5)</f>
        <v>23</v>
      </c>
      <c r="G83" s="26">
        <f>SUMIFS(INDEX(元データ_加工!$C$2:$P$700,0,MATCH($B83,元データ_加工!$C$1:$P$1,0)),元データ_加工!$A$2:$A$700,$A83,元データ_加工!$B$2:$B$700,G$5)</f>
        <v>11</v>
      </c>
      <c r="H83" s="26">
        <f>SUMIFS(INDEX(元データ_加工!$C$2:$P$700,0,MATCH($B83,元データ_加工!$C$1:$P$1,0)),元データ_加工!$A$2:$A$700,$A83,元データ_加工!$B$2:$B$700,H$5)</f>
        <v>11</v>
      </c>
      <c r="I83" s="26">
        <f>SUMIFS(INDEX(元データ_加工!$C$2:$P$700,0,MATCH($B83,元データ_加工!$C$1:$P$1,0)),元データ_加工!$A$2:$A$700,$A83,元データ_加工!$B$2:$B$700,I$5)</f>
        <v>13</v>
      </c>
      <c r="J83" s="26">
        <f>SUMIFS(INDEX(元データ_加工!$C$2:$P$700,0,MATCH($B83,元データ_加工!$C$1:$P$1,0)),元データ_加工!$A$2:$A$700,$A83,元データ_加工!$B$2:$B$700,J$5)</f>
        <v>11</v>
      </c>
      <c r="K83" s="26">
        <f>SUMIFS(INDEX(元データ_加工!$C$2:$P$700,0,MATCH($B83,元データ_加工!$C$1:$P$1,0)),元データ_加工!$A$2:$A$700,$A83,元データ_加工!$B$2:$B$700,K$5)</f>
        <v>14</v>
      </c>
      <c r="L83" s="26">
        <f>SUMIFS(INDEX(元データ_加工!$C$2:$P$700,0,MATCH($B83,元データ_加工!$C$1:$P$1,0)),元データ_加工!$A$2:$A$700,$A83,元データ_加工!$B$2:$B$700,L$5)</f>
        <v>13</v>
      </c>
      <c r="M83" s="26">
        <f>SUMIFS(INDEX(元データ_加工!$C$2:$P$700,0,MATCH($B83,元データ_加工!$C$1:$P$1,0)),元データ_加工!$A$2:$A$700,$A83,元データ_加工!$B$2:$B$700,M$5)</f>
        <v>34</v>
      </c>
      <c r="N83" s="26">
        <f>SUMIFS(INDEX(元データ_加工!$C$2:$P$700,0,MATCH($B83,元データ_加工!$C$1:$P$1,0)),元データ_加工!$A$2:$A$700,$A83,元データ_加工!$B$2:$B$700,N$5)</f>
        <v>107</v>
      </c>
      <c r="O83" s="26">
        <f t="shared" si="1"/>
        <v>340</v>
      </c>
      <c r="P83" s="7">
        <f>IFERROR(O83/SUMIFS(元データ_加工!$C$2:$C$700,元データ_加工!$A$2:$A$700,$A83),"")</f>
        <v>1.2725027134249037E-2</v>
      </c>
    </row>
    <row r="84" spans="1:16" x14ac:dyDescent="0.45">
      <c r="A84" t="s">
        <v>40</v>
      </c>
      <c r="B84" t="s">
        <v>108</v>
      </c>
      <c r="C84" s="26">
        <f>SUMIFS(INDEX(元データ_加工!$C$2:$P$700,0,MATCH($B84,元データ_加工!$C$1:$P$1,0)),元データ_加工!$A$2:$A$700,$A84,元データ_加工!$B$2:$B$700,C$5)</f>
        <v>0</v>
      </c>
      <c r="D84" s="26">
        <f>SUMIFS(INDEX(元データ_加工!$C$2:$P$700,0,MATCH($B84,元データ_加工!$C$1:$P$1,0)),元データ_加工!$A$2:$A$700,$A84,元データ_加工!$B$2:$B$700,D$5)</f>
        <v>43</v>
      </c>
      <c r="E84" s="26">
        <f>SUMIFS(INDEX(元データ_加工!$C$2:$P$700,0,MATCH($B84,元データ_加工!$C$1:$P$1,0)),元データ_加工!$A$2:$A$700,$A84,元データ_加工!$B$2:$B$700,E$5)</f>
        <v>41</v>
      </c>
      <c r="F84" s="26">
        <f>SUMIFS(INDEX(元データ_加工!$C$2:$P$700,0,MATCH($B84,元データ_加工!$C$1:$P$1,0)),元データ_加工!$A$2:$A$700,$A84,元データ_加工!$B$2:$B$700,F$5)</f>
        <v>86</v>
      </c>
      <c r="G84" s="26">
        <f>SUMIFS(INDEX(元データ_加工!$C$2:$P$700,0,MATCH($B84,元データ_加工!$C$1:$P$1,0)),元データ_加工!$A$2:$A$700,$A84,元データ_加工!$B$2:$B$700,G$5)</f>
        <v>56</v>
      </c>
      <c r="H84" s="26">
        <f>SUMIFS(INDEX(元データ_加工!$C$2:$P$700,0,MATCH($B84,元データ_加工!$C$1:$P$1,0)),元データ_加工!$A$2:$A$700,$A84,元データ_加工!$B$2:$B$700,H$5)</f>
        <v>30</v>
      </c>
      <c r="I84" s="26">
        <f>SUMIFS(INDEX(元データ_加工!$C$2:$P$700,0,MATCH($B84,元データ_加工!$C$1:$P$1,0)),元データ_加工!$A$2:$A$700,$A84,元データ_加工!$B$2:$B$700,I$5)</f>
        <v>6</v>
      </c>
      <c r="J84" s="26">
        <f>SUMIFS(INDEX(元データ_加工!$C$2:$P$700,0,MATCH($B84,元データ_加工!$C$1:$P$1,0)),元データ_加工!$A$2:$A$700,$A84,元データ_加工!$B$2:$B$700,J$5)</f>
        <v>2</v>
      </c>
      <c r="K84" s="26">
        <f>SUMIFS(INDEX(元データ_加工!$C$2:$P$700,0,MATCH($B84,元データ_加工!$C$1:$P$1,0)),元データ_加工!$A$2:$A$700,$A84,元データ_加工!$B$2:$B$700,K$5)</f>
        <v>0</v>
      </c>
      <c r="L84" s="26">
        <f>SUMIFS(INDEX(元データ_加工!$C$2:$P$700,0,MATCH($B84,元データ_加工!$C$1:$P$1,0)),元データ_加工!$A$2:$A$700,$A84,元データ_加工!$B$2:$B$700,L$5)</f>
        <v>0</v>
      </c>
      <c r="M84" s="26">
        <f>SUMIFS(INDEX(元データ_加工!$C$2:$P$700,0,MATCH($B84,元データ_加工!$C$1:$P$1,0)),元データ_加工!$A$2:$A$700,$A84,元データ_加工!$B$2:$B$700,M$5)</f>
        <v>1</v>
      </c>
      <c r="N84" s="26">
        <f>SUMIFS(INDEX(元データ_加工!$C$2:$P$700,0,MATCH($B84,元データ_加工!$C$1:$P$1,0)),元データ_加工!$A$2:$A$700,$A84,元データ_加工!$B$2:$B$700,N$5)</f>
        <v>4</v>
      </c>
      <c r="O84" s="26">
        <f t="shared" si="1"/>
        <v>269</v>
      </c>
      <c r="P84" s="7">
        <f>IFERROR(O84/SUMIFS(元データ_加工!$C$2:$C$700,元データ_加工!$A$2:$A$700,$A84),"")</f>
        <v>1.0067742056214678E-2</v>
      </c>
    </row>
    <row r="85" spans="1:16" x14ac:dyDescent="0.45">
      <c r="A85" t="s">
        <v>40</v>
      </c>
      <c r="B85" t="s">
        <v>109</v>
      </c>
      <c r="C85" s="26">
        <f>SUMIFS(INDEX(元データ_加工!$C$2:$P$700,0,MATCH($B85,元データ_加工!$C$1:$P$1,0)),元データ_加工!$A$2:$A$700,$A85,元データ_加工!$B$2:$B$700,C$5)</f>
        <v>89</v>
      </c>
      <c r="D85" s="26">
        <f>SUMIFS(INDEX(元データ_加工!$C$2:$P$700,0,MATCH($B85,元データ_加工!$C$1:$P$1,0)),元データ_加工!$A$2:$A$700,$A85,元データ_加工!$B$2:$B$700,D$5)</f>
        <v>106</v>
      </c>
      <c r="E85" s="26">
        <f>SUMIFS(INDEX(元データ_加工!$C$2:$P$700,0,MATCH($B85,元データ_加工!$C$1:$P$1,0)),元データ_加工!$A$2:$A$700,$A85,元データ_加工!$B$2:$B$700,E$5)</f>
        <v>164</v>
      </c>
      <c r="F85" s="26">
        <f>SUMIFS(INDEX(元データ_加工!$C$2:$P$700,0,MATCH($B85,元データ_加工!$C$1:$P$1,0)),元データ_加工!$A$2:$A$700,$A85,元データ_加工!$B$2:$B$700,F$5)</f>
        <v>109</v>
      </c>
      <c r="G85" s="26">
        <f>SUMIFS(INDEX(元データ_加工!$C$2:$P$700,0,MATCH($B85,元データ_加工!$C$1:$P$1,0)),元データ_加工!$A$2:$A$700,$A85,元データ_加工!$B$2:$B$700,G$5)</f>
        <v>199</v>
      </c>
      <c r="H85" s="26">
        <f>SUMIFS(INDEX(元データ_加工!$C$2:$P$700,0,MATCH($B85,元データ_加工!$C$1:$P$1,0)),元データ_加工!$A$2:$A$700,$A85,元データ_加工!$B$2:$B$700,H$5)</f>
        <v>147</v>
      </c>
      <c r="I85" s="26">
        <f>SUMIFS(INDEX(元データ_加工!$C$2:$P$700,0,MATCH($B85,元データ_加工!$C$1:$P$1,0)),元データ_加工!$A$2:$A$700,$A85,元データ_加工!$B$2:$B$700,I$5)</f>
        <v>149</v>
      </c>
      <c r="J85" s="26">
        <f>SUMIFS(INDEX(元データ_加工!$C$2:$P$700,0,MATCH($B85,元データ_加工!$C$1:$P$1,0)),元データ_加工!$A$2:$A$700,$A85,元データ_加工!$B$2:$B$700,J$5)</f>
        <v>175</v>
      </c>
      <c r="K85" s="26">
        <f>SUMIFS(INDEX(元データ_加工!$C$2:$P$700,0,MATCH($B85,元データ_加工!$C$1:$P$1,0)),元データ_加工!$A$2:$A$700,$A85,元データ_加工!$B$2:$B$700,K$5)</f>
        <v>166</v>
      </c>
      <c r="L85" s="26">
        <f>SUMIFS(INDEX(元データ_加工!$C$2:$P$700,0,MATCH($B85,元データ_加工!$C$1:$P$1,0)),元データ_加工!$A$2:$A$700,$A85,元データ_加工!$B$2:$B$700,L$5)</f>
        <v>119</v>
      </c>
      <c r="M85" s="26">
        <f>SUMIFS(INDEX(元データ_加工!$C$2:$P$700,0,MATCH($B85,元データ_加工!$C$1:$P$1,0)),元データ_加工!$A$2:$A$700,$A85,元データ_加工!$B$2:$B$700,M$5)</f>
        <v>141</v>
      </c>
      <c r="N85" s="26">
        <f>SUMIFS(INDEX(元データ_加工!$C$2:$P$700,0,MATCH($B85,元データ_加工!$C$1:$P$1,0)),元データ_加工!$A$2:$A$700,$A85,元データ_加工!$B$2:$B$700,N$5)</f>
        <v>133</v>
      </c>
      <c r="O85" s="26">
        <f t="shared" si="1"/>
        <v>1697</v>
      </c>
      <c r="P85" s="7">
        <f>IFERROR(O85/SUMIFS(元データ_加工!$C$2:$C$700,元データ_加工!$A$2:$A$700,$A85),"")</f>
        <v>6.3512856020060626E-2</v>
      </c>
    </row>
    <row r="86" spans="1:16" x14ac:dyDescent="0.45">
      <c r="A86" t="s">
        <v>40</v>
      </c>
      <c r="B86" t="s">
        <v>110</v>
      </c>
      <c r="C86" s="26">
        <f>SUMIFS(INDEX(元データ_加工!$C$2:$P$700,0,MATCH($B86,元データ_加工!$C$1:$P$1,0)),元データ_加工!$A$2:$A$700,$A86,元データ_加工!$B$2:$B$700,C$5)</f>
        <v>0</v>
      </c>
      <c r="D86" s="26">
        <f>SUMIFS(INDEX(元データ_加工!$C$2:$P$700,0,MATCH($B86,元データ_加工!$C$1:$P$1,0)),元データ_加工!$A$2:$A$700,$A86,元データ_加工!$B$2:$B$700,D$5)</f>
        <v>0</v>
      </c>
      <c r="E86" s="26">
        <f>SUMIFS(INDEX(元データ_加工!$C$2:$P$700,0,MATCH($B86,元データ_加工!$C$1:$P$1,0)),元データ_加工!$A$2:$A$700,$A86,元データ_加工!$B$2:$B$700,E$5)</f>
        <v>0</v>
      </c>
      <c r="F86" s="26">
        <f>SUMIFS(INDEX(元データ_加工!$C$2:$P$700,0,MATCH($B86,元データ_加工!$C$1:$P$1,0)),元データ_加工!$A$2:$A$700,$A86,元データ_加工!$B$2:$B$700,F$5)</f>
        <v>0</v>
      </c>
      <c r="G86" s="26">
        <f>SUMIFS(INDEX(元データ_加工!$C$2:$P$700,0,MATCH($B86,元データ_加工!$C$1:$P$1,0)),元データ_加工!$A$2:$A$700,$A86,元データ_加工!$B$2:$B$700,G$5)</f>
        <v>0</v>
      </c>
      <c r="H86" s="26">
        <f>SUMIFS(INDEX(元データ_加工!$C$2:$P$700,0,MATCH($B86,元データ_加工!$C$1:$P$1,0)),元データ_加工!$A$2:$A$700,$A86,元データ_加工!$B$2:$B$700,H$5)</f>
        <v>0</v>
      </c>
      <c r="I86" s="26">
        <f>SUMIFS(INDEX(元データ_加工!$C$2:$P$700,0,MATCH($B86,元データ_加工!$C$1:$P$1,0)),元データ_加工!$A$2:$A$700,$A86,元データ_加工!$B$2:$B$700,I$5)</f>
        <v>0</v>
      </c>
      <c r="J86" s="26">
        <f>SUMIFS(INDEX(元データ_加工!$C$2:$P$700,0,MATCH($B86,元データ_加工!$C$1:$P$1,0)),元データ_加工!$A$2:$A$700,$A86,元データ_加工!$B$2:$B$700,J$5)</f>
        <v>0</v>
      </c>
      <c r="K86" s="26">
        <f>SUMIFS(INDEX(元データ_加工!$C$2:$P$700,0,MATCH($B86,元データ_加工!$C$1:$P$1,0)),元データ_加工!$A$2:$A$700,$A86,元データ_加工!$B$2:$B$700,K$5)</f>
        <v>0</v>
      </c>
      <c r="L86" s="26">
        <f>SUMIFS(INDEX(元データ_加工!$C$2:$P$700,0,MATCH($B86,元データ_加工!$C$1:$P$1,0)),元データ_加工!$A$2:$A$700,$A86,元データ_加工!$B$2:$B$700,L$5)</f>
        <v>0</v>
      </c>
      <c r="M86" s="26">
        <f>SUMIFS(INDEX(元データ_加工!$C$2:$P$700,0,MATCH($B86,元データ_加工!$C$1:$P$1,0)),元データ_加工!$A$2:$A$700,$A86,元データ_加工!$B$2:$B$700,M$5)</f>
        <v>0</v>
      </c>
      <c r="N86" s="26">
        <f>SUMIFS(INDEX(元データ_加工!$C$2:$P$700,0,MATCH($B86,元データ_加工!$C$1:$P$1,0)),元データ_加工!$A$2:$A$700,$A86,元データ_加工!$B$2:$B$700,N$5)</f>
        <v>0</v>
      </c>
      <c r="O86" s="26">
        <f t="shared" si="1"/>
        <v>0</v>
      </c>
      <c r="P86" s="7">
        <f>IFERROR(O86/SUMIFS(元データ_加工!$C$2:$C$700,元データ_加工!$A$2:$A$700,$A86),"")</f>
        <v>0</v>
      </c>
    </row>
    <row r="87" spans="1:16" x14ac:dyDescent="0.45">
      <c r="A87" t="s">
        <v>40</v>
      </c>
      <c r="B87" t="s">
        <v>111</v>
      </c>
      <c r="C87" s="26">
        <f>SUMIFS(INDEX(元データ_加工!$C$2:$P$700,0,MATCH($B87,元データ_加工!$C$1:$P$1,0)),元データ_加工!$A$2:$A$700,$A87,元データ_加工!$B$2:$B$700,C$5)</f>
        <v>4</v>
      </c>
      <c r="D87" s="26">
        <f>SUMIFS(INDEX(元データ_加工!$C$2:$P$700,0,MATCH($B87,元データ_加工!$C$1:$P$1,0)),元データ_加工!$A$2:$A$700,$A87,元データ_加工!$B$2:$B$700,D$5)</f>
        <v>0</v>
      </c>
      <c r="E87" s="26">
        <f>SUMIFS(INDEX(元データ_加工!$C$2:$P$700,0,MATCH($B87,元データ_加工!$C$1:$P$1,0)),元データ_加工!$A$2:$A$700,$A87,元データ_加工!$B$2:$B$700,E$5)</f>
        <v>1</v>
      </c>
      <c r="F87" s="26">
        <f>SUMIFS(INDEX(元データ_加工!$C$2:$P$700,0,MATCH($B87,元データ_加工!$C$1:$P$1,0)),元データ_加工!$A$2:$A$700,$A87,元データ_加工!$B$2:$B$700,F$5)</f>
        <v>1</v>
      </c>
      <c r="G87" s="26">
        <f>SUMIFS(INDEX(元データ_加工!$C$2:$P$700,0,MATCH($B87,元データ_加工!$C$1:$P$1,0)),元データ_加工!$A$2:$A$700,$A87,元データ_加工!$B$2:$B$700,G$5)</f>
        <v>0</v>
      </c>
      <c r="H87" s="26">
        <f>SUMIFS(INDEX(元データ_加工!$C$2:$P$700,0,MATCH($B87,元データ_加工!$C$1:$P$1,0)),元データ_加工!$A$2:$A$700,$A87,元データ_加工!$B$2:$B$700,H$5)</f>
        <v>0</v>
      </c>
      <c r="I87" s="26">
        <f>SUMIFS(INDEX(元データ_加工!$C$2:$P$700,0,MATCH($B87,元データ_加工!$C$1:$P$1,0)),元データ_加工!$A$2:$A$700,$A87,元データ_加工!$B$2:$B$700,I$5)</f>
        <v>0</v>
      </c>
      <c r="J87" s="26">
        <f>SUMIFS(INDEX(元データ_加工!$C$2:$P$700,0,MATCH($B87,元データ_加工!$C$1:$P$1,0)),元データ_加工!$A$2:$A$700,$A87,元データ_加工!$B$2:$B$700,J$5)</f>
        <v>0</v>
      </c>
      <c r="K87" s="26">
        <f>SUMIFS(INDEX(元データ_加工!$C$2:$P$700,0,MATCH($B87,元データ_加工!$C$1:$P$1,0)),元データ_加工!$A$2:$A$700,$A87,元データ_加工!$B$2:$B$700,K$5)</f>
        <v>2</v>
      </c>
      <c r="L87" s="26">
        <f>SUMIFS(INDEX(元データ_加工!$C$2:$P$700,0,MATCH($B87,元データ_加工!$C$1:$P$1,0)),元データ_加工!$A$2:$A$700,$A87,元データ_加工!$B$2:$B$700,L$5)</f>
        <v>0</v>
      </c>
      <c r="M87" s="26">
        <f>SUMIFS(INDEX(元データ_加工!$C$2:$P$700,0,MATCH($B87,元データ_加工!$C$1:$P$1,0)),元データ_加工!$A$2:$A$700,$A87,元データ_加工!$B$2:$B$700,M$5)</f>
        <v>1</v>
      </c>
      <c r="N87" s="26">
        <f>SUMIFS(INDEX(元データ_加工!$C$2:$P$700,0,MATCH($B87,元データ_加工!$C$1:$P$1,0)),元データ_加工!$A$2:$A$700,$A87,元データ_加工!$B$2:$B$700,N$5)</f>
        <v>2</v>
      </c>
      <c r="O87" s="26">
        <f t="shared" si="1"/>
        <v>11</v>
      </c>
      <c r="P87" s="7">
        <f>IFERROR(O87/SUMIFS(元データ_加工!$C$2:$C$700,元データ_加工!$A$2:$A$700,$A87),"")</f>
        <v>4.1169205434335118E-4</v>
      </c>
    </row>
    <row r="88" spans="1:16" x14ac:dyDescent="0.45">
      <c r="A88" t="s">
        <v>40</v>
      </c>
      <c r="B88" t="s">
        <v>112</v>
      </c>
      <c r="C88" s="26">
        <f>SUMIFS(INDEX(元データ_加工!$C$2:$P$700,0,MATCH($B88,元データ_加工!$C$1:$P$1,0)),元データ_加工!$A$2:$A$700,$A88,元データ_加工!$B$2:$B$700,C$5)</f>
        <v>0</v>
      </c>
      <c r="D88" s="26">
        <f>SUMIFS(INDEX(元データ_加工!$C$2:$P$700,0,MATCH($B88,元データ_加工!$C$1:$P$1,0)),元データ_加工!$A$2:$A$700,$A88,元データ_加工!$B$2:$B$700,D$5)</f>
        <v>1</v>
      </c>
      <c r="E88" s="26">
        <f>SUMIFS(INDEX(元データ_加工!$C$2:$P$700,0,MATCH($B88,元データ_加工!$C$1:$P$1,0)),元データ_加工!$A$2:$A$700,$A88,元データ_加工!$B$2:$B$700,E$5)</f>
        <v>0</v>
      </c>
      <c r="F88" s="26">
        <f>SUMIFS(INDEX(元データ_加工!$C$2:$P$700,0,MATCH($B88,元データ_加工!$C$1:$P$1,0)),元データ_加工!$A$2:$A$700,$A88,元データ_加工!$B$2:$B$700,F$5)</f>
        <v>0</v>
      </c>
      <c r="G88" s="26">
        <f>SUMIFS(INDEX(元データ_加工!$C$2:$P$700,0,MATCH($B88,元データ_加工!$C$1:$P$1,0)),元データ_加工!$A$2:$A$700,$A88,元データ_加工!$B$2:$B$700,G$5)</f>
        <v>0</v>
      </c>
      <c r="H88" s="26">
        <f>SUMIFS(INDEX(元データ_加工!$C$2:$P$700,0,MATCH($B88,元データ_加工!$C$1:$P$1,0)),元データ_加工!$A$2:$A$700,$A88,元データ_加工!$B$2:$B$700,H$5)</f>
        <v>1</v>
      </c>
      <c r="I88" s="26">
        <f>SUMIFS(INDEX(元データ_加工!$C$2:$P$700,0,MATCH($B88,元データ_加工!$C$1:$P$1,0)),元データ_加工!$A$2:$A$700,$A88,元データ_加工!$B$2:$B$700,I$5)</f>
        <v>0</v>
      </c>
      <c r="J88" s="26">
        <f>SUMIFS(INDEX(元データ_加工!$C$2:$P$700,0,MATCH($B88,元データ_加工!$C$1:$P$1,0)),元データ_加工!$A$2:$A$700,$A88,元データ_加工!$B$2:$B$700,J$5)</f>
        <v>4</v>
      </c>
      <c r="K88" s="26">
        <f>SUMIFS(INDEX(元データ_加工!$C$2:$P$700,0,MATCH($B88,元データ_加工!$C$1:$P$1,0)),元データ_加工!$A$2:$A$700,$A88,元データ_加工!$B$2:$B$700,K$5)</f>
        <v>15</v>
      </c>
      <c r="L88" s="26">
        <f>SUMIFS(INDEX(元データ_加工!$C$2:$P$700,0,MATCH($B88,元データ_加工!$C$1:$P$1,0)),元データ_加工!$A$2:$A$700,$A88,元データ_加工!$B$2:$B$700,L$5)</f>
        <v>3</v>
      </c>
      <c r="M88" s="26">
        <f>SUMIFS(INDEX(元データ_加工!$C$2:$P$700,0,MATCH($B88,元データ_加工!$C$1:$P$1,0)),元データ_加工!$A$2:$A$700,$A88,元データ_加工!$B$2:$B$700,M$5)</f>
        <v>0</v>
      </c>
      <c r="N88" s="26">
        <f>SUMIFS(INDEX(元データ_加工!$C$2:$P$700,0,MATCH($B88,元データ_加工!$C$1:$P$1,0)),元データ_加工!$A$2:$A$700,$A88,元データ_加工!$B$2:$B$700,N$5)</f>
        <v>0</v>
      </c>
      <c r="O88" s="26">
        <f t="shared" si="1"/>
        <v>24</v>
      </c>
      <c r="P88" s="7">
        <f>IFERROR(O88/SUMIFS(元データ_加工!$C$2:$C$700,元データ_加工!$A$2:$A$700,$A88),"")</f>
        <v>8.9823720947640256E-4</v>
      </c>
    </row>
    <row r="89" spans="1:16" x14ac:dyDescent="0.45">
      <c r="A89" t="s">
        <v>40</v>
      </c>
      <c r="B89" t="s">
        <v>113</v>
      </c>
      <c r="C89" s="26">
        <f>SUMIFS(INDEX(元データ_加工!$C$2:$P$700,0,MATCH($B89,元データ_加工!$C$1:$P$1,0)),元データ_加工!$A$2:$A$700,$A89,元データ_加工!$B$2:$B$700,C$5)</f>
        <v>0</v>
      </c>
      <c r="D89" s="26">
        <f>SUMIFS(INDEX(元データ_加工!$C$2:$P$700,0,MATCH($B89,元データ_加工!$C$1:$P$1,0)),元データ_加工!$A$2:$A$700,$A89,元データ_加工!$B$2:$B$700,D$5)</f>
        <v>3</v>
      </c>
      <c r="E89" s="26">
        <f>SUMIFS(INDEX(元データ_加工!$C$2:$P$700,0,MATCH($B89,元データ_加工!$C$1:$P$1,0)),元データ_加工!$A$2:$A$700,$A89,元データ_加工!$B$2:$B$700,E$5)</f>
        <v>2</v>
      </c>
      <c r="F89" s="26">
        <f>SUMIFS(INDEX(元データ_加工!$C$2:$P$700,0,MATCH($B89,元データ_加工!$C$1:$P$1,0)),元データ_加工!$A$2:$A$700,$A89,元データ_加工!$B$2:$B$700,F$5)</f>
        <v>2</v>
      </c>
      <c r="G89" s="26">
        <f>SUMIFS(INDEX(元データ_加工!$C$2:$P$700,0,MATCH($B89,元データ_加工!$C$1:$P$1,0)),元データ_加工!$A$2:$A$700,$A89,元データ_加工!$B$2:$B$700,G$5)</f>
        <v>12</v>
      </c>
      <c r="H89" s="26">
        <f>SUMIFS(INDEX(元データ_加工!$C$2:$P$700,0,MATCH($B89,元データ_加工!$C$1:$P$1,0)),元データ_加工!$A$2:$A$700,$A89,元データ_加工!$B$2:$B$700,H$5)</f>
        <v>5</v>
      </c>
      <c r="I89" s="26">
        <f>SUMIFS(INDEX(元データ_加工!$C$2:$P$700,0,MATCH($B89,元データ_加工!$C$1:$P$1,0)),元データ_加工!$A$2:$A$700,$A89,元データ_加工!$B$2:$B$700,I$5)</f>
        <v>2</v>
      </c>
      <c r="J89" s="26">
        <f>SUMIFS(INDEX(元データ_加工!$C$2:$P$700,0,MATCH($B89,元データ_加工!$C$1:$P$1,0)),元データ_加工!$A$2:$A$700,$A89,元データ_加工!$B$2:$B$700,J$5)</f>
        <v>8</v>
      </c>
      <c r="K89" s="26">
        <f>SUMIFS(INDEX(元データ_加工!$C$2:$P$700,0,MATCH($B89,元データ_加工!$C$1:$P$1,0)),元データ_加工!$A$2:$A$700,$A89,元データ_加工!$B$2:$B$700,K$5)</f>
        <v>10</v>
      </c>
      <c r="L89" s="26">
        <f>SUMIFS(INDEX(元データ_加工!$C$2:$P$700,0,MATCH($B89,元データ_加工!$C$1:$P$1,0)),元データ_加工!$A$2:$A$700,$A89,元データ_加工!$B$2:$B$700,L$5)</f>
        <v>7</v>
      </c>
      <c r="M89" s="26">
        <f>SUMIFS(INDEX(元データ_加工!$C$2:$P$700,0,MATCH($B89,元データ_加工!$C$1:$P$1,0)),元データ_加工!$A$2:$A$700,$A89,元データ_加工!$B$2:$B$700,M$5)</f>
        <v>12</v>
      </c>
      <c r="N89" s="26">
        <f>SUMIFS(INDEX(元データ_加工!$C$2:$P$700,0,MATCH($B89,元データ_加工!$C$1:$P$1,0)),元データ_加工!$A$2:$A$700,$A89,元データ_加工!$B$2:$B$700,N$5)</f>
        <v>11</v>
      </c>
      <c r="O89" s="26">
        <f t="shared" si="1"/>
        <v>74</v>
      </c>
      <c r="P89" s="7">
        <f>IFERROR(O89/SUMIFS(元データ_加工!$C$2:$C$700,元データ_加工!$A$2:$A$700,$A89),"")</f>
        <v>2.7695647292189079E-3</v>
      </c>
    </row>
    <row r="90" spans="1:16" x14ac:dyDescent="0.45">
      <c r="A90" t="s">
        <v>41</v>
      </c>
      <c r="B90" t="s">
        <v>100</v>
      </c>
      <c r="C90" s="26">
        <f>SUMIFS(INDEX(元データ_加工!$C$2:$P$700,0,MATCH($B90,元データ_加工!$C$1:$P$1,0)),元データ_加工!$A$2:$A$700,$A90,元データ_加工!$B$2:$B$700,C$5)</f>
        <v>1584</v>
      </c>
      <c r="D90" s="26">
        <f>SUMIFS(INDEX(元データ_加工!$C$2:$P$700,0,MATCH($B90,元データ_加工!$C$1:$P$1,0)),元データ_加工!$A$2:$A$700,$A90,元データ_加工!$B$2:$B$700,D$5)</f>
        <v>1566</v>
      </c>
      <c r="E90" s="26">
        <f>SUMIFS(INDEX(元データ_加工!$C$2:$P$700,0,MATCH($B90,元データ_加工!$C$1:$P$1,0)),元データ_加工!$A$2:$A$700,$A90,元データ_加工!$B$2:$B$700,E$5)</f>
        <v>2330</v>
      </c>
      <c r="F90" s="26">
        <f>SUMIFS(INDEX(元データ_加工!$C$2:$P$700,0,MATCH($B90,元データ_加工!$C$1:$P$1,0)),元データ_加工!$A$2:$A$700,$A90,元データ_加工!$B$2:$B$700,F$5)</f>
        <v>2584</v>
      </c>
      <c r="G90" s="26">
        <f>SUMIFS(INDEX(元データ_加工!$C$2:$P$700,0,MATCH($B90,元データ_加工!$C$1:$P$1,0)),元データ_加工!$A$2:$A$700,$A90,元データ_加工!$B$2:$B$700,G$5)</f>
        <v>2390</v>
      </c>
      <c r="H90" s="26">
        <f>SUMIFS(INDEX(元データ_加工!$C$2:$P$700,0,MATCH($B90,元データ_加工!$C$1:$P$1,0)),元データ_加工!$A$2:$A$700,$A90,元データ_加工!$B$2:$B$700,H$5)</f>
        <v>1593</v>
      </c>
      <c r="I90" s="26">
        <f>SUMIFS(INDEX(元データ_加工!$C$2:$P$700,0,MATCH($B90,元データ_加工!$C$1:$P$1,0)),元データ_加工!$A$2:$A$700,$A90,元データ_加工!$B$2:$B$700,I$5)</f>
        <v>1434</v>
      </c>
      <c r="J90" s="26">
        <f>SUMIFS(INDEX(元データ_加工!$C$2:$P$700,0,MATCH($B90,元データ_加工!$C$1:$P$1,0)),元データ_加工!$A$2:$A$700,$A90,元データ_加工!$B$2:$B$700,J$5)</f>
        <v>2290</v>
      </c>
      <c r="K90" s="26">
        <f>SUMIFS(INDEX(元データ_加工!$C$2:$P$700,0,MATCH($B90,元データ_加工!$C$1:$P$1,0)),元データ_加工!$A$2:$A$700,$A90,元データ_加工!$B$2:$B$700,K$5)</f>
        <v>4339</v>
      </c>
      <c r="L90" s="26">
        <f>SUMIFS(INDEX(元データ_加工!$C$2:$P$700,0,MATCH($B90,元データ_加工!$C$1:$P$1,0)),元データ_加工!$A$2:$A$700,$A90,元データ_加工!$B$2:$B$700,L$5)</f>
        <v>2677</v>
      </c>
      <c r="M90" s="26">
        <f>SUMIFS(INDEX(元データ_加工!$C$2:$P$700,0,MATCH($B90,元データ_加工!$C$1:$P$1,0)),元データ_加工!$A$2:$A$700,$A90,元データ_加工!$B$2:$B$700,M$5)</f>
        <v>2667</v>
      </c>
      <c r="N90" s="26">
        <f>SUMIFS(INDEX(元データ_加工!$C$2:$P$700,0,MATCH($B90,元データ_加工!$C$1:$P$1,0)),元データ_加工!$A$2:$A$700,$A90,元データ_加工!$B$2:$B$700,N$5)</f>
        <v>1929</v>
      </c>
      <c r="O90" s="26">
        <f t="shared" si="1"/>
        <v>27383</v>
      </c>
      <c r="P90" s="7">
        <f>IFERROR(O90/SUMIFS(元データ_加工!$C$2:$C$700,元データ_加工!$A$2:$A$700,$A90),"")</f>
        <v>1</v>
      </c>
    </row>
    <row r="91" spans="1:16" x14ac:dyDescent="0.45">
      <c r="A91" t="s">
        <v>41</v>
      </c>
      <c r="B91" t="s">
        <v>101</v>
      </c>
      <c r="C91" s="26">
        <f>SUMIFS(INDEX(元データ_加工!$C$2:$P$700,0,MATCH($B91,元データ_加工!$C$1:$P$1,0)),元データ_加工!$A$2:$A$700,$A91,元データ_加工!$B$2:$B$700,C$5)</f>
        <v>1265</v>
      </c>
      <c r="D91" s="26">
        <f>SUMIFS(INDEX(元データ_加工!$C$2:$P$700,0,MATCH($B91,元データ_加工!$C$1:$P$1,0)),元データ_加工!$A$2:$A$700,$A91,元データ_加工!$B$2:$B$700,D$5)</f>
        <v>1405</v>
      </c>
      <c r="E91" s="26">
        <f>SUMIFS(INDEX(元データ_加工!$C$2:$P$700,0,MATCH($B91,元データ_加工!$C$1:$P$1,0)),元データ_加工!$A$2:$A$700,$A91,元データ_加工!$B$2:$B$700,E$5)</f>
        <v>1812</v>
      </c>
      <c r="F91" s="26">
        <f>SUMIFS(INDEX(元データ_加工!$C$2:$P$700,0,MATCH($B91,元データ_加工!$C$1:$P$1,0)),元データ_加工!$A$2:$A$700,$A91,元データ_加工!$B$2:$B$700,F$5)</f>
        <v>1664</v>
      </c>
      <c r="G91" s="26">
        <f>SUMIFS(INDEX(元データ_加工!$C$2:$P$700,0,MATCH($B91,元データ_加工!$C$1:$P$1,0)),元データ_加工!$A$2:$A$700,$A91,元データ_加工!$B$2:$B$700,G$5)</f>
        <v>1705</v>
      </c>
      <c r="H91" s="26">
        <f>SUMIFS(INDEX(元データ_加工!$C$2:$P$700,0,MATCH($B91,元データ_加工!$C$1:$P$1,0)),元データ_加工!$A$2:$A$700,$A91,元データ_加工!$B$2:$B$700,H$5)</f>
        <v>1212</v>
      </c>
      <c r="I91" s="26">
        <f>SUMIFS(INDEX(元データ_加工!$C$2:$P$700,0,MATCH($B91,元データ_加工!$C$1:$P$1,0)),元データ_加工!$A$2:$A$700,$A91,元データ_加工!$B$2:$B$700,I$5)</f>
        <v>1304</v>
      </c>
      <c r="J91" s="26">
        <f>SUMIFS(INDEX(元データ_加工!$C$2:$P$700,0,MATCH($B91,元データ_加工!$C$1:$P$1,0)),元データ_加工!$A$2:$A$700,$A91,元データ_加工!$B$2:$B$700,J$5)</f>
        <v>1537</v>
      </c>
      <c r="K91" s="26">
        <f>SUMIFS(INDEX(元データ_加工!$C$2:$P$700,0,MATCH($B91,元データ_加工!$C$1:$P$1,0)),元データ_加工!$A$2:$A$700,$A91,元データ_加工!$B$2:$B$700,K$5)</f>
        <v>1401</v>
      </c>
      <c r="L91" s="26">
        <f>SUMIFS(INDEX(元データ_加工!$C$2:$P$700,0,MATCH($B91,元データ_加工!$C$1:$P$1,0)),元データ_加工!$A$2:$A$700,$A91,元データ_加工!$B$2:$B$700,L$5)</f>
        <v>1208</v>
      </c>
      <c r="M91" s="26">
        <f>SUMIFS(INDEX(元データ_加工!$C$2:$P$700,0,MATCH($B91,元データ_加工!$C$1:$P$1,0)),元データ_加工!$A$2:$A$700,$A91,元データ_加工!$B$2:$B$700,M$5)</f>
        <v>1494</v>
      </c>
      <c r="N91" s="26">
        <f>SUMIFS(INDEX(元データ_加工!$C$2:$P$700,0,MATCH($B91,元データ_加工!$C$1:$P$1,0)),元データ_加工!$A$2:$A$700,$A91,元データ_加工!$B$2:$B$700,N$5)</f>
        <v>1257</v>
      </c>
      <c r="O91" s="26">
        <f t="shared" si="1"/>
        <v>17264</v>
      </c>
      <c r="P91" s="7">
        <f>IFERROR(O91/SUMIFS(元データ_加工!$C$2:$C$700,元データ_加工!$A$2:$A$700,$A91),"")</f>
        <v>0.63046415659350696</v>
      </c>
    </row>
    <row r="92" spans="1:16" x14ac:dyDescent="0.45">
      <c r="A92" t="s">
        <v>41</v>
      </c>
      <c r="B92" t="s">
        <v>102</v>
      </c>
      <c r="C92" s="26">
        <f>SUMIFS(INDEX(元データ_加工!$C$2:$P$700,0,MATCH($B92,元データ_加工!$C$1:$P$1,0)),元データ_加工!$A$2:$A$700,$A92,元データ_加工!$B$2:$B$700,C$5)</f>
        <v>0</v>
      </c>
      <c r="D92" s="26">
        <f>SUMIFS(INDEX(元データ_加工!$C$2:$P$700,0,MATCH($B92,元データ_加工!$C$1:$P$1,0)),元データ_加工!$A$2:$A$700,$A92,元データ_加工!$B$2:$B$700,D$5)</f>
        <v>0</v>
      </c>
      <c r="E92" s="26">
        <f>SUMIFS(INDEX(元データ_加工!$C$2:$P$700,0,MATCH($B92,元データ_加工!$C$1:$P$1,0)),元データ_加工!$A$2:$A$700,$A92,元データ_加工!$B$2:$B$700,E$5)</f>
        <v>0</v>
      </c>
      <c r="F92" s="26">
        <f>SUMIFS(INDEX(元データ_加工!$C$2:$P$700,0,MATCH($B92,元データ_加工!$C$1:$P$1,0)),元データ_加工!$A$2:$A$700,$A92,元データ_加工!$B$2:$B$700,F$5)</f>
        <v>0</v>
      </c>
      <c r="G92" s="26">
        <f>SUMIFS(INDEX(元データ_加工!$C$2:$P$700,0,MATCH($B92,元データ_加工!$C$1:$P$1,0)),元データ_加工!$A$2:$A$700,$A92,元データ_加工!$B$2:$B$700,G$5)</f>
        <v>0</v>
      </c>
      <c r="H92" s="26">
        <f>SUMIFS(INDEX(元データ_加工!$C$2:$P$700,0,MATCH($B92,元データ_加工!$C$1:$P$1,0)),元データ_加工!$A$2:$A$700,$A92,元データ_加工!$B$2:$B$700,H$5)</f>
        <v>0</v>
      </c>
      <c r="I92" s="26">
        <f>SUMIFS(INDEX(元データ_加工!$C$2:$P$700,0,MATCH($B92,元データ_加工!$C$1:$P$1,0)),元データ_加工!$A$2:$A$700,$A92,元データ_加工!$B$2:$B$700,I$5)</f>
        <v>0</v>
      </c>
      <c r="J92" s="26">
        <f>SUMIFS(INDEX(元データ_加工!$C$2:$P$700,0,MATCH($B92,元データ_加工!$C$1:$P$1,0)),元データ_加工!$A$2:$A$700,$A92,元データ_加工!$B$2:$B$700,J$5)</f>
        <v>3</v>
      </c>
      <c r="K92" s="26">
        <f>SUMIFS(INDEX(元データ_加工!$C$2:$P$700,0,MATCH($B92,元データ_加工!$C$1:$P$1,0)),元データ_加工!$A$2:$A$700,$A92,元データ_加工!$B$2:$B$700,K$5)</f>
        <v>3</v>
      </c>
      <c r="L92" s="26">
        <f>SUMIFS(INDEX(元データ_加工!$C$2:$P$700,0,MATCH($B92,元データ_加工!$C$1:$P$1,0)),元データ_加工!$A$2:$A$700,$A92,元データ_加工!$B$2:$B$700,L$5)</f>
        <v>0</v>
      </c>
      <c r="M92" s="26">
        <f>SUMIFS(INDEX(元データ_加工!$C$2:$P$700,0,MATCH($B92,元データ_加工!$C$1:$P$1,0)),元データ_加工!$A$2:$A$700,$A92,元データ_加工!$B$2:$B$700,M$5)</f>
        <v>0</v>
      </c>
      <c r="N92" s="26">
        <f>SUMIFS(INDEX(元データ_加工!$C$2:$P$700,0,MATCH($B92,元データ_加工!$C$1:$P$1,0)),元データ_加工!$A$2:$A$700,$A92,元データ_加工!$B$2:$B$700,N$5)</f>
        <v>0</v>
      </c>
      <c r="O92" s="26">
        <f t="shared" si="1"/>
        <v>6</v>
      </c>
      <c r="P92" s="7">
        <f>IFERROR(O92/SUMIFS(元データ_加工!$C$2:$C$700,元データ_加工!$A$2:$A$700,$A92),"")</f>
        <v>2.1911404886243289E-4</v>
      </c>
    </row>
    <row r="93" spans="1:16" x14ac:dyDescent="0.45">
      <c r="A93" t="s">
        <v>41</v>
      </c>
      <c r="B93" t="s">
        <v>103</v>
      </c>
      <c r="C93" s="26">
        <f>SUMIFS(INDEX(元データ_加工!$C$2:$P$700,0,MATCH($B93,元データ_加工!$C$1:$P$1,0)),元データ_加工!$A$2:$A$700,$A93,元データ_加工!$B$2:$B$700,C$5)</f>
        <v>0</v>
      </c>
      <c r="D93" s="26">
        <f>SUMIFS(INDEX(元データ_加工!$C$2:$P$700,0,MATCH($B93,元データ_加工!$C$1:$P$1,0)),元データ_加工!$A$2:$A$700,$A93,元データ_加工!$B$2:$B$700,D$5)</f>
        <v>0</v>
      </c>
      <c r="E93" s="26">
        <f>SUMIFS(INDEX(元データ_加工!$C$2:$P$700,0,MATCH($B93,元データ_加工!$C$1:$P$1,0)),元データ_加工!$A$2:$A$700,$A93,元データ_加工!$B$2:$B$700,E$5)</f>
        <v>9</v>
      </c>
      <c r="F93" s="26">
        <f>SUMIFS(INDEX(元データ_加工!$C$2:$P$700,0,MATCH($B93,元データ_加工!$C$1:$P$1,0)),元データ_加工!$A$2:$A$700,$A93,元データ_加工!$B$2:$B$700,F$5)</f>
        <v>25</v>
      </c>
      <c r="G93" s="26">
        <f>SUMIFS(INDEX(元データ_加工!$C$2:$P$700,0,MATCH($B93,元データ_加工!$C$1:$P$1,0)),元データ_加工!$A$2:$A$700,$A93,元データ_加工!$B$2:$B$700,G$5)</f>
        <v>16</v>
      </c>
      <c r="H93" s="26">
        <f>SUMIFS(INDEX(元データ_加工!$C$2:$P$700,0,MATCH($B93,元データ_加工!$C$1:$P$1,0)),元データ_加工!$A$2:$A$700,$A93,元データ_加工!$B$2:$B$700,H$5)</f>
        <v>25</v>
      </c>
      <c r="I93" s="26">
        <f>SUMIFS(INDEX(元データ_加工!$C$2:$P$700,0,MATCH($B93,元データ_加工!$C$1:$P$1,0)),元データ_加工!$A$2:$A$700,$A93,元データ_加工!$B$2:$B$700,I$5)</f>
        <v>10</v>
      </c>
      <c r="J93" s="26">
        <f>SUMIFS(INDEX(元データ_加工!$C$2:$P$700,0,MATCH($B93,元データ_加工!$C$1:$P$1,0)),元データ_加工!$A$2:$A$700,$A93,元データ_加工!$B$2:$B$700,J$5)</f>
        <v>0</v>
      </c>
      <c r="K93" s="26">
        <f>SUMIFS(INDEX(元データ_加工!$C$2:$P$700,0,MATCH($B93,元データ_加工!$C$1:$P$1,0)),元データ_加工!$A$2:$A$700,$A93,元データ_加工!$B$2:$B$700,K$5)</f>
        <v>1</v>
      </c>
      <c r="L93" s="26">
        <f>SUMIFS(INDEX(元データ_加工!$C$2:$P$700,0,MATCH($B93,元データ_加工!$C$1:$P$1,0)),元データ_加工!$A$2:$A$700,$A93,元データ_加工!$B$2:$B$700,L$5)</f>
        <v>0</v>
      </c>
      <c r="M93" s="26">
        <f>SUMIFS(INDEX(元データ_加工!$C$2:$P$700,0,MATCH($B93,元データ_加工!$C$1:$P$1,0)),元データ_加工!$A$2:$A$700,$A93,元データ_加工!$B$2:$B$700,M$5)</f>
        <v>0</v>
      </c>
      <c r="N93" s="26">
        <f>SUMIFS(INDEX(元データ_加工!$C$2:$P$700,0,MATCH($B93,元データ_加工!$C$1:$P$1,0)),元データ_加工!$A$2:$A$700,$A93,元データ_加工!$B$2:$B$700,N$5)</f>
        <v>0</v>
      </c>
      <c r="O93" s="26">
        <f t="shared" si="1"/>
        <v>86</v>
      </c>
      <c r="P93" s="7">
        <f>IFERROR(O93/SUMIFS(元データ_加工!$C$2:$C$700,元データ_加工!$A$2:$A$700,$A93),"")</f>
        <v>3.1406347003615381E-3</v>
      </c>
    </row>
    <row r="94" spans="1:16" x14ac:dyDescent="0.45">
      <c r="A94" t="s">
        <v>41</v>
      </c>
      <c r="B94" t="s">
        <v>104</v>
      </c>
      <c r="C94" s="26">
        <f>SUMIFS(INDEX(元データ_加工!$C$2:$P$700,0,MATCH($B94,元データ_加工!$C$1:$P$1,0)),元データ_加工!$A$2:$A$700,$A94,元データ_加工!$B$2:$B$700,C$5)</f>
        <v>10</v>
      </c>
      <c r="D94" s="26">
        <f>SUMIFS(INDEX(元データ_加工!$C$2:$P$700,0,MATCH($B94,元データ_加工!$C$1:$P$1,0)),元データ_加工!$A$2:$A$700,$A94,元データ_加工!$B$2:$B$700,D$5)</f>
        <v>20</v>
      </c>
      <c r="E94" s="26">
        <f>SUMIFS(INDEX(元データ_加工!$C$2:$P$700,0,MATCH($B94,元データ_加工!$C$1:$P$1,0)),元データ_加工!$A$2:$A$700,$A94,元データ_加工!$B$2:$B$700,E$5)</f>
        <v>33</v>
      </c>
      <c r="F94" s="26">
        <f>SUMIFS(INDEX(元データ_加工!$C$2:$P$700,0,MATCH($B94,元データ_加工!$C$1:$P$1,0)),元データ_加工!$A$2:$A$700,$A94,元データ_加工!$B$2:$B$700,F$5)</f>
        <v>39</v>
      </c>
      <c r="G94" s="26">
        <f>SUMIFS(INDEX(元データ_加工!$C$2:$P$700,0,MATCH($B94,元データ_加工!$C$1:$P$1,0)),元データ_加工!$A$2:$A$700,$A94,元データ_加工!$B$2:$B$700,G$5)</f>
        <v>73</v>
      </c>
      <c r="H94" s="26">
        <f>SUMIFS(INDEX(元データ_加工!$C$2:$P$700,0,MATCH($B94,元データ_加工!$C$1:$P$1,0)),元データ_加工!$A$2:$A$700,$A94,元データ_加工!$B$2:$B$700,H$5)</f>
        <v>45</v>
      </c>
      <c r="I94" s="26">
        <f>SUMIFS(INDEX(元データ_加工!$C$2:$P$700,0,MATCH($B94,元データ_加工!$C$1:$P$1,0)),元データ_加工!$A$2:$A$700,$A94,元データ_加工!$B$2:$B$700,I$5)</f>
        <v>23</v>
      </c>
      <c r="J94" s="26">
        <f>SUMIFS(INDEX(元データ_加工!$C$2:$P$700,0,MATCH($B94,元データ_加工!$C$1:$P$1,0)),元データ_加工!$A$2:$A$700,$A94,元データ_加工!$B$2:$B$700,J$5)</f>
        <v>122</v>
      </c>
      <c r="K94" s="26">
        <f>SUMIFS(INDEX(元データ_加工!$C$2:$P$700,0,MATCH($B94,元データ_加工!$C$1:$P$1,0)),元データ_加工!$A$2:$A$700,$A94,元データ_加工!$B$2:$B$700,K$5)</f>
        <v>94</v>
      </c>
      <c r="L94" s="26">
        <f>SUMIFS(INDEX(元データ_加工!$C$2:$P$700,0,MATCH($B94,元データ_加工!$C$1:$P$1,0)),元データ_加工!$A$2:$A$700,$A94,元データ_加工!$B$2:$B$700,L$5)</f>
        <v>64</v>
      </c>
      <c r="M94" s="26">
        <f>SUMIFS(INDEX(元データ_加工!$C$2:$P$700,0,MATCH($B94,元データ_加工!$C$1:$P$1,0)),元データ_加工!$A$2:$A$700,$A94,元データ_加工!$B$2:$B$700,M$5)</f>
        <v>65</v>
      </c>
      <c r="N94" s="26">
        <f>SUMIFS(INDEX(元データ_加工!$C$2:$P$700,0,MATCH($B94,元データ_加工!$C$1:$P$1,0)),元データ_加工!$A$2:$A$700,$A94,元データ_加工!$B$2:$B$700,N$5)</f>
        <v>33</v>
      </c>
      <c r="O94" s="26">
        <f t="shared" si="1"/>
        <v>621</v>
      </c>
      <c r="P94" s="7">
        <f>IFERROR(O94/SUMIFS(元データ_加工!$C$2:$C$700,元データ_加工!$A$2:$A$700,$A94),"")</f>
        <v>2.2678304057261806E-2</v>
      </c>
    </row>
    <row r="95" spans="1:16" x14ac:dyDescent="0.45">
      <c r="A95" t="s">
        <v>41</v>
      </c>
      <c r="B95" t="s">
        <v>105</v>
      </c>
      <c r="C95" s="26">
        <f>SUMIFS(INDEX(元データ_加工!$C$2:$P$700,0,MATCH($B95,元データ_加工!$C$1:$P$1,0)),元データ_加工!$A$2:$A$700,$A95,元データ_加工!$B$2:$B$700,C$5)</f>
        <v>0</v>
      </c>
      <c r="D95" s="26">
        <f>SUMIFS(INDEX(元データ_加工!$C$2:$P$700,0,MATCH($B95,元データ_加工!$C$1:$P$1,0)),元データ_加工!$A$2:$A$700,$A95,元データ_加工!$B$2:$B$700,D$5)</f>
        <v>3</v>
      </c>
      <c r="E95" s="26">
        <f>SUMIFS(INDEX(元データ_加工!$C$2:$P$700,0,MATCH($B95,元データ_加工!$C$1:$P$1,0)),元データ_加工!$A$2:$A$700,$A95,元データ_加工!$B$2:$B$700,E$5)</f>
        <v>1</v>
      </c>
      <c r="F95" s="26">
        <f>SUMIFS(INDEX(元データ_加工!$C$2:$P$700,0,MATCH($B95,元データ_加工!$C$1:$P$1,0)),元データ_加工!$A$2:$A$700,$A95,元データ_加工!$B$2:$B$700,F$5)</f>
        <v>0</v>
      </c>
      <c r="G95" s="26">
        <f>SUMIFS(INDEX(元データ_加工!$C$2:$P$700,0,MATCH($B95,元データ_加工!$C$1:$P$1,0)),元データ_加工!$A$2:$A$700,$A95,元データ_加工!$B$2:$B$700,G$5)</f>
        <v>3</v>
      </c>
      <c r="H95" s="26">
        <f>SUMIFS(INDEX(元データ_加工!$C$2:$P$700,0,MATCH($B95,元データ_加工!$C$1:$P$1,0)),元データ_加工!$A$2:$A$700,$A95,元データ_加工!$B$2:$B$700,H$5)</f>
        <v>6</v>
      </c>
      <c r="I95" s="26">
        <f>SUMIFS(INDEX(元データ_加工!$C$2:$P$700,0,MATCH($B95,元データ_加工!$C$1:$P$1,0)),元データ_加工!$A$2:$A$700,$A95,元データ_加工!$B$2:$B$700,I$5)</f>
        <v>10</v>
      </c>
      <c r="J95" s="26">
        <f>SUMIFS(INDEX(元データ_加工!$C$2:$P$700,0,MATCH($B95,元データ_加工!$C$1:$P$1,0)),元データ_加工!$A$2:$A$700,$A95,元データ_加工!$B$2:$B$700,J$5)</f>
        <v>84</v>
      </c>
      <c r="K95" s="26">
        <f>SUMIFS(INDEX(元データ_加工!$C$2:$P$700,0,MATCH($B95,元データ_加工!$C$1:$P$1,0)),元データ_加工!$A$2:$A$700,$A95,元データ_加工!$B$2:$B$700,K$5)</f>
        <v>167</v>
      </c>
      <c r="L95" s="26">
        <f>SUMIFS(INDEX(元データ_加工!$C$2:$P$700,0,MATCH($B95,元データ_加工!$C$1:$P$1,0)),元データ_加工!$A$2:$A$700,$A95,元データ_加工!$B$2:$B$700,L$5)</f>
        <v>65</v>
      </c>
      <c r="M95" s="26">
        <f>SUMIFS(INDEX(元データ_加工!$C$2:$P$700,0,MATCH($B95,元データ_加工!$C$1:$P$1,0)),元データ_加工!$A$2:$A$700,$A95,元データ_加工!$B$2:$B$700,M$5)</f>
        <v>55</v>
      </c>
      <c r="N95" s="26">
        <f>SUMIFS(INDEX(元データ_加工!$C$2:$P$700,0,MATCH($B95,元データ_加工!$C$1:$P$1,0)),元データ_加工!$A$2:$A$700,$A95,元データ_加工!$B$2:$B$700,N$5)</f>
        <v>16</v>
      </c>
      <c r="O95" s="26">
        <f t="shared" si="1"/>
        <v>410</v>
      </c>
      <c r="P95" s="7">
        <f>IFERROR(O95/SUMIFS(元データ_加工!$C$2:$C$700,元データ_加工!$A$2:$A$700,$A95),"")</f>
        <v>1.4972793338932915E-2</v>
      </c>
    </row>
    <row r="96" spans="1:16" x14ac:dyDescent="0.45">
      <c r="A96" t="s">
        <v>41</v>
      </c>
      <c r="B96" t="s">
        <v>106</v>
      </c>
      <c r="C96" s="26">
        <f>SUMIFS(INDEX(元データ_加工!$C$2:$P$700,0,MATCH($B96,元データ_加工!$C$1:$P$1,0)),元データ_加工!$A$2:$A$700,$A96,元データ_加工!$B$2:$B$700,C$5)</f>
        <v>256</v>
      </c>
      <c r="D96" s="26">
        <f>SUMIFS(INDEX(元データ_加工!$C$2:$P$700,0,MATCH($B96,元データ_加工!$C$1:$P$1,0)),元データ_加工!$A$2:$A$700,$A96,元データ_加工!$B$2:$B$700,D$5)</f>
        <v>177</v>
      </c>
      <c r="E96" s="26">
        <f>SUMIFS(INDEX(元データ_加工!$C$2:$P$700,0,MATCH($B96,元データ_加工!$C$1:$P$1,0)),元データ_加工!$A$2:$A$700,$A96,元データ_加工!$B$2:$B$700,E$5)</f>
        <v>259</v>
      </c>
      <c r="F96" s="26">
        <f>SUMIFS(INDEX(元データ_加工!$C$2:$P$700,0,MATCH($B96,元データ_加工!$C$1:$P$1,0)),元データ_加工!$A$2:$A$700,$A96,元データ_加工!$B$2:$B$700,F$5)</f>
        <v>279</v>
      </c>
      <c r="G96" s="26">
        <f>SUMIFS(INDEX(元データ_加工!$C$2:$P$700,0,MATCH($B96,元データ_加工!$C$1:$P$1,0)),元データ_加工!$A$2:$A$700,$A96,元データ_加工!$B$2:$B$700,G$5)</f>
        <v>350</v>
      </c>
      <c r="H96" s="26">
        <f>SUMIFS(INDEX(元データ_加工!$C$2:$P$700,0,MATCH($B96,元データ_加工!$C$1:$P$1,0)),元データ_加工!$A$2:$A$700,$A96,元データ_加工!$B$2:$B$700,H$5)</f>
        <v>192</v>
      </c>
      <c r="I96" s="26">
        <f>SUMIFS(INDEX(元データ_加工!$C$2:$P$700,0,MATCH($B96,元データ_加工!$C$1:$P$1,0)),元データ_加工!$A$2:$A$700,$A96,元データ_加工!$B$2:$B$700,I$5)</f>
        <v>176</v>
      </c>
      <c r="J96" s="26">
        <f>SUMIFS(INDEX(元データ_加工!$C$2:$P$700,0,MATCH($B96,元データ_加工!$C$1:$P$1,0)),元データ_加工!$A$2:$A$700,$A96,元データ_加工!$B$2:$B$700,J$5)</f>
        <v>287</v>
      </c>
      <c r="K96" s="26">
        <f>SUMIFS(INDEX(元データ_加工!$C$2:$P$700,0,MATCH($B96,元データ_加工!$C$1:$P$1,0)),元データ_加工!$A$2:$A$700,$A96,元データ_加工!$B$2:$B$700,K$5)</f>
        <v>471</v>
      </c>
      <c r="L96" s="26">
        <f>SUMIFS(INDEX(元データ_加工!$C$2:$P$700,0,MATCH($B96,元データ_加工!$C$1:$P$1,0)),元データ_加工!$A$2:$A$700,$A96,元データ_加工!$B$2:$B$700,L$5)</f>
        <v>320</v>
      </c>
      <c r="M96" s="26">
        <f>SUMIFS(INDEX(元データ_加工!$C$2:$P$700,0,MATCH($B96,元データ_加工!$C$1:$P$1,0)),元データ_加工!$A$2:$A$700,$A96,元データ_加工!$B$2:$B$700,M$5)</f>
        <v>391</v>
      </c>
      <c r="N96" s="26">
        <f>SUMIFS(INDEX(元データ_加工!$C$2:$P$700,0,MATCH($B96,元データ_加工!$C$1:$P$1,0)),元データ_加工!$A$2:$A$700,$A96,元データ_加工!$B$2:$B$700,N$5)</f>
        <v>379</v>
      </c>
      <c r="O96" s="26">
        <f t="shared" si="1"/>
        <v>3537</v>
      </c>
      <c r="P96" s="7">
        <f>IFERROR(O96/SUMIFS(元データ_加工!$C$2:$C$700,元データ_加工!$A$2:$A$700,$A96),"")</f>
        <v>0.12916773180440419</v>
      </c>
    </row>
    <row r="97" spans="1:16" x14ac:dyDescent="0.45">
      <c r="A97" t="s">
        <v>41</v>
      </c>
      <c r="B97" t="s">
        <v>107</v>
      </c>
      <c r="C97" s="26">
        <f>SUMIFS(INDEX(元データ_加工!$C$2:$P$700,0,MATCH($B97,元データ_加工!$C$1:$P$1,0)),元データ_加工!$A$2:$A$700,$A97,元データ_加工!$B$2:$B$700,C$5)</f>
        <v>128</v>
      </c>
      <c r="D97" s="26">
        <f>SUMIFS(INDEX(元データ_加工!$C$2:$P$700,0,MATCH($B97,元データ_加工!$C$1:$P$1,0)),元データ_加工!$A$2:$A$700,$A97,元データ_加工!$B$2:$B$700,D$5)</f>
        <v>101</v>
      </c>
      <c r="E97" s="26">
        <f>SUMIFS(INDEX(元データ_加工!$C$2:$P$700,0,MATCH($B97,元データ_加工!$C$1:$P$1,0)),元データ_加工!$A$2:$A$700,$A97,元データ_加工!$B$2:$B$700,E$5)</f>
        <v>134</v>
      </c>
      <c r="F97" s="26">
        <f>SUMIFS(INDEX(元データ_加工!$C$2:$P$700,0,MATCH($B97,元データ_加工!$C$1:$P$1,0)),元データ_加工!$A$2:$A$700,$A97,元データ_加工!$B$2:$B$700,F$5)</f>
        <v>86</v>
      </c>
      <c r="G97" s="26">
        <f>SUMIFS(INDEX(元データ_加工!$C$2:$P$700,0,MATCH($B97,元データ_加工!$C$1:$P$1,0)),元データ_加工!$A$2:$A$700,$A97,元データ_加工!$B$2:$B$700,G$5)</f>
        <v>100</v>
      </c>
      <c r="H97" s="26">
        <f>SUMIFS(INDEX(元データ_加工!$C$2:$P$700,0,MATCH($B97,元データ_加工!$C$1:$P$1,0)),元データ_加工!$A$2:$A$700,$A97,元データ_加工!$B$2:$B$700,H$5)</f>
        <v>57</v>
      </c>
      <c r="I97" s="26">
        <f>SUMIFS(INDEX(元データ_加工!$C$2:$P$700,0,MATCH($B97,元データ_加工!$C$1:$P$1,0)),元データ_加工!$A$2:$A$700,$A97,元データ_加工!$B$2:$B$700,I$5)</f>
        <v>52</v>
      </c>
      <c r="J97" s="26">
        <f>SUMIFS(INDEX(元データ_加工!$C$2:$P$700,0,MATCH($B97,元データ_加工!$C$1:$P$1,0)),元データ_加工!$A$2:$A$700,$A97,元データ_加工!$B$2:$B$700,J$5)</f>
        <v>69</v>
      </c>
      <c r="K97" s="26">
        <f>SUMIFS(INDEX(元データ_加工!$C$2:$P$700,0,MATCH($B97,元データ_加工!$C$1:$P$1,0)),元データ_加工!$A$2:$A$700,$A97,元データ_加工!$B$2:$B$700,K$5)</f>
        <v>106</v>
      </c>
      <c r="L97" s="26">
        <f>SUMIFS(INDEX(元データ_加工!$C$2:$P$700,0,MATCH($B97,元データ_加工!$C$1:$P$1,0)),元データ_加工!$A$2:$A$700,$A97,元データ_加工!$B$2:$B$700,L$5)</f>
        <v>99</v>
      </c>
      <c r="M97" s="26">
        <f>SUMIFS(INDEX(元データ_加工!$C$2:$P$700,0,MATCH($B97,元データ_加工!$C$1:$P$1,0)),元データ_加工!$A$2:$A$700,$A97,元データ_加工!$B$2:$B$700,M$5)</f>
        <v>104</v>
      </c>
      <c r="N97" s="26">
        <f>SUMIFS(INDEX(元データ_加工!$C$2:$P$700,0,MATCH($B97,元データ_加工!$C$1:$P$1,0)),元データ_加工!$A$2:$A$700,$A97,元データ_加工!$B$2:$B$700,N$5)</f>
        <v>134</v>
      </c>
      <c r="O97" s="26">
        <f t="shared" si="1"/>
        <v>1170</v>
      </c>
      <c r="P97" s="7">
        <f>IFERROR(O97/SUMIFS(元データ_加工!$C$2:$C$700,元データ_加工!$A$2:$A$700,$A97),"")</f>
        <v>4.2727239528174414E-2</v>
      </c>
    </row>
    <row r="98" spans="1:16" x14ac:dyDescent="0.45">
      <c r="A98" t="s">
        <v>41</v>
      </c>
      <c r="B98" t="s">
        <v>108</v>
      </c>
      <c r="C98" s="26">
        <f>SUMIFS(INDEX(元データ_加工!$C$2:$P$700,0,MATCH($B98,元データ_加工!$C$1:$P$1,0)),元データ_加工!$A$2:$A$700,$A98,元データ_加工!$B$2:$B$700,C$5)</f>
        <v>1</v>
      </c>
      <c r="D98" s="26">
        <f>SUMIFS(INDEX(元データ_加工!$C$2:$P$700,0,MATCH($B98,元データ_加工!$C$1:$P$1,0)),元データ_加工!$A$2:$A$700,$A98,元データ_加工!$B$2:$B$700,D$5)</f>
        <v>0</v>
      </c>
      <c r="E98" s="26">
        <f>SUMIFS(INDEX(元データ_加工!$C$2:$P$700,0,MATCH($B98,元データ_加工!$C$1:$P$1,0)),元データ_加工!$A$2:$A$700,$A98,元データ_加工!$B$2:$B$700,E$5)</f>
        <v>10</v>
      </c>
      <c r="F98" s="26">
        <f>SUMIFS(INDEX(元データ_加工!$C$2:$P$700,0,MATCH($B98,元データ_加工!$C$1:$P$1,0)),元データ_加工!$A$2:$A$700,$A98,元データ_加工!$B$2:$B$700,F$5)</f>
        <v>36</v>
      </c>
      <c r="G98" s="26">
        <f>SUMIFS(INDEX(元データ_加工!$C$2:$P$700,0,MATCH($B98,元データ_加工!$C$1:$P$1,0)),元データ_加工!$A$2:$A$700,$A98,元データ_加工!$B$2:$B$700,G$5)</f>
        <v>24</v>
      </c>
      <c r="H98" s="26">
        <f>SUMIFS(INDEX(元データ_加工!$C$2:$P$700,0,MATCH($B98,元データ_加工!$C$1:$P$1,0)),元データ_加工!$A$2:$A$700,$A98,元データ_加工!$B$2:$B$700,H$5)</f>
        <v>15</v>
      </c>
      <c r="I98" s="26">
        <f>SUMIFS(INDEX(元データ_加工!$C$2:$P$700,0,MATCH($B98,元データ_加工!$C$1:$P$1,0)),元データ_加工!$A$2:$A$700,$A98,元データ_加工!$B$2:$B$700,I$5)</f>
        <v>11</v>
      </c>
      <c r="J98" s="26">
        <f>SUMIFS(INDEX(元データ_加工!$C$2:$P$700,0,MATCH($B98,元データ_加工!$C$1:$P$1,0)),元データ_加工!$A$2:$A$700,$A98,元データ_加工!$B$2:$B$700,J$5)</f>
        <v>11</v>
      </c>
      <c r="K98" s="26">
        <f>SUMIFS(INDEX(元データ_加工!$C$2:$P$700,0,MATCH($B98,元データ_加工!$C$1:$P$1,0)),元データ_加工!$A$2:$A$700,$A98,元データ_加工!$B$2:$B$700,K$5)</f>
        <v>4</v>
      </c>
      <c r="L98" s="26">
        <f>SUMIFS(INDEX(元データ_加工!$C$2:$P$700,0,MATCH($B98,元データ_加工!$C$1:$P$1,0)),元データ_加工!$A$2:$A$700,$A98,元データ_加工!$B$2:$B$700,L$5)</f>
        <v>12</v>
      </c>
      <c r="M98" s="26">
        <f>SUMIFS(INDEX(元データ_加工!$C$2:$P$700,0,MATCH($B98,元データ_加工!$C$1:$P$1,0)),元データ_加工!$A$2:$A$700,$A98,元データ_加工!$B$2:$B$700,M$5)</f>
        <v>7</v>
      </c>
      <c r="N98" s="26">
        <f>SUMIFS(INDEX(元データ_加工!$C$2:$P$700,0,MATCH($B98,元データ_加工!$C$1:$P$1,0)),元データ_加工!$A$2:$A$700,$A98,元データ_加工!$B$2:$B$700,N$5)</f>
        <v>5</v>
      </c>
      <c r="O98" s="26">
        <f t="shared" si="1"/>
        <v>136</v>
      </c>
      <c r="P98" s="7">
        <f>IFERROR(O98/SUMIFS(元データ_加工!$C$2:$C$700,元データ_加工!$A$2:$A$700,$A98),"")</f>
        <v>4.9665851075484787E-3</v>
      </c>
    </row>
    <row r="99" spans="1:16" x14ac:dyDescent="0.45">
      <c r="A99" t="s">
        <v>41</v>
      </c>
      <c r="B99" t="s">
        <v>109</v>
      </c>
      <c r="C99" s="26">
        <f>SUMIFS(INDEX(元データ_加工!$C$2:$P$700,0,MATCH($B99,元データ_加工!$C$1:$P$1,0)),元データ_加工!$A$2:$A$700,$A99,元データ_加工!$B$2:$B$700,C$5)</f>
        <v>88</v>
      </c>
      <c r="D99" s="26">
        <f>SUMIFS(INDEX(元データ_加工!$C$2:$P$700,0,MATCH($B99,元データ_加工!$C$1:$P$1,0)),元データ_加工!$A$2:$A$700,$A99,元データ_加工!$B$2:$B$700,D$5)</f>
        <v>112</v>
      </c>
      <c r="E99" s="26">
        <f>SUMIFS(INDEX(元データ_加工!$C$2:$P$700,0,MATCH($B99,元データ_加工!$C$1:$P$1,0)),元データ_加工!$A$2:$A$700,$A99,元データ_加工!$B$2:$B$700,E$5)</f>
        <v>110</v>
      </c>
      <c r="F99" s="26">
        <f>SUMIFS(INDEX(元データ_加工!$C$2:$P$700,0,MATCH($B99,元データ_加工!$C$1:$P$1,0)),元データ_加工!$A$2:$A$700,$A99,元データ_加工!$B$2:$B$700,F$5)</f>
        <v>92</v>
      </c>
      <c r="G99" s="26">
        <f>SUMIFS(INDEX(元データ_加工!$C$2:$P$700,0,MATCH($B99,元データ_加工!$C$1:$P$1,0)),元データ_加工!$A$2:$A$700,$A99,元データ_加工!$B$2:$B$700,G$5)</f>
        <v>84</v>
      </c>
      <c r="H99" s="26">
        <f>SUMIFS(INDEX(元データ_加工!$C$2:$P$700,0,MATCH($B99,元データ_加工!$C$1:$P$1,0)),元データ_加工!$A$2:$A$700,$A99,元データ_加工!$B$2:$B$700,H$5)</f>
        <v>87</v>
      </c>
      <c r="I99" s="26">
        <f>SUMIFS(INDEX(元データ_加工!$C$2:$P$700,0,MATCH($B99,元データ_加工!$C$1:$P$1,0)),元データ_加工!$A$2:$A$700,$A99,元データ_加工!$B$2:$B$700,I$5)</f>
        <v>79</v>
      </c>
      <c r="J99" s="26">
        <f>SUMIFS(INDEX(元データ_加工!$C$2:$P$700,0,MATCH($B99,元データ_加工!$C$1:$P$1,0)),元データ_加工!$A$2:$A$700,$A99,元データ_加工!$B$2:$B$700,J$5)</f>
        <v>109</v>
      </c>
      <c r="K99" s="26">
        <f>SUMIFS(INDEX(元データ_加工!$C$2:$P$700,0,MATCH($B99,元データ_加工!$C$1:$P$1,0)),元データ_加工!$A$2:$A$700,$A99,元データ_加工!$B$2:$B$700,K$5)</f>
        <v>96</v>
      </c>
      <c r="L99" s="26">
        <f>SUMIFS(INDEX(元データ_加工!$C$2:$P$700,0,MATCH($B99,元データ_加工!$C$1:$P$1,0)),元データ_加工!$A$2:$A$700,$A99,元データ_加工!$B$2:$B$700,L$5)</f>
        <v>69</v>
      </c>
      <c r="M99" s="26">
        <f>SUMIFS(INDEX(元データ_加工!$C$2:$P$700,0,MATCH($B99,元データ_加工!$C$1:$P$1,0)),元データ_加工!$A$2:$A$700,$A99,元データ_加工!$B$2:$B$700,M$5)</f>
        <v>140</v>
      </c>
      <c r="N99" s="26">
        <f>SUMIFS(INDEX(元データ_加工!$C$2:$P$700,0,MATCH($B99,元データ_加工!$C$1:$P$1,0)),元データ_加工!$A$2:$A$700,$A99,元データ_加工!$B$2:$B$700,N$5)</f>
        <v>108</v>
      </c>
      <c r="O99" s="26">
        <f t="shared" si="1"/>
        <v>1174</v>
      </c>
      <c r="P99" s="7">
        <f>IFERROR(O99/SUMIFS(元データ_加工!$C$2:$C$700,元データ_加工!$A$2:$A$700,$A99),"")</f>
        <v>4.2873315560749373E-2</v>
      </c>
    </row>
    <row r="100" spans="1:16" x14ac:dyDescent="0.45">
      <c r="A100" t="s">
        <v>41</v>
      </c>
      <c r="B100" t="s">
        <v>110</v>
      </c>
      <c r="C100" s="26">
        <f>SUMIFS(INDEX(元データ_加工!$C$2:$P$700,0,MATCH($B100,元データ_加工!$C$1:$P$1,0)),元データ_加工!$A$2:$A$700,$A100,元データ_加工!$B$2:$B$700,C$5)</f>
        <v>0</v>
      </c>
      <c r="D100" s="26">
        <f>SUMIFS(INDEX(元データ_加工!$C$2:$P$700,0,MATCH($B100,元データ_加工!$C$1:$P$1,0)),元データ_加工!$A$2:$A$700,$A100,元データ_加工!$B$2:$B$700,D$5)</f>
        <v>0</v>
      </c>
      <c r="E100" s="26">
        <f>SUMIFS(INDEX(元データ_加工!$C$2:$P$700,0,MATCH($B100,元データ_加工!$C$1:$P$1,0)),元データ_加工!$A$2:$A$700,$A100,元データ_加工!$B$2:$B$700,E$5)</f>
        <v>1</v>
      </c>
      <c r="F100" s="26">
        <f>SUMIFS(INDEX(元データ_加工!$C$2:$P$700,0,MATCH($B100,元データ_加工!$C$1:$P$1,0)),元データ_加工!$A$2:$A$700,$A100,元データ_加工!$B$2:$B$700,F$5)</f>
        <v>0</v>
      </c>
      <c r="G100" s="26">
        <f>SUMIFS(INDEX(元データ_加工!$C$2:$P$700,0,MATCH($B100,元データ_加工!$C$1:$P$1,0)),元データ_加工!$A$2:$A$700,$A100,元データ_加工!$B$2:$B$700,G$5)</f>
        <v>0</v>
      </c>
      <c r="H100" s="26">
        <f>SUMIFS(INDEX(元データ_加工!$C$2:$P$700,0,MATCH($B100,元データ_加工!$C$1:$P$1,0)),元データ_加工!$A$2:$A$700,$A100,元データ_加工!$B$2:$B$700,H$5)</f>
        <v>0</v>
      </c>
      <c r="I100" s="26">
        <f>SUMIFS(INDEX(元データ_加工!$C$2:$P$700,0,MATCH($B100,元データ_加工!$C$1:$P$1,0)),元データ_加工!$A$2:$A$700,$A100,元データ_加工!$B$2:$B$700,I$5)</f>
        <v>0</v>
      </c>
      <c r="J100" s="26">
        <f>SUMIFS(INDEX(元データ_加工!$C$2:$P$700,0,MATCH($B100,元データ_加工!$C$1:$P$1,0)),元データ_加工!$A$2:$A$700,$A100,元データ_加工!$B$2:$B$700,J$5)</f>
        <v>0</v>
      </c>
      <c r="K100" s="26">
        <f>SUMIFS(INDEX(元データ_加工!$C$2:$P$700,0,MATCH($B100,元データ_加工!$C$1:$P$1,0)),元データ_加工!$A$2:$A$700,$A100,元データ_加工!$B$2:$B$700,K$5)</f>
        <v>0</v>
      </c>
      <c r="L100" s="26">
        <f>SUMIFS(INDEX(元データ_加工!$C$2:$P$700,0,MATCH($B100,元データ_加工!$C$1:$P$1,0)),元データ_加工!$A$2:$A$700,$A100,元データ_加工!$B$2:$B$700,L$5)</f>
        <v>0</v>
      </c>
      <c r="M100" s="26">
        <f>SUMIFS(INDEX(元データ_加工!$C$2:$P$700,0,MATCH($B100,元データ_加工!$C$1:$P$1,0)),元データ_加工!$A$2:$A$700,$A100,元データ_加工!$B$2:$B$700,M$5)</f>
        <v>0</v>
      </c>
      <c r="N100" s="26">
        <f>SUMIFS(INDEX(元データ_加工!$C$2:$P$700,0,MATCH($B100,元データ_加工!$C$1:$P$1,0)),元データ_加工!$A$2:$A$700,$A100,元データ_加工!$B$2:$B$700,N$5)</f>
        <v>0</v>
      </c>
      <c r="O100" s="26">
        <f t="shared" si="1"/>
        <v>1</v>
      </c>
      <c r="P100" s="7">
        <f>IFERROR(O100/SUMIFS(元データ_加工!$C$2:$C$700,元データ_加工!$A$2:$A$700,$A100),"")</f>
        <v>3.6519008143738817E-5</v>
      </c>
    </row>
    <row r="101" spans="1:16" x14ac:dyDescent="0.45">
      <c r="A101" t="s">
        <v>41</v>
      </c>
      <c r="B101" t="s">
        <v>111</v>
      </c>
      <c r="C101" s="26">
        <f>SUMIFS(INDEX(元データ_加工!$C$2:$P$700,0,MATCH($B101,元データ_加工!$C$1:$P$1,0)),元データ_加工!$A$2:$A$700,$A101,元データ_加工!$B$2:$B$700,C$5)</f>
        <v>0</v>
      </c>
      <c r="D101" s="26">
        <f>SUMIFS(INDEX(元データ_加工!$C$2:$P$700,0,MATCH($B101,元データ_加工!$C$1:$P$1,0)),元データ_加工!$A$2:$A$700,$A101,元データ_加工!$B$2:$B$700,D$5)</f>
        <v>0</v>
      </c>
      <c r="E101" s="26">
        <f>SUMIFS(INDEX(元データ_加工!$C$2:$P$700,0,MATCH($B101,元データ_加工!$C$1:$P$1,0)),元データ_加工!$A$2:$A$700,$A101,元データ_加工!$B$2:$B$700,E$5)</f>
        <v>0</v>
      </c>
      <c r="F101" s="26">
        <f>SUMIFS(INDEX(元データ_加工!$C$2:$P$700,0,MATCH($B101,元データ_加工!$C$1:$P$1,0)),元データ_加工!$A$2:$A$700,$A101,元データ_加工!$B$2:$B$700,F$5)</f>
        <v>0</v>
      </c>
      <c r="G101" s="26">
        <f>SUMIFS(INDEX(元データ_加工!$C$2:$P$700,0,MATCH($B101,元データ_加工!$C$1:$P$1,0)),元データ_加工!$A$2:$A$700,$A101,元データ_加工!$B$2:$B$700,G$5)</f>
        <v>0</v>
      </c>
      <c r="H101" s="26">
        <f>SUMIFS(INDEX(元データ_加工!$C$2:$P$700,0,MATCH($B101,元データ_加工!$C$1:$P$1,0)),元データ_加工!$A$2:$A$700,$A101,元データ_加工!$B$2:$B$700,H$5)</f>
        <v>0</v>
      </c>
      <c r="I101" s="26">
        <f>SUMIFS(INDEX(元データ_加工!$C$2:$P$700,0,MATCH($B101,元データ_加工!$C$1:$P$1,0)),元データ_加工!$A$2:$A$700,$A101,元データ_加工!$B$2:$B$700,I$5)</f>
        <v>0</v>
      </c>
      <c r="J101" s="26">
        <f>SUMIFS(INDEX(元データ_加工!$C$2:$P$700,0,MATCH($B101,元データ_加工!$C$1:$P$1,0)),元データ_加工!$A$2:$A$700,$A101,元データ_加工!$B$2:$B$700,J$5)</f>
        <v>0</v>
      </c>
      <c r="K101" s="26">
        <f>SUMIFS(INDEX(元データ_加工!$C$2:$P$700,0,MATCH($B101,元データ_加工!$C$1:$P$1,0)),元データ_加工!$A$2:$A$700,$A101,元データ_加工!$B$2:$B$700,K$5)</f>
        <v>0</v>
      </c>
      <c r="L101" s="26">
        <f>SUMIFS(INDEX(元データ_加工!$C$2:$P$700,0,MATCH($B101,元データ_加工!$C$1:$P$1,0)),元データ_加工!$A$2:$A$700,$A101,元データ_加工!$B$2:$B$700,L$5)</f>
        <v>0</v>
      </c>
      <c r="M101" s="26">
        <f>SUMIFS(INDEX(元データ_加工!$C$2:$P$700,0,MATCH($B101,元データ_加工!$C$1:$P$1,0)),元データ_加工!$A$2:$A$700,$A101,元データ_加工!$B$2:$B$700,M$5)</f>
        <v>1</v>
      </c>
      <c r="N101" s="26">
        <f>SUMIFS(INDEX(元データ_加工!$C$2:$P$700,0,MATCH($B101,元データ_加工!$C$1:$P$1,0)),元データ_加工!$A$2:$A$700,$A101,元データ_加工!$B$2:$B$700,N$5)</f>
        <v>0</v>
      </c>
      <c r="O101" s="26">
        <f t="shared" si="1"/>
        <v>1</v>
      </c>
      <c r="P101" s="7">
        <f>IFERROR(O101/SUMIFS(元データ_加工!$C$2:$C$700,元データ_加工!$A$2:$A$700,$A101),"")</f>
        <v>3.6519008143738817E-5</v>
      </c>
    </row>
    <row r="102" spans="1:16" x14ac:dyDescent="0.45">
      <c r="A102" t="s">
        <v>41</v>
      </c>
      <c r="B102" t="s">
        <v>112</v>
      </c>
      <c r="C102" s="26">
        <f>SUMIFS(INDEX(元データ_加工!$C$2:$P$700,0,MATCH($B102,元データ_加工!$C$1:$P$1,0)),元データ_加工!$A$2:$A$700,$A102,元データ_加工!$B$2:$B$700,C$5)</f>
        <v>0</v>
      </c>
      <c r="D102" s="26">
        <f>SUMIFS(INDEX(元データ_加工!$C$2:$P$700,0,MATCH($B102,元データ_加工!$C$1:$P$1,0)),元データ_加工!$A$2:$A$700,$A102,元データ_加工!$B$2:$B$700,D$5)</f>
        <v>0</v>
      </c>
      <c r="E102" s="26">
        <f>SUMIFS(INDEX(元データ_加工!$C$2:$P$700,0,MATCH($B102,元データ_加工!$C$1:$P$1,0)),元データ_加工!$A$2:$A$700,$A102,元データ_加工!$B$2:$B$700,E$5)</f>
        <v>2</v>
      </c>
      <c r="F102" s="26">
        <f>SUMIFS(INDEX(元データ_加工!$C$2:$P$700,0,MATCH($B102,元データ_加工!$C$1:$P$1,0)),元データ_加工!$A$2:$A$700,$A102,元データ_加工!$B$2:$B$700,F$5)</f>
        <v>0</v>
      </c>
      <c r="G102" s="26">
        <f>SUMIFS(INDEX(元データ_加工!$C$2:$P$700,0,MATCH($B102,元データ_加工!$C$1:$P$1,0)),元データ_加工!$A$2:$A$700,$A102,元データ_加工!$B$2:$B$700,G$5)</f>
        <v>0</v>
      </c>
      <c r="H102" s="26">
        <f>SUMIFS(INDEX(元データ_加工!$C$2:$P$700,0,MATCH($B102,元データ_加工!$C$1:$P$1,0)),元データ_加工!$A$2:$A$700,$A102,元データ_加工!$B$2:$B$700,H$5)</f>
        <v>0</v>
      </c>
      <c r="I102" s="26">
        <f>SUMIFS(INDEX(元データ_加工!$C$2:$P$700,0,MATCH($B102,元データ_加工!$C$1:$P$1,0)),元データ_加工!$A$2:$A$700,$A102,元データ_加工!$B$2:$B$700,I$5)</f>
        <v>0</v>
      </c>
      <c r="J102" s="26">
        <f>SUMIFS(INDEX(元データ_加工!$C$2:$P$700,0,MATCH($B102,元データ_加工!$C$1:$P$1,0)),元データ_加工!$A$2:$A$700,$A102,元データ_加工!$B$2:$B$700,J$5)</f>
        <v>1</v>
      </c>
      <c r="K102" s="26">
        <f>SUMIFS(INDEX(元データ_加工!$C$2:$P$700,0,MATCH($B102,元データ_加工!$C$1:$P$1,0)),元データ_加工!$A$2:$A$700,$A102,元データ_加工!$B$2:$B$700,K$5)</f>
        <v>7</v>
      </c>
      <c r="L102" s="26">
        <f>SUMIFS(INDEX(元データ_加工!$C$2:$P$700,0,MATCH($B102,元データ_加工!$C$1:$P$1,0)),元データ_加工!$A$2:$A$700,$A102,元データ_加工!$B$2:$B$700,L$5)</f>
        <v>10</v>
      </c>
      <c r="M102" s="26">
        <f>SUMIFS(INDEX(元データ_加工!$C$2:$P$700,0,MATCH($B102,元データ_加工!$C$1:$P$1,0)),元データ_加工!$A$2:$A$700,$A102,元データ_加工!$B$2:$B$700,M$5)</f>
        <v>1</v>
      </c>
      <c r="N102" s="26">
        <f>SUMIFS(INDEX(元データ_加工!$C$2:$P$700,0,MATCH($B102,元データ_加工!$C$1:$P$1,0)),元データ_加工!$A$2:$A$700,$A102,元データ_加工!$B$2:$B$700,N$5)</f>
        <v>0</v>
      </c>
      <c r="O102" s="26">
        <f t="shared" si="1"/>
        <v>21</v>
      </c>
      <c r="P102" s="7">
        <f>IFERROR(O102/SUMIFS(元データ_加工!$C$2:$C$700,元データ_加工!$A$2:$A$700,$A102),"")</f>
        <v>7.6689917101851514E-4</v>
      </c>
    </row>
    <row r="103" spans="1:16" x14ac:dyDescent="0.45">
      <c r="A103" t="s">
        <v>41</v>
      </c>
      <c r="B103" t="s">
        <v>113</v>
      </c>
      <c r="C103" s="26">
        <f>SUMIFS(INDEX(元データ_加工!$C$2:$P$700,0,MATCH($B103,元データ_加工!$C$1:$P$1,0)),元データ_加工!$A$2:$A$700,$A103,元データ_加工!$B$2:$B$700,C$5)</f>
        <v>0</v>
      </c>
      <c r="D103" s="26">
        <f>SUMIFS(INDEX(元データ_加工!$C$2:$P$700,0,MATCH($B103,元データ_加工!$C$1:$P$1,0)),元データ_加工!$A$2:$A$700,$A103,元データ_加工!$B$2:$B$700,D$5)</f>
        <v>0</v>
      </c>
      <c r="E103" s="26">
        <f>SUMIFS(INDEX(元データ_加工!$C$2:$P$700,0,MATCH($B103,元データ_加工!$C$1:$P$1,0)),元データ_加工!$A$2:$A$700,$A103,元データ_加工!$B$2:$B$700,E$5)</f>
        <v>0</v>
      </c>
      <c r="F103" s="26">
        <f>SUMIFS(INDEX(元データ_加工!$C$2:$P$700,0,MATCH($B103,元データ_加工!$C$1:$P$1,0)),元データ_加工!$A$2:$A$700,$A103,元データ_加工!$B$2:$B$700,F$5)</f>
        <v>0</v>
      </c>
      <c r="G103" s="26">
        <f>SUMIFS(INDEX(元データ_加工!$C$2:$P$700,0,MATCH($B103,元データ_加工!$C$1:$P$1,0)),元データ_加工!$A$2:$A$700,$A103,元データ_加工!$B$2:$B$700,G$5)</f>
        <v>0</v>
      </c>
      <c r="H103" s="26">
        <f>SUMIFS(INDEX(元データ_加工!$C$2:$P$700,0,MATCH($B103,元データ_加工!$C$1:$P$1,0)),元データ_加工!$A$2:$A$700,$A103,元データ_加工!$B$2:$B$700,H$5)</f>
        <v>0</v>
      </c>
      <c r="I103" s="26">
        <f>SUMIFS(INDEX(元データ_加工!$C$2:$P$700,0,MATCH($B103,元データ_加工!$C$1:$P$1,0)),元データ_加工!$A$2:$A$700,$A103,元データ_加工!$B$2:$B$700,I$5)</f>
        <v>0</v>
      </c>
      <c r="J103" s="26">
        <f>SUMIFS(INDEX(元データ_加工!$C$2:$P$700,0,MATCH($B103,元データ_加工!$C$1:$P$1,0)),元データ_加工!$A$2:$A$700,$A103,元データ_加工!$B$2:$B$700,J$5)</f>
        <v>0</v>
      </c>
      <c r="K103" s="26">
        <f>SUMIFS(INDEX(元データ_加工!$C$2:$P$700,0,MATCH($B103,元データ_加工!$C$1:$P$1,0)),元データ_加工!$A$2:$A$700,$A103,元データ_加工!$B$2:$B$700,K$5)</f>
        <v>0</v>
      </c>
      <c r="L103" s="26">
        <f>SUMIFS(INDEX(元データ_加工!$C$2:$P$700,0,MATCH($B103,元データ_加工!$C$1:$P$1,0)),元データ_加工!$A$2:$A$700,$A103,元データ_加工!$B$2:$B$700,L$5)</f>
        <v>0</v>
      </c>
      <c r="M103" s="26">
        <f>SUMIFS(INDEX(元データ_加工!$C$2:$P$700,0,MATCH($B103,元データ_加工!$C$1:$P$1,0)),元データ_加工!$A$2:$A$700,$A103,元データ_加工!$B$2:$B$700,M$5)</f>
        <v>0</v>
      </c>
      <c r="N103" s="26">
        <f>SUMIFS(INDEX(元データ_加工!$C$2:$P$700,0,MATCH($B103,元データ_加工!$C$1:$P$1,0)),元データ_加工!$A$2:$A$700,$A103,元データ_加工!$B$2:$B$700,N$5)</f>
        <v>0</v>
      </c>
      <c r="O103" s="26">
        <f t="shared" si="1"/>
        <v>0</v>
      </c>
      <c r="P103" s="7">
        <f>IFERROR(O103/SUMIFS(元データ_加工!$C$2:$C$700,元データ_加工!$A$2:$A$700,$A103),"")</f>
        <v>0</v>
      </c>
    </row>
    <row r="104" spans="1:16" x14ac:dyDescent="0.45">
      <c r="A104" t="s">
        <v>42</v>
      </c>
      <c r="B104" t="s">
        <v>100</v>
      </c>
      <c r="C104" s="26">
        <f>SUMIFS(INDEX(元データ_加工!$C$2:$P$700,0,MATCH($B104,元データ_加工!$C$1:$P$1,0)),元データ_加工!$A$2:$A$700,$A104,元データ_加工!$B$2:$B$700,C$5)</f>
        <v>847</v>
      </c>
      <c r="D104" s="26">
        <f>SUMIFS(INDEX(元データ_加工!$C$2:$P$700,0,MATCH($B104,元データ_加工!$C$1:$P$1,0)),元データ_加工!$A$2:$A$700,$A104,元データ_加工!$B$2:$B$700,D$5)</f>
        <v>1054</v>
      </c>
      <c r="E104" s="26">
        <f>SUMIFS(INDEX(元データ_加工!$C$2:$P$700,0,MATCH($B104,元データ_加工!$C$1:$P$1,0)),元データ_加工!$A$2:$A$700,$A104,元データ_加工!$B$2:$B$700,E$5)</f>
        <v>1263</v>
      </c>
      <c r="F104" s="26">
        <f>SUMIFS(INDEX(元データ_加工!$C$2:$P$700,0,MATCH($B104,元データ_加工!$C$1:$P$1,0)),元データ_加工!$A$2:$A$700,$A104,元データ_加工!$B$2:$B$700,F$5)</f>
        <v>1063</v>
      </c>
      <c r="G104" s="26">
        <f>SUMIFS(INDEX(元データ_加工!$C$2:$P$700,0,MATCH($B104,元データ_加工!$C$1:$P$1,0)),元データ_加工!$A$2:$A$700,$A104,元データ_加工!$B$2:$B$700,G$5)</f>
        <v>1222</v>
      </c>
      <c r="H104" s="26">
        <f>SUMIFS(INDEX(元データ_加工!$C$2:$P$700,0,MATCH($B104,元データ_加工!$C$1:$P$1,0)),元データ_加工!$A$2:$A$700,$A104,元データ_加工!$B$2:$B$700,H$5)</f>
        <v>833</v>
      </c>
      <c r="I104" s="26">
        <f>SUMIFS(INDEX(元データ_加工!$C$2:$P$700,0,MATCH($B104,元データ_加工!$C$1:$P$1,0)),元データ_加工!$A$2:$A$700,$A104,元データ_加工!$B$2:$B$700,I$5)</f>
        <v>728</v>
      </c>
      <c r="J104" s="26">
        <f>SUMIFS(INDEX(元データ_加工!$C$2:$P$700,0,MATCH($B104,元データ_加工!$C$1:$P$1,0)),元データ_加工!$A$2:$A$700,$A104,元データ_加工!$B$2:$B$700,J$5)</f>
        <v>1437</v>
      </c>
      <c r="K104" s="26">
        <f>SUMIFS(INDEX(元データ_加工!$C$2:$P$700,0,MATCH($B104,元データ_加工!$C$1:$P$1,0)),元データ_加工!$A$2:$A$700,$A104,元データ_加工!$B$2:$B$700,K$5)</f>
        <v>2435</v>
      </c>
      <c r="L104" s="26">
        <f>SUMIFS(INDEX(元データ_加工!$C$2:$P$700,0,MATCH($B104,元データ_加工!$C$1:$P$1,0)),元データ_加工!$A$2:$A$700,$A104,元データ_加工!$B$2:$B$700,L$5)</f>
        <v>1528</v>
      </c>
      <c r="M104" s="26">
        <f>SUMIFS(INDEX(元データ_加工!$C$2:$P$700,0,MATCH($B104,元データ_加工!$C$1:$P$1,0)),元データ_加工!$A$2:$A$700,$A104,元データ_加工!$B$2:$B$700,M$5)</f>
        <v>0</v>
      </c>
      <c r="N104" s="26">
        <f>SUMIFS(INDEX(元データ_加工!$C$2:$P$700,0,MATCH($B104,元データ_加工!$C$1:$P$1,0)),元データ_加工!$A$2:$A$700,$A104,元データ_加工!$B$2:$B$700,N$5)</f>
        <v>0</v>
      </c>
      <c r="O104" s="26">
        <f t="shared" si="1"/>
        <v>12410</v>
      </c>
      <c r="P104" s="7">
        <f>IFERROR(O104/SUMIFS(元データ_加工!$C$2:$C$700,元データ_加工!$A$2:$A$700,$A104),"")</f>
        <v>1</v>
      </c>
    </row>
    <row r="105" spans="1:16" x14ac:dyDescent="0.45">
      <c r="A105" t="s">
        <v>42</v>
      </c>
      <c r="B105" t="s">
        <v>101</v>
      </c>
      <c r="C105" s="26">
        <f>SUMIFS(INDEX(元データ_加工!$C$2:$P$700,0,MATCH($B105,元データ_加工!$C$1:$P$1,0)),元データ_加工!$A$2:$A$700,$A105,元データ_加工!$B$2:$B$700,C$5)</f>
        <v>643</v>
      </c>
      <c r="D105" s="26">
        <f>SUMIFS(INDEX(元データ_加工!$C$2:$P$700,0,MATCH($B105,元データ_加工!$C$1:$P$1,0)),元データ_加工!$A$2:$A$700,$A105,元データ_加工!$B$2:$B$700,D$5)</f>
        <v>637</v>
      </c>
      <c r="E105" s="26">
        <f>SUMIFS(INDEX(元データ_加工!$C$2:$P$700,0,MATCH($B105,元データ_加工!$C$1:$P$1,0)),元データ_加工!$A$2:$A$700,$A105,元データ_加工!$B$2:$B$700,E$5)</f>
        <v>832</v>
      </c>
      <c r="F105" s="26">
        <f>SUMIFS(INDEX(元データ_加工!$C$2:$P$700,0,MATCH($B105,元データ_加工!$C$1:$P$1,0)),元データ_加工!$A$2:$A$700,$A105,元データ_加工!$B$2:$B$700,F$5)</f>
        <v>741</v>
      </c>
      <c r="G105" s="26">
        <f>SUMIFS(INDEX(元データ_加工!$C$2:$P$700,0,MATCH($B105,元データ_加工!$C$1:$P$1,0)),元データ_加工!$A$2:$A$700,$A105,元データ_加工!$B$2:$B$700,G$5)</f>
        <v>841</v>
      </c>
      <c r="H105" s="26">
        <f>SUMIFS(INDEX(元データ_加工!$C$2:$P$700,0,MATCH($B105,元データ_加工!$C$1:$P$1,0)),元データ_加工!$A$2:$A$700,$A105,元データ_加工!$B$2:$B$700,H$5)</f>
        <v>643</v>
      </c>
      <c r="I105" s="26">
        <f>SUMIFS(INDEX(元データ_加工!$C$2:$P$700,0,MATCH($B105,元データ_加工!$C$1:$P$1,0)),元データ_加工!$A$2:$A$700,$A105,元データ_加工!$B$2:$B$700,I$5)</f>
        <v>659</v>
      </c>
      <c r="J105" s="26">
        <f>SUMIFS(INDEX(元データ_加工!$C$2:$P$700,0,MATCH($B105,元データ_加工!$C$1:$P$1,0)),元データ_加工!$A$2:$A$700,$A105,元データ_加工!$B$2:$B$700,J$5)</f>
        <v>868</v>
      </c>
      <c r="K105" s="26">
        <f>SUMIFS(INDEX(元データ_加工!$C$2:$P$700,0,MATCH($B105,元データ_加工!$C$1:$P$1,0)),元データ_加工!$A$2:$A$700,$A105,元データ_加工!$B$2:$B$700,K$5)</f>
        <v>827</v>
      </c>
      <c r="L105" s="26">
        <f>SUMIFS(INDEX(元データ_加工!$C$2:$P$700,0,MATCH($B105,元データ_加工!$C$1:$P$1,0)),元データ_加工!$A$2:$A$700,$A105,元データ_加工!$B$2:$B$700,L$5)</f>
        <v>721</v>
      </c>
      <c r="M105" s="26">
        <f>SUMIFS(INDEX(元データ_加工!$C$2:$P$700,0,MATCH($B105,元データ_加工!$C$1:$P$1,0)),元データ_加工!$A$2:$A$700,$A105,元データ_加工!$B$2:$B$700,M$5)</f>
        <v>0</v>
      </c>
      <c r="N105" s="26">
        <f>SUMIFS(INDEX(元データ_加工!$C$2:$P$700,0,MATCH($B105,元データ_加工!$C$1:$P$1,0)),元データ_加工!$A$2:$A$700,$A105,元データ_加工!$B$2:$B$700,N$5)</f>
        <v>0</v>
      </c>
      <c r="O105" s="26">
        <f t="shared" si="1"/>
        <v>7412</v>
      </c>
      <c r="P105" s="7">
        <f>IFERROR(O105/SUMIFS(元データ_加工!$C$2:$C$700,元データ_加工!$A$2:$A$700,$A105),"")</f>
        <v>0.59726027397260273</v>
      </c>
    </row>
    <row r="106" spans="1:16" x14ac:dyDescent="0.45">
      <c r="A106" t="s">
        <v>42</v>
      </c>
      <c r="B106" t="s">
        <v>102</v>
      </c>
      <c r="C106" s="26">
        <f>SUMIFS(INDEX(元データ_加工!$C$2:$P$700,0,MATCH($B106,元データ_加工!$C$1:$P$1,0)),元データ_加工!$A$2:$A$700,$A106,元データ_加工!$B$2:$B$700,C$5)</f>
        <v>0</v>
      </c>
      <c r="D106" s="26">
        <f>SUMIFS(INDEX(元データ_加工!$C$2:$P$700,0,MATCH($B106,元データ_加工!$C$1:$P$1,0)),元データ_加工!$A$2:$A$700,$A106,元データ_加工!$B$2:$B$700,D$5)</f>
        <v>0</v>
      </c>
      <c r="E106" s="26">
        <f>SUMIFS(INDEX(元データ_加工!$C$2:$P$700,0,MATCH($B106,元データ_加工!$C$1:$P$1,0)),元データ_加工!$A$2:$A$700,$A106,元データ_加工!$B$2:$B$700,E$5)</f>
        <v>0</v>
      </c>
      <c r="F106" s="26">
        <f>SUMIFS(INDEX(元データ_加工!$C$2:$P$700,0,MATCH($B106,元データ_加工!$C$1:$P$1,0)),元データ_加工!$A$2:$A$700,$A106,元データ_加工!$B$2:$B$700,F$5)</f>
        <v>0</v>
      </c>
      <c r="G106" s="26">
        <f>SUMIFS(INDEX(元データ_加工!$C$2:$P$700,0,MATCH($B106,元データ_加工!$C$1:$P$1,0)),元データ_加工!$A$2:$A$700,$A106,元データ_加工!$B$2:$B$700,G$5)</f>
        <v>0</v>
      </c>
      <c r="H106" s="26">
        <f>SUMIFS(INDEX(元データ_加工!$C$2:$P$700,0,MATCH($B106,元データ_加工!$C$1:$P$1,0)),元データ_加工!$A$2:$A$700,$A106,元データ_加工!$B$2:$B$700,H$5)</f>
        <v>0</v>
      </c>
      <c r="I106" s="26">
        <f>SUMIFS(INDEX(元データ_加工!$C$2:$P$700,0,MATCH($B106,元データ_加工!$C$1:$P$1,0)),元データ_加工!$A$2:$A$700,$A106,元データ_加工!$B$2:$B$700,I$5)</f>
        <v>0</v>
      </c>
      <c r="J106" s="26">
        <f>SUMIFS(INDEX(元データ_加工!$C$2:$P$700,0,MATCH($B106,元データ_加工!$C$1:$P$1,0)),元データ_加工!$A$2:$A$700,$A106,元データ_加工!$B$2:$B$700,J$5)</f>
        <v>17</v>
      </c>
      <c r="K106" s="26">
        <f>SUMIFS(INDEX(元データ_加工!$C$2:$P$700,0,MATCH($B106,元データ_加工!$C$1:$P$1,0)),元データ_加工!$A$2:$A$700,$A106,元データ_加工!$B$2:$B$700,K$5)</f>
        <v>0</v>
      </c>
      <c r="L106" s="26">
        <f>SUMIFS(INDEX(元データ_加工!$C$2:$P$700,0,MATCH($B106,元データ_加工!$C$1:$P$1,0)),元データ_加工!$A$2:$A$700,$A106,元データ_加工!$B$2:$B$700,L$5)</f>
        <v>0</v>
      </c>
      <c r="M106" s="26">
        <f>SUMIFS(INDEX(元データ_加工!$C$2:$P$700,0,MATCH($B106,元データ_加工!$C$1:$P$1,0)),元データ_加工!$A$2:$A$700,$A106,元データ_加工!$B$2:$B$700,M$5)</f>
        <v>0</v>
      </c>
      <c r="N106" s="26">
        <f>SUMIFS(INDEX(元データ_加工!$C$2:$P$700,0,MATCH($B106,元データ_加工!$C$1:$P$1,0)),元データ_加工!$A$2:$A$700,$A106,元データ_加工!$B$2:$B$700,N$5)</f>
        <v>0</v>
      </c>
      <c r="O106" s="26">
        <f t="shared" si="1"/>
        <v>17</v>
      </c>
      <c r="P106" s="7">
        <f>IFERROR(O106/SUMIFS(元データ_加工!$C$2:$C$700,元データ_加工!$A$2:$A$700,$A106),"")</f>
        <v>1.3698630136986301E-3</v>
      </c>
    </row>
    <row r="107" spans="1:16" x14ac:dyDescent="0.45">
      <c r="A107" t="s">
        <v>42</v>
      </c>
      <c r="B107" t="s">
        <v>103</v>
      </c>
      <c r="C107" s="26">
        <f>SUMIFS(INDEX(元データ_加工!$C$2:$P$700,0,MATCH($B107,元データ_加工!$C$1:$P$1,0)),元データ_加工!$A$2:$A$700,$A107,元データ_加工!$B$2:$B$700,C$5)</f>
        <v>0</v>
      </c>
      <c r="D107" s="26">
        <f>SUMIFS(INDEX(元データ_加工!$C$2:$P$700,0,MATCH($B107,元データ_加工!$C$1:$P$1,0)),元データ_加工!$A$2:$A$700,$A107,元データ_加工!$B$2:$B$700,D$5)</f>
        <v>0</v>
      </c>
      <c r="E107" s="26">
        <f>SUMIFS(INDEX(元データ_加工!$C$2:$P$700,0,MATCH($B107,元データ_加工!$C$1:$P$1,0)),元データ_加工!$A$2:$A$700,$A107,元データ_加工!$B$2:$B$700,E$5)</f>
        <v>0</v>
      </c>
      <c r="F107" s="26">
        <f>SUMIFS(INDEX(元データ_加工!$C$2:$P$700,0,MATCH($B107,元データ_加工!$C$1:$P$1,0)),元データ_加工!$A$2:$A$700,$A107,元データ_加工!$B$2:$B$700,F$5)</f>
        <v>0</v>
      </c>
      <c r="G107" s="26">
        <f>SUMIFS(INDEX(元データ_加工!$C$2:$P$700,0,MATCH($B107,元データ_加工!$C$1:$P$1,0)),元データ_加工!$A$2:$A$700,$A107,元データ_加工!$B$2:$B$700,G$5)</f>
        <v>18</v>
      </c>
      <c r="H107" s="26">
        <f>SUMIFS(INDEX(元データ_加工!$C$2:$P$700,0,MATCH($B107,元データ_加工!$C$1:$P$1,0)),元データ_加工!$A$2:$A$700,$A107,元データ_加工!$B$2:$B$700,H$5)</f>
        <v>7</v>
      </c>
      <c r="I107" s="26">
        <f>SUMIFS(INDEX(元データ_加工!$C$2:$P$700,0,MATCH($B107,元データ_加工!$C$1:$P$1,0)),元データ_加工!$A$2:$A$700,$A107,元データ_加工!$B$2:$B$700,I$5)</f>
        <v>8</v>
      </c>
      <c r="J107" s="26">
        <f>SUMIFS(INDEX(元データ_加工!$C$2:$P$700,0,MATCH($B107,元データ_加工!$C$1:$P$1,0)),元データ_加工!$A$2:$A$700,$A107,元データ_加工!$B$2:$B$700,J$5)</f>
        <v>6</v>
      </c>
      <c r="K107" s="26">
        <f>SUMIFS(INDEX(元データ_加工!$C$2:$P$700,0,MATCH($B107,元データ_加工!$C$1:$P$1,0)),元データ_加工!$A$2:$A$700,$A107,元データ_加工!$B$2:$B$700,K$5)</f>
        <v>0</v>
      </c>
      <c r="L107" s="26">
        <f>SUMIFS(INDEX(元データ_加工!$C$2:$P$700,0,MATCH($B107,元データ_加工!$C$1:$P$1,0)),元データ_加工!$A$2:$A$700,$A107,元データ_加工!$B$2:$B$700,L$5)</f>
        <v>3</v>
      </c>
      <c r="M107" s="26">
        <f>SUMIFS(INDEX(元データ_加工!$C$2:$P$700,0,MATCH($B107,元データ_加工!$C$1:$P$1,0)),元データ_加工!$A$2:$A$700,$A107,元データ_加工!$B$2:$B$700,M$5)</f>
        <v>0</v>
      </c>
      <c r="N107" s="26">
        <f>SUMIFS(INDEX(元データ_加工!$C$2:$P$700,0,MATCH($B107,元データ_加工!$C$1:$P$1,0)),元データ_加工!$A$2:$A$700,$A107,元データ_加工!$B$2:$B$700,N$5)</f>
        <v>0</v>
      </c>
      <c r="O107" s="26">
        <f t="shared" si="1"/>
        <v>42</v>
      </c>
      <c r="P107" s="7">
        <f>IFERROR(O107/SUMIFS(元データ_加工!$C$2:$C$700,元データ_加工!$A$2:$A$700,$A107),"")</f>
        <v>3.3843674456083802E-3</v>
      </c>
    </row>
    <row r="108" spans="1:16" x14ac:dyDescent="0.45">
      <c r="A108" t="s">
        <v>42</v>
      </c>
      <c r="B108" t="s">
        <v>104</v>
      </c>
      <c r="C108" s="26">
        <f>SUMIFS(INDEX(元データ_加工!$C$2:$P$700,0,MATCH($B108,元データ_加工!$C$1:$P$1,0)),元データ_加工!$A$2:$A$700,$A108,元データ_加工!$B$2:$B$700,C$5)</f>
        <v>16</v>
      </c>
      <c r="D108" s="26">
        <f>SUMIFS(INDEX(元データ_加工!$C$2:$P$700,0,MATCH($B108,元データ_加工!$C$1:$P$1,0)),元データ_加工!$A$2:$A$700,$A108,元データ_加工!$B$2:$B$700,D$5)</f>
        <v>5</v>
      </c>
      <c r="E108" s="26">
        <f>SUMIFS(INDEX(元データ_加工!$C$2:$P$700,0,MATCH($B108,元データ_加工!$C$1:$P$1,0)),元データ_加工!$A$2:$A$700,$A108,元データ_加工!$B$2:$B$700,E$5)</f>
        <v>13</v>
      </c>
      <c r="F108" s="26">
        <f>SUMIFS(INDEX(元データ_加工!$C$2:$P$700,0,MATCH($B108,元データ_加工!$C$1:$P$1,0)),元データ_加工!$A$2:$A$700,$A108,元データ_加工!$B$2:$B$700,F$5)</f>
        <v>19</v>
      </c>
      <c r="G108" s="26">
        <f>SUMIFS(INDEX(元データ_加工!$C$2:$P$700,0,MATCH($B108,元データ_加工!$C$1:$P$1,0)),元データ_加工!$A$2:$A$700,$A108,元データ_加工!$B$2:$B$700,G$5)</f>
        <v>25</v>
      </c>
      <c r="H108" s="26">
        <f>SUMIFS(INDEX(元データ_加工!$C$2:$P$700,0,MATCH($B108,元データ_加工!$C$1:$P$1,0)),元データ_加工!$A$2:$A$700,$A108,元データ_加工!$B$2:$B$700,H$5)</f>
        <v>8</v>
      </c>
      <c r="I108" s="26">
        <f>SUMIFS(INDEX(元データ_加工!$C$2:$P$700,0,MATCH($B108,元データ_加工!$C$1:$P$1,0)),元データ_加工!$A$2:$A$700,$A108,元データ_加工!$B$2:$B$700,I$5)</f>
        <v>7</v>
      </c>
      <c r="J108" s="26">
        <f>SUMIFS(INDEX(元データ_加工!$C$2:$P$700,0,MATCH($B108,元データ_加工!$C$1:$P$1,0)),元データ_加工!$A$2:$A$700,$A108,元データ_加工!$B$2:$B$700,J$5)</f>
        <v>59</v>
      </c>
      <c r="K108" s="26">
        <f>SUMIFS(INDEX(元データ_加工!$C$2:$P$700,0,MATCH($B108,元データ_加工!$C$1:$P$1,0)),元データ_加工!$A$2:$A$700,$A108,元データ_加工!$B$2:$B$700,K$5)</f>
        <v>106</v>
      </c>
      <c r="L108" s="26">
        <f>SUMIFS(INDEX(元データ_加工!$C$2:$P$700,0,MATCH($B108,元データ_加工!$C$1:$P$1,0)),元データ_加工!$A$2:$A$700,$A108,元データ_加工!$B$2:$B$700,L$5)</f>
        <v>28</v>
      </c>
      <c r="M108" s="26">
        <f>SUMIFS(INDEX(元データ_加工!$C$2:$P$700,0,MATCH($B108,元データ_加工!$C$1:$P$1,0)),元データ_加工!$A$2:$A$700,$A108,元データ_加工!$B$2:$B$700,M$5)</f>
        <v>0</v>
      </c>
      <c r="N108" s="26">
        <f>SUMIFS(INDEX(元データ_加工!$C$2:$P$700,0,MATCH($B108,元データ_加工!$C$1:$P$1,0)),元データ_加工!$A$2:$A$700,$A108,元データ_加工!$B$2:$B$700,N$5)</f>
        <v>0</v>
      </c>
      <c r="O108" s="26">
        <f t="shared" si="1"/>
        <v>286</v>
      </c>
      <c r="P108" s="7">
        <f>IFERROR(O108/SUMIFS(元データ_加工!$C$2:$C$700,元データ_加工!$A$2:$A$700,$A108),"")</f>
        <v>2.3045930701047542E-2</v>
      </c>
    </row>
    <row r="109" spans="1:16" x14ac:dyDescent="0.45">
      <c r="A109" t="s">
        <v>42</v>
      </c>
      <c r="B109" t="s">
        <v>105</v>
      </c>
      <c r="C109" s="26">
        <f>SUMIFS(INDEX(元データ_加工!$C$2:$P$700,0,MATCH($B109,元データ_加工!$C$1:$P$1,0)),元データ_加工!$A$2:$A$700,$A109,元データ_加工!$B$2:$B$700,C$5)</f>
        <v>0</v>
      </c>
      <c r="D109" s="26">
        <f>SUMIFS(INDEX(元データ_加工!$C$2:$P$700,0,MATCH($B109,元データ_加工!$C$1:$P$1,0)),元データ_加工!$A$2:$A$700,$A109,元データ_加工!$B$2:$B$700,D$5)</f>
        <v>3</v>
      </c>
      <c r="E109" s="26">
        <f>SUMIFS(INDEX(元データ_加工!$C$2:$P$700,0,MATCH($B109,元データ_加工!$C$1:$P$1,0)),元データ_加工!$A$2:$A$700,$A109,元データ_加工!$B$2:$B$700,E$5)</f>
        <v>1</v>
      </c>
      <c r="F109" s="26">
        <f>SUMIFS(INDEX(元データ_加工!$C$2:$P$700,0,MATCH($B109,元データ_加工!$C$1:$P$1,0)),元データ_加工!$A$2:$A$700,$A109,元データ_加工!$B$2:$B$700,F$5)</f>
        <v>0</v>
      </c>
      <c r="G109" s="26">
        <f>SUMIFS(INDEX(元データ_加工!$C$2:$P$700,0,MATCH($B109,元データ_加工!$C$1:$P$1,0)),元データ_加工!$A$2:$A$700,$A109,元データ_加工!$B$2:$B$700,G$5)</f>
        <v>4</v>
      </c>
      <c r="H109" s="26">
        <f>SUMIFS(INDEX(元データ_加工!$C$2:$P$700,0,MATCH($B109,元データ_加工!$C$1:$P$1,0)),元データ_加工!$A$2:$A$700,$A109,元データ_加工!$B$2:$B$700,H$5)</f>
        <v>1</v>
      </c>
      <c r="I109" s="26">
        <f>SUMIFS(INDEX(元データ_加工!$C$2:$P$700,0,MATCH($B109,元データ_加工!$C$1:$P$1,0)),元データ_加工!$A$2:$A$700,$A109,元データ_加工!$B$2:$B$700,I$5)</f>
        <v>6</v>
      </c>
      <c r="J109" s="26">
        <f>SUMIFS(INDEX(元データ_加工!$C$2:$P$700,0,MATCH($B109,元データ_加工!$C$1:$P$1,0)),元データ_加工!$A$2:$A$700,$A109,元データ_加工!$B$2:$B$700,J$5)</f>
        <v>39</v>
      </c>
      <c r="K109" s="26">
        <f>SUMIFS(INDEX(元データ_加工!$C$2:$P$700,0,MATCH($B109,元データ_加工!$C$1:$P$1,0)),元データ_加工!$A$2:$A$700,$A109,元データ_加工!$B$2:$B$700,K$5)</f>
        <v>67</v>
      </c>
      <c r="L109" s="26">
        <f>SUMIFS(INDEX(元データ_加工!$C$2:$P$700,0,MATCH($B109,元データ_加工!$C$1:$P$1,0)),元データ_加工!$A$2:$A$700,$A109,元データ_加工!$B$2:$B$700,L$5)</f>
        <v>13</v>
      </c>
      <c r="M109" s="26">
        <f>SUMIFS(INDEX(元データ_加工!$C$2:$P$700,0,MATCH($B109,元データ_加工!$C$1:$P$1,0)),元データ_加工!$A$2:$A$700,$A109,元データ_加工!$B$2:$B$700,M$5)</f>
        <v>0</v>
      </c>
      <c r="N109" s="26">
        <f>SUMIFS(INDEX(元データ_加工!$C$2:$P$700,0,MATCH($B109,元データ_加工!$C$1:$P$1,0)),元データ_加工!$A$2:$A$700,$A109,元データ_加工!$B$2:$B$700,N$5)</f>
        <v>0</v>
      </c>
      <c r="O109" s="26">
        <f t="shared" si="1"/>
        <v>134</v>
      </c>
      <c r="P109" s="7">
        <f>IFERROR(O109/SUMIFS(元データ_加工!$C$2:$C$700,元データ_加工!$A$2:$A$700,$A109),"")</f>
        <v>1.0797743755036261E-2</v>
      </c>
    </row>
    <row r="110" spans="1:16" x14ac:dyDescent="0.45">
      <c r="A110" t="s">
        <v>42</v>
      </c>
      <c r="B110" t="s">
        <v>106</v>
      </c>
      <c r="C110" s="26">
        <f>SUMIFS(INDEX(元データ_加工!$C$2:$P$700,0,MATCH($B110,元データ_加工!$C$1:$P$1,0)),元データ_加工!$A$2:$A$700,$A110,元データ_加工!$B$2:$B$700,C$5)</f>
        <v>130</v>
      </c>
      <c r="D110" s="26">
        <f>SUMIFS(INDEX(元データ_加工!$C$2:$P$700,0,MATCH($B110,元データ_加工!$C$1:$P$1,0)),元データ_加工!$A$2:$A$700,$A110,元データ_加工!$B$2:$B$700,D$5)</f>
        <v>178</v>
      </c>
      <c r="E110" s="26">
        <f>SUMIFS(INDEX(元データ_加工!$C$2:$P$700,0,MATCH($B110,元データ_加工!$C$1:$P$1,0)),元データ_加工!$A$2:$A$700,$A110,元データ_加工!$B$2:$B$700,E$5)</f>
        <v>202</v>
      </c>
      <c r="F110" s="26">
        <f>SUMIFS(INDEX(元データ_加工!$C$2:$P$700,0,MATCH($B110,元データ_加工!$C$1:$P$1,0)),元データ_加工!$A$2:$A$700,$A110,元データ_加工!$B$2:$B$700,F$5)</f>
        <v>218</v>
      </c>
      <c r="G110" s="26">
        <f>SUMIFS(INDEX(元データ_加工!$C$2:$P$700,0,MATCH($B110,元データ_加工!$C$1:$P$1,0)),元データ_加工!$A$2:$A$700,$A110,元データ_加工!$B$2:$B$700,G$5)</f>
        <v>204</v>
      </c>
      <c r="H110" s="26">
        <f>SUMIFS(INDEX(元データ_加工!$C$2:$P$700,0,MATCH($B110,元データ_加工!$C$1:$P$1,0)),元データ_加工!$A$2:$A$700,$A110,元データ_加工!$B$2:$B$700,H$5)</f>
        <v>71</v>
      </c>
      <c r="I110" s="26">
        <f>SUMIFS(INDEX(元データ_加工!$C$2:$P$700,0,MATCH($B110,元データ_加工!$C$1:$P$1,0)),元データ_加工!$A$2:$A$700,$A110,元データ_加工!$B$2:$B$700,I$5)</f>
        <v>109</v>
      </c>
      <c r="J110" s="26">
        <f>SUMIFS(INDEX(元データ_加工!$C$2:$P$700,0,MATCH($B110,元データ_加工!$C$1:$P$1,0)),元データ_加工!$A$2:$A$700,$A110,元データ_加工!$B$2:$B$700,J$5)</f>
        <v>165</v>
      </c>
      <c r="K110" s="26">
        <f>SUMIFS(INDEX(元データ_加工!$C$2:$P$700,0,MATCH($B110,元データ_加工!$C$1:$P$1,0)),元データ_加工!$A$2:$A$700,$A110,元データ_加工!$B$2:$B$700,K$5)</f>
        <v>199</v>
      </c>
      <c r="L110" s="26">
        <f>SUMIFS(INDEX(元データ_加工!$C$2:$P$700,0,MATCH($B110,元データ_加工!$C$1:$P$1,0)),元データ_加工!$A$2:$A$700,$A110,元データ_加工!$B$2:$B$700,L$5)</f>
        <v>180</v>
      </c>
      <c r="M110" s="26">
        <f>SUMIFS(INDEX(元データ_加工!$C$2:$P$700,0,MATCH($B110,元データ_加工!$C$1:$P$1,0)),元データ_加工!$A$2:$A$700,$A110,元データ_加工!$B$2:$B$700,M$5)</f>
        <v>0</v>
      </c>
      <c r="N110" s="26">
        <f>SUMIFS(INDEX(元データ_加工!$C$2:$P$700,0,MATCH($B110,元データ_加工!$C$1:$P$1,0)),元データ_加工!$A$2:$A$700,$A110,元データ_加工!$B$2:$B$700,N$5)</f>
        <v>0</v>
      </c>
      <c r="O110" s="26">
        <f t="shared" si="1"/>
        <v>1656</v>
      </c>
      <c r="P110" s="7">
        <f>IFERROR(O110/SUMIFS(元データ_加工!$C$2:$C$700,元データ_加工!$A$2:$A$700,$A110),"")</f>
        <v>0.13344077356970185</v>
      </c>
    </row>
    <row r="111" spans="1:16" x14ac:dyDescent="0.45">
      <c r="A111" t="s">
        <v>42</v>
      </c>
      <c r="B111" t="s">
        <v>107</v>
      </c>
      <c r="C111" s="26">
        <f>SUMIFS(INDEX(元データ_加工!$C$2:$P$700,0,MATCH($B111,元データ_加工!$C$1:$P$1,0)),元データ_加工!$A$2:$A$700,$A111,元データ_加工!$B$2:$B$700,C$5)</f>
        <v>20</v>
      </c>
      <c r="D111" s="26">
        <f>SUMIFS(INDEX(元データ_加工!$C$2:$P$700,0,MATCH($B111,元データ_加工!$C$1:$P$1,0)),元データ_加工!$A$2:$A$700,$A111,元データ_加工!$B$2:$B$700,D$5)</f>
        <v>41</v>
      </c>
      <c r="E111" s="26">
        <f>SUMIFS(INDEX(元データ_加工!$C$2:$P$700,0,MATCH($B111,元データ_加工!$C$1:$P$1,0)),元データ_加工!$A$2:$A$700,$A111,元データ_加工!$B$2:$B$700,E$5)</f>
        <v>38</v>
      </c>
      <c r="F111" s="26">
        <f>SUMIFS(INDEX(元データ_加工!$C$2:$P$700,0,MATCH($B111,元データ_加工!$C$1:$P$1,0)),元データ_加工!$A$2:$A$700,$A111,元データ_加工!$B$2:$B$700,F$5)</f>
        <v>47</v>
      </c>
      <c r="G111" s="26">
        <f>SUMIFS(INDEX(元データ_加工!$C$2:$P$700,0,MATCH($B111,元データ_加工!$C$1:$P$1,0)),元データ_加工!$A$2:$A$700,$A111,元データ_加工!$B$2:$B$700,G$5)</f>
        <v>40</v>
      </c>
      <c r="H111" s="26">
        <f>SUMIFS(INDEX(元データ_加工!$C$2:$P$700,0,MATCH($B111,元データ_加工!$C$1:$P$1,0)),元データ_加工!$A$2:$A$700,$A111,元データ_加工!$B$2:$B$700,H$5)</f>
        <v>23</v>
      </c>
      <c r="I111" s="26">
        <f>SUMIFS(INDEX(元データ_加工!$C$2:$P$700,0,MATCH($B111,元データ_加工!$C$1:$P$1,0)),元データ_加工!$A$2:$A$700,$A111,元データ_加工!$B$2:$B$700,I$5)</f>
        <v>21</v>
      </c>
      <c r="J111" s="26">
        <f>SUMIFS(INDEX(元データ_加工!$C$2:$P$700,0,MATCH($B111,元データ_加工!$C$1:$P$1,0)),元データ_加工!$A$2:$A$700,$A111,元データ_加工!$B$2:$B$700,J$5)</f>
        <v>18</v>
      </c>
      <c r="K111" s="26">
        <f>SUMIFS(INDEX(元データ_加工!$C$2:$P$700,0,MATCH($B111,元データ_加工!$C$1:$P$1,0)),元データ_加工!$A$2:$A$700,$A111,元データ_加工!$B$2:$B$700,K$5)</f>
        <v>28</v>
      </c>
      <c r="L111" s="26">
        <f>SUMIFS(INDEX(元データ_加工!$C$2:$P$700,0,MATCH($B111,元データ_加工!$C$1:$P$1,0)),元データ_加工!$A$2:$A$700,$A111,元データ_加工!$B$2:$B$700,L$5)</f>
        <v>25</v>
      </c>
      <c r="M111" s="26">
        <f>SUMIFS(INDEX(元データ_加工!$C$2:$P$700,0,MATCH($B111,元データ_加工!$C$1:$P$1,0)),元データ_加工!$A$2:$A$700,$A111,元データ_加工!$B$2:$B$700,M$5)</f>
        <v>0</v>
      </c>
      <c r="N111" s="26">
        <f>SUMIFS(INDEX(元データ_加工!$C$2:$P$700,0,MATCH($B111,元データ_加工!$C$1:$P$1,0)),元データ_加工!$A$2:$A$700,$A111,元データ_加工!$B$2:$B$700,N$5)</f>
        <v>0</v>
      </c>
      <c r="O111" s="26">
        <f t="shared" si="1"/>
        <v>301</v>
      </c>
      <c r="P111" s="7">
        <f>IFERROR(O111/SUMIFS(元データ_加工!$C$2:$C$700,元データ_加工!$A$2:$A$700,$A111),"")</f>
        <v>2.4254633360193394E-2</v>
      </c>
    </row>
    <row r="112" spans="1:16" x14ac:dyDescent="0.45">
      <c r="A112" t="s">
        <v>42</v>
      </c>
      <c r="B112" t="s">
        <v>108</v>
      </c>
      <c r="C112" s="26">
        <f>SUMIFS(INDEX(元データ_加工!$C$2:$P$700,0,MATCH($B112,元データ_加工!$C$1:$P$1,0)),元データ_加工!$A$2:$A$700,$A112,元データ_加工!$B$2:$B$700,C$5)</f>
        <v>0</v>
      </c>
      <c r="D112" s="26">
        <f>SUMIFS(INDEX(元データ_加工!$C$2:$P$700,0,MATCH($B112,元データ_加工!$C$1:$P$1,0)),元データ_加工!$A$2:$A$700,$A112,元データ_加工!$B$2:$B$700,D$5)</f>
        <v>14</v>
      </c>
      <c r="E112" s="26">
        <f>SUMIFS(INDEX(元データ_加工!$C$2:$P$700,0,MATCH($B112,元データ_加工!$C$1:$P$1,0)),元データ_加工!$A$2:$A$700,$A112,元データ_加工!$B$2:$B$700,E$5)</f>
        <v>31</v>
      </c>
      <c r="F112" s="26">
        <f>SUMIFS(INDEX(元データ_加工!$C$2:$P$700,0,MATCH($B112,元データ_加工!$C$1:$P$1,0)),元データ_加工!$A$2:$A$700,$A112,元データ_加工!$B$2:$B$700,F$5)</f>
        <v>33</v>
      </c>
      <c r="G112" s="26">
        <f>SUMIFS(INDEX(元データ_加工!$C$2:$P$700,0,MATCH($B112,元データ_加工!$C$1:$P$1,0)),元データ_加工!$A$2:$A$700,$A112,元データ_加工!$B$2:$B$700,G$5)</f>
        <v>4</v>
      </c>
      <c r="H112" s="26">
        <f>SUMIFS(INDEX(元データ_加工!$C$2:$P$700,0,MATCH($B112,元データ_加工!$C$1:$P$1,0)),元データ_加工!$A$2:$A$700,$A112,元データ_加工!$B$2:$B$700,H$5)</f>
        <v>1</v>
      </c>
      <c r="I112" s="26">
        <f>SUMIFS(INDEX(元データ_加工!$C$2:$P$700,0,MATCH($B112,元データ_加工!$C$1:$P$1,0)),元データ_加工!$A$2:$A$700,$A112,元データ_加工!$B$2:$B$700,I$5)</f>
        <v>0</v>
      </c>
      <c r="J112" s="26">
        <f>SUMIFS(INDEX(元データ_加工!$C$2:$P$700,0,MATCH($B112,元データ_加工!$C$1:$P$1,0)),元データ_加工!$A$2:$A$700,$A112,元データ_加工!$B$2:$B$700,J$5)</f>
        <v>0</v>
      </c>
      <c r="K112" s="26">
        <f>SUMIFS(INDEX(元データ_加工!$C$2:$P$700,0,MATCH($B112,元データ_加工!$C$1:$P$1,0)),元データ_加工!$A$2:$A$700,$A112,元データ_加工!$B$2:$B$700,K$5)</f>
        <v>5</v>
      </c>
      <c r="L112" s="26">
        <f>SUMIFS(INDEX(元データ_加工!$C$2:$P$700,0,MATCH($B112,元データ_加工!$C$1:$P$1,0)),元データ_加工!$A$2:$A$700,$A112,元データ_加工!$B$2:$B$700,L$5)</f>
        <v>0</v>
      </c>
      <c r="M112" s="26">
        <f>SUMIFS(INDEX(元データ_加工!$C$2:$P$700,0,MATCH($B112,元データ_加工!$C$1:$P$1,0)),元データ_加工!$A$2:$A$700,$A112,元データ_加工!$B$2:$B$700,M$5)</f>
        <v>0</v>
      </c>
      <c r="N112" s="26">
        <f>SUMIFS(INDEX(元データ_加工!$C$2:$P$700,0,MATCH($B112,元データ_加工!$C$1:$P$1,0)),元データ_加工!$A$2:$A$700,$A112,元データ_加工!$B$2:$B$700,N$5)</f>
        <v>0</v>
      </c>
      <c r="O112" s="26">
        <f t="shared" si="1"/>
        <v>88</v>
      </c>
      <c r="P112" s="7">
        <f>IFERROR(O112/SUMIFS(元データ_加工!$C$2:$C$700,元データ_加工!$A$2:$A$700,$A112),"")</f>
        <v>7.0910556003223211E-3</v>
      </c>
    </row>
    <row r="113" spans="1:16" x14ac:dyDescent="0.45">
      <c r="A113" t="s">
        <v>42</v>
      </c>
      <c r="B113" t="s">
        <v>109</v>
      </c>
      <c r="C113" s="26">
        <f>SUMIFS(INDEX(元データ_加工!$C$2:$P$700,0,MATCH($B113,元データ_加工!$C$1:$P$1,0)),元データ_加工!$A$2:$A$700,$A113,元データ_加工!$B$2:$B$700,C$5)</f>
        <v>30</v>
      </c>
      <c r="D113" s="26">
        <f>SUMIFS(INDEX(元データ_加工!$C$2:$P$700,0,MATCH($B113,元データ_加工!$C$1:$P$1,0)),元データ_加工!$A$2:$A$700,$A113,元データ_加工!$B$2:$B$700,D$5)</f>
        <v>52</v>
      </c>
      <c r="E113" s="26">
        <f>SUMIFS(INDEX(元データ_加工!$C$2:$P$700,0,MATCH($B113,元データ_加工!$C$1:$P$1,0)),元データ_加工!$A$2:$A$700,$A113,元データ_加工!$B$2:$B$700,E$5)</f>
        <v>89</v>
      </c>
      <c r="F113" s="26">
        <f>SUMIFS(INDEX(元データ_加工!$C$2:$P$700,0,MATCH($B113,元データ_加工!$C$1:$P$1,0)),元データ_加工!$A$2:$A$700,$A113,元データ_加工!$B$2:$B$700,F$5)</f>
        <v>74</v>
      </c>
      <c r="G113" s="26">
        <f>SUMIFS(INDEX(元データ_加工!$C$2:$P$700,0,MATCH($B113,元データ_加工!$C$1:$P$1,0)),元データ_加工!$A$2:$A$700,$A113,元データ_加工!$B$2:$B$700,G$5)</f>
        <v>111</v>
      </c>
      <c r="H113" s="26">
        <f>SUMIFS(INDEX(元データ_加工!$C$2:$P$700,0,MATCH($B113,元データ_加工!$C$1:$P$1,0)),元データ_加工!$A$2:$A$700,$A113,元データ_加工!$B$2:$B$700,H$5)</f>
        <v>74</v>
      </c>
      <c r="I113" s="26">
        <f>SUMIFS(INDEX(元データ_加工!$C$2:$P$700,0,MATCH($B113,元データ_加工!$C$1:$P$1,0)),元データ_加工!$A$2:$A$700,$A113,元データ_加工!$B$2:$B$700,I$5)</f>
        <v>87</v>
      </c>
      <c r="J113" s="26">
        <f>SUMIFS(INDEX(元データ_加工!$C$2:$P$700,0,MATCH($B113,元データ_加工!$C$1:$P$1,0)),元データ_加工!$A$2:$A$700,$A113,元データ_加工!$B$2:$B$700,J$5)</f>
        <v>112</v>
      </c>
      <c r="K113" s="26">
        <f>SUMIFS(INDEX(元データ_加工!$C$2:$P$700,0,MATCH($B113,元データ_加工!$C$1:$P$1,0)),元データ_加工!$A$2:$A$700,$A113,元データ_加工!$B$2:$B$700,K$5)</f>
        <v>131</v>
      </c>
      <c r="L113" s="26">
        <f>SUMIFS(INDEX(元データ_加工!$C$2:$P$700,0,MATCH($B113,元データ_加工!$C$1:$P$1,0)),元データ_加工!$A$2:$A$700,$A113,元データ_加工!$B$2:$B$700,L$5)</f>
        <v>69</v>
      </c>
      <c r="M113" s="26">
        <f>SUMIFS(INDEX(元データ_加工!$C$2:$P$700,0,MATCH($B113,元データ_加工!$C$1:$P$1,0)),元データ_加工!$A$2:$A$700,$A113,元データ_加工!$B$2:$B$700,M$5)</f>
        <v>0</v>
      </c>
      <c r="N113" s="26">
        <f>SUMIFS(INDEX(元データ_加工!$C$2:$P$700,0,MATCH($B113,元データ_加工!$C$1:$P$1,0)),元データ_加工!$A$2:$A$700,$A113,元データ_加工!$B$2:$B$700,N$5)</f>
        <v>0</v>
      </c>
      <c r="O113" s="26">
        <f t="shared" si="1"/>
        <v>829</v>
      </c>
      <c r="P113" s="7">
        <f>IFERROR(O113/SUMIFS(元データ_加工!$C$2:$C$700,元データ_加工!$A$2:$A$700,$A113),"")</f>
        <v>6.6800966962127312E-2</v>
      </c>
    </row>
    <row r="114" spans="1:16" x14ac:dyDescent="0.45">
      <c r="A114" t="s">
        <v>42</v>
      </c>
      <c r="B114" t="s">
        <v>110</v>
      </c>
      <c r="C114" s="26">
        <f>SUMIFS(INDEX(元データ_加工!$C$2:$P$700,0,MATCH($B114,元データ_加工!$C$1:$P$1,0)),元データ_加工!$A$2:$A$700,$A114,元データ_加工!$B$2:$B$700,C$5)</f>
        <v>0</v>
      </c>
      <c r="D114" s="26">
        <f>SUMIFS(INDEX(元データ_加工!$C$2:$P$700,0,MATCH($B114,元データ_加工!$C$1:$P$1,0)),元データ_加工!$A$2:$A$700,$A114,元データ_加工!$B$2:$B$700,D$5)</f>
        <v>0</v>
      </c>
      <c r="E114" s="26">
        <f>SUMIFS(INDEX(元データ_加工!$C$2:$P$700,0,MATCH($B114,元データ_加工!$C$1:$P$1,0)),元データ_加工!$A$2:$A$700,$A114,元データ_加工!$B$2:$B$700,E$5)</f>
        <v>0</v>
      </c>
      <c r="F114" s="26">
        <f>SUMIFS(INDEX(元データ_加工!$C$2:$P$700,0,MATCH($B114,元データ_加工!$C$1:$P$1,0)),元データ_加工!$A$2:$A$700,$A114,元データ_加工!$B$2:$B$700,F$5)</f>
        <v>0</v>
      </c>
      <c r="G114" s="26">
        <f>SUMIFS(INDEX(元データ_加工!$C$2:$P$700,0,MATCH($B114,元データ_加工!$C$1:$P$1,0)),元データ_加工!$A$2:$A$700,$A114,元データ_加工!$B$2:$B$700,G$5)</f>
        <v>0</v>
      </c>
      <c r="H114" s="26">
        <f>SUMIFS(INDEX(元データ_加工!$C$2:$P$700,0,MATCH($B114,元データ_加工!$C$1:$P$1,0)),元データ_加工!$A$2:$A$700,$A114,元データ_加工!$B$2:$B$700,H$5)</f>
        <v>0</v>
      </c>
      <c r="I114" s="26">
        <f>SUMIFS(INDEX(元データ_加工!$C$2:$P$700,0,MATCH($B114,元データ_加工!$C$1:$P$1,0)),元データ_加工!$A$2:$A$700,$A114,元データ_加工!$B$2:$B$700,I$5)</f>
        <v>0</v>
      </c>
      <c r="J114" s="26">
        <f>SUMIFS(INDEX(元データ_加工!$C$2:$P$700,0,MATCH($B114,元データ_加工!$C$1:$P$1,0)),元データ_加工!$A$2:$A$700,$A114,元データ_加工!$B$2:$B$700,J$5)</f>
        <v>0</v>
      </c>
      <c r="K114" s="26">
        <f>SUMIFS(INDEX(元データ_加工!$C$2:$P$700,0,MATCH($B114,元データ_加工!$C$1:$P$1,0)),元データ_加工!$A$2:$A$700,$A114,元データ_加工!$B$2:$B$700,K$5)</f>
        <v>0</v>
      </c>
      <c r="L114" s="26">
        <f>SUMIFS(INDEX(元データ_加工!$C$2:$P$700,0,MATCH($B114,元データ_加工!$C$1:$P$1,0)),元データ_加工!$A$2:$A$700,$A114,元データ_加工!$B$2:$B$700,L$5)</f>
        <v>0</v>
      </c>
      <c r="M114" s="26">
        <f>SUMIFS(INDEX(元データ_加工!$C$2:$P$700,0,MATCH($B114,元データ_加工!$C$1:$P$1,0)),元データ_加工!$A$2:$A$700,$A114,元データ_加工!$B$2:$B$700,M$5)</f>
        <v>0</v>
      </c>
      <c r="N114" s="26">
        <f>SUMIFS(INDEX(元データ_加工!$C$2:$P$700,0,MATCH($B114,元データ_加工!$C$1:$P$1,0)),元データ_加工!$A$2:$A$700,$A114,元データ_加工!$B$2:$B$700,N$5)</f>
        <v>0</v>
      </c>
      <c r="O114" s="26">
        <f t="shared" si="1"/>
        <v>0</v>
      </c>
      <c r="P114" s="7">
        <f>IFERROR(O114/SUMIFS(元データ_加工!$C$2:$C$700,元データ_加工!$A$2:$A$700,$A114),"")</f>
        <v>0</v>
      </c>
    </row>
    <row r="115" spans="1:16" x14ac:dyDescent="0.45">
      <c r="A115" t="s">
        <v>42</v>
      </c>
      <c r="B115" t="s">
        <v>111</v>
      </c>
      <c r="C115" s="26">
        <f>SUMIFS(INDEX(元データ_加工!$C$2:$P$700,0,MATCH($B115,元データ_加工!$C$1:$P$1,0)),元データ_加工!$A$2:$A$700,$A115,元データ_加工!$B$2:$B$700,C$5)</f>
        <v>0</v>
      </c>
      <c r="D115" s="26">
        <f>SUMIFS(INDEX(元データ_加工!$C$2:$P$700,0,MATCH($B115,元データ_加工!$C$1:$P$1,0)),元データ_加工!$A$2:$A$700,$A115,元データ_加工!$B$2:$B$700,D$5)</f>
        <v>0</v>
      </c>
      <c r="E115" s="26">
        <f>SUMIFS(INDEX(元データ_加工!$C$2:$P$700,0,MATCH($B115,元データ_加工!$C$1:$P$1,0)),元データ_加工!$A$2:$A$700,$A115,元データ_加工!$B$2:$B$700,E$5)</f>
        <v>0</v>
      </c>
      <c r="F115" s="26">
        <f>SUMIFS(INDEX(元データ_加工!$C$2:$P$700,0,MATCH($B115,元データ_加工!$C$1:$P$1,0)),元データ_加工!$A$2:$A$700,$A115,元データ_加工!$B$2:$B$700,F$5)</f>
        <v>0</v>
      </c>
      <c r="G115" s="26">
        <f>SUMIFS(INDEX(元データ_加工!$C$2:$P$700,0,MATCH($B115,元データ_加工!$C$1:$P$1,0)),元データ_加工!$A$2:$A$700,$A115,元データ_加工!$B$2:$B$700,G$5)</f>
        <v>0</v>
      </c>
      <c r="H115" s="26">
        <f>SUMIFS(INDEX(元データ_加工!$C$2:$P$700,0,MATCH($B115,元データ_加工!$C$1:$P$1,0)),元データ_加工!$A$2:$A$700,$A115,元データ_加工!$B$2:$B$700,H$5)</f>
        <v>0</v>
      </c>
      <c r="I115" s="26">
        <f>SUMIFS(INDEX(元データ_加工!$C$2:$P$700,0,MATCH($B115,元データ_加工!$C$1:$P$1,0)),元データ_加工!$A$2:$A$700,$A115,元データ_加工!$B$2:$B$700,I$5)</f>
        <v>0</v>
      </c>
      <c r="J115" s="26">
        <f>SUMIFS(INDEX(元データ_加工!$C$2:$P$700,0,MATCH($B115,元データ_加工!$C$1:$P$1,0)),元データ_加工!$A$2:$A$700,$A115,元データ_加工!$B$2:$B$700,J$5)</f>
        <v>0</v>
      </c>
      <c r="K115" s="26">
        <f>SUMIFS(INDEX(元データ_加工!$C$2:$P$700,0,MATCH($B115,元データ_加工!$C$1:$P$1,0)),元データ_加工!$A$2:$A$700,$A115,元データ_加工!$B$2:$B$700,K$5)</f>
        <v>0</v>
      </c>
      <c r="L115" s="26">
        <f>SUMIFS(INDEX(元データ_加工!$C$2:$P$700,0,MATCH($B115,元データ_加工!$C$1:$P$1,0)),元データ_加工!$A$2:$A$700,$A115,元データ_加工!$B$2:$B$700,L$5)</f>
        <v>0</v>
      </c>
      <c r="M115" s="26">
        <f>SUMIFS(INDEX(元データ_加工!$C$2:$P$700,0,MATCH($B115,元データ_加工!$C$1:$P$1,0)),元データ_加工!$A$2:$A$700,$A115,元データ_加工!$B$2:$B$700,M$5)</f>
        <v>0</v>
      </c>
      <c r="N115" s="26">
        <f>SUMIFS(INDEX(元データ_加工!$C$2:$P$700,0,MATCH($B115,元データ_加工!$C$1:$P$1,0)),元データ_加工!$A$2:$A$700,$A115,元データ_加工!$B$2:$B$700,N$5)</f>
        <v>0</v>
      </c>
      <c r="O115" s="26">
        <f t="shared" si="1"/>
        <v>0</v>
      </c>
      <c r="P115" s="7">
        <f>IFERROR(O115/SUMIFS(元データ_加工!$C$2:$C$700,元データ_加工!$A$2:$A$700,$A115),"")</f>
        <v>0</v>
      </c>
    </row>
    <row r="116" spans="1:16" x14ac:dyDescent="0.45">
      <c r="A116" t="s">
        <v>42</v>
      </c>
      <c r="B116" t="s">
        <v>112</v>
      </c>
      <c r="C116" s="26">
        <f>SUMIFS(INDEX(元データ_加工!$C$2:$P$700,0,MATCH($B116,元データ_加工!$C$1:$P$1,0)),元データ_加工!$A$2:$A$700,$A116,元データ_加工!$B$2:$B$700,C$5)</f>
        <v>1</v>
      </c>
      <c r="D116" s="26">
        <f>SUMIFS(INDEX(元データ_加工!$C$2:$P$700,0,MATCH($B116,元データ_加工!$C$1:$P$1,0)),元データ_加工!$A$2:$A$700,$A116,元データ_加工!$B$2:$B$700,D$5)</f>
        <v>0</v>
      </c>
      <c r="E116" s="26">
        <f>SUMIFS(INDEX(元データ_加工!$C$2:$P$700,0,MATCH($B116,元データ_加工!$C$1:$P$1,0)),元データ_加工!$A$2:$A$700,$A116,元データ_加工!$B$2:$B$700,E$5)</f>
        <v>0</v>
      </c>
      <c r="F116" s="26">
        <f>SUMIFS(INDEX(元データ_加工!$C$2:$P$700,0,MATCH($B116,元データ_加工!$C$1:$P$1,0)),元データ_加工!$A$2:$A$700,$A116,元データ_加工!$B$2:$B$700,F$5)</f>
        <v>1</v>
      </c>
      <c r="G116" s="26">
        <f>SUMIFS(INDEX(元データ_加工!$C$2:$P$700,0,MATCH($B116,元データ_加工!$C$1:$P$1,0)),元データ_加工!$A$2:$A$700,$A116,元データ_加工!$B$2:$B$700,G$5)</f>
        <v>1</v>
      </c>
      <c r="H116" s="26">
        <f>SUMIFS(INDEX(元データ_加工!$C$2:$P$700,0,MATCH($B116,元データ_加工!$C$1:$P$1,0)),元データ_加工!$A$2:$A$700,$A116,元データ_加工!$B$2:$B$700,H$5)</f>
        <v>0</v>
      </c>
      <c r="I116" s="26">
        <f>SUMIFS(INDEX(元データ_加工!$C$2:$P$700,0,MATCH($B116,元データ_加工!$C$1:$P$1,0)),元データ_加工!$A$2:$A$700,$A116,元データ_加工!$B$2:$B$700,I$5)</f>
        <v>0</v>
      </c>
      <c r="J116" s="26">
        <f>SUMIFS(INDEX(元データ_加工!$C$2:$P$700,0,MATCH($B116,元データ_加工!$C$1:$P$1,0)),元データ_加工!$A$2:$A$700,$A116,元データ_加工!$B$2:$B$700,J$5)</f>
        <v>0</v>
      </c>
      <c r="K116" s="26">
        <f>SUMIFS(INDEX(元データ_加工!$C$2:$P$700,0,MATCH($B116,元データ_加工!$C$1:$P$1,0)),元データ_加工!$A$2:$A$700,$A116,元データ_加工!$B$2:$B$700,K$5)</f>
        <v>5</v>
      </c>
      <c r="L116" s="26">
        <f>SUMIFS(INDEX(元データ_加工!$C$2:$P$700,0,MATCH($B116,元データ_加工!$C$1:$P$1,0)),元データ_加工!$A$2:$A$700,$A116,元データ_加工!$B$2:$B$700,L$5)</f>
        <v>1</v>
      </c>
      <c r="M116" s="26">
        <f>SUMIFS(INDEX(元データ_加工!$C$2:$P$700,0,MATCH($B116,元データ_加工!$C$1:$P$1,0)),元データ_加工!$A$2:$A$700,$A116,元データ_加工!$B$2:$B$700,M$5)</f>
        <v>0</v>
      </c>
      <c r="N116" s="26">
        <f>SUMIFS(INDEX(元データ_加工!$C$2:$P$700,0,MATCH($B116,元データ_加工!$C$1:$P$1,0)),元データ_加工!$A$2:$A$700,$A116,元データ_加工!$B$2:$B$700,N$5)</f>
        <v>0</v>
      </c>
      <c r="O116" s="26">
        <f t="shared" si="1"/>
        <v>9</v>
      </c>
      <c r="P116" s="7">
        <f>IFERROR(O116/SUMIFS(元データ_加工!$C$2:$C$700,元データ_加工!$A$2:$A$700,$A116),"")</f>
        <v>7.2522159548751007E-4</v>
      </c>
    </row>
    <row r="117" spans="1:16" x14ac:dyDescent="0.45">
      <c r="A117" t="s">
        <v>42</v>
      </c>
      <c r="B117" t="s">
        <v>113</v>
      </c>
      <c r="C117" s="26">
        <f>SUMIFS(INDEX(元データ_加工!$C$2:$P$700,0,MATCH($B117,元データ_加工!$C$1:$P$1,0)),元データ_加工!$A$2:$A$700,$A117,元データ_加工!$B$2:$B$700,C$5)</f>
        <v>0</v>
      </c>
      <c r="D117" s="26">
        <f>SUMIFS(INDEX(元データ_加工!$C$2:$P$700,0,MATCH($B117,元データ_加工!$C$1:$P$1,0)),元データ_加工!$A$2:$A$700,$A117,元データ_加工!$B$2:$B$700,D$5)</f>
        <v>4</v>
      </c>
      <c r="E117" s="26">
        <f>SUMIFS(INDEX(元データ_加工!$C$2:$P$700,0,MATCH($B117,元データ_加工!$C$1:$P$1,0)),元データ_加工!$A$2:$A$700,$A117,元データ_加工!$B$2:$B$700,E$5)</f>
        <v>14</v>
      </c>
      <c r="F117" s="26">
        <f>SUMIFS(INDEX(元データ_加工!$C$2:$P$700,0,MATCH($B117,元データ_加工!$C$1:$P$1,0)),元データ_加工!$A$2:$A$700,$A117,元データ_加工!$B$2:$B$700,F$5)</f>
        <v>0</v>
      </c>
      <c r="G117" s="26">
        <f>SUMIFS(INDEX(元データ_加工!$C$2:$P$700,0,MATCH($B117,元データ_加工!$C$1:$P$1,0)),元データ_加工!$A$2:$A$700,$A117,元データ_加工!$B$2:$B$700,G$5)</f>
        <v>0</v>
      </c>
      <c r="H117" s="26">
        <f>SUMIFS(INDEX(元データ_加工!$C$2:$P$700,0,MATCH($B117,元データ_加工!$C$1:$P$1,0)),元データ_加工!$A$2:$A$700,$A117,元データ_加工!$B$2:$B$700,H$5)</f>
        <v>1</v>
      </c>
      <c r="I117" s="26">
        <f>SUMIFS(INDEX(元データ_加工!$C$2:$P$700,0,MATCH($B117,元データ_加工!$C$1:$P$1,0)),元データ_加工!$A$2:$A$700,$A117,元データ_加工!$B$2:$B$700,I$5)</f>
        <v>2</v>
      </c>
      <c r="J117" s="26">
        <f>SUMIFS(INDEX(元データ_加工!$C$2:$P$700,0,MATCH($B117,元データ_加工!$C$1:$P$1,0)),元データ_加工!$A$2:$A$700,$A117,元データ_加工!$B$2:$B$700,J$5)</f>
        <v>2</v>
      </c>
      <c r="K117" s="26">
        <f>SUMIFS(INDEX(元データ_加工!$C$2:$P$700,0,MATCH($B117,元データ_加工!$C$1:$P$1,0)),元データ_加工!$A$2:$A$700,$A117,元データ_加工!$B$2:$B$700,K$5)</f>
        <v>4</v>
      </c>
      <c r="L117" s="26">
        <f>SUMIFS(INDEX(元データ_加工!$C$2:$P$700,0,MATCH($B117,元データ_加工!$C$1:$P$1,0)),元データ_加工!$A$2:$A$700,$A117,元データ_加工!$B$2:$B$700,L$5)</f>
        <v>3</v>
      </c>
      <c r="M117" s="26">
        <f>SUMIFS(INDEX(元データ_加工!$C$2:$P$700,0,MATCH($B117,元データ_加工!$C$1:$P$1,0)),元データ_加工!$A$2:$A$700,$A117,元データ_加工!$B$2:$B$700,M$5)</f>
        <v>0</v>
      </c>
      <c r="N117" s="26">
        <f>SUMIFS(INDEX(元データ_加工!$C$2:$P$700,0,MATCH($B117,元データ_加工!$C$1:$P$1,0)),元データ_加工!$A$2:$A$700,$A117,元データ_加工!$B$2:$B$700,N$5)</f>
        <v>0</v>
      </c>
      <c r="O117" s="26">
        <f t="shared" si="1"/>
        <v>30</v>
      </c>
      <c r="P117" s="7">
        <f>IFERROR(O117/SUMIFS(元データ_加工!$C$2:$C$700,元データ_加工!$A$2:$A$700,$A117),"")</f>
        <v>2.4174053182917004E-3</v>
      </c>
    </row>
    <row r="118" spans="1:16" x14ac:dyDescent="0.45">
      <c r="A118" t="s">
        <v>43</v>
      </c>
      <c r="B118" t="s">
        <v>100</v>
      </c>
      <c r="C118" s="26">
        <f>SUMIFS(INDEX(元データ_加工!$C$2:$P$700,0,MATCH($B118,元データ_加工!$C$1:$P$1,0)),元データ_加工!$A$2:$A$700,$A118,元データ_加工!$B$2:$B$700,C$5)</f>
        <v>1452</v>
      </c>
      <c r="D118" s="26">
        <f>SUMIFS(INDEX(元データ_加工!$C$2:$P$700,0,MATCH($B118,元データ_加工!$C$1:$P$1,0)),元データ_加工!$A$2:$A$700,$A118,元データ_加工!$B$2:$B$700,D$5)</f>
        <v>1578</v>
      </c>
      <c r="E118" s="26">
        <f>SUMIFS(INDEX(元データ_加工!$C$2:$P$700,0,MATCH($B118,元データ_加工!$C$1:$P$1,0)),元データ_加工!$A$2:$A$700,$A118,元データ_加工!$B$2:$B$700,E$5)</f>
        <v>2094</v>
      </c>
      <c r="F118" s="26">
        <f>SUMIFS(INDEX(元データ_加工!$C$2:$P$700,0,MATCH($B118,元データ_加工!$C$1:$P$1,0)),元データ_加工!$A$2:$A$700,$A118,元データ_加工!$B$2:$B$700,F$5)</f>
        <v>1538</v>
      </c>
      <c r="G118" s="26">
        <f>SUMIFS(INDEX(元データ_加工!$C$2:$P$700,0,MATCH($B118,元データ_加工!$C$1:$P$1,0)),元データ_加工!$A$2:$A$700,$A118,元データ_加工!$B$2:$B$700,G$5)</f>
        <v>1792</v>
      </c>
      <c r="H118" s="26">
        <f>SUMIFS(INDEX(元データ_加工!$C$2:$P$700,0,MATCH($B118,元データ_加工!$C$1:$P$1,0)),元データ_加工!$A$2:$A$700,$A118,元データ_加工!$B$2:$B$700,H$5)</f>
        <v>1353</v>
      </c>
      <c r="I118" s="26">
        <f>SUMIFS(INDEX(元データ_加工!$C$2:$P$700,0,MATCH($B118,元データ_加工!$C$1:$P$1,0)),元データ_加工!$A$2:$A$700,$A118,元データ_加工!$B$2:$B$700,I$5)</f>
        <v>1083</v>
      </c>
      <c r="J118" s="26">
        <f>SUMIFS(INDEX(元データ_加工!$C$2:$P$700,0,MATCH($B118,元データ_加工!$C$1:$P$1,0)),元データ_加工!$A$2:$A$700,$A118,元データ_加工!$B$2:$B$700,J$5)</f>
        <v>1917</v>
      </c>
      <c r="K118" s="26">
        <f>SUMIFS(INDEX(元データ_加工!$C$2:$P$700,0,MATCH($B118,元データ_加工!$C$1:$P$1,0)),元データ_加工!$A$2:$A$700,$A118,元データ_加工!$B$2:$B$700,K$5)</f>
        <v>3054</v>
      </c>
      <c r="L118" s="26">
        <f>SUMIFS(INDEX(元データ_加工!$C$2:$P$700,0,MATCH($B118,元データ_加工!$C$1:$P$1,0)),元データ_加工!$A$2:$A$700,$A118,元データ_加工!$B$2:$B$700,L$5)</f>
        <v>1876</v>
      </c>
      <c r="M118" s="26">
        <f>SUMIFS(INDEX(元データ_加工!$C$2:$P$700,0,MATCH($B118,元データ_加工!$C$1:$P$1,0)),元データ_加工!$A$2:$A$700,$A118,元データ_加工!$B$2:$B$700,M$5)</f>
        <v>1926</v>
      </c>
      <c r="N118" s="26">
        <f>SUMIFS(INDEX(元データ_加工!$C$2:$P$700,0,MATCH($B118,元データ_加工!$C$1:$P$1,0)),元データ_加工!$A$2:$A$700,$A118,元データ_加工!$B$2:$B$700,N$5)</f>
        <v>2093</v>
      </c>
      <c r="O118" s="26">
        <f t="shared" si="1"/>
        <v>21756</v>
      </c>
      <c r="P118" s="7">
        <f>IFERROR(O118/SUMIFS(元データ_加工!$C$2:$C$700,元データ_加工!$A$2:$A$700,$A118),"")</f>
        <v>1</v>
      </c>
    </row>
    <row r="119" spans="1:16" x14ac:dyDescent="0.45">
      <c r="A119" t="s">
        <v>43</v>
      </c>
      <c r="B119" t="s">
        <v>101</v>
      </c>
      <c r="C119" s="26">
        <f>SUMIFS(INDEX(元データ_加工!$C$2:$P$700,0,MATCH($B119,元データ_加工!$C$1:$P$1,0)),元データ_加工!$A$2:$A$700,$A119,元データ_加工!$B$2:$B$700,C$5)</f>
        <v>427</v>
      </c>
      <c r="D119" s="26">
        <f>SUMIFS(INDEX(元データ_加工!$C$2:$P$700,0,MATCH($B119,元データ_加工!$C$1:$P$1,0)),元データ_加工!$A$2:$A$700,$A119,元データ_加工!$B$2:$B$700,D$5)</f>
        <v>603</v>
      </c>
      <c r="E119" s="26">
        <f>SUMIFS(INDEX(元データ_加工!$C$2:$P$700,0,MATCH($B119,元データ_加工!$C$1:$P$1,0)),元データ_加工!$A$2:$A$700,$A119,元データ_加工!$B$2:$B$700,E$5)</f>
        <v>786</v>
      </c>
      <c r="F119" s="26">
        <f>SUMIFS(INDEX(元データ_加工!$C$2:$P$700,0,MATCH($B119,元データ_加工!$C$1:$P$1,0)),元データ_加工!$A$2:$A$700,$A119,元データ_加工!$B$2:$B$700,F$5)</f>
        <v>603</v>
      </c>
      <c r="G119" s="26">
        <f>SUMIFS(INDEX(元データ_加工!$C$2:$P$700,0,MATCH($B119,元データ_加工!$C$1:$P$1,0)),元データ_加工!$A$2:$A$700,$A119,元データ_加工!$B$2:$B$700,G$5)</f>
        <v>658</v>
      </c>
      <c r="H119" s="26">
        <f>SUMIFS(INDEX(元データ_加工!$C$2:$P$700,0,MATCH($B119,元データ_加工!$C$1:$P$1,0)),元データ_加工!$A$2:$A$700,$A119,元データ_加工!$B$2:$B$700,H$5)</f>
        <v>479</v>
      </c>
      <c r="I119" s="26">
        <f>SUMIFS(INDEX(元データ_加工!$C$2:$P$700,0,MATCH($B119,元データ_加工!$C$1:$P$1,0)),元データ_加工!$A$2:$A$700,$A119,元データ_加工!$B$2:$B$700,I$5)</f>
        <v>448</v>
      </c>
      <c r="J119" s="26">
        <f>SUMIFS(INDEX(元データ_加工!$C$2:$P$700,0,MATCH($B119,元データ_加工!$C$1:$P$1,0)),元データ_加工!$A$2:$A$700,$A119,元データ_加工!$B$2:$B$700,J$5)</f>
        <v>637</v>
      </c>
      <c r="K119" s="26">
        <f>SUMIFS(INDEX(元データ_加工!$C$2:$P$700,0,MATCH($B119,元データ_加工!$C$1:$P$1,0)),元データ_加工!$A$2:$A$700,$A119,元データ_加工!$B$2:$B$700,K$5)</f>
        <v>642</v>
      </c>
      <c r="L119" s="26">
        <f>SUMIFS(INDEX(元データ_加工!$C$2:$P$700,0,MATCH($B119,元データ_加工!$C$1:$P$1,0)),元データ_加工!$A$2:$A$700,$A119,元データ_加工!$B$2:$B$700,L$5)</f>
        <v>525</v>
      </c>
      <c r="M119" s="26">
        <f>SUMIFS(INDEX(元データ_加工!$C$2:$P$700,0,MATCH($B119,元データ_加工!$C$1:$P$1,0)),元データ_加工!$A$2:$A$700,$A119,元データ_加工!$B$2:$B$700,M$5)</f>
        <v>564</v>
      </c>
      <c r="N119" s="26">
        <f>SUMIFS(INDEX(元データ_加工!$C$2:$P$700,0,MATCH($B119,元データ_加工!$C$1:$P$1,0)),元データ_加工!$A$2:$A$700,$A119,元データ_加工!$B$2:$B$700,N$5)</f>
        <v>605</v>
      </c>
      <c r="O119" s="26">
        <f t="shared" si="1"/>
        <v>6977</v>
      </c>
      <c r="P119" s="7">
        <f>IFERROR(O119/SUMIFS(元データ_加工!$C$2:$C$700,元データ_加工!$A$2:$A$700,$A119),"")</f>
        <v>0.32069314212171357</v>
      </c>
    </row>
    <row r="120" spans="1:16" x14ac:dyDescent="0.45">
      <c r="A120" t="s">
        <v>43</v>
      </c>
      <c r="B120" t="s">
        <v>102</v>
      </c>
      <c r="C120" s="26">
        <f>SUMIFS(INDEX(元データ_加工!$C$2:$P$700,0,MATCH($B120,元データ_加工!$C$1:$P$1,0)),元データ_加工!$A$2:$A$700,$A120,元データ_加工!$B$2:$B$700,C$5)</f>
        <v>0</v>
      </c>
      <c r="D120" s="26">
        <f>SUMIFS(INDEX(元データ_加工!$C$2:$P$700,0,MATCH($B120,元データ_加工!$C$1:$P$1,0)),元データ_加工!$A$2:$A$700,$A120,元データ_加工!$B$2:$B$700,D$5)</f>
        <v>0</v>
      </c>
      <c r="E120" s="26">
        <f>SUMIFS(INDEX(元データ_加工!$C$2:$P$700,0,MATCH($B120,元データ_加工!$C$1:$P$1,0)),元データ_加工!$A$2:$A$700,$A120,元データ_加工!$B$2:$B$700,E$5)</f>
        <v>0</v>
      </c>
      <c r="F120" s="26">
        <f>SUMIFS(INDEX(元データ_加工!$C$2:$P$700,0,MATCH($B120,元データ_加工!$C$1:$P$1,0)),元データ_加工!$A$2:$A$700,$A120,元データ_加工!$B$2:$B$700,F$5)</f>
        <v>0</v>
      </c>
      <c r="G120" s="26">
        <f>SUMIFS(INDEX(元データ_加工!$C$2:$P$700,0,MATCH($B120,元データ_加工!$C$1:$P$1,0)),元データ_加工!$A$2:$A$700,$A120,元データ_加工!$B$2:$B$700,G$5)</f>
        <v>0</v>
      </c>
      <c r="H120" s="26">
        <f>SUMIFS(INDEX(元データ_加工!$C$2:$P$700,0,MATCH($B120,元データ_加工!$C$1:$P$1,0)),元データ_加工!$A$2:$A$700,$A120,元データ_加工!$B$2:$B$700,H$5)</f>
        <v>0</v>
      </c>
      <c r="I120" s="26">
        <f>SUMIFS(INDEX(元データ_加工!$C$2:$P$700,0,MATCH($B120,元データ_加工!$C$1:$P$1,0)),元データ_加工!$A$2:$A$700,$A120,元データ_加工!$B$2:$B$700,I$5)</f>
        <v>0</v>
      </c>
      <c r="J120" s="26">
        <f>SUMIFS(INDEX(元データ_加工!$C$2:$P$700,0,MATCH($B120,元データ_加工!$C$1:$P$1,0)),元データ_加工!$A$2:$A$700,$A120,元データ_加工!$B$2:$B$700,J$5)</f>
        <v>1</v>
      </c>
      <c r="K120" s="26">
        <f>SUMIFS(INDEX(元データ_加工!$C$2:$P$700,0,MATCH($B120,元データ_加工!$C$1:$P$1,0)),元データ_加工!$A$2:$A$700,$A120,元データ_加工!$B$2:$B$700,K$5)</f>
        <v>2</v>
      </c>
      <c r="L120" s="26">
        <f>SUMIFS(INDEX(元データ_加工!$C$2:$P$700,0,MATCH($B120,元データ_加工!$C$1:$P$1,0)),元データ_加工!$A$2:$A$700,$A120,元データ_加工!$B$2:$B$700,L$5)</f>
        <v>0</v>
      </c>
      <c r="M120" s="26">
        <f>SUMIFS(INDEX(元データ_加工!$C$2:$P$700,0,MATCH($B120,元データ_加工!$C$1:$P$1,0)),元データ_加工!$A$2:$A$700,$A120,元データ_加工!$B$2:$B$700,M$5)</f>
        <v>0</v>
      </c>
      <c r="N120" s="26">
        <f>SUMIFS(INDEX(元データ_加工!$C$2:$P$700,0,MATCH($B120,元データ_加工!$C$1:$P$1,0)),元データ_加工!$A$2:$A$700,$A120,元データ_加工!$B$2:$B$700,N$5)</f>
        <v>0</v>
      </c>
      <c r="O120" s="26">
        <f t="shared" si="1"/>
        <v>3</v>
      </c>
      <c r="P120" s="7">
        <f>IFERROR(O120/SUMIFS(元データ_加工!$C$2:$C$700,元データ_加工!$A$2:$A$700,$A120),"")</f>
        <v>1.3789299503585219E-4</v>
      </c>
    </row>
    <row r="121" spans="1:16" x14ac:dyDescent="0.45">
      <c r="A121" t="s">
        <v>43</v>
      </c>
      <c r="B121" t="s">
        <v>103</v>
      </c>
      <c r="C121" s="26">
        <f>SUMIFS(INDEX(元データ_加工!$C$2:$P$700,0,MATCH($B121,元データ_加工!$C$1:$P$1,0)),元データ_加工!$A$2:$A$700,$A121,元データ_加工!$B$2:$B$700,C$5)</f>
        <v>0</v>
      </c>
      <c r="D121" s="26">
        <f>SUMIFS(INDEX(元データ_加工!$C$2:$P$700,0,MATCH($B121,元データ_加工!$C$1:$P$1,0)),元データ_加工!$A$2:$A$700,$A121,元データ_加工!$B$2:$B$700,D$5)</f>
        <v>0</v>
      </c>
      <c r="E121" s="26">
        <f>SUMIFS(INDEX(元データ_加工!$C$2:$P$700,0,MATCH($B121,元データ_加工!$C$1:$P$1,0)),元データ_加工!$A$2:$A$700,$A121,元データ_加工!$B$2:$B$700,E$5)</f>
        <v>1</v>
      </c>
      <c r="F121" s="26">
        <f>SUMIFS(INDEX(元データ_加工!$C$2:$P$700,0,MATCH($B121,元データ_加工!$C$1:$P$1,0)),元データ_加工!$A$2:$A$700,$A121,元データ_加工!$B$2:$B$700,F$5)</f>
        <v>2</v>
      </c>
      <c r="G121" s="26">
        <f>SUMIFS(INDEX(元データ_加工!$C$2:$P$700,0,MATCH($B121,元データ_加工!$C$1:$P$1,0)),元データ_加工!$A$2:$A$700,$A121,元データ_加工!$B$2:$B$700,G$5)</f>
        <v>1</v>
      </c>
      <c r="H121" s="26">
        <f>SUMIFS(INDEX(元データ_加工!$C$2:$P$700,0,MATCH($B121,元データ_加工!$C$1:$P$1,0)),元データ_加工!$A$2:$A$700,$A121,元データ_加工!$B$2:$B$700,H$5)</f>
        <v>6</v>
      </c>
      <c r="I121" s="26">
        <f>SUMIFS(INDEX(元データ_加工!$C$2:$P$700,0,MATCH($B121,元データ_加工!$C$1:$P$1,0)),元データ_加工!$A$2:$A$700,$A121,元データ_加工!$B$2:$B$700,I$5)</f>
        <v>3</v>
      </c>
      <c r="J121" s="26">
        <f>SUMIFS(INDEX(元データ_加工!$C$2:$P$700,0,MATCH($B121,元データ_加工!$C$1:$P$1,0)),元データ_加工!$A$2:$A$700,$A121,元データ_加工!$B$2:$B$700,J$5)</f>
        <v>1</v>
      </c>
      <c r="K121" s="26">
        <f>SUMIFS(INDEX(元データ_加工!$C$2:$P$700,0,MATCH($B121,元データ_加工!$C$1:$P$1,0)),元データ_加工!$A$2:$A$700,$A121,元データ_加工!$B$2:$B$700,K$5)</f>
        <v>2</v>
      </c>
      <c r="L121" s="26">
        <f>SUMIFS(INDEX(元データ_加工!$C$2:$P$700,0,MATCH($B121,元データ_加工!$C$1:$P$1,0)),元データ_加工!$A$2:$A$700,$A121,元データ_加工!$B$2:$B$700,L$5)</f>
        <v>0</v>
      </c>
      <c r="M121" s="26">
        <f>SUMIFS(INDEX(元データ_加工!$C$2:$P$700,0,MATCH($B121,元データ_加工!$C$1:$P$1,0)),元データ_加工!$A$2:$A$700,$A121,元データ_加工!$B$2:$B$700,M$5)</f>
        <v>0</v>
      </c>
      <c r="N121" s="26">
        <f>SUMIFS(INDEX(元データ_加工!$C$2:$P$700,0,MATCH($B121,元データ_加工!$C$1:$P$1,0)),元データ_加工!$A$2:$A$700,$A121,元データ_加工!$B$2:$B$700,N$5)</f>
        <v>0</v>
      </c>
      <c r="O121" s="26">
        <f t="shared" si="1"/>
        <v>16</v>
      </c>
      <c r="P121" s="7">
        <f>IFERROR(O121/SUMIFS(元データ_加工!$C$2:$C$700,元データ_加工!$A$2:$A$700,$A121),"")</f>
        <v>7.3542930685787831E-4</v>
      </c>
    </row>
    <row r="122" spans="1:16" x14ac:dyDescent="0.45">
      <c r="A122" t="s">
        <v>43</v>
      </c>
      <c r="B122" t="s">
        <v>104</v>
      </c>
      <c r="C122" s="26">
        <f>SUMIFS(INDEX(元データ_加工!$C$2:$P$700,0,MATCH($B122,元データ_加工!$C$1:$P$1,0)),元データ_加工!$A$2:$A$700,$A122,元データ_加工!$B$2:$B$700,C$5)</f>
        <v>41</v>
      </c>
      <c r="D122" s="26">
        <f>SUMIFS(INDEX(元データ_加工!$C$2:$P$700,0,MATCH($B122,元データ_加工!$C$1:$P$1,0)),元データ_加工!$A$2:$A$700,$A122,元データ_加工!$B$2:$B$700,D$5)</f>
        <v>28</v>
      </c>
      <c r="E122" s="26">
        <f>SUMIFS(INDEX(元データ_加工!$C$2:$P$700,0,MATCH($B122,元データ_加工!$C$1:$P$1,0)),元データ_加工!$A$2:$A$700,$A122,元データ_加工!$B$2:$B$700,E$5)</f>
        <v>40</v>
      </c>
      <c r="F122" s="26">
        <f>SUMIFS(INDEX(元データ_加工!$C$2:$P$700,0,MATCH($B122,元データ_加工!$C$1:$P$1,0)),元データ_加工!$A$2:$A$700,$A122,元データ_加工!$B$2:$B$700,F$5)</f>
        <v>18</v>
      </c>
      <c r="G122" s="26">
        <f>SUMIFS(INDEX(元データ_加工!$C$2:$P$700,0,MATCH($B122,元データ_加工!$C$1:$P$1,0)),元データ_加工!$A$2:$A$700,$A122,元データ_加工!$B$2:$B$700,G$5)</f>
        <v>62</v>
      </c>
      <c r="H122" s="26">
        <f>SUMIFS(INDEX(元データ_加工!$C$2:$P$700,0,MATCH($B122,元データ_加工!$C$1:$P$1,0)),元データ_加工!$A$2:$A$700,$A122,元データ_加工!$B$2:$B$700,H$5)</f>
        <v>35</v>
      </c>
      <c r="I122" s="26">
        <f>SUMIFS(INDEX(元データ_加工!$C$2:$P$700,0,MATCH($B122,元データ_加工!$C$1:$P$1,0)),元データ_加工!$A$2:$A$700,$A122,元データ_加工!$B$2:$B$700,I$5)</f>
        <v>15</v>
      </c>
      <c r="J122" s="26">
        <f>SUMIFS(INDEX(元データ_加工!$C$2:$P$700,0,MATCH($B122,元データ_加工!$C$1:$P$1,0)),元データ_加工!$A$2:$A$700,$A122,元データ_加工!$B$2:$B$700,J$5)</f>
        <v>130</v>
      </c>
      <c r="K122" s="26">
        <f>SUMIFS(INDEX(元データ_加工!$C$2:$P$700,0,MATCH($B122,元データ_加工!$C$1:$P$1,0)),元データ_加工!$A$2:$A$700,$A122,元データ_加工!$B$2:$B$700,K$5)</f>
        <v>132</v>
      </c>
      <c r="L122" s="26">
        <f>SUMIFS(INDEX(元データ_加工!$C$2:$P$700,0,MATCH($B122,元データ_加工!$C$1:$P$1,0)),元データ_加工!$A$2:$A$700,$A122,元データ_加工!$B$2:$B$700,L$5)</f>
        <v>78</v>
      </c>
      <c r="M122" s="26">
        <f>SUMIFS(INDEX(元データ_加工!$C$2:$P$700,0,MATCH($B122,元データ_加工!$C$1:$P$1,0)),元データ_加工!$A$2:$A$700,$A122,元データ_加工!$B$2:$B$700,M$5)</f>
        <v>68</v>
      </c>
      <c r="N122" s="26">
        <f>SUMIFS(INDEX(元データ_加工!$C$2:$P$700,0,MATCH($B122,元データ_加工!$C$1:$P$1,0)),元データ_加工!$A$2:$A$700,$A122,元データ_加工!$B$2:$B$700,N$5)</f>
        <v>47</v>
      </c>
      <c r="O122" s="26">
        <f t="shared" si="1"/>
        <v>694</v>
      </c>
      <c r="P122" s="7">
        <f>IFERROR(O122/SUMIFS(元データ_加工!$C$2:$C$700,元データ_加工!$A$2:$A$700,$A122),"")</f>
        <v>3.189924618496047E-2</v>
      </c>
    </row>
    <row r="123" spans="1:16" x14ac:dyDescent="0.45">
      <c r="A123" t="s">
        <v>43</v>
      </c>
      <c r="B123" t="s">
        <v>105</v>
      </c>
      <c r="C123" s="26">
        <f>SUMIFS(INDEX(元データ_加工!$C$2:$P$700,0,MATCH($B123,元データ_加工!$C$1:$P$1,0)),元データ_加工!$A$2:$A$700,$A123,元データ_加工!$B$2:$B$700,C$5)</f>
        <v>0</v>
      </c>
      <c r="D123" s="26">
        <f>SUMIFS(INDEX(元データ_加工!$C$2:$P$700,0,MATCH($B123,元データ_加工!$C$1:$P$1,0)),元データ_加工!$A$2:$A$700,$A123,元データ_加工!$B$2:$B$700,D$5)</f>
        <v>0</v>
      </c>
      <c r="E123" s="26">
        <f>SUMIFS(INDEX(元データ_加工!$C$2:$P$700,0,MATCH($B123,元データ_加工!$C$1:$P$1,0)),元データ_加工!$A$2:$A$700,$A123,元データ_加工!$B$2:$B$700,E$5)</f>
        <v>0</v>
      </c>
      <c r="F123" s="26">
        <f>SUMIFS(INDEX(元データ_加工!$C$2:$P$700,0,MATCH($B123,元データ_加工!$C$1:$P$1,0)),元データ_加工!$A$2:$A$700,$A123,元データ_加工!$B$2:$B$700,F$5)</f>
        <v>0</v>
      </c>
      <c r="G123" s="26">
        <f>SUMIFS(INDEX(元データ_加工!$C$2:$P$700,0,MATCH($B123,元データ_加工!$C$1:$P$1,0)),元データ_加工!$A$2:$A$700,$A123,元データ_加工!$B$2:$B$700,G$5)</f>
        <v>0</v>
      </c>
      <c r="H123" s="26">
        <f>SUMIFS(INDEX(元データ_加工!$C$2:$P$700,0,MATCH($B123,元データ_加工!$C$1:$P$1,0)),元データ_加工!$A$2:$A$700,$A123,元データ_加工!$B$2:$B$700,H$5)</f>
        <v>0</v>
      </c>
      <c r="I123" s="26">
        <f>SUMIFS(INDEX(元データ_加工!$C$2:$P$700,0,MATCH($B123,元データ_加工!$C$1:$P$1,0)),元データ_加工!$A$2:$A$700,$A123,元データ_加工!$B$2:$B$700,I$5)</f>
        <v>0</v>
      </c>
      <c r="J123" s="26">
        <f>SUMIFS(INDEX(元データ_加工!$C$2:$P$700,0,MATCH($B123,元データ_加工!$C$1:$P$1,0)),元データ_加工!$A$2:$A$700,$A123,元データ_加工!$B$2:$B$700,J$5)</f>
        <v>7</v>
      </c>
      <c r="K123" s="26">
        <f>SUMIFS(INDEX(元データ_加工!$C$2:$P$700,0,MATCH($B123,元データ_加工!$C$1:$P$1,0)),元データ_加工!$A$2:$A$700,$A123,元データ_加工!$B$2:$B$700,K$5)</f>
        <v>18</v>
      </c>
      <c r="L123" s="26">
        <f>SUMIFS(INDEX(元データ_加工!$C$2:$P$700,0,MATCH($B123,元データ_加工!$C$1:$P$1,0)),元データ_加工!$A$2:$A$700,$A123,元データ_加工!$B$2:$B$700,L$5)</f>
        <v>11</v>
      </c>
      <c r="M123" s="26">
        <f>SUMIFS(INDEX(元データ_加工!$C$2:$P$700,0,MATCH($B123,元データ_加工!$C$1:$P$1,0)),元データ_加工!$A$2:$A$700,$A123,元データ_加工!$B$2:$B$700,M$5)</f>
        <v>2</v>
      </c>
      <c r="N123" s="26">
        <f>SUMIFS(INDEX(元データ_加工!$C$2:$P$700,0,MATCH($B123,元データ_加工!$C$1:$P$1,0)),元データ_加工!$A$2:$A$700,$A123,元データ_加工!$B$2:$B$700,N$5)</f>
        <v>0</v>
      </c>
      <c r="O123" s="26">
        <f t="shared" si="1"/>
        <v>38</v>
      </c>
      <c r="P123" s="7">
        <f>IFERROR(O123/SUMIFS(元データ_加工!$C$2:$C$700,元データ_加工!$A$2:$A$700,$A123),"")</f>
        <v>1.7466446037874609E-3</v>
      </c>
    </row>
    <row r="124" spans="1:16" x14ac:dyDescent="0.45">
      <c r="A124" t="s">
        <v>43</v>
      </c>
      <c r="B124" t="s">
        <v>106</v>
      </c>
      <c r="C124" s="26">
        <f>SUMIFS(INDEX(元データ_加工!$C$2:$P$700,0,MATCH($B124,元データ_加工!$C$1:$P$1,0)),元データ_加工!$A$2:$A$700,$A124,元データ_加工!$B$2:$B$700,C$5)</f>
        <v>180</v>
      </c>
      <c r="D124" s="26">
        <f>SUMIFS(INDEX(元データ_加工!$C$2:$P$700,0,MATCH($B124,元データ_加工!$C$1:$P$1,0)),元データ_加工!$A$2:$A$700,$A124,元データ_加工!$B$2:$B$700,D$5)</f>
        <v>174</v>
      </c>
      <c r="E124" s="26">
        <f>SUMIFS(INDEX(元データ_加工!$C$2:$P$700,0,MATCH($B124,元データ_加工!$C$1:$P$1,0)),元データ_加工!$A$2:$A$700,$A124,元データ_加工!$B$2:$B$700,E$5)</f>
        <v>241</v>
      </c>
      <c r="F124" s="26">
        <f>SUMIFS(INDEX(元データ_加工!$C$2:$P$700,0,MATCH($B124,元データ_加工!$C$1:$P$1,0)),元データ_加工!$A$2:$A$700,$A124,元データ_加工!$B$2:$B$700,F$5)</f>
        <v>229</v>
      </c>
      <c r="G124" s="26">
        <f>SUMIFS(INDEX(元データ_加工!$C$2:$P$700,0,MATCH($B124,元データ_加工!$C$1:$P$1,0)),元データ_加工!$A$2:$A$700,$A124,元データ_加工!$B$2:$B$700,G$5)</f>
        <v>189</v>
      </c>
      <c r="H124" s="26">
        <f>SUMIFS(INDEX(元データ_加工!$C$2:$P$700,0,MATCH($B124,元データ_加工!$C$1:$P$1,0)),元データ_加工!$A$2:$A$700,$A124,元データ_加工!$B$2:$B$700,H$5)</f>
        <v>182</v>
      </c>
      <c r="I124" s="26">
        <f>SUMIFS(INDEX(元データ_加工!$C$2:$P$700,0,MATCH($B124,元データ_加工!$C$1:$P$1,0)),元データ_加工!$A$2:$A$700,$A124,元データ_加工!$B$2:$B$700,I$5)</f>
        <v>128</v>
      </c>
      <c r="J124" s="26">
        <f>SUMIFS(INDEX(元データ_加工!$C$2:$P$700,0,MATCH($B124,元データ_加工!$C$1:$P$1,0)),元データ_加工!$A$2:$A$700,$A124,元データ_加工!$B$2:$B$700,J$5)</f>
        <v>186</v>
      </c>
      <c r="K124" s="26">
        <f>SUMIFS(INDEX(元データ_加工!$C$2:$P$700,0,MATCH($B124,元データ_加工!$C$1:$P$1,0)),元データ_加工!$A$2:$A$700,$A124,元データ_加工!$B$2:$B$700,K$5)</f>
        <v>225</v>
      </c>
      <c r="L124" s="26">
        <f>SUMIFS(INDEX(元データ_加工!$C$2:$P$700,0,MATCH($B124,元データ_加工!$C$1:$P$1,0)),元データ_加工!$A$2:$A$700,$A124,元データ_加工!$B$2:$B$700,L$5)</f>
        <v>152</v>
      </c>
      <c r="M124" s="26">
        <f>SUMIFS(INDEX(元データ_加工!$C$2:$P$700,0,MATCH($B124,元データ_加工!$C$1:$P$1,0)),元データ_加工!$A$2:$A$700,$A124,元データ_加工!$B$2:$B$700,M$5)</f>
        <v>290</v>
      </c>
      <c r="N124" s="26">
        <f>SUMIFS(INDEX(元データ_加工!$C$2:$P$700,0,MATCH($B124,元データ_加工!$C$1:$P$1,0)),元データ_加工!$A$2:$A$700,$A124,元データ_加工!$B$2:$B$700,N$5)</f>
        <v>250</v>
      </c>
      <c r="O124" s="26">
        <f t="shared" si="1"/>
        <v>2426</v>
      </c>
      <c r="P124" s="7">
        <f>IFERROR(O124/SUMIFS(元データ_加工!$C$2:$C$700,元データ_加工!$A$2:$A$700,$A124),"")</f>
        <v>0.11150946865232579</v>
      </c>
    </row>
    <row r="125" spans="1:16" x14ac:dyDescent="0.45">
      <c r="A125" t="s">
        <v>43</v>
      </c>
      <c r="B125" t="s">
        <v>107</v>
      </c>
      <c r="C125" s="26">
        <f>SUMIFS(INDEX(元データ_加工!$C$2:$P$700,0,MATCH($B125,元データ_加工!$C$1:$P$1,0)),元データ_加工!$A$2:$A$700,$A125,元データ_加工!$B$2:$B$700,C$5)</f>
        <v>84</v>
      </c>
      <c r="D125" s="26">
        <f>SUMIFS(INDEX(元データ_加工!$C$2:$P$700,0,MATCH($B125,元データ_加工!$C$1:$P$1,0)),元データ_加工!$A$2:$A$700,$A125,元データ_加工!$B$2:$B$700,D$5)</f>
        <v>79</v>
      </c>
      <c r="E125" s="26">
        <f>SUMIFS(INDEX(元データ_加工!$C$2:$P$700,0,MATCH($B125,元データ_加工!$C$1:$P$1,0)),元データ_加工!$A$2:$A$700,$A125,元データ_加工!$B$2:$B$700,E$5)</f>
        <v>119</v>
      </c>
      <c r="F125" s="26">
        <f>SUMIFS(INDEX(元データ_加工!$C$2:$P$700,0,MATCH($B125,元データ_加工!$C$1:$P$1,0)),元データ_加工!$A$2:$A$700,$A125,元データ_加工!$B$2:$B$700,F$5)</f>
        <v>39</v>
      </c>
      <c r="G125" s="26">
        <f>SUMIFS(INDEX(元データ_加工!$C$2:$P$700,0,MATCH($B125,元データ_加工!$C$1:$P$1,0)),元データ_加工!$A$2:$A$700,$A125,元データ_加工!$B$2:$B$700,G$5)</f>
        <v>68</v>
      </c>
      <c r="H125" s="26">
        <f>SUMIFS(INDEX(元データ_加工!$C$2:$P$700,0,MATCH($B125,元データ_加工!$C$1:$P$1,0)),元データ_加工!$A$2:$A$700,$A125,元データ_加工!$B$2:$B$700,H$5)</f>
        <v>38</v>
      </c>
      <c r="I125" s="26">
        <f>SUMIFS(INDEX(元データ_加工!$C$2:$P$700,0,MATCH($B125,元データ_加工!$C$1:$P$1,0)),元データ_加工!$A$2:$A$700,$A125,元データ_加工!$B$2:$B$700,I$5)</f>
        <v>25</v>
      </c>
      <c r="J125" s="26">
        <f>SUMIFS(INDEX(元データ_加工!$C$2:$P$700,0,MATCH($B125,元データ_加工!$C$1:$P$1,0)),元データ_加工!$A$2:$A$700,$A125,元データ_加工!$B$2:$B$700,J$5)</f>
        <v>60</v>
      </c>
      <c r="K125" s="26">
        <f>SUMIFS(INDEX(元データ_加工!$C$2:$P$700,0,MATCH($B125,元データ_加工!$C$1:$P$1,0)),元データ_加工!$A$2:$A$700,$A125,元データ_加工!$B$2:$B$700,K$5)</f>
        <v>62</v>
      </c>
      <c r="L125" s="26">
        <f>SUMIFS(INDEX(元データ_加工!$C$2:$P$700,0,MATCH($B125,元データ_加工!$C$1:$P$1,0)),元データ_加工!$A$2:$A$700,$A125,元データ_加工!$B$2:$B$700,L$5)</f>
        <v>51</v>
      </c>
      <c r="M125" s="26">
        <f>SUMIFS(INDEX(元データ_加工!$C$2:$P$700,0,MATCH($B125,元データ_加工!$C$1:$P$1,0)),元データ_加工!$A$2:$A$700,$A125,元データ_加工!$B$2:$B$700,M$5)</f>
        <v>45</v>
      </c>
      <c r="N125" s="26">
        <f>SUMIFS(INDEX(元データ_加工!$C$2:$P$700,0,MATCH($B125,元データ_加工!$C$1:$P$1,0)),元データ_加工!$A$2:$A$700,$A125,元データ_加工!$B$2:$B$700,N$5)</f>
        <v>94</v>
      </c>
      <c r="O125" s="26">
        <f t="shared" si="1"/>
        <v>764</v>
      </c>
      <c r="P125" s="7">
        <f>IFERROR(O125/SUMIFS(元データ_加工!$C$2:$C$700,元データ_加工!$A$2:$A$700,$A125),"")</f>
        <v>3.511674940246369E-2</v>
      </c>
    </row>
    <row r="126" spans="1:16" x14ac:dyDescent="0.45">
      <c r="A126" t="s">
        <v>43</v>
      </c>
      <c r="B126" t="s">
        <v>108</v>
      </c>
      <c r="C126" s="26">
        <f>SUMIFS(INDEX(元データ_加工!$C$2:$P$700,0,MATCH($B126,元データ_加工!$C$1:$P$1,0)),元データ_加工!$A$2:$A$700,$A126,元データ_加工!$B$2:$B$700,C$5)</f>
        <v>1</v>
      </c>
      <c r="D126" s="26">
        <f>SUMIFS(INDEX(元データ_加工!$C$2:$P$700,0,MATCH($B126,元データ_加工!$C$1:$P$1,0)),元データ_加工!$A$2:$A$700,$A126,元データ_加工!$B$2:$B$700,D$5)</f>
        <v>9</v>
      </c>
      <c r="E126" s="26">
        <f>SUMIFS(INDEX(元データ_加工!$C$2:$P$700,0,MATCH($B126,元データ_加工!$C$1:$P$1,0)),元データ_加工!$A$2:$A$700,$A126,元データ_加工!$B$2:$B$700,E$5)</f>
        <v>32</v>
      </c>
      <c r="F126" s="26">
        <f>SUMIFS(INDEX(元データ_加工!$C$2:$P$700,0,MATCH($B126,元データ_加工!$C$1:$P$1,0)),元データ_加工!$A$2:$A$700,$A126,元データ_加工!$B$2:$B$700,F$5)</f>
        <v>8</v>
      </c>
      <c r="G126" s="26">
        <f>SUMIFS(INDEX(元データ_加工!$C$2:$P$700,0,MATCH($B126,元データ_加工!$C$1:$P$1,0)),元データ_加工!$A$2:$A$700,$A126,元データ_加工!$B$2:$B$700,G$5)</f>
        <v>12</v>
      </c>
      <c r="H126" s="26">
        <f>SUMIFS(INDEX(元データ_加工!$C$2:$P$700,0,MATCH($B126,元データ_加工!$C$1:$P$1,0)),元データ_加工!$A$2:$A$700,$A126,元データ_加工!$B$2:$B$700,H$5)</f>
        <v>1</v>
      </c>
      <c r="I126" s="26">
        <f>SUMIFS(INDEX(元データ_加工!$C$2:$P$700,0,MATCH($B126,元データ_加工!$C$1:$P$1,0)),元データ_加工!$A$2:$A$700,$A126,元データ_加工!$B$2:$B$700,I$5)</f>
        <v>0</v>
      </c>
      <c r="J126" s="26">
        <f>SUMIFS(INDEX(元データ_加工!$C$2:$P$700,0,MATCH($B126,元データ_加工!$C$1:$P$1,0)),元データ_加工!$A$2:$A$700,$A126,元データ_加工!$B$2:$B$700,J$5)</f>
        <v>3</v>
      </c>
      <c r="K126" s="26">
        <f>SUMIFS(INDEX(元データ_加工!$C$2:$P$700,0,MATCH($B126,元データ_加工!$C$1:$P$1,0)),元データ_加工!$A$2:$A$700,$A126,元データ_加工!$B$2:$B$700,K$5)</f>
        <v>0</v>
      </c>
      <c r="L126" s="26">
        <f>SUMIFS(INDEX(元データ_加工!$C$2:$P$700,0,MATCH($B126,元データ_加工!$C$1:$P$1,0)),元データ_加工!$A$2:$A$700,$A126,元データ_加工!$B$2:$B$700,L$5)</f>
        <v>1</v>
      </c>
      <c r="M126" s="26">
        <f>SUMIFS(INDEX(元データ_加工!$C$2:$P$700,0,MATCH($B126,元データ_加工!$C$1:$P$1,0)),元データ_加工!$A$2:$A$700,$A126,元データ_加工!$B$2:$B$700,M$5)</f>
        <v>2</v>
      </c>
      <c r="N126" s="26">
        <f>SUMIFS(INDEX(元データ_加工!$C$2:$P$700,0,MATCH($B126,元データ_加工!$C$1:$P$1,0)),元データ_加工!$A$2:$A$700,$A126,元データ_加工!$B$2:$B$700,N$5)</f>
        <v>0</v>
      </c>
      <c r="O126" s="26">
        <f t="shared" si="1"/>
        <v>69</v>
      </c>
      <c r="P126" s="7">
        <f>IFERROR(O126/SUMIFS(元データ_加工!$C$2:$C$700,元データ_加工!$A$2:$A$700,$A126),"")</f>
        <v>3.1715388858246001E-3</v>
      </c>
    </row>
    <row r="127" spans="1:16" x14ac:dyDescent="0.45">
      <c r="A127" t="s">
        <v>43</v>
      </c>
      <c r="B127" t="s">
        <v>109</v>
      </c>
      <c r="C127" s="26">
        <f>SUMIFS(INDEX(元データ_加工!$C$2:$P$700,0,MATCH($B127,元データ_加工!$C$1:$P$1,0)),元データ_加工!$A$2:$A$700,$A127,元データ_加工!$B$2:$B$700,C$5)</f>
        <v>23</v>
      </c>
      <c r="D127" s="26">
        <f>SUMIFS(INDEX(元データ_加工!$C$2:$P$700,0,MATCH($B127,元データ_加工!$C$1:$P$1,0)),元データ_加工!$A$2:$A$700,$A127,元データ_加工!$B$2:$B$700,D$5)</f>
        <v>46</v>
      </c>
      <c r="E127" s="26">
        <f>SUMIFS(INDEX(元データ_加工!$C$2:$P$700,0,MATCH($B127,元データ_加工!$C$1:$P$1,0)),元データ_加工!$A$2:$A$700,$A127,元データ_加工!$B$2:$B$700,E$5)</f>
        <v>44</v>
      </c>
      <c r="F127" s="26">
        <f>SUMIFS(INDEX(元データ_加工!$C$2:$P$700,0,MATCH($B127,元データ_加工!$C$1:$P$1,0)),元データ_加工!$A$2:$A$700,$A127,元データ_加工!$B$2:$B$700,F$5)</f>
        <v>23</v>
      </c>
      <c r="G127" s="26">
        <f>SUMIFS(INDEX(元データ_加工!$C$2:$P$700,0,MATCH($B127,元データ_加工!$C$1:$P$1,0)),元データ_加工!$A$2:$A$700,$A127,元データ_加工!$B$2:$B$700,G$5)</f>
        <v>27</v>
      </c>
      <c r="H127" s="26">
        <f>SUMIFS(INDEX(元データ_加工!$C$2:$P$700,0,MATCH($B127,元データ_加工!$C$1:$P$1,0)),元データ_加工!$A$2:$A$700,$A127,元データ_加工!$B$2:$B$700,H$5)</f>
        <v>23</v>
      </c>
      <c r="I127" s="26">
        <f>SUMIFS(INDEX(元データ_加工!$C$2:$P$700,0,MATCH($B127,元データ_加工!$C$1:$P$1,0)),元データ_加工!$A$2:$A$700,$A127,元データ_加工!$B$2:$B$700,I$5)</f>
        <v>10</v>
      </c>
      <c r="J127" s="26">
        <f>SUMIFS(INDEX(元データ_加工!$C$2:$P$700,0,MATCH($B127,元データ_加工!$C$1:$P$1,0)),元データ_加工!$A$2:$A$700,$A127,元データ_加工!$B$2:$B$700,J$5)</f>
        <v>16</v>
      </c>
      <c r="K127" s="26">
        <f>SUMIFS(INDEX(元データ_加工!$C$2:$P$700,0,MATCH($B127,元データ_加工!$C$1:$P$1,0)),元データ_加工!$A$2:$A$700,$A127,元データ_加工!$B$2:$B$700,K$5)</f>
        <v>19</v>
      </c>
      <c r="L127" s="26">
        <f>SUMIFS(INDEX(元データ_加工!$C$2:$P$700,0,MATCH($B127,元データ_加工!$C$1:$P$1,0)),元データ_加工!$A$2:$A$700,$A127,元データ_加工!$B$2:$B$700,L$5)</f>
        <v>20</v>
      </c>
      <c r="M127" s="26">
        <f>SUMIFS(INDEX(元データ_加工!$C$2:$P$700,0,MATCH($B127,元データ_加工!$C$1:$P$1,0)),元データ_加工!$A$2:$A$700,$A127,元データ_加工!$B$2:$B$700,M$5)</f>
        <v>26</v>
      </c>
      <c r="N127" s="26">
        <f>SUMIFS(INDEX(元データ_加工!$C$2:$P$700,0,MATCH($B127,元データ_加工!$C$1:$P$1,0)),元データ_加工!$A$2:$A$700,$A127,元データ_加工!$B$2:$B$700,N$5)</f>
        <v>22</v>
      </c>
      <c r="O127" s="26">
        <f t="shared" si="1"/>
        <v>299</v>
      </c>
      <c r="P127" s="7">
        <f>IFERROR(O127/SUMIFS(元データ_加工!$C$2:$C$700,元データ_加工!$A$2:$A$700,$A127),"")</f>
        <v>1.3743335171906601E-2</v>
      </c>
    </row>
    <row r="128" spans="1:16" x14ac:dyDescent="0.45">
      <c r="A128" t="s">
        <v>43</v>
      </c>
      <c r="B128" t="s">
        <v>110</v>
      </c>
      <c r="C128" s="26">
        <f>SUMIFS(INDEX(元データ_加工!$C$2:$P$700,0,MATCH($B128,元データ_加工!$C$1:$P$1,0)),元データ_加工!$A$2:$A$700,$A128,元データ_加工!$B$2:$B$700,C$5)</f>
        <v>0</v>
      </c>
      <c r="D128" s="26">
        <f>SUMIFS(INDEX(元データ_加工!$C$2:$P$700,0,MATCH($B128,元データ_加工!$C$1:$P$1,0)),元データ_加工!$A$2:$A$700,$A128,元データ_加工!$B$2:$B$700,D$5)</f>
        <v>0</v>
      </c>
      <c r="E128" s="26">
        <f>SUMIFS(INDEX(元データ_加工!$C$2:$P$700,0,MATCH($B128,元データ_加工!$C$1:$P$1,0)),元データ_加工!$A$2:$A$700,$A128,元データ_加工!$B$2:$B$700,E$5)</f>
        <v>0</v>
      </c>
      <c r="F128" s="26">
        <f>SUMIFS(INDEX(元データ_加工!$C$2:$P$700,0,MATCH($B128,元データ_加工!$C$1:$P$1,0)),元データ_加工!$A$2:$A$700,$A128,元データ_加工!$B$2:$B$700,F$5)</f>
        <v>0</v>
      </c>
      <c r="G128" s="26">
        <f>SUMIFS(INDEX(元データ_加工!$C$2:$P$700,0,MATCH($B128,元データ_加工!$C$1:$P$1,0)),元データ_加工!$A$2:$A$700,$A128,元データ_加工!$B$2:$B$700,G$5)</f>
        <v>0</v>
      </c>
      <c r="H128" s="26">
        <f>SUMIFS(INDEX(元データ_加工!$C$2:$P$700,0,MATCH($B128,元データ_加工!$C$1:$P$1,0)),元データ_加工!$A$2:$A$700,$A128,元データ_加工!$B$2:$B$700,H$5)</f>
        <v>0</v>
      </c>
      <c r="I128" s="26">
        <f>SUMIFS(INDEX(元データ_加工!$C$2:$P$700,0,MATCH($B128,元データ_加工!$C$1:$P$1,0)),元データ_加工!$A$2:$A$700,$A128,元データ_加工!$B$2:$B$700,I$5)</f>
        <v>0</v>
      </c>
      <c r="J128" s="26">
        <f>SUMIFS(INDEX(元データ_加工!$C$2:$P$700,0,MATCH($B128,元データ_加工!$C$1:$P$1,0)),元データ_加工!$A$2:$A$700,$A128,元データ_加工!$B$2:$B$700,J$5)</f>
        <v>0</v>
      </c>
      <c r="K128" s="26">
        <f>SUMIFS(INDEX(元データ_加工!$C$2:$P$700,0,MATCH($B128,元データ_加工!$C$1:$P$1,0)),元データ_加工!$A$2:$A$700,$A128,元データ_加工!$B$2:$B$700,K$5)</f>
        <v>0</v>
      </c>
      <c r="L128" s="26">
        <f>SUMIFS(INDEX(元データ_加工!$C$2:$P$700,0,MATCH($B128,元データ_加工!$C$1:$P$1,0)),元データ_加工!$A$2:$A$700,$A128,元データ_加工!$B$2:$B$700,L$5)</f>
        <v>0</v>
      </c>
      <c r="M128" s="26">
        <f>SUMIFS(INDEX(元データ_加工!$C$2:$P$700,0,MATCH($B128,元データ_加工!$C$1:$P$1,0)),元データ_加工!$A$2:$A$700,$A128,元データ_加工!$B$2:$B$700,M$5)</f>
        <v>0</v>
      </c>
      <c r="N128" s="26">
        <f>SUMIFS(INDEX(元データ_加工!$C$2:$P$700,0,MATCH($B128,元データ_加工!$C$1:$P$1,0)),元データ_加工!$A$2:$A$700,$A128,元データ_加工!$B$2:$B$700,N$5)</f>
        <v>0</v>
      </c>
      <c r="O128" s="26">
        <f t="shared" si="1"/>
        <v>0</v>
      </c>
      <c r="P128" s="7">
        <f>IFERROR(O128/SUMIFS(元データ_加工!$C$2:$C$700,元データ_加工!$A$2:$A$700,$A128),"")</f>
        <v>0</v>
      </c>
    </row>
    <row r="129" spans="1:16" x14ac:dyDescent="0.45">
      <c r="A129" t="s">
        <v>43</v>
      </c>
      <c r="B129" t="s">
        <v>111</v>
      </c>
      <c r="C129" s="26">
        <f>SUMIFS(INDEX(元データ_加工!$C$2:$P$700,0,MATCH($B129,元データ_加工!$C$1:$P$1,0)),元データ_加工!$A$2:$A$700,$A129,元データ_加工!$B$2:$B$700,C$5)</f>
        <v>0</v>
      </c>
      <c r="D129" s="26">
        <f>SUMIFS(INDEX(元データ_加工!$C$2:$P$700,0,MATCH($B129,元データ_加工!$C$1:$P$1,0)),元データ_加工!$A$2:$A$700,$A129,元データ_加工!$B$2:$B$700,D$5)</f>
        <v>0</v>
      </c>
      <c r="E129" s="26">
        <f>SUMIFS(INDEX(元データ_加工!$C$2:$P$700,0,MATCH($B129,元データ_加工!$C$1:$P$1,0)),元データ_加工!$A$2:$A$700,$A129,元データ_加工!$B$2:$B$700,E$5)</f>
        <v>0</v>
      </c>
      <c r="F129" s="26">
        <f>SUMIFS(INDEX(元データ_加工!$C$2:$P$700,0,MATCH($B129,元データ_加工!$C$1:$P$1,0)),元データ_加工!$A$2:$A$700,$A129,元データ_加工!$B$2:$B$700,F$5)</f>
        <v>0</v>
      </c>
      <c r="G129" s="26">
        <f>SUMIFS(INDEX(元データ_加工!$C$2:$P$700,0,MATCH($B129,元データ_加工!$C$1:$P$1,0)),元データ_加工!$A$2:$A$700,$A129,元データ_加工!$B$2:$B$700,G$5)</f>
        <v>0</v>
      </c>
      <c r="H129" s="26">
        <f>SUMIFS(INDEX(元データ_加工!$C$2:$P$700,0,MATCH($B129,元データ_加工!$C$1:$P$1,0)),元データ_加工!$A$2:$A$700,$A129,元データ_加工!$B$2:$B$700,H$5)</f>
        <v>0</v>
      </c>
      <c r="I129" s="26">
        <f>SUMIFS(INDEX(元データ_加工!$C$2:$P$700,0,MATCH($B129,元データ_加工!$C$1:$P$1,0)),元データ_加工!$A$2:$A$700,$A129,元データ_加工!$B$2:$B$700,I$5)</f>
        <v>0</v>
      </c>
      <c r="J129" s="26">
        <f>SUMIFS(INDEX(元データ_加工!$C$2:$P$700,0,MATCH($B129,元データ_加工!$C$1:$P$1,0)),元データ_加工!$A$2:$A$700,$A129,元データ_加工!$B$2:$B$700,J$5)</f>
        <v>0</v>
      </c>
      <c r="K129" s="26">
        <f>SUMIFS(INDEX(元データ_加工!$C$2:$P$700,0,MATCH($B129,元データ_加工!$C$1:$P$1,0)),元データ_加工!$A$2:$A$700,$A129,元データ_加工!$B$2:$B$700,K$5)</f>
        <v>0</v>
      </c>
      <c r="L129" s="26">
        <f>SUMIFS(INDEX(元データ_加工!$C$2:$P$700,0,MATCH($B129,元データ_加工!$C$1:$P$1,0)),元データ_加工!$A$2:$A$700,$A129,元データ_加工!$B$2:$B$700,L$5)</f>
        <v>0</v>
      </c>
      <c r="M129" s="26">
        <f>SUMIFS(INDEX(元データ_加工!$C$2:$P$700,0,MATCH($B129,元データ_加工!$C$1:$P$1,0)),元データ_加工!$A$2:$A$700,$A129,元データ_加工!$B$2:$B$700,M$5)</f>
        <v>0</v>
      </c>
      <c r="N129" s="26">
        <f>SUMIFS(INDEX(元データ_加工!$C$2:$P$700,0,MATCH($B129,元データ_加工!$C$1:$P$1,0)),元データ_加工!$A$2:$A$700,$A129,元データ_加工!$B$2:$B$700,N$5)</f>
        <v>0</v>
      </c>
      <c r="O129" s="26">
        <f t="shared" si="1"/>
        <v>0</v>
      </c>
      <c r="P129" s="7">
        <f>IFERROR(O129/SUMIFS(元データ_加工!$C$2:$C$700,元データ_加工!$A$2:$A$700,$A129),"")</f>
        <v>0</v>
      </c>
    </row>
    <row r="130" spans="1:16" x14ac:dyDescent="0.45">
      <c r="A130" t="s">
        <v>43</v>
      </c>
      <c r="B130" t="s">
        <v>112</v>
      </c>
      <c r="C130" s="26">
        <f>SUMIFS(INDEX(元データ_加工!$C$2:$P$700,0,MATCH($B130,元データ_加工!$C$1:$P$1,0)),元データ_加工!$A$2:$A$700,$A130,元データ_加工!$B$2:$B$700,C$5)</f>
        <v>0</v>
      </c>
      <c r="D130" s="26">
        <f>SUMIFS(INDEX(元データ_加工!$C$2:$P$700,0,MATCH($B130,元データ_加工!$C$1:$P$1,0)),元データ_加工!$A$2:$A$700,$A130,元データ_加工!$B$2:$B$700,D$5)</f>
        <v>0</v>
      </c>
      <c r="E130" s="26">
        <f>SUMIFS(INDEX(元データ_加工!$C$2:$P$700,0,MATCH($B130,元データ_加工!$C$1:$P$1,0)),元データ_加工!$A$2:$A$700,$A130,元データ_加工!$B$2:$B$700,E$5)</f>
        <v>0</v>
      </c>
      <c r="F130" s="26">
        <f>SUMIFS(INDEX(元データ_加工!$C$2:$P$700,0,MATCH($B130,元データ_加工!$C$1:$P$1,0)),元データ_加工!$A$2:$A$700,$A130,元データ_加工!$B$2:$B$700,F$5)</f>
        <v>0</v>
      </c>
      <c r="G130" s="26">
        <f>SUMIFS(INDEX(元データ_加工!$C$2:$P$700,0,MATCH($B130,元データ_加工!$C$1:$P$1,0)),元データ_加工!$A$2:$A$700,$A130,元データ_加工!$B$2:$B$700,G$5)</f>
        <v>1</v>
      </c>
      <c r="H130" s="26">
        <f>SUMIFS(INDEX(元データ_加工!$C$2:$P$700,0,MATCH($B130,元データ_加工!$C$1:$P$1,0)),元データ_加工!$A$2:$A$700,$A130,元データ_加工!$B$2:$B$700,H$5)</f>
        <v>0</v>
      </c>
      <c r="I130" s="26">
        <f>SUMIFS(INDEX(元データ_加工!$C$2:$P$700,0,MATCH($B130,元データ_加工!$C$1:$P$1,0)),元データ_加工!$A$2:$A$700,$A130,元データ_加工!$B$2:$B$700,I$5)</f>
        <v>0</v>
      </c>
      <c r="J130" s="26">
        <f>SUMIFS(INDEX(元データ_加工!$C$2:$P$700,0,MATCH($B130,元データ_加工!$C$1:$P$1,0)),元データ_加工!$A$2:$A$700,$A130,元データ_加工!$B$2:$B$700,J$5)</f>
        <v>0</v>
      </c>
      <c r="K130" s="26">
        <f>SUMIFS(INDEX(元データ_加工!$C$2:$P$700,0,MATCH($B130,元データ_加工!$C$1:$P$1,0)),元データ_加工!$A$2:$A$700,$A130,元データ_加工!$B$2:$B$700,K$5)</f>
        <v>2</v>
      </c>
      <c r="L130" s="26">
        <f>SUMIFS(INDEX(元データ_加工!$C$2:$P$700,0,MATCH($B130,元データ_加工!$C$1:$P$1,0)),元データ_加工!$A$2:$A$700,$A130,元データ_加工!$B$2:$B$700,L$5)</f>
        <v>0</v>
      </c>
      <c r="M130" s="26">
        <f>SUMIFS(INDEX(元データ_加工!$C$2:$P$700,0,MATCH($B130,元データ_加工!$C$1:$P$1,0)),元データ_加工!$A$2:$A$700,$A130,元データ_加工!$B$2:$B$700,M$5)</f>
        <v>0</v>
      </c>
      <c r="N130" s="26">
        <f>SUMIFS(INDEX(元データ_加工!$C$2:$P$700,0,MATCH($B130,元データ_加工!$C$1:$P$1,0)),元データ_加工!$A$2:$A$700,$A130,元データ_加工!$B$2:$B$700,N$5)</f>
        <v>0</v>
      </c>
      <c r="O130" s="26">
        <f t="shared" si="1"/>
        <v>3</v>
      </c>
      <c r="P130" s="7">
        <f>IFERROR(O130/SUMIFS(元データ_加工!$C$2:$C$700,元データ_加工!$A$2:$A$700,$A130),"")</f>
        <v>1.3789299503585219E-4</v>
      </c>
    </row>
    <row r="131" spans="1:16" x14ac:dyDescent="0.45">
      <c r="A131" t="s">
        <v>43</v>
      </c>
      <c r="B131" t="s">
        <v>113</v>
      </c>
      <c r="C131" s="26">
        <f>SUMIFS(INDEX(元データ_加工!$C$2:$P$700,0,MATCH($B131,元データ_加工!$C$1:$P$1,0)),元データ_加工!$A$2:$A$700,$A131,元データ_加工!$B$2:$B$700,C$5)</f>
        <v>0</v>
      </c>
      <c r="D131" s="26">
        <f>SUMIFS(INDEX(元データ_加工!$C$2:$P$700,0,MATCH($B131,元データ_加工!$C$1:$P$1,0)),元データ_加工!$A$2:$A$700,$A131,元データ_加工!$B$2:$B$700,D$5)</f>
        <v>0</v>
      </c>
      <c r="E131" s="26">
        <f>SUMIFS(INDEX(元データ_加工!$C$2:$P$700,0,MATCH($B131,元データ_加工!$C$1:$P$1,0)),元データ_加工!$A$2:$A$700,$A131,元データ_加工!$B$2:$B$700,E$5)</f>
        <v>2</v>
      </c>
      <c r="F131" s="26">
        <f>SUMIFS(INDEX(元データ_加工!$C$2:$P$700,0,MATCH($B131,元データ_加工!$C$1:$P$1,0)),元データ_加工!$A$2:$A$700,$A131,元データ_加工!$B$2:$B$700,F$5)</f>
        <v>2</v>
      </c>
      <c r="G131" s="26">
        <f>SUMIFS(INDEX(元データ_加工!$C$2:$P$700,0,MATCH($B131,元データ_加工!$C$1:$P$1,0)),元データ_加工!$A$2:$A$700,$A131,元データ_加工!$B$2:$B$700,G$5)</f>
        <v>8</v>
      </c>
      <c r="H131" s="26">
        <f>SUMIFS(INDEX(元データ_加工!$C$2:$P$700,0,MATCH($B131,元データ_加工!$C$1:$P$1,0)),元データ_加工!$A$2:$A$700,$A131,元データ_加工!$B$2:$B$700,H$5)</f>
        <v>2</v>
      </c>
      <c r="I131" s="26">
        <f>SUMIFS(INDEX(元データ_加工!$C$2:$P$700,0,MATCH($B131,元データ_加工!$C$1:$P$1,0)),元データ_加工!$A$2:$A$700,$A131,元データ_加工!$B$2:$B$700,I$5)</f>
        <v>5</v>
      </c>
      <c r="J131" s="26">
        <f>SUMIFS(INDEX(元データ_加工!$C$2:$P$700,0,MATCH($B131,元データ_加工!$C$1:$P$1,0)),元データ_加工!$A$2:$A$700,$A131,元データ_加工!$B$2:$B$700,J$5)</f>
        <v>1</v>
      </c>
      <c r="K131" s="26">
        <f>SUMIFS(INDEX(元データ_加工!$C$2:$P$700,0,MATCH($B131,元データ_加工!$C$1:$P$1,0)),元データ_加工!$A$2:$A$700,$A131,元データ_加工!$B$2:$B$700,K$5)</f>
        <v>1</v>
      </c>
      <c r="L131" s="26">
        <f>SUMIFS(INDEX(元データ_加工!$C$2:$P$700,0,MATCH($B131,元データ_加工!$C$1:$P$1,0)),元データ_加工!$A$2:$A$700,$A131,元データ_加工!$B$2:$B$700,L$5)</f>
        <v>1</v>
      </c>
      <c r="M131" s="26">
        <f>SUMIFS(INDEX(元データ_加工!$C$2:$P$700,0,MATCH($B131,元データ_加工!$C$1:$P$1,0)),元データ_加工!$A$2:$A$700,$A131,元データ_加工!$B$2:$B$700,M$5)</f>
        <v>0</v>
      </c>
      <c r="N131" s="26">
        <f>SUMIFS(INDEX(元データ_加工!$C$2:$P$700,0,MATCH($B131,元データ_加工!$C$1:$P$1,0)),元データ_加工!$A$2:$A$700,$A131,元データ_加工!$B$2:$B$700,N$5)</f>
        <v>6</v>
      </c>
      <c r="O131" s="26">
        <f t="shared" si="1"/>
        <v>28</v>
      </c>
      <c r="P131" s="7">
        <f>IFERROR(O131/SUMIFS(元データ_加工!$C$2:$C$700,元データ_加工!$A$2:$A$700,$A131),"")</f>
        <v>1.287001287001287E-3</v>
      </c>
    </row>
    <row r="132" spans="1:16" x14ac:dyDescent="0.45">
      <c r="A132" t="s">
        <v>44</v>
      </c>
      <c r="B132" t="s">
        <v>100</v>
      </c>
      <c r="C132" s="26">
        <f>SUMIFS(INDEX(元データ_加工!$C$2:$P$700,0,MATCH($B132,元データ_加工!$C$1:$P$1,0)),元データ_加工!$A$2:$A$700,$A132,元データ_加工!$B$2:$B$700,C$5)</f>
        <v>1851</v>
      </c>
      <c r="D132" s="26">
        <f>SUMIFS(INDEX(元データ_加工!$C$2:$P$700,0,MATCH($B132,元データ_加工!$C$1:$P$1,0)),元データ_加工!$A$2:$A$700,$A132,元データ_加工!$B$2:$B$700,D$5)</f>
        <v>1697</v>
      </c>
      <c r="E132" s="26">
        <f>SUMIFS(INDEX(元データ_加工!$C$2:$P$700,0,MATCH($B132,元データ_加工!$C$1:$P$1,0)),元データ_加工!$A$2:$A$700,$A132,元データ_加工!$B$2:$B$700,E$5)</f>
        <v>2631</v>
      </c>
      <c r="F132" s="26">
        <f>SUMIFS(INDEX(元データ_加工!$C$2:$P$700,0,MATCH($B132,元データ_加工!$C$1:$P$1,0)),元データ_加工!$A$2:$A$700,$A132,元データ_加工!$B$2:$B$700,F$5)</f>
        <v>2827</v>
      </c>
      <c r="G132" s="26">
        <f>SUMIFS(INDEX(元データ_加工!$C$2:$P$700,0,MATCH($B132,元データ_加工!$C$1:$P$1,0)),元データ_加工!$A$2:$A$700,$A132,元データ_加工!$B$2:$B$700,G$5)</f>
        <v>2793</v>
      </c>
      <c r="H132" s="26">
        <f>SUMIFS(INDEX(元データ_加工!$C$2:$P$700,0,MATCH($B132,元データ_加工!$C$1:$P$1,0)),元データ_加工!$A$2:$A$700,$A132,元データ_加工!$B$2:$B$700,H$5)</f>
        <v>1823</v>
      </c>
      <c r="I132" s="26">
        <f>SUMIFS(INDEX(元データ_加工!$C$2:$P$700,0,MATCH($B132,元データ_加工!$C$1:$P$1,0)),元データ_加工!$A$2:$A$700,$A132,元データ_加工!$B$2:$B$700,I$5)</f>
        <v>1630</v>
      </c>
      <c r="J132" s="26">
        <f>SUMIFS(INDEX(元データ_加工!$C$2:$P$700,0,MATCH($B132,元データ_加工!$C$1:$P$1,0)),元データ_加工!$A$2:$A$700,$A132,元データ_加工!$B$2:$B$700,J$5)</f>
        <v>3070</v>
      </c>
      <c r="K132" s="26">
        <f>SUMIFS(INDEX(元データ_加工!$C$2:$P$700,0,MATCH($B132,元データ_加工!$C$1:$P$1,0)),元データ_加工!$A$2:$A$700,$A132,元データ_加工!$B$2:$B$700,K$5)</f>
        <v>4500</v>
      </c>
      <c r="L132" s="26">
        <f>SUMIFS(INDEX(元データ_加工!$C$2:$P$700,0,MATCH($B132,元データ_加工!$C$1:$P$1,0)),元データ_加工!$A$2:$A$700,$A132,元データ_加工!$B$2:$B$700,L$5)</f>
        <v>3243</v>
      </c>
      <c r="M132" s="26">
        <f>SUMIFS(INDEX(元データ_加工!$C$2:$P$700,0,MATCH($B132,元データ_加工!$C$1:$P$1,0)),元データ_加工!$A$2:$A$700,$A132,元データ_加工!$B$2:$B$700,M$5)</f>
        <v>3032</v>
      </c>
      <c r="N132" s="26">
        <f>SUMIFS(INDEX(元データ_加工!$C$2:$P$700,0,MATCH($B132,元データ_加工!$C$1:$P$1,0)),元データ_加工!$A$2:$A$700,$A132,元データ_加工!$B$2:$B$700,N$5)</f>
        <v>2306</v>
      </c>
      <c r="O132" s="26">
        <f t="shared" si="1"/>
        <v>31403</v>
      </c>
      <c r="P132" s="7">
        <f>IFERROR(O132/SUMIFS(元データ_加工!$C$2:$C$700,元データ_加工!$A$2:$A$700,$A132),"")</f>
        <v>1</v>
      </c>
    </row>
    <row r="133" spans="1:16" x14ac:dyDescent="0.45">
      <c r="A133" t="s">
        <v>44</v>
      </c>
      <c r="B133" t="s">
        <v>101</v>
      </c>
      <c r="C133" s="26">
        <f>SUMIFS(INDEX(元データ_加工!$C$2:$P$700,0,MATCH($B133,元データ_加工!$C$1:$P$1,0)),元データ_加工!$A$2:$A$700,$A133,元データ_加工!$B$2:$B$700,C$5)</f>
        <v>1134</v>
      </c>
      <c r="D133" s="26">
        <f>SUMIFS(INDEX(元データ_加工!$C$2:$P$700,0,MATCH($B133,元データ_加工!$C$1:$P$1,0)),元データ_加工!$A$2:$A$700,$A133,元データ_加工!$B$2:$B$700,D$5)</f>
        <v>1274</v>
      </c>
      <c r="E133" s="26">
        <f>SUMIFS(INDEX(元データ_加工!$C$2:$P$700,0,MATCH($B133,元データ_加工!$C$1:$P$1,0)),元データ_加工!$A$2:$A$700,$A133,元データ_加工!$B$2:$B$700,E$5)</f>
        <v>1606</v>
      </c>
      <c r="F133" s="26">
        <f>SUMIFS(INDEX(元データ_加工!$C$2:$P$700,0,MATCH($B133,元データ_加工!$C$1:$P$1,0)),元データ_加工!$A$2:$A$700,$A133,元データ_加工!$B$2:$B$700,F$5)</f>
        <v>1478</v>
      </c>
      <c r="G133" s="26">
        <f>SUMIFS(INDEX(元データ_加工!$C$2:$P$700,0,MATCH($B133,元データ_加工!$C$1:$P$1,0)),元データ_加工!$A$2:$A$700,$A133,元データ_加工!$B$2:$B$700,G$5)</f>
        <v>1472</v>
      </c>
      <c r="H133" s="26">
        <f>SUMIFS(INDEX(元データ_加工!$C$2:$P$700,0,MATCH($B133,元データ_加工!$C$1:$P$1,0)),元データ_加工!$A$2:$A$700,$A133,元データ_加工!$B$2:$B$700,H$5)</f>
        <v>1050</v>
      </c>
      <c r="I133" s="26">
        <f>SUMIFS(INDEX(元データ_加工!$C$2:$P$700,0,MATCH($B133,元データ_加工!$C$1:$P$1,0)),元データ_加工!$A$2:$A$700,$A133,元データ_加工!$B$2:$B$700,I$5)</f>
        <v>1071</v>
      </c>
      <c r="J133" s="26">
        <f>SUMIFS(INDEX(元データ_加工!$C$2:$P$700,0,MATCH($B133,元データ_加工!$C$1:$P$1,0)),元データ_加工!$A$2:$A$700,$A133,元データ_加工!$B$2:$B$700,J$5)</f>
        <v>1338</v>
      </c>
      <c r="K133" s="26">
        <f>SUMIFS(INDEX(元データ_加工!$C$2:$P$700,0,MATCH($B133,元データ_加工!$C$1:$P$1,0)),元データ_加工!$A$2:$A$700,$A133,元データ_加工!$B$2:$B$700,K$5)</f>
        <v>1334</v>
      </c>
      <c r="L133" s="26">
        <f>SUMIFS(INDEX(元データ_加工!$C$2:$P$700,0,MATCH($B133,元データ_加工!$C$1:$P$1,0)),元データ_加工!$A$2:$A$700,$A133,元データ_加工!$B$2:$B$700,L$5)</f>
        <v>1110</v>
      </c>
      <c r="M133" s="26">
        <f>SUMIFS(INDEX(元データ_加工!$C$2:$P$700,0,MATCH($B133,元データ_加工!$C$1:$P$1,0)),元データ_加工!$A$2:$A$700,$A133,元データ_加工!$B$2:$B$700,M$5)</f>
        <v>1453</v>
      </c>
      <c r="N133" s="26">
        <f>SUMIFS(INDEX(元データ_加工!$C$2:$P$700,0,MATCH($B133,元データ_加工!$C$1:$P$1,0)),元データ_加工!$A$2:$A$700,$A133,元データ_加工!$B$2:$B$700,N$5)</f>
        <v>1292</v>
      </c>
      <c r="O133" s="26">
        <f t="shared" si="1"/>
        <v>15612</v>
      </c>
      <c r="P133" s="7">
        <f>IFERROR(O133/SUMIFS(元データ_加工!$C$2:$C$700,元データ_加工!$A$2:$A$700,$A133),"")</f>
        <v>0.49714995382606758</v>
      </c>
    </row>
    <row r="134" spans="1:16" x14ac:dyDescent="0.45">
      <c r="A134" t="s">
        <v>44</v>
      </c>
      <c r="B134" t="s">
        <v>102</v>
      </c>
      <c r="C134" s="26">
        <f>SUMIFS(INDEX(元データ_加工!$C$2:$P$700,0,MATCH($B134,元データ_加工!$C$1:$P$1,0)),元データ_加工!$A$2:$A$700,$A134,元データ_加工!$B$2:$B$700,C$5)</f>
        <v>0</v>
      </c>
      <c r="D134" s="26">
        <f>SUMIFS(INDEX(元データ_加工!$C$2:$P$700,0,MATCH($B134,元データ_加工!$C$1:$P$1,0)),元データ_加工!$A$2:$A$700,$A134,元データ_加工!$B$2:$B$700,D$5)</f>
        <v>0</v>
      </c>
      <c r="E134" s="26">
        <f>SUMIFS(INDEX(元データ_加工!$C$2:$P$700,0,MATCH($B134,元データ_加工!$C$1:$P$1,0)),元データ_加工!$A$2:$A$700,$A134,元データ_加工!$B$2:$B$700,E$5)</f>
        <v>0</v>
      </c>
      <c r="F134" s="26">
        <f>SUMIFS(INDEX(元データ_加工!$C$2:$P$700,0,MATCH($B134,元データ_加工!$C$1:$P$1,0)),元データ_加工!$A$2:$A$700,$A134,元データ_加工!$B$2:$B$700,F$5)</f>
        <v>0</v>
      </c>
      <c r="G134" s="26">
        <f>SUMIFS(INDEX(元データ_加工!$C$2:$P$700,0,MATCH($B134,元データ_加工!$C$1:$P$1,0)),元データ_加工!$A$2:$A$700,$A134,元データ_加工!$B$2:$B$700,G$5)</f>
        <v>0</v>
      </c>
      <c r="H134" s="26">
        <f>SUMIFS(INDEX(元データ_加工!$C$2:$P$700,0,MATCH($B134,元データ_加工!$C$1:$P$1,0)),元データ_加工!$A$2:$A$700,$A134,元データ_加工!$B$2:$B$700,H$5)</f>
        <v>0</v>
      </c>
      <c r="I134" s="26">
        <f>SUMIFS(INDEX(元データ_加工!$C$2:$P$700,0,MATCH($B134,元データ_加工!$C$1:$P$1,0)),元データ_加工!$A$2:$A$700,$A134,元データ_加工!$B$2:$B$700,I$5)</f>
        <v>0</v>
      </c>
      <c r="J134" s="26">
        <f>SUMIFS(INDEX(元データ_加工!$C$2:$P$700,0,MATCH($B134,元データ_加工!$C$1:$P$1,0)),元データ_加工!$A$2:$A$700,$A134,元データ_加工!$B$2:$B$700,J$5)</f>
        <v>2</v>
      </c>
      <c r="K134" s="26">
        <f>SUMIFS(INDEX(元データ_加工!$C$2:$P$700,0,MATCH($B134,元データ_加工!$C$1:$P$1,0)),元データ_加工!$A$2:$A$700,$A134,元データ_加工!$B$2:$B$700,K$5)</f>
        <v>2</v>
      </c>
      <c r="L134" s="26">
        <f>SUMIFS(INDEX(元データ_加工!$C$2:$P$700,0,MATCH($B134,元データ_加工!$C$1:$P$1,0)),元データ_加工!$A$2:$A$700,$A134,元データ_加工!$B$2:$B$700,L$5)</f>
        <v>0</v>
      </c>
      <c r="M134" s="26">
        <f>SUMIFS(INDEX(元データ_加工!$C$2:$P$700,0,MATCH($B134,元データ_加工!$C$1:$P$1,0)),元データ_加工!$A$2:$A$700,$A134,元データ_加工!$B$2:$B$700,M$5)</f>
        <v>0</v>
      </c>
      <c r="N134" s="26">
        <f>SUMIFS(INDEX(元データ_加工!$C$2:$P$700,0,MATCH($B134,元データ_加工!$C$1:$P$1,0)),元データ_加工!$A$2:$A$700,$A134,元データ_加工!$B$2:$B$700,N$5)</f>
        <v>0</v>
      </c>
      <c r="O134" s="26">
        <f t="shared" si="1"/>
        <v>4</v>
      </c>
      <c r="P134" s="7">
        <f>IFERROR(O134/SUMIFS(元データ_加工!$C$2:$C$700,元データ_加工!$A$2:$A$700,$A134),"")</f>
        <v>1.2737636531541573E-4</v>
      </c>
    </row>
    <row r="135" spans="1:16" x14ac:dyDescent="0.45">
      <c r="A135" t="s">
        <v>44</v>
      </c>
      <c r="B135" t="s">
        <v>103</v>
      </c>
      <c r="C135" s="26">
        <f>SUMIFS(INDEX(元データ_加工!$C$2:$P$700,0,MATCH($B135,元データ_加工!$C$1:$P$1,0)),元データ_加工!$A$2:$A$700,$A135,元データ_加工!$B$2:$B$700,C$5)</f>
        <v>0</v>
      </c>
      <c r="D135" s="26">
        <f>SUMIFS(INDEX(元データ_加工!$C$2:$P$700,0,MATCH($B135,元データ_加工!$C$1:$P$1,0)),元データ_加工!$A$2:$A$700,$A135,元データ_加工!$B$2:$B$700,D$5)</f>
        <v>0</v>
      </c>
      <c r="E135" s="26">
        <f>SUMIFS(INDEX(元データ_加工!$C$2:$P$700,0,MATCH($B135,元データ_加工!$C$1:$P$1,0)),元データ_加工!$A$2:$A$700,$A135,元データ_加工!$B$2:$B$700,E$5)</f>
        <v>1</v>
      </c>
      <c r="F135" s="26">
        <f>SUMIFS(INDEX(元データ_加工!$C$2:$P$700,0,MATCH($B135,元データ_加工!$C$1:$P$1,0)),元データ_加工!$A$2:$A$700,$A135,元データ_加工!$B$2:$B$700,F$5)</f>
        <v>13</v>
      </c>
      <c r="G135" s="26">
        <f>SUMIFS(INDEX(元データ_加工!$C$2:$P$700,0,MATCH($B135,元データ_加工!$C$1:$P$1,0)),元データ_加工!$A$2:$A$700,$A135,元データ_加工!$B$2:$B$700,G$5)</f>
        <v>8</v>
      </c>
      <c r="H135" s="26">
        <f>SUMIFS(INDEX(元データ_加工!$C$2:$P$700,0,MATCH($B135,元データ_加工!$C$1:$P$1,0)),元データ_加工!$A$2:$A$700,$A135,元データ_加工!$B$2:$B$700,H$5)</f>
        <v>13</v>
      </c>
      <c r="I135" s="26">
        <f>SUMIFS(INDEX(元データ_加工!$C$2:$P$700,0,MATCH($B135,元データ_加工!$C$1:$P$1,0)),元データ_加工!$A$2:$A$700,$A135,元データ_加工!$B$2:$B$700,I$5)</f>
        <v>8</v>
      </c>
      <c r="J135" s="26">
        <f>SUMIFS(INDEX(元データ_加工!$C$2:$P$700,0,MATCH($B135,元データ_加工!$C$1:$P$1,0)),元データ_加工!$A$2:$A$700,$A135,元データ_加工!$B$2:$B$700,J$5)</f>
        <v>2</v>
      </c>
      <c r="K135" s="26">
        <f>SUMIFS(INDEX(元データ_加工!$C$2:$P$700,0,MATCH($B135,元データ_加工!$C$1:$P$1,0)),元データ_加工!$A$2:$A$700,$A135,元データ_加工!$B$2:$B$700,K$5)</f>
        <v>0</v>
      </c>
      <c r="L135" s="26">
        <f>SUMIFS(INDEX(元データ_加工!$C$2:$P$700,0,MATCH($B135,元データ_加工!$C$1:$P$1,0)),元データ_加工!$A$2:$A$700,$A135,元データ_加工!$B$2:$B$700,L$5)</f>
        <v>0</v>
      </c>
      <c r="M135" s="26">
        <f>SUMIFS(INDEX(元データ_加工!$C$2:$P$700,0,MATCH($B135,元データ_加工!$C$1:$P$1,0)),元データ_加工!$A$2:$A$700,$A135,元データ_加工!$B$2:$B$700,M$5)</f>
        <v>0</v>
      </c>
      <c r="N135" s="26">
        <f>SUMIFS(INDEX(元データ_加工!$C$2:$P$700,0,MATCH($B135,元データ_加工!$C$1:$P$1,0)),元データ_加工!$A$2:$A$700,$A135,元データ_加工!$B$2:$B$700,N$5)</f>
        <v>0</v>
      </c>
      <c r="O135" s="26">
        <f t="shared" ref="O135:O198" si="2">SUM(C135:N135)</f>
        <v>45</v>
      </c>
      <c r="P135" s="7">
        <f>IFERROR(O135/SUMIFS(元データ_加工!$C$2:$C$700,元データ_加工!$A$2:$A$700,$A135),"")</f>
        <v>1.4329841097984269E-3</v>
      </c>
    </row>
    <row r="136" spans="1:16" x14ac:dyDescent="0.45">
      <c r="A136" t="s">
        <v>44</v>
      </c>
      <c r="B136" t="s">
        <v>104</v>
      </c>
      <c r="C136" s="26">
        <f>SUMIFS(INDEX(元データ_加工!$C$2:$P$700,0,MATCH($B136,元データ_加工!$C$1:$P$1,0)),元データ_加工!$A$2:$A$700,$A136,元データ_加工!$B$2:$B$700,C$5)</f>
        <v>33</v>
      </c>
      <c r="D136" s="26">
        <f>SUMIFS(INDEX(元データ_加工!$C$2:$P$700,0,MATCH($B136,元データ_加工!$C$1:$P$1,0)),元データ_加工!$A$2:$A$700,$A136,元データ_加工!$B$2:$B$700,D$5)</f>
        <v>21</v>
      </c>
      <c r="E136" s="26">
        <f>SUMIFS(INDEX(元データ_加工!$C$2:$P$700,0,MATCH($B136,元データ_加工!$C$1:$P$1,0)),元データ_加工!$A$2:$A$700,$A136,元データ_加工!$B$2:$B$700,E$5)</f>
        <v>16</v>
      </c>
      <c r="F136" s="26">
        <f>SUMIFS(INDEX(元データ_加工!$C$2:$P$700,0,MATCH($B136,元データ_加工!$C$1:$P$1,0)),元データ_加工!$A$2:$A$700,$A136,元データ_加工!$B$2:$B$700,F$5)</f>
        <v>30</v>
      </c>
      <c r="G136" s="26">
        <f>SUMIFS(INDEX(元データ_加工!$C$2:$P$700,0,MATCH($B136,元データ_加工!$C$1:$P$1,0)),元データ_加工!$A$2:$A$700,$A136,元データ_加工!$B$2:$B$700,G$5)</f>
        <v>60</v>
      </c>
      <c r="H136" s="26">
        <f>SUMIFS(INDEX(元データ_加工!$C$2:$P$700,0,MATCH($B136,元データ_加工!$C$1:$P$1,0)),元データ_加工!$A$2:$A$700,$A136,元データ_加工!$B$2:$B$700,H$5)</f>
        <v>23</v>
      </c>
      <c r="I136" s="26">
        <f>SUMIFS(INDEX(元データ_加工!$C$2:$P$700,0,MATCH($B136,元データ_加工!$C$1:$P$1,0)),元データ_加工!$A$2:$A$700,$A136,元データ_加工!$B$2:$B$700,I$5)</f>
        <v>15</v>
      </c>
      <c r="J136" s="26">
        <f>SUMIFS(INDEX(元データ_加工!$C$2:$P$700,0,MATCH($B136,元データ_加工!$C$1:$P$1,0)),元データ_加工!$A$2:$A$700,$A136,元データ_加工!$B$2:$B$700,J$5)</f>
        <v>98</v>
      </c>
      <c r="K136" s="26">
        <f>SUMIFS(INDEX(元データ_加工!$C$2:$P$700,0,MATCH($B136,元データ_加工!$C$1:$P$1,0)),元データ_加工!$A$2:$A$700,$A136,元データ_加工!$B$2:$B$700,K$5)</f>
        <v>88</v>
      </c>
      <c r="L136" s="26">
        <f>SUMIFS(INDEX(元データ_加工!$C$2:$P$700,0,MATCH($B136,元データ_加工!$C$1:$P$1,0)),元データ_加工!$A$2:$A$700,$A136,元データ_加工!$B$2:$B$700,L$5)</f>
        <v>44</v>
      </c>
      <c r="M136" s="26">
        <f>SUMIFS(INDEX(元データ_加工!$C$2:$P$700,0,MATCH($B136,元データ_加工!$C$1:$P$1,0)),元データ_加工!$A$2:$A$700,$A136,元データ_加工!$B$2:$B$700,M$5)</f>
        <v>75</v>
      </c>
      <c r="N136" s="26">
        <f>SUMIFS(INDEX(元データ_加工!$C$2:$P$700,0,MATCH($B136,元データ_加工!$C$1:$P$1,0)),元データ_加工!$A$2:$A$700,$A136,元データ_加工!$B$2:$B$700,N$5)</f>
        <v>20</v>
      </c>
      <c r="O136" s="26">
        <f t="shared" si="2"/>
        <v>523</v>
      </c>
      <c r="P136" s="7">
        <f>IFERROR(O136/SUMIFS(元データ_加工!$C$2:$C$700,元データ_加工!$A$2:$A$700,$A136),"")</f>
        <v>1.6654459764990606E-2</v>
      </c>
    </row>
    <row r="137" spans="1:16" x14ac:dyDescent="0.45">
      <c r="A137" t="s">
        <v>44</v>
      </c>
      <c r="B137" t="s">
        <v>105</v>
      </c>
      <c r="C137" s="26">
        <f>SUMIFS(INDEX(元データ_加工!$C$2:$P$700,0,MATCH($B137,元データ_加工!$C$1:$P$1,0)),元データ_加工!$A$2:$A$700,$A137,元データ_加工!$B$2:$B$700,C$5)</f>
        <v>8</v>
      </c>
      <c r="D137" s="26">
        <f>SUMIFS(INDEX(元データ_加工!$C$2:$P$700,0,MATCH($B137,元データ_加工!$C$1:$P$1,0)),元データ_加工!$A$2:$A$700,$A137,元データ_加工!$B$2:$B$700,D$5)</f>
        <v>2</v>
      </c>
      <c r="E137" s="26">
        <f>SUMIFS(INDEX(元データ_加工!$C$2:$P$700,0,MATCH($B137,元データ_加工!$C$1:$P$1,0)),元データ_加工!$A$2:$A$700,$A137,元データ_加工!$B$2:$B$700,E$5)</f>
        <v>4</v>
      </c>
      <c r="F137" s="26">
        <f>SUMIFS(INDEX(元データ_加工!$C$2:$P$700,0,MATCH($B137,元データ_加工!$C$1:$P$1,0)),元データ_加工!$A$2:$A$700,$A137,元データ_加工!$B$2:$B$700,F$5)</f>
        <v>0</v>
      </c>
      <c r="G137" s="26">
        <f>SUMIFS(INDEX(元データ_加工!$C$2:$P$700,0,MATCH($B137,元データ_加工!$C$1:$P$1,0)),元データ_加工!$A$2:$A$700,$A137,元データ_加工!$B$2:$B$700,G$5)</f>
        <v>12</v>
      </c>
      <c r="H137" s="26">
        <f>SUMIFS(INDEX(元データ_加工!$C$2:$P$700,0,MATCH($B137,元データ_加工!$C$1:$P$1,0)),元データ_加工!$A$2:$A$700,$A137,元データ_加工!$B$2:$B$700,H$5)</f>
        <v>10</v>
      </c>
      <c r="I137" s="26">
        <f>SUMIFS(INDEX(元データ_加工!$C$2:$P$700,0,MATCH($B137,元データ_加工!$C$1:$P$1,0)),元データ_加工!$A$2:$A$700,$A137,元データ_加工!$B$2:$B$700,I$5)</f>
        <v>5</v>
      </c>
      <c r="J137" s="26">
        <f>SUMIFS(INDEX(元データ_加工!$C$2:$P$700,0,MATCH($B137,元データ_加工!$C$1:$P$1,0)),元データ_加工!$A$2:$A$700,$A137,元データ_加工!$B$2:$B$700,J$5)</f>
        <v>44</v>
      </c>
      <c r="K137" s="26">
        <f>SUMIFS(INDEX(元データ_加工!$C$2:$P$700,0,MATCH($B137,元データ_加工!$C$1:$P$1,0)),元データ_加工!$A$2:$A$700,$A137,元データ_加工!$B$2:$B$700,K$5)</f>
        <v>46</v>
      </c>
      <c r="L137" s="26">
        <f>SUMIFS(INDEX(元データ_加工!$C$2:$P$700,0,MATCH($B137,元データ_加工!$C$1:$P$1,0)),元データ_加工!$A$2:$A$700,$A137,元データ_加工!$B$2:$B$700,L$5)</f>
        <v>66</v>
      </c>
      <c r="M137" s="26">
        <f>SUMIFS(INDEX(元データ_加工!$C$2:$P$700,0,MATCH($B137,元データ_加工!$C$1:$P$1,0)),元データ_加工!$A$2:$A$700,$A137,元データ_加工!$B$2:$B$700,M$5)</f>
        <v>14</v>
      </c>
      <c r="N137" s="26">
        <f>SUMIFS(INDEX(元データ_加工!$C$2:$P$700,0,MATCH($B137,元データ_加工!$C$1:$P$1,0)),元データ_加工!$A$2:$A$700,$A137,元データ_加工!$B$2:$B$700,N$5)</f>
        <v>2</v>
      </c>
      <c r="O137" s="26">
        <f t="shared" si="2"/>
        <v>213</v>
      </c>
      <c r="P137" s="7">
        <f>IFERROR(O137/SUMIFS(元データ_加工!$C$2:$C$700,元データ_加工!$A$2:$A$700,$A137),"")</f>
        <v>6.7827914530458871E-3</v>
      </c>
    </row>
    <row r="138" spans="1:16" x14ac:dyDescent="0.45">
      <c r="A138" t="s">
        <v>44</v>
      </c>
      <c r="B138" t="s">
        <v>106</v>
      </c>
      <c r="C138" s="26">
        <f>SUMIFS(INDEX(元データ_加工!$C$2:$P$700,0,MATCH($B138,元データ_加工!$C$1:$P$1,0)),元データ_加工!$A$2:$A$700,$A138,元データ_加工!$B$2:$B$700,C$5)</f>
        <v>411</v>
      </c>
      <c r="D138" s="26">
        <f>SUMIFS(INDEX(元データ_加工!$C$2:$P$700,0,MATCH($B138,元データ_加工!$C$1:$P$1,0)),元データ_加工!$A$2:$A$700,$A138,元データ_加工!$B$2:$B$700,D$5)</f>
        <v>350</v>
      </c>
      <c r="E138" s="26">
        <f>SUMIFS(INDEX(元データ_加工!$C$2:$P$700,0,MATCH($B138,元データ_加工!$C$1:$P$1,0)),元データ_加工!$A$2:$A$700,$A138,元データ_加工!$B$2:$B$700,E$5)</f>
        <v>291</v>
      </c>
      <c r="F138" s="26">
        <f>SUMIFS(INDEX(元データ_加工!$C$2:$P$700,0,MATCH($B138,元データ_加工!$C$1:$P$1,0)),元データ_加工!$A$2:$A$700,$A138,元データ_加工!$B$2:$B$700,F$5)</f>
        <v>365</v>
      </c>
      <c r="G138" s="26">
        <f>SUMIFS(INDEX(元データ_加工!$C$2:$P$700,0,MATCH($B138,元データ_加工!$C$1:$P$1,0)),元データ_加工!$A$2:$A$700,$A138,元データ_加工!$B$2:$B$700,G$5)</f>
        <v>267</v>
      </c>
      <c r="H138" s="26">
        <f>SUMIFS(INDEX(元データ_加工!$C$2:$P$700,0,MATCH($B138,元データ_加工!$C$1:$P$1,0)),元データ_加工!$A$2:$A$700,$A138,元データ_加工!$B$2:$B$700,H$5)</f>
        <v>179</v>
      </c>
      <c r="I138" s="26">
        <f>SUMIFS(INDEX(元データ_加工!$C$2:$P$700,0,MATCH($B138,元データ_加工!$C$1:$P$1,0)),元データ_加工!$A$2:$A$700,$A138,元データ_加工!$B$2:$B$700,I$5)</f>
        <v>154</v>
      </c>
      <c r="J138" s="26">
        <f>SUMIFS(INDEX(元データ_加工!$C$2:$P$700,0,MATCH($B138,元データ_加工!$C$1:$P$1,0)),元データ_加工!$A$2:$A$700,$A138,元データ_加工!$B$2:$B$700,J$5)</f>
        <v>256</v>
      </c>
      <c r="K138" s="26">
        <f>SUMIFS(INDEX(元データ_加工!$C$2:$P$700,0,MATCH($B138,元データ_加工!$C$1:$P$1,0)),元データ_加工!$A$2:$A$700,$A138,元データ_加工!$B$2:$B$700,K$5)</f>
        <v>288</v>
      </c>
      <c r="L138" s="26">
        <f>SUMIFS(INDEX(元データ_加工!$C$2:$P$700,0,MATCH($B138,元データ_加工!$C$1:$P$1,0)),元データ_加工!$A$2:$A$700,$A138,元データ_加工!$B$2:$B$700,L$5)</f>
        <v>267</v>
      </c>
      <c r="M138" s="26">
        <f>SUMIFS(INDEX(元データ_加工!$C$2:$P$700,0,MATCH($B138,元データ_加工!$C$1:$P$1,0)),元データ_加工!$A$2:$A$700,$A138,元データ_加工!$B$2:$B$700,M$5)</f>
        <v>362</v>
      </c>
      <c r="N138" s="26">
        <f>SUMIFS(INDEX(元データ_加工!$C$2:$P$700,0,MATCH($B138,元データ_加工!$C$1:$P$1,0)),元データ_加工!$A$2:$A$700,$A138,元データ_加工!$B$2:$B$700,N$5)</f>
        <v>396</v>
      </c>
      <c r="O138" s="26">
        <f t="shared" si="2"/>
        <v>3586</v>
      </c>
      <c r="P138" s="7">
        <f>IFERROR(O138/SUMIFS(元データ_加工!$C$2:$C$700,元データ_加工!$A$2:$A$700,$A138),"")</f>
        <v>0.11419291150527019</v>
      </c>
    </row>
    <row r="139" spans="1:16" x14ac:dyDescent="0.45">
      <c r="A139" t="s">
        <v>44</v>
      </c>
      <c r="B139" t="s">
        <v>107</v>
      </c>
      <c r="C139" s="26">
        <f>SUMIFS(INDEX(元データ_加工!$C$2:$P$700,0,MATCH($B139,元データ_加工!$C$1:$P$1,0)),元データ_加工!$A$2:$A$700,$A139,元データ_加工!$B$2:$B$700,C$5)</f>
        <v>14</v>
      </c>
      <c r="D139" s="26">
        <f>SUMIFS(INDEX(元データ_加工!$C$2:$P$700,0,MATCH($B139,元データ_加工!$C$1:$P$1,0)),元データ_加工!$A$2:$A$700,$A139,元データ_加工!$B$2:$B$700,D$5)</f>
        <v>10</v>
      </c>
      <c r="E139" s="26">
        <f>SUMIFS(INDEX(元データ_加工!$C$2:$P$700,0,MATCH($B139,元データ_加工!$C$1:$P$1,0)),元データ_加工!$A$2:$A$700,$A139,元データ_加工!$B$2:$B$700,E$5)</f>
        <v>8</v>
      </c>
      <c r="F139" s="26">
        <f>SUMIFS(INDEX(元データ_加工!$C$2:$P$700,0,MATCH($B139,元データ_加工!$C$1:$P$1,0)),元データ_加工!$A$2:$A$700,$A139,元データ_加工!$B$2:$B$700,F$5)</f>
        <v>9</v>
      </c>
      <c r="G139" s="26">
        <f>SUMIFS(INDEX(元データ_加工!$C$2:$P$700,0,MATCH($B139,元データ_加工!$C$1:$P$1,0)),元データ_加工!$A$2:$A$700,$A139,元データ_加工!$B$2:$B$700,G$5)</f>
        <v>5</v>
      </c>
      <c r="H139" s="26">
        <f>SUMIFS(INDEX(元データ_加工!$C$2:$P$700,0,MATCH($B139,元データ_加工!$C$1:$P$1,0)),元データ_加工!$A$2:$A$700,$A139,元データ_加工!$B$2:$B$700,H$5)</f>
        <v>1</v>
      </c>
      <c r="I139" s="26">
        <f>SUMIFS(INDEX(元データ_加工!$C$2:$P$700,0,MATCH($B139,元データ_加工!$C$1:$P$1,0)),元データ_加工!$A$2:$A$700,$A139,元データ_加工!$B$2:$B$700,I$5)</f>
        <v>1</v>
      </c>
      <c r="J139" s="26">
        <f>SUMIFS(INDEX(元データ_加工!$C$2:$P$700,0,MATCH($B139,元データ_加工!$C$1:$P$1,0)),元データ_加工!$A$2:$A$700,$A139,元データ_加工!$B$2:$B$700,J$5)</f>
        <v>3</v>
      </c>
      <c r="K139" s="26">
        <f>SUMIFS(INDEX(元データ_加工!$C$2:$P$700,0,MATCH($B139,元データ_加工!$C$1:$P$1,0)),元データ_加工!$A$2:$A$700,$A139,元データ_加工!$B$2:$B$700,K$5)</f>
        <v>4</v>
      </c>
      <c r="L139" s="26">
        <f>SUMIFS(INDEX(元データ_加工!$C$2:$P$700,0,MATCH($B139,元データ_加工!$C$1:$P$1,0)),元データ_加工!$A$2:$A$700,$A139,元データ_加工!$B$2:$B$700,L$5)</f>
        <v>6</v>
      </c>
      <c r="M139" s="26">
        <f>SUMIFS(INDEX(元データ_加工!$C$2:$P$700,0,MATCH($B139,元データ_加工!$C$1:$P$1,0)),元データ_加工!$A$2:$A$700,$A139,元データ_加工!$B$2:$B$700,M$5)</f>
        <v>7</v>
      </c>
      <c r="N139" s="26">
        <f>SUMIFS(INDEX(元データ_加工!$C$2:$P$700,0,MATCH($B139,元データ_加工!$C$1:$P$1,0)),元データ_加工!$A$2:$A$700,$A139,元データ_加工!$B$2:$B$700,N$5)</f>
        <v>20</v>
      </c>
      <c r="O139" s="26">
        <f t="shared" si="2"/>
        <v>88</v>
      </c>
      <c r="P139" s="7">
        <f>IFERROR(O139/SUMIFS(元データ_加工!$C$2:$C$700,元データ_加工!$A$2:$A$700,$A139),"")</f>
        <v>2.8022800369391461E-3</v>
      </c>
    </row>
    <row r="140" spans="1:16" x14ac:dyDescent="0.45">
      <c r="A140" t="s">
        <v>44</v>
      </c>
      <c r="B140" t="s">
        <v>108</v>
      </c>
      <c r="C140" s="26">
        <f>SUMIFS(INDEX(元データ_加工!$C$2:$P$700,0,MATCH($B140,元データ_加工!$C$1:$P$1,0)),元データ_加工!$A$2:$A$700,$A140,元データ_加工!$B$2:$B$700,C$5)</f>
        <v>0</v>
      </c>
      <c r="D140" s="26">
        <f>SUMIFS(INDEX(元データ_加工!$C$2:$P$700,0,MATCH($B140,元データ_加工!$C$1:$P$1,0)),元データ_加工!$A$2:$A$700,$A140,元データ_加工!$B$2:$B$700,D$5)</f>
        <v>12</v>
      </c>
      <c r="E140" s="26">
        <f>SUMIFS(INDEX(元データ_加工!$C$2:$P$700,0,MATCH($B140,元データ_加工!$C$1:$P$1,0)),元データ_加工!$A$2:$A$700,$A140,元データ_加工!$B$2:$B$700,E$5)</f>
        <v>28</v>
      </c>
      <c r="F140" s="26">
        <f>SUMIFS(INDEX(元データ_加工!$C$2:$P$700,0,MATCH($B140,元データ_加工!$C$1:$P$1,0)),元データ_加工!$A$2:$A$700,$A140,元データ_加工!$B$2:$B$700,F$5)</f>
        <v>80</v>
      </c>
      <c r="G140" s="26">
        <f>SUMIFS(INDEX(元データ_加工!$C$2:$P$700,0,MATCH($B140,元データ_加工!$C$1:$P$1,0)),元データ_加工!$A$2:$A$700,$A140,元データ_加工!$B$2:$B$700,G$5)</f>
        <v>26</v>
      </c>
      <c r="H140" s="26">
        <f>SUMIFS(INDEX(元データ_加工!$C$2:$P$700,0,MATCH($B140,元データ_加工!$C$1:$P$1,0)),元データ_加工!$A$2:$A$700,$A140,元データ_加工!$B$2:$B$700,H$5)</f>
        <v>12</v>
      </c>
      <c r="I140" s="26">
        <f>SUMIFS(INDEX(元データ_加工!$C$2:$P$700,0,MATCH($B140,元データ_加工!$C$1:$P$1,0)),元データ_加工!$A$2:$A$700,$A140,元データ_加工!$B$2:$B$700,I$5)</f>
        <v>2</v>
      </c>
      <c r="J140" s="26">
        <f>SUMIFS(INDEX(元データ_加工!$C$2:$P$700,0,MATCH($B140,元データ_加工!$C$1:$P$1,0)),元データ_加工!$A$2:$A$700,$A140,元データ_加工!$B$2:$B$700,J$5)</f>
        <v>4</v>
      </c>
      <c r="K140" s="26">
        <f>SUMIFS(INDEX(元データ_加工!$C$2:$P$700,0,MATCH($B140,元データ_加工!$C$1:$P$1,0)),元データ_加工!$A$2:$A$700,$A140,元データ_加工!$B$2:$B$700,K$5)</f>
        <v>4</v>
      </c>
      <c r="L140" s="26">
        <f>SUMIFS(INDEX(元データ_加工!$C$2:$P$700,0,MATCH($B140,元データ_加工!$C$1:$P$1,0)),元データ_加工!$A$2:$A$700,$A140,元データ_加工!$B$2:$B$700,L$5)</f>
        <v>1</v>
      </c>
      <c r="M140" s="26">
        <f>SUMIFS(INDEX(元データ_加工!$C$2:$P$700,0,MATCH($B140,元データ_加工!$C$1:$P$1,0)),元データ_加工!$A$2:$A$700,$A140,元データ_加工!$B$2:$B$700,M$5)</f>
        <v>0</v>
      </c>
      <c r="N140" s="26">
        <f>SUMIFS(INDEX(元データ_加工!$C$2:$P$700,0,MATCH($B140,元データ_加工!$C$1:$P$1,0)),元データ_加工!$A$2:$A$700,$A140,元データ_加工!$B$2:$B$700,N$5)</f>
        <v>0</v>
      </c>
      <c r="O140" s="26">
        <f t="shared" si="2"/>
        <v>169</v>
      </c>
      <c r="P140" s="7">
        <f>IFERROR(O140/SUMIFS(元データ_加工!$C$2:$C$700,元データ_加工!$A$2:$A$700,$A140),"")</f>
        <v>5.3816514345763145E-3</v>
      </c>
    </row>
    <row r="141" spans="1:16" x14ac:dyDescent="0.45">
      <c r="A141" t="s">
        <v>44</v>
      </c>
      <c r="B141" t="s">
        <v>109</v>
      </c>
      <c r="C141" s="26">
        <f>SUMIFS(INDEX(元データ_加工!$C$2:$P$700,0,MATCH($B141,元データ_加工!$C$1:$P$1,0)),元データ_加工!$A$2:$A$700,$A141,元データ_加工!$B$2:$B$700,C$5)</f>
        <v>41</v>
      </c>
      <c r="D141" s="26">
        <f>SUMIFS(INDEX(元データ_加工!$C$2:$P$700,0,MATCH($B141,元データ_加工!$C$1:$P$1,0)),元データ_加工!$A$2:$A$700,$A141,元データ_加工!$B$2:$B$700,D$5)</f>
        <v>73</v>
      </c>
      <c r="E141" s="26">
        <f>SUMIFS(INDEX(元データ_加工!$C$2:$P$700,0,MATCH($B141,元データ_加工!$C$1:$P$1,0)),元データ_加工!$A$2:$A$700,$A141,元データ_加工!$B$2:$B$700,E$5)</f>
        <v>100</v>
      </c>
      <c r="F141" s="26">
        <f>SUMIFS(INDEX(元データ_加工!$C$2:$P$700,0,MATCH($B141,元データ_加工!$C$1:$P$1,0)),元データ_加工!$A$2:$A$700,$A141,元データ_加工!$B$2:$B$700,F$5)</f>
        <v>96</v>
      </c>
      <c r="G141" s="26">
        <f>SUMIFS(INDEX(元データ_加工!$C$2:$P$700,0,MATCH($B141,元データ_加工!$C$1:$P$1,0)),元データ_加工!$A$2:$A$700,$A141,元データ_加工!$B$2:$B$700,G$5)</f>
        <v>84</v>
      </c>
      <c r="H141" s="26">
        <f>SUMIFS(INDEX(元データ_加工!$C$2:$P$700,0,MATCH($B141,元データ_加工!$C$1:$P$1,0)),元データ_加工!$A$2:$A$700,$A141,元データ_加工!$B$2:$B$700,H$5)</f>
        <v>59</v>
      </c>
      <c r="I141" s="26">
        <f>SUMIFS(INDEX(元データ_加工!$C$2:$P$700,0,MATCH($B141,元データ_加工!$C$1:$P$1,0)),元データ_加工!$A$2:$A$700,$A141,元データ_加工!$B$2:$B$700,I$5)</f>
        <v>56</v>
      </c>
      <c r="J141" s="26">
        <f>SUMIFS(INDEX(元データ_加工!$C$2:$P$700,0,MATCH($B141,元データ_加工!$C$1:$P$1,0)),元データ_加工!$A$2:$A$700,$A141,元データ_加工!$B$2:$B$700,J$5)</f>
        <v>64</v>
      </c>
      <c r="K141" s="26">
        <f>SUMIFS(INDEX(元データ_加工!$C$2:$P$700,0,MATCH($B141,元データ_加工!$C$1:$P$1,0)),元データ_加工!$A$2:$A$700,$A141,元データ_加工!$B$2:$B$700,K$5)</f>
        <v>56</v>
      </c>
      <c r="L141" s="26">
        <f>SUMIFS(INDEX(元データ_加工!$C$2:$P$700,0,MATCH($B141,元データ_加工!$C$1:$P$1,0)),元データ_加工!$A$2:$A$700,$A141,元データ_加工!$B$2:$B$700,L$5)</f>
        <v>64</v>
      </c>
      <c r="M141" s="26">
        <f>SUMIFS(INDEX(元データ_加工!$C$2:$P$700,0,MATCH($B141,元データ_加工!$C$1:$P$1,0)),元データ_加工!$A$2:$A$700,$A141,元データ_加工!$B$2:$B$700,M$5)</f>
        <v>78</v>
      </c>
      <c r="N141" s="26">
        <f>SUMIFS(INDEX(元データ_加工!$C$2:$P$700,0,MATCH($B141,元データ_加工!$C$1:$P$1,0)),元データ_加工!$A$2:$A$700,$A141,元データ_加工!$B$2:$B$700,N$5)</f>
        <v>64</v>
      </c>
      <c r="O141" s="26">
        <f t="shared" si="2"/>
        <v>835</v>
      </c>
      <c r="P141" s="7">
        <f>IFERROR(O141/SUMIFS(元データ_加工!$C$2:$C$700,元データ_加工!$A$2:$A$700,$A141),"")</f>
        <v>2.6589816259593033E-2</v>
      </c>
    </row>
    <row r="142" spans="1:16" x14ac:dyDescent="0.45">
      <c r="A142" t="s">
        <v>44</v>
      </c>
      <c r="B142" t="s">
        <v>110</v>
      </c>
      <c r="C142" s="26">
        <f>SUMIFS(INDEX(元データ_加工!$C$2:$P$700,0,MATCH($B142,元データ_加工!$C$1:$P$1,0)),元データ_加工!$A$2:$A$700,$A142,元データ_加工!$B$2:$B$700,C$5)</f>
        <v>0</v>
      </c>
      <c r="D142" s="26">
        <f>SUMIFS(INDEX(元データ_加工!$C$2:$P$700,0,MATCH($B142,元データ_加工!$C$1:$P$1,0)),元データ_加工!$A$2:$A$700,$A142,元データ_加工!$B$2:$B$700,D$5)</f>
        <v>0</v>
      </c>
      <c r="E142" s="26">
        <f>SUMIFS(INDEX(元データ_加工!$C$2:$P$700,0,MATCH($B142,元データ_加工!$C$1:$P$1,0)),元データ_加工!$A$2:$A$700,$A142,元データ_加工!$B$2:$B$700,E$5)</f>
        <v>0</v>
      </c>
      <c r="F142" s="26">
        <f>SUMIFS(INDEX(元データ_加工!$C$2:$P$700,0,MATCH($B142,元データ_加工!$C$1:$P$1,0)),元データ_加工!$A$2:$A$700,$A142,元データ_加工!$B$2:$B$700,F$5)</f>
        <v>0</v>
      </c>
      <c r="G142" s="26">
        <f>SUMIFS(INDEX(元データ_加工!$C$2:$P$700,0,MATCH($B142,元データ_加工!$C$1:$P$1,0)),元データ_加工!$A$2:$A$700,$A142,元データ_加工!$B$2:$B$700,G$5)</f>
        <v>0</v>
      </c>
      <c r="H142" s="26">
        <f>SUMIFS(INDEX(元データ_加工!$C$2:$P$700,0,MATCH($B142,元データ_加工!$C$1:$P$1,0)),元データ_加工!$A$2:$A$700,$A142,元データ_加工!$B$2:$B$700,H$5)</f>
        <v>0</v>
      </c>
      <c r="I142" s="26">
        <f>SUMIFS(INDEX(元データ_加工!$C$2:$P$700,0,MATCH($B142,元データ_加工!$C$1:$P$1,0)),元データ_加工!$A$2:$A$700,$A142,元データ_加工!$B$2:$B$700,I$5)</f>
        <v>0</v>
      </c>
      <c r="J142" s="26">
        <f>SUMIFS(INDEX(元データ_加工!$C$2:$P$700,0,MATCH($B142,元データ_加工!$C$1:$P$1,0)),元データ_加工!$A$2:$A$700,$A142,元データ_加工!$B$2:$B$700,J$5)</f>
        <v>0</v>
      </c>
      <c r="K142" s="26">
        <f>SUMIFS(INDEX(元データ_加工!$C$2:$P$700,0,MATCH($B142,元データ_加工!$C$1:$P$1,0)),元データ_加工!$A$2:$A$700,$A142,元データ_加工!$B$2:$B$700,K$5)</f>
        <v>0</v>
      </c>
      <c r="L142" s="26">
        <f>SUMIFS(INDEX(元データ_加工!$C$2:$P$700,0,MATCH($B142,元データ_加工!$C$1:$P$1,0)),元データ_加工!$A$2:$A$700,$A142,元データ_加工!$B$2:$B$700,L$5)</f>
        <v>0</v>
      </c>
      <c r="M142" s="26">
        <f>SUMIFS(INDEX(元データ_加工!$C$2:$P$700,0,MATCH($B142,元データ_加工!$C$1:$P$1,0)),元データ_加工!$A$2:$A$700,$A142,元データ_加工!$B$2:$B$700,M$5)</f>
        <v>0</v>
      </c>
      <c r="N142" s="26">
        <f>SUMIFS(INDEX(元データ_加工!$C$2:$P$700,0,MATCH($B142,元データ_加工!$C$1:$P$1,0)),元データ_加工!$A$2:$A$700,$A142,元データ_加工!$B$2:$B$700,N$5)</f>
        <v>0</v>
      </c>
      <c r="O142" s="26">
        <f t="shared" si="2"/>
        <v>0</v>
      </c>
      <c r="P142" s="7">
        <f>IFERROR(O142/SUMIFS(元データ_加工!$C$2:$C$700,元データ_加工!$A$2:$A$700,$A142),"")</f>
        <v>0</v>
      </c>
    </row>
    <row r="143" spans="1:16" x14ac:dyDescent="0.45">
      <c r="A143" t="s">
        <v>44</v>
      </c>
      <c r="B143" t="s">
        <v>111</v>
      </c>
      <c r="C143" s="26">
        <f>SUMIFS(INDEX(元データ_加工!$C$2:$P$700,0,MATCH($B143,元データ_加工!$C$1:$P$1,0)),元データ_加工!$A$2:$A$700,$A143,元データ_加工!$B$2:$B$700,C$5)</f>
        <v>3</v>
      </c>
      <c r="D143" s="26">
        <f>SUMIFS(INDEX(元データ_加工!$C$2:$P$700,0,MATCH($B143,元データ_加工!$C$1:$P$1,0)),元データ_加工!$A$2:$A$700,$A143,元データ_加工!$B$2:$B$700,D$5)</f>
        <v>0</v>
      </c>
      <c r="E143" s="26">
        <f>SUMIFS(INDEX(元データ_加工!$C$2:$P$700,0,MATCH($B143,元データ_加工!$C$1:$P$1,0)),元データ_加工!$A$2:$A$700,$A143,元データ_加工!$B$2:$B$700,E$5)</f>
        <v>0</v>
      </c>
      <c r="F143" s="26">
        <f>SUMIFS(INDEX(元データ_加工!$C$2:$P$700,0,MATCH($B143,元データ_加工!$C$1:$P$1,0)),元データ_加工!$A$2:$A$700,$A143,元データ_加工!$B$2:$B$700,F$5)</f>
        <v>0</v>
      </c>
      <c r="G143" s="26">
        <f>SUMIFS(INDEX(元データ_加工!$C$2:$P$700,0,MATCH($B143,元データ_加工!$C$1:$P$1,0)),元データ_加工!$A$2:$A$700,$A143,元データ_加工!$B$2:$B$700,G$5)</f>
        <v>0</v>
      </c>
      <c r="H143" s="26">
        <f>SUMIFS(INDEX(元データ_加工!$C$2:$P$700,0,MATCH($B143,元データ_加工!$C$1:$P$1,0)),元データ_加工!$A$2:$A$700,$A143,元データ_加工!$B$2:$B$700,H$5)</f>
        <v>0</v>
      </c>
      <c r="I143" s="26">
        <f>SUMIFS(INDEX(元データ_加工!$C$2:$P$700,0,MATCH($B143,元データ_加工!$C$1:$P$1,0)),元データ_加工!$A$2:$A$700,$A143,元データ_加工!$B$2:$B$700,I$5)</f>
        <v>0</v>
      </c>
      <c r="J143" s="26">
        <f>SUMIFS(INDEX(元データ_加工!$C$2:$P$700,0,MATCH($B143,元データ_加工!$C$1:$P$1,0)),元データ_加工!$A$2:$A$700,$A143,元データ_加工!$B$2:$B$700,J$5)</f>
        <v>0</v>
      </c>
      <c r="K143" s="26">
        <f>SUMIFS(INDEX(元データ_加工!$C$2:$P$700,0,MATCH($B143,元データ_加工!$C$1:$P$1,0)),元データ_加工!$A$2:$A$700,$A143,元データ_加工!$B$2:$B$700,K$5)</f>
        <v>4</v>
      </c>
      <c r="L143" s="26">
        <f>SUMIFS(INDEX(元データ_加工!$C$2:$P$700,0,MATCH($B143,元データ_加工!$C$1:$P$1,0)),元データ_加工!$A$2:$A$700,$A143,元データ_加工!$B$2:$B$700,L$5)</f>
        <v>0</v>
      </c>
      <c r="M143" s="26">
        <f>SUMIFS(INDEX(元データ_加工!$C$2:$P$700,0,MATCH($B143,元データ_加工!$C$1:$P$1,0)),元データ_加工!$A$2:$A$700,$A143,元データ_加工!$B$2:$B$700,M$5)</f>
        <v>2</v>
      </c>
      <c r="N143" s="26">
        <f>SUMIFS(INDEX(元データ_加工!$C$2:$P$700,0,MATCH($B143,元データ_加工!$C$1:$P$1,0)),元データ_加工!$A$2:$A$700,$A143,元データ_加工!$B$2:$B$700,N$5)</f>
        <v>0</v>
      </c>
      <c r="O143" s="26">
        <f t="shared" si="2"/>
        <v>9</v>
      </c>
      <c r="P143" s="7">
        <f>IFERROR(O143/SUMIFS(元データ_加工!$C$2:$C$700,元データ_加工!$A$2:$A$700,$A143),"")</f>
        <v>2.8659682195968539E-4</v>
      </c>
    </row>
    <row r="144" spans="1:16" x14ac:dyDescent="0.45">
      <c r="A144" t="s">
        <v>44</v>
      </c>
      <c r="B144" t="s">
        <v>112</v>
      </c>
      <c r="C144" s="26">
        <f>SUMIFS(INDEX(元データ_加工!$C$2:$P$700,0,MATCH($B144,元データ_加工!$C$1:$P$1,0)),元データ_加工!$A$2:$A$700,$A144,元データ_加工!$B$2:$B$700,C$5)</f>
        <v>0</v>
      </c>
      <c r="D144" s="26">
        <f>SUMIFS(INDEX(元データ_加工!$C$2:$P$700,0,MATCH($B144,元データ_加工!$C$1:$P$1,0)),元データ_加工!$A$2:$A$700,$A144,元データ_加工!$B$2:$B$700,D$5)</f>
        <v>0</v>
      </c>
      <c r="E144" s="26">
        <f>SUMIFS(INDEX(元データ_加工!$C$2:$P$700,0,MATCH($B144,元データ_加工!$C$1:$P$1,0)),元データ_加工!$A$2:$A$700,$A144,元データ_加工!$B$2:$B$700,E$5)</f>
        <v>0</v>
      </c>
      <c r="F144" s="26">
        <f>SUMIFS(INDEX(元データ_加工!$C$2:$P$700,0,MATCH($B144,元データ_加工!$C$1:$P$1,0)),元データ_加工!$A$2:$A$700,$A144,元データ_加工!$B$2:$B$700,F$5)</f>
        <v>2</v>
      </c>
      <c r="G144" s="26">
        <f>SUMIFS(INDEX(元データ_加工!$C$2:$P$700,0,MATCH($B144,元データ_加工!$C$1:$P$1,0)),元データ_加工!$A$2:$A$700,$A144,元データ_加工!$B$2:$B$700,G$5)</f>
        <v>0</v>
      </c>
      <c r="H144" s="26">
        <f>SUMIFS(INDEX(元データ_加工!$C$2:$P$700,0,MATCH($B144,元データ_加工!$C$1:$P$1,0)),元データ_加工!$A$2:$A$700,$A144,元データ_加工!$B$2:$B$700,H$5)</f>
        <v>0</v>
      </c>
      <c r="I144" s="26">
        <f>SUMIFS(INDEX(元データ_加工!$C$2:$P$700,0,MATCH($B144,元データ_加工!$C$1:$P$1,0)),元データ_加工!$A$2:$A$700,$A144,元データ_加工!$B$2:$B$700,I$5)</f>
        <v>1</v>
      </c>
      <c r="J144" s="26">
        <f>SUMIFS(INDEX(元データ_加工!$C$2:$P$700,0,MATCH($B144,元データ_加工!$C$1:$P$1,0)),元データ_加工!$A$2:$A$700,$A144,元データ_加工!$B$2:$B$700,J$5)</f>
        <v>0</v>
      </c>
      <c r="K144" s="26">
        <f>SUMIFS(INDEX(元データ_加工!$C$2:$P$700,0,MATCH($B144,元データ_加工!$C$1:$P$1,0)),元データ_加工!$A$2:$A$700,$A144,元データ_加工!$B$2:$B$700,K$5)</f>
        <v>5</v>
      </c>
      <c r="L144" s="26">
        <f>SUMIFS(INDEX(元データ_加工!$C$2:$P$700,0,MATCH($B144,元データ_加工!$C$1:$P$1,0)),元データ_加工!$A$2:$A$700,$A144,元データ_加工!$B$2:$B$700,L$5)</f>
        <v>0</v>
      </c>
      <c r="M144" s="26">
        <f>SUMIFS(INDEX(元データ_加工!$C$2:$P$700,0,MATCH($B144,元データ_加工!$C$1:$P$1,0)),元データ_加工!$A$2:$A$700,$A144,元データ_加工!$B$2:$B$700,M$5)</f>
        <v>0</v>
      </c>
      <c r="N144" s="26">
        <f>SUMIFS(INDEX(元データ_加工!$C$2:$P$700,0,MATCH($B144,元データ_加工!$C$1:$P$1,0)),元データ_加工!$A$2:$A$700,$A144,元データ_加工!$B$2:$B$700,N$5)</f>
        <v>0</v>
      </c>
      <c r="O144" s="26">
        <f t="shared" si="2"/>
        <v>8</v>
      </c>
      <c r="P144" s="7">
        <f>IFERROR(O144/SUMIFS(元データ_加工!$C$2:$C$700,元データ_加工!$A$2:$A$700,$A144),"")</f>
        <v>2.5475273063083146E-4</v>
      </c>
    </row>
    <row r="145" spans="1:16" x14ac:dyDescent="0.45">
      <c r="A145" t="s">
        <v>44</v>
      </c>
      <c r="B145" t="s">
        <v>113</v>
      </c>
      <c r="C145" s="26">
        <f>SUMIFS(INDEX(元データ_加工!$C$2:$P$700,0,MATCH($B145,元データ_加工!$C$1:$P$1,0)),元データ_加工!$A$2:$A$700,$A145,元データ_加工!$B$2:$B$700,C$5)</f>
        <v>0</v>
      </c>
      <c r="D145" s="26">
        <f>SUMIFS(INDEX(元データ_加工!$C$2:$P$700,0,MATCH($B145,元データ_加工!$C$1:$P$1,0)),元データ_加工!$A$2:$A$700,$A145,元データ_加工!$B$2:$B$700,D$5)</f>
        <v>0</v>
      </c>
      <c r="E145" s="26">
        <f>SUMIFS(INDEX(元データ_加工!$C$2:$P$700,0,MATCH($B145,元データ_加工!$C$1:$P$1,0)),元データ_加工!$A$2:$A$700,$A145,元データ_加工!$B$2:$B$700,E$5)</f>
        <v>0</v>
      </c>
      <c r="F145" s="26">
        <f>SUMIFS(INDEX(元データ_加工!$C$2:$P$700,0,MATCH($B145,元データ_加工!$C$1:$P$1,0)),元データ_加工!$A$2:$A$700,$A145,元データ_加工!$B$2:$B$700,F$5)</f>
        <v>0</v>
      </c>
      <c r="G145" s="26">
        <f>SUMIFS(INDEX(元データ_加工!$C$2:$P$700,0,MATCH($B145,元データ_加工!$C$1:$P$1,0)),元データ_加工!$A$2:$A$700,$A145,元データ_加工!$B$2:$B$700,G$5)</f>
        <v>0</v>
      </c>
      <c r="H145" s="26">
        <f>SUMIFS(INDEX(元データ_加工!$C$2:$P$700,0,MATCH($B145,元データ_加工!$C$1:$P$1,0)),元データ_加工!$A$2:$A$700,$A145,元データ_加工!$B$2:$B$700,H$5)</f>
        <v>0</v>
      </c>
      <c r="I145" s="26">
        <f>SUMIFS(INDEX(元データ_加工!$C$2:$P$700,0,MATCH($B145,元データ_加工!$C$1:$P$1,0)),元データ_加工!$A$2:$A$700,$A145,元データ_加工!$B$2:$B$700,I$5)</f>
        <v>0</v>
      </c>
      <c r="J145" s="26">
        <f>SUMIFS(INDEX(元データ_加工!$C$2:$P$700,0,MATCH($B145,元データ_加工!$C$1:$P$1,0)),元データ_加工!$A$2:$A$700,$A145,元データ_加工!$B$2:$B$700,J$5)</f>
        <v>0</v>
      </c>
      <c r="K145" s="26">
        <f>SUMIFS(INDEX(元データ_加工!$C$2:$P$700,0,MATCH($B145,元データ_加工!$C$1:$P$1,0)),元データ_加工!$A$2:$A$700,$A145,元データ_加工!$B$2:$B$700,K$5)</f>
        <v>0</v>
      </c>
      <c r="L145" s="26">
        <f>SUMIFS(INDEX(元データ_加工!$C$2:$P$700,0,MATCH($B145,元データ_加工!$C$1:$P$1,0)),元データ_加工!$A$2:$A$700,$A145,元データ_加工!$B$2:$B$700,L$5)</f>
        <v>0</v>
      </c>
      <c r="M145" s="26">
        <f>SUMIFS(INDEX(元データ_加工!$C$2:$P$700,0,MATCH($B145,元データ_加工!$C$1:$P$1,0)),元データ_加工!$A$2:$A$700,$A145,元データ_加工!$B$2:$B$700,M$5)</f>
        <v>0</v>
      </c>
      <c r="N145" s="26">
        <f>SUMIFS(INDEX(元データ_加工!$C$2:$P$700,0,MATCH($B145,元データ_加工!$C$1:$P$1,0)),元データ_加工!$A$2:$A$700,$A145,元データ_加工!$B$2:$B$700,N$5)</f>
        <v>0</v>
      </c>
      <c r="O145" s="26">
        <f t="shared" si="2"/>
        <v>0</v>
      </c>
      <c r="P145" s="7">
        <f>IFERROR(O145/SUMIFS(元データ_加工!$C$2:$C$700,元データ_加工!$A$2:$A$700,$A145),"")</f>
        <v>0</v>
      </c>
    </row>
    <row r="146" spans="1:16" x14ac:dyDescent="0.45">
      <c r="A146" t="s">
        <v>45</v>
      </c>
      <c r="B146" t="s">
        <v>100</v>
      </c>
      <c r="C146" s="26">
        <f>SUMIFS(INDEX(元データ_加工!$C$2:$P$700,0,MATCH($B146,元データ_加工!$C$1:$P$1,0)),元データ_加工!$A$2:$A$700,$A146,元データ_加工!$B$2:$B$700,C$5)</f>
        <v>1008</v>
      </c>
      <c r="D146" s="26">
        <f>SUMIFS(INDEX(元データ_加工!$C$2:$P$700,0,MATCH($B146,元データ_加工!$C$1:$P$1,0)),元データ_加工!$A$2:$A$700,$A146,元データ_加工!$B$2:$B$700,D$5)</f>
        <v>1231</v>
      </c>
      <c r="E146" s="26">
        <f>SUMIFS(INDEX(元データ_加工!$C$2:$P$700,0,MATCH($B146,元データ_加工!$C$1:$P$1,0)),元データ_加工!$A$2:$A$700,$A146,元データ_加工!$B$2:$B$700,E$5)</f>
        <v>1810</v>
      </c>
      <c r="F146" s="26">
        <f>SUMIFS(INDEX(元データ_加工!$C$2:$P$700,0,MATCH($B146,元データ_加工!$C$1:$P$1,0)),元データ_加工!$A$2:$A$700,$A146,元データ_加工!$B$2:$B$700,F$5)</f>
        <v>1591</v>
      </c>
      <c r="G146" s="26">
        <f>SUMIFS(INDEX(元データ_加工!$C$2:$P$700,0,MATCH($B146,元データ_加工!$C$1:$P$1,0)),元データ_加工!$A$2:$A$700,$A146,元データ_加工!$B$2:$B$700,G$5)</f>
        <v>1402</v>
      </c>
      <c r="H146" s="26">
        <f>SUMIFS(INDEX(元データ_加工!$C$2:$P$700,0,MATCH($B146,元データ_加工!$C$1:$P$1,0)),元データ_加工!$A$2:$A$700,$A146,元データ_加工!$B$2:$B$700,H$5)</f>
        <v>1041</v>
      </c>
      <c r="I146" s="26">
        <f>SUMIFS(INDEX(元データ_加工!$C$2:$P$700,0,MATCH($B146,元データ_加工!$C$1:$P$1,0)),元データ_加工!$A$2:$A$700,$A146,元データ_加工!$B$2:$B$700,I$5)</f>
        <v>947</v>
      </c>
      <c r="J146" s="26">
        <f>SUMIFS(INDEX(元データ_加工!$C$2:$P$700,0,MATCH($B146,元データ_加工!$C$1:$P$1,0)),元データ_加工!$A$2:$A$700,$A146,元データ_加工!$B$2:$B$700,J$5)</f>
        <v>1671</v>
      </c>
      <c r="K146" s="26">
        <f>SUMIFS(INDEX(元データ_加工!$C$2:$P$700,0,MATCH($B146,元データ_加工!$C$1:$P$1,0)),元データ_加工!$A$2:$A$700,$A146,元データ_加工!$B$2:$B$700,K$5)</f>
        <v>2961</v>
      </c>
      <c r="L146" s="26">
        <f>SUMIFS(INDEX(元データ_加工!$C$2:$P$700,0,MATCH($B146,元データ_加工!$C$1:$P$1,0)),元データ_加工!$A$2:$A$700,$A146,元データ_加工!$B$2:$B$700,L$5)</f>
        <v>1691</v>
      </c>
      <c r="M146" s="26">
        <f>SUMIFS(INDEX(元データ_加工!$C$2:$P$700,0,MATCH($B146,元データ_加工!$C$1:$P$1,0)),元データ_加工!$A$2:$A$700,$A146,元データ_加工!$B$2:$B$700,M$5)</f>
        <v>1617</v>
      </c>
      <c r="N146" s="26">
        <f>SUMIFS(INDEX(元データ_加工!$C$2:$P$700,0,MATCH($B146,元データ_加工!$C$1:$P$1,0)),元データ_加工!$A$2:$A$700,$A146,元データ_加工!$B$2:$B$700,N$5)</f>
        <v>1556</v>
      </c>
      <c r="O146" s="26">
        <f t="shared" si="2"/>
        <v>18526</v>
      </c>
      <c r="P146" s="7">
        <f>IFERROR(O146/SUMIFS(元データ_加工!$C$2:$C$700,元データ_加工!$A$2:$A$700,$A146),"")</f>
        <v>1</v>
      </c>
    </row>
    <row r="147" spans="1:16" x14ac:dyDescent="0.45">
      <c r="A147" t="s">
        <v>45</v>
      </c>
      <c r="B147" t="s">
        <v>101</v>
      </c>
      <c r="C147" s="26">
        <f>SUMIFS(INDEX(元データ_加工!$C$2:$P$700,0,MATCH($B147,元データ_加工!$C$1:$P$1,0)),元データ_加工!$A$2:$A$700,$A147,元データ_加工!$B$2:$B$700,C$5)</f>
        <v>697</v>
      </c>
      <c r="D147" s="26">
        <f>SUMIFS(INDEX(元データ_加工!$C$2:$P$700,0,MATCH($B147,元データ_加工!$C$1:$P$1,0)),元データ_加工!$A$2:$A$700,$A147,元データ_加工!$B$2:$B$700,D$5)</f>
        <v>808</v>
      </c>
      <c r="E147" s="26">
        <f>SUMIFS(INDEX(元データ_加工!$C$2:$P$700,0,MATCH($B147,元データ_加工!$C$1:$P$1,0)),元データ_加工!$A$2:$A$700,$A147,元データ_加工!$B$2:$B$700,E$5)</f>
        <v>947</v>
      </c>
      <c r="F147" s="26">
        <f>SUMIFS(INDEX(元データ_加工!$C$2:$P$700,0,MATCH($B147,元データ_加工!$C$1:$P$1,0)),元データ_加工!$A$2:$A$700,$A147,元データ_加工!$B$2:$B$700,F$5)</f>
        <v>782</v>
      </c>
      <c r="G147" s="26">
        <f>SUMIFS(INDEX(元データ_加工!$C$2:$P$700,0,MATCH($B147,元データ_加工!$C$1:$P$1,0)),元データ_加工!$A$2:$A$700,$A147,元データ_加工!$B$2:$B$700,G$5)</f>
        <v>879</v>
      </c>
      <c r="H147" s="26">
        <f>SUMIFS(INDEX(元データ_加工!$C$2:$P$700,0,MATCH($B147,元データ_加工!$C$1:$P$1,0)),元データ_加工!$A$2:$A$700,$A147,元データ_加工!$B$2:$B$700,H$5)</f>
        <v>664</v>
      </c>
      <c r="I147" s="26">
        <f>SUMIFS(INDEX(元データ_加工!$C$2:$P$700,0,MATCH($B147,元データ_加工!$C$1:$P$1,0)),元データ_加工!$A$2:$A$700,$A147,元データ_加工!$B$2:$B$700,I$5)</f>
        <v>666</v>
      </c>
      <c r="J147" s="26">
        <f>SUMIFS(INDEX(元データ_加工!$C$2:$P$700,0,MATCH($B147,元データ_加工!$C$1:$P$1,0)),元データ_加工!$A$2:$A$700,$A147,元データ_加工!$B$2:$B$700,J$5)</f>
        <v>786</v>
      </c>
      <c r="K147" s="26">
        <f>SUMIFS(INDEX(元データ_加工!$C$2:$P$700,0,MATCH($B147,元データ_加工!$C$1:$P$1,0)),元データ_加工!$A$2:$A$700,$A147,元データ_加工!$B$2:$B$700,K$5)</f>
        <v>723</v>
      </c>
      <c r="L147" s="26">
        <f>SUMIFS(INDEX(元データ_加工!$C$2:$P$700,0,MATCH($B147,元データ_加工!$C$1:$P$1,0)),元データ_加工!$A$2:$A$700,$A147,元データ_加工!$B$2:$B$700,L$5)</f>
        <v>700</v>
      </c>
      <c r="M147" s="26">
        <f>SUMIFS(INDEX(元データ_加工!$C$2:$P$700,0,MATCH($B147,元データ_加工!$C$1:$P$1,0)),元データ_加工!$A$2:$A$700,$A147,元データ_加工!$B$2:$B$700,M$5)</f>
        <v>763</v>
      </c>
      <c r="N147" s="26">
        <f>SUMIFS(INDEX(元データ_加工!$C$2:$P$700,0,MATCH($B147,元データ_加工!$C$1:$P$1,0)),元データ_加工!$A$2:$A$700,$A147,元データ_加工!$B$2:$B$700,N$5)</f>
        <v>777</v>
      </c>
      <c r="O147" s="26">
        <f t="shared" si="2"/>
        <v>9192</v>
      </c>
      <c r="P147" s="7">
        <f>IFERROR(O147/SUMIFS(元データ_加工!$C$2:$C$700,元データ_加工!$A$2:$A$700,$A147),"")</f>
        <v>0.49616754831048254</v>
      </c>
    </row>
    <row r="148" spans="1:16" x14ac:dyDescent="0.45">
      <c r="A148" t="s">
        <v>45</v>
      </c>
      <c r="B148" t="s">
        <v>102</v>
      </c>
      <c r="C148" s="26">
        <f>SUMIFS(INDEX(元データ_加工!$C$2:$P$700,0,MATCH($B148,元データ_加工!$C$1:$P$1,0)),元データ_加工!$A$2:$A$700,$A148,元データ_加工!$B$2:$B$700,C$5)</f>
        <v>0</v>
      </c>
      <c r="D148" s="26">
        <f>SUMIFS(INDEX(元データ_加工!$C$2:$P$700,0,MATCH($B148,元データ_加工!$C$1:$P$1,0)),元データ_加工!$A$2:$A$700,$A148,元データ_加工!$B$2:$B$700,D$5)</f>
        <v>0</v>
      </c>
      <c r="E148" s="26">
        <f>SUMIFS(INDEX(元データ_加工!$C$2:$P$700,0,MATCH($B148,元データ_加工!$C$1:$P$1,0)),元データ_加工!$A$2:$A$700,$A148,元データ_加工!$B$2:$B$700,E$5)</f>
        <v>0</v>
      </c>
      <c r="F148" s="26">
        <f>SUMIFS(INDEX(元データ_加工!$C$2:$P$700,0,MATCH($B148,元データ_加工!$C$1:$P$1,0)),元データ_加工!$A$2:$A$700,$A148,元データ_加工!$B$2:$B$700,F$5)</f>
        <v>0</v>
      </c>
      <c r="G148" s="26">
        <f>SUMIFS(INDEX(元データ_加工!$C$2:$P$700,0,MATCH($B148,元データ_加工!$C$1:$P$1,0)),元データ_加工!$A$2:$A$700,$A148,元データ_加工!$B$2:$B$700,G$5)</f>
        <v>0</v>
      </c>
      <c r="H148" s="26">
        <f>SUMIFS(INDEX(元データ_加工!$C$2:$P$700,0,MATCH($B148,元データ_加工!$C$1:$P$1,0)),元データ_加工!$A$2:$A$700,$A148,元データ_加工!$B$2:$B$700,H$5)</f>
        <v>0</v>
      </c>
      <c r="I148" s="26">
        <f>SUMIFS(INDEX(元データ_加工!$C$2:$P$700,0,MATCH($B148,元データ_加工!$C$1:$P$1,0)),元データ_加工!$A$2:$A$700,$A148,元データ_加工!$B$2:$B$700,I$5)</f>
        <v>0</v>
      </c>
      <c r="J148" s="26">
        <f>SUMIFS(INDEX(元データ_加工!$C$2:$P$700,0,MATCH($B148,元データ_加工!$C$1:$P$1,0)),元データ_加工!$A$2:$A$700,$A148,元データ_加工!$B$2:$B$700,J$5)</f>
        <v>2</v>
      </c>
      <c r="K148" s="26">
        <f>SUMIFS(INDEX(元データ_加工!$C$2:$P$700,0,MATCH($B148,元データ_加工!$C$1:$P$1,0)),元データ_加工!$A$2:$A$700,$A148,元データ_加工!$B$2:$B$700,K$5)</f>
        <v>0</v>
      </c>
      <c r="L148" s="26">
        <f>SUMIFS(INDEX(元データ_加工!$C$2:$P$700,0,MATCH($B148,元データ_加工!$C$1:$P$1,0)),元データ_加工!$A$2:$A$700,$A148,元データ_加工!$B$2:$B$700,L$5)</f>
        <v>0</v>
      </c>
      <c r="M148" s="26">
        <f>SUMIFS(INDEX(元データ_加工!$C$2:$P$700,0,MATCH($B148,元データ_加工!$C$1:$P$1,0)),元データ_加工!$A$2:$A$700,$A148,元データ_加工!$B$2:$B$700,M$5)</f>
        <v>0</v>
      </c>
      <c r="N148" s="26">
        <f>SUMIFS(INDEX(元データ_加工!$C$2:$P$700,0,MATCH($B148,元データ_加工!$C$1:$P$1,0)),元データ_加工!$A$2:$A$700,$A148,元データ_加工!$B$2:$B$700,N$5)</f>
        <v>0</v>
      </c>
      <c r="O148" s="26">
        <f t="shared" si="2"/>
        <v>2</v>
      </c>
      <c r="P148" s="7">
        <f>IFERROR(O148/SUMIFS(元データ_加工!$C$2:$C$700,元データ_加工!$A$2:$A$700,$A148),"")</f>
        <v>1.0795638562020944E-4</v>
      </c>
    </row>
    <row r="149" spans="1:16" x14ac:dyDescent="0.45">
      <c r="A149" t="s">
        <v>45</v>
      </c>
      <c r="B149" t="s">
        <v>103</v>
      </c>
      <c r="C149" s="26">
        <f>SUMIFS(INDEX(元データ_加工!$C$2:$P$700,0,MATCH($B149,元データ_加工!$C$1:$P$1,0)),元データ_加工!$A$2:$A$700,$A149,元データ_加工!$B$2:$B$700,C$5)</f>
        <v>0</v>
      </c>
      <c r="D149" s="26">
        <f>SUMIFS(INDEX(元データ_加工!$C$2:$P$700,0,MATCH($B149,元データ_加工!$C$1:$P$1,0)),元データ_加工!$A$2:$A$700,$A149,元データ_加工!$B$2:$B$700,D$5)</f>
        <v>0</v>
      </c>
      <c r="E149" s="26">
        <f>SUMIFS(INDEX(元データ_加工!$C$2:$P$700,0,MATCH($B149,元データ_加工!$C$1:$P$1,0)),元データ_加工!$A$2:$A$700,$A149,元データ_加工!$B$2:$B$700,E$5)</f>
        <v>0</v>
      </c>
      <c r="F149" s="26">
        <f>SUMIFS(INDEX(元データ_加工!$C$2:$P$700,0,MATCH($B149,元データ_加工!$C$1:$P$1,0)),元データ_加工!$A$2:$A$700,$A149,元データ_加工!$B$2:$B$700,F$5)</f>
        <v>8</v>
      </c>
      <c r="G149" s="26">
        <f>SUMIFS(INDEX(元データ_加工!$C$2:$P$700,0,MATCH($B149,元データ_加工!$C$1:$P$1,0)),元データ_加工!$A$2:$A$700,$A149,元データ_加工!$B$2:$B$700,G$5)</f>
        <v>1</v>
      </c>
      <c r="H149" s="26">
        <f>SUMIFS(INDEX(元データ_加工!$C$2:$P$700,0,MATCH($B149,元データ_加工!$C$1:$P$1,0)),元データ_加工!$A$2:$A$700,$A149,元データ_加工!$B$2:$B$700,H$5)</f>
        <v>9</v>
      </c>
      <c r="I149" s="26">
        <f>SUMIFS(INDEX(元データ_加工!$C$2:$P$700,0,MATCH($B149,元データ_加工!$C$1:$P$1,0)),元データ_加工!$A$2:$A$700,$A149,元データ_加工!$B$2:$B$700,I$5)</f>
        <v>10</v>
      </c>
      <c r="J149" s="26">
        <f>SUMIFS(INDEX(元データ_加工!$C$2:$P$700,0,MATCH($B149,元データ_加工!$C$1:$P$1,0)),元データ_加工!$A$2:$A$700,$A149,元データ_加工!$B$2:$B$700,J$5)</f>
        <v>3</v>
      </c>
      <c r="K149" s="26">
        <f>SUMIFS(INDEX(元データ_加工!$C$2:$P$700,0,MATCH($B149,元データ_加工!$C$1:$P$1,0)),元データ_加工!$A$2:$A$700,$A149,元データ_加工!$B$2:$B$700,K$5)</f>
        <v>0</v>
      </c>
      <c r="L149" s="26">
        <f>SUMIFS(INDEX(元データ_加工!$C$2:$P$700,0,MATCH($B149,元データ_加工!$C$1:$P$1,0)),元データ_加工!$A$2:$A$700,$A149,元データ_加工!$B$2:$B$700,L$5)</f>
        <v>0</v>
      </c>
      <c r="M149" s="26">
        <f>SUMIFS(INDEX(元データ_加工!$C$2:$P$700,0,MATCH($B149,元データ_加工!$C$1:$P$1,0)),元データ_加工!$A$2:$A$700,$A149,元データ_加工!$B$2:$B$700,M$5)</f>
        <v>0</v>
      </c>
      <c r="N149" s="26">
        <f>SUMIFS(INDEX(元データ_加工!$C$2:$P$700,0,MATCH($B149,元データ_加工!$C$1:$P$1,0)),元データ_加工!$A$2:$A$700,$A149,元データ_加工!$B$2:$B$700,N$5)</f>
        <v>0</v>
      </c>
      <c r="O149" s="26">
        <f t="shared" si="2"/>
        <v>31</v>
      </c>
      <c r="P149" s="7">
        <f>IFERROR(O149/SUMIFS(元データ_加工!$C$2:$C$700,元データ_加工!$A$2:$A$700,$A149),"")</f>
        <v>1.6733239771132462E-3</v>
      </c>
    </row>
    <row r="150" spans="1:16" x14ac:dyDescent="0.45">
      <c r="A150" t="s">
        <v>45</v>
      </c>
      <c r="B150" t="s">
        <v>104</v>
      </c>
      <c r="C150" s="26">
        <f>SUMIFS(INDEX(元データ_加工!$C$2:$P$700,0,MATCH($B150,元データ_加工!$C$1:$P$1,0)),元データ_加工!$A$2:$A$700,$A150,元データ_加工!$B$2:$B$700,C$5)</f>
        <v>16</v>
      </c>
      <c r="D150" s="26">
        <f>SUMIFS(INDEX(元データ_加工!$C$2:$P$700,0,MATCH($B150,元データ_加工!$C$1:$P$1,0)),元データ_加工!$A$2:$A$700,$A150,元データ_加工!$B$2:$B$700,D$5)</f>
        <v>15</v>
      </c>
      <c r="E150" s="26">
        <f>SUMIFS(INDEX(元データ_加工!$C$2:$P$700,0,MATCH($B150,元データ_加工!$C$1:$P$1,0)),元データ_加工!$A$2:$A$700,$A150,元データ_加工!$B$2:$B$700,E$5)</f>
        <v>29</v>
      </c>
      <c r="F150" s="26">
        <f>SUMIFS(INDEX(元データ_加工!$C$2:$P$700,0,MATCH($B150,元データ_加工!$C$1:$P$1,0)),元データ_加工!$A$2:$A$700,$A150,元データ_加工!$B$2:$B$700,F$5)</f>
        <v>27</v>
      </c>
      <c r="G150" s="26">
        <f>SUMIFS(INDEX(元データ_加工!$C$2:$P$700,0,MATCH($B150,元データ_加工!$C$1:$P$1,0)),元データ_加工!$A$2:$A$700,$A150,元データ_加工!$B$2:$B$700,G$5)</f>
        <v>20</v>
      </c>
      <c r="H150" s="26">
        <f>SUMIFS(INDEX(元データ_加工!$C$2:$P$700,0,MATCH($B150,元データ_加工!$C$1:$P$1,0)),元データ_加工!$A$2:$A$700,$A150,元データ_加工!$B$2:$B$700,H$5)</f>
        <v>11</v>
      </c>
      <c r="I150" s="26">
        <f>SUMIFS(INDEX(元データ_加工!$C$2:$P$700,0,MATCH($B150,元データ_加工!$C$1:$P$1,0)),元データ_加工!$A$2:$A$700,$A150,元データ_加工!$B$2:$B$700,I$5)</f>
        <v>29</v>
      </c>
      <c r="J150" s="26">
        <f>SUMIFS(INDEX(元データ_加工!$C$2:$P$700,0,MATCH($B150,元データ_加工!$C$1:$P$1,0)),元データ_加工!$A$2:$A$700,$A150,元データ_加工!$B$2:$B$700,J$5)</f>
        <v>39</v>
      </c>
      <c r="K150" s="26">
        <f>SUMIFS(INDEX(元データ_加工!$C$2:$P$700,0,MATCH($B150,元データ_加工!$C$1:$P$1,0)),元データ_加工!$A$2:$A$700,$A150,元データ_加工!$B$2:$B$700,K$5)</f>
        <v>51</v>
      </c>
      <c r="L150" s="26">
        <f>SUMIFS(INDEX(元データ_加工!$C$2:$P$700,0,MATCH($B150,元データ_加工!$C$1:$P$1,0)),元データ_加工!$A$2:$A$700,$A150,元データ_加工!$B$2:$B$700,L$5)</f>
        <v>37</v>
      </c>
      <c r="M150" s="26">
        <f>SUMIFS(INDEX(元データ_加工!$C$2:$P$700,0,MATCH($B150,元データ_加工!$C$1:$P$1,0)),元データ_加工!$A$2:$A$700,$A150,元データ_加工!$B$2:$B$700,M$5)</f>
        <v>45</v>
      </c>
      <c r="N150" s="26">
        <f>SUMIFS(INDEX(元データ_加工!$C$2:$P$700,0,MATCH($B150,元データ_加工!$C$1:$P$1,0)),元データ_加工!$A$2:$A$700,$A150,元データ_加工!$B$2:$B$700,N$5)</f>
        <v>21</v>
      </c>
      <c r="O150" s="26">
        <f t="shared" si="2"/>
        <v>340</v>
      </c>
      <c r="P150" s="7">
        <f>IFERROR(O150/SUMIFS(元データ_加工!$C$2:$C$700,元データ_加工!$A$2:$A$700,$A150),"")</f>
        <v>1.8352585555435605E-2</v>
      </c>
    </row>
    <row r="151" spans="1:16" x14ac:dyDescent="0.45">
      <c r="A151" t="s">
        <v>45</v>
      </c>
      <c r="B151" t="s">
        <v>105</v>
      </c>
      <c r="C151" s="26">
        <f>SUMIFS(INDEX(元データ_加工!$C$2:$P$700,0,MATCH($B151,元データ_加工!$C$1:$P$1,0)),元データ_加工!$A$2:$A$700,$A151,元データ_加工!$B$2:$B$700,C$5)</f>
        <v>0</v>
      </c>
      <c r="D151" s="26">
        <f>SUMIFS(INDEX(元データ_加工!$C$2:$P$700,0,MATCH($B151,元データ_加工!$C$1:$P$1,0)),元データ_加工!$A$2:$A$700,$A151,元データ_加工!$B$2:$B$700,D$5)</f>
        <v>0</v>
      </c>
      <c r="E151" s="26">
        <f>SUMIFS(INDEX(元データ_加工!$C$2:$P$700,0,MATCH($B151,元データ_加工!$C$1:$P$1,0)),元データ_加工!$A$2:$A$700,$A151,元データ_加工!$B$2:$B$700,E$5)</f>
        <v>0</v>
      </c>
      <c r="F151" s="26">
        <f>SUMIFS(INDEX(元データ_加工!$C$2:$P$700,0,MATCH($B151,元データ_加工!$C$1:$P$1,0)),元データ_加工!$A$2:$A$700,$A151,元データ_加工!$B$2:$B$700,F$5)</f>
        <v>3</v>
      </c>
      <c r="G151" s="26">
        <f>SUMIFS(INDEX(元データ_加工!$C$2:$P$700,0,MATCH($B151,元データ_加工!$C$1:$P$1,0)),元データ_加工!$A$2:$A$700,$A151,元データ_加工!$B$2:$B$700,G$5)</f>
        <v>1</v>
      </c>
      <c r="H151" s="26">
        <f>SUMIFS(INDEX(元データ_加工!$C$2:$P$700,0,MATCH($B151,元データ_加工!$C$1:$P$1,0)),元データ_加工!$A$2:$A$700,$A151,元データ_加工!$B$2:$B$700,H$5)</f>
        <v>0</v>
      </c>
      <c r="I151" s="26">
        <f>SUMIFS(INDEX(元データ_加工!$C$2:$P$700,0,MATCH($B151,元データ_加工!$C$1:$P$1,0)),元データ_加工!$A$2:$A$700,$A151,元データ_加工!$B$2:$B$700,I$5)</f>
        <v>1</v>
      </c>
      <c r="J151" s="26">
        <f>SUMIFS(INDEX(元データ_加工!$C$2:$P$700,0,MATCH($B151,元データ_加工!$C$1:$P$1,0)),元データ_加工!$A$2:$A$700,$A151,元データ_加工!$B$2:$B$700,J$5)</f>
        <v>11</v>
      </c>
      <c r="K151" s="26">
        <f>SUMIFS(INDEX(元データ_加工!$C$2:$P$700,0,MATCH($B151,元データ_加工!$C$1:$P$1,0)),元データ_加工!$A$2:$A$700,$A151,元データ_加工!$B$2:$B$700,K$5)</f>
        <v>29</v>
      </c>
      <c r="L151" s="26">
        <f>SUMIFS(INDEX(元データ_加工!$C$2:$P$700,0,MATCH($B151,元データ_加工!$C$1:$P$1,0)),元データ_加工!$A$2:$A$700,$A151,元データ_加工!$B$2:$B$700,L$5)</f>
        <v>17</v>
      </c>
      <c r="M151" s="26">
        <f>SUMIFS(INDEX(元データ_加工!$C$2:$P$700,0,MATCH($B151,元データ_加工!$C$1:$P$1,0)),元データ_加工!$A$2:$A$700,$A151,元データ_加工!$B$2:$B$700,M$5)</f>
        <v>11</v>
      </c>
      <c r="N151" s="26">
        <f>SUMIFS(INDEX(元データ_加工!$C$2:$P$700,0,MATCH($B151,元データ_加工!$C$1:$P$1,0)),元データ_加工!$A$2:$A$700,$A151,元データ_加工!$B$2:$B$700,N$5)</f>
        <v>2</v>
      </c>
      <c r="O151" s="26">
        <f t="shared" si="2"/>
        <v>75</v>
      </c>
      <c r="P151" s="7">
        <f>IFERROR(O151/SUMIFS(元データ_加工!$C$2:$C$700,元データ_加工!$A$2:$A$700,$A151),"")</f>
        <v>4.0483644607578542E-3</v>
      </c>
    </row>
    <row r="152" spans="1:16" x14ac:dyDescent="0.45">
      <c r="A152" t="s">
        <v>45</v>
      </c>
      <c r="B152" t="s">
        <v>106</v>
      </c>
      <c r="C152" s="26">
        <f>SUMIFS(INDEX(元データ_加工!$C$2:$P$700,0,MATCH($B152,元データ_加工!$C$1:$P$1,0)),元データ_加工!$A$2:$A$700,$A152,元データ_加工!$B$2:$B$700,C$5)</f>
        <v>129</v>
      </c>
      <c r="D152" s="26">
        <f>SUMIFS(INDEX(元データ_加工!$C$2:$P$700,0,MATCH($B152,元データ_加工!$C$1:$P$1,0)),元データ_加工!$A$2:$A$700,$A152,元データ_加工!$B$2:$B$700,D$5)</f>
        <v>137</v>
      </c>
      <c r="E152" s="26">
        <f>SUMIFS(INDEX(元データ_加工!$C$2:$P$700,0,MATCH($B152,元データ_加工!$C$1:$P$1,0)),元データ_加工!$A$2:$A$700,$A152,元データ_加工!$B$2:$B$700,E$5)</f>
        <v>175</v>
      </c>
      <c r="F152" s="26">
        <f>SUMIFS(INDEX(元データ_加工!$C$2:$P$700,0,MATCH($B152,元データ_加工!$C$1:$P$1,0)),元データ_加工!$A$2:$A$700,$A152,元データ_加工!$B$2:$B$700,F$5)</f>
        <v>130</v>
      </c>
      <c r="G152" s="26">
        <f>SUMIFS(INDEX(元データ_加工!$C$2:$P$700,0,MATCH($B152,元データ_加工!$C$1:$P$1,0)),元データ_加工!$A$2:$A$700,$A152,元データ_加工!$B$2:$B$700,G$5)</f>
        <v>81</v>
      </c>
      <c r="H152" s="26">
        <f>SUMIFS(INDEX(元データ_加工!$C$2:$P$700,0,MATCH($B152,元データ_加工!$C$1:$P$1,0)),元データ_加工!$A$2:$A$700,$A152,元データ_加工!$B$2:$B$700,H$5)</f>
        <v>90</v>
      </c>
      <c r="I152" s="26">
        <f>SUMIFS(INDEX(元データ_加工!$C$2:$P$700,0,MATCH($B152,元データ_加工!$C$1:$P$1,0)),元データ_加工!$A$2:$A$700,$A152,元データ_加工!$B$2:$B$700,I$5)</f>
        <v>42</v>
      </c>
      <c r="J152" s="26">
        <f>SUMIFS(INDEX(元データ_加工!$C$2:$P$700,0,MATCH($B152,元データ_加工!$C$1:$P$1,0)),元データ_加工!$A$2:$A$700,$A152,元データ_加工!$B$2:$B$700,J$5)</f>
        <v>104</v>
      </c>
      <c r="K152" s="26">
        <f>SUMIFS(INDEX(元データ_加工!$C$2:$P$700,0,MATCH($B152,元データ_加工!$C$1:$P$1,0)),元データ_加工!$A$2:$A$700,$A152,元データ_加工!$B$2:$B$700,K$5)</f>
        <v>83</v>
      </c>
      <c r="L152" s="26">
        <f>SUMIFS(INDEX(元データ_加工!$C$2:$P$700,0,MATCH($B152,元データ_加工!$C$1:$P$1,0)),元データ_加工!$A$2:$A$700,$A152,元データ_加工!$B$2:$B$700,L$5)</f>
        <v>118</v>
      </c>
      <c r="M152" s="26">
        <f>SUMIFS(INDEX(元データ_加工!$C$2:$P$700,0,MATCH($B152,元データ_加工!$C$1:$P$1,0)),元データ_加工!$A$2:$A$700,$A152,元データ_加工!$B$2:$B$700,M$5)</f>
        <v>81</v>
      </c>
      <c r="N152" s="26">
        <f>SUMIFS(INDEX(元データ_加工!$C$2:$P$700,0,MATCH($B152,元データ_加工!$C$1:$P$1,0)),元データ_加工!$A$2:$A$700,$A152,元データ_加工!$B$2:$B$700,N$5)</f>
        <v>140</v>
      </c>
      <c r="O152" s="26">
        <f t="shared" si="2"/>
        <v>1310</v>
      </c>
      <c r="P152" s="7">
        <f>IFERROR(O152/SUMIFS(元データ_加工!$C$2:$C$700,元データ_加工!$A$2:$A$700,$A152),"")</f>
        <v>7.0711432581237174E-2</v>
      </c>
    </row>
    <row r="153" spans="1:16" x14ac:dyDescent="0.45">
      <c r="A153" t="s">
        <v>45</v>
      </c>
      <c r="B153" t="s">
        <v>107</v>
      </c>
      <c r="C153" s="26">
        <f>SUMIFS(INDEX(元データ_加工!$C$2:$P$700,0,MATCH($B153,元データ_加工!$C$1:$P$1,0)),元データ_加工!$A$2:$A$700,$A153,元データ_加工!$B$2:$B$700,C$5)</f>
        <v>26</v>
      </c>
      <c r="D153" s="26">
        <f>SUMIFS(INDEX(元データ_加工!$C$2:$P$700,0,MATCH($B153,元データ_加工!$C$1:$P$1,0)),元データ_加工!$A$2:$A$700,$A153,元データ_加工!$B$2:$B$700,D$5)</f>
        <v>20</v>
      </c>
      <c r="E153" s="26">
        <f>SUMIFS(INDEX(元データ_加工!$C$2:$P$700,0,MATCH($B153,元データ_加工!$C$1:$P$1,0)),元データ_加工!$A$2:$A$700,$A153,元データ_加工!$B$2:$B$700,E$5)</f>
        <v>44</v>
      </c>
      <c r="F153" s="26">
        <f>SUMIFS(INDEX(元データ_加工!$C$2:$P$700,0,MATCH($B153,元データ_加工!$C$1:$P$1,0)),元データ_加工!$A$2:$A$700,$A153,元データ_加工!$B$2:$B$700,F$5)</f>
        <v>14</v>
      </c>
      <c r="G153" s="26">
        <f>SUMIFS(INDEX(元データ_加工!$C$2:$P$700,0,MATCH($B153,元データ_加工!$C$1:$P$1,0)),元データ_加工!$A$2:$A$700,$A153,元データ_加工!$B$2:$B$700,G$5)</f>
        <v>13</v>
      </c>
      <c r="H153" s="26">
        <f>SUMIFS(INDEX(元データ_加工!$C$2:$P$700,0,MATCH($B153,元データ_加工!$C$1:$P$1,0)),元データ_加工!$A$2:$A$700,$A153,元データ_加工!$B$2:$B$700,H$5)</f>
        <v>11</v>
      </c>
      <c r="I153" s="26">
        <f>SUMIFS(INDEX(元データ_加工!$C$2:$P$700,0,MATCH($B153,元データ_加工!$C$1:$P$1,0)),元データ_加工!$A$2:$A$700,$A153,元データ_加工!$B$2:$B$700,I$5)</f>
        <v>13</v>
      </c>
      <c r="J153" s="26">
        <f>SUMIFS(INDEX(元データ_加工!$C$2:$P$700,0,MATCH($B153,元データ_加工!$C$1:$P$1,0)),元データ_加工!$A$2:$A$700,$A153,元データ_加工!$B$2:$B$700,J$5)</f>
        <v>11</v>
      </c>
      <c r="K153" s="26">
        <f>SUMIFS(INDEX(元データ_加工!$C$2:$P$700,0,MATCH($B153,元データ_加工!$C$1:$P$1,0)),元データ_加工!$A$2:$A$700,$A153,元データ_加工!$B$2:$B$700,K$5)</f>
        <v>24</v>
      </c>
      <c r="L153" s="26">
        <f>SUMIFS(INDEX(元データ_加工!$C$2:$P$700,0,MATCH($B153,元データ_加工!$C$1:$P$1,0)),元データ_加工!$A$2:$A$700,$A153,元データ_加工!$B$2:$B$700,L$5)</f>
        <v>13</v>
      </c>
      <c r="M153" s="26">
        <f>SUMIFS(INDEX(元データ_加工!$C$2:$P$700,0,MATCH($B153,元データ_加工!$C$1:$P$1,0)),元データ_加工!$A$2:$A$700,$A153,元データ_加工!$B$2:$B$700,M$5)</f>
        <v>13</v>
      </c>
      <c r="N153" s="26">
        <f>SUMIFS(INDEX(元データ_加工!$C$2:$P$700,0,MATCH($B153,元データ_加工!$C$1:$P$1,0)),元データ_加工!$A$2:$A$700,$A153,元データ_加工!$B$2:$B$700,N$5)</f>
        <v>26</v>
      </c>
      <c r="O153" s="26">
        <f t="shared" si="2"/>
        <v>228</v>
      </c>
      <c r="P153" s="7">
        <f>IFERROR(O153/SUMIFS(元データ_加工!$C$2:$C$700,元データ_加工!$A$2:$A$700,$A153),"")</f>
        <v>1.2307027960703876E-2</v>
      </c>
    </row>
    <row r="154" spans="1:16" x14ac:dyDescent="0.45">
      <c r="A154" t="s">
        <v>45</v>
      </c>
      <c r="B154" t="s">
        <v>108</v>
      </c>
      <c r="C154" s="26">
        <f>SUMIFS(INDEX(元データ_加工!$C$2:$P$700,0,MATCH($B154,元データ_加工!$C$1:$P$1,0)),元データ_加工!$A$2:$A$700,$A154,元データ_加工!$B$2:$B$700,C$5)</f>
        <v>3</v>
      </c>
      <c r="D154" s="26">
        <f>SUMIFS(INDEX(元データ_加工!$C$2:$P$700,0,MATCH($B154,元データ_加工!$C$1:$P$1,0)),元データ_加工!$A$2:$A$700,$A154,元データ_加工!$B$2:$B$700,D$5)</f>
        <v>7</v>
      </c>
      <c r="E154" s="26">
        <f>SUMIFS(INDEX(元データ_加工!$C$2:$P$700,0,MATCH($B154,元データ_加工!$C$1:$P$1,0)),元データ_加工!$A$2:$A$700,$A154,元データ_加工!$B$2:$B$700,E$5)</f>
        <v>7</v>
      </c>
      <c r="F154" s="26">
        <f>SUMIFS(INDEX(元データ_加工!$C$2:$P$700,0,MATCH($B154,元データ_加工!$C$1:$P$1,0)),元データ_加工!$A$2:$A$700,$A154,元データ_加工!$B$2:$B$700,F$5)</f>
        <v>9</v>
      </c>
      <c r="G154" s="26">
        <f>SUMIFS(INDEX(元データ_加工!$C$2:$P$700,0,MATCH($B154,元データ_加工!$C$1:$P$1,0)),元データ_加工!$A$2:$A$700,$A154,元データ_加工!$B$2:$B$700,G$5)</f>
        <v>2</v>
      </c>
      <c r="H154" s="26">
        <f>SUMIFS(INDEX(元データ_加工!$C$2:$P$700,0,MATCH($B154,元データ_加工!$C$1:$P$1,0)),元データ_加工!$A$2:$A$700,$A154,元データ_加工!$B$2:$B$700,H$5)</f>
        <v>9</v>
      </c>
      <c r="I154" s="26">
        <f>SUMIFS(INDEX(元データ_加工!$C$2:$P$700,0,MATCH($B154,元データ_加工!$C$1:$P$1,0)),元データ_加工!$A$2:$A$700,$A154,元データ_加工!$B$2:$B$700,I$5)</f>
        <v>3</v>
      </c>
      <c r="J154" s="26">
        <f>SUMIFS(INDEX(元データ_加工!$C$2:$P$700,0,MATCH($B154,元データ_加工!$C$1:$P$1,0)),元データ_加工!$A$2:$A$700,$A154,元データ_加工!$B$2:$B$700,J$5)</f>
        <v>0</v>
      </c>
      <c r="K154" s="26">
        <f>SUMIFS(INDEX(元データ_加工!$C$2:$P$700,0,MATCH($B154,元データ_加工!$C$1:$P$1,0)),元データ_加工!$A$2:$A$700,$A154,元データ_加工!$B$2:$B$700,K$5)</f>
        <v>0</v>
      </c>
      <c r="L154" s="26">
        <f>SUMIFS(INDEX(元データ_加工!$C$2:$P$700,0,MATCH($B154,元データ_加工!$C$1:$P$1,0)),元データ_加工!$A$2:$A$700,$A154,元データ_加工!$B$2:$B$700,L$5)</f>
        <v>6</v>
      </c>
      <c r="M154" s="26">
        <f>SUMIFS(INDEX(元データ_加工!$C$2:$P$700,0,MATCH($B154,元データ_加工!$C$1:$P$1,0)),元データ_加工!$A$2:$A$700,$A154,元データ_加工!$B$2:$B$700,M$5)</f>
        <v>2</v>
      </c>
      <c r="N154" s="26">
        <f>SUMIFS(INDEX(元データ_加工!$C$2:$P$700,0,MATCH($B154,元データ_加工!$C$1:$P$1,0)),元データ_加工!$A$2:$A$700,$A154,元データ_加工!$B$2:$B$700,N$5)</f>
        <v>6</v>
      </c>
      <c r="O154" s="26">
        <f t="shared" si="2"/>
        <v>54</v>
      </c>
      <c r="P154" s="7">
        <f>IFERROR(O154/SUMIFS(元データ_加工!$C$2:$C$700,元データ_加工!$A$2:$A$700,$A154),"")</f>
        <v>2.9148224117456546E-3</v>
      </c>
    </row>
    <row r="155" spans="1:16" x14ac:dyDescent="0.45">
      <c r="A155" t="s">
        <v>45</v>
      </c>
      <c r="B155" t="s">
        <v>109</v>
      </c>
      <c r="C155" s="26">
        <f>SUMIFS(INDEX(元データ_加工!$C$2:$P$700,0,MATCH($B155,元データ_加工!$C$1:$P$1,0)),元データ_加工!$A$2:$A$700,$A155,元データ_加工!$B$2:$B$700,C$5)</f>
        <v>18</v>
      </c>
      <c r="D155" s="26">
        <f>SUMIFS(INDEX(元データ_加工!$C$2:$P$700,0,MATCH($B155,元データ_加工!$C$1:$P$1,0)),元データ_加工!$A$2:$A$700,$A155,元データ_加工!$B$2:$B$700,D$5)</f>
        <v>20</v>
      </c>
      <c r="E155" s="26">
        <f>SUMIFS(INDEX(元データ_加工!$C$2:$P$700,0,MATCH($B155,元データ_加工!$C$1:$P$1,0)),元データ_加工!$A$2:$A$700,$A155,元データ_加工!$B$2:$B$700,E$5)</f>
        <v>21</v>
      </c>
      <c r="F155" s="26">
        <f>SUMIFS(INDEX(元データ_加工!$C$2:$P$700,0,MATCH($B155,元データ_加工!$C$1:$P$1,0)),元データ_加工!$A$2:$A$700,$A155,元データ_加工!$B$2:$B$700,F$5)</f>
        <v>19</v>
      </c>
      <c r="G155" s="26">
        <f>SUMIFS(INDEX(元データ_加工!$C$2:$P$700,0,MATCH($B155,元データ_加工!$C$1:$P$1,0)),元データ_加工!$A$2:$A$700,$A155,元データ_加工!$B$2:$B$700,G$5)</f>
        <v>23</v>
      </c>
      <c r="H155" s="26">
        <f>SUMIFS(INDEX(元データ_加工!$C$2:$P$700,0,MATCH($B155,元データ_加工!$C$1:$P$1,0)),元データ_加工!$A$2:$A$700,$A155,元データ_加工!$B$2:$B$700,H$5)</f>
        <v>20</v>
      </c>
      <c r="I155" s="26">
        <f>SUMIFS(INDEX(元データ_加工!$C$2:$P$700,0,MATCH($B155,元データ_加工!$C$1:$P$1,0)),元データ_加工!$A$2:$A$700,$A155,元データ_加工!$B$2:$B$700,I$5)</f>
        <v>24</v>
      </c>
      <c r="J155" s="26">
        <f>SUMIFS(INDEX(元データ_加工!$C$2:$P$700,0,MATCH($B155,元データ_加工!$C$1:$P$1,0)),元データ_加工!$A$2:$A$700,$A155,元データ_加工!$B$2:$B$700,J$5)</f>
        <v>20</v>
      </c>
      <c r="K155" s="26">
        <f>SUMIFS(INDEX(元データ_加工!$C$2:$P$700,0,MATCH($B155,元データ_加工!$C$1:$P$1,0)),元データ_加工!$A$2:$A$700,$A155,元データ_加工!$B$2:$B$700,K$5)</f>
        <v>23</v>
      </c>
      <c r="L155" s="26">
        <f>SUMIFS(INDEX(元データ_加工!$C$2:$P$700,0,MATCH($B155,元データ_加工!$C$1:$P$1,0)),元データ_加工!$A$2:$A$700,$A155,元データ_加工!$B$2:$B$700,L$5)</f>
        <v>26</v>
      </c>
      <c r="M155" s="26">
        <f>SUMIFS(INDEX(元データ_加工!$C$2:$P$700,0,MATCH($B155,元データ_加工!$C$1:$P$1,0)),元データ_加工!$A$2:$A$700,$A155,元データ_加工!$B$2:$B$700,M$5)</f>
        <v>22</v>
      </c>
      <c r="N155" s="26">
        <f>SUMIFS(INDEX(元データ_加工!$C$2:$P$700,0,MATCH($B155,元データ_加工!$C$1:$P$1,0)),元データ_加工!$A$2:$A$700,$A155,元データ_加工!$B$2:$B$700,N$5)</f>
        <v>37</v>
      </c>
      <c r="O155" s="26">
        <f t="shared" si="2"/>
        <v>273</v>
      </c>
      <c r="P155" s="7">
        <f>IFERROR(O155/SUMIFS(元データ_加工!$C$2:$C$700,元データ_加工!$A$2:$A$700,$A155),"")</f>
        <v>1.4736046637158587E-2</v>
      </c>
    </row>
    <row r="156" spans="1:16" x14ac:dyDescent="0.45">
      <c r="A156" t="s">
        <v>45</v>
      </c>
      <c r="B156" t="s">
        <v>110</v>
      </c>
      <c r="C156" s="26">
        <f>SUMIFS(INDEX(元データ_加工!$C$2:$P$700,0,MATCH($B156,元データ_加工!$C$1:$P$1,0)),元データ_加工!$A$2:$A$700,$A156,元データ_加工!$B$2:$B$700,C$5)</f>
        <v>0</v>
      </c>
      <c r="D156" s="26">
        <f>SUMIFS(INDEX(元データ_加工!$C$2:$P$700,0,MATCH($B156,元データ_加工!$C$1:$P$1,0)),元データ_加工!$A$2:$A$700,$A156,元データ_加工!$B$2:$B$700,D$5)</f>
        <v>0</v>
      </c>
      <c r="E156" s="26">
        <f>SUMIFS(INDEX(元データ_加工!$C$2:$P$700,0,MATCH($B156,元データ_加工!$C$1:$P$1,0)),元データ_加工!$A$2:$A$700,$A156,元データ_加工!$B$2:$B$700,E$5)</f>
        <v>0</v>
      </c>
      <c r="F156" s="26">
        <f>SUMIFS(INDEX(元データ_加工!$C$2:$P$700,0,MATCH($B156,元データ_加工!$C$1:$P$1,0)),元データ_加工!$A$2:$A$700,$A156,元データ_加工!$B$2:$B$700,F$5)</f>
        <v>0</v>
      </c>
      <c r="G156" s="26">
        <f>SUMIFS(INDEX(元データ_加工!$C$2:$P$700,0,MATCH($B156,元データ_加工!$C$1:$P$1,0)),元データ_加工!$A$2:$A$700,$A156,元データ_加工!$B$2:$B$700,G$5)</f>
        <v>0</v>
      </c>
      <c r="H156" s="26">
        <f>SUMIFS(INDEX(元データ_加工!$C$2:$P$700,0,MATCH($B156,元データ_加工!$C$1:$P$1,0)),元データ_加工!$A$2:$A$700,$A156,元データ_加工!$B$2:$B$700,H$5)</f>
        <v>0</v>
      </c>
      <c r="I156" s="26">
        <f>SUMIFS(INDEX(元データ_加工!$C$2:$P$700,0,MATCH($B156,元データ_加工!$C$1:$P$1,0)),元データ_加工!$A$2:$A$700,$A156,元データ_加工!$B$2:$B$700,I$5)</f>
        <v>0</v>
      </c>
      <c r="J156" s="26">
        <f>SUMIFS(INDEX(元データ_加工!$C$2:$P$700,0,MATCH($B156,元データ_加工!$C$1:$P$1,0)),元データ_加工!$A$2:$A$700,$A156,元データ_加工!$B$2:$B$700,J$5)</f>
        <v>0</v>
      </c>
      <c r="K156" s="26">
        <f>SUMIFS(INDEX(元データ_加工!$C$2:$P$700,0,MATCH($B156,元データ_加工!$C$1:$P$1,0)),元データ_加工!$A$2:$A$700,$A156,元データ_加工!$B$2:$B$700,K$5)</f>
        <v>0</v>
      </c>
      <c r="L156" s="26">
        <f>SUMIFS(INDEX(元データ_加工!$C$2:$P$700,0,MATCH($B156,元データ_加工!$C$1:$P$1,0)),元データ_加工!$A$2:$A$700,$A156,元データ_加工!$B$2:$B$700,L$5)</f>
        <v>0</v>
      </c>
      <c r="M156" s="26">
        <f>SUMIFS(INDEX(元データ_加工!$C$2:$P$700,0,MATCH($B156,元データ_加工!$C$1:$P$1,0)),元データ_加工!$A$2:$A$700,$A156,元データ_加工!$B$2:$B$700,M$5)</f>
        <v>0</v>
      </c>
      <c r="N156" s="26">
        <f>SUMIFS(INDEX(元データ_加工!$C$2:$P$700,0,MATCH($B156,元データ_加工!$C$1:$P$1,0)),元データ_加工!$A$2:$A$700,$A156,元データ_加工!$B$2:$B$700,N$5)</f>
        <v>0</v>
      </c>
      <c r="O156" s="26">
        <f t="shared" si="2"/>
        <v>0</v>
      </c>
      <c r="P156" s="7">
        <f>IFERROR(O156/SUMIFS(元データ_加工!$C$2:$C$700,元データ_加工!$A$2:$A$700,$A156),"")</f>
        <v>0</v>
      </c>
    </row>
    <row r="157" spans="1:16" x14ac:dyDescent="0.45">
      <c r="A157" t="s">
        <v>45</v>
      </c>
      <c r="B157" t="s">
        <v>111</v>
      </c>
      <c r="C157" s="26">
        <f>SUMIFS(INDEX(元データ_加工!$C$2:$P$700,0,MATCH($B157,元データ_加工!$C$1:$P$1,0)),元データ_加工!$A$2:$A$700,$A157,元データ_加工!$B$2:$B$700,C$5)</f>
        <v>0</v>
      </c>
      <c r="D157" s="26">
        <f>SUMIFS(INDEX(元データ_加工!$C$2:$P$700,0,MATCH($B157,元データ_加工!$C$1:$P$1,0)),元データ_加工!$A$2:$A$700,$A157,元データ_加工!$B$2:$B$700,D$5)</f>
        <v>0</v>
      </c>
      <c r="E157" s="26">
        <f>SUMIFS(INDEX(元データ_加工!$C$2:$P$700,0,MATCH($B157,元データ_加工!$C$1:$P$1,0)),元データ_加工!$A$2:$A$700,$A157,元データ_加工!$B$2:$B$700,E$5)</f>
        <v>0</v>
      </c>
      <c r="F157" s="26">
        <f>SUMIFS(INDEX(元データ_加工!$C$2:$P$700,0,MATCH($B157,元データ_加工!$C$1:$P$1,0)),元データ_加工!$A$2:$A$700,$A157,元データ_加工!$B$2:$B$700,F$5)</f>
        <v>0</v>
      </c>
      <c r="G157" s="26">
        <f>SUMIFS(INDEX(元データ_加工!$C$2:$P$700,0,MATCH($B157,元データ_加工!$C$1:$P$1,0)),元データ_加工!$A$2:$A$700,$A157,元データ_加工!$B$2:$B$700,G$5)</f>
        <v>0</v>
      </c>
      <c r="H157" s="26">
        <f>SUMIFS(INDEX(元データ_加工!$C$2:$P$700,0,MATCH($B157,元データ_加工!$C$1:$P$1,0)),元データ_加工!$A$2:$A$700,$A157,元データ_加工!$B$2:$B$700,H$5)</f>
        <v>0</v>
      </c>
      <c r="I157" s="26">
        <f>SUMIFS(INDEX(元データ_加工!$C$2:$P$700,0,MATCH($B157,元データ_加工!$C$1:$P$1,0)),元データ_加工!$A$2:$A$700,$A157,元データ_加工!$B$2:$B$700,I$5)</f>
        <v>0</v>
      </c>
      <c r="J157" s="26">
        <f>SUMIFS(INDEX(元データ_加工!$C$2:$P$700,0,MATCH($B157,元データ_加工!$C$1:$P$1,0)),元データ_加工!$A$2:$A$700,$A157,元データ_加工!$B$2:$B$700,J$5)</f>
        <v>0</v>
      </c>
      <c r="K157" s="26">
        <f>SUMIFS(INDEX(元データ_加工!$C$2:$P$700,0,MATCH($B157,元データ_加工!$C$1:$P$1,0)),元データ_加工!$A$2:$A$700,$A157,元データ_加工!$B$2:$B$700,K$5)</f>
        <v>0</v>
      </c>
      <c r="L157" s="26">
        <f>SUMIFS(INDEX(元データ_加工!$C$2:$P$700,0,MATCH($B157,元データ_加工!$C$1:$P$1,0)),元データ_加工!$A$2:$A$700,$A157,元データ_加工!$B$2:$B$700,L$5)</f>
        <v>0</v>
      </c>
      <c r="M157" s="26">
        <f>SUMIFS(INDEX(元データ_加工!$C$2:$P$700,0,MATCH($B157,元データ_加工!$C$1:$P$1,0)),元データ_加工!$A$2:$A$700,$A157,元データ_加工!$B$2:$B$700,M$5)</f>
        <v>0</v>
      </c>
      <c r="N157" s="26">
        <f>SUMIFS(INDEX(元データ_加工!$C$2:$P$700,0,MATCH($B157,元データ_加工!$C$1:$P$1,0)),元データ_加工!$A$2:$A$700,$A157,元データ_加工!$B$2:$B$700,N$5)</f>
        <v>0</v>
      </c>
      <c r="O157" s="26">
        <f t="shared" si="2"/>
        <v>0</v>
      </c>
      <c r="P157" s="7">
        <f>IFERROR(O157/SUMIFS(元データ_加工!$C$2:$C$700,元データ_加工!$A$2:$A$700,$A157),"")</f>
        <v>0</v>
      </c>
    </row>
    <row r="158" spans="1:16" x14ac:dyDescent="0.45">
      <c r="A158" t="s">
        <v>45</v>
      </c>
      <c r="B158" t="s">
        <v>112</v>
      </c>
      <c r="C158" s="26">
        <f>SUMIFS(INDEX(元データ_加工!$C$2:$P$700,0,MATCH($B158,元データ_加工!$C$1:$P$1,0)),元データ_加工!$A$2:$A$700,$A158,元データ_加工!$B$2:$B$700,C$5)</f>
        <v>0</v>
      </c>
      <c r="D158" s="26">
        <f>SUMIFS(INDEX(元データ_加工!$C$2:$P$700,0,MATCH($B158,元データ_加工!$C$1:$P$1,0)),元データ_加工!$A$2:$A$700,$A158,元データ_加工!$B$2:$B$700,D$5)</f>
        <v>0</v>
      </c>
      <c r="E158" s="26">
        <f>SUMIFS(INDEX(元データ_加工!$C$2:$P$700,0,MATCH($B158,元データ_加工!$C$1:$P$1,0)),元データ_加工!$A$2:$A$700,$A158,元データ_加工!$B$2:$B$700,E$5)</f>
        <v>0</v>
      </c>
      <c r="F158" s="26">
        <f>SUMIFS(INDEX(元データ_加工!$C$2:$P$700,0,MATCH($B158,元データ_加工!$C$1:$P$1,0)),元データ_加工!$A$2:$A$700,$A158,元データ_加工!$B$2:$B$700,F$5)</f>
        <v>0</v>
      </c>
      <c r="G158" s="26">
        <f>SUMIFS(INDEX(元データ_加工!$C$2:$P$700,0,MATCH($B158,元データ_加工!$C$1:$P$1,0)),元データ_加工!$A$2:$A$700,$A158,元データ_加工!$B$2:$B$700,G$5)</f>
        <v>1</v>
      </c>
      <c r="H158" s="26">
        <f>SUMIFS(INDEX(元データ_加工!$C$2:$P$700,0,MATCH($B158,元データ_加工!$C$1:$P$1,0)),元データ_加工!$A$2:$A$700,$A158,元データ_加工!$B$2:$B$700,H$5)</f>
        <v>0</v>
      </c>
      <c r="I158" s="26">
        <f>SUMIFS(INDEX(元データ_加工!$C$2:$P$700,0,MATCH($B158,元データ_加工!$C$1:$P$1,0)),元データ_加工!$A$2:$A$700,$A158,元データ_加工!$B$2:$B$700,I$5)</f>
        <v>0</v>
      </c>
      <c r="J158" s="26">
        <f>SUMIFS(INDEX(元データ_加工!$C$2:$P$700,0,MATCH($B158,元データ_加工!$C$1:$P$1,0)),元データ_加工!$A$2:$A$700,$A158,元データ_加工!$B$2:$B$700,J$5)</f>
        <v>0</v>
      </c>
      <c r="K158" s="26">
        <f>SUMIFS(INDEX(元データ_加工!$C$2:$P$700,0,MATCH($B158,元データ_加工!$C$1:$P$1,0)),元データ_加工!$A$2:$A$700,$A158,元データ_加工!$B$2:$B$700,K$5)</f>
        <v>3</v>
      </c>
      <c r="L158" s="26">
        <f>SUMIFS(INDEX(元データ_加工!$C$2:$P$700,0,MATCH($B158,元データ_加工!$C$1:$P$1,0)),元データ_加工!$A$2:$A$700,$A158,元データ_加工!$B$2:$B$700,L$5)</f>
        <v>0</v>
      </c>
      <c r="M158" s="26">
        <f>SUMIFS(INDEX(元データ_加工!$C$2:$P$700,0,MATCH($B158,元データ_加工!$C$1:$P$1,0)),元データ_加工!$A$2:$A$700,$A158,元データ_加工!$B$2:$B$700,M$5)</f>
        <v>0</v>
      </c>
      <c r="N158" s="26">
        <f>SUMIFS(INDEX(元データ_加工!$C$2:$P$700,0,MATCH($B158,元データ_加工!$C$1:$P$1,0)),元データ_加工!$A$2:$A$700,$A158,元データ_加工!$B$2:$B$700,N$5)</f>
        <v>0</v>
      </c>
      <c r="O158" s="26">
        <f t="shared" si="2"/>
        <v>4</v>
      </c>
      <c r="P158" s="7">
        <f>IFERROR(O158/SUMIFS(元データ_加工!$C$2:$C$700,元データ_加工!$A$2:$A$700,$A158),"")</f>
        <v>2.1591277124041888E-4</v>
      </c>
    </row>
    <row r="159" spans="1:16" x14ac:dyDescent="0.45">
      <c r="A159" t="s">
        <v>45</v>
      </c>
      <c r="B159" t="s">
        <v>113</v>
      </c>
      <c r="C159" s="26">
        <f>SUMIFS(INDEX(元データ_加工!$C$2:$P$700,0,MATCH($B159,元データ_加工!$C$1:$P$1,0)),元データ_加工!$A$2:$A$700,$A159,元データ_加工!$B$2:$B$700,C$5)</f>
        <v>0</v>
      </c>
      <c r="D159" s="26">
        <f>SUMIFS(INDEX(元データ_加工!$C$2:$P$700,0,MATCH($B159,元データ_加工!$C$1:$P$1,0)),元データ_加工!$A$2:$A$700,$A159,元データ_加工!$B$2:$B$700,D$5)</f>
        <v>0</v>
      </c>
      <c r="E159" s="26">
        <f>SUMIFS(INDEX(元データ_加工!$C$2:$P$700,0,MATCH($B159,元データ_加工!$C$1:$P$1,0)),元データ_加工!$A$2:$A$700,$A159,元データ_加工!$B$2:$B$700,E$5)</f>
        <v>1</v>
      </c>
      <c r="F159" s="26">
        <f>SUMIFS(INDEX(元データ_加工!$C$2:$P$700,0,MATCH($B159,元データ_加工!$C$1:$P$1,0)),元データ_加工!$A$2:$A$700,$A159,元データ_加工!$B$2:$B$700,F$5)</f>
        <v>2</v>
      </c>
      <c r="G159" s="26">
        <f>SUMIFS(INDEX(元データ_加工!$C$2:$P$700,0,MATCH($B159,元データ_加工!$C$1:$P$1,0)),元データ_加工!$A$2:$A$700,$A159,元データ_加工!$B$2:$B$700,G$5)</f>
        <v>1</v>
      </c>
      <c r="H159" s="26">
        <f>SUMIFS(INDEX(元データ_加工!$C$2:$P$700,0,MATCH($B159,元データ_加工!$C$1:$P$1,0)),元データ_加工!$A$2:$A$700,$A159,元データ_加工!$B$2:$B$700,H$5)</f>
        <v>2</v>
      </c>
      <c r="I159" s="26">
        <f>SUMIFS(INDEX(元データ_加工!$C$2:$P$700,0,MATCH($B159,元データ_加工!$C$1:$P$1,0)),元データ_加工!$A$2:$A$700,$A159,元データ_加工!$B$2:$B$700,I$5)</f>
        <v>0</v>
      </c>
      <c r="J159" s="26">
        <f>SUMIFS(INDEX(元データ_加工!$C$2:$P$700,0,MATCH($B159,元データ_加工!$C$1:$P$1,0)),元データ_加工!$A$2:$A$700,$A159,元データ_加工!$B$2:$B$700,J$5)</f>
        <v>0</v>
      </c>
      <c r="K159" s="26">
        <f>SUMIFS(INDEX(元データ_加工!$C$2:$P$700,0,MATCH($B159,元データ_加工!$C$1:$P$1,0)),元データ_加工!$A$2:$A$700,$A159,元データ_加工!$B$2:$B$700,K$5)</f>
        <v>3</v>
      </c>
      <c r="L159" s="26">
        <f>SUMIFS(INDEX(元データ_加工!$C$2:$P$700,0,MATCH($B159,元データ_加工!$C$1:$P$1,0)),元データ_加工!$A$2:$A$700,$A159,元データ_加工!$B$2:$B$700,L$5)</f>
        <v>4</v>
      </c>
      <c r="M159" s="26">
        <f>SUMIFS(INDEX(元データ_加工!$C$2:$P$700,0,MATCH($B159,元データ_加工!$C$1:$P$1,0)),元データ_加工!$A$2:$A$700,$A159,元データ_加工!$B$2:$B$700,M$5)</f>
        <v>3</v>
      </c>
      <c r="N159" s="26">
        <f>SUMIFS(INDEX(元データ_加工!$C$2:$P$700,0,MATCH($B159,元データ_加工!$C$1:$P$1,0)),元データ_加工!$A$2:$A$700,$A159,元データ_加工!$B$2:$B$700,N$5)</f>
        <v>2</v>
      </c>
      <c r="O159" s="26">
        <f t="shared" si="2"/>
        <v>18</v>
      </c>
      <c r="P159" s="7">
        <f>IFERROR(O159/SUMIFS(元データ_加工!$C$2:$C$700,元データ_加工!$A$2:$A$700,$A159),"")</f>
        <v>9.7160747058188497E-4</v>
      </c>
    </row>
    <row r="160" spans="1:16" x14ac:dyDescent="0.45">
      <c r="A160" t="s">
        <v>46</v>
      </c>
      <c r="B160" t="s">
        <v>100</v>
      </c>
      <c r="C160" s="26">
        <f>SUMIFS(INDEX(元データ_加工!$C$2:$P$700,0,MATCH($B160,元データ_加工!$C$1:$P$1,0)),元データ_加工!$A$2:$A$700,$A160,元データ_加工!$B$2:$B$700,C$5)</f>
        <v>2040</v>
      </c>
      <c r="D160" s="26">
        <f>SUMIFS(INDEX(元データ_加工!$C$2:$P$700,0,MATCH($B160,元データ_加工!$C$1:$P$1,0)),元データ_加工!$A$2:$A$700,$A160,元データ_加工!$B$2:$B$700,D$5)</f>
        <v>2308</v>
      </c>
      <c r="E160" s="26">
        <f>SUMIFS(INDEX(元データ_加工!$C$2:$P$700,0,MATCH($B160,元データ_加工!$C$1:$P$1,0)),元データ_加工!$A$2:$A$700,$A160,元データ_加工!$B$2:$B$700,E$5)</f>
        <v>3213</v>
      </c>
      <c r="F160" s="26">
        <f>SUMIFS(INDEX(元データ_加工!$C$2:$P$700,0,MATCH($B160,元データ_加工!$C$1:$P$1,0)),元データ_加工!$A$2:$A$700,$A160,元データ_加工!$B$2:$B$700,F$5)</f>
        <v>2692</v>
      </c>
      <c r="G160" s="26">
        <f>SUMIFS(INDEX(元データ_加工!$C$2:$P$700,0,MATCH($B160,元データ_加工!$C$1:$P$1,0)),元データ_加工!$A$2:$A$700,$A160,元データ_加工!$B$2:$B$700,G$5)</f>
        <v>2731</v>
      </c>
      <c r="H160" s="26">
        <f>SUMIFS(INDEX(元データ_加工!$C$2:$P$700,0,MATCH($B160,元データ_加工!$C$1:$P$1,0)),元データ_加工!$A$2:$A$700,$A160,元データ_加工!$B$2:$B$700,H$5)</f>
        <v>1880</v>
      </c>
      <c r="I160" s="26">
        <f>SUMIFS(INDEX(元データ_加工!$C$2:$P$700,0,MATCH($B160,元データ_加工!$C$1:$P$1,0)),元データ_加工!$A$2:$A$700,$A160,元データ_加工!$B$2:$B$700,I$5)</f>
        <v>1431</v>
      </c>
      <c r="J160" s="26">
        <f>SUMIFS(INDEX(元データ_加工!$C$2:$P$700,0,MATCH($B160,元データ_加工!$C$1:$P$1,0)),元データ_加工!$A$2:$A$700,$A160,元データ_加工!$B$2:$B$700,J$5)</f>
        <v>3016</v>
      </c>
      <c r="K160" s="26">
        <f>SUMIFS(INDEX(元データ_加工!$C$2:$P$700,0,MATCH($B160,元データ_加工!$C$1:$P$1,0)),元データ_加工!$A$2:$A$700,$A160,元データ_加工!$B$2:$B$700,K$5)</f>
        <v>4859</v>
      </c>
      <c r="L160" s="26">
        <f>SUMIFS(INDEX(元データ_加工!$C$2:$P$700,0,MATCH($B160,元データ_加工!$C$1:$P$1,0)),元データ_加工!$A$2:$A$700,$A160,元データ_加工!$B$2:$B$700,L$5)</f>
        <v>3312</v>
      </c>
      <c r="M160" s="26">
        <f>SUMIFS(INDEX(元データ_加工!$C$2:$P$700,0,MATCH($B160,元データ_加工!$C$1:$P$1,0)),元データ_加工!$A$2:$A$700,$A160,元データ_加工!$B$2:$B$700,M$5)</f>
        <v>3141</v>
      </c>
      <c r="N160" s="26">
        <f>SUMIFS(INDEX(元データ_加工!$C$2:$P$700,0,MATCH($B160,元データ_加工!$C$1:$P$1,0)),元データ_加工!$A$2:$A$700,$A160,元データ_加工!$B$2:$B$700,N$5)</f>
        <v>2641</v>
      </c>
      <c r="O160" s="26">
        <f t="shared" si="2"/>
        <v>33264</v>
      </c>
      <c r="P160" s="7">
        <f>IFERROR(O160/SUMIFS(元データ_加工!$C$2:$C$700,元データ_加工!$A$2:$A$700,$A160),"")</f>
        <v>1</v>
      </c>
    </row>
    <row r="161" spans="1:16" x14ac:dyDescent="0.45">
      <c r="A161" t="s">
        <v>46</v>
      </c>
      <c r="B161" t="s">
        <v>101</v>
      </c>
      <c r="C161" s="26">
        <f>SUMIFS(INDEX(元データ_加工!$C$2:$P$700,0,MATCH($B161,元データ_加工!$C$1:$P$1,0)),元データ_加工!$A$2:$A$700,$A161,元データ_加工!$B$2:$B$700,C$5)</f>
        <v>1160</v>
      </c>
      <c r="D161" s="26">
        <f>SUMIFS(INDEX(元データ_加工!$C$2:$P$700,0,MATCH($B161,元データ_加工!$C$1:$P$1,0)),元データ_加工!$A$2:$A$700,$A161,元データ_加工!$B$2:$B$700,D$5)</f>
        <v>1263</v>
      </c>
      <c r="E161" s="26">
        <f>SUMIFS(INDEX(元データ_加工!$C$2:$P$700,0,MATCH($B161,元データ_加工!$C$1:$P$1,0)),元データ_加工!$A$2:$A$700,$A161,元データ_加工!$B$2:$B$700,E$5)</f>
        <v>153</v>
      </c>
      <c r="F161" s="26">
        <f>SUMIFS(INDEX(元データ_加工!$C$2:$P$700,0,MATCH($B161,元データ_加工!$C$1:$P$1,0)),元データ_加工!$A$2:$A$700,$A161,元データ_加工!$B$2:$B$700,F$5)</f>
        <v>1252</v>
      </c>
      <c r="G161" s="26">
        <f>SUMIFS(INDEX(元データ_加工!$C$2:$P$700,0,MATCH($B161,元データ_加工!$C$1:$P$1,0)),元データ_加工!$A$2:$A$700,$A161,元データ_加工!$B$2:$B$700,G$5)</f>
        <v>1298</v>
      </c>
      <c r="H161" s="26">
        <f>SUMIFS(INDEX(元データ_加工!$C$2:$P$700,0,MATCH($B161,元データ_加工!$C$1:$P$1,0)),元データ_加工!$A$2:$A$700,$A161,元データ_加工!$B$2:$B$700,H$5)</f>
        <v>931</v>
      </c>
      <c r="I161" s="26">
        <f>SUMIFS(INDEX(元データ_加工!$C$2:$P$700,0,MATCH($B161,元データ_加工!$C$1:$P$1,0)),元データ_加工!$A$2:$A$700,$A161,元データ_加工!$B$2:$B$700,I$5)</f>
        <v>877</v>
      </c>
      <c r="J161" s="26">
        <f>SUMIFS(INDEX(元データ_加工!$C$2:$P$700,0,MATCH($B161,元データ_加工!$C$1:$P$1,0)),元データ_加工!$A$2:$A$700,$A161,元データ_加工!$B$2:$B$700,J$5)</f>
        <v>1171</v>
      </c>
      <c r="K161" s="26">
        <f>SUMIFS(INDEX(元データ_加工!$C$2:$P$700,0,MATCH($B161,元データ_加工!$C$1:$P$1,0)),元データ_加工!$A$2:$A$700,$A161,元データ_加工!$B$2:$B$700,K$5)</f>
        <v>1270</v>
      </c>
      <c r="L161" s="26">
        <f>SUMIFS(INDEX(元データ_加工!$C$2:$P$700,0,MATCH($B161,元データ_加工!$C$1:$P$1,0)),元データ_加工!$A$2:$A$700,$A161,元データ_加工!$B$2:$B$700,L$5)</f>
        <v>1126</v>
      </c>
      <c r="M161" s="26">
        <f>SUMIFS(INDEX(元データ_加工!$C$2:$P$700,0,MATCH($B161,元データ_加工!$C$1:$P$1,0)),元データ_加工!$A$2:$A$700,$A161,元データ_加工!$B$2:$B$700,M$5)</f>
        <v>1289</v>
      </c>
      <c r="N161" s="26">
        <f>SUMIFS(INDEX(元データ_加工!$C$2:$P$700,0,MATCH($B161,元データ_加工!$C$1:$P$1,0)),元データ_加工!$A$2:$A$700,$A161,元データ_加工!$B$2:$B$700,N$5)</f>
        <v>1124</v>
      </c>
      <c r="O161" s="26">
        <f t="shared" si="2"/>
        <v>12914</v>
      </c>
      <c r="P161" s="7">
        <f>IFERROR(O161/SUMIFS(元データ_加工!$C$2:$C$700,元データ_加工!$A$2:$A$700,$A161),"")</f>
        <v>0.38822751322751325</v>
      </c>
    </row>
    <row r="162" spans="1:16" x14ac:dyDescent="0.45">
      <c r="A162" t="s">
        <v>46</v>
      </c>
      <c r="B162" t="s">
        <v>102</v>
      </c>
      <c r="C162" s="26">
        <f>SUMIFS(INDEX(元データ_加工!$C$2:$P$700,0,MATCH($B162,元データ_加工!$C$1:$P$1,0)),元データ_加工!$A$2:$A$700,$A162,元データ_加工!$B$2:$B$700,C$5)</f>
        <v>0</v>
      </c>
      <c r="D162" s="26">
        <f>SUMIFS(INDEX(元データ_加工!$C$2:$P$700,0,MATCH($B162,元データ_加工!$C$1:$P$1,0)),元データ_加工!$A$2:$A$700,$A162,元データ_加工!$B$2:$B$700,D$5)</f>
        <v>0</v>
      </c>
      <c r="E162" s="26">
        <f>SUMIFS(INDEX(元データ_加工!$C$2:$P$700,0,MATCH($B162,元データ_加工!$C$1:$P$1,0)),元データ_加工!$A$2:$A$700,$A162,元データ_加工!$B$2:$B$700,E$5)</f>
        <v>0</v>
      </c>
      <c r="F162" s="26">
        <f>SUMIFS(INDEX(元データ_加工!$C$2:$P$700,0,MATCH($B162,元データ_加工!$C$1:$P$1,0)),元データ_加工!$A$2:$A$700,$A162,元データ_加工!$B$2:$B$700,F$5)</f>
        <v>0</v>
      </c>
      <c r="G162" s="26">
        <f>SUMIFS(INDEX(元データ_加工!$C$2:$P$700,0,MATCH($B162,元データ_加工!$C$1:$P$1,0)),元データ_加工!$A$2:$A$700,$A162,元データ_加工!$B$2:$B$700,G$5)</f>
        <v>0</v>
      </c>
      <c r="H162" s="26">
        <f>SUMIFS(INDEX(元データ_加工!$C$2:$P$700,0,MATCH($B162,元データ_加工!$C$1:$P$1,0)),元データ_加工!$A$2:$A$700,$A162,元データ_加工!$B$2:$B$700,H$5)</f>
        <v>0</v>
      </c>
      <c r="I162" s="26">
        <f>SUMIFS(INDEX(元データ_加工!$C$2:$P$700,0,MATCH($B162,元データ_加工!$C$1:$P$1,0)),元データ_加工!$A$2:$A$700,$A162,元データ_加工!$B$2:$B$700,I$5)</f>
        <v>0</v>
      </c>
      <c r="J162" s="26">
        <f>SUMIFS(INDEX(元データ_加工!$C$2:$P$700,0,MATCH($B162,元データ_加工!$C$1:$P$1,0)),元データ_加工!$A$2:$A$700,$A162,元データ_加工!$B$2:$B$700,J$5)</f>
        <v>4</v>
      </c>
      <c r="K162" s="26">
        <f>SUMIFS(INDEX(元データ_加工!$C$2:$P$700,0,MATCH($B162,元データ_加工!$C$1:$P$1,0)),元データ_加工!$A$2:$A$700,$A162,元データ_加工!$B$2:$B$700,K$5)</f>
        <v>0</v>
      </c>
      <c r="L162" s="26">
        <f>SUMIFS(INDEX(元データ_加工!$C$2:$P$700,0,MATCH($B162,元データ_加工!$C$1:$P$1,0)),元データ_加工!$A$2:$A$700,$A162,元データ_加工!$B$2:$B$700,L$5)</f>
        <v>0</v>
      </c>
      <c r="M162" s="26">
        <f>SUMIFS(INDEX(元データ_加工!$C$2:$P$700,0,MATCH($B162,元データ_加工!$C$1:$P$1,0)),元データ_加工!$A$2:$A$700,$A162,元データ_加工!$B$2:$B$700,M$5)</f>
        <v>0</v>
      </c>
      <c r="N162" s="26">
        <f>SUMIFS(INDEX(元データ_加工!$C$2:$P$700,0,MATCH($B162,元データ_加工!$C$1:$P$1,0)),元データ_加工!$A$2:$A$700,$A162,元データ_加工!$B$2:$B$700,N$5)</f>
        <v>0</v>
      </c>
      <c r="O162" s="26">
        <f t="shared" si="2"/>
        <v>4</v>
      </c>
      <c r="P162" s="7">
        <f>IFERROR(O162/SUMIFS(元データ_加工!$C$2:$C$700,元データ_加工!$A$2:$A$700,$A162),"")</f>
        <v>1.2025012025012025E-4</v>
      </c>
    </row>
    <row r="163" spans="1:16" x14ac:dyDescent="0.45">
      <c r="A163" t="s">
        <v>46</v>
      </c>
      <c r="B163" t="s">
        <v>103</v>
      </c>
      <c r="C163" s="26">
        <f>SUMIFS(INDEX(元データ_加工!$C$2:$P$700,0,MATCH($B163,元データ_加工!$C$1:$P$1,0)),元データ_加工!$A$2:$A$700,$A163,元データ_加工!$B$2:$B$700,C$5)</f>
        <v>0</v>
      </c>
      <c r="D163" s="26">
        <f>SUMIFS(INDEX(元データ_加工!$C$2:$P$700,0,MATCH($B163,元データ_加工!$C$1:$P$1,0)),元データ_加工!$A$2:$A$700,$A163,元データ_加工!$B$2:$B$700,D$5)</f>
        <v>5</v>
      </c>
      <c r="E163" s="26">
        <f>SUMIFS(INDEX(元データ_加工!$C$2:$P$700,0,MATCH($B163,元データ_加工!$C$1:$P$1,0)),元データ_加工!$A$2:$A$700,$A163,元データ_加工!$B$2:$B$700,E$5)</f>
        <v>1</v>
      </c>
      <c r="F163" s="26">
        <f>SUMIFS(INDEX(元データ_加工!$C$2:$P$700,0,MATCH($B163,元データ_加工!$C$1:$P$1,0)),元データ_加工!$A$2:$A$700,$A163,元データ_加工!$B$2:$B$700,F$5)</f>
        <v>25</v>
      </c>
      <c r="G163" s="26">
        <f>SUMIFS(INDEX(元データ_加工!$C$2:$P$700,0,MATCH($B163,元データ_加工!$C$1:$P$1,0)),元データ_加工!$A$2:$A$700,$A163,元データ_加工!$B$2:$B$700,G$5)</f>
        <v>16</v>
      </c>
      <c r="H163" s="26">
        <f>SUMIFS(INDEX(元データ_加工!$C$2:$P$700,0,MATCH($B163,元データ_加工!$C$1:$P$1,0)),元データ_加工!$A$2:$A$700,$A163,元データ_加工!$B$2:$B$700,H$5)</f>
        <v>32</v>
      </c>
      <c r="I163" s="26">
        <f>SUMIFS(INDEX(元データ_加工!$C$2:$P$700,0,MATCH($B163,元データ_加工!$C$1:$P$1,0)),元データ_加工!$A$2:$A$700,$A163,元データ_加工!$B$2:$B$700,I$5)</f>
        <v>22</v>
      </c>
      <c r="J163" s="26">
        <f>SUMIFS(INDEX(元データ_加工!$C$2:$P$700,0,MATCH($B163,元データ_加工!$C$1:$P$1,0)),元データ_加工!$A$2:$A$700,$A163,元データ_加工!$B$2:$B$700,J$5)</f>
        <v>12</v>
      </c>
      <c r="K163" s="26">
        <f>SUMIFS(INDEX(元データ_加工!$C$2:$P$700,0,MATCH($B163,元データ_加工!$C$1:$P$1,0)),元データ_加工!$A$2:$A$700,$A163,元データ_加工!$B$2:$B$700,K$5)</f>
        <v>0</v>
      </c>
      <c r="L163" s="26">
        <f>SUMIFS(INDEX(元データ_加工!$C$2:$P$700,0,MATCH($B163,元データ_加工!$C$1:$P$1,0)),元データ_加工!$A$2:$A$700,$A163,元データ_加工!$B$2:$B$700,L$5)</f>
        <v>2</v>
      </c>
      <c r="M163" s="26">
        <f>SUMIFS(INDEX(元データ_加工!$C$2:$P$700,0,MATCH($B163,元データ_加工!$C$1:$P$1,0)),元データ_加工!$A$2:$A$700,$A163,元データ_加工!$B$2:$B$700,M$5)</f>
        <v>0</v>
      </c>
      <c r="N163" s="26">
        <f>SUMIFS(INDEX(元データ_加工!$C$2:$P$700,0,MATCH($B163,元データ_加工!$C$1:$P$1,0)),元データ_加工!$A$2:$A$700,$A163,元データ_加工!$B$2:$B$700,N$5)</f>
        <v>0</v>
      </c>
      <c r="O163" s="26">
        <f t="shared" si="2"/>
        <v>115</v>
      </c>
      <c r="P163" s="7">
        <f>IFERROR(O163/SUMIFS(元データ_加工!$C$2:$C$700,元データ_加工!$A$2:$A$700,$A163),"")</f>
        <v>3.4571909571909573E-3</v>
      </c>
    </row>
    <row r="164" spans="1:16" x14ac:dyDescent="0.45">
      <c r="A164" t="s">
        <v>46</v>
      </c>
      <c r="B164" t="s">
        <v>104</v>
      </c>
      <c r="C164" s="26">
        <f>SUMIFS(INDEX(元データ_加工!$C$2:$P$700,0,MATCH($B164,元データ_加工!$C$1:$P$1,0)),元データ_加工!$A$2:$A$700,$A164,元データ_加工!$B$2:$B$700,C$5)</f>
        <v>33</v>
      </c>
      <c r="D164" s="26">
        <f>SUMIFS(INDEX(元データ_加工!$C$2:$P$700,0,MATCH($B164,元データ_加工!$C$1:$P$1,0)),元データ_加工!$A$2:$A$700,$A164,元データ_加工!$B$2:$B$700,D$5)</f>
        <v>68</v>
      </c>
      <c r="E164" s="26">
        <f>SUMIFS(INDEX(元データ_加工!$C$2:$P$700,0,MATCH($B164,元データ_加工!$C$1:$P$1,0)),元データ_加工!$A$2:$A$700,$A164,元データ_加工!$B$2:$B$700,E$5)</f>
        <v>62</v>
      </c>
      <c r="F164" s="26">
        <f>SUMIFS(INDEX(元データ_加工!$C$2:$P$700,0,MATCH($B164,元データ_加工!$C$1:$P$1,0)),元データ_加工!$A$2:$A$700,$A164,元データ_加工!$B$2:$B$700,F$5)</f>
        <v>48</v>
      </c>
      <c r="G164" s="26">
        <f>SUMIFS(INDEX(元データ_加工!$C$2:$P$700,0,MATCH($B164,元データ_加工!$C$1:$P$1,0)),元データ_加工!$A$2:$A$700,$A164,元データ_加工!$B$2:$B$700,G$5)</f>
        <v>116</v>
      </c>
      <c r="H164" s="26">
        <f>SUMIFS(INDEX(元データ_加工!$C$2:$P$700,0,MATCH($B164,元データ_加工!$C$1:$P$1,0)),元データ_加工!$A$2:$A$700,$A164,元データ_加工!$B$2:$B$700,H$5)</f>
        <v>37</v>
      </c>
      <c r="I164" s="26">
        <f>SUMIFS(INDEX(元データ_加工!$C$2:$P$700,0,MATCH($B164,元データ_加工!$C$1:$P$1,0)),元データ_加工!$A$2:$A$700,$A164,元データ_加工!$B$2:$B$700,I$5)</f>
        <v>34</v>
      </c>
      <c r="J164" s="26">
        <f>SUMIFS(INDEX(元データ_加工!$C$2:$P$700,0,MATCH($B164,元データ_加工!$C$1:$P$1,0)),元データ_加工!$A$2:$A$700,$A164,元データ_加工!$B$2:$B$700,J$5)</f>
        <v>197</v>
      </c>
      <c r="K164" s="26">
        <f>SUMIFS(INDEX(元データ_加工!$C$2:$P$700,0,MATCH($B164,元データ_加工!$C$1:$P$1,0)),元データ_加工!$A$2:$A$700,$A164,元データ_加工!$B$2:$B$700,K$5)</f>
        <v>365</v>
      </c>
      <c r="L164" s="26">
        <f>SUMIFS(INDEX(元データ_加工!$C$2:$P$700,0,MATCH($B164,元データ_加工!$C$1:$P$1,0)),元データ_加工!$A$2:$A$700,$A164,元データ_加工!$B$2:$B$700,L$5)</f>
        <v>166</v>
      </c>
      <c r="M164" s="26">
        <f>SUMIFS(INDEX(元データ_加工!$C$2:$P$700,0,MATCH($B164,元データ_加工!$C$1:$P$1,0)),元データ_加工!$A$2:$A$700,$A164,元データ_加工!$B$2:$B$700,M$5)</f>
        <v>147</v>
      </c>
      <c r="N164" s="26">
        <f>SUMIFS(INDEX(元データ_加工!$C$2:$P$700,0,MATCH($B164,元データ_加工!$C$1:$P$1,0)),元データ_加工!$A$2:$A$700,$A164,元データ_加工!$B$2:$B$700,N$5)</f>
        <v>105</v>
      </c>
      <c r="O164" s="26">
        <f t="shared" si="2"/>
        <v>1378</v>
      </c>
      <c r="P164" s="7">
        <f>IFERROR(O164/SUMIFS(元データ_加工!$C$2:$C$700,元データ_加工!$A$2:$A$700,$A164),"")</f>
        <v>4.1426166426166429E-2</v>
      </c>
    </row>
    <row r="165" spans="1:16" x14ac:dyDescent="0.45">
      <c r="A165" t="s">
        <v>46</v>
      </c>
      <c r="B165" t="s">
        <v>105</v>
      </c>
      <c r="C165" s="26">
        <f>SUMIFS(INDEX(元データ_加工!$C$2:$P$700,0,MATCH($B165,元データ_加工!$C$1:$P$1,0)),元データ_加工!$A$2:$A$700,$A165,元データ_加工!$B$2:$B$700,C$5)</f>
        <v>40</v>
      </c>
      <c r="D165" s="26">
        <f>SUMIFS(INDEX(元データ_加工!$C$2:$P$700,0,MATCH($B165,元データ_加工!$C$1:$P$1,0)),元データ_加工!$A$2:$A$700,$A165,元データ_加工!$B$2:$B$700,D$5)</f>
        <v>2</v>
      </c>
      <c r="E165" s="26">
        <f>SUMIFS(INDEX(元データ_加工!$C$2:$P$700,0,MATCH($B165,元データ_加工!$C$1:$P$1,0)),元データ_加工!$A$2:$A$700,$A165,元データ_加工!$B$2:$B$700,E$5)</f>
        <v>4</v>
      </c>
      <c r="F165" s="26">
        <f>SUMIFS(INDEX(元データ_加工!$C$2:$P$700,0,MATCH($B165,元データ_加工!$C$1:$P$1,0)),元データ_加工!$A$2:$A$700,$A165,元データ_加工!$B$2:$B$700,F$5)</f>
        <v>2</v>
      </c>
      <c r="G165" s="26">
        <f>SUMIFS(INDEX(元データ_加工!$C$2:$P$700,0,MATCH($B165,元データ_加工!$C$1:$P$1,0)),元データ_加工!$A$2:$A$700,$A165,元データ_加工!$B$2:$B$700,G$5)</f>
        <v>3</v>
      </c>
      <c r="H165" s="26">
        <f>SUMIFS(INDEX(元データ_加工!$C$2:$P$700,0,MATCH($B165,元データ_加工!$C$1:$P$1,0)),元データ_加工!$A$2:$A$700,$A165,元データ_加工!$B$2:$B$700,H$5)</f>
        <v>5</v>
      </c>
      <c r="I165" s="26">
        <f>SUMIFS(INDEX(元データ_加工!$C$2:$P$700,0,MATCH($B165,元データ_加工!$C$1:$P$1,0)),元データ_加工!$A$2:$A$700,$A165,元データ_加工!$B$2:$B$700,I$5)</f>
        <v>5</v>
      </c>
      <c r="J165" s="26">
        <f>SUMIFS(INDEX(元データ_加工!$C$2:$P$700,0,MATCH($B165,元データ_加工!$C$1:$P$1,0)),元データ_加工!$A$2:$A$700,$A165,元データ_加工!$B$2:$B$700,J$5)</f>
        <v>66</v>
      </c>
      <c r="K165" s="26">
        <f>SUMIFS(INDEX(元データ_加工!$C$2:$P$700,0,MATCH($B165,元データ_加工!$C$1:$P$1,0)),元データ_加工!$A$2:$A$700,$A165,元データ_加工!$B$2:$B$700,K$5)</f>
        <v>147</v>
      </c>
      <c r="L165" s="26">
        <f>SUMIFS(INDEX(元データ_加工!$C$2:$P$700,0,MATCH($B165,元データ_加工!$C$1:$P$1,0)),元データ_加工!$A$2:$A$700,$A165,元データ_加工!$B$2:$B$700,L$5)</f>
        <v>106</v>
      </c>
      <c r="M165" s="26">
        <f>SUMIFS(INDEX(元データ_加工!$C$2:$P$700,0,MATCH($B165,元データ_加工!$C$1:$P$1,0)),元データ_加工!$A$2:$A$700,$A165,元データ_加工!$B$2:$B$700,M$5)</f>
        <v>76</v>
      </c>
      <c r="N165" s="26">
        <f>SUMIFS(INDEX(元データ_加工!$C$2:$P$700,0,MATCH($B165,元データ_加工!$C$1:$P$1,0)),元データ_加工!$A$2:$A$700,$A165,元データ_加工!$B$2:$B$700,N$5)</f>
        <v>20</v>
      </c>
      <c r="O165" s="26">
        <f t="shared" si="2"/>
        <v>476</v>
      </c>
      <c r="P165" s="7">
        <f>IFERROR(O165/SUMIFS(元データ_加工!$C$2:$C$700,元データ_加工!$A$2:$A$700,$A165),"")</f>
        <v>1.4309764309764311E-2</v>
      </c>
    </row>
    <row r="166" spans="1:16" x14ac:dyDescent="0.45">
      <c r="A166" t="s">
        <v>46</v>
      </c>
      <c r="B166" t="s">
        <v>106</v>
      </c>
      <c r="C166" s="26">
        <f>SUMIFS(INDEX(元データ_加工!$C$2:$P$700,0,MATCH($B166,元データ_加工!$C$1:$P$1,0)),元データ_加工!$A$2:$A$700,$A166,元データ_加工!$B$2:$B$700,C$5)</f>
        <v>241</v>
      </c>
      <c r="D166" s="26">
        <f>SUMIFS(INDEX(元データ_加工!$C$2:$P$700,0,MATCH($B166,元データ_加工!$C$1:$P$1,0)),元データ_加工!$A$2:$A$700,$A166,元データ_加工!$B$2:$B$700,D$5)</f>
        <v>246</v>
      </c>
      <c r="E166" s="26">
        <f>SUMIFS(INDEX(元データ_加工!$C$2:$P$700,0,MATCH($B166,元データ_加工!$C$1:$P$1,0)),元データ_加工!$A$2:$A$700,$A166,元データ_加工!$B$2:$B$700,E$5)</f>
        <v>330</v>
      </c>
      <c r="F166" s="26">
        <f>SUMIFS(INDEX(元データ_加工!$C$2:$P$700,0,MATCH($B166,元データ_加工!$C$1:$P$1,0)),元データ_加工!$A$2:$A$700,$A166,元データ_加工!$B$2:$B$700,F$5)</f>
        <v>287</v>
      </c>
      <c r="G166" s="26">
        <f>SUMIFS(INDEX(元データ_加工!$C$2:$P$700,0,MATCH($B166,元データ_加工!$C$1:$P$1,0)),元データ_加工!$A$2:$A$700,$A166,元データ_加工!$B$2:$B$700,G$5)</f>
        <v>258</v>
      </c>
      <c r="H166" s="26">
        <f>SUMIFS(INDEX(元データ_加工!$C$2:$P$700,0,MATCH($B166,元データ_加工!$C$1:$P$1,0)),元データ_加工!$A$2:$A$700,$A166,元データ_加工!$B$2:$B$700,H$5)</f>
        <v>178</v>
      </c>
      <c r="I166" s="26">
        <f>SUMIFS(INDEX(元データ_加工!$C$2:$P$700,0,MATCH($B166,元データ_加工!$C$1:$P$1,0)),元データ_加工!$A$2:$A$700,$A166,元データ_加工!$B$2:$B$700,I$5)</f>
        <v>154</v>
      </c>
      <c r="J166" s="26">
        <f>SUMIFS(INDEX(元データ_加工!$C$2:$P$700,0,MATCH($B166,元データ_加工!$C$1:$P$1,0)),元データ_加工!$A$2:$A$700,$A166,元データ_加工!$B$2:$B$700,J$5)</f>
        <v>266</v>
      </c>
      <c r="K166" s="26">
        <f>SUMIFS(INDEX(元データ_加工!$C$2:$P$700,0,MATCH($B166,元データ_加工!$C$1:$P$1,0)),元データ_加工!$A$2:$A$700,$A166,元データ_加工!$B$2:$B$700,K$5)</f>
        <v>420</v>
      </c>
      <c r="L166" s="26">
        <f>SUMIFS(INDEX(元データ_加工!$C$2:$P$700,0,MATCH($B166,元データ_加工!$C$1:$P$1,0)),元データ_加工!$A$2:$A$700,$A166,元データ_加工!$B$2:$B$700,L$5)</f>
        <v>248</v>
      </c>
      <c r="M166" s="26">
        <f>SUMIFS(INDEX(元データ_加工!$C$2:$P$700,0,MATCH($B166,元データ_加工!$C$1:$P$1,0)),元データ_加工!$A$2:$A$700,$A166,元データ_加工!$B$2:$B$700,M$5)</f>
        <v>270</v>
      </c>
      <c r="N166" s="26">
        <f>SUMIFS(INDEX(元データ_加工!$C$2:$P$700,0,MATCH($B166,元データ_加工!$C$1:$P$1,0)),元データ_加工!$A$2:$A$700,$A166,元データ_加工!$B$2:$B$700,N$5)</f>
        <v>281</v>
      </c>
      <c r="O166" s="26">
        <f t="shared" si="2"/>
        <v>3179</v>
      </c>
      <c r="P166" s="7">
        <f>IFERROR(O166/SUMIFS(元データ_加工!$C$2:$C$700,元データ_加工!$A$2:$A$700,$A166),"")</f>
        <v>9.5568783068783067E-2</v>
      </c>
    </row>
    <row r="167" spans="1:16" x14ac:dyDescent="0.45">
      <c r="A167" t="s">
        <v>46</v>
      </c>
      <c r="B167" t="s">
        <v>107</v>
      </c>
      <c r="C167" s="26">
        <f>SUMIFS(INDEX(元データ_加工!$C$2:$P$700,0,MATCH($B167,元データ_加工!$C$1:$P$1,0)),元データ_加工!$A$2:$A$700,$A167,元データ_加工!$B$2:$B$700,C$5)</f>
        <v>163</v>
      </c>
      <c r="D167" s="26">
        <f>SUMIFS(INDEX(元データ_加工!$C$2:$P$700,0,MATCH($B167,元データ_加工!$C$1:$P$1,0)),元データ_加工!$A$2:$A$700,$A167,元データ_加工!$B$2:$B$700,D$5)</f>
        <v>163</v>
      </c>
      <c r="E167" s="26">
        <f>SUMIFS(INDEX(元データ_加工!$C$2:$P$700,0,MATCH($B167,元データ_加工!$C$1:$P$1,0)),元データ_加工!$A$2:$A$700,$A167,元データ_加工!$B$2:$B$700,E$5)</f>
        <v>186</v>
      </c>
      <c r="F167" s="26">
        <f>SUMIFS(INDEX(元データ_加工!$C$2:$P$700,0,MATCH($B167,元データ_加工!$C$1:$P$1,0)),元データ_加工!$A$2:$A$700,$A167,元データ_加工!$B$2:$B$700,F$5)</f>
        <v>133</v>
      </c>
      <c r="G167" s="26">
        <f>SUMIFS(INDEX(元データ_加工!$C$2:$P$700,0,MATCH($B167,元データ_加工!$C$1:$P$1,0)),元データ_加工!$A$2:$A$700,$A167,元データ_加工!$B$2:$B$700,G$5)</f>
        <v>131</v>
      </c>
      <c r="H167" s="26">
        <f>SUMIFS(INDEX(元データ_加工!$C$2:$P$700,0,MATCH($B167,元データ_加工!$C$1:$P$1,0)),元データ_加工!$A$2:$A$700,$A167,元データ_加工!$B$2:$B$700,H$5)</f>
        <v>85</v>
      </c>
      <c r="I167" s="26">
        <f>SUMIFS(INDEX(元データ_加工!$C$2:$P$700,0,MATCH($B167,元データ_加工!$C$1:$P$1,0)),元データ_加工!$A$2:$A$700,$A167,元データ_加工!$B$2:$B$700,I$5)</f>
        <v>99</v>
      </c>
      <c r="J167" s="26">
        <f>SUMIFS(INDEX(元データ_加工!$C$2:$P$700,0,MATCH($B167,元データ_加工!$C$1:$P$1,0)),元データ_加工!$A$2:$A$700,$A167,元データ_加工!$B$2:$B$700,J$5)</f>
        <v>134</v>
      </c>
      <c r="K167" s="26">
        <f>SUMIFS(INDEX(元データ_加工!$C$2:$P$700,0,MATCH($B167,元データ_加工!$C$1:$P$1,0)),元データ_加工!$A$2:$A$700,$A167,元データ_加工!$B$2:$B$700,K$5)</f>
        <v>160</v>
      </c>
      <c r="L167" s="26">
        <f>SUMIFS(INDEX(元データ_加工!$C$2:$P$700,0,MATCH($B167,元データ_加工!$C$1:$P$1,0)),元データ_加工!$A$2:$A$700,$A167,元データ_加工!$B$2:$B$700,L$5)</f>
        <v>117</v>
      </c>
      <c r="M167" s="26">
        <f>SUMIFS(INDEX(元データ_加工!$C$2:$P$700,0,MATCH($B167,元データ_加工!$C$1:$P$1,0)),元データ_加工!$A$2:$A$700,$A167,元データ_加工!$B$2:$B$700,M$5)</f>
        <v>152</v>
      </c>
      <c r="N167" s="26">
        <f>SUMIFS(INDEX(元データ_加工!$C$2:$P$700,0,MATCH($B167,元データ_加工!$C$1:$P$1,0)),元データ_加工!$A$2:$A$700,$A167,元データ_加工!$B$2:$B$700,N$5)</f>
        <v>171</v>
      </c>
      <c r="O167" s="26">
        <f t="shared" si="2"/>
        <v>1694</v>
      </c>
      <c r="P167" s="7">
        <f>IFERROR(O167/SUMIFS(元データ_加工!$C$2:$C$700,元データ_加工!$A$2:$A$700,$A167),"")</f>
        <v>5.0925925925925923E-2</v>
      </c>
    </row>
    <row r="168" spans="1:16" x14ac:dyDescent="0.45">
      <c r="A168" t="s">
        <v>46</v>
      </c>
      <c r="B168" t="s">
        <v>108</v>
      </c>
      <c r="C168" s="26">
        <f>SUMIFS(INDEX(元データ_加工!$C$2:$P$700,0,MATCH($B168,元データ_加工!$C$1:$P$1,0)),元データ_加工!$A$2:$A$700,$A168,元データ_加工!$B$2:$B$700,C$5)</f>
        <v>19</v>
      </c>
      <c r="D168" s="26">
        <f>SUMIFS(INDEX(元データ_加工!$C$2:$P$700,0,MATCH($B168,元データ_加工!$C$1:$P$1,0)),元データ_加工!$A$2:$A$700,$A168,元データ_加工!$B$2:$B$700,D$5)</f>
        <v>82</v>
      </c>
      <c r="E168" s="26">
        <f>SUMIFS(INDEX(元データ_加工!$C$2:$P$700,0,MATCH($B168,元データ_加工!$C$1:$P$1,0)),元データ_加工!$A$2:$A$700,$A168,元データ_加工!$B$2:$B$700,E$5)</f>
        <v>136</v>
      </c>
      <c r="F168" s="26">
        <f>SUMIFS(INDEX(元データ_加工!$C$2:$P$700,0,MATCH($B168,元データ_加工!$C$1:$P$1,0)),元データ_加工!$A$2:$A$700,$A168,元データ_加工!$B$2:$B$700,F$5)</f>
        <v>126</v>
      </c>
      <c r="G168" s="26">
        <f>SUMIFS(INDEX(元データ_加工!$C$2:$P$700,0,MATCH($B168,元データ_加工!$C$1:$P$1,0)),元データ_加工!$A$2:$A$700,$A168,元データ_加工!$B$2:$B$700,G$5)</f>
        <v>58</v>
      </c>
      <c r="H168" s="26">
        <f>SUMIFS(INDEX(元データ_加工!$C$2:$P$700,0,MATCH($B168,元データ_加工!$C$1:$P$1,0)),元データ_加工!$A$2:$A$700,$A168,元データ_加工!$B$2:$B$700,H$5)</f>
        <v>60</v>
      </c>
      <c r="I168" s="26">
        <f>SUMIFS(INDEX(元データ_加工!$C$2:$P$700,0,MATCH($B168,元データ_加工!$C$1:$P$1,0)),元データ_加工!$A$2:$A$700,$A168,元データ_加工!$B$2:$B$700,I$5)</f>
        <v>38</v>
      </c>
      <c r="J168" s="26">
        <f>SUMIFS(INDEX(元データ_加工!$C$2:$P$700,0,MATCH($B168,元データ_加工!$C$1:$P$1,0)),元データ_加工!$A$2:$A$700,$A168,元データ_加工!$B$2:$B$700,J$5)</f>
        <v>49</v>
      </c>
      <c r="K168" s="26">
        <f>SUMIFS(INDEX(元データ_加工!$C$2:$P$700,0,MATCH($B168,元データ_加工!$C$1:$P$1,0)),元データ_加工!$A$2:$A$700,$A168,元データ_加工!$B$2:$B$700,K$5)</f>
        <v>53</v>
      </c>
      <c r="L168" s="26">
        <f>SUMIFS(INDEX(元データ_加工!$C$2:$P$700,0,MATCH($B168,元データ_加工!$C$1:$P$1,0)),元データ_加工!$A$2:$A$700,$A168,元データ_加工!$B$2:$B$700,L$5)</f>
        <v>60</v>
      </c>
      <c r="M168" s="26">
        <f>SUMIFS(INDEX(元データ_加工!$C$2:$P$700,0,MATCH($B168,元データ_加工!$C$1:$P$1,0)),元データ_加工!$A$2:$A$700,$A168,元データ_加工!$B$2:$B$700,M$5)</f>
        <v>35</v>
      </c>
      <c r="N168" s="26">
        <f>SUMIFS(INDEX(元データ_加工!$C$2:$P$700,0,MATCH($B168,元データ_加工!$C$1:$P$1,0)),元データ_加工!$A$2:$A$700,$A168,元データ_加工!$B$2:$B$700,N$5)</f>
        <v>30</v>
      </c>
      <c r="O168" s="26">
        <f t="shared" si="2"/>
        <v>746</v>
      </c>
      <c r="P168" s="7">
        <f>IFERROR(O168/SUMIFS(元データ_加工!$C$2:$C$700,元データ_加工!$A$2:$A$700,$A168),"")</f>
        <v>2.2426647426647427E-2</v>
      </c>
    </row>
    <row r="169" spans="1:16" x14ac:dyDescent="0.45">
      <c r="A169" t="s">
        <v>46</v>
      </c>
      <c r="B169" t="s">
        <v>109</v>
      </c>
      <c r="C169" s="26">
        <f>SUMIFS(INDEX(元データ_加工!$C$2:$P$700,0,MATCH($B169,元データ_加工!$C$1:$P$1,0)),元データ_加工!$A$2:$A$700,$A169,元データ_加工!$B$2:$B$700,C$5)</f>
        <v>13</v>
      </c>
      <c r="D169" s="26">
        <f>SUMIFS(INDEX(元データ_加工!$C$2:$P$700,0,MATCH($B169,元データ_加工!$C$1:$P$1,0)),元データ_加工!$A$2:$A$700,$A169,元データ_加工!$B$2:$B$700,D$5)</f>
        <v>16</v>
      </c>
      <c r="E169" s="26">
        <f>SUMIFS(INDEX(元データ_加工!$C$2:$P$700,0,MATCH($B169,元データ_加工!$C$1:$P$1,0)),元データ_加工!$A$2:$A$700,$A169,元データ_加工!$B$2:$B$700,E$5)</f>
        <v>22</v>
      </c>
      <c r="F169" s="26">
        <f>SUMIFS(INDEX(元データ_加工!$C$2:$P$700,0,MATCH($B169,元データ_加工!$C$1:$P$1,0)),元データ_加工!$A$2:$A$700,$A169,元データ_加工!$B$2:$B$700,F$5)</f>
        <v>7</v>
      </c>
      <c r="G169" s="26">
        <f>SUMIFS(INDEX(元データ_加工!$C$2:$P$700,0,MATCH($B169,元データ_加工!$C$1:$P$1,0)),元データ_加工!$A$2:$A$700,$A169,元データ_加工!$B$2:$B$700,G$5)</f>
        <v>9</v>
      </c>
      <c r="H169" s="26">
        <f>SUMIFS(INDEX(元データ_加工!$C$2:$P$700,0,MATCH($B169,元データ_加工!$C$1:$P$1,0)),元データ_加工!$A$2:$A$700,$A169,元データ_加工!$B$2:$B$700,H$5)</f>
        <v>14</v>
      </c>
      <c r="I169" s="26">
        <f>SUMIFS(INDEX(元データ_加工!$C$2:$P$700,0,MATCH($B169,元データ_加工!$C$1:$P$1,0)),元データ_加工!$A$2:$A$700,$A169,元データ_加工!$B$2:$B$700,I$5)</f>
        <v>9</v>
      </c>
      <c r="J169" s="26">
        <f>SUMIFS(INDEX(元データ_加工!$C$2:$P$700,0,MATCH($B169,元データ_加工!$C$1:$P$1,0)),元データ_加工!$A$2:$A$700,$A169,元データ_加工!$B$2:$B$700,J$5)</f>
        <v>3</v>
      </c>
      <c r="K169" s="26">
        <f>SUMIFS(INDEX(元データ_加工!$C$2:$P$700,0,MATCH($B169,元データ_加工!$C$1:$P$1,0)),元データ_加工!$A$2:$A$700,$A169,元データ_加工!$B$2:$B$700,K$5)</f>
        <v>11</v>
      </c>
      <c r="L169" s="26">
        <f>SUMIFS(INDEX(元データ_加工!$C$2:$P$700,0,MATCH($B169,元データ_加工!$C$1:$P$1,0)),元データ_加工!$A$2:$A$700,$A169,元データ_加工!$B$2:$B$700,L$5)</f>
        <v>5</v>
      </c>
      <c r="M169" s="26">
        <f>SUMIFS(INDEX(元データ_加工!$C$2:$P$700,0,MATCH($B169,元データ_加工!$C$1:$P$1,0)),元データ_加工!$A$2:$A$700,$A169,元データ_加工!$B$2:$B$700,M$5)</f>
        <v>7</v>
      </c>
      <c r="N169" s="26">
        <f>SUMIFS(INDEX(元データ_加工!$C$2:$P$700,0,MATCH($B169,元データ_加工!$C$1:$P$1,0)),元データ_加工!$A$2:$A$700,$A169,元データ_加工!$B$2:$B$700,N$5)</f>
        <v>7</v>
      </c>
      <c r="O169" s="26">
        <f t="shared" si="2"/>
        <v>123</v>
      </c>
      <c r="P169" s="7">
        <f>IFERROR(O169/SUMIFS(元データ_加工!$C$2:$C$700,元データ_加工!$A$2:$A$700,$A169),"")</f>
        <v>3.6976911976911975E-3</v>
      </c>
    </row>
    <row r="170" spans="1:16" x14ac:dyDescent="0.45">
      <c r="A170" t="s">
        <v>46</v>
      </c>
      <c r="B170" t="s">
        <v>110</v>
      </c>
      <c r="C170" s="26">
        <f>SUMIFS(INDEX(元データ_加工!$C$2:$P$700,0,MATCH($B170,元データ_加工!$C$1:$P$1,0)),元データ_加工!$A$2:$A$700,$A170,元データ_加工!$B$2:$B$700,C$5)</f>
        <v>0</v>
      </c>
      <c r="D170" s="26">
        <f>SUMIFS(INDEX(元データ_加工!$C$2:$P$700,0,MATCH($B170,元データ_加工!$C$1:$P$1,0)),元データ_加工!$A$2:$A$700,$A170,元データ_加工!$B$2:$B$700,D$5)</f>
        <v>0</v>
      </c>
      <c r="E170" s="26">
        <f>SUMIFS(INDEX(元データ_加工!$C$2:$P$700,0,MATCH($B170,元データ_加工!$C$1:$P$1,0)),元データ_加工!$A$2:$A$700,$A170,元データ_加工!$B$2:$B$700,E$5)</f>
        <v>1</v>
      </c>
      <c r="F170" s="26">
        <f>SUMIFS(INDEX(元データ_加工!$C$2:$P$700,0,MATCH($B170,元データ_加工!$C$1:$P$1,0)),元データ_加工!$A$2:$A$700,$A170,元データ_加工!$B$2:$B$700,F$5)</f>
        <v>0</v>
      </c>
      <c r="G170" s="26">
        <f>SUMIFS(INDEX(元データ_加工!$C$2:$P$700,0,MATCH($B170,元データ_加工!$C$1:$P$1,0)),元データ_加工!$A$2:$A$700,$A170,元データ_加工!$B$2:$B$700,G$5)</f>
        <v>0</v>
      </c>
      <c r="H170" s="26">
        <f>SUMIFS(INDEX(元データ_加工!$C$2:$P$700,0,MATCH($B170,元データ_加工!$C$1:$P$1,0)),元データ_加工!$A$2:$A$700,$A170,元データ_加工!$B$2:$B$700,H$5)</f>
        <v>0</v>
      </c>
      <c r="I170" s="26">
        <f>SUMIFS(INDEX(元データ_加工!$C$2:$P$700,0,MATCH($B170,元データ_加工!$C$1:$P$1,0)),元データ_加工!$A$2:$A$700,$A170,元データ_加工!$B$2:$B$700,I$5)</f>
        <v>0</v>
      </c>
      <c r="J170" s="26">
        <f>SUMIFS(INDEX(元データ_加工!$C$2:$P$700,0,MATCH($B170,元データ_加工!$C$1:$P$1,0)),元データ_加工!$A$2:$A$700,$A170,元データ_加工!$B$2:$B$700,J$5)</f>
        <v>0</v>
      </c>
      <c r="K170" s="26">
        <f>SUMIFS(INDEX(元データ_加工!$C$2:$P$700,0,MATCH($B170,元データ_加工!$C$1:$P$1,0)),元データ_加工!$A$2:$A$700,$A170,元データ_加工!$B$2:$B$700,K$5)</f>
        <v>0</v>
      </c>
      <c r="L170" s="26">
        <f>SUMIFS(INDEX(元データ_加工!$C$2:$P$700,0,MATCH($B170,元データ_加工!$C$1:$P$1,0)),元データ_加工!$A$2:$A$700,$A170,元データ_加工!$B$2:$B$700,L$5)</f>
        <v>0</v>
      </c>
      <c r="M170" s="26">
        <f>SUMIFS(INDEX(元データ_加工!$C$2:$P$700,0,MATCH($B170,元データ_加工!$C$1:$P$1,0)),元データ_加工!$A$2:$A$700,$A170,元データ_加工!$B$2:$B$700,M$5)</f>
        <v>0</v>
      </c>
      <c r="N170" s="26">
        <f>SUMIFS(INDEX(元データ_加工!$C$2:$P$700,0,MATCH($B170,元データ_加工!$C$1:$P$1,0)),元データ_加工!$A$2:$A$700,$A170,元データ_加工!$B$2:$B$700,N$5)</f>
        <v>0</v>
      </c>
      <c r="O170" s="26">
        <f t="shared" si="2"/>
        <v>1</v>
      </c>
      <c r="P170" s="7">
        <f>IFERROR(O170/SUMIFS(元データ_加工!$C$2:$C$700,元データ_加工!$A$2:$A$700,$A170),"")</f>
        <v>3.0062530062530064E-5</v>
      </c>
    </row>
    <row r="171" spans="1:16" x14ac:dyDescent="0.45">
      <c r="A171" t="s">
        <v>46</v>
      </c>
      <c r="B171" t="s">
        <v>111</v>
      </c>
      <c r="C171" s="26">
        <f>SUMIFS(INDEX(元データ_加工!$C$2:$P$700,0,MATCH($B171,元データ_加工!$C$1:$P$1,0)),元データ_加工!$A$2:$A$700,$A171,元データ_加工!$B$2:$B$700,C$5)</f>
        <v>0</v>
      </c>
      <c r="D171" s="26">
        <f>SUMIFS(INDEX(元データ_加工!$C$2:$P$700,0,MATCH($B171,元データ_加工!$C$1:$P$1,0)),元データ_加工!$A$2:$A$700,$A171,元データ_加工!$B$2:$B$700,D$5)</f>
        <v>0</v>
      </c>
      <c r="E171" s="26">
        <f>SUMIFS(INDEX(元データ_加工!$C$2:$P$700,0,MATCH($B171,元データ_加工!$C$1:$P$1,0)),元データ_加工!$A$2:$A$700,$A171,元データ_加工!$B$2:$B$700,E$5)</f>
        <v>0</v>
      </c>
      <c r="F171" s="26">
        <f>SUMIFS(INDEX(元データ_加工!$C$2:$P$700,0,MATCH($B171,元データ_加工!$C$1:$P$1,0)),元データ_加工!$A$2:$A$700,$A171,元データ_加工!$B$2:$B$700,F$5)</f>
        <v>0</v>
      </c>
      <c r="G171" s="26">
        <f>SUMIFS(INDEX(元データ_加工!$C$2:$P$700,0,MATCH($B171,元データ_加工!$C$1:$P$1,0)),元データ_加工!$A$2:$A$700,$A171,元データ_加工!$B$2:$B$700,G$5)</f>
        <v>0</v>
      </c>
      <c r="H171" s="26">
        <f>SUMIFS(INDEX(元データ_加工!$C$2:$P$700,0,MATCH($B171,元データ_加工!$C$1:$P$1,0)),元データ_加工!$A$2:$A$700,$A171,元データ_加工!$B$2:$B$700,H$5)</f>
        <v>0</v>
      </c>
      <c r="I171" s="26">
        <f>SUMIFS(INDEX(元データ_加工!$C$2:$P$700,0,MATCH($B171,元データ_加工!$C$1:$P$1,0)),元データ_加工!$A$2:$A$700,$A171,元データ_加工!$B$2:$B$700,I$5)</f>
        <v>0</v>
      </c>
      <c r="J171" s="26">
        <f>SUMIFS(INDEX(元データ_加工!$C$2:$P$700,0,MATCH($B171,元データ_加工!$C$1:$P$1,0)),元データ_加工!$A$2:$A$700,$A171,元データ_加工!$B$2:$B$700,J$5)</f>
        <v>0</v>
      </c>
      <c r="K171" s="26">
        <f>SUMIFS(INDEX(元データ_加工!$C$2:$P$700,0,MATCH($B171,元データ_加工!$C$1:$P$1,0)),元データ_加工!$A$2:$A$700,$A171,元データ_加工!$B$2:$B$700,K$5)</f>
        <v>0</v>
      </c>
      <c r="L171" s="26">
        <f>SUMIFS(INDEX(元データ_加工!$C$2:$P$700,0,MATCH($B171,元データ_加工!$C$1:$P$1,0)),元データ_加工!$A$2:$A$700,$A171,元データ_加工!$B$2:$B$700,L$5)</f>
        <v>0</v>
      </c>
      <c r="M171" s="26">
        <f>SUMIFS(INDEX(元データ_加工!$C$2:$P$700,0,MATCH($B171,元データ_加工!$C$1:$P$1,0)),元データ_加工!$A$2:$A$700,$A171,元データ_加工!$B$2:$B$700,M$5)</f>
        <v>0</v>
      </c>
      <c r="N171" s="26">
        <f>SUMIFS(INDEX(元データ_加工!$C$2:$P$700,0,MATCH($B171,元データ_加工!$C$1:$P$1,0)),元データ_加工!$A$2:$A$700,$A171,元データ_加工!$B$2:$B$700,N$5)</f>
        <v>0</v>
      </c>
      <c r="O171" s="26">
        <f t="shared" si="2"/>
        <v>0</v>
      </c>
      <c r="P171" s="7">
        <f>IFERROR(O171/SUMIFS(元データ_加工!$C$2:$C$700,元データ_加工!$A$2:$A$700,$A171),"")</f>
        <v>0</v>
      </c>
    </row>
    <row r="172" spans="1:16" x14ac:dyDescent="0.45">
      <c r="A172" t="s">
        <v>46</v>
      </c>
      <c r="B172" t="s">
        <v>112</v>
      </c>
      <c r="C172" s="26">
        <f>SUMIFS(INDEX(元データ_加工!$C$2:$P$700,0,MATCH($B172,元データ_加工!$C$1:$P$1,0)),元データ_加工!$A$2:$A$700,$A172,元データ_加工!$B$2:$B$700,C$5)</f>
        <v>0</v>
      </c>
      <c r="D172" s="26">
        <f>SUMIFS(INDEX(元データ_加工!$C$2:$P$700,0,MATCH($B172,元データ_加工!$C$1:$P$1,0)),元データ_加工!$A$2:$A$700,$A172,元データ_加工!$B$2:$B$700,D$5)</f>
        <v>0</v>
      </c>
      <c r="E172" s="26">
        <f>SUMIFS(INDEX(元データ_加工!$C$2:$P$700,0,MATCH($B172,元データ_加工!$C$1:$P$1,0)),元データ_加工!$A$2:$A$700,$A172,元データ_加工!$B$2:$B$700,E$5)</f>
        <v>0</v>
      </c>
      <c r="F172" s="26">
        <f>SUMIFS(INDEX(元データ_加工!$C$2:$P$700,0,MATCH($B172,元データ_加工!$C$1:$P$1,0)),元データ_加工!$A$2:$A$700,$A172,元データ_加工!$B$2:$B$700,F$5)</f>
        <v>1</v>
      </c>
      <c r="G172" s="26">
        <f>SUMIFS(INDEX(元データ_加工!$C$2:$P$700,0,MATCH($B172,元データ_加工!$C$1:$P$1,0)),元データ_加工!$A$2:$A$700,$A172,元データ_加工!$B$2:$B$700,G$5)</f>
        <v>0</v>
      </c>
      <c r="H172" s="26">
        <f>SUMIFS(INDEX(元データ_加工!$C$2:$P$700,0,MATCH($B172,元データ_加工!$C$1:$P$1,0)),元データ_加工!$A$2:$A$700,$A172,元データ_加工!$B$2:$B$700,H$5)</f>
        <v>0</v>
      </c>
      <c r="I172" s="26">
        <f>SUMIFS(INDEX(元データ_加工!$C$2:$P$700,0,MATCH($B172,元データ_加工!$C$1:$P$1,0)),元データ_加工!$A$2:$A$700,$A172,元データ_加工!$B$2:$B$700,I$5)</f>
        <v>0</v>
      </c>
      <c r="J172" s="26">
        <f>SUMIFS(INDEX(元データ_加工!$C$2:$P$700,0,MATCH($B172,元データ_加工!$C$1:$P$1,0)),元データ_加工!$A$2:$A$700,$A172,元データ_加工!$B$2:$B$700,J$5)</f>
        <v>0</v>
      </c>
      <c r="K172" s="26">
        <f>SUMIFS(INDEX(元データ_加工!$C$2:$P$700,0,MATCH($B172,元データ_加工!$C$1:$P$1,0)),元データ_加工!$A$2:$A$700,$A172,元データ_加工!$B$2:$B$700,K$5)</f>
        <v>1</v>
      </c>
      <c r="L172" s="26">
        <f>SUMIFS(INDEX(元データ_加工!$C$2:$P$700,0,MATCH($B172,元データ_加工!$C$1:$P$1,0)),元データ_加工!$A$2:$A$700,$A172,元データ_加工!$B$2:$B$700,L$5)</f>
        <v>0</v>
      </c>
      <c r="M172" s="26">
        <f>SUMIFS(INDEX(元データ_加工!$C$2:$P$700,0,MATCH($B172,元データ_加工!$C$1:$P$1,0)),元データ_加工!$A$2:$A$700,$A172,元データ_加工!$B$2:$B$700,M$5)</f>
        <v>0</v>
      </c>
      <c r="N172" s="26">
        <f>SUMIFS(INDEX(元データ_加工!$C$2:$P$700,0,MATCH($B172,元データ_加工!$C$1:$P$1,0)),元データ_加工!$A$2:$A$700,$A172,元データ_加工!$B$2:$B$700,N$5)</f>
        <v>0</v>
      </c>
      <c r="O172" s="26">
        <f t="shared" si="2"/>
        <v>2</v>
      </c>
      <c r="P172" s="7">
        <f>IFERROR(O172/SUMIFS(元データ_加工!$C$2:$C$700,元データ_加工!$A$2:$A$700,$A172),"")</f>
        <v>6.0125060125060127E-5</v>
      </c>
    </row>
    <row r="173" spans="1:16" x14ac:dyDescent="0.45">
      <c r="A173" t="s">
        <v>46</v>
      </c>
      <c r="B173" t="s">
        <v>113</v>
      </c>
      <c r="C173" s="26">
        <f>SUMIFS(INDEX(元データ_加工!$C$2:$P$700,0,MATCH($B173,元データ_加工!$C$1:$P$1,0)),元データ_加工!$A$2:$A$700,$A173,元データ_加工!$B$2:$B$700,C$5)</f>
        <v>0</v>
      </c>
      <c r="D173" s="26">
        <f>SUMIFS(INDEX(元データ_加工!$C$2:$P$700,0,MATCH($B173,元データ_加工!$C$1:$P$1,0)),元データ_加工!$A$2:$A$700,$A173,元データ_加工!$B$2:$B$700,D$5)</f>
        <v>0</v>
      </c>
      <c r="E173" s="26">
        <f>SUMIFS(INDEX(元データ_加工!$C$2:$P$700,0,MATCH($B173,元データ_加工!$C$1:$P$1,0)),元データ_加工!$A$2:$A$700,$A173,元データ_加工!$B$2:$B$700,E$5)</f>
        <v>1</v>
      </c>
      <c r="F173" s="26">
        <f>SUMIFS(INDEX(元データ_加工!$C$2:$P$700,0,MATCH($B173,元データ_加工!$C$1:$P$1,0)),元データ_加工!$A$2:$A$700,$A173,元データ_加工!$B$2:$B$700,F$5)</f>
        <v>6</v>
      </c>
      <c r="G173" s="26">
        <f>SUMIFS(INDEX(元データ_加工!$C$2:$P$700,0,MATCH($B173,元データ_加工!$C$1:$P$1,0)),元データ_加工!$A$2:$A$700,$A173,元データ_加工!$B$2:$B$700,G$5)</f>
        <v>1</v>
      </c>
      <c r="H173" s="26">
        <f>SUMIFS(INDEX(元データ_加工!$C$2:$P$700,0,MATCH($B173,元データ_加工!$C$1:$P$1,0)),元データ_加工!$A$2:$A$700,$A173,元データ_加工!$B$2:$B$700,H$5)</f>
        <v>0</v>
      </c>
      <c r="I173" s="26">
        <f>SUMIFS(INDEX(元データ_加工!$C$2:$P$700,0,MATCH($B173,元データ_加工!$C$1:$P$1,0)),元データ_加工!$A$2:$A$700,$A173,元データ_加工!$B$2:$B$700,I$5)</f>
        <v>0</v>
      </c>
      <c r="J173" s="26">
        <f>SUMIFS(INDEX(元データ_加工!$C$2:$P$700,0,MATCH($B173,元データ_加工!$C$1:$P$1,0)),元データ_加工!$A$2:$A$700,$A173,元データ_加工!$B$2:$B$700,J$5)</f>
        <v>0</v>
      </c>
      <c r="K173" s="26">
        <f>SUMIFS(INDEX(元データ_加工!$C$2:$P$700,0,MATCH($B173,元データ_加工!$C$1:$P$1,0)),元データ_加工!$A$2:$A$700,$A173,元データ_加工!$B$2:$B$700,K$5)</f>
        <v>1</v>
      </c>
      <c r="L173" s="26">
        <f>SUMIFS(INDEX(元データ_加工!$C$2:$P$700,0,MATCH($B173,元データ_加工!$C$1:$P$1,0)),元データ_加工!$A$2:$A$700,$A173,元データ_加工!$B$2:$B$700,L$5)</f>
        <v>0</v>
      </c>
      <c r="M173" s="26">
        <f>SUMIFS(INDEX(元データ_加工!$C$2:$P$700,0,MATCH($B173,元データ_加工!$C$1:$P$1,0)),元データ_加工!$A$2:$A$700,$A173,元データ_加工!$B$2:$B$700,M$5)</f>
        <v>2</v>
      </c>
      <c r="N173" s="26">
        <f>SUMIFS(INDEX(元データ_加工!$C$2:$P$700,0,MATCH($B173,元データ_加工!$C$1:$P$1,0)),元データ_加工!$A$2:$A$700,$A173,元データ_加工!$B$2:$B$700,N$5)</f>
        <v>14</v>
      </c>
      <c r="O173" s="26">
        <f t="shared" si="2"/>
        <v>25</v>
      </c>
      <c r="P173" s="7">
        <f>IFERROR(O173/SUMIFS(元データ_加工!$C$2:$C$700,元データ_加工!$A$2:$A$700,$A173),"")</f>
        <v>7.5156325156325158E-4</v>
      </c>
    </row>
    <row r="174" spans="1:16" x14ac:dyDescent="0.45">
      <c r="A174" t="s">
        <v>47</v>
      </c>
      <c r="B174" t="s">
        <v>100</v>
      </c>
      <c r="C174" s="26">
        <f>SUMIFS(INDEX(元データ_加工!$C$2:$P$700,0,MATCH($B174,元データ_加工!$C$1:$P$1,0)),元データ_加工!$A$2:$A$700,$A174,元データ_加工!$B$2:$B$700,C$5)</f>
        <v>2234</v>
      </c>
      <c r="D174" s="26">
        <f>SUMIFS(INDEX(元データ_加工!$C$2:$P$700,0,MATCH($B174,元データ_加工!$C$1:$P$1,0)),元データ_加工!$A$2:$A$700,$A174,元データ_加工!$B$2:$B$700,D$5)</f>
        <v>2149</v>
      </c>
      <c r="E174" s="26">
        <f>SUMIFS(INDEX(元データ_加工!$C$2:$P$700,0,MATCH($B174,元データ_加工!$C$1:$P$1,0)),元データ_加工!$A$2:$A$700,$A174,元データ_加工!$B$2:$B$700,E$5)</f>
        <v>3096</v>
      </c>
      <c r="F174" s="26">
        <f>SUMIFS(INDEX(元データ_加工!$C$2:$P$700,0,MATCH($B174,元データ_加工!$C$1:$P$1,0)),元データ_加工!$A$2:$A$700,$A174,元データ_加工!$B$2:$B$700,F$5)</f>
        <v>2927</v>
      </c>
      <c r="G174" s="26">
        <f>SUMIFS(INDEX(元データ_加工!$C$2:$P$700,0,MATCH($B174,元データ_加工!$C$1:$P$1,0)),元データ_加工!$A$2:$A$700,$A174,元データ_加工!$B$2:$B$700,G$5)</f>
        <v>3085</v>
      </c>
      <c r="H174" s="26">
        <f>SUMIFS(INDEX(元データ_加工!$C$2:$P$700,0,MATCH($B174,元データ_加工!$C$1:$P$1,0)),元データ_加工!$A$2:$A$700,$A174,元データ_加工!$B$2:$B$700,H$5)</f>
        <v>1942</v>
      </c>
      <c r="I174" s="26">
        <f>SUMIFS(INDEX(元データ_加工!$C$2:$P$700,0,MATCH($B174,元データ_加工!$C$1:$P$1,0)),元データ_加工!$A$2:$A$700,$A174,元データ_加工!$B$2:$B$700,I$5)</f>
        <v>1729</v>
      </c>
      <c r="J174" s="26">
        <f>SUMIFS(INDEX(元データ_加工!$C$2:$P$700,0,MATCH($B174,元データ_加工!$C$1:$P$1,0)),元データ_加工!$A$2:$A$700,$A174,元データ_加工!$B$2:$B$700,J$5)</f>
        <v>3369</v>
      </c>
      <c r="K174" s="26">
        <f>SUMIFS(INDEX(元データ_加工!$C$2:$P$700,0,MATCH($B174,元データ_加工!$C$1:$P$1,0)),元データ_加工!$A$2:$A$700,$A174,元データ_加工!$B$2:$B$700,K$5)</f>
        <v>6286</v>
      </c>
      <c r="L174" s="26">
        <f>SUMIFS(INDEX(元データ_加工!$C$2:$P$700,0,MATCH($B174,元データ_加工!$C$1:$P$1,0)),元データ_加工!$A$2:$A$700,$A174,元データ_加工!$B$2:$B$700,L$5)</f>
        <v>4181</v>
      </c>
      <c r="M174" s="26">
        <f>SUMIFS(INDEX(元データ_加工!$C$2:$P$700,0,MATCH($B174,元データ_加工!$C$1:$P$1,0)),元データ_加工!$A$2:$A$700,$A174,元データ_加工!$B$2:$B$700,M$5)</f>
        <v>3661</v>
      </c>
      <c r="N174" s="26">
        <f>SUMIFS(INDEX(元データ_加工!$C$2:$P$700,0,MATCH($B174,元データ_加工!$C$1:$P$1,0)),元データ_加工!$A$2:$A$700,$A174,元データ_加工!$B$2:$B$700,N$5)</f>
        <v>2676</v>
      </c>
      <c r="O174" s="26">
        <f t="shared" si="2"/>
        <v>37335</v>
      </c>
      <c r="P174" s="7">
        <f>IFERROR(O174/SUMIFS(元データ_加工!$C$2:$C$700,元データ_加工!$A$2:$A$700,$A174),"")</f>
        <v>1</v>
      </c>
    </row>
    <row r="175" spans="1:16" x14ac:dyDescent="0.45">
      <c r="A175" t="s">
        <v>47</v>
      </c>
      <c r="B175" t="s">
        <v>101</v>
      </c>
      <c r="C175" s="26">
        <f>SUMIFS(INDEX(元データ_加工!$C$2:$P$700,0,MATCH($B175,元データ_加工!$C$1:$P$1,0)),元データ_加工!$A$2:$A$700,$A175,元データ_加工!$B$2:$B$700,C$5)</f>
        <v>1481</v>
      </c>
      <c r="D175" s="26">
        <f>SUMIFS(INDEX(元データ_加工!$C$2:$P$700,0,MATCH($B175,元データ_加工!$C$1:$P$1,0)),元データ_加工!$A$2:$A$700,$A175,元データ_加工!$B$2:$B$700,D$5)</f>
        <v>1827</v>
      </c>
      <c r="E175" s="26">
        <f>SUMIFS(INDEX(元データ_加工!$C$2:$P$700,0,MATCH($B175,元データ_加工!$C$1:$P$1,0)),元データ_加工!$A$2:$A$700,$A175,元データ_加工!$B$2:$B$700,E$5)</f>
        <v>2154</v>
      </c>
      <c r="F175" s="26">
        <f>SUMIFS(INDEX(元データ_加工!$C$2:$P$700,0,MATCH($B175,元データ_加工!$C$1:$P$1,0)),元データ_加工!$A$2:$A$700,$A175,元データ_加工!$B$2:$B$700,F$5)</f>
        <v>1887</v>
      </c>
      <c r="G175" s="26">
        <f>SUMIFS(INDEX(元データ_加工!$C$2:$P$700,0,MATCH($B175,元データ_加工!$C$1:$P$1,0)),元データ_加工!$A$2:$A$700,$A175,元データ_加工!$B$2:$B$700,G$5)</f>
        <v>1909</v>
      </c>
      <c r="H175" s="26">
        <f>SUMIFS(INDEX(元データ_加工!$C$2:$P$700,0,MATCH($B175,元データ_加工!$C$1:$P$1,0)),元データ_加工!$A$2:$A$700,$A175,元データ_加工!$B$2:$B$700,H$5)</f>
        <v>1413</v>
      </c>
      <c r="I175" s="26">
        <f>SUMIFS(INDEX(元データ_加工!$C$2:$P$700,0,MATCH($B175,元データ_加工!$C$1:$P$1,0)),元データ_加工!$A$2:$A$700,$A175,元データ_加工!$B$2:$B$700,I$5)</f>
        <v>1434</v>
      </c>
      <c r="J175" s="26">
        <f>SUMIFS(INDEX(元データ_加工!$C$2:$P$700,0,MATCH($B175,元データ_加工!$C$1:$P$1,0)),元データ_加工!$A$2:$A$700,$A175,元データ_加工!$B$2:$B$700,J$5)</f>
        <v>1979</v>
      </c>
      <c r="K175" s="26">
        <f>SUMIFS(INDEX(元データ_加工!$C$2:$P$700,0,MATCH($B175,元データ_加工!$C$1:$P$1,0)),元データ_加工!$A$2:$A$700,$A175,元データ_加工!$B$2:$B$700,K$5)</f>
        <v>1793</v>
      </c>
      <c r="L175" s="26">
        <f>SUMIFS(INDEX(元データ_加工!$C$2:$P$700,0,MATCH($B175,元データ_加工!$C$1:$P$1,0)),元データ_加工!$A$2:$A$700,$A175,元データ_加工!$B$2:$B$700,L$5)</f>
        <v>1492</v>
      </c>
      <c r="M175" s="26">
        <f>SUMIFS(INDEX(元データ_加工!$C$2:$P$700,0,MATCH($B175,元データ_加工!$C$1:$P$1,0)),元データ_加工!$A$2:$A$700,$A175,元データ_加工!$B$2:$B$700,M$5)</f>
        <v>1824</v>
      </c>
      <c r="N175" s="26">
        <f>SUMIFS(INDEX(元データ_加工!$C$2:$P$700,0,MATCH($B175,元データ_加工!$C$1:$P$1,0)),元データ_加工!$A$2:$A$700,$A175,元データ_加工!$B$2:$B$700,N$5)</f>
        <v>1573</v>
      </c>
      <c r="O175" s="26">
        <f t="shared" si="2"/>
        <v>20766</v>
      </c>
      <c r="P175" s="7">
        <f>IFERROR(O175/SUMIFS(元データ_加工!$C$2:$C$700,元データ_加工!$A$2:$A$700,$A175),"")</f>
        <v>0.55620731217356367</v>
      </c>
    </row>
    <row r="176" spans="1:16" x14ac:dyDescent="0.45">
      <c r="A176" t="s">
        <v>47</v>
      </c>
      <c r="B176" t="s">
        <v>102</v>
      </c>
      <c r="C176" s="26">
        <f>SUMIFS(INDEX(元データ_加工!$C$2:$P$700,0,MATCH($B176,元データ_加工!$C$1:$P$1,0)),元データ_加工!$A$2:$A$700,$A176,元データ_加工!$B$2:$B$700,C$5)</f>
        <v>0</v>
      </c>
      <c r="D176" s="26">
        <f>SUMIFS(INDEX(元データ_加工!$C$2:$P$700,0,MATCH($B176,元データ_加工!$C$1:$P$1,0)),元データ_加工!$A$2:$A$700,$A176,元データ_加工!$B$2:$B$700,D$5)</f>
        <v>0</v>
      </c>
      <c r="E176" s="26">
        <f>SUMIFS(INDEX(元データ_加工!$C$2:$P$700,0,MATCH($B176,元データ_加工!$C$1:$P$1,0)),元データ_加工!$A$2:$A$700,$A176,元データ_加工!$B$2:$B$700,E$5)</f>
        <v>0</v>
      </c>
      <c r="F176" s="26">
        <f>SUMIFS(INDEX(元データ_加工!$C$2:$P$700,0,MATCH($B176,元データ_加工!$C$1:$P$1,0)),元データ_加工!$A$2:$A$700,$A176,元データ_加工!$B$2:$B$700,F$5)</f>
        <v>0</v>
      </c>
      <c r="G176" s="26">
        <f>SUMIFS(INDEX(元データ_加工!$C$2:$P$700,0,MATCH($B176,元データ_加工!$C$1:$P$1,0)),元データ_加工!$A$2:$A$700,$A176,元データ_加工!$B$2:$B$700,G$5)</f>
        <v>0</v>
      </c>
      <c r="H176" s="26">
        <f>SUMIFS(INDEX(元データ_加工!$C$2:$P$700,0,MATCH($B176,元データ_加工!$C$1:$P$1,0)),元データ_加工!$A$2:$A$700,$A176,元データ_加工!$B$2:$B$700,H$5)</f>
        <v>0</v>
      </c>
      <c r="I176" s="26">
        <f>SUMIFS(INDEX(元データ_加工!$C$2:$P$700,0,MATCH($B176,元データ_加工!$C$1:$P$1,0)),元データ_加工!$A$2:$A$700,$A176,元データ_加工!$B$2:$B$700,I$5)</f>
        <v>1</v>
      </c>
      <c r="J176" s="26">
        <f>SUMIFS(INDEX(元データ_加工!$C$2:$P$700,0,MATCH($B176,元データ_加工!$C$1:$P$1,0)),元データ_加工!$A$2:$A$700,$A176,元データ_加工!$B$2:$B$700,J$5)</f>
        <v>1</v>
      </c>
      <c r="K176" s="26">
        <f>SUMIFS(INDEX(元データ_加工!$C$2:$P$700,0,MATCH($B176,元データ_加工!$C$1:$P$1,0)),元データ_加工!$A$2:$A$700,$A176,元データ_加工!$B$2:$B$700,K$5)</f>
        <v>4</v>
      </c>
      <c r="L176" s="26">
        <f>SUMIFS(INDEX(元データ_加工!$C$2:$P$700,0,MATCH($B176,元データ_加工!$C$1:$P$1,0)),元データ_加工!$A$2:$A$700,$A176,元データ_加工!$B$2:$B$700,L$5)</f>
        <v>0</v>
      </c>
      <c r="M176" s="26">
        <f>SUMIFS(INDEX(元データ_加工!$C$2:$P$700,0,MATCH($B176,元データ_加工!$C$1:$P$1,0)),元データ_加工!$A$2:$A$700,$A176,元データ_加工!$B$2:$B$700,M$5)</f>
        <v>0</v>
      </c>
      <c r="N176" s="26">
        <f>SUMIFS(INDEX(元データ_加工!$C$2:$P$700,0,MATCH($B176,元データ_加工!$C$1:$P$1,0)),元データ_加工!$A$2:$A$700,$A176,元データ_加工!$B$2:$B$700,N$5)</f>
        <v>0</v>
      </c>
      <c r="O176" s="26">
        <f t="shared" si="2"/>
        <v>6</v>
      </c>
      <c r="P176" s="7">
        <f>IFERROR(O176/SUMIFS(元データ_加工!$C$2:$C$700,元データ_加工!$A$2:$A$700,$A176),"")</f>
        <v>1.6070711128967456E-4</v>
      </c>
    </row>
    <row r="177" spans="1:16" x14ac:dyDescent="0.45">
      <c r="A177" t="s">
        <v>47</v>
      </c>
      <c r="B177" t="s">
        <v>103</v>
      </c>
      <c r="C177" s="26">
        <f>SUMIFS(INDEX(元データ_加工!$C$2:$P$700,0,MATCH($B177,元データ_加工!$C$1:$P$1,0)),元データ_加工!$A$2:$A$700,$A177,元データ_加工!$B$2:$B$700,C$5)</f>
        <v>0</v>
      </c>
      <c r="D177" s="26">
        <f>SUMIFS(INDEX(元データ_加工!$C$2:$P$700,0,MATCH($B177,元データ_加工!$C$1:$P$1,0)),元データ_加工!$A$2:$A$700,$A177,元データ_加工!$B$2:$B$700,D$5)</f>
        <v>0</v>
      </c>
      <c r="E177" s="26">
        <f>SUMIFS(INDEX(元データ_加工!$C$2:$P$700,0,MATCH($B177,元データ_加工!$C$1:$P$1,0)),元データ_加工!$A$2:$A$700,$A177,元データ_加工!$B$2:$B$700,E$5)</f>
        <v>6</v>
      </c>
      <c r="F177" s="26">
        <f>SUMIFS(INDEX(元データ_加工!$C$2:$P$700,0,MATCH($B177,元データ_加工!$C$1:$P$1,0)),元データ_加工!$A$2:$A$700,$A177,元データ_加工!$B$2:$B$700,F$5)</f>
        <v>15</v>
      </c>
      <c r="G177" s="26">
        <f>SUMIFS(INDEX(元データ_加工!$C$2:$P$700,0,MATCH($B177,元データ_加工!$C$1:$P$1,0)),元データ_加工!$A$2:$A$700,$A177,元データ_加工!$B$2:$B$700,G$5)</f>
        <v>31</v>
      </c>
      <c r="H177" s="26">
        <f>SUMIFS(INDEX(元データ_加工!$C$2:$P$700,0,MATCH($B177,元データ_加工!$C$1:$P$1,0)),元データ_加工!$A$2:$A$700,$A177,元データ_加工!$B$2:$B$700,H$5)</f>
        <v>24</v>
      </c>
      <c r="I177" s="26">
        <f>SUMIFS(INDEX(元データ_加工!$C$2:$P$700,0,MATCH($B177,元データ_加工!$C$1:$P$1,0)),元データ_加工!$A$2:$A$700,$A177,元データ_加工!$B$2:$B$700,I$5)</f>
        <v>18</v>
      </c>
      <c r="J177" s="26">
        <f>SUMIFS(INDEX(元データ_加工!$C$2:$P$700,0,MATCH($B177,元データ_加工!$C$1:$P$1,0)),元データ_加工!$A$2:$A$700,$A177,元データ_加工!$B$2:$B$700,J$5)</f>
        <v>6</v>
      </c>
      <c r="K177" s="26">
        <f>SUMIFS(INDEX(元データ_加工!$C$2:$P$700,0,MATCH($B177,元データ_加工!$C$1:$P$1,0)),元データ_加工!$A$2:$A$700,$A177,元データ_加工!$B$2:$B$700,K$5)</f>
        <v>1</v>
      </c>
      <c r="L177" s="26">
        <f>SUMIFS(INDEX(元データ_加工!$C$2:$P$700,0,MATCH($B177,元データ_加工!$C$1:$P$1,0)),元データ_加工!$A$2:$A$700,$A177,元データ_加工!$B$2:$B$700,L$5)</f>
        <v>0</v>
      </c>
      <c r="M177" s="26">
        <f>SUMIFS(INDEX(元データ_加工!$C$2:$P$700,0,MATCH($B177,元データ_加工!$C$1:$P$1,0)),元データ_加工!$A$2:$A$700,$A177,元データ_加工!$B$2:$B$700,M$5)</f>
        <v>0</v>
      </c>
      <c r="N177" s="26">
        <f>SUMIFS(INDEX(元データ_加工!$C$2:$P$700,0,MATCH($B177,元データ_加工!$C$1:$P$1,0)),元データ_加工!$A$2:$A$700,$A177,元データ_加工!$B$2:$B$700,N$5)</f>
        <v>0</v>
      </c>
      <c r="O177" s="26">
        <f t="shared" si="2"/>
        <v>101</v>
      </c>
      <c r="P177" s="7">
        <f>IFERROR(O177/SUMIFS(元データ_加工!$C$2:$C$700,元データ_加工!$A$2:$A$700,$A177),"")</f>
        <v>2.7052363733761887E-3</v>
      </c>
    </row>
    <row r="178" spans="1:16" x14ac:dyDescent="0.45">
      <c r="A178" t="s">
        <v>47</v>
      </c>
      <c r="B178" t="s">
        <v>104</v>
      </c>
      <c r="C178" s="26">
        <f>SUMIFS(INDEX(元データ_加工!$C$2:$P$700,0,MATCH($B178,元データ_加工!$C$1:$P$1,0)),元データ_加工!$A$2:$A$700,$A178,元データ_加工!$B$2:$B$700,C$5)</f>
        <v>30</v>
      </c>
      <c r="D178" s="26">
        <f>SUMIFS(INDEX(元データ_加工!$C$2:$P$700,0,MATCH($B178,元データ_加工!$C$1:$P$1,0)),元データ_加工!$A$2:$A$700,$A178,元データ_加工!$B$2:$B$700,D$5)</f>
        <v>21</v>
      </c>
      <c r="E178" s="26">
        <f>SUMIFS(INDEX(元データ_加工!$C$2:$P$700,0,MATCH($B178,元データ_加工!$C$1:$P$1,0)),元データ_加工!$A$2:$A$700,$A178,元データ_加工!$B$2:$B$700,E$5)</f>
        <v>28</v>
      </c>
      <c r="F178" s="26">
        <f>SUMIFS(INDEX(元データ_加工!$C$2:$P$700,0,MATCH($B178,元データ_加工!$C$1:$P$1,0)),元データ_加工!$A$2:$A$700,$A178,元データ_加工!$B$2:$B$700,F$5)</f>
        <v>14</v>
      </c>
      <c r="G178" s="26">
        <f>SUMIFS(INDEX(元データ_加工!$C$2:$P$700,0,MATCH($B178,元データ_加工!$C$1:$P$1,0)),元データ_加工!$A$2:$A$700,$A178,元データ_加工!$B$2:$B$700,G$5)</f>
        <v>60</v>
      </c>
      <c r="H178" s="26">
        <f>SUMIFS(INDEX(元データ_加工!$C$2:$P$700,0,MATCH($B178,元データ_加工!$C$1:$P$1,0)),元データ_加工!$A$2:$A$700,$A178,元データ_加工!$B$2:$B$700,H$5)</f>
        <v>44</v>
      </c>
      <c r="I178" s="26">
        <f>SUMIFS(INDEX(元データ_加工!$C$2:$P$700,0,MATCH($B178,元データ_加工!$C$1:$P$1,0)),元データ_加工!$A$2:$A$700,$A178,元データ_加工!$B$2:$B$700,I$5)</f>
        <v>24</v>
      </c>
      <c r="J178" s="26">
        <f>SUMIFS(INDEX(元データ_加工!$C$2:$P$700,0,MATCH($B178,元データ_加工!$C$1:$P$1,0)),元データ_加工!$A$2:$A$700,$A178,元データ_加工!$B$2:$B$700,J$5)</f>
        <v>114</v>
      </c>
      <c r="K178" s="26">
        <f>SUMIFS(INDEX(元データ_加工!$C$2:$P$700,0,MATCH($B178,元データ_加工!$C$1:$P$1,0)),元データ_加工!$A$2:$A$700,$A178,元データ_加工!$B$2:$B$700,K$5)</f>
        <v>114</v>
      </c>
      <c r="L178" s="26">
        <f>SUMIFS(INDEX(元データ_加工!$C$2:$P$700,0,MATCH($B178,元データ_加工!$C$1:$P$1,0)),元データ_加工!$A$2:$A$700,$A178,元データ_加工!$B$2:$B$700,L$5)</f>
        <v>65</v>
      </c>
      <c r="M178" s="26">
        <f>SUMIFS(INDEX(元データ_加工!$C$2:$P$700,0,MATCH($B178,元データ_加工!$C$1:$P$1,0)),元データ_加工!$A$2:$A$700,$A178,元データ_加工!$B$2:$B$700,M$5)</f>
        <v>35</v>
      </c>
      <c r="N178" s="26">
        <f>SUMIFS(INDEX(元データ_加工!$C$2:$P$700,0,MATCH($B178,元データ_加工!$C$1:$P$1,0)),元データ_加工!$A$2:$A$700,$A178,元データ_加工!$B$2:$B$700,N$5)</f>
        <v>16</v>
      </c>
      <c r="O178" s="26">
        <f t="shared" si="2"/>
        <v>565</v>
      </c>
      <c r="P178" s="7">
        <f>IFERROR(O178/SUMIFS(元データ_加工!$C$2:$C$700,元データ_加工!$A$2:$A$700,$A178),"")</f>
        <v>1.5133252979777689E-2</v>
      </c>
    </row>
    <row r="179" spans="1:16" x14ac:dyDescent="0.45">
      <c r="A179" t="s">
        <v>47</v>
      </c>
      <c r="B179" t="s">
        <v>105</v>
      </c>
      <c r="C179" s="26">
        <f>SUMIFS(INDEX(元データ_加工!$C$2:$P$700,0,MATCH($B179,元データ_加工!$C$1:$P$1,0)),元データ_加工!$A$2:$A$700,$A179,元データ_加工!$B$2:$B$700,C$5)</f>
        <v>7</v>
      </c>
      <c r="D179" s="26">
        <f>SUMIFS(INDEX(元データ_加工!$C$2:$P$700,0,MATCH($B179,元データ_加工!$C$1:$P$1,0)),元データ_加工!$A$2:$A$700,$A179,元データ_加工!$B$2:$B$700,D$5)</f>
        <v>0</v>
      </c>
      <c r="E179" s="26">
        <f>SUMIFS(INDEX(元データ_加工!$C$2:$P$700,0,MATCH($B179,元データ_加工!$C$1:$P$1,0)),元データ_加工!$A$2:$A$700,$A179,元データ_加工!$B$2:$B$700,E$5)</f>
        <v>4</v>
      </c>
      <c r="F179" s="26">
        <f>SUMIFS(INDEX(元データ_加工!$C$2:$P$700,0,MATCH($B179,元データ_加工!$C$1:$P$1,0)),元データ_加工!$A$2:$A$700,$A179,元データ_加工!$B$2:$B$700,F$5)</f>
        <v>0</v>
      </c>
      <c r="G179" s="26">
        <f>SUMIFS(INDEX(元データ_加工!$C$2:$P$700,0,MATCH($B179,元データ_加工!$C$1:$P$1,0)),元データ_加工!$A$2:$A$700,$A179,元データ_加工!$B$2:$B$700,G$5)</f>
        <v>0</v>
      </c>
      <c r="H179" s="26">
        <f>SUMIFS(INDEX(元データ_加工!$C$2:$P$700,0,MATCH($B179,元データ_加工!$C$1:$P$1,0)),元データ_加工!$A$2:$A$700,$A179,元データ_加工!$B$2:$B$700,H$5)</f>
        <v>0</v>
      </c>
      <c r="I179" s="26">
        <f>SUMIFS(INDEX(元データ_加工!$C$2:$P$700,0,MATCH($B179,元データ_加工!$C$1:$P$1,0)),元データ_加工!$A$2:$A$700,$A179,元データ_加工!$B$2:$B$700,I$5)</f>
        <v>3</v>
      </c>
      <c r="J179" s="26">
        <f>SUMIFS(INDEX(元データ_加工!$C$2:$P$700,0,MATCH($B179,元データ_加工!$C$1:$P$1,0)),元データ_加工!$A$2:$A$700,$A179,元データ_加工!$B$2:$B$700,J$5)</f>
        <v>48</v>
      </c>
      <c r="K179" s="26">
        <f>SUMIFS(INDEX(元データ_加工!$C$2:$P$700,0,MATCH($B179,元データ_加工!$C$1:$P$1,0)),元データ_加工!$A$2:$A$700,$A179,元データ_加工!$B$2:$B$700,K$5)</f>
        <v>129</v>
      </c>
      <c r="L179" s="26">
        <f>SUMIFS(INDEX(元データ_加工!$C$2:$P$700,0,MATCH($B179,元データ_加工!$C$1:$P$1,0)),元データ_加工!$A$2:$A$700,$A179,元データ_加工!$B$2:$B$700,L$5)</f>
        <v>58</v>
      </c>
      <c r="M179" s="26">
        <f>SUMIFS(INDEX(元データ_加工!$C$2:$P$700,0,MATCH($B179,元データ_加工!$C$1:$P$1,0)),元データ_加工!$A$2:$A$700,$A179,元データ_加工!$B$2:$B$700,M$5)</f>
        <v>12</v>
      </c>
      <c r="N179" s="26">
        <f>SUMIFS(INDEX(元データ_加工!$C$2:$P$700,0,MATCH($B179,元データ_加工!$C$1:$P$1,0)),元データ_加工!$A$2:$A$700,$A179,元データ_加工!$B$2:$B$700,N$5)</f>
        <v>5</v>
      </c>
      <c r="O179" s="26">
        <f t="shared" si="2"/>
        <v>266</v>
      </c>
      <c r="P179" s="7">
        <f>IFERROR(O179/SUMIFS(元データ_加工!$C$2:$C$700,元データ_加工!$A$2:$A$700,$A179),"")</f>
        <v>7.1246819338422395E-3</v>
      </c>
    </row>
    <row r="180" spans="1:16" x14ac:dyDescent="0.45">
      <c r="A180" t="s">
        <v>47</v>
      </c>
      <c r="B180" t="s">
        <v>106</v>
      </c>
      <c r="C180" s="26">
        <f>SUMIFS(INDEX(元データ_加工!$C$2:$P$700,0,MATCH($B180,元データ_加工!$C$1:$P$1,0)),元データ_加工!$A$2:$A$700,$A180,元データ_加工!$B$2:$B$700,C$5)</f>
        <v>495</v>
      </c>
      <c r="D180" s="26">
        <f>SUMIFS(INDEX(元データ_加工!$C$2:$P$700,0,MATCH($B180,元データ_加工!$C$1:$P$1,0)),元データ_加工!$A$2:$A$700,$A180,元データ_加工!$B$2:$B$700,D$5)</f>
        <v>444</v>
      </c>
      <c r="E180" s="26">
        <f>SUMIFS(INDEX(元データ_加工!$C$2:$P$700,0,MATCH($B180,元データ_加工!$C$1:$P$1,0)),元データ_加工!$A$2:$A$700,$A180,元データ_加工!$B$2:$B$700,E$5)</f>
        <v>493</v>
      </c>
      <c r="F180" s="26">
        <f>SUMIFS(INDEX(元データ_加工!$C$2:$P$700,0,MATCH($B180,元データ_加工!$C$1:$P$1,0)),元データ_加工!$A$2:$A$700,$A180,元データ_加工!$B$2:$B$700,F$5)</f>
        <v>460</v>
      </c>
      <c r="G180" s="26">
        <f>SUMIFS(INDEX(元データ_加工!$C$2:$P$700,0,MATCH($B180,元データ_加工!$C$1:$P$1,0)),元データ_加工!$A$2:$A$700,$A180,元データ_加工!$B$2:$B$700,G$5)</f>
        <v>471</v>
      </c>
      <c r="H180" s="26">
        <f>SUMIFS(INDEX(元データ_加工!$C$2:$P$700,0,MATCH($B180,元データ_加工!$C$1:$P$1,0)),元データ_加工!$A$2:$A$700,$A180,元データ_加工!$B$2:$B$700,H$5)</f>
        <v>259</v>
      </c>
      <c r="I180" s="26">
        <f>SUMIFS(INDEX(元データ_加工!$C$2:$P$700,0,MATCH($B180,元データ_加工!$C$1:$P$1,0)),元データ_加工!$A$2:$A$700,$A180,元データ_加工!$B$2:$B$700,I$5)</f>
        <v>231</v>
      </c>
      <c r="J180" s="26">
        <f>SUMIFS(INDEX(元データ_加工!$C$2:$P$700,0,MATCH($B180,元データ_加工!$C$1:$P$1,0)),元データ_加工!$A$2:$A$700,$A180,元データ_加工!$B$2:$B$700,J$5)</f>
        <v>465</v>
      </c>
      <c r="K180" s="26">
        <f>SUMIFS(INDEX(元データ_加工!$C$2:$P$700,0,MATCH($B180,元データ_加工!$C$1:$P$1,0)),元データ_加工!$A$2:$A$700,$A180,元データ_加工!$B$2:$B$700,K$5)</f>
        <v>619</v>
      </c>
      <c r="L180" s="26">
        <f>SUMIFS(INDEX(元データ_加工!$C$2:$P$700,0,MATCH($B180,元データ_加工!$C$1:$P$1,0)),元データ_加工!$A$2:$A$700,$A180,元データ_加工!$B$2:$B$700,L$5)</f>
        <v>368</v>
      </c>
      <c r="M180" s="26">
        <f>SUMIFS(INDEX(元データ_加工!$C$2:$P$700,0,MATCH($B180,元データ_加工!$C$1:$P$1,0)),元データ_加工!$A$2:$A$700,$A180,元データ_加工!$B$2:$B$700,M$5)</f>
        <v>495</v>
      </c>
      <c r="N180" s="26">
        <f>SUMIFS(INDEX(元データ_加工!$C$2:$P$700,0,MATCH($B180,元データ_加工!$C$1:$P$1,0)),元データ_加工!$A$2:$A$700,$A180,元データ_加工!$B$2:$B$700,N$5)</f>
        <v>570</v>
      </c>
      <c r="O180" s="26">
        <f t="shared" si="2"/>
        <v>5370</v>
      </c>
      <c r="P180" s="7">
        <f>IFERROR(O180/SUMIFS(元データ_加工!$C$2:$C$700,元データ_加工!$A$2:$A$700,$A180),"")</f>
        <v>0.14383286460425873</v>
      </c>
    </row>
    <row r="181" spans="1:16" x14ac:dyDescent="0.45">
      <c r="A181" t="s">
        <v>47</v>
      </c>
      <c r="B181" t="s">
        <v>107</v>
      </c>
      <c r="C181" s="26">
        <f>SUMIFS(INDEX(元データ_加工!$C$2:$P$700,0,MATCH($B181,元データ_加工!$C$1:$P$1,0)),元データ_加工!$A$2:$A$700,$A181,元データ_加工!$B$2:$B$700,C$5)</f>
        <v>18</v>
      </c>
      <c r="D181" s="26">
        <f>SUMIFS(INDEX(元データ_加工!$C$2:$P$700,0,MATCH($B181,元データ_加工!$C$1:$P$1,0)),元データ_加工!$A$2:$A$700,$A181,元データ_加工!$B$2:$B$700,D$5)</f>
        <v>15</v>
      </c>
      <c r="E181" s="26">
        <f>SUMIFS(INDEX(元データ_加工!$C$2:$P$700,0,MATCH($B181,元データ_加工!$C$1:$P$1,0)),元データ_加工!$A$2:$A$700,$A181,元データ_加工!$B$2:$B$700,E$5)</f>
        <v>13</v>
      </c>
      <c r="F181" s="26">
        <f>SUMIFS(INDEX(元データ_加工!$C$2:$P$700,0,MATCH($B181,元データ_加工!$C$1:$P$1,0)),元データ_加工!$A$2:$A$700,$A181,元データ_加工!$B$2:$B$700,F$5)</f>
        <v>15</v>
      </c>
      <c r="G181" s="26">
        <f>SUMIFS(INDEX(元データ_加工!$C$2:$P$700,0,MATCH($B181,元データ_加工!$C$1:$P$1,0)),元データ_加工!$A$2:$A$700,$A181,元データ_加工!$B$2:$B$700,G$5)</f>
        <v>3</v>
      </c>
      <c r="H181" s="26">
        <f>SUMIFS(INDEX(元データ_加工!$C$2:$P$700,0,MATCH($B181,元データ_加工!$C$1:$P$1,0)),元データ_加工!$A$2:$A$700,$A181,元データ_加工!$B$2:$B$700,H$5)</f>
        <v>3</v>
      </c>
      <c r="I181" s="26">
        <f>SUMIFS(INDEX(元データ_加工!$C$2:$P$700,0,MATCH($B181,元データ_加工!$C$1:$P$1,0)),元データ_加工!$A$2:$A$700,$A181,元データ_加工!$B$2:$B$700,I$5)</f>
        <v>4</v>
      </c>
      <c r="J181" s="26">
        <f>SUMIFS(INDEX(元データ_加工!$C$2:$P$700,0,MATCH($B181,元データ_加工!$C$1:$P$1,0)),元データ_加工!$A$2:$A$700,$A181,元データ_加工!$B$2:$B$700,J$5)</f>
        <v>2</v>
      </c>
      <c r="K181" s="26">
        <f>SUMIFS(INDEX(元データ_加工!$C$2:$P$700,0,MATCH($B181,元データ_加工!$C$1:$P$1,0)),元データ_加工!$A$2:$A$700,$A181,元データ_加工!$B$2:$B$700,K$5)</f>
        <v>2</v>
      </c>
      <c r="L181" s="26">
        <f>SUMIFS(INDEX(元データ_加工!$C$2:$P$700,0,MATCH($B181,元データ_加工!$C$1:$P$1,0)),元データ_加工!$A$2:$A$700,$A181,元データ_加工!$B$2:$B$700,L$5)</f>
        <v>2</v>
      </c>
      <c r="M181" s="26">
        <f>SUMIFS(INDEX(元データ_加工!$C$2:$P$700,0,MATCH($B181,元データ_加工!$C$1:$P$1,0)),元データ_加工!$A$2:$A$700,$A181,元データ_加工!$B$2:$B$700,M$5)</f>
        <v>1</v>
      </c>
      <c r="N181" s="26">
        <f>SUMIFS(INDEX(元データ_加工!$C$2:$P$700,0,MATCH($B181,元データ_加工!$C$1:$P$1,0)),元データ_加工!$A$2:$A$700,$A181,元データ_加工!$B$2:$B$700,N$5)</f>
        <v>43</v>
      </c>
      <c r="O181" s="26">
        <f t="shared" si="2"/>
        <v>121</v>
      </c>
      <c r="P181" s="7">
        <f>IFERROR(O181/SUMIFS(元データ_加工!$C$2:$C$700,元データ_加工!$A$2:$A$700,$A181),"")</f>
        <v>3.2409267443417704E-3</v>
      </c>
    </row>
    <row r="182" spans="1:16" x14ac:dyDescent="0.45">
      <c r="A182" t="s">
        <v>47</v>
      </c>
      <c r="B182" t="s">
        <v>108</v>
      </c>
      <c r="C182" s="26">
        <f>SUMIFS(INDEX(元データ_加工!$C$2:$P$700,0,MATCH($B182,元データ_加工!$C$1:$P$1,0)),元データ_加工!$A$2:$A$700,$A182,元データ_加工!$B$2:$B$700,C$5)</f>
        <v>0</v>
      </c>
      <c r="D182" s="26">
        <f>SUMIFS(INDEX(元データ_加工!$C$2:$P$700,0,MATCH($B182,元データ_加工!$C$1:$P$1,0)),元データ_加工!$A$2:$A$700,$A182,元データ_加工!$B$2:$B$700,D$5)</f>
        <v>39</v>
      </c>
      <c r="E182" s="26">
        <f>SUMIFS(INDEX(元データ_加工!$C$2:$P$700,0,MATCH($B182,元データ_加工!$C$1:$P$1,0)),元データ_加工!$A$2:$A$700,$A182,元データ_加工!$B$2:$B$700,E$5)</f>
        <v>34</v>
      </c>
      <c r="F182" s="26">
        <f>SUMIFS(INDEX(元データ_加工!$C$2:$P$700,0,MATCH($B182,元データ_加工!$C$1:$P$1,0)),元データ_加工!$A$2:$A$700,$A182,元データ_加工!$B$2:$B$700,F$5)</f>
        <v>54</v>
      </c>
      <c r="G182" s="26">
        <f>SUMIFS(INDEX(元データ_加工!$C$2:$P$700,0,MATCH($B182,元データ_加工!$C$1:$P$1,0)),元データ_加工!$A$2:$A$700,$A182,元データ_加工!$B$2:$B$700,G$5)</f>
        <v>74</v>
      </c>
      <c r="H182" s="26">
        <f>SUMIFS(INDEX(元データ_加工!$C$2:$P$700,0,MATCH($B182,元データ_加工!$C$1:$P$1,0)),元データ_加工!$A$2:$A$700,$A182,元データ_加工!$B$2:$B$700,H$5)</f>
        <v>22</v>
      </c>
      <c r="I182" s="26">
        <f>SUMIFS(INDEX(元データ_加工!$C$2:$P$700,0,MATCH($B182,元データ_加工!$C$1:$P$1,0)),元データ_加工!$A$2:$A$700,$A182,元データ_加工!$B$2:$B$700,I$5)</f>
        <v>5</v>
      </c>
      <c r="J182" s="26">
        <f>SUMIFS(INDEX(元データ_加工!$C$2:$P$700,0,MATCH($B182,元データ_加工!$C$1:$P$1,0)),元データ_加工!$A$2:$A$700,$A182,元データ_加工!$B$2:$B$700,J$5)</f>
        <v>13</v>
      </c>
      <c r="K182" s="26">
        <f>SUMIFS(INDEX(元データ_加工!$C$2:$P$700,0,MATCH($B182,元データ_加工!$C$1:$P$1,0)),元データ_加工!$A$2:$A$700,$A182,元データ_加工!$B$2:$B$700,K$5)</f>
        <v>3</v>
      </c>
      <c r="L182" s="26">
        <f>SUMIFS(INDEX(元データ_加工!$C$2:$P$700,0,MATCH($B182,元データ_加工!$C$1:$P$1,0)),元データ_加工!$A$2:$A$700,$A182,元データ_加工!$B$2:$B$700,L$5)</f>
        <v>6</v>
      </c>
      <c r="M182" s="26">
        <f>SUMIFS(INDEX(元データ_加工!$C$2:$P$700,0,MATCH($B182,元データ_加工!$C$1:$P$1,0)),元データ_加工!$A$2:$A$700,$A182,元データ_加工!$B$2:$B$700,M$5)</f>
        <v>0</v>
      </c>
      <c r="N182" s="26">
        <f>SUMIFS(INDEX(元データ_加工!$C$2:$P$700,0,MATCH($B182,元データ_加工!$C$1:$P$1,0)),元データ_加工!$A$2:$A$700,$A182,元データ_加工!$B$2:$B$700,N$5)</f>
        <v>0</v>
      </c>
      <c r="O182" s="26">
        <f t="shared" si="2"/>
        <v>250</v>
      </c>
      <c r="P182" s="7">
        <f>IFERROR(O182/SUMIFS(元データ_加工!$C$2:$C$700,元データ_加工!$A$2:$A$700,$A182),"")</f>
        <v>6.696129637069774E-3</v>
      </c>
    </row>
    <row r="183" spans="1:16" x14ac:dyDescent="0.45">
      <c r="A183" t="s">
        <v>47</v>
      </c>
      <c r="B183" t="s">
        <v>109</v>
      </c>
      <c r="C183" s="26">
        <f>SUMIFS(INDEX(元データ_加工!$C$2:$P$700,0,MATCH($B183,元データ_加工!$C$1:$P$1,0)),元データ_加工!$A$2:$A$700,$A183,元データ_加工!$B$2:$B$700,C$5)</f>
        <v>136</v>
      </c>
      <c r="D183" s="26">
        <f>SUMIFS(INDEX(元データ_加工!$C$2:$P$700,0,MATCH($B183,元データ_加工!$C$1:$P$1,0)),元データ_加工!$A$2:$A$700,$A183,元データ_加工!$B$2:$B$700,D$5)</f>
        <v>155</v>
      </c>
      <c r="E183" s="26">
        <f>SUMIFS(INDEX(元データ_加工!$C$2:$P$700,0,MATCH($B183,元データ_加工!$C$1:$P$1,0)),元データ_加工!$A$2:$A$700,$A183,元データ_加工!$B$2:$B$700,E$5)</f>
        <v>240</v>
      </c>
      <c r="F183" s="26">
        <f>SUMIFS(INDEX(元データ_加工!$C$2:$P$700,0,MATCH($B183,元データ_加工!$C$1:$P$1,0)),元データ_加工!$A$2:$A$700,$A183,元データ_加工!$B$2:$B$700,F$5)</f>
        <v>163</v>
      </c>
      <c r="G183" s="26">
        <f>SUMIFS(INDEX(元データ_加工!$C$2:$P$700,0,MATCH($B183,元データ_加工!$C$1:$P$1,0)),元データ_加工!$A$2:$A$700,$A183,元データ_加工!$B$2:$B$700,G$5)</f>
        <v>159</v>
      </c>
      <c r="H183" s="26">
        <f>SUMIFS(INDEX(元データ_加工!$C$2:$P$700,0,MATCH($B183,元データ_加工!$C$1:$P$1,0)),元データ_加工!$A$2:$A$700,$A183,元データ_加工!$B$2:$B$700,H$5)</f>
        <v>111</v>
      </c>
      <c r="I183" s="26">
        <f>SUMIFS(INDEX(元データ_加工!$C$2:$P$700,0,MATCH($B183,元データ_加工!$C$1:$P$1,0)),元データ_加工!$A$2:$A$700,$A183,元データ_加工!$B$2:$B$700,I$5)</f>
        <v>103</v>
      </c>
      <c r="J183" s="26">
        <f>SUMIFS(INDEX(元データ_加工!$C$2:$P$700,0,MATCH($B183,元データ_加工!$C$1:$P$1,0)),元データ_加工!$A$2:$A$700,$A183,元データ_加工!$B$2:$B$700,J$5)</f>
        <v>186</v>
      </c>
      <c r="K183" s="26">
        <f>SUMIFS(INDEX(元データ_加工!$C$2:$P$700,0,MATCH($B183,元データ_加工!$C$1:$P$1,0)),元データ_加工!$A$2:$A$700,$A183,元データ_加工!$B$2:$B$700,K$5)</f>
        <v>115</v>
      </c>
      <c r="L183" s="26">
        <f>SUMIFS(INDEX(元データ_加工!$C$2:$P$700,0,MATCH($B183,元データ_加工!$C$1:$P$1,0)),元データ_加工!$A$2:$A$700,$A183,元データ_加工!$B$2:$B$700,L$5)</f>
        <v>124</v>
      </c>
      <c r="M183" s="26">
        <f>SUMIFS(INDEX(元データ_加工!$C$2:$P$700,0,MATCH($B183,元データ_加工!$C$1:$P$1,0)),元データ_加工!$A$2:$A$700,$A183,元データ_加工!$B$2:$B$700,M$5)</f>
        <v>153</v>
      </c>
      <c r="N183" s="26">
        <f>SUMIFS(INDEX(元データ_加工!$C$2:$P$700,0,MATCH($B183,元データ_加工!$C$1:$P$1,0)),元データ_加工!$A$2:$A$700,$A183,元データ_加工!$B$2:$B$700,N$5)</f>
        <v>118</v>
      </c>
      <c r="O183" s="26">
        <f t="shared" si="2"/>
        <v>1763</v>
      </c>
      <c r="P183" s="7">
        <f>IFERROR(O183/SUMIFS(元データ_加工!$C$2:$C$700,元データ_加工!$A$2:$A$700,$A183),"")</f>
        <v>4.7221106200616043E-2</v>
      </c>
    </row>
    <row r="184" spans="1:16" x14ac:dyDescent="0.45">
      <c r="A184" t="s">
        <v>47</v>
      </c>
      <c r="B184" t="s">
        <v>110</v>
      </c>
      <c r="C184" s="26">
        <f>SUMIFS(INDEX(元データ_加工!$C$2:$P$700,0,MATCH($B184,元データ_加工!$C$1:$P$1,0)),元データ_加工!$A$2:$A$700,$A184,元データ_加工!$B$2:$B$700,C$5)</f>
        <v>0</v>
      </c>
      <c r="D184" s="26">
        <f>SUMIFS(INDEX(元データ_加工!$C$2:$P$700,0,MATCH($B184,元データ_加工!$C$1:$P$1,0)),元データ_加工!$A$2:$A$700,$A184,元データ_加工!$B$2:$B$700,D$5)</f>
        <v>0</v>
      </c>
      <c r="E184" s="26">
        <f>SUMIFS(INDEX(元データ_加工!$C$2:$P$700,0,MATCH($B184,元データ_加工!$C$1:$P$1,0)),元データ_加工!$A$2:$A$700,$A184,元データ_加工!$B$2:$B$700,E$5)</f>
        <v>0</v>
      </c>
      <c r="F184" s="26">
        <f>SUMIFS(INDEX(元データ_加工!$C$2:$P$700,0,MATCH($B184,元データ_加工!$C$1:$P$1,0)),元データ_加工!$A$2:$A$700,$A184,元データ_加工!$B$2:$B$700,F$5)</f>
        <v>0</v>
      </c>
      <c r="G184" s="26">
        <f>SUMIFS(INDEX(元データ_加工!$C$2:$P$700,0,MATCH($B184,元データ_加工!$C$1:$P$1,0)),元データ_加工!$A$2:$A$700,$A184,元データ_加工!$B$2:$B$700,G$5)</f>
        <v>0</v>
      </c>
      <c r="H184" s="26">
        <f>SUMIFS(INDEX(元データ_加工!$C$2:$P$700,0,MATCH($B184,元データ_加工!$C$1:$P$1,0)),元データ_加工!$A$2:$A$700,$A184,元データ_加工!$B$2:$B$700,H$5)</f>
        <v>0</v>
      </c>
      <c r="I184" s="26">
        <f>SUMIFS(INDEX(元データ_加工!$C$2:$P$700,0,MATCH($B184,元データ_加工!$C$1:$P$1,0)),元データ_加工!$A$2:$A$700,$A184,元データ_加工!$B$2:$B$700,I$5)</f>
        <v>0</v>
      </c>
      <c r="J184" s="26">
        <f>SUMIFS(INDEX(元データ_加工!$C$2:$P$700,0,MATCH($B184,元データ_加工!$C$1:$P$1,0)),元データ_加工!$A$2:$A$700,$A184,元データ_加工!$B$2:$B$700,J$5)</f>
        <v>0</v>
      </c>
      <c r="K184" s="26">
        <f>SUMIFS(INDEX(元データ_加工!$C$2:$P$700,0,MATCH($B184,元データ_加工!$C$1:$P$1,0)),元データ_加工!$A$2:$A$700,$A184,元データ_加工!$B$2:$B$700,K$5)</f>
        <v>0</v>
      </c>
      <c r="L184" s="26">
        <f>SUMIFS(INDEX(元データ_加工!$C$2:$P$700,0,MATCH($B184,元データ_加工!$C$1:$P$1,0)),元データ_加工!$A$2:$A$700,$A184,元データ_加工!$B$2:$B$700,L$5)</f>
        <v>0</v>
      </c>
      <c r="M184" s="26">
        <f>SUMIFS(INDEX(元データ_加工!$C$2:$P$700,0,MATCH($B184,元データ_加工!$C$1:$P$1,0)),元データ_加工!$A$2:$A$700,$A184,元データ_加工!$B$2:$B$700,M$5)</f>
        <v>0</v>
      </c>
      <c r="N184" s="26">
        <f>SUMIFS(INDEX(元データ_加工!$C$2:$P$700,0,MATCH($B184,元データ_加工!$C$1:$P$1,0)),元データ_加工!$A$2:$A$700,$A184,元データ_加工!$B$2:$B$700,N$5)</f>
        <v>0</v>
      </c>
      <c r="O184" s="26">
        <f t="shared" si="2"/>
        <v>0</v>
      </c>
      <c r="P184" s="7">
        <f>IFERROR(O184/SUMIFS(元データ_加工!$C$2:$C$700,元データ_加工!$A$2:$A$700,$A184),"")</f>
        <v>0</v>
      </c>
    </row>
    <row r="185" spans="1:16" x14ac:dyDescent="0.45">
      <c r="A185" t="s">
        <v>47</v>
      </c>
      <c r="B185" t="s">
        <v>111</v>
      </c>
      <c r="C185" s="26">
        <f>SUMIFS(INDEX(元データ_加工!$C$2:$P$700,0,MATCH($B185,元データ_加工!$C$1:$P$1,0)),元データ_加工!$A$2:$A$700,$A185,元データ_加工!$B$2:$B$700,C$5)</f>
        <v>0</v>
      </c>
      <c r="D185" s="26">
        <f>SUMIFS(INDEX(元データ_加工!$C$2:$P$700,0,MATCH($B185,元データ_加工!$C$1:$P$1,0)),元データ_加工!$A$2:$A$700,$A185,元データ_加工!$B$2:$B$700,D$5)</f>
        <v>0</v>
      </c>
      <c r="E185" s="26">
        <f>SUMIFS(INDEX(元データ_加工!$C$2:$P$700,0,MATCH($B185,元データ_加工!$C$1:$P$1,0)),元データ_加工!$A$2:$A$700,$A185,元データ_加工!$B$2:$B$700,E$5)</f>
        <v>1</v>
      </c>
      <c r="F185" s="26">
        <f>SUMIFS(INDEX(元データ_加工!$C$2:$P$700,0,MATCH($B185,元データ_加工!$C$1:$P$1,0)),元データ_加工!$A$2:$A$700,$A185,元データ_加工!$B$2:$B$700,F$5)</f>
        <v>0</v>
      </c>
      <c r="G185" s="26">
        <f>SUMIFS(INDEX(元データ_加工!$C$2:$P$700,0,MATCH($B185,元データ_加工!$C$1:$P$1,0)),元データ_加工!$A$2:$A$700,$A185,元データ_加工!$B$2:$B$700,G$5)</f>
        <v>0</v>
      </c>
      <c r="H185" s="26">
        <f>SUMIFS(INDEX(元データ_加工!$C$2:$P$700,0,MATCH($B185,元データ_加工!$C$1:$P$1,0)),元データ_加工!$A$2:$A$700,$A185,元データ_加工!$B$2:$B$700,H$5)</f>
        <v>0</v>
      </c>
      <c r="I185" s="26">
        <f>SUMIFS(INDEX(元データ_加工!$C$2:$P$700,0,MATCH($B185,元データ_加工!$C$1:$P$1,0)),元データ_加工!$A$2:$A$700,$A185,元データ_加工!$B$2:$B$700,I$5)</f>
        <v>0</v>
      </c>
      <c r="J185" s="26">
        <f>SUMIFS(INDEX(元データ_加工!$C$2:$P$700,0,MATCH($B185,元データ_加工!$C$1:$P$1,0)),元データ_加工!$A$2:$A$700,$A185,元データ_加工!$B$2:$B$700,J$5)</f>
        <v>0</v>
      </c>
      <c r="K185" s="26">
        <f>SUMIFS(INDEX(元データ_加工!$C$2:$P$700,0,MATCH($B185,元データ_加工!$C$1:$P$1,0)),元データ_加工!$A$2:$A$700,$A185,元データ_加工!$B$2:$B$700,K$5)</f>
        <v>0</v>
      </c>
      <c r="L185" s="26">
        <f>SUMIFS(INDEX(元データ_加工!$C$2:$P$700,0,MATCH($B185,元データ_加工!$C$1:$P$1,0)),元データ_加工!$A$2:$A$700,$A185,元データ_加工!$B$2:$B$700,L$5)</f>
        <v>0</v>
      </c>
      <c r="M185" s="26">
        <f>SUMIFS(INDEX(元データ_加工!$C$2:$P$700,0,MATCH($B185,元データ_加工!$C$1:$P$1,0)),元データ_加工!$A$2:$A$700,$A185,元データ_加工!$B$2:$B$700,M$5)</f>
        <v>2</v>
      </c>
      <c r="N185" s="26">
        <f>SUMIFS(INDEX(元データ_加工!$C$2:$P$700,0,MATCH($B185,元データ_加工!$C$1:$P$1,0)),元データ_加工!$A$2:$A$700,$A185,元データ_加工!$B$2:$B$700,N$5)</f>
        <v>2</v>
      </c>
      <c r="O185" s="26">
        <f t="shared" si="2"/>
        <v>5</v>
      </c>
      <c r="P185" s="7">
        <f>IFERROR(O185/SUMIFS(元データ_加工!$C$2:$C$700,元データ_加工!$A$2:$A$700,$A185),"")</f>
        <v>1.3392259274139549E-4</v>
      </c>
    </row>
    <row r="186" spans="1:16" x14ac:dyDescent="0.45">
      <c r="A186" t="s">
        <v>47</v>
      </c>
      <c r="B186" t="s">
        <v>112</v>
      </c>
      <c r="C186" s="26">
        <f>SUMIFS(INDEX(元データ_加工!$C$2:$P$700,0,MATCH($B186,元データ_加工!$C$1:$P$1,0)),元データ_加工!$A$2:$A$700,$A186,元データ_加工!$B$2:$B$700,C$5)</f>
        <v>0</v>
      </c>
      <c r="D186" s="26">
        <f>SUMIFS(INDEX(元データ_加工!$C$2:$P$700,0,MATCH($B186,元データ_加工!$C$1:$P$1,0)),元データ_加工!$A$2:$A$700,$A186,元データ_加工!$B$2:$B$700,D$5)</f>
        <v>0</v>
      </c>
      <c r="E186" s="26">
        <f>SUMIFS(INDEX(元データ_加工!$C$2:$P$700,0,MATCH($B186,元データ_加工!$C$1:$P$1,0)),元データ_加工!$A$2:$A$700,$A186,元データ_加工!$B$2:$B$700,E$5)</f>
        <v>0</v>
      </c>
      <c r="F186" s="26">
        <f>SUMIFS(INDEX(元データ_加工!$C$2:$P$700,0,MATCH($B186,元データ_加工!$C$1:$P$1,0)),元データ_加工!$A$2:$A$700,$A186,元データ_加工!$B$2:$B$700,F$5)</f>
        <v>0</v>
      </c>
      <c r="G186" s="26">
        <f>SUMIFS(INDEX(元データ_加工!$C$2:$P$700,0,MATCH($B186,元データ_加工!$C$1:$P$1,0)),元データ_加工!$A$2:$A$700,$A186,元データ_加工!$B$2:$B$700,G$5)</f>
        <v>0</v>
      </c>
      <c r="H186" s="26">
        <f>SUMIFS(INDEX(元データ_加工!$C$2:$P$700,0,MATCH($B186,元データ_加工!$C$1:$P$1,0)),元データ_加工!$A$2:$A$700,$A186,元データ_加工!$B$2:$B$700,H$5)</f>
        <v>1</v>
      </c>
      <c r="I186" s="26">
        <f>SUMIFS(INDEX(元データ_加工!$C$2:$P$700,0,MATCH($B186,元データ_加工!$C$1:$P$1,0)),元データ_加工!$A$2:$A$700,$A186,元データ_加工!$B$2:$B$700,I$5)</f>
        <v>0</v>
      </c>
      <c r="J186" s="26">
        <f>SUMIFS(INDEX(元データ_加工!$C$2:$P$700,0,MATCH($B186,元データ_加工!$C$1:$P$1,0)),元データ_加工!$A$2:$A$700,$A186,元データ_加工!$B$2:$B$700,J$5)</f>
        <v>1</v>
      </c>
      <c r="K186" s="26">
        <f>SUMIFS(INDEX(元データ_加工!$C$2:$P$700,0,MATCH($B186,元データ_加工!$C$1:$P$1,0)),元データ_加工!$A$2:$A$700,$A186,元データ_加工!$B$2:$B$700,K$5)</f>
        <v>4</v>
      </c>
      <c r="L186" s="26">
        <f>SUMIFS(INDEX(元データ_加工!$C$2:$P$700,0,MATCH($B186,元データ_加工!$C$1:$P$1,0)),元データ_加工!$A$2:$A$700,$A186,元データ_加工!$B$2:$B$700,L$5)</f>
        <v>3</v>
      </c>
      <c r="M186" s="26">
        <f>SUMIFS(INDEX(元データ_加工!$C$2:$P$700,0,MATCH($B186,元データ_加工!$C$1:$P$1,0)),元データ_加工!$A$2:$A$700,$A186,元データ_加工!$B$2:$B$700,M$5)</f>
        <v>0</v>
      </c>
      <c r="N186" s="26">
        <f>SUMIFS(INDEX(元データ_加工!$C$2:$P$700,0,MATCH($B186,元データ_加工!$C$1:$P$1,0)),元データ_加工!$A$2:$A$700,$A186,元データ_加工!$B$2:$B$700,N$5)</f>
        <v>0</v>
      </c>
      <c r="O186" s="26">
        <f t="shared" si="2"/>
        <v>9</v>
      </c>
      <c r="P186" s="7">
        <f>IFERROR(O186/SUMIFS(元データ_加工!$C$2:$C$700,元データ_加工!$A$2:$A$700,$A186),"")</f>
        <v>2.4106066693451185E-4</v>
      </c>
    </row>
    <row r="187" spans="1:16" x14ac:dyDescent="0.45">
      <c r="A187" t="s">
        <v>47</v>
      </c>
      <c r="B187" t="s">
        <v>113</v>
      </c>
      <c r="C187" s="26">
        <f>SUMIFS(INDEX(元データ_加工!$C$2:$P$700,0,MATCH($B187,元データ_加工!$C$1:$P$1,0)),元データ_加工!$A$2:$A$700,$A187,元データ_加工!$B$2:$B$700,C$5)</f>
        <v>0</v>
      </c>
      <c r="D187" s="26">
        <f>SUMIFS(INDEX(元データ_加工!$C$2:$P$700,0,MATCH($B187,元データ_加工!$C$1:$P$1,0)),元データ_加工!$A$2:$A$700,$A187,元データ_加工!$B$2:$B$700,D$5)</f>
        <v>4</v>
      </c>
      <c r="E187" s="26">
        <f>SUMIFS(INDEX(元データ_加工!$C$2:$P$700,0,MATCH($B187,元データ_加工!$C$1:$P$1,0)),元データ_加工!$A$2:$A$700,$A187,元データ_加工!$B$2:$B$700,E$5)</f>
        <v>15</v>
      </c>
      <c r="F187" s="26">
        <f>SUMIFS(INDEX(元データ_加工!$C$2:$P$700,0,MATCH($B187,元データ_加工!$C$1:$P$1,0)),元データ_加工!$A$2:$A$700,$A187,元データ_加工!$B$2:$B$700,F$5)</f>
        <v>6</v>
      </c>
      <c r="G187" s="26">
        <f>SUMIFS(INDEX(元データ_加工!$C$2:$P$700,0,MATCH($B187,元データ_加工!$C$1:$P$1,0)),元データ_加工!$A$2:$A$700,$A187,元データ_加工!$B$2:$B$700,G$5)</f>
        <v>15</v>
      </c>
      <c r="H187" s="26">
        <f>SUMIFS(INDEX(元データ_加工!$C$2:$P$700,0,MATCH($B187,元データ_加工!$C$1:$P$1,0)),元データ_加工!$A$2:$A$700,$A187,元データ_加工!$B$2:$B$700,H$5)</f>
        <v>4</v>
      </c>
      <c r="I187" s="26">
        <f>SUMIFS(INDEX(元データ_加工!$C$2:$P$700,0,MATCH($B187,元データ_加工!$C$1:$P$1,0)),元データ_加工!$A$2:$A$700,$A187,元データ_加工!$B$2:$B$700,I$5)</f>
        <v>7</v>
      </c>
      <c r="J187" s="26">
        <f>SUMIFS(INDEX(元データ_加工!$C$2:$P$700,0,MATCH($B187,元データ_加工!$C$1:$P$1,0)),元データ_加工!$A$2:$A$700,$A187,元データ_加工!$B$2:$B$700,J$5)</f>
        <v>13</v>
      </c>
      <c r="K187" s="26">
        <f>SUMIFS(INDEX(元データ_加工!$C$2:$P$700,0,MATCH($B187,元データ_加工!$C$1:$P$1,0)),元データ_加工!$A$2:$A$700,$A187,元データ_加工!$B$2:$B$700,K$5)</f>
        <v>14</v>
      </c>
      <c r="L187" s="26">
        <f>SUMIFS(INDEX(元データ_加工!$C$2:$P$700,0,MATCH($B187,元データ_加工!$C$1:$P$1,0)),元データ_加工!$A$2:$A$700,$A187,元データ_加工!$B$2:$B$700,L$5)</f>
        <v>6</v>
      </c>
      <c r="M187" s="26">
        <f>SUMIFS(INDEX(元データ_加工!$C$2:$P$700,0,MATCH($B187,元データ_加工!$C$1:$P$1,0)),元データ_加工!$A$2:$A$700,$A187,元データ_加工!$B$2:$B$700,M$5)</f>
        <v>19</v>
      </c>
      <c r="N187" s="26">
        <f>SUMIFS(INDEX(元データ_加工!$C$2:$P$700,0,MATCH($B187,元データ_加工!$C$1:$P$1,0)),元データ_加工!$A$2:$A$700,$A187,元データ_加工!$B$2:$B$700,N$5)</f>
        <v>7</v>
      </c>
      <c r="O187" s="26">
        <f t="shared" si="2"/>
        <v>110</v>
      </c>
      <c r="P187" s="7">
        <f>IFERROR(O187/SUMIFS(元データ_加工!$C$2:$C$700,元データ_加工!$A$2:$A$700,$A187),"")</f>
        <v>2.9462970403107006E-3</v>
      </c>
    </row>
    <row r="188" spans="1:16" x14ac:dyDescent="0.45">
      <c r="A188" t="s">
        <v>48</v>
      </c>
      <c r="B188" t="s">
        <v>100</v>
      </c>
      <c r="C188" s="26">
        <f>SUMIFS(INDEX(元データ_加工!$C$2:$P$700,0,MATCH($B188,元データ_加工!$C$1:$P$1,0)),元データ_加工!$A$2:$A$700,$A188,元データ_加工!$B$2:$B$700,C$5)</f>
        <v>1105</v>
      </c>
      <c r="D188" s="26">
        <f>SUMIFS(INDEX(元データ_加工!$C$2:$P$700,0,MATCH($B188,元データ_加工!$C$1:$P$1,0)),元データ_加工!$A$2:$A$700,$A188,元データ_加工!$B$2:$B$700,D$5)</f>
        <v>1174</v>
      </c>
      <c r="E188" s="26">
        <f>SUMIFS(INDEX(元データ_加工!$C$2:$P$700,0,MATCH($B188,元データ_加工!$C$1:$P$1,0)),元データ_加工!$A$2:$A$700,$A188,元データ_加工!$B$2:$B$700,E$5)</f>
        <v>1722</v>
      </c>
      <c r="F188" s="26">
        <f>SUMIFS(INDEX(元データ_加工!$C$2:$P$700,0,MATCH($B188,元データ_加工!$C$1:$P$1,0)),元データ_加工!$A$2:$A$700,$A188,元データ_加工!$B$2:$B$700,F$5)</f>
        <v>1455</v>
      </c>
      <c r="G188" s="26">
        <f>SUMIFS(INDEX(元データ_加工!$C$2:$P$700,0,MATCH($B188,元データ_加工!$C$1:$P$1,0)),元データ_加工!$A$2:$A$700,$A188,元データ_加工!$B$2:$B$700,G$5)</f>
        <v>1811</v>
      </c>
      <c r="H188" s="26">
        <f>SUMIFS(INDEX(元データ_加工!$C$2:$P$700,0,MATCH($B188,元データ_加工!$C$1:$P$1,0)),元データ_加工!$A$2:$A$700,$A188,元データ_加工!$B$2:$B$700,H$5)</f>
        <v>1040</v>
      </c>
      <c r="I188" s="26">
        <f>SUMIFS(INDEX(元データ_加工!$C$2:$P$700,0,MATCH($B188,元データ_加工!$C$1:$P$1,0)),元データ_加工!$A$2:$A$700,$A188,元データ_加工!$B$2:$B$700,I$5)</f>
        <v>850</v>
      </c>
      <c r="J188" s="26">
        <f>SUMIFS(INDEX(元データ_加工!$C$2:$P$700,0,MATCH($B188,元データ_加工!$C$1:$P$1,0)),元データ_加工!$A$2:$A$700,$A188,元データ_加工!$B$2:$B$700,J$5)</f>
        <v>1705</v>
      </c>
      <c r="K188" s="26">
        <f>SUMIFS(INDEX(元データ_加工!$C$2:$P$700,0,MATCH($B188,元データ_加工!$C$1:$P$1,0)),元データ_加工!$A$2:$A$700,$A188,元データ_加工!$B$2:$B$700,K$5)</f>
        <v>3217</v>
      </c>
      <c r="L188" s="26">
        <f>SUMIFS(INDEX(元データ_加工!$C$2:$P$700,0,MATCH($B188,元データ_加工!$C$1:$P$1,0)),元データ_加工!$A$2:$A$700,$A188,元データ_加工!$B$2:$B$700,L$5)</f>
        <v>2193</v>
      </c>
      <c r="M188" s="26">
        <f>SUMIFS(INDEX(元データ_加工!$C$2:$P$700,0,MATCH($B188,元データ_加工!$C$1:$P$1,0)),元データ_加工!$A$2:$A$700,$A188,元データ_加工!$B$2:$B$700,M$5)</f>
        <v>1998</v>
      </c>
      <c r="N188" s="26">
        <f>SUMIFS(INDEX(元データ_加工!$C$2:$P$700,0,MATCH($B188,元データ_加工!$C$1:$P$1,0)),元データ_加工!$A$2:$A$700,$A188,元データ_加工!$B$2:$B$700,N$5)</f>
        <v>1332</v>
      </c>
      <c r="O188" s="26">
        <f t="shared" si="2"/>
        <v>19602</v>
      </c>
      <c r="P188" s="7">
        <f>IFERROR(O188/SUMIFS(元データ_加工!$C$2:$C$700,元データ_加工!$A$2:$A$700,$A188),"")</f>
        <v>1</v>
      </c>
    </row>
    <row r="189" spans="1:16" x14ac:dyDescent="0.45">
      <c r="A189" t="s">
        <v>48</v>
      </c>
      <c r="B189" t="s">
        <v>101</v>
      </c>
      <c r="C189" s="26">
        <f>SUMIFS(INDEX(元データ_加工!$C$2:$P$700,0,MATCH($B189,元データ_加工!$C$1:$P$1,0)),元データ_加工!$A$2:$A$700,$A189,元データ_加工!$B$2:$B$700,C$5)</f>
        <v>736</v>
      </c>
      <c r="D189" s="26">
        <f>SUMIFS(INDEX(元データ_加工!$C$2:$P$700,0,MATCH($B189,元データ_加工!$C$1:$P$1,0)),元データ_加工!$A$2:$A$700,$A189,元データ_加工!$B$2:$B$700,D$5)</f>
        <v>912</v>
      </c>
      <c r="E189" s="26">
        <f>SUMIFS(INDEX(元データ_加工!$C$2:$P$700,0,MATCH($B189,元データ_加工!$C$1:$P$1,0)),元データ_加工!$A$2:$A$700,$A189,元データ_加工!$B$2:$B$700,E$5)</f>
        <v>1117</v>
      </c>
      <c r="F189" s="26">
        <f>SUMIFS(INDEX(元データ_加工!$C$2:$P$700,0,MATCH($B189,元データ_加工!$C$1:$P$1,0)),元データ_加工!$A$2:$A$700,$A189,元データ_加工!$B$2:$B$700,F$5)</f>
        <v>971</v>
      </c>
      <c r="G189" s="26">
        <f>SUMIFS(INDEX(元データ_加工!$C$2:$P$700,0,MATCH($B189,元データ_加工!$C$1:$P$1,0)),元データ_加工!$A$2:$A$700,$A189,元データ_加工!$B$2:$B$700,G$5)</f>
        <v>1106</v>
      </c>
      <c r="H189" s="26">
        <f>SUMIFS(INDEX(元データ_加工!$C$2:$P$700,0,MATCH($B189,元データ_加工!$C$1:$P$1,0)),元データ_加工!$A$2:$A$700,$A189,元データ_加工!$B$2:$B$700,H$5)</f>
        <v>724</v>
      </c>
      <c r="I189" s="26">
        <f>SUMIFS(INDEX(元データ_加工!$C$2:$P$700,0,MATCH($B189,元データ_加工!$C$1:$P$1,0)),元データ_加工!$A$2:$A$700,$A189,元データ_加工!$B$2:$B$700,I$5)</f>
        <v>794</v>
      </c>
      <c r="J189" s="26">
        <f>SUMIFS(INDEX(元データ_加工!$C$2:$P$700,0,MATCH($B189,元データ_加工!$C$1:$P$1,0)),元データ_加工!$A$2:$A$700,$A189,元データ_加工!$B$2:$B$700,J$5)</f>
        <v>960</v>
      </c>
      <c r="K189" s="26">
        <f>SUMIFS(INDEX(元データ_加工!$C$2:$P$700,0,MATCH($B189,元データ_加工!$C$1:$P$1,0)),元データ_加工!$A$2:$A$700,$A189,元データ_加工!$B$2:$B$700,K$5)</f>
        <v>948</v>
      </c>
      <c r="L189" s="26">
        <f>SUMIFS(INDEX(元データ_加工!$C$2:$P$700,0,MATCH($B189,元データ_加工!$C$1:$P$1,0)),元データ_加工!$A$2:$A$700,$A189,元データ_加工!$B$2:$B$700,L$5)</f>
        <v>791</v>
      </c>
      <c r="M189" s="26">
        <f>SUMIFS(INDEX(元データ_加工!$C$2:$P$700,0,MATCH($B189,元データ_加工!$C$1:$P$1,0)),元データ_加工!$A$2:$A$700,$A189,元データ_加工!$B$2:$B$700,M$5)</f>
        <v>1007</v>
      </c>
      <c r="N189" s="26">
        <f>SUMIFS(INDEX(元データ_加工!$C$2:$P$700,0,MATCH($B189,元データ_加工!$C$1:$P$1,0)),元データ_加工!$A$2:$A$700,$A189,元データ_加工!$B$2:$B$700,N$5)</f>
        <v>890</v>
      </c>
      <c r="O189" s="26">
        <f t="shared" si="2"/>
        <v>10956</v>
      </c>
      <c r="P189" s="7">
        <f>IFERROR(O189/SUMIFS(元データ_加工!$C$2:$C$700,元データ_加工!$A$2:$A$700,$A189),"")</f>
        <v>0.55892255892255893</v>
      </c>
    </row>
    <row r="190" spans="1:16" x14ac:dyDescent="0.45">
      <c r="A190" t="s">
        <v>48</v>
      </c>
      <c r="B190" t="s">
        <v>102</v>
      </c>
      <c r="C190" s="26">
        <f>SUMIFS(INDEX(元データ_加工!$C$2:$P$700,0,MATCH($B190,元データ_加工!$C$1:$P$1,0)),元データ_加工!$A$2:$A$700,$A190,元データ_加工!$B$2:$B$700,C$5)</f>
        <v>0</v>
      </c>
      <c r="D190" s="26">
        <f>SUMIFS(INDEX(元データ_加工!$C$2:$P$700,0,MATCH($B190,元データ_加工!$C$1:$P$1,0)),元データ_加工!$A$2:$A$700,$A190,元データ_加工!$B$2:$B$700,D$5)</f>
        <v>0</v>
      </c>
      <c r="E190" s="26">
        <f>SUMIFS(INDEX(元データ_加工!$C$2:$P$700,0,MATCH($B190,元データ_加工!$C$1:$P$1,0)),元データ_加工!$A$2:$A$700,$A190,元データ_加工!$B$2:$B$700,E$5)</f>
        <v>0</v>
      </c>
      <c r="F190" s="26">
        <f>SUMIFS(INDEX(元データ_加工!$C$2:$P$700,0,MATCH($B190,元データ_加工!$C$1:$P$1,0)),元データ_加工!$A$2:$A$700,$A190,元データ_加工!$B$2:$B$700,F$5)</f>
        <v>0</v>
      </c>
      <c r="G190" s="26">
        <f>SUMIFS(INDEX(元データ_加工!$C$2:$P$700,0,MATCH($B190,元データ_加工!$C$1:$P$1,0)),元データ_加工!$A$2:$A$700,$A190,元データ_加工!$B$2:$B$700,G$5)</f>
        <v>0</v>
      </c>
      <c r="H190" s="26">
        <f>SUMIFS(INDEX(元データ_加工!$C$2:$P$700,0,MATCH($B190,元データ_加工!$C$1:$P$1,0)),元データ_加工!$A$2:$A$700,$A190,元データ_加工!$B$2:$B$700,H$5)</f>
        <v>0</v>
      </c>
      <c r="I190" s="26">
        <f>SUMIFS(INDEX(元データ_加工!$C$2:$P$700,0,MATCH($B190,元データ_加工!$C$1:$P$1,0)),元データ_加工!$A$2:$A$700,$A190,元データ_加工!$B$2:$B$700,I$5)</f>
        <v>0</v>
      </c>
      <c r="J190" s="26">
        <f>SUMIFS(INDEX(元データ_加工!$C$2:$P$700,0,MATCH($B190,元データ_加工!$C$1:$P$1,0)),元データ_加工!$A$2:$A$700,$A190,元データ_加工!$B$2:$B$700,J$5)</f>
        <v>4</v>
      </c>
      <c r="K190" s="26">
        <f>SUMIFS(INDEX(元データ_加工!$C$2:$P$700,0,MATCH($B190,元データ_加工!$C$1:$P$1,0)),元データ_加工!$A$2:$A$700,$A190,元データ_加工!$B$2:$B$700,K$5)</f>
        <v>0</v>
      </c>
      <c r="L190" s="26">
        <f>SUMIFS(INDEX(元データ_加工!$C$2:$P$700,0,MATCH($B190,元データ_加工!$C$1:$P$1,0)),元データ_加工!$A$2:$A$700,$A190,元データ_加工!$B$2:$B$700,L$5)</f>
        <v>0</v>
      </c>
      <c r="M190" s="26">
        <f>SUMIFS(INDEX(元データ_加工!$C$2:$P$700,0,MATCH($B190,元データ_加工!$C$1:$P$1,0)),元データ_加工!$A$2:$A$700,$A190,元データ_加工!$B$2:$B$700,M$5)</f>
        <v>0</v>
      </c>
      <c r="N190" s="26">
        <f>SUMIFS(INDEX(元データ_加工!$C$2:$P$700,0,MATCH($B190,元データ_加工!$C$1:$P$1,0)),元データ_加工!$A$2:$A$700,$A190,元データ_加工!$B$2:$B$700,N$5)</f>
        <v>0</v>
      </c>
      <c r="O190" s="26">
        <f t="shared" si="2"/>
        <v>4</v>
      </c>
      <c r="P190" s="7">
        <f>IFERROR(O190/SUMIFS(元データ_加工!$C$2:$C$700,元データ_加工!$A$2:$A$700,$A190),"")</f>
        <v>2.0406081012141618E-4</v>
      </c>
    </row>
    <row r="191" spans="1:16" x14ac:dyDescent="0.45">
      <c r="A191" t="s">
        <v>48</v>
      </c>
      <c r="B191" t="s">
        <v>103</v>
      </c>
      <c r="C191" s="26">
        <f>SUMIFS(INDEX(元データ_加工!$C$2:$P$700,0,MATCH($B191,元データ_加工!$C$1:$P$1,0)),元データ_加工!$A$2:$A$700,$A191,元データ_加工!$B$2:$B$700,C$5)</f>
        <v>0</v>
      </c>
      <c r="D191" s="26">
        <f>SUMIFS(INDEX(元データ_加工!$C$2:$P$700,0,MATCH($B191,元データ_加工!$C$1:$P$1,0)),元データ_加工!$A$2:$A$700,$A191,元データ_加工!$B$2:$B$700,D$5)</f>
        <v>0</v>
      </c>
      <c r="E191" s="26">
        <f>SUMIFS(INDEX(元データ_加工!$C$2:$P$700,0,MATCH($B191,元データ_加工!$C$1:$P$1,0)),元データ_加工!$A$2:$A$700,$A191,元データ_加工!$B$2:$B$700,E$5)</f>
        <v>0</v>
      </c>
      <c r="F191" s="26">
        <f>SUMIFS(INDEX(元データ_加工!$C$2:$P$700,0,MATCH($B191,元データ_加工!$C$1:$P$1,0)),元データ_加工!$A$2:$A$700,$A191,元データ_加工!$B$2:$B$700,F$5)</f>
        <v>2</v>
      </c>
      <c r="G191" s="26">
        <f>SUMIFS(INDEX(元データ_加工!$C$2:$P$700,0,MATCH($B191,元データ_加工!$C$1:$P$1,0)),元データ_加工!$A$2:$A$700,$A191,元データ_加工!$B$2:$B$700,G$5)</f>
        <v>11</v>
      </c>
      <c r="H191" s="26">
        <f>SUMIFS(INDEX(元データ_加工!$C$2:$P$700,0,MATCH($B191,元データ_加工!$C$1:$P$1,0)),元データ_加工!$A$2:$A$700,$A191,元データ_加工!$B$2:$B$700,H$5)</f>
        <v>7</v>
      </c>
      <c r="I191" s="26">
        <f>SUMIFS(INDEX(元データ_加工!$C$2:$P$700,0,MATCH($B191,元データ_加工!$C$1:$P$1,0)),元データ_加工!$A$2:$A$700,$A191,元データ_加工!$B$2:$B$700,I$5)</f>
        <v>9</v>
      </c>
      <c r="J191" s="26">
        <f>SUMIFS(INDEX(元データ_加工!$C$2:$P$700,0,MATCH($B191,元データ_加工!$C$1:$P$1,0)),元データ_加工!$A$2:$A$700,$A191,元データ_加工!$B$2:$B$700,J$5)</f>
        <v>2</v>
      </c>
      <c r="K191" s="26">
        <f>SUMIFS(INDEX(元データ_加工!$C$2:$P$700,0,MATCH($B191,元データ_加工!$C$1:$P$1,0)),元データ_加工!$A$2:$A$700,$A191,元データ_加工!$B$2:$B$700,K$5)</f>
        <v>5</v>
      </c>
      <c r="L191" s="26">
        <f>SUMIFS(INDEX(元データ_加工!$C$2:$P$700,0,MATCH($B191,元データ_加工!$C$1:$P$1,0)),元データ_加工!$A$2:$A$700,$A191,元データ_加工!$B$2:$B$700,L$5)</f>
        <v>2</v>
      </c>
      <c r="M191" s="26">
        <f>SUMIFS(INDEX(元データ_加工!$C$2:$P$700,0,MATCH($B191,元データ_加工!$C$1:$P$1,0)),元データ_加工!$A$2:$A$700,$A191,元データ_加工!$B$2:$B$700,M$5)</f>
        <v>3</v>
      </c>
      <c r="N191" s="26">
        <f>SUMIFS(INDEX(元データ_加工!$C$2:$P$700,0,MATCH($B191,元データ_加工!$C$1:$P$1,0)),元データ_加工!$A$2:$A$700,$A191,元データ_加工!$B$2:$B$700,N$5)</f>
        <v>0</v>
      </c>
      <c r="O191" s="26">
        <f t="shared" si="2"/>
        <v>41</v>
      </c>
      <c r="P191" s="7">
        <f>IFERROR(O191/SUMIFS(元データ_加工!$C$2:$C$700,元データ_加工!$A$2:$A$700,$A191),"")</f>
        <v>2.091623303744516E-3</v>
      </c>
    </row>
    <row r="192" spans="1:16" x14ac:dyDescent="0.45">
      <c r="A192" t="s">
        <v>48</v>
      </c>
      <c r="B192" t="s">
        <v>104</v>
      </c>
      <c r="C192" s="26">
        <f>SUMIFS(INDEX(元データ_加工!$C$2:$P$700,0,MATCH($B192,元データ_加工!$C$1:$P$1,0)),元データ_加工!$A$2:$A$700,$A192,元データ_加工!$B$2:$B$700,C$5)</f>
        <v>16</v>
      </c>
      <c r="D192" s="26">
        <f>SUMIFS(INDEX(元データ_加工!$C$2:$P$700,0,MATCH($B192,元データ_加工!$C$1:$P$1,0)),元データ_加工!$A$2:$A$700,$A192,元データ_加工!$B$2:$B$700,D$5)</f>
        <v>7</v>
      </c>
      <c r="E192" s="26">
        <f>SUMIFS(INDEX(元データ_加工!$C$2:$P$700,0,MATCH($B192,元データ_加工!$C$1:$P$1,0)),元データ_加工!$A$2:$A$700,$A192,元データ_加工!$B$2:$B$700,E$5)</f>
        <v>24</v>
      </c>
      <c r="F192" s="26">
        <f>SUMIFS(INDEX(元データ_加工!$C$2:$P$700,0,MATCH($B192,元データ_加工!$C$1:$P$1,0)),元データ_加工!$A$2:$A$700,$A192,元データ_加工!$B$2:$B$700,F$5)</f>
        <v>17</v>
      </c>
      <c r="G192" s="26">
        <f>SUMIFS(INDEX(元データ_加工!$C$2:$P$700,0,MATCH($B192,元データ_加工!$C$1:$P$1,0)),元データ_加工!$A$2:$A$700,$A192,元データ_加工!$B$2:$B$700,G$5)</f>
        <v>34</v>
      </c>
      <c r="H192" s="26">
        <f>SUMIFS(INDEX(元データ_加工!$C$2:$P$700,0,MATCH($B192,元データ_加工!$C$1:$P$1,0)),元データ_加工!$A$2:$A$700,$A192,元データ_加工!$B$2:$B$700,H$5)</f>
        <v>14</v>
      </c>
      <c r="I192" s="26">
        <f>SUMIFS(INDEX(元データ_加工!$C$2:$P$700,0,MATCH($B192,元データ_加工!$C$1:$P$1,0)),元データ_加工!$A$2:$A$700,$A192,元データ_加工!$B$2:$B$700,I$5)</f>
        <v>21</v>
      </c>
      <c r="J192" s="26">
        <f>SUMIFS(INDEX(元データ_加工!$C$2:$P$700,0,MATCH($B192,元データ_加工!$C$1:$P$1,0)),元データ_加工!$A$2:$A$700,$A192,元データ_加工!$B$2:$B$700,J$5)</f>
        <v>109</v>
      </c>
      <c r="K192" s="26">
        <f>SUMIFS(INDEX(元データ_加工!$C$2:$P$700,0,MATCH($B192,元データ_加工!$C$1:$P$1,0)),元データ_加工!$A$2:$A$700,$A192,元データ_加工!$B$2:$B$700,K$5)</f>
        <v>106</v>
      </c>
      <c r="L192" s="26">
        <f>SUMIFS(INDEX(元データ_加工!$C$2:$P$700,0,MATCH($B192,元データ_加工!$C$1:$P$1,0)),元データ_加工!$A$2:$A$700,$A192,元データ_加工!$B$2:$B$700,L$5)</f>
        <v>60</v>
      </c>
      <c r="M192" s="26">
        <f>SUMIFS(INDEX(元データ_加工!$C$2:$P$700,0,MATCH($B192,元データ_加工!$C$1:$P$1,0)),元データ_加工!$A$2:$A$700,$A192,元データ_加工!$B$2:$B$700,M$5)</f>
        <v>31</v>
      </c>
      <c r="N192" s="26">
        <f>SUMIFS(INDEX(元データ_加工!$C$2:$P$700,0,MATCH($B192,元データ_加工!$C$1:$P$1,0)),元データ_加工!$A$2:$A$700,$A192,元データ_加工!$B$2:$B$700,N$5)</f>
        <v>15</v>
      </c>
      <c r="O192" s="26">
        <f t="shared" si="2"/>
        <v>454</v>
      </c>
      <c r="P192" s="7">
        <f>IFERROR(O192/SUMIFS(元データ_加工!$C$2:$C$700,元データ_加工!$A$2:$A$700,$A192),"")</f>
        <v>2.3160901948780736E-2</v>
      </c>
    </row>
    <row r="193" spans="1:16" x14ac:dyDescent="0.45">
      <c r="A193" t="s">
        <v>48</v>
      </c>
      <c r="B193" t="s">
        <v>105</v>
      </c>
      <c r="C193" s="26">
        <f>SUMIFS(INDEX(元データ_加工!$C$2:$P$700,0,MATCH($B193,元データ_加工!$C$1:$P$1,0)),元データ_加工!$A$2:$A$700,$A193,元データ_加工!$B$2:$B$700,C$5)</f>
        <v>0</v>
      </c>
      <c r="D193" s="26">
        <f>SUMIFS(INDEX(元データ_加工!$C$2:$P$700,0,MATCH($B193,元データ_加工!$C$1:$P$1,0)),元データ_加工!$A$2:$A$700,$A193,元データ_加工!$B$2:$B$700,D$5)</f>
        <v>0</v>
      </c>
      <c r="E193" s="26">
        <f>SUMIFS(INDEX(元データ_加工!$C$2:$P$700,0,MATCH($B193,元データ_加工!$C$1:$P$1,0)),元データ_加工!$A$2:$A$700,$A193,元データ_加工!$B$2:$B$700,E$5)</f>
        <v>12</v>
      </c>
      <c r="F193" s="26">
        <f>SUMIFS(INDEX(元データ_加工!$C$2:$P$700,0,MATCH($B193,元データ_加工!$C$1:$P$1,0)),元データ_加工!$A$2:$A$700,$A193,元データ_加工!$B$2:$B$700,F$5)</f>
        <v>5</v>
      </c>
      <c r="G193" s="26">
        <f>SUMIFS(INDEX(元データ_加工!$C$2:$P$700,0,MATCH($B193,元データ_加工!$C$1:$P$1,0)),元データ_加工!$A$2:$A$700,$A193,元データ_加工!$B$2:$B$700,G$5)</f>
        <v>0</v>
      </c>
      <c r="H193" s="26">
        <f>SUMIFS(INDEX(元データ_加工!$C$2:$P$700,0,MATCH($B193,元データ_加工!$C$1:$P$1,0)),元データ_加工!$A$2:$A$700,$A193,元データ_加工!$B$2:$B$700,H$5)</f>
        <v>0</v>
      </c>
      <c r="I193" s="26">
        <f>SUMIFS(INDEX(元データ_加工!$C$2:$P$700,0,MATCH($B193,元データ_加工!$C$1:$P$1,0)),元データ_加工!$A$2:$A$700,$A193,元データ_加工!$B$2:$B$700,I$5)</f>
        <v>1</v>
      </c>
      <c r="J193" s="26">
        <f>SUMIFS(INDEX(元データ_加工!$C$2:$P$700,0,MATCH($B193,元データ_加工!$C$1:$P$1,0)),元データ_加工!$A$2:$A$700,$A193,元データ_加工!$B$2:$B$700,J$5)</f>
        <v>17</v>
      </c>
      <c r="K193" s="26">
        <f>SUMIFS(INDEX(元データ_加工!$C$2:$P$700,0,MATCH($B193,元データ_加工!$C$1:$P$1,0)),元データ_加工!$A$2:$A$700,$A193,元データ_加工!$B$2:$B$700,K$5)</f>
        <v>69</v>
      </c>
      <c r="L193" s="26">
        <f>SUMIFS(INDEX(元データ_加工!$C$2:$P$700,0,MATCH($B193,元データ_加工!$C$1:$P$1,0)),元データ_加工!$A$2:$A$700,$A193,元データ_加工!$B$2:$B$700,L$5)</f>
        <v>65</v>
      </c>
      <c r="M193" s="26">
        <f>SUMIFS(INDEX(元データ_加工!$C$2:$P$700,0,MATCH($B193,元データ_加工!$C$1:$P$1,0)),元データ_加工!$A$2:$A$700,$A193,元データ_加工!$B$2:$B$700,M$5)</f>
        <v>18</v>
      </c>
      <c r="N193" s="26">
        <f>SUMIFS(INDEX(元データ_加工!$C$2:$P$700,0,MATCH($B193,元データ_加工!$C$1:$P$1,0)),元データ_加工!$A$2:$A$700,$A193,元データ_加工!$B$2:$B$700,N$5)</f>
        <v>3</v>
      </c>
      <c r="O193" s="26">
        <f t="shared" si="2"/>
        <v>190</v>
      </c>
      <c r="P193" s="7">
        <f>IFERROR(O193/SUMIFS(元データ_加工!$C$2:$C$700,元データ_加工!$A$2:$A$700,$A193),"")</f>
        <v>9.6928884807672682E-3</v>
      </c>
    </row>
    <row r="194" spans="1:16" x14ac:dyDescent="0.45">
      <c r="A194" t="s">
        <v>48</v>
      </c>
      <c r="B194" t="s">
        <v>106</v>
      </c>
      <c r="C194" s="26">
        <f>SUMIFS(INDEX(元データ_加工!$C$2:$P$700,0,MATCH($B194,元データ_加工!$C$1:$P$1,0)),元データ_加工!$A$2:$A$700,$A194,元データ_加工!$B$2:$B$700,C$5)</f>
        <v>208</v>
      </c>
      <c r="D194" s="26">
        <f>SUMIFS(INDEX(元データ_加工!$C$2:$P$700,0,MATCH($B194,元データ_加工!$C$1:$P$1,0)),元データ_加工!$A$2:$A$700,$A194,元データ_加工!$B$2:$B$700,D$5)</f>
        <v>214</v>
      </c>
      <c r="E194" s="26">
        <f>SUMIFS(INDEX(元データ_加工!$C$2:$P$700,0,MATCH($B194,元データ_加工!$C$1:$P$1,0)),元データ_加工!$A$2:$A$700,$A194,元データ_加工!$B$2:$B$700,E$5)</f>
        <v>213</v>
      </c>
      <c r="F194" s="26">
        <f>SUMIFS(INDEX(元データ_加工!$C$2:$P$700,0,MATCH($B194,元データ_加工!$C$1:$P$1,0)),元データ_加工!$A$2:$A$700,$A194,元データ_加工!$B$2:$B$700,F$5)</f>
        <v>185</v>
      </c>
      <c r="G194" s="26">
        <f>SUMIFS(INDEX(元データ_加工!$C$2:$P$700,0,MATCH($B194,元データ_加工!$C$1:$P$1,0)),元データ_加工!$A$2:$A$700,$A194,元データ_加工!$B$2:$B$700,G$5)</f>
        <v>251</v>
      </c>
      <c r="H194" s="26">
        <f>SUMIFS(INDEX(元データ_加工!$C$2:$P$700,0,MATCH($B194,元データ_加工!$C$1:$P$1,0)),元データ_加工!$A$2:$A$700,$A194,元データ_加工!$B$2:$B$700,H$5)</f>
        <v>96</v>
      </c>
      <c r="I194" s="26">
        <f>SUMIFS(INDEX(元データ_加工!$C$2:$P$700,0,MATCH($B194,元データ_加工!$C$1:$P$1,0)),元データ_加工!$A$2:$A$700,$A194,元データ_加工!$B$2:$B$700,I$5)</f>
        <v>104</v>
      </c>
      <c r="J194" s="26">
        <f>SUMIFS(INDEX(元データ_加工!$C$2:$P$700,0,MATCH($B194,元データ_加工!$C$1:$P$1,0)),元データ_加工!$A$2:$A$700,$A194,元データ_加工!$B$2:$B$700,J$5)</f>
        <v>165</v>
      </c>
      <c r="K194" s="26">
        <f>SUMIFS(INDEX(元データ_加工!$C$2:$P$700,0,MATCH($B194,元データ_加工!$C$1:$P$1,0)),元データ_加工!$A$2:$A$700,$A194,元データ_加工!$B$2:$B$700,K$5)</f>
        <v>267</v>
      </c>
      <c r="L194" s="26">
        <f>SUMIFS(INDEX(元データ_加工!$C$2:$P$700,0,MATCH($B194,元データ_加工!$C$1:$P$1,0)),元データ_加工!$A$2:$A$700,$A194,元データ_加工!$B$2:$B$700,L$5)</f>
        <v>197</v>
      </c>
      <c r="M194" s="26">
        <f>SUMIFS(INDEX(元データ_加工!$C$2:$P$700,0,MATCH($B194,元データ_加工!$C$1:$P$1,0)),元データ_加工!$A$2:$A$700,$A194,元データ_加工!$B$2:$B$700,M$5)</f>
        <v>319</v>
      </c>
      <c r="N194" s="26">
        <f>SUMIFS(INDEX(元データ_加工!$C$2:$P$700,0,MATCH($B194,元データ_加工!$C$1:$P$1,0)),元データ_加工!$A$2:$A$700,$A194,元データ_加工!$B$2:$B$700,N$5)</f>
        <v>252</v>
      </c>
      <c r="O194" s="26">
        <f t="shared" si="2"/>
        <v>2471</v>
      </c>
      <c r="P194" s="7">
        <f>IFERROR(O194/SUMIFS(元データ_加工!$C$2:$C$700,元データ_加工!$A$2:$A$700,$A194),"")</f>
        <v>0.12605856545250485</v>
      </c>
    </row>
    <row r="195" spans="1:16" x14ac:dyDescent="0.45">
      <c r="A195" t="s">
        <v>48</v>
      </c>
      <c r="B195" t="s">
        <v>107</v>
      </c>
      <c r="C195" s="26">
        <f>SUMIFS(INDEX(元データ_加工!$C$2:$P$700,0,MATCH($B195,元データ_加工!$C$1:$P$1,0)),元データ_加工!$A$2:$A$700,$A195,元データ_加工!$B$2:$B$700,C$5)</f>
        <v>4</v>
      </c>
      <c r="D195" s="26">
        <f>SUMIFS(INDEX(元データ_加工!$C$2:$P$700,0,MATCH($B195,元データ_加工!$C$1:$P$1,0)),元データ_加工!$A$2:$A$700,$A195,元データ_加工!$B$2:$B$700,D$5)</f>
        <v>13</v>
      </c>
      <c r="E195" s="26">
        <f>SUMIFS(INDEX(元データ_加工!$C$2:$P$700,0,MATCH($B195,元データ_加工!$C$1:$P$1,0)),元データ_加工!$A$2:$A$700,$A195,元データ_加工!$B$2:$B$700,E$5)</f>
        <v>12</v>
      </c>
      <c r="F195" s="26">
        <f>SUMIFS(INDEX(元データ_加工!$C$2:$P$700,0,MATCH($B195,元データ_加工!$C$1:$P$1,0)),元データ_加工!$A$2:$A$700,$A195,元データ_加工!$B$2:$B$700,F$5)</f>
        <v>4</v>
      </c>
      <c r="G195" s="26">
        <f>SUMIFS(INDEX(元データ_加工!$C$2:$P$700,0,MATCH($B195,元データ_加工!$C$1:$P$1,0)),元データ_加工!$A$2:$A$700,$A195,元データ_加工!$B$2:$B$700,G$5)</f>
        <v>18</v>
      </c>
      <c r="H195" s="26">
        <f>SUMIFS(INDEX(元データ_加工!$C$2:$P$700,0,MATCH($B195,元データ_加工!$C$1:$P$1,0)),元データ_加工!$A$2:$A$700,$A195,元データ_加工!$B$2:$B$700,H$5)</f>
        <v>4</v>
      </c>
      <c r="I195" s="26">
        <f>SUMIFS(INDEX(元データ_加工!$C$2:$P$700,0,MATCH($B195,元データ_加工!$C$1:$P$1,0)),元データ_加工!$A$2:$A$700,$A195,元データ_加工!$B$2:$B$700,I$5)</f>
        <v>1</v>
      </c>
      <c r="J195" s="26">
        <f>SUMIFS(INDEX(元データ_加工!$C$2:$P$700,0,MATCH($B195,元データ_加工!$C$1:$P$1,0)),元データ_加工!$A$2:$A$700,$A195,元データ_加工!$B$2:$B$700,J$5)</f>
        <v>6</v>
      </c>
      <c r="K195" s="26">
        <f>SUMIFS(INDEX(元データ_加工!$C$2:$P$700,0,MATCH($B195,元データ_加工!$C$1:$P$1,0)),元データ_加工!$A$2:$A$700,$A195,元データ_加工!$B$2:$B$700,K$5)</f>
        <v>3</v>
      </c>
      <c r="L195" s="26">
        <f>SUMIFS(INDEX(元データ_加工!$C$2:$P$700,0,MATCH($B195,元データ_加工!$C$1:$P$1,0)),元データ_加工!$A$2:$A$700,$A195,元データ_加工!$B$2:$B$700,L$5)</f>
        <v>10</v>
      </c>
      <c r="M195" s="26">
        <f>SUMIFS(INDEX(元データ_加工!$C$2:$P$700,0,MATCH($B195,元データ_加工!$C$1:$P$1,0)),元データ_加工!$A$2:$A$700,$A195,元データ_加工!$B$2:$B$700,M$5)</f>
        <v>5</v>
      </c>
      <c r="N195" s="26">
        <f>SUMIFS(INDEX(元データ_加工!$C$2:$P$700,0,MATCH($B195,元データ_加工!$C$1:$P$1,0)),元データ_加工!$A$2:$A$700,$A195,元データ_加工!$B$2:$B$700,N$5)</f>
        <v>14</v>
      </c>
      <c r="O195" s="26">
        <f t="shared" si="2"/>
        <v>94</v>
      </c>
      <c r="P195" s="7">
        <f>IFERROR(O195/SUMIFS(元データ_加工!$C$2:$C$700,元データ_加工!$A$2:$A$700,$A195),"")</f>
        <v>4.7954290378532799E-3</v>
      </c>
    </row>
    <row r="196" spans="1:16" x14ac:dyDescent="0.45">
      <c r="A196" t="s">
        <v>48</v>
      </c>
      <c r="B196" t="s">
        <v>108</v>
      </c>
      <c r="C196" s="26">
        <f>SUMIFS(INDEX(元データ_加工!$C$2:$P$700,0,MATCH($B196,元データ_加工!$C$1:$P$1,0)),元データ_加工!$A$2:$A$700,$A196,元データ_加工!$B$2:$B$700,C$5)</f>
        <v>0</v>
      </c>
      <c r="D196" s="26">
        <f>SUMIFS(INDEX(元データ_加工!$C$2:$P$700,0,MATCH($B196,元データ_加工!$C$1:$P$1,0)),元データ_加工!$A$2:$A$700,$A196,元データ_加工!$B$2:$B$700,D$5)</f>
        <v>8</v>
      </c>
      <c r="E196" s="26">
        <f>SUMIFS(INDEX(元データ_加工!$C$2:$P$700,0,MATCH($B196,元データ_加工!$C$1:$P$1,0)),元データ_加工!$A$2:$A$700,$A196,元データ_加工!$B$2:$B$700,E$5)</f>
        <v>12</v>
      </c>
      <c r="F196" s="26">
        <f>SUMIFS(INDEX(元データ_加工!$C$2:$P$700,0,MATCH($B196,元データ_加工!$C$1:$P$1,0)),元データ_加工!$A$2:$A$700,$A196,元データ_加工!$B$2:$B$700,F$5)</f>
        <v>7</v>
      </c>
      <c r="G196" s="26">
        <f>SUMIFS(INDEX(元データ_加工!$C$2:$P$700,0,MATCH($B196,元データ_加工!$C$1:$P$1,0)),元データ_加工!$A$2:$A$700,$A196,元データ_加工!$B$2:$B$700,G$5)</f>
        <v>4</v>
      </c>
      <c r="H196" s="26">
        <f>SUMIFS(INDEX(元データ_加工!$C$2:$P$700,0,MATCH($B196,元データ_加工!$C$1:$P$1,0)),元データ_加工!$A$2:$A$700,$A196,元データ_加工!$B$2:$B$700,H$5)</f>
        <v>0</v>
      </c>
      <c r="I196" s="26">
        <f>SUMIFS(INDEX(元データ_加工!$C$2:$P$700,0,MATCH($B196,元データ_加工!$C$1:$P$1,0)),元データ_加工!$A$2:$A$700,$A196,元データ_加工!$B$2:$B$700,I$5)</f>
        <v>0</v>
      </c>
      <c r="J196" s="26">
        <f>SUMIFS(INDEX(元データ_加工!$C$2:$P$700,0,MATCH($B196,元データ_加工!$C$1:$P$1,0)),元データ_加工!$A$2:$A$700,$A196,元データ_加工!$B$2:$B$700,J$5)</f>
        <v>0</v>
      </c>
      <c r="K196" s="26">
        <f>SUMIFS(INDEX(元データ_加工!$C$2:$P$700,0,MATCH($B196,元データ_加工!$C$1:$P$1,0)),元データ_加工!$A$2:$A$700,$A196,元データ_加工!$B$2:$B$700,K$5)</f>
        <v>0</v>
      </c>
      <c r="L196" s="26">
        <f>SUMIFS(INDEX(元データ_加工!$C$2:$P$700,0,MATCH($B196,元データ_加工!$C$1:$P$1,0)),元データ_加工!$A$2:$A$700,$A196,元データ_加工!$B$2:$B$700,L$5)</f>
        <v>0</v>
      </c>
      <c r="M196" s="26">
        <f>SUMIFS(INDEX(元データ_加工!$C$2:$P$700,0,MATCH($B196,元データ_加工!$C$1:$P$1,0)),元データ_加工!$A$2:$A$700,$A196,元データ_加工!$B$2:$B$700,M$5)</f>
        <v>1</v>
      </c>
      <c r="N196" s="26">
        <f>SUMIFS(INDEX(元データ_加工!$C$2:$P$700,0,MATCH($B196,元データ_加工!$C$1:$P$1,0)),元データ_加工!$A$2:$A$700,$A196,元データ_加工!$B$2:$B$700,N$5)</f>
        <v>0</v>
      </c>
      <c r="O196" s="26">
        <f t="shared" si="2"/>
        <v>32</v>
      </c>
      <c r="P196" s="7">
        <f>IFERROR(O196/SUMIFS(元データ_加工!$C$2:$C$700,元データ_加工!$A$2:$A$700,$A196),"")</f>
        <v>1.6324864809713294E-3</v>
      </c>
    </row>
    <row r="197" spans="1:16" x14ac:dyDescent="0.45">
      <c r="A197" t="s">
        <v>48</v>
      </c>
      <c r="B197" t="s">
        <v>109</v>
      </c>
      <c r="C197" s="26">
        <f>SUMIFS(INDEX(元データ_加工!$C$2:$P$700,0,MATCH($B197,元データ_加工!$C$1:$P$1,0)),元データ_加工!$A$2:$A$700,$A197,元データ_加工!$B$2:$B$700,C$5)</f>
        <v>70</v>
      </c>
      <c r="D197" s="26">
        <f>SUMIFS(INDEX(元データ_加工!$C$2:$P$700,0,MATCH($B197,元データ_加工!$C$1:$P$1,0)),元データ_加工!$A$2:$A$700,$A197,元データ_加工!$B$2:$B$700,D$5)</f>
        <v>78</v>
      </c>
      <c r="E197" s="26">
        <f>SUMIFS(INDEX(元データ_加工!$C$2:$P$700,0,MATCH($B197,元データ_加工!$C$1:$P$1,0)),元データ_加工!$A$2:$A$700,$A197,元データ_加工!$B$2:$B$700,E$5)</f>
        <v>107</v>
      </c>
      <c r="F197" s="26">
        <f>SUMIFS(INDEX(元データ_加工!$C$2:$P$700,0,MATCH($B197,元データ_加工!$C$1:$P$1,0)),元データ_加工!$A$2:$A$700,$A197,元データ_加工!$B$2:$B$700,F$5)</f>
        <v>85</v>
      </c>
      <c r="G197" s="26">
        <f>SUMIFS(INDEX(元データ_加工!$C$2:$P$700,0,MATCH($B197,元データ_加工!$C$1:$P$1,0)),元データ_加工!$A$2:$A$700,$A197,元データ_加工!$B$2:$B$700,G$5)</f>
        <v>77</v>
      </c>
      <c r="H197" s="26">
        <f>SUMIFS(INDEX(元データ_加工!$C$2:$P$700,0,MATCH($B197,元データ_加工!$C$1:$P$1,0)),元データ_加工!$A$2:$A$700,$A197,元データ_加工!$B$2:$B$700,H$5)</f>
        <v>48</v>
      </c>
      <c r="I197" s="26">
        <f>SUMIFS(INDEX(元データ_加工!$C$2:$P$700,0,MATCH($B197,元データ_加工!$C$1:$P$1,0)),元データ_加工!$A$2:$A$700,$A197,元データ_加工!$B$2:$B$700,I$5)</f>
        <v>58</v>
      </c>
      <c r="J197" s="26">
        <f>SUMIFS(INDEX(元データ_加工!$C$2:$P$700,0,MATCH($B197,元データ_加工!$C$1:$P$1,0)),元データ_加工!$A$2:$A$700,$A197,元データ_加工!$B$2:$B$700,J$5)</f>
        <v>72</v>
      </c>
      <c r="K197" s="26">
        <f>SUMIFS(INDEX(元データ_加工!$C$2:$P$700,0,MATCH($B197,元データ_加工!$C$1:$P$1,0)),元データ_加工!$A$2:$A$700,$A197,元データ_加工!$B$2:$B$700,K$5)</f>
        <v>75</v>
      </c>
      <c r="L197" s="26">
        <f>SUMIFS(INDEX(元データ_加工!$C$2:$P$700,0,MATCH($B197,元データ_加工!$C$1:$P$1,0)),元データ_加工!$A$2:$A$700,$A197,元データ_加工!$B$2:$B$700,L$5)</f>
        <v>86</v>
      </c>
      <c r="M197" s="26">
        <f>SUMIFS(INDEX(元データ_加工!$C$2:$P$700,0,MATCH($B197,元データ_加工!$C$1:$P$1,0)),元データ_加工!$A$2:$A$700,$A197,元データ_加工!$B$2:$B$700,M$5)</f>
        <v>139</v>
      </c>
      <c r="N197" s="26">
        <f>SUMIFS(INDEX(元データ_加工!$C$2:$P$700,0,MATCH($B197,元データ_加工!$C$1:$P$1,0)),元データ_加工!$A$2:$A$700,$A197,元データ_加工!$B$2:$B$700,N$5)</f>
        <v>109</v>
      </c>
      <c r="O197" s="26">
        <f t="shared" si="2"/>
        <v>1004</v>
      </c>
      <c r="P197" s="7">
        <f>IFERROR(O197/SUMIFS(元データ_加工!$C$2:$C$700,元データ_加工!$A$2:$A$700,$A197),"")</f>
        <v>5.1219263340475461E-2</v>
      </c>
    </row>
    <row r="198" spans="1:16" x14ac:dyDescent="0.45">
      <c r="A198" t="s">
        <v>48</v>
      </c>
      <c r="B198" t="s">
        <v>110</v>
      </c>
      <c r="C198" s="26">
        <f>SUMIFS(INDEX(元データ_加工!$C$2:$P$700,0,MATCH($B198,元データ_加工!$C$1:$P$1,0)),元データ_加工!$A$2:$A$700,$A198,元データ_加工!$B$2:$B$700,C$5)</f>
        <v>0</v>
      </c>
      <c r="D198" s="26">
        <f>SUMIFS(INDEX(元データ_加工!$C$2:$P$700,0,MATCH($B198,元データ_加工!$C$1:$P$1,0)),元データ_加工!$A$2:$A$700,$A198,元データ_加工!$B$2:$B$700,D$5)</f>
        <v>0</v>
      </c>
      <c r="E198" s="26">
        <f>SUMIFS(INDEX(元データ_加工!$C$2:$P$700,0,MATCH($B198,元データ_加工!$C$1:$P$1,0)),元データ_加工!$A$2:$A$700,$A198,元データ_加工!$B$2:$B$700,E$5)</f>
        <v>0</v>
      </c>
      <c r="F198" s="26">
        <f>SUMIFS(INDEX(元データ_加工!$C$2:$P$700,0,MATCH($B198,元データ_加工!$C$1:$P$1,0)),元データ_加工!$A$2:$A$700,$A198,元データ_加工!$B$2:$B$700,F$5)</f>
        <v>0</v>
      </c>
      <c r="G198" s="26">
        <f>SUMIFS(INDEX(元データ_加工!$C$2:$P$700,0,MATCH($B198,元データ_加工!$C$1:$P$1,0)),元データ_加工!$A$2:$A$700,$A198,元データ_加工!$B$2:$B$700,G$5)</f>
        <v>0</v>
      </c>
      <c r="H198" s="26">
        <f>SUMIFS(INDEX(元データ_加工!$C$2:$P$700,0,MATCH($B198,元データ_加工!$C$1:$P$1,0)),元データ_加工!$A$2:$A$700,$A198,元データ_加工!$B$2:$B$700,H$5)</f>
        <v>0</v>
      </c>
      <c r="I198" s="26">
        <f>SUMIFS(INDEX(元データ_加工!$C$2:$P$700,0,MATCH($B198,元データ_加工!$C$1:$P$1,0)),元データ_加工!$A$2:$A$700,$A198,元データ_加工!$B$2:$B$700,I$5)</f>
        <v>0</v>
      </c>
      <c r="J198" s="26">
        <f>SUMIFS(INDEX(元データ_加工!$C$2:$P$700,0,MATCH($B198,元データ_加工!$C$1:$P$1,0)),元データ_加工!$A$2:$A$700,$A198,元データ_加工!$B$2:$B$700,J$5)</f>
        <v>0</v>
      </c>
      <c r="K198" s="26">
        <f>SUMIFS(INDEX(元データ_加工!$C$2:$P$700,0,MATCH($B198,元データ_加工!$C$1:$P$1,0)),元データ_加工!$A$2:$A$700,$A198,元データ_加工!$B$2:$B$700,K$5)</f>
        <v>0</v>
      </c>
      <c r="L198" s="26">
        <f>SUMIFS(INDEX(元データ_加工!$C$2:$P$700,0,MATCH($B198,元データ_加工!$C$1:$P$1,0)),元データ_加工!$A$2:$A$700,$A198,元データ_加工!$B$2:$B$700,L$5)</f>
        <v>0</v>
      </c>
      <c r="M198" s="26">
        <f>SUMIFS(INDEX(元データ_加工!$C$2:$P$700,0,MATCH($B198,元データ_加工!$C$1:$P$1,0)),元データ_加工!$A$2:$A$700,$A198,元データ_加工!$B$2:$B$700,M$5)</f>
        <v>0</v>
      </c>
      <c r="N198" s="26">
        <f>SUMIFS(INDEX(元データ_加工!$C$2:$P$700,0,MATCH($B198,元データ_加工!$C$1:$P$1,0)),元データ_加工!$A$2:$A$700,$A198,元データ_加工!$B$2:$B$700,N$5)</f>
        <v>0</v>
      </c>
      <c r="O198" s="26">
        <f t="shared" si="2"/>
        <v>0</v>
      </c>
      <c r="P198" s="7">
        <f>IFERROR(O198/SUMIFS(元データ_加工!$C$2:$C$700,元データ_加工!$A$2:$A$700,$A198),"")</f>
        <v>0</v>
      </c>
    </row>
    <row r="199" spans="1:16" x14ac:dyDescent="0.45">
      <c r="A199" t="s">
        <v>48</v>
      </c>
      <c r="B199" t="s">
        <v>111</v>
      </c>
      <c r="C199" s="26">
        <f>SUMIFS(INDEX(元データ_加工!$C$2:$P$700,0,MATCH($B199,元データ_加工!$C$1:$P$1,0)),元データ_加工!$A$2:$A$700,$A199,元データ_加工!$B$2:$B$700,C$5)</f>
        <v>0</v>
      </c>
      <c r="D199" s="26">
        <f>SUMIFS(INDEX(元データ_加工!$C$2:$P$700,0,MATCH($B199,元データ_加工!$C$1:$P$1,0)),元データ_加工!$A$2:$A$700,$A199,元データ_加工!$B$2:$B$700,D$5)</f>
        <v>0</v>
      </c>
      <c r="E199" s="26">
        <f>SUMIFS(INDEX(元データ_加工!$C$2:$P$700,0,MATCH($B199,元データ_加工!$C$1:$P$1,0)),元データ_加工!$A$2:$A$700,$A199,元データ_加工!$B$2:$B$700,E$5)</f>
        <v>0</v>
      </c>
      <c r="F199" s="26">
        <f>SUMIFS(INDEX(元データ_加工!$C$2:$P$700,0,MATCH($B199,元データ_加工!$C$1:$P$1,0)),元データ_加工!$A$2:$A$700,$A199,元データ_加工!$B$2:$B$700,F$5)</f>
        <v>0</v>
      </c>
      <c r="G199" s="26">
        <f>SUMIFS(INDEX(元データ_加工!$C$2:$P$700,0,MATCH($B199,元データ_加工!$C$1:$P$1,0)),元データ_加工!$A$2:$A$700,$A199,元データ_加工!$B$2:$B$700,G$5)</f>
        <v>0</v>
      </c>
      <c r="H199" s="26">
        <f>SUMIFS(INDEX(元データ_加工!$C$2:$P$700,0,MATCH($B199,元データ_加工!$C$1:$P$1,0)),元データ_加工!$A$2:$A$700,$A199,元データ_加工!$B$2:$B$700,H$5)</f>
        <v>0</v>
      </c>
      <c r="I199" s="26">
        <f>SUMIFS(INDEX(元データ_加工!$C$2:$P$700,0,MATCH($B199,元データ_加工!$C$1:$P$1,0)),元データ_加工!$A$2:$A$700,$A199,元データ_加工!$B$2:$B$700,I$5)</f>
        <v>0</v>
      </c>
      <c r="J199" s="26">
        <f>SUMIFS(INDEX(元データ_加工!$C$2:$P$700,0,MATCH($B199,元データ_加工!$C$1:$P$1,0)),元データ_加工!$A$2:$A$700,$A199,元データ_加工!$B$2:$B$700,J$5)</f>
        <v>0</v>
      </c>
      <c r="K199" s="26">
        <f>SUMIFS(INDEX(元データ_加工!$C$2:$P$700,0,MATCH($B199,元データ_加工!$C$1:$P$1,0)),元データ_加工!$A$2:$A$700,$A199,元データ_加工!$B$2:$B$700,K$5)</f>
        <v>0</v>
      </c>
      <c r="L199" s="26">
        <f>SUMIFS(INDEX(元データ_加工!$C$2:$P$700,0,MATCH($B199,元データ_加工!$C$1:$P$1,0)),元データ_加工!$A$2:$A$700,$A199,元データ_加工!$B$2:$B$700,L$5)</f>
        <v>0</v>
      </c>
      <c r="M199" s="26">
        <f>SUMIFS(INDEX(元データ_加工!$C$2:$P$700,0,MATCH($B199,元データ_加工!$C$1:$P$1,0)),元データ_加工!$A$2:$A$700,$A199,元データ_加工!$B$2:$B$700,M$5)</f>
        <v>0</v>
      </c>
      <c r="N199" s="26">
        <f>SUMIFS(INDEX(元データ_加工!$C$2:$P$700,0,MATCH($B199,元データ_加工!$C$1:$P$1,0)),元データ_加工!$A$2:$A$700,$A199,元データ_加工!$B$2:$B$700,N$5)</f>
        <v>0</v>
      </c>
      <c r="O199" s="26">
        <f t="shared" ref="O199:O262" si="3">SUM(C199:N199)</f>
        <v>0</v>
      </c>
      <c r="P199" s="7">
        <f>IFERROR(O199/SUMIFS(元データ_加工!$C$2:$C$700,元データ_加工!$A$2:$A$700,$A199),"")</f>
        <v>0</v>
      </c>
    </row>
    <row r="200" spans="1:16" x14ac:dyDescent="0.45">
      <c r="A200" t="s">
        <v>48</v>
      </c>
      <c r="B200" t="s">
        <v>112</v>
      </c>
      <c r="C200" s="26">
        <f>SUMIFS(INDEX(元データ_加工!$C$2:$P$700,0,MATCH($B200,元データ_加工!$C$1:$P$1,0)),元データ_加工!$A$2:$A$700,$A200,元データ_加工!$B$2:$B$700,C$5)</f>
        <v>0</v>
      </c>
      <c r="D200" s="26">
        <f>SUMIFS(INDEX(元データ_加工!$C$2:$P$700,0,MATCH($B200,元データ_加工!$C$1:$P$1,0)),元データ_加工!$A$2:$A$700,$A200,元データ_加工!$B$2:$B$700,D$5)</f>
        <v>0</v>
      </c>
      <c r="E200" s="26">
        <f>SUMIFS(INDEX(元データ_加工!$C$2:$P$700,0,MATCH($B200,元データ_加工!$C$1:$P$1,0)),元データ_加工!$A$2:$A$700,$A200,元データ_加工!$B$2:$B$700,E$5)</f>
        <v>0</v>
      </c>
      <c r="F200" s="26">
        <f>SUMIFS(INDEX(元データ_加工!$C$2:$P$700,0,MATCH($B200,元データ_加工!$C$1:$P$1,0)),元データ_加工!$A$2:$A$700,$A200,元データ_加工!$B$2:$B$700,F$5)</f>
        <v>1</v>
      </c>
      <c r="G200" s="26">
        <f>SUMIFS(INDEX(元データ_加工!$C$2:$P$700,0,MATCH($B200,元データ_加工!$C$1:$P$1,0)),元データ_加工!$A$2:$A$700,$A200,元データ_加工!$B$2:$B$700,G$5)</f>
        <v>0</v>
      </c>
      <c r="H200" s="26">
        <f>SUMIFS(INDEX(元データ_加工!$C$2:$P$700,0,MATCH($B200,元データ_加工!$C$1:$P$1,0)),元データ_加工!$A$2:$A$700,$A200,元データ_加工!$B$2:$B$700,H$5)</f>
        <v>0</v>
      </c>
      <c r="I200" s="26">
        <f>SUMIFS(INDEX(元データ_加工!$C$2:$P$700,0,MATCH($B200,元データ_加工!$C$1:$P$1,0)),元データ_加工!$A$2:$A$700,$A200,元データ_加工!$B$2:$B$700,I$5)</f>
        <v>0</v>
      </c>
      <c r="J200" s="26">
        <f>SUMIFS(INDEX(元データ_加工!$C$2:$P$700,0,MATCH($B200,元データ_加工!$C$1:$P$1,0)),元データ_加工!$A$2:$A$700,$A200,元データ_加工!$B$2:$B$700,J$5)</f>
        <v>1</v>
      </c>
      <c r="K200" s="26">
        <f>SUMIFS(INDEX(元データ_加工!$C$2:$P$700,0,MATCH($B200,元データ_加工!$C$1:$P$1,0)),元データ_加工!$A$2:$A$700,$A200,元データ_加工!$B$2:$B$700,K$5)</f>
        <v>1</v>
      </c>
      <c r="L200" s="26">
        <f>SUMIFS(INDEX(元データ_加工!$C$2:$P$700,0,MATCH($B200,元データ_加工!$C$1:$P$1,0)),元データ_加工!$A$2:$A$700,$A200,元データ_加工!$B$2:$B$700,L$5)</f>
        <v>1</v>
      </c>
      <c r="M200" s="26">
        <f>SUMIFS(INDEX(元データ_加工!$C$2:$P$700,0,MATCH($B200,元データ_加工!$C$1:$P$1,0)),元データ_加工!$A$2:$A$700,$A200,元データ_加工!$B$2:$B$700,M$5)</f>
        <v>0</v>
      </c>
      <c r="N200" s="26">
        <f>SUMIFS(INDEX(元データ_加工!$C$2:$P$700,0,MATCH($B200,元データ_加工!$C$1:$P$1,0)),元データ_加工!$A$2:$A$700,$A200,元データ_加工!$B$2:$B$700,N$5)</f>
        <v>0</v>
      </c>
      <c r="O200" s="26">
        <f t="shared" si="3"/>
        <v>4</v>
      </c>
      <c r="P200" s="7">
        <f>IFERROR(O200/SUMIFS(元データ_加工!$C$2:$C$700,元データ_加工!$A$2:$A$700,$A200),"")</f>
        <v>2.0406081012141618E-4</v>
      </c>
    </row>
    <row r="201" spans="1:16" x14ac:dyDescent="0.45">
      <c r="A201" t="s">
        <v>48</v>
      </c>
      <c r="B201" t="s">
        <v>113</v>
      </c>
      <c r="C201" s="26">
        <f>SUMIFS(INDEX(元データ_加工!$C$2:$P$700,0,MATCH($B201,元データ_加工!$C$1:$P$1,0)),元データ_加工!$A$2:$A$700,$A201,元データ_加工!$B$2:$B$700,C$5)</f>
        <v>0</v>
      </c>
      <c r="D201" s="26">
        <f>SUMIFS(INDEX(元データ_加工!$C$2:$P$700,0,MATCH($B201,元データ_加工!$C$1:$P$1,0)),元データ_加工!$A$2:$A$700,$A201,元データ_加工!$B$2:$B$700,D$5)</f>
        <v>9</v>
      </c>
      <c r="E201" s="26">
        <f>SUMIFS(INDEX(元データ_加工!$C$2:$P$700,0,MATCH($B201,元データ_加工!$C$1:$P$1,0)),元データ_加工!$A$2:$A$700,$A201,元データ_加工!$B$2:$B$700,E$5)</f>
        <v>0</v>
      </c>
      <c r="F201" s="26">
        <f>SUMIFS(INDEX(元データ_加工!$C$2:$P$700,0,MATCH($B201,元データ_加工!$C$1:$P$1,0)),元データ_加工!$A$2:$A$700,$A201,元データ_加工!$B$2:$B$700,F$5)</f>
        <v>1</v>
      </c>
      <c r="G201" s="26">
        <f>SUMIFS(INDEX(元データ_加工!$C$2:$P$700,0,MATCH($B201,元データ_加工!$C$1:$P$1,0)),元データ_加工!$A$2:$A$700,$A201,元データ_加工!$B$2:$B$700,G$5)</f>
        <v>0</v>
      </c>
      <c r="H201" s="26">
        <f>SUMIFS(INDEX(元データ_加工!$C$2:$P$700,0,MATCH($B201,元データ_加工!$C$1:$P$1,0)),元データ_加工!$A$2:$A$700,$A201,元データ_加工!$B$2:$B$700,H$5)</f>
        <v>1</v>
      </c>
      <c r="I201" s="26">
        <f>SUMIFS(INDEX(元データ_加工!$C$2:$P$700,0,MATCH($B201,元データ_加工!$C$1:$P$1,0)),元データ_加工!$A$2:$A$700,$A201,元データ_加工!$B$2:$B$700,I$5)</f>
        <v>0</v>
      </c>
      <c r="J201" s="26">
        <f>SUMIFS(INDEX(元データ_加工!$C$2:$P$700,0,MATCH($B201,元データ_加工!$C$1:$P$1,0)),元データ_加工!$A$2:$A$700,$A201,元データ_加工!$B$2:$B$700,J$5)</f>
        <v>1</v>
      </c>
      <c r="K201" s="26">
        <f>SUMIFS(INDEX(元データ_加工!$C$2:$P$700,0,MATCH($B201,元データ_加工!$C$1:$P$1,0)),元データ_加工!$A$2:$A$700,$A201,元データ_加工!$B$2:$B$700,K$5)</f>
        <v>5</v>
      </c>
      <c r="L201" s="26">
        <f>SUMIFS(INDEX(元データ_加工!$C$2:$P$700,0,MATCH($B201,元データ_加工!$C$1:$P$1,0)),元データ_加工!$A$2:$A$700,$A201,元データ_加工!$B$2:$B$700,L$5)</f>
        <v>1</v>
      </c>
      <c r="M201" s="26">
        <f>SUMIFS(INDEX(元データ_加工!$C$2:$P$700,0,MATCH($B201,元データ_加工!$C$1:$P$1,0)),元データ_加工!$A$2:$A$700,$A201,元データ_加工!$B$2:$B$700,M$5)</f>
        <v>4</v>
      </c>
      <c r="N201" s="26">
        <f>SUMIFS(INDEX(元データ_加工!$C$2:$P$700,0,MATCH($B201,元データ_加工!$C$1:$P$1,0)),元データ_加工!$A$2:$A$700,$A201,元データ_加工!$B$2:$B$700,N$5)</f>
        <v>7</v>
      </c>
      <c r="O201" s="26">
        <f t="shared" si="3"/>
        <v>29</v>
      </c>
      <c r="P201" s="7">
        <f>IFERROR(O201/SUMIFS(元データ_加工!$C$2:$C$700,元データ_加工!$A$2:$A$700,$A201),"")</f>
        <v>1.4794408733802672E-3</v>
      </c>
    </row>
    <row r="202" spans="1:16" x14ac:dyDescent="0.45">
      <c r="A202" t="s">
        <v>49</v>
      </c>
      <c r="B202" t="s">
        <v>100</v>
      </c>
      <c r="C202" s="26">
        <f>SUMIFS(INDEX(元データ_加工!$C$2:$P$700,0,MATCH($B202,元データ_加工!$C$1:$P$1,0)),元データ_加工!$A$2:$A$700,$A202,元データ_加工!$B$2:$B$700,C$5)</f>
        <v>756</v>
      </c>
      <c r="D202" s="26">
        <f>SUMIFS(INDEX(元データ_加工!$C$2:$P$700,0,MATCH($B202,元データ_加工!$C$1:$P$1,0)),元データ_加工!$A$2:$A$700,$A202,元データ_加工!$B$2:$B$700,D$5)</f>
        <v>763</v>
      </c>
      <c r="E202" s="26">
        <f>SUMIFS(INDEX(元データ_加工!$C$2:$P$700,0,MATCH($B202,元データ_加工!$C$1:$P$1,0)),元データ_加工!$A$2:$A$700,$A202,元データ_加工!$B$2:$B$700,E$5)</f>
        <v>1122</v>
      </c>
      <c r="F202" s="26">
        <f>SUMIFS(INDEX(元データ_加工!$C$2:$P$700,0,MATCH($B202,元データ_加工!$C$1:$P$1,0)),元データ_加工!$A$2:$A$700,$A202,元データ_加工!$B$2:$B$700,F$5)</f>
        <v>1017</v>
      </c>
      <c r="G202" s="26">
        <f>SUMIFS(INDEX(元データ_加工!$C$2:$P$700,0,MATCH($B202,元データ_加工!$C$1:$P$1,0)),元データ_加工!$A$2:$A$700,$A202,元データ_加工!$B$2:$B$700,G$5)</f>
        <v>1068</v>
      </c>
      <c r="H202" s="26">
        <f>SUMIFS(INDEX(元データ_加工!$C$2:$P$700,0,MATCH($B202,元データ_加工!$C$1:$P$1,0)),元データ_加工!$A$2:$A$700,$A202,元データ_加工!$B$2:$B$700,H$5)</f>
        <v>842</v>
      </c>
      <c r="I202" s="26">
        <f>SUMIFS(INDEX(元データ_加工!$C$2:$P$700,0,MATCH($B202,元データ_加工!$C$1:$P$1,0)),元データ_加工!$A$2:$A$700,$A202,元データ_加工!$B$2:$B$700,I$5)</f>
        <v>614</v>
      </c>
      <c r="J202" s="26">
        <f>SUMIFS(INDEX(元データ_加工!$C$2:$P$700,0,MATCH($B202,元データ_加工!$C$1:$P$1,0)),元データ_加工!$A$2:$A$700,$A202,元データ_加工!$B$2:$B$700,J$5)</f>
        <v>1200</v>
      </c>
      <c r="K202" s="26">
        <f>SUMIFS(INDEX(元データ_加工!$C$2:$P$700,0,MATCH($B202,元データ_加工!$C$1:$P$1,0)),元データ_加工!$A$2:$A$700,$A202,元データ_加工!$B$2:$B$700,K$5)</f>
        <v>2005</v>
      </c>
      <c r="L202" s="26">
        <f>SUMIFS(INDEX(元データ_加工!$C$2:$P$700,0,MATCH($B202,元データ_加工!$C$1:$P$1,0)),元データ_加工!$A$2:$A$700,$A202,元データ_加工!$B$2:$B$700,L$5)</f>
        <v>1324</v>
      </c>
      <c r="M202" s="26">
        <f>SUMIFS(INDEX(元データ_加工!$C$2:$P$700,0,MATCH($B202,元データ_加工!$C$1:$P$1,0)),元データ_加工!$A$2:$A$700,$A202,元データ_加工!$B$2:$B$700,M$5)</f>
        <v>973</v>
      </c>
      <c r="N202" s="26">
        <f>SUMIFS(INDEX(元データ_加工!$C$2:$P$700,0,MATCH($B202,元データ_加工!$C$1:$P$1,0)),元データ_加工!$A$2:$A$700,$A202,元データ_加工!$B$2:$B$700,N$5)</f>
        <v>1132</v>
      </c>
      <c r="O202" s="26">
        <f t="shared" si="3"/>
        <v>12816</v>
      </c>
      <c r="P202" s="7">
        <f>IFERROR(O202/SUMIFS(元データ_加工!$C$2:$C$700,元データ_加工!$A$2:$A$700,$A202),"")</f>
        <v>1</v>
      </c>
    </row>
    <row r="203" spans="1:16" x14ac:dyDescent="0.45">
      <c r="A203" t="s">
        <v>49</v>
      </c>
      <c r="B203" t="s">
        <v>101</v>
      </c>
      <c r="C203" s="26">
        <f>SUMIFS(INDEX(元データ_加工!$C$2:$P$700,0,MATCH($B203,元データ_加工!$C$1:$P$1,0)),元データ_加工!$A$2:$A$700,$A203,元データ_加工!$B$2:$B$700,C$5)</f>
        <v>909</v>
      </c>
      <c r="D203" s="26">
        <f>SUMIFS(INDEX(元データ_加工!$C$2:$P$700,0,MATCH($B203,元データ_加工!$C$1:$P$1,0)),元データ_加工!$A$2:$A$700,$A203,元データ_加工!$B$2:$B$700,D$5)</f>
        <v>1261</v>
      </c>
      <c r="E203" s="26">
        <f>SUMIFS(INDEX(元データ_加工!$C$2:$P$700,0,MATCH($B203,元データ_加工!$C$1:$P$1,0)),元データ_加工!$A$2:$A$700,$A203,元データ_加工!$B$2:$B$700,E$5)</f>
        <v>1250</v>
      </c>
      <c r="F203" s="26">
        <f>SUMIFS(INDEX(元データ_加工!$C$2:$P$700,0,MATCH($B203,元データ_加工!$C$1:$P$1,0)),元データ_加工!$A$2:$A$700,$A203,元データ_加工!$B$2:$B$700,F$5)</f>
        <v>1047</v>
      </c>
      <c r="G203" s="26">
        <f>SUMIFS(INDEX(元データ_加工!$C$2:$P$700,0,MATCH($B203,元データ_加工!$C$1:$P$1,0)),元データ_加工!$A$2:$A$700,$A203,元データ_加工!$B$2:$B$700,G$5)</f>
        <v>1190</v>
      </c>
      <c r="H203" s="26">
        <f>SUMIFS(INDEX(元データ_加工!$C$2:$P$700,0,MATCH($B203,元データ_加工!$C$1:$P$1,0)),元データ_加工!$A$2:$A$700,$A203,元データ_加工!$B$2:$B$700,H$5)</f>
        <v>966</v>
      </c>
      <c r="I203" s="26">
        <f>SUMIFS(INDEX(元データ_加工!$C$2:$P$700,0,MATCH($B203,元データ_加工!$C$1:$P$1,0)),元データ_加工!$A$2:$A$700,$A203,元データ_加工!$B$2:$B$700,I$5)</f>
        <v>929</v>
      </c>
      <c r="J203" s="26">
        <f>SUMIFS(INDEX(元データ_加工!$C$2:$P$700,0,MATCH($B203,元データ_加工!$C$1:$P$1,0)),元データ_加工!$A$2:$A$700,$A203,元データ_加工!$B$2:$B$700,J$5)</f>
        <v>1187</v>
      </c>
      <c r="K203" s="26">
        <f>SUMIFS(INDEX(元データ_加工!$C$2:$P$700,0,MATCH($B203,元データ_加工!$C$1:$P$1,0)),元データ_加工!$A$2:$A$700,$A203,元データ_加工!$B$2:$B$700,K$5)</f>
        <v>1190</v>
      </c>
      <c r="L203" s="26">
        <f>SUMIFS(INDEX(元データ_加工!$C$2:$P$700,0,MATCH($B203,元データ_加工!$C$1:$P$1,0)),元データ_加工!$A$2:$A$700,$A203,元データ_加工!$B$2:$B$700,L$5)</f>
        <v>1041</v>
      </c>
      <c r="M203" s="26">
        <f>SUMIFS(INDEX(元データ_加工!$C$2:$P$700,0,MATCH($B203,元データ_加工!$C$1:$P$1,0)),元データ_加工!$A$2:$A$700,$A203,元データ_加工!$B$2:$B$700,M$5)</f>
        <v>1253</v>
      </c>
      <c r="N203" s="26">
        <f>SUMIFS(INDEX(元データ_加工!$C$2:$P$700,0,MATCH($B203,元データ_加工!$C$1:$P$1,0)),元データ_加工!$A$2:$A$700,$A203,元データ_加工!$B$2:$B$700,N$5)</f>
        <v>1464</v>
      </c>
      <c r="O203" s="26">
        <f t="shared" si="3"/>
        <v>13687</v>
      </c>
      <c r="P203" s="7">
        <f>IFERROR(O203/SUMIFS(元データ_加工!$C$2:$C$700,元データ_加工!$A$2:$A$700,$A203),"")</f>
        <v>1.067961922596754</v>
      </c>
    </row>
    <row r="204" spans="1:16" x14ac:dyDescent="0.45">
      <c r="A204" t="s">
        <v>49</v>
      </c>
      <c r="B204" t="s">
        <v>102</v>
      </c>
      <c r="C204" s="26">
        <f>SUMIFS(INDEX(元データ_加工!$C$2:$P$700,0,MATCH($B204,元データ_加工!$C$1:$P$1,0)),元データ_加工!$A$2:$A$700,$A204,元データ_加工!$B$2:$B$700,C$5)</f>
        <v>0</v>
      </c>
      <c r="D204" s="26">
        <f>SUMIFS(INDEX(元データ_加工!$C$2:$P$700,0,MATCH($B204,元データ_加工!$C$1:$P$1,0)),元データ_加工!$A$2:$A$700,$A204,元データ_加工!$B$2:$B$700,D$5)</f>
        <v>0</v>
      </c>
      <c r="E204" s="26">
        <f>SUMIFS(INDEX(元データ_加工!$C$2:$P$700,0,MATCH($B204,元データ_加工!$C$1:$P$1,0)),元データ_加工!$A$2:$A$700,$A204,元データ_加工!$B$2:$B$700,E$5)</f>
        <v>0</v>
      </c>
      <c r="F204" s="26">
        <f>SUMIFS(INDEX(元データ_加工!$C$2:$P$700,0,MATCH($B204,元データ_加工!$C$1:$P$1,0)),元データ_加工!$A$2:$A$700,$A204,元データ_加工!$B$2:$B$700,F$5)</f>
        <v>0</v>
      </c>
      <c r="G204" s="26">
        <f>SUMIFS(INDEX(元データ_加工!$C$2:$P$700,0,MATCH($B204,元データ_加工!$C$1:$P$1,0)),元データ_加工!$A$2:$A$700,$A204,元データ_加工!$B$2:$B$700,G$5)</f>
        <v>0</v>
      </c>
      <c r="H204" s="26">
        <f>SUMIFS(INDEX(元データ_加工!$C$2:$P$700,0,MATCH($B204,元データ_加工!$C$1:$P$1,0)),元データ_加工!$A$2:$A$700,$A204,元データ_加工!$B$2:$B$700,H$5)</f>
        <v>1</v>
      </c>
      <c r="I204" s="26">
        <f>SUMIFS(INDEX(元データ_加工!$C$2:$P$700,0,MATCH($B204,元データ_加工!$C$1:$P$1,0)),元データ_加工!$A$2:$A$700,$A204,元データ_加工!$B$2:$B$700,I$5)</f>
        <v>0</v>
      </c>
      <c r="J204" s="26">
        <f>SUMIFS(INDEX(元データ_加工!$C$2:$P$700,0,MATCH($B204,元データ_加工!$C$1:$P$1,0)),元データ_加工!$A$2:$A$700,$A204,元データ_加工!$B$2:$B$700,J$5)</f>
        <v>7</v>
      </c>
      <c r="K204" s="26">
        <f>SUMIFS(INDEX(元データ_加工!$C$2:$P$700,0,MATCH($B204,元データ_加工!$C$1:$P$1,0)),元データ_加工!$A$2:$A$700,$A204,元データ_加工!$B$2:$B$700,K$5)</f>
        <v>15</v>
      </c>
      <c r="L204" s="26">
        <f>SUMIFS(INDEX(元データ_加工!$C$2:$P$700,0,MATCH($B204,元データ_加工!$C$1:$P$1,0)),元データ_加工!$A$2:$A$700,$A204,元データ_加工!$B$2:$B$700,L$5)</f>
        <v>1</v>
      </c>
      <c r="M204" s="26">
        <f>SUMIFS(INDEX(元データ_加工!$C$2:$P$700,0,MATCH($B204,元データ_加工!$C$1:$P$1,0)),元データ_加工!$A$2:$A$700,$A204,元データ_加工!$B$2:$B$700,M$5)</f>
        <v>0</v>
      </c>
      <c r="N204" s="26">
        <f>SUMIFS(INDEX(元データ_加工!$C$2:$P$700,0,MATCH($B204,元データ_加工!$C$1:$P$1,0)),元データ_加工!$A$2:$A$700,$A204,元データ_加工!$B$2:$B$700,N$5)</f>
        <v>0</v>
      </c>
      <c r="O204" s="26">
        <f t="shared" si="3"/>
        <v>24</v>
      </c>
      <c r="P204" s="7">
        <f>IFERROR(O204/SUMIFS(元データ_加工!$C$2:$C$700,元データ_加工!$A$2:$A$700,$A204),"")</f>
        <v>1.8726591760299626E-3</v>
      </c>
    </row>
    <row r="205" spans="1:16" x14ac:dyDescent="0.45">
      <c r="A205" t="s">
        <v>49</v>
      </c>
      <c r="B205" t="s">
        <v>103</v>
      </c>
      <c r="C205" s="26">
        <f>SUMIFS(INDEX(元データ_加工!$C$2:$P$700,0,MATCH($B205,元データ_加工!$C$1:$P$1,0)),元データ_加工!$A$2:$A$700,$A205,元データ_加工!$B$2:$B$700,C$5)</f>
        <v>0</v>
      </c>
      <c r="D205" s="26">
        <f>SUMIFS(INDEX(元データ_加工!$C$2:$P$700,0,MATCH($B205,元データ_加工!$C$1:$P$1,0)),元データ_加工!$A$2:$A$700,$A205,元データ_加工!$B$2:$B$700,D$5)</f>
        <v>0</v>
      </c>
      <c r="E205" s="26">
        <f>SUMIFS(INDEX(元データ_加工!$C$2:$P$700,0,MATCH($B205,元データ_加工!$C$1:$P$1,0)),元データ_加工!$A$2:$A$700,$A205,元データ_加工!$B$2:$B$700,E$5)</f>
        <v>1</v>
      </c>
      <c r="F205" s="26">
        <f>SUMIFS(INDEX(元データ_加工!$C$2:$P$700,0,MATCH($B205,元データ_加工!$C$1:$P$1,0)),元データ_加工!$A$2:$A$700,$A205,元データ_加工!$B$2:$B$700,F$5)</f>
        <v>20</v>
      </c>
      <c r="G205" s="26">
        <f>SUMIFS(INDEX(元データ_加工!$C$2:$P$700,0,MATCH($B205,元データ_加工!$C$1:$P$1,0)),元データ_加工!$A$2:$A$700,$A205,元データ_加工!$B$2:$B$700,G$5)</f>
        <v>37</v>
      </c>
      <c r="H205" s="26">
        <f>SUMIFS(INDEX(元データ_加工!$C$2:$P$700,0,MATCH($B205,元データ_加工!$C$1:$P$1,0)),元データ_加工!$A$2:$A$700,$A205,元データ_加工!$B$2:$B$700,H$5)</f>
        <v>45</v>
      </c>
      <c r="I205" s="26">
        <f>SUMIFS(INDEX(元データ_加工!$C$2:$P$700,0,MATCH($B205,元データ_加工!$C$1:$P$1,0)),元データ_加工!$A$2:$A$700,$A205,元データ_加工!$B$2:$B$700,I$5)</f>
        <v>14</v>
      </c>
      <c r="J205" s="26">
        <f>SUMIFS(INDEX(元データ_加工!$C$2:$P$700,0,MATCH($B205,元データ_加工!$C$1:$P$1,0)),元データ_加工!$A$2:$A$700,$A205,元データ_加工!$B$2:$B$700,J$5)</f>
        <v>8</v>
      </c>
      <c r="K205" s="26">
        <f>SUMIFS(INDEX(元データ_加工!$C$2:$P$700,0,MATCH($B205,元データ_加工!$C$1:$P$1,0)),元データ_加工!$A$2:$A$700,$A205,元データ_加工!$B$2:$B$700,K$5)</f>
        <v>3</v>
      </c>
      <c r="L205" s="26">
        <f>SUMIFS(INDEX(元データ_加工!$C$2:$P$700,0,MATCH($B205,元データ_加工!$C$1:$P$1,0)),元データ_加工!$A$2:$A$700,$A205,元データ_加工!$B$2:$B$700,L$5)</f>
        <v>3</v>
      </c>
      <c r="M205" s="26">
        <f>SUMIFS(INDEX(元データ_加工!$C$2:$P$700,0,MATCH($B205,元データ_加工!$C$1:$P$1,0)),元データ_加工!$A$2:$A$700,$A205,元データ_加工!$B$2:$B$700,M$5)</f>
        <v>0</v>
      </c>
      <c r="N205" s="26">
        <f>SUMIFS(INDEX(元データ_加工!$C$2:$P$700,0,MATCH($B205,元データ_加工!$C$1:$P$1,0)),元データ_加工!$A$2:$A$700,$A205,元データ_加工!$B$2:$B$700,N$5)</f>
        <v>0</v>
      </c>
      <c r="O205" s="26">
        <f t="shared" si="3"/>
        <v>131</v>
      </c>
      <c r="P205" s="7">
        <f>IFERROR(O205/SUMIFS(元データ_加工!$C$2:$C$700,元データ_加工!$A$2:$A$700,$A205),"")</f>
        <v>1.022159800249688E-2</v>
      </c>
    </row>
    <row r="206" spans="1:16" x14ac:dyDescent="0.45">
      <c r="A206" t="s">
        <v>49</v>
      </c>
      <c r="B206" t="s">
        <v>104</v>
      </c>
      <c r="C206" s="26">
        <f>SUMIFS(INDEX(元データ_加工!$C$2:$P$700,0,MATCH($B206,元データ_加工!$C$1:$P$1,0)),元データ_加工!$A$2:$A$700,$A206,元データ_加工!$B$2:$B$700,C$5)</f>
        <v>4</v>
      </c>
      <c r="D206" s="26">
        <f>SUMIFS(INDEX(元データ_加工!$C$2:$P$700,0,MATCH($B206,元データ_加工!$C$1:$P$1,0)),元データ_加工!$A$2:$A$700,$A206,元データ_加工!$B$2:$B$700,D$5)</f>
        <v>1</v>
      </c>
      <c r="E206" s="26">
        <f>SUMIFS(INDEX(元データ_加工!$C$2:$P$700,0,MATCH($B206,元データ_加工!$C$1:$P$1,0)),元データ_加工!$A$2:$A$700,$A206,元データ_加工!$B$2:$B$700,E$5)</f>
        <v>3</v>
      </c>
      <c r="F206" s="26">
        <f>SUMIFS(INDEX(元データ_加工!$C$2:$P$700,0,MATCH($B206,元データ_加工!$C$1:$P$1,0)),元データ_加工!$A$2:$A$700,$A206,元データ_加工!$B$2:$B$700,F$5)</f>
        <v>5</v>
      </c>
      <c r="G206" s="26">
        <f>SUMIFS(INDEX(元データ_加工!$C$2:$P$700,0,MATCH($B206,元データ_加工!$C$1:$P$1,0)),元データ_加工!$A$2:$A$700,$A206,元データ_加工!$B$2:$B$700,G$5)</f>
        <v>21</v>
      </c>
      <c r="H206" s="26">
        <f>SUMIFS(INDEX(元データ_加工!$C$2:$P$700,0,MATCH($B206,元データ_加工!$C$1:$P$1,0)),元データ_加工!$A$2:$A$700,$A206,元データ_加工!$B$2:$B$700,H$5)</f>
        <v>8</v>
      </c>
      <c r="I206" s="26">
        <f>SUMIFS(INDEX(元データ_加工!$C$2:$P$700,0,MATCH($B206,元データ_加工!$C$1:$P$1,0)),元データ_加工!$A$2:$A$700,$A206,元データ_加工!$B$2:$B$700,I$5)</f>
        <v>16</v>
      </c>
      <c r="J206" s="26">
        <f>SUMIFS(INDEX(元データ_加工!$C$2:$P$700,0,MATCH($B206,元データ_加工!$C$1:$P$1,0)),元データ_加工!$A$2:$A$700,$A206,元データ_加工!$B$2:$B$700,J$5)</f>
        <v>42</v>
      </c>
      <c r="K206" s="26">
        <f>SUMIFS(INDEX(元データ_加工!$C$2:$P$700,0,MATCH($B206,元データ_加工!$C$1:$P$1,0)),元データ_加工!$A$2:$A$700,$A206,元データ_加工!$B$2:$B$700,K$5)</f>
        <v>20</v>
      </c>
      <c r="L206" s="26">
        <f>SUMIFS(INDEX(元データ_加工!$C$2:$P$700,0,MATCH($B206,元データ_加工!$C$1:$P$1,0)),元データ_加工!$A$2:$A$700,$A206,元データ_加工!$B$2:$B$700,L$5)</f>
        <v>19</v>
      </c>
      <c r="M206" s="26">
        <f>SUMIFS(INDEX(元データ_加工!$C$2:$P$700,0,MATCH($B206,元データ_加工!$C$1:$P$1,0)),元データ_加工!$A$2:$A$700,$A206,元データ_加工!$B$2:$B$700,M$5)</f>
        <v>18</v>
      </c>
      <c r="N206" s="26">
        <f>SUMIFS(INDEX(元データ_加工!$C$2:$P$700,0,MATCH($B206,元データ_加工!$C$1:$P$1,0)),元データ_加工!$A$2:$A$700,$A206,元データ_加工!$B$2:$B$700,N$5)</f>
        <v>4</v>
      </c>
      <c r="O206" s="26">
        <f t="shared" si="3"/>
        <v>161</v>
      </c>
      <c r="P206" s="7">
        <f>IFERROR(O206/SUMIFS(元データ_加工!$C$2:$C$700,元データ_加工!$A$2:$A$700,$A206),"")</f>
        <v>1.2562421972534332E-2</v>
      </c>
    </row>
    <row r="207" spans="1:16" x14ac:dyDescent="0.45">
      <c r="A207" t="s">
        <v>49</v>
      </c>
      <c r="B207" t="s">
        <v>105</v>
      </c>
      <c r="C207" s="26">
        <f>SUMIFS(INDEX(元データ_加工!$C$2:$P$700,0,MATCH($B207,元データ_加工!$C$1:$P$1,0)),元データ_加工!$A$2:$A$700,$A207,元データ_加工!$B$2:$B$700,C$5)</f>
        <v>1</v>
      </c>
      <c r="D207" s="26">
        <f>SUMIFS(INDEX(元データ_加工!$C$2:$P$700,0,MATCH($B207,元データ_加工!$C$1:$P$1,0)),元データ_加工!$A$2:$A$700,$A207,元データ_加工!$B$2:$B$700,D$5)</f>
        <v>0</v>
      </c>
      <c r="E207" s="26">
        <f>SUMIFS(INDEX(元データ_加工!$C$2:$P$700,0,MATCH($B207,元データ_加工!$C$1:$P$1,0)),元データ_加工!$A$2:$A$700,$A207,元データ_加工!$B$2:$B$700,E$5)</f>
        <v>0</v>
      </c>
      <c r="F207" s="26">
        <f>SUMIFS(INDEX(元データ_加工!$C$2:$P$700,0,MATCH($B207,元データ_加工!$C$1:$P$1,0)),元データ_加工!$A$2:$A$700,$A207,元データ_加工!$B$2:$B$700,F$5)</f>
        <v>0</v>
      </c>
      <c r="G207" s="26">
        <f>SUMIFS(INDEX(元データ_加工!$C$2:$P$700,0,MATCH($B207,元データ_加工!$C$1:$P$1,0)),元データ_加工!$A$2:$A$700,$A207,元データ_加工!$B$2:$B$700,G$5)</f>
        <v>7</v>
      </c>
      <c r="H207" s="26">
        <f>SUMIFS(INDEX(元データ_加工!$C$2:$P$700,0,MATCH($B207,元データ_加工!$C$1:$P$1,0)),元データ_加工!$A$2:$A$700,$A207,元データ_加工!$B$2:$B$700,H$5)</f>
        <v>7</v>
      </c>
      <c r="I207" s="26">
        <f>SUMIFS(INDEX(元データ_加工!$C$2:$P$700,0,MATCH($B207,元データ_加工!$C$1:$P$1,0)),元データ_加工!$A$2:$A$700,$A207,元データ_加工!$B$2:$B$700,I$5)</f>
        <v>0</v>
      </c>
      <c r="J207" s="26">
        <f>SUMIFS(INDEX(元データ_加工!$C$2:$P$700,0,MATCH($B207,元データ_加工!$C$1:$P$1,0)),元データ_加工!$A$2:$A$700,$A207,元データ_加工!$B$2:$B$700,J$5)</f>
        <v>32</v>
      </c>
      <c r="K207" s="26">
        <f>SUMIFS(INDEX(元データ_加工!$C$2:$P$700,0,MATCH($B207,元データ_加工!$C$1:$P$1,0)),元データ_加工!$A$2:$A$700,$A207,元データ_加工!$B$2:$B$700,K$5)</f>
        <v>96</v>
      </c>
      <c r="L207" s="26">
        <f>SUMIFS(INDEX(元データ_加工!$C$2:$P$700,0,MATCH($B207,元データ_加工!$C$1:$P$1,0)),元データ_加工!$A$2:$A$700,$A207,元データ_加工!$B$2:$B$700,L$5)</f>
        <v>41</v>
      </c>
      <c r="M207" s="26">
        <f>SUMIFS(INDEX(元データ_加工!$C$2:$P$700,0,MATCH($B207,元データ_加工!$C$1:$P$1,0)),元データ_加工!$A$2:$A$700,$A207,元データ_加工!$B$2:$B$700,M$5)</f>
        <v>15</v>
      </c>
      <c r="N207" s="26">
        <f>SUMIFS(INDEX(元データ_加工!$C$2:$P$700,0,MATCH($B207,元データ_加工!$C$1:$P$1,0)),元データ_加工!$A$2:$A$700,$A207,元データ_加工!$B$2:$B$700,N$5)</f>
        <v>5</v>
      </c>
      <c r="O207" s="26">
        <f t="shared" si="3"/>
        <v>204</v>
      </c>
      <c r="P207" s="7">
        <f>IFERROR(O207/SUMIFS(元データ_加工!$C$2:$C$700,元データ_加工!$A$2:$A$700,$A207),"")</f>
        <v>1.5917602996254682E-2</v>
      </c>
    </row>
    <row r="208" spans="1:16" x14ac:dyDescent="0.45">
      <c r="A208" t="s">
        <v>49</v>
      </c>
      <c r="B208" t="s">
        <v>106</v>
      </c>
      <c r="C208" s="26">
        <f>SUMIFS(INDEX(元データ_加工!$C$2:$P$700,0,MATCH($B208,元データ_加工!$C$1:$P$1,0)),元データ_加工!$A$2:$A$700,$A208,元データ_加工!$B$2:$B$700,C$5)</f>
        <v>114</v>
      </c>
      <c r="D208" s="26">
        <f>SUMIFS(INDEX(元データ_加工!$C$2:$P$700,0,MATCH($B208,元データ_加工!$C$1:$P$1,0)),元データ_加工!$A$2:$A$700,$A208,元データ_加工!$B$2:$B$700,D$5)</f>
        <v>82</v>
      </c>
      <c r="E208" s="26">
        <f>SUMIFS(INDEX(元データ_加工!$C$2:$P$700,0,MATCH($B208,元データ_加工!$C$1:$P$1,0)),元データ_加工!$A$2:$A$700,$A208,元データ_加工!$B$2:$B$700,E$5)</f>
        <v>99</v>
      </c>
      <c r="F208" s="26">
        <f>SUMIFS(INDEX(元データ_加工!$C$2:$P$700,0,MATCH($B208,元データ_加工!$C$1:$P$1,0)),元データ_加工!$A$2:$A$700,$A208,元データ_加工!$B$2:$B$700,F$5)</f>
        <v>122</v>
      </c>
      <c r="G208" s="26">
        <f>SUMIFS(INDEX(元データ_加工!$C$2:$P$700,0,MATCH($B208,元データ_加工!$C$1:$P$1,0)),元データ_加工!$A$2:$A$700,$A208,元データ_加工!$B$2:$B$700,G$5)</f>
        <v>86</v>
      </c>
      <c r="H208" s="26">
        <f>SUMIFS(INDEX(元データ_加工!$C$2:$P$700,0,MATCH($B208,元データ_加工!$C$1:$P$1,0)),元データ_加工!$A$2:$A$700,$A208,元データ_加工!$B$2:$B$700,H$5)</f>
        <v>61</v>
      </c>
      <c r="I208" s="26">
        <f>SUMIFS(INDEX(元データ_加工!$C$2:$P$700,0,MATCH($B208,元データ_加工!$C$1:$P$1,0)),元データ_加工!$A$2:$A$700,$A208,元データ_加工!$B$2:$B$700,I$5)</f>
        <v>49</v>
      </c>
      <c r="J208" s="26">
        <f>SUMIFS(INDEX(元データ_加工!$C$2:$P$700,0,MATCH($B208,元データ_加工!$C$1:$P$1,0)),元データ_加工!$A$2:$A$700,$A208,元データ_加工!$B$2:$B$700,J$5)</f>
        <v>92</v>
      </c>
      <c r="K208" s="26">
        <f>SUMIFS(INDEX(元データ_加工!$C$2:$P$700,0,MATCH($B208,元データ_加工!$C$1:$P$1,0)),元データ_加工!$A$2:$A$700,$A208,元データ_加工!$B$2:$B$700,K$5)</f>
        <v>113</v>
      </c>
      <c r="L208" s="26">
        <f>SUMIFS(INDEX(元データ_加工!$C$2:$P$700,0,MATCH($B208,元データ_加工!$C$1:$P$1,0)),元データ_加工!$A$2:$A$700,$A208,元データ_加工!$B$2:$B$700,L$5)</f>
        <v>124</v>
      </c>
      <c r="M208" s="26">
        <f>SUMIFS(INDEX(元データ_加工!$C$2:$P$700,0,MATCH($B208,元データ_加工!$C$1:$P$1,0)),元データ_加工!$A$2:$A$700,$A208,元データ_加工!$B$2:$B$700,M$5)</f>
        <v>125</v>
      </c>
      <c r="N208" s="26">
        <f>SUMIFS(INDEX(元データ_加工!$C$2:$P$700,0,MATCH($B208,元データ_加工!$C$1:$P$1,0)),元データ_加工!$A$2:$A$700,$A208,元データ_加工!$B$2:$B$700,N$5)</f>
        <v>91</v>
      </c>
      <c r="O208" s="26">
        <f t="shared" si="3"/>
        <v>1158</v>
      </c>
      <c r="P208" s="7">
        <f>IFERROR(O208/SUMIFS(元データ_加工!$C$2:$C$700,元データ_加工!$A$2:$A$700,$A208),"")</f>
        <v>9.0355805243445692E-2</v>
      </c>
    </row>
    <row r="209" spans="1:16" x14ac:dyDescent="0.45">
      <c r="A209" t="s">
        <v>49</v>
      </c>
      <c r="B209" t="s">
        <v>107</v>
      </c>
      <c r="C209" s="26">
        <f>SUMIFS(INDEX(元データ_加工!$C$2:$P$700,0,MATCH($B209,元データ_加工!$C$1:$P$1,0)),元データ_加工!$A$2:$A$700,$A209,元データ_加工!$B$2:$B$700,C$5)</f>
        <v>55</v>
      </c>
      <c r="D209" s="26">
        <f>SUMIFS(INDEX(元データ_加工!$C$2:$P$700,0,MATCH($B209,元データ_加工!$C$1:$P$1,0)),元データ_加工!$A$2:$A$700,$A209,元データ_加工!$B$2:$B$700,D$5)</f>
        <v>64</v>
      </c>
      <c r="E209" s="26">
        <f>SUMIFS(INDEX(元データ_加工!$C$2:$P$700,0,MATCH($B209,元データ_加工!$C$1:$P$1,0)),元データ_加工!$A$2:$A$700,$A209,元データ_加工!$B$2:$B$700,E$5)</f>
        <v>62</v>
      </c>
      <c r="F209" s="26">
        <f>SUMIFS(INDEX(元データ_加工!$C$2:$P$700,0,MATCH($B209,元データ_加工!$C$1:$P$1,0)),元データ_加工!$A$2:$A$700,$A209,元データ_加工!$B$2:$B$700,F$5)</f>
        <v>14</v>
      </c>
      <c r="G209" s="26">
        <f>SUMIFS(INDEX(元データ_加工!$C$2:$P$700,0,MATCH($B209,元データ_加工!$C$1:$P$1,0)),元データ_加工!$A$2:$A$700,$A209,元データ_加工!$B$2:$B$700,G$5)</f>
        <v>19</v>
      </c>
      <c r="H209" s="26">
        <f>SUMIFS(INDEX(元データ_加工!$C$2:$P$700,0,MATCH($B209,元データ_加工!$C$1:$P$1,0)),元データ_加工!$A$2:$A$700,$A209,元データ_加工!$B$2:$B$700,H$5)</f>
        <v>16</v>
      </c>
      <c r="I209" s="26">
        <f>SUMIFS(INDEX(元データ_加工!$C$2:$P$700,0,MATCH($B209,元データ_加工!$C$1:$P$1,0)),元データ_加工!$A$2:$A$700,$A209,元データ_加工!$B$2:$B$700,I$5)</f>
        <v>9</v>
      </c>
      <c r="J209" s="26">
        <f>SUMIFS(INDEX(元データ_加工!$C$2:$P$700,0,MATCH($B209,元データ_加工!$C$1:$P$1,0)),元データ_加工!$A$2:$A$700,$A209,元データ_加工!$B$2:$B$700,J$5)</f>
        <v>8</v>
      </c>
      <c r="K209" s="26">
        <f>SUMIFS(INDEX(元データ_加工!$C$2:$P$700,0,MATCH($B209,元データ_加工!$C$1:$P$1,0)),元データ_加工!$A$2:$A$700,$A209,元データ_加工!$B$2:$B$700,K$5)</f>
        <v>4</v>
      </c>
      <c r="L209" s="26">
        <f>SUMIFS(INDEX(元データ_加工!$C$2:$P$700,0,MATCH($B209,元データ_加工!$C$1:$P$1,0)),元データ_加工!$A$2:$A$700,$A209,元データ_加工!$B$2:$B$700,L$5)</f>
        <v>6</v>
      </c>
      <c r="M209" s="26">
        <f>SUMIFS(INDEX(元データ_加工!$C$2:$P$700,0,MATCH($B209,元データ_加工!$C$1:$P$1,0)),元データ_加工!$A$2:$A$700,$A209,元データ_加工!$B$2:$B$700,M$5)</f>
        <v>7</v>
      </c>
      <c r="N209" s="26">
        <f>SUMIFS(INDEX(元データ_加工!$C$2:$P$700,0,MATCH($B209,元データ_加工!$C$1:$P$1,0)),元データ_加工!$A$2:$A$700,$A209,元データ_加工!$B$2:$B$700,N$5)</f>
        <v>83</v>
      </c>
      <c r="O209" s="26">
        <f t="shared" si="3"/>
        <v>347</v>
      </c>
      <c r="P209" s="7">
        <f>IFERROR(O209/SUMIFS(元データ_加工!$C$2:$C$700,元データ_加工!$A$2:$A$700,$A209),"")</f>
        <v>2.7075530586766542E-2</v>
      </c>
    </row>
    <row r="210" spans="1:16" x14ac:dyDescent="0.45">
      <c r="A210" t="s">
        <v>49</v>
      </c>
      <c r="B210" t="s">
        <v>108</v>
      </c>
      <c r="C210" s="26">
        <f>SUMIFS(INDEX(元データ_加工!$C$2:$P$700,0,MATCH($B210,元データ_加工!$C$1:$P$1,0)),元データ_加工!$A$2:$A$700,$A210,元データ_加工!$B$2:$B$700,C$5)</f>
        <v>1</v>
      </c>
      <c r="D210" s="26">
        <f>SUMIFS(INDEX(元データ_加工!$C$2:$P$700,0,MATCH($B210,元データ_加工!$C$1:$P$1,0)),元データ_加工!$A$2:$A$700,$A210,元データ_加工!$B$2:$B$700,D$5)</f>
        <v>33</v>
      </c>
      <c r="E210" s="26">
        <f>SUMIFS(INDEX(元データ_加工!$C$2:$P$700,0,MATCH($B210,元データ_加工!$C$1:$P$1,0)),元データ_加工!$A$2:$A$700,$A210,元データ_加工!$B$2:$B$700,E$5)</f>
        <v>28</v>
      </c>
      <c r="F210" s="26">
        <f>SUMIFS(INDEX(元データ_加工!$C$2:$P$700,0,MATCH($B210,元データ_加工!$C$1:$P$1,0)),元データ_加工!$A$2:$A$700,$A210,元データ_加工!$B$2:$B$700,F$5)</f>
        <v>60</v>
      </c>
      <c r="G210" s="26">
        <f>SUMIFS(INDEX(元データ_加工!$C$2:$P$700,0,MATCH($B210,元データ_加工!$C$1:$P$1,0)),元データ_加工!$A$2:$A$700,$A210,元データ_加工!$B$2:$B$700,G$5)</f>
        <v>49</v>
      </c>
      <c r="H210" s="26">
        <f>SUMIFS(INDEX(元データ_加工!$C$2:$P$700,0,MATCH($B210,元データ_加工!$C$1:$P$1,0)),元データ_加工!$A$2:$A$700,$A210,元データ_加工!$B$2:$B$700,H$5)</f>
        <v>8</v>
      </c>
      <c r="I210" s="26">
        <f>SUMIFS(INDEX(元データ_加工!$C$2:$P$700,0,MATCH($B210,元データ_加工!$C$1:$P$1,0)),元データ_加工!$A$2:$A$700,$A210,元データ_加工!$B$2:$B$700,I$5)</f>
        <v>9</v>
      </c>
      <c r="J210" s="26">
        <f>SUMIFS(INDEX(元データ_加工!$C$2:$P$700,0,MATCH($B210,元データ_加工!$C$1:$P$1,0)),元データ_加工!$A$2:$A$700,$A210,元データ_加工!$B$2:$B$700,J$5)</f>
        <v>0</v>
      </c>
      <c r="K210" s="26">
        <f>SUMIFS(INDEX(元データ_加工!$C$2:$P$700,0,MATCH($B210,元データ_加工!$C$1:$P$1,0)),元データ_加工!$A$2:$A$700,$A210,元データ_加工!$B$2:$B$700,K$5)</f>
        <v>0</v>
      </c>
      <c r="L210" s="26">
        <f>SUMIFS(INDEX(元データ_加工!$C$2:$P$700,0,MATCH($B210,元データ_加工!$C$1:$P$1,0)),元データ_加工!$A$2:$A$700,$A210,元データ_加工!$B$2:$B$700,L$5)</f>
        <v>1</v>
      </c>
      <c r="M210" s="26">
        <f>SUMIFS(INDEX(元データ_加工!$C$2:$P$700,0,MATCH($B210,元データ_加工!$C$1:$P$1,0)),元データ_加工!$A$2:$A$700,$A210,元データ_加工!$B$2:$B$700,M$5)</f>
        <v>0</v>
      </c>
      <c r="N210" s="26">
        <f>SUMIFS(INDEX(元データ_加工!$C$2:$P$700,0,MATCH($B210,元データ_加工!$C$1:$P$1,0)),元データ_加工!$A$2:$A$700,$A210,元データ_加工!$B$2:$B$700,N$5)</f>
        <v>1</v>
      </c>
      <c r="O210" s="26">
        <f t="shared" si="3"/>
        <v>190</v>
      </c>
      <c r="P210" s="7">
        <f>IFERROR(O210/SUMIFS(元データ_加工!$C$2:$C$700,元データ_加工!$A$2:$A$700,$A210),"")</f>
        <v>1.482521847690387E-2</v>
      </c>
    </row>
    <row r="211" spans="1:16" x14ac:dyDescent="0.45">
      <c r="A211" t="s">
        <v>49</v>
      </c>
      <c r="B211" t="s">
        <v>109</v>
      </c>
      <c r="C211" s="26">
        <f>SUMIFS(INDEX(元データ_加工!$C$2:$P$700,0,MATCH($B211,元データ_加工!$C$1:$P$1,0)),元データ_加工!$A$2:$A$700,$A211,元データ_加工!$B$2:$B$700,C$5)</f>
        <v>15</v>
      </c>
      <c r="D211" s="26">
        <f>SUMIFS(INDEX(元データ_加工!$C$2:$P$700,0,MATCH($B211,元データ_加工!$C$1:$P$1,0)),元データ_加工!$A$2:$A$700,$A211,元データ_加工!$B$2:$B$700,D$5)</f>
        <v>42</v>
      </c>
      <c r="E211" s="26">
        <f>SUMIFS(INDEX(元データ_加工!$C$2:$P$700,0,MATCH($B211,元データ_加工!$C$1:$P$1,0)),元データ_加工!$A$2:$A$700,$A211,元データ_加工!$B$2:$B$700,E$5)</f>
        <v>51</v>
      </c>
      <c r="F211" s="26">
        <f>SUMIFS(INDEX(元データ_加工!$C$2:$P$700,0,MATCH($B211,元データ_加工!$C$1:$P$1,0)),元データ_加工!$A$2:$A$700,$A211,元データ_加工!$B$2:$B$700,F$5)</f>
        <v>34</v>
      </c>
      <c r="G211" s="26">
        <f>SUMIFS(INDEX(元データ_加工!$C$2:$P$700,0,MATCH($B211,元データ_加工!$C$1:$P$1,0)),元データ_加工!$A$2:$A$700,$A211,元データ_加工!$B$2:$B$700,G$5)</f>
        <v>30</v>
      </c>
      <c r="H211" s="26">
        <f>SUMIFS(INDEX(元データ_加工!$C$2:$P$700,0,MATCH($B211,元データ_加工!$C$1:$P$1,0)),元データ_加工!$A$2:$A$700,$A211,元データ_加工!$B$2:$B$700,H$5)</f>
        <v>23</v>
      </c>
      <c r="I211" s="26">
        <f>SUMIFS(INDEX(元データ_加工!$C$2:$P$700,0,MATCH($B211,元データ_加工!$C$1:$P$1,0)),元データ_加工!$A$2:$A$700,$A211,元データ_加工!$B$2:$B$700,I$5)</f>
        <v>23</v>
      </c>
      <c r="J211" s="26">
        <f>SUMIFS(INDEX(元データ_加工!$C$2:$P$700,0,MATCH($B211,元データ_加工!$C$1:$P$1,0)),元データ_加工!$A$2:$A$700,$A211,元データ_加工!$B$2:$B$700,J$5)</f>
        <v>47</v>
      </c>
      <c r="K211" s="26">
        <f>SUMIFS(INDEX(元データ_加工!$C$2:$P$700,0,MATCH($B211,元データ_加工!$C$1:$P$1,0)),元データ_加工!$A$2:$A$700,$A211,元データ_加工!$B$2:$B$700,K$5)</f>
        <v>30</v>
      </c>
      <c r="L211" s="26">
        <f>SUMIFS(INDEX(元データ_加工!$C$2:$P$700,0,MATCH($B211,元データ_加工!$C$1:$P$1,0)),元データ_加工!$A$2:$A$700,$A211,元データ_加工!$B$2:$B$700,L$5)</f>
        <v>23</v>
      </c>
      <c r="M211" s="26">
        <f>SUMIFS(INDEX(元データ_加工!$C$2:$P$700,0,MATCH($B211,元データ_加工!$C$1:$P$1,0)),元データ_加工!$A$2:$A$700,$A211,元データ_加工!$B$2:$B$700,M$5)</f>
        <v>63</v>
      </c>
      <c r="N211" s="26">
        <f>SUMIFS(INDEX(元データ_加工!$C$2:$P$700,0,MATCH($B211,元データ_加工!$C$1:$P$1,0)),元データ_加工!$A$2:$A$700,$A211,元データ_加工!$B$2:$B$700,N$5)</f>
        <v>38</v>
      </c>
      <c r="O211" s="26">
        <f t="shared" si="3"/>
        <v>419</v>
      </c>
      <c r="P211" s="7">
        <f>IFERROR(O211/SUMIFS(元データ_加工!$C$2:$C$700,元データ_加工!$A$2:$A$700,$A211),"")</f>
        <v>3.2693508114856426E-2</v>
      </c>
    </row>
    <row r="212" spans="1:16" x14ac:dyDescent="0.45">
      <c r="A212" t="s">
        <v>49</v>
      </c>
      <c r="B212" t="s">
        <v>110</v>
      </c>
      <c r="C212" s="26">
        <f>SUMIFS(INDEX(元データ_加工!$C$2:$P$700,0,MATCH($B212,元データ_加工!$C$1:$P$1,0)),元データ_加工!$A$2:$A$700,$A212,元データ_加工!$B$2:$B$700,C$5)</f>
        <v>0</v>
      </c>
      <c r="D212" s="26">
        <f>SUMIFS(INDEX(元データ_加工!$C$2:$P$700,0,MATCH($B212,元データ_加工!$C$1:$P$1,0)),元データ_加工!$A$2:$A$700,$A212,元データ_加工!$B$2:$B$700,D$5)</f>
        <v>0</v>
      </c>
      <c r="E212" s="26">
        <f>SUMIFS(INDEX(元データ_加工!$C$2:$P$700,0,MATCH($B212,元データ_加工!$C$1:$P$1,0)),元データ_加工!$A$2:$A$700,$A212,元データ_加工!$B$2:$B$700,E$5)</f>
        <v>0</v>
      </c>
      <c r="F212" s="26">
        <f>SUMIFS(INDEX(元データ_加工!$C$2:$P$700,0,MATCH($B212,元データ_加工!$C$1:$P$1,0)),元データ_加工!$A$2:$A$700,$A212,元データ_加工!$B$2:$B$700,F$5)</f>
        <v>0</v>
      </c>
      <c r="G212" s="26">
        <f>SUMIFS(INDEX(元データ_加工!$C$2:$P$700,0,MATCH($B212,元データ_加工!$C$1:$P$1,0)),元データ_加工!$A$2:$A$700,$A212,元データ_加工!$B$2:$B$700,G$5)</f>
        <v>0</v>
      </c>
      <c r="H212" s="26">
        <f>SUMIFS(INDEX(元データ_加工!$C$2:$P$700,0,MATCH($B212,元データ_加工!$C$1:$P$1,0)),元データ_加工!$A$2:$A$700,$A212,元データ_加工!$B$2:$B$700,H$5)</f>
        <v>0</v>
      </c>
      <c r="I212" s="26">
        <f>SUMIFS(INDEX(元データ_加工!$C$2:$P$700,0,MATCH($B212,元データ_加工!$C$1:$P$1,0)),元データ_加工!$A$2:$A$700,$A212,元データ_加工!$B$2:$B$700,I$5)</f>
        <v>0</v>
      </c>
      <c r="J212" s="26">
        <f>SUMIFS(INDEX(元データ_加工!$C$2:$P$700,0,MATCH($B212,元データ_加工!$C$1:$P$1,0)),元データ_加工!$A$2:$A$700,$A212,元データ_加工!$B$2:$B$700,J$5)</f>
        <v>0</v>
      </c>
      <c r="K212" s="26">
        <f>SUMIFS(INDEX(元データ_加工!$C$2:$P$700,0,MATCH($B212,元データ_加工!$C$1:$P$1,0)),元データ_加工!$A$2:$A$700,$A212,元データ_加工!$B$2:$B$700,K$5)</f>
        <v>0</v>
      </c>
      <c r="L212" s="26">
        <f>SUMIFS(INDEX(元データ_加工!$C$2:$P$700,0,MATCH($B212,元データ_加工!$C$1:$P$1,0)),元データ_加工!$A$2:$A$700,$A212,元データ_加工!$B$2:$B$700,L$5)</f>
        <v>1</v>
      </c>
      <c r="M212" s="26">
        <f>SUMIFS(INDEX(元データ_加工!$C$2:$P$700,0,MATCH($B212,元データ_加工!$C$1:$P$1,0)),元データ_加工!$A$2:$A$700,$A212,元データ_加工!$B$2:$B$700,M$5)</f>
        <v>0</v>
      </c>
      <c r="N212" s="26">
        <f>SUMIFS(INDEX(元データ_加工!$C$2:$P$700,0,MATCH($B212,元データ_加工!$C$1:$P$1,0)),元データ_加工!$A$2:$A$700,$A212,元データ_加工!$B$2:$B$700,N$5)</f>
        <v>1</v>
      </c>
      <c r="O212" s="26">
        <f t="shared" si="3"/>
        <v>2</v>
      </c>
      <c r="P212" s="7">
        <f>IFERROR(O212/SUMIFS(元データ_加工!$C$2:$C$700,元データ_加工!$A$2:$A$700,$A212),"")</f>
        <v>1.5605493133583021E-4</v>
      </c>
    </row>
    <row r="213" spans="1:16" x14ac:dyDescent="0.45">
      <c r="A213" t="s">
        <v>49</v>
      </c>
      <c r="B213" t="s">
        <v>111</v>
      </c>
      <c r="C213" s="26">
        <f>SUMIFS(INDEX(元データ_加工!$C$2:$P$700,0,MATCH($B213,元データ_加工!$C$1:$P$1,0)),元データ_加工!$A$2:$A$700,$A213,元データ_加工!$B$2:$B$700,C$5)</f>
        <v>0</v>
      </c>
      <c r="D213" s="26">
        <f>SUMIFS(INDEX(元データ_加工!$C$2:$P$700,0,MATCH($B213,元データ_加工!$C$1:$P$1,0)),元データ_加工!$A$2:$A$700,$A213,元データ_加工!$B$2:$B$700,D$5)</f>
        <v>0</v>
      </c>
      <c r="E213" s="26">
        <f>SUMIFS(INDEX(元データ_加工!$C$2:$P$700,0,MATCH($B213,元データ_加工!$C$1:$P$1,0)),元データ_加工!$A$2:$A$700,$A213,元データ_加工!$B$2:$B$700,E$5)</f>
        <v>0</v>
      </c>
      <c r="F213" s="26">
        <f>SUMIFS(INDEX(元データ_加工!$C$2:$P$700,0,MATCH($B213,元データ_加工!$C$1:$P$1,0)),元データ_加工!$A$2:$A$700,$A213,元データ_加工!$B$2:$B$700,F$5)</f>
        <v>0</v>
      </c>
      <c r="G213" s="26">
        <f>SUMIFS(INDEX(元データ_加工!$C$2:$P$700,0,MATCH($B213,元データ_加工!$C$1:$P$1,0)),元データ_加工!$A$2:$A$700,$A213,元データ_加工!$B$2:$B$700,G$5)</f>
        <v>0</v>
      </c>
      <c r="H213" s="26">
        <f>SUMIFS(INDEX(元データ_加工!$C$2:$P$700,0,MATCH($B213,元データ_加工!$C$1:$P$1,0)),元データ_加工!$A$2:$A$700,$A213,元データ_加工!$B$2:$B$700,H$5)</f>
        <v>0</v>
      </c>
      <c r="I213" s="26">
        <f>SUMIFS(INDEX(元データ_加工!$C$2:$P$700,0,MATCH($B213,元データ_加工!$C$1:$P$1,0)),元データ_加工!$A$2:$A$700,$A213,元データ_加工!$B$2:$B$700,I$5)</f>
        <v>0</v>
      </c>
      <c r="J213" s="26">
        <f>SUMIFS(INDEX(元データ_加工!$C$2:$P$700,0,MATCH($B213,元データ_加工!$C$1:$P$1,0)),元データ_加工!$A$2:$A$700,$A213,元データ_加工!$B$2:$B$700,J$5)</f>
        <v>0</v>
      </c>
      <c r="K213" s="26">
        <f>SUMIFS(INDEX(元データ_加工!$C$2:$P$700,0,MATCH($B213,元データ_加工!$C$1:$P$1,0)),元データ_加工!$A$2:$A$700,$A213,元データ_加工!$B$2:$B$700,K$5)</f>
        <v>0</v>
      </c>
      <c r="L213" s="26">
        <f>SUMIFS(INDEX(元データ_加工!$C$2:$P$700,0,MATCH($B213,元データ_加工!$C$1:$P$1,0)),元データ_加工!$A$2:$A$700,$A213,元データ_加工!$B$2:$B$700,L$5)</f>
        <v>0</v>
      </c>
      <c r="M213" s="26">
        <f>SUMIFS(INDEX(元データ_加工!$C$2:$P$700,0,MATCH($B213,元データ_加工!$C$1:$P$1,0)),元データ_加工!$A$2:$A$700,$A213,元データ_加工!$B$2:$B$700,M$5)</f>
        <v>0</v>
      </c>
      <c r="N213" s="26">
        <f>SUMIFS(INDEX(元データ_加工!$C$2:$P$700,0,MATCH($B213,元データ_加工!$C$1:$P$1,0)),元データ_加工!$A$2:$A$700,$A213,元データ_加工!$B$2:$B$700,N$5)</f>
        <v>0</v>
      </c>
      <c r="O213" s="26">
        <f t="shared" si="3"/>
        <v>0</v>
      </c>
      <c r="P213" s="7">
        <f>IFERROR(O213/SUMIFS(元データ_加工!$C$2:$C$700,元データ_加工!$A$2:$A$700,$A213),"")</f>
        <v>0</v>
      </c>
    </row>
    <row r="214" spans="1:16" x14ac:dyDescent="0.45">
      <c r="A214" t="s">
        <v>49</v>
      </c>
      <c r="B214" t="s">
        <v>112</v>
      </c>
      <c r="C214" s="26">
        <f>SUMIFS(INDEX(元データ_加工!$C$2:$P$700,0,MATCH($B214,元データ_加工!$C$1:$P$1,0)),元データ_加工!$A$2:$A$700,$A214,元データ_加工!$B$2:$B$700,C$5)</f>
        <v>1</v>
      </c>
      <c r="D214" s="26">
        <f>SUMIFS(INDEX(元データ_加工!$C$2:$P$700,0,MATCH($B214,元データ_加工!$C$1:$P$1,0)),元データ_加工!$A$2:$A$700,$A214,元データ_加工!$B$2:$B$700,D$5)</f>
        <v>4</v>
      </c>
      <c r="E214" s="26">
        <f>SUMIFS(INDEX(元データ_加工!$C$2:$P$700,0,MATCH($B214,元データ_加工!$C$1:$P$1,0)),元データ_加工!$A$2:$A$700,$A214,元データ_加工!$B$2:$B$700,E$5)</f>
        <v>1</v>
      </c>
      <c r="F214" s="26">
        <f>SUMIFS(INDEX(元データ_加工!$C$2:$P$700,0,MATCH($B214,元データ_加工!$C$1:$P$1,0)),元データ_加工!$A$2:$A$700,$A214,元データ_加工!$B$2:$B$700,F$5)</f>
        <v>0</v>
      </c>
      <c r="G214" s="26">
        <f>SUMIFS(INDEX(元データ_加工!$C$2:$P$700,0,MATCH($B214,元データ_加工!$C$1:$P$1,0)),元データ_加工!$A$2:$A$700,$A214,元データ_加工!$B$2:$B$700,G$5)</f>
        <v>0</v>
      </c>
      <c r="H214" s="26">
        <f>SUMIFS(INDEX(元データ_加工!$C$2:$P$700,0,MATCH($B214,元データ_加工!$C$1:$P$1,0)),元データ_加工!$A$2:$A$700,$A214,元データ_加工!$B$2:$B$700,H$5)</f>
        <v>1</v>
      </c>
      <c r="I214" s="26">
        <f>SUMIFS(INDEX(元データ_加工!$C$2:$P$700,0,MATCH($B214,元データ_加工!$C$1:$P$1,0)),元データ_加工!$A$2:$A$700,$A214,元データ_加工!$B$2:$B$700,I$5)</f>
        <v>2</v>
      </c>
      <c r="J214" s="26">
        <f>SUMIFS(INDEX(元データ_加工!$C$2:$P$700,0,MATCH($B214,元データ_加工!$C$1:$P$1,0)),元データ_加工!$A$2:$A$700,$A214,元データ_加工!$B$2:$B$700,J$5)</f>
        <v>1</v>
      </c>
      <c r="K214" s="26">
        <f>SUMIFS(INDEX(元データ_加工!$C$2:$P$700,0,MATCH($B214,元データ_加工!$C$1:$P$1,0)),元データ_加工!$A$2:$A$700,$A214,元データ_加工!$B$2:$B$700,K$5)</f>
        <v>10</v>
      </c>
      <c r="L214" s="26">
        <f>SUMIFS(INDEX(元データ_加工!$C$2:$P$700,0,MATCH($B214,元データ_加工!$C$1:$P$1,0)),元データ_加工!$A$2:$A$700,$A214,元データ_加工!$B$2:$B$700,L$5)</f>
        <v>1</v>
      </c>
      <c r="M214" s="26">
        <f>SUMIFS(INDEX(元データ_加工!$C$2:$P$700,0,MATCH($B214,元データ_加工!$C$1:$P$1,0)),元データ_加工!$A$2:$A$700,$A214,元データ_加工!$B$2:$B$700,M$5)</f>
        <v>0</v>
      </c>
      <c r="N214" s="26">
        <f>SUMIFS(INDEX(元データ_加工!$C$2:$P$700,0,MATCH($B214,元データ_加工!$C$1:$P$1,0)),元データ_加工!$A$2:$A$700,$A214,元データ_加工!$B$2:$B$700,N$5)</f>
        <v>1</v>
      </c>
      <c r="O214" s="26">
        <f t="shared" si="3"/>
        <v>22</v>
      </c>
      <c r="P214" s="7">
        <f>IFERROR(O214/SUMIFS(元データ_加工!$C$2:$C$700,元データ_加工!$A$2:$A$700,$A214),"")</f>
        <v>1.7166042446941324E-3</v>
      </c>
    </row>
    <row r="215" spans="1:16" x14ac:dyDescent="0.45">
      <c r="A215" t="s">
        <v>49</v>
      </c>
      <c r="B215" t="s">
        <v>113</v>
      </c>
      <c r="C215" s="26">
        <f>SUMIFS(INDEX(元データ_加工!$C$2:$P$700,0,MATCH($B215,元データ_加工!$C$1:$P$1,0)),元データ_加工!$A$2:$A$700,$A215,元データ_加工!$B$2:$B$700,C$5)</f>
        <v>0</v>
      </c>
      <c r="D215" s="26">
        <f>SUMIFS(INDEX(元データ_加工!$C$2:$P$700,0,MATCH($B215,元データ_加工!$C$1:$P$1,0)),元データ_加工!$A$2:$A$700,$A215,元データ_加工!$B$2:$B$700,D$5)</f>
        <v>0</v>
      </c>
      <c r="E215" s="26">
        <f>SUMIFS(INDEX(元データ_加工!$C$2:$P$700,0,MATCH($B215,元データ_加工!$C$1:$P$1,0)),元データ_加工!$A$2:$A$700,$A215,元データ_加工!$B$2:$B$700,E$5)</f>
        <v>1</v>
      </c>
      <c r="F215" s="26">
        <f>SUMIFS(INDEX(元データ_加工!$C$2:$P$700,0,MATCH($B215,元データ_加工!$C$1:$P$1,0)),元データ_加工!$A$2:$A$700,$A215,元データ_加工!$B$2:$B$700,F$5)</f>
        <v>2</v>
      </c>
      <c r="G215" s="26">
        <f>SUMIFS(INDEX(元データ_加工!$C$2:$P$700,0,MATCH($B215,元データ_加工!$C$1:$P$1,0)),元データ_加工!$A$2:$A$700,$A215,元データ_加工!$B$2:$B$700,G$5)</f>
        <v>3</v>
      </c>
      <c r="H215" s="26">
        <f>SUMIFS(INDEX(元データ_加工!$C$2:$P$700,0,MATCH($B215,元データ_加工!$C$1:$P$1,0)),元データ_加工!$A$2:$A$700,$A215,元データ_加工!$B$2:$B$700,H$5)</f>
        <v>3</v>
      </c>
      <c r="I215" s="26">
        <f>SUMIFS(INDEX(元データ_加工!$C$2:$P$700,0,MATCH($B215,元データ_加工!$C$1:$P$1,0)),元データ_加工!$A$2:$A$700,$A215,元データ_加工!$B$2:$B$700,I$5)</f>
        <v>3</v>
      </c>
      <c r="J215" s="26">
        <f>SUMIFS(INDEX(元データ_加工!$C$2:$P$700,0,MATCH($B215,元データ_加工!$C$1:$P$1,0)),元データ_加工!$A$2:$A$700,$A215,元データ_加工!$B$2:$B$700,J$5)</f>
        <v>5</v>
      </c>
      <c r="K215" s="26">
        <f>SUMIFS(INDEX(元データ_加工!$C$2:$P$700,0,MATCH($B215,元データ_加工!$C$1:$P$1,0)),元データ_加工!$A$2:$A$700,$A215,元データ_加工!$B$2:$B$700,K$5)</f>
        <v>4</v>
      </c>
      <c r="L215" s="26">
        <f>SUMIFS(INDEX(元データ_加工!$C$2:$P$700,0,MATCH($B215,元データ_加工!$C$1:$P$1,0)),元データ_加工!$A$2:$A$700,$A215,元データ_加工!$B$2:$B$700,L$5)</f>
        <v>5</v>
      </c>
      <c r="M215" s="26">
        <f>SUMIFS(INDEX(元データ_加工!$C$2:$P$700,0,MATCH($B215,元データ_加工!$C$1:$P$1,0)),元データ_加工!$A$2:$A$700,$A215,元データ_加工!$B$2:$B$700,M$5)</f>
        <v>8</v>
      </c>
      <c r="N215" s="26">
        <f>SUMIFS(INDEX(元データ_加工!$C$2:$P$700,0,MATCH($B215,元データ_加工!$C$1:$P$1,0)),元データ_加工!$A$2:$A$700,$A215,元データ_加工!$B$2:$B$700,N$5)</f>
        <v>5</v>
      </c>
      <c r="O215" s="26">
        <f t="shared" si="3"/>
        <v>39</v>
      </c>
      <c r="P215" s="7">
        <f>IFERROR(O215/SUMIFS(元データ_加工!$C$2:$C$700,元データ_加工!$A$2:$A$700,$A215),"")</f>
        <v>3.0430711610486892E-3</v>
      </c>
    </row>
    <row r="216" spans="1:16" x14ac:dyDescent="0.45">
      <c r="A216" t="s">
        <v>50</v>
      </c>
      <c r="B216" t="s">
        <v>100</v>
      </c>
      <c r="C216" s="26">
        <f>SUMIFS(INDEX(元データ_加工!$C$2:$P$700,0,MATCH($B216,元データ_加工!$C$1:$P$1,0)),元データ_加工!$A$2:$A$700,$A216,元データ_加工!$B$2:$B$700,C$5)</f>
        <v>661</v>
      </c>
      <c r="D216" s="26">
        <f>SUMIFS(INDEX(元データ_加工!$C$2:$P$700,0,MATCH($B216,元データ_加工!$C$1:$P$1,0)),元データ_加工!$A$2:$A$700,$A216,元データ_加工!$B$2:$B$700,D$5)</f>
        <v>710</v>
      </c>
      <c r="E216" s="26">
        <f>SUMIFS(INDEX(元データ_加工!$C$2:$P$700,0,MATCH($B216,元データ_加工!$C$1:$P$1,0)),元データ_加工!$A$2:$A$700,$A216,元データ_加工!$B$2:$B$700,E$5)</f>
        <v>916</v>
      </c>
      <c r="F216" s="26">
        <f>SUMIFS(INDEX(元データ_加工!$C$2:$P$700,0,MATCH($B216,元データ_加工!$C$1:$P$1,0)),元データ_加工!$A$2:$A$700,$A216,元データ_加工!$B$2:$B$700,F$5)</f>
        <v>866</v>
      </c>
      <c r="G216" s="26">
        <f>SUMIFS(INDEX(元データ_加工!$C$2:$P$700,0,MATCH($B216,元データ_加工!$C$1:$P$1,0)),元データ_加工!$A$2:$A$700,$A216,元データ_加工!$B$2:$B$700,G$5)</f>
        <v>833</v>
      </c>
      <c r="H216" s="26">
        <f>SUMIFS(INDEX(元データ_加工!$C$2:$P$700,0,MATCH($B216,元データ_加工!$C$1:$P$1,0)),元データ_加工!$A$2:$A$700,$A216,元データ_加工!$B$2:$B$700,H$5)</f>
        <v>639</v>
      </c>
      <c r="I216" s="26">
        <f>SUMIFS(INDEX(元データ_加工!$C$2:$P$700,0,MATCH($B216,元データ_加工!$C$1:$P$1,0)),元データ_加工!$A$2:$A$700,$A216,元データ_加工!$B$2:$B$700,I$5)</f>
        <v>446</v>
      </c>
      <c r="J216" s="26">
        <f>SUMIFS(INDEX(元データ_加工!$C$2:$P$700,0,MATCH($B216,元データ_加工!$C$1:$P$1,0)),元データ_加工!$A$2:$A$700,$A216,元データ_加工!$B$2:$B$700,J$5)</f>
        <v>1068</v>
      </c>
      <c r="K216" s="26">
        <f>SUMIFS(INDEX(元データ_加工!$C$2:$P$700,0,MATCH($B216,元データ_加工!$C$1:$P$1,0)),元データ_加工!$A$2:$A$700,$A216,元データ_加工!$B$2:$B$700,K$5)</f>
        <v>1665</v>
      </c>
      <c r="L216" s="26">
        <f>SUMIFS(INDEX(元データ_加工!$C$2:$P$700,0,MATCH($B216,元データ_加工!$C$1:$P$1,0)),元データ_加工!$A$2:$A$700,$A216,元データ_加工!$B$2:$B$700,L$5)</f>
        <v>1054</v>
      </c>
      <c r="M216" s="26">
        <f>SUMIFS(INDEX(元データ_加工!$C$2:$P$700,0,MATCH($B216,元データ_加工!$C$1:$P$1,0)),元データ_加工!$A$2:$A$700,$A216,元データ_加工!$B$2:$B$700,M$5)</f>
        <v>1073</v>
      </c>
      <c r="N216" s="26">
        <f>SUMIFS(INDEX(元データ_加工!$C$2:$P$700,0,MATCH($B216,元データ_加工!$C$1:$P$1,0)),元データ_加工!$A$2:$A$700,$A216,元データ_加工!$B$2:$B$700,N$5)</f>
        <v>861</v>
      </c>
      <c r="O216" s="26">
        <f t="shared" si="3"/>
        <v>10792</v>
      </c>
      <c r="P216" s="7">
        <f>IFERROR(O216/SUMIFS(元データ_加工!$C$2:$C$700,元データ_加工!$A$2:$A$700,$A216),"")</f>
        <v>1</v>
      </c>
    </row>
    <row r="217" spans="1:16" x14ac:dyDescent="0.45">
      <c r="A217" t="s">
        <v>50</v>
      </c>
      <c r="B217" t="s">
        <v>101</v>
      </c>
      <c r="C217" s="26">
        <f>SUMIFS(INDEX(元データ_加工!$C$2:$P$700,0,MATCH($B217,元データ_加工!$C$1:$P$1,0)),元データ_加工!$A$2:$A$700,$A217,元データ_加工!$B$2:$B$700,C$5)</f>
        <v>316</v>
      </c>
      <c r="D217" s="26">
        <f>SUMIFS(INDEX(元データ_加工!$C$2:$P$700,0,MATCH($B217,元データ_加工!$C$1:$P$1,0)),元データ_加工!$A$2:$A$700,$A217,元データ_加工!$B$2:$B$700,D$5)</f>
        <v>421</v>
      </c>
      <c r="E217" s="26">
        <f>SUMIFS(INDEX(元データ_加工!$C$2:$P$700,0,MATCH($B217,元データ_加工!$C$1:$P$1,0)),元データ_加工!$A$2:$A$700,$A217,元データ_加工!$B$2:$B$700,E$5)</f>
        <v>490</v>
      </c>
      <c r="F217" s="26">
        <f>SUMIFS(INDEX(元データ_加工!$C$2:$P$700,0,MATCH($B217,元データ_加工!$C$1:$P$1,0)),元データ_加工!$A$2:$A$700,$A217,元データ_加工!$B$2:$B$700,F$5)</f>
        <v>436</v>
      </c>
      <c r="G217" s="26">
        <f>SUMIFS(INDEX(元データ_加工!$C$2:$P$700,0,MATCH($B217,元データ_加工!$C$1:$P$1,0)),元データ_加工!$A$2:$A$700,$A217,元データ_加工!$B$2:$B$700,G$5)</f>
        <v>480</v>
      </c>
      <c r="H217" s="26">
        <f>SUMIFS(INDEX(元データ_加工!$C$2:$P$700,0,MATCH($B217,元データ_加工!$C$1:$P$1,0)),元データ_加工!$A$2:$A$700,$A217,元データ_加工!$B$2:$B$700,H$5)</f>
        <v>392</v>
      </c>
      <c r="I217" s="26">
        <f>SUMIFS(INDEX(元データ_加工!$C$2:$P$700,0,MATCH($B217,元データ_加工!$C$1:$P$1,0)),元データ_加工!$A$2:$A$700,$A217,元データ_加工!$B$2:$B$700,I$5)</f>
        <v>365</v>
      </c>
      <c r="J217" s="26">
        <f>SUMIFS(INDEX(元データ_加工!$C$2:$P$700,0,MATCH($B217,元データ_加工!$C$1:$P$1,0)),元データ_加工!$A$2:$A$700,$A217,元データ_加工!$B$2:$B$700,J$5)</f>
        <v>477</v>
      </c>
      <c r="K217" s="26">
        <f>SUMIFS(INDEX(元データ_加工!$C$2:$P$700,0,MATCH($B217,元データ_加工!$C$1:$P$1,0)),元データ_加工!$A$2:$A$700,$A217,元データ_加工!$B$2:$B$700,K$5)</f>
        <v>448</v>
      </c>
      <c r="L217" s="26">
        <f>SUMIFS(INDEX(元データ_加工!$C$2:$P$700,0,MATCH($B217,元データ_加工!$C$1:$P$1,0)),元データ_加工!$A$2:$A$700,$A217,元データ_加工!$B$2:$B$700,L$5)</f>
        <v>354</v>
      </c>
      <c r="M217" s="26">
        <f>SUMIFS(INDEX(元データ_加工!$C$2:$P$700,0,MATCH($B217,元データ_加工!$C$1:$P$1,0)),元データ_加工!$A$2:$A$700,$A217,元データ_加工!$B$2:$B$700,M$5)</f>
        <v>369</v>
      </c>
      <c r="N217" s="26">
        <f>SUMIFS(INDEX(元データ_加工!$C$2:$P$700,0,MATCH($B217,元データ_加工!$C$1:$P$1,0)),元データ_加工!$A$2:$A$700,$A217,元データ_加工!$B$2:$B$700,N$5)</f>
        <v>320</v>
      </c>
      <c r="O217" s="26">
        <f t="shared" si="3"/>
        <v>4868</v>
      </c>
      <c r="P217" s="7">
        <f>IFERROR(O217/SUMIFS(元データ_加工!$C$2:$C$700,元データ_加工!$A$2:$A$700,$A217),"")</f>
        <v>0.45107487027427723</v>
      </c>
    </row>
    <row r="218" spans="1:16" x14ac:dyDescent="0.45">
      <c r="A218" t="s">
        <v>50</v>
      </c>
      <c r="B218" t="s">
        <v>102</v>
      </c>
      <c r="C218" s="26">
        <f>SUMIFS(INDEX(元データ_加工!$C$2:$P$700,0,MATCH($B218,元データ_加工!$C$1:$P$1,0)),元データ_加工!$A$2:$A$700,$A218,元データ_加工!$B$2:$B$700,C$5)</f>
        <v>0</v>
      </c>
      <c r="D218" s="26">
        <f>SUMIFS(INDEX(元データ_加工!$C$2:$P$700,0,MATCH($B218,元データ_加工!$C$1:$P$1,0)),元データ_加工!$A$2:$A$700,$A218,元データ_加工!$B$2:$B$700,D$5)</f>
        <v>0</v>
      </c>
      <c r="E218" s="26">
        <f>SUMIFS(INDEX(元データ_加工!$C$2:$P$700,0,MATCH($B218,元データ_加工!$C$1:$P$1,0)),元データ_加工!$A$2:$A$700,$A218,元データ_加工!$B$2:$B$700,E$5)</f>
        <v>0</v>
      </c>
      <c r="F218" s="26">
        <f>SUMIFS(INDEX(元データ_加工!$C$2:$P$700,0,MATCH($B218,元データ_加工!$C$1:$P$1,0)),元データ_加工!$A$2:$A$700,$A218,元データ_加工!$B$2:$B$700,F$5)</f>
        <v>0</v>
      </c>
      <c r="G218" s="26">
        <f>SUMIFS(INDEX(元データ_加工!$C$2:$P$700,0,MATCH($B218,元データ_加工!$C$1:$P$1,0)),元データ_加工!$A$2:$A$700,$A218,元データ_加工!$B$2:$B$700,G$5)</f>
        <v>0</v>
      </c>
      <c r="H218" s="26">
        <f>SUMIFS(INDEX(元データ_加工!$C$2:$P$700,0,MATCH($B218,元データ_加工!$C$1:$P$1,0)),元データ_加工!$A$2:$A$700,$A218,元データ_加工!$B$2:$B$700,H$5)</f>
        <v>0</v>
      </c>
      <c r="I218" s="26">
        <f>SUMIFS(INDEX(元データ_加工!$C$2:$P$700,0,MATCH($B218,元データ_加工!$C$1:$P$1,0)),元データ_加工!$A$2:$A$700,$A218,元データ_加工!$B$2:$B$700,I$5)</f>
        <v>0</v>
      </c>
      <c r="J218" s="26">
        <f>SUMIFS(INDEX(元データ_加工!$C$2:$P$700,0,MATCH($B218,元データ_加工!$C$1:$P$1,0)),元データ_加工!$A$2:$A$700,$A218,元データ_加工!$B$2:$B$700,J$5)</f>
        <v>0</v>
      </c>
      <c r="K218" s="26">
        <f>SUMIFS(INDEX(元データ_加工!$C$2:$P$700,0,MATCH($B218,元データ_加工!$C$1:$P$1,0)),元データ_加工!$A$2:$A$700,$A218,元データ_加工!$B$2:$B$700,K$5)</f>
        <v>0</v>
      </c>
      <c r="L218" s="26">
        <f>SUMIFS(INDEX(元データ_加工!$C$2:$P$700,0,MATCH($B218,元データ_加工!$C$1:$P$1,0)),元データ_加工!$A$2:$A$700,$A218,元データ_加工!$B$2:$B$700,L$5)</f>
        <v>0</v>
      </c>
      <c r="M218" s="26">
        <f>SUMIFS(INDEX(元データ_加工!$C$2:$P$700,0,MATCH($B218,元データ_加工!$C$1:$P$1,0)),元データ_加工!$A$2:$A$700,$A218,元データ_加工!$B$2:$B$700,M$5)</f>
        <v>0</v>
      </c>
      <c r="N218" s="26">
        <f>SUMIFS(INDEX(元データ_加工!$C$2:$P$700,0,MATCH($B218,元データ_加工!$C$1:$P$1,0)),元データ_加工!$A$2:$A$700,$A218,元データ_加工!$B$2:$B$700,N$5)</f>
        <v>0</v>
      </c>
      <c r="O218" s="26">
        <f t="shared" si="3"/>
        <v>0</v>
      </c>
      <c r="P218" s="7">
        <f>IFERROR(O218/SUMIFS(元データ_加工!$C$2:$C$700,元データ_加工!$A$2:$A$700,$A218),"")</f>
        <v>0</v>
      </c>
    </row>
    <row r="219" spans="1:16" x14ac:dyDescent="0.45">
      <c r="A219" t="s">
        <v>50</v>
      </c>
      <c r="B219" t="s">
        <v>103</v>
      </c>
      <c r="C219" s="26">
        <f>SUMIFS(INDEX(元データ_加工!$C$2:$P$700,0,MATCH($B219,元データ_加工!$C$1:$P$1,0)),元データ_加工!$A$2:$A$700,$A219,元データ_加工!$B$2:$B$700,C$5)</f>
        <v>3</v>
      </c>
      <c r="D219" s="26">
        <f>SUMIFS(INDEX(元データ_加工!$C$2:$P$700,0,MATCH($B219,元データ_加工!$C$1:$P$1,0)),元データ_加工!$A$2:$A$700,$A219,元データ_加工!$B$2:$B$700,D$5)</f>
        <v>4</v>
      </c>
      <c r="E219" s="26">
        <f>SUMIFS(INDEX(元データ_加工!$C$2:$P$700,0,MATCH($B219,元データ_加工!$C$1:$P$1,0)),元データ_加工!$A$2:$A$700,$A219,元データ_加工!$B$2:$B$700,E$5)</f>
        <v>18</v>
      </c>
      <c r="F219" s="26">
        <f>SUMIFS(INDEX(元データ_加工!$C$2:$P$700,0,MATCH($B219,元データ_加工!$C$1:$P$1,0)),元データ_加工!$A$2:$A$700,$A219,元データ_加工!$B$2:$B$700,F$5)</f>
        <v>9</v>
      </c>
      <c r="G219" s="26">
        <f>SUMIFS(INDEX(元データ_加工!$C$2:$P$700,0,MATCH($B219,元データ_加工!$C$1:$P$1,0)),元データ_加工!$A$2:$A$700,$A219,元データ_加工!$B$2:$B$700,G$5)</f>
        <v>13</v>
      </c>
      <c r="H219" s="26">
        <f>SUMIFS(INDEX(元データ_加工!$C$2:$P$700,0,MATCH($B219,元データ_加工!$C$1:$P$1,0)),元データ_加工!$A$2:$A$700,$A219,元データ_加工!$B$2:$B$700,H$5)</f>
        <v>32</v>
      </c>
      <c r="I219" s="26">
        <f>SUMIFS(INDEX(元データ_加工!$C$2:$P$700,0,MATCH($B219,元データ_加工!$C$1:$P$1,0)),元データ_加工!$A$2:$A$700,$A219,元データ_加工!$B$2:$B$700,I$5)</f>
        <v>14</v>
      </c>
      <c r="J219" s="26">
        <f>SUMIFS(INDEX(元データ_加工!$C$2:$P$700,0,MATCH($B219,元データ_加工!$C$1:$P$1,0)),元データ_加工!$A$2:$A$700,$A219,元データ_加工!$B$2:$B$700,J$5)</f>
        <v>9</v>
      </c>
      <c r="K219" s="26">
        <f>SUMIFS(INDEX(元データ_加工!$C$2:$P$700,0,MATCH($B219,元データ_加工!$C$1:$P$1,0)),元データ_加工!$A$2:$A$700,$A219,元データ_加工!$B$2:$B$700,K$5)</f>
        <v>12</v>
      </c>
      <c r="L219" s="26">
        <f>SUMIFS(INDEX(元データ_加工!$C$2:$P$700,0,MATCH($B219,元データ_加工!$C$1:$P$1,0)),元データ_加工!$A$2:$A$700,$A219,元データ_加工!$B$2:$B$700,L$5)</f>
        <v>5</v>
      </c>
      <c r="M219" s="26">
        <f>SUMIFS(INDEX(元データ_加工!$C$2:$P$700,0,MATCH($B219,元データ_加工!$C$1:$P$1,0)),元データ_加工!$A$2:$A$700,$A219,元データ_加工!$B$2:$B$700,M$5)</f>
        <v>1</v>
      </c>
      <c r="N219" s="26">
        <f>SUMIFS(INDEX(元データ_加工!$C$2:$P$700,0,MATCH($B219,元データ_加工!$C$1:$P$1,0)),元データ_加工!$A$2:$A$700,$A219,元データ_加工!$B$2:$B$700,N$5)</f>
        <v>0</v>
      </c>
      <c r="O219" s="26">
        <f t="shared" si="3"/>
        <v>120</v>
      </c>
      <c r="P219" s="7">
        <f>IFERROR(O219/SUMIFS(元データ_加工!$C$2:$C$700,元データ_加工!$A$2:$A$700,$A219),"")</f>
        <v>1.1119347664936991E-2</v>
      </c>
    </row>
    <row r="220" spans="1:16" x14ac:dyDescent="0.45">
      <c r="A220" t="s">
        <v>50</v>
      </c>
      <c r="B220" t="s">
        <v>104</v>
      </c>
      <c r="C220" s="26">
        <f>SUMIFS(INDEX(元データ_加工!$C$2:$P$700,0,MATCH($B220,元データ_加工!$C$1:$P$1,0)),元データ_加工!$A$2:$A$700,$A220,元データ_加工!$B$2:$B$700,C$5)</f>
        <v>22</v>
      </c>
      <c r="D220" s="26">
        <f>SUMIFS(INDEX(元データ_加工!$C$2:$P$700,0,MATCH($B220,元データ_加工!$C$1:$P$1,0)),元データ_加工!$A$2:$A$700,$A220,元データ_加工!$B$2:$B$700,D$5)</f>
        <v>15</v>
      </c>
      <c r="E220" s="26">
        <f>SUMIFS(INDEX(元データ_加工!$C$2:$P$700,0,MATCH($B220,元データ_加工!$C$1:$P$1,0)),元データ_加工!$A$2:$A$700,$A220,元データ_加工!$B$2:$B$700,E$5)</f>
        <v>31</v>
      </c>
      <c r="F220" s="26">
        <f>SUMIFS(INDEX(元データ_加工!$C$2:$P$700,0,MATCH($B220,元データ_加工!$C$1:$P$1,0)),元データ_加工!$A$2:$A$700,$A220,元データ_加工!$B$2:$B$700,F$5)</f>
        <v>23</v>
      </c>
      <c r="G220" s="26">
        <f>SUMIFS(INDEX(元データ_加工!$C$2:$P$700,0,MATCH($B220,元データ_加工!$C$1:$P$1,0)),元データ_加工!$A$2:$A$700,$A220,元データ_加工!$B$2:$B$700,G$5)</f>
        <v>39</v>
      </c>
      <c r="H220" s="26">
        <f>SUMIFS(INDEX(元データ_加工!$C$2:$P$700,0,MATCH($B220,元データ_加工!$C$1:$P$1,0)),元データ_加工!$A$2:$A$700,$A220,元データ_加工!$B$2:$B$700,H$5)</f>
        <v>12</v>
      </c>
      <c r="I220" s="26">
        <f>SUMIFS(INDEX(元データ_加工!$C$2:$P$700,0,MATCH($B220,元データ_加工!$C$1:$P$1,0)),元データ_加工!$A$2:$A$700,$A220,元データ_加工!$B$2:$B$700,I$5)</f>
        <v>20</v>
      </c>
      <c r="J220" s="26">
        <f>SUMIFS(INDEX(元データ_加工!$C$2:$P$700,0,MATCH($B220,元データ_加工!$C$1:$P$1,0)),元データ_加工!$A$2:$A$700,$A220,元データ_加工!$B$2:$B$700,J$5)</f>
        <v>149</v>
      </c>
      <c r="K220" s="26">
        <f>SUMIFS(INDEX(元データ_加工!$C$2:$P$700,0,MATCH($B220,元データ_加工!$C$1:$P$1,0)),元データ_加工!$A$2:$A$700,$A220,元データ_加工!$B$2:$B$700,K$5)</f>
        <v>88</v>
      </c>
      <c r="L220" s="26">
        <f>SUMIFS(INDEX(元データ_加工!$C$2:$P$700,0,MATCH($B220,元データ_加工!$C$1:$P$1,0)),元データ_加工!$A$2:$A$700,$A220,元データ_加工!$B$2:$B$700,L$5)</f>
        <v>70</v>
      </c>
      <c r="M220" s="26">
        <f>SUMIFS(INDEX(元データ_加工!$C$2:$P$700,0,MATCH($B220,元データ_加工!$C$1:$P$1,0)),元データ_加工!$A$2:$A$700,$A220,元データ_加工!$B$2:$B$700,M$5)</f>
        <v>38</v>
      </c>
      <c r="N220" s="26">
        <f>SUMIFS(INDEX(元データ_加工!$C$2:$P$700,0,MATCH($B220,元データ_加工!$C$1:$P$1,0)),元データ_加工!$A$2:$A$700,$A220,元データ_加工!$B$2:$B$700,N$5)</f>
        <v>25</v>
      </c>
      <c r="O220" s="26">
        <f t="shared" si="3"/>
        <v>532</v>
      </c>
      <c r="P220" s="7">
        <f>IFERROR(O220/SUMIFS(元データ_加工!$C$2:$C$700,元データ_加工!$A$2:$A$700,$A220),"")</f>
        <v>4.9295774647887321E-2</v>
      </c>
    </row>
    <row r="221" spans="1:16" x14ac:dyDescent="0.45">
      <c r="A221" t="s">
        <v>50</v>
      </c>
      <c r="B221" t="s">
        <v>105</v>
      </c>
      <c r="C221" s="26">
        <f>SUMIFS(INDEX(元データ_加工!$C$2:$P$700,0,MATCH($B221,元データ_加工!$C$1:$P$1,0)),元データ_加工!$A$2:$A$700,$A221,元データ_加工!$B$2:$B$700,C$5)</f>
        <v>3</v>
      </c>
      <c r="D221" s="26">
        <f>SUMIFS(INDEX(元データ_加工!$C$2:$P$700,0,MATCH($B221,元データ_加工!$C$1:$P$1,0)),元データ_加工!$A$2:$A$700,$A221,元データ_加工!$B$2:$B$700,D$5)</f>
        <v>0</v>
      </c>
      <c r="E221" s="26">
        <f>SUMIFS(INDEX(元データ_加工!$C$2:$P$700,0,MATCH($B221,元データ_加工!$C$1:$P$1,0)),元データ_加工!$A$2:$A$700,$A221,元データ_加工!$B$2:$B$700,E$5)</f>
        <v>0</v>
      </c>
      <c r="F221" s="26">
        <f>SUMIFS(INDEX(元データ_加工!$C$2:$P$700,0,MATCH($B221,元データ_加工!$C$1:$P$1,0)),元データ_加工!$A$2:$A$700,$A221,元データ_加工!$B$2:$B$700,F$5)</f>
        <v>1</v>
      </c>
      <c r="G221" s="26">
        <f>SUMIFS(INDEX(元データ_加工!$C$2:$P$700,0,MATCH($B221,元データ_加工!$C$1:$P$1,0)),元データ_加工!$A$2:$A$700,$A221,元データ_加工!$B$2:$B$700,G$5)</f>
        <v>3</v>
      </c>
      <c r="H221" s="26">
        <f>SUMIFS(INDEX(元データ_加工!$C$2:$P$700,0,MATCH($B221,元データ_加工!$C$1:$P$1,0)),元データ_加工!$A$2:$A$700,$A221,元データ_加工!$B$2:$B$700,H$5)</f>
        <v>6</v>
      </c>
      <c r="I221" s="26">
        <f>SUMIFS(INDEX(元データ_加工!$C$2:$P$700,0,MATCH($B221,元データ_加工!$C$1:$P$1,0)),元データ_加工!$A$2:$A$700,$A221,元データ_加工!$B$2:$B$700,I$5)</f>
        <v>3</v>
      </c>
      <c r="J221" s="26">
        <f>SUMIFS(INDEX(元データ_加工!$C$2:$P$700,0,MATCH($B221,元データ_加工!$C$1:$P$1,0)),元データ_加工!$A$2:$A$700,$A221,元データ_加工!$B$2:$B$700,J$5)</f>
        <v>32</v>
      </c>
      <c r="K221" s="26">
        <f>SUMIFS(INDEX(元データ_加工!$C$2:$P$700,0,MATCH($B221,元データ_加工!$C$1:$P$1,0)),元データ_加工!$A$2:$A$700,$A221,元データ_加工!$B$2:$B$700,K$5)</f>
        <v>67</v>
      </c>
      <c r="L221" s="26">
        <f>SUMIFS(INDEX(元データ_加工!$C$2:$P$700,0,MATCH($B221,元データ_加工!$C$1:$P$1,0)),元データ_加工!$A$2:$A$700,$A221,元データ_加工!$B$2:$B$700,L$5)</f>
        <v>18</v>
      </c>
      <c r="M221" s="26">
        <f>SUMIFS(INDEX(元データ_加工!$C$2:$P$700,0,MATCH($B221,元データ_加工!$C$1:$P$1,0)),元データ_加工!$A$2:$A$700,$A221,元データ_加工!$B$2:$B$700,M$5)</f>
        <v>21</v>
      </c>
      <c r="N221" s="26">
        <f>SUMIFS(INDEX(元データ_加工!$C$2:$P$700,0,MATCH($B221,元データ_加工!$C$1:$P$1,0)),元データ_加工!$A$2:$A$700,$A221,元データ_加工!$B$2:$B$700,N$5)</f>
        <v>5</v>
      </c>
      <c r="O221" s="26">
        <f t="shared" si="3"/>
        <v>159</v>
      </c>
      <c r="P221" s="7">
        <f>IFERROR(O221/SUMIFS(元データ_加工!$C$2:$C$700,元データ_加工!$A$2:$A$700,$A221),"")</f>
        <v>1.4733135656041512E-2</v>
      </c>
    </row>
    <row r="222" spans="1:16" x14ac:dyDescent="0.45">
      <c r="A222" t="s">
        <v>50</v>
      </c>
      <c r="B222" t="s">
        <v>106</v>
      </c>
      <c r="C222" s="26">
        <f>SUMIFS(INDEX(元データ_加工!$C$2:$P$700,0,MATCH($B222,元データ_加工!$C$1:$P$1,0)),元データ_加工!$A$2:$A$700,$A222,元データ_加工!$B$2:$B$700,C$5)</f>
        <v>142</v>
      </c>
      <c r="D222" s="26">
        <f>SUMIFS(INDEX(元データ_加工!$C$2:$P$700,0,MATCH($B222,元データ_加工!$C$1:$P$1,0)),元データ_加工!$A$2:$A$700,$A222,元データ_加工!$B$2:$B$700,D$5)</f>
        <v>137</v>
      </c>
      <c r="E222" s="26">
        <f>SUMIFS(INDEX(元データ_加工!$C$2:$P$700,0,MATCH($B222,元データ_加工!$C$1:$P$1,0)),元データ_加工!$A$2:$A$700,$A222,元データ_加工!$B$2:$B$700,E$5)</f>
        <v>179</v>
      </c>
      <c r="F222" s="26">
        <f>SUMIFS(INDEX(元データ_加工!$C$2:$P$700,0,MATCH($B222,元データ_加工!$C$1:$P$1,0)),元データ_加工!$A$2:$A$700,$A222,元データ_加工!$B$2:$B$700,F$5)</f>
        <v>173</v>
      </c>
      <c r="G222" s="26">
        <f>SUMIFS(INDEX(元データ_加工!$C$2:$P$700,0,MATCH($B222,元データ_加工!$C$1:$P$1,0)),元データ_加工!$A$2:$A$700,$A222,元データ_加工!$B$2:$B$700,G$5)</f>
        <v>158</v>
      </c>
      <c r="H222" s="26">
        <f>SUMIFS(INDEX(元データ_加工!$C$2:$P$700,0,MATCH($B222,元データ_加工!$C$1:$P$1,0)),元データ_加工!$A$2:$A$700,$A222,元データ_加工!$B$2:$B$700,H$5)</f>
        <v>117</v>
      </c>
      <c r="I222" s="26">
        <f>SUMIFS(INDEX(元データ_加工!$C$2:$P$700,0,MATCH($B222,元データ_加工!$C$1:$P$1,0)),元データ_加工!$A$2:$A$700,$A222,元データ_加工!$B$2:$B$700,I$5)</f>
        <v>53</v>
      </c>
      <c r="J222" s="26">
        <f>SUMIFS(INDEX(元データ_加工!$C$2:$P$700,0,MATCH($B222,元データ_加工!$C$1:$P$1,0)),元データ_加工!$A$2:$A$700,$A222,元データ_加工!$B$2:$B$700,J$5)</f>
        <v>111</v>
      </c>
      <c r="K222" s="26">
        <f>SUMIFS(INDEX(元データ_加工!$C$2:$P$700,0,MATCH($B222,元データ_加工!$C$1:$P$1,0)),元データ_加工!$A$2:$A$700,$A222,元データ_加工!$B$2:$B$700,K$5)</f>
        <v>168</v>
      </c>
      <c r="L222" s="26">
        <f>SUMIFS(INDEX(元データ_加工!$C$2:$P$700,0,MATCH($B222,元データ_加工!$C$1:$P$1,0)),元データ_加工!$A$2:$A$700,$A222,元データ_加工!$B$2:$B$700,L$5)</f>
        <v>85</v>
      </c>
      <c r="M222" s="26">
        <f>SUMIFS(INDEX(元データ_加工!$C$2:$P$700,0,MATCH($B222,元データ_加工!$C$1:$P$1,0)),元データ_加工!$A$2:$A$700,$A222,元データ_加工!$B$2:$B$700,M$5)</f>
        <v>93</v>
      </c>
      <c r="N222" s="26">
        <f>SUMIFS(INDEX(元データ_加工!$C$2:$P$700,0,MATCH($B222,元データ_加工!$C$1:$P$1,0)),元データ_加工!$A$2:$A$700,$A222,元データ_加工!$B$2:$B$700,N$5)</f>
        <v>150</v>
      </c>
      <c r="O222" s="26">
        <f t="shared" si="3"/>
        <v>1566</v>
      </c>
      <c r="P222" s="7">
        <f>IFERROR(O222/SUMIFS(元データ_加工!$C$2:$C$700,元データ_加工!$A$2:$A$700,$A222),"")</f>
        <v>0.14510748702742773</v>
      </c>
    </row>
    <row r="223" spans="1:16" x14ac:dyDescent="0.45">
      <c r="A223" t="s">
        <v>50</v>
      </c>
      <c r="B223" t="s">
        <v>107</v>
      </c>
      <c r="C223" s="26">
        <f>SUMIFS(INDEX(元データ_加工!$C$2:$P$700,0,MATCH($B223,元データ_加工!$C$1:$P$1,0)),元データ_加工!$A$2:$A$700,$A223,元データ_加工!$B$2:$B$700,C$5)</f>
        <v>40</v>
      </c>
      <c r="D223" s="26">
        <f>SUMIFS(INDEX(元データ_加工!$C$2:$P$700,0,MATCH($B223,元データ_加工!$C$1:$P$1,0)),元データ_加工!$A$2:$A$700,$A223,元データ_加工!$B$2:$B$700,D$5)</f>
        <v>66</v>
      </c>
      <c r="E223" s="26">
        <f>SUMIFS(INDEX(元データ_加工!$C$2:$P$700,0,MATCH($B223,元データ_加工!$C$1:$P$1,0)),元データ_加工!$A$2:$A$700,$A223,元データ_加工!$B$2:$B$700,E$5)</f>
        <v>57</v>
      </c>
      <c r="F223" s="26">
        <f>SUMIFS(INDEX(元データ_加工!$C$2:$P$700,0,MATCH($B223,元データ_加工!$C$1:$P$1,0)),元データ_加工!$A$2:$A$700,$A223,元データ_加工!$B$2:$B$700,F$5)</f>
        <v>11</v>
      </c>
      <c r="G223" s="26">
        <f>SUMIFS(INDEX(元データ_加工!$C$2:$P$700,0,MATCH($B223,元データ_加工!$C$1:$P$1,0)),元データ_加工!$A$2:$A$700,$A223,元データ_加工!$B$2:$B$700,G$5)</f>
        <v>16</v>
      </c>
      <c r="H223" s="26">
        <f>SUMIFS(INDEX(元データ_加工!$C$2:$P$700,0,MATCH($B223,元データ_加工!$C$1:$P$1,0)),元データ_加工!$A$2:$A$700,$A223,元データ_加工!$B$2:$B$700,H$5)</f>
        <v>12</v>
      </c>
      <c r="I223" s="26">
        <f>SUMIFS(INDEX(元データ_加工!$C$2:$P$700,0,MATCH($B223,元データ_加工!$C$1:$P$1,0)),元データ_加工!$A$2:$A$700,$A223,元データ_加工!$B$2:$B$700,I$5)</f>
        <v>7</v>
      </c>
      <c r="J223" s="26">
        <f>SUMIFS(INDEX(元データ_加工!$C$2:$P$700,0,MATCH($B223,元データ_加工!$C$1:$P$1,0)),元データ_加工!$A$2:$A$700,$A223,元データ_加工!$B$2:$B$700,J$5)</f>
        <v>34</v>
      </c>
      <c r="K223" s="26">
        <f>SUMIFS(INDEX(元データ_加工!$C$2:$P$700,0,MATCH($B223,元データ_加工!$C$1:$P$1,0)),元データ_加工!$A$2:$A$700,$A223,元データ_加工!$B$2:$B$700,K$5)</f>
        <v>26</v>
      </c>
      <c r="L223" s="26">
        <f>SUMIFS(INDEX(元データ_加工!$C$2:$P$700,0,MATCH($B223,元データ_加工!$C$1:$P$1,0)),元データ_加工!$A$2:$A$700,$A223,元データ_加工!$B$2:$B$700,L$5)</f>
        <v>50</v>
      </c>
      <c r="M223" s="26">
        <f>SUMIFS(INDEX(元データ_加工!$C$2:$P$700,0,MATCH($B223,元データ_加工!$C$1:$P$1,0)),元データ_加工!$A$2:$A$700,$A223,元データ_加工!$B$2:$B$700,M$5)</f>
        <v>29</v>
      </c>
      <c r="N223" s="26">
        <f>SUMIFS(INDEX(元データ_加工!$C$2:$P$700,0,MATCH($B223,元データ_加工!$C$1:$P$1,0)),元データ_加工!$A$2:$A$700,$A223,元データ_加工!$B$2:$B$700,N$5)</f>
        <v>56</v>
      </c>
      <c r="O223" s="26">
        <f t="shared" si="3"/>
        <v>404</v>
      </c>
      <c r="P223" s="7">
        <f>IFERROR(O223/SUMIFS(元データ_加工!$C$2:$C$700,元データ_加工!$A$2:$A$700,$A223),"")</f>
        <v>3.7435137138621198E-2</v>
      </c>
    </row>
    <row r="224" spans="1:16" x14ac:dyDescent="0.45">
      <c r="A224" t="s">
        <v>50</v>
      </c>
      <c r="B224" t="s">
        <v>108</v>
      </c>
      <c r="C224" s="26">
        <f>SUMIFS(INDEX(元データ_加工!$C$2:$P$700,0,MATCH($B224,元データ_加工!$C$1:$P$1,0)),元データ_加工!$A$2:$A$700,$A224,元データ_加工!$B$2:$B$700,C$5)</f>
        <v>2</v>
      </c>
      <c r="D224" s="26">
        <f>SUMIFS(INDEX(元データ_加工!$C$2:$P$700,0,MATCH($B224,元データ_加工!$C$1:$P$1,0)),元データ_加工!$A$2:$A$700,$A224,元データ_加工!$B$2:$B$700,D$5)</f>
        <v>19</v>
      </c>
      <c r="E224" s="26">
        <f>SUMIFS(INDEX(元データ_加工!$C$2:$P$700,0,MATCH($B224,元データ_加工!$C$1:$P$1,0)),元データ_加工!$A$2:$A$700,$A224,元データ_加工!$B$2:$B$700,E$5)</f>
        <v>18</v>
      </c>
      <c r="F224" s="26">
        <f>SUMIFS(INDEX(元データ_加工!$C$2:$P$700,0,MATCH($B224,元データ_加工!$C$1:$P$1,0)),元データ_加工!$A$2:$A$700,$A224,元データ_加工!$B$2:$B$700,F$5)</f>
        <v>24</v>
      </c>
      <c r="G224" s="26">
        <f>SUMIFS(INDEX(元データ_加工!$C$2:$P$700,0,MATCH($B224,元データ_加工!$C$1:$P$1,0)),元データ_加工!$A$2:$A$700,$A224,元データ_加工!$B$2:$B$700,G$5)</f>
        <v>33</v>
      </c>
      <c r="H224" s="26">
        <f>SUMIFS(INDEX(元データ_加工!$C$2:$P$700,0,MATCH($B224,元データ_加工!$C$1:$P$1,0)),元データ_加工!$A$2:$A$700,$A224,元データ_加工!$B$2:$B$700,H$5)</f>
        <v>16</v>
      </c>
      <c r="I224" s="26">
        <f>SUMIFS(INDEX(元データ_加工!$C$2:$P$700,0,MATCH($B224,元データ_加工!$C$1:$P$1,0)),元データ_加工!$A$2:$A$700,$A224,元データ_加工!$B$2:$B$700,I$5)</f>
        <v>16</v>
      </c>
      <c r="J224" s="26">
        <f>SUMIFS(INDEX(元データ_加工!$C$2:$P$700,0,MATCH($B224,元データ_加工!$C$1:$P$1,0)),元データ_加工!$A$2:$A$700,$A224,元データ_加工!$B$2:$B$700,J$5)</f>
        <v>24</v>
      </c>
      <c r="K224" s="26">
        <f>SUMIFS(INDEX(元データ_加工!$C$2:$P$700,0,MATCH($B224,元データ_加工!$C$1:$P$1,0)),元データ_加工!$A$2:$A$700,$A224,元データ_加工!$B$2:$B$700,K$5)</f>
        <v>11</v>
      </c>
      <c r="L224" s="26">
        <f>SUMIFS(INDEX(元データ_加工!$C$2:$P$700,0,MATCH($B224,元データ_加工!$C$1:$P$1,0)),元データ_加工!$A$2:$A$700,$A224,元データ_加工!$B$2:$B$700,L$5)</f>
        <v>25</v>
      </c>
      <c r="M224" s="26">
        <f>SUMIFS(INDEX(元データ_加工!$C$2:$P$700,0,MATCH($B224,元データ_加工!$C$1:$P$1,0)),元データ_加工!$A$2:$A$700,$A224,元データ_加工!$B$2:$B$700,M$5)</f>
        <v>9</v>
      </c>
      <c r="N224" s="26">
        <f>SUMIFS(INDEX(元データ_加工!$C$2:$P$700,0,MATCH($B224,元データ_加工!$C$1:$P$1,0)),元データ_加工!$A$2:$A$700,$A224,元データ_加工!$B$2:$B$700,N$5)</f>
        <v>4</v>
      </c>
      <c r="O224" s="26">
        <f t="shared" si="3"/>
        <v>201</v>
      </c>
      <c r="P224" s="7">
        <f>IFERROR(O224/SUMIFS(元データ_加工!$C$2:$C$700,元データ_加工!$A$2:$A$700,$A224),"")</f>
        <v>1.862490733876946E-2</v>
      </c>
    </row>
    <row r="225" spans="1:16" x14ac:dyDescent="0.45">
      <c r="A225" t="s">
        <v>50</v>
      </c>
      <c r="B225" t="s">
        <v>109</v>
      </c>
      <c r="C225" s="26">
        <f>SUMIFS(INDEX(元データ_加工!$C$2:$P$700,0,MATCH($B225,元データ_加工!$C$1:$P$1,0)),元データ_加工!$A$2:$A$700,$A225,元データ_加工!$B$2:$B$700,C$5)</f>
        <v>41</v>
      </c>
      <c r="D225" s="26">
        <f>SUMIFS(INDEX(元データ_加工!$C$2:$P$700,0,MATCH($B225,元データ_加工!$C$1:$P$1,0)),元データ_加工!$A$2:$A$700,$A225,元データ_加工!$B$2:$B$700,D$5)</f>
        <v>33</v>
      </c>
      <c r="E225" s="26">
        <f>SUMIFS(INDEX(元データ_加工!$C$2:$P$700,0,MATCH($B225,元データ_加工!$C$1:$P$1,0)),元データ_加工!$A$2:$A$700,$A225,元データ_加工!$B$2:$B$700,E$5)</f>
        <v>68</v>
      </c>
      <c r="F225" s="26">
        <f>SUMIFS(INDEX(元データ_加工!$C$2:$P$700,0,MATCH($B225,元データ_加工!$C$1:$P$1,0)),元データ_加工!$A$2:$A$700,$A225,元データ_加工!$B$2:$B$700,F$5)</f>
        <v>85</v>
      </c>
      <c r="G225" s="26">
        <f>SUMIFS(INDEX(元データ_加工!$C$2:$P$700,0,MATCH($B225,元データ_加工!$C$1:$P$1,0)),元データ_加工!$A$2:$A$700,$A225,元データ_加工!$B$2:$B$700,G$5)</f>
        <v>69</v>
      </c>
      <c r="H225" s="26">
        <f>SUMIFS(INDEX(元データ_加工!$C$2:$P$700,0,MATCH($B225,元データ_加工!$C$1:$P$1,0)),元データ_加工!$A$2:$A$700,$A225,元データ_加工!$B$2:$B$700,H$5)</f>
        <v>65</v>
      </c>
      <c r="I225" s="26">
        <f>SUMIFS(INDEX(元データ_加工!$C$2:$P$700,0,MATCH($B225,元データ_加工!$C$1:$P$1,0)),元データ_加工!$A$2:$A$700,$A225,元データ_加工!$B$2:$B$700,I$5)</f>
        <v>60</v>
      </c>
      <c r="J225" s="26">
        <f>SUMIFS(INDEX(元データ_加工!$C$2:$P$700,0,MATCH($B225,元データ_加工!$C$1:$P$1,0)),元データ_加工!$A$2:$A$700,$A225,元データ_加工!$B$2:$B$700,J$5)</f>
        <v>93</v>
      </c>
      <c r="K225" s="26">
        <f>SUMIFS(INDEX(元データ_加工!$C$2:$P$700,0,MATCH($B225,元データ_加工!$C$1:$P$1,0)),元データ_加工!$A$2:$A$700,$A225,元データ_加工!$B$2:$B$700,K$5)</f>
        <v>115</v>
      </c>
      <c r="L225" s="26">
        <f>SUMIFS(INDEX(元データ_加工!$C$2:$P$700,0,MATCH($B225,元データ_加工!$C$1:$P$1,0)),元データ_加工!$A$2:$A$700,$A225,元データ_加工!$B$2:$B$700,L$5)</f>
        <v>95</v>
      </c>
      <c r="M225" s="26">
        <f>SUMIFS(INDEX(元データ_加工!$C$2:$P$700,0,MATCH($B225,元データ_加工!$C$1:$P$1,0)),元データ_加工!$A$2:$A$700,$A225,元データ_加工!$B$2:$B$700,M$5)</f>
        <v>96</v>
      </c>
      <c r="N225" s="26">
        <f>SUMIFS(INDEX(元データ_加工!$C$2:$P$700,0,MATCH($B225,元データ_加工!$C$1:$P$1,0)),元データ_加工!$A$2:$A$700,$A225,元データ_加工!$B$2:$B$700,N$5)</f>
        <v>72</v>
      </c>
      <c r="O225" s="26">
        <f t="shared" si="3"/>
        <v>892</v>
      </c>
      <c r="P225" s="7">
        <f>IFERROR(O225/SUMIFS(元データ_加工!$C$2:$C$700,元データ_加工!$A$2:$A$700,$A225),"")</f>
        <v>8.2653817642698302E-2</v>
      </c>
    </row>
    <row r="226" spans="1:16" x14ac:dyDescent="0.45">
      <c r="A226" t="s">
        <v>50</v>
      </c>
      <c r="B226" t="s">
        <v>110</v>
      </c>
      <c r="C226" s="26">
        <f>SUMIFS(INDEX(元データ_加工!$C$2:$P$700,0,MATCH($B226,元データ_加工!$C$1:$P$1,0)),元データ_加工!$A$2:$A$700,$A226,元データ_加工!$B$2:$B$700,C$5)</f>
        <v>0</v>
      </c>
      <c r="D226" s="26">
        <f>SUMIFS(INDEX(元データ_加工!$C$2:$P$700,0,MATCH($B226,元データ_加工!$C$1:$P$1,0)),元データ_加工!$A$2:$A$700,$A226,元データ_加工!$B$2:$B$700,D$5)</f>
        <v>0</v>
      </c>
      <c r="E226" s="26">
        <f>SUMIFS(INDEX(元データ_加工!$C$2:$P$700,0,MATCH($B226,元データ_加工!$C$1:$P$1,0)),元データ_加工!$A$2:$A$700,$A226,元データ_加工!$B$2:$B$700,E$5)</f>
        <v>0</v>
      </c>
      <c r="F226" s="26">
        <f>SUMIFS(INDEX(元データ_加工!$C$2:$P$700,0,MATCH($B226,元データ_加工!$C$1:$P$1,0)),元データ_加工!$A$2:$A$700,$A226,元データ_加工!$B$2:$B$700,F$5)</f>
        <v>0</v>
      </c>
      <c r="G226" s="26">
        <f>SUMIFS(INDEX(元データ_加工!$C$2:$P$700,0,MATCH($B226,元データ_加工!$C$1:$P$1,0)),元データ_加工!$A$2:$A$700,$A226,元データ_加工!$B$2:$B$700,G$5)</f>
        <v>0</v>
      </c>
      <c r="H226" s="26">
        <f>SUMIFS(INDEX(元データ_加工!$C$2:$P$700,0,MATCH($B226,元データ_加工!$C$1:$P$1,0)),元データ_加工!$A$2:$A$700,$A226,元データ_加工!$B$2:$B$700,H$5)</f>
        <v>0</v>
      </c>
      <c r="I226" s="26">
        <f>SUMIFS(INDEX(元データ_加工!$C$2:$P$700,0,MATCH($B226,元データ_加工!$C$1:$P$1,0)),元データ_加工!$A$2:$A$700,$A226,元データ_加工!$B$2:$B$700,I$5)</f>
        <v>0</v>
      </c>
      <c r="J226" s="26">
        <f>SUMIFS(INDEX(元データ_加工!$C$2:$P$700,0,MATCH($B226,元データ_加工!$C$1:$P$1,0)),元データ_加工!$A$2:$A$700,$A226,元データ_加工!$B$2:$B$700,J$5)</f>
        <v>0</v>
      </c>
      <c r="K226" s="26">
        <f>SUMIFS(INDEX(元データ_加工!$C$2:$P$700,0,MATCH($B226,元データ_加工!$C$1:$P$1,0)),元データ_加工!$A$2:$A$700,$A226,元データ_加工!$B$2:$B$700,K$5)</f>
        <v>0</v>
      </c>
      <c r="L226" s="26">
        <f>SUMIFS(INDEX(元データ_加工!$C$2:$P$700,0,MATCH($B226,元データ_加工!$C$1:$P$1,0)),元データ_加工!$A$2:$A$700,$A226,元データ_加工!$B$2:$B$700,L$5)</f>
        <v>0</v>
      </c>
      <c r="M226" s="26">
        <f>SUMIFS(INDEX(元データ_加工!$C$2:$P$700,0,MATCH($B226,元データ_加工!$C$1:$P$1,0)),元データ_加工!$A$2:$A$700,$A226,元データ_加工!$B$2:$B$700,M$5)</f>
        <v>0</v>
      </c>
      <c r="N226" s="26">
        <f>SUMIFS(INDEX(元データ_加工!$C$2:$P$700,0,MATCH($B226,元データ_加工!$C$1:$P$1,0)),元データ_加工!$A$2:$A$700,$A226,元データ_加工!$B$2:$B$700,N$5)</f>
        <v>0</v>
      </c>
      <c r="O226" s="26">
        <f t="shared" si="3"/>
        <v>0</v>
      </c>
      <c r="P226" s="7">
        <f>IFERROR(O226/SUMIFS(元データ_加工!$C$2:$C$700,元データ_加工!$A$2:$A$700,$A226),"")</f>
        <v>0</v>
      </c>
    </row>
    <row r="227" spans="1:16" x14ac:dyDescent="0.45">
      <c r="A227" t="s">
        <v>50</v>
      </c>
      <c r="B227" t="s">
        <v>111</v>
      </c>
      <c r="C227" s="26">
        <f>SUMIFS(INDEX(元データ_加工!$C$2:$P$700,0,MATCH($B227,元データ_加工!$C$1:$P$1,0)),元データ_加工!$A$2:$A$700,$A227,元データ_加工!$B$2:$B$700,C$5)</f>
        <v>0</v>
      </c>
      <c r="D227" s="26">
        <f>SUMIFS(INDEX(元データ_加工!$C$2:$P$700,0,MATCH($B227,元データ_加工!$C$1:$P$1,0)),元データ_加工!$A$2:$A$700,$A227,元データ_加工!$B$2:$B$700,D$5)</f>
        <v>0</v>
      </c>
      <c r="E227" s="26">
        <f>SUMIFS(INDEX(元データ_加工!$C$2:$P$700,0,MATCH($B227,元データ_加工!$C$1:$P$1,0)),元データ_加工!$A$2:$A$700,$A227,元データ_加工!$B$2:$B$700,E$5)</f>
        <v>0</v>
      </c>
      <c r="F227" s="26">
        <f>SUMIFS(INDEX(元データ_加工!$C$2:$P$700,0,MATCH($B227,元データ_加工!$C$1:$P$1,0)),元データ_加工!$A$2:$A$700,$A227,元データ_加工!$B$2:$B$700,F$5)</f>
        <v>0</v>
      </c>
      <c r="G227" s="26">
        <f>SUMIFS(INDEX(元データ_加工!$C$2:$P$700,0,MATCH($B227,元データ_加工!$C$1:$P$1,0)),元データ_加工!$A$2:$A$700,$A227,元データ_加工!$B$2:$B$700,G$5)</f>
        <v>0</v>
      </c>
      <c r="H227" s="26">
        <f>SUMIFS(INDEX(元データ_加工!$C$2:$P$700,0,MATCH($B227,元データ_加工!$C$1:$P$1,0)),元データ_加工!$A$2:$A$700,$A227,元データ_加工!$B$2:$B$700,H$5)</f>
        <v>0</v>
      </c>
      <c r="I227" s="26">
        <f>SUMIFS(INDEX(元データ_加工!$C$2:$P$700,0,MATCH($B227,元データ_加工!$C$1:$P$1,0)),元データ_加工!$A$2:$A$700,$A227,元データ_加工!$B$2:$B$700,I$5)</f>
        <v>0</v>
      </c>
      <c r="J227" s="26">
        <f>SUMIFS(INDEX(元データ_加工!$C$2:$P$700,0,MATCH($B227,元データ_加工!$C$1:$P$1,0)),元データ_加工!$A$2:$A$700,$A227,元データ_加工!$B$2:$B$700,J$5)</f>
        <v>0</v>
      </c>
      <c r="K227" s="26">
        <f>SUMIFS(INDEX(元データ_加工!$C$2:$P$700,0,MATCH($B227,元データ_加工!$C$1:$P$1,0)),元データ_加工!$A$2:$A$700,$A227,元データ_加工!$B$2:$B$700,K$5)</f>
        <v>0</v>
      </c>
      <c r="L227" s="26">
        <f>SUMIFS(INDEX(元データ_加工!$C$2:$P$700,0,MATCH($B227,元データ_加工!$C$1:$P$1,0)),元データ_加工!$A$2:$A$700,$A227,元データ_加工!$B$2:$B$700,L$5)</f>
        <v>0</v>
      </c>
      <c r="M227" s="26">
        <f>SUMIFS(INDEX(元データ_加工!$C$2:$P$700,0,MATCH($B227,元データ_加工!$C$1:$P$1,0)),元データ_加工!$A$2:$A$700,$A227,元データ_加工!$B$2:$B$700,M$5)</f>
        <v>0</v>
      </c>
      <c r="N227" s="26">
        <f>SUMIFS(INDEX(元データ_加工!$C$2:$P$700,0,MATCH($B227,元データ_加工!$C$1:$P$1,0)),元データ_加工!$A$2:$A$700,$A227,元データ_加工!$B$2:$B$700,N$5)</f>
        <v>0</v>
      </c>
      <c r="O227" s="26">
        <f t="shared" si="3"/>
        <v>0</v>
      </c>
      <c r="P227" s="7">
        <f>IFERROR(O227/SUMIFS(元データ_加工!$C$2:$C$700,元データ_加工!$A$2:$A$700,$A227),"")</f>
        <v>0</v>
      </c>
    </row>
    <row r="228" spans="1:16" x14ac:dyDescent="0.45">
      <c r="A228" t="s">
        <v>50</v>
      </c>
      <c r="B228" t="s">
        <v>112</v>
      </c>
      <c r="C228" s="26">
        <f>SUMIFS(INDEX(元データ_加工!$C$2:$P$700,0,MATCH($B228,元データ_加工!$C$1:$P$1,0)),元データ_加工!$A$2:$A$700,$A228,元データ_加工!$B$2:$B$700,C$5)</f>
        <v>0</v>
      </c>
      <c r="D228" s="26">
        <f>SUMIFS(INDEX(元データ_加工!$C$2:$P$700,0,MATCH($B228,元データ_加工!$C$1:$P$1,0)),元データ_加工!$A$2:$A$700,$A228,元データ_加工!$B$2:$B$700,D$5)</f>
        <v>1</v>
      </c>
      <c r="E228" s="26">
        <f>SUMIFS(INDEX(元データ_加工!$C$2:$P$700,0,MATCH($B228,元データ_加工!$C$1:$P$1,0)),元データ_加工!$A$2:$A$700,$A228,元データ_加工!$B$2:$B$700,E$5)</f>
        <v>0</v>
      </c>
      <c r="F228" s="26">
        <f>SUMIFS(INDEX(元データ_加工!$C$2:$P$700,0,MATCH($B228,元データ_加工!$C$1:$P$1,0)),元データ_加工!$A$2:$A$700,$A228,元データ_加工!$B$2:$B$700,F$5)</f>
        <v>0</v>
      </c>
      <c r="G228" s="26">
        <f>SUMIFS(INDEX(元データ_加工!$C$2:$P$700,0,MATCH($B228,元データ_加工!$C$1:$P$1,0)),元データ_加工!$A$2:$A$700,$A228,元データ_加工!$B$2:$B$700,G$5)</f>
        <v>0</v>
      </c>
      <c r="H228" s="26">
        <f>SUMIFS(INDEX(元データ_加工!$C$2:$P$700,0,MATCH($B228,元データ_加工!$C$1:$P$1,0)),元データ_加工!$A$2:$A$700,$A228,元データ_加工!$B$2:$B$700,H$5)</f>
        <v>2</v>
      </c>
      <c r="I228" s="26">
        <f>SUMIFS(INDEX(元データ_加工!$C$2:$P$700,0,MATCH($B228,元データ_加工!$C$1:$P$1,0)),元データ_加工!$A$2:$A$700,$A228,元データ_加工!$B$2:$B$700,I$5)</f>
        <v>1</v>
      </c>
      <c r="J228" s="26">
        <f>SUMIFS(INDEX(元データ_加工!$C$2:$P$700,0,MATCH($B228,元データ_加工!$C$1:$P$1,0)),元データ_加工!$A$2:$A$700,$A228,元データ_加工!$B$2:$B$700,J$5)</f>
        <v>3</v>
      </c>
      <c r="K228" s="26">
        <f>SUMIFS(INDEX(元データ_加工!$C$2:$P$700,0,MATCH($B228,元データ_加工!$C$1:$P$1,0)),元データ_加工!$A$2:$A$700,$A228,元データ_加工!$B$2:$B$700,K$5)</f>
        <v>30</v>
      </c>
      <c r="L228" s="26">
        <f>SUMIFS(INDEX(元データ_加工!$C$2:$P$700,0,MATCH($B228,元データ_加工!$C$1:$P$1,0)),元データ_加工!$A$2:$A$700,$A228,元データ_加工!$B$2:$B$700,L$5)</f>
        <v>11</v>
      </c>
      <c r="M228" s="26">
        <f>SUMIFS(INDEX(元データ_加工!$C$2:$P$700,0,MATCH($B228,元データ_加工!$C$1:$P$1,0)),元データ_加工!$A$2:$A$700,$A228,元データ_加工!$B$2:$B$700,M$5)</f>
        <v>2</v>
      </c>
      <c r="N228" s="26">
        <f>SUMIFS(INDEX(元データ_加工!$C$2:$P$700,0,MATCH($B228,元データ_加工!$C$1:$P$1,0)),元データ_加工!$A$2:$A$700,$A228,元データ_加工!$B$2:$B$700,N$5)</f>
        <v>3</v>
      </c>
      <c r="O228" s="26">
        <f t="shared" si="3"/>
        <v>53</v>
      </c>
      <c r="P228" s="7">
        <f>IFERROR(O228/SUMIFS(元データ_加工!$C$2:$C$700,元データ_加工!$A$2:$A$700,$A228),"")</f>
        <v>4.9110452186805044E-3</v>
      </c>
    </row>
    <row r="229" spans="1:16" x14ac:dyDescent="0.45">
      <c r="A229" t="s">
        <v>50</v>
      </c>
      <c r="B229" t="s">
        <v>113</v>
      </c>
      <c r="C229" s="26">
        <f>SUMIFS(INDEX(元データ_加工!$C$2:$P$700,0,MATCH($B229,元データ_加工!$C$1:$P$1,0)),元データ_加工!$A$2:$A$700,$A229,元データ_加工!$B$2:$B$700,C$5)</f>
        <v>0</v>
      </c>
      <c r="D229" s="26">
        <f>SUMIFS(INDEX(元データ_加工!$C$2:$P$700,0,MATCH($B229,元データ_加工!$C$1:$P$1,0)),元データ_加工!$A$2:$A$700,$A229,元データ_加工!$B$2:$B$700,D$5)</f>
        <v>0</v>
      </c>
      <c r="E229" s="26">
        <f>SUMIFS(INDEX(元データ_加工!$C$2:$P$700,0,MATCH($B229,元データ_加工!$C$1:$P$1,0)),元データ_加工!$A$2:$A$700,$A229,元データ_加工!$B$2:$B$700,E$5)</f>
        <v>7</v>
      </c>
      <c r="F229" s="26">
        <f>SUMIFS(INDEX(元データ_加工!$C$2:$P$700,0,MATCH($B229,元データ_加工!$C$1:$P$1,0)),元データ_加工!$A$2:$A$700,$A229,元データ_加工!$B$2:$B$700,F$5)</f>
        <v>0</v>
      </c>
      <c r="G229" s="26">
        <f>SUMIFS(INDEX(元データ_加工!$C$2:$P$700,0,MATCH($B229,元データ_加工!$C$1:$P$1,0)),元データ_加工!$A$2:$A$700,$A229,元データ_加工!$B$2:$B$700,G$5)</f>
        <v>0</v>
      </c>
      <c r="H229" s="26">
        <f>SUMIFS(INDEX(元データ_加工!$C$2:$P$700,0,MATCH($B229,元データ_加工!$C$1:$P$1,0)),元データ_加工!$A$2:$A$700,$A229,元データ_加工!$B$2:$B$700,H$5)</f>
        <v>0</v>
      </c>
      <c r="I229" s="26">
        <f>SUMIFS(INDEX(元データ_加工!$C$2:$P$700,0,MATCH($B229,元データ_加工!$C$1:$P$1,0)),元データ_加工!$A$2:$A$700,$A229,元データ_加工!$B$2:$B$700,I$5)</f>
        <v>1</v>
      </c>
      <c r="J229" s="26">
        <f>SUMIFS(INDEX(元データ_加工!$C$2:$P$700,0,MATCH($B229,元データ_加工!$C$1:$P$1,0)),元データ_加工!$A$2:$A$700,$A229,元データ_加工!$B$2:$B$700,J$5)</f>
        <v>2</v>
      </c>
      <c r="K229" s="26">
        <f>SUMIFS(INDEX(元データ_加工!$C$2:$P$700,0,MATCH($B229,元データ_加工!$C$1:$P$1,0)),元データ_加工!$A$2:$A$700,$A229,元データ_加工!$B$2:$B$700,K$5)</f>
        <v>0</v>
      </c>
      <c r="L229" s="26">
        <f>SUMIFS(INDEX(元データ_加工!$C$2:$P$700,0,MATCH($B229,元データ_加工!$C$1:$P$1,0)),元データ_加工!$A$2:$A$700,$A229,元データ_加工!$B$2:$B$700,L$5)</f>
        <v>4</v>
      </c>
      <c r="M229" s="26">
        <f>SUMIFS(INDEX(元データ_加工!$C$2:$P$700,0,MATCH($B229,元データ_加工!$C$1:$P$1,0)),元データ_加工!$A$2:$A$700,$A229,元データ_加工!$B$2:$B$700,M$5)</f>
        <v>3</v>
      </c>
      <c r="N229" s="26">
        <f>SUMIFS(INDEX(元データ_加工!$C$2:$P$700,0,MATCH($B229,元データ_加工!$C$1:$P$1,0)),元データ_加工!$A$2:$A$700,$A229,元データ_加工!$B$2:$B$700,N$5)</f>
        <v>0</v>
      </c>
      <c r="O229" s="26">
        <f t="shared" si="3"/>
        <v>17</v>
      </c>
      <c r="P229" s="7">
        <f>IFERROR(O229/SUMIFS(元データ_加工!$C$2:$C$700,元データ_加工!$A$2:$A$700,$A229),"")</f>
        <v>1.575240919199407E-3</v>
      </c>
    </row>
    <row r="230" spans="1:16" x14ac:dyDescent="0.45">
      <c r="A230" t="s">
        <v>51</v>
      </c>
      <c r="B230" t="s">
        <v>100</v>
      </c>
      <c r="C230" s="26">
        <f>SUMIFS(INDEX(元データ_加工!$C$2:$P$700,0,MATCH($B230,元データ_加工!$C$1:$P$1,0)),元データ_加工!$A$2:$A$700,$A230,元データ_加工!$B$2:$B$700,C$5)</f>
        <v>1911</v>
      </c>
      <c r="D230" s="26">
        <f>SUMIFS(INDEX(元データ_加工!$C$2:$P$700,0,MATCH($B230,元データ_加工!$C$1:$P$1,0)),元データ_加工!$A$2:$A$700,$A230,元データ_加工!$B$2:$B$700,D$5)</f>
        <v>1725</v>
      </c>
      <c r="E230" s="26">
        <f>SUMIFS(INDEX(元データ_加工!$C$2:$P$700,0,MATCH($B230,元データ_加工!$C$1:$P$1,0)),元データ_加工!$A$2:$A$700,$A230,元データ_加工!$B$2:$B$700,E$5)</f>
        <v>2310</v>
      </c>
      <c r="F230" s="26">
        <f>SUMIFS(INDEX(元データ_加工!$C$2:$P$700,0,MATCH($B230,元データ_加工!$C$1:$P$1,0)),元データ_加工!$A$2:$A$700,$A230,元データ_加工!$B$2:$B$700,F$5)</f>
        <v>2425</v>
      </c>
      <c r="G230" s="26">
        <f>SUMIFS(INDEX(元データ_加工!$C$2:$P$700,0,MATCH($B230,元データ_加工!$C$1:$P$1,0)),元データ_加工!$A$2:$A$700,$A230,元データ_加工!$B$2:$B$700,G$5)</f>
        <v>2498</v>
      </c>
      <c r="H230" s="26">
        <f>SUMIFS(INDEX(元データ_加工!$C$2:$P$700,0,MATCH($B230,元データ_加工!$C$1:$P$1,0)),元データ_加工!$A$2:$A$700,$A230,元データ_加工!$B$2:$B$700,H$5)</f>
        <v>1705</v>
      </c>
      <c r="I230" s="26">
        <f>SUMIFS(INDEX(元データ_加工!$C$2:$P$700,0,MATCH($B230,元データ_加工!$C$1:$P$1,0)),元データ_加工!$A$2:$A$700,$A230,元データ_加工!$B$2:$B$700,I$5)</f>
        <v>1445</v>
      </c>
      <c r="J230" s="26">
        <f>SUMIFS(INDEX(元データ_加工!$C$2:$P$700,0,MATCH($B230,元データ_加工!$C$1:$P$1,0)),元データ_加工!$A$2:$A$700,$A230,元データ_加工!$B$2:$B$700,J$5)</f>
        <v>3122</v>
      </c>
      <c r="K230" s="26">
        <f>SUMIFS(INDEX(元データ_加工!$C$2:$P$700,0,MATCH($B230,元データ_加工!$C$1:$P$1,0)),元データ_加工!$A$2:$A$700,$A230,元データ_加工!$B$2:$B$700,K$5)</f>
        <v>5093</v>
      </c>
      <c r="L230" s="26">
        <f>SUMIFS(INDEX(元データ_加工!$C$2:$P$700,0,MATCH($B230,元データ_加工!$C$1:$P$1,0)),元データ_加工!$A$2:$A$700,$A230,元データ_加工!$B$2:$B$700,L$5)</f>
        <v>3456</v>
      </c>
      <c r="M230" s="26">
        <f>SUMIFS(INDEX(元データ_加工!$C$2:$P$700,0,MATCH($B230,元データ_加工!$C$1:$P$1,0)),元データ_加工!$A$2:$A$700,$A230,元データ_加工!$B$2:$B$700,M$5)</f>
        <v>2615</v>
      </c>
      <c r="N230" s="26">
        <f>SUMIFS(INDEX(元データ_加工!$C$2:$P$700,0,MATCH($B230,元データ_加工!$C$1:$P$1,0)),元データ_加工!$A$2:$A$700,$A230,元データ_加工!$B$2:$B$700,N$5)</f>
        <v>1868</v>
      </c>
      <c r="O230" s="26">
        <f t="shared" si="3"/>
        <v>30173</v>
      </c>
      <c r="P230" s="7">
        <f>IFERROR(O230/SUMIFS(元データ_加工!$C$2:$C$700,元データ_加工!$A$2:$A$700,$A230),"")</f>
        <v>1</v>
      </c>
    </row>
    <row r="231" spans="1:16" x14ac:dyDescent="0.45">
      <c r="A231" t="s">
        <v>51</v>
      </c>
      <c r="B231" t="s">
        <v>101</v>
      </c>
      <c r="C231" s="26">
        <f>SUMIFS(INDEX(元データ_加工!$C$2:$P$700,0,MATCH($B231,元データ_加工!$C$1:$P$1,0)),元データ_加工!$A$2:$A$700,$A231,元データ_加工!$B$2:$B$700,C$5)</f>
        <v>1030</v>
      </c>
      <c r="D231" s="26">
        <f>SUMIFS(INDEX(元データ_加工!$C$2:$P$700,0,MATCH($B231,元データ_加工!$C$1:$P$1,0)),元データ_加工!$A$2:$A$700,$A231,元データ_加工!$B$2:$B$700,D$5)</f>
        <v>1325</v>
      </c>
      <c r="E231" s="26">
        <f>SUMIFS(INDEX(元データ_加工!$C$2:$P$700,0,MATCH($B231,元データ_加工!$C$1:$P$1,0)),元データ_加工!$A$2:$A$700,$A231,元データ_加工!$B$2:$B$700,E$5)</f>
        <v>1614</v>
      </c>
      <c r="F231" s="26">
        <f>SUMIFS(INDEX(元データ_加工!$C$2:$P$700,0,MATCH($B231,元データ_加工!$C$1:$P$1,0)),元データ_加工!$A$2:$A$700,$A231,元データ_加工!$B$2:$B$700,F$5)</f>
        <v>1428</v>
      </c>
      <c r="G231" s="26">
        <f>SUMIFS(INDEX(元データ_加工!$C$2:$P$700,0,MATCH($B231,元データ_加工!$C$1:$P$1,0)),元データ_加工!$A$2:$A$700,$A231,元データ_加工!$B$2:$B$700,G$5)</f>
        <v>1522</v>
      </c>
      <c r="H231" s="26">
        <f>SUMIFS(INDEX(元データ_加工!$C$2:$P$700,0,MATCH($B231,元データ_加工!$C$1:$P$1,0)),元データ_加工!$A$2:$A$700,$A231,元データ_加工!$B$2:$B$700,H$5)</f>
        <v>1089</v>
      </c>
      <c r="I231" s="26">
        <f>SUMIFS(INDEX(元データ_加工!$C$2:$P$700,0,MATCH($B231,元データ_加工!$C$1:$P$1,0)),元データ_加工!$A$2:$A$700,$A231,元データ_加工!$B$2:$B$700,I$5)</f>
        <v>1220</v>
      </c>
      <c r="J231" s="26">
        <f>SUMIFS(INDEX(元データ_加工!$C$2:$P$700,0,MATCH($B231,元データ_加工!$C$1:$P$1,0)),元データ_加工!$A$2:$A$700,$A231,元データ_加工!$B$2:$B$700,J$5)</f>
        <v>1436</v>
      </c>
      <c r="K231" s="26">
        <f>SUMIFS(INDEX(元データ_加工!$C$2:$P$700,0,MATCH($B231,元データ_加工!$C$1:$P$1,0)),元データ_加工!$A$2:$A$700,$A231,元データ_加工!$B$2:$B$700,K$5)</f>
        <v>1388</v>
      </c>
      <c r="L231" s="26">
        <f>SUMIFS(INDEX(元データ_加工!$C$2:$P$700,0,MATCH($B231,元データ_加工!$C$1:$P$1,0)),元データ_加工!$A$2:$A$700,$A231,元データ_加工!$B$2:$B$700,L$5)</f>
        <v>1175</v>
      </c>
      <c r="M231" s="26">
        <f>SUMIFS(INDEX(元データ_加工!$C$2:$P$700,0,MATCH($B231,元データ_加工!$C$1:$P$1,0)),元データ_加工!$A$2:$A$700,$A231,元データ_加工!$B$2:$B$700,M$5)</f>
        <v>1419</v>
      </c>
      <c r="N231" s="26">
        <f>SUMIFS(INDEX(元データ_加工!$C$2:$P$700,0,MATCH($B231,元データ_加工!$C$1:$P$1,0)),元データ_加工!$A$2:$A$700,$A231,元データ_加工!$B$2:$B$700,N$5)</f>
        <v>1282</v>
      </c>
      <c r="O231" s="26">
        <f t="shared" si="3"/>
        <v>15928</v>
      </c>
      <c r="P231" s="7">
        <f>IFERROR(O231/SUMIFS(元データ_加工!$C$2:$C$700,元データ_加工!$A$2:$A$700,$A231),"")</f>
        <v>0.52788917243893552</v>
      </c>
    </row>
    <row r="232" spans="1:16" x14ac:dyDescent="0.45">
      <c r="A232" t="s">
        <v>51</v>
      </c>
      <c r="B232" t="s">
        <v>102</v>
      </c>
      <c r="C232" s="26">
        <f>SUMIFS(INDEX(元データ_加工!$C$2:$P$700,0,MATCH($B232,元データ_加工!$C$1:$P$1,0)),元データ_加工!$A$2:$A$700,$A232,元データ_加工!$B$2:$B$700,C$5)</f>
        <v>0</v>
      </c>
      <c r="D232" s="26">
        <f>SUMIFS(INDEX(元データ_加工!$C$2:$P$700,0,MATCH($B232,元データ_加工!$C$1:$P$1,0)),元データ_加工!$A$2:$A$700,$A232,元データ_加工!$B$2:$B$700,D$5)</f>
        <v>0</v>
      </c>
      <c r="E232" s="26">
        <f>SUMIFS(INDEX(元データ_加工!$C$2:$P$700,0,MATCH($B232,元データ_加工!$C$1:$P$1,0)),元データ_加工!$A$2:$A$700,$A232,元データ_加工!$B$2:$B$700,E$5)</f>
        <v>0</v>
      </c>
      <c r="F232" s="26">
        <f>SUMIFS(INDEX(元データ_加工!$C$2:$P$700,0,MATCH($B232,元データ_加工!$C$1:$P$1,0)),元データ_加工!$A$2:$A$700,$A232,元データ_加工!$B$2:$B$700,F$5)</f>
        <v>0</v>
      </c>
      <c r="G232" s="26">
        <f>SUMIFS(INDEX(元データ_加工!$C$2:$P$700,0,MATCH($B232,元データ_加工!$C$1:$P$1,0)),元データ_加工!$A$2:$A$700,$A232,元データ_加工!$B$2:$B$700,G$5)</f>
        <v>0</v>
      </c>
      <c r="H232" s="26">
        <f>SUMIFS(INDEX(元データ_加工!$C$2:$P$700,0,MATCH($B232,元データ_加工!$C$1:$P$1,0)),元データ_加工!$A$2:$A$700,$A232,元データ_加工!$B$2:$B$700,H$5)</f>
        <v>0</v>
      </c>
      <c r="I232" s="26">
        <f>SUMIFS(INDEX(元データ_加工!$C$2:$P$700,0,MATCH($B232,元データ_加工!$C$1:$P$1,0)),元データ_加工!$A$2:$A$700,$A232,元データ_加工!$B$2:$B$700,I$5)</f>
        <v>0</v>
      </c>
      <c r="J232" s="26">
        <f>SUMIFS(INDEX(元データ_加工!$C$2:$P$700,0,MATCH($B232,元データ_加工!$C$1:$P$1,0)),元データ_加工!$A$2:$A$700,$A232,元データ_加工!$B$2:$B$700,J$5)</f>
        <v>7</v>
      </c>
      <c r="K232" s="26">
        <f>SUMIFS(INDEX(元データ_加工!$C$2:$P$700,0,MATCH($B232,元データ_加工!$C$1:$P$1,0)),元データ_加工!$A$2:$A$700,$A232,元データ_加工!$B$2:$B$700,K$5)</f>
        <v>0</v>
      </c>
      <c r="L232" s="26">
        <f>SUMIFS(INDEX(元データ_加工!$C$2:$P$700,0,MATCH($B232,元データ_加工!$C$1:$P$1,0)),元データ_加工!$A$2:$A$700,$A232,元データ_加工!$B$2:$B$700,L$5)</f>
        <v>0</v>
      </c>
      <c r="M232" s="26">
        <f>SUMIFS(INDEX(元データ_加工!$C$2:$P$700,0,MATCH($B232,元データ_加工!$C$1:$P$1,0)),元データ_加工!$A$2:$A$700,$A232,元データ_加工!$B$2:$B$700,M$5)</f>
        <v>0</v>
      </c>
      <c r="N232" s="26">
        <f>SUMIFS(INDEX(元データ_加工!$C$2:$P$700,0,MATCH($B232,元データ_加工!$C$1:$P$1,0)),元データ_加工!$A$2:$A$700,$A232,元データ_加工!$B$2:$B$700,N$5)</f>
        <v>0</v>
      </c>
      <c r="O232" s="26">
        <f t="shared" si="3"/>
        <v>7</v>
      </c>
      <c r="P232" s="7">
        <f>IFERROR(O232/SUMIFS(元データ_加工!$C$2:$C$700,元データ_加工!$A$2:$A$700,$A232),"")</f>
        <v>2.3199549265899978E-4</v>
      </c>
    </row>
    <row r="233" spans="1:16" x14ac:dyDescent="0.45">
      <c r="A233" t="s">
        <v>51</v>
      </c>
      <c r="B233" t="s">
        <v>103</v>
      </c>
      <c r="C233" s="26">
        <f>SUMIFS(INDEX(元データ_加工!$C$2:$P$700,0,MATCH($B233,元データ_加工!$C$1:$P$1,0)),元データ_加工!$A$2:$A$700,$A233,元データ_加工!$B$2:$B$700,C$5)</f>
        <v>0</v>
      </c>
      <c r="D233" s="26">
        <f>SUMIFS(INDEX(元データ_加工!$C$2:$P$700,0,MATCH($B233,元データ_加工!$C$1:$P$1,0)),元データ_加工!$A$2:$A$700,$A233,元データ_加工!$B$2:$B$700,D$5)</f>
        <v>0</v>
      </c>
      <c r="E233" s="26">
        <f>SUMIFS(INDEX(元データ_加工!$C$2:$P$700,0,MATCH($B233,元データ_加工!$C$1:$P$1,0)),元データ_加工!$A$2:$A$700,$A233,元データ_加工!$B$2:$B$700,E$5)</f>
        <v>0</v>
      </c>
      <c r="F233" s="26">
        <f>SUMIFS(INDEX(元データ_加工!$C$2:$P$700,0,MATCH($B233,元データ_加工!$C$1:$P$1,0)),元データ_加工!$A$2:$A$700,$A233,元データ_加工!$B$2:$B$700,F$5)</f>
        <v>10</v>
      </c>
      <c r="G233" s="26">
        <f>SUMIFS(INDEX(元データ_加工!$C$2:$P$700,0,MATCH($B233,元データ_加工!$C$1:$P$1,0)),元データ_加工!$A$2:$A$700,$A233,元データ_加工!$B$2:$B$700,G$5)</f>
        <v>7</v>
      </c>
      <c r="H233" s="26">
        <f>SUMIFS(INDEX(元データ_加工!$C$2:$P$700,0,MATCH($B233,元データ_加工!$C$1:$P$1,0)),元データ_加工!$A$2:$A$700,$A233,元データ_加工!$B$2:$B$700,H$5)</f>
        <v>2</v>
      </c>
      <c r="I233" s="26">
        <f>SUMIFS(INDEX(元データ_加工!$C$2:$P$700,0,MATCH($B233,元データ_加工!$C$1:$P$1,0)),元データ_加工!$A$2:$A$700,$A233,元データ_加工!$B$2:$B$700,I$5)</f>
        <v>8</v>
      </c>
      <c r="J233" s="26">
        <f>SUMIFS(INDEX(元データ_加工!$C$2:$P$700,0,MATCH($B233,元データ_加工!$C$1:$P$1,0)),元データ_加工!$A$2:$A$700,$A233,元データ_加工!$B$2:$B$700,J$5)</f>
        <v>3</v>
      </c>
      <c r="K233" s="26">
        <f>SUMIFS(INDEX(元データ_加工!$C$2:$P$700,0,MATCH($B233,元データ_加工!$C$1:$P$1,0)),元データ_加工!$A$2:$A$700,$A233,元データ_加工!$B$2:$B$700,K$5)</f>
        <v>8</v>
      </c>
      <c r="L233" s="26">
        <f>SUMIFS(INDEX(元データ_加工!$C$2:$P$700,0,MATCH($B233,元データ_加工!$C$1:$P$1,0)),元データ_加工!$A$2:$A$700,$A233,元データ_加工!$B$2:$B$700,L$5)</f>
        <v>3</v>
      </c>
      <c r="M233" s="26">
        <f>SUMIFS(INDEX(元データ_加工!$C$2:$P$700,0,MATCH($B233,元データ_加工!$C$1:$P$1,0)),元データ_加工!$A$2:$A$700,$A233,元データ_加工!$B$2:$B$700,M$5)</f>
        <v>0</v>
      </c>
      <c r="N233" s="26">
        <f>SUMIFS(INDEX(元データ_加工!$C$2:$P$700,0,MATCH($B233,元データ_加工!$C$1:$P$1,0)),元データ_加工!$A$2:$A$700,$A233,元データ_加工!$B$2:$B$700,N$5)</f>
        <v>0</v>
      </c>
      <c r="O233" s="26">
        <f t="shared" si="3"/>
        <v>41</v>
      </c>
      <c r="P233" s="7">
        <f>IFERROR(O233/SUMIFS(元データ_加工!$C$2:$C$700,元データ_加工!$A$2:$A$700,$A233),"")</f>
        <v>1.3588307427169987E-3</v>
      </c>
    </row>
    <row r="234" spans="1:16" x14ac:dyDescent="0.45">
      <c r="A234" t="s">
        <v>51</v>
      </c>
      <c r="B234" t="s">
        <v>104</v>
      </c>
      <c r="C234" s="26">
        <f>SUMIFS(INDEX(元データ_加工!$C$2:$P$700,0,MATCH($B234,元データ_加工!$C$1:$P$1,0)),元データ_加工!$A$2:$A$700,$A234,元データ_加工!$B$2:$B$700,C$5)</f>
        <v>46</v>
      </c>
      <c r="D234" s="26">
        <f>SUMIFS(INDEX(元データ_加工!$C$2:$P$700,0,MATCH($B234,元データ_加工!$C$1:$P$1,0)),元データ_加工!$A$2:$A$700,$A234,元データ_加工!$B$2:$B$700,D$5)</f>
        <v>28</v>
      </c>
      <c r="E234" s="26">
        <f>SUMIFS(INDEX(元データ_加工!$C$2:$P$700,0,MATCH($B234,元データ_加工!$C$1:$P$1,0)),元データ_加工!$A$2:$A$700,$A234,元データ_加工!$B$2:$B$700,E$5)</f>
        <v>35</v>
      </c>
      <c r="F234" s="26">
        <f>SUMIFS(INDEX(元データ_加工!$C$2:$P$700,0,MATCH($B234,元データ_加工!$C$1:$P$1,0)),元データ_加工!$A$2:$A$700,$A234,元データ_加工!$B$2:$B$700,F$5)</f>
        <v>37</v>
      </c>
      <c r="G234" s="26">
        <f>SUMIFS(INDEX(元データ_加工!$C$2:$P$700,0,MATCH($B234,元データ_加工!$C$1:$P$1,0)),元データ_加工!$A$2:$A$700,$A234,元データ_加工!$B$2:$B$700,G$5)</f>
        <v>60</v>
      </c>
      <c r="H234" s="26">
        <f>SUMIFS(INDEX(元データ_加工!$C$2:$P$700,0,MATCH($B234,元データ_加工!$C$1:$P$1,0)),元データ_加工!$A$2:$A$700,$A234,元データ_加工!$B$2:$B$700,H$5)</f>
        <v>28</v>
      </c>
      <c r="I234" s="26">
        <f>SUMIFS(INDEX(元データ_加工!$C$2:$P$700,0,MATCH($B234,元データ_加工!$C$1:$P$1,0)),元データ_加工!$A$2:$A$700,$A234,元データ_加工!$B$2:$B$700,I$5)</f>
        <v>46</v>
      </c>
      <c r="J234" s="26">
        <f>SUMIFS(INDEX(元データ_加工!$C$2:$P$700,0,MATCH($B234,元データ_加工!$C$1:$P$1,0)),元データ_加工!$A$2:$A$700,$A234,元データ_加工!$B$2:$B$700,J$5)</f>
        <v>82</v>
      </c>
      <c r="K234" s="26">
        <f>SUMIFS(INDEX(元データ_加工!$C$2:$P$700,0,MATCH($B234,元データ_加工!$C$1:$P$1,0)),元データ_加工!$A$2:$A$700,$A234,元データ_加工!$B$2:$B$700,K$5)</f>
        <v>128</v>
      </c>
      <c r="L234" s="26">
        <f>SUMIFS(INDEX(元データ_加工!$C$2:$P$700,0,MATCH($B234,元データ_加工!$C$1:$P$1,0)),元データ_加工!$A$2:$A$700,$A234,元データ_加工!$B$2:$B$700,L$5)</f>
        <v>98</v>
      </c>
      <c r="M234" s="26">
        <f>SUMIFS(INDEX(元データ_加工!$C$2:$P$700,0,MATCH($B234,元データ_加工!$C$1:$P$1,0)),元データ_加工!$A$2:$A$700,$A234,元データ_加工!$B$2:$B$700,M$5)</f>
        <v>83</v>
      </c>
      <c r="N234" s="26">
        <f>SUMIFS(INDEX(元データ_加工!$C$2:$P$700,0,MATCH($B234,元データ_加工!$C$1:$P$1,0)),元データ_加工!$A$2:$A$700,$A234,元データ_加工!$B$2:$B$700,N$5)</f>
        <v>40</v>
      </c>
      <c r="O234" s="26">
        <f t="shared" si="3"/>
        <v>711</v>
      </c>
      <c r="P234" s="7">
        <f>IFERROR(O234/SUMIFS(元データ_加工!$C$2:$C$700,元データ_加工!$A$2:$A$700,$A234),"")</f>
        <v>2.3564113611506978E-2</v>
      </c>
    </row>
    <row r="235" spans="1:16" x14ac:dyDescent="0.45">
      <c r="A235" t="s">
        <v>51</v>
      </c>
      <c r="B235" t="s">
        <v>105</v>
      </c>
      <c r="C235" s="26">
        <f>SUMIFS(INDEX(元データ_加工!$C$2:$P$700,0,MATCH($B235,元データ_加工!$C$1:$P$1,0)),元データ_加工!$A$2:$A$700,$A235,元データ_加工!$B$2:$B$700,C$5)</f>
        <v>2</v>
      </c>
      <c r="D235" s="26">
        <f>SUMIFS(INDEX(元データ_加工!$C$2:$P$700,0,MATCH($B235,元データ_加工!$C$1:$P$1,0)),元データ_加工!$A$2:$A$700,$A235,元データ_加工!$B$2:$B$700,D$5)</f>
        <v>4</v>
      </c>
      <c r="E235" s="26">
        <f>SUMIFS(INDEX(元データ_加工!$C$2:$P$700,0,MATCH($B235,元データ_加工!$C$1:$P$1,0)),元データ_加工!$A$2:$A$700,$A235,元データ_加工!$B$2:$B$700,E$5)</f>
        <v>2</v>
      </c>
      <c r="F235" s="26">
        <f>SUMIFS(INDEX(元データ_加工!$C$2:$P$700,0,MATCH($B235,元データ_加工!$C$1:$P$1,0)),元データ_加工!$A$2:$A$700,$A235,元データ_加工!$B$2:$B$700,F$5)</f>
        <v>23</v>
      </c>
      <c r="G235" s="26">
        <f>SUMIFS(INDEX(元データ_加工!$C$2:$P$700,0,MATCH($B235,元データ_加工!$C$1:$P$1,0)),元データ_加工!$A$2:$A$700,$A235,元データ_加工!$B$2:$B$700,G$5)</f>
        <v>5</v>
      </c>
      <c r="H235" s="26">
        <f>SUMIFS(INDEX(元データ_加工!$C$2:$P$700,0,MATCH($B235,元データ_加工!$C$1:$P$1,0)),元データ_加工!$A$2:$A$700,$A235,元データ_加工!$B$2:$B$700,H$5)</f>
        <v>0</v>
      </c>
      <c r="I235" s="26">
        <f>SUMIFS(INDEX(元データ_加工!$C$2:$P$700,0,MATCH($B235,元データ_加工!$C$1:$P$1,0)),元データ_加工!$A$2:$A$700,$A235,元データ_加工!$B$2:$B$700,I$5)</f>
        <v>8</v>
      </c>
      <c r="J235" s="26">
        <f>SUMIFS(INDEX(元データ_加工!$C$2:$P$700,0,MATCH($B235,元データ_加工!$C$1:$P$1,0)),元データ_加工!$A$2:$A$700,$A235,元データ_加工!$B$2:$B$700,J$5)</f>
        <v>28</v>
      </c>
      <c r="K235" s="26">
        <f>SUMIFS(INDEX(元データ_加工!$C$2:$P$700,0,MATCH($B235,元データ_加工!$C$1:$P$1,0)),元データ_加工!$A$2:$A$700,$A235,元データ_加工!$B$2:$B$700,K$5)</f>
        <v>38</v>
      </c>
      <c r="L235" s="26">
        <f>SUMIFS(INDEX(元データ_加工!$C$2:$P$700,0,MATCH($B235,元データ_加工!$C$1:$P$1,0)),元データ_加工!$A$2:$A$700,$A235,元データ_加工!$B$2:$B$700,L$5)</f>
        <v>45</v>
      </c>
      <c r="M235" s="26">
        <f>SUMIFS(INDEX(元データ_加工!$C$2:$P$700,0,MATCH($B235,元データ_加工!$C$1:$P$1,0)),元データ_加工!$A$2:$A$700,$A235,元データ_加工!$B$2:$B$700,M$5)</f>
        <v>12</v>
      </c>
      <c r="N235" s="26">
        <f>SUMIFS(INDEX(元データ_加工!$C$2:$P$700,0,MATCH($B235,元データ_加工!$C$1:$P$1,0)),元データ_加工!$A$2:$A$700,$A235,元データ_加工!$B$2:$B$700,N$5)</f>
        <v>20</v>
      </c>
      <c r="O235" s="26">
        <f t="shared" si="3"/>
        <v>187</v>
      </c>
      <c r="P235" s="7">
        <f>IFERROR(O235/SUMIFS(元データ_加工!$C$2:$C$700,元データ_加工!$A$2:$A$700,$A235),"")</f>
        <v>6.1975938753189939E-3</v>
      </c>
    </row>
    <row r="236" spans="1:16" x14ac:dyDescent="0.45">
      <c r="A236" t="s">
        <v>51</v>
      </c>
      <c r="B236" t="s">
        <v>106</v>
      </c>
      <c r="C236" s="26">
        <f>SUMIFS(INDEX(元データ_加工!$C$2:$P$700,0,MATCH($B236,元データ_加工!$C$1:$P$1,0)),元データ_加工!$A$2:$A$700,$A236,元データ_加工!$B$2:$B$700,C$5)</f>
        <v>175</v>
      </c>
      <c r="D236" s="26">
        <f>SUMIFS(INDEX(元データ_加工!$C$2:$P$700,0,MATCH($B236,元データ_加工!$C$1:$P$1,0)),元データ_加工!$A$2:$A$700,$A236,元データ_加工!$B$2:$B$700,D$5)</f>
        <v>184</v>
      </c>
      <c r="E236" s="26">
        <f>SUMIFS(INDEX(元データ_加工!$C$2:$P$700,0,MATCH($B236,元データ_加工!$C$1:$P$1,0)),元データ_加工!$A$2:$A$700,$A236,元データ_加工!$B$2:$B$700,E$5)</f>
        <v>140</v>
      </c>
      <c r="F236" s="26">
        <f>SUMIFS(INDEX(元データ_加工!$C$2:$P$700,0,MATCH($B236,元データ_加工!$C$1:$P$1,0)),元データ_加工!$A$2:$A$700,$A236,元データ_加工!$B$2:$B$700,F$5)</f>
        <v>187</v>
      </c>
      <c r="G236" s="26">
        <f>SUMIFS(INDEX(元データ_加工!$C$2:$P$700,0,MATCH($B236,元データ_加工!$C$1:$P$1,0)),元データ_加工!$A$2:$A$700,$A236,元データ_加工!$B$2:$B$700,G$5)</f>
        <v>188</v>
      </c>
      <c r="H236" s="26">
        <f>SUMIFS(INDEX(元データ_加工!$C$2:$P$700,0,MATCH($B236,元データ_加工!$C$1:$P$1,0)),元データ_加工!$A$2:$A$700,$A236,元データ_加工!$B$2:$B$700,H$5)</f>
        <v>59</v>
      </c>
      <c r="I236" s="26">
        <f>SUMIFS(INDEX(元データ_加工!$C$2:$P$700,0,MATCH($B236,元データ_加工!$C$1:$P$1,0)),元データ_加工!$A$2:$A$700,$A236,元データ_加工!$B$2:$B$700,I$5)</f>
        <v>101</v>
      </c>
      <c r="J236" s="26">
        <f>SUMIFS(INDEX(元データ_加工!$C$2:$P$700,0,MATCH($B236,元データ_加工!$C$1:$P$1,0)),元データ_加工!$A$2:$A$700,$A236,元データ_加工!$B$2:$B$700,J$5)</f>
        <v>144</v>
      </c>
      <c r="K236" s="26">
        <f>SUMIFS(INDEX(元データ_加工!$C$2:$P$700,0,MATCH($B236,元データ_加工!$C$1:$P$1,0)),元データ_加工!$A$2:$A$700,$A236,元データ_加工!$B$2:$B$700,K$5)</f>
        <v>211</v>
      </c>
      <c r="L236" s="26">
        <f>SUMIFS(INDEX(元データ_加工!$C$2:$P$700,0,MATCH($B236,元データ_加工!$C$1:$P$1,0)),元データ_加工!$A$2:$A$700,$A236,元データ_加工!$B$2:$B$700,L$5)</f>
        <v>163</v>
      </c>
      <c r="M236" s="26">
        <f>SUMIFS(INDEX(元データ_加工!$C$2:$P$700,0,MATCH($B236,元データ_加工!$C$1:$P$1,0)),元データ_加工!$A$2:$A$700,$A236,元データ_加工!$B$2:$B$700,M$5)</f>
        <v>197</v>
      </c>
      <c r="N236" s="26">
        <f>SUMIFS(INDEX(元データ_加工!$C$2:$P$700,0,MATCH($B236,元データ_加工!$C$1:$P$1,0)),元データ_加工!$A$2:$A$700,$A236,元データ_加工!$B$2:$B$700,N$5)</f>
        <v>251</v>
      </c>
      <c r="O236" s="26">
        <f t="shared" si="3"/>
        <v>2000</v>
      </c>
      <c r="P236" s="7">
        <f>IFERROR(O236/SUMIFS(元データ_加工!$C$2:$C$700,元データ_加工!$A$2:$A$700,$A236),"")</f>
        <v>6.628442647399993E-2</v>
      </c>
    </row>
    <row r="237" spans="1:16" x14ac:dyDescent="0.45">
      <c r="A237" t="s">
        <v>51</v>
      </c>
      <c r="B237" t="s">
        <v>107</v>
      </c>
      <c r="C237" s="26">
        <f>SUMIFS(INDEX(元データ_加工!$C$2:$P$700,0,MATCH($B237,元データ_加工!$C$1:$P$1,0)),元データ_加工!$A$2:$A$700,$A237,元データ_加工!$B$2:$B$700,C$5)</f>
        <v>69</v>
      </c>
      <c r="D237" s="26">
        <f>SUMIFS(INDEX(元データ_加工!$C$2:$P$700,0,MATCH($B237,元データ_加工!$C$1:$P$1,0)),元データ_加工!$A$2:$A$700,$A237,元データ_加工!$B$2:$B$700,D$5)</f>
        <v>89</v>
      </c>
      <c r="E237" s="26">
        <f>SUMIFS(INDEX(元データ_加工!$C$2:$P$700,0,MATCH($B237,元データ_加工!$C$1:$P$1,0)),元データ_加工!$A$2:$A$700,$A237,元データ_加工!$B$2:$B$700,E$5)</f>
        <v>37</v>
      </c>
      <c r="F237" s="26">
        <f>SUMIFS(INDEX(元データ_加工!$C$2:$P$700,0,MATCH($B237,元データ_加工!$C$1:$P$1,0)),元データ_加工!$A$2:$A$700,$A237,元データ_加工!$B$2:$B$700,F$5)</f>
        <v>28</v>
      </c>
      <c r="G237" s="26">
        <f>SUMIFS(INDEX(元データ_加工!$C$2:$P$700,0,MATCH($B237,元データ_加工!$C$1:$P$1,0)),元データ_加工!$A$2:$A$700,$A237,元データ_加工!$B$2:$B$700,G$5)</f>
        <v>17</v>
      </c>
      <c r="H237" s="26">
        <f>SUMIFS(INDEX(元データ_加工!$C$2:$P$700,0,MATCH($B237,元データ_加工!$C$1:$P$1,0)),元データ_加工!$A$2:$A$700,$A237,元データ_加工!$B$2:$B$700,H$5)</f>
        <v>18</v>
      </c>
      <c r="I237" s="26">
        <f>SUMIFS(INDEX(元データ_加工!$C$2:$P$700,0,MATCH($B237,元データ_加工!$C$1:$P$1,0)),元データ_加工!$A$2:$A$700,$A237,元データ_加工!$B$2:$B$700,I$5)</f>
        <v>23</v>
      </c>
      <c r="J237" s="26">
        <f>SUMIFS(INDEX(元データ_加工!$C$2:$P$700,0,MATCH($B237,元データ_加工!$C$1:$P$1,0)),元データ_加工!$A$2:$A$700,$A237,元データ_加工!$B$2:$B$700,J$5)</f>
        <v>26</v>
      </c>
      <c r="K237" s="26">
        <f>SUMIFS(INDEX(元データ_加工!$C$2:$P$700,0,MATCH($B237,元データ_加工!$C$1:$P$1,0)),元データ_加工!$A$2:$A$700,$A237,元データ_加工!$B$2:$B$700,K$5)</f>
        <v>11</v>
      </c>
      <c r="L237" s="26">
        <f>SUMIFS(INDEX(元データ_加工!$C$2:$P$700,0,MATCH($B237,元データ_加工!$C$1:$P$1,0)),元データ_加工!$A$2:$A$700,$A237,元データ_加工!$B$2:$B$700,L$5)</f>
        <v>20</v>
      </c>
      <c r="M237" s="26">
        <f>SUMIFS(INDEX(元データ_加工!$C$2:$P$700,0,MATCH($B237,元データ_加工!$C$1:$P$1,0)),元データ_加工!$A$2:$A$700,$A237,元データ_加工!$B$2:$B$700,M$5)</f>
        <v>24</v>
      </c>
      <c r="N237" s="26">
        <f>SUMIFS(INDEX(元データ_加工!$C$2:$P$700,0,MATCH($B237,元データ_加工!$C$1:$P$1,0)),元データ_加工!$A$2:$A$700,$A237,元データ_加工!$B$2:$B$700,N$5)</f>
        <v>50</v>
      </c>
      <c r="O237" s="26">
        <f t="shared" si="3"/>
        <v>412</v>
      </c>
      <c r="P237" s="7">
        <f>IFERROR(O237/SUMIFS(元データ_加工!$C$2:$C$700,元データ_加工!$A$2:$A$700,$A237),"")</f>
        <v>1.3654591853643986E-2</v>
      </c>
    </row>
    <row r="238" spans="1:16" x14ac:dyDescent="0.45">
      <c r="A238" t="s">
        <v>51</v>
      </c>
      <c r="B238" t="s">
        <v>108</v>
      </c>
      <c r="C238" s="26">
        <f>SUMIFS(INDEX(元データ_加工!$C$2:$P$700,0,MATCH($B238,元データ_加工!$C$1:$P$1,0)),元データ_加工!$A$2:$A$700,$A238,元データ_加工!$B$2:$B$700,C$5)</f>
        <v>0</v>
      </c>
      <c r="D238" s="26">
        <f>SUMIFS(INDEX(元データ_加工!$C$2:$P$700,0,MATCH($B238,元データ_加工!$C$1:$P$1,0)),元データ_加工!$A$2:$A$700,$A238,元データ_加工!$B$2:$B$700,D$5)</f>
        <v>11</v>
      </c>
      <c r="E238" s="26">
        <f>SUMIFS(INDEX(元データ_加工!$C$2:$P$700,0,MATCH($B238,元データ_加工!$C$1:$P$1,0)),元データ_加工!$A$2:$A$700,$A238,元データ_加工!$B$2:$B$700,E$5)</f>
        <v>28</v>
      </c>
      <c r="F238" s="26">
        <f>SUMIFS(INDEX(元データ_加工!$C$2:$P$700,0,MATCH($B238,元データ_加工!$C$1:$P$1,0)),元データ_加工!$A$2:$A$700,$A238,元データ_加工!$B$2:$B$700,F$5)</f>
        <v>39</v>
      </c>
      <c r="G238" s="26">
        <f>SUMIFS(INDEX(元データ_加工!$C$2:$P$700,0,MATCH($B238,元データ_加工!$C$1:$P$1,0)),元データ_加工!$A$2:$A$700,$A238,元データ_加工!$B$2:$B$700,G$5)</f>
        <v>7</v>
      </c>
      <c r="H238" s="26">
        <f>SUMIFS(INDEX(元データ_加工!$C$2:$P$700,0,MATCH($B238,元データ_加工!$C$1:$P$1,0)),元データ_加工!$A$2:$A$700,$A238,元データ_加工!$B$2:$B$700,H$5)</f>
        <v>6</v>
      </c>
      <c r="I238" s="26">
        <f>SUMIFS(INDEX(元データ_加工!$C$2:$P$700,0,MATCH($B238,元データ_加工!$C$1:$P$1,0)),元データ_加工!$A$2:$A$700,$A238,元データ_加工!$B$2:$B$700,I$5)</f>
        <v>16</v>
      </c>
      <c r="J238" s="26">
        <f>SUMIFS(INDEX(元データ_加工!$C$2:$P$700,0,MATCH($B238,元データ_加工!$C$1:$P$1,0)),元データ_加工!$A$2:$A$700,$A238,元データ_加工!$B$2:$B$700,J$5)</f>
        <v>11</v>
      </c>
      <c r="K238" s="26">
        <f>SUMIFS(INDEX(元データ_加工!$C$2:$P$700,0,MATCH($B238,元データ_加工!$C$1:$P$1,0)),元データ_加工!$A$2:$A$700,$A238,元データ_加工!$B$2:$B$700,K$5)</f>
        <v>0</v>
      </c>
      <c r="L238" s="26">
        <f>SUMIFS(INDEX(元データ_加工!$C$2:$P$700,0,MATCH($B238,元データ_加工!$C$1:$P$1,0)),元データ_加工!$A$2:$A$700,$A238,元データ_加工!$B$2:$B$700,L$5)</f>
        <v>0</v>
      </c>
      <c r="M238" s="26">
        <f>SUMIFS(INDEX(元データ_加工!$C$2:$P$700,0,MATCH($B238,元データ_加工!$C$1:$P$1,0)),元データ_加工!$A$2:$A$700,$A238,元データ_加工!$B$2:$B$700,M$5)</f>
        <v>0</v>
      </c>
      <c r="N238" s="26">
        <f>SUMIFS(INDEX(元データ_加工!$C$2:$P$700,0,MATCH($B238,元データ_加工!$C$1:$P$1,0)),元データ_加工!$A$2:$A$700,$A238,元データ_加工!$B$2:$B$700,N$5)</f>
        <v>7</v>
      </c>
      <c r="O238" s="26">
        <f t="shared" si="3"/>
        <v>125</v>
      </c>
      <c r="P238" s="7">
        <f>IFERROR(O238/SUMIFS(元データ_加工!$C$2:$C$700,元データ_加工!$A$2:$A$700,$A238),"")</f>
        <v>4.1427766546249956E-3</v>
      </c>
    </row>
    <row r="239" spans="1:16" x14ac:dyDescent="0.45">
      <c r="A239" t="s">
        <v>51</v>
      </c>
      <c r="B239" t="s">
        <v>109</v>
      </c>
      <c r="C239" s="26">
        <f>SUMIFS(INDEX(元データ_加工!$C$2:$P$700,0,MATCH($B239,元データ_加工!$C$1:$P$1,0)),元データ_加工!$A$2:$A$700,$A239,元データ_加工!$B$2:$B$700,C$5)</f>
        <v>21</v>
      </c>
      <c r="D239" s="26">
        <f>SUMIFS(INDEX(元データ_加工!$C$2:$P$700,0,MATCH($B239,元データ_加工!$C$1:$P$1,0)),元データ_加工!$A$2:$A$700,$A239,元データ_加工!$B$2:$B$700,D$5)</f>
        <v>37</v>
      </c>
      <c r="E239" s="26">
        <f>SUMIFS(INDEX(元データ_加工!$C$2:$P$700,0,MATCH($B239,元データ_加工!$C$1:$P$1,0)),元データ_加工!$A$2:$A$700,$A239,元データ_加工!$B$2:$B$700,E$5)</f>
        <v>18</v>
      </c>
      <c r="F239" s="26">
        <f>SUMIFS(INDEX(元データ_加工!$C$2:$P$700,0,MATCH($B239,元データ_加工!$C$1:$P$1,0)),元データ_加工!$A$2:$A$700,$A239,元データ_加工!$B$2:$B$700,F$5)</f>
        <v>33</v>
      </c>
      <c r="G239" s="26">
        <f>SUMIFS(INDEX(元データ_加工!$C$2:$P$700,0,MATCH($B239,元データ_加工!$C$1:$P$1,0)),元データ_加工!$A$2:$A$700,$A239,元データ_加工!$B$2:$B$700,G$5)</f>
        <v>6</v>
      </c>
      <c r="H239" s="26">
        <f>SUMIFS(INDEX(元データ_加工!$C$2:$P$700,0,MATCH($B239,元データ_加工!$C$1:$P$1,0)),元データ_加工!$A$2:$A$700,$A239,元データ_加工!$B$2:$B$700,H$5)</f>
        <v>43</v>
      </c>
      <c r="I239" s="26">
        <f>SUMIFS(INDEX(元データ_加工!$C$2:$P$700,0,MATCH($B239,元データ_加工!$C$1:$P$1,0)),元データ_加工!$A$2:$A$700,$A239,元データ_加工!$B$2:$B$700,I$5)</f>
        <v>47</v>
      </c>
      <c r="J239" s="26">
        <f>SUMIFS(INDEX(元データ_加工!$C$2:$P$700,0,MATCH($B239,元データ_加工!$C$1:$P$1,0)),元データ_加工!$A$2:$A$700,$A239,元データ_加工!$B$2:$B$700,J$5)</f>
        <v>32</v>
      </c>
      <c r="K239" s="26">
        <f>SUMIFS(INDEX(元データ_加工!$C$2:$P$700,0,MATCH($B239,元データ_加工!$C$1:$P$1,0)),元データ_加工!$A$2:$A$700,$A239,元データ_加工!$B$2:$B$700,K$5)</f>
        <v>16</v>
      </c>
      <c r="L239" s="26">
        <f>SUMIFS(INDEX(元データ_加工!$C$2:$P$700,0,MATCH($B239,元データ_加工!$C$1:$P$1,0)),元データ_加工!$A$2:$A$700,$A239,元データ_加工!$B$2:$B$700,L$5)</f>
        <v>18</v>
      </c>
      <c r="M239" s="26">
        <f>SUMIFS(INDEX(元データ_加工!$C$2:$P$700,0,MATCH($B239,元データ_加工!$C$1:$P$1,0)),元データ_加工!$A$2:$A$700,$A239,元データ_加工!$B$2:$B$700,M$5)</f>
        <v>37</v>
      </c>
      <c r="N239" s="26">
        <f>SUMIFS(INDEX(元データ_加工!$C$2:$P$700,0,MATCH($B239,元データ_加工!$C$1:$P$1,0)),元データ_加工!$A$2:$A$700,$A239,元データ_加工!$B$2:$B$700,N$5)</f>
        <v>41</v>
      </c>
      <c r="O239" s="26">
        <f t="shared" si="3"/>
        <v>349</v>
      </c>
      <c r="P239" s="7">
        <f>IFERROR(O239/SUMIFS(元データ_加工!$C$2:$C$700,元データ_加工!$A$2:$A$700,$A239),"")</f>
        <v>1.1566632419712989E-2</v>
      </c>
    </row>
    <row r="240" spans="1:16" x14ac:dyDescent="0.45">
      <c r="A240" t="s">
        <v>51</v>
      </c>
      <c r="B240" t="s">
        <v>110</v>
      </c>
      <c r="C240" s="26">
        <f>SUMIFS(INDEX(元データ_加工!$C$2:$P$700,0,MATCH($B240,元データ_加工!$C$1:$P$1,0)),元データ_加工!$A$2:$A$700,$A240,元データ_加工!$B$2:$B$700,C$5)</f>
        <v>0</v>
      </c>
      <c r="D240" s="26">
        <f>SUMIFS(INDEX(元データ_加工!$C$2:$P$700,0,MATCH($B240,元データ_加工!$C$1:$P$1,0)),元データ_加工!$A$2:$A$700,$A240,元データ_加工!$B$2:$B$700,D$5)</f>
        <v>0</v>
      </c>
      <c r="E240" s="26">
        <f>SUMIFS(INDEX(元データ_加工!$C$2:$P$700,0,MATCH($B240,元データ_加工!$C$1:$P$1,0)),元データ_加工!$A$2:$A$700,$A240,元データ_加工!$B$2:$B$700,E$5)</f>
        <v>0</v>
      </c>
      <c r="F240" s="26">
        <f>SUMIFS(INDEX(元データ_加工!$C$2:$P$700,0,MATCH($B240,元データ_加工!$C$1:$P$1,0)),元データ_加工!$A$2:$A$700,$A240,元データ_加工!$B$2:$B$700,F$5)</f>
        <v>0</v>
      </c>
      <c r="G240" s="26">
        <f>SUMIFS(INDEX(元データ_加工!$C$2:$P$700,0,MATCH($B240,元データ_加工!$C$1:$P$1,0)),元データ_加工!$A$2:$A$700,$A240,元データ_加工!$B$2:$B$700,G$5)</f>
        <v>0</v>
      </c>
      <c r="H240" s="26">
        <f>SUMIFS(INDEX(元データ_加工!$C$2:$P$700,0,MATCH($B240,元データ_加工!$C$1:$P$1,0)),元データ_加工!$A$2:$A$700,$A240,元データ_加工!$B$2:$B$700,H$5)</f>
        <v>0</v>
      </c>
      <c r="I240" s="26">
        <f>SUMIFS(INDEX(元データ_加工!$C$2:$P$700,0,MATCH($B240,元データ_加工!$C$1:$P$1,0)),元データ_加工!$A$2:$A$700,$A240,元データ_加工!$B$2:$B$700,I$5)</f>
        <v>0</v>
      </c>
      <c r="J240" s="26">
        <f>SUMIFS(INDEX(元データ_加工!$C$2:$P$700,0,MATCH($B240,元データ_加工!$C$1:$P$1,0)),元データ_加工!$A$2:$A$700,$A240,元データ_加工!$B$2:$B$700,J$5)</f>
        <v>0</v>
      </c>
      <c r="K240" s="26">
        <f>SUMIFS(INDEX(元データ_加工!$C$2:$P$700,0,MATCH($B240,元データ_加工!$C$1:$P$1,0)),元データ_加工!$A$2:$A$700,$A240,元データ_加工!$B$2:$B$700,K$5)</f>
        <v>0</v>
      </c>
      <c r="L240" s="26">
        <f>SUMIFS(INDEX(元データ_加工!$C$2:$P$700,0,MATCH($B240,元データ_加工!$C$1:$P$1,0)),元データ_加工!$A$2:$A$700,$A240,元データ_加工!$B$2:$B$700,L$5)</f>
        <v>0</v>
      </c>
      <c r="M240" s="26">
        <f>SUMIFS(INDEX(元データ_加工!$C$2:$P$700,0,MATCH($B240,元データ_加工!$C$1:$P$1,0)),元データ_加工!$A$2:$A$700,$A240,元データ_加工!$B$2:$B$700,M$5)</f>
        <v>0</v>
      </c>
      <c r="N240" s="26">
        <f>SUMIFS(INDEX(元データ_加工!$C$2:$P$700,0,MATCH($B240,元データ_加工!$C$1:$P$1,0)),元データ_加工!$A$2:$A$700,$A240,元データ_加工!$B$2:$B$700,N$5)</f>
        <v>0</v>
      </c>
      <c r="O240" s="26">
        <f t="shared" si="3"/>
        <v>0</v>
      </c>
      <c r="P240" s="7">
        <f>IFERROR(O240/SUMIFS(元データ_加工!$C$2:$C$700,元データ_加工!$A$2:$A$700,$A240),"")</f>
        <v>0</v>
      </c>
    </row>
    <row r="241" spans="1:16" x14ac:dyDescent="0.45">
      <c r="A241" t="s">
        <v>51</v>
      </c>
      <c r="B241" t="s">
        <v>111</v>
      </c>
      <c r="C241" s="26">
        <f>SUMIFS(INDEX(元データ_加工!$C$2:$P$700,0,MATCH($B241,元データ_加工!$C$1:$P$1,0)),元データ_加工!$A$2:$A$700,$A241,元データ_加工!$B$2:$B$700,C$5)</f>
        <v>0</v>
      </c>
      <c r="D241" s="26">
        <f>SUMIFS(INDEX(元データ_加工!$C$2:$P$700,0,MATCH($B241,元データ_加工!$C$1:$P$1,0)),元データ_加工!$A$2:$A$700,$A241,元データ_加工!$B$2:$B$700,D$5)</f>
        <v>0</v>
      </c>
      <c r="E241" s="26">
        <f>SUMIFS(INDEX(元データ_加工!$C$2:$P$700,0,MATCH($B241,元データ_加工!$C$1:$P$1,0)),元データ_加工!$A$2:$A$700,$A241,元データ_加工!$B$2:$B$700,E$5)</f>
        <v>0</v>
      </c>
      <c r="F241" s="26">
        <f>SUMIFS(INDEX(元データ_加工!$C$2:$P$700,0,MATCH($B241,元データ_加工!$C$1:$P$1,0)),元データ_加工!$A$2:$A$700,$A241,元データ_加工!$B$2:$B$700,F$5)</f>
        <v>0</v>
      </c>
      <c r="G241" s="26">
        <f>SUMIFS(INDEX(元データ_加工!$C$2:$P$700,0,MATCH($B241,元データ_加工!$C$1:$P$1,0)),元データ_加工!$A$2:$A$700,$A241,元データ_加工!$B$2:$B$700,G$5)</f>
        <v>0</v>
      </c>
      <c r="H241" s="26">
        <f>SUMIFS(INDEX(元データ_加工!$C$2:$P$700,0,MATCH($B241,元データ_加工!$C$1:$P$1,0)),元データ_加工!$A$2:$A$700,$A241,元データ_加工!$B$2:$B$700,H$5)</f>
        <v>0</v>
      </c>
      <c r="I241" s="26">
        <f>SUMIFS(INDEX(元データ_加工!$C$2:$P$700,0,MATCH($B241,元データ_加工!$C$1:$P$1,0)),元データ_加工!$A$2:$A$700,$A241,元データ_加工!$B$2:$B$700,I$5)</f>
        <v>0</v>
      </c>
      <c r="J241" s="26">
        <f>SUMIFS(INDEX(元データ_加工!$C$2:$P$700,0,MATCH($B241,元データ_加工!$C$1:$P$1,0)),元データ_加工!$A$2:$A$700,$A241,元データ_加工!$B$2:$B$700,J$5)</f>
        <v>0</v>
      </c>
      <c r="K241" s="26">
        <f>SUMIFS(INDEX(元データ_加工!$C$2:$P$700,0,MATCH($B241,元データ_加工!$C$1:$P$1,0)),元データ_加工!$A$2:$A$700,$A241,元データ_加工!$B$2:$B$700,K$5)</f>
        <v>2</v>
      </c>
      <c r="L241" s="26">
        <f>SUMIFS(INDEX(元データ_加工!$C$2:$P$700,0,MATCH($B241,元データ_加工!$C$1:$P$1,0)),元データ_加工!$A$2:$A$700,$A241,元データ_加工!$B$2:$B$700,L$5)</f>
        <v>0</v>
      </c>
      <c r="M241" s="26">
        <f>SUMIFS(INDEX(元データ_加工!$C$2:$P$700,0,MATCH($B241,元データ_加工!$C$1:$P$1,0)),元データ_加工!$A$2:$A$700,$A241,元データ_加工!$B$2:$B$700,M$5)</f>
        <v>0</v>
      </c>
      <c r="N241" s="26">
        <f>SUMIFS(INDEX(元データ_加工!$C$2:$P$700,0,MATCH($B241,元データ_加工!$C$1:$P$1,0)),元データ_加工!$A$2:$A$700,$A241,元データ_加工!$B$2:$B$700,N$5)</f>
        <v>0</v>
      </c>
      <c r="O241" s="26">
        <f t="shared" si="3"/>
        <v>2</v>
      </c>
      <c r="P241" s="7">
        <f>IFERROR(O241/SUMIFS(元データ_加工!$C$2:$C$700,元データ_加工!$A$2:$A$700,$A241),"")</f>
        <v>6.6284426473999932E-5</v>
      </c>
    </row>
    <row r="242" spans="1:16" x14ac:dyDescent="0.45">
      <c r="A242" t="s">
        <v>51</v>
      </c>
      <c r="B242" t="s">
        <v>112</v>
      </c>
      <c r="C242" s="26">
        <f>SUMIFS(INDEX(元データ_加工!$C$2:$P$700,0,MATCH($B242,元データ_加工!$C$1:$P$1,0)),元データ_加工!$A$2:$A$700,$A242,元データ_加工!$B$2:$B$700,C$5)</f>
        <v>0</v>
      </c>
      <c r="D242" s="26">
        <f>SUMIFS(INDEX(元データ_加工!$C$2:$P$700,0,MATCH($B242,元データ_加工!$C$1:$P$1,0)),元データ_加工!$A$2:$A$700,$A242,元データ_加工!$B$2:$B$700,D$5)</f>
        <v>0</v>
      </c>
      <c r="E242" s="26">
        <f>SUMIFS(INDEX(元データ_加工!$C$2:$P$700,0,MATCH($B242,元データ_加工!$C$1:$P$1,0)),元データ_加工!$A$2:$A$700,$A242,元データ_加工!$B$2:$B$700,E$5)</f>
        <v>0</v>
      </c>
      <c r="F242" s="26">
        <f>SUMIFS(INDEX(元データ_加工!$C$2:$P$700,0,MATCH($B242,元データ_加工!$C$1:$P$1,0)),元データ_加工!$A$2:$A$700,$A242,元データ_加工!$B$2:$B$700,F$5)</f>
        <v>0</v>
      </c>
      <c r="G242" s="26">
        <f>SUMIFS(INDEX(元データ_加工!$C$2:$P$700,0,MATCH($B242,元データ_加工!$C$1:$P$1,0)),元データ_加工!$A$2:$A$700,$A242,元データ_加工!$B$2:$B$700,G$5)</f>
        <v>0</v>
      </c>
      <c r="H242" s="26">
        <f>SUMIFS(INDEX(元データ_加工!$C$2:$P$700,0,MATCH($B242,元データ_加工!$C$1:$P$1,0)),元データ_加工!$A$2:$A$700,$A242,元データ_加工!$B$2:$B$700,H$5)</f>
        <v>0</v>
      </c>
      <c r="I242" s="26">
        <f>SUMIFS(INDEX(元データ_加工!$C$2:$P$700,0,MATCH($B242,元データ_加工!$C$1:$P$1,0)),元データ_加工!$A$2:$A$700,$A242,元データ_加工!$B$2:$B$700,I$5)</f>
        <v>0</v>
      </c>
      <c r="J242" s="26">
        <f>SUMIFS(INDEX(元データ_加工!$C$2:$P$700,0,MATCH($B242,元データ_加工!$C$1:$P$1,0)),元データ_加工!$A$2:$A$700,$A242,元データ_加工!$B$2:$B$700,J$5)</f>
        <v>0</v>
      </c>
      <c r="K242" s="26">
        <f>SUMIFS(INDEX(元データ_加工!$C$2:$P$700,0,MATCH($B242,元データ_加工!$C$1:$P$1,0)),元データ_加工!$A$2:$A$700,$A242,元データ_加工!$B$2:$B$700,K$5)</f>
        <v>1</v>
      </c>
      <c r="L242" s="26">
        <f>SUMIFS(INDEX(元データ_加工!$C$2:$P$700,0,MATCH($B242,元データ_加工!$C$1:$P$1,0)),元データ_加工!$A$2:$A$700,$A242,元データ_加工!$B$2:$B$700,L$5)</f>
        <v>0</v>
      </c>
      <c r="M242" s="26">
        <f>SUMIFS(INDEX(元データ_加工!$C$2:$P$700,0,MATCH($B242,元データ_加工!$C$1:$P$1,0)),元データ_加工!$A$2:$A$700,$A242,元データ_加工!$B$2:$B$700,M$5)</f>
        <v>0</v>
      </c>
      <c r="N242" s="26">
        <f>SUMIFS(INDEX(元データ_加工!$C$2:$P$700,0,MATCH($B242,元データ_加工!$C$1:$P$1,0)),元データ_加工!$A$2:$A$700,$A242,元データ_加工!$B$2:$B$700,N$5)</f>
        <v>0</v>
      </c>
      <c r="O242" s="26">
        <f t="shared" si="3"/>
        <v>1</v>
      </c>
      <c r="P242" s="7">
        <f>IFERROR(O242/SUMIFS(元データ_加工!$C$2:$C$700,元データ_加工!$A$2:$A$700,$A242),"")</f>
        <v>3.3142213236999966E-5</v>
      </c>
    </row>
    <row r="243" spans="1:16" x14ac:dyDescent="0.45">
      <c r="A243" t="s">
        <v>51</v>
      </c>
      <c r="B243" t="s">
        <v>113</v>
      </c>
      <c r="C243" s="26">
        <f>SUMIFS(INDEX(元データ_加工!$C$2:$P$700,0,MATCH($B243,元データ_加工!$C$1:$P$1,0)),元データ_加工!$A$2:$A$700,$A243,元データ_加工!$B$2:$B$700,C$5)</f>
        <v>0</v>
      </c>
      <c r="D243" s="26">
        <f>SUMIFS(INDEX(元データ_加工!$C$2:$P$700,0,MATCH($B243,元データ_加工!$C$1:$P$1,0)),元データ_加工!$A$2:$A$700,$A243,元データ_加工!$B$2:$B$700,D$5)</f>
        <v>0</v>
      </c>
      <c r="E243" s="26">
        <f>SUMIFS(INDEX(元データ_加工!$C$2:$P$700,0,MATCH($B243,元データ_加工!$C$1:$P$1,0)),元データ_加工!$A$2:$A$700,$A243,元データ_加工!$B$2:$B$700,E$5)</f>
        <v>1</v>
      </c>
      <c r="F243" s="26">
        <f>SUMIFS(INDEX(元データ_加工!$C$2:$P$700,0,MATCH($B243,元データ_加工!$C$1:$P$1,0)),元データ_加工!$A$2:$A$700,$A243,元データ_加工!$B$2:$B$700,F$5)</f>
        <v>5</v>
      </c>
      <c r="G243" s="26">
        <f>SUMIFS(INDEX(元データ_加工!$C$2:$P$700,0,MATCH($B243,元データ_加工!$C$1:$P$1,0)),元データ_加工!$A$2:$A$700,$A243,元データ_加工!$B$2:$B$700,G$5)</f>
        <v>18</v>
      </c>
      <c r="H243" s="26">
        <f>SUMIFS(INDEX(元データ_加工!$C$2:$P$700,0,MATCH($B243,元データ_加工!$C$1:$P$1,0)),元データ_加工!$A$2:$A$700,$A243,元データ_加工!$B$2:$B$700,H$5)</f>
        <v>13</v>
      </c>
      <c r="I243" s="26">
        <f>SUMIFS(INDEX(元データ_加工!$C$2:$P$700,0,MATCH($B243,元データ_加工!$C$1:$P$1,0)),元データ_加工!$A$2:$A$700,$A243,元データ_加工!$B$2:$B$700,I$5)</f>
        <v>4</v>
      </c>
      <c r="J243" s="26">
        <f>SUMIFS(INDEX(元データ_加工!$C$2:$P$700,0,MATCH($B243,元データ_加工!$C$1:$P$1,0)),元データ_加工!$A$2:$A$700,$A243,元データ_加工!$B$2:$B$700,J$5)</f>
        <v>7</v>
      </c>
      <c r="K243" s="26">
        <f>SUMIFS(INDEX(元データ_加工!$C$2:$P$700,0,MATCH($B243,元データ_加工!$C$1:$P$1,0)),元データ_加工!$A$2:$A$700,$A243,元データ_加工!$B$2:$B$700,K$5)</f>
        <v>0</v>
      </c>
      <c r="L243" s="26">
        <f>SUMIFS(INDEX(元データ_加工!$C$2:$P$700,0,MATCH($B243,元データ_加工!$C$1:$P$1,0)),元データ_加工!$A$2:$A$700,$A243,元データ_加工!$B$2:$B$700,L$5)</f>
        <v>13</v>
      </c>
      <c r="M243" s="26">
        <f>SUMIFS(INDEX(元データ_加工!$C$2:$P$700,0,MATCH($B243,元データ_加工!$C$1:$P$1,0)),元データ_加工!$A$2:$A$700,$A243,元データ_加工!$B$2:$B$700,M$5)</f>
        <v>10</v>
      </c>
      <c r="N243" s="26">
        <f>SUMIFS(INDEX(元データ_加工!$C$2:$P$700,0,MATCH($B243,元データ_加工!$C$1:$P$1,0)),元データ_加工!$A$2:$A$700,$A243,元データ_加工!$B$2:$B$700,N$5)</f>
        <v>6</v>
      </c>
      <c r="O243" s="26">
        <f t="shared" si="3"/>
        <v>77</v>
      </c>
      <c r="P243" s="7">
        <f>IFERROR(O243/SUMIFS(元データ_加工!$C$2:$C$700,元データ_加工!$A$2:$A$700,$A243),"")</f>
        <v>2.5519504192489974E-3</v>
      </c>
    </row>
    <row r="244" spans="1:16" x14ac:dyDescent="0.45">
      <c r="A244" t="s">
        <v>52</v>
      </c>
      <c r="B244" t="s">
        <v>100</v>
      </c>
      <c r="C244" s="26">
        <f>SUMIFS(INDEX(元データ_加工!$C$2:$P$700,0,MATCH($B244,元データ_加工!$C$1:$P$1,0)),元データ_加工!$A$2:$A$700,$A244,元データ_加工!$B$2:$B$700,C$5)</f>
        <v>741</v>
      </c>
      <c r="D244" s="26">
        <f>SUMIFS(INDEX(元データ_加工!$C$2:$P$700,0,MATCH($B244,元データ_加工!$C$1:$P$1,0)),元データ_加工!$A$2:$A$700,$A244,元データ_加工!$B$2:$B$700,D$5)</f>
        <v>807</v>
      </c>
      <c r="E244" s="26">
        <f>SUMIFS(INDEX(元データ_加工!$C$2:$P$700,0,MATCH($B244,元データ_加工!$C$1:$P$1,0)),元データ_加工!$A$2:$A$700,$A244,元データ_加工!$B$2:$B$700,E$5)</f>
        <v>1324</v>
      </c>
      <c r="F244" s="26">
        <f>SUMIFS(INDEX(元データ_加工!$C$2:$P$700,0,MATCH($B244,元データ_加工!$C$1:$P$1,0)),元データ_加工!$A$2:$A$700,$A244,元データ_加工!$B$2:$B$700,F$5)</f>
        <v>869</v>
      </c>
      <c r="G244" s="26">
        <f>SUMIFS(INDEX(元データ_加工!$C$2:$P$700,0,MATCH($B244,元データ_加工!$C$1:$P$1,0)),元データ_加工!$A$2:$A$700,$A244,元データ_加工!$B$2:$B$700,G$5)</f>
        <v>1068</v>
      </c>
      <c r="H244" s="26">
        <f>SUMIFS(INDEX(元データ_加工!$C$2:$P$700,0,MATCH($B244,元データ_加工!$C$1:$P$1,0)),元データ_加工!$A$2:$A$700,$A244,元データ_加工!$B$2:$B$700,H$5)</f>
        <v>679</v>
      </c>
      <c r="I244" s="26">
        <f>SUMIFS(INDEX(元データ_加工!$C$2:$P$700,0,MATCH($B244,元データ_加工!$C$1:$P$1,0)),元データ_加工!$A$2:$A$700,$A244,元データ_加工!$B$2:$B$700,I$5)</f>
        <v>558</v>
      </c>
      <c r="J244" s="26">
        <f>SUMIFS(INDEX(元データ_加工!$C$2:$P$700,0,MATCH($B244,元データ_加工!$C$1:$P$1,0)),元データ_加工!$A$2:$A$700,$A244,元データ_加工!$B$2:$B$700,J$5)</f>
        <v>1485</v>
      </c>
      <c r="K244" s="26">
        <f>SUMIFS(INDEX(元データ_加工!$C$2:$P$700,0,MATCH($B244,元データ_加工!$C$1:$P$1,0)),元データ_加工!$A$2:$A$700,$A244,元データ_加工!$B$2:$B$700,K$5)</f>
        <v>2302</v>
      </c>
      <c r="L244" s="26">
        <f>SUMIFS(INDEX(元データ_加工!$C$2:$P$700,0,MATCH($B244,元データ_加工!$C$1:$P$1,0)),元データ_加工!$A$2:$A$700,$A244,元データ_加工!$B$2:$B$700,L$5)</f>
        <v>1391</v>
      </c>
      <c r="M244" s="26">
        <f>SUMIFS(INDEX(元データ_加工!$C$2:$P$700,0,MATCH($B244,元データ_加工!$C$1:$P$1,0)),元データ_加工!$A$2:$A$700,$A244,元データ_加工!$B$2:$B$700,M$5)</f>
        <v>1506</v>
      </c>
      <c r="N244" s="26">
        <f>SUMIFS(INDEX(元データ_加工!$C$2:$P$700,0,MATCH($B244,元データ_加工!$C$1:$P$1,0)),元データ_加工!$A$2:$A$700,$A244,元データ_加工!$B$2:$B$700,N$5)</f>
        <v>985</v>
      </c>
      <c r="O244" s="26">
        <f t="shared" si="3"/>
        <v>13715</v>
      </c>
      <c r="P244" s="7">
        <f>IFERROR(O244/SUMIFS(元データ_加工!$C$2:$C$700,元データ_加工!$A$2:$A$700,$A244),"")</f>
        <v>1</v>
      </c>
    </row>
    <row r="245" spans="1:16" x14ac:dyDescent="0.45">
      <c r="A245" t="s">
        <v>52</v>
      </c>
      <c r="B245" t="s">
        <v>101</v>
      </c>
      <c r="C245" s="26">
        <f>SUMIFS(INDEX(元データ_加工!$C$2:$P$700,0,MATCH($B245,元データ_加工!$C$1:$P$1,0)),元データ_加工!$A$2:$A$700,$A245,元データ_加工!$B$2:$B$700,C$5)</f>
        <v>367</v>
      </c>
      <c r="D245" s="26">
        <f>SUMIFS(INDEX(元データ_加工!$C$2:$P$700,0,MATCH($B245,元データ_加工!$C$1:$P$1,0)),元データ_加工!$A$2:$A$700,$A245,元データ_加工!$B$2:$B$700,D$5)</f>
        <v>357</v>
      </c>
      <c r="E245" s="26">
        <f>SUMIFS(INDEX(元データ_加工!$C$2:$P$700,0,MATCH($B245,元データ_加工!$C$1:$P$1,0)),元データ_加工!$A$2:$A$700,$A245,元データ_加工!$B$2:$B$700,E$5)</f>
        <v>461</v>
      </c>
      <c r="F245" s="26">
        <f>SUMIFS(INDEX(元データ_加工!$C$2:$P$700,0,MATCH($B245,元データ_加工!$C$1:$P$1,0)),元データ_加工!$A$2:$A$700,$A245,元データ_加工!$B$2:$B$700,F$5)</f>
        <v>377</v>
      </c>
      <c r="G245" s="26">
        <f>SUMIFS(INDEX(元データ_加工!$C$2:$P$700,0,MATCH($B245,元データ_加工!$C$1:$P$1,0)),元データ_加工!$A$2:$A$700,$A245,元データ_加工!$B$2:$B$700,G$5)</f>
        <v>368</v>
      </c>
      <c r="H245" s="26">
        <f>SUMIFS(INDEX(元データ_加工!$C$2:$P$700,0,MATCH($B245,元データ_加工!$C$1:$P$1,0)),元データ_加工!$A$2:$A$700,$A245,元データ_加工!$B$2:$B$700,H$5)</f>
        <v>330</v>
      </c>
      <c r="I245" s="26">
        <f>SUMIFS(INDEX(元データ_加工!$C$2:$P$700,0,MATCH($B245,元データ_加工!$C$1:$P$1,0)),元データ_加工!$A$2:$A$700,$A245,元データ_加工!$B$2:$B$700,I$5)</f>
        <v>297</v>
      </c>
      <c r="J245" s="26">
        <f>SUMIFS(INDEX(元データ_加工!$C$2:$P$700,0,MATCH($B245,元データ_加工!$C$1:$P$1,0)),元データ_加工!$A$2:$A$700,$A245,元データ_加工!$B$2:$B$700,J$5)</f>
        <v>378</v>
      </c>
      <c r="K245" s="26">
        <f>SUMIFS(INDEX(元データ_加工!$C$2:$P$700,0,MATCH($B245,元データ_加工!$C$1:$P$1,0)),元データ_加工!$A$2:$A$700,$A245,元データ_加工!$B$2:$B$700,K$5)</f>
        <v>333</v>
      </c>
      <c r="L245" s="26">
        <f>SUMIFS(INDEX(元データ_加工!$C$2:$P$700,0,MATCH($B245,元データ_加工!$C$1:$P$1,0)),元データ_加工!$A$2:$A$700,$A245,元データ_加工!$B$2:$B$700,L$5)</f>
        <v>318</v>
      </c>
      <c r="M245" s="26">
        <f>SUMIFS(INDEX(元データ_加工!$C$2:$P$700,0,MATCH($B245,元データ_加工!$C$1:$P$1,0)),元データ_加工!$A$2:$A$700,$A245,元データ_加工!$B$2:$B$700,M$5)</f>
        <v>358</v>
      </c>
      <c r="N245" s="26">
        <f>SUMIFS(INDEX(元データ_加工!$C$2:$P$700,0,MATCH($B245,元データ_加工!$C$1:$P$1,0)),元データ_加工!$A$2:$A$700,$A245,元データ_加工!$B$2:$B$700,N$5)</f>
        <v>352</v>
      </c>
      <c r="O245" s="26">
        <f t="shared" si="3"/>
        <v>4296</v>
      </c>
      <c r="P245" s="7">
        <f>IFERROR(O245/SUMIFS(元データ_加工!$C$2:$C$700,元データ_加工!$A$2:$A$700,$A245),"")</f>
        <v>0.31323368574553406</v>
      </c>
    </row>
    <row r="246" spans="1:16" x14ac:dyDescent="0.45">
      <c r="A246" t="s">
        <v>52</v>
      </c>
      <c r="B246" t="s">
        <v>102</v>
      </c>
      <c r="C246" s="26">
        <f>SUMIFS(INDEX(元データ_加工!$C$2:$P$700,0,MATCH($B246,元データ_加工!$C$1:$P$1,0)),元データ_加工!$A$2:$A$700,$A246,元データ_加工!$B$2:$B$700,C$5)</f>
        <v>0</v>
      </c>
      <c r="D246" s="26">
        <f>SUMIFS(INDEX(元データ_加工!$C$2:$P$700,0,MATCH($B246,元データ_加工!$C$1:$P$1,0)),元データ_加工!$A$2:$A$700,$A246,元データ_加工!$B$2:$B$700,D$5)</f>
        <v>0</v>
      </c>
      <c r="E246" s="26">
        <f>SUMIFS(INDEX(元データ_加工!$C$2:$P$700,0,MATCH($B246,元データ_加工!$C$1:$P$1,0)),元データ_加工!$A$2:$A$700,$A246,元データ_加工!$B$2:$B$700,E$5)</f>
        <v>0</v>
      </c>
      <c r="F246" s="26">
        <f>SUMIFS(INDEX(元データ_加工!$C$2:$P$700,0,MATCH($B246,元データ_加工!$C$1:$P$1,0)),元データ_加工!$A$2:$A$700,$A246,元データ_加工!$B$2:$B$700,F$5)</f>
        <v>0</v>
      </c>
      <c r="G246" s="26">
        <f>SUMIFS(INDEX(元データ_加工!$C$2:$P$700,0,MATCH($B246,元データ_加工!$C$1:$P$1,0)),元データ_加工!$A$2:$A$700,$A246,元データ_加工!$B$2:$B$700,G$5)</f>
        <v>0</v>
      </c>
      <c r="H246" s="26">
        <f>SUMIFS(INDEX(元データ_加工!$C$2:$P$700,0,MATCH($B246,元データ_加工!$C$1:$P$1,0)),元データ_加工!$A$2:$A$700,$A246,元データ_加工!$B$2:$B$700,H$5)</f>
        <v>0</v>
      </c>
      <c r="I246" s="26">
        <f>SUMIFS(INDEX(元データ_加工!$C$2:$P$700,0,MATCH($B246,元データ_加工!$C$1:$P$1,0)),元データ_加工!$A$2:$A$700,$A246,元データ_加工!$B$2:$B$700,I$5)</f>
        <v>0</v>
      </c>
      <c r="J246" s="26">
        <f>SUMIFS(INDEX(元データ_加工!$C$2:$P$700,0,MATCH($B246,元データ_加工!$C$1:$P$1,0)),元データ_加工!$A$2:$A$700,$A246,元データ_加工!$B$2:$B$700,J$5)</f>
        <v>2</v>
      </c>
      <c r="K246" s="26">
        <f>SUMIFS(INDEX(元データ_加工!$C$2:$P$700,0,MATCH($B246,元データ_加工!$C$1:$P$1,0)),元データ_加工!$A$2:$A$700,$A246,元データ_加工!$B$2:$B$700,K$5)</f>
        <v>0</v>
      </c>
      <c r="L246" s="26">
        <f>SUMIFS(INDEX(元データ_加工!$C$2:$P$700,0,MATCH($B246,元データ_加工!$C$1:$P$1,0)),元データ_加工!$A$2:$A$700,$A246,元データ_加工!$B$2:$B$700,L$5)</f>
        <v>0</v>
      </c>
      <c r="M246" s="26">
        <f>SUMIFS(INDEX(元データ_加工!$C$2:$P$700,0,MATCH($B246,元データ_加工!$C$1:$P$1,0)),元データ_加工!$A$2:$A$700,$A246,元データ_加工!$B$2:$B$700,M$5)</f>
        <v>0</v>
      </c>
      <c r="N246" s="26">
        <f>SUMIFS(INDEX(元データ_加工!$C$2:$P$700,0,MATCH($B246,元データ_加工!$C$1:$P$1,0)),元データ_加工!$A$2:$A$700,$A246,元データ_加工!$B$2:$B$700,N$5)</f>
        <v>0</v>
      </c>
      <c r="O246" s="26">
        <f t="shared" si="3"/>
        <v>2</v>
      </c>
      <c r="P246" s="7">
        <f>IFERROR(O246/SUMIFS(元データ_加工!$C$2:$C$700,元データ_加工!$A$2:$A$700,$A246),"")</f>
        <v>1.4582573824279985E-4</v>
      </c>
    </row>
    <row r="247" spans="1:16" x14ac:dyDescent="0.45">
      <c r="A247" t="s">
        <v>52</v>
      </c>
      <c r="B247" t="s">
        <v>103</v>
      </c>
      <c r="C247" s="26">
        <f>SUMIFS(INDEX(元データ_加工!$C$2:$P$700,0,MATCH($B247,元データ_加工!$C$1:$P$1,0)),元データ_加工!$A$2:$A$700,$A247,元データ_加工!$B$2:$B$700,C$5)</f>
        <v>0</v>
      </c>
      <c r="D247" s="26">
        <f>SUMIFS(INDEX(元データ_加工!$C$2:$P$700,0,MATCH($B247,元データ_加工!$C$1:$P$1,0)),元データ_加工!$A$2:$A$700,$A247,元データ_加工!$B$2:$B$700,D$5)</f>
        <v>0</v>
      </c>
      <c r="E247" s="26">
        <f>SUMIFS(INDEX(元データ_加工!$C$2:$P$700,0,MATCH($B247,元データ_加工!$C$1:$P$1,0)),元データ_加工!$A$2:$A$700,$A247,元データ_加工!$B$2:$B$700,E$5)</f>
        <v>0</v>
      </c>
      <c r="F247" s="26">
        <f>SUMIFS(INDEX(元データ_加工!$C$2:$P$700,0,MATCH($B247,元データ_加工!$C$1:$P$1,0)),元データ_加工!$A$2:$A$700,$A247,元データ_加工!$B$2:$B$700,F$5)</f>
        <v>19</v>
      </c>
      <c r="G247" s="26">
        <f>SUMIFS(INDEX(元データ_加工!$C$2:$P$700,0,MATCH($B247,元データ_加工!$C$1:$P$1,0)),元データ_加工!$A$2:$A$700,$A247,元データ_加工!$B$2:$B$700,G$5)</f>
        <v>17</v>
      </c>
      <c r="H247" s="26">
        <f>SUMIFS(INDEX(元データ_加工!$C$2:$P$700,0,MATCH($B247,元データ_加工!$C$1:$P$1,0)),元データ_加工!$A$2:$A$700,$A247,元データ_加工!$B$2:$B$700,H$5)</f>
        <v>18</v>
      </c>
      <c r="I247" s="26">
        <f>SUMIFS(INDEX(元データ_加工!$C$2:$P$700,0,MATCH($B247,元データ_加工!$C$1:$P$1,0)),元データ_加工!$A$2:$A$700,$A247,元データ_加工!$B$2:$B$700,I$5)</f>
        <v>14</v>
      </c>
      <c r="J247" s="26">
        <f>SUMIFS(INDEX(元データ_加工!$C$2:$P$700,0,MATCH($B247,元データ_加工!$C$1:$P$1,0)),元データ_加工!$A$2:$A$700,$A247,元データ_加工!$B$2:$B$700,J$5)</f>
        <v>4</v>
      </c>
      <c r="K247" s="26">
        <f>SUMIFS(INDEX(元データ_加工!$C$2:$P$700,0,MATCH($B247,元データ_加工!$C$1:$P$1,0)),元データ_加工!$A$2:$A$700,$A247,元データ_加工!$B$2:$B$700,K$5)</f>
        <v>4</v>
      </c>
      <c r="L247" s="26">
        <f>SUMIFS(INDEX(元データ_加工!$C$2:$P$700,0,MATCH($B247,元データ_加工!$C$1:$P$1,0)),元データ_加工!$A$2:$A$700,$A247,元データ_加工!$B$2:$B$700,L$5)</f>
        <v>1</v>
      </c>
      <c r="M247" s="26">
        <f>SUMIFS(INDEX(元データ_加工!$C$2:$P$700,0,MATCH($B247,元データ_加工!$C$1:$P$1,0)),元データ_加工!$A$2:$A$700,$A247,元データ_加工!$B$2:$B$700,M$5)</f>
        <v>0</v>
      </c>
      <c r="N247" s="26">
        <f>SUMIFS(INDEX(元データ_加工!$C$2:$P$700,0,MATCH($B247,元データ_加工!$C$1:$P$1,0)),元データ_加工!$A$2:$A$700,$A247,元データ_加工!$B$2:$B$700,N$5)</f>
        <v>0</v>
      </c>
      <c r="O247" s="26">
        <f t="shared" si="3"/>
        <v>77</v>
      </c>
      <c r="P247" s="7">
        <f>IFERROR(O247/SUMIFS(元データ_加工!$C$2:$C$700,元データ_加工!$A$2:$A$700,$A247),"")</f>
        <v>5.6142909223477946E-3</v>
      </c>
    </row>
    <row r="248" spans="1:16" x14ac:dyDescent="0.45">
      <c r="A248" t="s">
        <v>52</v>
      </c>
      <c r="B248" t="s">
        <v>104</v>
      </c>
      <c r="C248" s="26">
        <f>SUMIFS(INDEX(元データ_加工!$C$2:$P$700,0,MATCH($B248,元データ_加工!$C$1:$P$1,0)),元データ_加工!$A$2:$A$700,$A248,元データ_加工!$B$2:$B$700,C$5)</f>
        <v>34</v>
      </c>
      <c r="D248" s="26">
        <f>SUMIFS(INDEX(元データ_加工!$C$2:$P$700,0,MATCH($B248,元データ_加工!$C$1:$P$1,0)),元データ_加工!$A$2:$A$700,$A248,元データ_加工!$B$2:$B$700,D$5)</f>
        <v>19</v>
      </c>
      <c r="E248" s="26">
        <f>SUMIFS(INDEX(元データ_加工!$C$2:$P$700,0,MATCH($B248,元データ_加工!$C$1:$P$1,0)),元データ_加工!$A$2:$A$700,$A248,元データ_加工!$B$2:$B$700,E$5)</f>
        <v>29</v>
      </c>
      <c r="F248" s="26">
        <f>SUMIFS(INDEX(元データ_加工!$C$2:$P$700,0,MATCH($B248,元データ_加工!$C$1:$P$1,0)),元データ_加工!$A$2:$A$700,$A248,元データ_加工!$B$2:$B$700,F$5)</f>
        <v>12</v>
      </c>
      <c r="G248" s="26">
        <f>SUMIFS(INDEX(元データ_加工!$C$2:$P$700,0,MATCH($B248,元データ_加工!$C$1:$P$1,0)),元データ_加工!$A$2:$A$700,$A248,元データ_加工!$B$2:$B$700,G$5)</f>
        <v>47</v>
      </c>
      <c r="H248" s="26">
        <f>SUMIFS(INDEX(元データ_加工!$C$2:$P$700,0,MATCH($B248,元データ_加工!$C$1:$P$1,0)),元データ_加工!$A$2:$A$700,$A248,元データ_加工!$B$2:$B$700,H$5)</f>
        <v>18</v>
      </c>
      <c r="I248" s="26">
        <f>SUMIFS(INDEX(元データ_加工!$C$2:$P$700,0,MATCH($B248,元データ_加工!$C$1:$P$1,0)),元データ_加工!$A$2:$A$700,$A248,元データ_加工!$B$2:$B$700,I$5)</f>
        <v>15</v>
      </c>
      <c r="J248" s="26">
        <f>SUMIFS(INDEX(元データ_加工!$C$2:$P$700,0,MATCH($B248,元データ_加工!$C$1:$P$1,0)),元データ_加工!$A$2:$A$700,$A248,元データ_加工!$B$2:$B$700,J$5)</f>
        <v>94</v>
      </c>
      <c r="K248" s="26">
        <f>SUMIFS(INDEX(元データ_加工!$C$2:$P$700,0,MATCH($B248,元データ_加工!$C$1:$P$1,0)),元データ_加工!$A$2:$A$700,$A248,元データ_加工!$B$2:$B$700,K$5)</f>
        <v>83</v>
      </c>
      <c r="L248" s="26">
        <f>SUMIFS(INDEX(元データ_加工!$C$2:$P$700,0,MATCH($B248,元データ_加工!$C$1:$P$1,0)),元データ_加工!$A$2:$A$700,$A248,元データ_加工!$B$2:$B$700,L$5)</f>
        <v>30</v>
      </c>
      <c r="M248" s="26">
        <f>SUMIFS(INDEX(元データ_加工!$C$2:$P$700,0,MATCH($B248,元データ_加工!$C$1:$P$1,0)),元データ_加工!$A$2:$A$700,$A248,元データ_加工!$B$2:$B$700,M$5)</f>
        <v>63</v>
      </c>
      <c r="N248" s="26">
        <f>SUMIFS(INDEX(元データ_加工!$C$2:$P$700,0,MATCH($B248,元データ_加工!$C$1:$P$1,0)),元データ_加工!$A$2:$A$700,$A248,元データ_加工!$B$2:$B$700,N$5)</f>
        <v>30</v>
      </c>
      <c r="O248" s="26">
        <f t="shared" si="3"/>
        <v>474</v>
      </c>
      <c r="P248" s="7">
        <f>IFERROR(O248/SUMIFS(元データ_加工!$C$2:$C$700,元データ_加工!$A$2:$A$700,$A248),"")</f>
        <v>3.4560699963543565E-2</v>
      </c>
    </row>
    <row r="249" spans="1:16" x14ac:dyDescent="0.45">
      <c r="A249" t="s">
        <v>52</v>
      </c>
      <c r="B249" t="s">
        <v>105</v>
      </c>
      <c r="C249" s="26">
        <f>SUMIFS(INDEX(元データ_加工!$C$2:$P$700,0,MATCH($B249,元データ_加工!$C$1:$P$1,0)),元データ_加工!$A$2:$A$700,$A249,元データ_加工!$B$2:$B$700,C$5)</f>
        <v>3</v>
      </c>
      <c r="D249" s="26">
        <f>SUMIFS(INDEX(元データ_加工!$C$2:$P$700,0,MATCH($B249,元データ_加工!$C$1:$P$1,0)),元データ_加工!$A$2:$A$700,$A249,元データ_加工!$B$2:$B$700,D$5)</f>
        <v>1</v>
      </c>
      <c r="E249" s="26">
        <f>SUMIFS(INDEX(元データ_加工!$C$2:$P$700,0,MATCH($B249,元データ_加工!$C$1:$P$1,0)),元データ_加工!$A$2:$A$700,$A249,元データ_加工!$B$2:$B$700,E$5)</f>
        <v>12</v>
      </c>
      <c r="F249" s="26">
        <f>SUMIFS(INDEX(元データ_加工!$C$2:$P$700,0,MATCH($B249,元データ_加工!$C$1:$P$1,0)),元データ_加工!$A$2:$A$700,$A249,元データ_加工!$B$2:$B$700,F$5)</f>
        <v>3</v>
      </c>
      <c r="G249" s="26">
        <f>SUMIFS(INDEX(元データ_加工!$C$2:$P$700,0,MATCH($B249,元データ_加工!$C$1:$P$1,0)),元データ_加工!$A$2:$A$700,$A249,元データ_加工!$B$2:$B$700,G$5)</f>
        <v>1</v>
      </c>
      <c r="H249" s="26">
        <f>SUMIFS(INDEX(元データ_加工!$C$2:$P$700,0,MATCH($B249,元データ_加工!$C$1:$P$1,0)),元データ_加工!$A$2:$A$700,$A249,元データ_加工!$B$2:$B$700,H$5)</f>
        <v>0</v>
      </c>
      <c r="I249" s="26">
        <f>SUMIFS(INDEX(元データ_加工!$C$2:$P$700,0,MATCH($B249,元データ_加工!$C$1:$P$1,0)),元データ_加工!$A$2:$A$700,$A249,元データ_加工!$B$2:$B$700,I$5)</f>
        <v>6</v>
      </c>
      <c r="J249" s="26">
        <f>SUMIFS(INDEX(元データ_加工!$C$2:$P$700,0,MATCH($B249,元データ_加工!$C$1:$P$1,0)),元データ_加工!$A$2:$A$700,$A249,元データ_加工!$B$2:$B$700,J$5)</f>
        <v>87</v>
      </c>
      <c r="K249" s="26">
        <f>SUMIFS(INDEX(元データ_加工!$C$2:$P$700,0,MATCH($B249,元データ_加工!$C$1:$P$1,0)),元データ_加工!$A$2:$A$700,$A249,元データ_加工!$B$2:$B$700,K$5)</f>
        <v>177</v>
      </c>
      <c r="L249" s="26">
        <f>SUMIFS(INDEX(元データ_加工!$C$2:$P$700,0,MATCH($B249,元データ_加工!$C$1:$P$1,0)),元データ_加工!$A$2:$A$700,$A249,元データ_加工!$B$2:$B$700,L$5)</f>
        <v>86</v>
      </c>
      <c r="M249" s="26">
        <f>SUMIFS(INDEX(元データ_加工!$C$2:$P$700,0,MATCH($B249,元データ_加工!$C$1:$P$1,0)),元データ_加工!$A$2:$A$700,$A249,元データ_加工!$B$2:$B$700,M$5)</f>
        <v>48</v>
      </c>
      <c r="N249" s="26">
        <f>SUMIFS(INDEX(元データ_加工!$C$2:$P$700,0,MATCH($B249,元データ_加工!$C$1:$P$1,0)),元データ_加工!$A$2:$A$700,$A249,元データ_加工!$B$2:$B$700,N$5)</f>
        <v>23</v>
      </c>
      <c r="O249" s="26">
        <f t="shared" si="3"/>
        <v>447</v>
      </c>
      <c r="P249" s="7">
        <f>IFERROR(O249/SUMIFS(元データ_加工!$C$2:$C$700,元データ_加工!$A$2:$A$700,$A249),"")</f>
        <v>3.2592052497265767E-2</v>
      </c>
    </row>
    <row r="250" spans="1:16" x14ac:dyDescent="0.45">
      <c r="A250" t="s">
        <v>52</v>
      </c>
      <c r="B250" t="s">
        <v>106</v>
      </c>
      <c r="C250" s="26">
        <f>SUMIFS(INDEX(元データ_加工!$C$2:$P$700,0,MATCH($B250,元データ_加工!$C$1:$P$1,0)),元データ_加工!$A$2:$A$700,$A250,元データ_加工!$B$2:$B$700,C$5)</f>
        <v>199</v>
      </c>
      <c r="D250" s="26">
        <f>SUMIFS(INDEX(元データ_加工!$C$2:$P$700,0,MATCH($B250,元データ_加工!$C$1:$P$1,0)),元データ_加工!$A$2:$A$700,$A250,元データ_加工!$B$2:$B$700,D$5)</f>
        <v>204</v>
      </c>
      <c r="E250" s="26">
        <f>SUMIFS(INDEX(元データ_加工!$C$2:$P$700,0,MATCH($B250,元データ_加工!$C$1:$P$1,0)),元データ_加工!$A$2:$A$700,$A250,元データ_加工!$B$2:$B$700,E$5)</f>
        <v>310</v>
      </c>
      <c r="F250" s="26">
        <f>SUMIFS(INDEX(元データ_加工!$C$2:$P$700,0,MATCH($B250,元データ_加工!$C$1:$P$1,0)),元データ_加工!$A$2:$A$700,$A250,元データ_加工!$B$2:$B$700,F$5)</f>
        <v>170</v>
      </c>
      <c r="G250" s="26">
        <f>SUMIFS(INDEX(元データ_加工!$C$2:$P$700,0,MATCH($B250,元データ_加工!$C$1:$P$1,0)),元データ_加工!$A$2:$A$700,$A250,元データ_加工!$B$2:$B$700,G$5)</f>
        <v>302</v>
      </c>
      <c r="H250" s="26">
        <f>SUMIFS(INDEX(元データ_加工!$C$2:$P$700,0,MATCH($B250,元データ_加工!$C$1:$P$1,0)),元データ_加工!$A$2:$A$700,$A250,元データ_加工!$B$2:$B$700,H$5)</f>
        <v>149</v>
      </c>
      <c r="I250" s="26">
        <f>SUMIFS(INDEX(元データ_加工!$C$2:$P$700,0,MATCH($B250,元データ_加工!$C$1:$P$1,0)),元データ_加工!$A$2:$A$700,$A250,元データ_加工!$B$2:$B$700,I$5)</f>
        <v>153</v>
      </c>
      <c r="J250" s="26">
        <f>SUMIFS(INDEX(元データ_加工!$C$2:$P$700,0,MATCH($B250,元データ_加工!$C$1:$P$1,0)),元データ_加工!$A$2:$A$700,$A250,元データ_加工!$B$2:$B$700,J$5)</f>
        <v>253</v>
      </c>
      <c r="K250" s="26">
        <f>SUMIFS(INDEX(元データ_加工!$C$2:$P$700,0,MATCH($B250,元データ_加工!$C$1:$P$1,0)),元データ_加工!$A$2:$A$700,$A250,元データ_加工!$B$2:$B$700,K$5)</f>
        <v>302</v>
      </c>
      <c r="L250" s="26">
        <f>SUMIFS(INDEX(元データ_加工!$C$2:$P$700,0,MATCH($B250,元データ_加工!$C$1:$P$1,0)),元データ_加工!$A$2:$A$700,$A250,元データ_加工!$B$2:$B$700,L$5)</f>
        <v>256</v>
      </c>
      <c r="M250" s="26">
        <f>SUMIFS(INDEX(元データ_加工!$C$2:$P$700,0,MATCH($B250,元データ_加工!$C$1:$P$1,0)),元データ_加工!$A$2:$A$700,$A250,元データ_加工!$B$2:$B$700,M$5)</f>
        <v>307</v>
      </c>
      <c r="N250" s="26">
        <f>SUMIFS(INDEX(元データ_加工!$C$2:$P$700,0,MATCH($B250,元データ_加工!$C$1:$P$1,0)),元データ_加工!$A$2:$A$700,$A250,元データ_加工!$B$2:$B$700,N$5)</f>
        <v>226</v>
      </c>
      <c r="O250" s="26">
        <f t="shared" si="3"/>
        <v>2831</v>
      </c>
      <c r="P250" s="7">
        <f>IFERROR(O250/SUMIFS(元データ_加工!$C$2:$C$700,元データ_加工!$A$2:$A$700,$A250),"")</f>
        <v>0.20641633248268321</v>
      </c>
    </row>
    <row r="251" spans="1:16" x14ac:dyDescent="0.45">
      <c r="A251" t="s">
        <v>52</v>
      </c>
      <c r="B251" t="s">
        <v>107</v>
      </c>
      <c r="C251" s="26">
        <f>SUMIFS(INDEX(元データ_加工!$C$2:$P$700,0,MATCH($B251,元データ_加工!$C$1:$P$1,0)),元データ_加工!$A$2:$A$700,$A251,元データ_加工!$B$2:$B$700,C$5)</f>
        <v>0</v>
      </c>
      <c r="D251" s="26">
        <f>SUMIFS(INDEX(元データ_加工!$C$2:$P$700,0,MATCH($B251,元データ_加工!$C$1:$P$1,0)),元データ_加工!$A$2:$A$700,$A251,元データ_加工!$B$2:$B$700,D$5)</f>
        <v>1</v>
      </c>
      <c r="E251" s="26">
        <f>SUMIFS(INDEX(元データ_加工!$C$2:$P$700,0,MATCH($B251,元データ_加工!$C$1:$P$1,0)),元データ_加工!$A$2:$A$700,$A251,元データ_加工!$B$2:$B$700,E$5)</f>
        <v>0</v>
      </c>
      <c r="F251" s="26">
        <f>SUMIFS(INDEX(元データ_加工!$C$2:$P$700,0,MATCH($B251,元データ_加工!$C$1:$P$1,0)),元データ_加工!$A$2:$A$700,$A251,元データ_加工!$B$2:$B$700,F$5)</f>
        <v>1</v>
      </c>
      <c r="G251" s="26">
        <f>SUMIFS(INDEX(元データ_加工!$C$2:$P$700,0,MATCH($B251,元データ_加工!$C$1:$P$1,0)),元データ_加工!$A$2:$A$700,$A251,元データ_加工!$B$2:$B$700,G$5)</f>
        <v>0</v>
      </c>
      <c r="H251" s="26">
        <f>SUMIFS(INDEX(元データ_加工!$C$2:$P$700,0,MATCH($B251,元データ_加工!$C$1:$P$1,0)),元データ_加工!$A$2:$A$700,$A251,元データ_加工!$B$2:$B$700,H$5)</f>
        <v>0</v>
      </c>
      <c r="I251" s="26">
        <f>SUMIFS(INDEX(元データ_加工!$C$2:$P$700,0,MATCH($B251,元データ_加工!$C$1:$P$1,0)),元データ_加工!$A$2:$A$700,$A251,元データ_加工!$B$2:$B$700,I$5)</f>
        <v>0</v>
      </c>
      <c r="J251" s="26">
        <f>SUMIFS(INDEX(元データ_加工!$C$2:$P$700,0,MATCH($B251,元データ_加工!$C$1:$P$1,0)),元データ_加工!$A$2:$A$700,$A251,元データ_加工!$B$2:$B$700,J$5)</f>
        <v>0</v>
      </c>
      <c r="K251" s="26">
        <f>SUMIFS(INDEX(元データ_加工!$C$2:$P$700,0,MATCH($B251,元データ_加工!$C$1:$P$1,0)),元データ_加工!$A$2:$A$700,$A251,元データ_加工!$B$2:$B$700,K$5)</f>
        <v>0</v>
      </c>
      <c r="L251" s="26">
        <f>SUMIFS(INDEX(元データ_加工!$C$2:$P$700,0,MATCH($B251,元データ_加工!$C$1:$P$1,0)),元データ_加工!$A$2:$A$700,$A251,元データ_加工!$B$2:$B$700,L$5)</f>
        <v>2</v>
      </c>
      <c r="M251" s="26">
        <f>SUMIFS(INDEX(元データ_加工!$C$2:$P$700,0,MATCH($B251,元データ_加工!$C$1:$P$1,0)),元データ_加工!$A$2:$A$700,$A251,元データ_加工!$B$2:$B$700,M$5)</f>
        <v>0</v>
      </c>
      <c r="N251" s="26">
        <f>SUMIFS(INDEX(元データ_加工!$C$2:$P$700,0,MATCH($B251,元データ_加工!$C$1:$P$1,0)),元データ_加工!$A$2:$A$700,$A251,元データ_加工!$B$2:$B$700,N$5)</f>
        <v>4</v>
      </c>
      <c r="O251" s="26">
        <f t="shared" si="3"/>
        <v>8</v>
      </c>
      <c r="P251" s="7">
        <f>IFERROR(O251/SUMIFS(元データ_加工!$C$2:$C$700,元データ_加工!$A$2:$A$700,$A251),"")</f>
        <v>5.8330295297119941E-4</v>
      </c>
    </row>
    <row r="252" spans="1:16" x14ac:dyDescent="0.45">
      <c r="A252" t="s">
        <v>52</v>
      </c>
      <c r="B252" t="s">
        <v>108</v>
      </c>
      <c r="C252" s="26">
        <f>SUMIFS(INDEX(元データ_加工!$C$2:$P$700,0,MATCH($B252,元データ_加工!$C$1:$P$1,0)),元データ_加工!$A$2:$A$700,$A252,元データ_加工!$B$2:$B$700,C$5)</f>
        <v>0</v>
      </c>
      <c r="D252" s="26">
        <f>SUMIFS(INDEX(元データ_加工!$C$2:$P$700,0,MATCH($B252,元データ_加工!$C$1:$P$1,0)),元データ_加工!$A$2:$A$700,$A252,元データ_加工!$B$2:$B$700,D$5)</f>
        <v>20</v>
      </c>
      <c r="E252" s="26">
        <f>SUMIFS(INDEX(元データ_加工!$C$2:$P$700,0,MATCH($B252,元データ_加工!$C$1:$P$1,0)),元データ_加工!$A$2:$A$700,$A252,元データ_加工!$B$2:$B$700,E$5)</f>
        <v>36</v>
      </c>
      <c r="F252" s="26">
        <f>SUMIFS(INDEX(元データ_加工!$C$2:$P$700,0,MATCH($B252,元データ_加工!$C$1:$P$1,0)),元データ_加工!$A$2:$A$700,$A252,元データ_加工!$B$2:$B$700,F$5)</f>
        <v>32</v>
      </c>
      <c r="G252" s="26">
        <f>SUMIFS(INDEX(元データ_加工!$C$2:$P$700,0,MATCH($B252,元データ_加工!$C$1:$P$1,0)),元データ_加工!$A$2:$A$700,$A252,元データ_加工!$B$2:$B$700,G$5)</f>
        <v>12</v>
      </c>
      <c r="H252" s="26">
        <f>SUMIFS(INDEX(元データ_加工!$C$2:$P$700,0,MATCH($B252,元データ_加工!$C$1:$P$1,0)),元データ_加工!$A$2:$A$700,$A252,元データ_加工!$B$2:$B$700,H$5)</f>
        <v>20</v>
      </c>
      <c r="I252" s="26">
        <f>SUMIFS(INDEX(元データ_加工!$C$2:$P$700,0,MATCH($B252,元データ_加工!$C$1:$P$1,0)),元データ_加工!$A$2:$A$700,$A252,元データ_加工!$B$2:$B$700,I$5)</f>
        <v>4</v>
      </c>
      <c r="J252" s="26">
        <f>SUMIFS(INDEX(元データ_加工!$C$2:$P$700,0,MATCH($B252,元データ_加工!$C$1:$P$1,0)),元データ_加工!$A$2:$A$700,$A252,元データ_加工!$B$2:$B$700,J$5)</f>
        <v>25</v>
      </c>
      <c r="K252" s="26">
        <f>SUMIFS(INDEX(元データ_加工!$C$2:$P$700,0,MATCH($B252,元データ_加工!$C$1:$P$1,0)),元データ_加工!$A$2:$A$700,$A252,元データ_加工!$B$2:$B$700,K$5)</f>
        <v>15</v>
      </c>
      <c r="L252" s="26">
        <f>SUMIFS(INDEX(元データ_加工!$C$2:$P$700,0,MATCH($B252,元データ_加工!$C$1:$P$1,0)),元データ_加工!$A$2:$A$700,$A252,元データ_加工!$B$2:$B$700,L$5)</f>
        <v>0</v>
      </c>
      <c r="M252" s="26">
        <f>SUMIFS(INDEX(元データ_加工!$C$2:$P$700,0,MATCH($B252,元データ_加工!$C$1:$P$1,0)),元データ_加工!$A$2:$A$700,$A252,元データ_加工!$B$2:$B$700,M$5)</f>
        <v>7</v>
      </c>
      <c r="N252" s="26">
        <f>SUMIFS(INDEX(元データ_加工!$C$2:$P$700,0,MATCH($B252,元データ_加工!$C$1:$P$1,0)),元データ_加工!$A$2:$A$700,$A252,元データ_加工!$B$2:$B$700,N$5)</f>
        <v>2</v>
      </c>
      <c r="O252" s="26">
        <f t="shared" si="3"/>
        <v>173</v>
      </c>
      <c r="P252" s="7">
        <f>IFERROR(O252/SUMIFS(元データ_加工!$C$2:$C$700,元データ_加工!$A$2:$A$700,$A252),"")</f>
        <v>1.2613926358002188E-2</v>
      </c>
    </row>
    <row r="253" spans="1:16" x14ac:dyDescent="0.45">
      <c r="A253" t="s">
        <v>52</v>
      </c>
      <c r="B253" t="s">
        <v>109</v>
      </c>
      <c r="C253" s="26">
        <f>SUMIFS(INDEX(元データ_加工!$C$2:$P$700,0,MATCH($B253,元データ_加工!$C$1:$P$1,0)),元データ_加工!$A$2:$A$700,$A253,元データ_加工!$B$2:$B$700,C$5)</f>
        <v>59</v>
      </c>
      <c r="D253" s="26">
        <f>SUMIFS(INDEX(元データ_加工!$C$2:$P$700,0,MATCH($B253,元データ_加工!$C$1:$P$1,0)),元データ_加工!$A$2:$A$700,$A253,元データ_加工!$B$2:$B$700,D$5)</f>
        <v>36</v>
      </c>
      <c r="E253" s="26">
        <f>SUMIFS(INDEX(元データ_加工!$C$2:$P$700,0,MATCH($B253,元データ_加工!$C$1:$P$1,0)),元データ_加工!$A$2:$A$700,$A253,元データ_加工!$B$2:$B$700,E$5)</f>
        <v>44</v>
      </c>
      <c r="F253" s="26">
        <f>SUMIFS(INDEX(元データ_加工!$C$2:$P$700,0,MATCH($B253,元データ_加工!$C$1:$P$1,0)),元データ_加工!$A$2:$A$700,$A253,元データ_加工!$B$2:$B$700,F$5)</f>
        <v>55</v>
      </c>
      <c r="G253" s="26">
        <f>SUMIFS(INDEX(元データ_加工!$C$2:$P$700,0,MATCH($B253,元データ_加工!$C$1:$P$1,0)),元データ_加工!$A$2:$A$700,$A253,元データ_加工!$B$2:$B$700,G$5)</f>
        <v>43</v>
      </c>
      <c r="H253" s="26">
        <f>SUMIFS(INDEX(元データ_加工!$C$2:$P$700,0,MATCH($B253,元データ_加工!$C$1:$P$1,0)),元データ_加工!$A$2:$A$700,$A253,元データ_加工!$B$2:$B$700,H$5)</f>
        <v>52</v>
      </c>
      <c r="I253" s="26">
        <f>SUMIFS(INDEX(元データ_加工!$C$2:$P$700,0,MATCH($B253,元データ_加工!$C$1:$P$1,0)),元データ_加工!$A$2:$A$700,$A253,元データ_加工!$B$2:$B$700,I$5)</f>
        <v>46</v>
      </c>
      <c r="J253" s="26">
        <f>SUMIFS(INDEX(元データ_加工!$C$2:$P$700,0,MATCH($B253,元データ_加工!$C$1:$P$1,0)),元データ_加工!$A$2:$A$700,$A253,元データ_加工!$B$2:$B$700,J$5)</f>
        <v>42</v>
      </c>
      <c r="K253" s="26">
        <f>SUMIFS(INDEX(元データ_加工!$C$2:$P$700,0,MATCH($B253,元データ_加工!$C$1:$P$1,0)),元データ_加工!$A$2:$A$700,$A253,元データ_加工!$B$2:$B$700,K$5)</f>
        <v>45</v>
      </c>
      <c r="L253" s="26">
        <f>SUMIFS(INDEX(元データ_加工!$C$2:$P$700,0,MATCH($B253,元データ_加工!$C$1:$P$1,0)),元データ_加工!$A$2:$A$700,$A253,元データ_加工!$B$2:$B$700,L$5)</f>
        <v>57</v>
      </c>
      <c r="M253" s="26">
        <f>SUMIFS(INDEX(元データ_加工!$C$2:$P$700,0,MATCH($B253,元データ_加工!$C$1:$P$1,0)),元データ_加工!$A$2:$A$700,$A253,元データ_加工!$B$2:$B$700,M$5)</f>
        <v>59</v>
      </c>
      <c r="N253" s="26">
        <f>SUMIFS(INDEX(元データ_加工!$C$2:$P$700,0,MATCH($B253,元データ_加工!$C$1:$P$1,0)),元データ_加工!$A$2:$A$700,$A253,元データ_加工!$B$2:$B$700,N$5)</f>
        <v>47</v>
      </c>
      <c r="O253" s="26">
        <f t="shared" si="3"/>
        <v>585</v>
      </c>
      <c r="P253" s="7">
        <f>IFERROR(O253/SUMIFS(元データ_加工!$C$2:$C$700,元データ_加工!$A$2:$A$700,$A253),"")</f>
        <v>4.2654028436018961E-2</v>
      </c>
    </row>
    <row r="254" spans="1:16" x14ac:dyDescent="0.45">
      <c r="A254" t="s">
        <v>52</v>
      </c>
      <c r="B254" t="s">
        <v>110</v>
      </c>
      <c r="C254" s="26">
        <f>SUMIFS(INDEX(元データ_加工!$C$2:$P$700,0,MATCH($B254,元データ_加工!$C$1:$P$1,0)),元データ_加工!$A$2:$A$700,$A254,元データ_加工!$B$2:$B$700,C$5)</f>
        <v>0</v>
      </c>
      <c r="D254" s="26">
        <f>SUMIFS(INDEX(元データ_加工!$C$2:$P$700,0,MATCH($B254,元データ_加工!$C$1:$P$1,0)),元データ_加工!$A$2:$A$700,$A254,元データ_加工!$B$2:$B$700,D$5)</f>
        <v>0</v>
      </c>
      <c r="E254" s="26">
        <f>SUMIFS(INDEX(元データ_加工!$C$2:$P$700,0,MATCH($B254,元データ_加工!$C$1:$P$1,0)),元データ_加工!$A$2:$A$700,$A254,元データ_加工!$B$2:$B$700,E$5)</f>
        <v>0</v>
      </c>
      <c r="F254" s="26">
        <f>SUMIFS(INDEX(元データ_加工!$C$2:$P$700,0,MATCH($B254,元データ_加工!$C$1:$P$1,0)),元データ_加工!$A$2:$A$700,$A254,元データ_加工!$B$2:$B$700,F$5)</f>
        <v>0</v>
      </c>
      <c r="G254" s="26">
        <f>SUMIFS(INDEX(元データ_加工!$C$2:$P$700,0,MATCH($B254,元データ_加工!$C$1:$P$1,0)),元データ_加工!$A$2:$A$700,$A254,元データ_加工!$B$2:$B$700,G$5)</f>
        <v>0</v>
      </c>
      <c r="H254" s="26">
        <f>SUMIFS(INDEX(元データ_加工!$C$2:$P$700,0,MATCH($B254,元データ_加工!$C$1:$P$1,0)),元データ_加工!$A$2:$A$700,$A254,元データ_加工!$B$2:$B$700,H$5)</f>
        <v>0</v>
      </c>
      <c r="I254" s="26">
        <f>SUMIFS(INDEX(元データ_加工!$C$2:$P$700,0,MATCH($B254,元データ_加工!$C$1:$P$1,0)),元データ_加工!$A$2:$A$700,$A254,元データ_加工!$B$2:$B$700,I$5)</f>
        <v>0</v>
      </c>
      <c r="J254" s="26">
        <f>SUMIFS(INDEX(元データ_加工!$C$2:$P$700,0,MATCH($B254,元データ_加工!$C$1:$P$1,0)),元データ_加工!$A$2:$A$700,$A254,元データ_加工!$B$2:$B$700,J$5)</f>
        <v>0</v>
      </c>
      <c r="K254" s="26">
        <f>SUMIFS(INDEX(元データ_加工!$C$2:$P$700,0,MATCH($B254,元データ_加工!$C$1:$P$1,0)),元データ_加工!$A$2:$A$700,$A254,元データ_加工!$B$2:$B$700,K$5)</f>
        <v>0</v>
      </c>
      <c r="L254" s="26">
        <f>SUMIFS(INDEX(元データ_加工!$C$2:$P$700,0,MATCH($B254,元データ_加工!$C$1:$P$1,0)),元データ_加工!$A$2:$A$700,$A254,元データ_加工!$B$2:$B$700,L$5)</f>
        <v>0</v>
      </c>
      <c r="M254" s="26">
        <f>SUMIFS(INDEX(元データ_加工!$C$2:$P$700,0,MATCH($B254,元データ_加工!$C$1:$P$1,0)),元データ_加工!$A$2:$A$700,$A254,元データ_加工!$B$2:$B$700,M$5)</f>
        <v>0</v>
      </c>
      <c r="N254" s="26">
        <f>SUMIFS(INDEX(元データ_加工!$C$2:$P$700,0,MATCH($B254,元データ_加工!$C$1:$P$1,0)),元データ_加工!$A$2:$A$700,$A254,元データ_加工!$B$2:$B$700,N$5)</f>
        <v>0</v>
      </c>
      <c r="O254" s="26">
        <f t="shared" si="3"/>
        <v>0</v>
      </c>
      <c r="P254" s="7">
        <f>IFERROR(O254/SUMIFS(元データ_加工!$C$2:$C$700,元データ_加工!$A$2:$A$700,$A254),"")</f>
        <v>0</v>
      </c>
    </row>
    <row r="255" spans="1:16" x14ac:dyDescent="0.45">
      <c r="A255" t="s">
        <v>52</v>
      </c>
      <c r="B255" t="s">
        <v>111</v>
      </c>
      <c r="C255" s="26">
        <f>SUMIFS(INDEX(元データ_加工!$C$2:$P$700,0,MATCH($B255,元データ_加工!$C$1:$P$1,0)),元データ_加工!$A$2:$A$700,$A255,元データ_加工!$B$2:$B$700,C$5)</f>
        <v>0</v>
      </c>
      <c r="D255" s="26">
        <f>SUMIFS(INDEX(元データ_加工!$C$2:$P$700,0,MATCH($B255,元データ_加工!$C$1:$P$1,0)),元データ_加工!$A$2:$A$700,$A255,元データ_加工!$B$2:$B$700,D$5)</f>
        <v>0</v>
      </c>
      <c r="E255" s="26">
        <f>SUMIFS(INDEX(元データ_加工!$C$2:$P$700,0,MATCH($B255,元データ_加工!$C$1:$P$1,0)),元データ_加工!$A$2:$A$700,$A255,元データ_加工!$B$2:$B$700,E$5)</f>
        <v>0</v>
      </c>
      <c r="F255" s="26">
        <f>SUMIFS(INDEX(元データ_加工!$C$2:$P$700,0,MATCH($B255,元データ_加工!$C$1:$P$1,0)),元データ_加工!$A$2:$A$700,$A255,元データ_加工!$B$2:$B$700,F$5)</f>
        <v>0</v>
      </c>
      <c r="G255" s="26">
        <f>SUMIFS(INDEX(元データ_加工!$C$2:$P$700,0,MATCH($B255,元データ_加工!$C$1:$P$1,0)),元データ_加工!$A$2:$A$700,$A255,元データ_加工!$B$2:$B$700,G$5)</f>
        <v>0</v>
      </c>
      <c r="H255" s="26">
        <f>SUMIFS(INDEX(元データ_加工!$C$2:$P$700,0,MATCH($B255,元データ_加工!$C$1:$P$1,0)),元データ_加工!$A$2:$A$700,$A255,元データ_加工!$B$2:$B$700,H$5)</f>
        <v>0</v>
      </c>
      <c r="I255" s="26">
        <f>SUMIFS(INDEX(元データ_加工!$C$2:$P$700,0,MATCH($B255,元データ_加工!$C$1:$P$1,0)),元データ_加工!$A$2:$A$700,$A255,元データ_加工!$B$2:$B$700,I$5)</f>
        <v>0</v>
      </c>
      <c r="J255" s="26">
        <f>SUMIFS(INDEX(元データ_加工!$C$2:$P$700,0,MATCH($B255,元データ_加工!$C$1:$P$1,0)),元データ_加工!$A$2:$A$700,$A255,元データ_加工!$B$2:$B$700,J$5)</f>
        <v>1</v>
      </c>
      <c r="K255" s="26">
        <f>SUMIFS(INDEX(元データ_加工!$C$2:$P$700,0,MATCH($B255,元データ_加工!$C$1:$P$1,0)),元データ_加工!$A$2:$A$700,$A255,元データ_加工!$B$2:$B$700,K$5)</f>
        <v>5</v>
      </c>
      <c r="L255" s="26">
        <f>SUMIFS(INDEX(元データ_加工!$C$2:$P$700,0,MATCH($B255,元データ_加工!$C$1:$P$1,0)),元データ_加工!$A$2:$A$700,$A255,元データ_加工!$B$2:$B$700,L$5)</f>
        <v>1</v>
      </c>
      <c r="M255" s="26">
        <f>SUMIFS(INDEX(元データ_加工!$C$2:$P$700,0,MATCH($B255,元データ_加工!$C$1:$P$1,0)),元データ_加工!$A$2:$A$700,$A255,元データ_加工!$B$2:$B$700,M$5)</f>
        <v>3</v>
      </c>
      <c r="N255" s="26">
        <f>SUMIFS(INDEX(元データ_加工!$C$2:$P$700,0,MATCH($B255,元データ_加工!$C$1:$P$1,0)),元データ_加工!$A$2:$A$700,$A255,元データ_加工!$B$2:$B$700,N$5)</f>
        <v>4</v>
      </c>
      <c r="O255" s="26">
        <f t="shared" si="3"/>
        <v>14</v>
      </c>
      <c r="P255" s="7">
        <f>IFERROR(O255/SUMIFS(元データ_加工!$C$2:$C$700,元データ_加工!$A$2:$A$700,$A255),"")</f>
        <v>1.020780167699599E-3</v>
      </c>
    </row>
    <row r="256" spans="1:16" x14ac:dyDescent="0.45">
      <c r="A256" t="s">
        <v>52</v>
      </c>
      <c r="B256" t="s">
        <v>112</v>
      </c>
      <c r="C256" s="26">
        <f>SUMIFS(INDEX(元データ_加工!$C$2:$P$700,0,MATCH($B256,元データ_加工!$C$1:$P$1,0)),元データ_加工!$A$2:$A$700,$A256,元データ_加工!$B$2:$B$700,C$5)</f>
        <v>0</v>
      </c>
      <c r="D256" s="26">
        <f>SUMIFS(INDEX(元データ_加工!$C$2:$P$700,0,MATCH($B256,元データ_加工!$C$1:$P$1,0)),元データ_加工!$A$2:$A$700,$A256,元データ_加工!$B$2:$B$700,D$5)</f>
        <v>0</v>
      </c>
      <c r="E256" s="26">
        <f>SUMIFS(INDEX(元データ_加工!$C$2:$P$700,0,MATCH($B256,元データ_加工!$C$1:$P$1,0)),元データ_加工!$A$2:$A$700,$A256,元データ_加工!$B$2:$B$700,E$5)</f>
        <v>0</v>
      </c>
      <c r="F256" s="26">
        <f>SUMIFS(INDEX(元データ_加工!$C$2:$P$700,0,MATCH($B256,元データ_加工!$C$1:$P$1,0)),元データ_加工!$A$2:$A$700,$A256,元データ_加工!$B$2:$B$700,F$5)</f>
        <v>0</v>
      </c>
      <c r="G256" s="26">
        <f>SUMIFS(INDEX(元データ_加工!$C$2:$P$700,0,MATCH($B256,元データ_加工!$C$1:$P$1,0)),元データ_加工!$A$2:$A$700,$A256,元データ_加工!$B$2:$B$700,G$5)</f>
        <v>0</v>
      </c>
      <c r="H256" s="26">
        <f>SUMIFS(INDEX(元データ_加工!$C$2:$P$700,0,MATCH($B256,元データ_加工!$C$1:$P$1,0)),元データ_加工!$A$2:$A$700,$A256,元データ_加工!$B$2:$B$700,H$5)</f>
        <v>0</v>
      </c>
      <c r="I256" s="26">
        <f>SUMIFS(INDEX(元データ_加工!$C$2:$P$700,0,MATCH($B256,元データ_加工!$C$1:$P$1,0)),元データ_加工!$A$2:$A$700,$A256,元データ_加工!$B$2:$B$700,I$5)</f>
        <v>0</v>
      </c>
      <c r="J256" s="26">
        <f>SUMIFS(INDEX(元データ_加工!$C$2:$P$700,0,MATCH($B256,元データ_加工!$C$1:$P$1,0)),元データ_加工!$A$2:$A$700,$A256,元データ_加工!$B$2:$B$700,J$5)</f>
        <v>0</v>
      </c>
      <c r="K256" s="26">
        <f>SUMIFS(INDEX(元データ_加工!$C$2:$P$700,0,MATCH($B256,元データ_加工!$C$1:$P$1,0)),元データ_加工!$A$2:$A$700,$A256,元データ_加工!$B$2:$B$700,K$5)</f>
        <v>1</v>
      </c>
      <c r="L256" s="26">
        <f>SUMIFS(INDEX(元データ_加工!$C$2:$P$700,0,MATCH($B256,元データ_加工!$C$1:$P$1,0)),元データ_加工!$A$2:$A$700,$A256,元データ_加工!$B$2:$B$700,L$5)</f>
        <v>0</v>
      </c>
      <c r="M256" s="26">
        <f>SUMIFS(INDEX(元データ_加工!$C$2:$P$700,0,MATCH($B256,元データ_加工!$C$1:$P$1,0)),元データ_加工!$A$2:$A$700,$A256,元データ_加工!$B$2:$B$700,M$5)</f>
        <v>0</v>
      </c>
      <c r="N256" s="26">
        <f>SUMIFS(INDEX(元データ_加工!$C$2:$P$700,0,MATCH($B256,元データ_加工!$C$1:$P$1,0)),元データ_加工!$A$2:$A$700,$A256,元データ_加工!$B$2:$B$700,N$5)</f>
        <v>1</v>
      </c>
      <c r="O256" s="26">
        <f t="shared" si="3"/>
        <v>2</v>
      </c>
      <c r="P256" s="7">
        <f>IFERROR(O256/SUMIFS(元データ_加工!$C$2:$C$700,元データ_加工!$A$2:$A$700,$A256),"")</f>
        <v>1.4582573824279985E-4</v>
      </c>
    </row>
    <row r="257" spans="1:16" x14ac:dyDescent="0.45">
      <c r="A257" t="s">
        <v>52</v>
      </c>
      <c r="B257" t="s">
        <v>113</v>
      </c>
      <c r="C257" s="26">
        <f>SUMIFS(INDEX(元データ_加工!$C$2:$P$700,0,MATCH($B257,元データ_加工!$C$1:$P$1,0)),元データ_加工!$A$2:$A$700,$A257,元データ_加工!$B$2:$B$700,C$5)</f>
        <v>8</v>
      </c>
      <c r="D257" s="26">
        <f>SUMIFS(INDEX(元データ_加工!$C$2:$P$700,0,MATCH($B257,元データ_加工!$C$1:$P$1,0)),元データ_加工!$A$2:$A$700,$A257,元データ_加工!$B$2:$B$700,D$5)</f>
        <v>1</v>
      </c>
      <c r="E257" s="26">
        <f>SUMIFS(INDEX(元データ_加工!$C$2:$P$700,0,MATCH($B257,元データ_加工!$C$1:$P$1,0)),元データ_加工!$A$2:$A$700,$A257,元データ_加工!$B$2:$B$700,E$5)</f>
        <v>3</v>
      </c>
      <c r="F257" s="26">
        <f>SUMIFS(INDEX(元データ_加工!$C$2:$P$700,0,MATCH($B257,元データ_加工!$C$1:$P$1,0)),元データ_加工!$A$2:$A$700,$A257,元データ_加工!$B$2:$B$700,F$5)</f>
        <v>0</v>
      </c>
      <c r="G257" s="26">
        <f>SUMIFS(INDEX(元データ_加工!$C$2:$P$700,0,MATCH($B257,元データ_加工!$C$1:$P$1,0)),元データ_加工!$A$2:$A$700,$A257,元データ_加工!$B$2:$B$700,G$5)</f>
        <v>1</v>
      </c>
      <c r="H257" s="26">
        <f>SUMIFS(INDEX(元データ_加工!$C$2:$P$700,0,MATCH($B257,元データ_加工!$C$1:$P$1,0)),元データ_加工!$A$2:$A$700,$A257,元データ_加工!$B$2:$B$700,H$5)</f>
        <v>1</v>
      </c>
      <c r="I257" s="26">
        <f>SUMIFS(INDEX(元データ_加工!$C$2:$P$700,0,MATCH($B257,元データ_加工!$C$1:$P$1,0)),元データ_加工!$A$2:$A$700,$A257,元データ_加工!$B$2:$B$700,I$5)</f>
        <v>1</v>
      </c>
      <c r="J257" s="26">
        <f>SUMIFS(INDEX(元データ_加工!$C$2:$P$700,0,MATCH($B257,元データ_加工!$C$1:$P$1,0)),元データ_加工!$A$2:$A$700,$A257,元データ_加工!$B$2:$B$700,J$5)</f>
        <v>3</v>
      </c>
      <c r="K257" s="26">
        <f>SUMIFS(INDEX(元データ_加工!$C$2:$P$700,0,MATCH($B257,元データ_加工!$C$1:$P$1,0)),元データ_加工!$A$2:$A$700,$A257,元データ_加工!$B$2:$B$700,K$5)</f>
        <v>2</v>
      </c>
      <c r="L257" s="26">
        <f>SUMIFS(INDEX(元データ_加工!$C$2:$P$700,0,MATCH($B257,元データ_加工!$C$1:$P$1,0)),元データ_加工!$A$2:$A$700,$A257,元データ_加工!$B$2:$B$700,L$5)</f>
        <v>1</v>
      </c>
      <c r="M257" s="26">
        <f>SUMIFS(INDEX(元データ_加工!$C$2:$P$700,0,MATCH($B257,元データ_加工!$C$1:$P$1,0)),元データ_加工!$A$2:$A$700,$A257,元データ_加工!$B$2:$B$700,M$5)</f>
        <v>3</v>
      </c>
      <c r="N257" s="26">
        <f>SUMIFS(INDEX(元データ_加工!$C$2:$P$700,0,MATCH($B257,元データ_加工!$C$1:$P$1,0)),元データ_加工!$A$2:$A$700,$A257,元データ_加工!$B$2:$B$700,N$5)</f>
        <v>1</v>
      </c>
      <c r="O257" s="26">
        <f t="shared" si="3"/>
        <v>25</v>
      </c>
      <c r="P257" s="7">
        <f>IFERROR(O257/SUMIFS(元データ_加工!$C$2:$C$700,元データ_加工!$A$2:$A$700,$A257),"")</f>
        <v>1.8228217280349982E-3</v>
      </c>
    </row>
    <row r="258" spans="1:16" x14ac:dyDescent="0.45">
      <c r="A258" t="s">
        <v>53</v>
      </c>
      <c r="B258" t="s">
        <v>100</v>
      </c>
      <c r="C258" s="26">
        <f>SUMIFS(INDEX(元データ_加工!$C$2:$P$700,0,MATCH($B258,元データ_加工!$C$1:$P$1,0)),元データ_加工!$A$2:$A$700,$A258,元データ_加工!$B$2:$B$700,C$5)</f>
        <v>804</v>
      </c>
      <c r="D258" s="26">
        <f>SUMIFS(INDEX(元データ_加工!$C$2:$P$700,0,MATCH($B258,元データ_加工!$C$1:$P$1,0)),元データ_加工!$A$2:$A$700,$A258,元データ_加工!$B$2:$B$700,D$5)</f>
        <v>845</v>
      </c>
      <c r="E258" s="26">
        <f>SUMIFS(INDEX(元データ_加工!$C$2:$P$700,0,MATCH($B258,元データ_加工!$C$1:$P$1,0)),元データ_加工!$A$2:$A$700,$A258,元データ_加工!$B$2:$B$700,E$5)</f>
        <v>1367</v>
      </c>
      <c r="F258" s="26">
        <f>SUMIFS(INDEX(元データ_加工!$C$2:$P$700,0,MATCH($B258,元データ_加工!$C$1:$P$1,0)),元データ_加工!$A$2:$A$700,$A258,元データ_加工!$B$2:$B$700,F$5)</f>
        <v>1028</v>
      </c>
      <c r="G258" s="26">
        <f>SUMIFS(INDEX(元データ_加工!$C$2:$P$700,0,MATCH($B258,元データ_加工!$C$1:$P$1,0)),元データ_加工!$A$2:$A$700,$A258,元データ_加工!$B$2:$B$700,G$5)</f>
        <v>969</v>
      </c>
      <c r="H258" s="26">
        <f>SUMIFS(INDEX(元データ_加工!$C$2:$P$700,0,MATCH($B258,元データ_加工!$C$1:$P$1,0)),元データ_加工!$A$2:$A$700,$A258,元データ_加工!$B$2:$B$700,H$5)</f>
        <v>725</v>
      </c>
      <c r="I258" s="26">
        <f>SUMIFS(INDEX(元データ_加工!$C$2:$P$700,0,MATCH($B258,元データ_加工!$C$1:$P$1,0)),元データ_加工!$A$2:$A$700,$A258,元データ_加工!$B$2:$B$700,I$5)</f>
        <v>680</v>
      </c>
      <c r="J258" s="26">
        <f>SUMIFS(INDEX(元データ_加工!$C$2:$P$700,0,MATCH($B258,元データ_加工!$C$1:$P$1,0)),元データ_加工!$A$2:$A$700,$A258,元データ_加工!$B$2:$B$700,J$5)</f>
        <v>1205</v>
      </c>
      <c r="K258" s="26">
        <f>SUMIFS(INDEX(元データ_加工!$C$2:$P$700,0,MATCH($B258,元データ_加工!$C$1:$P$1,0)),元データ_加工!$A$2:$A$700,$A258,元データ_加工!$B$2:$B$700,K$5)</f>
        <v>2125</v>
      </c>
      <c r="L258" s="26">
        <f>SUMIFS(INDEX(元データ_加工!$C$2:$P$700,0,MATCH($B258,元データ_加工!$C$1:$P$1,0)),元データ_加工!$A$2:$A$700,$A258,元データ_加工!$B$2:$B$700,L$5)</f>
        <v>1494</v>
      </c>
      <c r="M258" s="26">
        <f>SUMIFS(INDEX(元データ_加工!$C$2:$P$700,0,MATCH($B258,元データ_加工!$C$1:$P$1,0)),元データ_加工!$A$2:$A$700,$A258,元データ_加工!$B$2:$B$700,M$5)</f>
        <v>1314</v>
      </c>
      <c r="N258" s="26">
        <f>SUMIFS(INDEX(元データ_加工!$C$2:$P$700,0,MATCH($B258,元データ_加工!$C$1:$P$1,0)),元データ_加工!$A$2:$A$700,$A258,元データ_加工!$B$2:$B$700,N$5)</f>
        <v>969</v>
      </c>
      <c r="O258" s="26">
        <f t="shared" si="3"/>
        <v>13525</v>
      </c>
      <c r="P258" s="7">
        <f>IFERROR(O258/SUMIFS(元データ_加工!$C$2:$C$700,元データ_加工!$A$2:$A$700,$A258),"")</f>
        <v>1</v>
      </c>
    </row>
    <row r="259" spans="1:16" x14ac:dyDescent="0.45">
      <c r="A259" t="s">
        <v>53</v>
      </c>
      <c r="B259" t="s">
        <v>101</v>
      </c>
      <c r="C259" s="26">
        <f>SUMIFS(INDEX(元データ_加工!$C$2:$P$700,0,MATCH($B259,元データ_加工!$C$1:$P$1,0)),元データ_加工!$A$2:$A$700,$A259,元データ_加工!$B$2:$B$700,C$5)</f>
        <v>348</v>
      </c>
      <c r="D259" s="26">
        <f>SUMIFS(INDEX(元データ_加工!$C$2:$P$700,0,MATCH($B259,元データ_加工!$C$1:$P$1,0)),元データ_加工!$A$2:$A$700,$A259,元データ_加工!$B$2:$B$700,D$5)</f>
        <v>379</v>
      </c>
      <c r="E259" s="26">
        <f>SUMIFS(INDEX(元データ_加工!$C$2:$P$700,0,MATCH($B259,元データ_加工!$C$1:$P$1,0)),元データ_加工!$A$2:$A$700,$A259,元データ_加工!$B$2:$B$700,E$5)</f>
        <v>547</v>
      </c>
      <c r="F259" s="26">
        <f>SUMIFS(INDEX(元データ_加工!$C$2:$P$700,0,MATCH($B259,元データ_加工!$C$1:$P$1,0)),元データ_加工!$A$2:$A$700,$A259,元データ_加工!$B$2:$B$700,F$5)</f>
        <v>384</v>
      </c>
      <c r="G259" s="26">
        <f>SUMIFS(INDEX(元データ_加工!$C$2:$P$700,0,MATCH($B259,元データ_加工!$C$1:$P$1,0)),元データ_加工!$A$2:$A$700,$A259,元データ_加工!$B$2:$B$700,G$5)</f>
        <v>428</v>
      </c>
      <c r="H259" s="26">
        <f>SUMIFS(INDEX(元データ_加工!$C$2:$P$700,0,MATCH($B259,元データ_加工!$C$1:$P$1,0)),元データ_加工!$A$2:$A$700,$A259,元データ_加工!$B$2:$B$700,H$5)</f>
        <v>324</v>
      </c>
      <c r="I259" s="26">
        <f>SUMIFS(INDEX(元データ_加工!$C$2:$P$700,0,MATCH($B259,元データ_加工!$C$1:$P$1,0)),元データ_加工!$A$2:$A$700,$A259,元データ_加工!$B$2:$B$700,I$5)</f>
        <v>335</v>
      </c>
      <c r="J259" s="26">
        <f>SUMIFS(INDEX(元データ_加工!$C$2:$P$700,0,MATCH($B259,元データ_加工!$C$1:$P$1,0)),元データ_加工!$A$2:$A$700,$A259,元データ_加工!$B$2:$B$700,J$5)</f>
        <v>545</v>
      </c>
      <c r="K259" s="26">
        <f>SUMIFS(INDEX(元データ_加工!$C$2:$P$700,0,MATCH($B259,元データ_加工!$C$1:$P$1,0)),元データ_加工!$A$2:$A$700,$A259,元データ_加工!$B$2:$B$700,K$5)</f>
        <v>424</v>
      </c>
      <c r="L259" s="26">
        <f>SUMIFS(INDEX(元データ_加工!$C$2:$P$700,0,MATCH($B259,元データ_加工!$C$1:$P$1,0)),元データ_加工!$A$2:$A$700,$A259,元データ_加工!$B$2:$B$700,L$5)</f>
        <v>375</v>
      </c>
      <c r="M259" s="26">
        <f>SUMIFS(INDEX(元データ_加工!$C$2:$P$700,0,MATCH($B259,元データ_加工!$C$1:$P$1,0)),元データ_加工!$A$2:$A$700,$A259,元データ_加工!$B$2:$B$700,M$5)</f>
        <v>479</v>
      </c>
      <c r="N259" s="26">
        <f>SUMIFS(INDEX(元データ_加工!$C$2:$P$700,0,MATCH($B259,元データ_加工!$C$1:$P$1,0)),元データ_加工!$A$2:$A$700,$A259,元データ_加工!$B$2:$B$700,N$5)</f>
        <v>367</v>
      </c>
      <c r="O259" s="26">
        <f t="shared" si="3"/>
        <v>4935</v>
      </c>
      <c r="P259" s="7">
        <f>IFERROR(O259/SUMIFS(元データ_加工!$C$2:$C$700,元データ_加工!$A$2:$A$700,$A259),"")</f>
        <v>0.36487985212569318</v>
      </c>
    </row>
    <row r="260" spans="1:16" x14ac:dyDescent="0.45">
      <c r="A260" t="s">
        <v>53</v>
      </c>
      <c r="B260" t="s">
        <v>102</v>
      </c>
      <c r="C260" s="26">
        <f>SUMIFS(INDEX(元データ_加工!$C$2:$P$700,0,MATCH($B260,元データ_加工!$C$1:$P$1,0)),元データ_加工!$A$2:$A$700,$A260,元データ_加工!$B$2:$B$700,C$5)</f>
        <v>0</v>
      </c>
      <c r="D260" s="26">
        <f>SUMIFS(INDEX(元データ_加工!$C$2:$P$700,0,MATCH($B260,元データ_加工!$C$1:$P$1,0)),元データ_加工!$A$2:$A$700,$A260,元データ_加工!$B$2:$B$700,D$5)</f>
        <v>0</v>
      </c>
      <c r="E260" s="26">
        <f>SUMIFS(INDEX(元データ_加工!$C$2:$P$700,0,MATCH($B260,元データ_加工!$C$1:$P$1,0)),元データ_加工!$A$2:$A$700,$A260,元データ_加工!$B$2:$B$700,E$5)</f>
        <v>0</v>
      </c>
      <c r="F260" s="26">
        <f>SUMIFS(INDEX(元データ_加工!$C$2:$P$700,0,MATCH($B260,元データ_加工!$C$1:$P$1,0)),元データ_加工!$A$2:$A$700,$A260,元データ_加工!$B$2:$B$700,F$5)</f>
        <v>0</v>
      </c>
      <c r="G260" s="26">
        <f>SUMIFS(INDEX(元データ_加工!$C$2:$P$700,0,MATCH($B260,元データ_加工!$C$1:$P$1,0)),元データ_加工!$A$2:$A$700,$A260,元データ_加工!$B$2:$B$700,G$5)</f>
        <v>0</v>
      </c>
      <c r="H260" s="26">
        <f>SUMIFS(INDEX(元データ_加工!$C$2:$P$700,0,MATCH($B260,元データ_加工!$C$1:$P$1,0)),元データ_加工!$A$2:$A$700,$A260,元データ_加工!$B$2:$B$700,H$5)</f>
        <v>0</v>
      </c>
      <c r="I260" s="26">
        <f>SUMIFS(INDEX(元データ_加工!$C$2:$P$700,0,MATCH($B260,元データ_加工!$C$1:$P$1,0)),元データ_加工!$A$2:$A$700,$A260,元データ_加工!$B$2:$B$700,I$5)</f>
        <v>0</v>
      </c>
      <c r="J260" s="26">
        <f>SUMIFS(INDEX(元データ_加工!$C$2:$P$700,0,MATCH($B260,元データ_加工!$C$1:$P$1,0)),元データ_加工!$A$2:$A$700,$A260,元データ_加工!$B$2:$B$700,J$5)</f>
        <v>4</v>
      </c>
      <c r="K260" s="26">
        <f>SUMIFS(INDEX(元データ_加工!$C$2:$P$700,0,MATCH($B260,元データ_加工!$C$1:$P$1,0)),元データ_加工!$A$2:$A$700,$A260,元データ_加工!$B$2:$B$700,K$5)</f>
        <v>0</v>
      </c>
      <c r="L260" s="26">
        <f>SUMIFS(INDEX(元データ_加工!$C$2:$P$700,0,MATCH($B260,元データ_加工!$C$1:$P$1,0)),元データ_加工!$A$2:$A$700,$A260,元データ_加工!$B$2:$B$700,L$5)</f>
        <v>0</v>
      </c>
      <c r="M260" s="26">
        <f>SUMIFS(INDEX(元データ_加工!$C$2:$P$700,0,MATCH($B260,元データ_加工!$C$1:$P$1,0)),元データ_加工!$A$2:$A$700,$A260,元データ_加工!$B$2:$B$700,M$5)</f>
        <v>0</v>
      </c>
      <c r="N260" s="26">
        <f>SUMIFS(INDEX(元データ_加工!$C$2:$P$700,0,MATCH($B260,元データ_加工!$C$1:$P$1,0)),元データ_加工!$A$2:$A$700,$A260,元データ_加工!$B$2:$B$700,N$5)</f>
        <v>0</v>
      </c>
      <c r="O260" s="26">
        <f t="shared" si="3"/>
        <v>4</v>
      </c>
      <c r="P260" s="7">
        <f>IFERROR(O260/SUMIFS(元データ_加工!$C$2:$C$700,元データ_加工!$A$2:$A$700,$A260),"")</f>
        <v>2.9574861367837339E-4</v>
      </c>
    </row>
    <row r="261" spans="1:16" x14ac:dyDescent="0.45">
      <c r="A261" t="s">
        <v>53</v>
      </c>
      <c r="B261" t="s">
        <v>103</v>
      </c>
      <c r="C261" s="26">
        <f>SUMIFS(INDEX(元データ_加工!$C$2:$P$700,0,MATCH($B261,元データ_加工!$C$1:$P$1,0)),元データ_加工!$A$2:$A$700,$A261,元データ_加工!$B$2:$B$700,C$5)</f>
        <v>0</v>
      </c>
      <c r="D261" s="26">
        <f>SUMIFS(INDEX(元データ_加工!$C$2:$P$700,0,MATCH($B261,元データ_加工!$C$1:$P$1,0)),元データ_加工!$A$2:$A$700,$A261,元データ_加工!$B$2:$B$700,D$5)</f>
        <v>0</v>
      </c>
      <c r="E261" s="26">
        <f>SUMIFS(INDEX(元データ_加工!$C$2:$P$700,0,MATCH($B261,元データ_加工!$C$1:$P$1,0)),元データ_加工!$A$2:$A$700,$A261,元データ_加工!$B$2:$B$700,E$5)</f>
        <v>0</v>
      </c>
      <c r="F261" s="26">
        <f>SUMIFS(INDEX(元データ_加工!$C$2:$P$700,0,MATCH($B261,元データ_加工!$C$1:$P$1,0)),元データ_加工!$A$2:$A$700,$A261,元データ_加工!$B$2:$B$700,F$5)</f>
        <v>1</v>
      </c>
      <c r="G261" s="26">
        <f>SUMIFS(INDEX(元データ_加工!$C$2:$P$700,0,MATCH($B261,元データ_加工!$C$1:$P$1,0)),元データ_加工!$A$2:$A$700,$A261,元データ_加工!$B$2:$B$700,G$5)</f>
        <v>6</v>
      </c>
      <c r="H261" s="26">
        <f>SUMIFS(INDEX(元データ_加工!$C$2:$P$700,0,MATCH($B261,元データ_加工!$C$1:$P$1,0)),元データ_加工!$A$2:$A$700,$A261,元データ_加工!$B$2:$B$700,H$5)</f>
        <v>6</v>
      </c>
      <c r="I261" s="26">
        <f>SUMIFS(INDEX(元データ_加工!$C$2:$P$700,0,MATCH($B261,元データ_加工!$C$1:$P$1,0)),元データ_加工!$A$2:$A$700,$A261,元データ_加工!$B$2:$B$700,I$5)</f>
        <v>1</v>
      </c>
      <c r="J261" s="26">
        <f>SUMIFS(INDEX(元データ_加工!$C$2:$P$700,0,MATCH($B261,元データ_加工!$C$1:$P$1,0)),元データ_加工!$A$2:$A$700,$A261,元データ_加工!$B$2:$B$700,J$5)</f>
        <v>0</v>
      </c>
      <c r="K261" s="26">
        <f>SUMIFS(INDEX(元データ_加工!$C$2:$P$700,0,MATCH($B261,元データ_加工!$C$1:$P$1,0)),元データ_加工!$A$2:$A$700,$A261,元データ_加工!$B$2:$B$700,K$5)</f>
        <v>1</v>
      </c>
      <c r="L261" s="26">
        <f>SUMIFS(INDEX(元データ_加工!$C$2:$P$700,0,MATCH($B261,元データ_加工!$C$1:$P$1,0)),元データ_加工!$A$2:$A$700,$A261,元データ_加工!$B$2:$B$700,L$5)</f>
        <v>0</v>
      </c>
      <c r="M261" s="26">
        <f>SUMIFS(INDEX(元データ_加工!$C$2:$P$700,0,MATCH($B261,元データ_加工!$C$1:$P$1,0)),元データ_加工!$A$2:$A$700,$A261,元データ_加工!$B$2:$B$700,M$5)</f>
        <v>0</v>
      </c>
      <c r="N261" s="26">
        <f>SUMIFS(INDEX(元データ_加工!$C$2:$P$700,0,MATCH($B261,元データ_加工!$C$1:$P$1,0)),元データ_加工!$A$2:$A$700,$A261,元データ_加工!$B$2:$B$700,N$5)</f>
        <v>0</v>
      </c>
      <c r="O261" s="26">
        <f t="shared" si="3"/>
        <v>15</v>
      </c>
      <c r="P261" s="7">
        <f>IFERROR(O261/SUMIFS(元データ_加工!$C$2:$C$700,元データ_加工!$A$2:$A$700,$A261),"")</f>
        <v>1.1090573012939001E-3</v>
      </c>
    </row>
    <row r="262" spans="1:16" x14ac:dyDescent="0.45">
      <c r="A262" t="s">
        <v>53</v>
      </c>
      <c r="B262" t="s">
        <v>104</v>
      </c>
      <c r="C262" s="26">
        <f>SUMIFS(INDEX(元データ_加工!$C$2:$P$700,0,MATCH($B262,元データ_加工!$C$1:$P$1,0)),元データ_加工!$A$2:$A$700,$A262,元データ_加工!$B$2:$B$700,C$5)</f>
        <v>13</v>
      </c>
      <c r="D262" s="26">
        <f>SUMIFS(INDEX(元データ_加工!$C$2:$P$700,0,MATCH($B262,元データ_加工!$C$1:$P$1,0)),元データ_加工!$A$2:$A$700,$A262,元データ_加工!$B$2:$B$700,D$5)</f>
        <v>28</v>
      </c>
      <c r="E262" s="26">
        <f>SUMIFS(INDEX(元データ_加工!$C$2:$P$700,0,MATCH($B262,元データ_加工!$C$1:$P$1,0)),元データ_加工!$A$2:$A$700,$A262,元データ_加工!$B$2:$B$700,E$5)</f>
        <v>21</v>
      </c>
      <c r="F262" s="26">
        <f>SUMIFS(INDEX(元データ_加工!$C$2:$P$700,0,MATCH($B262,元データ_加工!$C$1:$P$1,0)),元データ_加工!$A$2:$A$700,$A262,元データ_加工!$B$2:$B$700,F$5)</f>
        <v>21</v>
      </c>
      <c r="G262" s="26">
        <f>SUMIFS(INDEX(元データ_加工!$C$2:$P$700,0,MATCH($B262,元データ_加工!$C$1:$P$1,0)),元データ_加工!$A$2:$A$700,$A262,元データ_加工!$B$2:$B$700,G$5)</f>
        <v>27</v>
      </c>
      <c r="H262" s="26">
        <f>SUMIFS(INDEX(元データ_加工!$C$2:$P$700,0,MATCH($B262,元データ_加工!$C$1:$P$1,0)),元データ_加工!$A$2:$A$700,$A262,元データ_加工!$B$2:$B$700,H$5)</f>
        <v>13</v>
      </c>
      <c r="I262" s="26">
        <f>SUMIFS(INDEX(元データ_加工!$C$2:$P$700,0,MATCH($B262,元データ_加工!$C$1:$P$1,0)),元データ_加工!$A$2:$A$700,$A262,元データ_加工!$B$2:$B$700,I$5)</f>
        <v>17</v>
      </c>
      <c r="J262" s="26">
        <f>SUMIFS(INDEX(元データ_加工!$C$2:$P$700,0,MATCH($B262,元データ_加工!$C$1:$P$1,0)),元データ_加工!$A$2:$A$700,$A262,元データ_加工!$B$2:$B$700,J$5)</f>
        <v>61</v>
      </c>
      <c r="K262" s="26">
        <f>SUMIFS(INDEX(元データ_加工!$C$2:$P$700,0,MATCH($B262,元データ_加工!$C$1:$P$1,0)),元データ_加工!$A$2:$A$700,$A262,元データ_加工!$B$2:$B$700,K$5)</f>
        <v>106</v>
      </c>
      <c r="L262" s="26">
        <f>SUMIFS(INDEX(元データ_加工!$C$2:$P$700,0,MATCH($B262,元データ_加工!$C$1:$P$1,0)),元データ_加工!$A$2:$A$700,$A262,元データ_加工!$B$2:$B$700,L$5)</f>
        <v>94</v>
      </c>
      <c r="M262" s="26">
        <f>SUMIFS(INDEX(元データ_加工!$C$2:$P$700,0,MATCH($B262,元データ_加工!$C$1:$P$1,0)),元データ_加工!$A$2:$A$700,$A262,元データ_加工!$B$2:$B$700,M$5)</f>
        <v>64</v>
      </c>
      <c r="N262" s="26">
        <f>SUMIFS(INDEX(元データ_加工!$C$2:$P$700,0,MATCH($B262,元データ_加工!$C$1:$P$1,0)),元データ_加工!$A$2:$A$700,$A262,元データ_加工!$B$2:$B$700,N$5)</f>
        <v>27</v>
      </c>
      <c r="O262" s="26">
        <f t="shared" si="3"/>
        <v>492</v>
      </c>
      <c r="P262" s="7">
        <f>IFERROR(O262/SUMIFS(元データ_加工!$C$2:$C$700,元データ_加工!$A$2:$A$700,$A262),"")</f>
        <v>3.6377079482439928E-2</v>
      </c>
    </row>
    <row r="263" spans="1:16" x14ac:dyDescent="0.45">
      <c r="A263" t="s">
        <v>53</v>
      </c>
      <c r="B263" t="s">
        <v>105</v>
      </c>
      <c r="C263" s="26">
        <f>SUMIFS(INDEX(元データ_加工!$C$2:$P$700,0,MATCH($B263,元データ_加工!$C$1:$P$1,0)),元データ_加工!$A$2:$A$700,$A263,元データ_加工!$B$2:$B$700,C$5)</f>
        <v>4</v>
      </c>
      <c r="D263" s="26">
        <f>SUMIFS(INDEX(元データ_加工!$C$2:$P$700,0,MATCH($B263,元データ_加工!$C$1:$P$1,0)),元データ_加工!$A$2:$A$700,$A263,元データ_加工!$B$2:$B$700,D$5)</f>
        <v>1</v>
      </c>
      <c r="E263" s="26">
        <f>SUMIFS(INDEX(元データ_加工!$C$2:$P$700,0,MATCH($B263,元データ_加工!$C$1:$P$1,0)),元データ_加工!$A$2:$A$700,$A263,元データ_加工!$B$2:$B$700,E$5)</f>
        <v>3</v>
      </c>
      <c r="F263" s="26">
        <f>SUMIFS(INDEX(元データ_加工!$C$2:$P$700,0,MATCH($B263,元データ_加工!$C$1:$P$1,0)),元データ_加工!$A$2:$A$700,$A263,元データ_加工!$B$2:$B$700,F$5)</f>
        <v>3</v>
      </c>
      <c r="G263" s="26">
        <f>SUMIFS(INDEX(元データ_加工!$C$2:$P$700,0,MATCH($B263,元データ_加工!$C$1:$P$1,0)),元データ_加工!$A$2:$A$700,$A263,元データ_加工!$B$2:$B$700,G$5)</f>
        <v>7</v>
      </c>
      <c r="H263" s="26">
        <f>SUMIFS(INDEX(元データ_加工!$C$2:$P$700,0,MATCH($B263,元データ_加工!$C$1:$P$1,0)),元データ_加工!$A$2:$A$700,$A263,元データ_加工!$B$2:$B$700,H$5)</f>
        <v>10</v>
      </c>
      <c r="I263" s="26">
        <f>SUMIFS(INDEX(元データ_加工!$C$2:$P$700,0,MATCH($B263,元データ_加工!$C$1:$P$1,0)),元データ_加工!$A$2:$A$700,$A263,元データ_加工!$B$2:$B$700,I$5)</f>
        <v>10</v>
      </c>
      <c r="J263" s="26">
        <f>SUMIFS(INDEX(元データ_加工!$C$2:$P$700,0,MATCH($B263,元データ_加工!$C$1:$P$1,0)),元データ_加工!$A$2:$A$700,$A263,元データ_加工!$B$2:$B$700,J$5)</f>
        <v>40</v>
      </c>
      <c r="K263" s="26">
        <f>SUMIFS(INDEX(元データ_加工!$C$2:$P$700,0,MATCH($B263,元データ_加工!$C$1:$P$1,0)),元データ_加工!$A$2:$A$700,$A263,元データ_加工!$B$2:$B$700,K$5)</f>
        <v>99</v>
      </c>
      <c r="L263" s="26">
        <f>SUMIFS(INDEX(元データ_加工!$C$2:$P$700,0,MATCH($B263,元データ_加工!$C$1:$P$1,0)),元データ_加工!$A$2:$A$700,$A263,元データ_加工!$B$2:$B$700,L$5)</f>
        <v>75</v>
      </c>
      <c r="M263" s="26">
        <f>SUMIFS(INDEX(元データ_加工!$C$2:$P$700,0,MATCH($B263,元データ_加工!$C$1:$P$1,0)),元データ_加工!$A$2:$A$700,$A263,元データ_加工!$B$2:$B$700,M$5)</f>
        <v>33</v>
      </c>
      <c r="N263" s="26">
        <f>SUMIFS(INDEX(元データ_加工!$C$2:$P$700,0,MATCH($B263,元データ_加工!$C$1:$P$1,0)),元データ_加工!$A$2:$A$700,$A263,元データ_加工!$B$2:$B$700,N$5)</f>
        <v>11</v>
      </c>
      <c r="O263" s="26">
        <f t="shared" ref="O263:O326" si="4">SUM(C263:N263)</f>
        <v>296</v>
      </c>
      <c r="P263" s="7">
        <f>IFERROR(O263/SUMIFS(元データ_加工!$C$2:$C$700,元データ_加工!$A$2:$A$700,$A263),"")</f>
        <v>2.1885397412199629E-2</v>
      </c>
    </row>
    <row r="264" spans="1:16" x14ac:dyDescent="0.45">
      <c r="A264" t="s">
        <v>53</v>
      </c>
      <c r="B264" t="s">
        <v>106</v>
      </c>
      <c r="C264" s="26">
        <f>SUMIFS(INDEX(元データ_加工!$C$2:$P$700,0,MATCH($B264,元データ_加工!$C$1:$P$1,0)),元データ_加工!$A$2:$A$700,$A264,元データ_加工!$B$2:$B$700,C$5)</f>
        <v>172</v>
      </c>
      <c r="D264" s="26">
        <f>SUMIFS(INDEX(元データ_加工!$C$2:$P$700,0,MATCH($B264,元データ_加工!$C$1:$P$1,0)),元データ_加工!$A$2:$A$700,$A264,元データ_加工!$B$2:$B$700,D$5)</f>
        <v>169</v>
      </c>
      <c r="E264" s="26">
        <f>SUMIFS(INDEX(元データ_加工!$C$2:$P$700,0,MATCH($B264,元データ_加工!$C$1:$P$1,0)),元データ_加工!$A$2:$A$700,$A264,元データ_加工!$B$2:$B$700,E$5)</f>
        <v>183</v>
      </c>
      <c r="F264" s="26">
        <f>SUMIFS(INDEX(元データ_加工!$C$2:$P$700,0,MATCH($B264,元データ_加工!$C$1:$P$1,0)),元データ_加工!$A$2:$A$700,$A264,元データ_加工!$B$2:$B$700,F$5)</f>
        <v>154</v>
      </c>
      <c r="G264" s="26">
        <f>SUMIFS(INDEX(元データ_加工!$C$2:$P$700,0,MATCH($B264,元データ_加工!$C$1:$P$1,0)),元データ_加工!$A$2:$A$700,$A264,元データ_加工!$B$2:$B$700,G$5)</f>
        <v>140</v>
      </c>
      <c r="H264" s="26">
        <f>SUMIFS(INDEX(元データ_加工!$C$2:$P$700,0,MATCH($B264,元データ_加工!$C$1:$P$1,0)),元データ_加工!$A$2:$A$700,$A264,元データ_加工!$B$2:$B$700,H$5)</f>
        <v>127</v>
      </c>
      <c r="I264" s="26">
        <f>SUMIFS(INDEX(元データ_加工!$C$2:$P$700,0,MATCH($B264,元データ_加工!$C$1:$P$1,0)),元データ_加工!$A$2:$A$700,$A264,元データ_加工!$B$2:$B$700,I$5)</f>
        <v>85</v>
      </c>
      <c r="J264" s="26">
        <f>SUMIFS(INDEX(元データ_加工!$C$2:$P$700,0,MATCH($B264,元データ_加工!$C$1:$P$1,0)),元データ_加工!$A$2:$A$700,$A264,元データ_加工!$B$2:$B$700,J$5)</f>
        <v>75</v>
      </c>
      <c r="K264" s="26">
        <f>SUMIFS(INDEX(元データ_加工!$C$2:$P$700,0,MATCH($B264,元データ_加工!$C$1:$P$1,0)),元データ_加工!$A$2:$A$700,$A264,元データ_加工!$B$2:$B$700,K$5)</f>
        <v>203</v>
      </c>
      <c r="L264" s="26">
        <f>SUMIFS(INDEX(元データ_加工!$C$2:$P$700,0,MATCH($B264,元データ_加工!$C$1:$P$1,0)),元データ_加工!$A$2:$A$700,$A264,元データ_加工!$B$2:$B$700,L$5)</f>
        <v>145</v>
      </c>
      <c r="M264" s="26">
        <f>SUMIFS(INDEX(元データ_加工!$C$2:$P$700,0,MATCH($B264,元データ_加工!$C$1:$P$1,0)),元データ_加工!$A$2:$A$700,$A264,元データ_加工!$B$2:$B$700,M$5)</f>
        <v>228</v>
      </c>
      <c r="N264" s="26">
        <f>SUMIFS(INDEX(元データ_加工!$C$2:$P$700,0,MATCH($B264,元データ_加工!$C$1:$P$1,0)),元データ_加工!$A$2:$A$700,$A264,元データ_加工!$B$2:$B$700,N$5)</f>
        <v>244</v>
      </c>
      <c r="O264" s="26">
        <f t="shared" si="4"/>
        <v>1925</v>
      </c>
      <c r="P264" s="7">
        <f>IFERROR(O264/SUMIFS(元データ_加工!$C$2:$C$700,元データ_加工!$A$2:$A$700,$A264),"")</f>
        <v>0.14232902033271719</v>
      </c>
    </row>
    <row r="265" spans="1:16" x14ac:dyDescent="0.45">
      <c r="A265" t="s">
        <v>53</v>
      </c>
      <c r="B265" t="s">
        <v>107</v>
      </c>
      <c r="C265" s="26">
        <f>SUMIFS(INDEX(元データ_加工!$C$2:$P$700,0,MATCH($B265,元データ_加工!$C$1:$P$1,0)),元データ_加工!$A$2:$A$700,$A265,元データ_加工!$B$2:$B$700,C$5)</f>
        <v>6</v>
      </c>
      <c r="D265" s="26">
        <f>SUMIFS(INDEX(元データ_加工!$C$2:$P$700,0,MATCH($B265,元データ_加工!$C$1:$P$1,0)),元データ_加工!$A$2:$A$700,$A265,元データ_加工!$B$2:$B$700,D$5)</f>
        <v>3</v>
      </c>
      <c r="E265" s="26">
        <f>SUMIFS(INDEX(元データ_加工!$C$2:$P$700,0,MATCH($B265,元データ_加工!$C$1:$P$1,0)),元データ_加工!$A$2:$A$700,$A265,元データ_加工!$B$2:$B$700,E$5)</f>
        <v>10</v>
      </c>
      <c r="F265" s="26">
        <f>SUMIFS(INDEX(元データ_加工!$C$2:$P$700,0,MATCH($B265,元データ_加工!$C$1:$P$1,0)),元データ_加工!$A$2:$A$700,$A265,元データ_加工!$B$2:$B$700,F$5)</f>
        <v>12</v>
      </c>
      <c r="G265" s="26">
        <f>SUMIFS(INDEX(元データ_加工!$C$2:$P$700,0,MATCH($B265,元データ_加工!$C$1:$P$1,0)),元データ_加工!$A$2:$A$700,$A265,元データ_加工!$B$2:$B$700,G$5)</f>
        <v>4</v>
      </c>
      <c r="H265" s="26">
        <f>SUMIFS(INDEX(元データ_加工!$C$2:$P$700,0,MATCH($B265,元データ_加工!$C$1:$P$1,0)),元データ_加工!$A$2:$A$700,$A265,元データ_加工!$B$2:$B$700,H$5)</f>
        <v>3</v>
      </c>
      <c r="I265" s="26">
        <f>SUMIFS(INDEX(元データ_加工!$C$2:$P$700,0,MATCH($B265,元データ_加工!$C$1:$P$1,0)),元データ_加工!$A$2:$A$700,$A265,元データ_加工!$B$2:$B$700,I$5)</f>
        <v>1</v>
      </c>
      <c r="J265" s="26">
        <f>SUMIFS(INDEX(元データ_加工!$C$2:$P$700,0,MATCH($B265,元データ_加工!$C$1:$P$1,0)),元データ_加工!$A$2:$A$700,$A265,元データ_加工!$B$2:$B$700,J$5)</f>
        <v>3</v>
      </c>
      <c r="K265" s="26">
        <f>SUMIFS(INDEX(元データ_加工!$C$2:$P$700,0,MATCH($B265,元データ_加工!$C$1:$P$1,0)),元データ_加工!$A$2:$A$700,$A265,元データ_加工!$B$2:$B$700,K$5)</f>
        <v>4</v>
      </c>
      <c r="L265" s="26">
        <f>SUMIFS(INDEX(元データ_加工!$C$2:$P$700,0,MATCH($B265,元データ_加工!$C$1:$P$1,0)),元データ_加工!$A$2:$A$700,$A265,元データ_加工!$B$2:$B$700,L$5)</f>
        <v>3</v>
      </c>
      <c r="M265" s="26">
        <f>SUMIFS(INDEX(元データ_加工!$C$2:$P$700,0,MATCH($B265,元データ_加工!$C$1:$P$1,0)),元データ_加工!$A$2:$A$700,$A265,元データ_加工!$B$2:$B$700,M$5)</f>
        <v>4</v>
      </c>
      <c r="N265" s="26">
        <f>SUMIFS(INDEX(元データ_加工!$C$2:$P$700,0,MATCH($B265,元データ_加工!$C$1:$P$1,0)),元データ_加工!$A$2:$A$700,$A265,元データ_加工!$B$2:$B$700,N$5)</f>
        <v>3</v>
      </c>
      <c r="O265" s="26">
        <f t="shared" si="4"/>
        <v>56</v>
      </c>
      <c r="P265" s="7">
        <f>IFERROR(O265/SUMIFS(元データ_加工!$C$2:$C$700,元データ_加工!$A$2:$A$700,$A265),"")</f>
        <v>4.1404805914972273E-3</v>
      </c>
    </row>
    <row r="266" spans="1:16" x14ac:dyDescent="0.45">
      <c r="A266" t="s">
        <v>53</v>
      </c>
      <c r="B266" t="s">
        <v>108</v>
      </c>
      <c r="C266" s="26">
        <f>SUMIFS(INDEX(元データ_加工!$C$2:$P$700,0,MATCH($B266,元データ_加工!$C$1:$P$1,0)),元データ_加工!$A$2:$A$700,$A266,元データ_加工!$B$2:$B$700,C$5)</f>
        <v>0</v>
      </c>
      <c r="D266" s="26">
        <f>SUMIFS(INDEX(元データ_加工!$C$2:$P$700,0,MATCH($B266,元データ_加工!$C$1:$P$1,0)),元データ_加工!$A$2:$A$700,$A266,元データ_加工!$B$2:$B$700,D$5)</f>
        <v>38</v>
      </c>
      <c r="E266" s="26">
        <f>SUMIFS(INDEX(元データ_加工!$C$2:$P$700,0,MATCH($B266,元データ_加工!$C$1:$P$1,0)),元データ_加工!$A$2:$A$700,$A266,元データ_加工!$B$2:$B$700,E$5)</f>
        <v>58</v>
      </c>
      <c r="F266" s="26">
        <f>SUMIFS(INDEX(元データ_加工!$C$2:$P$700,0,MATCH($B266,元データ_加工!$C$1:$P$1,0)),元データ_加工!$A$2:$A$700,$A266,元データ_加工!$B$2:$B$700,F$5)</f>
        <v>24</v>
      </c>
      <c r="G266" s="26">
        <f>SUMIFS(INDEX(元データ_加工!$C$2:$P$700,0,MATCH($B266,元データ_加工!$C$1:$P$1,0)),元データ_加工!$A$2:$A$700,$A266,元データ_加工!$B$2:$B$700,G$5)</f>
        <v>11</v>
      </c>
      <c r="H266" s="26">
        <f>SUMIFS(INDEX(元データ_加工!$C$2:$P$700,0,MATCH($B266,元データ_加工!$C$1:$P$1,0)),元データ_加工!$A$2:$A$700,$A266,元データ_加工!$B$2:$B$700,H$5)</f>
        <v>3</v>
      </c>
      <c r="I266" s="26">
        <f>SUMIFS(INDEX(元データ_加工!$C$2:$P$700,0,MATCH($B266,元データ_加工!$C$1:$P$1,0)),元データ_加工!$A$2:$A$700,$A266,元データ_加工!$B$2:$B$700,I$5)</f>
        <v>0</v>
      </c>
      <c r="J266" s="26">
        <f>SUMIFS(INDEX(元データ_加工!$C$2:$P$700,0,MATCH($B266,元データ_加工!$C$1:$P$1,0)),元データ_加工!$A$2:$A$700,$A266,元データ_加工!$B$2:$B$700,J$5)</f>
        <v>12</v>
      </c>
      <c r="K266" s="26">
        <f>SUMIFS(INDEX(元データ_加工!$C$2:$P$700,0,MATCH($B266,元データ_加工!$C$1:$P$1,0)),元データ_加工!$A$2:$A$700,$A266,元データ_加工!$B$2:$B$700,K$5)</f>
        <v>5</v>
      </c>
      <c r="L266" s="26">
        <f>SUMIFS(INDEX(元データ_加工!$C$2:$P$700,0,MATCH($B266,元データ_加工!$C$1:$P$1,0)),元データ_加工!$A$2:$A$700,$A266,元データ_加工!$B$2:$B$700,L$5)</f>
        <v>10</v>
      </c>
      <c r="M266" s="26">
        <f>SUMIFS(INDEX(元データ_加工!$C$2:$P$700,0,MATCH($B266,元データ_加工!$C$1:$P$1,0)),元データ_加工!$A$2:$A$700,$A266,元データ_加工!$B$2:$B$700,M$5)</f>
        <v>6</v>
      </c>
      <c r="N266" s="26">
        <f>SUMIFS(INDEX(元データ_加工!$C$2:$P$700,0,MATCH($B266,元データ_加工!$C$1:$P$1,0)),元データ_加工!$A$2:$A$700,$A266,元データ_加工!$B$2:$B$700,N$5)</f>
        <v>0</v>
      </c>
      <c r="O266" s="26">
        <f t="shared" si="4"/>
        <v>167</v>
      </c>
      <c r="P266" s="7">
        <f>IFERROR(O266/SUMIFS(元データ_加工!$C$2:$C$700,元データ_加工!$A$2:$A$700,$A266),"")</f>
        <v>1.2347504621072088E-2</v>
      </c>
    </row>
    <row r="267" spans="1:16" x14ac:dyDescent="0.45">
      <c r="A267" t="s">
        <v>53</v>
      </c>
      <c r="B267" t="s">
        <v>109</v>
      </c>
      <c r="C267" s="26">
        <f>SUMIFS(INDEX(元データ_加工!$C$2:$P$700,0,MATCH($B267,元データ_加工!$C$1:$P$1,0)),元データ_加工!$A$2:$A$700,$A267,元データ_加工!$B$2:$B$700,C$5)</f>
        <v>16</v>
      </c>
      <c r="D267" s="26">
        <f>SUMIFS(INDEX(元データ_加工!$C$2:$P$700,0,MATCH($B267,元データ_加工!$C$1:$P$1,0)),元データ_加工!$A$2:$A$700,$A267,元データ_加工!$B$2:$B$700,D$5)</f>
        <v>26</v>
      </c>
      <c r="E267" s="26">
        <f>SUMIFS(INDEX(元データ_加工!$C$2:$P$700,0,MATCH($B267,元データ_加工!$C$1:$P$1,0)),元データ_加工!$A$2:$A$700,$A267,元データ_加工!$B$2:$B$700,E$5)</f>
        <v>31</v>
      </c>
      <c r="F267" s="26">
        <f>SUMIFS(INDEX(元データ_加工!$C$2:$P$700,0,MATCH($B267,元データ_加工!$C$1:$P$1,0)),元データ_加工!$A$2:$A$700,$A267,元データ_加工!$B$2:$B$700,F$5)</f>
        <v>45</v>
      </c>
      <c r="G267" s="26">
        <f>SUMIFS(INDEX(元データ_加工!$C$2:$P$700,0,MATCH($B267,元データ_加工!$C$1:$P$1,0)),元データ_加工!$A$2:$A$700,$A267,元データ_加工!$B$2:$B$700,G$5)</f>
        <v>22</v>
      </c>
      <c r="H267" s="26">
        <f>SUMIFS(INDEX(元データ_加工!$C$2:$P$700,0,MATCH($B267,元データ_加工!$C$1:$P$1,0)),元データ_加工!$A$2:$A$700,$A267,元データ_加工!$B$2:$B$700,H$5)</f>
        <v>19</v>
      </c>
      <c r="I267" s="26">
        <f>SUMIFS(INDEX(元データ_加工!$C$2:$P$700,0,MATCH($B267,元データ_加工!$C$1:$P$1,0)),元データ_加工!$A$2:$A$700,$A267,元データ_加工!$B$2:$B$700,I$5)</f>
        <v>9</v>
      </c>
      <c r="J267" s="26">
        <f>SUMIFS(INDEX(元データ_加工!$C$2:$P$700,0,MATCH($B267,元データ_加工!$C$1:$P$1,0)),元データ_加工!$A$2:$A$700,$A267,元データ_加工!$B$2:$B$700,J$5)</f>
        <v>22</v>
      </c>
      <c r="K267" s="26">
        <f>SUMIFS(INDEX(元データ_加工!$C$2:$P$700,0,MATCH($B267,元データ_加工!$C$1:$P$1,0)),元データ_加工!$A$2:$A$700,$A267,元データ_加工!$B$2:$B$700,K$5)</f>
        <v>29</v>
      </c>
      <c r="L267" s="26">
        <f>SUMIFS(INDEX(元データ_加工!$C$2:$P$700,0,MATCH($B267,元データ_加工!$C$1:$P$1,0)),元データ_加工!$A$2:$A$700,$A267,元データ_加工!$B$2:$B$700,L$5)</f>
        <v>49</v>
      </c>
      <c r="M267" s="26">
        <f>SUMIFS(INDEX(元データ_加工!$C$2:$P$700,0,MATCH($B267,元データ_加工!$C$1:$P$1,0)),元データ_加工!$A$2:$A$700,$A267,元データ_加工!$B$2:$B$700,M$5)</f>
        <v>52</v>
      </c>
      <c r="N267" s="26">
        <f>SUMIFS(INDEX(元データ_加工!$C$2:$P$700,0,MATCH($B267,元データ_加工!$C$1:$P$1,0)),元データ_加工!$A$2:$A$700,$A267,元データ_加工!$B$2:$B$700,N$5)</f>
        <v>52</v>
      </c>
      <c r="O267" s="26">
        <f t="shared" si="4"/>
        <v>372</v>
      </c>
      <c r="P267" s="7">
        <f>IFERROR(O267/SUMIFS(元データ_加工!$C$2:$C$700,元データ_加工!$A$2:$A$700,$A267),"")</f>
        <v>2.7504621072088724E-2</v>
      </c>
    </row>
    <row r="268" spans="1:16" x14ac:dyDescent="0.45">
      <c r="A268" t="s">
        <v>53</v>
      </c>
      <c r="B268" t="s">
        <v>110</v>
      </c>
      <c r="C268" s="26">
        <f>SUMIFS(INDEX(元データ_加工!$C$2:$P$700,0,MATCH($B268,元データ_加工!$C$1:$P$1,0)),元データ_加工!$A$2:$A$700,$A268,元データ_加工!$B$2:$B$700,C$5)</f>
        <v>0</v>
      </c>
      <c r="D268" s="26">
        <f>SUMIFS(INDEX(元データ_加工!$C$2:$P$700,0,MATCH($B268,元データ_加工!$C$1:$P$1,0)),元データ_加工!$A$2:$A$700,$A268,元データ_加工!$B$2:$B$700,D$5)</f>
        <v>0</v>
      </c>
      <c r="E268" s="26">
        <f>SUMIFS(INDEX(元データ_加工!$C$2:$P$700,0,MATCH($B268,元データ_加工!$C$1:$P$1,0)),元データ_加工!$A$2:$A$700,$A268,元データ_加工!$B$2:$B$700,E$5)</f>
        <v>0</v>
      </c>
      <c r="F268" s="26">
        <f>SUMIFS(INDEX(元データ_加工!$C$2:$P$700,0,MATCH($B268,元データ_加工!$C$1:$P$1,0)),元データ_加工!$A$2:$A$700,$A268,元データ_加工!$B$2:$B$700,F$5)</f>
        <v>0</v>
      </c>
      <c r="G268" s="26">
        <f>SUMIFS(INDEX(元データ_加工!$C$2:$P$700,0,MATCH($B268,元データ_加工!$C$1:$P$1,0)),元データ_加工!$A$2:$A$700,$A268,元データ_加工!$B$2:$B$700,G$5)</f>
        <v>0</v>
      </c>
      <c r="H268" s="26">
        <f>SUMIFS(INDEX(元データ_加工!$C$2:$P$700,0,MATCH($B268,元データ_加工!$C$1:$P$1,0)),元データ_加工!$A$2:$A$700,$A268,元データ_加工!$B$2:$B$700,H$5)</f>
        <v>0</v>
      </c>
      <c r="I268" s="26">
        <f>SUMIFS(INDEX(元データ_加工!$C$2:$P$700,0,MATCH($B268,元データ_加工!$C$1:$P$1,0)),元データ_加工!$A$2:$A$700,$A268,元データ_加工!$B$2:$B$700,I$5)</f>
        <v>0</v>
      </c>
      <c r="J268" s="26">
        <f>SUMIFS(INDEX(元データ_加工!$C$2:$P$700,0,MATCH($B268,元データ_加工!$C$1:$P$1,0)),元データ_加工!$A$2:$A$700,$A268,元データ_加工!$B$2:$B$700,J$5)</f>
        <v>0</v>
      </c>
      <c r="K268" s="26">
        <f>SUMIFS(INDEX(元データ_加工!$C$2:$P$700,0,MATCH($B268,元データ_加工!$C$1:$P$1,0)),元データ_加工!$A$2:$A$700,$A268,元データ_加工!$B$2:$B$700,K$5)</f>
        <v>0</v>
      </c>
      <c r="L268" s="26">
        <f>SUMIFS(INDEX(元データ_加工!$C$2:$P$700,0,MATCH($B268,元データ_加工!$C$1:$P$1,0)),元データ_加工!$A$2:$A$700,$A268,元データ_加工!$B$2:$B$700,L$5)</f>
        <v>0</v>
      </c>
      <c r="M268" s="26">
        <f>SUMIFS(INDEX(元データ_加工!$C$2:$P$700,0,MATCH($B268,元データ_加工!$C$1:$P$1,0)),元データ_加工!$A$2:$A$700,$A268,元データ_加工!$B$2:$B$700,M$5)</f>
        <v>0</v>
      </c>
      <c r="N268" s="26">
        <f>SUMIFS(INDEX(元データ_加工!$C$2:$P$700,0,MATCH($B268,元データ_加工!$C$1:$P$1,0)),元データ_加工!$A$2:$A$700,$A268,元データ_加工!$B$2:$B$700,N$5)</f>
        <v>0</v>
      </c>
      <c r="O268" s="26">
        <f t="shared" si="4"/>
        <v>0</v>
      </c>
      <c r="P268" s="7">
        <f>IFERROR(O268/SUMIFS(元データ_加工!$C$2:$C$700,元データ_加工!$A$2:$A$700,$A268),"")</f>
        <v>0</v>
      </c>
    </row>
    <row r="269" spans="1:16" x14ac:dyDescent="0.45">
      <c r="A269" t="s">
        <v>53</v>
      </c>
      <c r="B269" t="s">
        <v>111</v>
      </c>
      <c r="C269" s="26">
        <f>SUMIFS(INDEX(元データ_加工!$C$2:$P$700,0,MATCH($B269,元データ_加工!$C$1:$P$1,0)),元データ_加工!$A$2:$A$700,$A269,元データ_加工!$B$2:$B$700,C$5)</f>
        <v>15</v>
      </c>
      <c r="D269" s="26">
        <f>SUMIFS(INDEX(元データ_加工!$C$2:$P$700,0,MATCH($B269,元データ_加工!$C$1:$P$1,0)),元データ_加工!$A$2:$A$700,$A269,元データ_加工!$B$2:$B$700,D$5)</f>
        <v>5</v>
      </c>
      <c r="E269" s="26">
        <f>SUMIFS(INDEX(元データ_加工!$C$2:$P$700,0,MATCH($B269,元データ_加工!$C$1:$P$1,0)),元データ_加工!$A$2:$A$700,$A269,元データ_加工!$B$2:$B$700,E$5)</f>
        <v>9</v>
      </c>
      <c r="F269" s="26">
        <f>SUMIFS(INDEX(元データ_加工!$C$2:$P$700,0,MATCH($B269,元データ_加工!$C$1:$P$1,0)),元データ_加工!$A$2:$A$700,$A269,元データ_加工!$B$2:$B$700,F$5)</f>
        <v>8</v>
      </c>
      <c r="G269" s="26">
        <f>SUMIFS(INDEX(元データ_加工!$C$2:$P$700,0,MATCH($B269,元データ_加工!$C$1:$P$1,0)),元データ_加工!$A$2:$A$700,$A269,元データ_加工!$B$2:$B$700,G$5)</f>
        <v>0</v>
      </c>
      <c r="H269" s="26">
        <f>SUMIFS(INDEX(元データ_加工!$C$2:$P$700,0,MATCH($B269,元データ_加工!$C$1:$P$1,0)),元データ_加工!$A$2:$A$700,$A269,元データ_加工!$B$2:$B$700,H$5)</f>
        <v>0</v>
      </c>
      <c r="I269" s="26">
        <f>SUMIFS(INDEX(元データ_加工!$C$2:$P$700,0,MATCH($B269,元データ_加工!$C$1:$P$1,0)),元データ_加工!$A$2:$A$700,$A269,元データ_加工!$B$2:$B$700,I$5)</f>
        <v>2</v>
      </c>
      <c r="J269" s="26">
        <f>SUMIFS(INDEX(元データ_加工!$C$2:$P$700,0,MATCH($B269,元データ_加工!$C$1:$P$1,0)),元データ_加工!$A$2:$A$700,$A269,元データ_加工!$B$2:$B$700,J$5)</f>
        <v>0</v>
      </c>
      <c r="K269" s="26">
        <f>SUMIFS(INDEX(元データ_加工!$C$2:$P$700,0,MATCH($B269,元データ_加工!$C$1:$P$1,0)),元データ_加工!$A$2:$A$700,$A269,元データ_加工!$B$2:$B$700,K$5)</f>
        <v>11</v>
      </c>
      <c r="L269" s="26">
        <f>SUMIFS(INDEX(元データ_加工!$C$2:$P$700,0,MATCH($B269,元データ_加工!$C$1:$P$1,0)),元データ_加工!$A$2:$A$700,$A269,元データ_加工!$B$2:$B$700,L$5)</f>
        <v>11</v>
      </c>
      <c r="M269" s="26">
        <f>SUMIFS(INDEX(元データ_加工!$C$2:$P$700,0,MATCH($B269,元データ_加工!$C$1:$P$1,0)),元データ_加工!$A$2:$A$700,$A269,元データ_加工!$B$2:$B$700,M$5)</f>
        <v>25</v>
      </c>
      <c r="N269" s="26">
        <f>SUMIFS(INDEX(元データ_加工!$C$2:$P$700,0,MATCH($B269,元データ_加工!$C$1:$P$1,0)),元データ_加工!$A$2:$A$700,$A269,元データ_加工!$B$2:$B$700,N$5)</f>
        <v>13</v>
      </c>
      <c r="O269" s="26">
        <f t="shared" si="4"/>
        <v>99</v>
      </c>
      <c r="P269" s="7">
        <f>IFERROR(O269/SUMIFS(元データ_加工!$C$2:$C$700,元データ_加工!$A$2:$A$700,$A269),"")</f>
        <v>7.319778188539741E-3</v>
      </c>
    </row>
    <row r="270" spans="1:16" x14ac:dyDescent="0.45">
      <c r="A270" t="s">
        <v>53</v>
      </c>
      <c r="B270" t="s">
        <v>112</v>
      </c>
      <c r="C270" s="26">
        <f>SUMIFS(INDEX(元データ_加工!$C$2:$P$700,0,MATCH($B270,元データ_加工!$C$1:$P$1,0)),元データ_加工!$A$2:$A$700,$A270,元データ_加工!$B$2:$B$700,C$5)</f>
        <v>0</v>
      </c>
      <c r="D270" s="26">
        <f>SUMIFS(INDEX(元データ_加工!$C$2:$P$700,0,MATCH($B270,元データ_加工!$C$1:$P$1,0)),元データ_加工!$A$2:$A$700,$A270,元データ_加工!$B$2:$B$700,D$5)</f>
        <v>0</v>
      </c>
      <c r="E270" s="26">
        <f>SUMIFS(INDEX(元データ_加工!$C$2:$P$700,0,MATCH($B270,元データ_加工!$C$1:$P$1,0)),元データ_加工!$A$2:$A$700,$A270,元データ_加工!$B$2:$B$700,E$5)</f>
        <v>1</v>
      </c>
      <c r="F270" s="26">
        <f>SUMIFS(INDEX(元データ_加工!$C$2:$P$700,0,MATCH($B270,元データ_加工!$C$1:$P$1,0)),元データ_加工!$A$2:$A$700,$A270,元データ_加工!$B$2:$B$700,F$5)</f>
        <v>7</v>
      </c>
      <c r="G270" s="26">
        <f>SUMIFS(INDEX(元データ_加工!$C$2:$P$700,0,MATCH($B270,元データ_加工!$C$1:$P$1,0)),元データ_加工!$A$2:$A$700,$A270,元データ_加工!$B$2:$B$700,G$5)</f>
        <v>1</v>
      </c>
      <c r="H270" s="26">
        <f>SUMIFS(INDEX(元データ_加工!$C$2:$P$700,0,MATCH($B270,元データ_加工!$C$1:$P$1,0)),元データ_加工!$A$2:$A$700,$A270,元データ_加工!$B$2:$B$700,H$5)</f>
        <v>1</v>
      </c>
      <c r="I270" s="26">
        <f>SUMIFS(INDEX(元データ_加工!$C$2:$P$700,0,MATCH($B270,元データ_加工!$C$1:$P$1,0)),元データ_加工!$A$2:$A$700,$A270,元データ_加工!$B$2:$B$700,I$5)</f>
        <v>0</v>
      </c>
      <c r="J270" s="26">
        <f>SUMIFS(INDEX(元データ_加工!$C$2:$P$700,0,MATCH($B270,元データ_加工!$C$1:$P$1,0)),元データ_加工!$A$2:$A$700,$A270,元データ_加工!$B$2:$B$700,J$5)</f>
        <v>1</v>
      </c>
      <c r="K270" s="26">
        <f>SUMIFS(INDEX(元データ_加工!$C$2:$P$700,0,MATCH($B270,元データ_加工!$C$1:$P$1,0)),元データ_加工!$A$2:$A$700,$A270,元データ_加工!$B$2:$B$700,K$5)</f>
        <v>9</v>
      </c>
      <c r="L270" s="26">
        <f>SUMIFS(INDEX(元データ_加工!$C$2:$P$700,0,MATCH($B270,元データ_加工!$C$1:$P$1,0)),元データ_加工!$A$2:$A$700,$A270,元データ_加工!$B$2:$B$700,L$5)</f>
        <v>1</v>
      </c>
      <c r="M270" s="26">
        <f>SUMIFS(INDEX(元データ_加工!$C$2:$P$700,0,MATCH($B270,元データ_加工!$C$1:$P$1,0)),元データ_加工!$A$2:$A$700,$A270,元データ_加工!$B$2:$B$700,M$5)</f>
        <v>1</v>
      </c>
      <c r="N270" s="26">
        <f>SUMIFS(INDEX(元データ_加工!$C$2:$P$700,0,MATCH($B270,元データ_加工!$C$1:$P$1,0)),元データ_加工!$A$2:$A$700,$A270,元データ_加工!$B$2:$B$700,N$5)</f>
        <v>0</v>
      </c>
      <c r="O270" s="26">
        <f t="shared" si="4"/>
        <v>22</v>
      </c>
      <c r="P270" s="7">
        <f>IFERROR(O270/SUMIFS(元データ_加工!$C$2:$C$700,元データ_加工!$A$2:$A$700,$A270),"")</f>
        <v>1.6266173752310536E-3</v>
      </c>
    </row>
    <row r="271" spans="1:16" x14ac:dyDescent="0.45">
      <c r="A271" t="s">
        <v>53</v>
      </c>
      <c r="B271" t="s">
        <v>113</v>
      </c>
      <c r="C271" s="26">
        <f>SUMIFS(INDEX(元データ_加工!$C$2:$P$700,0,MATCH($B271,元データ_加工!$C$1:$P$1,0)),元データ_加工!$A$2:$A$700,$A271,元データ_加工!$B$2:$B$700,C$5)</f>
        <v>0</v>
      </c>
      <c r="D271" s="26">
        <f>SUMIFS(INDEX(元データ_加工!$C$2:$P$700,0,MATCH($B271,元データ_加工!$C$1:$P$1,0)),元データ_加工!$A$2:$A$700,$A271,元データ_加工!$B$2:$B$700,D$5)</f>
        <v>11</v>
      </c>
      <c r="E271" s="26">
        <f>SUMIFS(INDEX(元データ_加工!$C$2:$P$700,0,MATCH($B271,元データ_加工!$C$1:$P$1,0)),元データ_加工!$A$2:$A$700,$A271,元データ_加工!$B$2:$B$700,E$5)</f>
        <v>2</v>
      </c>
      <c r="F271" s="26">
        <f>SUMIFS(INDEX(元データ_加工!$C$2:$P$700,0,MATCH($B271,元データ_加工!$C$1:$P$1,0)),元データ_加工!$A$2:$A$700,$A271,元データ_加工!$B$2:$B$700,F$5)</f>
        <v>5</v>
      </c>
      <c r="G271" s="26">
        <f>SUMIFS(INDEX(元データ_加工!$C$2:$P$700,0,MATCH($B271,元データ_加工!$C$1:$P$1,0)),元データ_加工!$A$2:$A$700,$A271,元データ_加工!$B$2:$B$700,G$5)</f>
        <v>0</v>
      </c>
      <c r="H271" s="26">
        <f>SUMIFS(INDEX(元データ_加工!$C$2:$P$700,0,MATCH($B271,元データ_加工!$C$1:$P$1,0)),元データ_加工!$A$2:$A$700,$A271,元データ_加工!$B$2:$B$700,H$5)</f>
        <v>3</v>
      </c>
      <c r="I271" s="26">
        <f>SUMIFS(INDEX(元データ_加工!$C$2:$P$700,0,MATCH($B271,元データ_加工!$C$1:$P$1,0)),元データ_加工!$A$2:$A$700,$A271,元データ_加工!$B$2:$B$700,I$5)</f>
        <v>0</v>
      </c>
      <c r="J271" s="26">
        <f>SUMIFS(INDEX(元データ_加工!$C$2:$P$700,0,MATCH($B271,元データ_加工!$C$1:$P$1,0)),元データ_加工!$A$2:$A$700,$A271,元データ_加工!$B$2:$B$700,J$5)</f>
        <v>5</v>
      </c>
      <c r="K271" s="26">
        <f>SUMIFS(INDEX(元データ_加工!$C$2:$P$700,0,MATCH($B271,元データ_加工!$C$1:$P$1,0)),元データ_加工!$A$2:$A$700,$A271,元データ_加工!$B$2:$B$700,K$5)</f>
        <v>5</v>
      </c>
      <c r="L271" s="26">
        <f>SUMIFS(INDEX(元データ_加工!$C$2:$P$700,0,MATCH($B271,元データ_加工!$C$1:$P$1,0)),元データ_加工!$A$2:$A$700,$A271,元データ_加工!$B$2:$B$700,L$5)</f>
        <v>2</v>
      </c>
      <c r="M271" s="26">
        <f>SUMIFS(INDEX(元データ_加工!$C$2:$P$700,0,MATCH($B271,元データ_加工!$C$1:$P$1,0)),元データ_加工!$A$2:$A$700,$A271,元データ_加工!$B$2:$B$700,M$5)</f>
        <v>6</v>
      </c>
      <c r="N271" s="26">
        <f>SUMIFS(INDEX(元データ_加工!$C$2:$P$700,0,MATCH($B271,元データ_加工!$C$1:$P$1,0)),元データ_加工!$A$2:$A$700,$A271,元データ_加工!$B$2:$B$700,N$5)</f>
        <v>6</v>
      </c>
      <c r="O271" s="26">
        <f t="shared" si="4"/>
        <v>45</v>
      </c>
      <c r="P271" s="7">
        <f>IFERROR(O271/SUMIFS(元データ_加工!$C$2:$C$700,元データ_加工!$A$2:$A$700,$A271),"")</f>
        <v>3.3271719038817007E-3</v>
      </c>
    </row>
    <row r="272" spans="1:16" x14ac:dyDescent="0.45">
      <c r="A272" t="s">
        <v>54</v>
      </c>
      <c r="B272" t="s">
        <v>100</v>
      </c>
      <c r="C272" s="26">
        <f>SUMIFS(INDEX(元データ_加工!$C$2:$P$700,0,MATCH($B272,元データ_加工!$C$1:$P$1,0)),元データ_加工!$A$2:$A$700,$A272,元データ_加工!$B$2:$B$700,C$5)</f>
        <v>992</v>
      </c>
      <c r="D272" s="26">
        <f>SUMIFS(INDEX(元データ_加工!$C$2:$P$700,0,MATCH($B272,元データ_加工!$C$1:$P$1,0)),元データ_加工!$A$2:$A$700,$A272,元データ_加工!$B$2:$B$700,D$5)</f>
        <v>852</v>
      </c>
      <c r="E272" s="26">
        <f>SUMIFS(INDEX(元データ_加工!$C$2:$P$700,0,MATCH($B272,元データ_加工!$C$1:$P$1,0)),元データ_加工!$A$2:$A$700,$A272,元データ_加工!$B$2:$B$700,E$5)</f>
        <v>1404</v>
      </c>
      <c r="F272" s="26">
        <f>SUMIFS(INDEX(元データ_加工!$C$2:$P$700,0,MATCH($B272,元データ_加工!$C$1:$P$1,0)),元データ_加工!$A$2:$A$700,$A272,元データ_加工!$B$2:$B$700,F$5)</f>
        <v>1162</v>
      </c>
      <c r="G272" s="26">
        <f>SUMIFS(INDEX(元データ_加工!$C$2:$P$700,0,MATCH($B272,元データ_加工!$C$1:$P$1,0)),元データ_加工!$A$2:$A$700,$A272,元データ_加工!$B$2:$B$700,G$5)</f>
        <v>1216</v>
      </c>
      <c r="H272" s="26">
        <f>SUMIFS(INDEX(元データ_加工!$C$2:$P$700,0,MATCH($B272,元データ_加工!$C$1:$P$1,0)),元データ_加工!$A$2:$A$700,$A272,元データ_加工!$B$2:$B$700,H$5)</f>
        <v>807</v>
      </c>
      <c r="I272" s="26">
        <f>SUMIFS(INDEX(元データ_加工!$C$2:$P$700,0,MATCH($B272,元データ_加工!$C$1:$P$1,0)),元データ_加工!$A$2:$A$700,$A272,元データ_加工!$B$2:$B$700,I$5)</f>
        <v>846</v>
      </c>
      <c r="J272" s="26">
        <f>SUMIFS(INDEX(元データ_加工!$C$2:$P$700,0,MATCH($B272,元データ_加工!$C$1:$P$1,0)),元データ_加工!$A$2:$A$700,$A272,元データ_加工!$B$2:$B$700,J$5)</f>
        <v>1464</v>
      </c>
      <c r="K272" s="26">
        <f>SUMIFS(INDEX(元データ_加工!$C$2:$P$700,0,MATCH($B272,元データ_加工!$C$1:$P$1,0)),元データ_加工!$A$2:$A$700,$A272,元データ_加工!$B$2:$B$700,K$5)</f>
        <v>2659</v>
      </c>
      <c r="L272" s="26">
        <f>SUMIFS(INDEX(元データ_加工!$C$2:$P$700,0,MATCH($B272,元データ_加工!$C$1:$P$1,0)),元データ_加工!$A$2:$A$700,$A272,元データ_加工!$B$2:$B$700,L$5)</f>
        <v>1455</v>
      </c>
      <c r="M272" s="26">
        <f>SUMIFS(INDEX(元データ_加工!$C$2:$P$700,0,MATCH($B272,元データ_加工!$C$1:$P$1,0)),元データ_加工!$A$2:$A$700,$A272,元データ_加工!$B$2:$B$700,M$5)</f>
        <v>1421</v>
      </c>
      <c r="N272" s="26">
        <f>SUMIFS(INDEX(元データ_加工!$C$2:$P$700,0,MATCH($B272,元データ_加工!$C$1:$P$1,0)),元データ_加工!$A$2:$A$700,$A272,元データ_加工!$B$2:$B$700,N$5)</f>
        <v>1187</v>
      </c>
      <c r="O272" s="26">
        <f t="shared" si="4"/>
        <v>15465</v>
      </c>
      <c r="P272" s="7">
        <f>IFERROR(O272/SUMIFS(元データ_加工!$C$2:$C$700,元データ_加工!$A$2:$A$700,$A272),"")</f>
        <v>1</v>
      </c>
    </row>
    <row r="273" spans="1:16" x14ac:dyDescent="0.45">
      <c r="A273" t="s">
        <v>54</v>
      </c>
      <c r="B273" t="s">
        <v>101</v>
      </c>
      <c r="C273" s="26">
        <f>SUMIFS(INDEX(元データ_加工!$C$2:$P$700,0,MATCH($B273,元データ_加工!$C$1:$P$1,0)),元データ_加工!$A$2:$A$700,$A273,元データ_加工!$B$2:$B$700,C$5)</f>
        <v>284</v>
      </c>
      <c r="D273" s="26">
        <f>SUMIFS(INDEX(元データ_加工!$C$2:$P$700,0,MATCH($B273,元データ_加工!$C$1:$P$1,0)),元データ_加工!$A$2:$A$700,$A273,元データ_加工!$B$2:$B$700,D$5)</f>
        <v>349</v>
      </c>
      <c r="E273" s="26">
        <f>SUMIFS(INDEX(元データ_加工!$C$2:$P$700,0,MATCH($B273,元データ_加工!$C$1:$P$1,0)),元データ_加工!$A$2:$A$700,$A273,元データ_加工!$B$2:$B$700,E$5)</f>
        <v>433</v>
      </c>
      <c r="F273" s="26">
        <f>SUMIFS(INDEX(元データ_加工!$C$2:$P$700,0,MATCH($B273,元データ_加工!$C$1:$P$1,0)),元データ_加工!$A$2:$A$700,$A273,元データ_加工!$B$2:$B$700,F$5)</f>
        <v>382</v>
      </c>
      <c r="G273" s="26">
        <f>SUMIFS(INDEX(元データ_加工!$C$2:$P$700,0,MATCH($B273,元データ_加工!$C$1:$P$1,0)),元データ_加工!$A$2:$A$700,$A273,元データ_加工!$B$2:$B$700,G$5)</f>
        <v>330</v>
      </c>
      <c r="H273" s="26">
        <f>SUMIFS(INDEX(元データ_加工!$C$2:$P$700,0,MATCH($B273,元データ_加工!$C$1:$P$1,0)),元データ_加工!$A$2:$A$700,$A273,元データ_加工!$B$2:$B$700,H$5)</f>
        <v>243</v>
      </c>
      <c r="I273" s="26">
        <f>SUMIFS(INDEX(元データ_加工!$C$2:$P$700,0,MATCH($B273,元データ_加工!$C$1:$P$1,0)),元データ_加工!$A$2:$A$700,$A273,元データ_加工!$B$2:$B$700,I$5)</f>
        <v>269</v>
      </c>
      <c r="J273" s="26">
        <f>SUMIFS(INDEX(元データ_加工!$C$2:$P$700,0,MATCH($B273,元データ_加工!$C$1:$P$1,0)),元データ_加工!$A$2:$A$700,$A273,元データ_加工!$B$2:$B$700,J$5)</f>
        <v>367</v>
      </c>
      <c r="K273" s="26">
        <f>SUMIFS(INDEX(元データ_加工!$C$2:$P$700,0,MATCH($B273,元データ_加工!$C$1:$P$1,0)),元データ_加工!$A$2:$A$700,$A273,元データ_加工!$B$2:$B$700,K$5)</f>
        <v>446</v>
      </c>
      <c r="L273" s="26">
        <f>SUMIFS(INDEX(元データ_加工!$C$2:$P$700,0,MATCH($B273,元データ_加工!$C$1:$P$1,0)),元データ_加工!$A$2:$A$700,$A273,元データ_加工!$B$2:$B$700,L$5)</f>
        <v>305</v>
      </c>
      <c r="M273" s="26">
        <f>SUMIFS(INDEX(元データ_加工!$C$2:$P$700,0,MATCH($B273,元データ_加工!$C$1:$P$1,0)),元データ_加工!$A$2:$A$700,$A273,元データ_加工!$B$2:$B$700,M$5)</f>
        <v>343</v>
      </c>
      <c r="N273" s="26">
        <f>SUMIFS(INDEX(元データ_加工!$C$2:$P$700,0,MATCH($B273,元データ_加工!$C$1:$P$1,0)),元データ_加工!$A$2:$A$700,$A273,元データ_加工!$B$2:$B$700,N$5)</f>
        <v>381</v>
      </c>
      <c r="O273" s="26">
        <f t="shared" si="4"/>
        <v>4132</v>
      </c>
      <c r="P273" s="7">
        <f>IFERROR(O273/SUMIFS(元データ_加工!$C$2:$C$700,元データ_加工!$A$2:$A$700,$A273),"")</f>
        <v>0.2671839637892014</v>
      </c>
    </row>
    <row r="274" spans="1:16" x14ac:dyDescent="0.45">
      <c r="A274" t="s">
        <v>54</v>
      </c>
      <c r="B274" t="s">
        <v>102</v>
      </c>
      <c r="C274" s="26">
        <f>SUMIFS(INDEX(元データ_加工!$C$2:$P$700,0,MATCH($B274,元データ_加工!$C$1:$P$1,0)),元データ_加工!$A$2:$A$700,$A274,元データ_加工!$B$2:$B$700,C$5)</f>
        <v>0</v>
      </c>
      <c r="D274" s="26">
        <f>SUMIFS(INDEX(元データ_加工!$C$2:$P$700,0,MATCH($B274,元データ_加工!$C$1:$P$1,0)),元データ_加工!$A$2:$A$700,$A274,元データ_加工!$B$2:$B$700,D$5)</f>
        <v>0</v>
      </c>
      <c r="E274" s="26">
        <f>SUMIFS(INDEX(元データ_加工!$C$2:$P$700,0,MATCH($B274,元データ_加工!$C$1:$P$1,0)),元データ_加工!$A$2:$A$700,$A274,元データ_加工!$B$2:$B$700,E$5)</f>
        <v>0</v>
      </c>
      <c r="F274" s="26">
        <f>SUMIFS(INDEX(元データ_加工!$C$2:$P$700,0,MATCH($B274,元データ_加工!$C$1:$P$1,0)),元データ_加工!$A$2:$A$700,$A274,元データ_加工!$B$2:$B$700,F$5)</f>
        <v>0</v>
      </c>
      <c r="G274" s="26">
        <f>SUMIFS(INDEX(元データ_加工!$C$2:$P$700,0,MATCH($B274,元データ_加工!$C$1:$P$1,0)),元データ_加工!$A$2:$A$700,$A274,元データ_加工!$B$2:$B$700,G$5)</f>
        <v>0</v>
      </c>
      <c r="H274" s="26">
        <f>SUMIFS(INDEX(元データ_加工!$C$2:$P$700,0,MATCH($B274,元データ_加工!$C$1:$P$1,0)),元データ_加工!$A$2:$A$700,$A274,元データ_加工!$B$2:$B$700,H$5)</f>
        <v>0</v>
      </c>
      <c r="I274" s="26">
        <f>SUMIFS(INDEX(元データ_加工!$C$2:$P$700,0,MATCH($B274,元データ_加工!$C$1:$P$1,0)),元データ_加工!$A$2:$A$700,$A274,元データ_加工!$B$2:$B$700,I$5)</f>
        <v>0</v>
      </c>
      <c r="J274" s="26">
        <f>SUMIFS(INDEX(元データ_加工!$C$2:$P$700,0,MATCH($B274,元データ_加工!$C$1:$P$1,0)),元データ_加工!$A$2:$A$700,$A274,元データ_加工!$B$2:$B$700,J$5)</f>
        <v>0</v>
      </c>
      <c r="K274" s="26">
        <f>SUMIFS(INDEX(元データ_加工!$C$2:$P$700,0,MATCH($B274,元データ_加工!$C$1:$P$1,0)),元データ_加工!$A$2:$A$700,$A274,元データ_加工!$B$2:$B$700,K$5)</f>
        <v>0</v>
      </c>
      <c r="L274" s="26">
        <f>SUMIFS(INDEX(元データ_加工!$C$2:$P$700,0,MATCH($B274,元データ_加工!$C$1:$P$1,0)),元データ_加工!$A$2:$A$700,$A274,元データ_加工!$B$2:$B$700,L$5)</f>
        <v>0</v>
      </c>
      <c r="M274" s="26">
        <f>SUMIFS(INDEX(元データ_加工!$C$2:$P$700,0,MATCH($B274,元データ_加工!$C$1:$P$1,0)),元データ_加工!$A$2:$A$700,$A274,元データ_加工!$B$2:$B$700,M$5)</f>
        <v>0</v>
      </c>
      <c r="N274" s="26">
        <f>SUMIFS(INDEX(元データ_加工!$C$2:$P$700,0,MATCH($B274,元データ_加工!$C$1:$P$1,0)),元データ_加工!$A$2:$A$700,$A274,元データ_加工!$B$2:$B$700,N$5)</f>
        <v>0</v>
      </c>
      <c r="O274" s="26">
        <f t="shared" si="4"/>
        <v>0</v>
      </c>
      <c r="P274" s="7">
        <f>IFERROR(O274/SUMIFS(元データ_加工!$C$2:$C$700,元データ_加工!$A$2:$A$700,$A274),"")</f>
        <v>0</v>
      </c>
    </row>
    <row r="275" spans="1:16" x14ac:dyDescent="0.45">
      <c r="A275" t="s">
        <v>54</v>
      </c>
      <c r="B275" t="s">
        <v>103</v>
      </c>
      <c r="C275" s="26">
        <f>SUMIFS(INDEX(元データ_加工!$C$2:$P$700,0,MATCH($B275,元データ_加工!$C$1:$P$1,0)),元データ_加工!$A$2:$A$700,$A275,元データ_加工!$B$2:$B$700,C$5)</f>
        <v>0</v>
      </c>
      <c r="D275" s="26">
        <f>SUMIFS(INDEX(元データ_加工!$C$2:$P$700,0,MATCH($B275,元データ_加工!$C$1:$P$1,0)),元データ_加工!$A$2:$A$700,$A275,元データ_加工!$B$2:$B$700,D$5)</f>
        <v>0</v>
      </c>
      <c r="E275" s="26">
        <f>SUMIFS(INDEX(元データ_加工!$C$2:$P$700,0,MATCH($B275,元データ_加工!$C$1:$P$1,0)),元データ_加工!$A$2:$A$700,$A275,元データ_加工!$B$2:$B$700,E$5)</f>
        <v>0</v>
      </c>
      <c r="F275" s="26">
        <f>SUMIFS(INDEX(元データ_加工!$C$2:$P$700,0,MATCH($B275,元データ_加工!$C$1:$P$1,0)),元データ_加工!$A$2:$A$700,$A275,元データ_加工!$B$2:$B$700,F$5)</f>
        <v>1</v>
      </c>
      <c r="G275" s="26">
        <f>SUMIFS(INDEX(元データ_加工!$C$2:$P$700,0,MATCH($B275,元データ_加工!$C$1:$P$1,0)),元データ_加工!$A$2:$A$700,$A275,元データ_加工!$B$2:$B$700,G$5)</f>
        <v>1</v>
      </c>
      <c r="H275" s="26">
        <f>SUMIFS(INDEX(元データ_加工!$C$2:$P$700,0,MATCH($B275,元データ_加工!$C$1:$P$1,0)),元データ_加工!$A$2:$A$700,$A275,元データ_加工!$B$2:$B$700,H$5)</f>
        <v>3</v>
      </c>
      <c r="I275" s="26">
        <f>SUMIFS(INDEX(元データ_加工!$C$2:$P$700,0,MATCH($B275,元データ_加工!$C$1:$P$1,0)),元データ_加工!$A$2:$A$700,$A275,元データ_加工!$B$2:$B$700,I$5)</f>
        <v>2</v>
      </c>
      <c r="J275" s="26">
        <f>SUMIFS(INDEX(元データ_加工!$C$2:$P$700,0,MATCH($B275,元データ_加工!$C$1:$P$1,0)),元データ_加工!$A$2:$A$700,$A275,元データ_加工!$B$2:$B$700,J$5)</f>
        <v>0</v>
      </c>
      <c r="K275" s="26">
        <f>SUMIFS(INDEX(元データ_加工!$C$2:$P$700,0,MATCH($B275,元データ_加工!$C$1:$P$1,0)),元データ_加工!$A$2:$A$700,$A275,元データ_加工!$B$2:$B$700,K$5)</f>
        <v>0</v>
      </c>
      <c r="L275" s="26">
        <f>SUMIFS(INDEX(元データ_加工!$C$2:$P$700,0,MATCH($B275,元データ_加工!$C$1:$P$1,0)),元データ_加工!$A$2:$A$700,$A275,元データ_加工!$B$2:$B$700,L$5)</f>
        <v>0</v>
      </c>
      <c r="M275" s="26">
        <f>SUMIFS(INDEX(元データ_加工!$C$2:$P$700,0,MATCH($B275,元データ_加工!$C$1:$P$1,0)),元データ_加工!$A$2:$A$700,$A275,元データ_加工!$B$2:$B$700,M$5)</f>
        <v>0</v>
      </c>
      <c r="N275" s="26">
        <f>SUMIFS(INDEX(元データ_加工!$C$2:$P$700,0,MATCH($B275,元データ_加工!$C$1:$P$1,0)),元データ_加工!$A$2:$A$700,$A275,元データ_加工!$B$2:$B$700,N$5)</f>
        <v>0</v>
      </c>
      <c r="O275" s="26">
        <f t="shared" si="4"/>
        <v>7</v>
      </c>
      <c r="P275" s="7">
        <f>IFERROR(O275/SUMIFS(元データ_加工!$C$2:$C$700,元データ_加工!$A$2:$A$700,$A275),"")</f>
        <v>4.5263498221791143E-4</v>
      </c>
    </row>
    <row r="276" spans="1:16" x14ac:dyDescent="0.45">
      <c r="A276" t="s">
        <v>54</v>
      </c>
      <c r="B276" t="s">
        <v>104</v>
      </c>
      <c r="C276" s="26">
        <f>SUMIFS(INDEX(元データ_加工!$C$2:$P$700,0,MATCH($B276,元データ_加工!$C$1:$P$1,0)),元データ_加工!$A$2:$A$700,$A276,元データ_加工!$B$2:$B$700,C$5)</f>
        <v>6</v>
      </c>
      <c r="D276" s="26">
        <f>SUMIFS(INDEX(元データ_加工!$C$2:$P$700,0,MATCH($B276,元データ_加工!$C$1:$P$1,0)),元データ_加工!$A$2:$A$700,$A276,元データ_加工!$B$2:$B$700,D$5)</f>
        <v>5</v>
      </c>
      <c r="E276" s="26">
        <f>SUMIFS(INDEX(元データ_加工!$C$2:$P$700,0,MATCH($B276,元データ_加工!$C$1:$P$1,0)),元データ_加工!$A$2:$A$700,$A276,元データ_加工!$B$2:$B$700,E$5)</f>
        <v>12</v>
      </c>
      <c r="F276" s="26">
        <f>SUMIFS(INDEX(元データ_加工!$C$2:$P$700,0,MATCH($B276,元データ_加工!$C$1:$P$1,0)),元データ_加工!$A$2:$A$700,$A276,元データ_加工!$B$2:$B$700,F$5)</f>
        <v>14</v>
      </c>
      <c r="G276" s="26">
        <f>SUMIFS(INDEX(元データ_加工!$C$2:$P$700,0,MATCH($B276,元データ_加工!$C$1:$P$1,0)),元データ_加工!$A$2:$A$700,$A276,元データ_加工!$B$2:$B$700,G$5)</f>
        <v>8</v>
      </c>
      <c r="H276" s="26">
        <f>SUMIFS(INDEX(元データ_加工!$C$2:$P$700,0,MATCH($B276,元データ_加工!$C$1:$P$1,0)),元データ_加工!$A$2:$A$700,$A276,元データ_加工!$B$2:$B$700,H$5)</f>
        <v>12</v>
      </c>
      <c r="I276" s="26">
        <f>SUMIFS(INDEX(元データ_加工!$C$2:$P$700,0,MATCH($B276,元データ_加工!$C$1:$P$1,0)),元データ_加工!$A$2:$A$700,$A276,元データ_加工!$B$2:$B$700,I$5)</f>
        <v>9</v>
      </c>
      <c r="J276" s="26">
        <f>SUMIFS(INDEX(元データ_加工!$C$2:$P$700,0,MATCH($B276,元データ_加工!$C$1:$P$1,0)),元データ_加工!$A$2:$A$700,$A276,元データ_加工!$B$2:$B$700,J$5)</f>
        <v>33</v>
      </c>
      <c r="K276" s="26">
        <f>SUMIFS(INDEX(元データ_加工!$C$2:$P$700,0,MATCH($B276,元データ_加工!$C$1:$P$1,0)),元データ_加工!$A$2:$A$700,$A276,元データ_加工!$B$2:$B$700,K$5)</f>
        <v>47</v>
      </c>
      <c r="L276" s="26">
        <f>SUMIFS(INDEX(元データ_加工!$C$2:$P$700,0,MATCH($B276,元データ_加工!$C$1:$P$1,0)),元データ_加工!$A$2:$A$700,$A276,元データ_加工!$B$2:$B$700,L$5)</f>
        <v>17</v>
      </c>
      <c r="M276" s="26">
        <f>SUMIFS(INDEX(元データ_加工!$C$2:$P$700,0,MATCH($B276,元データ_加工!$C$1:$P$1,0)),元データ_加工!$A$2:$A$700,$A276,元データ_加工!$B$2:$B$700,M$5)</f>
        <v>6</v>
      </c>
      <c r="N276" s="26">
        <f>SUMIFS(INDEX(元データ_加工!$C$2:$P$700,0,MATCH($B276,元データ_加工!$C$1:$P$1,0)),元データ_加工!$A$2:$A$700,$A276,元データ_加工!$B$2:$B$700,N$5)</f>
        <v>4</v>
      </c>
      <c r="O276" s="26">
        <f t="shared" si="4"/>
        <v>173</v>
      </c>
      <c r="P276" s="7">
        <f>IFERROR(O276/SUMIFS(元データ_加工!$C$2:$C$700,元データ_加工!$A$2:$A$700,$A276),"")</f>
        <v>1.1186550274814097E-2</v>
      </c>
    </row>
    <row r="277" spans="1:16" x14ac:dyDescent="0.45">
      <c r="A277" t="s">
        <v>54</v>
      </c>
      <c r="B277" t="s">
        <v>105</v>
      </c>
      <c r="C277" s="26">
        <f>SUMIFS(INDEX(元データ_加工!$C$2:$P$700,0,MATCH($B277,元データ_加工!$C$1:$P$1,0)),元データ_加工!$A$2:$A$700,$A277,元データ_加工!$B$2:$B$700,C$5)</f>
        <v>0</v>
      </c>
      <c r="D277" s="26">
        <f>SUMIFS(INDEX(元データ_加工!$C$2:$P$700,0,MATCH($B277,元データ_加工!$C$1:$P$1,0)),元データ_加工!$A$2:$A$700,$A277,元データ_加工!$B$2:$B$700,D$5)</f>
        <v>0</v>
      </c>
      <c r="E277" s="26">
        <f>SUMIFS(INDEX(元データ_加工!$C$2:$P$700,0,MATCH($B277,元データ_加工!$C$1:$P$1,0)),元データ_加工!$A$2:$A$700,$A277,元データ_加工!$B$2:$B$700,E$5)</f>
        <v>0</v>
      </c>
      <c r="F277" s="26">
        <f>SUMIFS(INDEX(元データ_加工!$C$2:$P$700,0,MATCH($B277,元データ_加工!$C$1:$P$1,0)),元データ_加工!$A$2:$A$700,$A277,元データ_加工!$B$2:$B$700,F$5)</f>
        <v>0</v>
      </c>
      <c r="G277" s="26">
        <f>SUMIFS(INDEX(元データ_加工!$C$2:$P$700,0,MATCH($B277,元データ_加工!$C$1:$P$1,0)),元データ_加工!$A$2:$A$700,$A277,元データ_加工!$B$2:$B$700,G$5)</f>
        <v>0</v>
      </c>
      <c r="H277" s="26">
        <f>SUMIFS(INDEX(元データ_加工!$C$2:$P$700,0,MATCH($B277,元データ_加工!$C$1:$P$1,0)),元データ_加工!$A$2:$A$700,$A277,元データ_加工!$B$2:$B$700,H$5)</f>
        <v>0</v>
      </c>
      <c r="I277" s="26">
        <f>SUMIFS(INDEX(元データ_加工!$C$2:$P$700,0,MATCH($B277,元データ_加工!$C$1:$P$1,0)),元データ_加工!$A$2:$A$700,$A277,元データ_加工!$B$2:$B$700,I$5)</f>
        <v>0</v>
      </c>
      <c r="J277" s="26">
        <f>SUMIFS(INDEX(元データ_加工!$C$2:$P$700,0,MATCH($B277,元データ_加工!$C$1:$P$1,0)),元データ_加工!$A$2:$A$700,$A277,元データ_加工!$B$2:$B$700,J$5)</f>
        <v>2</v>
      </c>
      <c r="K277" s="26">
        <f>SUMIFS(INDEX(元データ_加工!$C$2:$P$700,0,MATCH($B277,元データ_加工!$C$1:$P$1,0)),元データ_加工!$A$2:$A$700,$A277,元データ_加工!$B$2:$B$700,K$5)</f>
        <v>16</v>
      </c>
      <c r="L277" s="26">
        <f>SUMIFS(INDEX(元データ_加工!$C$2:$P$700,0,MATCH($B277,元データ_加工!$C$1:$P$1,0)),元データ_加工!$A$2:$A$700,$A277,元データ_加工!$B$2:$B$700,L$5)</f>
        <v>4</v>
      </c>
      <c r="M277" s="26">
        <f>SUMIFS(INDEX(元データ_加工!$C$2:$P$700,0,MATCH($B277,元データ_加工!$C$1:$P$1,0)),元データ_加工!$A$2:$A$700,$A277,元データ_加工!$B$2:$B$700,M$5)</f>
        <v>0</v>
      </c>
      <c r="N277" s="26">
        <f>SUMIFS(INDEX(元データ_加工!$C$2:$P$700,0,MATCH($B277,元データ_加工!$C$1:$P$1,0)),元データ_加工!$A$2:$A$700,$A277,元データ_加工!$B$2:$B$700,N$5)</f>
        <v>1</v>
      </c>
      <c r="O277" s="26">
        <f t="shared" si="4"/>
        <v>23</v>
      </c>
      <c r="P277" s="7">
        <f>IFERROR(O277/SUMIFS(元データ_加工!$C$2:$C$700,元データ_加工!$A$2:$A$700,$A277),"")</f>
        <v>1.4872292272874231E-3</v>
      </c>
    </row>
    <row r="278" spans="1:16" x14ac:dyDescent="0.45">
      <c r="A278" t="s">
        <v>54</v>
      </c>
      <c r="B278" t="s">
        <v>106</v>
      </c>
      <c r="C278" s="26">
        <f>SUMIFS(INDEX(元データ_加工!$C$2:$P$700,0,MATCH($B278,元データ_加工!$C$1:$P$1,0)),元データ_加工!$A$2:$A$700,$A278,元データ_加工!$B$2:$B$700,C$5)</f>
        <v>70</v>
      </c>
      <c r="D278" s="26">
        <f>SUMIFS(INDEX(元データ_加工!$C$2:$P$700,0,MATCH($B278,元データ_加工!$C$1:$P$1,0)),元データ_加工!$A$2:$A$700,$A278,元データ_加工!$B$2:$B$700,D$5)</f>
        <v>63</v>
      </c>
      <c r="E278" s="26">
        <f>SUMIFS(INDEX(元データ_加工!$C$2:$P$700,0,MATCH($B278,元データ_加工!$C$1:$P$1,0)),元データ_加工!$A$2:$A$700,$A278,元データ_加工!$B$2:$B$700,E$5)</f>
        <v>84</v>
      </c>
      <c r="F278" s="26">
        <f>SUMIFS(INDEX(元データ_加工!$C$2:$P$700,0,MATCH($B278,元データ_加工!$C$1:$P$1,0)),元データ_加工!$A$2:$A$700,$A278,元データ_加工!$B$2:$B$700,F$5)</f>
        <v>122</v>
      </c>
      <c r="G278" s="26">
        <f>SUMIFS(INDEX(元データ_加工!$C$2:$P$700,0,MATCH($B278,元データ_加工!$C$1:$P$1,0)),元データ_加工!$A$2:$A$700,$A278,元データ_加工!$B$2:$B$700,G$5)</f>
        <v>73</v>
      </c>
      <c r="H278" s="26">
        <f>SUMIFS(INDEX(元データ_加工!$C$2:$P$700,0,MATCH($B278,元データ_加工!$C$1:$P$1,0)),元データ_加工!$A$2:$A$700,$A278,元データ_加工!$B$2:$B$700,H$5)</f>
        <v>46</v>
      </c>
      <c r="I278" s="26">
        <f>SUMIFS(INDEX(元データ_加工!$C$2:$P$700,0,MATCH($B278,元データ_加工!$C$1:$P$1,0)),元データ_加工!$A$2:$A$700,$A278,元データ_加工!$B$2:$B$700,I$5)</f>
        <v>57</v>
      </c>
      <c r="J278" s="26">
        <f>SUMIFS(INDEX(元データ_加工!$C$2:$P$700,0,MATCH($B278,元データ_加工!$C$1:$P$1,0)),元データ_加工!$A$2:$A$700,$A278,元データ_加工!$B$2:$B$700,J$5)</f>
        <v>67</v>
      </c>
      <c r="K278" s="26">
        <f>SUMIFS(INDEX(元データ_加工!$C$2:$P$700,0,MATCH($B278,元データ_加工!$C$1:$P$1,0)),元データ_加工!$A$2:$A$700,$A278,元データ_加工!$B$2:$B$700,K$5)</f>
        <v>122</v>
      </c>
      <c r="L278" s="26">
        <f>SUMIFS(INDEX(元データ_加工!$C$2:$P$700,0,MATCH($B278,元データ_加工!$C$1:$P$1,0)),元データ_加工!$A$2:$A$700,$A278,元データ_加工!$B$2:$B$700,L$5)</f>
        <v>71</v>
      </c>
      <c r="M278" s="26">
        <f>SUMIFS(INDEX(元データ_加工!$C$2:$P$700,0,MATCH($B278,元データ_加工!$C$1:$P$1,0)),元データ_加工!$A$2:$A$700,$A278,元データ_加工!$B$2:$B$700,M$5)</f>
        <v>65</v>
      </c>
      <c r="N278" s="26">
        <f>SUMIFS(INDEX(元データ_加工!$C$2:$P$700,0,MATCH($B278,元データ_加工!$C$1:$P$1,0)),元データ_加工!$A$2:$A$700,$A278,元データ_加工!$B$2:$B$700,N$5)</f>
        <v>92</v>
      </c>
      <c r="O278" s="26">
        <f t="shared" si="4"/>
        <v>932</v>
      </c>
      <c r="P278" s="7">
        <f>IFERROR(O278/SUMIFS(元データ_加工!$C$2:$C$700,元データ_加工!$A$2:$A$700,$A278),"")</f>
        <v>6.0265114775299063E-2</v>
      </c>
    </row>
    <row r="279" spans="1:16" x14ac:dyDescent="0.45">
      <c r="A279" t="s">
        <v>54</v>
      </c>
      <c r="B279" t="s">
        <v>107</v>
      </c>
      <c r="C279" s="26">
        <f>SUMIFS(INDEX(元データ_加工!$C$2:$P$700,0,MATCH($B279,元データ_加工!$C$1:$P$1,0)),元データ_加工!$A$2:$A$700,$A279,元データ_加工!$B$2:$B$700,C$5)</f>
        <v>2</v>
      </c>
      <c r="D279" s="26">
        <f>SUMIFS(INDEX(元データ_加工!$C$2:$P$700,0,MATCH($B279,元データ_加工!$C$1:$P$1,0)),元データ_加工!$A$2:$A$700,$A279,元データ_加工!$B$2:$B$700,D$5)</f>
        <v>0</v>
      </c>
      <c r="E279" s="26">
        <f>SUMIFS(INDEX(元データ_加工!$C$2:$P$700,0,MATCH($B279,元データ_加工!$C$1:$P$1,0)),元データ_加工!$A$2:$A$700,$A279,元データ_加工!$B$2:$B$700,E$5)</f>
        <v>7</v>
      </c>
      <c r="F279" s="26">
        <f>SUMIFS(INDEX(元データ_加工!$C$2:$P$700,0,MATCH($B279,元データ_加工!$C$1:$P$1,0)),元データ_加工!$A$2:$A$700,$A279,元データ_加工!$B$2:$B$700,F$5)</f>
        <v>0</v>
      </c>
      <c r="G279" s="26">
        <f>SUMIFS(INDEX(元データ_加工!$C$2:$P$700,0,MATCH($B279,元データ_加工!$C$1:$P$1,0)),元データ_加工!$A$2:$A$700,$A279,元データ_加工!$B$2:$B$700,G$5)</f>
        <v>0</v>
      </c>
      <c r="H279" s="26">
        <f>SUMIFS(INDEX(元データ_加工!$C$2:$P$700,0,MATCH($B279,元データ_加工!$C$1:$P$1,0)),元データ_加工!$A$2:$A$700,$A279,元データ_加工!$B$2:$B$700,H$5)</f>
        <v>1</v>
      </c>
      <c r="I279" s="26">
        <f>SUMIFS(INDEX(元データ_加工!$C$2:$P$700,0,MATCH($B279,元データ_加工!$C$1:$P$1,0)),元データ_加工!$A$2:$A$700,$A279,元データ_加工!$B$2:$B$700,I$5)</f>
        <v>0</v>
      </c>
      <c r="J279" s="26">
        <f>SUMIFS(INDEX(元データ_加工!$C$2:$P$700,0,MATCH($B279,元データ_加工!$C$1:$P$1,0)),元データ_加工!$A$2:$A$700,$A279,元データ_加工!$B$2:$B$700,J$5)</f>
        <v>0</v>
      </c>
      <c r="K279" s="26">
        <f>SUMIFS(INDEX(元データ_加工!$C$2:$P$700,0,MATCH($B279,元データ_加工!$C$1:$P$1,0)),元データ_加工!$A$2:$A$700,$A279,元データ_加工!$B$2:$B$700,K$5)</f>
        <v>3</v>
      </c>
      <c r="L279" s="26">
        <f>SUMIFS(INDEX(元データ_加工!$C$2:$P$700,0,MATCH($B279,元データ_加工!$C$1:$P$1,0)),元データ_加工!$A$2:$A$700,$A279,元データ_加工!$B$2:$B$700,L$5)</f>
        <v>0</v>
      </c>
      <c r="M279" s="26">
        <f>SUMIFS(INDEX(元データ_加工!$C$2:$P$700,0,MATCH($B279,元データ_加工!$C$1:$P$1,0)),元データ_加工!$A$2:$A$700,$A279,元データ_加工!$B$2:$B$700,M$5)</f>
        <v>0</v>
      </c>
      <c r="N279" s="26">
        <f>SUMIFS(INDEX(元データ_加工!$C$2:$P$700,0,MATCH($B279,元データ_加工!$C$1:$P$1,0)),元データ_加工!$A$2:$A$700,$A279,元データ_加工!$B$2:$B$700,N$5)</f>
        <v>2</v>
      </c>
      <c r="O279" s="26">
        <f t="shared" si="4"/>
        <v>15</v>
      </c>
      <c r="P279" s="7">
        <f>IFERROR(O279/SUMIFS(元データ_加工!$C$2:$C$700,元データ_加工!$A$2:$A$700,$A279),"")</f>
        <v>9.6993210475266732E-4</v>
      </c>
    </row>
    <row r="280" spans="1:16" x14ac:dyDescent="0.45">
      <c r="A280" t="s">
        <v>54</v>
      </c>
      <c r="B280" t="s">
        <v>108</v>
      </c>
      <c r="C280" s="26">
        <f>SUMIFS(INDEX(元データ_加工!$C$2:$P$700,0,MATCH($B280,元データ_加工!$C$1:$P$1,0)),元データ_加工!$A$2:$A$700,$A280,元データ_加工!$B$2:$B$700,C$5)</f>
        <v>0</v>
      </c>
      <c r="D280" s="26">
        <f>SUMIFS(INDEX(元データ_加工!$C$2:$P$700,0,MATCH($B280,元データ_加工!$C$1:$P$1,0)),元データ_加工!$A$2:$A$700,$A280,元データ_加工!$B$2:$B$700,D$5)</f>
        <v>0</v>
      </c>
      <c r="E280" s="26">
        <f>SUMIFS(INDEX(元データ_加工!$C$2:$P$700,0,MATCH($B280,元データ_加工!$C$1:$P$1,0)),元データ_加工!$A$2:$A$700,$A280,元データ_加工!$B$2:$B$700,E$5)</f>
        <v>3</v>
      </c>
      <c r="F280" s="26">
        <f>SUMIFS(INDEX(元データ_加工!$C$2:$P$700,0,MATCH($B280,元データ_加工!$C$1:$P$1,0)),元データ_加工!$A$2:$A$700,$A280,元データ_加工!$B$2:$B$700,F$5)</f>
        <v>0</v>
      </c>
      <c r="G280" s="26">
        <f>SUMIFS(INDEX(元データ_加工!$C$2:$P$700,0,MATCH($B280,元データ_加工!$C$1:$P$1,0)),元データ_加工!$A$2:$A$700,$A280,元データ_加工!$B$2:$B$700,G$5)</f>
        <v>0</v>
      </c>
      <c r="H280" s="26">
        <f>SUMIFS(INDEX(元データ_加工!$C$2:$P$700,0,MATCH($B280,元データ_加工!$C$1:$P$1,0)),元データ_加工!$A$2:$A$700,$A280,元データ_加工!$B$2:$B$700,H$5)</f>
        <v>0</v>
      </c>
      <c r="I280" s="26">
        <f>SUMIFS(INDEX(元データ_加工!$C$2:$P$700,0,MATCH($B280,元データ_加工!$C$1:$P$1,0)),元データ_加工!$A$2:$A$700,$A280,元データ_加工!$B$2:$B$700,I$5)</f>
        <v>2</v>
      </c>
      <c r="J280" s="26">
        <f>SUMIFS(INDEX(元データ_加工!$C$2:$P$700,0,MATCH($B280,元データ_加工!$C$1:$P$1,0)),元データ_加工!$A$2:$A$700,$A280,元データ_加工!$B$2:$B$700,J$5)</f>
        <v>0</v>
      </c>
      <c r="K280" s="26">
        <f>SUMIFS(INDEX(元データ_加工!$C$2:$P$700,0,MATCH($B280,元データ_加工!$C$1:$P$1,0)),元データ_加工!$A$2:$A$700,$A280,元データ_加工!$B$2:$B$700,K$5)</f>
        <v>0</v>
      </c>
      <c r="L280" s="26">
        <f>SUMIFS(INDEX(元データ_加工!$C$2:$P$700,0,MATCH($B280,元データ_加工!$C$1:$P$1,0)),元データ_加工!$A$2:$A$700,$A280,元データ_加工!$B$2:$B$700,L$5)</f>
        <v>0</v>
      </c>
      <c r="M280" s="26">
        <f>SUMIFS(INDEX(元データ_加工!$C$2:$P$700,0,MATCH($B280,元データ_加工!$C$1:$P$1,0)),元データ_加工!$A$2:$A$700,$A280,元データ_加工!$B$2:$B$700,M$5)</f>
        <v>0</v>
      </c>
      <c r="N280" s="26">
        <f>SUMIFS(INDEX(元データ_加工!$C$2:$P$700,0,MATCH($B280,元データ_加工!$C$1:$P$1,0)),元データ_加工!$A$2:$A$700,$A280,元データ_加工!$B$2:$B$700,N$5)</f>
        <v>0</v>
      </c>
      <c r="O280" s="26">
        <f t="shared" si="4"/>
        <v>5</v>
      </c>
      <c r="P280" s="7">
        <f>IFERROR(O280/SUMIFS(元データ_加工!$C$2:$C$700,元データ_加工!$A$2:$A$700,$A280),"")</f>
        <v>3.2331070158422246E-4</v>
      </c>
    </row>
    <row r="281" spans="1:16" x14ac:dyDescent="0.45">
      <c r="A281" t="s">
        <v>54</v>
      </c>
      <c r="B281" t="s">
        <v>109</v>
      </c>
      <c r="C281" s="26">
        <f>SUMIFS(INDEX(元データ_加工!$C$2:$P$700,0,MATCH($B281,元データ_加工!$C$1:$P$1,0)),元データ_加工!$A$2:$A$700,$A281,元データ_加工!$B$2:$B$700,C$5)</f>
        <v>10</v>
      </c>
      <c r="D281" s="26">
        <f>SUMIFS(INDEX(元データ_加工!$C$2:$P$700,0,MATCH($B281,元データ_加工!$C$1:$P$1,0)),元データ_加工!$A$2:$A$700,$A281,元データ_加工!$B$2:$B$700,D$5)</f>
        <v>14</v>
      </c>
      <c r="E281" s="26">
        <f>SUMIFS(INDEX(元データ_加工!$C$2:$P$700,0,MATCH($B281,元データ_加工!$C$1:$P$1,0)),元データ_加工!$A$2:$A$700,$A281,元データ_加工!$B$2:$B$700,E$5)</f>
        <v>5</v>
      </c>
      <c r="F281" s="26">
        <f>SUMIFS(INDEX(元データ_加工!$C$2:$P$700,0,MATCH($B281,元データ_加工!$C$1:$P$1,0)),元データ_加工!$A$2:$A$700,$A281,元データ_加工!$B$2:$B$700,F$5)</f>
        <v>6</v>
      </c>
      <c r="G281" s="26">
        <f>SUMIFS(INDEX(元データ_加工!$C$2:$P$700,0,MATCH($B281,元データ_加工!$C$1:$P$1,0)),元データ_加工!$A$2:$A$700,$A281,元データ_加工!$B$2:$B$700,G$5)</f>
        <v>8</v>
      </c>
      <c r="H281" s="26">
        <f>SUMIFS(INDEX(元データ_加工!$C$2:$P$700,0,MATCH($B281,元データ_加工!$C$1:$P$1,0)),元データ_加工!$A$2:$A$700,$A281,元データ_加工!$B$2:$B$700,H$5)</f>
        <v>7</v>
      </c>
      <c r="I281" s="26">
        <f>SUMIFS(INDEX(元データ_加工!$C$2:$P$700,0,MATCH($B281,元データ_加工!$C$1:$P$1,0)),元データ_加工!$A$2:$A$700,$A281,元データ_加工!$B$2:$B$700,I$5)</f>
        <v>11</v>
      </c>
      <c r="J281" s="26">
        <f>SUMIFS(INDEX(元データ_加工!$C$2:$P$700,0,MATCH($B281,元データ_加工!$C$1:$P$1,0)),元データ_加工!$A$2:$A$700,$A281,元データ_加工!$B$2:$B$700,J$5)</f>
        <v>21</v>
      </c>
      <c r="K281" s="26">
        <f>SUMIFS(INDEX(元データ_加工!$C$2:$P$700,0,MATCH($B281,元データ_加工!$C$1:$P$1,0)),元データ_加工!$A$2:$A$700,$A281,元データ_加工!$B$2:$B$700,K$5)</f>
        <v>16</v>
      </c>
      <c r="L281" s="26">
        <f>SUMIFS(INDEX(元データ_加工!$C$2:$P$700,0,MATCH($B281,元データ_加工!$C$1:$P$1,0)),元データ_加工!$A$2:$A$700,$A281,元データ_加工!$B$2:$B$700,L$5)</f>
        <v>10</v>
      </c>
      <c r="M281" s="26">
        <f>SUMIFS(INDEX(元データ_加工!$C$2:$P$700,0,MATCH($B281,元データ_加工!$C$1:$P$1,0)),元データ_加工!$A$2:$A$700,$A281,元データ_加工!$B$2:$B$700,M$5)</f>
        <v>5</v>
      </c>
      <c r="N281" s="26">
        <f>SUMIFS(INDEX(元データ_加工!$C$2:$P$700,0,MATCH($B281,元データ_加工!$C$1:$P$1,0)),元データ_加工!$A$2:$A$700,$A281,元データ_加工!$B$2:$B$700,N$5)</f>
        <v>11</v>
      </c>
      <c r="O281" s="26">
        <f t="shared" si="4"/>
        <v>124</v>
      </c>
      <c r="P281" s="7">
        <f>IFERROR(O281/SUMIFS(元データ_加工!$C$2:$C$700,元データ_加工!$A$2:$A$700,$A281),"")</f>
        <v>8.018105399288716E-3</v>
      </c>
    </row>
    <row r="282" spans="1:16" x14ac:dyDescent="0.45">
      <c r="A282" t="s">
        <v>54</v>
      </c>
      <c r="B282" t="s">
        <v>110</v>
      </c>
      <c r="C282" s="26">
        <f>SUMIFS(INDEX(元データ_加工!$C$2:$P$700,0,MATCH($B282,元データ_加工!$C$1:$P$1,0)),元データ_加工!$A$2:$A$700,$A282,元データ_加工!$B$2:$B$700,C$5)</f>
        <v>0</v>
      </c>
      <c r="D282" s="26">
        <f>SUMIFS(INDEX(元データ_加工!$C$2:$P$700,0,MATCH($B282,元データ_加工!$C$1:$P$1,0)),元データ_加工!$A$2:$A$700,$A282,元データ_加工!$B$2:$B$700,D$5)</f>
        <v>0</v>
      </c>
      <c r="E282" s="26">
        <f>SUMIFS(INDEX(元データ_加工!$C$2:$P$700,0,MATCH($B282,元データ_加工!$C$1:$P$1,0)),元データ_加工!$A$2:$A$700,$A282,元データ_加工!$B$2:$B$700,E$5)</f>
        <v>0</v>
      </c>
      <c r="F282" s="26">
        <f>SUMIFS(INDEX(元データ_加工!$C$2:$P$700,0,MATCH($B282,元データ_加工!$C$1:$P$1,0)),元データ_加工!$A$2:$A$700,$A282,元データ_加工!$B$2:$B$700,F$5)</f>
        <v>0</v>
      </c>
      <c r="G282" s="26">
        <f>SUMIFS(INDEX(元データ_加工!$C$2:$P$700,0,MATCH($B282,元データ_加工!$C$1:$P$1,0)),元データ_加工!$A$2:$A$700,$A282,元データ_加工!$B$2:$B$700,G$5)</f>
        <v>0</v>
      </c>
      <c r="H282" s="26">
        <f>SUMIFS(INDEX(元データ_加工!$C$2:$P$700,0,MATCH($B282,元データ_加工!$C$1:$P$1,0)),元データ_加工!$A$2:$A$700,$A282,元データ_加工!$B$2:$B$700,H$5)</f>
        <v>0</v>
      </c>
      <c r="I282" s="26">
        <f>SUMIFS(INDEX(元データ_加工!$C$2:$P$700,0,MATCH($B282,元データ_加工!$C$1:$P$1,0)),元データ_加工!$A$2:$A$700,$A282,元データ_加工!$B$2:$B$700,I$5)</f>
        <v>0</v>
      </c>
      <c r="J282" s="26">
        <f>SUMIFS(INDEX(元データ_加工!$C$2:$P$700,0,MATCH($B282,元データ_加工!$C$1:$P$1,0)),元データ_加工!$A$2:$A$700,$A282,元データ_加工!$B$2:$B$700,J$5)</f>
        <v>0</v>
      </c>
      <c r="K282" s="26">
        <f>SUMIFS(INDEX(元データ_加工!$C$2:$P$700,0,MATCH($B282,元データ_加工!$C$1:$P$1,0)),元データ_加工!$A$2:$A$700,$A282,元データ_加工!$B$2:$B$700,K$5)</f>
        <v>0</v>
      </c>
      <c r="L282" s="26">
        <f>SUMIFS(INDEX(元データ_加工!$C$2:$P$700,0,MATCH($B282,元データ_加工!$C$1:$P$1,0)),元データ_加工!$A$2:$A$700,$A282,元データ_加工!$B$2:$B$700,L$5)</f>
        <v>0</v>
      </c>
      <c r="M282" s="26">
        <f>SUMIFS(INDEX(元データ_加工!$C$2:$P$700,0,MATCH($B282,元データ_加工!$C$1:$P$1,0)),元データ_加工!$A$2:$A$700,$A282,元データ_加工!$B$2:$B$700,M$5)</f>
        <v>0</v>
      </c>
      <c r="N282" s="26">
        <f>SUMIFS(INDEX(元データ_加工!$C$2:$P$700,0,MATCH($B282,元データ_加工!$C$1:$P$1,0)),元データ_加工!$A$2:$A$700,$A282,元データ_加工!$B$2:$B$700,N$5)</f>
        <v>0</v>
      </c>
      <c r="O282" s="26">
        <f t="shared" si="4"/>
        <v>0</v>
      </c>
      <c r="P282" s="7">
        <f>IFERROR(O282/SUMIFS(元データ_加工!$C$2:$C$700,元データ_加工!$A$2:$A$700,$A282),"")</f>
        <v>0</v>
      </c>
    </row>
    <row r="283" spans="1:16" x14ac:dyDescent="0.45">
      <c r="A283" t="s">
        <v>54</v>
      </c>
      <c r="B283" t="s">
        <v>111</v>
      </c>
      <c r="C283" s="26">
        <f>SUMIFS(INDEX(元データ_加工!$C$2:$P$700,0,MATCH($B283,元データ_加工!$C$1:$P$1,0)),元データ_加工!$A$2:$A$700,$A283,元データ_加工!$B$2:$B$700,C$5)</f>
        <v>0</v>
      </c>
      <c r="D283" s="26">
        <f>SUMIFS(INDEX(元データ_加工!$C$2:$P$700,0,MATCH($B283,元データ_加工!$C$1:$P$1,0)),元データ_加工!$A$2:$A$700,$A283,元データ_加工!$B$2:$B$700,D$5)</f>
        <v>0</v>
      </c>
      <c r="E283" s="26">
        <f>SUMIFS(INDEX(元データ_加工!$C$2:$P$700,0,MATCH($B283,元データ_加工!$C$1:$P$1,0)),元データ_加工!$A$2:$A$700,$A283,元データ_加工!$B$2:$B$700,E$5)</f>
        <v>0</v>
      </c>
      <c r="F283" s="26">
        <f>SUMIFS(INDEX(元データ_加工!$C$2:$P$700,0,MATCH($B283,元データ_加工!$C$1:$P$1,0)),元データ_加工!$A$2:$A$700,$A283,元データ_加工!$B$2:$B$700,F$5)</f>
        <v>0</v>
      </c>
      <c r="G283" s="26">
        <f>SUMIFS(INDEX(元データ_加工!$C$2:$P$700,0,MATCH($B283,元データ_加工!$C$1:$P$1,0)),元データ_加工!$A$2:$A$700,$A283,元データ_加工!$B$2:$B$700,G$5)</f>
        <v>0</v>
      </c>
      <c r="H283" s="26">
        <f>SUMIFS(INDEX(元データ_加工!$C$2:$P$700,0,MATCH($B283,元データ_加工!$C$1:$P$1,0)),元データ_加工!$A$2:$A$700,$A283,元データ_加工!$B$2:$B$700,H$5)</f>
        <v>0</v>
      </c>
      <c r="I283" s="26">
        <f>SUMIFS(INDEX(元データ_加工!$C$2:$P$700,0,MATCH($B283,元データ_加工!$C$1:$P$1,0)),元データ_加工!$A$2:$A$700,$A283,元データ_加工!$B$2:$B$700,I$5)</f>
        <v>0</v>
      </c>
      <c r="J283" s="26">
        <f>SUMIFS(INDEX(元データ_加工!$C$2:$P$700,0,MATCH($B283,元データ_加工!$C$1:$P$1,0)),元データ_加工!$A$2:$A$700,$A283,元データ_加工!$B$2:$B$700,J$5)</f>
        <v>0</v>
      </c>
      <c r="K283" s="26">
        <f>SUMIFS(INDEX(元データ_加工!$C$2:$P$700,0,MATCH($B283,元データ_加工!$C$1:$P$1,0)),元データ_加工!$A$2:$A$700,$A283,元データ_加工!$B$2:$B$700,K$5)</f>
        <v>0</v>
      </c>
      <c r="L283" s="26">
        <f>SUMIFS(INDEX(元データ_加工!$C$2:$P$700,0,MATCH($B283,元データ_加工!$C$1:$P$1,0)),元データ_加工!$A$2:$A$700,$A283,元データ_加工!$B$2:$B$700,L$5)</f>
        <v>0</v>
      </c>
      <c r="M283" s="26">
        <f>SUMIFS(INDEX(元データ_加工!$C$2:$P$700,0,MATCH($B283,元データ_加工!$C$1:$P$1,0)),元データ_加工!$A$2:$A$700,$A283,元データ_加工!$B$2:$B$700,M$5)</f>
        <v>0</v>
      </c>
      <c r="N283" s="26">
        <f>SUMIFS(INDEX(元データ_加工!$C$2:$P$700,0,MATCH($B283,元データ_加工!$C$1:$P$1,0)),元データ_加工!$A$2:$A$700,$A283,元データ_加工!$B$2:$B$700,N$5)</f>
        <v>0</v>
      </c>
      <c r="O283" s="26">
        <f t="shared" si="4"/>
        <v>0</v>
      </c>
      <c r="P283" s="7">
        <f>IFERROR(O283/SUMIFS(元データ_加工!$C$2:$C$700,元データ_加工!$A$2:$A$700,$A283),"")</f>
        <v>0</v>
      </c>
    </row>
    <row r="284" spans="1:16" x14ac:dyDescent="0.45">
      <c r="A284" t="s">
        <v>54</v>
      </c>
      <c r="B284" t="s">
        <v>112</v>
      </c>
      <c r="C284" s="26">
        <f>SUMIFS(INDEX(元データ_加工!$C$2:$P$700,0,MATCH($B284,元データ_加工!$C$1:$P$1,0)),元データ_加工!$A$2:$A$700,$A284,元データ_加工!$B$2:$B$700,C$5)</f>
        <v>0</v>
      </c>
      <c r="D284" s="26">
        <f>SUMIFS(INDEX(元データ_加工!$C$2:$P$700,0,MATCH($B284,元データ_加工!$C$1:$P$1,0)),元データ_加工!$A$2:$A$700,$A284,元データ_加工!$B$2:$B$700,D$5)</f>
        <v>0</v>
      </c>
      <c r="E284" s="26">
        <f>SUMIFS(INDEX(元データ_加工!$C$2:$P$700,0,MATCH($B284,元データ_加工!$C$1:$P$1,0)),元データ_加工!$A$2:$A$700,$A284,元データ_加工!$B$2:$B$700,E$5)</f>
        <v>0</v>
      </c>
      <c r="F284" s="26">
        <f>SUMIFS(INDEX(元データ_加工!$C$2:$P$700,0,MATCH($B284,元データ_加工!$C$1:$P$1,0)),元データ_加工!$A$2:$A$700,$A284,元データ_加工!$B$2:$B$700,F$5)</f>
        <v>0</v>
      </c>
      <c r="G284" s="26">
        <f>SUMIFS(INDEX(元データ_加工!$C$2:$P$700,0,MATCH($B284,元データ_加工!$C$1:$P$1,0)),元データ_加工!$A$2:$A$700,$A284,元データ_加工!$B$2:$B$700,G$5)</f>
        <v>0</v>
      </c>
      <c r="H284" s="26">
        <f>SUMIFS(INDEX(元データ_加工!$C$2:$P$700,0,MATCH($B284,元データ_加工!$C$1:$P$1,0)),元データ_加工!$A$2:$A$700,$A284,元データ_加工!$B$2:$B$700,H$5)</f>
        <v>0</v>
      </c>
      <c r="I284" s="26">
        <f>SUMIFS(INDEX(元データ_加工!$C$2:$P$700,0,MATCH($B284,元データ_加工!$C$1:$P$1,0)),元データ_加工!$A$2:$A$700,$A284,元データ_加工!$B$2:$B$700,I$5)</f>
        <v>0</v>
      </c>
      <c r="J284" s="26">
        <f>SUMIFS(INDEX(元データ_加工!$C$2:$P$700,0,MATCH($B284,元データ_加工!$C$1:$P$1,0)),元データ_加工!$A$2:$A$700,$A284,元データ_加工!$B$2:$B$700,J$5)</f>
        <v>0</v>
      </c>
      <c r="K284" s="26">
        <f>SUMIFS(INDEX(元データ_加工!$C$2:$P$700,0,MATCH($B284,元データ_加工!$C$1:$P$1,0)),元データ_加工!$A$2:$A$700,$A284,元データ_加工!$B$2:$B$700,K$5)</f>
        <v>0</v>
      </c>
      <c r="L284" s="26">
        <f>SUMIFS(INDEX(元データ_加工!$C$2:$P$700,0,MATCH($B284,元データ_加工!$C$1:$P$1,0)),元データ_加工!$A$2:$A$700,$A284,元データ_加工!$B$2:$B$700,L$5)</f>
        <v>0</v>
      </c>
      <c r="M284" s="26">
        <f>SUMIFS(INDEX(元データ_加工!$C$2:$P$700,0,MATCH($B284,元データ_加工!$C$1:$P$1,0)),元データ_加工!$A$2:$A$700,$A284,元データ_加工!$B$2:$B$700,M$5)</f>
        <v>0</v>
      </c>
      <c r="N284" s="26">
        <f>SUMIFS(INDEX(元データ_加工!$C$2:$P$700,0,MATCH($B284,元データ_加工!$C$1:$P$1,0)),元データ_加工!$A$2:$A$700,$A284,元データ_加工!$B$2:$B$700,N$5)</f>
        <v>0</v>
      </c>
      <c r="O284" s="26">
        <f t="shared" si="4"/>
        <v>0</v>
      </c>
      <c r="P284" s="7">
        <f>IFERROR(O284/SUMIFS(元データ_加工!$C$2:$C$700,元データ_加工!$A$2:$A$700,$A284),"")</f>
        <v>0</v>
      </c>
    </row>
    <row r="285" spans="1:16" x14ac:dyDescent="0.45">
      <c r="A285" t="s">
        <v>54</v>
      </c>
      <c r="B285" t="s">
        <v>113</v>
      </c>
      <c r="C285" s="26">
        <f>SUMIFS(INDEX(元データ_加工!$C$2:$P$700,0,MATCH($B285,元データ_加工!$C$1:$P$1,0)),元データ_加工!$A$2:$A$700,$A285,元データ_加工!$B$2:$B$700,C$5)</f>
        <v>0</v>
      </c>
      <c r="D285" s="26">
        <f>SUMIFS(INDEX(元データ_加工!$C$2:$P$700,0,MATCH($B285,元データ_加工!$C$1:$P$1,0)),元データ_加工!$A$2:$A$700,$A285,元データ_加工!$B$2:$B$700,D$5)</f>
        <v>0</v>
      </c>
      <c r="E285" s="26">
        <f>SUMIFS(INDEX(元データ_加工!$C$2:$P$700,0,MATCH($B285,元データ_加工!$C$1:$P$1,0)),元データ_加工!$A$2:$A$700,$A285,元データ_加工!$B$2:$B$700,E$5)</f>
        <v>0</v>
      </c>
      <c r="F285" s="26">
        <f>SUMIFS(INDEX(元データ_加工!$C$2:$P$700,0,MATCH($B285,元データ_加工!$C$1:$P$1,0)),元データ_加工!$A$2:$A$700,$A285,元データ_加工!$B$2:$B$700,F$5)</f>
        <v>0</v>
      </c>
      <c r="G285" s="26">
        <f>SUMIFS(INDEX(元データ_加工!$C$2:$P$700,0,MATCH($B285,元データ_加工!$C$1:$P$1,0)),元データ_加工!$A$2:$A$700,$A285,元データ_加工!$B$2:$B$700,G$5)</f>
        <v>0</v>
      </c>
      <c r="H285" s="26">
        <f>SUMIFS(INDEX(元データ_加工!$C$2:$P$700,0,MATCH($B285,元データ_加工!$C$1:$P$1,0)),元データ_加工!$A$2:$A$700,$A285,元データ_加工!$B$2:$B$700,H$5)</f>
        <v>0</v>
      </c>
      <c r="I285" s="26">
        <f>SUMIFS(INDEX(元データ_加工!$C$2:$P$700,0,MATCH($B285,元データ_加工!$C$1:$P$1,0)),元データ_加工!$A$2:$A$700,$A285,元データ_加工!$B$2:$B$700,I$5)</f>
        <v>0</v>
      </c>
      <c r="J285" s="26">
        <f>SUMIFS(INDEX(元データ_加工!$C$2:$P$700,0,MATCH($B285,元データ_加工!$C$1:$P$1,0)),元データ_加工!$A$2:$A$700,$A285,元データ_加工!$B$2:$B$700,J$5)</f>
        <v>0</v>
      </c>
      <c r="K285" s="26">
        <f>SUMIFS(INDEX(元データ_加工!$C$2:$P$700,0,MATCH($B285,元データ_加工!$C$1:$P$1,0)),元データ_加工!$A$2:$A$700,$A285,元データ_加工!$B$2:$B$700,K$5)</f>
        <v>0</v>
      </c>
      <c r="L285" s="26">
        <f>SUMIFS(INDEX(元データ_加工!$C$2:$P$700,0,MATCH($B285,元データ_加工!$C$1:$P$1,0)),元データ_加工!$A$2:$A$700,$A285,元データ_加工!$B$2:$B$700,L$5)</f>
        <v>0</v>
      </c>
      <c r="M285" s="26">
        <f>SUMIFS(INDEX(元データ_加工!$C$2:$P$700,0,MATCH($B285,元データ_加工!$C$1:$P$1,0)),元データ_加工!$A$2:$A$700,$A285,元データ_加工!$B$2:$B$700,M$5)</f>
        <v>0</v>
      </c>
      <c r="N285" s="26">
        <f>SUMIFS(INDEX(元データ_加工!$C$2:$P$700,0,MATCH($B285,元データ_加工!$C$1:$P$1,0)),元データ_加工!$A$2:$A$700,$A285,元データ_加工!$B$2:$B$700,N$5)</f>
        <v>0</v>
      </c>
      <c r="O285" s="26">
        <f t="shared" si="4"/>
        <v>0</v>
      </c>
      <c r="P285" s="7">
        <f>IFERROR(O285/SUMIFS(元データ_加工!$C$2:$C$700,元データ_加工!$A$2:$A$700,$A285),"")</f>
        <v>0</v>
      </c>
    </row>
    <row r="286" spans="1:16" x14ac:dyDescent="0.45">
      <c r="A286" t="s">
        <v>55</v>
      </c>
      <c r="B286" t="s">
        <v>100</v>
      </c>
      <c r="C286" s="26">
        <f>SUMIFS(INDEX(元データ_加工!$C$2:$P$700,0,MATCH($B286,元データ_加工!$C$1:$P$1,0)),元データ_加工!$A$2:$A$700,$A286,元データ_加工!$B$2:$B$700,C$5)</f>
        <v>2125</v>
      </c>
      <c r="D286" s="26">
        <f>SUMIFS(INDEX(元データ_加工!$C$2:$P$700,0,MATCH($B286,元データ_加工!$C$1:$P$1,0)),元データ_加工!$A$2:$A$700,$A286,元データ_加工!$B$2:$B$700,D$5)</f>
        <v>1994</v>
      </c>
      <c r="E286" s="26">
        <f>SUMIFS(INDEX(元データ_加工!$C$2:$P$700,0,MATCH($B286,元データ_加工!$C$1:$P$1,0)),元データ_加工!$A$2:$A$700,$A286,元データ_加工!$B$2:$B$700,E$5)</f>
        <v>2971</v>
      </c>
      <c r="F286" s="26">
        <f>SUMIFS(INDEX(元データ_加工!$C$2:$P$700,0,MATCH($B286,元データ_加工!$C$1:$P$1,0)),元データ_加工!$A$2:$A$700,$A286,元データ_加工!$B$2:$B$700,F$5)</f>
        <v>2594</v>
      </c>
      <c r="G286" s="26">
        <f>SUMIFS(INDEX(元データ_加工!$C$2:$P$700,0,MATCH($B286,元データ_加工!$C$1:$P$1,0)),元データ_加工!$A$2:$A$700,$A286,元データ_加工!$B$2:$B$700,G$5)</f>
        <v>2589</v>
      </c>
      <c r="H286" s="26">
        <f>SUMIFS(INDEX(元データ_加工!$C$2:$P$700,0,MATCH($B286,元データ_加工!$C$1:$P$1,0)),元データ_加工!$A$2:$A$700,$A286,元データ_加工!$B$2:$B$700,H$5)</f>
        <v>1849</v>
      </c>
      <c r="I286" s="26">
        <f>SUMIFS(INDEX(元データ_加工!$C$2:$P$700,0,MATCH($B286,元データ_加工!$C$1:$P$1,0)),元データ_加工!$A$2:$A$700,$A286,元データ_加工!$B$2:$B$700,I$5)</f>
        <v>1606</v>
      </c>
      <c r="J286" s="26">
        <f>SUMIFS(INDEX(元データ_加工!$C$2:$P$700,0,MATCH($B286,元データ_加工!$C$1:$P$1,0)),元データ_加工!$A$2:$A$700,$A286,元データ_加工!$B$2:$B$700,J$5)</f>
        <v>3256</v>
      </c>
      <c r="K286" s="26">
        <f>SUMIFS(INDEX(元データ_加工!$C$2:$P$700,0,MATCH($B286,元データ_加工!$C$1:$P$1,0)),元データ_加工!$A$2:$A$700,$A286,元データ_加工!$B$2:$B$700,K$5)</f>
        <v>5568</v>
      </c>
      <c r="L286" s="26">
        <f>SUMIFS(INDEX(元データ_加工!$C$2:$P$700,0,MATCH($B286,元データ_加工!$C$1:$P$1,0)),元データ_加工!$A$2:$A$700,$A286,元データ_加工!$B$2:$B$700,L$5)</f>
        <v>3609</v>
      </c>
      <c r="M286" s="26">
        <f>SUMIFS(INDEX(元データ_加工!$C$2:$P$700,0,MATCH($B286,元データ_加工!$C$1:$P$1,0)),元データ_加工!$A$2:$A$700,$A286,元データ_加工!$B$2:$B$700,M$5)</f>
        <v>3106</v>
      </c>
      <c r="N286" s="26">
        <f>SUMIFS(INDEX(元データ_加工!$C$2:$P$700,0,MATCH($B286,元データ_加工!$C$1:$P$1,0)),元データ_加工!$A$2:$A$700,$A286,元データ_加工!$B$2:$B$700,N$5)</f>
        <v>2383</v>
      </c>
      <c r="O286" s="26">
        <f t="shared" si="4"/>
        <v>33650</v>
      </c>
      <c r="P286" s="7">
        <f>IFERROR(O286/SUMIFS(元データ_加工!$C$2:$C$700,元データ_加工!$A$2:$A$700,$A286),"")</f>
        <v>1</v>
      </c>
    </row>
    <row r="287" spans="1:16" x14ac:dyDescent="0.45">
      <c r="A287" t="s">
        <v>55</v>
      </c>
      <c r="B287" t="s">
        <v>101</v>
      </c>
      <c r="C287" s="26">
        <f>SUMIFS(INDEX(元データ_加工!$C$2:$P$700,0,MATCH($B287,元データ_加工!$C$1:$P$1,0)),元データ_加工!$A$2:$A$700,$A287,元データ_加工!$B$2:$B$700,C$5)</f>
        <v>1166</v>
      </c>
      <c r="D287" s="26">
        <f>SUMIFS(INDEX(元データ_加工!$C$2:$P$700,0,MATCH($B287,元データ_加工!$C$1:$P$1,0)),元データ_加工!$A$2:$A$700,$A287,元データ_加工!$B$2:$B$700,D$5)</f>
        <v>1261</v>
      </c>
      <c r="E287" s="26">
        <f>SUMIFS(INDEX(元データ_加工!$C$2:$P$700,0,MATCH($B287,元データ_加工!$C$1:$P$1,0)),元データ_加工!$A$2:$A$700,$A287,元データ_加工!$B$2:$B$700,E$5)</f>
        <v>1624</v>
      </c>
      <c r="F287" s="26">
        <f>SUMIFS(INDEX(元データ_加工!$C$2:$P$700,0,MATCH($B287,元データ_加工!$C$1:$P$1,0)),元データ_加工!$A$2:$A$700,$A287,元データ_加工!$B$2:$B$700,F$5)</f>
        <v>1452</v>
      </c>
      <c r="G287" s="26">
        <f>SUMIFS(INDEX(元データ_加工!$C$2:$P$700,0,MATCH($B287,元データ_加工!$C$1:$P$1,0)),元データ_加工!$A$2:$A$700,$A287,元データ_加工!$B$2:$B$700,G$5)</f>
        <v>1417</v>
      </c>
      <c r="H287" s="26">
        <f>SUMIFS(INDEX(元データ_加工!$C$2:$P$700,0,MATCH($B287,元データ_加工!$C$1:$P$1,0)),元データ_加工!$A$2:$A$700,$A287,元データ_加工!$B$2:$B$700,H$5)</f>
        <v>1211</v>
      </c>
      <c r="I287" s="26">
        <f>SUMIFS(INDEX(元データ_加工!$C$2:$P$700,0,MATCH($B287,元データ_加工!$C$1:$P$1,0)),元データ_加工!$A$2:$A$700,$A287,元データ_加工!$B$2:$B$700,I$5)</f>
        <v>1265</v>
      </c>
      <c r="J287" s="26">
        <f>SUMIFS(INDEX(元データ_加工!$C$2:$P$700,0,MATCH($B287,元データ_加工!$C$1:$P$1,0)),元データ_加工!$A$2:$A$700,$A287,元データ_加工!$B$2:$B$700,J$5)</f>
        <v>1448</v>
      </c>
      <c r="K287" s="26">
        <f>SUMIFS(INDEX(元データ_加工!$C$2:$P$700,0,MATCH($B287,元データ_加工!$C$1:$P$1,0)),元データ_加工!$A$2:$A$700,$A287,元データ_加工!$B$2:$B$700,K$5)</f>
        <v>1516</v>
      </c>
      <c r="L287" s="26">
        <f>SUMIFS(INDEX(元データ_加工!$C$2:$P$700,0,MATCH($B287,元データ_加工!$C$1:$P$1,0)),元データ_加工!$A$2:$A$700,$A287,元データ_加工!$B$2:$B$700,L$5)</f>
        <v>1417</v>
      </c>
      <c r="M287" s="26">
        <f>SUMIFS(INDEX(元データ_加工!$C$2:$P$700,0,MATCH($B287,元データ_加工!$C$1:$P$1,0)),元データ_加工!$A$2:$A$700,$A287,元データ_加工!$B$2:$B$700,M$5)</f>
        <v>1453</v>
      </c>
      <c r="N287" s="26">
        <f>SUMIFS(INDEX(元データ_加工!$C$2:$P$700,0,MATCH($B287,元データ_加工!$C$1:$P$1,0)),元データ_加工!$A$2:$A$700,$A287,元データ_加工!$B$2:$B$700,N$5)</f>
        <v>1332</v>
      </c>
      <c r="O287" s="26">
        <f t="shared" si="4"/>
        <v>16562</v>
      </c>
      <c r="P287" s="7">
        <f>IFERROR(O287/SUMIFS(元データ_加工!$C$2:$C$700,元データ_加工!$A$2:$A$700,$A287),"")</f>
        <v>0.49218424962852897</v>
      </c>
    </row>
    <row r="288" spans="1:16" x14ac:dyDescent="0.45">
      <c r="A288" t="s">
        <v>55</v>
      </c>
      <c r="B288" t="s">
        <v>102</v>
      </c>
      <c r="C288" s="26">
        <f>SUMIFS(INDEX(元データ_加工!$C$2:$P$700,0,MATCH($B288,元データ_加工!$C$1:$P$1,0)),元データ_加工!$A$2:$A$700,$A288,元データ_加工!$B$2:$B$700,C$5)</f>
        <v>2</v>
      </c>
      <c r="D288" s="26">
        <f>SUMIFS(INDEX(元データ_加工!$C$2:$P$700,0,MATCH($B288,元データ_加工!$C$1:$P$1,0)),元データ_加工!$A$2:$A$700,$A288,元データ_加工!$B$2:$B$700,D$5)</f>
        <v>0</v>
      </c>
      <c r="E288" s="26">
        <f>SUMIFS(INDEX(元データ_加工!$C$2:$P$700,0,MATCH($B288,元データ_加工!$C$1:$P$1,0)),元データ_加工!$A$2:$A$700,$A288,元データ_加工!$B$2:$B$700,E$5)</f>
        <v>0</v>
      </c>
      <c r="F288" s="26">
        <f>SUMIFS(INDEX(元データ_加工!$C$2:$P$700,0,MATCH($B288,元データ_加工!$C$1:$P$1,0)),元データ_加工!$A$2:$A$700,$A288,元データ_加工!$B$2:$B$700,F$5)</f>
        <v>0</v>
      </c>
      <c r="G288" s="26">
        <f>SUMIFS(INDEX(元データ_加工!$C$2:$P$700,0,MATCH($B288,元データ_加工!$C$1:$P$1,0)),元データ_加工!$A$2:$A$700,$A288,元データ_加工!$B$2:$B$700,G$5)</f>
        <v>0</v>
      </c>
      <c r="H288" s="26">
        <f>SUMIFS(INDEX(元データ_加工!$C$2:$P$700,0,MATCH($B288,元データ_加工!$C$1:$P$1,0)),元データ_加工!$A$2:$A$700,$A288,元データ_加工!$B$2:$B$700,H$5)</f>
        <v>0</v>
      </c>
      <c r="I288" s="26">
        <f>SUMIFS(INDEX(元データ_加工!$C$2:$P$700,0,MATCH($B288,元データ_加工!$C$1:$P$1,0)),元データ_加工!$A$2:$A$700,$A288,元データ_加工!$B$2:$B$700,I$5)</f>
        <v>0</v>
      </c>
      <c r="J288" s="26">
        <f>SUMIFS(INDEX(元データ_加工!$C$2:$P$700,0,MATCH($B288,元データ_加工!$C$1:$P$1,0)),元データ_加工!$A$2:$A$700,$A288,元データ_加工!$B$2:$B$700,J$5)</f>
        <v>0</v>
      </c>
      <c r="K288" s="26">
        <f>SUMIFS(INDEX(元データ_加工!$C$2:$P$700,0,MATCH($B288,元データ_加工!$C$1:$P$1,0)),元データ_加工!$A$2:$A$700,$A288,元データ_加工!$B$2:$B$700,K$5)</f>
        <v>0</v>
      </c>
      <c r="L288" s="26">
        <f>SUMIFS(INDEX(元データ_加工!$C$2:$P$700,0,MATCH($B288,元データ_加工!$C$1:$P$1,0)),元データ_加工!$A$2:$A$700,$A288,元データ_加工!$B$2:$B$700,L$5)</f>
        <v>0</v>
      </c>
      <c r="M288" s="26">
        <f>SUMIFS(INDEX(元データ_加工!$C$2:$P$700,0,MATCH($B288,元データ_加工!$C$1:$P$1,0)),元データ_加工!$A$2:$A$700,$A288,元データ_加工!$B$2:$B$700,M$5)</f>
        <v>0</v>
      </c>
      <c r="N288" s="26">
        <f>SUMIFS(INDEX(元データ_加工!$C$2:$P$700,0,MATCH($B288,元データ_加工!$C$1:$P$1,0)),元データ_加工!$A$2:$A$700,$A288,元データ_加工!$B$2:$B$700,N$5)</f>
        <v>0</v>
      </c>
      <c r="O288" s="26">
        <f t="shared" si="4"/>
        <v>2</v>
      </c>
      <c r="P288" s="7">
        <f>IFERROR(O288/SUMIFS(元データ_加工!$C$2:$C$700,元データ_加工!$A$2:$A$700,$A288),"")</f>
        <v>5.9435364041604752E-5</v>
      </c>
    </row>
    <row r="289" spans="1:16" x14ac:dyDescent="0.45">
      <c r="A289" t="s">
        <v>55</v>
      </c>
      <c r="B289" t="s">
        <v>103</v>
      </c>
      <c r="C289" s="26">
        <f>SUMIFS(INDEX(元データ_加工!$C$2:$P$700,0,MATCH($B289,元データ_加工!$C$1:$P$1,0)),元データ_加工!$A$2:$A$700,$A289,元データ_加工!$B$2:$B$700,C$5)</f>
        <v>0</v>
      </c>
      <c r="D289" s="26">
        <f>SUMIFS(INDEX(元データ_加工!$C$2:$P$700,0,MATCH($B289,元データ_加工!$C$1:$P$1,0)),元データ_加工!$A$2:$A$700,$A289,元データ_加工!$B$2:$B$700,D$5)</f>
        <v>0</v>
      </c>
      <c r="E289" s="26">
        <f>SUMIFS(INDEX(元データ_加工!$C$2:$P$700,0,MATCH($B289,元データ_加工!$C$1:$P$1,0)),元データ_加工!$A$2:$A$700,$A289,元データ_加工!$B$2:$B$700,E$5)</f>
        <v>0</v>
      </c>
      <c r="F289" s="26">
        <f>SUMIFS(INDEX(元データ_加工!$C$2:$P$700,0,MATCH($B289,元データ_加工!$C$1:$P$1,0)),元データ_加工!$A$2:$A$700,$A289,元データ_加工!$B$2:$B$700,F$5)</f>
        <v>8</v>
      </c>
      <c r="G289" s="26">
        <f>SUMIFS(INDEX(元データ_加工!$C$2:$P$700,0,MATCH($B289,元データ_加工!$C$1:$P$1,0)),元データ_加工!$A$2:$A$700,$A289,元データ_加工!$B$2:$B$700,G$5)</f>
        <v>11</v>
      </c>
      <c r="H289" s="26">
        <f>SUMIFS(INDEX(元データ_加工!$C$2:$P$700,0,MATCH($B289,元データ_加工!$C$1:$P$1,0)),元データ_加工!$A$2:$A$700,$A289,元データ_加工!$B$2:$B$700,H$5)</f>
        <v>7</v>
      </c>
      <c r="I289" s="26">
        <f>SUMIFS(INDEX(元データ_加工!$C$2:$P$700,0,MATCH($B289,元データ_加工!$C$1:$P$1,0)),元データ_加工!$A$2:$A$700,$A289,元データ_加工!$B$2:$B$700,I$5)</f>
        <v>9</v>
      </c>
      <c r="J289" s="26">
        <f>SUMIFS(INDEX(元データ_加工!$C$2:$P$700,0,MATCH($B289,元データ_加工!$C$1:$P$1,0)),元データ_加工!$A$2:$A$700,$A289,元データ_加工!$B$2:$B$700,J$5)</f>
        <v>2</v>
      </c>
      <c r="K289" s="26">
        <f>SUMIFS(INDEX(元データ_加工!$C$2:$P$700,0,MATCH($B289,元データ_加工!$C$1:$P$1,0)),元データ_加工!$A$2:$A$700,$A289,元データ_加工!$B$2:$B$700,K$5)</f>
        <v>1</v>
      </c>
      <c r="L289" s="26">
        <f>SUMIFS(INDEX(元データ_加工!$C$2:$P$700,0,MATCH($B289,元データ_加工!$C$1:$P$1,0)),元データ_加工!$A$2:$A$700,$A289,元データ_加工!$B$2:$B$700,L$5)</f>
        <v>0</v>
      </c>
      <c r="M289" s="26">
        <f>SUMIFS(INDEX(元データ_加工!$C$2:$P$700,0,MATCH($B289,元データ_加工!$C$1:$P$1,0)),元データ_加工!$A$2:$A$700,$A289,元データ_加工!$B$2:$B$700,M$5)</f>
        <v>0</v>
      </c>
      <c r="N289" s="26">
        <f>SUMIFS(INDEX(元データ_加工!$C$2:$P$700,0,MATCH($B289,元データ_加工!$C$1:$P$1,0)),元データ_加工!$A$2:$A$700,$A289,元データ_加工!$B$2:$B$700,N$5)</f>
        <v>0</v>
      </c>
      <c r="O289" s="26">
        <f t="shared" si="4"/>
        <v>38</v>
      </c>
      <c r="P289" s="7">
        <f>IFERROR(O289/SUMIFS(元データ_加工!$C$2:$C$700,元データ_加工!$A$2:$A$700,$A289),"")</f>
        <v>1.1292719167904904E-3</v>
      </c>
    </row>
    <row r="290" spans="1:16" x14ac:dyDescent="0.45">
      <c r="A290" t="s">
        <v>55</v>
      </c>
      <c r="B290" t="s">
        <v>104</v>
      </c>
      <c r="C290" s="26">
        <f>SUMIFS(INDEX(元データ_加工!$C$2:$P$700,0,MATCH($B290,元データ_加工!$C$1:$P$1,0)),元データ_加工!$A$2:$A$700,$A290,元データ_加工!$B$2:$B$700,C$5)</f>
        <v>49</v>
      </c>
      <c r="D290" s="26">
        <f>SUMIFS(INDEX(元データ_加工!$C$2:$P$700,0,MATCH($B290,元データ_加工!$C$1:$P$1,0)),元データ_加工!$A$2:$A$700,$A290,元データ_加工!$B$2:$B$700,D$5)</f>
        <v>38</v>
      </c>
      <c r="E290" s="26">
        <f>SUMIFS(INDEX(元データ_加工!$C$2:$P$700,0,MATCH($B290,元データ_加工!$C$1:$P$1,0)),元データ_加工!$A$2:$A$700,$A290,元データ_加工!$B$2:$B$700,E$5)</f>
        <v>57</v>
      </c>
      <c r="F290" s="26">
        <f>SUMIFS(INDEX(元データ_加工!$C$2:$P$700,0,MATCH($B290,元データ_加工!$C$1:$P$1,0)),元データ_加工!$A$2:$A$700,$A290,元データ_加工!$B$2:$B$700,F$5)</f>
        <v>34</v>
      </c>
      <c r="G290" s="26">
        <f>SUMIFS(INDEX(元データ_加工!$C$2:$P$700,0,MATCH($B290,元データ_加工!$C$1:$P$1,0)),元データ_加工!$A$2:$A$700,$A290,元データ_加工!$B$2:$B$700,G$5)</f>
        <v>94</v>
      </c>
      <c r="H290" s="26">
        <f>SUMIFS(INDEX(元データ_加工!$C$2:$P$700,0,MATCH($B290,元データ_加工!$C$1:$P$1,0)),元データ_加工!$A$2:$A$700,$A290,元データ_加工!$B$2:$B$700,H$5)</f>
        <v>17</v>
      </c>
      <c r="I290" s="26">
        <f>SUMIFS(INDEX(元データ_加工!$C$2:$P$700,0,MATCH($B290,元データ_加工!$C$1:$P$1,0)),元データ_加工!$A$2:$A$700,$A290,元データ_加工!$B$2:$B$700,I$5)</f>
        <v>34</v>
      </c>
      <c r="J290" s="26">
        <f>SUMIFS(INDEX(元データ_加工!$C$2:$P$700,0,MATCH($B290,元データ_加工!$C$1:$P$1,0)),元データ_加工!$A$2:$A$700,$A290,元データ_加工!$B$2:$B$700,J$5)</f>
        <v>136</v>
      </c>
      <c r="K290" s="26">
        <f>SUMIFS(INDEX(元データ_加工!$C$2:$P$700,0,MATCH($B290,元データ_加工!$C$1:$P$1,0)),元データ_加工!$A$2:$A$700,$A290,元データ_加工!$B$2:$B$700,K$5)</f>
        <v>151</v>
      </c>
      <c r="L290" s="26">
        <f>SUMIFS(INDEX(元データ_加工!$C$2:$P$700,0,MATCH($B290,元データ_加工!$C$1:$P$1,0)),元データ_加工!$A$2:$A$700,$A290,元データ_加工!$B$2:$B$700,L$5)</f>
        <v>70</v>
      </c>
      <c r="M290" s="26">
        <f>SUMIFS(INDEX(元データ_加工!$C$2:$P$700,0,MATCH($B290,元データ_加工!$C$1:$P$1,0)),元データ_加工!$A$2:$A$700,$A290,元データ_加工!$B$2:$B$700,M$5)</f>
        <v>80</v>
      </c>
      <c r="N290" s="26">
        <f>SUMIFS(INDEX(元データ_加工!$C$2:$P$700,0,MATCH($B290,元データ_加工!$C$1:$P$1,0)),元データ_加工!$A$2:$A$700,$A290,元データ_加工!$B$2:$B$700,N$5)</f>
        <v>86</v>
      </c>
      <c r="O290" s="26">
        <f t="shared" si="4"/>
        <v>846</v>
      </c>
      <c r="P290" s="7">
        <f>IFERROR(O290/SUMIFS(元データ_加工!$C$2:$C$700,元データ_加工!$A$2:$A$700,$A290),"")</f>
        <v>2.5141158989598813E-2</v>
      </c>
    </row>
    <row r="291" spans="1:16" x14ac:dyDescent="0.45">
      <c r="A291" t="s">
        <v>55</v>
      </c>
      <c r="B291" t="s">
        <v>105</v>
      </c>
      <c r="C291" s="26">
        <f>SUMIFS(INDEX(元データ_加工!$C$2:$P$700,0,MATCH($B291,元データ_加工!$C$1:$P$1,0)),元データ_加工!$A$2:$A$700,$A291,元データ_加工!$B$2:$B$700,C$5)</f>
        <v>15</v>
      </c>
      <c r="D291" s="26">
        <f>SUMIFS(INDEX(元データ_加工!$C$2:$P$700,0,MATCH($B291,元データ_加工!$C$1:$P$1,0)),元データ_加工!$A$2:$A$700,$A291,元データ_加工!$B$2:$B$700,D$5)</f>
        <v>4</v>
      </c>
      <c r="E291" s="26">
        <f>SUMIFS(INDEX(元データ_加工!$C$2:$P$700,0,MATCH($B291,元データ_加工!$C$1:$P$1,0)),元データ_加工!$A$2:$A$700,$A291,元データ_加工!$B$2:$B$700,E$5)</f>
        <v>9</v>
      </c>
      <c r="F291" s="26">
        <f>SUMIFS(INDEX(元データ_加工!$C$2:$P$700,0,MATCH($B291,元データ_加工!$C$1:$P$1,0)),元データ_加工!$A$2:$A$700,$A291,元データ_加工!$B$2:$B$700,F$5)</f>
        <v>18</v>
      </c>
      <c r="G291" s="26">
        <f>SUMIFS(INDEX(元データ_加工!$C$2:$P$700,0,MATCH($B291,元データ_加工!$C$1:$P$1,0)),元データ_加工!$A$2:$A$700,$A291,元データ_加工!$B$2:$B$700,G$5)</f>
        <v>4</v>
      </c>
      <c r="H291" s="26">
        <f>SUMIFS(INDEX(元データ_加工!$C$2:$P$700,0,MATCH($B291,元データ_加工!$C$1:$P$1,0)),元データ_加工!$A$2:$A$700,$A291,元データ_加工!$B$2:$B$700,H$5)</f>
        <v>9</v>
      </c>
      <c r="I291" s="26">
        <f>SUMIFS(INDEX(元データ_加工!$C$2:$P$700,0,MATCH($B291,元データ_加工!$C$1:$P$1,0)),元データ_加工!$A$2:$A$700,$A291,元データ_加工!$B$2:$B$700,I$5)</f>
        <v>2</v>
      </c>
      <c r="J291" s="26">
        <f>SUMIFS(INDEX(元データ_加工!$C$2:$P$700,0,MATCH($B291,元データ_加工!$C$1:$P$1,0)),元データ_加工!$A$2:$A$700,$A291,元データ_加工!$B$2:$B$700,J$5)</f>
        <v>36</v>
      </c>
      <c r="K291" s="26">
        <f>SUMIFS(INDEX(元データ_加工!$C$2:$P$700,0,MATCH($B291,元データ_加工!$C$1:$P$1,0)),元データ_加工!$A$2:$A$700,$A291,元データ_加工!$B$2:$B$700,K$5)</f>
        <v>120</v>
      </c>
      <c r="L291" s="26">
        <f>SUMIFS(INDEX(元データ_加工!$C$2:$P$700,0,MATCH($B291,元データ_加工!$C$1:$P$1,0)),元データ_加工!$A$2:$A$700,$A291,元データ_加工!$B$2:$B$700,L$5)</f>
        <v>63</v>
      </c>
      <c r="M291" s="26">
        <f>SUMIFS(INDEX(元データ_加工!$C$2:$P$700,0,MATCH($B291,元データ_加工!$C$1:$P$1,0)),元データ_加工!$A$2:$A$700,$A291,元データ_加工!$B$2:$B$700,M$5)</f>
        <v>39</v>
      </c>
      <c r="N291" s="26">
        <f>SUMIFS(INDEX(元データ_加工!$C$2:$P$700,0,MATCH($B291,元データ_加工!$C$1:$P$1,0)),元データ_加工!$A$2:$A$700,$A291,元データ_加工!$B$2:$B$700,N$5)</f>
        <v>16</v>
      </c>
      <c r="O291" s="26">
        <f t="shared" si="4"/>
        <v>335</v>
      </c>
      <c r="P291" s="7">
        <f>IFERROR(O291/SUMIFS(元データ_加工!$C$2:$C$700,元データ_加工!$A$2:$A$700,$A291),"")</f>
        <v>9.9554234769687958E-3</v>
      </c>
    </row>
    <row r="292" spans="1:16" x14ac:dyDescent="0.45">
      <c r="A292" t="s">
        <v>55</v>
      </c>
      <c r="B292" t="s">
        <v>106</v>
      </c>
      <c r="C292" s="26">
        <f>SUMIFS(INDEX(元データ_加工!$C$2:$P$700,0,MATCH($B292,元データ_加工!$C$1:$P$1,0)),元データ_加工!$A$2:$A$700,$A292,元データ_加工!$B$2:$B$700,C$5)</f>
        <v>527</v>
      </c>
      <c r="D292" s="26">
        <f>SUMIFS(INDEX(元データ_加工!$C$2:$P$700,0,MATCH($B292,元データ_加工!$C$1:$P$1,0)),元データ_加工!$A$2:$A$700,$A292,元データ_加工!$B$2:$B$700,D$5)</f>
        <v>400</v>
      </c>
      <c r="E292" s="26">
        <f>SUMIFS(INDEX(元データ_加工!$C$2:$P$700,0,MATCH($B292,元データ_加工!$C$1:$P$1,0)),元データ_加工!$A$2:$A$700,$A292,元データ_加工!$B$2:$B$700,E$5)</f>
        <v>415</v>
      </c>
      <c r="F292" s="26">
        <f>SUMIFS(INDEX(元データ_加工!$C$2:$P$700,0,MATCH($B292,元データ_加工!$C$1:$P$1,0)),元データ_加工!$A$2:$A$700,$A292,元データ_加工!$B$2:$B$700,F$5)</f>
        <v>370</v>
      </c>
      <c r="G292" s="26">
        <f>SUMIFS(INDEX(元データ_加工!$C$2:$P$700,0,MATCH($B292,元データ_加工!$C$1:$P$1,0)),元データ_加工!$A$2:$A$700,$A292,元データ_加工!$B$2:$B$700,G$5)</f>
        <v>322</v>
      </c>
      <c r="H292" s="26">
        <f>SUMIFS(INDEX(元データ_加工!$C$2:$P$700,0,MATCH($B292,元データ_加工!$C$1:$P$1,0)),元データ_加工!$A$2:$A$700,$A292,元データ_加工!$B$2:$B$700,H$5)</f>
        <v>176</v>
      </c>
      <c r="I292" s="26">
        <f>SUMIFS(INDEX(元データ_加工!$C$2:$P$700,0,MATCH($B292,元データ_加工!$C$1:$P$1,0)),元データ_加工!$A$2:$A$700,$A292,元データ_加工!$B$2:$B$700,I$5)</f>
        <v>186</v>
      </c>
      <c r="J292" s="26">
        <f>SUMIFS(INDEX(元データ_加工!$C$2:$P$700,0,MATCH($B292,元データ_加工!$C$1:$P$1,0)),元データ_加工!$A$2:$A$700,$A292,元データ_加工!$B$2:$B$700,J$5)</f>
        <v>253</v>
      </c>
      <c r="K292" s="26">
        <f>SUMIFS(INDEX(元データ_加工!$C$2:$P$700,0,MATCH($B292,元データ_加工!$C$1:$P$1,0)),元データ_加工!$A$2:$A$700,$A292,元データ_加工!$B$2:$B$700,K$5)</f>
        <v>337</v>
      </c>
      <c r="L292" s="26">
        <f>SUMIFS(INDEX(元データ_加工!$C$2:$P$700,0,MATCH($B292,元データ_加工!$C$1:$P$1,0)),元データ_加工!$A$2:$A$700,$A292,元データ_加工!$B$2:$B$700,L$5)</f>
        <v>269</v>
      </c>
      <c r="M292" s="26">
        <f>SUMIFS(INDEX(元データ_加工!$C$2:$P$700,0,MATCH($B292,元データ_加工!$C$1:$P$1,0)),元データ_加工!$A$2:$A$700,$A292,元データ_加工!$B$2:$B$700,M$5)</f>
        <v>380</v>
      </c>
      <c r="N292" s="26">
        <f>SUMIFS(INDEX(元データ_加工!$C$2:$P$700,0,MATCH($B292,元データ_加工!$C$1:$P$1,0)),元データ_加工!$A$2:$A$700,$A292,元データ_加工!$B$2:$B$700,N$5)</f>
        <v>484</v>
      </c>
      <c r="O292" s="26">
        <f t="shared" si="4"/>
        <v>4119</v>
      </c>
      <c r="P292" s="7">
        <f>IFERROR(O292/SUMIFS(元データ_加工!$C$2:$C$700,元データ_加工!$A$2:$A$700,$A292),"")</f>
        <v>0.12240713224368499</v>
      </c>
    </row>
    <row r="293" spans="1:16" x14ac:dyDescent="0.45">
      <c r="A293" t="s">
        <v>55</v>
      </c>
      <c r="B293" t="s">
        <v>107</v>
      </c>
      <c r="C293" s="26">
        <f>SUMIFS(INDEX(元データ_加工!$C$2:$P$700,0,MATCH($B293,元データ_加工!$C$1:$P$1,0)),元データ_加工!$A$2:$A$700,$A293,元データ_加工!$B$2:$B$700,C$5)</f>
        <v>2</v>
      </c>
      <c r="D293" s="26">
        <f>SUMIFS(INDEX(元データ_加工!$C$2:$P$700,0,MATCH($B293,元データ_加工!$C$1:$P$1,0)),元データ_加工!$A$2:$A$700,$A293,元データ_加工!$B$2:$B$700,D$5)</f>
        <v>4</v>
      </c>
      <c r="E293" s="26">
        <f>SUMIFS(INDEX(元データ_加工!$C$2:$P$700,0,MATCH($B293,元データ_加工!$C$1:$P$1,0)),元データ_加工!$A$2:$A$700,$A293,元データ_加工!$B$2:$B$700,E$5)</f>
        <v>1</v>
      </c>
      <c r="F293" s="26">
        <f>SUMIFS(INDEX(元データ_加工!$C$2:$P$700,0,MATCH($B293,元データ_加工!$C$1:$P$1,0)),元データ_加工!$A$2:$A$700,$A293,元データ_加工!$B$2:$B$700,F$5)</f>
        <v>0</v>
      </c>
      <c r="G293" s="26">
        <f>SUMIFS(INDEX(元データ_加工!$C$2:$P$700,0,MATCH($B293,元データ_加工!$C$1:$P$1,0)),元データ_加工!$A$2:$A$700,$A293,元データ_加工!$B$2:$B$700,G$5)</f>
        <v>1</v>
      </c>
      <c r="H293" s="26">
        <f>SUMIFS(INDEX(元データ_加工!$C$2:$P$700,0,MATCH($B293,元データ_加工!$C$1:$P$1,0)),元データ_加工!$A$2:$A$700,$A293,元データ_加工!$B$2:$B$700,H$5)</f>
        <v>0</v>
      </c>
      <c r="I293" s="26">
        <f>SUMIFS(INDEX(元データ_加工!$C$2:$P$700,0,MATCH($B293,元データ_加工!$C$1:$P$1,0)),元データ_加工!$A$2:$A$700,$A293,元データ_加工!$B$2:$B$700,I$5)</f>
        <v>0</v>
      </c>
      <c r="J293" s="26">
        <f>SUMIFS(INDEX(元データ_加工!$C$2:$P$700,0,MATCH($B293,元データ_加工!$C$1:$P$1,0)),元データ_加工!$A$2:$A$700,$A293,元データ_加工!$B$2:$B$700,J$5)</f>
        <v>1</v>
      </c>
      <c r="K293" s="26">
        <f>SUMIFS(INDEX(元データ_加工!$C$2:$P$700,0,MATCH($B293,元データ_加工!$C$1:$P$1,0)),元データ_加工!$A$2:$A$700,$A293,元データ_加工!$B$2:$B$700,K$5)</f>
        <v>3</v>
      </c>
      <c r="L293" s="26">
        <f>SUMIFS(INDEX(元データ_加工!$C$2:$P$700,0,MATCH($B293,元データ_加工!$C$1:$P$1,0)),元データ_加工!$A$2:$A$700,$A293,元データ_加工!$B$2:$B$700,L$5)</f>
        <v>2</v>
      </c>
      <c r="M293" s="26">
        <f>SUMIFS(INDEX(元データ_加工!$C$2:$P$700,0,MATCH($B293,元データ_加工!$C$1:$P$1,0)),元データ_加工!$A$2:$A$700,$A293,元データ_加工!$B$2:$B$700,M$5)</f>
        <v>1</v>
      </c>
      <c r="N293" s="26">
        <f>SUMIFS(INDEX(元データ_加工!$C$2:$P$700,0,MATCH($B293,元データ_加工!$C$1:$P$1,0)),元データ_加工!$A$2:$A$700,$A293,元データ_加工!$B$2:$B$700,N$5)</f>
        <v>4</v>
      </c>
      <c r="O293" s="26">
        <f t="shared" si="4"/>
        <v>19</v>
      </c>
      <c r="P293" s="7">
        <f>IFERROR(O293/SUMIFS(元データ_加工!$C$2:$C$700,元データ_加工!$A$2:$A$700,$A293),"")</f>
        <v>5.6463595839524518E-4</v>
      </c>
    </row>
    <row r="294" spans="1:16" x14ac:dyDescent="0.45">
      <c r="A294" t="s">
        <v>55</v>
      </c>
      <c r="B294" t="s">
        <v>108</v>
      </c>
      <c r="C294" s="26">
        <f>SUMIFS(INDEX(元データ_加工!$C$2:$P$700,0,MATCH($B294,元データ_加工!$C$1:$P$1,0)),元データ_加工!$A$2:$A$700,$A294,元データ_加工!$B$2:$B$700,C$5)</f>
        <v>8</v>
      </c>
      <c r="D294" s="26">
        <f>SUMIFS(INDEX(元データ_加工!$C$2:$P$700,0,MATCH($B294,元データ_加工!$C$1:$P$1,0)),元データ_加工!$A$2:$A$700,$A294,元データ_加工!$B$2:$B$700,D$5)</f>
        <v>22</v>
      </c>
      <c r="E294" s="26">
        <f>SUMIFS(INDEX(元データ_加工!$C$2:$P$700,0,MATCH($B294,元データ_加工!$C$1:$P$1,0)),元データ_加工!$A$2:$A$700,$A294,元データ_加工!$B$2:$B$700,E$5)</f>
        <v>66</v>
      </c>
      <c r="F294" s="26">
        <f>SUMIFS(INDEX(元データ_加工!$C$2:$P$700,0,MATCH($B294,元データ_加工!$C$1:$P$1,0)),元データ_加工!$A$2:$A$700,$A294,元データ_加工!$B$2:$B$700,F$5)</f>
        <v>93</v>
      </c>
      <c r="G294" s="26">
        <f>SUMIFS(INDEX(元データ_加工!$C$2:$P$700,0,MATCH($B294,元データ_加工!$C$1:$P$1,0)),元データ_加工!$A$2:$A$700,$A294,元データ_加工!$B$2:$B$700,G$5)</f>
        <v>74</v>
      </c>
      <c r="H294" s="26">
        <f>SUMIFS(INDEX(元データ_加工!$C$2:$P$700,0,MATCH($B294,元データ_加工!$C$1:$P$1,0)),元データ_加工!$A$2:$A$700,$A294,元データ_加工!$B$2:$B$700,H$5)</f>
        <v>61</v>
      </c>
      <c r="I294" s="26">
        <f>SUMIFS(INDEX(元データ_加工!$C$2:$P$700,0,MATCH($B294,元データ_加工!$C$1:$P$1,0)),元データ_加工!$A$2:$A$700,$A294,元データ_加工!$B$2:$B$700,I$5)</f>
        <v>71</v>
      </c>
      <c r="J294" s="26">
        <f>SUMIFS(INDEX(元データ_加工!$C$2:$P$700,0,MATCH($B294,元データ_加工!$C$1:$P$1,0)),元データ_加工!$A$2:$A$700,$A294,元データ_加工!$B$2:$B$700,J$5)</f>
        <v>36</v>
      </c>
      <c r="K294" s="26">
        <f>SUMIFS(INDEX(元データ_加工!$C$2:$P$700,0,MATCH($B294,元データ_加工!$C$1:$P$1,0)),元データ_加工!$A$2:$A$700,$A294,元データ_加工!$B$2:$B$700,K$5)</f>
        <v>19</v>
      </c>
      <c r="L294" s="26">
        <f>SUMIFS(INDEX(元データ_加工!$C$2:$P$700,0,MATCH($B294,元データ_加工!$C$1:$P$1,0)),元データ_加工!$A$2:$A$700,$A294,元データ_加工!$B$2:$B$700,L$5)</f>
        <v>49</v>
      </c>
      <c r="M294" s="26">
        <f>SUMIFS(INDEX(元データ_加工!$C$2:$P$700,0,MATCH($B294,元データ_加工!$C$1:$P$1,0)),元データ_加工!$A$2:$A$700,$A294,元データ_加工!$B$2:$B$700,M$5)</f>
        <v>35</v>
      </c>
      <c r="N294" s="26">
        <f>SUMIFS(INDEX(元データ_加工!$C$2:$P$700,0,MATCH($B294,元データ_加工!$C$1:$P$1,0)),元データ_加工!$A$2:$A$700,$A294,元データ_加工!$B$2:$B$700,N$5)</f>
        <v>5</v>
      </c>
      <c r="O294" s="26">
        <f t="shared" si="4"/>
        <v>539</v>
      </c>
      <c r="P294" s="7">
        <f>IFERROR(O294/SUMIFS(元データ_加工!$C$2:$C$700,元データ_加工!$A$2:$A$700,$A294),"")</f>
        <v>1.6017830609212483E-2</v>
      </c>
    </row>
    <row r="295" spans="1:16" x14ac:dyDescent="0.45">
      <c r="A295" t="s">
        <v>55</v>
      </c>
      <c r="B295" t="s">
        <v>109</v>
      </c>
      <c r="C295" s="26">
        <f>SUMIFS(INDEX(元データ_加工!$C$2:$P$700,0,MATCH($B295,元データ_加工!$C$1:$P$1,0)),元データ_加工!$A$2:$A$700,$A295,元データ_加工!$B$2:$B$700,C$5)</f>
        <v>16</v>
      </c>
      <c r="D295" s="26">
        <f>SUMIFS(INDEX(元データ_加工!$C$2:$P$700,0,MATCH($B295,元データ_加工!$C$1:$P$1,0)),元データ_加工!$A$2:$A$700,$A295,元データ_加工!$B$2:$B$700,D$5)</f>
        <v>20</v>
      </c>
      <c r="E295" s="26">
        <f>SUMIFS(INDEX(元データ_加工!$C$2:$P$700,0,MATCH($B295,元データ_加工!$C$1:$P$1,0)),元データ_加工!$A$2:$A$700,$A295,元データ_加工!$B$2:$B$700,E$5)</f>
        <v>32</v>
      </c>
      <c r="F295" s="26">
        <f>SUMIFS(INDEX(元データ_加工!$C$2:$P$700,0,MATCH($B295,元データ_加工!$C$1:$P$1,0)),元データ_加工!$A$2:$A$700,$A295,元データ_加工!$B$2:$B$700,F$5)</f>
        <v>20</v>
      </c>
      <c r="G295" s="26">
        <f>SUMIFS(INDEX(元データ_加工!$C$2:$P$700,0,MATCH($B295,元データ_加工!$C$1:$P$1,0)),元データ_加工!$A$2:$A$700,$A295,元データ_加工!$B$2:$B$700,G$5)</f>
        <v>21</v>
      </c>
      <c r="H295" s="26">
        <f>SUMIFS(INDEX(元データ_加工!$C$2:$P$700,0,MATCH($B295,元データ_加工!$C$1:$P$1,0)),元データ_加工!$A$2:$A$700,$A295,元データ_加工!$B$2:$B$700,H$5)</f>
        <v>19</v>
      </c>
      <c r="I295" s="26">
        <f>SUMIFS(INDEX(元データ_加工!$C$2:$P$700,0,MATCH($B295,元データ_加工!$C$1:$P$1,0)),元データ_加工!$A$2:$A$700,$A295,元データ_加工!$B$2:$B$700,I$5)</f>
        <v>6</v>
      </c>
      <c r="J295" s="26">
        <f>SUMIFS(INDEX(元データ_加工!$C$2:$P$700,0,MATCH($B295,元データ_加工!$C$1:$P$1,0)),元データ_加工!$A$2:$A$700,$A295,元データ_加工!$B$2:$B$700,J$5)</f>
        <v>13</v>
      </c>
      <c r="K295" s="26">
        <f>SUMIFS(INDEX(元データ_加工!$C$2:$P$700,0,MATCH($B295,元データ_加工!$C$1:$P$1,0)),元データ_加工!$A$2:$A$700,$A295,元データ_加工!$B$2:$B$700,K$5)</f>
        <v>6</v>
      </c>
      <c r="L295" s="26">
        <f>SUMIFS(INDEX(元データ_加工!$C$2:$P$700,0,MATCH($B295,元データ_加工!$C$1:$P$1,0)),元データ_加工!$A$2:$A$700,$A295,元データ_加工!$B$2:$B$700,L$5)</f>
        <v>6</v>
      </c>
      <c r="M295" s="26">
        <f>SUMIFS(INDEX(元データ_加工!$C$2:$P$700,0,MATCH($B295,元データ_加工!$C$1:$P$1,0)),元データ_加工!$A$2:$A$700,$A295,元データ_加工!$B$2:$B$700,M$5)</f>
        <v>19</v>
      </c>
      <c r="N295" s="26">
        <f>SUMIFS(INDEX(元データ_加工!$C$2:$P$700,0,MATCH($B295,元データ_加工!$C$1:$P$1,0)),元データ_加工!$A$2:$A$700,$A295,元データ_加工!$B$2:$B$700,N$5)</f>
        <v>4</v>
      </c>
      <c r="O295" s="26">
        <f t="shared" si="4"/>
        <v>182</v>
      </c>
      <c r="P295" s="7">
        <f>IFERROR(O295/SUMIFS(元データ_加工!$C$2:$C$700,元データ_加工!$A$2:$A$700,$A295),"")</f>
        <v>5.4086181277860331E-3</v>
      </c>
    </row>
    <row r="296" spans="1:16" x14ac:dyDescent="0.45">
      <c r="A296" t="s">
        <v>55</v>
      </c>
      <c r="B296" t="s">
        <v>110</v>
      </c>
      <c r="C296" s="26">
        <f>SUMIFS(INDEX(元データ_加工!$C$2:$P$700,0,MATCH($B296,元データ_加工!$C$1:$P$1,0)),元データ_加工!$A$2:$A$700,$A296,元データ_加工!$B$2:$B$700,C$5)</f>
        <v>0</v>
      </c>
      <c r="D296" s="26">
        <f>SUMIFS(INDEX(元データ_加工!$C$2:$P$700,0,MATCH($B296,元データ_加工!$C$1:$P$1,0)),元データ_加工!$A$2:$A$700,$A296,元データ_加工!$B$2:$B$700,D$5)</f>
        <v>0</v>
      </c>
      <c r="E296" s="26">
        <f>SUMIFS(INDEX(元データ_加工!$C$2:$P$700,0,MATCH($B296,元データ_加工!$C$1:$P$1,0)),元データ_加工!$A$2:$A$700,$A296,元データ_加工!$B$2:$B$700,E$5)</f>
        <v>0</v>
      </c>
      <c r="F296" s="26">
        <f>SUMIFS(INDEX(元データ_加工!$C$2:$P$700,0,MATCH($B296,元データ_加工!$C$1:$P$1,0)),元データ_加工!$A$2:$A$700,$A296,元データ_加工!$B$2:$B$700,F$5)</f>
        <v>0</v>
      </c>
      <c r="G296" s="26">
        <f>SUMIFS(INDEX(元データ_加工!$C$2:$P$700,0,MATCH($B296,元データ_加工!$C$1:$P$1,0)),元データ_加工!$A$2:$A$700,$A296,元データ_加工!$B$2:$B$700,G$5)</f>
        <v>0</v>
      </c>
      <c r="H296" s="26">
        <f>SUMIFS(INDEX(元データ_加工!$C$2:$P$700,0,MATCH($B296,元データ_加工!$C$1:$P$1,0)),元データ_加工!$A$2:$A$700,$A296,元データ_加工!$B$2:$B$700,H$5)</f>
        <v>0</v>
      </c>
      <c r="I296" s="26">
        <f>SUMIFS(INDEX(元データ_加工!$C$2:$P$700,0,MATCH($B296,元データ_加工!$C$1:$P$1,0)),元データ_加工!$A$2:$A$700,$A296,元データ_加工!$B$2:$B$700,I$5)</f>
        <v>0</v>
      </c>
      <c r="J296" s="26">
        <f>SUMIFS(INDEX(元データ_加工!$C$2:$P$700,0,MATCH($B296,元データ_加工!$C$1:$P$1,0)),元データ_加工!$A$2:$A$700,$A296,元データ_加工!$B$2:$B$700,J$5)</f>
        <v>0</v>
      </c>
      <c r="K296" s="26">
        <f>SUMIFS(INDEX(元データ_加工!$C$2:$P$700,0,MATCH($B296,元データ_加工!$C$1:$P$1,0)),元データ_加工!$A$2:$A$700,$A296,元データ_加工!$B$2:$B$700,K$5)</f>
        <v>0</v>
      </c>
      <c r="L296" s="26">
        <f>SUMIFS(INDEX(元データ_加工!$C$2:$P$700,0,MATCH($B296,元データ_加工!$C$1:$P$1,0)),元データ_加工!$A$2:$A$700,$A296,元データ_加工!$B$2:$B$700,L$5)</f>
        <v>0</v>
      </c>
      <c r="M296" s="26">
        <f>SUMIFS(INDEX(元データ_加工!$C$2:$P$700,0,MATCH($B296,元データ_加工!$C$1:$P$1,0)),元データ_加工!$A$2:$A$700,$A296,元データ_加工!$B$2:$B$700,M$5)</f>
        <v>0</v>
      </c>
      <c r="N296" s="26">
        <f>SUMIFS(INDEX(元データ_加工!$C$2:$P$700,0,MATCH($B296,元データ_加工!$C$1:$P$1,0)),元データ_加工!$A$2:$A$700,$A296,元データ_加工!$B$2:$B$700,N$5)</f>
        <v>0</v>
      </c>
      <c r="O296" s="26">
        <f t="shared" si="4"/>
        <v>0</v>
      </c>
      <c r="P296" s="7">
        <f>IFERROR(O296/SUMIFS(元データ_加工!$C$2:$C$700,元データ_加工!$A$2:$A$700,$A296),"")</f>
        <v>0</v>
      </c>
    </row>
    <row r="297" spans="1:16" x14ac:dyDescent="0.45">
      <c r="A297" t="s">
        <v>55</v>
      </c>
      <c r="B297" t="s">
        <v>111</v>
      </c>
      <c r="C297" s="26">
        <f>SUMIFS(INDEX(元データ_加工!$C$2:$P$700,0,MATCH($B297,元データ_加工!$C$1:$P$1,0)),元データ_加工!$A$2:$A$700,$A297,元データ_加工!$B$2:$B$700,C$5)</f>
        <v>0</v>
      </c>
      <c r="D297" s="26">
        <f>SUMIFS(INDEX(元データ_加工!$C$2:$P$700,0,MATCH($B297,元データ_加工!$C$1:$P$1,0)),元データ_加工!$A$2:$A$700,$A297,元データ_加工!$B$2:$B$700,D$5)</f>
        <v>0</v>
      </c>
      <c r="E297" s="26">
        <f>SUMIFS(INDEX(元データ_加工!$C$2:$P$700,0,MATCH($B297,元データ_加工!$C$1:$P$1,0)),元データ_加工!$A$2:$A$700,$A297,元データ_加工!$B$2:$B$700,E$5)</f>
        <v>0</v>
      </c>
      <c r="F297" s="26">
        <f>SUMIFS(INDEX(元データ_加工!$C$2:$P$700,0,MATCH($B297,元データ_加工!$C$1:$P$1,0)),元データ_加工!$A$2:$A$700,$A297,元データ_加工!$B$2:$B$700,F$5)</f>
        <v>0</v>
      </c>
      <c r="G297" s="26">
        <f>SUMIFS(INDEX(元データ_加工!$C$2:$P$700,0,MATCH($B297,元データ_加工!$C$1:$P$1,0)),元データ_加工!$A$2:$A$700,$A297,元データ_加工!$B$2:$B$700,G$5)</f>
        <v>0</v>
      </c>
      <c r="H297" s="26">
        <f>SUMIFS(INDEX(元データ_加工!$C$2:$P$700,0,MATCH($B297,元データ_加工!$C$1:$P$1,0)),元データ_加工!$A$2:$A$700,$A297,元データ_加工!$B$2:$B$700,H$5)</f>
        <v>0</v>
      </c>
      <c r="I297" s="26">
        <f>SUMIFS(INDEX(元データ_加工!$C$2:$P$700,0,MATCH($B297,元データ_加工!$C$1:$P$1,0)),元データ_加工!$A$2:$A$700,$A297,元データ_加工!$B$2:$B$700,I$5)</f>
        <v>0</v>
      </c>
      <c r="J297" s="26">
        <f>SUMIFS(INDEX(元データ_加工!$C$2:$P$700,0,MATCH($B297,元データ_加工!$C$1:$P$1,0)),元データ_加工!$A$2:$A$700,$A297,元データ_加工!$B$2:$B$700,J$5)</f>
        <v>0</v>
      </c>
      <c r="K297" s="26">
        <f>SUMIFS(INDEX(元データ_加工!$C$2:$P$700,0,MATCH($B297,元データ_加工!$C$1:$P$1,0)),元データ_加工!$A$2:$A$700,$A297,元データ_加工!$B$2:$B$700,K$5)</f>
        <v>0</v>
      </c>
      <c r="L297" s="26">
        <f>SUMIFS(INDEX(元データ_加工!$C$2:$P$700,0,MATCH($B297,元データ_加工!$C$1:$P$1,0)),元データ_加工!$A$2:$A$700,$A297,元データ_加工!$B$2:$B$700,L$5)</f>
        <v>0</v>
      </c>
      <c r="M297" s="26">
        <f>SUMIFS(INDEX(元データ_加工!$C$2:$P$700,0,MATCH($B297,元データ_加工!$C$1:$P$1,0)),元データ_加工!$A$2:$A$700,$A297,元データ_加工!$B$2:$B$700,M$5)</f>
        <v>0</v>
      </c>
      <c r="N297" s="26">
        <f>SUMIFS(INDEX(元データ_加工!$C$2:$P$700,0,MATCH($B297,元データ_加工!$C$1:$P$1,0)),元データ_加工!$A$2:$A$700,$A297,元データ_加工!$B$2:$B$700,N$5)</f>
        <v>1</v>
      </c>
      <c r="O297" s="26">
        <f t="shared" si="4"/>
        <v>1</v>
      </c>
      <c r="P297" s="7">
        <f>IFERROR(O297/SUMIFS(元データ_加工!$C$2:$C$700,元データ_加工!$A$2:$A$700,$A297),"")</f>
        <v>2.9717682020802376E-5</v>
      </c>
    </row>
    <row r="298" spans="1:16" x14ac:dyDescent="0.45">
      <c r="A298" t="s">
        <v>55</v>
      </c>
      <c r="B298" t="s">
        <v>112</v>
      </c>
      <c r="C298" s="26">
        <f>SUMIFS(INDEX(元データ_加工!$C$2:$P$700,0,MATCH($B298,元データ_加工!$C$1:$P$1,0)),元データ_加工!$A$2:$A$700,$A298,元データ_加工!$B$2:$B$700,C$5)</f>
        <v>0</v>
      </c>
      <c r="D298" s="26">
        <f>SUMIFS(INDEX(元データ_加工!$C$2:$P$700,0,MATCH($B298,元データ_加工!$C$1:$P$1,0)),元データ_加工!$A$2:$A$700,$A298,元データ_加工!$B$2:$B$700,D$5)</f>
        <v>0</v>
      </c>
      <c r="E298" s="26">
        <f>SUMIFS(INDEX(元データ_加工!$C$2:$P$700,0,MATCH($B298,元データ_加工!$C$1:$P$1,0)),元データ_加工!$A$2:$A$700,$A298,元データ_加工!$B$2:$B$700,E$5)</f>
        <v>0</v>
      </c>
      <c r="F298" s="26">
        <f>SUMIFS(INDEX(元データ_加工!$C$2:$P$700,0,MATCH($B298,元データ_加工!$C$1:$P$1,0)),元データ_加工!$A$2:$A$700,$A298,元データ_加工!$B$2:$B$700,F$5)</f>
        <v>0</v>
      </c>
      <c r="G298" s="26">
        <f>SUMIFS(INDEX(元データ_加工!$C$2:$P$700,0,MATCH($B298,元データ_加工!$C$1:$P$1,0)),元データ_加工!$A$2:$A$700,$A298,元データ_加工!$B$2:$B$700,G$5)</f>
        <v>0</v>
      </c>
      <c r="H298" s="26">
        <f>SUMIFS(INDEX(元データ_加工!$C$2:$P$700,0,MATCH($B298,元データ_加工!$C$1:$P$1,0)),元データ_加工!$A$2:$A$700,$A298,元データ_加工!$B$2:$B$700,H$5)</f>
        <v>0</v>
      </c>
      <c r="I298" s="26">
        <f>SUMIFS(INDEX(元データ_加工!$C$2:$P$700,0,MATCH($B298,元データ_加工!$C$1:$P$1,0)),元データ_加工!$A$2:$A$700,$A298,元データ_加工!$B$2:$B$700,I$5)</f>
        <v>0</v>
      </c>
      <c r="J298" s="26">
        <f>SUMIFS(INDEX(元データ_加工!$C$2:$P$700,0,MATCH($B298,元データ_加工!$C$1:$P$1,0)),元データ_加工!$A$2:$A$700,$A298,元データ_加工!$B$2:$B$700,J$5)</f>
        <v>0</v>
      </c>
      <c r="K298" s="26">
        <f>SUMIFS(INDEX(元データ_加工!$C$2:$P$700,0,MATCH($B298,元データ_加工!$C$1:$P$1,0)),元データ_加工!$A$2:$A$700,$A298,元データ_加工!$B$2:$B$700,K$5)</f>
        <v>1</v>
      </c>
      <c r="L298" s="26">
        <f>SUMIFS(INDEX(元データ_加工!$C$2:$P$700,0,MATCH($B298,元データ_加工!$C$1:$P$1,0)),元データ_加工!$A$2:$A$700,$A298,元データ_加工!$B$2:$B$700,L$5)</f>
        <v>1</v>
      </c>
      <c r="M298" s="26">
        <f>SUMIFS(INDEX(元データ_加工!$C$2:$P$700,0,MATCH($B298,元データ_加工!$C$1:$P$1,0)),元データ_加工!$A$2:$A$700,$A298,元データ_加工!$B$2:$B$700,M$5)</f>
        <v>0</v>
      </c>
      <c r="N298" s="26">
        <f>SUMIFS(INDEX(元データ_加工!$C$2:$P$700,0,MATCH($B298,元データ_加工!$C$1:$P$1,0)),元データ_加工!$A$2:$A$700,$A298,元データ_加工!$B$2:$B$700,N$5)</f>
        <v>0</v>
      </c>
      <c r="O298" s="26">
        <f t="shared" si="4"/>
        <v>2</v>
      </c>
      <c r="P298" s="7">
        <f>IFERROR(O298/SUMIFS(元データ_加工!$C$2:$C$700,元データ_加工!$A$2:$A$700,$A298),"")</f>
        <v>5.9435364041604752E-5</v>
      </c>
    </row>
    <row r="299" spans="1:16" x14ac:dyDescent="0.45">
      <c r="A299" t="s">
        <v>55</v>
      </c>
      <c r="B299" t="s">
        <v>113</v>
      </c>
      <c r="C299" s="26">
        <f>SUMIFS(INDEX(元データ_加工!$C$2:$P$700,0,MATCH($B299,元データ_加工!$C$1:$P$1,0)),元データ_加工!$A$2:$A$700,$A299,元データ_加工!$B$2:$B$700,C$5)</f>
        <v>0</v>
      </c>
      <c r="D299" s="26">
        <f>SUMIFS(INDEX(元データ_加工!$C$2:$P$700,0,MATCH($B299,元データ_加工!$C$1:$P$1,0)),元データ_加工!$A$2:$A$700,$A299,元データ_加工!$B$2:$B$700,D$5)</f>
        <v>0</v>
      </c>
      <c r="E299" s="26">
        <f>SUMIFS(INDEX(元データ_加工!$C$2:$P$700,0,MATCH($B299,元データ_加工!$C$1:$P$1,0)),元データ_加工!$A$2:$A$700,$A299,元データ_加工!$B$2:$B$700,E$5)</f>
        <v>0</v>
      </c>
      <c r="F299" s="26">
        <f>SUMIFS(INDEX(元データ_加工!$C$2:$P$700,0,MATCH($B299,元データ_加工!$C$1:$P$1,0)),元データ_加工!$A$2:$A$700,$A299,元データ_加工!$B$2:$B$700,F$5)</f>
        <v>0</v>
      </c>
      <c r="G299" s="26">
        <f>SUMIFS(INDEX(元データ_加工!$C$2:$P$700,0,MATCH($B299,元データ_加工!$C$1:$P$1,0)),元データ_加工!$A$2:$A$700,$A299,元データ_加工!$B$2:$B$700,G$5)</f>
        <v>0</v>
      </c>
      <c r="H299" s="26">
        <f>SUMIFS(INDEX(元データ_加工!$C$2:$P$700,0,MATCH($B299,元データ_加工!$C$1:$P$1,0)),元データ_加工!$A$2:$A$700,$A299,元データ_加工!$B$2:$B$700,H$5)</f>
        <v>2</v>
      </c>
      <c r="I299" s="26">
        <f>SUMIFS(INDEX(元データ_加工!$C$2:$P$700,0,MATCH($B299,元データ_加工!$C$1:$P$1,0)),元データ_加工!$A$2:$A$700,$A299,元データ_加工!$B$2:$B$700,I$5)</f>
        <v>2</v>
      </c>
      <c r="J299" s="26">
        <f>SUMIFS(INDEX(元データ_加工!$C$2:$P$700,0,MATCH($B299,元データ_加工!$C$1:$P$1,0)),元データ_加工!$A$2:$A$700,$A299,元データ_加工!$B$2:$B$700,J$5)</f>
        <v>2</v>
      </c>
      <c r="K299" s="26">
        <f>SUMIFS(INDEX(元データ_加工!$C$2:$P$700,0,MATCH($B299,元データ_加工!$C$1:$P$1,0)),元データ_加工!$A$2:$A$700,$A299,元データ_加工!$B$2:$B$700,K$5)</f>
        <v>0</v>
      </c>
      <c r="L299" s="26">
        <f>SUMIFS(INDEX(元データ_加工!$C$2:$P$700,0,MATCH($B299,元データ_加工!$C$1:$P$1,0)),元データ_加工!$A$2:$A$700,$A299,元データ_加工!$B$2:$B$700,L$5)</f>
        <v>0</v>
      </c>
      <c r="M299" s="26">
        <f>SUMIFS(INDEX(元データ_加工!$C$2:$P$700,0,MATCH($B299,元データ_加工!$C$1:$P$1,0)),元データ_加工!$A$2:$A$700,$A299,元データ_加工!$B$2:$B$700,M$5)</f>
        <v>0</v>
      </c>
      <c r="N299" s="26">
        <f>SUMIFS(INDEX(元データ_加工!$C$2:$P$700,0,MATCH($B299,元データ_加工!$C$1:$P$1,0)),元データ_加工!$A$2:$A$700,$A299,元データ_加工!$B$2:$B$700,N$5)</f>
        <v>0</v>
      </c>
      <c r="O299" s="26">
        <f t="shared" si="4"/>
        <v>6</v>
      </c>
      <c r="P299" s="7">
        <f>IFERROR(O299/SUMIFS(元データ_加工!$C$2:$C$700,元データ_加工!$A$2:$A$700,$A299),"")</f>
        <v>1.7830609212481427E-4</v>
      </c>
    </row>
    <row r="300" spans="1:16" x14ac:dyDescent="0.45">
      <c r="A300" t="s">
        <v>56</v>
      </c>
      <c r="B300" t="s">
        <v>100</v>
      </c>
      <c r="C300" s="26">
        <f>SUMIFS(INDEX(元データ_加工!$C$2:$P$700,0,MATCH($B300,元データ_加工!$C$1:$P$1,0)),元データ_加工!$A$2:$A$700,$A300,元データ_加工!$B$2:$B$700,C$5)</f>
        <v>1362</v>
      </c>
      <c r="D300" s="26">
        <f>SUMIFS(INDEX(元データ_加工!$C$2:$P$700,0,MATCH($B300,元データ_加工!$C$1:$P$1,0)),元データ_加工!$A$2:$A$700,$A300,元データ_加工!$B$2:$B$700,D$5)</f>
        <v>1500</v>
      </c>
      <c r="E300" s="26">
        <f>SUMIFS(INDEX(元データ_加工!$C$2:$P$700,0,MATCH($B300,元データ_加工!$C$1:$P$1,0)),元データ_加工!$A$2:$A$700,$A300,元データ_加工!$B$2:$B$700,E$5)</f>
        <v>2469</v>
      </c>
      <c r="F300" s="26">
        <f>SUMIFS(INDEX(元データ_加工!$C$2:$P$700,0,MATCH($B300,元データ_加工!$C$1:$P$1,0)),元データ_加工!$A$2:$A$700,$A300,元データ_加工!$B$2:$B$700,F$5)</f>
        <v>2206</v>
      </c>
      <c r="G300" s="26">
        <f>SUMIFS(INDEX(元データ_加工!$C$2:$P$700,0,MATCH($B300,元データ_加工!$C$1:$P$1,0)),元データ_加工!$A$2:$A$700,$A300,元データ_加工!$B$2:$B$700,G$5)</f>
        <v>2287</v>
      </c>
      <c r="H300" s="26">
        <f>SUMIFS(INDEX(元データ_加工!$C$2:$P$700,0,MATCH($B300,元データ_加工!$C$1:$P$1,0)),元データ_加工!$A$2:$A$700,$A300,元データ_加工!$B$2:$B$700,H$5)</f>
        <v>1578</v>
      </c>
      <c r="I300" s="26">
        <f>SUMIFS(INDEX(元データ_加工!$C$2:$P$700,0,MATCH($B300,元データ_加工!$C$1:$P$1,0)),元データ_加工!$A$2:$A$700,$A300,元データ_加工!$B$2:$B$700,I$5)</f>
        <v>1381</v>
      </c>
      <c r="J300" s="26">
        <f>SUMIFS(INDEX(元データ_加工!$C$2:$P$700,0,MATCH($B300,元データ_加工!$C$1:$P$1,0)),元データ_加工!$A$2:$A$700,$A300,元データ_加工!$B$2:$B$700,J$5)</f>
        <v>2388</v>
      </c>
      <c r="K300" s="26">
        <f>SUMIFS(INDEX(元データ_加工!$C$2:$P$700,0,MATCH($B300,元データ_加工!$C$1:$P$1,0)),元データ_加工!$A$2:$A$700,$A300,元データ_加工!$B$2:$B$700,K$5)</f>
        <v>4497</v>
      </c>
      <c r="L300" s="26">
        <f>SUMIFS(INDEX(元データ_加工!$C$2:$P$700,0,MATCH($B300,元データ_加工!$C$1:$P$1,0)),元データ_加工!$A$2:$A$700,$A300,元データ_加工!$B$2:$B$700,L$5)</f>
        <v>2887</v>
      </c>
      <c r="M300" s="26">
        <f>SUMIFS(INDEX(元データ_加工!$C$2:$P$700,0,MATCH($B300,元データ_加工!$C$1:$P$1,0)),元データ_加工!$A$2:$A$700,$A300,元データ_加工!$B$2:$B$700,M$5)</f>
        <v>2772</v>
      </c>
      <c r="N300" s="26">
        <f>SUMIFS(INDEX(元データ_加工!$C$2:$P$700,0,MATCH($B300,元データ_加工!$C$1:$P$1,0)),元データ_加工!$A$2:$A$700,$A300,元データ_加工!$B$2:$B$700,N$5)</f>
        <v>2053</v>
      </c>
      <c r="O300" s="26">
        <f t="shared" si="4"/>
        <v>27380</v>
      </c>
      <c r="P300" s="7">
        <f>IFERROR(O300/SUMIFS(元データ_加工!$C$2:$C$700,元データ_加工!$A$2:$A$700,$A300),"")</f>
        <v>1</v>
      </c>
    </row>
    <row r="301" spans="1:16" x14ac:dyDescent="0.45">
      <c r="A301" t="s">
        <v>56</v>
      </c>
      <c r="B301" t="s">
        <v>101</v>
      </c>
      <c r="C301" s="26">
        <f>SUMIFS(INDEX(元データ_加工!$C$2:$P$700,0,MATCH($B301,元データ_加工!$C$1:$P$1,0)),元データ_加工!$A$2:$A$700,$A301,元データ_加工!$B$2:$B$700,C$5)</f>
        <v>831</v>
      </c>
      <c r="D301" s="26">
        <f>SUMIFS(INDEX(元データ_加工!$C$2:$P$700,0,MATCH($B301,元データ_加工!$C$1:$P$1,0)),元データ_加工!$A$2:$A$700,$A301,元データ_加工!$B$2:$B$700,D$5)</f>
        <v>1003</v>
      </c>
      <c r="E301" s="26">
        <f>SUMIFS(INDEX(元データ_加工!$C$2:$P$700,0,MATCH($B301,元データ_加工!$C$1:$P$1,0)),元データ_加工!$A$2:$A$700,$A301,元データ_加工!$B$2:$B$700,E$5)</f>
        <v>1325</v>
      </c>
      <c r="F301" s="26">
        <f>SUMIFS(INDEX(元データ_加工!$C$2:$P$700,0,MATCH($B301,元データ_加工!$C$1:$P$1,0)),元データ_加工!$A$2:$A$700,$A301,元データ_加工!$B$2:$B$700,F$5)</f>
        <v>1225</v>
      </c>
      <c r="G301" s="26">
        <f>SUMIFS(INDEX(元データ_加工!$C$2:$P$700,0,MATCH($B301,元データ_加工!$C$1:$P$1,0)),元データ_加工!$A$2:$A$700,$A301,元データ_加工!$B$2:$B$700,G$5)</f>
        <v>1186</v>
      </c>
      <c r="H301" s="26">
        <f>SUMIFS(INDEX(元データ_加工!$C$2:$P$700,0,MATCH($B301,元データ_加工!$C$1:$P$1,0)),元データ_加工!$A$2:$A$700,$A301,元データ_加工!$B$2:$B$700,H$5)</f>
        <v>968</v>
      </c>
      <c r="I301" s="26">
        <f>SUMIFS(INDEX(元データ_加工!$C$2:$P$700,0,MATCH($B301,元データ_加工!$C$1:$P$1,0)),元データ_加工!$A$2:$A$700,$A301,元データ_加工!$B$2:$B$700,I$5)</f>
        <v>975</v>
      </c>
      <c r="J301" s="26">
        <f>SUMIFS(INDEX(元データ_加工!$C$2:$P$700,0,MATCH($B301,元データ_加工!$C$1:$P$1,0)),元データ_加工!$A$2:$A$700,$A301,元データ_加工!$B$2:$B$700,J$5)</f>
        <v>1202</v>
      </c>
      <c r="K301" s="26">
        <f>SUMIFS(INDEX(元データ_加工!$C$2:$P$700,0,MATCH($B301,元データ_加工!$C$1:$P$1,0)),元データ_加工!$A$2:$A$700,$A301,元データ_加工!$B$2:$B$700,K$5)</f>
        <v>1258</v>
      </c>
      <c r="L301" s="26">
        <f>SUMIFS(INDEX(元データ_加工!$C$2:$P$700,0,MATCH($B301,元データ_加工!$C$1:$P$1,0)),元データ_加工!$A$2:$A$700,$A301,元データ_加工!$B$2:$B$700,L$5)</f>
        <v>980</v>
      </c>
      <c r="M301" s="26">
        <f>SUMIFS(INDEX(元データ_加工!$C$2:$P$700,0,MATCH($B301,元データ_加工!$C$1:$P$1,0)),元データ_加工!$A$2:$A$700,$A301,元データ_加工!$B$2:$B$700,M$5)</f>
        <v>1146</v>
      </c>
      <c r="N301" s="26">
        <f>SUMIFS(INDEX(元データ_加工!$C$2:$P$700,0,MATCH($B301,元データ_加工!$C$1:$P$1,0)),元データ_加工!$A$2:$A$700,$A301,元データ_加工!$B$2:$B$700,N$5)</f>
        <v>1018</v>
      </c>
      <c r="O301" s="26">
        <f t="shared" si="4"/>
        <v>13117</v>
      </c>
      <c r="P301" s="7">
        <f>IFERROR(O301/SUMIFS(元データ_加工!$C$2:$C$700,元データ_加工!$A$2:$A$700,$A301),"")</f>
        <v>0.47907231555880203</v>
      </c>
    </row>
    <row r="302" spans="1:16" x14ac:dyDescent="0.45">
      <c r="A302" t="s">
        <v>56</v>
      </c>
      <c r="B302" t="s">
        <v>102</v>
      </c>
      <c r="C302" s="26">
        <f>SUMIFS(INDEX(元データ_加工!$C$2:$P$700,0,MATCH($B302,元データ_加工!$C$1:$P$1,0)),元データ_加工!$A$2:$A$700,$A302,元データ_加工!$B$2:$B$700,C$5)</f>
        <v>0</v>
      </c>
      <c r="D302" s="26">
        <f>SUMIFS(INDEX(元データ_加工!$C$2:$P$700,0,MATCH($B302,元データ_加工!$C$1:$P$1,0)),元データ_加工!$A$2:$A$700,$A302,元データ_加工!$B$2:$B$700,D$5)</f>
        <v>0</v>
      </c>
      <c r="E302" s="26">
        <f>SUMIFS(INDEX(元データ_加工!$C$2:$P$700,0,MATCH($B302,元データ_加工!$C$1:$P$1,0)),元データ_加工!$A$2:$A$700,$A302,元データ_加工!$B$2:$B$700,E$5)</f>
        <v>0</v>
      </c>
      <c r="F302" s="26">
        <f>SUMIFS(INDEX(元データ_加工!$C$2:$P$700,0,MATCH($B302,元データ_加工!$C$1:$P$1,0)),元データ_加工!$A$2:$A$700,$A302,元データ_加工!$B$2:$B$700,F$5)</f>
        <v>0</v>
      </c>
      <c r="G302" s="26">
        <f>SUMIFS(INDEX(元データ_加工!$C$2:$P$700,0,MATCH($B302,元データ_加工!$C$1:$P$1,0)),元データ_加工!$A$2:$A$700,$A302,元データ_加工!$B$2:$B$700,G$5)</f>
        <v>0</v>
      </c>
      <c r="H302" s="26">
        <f>SUMIFS(INDEX(元データ_加工!$C$2:$P$700,0,MATCH($B302,元データ_加工!$C$1:$P$1,0)),元データ_加工!$A$2:$A$700,$A302,元データ_加工!$B$2:$B$700,H$5)</f>
        <v>0</v>
      </c>
      <c r="I302" s="26">
        <f>SUMIFS(INDEX(元データ_加工!$C$2:$P$700,0,MATCH($B302,元データ_加工!$C$1:$P$1,0)),元データ_加工!$A$2:$A$700,$A302,元データ_加工!$B$2:$B$700,I$5)</f>
        <v>0</v>
      </c>
      <c r="J302" s="26">
        <f>SUMIFS(INDEX(元データ_加工!$C$2:$P$700,0,MATCH($B302,元データ_加工!$C$1:$P$1,0)),元データ_加工!$A$2:$A$700,$A302,元データ_加工!$B$2:$B$700,J$5)</f>
        <v>4</v>
      </c>
      <c r="K302" s="26">
        <f>SUMIFS(INDEX(元データ_加工!$C$2:$P$700,0,MATCH($B302,元データ_加工!$C$1:$P$1,0)),元データ_加工!$A$2:$A$700,$A302,元データ_加工!$B$2:$B$700,K$5)</f>
        <v>0</v>
      </c>
      <c r="L302" s="26">
        <f>SUMIFS(INDEX(元データ_加工!$C$2:$P$700,0,MATCH($B302,元データ_加工!$C$1:$P$1,0)),元データ_加工!$A$2:$A$700,$A302,元データ_加工!$B$2:$B$700,L$5)</f>
        <v>0</v>
      </c>
      <c r="M302" s="26">
        <f>SUMIFS(INDEX(元データ_加工!$C$2:$P$700,0,MATCH($B302,元データ_加工!$C$1:$P$1,0)),元データ_加工!$A$2:$A$700,$A302,元データ_加工!$B$2:$B$700,M$5)</f>
        <v>0</v>
      </c>
      <c r="N302" s="26">
        <f>SUMIFS(INDEX(元データ_加工!$C$2:$P$700,0,MATCH($B302,元データ_加工!$C$1:$P$1,0)),元データ_加工!$A$2:$A$700,$A302,元データ_加工!$B$2:$B$700,N$5)</f>
        <v>0</v>
      </c>
      <c r="O302" s="26">
        <f t="shared" si="4"/>
        <v>4</v>
      </c>
      <c r="P302" s="7">
        <f>IFERROR(O302/SUMIFS(元データ_加工!$C$2:$C$700,元データ_加工!$A$2:$A$700,$A302),"")</f>
        <v>1.4609203798392987E-4</v>
      </c>
    </row>
    <row r="303" spans="1:16" x14ac:dyDescent="0.45">
      <c r="A303" t="s">
        <v>56</v>
      </c>
      <c r="B303" t="s">
        <v>103</v>
      </c>
      <c r="C303" s="26">
        <f>SUMIFS(INDEX(元データ_加工!$C$2:$P$700,0,MATCH($B303,元データ_加工!$C$1:$P$1,0)),元データ_加工!$A$2:$A$700,$A303,元データ_加工!$B$2:$B$700,C$5)</f>
        <v>0</v>
      </c>
      <c r="D303" s="26">
        <f>SUMIFS(INDEX(元データ_加工!$C$2:$P$700,0,MATCH($B303,元データ_加工!$C$1:$P$1,0)),元データ_加工!$A$2:$A$700,$A303,元データ_加工!$B$2:$B$700,D$5)</f>
        <v>0</v>
      </c>
      <c r="E303" s="26">
        <f>SUMIFS(INDEX(元データ_加工!$C$2:$P$700,0,MATCH($B303,元データ_加工!$C$1:$P$1,0)),元データ_加工!$A$2:$A$700,$A303,元データ_加工!$B$2:$B$700,E$5)</f>
        <v>0</v>
      </c>
      <c r="F303" s="26">
        <f>SUMIFS(INDEX(元データ_加工!$C$2:$P$700,0,MATCH($B303,元データ_加工!$C$1:$P$1,0)),元データ_加工!$A$2:$A$700,$A303,元データ_加工!$B$2:$B$700,F$5)</f>
        <v>4</v>
      </c>
      <c r="G303" s="26">
        <f>SUMIFS(INDEX(元データ_加工!$C$2:$P$700,0,MATCH($B303,元データ_加工!$C$1:$P$1,0)),元データ_加工!$A$2:$A$700,$A303,元データ_加工!$B$2:$B$700,G$5)</f>
        <v>9</v>
      </c>
      <c r="H303" s="26">
        <f>SUMIFS(INDEX(元データ_加工!$C$2:$P$700,0,MATCH($B303,元データ_加工!$C$1:$P$1,0)),元データ_加工!$A$2:$A$700,$A303,元データ_加工!$B$2:$B$700,H$5)</f>
        <v>18</v>
      </c>
      <c r="I303" s="26">
        <f>SUMIFS(INDEX(元データ_加工!$C$2:$P$700,0,MATCH($B303,元データ_加工!$C$1:$P$1,0)),元データ_加工!$A$2:$A$700,$A303,元データ_加工!$B$2:$B$700,I$5)</f>
        <v>16</v>
      </c>
      <c r="J303" s="26">
        <f>SUMIFS(INDEX(元データ_加工!$C$2:$P$700,0,MATCH($B303,元データ_加工!$C$1:$P$1,0)),元データ_加工!$A$2:$A$700,$A303,元データ_加工!$B$2:$B$700,J$5)</f>
        <v>14</v>
      </c>
      <c r="K303" s="26">
        <f>SUMIFS(INDEX(元データ_加工!$C$2:$P$700,0,MATCH($B303,元データ_加工!$C$1:$P$1,0)),元データ_加工!$A$2:$A$700,$A303,元データ_加工!$B$2:$B$700,K$5)</f>
        <v>28</v>
      </c>
      <c r="L303" s="26">
        <f>SUMIFS(INDEX(元データ_加工!$C$2:$P$700,0,MATCH($B303,元データ_加工!$C$1:$P$1,0)),元データ_加工!$A$2:$A$700,$A303,元データ_加工!$B$2:$B$700,L$5)</f>
        <v>0</v>
      </c>
      <c r="M303" s="26">
        <f>SUMIFS(INDEX(元データ_加工!$C$2:$P$700,0,MATCH($B303,元データ_加工!$C$1:$P$1,0)),元データ_加工!$A$2:$A$700,$A303,元データ_加工!$B$2:$B$700,M$5)</f>
        <v>0</v>
      </c>
      <c r="N303" s="26">
        <f>SUMIFS(INDEX(元データ_加工!$C$2:$P$700,0,MATCH($B303,元データ_加工!$C$1:$P$1,0)),元データ_加工!$A$2:$A$700,$A303,元データ_加工!$B$2:$B$700,N$5)</f>
        <v>0</v>
      </c>
      <c r="O303" s="26">
        <f t="shared" si="4"/>
        <v>89</v>
      </c>
      <c r="P303" s="7">
        <f>IFERROR(O303/SUMIFS(元データ_加工!$C$2:$C$700,元データ_加工!$A$2:$A$700,$A303),"")</f>
        <v>3.2505478451424399E-3</v>
      </c>
    </row>
    <row r="304" spans="1:16" x14ac:dyDescent="0.45">
      <c r="A304" t="s">
        <v>56</v>
      </c>
      <c r="B304" t="s">
        <v>104</v>
      </c>
      <c r="C304" s="26">
        <f>SUMIFS(INDEX(元データ_加工!$C$2:$P$700,0,MATCH($B304,元データ_加工!$C$1:$P$1,0)),元データ_加工!$A$2:$A$700,$A304,元データ_加工!$B$2:$B$700,C$5)</f>
        <v>10</v>
      </c>
      <c r="D304" s="26">
        <f>SUMIFS(INDEX(元データ_加工!$C$2:$P$700,0,MATCH($B304,元データ_加工!$C$1:$P$1,0)),元データ_加工!$A$2:$A$700,$A304,元データ_加工!$B$2:$B$700,D$5)</f>
        <v>9</v>
      </c>
      <c r="E304" s="26">
        <f>SUMIFS(INDEX(元データ_加工!$C$2:$P$700,0,MATCH($B304,元データ_加工!$C$1:$P$1,0)),元データ_加工!$A$2:$A$700,$A304,元データ_加工!$B$2:$B$700,E$5)</f>
        <v>12</v>
      </c>
      <c r="F304" s="26">
        <f>SUMIFS(INDEX(元データ_加工!$C$2:$P$700,0,MATCH($B304,元データ_加工!$C$1:$P$1,0)),元データ_加工!$A$2:$A$700,$A304,元データ_加工!$B$2:$B$700,F$5)</f>
        <v>8</v>
      </c>
      <c r="G304" s="26">
        <f>SUMIFS(INDEX(元データ_加工!$C$2:$P$700,0,MATCH($B304,元データ_加工!$C$1:$P$1,0)),元データ_加工!$A$2:$A$700,$A304,元データ_加工!$B$2:$B$700,G$5)</f>
        <v>27</v>
      </c>
      <c r="H304" s="26">
        <f>SUMIFS(INDEX(元データ_加工!$C$2:$P$700,0,MATCH($B304,元データ_加工!$C$1:$P$1,0)),元データ_加工!$A$2:$A$700,$A304,元データ_加工!$B$2:$B$700,H$5)</f>
        <v>9</v>
      </c>
      <c r="I304" s="26">
        <f>SUMIFS(INDEX(元データ_加工!$C$2:$P$700,0,MATCH($B304,元データ_加工!$C$1:$P$1,0)),元データ_加工!$A$2:$A$700,$A304,元データ_加工!$B$2:$B$700,I$5)</f>
        <v>14</v>
      </c>
      <c r="J304" s="26">
        <f>SUMIFS(INDEX(元データ_加工!$C$2:$P$700,0,MATCH($B304,元データ_加工!$C$1:$P$1,0)),元データ_加工!$A$2:$A$700,$A304,元データ_加工!$B$2:$B$700,J$5)</f>
        <v>55</v>
      </c>
      <c r="K304" s="26">
        <f>SUMIFS(INDEX(元データ_加工!$C$2:$P$700,0,MATCH($B304,元データ_加工!$C$1:$P$1,0)),元データ_加工!$A$2:$A$700,$A304,元データ_加工!$B$2:$B$700,K$5)</f>
        <v>61</v>
      </c>
      <c r="L304" s="26">
        <f>SUMIFS(INDEX(元データ_加工!$C$2:$P$700,0,MATCH($B304,元データ_加工!$C$1:$P$1,0)),元データ_加工!$A$2:$A$700,$A304,元データ_加工!$B$2:$B$700,L$5)</f>
        <v>19</v>
      </c>
      <c r="M304" s="26">
        <f>SUMIFS(INDEX(元データ_加工!$C$2:$P$700,0,MATCH($B304,元データ_加工!$C$1:$P$1,0)),元データ_加工!$A$2:$A$700,$A304,元データ_加工!$B$2:$B$700,M$5)</f>
        <v>35</v>
      </c>
      <c r="N304" s="26">
        <f>SUMIFS(INDEX(元データ_加工!$C$2:$P$700,0,MATCH($B304,元データ_加工!$C$1:$P$1,0)),元データ_加工!$A$2:$A$700,$A304,元データ_加工!$B$2:$B$700,N$5)</f>
        <v>10</v>
      </c>
      <c r="O304" s="26">
        <f t="shared" si="4"/>
        <v>269</v>
      </c>
      <c r="P304" s="7">
        <f>IFERROR(O304/SUMIFS(元データ_加工!$C$2:$C$700,元データ_加工!$A$2:$A$700,$A304),"")</f>
        <v>9.8246895544192841E-3</v>
      </c>
    </row>
    <row r="305" spans="1:16" x14ac:dyDescent="0.45">
      <c r="A305" t="s">
        <v>56</v>
      </c>
      <c r="B305" t="s">
        <v>105</v>
      </c>
      <c r="C305" s="26">
        <f>SUMIFS(INDEX(元データ_加工!$C$2:$P$700,0,MATCH($B305,元データ_加工!$C$1:$P$1,0)),元データ_加工!$A$2:$A$700,$A305,元データ_加工!$B$2:$B$700,C$5)</f>
        <v>0</v>
      </c>
      <c r="D305" s="26">
        <f>SUMIFS(INDEX(元データ_加工!$C$2:$P$700,0,MATCH($B305,元データ_加工!$C$1:$P$1,0)),元データ_加工!$A$2:$A$700,$A305,元データ_加工!$B$2:$B$700,D$5)</f>
        <v>0</v>
      </c>
      <c r="E305" s="26">
        <f>SUMIFS(INDEX(元データ_加工!$C$2:$P$700,0,MATCH($B305,元データ_加工!$C$1:$P$1,0)),元データ_加工!$A$2:$A$700,$A305,元データ_加工!$B$2:$B$700,E$5)</f>
        <v>0</v>
      </c>
      <c r="F305" s="26">
        <f>SUMIFS(INDEX(元データ_加工!$C$2:$P$700,0,MATCH($B305,元データ_加工!$C$1:$P$1,0)),元データ_加工!$A$2:$A$700,$A305,元データ_加工!$B$2:$B$700,F$5)</f>
        <v>0</v>
      </c>
      <c r="G305" s="26">
        <f>SUMIFS(INDEX(元データ_加工!$C$2:$P$700,0,MATCH($B305,元データ_加工!$C$1:$P$1,0)),元データ_加工!$A$2:$A$700,$A305,元データ_加工!$B$2:$B$700,G$5)</f>
        <v>0</v>
      </c>
      <c r="H305" s="26">
        <f>SUMIFS(INDEX(元データ_加工!$C$2:$P$700,0,MATCH($B305,元データ_加工!$C$1:$P$1,0)),元データ_加工!$A$2:$A$700,$A305,元データ_加工!$B$2:$B$700,H$5)</f>
        <v>4</v>
      </c>
      <c r="I305" s="26">
        <f>SUMIFS(INDEX(元データ_加工!$C$2:$P$700,0,MATCH($B305,元データ_加工!$C$1:$P$1,0)),元データ_加工!$A$2:$A$700,$A305,元データ_加工!$B$2:$B$700,I$5)</f>
        <v>0</v>
      </c>
      <c r="J305" s="26">
        <f>SUMIFS(INDEX(元データ_加工!$C$2:$P$700,0,MATCH($B305,元データ_加工!$C$1:$P$1,0)),元データ_加工!$A$2:$A$700,$A305,元データ_加工!$B$2:$B$700,J$5)</f>
        <v>21</v>
      </c>
      <c r="K305" s="26">
        <f>SUMIFS(INDEX(元データ_加工!$C$2:$P$700,0,MATCH($B305,元データ_加工!$C$1:$P$1,0)),元データ_加工!$A$2:$A$700,$A305,元データ_加工!$B$2:$B$700,K$5)</f>
        <v>60</v>
      </c>
      <c r="L305" s="26">
        <f>SUMIFS(INDEX(元データ_加工!$C$2:$P$700,0,MATCH($B305,元データ_加工!$C$1:$P$1,0)),元データ_加工!$A$2:$A$700,$A305,元データ_加工!$B$2:$B$700,L$5)</f>
        <v>35</v>
      </c>
      <c r="M305" s="26">
        <f>SUMIFS(INDEX(元データ_加工!$C$2:$P$700,0,MATCH($B305,元データ_加工!$C$1:$P$1,0)),元データ_加工!$A$2:$A$700,$A305,元データ_加工!$B$2:$B$700,M$5)</f>
        <v>16</v>
      </c>
      <c r="N305" s="26">
        <f>SUMIFS(INDEX(元データ_加工!$C$2:$P$700,0,MATCH($B305,元データ_加工!$C$1:$P$1,0)),元データ_加工!$A$2:$A$700,$A305,元データ_加工!$B$2:$B$700,N$5)</f>
        <v>23</v>
      </c>
      <c r="O305" s="26">
        <f t="shared" si="4"/>
        <v>159</v>
      </c>
      <c r="P305" s="7">
        <f>IFERROR(O305/SUMIFS(元データ_加工!$C$2:$C$700,元データ_加工!$A$2:$A$700,$A305),"")</f>
        <v>5.8071585098612129E-3</v>
      </c>
    </row>
    <row r="306" spans="1:16" x14ac:dyDescent="0.45">
      <c r="A306" t="s">
        <v>56</v>
      </c>
      <c r="B306" t="s">
        <v>106</v>
      </c>
      <c r="C306" s="26">
        <f>SUMIFS(INDEX(元データ_加工!$C$2:$P$700,0,MATCH($B306,元データ_加工!$C$1:$P$1,0)),元データ_加工!$A$2:$A$700,$A306,元データ_加工!$B$2:$B$700,C$5)</f>
        <v>227</v>
      </c>
      <c r="D306" s="26">
        <f>SUMIFS(INDEX(元データ_加工!$C$2:$P$700,0,MATCH($B306,元データ_加工!$C$1:$P$1,0)),元データ_加工!$A$2:$A$700,$A306,元データ_加工!$B$2:$B$700,D$5)</f>
        <v>195</v>
      </c>
      <c r="E306" s="26">
        <f>SUMIFS(INDEX(元データ_加工!$C$2:$P$700,0,MATCH($B306,元データ_加工!$C$1:$P$1,0)),元データ_加工!$A$2:$A$700,$A306,元データ_加工!$B$2:$B$700,E$5)</f>
        <v>294</v>
      </c>
      <c r="F306" s="26">
        <f>SUMIFS(INDEX(元データ_加工!$C$2:$P$700,0,MATCH($B306,元データ_加工!$C$1:$P$1,0)),元データ_加工!$A$2:$A$700,$A306,元データ_加工!$B$2:$B$700,F$5)</f>
        <v>202</v>
      </c>
      <c r="G306" s="26">
        <f>SUMIFS(INDEX(元データ_加工!$C$2:$P$700,0,MATCH($B306,元データ_加工!$C$1:$P$1,0)),元データ_加工!$A$2:$A$700,$A306,元データ_加工!$B$2:$B$700,G$5)</f>
        <v>230</v>
      </c>
      <c r="H306" s="26">
        <f>SUMIFS(INDEX(元データ_加工!$C$2:$P$700,0,MATCH($B306,元データ_加工!$C$1:$P$1,0)),元データ_加工!$A$2:$A$700,$A306,元データ_加工!$B$2:$B$700,H$5)</f>
        <v>148</v>
      </c>
      <c r="I306" s="26">
        <f>SUMIFS(INDEX(元データ_加工!$C$2:$P$700,0,MATCH($B306,元データ_加工!$C$1:$P$1,0)),元データ_加工!$A$2:$A$700,$A306,元データ_加工!$B$2:$B$700,I$5)</f>
        <v>126</v>
      </c>
      <c r="J306" s="26">
        <f>SUMIFS(INDEX(元データ_加工!$C$2:$P$700,0,MATCH($B306,元データ_加工!$C$1:$P$1,0)),元データ_加工!$A$2:$A$700,$A306,元データ_加工!$B$2:$B$700,J$5)</f>
        <v>223</v>
      </c>
      <c r="K306" s="26">
        <f>SUMIFS(INDEX(元データ_加工!$C$2:$P$700,0,MATCH($B306,元データ_加工!$C$1:$P$1,0)),元データ_加工!$A$2:$A$700,$A306,元データ_加工!$B$2:$B$700,K$5)</f>
        <v>239</v>
      </c>
      <c r="L306" s="26">
        <f>SUMIFS(INDEX(元データ_加工!$C$2:$P$700,0,MATCH($B306,元データ_加工!$C$1:$P$1,0)),元データ_加工!$A$2:$A$700,$A306,元データ_加工!$B$2:$B$700,L$5)</f>
        <v>167</v>
      </c>
      <c r="M306" s="26">
        <f>SUMIFS(INDEX(元データ_加工!$C$2:$P$700,0,MATCH($B306,元データ_加工!$C$1:$P$1,0)),元データ_加工!$A$2:$A$700,$A306,元データ_加工!$B$2:$B$700,M$5)</f>
        <v>261</v>
      </c>
      <c r="N306" s="26">
        <f>SUMIFS(INDEX(元データ_加工!$C$2:$P$700,0,MATCH($B306,元データ_加工!$C$1:$P$1,0)),元データ_加工!$A$2:$A$700,$A306,元データ_加工!$B$2:$B$700,N$5)</f>
        <v>346</v>
      </c>
      <c r="O306" s="26">
        <f t="shared" si="4"/>
        <v>2658</v>
      </c>
      <c r="P306" s="7">
        <f>IFERROR(O306/SUMIFS(元データ_加工!$C$2:$C$700,元データ_加工!$A$2:$A$700,$A306),"")</f>
        <v>9.7078159240321399E-2</v>
      </c>
    </row>
    <row r="307" spans="1:16" x14ac:dyDescent="0.45">
      <c r="A307" t="s">
        <v>56</v>
      </c>
      <c r="B307" t="s">
        <v>107</v>
      </c>
      <c r="C307" s="26">
        <f>SUMIFS(INDEX(元データ_加工!$C$2:$P$700,0,MATCH($B307,元データ_加工!$C$1:$P$1,0)),元データ_加工!$A$2:$A$700,$A307,元データ_加工!$B$2:$B$700,C$5)</f>
        <v>9</v>
      </c>
      <c r="D307" s="26">
        <f>SUMIFS(INDEX(元データ_加工!$C$2:$P$700,0,MATCH($B307,元データ_加工!$C$1:$P$1,0)),元データ_加工!$A$2:$A$700,$A307,元データ_加工!$B$2:$B$700,D$5)</f>
        <v>9</v>
      </c>
      <c r="E307" s="26">
        <f>SUMIFS(INDEX(元データ_加工!$C$2:$P$700,0,MATCH($B307,元データ_加工!$C$1:$P$1,0)),元データ_加工!$A$2:$A$700,$A307,元データ_加工!$B$2:$B$700,E$5)</f>
        <v>11</v>
      </c>
      <c r="F307" s="26">
        <f>SUMIFS(INDEX(元データ_加工!$C$2:$P$700,0,MATCH($B307,元データ_加工!$C$1:$P$1,0)),元データ_加工!$A$2:$A$700,$A307,元データ_加工!$B$2:$B$700,F$5)</f>
        <v>5</v>
      </c>
      <c r="G307" s="26">
        <f>SUMIFS(INDEX(元データ_加工!$C$2:$P$700,0,MATCH($B307,元データ_加工!$C$1:$P$1,0)),元データ_加工!$A$2:$A$700,$A307,元データ_加工!$B$2:$B$700,G$5)</f>
        <v>2</v>
      </c>
      <c r="H307" s="26">
        <f>SUMIFS(INDEX(元データ_加工!$C$2:$P$700,0,MATCH($B307,元データ_加工!$C$1:$P$1,0)),元データ_加工!$A$2:$A$700,$A307,元データ_加工!$B$2:$B$700,H$5)</f>
        <v>5</v>
      </c>
      <c r="I307" s="26">
        <f>SUMIFS(INDEX(元データ_加工!$C$2:$P$700,0,MATCH($B307,元データ_加工!$C$1:$P$1,0)),元データ_加工!$A$2:$A$700,$A307,元データ_加工!$B$2:$B$700,I$5)</f>
        <v>0</v>
      </c>
      <c r="J307" s="26">
        <f>SUMIFS(INDEX(元データ_加工!$C$2:$P$700,0,MATCH($B307,元データ_加工!$C$1:$P$1,0)),元データ_加工!$A$2:$A$700,$A307,元データ_加工!$B$2:$B$700,J$5)</f>
        <v>0</v>
      </c>
      <c r="K307" s="26">
        <f>SUMIFS(INDEX(元データ_加工!$C$2:$P$700,0,MATCH($B307,元データ_加工!$C$1:$P$1,0)),元データ_加工!$A$2:$A$700,$A307,元データ_加工!$B$2:$B$700,K$5)</f>
        <v>2</v>
      </c>
      <c r="L307" s="26">
        <f>SUMIFS(INDEX(元データ_加工!$C$2:$P$700,0,MATCH($B307,元データ_加工!$C$1:$P$1,0)),元データ_加工!$A$2:$A$700,$A307,元データ_加工!$B$2:$B$700,L$5)</f>
        <v>0</v>
      </c>
      <c r="M307" s="26">
        <f>SUMIFS(INDEX(元データ_加工!$C$2:$P$700,0,MATCH($B307,元データ_加工!$C$1:$P$1,0)),元データ_加工!$A$2:$A$700,$A307,元データ_加工!$B$2:$B$700,M$5)</f>
        <v>2</v>
      </c>
      <c r="N307" s="26">
        <f>SUMIFS(INDEX(元データ_加工!$C$2:$P$700,0,MATCH($B307,元データ_加工!$C$1:$P$1,0)),元データ_加工!$A$2:$A$700,$A307,元データ_加工!$B$2:$B$700,N$5)</f>
        <v>9</v>
      </c>
      <c r="O307" s="26">
        <f t="shared" si="4"/>
        <v>54</v>
      </c>
      <c r="P307" s="7">
        <f>IFERROR(O307/SUMIFS(元データ_加工!$C$2:$C$700,元データ_加工!$A$2:$A$700,$A307),"")</f>
        <v>1.9722425127830534E-3</v>
      </c>
    </row>
    <row r="308" spans="1:16" x14ac:dyDescent="0.45">
      <c r="A308" t="s">
        <v>56</v>
      </c>
      <c r="B308" t="s">
        <v>108</v>
      </c>
      <c r="C308" s="26">
        <f>SUMIFS(INDEX(元データ_加工!$C$2:$P$700,0,MATCH($B308,元データ_加工!$C$1:$P$1,0)),元データ_加工!$A$2:$A$700,$A308,元データ_加工!$B$2:$B$700,C$5)</f>
        <v>0</v>
      </c>
      <c r="D308" s="26">
        <f>SUMIFS(INDEX(元データ_加工!$C$2:$P$700,0,MATCH($B308,元データ_加工!$C$1:$P$1,0)),元データ_加工!$A$2:$A$700,$A308,元データ_加工!$B$2:$B$700,D$5)</f>
        <v>4</v>
      </c>
      <c r="E308" s="26">
        <f>SUMIFS(INDEX(元データ_加工!$C$2:$P$700,0,MATCH($B308,元データ_加工!$C$1:$P$1,0)),元データ_加工!$A$2:$A$700,$A308,元データ_加工!$B$2:$B$700,E$5)</f>
        <v>1</v>
      </c>
      <c r="F308" s="26">
        <f>SUMIFS(INDEX(元データ_加工!$C$2:$P$700,0,MATCH($B308,元データ_加工!$C$1:$P$1,0)),元データ_加工!$A$2:$A$700,$A308,元データ_加工!$B$2:$B$700,F$5)</f>
        <v>20</v>
      </c>
      <c r="G308" s="26">
        <f>SUMIFS(INDEX(元データ_加工!$C$2:$P$700,0,MATCH($B308,元データ_加工!$C$1:$P$1,0)),元データ_加工!$A$2:$A$700,$A308,元データ_加工!$B$2:$B$700,G$5)</f>
        <v>10</v>
      </c>
      <c r="H308" s="26">
        <f>SUMIFS(INDEX(元データ_加工!$C$2:$P$700,0,MATCH($B308,元データ_加工!$C$1:$P$1,0)),元データ_加工!$A$2:$A$700,$A308,元データ_加工!$B$2:$B$700,H$5)</f>
        <v>10</v>
      </c>
      <c r="I308" s="26">
        <f>SUMIFS(INDEX(元データ_加工!$C$2:$P$700,0,MATCH($B308,元データ_加工!$C$1:$P$1,0)),元データ_加工!$A$2:$A$700,$A308,元データ_加工!$B$2:$B$700,I$5)</f>
        <v>1</v>
      </c>
      <c r="J308" s="26">
        <f>SUMIFS(INDEX(元データ_加工!$C$2:$P$700,0,MATCH($B308,元データ_加工!$C$1:$P$1,0)),元データ_加工!$A$2:$A$700,$A308,元データ_加工!$B$2:$B$700,J$5)</f>
        <v>0</v>
      </c>
      <c r="K308" s="26">
        <f>SUMIFS(INDEX(元データ_加工!$C$2:$P$700,0,MATCH($B308,元データ_加工!$C$1:$P$1,0)),元データ_加工!$A$2:$A$700,$A308,元データ_加工!$B$2:$B$700,K$5)</f>
        <v>0</v>
      </c>
      <c r="L308" s="26">
        <f>SUMIFS(INDEX(元データ_加工!$C$2:$P$700,0,MATCH($B308,元データ_加工!$C$1:$P$1,0)),元データ_加工!$A$2:$A$700,$A308,元データ_加工!$B$2:$B$700,L$5)</f>
        <v>0</v>
      </c>
      <c r="M308" s="26">
        <f>SUMIFS(INDEX(元データ_加工!$C$2:$P$700,0,MATCH($B308,元データ_加工!$C$1:$P$1,0)),元データ_加工!$A$2:$A$700,$A308,元データ_加工!$B$2:$B$700,M$5)</f>
        <v>1</v>
      </c>
      <c r="N308" s="26">
        <f>SUMIFS(INDEX(元データ_加工!$C$2:$P$700,0,MATCH($B308,元データ_加工!$C$1:$P$1,0)),元データ_加工!$A$2:$A$700,$A308,元データ_加工!$B$2:$B$700,N$5)</f>
        <v>0</v>
      </c>
      <c r="O308" s="26">
        <f t="shared" si="4"/>
        <v>47</v>
      </c>
      <c r="P308" s="7">
        <f>IFERROR(O308/SUMIFS(元データ_加工!$C$2:$C$700,元データ_加工!$A$2:$A$700,$A308),"")</f>
        <v>1.716581446311176E-3</v>
      </c>
    </row>
    <row r="309" spans="1:16" x14ac:dyDescent="0.45">
      <c r="A309" t="s">
        <v>56</v>
      </c>
      <c r="B309" t="s">
        <v>109</v>
      </c>
      <c r="C309" s="26">
        <f>SUMIFS(INDEX(元データ_加工!$C$2:$P$700,0,MATCH($B309,元データ_加工!$C$1:$P$1,0)),元データ_加工!$A$2:$A$700,$A309,元データ_加工!$B$2:$B$700,C$5)</f>
        <v>33</v>
      </c>
      <c r="D309" s="26">
        <f>SUMIFS(INDEX(元データ_加工!$C$2:$P$700,0,MATCH($B309,元データ_加工!$C$1:$P$1,0)),元データ_加工!$A$2:$A$700,$A309,元データ_加工!$B$2:$B$700,D$5)</f>
        <v>29</v>
      </c>
      <c r="E309" s="26">
        <f>SUMIFS(INDEX(元データ_加工!$C$2:$P$700,0,MATCH($B309,元データ_加工!$C$1:$P$1,0)),元データ_加工!$A$2:$A$700,$A309,元データ_加工!$B$2:$B$700,E$5)</f>
        <v>61</v>
      </c>
      <c r="F309" s="26">
        <f>SUMIFS(INDEX(元データ_加工!$C$2:$P$700,0,MATCH($B309,元データ_加工!$C$1:$P$1,0)),元データ_加工!$A$2:$A$700,$A309,元データ_加工!$B$2:$B$700,F$5)</f>
        <v>43</v>
      </c>
      <c r="G309" s="26">
        <f>SUMIFS(INDEX(元データ_加工!$C$2:$P$700,0,MATCH($B309,元データ_加工!$C$1:$P$1,0)),元データ_加工!$A$2:$A$700,$A309,元データ_加工!$B$2:$B$700,G$5)</f>
        <v>47</v>
      </c>
      <c r="H309" s="26">
        <f>SUMIFS(INDEX(元データ_加工!$C$2:$P$700,0,MATCH($B309,元データ_加工!$C$1:$P$1,0)),元データ_加工!$A$2:$A$700,$A309,元データ_加工!$B$2:$B$700,H$5)</f>
        <v>37</v>
      </c>
      <c r="I309" s="26">
        <f>SUMIFS(INDEX(元データ_加工!$C$2:$P$700,0,MATCH($B309,元データ_加工!$C$1:$P$1,0)),元データ_加工!$A$2:$A$700,$A309,元データ_加工!$B$2:$B$700,I$5)</f>
        <v>39</v>
      </c>
      <c r="J309" s="26">
        <f>SUMIFS(INDEX(元データ_加工!$C$2:$P$700,0,MATCH($B309,元データ_加工!$C$1:$P$1,0)),元データ_加工!$A$2:$A$700,$A309,元データ_加工!$B$2:$B$700,J$5)</f>
        <v>31</v>
      </c>
      <c r="K309" s="26">
        <f>SUMIFS(INDEX(元データ_加工!$C$2:$P$700,0,MATCH($B309,元データ_加工!$C$1:$P$1,0)),元データ_加工!$A$2:$A$700,$A309,元データ_加工!$B$2:$B$700,K$5)</f>
        <v>33</v>
      </c>
      <c r="L309" s="26">
        <f>SUMIFS(INDEX(元データ_加工!$C$2:$P$700,0,MATCH($B309,元データ_加工!$C$1:$P$1,0)),元データ_加工!$A$2:$A$700,$A309,元データ_加工!$B$2:$B$700,L$5)</f>
        <v>15</v>
      </c>
      <c r="M309" s="26">
        <f>SUMIFS(INDEX(元データ_加工!$C$2:$P$700,0,MATCH($B309,元データ_加工!$C$1:$P$1,0)),元データ_加工!$A$2:$A$700,$A309,元データ_加工!$B$2:$B$700,M$5)</f>
        <v>23</v>
      </c>
      <c r="N309" s="26">
        <f>SUMIFS(INDEX(元データ_加工!$C$2:$P$700,0,MATCH($B309,元データ_加工!$C$1:$P$1,0)),元データ_加工!$A$2:$A$700,$A309,元データ_加工!$B$2:$B$700,N$5)</f>
        <v>27</v>
      </c>
      <c r="O309" s="26">
        <f t="shared" si="4"/>
        <v>418</v>
      </c>
      <c r="P309" s="7">
        <f>IFERROR(O309/SUMIFS(元データ_加工!$C$2:$C$700,元データ_加工!$A$2:$A$700,$A309),"")</f>
        <v>1.5266617969320672E-2</v>
      </c>
    </row>
    <row r="310" spans="1:16" x14ac:dyDescent="0.45">
      <c r="A310" t="s">
        <v>56</v>
      </c>
      <c r="B310" t="s">
        <v>110</v>
      </c>
      <c r="C310" s="26">
        <f>SUMIFS(INDEX(元データ_加工!$C$2:$P$700,0,MATCH($B310,元データ_加工!$C$1:$P$1,0)),元データ_加工!$A$2:$A$700,$A310,元データ_加工!$B$2:$B$700,C$5)</f>
        <v>0</v>
      </c>
      <c r="D310" s="26">
        <f>SUMIFS(INDEX(元データ_加工!$C$2:$P$700,0,MATCH($B310,元データ_加工!$C$1:$P$1,0)),元データ_加工!$A$2:$A$700,$A310,元データ_加工!$B$2:$B$700,D$5)</f>
        <v>0</v>
      </c>
      <c r="E310" s="26">
        <f>SUMIFS(INDEX(元データ_加工!$C$2:$P$700,0,MATCH($B310,元データ_加工!$C$1:$P$1,0)),元データ_加工!$A$2:$A$700,$A310,元データ_加工!$B$2:$B$700,E$5)</f>
        <v>0</v>
      </c>
      <c r="F310" s="26">
        <f>SUMIFS(INDEX(元データ_加工!$C$2:$P$700,0,MATCH($B310,元データ_加工!$C$1:$P$1,0)),元データ_加工!$A$2:$A$700,$A310,元データ_加工!$B$2:$B$700,F$5)</f>
        <v>0</v>
      </c>
      <c r="G310" s="26">
        <f>SUMIFS(INDEX(元データ_加工!$C$2:$P$700,0,MATCH($B310,元データ_加工!$C$1:$P$1,0)),元データ_加工!$A$2:$A$700,$A310,元データ_加工!$B$2:$B$700,G$5)</f>
        <v>0</v>
      </c>
      <c r="H310" s="26">
        <f>SUMIFS(INDEX(元データ_加工!$C$2:$P$700,0,MATCH($B310,元データ_加工!$C$1:$P$1,0)),元データ_加工!$A$2:$A$700,$A310,元データ_加工!$B$2:$B$700,H$5)</f>
        <v>0</v>
      </c>
      <c r="I310" s="26">
        <f>SUMIFS(INDEX(元データ_加工!$C$2:$P$700,0,MATCH($B310,元データ_加工!$C$1:$P$1,0)),元データ_加工!$A$2:$A$700,$A310,元データ_加工!$B$2:$B$700,I$5)</f>
        <v>0</v>
      </c>
      <c r="J310" s="26">
        <f>SUMIFS(INDEX(元データ_加工!$C$2:$P$700,0,MATCH($B310,元データ_加工!$C$1:$P$1,0)),元データ_加工!$A$2:$A$700,$A310,元データ_加工!$B$2:$B$700,J$5)</f>
        <v>0</v>
      </c>
      <c r="K310" s="26">
        <f>SUMIFS(INDEX(元データ_加工!$C$2:$P$700,0,MATCH($B310,元データ_加工!$C$1:$P$1,0)),元データ_加工!$A$2:$A$700,$A310,元データ_加工!$B$2:$B$700,K$5)</f>
        <v>0</v>
      </c>
      <c r="L310" s="26">
        <f>SUMIFS(INDEX(元データ_加工!$C$2:$P$700,0,MATCH($B310,元データ_加工!$C$1:$P$1,0)),元データ_加工!$A$2:$A$700,$A310,元データ_加工!$B$2:$B$700,L$5)</f>
        <v>0</v>
      </c>
      <c r="M310" s="26">
        <f>SUMIFS(INDEX(元データ_加工!$C$2:$P$700,0,MATCH($B310,元データ_加工!$C$1:$P$1,0)),元データ_加工!$A$2:$A$700,$A310,元データ_加工!$B$2:$B$700,M$5)</f>
        <v>0</v>
      </c>
      <c r="N310" s="26">
        <f>SUMIFS(INDEX(元データ_加工!$C$2:$P$700,0,MATCH($B310,元データ_加工!$C$1:$P$1,0)),元データ_加工!$A$2:$A$700,$A310,元データ_加工!$B$2:$B$700,N$5)</f>
        <v>0</v>
      </c>
      <c r="O310" s="26">
        <f t="shared" si="4"/>
        <v>0</v>
      </c>
      <c r="P310" s="7">
        <f>IFERROR(O310/SUMIFS(元データ_加工!$C$2:$C$700,元データ_加工!$A$2:$A$700,$A310),"")</f>
        <v>0</v>
      </c>
    </row>
    <row r="311" spans="1:16" x14ac:dyDescent="0.45">
      <c r="A311" t="s">
        <v>56</v>
      </c>
      <c r="B311" t="s">
        <v>111</v>
      </c>
      <c r="C311" s="26">
        <f>SUMIFS(INDEX(元データ_加工!$C$2:$P$700,0,MATCH($B311,元データ_加工!$C$1:$P$1,0)),元データ_加工!$A$2:$A$700,$A311,元データ_加工!$B$2:$B$700,C$5)</f>
        <v>0</v>
      </c>
      <c r="D311" s="26">
        <f>SUMIFS(INDEX(元データ_加工!$C$2:$P$700,0,MATCH($B311,元データ_加工!$C$1:$P$1,0)),元データ_加工!$A$2:$A$700,$A311,元データ_加工!$B$2:$B$700,D$5)</f>
        <v>0</v>
      </c>
      <c r="E311" s="26">
        <f>SUMIFS(INDEX(元データ_加工!$C$2:$P$700,0,MATCH($B311,元データ_加工!$C$1:$P$1,0)),元データ_加工!$A$2:$A$700,$A311,元データ_加工!$B$2:$B$700,E$5)</f>
        <v>0</v>
      </c>
      <c r="F311" s="26">
        <f>SUMIFS(INDEX(元データ_加工!$C$2:$P$700,0,MATCH($B311,元データ_加工!$C$1:$P$1,0)),元データ_加工!$A$2:$A$700,$A311,元データ_加工!$B$2:$B$700,F$5)</f>
        <v>0</v>
      </c>
      <c r="G311" s="26">
        <f>SUMIFS(INDEX(元データ_加工!$C$2:$P$700,0,MATCH($B311,元データ_加工!$C$1:$P$1,0)),元データ_加工!$A$2:$A$700,$A311,元データ_加工!$B$2:$B$700,G$5)</f>
        <v>0</v>
      </c>
      <c r="H311" s="26">
        <f>SUMIFS(INDEX(元データ_加工!$C$2:$P$700,0,MATCH($B311,元データ_加工!$C$1:$P$1,0)),元データ_加工!$A$2:$A$700,$A311,元データ_加工!$B$2:$B$700,H$5)</f>
        <v>0</v>
      </c>
      <c r="I311" s="26">
        <f>SUMIFS(INDEX(元データ_加工!$C$2:$P$700,0,MATCH($B311,元データ_加工!$C$1:$P$1,0)),元データ_加工!$A$2:$A$700,$A311,元データ_加工!$B$2:$B$700,I$5)</f>
        <v>0</v>
      </c>
      <c r="J311" s="26">
        <f>SUMIFS(INDEX(元データ_加工!$C$2:$P$700,0,MATCH($B311,元データ_加工!$C$1:$P$1,0)),元データ_加工!$A$2:$A$700,$A311,元データ_加工!$B$2:$B$700,J$5)</f>
        <v>0</v>
      </c>
      <c r="K311" s="26">
        <f>SUMIFS(INDEX(元データ_加工!$C$2:$P$700,0,MATCH($B311,元データ_加工!$C$1:$P$1,0)),元データ_加工!$A$2:$A$700,$A311,元データ_加工!$B$2:$B$700,K$5)</f>
        <v>0</v>
      </c>
      <c r="L311" s="26">
        <f>SUMIFS(INDEX(元データ_加工!$C$2:$P$700,0,MATCH($B311,元データ_加工!$C$1:$P$1,0)),元データ_加工!$A$2:$A$700,$A311,元データ_加工!$B$2:$B$700,L$5)</f>
        <v>0</v>
      </c>
      <c r="M311" s="26">
        <f>SUMIFS(INDEX(元データ_加工!$C$2:$P$700,0,MATCH($B311,元データ_加工!$C$1:$P$1,0)),元データ_加工!$A$2:$A$700,$A311,元データ_加工!$B$2:$B$700,M$5)</f>
        <v>0</v>
      </c>
      <c r="N311" s="26">
        <f>SUMIFS(INDEX(元データ_加工!$C$2:$P$700,0,MATCH($B311,元データ_加工!$C$1:$P$1,0)),元データ_加工!$A$2:$A$700,$A311,元データ_加工!$B$2:$B$700,N$5)</f>
        <v>0</v>
      </c>
      <c r="O311" s="26">
        <f t="shared" si="4"/>
        <v>0</v>
      </c>
      <c r="P311" s="7">
        <f>IFERROR(O311/SUMIFS(元データ_加工!$C$2:$C$700,元データ_加工!$A$2:$A$700,$A311),"")</f>
        <v>0</v>
      </c>
    </row>
    <row r="312" spans="1:16" x14ac:dyDescent="0.45">
      <c r="A312" t="s">
        <v>56</v>
      </c>
      <c r="B312" t="s">
        <v>112</v>
      </c>
      <c r="C312" s="26">
        <f>SUMIFS(INDEX(元データ_加工!$C$2:$P$700,0,MATCH($B312,元データ_加工!$C$1:$P$1,0)),元データ_加工!$A$2:$A$700,$A312,元データ_加工!$B$2:$B$700,C$5)</f>
        <v>0</v>
      </c>
      <c r="D312" s="26">
        <f>SUMIFS(INDEX(元データ_加工!$C$2:$P$700,0,MATCH($B312,元データ_加工!$C$1:$P$1,0)),元データ_加工!$A$2:$A$700,$A312,元データ_加工!$B$2:$B$700,D$5)</f>
        <v>0</v>
      </c>
      <c r="E312" s="26">
        <f>SUMIFS(INDEX(元データ_加工!$C$2:$P$700,0,MATCH($B312,元データ_加工!$C$1:$P$1,0)),元データ_加工!$A$2:$A$700,$A312,元データ_加工!$B$2:$B$700,E$5)</f>
        <v>0</v>
      </c>
      <c r="F312" s="26">
        <f>SUMIFS(INDEX(元データ_加工!$C$2:$P$700,0,MATCH($B312,元データ_加工!$C$1:$P$1,0)),元データ_加工!$A$2:$A$700,$A312,元データ_加工!$B$2:$B$700,F$5)</f>
        <v>0</v>
      </c>
      <c r="G312" s="26">
        <f>SUMIFS(INDEX(元データ_加工!$C$2:$P$700,0,MATCH($B312,元データ_加工!$C$1:$P$1,0)),元データ_加工!$A$2:$A$700,$A312,元データ_加工!$B$2:$B$700,G$5)</f>
        <v>0</v>
      </c>
      <c r="H312" s="26">
        <f>SUMIFS(INDEX(元データ_加工!$C$2:$P$700,0,MATCH($B312,元データ_加工!$C$1:$P$1,0)),元データ_加工!$A$2:$A$700,$A312,元データ_加工!$B$2:$B$700,H$5)</f>
        <v>0</v>
      </c>
      <c r="I312" s="26">
        <f>SUMIFS(INDEX(元データ_加工!$C$2:$P$700,0,MATCH($B312,元データ_加工!$C$1:$P$1,0)),元データ_加工!$A$2:$A$700,$A312,元データ_加工!$B$2:$B$700,I$5)</f>
        <v>2</v>
      </c>
      <c r="J312" s="26">
        <f>SUMIFS(INDEX(元データ_加工!$C$2:$P$700,0,MATCH($B312,元データ_加工!$C$1:$P$1,0)),元データ_加工!$A$2:$A$700,$A312,元データ_加工!$B$2:$B$700,J$5)</f>
        <v>4</v>
      </c>
      <c r="K312" s="26">
        <f>SUMIFS(INDEX(元データ_加工!$C$2:$P$700,0,MATCH($B312,元データ_加工!$C$1:$P$1,0)),元データ_加工!$A$2:$A$700,$A312,元データ_加工!$B$2:$B$700,K$5)</f>
        <v>3</v>
      </c>
      <c r="L312" s="26">
        <f>SUMIFS(INDEX(元データ_加工!$C$2:$P$700,0,MATCH($B312,元データ_加工!$C$1:$P$1,0)),元データ_加工!$A$2:$A$700,$A312,元データ_加工!$B$2:$B$700,L$5)</f>
        <v>0</v>
      </c>
      <c r="M312" s="26">
        <f>SUMIFS(INDEX(元データ_加工!$C$2:$P$700,0,MATCH($B312,元データ_加工!$C$1:$P$1,0)),元データ_加工!$A$2:$A$700,$A312,元データ_加工!$B$2:$B$700,M$5)</f>
        <v>1</v>
      </c>
      <c r="N312" s="26">
        <f>SUMIFS(INDEX(元データ_加工!$C$2:$P$700,0,MATCH($B312,元データ_加工!$C$1:$P$1,0)),元データ_加工!$A$2:$A$700,$A312,元データ_加工!$B$2:$B$700,N$5)</f>
        <v>0</v>
      </c>
      <c r="O312" s="26">
        <f t="shared" si="4"/>
        <v>10</v>
      </c>
      <c r="P312" s="7">
        <f>IFERROR(O312/SUMIFS(元データ_加工!$C$2:$C$700,元データ_加工!$A$2:$A$700,$A312),"")</f>
        <v>3.652300949598247E-4</v>
      </c>
    </row>
    <row r="313" spans="1:16" x14ac:dyDescent="0.45">
      <c r="A313" t="s">
        <v>56</v>
      </c>
      <c r="B313" t="s">
        <v>113</v>
      </c>
      <c r="C313" s="26">
        <f>SUMIFS(INDEX(元データ_加工!$C$2:$P$700,0,MATCH($B313,元データ_加工!$C$1:$P$1,0)),元データ_加工!$A$2:$A$700,$A313,元データ_加工!$B$2:$B$700,C$5)</f>
        <v>4</v>
      </c>
      <c r="D313" s="26">
        <f>SUMIFS(INDEX(元データ_加工!$C$2:$P$700,0,MATCH($B313,元データ_加工!$C$1:$P$1,0)),元データ_加工!$A$2:$A$700,$A313,元データ_加工!$B$2:$B$700,D$5)</f>
        <v>1</v>
      </c>
      <c r="E313" s="26">
        <f>SUMIFS(INDEX(元データ_加工!$C$2:$P$700,0,MATCH($B313,元データ_加工!$C$1:$P$1,0)),元データ_加工!$A$2:$A$700,$A313,元データ_加工!$B$2:$B$700,E$5)</f>
        <v>0</v>
      </c>
      <c r="F313" s="26">
        <f>SUMIFS(INDEX(元データ_加工!$C$2:$P$700,0,MATCH($B313,元データ_加工!$C$1:$P$1,0)),元データ_加工!$A$2:$A$700,$A313,元データ_加工!$B$2:$B$700,F$5)</f>
        <v>2</v>
      </c>
      <c r="G313" s="26">
        <f>SUMIFS(INDEX(元データ_加工!$C$2:$P$700,0,MATCH($B313,元データ_加工!$C$1:$P$1,0)),元データ_加工!$A$2:$A$700,$A313,元データ_加工!$B$2:$B$700,G$5)</f>
        <v>2</v>
      </c>
      <c r="H313" s="26">
        <f>SUMIFS(INDEX(元データ_加工!$C$2:$P$700,0,MATCH($B313,元データ_加工!$C$1:$P$1,0)),元データ_加工!$A$2:$A$700,$A313,元データ_加工!$B$2:$B$700,H$5)</f>
        <v>0</v>
      </c>
      <c r="I313" s="26">
        <f>SUMIFS(INDEX(元データ_加工!$C$2:$P$700,0,MATCH($B313,元データ_加工!$C$1:$P$1,0)),元データ_加工!$A$2:$A$700,$A313,元データ_加工!$B$2:$B$700,I$5)</f>
        <v>2</v>
      </c>
      <c r="J313" s="26">
        <f>SUMIFS(INDEX(元データ_加工!$C$2:$P$700,0,MATCH($B313,元データ_加工!$C$1:$P$1,0)),元データ_加工!$A$2:$A$700,$A313,元データ_加工!$B$2:$B$700,J$5)</f>
        <v>5</v>
      </c>
      <c r="K313" s="26">
        <f>SUMIFS(INDEX(元データ_加工!$C$2:$P$700,0,MATCH($B313,元データ_加工!$C$1:$P$1,0)),元データ_加工!$A$2:$A$700,$A313,元データ_加工!$B$2:$B$700,K$5)</f>
        <v>9</v>
      </c>
      <c r="L313" s="26">
        <f>SUMIFS(INDEX(元データ_加工!$C$2:$P$700,0,MATCH($B313,元データ_加工!$C$1:$P$1,0)),元データ_加工!$A$2:$A$700,$A313,元データ_加工!$B$2:$B$700,L$5)</f>
        <v>8</v>
      </c>
      <c r="M313" s="26">
        <f>SUMIFS(INDEX(元データ_加工!$C$2:$P$700,0,MATCH($B313,元データ_加工!$C$1:$P$1,0)),元データ_加工!$A$2:$A$700,$A313,元データ_加工!$B$2:$B$700,M$5)</f>
        <v>1</v>
      </c>
      <c r="N313" s="26">
        <f>SUMIFS(INDEX(元データ_加工!$C$2:$P$700,0,MATCH($B313,元データ_加工!$C$1:$P$1,0)),元データ_加工!$A$2:$A$700,$A313,元データ_加工!$B$2:$B$700,N$5)</f>
        <v>3</v>
      </c>
      <c r="O313" s="26">
        <f t="shared" si="4"/>
        <v>37</v>
      </c>
      <c r="P313" s="7">
        <f>IFERROR(O313/SUMIFS(元データ_加工!$C$2:$C$700,元データ_加工!$A$2:$A$700,$A313),"")</f>
        <v>1.3513513513513514E-3</v>
      </c>
    </row>
    <row r="314" spans="1:16" x14ac:dyDescent="0.45">
      <c r="A314" t="s">
        <v>57</v>
      </c>
      <c r="B314" t="s">
        <v>100</v>
      </c>
      <c r="C314" s="26">
        <f>SUMIFS(INDEX(元データ_加工!$C$2:$P$700,0,MATCH($B314,元データ_加工!$C$1:$P$1,0)),元データ_加工!$A$2:$A$700,$A314,元データ_加工!$B$2:$B$700,C$5)</f>
        <v>1082</v>
      </c>
      <c r="D314" s="26">
        <f>SUMIFS(INDEX(元データ_加工!$C$2:$P$700,0,MATCH($B314,元データ_加工!$C$1:$P$1,0)),元データ_加工!$A$2:$A$700,$A314,元データ_加工!$B$2:$B$700,D$5)</f>
        <v>988</v>
      </c>
      <c r="E314" s="26">
        <f>SUMIFS(INDEX(元データ_加工!$C$2:$P$700,0,MATCH($B314,元データ_加工!$C$1:$P$1,0)),元データ_加工!$A$2:$A$700,$A314,元データ_加工!$B$2:$B$700,E$5)</f>
        <v>1566</v>
      </c>
      <c r="F314" s="26">
        <f>SUMIFS(INDEX(元データ_加工!$C$2:$P$700,0,MATCH($B314,元データ_加工!$C$1:$P$1,0)),元データ_加工!$A$2:$A$700,$A314,元データ_加工!$B$2:$B$700,F$5)</f>
        <v>1310</v>
      </c>
      <c r="G314" s="26">
        <f>SUMIFS(INDEX(元データ_加工!$C$2:$P$700,0,MATCH($B314,元データ_加工!$C$1:$P$1,0)),元データ_加工!$A$2:$A$700,$A314,元データ_加工!$B$2:$B$700,G$5)</f>
        <v>1479</v>
      </c>
      <c r="H314" s="26">
        <f>SUMIFS(INDEX(元データ_加工!$C$2:$P$700,0,MATCH($B314,元データ_加工!$C$1:$P$1,0)),元データ_加工!$A$2:$A$700,$A314,元データ_加工!$B$2:$B$700,H$5)</f>
        <v>1125</v>
      </c>
      <c r="I314" s="26">
        <f>SUMIFS(INDEX(元データ_加工!$C$2:$P$700,0,MATCH($B314,元データ_加工!$C$1:$P$1,0)),元データ_加工!$A$2:$A$700,$A314,元データ_加工!$B$2:$B$700,I$5)</f>
        <v>885</v>
      </c>
      <c r="J314" s="26">
        <f>SUMIFS(INDEX(元データ_加工!$C$2:$P$700,0,MATCH($B314,元データ_加工!$C$1:$P$1,0)),元データ_加工!$A$2:$A$700,$A314,元データ_加工!$B$2:$B$700,J$5)</f>
        <v>1697</v>
      </c>
      <c r="K314" s="26">
        <f>SUMIFS(INDEX(元データ_加工!$C$2:$P$700,0,MATCH($B314,元データ_加工!$C$1:$P$1,0)),元データ_加工!$A$2:$A$700,$A314,元データ_加工!$B$2:$B$700,K$5)</f>
        <v>2761</v>
      </c>
      <c r="L314" s="26">
        <f>SUMIFS(INDEX(元データ_加工!$C$2:$P$700,0,MATCH($B314,元データ_加工!$C$1:$P$1,0)),元データ_加工!$A$2:$A$700,$A314,元データ_加工!$B$2:$B$700,L$5)</f>
        <v>1929</v>
      </c>
      <c r="M314" s="26">
        <f>SUMIFS(INDEX(元データ_加工!$C$2:$P$700,0,MATCH($B314,元データ_加工!$C$1:$P$1,0)),元データ_加工!$A$2:$A$700,$A314,元データ_加工!$B$2:$B$700,M$5)</f>
        <v>1660</v>
      </c>
      <c r="N314" s="26">
        <f>SUMIFS(INDEX(元データ_加工!$C$2:$P$700,0,MATCH($B314,元データ_加工!$C$1:$P$1,0)),元データ_加工!$A$2:$A$700,$A314,元データ_加工!$B$2:$B$700,N$5)</f>
        <v>1291</v>
      </c>
      <c r="O314" s="26">
        <f t="shared" si="4"/>
        <v>17773</v>
      </c>
      <c r="P314" s="7">
        <f>IFERROR(O314/SUMIFS(元データ_加工!$C$2:$C$700,元データ_加工!$A$2:$A$700,$A314),"")</f>
        <v>1</v>
      </c>
    </row>
    <row r="315" spans="1:16" x14ac:dyDescent="0.45">
      <c r="A315" t="s">
        <v>57</v>
      </c>
      <c r="B315" t="s">
        <v>101</v>
      </c>
      <c r="C315" s="26">
        <f>SUMIFS(INDEX(元データ_加工!$C$2:$P$700,0,MATCH($B315,元データ_加工!$C$1:$P$1,0)),元データ_加工!$A$2:$A$700,$A315,元データ_加工!$B$2:$B$700,C$5)</f>
        <v>783</v>
      </c>
      <c r="D315" s="26">
        <f>SUMIFS(INDEX(元データ_加工!$C$2:$P$700,0,MATCH($B315,元データ_加工!$C$1:$P$1,0)),元データ_加工!$A$2:$A$700,$A315,元データ_加工!$B$2:$B$700,D$5)</f>
        <v>944</v>
      </c>
      <c r="E315" s="26">
        <f>SUMIFS(INDEX(元データ_加工!$C$2:$P$700,0,MATCH($B315,元データ_加工!$C$1:$P$1,0)),元データ_加工!$A$2:$A$700,$A315,元データ_加工!$B$2:$B$700,E$5)</f>
        <v>1078</v>
      </c>
      <c r="F315" s="26">
        <f>SUMIFS(INDEX(元データ_加工!$C$2:$P$700,0,MATCH($B315,元データ_加工!$C$1:$P$1,0)),元データ_加工!$A$2:$A$700,$A315,元データ_加工!$B$2:$B$700,F$5)</f>
        <v>988</v>
      </c>
      <c r="G315" s="26">
        <f>SUMIFS(INDEX(元データ_加工!$C$2:$P$700,0,MATCH($B315,元データ_加工!$C$1:$P$1,0)),元データ_加工!$A$2:$A$700,$A315,元データ_加工!$B$2:$B$700,G$5)</f>
        <v>1016</v>
      </c>
      <c r="H315" s="26">
        <f>SUMIFS(INDEX(元データ_加工!$C$2:$P$700,0,MATCH($B315,元データ_加工!$C$1:$P$1,0)),元データ_加工!$A$2:$A$700,$A315,元データ_加工!$B$2:$B$700,H$5)</f>
        <v>886</v>
      </c>
      <c r="I315" s="26">
        <f>SUMIFS(INDEX(元データ_加工!$C$2:$P$700,0,MATCH($B315,元データ_加工!$C$1:$P$1,0)),元データ_加工!$A$2:$A$700,$A315,元データ_加工!$B$2:$B$700,I$5)</f>
        <v>824</v>
      </c>
      <c r="J315" s="26">
        <f>SUMIFS(INDEX(元データ_加工!$C$2:$P$700,0,MATCH($B315,元データ_加工!$C$1:$P$1,0)),元データ_加工!$A$2:$A$700,$A315,元データ_加工!$B$2:$B$700,J$5)</f>
        <v>939</v>
      </c>
      <c r="K315" s="26">
        <f>SUMIFS(INDEX(元データ_加工!$C$2:$P$700,0,MATCH($B315,元データ_加工!$C$1:$P$1,0)),元データ_加工!$A$2:$A$700,$A315,元データ_加工!$B$2:$B$700,K$5)</f>
        <v>906</v>
      </c>
      <c r="L315" s="26">
        <f>SUMIFS(INDEX(元データ_加工!$C$2:$P$700,0,MATCH($B315,元データ_加工!$C$1:$P$1,0)),元データ_加工!$A$2:$A$700,$A315,元データ_加工!$B$2:$B$700,L$5)</f>
        <v>776</v>
      </c>
      <c r="M315" s="26">
        <f>SUMIFS(INDEX(元データ_加工!$C$2:$P$700,0,MATCH($B315,元データ_加工!$C$1:$P$1,0)),元データ_加工!$A$2:$A$700,$A315,元データ_加工!$B$2:$B$700,M$5)</f>
        <v>930</v>
      </c>
      <c r="N315" s="26">
        <f>SUMIFS(INDEX(元データ_加工!$C$2:$P$700,0,MATCH($B315,元データ_加工!$C$1:$P$1,0)),元データ_加工!$A$2:$A$700,$A315,元データ_加工!$B$2:$B$700,N$5)</f>
        <v>803</v>
      </c>
      <c r="O315" s="26">
        <f t="shared" si="4"/>
        <v>10873</v>
      </c>
      <c r="P315" s="7">
        <f>IFERROR(O315/SUMIFS(元データ_加工!$C$2:$C$700,元データ_加工!$A$2:$A$700,$A315),"")</f>
        <v>0.61177066336577957</v>
      </c>
    </row>
    <row r="316" spans="1:16" x14ac:dyDescent="0.45">
      <c r="A316" t="s">
        <v>57</v>
      </c>
      <c r="B316" t="s">
        <v>102</v>
      </c>
      <c r="C316" s="26">
        <f>SUMIFS(INDEX(元データ_加工!$C$2:$P$700,0,MATCH($B316,元データ_加工!$C$1:$P$1,0)),元データ_加工!$A$2:$A$700,$A316,元データ_加工!$B$2:$B$700,C$5)</f>
        <v>0</v>
      </c>
      <c r="D316" s="26">
        <f>SUMIFS(INDEX(元データ_加工!$C$2:$P$700,0,MATCH($B316,元データ_加工!$C$1:$P$1,0)),元データ_加工!$A$2:$A$700,$A316,元データ_加工!$B$2:$B$700,D$5)</f>
        <v>0</v>
      </c>
      <c r="E316" s="26">
        <f>SUMIFS(INDEX(元データ_加工!$C$2:$P$700,0,MATCH($B316,元データ_加工!$C$1:$P$1,0)),元データ_加工!$A$2:$A$700,$A316,元データ_加工!$B$2:$B$700,E$5)</f>
        <v>0</v>
      </c>
      <c r="F316" s="26">
        <f>SUMIFS(INDEX(元データ_加工!$C$2:$P$700,0,MATCH($B316,元データ_加工!$C$1:$P$1,0)),元データ_加工!$A$2:$A$700,$A316,元データ_加工!$B$2:$B$700,F$5)</f>
        <v>0</v>
      </c>
      <c r="G316" s="26">
        <f>SUMIFS(INDEX(元データ_加工!$C$2:$P$700,0,MATCH($B316,元データ_加工!$C$1:$P$1,0)),元データ_加工!$A$2:$A$700,$A316,元データ_加工!$B$2:$B$700,G$5)</f>
        <v>0</v>
      </c>
      <c r="H316" s="26">
        <f>SUMIFS(INDEX(元データ_加工!$C$2:$P$700,0,MATCH($B316,元データ_加工!$C$1:$P$1,0)),元データ_加工!$A$2:$A$700,$A316,元データ_加工!$B$2:$B$700,H$5)</f>
        <v>0</v>
      </c>
      <c r="I316" s="26">
        <f>SUMIFS(INDEX(元データ_加工!$C$2:$P$700,0,MATCH($B316,元データ_加工!$C$1:$P$1,0)),元データ_加工!$A$2:$A$700,$A316,元データ_加工!$B$2:$B$700,I$5)</f>
        <v>0</v>
      </c>
      <c r="J316" s="26">
        <f>SUMIFS(INDEX(元データ_加工!$C$2:$P$700,0,MATCH($B316,元データ_加工!$C$1:$P$1,0)),元データ_加工!$A$2:$A$700,$A316,元データ_加工!$B$2:$B$700,J$5)</f>
        <v>4</v>
      </c>
      <c r="K316" s="26">
        <f>SUMIFS(INDEX(元データ_加工!$C$2:$P$700,0,MATCH($B316,元データ_加工!$C$1:$P$1,0)),元データ_加工!$A$2:$A$700,$A316,元データ_加工!$B$2:$B$700,K$5)</f>
        <v>0</v>
      </c>
      <c r="L316" s="26">
        <f>SUMIFS(INDEX(元データ_加工!$C$2:$P$700,0,MATCH($B316,元データ_加工!$C$1:$P$1,0)),元データ_加工!$A$2:$A$700,$A316,元データ_加工!$B$2:$B$700,L$5)</f>
        <v>0</v>
      </c>
      <c r="M316" s="26">
        <f>SUMIFS(INDEX(元データ_加工!$C$2:$P$700,0,MATCH($B316,元データ_加工!$C$1:$P$1,0)),元データ_加工!$A$2:$A$700,$A316,元データ_加工!$B$2:$B$700,M$5)</f>
        <v>0</v>
      </c>
      <c r="N316" s="26">
        <f>SUMIFS(INDEX(元データ_加工!$C$2:$P$700,0,MATCH($B316,元データ_加工!$C$1:$P$1,0)),元データ_加工!$A$2:$A$700,$A316,元データ_加工!$B$2:$B$700,N$5)</f>
        <v>0</v>
      </c>
      <c r="O316" s="26">
        <f t="shared" si="4"/>
        <v>4</v>
      </c>
      <c r="P316" s="7">
        <f>IFERROR(O316/SUMIFS(元データ_加工!$C$2:$C$700,元データ_加工!$A$2:$A$700,$A316),"")</f>
        <v>2.2506048500534517E-4</v>
      </c>
    </row>
    <row r="317" spans="1:16" x14ac:dyDescent="0.45">
      <c r="A317" t="s">
        <v>57</v>
      </c>
      <c r="B317" t="s">
        <v>103</v>
      </c>
      <c r="C317" s="26">
        <f>SUMIFS(INDEX(元データ_加工!$C$2:$P$700,0,MATCH($B317,元データ_加工!$C$1:$P$1,0)),元データ_加工!$A$2:$A$700,$A317,元データ_加工!$B$2:$B$700,C$5)</f>
        <v>0</v>
      </c>
      <c r="D317" s="26">
        <f>SUMIFS(INDEX(元データ_加工!$C$2:$P$700,0,MATCH($B317,元データ_加工!$C$1:$P$1,0)),元データ_加工!$A$2:$A$700,$A317,元データ_加工!$B$2:$B$700,D$5)</f>
        <v>0</v>
      </c>
      <c r="E317" s="26">
        <f>SUMIFS(INDEX(元データ_加工!$C$2:$P$700,0,MATCH($B317,元データ_加工!$C$1:$P$1,0)),元データ_加工!$A$2:$A$700,$A317,元データ_加工!$B$2:$B$700,E$5)</f>
        <v>0</v>
      </c>
      <c r="F317" s="26">
        <f>SUMIFS(INDEX(元データ_加工!$C$2:$P$700,0,MATCH($B317,元データ_加工!$C$1:$P$1,0)),元データ_加工!$A$2:$A$700,$A317,元データ_加工!$B$2:$B$700,F$5)</f>
        <v>4</v>
      </c>
      <c r="G317" s="26">
        <f>SUMIFS(INDEX(元データ_加工!$C$2:$P$700,0,MATCH($B317,元データ_加工!$C$1:$P$1,0)),元データ_加工!$A$2:$A$700,$A317,元データ_加工!$B$2:$B$700,G$5)</f>
        <v>8</v>
      </c>
      <c r="H317" s="26">
        <f>SUMIFS(INDEX(元データ_加工!$C$2:$P$700,0,MATCH($B317,元データ_加工!$C$1:$P$1,0)),元データ_加工!$A$2:$A$700,$A317,元データ_加工!$B$2:$B$700,H$5)</f>
        <v>12</v>
      </c>
      <c r="I317" s="26">
        <f>SUMIFS(INDEX(元データ_加工!$C$2:$P$700,0,MATCH($B317,元データ_加工!$C$1:$P$1,0)),元データ_加工!$A$2:$A$700,$A317,元データ_加工!$B$2:$B$700,I$5)</f>
        <v>13</v>
      </c>
      <c r="J317" s="26">
        <f>SUMIFS(INDEX(元データ_加工!$C$2:$P$700,0,MATCH($B317,元データ_加工!$C$1:$P$1,0)),元データ_加工!$A$2:$A$700,$A317,元データ_加工!$B$2:$B$700,J$5)</f>
        <v>2</v>
      </c>
      <c r="K317" s="26">
        <f>SUMIFS(INDEX(元データ_加工!$C$2:$P$700,0,MATCH($B317,元データ_加工!$C$1:$P$1,0)),元データ_加工!$A$2:$A$700,$A317,元データ_加工!$B$2:$B$700,K$5)</f>
        <v>0</v>
      </c>
      <c r="L317" s="26">
        <f>SUMIFS(INDEX(元データ_加工!$C$2:$P$700,0,MATCH($B317,元データ_加工!$C$1:$P$1,0)),元データ_加工!$A$2:$A$700,$A317,元データ_加工!$B$2:$B$700,L$5)</f>
        <v>0</v>
      </c>
      <c r="M317" s="26">
        <f>SUMIFS(INDEX(元データ_加工!$C$2:$P$700,0,MATCH($B317,元データ_加工!$C$1:$P$1,0)),元データ_加工!$A$2:$A$700,$A317,元データ_加工!$B$2:$B$700,M$5)</f>
        <v>0</v>
      </c>
      <c r="N317" s="26">
        <f>SUMIFS(INDEX(元データ_加工!$C$2:$P$700,0,MATCH($B317,元データ_加工!$C$1:$P$1,0)),元データ_加工!$A$2:$A$700,$A317,元データ_加工!$B$2:$B$700,N$5)</f>
        <v>0</v>
      </c>
      <c r="O317" s="26">
        <f t="shared" si="4"/>
        <v>39</v>
      </c>
      <c r="P317" s="7">
        <f>IFERROR(O317/SUMIFS(元データ_加工!$C$2:$C$700,元データ_加工!$A$2:$A$700,$A317),"")</f>
        <v>2.1943397288021155E-3</v>
      </c>
    </row>
    <row r="318" spans="1:16" x14ac:dyDescent="0.45">
      <c r="A318" t="s">
        <v>57</v>
      </c>
      <c r="B318" t="s">
        <v>104</v>
      </c>
      <c r="C318" s="26">
        <f>SUMIFS(INDEX(元データ_加工!$C$2:$P$700,0,MATCH($B318,元データ_加工!$C$1:$P$1,0)),元データ_加工!$A$2:$A$700,$A318,元データ_加工!$B$2:$B$700,C$5)</f>
        <v>1</v>
      </c>
      <c r="D318" s="26">
        <f>SUMIFS(INDEX(元データ_加工!$C$2:$P$700,0,MATCH($B318,元データ_加工!$C$1:$P$1,0)),元データ_加工!$A$2:$A$700,$A318,元データ_加工!$B$2:$B$700,D$5)</f>
        <v>2</v>
      </c>
      <c r="E318" s="26">
        <f>SUMIFS(INDEX(元データ_加工!$C$2:$P$700,0,MATCH($B318,元データ_加工!$C$1:$P$1,0)),元データ_加工!$A$2:$A$700,$A318,元データ_加工!$B$2:$B$700,E$5)</f>
        <v>2</v>
      </c>
      <c r="F318" s="26">
        <f>SUMIFS(INDEX(元データ_加工!$C$2:$P$700,0,MATCH($B318,元データ_加工!$C$1:$P$1,0)),元データ_加工!$A$2:$A$700,$A318,元データ_加工!$B$2:$B$700,F$5)</f>
        <v>1</v>
      </c>
      <c r="G318" s="26">
        <f>SUMIFS(INDEX(元データ_加工!$C$2:$P$700,0,MATCH($B318,元データ_加工!$C$1:$P$1,0)),元データ_加工!$A$2:$A$700,$A318,元データ_加工!$B$2:$B$700,G$5)</f>
        <v>3</v>
      </c>
      <c r="H318" s="26">
        <f>SUMIFS(INDEX(元データ_加工!$C$2:$P$700,0,MATCH($B318,元データ_加工!$C$1:$P$1,0)),元データ_加工!$A$2:$A$700,$A318,元データ_加工!$B$2:$B$700,H$5)</f>
        <v>10</v>
      </c>
      <c r="I318" s="26">
        <f>SUMIFS(INDEX(元データ_加工!$C$2:$P$700,0,MATCH($B318,元データ_加工!$C$1:$P$1,0)),元データ_加工!$A$2:$A$700,$A318,元データ_加工!$B$2:$B$700,I$5)</f>
        <v>7</v>
      </c>
      <c r="J318" s="26">
        <f>SUMIFS(INDEX(元データ_加工!$C$2:$P$700,0,MATCH($B318,元データ_加工!$C$1:$P$1,0)),元データ_加工!$A$2:$A$700,$A318,元データ_加工!$B$2:$B$700,J$5)</f>
        <v>23</v>
      </c>
      <c r="K318" s="26">
        <f>SUMIFS(INDEX(元データ_加工!$C$2:$P$700,0,MATCH($B318,元データ_加工!$C$1:$P$1,0)),元データ_加工!$A$2:$A$700,$A318,元データ_加工!$B$2:$B$700,K$5)</f>
        <v>40</v>
      </c>
      <c r="L318" s="26">
        <f>SUMIFS(INDEX(元データ_加工!$C$2:$P$700,0,MATCH($B318,元データ_加工!$C$1:$P$1,0)),元データ_加工!$A$2:$A$700,$A318,元データ_加工!$B$2:$B$700,L$5)</f>
        <v>27</v>
      </c>
      <c r="M318" s="26">
        <f>SUMIFS(INDEX(元データ_加工!$C$2:$P$700,0,MATCH($B318,元データ_加工!$C$1:$P$1,0)),元データ_加工!$A$2:$A$700,$A318,元データ_加工!$B$2:$B$700,M$5)</f>
        <v>19</v>
      </c>
      <c r="N318" s="26">
        <f>SUMIFS(INDEX(元データ_加工!$C$2:$P$700,0,MATCH($B318,元データ_加工!$C$1:$P$1,0)),元データ_加工!$A$2:$A$700,$A318,元データ_加工!$B$2:$B$700,N$5)</f>
        <v>2</v>
      </c>
      <c r="O318" s="26">
        <f t="shared" si="4"/>
        <v>137</v>
      </c>
      <c r="P318" s="7">
        <f>IFERROR(O318/SUMIFS(元データ_加工!$C$2:$C$700,元データ_加工!$A$2:$A$700,$A318),"")</f>
        <v>7.7083216114330723E-3</v>
      </c>
    </row>
    <row r="319" spans="1:16" x14ac:dyDescent="0.45">
      <c r="A319" t="s">
        <v>57</v>
      </c>
      <c r="B319" t="s">
        <v>105</v>
      </c>
      <c r="C319" s="26">
        <f>SUMIFS(INDEX(元データ_加工!$C$2:$P$700,0,MATCH($B319,元データ_加工!$C$1:$P$1,0)),元データ_加工!$A$2:$A$700,$A319,元データ_加工!$B$2:$B$700,C$5)</f>
        <v>0</v>
      </c>
      <c r="D319" s="26">
        <f>SUMIFS(INDEX(元データ_加工!$C$2:$P$700,0,MATCH($B319,元データ_加工!$C$1:$P$1,0)),元データ_加工!$A$2:$A$700,$A319,元データ_加工!$B$2:$B$700,D$5)</f>
        <v>1</v>
      </c>
      <c r="E319" s="26">
        <f>SUMIFS(INDEX(元データ_加工!$C$2:$P$700,0,MATCH($B319,元データ_加工!$C$1:$P$1,0)),元データ_加工!$A$2:$A$700,$A319,元データ_加工!$B$2:$B$700,E$5)</f>
        <v>2</v>
      </c>
      <c r="F319" s="26">
        <f>SUMIFS(INDEX(元データ_加工!$C$2:$P$700,0,MATCH($B319,元データ_加工!$C$1:$P$1,0)),元データ_加工!$A$2:$A$700,$A319,元データ_加工!$B$2:$B$700,F$5)</f>
        <v>0</v>
      </c>
      <c r="G319" s="26">
        <f>SUMIFS(INDEX(元データ_加工!$C$2:$P$700,0,MATCH($B319,元データ_加工!$C$1:$P$1,0)),元データ_加工!$A$2:$A$700,$A319,元データ_加工!$B$2:$B$700,G$5)</f>
        <v>2</v>
      </c>
      <c r="H319" s="26">
        <f>SUMIFS(INDEX(元データ_加工!$C$2:$P$700,0,MATCH($B319,元データ_加工!$C$1:$P$1,0)),元データ_加工!$A$2:$A$700,$A319,元データ_加工!$B$2:$B$700,H$5)</f>
        <v>0</v>
      </c>
      <c r="I319" s="26">
        <f>SUMIFS(INDEX(元データ_加工!$C$2:$P$700,0,MATCH($B319,元データ_加工!$C$1:$P$1,0)),元データ_加工!$A$2:$A$700,$A319,元データ_加工!$B$2:$B$700,I$5)</f>
        <v>0</v>
      </c>
      <c r="J319" s="26">
        <f>SUMIFS(INDEX(元データ_加工!$C$2:$P$700,0,MATCH($B319,元データ_加工!$C$1:$P$1,0)),元データ_加工!$A$2:$A$700,$A319,元データ_加工!$B$2:$B$700,J$5)</f>
        <v>7</v>
      </c>
      <c r="K319" s="26">
        <f>SUMIFS(INDEX(元データ_加工!$C$2:$P$700,0,MATCH($B319,元データ_加工!$C$1:$P$1,0)),元データ_加工!$A$2:$A$700,$A319,元データ_加工!$B$2:$B$700,K$5)</f>
        <v>60</v>
      </c>
      <c r="L319" s="26">
        <f>SUMIFS(INDEX(元データ_加工!$C$2:$P$700,0,MATCH($B319,元データ_加工!$C$1:$P$1,0)),元データ_加工!$A$2:$A$700,$A319,元データ_加工!$B$2:$B$700,L$5)</f>
        <v>11</v>
      </c>
      <c r="M319" s="26">
        <f>SUMIFS(INDEX(元データ_加工!$C$2:$P$700,0,MATCH($B319,元データ_加工!$C$1:$P$1,0)),元データ_加工!$A$2:$A$700,$A319,元データ_加工!$B$2:$B$700,M$5)</f>
        <v>4</v>
      </c>
      <c r="N319" s="26">
        <f>SUMIFS(INDEX(元データ_加工!$C$2:$P$700,0,MATCH($B319,元データ_加工!$C$1:$P$1,0)),元データ_加工!$A$2:$A$700,$A319,元データ_加工!$B$2:$B$700,N$5)</f>
        <v>1</v>
      </c>
      <c r="O319" s="26">
        <f t="shared" si="4"/>
        <v>88</v>
      </c>
      <c r="P319" s="7">
        <f>IFERROR(O319/SUMIFS(元データ_加工!$C$2:$C$700,元データ_加工!$A$2:$A$700,$A319),"")</f>
        <v>4.9513306701175937E-3</v>
      </c>
    </row>
    <row r="320" spans="1:16" x14ac:dyDescent="0.45">
      <c r="A320" t="s">
        <v>57</v>
      </c>
      <c r="B320" t="s">
        <v>106</v>
      </c>
      <c r="C320" s="26">
        <f>SUMIFS(INDEX(元データ_加工!$C$2:$P$700,0,MATCH($B320,元データ_加工!$C$1:$P$1,0)),元データ_加工!$A$2:$A$700,$A320,元データ_加工!$B$2:$B$700,C$5)</f>
        <v>265</v>
      </c>
      <c r="D320" s="26">
        <f>SUMIFS(INDEX(元データ_加工!$C$2:$P$700,0,MATCH($B320,元データ_加工!$C$1:$P$1,0)),元データ_加工!$A$2:$A$700,$A320,元データ_加工!$B$2:$B$700,D$5)</f>
        <v>208</v>
      </c>
      <c r="E320" s="26">
        <f>SUMIFS(INDEX(元データ_加工!$C$2:$P$700,0,MATCH($B320,元データ_加工!$C$1:$P$1,0)),元データ_加工!$A$2:$A$700,$A320,元データ_加工!$B$2:$B$700,E$5)</f>
        <v>251</v>
      </c>
      <c r="F320" s="26">
        <f>SUMIFS(INDEX(元データ_加工!$C$2:$P$700,0,MATCH($B320,元データ_加工!$C$1:$P$1,0)),元データ_加工!$A$2:$A$700,$A320,元データ_加工!$B$2:$B$700,F$5)</f>
        <v>199</v>
      </c>
      <c r="G320" s="26">
        <f>SUMIFS(INDEX(元データ_加工!$C$2:$P$700,0,MATCH($B320,元データ_加工!$C$1:$P$1,0)),元データ_加工!$A$2:$A$700,$A320,元データ_加工!$B$2:$B$700,G$5)</f>
        <v>252</v>
      </c>
      <c r="H320" s="26">
        <f>SUMIFS(INDEX(元データ_加工!$C$2:$P$700,0,MATCH($B320,元データ_加工!$C$1:$P$1,0)),元データ_加工!$A$2:$A$700,$A320,元データ_加工!$B$2:$B$700,H$5)</f>
        <v>98</v>
      </c>
      <c r="I320" s="26">
        <f>SUMIFS(INDEX(元データ_加工!$C$2:$P$700,0,MATCH($B320,元データ_加工!$C$1:$P$1,0)),元データ_加工!$A$2:$A$700,$A320,元データ_加工!$B$2:$B$700,I$5)</f>
        <v>103</v>
      </c>
      <c r="J320" s="26">
        <f>SUMIFS(INDEX(元データ_加工!$C$2:$P$700,0,MATCH($B320,元データ_加工!$C$1:$P$1,0)),元データ_加工!$A$2:$A$700,$A320,元データ_加工!$B$2:$B$700,J$5)</f>
        <v>232</v>
      </c>
      <c r="K320" s="26">
        <f>SUMIFS(INDEX(元データ_加工!$C$2:$P$700,0,MATCH($B320,元データ_加工!$C$1:$P$1,0)),元データ_加工!$A$2:$A$700,$A320,元データ_加工!$B$2:$B$700,K$5)</f>
        <v>261</v>
      </c>
      <c r="L320" s="26">
        <f>SUMIFS(INDEX(元データ_加工!$C$2:$P$700,0,MATCH($B320,元データ_加工!$C$1:$P$1,0)),元データ_加工!$A$2:$A$700,$A320,元データ_加工!$B$2:$B$700,L$5)</f>
        <v>254</v>
      </c>
      <c r="M320" s="26">
        <f>SUMIFS(INDEX(元データ_加工!$C$2:$P$700,0,MATCH($B320,元データ_加工!$C$1:$P$1,0)),元データ_加工!$A$2:$A$700,$A320,元データ_加工!$B$2:$B$700,M$5)</f>
        <v>268</v>
      </c>
      <c r="N320" s="26">
        <f>SUMIFS(INDEX(元データ_加工!$C$2:$P$700,0,MATCH($B320,元データ_加工!$C$1:$P$1,0)),元データ_加工!$A$2:$A$700,$A320,元データ_加工!$B$2:$B$700,N$5)</f>
        <v>217</v>
      </c>
      <c r="O320" s="26">
        <f t="shared" si="4"/>
        <v>2608</v>
      </c>
      <c r="P320" s="7">
        <f>IFERROR(O320/SUMIFS(元データ_加工!$C$2:$C$700,元データ_加工!$A$2:$A$700,$A320),"")</f>
        <v>0.14673943622348506</v>
      </c>
    </row>
    <row r="321" spans="1:16" x14ac:dyDescent="0.45">
      <c r="A321" t="s">
        <v>57</v>
      </c>
      <c r="B321" t="s">
        <v>107</v>
      </c>
      <c r="C321" s="26">
        <f>SUMIFS(INDEX(元データ_加工!$C$2:$P$700,0,MATCH($B321,元データ_加工!$C$1:$P$1,0)),元データ_加工!$A$2:$A$700,$A321,元データ_加工!$B$2:$B$700,C$5)</f>
        <v>7</v>
      </c>
      <c r="D321" s="26">
        <f>SUMIFS(INDEX(元データ_加工!$C$2:$P$700,0,MATCH($B321,元データ_加工!$C$1:$P$1,0)),元データ_加工!$A$2:$A$700,$A321,元データ_加工!$B$2:$B$700,D$5)</f>
        <v>3</v>
      </c>
      <c r="E321" s="26">
        <f>SUMIFS(INDEX(元データ_加工!$C$2:$P$700,0,MATCH($B321,元データ_加工!$C$1:$P$1,0)),元データ_加工!$A$2:$A$700,$A321,元データ_加工!$B$2:$B$700,E$5)</f>
        <v>16</v>
      </c>
      <c r="F321" s="26">
        <f>SUMIFS(INDEX(元データ_加工!$C$2:$P$700,0,MATCH($B321,元データ_加工!$C$1:$P$1,0)),元データ_加工!$A$2:$A$700,$A321,元データ_加工!$B$2:$B$700,F$5)</f>
        <v>5</v>
      </c>
      <c r="G321" s="26">
        <f>SUMIFS(INDEX(元データ_加工!$C$2:$P$700,0,MATCH($B321,元データ_加工!$C$1:$P$1,0)),元データ_加工!$A$2:$A$700,$A321,元データ_加工!$B$2:$B$700,G$5)</f>
        <v>1</v>
      </c>
      <c r="H321" s="26">
        <f>SUMIFS(INDEX(元データ_加工!$C$2:$P$700,0,MATCH($B321,元データ_加工!$C$1:$P$1,0)),元データ_加工!$A$2:$A$700,$A321,元データ_加工!$B$2:$B$700,H$5)</f>
        <v>0</v>
      </c>
      <c r="I321" s="26">
        <f>SUMIFS(INDEX(元データ_加工!$C$2:$P$700,0,MATCH($B321,元データ_加工!$C$1:$P$1,0)),元データ_加工!$A$2:$A$700,$A321,元データ_加工!$B$2:$B$700,I$5)</f>
        <v>3</v>
      </c>
      <c r="J321" s="26">
        <f>SUMIFS(INDEX(元データ_加工!$C$2:$P$700,0,MATCH($B321,元データ_加工!$C$1:$P$1,0)),元データ_加工!$A$2:$A$700,$A321,元データ_加工!$B$2:$B$700,J$5)</f>
        <v>4</v>
      </c>
      <c r="K321" s="26">
        <f>SUMIFS(INDEX(元データ_加工!$C$2:$P$700,0,MATCH($B321,元データ_加工!$C$1:$P$1,0)),元データ_加工!$A$2:$A$700,$A321,元データ_加工!$B$2:$B$700,K$5)</f>
        <v>0</v>
      </c>
      <c r="L321" s="26">
        <f>SUMIFS(INDEX(元データ_加工!$C$2:$P$700,0,MATCH($B321,元データ_加工!$C$1:$P$1,0)),元データ_加工!$A$2:$A$700,$A321,元データ_加工!$B$2:$B$700,L$5)</f>
        <v>2</v>
      </c>
      <c r="M321" s="26">
        <f>SUMIFS(INDEX(元データ_加工!$C$2:$P$700,0,MATCH($B321,元データ_加工!$C$1:$P$1,0)),元データ_加工!$A$2:$A$700,$A321,元データ_加工!$B$2:$B$700,M$5)</f>
        <v>0</v>
      </c>
      <c r="N321" s="26">
        <f>SUMIFS(INDEX(元データ_加工!$C$2:$P$700,0,MATCH($B321,元データ_加工!$C$1:$P$1,0)),元データ_加工!$A$2:$A$700,$A321,元データ_加工!$B$2:$B$700,N$5)</f>
        <v>10</v>
      </c>
      <c r="O321" s="26">
        <f t="shared" si="4"/>
        <v>51</v>
      </c>
      <c r="P321" s="7">
        <f>IFERROR(O321/SUMIFS(元データ_加工!$C$2:$C$700,元データ_加工!$A$2:$A$700,$A321),"")</f>
        <v>2.8695211838181511E-3</v>
      </c>
    </row>
    <row r="322" spans="1:16" x14ac:dyDescent="0.45">
      <c r="A322" t="s">
        <v>57</v>
      </c>
      <c r="B322" t="s">
        <v>108</v>
      </c>
      <c r="C322" s="26">
        <f>SUMIFS(INDEX(元データ_加工!$C$2:$P$700,0,MATCH($B322,元データ_加工!$C$1:$P$1,0)),元データ_加工!$A$2:$A$700,$A322,元データ_加工!$B$2:$B$700,C$5)</f>
        <v>0</v>
      </c>
      <c r="D322" s="26">
        <f>SUMIFS(INDEX(元データ_加工!$C$2:$P$700,0,MATCH($B322,元データ_加工!$C$1:$P$1,0)),元データ_加工!$A$2:$A$700,$A322,元データ_加工!$B$2:$B$700,D$5)</f>
        <v>14</v>
      </c>
      <c r="E322" s="26">
        <f>SUMIFS(INDEX(元データ_加工!$C$2:$P$700,0,MATCH($B322,元データ_加工!$C$1:$P$1,0)),元データ_加工!$A$2:$A$700,$A322,元データ_加工!$B$2:$B$700,E$5)</f>
        <v>4</v>
      </c>
      <c r="F322" s="26">
        <f>SUMIFS(INDEX(元データ_加工!$C$2:$P$700,0,MATCH($B322,元データ_加工!$C$1:$P$1,0)),元データ_加工!$A$2:$A$700,$A322,元データ_加工!$B$2:$B$700,F$5)</f>
        <v>1</v>
      </c>
      <c r="G322" s="26">
        <f>SUMIFS(INDEX(元データ_加工!$C$2:$P$700,0,MATCH($B322,元データ_加工!$C$1:$P$1,0)),元データ_加工!$A$2:$A$700,$A322,元データ_加工!$B$2:$B$700,G$5)</f>
        <v>3</v>
      </c>
      <c r="H322" s="26">
        <f>SUMIFS(INDEX(元データ_加工!$C$2:$P$700,0,MATCH($B322,元データ_加工!$C$1:$P$1,0)),元データ_加工!$A$2:$A$700,$A322,元データ_加工!$B$2:$B$700,H$5)</f>
        <v>0</v>
      </c>
      <c r="I322" s="26">
        <f>SUMIFS(INDEX(元データ_加工!$C$2:$P$700,0,MATCH($B322,元データ_加工!$C$1:$P$1,0)),元データ_加工!$A$2:$A$700,$A322,元データ_加工!$B$2:$B$700,I$5)</f>
        <v>0</v>
      </c>
      <c r="J322" s="26">
        <f>SUMIFS(INDEX(元データ_加工!$C$2:$P$700,0,MATCH($B322,元データ_加工!$C$1:$P$1,0)),元データ_加工!$A$2:$A$700,$A322,元データ_加工!$B$2:$B$700,J$5)</f>
        <v>1</v>
      </c>
      <c r="K322" s="26">
        <f>SUMIFS(INDEX(元データ_加工!$C$2:$P$700,0,MATCH($B322,元データ_加工!$C$1:$P$1,0)),元データ_加工!$A$2:$A$700,$A322,元データ_加工!$B$2:$B$700,K$5)</f>
        <v>0</v>
      </c>
      <c r="L322" s="26">
        <f>SUMIFS(INDEX(元データ_加工!$C$2:$P$700,0,MATCH($B322,元データ_加工!$C$1:$P$1,0)),元データ_加工!$A$2:$A$700,$A322,元データ_加工!$B$2:$B$700,L$5)</f>
        <v>0</v>
      </c>
      <c r="M322" s="26">
        <f>SUMIFS(INDEX(元データ_加工!$C$2:$P$700,0,MATCH($B322,元データ_加工!$C$1:$P$1,0)),元データ_加工!$A$2:$A$700,$A322,元データ_加工!$B$2:$B$700,M$5)</f>
        <v>0</v>
      </c>
      <c r="N322" s="26">
        <f>SUMIFS(INDEX(元データ_加工!$C$2:$P$700,0,MATCH($B322,元データ_加工!$C$1:$P$1,0)),元データ_加工!$A$2:$A$700,$A322,元データ_加工!$B$2:$B$700,N$5)</f>
        <v>0</v>
      </c>
      <c r="O322" s="26">
        <f t="shared" si="4"/>
        <v>23</v>
      </c>
      <c r="P322" s="7">
        <f>IFERROR(O322/SUMIFS(元データ_加工!$C$2:$C$700,元データ_加工!$A$2:$A$700,$A322),"")</f>
        <v>1.2940977887807349E-3</v>
      </c>
    </row>
    <row r="323" spans="1:16" x14ac:dyDescent="0.45">
      <c r="A323" t="s">
        <v>57</v>
      </c>
      <c r="B323" t="s">
        <v>109</v>
      </c>
      <c r="C323" s="26">
        <f>SUMIFS(INDEX(元データ_加工!$C$2:$P$700,0,MATCH($B323,元データ_加工!$C$1:$P$1,0)),元データ_加工!$A$2:$A$700,$A323,元データ_加工!$B$2:$B$700,C$5)</f>
        <v>23</v>
      </c>
      <c r="D323" s="26">
        <f>SUMIFS(INDEX(元データ_加工!$C$2:$P$700,0,MATCH($B323,元データ_加工!$C$1:$P$1,0)),元データ_加工!$A$2:$A$700,$A323,元データ_加工!$B$2:$B$700,D$5)</f>
        <v>29</v>
      </c>
      <c r="E323" s="26">
        <f>SUMIFS(INDEX(元データ_加工!$C$2:$P$700,0,MATCH($B323,元データ_加工!$C$1:$P$1,0)),元データ_加工!$A$2:$A$700,$A323,元データ_加工!$B$2:$B$700,E$5)</f>
        <v>24</v>
      </c>
      <c r="F323" s="26">
        <f>SUMIFS(INDEX(元データ_加工!$C$2:$P$700,0,MATCH($B323,元データ_加工!$C$1:$P$1,0)),元データ_加工!$A$2:$A$700,$A323,元データ_加工!$B$2:$B$700,F$5)</f>
        <v>21</v>
      </c>
      <c r="G323" s="26">
        <f>SUMIFS(INDEX(元データ_加工!$C$2:$P$700,0,MATCH($B323,元データ_加工!$C$1:$P$1,0)),元データ_加工!$A$2:$A$700,$A323,元データ_加工!$B$2:$B$700,G$5)</f>
        <v>23</v>
      </c>
      <c r="H323" s="26">
        <f>SUMIFS(INDEX(元データ_加工!$C$2:$P$700,0,MATCH($B323,元データ_加工!$C$1:$P$1,0)),元データ_加工!$A$2:$A$700,$A323,元データ_加工!$B$2:$B$700,H$5)</f>
        <v>27</v>
      </c>
      <c r="I323" s="26">
        <f>SUMIFS(INDEX(元データ_加工!$C$2:$P$700,0,MATCH($B323,元データ_加工!$C$1:$P$1,0)),元データ_加工!$A$2:$A$700,$A323,元データ_加工!$B$2:$B$700,I$5)</f>
        <v>12</v>
      </c>
      <c r="J323" s="26">
        <f>SUMIFS(INDEX(元データ_加工!$C$2:$P$700,0,MATCH($B323,元データ_加工!$C$1:$P$1,0)),元データ_加工!$A$2:$A$700,$A323,元データ_加工!$B$2:$B$700,J$5)</f>
        <v>25</v>
      </c>
      <c r="K323" s="26">
        <f>SUMIFS(INDEX(元データ_加工!$C$2:$P$700,0,MATCH($B323,元データ_加工!$C$1:$P$1,0)),元データ_加工!$A$2:$A$700,$A323,元データ_加工!$B$2:$B$700,K$5)</f>
        <v>34</v>
      </c>
      <c r="L323" s="26">
        <f>SUMIFS(INDEX(元データ_加工!$C$2:$P$700,0,MATCH($B323,元データ_加工!$C$1:$P$1,0)),元データ_加工!$A$2:$A$700,$A323,元データ_加工!$B$2:$B$700,L$5)</f>
        <v>33</v>
      </c>
      <c r="M323" s="26">
        <f>SUMIFS(INDEX(元データ_加工!$C$2:$P$700,0,MATCH($B323,元データ_加工!$C$1:$P$1,0)),元データ_加工!$A$2:$A$700,$A323,元データ_加工!$B$2:$B$700,M$5)</f>
        <v>30</v>
      </c>
      <c r="N323" s="26">
        <f>SUMIFS(INDEX(元データ_加工!$C$2:$P$700,0,MATCH($B323,元データ_加工!$C$1:$P$1,0)),元データ_加工!$A$2:$A$700,$A323,元データ_加工!$B$2:$B$700,N$5)</f>
        <v>11</v>
      </c>
      <c r="O323" s="26">
        <f t="shared" si="4"/>
        <v>292</v>
      </c>
      <c r="P323" s="7">
        <f>IFERROR(O323/SUMIFS(元データ_加工!$C$2:$C$700,元データ_加工!$A$2:$A$700,$A323),"")</f>
        <v>1.64294154053902E-2</v>
      </c>
    </row>
    <row r="324" spans="1:16" x14ac:dyDescent="0.45">
      <c r="A324" t="s">
        <v>57</v>
      </c>
      <c r="B324" t="s">
        <v>110</v>
      </c>
      <c r="C324" s="26">
        <f>SUMIFS(INDEX(元データ_加工!$C$2:$P$700,0,MATCH($B324,元データ_加工!$C$1:$P$1,0)),元データ_加工!$A$2:$A$700,$A324,元データ_加工!$B$2:$B$700,C$5)</f>
        <v>0</v>
      </c>
      <c r="D324" s="26">
        <f>SUMIFS(INDEX(元データ_加工!$C$2:$P$700,0,MATCH($B324,元データ_加工!$C$1:$P$1,0)),元データ_加工!$A$2:$A$700,$A324,元データ_加工!$B$2:$B$700,D$5)</f>
        <v>0</v>
      </c>
      <c r="E324" s="26">
        <f>SUMIFS(INDEX(元データ_加工!$C$2:$P$700,0,MATCH($B324,元データ_加工!$C$1:$P$1,0)),元データ_加工!$A$2:$A$700,$A324,元データ_加工!$B$2:$B$700,E$5)</f>
        <v>0</v>
      </c>
      <c r="F324" s="26">
        <f>SUMIFS(INDEX(元データ_加工!$C$2:$P$700,0,MATCH($B324,元データ_加工!$C$1:$P$1,0)),元データ_加工!$A$2:$A$700,$A324,元データ_加工!$B$2:$B$700,F$5)</f>
        <v>0</v>
      </c>
      <c r="G324" s="26">
        <f>SUMIFS(INDEX(元データ_加工!$C$2:$P$700,0,MATCH($B324,元データ_加工!$C$1:$P$1,0)),元データ_加工!$A$2:$A$700,$A324,元データ_加工!$B$2:$B$700,G$5)</f>
        <v>0</v>
      </c>
      <c r="H324" s="26">
        <f>SUMIFS(INDEX(元データ_加工!$C$2:$P$700,0,MATCH($B324,元データ_加工!$C$1:$P$1,0)),元データ_加工!$A$2:$A$700,$A324,元データ_加工!$B$2:$B$700,H$5)</f>
        <v>0</v>
      </c>
      <c r="I324" s="26">
        <f>SUMIFS(INDEX(元データ_加工!$C$2:$P$700,0,MATCH($B324,元データ_加工!$C$1:$P$1,0)),元データ_加工!$A$2:$A$700,$A324,元データ_加工!$B$2:$B$700,I$5)</f>
        <v>0</v>
      </c>
      <c r="J324" s="26">
        <f>SUMIFS(INDEX(元データ_加工!$C$2:$P$700,0,MATCH($B324,元データ_加工!$C$1:$P$1,0)),元データ_加工!$A$2:$A$700,$A324,元データ_加工!$B$2:$B$700,J$5)</f>
        <v>0</v>
      </c>
      <c r="K324" s="26">
        <f>SUMIFS(INDEX(元データ_加工!$C$2:$P$700,0,MATCH($B324,元データ_加工!$C$1:$P$1,0)),元データ_加工!$A$2:$A$700,$A324,元データ_加工!$B$2:$B$700,K$5)</f>
        <v>0</v>
      </c>
      <c r="L324" s="26">
        <f>SUMIFS(INDEX(元データ_加工!$C$2:$P$700,0,MATCH($B324,元データ_加工!$C$1:$P$1,0)),元データ_加工!$A$2:$A$700,$A324,元データ_加工!$B$2:$B$700,L$5)</f>
        <v>0</v>
      </c>
      <c r="M324" s="26">
        <f>SUMIFS(INDEX(元データ_加工!$C$2:$P$700,0,MATCH($B324,元データ_加工!$C$1:$P$1,0)),元データ_加工!$A$2:$A$700,$A324,元データ_加工!$B$2:$B$700,M$5)</f>
        <v>0</v>
      </c>
      <c r="N324" s="26">
        <f>SUMIFS(INDEX(元データ_加工!$C$2:$P$700,0,MATCH($B324,元データ_加工!$C$1:$P$1,0)),元データ_加工!$A$2:$A$700,$A324,元データ_加工!$B$2:$B$700,N$5)</f>
        <v>0</v>
      </c>
      <c r="O324" s="26">
        <f t="shared" si="4"/>
        <v>0</v>
      </c>
      <c r="P324" s="7">
        <f>IFERROR(O324/SUMIFS(元データ_加工!$C$2:$C$700,元データ_加工!$A$2:$A$700,$A324),"")</f>
        <v>0</v>
      </c>
    </row>
    <row r="325" spans="1:16" x14ac:dyDescent="0.45">
      <c r="A325" t="s">
        <v>57</v>
      </c>
      <c r="B325" t="s">
        <v>111</v>
      </c>
      <c r="C325" s="26">
        <f>SUMIFS(INDEX(元データ_加工!$C$2:$P$700,0,MATCH($B325,元データ_加工!$C$1:$P$1,0)),元データ_加工!$A$2:$A$700,$A325,元データ_加工!$B$2:$B$700,C$5)</f>
        <v>0</v>
      </c>
      <c r="D325" s="26">
        <f>SUMIFS(INDEX(元データ_加工!$C$2:$P$700,0,MATCH($B325,元データ_加工!$C$1:$P$1,0)),元データ_加工!$A$2:$A$700,$A325,元データ_加工!$B$2:$B$700,D$5)</f>
        <v>0</v>
      </c>
      <c r="E325" s="26">
        <f>SUMIFS(INDEX(元データ_加工!$C$2:$P$700,0,MATCH($B325,元データ_加工!$C$1:$P$1,0)),元データ_加工!$A$2:$A$700,$A325,元データ_加工!$B$2:$B$700,E$5)</f>
        <v>0</v>
      </c>
      <c r="F325" s="26">
        <f>SUMIFS(INDEX(元データ_加工!$C$2:$P$700,0,MATCH($B325,元データ_加工!$C$1:$P$1,0)),元データ_加工!$A$2:$A$700,$A325,元データ_加工!$B$2:$B$700,F$5)</f>
        <v>0</v>
      </c>
      <c r="G325" s="26">
        <f>SUMIFS(INDEX(元データ_加工!$C$2:$P$700,0,MATCH($B325,元データ_加工!$C$1:$P$1,0)),元データ_加工!$A$2:$A$700,$A325,元データ_加工!$B$2:$B$700,G$5)</f>
        <v>0</v>
      </c>
      <c r="H325" s="26">
        <f>SUMIFS(INDEX(元データ_加工!$C$2:$P$700,0,MATCH($B325,元データ_加工!$C$1:$P$1,0)),元データ_加工!$A$2:$A$700,$A325,元データ_加工!$B$2:$B$700,H$5)</f>
        <v>0</v>
      </c>
      <c r="I325" s="26">
        <f>SUMIFS(INDEX(元データ_加工!$C$2:$P$700,0,MATCH($B325,元データ_加工!$C$1:$P$1,0)),元データ_加工!$A$2:$A$700,$A325,元データ_加工!$B$2:$B$700,I$5)</f>
        <v>0</v>
      </c>
      <c r="J325" s="26">
        <f>SUMIFS(INDEX(元データ_加工!$C$2:$P$700,0,MATCH($B325,元データ_加工!$C$1:$P$1,0)),元データ_加工!$A$2:$A$700,$A325,元データ_加工!$B$2:$B$700,J$5)</f>
        <v>0</v>
      </c>
      <c r="K325" s="26">
        <f>SUMIFS(INDEX(元データ_加工!$C$2:$P$700,0,MATCH($B325,元データ_加工!$C$1:$P$1,0)),元データ_加工!$A$2:$A$700,$A325,元データ_加工!$B$2:$B$700,K$5)</f>
        <v>0</v>
      </c>
      <c r="L325" s="26">
        <f>SUMIFS(INDEX(元データ_加工!$C$2:$P$700,0,MATCH($B325,元データ_加工!$C$1:$P$1,0)),元データ_加工!$A$2:$A$700,$A325,元データ_加工!$B$2:$B$700,L$5)</f>
        <v>0</v>
      </c>
      <c r="M325" s="26">
        <f>SUMIFS(INDEX(元データ_加工!$C$2:$P$700,0,MATCH($B325,元データ_加工!$C$1:$P$1,0)),元データ_加工!$A$2:$A$700,$A325,元データ_加工!$B$2:$B$700,M$5)</f>
        <v>0</v>
      </c>
      <c r="N325" s="26">
        <f>SUMIFS(INDEX(元データ_加工!$C$2:$P$700,0,MATCH($B325,元データ_加工!$C$1:$P$1,0)),元データ_加工!$A$2:$A$700,$A325,元データ_加工!$B$2:$B$700,N$5)</f>
        <v>0</v>
      </c>
      <c r="O325" s="26">
        <f t="shared" si="4"/>
        <v>0</v>
      </c>
      <c r="P325" s="7">
        <f>IFERROR(O325/SUMIFS(元データ_加工!$C$2:$C$700,元データ_加工!$A$2:$A$700,$A325),"")</f>
        <v>0</v>
      </c>
    </row>
    <row r="326" spans="1:16" x14ac:dyDescent="0.45">
      <c r="A326" t="s">
        <v>57</v>
      </c>
      <c r="B326" t="s">
        <v>112</v>
      </c>
      <c r="C326" s="26">
        <f>SUMIFS(INDEX(元データ_加工!$C$2:$P$700,0,MATCH($B326,元データ_加工!$C$1:$P$1,0)),元データ_加工!$A$2:$A$700,$A326,元データ_加工!$B$2:$B$700,C$5)</f>
        <v>0</v>
      </c>
      <c r="D326" s="26">
        <f>SUMIFS(INDEX(元データ_加工!$C$2:$P$700,0,MATCH($B326,元データ_加工!$C$1:$P$1,0)),元データ_加工!$A$2:$A$700,$A326,元データ_加工!$B$2:$B$700,D$5)</f>
        <v>0</v>
      </c>
      <c r="E326" s="26">
        <f>SUMIFS(INDEX(元データ_加工!$C$2:$P$700,0,MATCH($B326,元データ_加工!$C$1:$P$1,0)),元データ_加工!$A$2:$A$700,$A326,元データ_加工!$B$2:$B$700,E$5)</f>
        <v>0</v>
      </c>
      <c r="F326" s="26">
        <f>SUMIFS(INDEX(元データ_加工!$C$2:$P$700,0,MATCH($B326,元データ_加工!$C$1:$P$1,0)),元データ_加工!$A$2:$A$700,$A326,元データ_加工!$B$2:$B$700,F$5)</f>
        <v>0</v>
      </c>
      <c r="G326" s="26">
        <f>SUMIFS(INDEX(元データ_加工!$C$2:$P$700,0,MATCH($B326,元データ_加工!$C$1:$P$1,0)),元データ_加工!$A$2:$A$700,$A326,元データ_加工!$B$2:$B$700,G$5)</f>
        <v>1</v>
      </c>
      <c r="H326" s="26">
        <f>SUMIFS(INDEX(元データ_加工!$C$2:$P$700,0,MATCH($B326,元データ_加工!$C$1:$P$1,0)),元データ_加工!$A$2:$A$700,$A326,元データ_加工!$B$2:$B$700,H$5)</f>
        <v>1</v>
      </c>
      <c r="I326" s="26">
        <f>SUMIFS(INDEX(元データ_加工!$C$2:$P$700,0,MATCH($B326,元データ_加工!$C$1:$P$1,0)),元データ_加工!$A$2:$A$700,$A326,元データ_加工!$B$2:$B$700,I$5)</f>
        <v>0</v>
      </c>
      <c r="J326" s="26">
        <f>SUMIFS(INDEX(元データ_加工!$C$2:$P$700,0,MATCH($B326,元データ_加工!$C$1:$P$1,0)),元データ_加工!$A$2:$A$700,$A326,元データ_加工!$B$2:$B$700,J$5)</f>
        <v>0</v>
      </c>
      <c r="K326" s="26">
        <f>SUMIFS(INDEX(元データ_加工!$C$2:$P$700,0,MATCH($B326,元データ_加工!$C$1:$P$1,0)),元データ_加工!$A$2:$A$700,$A326,元データ_加工!$B$2:$B$700,K$5)</f>
        <v>3</v>
      </c>
      <c r="L326" s="26">
        <f>SUMIFS(INDEX(元データ_加工!$C$2:$P$700,0,MATCH($B326,元データ_加工!$C$1:$P$1,0)),元データ_加工!$A$2:$A$700,$A326,元データ_加工!$B$2:$B$700,L$5)</f>
        <v>0</v>
      </c>
      <c r="M326" s="26">
        <f>SUMIFS(INDEX(元データ_加工!$C$2:$P$700,0,MATCH($B326,元データ_加工!$C$1:$P$1,0)),元データ_加工!$A$2:$A$700,$A326,元データ_加工!$B$2:$B$700,M$5)</f>
        <v>0</v>
      </c>
      <c r="N326" s="26">
        <f>SUMIFS(INDEX(元データ_加工!$C$2:$P$700,0,MATCH($B326,元データ_加工!$C$1:$P$1,0)),元データ_加工!$A$2:$A$700,$A326,元データ_加工!$B$2:$B$700,N$5)</f>
        <v>0</v>
      </c>
      <c r="O326" s="26">
        <f t="shared" si="4"/>
        <v>5</v>
      </c>
      <c r="P326" s="7">
        <f>IFERROR(O326/SUMIFS(元データ_加工!$C$2:$C$700,元データ_加工!$A$2:$A$700,$A326),"")</f>
        <v>2.8132560625668149E-4</v>
      </c>
    </row>
    <row r="327" spans="1:16" x14ac:dyDescent="0.45">
      <c r="A327" t="s">
        <v>57</v>
      </c>
      <c r="B327" t="s">
        <v>113</v>
      </c>
      <c r="C327" s="26">
        <f>SUMIFS(INDEX(元データ_加工!$C$2:$P$700,0,MATCH($B327,元データ_加工!$C$1:$P$1,0)),元データ_加工!$A$2:$A$700,$A327,元データ_加工!$B$2:$B$700,C$5)</f>
        <v>0</v>
      </c>
      <c r="D327" s="26">
        <f>SUMIFS(INDEX(元データ_加工!$C$2:$P$700,0,MATCH($B327,元データ_加工!$C$1:$P$1,0)),元データ_加工!$A$2:$A$700,$A327,元データ_加工!$B$2:$B$700,D$5)</f>
        <v>0</v>
      </c>
      <c r="E327" s="26">
        <f>SUMIFS(INDEX(元データ_加工!$C$2:$P$700,0,MATCH($B327,元データ_加工!$C$1:$P$1,0)),元データ_加工!$A$2:$A$700,$A327,元データ_加工!$B$2:$B$700,E$5)</f>
        <v>0</v>
      </c>
      <c r="F327" s="26">
        <f>SUMIFS(INDEX(元データ_加工!$C$2:$P$700,0,MATCH($B327,元データ_加工!$C$1:$P$1,0)),元データ_加工!$A$2:$A$700,$A327,元データ_加工!$B$2:$B$700,F$5)</f>
        <v>0</v>
      </c>
      <c r="G327" s="26">
        <f>SUMIFS(INDEX(元データ_加工!$C$2:$P$700,0,MATCH($B327,元データ_加工!$C$1:$P$1,0)),元データ_加工!$A$2:$A$700,$A327,元データ_加工!$B$2:$B$700,G$5)</f>
        <v>0</v>
      </c>
      <c r="H327" s="26">
        <f>SUMIFS(INDEX(元データ_加工!$C$2:$P$700,0,MATCH($B327,元データ_加工!$C$1:$P$1,0)),元データ_加工!$A$2:$A$700,$A327,元データ_加工!$B$2:$B$700,H$5)</f>
        <v>0</v>
      </c>
      <c r="I327" s="26">
        <f>SUMIFS(INDEX(元データ_加工!$C$2:$P$700,0,MATCH($B327,元データ_加工!$C$1:$P$1,0)),元データ_加工!$A$2:$A$700,$A327,元データ_加工!$B$2:$B$700,I$5)</f>
        <v>0</v>
      </c>
      <c r="J327" s="26">
        <f>SUMIFS(INDEX(元データ_加工!$C$2:$P$700,0,MATCH($B327,元データ_加工!$C$1:$P$1,0)),元データ_加工!$A$2:$A$700,$A327,元データ_加工!$B$2:$B$700,J$5)</f>
        <v>0</v>
      </c>
      <c r="K327" s="26">
        <f>SUMIFS(INDEX(元データ_加工!$C$2:$P$700,0,MATCH($B327,元データ_加工!$C$1:$P$1,0)),元データ_加工!$A$2:$A$700,$A327,元データ_加工!$B$2:$B$700,K$5)</f>
        <v>0</v>
      </c>
      <c r="L327" s="26">
        <f>SUMIFS(INDEX(元データ_加工!$C$2:$P$700,0,MATCH($B327,元データ_加工!$C$1:$P$1,0)),元データ_加工!$A$2:$A$700,$A327,元データ_加工!$B$2:$B$700,L$5)</f>
        <v>0</v>
      </c>
      <c r="M327" s="26">
        <f>SUMIFS(INDEX(元データ_加工!$C$2:$P$700,0,MATCH($B327,元データ_加工!$C$1:$P$1,0)),元データ_加工!$A$2:$A$700,$A327,元データ_加工!$B$2:$B$700,M$5)</f>
        <v>0</v>
      </c>
      <c r="N327" s="26">
        <f>SUMIFS(INDEX(元データ_加工!$C$2:$P$700,0,MATCH($B327,元データ_加工!$C$1:$P$1,0)),元データ_加工!$A$2:$A$700,$A327,元データ_加工!$B$2:$B$700,N$5)</f>
        <v>0</v>
      </c>
      <c r="O327" s="26">
        <f t="shared" ref="O327:O390" si="5">SUM(C327:N327)</f>
        <v>0</v>
      </c>
      <c r="P327" s="7">
        <f>IFERROR(O327/SUMIFS(元データ_加工!$C$2:$C$700,元データ_加工!$A$2:$A$700,$A327),"")</f>
        <v>0</v>
      </c>
    </row>
    <row r="328" spans="1:16" x14ac:dyDescent="0.45">
      <c r="A328" t="s">
        <v>58</v>
      </c>
      <c r="B328" t="s">
        <v>100</v>
      </c>
      <c r="C328" s="26">
        <f>SUMIFS(INDEX(元データ_加工!$C$2:$P$700,0,MATCH($B328,元データ_加工!$C$1:$P$1,0)),元データ_加工!$A$2:$A$700,$A328,元データ_加工!$B$2:$B$700,C$5)</f>
        <v>2980</v>
      </c>
      <c r="D328" s="26">
        <f>SUMIFS(INDEX(元データ_加工!$C$2:$P$700,0,MATCH($B328,元データ_加工!$C$1:$P$1,0)),元データ_加工!$A$2:$A$700,$A328,元データ_加工!$B$2:$B$700,D$5)</f>
        <v>3092</v>
      </c>
      <c r="E328" s="26">
        <f>SUMIFS(INDEX(元データ_加工!$C$2:$P$700,0,MATCH($B328,元データ_加工!$C$1:$P$1,0)),元データ_加工!$A$2:$A$700,$A328,元データ_加工!$B$2:$B$700,E$5)</f>
        <v>3919</v>
      </c>
      <c r="F328" s="26">
        <f>SUMIFS(INDEX(元データ_加工!$C$2:$P$700,0,MATCH($B328,元データ_加工!$C$1:$P$1,0)),元データ_加工!$A$2:$A$700,$A328,元データ_加工!$B$2:$B$700,F$5)</f>
        <v>3929</v>
      </c>
      <c r="G328" s="26">
        <f>SUMIFS(INDEX(元データ_加工!$C$2:$P$700,0,MATCH($B328,元データ_加工!$C$1:$P$1,0)),元データ_加工!$A$2:$A$700,$A328,元データ_加工!$B$2:$B$700,G$5)</f>
        <v>3722</v>
      </c>
      <c r="H328" s="26">
        <f>SUMIFS(INDEX(元データ_加工!$C$2:$P$700,0,MATCH($B328,元データ_加工!$C$1:$P$1,0)),元データ_加工!$A$2:$A$700,$A328,元データ_加工!$B$2:$B$700,H$5)</f>
        <v>2920</v>
      </c>
      <c r="I328" s="26">
        <f>SUMIFS(INDEX(元データ_加工!$C$2:$P$700,0,MATCH($B328,元データ_加工!$C$1:$P$1,0)),元データ_加工!$A$2:$A$700,$A328,元データ_加工!$B$2:$B$700,I$5)</f>
        <v>2424</v>
      </c>
      <c r="J328" s="26">
        <f>SUMIFS(INDEX(元データ_加工!$C$2:$P$700,0,MATCH($B328,元データ_加工!$C$1:$P$1,0)),元データ_加工!$A$2:$A$700,$A328,元データ_加工!$B$2:$B$700,J$5)</f>
        <v>4478</v>
      </c>
      <c r="K328" s="26">
        <f>SUMIFS(INDEX(元データ_加工!$C$2:$P$700,0,MATCH($B328,元データ_加工!$C$1:$P$1,0)),元データ_加工!$A$2:$A$700,$A328,元データ_加工!$B$2:$B$700,K$5)</f>
        <v>7550</v>
      </c>
      <c r="L328" s="26">
        <f>SUMIFS(INDEX(元データ_加工!$C$2:$P$700,0,MATCH($B328,元データ_加工!$C$1:$P$1,0)),元データ_加工!$A$2:$A$700,$A328,元データ_加工!$B$2:$B$700,L$5)</f>
        <v>5212</v>
      </c>
      <c r="M328" s="26">
        <f>SUMIFS(INDEX(元データ_加工!$C$2:$P$700,0,MATCH($B328,元データ_加工!$C$1:$P$1,0)),元データ_加工!$A$2:$A$700,$A328,元データ_加工!$B$2:$B$700,M$5)</f>
        <v>4540</v>
      </c>
      <c r="N328" s="26">
        <f>SUMIFS(INDEX(元データ_加工!$C$2:$P$700,0,MATCH($B328,元データ_加工!$C$1:$P$1,0)),元データ_加工!$A$2:$A$700,$A328,元データ_加工!$B$2:$B$700,N$5)</f>
        <v>3620</v>
      </c>
      <c r="O328" s="26">
        <f t="shared" si="5"/>
        <v>48386</v>
      </c>
      <c r="P328" s="7">
        <f>IFERROR(O328/SUMIFS(元データ_加工!$C$2:$C$700,元データ_加工!$A$2:$A$700,$A328),"")</f>
        <v>1</v>
      </c>
    </row>
    <row r="329" spans="1:16" x14ac:dyDescent="0.45">
      <c r="A329" t="s">
        <v>58</v>
      </c>
      <c r="B329" t="s">
        <v>101</v>
      </c>
      <c r="C329" s="26">
        <f>SUMIFS(INDEX(元データ_加工!$C$2:$P$700,0,MATCH($B329,元データ_加工!$C$1:$P$1,0)),元データ_加工!$A$2:$A$700,$A329,元データ_加工!$B$2:$B$700,C$5)</f>
        <v>2015</v>
      </c>
      <c r="D329" s="26">
        <f>SUMIFS(INDEX(元データ_加工!$C$2:$P$700,0,MATCH($B329,元データ_加工!$C$1:$P$1,0)),元データ_加工!$A$2:$A$700,$A329,元データ_加工!$B$2:$B$700,D$5)</f>
        <v>2365</v>
      </c>
      <c r="E329" s="26">
        <f>SUMIFS(INDEX(元データ_加工!$C$2:$P$700,0,MATCH($B329,元データ_加工!$C$1:$P$1,0)),元データ_加工!$A$2:$A$700,$A329,元データ_加工!$B$2:$B$700,E$5)</f>
        <v>2798</v>
      </c>
      <c r="F329" s="26">
        <f>SUMIFS(INDEX(元データ_加工!$C$2:$P$700,0,MATCH($B329,元データ_加工!$C$1:$P$1,0)),元データ_加工!$A$2:$A$700,$A329,元データ_加工!$B$2:$B$700,F$5)</f>
        <v>2320</v>
      </c>
      <c r="G329" s="26">
        <f>SUMIFS(INDEX(元データ_加工!$C$2:$P$700,0,MATCH($B329,元データ_加工!$C$1:$P$1,0)),元データ_加工!$A$2:$A$700,$A329,元データ_加工!$B$2:$B$700,G$5)</f>
        <v>2499</v>
      </c>
      <c r="H329" s="26">
        <f>SUMIFS(INDEX(元データ_加工!$C$2:$P$700,0,MATCH($B329,元データ_加工!$C$1:$P$1,0)),元データ_加工!$A$2:$A$700,$A329,元データ_加工!$B$2:$B$700,H$5)</f>
        <v>1974</v>
      </c>
      <c r="I329" s="26">
        <f>SUMIFS(INDEX(元データ_加工!$C$2:$P$700,0,MATCH($B329,元データ_加工!$C$1:$P$1,0)),元データ_加工!$A$2:$A$700,$A329,元データ_加工!$B$2:$B$700,I$5)</f>
        <v>2067</v>
      </c>
      <c r="J329" s="26">
        <f>SUMIFS(INDEX(元データ_加工!$C$2:$P$700,0,MATCH($B329,元データ_加工!$C$1:$P$1,0)),元データ_加工!$A$2:$A$700,$A329,元データ_加工!$B$2:$B$700,J$5)</f>
        <v>2334</v>
      </c>
      <c r="K329" s="26">
        <f>SUMIFS(INDEX(元データ_加工!$C$2:$P$700,0,MATCH($B329,元データ_加工!$C$1:$P$1,0)),元データ_加工!$A$2:$A$700,$A329,元データ_加工!$B$2:$B$700,K$5)</f>
        <v>2386</v>
      </c>
      <c r="L329" s="26">
        <f>SUMIFS(INDEX(元データ_加工!$C$2:$P$700,0,MATCH($B329,元データ_加工!$C$1:$P$1,0)),元データ_加工!$A$2:$A$700,$A329,元データ_加工!$B$2:$B$700,L$5)</f>
        <v>2079</v>
      </c>
      <c r="M329" s="26">
        <f>SUMIFS(INDEX(元データ_加工!$C$2:$P$700,0,MATCH($B329,元データ_加工!$C$1:$P$1,0)),元データ_加工!$A$2:$A$700,$A329,元データ_加工!$B$2:$B$700,M$5)</f>
        <v>2485</v>
      </c>
      <c r="N329" s="26">
        <f>SUMIFS(INDEX(元データ_加工!$C$2:$P$700,0,MATCH($B329,元データ_加工!$C$1:$P$1,0)),元データ_加工!$A$2:$A$700,$A329,元データ_加工!$B$2:$B$700,N$5)</f>
        <v>2086</v>
      </c>
      <c r="O329" s="26">
        <f t="shared" si="5"/>
        <v>27408</v>
      </c>
      <c r="P329" s="7">
        <f>IFERROR(O329/SUMIFS(元データ_加工!$C$2:$C$700,元データ_加工!$A$2:$A$700,$A329),"")</f>
        <v>0.56644483941636015</v>
      </c>
    </row>
    <row r="330" spans="1:16" x14ac:dyDescent="0.45">
      <c r="A330" t="s">
        <v>58</v>
      </c>
      <c r="B330" t="s">
        <v>102</v>
      </c>
      <c r="C330" s="26">
        <f>SUMIFS(INDEX(元データ_加工!$C$2:$P$700,0,MATCH($B330,元データ_加工!$C$1:$P$1,0)),元データ_加工!$A$2:$A$700,$A330,元データ_加工!$B$2:$B$700,C$5)</f>
        <v>0</v>
      </c>
      <c r="D330" s="26">
        <f>SUMIFS(INDEX(元データ_加工!$C$2:$P$700,0,MATCH($B330,元データ_加工!$C$1:$P$1,0)),元データ_加工!$A$2:$A$700,$A330,元データ_加工!$B$2:$B$700,D$5)</f>
        <v>0</v>
      </c>
      <c r="E330" s="26">
        <f>SUMIFS(INDEX(元データ_加工!$C$2:$P$700,0,MATCH($B330,元データ_加工!$C$1:$P$1,0)),元データ_加工!$A$2:$A$700,$A330,元データ_加工!$B$2:$B$700,E$5)</f>
        <v>0</v>
      </c>
      <c r="F330" s="26">
        <f>SUMIFS(INDEX(元データ_加工!$C$2:$P$700,0,MATCH($B330,元データ_加工!$C$1:$P$1,0)),元データ_加工!$A$2:$A$700,$A330,元データ_加工!$B$2:$B$700,F$5)</f>
        <v>0</v>
      </c>
      <c r="G330" s="26">
        <f>SUMIFS(INDEX(元データ_加工!$C$2:$P$700,0,MATCH($B330,元データ_加工!$C$1:$P$1,0)),元データ_加工!$A$2:$A$700,$A330,元データ_加工!$B$2:$B$700,G$5)</f>
        <v>0</v>
      </c>
      <c r="H330" s="26">
        <f>SUMIFS(INDEX(元データ_加工!$C$2:$P$700,0,MATCH($B330,元データ_加工!$C$1:$P$1,0)),元データ_加工!$A$2:$A$700,$A330,元データ_加工!$B$2:$B$700,H$5)</f>
        <v>0</v>
      </c>
      <c r="I330" s="26">
        <f>SUMIFS(INDEX(元データ_加工!$C$2:$P$700,0,MATCH($B330,元データ_加工!$C$1:$P$1,0)),元データ_加工!$A$2:$A$700,$A330,元データ_加工!$B$2:$B$700,I$5)</f>
        <v>1</v>
      </c>
      <c r="J330" s="26">
        <f>SUMIFS(INDEX(元データ_加工!$C$2:$P$700,0,MATCH($B330,元データ_加工!$C$1:$P$1,0)),元データ_加工!$A$2:$A$700,$A330,元データ_加工!$B$2:$B$700,J$5)</f>
        <v>9</v>
      </c>
      <c r="K330" s="26">
        <f>SUMIFS(INDEX(元データ_加工!$C$2:$P$700,0,MATCH($B330,元データ_加工!$C$1:$P$1,0)),元データ_加工!$A$2:$A$700,$A330,元データ_加工!$B$2:$B$700,K$5)</f>
        <v>11</v>
      </c>
      <c r="L330" s="26">
        <f>SUMIFS(INDEX(元データ_加工!$C$2:$P$700,0,MATCH($B330,元データ_加工!$C$1:$P$1,0)),元データ_加工!$A$2:$A$700,$A330,元データ_加工!$B$2:$B$700,L$5)</f>
        <v>0</v>
      </c>
      <c r="M330" s="26">
        <f>SUMIFS(INDEX(元データ_加工!$C$2:$P$700,0,MATCH($B330,元データ_加工!$C$1:$P$1,0)),元データ_加工!$A$2:$A$700,$A330,元データ_加工!$B$2:$B$700,M$5)</f>
        <v>0</v>
      </c>
      <c r="N330" s="26">
        <f>SUMIFS(INDEX(元データ_加工!$C$2:$P$700,0,MATCH($B330,元データ_加工!$C$1:$P$1,0)),元データ_加工!$A$2:$A$700,$A330,元データ_加工!$B$2:$B$700,N$5)</f>
        <v>0</v>
      </c>
      <c r="O330" s="26">
        <f t="shared" si="5"/>
        <v>21</v>
      </c>
      <c r="P330" s="7">
        <f>IFERROR(O330/SUMIFS(元データ_加工!$C$2:$C$700,元データ_加工!$A$2:$A$700,$A330),"")</f>
        <v>4.3400983755631793E-4</v>
      </c>
    </row>
    <row r="331" spans="1:16" x14ac:dyDescent="0.45">
      <c r="A331" t="s">
        <v>58</v>
      </c>
      <c r="B331" t="s">
        <v>103</v>
      </c>
      <c r="C331" s="26">
        <f>SUMIFS(INDEX(元データ_加工!$C$2:$P$700,0,MATCH($B331,元データ_加工!$C$1:$P$1,0)),元データ_加工!$A$2:$A$700,$A331,元データ_加工!$B$2:$B$700,C$5)</f>
        <v>2</v>
      </c>
      <c r="D331" s="26">
        <f>SUMIFS(INDEX(元データ_加工!$C$2:$P$700,0,MATCH($B331,元データ_加工!$C$1:$P$1,0)),元データ_加工!$A$2:$A$700,$A331,元データ_加工!$B$2:$B$700,D$5)</f>
        <v>0</v>
      </c>
      <c r="E331" s="26">
        <f>SUMIFS(INDEX(元データ_加工!$C$2:$P$700,0,MATCH($B331,元データ_加工!$C$1:$P$1,0)),元データ_加工!$A$2:$A$700,$A331,元データ_加工!$B$2:$B$700,E$5)</f>
        <v>4</v>
      </c>
      <c r="F331" s="26">
        <f>SUMIFS(INDEX(元データ_加工!$C$2:$P$700,0,MATCH($B331,元データ_加工!$C$1:$P$1,0)),元データ_加工!$A$2:$A$700,$A331,元データ_加工!$B$2:$B$700,F$5)</f>
        <v>16</v>
      </c>
      <c r="G331" s="26">
        <f>SUMIFS(INDEX(元データ_加工!$C$2:$P$700,0,MATCH($B331,元データ_加工!$C$1:$P$1,0)),元データ_加工!$A$2:$A$700,$A331,元データ_加工!$B$2:$B$700,G$5)</f>
        <v>8</v>
      </c>
      <c r="H331" s="26">
        <f>SUMIFS(INDEX(元データ_加工!$C$2:$P$700,0,MATCH($B331,元データ_加工!$C$1:$P$1,0)),元データ_加工!$A$2:$A$700,$A331,元データ_加工!$B$2:$B$700,H$5)</f>
        <v>14</v>
      </c>
      <c r="I331" s="26">
        <f>SUMIFS(INDEX(元データ_加工!$C$2:$P$700,0,MATCH($B331,元データ_加工!$C$1:$P$1,0)),元データ_加工!$A$2:$A$700,$A331,元データ_加工!$B$2:$B$700,I$5)</f>
        <v>19</v>
      </c>
      <c r="J331" s="26">
        <f>SUMIFS(INDEX(元データ_加工!$C$2:$P$700,0,MATCH($B331,元データ_加工!$C$1:$P$1,0)),元データ_加工!$A$2:$A$700,$A331,元データ_加工!$B$2:$B$700,J$5)</f>
        <v>5</v>
      </c>
      <c r="K331" s="26">
        <f>SUMIFS(INDEX(元データ_加工!$C$2:$P$700,0,MATCH($B331,元データ_加工!$C$1:$P$1,0)),元データ_加工!$A$2:$A$700,$A331,元データ_加工!$B$2:$B$700,K$5)</f>
        <v>10</v>
      </c>
      <c r="L331" s="26">
        <f>SUMIFS(INDEX(元データ_加工!$C$2:$P$700,0,MATCH($B331,元データ_加工!$C$1:$P$1,0)),元データ_加工!$A$2:$A$700,$A331,元データ_加工!$B$2:$B$700,L$5)</f>
        <v>3</v>
      </c>
      <c r="M331" s="26">
        <f>SUMIFS(INDEX(元データ_加工!$C$2:$P$700,0,MATCH($B331,元データ_加工!$C$1:$P$1,0)),元データ_加工!$A$2:$A$700,$A331,元データ_加工!$B$2:$B$700,M$5)</f>
        <v>3</v>
      </c>
      <c r="N331" s="26">
        <f>SUMIFS(INDEX(元データ_加工!$C$2:$P$700,0,MATCH($B331,元データ_加工!$C$1:$P$1,0)),元データ_加工!$A$2:$A$700,$A331,元データ_加工!$B$2:$B$700,N$5)</f>
        <v>1</v>
      </c>
      <c r="O331" s="26">
        <f t="shared" si="5"/>
        <v>85</v>
      </c>
      <c r="P331" s="7">
        <f>IFERROR(O331/SUMIFS(元データ_加工!$C$2:$C$700,元データ_加工!$A$2:$A$700,$A331),"")</f>
        <v>1.7567064853470011E-3</v>
      </c>
    </row>
    <row r="332" spans="1:16" x14ac:dyDescent="0.45">
      <c r="A332" t="s">
        <v>58</v>
      </c>
      <c r="B332" t="s">
        <v>104</v>
      </c>
      <c r="C332" s="26">
        <f>SUMIFS(INDEX(元データ_加工!$C$2:$P$700,0,MATCH($B332,元データ_加工!$C$1:$P$1,0)),元データ_加工!$A$2:$A$700,$A332,元データ_加工!$B$2:$B$700,C$5)</f>
        <v>62</v>
      </c>
      <c r="D332" s="26">
        <f>SUMIFS(INDEX(元データ_加工!$C$2:$P$700,0,MATCH($B332,元データ_加工!$C$1:$P$1,0)),元データ_加工!$A$2:$A$700,$A332,元データ_加工!$B$2:$B$700,D$5)</f>
        <v>32</v>
      </c>
      <c r="E332" s="26">
        <f>SUMIFS(INDEX(元データ_加工!$C$2:$P$700,0,MATCH($B332,元データ_加工!$C$1:$P$1,0)),元データ_加工!$A$2:$A$700,$A332,元データ_加工!$B$2:$B$700,E$5)</f>
        <v>68</v>
      </c>
      <c r="F332" s="26">
        <f>SUMIFS(INDEX(元データ_加工!$C$2:$P$700,0,MATCH($B332,元データ_加工!$C$1:$P$1,0)),元データ_加工!$A$2:$A$700,$A332,元データ_加工!$B$2:$B$700,F$5)</f>
        <v>97</v>
      </c>
      <c r="G332" s="26">
        <f>SUMIFS(INDEX(元データ_加工!$C$2:$P$700,0,MATCH($B332,元データ_加工!$C$1:$P$1,0)),元データ_加工!$A$2:$A$700,$A332,元データ_加工!$B$2:$B$700,G$5)</f>
        <v>108</v>
      </c>
      <c r="H332" s="26">
        <f>SUMIFS(INDEX(元データ_加工!$C$2:$P$700,0,MATCH($B332,元データ_加工!$C$1:$P$1,0)),元データ_加工!$A$2:$A$700,$A332,元データ_加工!$B$2:$B$700,H$5)</f>
        <v>39</v>
      </c>
      <c r="I332" s="26">
        <f>SUMIFS(INDEX(元データ_加工!$C$2:$P$700,0,MATCH($B332,元データ_加工!$C$1:$P$1,0)),元データ_加工!$A$2:$A$700,$A332,元データ_加工!$B$2:$B$700,I$5)</f>
        <v>36</v>
      </c>
      <c r="J332" s="26">
        <f>SUMIFS(INDEX(元データ_加工!$C$2:$P$700,0,MATCH($B332,元データ_加工!$C$1:$P$1,0)),元データ_加工!$A$2:$A$700,$A332,元データ_加工!$B$2:$B$700,J$5)</f>
        <v>247</v>
      </c>
      <c r="K332" s="26">
        <f>SUMIFS(INDEX(元データ_加工!$C$2:$P$700,0,MATCH($B332,元データ_加工!$C$1:$P$1,0)),元データ_加工!$A$2:$A$700,$A332,元データ_加工!$B$2:$B$700,K$5)</f>
        <v>233</v>
      </c>
      <c r="L332" s="26">
        <f>SUMIFS(INDEX(元データ_加工!$C$2:$P$700,0,MATCH($B332,元データ_加工!$C$1:$P$1,0)),元データ_加工!$A$2:$A$700,$A332,元データ_加工!$B$2:$B$700,L$5)</f>
        <v>164</v>
      </c>
      <c r="M332" s="26">
        <f>SUMIFS(INDEX(元データ_加工!$C$2:$P$700,0,MATCH($B332,元データ_加工!$C$1:$P$1,0)),元データ_加工!$A$2:$A$700,$A332,元データ_加工!$B$2:$B$700,M$5)</f>
        <v>131</v>
      </c>
      <c r="N332" s="26">
        <f>SUMIFS(INDEX(元データ_加工!$C$2:$P$700,0,MATCH($B332,元データ_加工!$C$1:$P$1,0)),元データ_加工!$A$2:$A$700,$A332,元データ_加工!$B$2:$B$700,N$5)</f>
        <v>115</v>
      </c>
      <c r="O332" s="26">
        <f t="shared" si="5"/>
        <v>1332</v>
      </c>
      <c r="P332" s="7">
        <f>IFERROR(O332/SUMIFS(元データ_加工!$C$2:$C$700,元データ_加工!$A$2:$A$700,$A332),"")</f>
        <v>2.7528623982143594E-2</v>
      </c>
    </row>
    <row r="333" spans="1:16" x14ac:dyDescent="0.45">
      <c r="A333" t="s">
        <v>58</v>
      </c>
      <c r="B333" t="s">
        <v>105</v>
      </c>
      <c r="C333" s="26">
        <f>SUMIFS(INDEX(元データ_加工!$C$2:$P$700,0,MATCH($B333,元データ_加工!$C$1:$P$1,0)),元データ_加工!$A$2:$A$700,$A333,元データ_加工!$B$2:$B$700,C$5)</f>
        <v>14</v>
      </c>
      <c r="D333" s="26">
        <f>SUMIFS(INDEX(元データ_加工!$C$2:$P$700,0,MATCH($B333,元データ_加工!$C$1:$P$1,0)),元データ_加工!$A$2:$A$700,$A333,元データ_加工!$B$2:$B$700,D$5)</f>
        <v>20</v>
      </c>
      <c r="E333" s="26">
        <f>SUMIFS(INDEX(元データ_加工!$C$2:$P$700,0,MATCH($B333,元データ_加工!$C$1:$P$1,0)),元データ_加工!$A$2:$A$700,$A333,元データ_加工!$B$2:$B$700,E$5)</f>
        <v>49</v>
      </c>
      <c r="F333" s="26">
        <f>SUMIFS(INDEX(元データ_加工!$C$2:$P$700,0,MATCH($B333,元データ_加工!$C$1:$P$1,0)),元データ_加工!$A$2:$A$700,$A333,元データ_加工!$B$2:$B$700,F$5)</f>
        <v>32</v>
      </c>
      <c r="G333" s="26">
        <f>SUMIFS(INDEX(元データ_加工!$C$2:$P$700,0,MATCH($B333,元データ_加工!$C$1:$P$1,0)),元データ_加工!$A$2:$A$700,$A333,元データ_加工!$B$2:$B$700,G$5)</f>
        <v>7</v>
      </c>
      <c r="H333" s="26">
        <f>SUMIFS(INDEX(元データ_加工!$C$2:$P$700,0,MATCH($B333,元データ_加工!$C$1:$P$1,0)),元データ_加工!$A$2:$A$700,$A333,元データ_加工!$B$2:$B$700,H$5)</f>
        <v>12</v>
      </c>
      <c r="I333" s="26">
        <f>SUMIFS(INDEX(元データ_加工!$C$2:$P$700,0,MATCH($B333,元データ_加工!$C$1:$P$1,0)),元データ_加工!$A$2:$A$700,$A333,元データ_加工!$B$2:$B$700,I$5)</f>
        <v>36</v>
      </c>
      <c r="J333" s="26">
        <f>SUMIFS(INDEX(元データ_加工!$C$2:$P$700,0,MATCH($B333,元データ_加工!$C$1:$P$1,0)),元データ_加工!$A$2:$A$700,$A333,元データ_加工!$B$2:$B$700,J$5)</f>
        <v>82</v>
      </c>
      <c r="K333" s="26">
        <f>SUMIFS(INDEX(元データ_加工!$C$2:$P$700,0,MATCH($B333,元データ_加工!$C$1:$P$1,0)),元データ_加工!$A$2:$A$700,$A333,元データ_加工!$B$2:$B$700,K$5)</f>
        <v>158</v>
      </c>
      <c r="L333" s="26">
        <f>SUMIFS(INDEX(元データ_加工!$C$2:$P$700,0,MATCH($B333,元データ_加工!$C$1:$P$1,0)),元データ_加工!$A$2:$A$700,$A333,元データ_加工!$B$2:$B$700,L$5)</f>
        <v>108</v>
      </c>
      <c r="M333" s="26">
        <f>SUMIFS(INDEX(元データ_加工!$C$2:$P$700,0,MATCH($B333,元データ_加工!$C$1:$P$1,0)),元データ_加工!$A$2:$A$700,$A333,元データ_加工!$B$2:$B$700,M$5)</f>
        <v>66</v>
      </c>
      <c r="N333" s="26">
        <f>SUMIFS(INDEX(元データ_加工!$C$2:$P$700,0,MATCH($B333,元データ_加工!$C$1:$P$1,0)),元データ_加工!$A$2:$A$700,$A333,元データ_加工!$B$2:$B$700,N$5)</f>
        <v>34</v>
      </c>
      <c r="O333" s="26">
        <f t="shared" si="5"/>
        <v>618</v>
      </c>
      <c r="P333" s="7">
        <f>IFERROR(O333/SUMIFS(元データ_加工!$C$2:$C$700,元データ_加工!$A$2:$A$700,$A333),"")</f>
        <v>1.2772289505228785E-2</v>
      </c>
    </row>
    <row r="334" spans="1:16" x14ac:dyDescent="0.45">
      <c r="A334" t="s">
        <v>58</v>
      </c>
      <c r="B334" t="s">
        <v>106</v>
      </c>
      <c r="C334" s="26">
        <f>SUMIFS(INDEX(元データ_加工!$C$2:$P$700,0,MATCH($B334,元データ_加工!$C$1:$P$1,0)),元データ_加工!$A$2:$A$700,$A334,元データ_加工!$B$2:$B$700,C$5)</f>
        <v>518</v>
      </c>
      <c r="D334" s="26">
        <f>SUMIFS(INDEX(元データ_加工!$C$2:$P$700,0,MATCH($B334,元データ_加工!$C$1:$P$1,0)),元データ_加工!$A$2:$A$700,$A334,元データ_加工!$B$2:$B$700,D$5)</f>
        <v>478</v>
      </c>
      <c r="E334" s="26">
        <f>SUMIFS(INDEX(元データ_加工!$C$2:$P$700,0,MATCH($B334,元データ_加工!$C$1:$P$1,0)),元データ_加工!$A$2:$A$700,$A334,元データ_加工!$B$2:$B$700,E$5)</f>
        <v>567</v>
      </c>
      <c r="F334" s="26">
        <f>SUMIFS(INDEX(元データ_加工!$C$2:$P$700,0,MATCH($B334,元データ_加工!$C$1:$P$1,0)),元データ_加工!$A$2:$A$700,$A334,元データ_加工!$B$2:$B$700,F$5)</f>
        <v>525</v>
      </c>
      <c r="G334" s="26">
        <f>SUMIFS(INDEX(元データ_加工!$C$2:$P$700,0,MATCH($B334,元データ_加工!$C$1:$P$1,0)),元データ_加工!$A$2:$A$700,$A334,元データ_加工!$B$2:$B$700,G$5)</f>
        <v>515</v>
      </c>
      <c r="H334" s="26">
        <f>SUMIFS(INDEX(元データ_加工!$C$2:$P$700,0,MATCH($B334,元データ_加工!$C$1:$P$1,0)),元データ_加工!$A$2:$A$700,$A334,元データ_加工!$B$2:$B$700,H$5)</f>
        <v>291</v>
      </c>
      <c r="I334" s="26">
        <f>SUMIFS(INDEX(元データ_加工!$C$2:$P$700,0,MATCH($B334,元データ_加工!$C$1:$P$1,0)),元データ_加工!$A$2:$A$700,$A334,元データ_加工!$B$2:$B$700,I$5)</f>
        <v>263</v>
      </c>
      <c r="J334" s="26">
        <f>SUMIFS(INDEX(元データ_加工!$C$2:$P$700,0,MATCH($B334,元データ_加工!$C$1:$P$1,0)),元データ_加工!$A$2:$A$700,$A334,元データ_加工!$B$2:$B$700,J$5)</f>
        <v>342</v>
      </c>
      <c r="K334" s="26">
        <f>SUMIFS(INDEX(元データ_加工!$C$2:$P$700,0,MATCH($B334,元データ_加工!$C$1:$P$1,0)),元データ_加工!$A$2:$A$700,$A334,元データ_加工!$B$2:$B$700,K$5)</f>
        <v>581</v>
      </c>
      <c r="L334" s="26">
        <f>SUMIFS(INDEX(元データ_加工!$C$2:$P$700,0,MATCH($B334,元データ_加工!$C$1:$P$1,0)),元データ_加工!$A$2:$A$700,$A334,元データ_加工!$B$2:$B$700,L$5)</f>
        <v>547</v>
      </c>
      <c r="M334" s="26">
        <f>SUMIFS(INDEX(元データ_加工!$C$2:$P$700,0,MATCH($B334,元データ_加工!$C$1:$P$1,0)),元データ_加工!$A$2:$A$700,$A334,元データ_加工!$B$2:$B$700,M$5)</f>
        <v>508</v>
      </c>
      <c r="N334" s="26">
        <f>SUMIFS(INDEX(元データ_加工!$C$2:$P$700,0,MATCH($B334,元データ_加工!$C$1:$P$1,0)),元データ_加工!$A$2:$A$700,$A334,元データ_加工!$B$2:$B$700,N$5)</f>
        <v>564</v>
      </c>
      <c r="O334" s="26">
        <f t="shared" si="5"/>
        <v>5699</v>
      </c>
      <c r="P334" s="7">
        <f>IFERROR(O334/SUMIFS(元データ_加工!$C$2:$C$700,元データ_加工!$A$2:$A$700,$A334),"")</f>
        <v>0.117782003058736</v>
      </c>
    </row>
    <row r="335" spans="1:16" x14ac:dyDescent="0.45">
      <c r="A335" t="s">
        <v>58</v>
      </c>
      <c r="B335" t="s">
        <v>107</v>
      </c>
      <c r="C335" s="26">
        <f>SUMIFS(INDEX(元データ_加工!$C$2:$P$700,0,MATCH($B335,元データ_加工!$C$1:$P$1,0)),元データ_加工!$A$2:$A$700,$A335,元データ_加工!$B$2:$B$700,C$5)</f>
        <v>73</v>
      </c>
      <c r="D335" s="26">
        <f>SUMIFS(INDEX(元データ_加工!$C$2:$P$700,0,MATCH($B335,元データ_加工!$C$1:$P$1,0)),元データ_加工!$A$2:$A$700,$A335,元データ_加工!$B$2:$B$700,D$5)</f>
        <v>64</v>
      </c>
      <c r="E335" s="26">
        <f>SUMIFS(INDEX(元データ_加工!$C$2:$P$700,0,MATCH($B335,元データ_加工!$C$1:$P$1,0)),元データ_加工!$A$2:$A$700,$A335,元データ_加工!$B$2:$B$700,E$5)</f>
        <v>86</v>
      </c>
      <c r="F335" s="26">
        <f>SUMIFS(INDEX(元データ_加工!$C$2:$P$700,0,MATCH($B335,元データ_加工!$C$1:$P$1,0)),元データ_加工!$A$2:$A$700,$A335,元データ_加工!$B$2:$B$700,F$5)</f>
        <v>46</v>
      </c>
      <c r="G335" s="26">
        <f>SUMIFS(INDEX(元データ_加工!$C$2:$P$700,0,MATCH($B335,元データ_加工!$C$1:$P$1,0)),元データ_加工!$A$2:$A$700,$A335,元データ_加工!$B$2:$B$700,G$5)</f>
        <v>37</v>
      </c>
      <c r="H335" s="26">
        <f>SUMIFS(INDEX(元データ_加工!$C$2:$P$700,0,MATCH($B335,元データ_加工!$C$1:$P$1,0)),元データ_加工!$A$2:$A$700,$A335,元データ_加工!$B$2:$B$700,H$5)</f>
        <v>19</v>
      </c>
      <c r="I335" s="26">
        <f>SUMIFS(INDEX(元データ_加工!$C$2:$P$700,0,MATCH($B335,元データ_加工!$C$1:$P$1,0)),元データ_加工!$A$2:$A$700,$A335,元データ_加工!$B$2:$B$700,I$5)</f>
        <v>23</v>
      </c>
      <c r="J335" s="26">
        <f>SUMIFS(INDEX(元データ_加工!$C$2:$P$700,0,MATCH($B335,元データ_加工!$C$1:$P$1,0)),元データ_加工!$A$2:$A$700,$A335,元データ_加工!$B$2:$B$700,J$5)</f>
        <v>42</v>
      </c>
      <c r="K335" s="26">
        <f>SUMIFS(INDEX(元データ_加工!$C$2:$P$700,0,MATCH($B335,元データ_加工!$C$1:$P$1,0)),元データ_加工!$A$2:$A$700,$A335,元データ_加工!$B$2:$B$700,K$5)</f>
        <v>32</v>
      </c>
      <c r="L335" s="26">
        <f>SUMIFS(INDEX(元データ_加工!$C$2:$P$700,0,MATCH($B335,元データ_加工!$C$1:$P$1,0)),元データ_加工!$A$2:$A$700,$A335,元データ_加工!$B$2:$B$700,L$5)</f>
        <v>32</v>
      </c>
      <c r="M335" s="26">
        <f>SUMIFS(INDEX(元データ_加工!$C$2:$P$700,0,MATCH($B335,元データ_加工!$C$1:$P$1,0)),元データ_加工!$A$2:$A$700,$A335,元データ_加工!$B$2:$B$700,M$5)</f>
        <v>35</v>
      </c>
      <c r="N335" s="26">
        <f>SUMIFS(INDEX(元データ_加工!$C$2:$P$700,0,MATCH($B335,元データ_加工!$C$1:$P$1,0)),元データ_加工!$A$2:$A$700,$A335,元データ_加工!$B$2:$B$700,N$5)</f>
        <v>78</v>
      </c>
      <c r="O335" s="26">
        <f t="shared" si="5"/>
        <v>567</v>
      </c>
      <c r="P335" s="7">
        <f>IFERROR(O335/SUMIFS(元データ_加工!$C$2:$C$700,元データ_加工!$A$2:$A$700,$A335),"")</f>
        <v>1.1718265614020585E-2</v>
      </c>
    </row>
    <row r="336" spans="1:16" x14ac:dyDescent="0.45">
      <c r="A336" t="s">
        <v>58</v>
      </c>
      <c r="B336" t="s">
        <v>108</v>
      </c>
      <c r="C336" s="26">
        <f>SUMIFS(INDEX(元データ_加工!$C$2:$P$700,0,MATCH($B336,元データ_加工!$C$1:$P$1,0)),元データ_加工!$A$2:$A$700,$A336,元データ_加工!$B$2:$B$700,C$5)</f>
        <v>5</v>
      </c>
      <c r="D336" s="26">
        <f>SUMIFS(INDEX(元データ_加工!$C$2:$P$700,0,MATCH($B336,元データ_加工!$C$1:$P$1,0)),元データ_加工!$A$2:$A$700,$A336,元データ_加工!$B$2:$B$700,D$5)</f>
        <v>31</v>
      </c>
      <c r="E336" s="26">
        <f>SUMIFS(INDEX(元データ_加工!$C$2:$P$700,0,MATCH($B336,元データ_加工!$C$1:$P$1,0)),元データ_加工!$A$2:$A$700,$A336,元データ_加工!$B$2:$B$700,E$5)</f>
        <v>29</v>
      </c>
      <c r="F336" s="26">
        <f>SUMIFS(INDEX(元データ_加工!$C$2:$P$700,0,MATCH($B336,元データ_加工!$C$1:$P$1,0)),元データ_加工!$A$2:$A$700,$A336,元データ_加工!$B$2:$B$700,F$5)</f>
        <v>15</v>
      </c>
      <c r="G336" s="26">
        <f>SUMIFS(INDEX(元データ_加工!$C$2:$P$700,0,MATCH($B336,元データ_加工!$C$1:$P$1,0)),元データ_加工!$A$2:$A$700,$A336,元データ_加工!$B$2:$B$700,G$5)</f>
        <v>32</v>
      </c>
      <c r="H336" s="26">
        <f>SUMIFS(INDEX(元データ_加工!$C$2:$P$700,0,MATCH($B336,元データ_加工!$C$1:$P$1,0)),元データ_加工!$A$2:$A$700,$A336,元データ_加工!$B$2:$B$700,H$5)</f>
        <v>5</v>
      </c>
      <c r="I336" s="26">
        <f>SUMIFS(INDEX(元データ_加工!$C$2:$P$700,0,MATCH($B336,元データ_加工!$C$1:$P$1,0)),元データ_加工!$A$2:$A$700,$A336,元データ_加工!$B$2:$B$700,I$5)</f>
        <v>9</v>
      </c>
      <c r="J336" s="26">
        <f>SUMIFS(INDEX(元データ_加工!$C$2:$P$700,0,MATCH($B336,元データ_加工!$C$1:$P$1,0)),元データ_加工!$A$2:$A$700,$A336,元データ_加工!$B$2:$B$700,J$5)</f>
        <v>3</v>
      </c>
      <c r="K336" s="26">
        <f>SUMIFS(INDEX(元データ_加工!$C$2:$P$700,0,MATCH($B336,元データ_加工!$C$1:$P$1,0)),元データ_加工!$A$2:$A$700,$A336,元データ_加工!$B$2:$B$700,K$5)</f>
        <v>6</v>
      </c>
      <c r="L336" s="26">
        <f>SUMIFS(INDEX(元データ_加工!$C$2:$P$700,0,MATCH($B336,元データ_加工!$C$1:$P$1,0)),元データ_加工!$A$2:$A$700,$A336,元データ_加工!$B$2:$B$700,L$5)</f>
        <v>3</v>
      </c>
      <c r="M336" s="26">
        <f>SUMIFS(INDEX(元データ_加工!$C$2:$P$700,0,MATCH($B336,元データ_加工!$C$1:$P$1,0)),元データ_加工!$A$2:$A$700,$A336,元データ_加工!$B$2:$B$700,M$5)</f>
        <v>1</v>
      </c>
      <c r="N336" s="26">
        <f>SUMIFS(INDEX(元データ_加工!$C$2:$P$700,0,MATCH($B336,元データ_加工!$C$1:$P$1,0)),元データ_加工!$A$2:$A$700,$A336,元データ_加工!$B$2:$B$700,N$5)</f>
        <v>5</v>
      </c>
      <c r="O336" s="26">
        <f t="shared" si="5"/>
        <v>144</v>
      </c>
      <c r="P336" s="7">
        <f>IFERROR(O336/SUMIFS(元データ_加工!$C$2:$C$700,元データ_加工!$A$2:$A$700,$A336),"")</f>
        <v>2.9760674575290374E-3</v>
      </c>
    </row>
    <row r="337" spans="1:16" x14ac:dyDescent="0.45">
      <c r="A337" t="s">
        <v>58</v>
      </c>
      <c r="B337" t="s">
        <v>109</v>
      </c>
      <c r="C337" s="26">
        <f>SUMIFS(INDEX(元データ_加工!$C$2:$P$700,0,MATCH($B337,元データ_加工!$C$1:$P$1,0)),元データ_加工!$A$2:$A$700,$A337,元データ_加工!$B$2:$B$700,C$5)</f>
        <v>118</v>
      </c>
      <c r="D337" s="26">
        <f>SUMIFS(INDEX(元データ_加工!$C$2:$P$700,0,MATCH($B337,元データ_加工!$C$1:$P$1,0)),元データ_加工!$A$2:$A$700,$A337,元データ_加工!$B$2:$B$700,D$5)</f>
        <v>128</v>
      </c>
      <c r="E337" s="26">
        <f>SUMIFS(INDEX(元データ_加工!$C$2:$P$700,0,MATCH($B337,元データ_加工!$C$1:$P$1,0)),元データ_加工!$A$2:$A$700,$A337,元データ_加工!$B$2:$B$700,E$5)</f>
        <v>217</v>
      </c>
      <c r="F337" s="26">
        <f>SUMIFS(INDEX(元データ_加工!$C$2:$P$700,0,MATCH($B337,元データ_加工!$C$1:$P$1,0)),元データ_加工!$A$2:$A$700,$A337,元データ_加工!$B$2:$B$700,F$5)</f>
        <v>156</v>
      </c>
      <c r="G337" s="26">
        <f>SUMIFS(INDEX(元データ_加工!$C$2:$P$700,0,MATCH($B337,元データ_加工!$C$1:$P$1,0)),元データ_加工!$A$2:$A$700,$A337,元データ_加工!$B$2:$B$700,G$5)</f>
        <v>147</v>
      </c>
      <c r="H337" s="26">
        <f>SUMIFS(INDEX(元データ_加工!$C$2:$P$700,0,MATCH($B337,元データ_加工!$C$1:$P$1,0)),元データ_加工!$A$2:$A$700,$A337,元データ_加工!$B$2:$B$700,H$5)</f>
        <v>144</v>
      </c>
      <c r="I337" s="26">
        <f>SUMIFS(INDEX(元データ_加工!$C$2:$P$700,0,MATCH($B337,元データ_加工!$C$1:$P$1,0)),元データ_加工!$A$2:$A$700,$A337,元データ_加工!$B$2:$B$700,I$5)</f>
        <v>105</v>
      </c>
      <c r="J337" s="26">
        <f>SUMIFS(INDEX(元データ_加工!$C$2:$P$700,0,MATCH($B337,元データ_加工!$C$1:$P$1,0)),元データ_加工!$A$2:$A$700,$A337,元データ_加工!$B$2:$B$700,J$5)</f>
        <v>153</v>
      </c>
      <c r="K337" s="26">
        <f>SUMIFS(INDEX(元データ_加工!$C$2:$P$700,0,MATCH($B337,元データ_加工!$C$1:$P$1,0)),元データ_加工!$A$2:$A$700,$A337,元データ_加工!$B$2:$B$700,K$5)</f>
        <v>150</v>
      </c>
      <c r="L337" s="26">
        <f>SUMIFS(INDEX(元データ_加工!$C$2:$P$700,0,MATCH($B337,元データ_加工!$C$1:$P$1,0)),元データ_加工!$A$2:$A$700,$A337,元データ_加工!$B$2:$B$700,L$5)</f>
        <v>78</v>
      </c>
      <c r="M337" s="26">
        <f>SUMIFS(INDEX(元データ_加工!$C$2:$P$700,0,MATCH($B337,元データ_加工!$C$1:$P$1,0)),元データ_加工!$A$2:$A$700,$A337,元データ_加工!$B$2:$B$700,M$5)</f>
        <v>141</v>
      </c>
      <c r="N337" s="26">
        <f>SUMIFS(INDEX(元データ_加工!$C$2:$P$700,0,MATCH($B337,元データ_加工!$C$1:$P$1,0)),元データ_加工!$A$2:$A$700,$A337,元データ_加工!$B$2:$B$700,N$5)</f>
        <v>144</v>
      </c>
      <c r="O337" s="26">
        <f t="shared" si="5"/>
        <v>1681</v>
      </c>
      <c r="P337" s="7">
        <f>IFERROR(O337/SUMIFS(元データ_加工!$C$2:$C$700,元データ_加工!$A$2:$A$700,$A337),"")</f>
        <v>3.4741454139627162E-2</v>
      </c>
    </row>
    <row r="338" spans="1:16" x14ac:dyDescent="0.45">
      <c r="A338" t="s">
        <v>58</v>
      </c>
      <c r="B338" t="s">
        <v>110</v>
      </c>
      <c r="C338" s="26">
        <f>SUMIFS(INDEX(元データ_加工!$C$2:$P$700,0,MATCH($B338,元データ_加工!$C$1:$P$1,0)),元データ_加工!$A$2:$A$700,$A338,元データ_加工!$B$2:$B$700,C$5)</f>
        <v>0</v>
      </c>
      <c r="D338" s="26">
        <f>SUMIFS(INDEX(元データ_加工!$C$2:$P$700,0,MATCH($B338,元データ_加工!$C$1:$P$1,0)),元データ_加工!$A$2:$A$700,$A338,元データ_加工!$B$2:$B$700,D$5)</f>
        <v>0</v>
      </c>
      <c r="E338" s="26">
        <f>SUMIFS(INDEX(元データ_加工!$C$2:$P$700,0,MATCH($B338,元データ_加工!$C$1:$P$1,0)),元データ_加工!$A$2:$A$700,$A338,元データ_加工!$B$2:$B$700,E$5)</f>
        <v>0</v>
      </c>
      <c r="F338" s="26">
        <f>SUMIFS(INDEX(元データ_加工!$C$2:$P$700,0,MATCH($B338,元データ_加工!$C$1:$P$1,0)),元データ_加工!$A$2:$A$700,$A338,元データ_加工!$B$2:$B$700,F$5)</f>
        <v>0</v>
      </c>
      <c r="G338" s="26">
        <f>SUMIFS(INDEX(元データ_加工!$C$2:$P$700,0,MATCH($B338,元データ_加工!$C$1:$P$1,0)),元データ_加工!$A$2:$A$700,$A338,元データ_加工!$B$2:$B$700,G$5)</f>
        <v>0</v>
      </c>
      <c r="H338" s="26">
        <f>SUMIFS(INDEX(元データ_加工!$C$2:$P$700,0,MATCH($B338,元データ_加工!$C$1:$P$1,0)),元データ_加工!$A$2:$A$700,$A338,元データ_加工!$B$2:$B$700,H$5)</f>
        <v>0</v>
      </c>
      <c r="I338" s="26">
        <f>SUMIFS(INDEX(元データ_加工!$C$2:$P$700,0,MATCH($B338,元データ_加工!$C$1:$P$1,0)),元データ_加工!$A$2:$A$700,$A338,元データ_加工!$B$2:$B$700,I$5)</f>
        <v>0</v>
      </c>
      <c r="J338" s="26">
        <f>SUMIFS(INDEX(元データ_加工!$C$2:$P$700,0,MATCH($B338,元データ_加工!$C$1:$P$1,0)),元データ_加工!$A$2:$A$700,$A338,元データ_加工!$B$2:$B$700,J$5)</f>
        <v>0</v>
      </c>
      <c r="K338" s="26">
        <f>SUMIFS(INDEX(元データ_加工!$C$2:$P$700,0,MATCH($B338,元データ_加工!$C$1:$P$1,0)),元データ_加工!$A$2:$A$700,$A338,元データ_加工!$B$2:$B$700,K$5)</f>
        <v>0</v>
      </c>
      <c r="L338" s="26">
        <f>SUMIFS(INDEX(元データ_加工!$C$2:$P$700,0,MATCH($B338,元データ_加工!$C$1:$P$1,0)),元データ_加工!$A$2:$A$700,$A338,元データ_加工!$B$2:$B$700,L$5)</f>
        <v>0</v>
      </c>
      <c r="M338" s="26">
        <f>SUMIFS(INDEX(元データ_加工!$C$2:$P$700,0,MATCH($B338,元データ_加工!$C$1:$P$1,0)),元データ_加工!$A$2:$A$700,$A338,元データ_加工!$B$2:$B$700,M$5)</f>
        <v>0</v>
      </c>
      <c r="N338" s="26">
        <f>SUMIFS(INDEX(元データ_加工!$C$2:$P$700,0,MATCH($B338,元データ_加工!$C$1:$P$1,0)),元データ_加工!$A$2:$A$700,$A338,元データ_加工!$B$2:$B$700,N$5)</f>
        <v>0</v>
      </c>
      <c r="O338" s="26">
        <f t="shared" si="5"/>
        <v>0</v>
      </c>
      <c r="P338" s="7">
        <f>IFERROR(O338/SUMIFS(元データ_加工!$C$2:$C$700,元データ_加工!$A$2:$A$700,$A338),"")</f>
        <v>0</v>
      </c>
    </row>
    <row r="339" spans="1:16" x14ac:dyDescent="0.45">
      <c r="A339" t="s">
        <v>58</v>
      </c>
      <c r="B339" t="s">
        <v>111</v>
      </c>
      <c r="C339" s="26">
        <f>SUMIFS(INDEX(元データ_加工!$C$2:$P$700,0,MATCH($B339,元データ_加工!$C$1:$P$1,0)),元データ_加工!$A$2:$A$700,$A339,元データ_加工!$B$2:$B$700,C$5)</f>
        <v>0</v>
      </c>
      <c r="D339" s="26">
        <f>SUMIFS(INDEX(元データ_加工!$C$2:$P$700,0,MATCH($B339,元データ_加工!$C$1:$P$1,0)),元データ_加工!$A$2:$A$700,$A339,元データ_加工!$B$2:$B$700,D$5)</f>
        <v>1</v>
      </c>
      <c r="E339" s="26">
        <f>SUMIFS(INDEX(元データ_加工!$C$2:$P$700,0,MATCH($B339,元データ_加工!$C$1:$P$1,0)),元データ_加工!$A$2:$A$700,$A339,元データ_加工!$B$2:$B$700,E$5)</f>
        <v>0</v>
      </c>
      <c r="F339" s="26">
        <f>SUMIFS(INDEX(元データ_加工!$C$2:$P$700,0,MATCH($B339,元データ_加工!$C$1:$P$1,0)),元データ_加工!$A$2:$A$700,$A339,元データ_加工!$B$2:$B$700,F$5)</f>
        <v>0</v>
      </c>
      <c r="G339" s="26">
        <f>SUMIFS(INDEX(元データ_加工!$C$2:$P$700,0,MATCH($B339,元データ_加工!$C$1:$P$1,0)),元データ_加工!$A$2:$A$700,$A339,元データ_加工!$B$2:$B$700,G$5)</f>
        <v>0</v>
      </c>
      <c r="H339" s="26">
        <f>SUMIFS(INDEX(元データ_加工!$C$2:$P$700,0,MATCH($B339,元データ_加工!$C$1:$P$1,0)),元データ_加工!$A$2:$A$700,$A339,元データ_加工!$B$2:$B$700,H$5)</f>
        <v>0</v>
      </c>
      <c r="I339" s="26">
        <f>SUMIFS(INDEX(元データ_加工!$C$2:$P$700,0,MATCH($B339,元データ_加工!$C$1:$P$1,0)),元データ_加工!$A$2:$A$700,$A339,元データ_加工!$B$2:$B$700,I$5)</f>
        <v>0</v>
      </c>
      <c r="J339" s="26">
        <f>SUMIFS(INDEX(元データ_加工!$C$2:$P$700,0,MATCH($B339,元データ_加工!$C$1:$P$1,0)),元データ_加工!$A$2:$A$700,$A339,元データ_加工!$B$2:$B$700,J$5)</f>
        <v>0</v>
      </c>
      <c r="K339" s="26">
        <f>SUMIFS(INDEX(元データ_加工!$C$2:$P$700,0,MATCH($B339,元データ_加工!$C$1:$P$1,0)),元データ_加工!$A$2:$A$700,$A339,元データ_加工!$B$2:$B$700,K$5)</f>
        <v>0</v>
      </c>
      <c r="L339" s="26">
        <f>SUMIFS(INDEX(元データ_加工!$C$2:$P$700,0,MATCH($B339,元データ_加工!$C$1:$P$1,0)),元データ_加工!$A$2:$A$700,$A339,元データ_加工!$B$2:$B$700,L$5)</f>
        <v>0</v>
      </c>
      <c r="M339" s="26">
        <f>SUMIFS(INDEX(元データ_加工!$C$2:$P$700,0,MATCH($B339,元データ_加工!$C$1:$P$1,0)),元データ_加工!$A$2:$A$700,$A339,元データ_加工!$B$2:$B$700,M$5)</f>
        <v>0</v>
      </c>
      <c r="N339" s="26">
        <f>SUMIFS(INDEX(元データ_加工!$C$2:$P$700,0,MATCH($B339,元データ_加工!$C$1:$P$1,0)),元データ_加工!$A$2:$A$700,$A339,元データ_加工!$B$2:$B$700,N$5)</f>
        <v>2</v>
      </c>
      <c r="O339" s="26">
        <f t="shared" si="5"/>
        <v>3</v>
      </c>
      <c r="P339" s="7">
        <f>IFERROR(O339/SUMIFS(元データ_加工!$C$2:$C$700,元データ_加工!$A$2:$A$700,$A339),"")</f>
        <v>6.200140536518828E-5</v>
      </c>
    </row>
    <row r="340" spans="1:16" x14ac:dyDescent="0.45">
      <c r="A340" t="s">
        <v>58</v>
      </c>
      <c r="B340" t="s">
        <v>112</v>
      </c>
      <c r="C340" s="26">
        <f>SUMIFS(INDEX(元データ_加工!$C$2:$P$700,0,MATCH($B340,元データ_加工!$C$1:$P$1,0)),元データ_加工!$A$2:$A$700,$A340,元データ_加工!$B$2:$B$700,C$5)</f>
        <v>0</v>
      </c>
      <c r="D340" s="26">
        <f>SUMIFS(INDEX(元データ_加工!$C$2:$P$700,0,MATCH($B340,元データ_加工!$C$1:$P$1,0)),元データ_加工!$A$2:$A$700,$A340,元データ_加工!$B$2:$B$700,D$5)</f>
        <v>2</v>
      </c>
      <c r="E340" s="26">
        <f>SUMIFS(INDEX(元データ_加工!$C$2:$P$700,0,MATCH($B340,元データ_加工!$C$1:$P$1,0)),元データ_加工!$A$2:$A$700,$A340,元データ_加工!$B$2:$B$700,E$5)</f>
        <v>2</v>
      </c>
      <c r="F340" s="26">
        <f>SUMIFS(INDEX(元データ_加工!$C$2:$P$700,0,MATCH($B340,元データ_加工!$C$1:$P$1,0)),元データ_加工!$A$2:$A$700,$A340,元データ_加工!$B$2:$B$700,F$5)</f>
        <v>4</v>
      </c>
      <c r="G340" s="26">
        <f>SUMIFS(INDEX(元データ_加工!$C$2:$P$700,0,MATCH($B340,元データ_加工!$C$1:$P$1,0)),元データ_加工!$A$2:$A$700,$A340,元データ_加工!$B$2:$B$700,G$5)</f>
        <v>1</v>
      </c>
      <c r="H340" s="26">
        <f>SUMIFS(INDEX(元データ_加工!$C$2:$P$700,0,MATCH($B340,元データ_加工!$C$1:$P$1,0)),元データ_加工!$A$2:$A$700,$A340,元データ_加工!$B$2:$B$700,H$5)</f>
        <v>0</v>
      </c>
      <c r="I340" s="26">
        <f>SUMIFS(INDEX(元データ_加工!$C$2:$P$700,0,MATCH($B340,元データ_加工!$C$1:$P$1,0)),元データ_加工!$A$2:$A$700,$A340,元データ_加工!$B$2:$B$700,I$5)</f>
        <v>0</v>
      </c>
      <c r="J340" s="26">
        <f>SUMIFS(INDEX(元データ_加工!$C$2:$P$700,0,MATCH($B340,元データ_加工!$C$1:$P$1,0)),元データ_加工!$A$2:$A$700,$A340,元データ_加工!$B$2:$B$700,J$5)</f>
        <v>3</v>
      </c>
      <c r="K340" s="26">
        <f>SUMIFS(INDEX(元データ_加工!$C$2:$P$700,0,MATCH($B340,元データ_加工!$C$1:$P$1,0)),元データ_加工!$A$2:$A$700,$A340,元データ_加工!$B$2:$B$700,K$5)</f>
        <v>5</v>
      </c>
      <c r="L340" s="26">
        <f>SUMIFS(INDEX(元データ_加工!$C$2:$P$700,0,MATCH($B340,元データ_加工!$C$1:$P$1,0)),元データ_加工!$A$2:$A$700,$A340,元データ_加工!$B$2:$B$700,L$5)</f>
        <v>6</v>
      </c>
      <c r="M340" s="26">
        <f>SUMIFS(INDEX(元データ_加工!$C$2:$P$700,0,MATCH($B340,元データ_加工!$C$1:$P$1,0)),元データ_加工!$A$2:$A$700,$A340,元データ_加工!$B$2:$B$700,M$5)</f>
        <v>1</v>
      </c>
      <c r="N340" s="26">
        <f>SUMIFS(INDEX(元データ_加工!$C$2:$P$700,0,MATCH($B340,元データ_加工!$C$1:$P$1,0)),元データ_加工!$A$2:$A$700,$A340,元データ_加工!$B$2:$B$700,N$5)</f>
        <v>1</v>
      </c>
      <c r="O340" s="26">
        <f t="shared" si="5"/>
        <v>25</v>
      </c>
      <c r="P340" s="7">
        <f>IFERROR(O340/SUMIFS(元データ_加工!$C$2:$C$700,元データ_加工!$A$2:$A$700,$A340),"")</f>
        <v>5.1667837804323562E-4</v>
      </c>
    </row>
    <row r="341" spans="1:16" x14ac:dyDescent="0.45">
      <c r="A341" t="s">
        <v>58</v>
      </c>
      <c r="B341" t="s">
        <v>113</v>
      </c>
      <c r="C341" s="26">
        <f>SUMIFS(INDEX(元データ_加工!$C$2:$P$700,0,MATCH($B341,元データ_加工!$C$1:$P$1,0)),元データ_加工!$A$2:$A$700,$A341,元データ_加工!$B$2:$B$700,C$5)</f>
        <v>0</v>
      </c>
      <c r="D341" s="26">
        <f>SUMIFS(INDEX(元データ_加工!$C$2:$P$700,0,MATCH($B341,元データ_加工!$C$1:$P$1,0)),元データ_加工!$A$2:$A$700,$A341,元データ_加工!$B$2:$B$700,D$5)</f>
        <v>0</v>
      </c>
      <c r="E341" s="26">
        <f>SUMIFS(INDEX(元データ_加工!$C$2:$P$700,0,MATCH($B341,元データ_加工!$C$1:$P$1,0)),元データ_加工!$A$2:$A$700,$A341,元データ_加工!$B$2:$B$700,E$5)</f>
        <v>7</v>
      </c>
      <c r="F341" s="26">
        <f>SUMIFS(INDEX(元データ_加工!$C$2:$P$700,0,MATCH($B341,元データ_加工!$C$1:$P$1,0)),元データ_加工!$A$2:$A$700,$A341,元データ_加工!$B$2:$B$700,F$5)</f>
        <v>20</v>
      </c>
      <c r="G341" s="26">
        <f>SUMIFS(INDEX(元データ_加工!$C$2:$P$700,0,MATCH($B341,元データ_加工!$C$1:$P$1,0)),元データ_加工!$A$2:$A$700,$A341,元データ_加工!$B$2:$B$700,G$5)</f>
        <v>14</v>
      </c>
      <c r="H341" s="26">
        <f>SUMIFS(INDEX(元データ_加工!$C$2:$P$700,0,MATCH($B341,元データ_加工!$C$1:$P$1,0)),元データ_加工!$A$2:$A$700,$A341,元データ_加工!$B$2:$B$700,H$5)</f>
        <v>9</v>
      </c>
      <c r="I341" s="26">
        <f>SUMIFS(INDEX(元データ_加工!$C$2:$P$700,0,MATCH($B341,元データ_加工!$C$1:$P$1,0)),元データ_加工!$A$2:$A$700,$A341,元データ_加工!$B$2:$B$700,I$5)</f>
        <v>12</v>
      </c>
      <c r="J341" s="26">
        <f>SUMIFS(INDEX(元データ_加工!$C$2:$P$700,0,MATCH($B341,元データ_加工!$C$1:$P$1,0)),元データ_加工!$A$2:$A$700,$A341,元データ_加工!$B$2:$B$700,J$5)</f>
        <v>12</v>
      </c>
      <c r="K341" s="26">
        <f>SUMIFS(INDEX(元データ_加工!$C$2:$P$700,0,MATCH($B341,元データ_加工!$C$1:$P$1,0)),元データ_加工!$A$2:$A$700,$A341,元データ_加工!$B$2:$B$700,K$5)</f>
        <v>5</v>
      </c>
      <c r="L341" s="26">
        <f>SUMIFS(INDEX(元データ_加工!$C$2:$P$700,0,MATCH($B341,元データ_加工!$C$1:$P$1,0)),元データ_加工!$A$2:$A$700,$A341,元データ_加工!$B$2:$B$700,L$5)</f>
        <v>17</v>
      </c>
      <c r="M341" s="26">
        <f>SUMIFS(INDEX(元データ_加工!$C$2:$P$700,0,MATCH($B341,元データ_加工!$C$1:$P$1,0)),元データ_加工!$A$2:$A$700,$A341,元データ_加工!$B$2:$B$700,M$5)</f>
        <v>10</v>
      </c>
      <c r="N341" s="26">
        <f>SUMIFS(INDEX(元データ_加工!$C$2:$P$700,0,MATCH($B341,元データ_加工!$C$1:$P$1,0)),元データ_加工!$A$2:$A$700,$A341,元データ_加工!$B$2:$B$700,N$5)</f>
        <v>12</v>
      </c>
      <c r="O341" s="26">
        <f t="shared" si="5"/>
        <v>118</v>
      </c>
      <c r="P341" s="7">
        <f>IFERROR(O341/SUMIFS(元データ_加工!$C$2:$C$700,元データ_加工!$A$2:$A$700,$A341),"")</f>
        <v>2.4387219443640722E-3</v>
      </c>
    </row>
    <row r="342" spans="1:16" x14ac:dyDescent="0.45">
      <c r="A342" t="s">
        <v>59</v>
      </c>
      <c r="B342" t="s">
        <v>100</v>
      </c>
      <c r="C342" s="26">
        <f>SUMIFS(INDEX(元データ_加工!$C$2:$P$700,0,MATCH($B342,元データ_加工!$C$1:$P$1,0)),元データ_加工!$A$2:$A$700,$A342,元データ_加工!$B$2:$B$700,C$5)</f>
        <v>1023</v>
      </c>
      <c r="D342" s="26">
        <f>SUMIFS(INDEX(元データ_加工!$C$2:$P$700,0,MATCH($B342,元データ_加工!$C$1:$P$1,0)),元データ_加工!$A$2:$A$700,$A342,元データ_加工!$B$2:$B$700,D$5)</f>
        <v>902</v>
      </c>
      <c r="E342" s="26">
        <f>SUMIFS(INDEX(元データ_加工!$C$2:$P$700,0,MATCH($B342,元データ_加工!$C$1:$P$1,0)),元データ_加工!$A$2:$A$700,$A342,元データ_加工!$B$2:$B$700,E$5)</f>
        <v>1419</v>
      </c>
      <c r="F342" s="26">
        <f>SUMIFS(INDEX(元データ_加工!$C$2:$P$700,0,MATCH($B342,元データ_加工!$C$1:$P$1,0)),元データ_加工!$A$2:$A$700,$A342,元データ_加工!$B$2:$B$700,F$5)</f>
        <v>1182</v>
      </c>
      <c r="G342" s="26">
        <f>SUMIFS(INDEX(元データ_加工!$C$2:$P$700,0,MATCH($B342,元データ_加工!$C$1:$P$1,0)),元データ_加工!$A$2:$A$700,$A342,元データ_加工!$B$2:$B$700,G$5)</f>
        <v>1215</v>
      </c>
      <c r="H342" s="26">
        <f>SUMIFS(INDEX(元データ_加工!$C$2:$P$700,0,MATCH($B342,元データ_加工!$C$1:$P$1,0)),元データ_加工!$A$2:$A$700,$A342,元データ_加工!$B$2:$B$700,H$5)</f>
        <v>1044</v>
      </c>
      <c r="I342" s="26">
        <f>SUMIFS(INDEX(元データ_加工!$C$2:$P$700,0,MATCH($B342,元データ_加工!$C$1:$P$1,0)),元データ_加工!$A$2:$A$700,$A342,元データ_加工!$B$2:$B$700,I$5)</f>
        <v>790</v>
      </c>
      <c r="J342" s="26">
        <f>SUMIFS(INDEX(元データ_加工!$C$2:$P$700,0,MATCH($B342,元データ_加工!$C$1:$P$1,0)),元データ_加工!$A$2:$A$700,$A342,元データ_加工!$B$2:$B$700,J$5)</f>
        <v>1642</v>
      </c>
      <c r="K342" s="26">
        <f>SUMIFS(INDEX(元データ_加工!$C$2:$P$700,0,MATCH($B342,元データ_加工!$C$1:$P$1,0)),元データ_加工!$A$2:$A$700,$A342,元データ_加工!$B$2:$B$700,K$5)</f>
        <v>2403</v>
      </c>
      <c r="L342" s="26">
        <f>SUMIFS(INDEX(元データ_加工!$C$2:$P$700,0,MATCH($B342,元データ_加工!$C$1:$P$1,0)),元データ_加工!$A$2:$A$700,$A342,元データ_加工!$B$2:$B$700,L$5)</f>
        <v>1381</v>
      </c>
      <c r="M342" s="26">
        <f>SUMIFS(INDEX(元データ_加工!$C$2:$P$700,0,MATCH($B342,元データ_加工!$C$1:$P$1,0)),元データ_加工!$A$2:$A$700,$A342,元データ_加工!$B$2:$B$700,M$5)</f>
        <v>1414</v>
      </c>
      <c r="N342" s="26">
        <f>SUMIFS(INDEX(元データ_加工!$C$2:$P$700,0,MATCH($B342,元データ_加工!$C$1:$P$1,0)),元データ_加工!$A$2:$A$700,$A342,元データ_加工!$B$2:$B$700,N$5)</f>
        <v>1271</v>
      </c>
      <c r="O342" s="26">
        <f t="shared" si="5"/>
        <v>15686</v>
      </c>
      <c r="P342" s="7">
        <f>IFERROR(O342/SUMIFS(元データ_加工!$C$2:$C$700,元データ_加工!$A$2:$A$700,$A342),"")</f>
        <v>1</v>
      </c>
    </row>
    <row r="343" spans="1:16" x14ac:dyDescent="0.45">
      <c r="A343" t="s">
        <v>59</v>
      </c>
      <c r="B343" t="s">
        <v>101</v>
      </c>
      <c r="C343" s="26">
        <f>SUMIFS(INDEX(元データ_加工!$C$2:$P$700,0,MATCH($B343,元データ_加工!$C$1:$P$1,0)),元データ_加工!$A$2:$A$700,$A343,元データ_加工!$B$2:$B$700,C$5)</f>
        <v>329</v>
      </c>
      <c r="D343" s="26">
        <f>SUMIFS(INDEX(元データ_加工!$C$2:$P$700,0,MATCH($B343,元データ_加工!$C$1:$P$1,0)),元データ_加工!$A$2:$A$700,$A343,元データ_加工!$B$2:$B$700,D$5)</f>
        <v>350</v>
      </c>
      <c r="E343" s="26">
        <f>SUMIFS(INDEX(元データ_加工!$C$2:$P$700,0,MATCH($B343,元データ_加工!$C$1:$P$1,0)),元データ_加工!$A$2:$A$700,$A343,元データ_加工!$B$2:$B$700,E$5)</f>
        <v>475</v>
      </c>
      <c r="F343" s="26">
        <f>SUMIFS(INDEX(元データ_加工!$C$2:$P$700,0,MATCH($B343,元データ_加工!$C$1:$P$1,0)),元データ_加工!$A$2:$A$700,$A343,元データ_加工!$B$2:$B$700,F$5)</f>
        <v>357</v>
      </c>
      <c r="G343" s="26">
        <f>SUMIFS(INDEX(元データ_加工!$C$2:$P$700,0,MATCH($B343,元データ_加工!$C$1:$P$1,0)),元データ_加工!$A$2:$A$700,$A343,元データ_加工!$B$2:$B$700,G$5)</f>
        <v>385</v>
      </c>
      <c r="H343" s="26">
        <f>SUMIFS(INDEX(元データ_加工!$C$2:$P$700,0,MATCH($B343,元データ_加工!$C$1:$P$1,0)),元データ_加工!$A$2:$A$700,$A343,元データ_加工!$B$2:$B$700,H$5)</f>
        <v>332</v>
      </c>
      <c r="I343" s="26">
        <f>SUMIFS(INDEX(元データ_加工!$C$2:$P$700,0,MATCH($B343,元データ_加工!$C$1:$P$1,0)),元データ_加工!$A$2:$A$700,$A343,元データ_加工!$B$2:$B$700,I$5)</f>
        <v>319</v>
      </c>
      <c r="J343" s="26">
        <f>SUMIFS(INDEX(元データ_加工!$C$2:$P$700,0,MATCH($B343,元データ_加工!$C$1:$P$1,0)),元データ_加工!$A$2:$A$700,$A343,元データ_加工!$B$2:$B$700,J$5)</f>
        <v>404</v>
      </c>
      <c r="K343" s="26">
        <f>SUMIFS(INDEX(元データ_加工!$C$2:$P$700,0,MATCH($B343,元データ_加工!$C$1:$P$1,0)),元データ_加工!$A$2:$A$700,$A343,元データ_加工!$B$2:$B$700,K$5)</f>
        <v>433</v>
      </c>
      <c r="L343" s="26">
        <f>SUMIFS(INDEX(元データ_加工!$C$2:$P$700,0,MATCH($B343,元データ_加工!$C$1:$P$1,0)),元データ_加工!$A$2:$A$700,$A343,元データ_加工!$B$2:$B$700,L$5)</f>
        <v>298</v>
      </c>
      <c r="M343" s="26">
        <f>SUMIFS(INDEX(元データ_加工!$C$2:$P$700,0,MATCH($B343,元データ_加工!$C$1:$P$1,0)),元データ_加工!$A$2:$A$700,$A343,元データ_加工!$B$2:$B$700,M$5)</f>
        <v>384</v>
      </c>
      <c r="N343" s="26">
        <f>SUMIFS(INDEX(元データ_加工!$C$2:$P$700,0,MATCH($B343,元データ_加工!$C$1:$P$1,0)),元データ_加工!$A$2:$A$700,$A343,元データ_加工!$B$2:$B$700,N$5)</f>
        <v>354</v>
      </c>
      <c r="O343" s="26">
        <f t="shared" si="5"/>
        <v>4420</v>
      </c>
      <c r="P343" s="7">
        <f>IFERROR(O343/SUMIFS(元データ_加工!$C$2:$C$700,元データ_加工!$A$2:$A$700,$A343),"")</f>
        <v>0.28177993114879513</v>
      </c>
    </row>
    <row r="344" spans="1:16" x14ac:dyDescent="0.45">
      <c r="A344" t="s">
        <v>59</v>
      </c>
      <c r="B344" t="s">
        <v>102</v>
      </c>
      <c r="C344" s="26">
        <f>SUMIFS(INDEX(元データ_加工!$C$2:$P$700,0,MATCH($B344,元データ_加工!$C$1:$P$1,0)),元データ_加工!$A$2:$A$700,$A344,元データ_加工!$B$2:$B$700,C$5)</f>
        <v>0</v>
      </c>
      <c r="D344" s="26">
        <f>SUMIFS(INDEX(元データ_加工!$C$2:$P$700,0,MATCH($B344,元データ_加工!$C$1:$P$1,0)),元データ_加工!$A$2:$A$700,$A344,元データ_加工!$B$2:$B$700,D$5)</f>
        <v>0</v>
      </c>
      <c r="E344" s="26">
        <f>SUMIFS(INDEX(元データ_加工!$C$2:$P$700,0,MATCH($B344,元データ_加工!$C$1:$P$1,0)),元データ_加工!$A$2:$A$700,$A344,元データ_加工!$B$2:$B$700,E$5)</f>
        <v>0</v>
      </c>
      <c r="F344" s="26">
        <f>SUMIFS(INDEX(元データ_加工!$C$2:$P$700,0,MATCH($B344,元データ_加工!$C$1:$P$1,0)),元データ_加工!$A$2:$A$700,$A344,元データ_加工!$B$2:$B$700,F$5)</f>
        <v>0</v>
      </c>
      <c r="G344" s="26">
        <f>SUMIFS(INDEX(元データ_加工!$C$2:$P$700,0,MATCH($B344,元データ_加工!$C$1:$P$1,0)),元データ_加工!$A$2:$A$700,$A344,元データ_加工!$B$2:$B$700,G$5)</f>
        <v>0</v>
      </c>
      <c r="H344" s="26">
        <f>SUMIFS(INDEX(元データ_加工!$C$2:$P$700,0,MATCH($B344,元データ_加工!$C$1:$P$1,0)),元データ_加工!$A$2:$A$700,$A344,元データ_加工!$B$2:$B$700,H$5)</f>
        <v>0</v>
      </c>
      <c r="I344" s="26">
        <f>SUMIFS(INDEX(元データ_加工!$C$2:$P$700,0,MATCH($B344,元データ_加工!$C$1:$P$1,0)),元データ_加工!$A$2:$A$700,$A344,元データ_加工!$B$2:$B$700,I$5)</f>
        <v>0</v>
      </c>
      <c r="J344" s="26">
        <f>SUMIFS(INDEX(元データ_加工!$C$2:$P$700,0,MATCH($B344,元データ_加工!$C$1:$P$1,0)),元データ_加工!$A$2:$A$700,$A344,元データ_加工!$B$2:$B$700,J$5)</f>
        <v>0</v>
      </c>
      <c r="K344" s="26">
        <f>SUMIFS(INDEX(元データ_加工!$C$2:$P$700,0,MATCH($B344,元データ_加工!$C$1:$P$1,0)),元データ_加工!$A$2:$A$700,$A344,元データ_加工!$B$2:$B$700,K$5)</f>
        <v>0</v>
      </c>
      <c r="L344" s="26">
        <f>SUMIFS(INDEX(元データ_加工!$C$2:$P$700,0,MATCH($B344,元データ_加工!$C$1:$P$1,0)),元データ_加工!$A$2:$A$700,$A344,元データ_加工!$B$2:$B$700,L$5)</f>
        <v>0</v>
      </c>
      <c r="M344" s="26">
        <f>SUMIFS(INDEX(元データ_加工!$C$2:$P$700,0,MATCH($B344,元データ_加工!$C$1:$P$1,0)),元データ_加工!$A$2:$A$700,$A344,元データ_加工!$B$2:$B$700,M$5)</f>
        <v>0</v>
      </c>
      <c r="N344" s="26">
        <f>SUMIFS(INDEX(元データ_加工!$C$2:$P$700,0,MATCH($B344,元データ_加工!$C$1:$P$1,0)),元データ_加工!$A$2:$A$700,$A344,元データ_加工!$B$2:$B$700,N$5)</f>
        <v>0</v>
      </c>
      <c r="O344" s="26">
        <f t="shared" si="5"/>
        <v>0</v>
      </c>
      <c r="P344" s="7">
        <f>IFERROR(O344/SUMIFS(元データ_加工!$C$2:$C$700,元データ_加工!$A$2:$A$700,$A344),"")</f>
        <v>0</v>
      </c>
    </row>
    <row r="345" spans="1:16" x14ac:dyDescent="0.45">
      <c r="A345" t="s">
        <v>59</v>
      </c>
      <c r="B345" t="s">
        <v>103</v>
      </c>
      <c r="C345" s="26">
        <f>SUMIFS(INDEX(元データ_加工!$C$2:$P$700,0,MATCH($B345,元データ_加工!$C$1:$P$1,0)),元データ_加工!$A$2:$A$700,$A345,元データ_加工!$B$2:$B$700,C$5)</f>
        <v>0</v>
      </c>
      <c r="D345" s="26">
        <f>SUMIFS(INDEX(元データ_加工!$C$2:$P$700,0,MATCH($B345,元データ_加工!$C$1:$P$1,0)),元データ_加工!$A$2:$A$700,$A345,元データ_加工!$B$2:$B$700,D$5)</f>
        <v>0</v>
      </c>
      <c r="E345" s="26">
        <f>SUMIFS(INDEX(元データ_加工!$C$2:$P$700,0,MATCH($B345,元データ_加工!$C$1:$P$1,0)),元データ_加工!$A$2:$A$700,$A345,元データ_加工!$B$2:$B$700,E$5)</f>
        <v>4</v>
      </c>
      <c r="F345" s="26">
        <f>SUMIFS(INDEX(元データ_加工!$C$2:$P$700,0,MATCH($B345,元データ_加工!$C$1:$P$1,0)),元データ_加工!$A$2:$A$700,$A345,元データ_加工!$B$2:$B$700,F$5)</f>
        <v>4</v>
      </c>
      <c r="G345" s="26">
        <f>SUMIFS(INDEX(元データ_加工!$C$2:$P$700,0,MATCH($B345,元データ_加工!$C$1:$P$1,0)),元データ_加工!$A$2:$A$700,$A345,元データ_加工!$B$2:$B$700,G$5)</f>
        <v>5</v>
      </c>
      <c r="H345" s="26">
        <f>SUMIFS(INDEX(元データ_加工!$C$2:$P$700,0,MATCH($B345,元データ_加工!$C$1:$P$1,0)),元データ_加工!$A$2:$A$700,$A345,元データ_加工!$B$2:$B$700,H$5)</f>
        <v>4</v>
      </c>
      <c r="I345" s="26">
        <f>SUMIFS(INDEX(元データ_加工!$C$2:$P$700,0,MATCH($B345,元データ_加工!$C$1:$P$1,0)),元データ_加工!$A$2:$A$700,$A345,元データ_加工!$B$2:$B$700,I$5)</f>
        <v>6</v>
      </c>
      <c r="J345" s="26">
        <f>SUMIFS(INDEX(元データ_加工!$C$2:$P$700,0,MATCH($B345,元データ_加工!$C$1:$P$1,0)),元データ_加工!$A$2:$A$700,$A345,元データ_加工!$B$2:$B$700,J$5)</f>
        <v>0</v>
      </c>
      <c r="K345" s="26">
        <f>SUMIFS(INDEX(元データ_加工!$C$2:$P$700,0,MATCH($B345,元データ_加工!$C$1:$P$1,0)),元データ_加工!$A$2:$A$700,$A345,元データ_加工!$B$2:$B$700,K$5)</f>
        <v>0</v>
      </c>
      <c r="L345" s="26">
        <f>SUMIFS(INDEX(元データ_加工!$C$2:$P$700,0,MATCH($B345,元データ_加工!$C$1:$P$1,0)),元データ_加工!$A$2:$A$700,$A345,元データ_加工!$B$2:$B$700,L$5)</f>
        <v>0</v>
      </c>
      <c r="M345" s="26">
        <f>SUMIFS(INDEX(元データ_加工!$C$2:$P$700,0,MATCH($B345,元データ_加工!$C$1:$P$1,0)),元データ_加工!$A$2:$A$700,$A345,元データ_加工!$B$2:$B$700,M$5)</f>
        <v>1</v>
      </c>
      <c r="N345" s="26">
        <f>SUMIFS(INDEX(元データ_加工!$C$2:$P$700,0,MATCH($B345,元データ_加工!$C$1:$P$1,0)),元データ_加工!$A$2:$A$700,$A345,元データ_加工!$B$2:$B$700,N$5)</f>
        <v>0</v>
      </c>
      <c r="O345" s="26">
        <f t="shared" si="5"/>
        <v>24</v>
      </c>
      <c r="P345" s="7">
        <f>IFERROR(O345/SUMIFS(元データ_加工!$C$2:$C$700,元データ_加工!$A$2:$A$700,$A345),"")</f>
        <v>1.5300267754685707E-3</v>
      </c>
    </row>
    <row r="346" spans="1:16" x14ac:dyDescent="0.45">
      <c r="A346" t="s">
        <v>59</v>
      </c>
      <c r="B346" t="s">
        <v>104</v>
      </c>
      <c r="C346" s="26">
        <f>SUMIFS(INDEX(元データ_加工!$C$2:$P$700,0,MATCH($B346,元データ_加工!$C$1:$P$1,0)),元データ_加工!$A$2:$A$700,$A346,元データ_加工!$B$2:$B$700,C$5)</f>
        <v>30</v>
      </c>
      <c r="D346" s="26">
        <f>SUMIFS(INDEX(元データ_加工!$C$2:$P$700,0,MATCH($B346,元データ_加工!$C$1:$P$1,0)),元データ_加工!$A$2:$A$700,$A346,元データ_加工!$B$2:$B$700,D$5)</f>
        <v>15</v>
      </c>
      <c r="E346" s="26">
        <f>SUMIFS(INDEX(元データ_加工!$C$2:$P$700,0,MATCH($B346,元データ_加工!$C$1:$P$1,0)),元データ_加工!$A$2:$A$700,$A346,元データ_加工!$B$2:$B$700,E$5)</f>
        <v>20</v>
      </c>
      <c r="F346" s="26">
        <f>SUMIFS(INDEX(元データ_加工!$C$2:$P$700,0,MATCH($B346,元データ_加工!$C$1:$P$1,0)),元データ_加工!$A$2:$A$700,$A346,元データ_加工!$B$2:$B$700,F$5)</f>
        <v>30</v>
      </c>
      <c r="G346" s="26">
        <f>SUMIFS(INDEX(元データ_加工!$C$2:$P$700,0,MATCH($B346,元データ_加工!$C$1:$P$1,0)),元データ_加工!$A$2:$A$700,$A346,元データ_加工!$B$2:$B$700,G$5)</f>
        <v>57</v>
      </c>
      <c r="H346" s="26">
        <f>SUMIFS(INDEX(元データ_加工!$C$2:$P$700,0,MATCH($B346,元データ_加工!$C$1:$P$1,0)),元データ_加工!$A$2:$A$700,$A346,元データ_加工!$B$2:$B$700,H$5)</f>
        <v>16</v>
      </c>
      <c r="I346" s="26">
        <f>SUMIFS(INDEX(元データ_加工!$C$2:$P$700,0,MATCH($B346,元データ_加工!$C$1:$P$1,0)),元データ_加工!$A$2:$A$700,$A346,元データ_加工!$B$2:$B$700,I$5)</f>
        <v>29</v>
      </c>
      <c r="J346" s="26">
        <f>SUMIFS(INDEX(元データ_加工!$C$2:$P$700,0,MATCH($B346,元データ_加工!$C$1:$P$1,0)),元データ_加工!$A$2:$A$700,$A346,元データ_加工!$B$2:$B$700,J$5)</f>
        <v>79</v>
      </c>
      <c r="K346" s="26">
        <f>SUMIFS(INDEX(元データ_加工!$C$2:$P$700,0,MATCH($B346,元データ_加工!$C$1:$P$1,0)),元データ_加工!$A$2:$A$700,$A346,元データ_加工!$B$2:$B$700,K$5)</f>
        <v>85</v>
      </c>
      <c r="L346" s="26">
        <f>SUMIFS(INDEX(元データ_加工!$C$2:$P$700,0,MATCH($B346,元データ_加工!$C$1:$P$1,0)),元データ_加工!$A$2:$A$700,$A346,元データ_加工!$B$2:$B$700,L$5)</f>
        <v>41</v>
      </c>
      <c r="M346" s="26">
        <f>SUMIFS(INDEX(元データ_加工!$C$2:$P$700,0,MATCH($B346,元データ_加工!$C$1:$P$1,0)),元データ_加工!$A$2:$A$700,$A346,元データ_加工!$B$2:$B$700,M$5)</f>
        <v>65</v>
      </c>
      <c r="N346" s="26">
        <f>SUMIFS(INDEX(元データ_加工!$C$2:$P$700,0,MATCH($B346,元データ_加工!$C$1:$P$1,0)),元データ_加工!$A$2:$A$700,$A346,元データ_加工!$B$2:$B$700,N$5)</f>
        <v>38</v>
      </c>
      <c r="O346" s="26">
        <f t="shared" si="5"/>
        <v>505</v>
      </c>
      <c r="P346" s="7">
        <f>IFERROR(O346/SUMIFS(元データ_加工!$C$2:$C$700,元データ_加工!$A$2:$A$700,$A346),"")</f>
        <v>3.2194313400484509E-2</v>
      </c>
    </row>
    <row r="347" spans="1:16" x14ac:dyDescent="0.45">
      <c r="A347" t="s">
        <v>59</v>
      </c>
      <c r="B347" t="s">
        <v>105</v>
      </c>
      <c r="C347" s="26">
        <f>SUMIFS(INDEX(元データ_加工!$C$2:$P$700,0,MATCH($B347,元データ_加工!$C$1:$P$1,0)),元データ_加工!$A$2:$A$700,$A347,元データ_加工!$B$2:$B$700,C$5)</f>
        <v>0</v>
      </c>
      <c r="D347" s="26">
        <f>SUMIFS(INDEX(元データ_加工!$C$2:$P$700,0,MATCH($B347,元データ_加工!$C$1:$P$1,0)),元データ_加工!$A$2:$A$700,$A347,元データ_加工!$B$2:$B$700,D$5)</f>
        <v>0</v>
      </c>
      <c r="E347" s="26">
        <f>SUMIFS(INDEX(元データ_加工!$C$2:$P$700,0,MATCH($B347,元データ_加工!$C$1:$P$1,0)),元データ_加工!$A$2:$A$700,$A347,元データ_加工!$B$2:$B$700,E$5)</f>
        <v>0</v>
      </c>
      <c r="F347" s="26">
        <f>SUMIFS(INDEX(元データ_加工!$C$2:$P$700,0,MATCH($B347,元データ_加工!$C$1:$P$1,0)),元データ_加工!$A$2:$A$700,$A347,元データ_加工!$B$2:$B$700,F$5)</f>
        <v>0</v>
      </c>
      <c r="G347" s="26">
        <f>SUMIFS(INDEX(元データ_加工!$C$2:$P$700,0,MATCH($B347,元データ_加工!$C$1:$P$1,0)),元データ_加工!$A$2:$A$700,$A347,元データ_加工!$B$2:$B$700,G$5)</f>
        <v>0</v>
      </c>
      <c r="H347" s="26">
        <f>SUMIFS(INDEX(元データ_加工!$C$2:$P$700,0,MATCH($B347,元データ_加工!$C$1:$P$1,0)),元データ_加工!$A$2:$A$700,$A347,元データ_加工!$B$2:$B$700,H$5)</f>
        <v>0</v>
      </c>
      <c r="I347" s="26">
        <f>SUMIFS(INDEX(元データ_加工!$C$2:$P$700,0,MATCH($B347,元データ_加工!$C$1:$P$1,0)),元データ_加工!$A$2:$A$700,$A347,元データ_加工!$B$2:$B$700,I$5)</f>
        <v>0</v>
      </c>
      <c r="J347" s="26">
        <f>SUMIFS(INDEX(元データ_加工!$C$2:$P$700,0,MATCH($B347,元データ_加工!$C$1:$P$1,0)),元データ_加工!$A$2:$A$700,$A347,元データ_加工!$B$2:$B$700,J$5)</f>
        <v>3</v>
      </c>
      <c r="K347" s="26">
        <f>SUMIFS(INDEX(元データ_加工!$C$2:$P$700,0,MATCH($B347,元データ_加工!$C$1:$P$1,0)),元データ_加工!$A$2:$A$700,$A347,元データ_加工!$B$2:$B$700,K$5)</f>
        <v>19</v>
      </c>
      <c r="L347" s="26">
        <f>SUMIFS(INDEX(元データ_加工!$C$2:$P$700,0,MATCH($B347,元データ_加工!$C$1:$P$1,0)),元データ_加工!$A$2:$A$700,$A347,元データ_加工!$B$2:$B$700,L$5)</f>
        <v>4</v>
      </c>
      <c r="M347" s="26">
        <f>SUMIFS(INDEX(元データ_加工!$C$2:$P$700,0,MATCH($B347,元データ_加工!$C$1:$P$1,0)),元データ_加工!$A$2:$A$700,$A347,元データ_加工!$B$2:$B$700,M$5)</f>
        <v>2</v>
      </c>
      <c r="N347" s="26">
        <f>SUMIFS(INDEX(元データ_加工!$C$2:$P$700,0,MATCH($B347,元データ_加工!$C$1:$P$1,0)),元データ_加工!$A$2:$A$700,$A347,元データ_加工!$B$2:$B$700,N$5)</f>
        <v>0</v>
      </c>
      <c r="O347" s="26">
        <f t="shared" si="5"/>
        <v>28</v>
      </c>
      <c r="P347" s="7">
        <f>IFERROR(O347/SUMIFS(元データ_加工!$C$2:$C$700,元データ_加工!$A$2:$A$700,$A347),"")</f>
        <v>1.7850312380466658E-3</v>
      </c>
    </row>
    <row r="348" spans="1:16" x14ac:dyDescent="0.45">
      <c r="A348" t="s">
        <v>59</v>
      </c>
      <c r="B348" t="s">
        <v>106</v>
      </c>
      <c r="C348" s="26">
        <f>SUMIFS(INDEX(元データ_加工!$C$2:$P$700,0,MATCH($B348,元データ_加工!$C$1:$P$1,0)),元データ_加工!$A$2:$A$700,$A348,元データ_加工!$B$2:$B$700,C$5)</f>
        <v>142</v>
      </c>
      <c r="D348" s="26">
        <f>SUMIFS(INDEX(元データ_加工!$C$2:$P$700,0,MATCH($B348,元データ_加工!$C$1:$P$1,0)),元データ_加工!$A$2:$A$700,$A348,元データ_加工!$B$2:$B$700,D$5)</f>
        <v>101</v>
      </c>
      <c r="E348" s="26">
        <f>SUMIFS(INDEX(元データ_加工!$C$2:$P$700,0,MATCH($B348,元データ_加工!$C$1:$P$1,0)),元データ_加工!$A$2:$A$700,$A348,元データ_加工!$B$2:$B$700,E$5)</f>
        <v>153</v>
      </c>
      <c r="F348" s="26">
        <f>SUMIFS(INDEX(元データ_加工!$C$2:$P$700,0,MATCH($B348,元データ_加工!$C$1:$P$1,0)),元データ_加工!$A$2:$A$700,$A348,元データ_加工!$B$2:$B$700,F$5)</f>
        <v>151</v>
      </c>
      <c r="G348" s="26">
        <f>SUMIFS(INDEX(元データ_加工!$C$2:$P$700,0,MATCH($B348,元データ_加工!$C$1:$P$1,0)),元データ_加工!$A$2:$A$700,$A348,元データ_加工!$B$2:$B$700,G$5)</f>
        <v>123</v>
      </c>
      <c r="H348" s="26">
        <f>SUMIFS(INDEX(元データ_加工!$C$2:$P$700,0,MATCH($B348,元データ_加工!$C$1:$P$1,0)),元データ_加工!$A$2:$A$700,$A348,元データ_加工!$B$2:$B$700,H$5)</f>
        <v>96</v>
      </c>
      <c r="I348" s="26">
        <f>SUMIFS(INDEX(元データ_加工!$C$2:$P$700,0,MATCH($B348,元データ_加工!$C$1:$P$1,0)),元データ_加工!$A$2:$A$700,$A348,元データ_加工!$B$2:$B$700,I$5)</f>
        <v>43</v>
      </c>
      <c r="J348" s="26">
        <f>SUMIFS(INDEX(元データ_加工!$C$2:$P$700,0,MATCH($B348,元データ_加工!$C$1:$P$1,0)),元データ_加工!$A$2:$A$700,$A348,元データ_加工!$B$2:$B$700,J$5)</f>
        <v>96</v>
      </c>
      <c r="K348" s="26">
        <f>SUMIFS(INDEX(元データ_加工!$C$2:$P$700,0,MATCH($B348,元データ_加工!$C$1:$P$1,0)),元データ_加工!$A$2:$A$700,$A348,元データ_加工!$B$2:$B$700,K$5)</f>
        <v>136</v>
      </c>
      <c r="L348" s="26">
        <f>SUMIFS(INDEX(元データ_加工!$C$2:$P$700,0,MATCH($B348,元データ_加工!$C$1:$P$1,0)),元データ_加工!$A$2:$A$700,$A348,元データ_加工!$B$2:$B$700,L$5)</f>
        <v>77</v>
      </c>
      <c r="M348" s="26">
        <f>SUMIFS(INDEX(元データ_加工!$C$2:$P$700,0,MATCH($B348,元データ_加工!$C$1:$P$1,0)),元データ_加工!$A$2:$A$700,$A348,元データ_加工!$B$2:$B$700,M$5)</f>
        <v>78</v>
      </c>
      <c r="N348" s="26">
        <f>SUMIFS(INDEX(元データ_加工!$C$2:$P$700,0,MATCH($B348,元データ_加工!$C$1:$P$1,0)),元データ_加工!$A$2:$A$700,$A348,元データ_加工!$B$2:$B$700,N$5)</f>
        <v>115</v>
      </c>
      <c r="O348" s="26">
        <f t="shared" si="5"/>
        <v>1311</v>
      </c>
      <c r="P348" s="7">
        <f>IFERROR(O348/SUMIFS(元データ_加工!$C$2:$C$700,元データ_加工!$A$2:$A$700,$A348),"")</f>
        <v>8.357771260997067E-2</v>
      </c>
    </row>
    <row r="349" spans="1:16" x14ac:dyDescent="0.45">
      <c r="A349" t="s">
        <v>59</v>
      </c>
      <c r="B349" t="s">
        <v>107</v>
      </c>
      <c r="C349" s="26">
        <f>SUMIFS(INDEX(元データ_加工!$C$2:$P$700,0,MATCH($B349,元データ_加工!$C$1:$P$1,0)),元データ_加工!$A$2:$A$700,$A349,元データ_加工!$B$2:$B$700,C$5)</f>
        <v>0</v>
      </c>
      <c r="D349" s="26">
        <f>SUMIFS(INDEX(元データ_加工!$C$2:$P$700,0,MATCH($B349,元データ_加工!$C$1:$P$1,0)),元データ_加工!$A$2:$A$700,$A349,元データ_加工!$B$2:$B$700,D$5)</f>
        <v>6</v>
      </c>
      <c r="E349" s="26">
        <f>SUMIFS(INDEX(元データ_加工!$C$2:$P$700,0,MATCH($B349,元データ_加工!$C$1:$P$1,0)),元データ_加工!$A$2:$A$700,$A349,元データ_加工!$B$2:$B$700,E$5)</f>
        <v>1</v>
      </c>
      <c r="F349" s="26">
        <f>SUMIFS(INDEX(元データ_加工!$C$2:$P$700,0,MATCH($B349,元データ_加工!$C$1:$P$1,0)),元データ_加工!$A$2:$A$700,$A349,元データ_加工!$B$2:$B$700,F$5)</f>
        <v>5</v>
      </c>
      <c r="G349" s="26">
        <f>SUMIFS(INDEX(元データ_加工!$C$2:$P$700,0,MATCH($B349,元データ_加工!$C$1:$P$1,0)),元データ_加工!$A$2:$A$700,$A349,元データ_加工!$B$2:$B$700,G$5)</f>
        <v>1</v>
      </c>
      <c r="H349" s="26">
        <f>SUMIFS(INDEX(元データ_加工!$C$2:$P$700,0,MATCH($B349,元データ_加工!$C$1:$P$1,0)),元データ_加工!$A$2:$A$700,$A349,元データ_加工!$B$2:$B$700,H$5)</f>
        <v>0</v>
      </c>
      <c r="I349" s="26">
        <f>SUMIFS(INDEX(元データ_加工!$C$2:$P$700,0,MATCH($B349,元データ_加工!$C$1:$P$1,0)),元データ_加工!$A$2:$A$700,$A349,元データ_加工!$B$2:$B$700,I$5)</f>
        <v>0</v>
      </c>
      <c r="J349" s="26">
        <f>SUMIFS(INDEX(元データ_加工!$C$2:$P$700,0,MATCH($B349,元データ_加工!$C$1:$P$1,0)),元データ_加工!$A$2:$A$700,$A349,元データ_加工!$B$2:$B$700,J$5)</f>
        <v>0</v>
      </c>
      <c r="K349" s="26">
        <f>SUMIFS(INDEX(元データ_加工!$C$2:$P$700,0,MATCH($B349,元データ_加工!$C$1:$P$1,0)),元データ_加工!$A$2:$A$700,$A349,元データ_加工!$B$2:$B$700,K$5)</f>
        <v>0</v>
      </c>
      <c r="L349" s="26">
        <f>SUMIFS(INDEX(元データ_加工!$C$2:$P$700,0,MATCH($B349,元データ_加工!$C$1:$P$1,0)),元データ_加工!$A$2:$A$700,$A349,元データ_加工!$B$2:$B$700,L$5)</f>
        <v>0</v>
      </c>
      <c r="M349" s="26">
        <f>SUMIFS(INDEX(元データ_加工!$C$2:$P$700,0,MATCH($B349,元データ_加工!$C$1:$P$1,0)),元データ_加工!$A$2:$A$700,$A349,元データ_加工!$B$2:$B$700,M$5)</f>
        <v>0</v>
      </c>
      <c r="N349" s="26">
        <f>SUMIFS(INDEX(元データ_加工!$C$2:$P$700,0,MATCH($B349,元データ_加工!$C$1:$P$1,0)),元データ_加工!$A$2:$A$700,$A349,元データ_加工!$B$2:$B$700,N$5)</f>
        <v>0</v>
      </c>
      <c r="O349" s="26">
        <f t="shared" si="5"/>
        <v>13</v>
      </c>
      <c r="P349" s="7">
        <f>IFERROR(O349/SUMIFS(元データ_加工!$C$2:$C$700,元データ_加工!$A$2:$A$700,$A349),"")</f>
        <v>8.2876450337880908E-4</v>
      </c>
    </row>
    <row r="350" spans="1:16" x14ac:dyDescent="0.45">
      <c r="A350" t="s">
        <v>59</v>
      </c>
      <c r="B350" t="s">
        <v>108</v>
      </c>
      <c r="C350" s="26">
        <f>SUMIFS(INDEX(元データ_加工!$C$2:$P$700,0,MATCH($B350,元データ_加工!$C$1:$P$1,0)),元データ_加工!$A$2:$A$700,$A350,元データ_加工!$B$2:$B$700,C$5)</f>
        <v>2</v>
      </c>
      <c r="D350" s="26">
        <f>SUMIFS(INDEX(元データ_加工!$C$2:$P$700,0,MATCH($B350,元データ_加工!$C$1:$P$1,0)),元データ_加工!$A$2:$A$700,$A350,元データ_加工!$B$2:$B$700,D$5)</f>
        <v>7</v>
      </c>
      <c r="E350" s="26">
        <f>SUMIFS(INDEX(元データ_加工!$C$2:$P$700,0,MATCH($B350,元データ_加工!$C$1:$P$1,0)),元データ_加工!$A$2:$A$700,$A350,元データ_加工!$B$2:$B$700,E$5)</f>
        <v>2</v>
      </c>
      <c r="F350" s="26">
        <f>SUMIFS(INDEX(元データ_加工!$C$2:$P$700,0,MATCH($B350,元データ_加工!$C$1:$P$1,0)),元データ_加工!$A$2:$A$700,$A350,元データ_加工!$B$2:$B$700,F$5)</f>
        <v>3</v>
      </c>
      <c r="G350" s="26">
        <f>SUMIFS(INDEX(元データ_加工!$C$2:$P$700,0,MATCH($B350,元データ_加工!$C$1:$P$1,0)),元データ_加工!$A$2:$A$700,$A350,元データ_加工!$B$2:$B$700,G$5)</f>
        <v>4</v>
      </c>
      <c r="H350" s="26">
        <f>SUMIFS(INDEX(元データ_加工!$C$2:$P$700,0,MATCH($B350,元データ_加工!$C$1:$P$1,0)),元データ_加工!$A$2:$A$700,$A350,元データ_加工!$B$2:$B$700,H$5)</f>
        <v>10</v>
      </c>
      <c r="I350" s="26">
        <f>SUMIFS(INDEX(元データ_加工!$C$2:$P$700,0,MATCH($B350,元データ_加工!$C$1:$P$1,0)),元データ_加工!$A$2:$A$700,$A350,元データ_加工!$B$2:$B$700,I$5)</f>
        <v>0</v>
      </c>
      <c r="J350" s="26">
        <f>SUMIFS(INDEX(元データ_加工!$C$2:$P$700,0,MATCH($B350,元データ_加工!$C$1:$P$1,0)),元データ_加工!$A$2:$A$700,$A350,元データ_加工!$B$2:$B$700,J$5)</f>
        <v>0</v>
      </c>
      <c r="K350" s="26">
        <f>SUMIFS(INDEX(元データ_加工!$C$2:$P$700,0,MATCH($B350,元データ_加工!$C$1:$P$1,0)),元データ_加工!$A$2:$A$700,$A350,元データ_加工!$B$2:$B$700,K$5)</f>
        <v>0</v>
      </c>
      <c r="L350" s="26">
        <f>SUMIFS(INDEX(元データ_加工!$C$2:$P$700,0,MATCH($B350,元データ_加工!$C$1:$P$1,0)),元データ_加工!$A$2:$A$700,$A350,元データ_加工!$B$2:$B$700,L$5)</f>
        <v>0</v>
      </c>
      <c r="M350" s="26">
        <f>SUMIFS(INDEX(元データ_加工!$C$2:$P$700,0,MATCH($B350,元データ_加工!$C$1:$P$1,0)),元データ_加工!$A$2:$A$700,$A350,元データ_加工!$B$2:$B$700,M$5)</f>
        <v>0</v>
      </c>
      <c r="N350" s="26">
        <f>SUMIFS(INDEX(元データ_加工!$C$2:$P$700,0,MATCH($B350,元データ_加工!$C$1:$P$1,0)),元データ_加工!$A$2:$A$700,$A350,元データ_加工!$B$2:$B$700,N$5)</f>
        <v>0</v>
      </c>
      <c r="O350" s="26">
        <f t="shared" si="5"/>
        <v>28</v>
      </c>
      <c r="P350" s="7">
        <f>IFERROR(O350/SUMIFS(元データ_加工!$C$2:$C$700,元データ_加工!$A$2:$A$700,$A350),"")</f>
        <v>1.7850312380466658E-3</v>
      </c>
    </row>
    <row r="351" spans="1:16" x14ac:dyDescent="0.45">
      <c r="A351" t="s">
        <v>59</v>
      </c>
      <c r="B351" t="s">
        <v>109</v>
      </c>
      <c r="C351" s="26">
        <f>SUMIFS(INDEX(元データ_加工!$C$2:$P$700,0,MATCH($B351,元データ_加工!$C$1:$P$1,0)),元データ_加工!$A$2:$A$700,$A351,元データ_加工!$B$2:$B$700,C$5)</f>
        <v>0</v>
      </c>
      <c r="D351" s="26">
        <f>SUMIFS(INDEX(元データ_加工!$C$2:$P$700,0,MATCH($B351,元データ_加工!$C$1:$P$1,0)),元データ_加工!$A$2:$A$700,$A351,元データ_加工!$B$2:$B$700,D$5)</f>
        <v>0</v>
      </c>
      <c r="E351" s="26">
        <f>SUMIFS(INDEX(元データ_加工!$C$2:$P$700,0,MATCH($B351,元データ_加工!$C$1:$P$1,0)),元データ_加工!$A$2:$A$700,$A351,元データ_加工!$B$2:$B$700,E$5)</f>
        <v>29</v>
      </c>
      <c r="F351" s="26">
        <f>SUMIFS(INDEX(元データ_加工!$C$2:$P$700,0,MATCH($B351,元データ_加工!$C$1:$P$1,0)),元データ_加工!$A$2:$A$700,$A351,元データ_加工!$B$2:$B$700,F$5)</f>
        <v>13</v>
      </c>
      <c r="G351" s="26">
        <f>SUMIFS(INDEX(元データ_加工!$C$2:$P$700,0,MATCH($B351,元データ_加工!$C$1:$P$1,0)),元データ_加工!$A$2:$A$700,$A351,元データ_加工!$B$2:$B$700,G$5)</f>
        <v>5</v>
      </c>
      <c r="H351" s="26">
        <f>SUMIFS(INDEX(元データ_加工!$C$2:$P$700,0,MATCH($B351,元データ_加工!$C$1:$P$1,0)),元データ_加工!$A$2:$A$700,$A351,元データ_加工!$B$2:$B$700,H$5)</f>
        <v>4</v>
      </c>
      <c r="I351" s="26">
        <f>SUMIFS(INDEX(元データ_加工!$C$2:$P$700,0,MATCH($B351,元データ_加工!$C$1:$P$1,0)),元データ_加工!$A$2:$A$700,$A351,元データ_加工!$B$2:$B$700,I$5)</f>
        <v>13</v>
      </c>
      <c r="J351" s="26">
        <f>SUMIFS(INDEX(元データ_加工!$C$2:$P$700,0,MATCH($B351,元データ_加工!$C$1:$P$1,0)),元データ_加工!$A$2:$A$700,$A351,元データ_加工!$B$2:$B$700,J$5)</f>
        <v>4</v>
      </c>
      <c r="K351" s="26">
        <f>SUMIFS(INDEX(元データ_加工!$C$2:$P$700,0,MATCH($B351,元データ_加工!$C$1:$P$1,0)),元データ_加工!$A$2:$A$700,$A351,元データ_加工!$B$2:$B$700,K$5)</f>
        <v>0</v>
      </c>
      <c r="L351" s="26">
        <f>SUMIFS(INDEX(元データ_加工!$C$2:$P$700,0,MATCH($B351,元データ_加工!$C$1:$P$1,0)),元データ_加工!$A$2:$A$700,$A351,元データ_加工!$B$2:$B$700,L$5)</f>
        <v>11</v>
      </c>
      <c r="M351" s="26">
        <f>SUMIFS(INDEX(元データ_加工!$C$2:$P$700,0,MATCH($B351,元データ_加工!$C$1:$P$1,0)),元データ_加工!$A$2:$A$700,$A351,元データ_加工!$B$2:$B$700,M$5)</f>
        <v>11</v>
      </c>
      <c r="N351" s="26">
        <f>SUMIFS(INDEX(元データ_加工!$C$2:$P$700,0,MATCH($B351,元データ_加工!$C$1:$P$1,0)),元データ_加工!$A$2:$A$700,$A351,元データ_加工!$B$2:$B$700,N$5)</f>
        <v>3</v>
      </c>
      <c r="O351" s="26">
        <f t="shared" si="5"/>
        <v>93</v>
      </c>
      <c r="P351" s="7">
        <f>IFERROR(O351/SUMIFS(元データ_加工!$C$2:$C$700,元データ_加工!$A$2:$A$700,$A351),"")</f>
        <v>5.9288537549407111E-3</v>
      </c>
    </row>
    <row r="352" spans="1:16" x14ac:dyDescent="0.45">
      <c r="A352" t="s">
        <v>59</v>
      </c>
      <c r="B352" t="s">
        <v>110</v>
      </c>
      <c r="C352" s="26">
        <f>SUMIFS(INDEX(元データ_加工!$C$2:$P$700,0,MATCH($B352,元データ_加工!$C$1:$P$1,0)),元データ_加工!$A$2:$A$700,$A352,元データ_加工!$B$2:$B$700,C$5)</f>
        <v>0</v>
      </c>
      <c r="D352" s="26">
        <f>SUMIFS(INDEX(元データ_加工!$C$2:$P$700,0,MATCH($B352,元データ_加工!$C$1:$P$1,0)),元データ_加工!$A$2:$A$700,$A352,元データ_加工!$B$2:$B$700,D$5)</f>
        <v>0</v>
      </c>
      <c r="E352" s="26">
        <f>SUMIFS(INDEX(元データ_加工!$C$2:$P$700,0,MATCH($B352,元データ_加工!$C$1:$P$1,0)),元データ_加工!$A$2:$A$700,$A352,元データ_加工!$B$2:$B$700,E$5)</f>
        <v>0</v>
      </c>
      <c r="F352" s="26">
        <f>SUMIFS(INDEX(元データ_加工!$C$2:$P$700,0,MATCH($B352,元データ_加工!$C$1:$P$1,0)),元データ_加工!$A$2:$A$700,$A352,元データ_加工!$B$2:$B$700,F$5)</f>
        <v>0</v>
      </c>
      <c r="G352" s="26">
        <f>SUMIFS(INDEX(元データ_加工!$C$2:$P$700,0,MATCH($B352,元データ_加工!$C$1:$P$1,0)),元データ_加工!$A$2:$A$700,$A352,元データ_加工!$B$2:$B$700,G$5)</f>
        <v>0</v>
      </c>
      <c r="H352" s="26">
        <f>SUMIFS(INDEX(元データ_加工!$C$2:$P$700,0,MATCH($B352,元データ_加工!$C$1:$P$1,0)),元データ_加工!$A$2:$A$700,$A352,元データ_加工!$B$2:$B$700,H$5)</f>
        <v>0</v>
      </c>
      <c r="I352" s="26">
        <f>SUMIFS(INDEX(元データ_加工!$C$2:$P$700,0,MATCH($B352,元データ_加工!$C$1:$P$1,0)),元データ_加工!$A$2:$A$700,$A352,元データ_加工!$B$2:$B$700,I$5)</f>
        <v>0</v>
      </c>
      <c r="J352" s="26">
        <f>SUMIFS(INDEX(元データ_加工!$C$2:$P$700,0,MATCH($B352,元データ_加工!$C$1:$P$1,0)),元データ_加工!$A$2:$A$700,$A352,元データ_加工!$B$2:$B$700,J$5)</f>
        <v>0</v>
      </c>
      <c r="K352" s="26">
        <f>SUMIFS(INDEX(元データ_加工!$C$2:$P$700,0,MATCH($B352,元データ_加工!$C$1:$P$1,0)),元データ_加工!$A$2:$A$700,$A352,元データ_加工!$B$2:$B$700,K$5)</f>
        <v>0</v>
      </c>
      <c r="L352" s="26">
        <f>SUMIFS(INDEX(元データ_加工!$C$2:$P$700,0,MATCH($B352,元データ_加工!$C$1:$P$1,0)),元データ_加工!$A$2:$A$700,$A352,元データ_加工!$B$2:$B$700,L$5)</f>
        <v>0</v>
      </c>
      <c r="M352" s="26">
        <f>SUMIFS(INDEX(元データ_加工!$C$2:$P$700,0,MATCH($B352,元データ_加工!$C$1:$P$1,0)),元データ_加工!$A$2:$A$700,$A352,元データ_加工!$B$2:$B$700,M$5)</f>
        <v>0</v>
      </c>
      <c r="N352" s="26">
        <f>SUMIFS(INDEX(元データ_加工!$C$2:$P$700,0,MATCH($B352,元データ_加工!$C$1:$P$1,0)),元データ_加工!$A$2:$A$700,$A352,元データ_加工!$B$2:$B$700,N$5)</f>
        <v>0</v>
      </c>
      <c r="O352" s="26">
        <f t="shared" si="5"/>
        <v>0</v>
      </c>
      <c r="P352" s="7">
        <f>IFERROR(O352/SUMIFS(元データ_加工!$C$2:$C$700,元データ_加工!$A$2:$A$700,$A352),"")</f>
        <v>0</v>
      </c>
    </row>
    <row r="353" spans="1:16" x14ac:dyDescent="0.45">
      <c r="A353" t="s">
        <v>59</v>
      </c>
      <c r="B353" t="s">
        <v>111</v>
      </c>
      <c r="C353" s="26">
        <f>SUMIFS(INDEX(元データ_加工!$C$2:$P$700,0,MATCH($B353,元データ_加工!$C$1:$P$1,0)),元データ_加工!$A$2:$A$700,$A353,元データ_加工!$B$2:$B$700,C$5)</f>
        <v>0</v>
      </c>
      <c r="D353" s="26">
        <f>SUMIFS(INDEX(元データ_加工!$C$2:$P$700,0,MATCH($B353,元データ_加工!$C$1:$P$1,0)),元データ_加工!$A$2:$A$700,$A353,元データ_加工!$B$2:$B$700,D$5)</f>
        <v>2</v>
      </c>
      <c r="E353" s="26">
        <f>SUMIFS(INDEX(元データ_加工!$C$2:$P$700,0,MATCH($B353,元データ_加工!$C$1:$P$1,0)),元データ_加工!$A$2:$A$700,$A353,元データ_加工!$B$2:$B$700,E$5)</f>
        <v>0</v>
      </c>
      <c r="F353" s="26">
        <f>SUMIFS(INDEX(元データ_加工!$C$2:$P$700,0,MATCH($B353,元データ_加工!$C$1:$P$1,0)),元データ_加工!$A$2:$A$700,$A353,元データ_加工!$B$2:$B$700,F$5)</f>
        <v>0</v>
      </c>
      <c r="G353" s="26">
        <f>SUMIFS(INDEX(元データ_加工!$C$2:$P$700,0,MATCH($B353,元データ_加工!$C$1:$P$1,0)),元データ_加工!$A$2:$A$700,$A353,元データ_加工!$B$2:$B$700,G$5)</f>
        <v>1</v>
      </c>
      <c r="H353" s="26">
        <f>SUMIFS(INDEX(元データ_加工!$C$2:$P$700,0,MATCH($B353,元データ_加工!$C$1:$P$1,0)),元データ_加工!$A$2:$A$700,$A353,元データ_加工!$B$2:$B$700,H$5)</f>
        <v>0</v>
      </c>
      <c r="I353" s="26">
        <f>SUMIFS(INDEX(元データ_加工!$C$2:$P$700,0,MATCH($B353,元データ_加工!$C$1:$P$1,0)),元データ_加工!$A$2:$A$700,$A353,元データ_加工!$B$2:$B$700,I$5)</f>
        <v>0</v>
      </c>
      <c r="J353" s="26">
        <f>SUMIFS(INDEX(元データ_加工!$C$2:$P$700,0,MATCH($B353,元データ_加工!$C$1:$P$1,0)),元データ_加工!$A$2:$A$700,$A353,元データ_加工!$B$2:$B$700,J$5)</f>
        <v>0</v>
      </c>
      <c r="K353" s="26">
        <f>SUMIFS(INDEX(元データ_加工!$C$2:$P$700,0,MATCH($B353,元データ_加工!$C$1:$P$1,0)),元データ_加工!$A$2:$A$700,$A353,元データ_加工!$B$2:$B$700,K$5)</f>
        <v>1</v>
      </c>
      <c r="L353" s="26">
        <f>SUMIFS(INDEX(元データ_加工!$C$2:$P$700,0,MATCH($B353,元データ_加工!$C$1:$P$1,0)),元データ_加工!$A$2:$A$700,$A353,元データ_加工!$B$2:$B$700,L$5)</f>
        <v>0</v>
      </c>
      <c r="M353" s="26">
        <f>SUMIFS(INDEX(元データ_加工!$C$2:$P$700,0,MATCH($B353,元データ_加工!$C$1:$P$1,0)),元データ_加工!$A$2:$A$700,$A353,元データ_加工!$B$2:$B$700,M$5)</f>
        <v>0</v>
      </c>
      <c r="N353" s="26">
        <f>SUMIFS(INDEX(元データ_加工!$C$2:$P$700,0,MATCH($B353,元データ_加工!$C$1:$P$1,0)),元データ_加工!$A$2:$A$700,$A353,元データ_加工!$B$2:$B$700,N$5)</f>
        <v>0</v>
      </c>
      <c r="O353" s="26">
        <f t="shared" si="5"/>
        <v>4</v>
      </c>
      <c r="P353" s="7">
        <f>IFERROR(O353/SUMIFS(元データ_加工!$C$2:$C$700,元データ_加工!$A$2:$A$700,$A353),"")</f>
        <v>2.550044625780951E-4</v>
      </c>
    </row>
    <row r="354" spans="1:16" x14ac:dyDescent="0.45">
      <c r="A354" t="s">
        <v>59</v>
      </c>
      <c r="B354" t="s">
        <v>112</v>
      </c>
      <c r="C354" s="26">
        <f>SUMIFS(INDEX(元データ_加工!$C$2:$P$700,0,MATCH($B354,元データ_加工!$C$1:$P$1,0)),元データ_加工!$A$2:$A$700,$A354,元データ_加工!$B$2:$B$700,C$5)</f>
        <v>0</v>
      </c>
      <c r="D354" s="26">
        <f>SUMIFS(INDEX(元データ_加工!$C$2:$P$700,0,MATCH($B354,元データ_加工!$C$1:$P$1,0)),元データ_加工!$A$2:$A$700,$A354,元データ_加工!$B$2:$B$700,D$5)</f>
        <v>0</v>
      </c>
      <c r="E354" s="26">
        <f>SUMIFS(INDEX(元データ_加工!$C$2:$P$700,0,MATCH($B354,元データ_加工!$C$1:$P$1,0)),元データ_加工!$A$2:$A$700,$A354,元データ_加工!$B$2:$B$700,E$5)</f>
        <v>0</v>
      </c>
      <c r="F354" s="26">
        <f>SUMIFS(INDEX(元データ_加工!$C$2:$P$700,0,MATCH($B354,元データ_加工!$C$1:$P$1,0)),元データ_加工!$A$2:$A$700,$A354,元データ_加工!$B$2:$B$700,F$5)</f>
        <v>0</v>
      </c>
      <c r="G354" s="26">
        <f>SUMIFS(INDEX(元データ_加工!$C$2:$P$700,0,MATCH($B354,元データ_加工!$C$1:$P$1,0)),元データ_加工!$A$2:$A$700,$A354,元データ_加工!$B$2:$B$700,G$5)</f>
        <v>0</v>
      </c>
      <c r="H354" s="26">
        <f>SUMIFS(INDEX(元データ_加工!$C$2:$P$700,0,MATCH($B354,元データ_加工!$C$1:$P$1,0)),元データ_加工!$A$2:$A$700,$A354,元データ_加工!$B$2:$B$700,H$5)</f>
        <v>0</v>
      </c>
      <c r="I354" s="26">
        <f>SUMIFS(INDEX(元データ_加工!$C$2:$P$700,0,MATCH($B354,元データ_加工!$C$1:$P$1,0)),元データ_加工!$A$2:$A$700,$A354,元データ_加工!$B$2:$B$700,I$5)</f>
        <v>0</v>
      </c>
      <c r="J354" s="26">
        <f>SUMIFS(INDEX(元データ_加工!$C$2:$P$700,0,MATCH($B354,元データ_加工!$C$1:$P$1,0)),元データ_加工!$A$2:$A$700,$A354,元データ_加工!$B$2:$B$700,J$5)</f>
        <v>0</v>
      </c>
      <c r="K354" s="26">
        <f>SUMIFS(INDEX(元データ_加工!$C$2:$P$700,0,MATCH($B354,元データ_加工!$C$1:$P$1,0)),元データ_加工!$A$2:$A$700,$A354,元データ_加工!$B$2:$B$700,K$5)</f>
        <v>1</v>
      </c>
      <c r="L354" s="26">
        <f>SUMIFS(INDEX(元データ_加工!$C$2:$P$700,0,MATCH($B354,元データ_加工!$C$1:$P$1,0)),元データ_加工!$A$2:$A$700,$A354,元データ_加工!$B$2:$B$700,L$5)</f>
        <v>0</v>
      </c>
      <c r="M354" s="26">
        <f>SUMIFS(INDEX(元データ_加工!$C$2:$P$700,0,MATCH($B354,元データ_加工!$C$1:$P$1,0)),元データ_加工!$A$2:$A$700,$A354,元データ_加工!$B$2:$B$700,M$5)</f>
        <v>0</v>
      </c>
      <c r="N354" s="26">
        <f>SUMIFS(INDEX(元データ_加工!$C$2:$P$700,0,MATCH($B354,元データ_加工!$C$1:$P$1,0)),元データ_加工!$A$2:$A$700,$A354,元データ_加工!$B$2:$B$700,N$5)</f>
        <v>0</v>
      </c>
      <c r="O354" s="26">
        <f t="shared" si="5"/>
        <v>1</v>
      </c>
      <c r="P354" s="7">
        <f>IFERROR(O354/SUMIFS(元データ_加工!$C$2:$C$700,元データ_加工!$A$2:$A$700,$A354),"")</f>
        <v>6.3751115644523776E-5</v>
      </c>
    </row>
    <row r="355" spans="1:16" x14ac:dyDescent="0.45">
      <c r="A355" t="s">
        <v>59</v>
      </c>
      <c r="B355" t="s">
        <v>113</v>
      </c>
      <c r="C355" s="26">
        <f>SUMIFS(INDEX(元データ_加工!$C$2:$P$700,0,MATCH($B355,元データ_加工!$C$1:$P$1,0)),元データ_加工!$A$2:$A$700,$A355,元データ_加工!$B$2:$B$700,C$5)</f>
        <v>0</v>
      </c>
      <c r="D355" s="26">
        <f>SUMIFS(INDEX(元データ_加工!$C$2:$P$700,0,MATCH($B355,元データ_加工!$C$1:$P$1,0)),元データ_加工!$A$2:$A$700,$A355,元データ_加工!$B$2:$B$700,D$5)</f>
        <v>0</v>
      </c>
      <c r="E355" s="26">
        <f>SUMIFS(INDEX(元データ_加工!$C$2:$P$700,0,MATCH($B355,元データ_加工!$C$1:$P$1,0)),元データ_加工!$A$2:$A$700,$A355,元データ_加工!$B$2:$B$700,E$5)</f>
        <v>0</v>
      </c>
      <c r="F355" s="26">
        <f>SUMIFS(INDEX(元データ_加工!$C$2:$P$700,0,MATCH($B355,元データ_加工!$C$1:$P$1,0)),元データ_加工!$A$2:$A$700,$A355,元データ_加工!$B$2:$B$700,F$5)</f>
        <v>0</v>
      </c>
      <c r="G355" s="26">
        <f>SUMIFS(INDEX(元データ_加工!$C$2:$P$700,0,MATCH($B355,元データ_加工!$C$1:$P$1,0)),元データ_加工!$A$2:$A$700,$A355,元データ_加工!$B$2:$B$700,G$5)</f>
        <v>0</v>
      </c>
      <c r="H355" s="26">
        <f>SUMIFS(INDEX(元データ_加工!$C$2:$P$700,0,MATCH($B355,元データ_加工!$C$1:$P$1,0)),元データ_加工!$A$2:$A$700,$A355,元データ_加工!$B$2:$B$700,H$5)</f>
        <v>0</v>
      </c>
      <c r="I355" s="26">
        <f>SUMIFS(INDEX(元データ_加工!$C$2:$P$700,0,MATCH($B355,元データ_加工!$C$1:$P$1,0)),元データ_加工!$A$2:$A$700,$A355,元データ_加工!$B$2:$B$700,I$5)</f>
        <v>0</v>
      </c>
      <c r="J355" s="26">
        <f>SUMIFS(INDEX(元データ_加工!$C$2:$P$700,0,MATCH($B355,元データ_加工!$C$1:$P$1,0)),元データ_加工!$A$2:$A$700,$A355,元データ_加工!$B$2:$B$700,J$5)</f>
        <v>0</v>
      </c>
      <c r="K355" s="26">
        <f>SUMIFS(INDEX(元データ_加工!$C$2:$P$700,0,MATCH($B355,元データ_加工!$C$1:$P$1,0)),元データ_加工!$A$2:$A$700,$A355,元データ_加工!$B$2:$B$700,K$5)</f>
        <v>0</v>
      </c>
      <c r="L355" s="26">
        <f>SUMIFS(INDEX(元データ_加工!$C$2:$P$700,0,MATCH($B355,元データ_加工!$C$1:$P$1,0)),元データ_加工!$A$2:$A$700,$A355,元データ_加工!$B$2:$B$700,L$5)</f>
        <v>0</v>
      </c>
      <c r="M355" s="26">
        <f>SUMIFS(INDEX(元データ_加工!$C$2:$P$700,0,MATCH($B355,元データ_加工!$C$1:$P$1,0)),元データ_加工!$A$2:$A$700,$A355,元データ_加工!$B$2:$B$700,M$5)</f>
        <v>0</v>
      </c>
      <c r="N355" s="26">
        <f>SUMIFS(INDEX(元データ_加工!$C$2:$P$700,0,MATCH($B355,元データ_加工!$C$1:$P$1,0)),元データ_加工!$A$2:$A$700,$A355,元データ_加工!$B$2:$B$700,N$5)</f>
        <v>0</v>
      </c>
      <c r="O355" s="26">
        <f t="shared" si="5"/>
        <v>0</v>
      </c>
      <c r="P355" s="7">
        <f>IFERROR(O355/SUMIFS(元データ_加工!$C$2:$C$700,元データ_加工!$A$2:$A$700,$A355),"")</f>
        <v>0</v>
      </c>
    </row>
    <row r="356" spans="1:16" x14ac:dyDescent="0.45">
      <c r="A356" t="s">
        <v>60</v>
      </c>
      <c r="B356" t="s">
        <v>100</v>
      </c>
      <c r="C356" s="26">
        <f>SUMIFS(INDEX(元データ_加工!$C$2:$P$700,0,MATCH($B356,元データ_加工!$C$1:$P$1,0)),元データ_加工!$A$2:$A$700,$A356,元データ_加工!$B$2:$B$700,C$5)</f>
        <v>580</v>
      </c>
      <c r="D356" s="26">
        <f>SUMIFS(INDEX(元データ_加工!$C$2:$P$700,0,MATCH($B356,元データ_加工!$C$1:$P$1,0)),元データ_加工!$A$2:$A$700,$A356,元データ_加工!$B$2:$B$700,D$5)</f>
        <v>851</v>
      </c>
      <c r="E356" s="26">
        <f>SUMIFS(INDEX(元データ_加工!$C$2:$P$700,0,MATCH($B356,元データ_加工!$C$1:$P$1,0)),元データ_加工!$A$2:$A$700,$A356,元データ_加工!$B$2:$B$700,E$5)</f>
        <v>955</v>
      </c>
      <c r="F356" s="26">
        <f>SUMIFS(INDEX(元データ_加工!$C$2:$P$700,0,MATCH($B356,元データ_加工!$C$1:$P$1,0)),元データ_加工!$A$2:$A$700,$A356,元データ_加工!$B$2:$B$700,F$5)</f>
        <v>806</v>
      </c>
      <c r="G356" s="26">
        <f>SUMIFS(INDEX(元データ_加工!$C$2:$P$700,0,MATCH($B356,元データ_加工!$C$1:$P$1,0)),元データ_加工!$A$2:$A$700,$A356,元データ_加工!$B$2:$B$700,G$5)</f>
        <v>864</v>
      </c>
      <c r="H356" s="26">
        <f>SUMIFS(INDEX(元データ_加工!$C$2:$P$700,0,MATCH($B356,元データ_加工!$C$1:$P$1,0)),元データ_加工!$A$2:$A$700,$A356,元データ_加工!$B$2:$B$700,H$5)</f>
        <v>687</v>
      </c>
      <c r="I356" s="26">
        <f>SUMIFS(INDEX(元データ_加工!$C$2:$P$700,0,MATCH($B356,元データ_加工!$C$1:$P$1,0)),元データ_加工!$A$2:$A$700,$A356,元データ_加工!$B$2:$B$700,I$5)</f>
        <v>539</v>
      </c>
      <c r="J356" s="26">
        <f>SUMIFS(INDEX(元データ_加工!$C$2:$P$700,0,MATCH($B356,元データ_加工!$C$1:$P$1,0)),元データ_加工!$A$2:$A$700,$A356,元データ_加工!$B$2:$B$700,J$5)</f>
        <v>1264</v>
      </c>
      <c r="K356" s="26">
        <f>SUMIFS(INDEX(元データ_加工!$C$2:$P$700,0,MATCH($B356,元データ_加工!$C$1:$P$1,0)),元データ_加工!$A$2:$A$700,$A356,元データ_加工!$B$2:$B$700,K$5)</f>
        <v>1585</v>
      </c>
      <c r="L356" s="26">
        <f>SUMIFS(INDEX(元データ_加工!$C$2:$P$700,0,MATCH($B356,元データ_加工!$C$1:$P$1,0)),元データ_加工!$A$2:$A$700,$A356,元データ_加工!$B$2:$B$700,L$5)</f>
        <v>1107</v>
      </c>
      <c r="M356" s="26">
        <f>SUMIFS(INDEX(元データ_加工!$C$2:$P$700,0,MATCH($B356,元データ_加工!$C$1:$P$1,0)),元データ_加工!$A$2:$A$700,$A356,元データ_加工!$B$2:$B$700,M$5)</f>
        <v>928</v>
      </c>
      <c r="N356" s="26">
        <f>SUMIFS(INDEX(元データ_加工!$C$2:$P$700,0,MATCH($B356,元データ_加工!$C$1:$P$1,0)),元データ_加工!$A$2:$A$700,$A356,元データ_加工!$B$2:$B$700,N$5)</f>
        <v>851</v>
      </c>
      <c r="O356" s="26">
        <f t="shared" si="5"/>
        <v>11017</v>
      </c>
      <c r="P356" s="7">
        <f>IFERROR(O356/SUMIFS(元データ_加工!$C$2:$C$700,元データ_加工!$A$2:$A$700,$A356),"")</f>
        <v>1</v>
      </c>
    </row>
    <row r="357" spans="1:16" x14ac:dyDescent="0.45">
      <c r="A357" t="s">
        <v>60</v>
      </c>
      <c r="B357" t="s">
        <v>101</v>
      </c>
      <c r="C357" s="26">
        <f>SUMIFS(INDEX(元データ_加工!$C$2:$P$700,0,MATCH($B357,元データ_加工!$C$1:$P$1,0)),元データ_加工!$A$2:$A$700,$A357,元データ_加工!$B$2:$B$700,C$5)</f>
        <v>304</v>
      </c>
      <c r="D357" s="26">
        <f>SUMIFS(INDEX(元データ_加工!$C$2:$P$700,0,MATCH($B357,元データ_加工!$C$1:$P$1,0)),元データ_加工!$A$2:$A$700,$A357,元データ_加工!$B$2:$B$700,D$5)</f>
        <v>404</v>
      </c>
      <c r="E357" s="26">
        <f>SUMIFS(INDEX(元データ_加工!$C$2:$P$700,0,MATCH($B357,元データ_加工!$C$1:$P$1,0)),元データ_加工!$A$2:$A$700,$A357,元データ_加工!$B$2:$B$700,E$5)</f>
        <v>438</v>
      </c>
      <c r="F357" s="26">
        <f>SUMIFS(INDEX(元データ_加工!$C$2:$P$700,0,MATCH($B357,元データ_加工!$C$1:$P$1,0)),元データ_加工!$A$2:$A$700,$A357,元データ_加工!$B$2:$B$700,F$5)</f>
        <v>396</v>
      </c>
      <c r="G357" s="26">
        <f>SUMIFS(INDEX(元データ_加工!$C$2:$P$700,0,MATCH($B357,元データ_加工!$C$1:$P$1,0)),元データ_加工!$A$2:$A$700,$A357,元データ_加工!$B$2:$B$700,G$5)</f>
        <v>427</v>
      </c>
      <c r="H357" s="26">
        <f>SUMIFS(INDEX(元データ_加工!$C$2:$P$700,0,MATCH($B357,元データ_加工!$C$1:$P$1,0)),元データ_加工!$A$2:$A$700,$A357,元データ_加工!$B$2:$B$700,H$5)</f>
        <v>308</v>
      </c>
      <c r="I357" s="26">
        <f>SUMIFS(INDEX(元データ_加工!$C$2:$P$700,0,MATCH($B357,元データ_加工!$C$1:$P$1,0)),元データ_加工!$A$2:$A$700,$A357,元データ_加工!$B$2:$B$700,I$5)</f>
        <v>331</v>
      </c>
      <c r="J357" s="26">
        <f>SUMIFS(INDEX(元データ_加工!$C$2:$P$700,0,MATCH($B357,元データ_加工!$C$1:$P$1,0)),元データ_加工!$A$2:$A$700,$A357,元データ_加工!$B$2:$B$700,J$5)</f>
        <v>426</v>
      </c>
      <c r="K357" s="26">
        <f>SUMIFS(INDEX(元データ_加工!$C$2:$P$700,0,MATCH($B357,元データ_加工!$C$1:$P$1,0)),元データ_加工!$A$2:$A$700,$A357,元データ_加工!$B$2:$B$700,K$5)</f>
        <v>434</v>
      </c>
      <c r="L357" s="26">
        <f>SUMIFS(INDEX(元データ_加工!$C$2:$P$700,0,MATCH($B357,元データ_加工!$C$1:$P$1,0)),元データ_加工!$A$2:$A$700,$A357,元データ_加工!$B$2:$B$700,L$5)</f>
        <v>384</v>
      </c>
      <c r="M357" s="26">
        <f>SUMIFS(INDEX(元データ_加工!$C$2:$P$700,0,MATCH($B357,元データ_加工!$C$1:$P$1,0)),元データ_加工!$A$2:$A$700,$A357,元データ_加工!$B$2:$B$700,M$5)</f>
        <v>437</v>
      </c>
      <c r="N357" s="26">
        <f>SUMIFS(INDEX(元データ_加工!$C$2:$P$700,0,MATCH($B357,元データ_加工!$C$1:$P$1,0)),元データ_加工!$A$2:$A$700,$A357,元データ_加工!$B$2:$B$700,N$5)</f>
        <v>387</v>
      </c>
      <c r="O357" s="26">
        <f t="shared" si="5"/>
        <v>4676</v>
      </c>
      <c r="P357" s="7">
        <f>IFERROR(O357/SUMIFS(元データ_加工!$C$2:$C$700,元データ_加工!$A$2:$A$700,$A357),"")</f>
        <v>0.42443496414631932</v>
      </c>
    </row>
    <row r="358" spans="1:16" x14ac:dyDescent="0.45">
      <c r="A358" t="s">
        <v>60</v>
      </c>
      <c r="B358" t="s">
        <v>102</v>
      </c>
      <c r="C358" s="26">
        <f>SUMIFS(INDEX(元データ_加工!$C$2:$P$700,0,MATCH($B358,元データ_加工!$C$1:$P$1,0)),元データ_加工!$A$2:$A$700,$A358,元データ_加工!$B$2:$B$700,C$5)</f>
        <v>0</v>
      </c>
      <c r="D358" s="26">
        <f>SUMIFS(INDEX(元データ_加工!$C$2:$P$700,0,MATCH($B358,元データ_加工!$C$1:$P$1,0)),元データ_加工!$A$2:$A$700,$A358,元データ_加工!$B$2:$B$700,D$5)</f>
        <v>0</v>
      </c>
      <c r="E358" s="26">
        <f>SUMIFS(INDEX(元データ_加工!$C$2:$P$700,0,MATCH($B358,元データ_加工!$C$1:$P$1,0)),元データ_加工!$A$2:$A$700,$A358,元データ_加工!$B$2:$B$700,E$5)</f>
        <v>0</v>
      </c>
      <c r="F358" s="26">
        <f>SUMIFS(INDEX(元データ_加工!$C$2:$P$700,0,MATCH($B358,元データ_加工!$C$1:$P$1,0)),元データ_加工!$A$2:$A$700,$A358,元データ_加工!$B$2:$B$700,F$5)</f>
        <v>0</v>
      </c>
      <c r="G358" s="26">
        <f>SUMIFS(INDEX(元データ_加工!$C$2:$P$700,0,MATCH($B358,元データ_加工!$C$1:$P$1,0)),元データ_加工!$A$2:$A$700,$A358,元データ_加工!$B$2:$B$700,G$5)</f>
        <v>0</v>
      </c>
      <c r="H358" s="26">
        <f>SUMIFS(INDEX(元データ_加工!$C$2:$P$700,0,MATCH($B358,元データ_加工!$C$1:$P$1,0)),元データ_加工!$A$2:$A$700,$A358,元データ_加工!$B$2:$B$700,H$5)</f>
        <v>0</v>
      </c>
      <c r="I358" s="26">
        <f>SUMIFS(INDEX(元データ_加工!$C$2:$P$700,0,MATCH($B358,元データ_加工!$C$1:$P$1,0)),元データ_加工!$A$2:$A$700,$A358,元データ_加工!$B$2:$B$700,I$5)</f>
        <v>0</v>
      </c>
      <c r="J358" s="26">
        <f>SUMIFS(INDEX(元データ_加工!$C$2:$P$700,0,MATCH($B358,元データ_加工!$C$1:$P$1,0)),元データ_加工!$A$2:$A$700,$A358,元データ_加工!$B$2:$B$700,J$5)</f>
        <v>3</v>
      </c>
      <c r="K358" s="26">
        <f>SUMIFS(INDEX(元データ_加工!$C$2:$P$700,0,MATCH($B358,元データ_加工!$C$1:$P$1,0)),元データ_加工!$A$2:$A$700,$A358,元データ_加工!$B$2:$B$700,K$5)</f>
        <v>0</v>
      </c>
      <c r="L358" s="26">
        <f>SUMIFS(INDEX(元データ_加工!$C$2:$P$700,0,MATCH($B358,元データ_加工!$C$1:$P$1,0)),元データ_加工!$A$2:$A$700,$A358,元データ_加工!$B$2:$B$700,L$5)</f>
        <v>0</v>
      </c>
      <c r="M358" s="26">
        <f>SUMIFS(INDEX(元データ_加工!$C$2:$P$700,0,MATCH($B358,元データ_加工!$C$1:$P$1,0)),元データ_加工!$A$2:$A$700,$A358,元データ_加工!$B$2:$B$700,M$5)</f>
        <v>0</v>
      </c>
      <c r="N358" s="26">
        <f>SUMIFS(INDEX(元データ_加工!$C$2:$P$700,0,MATCH($B358,元データ_加工!$C$1:$P$1,0)),元データ_加工!$A$2:$A$700,$A358,元データ_加工!$B$2:$B$700,N$5)</f>
        <v>0</v>
      </c>
      <c r="O358" s="26">
        <f t="shared" si="5"/>
        <v>3</v>
      </c>
      <c r="P358" s="7">
        <f>IFERROR(O358/SUMIFS(元データ_加工!$C$2:$C$700,元データ_加工!$A$2:$A$700,$A358),"")</f>
        <v>2.723064355087592E-4</v>
      </c>
    </row>
    <row r="359" spans="1:16" x14ac:dyDescent="0.45">
      <c r="A359" t="s">
        <v>60</v>
      </c>
      <c r="B359" t="s">
        <v>103</v>
      </c>
      <c r="C359" s="26">
        <f>SUMIFS(INDEX(元データ_加工!$C$2:$P$700,0,MATCH($B359,元データ_加工!$C$1:$P$1,0)),元データ_加工!$A$2:$A$700,$A359,元データ_加工!$B$2:$B$700,C$5)</f>
        <v>0</v>
      </c>
      <c r="D359" s="26">
        <f>SUMIFS(INDEX(元データ_加工!$C$2:$P$700,0,MATCH($B359,元データ_加工!$C$1:$P$1,0)),元データ_加工!$A$2:$A$700,$A359,元データ_加工!$B$2:$B$700,D$5)</f>
        <v>0</v>
      </c>
      <c r="E359" s="26">
        <f>SUMIFS(INDEX(元データ_加工!$C$2:$P$700,0,MATCH($B359,元データ_加工!$C$1:$P$1,0)),元データ_加工!$A$2:$A$700,$A359,元データ_加工!$B$2:$B$700,E$5)</f>
        <v>0</v>
      </c>
      <c r="F359" s="26">
        <f>SUMIFS(INDEX(元データ_加工!$C$2:$P$700,0,MATCH($B359,元データ_加工!$C$1:$P$1,0)),元データ_加工!$A$2:$A$700,$A359,元データ_加工!$B$2:$B$700,F$5)</f>
        <v>3</v>
      </c>
      <c r="G359" s="26">
        <f>SUMIFS(INDEX(元データ_加工!$C$2:$P$700,0,MATCH($B359,元データ_加工!$C$1:$P$1,0)),元データ_加工!$A$2:$A$700,$A359,元データ_加工!$B$2:$B$700,G$5)</f>
        <v>14</v>
      </c>
      <c r="H359" s="26">
        <f>SUMIFS(INDEX(元データ_加工!$C$2:$P$700,0,MATCH($B359,元データ_加工!$C$1:$P$1,0)),元データ_加工!$A$2:$A$700,$A359,元データ_加工!$B$2:$B$700,H$5)</f>
        <v>7</v>
      </c>
      <c r="I359" s="26">
        <f>SUMIFS(INDEX(元データ_加工!$C$2:$P$700,0,MATCH($B359,元データ_加工!$C$1:$P$1,0)),元データ_加工!$A$2:$A$700,$A359,元データ_加工!$B$2:$B$700,I$5)</f>
        <v>2</v>
      </c>
      <c r="J359" s="26">
        <f>SUMIFS(INDEX(元データ_加工!$C$2:$P$700,0,MATCH($B359,元データ_加工!$C$1:$P$1,0)),元データ_加工!$A$2:$A$700,$A359,元データ_加工!$B$2:$B$700,J$5)</f>
        <v>1</v>
      </c>
      <c r="K359" s="26">
        <f>SUMIFS(INDEX(元データ_加工!$C$2:$P$700,0,MATCH($B359,元データ_加工!$C$1:$P$1,0)),元データ_加工!$A$2:$A$700,$A359,元データ_加工!$B$2:$B$700,K$5)</f>
        <v>3</v>
      </c>
      <c r="L359" s="26">
        <f>SUMIFS(INDEX(元データ_加工!$C$2:$P$700,0,MATCH($B359,元データ_加工!$C$1:$P$1,0)),元データ_加工!$A$2:$A$700,$A359,元データ_加工!$B$2:$B$700,L$5)</f>
        <v>0</v>
      </c>
      <c r="M359" s="26">
        <f>SUMIFS(INDEX(元データ_加工!$C$2:$P$700,0,MATCH($B359,元データ_加工!$C$1:$P$1,0)),元データ_加工!$A$2:$A$700,$A359,元データ_加工!$B$2:$B$700,M$5)</f>
        <v>0</v>
      </c>
      <c r="N359" s="26">
        <f>SUMIFS(INDEX(元データ_加工!$C$2:$P$700,0,MATCH($B359,元データ_加工!$C$1:$P$1,0)),元データ_加工!$A$2:$A$700,$A359,元データ_加工!$B$2:$B$700,N$5)</f>
        <v>0</v>
      </c>
      <c r="O359" s="26">
        <f t="shared" si="5"/>
        <v>30</v>
      </c>
      <c r="P359" s="7">
        <f>IFERROR(O359/SUMIFS(元データ_加工!$C$2:$C$700,元データ_加工!$A$2:$A$700,$A359),"")</f>
        <v>2.723064355087592E-3</v>
      </c>
    </row>
    <row r="360" spans="1:16" x14ac:dyDescent="0.45">
      <c r="A360" t="s">
        <v>60</v>
      </c>
      <c r="B360" t="s">
        <v>104</v>
      </c>
      <c r="C360" s="26">
        <f>SUMIFS(INDEX(元データ_加工!$C$2:$P$700,0,MATCH($B360,元データ_加工!$C$1:$P$1,0)),元データ_加工!$A$2:$A$700,$A360,元データ_加工!$B$2:$B$700,C$5)</f>
        <v>2</v>
      </c>
      <c r="D360" s="26">
        <f>SUMIFS(INDEX(元データ_加工!$C$2:$P$700,0,MATCH($B360,元データ_加工!$C$1:$P$1,0)),元データ_加工!$A$2:$A$700,$A360,元データ_加工!$B$2:$B$700,D$5)</f>
        <v>4</v>
      </c>
      <c r="E360" s="26">
        <f>SUMIFS(INDEX(元データ_加工!$C$2:$P$700,0,MATCH($B360,元データ_加工!$C$1:$P$1,0)),元データ_加工!$A$2:$A$700,$A360,元データ_加工!$B$2:$B$700,E$5)</f>
        <v>16</v>
      </c>
      <c r="F360" s="26">
        <f>SUMIFS(INDEX(元データ_加工!$C$2:$P$700,0,MATCH($B360,元データ_加工!$C$1:$P$1,0)),元データ_加工!$A$2:$A$700,$A360,元データ_加工!$B$2:$B$700,F$5)</f>
        <v>10</v>
      </c>
      <c r="G360" s="26">
        <f>SUMIFS(INDEX(元データ_加工!$C$2:$P$700,0,MATCH($B360,元データ_加工!$C$1:$P$1,0)),元データ_加工!$A$2:$A$700,$A360,元データ_加工!$B$2:$B$700,G$5)</f>
        <v>7</v>
      </c>
      <c r="H360" s="26">
        <f>SUMIFS(INDEX(元データ_加工!$C$2:$P$700,0,MATCH($B360,元データ_加工!$C$1:$P$1,0)),元データ_加工!$A$2:$A$700,$A360,元データ_加工!$B$2:$B$700,H$5)</f>
        <v>10</v>
      </c>
      <c r="I360" s="26">
        <f>SUMIFS(INDEX(元データ_加工!$C$2:$P$700,0,MATCH($B360,元データ_加工!$C$1:$P$1,0)),元データ_加工!$A$2:$A$700,$A360,元データ_加工!$B$2:$B$700,I$5)</f>
        <v>6</v>
      </c>
      <c r="J360" s="26">
        <f>SUMIFS(INDEX(元データ_加工!$C$2:$P$700,0,MATCH($B360,元データ_加工!$C$1:$P$1,0)),元データ_加工!$A$2:$A$700,$A360,元データ_加工!$B$2:$B$700,J$5)</f>
        <v>36</v>
      </c>
      <c r="K360" s="26">
        <f>SUMIFS(INDEX(元データ_加工!$C$2:$P$700,0,MATCH($B360,元データ_加工!$C$1:$P$1,0)),元データ_加工!$A$2:$A$700,$A360,元データ_加工!$B$2:$B$700,K$5)</f>
        <v>34</v>
      </c>
      <c r="L360" s="26">
        <f>SUMIFS(INDEX(元データ_加工!$C$2:$P$700,0,MATCH($B360,元データ_加工!$C$1:$P$1,0)),元データ_加工!$A$2:$A$700,$A360,元データ_加工!$B$2:$B$700,L$5)</f>
        <v>46</v>
      </c>
      <c r="M360" s="26">
        <f>SUMIFS(INDEX(元データ_加工!$C$2:$P$700,0,MATCH($B360,元データ_加工!$C$1:$P$1,0)),元データ_加工!$A$2:$A$700,$A360,元データ_加工!$B$2:$B$700,M$5)</f>
        <v>24</v>
      </c>
      <c r="N360" s="26">
        <f>SUMIFS(INDEX(元データ_加工!$C$2:$P$700,0,MATCH($B360,元データ_加工!$C$1:$P$1,0)),元データ_加工!$A$2:$A$700,$A360,元データ_加工!$B$2:$B$700,N$5)</f>
        <v>12</v>
      </c>
      <c r="O360" s="26">
        <f t="shared" si="5"/>
        <v>207</v>
      </c>
      <c r="P360" s="7">
        <f>IFERROR(O360/SUMIFS(元データ_加工!$C$2:$C$700,元データ_加工!$A$2:$A$700,$A360),"")</f>
        <v>1.8789144050104383E-2</v>
      </c>
    </row>
    <row r="361" spans="1:16" x14ac:dyDescent="0.45">
      <c r="A361" t="s">
        <v>60</v>
      </c>
      <c r="B361" t="s">
        <v>105</v>
      </c>
      <c r="C361" s="26">
        <f>SUMIFS(INDEX(元データ_加工!$C$2:$P$700,0,MATCH($B361,元データ_加工!$C$1:$P$1,0)),元データ_加工!$A$2:$A$700,$A361,元データ_加工!$B$2:$B$700,C$5)</f>
        <v>0</v>
      </c>
      <c r="D361" s="26">
        <f>SUMIFS(INDEX(元データ_加工!$C$2:$P$700,0,MATCH($B361,元データ_加工!$C$1:$P$1,0)),元データ_加工!$A$2:$A$700,$A361,元データ_加工!$B$2:$B$700,D$5)</f>
        <v>11</v>
      </c>
      <c r="E361" s="26">
        <f>SUMIFS(INDEX(元データ_加工!$C$2:$P$700,0,MATCH($B361,元データ_加工!$C$1:$P$1,0)),元データ_加工!$A$2:$A$700,$A361,元データ_加工!$B$2:$B$700,E$5)</f>
        <v>4</v>
      </c>
      <c r="F361" s="26">
        <f>SUMIFS(INDEX(元データ_加工!$C$2:$P$700,0,MATCH($B361,元データ_加工!$C$1:$P$1,0)),元データ_加工!$A$2:$A$700,$A361,元データ_加工!$B$2:$B$700,F$5)</f>
        <v>0</v>
      </c>
      <c r="G361" s="26">
        <f>SUMIFS(INDEX(元データ_加工!$C$2:$P$700,0,MATCH($B361,元データ_加工!$C$1:$P$1,0)),元データ_加工!$A$2:$A$700,$A361,元データ_加工!$B$2:$B$700,G$5)</f>
        <v>2</v>
      </c>
      <c r="H361" s="26">
        <f>SUMIFS(INDEX(元データ_加工!$C$2:$P$700,0,MATCH($B361,元データ_加工!$C$1:$P$1,0)),元データ_加工!$A$2:$A$700,$A361,元データ_加工!$B$2:$B$700,H$5)</f>
        <v>4</v>
      </c>
      <c r="I361" s="26">
        <f>SUMIFS(INDEX(元データ_加工!$C$2:$P$700,0,MATCH($B361,元データ_加工!$C$1:$P$1,0)),元データ_加工!$A$2:$A$700,$A361,元データ_加工!$B$2:$B$700,I$5)</f>
        <v>8</v>
      </c>
      <c r="J361" s="26">
        <f>SUMIFS(INDEX(元データ_加工!$C$2:$P$700,0,MATCH($B361,元データ_加工!$C$1:$P$1,0)),元データ_加工!$A$2:$A$700,$A361,元データ_加工!$B$2:$B$700,J$5)</f>
        <v>26</v>
      </c>
      <c r="K361" s="26">
        <f>SUMIFS(INDEX(元データ_加工!$C$2:$P$700,0,MATCH($B361,元データ_加工!$C$1:$P$1,0)),元データ_加工!$A$2:$A$700,$A361,元データ_加工!$B$2:$B$700,K$5)</f>
        <v>72</v>
      </c>
      <c r="L361" s="26">
        <f>SUMIFS(INDEX(元データ_加工!$C$2:$P$700,0,MATCH($B361,元データ_加工!$C$1:$P$1,0)),元データ_加工!$A$2:$A$700,$A361,元データ_加工!$B$2:$B$700,L$5)</f>
        <v>30</v>
      </c>
      <c r="M361" s="26">
        <f>SUMIFS(INDEX(元データ_加工!$C$2:$P$700,0,MATCH($B361,元データ_加工!$C$1:$P$1,0)),元データ_加工!$A$2:$A$700,$A361,元データ_加工!$B$2:$B$700,M$5)</f>
        <v>18</v>
      </c>
      <c r="N361" s="26">
        <f>SUMIFS(INDEX(元データ_加工!$C$2:$P$700,0,MATCH($B361,元データ_加工!$C$1:$P$1,0)),元データ_加工!$A$2:$A$700,$A361,元データ_加工!$B$2:$B$700,N$5)</f>
        <v>13</v>
      </c>
      <c r="O361" s="26">
        <f t="shared" si="5"/>
        <v>188</v>
      </c>
      <c r="P361" s="7">
        <f>IFERROR(O361/SUMIFS(元データ_加工!$C$2:$C$700,元データ_加工!$A$2:$A$700,$A361),"")</f>
        <v>1.7064536625215575E-2</v>
      </c>
    </row>
    <row r="362" spans="1:16" x14ac:dyDescent="0.45">
      <c r="A362" t="s">
        <v>60</v>
      </c>
      <c r="B362" t="s">
        <v>106</v>
      </c>
      <c r="C362" s="26">
        <f>SUMIFS(INDEX(元データ_加工!$C$2:$P$700,0,MATCH($B362,元データ_加工!$C$1:$P$1,0)),元データ_加工!$A$2:$A$700,$A362,元データ_加工!$B$2:$B$700,C$5)</f>
        <v>102</v>
      </c>
      <c r="D362" s="26">
        <f>SUMIFS(INDEX(元データ_加工!$C$2:$P$700,0,MATCH($B362,元データ_加工!$C$1:$P$1,0)),元データ_加工!$A$2:$A$700,$A362,元データ_加工!$B$2:$B$700,D$5)</f>
        <v>88</v>
      </c>
      <c r="E362" s="26">
        <f>SUMIFS(INDEX(元データ_加工!$C$2:$P$700,0,MATCH($B362,元データ_加工!$C$1:$P$1,0)),元データ_加工!$A$2:$A$700,$A362,元データ_加工!$B$2:$B$700,E$5)</f>
        <v>76</v>
      </c>
      <c r="F362" s="26">
        <f>SUMIFS(INDEX(元データ_加工!$C$2:$P$700,0,MATCH($B362,元データ_加工!$C$1:$P$1,0)),元データ_加工!$A$2:$A$700,$A362,元データ_加工!$B$2:$B$700,F$5)</f>
        <v>59</v>
      </c>
      <c r="G362" s="26">
        <f>SUMIFS(INDEX(元データ_加工!$C$2:$P$700,0,MATCH($B362,元データ_加工!$C$1:$P$1,0)),元データ_加工!$A$2:$A$700,$A362,元データ_加工!$B$2:$B$700,G$5)</f>
        <v>79</v>
      </c>
      <c r="H362" s="26">
        <f>SUMIFS(INDEX(元データ_加工!$C$2:$P$700,0,MATCH($B362,元データ_加工!$C$1:$P$1,0)),元データ_加工!$A$2:$A$700,$A362,元データ_加工!$B$2:$B$700,H$5)</f>
        <v>68</v>
      </c>
      <c r="I362" s="26">
        <f>SUMIFS(INDEX(元データ_加工!$C$2:$P$700,0,MATCH($B362,元データ_加工!$C$1:$P$1,0)),元データ_加工!$A$2:$A$700,$A362,元データ_加工!$B$2:$B$700,I$5)</f>
        <v>39</v>
      </c>
      <c r="J362" s="26">
        <f>SUMIFS(INDEX(元データ_加工!$C$2:$P$700,0,MATCH($B362,元データ_加工!$C$1:$P$1,0)),元データ_加工!$A$2:$A$700,$A362,元データ_加工!$B$2:$B$700,J$5)</f>
        <v>73</v>
      </c>
      <c r="K362" s="26">
        <f>SUMIFS(INDEX(元データ_加工!$C$2:$P$700,0,MATCH($B362,元データ_加工!$C$1:$P$1,0)),元データ_加工!$A$2:$A$700,$A362,元データ_加工!$B$2:$B$700,K$5)</f>
        <v>71</v>
      </c>
      <c r="L362" s="26">
        <f>SUMIFS(INDEX(元データ_加工!$C$2:$P$700,0,MATCH($B362,元データ_加工!$C$1:$P$1,0)),元データ_加工!$A$2:$A$700,$A362,元データ_加工!$B$2:$B$700,L$5)</f>
        <v>70</v>
      </c>
      <c r="M362" s="26">
        <f>SUMIFS(INDEX(元データ_加工!$C$2:$P$700,0,MATCH($B362,元データ_加工!$C$1:$P$1,0)),元データ_加工!$A$2:$A$700,$A362,元データ_加工!$B$2:$B$700,M$5)</f>
        <v>101</v>
      </c>
      <c r="N362" s="26">
        <f>SUMIFS(INDEX(元データ_加工!$C$2:$P$700,0,MATCH($B362,元データ_加工!$C$1:$P$1,0)),元データ_加工!$A$2:$A$700,$A362,元データ_加工!$B$2:$B$700,N$5)</f>
        <v>123</v>
      </c>
      <c r="O362" s="26">
        <f t="shared" si="5"/>
        <v>949</v>
      </c>
      <c r="P362" s="7">
        <f>IFERROR(O362/SUMIFS(元データ_加工!$C$2:$C$700,元データ_加工!$A$2:$A$700,$A362),"")</f>
        <v>8.6139602432604157E-2</v>
      </c>
    </row>
    <row r="363" spans="1:16" x14ac:dyDescent="0.45">
      <c r="A363" t="s">
        <v>60</v>
      </c>
      <c r="B363" t="s">
        <v>107</v>
      </c>
      <c r="C363" s="26">
        <f>SUMIFS(INDEX(元データ_加工!$C$2:$P$700,0,MATCH($B363,元データ_加工!$C$1:$P$1,0)),元データ_加工!$A$2:$A$700,$A363,元データ_加工!$B$2:$B$700,C$5)</f>
        <v>9</v>
      </c>
      <c r="D363" s="26">
        <f>SUMIFS(INDEX(元データ_加工!$C$2:$P$700,0,MATCH($B363,元データ_加工!$C$1:$P$1,0)),元データ_加工!$A$2:$A$700,$A363,元データ_加工!$B$2:$B$700,D$5)</f>
        <v>14</v>
      </c>
      <c r="E363" s="26">
        <f>SUMIFS(INDEX(元データ_加工!$C$2:$P$700,0,MATCH($B363,元データ_加工!$C$1:$P$1,0)),元データ_加工!$A$2:$A$700,$A363,元データ_加工!$B$2:$B$700,E$5)</f>
        <v>8</v>
      </c>
      <c r="F363" s="26">
        <f>SUMIFS(INDEX(元データ_加工!$C$2:$P$700,0,MATCH($B363,元データ_加工!$C$1:$P$1,0)),元データ_加工!$A$2:$A$700,$A363,元データ_加工!$B$2:$B$700,F$5)</f>
        <v>0</v>
      </c>
      <c r="G363" s="26">
        <f>SUMIFS(INDEX(元データ_加工!$C$2:$P$700,0,MATCH($B363,元データ_加工!$C$1:$P$1,0)),元データ_加工!$A$2:$A$700,$A363,元データ_加工!$B$2:$B$700,G$5)</f>
        <v>4</v>
      </c>
      <c r="H363" s="26">
        <f>SUMIFS(INDEX(元データ_加工!$C$2:$P$700,0,MATCH($B363,元データ_加工!$C$1:$P$1,0)),元データ_加工!$A$2:$A$700,$A363,元データ_加工!$B$2:$B$700,H$5)</f>
        <v>0</v>
      </c>
      <c r="I363" s="26">
        <f>SUMIFS(INDEX(元データ_加工!$C$2:$P$700,0,MATCH($B363,元データ_加工!$C$1:$P$1,0)),元データ_加工!$A$2:$A$700,$A363,元データ_加工!$B$2:$B$700,I$5)</f>
        <v>0</v>
      </c>
      <c r="J363" s="26">
        <f>SUMIFS(INDEX(元データ_加工!$C$2:$P$700,0,MATCH($B363,元データ_加工!$C$1:$P$1,0)),元データ_加工!$A$2:$A$700,$A363,元データ_加工!$B$2:$B$700,J$5)</f>
        <v>7</v>
      </c>
      <c r="K363" s="26">
        <f>SUMIFS(INDEX(元データ_加工!$C$2:$P$700,0,MATCH($B363,元データ_加工!$C$1:$P$1,0)),元データ_加工!$A$2:$A$700,$A363,元データ_加工!$B$2:$B$700,K$5)</f>
        <v>3</v>
      </c>
      <c r="L363" s="26">
        <f>SUMIFS(INDEX(元データ_加工!$C$2:$P$700,0,MATCH($B363,元データ_加工!$C$1:$P$1,0)),元データ_加工!$A$2:$A$700,$A363,元データ_加工!$B$2:$B$700,L$5)</f>
        <v>0</v>
      </c>
      <c r="M363" s="26">
        <f>SUMIFS(INDEX(元データ_加工!$C$2:$P$700,0,MATCH($B363,元データ_加工!$C$1:$P$1,0)),元データ_加工!$A$2:$A$700,$A363,元データ_加工!$B$2:$B$700,M$5)</f>
        <v>1</v>
      </c>
      <c r="N363" s="26">
        <f>SUMIFS(INDEX(元データ_加工!$C$2:$P$700,0,MATCH($B363,元データ_加工!$C$1:$P$1,0)),元データ_加工!$A$2:$A$700,$A363,元データ_加工!$B$2:$B$700,N$5)</f>
        <v>14</v>
      </c>
      <c r="O363" s="26">
        <f t="shared" si="5"/>
        <v>60</v>
      </c>
      <c r="P363" s="7">
        <f>IFERROR(O363/SUMIFS(元データ_加工!$C$2:$C$700,元データ_加工!$A$2:$A$700,$A363),"")</f>
        <v>5.446128710175184E-3</v>
      </c>
    </row>
    <row r="364" spans="1:16" x14ac:dyDescent="0.45">
      <c r="A364" t="s">
        <v>60</v>
      </c>
      <c r="B364" t="s">
        <v>108</v>
      </c>
      <c r="C364" s="26">
        <f>SUMIFS(INDEX(元データ_加工!$C$2:$P$700,0,MATCH($B364,元データ_加工!$C$1:$P$1,0)),元データ_加工!$A$2:$A$700,$A364,元データ_加工!$B$2:$B$700,C$5)</f>
        <v>0</v>
      </c>
      <c r="D364" s="26">
        <f>SUMIFS(INDEX(元データ_加工!$C$2:$P$700,0,MATCH($B364,元データ_加工!$C$1:$P$1,0)),元データ_加工!$A$2:$A$700,$A364,元データ_加工!$B$2:$B$700,D$5)</f>
        <v>27</v>
      </c>
      <c r="E364" s="26">
        <f>SUMIFS(INDEX(元データ_加工!$C$2:$P$700,0,MATCH($B364,元データ_加工!$C$1:$P$1,0)),元データ_加工!$A$2:$A$700,$A364,元データ_加工!$B$2:$B$700,E$5)</f>
        <v>12</v>
      </c>
      <c r="F364" s="26">
        <f>SUMIFS(INDEX(元データ_加工!$C$2:$P$700,0,MATCH($B364,元データ_加工!$C$1:$P$1,0)),元データ_加工!$A$2:$A$700,$A364,元データ_加工!$B$2:$B$700,F$5)</f>
        <v>8</v>
      </c>
      <c r="G364" s="26">
        <f>SUMIFS(INDEX(元データ_加工!$C$2:$P$700,0,MATCH($B364,元データ_加工!$C$1:$P$1,0)),元データ_加工!$A$2:$A$700,$A364,元データ_加工!$B$2:$B$700,G$5)</f>
        <v>5</v>
      </c>
      <c r="H364" s="26">
        <f>SUMIFS(INDEX(元データ_加工!$C$2:$P$700,0,MATCH($B364,元データ_加工!$C$1:$P$1,0)),元データ_加工!$A$2:$A$700,$A364,元データ_加工!$B$2:$B$700,H$5)</f>
        <v>8</v>
      </c>
      <c r="I364" s="26">
        <f>SUMIFS(INDEX(元データ_加工!$C$2:$P$700,0,MATCH($B364,元データ_加工!$C$1:$P$1,0)),元データ_加工!$A$2:$A$700,$A364,元データ_加工!$B$2:$B$700,I$5)</f>
        <v>0</v>
      </c>
      <c r="J364" s="26">
        <f>SUMIFS(INDEX(元データ_加工!$C$2:$P$700,0,MATCH($B364,元データ_加工!$C$1:$P$1,0)),元データ_加工!$A$2:$A$700,$A364,元データ_加工!$B$2:$B$700,J$5)</f>
        <v>3</v>
      </c>
      <c r="K364" s="26">
        <f>SUMIFS(INDEX(元データ_加工!$C$2:$P$700,0,MATCH($B364,元データ_加工!$C$1:$P$1,0)),元データ_加工!$A$2:$A$700,$A364,元データ_加工!$B$2:$B$700,K$5)</f>
        <v>0</v>
      </c>
      <c r="L364" s="26">
        <f>SUMIFS(INDEX(元データ_加工!$C$2:$P$700,0,MATCH($B364,元データ_加工!$C$1:$P$1,0)),元データ_加工!$A$2:$A$700,$A364,元データ_加工!$B$2:$B$700,L$5)</f>
        <v>2</v>
      </c>
      <c r="M364" s="26">
        <f>SUMIFS(INDEX(元データ_加工!$C$2:$P$700,0,MATCH($B364,元データ_加工!$C$1:$P$1,0)),元データ_加工!$A$2:$A$700,$A364,元データ_加工!$B$2:$B$700,M$5)</f>
        <v>0</v>
      </c>
      <c r="N364" s="26">
        <f>SUMIFS(INDEX(元データ_加工!$C$2:$P$700,0,MATCH($B364,元データ_加工!$C$1:$P$1,0)),元データ_加工!$A$2:$A$700,$A364,元データ_加工!$B$2:$B$700,N$5)</f>
        <v>0</v>
      </c>
      <c r="O364" s="26">
        <f t="shared" si="5"/>
        <v>65</v>
      </c>
      <c r="P364" s="7">
        <f>IFERROR(O364/SUMIFS(元データ_加工!$C$2:$C$700,元データ_加工!$A$2:$A$700,$A364),"")</f>
        <v>5.8999727693564491E-3</v>
      </c>
    </row>
    <row r="365" spans="1:16" x14ac:dyDescent="0.45">
      <c r="A365" t="s">
        <v>60</v>
      </c>
      <c r="B365" t="s">
        <v>109</v>
      </c>
      <c r="C365" s="26">
        <f>SUMIFS(INDEX(元データ_加工!$C$2:$P$700,0,MATCH($B365,元データ_加工!$C$1:$P$1,0)),元データ_加工!$A$2:$A$700,$A365,元データ_加工!$B$2:$B$700,C$5)</f>
        <v>11</v>
      </c>
      <c r="D365" s="26">
        <f>SUMIFS(INDEX(元データ_加工!$C$2:$P$700,0,MATCH($B365,元データ_加工!$C$1:$P$1,0)),元データ_加工!$A$2:$A$700,$A365,元データ_加工!$B$2:$B$700,D$5)</f>
        <v>28</v>
      </c>
      <c r="E365" s="26">
        <f>SUMIFS(INDEX(元データ_加工!$C$2:$P$700,0,MATCH($B365,元データ_加工!$C$1:$P$1,0)),元データ_加工!$A$2:$A$700,$A365,元データ_加工!$B$2:$B$700,E$5)</f>
        <v>30</v>
      </c>
      <c r="F365" s="26">
        <f>SUMIFS(INDEX(元データ_加工!$C$2:$P$700,0,MATCH($B365,元データ_加工!$C$1:$P$1,0)),元データ_加工!$A$2:$A$700,$A365,元データ_加工!$B$2:$B$700,F$5)</f>
        <v>27</v>
      </c>
      <c r="G365" s="26">
        <f>SUMIFS(INDEX(元データ_加工!$C$2:$P$700,0,MATCH($B365,元データ_加工!$C$1:$P$1,0)),元データ_加工!$A$2:$A$700,$A365,元データ_加工!$B$2:$B$700,G$5)</f>
        <v>26</v>
      </c>
      <c r="H365" s="26">
        <f>SUMIFS(INDEX(元データ_加工!$C$2:$P$700,0,MATCH($B365,元データ_加工!$C$1:$P$1,0)),元データ_加工!$A$2:$A$700,$A365,元データ_加工!$B$2:$B$700,H$5)</f>
        <v>12</v>
      </c>
      <c r="I365" s="26">
        <f>SUMIFS(INDEX(元データ_加工!$C$2:$P$700,0,MATCH($B365,元データ_加工!$C$1:$P$1,0)),元データ_加工!$A$2:$A$700,$A365,元データ_加工!$B$2:$B$700,I$5)</f>
        <v>7</v>
      </c>
      <c r="J365" s="26">
        <f>SUMIFS(INDEX(元データ_加工!$C$2:$P$700,0,MATCH($B365,元データ_加工!$C$1:$P$1,0)),元データ_加工!$A$2:$A$700,$A365,元データ_加工!$B$2:$B$700,J$5)</f>
        <v>23</v>
      </c>
      <c r="K365" s="26">
        <f>SUMIFS(INDEX(元データ_加工!$C$2:$P$700,0,MATCH($B365,元データ_加工!$C$1:$P$1,0)),元データ_加工!$A$2:$A$700,$A365,元データ_加工!$B$2:$B$700,K$5)</f>
        <v>45</v>
      </c>
      <c r="L365" s="26">
        <f>SUMIFS(INDEX(元データ_加工!$C$2:$P$700,0,MATCH($B365,元データ_加工!$C$1:$P$1,0)),元データ_加工!$A$2:$A$700,$A365,元データ_加工!$B$2:$B$700,L$5)</f>
        <v>22</v>
      </c>
      <c r="M365" s="26">
        <f>SUMIFS(INDEX(元データ_加工!$C$2:$P$700,0,MATCH($B365,元データ_加工!$C$1:$P$1,0)),元データ_加工!$A$2:$A$700,$A365,元データ_加工!$B$2:$B$700,M$5)</f>
        <v>22</v>
      </c>
      <c r="N365" s="26">
        <f>SUMIFS(INDEX(元データ_加工!$C$2:$P$700,0,MATCH($B365,元データ_加工!$C$1:$P$1,0)),元データ_加工!$A$2:$A$700,$A365,元データ_加工!$B$2:$B$700,N$5)</f>
        <v>37</v>
      </c>
      <c r="O365" s="26">
        <f t="shared" si="5"/>
        <v>290</v>
      </c>
      <c r="P365" s="7">
        <f>IFERROR(O365/SUMIFS(元データ_加工!$C$2:$C$700,元データ_加工!$A$2:$A$700,$A365),"")</f>
        <v>2.6322955432513388E-2</v>
      </c>
    </row>
    <row r="366" spans="1:16" x14ac:dyDescent="0.45">
      <c r="A366" t="s">
        <v>60</v>
      </c>
      <c r="B366" t="s">
        <v>110</v>
      </c>
      <c r="C366" s="26">
        <f>SUMIFS(INDEX(元データ_加工!$C$2:$P$700,0,MATCH($B366,元データ_加工!$C$1:$P$1,0)),元データ_加工!$A$2:$A$700,$A366,元データ_加工!$B$2:$B$700,C$5)</f>
        <v>0</v>
      </c>
      <c r="D366" s="26">
        <f>SUMIFS(INDEX(元データ_加工!$C$2:$P$700,0,MATCH($B366,元データ_加工!$C$1:$P$1,0)),元データ_加工!$A$2:$A$700,$A366,元データ_加工!$B$2:$B$700,D$5)</f>
        <v>0</v>
      </c>
      <c r="E366" s="26">
        <f>SUMIFS(INDEX(元データ_加工!$C$2:$P$700,0,MATCH($B366,元データ_加工!$C$1:$P$1,0)),元データ_加工!$A$2:$A$700,$A366,元データ_加工!$B$2:$B$700,E$5)</f>
        <v>0</v>
      </c>
      <c r="F366" s="26">
        <f>SUMIFS(INDEX(元データ_加工!$C$2:$P$700,0,MATCH($B366,元データ_加工!$C$1:$P$1,0)),元データ_加工!$A$2:$A$700,$A366,元データ_加工!$B$2:$B$700,F$5)</f>
        <v>0</v>
      </c>
      <c r="G366" s="26">
        <f>SUMIFS(INDEX(元データ_加工!$C$2:$P$700,0,MATCH($B366,元データ_加工!$C$1:$P$1,0)),元データ_加工!$A$2:$A$700,$A366,元データ_加工!$B$2:$B$700,G$5)</f>
        <v>0</v>
      </c>
      <c r="H366" s="26">
        <f>SUMIFS(INDEX(元データ_加工!$C$2:$P$700,0,MATCH($B366,元データ_加工!$C$1:$P$1,0)),元データ_加工!$A$2:$A$700,$A366,元データ_加工!$B$2:$B$700,H$5)</f>
        <v>0</v>
      </c>
      <c r="I366" s="26">
        <f>SUMIFS(INDEX(元データ_加工!$C$2:$P$700,0,MATCH($B366,元データ_加工!$C$1:$P$1,0)),元データ_加工!$A$2:$A$700,$A366,元データ_加工!$B$2:$B$700,I$5)</f>
        <v>0</v>
      </c>
      <c r="J366" s="26">
        <f>SUMIFS(INDEX(元データ_加工!$C$2:$P$700,0,MATCH($B366,元データ_加工!$C$1:$P$1,0)),元データ_加工!$A$2:$A$700,$A366,元データ_加工!$B$2:$B$700,J$5)</f>
        <v>0</v>
      </c>
      <c r="K366" s="26">
        <f>SUMIFS(INDEX(元データ_加工!$C$2:$P$700,0,MATCH($B366,元データ_加工!$C$1:$P$1,0)),元データ_加工!$A$2:$A$700,$A366,元データ_加工!$B$2:$B$700,K$5)</f>
        <v>0</v>
      </c>
      <c r="L366" s="26">
        <f>SUMIFS(INDEX(元データ_加工!$C$2:$P$700,0,MATCH($B366,元データ_加工!$C$1:$P$1,0)),元データ_加工!$A$2:$A$700,$A366,元データ_加工!$B$2:$B$700,L$5)</f>
        <v>0</v>
      </c>
      <c r="M366" s="26">
        <f>SUMIFS(INDEX(元データ_加工!$C$2:$P$700,0,MATCH($B366,元データ_加工!$C$1:$P$1,0)),元データ_加工!$A$2:$A$700,$A366,元データ_加工!$B$2:$B$700,M$5)</f>
        <v>0</v>
      </c>
      <c r="N366" s="26">
        <f>SUMIFS(INDEX(元データ_加工!$C$2:$P$700,0,MATCH($B366,元データ_加工!$C$1:$P$1,0)),元データ_加工!$A$2:$A$700,$A366,元データ_加工!$B$2:$B$700,N$5)</f>
        <v>0</v>
      </c>
      <c r="O366" s="26">
        <f t="shared" si="5"/>
        <v>0</v>
      </c>
      <c r="P366" s="7">
        <f>IFERROR(O366/SUMIFS(元データ_加工!$C$2:$C$700,元データ_加工!$A$2:$A$700,$A366),"")</f>
        <v>0</v>
      </c>
    </row>
    <row r="367" spans="1:16" x14ac:dyDescent="0.45">
      <c r="A367" t="s">
        <v>60</v>
      </c>
      <c r="B367" t="s">
        <v>111</v>
      </c>
      <c r="C367" s="26">
        <f>SUMIFS(INDEX(元データ_加工!$C$2:$P$700,0,MATCH($B367,元データ_加工!$C$1:$P$1,0)),元データ_加工!$A$2:$A$700,$A367,元データ_加工!$B$2:$B$700,C$5)</f>
        <v>0</v>
      </c>
      <c r="D367" s="26">
        <f>SUMIFS(INDEX(元データ_加工!$C$2:$P$700,0,MATCH($B367,元データ_加工!$C$1:$P$1,0)),元データ_加工!$A$2:$A$700,$A367,元データ_加工!$B$2:$B$700,D$5)</f>
        <v>0</v>
      </c>
      <c r="E367" s="26">
        <f>SUMIFS(INDEX(元データ_加工!$C$2:$P$700,0,MATCH($B367,元データ_加工!$C$1:$P$1,0)),元データ_加工!$A$2:$A$700,$A367,元データ_加工!$B$2:$B$700,E$5)</f>
        <v>0</v>
      </c>
      <c r="F367" s="26">
        <f>SUMIFS(INDEX(元データ_加工!$C$2:$P$700,0,MATCH($B367,元データ_加工!$C$1:$P$1,0)),元データ_加工!$A$2:$A$700,$A367,元データ_加工!$B$2:$B$700,F$5)</f>
        <v>0</v>
      </c>
      <c r="G367" s="26">
        <f>SUMIFS(INDEX(元データ_加工!$C$2:$P$700,0,MATCH($B367,元データ_加工!$C$1:$P$1,0)),元データ_加工!$A$2:$A$700,$A367,元データ_加工!$B$2:$B$700,G$5)</f>
        <v>0</v>
      </c>
      <c r="H367" s="26">
        <f>SUMIFS(INDEX(元データ_加工!$C$2:$P$700,0,MATCH($B367,元データ_加工!$C$1:$P$1,0)),元データ_加工!$A$2:$A$700,$A367,元データ_加工!$B$2:$B$700,H$5)</f>
        <v>0</v>
      </c>
      <c r="I367" s="26">
        <f>SUMIFS(INDEX(元データ_加工!$C$2:$P$700,0,MATCH($B367,元データ_加工!$C$1:$P$1,0)),元データ_加工!$A$2:$A$700,$A367,元データ_加工!$B$2:$B$700,I$5)</f>
        <v>0</v>
      </c>
      <c r="J367" s="26">
        <f>SUMIFS(INDEX(元データ_加工!$C$2:$P$700,0,MATCH($B367,元データ_加工!$C$1:$P$1,0)),元データ_加工!$A$2:$A$700,$A367,元データ_加工!$B$2:$B$700,J$5)</f>
        <v>0</v>
      </c>
      <c r="K367" s="26">
        <f>SUMIFS(INDEX(元データ_加工!$C$2:$P$700,0,MATCH($B367,元データ_加工!$C$1:$P$1,0)),元データ_加工!$A$2:$A$700,$A367,元データ_加工!$B$2:$B$700,K$5)</f>
        <v>2</v>
      </c>
      <c r="L367" s="26">
        <f>SUMIFS(INDEX(元データ_加工!$C$2:$P$700,0,MATCH($B367,元データ_加工!$C$1:$P$1,0)),元データ_加工!$A$2:$A$700,$A367,元データ_加工!$B$2:$B$700,L$5)</f>
        <v>0</v>
      </c>
      <c r="M367" s="26">
        <f>SUMIFS(INDEX(元データ_加工!$C$2:$P$700,0,MATCH($B367,元データ_加工!$C$1:$P$1,0)),元データ_加工!$A$2:$A$700,$A367,元データ_加工!$B$2:$B$700,M$5)</f>
        <v>1</v>
      </c>
      <c r="N367" s="26">
        <f>SUMIFS(INDEX(元データ_加工!$C$2:$P$700,0,MATCH($B367,元データ_加工!$C$1:$P$1,0)),元データ_加工!$A$2:$A$700,$A367,元データ_加工!$B$2:$B$700,N$5)</f>
        <v>0</v>
      </c>
      <c r="O367" s="26">
        <f t="shared" si="5"/>
        <v>3</v>
      </c>
      <c r="P367" s="7">
        <f>IFERROR(O367/SUMIFS(元データ_加工!$C$2:$C$700,元データ_加工!$A$2:$A$700,$A367),"")</f>
        <v>2.723064355087592E-4</v>
      </c>
    </row>
    <row r="368" spans="1:16" x14ac:dyDescent="0.45">
      <c r="A368" t="s">
        <v>60</v>
      </c>
      <c r="B368" t="s">
        <v>112</v>
      </c>
      <c r="C368" s="26">
        <f>SUMIFS(INDEX(元データ_加工!$C$2:$P$700,0,MATCH($B368,元データ_加工!$C$1:$P$1,0)),元データ_加工!$A$2:$A$700,$A368,元データ_加工!$B$2:$B$700,C$5)</f>
        <v>0</v>
      </c>
      <c r="D368" s="26">
        <f>SUMIFS(INDEX(元データ_加工!$C$2:$P$700,0,MATCH($B368,元データ_加工!$C$1:$P$1,0)),元データ_加工!$A$2:$A$700,$A368,元データ_加工!$B$2:$B$700,D$5)</f>
        <v>0</v>
      </c>
      <c r="E368" s="26">
        <f>SUMIFS(INDEX(元データ_加工!$C$2:$P$700,0,MATCH($B368,元データ_加工!$C$1:$P$1,0)),元データ_加工!$A$2:$A$700,$A368,元データ_加工!$B$2:$B$700,E$5)</f>
        <v>0</v>
      </c>
      <c r="F368" s="26">
        <f>SUMIFS(INDEX(元データ_加工!$C$2:$P$700,0,MATCH($B368,元データ_加工!$C$1:$P$1,0)),元データ_加工!$A$2:$A$700,$A368,元データ_加工!$B$2:$B$700,F$5)</f>
        <v>1</v>
      </c>
      <c r="G368" s="26">
        <f>SUMIFS(INDEX(元データ_加工!$C$2:$P$700,0,MATCH($B368,元データ_加工!$C$1:$P$1,0)),元データ_加工!$A$2:$A$700,$A368,元データ_加工!$B$2:$B$700,G$5)</f>
        <v>0</v>
      </c>
      <c r="H368" s="26">
        <f>SUMIFS(INDEX(元データ_加工!$C$2:$P$700,0,MATCH($B368,元データ_加工!$C$1:$P$1,0)),元データ_加工!$A$2:$A$700,$A368,元データ_加工!$B$2:$B$700,H$5)</f>
        <v>0</v>
      </c>
      <c r="I368" s="26">
        <f>SUMIFS(INDEX(元データ_加工!$C$2:$P$700,0,MATCH($B368,元データ_加工!$C$1:$P$1,0)),元データ_加工!$A$2:$A$700,$A368,元データ_加工!$B$2:$B$700,I$5)</f>
        <v>0</v>
      </c>
      <c r="J368" s="26">
        <f>SUMIFS(INDEX(元データ_加工!$C$2:$P$700,0,MATCH($B368,元データ_加工!$C$1:$P$1,0)),元データ_加工!$A$2:$A$700,$A368,元データ_加工!$B$2:$B$700,J$5)</f>
        <v>0</v>
      </c>
      <c r="K368" s="26">
        <f>SUMIFS(INDEX(元データ_加工!$C$2:$P$700,0,MATCH($B368,元データ_加工!$C$1:$P$1,0)),元データ_加工!$A$2:$A$700,$A368,元データ_加工!$B$2:$B$700,K$5)</f>
        <v>1</v>
      </c>
      <c r="L368" s="26">
        <f>SUMIFS(INDEX(元データ_加工!$C$2:$P$700,0,MATCH($B368,元データ_加工!$C$1:$P$1,0)),元データ_加工!$A$2:$A$700,$A368,元データ_加工!$B$2:$B$700,L$5)</f>
        <v>2</v>
      </c>
      <c r="M368" s="26">
        <f>SUMIFS(INDEX(元データ_加工!$C$2:$P$700,0,MATCH($B368,元データ_加工!$C$1:$P$1,0)),元データ_加工!$A$2:$A$700,$A368,元データ_加工!$B$2:$B$700,M$5)</f>
        <v>0</v>
      </c>
      <c r="N368" s="26">
        <f>SUMIFS(INDEX(元データ_加工!$C$2:$P$700,0,MATCH($B368,元データ_加工!$C$1:$P$1,0)),元データ_加工!$A$2:$A$700,$A368,元データ_加工!$B$2:$B$700,N$5)</f>
        <v>0</v>
      </c>
      <c r="O368" s="26">
        <f t="shared" si="5"/>
        <v>4</v>
      </c>
      <c r="P368" s="7">
        <f>IFERROR(O368/SUMIFS(元データ_加工!$C$2:$C$700,元データ_加工!$A$2:$A$700,$A368),"")</f>
        <v>3.6307524734501223E-4</v>
      </c>
    </row>
    <row r="369" spans="1:16" x14ac:dyDescent="0.45">
      <c r="A369" t="s">
        <v>60</v>
      </c>
      <c r="B369" t="s">
        <v>113</v>
      </c>
      <c r="C369" s="26">
        <f>SUMIFS(INDEX(元データ_加工!$C$2:$P$700,0,MATCH($B369,元データ_加工!$C$1:$P$1,0)),元データ_加工!$A$2:$A$700,$A369,元データ_加工!$B$2:$B$700,C$5)</f>
        <v>4</v>
      </c>
      <c r="D369" s="26">
        <f>SUMIFS(INDEX(元データ_加工!$C$2:$P$700,0,MATCH($B369,元データ_加工!$C$1:$P$1,0)),元データ_加工!$A$2:$A$700,$A369,元データ_加工!$B$2:$B$700,D$5)</f>
        <v>2</v>
      </c>
      <c r="E369" s="26">
        <f>SUMIFS(INDEX(元データ_加工!$C$2:$P$700,0,MATCH($B369,元データ_加工!$C$1:$P$1,0)),元データ_加工!$A$2:$A$700,$A369,元データ_加工!$B$2:$B$700,E$5)</f>
        <v>0</v>
      </c>
      <c r="F369" s="26">
        <f>SUMIFS(INDEX(元データ_加工!$C$2:$P$700,0,MATCH($B369,元データ_加工!$C$1:$P$1,0)),元データ_加工!$A$2:$A$700,$A369,元データ_加工!$B$2:$B$700,F$5)</f>
        <v>0</v>
      </c>
      <c r="G369" s="26">
        <f>SUMIFS(INDEX(元データ_加工!$C$2:$P$700,0,MATCH($B369,元データ_加工!$C$1:$P$1,0)),元データ_加工!$A$2:$A$700,$A369,元データ_加工!$B$2:$B$700,G$5)</f>
        <v>0</v>
      </c>
      <c r="H369" s="26">
        <f>SUMIFS(INDEX(元データ_加工!$C$2:$P$700,0,MATCH($B369,元データ_加工!$C$1:$P$1,0)),元データ_加工!$A$2:$A$700,$A369,元データ_加工!$B$2:$B$700,H$5)</f>
        <v>1</v>
      </c>
      <c r="I369" s="26">
        <f>SUMIFS(INDEX(元データ_加工!$C$2:$P$700,0,MATCH($B369,元データ_加工!$C$1:$P$1,0)),元データ_加工!$A$2:$A$700,$A369,元データ_加工!$B$2:$B$700,I$5)</f>
        <v>0</v>
      </c>
      <c r="J369" s="26">
        <f>SUMIFS(INDEX(元データ_加工!$C$2:$P$700,0,MATCH($B369,元データ_加工!$C$1:$P$1,0)),元データ_加工!$A$2:$A$700,$A369,元データ_加工!$B$2:$B$700,J$5)</f>
        <v>2</v>
      </c>
      <c r="K369" s="26">
        <f>SUMIFS(INDEX(元データ_加工!$C$2:$P$700,0,MATCH($B369,元データ_加工!$C$1:$P$1,0)),元データ_加工!$A$2:$A$700,$A369,元データ_加工!$B$2:$B$700,K$5)</f>
        <v>0</v>
      </c>
      <c r="L369" s="26">
        <f>SUMIFS(INDEX(元データ_加工!$C$2:$P$700,0,MATCH($B369,元データ_加工!$C$1:$P$1,0)),元データ_加工!$A$2:$A$700,$A369,元データ_加工!$B$2:$B$700,L$5)</f>
        <v>0</v>
      </c>
      <c r="M369" s="26">
        <f>SUMIFS(INDEX(元データ_加工!$C$2:$P$700,0,MATCH($B369,元データ_加工!$C$1:$P$1,0)),元データ_加工!$A$2:$A$700,$A369,元データ_加工!$B$2:$B$700,M$5)</f>
        <v>0</v>
      </c>
      <c r="N369" s="26">
        <f>SUMIFS(INDEX(元データ_加工!$C$2:$P$700,0,MATCH($B369,元データ_加工!$C$1:$P$1,0)),元データ_加工!$A$2:$A$700,$A369,元データ_加工!$B$2:$B$700,N$5)</f>
        <v>0</v>
      </c>
      <c r="O369" s="26">
        <f t="shared" si="5"/>
        <v>9</v>
      </c>
      <c r="P369" s="7">
        <f>IFERROR(O369/SUMIFS(元データ_加工!$C$2:$C$700,元データ_加工!$A$2:$A$700,$A369),"")</f>
        <v>8.169193065262776E-4</v>
      </c>
    </row>
    <row r="370" spans="1:16" x14ac:dyDescent="0.45">
      <c r="A370" t="s">
        <v>61</v>
      </c>
      <c r="B370" t="s">
        <v>100</v>
      </c>
      <c r="C370" s="26">
        <f>SUMIFS(INDEX(元データ_加工!$C$2:$P$700,0,MATCH($B370,元データ_加工!$C$1:$P$1,0)),元データ_加工!$A$2:$A$700,$A370,元データ_加工!$B$2:$B$700,C$5)</f>
        <v>924</v>
      </c>
      <c r="D370" s="26">
        <f>SUMIFS(INDEX(元データ_加工!$C$2:$P$700,0,MATCH($B370,元データ_加工!$C$1:$P$1,0)),元データ_加工!$A$2:$A$700,$A370,元データ_加工!$B$2:$B$700,D$5)</f>
        <v>1154</v>
      </c>
      <c r="E370" s="26">
        <f>SUMIFS(INDEX(元データ_加工!$C$2:$P$700,0,MATCH($B370,元データ_加工!$C$1:$P$1,0)),元データ_加工!$A$2:$A$700,$A370,元データ_加工!$B$2:$B$700,E$5)</f>
        <v>1424</v>
      </c>
      <c r="F370" s="26">
        <f>SUMIFS(INDEX(元データ_加工!$C$2:$P$700,0,MATCH($B370,元データ_加工!$C$1:$P$1,0)),元データ_加工!$A$2:$A$700,$A370,元データ_加工!$B$2:$B$700,F$5)</f>
        <v>1173</v>
      </c>
      <c r="G370" s="26">
        <f>SUMIFS(INDEX(元データ_加工!$C$2:$P$700,0,MATCH($B370,元データ_加工!$C$1:$P$1,0)),元データ_加工!$A$2:$A$700,$A370,元データ_加工!$B$2:$B$700,G$5)</f>
        <v>1368</v>
      </c>
      <c r="H370" s="26">
        <f>SUMIFS(INDEX(元データ_加工!$C$2:$P$700,0,MATCH($B370,元データ_加工!$C$1:$P$1,0)),元データ_加工!$A$2:$A$700,$A370,元データ_加工!$B$2:$B$700,H$5)</f>
        <v>925</v>
      </c>
      <c r="I370" s="26">
        <f>SUMIFS(INDEX(元データ_加工!$C$2:$P$700,0,MATCH($B370,元データ_加工!$C$1:$P$1,0)),元データ_加工!$A$2:$A$700,$A370,元データ_加工!$B$2:$B$700,I$5)</f>
        <v>801</v>
      </c>
      <c r="J370" s="26">
        <f>SUMIFS(INDEX(元データ_加工!$C$2:$P$700,0,MATCH($B370,元データ_加工!$C$1:$P$1,0)),元データ_加工!$A$2:$A$700,$A370,元データ_加工!$B$2:$B$700,J$5)</f>
        <v>1417</v>
      </c>
      <c r="K370" s="26">
        <f>SUMIFS(INDEX(元データ_加工!$C$2:$P$700,0,MATCH($B370,元データ_加工!$C$1:$P$1,0)),元データ_加工!$A$2:$A$700,$A370,元データ_加工!$B$2:$B$700,K$5)</f>
        <v>2447</v>
      </c>
      <c r="L370" s="26">
        <f>SUMIFS(INDEX(元データ_加工!$C$2:$P$700,0,MATCH($B370,元データ_加工!$C$1:$P$1,0)),元データ_加工!$A$2:$A$700,$A370,元データ_加工!$B$2:$B$700,L$5)</f>
        <v>1690</v>
      </c>
      <c r="M370" s="26">
        <f>SUMIFS(INDEX(元データ_加工!$C$2:$P$700,0,MATCH($B370,元データ_加工!$C$1:$P$1,0)),元データ_加工!$A$2:$A$700,$A370,元データ_加工!$B$2:$B$700,M$5)</f>
        <v>1464</v>
      </c>
      <c r="N370" s="26">
        <f>SUMIFS(INDEX(元データ_加工!$C$2:$P$700,0,MATCH($B370,元データ_加工!$C$1:$P$1,0)),元データ_加工!$A$2:$A$700,$A370,元データ_加工!$B$2:$B$700,N$5)</f>
        <v>1244</v>
      </c>
      <c r="O370" s="26">
        <f t="shared" si="5"/>
        <v>16031</v>
      </c>
      <c r="P370" s="7">
        <f>IFERROR(O370/SUMIFS(元データ_加工!$C$2:$C$700,元データ_加工!$A$2:$A$700,$A370),"")</f>
        <v>1</v>
      </c>
    </row>
    <row r="371" spans="1:16" x14ac:dyDescent="0.45">
      <c r="A371" t="s">
        <v>61</v>
      </c>
      <c r="B371" t="s">
        <v>101</v>
      </c>
      <c r="C371" s="26">
        <f>SUMIFS(INDEX(元データ_加工!$C$2:$P$700,0,MATCH($B371,元データ_加工!$C$1:$P$1,0)),元データ_加工!$A$2:$A$700,$A371,元データ_加工!$B$2:$B$700,C$5)</f>
        <v>513</v>
      </c>
      <c r="D371" s="26">
        <f>SUMIFS(INDEX(元データ_加工!$C$2:$P$700,0,MATCH($B371,元データ_加工!$C$1:$P$1,0)),元データ_加工!$A$2:$A$700,$A371,元データ_加工!$B$2:$B$700,D$5)</f>
        <v>567</v>
      </c>
      <c r="E371" s="26">
        <f>SUMIFS(INDEX(元データ_加工!$C$2:$P$700,0,MATCH($B371,元データ_加工!$C$1:$P$1,0)),元データ_加工!$A$2:$A$700,$A371,元データ_加工!$B$2:$B$700,E$5)</f>
        <v>690</v>
      </c>
      <c r="F371" s="26">
        <f>SUMIFS(INDEX(元データ_加工!$C$2:$P$700,0,MATCH($B371,元データ_加工!$C$1:$P$1,0)),元データ_加工!$A$2:$A$700,$A371,元データ_加工!$B$2:$B$700,F$5)</f>
        <v>650</v>
      </c>
      <c r="G371" s="26">
        <f>SUMIFS(INDEX(元データ_加工!$C$2:$P$700,0,MATCH($B371,元データ_加工!$C$1:$P$1,0)),元データ_加工!$A$2:$A$700,$A371,元データ_加工!$B$2:$B$700,G$5)</f>
        <v>628</v>
      </c>
      <c r="H371" s="26">
        <f>SUMIFS(INDEX(元データ_加工!$C$2:$P$700,0,MATCH($B371,元データ_加工!$C$1:$P$1,0)),元データ_加工!$A$2:$A$700,$A371,元データ_加工!$B$2:$B$700,H$5)</f>
        <v>555</v>
      </c>
      <c r="I371" s="26">
        <f>SUMIFS(INDEX(元データ_加工!$C$2:$P$700,0,MATCH($B371,元データ_加工!$C$1:$P$1,0)),元データ_加工!$A$2:$A$700,$A371,元データ_加工!$B$2:$B$700,I$5)</f>
        <v>494</v>
      </c>
      <c r="J371" s="26">
        <f>SUMIFS(INDEX(元データ_加工!$C$2:$P$700,0,MATCH($B371,元データ_加工!$C$1:$P$1,0)),元データ_加工!$A$2:$A$700,$A371,元データ_加工!$B$2:$B$700,J$5)</f>
        <v>604</v>
      </c>
      <c r="K371" s="26">
        <f>SUMIFS(INDEX(元データ_加工!$C$2:$P$700,0,MATCH($B371,元データ_加工!$C$1:$P$1,0)),元データ_加工!$A$2:$A$700,$A371,元データ_加工!$B$2:$B$700,K$5)</f>
        <v>607</v>
      </c>
      <c r="L371" s="26">
        <f>SUMIFS(INDEX(元データ_加工!$C$2:$P$700,0,MATCH($B371,元データ_加工!$C$1:$P$1,0)),元データ_加工!$A$2:$A$700,$A371,元データ_加工!$B$2:$B$700,L$5)</f>
        <v>524</v>
      </c>
      <c r="M371" s="26">
        <f>SUMIFS(INDEX(元データ_加工!$C$2:$P$700,0,MATCH($B371,元データ_加工!$C$1:$P$1,0)),元データ_加工!$A$2:$A$700,$A371,元データ_加工!$B$2:$B$700,M$5)</f>
        <v>591</v>
      </c>
      <c r="N371" s="26">
        <f>SUMIFS(INDEX(元データ_加工!$C$2:$P$700,0,MATCH($B371,元データ_加工!$C$1:$P$1,0)),元データ_加工!$A$2:$A$700,$A371,元データ_加工!$B$2:$B$700,N$5)</f>
        <v>570</v>
      </c>
      <c r="O371" s="26">
        <f t="shared" si="5"/>
        <v>6993</v>
      </c>
      <c r="P371" s="7">
        <f>IFERROR(O371/SUMIFS(元データ_加工!$C$2:$C$700,元データ_加工!$A$2:$A$700,$A371),"")</f>
        <v>0.43621732892520743</v>
      </c>
    </row>
    <row r="372" spans="1:16" x14ac:dyDescent="0.45">
      <c r="A372" t="s">
        <v>61</v>
      </c>
      <c r="B372" t="s">
        <v>102</v>
      </c>
      <c r="C372" s="26">
        <f>SUMIFS(INDEX(元データ_加工!$C$2:$P$700,0,MATCH($B372,元データ_加工!$C$1:$P$1,0)),元データ_加工!$A$2:$A$700,$A372,元データ_加工!$B$2:$B$700,C$5)</f>
        <v>0</v>
      </c>
      <c r="D372" s="26">
        <f>SUMIFS(INDEX(元データ_加工!$C$2:$P$700,0,MATCH($B372,元データ_加工!$C$1:$P$1,0)),元データ_加工!$A$2:$A$700,$A372,元データ_加工!$B$2:$B$700,D$5)</f>
        <v>0</v>
      </c>
      <c r="E372" s="26">
        <f>SUMIFS(INDEX(元データ_加工!$C$2:$P$700,0,MATCH($B372,元データ_加工!$C$1:$P$1,0)),元データ_加工!$A$2:$A$700,$A372,元データ_加工!$B$2:$B$700,E$5)</f>
        <v>0</v>
      </c>
      <c r="F372" s="26">
        <f>SUMIFS(INDEX(元データ_加工!$C$2:$P$700,0,MATCH($B372,元データ_加工!$C$1:$P$1,0)),元データ_加工!$A$2:$A$700,$A372,元データ_加工!$B$2:$B$700,F$5)</f>
        <v>0</v>
      </c>
      <c r="G372" s="26">
        <f>SUMIFS(INDEX(元データ_加工!$C$2:$P$700,0,MATCH($B372,元データ_加工!$C$1:$P$1,0)),元データ_加工!$A$2:$A$700,$A372,元データ_加工!$B$2:$B$700,G$5)</f>
        <v>0</v>
      </c>
      <c r="H372" s="26">
        <f>SUMIFS(INDEX(元データ_加工!$C$2:$P$700,0,MATCH($B372,元データ_加工!$C$1:$P$1,0)),元データ_加工!$A$2:$A$700,$A372,元データ_加工!$B$2:$B$700,H$5)</f>
        <v>0</v>
      </c>
      <c r="I372" s="26">
        <f>SUMIFS(INDEX(元データ_加工!$C$2:$P$700,0,MATCH($B372,元データ_加工!$C$1:$P$1,0)),元データ_加工!$A$2:$A$700,$A372,元データ_加工!$B$2:$B$700,I$5)</f>
        <v>0</v>
      </c>
      <c r="J372" s="26">
        <f>SUMIFS(INDEX(元データ_加工!$C$2:$P$700,0,MATCH($B372,元データ_加工!$C$1:$P$1,0)),元データ_加工!$A$2:$A$700,$A372,元データ_加工!$B$2:$B$700,J$5)</f>
        <v>2</v>
      </c>
      <c r="K372" s="26">
        <f>SUMIFS(INDEX(元データ_加工!$C$2:$P$700,0,MATCH($B372,元データ_加工!$C$1:$P$1,0)),元データ_加工!$A$2:$A$700,$A372,元データ_加工!$B$2:$B$700,K$5)</f>
        <v>4</v>
      </c>
      <c r="L372" s="26">
        <f>SUMIFS(INDEX(元データ_加工!$C$2:$P$700,0,MATCH($B372,元データ_加工!$C$1:$P$1,0)),元データ_加工!$A$2:$A$700,$A372,元データ_加工!$B$2:$B$700,L$5)</f>
        <v>0</v>
      </c>
      <c r="M372" s="26">
        <f>SUMIFS(INDEX(元データ_加工!$C$2:$P$700,0,MATCH($B372,元データ_加工!$C$1:$P$1,0)),元データ_加工!$A$2:$A$700,$A372,元データ_加工!$B$2:$B$700,M$5)</f>
        <v>0</v>
      </c>
      <c r="N372" s="26">
        <f>SUMIFS(INDEX(元データ_加工!$C$2:$P$700,0,MATCH($B372,元データ_加工!$C$1:$P$1,0)),元データ_加工!$A$2:$A$700,$A372,元データ_加工!$B$2:$B$700,N$5)</f>
        <v>0</v>
      </c>
      <c r="O372" s="26">
        <f t="shared" si="5"/>
        <v>6</v>
      </c>
      <c r="P372" s="7">
        <f>IFERROR(O372/SUMIFS(元データ_加工!$C$2:$C$700,元データ_加工!$A$2:$A$700,$A372),"")</f>
        <v>3.7427484249267048E-4</v>
      </c>
    </row>
    <row r="373" spans="1:16" x14ac:dyDescent="0.45">
      <c r="A373" t="s">
        <v>61</v>
      </c>
      <c r="B373" t="s">
        <v>103</v>
      </c>
      <c r="C373" s="26">
        <f>SUMIFS(INDEX(元データ_加工!$C$2:$P$700,0,MATCH($B373,元データ_加工!$C$1:$P$1,0)),元データ_加工!$A$2:$A$700,$A373,元データ_加工!$B$2:$B$700,C$5)</f>
        <v>0</v>
      </c>
      <c r="D373" s="26">
        <f>SUMIFS(INDEX(元データ_加工!$C$2:$P$700,0,MATCH($B373,元データ_加工!$C$1:$P$1,0)),元データ_加工!$A$2:$A$700,$A373,元データ_加工!$B$2:$B$700,D$5)</f>
        <v>0</v>
      </c>
      <c r="E373" s="26">
        <f>SUMIFS(INDEX(元データ_加工!$C$2:$P$700,0,MATCH($B373,元データ_加工!$C$1:$P$1,0)),元データ_加工!$A$2:$A$700,$A373,元データ_加工!$B$2:$B$700,E$5)</f>
        <v>1</v>
      </c>
      <c r="F373" s="26">
        <f>SUMIFS(INDEX(元データ_加工!$C$2:$P$700,0,MATCH($B373,元データ_加工!$C$1:$P$1,0)),元データ_加工!$A$2:$A$700,$A373,元データ_加工!$B$2:$B$700,F$5)</f>
        <v>10</v>
      </c>
      <c r="G373" s="26">
        <f>SUMIFS(INDEX(元データ_加工!$C$2:$P$700,0,MATCH($B373,元データ_加工!$C$1:$P$1,0)),元データ_加工!$A$2:$A$700,$A373,元データ_加工!$B$2:$B$700,G$5)</f>
        <v>8</v>
      </c>
      <c r="H373" s="26">
        <f>SUMIFS(INDEX(元データ_加工!$C$2:$P$700,0,MATCH($B373,元データ_加工!$C$1:$P$1,0)),元データ_加工!$A$2:$A$700,$A373,元データ_加工!$B$2:$B$700,H$5)</f>
        <v>15</v>
      </c>
      <c r="I373" s="26">
        <f>SUMIFS(INDEX(元データ_加工!$C$2:$P$700,0,MATCH($B373,元データ_加工!$C$1:$P$1,0)),元データ_加工!$A$2:$A$700,$A373,元データ_加工!$B$2:$B$700,I$5)</f>
        <v>3</v>
      </c>
      <c r="J373" s="26">
        <f>SUMIFS(INDEX(元データ_加工!$C$2:$P$700,0,MATCH($B373,元データ_加工!$C$1:$P$1,0)),元データ_加工!$A$2:$A$700,$A373,元データ_加工!$B$2:$B$700,J$5)</f>
        <v>2</v>
      </c>
      <c r="K373" s="26">
        <f>SUMIFS(INDEX(元データ_加工!$C$2:$P$700,0,MATCH($B373,元データ_加工!$C$1:$P$1,0)),元データ_加工!$A$2:$A$700,$A373,元データ_加工!$B$2:$B$700,K$5)</f>
        <v>0</v>
      </c>
      <c r="L373" s="26">
        <f>SUMIFS(INDEX(元データ_加工!$C$2:$P$700,0,MATCH($B373,元データ_加工!$C$1:$P$1,0)),元データ_加工!$A$2:$A$700,$A373,元データ_加工!$B$2:$B$700,L$5)</f>
        <v>0</v>
      </c>
      <c r="M373" s="26">
        <f>SUMIFS(INDEX(元データ_加工!$C$2:$P$700,0,MATCH($B373,元データ_加工!$C$1:$P$1,0)),元データ_加工!$A$2:$A$700,$A373,元データ_加工!$B$2:$B$700,M$5)</f>
        <v>0</v>
      </c>
      <c r="N373" s="26">
        <f>SUMIFS(INDEX(元データ_加工!$C$2:$P$700,0,MATCH($B373,元データ_加工!$C$1:$P$1,0)),元データ_加工!$A$2:$A$700,$A373,元データ_加工!$B$2:$B$700,N$5)</f>
        <v>0</v>
      </c>
      <c r="O373" s="26">
        <f t="shared" si="5"/>
        <v>39</v>
      </c>
      <c r="P373" s="7">
        <f>IFERROR(O373/SUMIFS(元データ_加工!$C$2:$C$700,元データ_加工!$A$2:$A$700,$A373),"")</f>
        <v>2.4327864762023581E-3</v>
      </c>
    </row>
    <row r="374" spans="1:16" x14ac:dyDescent="0.45">
      <c r="A374" t="s">
        <v>61</v>
      </c>
      <c r="B374" t="s">
        <v>104</v>
      </c>
      <c r="C374" s="26">
        <f>SUMIFS(INDEX(元データ_加工!$C$2:$P$700,0,MATCH($B374,元データ_加工!$C$1:$P$1,0)),元データ_加工!$A$2:$A$700,$A374,元データ_加工!$B$2:$B$700,C$5)</f>
        <v>8</v>
      </c>
      <c r="D374" s="26">
        <f>SUMIFS(INDEX(元データ_加工!$C$2:$P$700,0,MATCH($B374,元データ_加工!$C$1:$P$1,0)),元データ_加工!$A$2:$A$700,$A374,元データ_加工!$B$2:$B$700,D$5)</f>
        <v>6</v>
      </c>
      <c r="E374" s="26">
        <f>SUMIFS(INDEX(元データ_加工!$C$2:$P$700,0,MATCH($B374,元データ_加工!$C$1:$P$1,0)),元データ_加工!$A$2:$A$700,$A374,元データ_加工!$B$2:$B$700,E$5)</f>
        <v>4</v>
      </c>
      <c r="F374" s="26">
        <f>SUMIFS(INDEX(元データ_加工!$C$2:$P$700,0,MATCH($B374,元データ_加工!$C$1:$P$1,0)),元データ_加工!$A$2:$A$700,$A374,元データ_加工!$B$2:$B$700,F$5)</f>
        <v>5</v>
      </c>
      <c r="G374" s="26">
        <f>SUMIFS(INDEX(元データ_加工!$C$2:$P$700,0,MATCH($B374,元データ_加工!$C$1:$P$1,0)),元データ_加工!$A$2:$A$700,$A374,元データ_加工!$B$2:$B$700,G$5)</f>
        <v>13</v>
      </c>
      <c r="H374" s="26">
        <f>SUMIFS(INDEX(元データ_加工!$C$2:$P$700,0,MATCH($B374,元データ_加工!$C$1:$P$1,0)),元データ_加工!$A$2:$A$700,$A374,元データ_加工!$B$2:$B$700,H$5)</f>
        <v>8</v>
      </c>
      <c r="I374" s="26">
        <f>SUMIFS(INDEX(元データ_加工!$C$2:$P$700,0,MATCH($B374,元データ_加工!$C$1:$P$1,0)),元データ_加工!$A$2:$A$700,$A374,元データ_加工!$B$2:$B$700,I$5)</f>
        <v>8</v>
      </c>
      <c r="J374" s="26">
        <f>SUMIFS(INDEX(元データ_加工!$C$2:$P$700,0,MATCH($B374,元データ_加工!$C$1:$P$1,0)),元データ_加工!$A$2:$A$700,$A374,元データ_加工!$B$2:$B$700,J$5)</f>
        <v>14</v>
      </c>
      <c r="K374" s="26">
        <f>SUMIFS(INDEX(元データ_加工!$C$2:$P$700,0,MATCH($B374,元データ_加工!$C$1:$P$1,0)),元データ_加工!$A$2:$A$700,$A374,元データ_加工!$B$2:$B$700,K$5)</f>
        <v>18</v>
      </c>
      <c r="L374" s="26">
        <f>SUMIFS(INDEX(元データ_加工!$C$2:$P$700,0,MATCH($B374,元データ_加工!$C$1:$P$1,0)),元データ_加工!$A$2:$A$700,$A374,元データ_加工!$B$2:$B$700,L$5)</f>
        <v>28</v>
      </c>
      <c r="M374" s="26">
        <f>SUMIFS(INDEX(元データ_加工!$C$2:$P$700,0,MATCH($B374,元データ_加工!$C$1:$P$1,0)),元データ_加工!$A$2:$A$700,$A374,元データ_加工!$B$2:$B$700,M$5)</f>
        <v>7</v>
      </c>
      <c r="N374" s="26">
        <f>SUMIFS(INDEX(元データ_加工!$C$2:$P$700,0,MATCH($B374,元データ_加工!$C$1:$P$1,0)),元データ_加工!$A$2:$A$700,$A374,元データ_加工!$B$2:$B$700,N$5)</f>
        <v>3</v>
      </c>
      <c r="O374" s="26">
        <f t="shared" si="5"/>
        <v>122</v>
      </c>
      <c r="P374" s="7">
        <f>IFERROR(O374/SUMIFS(元データ_加工!$C$2:$C$700,元データ_加工!$A$2:$A$700,$A374),"")</f>
        <v>7.6102551306842991E-3</v>
      </c>
    </row>
    <row r="375" spans="1:16" x14ac:dyDescent="0.45">
      <c r="A375" t="s">
        <v>61</v>
      </c>
      <c r="B375" t="s">
        <v>105</v>
      </c>
      <c r="C375" s="26">
        <f>SUMIFS(INDEX(元データ_加工!$C$2:$P$700,0,MATCH($B375,元データ_加工!$C$1:$P$1,0)),元データ_加工!$A$2:$A$700,$A375,元データ_加工!$B$2:$B$700,C$5)</f>
        <v>3</v>
      </c>
      <c r="D375" s="26">
        <f>SUMIFS(INDEX(元データ_加工!$C$2:$P$700,0,MATCH($B375,元データ_加工!$C$1:$P$1,0)),元データ_加工!$A$2:$A$700,$A375,元データ_加工!$B$2:$B$700,D$5)</f>
        <v>0</v>
      </c>
      <c r="E375" s="26">
        <f>SUMIFS(INDEX(元データ_加工!$C$2:$P$700,0,MATCH($B375,元データ_加工!$C$1:$P$1,0)),元データ_加工!$A$2:$A$700,$A375,元データ_加工!$B$2:$B$700,E$5)</f>
        <v>0</v>
      </c>
      <c r="F375" s="26">
        <f>SUMIFS(INDEX(元データ_加工!$C$2:$P$700,0,MATCH($B375,元データ_加工!$C$1:$P$1,0)),元データ_加工!$A$2:$A$700,$A375,元データ_加工!$B$2:$B$700,F$5)</f>
        <v>0</v>
      </c>
      <c r="G375" s="26">
        <f>SUMIFS(INDEX(元データ_加工!$C$2:$P$700,0,MATCH($B375,元データ_加工!$C$1:$P$1,0)),元データ_加工!$A$2:$A$700,$A375,元データ_加工!$B$2:$B$700,G$5)</f>
        <v>4</v>
      </c>
      <c r="H375" s="26">
        <f>SUMIFS(INDEX(元データ_加工!$C$2:$P$700,0,MATCH($B375,元データ_加工!$C$1:$P$1,0)),元データ_加工!$A$2:$A$700,$A375,元データ_加工!$B$2:$B$700,H$5)</f>
        <v>1</v>
      </c>
      <c r="I375" s="26">
        <f>SUMIFS(INDEX(元データ_加工!$C$2:$P$700,0,MATCH($B375,元データ_加工!$C$1:$P$1,0)),元データ_加工!$A$2:$A$700,$A375,元データ_加工!$B$2:$B$700,I$5)</f>
        <v>3</v>
      </c>
      <c r="J375" s="26">
        <f>SUMIFS(INDEX(元データ_加工!$C$2:$P$700,0,MATCH($B375,元データ_加工!$C$1:$P$1,0)),元データ_加工!$A$2:$A$700,$A375,元データ_加工!$B$2:$B$700,J$5)</f>
        <v>16</v>
      </c>
      <c r="K375" s="26">
        <f>SUMIFS(INDEX(元データ_加工!$C$2:$P$700,0,MATCH($B375,元データ_加工!$C$1:$P$1,0)),元データ_加工!$A$2:$A$700,$A375,元データ_加工!$B$2:$B$700,K$5)</f>
        <v>87</v>
      </c>
      <c r="L375" s="26">
        <f>SUMIFS(INDEX(元データ_加工!$C$2:$P$700,0,MATCH($B375,元データ_加工!$C$1:$P$1,0)),元データ_加工!$A$2:$A$700,$A375,元データ_加工!$B$2:$B$700,L$5)</f>
        <v>44</v>
      </c>
      <c r="M375" s="26">
        <f>SUMIFS(INDEX(元データ_加工!$C$2:$P$700,0,MATCH($B375,元データ_加工!$C$1:$P$1,0)),元データ_加工!$A$2:$A$700,$A375,元データ_加工!$B$2:$B$700,M$5)</f>
        <v>7</v>
      </c>
      <c r="N375" s="26">
        <f>SUMIFS(INDEX(元データ_加工!$C$2:$P$700,0,MATCH($B375,元データ_加工!$C$1:$P$1,0)),元データ_加工!$A$2:$A$700,$A375,元データ_加工!$B$2:$B$700,N$5)</f>
        <v>10</v>
      </c>
      <c r="O375" s="26">
        <f t="shared" si="5"/>
        <v>175</v>
      </c>
      <c r="P375" s="7">
        <f>IFERROR(O375/SUMIFS(元データ_加工!$C$2:$C$700,元データ_加工!$A$2:$A$700,$A375),"")</f>
        <v>1.0916349572702887E-2</v>
      </c>
    </row>
    <row r="376" spans="1:16" x14ac:dyDescent="0.45">
      <c r="A376" t="s">
        <v>61</v>
      </c>
      <c r="B376" t="s">
        <v>106</v>
      </c>
      <c r="C376" s="26">
        <f>SUMIFS(INDEX(元データ_加工!$C$2:$P$700,0,MATCH($B376,元データ_加工!$C$1:$P$1,0)),元データ_加工!$A$2:$A$700,$A376,元データ_加工!$B$2:$B$700,C$5)</f>
        <v>201</v>
      </c>
      <c r="D376" s="26">
        <f>SUMIFS(INDEX(元データ_加工!$C$2:$P$700,0,MATCH($B376,元データ_加工!$C$1:$P$1,0)),元データ_加工!$A$2:$A$700,$A376,元データ_加工!$B$2:$B$700,D$5)</f>
        <v>286</v>
      </c>
      <c r="E376" s="26">
        <f>SUMIFS(INDEX(元データ_加工!$C$2:$P$700,0,MATCH($B376,元データ_加工!$C$1:$P$1,0)),元データ_加工!$A$2:$A$700,$A376,元データ_加工!$B$2:$B$700,E$5)</f>
        <v>299</v>
      </c>
      <c r="F376" s="26">
        <f>SUMIFS(INDEX(元データ_加工!$C$2:$P$700,0,MATCH($B376,元データ_加工!$C$1:$P$1,0)),元データ_加工!$A$2:$A$700,$A376,元データ_加工!$B$2:$B$700,F$5)</f>
        <v>240</v>
      </c>
      <c r="G376" s="26">
        <f>SUMIFS(INDEX(元データ_加工!$C$2:$P$700,0,MATCH($B376,元データ_加工!$C$1:$P$1,0)),元データ_加工!$A$2:$A$700,$A376,元データ_加工!$B$2:$B$700,G$5)</f>
        <v>221</v>
      </c>
      <c r="H376" s="26">
        <f>SUMIFS(INDEX(元データ_加工!$C$2:$P$700,0,MATCH($B376,元データ_加工!$C$1:$P$1,0)),元データ_加工!$A$2:$A$700,$A376,元データ_加工!$B$2:$B$700,H$5)</f>
        <v>136</v>
      </c>
      <c r="I376" s="26">
        <f>SUMIFS(INDEX(元データ_加工!$C$2:$P$700,0,MATCH($B376,元データ_加工!$C$1:$P$1,0)),元データ_加工!$A$2:$A$700,$A376,元データ_加工!$B$2:$B$700,I$5)</f>
        <v>131</v>
      </c>
      <c r="J376" s="26">
        <f>SUMIFS(INDEX(元データ_加工!$C$2:$P$700,0,MATCH($B376,元データ_加工!$C$1:$P$1,0)),元データ_加工!$A$2:$A$700,$A376,元データ_加工!$B$2:$B$700,J$5)</f>
        <v>192</v>
      </c>
      <c r="K376" s="26">
        <f>SUMIFS(INDEX(元データ_加工!$C$2:$P$700,0,MATCH($B376,元データ_加工!$C$1:$P$1,0)),元データ_加工!$A$2:$A$700,$A376,元データ_加工!$B$2:$B$700,K$5)</f>
        <v>244</v>
      </c>
      <c r="L376" s="26">
        <f>SUMIFS(INDEX(元データ_加工!$C$2:$P$700,0,MATCH($B376,元データ_加工!$C$1:$P$1,0)),元データ_加工!$A$2:$A$700,$A376,元データ_加工!$B$2:$B$700,L$5)</f>
        <v>214</v>
      </c>
      <c r="M376" s="26">
        <f>SUMIFS(INDEX(元データ_加工!$C$2:$P$700,0,MATCH($B376,元データ_加工!$C$1:$P$1,0)),元データ_加工!$A$2:$A$700,$A376,元データ_加工!$B$2:$B$700,M$5)</f>
        <v>267</v>
      </c>
      <c r="N376" s="26">
        <f>SUMIFS(INDEX(元データ_加工!$C$2:$P$700,0,MATCH($B376,元データ_加工!$C$1:$P$1,0)),元データ_加工!$A$2:$A$700,$A376,元データ_加工!$B$2:$B$700,N$5)</f>
        <v>229</v>
      </c>
      <c r="O376" s="26">
        <f t="shared" si="5"/>
        <v>2660</v>
      </c>
      <c r="P376" s="7">
        <f>IFERROR(O376/SUMIFS(元データ_加工!$C$2:$C$700,元データ_加工!$A$2:$A$700,$A376),"")</f>
        <v>0.16592851350508389</v>
      </c>
    </row>
    <row r="377" spans="1:16" x14ac:dyDescent="0.45">
      <c r="A377" t="s">
        <v>61</v>
      </c>
      <c r="B377" t="s">
        <v>107</v>
      </c>
      <c r="C377" s="26">
        <f>SUMIFS(INDEX(元データ_加工!$C$2:$P$700,0,MATCH($B377,元データ_加工!$C$1:$P$1,0)),元データ_加工!$A$2:$A$700,$A377,元データ_加工!$B$2:$B$700,C$5)</f>
        <v>3</v>
      </c>
      <c r="D377" s="26">
        <f>SUMIFS(INDEX(元データ_加工!$C$2:$P$700,0,MATCH($B377,元データ_加工!$C$1:$P$1,0)),元データ_加工!$A$2:$A$700,$A377,元データ_加工!$B$2:$B$700,D$5)</f>
        <v>1</v>
      </c>
      <c r="E377" s="26">
        <f>SUMIFS(INDEX(元データ_加工!$C$2:$P$700,0,MATCH($B377,元データ_加工!$C$1:$P$1,0)),元データ_加工!$A$2:$A$700,$A377,元データ_加工!$B$2:$B$700,E$5)</f>
        <v>1</v>
      </c>
      <c r="F377" s="26">
        <f>SUMIFS(INDEX(元データ_加工!$C$2:$P$700,0,MATCH($B377,元データ_加工!$C$1:$P$1,0)),元データ_加工!$A$2:$A$700,$A377,元データ_加工!$B$2:$B$700,F$5)</f>
        <v>0</v>
      </c>
      <c r="G377" s="26">
        <f>SUMIFS(INDEX(元データ_加工!$C$2:$P$700,0,MATCH($B377,元データ_加工!$C$1:$P$1,0)),元データ_加工!$A$2:$A$700,$A377,元データ_加工!$B$2:$B$700,G$5)</f>
        <v>4</v>
      </c>
      <c r="H377" s="26">
        <f>SUMIFS(INDEX(元データ_加工!$C$2:$P$700,0,MATCH($B377,元データ_加工!$C$1:$P$1,0)),元データ_加工!$A$2:$A$700,$A377,元データ_加工!$B$2:$B$700,H$5)</f>
        <v>2</v>
      </c>
      <c r="I377" s="26">
        <f>SUMIFS(INDEX(元データ_加工!$C$2:$P$700,0,MATCH($B377,元データ_加工!$C$1:$P$1,0)),元データ_加工!$A$2:$A$700,$A377,元データ_加工!$B$2:$B$700,I$5)</f>
        <v>0</v>
      </c>
      <c r="J377" s="26">
        <f>SUMIFS(INDEX(元データ_加工!$C$2:$P$700,0,MATCH($B377,元データ_加工!$C$1:$P$1,0)),元データ_加工!$A$2:$A$700,$A377,元データ_加工!$B$2:$B$700,J$5)</f>
        <v>0</v>
      </c>
      <c r="K377" s="26">
        <f>SUMIFS(INDEX(元データ_加工!$C$2:$P$700,0,MATCH($B377,元データ_加工!$C$1:$P$1,0)),元データ_加工!$A$2:$A$700,$A377,元データ_加工!$B$2:$B$700,K$5)</f>
        <v>0</v>
      </c>
      <c r="L377" s="26">
        <f>SUMIFS(INDEX(元データ_加工!$C$2:$P$700,0,MATCH($B377,元データ_加工!$C$1:$P$1,0)),元データ_加工!$A$2:$A$700,$A377,元データ_加工!$B$2:$B$700,L$5)</f>
        <v>0</v>
      </c>
      <c r="M377" s="26">
        <f>SUMIFS(INDEX(元データ_加工!$C$2:$P$700,0,MATCH($B377,元データ_加工!$C$1:$P$1,0)),元データ_加工!$A$2:$A$700,$A377,元データ_加工!$B$2:$B$700,M$5)</f>
        <v>1</v>
      </c>
      <c r="N377" s="26">
        <f>SUMIFS(INDEX(元データ_加工!$C$2:$P$700,0,MATCH($B377,元データ_加工!$C$1:$P$1,0)),元データ_加工!$A$2:$A$700,$A377,元データ_加工!$B$2:$B$700,N$5)</f>
        <v>7</v>
      </c>
      <c r="O377" s="26">
        <f t="shared" si="5"/>
        <v>19</v>
      </c>
      <c r="P377" s="7">
        <f>IFERROR(O377/SUMIFS(元データ_加工!$C$2:$C$700,元データ_加工!$A$2:$A$700,$A377),"")</f>
        <v>1.1852036678934564E-3</v>
      </c>
    </row>
    <row r="378" spans="1:16" x14ac:dyDescent="0.45">
      <c r="A378" t="s">
        <v>61</v>
      </c>
      <c r="B378" t="s">
        <v>108</v>
      </c>
      <c r="C378" s="26">
        <f>SUMIFS(INDEX(元データ_加工!$C$2:$P$700,0,MATCH($B378,元データ_加工!$C$1:$P$1,0)),元データ_加工!$A$2:$A$700,$A378,元データ_加工!$B$2:$B$700,C$5)</f>
        <v>0</v>
      </c>
      <c r="D378" s="26">
        <f>SUMIFS(INDEX(元データ_加工!$C$2:$P$700,0,MATCH($B378,元データ_加工!$C$1:$P$1,0)),元データ_加工!$A$2:$A$700,$A378,元データ_加工!$B$2:$B$700,D$5)</f>
        <v>2</v>
      </c>
      <c r="E378" s="26">
        <f>SUMIFS(INDEX(元データ_加工!$C$2:$P$700,0,MATCH($B378,元データ_加工!$C$1:$P$1,0)),元データ_加工!$A$2:$A$700,$A378,元データ_加工!$B$2:$B$700,E$5)</f>
        <v>13</v>
      </c>
      <c r="F378" s="26">
        <f>SUMIFS(INDEX(元データ_加工!$C$2:$P$700,0,MATCH($B378,元データ_加工!$C$1:$P$1,0)),元データ_加工!$A$2:$A$700,$A378,元データ_加工!$B$2:$B$700,F$5)</f>
        <v>6</v>
      </c>
      <c r="G378" s="26">
        <f>SUMIFS(INDEX(元データ_加工!$C$2:$P$700,0,MATCH($B378,元データ_加工!$C$1:$P$1,0)),元データ_加工!$A$2:$A$700,$A378,元データ_加工!$B$2:$B$700,G$5)</f>
        <v>10</v>
      </c>
      <c r="H378" s="26">
        <f>SUMIFS(INDEX(元データ_加工!$C$2:$P$700,0,MATCH($B378,元データ_加工!$C$1:$P$1,0)),元データ_加工!$A$2:$A$700,$A378,元データ_加工!$B$2:$B$700,H$5)</f>
        <v>2</v>
      </c>
      <c r="I378" s="26">
        <f>SUMIFS(INDEX(元データ_加工!$C$2:$P$700,0,MATCH($B378,元データ_加工!$C$1:$P$1,0)),元データ_加工!$A$2:$A$700,$A378,元データ_加工!$B$2:$B$700,I$5)</f>
        <v>0</v>
      </c>
      <c r="J378" s="26">
        <f>SUMIFS(INDEX(元データ_加工!$C$2:$P$700,0,MATCH($B378,元データ_加工!$C$1:$P$1,0)),元データ_加工!$A$2:$A$700,$A378,元データ_加工!$B$2:$B$700,J$5)</f>
        <v>1</v>
      </c>
      <c r="K378" s="26">
        <f>SUMIFS(INDEX(元データ_加工!$C$2:$P$700,0,MATCH($B378,元データ_加工!$C$1:$P$1,0)),元データ_加工!$A$2:$A$700,$A378,元データ_加工!$B$2:$B$700,K$5)</f>
        <v>0</v>
      </c>
      <c r="L378" s="26">
        <f>SUMIFS(INDEX(元データ_加工!$C$2:$P$700,0,MATCH($B378,元データ_加工!$C$1:$P$1,0)),元データ_加工!$A$2:$A$700,$A378,元データ_加工!$B$2:$B$700,L$5)</f>
        <v>2</v>
      </c>
      <c r="M378" s="26">
        <f>SUMIFS(INDEX(元データ_加工!$C$2:$P$700,0,MATCH($B378,元データ_加工!$C$1:$P$1,0)),元データ_加工!$A$2:$A$700,$A378,元データ_加工!$B$2:$B$700,M$5)</f>
        <v>0</v>
      </c>
      <c r="N378" s="26">
        <f>SUMIFS(INDEX(元データ_加工!$C$2:$P$700,0,MATCH($B378,元データ_加工!$C$1:$P$1,0)),元データ_加工!$A$2:$A$700,$A378,元データ_加工!$B$2:$B$700,N$5)</f>
        <v>0</v>
      </c>
      <c r="O378" s="26">
        <f t="shared" si="5"/>
        <v>36</v>
      </c>
      <c r="P378" s="7">
        <f>IFERROR(O378/SUMIFS(元データ_加工!$C$2:$C$700,元データ_加工!$A$2:$A$700,$A378),"")</f>
        <v>2.2456490549560225E-3</v>
      </c>
    </row>
    <row r="379" spans="1:16" x14ac:dyDescent="0.45">
      <c r="A379" t="s">
        <v>61</v>
      </c>
      <c r="B379" t="s">
        <v>109</v>
      </c>
      <c r="C379" s="26">
        <f>SUMIFS(INDEX(元データ_加工!$C$2:$P$700,0,MATCH($B379,元データ_加工!$C$1:$P$1,0)),元データ_加工!$A$2:$A$700,$A379,元データ_加工!$B$2:$B$700,C$5)</f>
        <v>29</v>
      </c>
      <c r="D379" s="26">
        <f>SUMIFS(INDEX(元データ_加工!$C$2:$P$700,0,MATCH($B379,元データ_加工!$C$1:$P$1,0)),元データ_加工!$A$2:$A$700,$A379,元データ_加工!$B$2:$B$700,D$5)</f>
        <v>32</v>
      </c>
      <c r="E379" s="26">
        <f>SUMIFS(INDEX(元データ_加工!$C$2:$P$700,0,MATCH($B379,元データ_加工!$C$1:$P$1,0)),元データ_加工!$A$2:$A$700,$A379,元データ_加工!$B$2:$B$700,E$5)</f>
        <v>32</v>
      </c>
      <c r="F379" s="26">
        <f>SUMIFS(INDEX(元データ_加工!$C$2:$P$700,0,MATCH($B379,元データ_加工!$C$1:$P$1,0)),元データ_加工!$A$2:$A$700,$A379,元データ_加工!$B$2:$B$700,F$5)</f>
        <v>25</v>
      </c>
      <c r="G379" s="26">
        <f>SUMIFS(INDEX(元データ_加工!$C$2:$P$700,0,MATCH($B379,元データ_加工!$C$1:$P$1,0)),元データ_加工!$A$2:$A$700,$A379,元データ_加工!$B$2:$B$700,G$5)</f>
        <v>30</v>
      </c>
      <c r="H379" s="26">
        <f>SUMIFS(INDEX(元データ_加工!$C$2:$P$700,0,MATCH($B379,元データ_加工!$C$1:$P$1,0)),元データ_加工!$A$2:$A$700,$A379,元データ_加工!$B$2:$B$700,H$5)</f>
        <v>32</v>
      </c>
      <c r="I379" s="26">
        <f>SUMIFS(INDEX(元データ_加工!$C$2:$P$700,0,MATCH($B379,元データ_加工!$C$1:$P$1,0)),元データ_加工!$A$2:$A$700,$A379,元データ_加工!$B$2:$B$700,I$5)</f>
        <v>48</v>
      </c>
      <c r="J379" s="26">
        <f>SUMIFS(INDEX(元データ_加工!$C$2:$P$700,0,MATCH($B379,元データ_加工!$C$1:$P$1,0)),元データ_加工!$A$2:$A$700,$A379,元データ_加工!$B$2:$B$700,J$5)</f>
        <v>48</v>
      </c>
      <c r="K379" s="26">
        <f>SUMIFS(INDEX(元データ_加工!$C$2:$P$700,0,MATCH($B379,元データ_加工!$C$1:$P$1,0)),元データ_加工!$A$2:$A$700,$A379,元データ_加工!$B$2:$B$700,K$5)</f>
        <v>34</v>
      </c>
      <c r="L379" s="26">
        <f>SUMIFS(INDEX(元データ_加工!$C$2:$P$700,0,MATCH($B379,元データ_加工!$C$1:$P$1,0)),元データ_加工!$A$2:$A$700,$A379,元データ_加工!$B$2:$B$700,L$5)</f>
        <v>36</v>
      </c>
      <c r="M379" s="26">
        <f>SUMIFS(INDEX(元データ_加工!$C$2:$P$700,0,MATCH($B379,元データ_加工!$C$1:$P$1,0)),元データ_加工!$A$2:$A$700,$A379,元データ_加工!$B$2:$B$700,M$5)</f>
        <v>36</v>
      </c>
      <c r="N379" s="26">
        <f>SUMIFS(INDEX(元データ_加工!$C$2:$P$700,0,MATCH($B379,元データ_加工!$C$1:$P$1,0)),元データ_加工!$A$2:$A$700,$A379,元データ_加工!$B$2:$B$700,N$5)</f>
        <v>41</v>
      </c>
      <c r="O379" s="26">
        <f t="shared" si="5"/>
        <v>423</v>
      </c>
      <c r="P379" s="7">
        <f>IFERROR(O379/SUMIFS(元データ_加工!$C$2:$C$700,元データ_加工!$A$2:$A$700,$A379),"")</f>
        <v>2.6386376395733265E-2</v>
      </c>
    </row>
    <row r="380" spans="1:16" x14ac:dyDescent="0.45">
      <c r="A380" t="s">
        <v>61</v>
      </c>
      <c r="B380" t="s">
        <v>110</v>
      </c>
      <c r="C380" s="26">
        <f>SUMIFS(INDEX(元データ_加工!$C$2:$P$700,0,MATCH($B380,元データ_加工!$C$1:$P$1,0)),元データ_加工!$A$2:$A$700,$A380,元データ_加工!$B$2:$B$700,C$5)</f>
        <v>0</v>
      </c>
      <c r="D380" s="26">
        <f>SUMIFS(INDEX(元データ_加工!$C$2:$P$700,0,MATCH($B380,元データ_加工!$C$1:$P$1,0)),元データ_加工!$A$2:$A$700,$A380,元データ_加工!$B$2:$B$700,D$5)</f>
        <v>0</v>
      </c>
      <c r="E380" s="26">
        <f>SUMIFS(INDEX(元データ_加工!$C$2:$P$700,0,MATCH($B380,元データ_加工!$C$1:$P$1,0)),元データ_加工!$A$2:$A$700,$A380,元データ_加工!$B$2:$B$700,E$5)</f>
        <v>0</v>
      </c>
      <c r="F380" s="26">
        <f>SUMIFS(INDEX(元データ_加工!$C$2:$P$700,0,MATCH($B380,元データ_加工!$C$1:$P$1,0)),元データ_加工!$A$2:$A$700,$A380,元データ_加工!$B$2:$B$700,F$5)</f>
        <v>0</v>
      </c>
      <c r="G380" s="26">
        <f>SUMIFS(INDEX(元データ_加工!$C$2:$P$700,0,MATCH($B380,元データ_加工!$C$1:$P$1,0)),元データ_加工!$A$2:$A$700,$A380,元データ_加工!$B$2:$B$700,G$5)</f>
        <v>0</v>
      </c>
      <c r="H380" s="26">
        <f>SUMIFS(INDEX(元データ_加工!$C$2:$P$700,0,MATCH($B380,元データ_加工!$C$1:$P$1,0)),元データ_加工!$A$2:$A$700,$A380,元データ_加工!$B$2:$B$700,H$5)</f>
        <v>0</v>
      </c>
      <c r="I380" s="26">
        <f>SUMIFS(INDEX(元データ_加工!$C$2:$P$700,0,MATCH($B380,元データ_加工!$C$1:$P$1,0)),元データ_加工!$A$2:$A$700,$A380,元データ_加工!$B$2:$B$700,I$5)</f>
        <v>0</v>
      </c>
      <c r="J380" s="26">
        <f>SUMIFS(INDEX(元データ_加工!$C$2:$P$700,0,MATCH($B380,元データ_加工!$C$1:$P$1,0)),元データ_加工!$A$2:$A$700,$A380,元データ_加工!$B$2:$B$700,J$5)</f>
        <v>0</v>
      </c>
      <c r="K380" s="26">
        <f>SUMIFS(INDEX(元データ_加工!$C$2:$P$700,0,MATCH($B380,元データ_加工!$C$1:$P$1,0)),元データ_加工!$A$2:$A$700,$A380,元データ_加工!$B$2:$B$700,K$5)</f>
        <v>0</v>
      </c>
      <c r="L380" s="26">
        <f>SUMIFS(INDEX(元データ_加工!$C$2:$P$700,0,MATCH($B380,元データ_加工!$C$1:$P$1,0)),元データ_加工!$A$2:$A$700,$A380,元データ_加工!$B$2:$B$700,L$5)</f>
        <v>0</v>
      </c>
      <c r="M380" s="26">
        <f>SUMIFS(INDEX(元データ_加工!$C$2:$P$700,0,MATCH($B380,元データ_加工!$C$1:$P$1,0)),元データ_加工!$A$2:$A$700,$A380,元データ_加工!$B$2:$B$700,M$5)</f>
        <v>0</v>
      </c>
      <c r="N380" s="26">
        <f>SUMIFS(INDEX(元データ_加工!$C$2:$P$700,0,MATCH($B380,元データ_加工!$C$1:$P$1,0)),元データ_加工!$A$2:$A$700,$A380,元データ_加工!$B$2:$B$700,N$5)</f>
        <v>0</v>
      </c>
      <c r="O380" s="26">
        <f t="shared" si="5"/>
        <v>0</v>
      </c>
      <c r="P380" s="7">
        <f>IFERROR(O380/SUMIFS(元データ_加工!$C$2:$C$700,元データ_加工!$A$2:$A$700,$A380),"")</f>
        <v>0</v>
      </c>
    </row>
    <row r="381" spans="1:16" x14ac:dyDescent="0.45">
      <c r="A381" t="s">
        <v>61</v>
      </c>
      <c r="B381" t="s">
        <v>111</v>
      </c>
      <c r="C381" s="26">
        <f>SUMIFS(INDEX(元データ_加工!$C$2:$P$700,0,MATCH($B381,元データ_加工!$C$1:$P$1,0)),元データ_加工!$A$2:$A$700,$A381,元データ_加工!$B$2:$B$700,C$5)</f>
        <v>0</v>
      </c>
      <c r="D381" s="26">
        <f>SUMIFS(INDEX(元データ_加工!$C$2:$P$700,0,MATCH($B381,元データ_加工!$C$1:$P$1,0)),元データ_加工!$A$2:$A$700,$A381,元データ_加工!$B$2:$B$700,D$5)</f>
        <v>0</v>
      </c>
      <c r="E381" s="26">
        <f>SUMIFS(INDEX(元データ_加工!$C$2:$P$700,0,MATCH($B381,元データ_加工!$C$1:$P$1,0)),元データ_加工!$A$2:$A$700,$A381,元データ_加工!$B$2:$B$700,E$5)</f>
        <v>0</v>
      </c>
      <c r="F381" s="26">
        <f>SUMIFS(INDEX(元データ_加工!$C$2:$P$700,0,MATCH($B381,元データ_加工!$C$1:$P$1,0)),元データ_加工!$A$2:$A$700,$A381,元データ_加工!$B$2:$B$700,F$5)</f>
        <v>0</v>
      </c>
      <c r="G381" s="26">
        <f>SUMIFS(INDEX(元データ_加工!$C$2:$P$700,0,MATCH($B381,元データ_加工!$C$1:$P$1,0)),元データ_加工!$A$2:$A$700,$A381,元データ_加工!$B$2:$B$700,G$5)</f>
        <v>0</v>
      </c>
      <c r="H381" s="26">
        <f>SUMIFS(INDEX(元データ_加工!$C$2:$P$700,0,MATCH($B381,元データ_加工!$C$1:$P$1,0)),元データ_加工!$A$2:$A$700,$A381,元データ_加工!$B$2:$B$700,H$5)</f>
        <v>0</v>
      </c>
      <c r="I381" s="26">
        <f>SUMIFS(INDEX(元データ_加工!$C$2:$P$700,0,MATCH($B381,元データ_加工!$C$1:$P$1,0)),元データ_加工!$A$2:$A$700,$A381,元データ_加工!$B$2:$B$700,I$5)</f>
        <v>0</v>
      </c>
      <c r="J381" s="26">
        <f>SUMIFS(INDEX(元データ_加工!$C$2:$P$700,0,MATCH($B381,元データ_加工!$C$1:$P$1,0)),元データ_加工!$A$2:$A$700,$A381,元データ_加工!$B$2:$B$700,J$5)</f>
        <v>0</v>
      </c>
      <c r="K381" s="26">
        <f>SUMIFS(INDEX(元データ_加工!$C$2:$P$700,0,MATCH($B381,元データ_加工!$C$1:$P$1,0)),元データ_加工!$A$2:$A$700,$A381,元データ_加工!$B$2:$B$700,K$5)</f>
        <v>0</v>
      </c>
      <c r="L381" s="26">
        <f>SUMIFS(INDEX(元データ_加工!$C$2:$P$700,0,MATCH($B381,元データ_加工!$C$1:$P$1,0)),元データ_加工!$A$2:$A$700,$A381,元データ_加工!$B$2:$B$700,L$5)</f>
        <v>0</v>
      </c>
      <c r="M381" s="26">
        <f>SUMIFS(INDEX(元データ_加工!$C$2:$P$700,0,MATCH($B381,元データ_加工!$C$1:$P$1,0)),元データ_加工!$A$2:$A$700,$A381,元データ_加工!$B$2:$B$700,M$5)</f>
        <v>0</v>
      </c>
      <c r="N381" s="26">
        <f>SUMIFS(INDEX(元データ_加工!$C$2:$P$700,0,MATCH($B381,元データ_加工!$C$1:$P$1,0)),元データ_加工!$A$2:$A$700,$A381,元データ_加工!$B$2:$B$700,N$5)</f>
        <v>0</v>
      </c>
      <c r="O381" s="26">
        <f t="shared" si="5"/>
        <v>0</v>
      </c>
      <c r="P381" s="7">
        <f>IFERROR(O381/SUMIFS(元データ_加工!$C$2:$C$700,元データ_加工!$A$2:$A$700,$A381),"")</f>
        <v>0</v>
      </c>
    </row>
    <row r="382" spans="1:16" x14ac:dyDescent="0.45">
      <c r="A382" t="s">
        <v>61</v>
      </c>
      <c r="B382" t="s">
        <v>112</v>
      </c>
      <c r="C382" s="26">
        <f>SUMIFS(INDEX(元データ_加工!$C$2:$P$700,0,MATCH($B382,元データ_加工!$C$1:$P$1,0)),元データ_加工!$A$2:$A$700,$A382,元データ_加工!$B$2:$B$700,C$5)</f>
        <v>0</v>
      </c>
      <c r="D382" s="26">
        <f>SUMIFS(INDEX(元データ_加工!$C$2:$P$700,0,MATCH($B382,元データ_加工!$C$1:$P$1,0)),元データ_加工!$A$2:$A$700,$A382,元データ_加工!$B$2:$B$700,D$5)</f>
        <v>0</v>
      </c>
      <c r="E382" s="26">
        <f>SUMIFS(INDEX(元データ_加工!$C$2:$P$700,0,MATCH($B382,元データ_加工!$C$1:$P$1,0)),元データ_加工!$A$2:$A$700,$A382,元データ_加工!$B$2:$B$700,E$5)</f>
        <v>0</v>
      </c>
      <c r="F382" s="26">
        <f>SUMIFS(INDEX(元データ_加工!$C$2:$P$700,0,MATCH($B382,元データ_加工!$C$1:$P$1,0)),元データ_加工!$A$2:$A$700,$A382,元データ_加工!$B$2:$B$700,F$5)</f>
        <v>0</v>
      </c>
      <c r="G382" s="26">
        <f>SUMIFS(INDEX(元データ_加工!$C$2:$P$700,0,MATCH($B382,元データ_加工!$C$1:$P$1,0)),元データ_加工!$A$2:$A$700,$A382,元データ_加工!$B$2:$B$700,G$5)</f>
        <v>0</v>
      </c>
      <c r="H382" s="26">
        <f>SUMIFS(INDEX(元データ_加工!$C$2:$P$700,0,MATCH($B382,元データ_加工!$C$1:$P$1,0)),元データ_加工!$A$2:$A$700,$A382,元データ_加工!$B$2:$B$700,H$5)</f>
        <v>0</v>
      </c>
      <c r="I382" s="26">
        <f>SUMIFS(INDEX(元データ_加工!$C$2:$P$700,0,MATCH($B382,元データ_加工!$C$1:$P$1,0)),元データ_加工!$A$2:$A$700,$A382,元データ_加工!$B$2:$B$700,I$5)</f>
        <v>0</v>
      </c>
      <c r="J382" s="26">
        <f>SUMIFS(INDEX(元データ_加工!$C$2:$P$700,0,MATCH($B382,元データ_加工!$C$1:$P$1,0)),元データ_加工!$A$2:$A$700,$A382,元データ_加工!$B$2:$B$700,J$5)</f>
        <v>0</v>
      </c>
      <c r="K382" s="26">
        <f>SUMIFS(INDEX(元データ_加工!$C$2:$P$700,0,MATCH($B382,元データ_加工!$C$1:$P$1,0)),元データ_加工!$A$2:$A$700,$A382,元データ_加工!$B$2:$B$700,K$5)</f>
        <v>1</v>
      </c>
      <c r="L382" s="26">
        <f>SUMIFS(INDEX(元データ_加工!$C$2:$P$700,0,MATCH($B382,元データ_加工!$C$1:$P$1,0)),元データ_加工!$A$2:$A$700,$A382,元データ_加工!$B$2:$B$700,L$5)</f>
        <v>0</v>
      </c>
      <c r="M382" s="26">
        <f>SUMIFS(INDEX(元データ_加工!$C$2:$P$700,0,MATCH($B382,元データ_加工!$C$1:$P$1,0)),元データ_加工!$A$2:$A$700,$A382,元データ_加工!$B$2:$B$700,M$5)</f>
        <v>0</v>
      </c>
      <c r="N382" s="26">
        <f>SUMIFS(INDEX(元データ_加工!$C$2:$P$700,0,MATCH($B382,元データ_加工!$C$1:$P$1,0)),元データ_加工!$A$2:$A$700,$A382,元データ_加工!$B$2:$B$700,N$5)</f>
        <v>0</v>
      </c>
      <c r="O382" s="26">
        <f t="shared" si="5"/>
        <v>1</v>
      </c>
      <c r="P382" s="7">
        <f>IFERROR(O382/SUMIFS(元データ_加工!$C$2:$C$700,元データ_加工!$A$2:$A$700,$A382),"")</f>
        <v>6.237914041544508E-5</v>
      </c>
    </row>
    <row r="383" spans="1:16" x14ac:dyDescent="0.45">
      <c r="A383" t="s">
        <v>61</v>
      </c>
      <c r="B383" t="s">
        <v>113</v>
      </c>
      <c r="C383" s="26">
        <f>SUMIFS(INDEX(元データ_加工!$C$2:$P$700,0,MATCH($B383,元データ_加工!$C$1:$P$1,0)),元データ_加工!$A$2:$A$700,$A383,元データ_加工!$B$2:$B$700,C$5)</f>
        <v>0</v>
      </c>
      <c r="D383" s="26">
        <f>SUMIFS(INDEX(元データ_加工!$C$2:$P$700,0,MATCH($B383,元データ_加工!$C$1:$P$1,0)),元データ_加工!$A$2:$A$700,$A383,元データ_加工!$B$2:$B$700,D$5)</f>
        <v>1</v>
      </c>
      <c r="E383" s="26">
        <f>SUMIFS(INDEX(元データ_加工!$C$2:$P$700,0,MATCH($B383,元データ_加工!$C$1:$P$1,0)),元データ_加工!$A$2:$A$700,$A383,元データ_加工!$B$2:$B$700,E$5)</f>
        <v>0</v>
      </c>
      <c r="F383" s="26">
        <f>SUMIFS(INDEX(元データ_加工!$C$2:$P$700,0,MATCH($B383,元データ_加工!$C$1:$P$1,0)),元データ_加工!$A$2:$A$700,$A383,元データ_加工!$B$2:$B$700,F$5)</f>
        <v>1</v>
      </c>
      <c r="G383" s="26">
        <f>SUMIFS(INDEX(元データ_加工!$C$2:$P$700,0,MATCH($B383,元データ_加工!$C$1:$P$1,0)),元データ_加工!$A$2:$A$700,$A383,元データ_加工!$B$2:$B$700,G$5)</f>
        <v>2</v>
      </c>
      <c r="H383" s="26">
        <f>SUMIFS(INDEX(元データ_加工!$C$2:$P$700,0,MATCH($B383,元データ_加工!$C$1:$P$1,0)),元データ_加工!$A$2:$A$700,$A383,元データ_加工!$B$2:$B$700,H$5)</f>
        <v>0</v>
      </c>
      <c r="I383" s="26">
        <f>SUMIFS(INDEX(元データ_加工!$C$2:$P$700,0,MATCH($B383,元データ_加工!$C$1:$P$1,0)),元データ_加工!$A$2:$A$700,$A383,元データ_加工!$B$2:$B$700,I$5)</f>
        <v>0</v>
      </c>
      <c r="J383" s="26">
        <f>SUMIFS(INDEX(元データ_加工!$C$2:$P$700,0,MATCH($B383,元データ_加工!$C$1:$P$1,0)),元データ_加工!$A$2:$A$700,$A383,元データ_加工!$B$2:$B$700,J$5)</f>
        <v>2</v>
      </c>
      <c r="K383" s="26">
        <f>SUMIFS(INDEX(元データ_加工!$C$2:$P$700,0,MATCH($B383,元データ_加工!$C$1:$P$1,0)),元データ_加工!$A$2:$A$700,$A383,元データ_加工!$B$2:$B$700,K$5)</f>
        <v>5</v>
      </c>
      <c r="L383" s="26">
        <f>SUMIFS(INDEX(元データ_加工!$C$2:$P$700,0,MATCH($B383,元データ_加工!$C$1:$P$1,0)),元データ_加工!$A$2:$A$700,$A383,元データ_加工!$B$2:$B$700,L$5)</f>
        <v>4</v>
      </c>
      <c r="M383" s="26">
        <f>SUMIFS(INDEX(元データ_加工!$C$2:$P$700,0,MATCH($B383,元データ_加工!$C$1:$P$1,0)),元データ_加工!$A$2:$A$700,$A383,元データ_加工!$B$2:$B$700,M$5)</f>
        <v>6</v>
      </c>
      <c r="N383" s="26">
        <f>SUMIFS(INDEX(元データ_加工!$C$2:$P$700,0,MATCH($B383,元データ_加工!$C$1:$P$1,0)),元データ_加工!$A$2:$A$700,$A383,元データ_加工!$B$2:$B$700,N$5)</f>
        <v>3</v>
      </c>
      <c r="O383" s="26">
        <f t="shared" si="5"/>
        <v>24</v>
      </c>
      <c r="P383" s="7">
        <f>IFERROR(O383/SUMIFS(元データ_加工!$C$2:$C$700,元データ_加工!$A$2:$A$700,$A383),"")</f>
        <v>1.4970993699706819E-3</v>
      </c>
    </row>
    <row r="384" spans="1:16" x14ac:dyDescent="0.45">
      <c r="A384" t="s">
        <v>62</v>
      </c>
      <c r="B384" t="s">
        <v>100</v>
      </c>
      <c r="C384" s="26">
        <f>SUMIFS(INDEX(元データ_加工!$C$2:$P$700,0,MATCH($B384,元データ_加工!$C$1:$P$1,0)),元データ_加工!$A$2:$A$700,$A384,元データ_加工!$B$2:$B$700,C$5)</f>
        <v>2008</v>
      </c>
      <c r="D384" s="26">
        <f>SUMIFS(INDEX(元データ_加工!$C$2:$P$700,0,MATCH($B384,元データ_加工!$C$1:$P$1,0)),元データ_加工!$A$2:$A$700,$A384,元データ_加工!$B$2:$B$700,D$5)</f>
        <v>1939</v>
      </c>
      <c r="E384" s="26">
        <f>SUMIFS(INDEX(元データ_加工!$C$2:$P$700,0,MATCH($B384,元データ_加工!$C$1:$P$1,0)),元データ_加工!$A$2:$A$700,$A384,元データ_加工!$B$2:$B$700,E$5)</f>
        <v>3063</v>
      </c>
      <c r="F384" s="26">
        <f>SUMIFS(INDEX(元データ_加工!$C$2:$P$700,0,MATCH($B384,元データ_加工!$C$1:$P$1,0)),元データ_加工!$A$2:$A$700,$A384,元データ_加工!$B$2:$B$700,F$5)</f>
        <v>2922</v>
      </c>
      <c r="G384" s="26">
        <f>SUMIFS(INDEX(元データ_加工!$C$2:$P$700,0,MATCH($B384,元データ_加工!$C$1:$P$1,0)),元データ_加工!$A$2:$A$700,$A384,元データ_加工!$B$2:$B$700,G$5)</f>
        <v>3080</v>
      </c>
      <c r="H384" s="26">
        <f>SUMIFS(INDEX(元データ_加工!$C$2:$P$700,0,MATCH($B384,元データ_加工!$C$1:$P$1,0)),元データ_加工!$A$2:$A$700,$A384,元データ_加工!$B$2:$B$700,H$5)</f>
        <v>1980</v>
      </c>
      <c r="I384" s="26">
        <f>SUMIFS(INDEX(元データ_加工!$C$2:$P$700,0,MATCH($B384,元データ_加工!$C$1:$P$1,0)),元データ_加工!$A$2:$A$700,$A384,元データ_加工!$B$2:$B$700,I$5)</f>
        <v>1637</v>
      </c>
      <c r="J384" s="26">
        <f>SUMIFS(INDEX(元データ_加工!$C$2:$P$700,0,MATCH($B384,元データ_加工!$C$1:$P$1,0)),元データ_加工!$A$2:$A$700,$A384,元データ_加工!$B$2:$B$700,J$5)</f>
        <v>3615</v>
      </c>
      <c r="K384" s="26">
        <f>SUMIFS(INDEX(元データ_加工!$C$2:$P$700,0,MATCH($B384,元データ_加工!$C$1:$P$1,0)),元データ_加工!$A$2:$A$700,$A384,元データ_加工!$B$2:$B$700,K$5)</f>
        <v>6225</v>
      </c>
      <c r="L384" s="26">
        <f>SUMIFS(INDEX(元データ_加工!$C$2:$P$700,0,MATCH($B384,元データ_加工!$C$1:$P$1,0)),元データ_加工!$A$2:$A$700,$A384,元データ_加工!$B$2:$B$700,L$5)</f>
        <v>3926</v>
      </c>
      <c r="M384" s="26">
        <f>SUMIFS(INDEX(元データ_加工!$C$2:$P$700,0,MATCH($B384,元データ_加工!$C$1:$P$1,0)),元データ_加工!$A$2:$A$700,$A384,元データ_加工!$B$2:$B$700,M$5)</f>
        <v>3455</v>
      </c>
      <c r="N384" s="26">
        <f>SUMIFS(INDEX(元データ_加工!$C$2:$P$700,0,MATCH($B384,元データ_加工!$C$1:$P$1,0)),元データ_加工!$A$2:$A$700,$A384,元データ_加工!$B$2:$B$700,N$5)</f>
        <v>2365</v>
      </c>
      <c r="O384" s="26">
        <f t="shared" si="5"/>
        <v>36215</v>
      </c>
      <c r="P384" s="7">
        <f>IFERROR(O384/SUMIFS(元データ_加工!$C$2:$C$700,元データ_加工!$A$2:$A$700,$A384),"")</f>
        <v>1</v>
      </c>
    </row>
    <row r="385" spans="1:16" x14ac:dyDescent="0.45">
      <c r="A385" t="s">
        <v>62</v>
      </c>
      <c r="B385" t="s">
        <v>101</v>
      </c>
      <c r="C385" s="26">
        <f>SUMIFS(INDEX(元データ_加工!$C$2:$P$700,0,MATCH($B385,元データ_加工!$C$1:$P$1,0)),元データ_加工!$A$2:$A$700,$A385,元データ_加工!$B$2:$B$700,C$5)</f>
        <v>1096</v>
      </c>
      <c r="D385" s="26">
        <f>SUMIFS(INDEX(元データ_加工!$C$2:$P$700,0,MATCH($B385,元データ_加工!$C$1:$P$1,0)),元データ_加工!$A$2:$A$700,$A385,元データ_加工!$B$2:$B$700,D$5)</f>
        <v>1450</v>
      </c>
      <c r="E385" s="26">
        <f>SUMIFS(INDEX(元データ_加工!$C$2:$P$700,0,MATCH($B385,元データ_加工!$C$1:$P$1,0)),元データ_加工!$A$2:$A$700,$A385,元データ_加工!$B$2:$B$700,E$5)</f>
        <v>1719</v>
      </c>
      <c r="F385" s="26">
        <f>SUMIFS(INDEX(元データ_加工!$C$2:$P$700,0,MATCH($B385,元データ_加工!$C$1:$P$1,0)),元データ_加工!$A$2:$A$700,$A385,元データ_加工!$B$2:$B$700,F$5)</f>
        <v>1641</v>
      </c>
      <c r="G385" s="26">
        <f>SUMIFS(INDEX(元データ_加工!$C$2:$P$700,0,MATCH($B385,元データ_加工!$C$1:$P$1,0)),元データ_加工!$A$2:$A$700,$A385,元データ_加工!$B$2:$B$700,G$5)</f>
        <v>1644</v>
      </c>
      <c r="H385" s="26">
        <f>SUMIFS(INDEX(元データ_加工!$C$2:$P$700,0,MATCH($B385,元データ_加工!$C$1:$P$1,0)),元データ_加工!$A$2:$A$700,$A385,元データ_加工!$B$2:$B$700,H$5)</f>
        <v>1221</v>
      </c>
      <c r="I385" s="26">
        <f>SUMIFS(INDEX(元データ_加工!$C$2:$P$700,0,MATCH($B385,元データ_加工!$C$1:$P$1,0)),元データ_加工!$A$2:$A$700,$A385,元データ_加工!$B$2:$B$700,I$5)</f>
        <v>1215</v>
      </c>
      <c r="J385" s="26">
        <f>SUMIFS(INDEX(元データ_加工!$C$2:$P$700,0,MATCH($B385,元データ_加工!$C$1:$P$1,0)),元データ_加工!$A$2:$A$700,$A385,元データ_加工!$B$2:$B$700,J$5)</f>
        <v>1578</v>
      </c>
      <c r="K385" s="26">
        <f>SUMIFS(INDEX(元データ_加工!$C$2:$P$700,0,MATCH($B385,元データ_加工!$C$1:$P$1,0)),元データ_加工!$A$2:$A$700,$A385,元データ_加工!$B$2:$B$700,K$5)</f>
        <v>1596</v>
      </c>
      <c r="L385" s="26">
        <f>SUMIFS(INDEX(元データ_加工!$C$2:$P$700,0,MATCH($B385,元データ_加工!$C$1:$P$1,0)),元データ_加工!$A$2:$A$700,$A385,元データ_加工!$B$2:$B$700,L$5)</f>
        <v>1311</v>
      </c>
      <c r="M385" s="26">
        <f>SUMIFS(INDEX(元データ_加工!$C$2:$P$700,0,MATCH($B385,元データ_加工!$C$1:$P$1,0)),元データ_加工!$A$2:$A$700,$A385,元データ_加工!$B$2:$B$700,M$5)</f>
        <v>1645</v>
      </c>
      <c r="N385" s="26">
        <f>SUMIFS(INDEX(元データ_加工!$C$2:$P$700,0,MATCH($B385,元データ_加工!$C$1:$P$1,0)),元データ_加工!$A$2:$A$700,$A385,元データ_加工!$B$2:$B$700,N$5)</f>
        <v>1319</v>
      </c>
      <c r="O385" s="26">
        <f t="shared" si="5"/>
        <v>17435</v>
      </c>
      <c r="P385" s="7">
        <f>IFERROR(O385/SUMIFS(元データ_加工!$C$2:$C$700,元データ_加工!$A$2:$A$700,$A385),"")</f>
        <v>0.48143034654148831</v>
      </c>
    </row>
    <row r="386" spans="1:16" x14ac:dyDescent="0.45">
      <c r="A386" t="s">
        <v>62</v>
      </c>
      <c r="B386" t="s">
        <v>102</v>
      </c>
      <c r="C386" s="26">
        <f>SUMIFS(INDEX(元データ_加工!$C$2:$P$700,0,MATCH($B386,元データ_加工!$C$1:$P$1,0)),元データ_加工!$A$2:$A$700,$A386,元データ_加工!$B$2:$B$700,C$5)</f>
        <v>0</v>
      </c>
      <c r="D386" s="26">
        <f>SUMIFS(INDEX(元データ_加工!$C$2:$P$700,0,MATCH($B386,元データ_加工!$C$1:$P$1,0)),元データ_加工!$A$2:$A$700,$A386,元データ_加工!$B$2:$B$700,D$5)</f>
        <v>0</v>
      </c>
      <c r="E386" s="26">
        <f>SUMIFS(INDEX(元データ_加工!$C$2:$P$700,0,MATCH($B386,元データ_加工!$C$1:$P$1,0)),元データ_加工!$A$2:$A$700,$A386,元データ_加工!$B$2:$B$700,E$5)</f>
        <v>0</v>
      </c>
      <c r="F386" s="26">
        <f>SUMIFS(INDEX(元データ_加工!$C$2:$P$700,0,MATCH($B386,元データ_加工!$C$1:$P$1,0)),元データ_加工!$A$2:$A$700,$A386,元データ_加工!$B$2:$B$700,F$5)</f>
        <v>0</v>
      </c>
      <c r="G386" s="26">
        <f>SUMIFS(INDEX(元データ_加工!$C$2:$P$700,0,MATCH($B386,元データ_加工!$C$1:$P$1,0)),元データ_加工!$A$2:$A$700,$A386,元データ_加工!$B$2:$B$700,G$5)</f>
        <v>0</v>
      </c>
      <c r="H386" s="26">
        <f>SUMIFS(INDEX(元データ_加工!$C$2:$P$700,0,MATCH($B386,元データ_加工!$C$1:$P$1,0)),元データ_加工!$A$2:$A$700,$A386,元データ_加工!$B$2:$B$700,H$5)</f>
        <v>2</v>
      </c>
      <c r="I386" s="26">
        <f>SUMIFS(INDEX(元データ_加工!$C$2:$P$700,0,MATCH($B386,元データ_加工!$C$1:$P$1,0)),元データ_加工!$A$2:$A$700,$A386,元データ_加工!$B$2:$B$700,I$5)</f>
        <v>5</v>
      </c>
      <c r="J386" s="26">
        <f>SUMIFS(INDEX(元データ_加工!$C$2:$P$700,0,MATCH($B386,元データ_加工!$C$1:$P$1,0)),元データ_加工!$A$2:$A$700,$A386,元データ_加工!$B$2:$B$700,J$5)</f>
        <v>5</v>
      </c>
      <c r="K386" s="26">
        <f>SUMIFS(INDEX(元データ_加工!$C$2:$P$700,0,MATCH($B386,元データ_加工!$C$1:$P$1,0)),元データ_加工!$A$2:$A$700,$A386,元データ_加工!$B$2:$B$700,K$5)</f>
        <v>0</v>
      </c>
      <c r="L386" s="26">
        <f>SUMIFS(INDEX(元データ_加工!$C$2:$P$700,0,MATCH($B386,元データ_加工!$C$1:$P$1,0)),元データ_加工!$A$2:$A$700,$A386,元データ_加工!$B$2:$B$700,L$5)</f>
        <v>0</v>
      </c>
      <c r="M386" s="26">
        <f>SUMIFS(INDEX(元データ_加工!$C$2:$P$700,0,MATCH($B386,元データ_加工!$C$1:$P$1,0)),元データ_加工!$A$2:$A$700,$A386,元データ_加工!$B$2:$B$700,M$5)</f>
        <v>0</v>
      </c>
      <c r="N386" s="26">
        <f>SUMIFS(INDEX(元データ_加工!$C$2:$P$700,0,MATCH($B386,元データ_加工!$C$1:$P$1,0)),元データ_加工!$A$2:$A$700,$A386,元データ_加工!$B$2:$B$700,N$5)</f>
        <v>0</v>
      </c>
      <c r="O386" s="26">
        <f t="shared" si="5"/>
        <v>12</v>
      </c>
      <c r="P386" s="7">
        <f>IFERROR(O386/SUMIFS(元データ_加工!$C$2:$C$700,元データ_加工!$A$2:$A$700,$A386),"")</f>
        <v>3.3135441115559851E-4</v>
      </c>
    </row>
    <row r="387" spans="1:16" x14ac:dyDescent="0.45">
      <c r="A387" t="s">
        <v>62</v>
      </c>
      <c r="B387" t="s">
        <v>103</v>
      </c>
      <c r="C387" s="26">
        <f>SUMIFS(INDEX(元データ_加工!$C$2:$P$700,0,MATCH($B387,元データ_加工!$C$1:$P$1,0)),元データ_加工!$A$2:$A$700,$A387,元データ_加工!$B$2:$B$700,C$5)</f>
        <v>2</v>
      </c>
      <c r="D387" s="26">
        <f>SUMIFS(INDEX(元データ_加工!$C$2:$P$700,0,MATCH($B387,元データ_加工!$C$1:$P$1,0)),元データ_加工!$A$2:$A$700,$A387,元データ_加工!$B$2:$B$700,D$5)</f>
        <v>0</v>
      </c>
      <c r="E387" s="26">
        <f>SUMIFS(INDEX(元データ_加工!$C$2:$P$700,0,MATCH($B387,元データ_加工!$C$1:$P$1,0)),元データ_加工!$A$2:$A$700,$A387,元データ_加工!$B$2:$B$700,E$5)</f>
        <v>8</v>
      </c>
      <c r="F387" s="26">
        <f>SUMIFS(INDEX(元データ_加工!$C$2:$P$700,0,MATCH($B387,元データ_加工!$C$1:$P$1,0)),元データ_加工!$A$2:$A$700,$A387,元データ_加工!$B$2:$B$700,F$5)</f>
        <v>4</v>
      </c>
      <c r="G387" s="26">
        <f>SUMIFS(INDEX(元データ_加工!$C$2:$P$700,0,MATCH($B387,元データ_加工!$C$1:$P$1,0)),元データ_加工!$A$2:$A$700,$A387,元データ_加工!$B$2:$B$700,G$5)</f>
        <v>11</v>
      </c>
      <c r="H387" s="26">
        <f>SUMIFS(INDEX(元データ_加工!$C$2:$P$700,0,MATCH($B387,元データ_加工!$C$1:$P$1,0)),元データ_加工!$A$2:$A$700,$A387,元データ_加工!$B$2:$B$700,H$5)</f>
        <v>10</v>
      </c>
      <c r="I387" s="26">
        <f>SUMIFS(INDEX(元データ_加工!$C$2:$P$700,0,MATCH($B387,元データ_加工!$C$1:$P$1,0)),元データ_加工!$A$2:$A$700,$A387,元データ_加工!$B$2:$B$700,I$5)</f>
        <v>11</v>
      </c>
      <c r="J387" s="26">
        <f>SUMIFS(INDEX(元データ_加工!$C$2:$P$700,0,MATCH($B387,元データ_加工!$C$1:$P$1,0)),元データ_加工!$A$2:$A$700,$A387,元データ_加工!$B$2:$B$700,J$5)</f>
        <v>3</v>
      </c>
      <c r="K387" s="26">
        <f>SUMIFS(INDEX(元データ_加工!$C$2:$P$700,0,MATCH($B387,元データ_加工!$C$1:$P$1,0)),元データ_加工!$A$2:$A$700,$A387,元データ_加工!$B$2:$B$700,K$5)</f>
        <v>1</v>
      </c>
      <c r="L387" s="26">
        <f>SUMIFS(INDEX(元データ_加工!$C$2:$P$700,0,MATCH($B387,元データ_加工!$C$1:$P$1,0)),元データ_加工!$A$2:$A$700,$A387,元データ_加工!$B$2:$B$700,L$5)</f>
        <v>1</v>
      </c>
      <c r="M387" s="26">
        <f>SUMIFS(INDEX(元データ_加工!$C$2:$P$700,0,MATCH($B387,元データ_加工!$C$1:$P$1,0)),元データ_加工!$A$2:$A$700,$A387,元データ_加工!$B$2:$B$700,M$5)</f>
        <v>0</v>
      </c>
      <c r="N387" s="26">
        <f>SUMIFS(INDEX(元データ_加工!$C$2:$P$700,0,MATCH($B387,元データ_加工!$C$1:$P$1,0)),元データ_加工!$A$2:$A$700,$A387,元データ_加工!$B$2:$B$700,N$5)</f>
        <v>0</v>
      </c>
      <c r="O387" s="26">
        <f t="shared" si="5"/>
        <v>51</v>
      </c>
      <c r="P387" s="7">
        <f>IFERROR(O387/SUMIFS(元データ_加工!$C$2:$C$700,元データ_加工!$A$2:$A$700,$A387),"")</f>
        <v>1.4082562474112936E-3</v>
      </c>
    </row>
    <row r="388" spans="1:16" x14ac:dyDescent="0.45">
      <c r="A388" t="s">
        <v>62</v>
      </c>
      <c r="B388" t="s">
        <v>104</v>
      </c>
      <c r="C388" s="26">
        <f>SUMIFS(INDEX(元データ_加工!$C$2:$P$700,0,MATCH($B388,元データ_加工!$C$1:$P$1,0)),元データ_加工!$A$2:$A$700,$A388,元データ_加工!$B$2:$B$700,C$5)</f>
        <v>49</v>
      </c>
      <c r="D388" s="26">
        <f>SUMIFS(INDEX(元データ_加工!$C$2:$P$700,0,MATCH($B388,元データ_加工!$C$1:$P$1,0)),元データ_加工!$A$2:$A$700,$A388,元データ_加工!$B$2:$B$700,D$5)</f>
        <v>34</v>
      </c>
      <c r="E388" s="26">
        <f>SUMIFS(INDEX(元データ_加工!$C$2:$P$700,0,MATCH($B388,元データ_加工!$C$1:$P$1,0)),元データ_加工!$A$2:$A$700,$A388,元データ_加工!$B$2:$B$700,E$5)</f>
        <v>56</v>
      </c>
      <c r="F388" s="26">
        <f>SUMIFS(INDEX(元データ_加工!$C$2:$P$700,0,MATCH($B388,元データ_加工!$C$1:$P$1,0)),元データ_加工!$A$2:$A$700,$A388,元データ_加工!$B$2:$B$700,F$5)</f>
        <v>48</v>
      </c>
      <c r="G388" s="26">
        <f>SUMIFS(INDEX(元データ_加工!$C$2:$P$700,0,MATCH($B388,元データ_加工!$C$1:$P$1,0)),元データ_加工!$A$2:$A$700,$A388,元データ_加工!$B$2:$B$700,G$5)</f>
        <v>84</v>
      </c>
      <c r="H388" s="26">
        <f>SUMIFS(INDEX(元データ_加工!$C$2:$P$700,0,MATCH($B388,元データ_加工!$C$1:$P$1,0)),元データ_加工!$A$2:$A$700,$A388,元データ_加工!$B$2:$B$700,H$5)</f>
        <v>39</v>
      </c>
      <c r="I388" s="26">
        <f>SUMIFS(INDEX(元データ_加工!$C$2:$P$700,0,MATCH($B388,元データ_加工!$C$1:$P$1,0)),元データ_加工!$A$2:$A$700,$A388,元データ_加工!$B$2:$B$700,I$5)</f>
        <v>43</v>
      </c>
      <c r="J388" s="26">
        <f>SUMIFS(INDEX(元データ_加工!$C$2:$P$700,0,MATCH($B388,元データ_加工!$C$1:$P$1,0)),元データ_加工!$A$2:$A$700,$A388,元データ_加工!$B$2:$B$700,J$5)</f>
        <v>195</v>
      </c>
      <c r="K388" s="26">
        <f>SUMIFS(INDEX(元データ_加工!$C$2:$P$700,0,MATCH($B388,元データ_加工!$C$1:$P$1,0)),元データ_加工!$A$2:$A$700,$A388,元データ_加工!$B$2:$B$700,K$5)</f>
        <v>252</v>
      </c>
      <c r="L388" s="26">
        <f>SUMIFS(INDEX(元データ_加工!$C$2:$P$700,0,MATCH($B388,元データ_加工!$C$1:$P$1,0)),元データ_加工!$A$2:$A$700,$A388,元データ_加工!$B$2:$B$700,L$5)</f>
        <v>179</v>
      </c>
      <c r="M388" s="26">
        <f>SUMIFS(INDEX(元データ_加工!$C$2:$P$700,0,MATCH($B388,元データ_加工!$C$1:$P$1,0)),元データ_加工!$A$2:$A$700,$A388,元データ_加工!$B$2:$B$700,M$5)</f>
        <v>119</v>
      </c>
      <c r="N388" s="26">
        <f>SUMIFS(INDEX(元データ_加工!$C$2:$P$700,0,MATCH($B388,元データ_加工!$C$1:$P$1,0)),元データ_加工!$A$2:$A$700,$A388,元データ_加工!$B$2:$B$700,N$5)</f>
        <v>73</v>
      </c>
      <c r="O388" s="26">
        <f t="shared" si="5"/>
        <v>1171</v>
      </c>
      <c r="P388" s="7">
        <f>IFERROR(O388/SUMIFS(元データ_加工!$C$2:$C$700,元データ_加工!$A$2:$A$700,$A388),"")</f>
        <v>3.2334667955267155E-2</v>
      </c>
    </row>
    <row r="389" spans="1:16" x14ac:dyDescent="0.45">
      <c r="A389" t="s">
        <v>62</v>
      </c>
      <c r="B389" t="s">
        <v>105</v>
      </c>
      <c r="C389" s="26">
        <f>SUMIFS(INDEX(元データ_加工!$C$2:$P$700,0,MATCH($B389,元データ_加工!$C$1:$P$1,0)),元データ_加工!$A$2:$A$700,$A389,元データ_加工!$B$2:$B$700,C$5)</f>
        <v>9</v>
      </c>
      <c r="D389" s="26">
        <f>SUMIFS(INDEX(元データ_加工!$C$2:$P$700,0,MATCH($B389,元データ_加工!$C$1:$P$1,0)),元データ_加工!$A$2:$A$700,$A389,元データ_加工!$B$2:$B$700,D$5)</f>
        <v>9</v>
      </c>
      <c r="E389" s="26">
        <f>SUMIFS(INDEX(元データ_加工!$C$2:$P$700,0,MATCH($B389,元データ_加工!$C$1:$P$1,0)),元データ_加工!$A$2:$A$700,$A389,元データ_加工!$B$2:$B$700,E$5)</f>
        <v>9</v>
      </c>
      <c r="F389" s="26">
        <f>SUMIFS(INDEX(元データ_加工!$C$2:$P$700,0,MATCH($B389,元データ_加工!$C$1:$P$1,0)),元データ_加工!$A$2:$A$700,$A389,元データ_加工!$B$2:$B$700,F$5)</f>
        <v>14</v>
      </c>
      <c r="G389" s="26">
        <f>SUMIFS(INDEX(元データ_加工!$C$2:$P$700,0,MATCH($B389,元データ_加工!$C$1:$P$1,0)),元データ_加工!$A$2:$A$700,$A389,元データ_加工!$B$2:$B$700,G$5)</f>
        <v>4</v>
      </c>
      <c r="H389" s="26">
        <f>SUMIFS(INDEX(元データ_加工!$C$2:$P$700,0,MATCH($B389,元データ_加工!$C$1:$P$1,0)),元データ_加工!$A$2:$A$700,$A389,元データ_加工!$B$2:$B$700,H$5)</f>
        <v>6</v>
      </c>
      <c r="I389" s="26">
        <f>SUMIFS(INDEX(元データ_加工!$C$2:$P$700,0,MATCH($B389,元データ_加工!$C$1:$P$1,0)),元データ_加工!$A$2:$A$700,$A389,元データ_加工!$B$2:$B$700,I$5)</f>
        <v>2</v>
      </c>
      <c r="J389" s="26">
        <f>SUMIFS(INDEX(元データ_加工!$C$2:$P$700,0,MATCH($B389,元データ_加工!$C$1:$P$1,0)),元データ_加工!$A$2:$A$700,$A389,元データ_加工!$B$2:$B$700,J$5)</f>
        <v>77</v>
      </c>
      <c r="K389" s="26">
        <f>SUMIFS(INDEX(元データ_加工!$C$2:$P$700,0,MATCH($B389,元データ_加工!$C$1:$P$1,0)),元データ_加工!$A$2:$A$700,$A389,元データ_加工!$B$2:$B$700,K$5)</f>
        <v>184</v>
      </c>
      <c r="L389" s="26">
        <f>SUMIFS(INDEX(元データ_加工!$C$2:$P$700,0,MATCH($B389,元データ_加工!$C$1:$P$1,0)),元データ_加工!$A$2:$A$700,$A389,元データ_加工!$B$2:$B$700,L$5)</f>
        <v>62</v>
      </c>
      <c r="M389" s="26">
        <f>SUMIFS(INDEX(元データ_加工!$C$2:$P$700,0,MATCH($B389,元データ_加工!$C$1:$P$1,0)),元データ_加工!$A$2:$A$700,$A389,元データ_加工!$B$2:$B$700,M$5)</f>
        <v>16</v>
      </c>
      <c r="N389" s="26">
        <f>SUMIFS(INDEX(元データ_加工!$C$2:$P$700,0,MATCH($B389,元データ_加工!$C$1:$P$1,0)),元データ_加工!$A$2:$A$700,$A389,元データ_加工!$B$2:$B$700,N$5)</f>
        <v>8</v>
      </c>
      <c r="O389" s="26">
        <f t="shared" si="5"/>
        <v>400</v>
      </c>
      <c r="P389" s="7">
        <f>IFERROR(O389/SUMIFS(元データ_加工!$C$2:$C$700,元データ_加工!$A$2:$A$700,$A389),"")</f>
        <v>1.1045147038519951E-2</v>
      </c>
    </row>
    <row r="390" spans="1:16" x14ac:dyDescent="0.45">
      <c r="A390" t="s">
        <v>62</v>
      </c>
      <c r="B390" t="s">
        <v>106</v>
      </c>
      <c r="C390" s="26">
        <f>SUMIFS(INDEX(元データ_加工!$C$2:$P$700,0,MATCH($B390,元データ_加工!$C$1:$P$1,0)),元データ_加工!$A$2:$A$700,$A390,元データ_加工!$B$2:$B$700,C$5)</f>
        <v>358</v>
      </c>
      <c r="D390" s="26">
        <f>SUMIFS(INDEX(元データ_加工!$C$2:$P$700,0,MATCH($B390,元データ_加工!$C$1:$P$1,0)),元データ_加工!$A$2:$A$700,$A390,元データ_加工!$B$2:$B$700,D$5)</f>
        <v>347</v>
      </c>
      <c r="E390" s="26">
        <f>SUMIFS(INDEX(元データ_加工!$C$2:$P$700,0,MATCH($B390,元データ_加工!$C$1:$P$1,0)),元データ_加工!$A$2:$A$700,$A390,元データ_加工!$B$2:$B$700,E$5)</f>
        <v>491</v>
      </c>
      <c r="F390" s="26">
        <f>SUMIFS(INDEX(元データ_加工!$C$2:$P$700,0,MATCH($B390,元データ_加工!$C$1:$P$1,0)),元データ_加工!$A$2:$A$700,$A390,元データ_加工!$B$2:$B$700,F$5)</f>
        <v>434</v>
      </c>
      <c r="G390" s="26">
        <f>SUMIFS(INDEX(元データ_加工!$C$2:$P$700,0,MATCH($B390,元データ_加工!$C$1:$P$1,0)),元データ_加工!$A$2:$A$700,$A390,元データ_加工!$B$2:$B$700,G$5)</f>
        <v>513</v>
      </c>
      <c r="H390" s="26">
        <f>SUMIFS(INDEX(元データ_加工!$C$2:$P$700,0,MATCH($B390,元データ_加工!$C$1:$P$1,0)),元データ_加工!$A$2:$A$700,$A390,元データ_加工!$B$2:$B$700,H$5)</f>
        <v>300</v>
      </c>
      <c r="I390" s="26">
        <f>SUMIFS(INDEX(元データ_加工!$C$2:$P$700,0,MATCH($B390,元データ_加工!$C$1:$P$1,0)),元データ_加工!$A$2:$A$700,$A390,元データ_加工!$B$2:$B$700,I$5)</f>
        <v>240</v>
      </c>
      <c r="J390" s="26">
        <f>SUMIFS(INDEX(元データ_加工!$C$2:$P$700,0,MATCH($B390,元データ_加工!$C$1:$P$1,0)),元データ_加工!$A$2:$A$700,$A390,元データ_加工!$B$2:$B$700,J$5)</f>
        <v>489</v>
      </c>
      <c r="K390" s="26">
        <f>SUMIFS(INDEX(元データ_加工!$C$2:$P$700,0,MATCH($B390,元データ_加工!$C$1:$P$1,0)),元データ_加工!$A$2:$A$700,$A390,元データ_加工!$B$2:$B$700,K$5)</f>
        <v>690</v>
      </c>
      <c r="L390" s="26">
        <f>SUMIFS(INDEX(元データ_加工!$C$2:$P$700,0,MATCH($B390,元データ_加工!$C$1:$P$1,0)),元データ_加工!$A$2:$A$700,$A390,元データ_加工!$B$2:$B$700,L$5)</f>
        <v>555</v>
      </c>
      <c r="M390" s="26">
        <f>SUMIFS(INDEX(元データ_加工!$C$2:$P$700,0,MATCH($B390,元データ_加工!$C$1:$P$1,0)),元データ_加工!$A$2:$A$700,$A390,元データ_加工!$B$2:$B$700,M$5)</f>
        <v>657</v>
      </c>
      <c r="N390" s="26">
        <f>SUMIFS(INDEX(元データ_加工!$C$2:$P$700,0,MATCH($B390,元データ_加工!$C$1:$P$1,0)),元データ_加工!$A$2:$A$700,$A390,元データ_加工!$B$2:$B$700,N$5)</f>
        <v>482</v>
      </c>
      <c r="O390" s="26">
        <f t="shared" si="5"/>
        <v>5556</v>
      </c>
      <c r="P390" s="7">
        <f>IFERROR(O390/SUMIFS(元データ_加工!$C$2:$C$700,元データ_加工!$A$2:$A$700,$A390),"")</f>
        <v>0.15341709236504211</v>
      </c>
    </row>
    <row r="391" spans="1:16" x14ac:dyDescent="0.45">
      <c r="A391" t="s">
        <v>62</v>
      </c>
      <c r="B391" t="s">
        <v>107</v>
      </c>
      <c r="C391" s="26">
        <f>SUMIFS(INDEX(元データ_加工!$C$2:$P$700,0,MATCH($B391,元データ_加工!$C$1:$P$1,0)),元データ_加工!$A$2:$A$700,$A391,元データ_加工!$B$2:$B$700,C$5)</f>
        <v>163</v>
      </c>
      <c r="D391" s="26">
        <f>SUMIFS(INDEX(元データ_加工!$C$2:$P$700,0,MATCH($B391,元データ_加工!$C$1:$P$1,0)),元データ_加工!$A$2:$A$700,$A391,元データ_加工!$B$2:$B$700,D$5)</f>
        <v>97</v>
      </c>
      <c r="E391" s="26">
        <f>SUMIFS(INDEX(元データ_加工!$C$2:$P$700,0,MATCH($B391,元データ_加工!$C$1:$P$1,0)),元データ_加工!$A$2:$A$700,$A391,元データ_加工!$B$2:$B$700,E$5)</f>
        <v>64</v>
      </c>
      <c r="F391" s="26">
        <f>SUMIFS(INDEX(元データ_加工!$C$2:$P$700,0,MATCH($B391,元データ_加工!$C$1:$P$1,0)),元データ_加工!$A$2:$A$700,$A391,元データ_加工!$B$2:$B$700,F$5)</f>
        <v>33</v>
      </c>
      <c r="G391" s="26">
        <f>SUMIFS(INDEX(元データ_加工!$C$2:$P$700,0,MATCH($B391,元データ_加工!$C$1:$P$1,0)),元データ_加工!$A$2:$A$700,$A391,元データ_加工!$B$2:$B$700,G$5)</f>
        <v>24</v>
      </c>
      <c r="H391" s="26">
        <f>SUMIFS(INDEX(元データ_加工!$C$2:$P$700,0,MATCH($B391,元データ_加工!$C$1:$P$1,0)),元データ_加工!$A$2:$A$700,$A391,元データ_加工!$B$2:$B$700,H$5)</f>
        <v>8</v>
      </c>
      <c r="I391" s="26">
        <f>SUMIFS(INDEX(元データ_加工!$C$2:$P$700,0,MATCH($B391,元データ_加工!$C$1:$P$1,0)),元データ_加工!$A$2:$A$700,$A391,元データ_加工!$B$2:$B$700,I$5)</f>
        <v>4</v>
      </c>
      <c r="J391" s="26">
        <f>SUMIFS(INDEX(元データ_加工!$C$2:$P$700,0,MATCH($B391,元データ_加工!$C$1:$P$1,0)),元データ_加工!$A$2:$A$700,$A391,元データ_加工!$B$2:$B$700,J$5)</f>
        <v>17</v>
      </c>
      <c r="K391" s="26">
        <f>SUMIFS(INDEX(元データ_加工!$C$2:$P$700,0,MATCH($B391,元データ_加工!$C$1:$P$1,0)),元データ_加工!$A$2:$A$700,$A391,元データ_加工!$B$2:$B$700,K$5)</f>
        <v>8</v>
      </c>
      <c r="L391" s="26">
        <f>SUMIFS(INDEX(元データ_加工!$C$2:$P$700,0,MATCH($B391,元データ_加工!$C$1:$P$1,0)),元データ_加工!$A$2:$A$700,$A391,元データ_加工!$B$2:$B$700,L$5)</f>
        <v>21</v>
      </c>
      <c r="M391" s="26">
        <f>SUMIFS(INDEX(元データ_加工!$C$2:$P$700,0,MATCH($B391,元データ_加工!$C$1:$P$1,0)),元データ_加工!$A$2:$A$700,$A391,元データ_加工!$B$2:$B$700,M$5)</f>
        <v>16</v>
      </c>
      <c r="N391" s="26">
        <f>SUMIFS(INDEX(元データ_加工!$C$2:$P$700,0,MATCH($B391,元データ_加工!$C$1:$P$1,0)),元データ_加工!$A$2:$A$700,$A391,元データ_加工!$B$2:$B$700,N$5)</f>
        <v>98</v>
      </c>
      <c r="O391" s="26">
        <f t="shared" ref="O391:O454" si="6">SUM(C391:N391)</f>
        <v>553</v>
      </c>
      <c r="P391" s="7">
        <f>IFERROR(O391/SUMIFS(元データ_加工!$C$2:$C$700,元データ_加工!$A$2:$A$700,$A391),"")</f>
        <v>1.5269915780753832E-2</v>
      </c>
    </row>
    <row r="392" spans="1:16" x14ac:dyDescent="0.45">
      <c r="A392" t="s">
        <v>62</v>
      </c>
      <c r="B392" t="s">
        <v>108</v>
      </c>
      <c r="C392" s="26">
        <f>SUMIFS(INDEX(元データ_加工!$C$2:$P$700,0,MATCH($B392,元データ_加工!$C$1:$P$1,0)),元データ_加工!$A$2:$A$700,$A392,元データ_加工!$B$2:$B$700,C$5)</f>
        <v>0</v>
      </c>
      <c r="D392" s="26">
        <f>SUMIFS(INDEX(元データ_加工!$C$2:$P$700,0,MATCH($B392,元データ_加工!$C$1:$P$1,0)),元データ_加工!$A$2:$A$700,$A392,元データ_加工!$B$2:$B$700,D$5)</f>
        <v>16</v>
      </c>
      <c r="E392" s="26">
        <f>SUMIFS(INDEX(元データ_加工!$C$2:$P$700,0,MATCH($B392,元データ_加工!$C$1:$P$1,0)),元データ_加工!$A$2:$A$700,$A392,元データ_加工!$B$2:$B$700,E$5)</f>
        <v>17</v>
      </c>
      <c r="F392" s="26">
        <f>SUMIFS(INDEX(元データ_加工!$C$2:$P$700,0,MATCH($B392,元データ_加工!$C$1:$P$1,0)),元データ_加工!$A$2:$A$700,$A392,元データ_加工!$B$2:$B$700,F$5)</f>
        <v>27</v>
      </c>
      <c r="G392" s="26">
        <f>SUMIFS(INDEX(元データ_加工!$C$2:$P$700,0,MATCH($B392,元データ_加工!$C$1:$P$1,0)),元データ_加工!$A$2:$A$700,$A392,元データ_加工!$B$2:$B$700,G$5)</f>
        <v>17</v>
      </c>
      <c r="H392" s="26">
        <f>SUMIFS(INDEX(元データ_加工!$C$2:$P$700,0,MATCH($B392,元データ_加工!$C$1:$P$1,0)),元データ_加工!$A$2:$A$700,$A392,元データ_加工!$B$2:$B$700,H$5)</f>
        <v>4</v>
      </c>
      <c r="I392" s="26">
        <f>SUMIFS(INDEX(元データ_加工!$C$2:$P$700,0,MATCH($B392,元データ_加工!$C$1:$P$1,0)),元データ_加工!$A$2:$A$700,$A392,元データ_加工!$B$2:$B$700,I$5)</f>
        <v>0</v>
      </c>
      <c r="J392" s="26">
        <f>SUMIFS(INDEX(元データ_加工!$C$2:$P$700,0,MATCH($B392,元データ_加工!$C$1:$P$1,0)),元データ_加工!$A$2:$A$700,$A392,元データ_加工!$B$2:$B$700,J$5)</f>
        <v>0</v>
      </c>
      <c r="K392" s="26">
        <f>SUMIFS(INDEX(元データ_加工!$C$2:$P$700,0,MATCH($B392,元データ_加工!$C$1:$P$1,0)),元データ_加工!$A$2:$A$700,$A392,元データ_加工!$B$2:$B$700,K$5)</f>
        <v>0</v>
      </c>
      <c r="L392" s="26">
        <f>SUMIFS(INDEX(元データ_加工!$C$2:$P$700,0,MATCH($B392,元データ_加工!$C$1:$P$1,0)),元データ_加工!$A$2:$A$700,$A392,元データ_加工!$B$2:$B$700,L$5)</f>
        <v>3</v>
      </c>
      <c r="M392" s="26">
        <f>SUMIFS(INDEX(元データ_加工!$C$2:$P$700,0,MATCH($B392,元データ_加工!$C$1:$P$1,0)),元データ_加工!$A$2:$A$700,$A392,元データ_加工!$B$2:$B$700,M$5)</f>
        <v>0</v>
      </c>
      <c r="N392" s="26">
        <f>SUMIFS(INDEX(元データ_加工!$C$2:$P$700,0,MATCH($B392,元データ_加工!$C$1:$P$1,0)),元データ_加工!$A$2:$A$700,$A392,元データ_加工!$B$2:$B$700,N$5)</f>
        <v>0</v>
      </c>
      <c r="O392" s="26">
        <f t="shared" si="6"/>
        <v>84</v>
      </c>
      <c r="P392" s="7">
        <f>IFERROR(O392/SUMIFS(元データ_加工!$C$2:$C$700,元データ_加工!$A$2:$A$700,$A392),"")</f>
        <v>2.3194808780891895E-3</v>
      </c>
    </row>
    <row r="393" spans="1:16" x14ac:dyDescent="0.45">
      <c r="A393" t="s">
        <v>62</v>
      </c>
      <c r="B393" t="s">
        <v>109</v>
      </c>
      <c r="C393" s="26">
        <f>SUMIFS(INDEX(元データ_加工!$C$2:$P$700,0,MATCH($B393,元データ_加工!$C$1:$P$1,0)),元データ_加工!$A$2:$A$700,$A393,元データ_加工!$B$2:$B$700,C$5)</f>
        <v>50</v>
      </c>
      <c r="D393" s="26">
        <f>SUMIFS(INDEX(元データ_加工!$C$2:$P$700,0,MATCH($B393,元データ_加工!$C$1:$P$1,0)),元データ_加工!$A$2:$A$700,$A393,元データ_加工!$B$2:$B$700,D$5)</f>
        <v>84</v>
      </c>
      <c r="E393" s="26">
        <f>SUMIFS(INDEX(元データ_加工!$C$2:$P$700,0,MATCH($B393,元データ_加工!$C$1:$P$1,0)),元データ_加工!$A$2:$A$700,$A393,元データ_加工!$B$2:$B$700,E$5)</f>
        <v>81</v>
      </c>
      <c r="F393" s="26">
        <f>SUMIFS(INDEX(元データ_加工!$C$2:$P$700,0,MATCH($B393,元データ_加工!$C$1:$P$1,0)),元データ_加工!$A$2:$A$700,$A393,元データ_加工!$B$2:$B$700,F$5)</f>
        <v>86</v>
      </c>
      <c r="G393" s="26">
        <f>SUMIFS(INDEX(元データ_加工!$C$2:$P$700,0,MATCH($B393,元データ_加工!$C$1:$P$1,0)),元データ_加工!$A$2:$A$700,$A393,元データ_加工!$B$2:$B$700,G$5)</f>
        <v>81</v>
      </c>
      <c r="H393" s="26">
        <f>SUMIFS(INDEX(元データ_加工!$C$2:$P$700,0,MATCH($B393,元データ_加工!$C$1:$P$1,0)),元データ_加工!$A$2:$A$700,$A393,元データ_加工!$B$2:$B$700,H$5)</f>
        <v>53</v>
      </c>
      <c r="I393" s="26">
        <f>SUMIFS(INDEX(元データ_加工!$C$2:$P$700,0,MATCH($B393,元データ_加工!$C$1:$P$1,0)),元データ_加工!$A$2:$A$700,$A393,元データ_加工!$B$2:$B$700,I$5)</f>
        <v>75</v>
      </c>
      <c r="J393" s="26">
        <f>SUMIFS(INDEX(元データ_加工!$C$2:$P$700,0,MATCH($B393,元データ_加工!$C$1:$P$1,0)),元データ_加工!$A$2:$A$700,$A393,元データ_加工!$B$2:$B$700,J$5)</f>
        <v>79</v>
      </c>
      <c r="K393" s="26">
        <f>SUMIFS(INDEX(元データ_加工!$C$2:$P$700,0,MATCH($B393,元データ_加工!$C$1:$P$1,0)),元データ_加工!$A$2:$A$700,$A393,元データ_加工!$B$2:$B$700,K$5)</f>
        <v>77</v>
      </c>
      <c r="L393" s="26">
        <f>SUMIFS(INDEX(元データ_加工!$C$2:$P$700,0,MATCH($B393,元データ_加工!$C$1:$P$1,0)),元データ_加工!$A$2:$A$700,$A393,元データ_加工!$B$2:$B$700,L$5)</f>
        <v>43</v>
      </c>
      <c r="M393" s="26">
        <f>SUMIFS(INDEX(元データ_加工!$C$2:$P$700,0,MATCH($B393,元データ_加工!$C$1:$P$1,0)),元データ_加工!$A$2:$A$700,$A393,元データ_加工!$B$2:$B$700,M$5)</f>
        <v>68</v>
      </c>
      <c r="N393" s="26">
        <f>SUMIFS(INDEX(元データ_加工!$C$2:$P$700,0,MATCH($B393,元データ_加工!$C$1:$P$1,0)),元データ_加工!$A$2:$A$700,$A393,元データ_加工!$B$2:$B$700,N$5)</f>
        <v>77</v>
      </c>
      <c r="O393" s="26">
        <f t="shared" si="6"/>
        <v>854</v>
      </c>
      <c r="P393" s="7">
        <f>IFERROR(O393/SUMIFS(元データ_加工!$C$2:$C$700,元データ_加工!$A$2:$A$700,$A393),"")</f>
        <v>2.3581388927240095E-2</v>
      </c>
    </row>
    <row r="394" spans="1:16" x14ac:dyDescent="0.45">
      <c r="A394" t="s">
        <v>62</v>
      </c>
      <c r="B394" t="s">
        <v>110</v>
      </c>
      <c r="C394" s="26">
        <f>SUMIFS(INDEX(元データ_加工!$C$2:$P$700,0,MATCH($B394,元データ_加工!$C$1:$P$1,0)),元データ_加工!$A$2:$A$700,$A394,元データ_加工!$B$2:$B$700,C$5)</f>
        <v>0</v>
      </c>
      <c r="D394" s="26">
        <f>SUMIFS(INDEX(元データ_加工!$C$2:$P$700,0,MATCH($B394,元データ_加工!$C$1:$P$1,0)),元データ_加工!$A$2:$A$700,$A394,元データ_加工!$B$2:$B$700,D$5)</f>
        <v>0</v>
      </c>
      <c r="E394" s="26">
        <f>SUMIFS(INDEX(元データ_加工!$C$2:$P$700,0,MATCH($B394,元データ_加工!$C$1:$P$1,0)),元データ_加工!$A$2:$A$700,$A394,元データ_加工!$B$2:$B$700,E$5)</f>
        <v>0</v>
      </c>
      <c r="F394" s="26">
        <f>SUMIFS(INDEX(元データ_加工!$C$2:$P$700,0,MATCH($B394,元データ_加工!$C$1:$P$1,0)),元データ_加工!$A$2:$A$700,$A394,元データ_加工!$B$2:$B$700,F$5)</f>
        <v>0</v>
      </c>
      <c r="G394" s="26">
        <f>SUMIFS(INDEX(元データ_加工!$C$2:$P$700,0,MATCH($B394,元データ_加工!$C$1:$P$1,0)),元データ_加工!$A$2:$A$700,$A394,元データ_加工!$B$2:$B$700,G$5)</f>
        <v>0</v>
      </c>
      <c r="H394" s="26">
        <f>SUMIFS(INDEX(元データ_加工!$C$2:$P$700,0,MATCH($B394,元データ_加工!$C$1:$P$1,0)),元データ_加工!$A$2:$A$700,$A394,元データ_加工!$B$2:$B$700,H$5)</f>
        <v>0</v>
      </c>
      <c r="I394" s="26">
        <f>SUMIFS(INDEX(元データ_加工!$C$2:$P$700,0,MATCH($B394,元データ_加工!$C$1:$P$1,0)),元データ_加工!$A$2:$A$700,$A394,元データ_加工!$B$2:$B$700,I$5)</f>
        <v>0</v>
      </c>
      <c r="J394" s="26">
        <f>SUMIFS(INDEX(元データ_加工!$C$2:$P$700,0,MATCH($B394,元データ_加工!$C$1:$P$1,0)),元データ_加工!$A$2:$A$700,$A394,元データ_加工!$B$2:$B$700,J$5)</f>
        <v>0</v>
      </c>
      <c r="K394" s="26">
        <f>SUMIFS(INDEX(元データ_加工!$C$2:$P$700,0,MATCH($B394,元データ_加工!$C$1:$P$1,0)),元データ_加工!$A$2:$A$700,$A394,元データ_加工!$B$2:$B$700,K$5)</f>
        <v>0</v>
      </c>
      <c r="L394" s="26">
        <f>SUMIFS(INDEX(元データ_加工!$C$2:$P$700,0,MATCH($B394,元データ_加工!$C$1:$P$1,0)),元データ_加工!$A$2:$A$700,$A394,元データ_加工!$B$2:$B$700,L$5)</f>
        <v>0</v>
      </c>
      <c r="M394" s="26">
        <f>SUMIFS(INDEX(元データ_加工!$C$2:$P$700,0,MATCH($B394,元データ_加工!$C$1:$P$1,0)),元データ_加工!$A$2:$A$700,$A394,元データ_加工!$B$2:$B$700,M$5)</f>
        <v>0</v>
      </c>
      <c r="N394" s="26">
        <f>SUMIFS(INDEX(元データ_加工!$C$2:$P$700,0,MATCH($B394,元データ_加工!$C$1:$P$1,0)),元データ_加工!$A$2:$A$700,$A394,元データ_加工!$B$2:$B$700,N$5)</f>
        <v>0</v>
      </c>
      <c r="O394" s="26">
        <f t="shared" si="6"/>
        <v>0</v>
      </c>
      <c r="P394" s="7">
        <f>IFERROR(O394/SUMIFS(元データ_加工!$C$2:$C$700,元データ_加工!$A$2:$A$700,$A394),"")</f>
        <v>0</v>
      </c>
    </row>
    <row r="395" spans="1:16" x14ac:dyDescent="0.45">
      <c r="A395" t="s">
        <v>62</v>
      </c>
      <c r="B395" t="s">
        <v>111</v>
      </c>
      <c r="C395" s="26">
        <f>SUMIFS(INDEX(元データ_加工!$C$2:$P$700,0,MATCH($B395,元データ_加工!$C$1:$P$1,0)),元データ_加工!$A$2:$A$700,$A395,元データ_加工!$B$2:$B$700,C$5)</f>
        <v>1</v>
      </c>
      <c r="D395" s="26">
        <f>SUMIFS(INDEX(元データ_加工!$C$2:$P$700,0,MATCH($B395,元データ_加工!$C$1:$P$1,0)),元データ_加工!$A$2:$A$700,$A395,元データ_加工!$B$2:$B$700,D$5)</f>
        <v>0</v>
      </c>
      <c r="E395" s="26">
        <f>SUMIFS(INDEX(元データ_加工!$C$2:$P$700,0,MATCH($B395,元データ_加工!$C$1:$P$1,0)),元データ_加工!$A$2:$A$700,$A395,元データ_加工!$B$2:$B$700,E$5)</f>
        <v>0</v>
      </c>
      <c r="F395" s="26">
        <f>SUMIFS(INDEX(元データ_加工!$C$2:$P$700,0,MATCH($B395,元データ_加工!$C$1:$P$1,0)),元データ_加工!$A$2:$A$700,$A395,元データ_加工!$B$2:$B$700,F$5)</f>
        <v>0</v>
      </c>
      <c r="G395" s="26">
        <f>SUMIFS(INDEX(元データ_加工!$C$2:$P$700,0,MATCH($B395,元データ_加工!$C$1:$P$1,0)),元データ_加工!$A$2:$A$700,$A395,元データ_加工!$B$2:$B$700,G$5)</f>
        <v>0</v>
      </c>
      <c r="H395" s="26">
        <f>SUMIFS(INDEX(元データ_加工!$C$2:$P$700,0,MATCH($B395,元データ_加工!$C$1:$P$1,0)),元データ_加工!$A$2:$A$700,$A395,元データ_加工!$B$2:$B$700,H$5)</f>
        <v>0</v>
      </c>
      <c r="I395" s="26">
        <f>SUMIFS(INDEX(元データ_加工!$C$2:$P$700,0,MATCH($B395,元データ_加工!$C$1:$P$1,0)),元データ_加工!$A$2:$A$700,$A395,元データ_加工!$B$2:$B$700,I$5)</f>
        <v>0</v>
      </c>
      <c r="J395" s="26">
        <f>SUMIFS(INDEX(元データ_加工!$C$2:$P$700,0,MATCH($B395,元データ_加工!$C$1:$P$1,0)),元データ_加工!$A$2:$A$700,$A395,元データ_加工!$B$2:$B$700,J$5)</f>
        <v>1</v>
      </c>
      <c r="K395" s="26">
        <f>SUMIFS(INDEX(元データ_加工!$C$2:$P$700,0,MATCH($B395,元データ_加工!$C$1:$P$1,0)),元データ_加工!$A$2:$A$700,$A395,元データ_加工!$B$2:$B$700,K$5)</f>
        <v>1</v>
      </c>
      <c r="L395" s="26">
        <f>SUMIFS(INDEX(元データ_加工!$C$2:$P$700,0,MATCH($B395,元データ_加工!$C$1:$P$1,0)),元データ_加工!$A$2:$A$700,$A395,元データ_加工!$B$2:$B$700,L$5)</f>
        <v>2</v>
      </c>
      <c r="M395" s="26">
        <f>SUMIFS(INDEX(元データ_加工!$C$2:$P$700,0,MATCH($B395,元データ_加工!$C$1:$P$1,0)),元データ_加工!$A$2:$A$700,$A395,元データ_加工!$B$2:$B$700,M$5)</f>
        <v>0</v>
      </c>
      <c r="N395" s="26">
        <f>SUMIFS(INDEX(元データ_加工!$C$2:$P$700,0,MATCH($B395,元データ_加工!$C$1:$P$1,0)),元データ_加工!$A$2:$A$700,$A395,元データ_加工!$B$2:$B$700,N$5)</f>
        <v>0</v>
      </c>
      <c r="O395" s="26">
        <f t="shared" si="6"/>
        <v>5</v>
      </c>
      <c r="P395" s="7">
        <f>IFERROR(O395/SUMIFS(元データ_加工!$C$2:$C$700,元データ_加工!$A$2:$A$700,$A395),"")</f>
        <v>1.3806433798149937E-4</v>
      </c>
    </row>
    <row r="396" spans="1:16" x14ac:dyDescent="0.45">
      <c r="A396" t="s">
        <v>62</v>
      </c>
      <c r="B396" t="s">
        <v>112</v>
      </c>
      <c r="C396" s="26">
        <f>SUMIFS(INDEX(元データ_加工!$C$2:$P$700,0,MATCH($B396,元データ_加工!$C$1:$P$1,0)),元データ_加工!$A$2:$A$700,$A396,元データ_加工!$B$2:$B$700,C$5)</f>
        <v>0</v>
      </c>
      <c r="D396" s="26">
        <f>SUMIFS(INDEX(元データ_加工!$C$2:$P$700,0,MATCH($B396,元データ_加工!$C$1:$P$1,0)),元データ_加工!$A$2:$A$700,$A396,元データ_加工!$B$2:$B$700,D$5)</f>
        <v>0</v>
      </c>
      <c r="E396" s="26">
        <f>SUMIFS(INDEX(元データ_加工!$C$2:$P$700,0,MATCH($B396,元データ_加工!$C$1:$P$1,0)),元データ_加工!$A$2:$A$700,$A396,元データ_加工!$B$2:$B$700,E$5)</f>
        <v>0</v>
      </c>
      <c r="F396" s="26">
        <f>SUMIFS(INDEX(元データ_加工!$C$2:$P$700,0,MATCH($B396,元データ_加工!$C$1:$P$1,0)),元データ_加工!$A$2:$A$700,$A396,元データ_加工!$B$2:$B$700,F$5)</f>
        <v>2</v>
      </c>
      <c r="G396" s="26">
        <f>SUMIFS(INDEX(元データ_加工!$C$2:$P$700,0,MATCH($B396,元データ_加工!$C$1:$P$1,0)),元データ_加工!$A$2:$A$700,$A396,元データ_加工!$B$2:$B$700,G$5)</f>
        <v>3</v>
      </c>
      <c r="H396" s="26">
        <f>SUMIFS(INDEX(元データ_加工!$C$2:$P$700,0,MATCH($B396,元データ_加工!$C$1:$P$1,0)),元データ_加工!$A$2:$A$700,$A396,元データ_加工!$B$2:$B$700,H$5)</f>
        <v>2</v>
      </c>
      <c r="I396" s="26">
        <f>SUMIFS(INDEX(元データ_加工!$C$2:$P$700,0,MATCH($B396,元データ_加工!$C$1:$P$1,0)),元データ_加工!$A$2:$A$700,$A396,元データ_加工!$B$2:$B$700,I$5)</f>
        <v>0</v>
      </c>
      <c r="J396" s="26">
        <f>SUMIFS(INDEX(元データ_加工!$C$2:$P$700,0,MATCH($B396,元データ_加工!$C$1:$P$1,0)),元データ_加工!$A$2:$A$700,$A396,元データ_加工!$B$2:$B$700,J$5)</f>
        <v>2</v>
      </c>
      <c r="K396" s="26">
        <f>SUMIFS(INDEX(元データ_加工!$C$2:$P$700,0,MATCH($B396,元データ_加工!$C$1:$P$1,0)),元データ_加工!$A$2:$A$700,$A396,元データ_加工!$B$2:$B$700,K$5)</f>
        <v>17</v>
      </c>
      <c r="L396" s="26">
        <f>SUMIFS(INDEX(元データ_加工!$C$2:$P$700,0,MATCH($B396,元データ_加工!$C$1:$P$1,0)),元データ_加工!$A$2:$A$700,$A396,元データ_加工!$B$2:$B$700,L$5)</f>
        <v>4</v>
      </c>
      <c r="M396" s="26">
        <f>SUMIFS(INDEX(元データ_加工!$C$2:$P$700,0,MATCH($B396,元データ_加工!$C$1:$P$1,0)),元データ_加工!$A$2:$A$700,$A396,元データ_加工!$B$2:$B$700,M$5)</f>
        <v>4</v>
      </c>
      <c r="N396" s="26">
        <f>SUMIFS(INDEX(元データ_加工!$C$2:$P$700,0,MATCH($B396,元データ_加工!$C$1:$P$1,0)),元データ_加工!$A$2:$A$700,$A396,元データ_加工!$B$2:$B$700,N$5)</f>
        <v>0</v>
      </c>
      <c r="O396" s="26">
        <f t="shared" si="6"/>
        <v>34</v>
      </c>
      <c r="P396" s="7">
        <f>IFERROR(O396/SUMIFS(元データ_加工!$C$2:$C$700,元データ_加工!$A$2:$A$700,$A396),"")</f>
        <v>9.3883749827419576E-4</v>
      </c>
    </row>
    <row r="397" spans="1:16" x14ac:dyDescent="0.45">
      <c r="A397" t="s">
        <v>62</v>
      </c>
      <c r="B397" t="s">
        <v>113</v>
      </c>
      <c r="C397" s="26">
        <f>SUMIFS(INDEX(元データ_加工!$C$2:$P$700,0,MATCH($B397,元データ_加工!$C$1:$P$1,0)),元データ_加工!$A$2:$A$700,$A397,元データ_加工!$B$2:$B$700,C$5)</f>
        <v>1</v>
      </c>
      <c r="D397" s="26">
        <f>SUMIFS(INDEX(元データ_加工!$C$2:$P$700,0,MATCH($B397,元データ_加工!$C$1:$P$1,0)),元データ_加工!$A$2:$A$700,$A397,元データ_加工!$B$2:$B$700,D$5)</f>
        <v>2</v>
      </c>
      <c r="E397" s="26">
        <f>SUMIFS(INDEX(元データ_加工!$C$2:$P$700,0,MATCH($B397,元データ_加工!$C$1:$P$1,0)),元データ_加工!$A$2:$A$700,$A397,元データ_加工!$B$2:$B$700,E$5)</f>
        <v>3</v>
      </c>
      <c r="F397" s="26">
        <f>SUMIFS(INDEX(元データ_加工!$C$2:$P$700,0,MATCH($B397,元データ_加工!$C$1:$P$1,0)),元データ_加工!$A$2:$A$700,$A397,元データ_加工!$B$2:$B$700,F$5)</f>
        <v>6</v>
      </c>
      <c r="G397" s="26">
        <f>SUMIFS(INDEX(元データ_加工!$C$2:$P$700,0,MATCH($B397,元データ_加工!$C$1:$P$1,0)),元データ_加工!$A$2:$A$700,$A397,元データ_加工!$B$2:$B$700,G$5)</f>
        <v>8</v>
      </c>
      <c r="H397" s="26">
        <f>SUMIFS(INDEX(元データ_加工!$C$2:$P$700,0,MATCH($B397,元データ_加工!$C$1:$P$1,0)),元データ_加工!$A$2:$A$700,$A397,元データ_加工!$B$2:$B$700,H$5)</f>
        <v>7</v>
      </c>
      <c r="I397" s="26">
        <f>SUMIFS(INDEX(元データ_加工!$C$2:$P$700,0,MATCH($B397,元データ_加工!$C$1:$P$1,0)),元データ_加工!$A$2:$A$700,$A397,元データ_加工!$B$2:$B$700,I$5)</f>
        <v>6</v>
      </c>
      <c r="J397" s="26">
        <f>SUMIFS(INDEX(元データ_加工!$C$2:$P$700,0,MATCH($B397,元データ_加工!$C$1:$P$1,0)),元データ_加工!$A$2:$A$700,$A397,元データ_加工!$B$2:$B$700,J$5)</f>
        <v>8</v>
      </c>
      <c r="K397" s="26">
        <f>SUMIFS(INDEX(元データ_加工!$C$2:$P$700,0,MATCH($B397,元データ_加工!$C$1:$P$1,0)),元データ_加工!$A$2:$A$700,$A397,元データ_加工!$B$2:$B$700,K$5)</f>
        <v>16</v>
      </c>
      <c r="L397" s="26">
        <f>SUMIFS(INDEX(元データ_加工!$C$2:$P$700,0,MATCH($B397,元データ_加工!$C$1:$P$1,0)),元データ_加工!$A$2:$A$700,$A397,元データ_加工!$B$2:$B$700,L$5)</f>
        <v>7</v>
      </c>
      <c r="M397" s="26">
        <f>SUMIFS(INDEX(元データ_加工!$C$2:$P$700,0,MATCH($B397,元データ_加工!$C$1:$P$1,0)),元データ_加工!$A$2:$A$700,$A397,元データ_加工!$B$2:$B$700,M$5)</f>
        <v>6</v>
      </c>
      <c r="N397" s="26">
        <f>SUMIFS(INDEX(元データ_加工!$C$2:$P$700,0,MATCH($B397,元データ_加工!$C$1:$P$1,0)),元データ_加工!$A$2:$A$700,$A397,元データ_加工!$B$2:$B$700,N$5)</f>
        <v>8</v>
      </c>
      <c r="O397" s="26">
        <f t="shared" si="6"/>
        <v>78</v>
      </c>
      <c r="P397" s="7">
        <f>IFERROR(O397/SUMIFS(元データ_加工!$C$2:$C$700,元データ_加工!$A$2:$A$700,$A397),"")</f>
        <v>2.1538036725113905E-3</v>
      </c>
    </row>
    <row r="398" spans="1:16" x14ac:dyDescent="0.45">
      <c r="A398" t="s">
        <v>63</v>
      </c>
      <c r="B398" t="s">
        <v>100</v>
      </c>
      <c r="C398" s="26">
        <f>SUMIFS(INDEX(元データ_加工!$C$2:$P$700,0,MATCH($B398,元データ_加工!$C$1:$P$1,0)),元データ_加工!$A$2:$A$700,$A398,元データ_加工!$B$2:$B$700,C$5)</f>
        <v>1567</v>
      </c>
      <c r="D398" s="26">
        <f>SUMIFS(INDEX(元データ_加工!$C$2:$P$700,0,MATCH($B398,元データ_加工!$C$1:$P$1,0)),元データ_加工!$A$2:$A$700,$A398,元データ_加工!$B$2:$B$700,D$5)</f>
        <v>1500</v>
      </c>
      <c r="E398" s="26">
        <f>SUMIFS(INDEX(元データ_加工!$C$2:$P$700,0,MATCH($B398,元データ_加工!$C$1:$P$1,0)),元データ_加工!$A$2:$A$700,$A398,元データ_加工!$B$2:$B$700,E$5)</f>
        <v>2407</v>
      </c>
      <c r="F398" s="26">
        <f>SUMIFS(INDEX(元データ_加工!$C$2:$P$700,0,MATCH($B398,元データ_加工!$C$1:$P$1,0)),元データ_加工!$A$2:$A$700,$A398,元データ_加工!$B$2:$B$700,F$5)</f>
        <v>2039</v>
      </c>
      <c r="G398" s="26">
        <f>SUMIFS(INDEX(元データ_加工!$C$2:$P$700,0,MATCH($B398,元データ_加工!$C$1:$P$1,0)),元データ_加工!$A$2:$A$700,$A398,元データ_加工!$B$2:$B$700,G$5)</f>
        <v>2121</v>
      </c>
      <c r="H398" s="26">
        <f>SUMIFS(INDEX(元データ_加工!$C$2:$P$700,0,MATCH($B398,元データ_加工!$C$1:$P$1,0)),元データ_加工!$A$2:$A$700,$A398,元データ_加工!$B$2:$B$700,H$5)</f>
        <v>1782</v>
      </c>
      <c r="I398" s="26">
        <f>SUMIFS(INDEX(元データ_加工!$C$2:$P$700,0,MATCH($B398,元データ_加工!$C$1:$P$1,0)),元データ_加工!$A$2:$A$700,$A398,元データ_加工!$B$2:$B$700,I$5)</f>
        <v>1398</v>
      </c>
      <c r="J398" s="26">
        <f>SUMIFS(INDEX(元データ_加工!$C$2:$P$700,0,MATCH($B398,元データ_加工!$C$1:$P$1,0)),元データ_加工!$A$2:$A$700,$A398,元データ_加工!$B$2:$B$700,J$5)</f>
        <v>2647</v>
      </c>
      <c r="K398" s="26">
        <f>SUMIFS(INDEX(元データ_加工!$C$2:$P$700,0,MATCH($B398,元データ_加工!$C$1:$P$1,0)),元データ_加工!$A$2:$A$700,$A398,元データ_加工!$B$2:$B$700,K$5)</f>
        <v>3894</v>
      </c>
      <c r="L398" s="26">
        <f>SUMIFS(INDEX(元データ_加工!$C$2:$P$700,0,MATCH($B398,元データ_加工!$C$1:$P$1,0)),元データ_加工!$A$2:$A$700,$A398,元データ_加工!$B$2:$B$700,L$5)</f>
        <v>2659</v>
      </c>
      <c r="M398" s="26">
        <f>SUMIFS(INDEX(元データ_加工!$C$2:$P$700,0,MATCH($B398,元データ_加工!$C$1:$P$1,0)),元データ_加工!$A$2:$A$700,$A398,元データ_加工!$B$2:$B$700,M$5)</f>
        <v>2590</v>
      </c>
      <c r="N398" s="26">
        <f>SUMIFS(INDEX(元データ_加工!$C$2:$P$700,0,MATCH($B398,元データ_加工!$C$1:$P$1,0)),元データ_加工!$A$2:$A$700,$A398,元データ_加工!$B$2:$B$700,N$5)</f>
        <v>2566</v>
      </c>
      <c r="O398" s="26">
        <f t="shared" si="6"/>
        <v>27170</v>
      </c>
      <c r="P398" s="7">
        <f>IFERROR(O398/SUMIFS(元データ_加工!$C$2:$C$700,元データ_加工!$A$2:$A$700,$A398),"")</f>
        <v>1</v>
      </c>
    </row>
    <row r="399" spans="1:16" x14ac:dyDescent="0.45">
      <c r="A399" t="s">
        <v>63</v>
      </c>
      <c r="B399" t="s">
        <v>101</v>
      </c>
      <c r="C399" s="26">
        <f>SUMIFS(INDEX(元データ_加工!$C$2:$P$700,0,MATCH($B399,元データ_加工!$C$1:$P$1,0)),元データ_加工!$A$2:$A$700,$A399,元データ_加工!$B$2:$B$700,C$5)</f>
        <v>608</v>
      </c>
      <c r="D399" s="26">
        <f>SUMIFS(INDEX(元データ_加工!$C$2:$P$700,0,MATCH($B399,元データ_加工!$C$1:$P$1,0)),元データ_加工!$A$2:$A$700,$A399,元データ_加工!$B$2:$B$700,D$5)</f>
        <v>708</v>
      </c>
      <c r="E399" s="26">
        <f>SUMIFS(INDEX(元データ_加工!$C$2:$P$700,0,MATCH($B399,元データ_加工!$C$1:$P$1,0)),元データ_加工!$A$2:$A$700,$A399,元データ_加工!$B$2:$B$700,E$5)</f>
        <v>1114</v>
      </c>
      <c r="F399" s="26">
        <f>SUMIFS(INDEX(元データ_加工!$C$2:$P$700,0,MATCH($B399,元データ_加工!$C$1:$P$1,0)),元データ_加工!$A$2:$A$700,$A399,元データ_加工!$B$2:$B$700,F$5)</f>
        <v>958</v>
      </c>
      <c r="G399" s="26">
        <f>SUMIFS(INDEX(元データ_加工!$C$2:$P$700,0,MATCH($B399,元データ_加工!$C$1:$P$1,0)),元データ_加工!$A$2:$A$700,$A399,元データ_加工!$B$2:$B$700,G$5)</f>
        <v>1008</v>
      </c>
      <c r="H399" s="26">
        <f>SUMIFS(INDEX(元データ_加工!$C$2:$P$700,0,MATCH($B399,元データ_加工!$C$1:$P$1,0)),元データ_加工!$A$2:$A$700,$A399,元データ_加工!$B$2:$B$700,H$5)</f>
        <v>685</v>
      </c>
      <c r="I399" s="26">
        <f>SUMIFS(INDEX(元データ_加工!$C$2:$P$700,0,MATCH($B399,元データ_加工!$C$1:$P$1,0)),元データ_加工!$A$2:$A$700,$A399,元データ_加工!$B$2:$B$700,I$5)</f>
        <v>718</v>
      </c>
      <c r="J399" s="26">
        <f>SUMIFS(INDEX(元データ_加工!$C$2:$P$700,0,MATCH($B399,元データ_加工!$C$1:$P$1,0)),元データ_加工!$A$2:$A$700,$A399,元データ_加工!$B$2:$B$700,J$5)</f>
        <v>912</v>
      </c>
      <c r="K399" s="26">
        <f>SUMIFS(INDEX(元データ_加工!$C$2:$P$700,0,MATCH($B399,元データ_加工!$C$1:$P$1,0)),元データ_加工!$A$2:$A$700,$A399,元データ_加工!$B$2:$B$700,K$5)</f>
        <v>873</v>
      </c>
      <c r="L399" s="26">
        <f>SUMIFS(INDEX(元データ_加工!$C$2:$P$700,0,MATCH($B399,元データ_加工!$C$1:$P$1,0)),元データ_加工!$A$2:$A$700,$A399,元データ_加工!$B$2:$B$700,L$5)</f>
        <v>751</v>
      </c>
      <c r="M399" s="26">
        <f>SUMIFS(INDEX(元データ_加工!$C$2:$P$700,0,MATCH($B399,元データ_加工!$C$1:$P$1,0)),元データ_加工!$A$2:$A$700,$A399,元データ_加工!$B$2:$B$700,M$5)</f>
        <v>818</v>
      </c>
      <c r="N399" s="26">
        <f>SUMIFS(INDEX(元データ_加工!$C$2:$P$700,0,MATCH($B399,元データ_加工!$C$1:$P$1,0)),元データ_加工!$A$2:$A$700,$A399,元データ_加工!$B$2:$B$700,N$5)</f>
        <v>746</v>
      </c>
      <c r="O399" s="26">
        <f t="shared" si="6"/>
        <v>9899</v>
      </c>
      <c r="P399" s="7">
        <f>IFERROR(O399/SUMIFS(元データ_加工!$C$2:$C$700,元データ_加工!$A$2:$A$700,$A399),"")</f>
        <v>0.36433566433566433</v>
      </c>
    </row>
    <row r="400" spans="1:16" x14ac:dyDescent="0.45">
      <c r="A400" t="s">
        <v>63</v>
      </c>
      <c r="B400" t="s">
        <v>102</v>
      </c>
      <c r="C400" s="26">
        <f>SUMIFS(INDEX(元データ_加工!$C$2:$P$700,0,MATCH($B400,元データ_加工!$C$1:$P$1,0)),元データ_加工!$A$2:$A$700,$A400,元データ_加工!$B$2:$B$700,C$5)</f>
        <v>0</v>
      </c>
      <c r="D400" s="26">
        <f>SUMIFS(INDEX(元データ_加工!$C$2:$P$700,0,MATCH($B400,元データ_加工!$C$1:$P$1,0)),元データ_加工!$A$2:$A$700,$A400,元データ_加工!$B$2:$B$700,D$5)</f>
        <v>0</v>
      </c>
      <c r="E400" s="26">
        <f>SUMIFS(INDEX(元データ_加工!$C$2:$P$700,0,MATCH($B400,元データ_加工!$C$1:$P$1,0)),元データ_加工!$A$2:$A$700,$A400,元データ_加工!$B$2:$B$700,E$5)</f>
        <v>0</v>
      </c>
      <c r="F400" s="26">
        <f>SUMIFS(INDEX(元データ_加工!$C$2:$P$700,0,MATCH($B400,元データ_加工!$C$1:$P$1,0)),元データ_加工!$A$2:$A$700,$A400,元データ_加工!$B$2:$B$700,F$5)</f>
        <v>0</v>
      </c>
      <c r="G400" s="26">
        <f>SUMIFS(INDEX(元データ_加工!$C$2:$P$700,0,MATCH($B400,元データ_加工!$C$1:$P$1,0)),元データ_加工!$A$2:$A$700,$A400,元データ_加工!$B$2:$B$700,G$5)</f>
        <v>0</v>
      </c>
      <c r="H400" s="26">
        <f>SUMIFS(INDEX(元データ_加工!$C$2:$P$700,0,MATCH($B400,元データ_加工!$C$1:$P$1,0)),元データ_加工!$A$2:$A$700,$A400,元データ_加工!$B$2:$B$700,H$5)</f>
        <v>0</v>
      </c>
      <c r="I400" s="26">
        <f>SUMIFS(INDEX(元データ_加工!$C$2:$P$700,0,MATCH($B400,元データ_加工!$C$1:$P$1,0)),元データ_加工!$A$2:$A$700,$A400,元データ_加工!$B$2:$B$700,I$5)</f>
        <v>0</v>
      </c>
      <c r="J400" s="26">
        <f>SUMIFS(INDEX(元データ_加工!$C$2:$P$700,0,MATCH($B400,元データ_加工!$C$1:$P$1,0)),元データ_加工!$A$2:$A$700,$A400,元データ_加工!$B$2:$B$700,J$5)</f>
        <v>2</v>
      </c>
      <c r="K400" s="26">
        <f>SUMIFS(INDEX(元データ_加工!$C$2:$P$700,0,MATCH($B400,元データ_加工!$C$1:$P$1,0)),元データ_加工!$A$2:$A$700,$A400,元データ_加工!$B$2:$B$700,K$5)</f>
        <v>0</v>
      </c>
      <c r="L400" s="26">
        <f>SUMIFS(INDEX(元データ_加工!$C$2:$P$700,0,MATCH($B400,元データ_加工!$C$1:$P$1,0)),元データ_加工!$A$2:$A$700,$A400,元データ_加工!$B$2:$B$700,L$5)</f>
        <v>0</v>
      </c>
      <c r="M400" s="26">
        <f>SUMIFS(INDEX(元データ_加工!$C$2:$P$700,0,MATCH($B400,元データ_加工!$C$1:$P$1,0)),元データ_加工!$A$2:$A$700,$A400,元データ_加工!$B$2:$B$700,M$5)</f>
        <v>0</v>
      </c>
      <c r="N400" s="26">
        <f>SUMIFS(INDEX(元データ_加工!$C$2:$P$700,0,MATCH($B400,元データ_加工!$C$1:$P$1,0)),元データ_加工!$A$2:$A$700,$A400,元データ_加工!$B$2:$B$700,N$5)</f>
        <v>0</v>
      </c>
      <c r="O400" s="26">
        <f t="shared" si="6"/>
        <v>2</v>
      </c>
      <c r="P400" s="7">
        <f>IFERROR(O400/SUMIFS(元データ_加工!$C$2:$C$700,元データ_加工!$A$2:$A$700,$A400),"")</f>
        <v>7.3610599926389404E-5</v>
      </c>
    </row>
    <row r="401" spans="1:16" x14ac:dyDescent="0.45">
      <c r="A401" t="s">
        <v>63</v>
      </c>
      <c r="B401" t="s">
        <v>103</v>
      </c>
      <c r="C401" s="26">
        <f>SUMIFS(INDEX(元データ_加工!$C$2:$P$700,0,MATCH($B401,元データ_加工!$C$1:$P$1,0)),元データ_加工!$A$2:$A$700,$A401,元データ_加工!$B$2:$B$700,C$5)</f>
        <v>0</v>
      </c>
      <c r="D401" s="26">
        <f>SUMIFS(INDEX(元データ_加工!$C$2:$P$700,0,MATCH($B401,元データ_加工!$C$1:$P$1,0)),元データ_加工!$A$2:$A$700,$A401,元データ_加工!$B$2:$B$700,D$5)</f>
        <v>0</v>
      </c>
      <c r="E401" s="26">
        <f>SUMIFS(INDEX(元データ_加工!$C$2:$P$700,0,MATCH($B401,元データ_加工!$C$1:$P$1,0)),元データ_加工!$A$2:$A$700,$A401,元データ_加工!$B$2:$B$700,E$5)</f>
        <v>0</v>
      </c>
      <c r="F401" s="26">
        <f>SUMIFS(INDEX(元データ_加工!$C$2:$P$700,0,MATCH($B401,元データ_加工!$C$1:$P$1,0)),元データ_加工!$A$2:$A$700,$A401,元データ_加工!$B$2:$B$700,F$5)</f>
        <v>10</v>
      </c>
      <c r="G401" s="26">
        <f>SUMIFS(INDEX(元データ_加工!$C$2:$P$700,0,MATCH($B401,元データ_加工!$C$1:$P$1,0)),元データ_加工!$A$2:$A$700,$A401,元データ_加工!$B$2:$B$700,G$5)</f>
        <v>10</v>
      </c>
      <c r="H401" s="26">
        <f>SUMIFS(INDEX(元データ_加工!$C$2:$P$700,0,MATCH($B401,元データ_加工!$C$1:$P$1,0)),元データ_加工!$A$2:$A$700,$A401,元データ_加工!$B$2:$B$700,H$5)</f>
        <v>8</v>
      </c>
      <c r="I401" s="26">
        <f>SUMIFS(INDEX(元データ_加工!$C$2:$P$700,0,MATCH($B401,元データ_加工!$C$1:$P$1,0)),元データ_加工!$A$2:$A$700,$A401,元データ_加工!$B$2:$B$700,I$5)</f>
        <v>3</v>
      </c>
      <c r="J401" s="26">
        <f>SUMIFS(INDEX(元データ_加工!$C$2:$P$700,0,MATCH($B401,元データ_加工!$C$1:$P$1,0)),元データ_加工!$A$2:$A$700,$A401,元データ_加工!$B$2:$B$700,J$5)</f>
        <v>1</v>
      </c>
      <c r="K401" s="26">
        <f>SUMIFS(INDEX(元データ_加工!$C$2:$P$700,0,MATCH($B401,元データ_加工!$C$1:$P$1,0)),元データ_加工!$A$2:$A$700,$A401,元データ_加工!$B$2:$B$700,K$5)</f>
        <v>1</v>
      </c>
      <c r="L401" s="26">
        <f>SUMIFS(INDEX(元データ_加工!$C$2:$P$700,0,MATCH($B401,元データ_加工!$C$1:$P$1,0)),元データ_加工!$A$2:$A$700,$A401,元データ_加工!$B$2:$B$700,L$5)</f>
        <v>0</v>
      </c>
      <c r="M401" s="26">
        <f>SUMIFS(INDEX(元データ_加工!$C$2:$P$700,0,MATCH($B401,元データ_加工!$C$1:$P$1,0)),元データ_加工!$A$2:$A$700,$A401,元データ_加工!$B$2:$B$700,M$5)</f>
        <v>0</v>
      </c>
      <c r="N401" s="26">
        <f>SUMIFS(INDEX(元データ_加工!$C$2:$P$700,0,MATCH($B401,元データ_加工!$C$1:$P$1,0)),元データ_加工!$A$2:$A$700,$A401,元データ_加工!$B$2:$B$700,N$5)</f>
        <v>0</v>
      </c>
      <c r="O401" s="26">
        <f t="shared" si="6"/>
        <v>33</v>
      </c>
      <c r="P401" s="7">
        <f>IFERROR(O401/SUMIFS(元データ_加工!$C$2:$C$700,元データ_加工!$A$2:$A$700,$A401),"")</f>
        <v>1.2145748987854252E-3</v>
      </c>
    </row>
    <row r="402" spans="1:16" x14ac:dyDescent="0.45">
      <c r="A402" t="s">
        <v>63</v>
      </c>
      <c r="B402" t="s">
        <v>104</v>
      </c>
      <c r="C402" s="26">
        <f>SUMIFS(INDEX(元データ_加工!$C$2:$P$700,0,MATCH($B402,元データ_加工!$C$1:$P$1,0)),元データ_加工!$A$2:$A$700,$A402,元データ_加工!$B$2:$B$700,C$5)</f>
        <v>65</v>
      </c>
      <c r="D402" s="26">
        <f>SUMIFS(INDEX(元データ_加工!$C$2:$P$700,0,MATCH($B402,元データ_加工!$C$1:$P$1,0)),元データ_加工!$A$2:$A$700,$A402,元データ_加工!$B$2:$B$700,D$5)</f>
        <v>38</v>
      </c>
      <c r="E402" s="26">
        <f>SUMIFS(INDEX(元データ_加工!$C$2:$P$700,0,MATCH($B402,元データ_加工!$C$1:$P$1,0)),元データ_加工!$A$2:$A$700,$A402,元データ_加工!$B$2:$B$700,E$5)</f>
        <v>69</v>
      </c>
      <c r="F402" s="26">
        <f>SUMIFS(INDEX(元データ_加工!$C$2:$P$700,0,MATCH($B402,元データ_加工!$C$1:$P$1,0)),元データ_加工!$A$2:$A$700,$A402,元データ_加工!$B$2:$B$700,F$5)</f>
        <v>35</v>
      </c>
      <c r="G402" s="26">
        <f>SUMIFS(INDEX(元データ_加工!$C$2:$P$700,0,MATCH($B402,元データ_加工!$C$1:$P$1,0)),元データ_加工!$A$2:$A$700,$A402,元データ_加工!$B$2:$B$700,G$5)</f>
        <v>103</v>
      </c>
      <c r="H402" s="26">
        <f>SUMIFS(INDEX(元データ_加工!$C$2:$P$700,0,MATCH($B402,元データ_加工!$C$1:$P$1,0)),元データ_加工!$A$2:$A$700,$A402,元データ_加工!$B$2:$B$700,H$5)</f>
        <v>56</v>
      </c>
      <c r="I402" s="26">
        <f>SUMIFS(INDEX(元データ_加工!$C$2:$P$700,0,MATCH($B402,元データ_加工!$C$1:$P$1,0)),元データ_加工!$A$2:$A$700,$A402,元データ_加工!$B$2:$B$700,I$5)</f>
        <v>36</v>
      </c>
      <c r="J402" s="26">
        <f>SUMIFS(INDEX(元データ_加工!$C$2:$P$700,0,MATCH($B402,元データ_加工!$C$1:$P$1,0)),元データ_加工!$A$2:$A$700,$A402,元データ_加工!$B$2:$B$700,J$5)</f>
        <v>203</v>
      </c>
      <c r="K402" s="26">
        <f>SUMIFS(INDEX(元データ_加工!$C$2:$P$700,0,MATCH($B402,元データ_加工!$C$1:$P$1,0)),元データ_加工!$A$2:$A$700,$A402,元データ_加工!$B$2:$B$700,K$5)</f>
        <v>211</v>
      </c>
      <c r="L402" s="26">
        <f>SUMIFS(INDEX(元データ_加工!$C$2:$P$700,0,MATCH($B402,元データ_加工!$C$1:$P$1,0)),元データ_加工!$A$2:$A$700,$A402,元データ_加工!$B$2:$B$700,L$5)</f>
        <v>148</v>
      </c>
      <c r="M402" s="26">
        <f>SUMIFS(INDEX(元データ_加工!$C$2:$P$700,0,MATCH($B402,元データ_加工!$C$1:$P$1,0)),元データ_加工!$A$2:$A$700,$A402,元データ_加工!$B$2:$B$700,M$5)</f>
        <v>136</v>
      </c>
      <c r="N402" s="26">
        <f>SUMIFS(INDEX(元データ_加工!$C$2:$P$700,0,MATCH($B402,元データ_加工!$C$1:$P$1,0)),元データ_加工!$A$2:$A$700,$A402,元データ_加工!$B$2:$B$700,N$5)</f>
        <v>141</v>
      </c>
      <c r="O402" s="26">
        <f t="shared" si="6"/>
        <v>1241</v>
      </c>
      <c r="P402" s="7">
        <f>IFERROR(O402/SUMIFS(元データ_加工!$C$2:$C$700,元データ_加工!$A$2:$A$700,$A402),"")</f>
        <v>4.567537725432462E-2</v>
      </c>
    </row>
    <row r="403" spans="1:16" x14ac:dyDescent="0.45">
      <c r="A403" t="s">
        <v>63</v>
      </c>
      <c r="B403" t="s">
        <v>105</v>
      </c>
      <c r="C403" s="26">
        <f>SUMIFS(INDEX(元データ_加工!$C$2:$P$700,0,MATCH($B403,元データ_加工!$C$1:$P$1,0)),元データ_加工!$A$2:$A$700,$A403,元データ_加工!$B$2:$B$700,C$5)</f>
        <v>2</v>
      </c>
      <c r="D403" s="26">
        <f>SUMIFS(INDEX(元データ_加工!$C$2:$P$700,0,MATCH($B403,元データ_加工!$C$1:$P$1,0)),元データ_加工!$A$2:$A$700,$A403,元データ_加工!$B$2:$B$700,D$5)</f>
        <v>1</v>
      </c>
      <c r="E403" s="26">
        <f>SUMIFS(INDEX(元データ_加工!$C$2:$P$700,0,MATCH($B403,元データ_加工!$C$1:$P$1,0)),元データ_加工!$A$2:$A$700,$A403,元データ_加工!$B$2:$B$700,E$5)</f>
        <v>0</v>
      </c>
      <c r="F403" s="26">
        <f>SUMIFS(INDEX(元データ_加工!$C$2:$P$700,0,MATCH($B403,元データ_加工!$C$1:$P$1,0)),元データ_加工!$A$2:$A$700,$A403,元データ_加工!$B$2:$B$700,F$5)</f>
        <v>1</v>
      </c>
      <c r="G403" s="26">
        <f>SUMIFS(INDEX(元データ_加工!$C$2:$P$700,0,MATCH($B403,元データ_加工!$C$1:$P$1,0)),元データ_加工!$A$2:$A$700,$A403,元データ_加工!$B$2:$B$700,G$5)</f>
        <v>9</v>
      </c>
      <c r="H403" s="26">
        <f>SUMIFS(INDEX(元データ_加工!$C$2:$P$700,0,MATCH($B403,元データ_加工!$C$1:$P$1,0)),元データ_加工!$A$2:$A$700,$A403,元データ_加工!$B$2:$B$700,H$5)</f>
        <v>3</v>
      </c>
      <c r="I403" s="26">
        <f>SUMIFS(INDEX(元データ_加工!$C$2:$P$700,0,MATCH($B403,元データ_加工!$C$1:$P$1,0)),元データ_加工!$A$2:$A$700,$A403,元データ_加工!$B$2:$B$700,I$5)</f>
        <v>6</v>
      </c>
      <c r="J403" s="26">
        <f>SUMIFS(INDEX(元データ_加工!$C$2:$P$700,0,MATCH($B403,元データ_加工!$C$1:$P$1,0)),元データ_加工!$A$2:$A$700,$A403,元データ_加工!$B$2:$B$700,J$5)</f>
        <v>16</v>
      </c>
      <c r="K403" s="26">
        <f>SUMIFS(INDEX(元データ_加工!$C$2:$P$700,0,MATCH($B403,元データ_加工!$C$1:$P$1,0)),元データ_加工!$A$2:$A$700,$A403,元データ_加工!$B$2:$B$700,K$5)</f>
        <v>44</v>
      </c>
      <c r="L403" s="26">
        <f>SUMIFS(INDEX(元データ_加工!$C$2:$P$700,0,MATCH($B403,元データ_加工!$C$1:$P$1,0)),元データ_加工!$A$2:$A$700,$A403,元データ_加工!$B$2:$B$700,L$5)</f>
        <v>10</v>
      </c>
      <c r="M403" s="26">
        <f>SUMIFS(INDEX(元データ_加工!$C$2:$P$700,0,MATCH($B403,元データ_加工!$C$1:$P$1,0)),元データ_加工!$A$2:$A$700,$A403,元データ_加工!$B$2:$B$700,M$5)</f>
        <v>22</v>
      </c>
      <c r="N403" s="26">
        <f>SUMIFS(INDEX(元データ_加工!$C$2:$P$700,0,MATCH($B403,元データ_加工!$C$1:$P$1,0)),元データ_加工!$A$2:$A$700,$A403,元データ_加工!$B$2:$B$700,N$5)</f>
        <v>21</v>
      </c>
      <c r="O403" s="26">
        <f t="shared" si="6"/>
        <v>135</v>
      </c>
      <c r="P403" s="7">
        <f>IFERROR(O403/SUMIFS(元データ_加工!$C$2:$C$700,元データ_加工!$A$2:$A$700,$A403),"")</f>
        <v>4.9687154950312845E-3</v>
      </c>
    </row>
    <row r="404" spans="1:16" x14ac:dyDescent="0.45">
      <c r="A404" t="s">
        <v>63</v>
      </c>
      <c r="B404" t="s">
        <v>106</v>
      </c>
      <c r="C404" s="26">
        <f>SUMIFS(INDEX(元データ_加工!$C$2:$P$700,0,MATCH($B404,元データ_加工!$C$1:$P$1,0)),元データ_加工!$A$2:$A$700,$A404,元データ_加工!$B$2:$B$700,C$5)</f>
        <v>355</v>
      </c>
      <c r="D404" s="26">
        <f>SUMIFS(INDEX(元データ_加工!$C$2:$P$700,0,MATCH($B404,元データ_加工!$C$1:$P$1,0)),元データ_加工!$A$2:$A$700,$A404,元データ_加工!$B$2:$B$700,D$5)</f>
        <v>295</v>
      </c>
      <c r="E404" s="26">
        <f>SUMIFS(INDEX(元データ_加工!$C$2:$P$700,0,MATCH($B404,元データ_加工!$C$1:$P$1,0)),元データ_加工!$A$2:$A$700,$A404,元データ_加工!$B$2:$B$700,E$5)</f>
        <v>389</v>
      </c>
      <c r="F404" s="26">
        <f>SUMIFS(INDEX(元データ_加工!$C$2:$P$700,0,MATCH($B404,元データ_加工!$C$1:$P$1,0)),元データ_加工!$A$2:$A$700,$A404,元データ_加工!$B$2:$B$700,F$5)</f>
        <v>334</v>
      </c>
      <c r="G404" s="26">
        <f>SUMIFS(INDEX(元データ_加工!$C$2:$P$700,0,MATCH($B404,元データ_加工!$C$1:$P$1,0)),元データ_加工!$A$2:$A$700,$A404,元データ_加工!$B$2:$B$700,G$5)</f>
        <v>211</v>
      </c>
      <c r="H404" s="26">
        <f>SUMIFS(INDEX(元データ_加工!$C$2:$P$700,0,MATCH($B404,元データ_加工!$C$1:$P$1,0)),元データ_加工!$A$2:$A$700,$A404,元データ_加工!$B$2:$B$700,H$5)</f>
        <v>247</v>
      </c>
      <c r="I404" s="26">
        <f>SUMIFS(INDEX(元データ_加工!$C$2:$P$700,0,MATCH($B404,元データ_加工!$C$1:$P$1,0)),元データ_加工!$A$2:$A$700,$A404,元データ_加工!$B$2:$B$700,I$5)</f>
        <v>161</v>
      </c>
      <c r="J404" s="26">
        <f>SUMIFS(INDEX(元データ_加工!$C$2:$P$700,0,MATCH($B404,元データ_加工!$C$1:$P$1,0)),元データ_加工!$A$2:$A$700,$A404,元データ_加工!$B$2:$B$700,J$5)</f>
        <v>263</v>
      </c>
      <c r="K404" s="26">
        <f>SUMIFS(INDEX(元データ_加工!$C$2:$P$700,0,MATCH($B404,元データ_加工!$C$1:$P$1,0)),元データ_加工!$A$2:$A$700,$A404,元データ_加工!$B$2:$B$700,K$5)</f>
        <v>337</v>
      </c>
      <c r="L404" s="26">
        <f>SUMIFS(INDEX(元データ_加工!$C$2:$P$700,0,MATCH($B404,元データ_加工!$C$1:$P$1,0)),元データ_加工!$A$2:$A$700,$A404,元データ_加工!$B$2:$B$700,L$5)</f>
        <v>306</v>
      </c>
      <c r="M404" s="26">
        <f>SUMIFS(INDEX(元データ_加工!$C$2:$P$700,0,MATCH($B404,元データ_加工!$C$1:$P$1,0)),元データ_加工!$A$2:$A$700,$A404,元データ_加工!$B$2:$B$700,M$5)</f>
        <v>309</v>
      </c>
      <c r="N404" s="26">
        <f>SUMIFS(INDEX(元データ_加工!$C$2:$P$700,0,MATCH($B404,元データ_加工!$C$1:$P$1,0)),元データ_加工!$A$2:$A$700,$A404,元データ_加工!$B$2:$B$700,N$5)</f>
        <v>316</v>
      </c>
      <c r="O404" s="26">
        <f t="shared" si="6"/>
        <v>3523</v>
      </c>
      <c r="P404" s="7">
        <f>IFERROR(O404/SUMIFS(元データ_加工!$C$2:$C$700,元データ_加工!$A$2:$A$700,$A404),"")</f>
        <v>0.12966507177033493</v>
      </c>
    </row>
    <row r="405" spans="1:16" x14ac:dyDescent="0.45">
      <c r="A405" t="s">
        <v>63</v>
      </c>
      <c r="B405" t="s">
        <v>107</v>
      </c>
      <c r="C405" s="26">
        <f>SUMIFS(INDEX(元データ_加工!$C$2:$P$700,0,MATCH($B405,元データ_加工!$C$1:$P$1,0)),元データ_加工!$A$2:$A$700,$A405,元データ_加工!$B$2:$B$700,C$5)</f>
        <v>13</v>
      </c>
      <c r="D405" s="26">
        <f>SUMIFS(INDEX(元データ_加工!$C$2:$P$700,0,MATCH($B405,元データ_加工!$C$1:$P$1,0)),元データ_加工!$A$2:$A$700,$A405,元データ_加工!$B$2:$B$700,D$5)</f>
        <v>18</v>
      </c>
      <c r="E405" s="26">
        <f>SUMIFS(INDEX(元データ_加工!$C$2:$P$700,0,MATCH($B405,元データ_加工!$C$1:$P$1,0)),元データ_加工!$A$2:$A$700,$A405,元データ_加工!$B$2:$B$700,E$5)</f>
        <v>31</v>
      </c>
      <c r="F405" s="26">
        <f>SUMIFS(INDEX(元データ_加工!$C$2:$P$700,0,MATCH($B405,元データ_加工!$C$1:$P$1,0)),元データ_加工!$A$2:$A$700,$A405,元データ_加工!$B$2:$B$700,F$5)</f>
        <v>9</v>
      </c>
      <c r="G405" s="26">
        <f>SUMIFS(INDEX(元データ_加工!$C$2:$P$700,0,MATCH($B405,元データ_加工!$C$1:$P$1,0)),元データ_加工!$A$2:$A$700,$A405,元データ_加工!$B$2:$B$700,G$5)</f>
        <v>8</v>
      </c>
      <c r="H405" s="26">
        <f>SUMIFS(INDEX(元データ_加工!$C$2:$P$700,0,MATCH($B405,元データ_加工!$C$1:$P$1,0)),元データ_加工!$A$2:$A$700,$A405,元データ_加工!$B$2:$B$700,H$5)</f>
        <v>13</v>
      </c>
      <c r="I405" s="26">
        <f>SUMIFS(INDEX(元データ_加工!$C$2:$P$700,0,MATCH($B405,元データ_加工!$C$1:$P$1,0)),元データ_加工!$A$2:$A$700,$A405,元データ_加工!$B$2:$B$700,I$5)</f>
        <v>14</v>
      </c>
      <c r="J405" s="26">
        <f>SUMIFS(INDEX(元データ_加工!$C$2:$P$700,0,MATCH($B405,元データ_加工!$C$1:$P$1,0)),元データ_加工!$A$2:$A$700,$A405,元データ_加工!$B$2:$B$700,J$5)</f>
        <v>12</v>
      </c>
      <c r="K405" s="26">
        <f>SUMIFS(INDEX(元データ_加工!$C$2:$P$700,0,MATCH($B405,元データ_加工!$C$1:$P$1,0)),元データ_加工!$A$2:$A$700,$A405,元データ_加工!$B$2:$B$700,K$5)</f>
        <v>6</v>
      </c>
      <c r="L405" s="26">
        <f>SUMIFS(INDEX(元データ_加工!$C$2:$P$700,0,MATCH($B405,元データ_加工!$C$1:$P$1,0)),元データ_加工!$A$2:$A$700,$A405,元データ_加工!$B$2:$B$700,L$5)</f>
        <v>10</v>
      </c>
      <c r="M405" s="26">
        <f>SUMIFS(INDEX(元データ_加工!$C$2:$P$700,0,MATCH($B405,元データ_加工!$C$1:$P$1,0)),元データ_加工!$A$2:$A$700,$A405,元データ_加工!$B$2:$B$700,M$5)</f>
        <v>15</v>
      </c>
      <c r="N405" s="26">
        <f>SUMIFS(INDEX(元データ_加工!$C$2:$P$700,0,MATCH($B405,元データ_加工!$C$1:$P$1,0)),元データ_加工!$A$2:$A$700,$A405,元データ_加工!$B$2:$B$700,N$5)</f>
        <v>19</v>
      </c>
      <c r="O405" s="26">
        <f t="shared" si="6"/>
        <v>168</v>
      </c>
      <c r="P405" s="7">
        <f>IFERROR(O405/SUMIFS(元データ_加工!$C$2:$C$700,元データ_加工!$A$2:$A$700,$A405),"")</f>
        <v>6.1832903938167094E-3</v>
      </c>
    </row>
    <row r="406" spans="1:16" x14ac:dyDescent="0.45">
      <c r="A406" t="s">
        <v>63</v>
      </c>
      <c r="B406" t="s">
        <v>108</v>
      </c>
      <c r="C406" s="26">
        <f>SUMIFS(INDEX(元データ_加工!$C$2:$P$700,0,MATCH($B406,元データ_加工!$C$1:$P$1,0)),元データ_加工!$A$2:$A$700,$A406,元データ_加工!$B$2:$B$700,C$5)</f>
        <v>86</v>
      </c>
      <c r="D406" s="26">
        <f>SUMIFS(INDEX(元データ_加工!$C$2:$P$700,0,MATCH($B406,元データ_加工!$C$1:$P$1,0)),元データ_加工!$A$2:$A$700,$A406,元データ_加工!$B$2:$B$700,D$5)</f>
        <v>30</v>
      </c>
      <c r="E406" s="26">
        <f>SUMIFS(INDEX(元データ_加工!$C$2:$P$700,0,MATCH($B406,元データ_加工!$C$1:$P$1,0)),元データ_加工!$A$2:$A$700,$A406,元データ_加工!$B$2:$B$700,E$5)</f>
        <v>50</v>
      </c>
      <c r="F406" s="26">
        <f>SUMIFS(INDEX(元データ_加工!$C$2:$P$700,0,MATCH($B406,元データ_加工!$C$1:$P$1,0)),元データ_加工!$A$2:$A$700,$A406,元データ_加工!$B$2:$B$700,F$5)</f>
        <v>127</v>
      </c>
      <c r="G406" s="26">
        <f>SUMIFS(INDEX(元データ_加工!$C$2:$P$700,0,MATCH($B406,元データ_加工!$C$1:$P$1,0)),元データ_加工!$A$2:$A$700,$A406,元データ_加工!$B$2:$B$700,G$5)</f>
        <v>15</v>
      </c>
      <c r="H406" s="26">
        <f>SUMIFS(INDEX(元データ_加工!$C$2:$P$700,0,MATCH($B406,元データ_加工!$C$1:$P$1,0)),元データ_加工!$A$2:$A$700,$A406,元データ_加工!$B$2:$B$700,H$5)</f>
        <v>4</v>
      </c>
      <c r="I406" s="26">
        <f>SUMIFS(INDEX(元データ_加工!$C$2:$P$700,0,MATCH($B406,元データ_加工!$C$1:$P$1,0)),元データ_加工!$A$2:$A$700,$A406,元データ_加工!$B$2:$B$700,I$5)</f>
        <v>1</v>
      </c>
      <c r="J406" s="26">
        <f>SUMIFS(INDEX(元データ_加工!$C$2:$P$700,0,MATCH($B406,元データ_加工!$C$1:$P$1,0)),元データ_加工!$A$2:$A$700,$A406,元データ_加工!$B$2:$B$700,J$5)</f>
        <v>0</v>
      </c>
      <c r="K406" s="26">
        <f>SUMIFS(INDEX(元データ_加工!$C$2:$P$700,0,MATCH($B406,元データ_加工!$C$1:$P$1,0)),元データ_加工!$A$2:$A$700,$A406,元データ_加工!$B$2:$B$700,K$5)</f>
        <v>0</v>
      </c>
      <c r="L406" s="26">
        <f>SUMIFS(INDEX(元データ_加工!$C$2:$P$700,0,MATCH($B406,元データ_加工!$C$1:$P$1,0)),元データ_加工!$A$2:$A$700,$A406,元データ_加工!$B$2:$B$700,L$5)</f>
        <v>0</v>
      </c>
      <c r="M406" s="26">
        <f>SUMIFS(INDEX(元データ_加工!$C$2:$P$700,0,MATCH($B406,元データ_加工!$C$1:$P$1,0)),元データ_加工!$A$2:$A$700,$A406,元データ_加工!$B$2:$B$700,M$5)</f>
        <v>2</v>
      </c>
      <c r="N406" s="26">
        <f>SUMIFS(INDEX(元データ_加工!$C$2:$P$700,0,MATCH($B406,元データ_加工!$C$1:$P$1,0)),元データ_加工!$A$2:$A$700,$A406,元データ_加工!$B$2:$B$700,N$5)</f>
        <v>2</v>
      </c>
      <c r="O406" s="26">
        <f t="shared" si="6"/>
        <v>317</v>
      </c>
      <c r="P406" s="7">
        <f>IFERROR(O406/SUMIFS(元データ_加工!$C$2:$C$700,元データ_加工!$A$2:$A$700,$A406),"")</f>
        <v>1.166728008833272E-2</v>
      </c>
    </row>
    <row r="407" spans="1:16" x14ac:dyDescent="0.45">
      <c r="A407" t="s">
        <v>63</v>
      </c>
      <c r="B407" t="s">
        <v>109</v>
      </c>
      <c r="C407" s="26">
        <f>SUMIFS(INDEX(元データ_加工!$C$2:$P$700,0,MATCH($B407,元データ_加工!$C$1:$P$1,0)),元データ_加工!$A$2:$A$700,$A407,元データ_加工!$B$2:$B$700,C$5)</f>
        <v>10</v>
      </c>
      <c r="D407" s="26">
        <f>SUMIFS(INDEX(元データ_加工!$C$2:$P$700,0,MATCH($B407,元データ_加工!$C$1:$P$1,0)),元データ_加工!$A$2:$A$700,$A407,元データ_加工!$B$2:$B$700,D$5)</f>
        <v>11</v>
      </c>
      <c r="E407" s="26">
        <f>SUMIFS(INDEX(元データ_加工!$C$2:$P$700,0,MATCH($B407,元データ_加工!$C$1:$P$1,0)),元データ_加工!$A$2:$A$700,$A407,元データ_加工!$B$2:$B$700,E$5)</f>
        <v>19</v>
      </c>
      <c r="F407" s="26">
        <f>SUMIFS(INDEX(元データ_加工!$C$2:$P$700,0,MATCH($B407,元データ_加工!$C$1:$P$1,0)),元データ_加工!$A$2:$A$700,$A407,元データ_加工!$B$2:$B$700,F$5)</f>
        <v>32</v>
      </c>
      <c r="G407" s="26">
        <f>SUMIFS(INDEX(元データ_加工!$C$2:$P$700,0,MATCH($B407,元データ_加工!$C$1:$P$1,0)),元データ_加工!$A$2:$A$700,$A407,元データ_加工!$B$2:$B$700,G$5)</f>
        <v>24</v>
      </c>
      <c r="H407" s="26">
        <f>SUMIFS(INDEX(元データ_加工!$C$2:$P$700,0,MATCH($B407,元データ_加工!$C$1:$P$1,0)),元データ_加工!$A$2:$A$700,$A407,元データ_加工!$B$2:$B$700,H$5)</f>
        <v>25</v>
      </c>
      <c r="I407" s="26">
        <f>SUMIFS(INDEX(元データ_加工!$C$2:$P$700,0,MATCH($B407,元データ_加工!$C$1:$P$1,0)),元データ_加工!$A$2:$A$700,$A407,元データ_加工!$B$2:$B$700,I$5)</f>
        <v>257</v>
      </c>
      <c r="J407" s="26">
        <f>SUMIFS(INDEX(元データ_加工!$C$2:$P$700,0,MATCH($B407,元データ_加工!$C$1:$P$1,0)),元データ_加工!$A$2:$A$700,$A407,元データ_加工!$B$2:$B$700,J$5)</f>
        <v>28</v>
      </c>
      <c r="K407" s="26">
        <f>SUMIFS(INDEX(元データ_加工!$C$2:$P$700,0,MATCH($B407,元データ_加工!$C$1:$P$1,0)),元データ_加工!$A$2:$A$700,$A407,元データ_加工!$B$2:$B$700,K$5)</f>
        <v>14</v>
      </c>
      <c r="L407" s="26">
        <f>SUMIFS(INDEX(元データ_加工!$C$2:$P$700,0,MATCH($B407,元データ_加工!$C$1:$P$1,0)),元データ_加工!$A$2:$A$700,$A407,元データ_加工!$B$2:$B$700,L$5)</f>
        <v>20</v>
      </c>
      <c r="M407" s="26">
        <f>SUMIFS(INDEX(元データ_加工!$C$2:$P$700,0,MATCH($B407,元データ_加工!$C$1:$P$1,0)),元データ_加工!$A$2:$A$700,$A407,元データ_加工!$B$2:$B$700,M$5)</f>
        <v>22</v>
      </c>
      <c r="N407" s="26">
        <f>SUMIFS(INDEX(元データ_加工!$C$2:$P$700,0,MATCH($B407,元データ_加工!$C$1:$P$1,0)),元データ_加工!$A$2:$A$700,$A407,元データ_加工!$B$2:$B$700,N$5)</f>
        <v>7</v>
      </c>
      <c r="O407" s="26">
        <f t="shared" si="6"/>
        <v>469</v>
      </c>
      <c r="P407" s="7">
        <f>IFERROR(O407/SUMIFS(元データ_加工!$C$2:$C$700,元データ_加工!$A$2:$A$700,$A407),"")</f>
        <v>1.7261685682738313E-2</v>
      </c>
    </row>
    <row r="408" spans="1:16" x14ac:dyDescent="0.45">
      <c r="A408" t="s">
        <v>63</v>
      </c>
      <c r="B408" t="s">
        <v>110</v>
      </c>
      <c r="C408" s="26">
        <f>SUMIFS(INDEX(元データ_加工!$C$2:$P$700,0,MATCH($B408,元データ_加工!$C$1:$P$1,0)),元データ_加工!$A$2:$A$700,$A408,元データ_加工!$B$2:$B$700,C$5)</f>
        <v>0</v>
      </c>
      <c r="D408" s="26">
        <f>SUMIFS(INDEX(元データ_加工!$C$2:$P$700,0,MATCH($B408,元データ_加工!$C$1:$P$1,0)),元データ_加工!$A$2:$A$700,$A408,元データ_加工!$B$2:$B$700,D$5)</f>
        <v>0</v>
      </c>
      <c r="E408" s="26">
        <f>SUMIFS(INDEX(元データ_加工!$C$2:$P$700,0,MATCH($B408,元データ_加工!$C$1:$P$1,0)),元データ_加工!$A$2:$A$700,$A408,元データ_加工!$B$2:$B$700,E$5)</f>
        <v>0</v>
      </c>
      <c r="F408" s="26">
        <f>SUMIFS(INDEX(元データ_加工!$C$2:$P$700,0,MATCH($B408,元データ_加工!$C$1:$P$1,0)),元データ_加工!$A$2:$A$700,$A408,元データ_加工!$B$2:$B$700,F$5)</f>
        <v>0</v>
      </c>
      <c r="G408" s="26">
        <f>SUMIFS(INDEX(元データ_加工!$C$2:$P$700,0,MATCH($B408,元データ_加工!$C$1:$P$1,0)),元データ_加工!$A$2:$A$700,$A408,元データ_加工!$B$2:$B$700,G$5)</f>
        <v>0</v>
      </c>
      <c r="H408" s="26">
        <f>SUMIFS(INDEX(元データ_加工!$C$2:$P$700,0,MATCH($B408,元データ_加工!$C$1:$P$1,0)),元データ_加工!$A$2:$A$700,$A408,元データ_加工!$B$2:$B$700,H$5)</f>
        <v>0</v>
      </c>
      <c r="I408" s="26">
        <f>SUMIFS(INDEX(元データ_加工!$C$2:$P$700,0,MATCH($B408,元データ_加工!$C$1:$P$1,0)),元データ_加工!$A$2:$A$700,$A408,元データ_加工!$B$2:$B$700,I$5)</f>
        <v>0</v>
      </c>
      <c r="J408" s="26">
        <f>SUMIFS(INDEX(元データ_加工!$C$2:$P$700,0,MATCH($B408,元データ_加工!$C$1:$P$1,0)),元データ_加工!$A$2:$A$700,$A408,元データ_加工!$B$2:$B$700,J$5)</f>
        <v>0</v>
      </c>
      <c r="K408" s="26">
        <f>SUMIFS(INDEX(元データ_加工!$C$2:$P$700,0,MATCH($B408,元データ_加工!$C$1:$P$1,0)),元データ_加工!$A$2:$A$700,$A408,元データ_加工!$B$2:$B$700,K$5)</f>
        <v>0</v>
      </c>
      <c r="L408" s="26">
        <f>SUMIFS(INDEX(元データ_加工!$C$2:$P$700,0,MATCH($B408,元データ_加工!$C$1:$P$1,0)),元データ_加工!$A$2:$A$700,$A408,元データ_加工!$B$2:$B$700,L$5)</f>
        <v>0</v>
      </c>
      <c r="M408" s="26">
        <f>SUMIFS(INDEX(元データ_加工!$C$2:$P$700,0,MATCH($B408,元データ_加工!$C$1:$P$1,0)),元データ_加工!$A$2:$A$700,$A408,元データ_加工!$B$2:$B$700,M$5)</f>
        <v>0</v>
      </c>
      <c r="N408" s="26">
        <f>SUMIFS(INDEX(元データ_加工!$C$2:$P$700,0,MATCH($B408,元データ_加工!$C$1:$P$1,0)),元データ_加工!$A$2:$A$700,$A408,元データ_加工!$B$2:$B$700,N$5)</f>
        <v>0</v>
      </c>
      <c r="O408" s="26">
        <f t="shared" si="6"/>
        <v>0</v>
      </c>
      <c r="P408" s="7">
        <f>IFERROR(O408/SUMIFS(元データ_加工!$C$2:$C$700,元データ_加工!$A$2:$A$700,$A408),"")</f>
        <v>0</v>
      </c>
    </row>
    <row r="409" spans="1:16" x14ac:dyDescent="0.45">
      <c r="A409" t="s">
        <v>63</v>
      </c>
      <c r="B409" t="s">
        <v>111</v>
      </c>
      <c r="C409" s="26">
        <f>SUMIFS(INDEX(元データ_加工!$C$2:$P$700,0,MATCH($B409,元データ_加工!$C$1:$P$1,0)),元データ_加工!$A$2:$A$700,$A409,元データ_加工!$B$2:$B$700,C$5)</f>
        <v>0</v>
      </c>
      <c r="D409" s="26">
        <f>SUMIFS(INDEX(元データ_加工!$C$2:$P$700,0,MATCH($B409,元データ_加工!$C$1:$P$1,0)),元データ_加工!$A$2:$A$700,$A409,元データ_加工!$B$2:$B$700,D$5)</f>
        <v>0</v>
      </c>
      <c r="E409" s="26">
        <f>SUMIFS(INDEX(元データ_加工!$C$2:$P$700,0,MATCH($B409,元データ_加工!$C$1:$P$1,0)),元データ_加工!$A$2:$A$700,$A409,元データ_加工!$B$2:$B$700,E$5)</f>
        <v>0</v>
      </c>
      <c r="F409" s="26">
        <f>SUMIFS(INDEX(元データ_加工!$C$2:$P$700,0,MATCH($B409,元データ_加工!$C$1:$P$1,0)),元データ_加工!$A$2:$A$700,$A409,元データ_加工!$B$2:$B$700,F$5)</f>
        <v>0</v>
      </c>
      <c r="G409" s="26">
        <f>SUMIFS(INDEX(元データ_加工!$C$2:$P$700,0,MATCH($B409,元データ_加工!$C$1:$P$1,0)),元データ_加工!$A$2:$A$700,$A409,元データ_加工!$B$2:$B$700,G$5)</f>
        <v>0</v>
      </c>
      <c r="H409" s="26">
        <f>SUMIFS(INDEX(元データ_加工!$C$2:$P$700,0,MATCH($B409,元データ_加工!$C$1:$P$1,0)),元データ_加工!$A$2:$A$700,$A409,元データ_加工!$B$2:$B$700,H$5)</f>
        <v>0</v>
      </c>
      <c r="I409" s="26">
        <f>SUMIFS(INDEX(元データ_加工!$C$2:$P$700,0,MATCH($B409,元データ_加工!$C$1:$P$1,0)),元データ_加工!$A$2:$A$700,$A409,元データ_加工!$B$2:$B$700,I$5)</f>
        <v>0</v>
      </c>
      <c r="J409" s="26">
        <f>SUMIFS(INDEX(元データ_加工!$C$2:$P$700,0,MATCH($B409,元データ_加工!$C$1:$P$1,0)),元データ_加工!$A$2:$A$700,$A409,元データ_加工!$B$2:$B$700,J$5)</f>
        <v>0</v>
      </c>
      <c r="K409" s="26">
        <f>SUMIFS(INDEX(元データ_加工!$C$2:$P$700,0,MATCH($B409,元データ_加工!$C$1:$P$1,0)),元データ_加工!$A$2:$A$700,$A409,元データ_加工!$B$2:$B$700,K$5)</f>
        <v>0</v>
      </c>
      <c r="L409" s="26">
        <f>SUMIFS(INDEX(元データ_加工!$C$2:$P$700,0,MATCH($B409,元データ_加工!$C$1:$P$1,0)),元データ_加工!$A$2:$A$700,$A409,元データ_加工!$B$2:$B$700,L$5)</f>
        <v>0</v>
      </c>
      <c r="M409" s="26">
        <f>SUMIFS(INDEX(元データ_加工!$C$2:$P$700,0,MATCH($B409,元データ_加工!$C$1:$P$1,0)),元データ_加工!$A$2:$A$700,$A409,元データ_加工!$B$2:$B$700,M$5)</f>
        <v>0</v>
      </c>
      <c r="N409" s="26">
        <f>SUMIFS(INDEX(元データ_加工!$C$2:$P$700,0,MATCH($B409,元データ_加工!$C$1:$P$1,0)),元データ_加工!$A$2:$A$700,$A409,元データ_加工!$B$2:$B$700,N$5)</f>
        <v>0</v>
      </c>
      <c r="O409" s="26">
        <f t="shared" si="6"/>
        <v>0</v>
      </c>
      <c r="P409" s="7">
        <f>IFERROR(O409/SUMIFS(元データ_加工!$C$2:$C$700,元データ_加工!$A$2:$A$700,$A409),"")</f>
        <v>0</v>
      </c>
    </row>
    <row r="410" spans="1:16" x14ac:dyDescent="0.45">
      <c r="A410" t="s">
        <v>63</v>
      </c>
      <c r="B410" t="s">
        <v>112</v>
      </c>
      <c r="C410" s="26">
        <f>SUMIFS(INDEX(元データ_加工!$C$2:$P$700,0,MATCH($B410,元データ_加工!$C$1:$P$1,0)),元データ_加工!$A$2:$A$700,$A410,元データ_加工!$B$2:$B$700,C$5)</f>
        <v>0</v>
      </c>
      <c r="D410" s="26">
        <f>SUMIFS(INDEX(元データ_加工!$C$2:$P$700,0,MATCH($B410,元データ_加工!$C$1:$P$1,0)),元データ_加工!$A$2:$A$700,$A410,元データ_加工!$B$2:$B$700,D$5)</f>
        <v>0</v>
      </c>
      <c r="E410" s="26">
        <f>SUMIFS(INDEX(元データ_加工!$C$2:$P$700,0,MATCH($B410,元データ_加工!$C$1:$P$1,0)),元データ_加工!$A$2:$A$700,$A410,元データ_加工!$B$2:$B$700,E$5)</f>
        <v>1</v>
      </c>
      <c r="F410" s="26">
        <f>SUMIFS(INDEX(元データ_加工!$C$2:$P$700,0,MATCH($B410,元データ_加工!$C$1:$P$1,0)),元データ_加工!$A$2:$A$700,$A410,元データ_加工!$B$2:$B$700,F$5)</f>
        <v>0</v>
      </c>
      <c r="G410" s="26">
        <f>SUMIFS(INDEX(元データ_加工!$C$2:$P$700,0,MATCH($B410,元データ_加工!$C$1:$P$1,0)),元データ_加工!$A$2:$A$700,$A410,元データ_加工!$B$2:$B$700,G$5)</f>
        <v>0</v>
      </c>
      <c r="H410" s="26">
        <f>SUMIFS(INDEX(元データ_加工!$C$2:$P$700,0,MATCH($B410,元データ_加工!$C$1:$P$1,0)),元データ_加工!$A$2:$A$700,$A410,元データ_加工!$B$2:$B$700,H$5)</f>
        <v>0</v>
      </c>
      <c r="I410" s="26">
        <f>SUMIFS(INDEX(元データ_加工!$C$2:$P$700,0,MATCH($B410,元データ_加工!$C$1:$P$1,0)),元データ_加工!$A$2:$A$700,$A410,元データ_加工!$B$2:$B$700,I$5)</f>
        <v>0</v>
      </c>
      <c r="J410" s="26">
        <f>SUMIFS(INDEX(元データ_加工!$C$2:$P$700,0,MATCH($B410,元データ_加工!$C$1:$P$1,0)),元データ_加工!$A$2:$A$700,$A410,元データ_加工!$B$2:$B$700,J$5)</f>
        <v>0</v>
      </c>
      <c r="K410" s="26">
        <f>SUMIFS(INDEX(元データ_加工!$C$2:$P$700,0,MATCH($B410,元データ_加工!$C$1:$P$1,0)),元データ_加工!$A$2:$A$700,$A410,元データ_加工!$B$2:$B$700,K$5)</f>
        <v>3</v>
      </c>
      <c r="L410" s="26">
        <f>SUMIFS(INDEX(元データ_加工!$C$2:$P$700,0,MATCH($B410,元データ_加工!$C$1:$P$1,0)),元データ_加工!$A$2:$A$700,$A410,元データ_加工!$B$2:$B$700,L$5)</f>
        <v>0</v>
      </c>
      <c r="M410" s="26">
        <f>SUMIFS(INDEX(元データ_加工!$C$2:$P$700,0,MATCH($B410,元データ_加工!$C$1:$P$1,0)),元データ_加工!$A$2:$A$700,$A410,元データ_加工!$B$2:$B$700,M$5)</f>
        <v>0</v>
      </c>
      <c r="N410" s="26">
        <f>SUMIFS(INDEX(元データ_加工!$C$2:$P$700,0,MATCH($B410,元データ_加工!$C$1:$P$1,0)),元データ_加工!$A$2:$A$700,$A410,元データ_加工!$B$2:$B$700,N$5)</f>
        <v>2</v>
      </c>
      <c r="O410" s="26">
        <f t="shared" si="6"/>
        <v>6</v>
      </c>
      <c r="P410" s="7">
        <f>IFERROR(O410/SUMIFS(元データ_加工!$C$2:$C$700,元データ_加工!$A$2:$A$700,$A410),"")</f>
        <v>2.2083179977916821E-4</v>
      </c>
    </row>
    <row r="411" spans="1:16" x14ac:dyDescent="0.45">
      <c r="A411" t="s">
        <v>63</v>
      </c>
      <c r="B411" t="s">
        <v>113</v>
      </c>
      <c r="C411" s="26">
        <f>SUMIFS(INDEX(元データ_加工!$C$2:$P$700,0,MATCH($B411,元データ_加工!$C$1:$P$1,0)),元データ_加工!$A$2:$A$700,$A411,元データ_加工!$B$2:$B$700,C$5)</f>
        <v>7</v>
      </c>
      <c r="D411" s="26">
        <f>SUMIFS(INDEX(元データ_加工!$C$2:$P$700,0,MATCH($B411,元データ_加工!$C$1:$P$1,0)),元データ_加工!$A$2:$A$700,$A411,元データ_加工!$B$2:$B$700,D$5)</f>
        <v>7</v>
      </c>
      <c r="E411" s="26">
        <f>SUMIFS(INDEX(元データ_加工!$C$2:$P$700,0,MATCH($B411,元データ_加工!$C$1:$P$1,0)),元データ_加工!$A$2:$A$700,$A411,元データ_加工!$B$2:$B$700,E$5)</f>
        <v>9</v>
      </c>
      <c r="F411" s="26">
        <f>SUMIFS(INDEX(元データ_加工!$C$2:$P$700,0,MATCH($B411,元データ_加工!$C$1:$P$1,0)),元データ_加工!$A$2:$A$700,$A411,元データ_加工!$B$2:$B$700,F$5)</f>
        <v>1</v>
      </c>
      <c r="G411" s="26">
        <f>SUMIFS(INDEX(元データ_加工!$C$2:$P$700,0,MATCH($B411,元データ_加工!$C$1:$P$1,0)),元データ_加工!$A$2:$A$700,$A411,元データ_加工!$B$2:$B$700,G$5)</f>
        <v>2</v>
      </c>
      <c r="H411" s="26">
        <f>SUMIFS(INDEX(元データ_加工!$C$2:$P$700,0,MATCH($B411,元データ_加工!$C$1:$P$1,0)),元データ_加工!$A$2:$A$700,$A411,元データ_加工!$B$2:$B$700,H$5)</f>
        <v>5</v>
      </c>
      <c r="I411" s="26">
        <f>SUMIFS(INDEX(元データ_加工!$C$2:$P$700,0,MATCH($B411,元データ_加工!$C$1:$P$1,0)),元データ_加工!$A$2:$A$700,$A411,元データ_加工!$B$2:$B$700,I$5)</f>
        <v>1</v>
      </c>
      <c r="J411" s="26">
        <f>SUMIFS(INDEX(元データ_加工!$C$2:$P$700,0,MATCH($B411,元データ_加工!$C$1:$P$1,0)),元データ_加工!$A$2:$A$700,$A411,元データ_加工!$B$2:$B$700,J$5)</f>
        <v>2</v>
      </c>
      <c r="K411" s="26">
        <f>SUMIFS(INDEX(元データ_加工!$C$2:$P$700,0,MATCH($B411,元データ_加工!$C$1:$P$1,0)),元データ_加工!$A$2:$A$700,$A411,元データ_加工!$B$2:$B$700,K$5)</f>
        <v>7</v>
      </c>
      <c r="L411" s="26">
        <f>SUMIFS(INDEX(元データ_加工!$C$2:$P$700,0,MATCH($B411,元データ_加工!$C$1:$P$1,0)),元データ_加工!$A$2:$A$700,$A411,元データ_加工!$B$2:$B$700,L$5)</f>
        <v>3</v>
      </c>
      <c r="M411" s="26">
        <f>SUMIFS(INDEX(元データ_加工!$C$2:$P$700,0,MATCH($B411,元データ_加工!$C$1:$P$1,0)),元データ_加工!$A$2:$A$700,$A411,元データ_加工!$B$2:$B$700,M$5)</f>
        <v>1</v>
      </c>
      <c r="N411" s="26">
        <f>SUMIFS(INDEX(元データ_加工!$C$2:$P$700,0,MATCH($B411,元データ_加工!$C$1:$P$1,0)),元データ_加工!$A$2:$A$700,$A411,元データ_加工!$B$2:$B$700,N$5)</f>
        <v>1</v>
      </c>
      <c r="O411" s="26">
        <f t="shared" si="6"/>
        <v>46</v>
      </c>
      <c r="P411" s="7">
        <f>IFERROR(O411/SUMIFS(元データ_加工!$C$2:$C$700,元データ_加工!$A$2:$A$700,$A411),"")</f>
        <v>1.6930437983069561E-3</v>
      </c>
    </row>
    <row r="412" spans="1:16" x14ac:dyDescent="0.45">
      <c r="A412" t="s">
        <v>64</v>
      </c>
      <c r="B412" t="s">
        <v>100</v>
      </c>
      <c r="C412" s="26">
        <f>SUMIFS(INDEX(元データ_加工!$C$2:$P$700,0,MATCH($B412,元データ_加工!$C$1:$P$1,0)),元データ_加工!$A$2:$A$700,$A412,元データ_加工!$B$2:$B$700,C$5)</f>
        <v>257</v>
      </c>
      <c r="D412" s="26">
        <f>SUMIFS(INDEX(元データ_加工!$C$2:$P$700,0,MATCH($B412,元データ_加工!$C$1:$P$1,0)),元データ_加工!$A$2:$A$700,$A412,元データ_加工!$B$2:$B$700,D$5)</f>
        <v>241</v>
      </c>
      <c r="E412" s="26">
        <f>SUMIFS(INDEX(元データ_加工!$C$2:$P$700,0,MATCH($B412,元データ_加工!$C$1:$P$1,0)),元データ_加工!$A$2:$A$700,$A412,元データ_加工!$B$2:$B$700,E$5)</f>
        <v>347</v>
      </c>
      <c r="F412" s="26">
        <f>SUMIFS(INDEX(元データ_加工!$C$2:$P$700,0,MATCH($B412,元データ_加工!$C$1:$P$1,0)),元データ_加工!$A$2:$A$700,$A412,元データ_加工!$B$2:$B$700,F$5)</f>
        <v>290</v>
      </c>
      <c r="G412" s="26">
        <f>SUMIFS(INDEX(元データ_加工!$C$2:$P$700,0,MATCH($B412,元データ_加工!$C$1:$P$1,0)),元データ_加工!$A$2:$A$700,$A412,元データ_加工!$B$2:$B$700,G$5)</f>
        <v>226</v>
      </c>
      <c r="H412" s="26">
        <f>SUMIFS(INDEX(元データ_加工!$C$2:$P$700,0,MATCH($B412,元データ_加工!$C$1:$P$1,0)),元データ_加工!$A$2:$A$700,$A412,元データ_加工!$B$2:$B$700,H$5)</f>
        <v>200</v>
      </c>
      <c r="I412" s="26">
        <f>SUMIFS(INDEX(元データ_加工!$C$2:$P$700,0,MATCH($B412,元データ_加工!$C$1:$P$1,0)),元データ_加工!$A$2:$A$700,$A412,元データ_加工!$B$2:$B$700,I$5)</f>
        <v>145</v>
      </c>
      <c r="J412" s="26">
        <f>SUMIFS(INDEX(元データ_加工!$C$2:$P$700,0,MATCH($B412,元データ_加工!$C$1:$P$1,0)),元データ_加工!$A$2:$A$700,$A412,元データ_加工!$B$2:$B$700,J$5)</f>
        <v>284</v>
      </c>
      <c r="K412" s="26">
        <f>SUMIFS(INDEX(元データ_加工!$C$2:$P$700,0,MATCH($B412,元データ_加工!$C$1:$P$1,0)),元データ_加工!$A$2:$A$700,$A412,元データ_加工!$B$2:$B$700,K$5)</f>
        <v>395</v>
      </c>
      <c r="L412" s="26">
        <f>SUMIFS(INDEX(元データ_加工!$C$2:$P$700,0,MATCH($B412,元データ_加工!$C$1:$P$1,0)),元データ_加工!$A$2:$A$700,$A412,元データ_加工!$B$2:$B$700,L$5)</f>
        <v>358</v>
      </c>
      <c r="M412" s="26">
        <f>SUMIFS(INDEX(元データ_加工!$C$2:$P$700,0,MATCH($B412,元データ_加工!$C$1:$P$1,0)),元データ_加工!$A$2:$A$700,$A412,元データ_加工!$B$2:$B$700,M$5)</f>
        <v>290</v>
      </c>
      <c r="N412" s="26">
        <f>SUMIFS(INDEX(元データ_加工!$C$2:$P$700,0,MATCH($B412,元データ_加工!$C$1:$P$1,0)),元データ_加工!$A$2:$A$700,$A412,元データ_加工!$B$2:$B$700,N$5)</f>
        <v>359</v>
      </c>
      <c r="O412" s="26">
        <f t="shared" si="6"/>
        <v>3392</v>
      </c>
      <c r="P412" s="7">
        <f>IFERROR(O412/SUMIFS(元データ_加工!$C$2:$C$700,元データ_加工!$A$2:$A$700,$A412),"")</f>
        <v>1</v>
      </c>
    </row>
    <row r="413" spans="1:16" x14ac:dyDescent="0.45">
      <c r="A413" t="s">
        <v>64</v>
      </c>
      <c r="B413" t="s">
        <v>101</v>
      </c>
      <c r="C413" s="26">
        <f>SUMIFS(INDEX(元データ_加工!$C$2:$P$700,0,MATCH($B413,元データ_加工!$C$1:$P$1,0)),元データ_加工!$A$2:$A$700,$A413,元データ_加工!$B$2:$B$700,C$5)</f>
        <v>210</v>
      </c>
      <c r="D413" s="26">
        <f>SUMIFS(INDEX(元データ_加工!$C$2:$P$700,0,MATCH($B413,元データ_加工!$C$1:$P$1,0)),元データ_加工!$A$2:$A$700,$A413,元データ_加工!$B$2:$B$700,D$5)</f>
        <v>230</v>
      </c>
      <c r="E413" s="26">
        <f>SUMIFS(INDEX(元データ_加工!$C$2:$P$700,0,MATCH($B413,元データ_加工!$C$1:$P$1,0)),元データ_加工!$A$2:$A$700,$A413,元データ_加工!$B$2:$B$700,E$5)</f>
        <v>197</v>
      </c>
      <c r="F413" s="26">
        <f>SUMIFS(INDEX(元データ_加工!$C$2:$P$700,0,MATCH($B413,元データ_加工!$C$1:$P$1,0)),元データ_加工!$A$2:$A$700,$A413,元データ_加工!$B$2:$B$700,F$5)</f>
        <v>235</v>
      </c>
      <c r="G413" s="26">
        <f>SUMIFS(INDEX(元データ_加工!$C$2:$P$700,0,MATCH($B413,元データ_加工!$C$1:$P$1,0)),元データ_加工!$A$2:$A$700,$A413,元データ_加工!$B$2:$B$700,G$5)</f>
        <v>200</v>
      </c>
      <c r="H413" s="26">
        <f>SUMIFS(INDEX(元データ_加工!$C$2:$P$700,0,MATCH($B413,元データ_加工!$C$1:$P$1,0)),元データ_加工!$A$2:$A$700,$A413,元データ_加工!$B$2:$B$700,H$5)</f>
        <v>201</v>
      </c>
      <c r="I413" s="26">
        <f>SUMIFS(INDEX(元データ_加工!$C$2:$P$700,0,MATCH($B413,元データ_加工!$C$1:$P$1,0)),元データ_加工!$A$2:$A$700,$A413,元データ_加工!$B$2:$B$700,I$5)</f>
        <v>152</v>
      </c>
      <c r="J413" s="26">
        <f>SUMIFS(INDEX(元データ_加工!$C$2:$P$700,0,MATCH($B413,元データ_加工!$C$1:$P$1,0)),元データ_加工!$A$2:$A$700,$A413,元データ_加工!$B$2:$B$700,J$5)</f>
        <v>182</v>
      </c>
      <c r="K413" s="26">
        <f>SUMIFS(INDEX(元データ_加工!$C$2:$P$700,0,MATCH($B413,元データ_加工!$C$1:$P$1,0)),元データ_加工!$A$2:$A$700,$A413,元データ_加工!$B$2:$B$700,K$5)</f>
        <v>203</v>
      </c>
      <c r="L413" s="26">
        <f>SUMIFS(INDEX(元データ_加工!$C$2:$P$700,0,MATCH($B413,元データ_加工!$C$1:$P$1,0)),元データ_加工!$A$2:$A$700,$A413,元データ_加工!$B$2:$B$700,L$5)</f>
        <v>159</v>
      </c>
      <c r="M413" s="26">
        <f>SUMIFS(INDEX(元データ_加工!$C$2:$P$700,0,MATCH($B413,元データ_加工!$C$1:$P$1,0)),元データ_加工!$A$2:$A$700,$A413,元データ_加工!$B$2:$B$700,M$5)</f>
        <v>210</v>
      </c>
      <c r="N413" s="26">
        <f>SUMIFS(INDEX(元データ_加工!$C$2:$P$700,0,MATCH($B413,元データ_加工!$C$1:$P$1,0)),元データ_加工!$A$2:$A$700,$A413,元データ_加工!$B$2:$B$700,N$5)</f>
        <v>201</v>
      </c>
      <c r="O413" s="26">
        <f t="shared" si="6"/>
        <v>2380</v>
      </c>
      <c r="P413" s="7">
        <f>IFERROR(O413/SUMIFS(元データ_加工!$C$2:$C$700,元データ_加工!$A$2:$A$700,$A413),"")</f>
        <v>0.70165094339622647</v>
      </c>
    </row>
    <row r="414" spans="1:16" x14ac:dyDescent="0.45">
      <c r="A414" t="s">
        <v>64</v>
      </c>
      <c r="B414" t="s">
        <v>102</v>
      </c>
      <c r="C414" s="26">
        <f>SUMIFS(INDEX(元データ_加工!$C$2:$P$700,0,MATCH($B414,元データ_加工!$C$1:$P$1,0)),元データ_加工!$A$2:$A$700,$A414,元データ_加工!$B$2:$B$700,C$5)</f>
        <v>0</v>
      </c>
      <c r="D414" s="26">
        <f>SUMIFS(INDEX(元データ_加工!$C$2:$P$700,0,MATCH($B414,元データ_加工!$C$1:$P$1,0)),元データ_加工!$A$2:$A$700,$A414,元データ_加工!$B$2:$B$700,D$5)</f>
        <v>0</v>
      </c>
      <c r="E414" s="26">
        <f>SUMIFS(INDEX(元データ_加工!$C$2:$P$700,0,MATCH($B414,元データ_加工!$C$1:$P$1,0)),元データ_加工!$A$2:$A$700,$A414,元データ_加工!$B$2:$B$700,E$5)</f>
        <v>0</v>
      </c>
      <c r="F414" s="26">
        <f>SUMIFS(INDEX(元データ_加工!$C$2:$P$700,0,MATCH($B414,元データ_加工!$C$1:$P$1,0)),元データ_加工!$A$2:$A$700,$A414,元データ_加工!$B$2:$B$700,F$5)</f>
        <v>0</v>
      </c>
      <c r="G414" s="26">
        <f>SUMIFS(INDEX(元データ_加工!$C$2:$P$700,0,MATCH($B414,元データ_加工!$C$1:$P$1,0)),元データ_加工!$A$2:$A$700,$A414,元データ_加工!$B$2:$B$700,G$5)</f>
        <v>0</v>
      </c>
      <c r="H414" s="26">
        <f>SUMIFS(INDEX(元データ_加工!$C$2:$P$700,0,MATCH($B414,元データ_加工!$C$1:$P$1,0)),元データ_加工!$A$2:$A$700,$A414,元データ_加工!$B$2:$B$700,H$5)</f>
        <v>0</v>
      </c>
      <c r="I414" s="26">
        <f>SUMIFS(INDEX(元データ_加工!$C$2:$P$700,0,MATCH($B414,元データ_加工!$C$1:$P$1,0)),元データ_加工!$A$2:$A$700,$A414,元データ_加工!$B$2:$B$700,I$5)</f>
        <v>0</v>
      </c>
      <c r="J414" s="26">
        <f>SUMIFS(INDEX(元データ_加工!$C$2:$P$700,0,MATCH($B414,元データ_加工!$C$1:$P$1,0)),元データ_加工!$A$2:$A$700,$A414,元データ_加工!$B$2:$B$700,J$5)</f>
        <v>0</v>
      </c>
      <c r="K414" s="26">
        <f>SUMIFS(INDEX(元データ_加工!$C$2:$P$700,0,MATCH($B414,元データ_加工!$C$1:$P$1,0)),元データ_加工!$A$2:$A$700,$A414,元データ_加工!$B$2:$B$700,K$5)</f>
        <v>0</v>
      </c>
      <c r="L414" s="26">
        <f>SUMIFS(INDEX(元データ_加工!$C$2:$P$700,0,MATCH($B414,元データ_加工!$C$1:$P$1,0)),元データ_加工!$A$2:$A$700,$A414,元データ_加工!$B$2:$B$700,L$5)</f>
        <v>0</v>
      </c>
      <c r="M414" s="26">
        <f>SUMIFS(INDEX(元データ_加工!$C$2:$P$700,0,MATCH($B414,元データ_加工!$C$1:$P$1,0)),元データ_加工!$A$2:$A$700,$A414,元データ_加工!$B$2:$B$700,M$5)</f>
        <v>0</v>
      </c>
      <c r="N414" s="26">
        <f>SUMIFS(INDEX(元データ_加工!$C$2:$P$700,0,MATCH($B414,元データ_加工!$C$1:$P$1,0)),元データ_加工!$A$2:$A$700,$A414,元データ_加工!$B$2:$B$700,N$5)</f>
        <v>0</v>
      </c>
      <c r="O414" s="26">
        <f t="shared" si="6"/>
        <v>0</v>
      </c>
      <c r="P414" s="7">
        <f>IFERROR(O414/SUMIFS(元データ_加工!$C$2:$C$700,元データ_加工!$A$2:$A$700,$A414),"")</f>
        <v>0</v>
      </c>
    </row>
    <row r="415" spans="1:16" x14ac:dyDescent="0.45">
      <c r="A415" t="s">
        <v>64</v>
      </c>
      <c r="B415" t="s">
        <v>103</v>
      </c>
      <c r="C415" s="26">
        <f>SUMIFS(INDEX(元データ_加工!$C$2:$P$700,0,MATCH($B415,元データ_加工!$C$1:$P$1,0)),元データ_加工!$A$2:$A$700,$A415,元データ_加工!$B$2:$B$700,C$5)</f>
        <v>0</v>
      </c>
      <c r="D415" s="26">
        <f>SUMIFS(INDEX(元データ_加工!$C$2:$P$700,0,MATCH($B415,元データ_加工!$C$1:$P$1,0)),元データ_加工!$A$2:$A$700,$A415,元データ_加工!$B$2:$B$700,D$5)</f>
        <v>1</v>
      </c>
      <c r="E415" s="26">
        <f>SUMIFS(INDEX(元データ_加工!$C$2:$P$700,0,MATCH($B415,元データ_加工!$C$1:$P$1,0)),元データ_加工!$A$2:$A$700,$A415,元データ_加工!$B$2:$B$700,E$5)</f>
        <v>0</v>
      </c>
      <c r="F415" s="26">
        <f>SUMIFS(INDEX(元データ_加工!$C$2:$P$700,0,MATCH($B415,元データ_加工!$C$1:$P$1,0)),元データ_加工!$A$2:$A$700,$A415,元データ_加工!$B$2:$B$700,F$5)</f>
        <v>0</v>
      </c>
      <c r="G415" s="26">
        <f>SUMIFS(INDEX(元データ_加工!$C$2:$P$700,0,MATCH($B415,元データ_加工!$C$1:$P$1,0)),元データ_加工!$A$2:$A$700,$A415,元データ_加工!$B$2:$B$700,G$5)</f>
        <v>0</v>
      </c>
      <c r="H415" s="26">
        <f>SUMIFS(INDEX(元データ_加工!$C$2:$P$700,0,MATCH($B415,元データ_加工!$C$1:$P$1,0)),元データ_加工!$A$2:$A$700,$A415,元データ_加工!$B$2:$B$700,H$5)</f>
        <v>1</v>
      </c>
      <c r="I415" s="26">
        <f>SUMIFS(INDEX(元データ_加工!$C$2:$P$700,0,MATCH($B415,元データ_加工!$C$1:$P$1,0)),元データ_加工!$A$2:$A$700,$A415,元データ_加工!$B$2:$B$700,I$5)</f>
        <v>1</v>
      </c>
      <c r="J415" s="26">
        <f>SUMIFS(INDEX(元データ_加工!$C$2:$P$700,0,MATCH($B415,元データ_加工!$C$1:$P$1,0)),元データ_加工!$A$2:$A$700,$A415,元データ_加工!$B$2:$B$700,J$5)</f>
        <v>0</v>
      </c>
      <c r="K415" s="26">
        <f>SUMIFS(INDEX(元データ_加工!$C$2:$P$700,0,MATCH($B415,元データ_加工!$C$1:$P$1,0)),元データ_加工!$A$2:$A$700,$A415,元データ_加工!$B$2:$B$700,K$5)</f>
        <v>0</v>
      </c>
      <c r="L415" s="26">
        <f>SUMIFS(INDEX(元データ_加工!$C$2:$P$700,0,MATCH($B415,元データ_加工!$C$1:$P$1,0)),元データ_加工!$A$2:$A$700,$A415,元データ_加工!$B$2:$B$700,L$5)</f>
        <v>0</v>
      </c>
      <c r="M415" s="26">
        <f>SUMIFS(INDEX(元データ_加工!$C$2:$P$700,0,MATCH($B415,元データ_加工!$C$1:$P$1,0)),元データ_加工!$A$2:$A$700,$A415,元データ_加工!$B$2:$B$700,M$5)</f>
        <v>0</v>
      </c>
      <c r="N415" s="26">
        <f>SUMIFS(INDEX(元データ_加工!$C$2:$P$700,0,MATCH($B415,元データ_加工!$C$1:$P$1,0)),元データ_加工!$A$2:$A$700,$A415,元データ_加工!$B$2:$B$700,N$5)</f>
        <v>0</v>
      </c>
      <c r="O415" s="26">
        <f t="shared" si="6"/>
        <v>3</v>
      </c>
      <c r="P415" s="7">
        <f>IFERROR(O415/SUMIFS(元データ_加工!$C$2:$C$700,元データ_加工!$A$2:$A$700,$A415),"")</f>
        <v>8.8443396226415096E-4</v>
      </c>
    </row>
    <row r="416" spans="1:16" x14ac:dyDescent="0.45">
      <c r="A416" t="s">
        <v>64</v>
      </c>
      <c r="B416" t="s">
        <v>104</v>
      </c>
      <c r="C416" s="26">
        <f>SUMIFS(INDEX(元データ_加工!$C$2:$P$700,0,MATCH($B416,元データ_加工!$C$1:$P$1,0)),元データ_加工!$A$2:$A$700,$A416,元データ_加工!$B$2:$B$700,C$5)</f>
        <v>0</v>
      </c>
      <c r="D416" s="26">
        <f>SUMIFS(INDEX(元データ_加工!$C$2:$P$700,0,MATCH($B416,元データ_加工!$C$1:$P$1,0)),元データ_加工!$A$2:$A$700,$A416,元データ_加工!$B$2:$B$700,D$5)</f>
        <v>0</v>
      </c>
      <c r="E416" s="26">
        <f>SUMIFS(INDEX(元データ_加工!$C$2:$P$700,0,MATCH($B416,元データ_加工!$C$1:$P$1,0)),元データ_加工!$A$2:$A$700,$A416,元データ_加工!$B$2:$B$700,E$5)</f>
        <v>1</v>
      </c>
      <c r="F416" s="26">
        <f>SUMIFS(INDEX(元データ_加工!$C$2:$P$700,0,MATCH($B416,元データ_加工!$C$1:$P$1,0)),元データ_加工!$A$2:$A$700,$A416,元データ_加工!$B$2:$B$700,F$5)</f>
        <v>0</v>
      </c>
      <c r="G416" s="26">
        <f>SUMIFS(INDEX(元データ_加工!$C$2:$P$700,0,MATCH($B416,元データ_加工!$C$1:$P$1,0)),元データ_加工!$A$2:$A$700,$A416,元データ_加工!$B$2:$B$700,G$5)</f>
        <v>0</v>
      </c>
      <c r="H416" s="26">
        <f>SUMIFS(INDEX(元データ_加工!$C$2:$P$700,0,MATCH($B416,元データ_加工!$C$1:$P$1,0)),元データ_加工!$A$2:$A$700,$A416,元データ_加工!$B$2:$B$700,H$5)</f>
        <v>0</v>
      </c>
      <c r="I416" s="26">
        <f>SUMIFS(INDEX(元データ_加工!$C$2:$P$700,0,MATCH($B416,元データ_加工!$C$1:$P$1,0)),元データ_加工!$A$2:$A$700,$A416,元データ_加工!$B$2:$B$700,I$5)</f>
        <v>0</v>
      </c>
      <c r="J416" s="26">
        <f>SUMIFS(INDEX(元データ_加工!$C$2:$P$700,0,MATCH($B416,元データ_加工!$C$1:$P$1,0)),元データ_加工!$A$2:$A$700,$A416,元データ_加工!$B$2:$B$700,J$5)</f>
        <v>4</v>
      </c>
      <c r="K416" s="26">
        <f>SUMIFS(INDEX(元データ_加工!$C$2:$P$700,0,MATCH($B416,元データ_加工!$C$1:$P$1,0)),元データ_加工!$A$2:$A$700,$A416,元データ_加工!$B$2:$B$700,K$5)</f>
        <v>1</v>
      </c>
      <c r="L416" s="26">
        <f>SUMIFS(INDEX(元データ_加工!$C$2:$P$700,0,MATCH($B416,元データ_加工!$C$1:$P$1,0)),元データ_加工!$A$2:$A$700,$A416,元データ_加工!$B$2:$B$700,L$5)</f>
        <v>0</v>
      </c>
      <c r="M416" s="26">
        <f>SUMIFS(INDEX(元データ_加工!$C$2:$P$700,0,MATCH($B416,元データ_加工!$C$1:$P$1,0)),元データ_加工!$A$2:$A$700,$A416,元データ_加工!$B$2:$B$700,M$5)</f>
        <v>0</v>
      </c>
      <c r="N416" s="26">
        <f>SUMIFS(INDEX(元データ_加工!$C$2:$P$700,0,MATCH($B416,元データ_加工!$C$1:$P$1,0)),元データ_加工!$A$2:$A$700,$A416,元データ_加工!$B$2:$B$700,N$5)</f>
        <v>1</v>
      </c>
      <c r="O416" s="26">
        <f t="shared" si="6"/>
        <v>7</v>
      </c>
      <c r="P416" s="7">
        <f>IFERROR(O416/SUMIFS(元データ_加工!$C$2:$C$700,元データ_加工!$A$2:$A$700,$A416),"")</f>
        <v>2.0636792452830188E-3</v>
      </c>
    </row>
    <row r="417" spans="1:16" x14ac:dyDescent="0.45">
      <c r="A417" t="s">
        <v>64</v>
      </c>
      <c r="B417" t="s">
        <v>105</v>
      </c>
      <c r="C417" s="26">
        <f>SUMIFS(INDEX(元データ_加工!$C$2:$P$700,0,MATCH($B417,元データ_加工!$C$1:$P$1,0)),元データ_加工!$A$2:$A$700,$A417,元データ_加工!$B$2:$B$700,C$5)</f>
        <v>0</v>
      </c>
      <c r="D417" s="26">
        <f>SUMIFS(INDEX(元データ_加工!$C$2:$P$700,0,MATCH($B417,元データ_加工!$C$1:$P$1,0)),元データ_加工!$A$2:$A$700,$A417,元データ_加工!$B$2:$B$700,D$5)</f>
        <v>0</v>
      </c>
      <c r="E417" s="26">
        <f>SUMIFS(INDEX(元データ_加工!$C$2:$P$700,0,MATCH($B417,元データ_加工!$C$1:$P$1,0)),元データ_加工!$A$2:$A$700,$A417,元データ_加工!$B$2:$B$700,E$5)</f>
        <v>0</v>
      </c>
      <c r="F417" s="26">
        <f>SUMIFS(INDEX(元データ_加工!$C$2:$P$700,0,MATCH($B417,元データ_加工!$C$1:$P$1,0)),元データ_加工!$A$2:$A$700,$A417,元データ_加工!$B$2:$B$700,F$5)</f>
        <v>0</v>
      </c>
      <c r="G417" s="26">
        <f>SUMIFS(INDEX(元データ_加工!$C$2:$P$700,0,MATCH($B417,元データ_加工!$C$1:$P$1,0)),元データ_加工!$A$2:$A$700,$A417,元データ_加工!$B$2:$B$700,G$5)</f>
        <v>0</v>
      </c>
      <c r="H417" s="26">
        <f>SUMIFS(INDEX(元データ_加工!$C$2:$P$700,0,MATCH($B417,元データ_加工!$C$1:$P$1,0)),元データ_加工!$A$2:$A$700,$A417,元データ_加工!$B$2:$B$700,H$5)</f>
        <v>0</v>
      </c>
      <c r="I417" s="26">
        <f>SUMIFS(INDEX(元データ_加工!$C$2:$P$700,0,MATCH($B417,元データ_加工!$C$1:$P$1,0)),元データ_加工!$A$2:$A$700,$A417,元データ_加工!$B$2:$B$700,I$5)</f>
        <v>0</v>
      </c>
      <c r="J417" s="26">
        <f>SUMIFS(INDEX(元データ_加工!$C$2:$P$700,0,MATCH($B417,元データ_加工!$C$1:$P$1,0)),元データ_加工!$A$2:$A$700,$A417,元データ_加工!$B$2:$B$700,J$5)</f>
        <v>0</v>
      </c>
      <c r="K417" s="26">
        <f>SUMIFS(INDEX(元データ_加工!$C$2:$P$700,0,MATCH($B417,元データ_加工!$C$1:$P$1,0)),元データ_加工!$A$2:$A$700,$A417,元データ_加工!$B$2:$B$700,K$5)</f>
        <v>0</v>
      </c>
      <c r="L417" s="26">
        <f>SUMIFS(INDEX(元データ_加工!$C$2:$P$700,0,MATCH($B417,元データ_加工!$C$1:$P$1,0)),元データ_加工!$A$2:$A$700,$A417,元データ_加工!$B$2:$B$700,L$5)</f>
        <v>2</v>
      </c>
      <c r="M417" s="26">
        <f>SUMIFS(INDEX(元データ_加工!$C$2:$P$700,0,MATCH($B417,元データ_加工!$C$1:$P$1,0)),元データ_加工!$A$2:$A$700,$A417,元データ_加工!$B$2:$B$700,M$5)</f>
        <v>0</v>
      </c>
      <c r="N417" s="26">
        <f>SUMIFS(INDEX(元データ_加工!$C$2:$P$700,0,MATCH($B417,元データ_加工!$C$1:$P$1,0)),元データ_加工!$A$2:$A$700,$A417,元データ_加工!$B$2:$B$700,N$5)</f>
        <v>0</v>
      </c>
      <c r="O417" s="26">
        <f t="shared" si="6"/>
        <v>2</v>
      </c>
      <c r="P417" s="7">
        <f>IFERROR(O417/SUMIFS(元データ_加工!$C$2:$C$700,元データ_加工!$A$2:$A$700,$A417),"")</f>
        <v>5.8962264150943394E-4</v>
      </c>
    </row>
    <row r="418" spans="1:16" x14ac:dyDescent="0.45">
      <c r="A418" t="s">
        <v>64</v>
      </c>
      <c r="B418" t="s">
        <v>106</v>
      </c>
      <c r="C418" s="26">
        <f>SUMIFS(INDEX(元データ_加工!$C$2:$P$700,0,MATCH($B418,元データ_加工!$C$1:$P$1,0)),元データ_加工!$A$2:$A$700,$A418,元データ_加工!$B$2:$B$700,C$5)</f>
        <v>3</v>
      </c>
      <c r="D418" s="26">
        <f>SUMIFS(INDEX(元データ_加工!$C$2:$P$700,0,MATCH($B418,元データ_加工!$C$1:$P$1,0)),元データ_加工!$A$2:$A$700,$A418,元データ_加工!$B$2:$B$700,D$5)</f>
        <v>1</v>
      </c>
      <c r="E418" s="26">
        <f>SUMIFS(INDEX(元データ_加工!$C$2:$P$700,0,MATCH($B418,元データ_加工!$C$1:$P$1,0)),元データ_加工!$A$2:$A$700,$A418,元データ_加工!$B$2:$B$700,E$5)</f>
        <v>3</v>
      </c>
      <c r="F418" s="26">
        <f>SUMIFS(INDEX(元データ_加工!$C$2:$P$700,0,MATCH($B418,元データ_加工!$C$1:$P$1,0)),元データ_加工!$A$2:$A$700,$A418,元データ_加工!$B$2:$B$700,F$5)</f>
        <v>8</v>
      </c>
      <c r="G418" s="26">
        <f>SUMIFS(INDEX(元データ_加工!$C$2:$P$700,0,MATCH($B418,元データ_加工!$C$1:$P$1,0)),元データ_加工!$A$2:$A$700,$A418,元データ_加工!$B$2:$B$700,G$5)</f>
        <v>8</v>
      </c>
      <c r="H418" s="26">
        <f>SUMIFS(INDEX(元データ_加工!$C$2:$P$700,0,MATCH($B418,元データ_加工!$C$1:$P$1,0)),元データ_加工!$A$2:$A$700,$A418,元データ_加工!$B$2:$B$700,H$5)</f>
        <v>6</v>
      </c>
      <c r="I418" s="26">
        <f>SUMIFS(INDEX(元データ_加工!$C$2:$P$700,0,MATCH($B418,元データ_加工!$C$1:$P$1,0)),元データ_加工!$A$2:$A$700,$A418,元データ_加工!$B$2:$B$700,I$5)</f>
        <v>4</v>
      </c>
      <c r="J418" s="26">
        <f>SUMIFS(INDEX(元データ_加工!$C$2:$P$700,0,MATCH($B418,元データ_加工!$C$1:$P$1,0)),元データ_加工!$A$2:$A$700,$A418,元データ_加工!$B$2:$B$700,J$5)</f>
        <v>2</v>
      </c>
      <c r="K418" s="26">
        <f>SUMIFS(INDEX(元データ_加工!$C$2:$P$700,0,MATCH($B418,元データ_加工!$C$1:$P$1,0)),元データ_加工!$A$2:$A$700,$A418,元データ_加工!$B$2:$B$700,K$5)</f>
        <v>0</v>
      </c>
      <c r="L418" s="26">
        <f>SUMIFS(INDEX(元データ_加工!$C$2:$P$700,0,MATCH($B418,元データ_加工!$C$1:$P$1,0)),元データ_加工!$A$2:$A$700,$A418,元データ_加工!$B$2:$B$700,L$5)</f>
        <v>0</v>
      </c>
      <c r="M418" s="26">
        <f>SUMIFS(INDEX(元データ_加工!$C$2:$P$700,0,MATCH($B418,元データ_加工!$C$1:$P$1,0)),元データ_加工!$A$2:$A$700,$A418,元データ_加工!$B$2:$B$700,M$5)</f>
        <v>1</v>
      </c>
      <c r="N418" s="26">
        <f>SUMIFS(INDEX(元データ_加工!$C$2:$P$700,0,MATCH($B418,元データ_加工!$C$1:$P$1,0)),元データ_加工!$A$2:$A$700,$A418,元データ_加工!$B$2:$B$700,N$5)</f>
        <v>0</v>
      </c>
      <c r="O418" s="26">
        <f t="shared" si="6"/>
        <v>36</v>
      </c>
      <c r="P418" s="7">
        <f>IFERROR(O418/SUMIFS(元データ_加工!$C$2:$C$700,元データ_加工!$A$2:$A$700,$A418),"")</f>
        <v>1.0613207547169811E-2</v>
      </c>
    </row>
    <row r="419" spans="1:16" x14ac:dyDescent="0.45">
      <c r="A419" t="s">
        <v>64</v>
      </c>
      <c r="B419" t="s">
        <v>107</v>
      </c>
      <c r="C419" s="26">
        <f>SUMIFS(INDEX(元データ_加工!$C$2:$P$700,0,MATCH($B419,元データ_加工!$C$1:$P$1,0)),元データ_加工!$A$2:$A$700,$A419,元データ_加工!$B$2:$B$700,C$5)</f>
        <v>0</v>
      </c>
      <c r="D419" s="26">
        <f>SUMIFS(INDEX(元データ_加工!$C$2:$P$700,0,MATCH($B419,元データ_加工!$C$1:$P$1,0)),元データ_加工!$A$2:$A$700,$A419,元データ_加工!$B$2:$B$700,D$5)</f>
        <v>0</v>
      </c>
      <c r="E419" s="26">
        <f>SUMIFS(INDEX(元データ_加工!$C$2:$P$700,0,MATCH($B419,元データ_加工!$C$1:$P$1,0)),元データ_加工!$A$2:$A$700,$A419,元データ_加工!$B$2:$B$700,E$5)</f>
        <v>0</v>
      </c>
      <c r="F419" s="26">
        <f>SUMIFS(INDEX(元データ_加工!$C$2:$P$700,0,MATCH($B419,元データ_加工!$C$1:$P$1,0)),元データ_加工!$A$2:$A$700,$A419,元データ_加工!$B$2:$B$700,F$5)</f>
        <v>1</v>
      </c>
      <c r="G419" s="26">
        <f>SUMIFS(INDEX(元データ_加工!$C$2:$P$700,0,MATCH($B419,元データ_加工!$C$1:$P$1,0)),元データ_加工!$A$2:$A$700,$A419,元データ_加工!$B$2:$B$700,G$5)</f>
        <v>0</v>
      </c>
      <c r="H419" s="26">
        <f>SUMIFS(INDEX(元データ_加工!$C$2:$P$700,0,MATCH($B419,元データ_加工!$C$1:$P$1,0)),元データ_加工!$A$2:$A$700,$A419,元データ_加工!$B$2:$B$700,H$5)</f>
        <v>2</v>
      </c>
      <c r="I419" s="26">
        <f>SUMIFS(INDEX(元データ_加工!$C$2:$P$700,0,MATCH($B419,元データ_加工!$C$1:$P$1,0)),元データ_加工!$A$2:$A$700,$A419,元データ_加工!$B$2:$B$700,I$5)</f>
        <v>0</v>
      </c>
      <c r="J419" s="26">
        <f>SUMIFS(INDEX(元データ_加工!$C$2:$P$700,0,MATCH($B419,元データ_加工!$C$1:$P$1,0)),元データ_加工!$A$2:$A$700,$A419,元データ_加工!$B$2:$B$700,J$5)</f>
        <v>0</v>
      </c>
      <c r="K419" s="26">
        <f>SUMIFS(INDEX(元データ_加工!$C$2:$P$700,0,MATCH($B419,元データ_加工!$C$1:$P$1,0)),元データ_加工!$A$2:$A$700,$A419,元データ_加工!$B$2:$B$700,K$5)</f>
        <v>0</v>
      </c>
      <c r="L419" s="26">
        <f>SUMIFS(INDEX(元データ_加工!$C$2:$P$700,0,MATCH($B419,元データ_加工!$C$1:$P$1,0)),元データ_加工!$A$2:$A$700,$A419,元データ_加工!$B$2:$B$700,L$5)</f>
        <v>0</v>
      </c>
      <c r="M419" s="26">
        <f>SUMIFS(INDEX(元データ_加工!$C$2:$P$700,0,MATCH($B419,元データ_加工!$C$1:$P$1,0)),元データ_加工!$A$2:$A$700,$A419,元データ_加工!$B$2:$B$700,M$5)</f>
        <v>0</v>
      </c>
      <c r="N419" s="26">
        <f>SUMIFS(INDEX(元データ_加工!$C$2:$P$700,0,MATCH($B419,元データ_加工!$C$1:$P$1,0)),元データ_加工!$A$2:$A$700,$A419,元データ_加工!$B$2:$B$700,N$5)</f>
        <v>0</v>
      </c>
      <c r="O419" s="26">
        <f t="shared" si="6"/>
        <v>3</v>
      </c>
      <c r="P419" s="7">
        <f>IFERROR(O419/SUMIFS(元データ_加工!$C$2:$C$700,元データ_加工!$A$2:$A$700,$A419),"")</f>
        <v>8.8443396226415096E-4</v>
      </c>
    </row>
    <row r="420" spans="1:16" x14ac:dyDescent="0.45">
      <c r="A420" t="s">
        <v>64</v>
      </c>
      <c r="B420" t="s">
        <v>108</v>
      </c>
      <c r="C420" s="26">
        <f>SUMIFS(INDEX(元データ_加工!$C$2:$P$700,0,MATCH($B420,元データ_加工!$C$1:$P$1,0)),元データ_加工!$A$2:$A$700,$A420,元データ_加工!$B$2:$B$700,C$5)</f>
        <v>0</v>
      </c>
      <c r="D420" s="26">
        <f>SUMIFS(INDEX(元データ_加工!$C$2:$P$700,0,MATCH($B420,元データ_加工!$C$1:$P$1,0)),元データ_加工!$A$2:$A$700,$A420,元データ_加工!$B$2:$B$700,D$5)</f>
        <v>0</v>
      </c>
      <c r="E420" s="26">
        <f>SUMIFS(INDEX(元データ_加工!$C$2:$P$700,0,MATCH($B420,元データ_加工!$C$1:$P$1,0)),元データ_加工!$A$2:$A$700,$A420,元データ_加工!$B$2:$B$700,E$5)</f>
        <v>0</v>
      </c>
      <c r="F420" s="26">
        <f>SUMIFS(INDEX(元データ_加工!$C$2:$P$700,0,MATCH($B420,元データ_加工!$C$1:$P$1,0)),元データ_加工!$A$2:$A$700,$A420,元データ_加工!$B$2:$B$700,F$5)</f>
        <v>0</v>
      </c>
      <c r="G420" s="26">
        <f>SUMIFS(INDEX(元データ_加工!$C$2:$P$700,0,MATCH($B420,元データ_加工!$C$1:$P$1,0)),元データ_加工!$A$2:$A$700,$A420,元データ_加工!$B$2:$B$700,G$5)</f>
        <v>0</v>
      </c>
      <c r="H420" s="26">
        <f>SUMIFS(INDEX(元データ_加工!$C$2:$P$700,0,MATCH($B420,元データ_加工!$C$1:$P$1,0)),元データ_加工!$A$2:$A$700,$A420,元データ_加工!$B$2:$B$700,H$5)</f>
        <v>0</v>
      </c>
      <c r="I420" s="26">
        <f>SUMIFS(INDEX(元データ_加工!$C$2:$P$700,0,MATCH($B420,元データ_加工!$C$1:$P$1,0)),元データ_加工!$A$2:$A$700,$A420,元データ_加工!$B$2:$B$700,I$5)</f>
        <v>0</v>
      </c>
      <c r="J420" s="26">
        <f>SUMIFS(INDEX(元データ_加工!$C$2:$P$700,0,MATCH($B420,元データ_加工!$C$1:$P$1,0)),元データ_加工!$A$2:$A$700,$A420,元データ_加工!$B$2:$B$700,J$5)</f>
        <v>0</v>
      </c>
      <c r="K420" s="26">
        <f>SUMIFS(INDEX(元データ_加工!$C$2:$P$700,0,MATCH($B420,元データ_加工!$C$1:$P$1,0)),元データ_加工!$A$2:$A$700,$A420,元データ_加工!$B$2:$B$700,K$5)</f>
        <v>0</v>
      </c>
      <c r="L420" s="26">
        <f>SUMIFS(INDEX(元データ_加工!$C$2:$P$700,0,MATCH($B420,元データ_加工!$C$1:$P$1,0)),元データ_加工!$A$2:$A$700,$A420,元データ_加工!$B$2:$B$700,L$5)</f>
        <v>0</v>
      </c>
      <c r="M420" s="26">
        <f>SUMIFS(INDEX(元データ_加工!$C$2:$P$700,0,MATCH($B420,元データ_加工!$C$1:$P$1,0)),元データ_加工!$A$2:$A$700,$A420,元データ_加工!$B$2:$B$700,M$5)</f>
        <v>0</v>
      </c>
      <c r="N420" s="26">
        <f>SUMIFS(INDEX(元データ_加工!$C$2:$P$700,0,MATCH($B420,元データ_加工!$C$1:$P$1,0)),元データ_加工!$A$2:$A$700,$A420,元データ_加工!$B$2:$B$700,N$5)</f>
        <v>0</v>
      </c>
      <c r="O420" s="26">
        <f t="shared" si="6"/>
        <v>0</v>
      </c>
      <c r="P420" s="7">
        <f>IFERROR(O420/SUMIFS(元データ_加工!$C$2:$C$700,元データ_加工!$A$2:$A$700,$A420),"")</f>
        <v>0</v>
      </c>
    </row>
    <row r="421" spans="1:16" x14ac:dyDescent="0.45">
      <c r="A421" t="s">
        <v>64</v>
      </c>
      <c r="B421" t="s">
        <v>109</v>
      </c>
      <c r="C421" s="26">
        <f>SUMIFS(INDEX(元データ_加工!$C$2:$P$700,0,MATCH($B421,元データ_加工!$C$1:$P$1,0)),元データ_加工!$A$2:$A$700,$A421,元データ_加工!$B$2:$B$700,C$5)</f>
        <v>0</v>
      </c>
      <c r="D421" s="26">
        <f>SUMIFS(INDEX(元データ_加工!$C$2:$P$700,0,MATCH($B421,元データ_加工!$C$1:$P$1,0)),元データ_加工!$A$2:$A$700,$A421,元データ_加工!$B$2:$B$700,D$5)</f>
        <v>1</v>
      </c>
      <c r="E421" s="26">
        <f>SUMIFS(INDEX(元データ_加工!$C$2:$P$700,0,MATCH($B421,元データ_加工!$C$1:$P$1,0)),元データ_加工!$A$2:$A$700,$A421,元データ_加工!$B$2:$B$700,E$5)</f>
        <v>0</v>
      </c>
      <c r="F421" s="26">
        <f>SUMIFS(INDEX(元データ_加工!$C$2:$P$700,0,MATCH($B421,元データ_加工!$C$1:$P$1,0)),元データ_加工!$A$2:$A$700,$A421,元データ_加工!$B$2:$B$700,F$5)</f>
        <v>0</v>
      </c>
      <c r="G421" s="26">
        <f>SUMIFS(INDEX(元データ_加工!$C$2:$P$700,0,MATCH($B421,元データ_加工!$C$1:$P$1,0)),元データ_加工!$A$2:$A$700,$A421,元データ_加工!$B$2:$B$700,G$5)</f>
        <v>0</v>
      </c>
      <c r="H421" s="26">
        <f>SUMIFS(INDEX(元データ_加工!$C$2:$P$700,0,MATCH($B421,元データ_加工!$C$1:$P$1,0)),元データ_加工!$A$2:$A$700,$A421,元データ_加工!$B$2:$B$700,H$5)</f>
        <v>4</v>
      </c>
      <c r="I421" s="26">
        <f>SUMIFS(INDEX(元データ_加工!$C$2:$P$700,0,MATCH($B421,元データ_加工!$C$1:$P$1,0)),元データ_加工!$A$2:$A$700,$A421,元データ_加工!$B$2:$B$700,I$5)</f>
        <v>0</v>
      </c>
      <c r="J421" s="26">
        <f>SUMIFS(INDEX(元データ_加工!$C$2:$P$700,0,MATCH($B421,元データ_加工!$C$1:$P$1,0)),元データ_加工!$A$2:$A$700,$A421,元データ_加工!$B$2:$B$700,J$5)</f>
        <v>0</v>
      </c>
      <c r="K421" s="26">
        <f>SUMIFS(INDEX(元データ_加工!$C$2:$P$700,0,MATCH($B421,元データ_加工!$C$1:$P$1,0)),元データ_加工!$A$2:$A$700,$A421,元データ_加工!$B$2:$B$700,K$5)</f>
        <v>1</v>
      </c>
      <c r="L421" s="26">
        <f>SUMIFS(INDEX(元データ_加工!$C$2:$P$700,0,MATCH($B421,元データ_加工!$C$1:$P$1,0)),元データ_加工!$A$2:$A$700,$A421,元データ_加工!$B$2:$B$700,L$5)</f>
        <v>0</v>
      </c>
      <c r="M421" s="26">
        <f>SUMIFS(INDEX(元データ_加工!$C$2:$P$700,0,MATCH($B421,元データ_加工!$C$1:$P$1,0)),元データ_加工!$A$2:$A$700,$A421,元データ_加工!$B$2:$B$700,M$5)</f>
        <v>0</v>
      </c>
      <c r="N421" s="26">
        <f>SUMIFS(INDEX(元データ_加工!$C$2:$P$700,0,MATCH($B421,元データ_加工!$C$1:$P$1,0)),元データ_加工!$A$2:$A$700,$A421,元データ_加工!$B$2:$B$700,N$5)</f>
        <v>0</v>
      </c>
      <c r="O421" s="26">
        <f t="shared" si="6"/>
        <v>6</v>
      </c>
      <c r="P421" s="7">
        <f>IFERROR(O421/SUMIFS(元データ_加工!$C$2:$C$700,元データ_加工!$A$2:$A$700,$A421),"")</f>
        <v>1.7688679245283019E-3</v>
      </c>
    </row>
    <row r="422" spans="1:16" x14ac:dyDescent="0.45">
      <c r="A422" t="s">
        <v>64</v>
      </c>
      <c r="B422" t="s">
        <v>110</v>
      </c>
      <c r="C422" s="26">
        <f>SUMIFS(INDEX(元データ_加工!$C$2:$P$700,0,MATCH($B422,元データ_加工!$C$1:$P$1,0)),元データ_加工!$A$2:$A$700,$A422,元データ_加工!$B$2:$B$700,C$5)</f>
        <v>0</v>
      </c>
      <c r="D422" s="26">
        <f>SUMIFS(INDEX(元データ_加工!$C$2:$P$700,0,MATCH($B422,元データ_加工!$C$1:$P$1,0)),元データ_加工!$A$2:$A$700,$A422,元データ_加工!$B$2:$B$700,D$5)</f>
        <v>0</v>
      </c>
      <c r="E422" s="26">
        <f>SUMIFS(INDEX(元データ_加工!$C$2:$P$700,0,MATCH($B422,元データ_加工!$C$1:$P$1,0)),元データ_加工!$A$2:$A$700,$A422,元データ_加工!$B$2:$B$700,E$5)</f>
        <v>0</v>
      </c>
      <c r="F422" s="26">
        <f>SUMIFS(INDEX(元データ_加工!$C$2:$P$700,0,MATCH($B422,元データ_加工!$C$1:$P$1,0)),元データ_加工!$A$2:$A$700,$A422,元データ_加工!$B$2:$B$700,F$5)</f>
        <v>0</v>
      </c>
      <c r="G422" s="26">
        <f>SUMIFS(INDEX(元データ_加工!$C$2:$P$700,0,MATCH($B422,元データ_加工!$C$1:$P$1,0)),元データ_加工!$A$2:$A$700,$A422,元データ_加工!$B$2:$B$700,G$5)</f>
        <v>0</v>
      </c>
      <c r="H422" s="26">
        <f>SUMIFS(INDEX(元データ_加工!$C$2:$P$700,0,MATCH($B422,元データ_加工!$C$1:$P$1,0)),元データ_加工!$A$2:$A$700,$A422,元データ_加工!$B$2:$B$700,H$5)</f>
        <v>0</v>
      </c>
      <c r="I422" s="26">
        <f>SUMIFS(INDEX(元データ_加工!$C$2:$P$700,0,MATCH($B422,元データ_加工!$C$1:$P$1,0)),元データ_加工!$A$2:$A$700,$A422,元データ_加工!$B$2:$B$700,I$5)</f>
        <v>0</v>
      </c>
      <c r="J422" s="26">
        <f>SUMIFS(INDEX(元データ_加工!$C$2:$P$700,0,MATCH($B422,元データ_加工!$C$1:$P$1,0)),元データ_加工!$A$2:$A$700,$A422,元データ_加工!$B$2:$B$700,J$5)</f>
        <v>0</v>
      </c>
      <c r="K422" s="26">
        <f>SUMIFS(INDEX(元データ_加工!$C$2:$P$700,0,MATCH($B422,元データ_加工!$C$1:$P$1,0)),元データ_加工!$A$2:$A$700,$A422,元データ_加工!$B$2:$B$700,K$5)</f>
        <v>0</v>
      </c>
      <c r="L422" s="26">
        <f>SUMIFS(INDEX(元データ_加工!$C$2:$P$700,0,MATCH($B422,元データ_加工!$C$1:$P$1,0)),元データ_加工!$A$2:$A$700,$A422,元データ_加工!$B$2:$B$700,L$5)</f>
        <v>0</v>
      </c>
      <c r="M422" s="26">
        <f>SUMIFS(INDEX(元データ_加工!$C$2:$P$700,0,MATCH($B422,元データ_加工!$C$1:$P$1,0)),元データ_加工!$A$2:$A$700,$A422,元データ_加工!$B$2:$B$700,M$5)</f>
        <v>0</v>
      </c>
      <c r="N422" s="26">
        <f>SUMIFS(INDEX(元データ_加工!$C$2:$P$700,0,MATCH($B422,元データ_加工!$C$1:$P$1,0)),元データ_加工!$A$2:$A$700,$A422,元データ_加工!$B$2:$B$700,N$5)</f>
        <v>0</v>
      </c>
      <c r="O422" s="26">
        <f t="shared" si="6"/>
        <v>0</v>
      </c>
      <c r="P422" s="7">
        <f>IFERROR(O422/SUMIFS(元データ_加工!$C$2:$C$700,元データ_加工!$A$2:$A$700,$A422),"")</f>
        <v>0</v>
      </c>
    </row>
    <row r="423" spans="1:16" x14ac:dyDescent="0.45">
      <c r="A423" t="s">
        <v>64</v>
      </c>
      <c r="B423" t="s">
        <v>111</v>
      </c>
      <c r="C423" s="26">
        <f>SUMIFS(INDEX(元データ_加工!$C$2:$P$700,0,MATCH($B423,元データ_加工!$C$1:$P$1,0)),元データ_加工!$A$2:$A$700,$A423,元データ_加工!$B$2:$B$700,C$5)</f>
        <v>0</v>
      </c>
      <c r="D423" s="26">
        <f>SUMIFS(INDEX(元データ_加工!$C$2:$P$700,0,MATCH($B423,元データ_加工!$C$1:$P$1,0)),元データ_加工!$A$2:$A$700,$A423,元データ_加工!$B$2:$B$700,D$5)</f>
        <v>0</v>
      </c>
      <c r="E423" s="26">
        <f>SUMIFS(INDEX(元データ_加工!$C$2:$P$700,0,MATCH($B423,元データ_加工!$C$1:$P$1,0)),元データ_加工!$A$2:$A$700,$A423,元データ_加工!$B$2:$B$700,E$5)</f>
        <v>0</v>
      </c>
      <c r="F423" s="26">
        <f>SUMIFS(INDEX(元データ_加工!$C$2:$P$700,0,MATCH($B423,元データ_加工!$C$1:$P$1,0)),元データ_加工!$A$2:$A$700,$A423,元データ_加工!$B$2:$B$700,F$5)</f>
        <v>0</v>
      </c>
      <c r="G423" s="26">
        <f>SUMIFS(INDEX(元データ_加工!$C$2:$P$700,0,MATCH($B423,元データ_加工!$C$1:$P$1,0)),元データ_加工!$A$2:$A$700,$A423,元データ_加工!$B$2:$B$700,G$5)</f>
        <v>0</v>
      </c>
      <c r="H423" s="26">
        <f>SUMIFS(INDEX(元データ_加工!$C$2:$P$700,0,MATCH($B423,元データ_加工!$C$1:$P$1,0)),元データ_加工!$A$2:$A$700,$A423,元データ_加工!$B$2:$B$700,H$5)</f>
        <v>0</v>
      </c>
      <c r="I423" s="26">
        <f>SUMIFS(INDEX(元データ_加工!$C$2:$P$700,0,MATCH($B423,元データ_加工!$C$1:$P$1,0)),元データ_加工!$A$2:$A$700,$A423,元データ_加工!$B$2:$B$700,I$5)</f>
        <v>0</v>
      </c>
      <c r="J423" s="26">
        <f>SUMIFS(INDEX(元データ_加工!$C$2:$P$700,0,MATCH($B423,元データ_加工!$C$1:$P$1,0)),元データ_加工!$A$2:$A$700,$A423,元データ_加工!$B$2:$B$700,J$5)</f>
        <v>0</v>
      </c>
      <c r="K423" s="26">
        <f>SUMIFS(INDEX(元データ_加工!$C$2:$P$700,0,MATCH($B423,元データ_加工!$C$1:$P$1,0)),元データ_加工!$A$2:$A$700,$A423,元データ_加工!$B$2:$B$700,K$5)</f>
        <v>0</v>
      </c>
      <c r="L423" s="26">
        <f>SUMIFS(INDEX(元データ_加工!$C$2:$P$700,0,MATCH($B423,元データ_加工!$C$1:$P$1,0)),元データ_加工!$A$2:$A$700,$A423,元データ_加工!$B$2:$B$700,L$5)</f>
        <v>0</v>
      </c>
      <c r="M423" s="26">
        <f>SUMIFS(INDEX(元データ_加工!$C$2:$P$700,0,MATCH($B423,元データ_加工!$C$1:$P$1,0)),元データ_加工!$A$2:$A$700,$A423,元データ_加工!$B$2:$B$700,M$5)</f>
        <v>0</v>
      </c>
      <c r="N423" s="26">
        <f>SUMIFS(INDEX(元データ_加工!$C$2:$P$700,0,MATCH($B423,元データ_加工!$C$1:$P$1,0)),元データ_加工!$A$2:$A$700,$A423,元データ_加工!$B$2:$B$700,N$5)</f>
        <v>0</v>
      </c>
      <c r="O423" s="26">
        <f t="shared" si="6"/>
        <v>0</v>
      </c>
      <c r="P423" s="7">
        <f>IFERROR(O423/SUMIFS(元データ_加工!$C$2:$C$700,元データ_加工!$A$2:$A$700,$A423),"")</f>
        <v>0</v>
      </c>
    </row>
    <row r="424" spans="1:16" x14ac:dyDescent="0.45">
      <c r="A424" t="s">
        <v>64</v>
      </c>
      <c r="B424" t="s">
        <v>112</v>
      </c>
      <c r="C424" s="26">
        <f>SUMIFS(INDEX(元データ_加工!$C$2:$P$700,0,MATCH($B424,元データ_加工!$C$1:$P$1,0)),元データ_加工!$A$2:$A$700,$A424,元データ_加工!$B$2:$B$700,C$5)</f>
        <v>0</v>
      </c>
      <c r="D424" s="26">
        <f>SUMIFS(INDEX(元データ_加工!$C$2:$P$700,0,MATCH($B424,元データ_加工!$C$1:$P$1,0)),元データ_加工!$A$2:$A$700,$A424,元データ_加工!$B$2:$B$700,D$5)</f>
        <v>0</v>
      </c>
      <c r="E424" s="26">
        <f>SUMIFS(INDEX(元データ_加工!$C$2:$P$700,0,MATCH($B424,元データ_加工!$C$1:$P$1,0)),元データ_加工!$A$2:$A$700,$A424,元データ_加工!$B$2:$B$700,E$5)</f>
        <v>0</v>
      </c>
      <c r="F424" s="26">
        <f>SUMIFS(INDEX(元データ_加工!$C$2:$P$700,0,MATCH($B424,元データ_加工!$C$1:$P$1,0)),元データ_加工!$A$2:$A$700,$A424,元データ_加工!$B$2:$B$700,F$5)</f>
        <v>0</v>
      </c>
      <c r="G424" s="26">
        <f>SUMIFS(INDEX(元データ_加工!$C$2:$P$700,0,MATCH($B424,元データ_加工!$C$1:$P$1,0)),元データ_加工!$A$2:$A$700,$A424,元データ_加工!$B$2:$B$700,G$5)</f>
        <v>0</v>
      </c>
      <c r="H424" s="26">
        <f>SUMIFS(INDEX(元データ_加工!$C$2:$P$700,0,MATCH($B424,元データ_加工!$C$1:$P$1,0)),元データ_加工!$A$2:$A$700,$A424,元データ_加工!$B$2:$B$700,H$5)</f>
        <v>0</v>
      </c>
      <c r="I424" s="26">
        <f>SUMIFS(INDEX(元データ_加工!$C$2:$P$700,0,MATCH($B424,元データ_加工!$C$1:$P$1,0)),元データ_加工!$A$2:$A$700,$A424,元データ_加工!$B$2:$B$700,I$5)</f>
        <v>0</v>
      </c>
      <c r="J424" s="26">
        <f>SUMIFS(INDEX(元データ_加工!$C$2:$P$700,0,MATCH($B424,元データ_加工!$C$1:$P$1,0)),元データ_加工!$A$2:$A$700,$A424,元データ_加工!$B$2:$B$700,J$5)</f>
        <v>0</v>
      </c>
      <c r="K424" s="26">
        <f>SUMIFS(INDEX(元データ_加工!$C$2:$P$700,0,MATCH($B424,元データ_加工!$C$1:$P$1,0)),元データ_加工!$A$2:$A$700,$A424,元データ_加工!$B$2:$B$700,K$5)</f>
        <v>0</v>
      </c>
      <c r="L424" s="26">
        <f>SUMIFS(INDEX(元データ_加工!$C$2:$P$700,0,MATCH($B424,元データ_加工!$C$1:$P$1,0)),元データ_加工!$A$2:$A$700,$A424,元データ_加工!$B$2:$B$700,L$5)</f>
        <v>0</v>
      </c>
      <c r="M424" s="26">
        <f>SUMIFS(INDEX(元データ_加工!$C$2:$P$700,0,MATCH($B424,元データ_加工!$C$1:$P$1,0)),元データ_加工!$A$2:$A$700,$A424,元データ_加工!$B$2:$B$700,M$5)</f>
        <v>0</v>
      </c>
      <c r="N424" s="26">
        <f>SUMIFS(INDEX(元データ_加工!$C$2:$P$700,0,MATCH($B424,元データ_加工!$C$1:$P$1,0)),元データ_加工!$A$2:$A$700,$A424,元データ_加工!$B$2:$B$700,N$5)</f>
        <v>0</v>
      </c>
      <c r="O424" s="26">
        <f t="shared" si="6"/>
        <v>0</v>
      </c>
      <c r="P424" s="7">
        <f>IFERROR(O424/SUMIFS(元データ_加工!$C$2:$C$700,元データ_加工!$A$2:$A$700,$A424),"")</f>
        <v>0</v>
      </c>
    </row>
    <row r="425" spans="1:16" x14ac:dyDescent="0.45">
      <c r="A425" t="s">
        <v>64</v>
      </c>
      <c r="B425" t="s">
        <v>113</v>
      </c>
      <c r="C425" s="26">
        <f>SUMIFS(INDEX(元データ_加工!$C$2:$P$700,0,MATCH($B425,元データ_加工!$C$1:$P$1,0)),元データ_加工!$A$2:$A$700,$A425,元データ_加工!$B$2:$B$700,C$5)</f>
        <v>0</v>
      </c>
      <c r="D425" s="26">
        <f>SUMIFS(INDEX(元データ_加工!$C$2:$P$700,0,MATCH($B425,元データ_加工!$C$1:$P$1,0)),元データ_加工!$A$2:$A$700,$A425,元データ_加工!$B$2:$B$700,D$5)</f>
        <v>5</v>
      </c>
      <c r="E425" s="26">
        <f>SUMIFS(INDEX(元データ_加工!$C$2:$P$700,0,MATCH($B425,元データ_加工!$C$1:$P$1,0)),元データ_加工!$A$2:$A$700,$A425,元データ_加工!$B$2:$B$700,E$5)</f>
        <v>1</v>
      </c>
      <c r="F425" s="26">
        <f>SUMIFS(INDEX(元データ_加工!$C$2:$P$700,0,MATCH($B425,元データ_加工!$C$1:$P$1,0)),元データ_加工!$A$2:$A$700,$A425,元データ_加工!$B$2:$B$700,F$5)</f>
        <v>0</v>
      </c>
      <c r="G425" s="26">
        <f>SUMIFS(INDEX(元データ_加工!$C$2:$P$700,0,MATCH($B425,元データ_加工!$C$1:$P$1,0)),元データ_加工!$A$2:$A$700,$A425,元データ_加工!$B$2:$B$700,G$5)</f>
        <v>0</v>
      </c>
      <c r="H425" s="26">
        <f>SUMIFS(INDEX(元データ_加工!$C$2:$P$700,0,MATCH($B425,元データ_加工!$C$1:$P$1,0)),元データ_加工!$A$2:$A$700,$A425,元データ_加工!$B$2:$B$700,H$5)</f>
        <v>0</v>
      </c>
      <c r="I425" s="26">
        <f>SUMIFS(INDEX(元データ_加工!$C$2:$P$700,0,MATCH($B425,元データ_加工!$C$1:$P$1,0)),元データ_加工!$A$2:$A$700,$A425,元データ_加工!$B$2:$B$700,I$5)</f>
        <v>0</v>
      </c>
      <c r="J425" s="26">
        <f>SUMIFS(INDEX(元データ_加工!$C$2:$P$700,0,MATCH($B425,元データ_加工!$C$1:$P$1,0)),元データ_加工!$A$2:$A$700,$A425,元データ_加工!$B$2:$B$700,J$5)</f>
        <v>0</v>
      </c>
      <c r="K425" s="26">
        <f>SUMIFS(INDEX(元データ_加工!$C$2:$P$700,0,MATCH($B425,元データ_加工!$C$1:$P$1,0)),元データ_加工!$A$2:$A$700,$A425,元データ_加工!$B$2:$B$700,K$5)</f>
        <v>0</v>
      </c>
      <c r="L425" s="26">
        <f>SUMIFS(INDEX(元データ_加工!$C$2:$P$700,0,MATCH($B425,元データ_加工!$C$1:$P$1,0)),元データ_加工!$A$2:$A$700,$A425,元データ_加工!$B$2:$B$700,L$5)</f>
        <v>0</v>
      </c>
      <c r="M425" s="26">
        <f>SUMIFS(INDEX(元データ_加工!$C$2:$P$700,0,MATCH($B425,元データ_加工!$C$1:$P$1,0)),元データ_加工!$A$2:$A$700,$A425,元データ_加工!$B$2:$B$700,M$5)</f>
        <v>0</v>
      </c>
      <c r="N425" s="26">
        <f>SUMIFS(INDEX(元データ_加工!$C$2:$P$700,0,MATCH($B425,元データ_加工!$C$1:$P$1,0)),元データ_加工!$A$2:$A$700,$A425,元データ_加工!$B$2:$B$700,N$5)</f>
        <v>0</v>
      </c>
      <c r="O425" s="26">
        <f t="shared" si="6"/>
        <v>6</v>
      </c>
      <c r="P425" s="7">
        <f>IFERROR(O425/SUMIFS(元データ_加工!$C$2:$C$700,元データ_加工!$A$2:$A$700,$A425),"")</f>
        <v>1.7688679245283019E-3</v>
      </c>
    </row>
    <row r="426" spans="1:16" x14ac:dyDescent="0.45">
      <c r="A426" t="s">
        <v>65</v>
      </c>
      <c r="B426" t="s">
        <v>100</v>
      </c>
      <c r="C426" s="26">
        <f>SUMIFS(INDEX(元データ_加工!$C$2:$P$700,0,MATCH($B426,元データ_加工!$C$1:$P$1,0)),元データ_加工!$A$2:$A$700,$A426,元データ_加工!$B$2:$B$700,C$5)</f>
        <v>2123</v>
      </c>
      <c r="D426" s="26">
        <f>SUMIFS(INDEX(元データ_加工!$C$2:$P$700,0,MATCH($B426,元データ_加工!$C$1:$P$1,0)),元データ_加工!$A$2:$A$700,$A426,元データ_加工!$B$2:$B$700,D$5)</f>
        <v>1971</v>
      </c>
      <c r="E426" s="26">
        <f>SUMIFS(INDEX(元データ_加工!$C$2:$P$700,0,MATCH($B426,元データ_加工!$C$1:$P$1,0)),元データ_加工!$A$2:$A$700,$A426,元データ_加工!$B$2:$B$700,E$5)</f>
        <v>3280</v>
      </c>
      <c r="F426" s="26">
        <f>SUMIFS(INDEX(元データ_加工!$C$2:$P$700,0,MATCH($B426,元データ_加工!$C$1:$P$1,0)),元データ_加工!$A$2:$A$700,$A426,元データ_加工!$B$2:$B$700,F$5)</f>
        <v>2973</v>
      </c>
      <c r="G426" s="26">
        <f>SUMIFS(INDEX(元データ_加工!$C$2:$P$700,0,MATCH($B426,元データ_加工!$C$1:$P$1,0)),元データ_加工!$A$2:$A$700,$A426,元データ_加工!$B$2:$B$700,G$5)</f>
        <v>3196</v>
      </c>
      <c r="H426" s="26">
        <f>SUMIFS(INDEX(元データ_加工!$C$2:$P$700,0,MATCH($B426,元データ_加工!$C$1:$P$1,0)),元データ_加工!$A$2:$A$700,$A426,元データ_加工!$B$2:$B$700,H$5)</f>
        <v>2165</v>
      </c>
      <c r="I426" s="26">
        <f>SUMIFS(INDEX(元データ_加工!$C$2:$P$700,0,MATCH($B426,元データ_加工!$C$1:$P$1,0)),元データ_加工!$A$2:$A$700,$A426,元データ_加工!$B$2:$B$700,I$5)</f>
        <v>1831</v>
      </c>
      <c r="J426" s="26">
        <f>SUMIFS(INDEX(元データ_加工!$C$2:$P$700,0,MATCH($B426,元データ_加工!$C$1:$P$1,0)),元データ_加工!$A$2:$A$700,$A426,元データ_加工!$B$2:$B$700,J$5)</f>
        <v>3733</v>
      </c>
      <c r="K426" s="26">
        <f>SUMIFS(INDEX(元データ_加工!$C$2:$P$700,0,MATCH($B426,元データ_加工!$C$1:$P$1,0)),元データ_加工!$A$2:$A$700,$A426,元データ_加工!$B$2:$B$700,K$5)</f>
        <v>5584</v>
      </c>
      <c r="L426" s="26">
        <f>SUMIFS(INDEX(元データ_加工!$C$2:$P$700,0,MATCH($B426,元データ_加工!$C$1:$P$1,0)),元データ_加工!$A$2:$A$700,$A426,元データ_加工!$B$2:$B$700,L$5)</f>
        <v>3688</v>
      </c>
      <c r="M426" s="26">
        <f>SUMIFS(INDEX(元データ_加工!$C$2:$P$700,0,MATCH($B426,元データ_加工!$C$1:$P$1,0)),元データ_加工!$A$2:$A$700,$A426,元データ_加工!$B$2:$B$700,M$5)</f>
        <v>3514</v>
      </c>
      <c r="N426" s="26">
        <f>SUMIFS(INDEX(元データ_加工!$C$2:$P$700,0,MATCH($B426,元データ_加工!$C$1:$P$1,0)),元データ_加工!$A$2:$A$700,$A426,元データ_加工!$B$2:$B$700,N$5)</f>
        <v>2812</v>
      </c>
      <c r="O426" s="26">
        <f t="shared" si="6"/>
        <v>36870</v>
      </c>
      <c r="P426" s="7">
        <f>IFERROR(O426/SUMIFS(元データ_加工!$C$2:$C$700,元データ_加工!$A$2:$A$700,$A426),"")</f>
        <v>1</v>
      </c>
    </row>
    <row r="427" spans="1:16" x14ac:dyDescent="0.45">
      <c r="A427" t="s">
        <v>65</v>
      </c>
      <c r="B427" t="s">
        <v>101</v>
      </c>
      <c r="C427" s="26">
        <f>SUMIFS(INDEX(元データ_加工!$C$2:$P$700,0,MATCH($B427,元データ_加工!$C$1:$P$1,0)),元データ_加工!$A$2:$A$700,$A427,元データ_加工!$B$2:$B$700,C$5)</f>
        <v>1322</v>
      </c>
      <c r="D427" s="26">
        <f>SUMIFS(INDEX(元データ_加工!$C$2:$P$700,0,MATCH($B427,元データ_加工!$C$1:$P$1,0)),元データ_加工!$A$2:$A$700,$A427,元データ_加工!$B$2:$B$700,D$5)</f>
        <v>1513</v>
      </c>
      <c r="E427" s="26">
        <f>SUMIFS(INDEX(元データ_加工!$C$2:$P$700,0,MATCH($B427,元データ_加工!$C$1:$P$1,0)),元データ_加工!$A$2:$A$700,$A427,元データ_加工!$B$2:$B$700,E$5)</f>
        <v>1886</v>
      </c>
      <c r="F427" s="26">
        <f>SUMIFS(INDEX(元データ_加工!$C$2:$P$700,0,MATCH($B427,元データ_加工!$C$1:$P$1,0)),元データ_加工!$A$2:$A$700,$A427,元データ_加工!$B$2:$B$700,F$5)</f>
        <v>1633</v>
      </c>
      <c r="G427" s="26">
        <f>SUMIFS(INDEX(元データ_加工!$C$2:$P$700,0,MATCH($B427,元データ_加工!$C$1:$P$1,0)),元データ_加工!$A$2:$A$700,$A427,元データ_加工!$B$2:$B$700,G$5)</f>
        <v>1746</v>
      </c>
      <c r="H427" s="26">
        <f>SUMIFS(INDEX(元データ_加工!$C$2:$P$700,0,MATCH($B427,元データ_加工!$C$1:$P$1,0)),元データ_加工!$A$2:$A$700,$A427,元データ_加工!$B$2:$B$700,H$5)</f>
        <v>1266</v>
      </c>
      <c r="I427" s="26">
        <f>SUMIFS(INDEX(元データ_加工!$C$2:$P$700,0,MATCH($B427,元データ_加工!$C$1:$P$1,0)),元データ_加工!$A$2:$A$700,$A427,元データ_加工!$B$2:$B$700,I$5)</f>
        <v>1363</v>
      </c>
      <c r="J427" s="26">
        <f>SUMIFS(INDEX(元データ_加工!$C$2:$P$700,0,MATCH($B427,元データ_加工!$C$1:$P$1,0)),元データ_加工!$A$2:$A$700,$A427,元データ_加工!$B$2:$B$700,J$5)</f>
        <v>1681</v>
      </c>
      <c r="K427" s="26">
        <f>SUMIFS(INDEX(元データ_加工!$C$2:$P$700,0,MATCH($B427,元データ_加工!$C$1:$P$1,0)),元データ_加工!$A$2:$A$700,$A427,元データ_加工!$B$2:$B$700,K$5)</f>
        <v>1646</v>
      </c>
      <c r="L427" s="26">
        <f>SUMIFS(INDEX(元データ_加工!$C$2:$P$700,0,MATCH($B427,元データ_加工!$C$1:$P$1,0)),元データ_加工!$A$2:$A$700,$A427,元データ_加工!$B$2:$B$700,L$5)</f>
        <v>1449</v>
      </c>
      <c r="M427" s="26">
        <f>SUMIFS(INDEX(元データ_加工!$C$2:$P$700,0,MATCH($B427,元データ_加工!$C$1:$P$1,0)),元データ_加工!$A$2:$A$700,$A427,元データ_加工!$B$2:$B$700,M$5)</f>
        <v>1638</v>
      </c>
      <c r="N427" s="26">
        <f>SUMIFS(INDEX(元データ_加工!$C$2:$P$700,0,MATCH($B427,元データ_加工!$C$1:$P$1,0)),元データ_加工!$A$2:$A$700,$A427,元データ_加工!$B$2:$B$700,N$5)</f>
        <v>1388</v>
      </c>
      <c r="O427" s="26">
        <f t="shared" si="6"/>
        <v>18531</v>
      </c>
      <c r="P427" s="7">
        <f>IFERROR(O427/SUMIFS(元データ_加工!$C$2:$C$700,元データ_加工!$A$2:$A$700,$A427),"")</f>
        <v>0.50260374288039056</v>
      </c>
    </row>
    <row r="428" spans="1:16" x14ac:dyDescent="0.45">
      <c r="A428" t="s">
        <v>65</v>
      </c>
      <c r="B428" t="s">
        <v>102</v>
      </c>
      <c r="C428" s="26">
        <f>SUMIFS(INDEX(元データ_加工!$C$2:$P$700,0,MATCH($B428,元データ_加工!$C$1:$P$1,0)),元データ_加工!$A$2:$A$700,$A428,元データ_加工!$B$2:$B$700,C$5)</f>
        <v>0</v>
      </c>
      <c r="D428" s="26">
        <f>SUMIFS(INDEX(元データ_加工!$C$2:$P$700,0,MATCH($B428,元データ_加工!$C$1:$P$1,0)),元データ_加工!$A$2:$A$700,$A428,元データ_加工!$B$2:$B$700,D$5)</f>
        <v>0</v>
      </c>
      <c r="E428" s="26">
        <f>SUMIFS(INDEX(元データ_加工!$C$2:$P$700,0,MATCH($B428,元データ_加工!$C$1:$P$1,0)),元データ_加工!$A$2:$A$700,$A428,元データ_加工!$B$2:$B$700,E$5)</f>
        <v>0</v>
      </c>
      <c r="F428" s="26">
        <f>SUMIFS(INDEX(元データ_加工!$C$2:$P$700,0,MATCH($B428,元データ_加工!$C$1:$P$1,0)),元データ_加工!$A$2:$A$700,$A428,元データ_加工!$B$2:$B$700,F$5)</f>
        <v>0</v>
      </c>
      <c r="G428" s="26">
        <f>SUMIFS(INDEX(元データ_加工!$C$2:$P$700,0,MATCH($B428,元データ_加工!$C$1:$P$1,0)),元データ_加工!$A$2:$A$700,$A428,元データ_加工!$B$2:$B$700,G$5)</f>
        <v>0</v>
      </c>
      <c r="H428" s="26">
        <f>SUMIFS(INDEX(元データ_加工!$C$2:$P$700,0,MATCH($B428,元データ_加工!$C$1:$P$1,0)),元データ_加工!$A$2:$A$700,$A428,元データ_加工!$B$2:$B$700,H$5)</f>
        <v>0</v>
      </c>
      <c r="I428" s="26">
        <f>SUMIFS(INDEX(元データ_加工!$C$2:$P$700,0,MATCH($B428,元データ_加工!$C$1:$P$1,0)),元データ_加工!$A$2:$A$700,$A428,元データ_加工!$B$2:$B$700,I$5)</f>
        <v>0</v>
      </c>
      <c r="J428" s="26">
        <f>SUMIFS(INDEX(元データ_加工!$C$2:$P$700,0,MATCH($B428,元データ_加工!$C$1:$P$1,0)),元データ_加工!$A$2:$A$700,$A428,元データ_加工!$B$2:$B$700,J$5)</f>
        <v>5</v>
      </c>
      <c r="K428" s="26">
        <f>SUMIFS(INDEX(元データ_加工!$C$2:$P$700,0,MATCH($B428,元データ_加工!$C$1:$P$1,0)),元データ_加工!$A$2:$A$700,$A428,元データ_加工!$B$2:$B$700,K$5)</f>
        <v>0</v>
      </c>
      <c r="L428" s="26">
        <f>SUMIFS(INDEX(元データ_加工!$C$2:$P$700,0,MATCH($B428,元データ_加工!$C$1:$P$1,0)),元データ_加工!$A$2:$A$700,$A428,元データ_加工!$B$2:$B$700,L$5)</f>
        <v>0</v>
      </c>
      <c r="M428" s="26">
        <f>SUMIFS(INDEX(元データ_加工!$C$2:$P$700,0,MATCH($B428,元データ_加工!$C$1:$P$1,0)),元データ_加工!$A$2:$A$700,$A428,元データ_加工!$B$2:$B$700,M$5)</f>
        <v>0</v>
      </c>
      <c r="N428" s="26">
        <f>SUMIFS(INDEX(元データ_加工!$C$2:$P$700,0,MATCH($B428,元データ_加工!$C$1:$P$1,0)),元データ_加工!$A$2:$A$700,$A428,元データ_加工!$B$2:$B$700,N$5)</f>
        <v>0</v>
      </c>
      <c r="O428" s="26">
        <f t="shared" si="6"/>
        <v>5</v>
      </c>
      <c r="P428" s="7">
        <f>IFERROR(O428/SUMIFS(元データ_加工!$C$2:$C$700,元データ_加工!$A$2:$A$700,$A428),"")</f>
        <v>1.3561160835367508E-4</v>
      </c>
    </row>
    <row r="429" spans="1:16" x14ac:dyDescent="0.45">
      <c r="A429" t="s">
        <v>65</v>
      </c>
      <c r="B429" t="s">
        <v>103</v>
      </c>
      <c r="C429" s="26">
        <f>SUMIFS(INDEX(元データ_加工!$C$2:$P$700,0,MATCH($B429,元データ_加工!$C$1:$P$1,0)),元データ_加工!$A$2:$A$700,$A429,元データ_加工!$B$2:$B$700,C$5)</f>
        <v>6</v>
      </c>
      <c r="D429" s="26">
        <f>SUMIFS(INDEX(元データ_加工!$C$2:$P$700,0,MATCH($B429,元データ_加工!$C$1:$P$1,0)),元データ_加工!$A$2:$A$700,$A429,元データ_加工!$B$2:$B$700,D$5)</f>
        <v>5</v>
      </c>
      <c r="E429" s="26">
        <f>SUMIFS(INDEX(元データ_加工!$C$2:$P$700,0,MATCH($B429,元データ_加工!$C$1:$P$1,0)),元データ_加工!$A$2:$A$700,$A429,元データ_加工!$B$2:$B$700,E$5)</f>
        <v>4</v>
      </c>
      <c r="F429" s="26">
        <f>SUMIFS(INDEX(元データ_加工!$C$2:$P$700,0,MATCH($B429,元データ_加工!$C$1:$P$1,0)),元データ_加工!$A$2:$A$700,$A429,元データ_加工!$B$2:$B$700,F$5)</f>
        <v>20</v>
      </c>
      <c r="G429" s="26">
        <f>SUMIFS(INDEX(元データ_加工!$C$2:$P$700,0,MATCH($B429,元データ_加工!$C$1:$P$1,0)),元データ_加工!$A$2:$A$700,$A429,元データ_加工!$B$2:$B$700,G$5)</f>
        <v>43</v>
      </c>
      <c r="H429" s="26">
        <f>SUMIFS(INDEX(元データ_加工!$C$2:$P$700,0,MATCH($B429,元データ_加工!$C$1:$P$1,0)),元データ_加工!$A$2:$A$700,$A429,元データ_加工!$B$2:$B$700,H$5)</f>
        <v>37</v>
      </c>
      <c r="I429" s="26">
        <f>SUMIFS(INDEX(元データ_加工!$C$2:$P$700,0,MATCH($B429,元データ_加工!$C$1:$P$1,0)),元データ_加工!$A$2:$A$700,$A429,元データ_加工!$B$2:$B$700,I$5)</f>
        <v>16</v>
      </c>
      <c r="J429" s="26">
        <f>SUMIFS(INDEX(元データ_加工!$C$2:$P$700,0,MATCH($B429,元データ_加工!$C$1:$P$1,0)),元データ_加工!$A$2:$A$700,$A429,元データ_加工!$B$2:$B$700,J$5)</f>
        <v>28</v>
      </c>
      <c r="K429" s="26">
        <f>SUMIFS(INDEX(元データ_加工!$C$2:$P$700,0,MATCH($B429,元データ_加工!$C$1:$P$1,0)),元データ_加工!$A$2:$A$700,$A429,元データ_加工!$B$2:$B$700,K$5)</f>
        <v>2</v>
      </c>
      <c r="L429" s="26">
        <f>SUMIFS(INDEX(元データ_加工!$C$2:$P$700,0,MATCH($B429,元データ_加工!$C$1:$P$1,0)),元データ_加工!$A$2:$A$700,$A429,元データ_加工!$B$2:$B$700,L$5)</f>
        <v>0</v>
      </c>
      <c r="M429" s="26">
        <f>SUMIFS(INDEX(元データ_加工!$C$2:$P$700,0,MATCH($B429,元データ_加工!$C$1:$P$1,0)),元データ_加工!$A$2:$A$700,$A429,元データ_加工!$B$2:$B$700,M$5)</f>
        <v>0</v>
      </c>
      <c r="N429" s="26">
        <f>SUMIFS(INDEX(元データ_加工!$C$2:$P$700,0,MATCH($B429,元データ_加工!$C$1:$P$1,0)),元データ_加工!$A$2:$A$700,$A429,元データ_加工!$B$2:$B$700,N$5)</f>
        <v>0</v>
      </c>
      <c r="O429" s="26">
        <f t="shared" si="6"/>
        <v>161</v>
      </c>
      <c r="P429" s="7">
        <f>IFERROR(O429/SUMIFS(元データ_加工!$C$2:$C$700,元データ_加工!$A$2:$A$700,$A429),"")</f>
        <v>4.3666937889883378E-3</v>
      </c>
    </row>
    <row r="430" spans="1:16" x14ac:dyDescent="0.45">
      <c r="A430" t="s">
        <v>65</v>
      </c>
      <c r="B430" t="s">
        <v>104</v>
      </c>
      <c r="C430" s="26">
        <f>SUMIFS(INDEX(元データ_加工!$C$2:$P$700,0,MATCH($B430,元データ_加工!$C$1:$P$1,0)),元データ_加工!$A$2:$A$700,$A430,元データ_加工!$B$2:$B$700,C$5)</f>
        <v>37</v>
      </c>
      <c r="D430" s="26">
        <f>SUMIFS(INDEX(元データ_加工!$C$2:$P$700,0,MATCH($B430,元データ_加工!$C$1:$P$1,0)),元データ_加工!$A$2:$A$700,$A430,元データ_加工!$B$2:$B$700,D$5)</f>
        <v>27</v>
      </c>
      <c r="E430" s="26">
        <f>SUMIFS(INDEX(元データ_加工!$C$2:$P$700,0,MATCH($B430,元データ_加工!$C$1:$P$1,0)),元データ_加工!$A$2:$A$700,$A430,元データ_加工!$B$2:$B$700,E$5)</f>
        <v>36</v>
      </c>
      <c r="F430" s="26">
        <f>SUMIFS(INDEX(元データ_加工!$C$2:$P$700,0,MATCH($B430,元データ_加工!$C$1:$P$1,0)),元データ_加工!$A$2:$A$700,$A430,元データ_加工!$B$2:$B$700,F$5)</f>
        <v>45</v>
      </c>
      <c r="G430" s="26">
        <f>SUMIFS(INDEX(元データ_加工!$C$2:$P$700,0,MATCH($B430,元データ_加工!$C$1:$P$1,0)),元データ_加工!$A$2:$A$700,$A430,元データ_加工!$B$2:$B$700,G$5)</f>
        <v>104</v>
      </c>
      <c r="H430" s="26">
        <f>SUMIFS(INDEX(元データ_加工!$C$2:$P$700,0,MATCH($B430,元データ_加工!$C$1:$P$1,0)),元データ_加工!$A$2:$A$700,$A430,元データ_加工!$B$2:$B$700,H$5)</f>
        <v>73</v>
      </c>
      <c r="I430" s="26">
        <f>SUMIFS(INDEX(元データ_加工!$C$2:$P$700,0,MATCH($B430,元データ_加工!$C$1:$P$1,0)),元データ_加工!$A$2:$A$700,$A430,元データ_加工!$B$2:$B$700,I$5)</f>
        <v>38</v>
      </c>
      <c r="J430" s="26">
        <f>SUMIFS(INDEX(元データ_加工!$C$2:$P$700,0,MATCH($B430,元データ_加工!$C$1:$P$1,0)),元データ_加工!$A$2:$A$700,$A430,元データ_加工!$B$2:$B$700,J$5)</f>
        <v>199</v>
      </c>
      <c r="K430" s="26">
        <f>SUMIFS(INDEX(元データ_加工!$C$2:$P$700,0,MATCH($B430,元データ_加工!$C$1:$P$1,0)),元データ_加工!$A$2:$A$700,$A430,元データ_加工!$B$2:$B$700,K$5)</f>
        <v>276</v>
      </c>
      <c r="L430" s="26">
        <f>SUMIFS(INDEX(元データ_加工!$C$2:$P$700,0,MATCH($B430,元データ_加工!$C$1:$P$1,0)),元データ_加工!$A$2:$A$700,$A430,元データ_加工!$B$2:$B$700,L$5)</f>
        <v>146</v>
      </c>
      <c r="M430" s="26">
        <f>SUMIFS(INDEX(元データ_加工!$C$2:$P$700,0,MATCH($B430,元データ_加工!$C$1:$P$1,0)),元データ_加工!$A$2:$A$700,$A430,元データ_加工!$B$2:$B$700,M$5)</f>
        <v>79</v>
      </c>
      <c r="N430" s="26">
        <f>SUMIFS(INDEX(元データ_加工!$C$2:$P$700,0,MATCH($B430,元データ_加工!$C$1:$P$1,0)),元データ_加工!$A$2:$A$700,$A430,元データ_加工!$B$2:$B$700,N$5)</f>
        <v>55</v>
      </c>
      <c r="O430" s="26">
        <f t="shared" si="6"/>
        <v>1115</v>
      </c>
      <c r="P430" s="7">
        <f>IFERROR(O430/SUMIFS(元データ_加工!$C$2:$C$700,元データ_加工!$A$2:$A$700,$A430),"")</f>
        <v>3.0241388662869541E-2</v>
      </c>
    </row>
    <row r="431" spans="1:16" x14ac:dyDescent="0.45">
      <c r="A431" t="s">
        <v>65</v>
      </c>
      <c r="B431" t="s">
        <v>105</v>
      </c>
      <c r="C431" s="26">
        <f>SUMIFS(INDEX(元データ_加工!$C$2:$P$700,0,MATCH($B431,元データ_加工!$C$1:$P$1,0)),元データ_加工!$A$2:$A$700,$A431,元データ_加工!$B$2:$B$700,C$5)</f>
        <v>7</v>
      </c>
      <c r="D431" s="26">
        <f>SUMIFS(INDEX(元データ_加工!$C$2:$P$700,0,MATCH($B431,元データ_加工!$C$1:$P$1,0)),元データ_加工!$A$2:$A$700,$A431,元データ_加工!$B$2:$B$700,D$5)</f>
        <v>11</v>
      </c>
      <c r="E431" s="26">
        <f>SUMIFS(INDEX(元データ_加工!$C$2:$P$700,0,MATCH($B431,元データ_加工!$C$1:$P$1,0)),元データ_加工!$A$2:$A$700,$A431,元データ_加工!$B$2:$B$700,E$5)</f>
        <v>11</v>
      </c>
      <c r="F431" s="26">
        <f>SUMIFS(INDEX(元データ_加工!$C$2:$P$700,0,MATCH($B431,元データ_加工!$C$1:$P$1,0)),元データ_加工!$A$2:$A$700,$A431,元データ_加工!$B$2:$B$700,F$5)</f>
        <v>5</v>
      </c>
      <c r="G431" s="26">
        <f>SUMIFS(INDEX(元データ_加工!$C$2:$P$700,0,MATCH($B431,元データ_加工!$C$1:$P$1,0)),元データ_加工!$A$2:$A$700,$A431,元データ_加工!$B$2:$B$700,G$5)</f>
        <v>7</v>
      </c>
      <c r="H431" s="26">
        <f>SUMIFS(INDEX(元データ_加工!$C$2:$P$700,0,MATCH($B431,元データ_加工!$C$1:$P$1,0)),元データ_加工!$A$2:$A$700,$A431,元データ_加工!$B$2:$B$700,H$5)</f>
        <v>2</v>
      </c>
      <c r="I431" s="26">
        <f>SUMIFS(INDEX(元データ_加工!$C$2:$P$700,0,MATCH($B431,元データ_加工!$C$1:$P$1,0)),元データ_加工!$A$2:$A$700,$A431,元データ_加工!$B$2:$B$700,I$5)</f>
        <v>17</v>
      </c>
      <c r="J431" s="26">
        <f>SUMIFS(INDEX(元データ_加工!$C$2:$P$700,0,MATCH($B431,元データ_加工!$C$1:$P$1,0)),元データ_加工!$A$2:$A$700,$A431,元データ_加工!$B$2:$B$700,J$5)</f>
        <v>72</v>
      </c>
      <c r="K431" s="26">
        <f>SUMIFS(INDEX(元データ_加工!$C$2:$P$700,0,MATCH($B431,元データ_加工!$C$1:$P$1,0)),元データ_加工!$A$2:$A$700,$A431,元データ_加工!$B$2:$B$700,K$5)</f>
        <v>158</v>
      </c>
      <c r="L431" s="26">
        <f>SUMIFS(INDEX(元データ_加工!$C$2:$P$700,0,MATCH($B431,元データ_加工!$C$1:$P$1,0)),元データ_加工!$A$2:$A$700,$A431,元データ_加工!$B$2:$B$700,L$5)</f>
        <v>85</v>
      </c>
      <c r="M431" s="26">
        <f>SUMIFS(INDEX(元データ_加工!$C$2:$P$700,0,MATCH($B431,元データ_加工!$C$1:$P$1,0)),元データ_加工!$A$2:$A$700,$A431,元データ_加工!$B$2:$B$700,M$5)</f>
        <v>55</v>
      </c>
      <c r="N431" s="26">
        <f>SUMIFS(INDEX(元データ_加工!$C$2:$P$700,0,MATCH($B431,元データ_加工!$C$1:$P$1,0)),元データ_加工!$A$2:$A$700,$A431,元データ_加工!$B$2:$B$700,N$5)</f>
        <v>26</v>
      </c>
      <c r="O431" s="26">
        <f t="shared" si="6"/>
        <v>456</v>
      </c>
      <c r="P431" s="7">
        <f>IFERROR(O431/SUMIFS(元データ_加工!$C$2:$C$700,元データ_加工!$A$2:$A$700,$A431),"")</f>
        <v>1.2367778681855167E-2</v>
      </c>
    </row>
    <row r="432" spans="1:16" x14ac:dyDescent="0.45">
      <c r="A432" t="s">
        <v>65</v>
      </c>
      <c r="B432" t="s">
        <v>106</v>
      </c>
      <c r="C432" s="26">
        <f>SUMIFS(INDEX(元データ_加工!$C$2:$P$700,0,MATCH($B432,元データ_加工!$C$1:$P$1,0)),元データ_加工!$A$2:$A$700,$A432,元データ_加工!$B$2:$B$700,C$5)</f>
        <v>592</v>
      </c>
      <c r="D432" s="26">
        <f>SUMIFS(INDEX(元データ_加工!$C$2:$P$700,0,MATCH($B432,元データ_加工!$C$1:$P$1,0)),元データ_加工!$A$2:$A$700,$A432,元データ_加工!$B$2:$B$700,D$5)</f>
        <v>528</v>
      </c>
      <c r="E432" s="26">
        <f>SUMIFS(INDEX(元データ_加工!$C$2:$P$700,0,MATCH($B432,元データ_加工!$C$1:$P$1,0)),元データ_加工!$A$2:$A$700,$A432,元データ_加工!$B$2:$B$700,E$5)</f>
        <v>636</v>
      </c>
      <c r="F432" s="26">
        <f>SUMIFS(INDEX(元データ_加工!$C$2:$P$700,0,MATCH($B432,元データ_加工!$C$1:$P$1,0)),元データ_加工!$A$2:$A$700,$A432,元データ_加工!$B$2:$B$700,F$5)</f>
        <v>623</v>
      </c>
      <c r="G432" s="26">
        <f>SUMIFS(INDEX(元データ_加工!$C$2:$P$700,0,MATCH($B432,元データ_加工!$C$1:$P$1,0)),元データ_加工!$A$2:$A$700,$A432,元データ_加工!$B$2:$B$700,G$5)</f>
        <v>672</v>
      </c>
      <c r="H432" s="26">
        <f>SUMIFS(INDEX(元データ_加工!$C$2:$P$700,0,MATCH($B432,元データ_加工!$C$1:$P$1,0)),元データ_加工!$A$2:$A$700,$A432,元データ_加工!$B$2:$B$700,H$5)</f>
        <v>357</v>
      </c>
      <c r="I432" s="26">
        <f>SUMIFS(INDEX(元データ_加工!$C$2:$P$700,0,MATCH($B432,元データ_加工!$C$1:$P$1,0)),元データ_加工!$A$2:$A$700,$A432,元データ_加工!$B$2:$B$700,I$5)</f>
        <v>260</v>
      </c>
      <c r="J432" s="26">
        <f>SUMIFS(INDEX(元データ_加工!$C$2:$P$700,0,MATCH($B432,元データ_加工!$C$1:$P$1,0)),元データ_加工!$A$2:$A$700,$A432,元データ_加工!$B$2:$B$700,J$5)</f>
        <v>378</v>
      </c>
      <c r="K432" s="26">
        <f>SUMIFS(INDEX(元データ_加工!$C$2:$P$700,0,MATCH($B432,元データ_加工!$C$1:$P$1,0)),元データ_加工!$A$2:$A$700,$A432,元データ_加工!$B$2:$B$700,K$5)</f>
        <v>480</v>
      </c>
      <c r="L432" s="26">
        <f>SUMIFS(INDEX(元データ_加工!$C$2:$P$700,0,MATCH($B432,元データ_加工!$C$1:$P$1,0)),元データ_加工!$A$2:$A$700,$A432,元データ_加工!$B$2:$B$700,L$5)</f>
        <v>475</v>
      </c>
      <c r="M432" s="26">
        <f>SUMIFS(INDEX(元データ_加工!$C$2:$P$700,0,MATCH($B432,元データ_加工!$C$1:$P$1,0)),元データ_加工!$A$2:$A$700,$A432,元データ_加工!$B$2:$B$700,M$5)</f>
        <v>501</v>
      </c>
      <c r="N432" s="26">
        <f>SUMIFS(INDEX(元データ_加工!$C$2:$P$700,0,MATCH($B432,元データ_加工!$C$1:$P$1,0)),元データ_加工!$A$2:$A$700,$A432,元データ_加工!$B$2:$B$700,N$5)</f>
        <v>610</v>
      </c>
      <c r="O432" s="26">
        <f t="shared" si="6"/>
        <v>6112</v>
      </c>
      <c r="P432" s="7">
        <f>IFERROR(O432/SUMIFS(元データ_加工!$C$2:$C$700,元データ_加工!$A$2:$A$700,$A432),"")</f>
        <v>0.16577163005153242</v>
      </c>
    </row>
    <row r="433" spans="1:16" x14ac:dyDescent="0.45">
      <c r="A433" t="s">
        <v>65</v>
      </c>
      <c r="B433" t="s">
        <v>107</v>
      </c>
      <c r="C433" s="26">
        <f>SUMIFS(INDEX(元データ_加工!$C$2:$P$700,0,MATCH($B433,元データ_加工!$C$1:$P$1,0)),元データ_加工!$A$2:$A$700,$A433,元データ_加工!$B$2:$B$700,C$5)</f>
        <v>2</v>
      </c>
      <c r="D433" s="26">
        <f>SUMIFS(INDEX(元データ_加工!$C$2:$P$700,0,MATCH($B433,元データ_加工!$C$1:$P$1,0)),元データ_加工!$A$2:$A$700,$A433,元データ_加工!$B$2:$B$700,D$5)</f>
        <v>4</v>
      </c>
      <c r="E433" s="26">
        <f>SUMIFS(INDEX(元データ_加工!$C$2:$P$700,0,MATCH($B433,元データ_加工!$C$1:$P$1,0)),元データ_加工!$A$2:$A$700,$A433,元データ_加工!$B$2:$B$700,E$5)</f>
        <v>5</v>
      </c>
      <c r="F433" s="26">
        <f>SUMIFS(INDEX(元データ_加工!$C$2:$P$700,0,MATCH($B433,元データ_加工!$C$1:$P$1,0)),元データ_加工!$A$2:$A$700,$A433,元データ_加工!$B$2:$B$700,F$5)</f>
        <v>0</v>
      </c>
      <c r="G433" s="26">
        <f>SUMIFS(INDEX(元データ_加工!$C$2:$P$700,0,MATCH($B433,元データ_加工!$C$1:$P$1,0)),元データ_加工!$A$2:$A$700,$A433,元データ_加工!$B$2:$B$700,G$5)</f>
        <v>1</v>
      </c>
      <c r="H433" s="26">
        <f>SUMIFS(INDEX(元データ_加工!$C$2:$P$700,0,MATCH($B433,元データ_加工!$C$1:$P$1,0)),元データ_加工!$A$2:$A$700,$A433,元データ_加工!$B$2:$B$700,H$5)</f>
        <v>3</v>
      </c>
      <c r="I433" s="26">
        <f>SUMIFS(INDEX(元データ_加工!$C$2:$P$700,0,MATCH($B433,元データ_加工!$C$1:$P$1,0)),元データ_加工!$A$2:$A$700,$A433,元データ_加工!$B$2:$B$700,I$5)</f>
        <v>1</v>
      </c>
      <c r="J433" s="26">
        <f>SUMIFS(INDEX(元データ_加工!$C$2:$P$700,0,MATCH($B433,元データ_加工!$C$1:$P$1,0)),元データ_加工!$A$2:$A$700,$A433,元データ_加工!$B$2:$B$700,J$5)</f>
        <v>0</v>
      </c>
      <c r="K433" s="26">
        <f>SUMIFS(INDEX(元データ_加工!$C$2:$P$700,0,MATCH($B433,元データ_加工!$C$1:$P$1,0)),元データ_加工!$A$2:$A$700,$A433,元データ_加工!$B$2:$B$700,K$5)</f>
        <v>0</v>
      </c>
      <c r="L433" s="26">
        <f>SUMIFS(INDEX(元データ_加工!$C$2:$P$700,0,MATCH($B433,元データ_加工!$C$1:$P$1,0)),元データ_加工!$A$2:$A$700,$A433,元データ_加工!$B$2:$B$700,L$5)</f>
        <v>0</v>
      </c>
      <c r="M433" s="26">
        <f>SUMIFS(INDEX(元データ_加工!$C$2:$P$700,0,MATCH($B433,元データ_加工!$C$1:$P$1,0)),元データ_加工!$A$2:$A$700,$A433,元データ_加工!$B$2:$B$700,M$5)</f>
        <v>4</v>
      </c>
      <c r="N433" s="26">
        <f>SUMIFS(INDEX(元データ_加工!$C$2:$P$700,0,MATCH($B433,元データ_加工!$C$1:$P$1,0)),元データ_加工!$A$2:$A$700,$A433,元データ_加工!$B$2:$B$700,N$5)</f>
        <v>1</v>
      </c>
      <c r="O433" s="26">
        <f t="shared" si="6"/>
        <v>21</v>
      </c>
      <c r="P433" s="7">
        <f>IFERROR(O433/SUMIFS(元データ_加工!$C$2:$C$700,元データ_加工!$A$2:$A$700,$A433),"")</f>
        <v>5.6956875508543526E-4</v>
      </c>
    </row>
    <row r="434" spans="1:16" x14ac:dyDescent="0.45">
      <c r="A434" t="s">
        <v>65</v>
      </c>
      <c r="B434" t="s">
        <v>108</v>
      </c>
      <c r="C434" s="26">
        <f>SUMIFS(INDEX(元データ_加工!$C$2:$P$700,0,MATCH($B434,元データ_加工!$C$1:$P$1,0)),元データ_加工!$A$2:$A$700,$A434,元データ_加工!$B$2:$B$700,C$5)</f>
        <v>18</v>
      </c>
      <c r="D434" s="26">
        <f>SUMIFS(INDEX(元データ_加工!$C$2:$P$700,0,MATCH($B434,元データ_加工!$C$1:$P$1,0)),元データ_加工!$A$2:$A$700,$A434,元データ_加工!$B$2:$B$700,D$5)</f>
        <v>29</v>
      </c>
      <c r="E434" s="26">
        <f>SUMIFS(INDEX(元データ_加工!$C$2:$P$700,0,MATCH($B434,元データ_加工!$C$1:$P$1,0)),元データ_加工!$A$2:$A$700,$A434,元データ_加工!$B$2:$B$700,E$5)</f>
        <v>50</v>
      </c>
      <c r="F434" s="26">
        <f>SUMIFS(INDEX(元データ_加工!$C$2:$P$700,0,MATCH($B434,元データ_加工!$C$1:$P$1,0)),元データ_加工!$A$2:$A$700,$A434,元データ_加工!$B$2:$B$700,F$5)</f>
        <v>23</v>
      </c>
      <c r="G434" s="26">
        <f>SUMIFS(INDEX(元データ_加工!$C$2:$P$700,0,MATCH($B434,元データ_加工!$C$1:$P$1,0)),元データ_加工!$A$2:$A$700,$A434,元データ_加工!$B$2:$B$700,G$5)</f>
        <v>27</v>
      </c>
      <c r="H434" s="26">
        <f>SUMIFS(INDEX(元データ_加工!$C$2:$P$700,0,MATCH($B434,元データ_加工!$C$1:$P$1,0)),元データ_加工!$A$2:$A$700,$A434,元データ_加工!$B$2:$B$700,H$5)</f>
        <v>11</v>
      </c>
      <c r="I434" s="26">
        <f>SUMIFS(INDEX(元データ_加工!$C$2:$P$700,0,MATCH($B434,元データ_加工!$C$1:$P$1,0)),元データ_加工!$A$2:$A$700,$A434,元データ_加工!$B$2:$B$700,I$5)</f>
        <v>4</v>
      </c>
      <c r="J434" s="26">
        <f>SUMIFS(INDEX(元データ_加工!$C$2:$P$700,0,MATCH($B434,元データ_加工!$C$1:$P$1,0)),元データ_加工!$A$2:$A$700,$A434,元データ_加工!$B$2:$B$700,J$5)</f>
        <v>4</v>
      </c>
      <c r="K434" s="26">
        <f>SUMIFS(INDEX(元データ_加工!$C$2:$P$700,0,MATCH($B434,元データ_加工!$C$1:$P$1,0)),元データ_加工!$A$2:$A$700,$A434,元データ_加工!$B$2:$B$700,K$5)</f>
        <v>4</v>
      </c>
      <c r="L434" s="26">
        <f>SUMIFS(INDEX(元データ_加工!$C$2:$P$700,0,MATCH($B434,元データ_加工!$C$1:$P$1,0)),元データ_加工!$A$2:$A$700,$A434,元データ_加工!$B$2:$B$700,L$5)</f>
        <v>0</v>
      </c>
      <c r="M434" s="26">
        <f>SUMIFS(INDEX(元データ_加工!$C$2:$P$700,0,MATCH($B434,元データ_加工!$C$1:$P$1,0)),元データ_加工!$A$2:$A$700,$A434,元データ_加工!$B$2:$B$700,M$5)</f>
        <v>1</v>
      </c>
      <c r="N434" s="26">
        <f>SUMIFS(INDEX(元データ_加工!$C$2:$P$700,0,MATCH($B434,元データ_加工!$C$1:$P$1,0)),元データ_加工!$A$2:$A$700,$A434,元データ_加工!$B$2:$B$700,N$5)</f>
        <v>4</v>
      </c>
      <c r="O434" s="26">
        <f t="shared" si="6"/>
        <v>175</v>
      </c>
      <c r="P434" s="7">
        <f>IFERROR(O434/SUMIFS(元データ_加工!$C$2:$C$700,元データ_加工!$A$2:$A$700,$A434),"")</f>
        <v>4.7464062923786273E-3</v>
      </c>
    </row>
    <row r="435" spans="1:16" x14ac:dyDescent="0.45">
      <c r="A435" t="s">
        <v>65</v>
      </c>
      <c r="B435" t="s">
        <v>109</v>
      </c>
      <c r="C435" s="26">
        <f>SUMIFS(INDEX(元データ_加工!$C$2:$P$700,0,MATCH($B435,元データ_加工!$C$1:$P$1,0)),元データ_加工!$A$2:$A$700,$A435,元データ_加工!$B$2:$B$700,C$5)</f>
        <v>134</v>
      </c>
      <c r="D435" s="26">
        <f>SUMIFS(INDEX(元データ_加工!$C$2:$P$700,0,MATCH($B435,元データ_加工!$C$1:$P$1,0)),元データ_加工!$A$2:$A$700,$A435,元データ_加工!$B$2:$B$700,D$5)</f>
        <v>190</v>
      </c>
      <c r="E435" s="26">
        <f>SUMIFS(INDEX(元データ_加工!$C$2:$P$700,0,MATCH($B435,元データ_加工!$C$1:$P$1,0)),元データ_加工!$A$2:$A$700,$A435,元データ_加工!$B$2:$B$700,E$5)</f>
        <v>242</v>
      </c>
      <c r="F435" s="26">
        <f>SUMIFS(INDEX(元データ_加工!$C$2:$P$700,0,MATCH($B435,元データ_加工!$C$1:$P$1,0)),元データ_加工!$A$2:$A$700,$A435,元データ_加工!$B$2:$B$700,F$5)</f>
        <v>179</v>
      </c>
      <c r="G435" s="26">
        <f>SUMIFS(INDEX(元データ_加工!$C$2:$P$700,0,MATCH($B435,元データ_加工!$C$1:$P$1,0)),元データ_加工!$A$2:$A$700,$A435,元データ_加工!$B$2:$B$700,G$5)</f>
        <v>224</v>
      </c>
      <c r="H435" s="26">
        <f>SUMIFS(INDEX(元データ_加工!$C$2:$P$700,0,MATCH($B435,元データ_加工!$C$1:$P$1,0)),元データ_加工!$A$2:$A$700,$A435,元データ_加工!$B$2:$B$700,H$5)</f>
        <v>157</v>
      </c>
      <c r="I435" s="26">
        <f>SUMIFS(INDEX(元データ_加工!$C$2:$P$700,0,MATCH($B435,元データ_加工!$C$1:$P$1,0)),元データ_加工!$A$2:$A$700,$A435,元データ_加工!$B$2:$B$700,I$5)</f>
        <v>141</v>
      </c>
      <c r="J435" s="26">
        <f>SUMIFS(INDEX(元データ_加工!$C$2:$P$700,0,MATCH($B435,元データ_加工!$C$1:$P$1,0)),元データ_加工!$A$2:$A$700,$A435,元データ_加工!$B$2:$B$700,J$5)</f>
        <v>203</v>
      </c>
      <c r="K435" s="26">
        <f>SUMIFS(INDEX(元データ_加工!$C$2:$P$700,0,MATCH($B435,元データ_加工!$C$1:$P$1,0)),元データ_加工!$A$2:$A$700,$A435,元データ_加工!$B$2:$B$700,K$5)</f>
        <v>138</v>
      </c>
      <c r="L435" s="26">
        <f>SUMIFS(INDEX(元データ_加工!$C$2:$P$700,0,MATCH($B435,元データ_加工!$C$1:$P$1,0)),元データ_加工!$A$2:$A$700,$A435,元データ_加工!$B$2:$B$700,L$5)</f>
        <v>143</v>
      </c>
      <c r="M435" s="26">
        <f>SUMIFS(INDEX(元データ_加工!$C$2:$P$700,0,MATCH($B435,元データ_加工!$C$1:$P$1,0)),元データ_加工!$A$2:$A$700,$A435,元データ_加工!$B$2:$B$700,M$5)</f>
        <v>177</v>
      </c>
      <c r="N435" s="26">
        <f>SUMIFS(INDEX(元データ_加工!$C$2:$P$700,0,MATCH($B435,元データ_加工!$C$1:$P$1,0)),元データ_加工!$A$2:$A$700,$A435,元データ_加工!$B$2:$B$700,N$5)</f>
        <v>180</v>
      </c>
      <c r="O435" s="26">
        <f t="shared" si="6"/>
        <v>2108</v>
      </c>
      <c r="P435" s="7">
        <f>IFERROR(O435/SUMIFS(元データ_加工!$C$2:$C$700,元データ_加工!$A$2:$A$700,$A435),"")</f>
        <v>5.7173854081909413E-2</v>
      </c>
    </row>
    <row r="436" spans="1:16" x14ac:dyDescent="0.45">
      <c r="A436" t="s">
        <v>65</v>
      </c>
      <c r="B436" t="s">
        <v>110</v>
      </c>
      <c r="C436" s="26">
        <f>SUMIFS(INDEX(元データ_加工!$C$2:$P$700,0,MATCH($B436,元データ_加工!$C$1:$P$1,0)),元データ_加工!$A$2:$A$700,$A436,元データ_加工!$B$2:$B$700,C$5)</f>
        <v>0</v>
      </c>
      <c r="D436" s="26">
        <f>SUMIFS(INDEX(元データ_加工!$C$2:$P$700,0,MATCH($B436,元データ_加工!$C$1:$P$1,0)),元データ_加工!$A$2:$A$700,$A436,元データ_加工!$B$2:$B$700,D$5)</f>
        <v>0</v>
      </c>
      <c r="E436" s="26">
        <f>SUMIFS(INDEX(元データ_加工!$C$2:$P$700,0,MATCH($B436,元データ_加工!$C$1:$P$1,0)),元データ_加工!$A$2:$A$700,$A436,元データ_加工!$B$2:$B$700,E$5)</f>
        <v>0</v>
      </c>
      <c r="F436" s="26">
        <f>SUMIFS(INDEX(元データ_加工!$C$2:$P$700,0,MATCH($B436,元データ_加工!$C$1:$P$1,0)),元データ_加工!$A$2:$A$700,$A436,元データ_加工!$B$2:$B$700,F$5)</f>
        <v>0</v>
      </c>
      <c r="G436" s="26">
        <f>SUMIFS(INDEX(元データ_加工!$C$2:$P$700,0,MATCH($B436,元データ_加工!$C$1:$P$1,0)),元データ_加工!$A$2:$A$700,$A436,元データ_加工!$B$2:$B$700,G$5)</f>
        <v>0</v>
      </c>
      <c r="H436" s="26">
        <f>SUMIFS(INDEX(元データ_加工!$C$2:$P$700,0,MATCH($B436,元データ_加工!$C$1:$P$1,0)),元データ_加工!$A$2:$A$700,$A436,元データ_加工!$B$2:$B$700,H$5)</f>
        <v>0</v>
      </c>
      <c r="I436" s="26">
        <f>SUMIFS(INDEX(元データ_加工!$C$2:$P$700,0,MATCH($B436,元データ_加工!$C$1:$P$1,0)),元データ_加工!$A$2:$A$700,$A436,元データ_加工!$B$2:$B$700,I$5)</f>
        <v>0</v>
      </c>
      <c r="J436" s="26">
        <f>SUMIFS(INDEX(元データ_加工!$C$2:$P$700,0,MATCH($B436,元データ_加工!$C$1:$P$1,0)),元データ_加工!$A$2:$A$700,$A436,元データ_加工!$B$2:$B$700,J$5)</f>
        <v>0</v>
      </c>
      <c r="K436" s="26">
        <f>SUMIFS(INDEX(元データ_加工!$C$2:$P$700,0,MATCH($B436,元データ_加工!$C$1:$P$1,0)),元データ_加工!$A$2:$A$700,$A436,元データ_加工!$B$2:$B$700,K$5)</f>
        <v>0</v>
      </c>
      <c r="L436" s="26">
        <f>SUMIFS(INDEX(元データ_加工!$C$2:$P$700,0,MATCH($B436,元データ_加工!$C$1:$P$1,0)),元データ_加工!$A$2:$A$700,$A436,元データ_加工!$B$2:$B$700,L$5)</f>
        <v>0</v>
      </c>
      <c r="M436" s="26">
        <f>SUMIFS(INDEX(元データ_加工!$C$2:$P$700,0,MATCH($B436,元データ_加工!$C$1:$P$1,0)),元データ_加工!$A$2:$A$700,$A436,元データ_加工!$B$2:$B$700,M$5)</f>
        <v>0</v>
      </c>
      <c r="N436" s="26">
        <f>SUMIFS(INDEX(元データ_加工!$C$2:$P$700,0,MATCH($B436,元データ_加工!$C$1:$P$1,0)),元データ_加工!$A$2:$A$700,$A436,元データ_加工!$B$2:$B$700,N$5)</f>
        <v>0</v>
      </c>
      <c r="O436" s="26">
        <f t="shared" si="6"/>
        <v>0</v>
      </c>
      <c r="P436" s="7">
        <f>IFERROR(O436/SUMIFS(元データ_加工!$C$2:$C$700,元データ_加工!$A$2:$A$700,$A436),"")</f>
        <v>0</v>
      </c>
    </row>
    <row r="437" spans="1:16" x14ac:dyDescent="0.45">
      <c r="A437" t="s">
        <v>65</v>
      </c>
      <c r="B437" t="s">
        <v>111</v>
      </c>
      <c r="C437" s="26">
        <f>SUMIFS(INDEX(元データ_加工!$C$2:$P$700,0,MATCH($B437,元データ_加工!$C$1:$P$1,0)),元データ_加工!$A$2:$A$700,$A437,元データ_加工!$B$2:$B$700,C$5)</f>
        <v>0</v>
      </c>
      <c r="D437" s="26">
        <f>SUMIFS(INDEX(元データ_加工!$C$2:$P$700,0,MATCH($B437,元データ_加工!$C$1:$P$1,0)),元データ_加工!$A$2:$A$700,$A437,元データ_加工!$B$2:$B$700,D$5)</f>
        <v>0</v>
      </c>
      <c r="E437" s="26">
        <f>SUMIFS(INDEX(元データ_加工!$C$2:$P$700,0,MATCH($B437,元データ_加工!$C$1:$P$1,0)),元データ_加工!$A$2:$A$700,$A437,元データ_加工!$B$2:$B$700,E$5)</f>
        <v>0</v>
      </c>
      <c r="F437" s="26">
        <f>SUMIFS(INDEX(元データ_加工!$C$2:$P$700,0,MATCH($B437,元データ_加工!$C$1:$P$1,0)),元データ_加工!$A$2:$A$700,$A437,元データ_加工!$B$2:$B$700,F$5)</f>
        <v>0</v>
      </c>
      <c r="G437" s="26">
        <f>SUMIFS(INDEX(元データ_加工!$C$2:$P$700,0,MATCH($B437,元データ_加工!$C$1:$P$1,0)),元データ_加工!$A$2:$A$700,$A437,元データ_加工!$B$2:$B$700,G$5)</f>
        <v>0</v>
      </c>
      <c r="H437" s="26">
        <f>SUMIFS(INDEX(元データ_加工!$C$2:$P$700,0,MATCH($B437,元データ_加工!$C$1:$P$1,0)),元データ_加工!$A$2:$A$700,$A437,元データ_加工!$B$2:$B$700,H$5)</f>
        <v>0</v>
      </c>
      <c r="I437" s="26">
        <f>SUMIFS(INDEX(元データ_加工!$C$2:$P$700,0,MATCH($B437,元データ_加工!$C$1:$P$1,0)),元データ_加工!$A$2:$A$700,$A437,元データ_加工!$B$2:$B$700,I$5)</f>
        <v>0</v>
      </c>
      <c r="J437" s="26">
        <f>SUMIFS(INDEX(元データ_加工!$C$2:$P$700,0,MATCH($B437,元データ_加工!$C$1:$P$1,0)),元データ_加工!$A$2:$A$700,$A437,元データ_加工!$B$2:$B$700,J$5)</f>
        <v>0</v>
      </c>
      <c r="K437" s="26">
        <f>SUMIFS(INDEX(元データ_加工!$C$2:$P$700,0,MATCH($B437,元データ_加工!$C$1:$P$1,0)),元データ_加工!$A$2:$A$700,$A437,元データ_加工!$B$2:$B$700,K$5)</f>
        <v>0</v>
      </c>
      <c r="L437" s="26">
        <f>SUMIFS(INDEX(元データ_加工!$C$2:$P$700,0,MATCH($B437,元データ_加工!$C$1:$P$1,0)),元データ_加工!$A$2:$A$700,$A437,元データ_加工!$B$2:$B$700,L$5)</f>
        <v>0</v>
      </c>
      <c r="M437" s="26">
        <f>SUMIFS(INDEX(元データ_加工!$C$2:$P$700,0,MATCH($B437,元データ_加工!$C$1:$P$1,0)),元データ_加工!$A$2:$A$700,$A437,元データ_加工!$B$2:$B$700,M$5)</f>
        <v>0</v>
      </c>
      <c r="N437" s="26">
        <f>SUMIFS(INDEX(元データ_加工!$C$2:$P$700,0,MATCH($B437,元データ_加工!$C$1:$P$1,0)),元データ_加工!$A$2:$A$700,$A437,元データ_加工!$B$2:$B$700,N$5)</f>
        <v>0</v>
      </c>
      <c r="O437" s="26">
        <f t="shared" si="6"/>
        <v>0</v>
      </c>
      <c r="P437" s="7">
        <f>IFERROR(O437/SUMIFS(元データ_加工!$C$2:$C$700,元データ_加工!$A$2:$A$700,$A437),"")</f>
        <v>0</v>
      </c>
    </row>
    <row r="438" spans="1:16" x14ac:dyDescent="0.45">
      <c r="A438" t="s">
        <v>65</v>
      </c>
      <c r="B438" t="s">
        <v>112</v>
      </c>
      <c r="C438" s="26">
        <f>SUMIFS(INDEX(元データ_加工!$C$2:$P$700,0,MATCH($B438,元データ_加工!$C$1:$P$1,0)),元データ_加工!$A$2:$A$700,$A438,元データ_加工!$B$2:$B$700,C$5)</f>
        <v>0</v>
      </c>
      <c r="D438" s="26">
        <f>SUMIFS(INDEX(元データ_加工!$C$2:$P$700,0,MATCH($B438,元データ_加工!$C$1:$P$1,0)),元データ_加工!$A$2:$A$700,$A438,元データ_加工!$B$2:$B$700,D$5)</f>
        <v>0</v>
      </c>
      <c r="E438" s="26">
        <f>SUMIFS(INDEX(元データ_加工!$C$2:$P$700,0,MATCH($B438,元データ_加工!$C$1:$P$1,0)),元データ_加工!$A$2:$A$700,$A438,元データ_加工!$B$2:$B$700,E$5)</f>
        <v>0</v>
      </c>
      <c r="F438" s="26">
        <f>SUMIFS(INDEX(元データ_加工!$C$2:$P$700,0,MATCH($B438,元データ_加工!$C$1:$P$1,0)),元データ_加工!$A$2:$A$700,$A438,元データ_加工!$B$2:$B$700,F$5)</f>
        <v>0</v>
      </c>
      <c r="G438" s="26">
        <f>SUMIFS(INDEX(元データ_加工!$C$2:$P$700,0,MATCH($B438,元データ_加工!$C$1:$P$1,0)),元データ_加工!$A$2:$A$700,$A438,元データ_加工!$B$2:$B$700,G$5)</f>
        <v>0</v>
      </c>
      <c r="H438" s="26">
        <f>SUMIFS(INDEX(元データ_加工!$C$2:$P$700,0,MATCH($B438,元データ_加工!$C$1:$P$1,0)),元データ_加工!$A$2:$A$700,$A438,元データ_加工!$B$2:$B$700,H$5)</f>
        <v>0</v>
      </c>
      <c r="I438" s="26">
        <f>SUMIFS(INDEX(元データ_加工!$C$2:$P$700,0,MATCH($B438,元データ_加工!$C$1:$P$1,0)),元データ_加工!$A$2:$A$700,$A438,元データ_加工!$B$2:$B$700,I$5)</f>
        <v>0</v>
      </c>
      <c r="J438" s="26">
        <f>SUMIFS(INDEX(元データ_加工!$C$2:$P$700,0,MATCH($B438,元データ_加工!$C$1:$P$1,0)),元データ_加工!$A$2:$A$700,$A438,元データ_加工!$B$2:$B$700,J$5)</f>
        <v>2</v>
      </c>
      <c r="K438" s="26">
        <f>SUMIFS(INDEX(元データ_加工!$C$2:$P$700,0,MATCH($B438,元データ_加工!$C$1:$P$1,0)),元データ_加工!$A$2:$A$700,$A438,元データ_加工!$B$2:$B$700,K$5)</f>
        <v>2</v>
      </c>
      <c r="L438" s="26">
        <f>SUMIFS(INDEX(元データ_加工!$C$2:$P$700,0,MATCH($B438,元データ_加工!$C$1:$P$1,0)),元データ_加工!$A$2:$A$700,$A438,元データ_加工!$B$2:$B$700,L$5)</f>
        <v>1</v>
      </c>
      <c r="M438" s="26">
        <f>SUMIFS(INDEX(元データ_加工!$C$2:$P$700,0,MATCH($B438,元データ_加工!$C$1:$P$1,0)),元データ_加工!$A$2:$A$700,$A438,元データ_加工!$B$2:$B$700,M$5)</f>
        <v>0</v>
      </c>
      <c r="N438" s="26">
        <f>SUMIFS(INDEX(元データ_加工!$C$2:$P$700,0,MATCH($B438,元データ_加工!$C$1:$P$1,0)),元データ_加工!$A$2:$A$700,$A438,元データ_加工!$B$2:$B$700,N$5)</f>
        <v>0</v>
      </c>
      <c r="O438" s="26">
        <f t="shared" si="6"/>
        <v>5</v>
      </c>
      <c r="P438" s="7">
        <f>IFERROR(O438/SUMIFS(元データ_加工!$C$2:$C$700,元データ_加工!$A$2:$A$700,$A438),"")</f>
        <v>1.3561160835367508E-4</v>
      </c>
    </row>
    <row r="439" spans="1:16" x14ac:dyDescent="0.45">
      <c r="A439" t="s">
        <v>65</v>
      </c>
      <c r="B439" t="s">
        <v>113</v>
      </c>
      <c r="C439" s="26">
        <f>SUMIFS(INDEX(元データ_加工!$C$2:$P$700,0,MATCH($B439,元データ_加工!$C$1:$P$1,0)),元データ_加工!$A$2:$A$700,$A439,元データ_加工!$B$2:$B$700,C$5)</f>
        <v>9</v>
      </c>
      <c r="D439" s="26">
        <f>SUMIFS(INDEX(元データ_加工!$C$2:$P$700,0,MATCH($B439,元データ_加工!$C$1:$P$1,0)),元データ_加工!$A$2:$A$700,$A439,元データ_加工!$B$2:$B$700,D$5)</f>
        <v>3</v>
      </c>
      <c r="E439" s="26">
        <f>SUMIFS(INDEX(元データ_加工!$C$2:$P$700,0,MATCH($B439,元データ_加工!$C$1:$P$1,0)),元データ_加工!$A$2:$A$700,$A439,元データ_加工!$B$2:$B$700,E$5)</f>
        <v>0</v>
      </c>
      <c r="F439" s="26">
        <f>SUMIFS(INDEX(元データ_加工!$C$2:$P$700,0,MATCH($B439,元データ_加工!$C$1:$P$1,0)),元データ_加工!$A$2:$A$700,$A439,元データ_加工!$B$2:$B$700,F$5)</f>
        <v>0</v>
      </c>
      <c r="G439" s="26">
        <f>SUMIFS(INDEX(元データ_加工!$C$2:$P$700,0,MATCH($B439,元データ_加工!$C$1:$P$1,0)),元データ_加工!$A$2:$A$700,$A439,元データ_加工!$B$2:$B$700,G$5)</f>
        <v>0</v>
      </c>
      <c r="H439" s="26">
        <f>SUMIFS(INDEX(元データ_加工!$C$2:$P$700,0,MATCH($B439,元データ_加工!$C$1:$P$1,0)),元データ_加工!$A$2:$A$700,$A439,元データ_加工!$B$2:$B$700,H$5)</f>
        <v>0</v>
      </c>
      <c r="I439" s="26">
        <f>SUMIFS(INDEX(元データ_加工!$C$2:$P$700,0,MATCH($B439,元データ_加工!$C$1:$P$1,0)),元データ_加工!$A$2:$A$700,$A439,元データ_加工!$B$2:$B$700,I$5)</f>
        <v>0</v>
      </c>
      <c r="J439" s="26">
        <f>SUMIFS(INDEX(元データ_加工!$C$2:$P$700,0,MATCH($B439,元データ_加工!$C$1:$P$1,0)),元データ_加工!$A$2:$A$700,$A439,元データ_加工!$B$2:$B$700,J$5)</f>
        <v>0</v>
      </c>
      <c r="K439" s="26">
        <f>SUMIFS(INDEX(元データ_加工!$C$2:$P$700,0,MATCH($B439,元データ_加工!$C$1:$P$1,0)),元データ_加工!$A$2:$A$700,$A439,元データ_加工!$B$2:$B$700,K$5)</f>
        <v>0</v>
      </c>
      <c r="L439" s="26">
        <f>SUMIFS(INDEX(元データ_加工!$C$2:$P$700,0,MATCH($B439,元データ_加工!$C$1:$P$1,0)),元データ_加工!$A$2:$A$700,$A439,元データ_加工!$B$2:$B$700,L$5)</f>
        <v>0</v>
      </c>
      <c r="M439" s="26">
        <f>SUMIFS(INDEX(元データ_加工!$C$2:$P$700,0,MATCH($B439,元データ_加工!$C$1:$P$1,0)),元データ_加工!$A$2:$A$700,$A439,元データ_加工!$B$2:$B$700,M$5)</f>
        <v>0</v>
      </c>
      <c r="N439" s="26">
        <f>SUMIFS(INDEX(元データ_加工!$C$2:$P$700,0,MATCH($B439,元データ_加工!$C$1:$P$1,0)),元データ_加工!$A$2:$A$700,$A439,元データ_加工!$B$2:$B$700,N$5)</f>
        <v>0</v>
      </c>
      <c r="O439" s="26">
        <f t="shared" si="6"/>
        <v>12</v>
      </c>
      <c r="P439" s="7">
        <f>IFERROR(O439/SUMIFS(元データ_加工!$C$2:$C$700,元データ_加工!$A$2:$A$700,$A439),"")</f>
        <v>3.2546786004882016E-4</v>
      </c>
    </row>
    <row r="440" spans="1:16" x14ac:dyDescent="0.45">
      <c r="A440" t="s">
        <v>66</v>
      </c>
      <c r="B440" t="s">
        <v>100</v>
      </c>
      <c r="C440" s="26">
        <f>SUMIFS(INDEX(元データ_加工!$C$2:$P$700,0,MATCH($B440,元データ_加工!$C$1:$P$1,0)),元データ_加工!$A$2:$A$700,$A440,元データ_加工!$B$2:$B$700,C$5)</f>
        <v>849</v>
      </c>
      <c r="D440" s="26">
        <f>SUMIFS(INDEX(元データ_加工!$C$2:$P$700,0,MATCH($B440,元データ_加工!$C$1:$P$1,0)),元データ_加工!$A$2:$A$700,$A440,元データ_加工!$B$2:$B$700,D$5)</f>
        <v>941</v>
      </c>
      <c r="E440" s="26">
        <f>SUMIFS(INDEX(元データ_加工!$C$2:$P$700,0,MATCH($B440,元データ_加工!$C$1:$P$1,0)),元データ_加工!$A$2:$A$700,$A440,元データ_加工!$B$2:$B$700,E$5)</f>
        <v>1477</v>
      </c>
      <c r="F440" s="26">
        <f>SUMIFS(INDEX(元データ_加工!$C$2:$P$700,0,MATCH($B440,元データ_加工!$C$1:$P$1,0)),元データ_加工!$A$2:$A$700,$A440,元データ_加工!$B$2:$B$700,F$5)</f>
        <v>1415</v>
      </c>
      <c r="G440" s="26">
        <f>SUMIFS(INDEX(元データ_加工!$C$2:$P$700,0,MATCH($B440,元データ_加工!$C$1:$P$1,0)),元データ_加工!$A$2:$A$700,$A440,元データ_加工!$B$2:$B$700,G$5)</f>
        <v>1312</v>
      </c>
      <c r="H440" s="26">
        <f>SUMIFS(INDEX(元データ_加工!$C$2:$P$700,0,MATCH($B440,元データ_加工!$C$1:$P$1,0)),元データ_加工!$A$2:$A$700,$A440,元データ_加工!$B$2:$B$700,H$5)</f>
        <v>1017</v>
      </c>
      <c r="I440" s="26">
        <f>SUMIFS(INDEX(元データ_加工!$C$2:$P$700,0,MATCH($B440,元データ_加工!$C$1:$P$1,0)),元データ_加工!$A$2:$A$700,$A440,元データ_加工!$B$2:$B$700,I$5)</f>
        <v>860</v>
      </c>
      <c r="J440" s="26">
        <f>SUMIFS(INDEX(元データ_加工!$C$2:$P$700,0,MATCH($B440,元データ_加工!$C$1:$P$1,0)),元データ_加工!$A$2:$A$700,$A440,元データ_加工!$B$2:$B$700,J$5)</f>
        <v>1681</v>
      </c>
      <c r="K440" s="26">
        <f>SUMIFS(INDEX(元データ_加工!$C$2:$P$700,0,MATCH($B440,元データ_加工!$C$1:$P$1,0)),元データ_加工!$A$2:$A$700,$A440,元データ_加工!$B$2:$B$700,K$5)</f>
        <v>2718</v>
      </c>
      <c r="L440" s="26">
        <f>SUMIFS(INDEX(元データ_加工!$C$2:$P$700,0,MATCH($B440,元データ_加工!$C$1:$P$1,0)),元データ_加工!$A$2:$A$700,$A440,元データ_加工!$B$2:$B$700,L$5)</f>
        <v>1794</v>
      </c>
      <c r="M440" s="26">
        <f>SUMIFS(INDEX(元データ_加工!$C$2:$P$700,0,MATCH($B440,元データ_加工!$C$1:$P$1,0)),元データ_加工!$A$2:$A$700,$A440,元データ_加工!$B$2:$B$700,M$5)</f>
        <v>1862</v>
      </c>
      <c r="N440" s="26">
        <f>SUMIFS(INDEX(元データ_加工!$C$2:$P$700,0,MATCH($B440,元データ_加工!$C$1:$P$1,0)),元データ_加工!$A$2:$A$700,$A440,元データ_加工!$B$2:$B$700,N$5)</f>
        <v>1169</v>
      </c>
      <c r="O440" s="26">
        <f t="shared" si="6"/>
        <v>17095</v>
      </c>
      <c r="P440" s="7">
        <f>IFERROR(O440/SUMIFS(元データ_加工!$C$2:$C$700,元データ_加工!$A$2:$A$700,$A440),"")</f>
        <v>1</v>
      </c>
    </row>
    <row r="441" spans="1:16" x14ac:dyDescent="0.45">
      <c r="A441" t="s">
        <v>66</v>
      </c>
      <c r="B441" t="s">
        <v>101</v>
      </c>
      <c r="C441" s="26">
        <f>SUMIFS(INDEX(元データ_加工!$C$2:$P$700,0,MATCH($B441,元データ_加工!$C$1:$P$1,0)),元データ_加工!$A$2:$A$700,$A441,元データ_加工!$B$2:$B$700,C$5)</f>
        <v>747</v>
      </c>
      <c r="D441" s="26">
        <f>SUMIFS(INDEX(元データ_加工!$C$2:$P$700,0,MATCH($B441,元データ_加工!$C$1:$P$1,0)),元データ_加工!$A$2:$A$700,$A441,元データ_加工!$B$2:$B$700,D$5)</f>
        <v>967</v>
      </c>
      <c r="E441" s="26">
        <f>SUMIFS(INDEX(元データ_加工!$C$2:$P$700,0,MATCH($B441,元データ_加工!$C$1:$P$1,0)),元データ_加工!$A$2:$A$700,$A441,元データ_加工!$B$2:$B$700,E$5)</f>
        <v>854</v>
      </c>
      <c r="F441" s="26">
        <f>SUMIFS(INDEX(元データ_加工!$C$2:$P$700,0,MATCH($B441,元データ_加工!$C$1:$P$1,0)),元データ_加工!$A$2:$A$700,$A441,元データ_加工!$B$2:$B$700,F$5)</f>
        <v>790</v>
      </c>
      <c r="G441" s="26">
        <f>SUMIFS(INDEX(元データ_加工!$C$2:$P$700,0,MATCH($B441,元データ_加工!$C$1:$P$1,0)),元データ_加工!$A$2:$A$700,$A441,元データ_加工!$B$2:$B$700,G$5)</f>
        <v>935</v>
      </c>
      <c r="H441" s="26">
        <f>SUMIFS(INDEX(元データ_加工!$C$2:$P$700,0,MATCH($B441,元データ_加工!$C$1:$P$1,0)),元データ_加工!$A$2:$A$700,$A441,元データ_加工!$B$2:$B$700,H$5)</f>
        <v>713</v>
      </c>
      <c r="I441" s="26">
        <f>SUMIFS(INDEX(元データ_加工!$C$2:$P$700,0,MATCH($B441,元データ_加工!$C$1:$P$1,0)),元データ_加工!$A$2:$A$700,$A441,元データ_加工!$B$2:$B$700,I$5)</f>
        <v>788</v>
      </c>
      <c r="J441" s="26">
        <f>SUMIFS(INDEX(元データ_加工!$C$2:$P$700,0,MATCH($B441,元データ_加工!$C$1:$P$1,0)),元データ_加工!$A$2:$A$700,$A441,元データ_加工!$B$2:$B$700,J$5)</f>
        <v>975</v>
      </c>
      <c r="K441" s="26">
        <f>SUMIFS(INDEX(元データ_加工!$C$2:$P$700,0,MATCH($B441,元データ_加工!$C$1:$P$1,0)),元データ_加工!$A$2:$A$700,$A441,元データ_加工!$B$2:$B$700,K$5)</f>
        <v>996</v>
      </c>
      <c r="L441" s="26">
        <f>SUMIFS(INDEX(元データ_加工!$C$2:$P$700,0,MATCH($B441,元データ_加工!$C$1:$P$1,0)),元データ_加工!$A$2:$A$700,$A441,元データ_加工!$B$2:$B$700,L$5)</f>
        <v>890</v>
      </c>
      <c r="M441" s="26">
        <f>SUMIFS(INDEX(元データ_加工!$C$2:$P$700,0,MATCH($B441,元データ_加工!$C$1:$P$1,0)),元データ_加工!$A$2:$A$700,$A441,元データ_加工!$B$2:$B$700,M$5)</f>
        <v>988</v>
      </c>
      <c r="N441" s="26">
        <f>SUMIFS(INDEX(元データ_加工!$C$2:$P$700,0,MATCH($B441,元データ_加工!$C$1:$P$1,0)),元データ_加工!$A$2:$A$700,$A441,元データ_加工!$B$2:$B$700,N$5)</f>
        <v>816</v>
      </c>
      <c r="O441" s="26">
        <f t="shared" si="6"/>
        <v>10459</v>
      </c>
      <c r="P441" s="7">
        <f>IFERROR(O441/SUMIFS(元データ_加工!$C$2:$C$700,元データ_加工!$A$2:$A$700,$A441),"")</f>
        <v>0.61181632056156776</v>
      </c>
    </row>
    <row r="442" spans="1:16" x14ac:dyDescent="0.45">
      <c r="A442" t="s">
        <v>66</v>
      </c>
      <c r="B442" t="s">
        <v>102</v>
      </c>
      <c r="C442" s="26">
        <f>SUMIFS(INDEX(元データ_加工!$C$2:$P$700,0,MATCH($B442,元データ_加工!$C$1:$P$1,0)),元データ_加工!$A$2:$A$700,$A442,元データ_加工!$B$2:$B$700,C$5)</f>
        <v>0</v>
      </c>
      <c r="D442" s="26">
        <f>SUMIFS(INDEX(元データ_加工!$C$2:$P$700,0,MATCH($B442,元データ_加工!$C$1:$P$1,0)),元データ_加工!$A$2:$A$700,$A442,元データ_加工!$B$2:$B$700,D$5)</f>
        <v>0</v>
      </c>
      <c r="E442" s="26">
        <f>SUMIFS(INDEX(元データ_加工!$C$2:$P$700,0,MATCH($B442,元データ_加工!$C$1:$P$1,0)),元データ_加工!$A$2:$A$700,$A442,元データ_加工!$B$2:$B$700,E$5)</f>
        <v>0</v>
      </c>
      <c r="F442" s="26">
        <f>SUMIFS(INDEX(元データ_加工!$C$2:$P$700,0,MATCH($B442,元データ_加工!$C$1:$P$1,0)),元データ_加工!$A$2:$A$700,$A442,元データ_加工!$B$2:$B$700,F$5)</f>
        <v>0</v>
      </c>
      <c r="G442" s="26">
        <f>SUMIFS(INDEX(元データ_加工!$C$2:$P$700,0,MATCH($B442,元データ_加工!$C$1:$P$1,0)),元データ_加工!$A$2:$A$700,$A442,元データ_加工!$B$2:$B$700,G$5)</f>
        <v>0</v>
      </c>
      <c r="H442" s="26">
        <f>SUMIFS(INDEX(元データ_加工!$C$2:$P$700,0,MATCH($B442,元データ_加工!$C$1:$P$1,0)),元データ_加工!$A$2:$A$700,$A442,元データ_加工!$B$2:$B$700,H$5)</f>
        <v>0</v>
      </c>
      <c r="I442" s="26">
        <f>SUMIFS(INDEX(元データ_加工!$C$2:$P$700,0,MATCH($B442,元データ_加工!$C$1:$P$1,0)),元データ_加工!$A$2:$A$700,$A442,元データ_加工!$B$2:$B$700,I$5)</f>
        <v>1</v>
      </c>
      <c r="J442" s="26">
        <f>SUMIFS(INDEX(元データ_加工!$C$2:$P$700,0,MATCH($B442,元データ_加工!$C$1:$P$1,0)),元データ_加工!$A$2:$A$700,$A442,元データ_加工!$B$2:$B$700,J$5)</f>
        <v>7</v>
      </c>
      <c r="K442" s="26">
        <f>SUMIFS(INDEX(元データ_加工!$C$2:$P$700,0,MATCH($B442,元データ_加工!$C$1:$P$1,0)),元データ_加工!$A$2:$A$700,$A442,元データ_加工!$B$2:$B$700,K$5)</f>
        <v>0</v>
      </c>
      <c r="L442" s="26">
        <f>SUMIFS(INDEX(元データ_加工!$C$2:$P$700,0,MATCH($B442,元データ_加工!$C$1:$P$1,0)),元データ_加工!$A$2:$A$700,$A442,元データ_加工!$B$2:$B$700,L$5)</f>
        <v>0</v>
      </c>
      <c r="M442" s="26">
        <f>SUMIFS(INDEX(元データ_加工!$C$2:$P$700,0,MATCH($B442,元データ_加工!$C$1:$P$1,0)),元データ_加工!$A$2:$A$700,$A442,元データ_加工!$B$2:$B$700,M$5)</f>
        <v>0</v>
      </c>
      <c r="N442" s="26">
        <f>SUMIFS(INDEX(元データ_加工!$C$2:$P$700,0,MATCH($B442,元データ_加工!$C$1:$P$1,0)),元データ_加工!$A$2:$A$700,$A442,元データ_加工!$B$2:$B$700,N$5)</f>
        <v>0</v>
      </c>
      <c r="O442" s="26">
        <f t="shared" si="6"/>
        <v>8</v>
      </c>
      <c r="P442" s="7">
        <f>IFERROR(O442/SUMIFS(元データ_加工!$C$2:$C$700,元データ_加工!$A$2:$A$700,$A442),"")</f>
        <v>4.6797309154723605E-4</v>
      </c>
    </row>
    <row r="443" spans="1:16" x14ac:dyDescent="0.45">
      <c r="A443" t="s">
        <v>66</v>
      </c>
      <c r="B443" t="s">
        <v>103</v>
      </c>
      <c r="C443" s="26">
        <f>SUMIFS(INDEX(元データ_加工!$C$2:$P$700,0,MATCH($B443,元データ_加工!$C$1:$P$1,0)),元データ_加工!$A$2:$A$700,$A443,元データ_加工!$B$2:$B$700,C$5)</f>
        <v>0</v>
      </c>
      <c r="D443" s="26">
        <f>SUMIFS(INDEX(元データ_加工!$C$2:$P$700,0,MATCH($B443,元データ_加工!$C$1:$P$1,0)),元データ_加工!$A$2:$A$700,$A443,元データ_加工!$B$2:$B$700,D$5)</f>
        <v>0</v>
      </c>
      <c r="E443" s="26">
        <f>SUMIFS(INDEX(元データ_加工!$C$2:$P$700,0,MATCH($B443,元データ_加工!$C$1:$P$1,0)),元データ_加工!$A$2:$A$700,$A443,元データ_加工!$B$2:$B$700,E$5)</f>
        <v>0</v>
      </c>
      <c r="F443" s="26">
        <f>SUMIFS(INDEX(元データ_加工!$C$2:$P$700,0,MATCH($B443,元データ_加工!$C$1:$P$1,0)),元データ_加工!$A$2:$A$700,$A443,元データ_加工!$B$2:$B$700,F$5)</f>
        <v>10</v>
      </c>
      <c r="G443" s="26">
        <f>SUMIFS(INDEX(元データ_加工!$C$2:$P$700,0,MATCH($B443,元データ_加工!$C$1:$P$1,0)),元データ_加工!$A$2:$A$700,$A443,元データ_加工!$B$2:$B$700,G$5)</f>
        <v>25</v>
      </c>
      <c r="H443" s="26">
        <f>SUMIFS(INDEX(元データ_加工!$C$2:$P$700,0,MATCH($B443,元データ_加工!$C$1:$P$1,0)),元データ_加工!$A$2:$A$700,$A443,元データ_加工!$B$2:$B$700,H$5)</f>
        <v>12</v>
      </c>
      <c r="I443" s="26">
        <f>SUMIFS(INDEX(元データ_加工!$C$2:$P$700,0,MATCH($B443,元データ_加工!$C$1:$P$1,0)),元データ_加工!$A$2:$A$700,$A443,元データ_加工!$B$2:$B$700,I$5)</f>
        <v>5</v>
      </c>
      <c r="J443" s="26">
        <f>SUMIFS(INDEX(元データ_加工!$C$2:$P$700,0,MATCH($B443,元データ_加工!$C$1:$P$1,0)),元データ_加工!$A$2:$A$700,$A443,元データ_加工!$B$2:$B$700,J$5)</f>
        <v>0</v>
      </c>
      <c r="K443" s="26">
        <f>SUMIFS(INDEX(元データ_加工!$C$2:$P$700,0,MATCH($B443,元データ_加工!$C$1:$P$1,0)),元データ_加工!$A$2:$A$700,$A443,元データ_加工!$B$2:$B$700,K$5)</f>
        <v>5</v>
      </c>
      <c r="L443" s="26">
        <f>SUMIFS(INDEX(元データ_加工!$C$2:$P$700,0,MATCH($B443,元データ_加工!$C$1:$P$1,0)),元データ_加工!$A$2:$A$700,$A443,元データ_加工!$B$2:$B$700,L$5)</f>
        <v>0</v>
      </c>
      <c r="M443" s="26">
        <f>SUMIFS(INDEX(元データ_加工!$C$2:$P$700,0,MATCH($B443,元データ_加工!$C$1:$P$1,0)),元データ_加工!$A$2:$A$700,$A443,元データ_加工!$B$2:$B$700,M$5)</f>
        <v>0</v>
      </c>
      <c r="N443" s="26">
        <f>SUMIFS(INDEX(元データ_加工!$C$2:$P$700,0,MATCH($B443,元データ_加工!$C$1:$P$1,0)),元データ_加工!$A$2:$A$700,$A443,元データ_加工!$B$2:$B$700,N$5)</f>
        <v>0</v>
      </c>
      <c r="O443" s="26">
        <f t="shared" si="6"/>
        <v>57</v>
      </c>
      <c r="P443" s="7">
        <f>IFERROR(O443/SUMIFS(元データ_加工!$C$2:$C$700,元データ_加工!$A$2:$A$700,$A443),"")</f>
        <v>3.3343082772740568E-3</v>
      </c>
    </row>
    <row r="444" spans="1:16" x14ac:dyDescent="0.45">
      <c r="A444" t="s">
        <v>66</v>
      </c>
      <c r="B444" t="s">
        <v>104</v>
      </c>
      <c r="C444" s="26">
        <f>SUMIFS(INDEX(元データ_加工!$C$2:$P$700,0,MATCH($B444,元データ_加工!$C$1:$P$1,0)),元データ_加工!$A$2:$A$700,$A444,元データ_加工!$B$2:$B$700,C$5)</f>
        <v>19</v>
      </c>
      <c r="D444" s="26">
        <f>SUMIFS(INDEX(元データ_加工!$C$2:$P$700,0,MATCH($B444,元データ_加工!$C$1:$P$1,0)),元データ_加工!$A$2:$A$700,$A444,元データ_加工!$B$2:$B$700,D$5)</f>
        <v>8</v>
      </c>
      <c r="E444" s="26">
        <f>SUMIFS(INDEX(元データ_加工!$C$2:$P$700,0,MATCH($B444,元データ_加工!$C$1:$P$1,0)),元データ_加工!$A$2:$A$700,$A444,元データ_加工!$B$2:$B$700,E$5)</f>
        <v>8</v>
      </c>
      <c r="F444" s="26">
        <f>SUMIFS(INDEX(元データ_加工!$C$2:$P$700,0,MATCH($B444,元データ_加工!$C$1:$P$1,0)),元データ_加工!$A$2:$A$700,$A444,元データ_加工!$B$2:$B$700,F$5)</f>
        <v>27</v>
      </c>
      <c r="G444" s="26">
        <f>SUMIFS(INDEX(元データ_加工!$C$2:$P$700,0,MATCH($B444,元データ_加工!$C$1:$P$1,0)),元データ_加工!$A$2:$A$700,$A444,元データ_加工!$B$2:$B$700,G$5)</f>
        <v>52</v>
      </c>
      <c r="H444" s="26">
        <f>SUMIFS(INDEX(元データ_加工!$C$2:$P$700,0,MATCH($B444,元データ_加工!$C$1:$P$1,0)),元データ_加工!$A$2:$A$700,$A444,元データ_加工!$B$2:$B$700,H$5)</f>
        <v>20</v>
      </c>
      <c r="I444" s="26">
        <f>SUMIFS(INDEX(元データ_加工!$C$2:$P$700,0,MATCH($B444,元データ_加工!$C$1:$P$1,0)),元データ_加工!$A$2:$A$700,$A444,元データ_加工!$B$2:$B$700,I$5)</f>
        <v>23</v>
      </c>
      <c r="J444" s="26">
        <f>SUMIFS(INDEX(元データ_加工!$C$2:$P$700,0,MATCH($B444,元データ_加工!$C$1:$P$1,0)),元データ_加工!$A$2:$A$700,$A444,元データ_加工!$B$2:$B$700,J$5)</f>
        <v>88</v>
      </c>
      <c r="K444" s="26">
        <f>SUMIFS(INDEX(元データ_加工!$C$2:$P$700,0,MATCH($B444,元データ_加工!$C$1:$P$1,0)),元データ_加工!$A$2:$A$700,$A444,元データ_加工!$B$2:$B$700,K$5)</f>
        <v>66</v>
      </c>
      <c r="L444" s="26">
        <f>SUMIFS(INDEX(元データ_加工!$C$2:$P$700,0,MATCH($B444,元データ_加工!$C$1:$P$1,0)),元データ_加工!$A$2:$A$700,$A444,元データ_加工!$B$2:$B$700,L$5)</f>
        <v>64</v>
      </c>
      <c r="M444" s="26">
        <f>SUMIFS(INDEX(元データ_加工!$C$2:$P$700,0,MATCH($B444,元データ_加工!$C$1:$P$1,0)),元データ_加工!$A$2:$A$700,$A444,元データ_加工!$B$2:$B$700,M$5)</f>
        <v>32</v>
      </c>
      <c r="N444" s="26">
        <f>SUMIFS(INDEX(元データ_加工!$C$2:$P$700,0,MATCH($B444,元データ_加工!$C$1:$P$1,0)),元データ_加工!$A$2:$A$700,$A444,元データ_加工!$B$2:$B$700,N$5)</f>
        <v>8</v>
      </c>
      <c r="O444" s="26">
        <f t="shared" si="6"/>
        <v>415</v>
      </c>
      <c r="P444" s="7">
        <f>IFERROR(O444/SUMIFS(元データ_加工!$C$2:$C$700,元データ_加工!$A$2:$A$700,$A444),"")</f>
        <v>2.4276104124012869E-2</v>
      </c>
    </row>
    <row r="445" spans="1:16" x14ac:dyDescent="0.45">
      <c r="A445" t="s">
        <v>66</v>
      </c>
      <c r="B445" t="s">
        <v>105</v>
      </c>
      <c r="C445" s="26">
        <f>SUMIFS(INDEX(元データ_加工!$C$2:$P$700,0,MATCH($B445,元データ_加工!$C$1:$P$1,0)),元データ_加工!$A$2:$A$700,$A445,元データ_加工!$B$2:$B$700,C$5)</f>
        <v>0</v>
      </c>
      <c r="D445" s="26">
        <f>SUMIFS(INDEX(元データ_加工!$C$2:$P$700,0,MATCH($B445,元データ_加工!$C$1:$P$1,0)),元データ_加工!$A$2:$A$700,$A445,元データ_加工!$B$2:$B$700,D$5)</f>
        <v>2</v>
      </c>
      <c r="E445" s="26">
        <f>SUMIFS(INDEX(元データ_加工!$C$2:$P$700,0,MATCH($B445,元データ_加工!$C$1:$P$1,0)),元データ_加工!$A$2:$A$700,$A445,元データ_加工!$B$2:$B$700,E$5)</f>
        <v>6</v>
      </c>
      <c r="F445" s="26">
        <f>SUMIFS(INDEX(元データ_加工!$C$2:$P$700,0,MATCH($B445,元データ_加工!$C$1:$P$1,0)),元データ_加工!$A$2:$A$700,$A445,元データ_加工!$B$2:$B$700,F$5)</f>
        <v>6</v>
      </c>
      <c r="G445" s="26">
        <f>SUMIFS(INDEX(元データ_加工!$C$2:$P$700,0,MATCH($B445,元データ_加工!$C$1:$P$1,0)),元データ_加工!$A$2:$A$700,$A445,元データ_加工!$B$2:$B$700,G$5)</f>
        <v>8</v>
      </c>
      <c r="H445" s="26">
        <f>SUMIFS(INDEX(元データ_加工!$C$2:$P$700,0,MATCH($B445,元データ_加工!$C$1:$P$1,0)),元データ_加工!$A$2:$A$700,$A445,元データ_加工!$B$2:$B$700,H$5)</f>
        <v>12</v>
      </c>
      <c r="I445" s="26">
        <f>SUMIFS(INDEX(元データ_加工!$C$2:$P$700,0,MATCH($B445,元データ_加工!$C$1:$P$1,0)),元データ_加工!$A$2:$A$700,$A445,元データ_加工!$B$2:$B$700,I$5)</f>
        <v>3</v>
      </c>
      <c r="J445" s="26">
        <f>SUMIFS(INDEX(元データ_加工!$C$2:$P$700,0,MATCH($B445,元データ_加工!$C$1:$P$1,0)),元データ_加工!$A$2:$A$700,$A445,元データ_加工!$B$2:$B$700,J$5)</f>
        <v>30</v>
      </c>
      <c r="K445" s="26">
        <f>SUMIFS(INDEX(元データ_加工!$C$2:$P$700,0,MATCH($B445,元データ_加工!$C$1:$P$1,0)),元データ_加工!$A$2:$A$700,$A445,元データ_加工!$B$2:$B$700,K$5)</f>
        <v>56</v>
      </c>
      <c r="L445" s="26">
        <f>SUMIFS(INDEX(元データ_加工!$C$2:$P$700,0,MATCH($B445,元データ_加工!$C$1:$P$1,0)),元データ_加工!$A$2:$A$700,$A445,元データ_加工!$B$2:$B$700,L$5)</f>
        <v>19</v>
      </c>
      <c r="M445" s="26">
        <f>SUMIFS(INDEX(元データ_加工!$C$2:$P$700,0,MATCH($B445,元データ_加工!$C$1:$P$1,0)),元データ_加工!$A$2:$A$700,$A445,元データ_加工!$B$2:$B$700,M$5)</f>
        <v>11</v>
      </c>
      <c r="N445" s="26">
        <f>SUMIFS(INDEX(元データ_加工!$C$2:$P$700,0,MATCH($B445,元データ_加工!$C$1:$P$1,0)),元データ_加工!$A$2:$A$700,$A445,元データ_加工!$B$2:$B$700,N$5)</f>
        <v>6</v>
      </c>
      <c r="O445" s="26">
        <f t="shared" si="6"/>
        <v>159</v>
      </c>
      <c r="P445" s="7">
        <f>IFERROR(O445/SUMIFS(元データ_加工!$C$2:$C$700,元データ_加工!$A$2:$A$700,$A445),"")</f>
        <v>9.3009651945013157E-3</v>
      </c>
    </row>
    <row r="446" spans="1:16" x14ac:dyDescent="0.45">
      <c r="A446" t="s">
        <v>66</v>
      </c>
      <c r="B446" t="s">
        <v>106</v>
      </c>
      <c r="C446" s="26">
        <f>SUMIFS(INDEX(元データ_加工!$C$2:$P$700,0,MATCH($B446,元データ_加工!$C$1:$P$1,0)),元データ_加工!$A$2:$A$700,$A446,元データ_加工!$B$2:$B$700,C$5)</f>
        <v>76</v>
      </c>
      <c r="D446" s="26">
        <f>SUMIFS(INDEX(元データ_加工!$C$2:$P$700,0,MATCH($B446,元データ_加工!$C$1:$P$1,0)),元データ_加工!$A$2:$A$700,$A446,元データ_加工!$B$2:$B$700,D$5)</f>
        <v>98</v>
      </c>
      <c r="E446" s="26">
        <f>SUMIFS(INDEX(元データ_加工!$C$2:$P$700,0,MATCH($B446,元データ_加工!$C$1:$P$1,0)),元データ_加工!$A$2:$A$700,$A446,元データ_加工!$B$2:$B$700,E$5)</f>
        <v>151</v>
      </c>
      <c r="F446" s="26">
        <f>SUMIFS(INDEX(元データ_加工!$C$2:$P$700,0,MATCH($B446,元データ_加工!$C$1:$P$1,0)),元データ_加工!$A$2:$A$700,$A446,元データ_加工!$B$2:$B$700,F$5)</f>
        <v>104</v>
      </c>
      <c r="G446" s="26">
        <f>SUMIFS(INDEX(元データ_加工!$C$2:$P$700,0,MATCH($B446,元データ_加工!$C$1:$P$1,0)),元データ_加工!$A$2:$A$700,$A446,元データ_加工!$B$2:$B$700,G$5)</f>
        <v>69</v>
      </c>
      <c r="H446" s="26">
        <f>SUMIFS(INDEX(元データ_加工!$C$2:$P$700,0,MATCH($B446,元データ_加工!$C$1:$P$1,0)),元データ_加工!$A$2:$A$700,$A446,元データ_加工!$B$2:$B$700,H$5)</f>
        <v>35</v>
      </c>
      <c r="I446" s="26">
        <f>SUMIFS(INDEX(元データ_加工!$C$2:$P$700,0,MATCH($B446,元データ_加工!$C$1:$P$1,0)),元データ_加工!$A$2:$A$700,$A446,元データ_加工!$B$2:$B$700,I$5)</f>
        <v>60</v>
      </c>
      <c r="J446" s="26">
        <f>SUMIFS(INDEX(元データ_加工!$C$2:$P$700,0,MATCH($B446,元データ_加工!$C$1:$P$1,0)),元データ_加工!$A$2:$A$700,$A446,元データ_加工!$B$2:$B$700,J$5)</f>
        <v>113</v>
      </c>
      <c r="K446" s="26">
        <f>SUMIFS(INDEX(元データ_加工!$C$2:$P$700,0,MATCH($B446,元データ_加工!$C$1:$P$1,0)),元データ_加工!$A$2:$A$700,$A446,元データ_加工!$B$2:$B$700,K$5)</f>
        <v>99</v>
      </c>
      <c r="L446" s="26">
        <f>SUMIFS(INDEX(元データ_加工!$C$2:$P$700,0,MATCH($B446,元データ_加工!$C$1:$P$1,0)),元データ_加工!$A$2:$A$700,$A446,元データ_加工!$B$2:$B$700,L$5)</f>
        <v>97</v>
      </c>
      <c r="M446" s="26">
        <f>SUMIFS(INDEX(元データ_加工!$C$2:$P$700,0,MATCH($B446,元データ_加工!$C$1:$P$1,0)),元データ_加工!$A$2:$A$700,$A446,元データ_加工!$B$2:$B$700,M$5)</f>
        <v>194</v>
      </c>
      <c r="N446" s="26">
        <f>SUMIFS(INDEX(元データ_加工!$C$2:$P$700,0,MATCH($B446,元データ_加工!$C$1:$P$1,0)),元データ_加工!$A$2:$A$700,$A446,元データ_加工!$B$2:$B$700,N$5)</f>
        <v>145</v>
      </c>
      <c r="O446" s="26">
        <f t="shared" si="6"/>
        <v>1241</v>
      </c>
      <c r="P446" s="7">
        <f>IFERROR(O446/SUMIFS(元データ_加工!$C$2:$C$700,元データ_加工!$A$2:$A$700,$A446),"")</f>
        <v>7.2594325826264988E-2</v>
      </c>
    </row>
    <row r="447" spans="1:16" x14ac:dyDescent="0.45">
      <c r="A447" t="s">
        <v>66</v>
      </c>
      <c r="B447" t="s">
        <v>107</v>
      </c>
      <c r="C447" s="26">
        <f>SUMIFS(INDEX(元データ_加工!$C$2:$P$700,0,MATCH($B447,元データ_加工!$C$1:$P$1,0)),元データ_加工!$A$2:$A$700,$A447,元データ_加工!$B$2:$B$700,C$5)</f>
        <v>26</v>
      </c>
      <c r="D447" s="26">
        <f>SUMIFS(INDEX(元データ_加工!$C$2:$P$700,0,MATCH($B447,元データ_加工!$C$1:$P$1,0)),元データ_加工!$A$2:$A$700,$A447,元データ_加工!$B$2:$B$700,D$5)</f>
        <v>21</v>
      </c>
      <c r="E447" s="26">
        <f>SUMIFS(INDEX(元データ_加工!$C$2:$P$700,0,MATCH($B447,元データ_加工!$C$1:$P$1,0)),元データ_加工!$A$2:$A$700,$A447,元データ_加工!$B$2:$B$700,E$5)</f>
        <v>23</v>
      </c>
      <c r="F447" s="26">
        <f>SUMIFS(INDEX(元データ_加工!$C$2:$P$700,0,MATCH($B447,元データ_加工!$C$1:$P$1,0)),元データ_加工!$A$2:$A$700,$A447,元データ_加工!$B$2:$B$700,F$5)</f>
        <v>3</v>
      </c>
      <c r="G447" s="26">
        <f>SUMIFS(INDEX(元データ_加工!$C$2:$P$700,0,MATCH($B447,元データ_加工!$C$1:$P$1,0)),元データ_加工!$A$2:$A$700,$A447,元データ_加工!$B$2:$B$700,G$5)</f>
        <v>2</v>
      </c>
      <c r="H447" s="26">
        <f>SUMIFS(INDEX(元データ_加工!$C$2:$P$700,0,MATCH($B447,元データ_加工!$C$1:$P$1,0)),元データ_加工!$A$2:$A$700,$A447,元データ_加工!$B$2:$B$700,H$5)</f>
        <v>7</v>
      </c>
      <c r="I447" s="26">
        <f>SUMIFS(INDEX(元データ_加工!$C$2:$P$700,0,MATCH($B447,元データ_加工!$C$1:$P$1,0)),元データ_加工!$A$2:$A$700,$A447,元データ_加工!$B$2:$B$700,I$5)</f>
        <v>4</v>
      </c>
      <c r="J447" s="26">
        <f>SUMIFS(INDEX(元データ_加工!$C$2:$P$700,0,MATCH($B447,元データ_加工!$C$1:$P$1,0)),元データ_加工!$A$2:$A$700,$A447,元データ_加工!$B$2:$B$700,J$5)</f>
        <v>9</v>
      </c>
      <c r="K447" s="26">
        <f>SUMIFS(INDEX(元データ_加工!$C$2:$P$700,0,MATCH($B447,元データ_加工!$C$1:$P$1,0)),元データ_加工!$A$2:$A$700,$A447,元データ_加工!$B$2:$B$700,K$5)</f>
        <v>1</v>
      </c>
      <c r="L447" s="26">
        <f>SUMIFS(INDEX(元データ_加工!$C$2:$P$700,0,MATCH($B447,元データ_加工!$C$1:$P$1,0)),元データ_加工!$A$2:$A$700,$A447,元データ_加工!$B$2:$B$700,L$5)</f>
        <v>4</v>
      </c>
      <c r="M447" s="26">
        <f>SUMIFS(INDEX(元データ_加工!$C$2:$P$700,0,MATCH($B447,元データ_加工!$C$1:$P$1,0)),元データ_加工!$A$2:$A$700,$A447,元データ_加工!$B$2:$B$700,M$5)</f>
        <v>3</v>
      </c>
      <c r="N447" s="26">
        <f>SUMIFS(INDEX(元データ_加工!$C$2:$P$700,0,MATCH($B447,元データ_加工!$C$1:$P$1,0)),元データ_加工!$A$2:$A$700,$A447,元データ_加工!$B$2:$B$700,N$5)</f>
        <v>10</v>
      </c>
      <c r="O447" s="26">
        <f t="shared" si="6"/>
        <v>113</v>
      </c>
      <c r="P447" s="7">
        <f>IFERROR(O447/SUMIFS(元データ_加工!$C$2:$C$700,元データ_加工!$A$2:$A$700,$A447),"")</f>
        <v>6.6101199181047088E-3</v>
      </c>
    </row>
    <row r="448" spans="1:16" x14ac:dyDescent="0.45">
      <c r="A448" t="s">
        <v>66</v>
      </c>
      <c r="B448" t="s">
        <v>108</v>
      </c>
      <c r="C448" s="26">
        <f>SUMIFS(INDEX(元データ_加工!$C$2:$P$700,0,MATCH($B448,元データ_加工!$C$1:$P$1,0)),元データ_加工!$A$2:$A$700,$A448,元データ_加工!$B$2:$B$700,C$5)</f>
        <v>4</v>
      </c>
      <c r="D448" s="26">
        <f>SUMIFS(INDEX(元データ_加工!$C$2:$P$700,0,MATCH($B448,元データ_加工!$C$1:$P$1,0)),元データ_加工!$A$2:$A$700,$A448,元データ_加工!$B$2:$B$700,D$5)</f>
        <v>8</v>
      </c>
      <c r="E448" s="26">
        <f>SUMIFS(INDEX(元データ_加工!$C$2:$P$700,0,MATCH($B448,元データ_加工!$C$1:$P$1,0)),元データ_加工!$A$2:$A$700,$A448,元データ_加工!$B$2:$B$700,E$5)</f>
        <v>75</v>
      </c>
      <c r="F448" s="26">
        <f>SUMIFS(INDEX(元データ_加工!$C$2:$P$700,0,MATCH($B448,元データ_加工!$C$1:$P$1,0)),元データ_加工!$A$2:$A$700,$A448,元データ_加工!$B$2:$B$700,F$5)</f>
        <v>8</v>
      </c>
      <c r="G448" s="26">
        <f>SUMIFS(INDEX(元データ_加工!$C$2:$P$700,0,MATCH($B448,元データ_加工!$C$1:$P$1,0)),元データ_加工!$A$2:$A$700,$A448,元データ_加工!$B$2:$B$700,G$5)</f>
        <v>7</v>
      </c>
      <c r="H448" s="26">
        <f>SUMIFS(INDEX(元データ_加工!$C$2:$P$700,0,MATCH($B448,元データ_加工!$C$1:$P$1,0)),元データ_加工!$A$2:$A$700,$A448,元データ_加工!$B$2:$B$700,H$5)</f>
        <v>3</v>
      </c>
      <c r="I448" s="26">
        <f>SUMIFS(INDEX(元データ_加工!$C$2:$P$700,0,MATCH($B448,元データ_加工!$C$1:$P$1,0)),元データ_加工!$A$2:$A$700,$A448,元データ_加工!$B$2:$B$700,I$5)</f>
        <v>2</v>
      </c>
      <c r="J448" s="26">
        <f>SUMIFS(INDEX(元データ_加工!$C$2:$P$700,0,MATCH($B448,元データ_加工!$C$1:$P$1,0)),元データ_加工!$A$2:$A$700,$A448,元データ_加工!$B$2:$B$700,J$5)</f>
        <v>9</v>
      </c>
      <c r="K448" s="26">
        <f>SUMIFS(INDEX(元データ_加工!$C$2:$P$700,0,MATCH($B448,元データ_加工!$C$1:$P$1,0)),元データ_加工!$A$2:$A$700,$A448,元データ_加工!$B$2:$B$700,K$5)</f>
        <v>2</v>
      </c>
      <c r="L448" s="26">
        <f>SUMIFS(INDEX(元データ_加工!$C$2:$P$700,0,MATCH($B448,元データ_加工!$C$1:$P$1,0)),元データ_加工!$A$2:$A$700,$A448,元データ_加工!$B$2:$B$700,L$5)</f>
        <v>4</v>
      </c>
      <c r="M448" s="26">
        <f>SUMIFS(INDEX(元データ_加工!$C$2:$P$700,0,MATCH($B448,元データ_加工!$C$1:$P$1,0)),元データ_加工!$A$2:$A$700,$A448,元データ_加工!$B$2:$B$700,M$5)</f>
        <v>5</v>
      </c>
      <c r="N448" s="26">
        <f>SUMIFS(INDEX(元データ_加工!$C$2:$P$700,0,MATCH($B448,元データ_加工!$C$1:$P$1,0)),元データ_加工!$A$2:$A$700,$A448,元データ_加工!$B$2:$B$700,N$5)</f>
        <v>5</v>
      </c>
      <c r="O448" s="26">
        <f t="shared" si="6"/>
        <v>132</v>
      </c>
      <c r="P448" s="7">
        <f>IFERROR(O448/SUMIFS(元データ_加工!$C$2:$C$700,元データ_加工!$A$2:$A$700,$A448),"")</f>
        <v>7.7215560105293943E-3</v>
      </c>
    </row>
    <row r="449" spans="1:16" x14ac:dyDescent="0.45">
      <c r="A449" t="s">
        <v>66</v>
      </c>
      <c r="B449" t="s">
        <v>109</v>
      </c>
      <c r="C449" s="26">
        <f>SUMIFS(INDEX(元データ_加工!$C$2:$P$700,0,MATCH($B449,元データ_加工!$C$1:$P$1,0)),元データ_加工!$A$2:$A$700,$A449,元データ_加工!$B$2:$B$700,C$5)</f>
        <v>23</v>
      </c>
      <c r="D449" s="26">
        <f>SUMIFS(INDEX(元データ_加工!$C$2:$P$700,0,MATCH($B449,元データ_加工!$C$1:$P$1,0)),元データ_加工!$A$2:$A$700,$A449,元データ_加工!$B$2:$B$700,D$5)</f>
        <v>25</v>
      </c>
      <c r="E449" s="26">
        <f>SUMIFS(INDEX(元データ_加工!$C$2:$P$700,0,MATCH($B449,元データ_加工!$C$1:$P$1,0)),元データ_加工!$A$2:$A$700,$A449,元データ_加工!$B$2:$B$700,E$5)</f>
        <v>0</v>
      </c>
      <c r="F449" s="26">
        <f>SUMIFS(INDEX(元データ_加工!$C$2:$P$700,0,MATCH($B449,元データ_加工!$C$1:$P$1,0)),元データ_加工!$A$2:$A$700,$A449,元データ_加工!$B$2:$B$700,F$5)</f>
        <v>66</v>
      </c>
      <c r="G449" s="26">
        <f>SUMIFS(INDEX(元データ_加工!$C$2:$P$700,0,MATCH($B449,元データ_加工!$C$1:$P$1,0)),元データ_加工!$A$2:$A$700,$A449,元データ_加工!$B$2:$B$700,G$5)</f>
        <v>68</v>
      </c>
      <c r="H449" s="26">
        <f>SUMIFS(INDEX(元データ_加工!$C$2:$P$700,0,MATCH($B449,元データ_加工!$C$1:$P$1,0)),元データ_加工!$A$2:$A$700,$A449,元データ_加工!$B$2:$B$700,H$5)</f>
        <v>63</v>
      </c>
      <c r="I449" s="26">
        <f>SUMIFS(INDEX(元データ_加工!$C$2:$P$700,0,MATCH($B449,元データ_加工!$C$1:$P$1,0)),元データ_加工!$A$2:$A$700,$A449,元データ_加工!$B$2:$B$700,I$5)</f>
        <v>64</v>
      </c>
      <c r="J449" s="26">
        <f>SUMIFS(INDEX(元データ_加工!$C$2:$P$700,0,MATCH($B449,元データ_加工!$C$1:$P$1,0)),元データ_加工!$A$2:$A$700,$A449,元データ_加工!$B$2:$B$700,J$5)</f>
        <v>70</v>
      </c>
      <c r="K449" s="26">
        <f>SUMIFS(INDEX(元データ_加工!$C$2:$P$700,0,MATCH($B449,元データ_加工!$C$1:$P$1,0)),元データ_加工!$A$2:$A$700,$A449,元データ_加工!$B$2:$B$700,K$5)</f>
        <v>79</v>
      </c>
      <c r="L449" s="26">
        <f>SUMIFS(INDEX(元データ_加工!$C$2:$P$700,0,MATCH($B449,元データ_加工!$C$1:$P$1,0)),元データ_加工!$A$2:$A$700,$A449,元データ_加工!$B$2:$B$700,L$5)</f>
        <v>50</v>
      </c>
      <c r="M449" s="26">
        <f>SUMIFS(INDEX(元データ_加工!$C$2:$P$700,0,MATCH($B449,元データ_加工!$C$1:$P$1,0)),元データ_加工!$A$2:$A$700,$A449,元データ_加工!$B$2:$B$700,M$5)</f>
        <v>62</v>
      </c>
      <c r="N449" s="26">
        <f>SUMIFS(INDEX(元データ_加工!$C$2:$P$700,0,MATCH($B449,元データ_加工!$C$1:$P$1,0)),元データ_加工!$A$2:$A$700,$A449,元データ_加工!$B$2:$B$700,N$5)</f>
        <v>52</v>
      </c>
      <c r="O449" s="26">
        <f t="shared" si="6"/>
        <v>622</v>
      </c>
      <c r="P449" s="7">
        <f>IFERROR(O449/SUMIFS(元データ_加工!$C$2:$C$700,元データ_加工!$A$2:$A$700,$A449),"")</f>
        <v>3.6384907867797599E-2</v>
      </c>
    </row>
    <row r="450" spans="1:16" x14ac:dyDescent="0.45">
      <c r="A450" t="s">
        <v>66</v>
      </c>
      <c r="B450" t="s">
        <v>110</v>
      </c>
      <c r="C450" s="26">
        <f>SUMIFS(INDEX(元データ_加工!$C$2:$P$700,0,MATCH($B450,元データ_加工!$C$1:$P$1,0)),元データ_加工!$A$2:$A$700,$A450,元データ_加工!$B$2:$B$700,C$5)</f>
        <v>0</v>
      </c>
      <c r="D450" s="26">
        <f>SUMIFS(INDEX(元データ_加工!$C$2:$P$700,0,MATCH($B450,元データ_加工!$C$1:$P$1,0)),元データ_加工!$A$2:$A$700,$A450,元データ_加工!$B$2:$B$700,D$5)</f>
        <v>0</v>
      </c>
      <c r="E450" s="26">
        <f>SUMIFS(INDEX(元データ_加工!$C$2:$P$700,0,MATCH($B450,元データ_加工!$C$1:$P$1,0)),元データ_加工!$A$2:$A$700,$A450,元データ_加工!$B$2:$B$700,E$5)</f>
        <v>0</v>
      </c>
      <c r="F450" s="26">
        <f>SUMIFS(INDEX(元データ_加工!$C$2:$P$700,0,MATCH($B450,元データ_加工!$C$1:$P$1,0)),元データ_加工!$A$2:$A$700,$A450,元データ_加工!$B$2:$B$700,F$5)</f>
        <v>0</v>
      </c>
      <c r="G450" s="26">
        <f>SUMIFS(INDEX(元データ_加工!$C$2:$P$700,0,MATCH($B450,元データ_加工!$C$1:$P$1,0)),元データ_加工!$A$2:$A$700,$A450,元データ_加工!$B$2:$B$700,G$5)</f>
        <v>0</v>
      </c>
      <c r="H450" s="26">
        <f>SUMIFS(INDEX(元データ_加工!$C$2:$P$700,0,MATCH($B450,元データ_加工!$C$1:$P$1,0)),元データ_加工!$A$2:$A$700,$A450,元データ_加工!$B$2:$B$700,H$5)</f>
        <v>0</v>
      </c>
      <c r="I450" s="26">
        <f>SUMIFS(INDEX(元データ_加工!$C$2:$P$700,0,MATCH($B450,元データ_加工!$C$1:$P$1,0)),元データ_加工!$A$2:$A$700,$A450,元データ_加工!$B$2:$B$700,I$5)</f>
        <v>0</v>
      </c>
      <c r="J450" s="26">
        <f>SUMIFS(INDEX(元データ_加工!$C$2:$P$700,0,MATCH($B450,元データ_加工!$C$1:$P$1,0)),元データ_加工!$A$2:$A$700,$A450,元データ_加工!$B$2:$B$700,J$5)</f>
        <v>0</v>
      </c>
      <c r="K450" s="26">
        <f>SUMIFS(INDEX(元データ_加工!$C$2:$P$700,0,MATCH($B450,元データ_加工!$C$1:$P$1,0)),元データ_加工!$A$2:$A$700,$A450,元データ_加工!$B$2:$B$700,K$5)</f>
        <v>0</v>
      </c>
      <c r="L450" s="26">
        <f>SUMIFS(INDEX(元データ_加工!$C$2:$P$700,0,MATCH($B450,元データ_加工!$C$1:$P$1,0)),元データ_加工!$A$2:$A$700,$A450,元データ_加工!$B$2:$B$700,L$5)</f>
        <v>0</v>
      </c>
      <c r="M450" s="26">
        <f>SUMIFS(INDEX(元データ_加工!$C$2:$P$700,0,MATCH($B450,元データ_加工!$C$1:$P$1,0)),元データ_加工!$A$2:$A$700,$A450,元データ_加工!$B$2:$B$700,M$5)</f>
        <v>0</v>
      </c>
      <c r="N450" s="26">
        <f>SUMIFS(INDEX(元データ_加工!$C$2:$P$700,0,MATCH($B450,元データ_加工!$C$1:$P$1,0)),元データ_加工!$A$2:$A$700,$A450,元データ_加工!$B$2:$B$700,N$5)</f>
        <v>0</v>
      </c>
      <c r="O450" s="26">
        <f t="shared" si="6"/>
        <v>0</v>
      </c>
      <c r="P450" s="7">
        <f>IFERROR(O450/SUMIFS(元データ_加工!$C$2:$C$700,元データ_加工!$A$2:$A$700,$A450),"")</f>
        <v>0</v>
      </c>
    </row>
    <row r="451" spans="1:16" x14ac:dyDescent="0.45">
      <c r="A451" t="s">
        <v>66</v>
      </c>
      <c r="B451" t="s">
        <v>111</v>
      </c>
      <c r="C451" s="26">
        <f>SUMIFS(INDEX(元データ_加工!$C$2:$P$700,0,MATCH($B451,元データ_加工!$C$1:$P$1,0)),元データ_加工!$A$2:$A$700,$A451,元データ_加工!$B$2:$B$700,C$5)</f>
        <v>0</v>
      </c>
      <c r="D451" s="26">
        <f>SUMIFS(INDEX(元データ_加工!$C$2:$P$700,0,MATCH($B451,元データ_加工!$C$1:$P$1,0)),元データ_加工!$A$2:$A$700,$A451,元データ_加工!$B$2:$B$700,D$5)</f>
        <v>0</v>
      </c>
      <c r="E451" s="26">
        <f>SUMIFS(INDEX(元データ_加工!$C$2:$P$700,0,MATCH($B451,元データ_加工!$C$1:$P$1,0)),元データ_加工!$A$2:$A$700,$A451,元データ_加工!$B$2:$B$700,E$5)</f>
        <v>0</v>
      </c>
      <c r="F451" s="26">
        <f>SUMIFS(INDEX(元データ_加工!$C$2:$P$700,0,MATCH($B451,元データ_加工!$C$1:$P$1,0)),元データ_加工!$A$2:$A$700,$A451,元データ_加工!$B$2:$B$700,F$5)</f>
        <v>0</v>
      </c>
      <c r="G451" s="26">
        <f>SUMIFS(INDEX(元データ_加工!$C$2:$P$700,0,MATCH($B451,元データ_加工!$C$1:$P$1,0)),元データ_加工!$A$2:$A$700,$A451,元データ_加工!$B$2:$B$700,G$5)</f>
        <v>0</v>
      </c>
      <c r="H451" s="26">
        <f>SUMIFS(INDEX(元データ_加工!$C$2:$P$700,0,MATCH($B451,元データ_加工!$C$1:$P$1,0)),元データ_加工!$A$2:$A$700,$A451,元データ_加工!$B$2:$B$700,H$5)</f>
        <v>0</v>
      </c>
      <c r="I451" s="26">
        <f>SUMIFS(INDEX(元データ_加工!$C$2:$P$700,0,MATCH($B451,元データ_加工!$C$1:$P$1,0)),元データ_加工!$A$2:$A$700,$A451,元データ_加工!$B$2:$B$700,I$5)</f>
        <v>0</v>
      </c>
      <c r="J451" s="26">
        <f>SUMIFS(INDEX(元データ_加工!$C$2:$P$700,0,MATCH($B451,元データ_加工!$C$1:$P$1,0)),元データ_加工!$A$2:$A$700,$A451,元データ_加工!$B$2:$B$700,J$5)</f>
        <v>0</v>
      </c>
      <c r="K451" s="26">
        <f>SUMIFS(INDEX(元データ_加工!$C$2:$P$700,0,MATCH($B451,元データ_加工!$C$1:$P$1,0)),元データ_加工!$A$2:$A$700,$A451,元データ_加工!$B$2:$B$700,K$5)</f>
        <v>0</v>
      </c>
      <c r="L451" s="26">
        <f>SUMIFS(INDEX(元データ_加工!$C$2:$P$700,0,MATCH($B451,元データ_加工!$C$1:$P$1,0)),元データ_加工!$A$2:$A$700,$A451,元データ_加工!$B$2:$B$700,L$5)</f>
        <v>0</v>
      </c>
      <c r="M451" s="26">
        <f>SUMIFS(INDEX(元データ_加工!$C$2:$P$700,0,MATCH($B451,元データ_加工!$C$1:$P$1,0)),元データ_加工!$A$2:$A$700,$A451,元データ_加工!$B$2:$B$700,M$5)</f>
        <v>0</v>
      </c>
      <c r="N451" s="26">
        <f>SUMIFS(INDEX(元データ_加工!$C$2:$P$700,0,MATCH($B451,元データ_加工!$C$1:$P$1,0)),元データ_加工!$A$2:$A$700,$A451,元データ_加工!$B$2:$B$700,N$5)</f>
        <v>0</v>
      </c>
      <c r="O451" s="26">
        <f t="shared" si="6"/>
        <v>0</v>
      </c>
      <c r="P451" s="7">
        <f>IFERROR(O451/SUMIFS(元データ_加工!$C$2:$C$700,元データ_加工!$A$2:$A$700,$A451),"")</f>
        <v>0</v>
      </c>
    </row>
    <row r="452" spans="1:16" x14ac:dyDescent="0.45">
      <c r="A452" t="s">
        <v>66</v>
      </c>
      <c r="B452" t="s">
        <v>112</v>
      </c>
      <c r="C452" s="26">
        <f>SUMIFS(INDEX(元データ_加工!$C$2:$P$700,0,MATCH($B452,元データ_加工!$C$1:$P$1,0)),元データ_加工!$A$2:$A$700,$A452,元データ_加工!$B$2:$B$700,C$5)</f>
        <v>0</v>
      </c>
      <c r="D452" s="26">
        <f>SUMIFS(INDEX(元データ_加工!$C$2:$P$700,0,MATCH($B452,元データ_加工!$C$1:$P$1,0)),元データ_加工!$A$2:$A$700,$A452,元データ_加工!$B$2:$B$700,D$5)</f>
        <v>0</v>
      </c>
      <c r="E452" s="26">
        <f>SUMIFS(INDEX(元データ_加工!$C$2:$P$700,0,MATCH($B452,元データ_加工!$C$1:$P$1,0)),元データ_加工!$A$2:$A$700,$A452,元データ_加工!$B$2:$B$700,E$5)</f>
        <v>1</v>
      </c>
      <c r="F452" s="26">
        <f>SUMIFS(INDEX(元データ_加工!$C$2:$P$700,0,MATCH($B452,元データ_加工!$C$1:$P$1,0)),元データ_加工!$A$2:$A$700,$A452,元データ_加工!$B$2:$B$700,F$5)</f>
        <v>0</v>
      </c>
      <c r="G452" s="26">
        <f>SUMIFS(INDEX(元データ_加工!$C$2:$P$700,0,MATCH($B452,元データ_加工!$C$1:$P$1,0)),元データ_加工!$A$2:$A$700,$A452,元データ_加工!$B$2:$B$700,G$5)</f>
        <v>0</v>
      </c>
      <c r="H452" s="26">
        <f>SUMIFS(INDEX(元データ_加工!$C$2:$P$700,0,MATCH($B452,元データ_加工!$C$1:$P$1,0)),元データ_加工!$A$2:$A$700,$A452,元データ_加工!$B$2:$B$700,H$5)</f>
        <v>2</v>
      </c>
      <c r="I452" s="26">
        <f>SUMIFS(INDEX(元データ_加工!$C$2:$P$700,0,MATCH($B452,元データ_加工!$C$1:$P$1,0)),元データ_加工!$A$2:$A$700,$A452,元データ_加工!$B$2:$B$700,I$5)</f>
        <v>0</v>
      </c>
      <c r="J452" s="26">
        <f>SUMIFS(INDEX(元データ_加工!$C$2:$P$700,0,MATCH($B452,元データ_加工!$C$1:$P$1,0)),元データ_加工!$A$2:$A$700,$A452,元データ_加工!$B$2:$B$700,J$5)</f>
        <v>0</v>
      </c>
      <c r="K452" s="26">
        <f>SUMIFS(INDEX(元データ_加工!$C$2:$P$700,0,MATCH($B452,元データ_加工!$C$1:$P$1,0)),元データ_加工!$A$2:$A$700,$A452,元データ_加工!$B$2:$B$700,K$5)</f>
        <v>11</v>
      </c>
      <c r="L452" s="26">
        <f>SUMIFS(INDEX(元データ_加工!$C$2:$P$700,0,MATCH($B452,元データ_加工!$C$1:$P$1,0)),元データ_加工!$A$2:$A$700,$A452,元データ_加工!$B$2:$B$700,L$5)</f>
        <v>0</v>
      </c>
      <c r="M452" s="26">
        <f>SUMIFS(INDEX(元データ_加工!$C$2:$P$700,0,MATCH($B452,元データ_加工!$C$1:$P$1,0)),元データ_加工!$A$2:$A$700,$A452,元データ_加工!$B$2:$B$700,M$5)</f>
        <v>0</v>
      </c>
      <c r="N452" s="26">
        <f>SUMIFS(INDEX(元データ_加工!$C$2:$P$700,0,MATCH($B452,元データ_加工!$C$1:$P$1,0)),元データ_加工!$A$2:$A$700,$A452,元データ_加工!$B$2:$B$700,N$5)</f>
        <v>0</v>
      </c>
      <c r="O452" s="26">
        <f t="shared" si="6"/>
        <v>14</v>
      </c>
      <c r="P452" s="7">
        <f>IFERROR(O452/SUMIFS(元データ_加工!$C$2:$C$700,元データ_加工!$A$2:$A$700,$A452),"")</f>
        <v>8.1895291020766311E-4</v>
      </c>
    </row>
    <row r="453" spans="1:16" x14ac:dyDescent="0.45">
      <c r="A453" t="s">
        <v>66</v>
      </c>
      <c r="B453" t="s">
        <v>113</v>
      </c>
      <c r="C453" s="26">
        <f>SUMIFS(INDEX(元データ_加工!$C$2:$P$700,0,MATCH($B453,元データ_加工!$C$1:$P$1,0)),元データ_加工!$A$2:$A$700,$A453,元データ_加工!$B$2:$B$700,C$5)</f>
        <v>1</v>
      </c>
      <c r="D453" s="26">
        <f>SUMIFS(INDEX(元データ_加工!$C$2:$P$700,0,MATCH($B453,元データ_加工!$C$1:$P$1,0)),元データ_加工!$A$2:$A$700,$A453,元データ_加工!$B$2:$B$700,D$5)</f>
        <v>0</v>
      </c>
      <c r="E453" s="26">
        <f>SUMIFS(INDEX(元データ_加工!$C$2:$P$700,0,MATCH($B453,元データ_加工!$C$1:$P$1,0)),元データ_加工!$A$2:$A$700,$A453,元データ_加工!$B$2:$B$700,E$5)</f>
        <v>3</v>
      </c>
      <c r="F453" s="26">
        <f>SUMIFS(INDEX(元データ_加工!$C$2:$P$700,0,MATCH($B453,元データ_加工!$C$1:$P$1,0)),元データ_加工!$A$2:$A$700,$A453,元データ_加工!$B$2:$B$700,F$5)</f>
        <v>4</v>
      </c>
      <c r="G453" s="26">
        <f>SUMIFS(INDEX(元データ_加工!$C$2:$P$700,0,MATCH($B453,元データ_加工!$C$1:$P$1,0)),元データ_加工!$A$2:$A$700,$A453,元データ_加工!$B$2:$B$700,G$5)</f>
        <v>1</v>
      </c>
      <c r="H453" s="26">
        <f>SUMIFS(INDEX(元データ_加工!$C$2:$P$700,0,MATCH($B453,元データ_加工!$C$1:$P$1,0)),元データ_加工!$A$2:$A$700,$A453,元データ_加工!$B$2:$B$700,H$5)</f>
        <v>3</v>
      </c>
      <c r="I453" s="26">
        <f>SUMIFS(INDEX(元データ_加工!$C$2:$P$700,0,MATCH($B453,元データ_加工!$C$1:$P$1,0)),元データ_加工!$A$2:$A$700,$A453,元データ_加工!$B$2:$B$700,I$5)</f>
        <v>1</v>
      </c>
      <c r="J453" s="26">
        <f>SUMIFS(INDEX(元データ_加工!$C$2:$P$700,0,MATCH($B453,元データ_加工!$C$1:$P$1,0)),元データ_加工!$A$2:$A$700,$A453,元データ_加工!$B$2:$B$700,J$5)</f>
        <v>3</v>
      </c>
      <c r="K453" s="26">
        <f>SUMIFS(INDEX(元データ_加工!$C$2:$P$700,0,MATCH($B453,元データ_加工!$C$1:$P$1,0)),元データ_加工!$A$2:$A$700,$A453,元データ_加工!$B$2:$B$700,K$5)</f>
        <v>1</v>
      </c>
      <c r="L453" s="26">
        <f>SUMIFS(INDEX(元データ_加工!$C$2:$P$700,0,MATCH($B453,元データ_加工!$C$1:$P$1,0)),元データ_加工!$A$2:$A$700,$A453,元データ_加工!$B$2:$B$700,L$5)</f>
        <v>2</v>
      </c>
      <c r="M453" s="26">
        <f>SUMIFS(INDEX(元データ_加工!$C$2:$P$700,0,MATCH($B453,元データ_加工!$C$1:$P$1,0)),元データ_加工!$A$2:$A$700,$A453,元データ_加工!$B$2:$B$700,M$5)</f>
        <v>0</v>
      </c>
      <c r="N453" s="26">
        <f>SUMIFS(INDEX(元データ_加工!$C$2:$P$700,0,MATCH($B453,元データ_加工!$C$1:$P$1,0)),元データ_加工!$A$2:$A$700,$A453,元データ_加工!$B$2:$B$700,N$5)</f>
        <v>3</v>
      </c>
      <c r="O453" s="26">
        <f t="shared" si="6"/>
        <v>22</v>
      </c>
      <c r="P453" s="7">
        <f>IFERROR(O453/SUMIFS(元データ_加工!$C$2:$C$700,元データ_加工!$A$2:$A$700,$A453),"")</f>
        <v>1.286926001754899E-3</v>
      </c>
    </row>
    <row r="454" spans="1:16" x14ac:dyDescent="0.45">
      <c r="A454" t="s">
        <v>67</v>
      </c>
      <c r="B454" t="s">
        <v>100</v>
      </c>
      <c r="C454" s="26">
        <f>SUMIFS(INDEX(元データ_加工!$C$2:$P$700,0,MATCH($B454,元データ_加工!$C$1:$P$1,0)),元データ_加工!$A$2:$A$700,$A454,元データ_加工!$B$2:$B$700,C$5)</f>
        <v>1585</v>
      </c>
      <c r="D454" s="26">
        <f>SUMIFS(INDEX(元データ_加工!$C$2:$P$700,0,MATCH($B454,元データ_加工!$C$1:$P$1,0)),元データ_加工!$A$2:$A$700,$A454,元データ_加工!$B$2:$B$700,D$5)</f>
        <v>1618</v>
      </c>
      <c r="E454" s="26">
        <f>SUMIFS(INDEX(元データ_加工!$C$2:$P$700,0,MATCH($B454,元データ_加工!$C$1:$P$1,0)),元データ_加工!$A$2:$A$700,$A454,元データ_加工!$B$2:$B$700,E$5)</f>
        <v>3364</v>
      </c>
      <c r="F454" s="26">
        <f>SUMIFS(INDEX(元データ_加工!$C$2:$P$700,0,MATCH($B454,元データ_加工!$C$1:$P$1,0)),元データ_加工!$A$2:$A$700,$A454,元データ_加工!$B$2:$B$700,F$5)</f>
        <v>2279</v>
      </c>
      <c r="G454" s="26">
        <f>SUMIFS(INDEX(元データ_加工!$C$2:$P$700,0,MATCH($B454,元データ_加工!$C$1:$P$1,0)),元データ_加工!$A$2:$A$700,$A454,元データ_加工!$B$2:$B$700,G$5)</f>
        <v>2227</v>
      </c>
      <c r="H454" s="26">
        <f>SUMIFS(INDEX(元データ_加工!$C$2:$P$700,0,MATCH($B454,元データ_加工!$C$1:$P$1,0)),元データ_加工!$A$2:$A$700,$A454,元データ_加工!$B$2:$B$700,H$5)</f>
        <v>1578</v>
      </c>
      <c r="I454" s="26">
        <f>SUMIFS(INDEX(元データ_加工!$C$2:$P$700,0,MATCH($B454,元データ_加工!$C$1:$P$1,0)),元データ_加工!$A$2:$A$700,$A454,元データ_加工!$B$2:$B$700,I$5)</f>
        <v>1536</v>
      </c>
      <c r="J454" s="26">
        <f>SUMIFS(INDEX(元データ_加工!$C$2:$P$700,0,MATCH($B454,元データ_加工!$C$1:$P$1,0)),元データ_加工!$A$2:$A$700,$A454,元データ_加工!$B$2:$B$700,J$5)</f>
        <v>2643</v>
      </c>
      <c r="K454" s="26">
        <f>SUMIFS(INDEX(元データ_加工!$C$2:$P$700,0,MATCH($B454,元データ_加工!$C$1:$P$1,0)),元データ_加工!$A$2:$A$700,$A454,元データ_加工!$B$2:$B$700,K$5)</f>
        <v>4372</v>
      </c>
      <c r="L454" s="26">
        <f>SUMIFS(INDEX(元データ_加工!$C$2:$P$700,0,MATCH($B454,元データ_加工!$C$1:$P$1,0)),元データ_加工!$A$2:$A$700,$A454,元データ_加工!$B$2:$B$700,L$5)</f>
        <v>3025</v>
      </c>
      <c r="M454" s="26">
        <f>SUMIFS(INDEX(元データ_加工!$C$2:$P$700,0,MATCH($B454,元データ_加工!$C$1:$P$1,0)),元データ_加工!$A$2:$A$700,$A454,元データ_加工!$B$2:$B$700,M$5)</f>
        <v>2556</v>
      </c>
      <c r="N454" s="26">
        <f>SUMIFS(INDEX(元データ_加工!$C$2:$P$700,0,MATCH($B454,元データ_加工!$C$1:$P$1,0)),元データ_加工!$A$2:$A$700,$A454,元データ_加工!$B$2:$B$700,N$5)</f>
        <v>2089</v>
      </c>
      <c r="O454" s="26">
        <f t="shared" si="6"/>
        <v>28872</v>
      </c>
      <c r="P454" s="7">
        <f>IFERROR(O454/SUMIFS(元データ_加工!$C$2:$C$700,元データ_加工!$A$2:$A$700,$A454),"")</f>
        <v>1</v>
      </c>
    </row>
    <row r="455" spans="1:16" x14ac:dyDescent="0.45">
      <c r="A455" t="s">
        <v>67</v>
      </c>
      <c r="B455" t="s">
        <v>101</v>
      </c>
      <c r="C455" s="26">
        <f>SUMIFS(INDEX(元データ_加工!$C$2:$P$700,0,MATCH($B455,元データ_加工!$C$1:$P$1,0)),元データ_加工!$A$2:$A$700,$A455,元データ_加工!$B$2:$B$700,C$5)</f>
        <v>1007</v>
      </c>
      <c r="D455" s="26">
        <f>SUMIFS(INDEX(元データ_加工!$C$2:$P$700,0,MATCH($B455,元データ_加工!$C$1:$P$1,0)),元データ_加工!$A$2:$A$700,$A455,元データ_加工!$B$2:$B$700,D$5)</f>
        <v>1021</v>
      </c>
      <c r="E455" s="26">
        <f>SUMIFS(INDEX(元データ_加工!$C$2:$P$700,0,MATCH($B455,元データ_加工!$C$1:$P$1,0)),元データ_加工!$A$2:$A$700,$A455,元データ_加工!$B$2:$B$700,E$5)</f>
        <v>1322</v>
      </c>
      <c r="F455" s="26">
        <f>SUMIFS(INDEX(元データ_加工!$C$2:$P$700,0,MATCH($B455,元データ_加工!$C$1:$P$1,0)),元データ_加工!$A$2:$A$700,$A455,元データ_加工!$B$2:$B$700,F$5)</f>
        <v>1116</v>
      </c>
      <c r="G455" s="26">
        <f>SUMIFS(INDEX(元データ_加工!$C$2:$P$700,0,MATCH($B455,元データ_加工!$C$1:$P$1,0)),元データ_加工!$A$2:$A$700,$A455,元データ_加工!$B$2:$B$700,G$5)</f>
        <v>1146</v>
      </c>
      <c r="H455" s="26">
        <f>SUMIFS(INDEX(元データ_加工!$C$2:$P$700,0,MATCH($B455,元データ_加工!$C$1:$P$1,0)),元データ_加工!$A$2:$A$700,$A455,元データ_加工!$B$2:$B$700,H$5)</f>
        <v>848</v>
      </c>
      <c r="I455" s="26">
        <f>SUMIFS(INDEX(元データ_加工!$C$2:$P$700,0,MATCH($B455,元データ_加工!$C$1:$P$1,0)),元データ_加工!$A$2:$A$700,$A455,元データ_加工!$B$2:$B$700,I$5)</f>
        <v>965</v>
      </c>
      <c r="J455" s="26">
        <f>SUMIFS(INDEX(元データ_加工!$C$2:$P$700,0,MATCH($B455,元データ_加工!$C$1:$P$1,0)),元データ_加工!$A$2:$A$700,$A455,元データ_加工!$B$2:$B$700,J$5)</f>
        <v>1065</v>
      </c>
      <c r="K455" s="26">
        <f>SUMIFS(INDEX(元データ_加工!$C$2:$P$700,0,MATCH($B455,元データ_加工!$C$1:$P$1,0)),元データ_加工!$A$2:$A$700,$A455,元データ_加工!$B$2:$B$700,K$5)</f>
        <v>1123</v>
      </c>
      <c r="L455" s="26">
        <f>SUMIFS(INDEX(元データ_加工!$C$2:$P$700,0,MATCH($B455,元データ_加工!$C$1:$P$1,0)),元データ_加工!$A$2:$A$700,$A455,元データ_加工!$B$2:$B$700,L$5)</f>
        <v>1093</v>
      </c>
      <c r="M455" s="26">
        <f>SUMIFS(INDEX(元データ_加工!$C$2:$P$700,0,MATCH($B455,元データ_加工!$C$1:$P$1,0)),元データ_加工!$A$2:$A$700,$A455,元データ_加工!$B$2:$B$700,M$5)</f>
        <v>1060</v>
      </c>
      <c r="N455" s="26">
        <f>SUMIFS(INDEX(元データ_加工!$C$2:$P$700,0,MATCH($B455,元データ_加工!$C$1:$P$1,0)),元データ_加工!$A$2:$A$700,$A455,元データ_加工!$B$2:$B$700,N$5)</f>
        <v>1068</v>
      </c>
      <c r="O455" s="26">
        <f t="shared" ref="O455:O518" si="7">SUM(C455:N455)</f>
        <v>12834</v>
      </c>
      <c r="P455" s="7">
        <f>IFERROR(O455/SUMIFS(元データ_加工!$C$2:$C$700,元データ_加工!$A$2:$A$700,$A455),"")</f>
        <v>0.44451371571072318</v>
      </c>
    </row>
    <row r="456" spans="1:16" x14ac:dyDescent="0.45">
      <c r="A456" t="s">
        <v>67</v>
      </c>
      <c r="B456" t="s">
        <v>102</v>
      </c>
      <c r="C456" s="26">
        <f>SUMIFS(INDEX(元データ_加工!$C$2:$P$700,0,MATCH($B456,元データ_加工!$C$1:$P$1,0)),元データ_加工!$A$2:$A$700,$A456,元データ_加工!$B$2:$B$700,C$5)</f>
        <v>0</v>
      </c>
      <c r="D456" s="26">
        <f>SUMIFS(INDEX(元データ_加工!$C$2:$P$700,0,MATCH($B456,元データ_加工!$C$1:$P$1,0)),元データ_加工!$A$2:$A$700,$A456,元データ_加工!$B$2:$B$700,D$5)</f>
        <v>0</v>
      </c>
      <c r="E456" s="26">
        <f>SUMIFS(INDEX(元データ_加工!$C$2:$P$700,0,MATCH($B456,元データ_加工!$C$1:$P$1,0)),元データ_加工!$A$2:$A$700,$A456,元データ_加工!$B$2:$B$700,E$5)</f>
        <v>0</v>
      </c>
      <c r="F456" s="26">
        <f>SUMIFS(INDEX(元データ_加工!$C$2:$P$700,0,MATCH($B456,元データ_加工!$C$1:$P$1,0)),元データ_加工!$A$2:$A$700,$A456,元データ_加工!$B$2:$B$700,F$5)</f>
        <v>0</v>
      </c>
      <c r="G456" s="26">
        <f>SUMIFS(INDEX(元データ_加工!$C$2:$P$700,0,MATCH($B456,元データ_加工!$C$1:$P$1,0)),元データ_加工!$A$2:$A$700,$A456,元データ_加工!$B$2:$B$700,G$5)</f>
        <v>3</v>
      </c>
      <c r="H456" s="26">
        <f>SUMIFS(INDEX(元データ_加工!$C$2:$P$700,0,MATCH($B456,元データ_加工!$C$1:$P$1,0)),元データ_加工!$A$2:$A$700,$A456,元データ_加工!$B$2:$B$700,H$5)</f>
        <v>0</v>
      </c>
      <c r="I456" s="26">
        <f>SUMIFS(INDEX(元データ_加工!$C$2:$P$700,0,MATCH($B456,元データ_加工!$C$1:$P$1,0)),元データ_加工!$A$2:$A$700,$A456,元データ_加工!$B$2:$B$700,I$5)</f>
        <v>0</v>
      </c>
      <c r="J456" s="26">
        <f>SUMIFS(INDEX(元データ_加工!$C$2:$P$700,0,MATCH($B456,元データ_加工!$C$1:$P$1,0)),元データ_加工!$A$2:$A$700,$A456,元データ_加工!$B$2:$B$700,J$5)</f>
        <v>7</v>
      </c>
      <c r="K456" s="26">
        <f>SUMIFS(INDEX(元データ_加工!$C$2:$P$700,0,MATCH($B456,元データ_加工!$C$1:$P$1,0)),元データ_加工!$A$2:$A$700,$A456,元データ_加工!$B$2:$B$700,K$5)</f>
        <v>2</v>
      </c>
      <c r="L456" s="26">
        <f>SUMIFS(INDEX(元データ_加工!$C$2:$P$700,0,MATCH($B456,元データ_加工!$C$1:$P$1,0)),元データ_加工!$A$2:$A$700,$A456,元データ_加工!$B$2:$B$700,L$5)</f>
        <v>0</v>
      </c>
      <c r="M456" s="26">
        <f>SUMIFS(INDEX(元データ_加工!$C$2:$P$700,0,MATCH($B456,元データ_加工!$C$1:$P$1,0)),元データ_加工!$A$2:$A$700,$A456,元データ_加工!$B$2:$B$700,M$5)</f>
        <v>0</v>
      </c>
      <c r="N456" s="26">
        <f>SUMIFS(INDEX(元データ_加工!$C$2:$P$700,0,MATCH($B456,元データ_加工!$C$1:$P$1,0)),元データ_加工!$A$2:$A$700,$A456,元データ_加工!$B$2:$B$700,N$5)</f>
        <v>0</v>
      </c>
      <c r="O456" s="26">
        <f t="shared" si="7"/>
        <v>12</v>
      </c>
      <c r="P456" s="7">
        <f>IFERROR(O456/SUMIFS(元データ_加工!$C$2:$C$700,元データ_加工!$A$2:$A$700,$A456),"")</f>
        <v>4.1562759767248546E-4</v>
      </c>
    </row>
    <row r="457" spans="1:16" x14ac:dyDescent="0.45">
      <c r="A457" t="s">
        <v>67</v>
      </c>
      <c r="B457" t="s">
        <v>103</v>
      </c>
      <c r="C457" s="26">
        <f>SUMIFS(INDEX(元データ_加工!$C$2:$P$700,0,MATCH($B457,元データ_加工!$C$1:$P$1,0)),元データ_加工!$A$2:$A$700,$A457,元データ_加工!$B$2:$B$700,C$5)</f>
        <v>4</v>
      </c>
      <c r="D457" s="26">
        <f>SUMIFS(INDEX(元データ_加工!$C$2:$P$700,0,MATCH($B457,元データ_加工!$C$1:$P$1,0)),元データ_加工!$A$2:$A$700,$A457,元データ_加工!$B$2:$B$700,D$5)</f>
        <v>0</v>
      </c>
      <c r="E457" s="26">
        <f>SUMIFS(INDEX(元データ_加工!$C$2:$P$700,0,MATCH($B457,元データ_加工!$C$1:$P$1,0)),元データ_加工!$A$2:$A$700,$A457,元データ_加工!$B$2:$B$700,E$5)</f>
        <v>1</v>
      </c>
      <c r="F457" s="26">
        <f>SUMIFS(INDEX(元データ_加工!$C$2:$P$700,0,MATCH($B457,元データ_加工!$C$1:$P$1,0)),元データ_加工!$A$2:$A$700,$A457,元データ_加工!$B$2:$B$700,F$5)</f>
        <v>28</v>
      </c>
      <c r="G457" s="26">
        <f>SUMIFS(INDEX(元データ_加工!$C$2:$P$700,0,MATCH($B457,元データ_加工!$C$1:$P$1,0)),元データ_加工!$A$2:$A$700,$A457,元データ_加工!$B$2:$B$700,G$5)</f>
        <v>18</v>
      </c>
      <c r="H457" s="26">
        <f>SUMIFS(INDEX(元データ_加工!$C$2:$P$700,0,MATCH($B457,元データ_加工!$C$1:$P$1,0)),元データ_加工!$A$2:$A$700,$A457,元データ_加工!$B$2:$B$700,H$5)</f>
        <v>15</v>
      </c>
      <c r="I457" s="26">
        <f>SUMIFS(INDEX(元データ_加工!$C$2:$P$700,0,MATCH($B457,元データ_加工!$C$1:$P$1,0)),元データ_加工!$A$2:$A$700,$A457,元データ_加工!$B$2:$B$700,I$5)</f>
        <v>5</v>
      </c>
      <c r="J457" s="26">
        <f>SUMIFS(INDEX(元データ_加工!$C$2:$P$700,0,MATCH($B457,元データ_加工!$C$1:$P$1,0)),元データ_加工!$A$2:$A$700,$A457,元データ_加工!$B$2:$B$700,J$5)</f>
        <v>0</v>
      </c>
      <c r="K457" s="26">
        <f>SUMIFS(INDEX(元データ_加工!$C$2:$P$700,0,MATCH($B457,元データ_加工!$C$1:$P$1,0)),元データ_加工!$A$2:$A$700,$A457,元データ_加工!$B$2:$B$700,K$5)</f>
        <v>0</v>
      </c>
      <c r="L457" s="26">
        <f>SUMIFS(INDEX(元データ_加工!$C$2:$P$700,0,MATCH($B457,元データ_加工!$C$1:$P$1,0)),元データ_加工!$A$2:$A$700,$A457,元データ_加工!$B$2:$B$700,L$5)</f>
        <v>0</v>
      </c>
      <c r="M457" s="26">
        <f>SUMIFS(INDEX(元データ_加工!$C$2:$P$700,0,MATCH($B457,元データ_加工!$C$1:$P$1,0)),元データ_加工!$A$2:$A$700,$A457,元データ_加工!$B$2:$B$700,M$5)</f>
        <v>0</v>
      </c>
      <c r="N457" s="26">
        <f>SUMIFS(INDEX(元データ_加工!$C$2:$P$700,0,MATCH($B457,元データ_加工!$C$1:$P$1,0)),元データ_加工!$A$2:$A$700,$A457,元データ_加工!$B$2:$B$700,N$5)</f>
        <v>0</v>
      </c>
      <c r="O457" s="26">
        <f t="shared" si="7"/>
        <v>71</v>
      </c>
      <c r="P457" s="7">
        <f>IFERROR(O457/SUMIFS(元データ_加工!$C$2:$C$700,元データ_加工!$A$2:$A$700,$A457),"")</f>
        <v>2.459129952895539E-3</v>
      </c>
    </row>
    <row r="458" spans="1:16" x14ac:dyDescent="0.45">
      <c r="A458" t="s">
        <v>67</v>
      </c>
      <c r="B458" t="s">
        <v>104</v>
      </c>
      <c r="C458" s="26">
        <f>SUMIFS(INDEX(元データ_加工!$C$2:$P$700,0,MATCH($B458,元データ_加工!$C$1:$P$1,0)),元データ_加工!$A$2:$A$700,$A458,元データ_加工!$B$2:$B$700,C$5)</f>
        <v>10</v>
      </c>
      <c r="D458" s="26">
        <f>SUMIFS(INDEX(元データ_加工!$C$2:$P$700,0,MATCH($B458,元データ_加工!$C$1:$P$1,0)),元データ_加工!$A$2:$A$700,$A458,元データ_加工!$B$2:$B$700,D$5)</f>
        <v>7</v>
      </c>
      <c r="E458" s="26">
        <f>SUMIFS(INDEX(元データ_加工!$C$2:$P$700,0,MATCH($B458,元データ_加工!$C$1:$P$1,0)),元データ_加工!$A$2:$A$700,$A458,元データ_加工!$B$2:$B$700,E$5)</f>
        <v>13</v>
      </c>
      <c r="F458" s="26">
        <f>SUMIFS(INDEX(元データ_加工!$C$2:$P$700,0,MATCH($B458,元データ_加工!$C$1:$P$1,0)),元データ_加工!$A$2:$A$700,$A458,元データ_加工!$B$2:$B$700,F$5)</f>
        <v>17</v>
      </c>
      <c r="G458" s="26">
        <f>SUMIFS(INDEX(元データ_加工!$C$2:$P$700,0,MATCH($B458,元データ_加工!$C$1:$P$1,0)),元データ_加工!$A$2:$A$700,$A458,元データ_加工!$B$2:$B$700,G$5)</f>
        <v>16</v>
      </c>
      <c r="H458" s="26">
        <f>SUMIFS(INDEX(元データ_加工!$C$2:$P$700,0,MATCH($B458,元データ_加工!$C$1:$P$1,0)),元データ_加工!$A$2:$A$700,$A458,元データ_加工!$B$2:$B$700,H$5)</f>
        <v>19</v>
      </c>
      <c r="I458" s="26">
        <f>SUMIFS(INDEX(元データ_加工!$C$2:$P$700,0,MATCH($B458,元データ_加工!$C$1:$P$1,0)),元データ_加工!$A$2:$A$700,$A458,元データ_加工!$B$2:$B$700,I$5)</f>
        <v>15</v>
      </c>
      <c r="J458" s="26">
        <f>SUMIFS(INDEX(元データ_加工!$C$2:$P$700,0,MATCH($B458,元データ_加工!$C$1:$P$1,0)),元データ_加工!$A$2:$A$700,$A458,元データ_加工!$B$2:$B$700,J$5)</f>
        <v>67</v>
      </c>
      <c r="K458" s="26">
        <f>SUMIFS(INDEX(元データ_加工!$C$2:$P$700,0,MATCH($B458,元データ_加工!$C$1:$P$1,0)),元データ_加工!$A$2:$A$700,$A458,元データ_加工!$B$2:$B$700,K$5)</f>
        <v>79</v>
      </c>
      <c r="L458" s="26">
        <f>SUMIFS(INDEX(元データ_加工!$C$2:$P$700,0,MATCH($B458,元データ_加工!$C$1:$P$1,0)),元データ_加工!$A$2:$A$700,$A458,元データ_加工!$B$2:$B$700,L$5)</f>
        <v>107</v>
      </c>
      <c r="M458" s="26">
        <f>SUMIFS(INDEX(元データ_加工!$C$2:$P$700,0,MATCH($B458,元データ_加工!$C$1:$P$1,0)),元データ_加工!$A$2:$A$700,$A458,元データ_加工!$B$2:$B$700,M$5)</f>
        <v>63</v>
      </c>
      <c r="N458" s="26">
        <f>SUMIFS(INDEX(元データ_加工!$C$2:$P$700,0,MATCH($B458,元データ_加工!$C$1:$P$1,0)),元データ_加工!$A$2:$A$700,$A458,元データ_加工!$B$2:$B$700,N$5)</f>
        <v>19</v>
      </c>
      <c r="O458" s="26">
        <f t="shared" si="7"/>
        <v>432</v>
      </c>
      <c r="P458" s="7">
        <f>IFERROR(O458/SUMIFS(元データ_加工!$C$2:$C$700,元データ_加工!$A$2:$A$700,$A458),"")</f>
        <v>1.4962593516209476E-2</v>
      </c>
    </row>
    <row r="459" spans="1:16" x14ac:dyDescent="0.45">
      <c r="A459" t="s">
        <v>67</v>
      </c>
      <c r="B459" t="s">
        <v>105</v>
      </c>
      <c r="C459" s="26">
        <f>SUMIFS(INDEX(元データ_加工!$C$2:$P$700,0,MATCH($B459,元データ_加工!$C$1:$P$1,0)),元データ_加工!$A$2:$A$700,$A459,元データ_加工!$B$2:$B$700,C$5)</f>
        <v>2</v>
      </c>
      <c r="D459" s="26">
        <f>SUMIFS(INDEX(元データ_加工!$C$2:$P$700,0,MATCH($B459,元データ_加工!$C$1:$P$1,0)),元データ_加工!$A$2:$A$700,$A459,元データ_加工!$B$2:$B$700,D$5)</f>
        <v>9</v>
      </c>
      <c r="E459" s="26">
        <f>SUMIFS(INDEX(元データ_加工!$C$2:$P$700,0,MATCH($B459,元データ_加工!$C$1:$P$1,0)),元データ_加工!$A$2:$A$700,$A459,元データ_加工!$B$2:$B$700,E$5)</f>
        <v>4</v>
      </c>
      <c r="F459" s="26">
        <f>SUMIFS(INDEX(元データ_加工!$C$2:$P$700,0,MATCH($B459,元データ_加工!$C$1:$P$1,0)),元データ_加工!$A$2:$A$700,$A459,元データ_加工!$B$2:$B$700,F$5)</f>
        <v>4</v>
      </c>
      <c r="G459" s="26">
        <f>SUMIFS(INDEX(元データ_加工!$C$2:$P$700,0,MATCH($B459,元データ_加工!$C$1:$P$1,0)),元データ_加工!$A$2:$A$700,$A459,元データ_加工!$B$2:$B$700,G$5)</f>
        <v>8</v>
      </c>
      <c r="H459" s="26">
        <f>SUMIFS(INDEX(元データ_加工!$C$2:$P$700,0,MATCH($B459,元データ_加工!$C$1:$P$1,0)),元データ_加工!$A$2:$A$700,$A459,元データ_加工!$B$2:$B$700,H$5)</f>
        <v>6</v>
      </c>
      <c r="I459" s="26">
        <f>SUMIFS(INDEX(元データ_加工!$C$2:$P$700,0,MATCH($B459,元データ_加工!$C$1:$P$1,0)),元データ_加工!$A$2:$A$700,$A459,元データ_加工!$B$2:$B$700,I$5)</f>
        <v>31</v>
      </c>
      <c r="J459" s="26">
        <f>SUMIFS(INDEX(元データ_加工!$C$2:$P$700,0,MATCH($B459,元データ_加工!$C$1:$P$1,0)),元データ_加工!$A$2:$A$700,$A459,元データ_加工!$B$2:$B$700,J$5)</f>
        <v>73</v>
      </c>
      <c r="K459" s="26">
        <f>SUMIFS(INDEX(元データ_加工!$C$2:$P$700,0,MATCH($B459,元データ_加工!$C$1:$P$1,0)),元データ_加工!$A$2:$A$700,$A459,元データ_加工!$B$2:$B$700,K$5)</f>
        <v>184</v>
      </c>
      <c r="L459" s="26">
        <f>SUMIFS(INDEX(元データ_加工!$C$2:$P$700,0,MATCH($B459,元データ_加工!$C$1:$P$1,0)),元データ_加工!$A$2:$A$700,$A459,元データ_加工!$B$2:$B$700,L$5)</f>
        <v>173</v>
      </c>
      <c r="M459" s="26">
        <f>SUMIFS(INDEX(元データ_加工!$C$2:$P$700,0,MATCH($B459,元データ_加工!$C$1:$P$1,0)),元データ_加工!$A$2:$A$700,$A459,元データ_加工!$B$2:$B$700,M$5)</f>
        <v>29</v>
      </c>
      <c r="N459" s="26">
        <f>SUMIFS(INDEX(元データ_加工!$C$2:$P$700,0,MATCH($B459,元データ_加工!$C$1:$P$1,0)),元データ_加工!$A$2:$A$700,$A459,元データ_加工!$B$2:$B$700,N$5)</f>
        <v>14</v>
      </c>
      <c r="O459" s="26">
        <f t="shared" si="7"/>
        <v>537</v>
      </c>
      <c r="P459" s="7">
        <f>IFERROR(O459/SUMIFS(元データ_加工!$C$2:$C$700,元データ_加工!$A$2:$A$700,$A459),"")</f>
        <v>1.8599334995843726E-2</v>
      </c>
    </row>
    <row r="460" spans="1:16" x14ac:dyDescent="0.45">
      <c r="A460" t="s">
        <v>67</v>
      </c>
      <c r="B460" t="s">
        <v>106</v>
      </c>
      <c r="C460" s="26">
        <f>SUMIFS(INDEX(元データ_加工!$C$2:$P$700,0,MATCH($B460,元データ_加工!$C$1:$P$1,0)),元データ_加工!$A$2:$A$700,$A460,元データ_加工!$B$2:$B$700,C$5)</f>
        <v>316</v>
      </c>
      <c r="D460" s="26">
        <f>SUMIFS(INDEX(元データ_加工!$C$2:$P$700,0,MATCH($B460,元データ_加工!$C$1:$P$1,0)),元データ_加工!$A$2:$A$700,$A460,元データ_加工!$B$2:$B$700,D$5)</f>
        <v>362</v>
      </c>
      <c r="E460" s="26">
        <f>SUMIFS(INDEX(元データ_加工!$C$2:$P$700,0,MATCH($B460,元データ_加工!$C$1:$P$1,0)),元データ_加工!$A$2:$A$700,$A460,元データ_加工!$B$2:$B$700,E$5)</f>
        <v>427</v>
      </c>
      <c r="F460" s="26">
        <f>SUMIFS(INDEX(元データ_加工!$C$2:$P$700,0,MATCH($B460,元データ_加工!$C$1:$P$1,0)),元データ_加工!$A$2:$A$700,$A460,元データ_加工!$B$2:$B$700,F$5)</f>
        <v>382</v>
      </c>
      <c r="G460" s="26">
        <f>SUMIFS(INDEX(元データ_加工!$C$2:$P$700,0,MATCH($B460,元データ_加工!$C$1:$P$1,0)),元データ_加工!$A$2:$A$700,$A460,元データ_加工!$B$2:$B$700,G$5)</f>
        <v>425</v>
      </c>
      <c r="H460" s="26">
        <f>SUMIFS(INDEX(元データ_加工!$C$2:$P$700,0,MATCH($B460,元データ_加工!$C$1:$P$1,0)),元データ_加工!$A$2:$A$700,$A460,元データ_加工!$B$2:$B$700,H$5)</f>
        <v>275</v>
      </c>
      <c r="I460" s="26">
        <f>SUMIFS(INDEX(元データ_加工!$C$2:$P$700,0,MATCH($B460,元データ_加工!$C$1:$P$1,0)),元データ_加工!$A$2:$A$700,$A460,元データ_加工!$B$2:$B$700,I$5)</f>
        <v>281</v>
      </c>
      <c r="J460" s="26">
        <f>SUMIFS(INDEX(元データ_加工!$C$2:$P$700,0,MATCH($B460,元データ_加工!$C$1:$P$1,0)),元データ_加工!$A$2:$A$700,$A460,元データ_加工!$B$2:$B$700,J$5)</f>
        <v>409</v>
      </c>
      <c r="K460" s="26">
        <f>SUMIFS(INDEX(元データ_加工!$C$2:$P$700,0,MATCH($B460,元データ_加工!$C$1:$P$1,0)),元データ_加工!$A$2:$A$700,$A460,元データ_加工!$B$2:$B$700,K$5)</f>
        <v>407</v>
      </c>
      <c r="L460" s="26">
        <f>SUMIFS(INDEX(元データ_加工!$C$2:$P$700,0,MATCH($B460,元データ_加工!$C$1:$P$1,0)),元データ_加工!$A$2:$A$700,$A460,元データ_加工!$B$2:$B$700,L$5)</f>
        <v>396</v>
      </c>
      <c r="M460" s="26">
        <f>SUMIFS(INDEX(元データ_加工!$C$2:$P$700,0,MATCH($B460,元データ_加工!$C$1:$P$1,0)),元データ_加工!$A$2:$A$700,$A460,元データ_加工!$B$2:$B$700,M$5)</f>
        <v>416</v>
      </c>
      <c r="N460" s="26">
        <f>SUMIFS(INDEX(元データ_加工!$C$2:$P$700,0,MATCH($B460,元データ_加工!$C$1:$P$1,0)),元データ_加工!$A$2:$A$700,$A460,元データ_加工!$B$2:$B$700,N$5)</f>
        <v>424</v>
      </c>
      <c r="O460" s="26">
        <f t="shared" si="7"/>
        <v>4520</v>
      </c>
      <c r="P460" s="7">
        <f>IFERROR(O460/SUMIFS(元データ_加工!$C$2:$C$700,元データ_加工!$A$2:$A$700,$A460),"")</f>
        <v>0.15655306178996953</v>
      </c>
    </row>
    <row r="461" spans="1:16" x14ac:dyDescent="0.45">
      <c r="A461" t="s">
        <v>67</v>
      </c>
      <c r="B461" t="s">
        <v>107</v>
      </c>
      <c r="C461" s="26">
        <f>SUMIFS(INDEX(元データ_加工!$C$2:$P$700,0,MATCH($B461,元データ_加工!$C$1:$P$1,0)),元データ_加工!$A$2:$A$700,$A461,元データ_加工!$B$2:$B$700,C$5)</f>
        <v>2</v>
      </c>
      <c r="D461" s="26">
        <f>SUMIFS(INDEX(元データ_加工!$C$2:$P$700,0,MATCH($B461,元データ_加工!$C$1:$P$1,0)),元データ_加工!$A$2:$A$700,$A461,元データ_加工!$B$2:$B$700,D$5)</f>
        <v>12</v>
      </c>
      <c r="E461" s="26">
        <f>SUMIFS(INDEX(元データ_加工!$C$2:$P$700,0,MATCH($B461,元データ_加工!$C$1:$P$1,0)),元データ_加工!$A$2:$A$700,$A461,元データ_加工!$B$2:$B$700,E$5)</f>
        <v>8</v>
      </c>
      <c r="F461" s="26">
        <f>SUMIFS(INDEX(元データ_加工!$C$2:$P$700,0,MATCH($B461,元データ_加工!$C$1:$P$1,0)),元データ_加工!$A$2:$A$700,$A461,元データ_加工!$B$2:$B$700,F$5)</f>
        <v>9</v>
      </c>
      <c r="G461" s="26">
        <f>SUMIFS(INDEX(元データ_加工!$C$2:$P$700,0,MATCH($B461,元データ_加工!$C$1:$P$1,0)),元データ_加工!$A$2:$A$700,$A461,元データ_加工!$B$2:$B$700,G$5)</f>
        <v>10</v>
      </c>
      <c r="H461" s="26">
        <f>SUMIFS(INDEX(元データ_加工!$C$2:$P$700,0,MATCH($B461,元データ_加工!$C$1:$P$1,0)),元データ_加工!$A$2:$A$700,$A461,元データ_加工!$B$2:$B$700,H$5)</f>
        <v>4</v>
      </c>
      <c r="I461" s="26">
        <f>SUMIFS(INDEX(元データ_加工!$C$2:$P$700,0,MATCH($B461,元データ_加工!$C$1:$P$1,0)),元データ_加工!$A$2:$A$700,$A461,元データ_加工!$B$2:$B$700,I$5)</f>
        <v>4</v>
      </c>
      <c r="J461" s="26">
        <f>SUMIFS(INDEX(元データ_加工!$C$2:$P$700,0,MATCH($B461,元データ_加工!$C$1:$P$1,0)),元データ_加工!$A$2:$A$700,$A461,元データ_加工!$B$2:$B$700,J$5)</f>
        <v>7</v>
      </c>
      <c r="K461" s="26">
        <f>SUMIFS(INDEX(元データ_加工!$C$2:$P$700,0,MATCH($B461,元データ_加工!$C$1:$P$1,0)),元データ_加工!$A$2:$A$700,$A461,元データ_加工!$B$2:$B$700,K$5)</f>
        <v>14</v>
      </c>
      <c r="L461" s="26">
        <f>SUMIFS(INDEX(元データ_加工!$C$2:$P$700,0,MATCH($B461,元データ_加工!$C$1:$P$1,0)),元データ_加工!$A$2:$A$700,$A461,元データ_加工!$B$2:$B$700,L$5)</f>
        <v>28</v>
      </c>
      <c r="M461" s="26">
        <f>SUMIFS(INDEX(元データ_加工!$C$2:$P$700,0,MATCH($B461,元データ_加工!$C$1:$P$1,0)),元データ_加工!$A$2:$A$700,$A461,元データ_加工!$B$2:$B$700,M$5)</f>
        <v>11</v>
      </c>
      <c r="N461" s="26">
        <f>SUMIFS(INDEX(元データ_加工!$C$2:$P$700,0,MATCH($B461,元データ_加工!$C$1:$P$1,0)),元データ_加工!$A$2:$A$700,$A461,元データ_加工!$B$2:$B$700,N$5)</f>
        <v>50</v>
      </c>
      <c r="O461" s="26">
        <f t="shared" si="7"/>
        <v>159</v>
      </c>
      <c r="P461" s="7">
        <f>IFERROR(O461/SUMIFS(元データ_加工!$C$2:$C$700,元データ_加工!$A$2:$A$700,$A461),"")</f>
        <v>5.5070656691604322E-3</v>
      </c>
    </row>
    <row r="462" spans="1:16" x14ac:dyDescent="0.45">
      <c r="A462" t="s">
        <v>67</v>
      </c>
      <c r="B462" t="s">
        <v>108</v>
      </c>
      <c r="C462" s="26">
        <f>SUMIFS(INDEX(元データ_加工!$C$2:$P$700,0,MATCH($B462,元データ_加工!$C$1:$P$1,0)),元データ_加工!$A$2:$A$700,$A462,元データ_加工!$B$2:$B$700,C$5)</f>
        <v>20</v>
      </c>
      <c r="D462" s="26">
        <f>SUMIFS(INDEX(元データ_加工!$C$2:$P$700,0,MATCH($B462,元データ_加工!$C$1:$P$1,0)),元データ_加工!$A$2:$A$700,$A462,元データ_加工!$B$2:$B$700,D$5)</f>
        <v>53</v>
      </c>
      <c r="E462" s="26">
        <f>SUMIFS(INDEX(元データ_加工!$C$2:$P$700,0,MATCH($B462,元データ_加工!$C$1:$P$1,0)),元データ_加工!$A$2:$A$700,$A462,元データ_加工!$B$2:$B$700,E$5)</f>
        <v>56</v>
      </c>
      <c r="F462" s="26">
        <f>SUMIFS(INDEX(元データ_加工!$C$2:$P$700,0,MATCH($B462,元データ_加工!$C$1:$P$1,0)),元データ_加工!$A$2:$A$700,$A462,元データ_加工!$B$2:$B$700,F$5)</f>
        <v>49</v>
      </c>
      <c r="G462" s="26">
        <f>SUMIFS(INDEX(元データ_加工!$C$2:$P$700,0,MATCH($B462,元データ_加工!$C$1:$P$1,0)),元データ_加工!$A$2:$A$700,$A462,元データ_加工!$B$2:$B$700,G$5)</f>
        <v>44</v>
      </c>
      <c r="H462" s="26">
        <f>SUMIFS(INDEX(元データ_加工!$C$2:$P$700,0,MATCH($B462,元データ_加工!$C$1:$P$1,0)),元データ_加工!$A$2:$A$700,$A462,元データ_加工!$B$2:$B$700,H$5)</f>
        <v>14</v>
      </c>
      <c r="I462" s="26">
        <f>SUMIFS(INDEX(元データ_加工!$C$2:$P$700,0,MATCH($B462,元データ_加工!$C$1:$P$1,0)),元データ_加工!$A$2:$A$700,$A462,元データ_加工!$B$2:$B$700,I$5)</f>
        <v>14</v>
      </c>
      <c r="J462" s="26">
        <f>SUMIFS(INDEX(元データ_加工!$C$2:$P$700,0,MATCH($B462,元データ_加工!$C$1:$P$1,0)),元データ_加工!$A$2:$A$700,$A462,元データ_加工!$B$2:$B$700,J$5)</f>
        <v>28</v>
      </c>
      <c r="K462" s="26">
        <f>SUMIFS(INDEX(元データ_加工!$C$2:$P$700,0,MATCH($B462,元データ_加工!$C$1:$P$1,0)),元データ_加工!$A$2:$A$700,$A462,元データ_加工!$B$2:$B$700,K$5)</f>
        <v>1</v>
      </c>
      <c r="L462" s="26">
        <f>SUMIFS(INDEX(元データ_加工!$C$2:$P$700,0,MATCH($B462,元データ_加工!$C$1:$P$1,0)),元データ_加工!$A$2:$A$700,$A462,元データ_加工!$B$2:$B$700,L$5)</f>
        <v>1</v>
      </c>
      <c r="M462" s="26">
        <f>SUMIFS(INDEX(元データ_加工!$C$2:$P$700,0,MATCH($B462,元データ_加工!$C$1:$P$1,0)),元データ_加工!$A$2:$A$700,$A462,元データ_加工!$B$2:$B$700,M$5)</f>
        <v>0</v>
      </c>
      <c r="N462" s="26">
        <f>SUMIFS(INDEX(元データ_加工!$C$2:$P$700,0,MATCH($B462,元データ_加工!$C$1:$P$1,0)),元データ_加工!$A$2:$A$700,$A462,元データ_加工!$B$2:$B$700,N$5)</f>
        <v>3</v>
      </c>
      <c r="O462" s="26">
        <f t="shared" si="7"/>
        <v>283</v>
      </c>
      <c r="P462" s="7">
        <f>IFERROR(O462/SUMIFS(元データ_加工!$C$2:$C$700,元データ_加工!$A$2:$A$700,$A462),"")</f>
        <v>9.8018841784427817E-3</v>
      </c>
    </row>
    <row r="463" spans="1:16" x14ac:dyDescent="0.45">
      <c r="A463" t="s">
        <v>67</v>
      </c>
      <c r="B463" t="s">
        <v>109</v>
      </c>
      <c r="C463" s="26">
        <f>SUMIFS(INDEX(元データ_加工!$C$2:$P$700,0,MATCH($B463,元データ_加工!$C$1:$P$1,0)),元データ_加工!$A$2:$A$700,$A463,元データ_加工!$B$2:$B$700,C$5)</f>
        <v>148</v>
      </c>
      <c r="D463" s="26">
        <f>SUMIFS(INDEX(元データ_加工!$C$2:$P$700,0,MATCH($B463,元データ_加工!$C$1:$P$1,0)),元データ_加工!$A$2:$A$700,$A463,元データ_加工!$B$2:$B$700,D$5)</f>
        <v>168</v>
      </c>
      <c r="E463" s="26">
        <f>SUMIFS(INDEX(元データ_加工!$C$2:$P$700,0,MATCH($B463,元データ_加工!$C$1:$P$1,0)),元データ_加工!$A$2:$A$700,$A463,元データ_加工!$B$2:$B$700,E$5)</f>
        <v>239</v>
      </c>
      <c r="F463" s="26">
        <f>SUMIFS(INDEX(元データ_加工!$C$2:$P$700,0,MATCH($B463,元データ_加工!$C$1:$P$1,0)),元データ_加工!$A$2:$A$700,$A463,元データ_加工!$B$2:$B$700,F$5)</f>
        <v>229</v>
      </c>
      <c r="G463" s="26">
        <f>SUMIFS(INDEX(元データ_加工!$C$2:$P$700,0,MATCH($B463,元データ_加工!$C$1:$P$1,0)),元データ_加工!$A$2:$A$700,$A463,元データ_加工!$B$2:$B$700,G$5)</f>
        <v>186</v>
      </c>
      <c r="H463" s="26">
        <f>SUMIFS(INDEX(元データ_加工!$C$2:$P$700,0,MATCH($B463,元データ_加工!$C$1:$P$1,0)),元データ_加工!$A$2:$A$700,$A463,元データ_加工!$B$2:$B$700,H$5)</f>
        <v>152</v>
      </c>
      <c r="I463" s="26">
        <f>SUMIFS(INDEX(元データ_加工!$C$2:$P$700,0,MATCH($B463,元データ_加工!$C$1:$P$1,0)),元データ_加工!$A$2:$A$700,$A463,元データ_加工!$B$2:$B$700,I$5)</f>
        <v>202</v>
      </c>
      <c r="J463" s="26">
        <f>SUMIFS(INDEX(元データ_加工!$C$2:$P$700,0,MATCH($B463,元データ_加工!$C$1:$P$1,0)),元データ_加工!$A$2:$A$700,$A463,元データ_加工!$B$2:$B$700,J$5)</f>
        <v>174</v>
      </c>
      <c r="K463" s="26">
        <f>SUMIFS(INDEX(元データ_加工!$C$2:$P$700,0,MATCH($B463,元データ_加工!$C$1:$P$1,0)),元データ_加工!$A$2:$A$700,$A463,元データ_加工!$B$2:$B$700,K$5)</f>
        <v>155</v>
      </c>
      <c r="L463" s="26">
        <f>SUMIFS(INDEX(元データ_加工!$C$2:$P$700,0,MATCH($B463,元データ_加工!$C$1:$P$1,0)),元データ_加工!$A$2:$A$700,$A463,元データ_加工!$B$2:$B$700,L$5)</f>
        <v>159</v>
      </c>
      <c r="M463" s="26">
        <f>SUMIFS(INDEX(元データ_加工!$C$2:$P$700,0,MATCH($B463,元データ_加工!$C$1:$P$1,0)),元データ_加工!$A$2:$A$700,$A463,元データ_加工!$B$2:$B$700,M$5)</f>
        <v>161</v>
      </c>
      <c r="N463" s="26">
        <f>SUMIFS(INDEX(元データ_加工!$C$2:$P$700,0,MATCH($B463,元データ_加工!$C$1:$P$1,0)),元データ_加工!$A$2:$A$700,$A463,元データ_加工!$B$2:$B$700,N$5)</f>
        <v>171</v>
      </c>
      <c r="O463" s="26">
        <f t="shared" si="7"/>
        <v>2144</v>
      </c>
      <c r="P463" s="7">
        <f>IFERROR(O463/SUMIFS(元データ_加工!$C$2:$C$700,元データ_加工!$A$2:$A$700,$A463),"")</f>
        <v>7.4258797450817399E-2</v>
      </c>
    </row>
    <row r="464" spans="1:16" x14ac:dyDescent="0.45">
      <c r="A464" t="s">
        <v>67</v>
      </c>
      <c r="B464" t="s">
        <v>110</v>
      </c>
      <c r="C464" s="26">
        <f>SUMIFS(INDEX(元データ_加工!$C$2:$P$700,0,MATCH($B464,元データ_加工!$C$1:$P$1,0)),元データ_加工!$A$2:$A$700,$A464,元データ_加工!$B$2:$B$700,C$5)</f>
        <v>0</v>
      </c>
      <c r="D464" s="26">
        <f>SUMIFS(INDEX(元データ_加工!$C$2:$P$700,0,MATCH($B464,元データ_加工!$C$1:$P$1,0)),元データ_加工!$A$2:$A$700,$A464,元データ_加工!$B$2:$B$700,D$5)</f>
        <v>2</v>
      </c>
      <c r="E464" s="26">
        <f>SUMIFS(INDEX(元データ_加工!$C$2:$P$700,0,MATCH($B464,元データ_加工!$C$1:$P$1,0)),元データ_加工!$A$2:$A$700,$A464,元データ_加工!$B$2:$B$700,E$5)</f>
        <v>0</v>
      </c>
      <c r="F464" s="26">
        <f>SUMIFS(INDEX(元データ_加工!$C$2:$P$700,0,MATCH($B464,元データ_加工!$C$1:$P$1,0)),元データ_加工!$A$2:$A$700,$A464,元データ_加工!$B$2:$B$700,F$5)</f>
        <v>0</v>
      </c>
      <c r="G464" s="26">
        <f>SUMIFS(INDEX(元データ_加工!$C$2:$P$700,0,MATCH($B464,元データ_加工!$C$1:$P$1,0)),元データ_加工!$A$2:$A$700,$A464,元データ_加工!$B$2:$B$700,G$5)</f>
        <v>0</v>
      </c>
      <c r="H464" s="26">
        <f>SUMIFS(INDEX(元データ_加工!$C$2:$P$700,0,MATCH($B464,元データ_加工!$C$1:$P$1,0)),元データ_加工!$A$2:$A$700,$A464,元データ_加工!$B$2:$B$700,H$5)</f>
        <v>0</v>
      </c>
      <c r="I464" s="26">
        <f>SUMIFS(INDEX(元データ_加工!$C$2:$P$700,0,MATCH($B464,元データ_加工!$C$1:$P$1,0)),元データ_加工!$A$2:$A$700,$A464,元データ_加工!$B$2:$B$700,I$5)</f>
        <v>0</v>
      </c>
      <c r="J464" s="26">
        <f>SUMIFS(INDEX(元データ_加工!$C$2:$P$700,0,MATCH($B464,元データ_加工!$C$1:$P$1,0)),元データ_加工!$A$2:$A$700,$A464,元データ_加工!$B$2:$B$700,J$5)</f>
        <v>0</v>
      </c>
      <c r="K464" s="26">
        <f>SUMIFS(INDEX(元データ_加工!$C$2:$P$700,0,MATCH($B464,元データ_加工!$C$1:$P$1,0)),元データ_加工!$A$2:$A$700,$A464,元データ_加工!$B$2:$B$700,K$5)</f>
        <v>0</v>
      </c>
      <c r="L464" s="26">
        <f>SUMIFS(INDEX(元データ_加工!$C$2:$P$700,0,MATCH($B464,元データ_加工!$C$1:$P$1,0)),元データ_加工!$A$2:$A$700,$A464,元データ_加工!$B$2:$B$700,L$5)</f>
        <v>0</v>
      </c>
      <c r="M464" s="26">
        <f>SUMIFS(INDEX(元データ_加工!$C$2:$P$700,0,MATCH($B464,元データ_加工!$C$1:$P$1,0)),元データ_加工!$A$2:$A$700,$A464,元データ_加工!$B$2:$B$700,M$5)</f>
        <v>0</v>
      </c>
      <c r="N464" s="26">
        <f>SUMIFS(INDEX(元データ_加工!$C$2:$P$700,0,MATCH($B464,元データ_加工!$C$1:$P$1,0)),元データ_加工!$A$2:$A$700,$A464,元データ_加工!$B$2:$B$700,N$5)</f>
        <v>0</v>
      </c>
      <c r="O464" s="26">
        <f t="shared" si="7"/>
        <v>2</v>
      </c>
      <c r="P464" s="7">
        <f>IFERROR(O464/SUMIFS(元データ_加工!$C$2:$C$700,元データ_加工!$A$2:$A$700,$A464),"")</f>
        <v>6.9271266278747581E-5</v>
      </c>
    </row>
    <row r="465" spans="1:16" x14ac:dyDescent="0.45">
      <c r="A465" t="s">
        <v>67</v>
      </c>
      <c r="B465" t="s">
        <v>111</v>
      </c>
      <c r="C465" s="26">
        <f>SUMIFS(INDEX(元データ_加工!$C$2:$P$700,0,MATCH($B465,元データ_加工!$C$1:$P$1,0)),元データ_加工!$A$2:$A$700,$A465,元データ_加工!$B$2:$B$700,C$5)</f>
        <v>0</v>
      </c>
      <c r="D465" s="26">
        <f>SUMIFS(INDEX(元データ_加工!$C$2:$P$700,0,MATCH($B465,元データ_加工!$C$1:$P$1,0)),元データ_加工!$A$2:$A$700,$A465,元データ_加工!$B$2:$B$700,D$5)</f>
        <v>1</v>
      </c>
      <c r="E465" s="26">
        <f>SUMIFS(INDEX(元データ_加工!$C$2:$P$700,0,MATCH($B465,元データ_加工!$C$1:$P$1,0)),元データ_加工!$A$2:$A$700,$A465,元データ_加工!$B$2:$B$700,E$5)</f>
        <v>0</v>
      </c>
      <c r="F465" s="26">
        <f>SUMIFS(INDEX(元データ_加工!$C$2:$P$700,0,MATCH($B465,元データ_加工!$C$1:$P$1,0)),元データ_加工!$A$2:$A$700,$A465,元データ_加工!$B$2:$B$700,F$5)</f>
        <v>0</v>
      </c>
      <c r="G465" s="26">
        <f>SUMIFS(INDEX(元データ_加工!$C$2:$P$700,0,MATCH($B465,元データ_加工!$C$1:$P$1,0)),元データ_加工!$A$2:$A$700,$A465,元データ_加工!$B$2:$B$700,G$5)</f>
        <v>0</v>
      </c>
      <c r="H465" s="26">
        <f>SUMIFS(INDEX(元データ_加工!$C$2:$P$700,0,MATCH($B465,元データ_加工!$C$1:$P$1,0)),元データ_加工!$A$2:$A$700,$A465,元データ_加工!$B$2:$B$700,H$5)</f>
        <v>0</v>
      </c>
      <c r="I465" s="26">
        <f>SUMIFS(INDEX(元データ_加工!$C$2:$P$700,0,MATCH($B465,元データ_加工!$C$1:$P$1,0)),元データ_加工!$A$2:$A$700,$A465,元データ_加工!$B$2:$B$700,I$5)</f>
        <v>0</v>
      </c>
      <c r="J465" s="26">
        <f>SUMIFS(INDEX(元データ_加工!$C$2:$P$700,0,MATCH($B465,元データ_加工!$C$1:$P$1,0)),元データ_加工!$A$2:$A$700,$A465,元データ_加工!$B$2:$B$700,J$5)</f>
        <v>0</v>
      </c>
      <c r="K465" s="26">
        <f>SUMIFS(INDEX(元データ_加工!$C$2:$P$700,0,MATCH($B465,元データ_加工!$C$1:$P$1,0)),元データ_加工!$A$2:$A$700,$A465,元データ_加工!$B$2:$B$700,K$5)</f>
        <v>0</v>
      </c>
      <c r="L465" s="26">
        <f>SUMIFS(INDEX(元データ_加工!$C$2:$P$700,0,MATCH($B465,元データ_加工!$C$1:$P$1,0)),元データ_加工!$A$2:$A$700,$A465,元データ_加工!$B$2:$B$700,L$5)</f>
        <v>0</v>
      </c>
      <c r="M465" s="26">
        <f>SUMIFS(INDEX(元データ_加工!$C$2:$P$700,0,MATCH($B465,元データ_加工!$C$1:$P$1,0)),元データ_加工!$A$2:$A$700,$A465,元データ_加工!$B$2:$B$700,M$5)</f>
        <v>0</v>
      </c>
      <c r="N465" s="26">
        <f>SUMIFS(INDEX(元データ_加工!$C$2:$P$700,0,MATCH($B465,元データ_加工!$C$1:$P$1,0)),元データ_加工!$A$2:$A$700,$A465,元データ_加工!$B$2:$B$700,N$5)</f>
        <v>0</v>
      </c>
      <c r="O465" s="26">
        <f t="shared" si="7"/>
        <v>1</v>
      </c>
      <c r="P465" s="7">
        <f>IFERROR(O465/SUMIFS(元データ_加工!$C$2:$C$700,元データ_加工!$A$2:$A$700,$A465),"")</f>
        <v>3.4635633139373791E-5</v>
      </c>
    </row>
    <row r="466" spans="1:16" x14ac:dyDescent="0.45">
      <c r="A466" t="s">
        <v>67</v>
      </c>
      <c r="B466" t="s">
        <v>112</v>
      </c>
      <c r="C466" s="26">
        <f>SUMIFS(INDEX(元データ_加工!$C$2:$P$700,0,MATCH($B466,元データ_加工!$C$1:$P$1,0)),元データ_加工!$A$2:$A$700,$A466,元データ_加工!$B$2:$B$700,C$5)</f>
        <v>0</v>
      </c>
      <c r="D466" s="26">
        <f>SUMIFS(INDEX(元データ_加工!$C$2:$P$700,0,MATCH($B466,元データ_加工!$C$1:$P$1,0)),元データ_加工!$A$2:$A$700,$A466,元データ_加工!$B$2:$B$700,D$5)</f>
        <v>0</v>
      </c>
      <c r="E466" s="26">
        <f>SUMIFS(INDEX(元データ_加工!$C$2:$P$700,0,MATCH($B466,元データ_加工!$C$1:$P$1,0)),元データ_加工!$A$2:$A$700,$A466,元データ_加工!$B$2:$B$700,E$5)</f>
        <v>1</v>
      </c>
      <c r="F466" s="26">
        <f>SUMIFS(INDEX(元データ_加工!$C$2:$P$700,0,MATCH($B466,元データ_加工!$C$1:$P$1,0)),元データ_加工!$A$2:$A$700,$A466,元データ_加工!$B$2:$B$700,F$5)</f>
        <v>2</v>
      </c>
      <c r="G466" s="26">
        <f>SUMIFS(INDEX(元データ_加工!$C$2:$P$700,0,MATCH($B466,元データ_加工!$C$1:$P$1,0)),元データ_加工!$A$2:$A$700,$A466,元データ_加工!$B$2:$B$700,G$5)</f>
        <v>3</v>
      </c>
      <c r="H466" s="26">
        <f>SUMIFS(INDEX(元データ_加工!$C$2:$P$700,0,MATCH($B466,元データ_加工!$C$1:$P$1,0)),元データ_加工!$A$2:$A$700,$A466,元データ_加工!$B$2:$B$700,H$5)</f>
        <v>1</v>
      </c>
      <c r="I466" s="26">
        <f>SUMIFS(INDEX(元データ_加工!$C$2:$P$700,0,MATCH($B466,元データ_加工!$C$1:$P$1,0)),元データ_加工!$A$2:$A$700,$A466,元データ_加工!$B$2:$B$700,I$5)</f>
        <v>2</v>
      </c>
      <c r="J466" s="26">
        <f>SUMIFS(INDEX(元データ_加工!$C$2:$P$700,0,MATCH($B466,元データ_加工!$C$1:$P$1,0)),元データ_加工!$A$2:$A$700,$A466,元データ_加工!$B$2:$B$700,J$5)</f>
        <v>7</v>
      </c>
      <c r="K466" s="26">
        <f>SUMIFS(INDEX(元データ_加工!$C$2:$P$700,0,MATCH($B466,元データ_加工!$C$1:$P$1,0)),元データ_加工!$A$2:$A$700,$A466,元データ_加工!$B$2:$B$700,K$5)</f>
        <v>29</v>
      </c>
      <c r="L466" s="26">
        <f>SUMIFS(INDEX(元データ_加工!$C$2:$P$700,0,MATCH($B466,元データ_加工!$C$1:$P$1,0)),元データ_加工!$A$2:$A$700,$A466,元データ_加工!$B$2:$B$700,L$5)</f>
        <v>6</v>
      </c>
      <c r="M466" s="26">
        <f>SUMIFS(INDEX(元データ_加工!$C$2:$P$700,0,MATCH($B466,元データ_加工!$C$1:$P$1,0)),元データ_加工!$A$2:$A$700,$A466,元データ_加工!$B$2:$B$700,M$5)</f>
        <v>3</v>
      </c>
      <c r="N466" s="26">
        <f>SUMIFS(INDEX(元データ_加工!$C$2:$P$700,0,MATCH($B466,元データ_加工!$C$1:$P$1,0)),元データ_加工!$A$2:$A$700,$A466,元データ_加工!$B$2:$B$700,N$5)</f>
        <v>4</v>
      </c>
      <c r="O466" s="26">
        <f t="shared" si="7"/>
        <v>58</v>
      </c>
      <c r="P466" s="7">
        <f>IFERROR(O466/SUMIFS(元データ_加工!$C$2:$C$700,元データ_加工!$A$2:$A$700,$A466),"")</f>
        <v>2.0088667220836795E-3</v>
      </c>
    </row>
    <row r="467" spans="1:16" x14ac:dyDescent="0.45">
      <c r="A467" t="s">
        <v>67</v>
      </c>
      <c r="B467" t="s">
        <v>113</v>
      </c>
      <c r="C467" s="26">
        <f>SUMIFS(INDEX(元データ_加工!$C$2:$P$700,0,MATCH($B467,元データ_加工!$C$1:$P$1,0)),元データ_加工!$A$2:$A$700,$A467,元データ_加工!$B$2:$B$700,C$5)</f>
        <v>1</v>
      </c>
      <c r="D467" s="26">
        <f>SUMIFS(INDEX(元データ_加工!$C$2:$P$700,0,MATCH($B467,元データ_加工!$C$1:$P$1,0)),元データ_加工!$A$2:$A$700,$A467,元データ_加工!$B$2:$B$700,D$5)</f>
        <v>0</v>
      </c>
      <c r="E467" s="26">
        <f>SUMIFS(INDEX(元データ_加工!$C$2:$P$700,0,MATCH($B467,元データ_加工!$C$1:$P$1,0)),元データ_加工!$A$2:$A$700,$A467,元データ_加工!$B$2:$B$700,E$5)</f>
        <v>2</v>
      </c>
      <c r="F467" s="26">
        <f>SUMIFS(INDEX(元データ_加工!$C$2:$P$700,0,MATCH($B467,元データ_加工!$C$1:$P$1,0)),元データ_加工!$A$2:$A$700,$A467,元データ_加工!$B$2:$B$700,F$5)</f>
        <v>0</v>
      </c>
      <c r="G467" s="26">
        <f>SUMIFS(INDEX(元データ_加工!$C$2:$P$700,0,MATCH($B467,元データ_加工!$C$1:$P$1,0)),元データ_加工!$A$2:$A$700,$A467,元データ_加工!$B$2:$B$700,G$5)</f>
        <v>0</v>
      </c>
      <c r="H467" s="26">
        <f>SUMIFS(INDEX(元データ_加工!$C$2:$P$700,0,MATCH($B467,元データ_加工!$C$1:$P$1,0)),元データ_加工!$A$2:$A$700,$A467,元データ_加工!$B$2:$B$700,H$5)</f>
        <v>0</v>
      </c>
      <c r="I467" s="26">
        <f>SUMIFS(INDEX(元データ_加工!$C$2:$P$700,0,MATCH($B467,元データ_加工!$C$1:$P$1,0)),元データ_加工!$A$2:$A$700,$A467,元データ_加工!$B$2:$B$700,I$5)</f>
        <v>0</v>
      </c>
      <c r="J467" s="26">
        <f>SUMIFS(INDEX(元データ_加工!$C$2:$P$700,0,MATCH($B467,元データ_加工!$C$1:$P$1,0)),元データ_加工!$A$2:$A$700,$A467,元データ_加工!$B$2:$B$700,J$5)</f>
        <v>1</v>
      </c>
      <c r="K467" s="26">
        <f>SUMIFS(INDEX(元データ_加工!$C$2:$P$700,0,MATCH($B467,元データ_加工!$C$1:$P$1,0)),元データ_加工!$A$2:$A$700,$A467,元データ_加工!$B$2:$B$700,K$5)</f>
        <v>2</v>
      </c>
      <c r="L467" s="26">
        <f>SUMIFS(INDEX(元データ_加工!$C$2:$P$700,0,MATCH($B467,元データ_加工!$C$1:$P$1,0)),元データ_加工!$A$2:$A$700,$A467,元データ_加工!$B$2:$B$700,L$5)</f>
        <v>2</v>
      </c>
      <c r="M467" s="26">
        <f>SUMIFS(INDEX(元データ_加工!$C$2:$P$700,0,MATCH($B467,元データ_加工!$C$1:$P$1,0)),元データ_加工!$A$2:$A$700,$A467,元データ_加工!$B$2:$B$700,M$5)</f>
        <v>0</v>
      </c>
      <c r="N467" s="26">
        <f>SUMIFS(INDEX(元データ_加工!$C$2:$P$700,0,MATCH($B467,元データ_加工!$C$1:$P$1,0)),元データ_加工!$A$2:$A$700,$A467,元データ_加工!$B$2:$B$700,N$5)</f>
        <v>1</v>
      </c>
      <c r="O467" s="26">
        <f t="shared" si="7"/>
        <v>9</v>
      </c>
      <c r="P467" s="7">
        <f>IFERROR(O467/SUMIFS(元データ_加工!$C$2:$C$700,元データ_加工!$A$2:$A$700,$A467),"")</f>
        <v>3.1172069825436408E-4</v>
      </c>
    </row>
    <row r="468" spans="1:16" x14ac:dyDescent="0.45">
      <c r="A468" t="s">
        <v>68</v>
      </c>
      <c r="B468" t="s">
        <v>100</v>
      </c>
      <c r="C468" s="26">
        <f>SUMIFS(INDEX(元データ_加工!$C$2:$P$700,0,MATCH($B468,元データ_加工!$C$1:$P$1,0)),元データ_加工!$A$2:$A$700,$A468,元データ_加工!$B$2:$B$700,C$5)</f>
        <v>644</v>
      </c>
      <c r="D468" s="26">
        <f>SUMIFS(INDEX(元データ_加工!$C$2:$P$700,0,MATCH($B468,元データ_加工!$C$1:$P$1,0)),元データ_加工!$A$2:$A$700,$A468,元データ_加工!$B$2:$B$700,D$5)</f>
        <v>656</v>
      </c>
      <c r="E468" s="26">
        <f>SUMIFS(INDEX(元データ_加工!$C$2:$P$700,0,MATCH($B468,元データ_加工!$C$1:$P$1,0)),元データ_加工!$A$2:$A$700,$A468,元データ_加工!$B$2:$B$700,E$5)</f>
        <v>1035</v>
      </c>
      <c r="F468" s="26">
        <f>SUMIFS(INDEX(元データ_加工!$C$2:$P$700,0,MATCH($B468,元データ_加工!$C$1:$P$1,0)),元データ_加工!$A$2:$A$700,$A468,元データ_加工!$B$2:$B$700,F$5)</f>
        <v>1072</v>
      </c>
      <c r="G468" s="26">
        <f>SUMIFS(INDEX(元データ_加工!$C$2:$P$700,0,MATCH($B468,元データ_加工!$C$1:$P$1,0)),元データ_加工!$A$2:$A$700,$A468,元データ_加工!$B$2:$B$700,G$5)</f>
        <v>1197</v>
      </c>
      <c r="H468" s="26">
        <f>SUMIFS(INDEX(元データ_加工!$C$2:$P$700,0,MATCH($B468,元データ_加工!$C$1:$P$1,0)),元データ_加工!$A$2:$A$700,$A468,元データ_加工!$B$2:$B$700,H$5)</f>
        <v>708</v>
      </c>
      <c r="I468" s="26">
        <f>SUMIFS(INDEX(元データ_加工!$C$2:$P$700,0,MATCH($B468,元データ_加工!$C$1:$P$1,0)),元データ_加工!$A$2:$A$700,$A468,元データ_加工!$B$2:$B$700,I$5)</f>
        <v>621</v>
      </c>
      <c r="J468" s="26">
        <f>SUMIFS(INDEX(元データ_加工!$C$2:$P$700,0,MATCH($B468,元データ_加工!$C$1:$P$1,0)),元データ_加工!$A$2:$A$700,$A468,元データ_加工!$B$2:$B$700,J$5)</f>
        <v>1330</v>
      </c>
      <c r="K468" s="26">
        <f>SUMIFS(INDEX(元データ_加工!$C$2:$P$700,0,MATCH($B468,元データ_加工!$C$1:$P$1,0)),元データ_加工!$A$2:$A$700,$A468,元データ_加工!$B$2:$B$700,K$5)</f>
        <v>2342</v>
      </c>
      <c r="L468" s="26">
        <f>SUMIFS(INDEX(元データ_加工!$C$2:$P$700,0,MATCH($B468,元データ_加工!$C$1:$P$1,0)),元データ_加工!$A$2:$A$700,$A468,元データ_加工!$B$2:$B$700,L$5)</f>
        <v>1523</v>
      </c>
      <c r="M468" s="26">
        <f>SUMIFS(INDEX(元データ_加工!$C$2:$P$700,0,MATCH($B468,元データ_加工!$C$1:$P$1,0)),元データ_加工!$A$2:$A$700,$A468,元データ_加工!$B$2:$B$700,M$5)</f>
        <v>1304</v>
      </c>
      <c r="N468" s="26">
        <f>SUMIFS(INDEX(元データ_加工!$C$2:$P$700,0,MATCH($B468,元データ_加工!$C$1:$P$1,0)),元データ_加工!$A$2:$A$700,$A468,元データ_加工!$B$2:$B$700,N$5)</f>
        <v>864</v>
      </c>
      <c r="O468" s="26">
        <f t="shared" si="7"/>
        <v>13296</v>
      </c>
      <c r="P468" s="7">
        <f>IFERROR(O468/SUMIFS(元データ_加工!$C$2:$C$700,元データ_加工!$A$2:$A$700,$A468),"")</f>
        <v>1</v>
      </c>
    </row>
    <row r="469" spans="1:16" x14ac:dyDescent="0.45">
      <c r="A469" t="s">
        <v>68</v>
      </c>
      <c r="B469" t="s">
        <v>101</v>
      </c>
      <c r="C469" s="26">
        <f>SUMIFS(INDEX(元データ_加工!$C$2:$P$700,0,MATCH($B469,元データ_加工!$C$1:$P$1,0)),元データ_加工!$A$2:$A$700,$A469,元データ_加工!$B$2:$B$700,C$5)</f>
        <v>621</v>
      </c>
      <c r="D469" s="26">
        <f>SUMIFS(INDEX(元データ_加工!$C$2:$P$700,0,MATCH($B469,元データ_加工!$C$1:$P$1,0)),元データ_加工!$A$2:$A$700,$A469,元データ_加工!$B$2:$B$700,D$5)</f>
        <v>777</v>
      </c>
      <c r="E469" s="26">
        <f>SUMIFS(INDEX(元データ_加工!$C$2:$P$700,0,MATCH($B469,元データ_加工!$C$1:$P$1,0)),元データ_加工!$A$2:$A$700,$A469,元データ_加工!$B$2:$B$700,E$5)</f>
        <v>1022</v>
      </c>
      <c r="F469" s="26">
        <f>SUMIFS(INDEX(元データ_加工!$C$2:$P$700,0,MATCH($B469,元データ_加工!$C$1:$P$1,0)),元データ_加工!$A$2:$A$700,$A469,元データ_加工!$B$2:$B$700,F$5)</f>
        <v>845</v>
      </c>
      <c r="G469" s="26">
        <f>SUMIFS(INDEX(元データ_加工!$C$2:$P$700,0,MATCH($B469,元データ_加工!$C$1:$P$1,0)),元データ_加工!$A$2:$A$700,$A469,元データ_加工!$B$2:$B$700,G$5)</f>
        <v>910</v>
      </c>
      <c r="H469" s="26">
        <f>SUMIFS(INDEX(元データ_加工!$C$2:$P$700,0,MATCH($B469,元データ_加工!$C$1:$P$1,0)),元データ_加工!$A$2:$A$700,$A469,元データ_加工!$B$2:$B$700,H$5)</f>
        <v>666</v>
      </c>
      <c r="I469" s="26">
        <f>SUMIFS(INDEX(元データ_加工!$C$2:$P$700,0,MATCH($B469,元データ_加工!$C$1:$P$1,0)),元データ_加工!$A$2:$A$700,$A469,元データ_加工!$B$2:$B$700,I$5)</f>
        <v>731</v>
      </c>
      <c r="J469" s="26">
        <f>SUMIFS(INDEX(元データ_加工!$C$2:$P$700,0,MATCH($B469,元データ_加工!$C$1:$P$1,0)),元データ_加工!$A$2:$A$700,$A469,元データ_加工!$B$2:$B$700,J$5)</f>
        <v>889</v>
      </c>
      <c r="K469" s="26">
        <f>SUMIFS(INDEX(元データ_加工!$C$2:$P$700,0,MATCH($B469,元データ_加工!$C$1:$P$1,0)),元データ_加工!$A$2:$A$700,$A469,元データ_加工!$B$2:$B$700,K$5)</f>
        <v>947</v>
      </c>
      <c r="L469" s="26">
        <f>SUMIFS(INDEX(元データ_加工!$C$2:$P$700,0,MATCH($B469,元データ_加工!$C$1:$P$1,0)),元データ_加工!$A$2:$A$700,$A469,元データ_加工!$B$2:$B$700,L$5)</f>
        <v>775</v>
      </c>
      <c r="M469" s="26">
        <f>SUMIFS(INDEX(元データ_加工!$C$2:$P$700,0,MATCH($B469,元データ_加工!$C$1:$P$1,0)),元データ_加工!$A$2:$A$700,$A469,元データ_加工!$B$2:$B$700,M$5)</f>
        <v>1007</v>
      </c>
      <c r="N469" s="26">
        <f>SUMIFS(INDEX(元データ_加工!$C$2:$P$700,0,MATCH($B469,元データ_加工!$C$1:$P$1,0)),元データ_加工!$A$2:$A$700,$A469,元データ_加工!$B$2:$B$700,N$5)</f>
        <v>757</v>
      </c>
      <c r="O469" s="26">
        <f t="shared" si="7"/>
        <v>9947</v>
      </c>
      <c r="P469" s="7">
        <f>IFERROR(O469/SUMIFS(元データ_加工!$C$2:$C$700,元データ_加工!$A$2:$A$700,$A469),"")</f>
        <v>0.74811973525872444</v>
      </c>
    </row>
    <row r="470" spans="1:16" x14ac:dyDescent="0.45">
      <c r="A470" t="s">
        <v>68</v>
      </c>
      <c r="B470" t="s">
        <v>102</v>
      </c>
      <c r="C470" s="26">
        <f>SUMIFS(INDEX(元データ_加工!$C$2:$P$700,0,MATCH($B470,元データ_加工!$C$1:$P$1,0)),元データ_加工!$A$2:$A$700,$A470,元データ_加工!$B$2:$B$700,C$5)</f>
        <v>0</v>
      </c>
      <c r="D470" s="26">
        <f>SUMIFS(INDEX(元データ_加工!$C$2:$P$700,0,MATCH($B470,元データ_加工!$C$1:$P$1,0)),元データ_加工!$A$2:$A$700,$A470,元データ_加工!$B$2:$B$700,D$5)</f>
        <v>0</v>
      </c>
      <c r="E470" s="26">
        <f>SUMIFS(INDEX(元データ_加工!$C$2:$P$700,0,MATCH($B470,元データ_加工!$C$1:$P$1,0)),元データ_加工!$A$2:$A$700,$A470,元データ_加工!$B$2:$B$700,E$5)</f>
        <v>0</v>
      </c>
      <c r="F470" s="26">
        <f>SUMIFS(INDEX(元データ_加工!$C$2:$P$700,0,MATCH($B470,元データ_加工!$C$1:$P$1,0)),元データ_加工!$A$2:$A$700,$A470,元データ_加工!$B$2:$B$700,F$5)</f>
        <v>0</v>
      </c>
      <c r="G470" s="26">
        <f>SUMIFS(INDEX(元データ_加工!$C$2:$P$700,0,MATCH($B470,元データ_加工!$C$1:$P$1,0)),元データ_加工!$A$2:$A$700,$A470,元データ_加工!$B$2:$B$700,G$5)</f>
        <v>0</v>
      </c>
      <c r="H470" s="26">
        <f>SUMIFS(INDEX(元データ_加工!$C$2:$P$700,0,MATCH($B470,元データ_加工!$C$1:$P$1,0)),元データ_加工!$A$2:$A$700,$A470,元データ_加工!$B$2:$B$700,H$5)</f>
        <v>0</v>
      </c>
      <c r="I470" s="26">
        <f>SUMIFS(INDEX(元データ_加工!$C$2:$P$700,0,MATCH($B470,元データ_加工!$C$1:$P$1,0)),元データ_加工!$A$2:$A$700,$A470,元データ_加工!$B$2:$B$700,I$5)</f>
        <v>2</v>
      </c>
      <c r="J470" s="26">
        <f>SUMIFS(INDEX(元データ_加工!$C$2:$P$700,0,MATCH($B470,元データ_加工!$C$1:$P$1,0)),元データ_加工!$A$2:$A$700,$A470,元データ_加工!$B$2:$B$700,J$5)</f>
        <v>0</v>
      </c>
      <c r="K470" s="26">
        <f>SUMIFS(INDEX(元データ_加工!$C$2:$P$700,0,MATCH($B470,元データ_加工!$C$1:$P$1,0)),元データ_加工!$A$2:$A$700,$A470,元データ_加工!$B$2:$B$700,K$5)</f>
        <v>2</v>
      </c>
      <c r="L470" s="26">
        <f>SUMIFS(INDEX(元データ_加工!$C$2:$P$700,0,MATCH($B470,元データ_加工!$C$1:$P$1,0)),元データ_加工!$A$2:$A$700,$A470,元データ_加工!$B$2:$B$700,L$5)</f>
        <v>0</v>
      </c>
      <c r="M470" s="26">
        <f>SUMIFS(INDEX(元データ_加工!$C$2:$P$700,0,MATCH($B470,元データ_加工!$C$1:$P$1,0)),元データ_加工!$A$2:$A$700,$A470,元データ_加工!$B$2:$B$700,M$5)</f>
        <v>0</v>
      </c>
      <c r="N470" s="26">
        <f>SUMIFS(INDEX(元データ_加工!$C$2:$P$700,0,MATCH($B470,元データ_加工!$C$1:$P$1,0)),元データ_加工!$A$2:$A$700,$A470,元データ_加工!$B$2:$B$700,N$5)</f>
        <v>0</v>
      </c>
      <c r="O470" s="26">
        <f t="shared" si="7"/>
        <v>4</v>
      </c>
      <c r="P470" s="7">
        <f>IFERROR(O470/SUMIFS(元データ_加工!$C$2:$C$700,元データ_加工!$A$2:$A$700,$A470),"")</f>
        <v>3.0084235860409147E-4</v>
      </c>
    </row>
    <row r="471" spans="1:16" x14ac:dyDescent="0.45">
      <c r="A471" t="s">
        <v>68</v>
      </c>
      <c r="B471" t="s">
        <v>103</v>
      </c>
      <c r="C471" s="26">
        <f>SUMIFS(INDEX(元データ_加工!$C$2:$P$700,0,MATCH($B471,元データ_加工!$C$1:$P$1,0)),元データ_加工!$A$2:$A$700,$A471,元データ_加工!$B$2:$B$700,C$5)</f>
        <v>0</v>
      </c>
      <c r="D471" s="26">
        <f>SUMIFS(INDEX(元データ_加工!$C$2:$P$700,0,MATCH($B471,元データ_加工!$C$1:$P$1,0)),元データ_加工!$A$2:$A$700,$A471,元データ_加工!$B$2:$B$700,D$5)</f>
        <v>0</v>
      </c>
      <c r="E471" s="26">
        <f>SUMIFS(INDEX(元データ_加工!$C$2:$P$700,0,MATCH($B471,元データ_加工!$C$1:$P$1,0)),元データ_加工!$A$2:$A$700,$A471,元データ_加工!$B$2:$B$700,E$5)</f>
        <v>0</v>
      </c>
      <c r="F471" s="26">
        <f>SUMIFS(INDEX(元データ_加工!$C$2:$P$700,0,MATCH($B471,元データ_加工!$C$1:$P$1,0)),元データ_加工!$A$2:$A$700,$A471,元データ_加工!$B$2:$B$700,F$5)</f>
        <v>12</v>
      </c>
      <c r="G471" s="26">
        <f>SUMIFS(INDEX(元データ_加工!$C$2:$P$700,0,MATCH($B471,元データ_加工!$C$1:$P$1,0)),元データ_加工!$A$2:$A$700,$A471,元データ_加工!$B$2:$B$700,G$5)</f>
        <v>3</v>
      </c>
      <c r="H471" s="26">
        <f>SUMIFS(INDEX(元データ_加工!$C$2:$P$700,0,MATCH($B471,元データ_加工!$C$1:$P$1,0)),元データ_加工!$A$2:$A$700,$A471,元データ_加工!$B$2:$B$700,H$5)</f>
        <v>2</v>
      </c>
      <c r="I471" s="26">
        <f>SUMIFS(INDEX(元データ_加工!$C$2:$P$700,0,MATCH($B471,元データ_加工!$C$1:$P$1,0)),元データ_加工!$A$2:$A$700,$A471,元データ_加工!$B$2:$B$700,I$5)</f>
        <v>0</v>
      </c>
      <c r="J471" s="26">
        <f>SUMIFS(INDEX(元データ_加工!$C$2:$P$700,0,MATCH($B471,元データ_加工!$C$1:$P$1,0)),元データ_加工!$A$2:$A$700,$A471,元データ_加工!$B$2:$B$700,J$5)</f>
        <v>2</v>
      </c>
      <c r="K471" s="26">
        <f>SUMIFS(INDEX(元データ_加工!$C$2:$P$700,0,MATCH($B471,元データ_加工!$C$1:$P$1,0)),元データ_加工!$A$2:$A$700,$A471,元データ_加工!$B$2:$B$700,K$5)</f>
        <v>1</v>
      </c>
      <c r="L471" s="26">
        <f>SUMIFS(INDEX(元データ_加工!$C$2:$P$700,0,MATCH($B471,元データ_加工!$C$1:$P$1,0)),元データ_加工!$A$2:$A$700,$A471,元データ_加工!$B$2:$B$700,L$5)</f>
        <v>0</v>
      </c>
      <c r="M471" s="26">
        <f>SUMIFS(INDEX(元データ_加工!$C$2:$P$700,0,MATCH($B471,元データ_加工!$C$1:$P$1,0)),元データ_加工!$A$2:$A$700,$A471,元データ_加工!$B$2:$B$700,M$5)</f>
        <v>4</v>
      </c>
      <c r="N471" s="26">
        <f>SUMIFS(INDEX(元データ_加工!$C$2:$P$700,0,MATCH($B471,元データ_加工!$C$1:$P$1,0)),元データ_加工!$A$2:$A$700,$A471,元データ_加工!$B$2:$B$700,N$5)</f>
        <v>0</v>
      </c>
      <c r="O471" s="26">
        <f t="shared" si="7"/>
        <v>24</v>
      </c>
      <c r="P471" s="7">
        <f>IFERROR(O471/SUMIFS(元データ_加工!$C$2:$C$700,元データ_加工!$A$2:$A$700,$A471),"")</f>
        <v>1.8050541516245488E-3</v>
      </c>
    </row>
    <row r="472" spans="1:16" x14ac:dyDescent="0.45">
      <c r="A472" t="s">
        <v>68</v>
      </c>
      <c r="B472" t="s">
        <v>104</v>
      </c>
      <c r="C472" s="26">
        <f>SUMIFS(INDEX(元データ_加工!$C$2:$P$700,0,MATCH($B472,元データ_加工!$C$1:$P$1,0)),元データ_加工!$A$2:$A$700,$A472,元データ_加工!$B$2:$B$700,C$5)</f>
        <v>6</v>
      </c>
      <c r="D472" s="26">
        <f>SUMIFS(INDEX(元データ_加工!$C$2:$P$700,0,MATCH($B472,元データ_加工!$C$1:$P$1,0)),元データ_加工!$A$2:$A$700,$A472,元データ_加工!$B$2:$B$700,D$5)</f>
        <v>5</v>
      </c>
      <c r="E472" s="26">
        <f>SUMIFS(INDEX(元データ_加工!$C$2:$P$700,0,MATCH($B472,元データ_加工!$C$1:$P$1,0)),元データ_加工!$A$2:$A$700,$A472,元データ_加工!$B$2:$B$700,E$5)</f>
        <v>12</v>
      </c>
      <c r="F472" s="26">
        <f>SUMIFS(INDEX(元データ_加工!$C$2:$P$700,0,MATCH($B472,元データ_加工!$C$1:$P$1,0)),元データ_加工!$A$2:$A$700,$A472,元データ_加工!$B$2:$B$700,F$5)</f>
        <v>23</v>
      </c>
      <c r="G472" s="26">
        <f>SUMIFS(INDEX(元データ_加工!$C$2:$P$700,0,MATCH($B472,元データ_加工!$C$1:$P$1,0)),元データ_加工!$A$2:$A$700,$A472,元データ_加工!$B$2:$B$700,G$5)</f>
        <v>14</v>
      </c>
      <c r="H472" s="26">
        <f>SUMIFS(INDEX(元データ_加工!$C$2:$P$700,0,MATCH($B472,元データ_加工!$C$1:$P$1,0)),元データ_加工!$A$2:$A$700,$A472,元データ_加工!$B$2:$B$700,H$5)</f>
        <v>10</v>
      </c>
      <c r="I472" s="26">
        <f>SUMIFS(INDEX(元データ_加工!$C$2:$P$700,0,MATCH($B472,元データ_加工!$C$1:$P$1,0)),元データ_加工!$A$2:$A$700,$A472,元データ_加工!$B$2:$B$700,I$5)</f>
        <v>23</v>
      </c>
      <c r="J472" s="26">
        <f>SUMIFS(INDEX(元データ_加工!$C$2:$P$700,0,MATCH($B472,元データ_加工!$C$1:$P$1,0)),元データ_加工!$A$2:$A$700,$A472,元データ_加工!$B$2:$B$700,J$5)</f>
        <v>34</v>
      </c>
      <c r="K472" s="26">
        <f>SUMIFS(INDEX(元データ_加工!$C$2:$P$700,0,MATCH($B472,元データ_加工!$C$1:$P$1,0)),元データ_加工!$A$2:$A$700,$A472,元データ_加工!$B$2:$B$700,K$5)</f>
        <v>60</v>
      </c>
      <c r="L472" s="26">
        <f>SUMIFS(INDEX(元データ_加工!$C$2:$P$700,0,MATCH($B472,元データ_加工!$C$1:$P$1,0)),元データ_加工!$A$2:$A$700,$A472,元データ_加工!$B$2:$B$700,L$5)</f>
        <v>33</v>
      </c>
      <c r="M472" s="26">
        <f>SUMIFS(INDEX(元データ_加工!$C$2:$P$700,0,MATCH($B472,元データ_加工!$C$1:$P$1,0)),元データ_加工!$A$2:$A$700,$A472,元データ_加工!$B$2:$B$700,M$5)</f>
        <v>19</v>
      </c>
      <c r="N472" s="26">
        <f>SUMIFS(INDEX(元データ_加工!$C$2:$P$700,0,MATCH($B472,元データ_加工!$C$1:$P$1,0)),元データ_加工!$A$2:$A$700,$A472,元データ_加工!$B$2:$B$700,N$5)</f>
        <v>13</v>
      </c>
      <c r="O472" s="26">
        <f t="shared" si="7"/>
        <v>252</v>
      </c>
      <c r="P472" s="7">
        <f>IFERROR(O472/SUMIFS(元データ_加工!$C$2:$C$700,元データ_加工!$A$2:$A$700,$A472),"")</f>
        <v>1.895306859205776E-2</v>
      </c>
    </row>
    <row r="473" spans="1:16" x14ac:dyDescent="0.45">
      <c r="A473" t="s">
        <v>68</v>
      </c>
      <c r="B473" t="s">
        <v>105</v>
      </c>
      <c r="C473" s="26">
        <f>SUMIFS(INDEX(元データ_加工!$C$2:$P$700,0,MATCH($B473,元データ_加工!$C$1:$P$1,0)),元データ_加工!$A$2:$A$700,$A473,元データ_加工!$B$2:$B$700,C$5)</f>
        <v>0</v>
      </c>
      <c r="D473" s="26">
        <f>SUMIFS(INDEX(元データ_加工!$C$2:$P$700,0,MATCH($B473,元データ_加工!$C$1:$P$1,0)),元データ_加工!$A$2:$A$700,$A473,元データ_加工!$B$2:$B$700,D$5)</f>
        <v>4</v>
      </c>
      <c r="E473" s="26">
        <f>SUMIFS(INDEX(元データ_加工!$C$2:$P$700,0,MATCH($B473,元データ_加工!$C$1:$P$1,0)),元データ_加工!$A$2:$A$700,$A473,元データ_加工!$B$2:$B$700,E$5)</f>
        <v>11</v>
      </c>
      <c r="F473" s="26">
        <f>SUMIFS(INDEX(元データ_加工!$C$2:$P$700,0,MATCH($B473,元データ_加工!$C$1:$P$1,0)),元データ_加工!$A$2:$A$700,$A473,元データ_加工!$B$2:$B$700,F$5)</f>
        <v>8</v>
      </c>
      <c r="G473" s="26">
        <f>SUMIFS(INDEX(元データ_加工!$C$2:$P$700,0,MATCH($B473,元データ_加工!$C$1:$P$1,0)),元データ_加工!$A$2:$A$700,$A473,元データ_加工!$B$2:$B$700,G$5)</f>
        <v>0</v>
      </c>
      <c r="H473" s="26">
        <f>SUMIFS(INDEX(元データ_加工!$C$2:$P$700,0,MATCH($B473,元データ_加工!$C$1:$P$1,0)),元データ_加工!$A$2:$A$700,$A473,元データ_加工!$B$2:$B$700,H$5)</f>
        <v>1</v>
      </c>
      <c r="I473" s="26">
        <f>SUMIFS(INDEX(元データ_加工!$C$2:$P$700,0,MATCH($B473,元データ_加工!$C$1:$P$1,0)),元データ_加工!$A$2:$A$700,$A473,元データ_加工!$B$2:$B$700,I$5)</f>
        <v>8</v>
      </c>
      <c r="J473" s="26">
        <f>SUMIFS(INDEX(元データ_加工!$C$2:$P$700,0,MATCH($B473,元データ_加工!$C$1:$P$1,0)),元データ_加工!$A$2:$A$700,$A473,元データ_加工!$B$2:$B$700,J$5)</f>
        <v>12</v>
      </c>
      <c r="K473" s="26">
        <f>SUMIFS(INDEX(元データ_加工!$C$2:$P$700,0,MATCH($B473,元データ_加工!$C$1:$P$1,0)),元データ_加工!$A$2:$A$700,$A473,元データ_加工!$B$2:$B$700,K$5)</f>
        <v>50</v>
      </c>
      <c r="L473" s="26">
        <f>SUMIFS(INDEX(元データ_加工!$C$2:$P$700,0,MATCH($B473,元データ_加工!$C$1:$P$1,0)),元データ_加工!$A$2:$A$700,$A473,元データ_加工!$B$2:$B$700,L$5)</f>
        <v>17</v>
      </c>
      <c r="M473" s="26">
        <f>SUMIFS(INDEX(元データ_加工!$C$2:$P$700,0,MATCH($B473,元データ_加工!$C$1:$P$1,0)),元データ_加工!$A$2:$A$700,$A473,元データ_加工!$B$2:$B$700,M$5)</f>
        <v>6</v>
      </c>
      <c r="N473" s="26">
        <f>SUMIFS(INDEX(元データ_加工!$C$2:$P$700,0,MATCH($B473,元データ_加工!$C$1:$P$1,0)),元データ_加工!$A$2:$A$700,$A473,元データ_加工!$B$2:$B$700,N$5)</f>
        <v>10</v>
      </c>
      <c r="O473" s="26">
        <f t="shared" si="7"/>
        <v>127</v>
      </c>
      <c r="P473" s="7">
        <f>IFERROR(O473/SUMIFS(元データ_加工!$C$2:$C$700,元データ_加工!$A$2:$A$700,$A473),"")</f>
        <v>9.5517448856799036E-3</v>
      </c>
    </row>
    <row r="474" spans="1:16" x14ac:dyDescent="0.45">
      <c r="A474" t="s">
        <v>68</v>
      </c>
      <c r="B474" t="s">
        <v>106</v>
      </c>
      <c r="C474" s="26">
        <f>SUMIFS(INDEX(元データ_加工!$C$2:$P$700,0,MATCH($B474,元データ_加工!$C$1:$P$1,0)),元データ_加工!$A$2:$A$700,$A474,元データ_加工!$B$2:$B$700,C$5)</f>
        <v>142</v>
      </c>
      <c r="D474" s="26">
        <f>SUMIFS(INDEX(元データ_加工!$C$2:$P$700,0,MATCH($B474,元データ_加工!$C$1:$P$1,0)),元データ_加工!$A$2:$A$700,$A474,元データ_加工!$B$2:$B$700,D$5)</f>
        <v>101</v>
      </c>
      <c r="E474" s="26">
        <f>SUMIFS(INDEX(元データ_加工!$C$2:$P$700,0,MATCH($B474,元データ_加工!$C$1:$P$1,0)),元データ_加工!$A$2:$A$700,$A474,元データ_加工!$B$2:$B$700,E$5)</f>
        <v>196</v>
      </c>
      <c r="F474" s="26">
        <f>SUMIFS(INDEX(元データ_加工!$C$2:$P$700,0,MATCH($B474,元データ_加工!$C$1:$P$1,0)),元データ_加工!$A$2:$A$700,$A474,元データ_加工!$B$2:$B$700,F$5)</f>
        <v>153</v>
      </c>
      <c r="G474" s="26">
        <f>SUMIFS(INDEX(元データ_加工!$C$2:$P$700,0,MATCH($B474,元データ_加工!$C$1:$P$1,0)),元データ_加工!$A$2:$A$700,$A474,元データ_加工!$B$2:$B$700,G$5)</f>
        <v>170</v>
      </c>
      <c r="H474" s="26">
        <f>SUMIFS(INDEX(元データ_加工!$C$2:$P$700,0,MATCH($B474,元データ_加工!$C$1:$P$1,0)),元データ_加工!$A$2:$A$700,$A474,元データ_加工!$B$2:$B$700,H$5)</f>
        <v>63</v>
      </c>
      <c r="I474" s="26">
        <f>SUMIFS(INDEX(元データ_加工!$C$2:$P$700,0,MATCH($B474,元データ_加工!$C$1:$P$1,0)),元データ_加工!$A$2:$A$700,$A474,元データ_加工!$B$2:$B$700,I$5)</f>
        <v>67</v>
      </c>
      <c r="J474" s="26">
        <f>SUMIFS(INDEX(元データ_加工!$C$2:$P$700,0,MATCH($B474,元データ_加工!$C$1:$P$1,0)),元データ_加工!$A$2:$A$700,$A474,元データ_加工!$B$2:$B$700,J$5)</f>
        <v>127</v>
      </c>
      <c r="K474" s="26">
        <f>SUMIFS(INDEX(元データ_加工!$C$2:$P$700,0,MATCH($B474,元データ_加工!$C$1:$P$1,0)),元データ_加工!$A$2:$A$700,$A474,元データ_加工!$B$2:$B$700,K$5)</f>
        <v>225</v>
      </c>
      <c r="L474" s="26">
        <f>SUMIFS(INDEX(元データ_加工!$C$2:$P$700,0,MATCH($B474,元データ_加工!$C$1:$P$1,0)),元データ_加工!$A$2:$A$700,$A474,元データ_加工!$B$2:$B$700,L$5)</f>
        <v>185</v>
      </c>
      <c r="M474" s="26">
        <f>SUMIFS(INDEX(元データ_加工!$C$2:$P$700,0,MATCH($B474,元データ_加工!$C$1:$P$1,0)),元データ_加工!$A$2:$A$700,$A474,元データ_加工!$B$2:$B$700,M$5)</f>
        <v>154</v>
      </c>
      <c r="N474" s="26">
        <f>SUMIFS(INDEX(元データ_加工!$C$2:$P$700,0,MATCH($B474,元データ_加工!$C$1:$P$1,0)),元データ_加工!$A$2:$A$700,$A474,元データ_加工!$B$2:$B$700,N$5)</f>
        <v>141</v>
      </c>
      <c r="O474" s="26">
        <f t="shared" si="7"/>
        <v>1724</v>
      </c>
      <c r="P474" s="7">
        <f>IFERROR(O474/SUMIFS(元データ_加工!$C$2:$C$700,元データ_加工!$A$2:$A$700,$A474),"")</f>
        <v>0.12966305655836341</v>
      </c>
    </row>
    <row r="475" spans="1:16" x14ac:dyDescent="0.45">
      <c r="A475" t="s">
        <v>68</v>
      </c>
      <c r="B475" t="s">
        <v>107</v>
      </c>
      <c r="C475" s="26">
        <f>SUMIFS(INDEX(元データ_加工!$C$2:$P$700,0,MATCH($B475,元データ_加工!$C$1:$P$1,0)),元データ_加工!$A$2:$A$700,$A475,元データ_加工!$B$2:$B$700,C$5)</f>
        <v>29</v>
      </c>
      <c r="D475" s="26">
        <f>SUMIFS(INDEX(元データ_加工!$C$2:$P$700,0,MATCH($B475,元データ_加工!$C$1:$P$1,0)),元データ_加工!$A$2:$A$700,$A475,元データ_加工!$B$2:$B$700,D$5)</f>
        <v>39</v>
      </c>
      <c r="E475" s="26">
        <f>SUMIFS(INDEX(元データ_加工!$C$2:$P$700,0,MATCH($B475,元データ_加工!$C$1:$P$1,0)),元データ_加工!$A$2:$A$700,$A475,元データ_加工!$B$2:$B$700,E$5)</f>
        <v>31</v>
      </c>
      <c r="F475" s="26">
        <f>SUMIFS(INDEX(元データ_加工!$C$2:$P$700,0,MATCH($B475,元データ_加工!$C$1:$P$1,0)),元データ_加工!$A$2:$A$700,$A475,元データ_加工!$B$2:$B$700,F$5)</f>
        <v>23</v>
      </c>
      <c r="G475" s="26">
        <f>SUMIFS(INDEX(元データ_加工!$C$2:$P$700,0,MATCH($B475,元データ_加工!$C$1:$P$1,0)),元データ_加工!$A$2:$A$700,$A475,元データ_加工!$B$2:$B$700,G$5)</f>
        <v>15</v>
      </c>
      <c r="H475" s="26">
        <f>SUMIFS(INDEX(元データ_加工!$C$2:$P$700,0,MATCH($B475,元データ_加工!$C$1:$P$1,0)),元データ_加工!$A$2:$A$700,$A475,元データ_加工!$B$2:$B$700,H$5)</f>
        <v>8</v>
      </c>
      <c r="I475" s="26">
        <f>SUMIFS(INDEX(元データ_加工!$C$2:$P$700,0,MATCH($B475,元データ_加工!$C$1:$P$1,0)),元データ_加工!$A$2:$A$700,$A475,元データ_加工!$B$2:$B$700,I$5)</f>
        <v>13</v>
      </c>
      <c r="J475" s="26">
        <f>SUMIFS(INDEX(元データ_加工!$C$2:$P$700,0,MATCH($B475,元データ_加工!$C$1:$P$1,0)),元データ_加工!$A$2:$A$700,$A475,元データ_加工!$B$2:$B$700,J$5)</f>
        <v>11</v>
      </c>
      <c r="K475" s="26">
        <f>SUMIFS(INDEX(元データ_加工!$C$2:$P$700,0,MATCH($B475,元データ_加工!$C$1:$P$1,0)),元データ_加工!$A$2:$A$700,$A475,元データ_加工!$B$2:$B$700,K$5)</f>
        <v>11</v>
      </c>
      <c r="L475" s="26">
        <f>SUMIFS(INDEX(元データ_加工!$C$2:$P$700,0,MATCH($B475,元データ_加工!$C$1:$P$1,0)),元データ_加工!$A$2:$A$700,$A475,元データ_加工!$B$2:$B$700,L$5)</f>
        <v>20</v>
      </c>
      <c r="M475" s="26">
        <f>SUMIFS(INDEX(元データ_加工!$C$2:$P$700,0,MATCH($B475,元データ_加工!$C$1:$P$1,0)),元データ_加工!$A$2:$A$700,$A475,元データ_加工!$B$2:$B$700,M$5)</f>
        <v>18</v>
      </c>
      <c r="N475" s="26">
        <f>SUMIFS(INDEX(元データ_加工!$C$2:$P$700,0,MATCH($B475,元データ_加工!$C$1:$P$1,0)),元データ_加工!$A$2:$A$700,$A475,元データ_加工!$B$2:$B$700,N$5)</f>
        <v>39</v>
      </c>
      <c r="O475" s="26">
        <f t="shared" si="7"/>
        <v>257</v>
      </c>
      <c r="P475" s="7">
        <f>IFERROR(O475/SUMIFS(元データ_加工!$C$2:$C$700,元データ_加工!$A$2:$A$700,$A475),"")</f>
        <v>1.9329121540312875E-2</v>
      </c>
    </row>
    <row r="476" spans="1:16" x14ac:dyDescent="0.45">
      <c r="A476" t="s">
        <v>68</v>
      </c>
      <c r="B476" t="s">
        <v>108</v>
      </c>
      <c r="C476" s="26">
        <f>SUMIFS(INDEX(元データ_加工!$C$2:$P$700,0,MATCH($B476,元データ_加工!$C$1:$P$1,0)),元データ_加工!$A$2:$A$700,$A476,元データ_加工!$B$2:$B$700,C$5)</f>
        <v>0</v>
      </c>
      <c r="D476" s="26">
        <f>SUMIFS(INDEX(元データ_加工!$C$2:$P$700,0,MATCH($B476,元データ_加工!$C$1:$P$1,0)),元データ_加工!$A$2:$A$700,$A476,元データ_加工!$B$2:$B$700,D$5)</f>
        <v>3</v>
      </c>
      <c r="E476" s="26">
        <f>SUMIFS(INDEX(元データ_加工!$C$2:$P$700,0,MATCH($B476,元データ_加工!$C$1:$P$1,0)),元データ_加工!$A$2:$A$700,$A476,元データ_加工!$B$2:$B$700,E$5)</f>
        <v>36</v>
      </c>
      <c r="F476" s="26">
        <f>SUMIFS(INDEX(元データ_加工!$C$2:$P$700,0,MATCH($B476,元データ_加工!$C$1:$P$1,0)),元データ_加工!$A$2:$A$700,$A476,元データ_加工!$B$2:$B$700,F$5)</f>
        <v>11</v>
      </c>
      <c r="G476" s="26">
        <f>SUMIFS(INDEX(元データ_加工!$C$2:$P$700,0,MATCH($B476,元データ_加工!$C$1:$P$1,0)),元データ_加工!$A$2:$A$700,$A476,元データ_加工!$B$2:$B$700,G$5)</f>
        <v>10</v>
      </c>
      <c r="H476" s="26">
        <f>SUMIFS(INDEX(元データ_加工!$C$2:$P$700,0,MATCH($B476,元データ_加工!$C$1:$P$1,0)),元データ_加工!$A$2:$A$700,$A476,元データ_加工!$B$2:$B$700,H$5)</f>
        <v>2</v>
      </c>
      <c r="I476" s="26">
        <f>SUMIFS(INDEX(元データ_加工!$C$2:$P$700,0,MATCH($B476,元データ_加工!$C$1:$P$1,0)),元データ_加工!$A$2:$A$700,$A476,元データ_加工!$B$2:$B$700,I$5)</f>
        <v>0</v>
      </c>
      <c r="J476" s="26">
        <f>SUMIFS(INDEX(元データ_加工!$C$2:$P$700,0,MATCH($B476,元データ_加工!$C$1:$P$1,0)),元データ_加工!$A$2:$A$700,$A476,元データ_加工!$B$2:$B$700,J$5)</f>
        <v>8</v>
      </c>
      <c r="K476" s="26">
        <f>SUMIFS(INDEX(元データ_加工!$C$2:$P$700,0,MATCH($B476,元データ_加工!$C$1:$P$1,0)),元データ_加工!$A$2:$A$700,$A476,元データ_加工!$B$2:$B$700,K$5)</f>
        <v>0</v>
      </c>
      <c r="L476" s="26">
        <f>SUMIFS(INDEX(元データ_加工!$C$2:$P$700,0,MATCH($B476,元データ_加工!$C$1:$P$1,0)),元データ_加工!$A$2:$A$700,$A476,元データ_加工!$B$2:$B$700,L$5)</f>
        <v>0</v>
      </c>
      <c r="M476" s="26">
        <f>SUMIFS(INDEX(元データ_加工!$C$2:$P$700,0,MATCH($B476,元データ_加工!$C$1:$P$1,0)),元データ_加工!$A$2:$A$700,$A476,元データ_加工!$B$2:$B$700,M$5)</f>
        <v>13</v>
      </c>
      <c r="N476" s="26">
        <f>SUMIFS(INDEX(元データ_加工!$C$2:$P$700,0,MATCH($B476,元データ_加工!$C$1:$P$1,0)),元データ_加工!$A$2:$A$700,$A476,元データ_加工!$B$2:$B$700,N$5)</f>
        <v>0</v>
      </c>
      <c r="O476" s="26">
        <f t="shared" si="7"/>
        <v>83</v>
      </c>
      <c r="P476" s="7">
        <f>IFERROR(O476/SUMIFS(元データ_加工!$C$2:$C$700,元データ_加工!$A$2:$A$700,$A476),"")</f>
        <v>6.2424789410348977E-3</v>
      </c>
    </row>
    <row r="477" spans="1:16" x14ac:dyDescent="0.45">
      <c r="A477" t="s">
        <v>68</v>
      </c>
      <c r="B477" t="s">
        <v>109</v>
      </c>
      <c r="C477" s="26">
        <f>SUMIFS(INDEX(元データ_加工!$C$2:$P$700,0,MATCH($B477,元データ_加工!$C$1:$P$1,0)),元データ_加工!$A$2:$A$700,$A477,元データ_加工!$B$2:$B$700,C$5)</f>
        <v>48</v>
      </c>
      <c r="D477" s="26">
        <f>SUMIFS(INDEX(元データ_加工!$C$2:$P$700,0,MATCH($B477,元データ_加工!$C$1:$P$1,0)),元データ_加工!$A$2:$A$700,$A477,元データ_加工!$B$2:$B$700,D$5)</f>
        <v>70</v>
      </c>
      <c r="E477" s="26">
        <f>SUMIFS(INDEX(元データ_加工!$C$2:$P$700,0,MATCH($B477,元データ_加工!$C$1:$P$1,0)),元データ_加工!$A$2:$A$700,$A477,元データ_加工!$B$2:$B$700,E$5)</f>
        <v>120</v>
      </c>
      <c r="F477" s="26">
        <f>SUMIFS(INDEX(元データ_加工!$C$2:$P$700,0,MATCH($B477,元データ_加工!$C$1:$P$1,0)),元データ_加工!$A$2:$A$700,$A477,元データ_加工!$B$2:$B$700,F$5)</f>
        <v>57</v>
      </c>
      <c r="G477" s="26">
        <f>SUMIFS(INDEX(元データ_加工!$C$2:$P$700,0,MATCH($B477,元データ_加工!$C$1:$P$1,0)),元データ_加工!$A$2:$A$700,$A477,元データ_加工!$B$2:$B$700,G$5)</f>
        <v>59</v>
      </c>
      <c r="H477" s="26">
        <f>SUMIFS(INDEX(元データ_加工!$C$2:$P$700,0,MATCH($B477,元データ_加工!$C$1:$P$1,0)),元データ_加工!$A$2:$A$700,$A477,元データ_加工!$B$2:$B$700,H$5)</f>
        <v>33</v>
      </c>
      <c r="I477" s="26">
        <f>SUMIFS(INDEX(元データ_加工!$C$2:$P$700,0,MATCH($B477,元データ_加工!$C$1:$P$1,0)),元データ_加工!$A$2:$A$700,$A477,元データ_加工!$B$2:$B$700,I$5)</f>
        <v>71</v>
      </c>
      <c r="J477" s="26">
        <f>SUMIFS(INDEX(元データ_加工!$C$2:$P$700,0,MATCH($B477,元データ_加工!$C$1:$P$1,0)),元データ_加工!$A$2:$A$700,$A477,元データ_加工!$B$2:$B$700,J$5)</f>
        <v>66</v>
      </c>
      <c r="K477" s="26">
        <f>SUMIFS(INDEX(元データ_加工!$C$2:$P$700,0,MATCH($B477,元データ_加工!$C$1:$P$1,0)),元データ_加工!$A$2:$A$700,$A477,元データ_加工!$B$2:$B$700,K$5)</f>
        <v>85</v>
      </c>
      <c r="L477" s="26">
        <f>SUMIFS(INDEX(元データ_加工!$C$2:$P$700,0,MATCH($B477,元データ_加工!$C$1:$P$1,0)),元データ_加工!$A$2:$A$700,$A477,元データ_加工!$B$2:$B$700,L$5)</f>
        <v>38</v>
      </c>
      <c r="M477" s="26">
        <f>SUMIFS(INDEX(元データ_加工!$C$2:$P$700,0,MATCH($B477,元データ_加工!$C$1:$P$1,0)),元データ_加工!$A$2:$A$700,$A477,元データ_加工!$B$2:$B$700,M$5)</f>
        <v>59</v>
      </c>
      <c r="N477" s="26">
        <f>SUMIFS(INDEX(元データ_加工!$C$2:$P$700,0,MATCH($B477,元データ_加工!$C$1:$P$1,0)),元データ_加工!$A$2:$A$700,$A477,元データ_加工!$B$2:$B$700,N$5)</f>
        <v>40</v>
      </c>
      <c r="O477" s="26">
        <f t="shared" si="7"/>
        <v>746</v>
      </c>
      <c r="P477" s="7">
        <f>IFERROR(O477/SUMIFS(元データ_加工!$C$2:$C$700,元データ_加工!$A$2:$A$700,$A477),"")</f>
        <v>5.6107099879663058E-2</v>
      </c>
    </row>
    <row r="478" spans="1:16" x14ac:dyDescent="0.45">
      <c r="A478" t="s">
        <v>68</v>
      </c>
      <c r="B478" t="s">
        <v>110</v>
      </c>
      <c r="C478" s="26">
        <f>SUMIFS(INDEX(元データ_加工!$C$2:$P$700,0,MATCH($B478,元データ_加工!$C$1:$P$1,0)),元データ_加工!$A$2:$A$700,$A478,元データ_加工!$B$2:$B$700,C$5)</f>
        <v>0</v>
      </c>
      <c r="D478" s="26">
        <f>SUMIFS(INDEX(元データ_加工!$C$2:$P$700,0,MATCH($B478,元データ_加工!$C$1:$P$1,0)),元データ_加工!$A$2:$A$700,$A478,元データ_加工!$B$2:$B$700,D$5)</f>
        <v>0</v>
      </c>
      <c r="E478" s="26">
        <f>SUMIFS(INDEX(元データ_加工!$C$2:$P$700,0,MATCH($B478,元データ_加工!$C$1:$P$1,0)),元データ_加工!$A$2:$A$700,$A478,元データ_加工!$B$2:$B$700,E$5)</f>
        <v>0</v>
      </c>
      <c r="F478" s="26">
        <f>SUMIFS(INDEX(元データ_加工!$C$2:$P$700,0,MATCH($B478,元データ_加工!$C$1:$P$1,0)),元データ_加工!$A$2:$A$700,$A478,元データ_加工!$B$2:$B$700,F$5)</f>
        <v>0</v>
      </c>
      <c r="G478" s="26">
        <f>SUMIFS(INDEX(元データ_加工!$C$2:$P$700,0,MATCH($B478,元データ_加工!$C$1:$P$1,0)),元データ_加工!$A$2:$A$700,$A478,元データ_加工!$B$2:$B$700,G$5)</f>
        <v>0</v>
      </c>
      <c r="H478" s="26">
        <f>SUMIFS(INDEX(元データ_加工!$C$2:$P$700,0,MATCH($B478,元データ_加工!$C$1:$P$1,0)),元データ_加工!$A$2:$A$700,$A478,元データ_加工!$B$2:$B$700,H$5)</f>
        <v>0</v>
      </c>
      <c r="I478" s="26">
        <f>SUMIFS(INDEX(元データ_加工!$C$2:$P$700,0,MATCH($B478,元データ_加工!$C$1:$P$1,0)),元データ_加工!$A$2:$A$700,$A478,元データ_加工!$B$2:$B$700,I$5)</f>
        <v>0</v>
      </c>
      <c r="J478" s="26">
        <f>SUMIFS(INDEX(元データ_加工!$C$2:$P$700,0,MATCH($B478,元データ_加工!$C$1:$P$1,0)),元データ_加工!$A$2:$A$700,$A478,元データ_加工!$B$2:$B$700,J$5)</f>
        <v>0</v>
      </c>
      <c r="K478" s="26">
        <f>SUMIFS(INDEX(元データ_加工!$C$2:$P$700,0,MATCH($B478,元データ_加工!$C$1:$P$1,0)),元データ_加工!$A$2:$A$700,$A478,元データ_加工!$B$2:$B$700,K$5)</f>
        <v>0</v>
      </c>
      <c r="L478" s="26">
        <f>SUMIFS(INDEX(元データ_加工!$C$2:$P$700,0,MATCH($B478,元データ_加工!$C$1:$P$1,0)),元データ_加工!$A$2:$A$700,$A478,元データ_加工!$B$2:$B$700,L$5)</f>
        <v>0</v>
      </c>
      <c r="M478" s="26">
        <f>SUMIFS(INDEX(元データ_加工!$C$2:$P$700,0,MATCH($B478,元データ_加工!$C$1:$P$1,0)),元データ_加工!$A$2:$A$700,$A478,元データ_加工!$B$2:$B$700,M$5)</f>
        <v>0</v>
      </c>
      <c r="N478" s="26">
        <f>SUMIFS(INDEX(元データ_加工!$C$2:$P$700,0,MATCH($B478,元データ_加工!$C$1:$P$1,0)),元データ_加工!$A$2:$A$700,$A478,元データ_加工!$B$2:$B$700,N$5)</f>
        <v>0</v>
      </c>
      <c r="O478" s="26">
        <f t="shared" si="7"/>
        <v>0</v>
      </c>
      <c r="P478" s="7">
        <f>IFERROR(O478/SUMIFS(元データ_加工!$C$2:$C$700,元データ_加工!$A$2:$A$700,$A478),"")</f>
        <v>0</v>
      </c>
    </row>
    <row r="479" spans="1:16" x14ac:dyDescent="0.45">
      <c r="A479" t="s">
        <v>68</v>
      </c>
      <c r="B479" t="s">
        <v>111</v>
      </c>
      <c r="C479" s="26">
        <f>SUMIFS(INDEX(元データ_加工!$C$2:$P$700,0,MATCH($B479,元データ_加工!$C$1:$P$1,0)),元データ_加工!$A$2:$A$700,$A479,元データ_加工!$B$2:$B$700,C$5)</f>
        <v>0</v>
      </c>
      <c r="D479" s="26">
        <f>SUMIFS(INDEX(元データ_加工!$C$2:$P$700,0,MATCH($B479,元データ_加工!$C$1:$P$1,0)),元データ_加工!$A$2:$A$700,$A479,元データ_加工!$B$2:$B$700,D$5)</f>
        <v>0</v>
      </c>
      <c r="E479" s="26">
        <f>SUMIFS(INDEX(元データ_加工!$C$2:$P$700,0,MATCH($B479,元データ_加工!$C$1:$P$1,0)),元データ_加工!$A$2:$A$700,$A479,元データ_加工!$B$2:$B$700,E$5)</f>
        <v>0</v>
      </c>
      <c r="F479" s="26">
        <f>SUMIFS(INDEX(元データ_加工!$C$2:$P$700,0,MATCH($B479,元データ_加工!$C$1:$P$1,0)),元データ_加工!$A$2:$A$700,$A479,元データ_加工!$B$2:$B$700,F$5)</f>
        <v>0</v>
      </c>
      <c r="G479" s="26">
        <f>SUMIFS(INDEX(元データ_加工!$C$2:$P$700,0,MATCH($B479,元データ_加工!$C$1:$P$1,0)),元データ_加工!$A$2:$A$700,$A479,元データ_加工!$B$2:$B$700,G$5)</f>
        <v>0</v>
      </c>
      <c r="H479" s="26">
        <f>SUMIFS(INDEX(元データ_加工!$C$2:$P$700,0,MATCH($B479,元データ_加工!$C$1:$P$1,0)),元データ_加工!$A$2:$A$700,$A479,元データ_加工!$B$2:$B$700,H$5)</f>
        <v>0</v>
      </c>
      <c r="I479" s="26">
        <f>SUMIFS(INDEX(元データ_加工!$C$2:$P$700,0,MATCH($B479,元データ_加工!$C$1:$P$1,0)),元データ_加工!$A$2:$A$700,$A479,元データ_加工!$B$2:$B$700,I$5)</f>
        <v>0</v>
      </c>
      <c r="J479" s="26">
        <f>SUMIFS(INDEX(元データ_加工!$C$2:$P$700,0,MATCH($B479,元データ_加工!$C$1:$P$1,0)),元データ_加工!$A$2:$A$700,$A479,元データ_加工!$B$2:$B$700,J$5)</f>
        <v>0</v>
      </c>
      <c r="K479" s="26">
        <f>SUMIFS(INDEX(元データ_加工!$C$2:$P$700,0,MATCH($B479,元データ_加工!$C$1:$P$1,0)),元データ_加工!$A$2:$A$700,$A479,元データ_加工!$B$2:$B$700,K$5)</f>
        <v>0</v>
      </c>
      <c r="L479" s="26">
        <f>SUMIFS(INDEX(元データ_加工!$C$2:$P$700,0,MATCH($B479,元データ_加工!$C$1:$P$1,0)),元データ_加工!$A$2:$A$700,$A479,元データ_加工!$B$2:$B$700,L$5)</f>
        <v>0</v>
      </c>
      <c r="M479" s="26">
        <f>SUMIFS(INDEX(元データ_加工!$C$2:$P$700,0,MATCH($B479,元データ_加工!$C$1:$P$1,0)),元データ_加工!$A$2:$A$700,$A479,元データ_加工!$B$2:$B$700,M$5)</f>
        <v>0</v>
      </c>
      <c r="N479" s="26">
        <f>SUMIFS(INDEX(元データ_加工!$C$2:$P$700,0,MATCH($B479,元データ_加工!$C$1:$P$1,0)),元データ_加工!$A$2:$A$700,$A479,元データ_加工!$B$2:$B$700,N$5)</f>
        <v>0</v>
      </c>
      <c r="O479" s="26">
        <f t="shared" si="7"/>
        <v>0</v>
      </c>
      <c r="P479" s="7">
        <f>IFERROR(O479/SUMIFS(元データ_加工!$C$2:$C$700,元データ_加工!$A$2:$A$700,$A479),"")</f>
        <v>0</v>
      </c>
    </row>
    <row r="480" spans="1:16" x14ac:dyDescent="0.45">
      <c r="A480" t="s">
        <v>68</v>
      </c>
      <c r="B480" t="s">
        <v>112</v>
      </c>
      <c r="C480" s="26">
        <f>SUMIFS(INDEX(元データ_加工!$C$2:$P$700,0,MATCH($B480,元データ_加工!$C$1:$P$1,0)),元データ_加工!$A$2:$A$700,$A480,元データ_加工!$B$2:$B$700,C$5)</f>
        <v>0</v>
      </c>
      <c r="D480" s="26">
        <f>SUMIFS(INDEX(元データ_加工!$C$2:$P$700,0,MATCH($B480,元データ_加工!$C$1:$P$1,0)),元データ_加工!$A$2:$A$700,$A480,元データ_加工!$B$2:$B$700,D$5)</f>
        <v>0</v>
      </c>
      <c r="E480" s="26">
        <f>SUMIFS(INDEX(元データ_加工!$C$2:$P$700,0,MATCH($B480,元データ_加工!$C$1:$P$1,0)),元データ_加工!$A$2:$A$700,$A480,元データ_加工!$B$2:$B$700,E$5)</f>
        <v>1</v>
      </c>
      <c r="F480" s="26">
        <f>SUMIFS(INDEX(元データ_加工!$C$2:$P$700,0,MATCH($B480,元データ_加工!$C$1:$P$1,0)),元データ_加工!$A$2:$A$700,$A480,元データ_加工!$B$2:$B$700,F$5)</f>
        <v>2</v>
      </c>
      <c r="G480" s="26">
        <f>SUMIFS(INDEX(元データ_加工!$C$2:$P$700,0,MATCH($B480,元データ_加工!$C$1:$P$1,0)),元データ_加工!$A$2:$A$700,$A480,元データ_加工!$B$2:$B$700,G$5)</f>
        <v>0</v>
      </c>
      <c r="H480" s="26">
        <f>SUMIFS(INDEX(元データ_加工!$C$2:$P$700,0,MATCH($B480,元データ_加工!$C$1:$P$1,0)),元データ_加工!$A$2:$A$700,$A480,元データ_加工!$B$2:$B$700,H$5)</f>
        <v>1</v>
      </c>
      <c r="I480" s="26">
        <f>SUMIFS(INDEX(元データ_加工!$C$2:$P$700,0,MATCH($B480,元データ_加工!$C$1:$P$1,0)),元データ_加工!$A$2:$A$700,$A480,元データ_加工!$B$2:$B$700,I$5)</f>
        <v>0</v>
      </c>
      <c r="J480" s="26">
        <f>SUMIFS(INDEX(元データ_加工!$C$2:$P$700,0,MATCH($B480,元データ_加工!$C$1:$P$1,0)),元データ_加工!$A$2:$A$700,$A480,元データ_加工!$B$2:$B$700,J$5)</f>
        <v>0</v>
      </c>
      <c r="K480" s="26">
        <f>SUMIFS(INDEX(元データ_加工!$C$2:$P$700,0,MATCH($B480,元データ_加工!$C$1:$P$1,0)),元データ_加工!$A$2:$A$700,$A480,元データ_加工!$B$2:$B$700,K$5)</f>
        <v>3</v>
      </c>
      <c r="L480" s="26">
        <f>SUMIFS(INDEX(元データ_加工!$C$2:$P$700,0,MATCH($B480,元データ_加工!$C$1:$P$1,0)),元データ_加工!$A$2:$A$700,$A480,元データ_加工!$B$2:$B$700,L$5)</f>
        <v>0</v>
      </c>
      <c r="M480" s="26">
        <f>SUMIFS(INDEX(元データ_加工!$C$2:$P$700,0,MATCH($B480,元データ_加工!$C$1:$P$1,0)),元データ_加工!$A$2:$A$700,$A480,元データ_加工!$B$2:$B$700,M$5)</f>
        <v>4</v>
      </c>
      <c r="N480" s="26">
        <f>SUMIFS(INDEX(元データ_加工!$C$2:$P$700,0,MATCH($B480,元データ_加工!$C$1:$P$1,0)),元データ_加工!$A$2:$A$700,$A480,元データ_加工!$B$2:$B$700,N$5)</f>
        <v>0</v>
      </c>
      <c r="O480" s="26">
        <f t="shared" si="7"/>
        <v>11</v>
      </c>
      <c r="P480" s="7">
        <f>IFERROR(O480/SUMIFS(元データ_加工!$C$2:$C$700,元データ_加工!$A$2:$A$700,$A480),"")</f>
        <v>8.2731648616125148E-4</v>
      </c>
    </row>
    <row r="481" spans="1:16" x14ac:dyDescent="0.45">
      <c r="A481" t="s">
        <v>68</v>
      </c>
      <c r="B481" t="s">
        <v>113</v>
      </c>
      <c r="C481" s="26">
        <f>SUMIFS(INDEX(元データ_加工!$C$2:$P$700,0,MATCH($B481,元データ_加工!$C$1:$P$1,0)),元データ_加工!$A$2:$A$700,$A481,元データ_加工!$B$2:$B$700,C$5)</f>
        <v>0</v>
      </c>
      <c r="D481" s="26">
        <f>SUMIFS(INDEX(元データ_加工!$C$2:$P$700,0,MATCH($B481,元データ_加工!$C$1:$P$1,0)),元データ_加工!$A$2:$A$700,$A481,元データ_加工!$B$2:$B$700,D$5)</f>
        <v>0</v>
      </c>
      <c r="E481" s="26">
        <f>SUMIFS(INDEX(元データ_加工!$C$2:$P$700,0,MATCH($B481,元データ_加工!$C$1:$P$1,0)),元データ_加工!$A$2:$A$700,$A481,元データ_加工!$B$2:$B$700,E$5)</f>
        <v>5</v>
      </c>
      <c r="F481" s="26">
        <f>SUMIFS(INDEX(元データ_加工!$C$2:$P$700,0,MATCH($B481,元データ_加工!$C$1:$P$1,0)),元データ_加工!$A$2:$A$700,$A481,元データ_加工!$B$2:$B$700,F$5)</f>
        <v>4</v>
      </c>
      <c r="G481" s="26">
        <f>SUMIFS(INDEX(元データ_加工!$C$2:$P$700,0,MATCH($B481,元データ_加工!$C$1:$P$1,0)),元データ_加工!$A$2:$A$700,$A481,元データ_加工!$B$2:$B$700,G$5)</f>
        <v>2</v>
      </c>
      <c r="H481" s="26">
        <f>SUMIFS(INDEX(元データ_加工!$C$2:$P$700,0,MATCH($B481,元データ_加工!$C$1:$P$1,0)),元データ_加工!$A$2:$A$700,$A481,元データ_加工!$B$2:$B$700,H$5)</f>
        <v>1</v>
      </c>
      <c r="I481" s="26">
        <f>SUMIFS(INDEX(元データ_加工!$C$2:$P$700,0,MATCH($B481,元データ_加工!$C$1:$P$1,0)),元データ_加工!$A$2:$A$700,$A481,元データ_加工!$B$2:$B$700,I$5)</f>
        <v>0</v>
      </c>
      <c r="J481" s="26">
        <f>SUMIFS(INDEX(元データ_加工!$C$2:$P$700,0,MATCH($B481,元データ_加工!$C$1:$P$1,0)),元データ_加工!$A$2:$A$700,$A481,元データ_加工!$B$2:$B$700,J$5)</f>
        <v>1</v>
      </c>
      <c r="K481" s="26">
        <f>SUMIFS(INDEX(元データ_加工!$C$2:$P$700,0,MATCH($B481,元データ_加工!$C$1:$P$1,0)),元データ_加工!$A$2:$A$700,$A481,元データ_加工!$B$2:$B$700,K$5)</f>
        <v>4</v>
      </c>
      <c r="L481" s="26">
        <f>SUMIFS(INDEX(元データ_加工!$C$2:$P$700,0,MATCH($B481,元データ_加工!$C$1:$P$1,0)),元データ_加工!$A$2:$A$700,$A481,元データ_加工!$B$2:$B$700,L$5)</f>
        <v>1</v>
      </c>
      <c r="M481" s="26">
        <f>SUMIFS(INDEX(元データ_加工!$C$2:$P$700,0,MATCH($B481,元データ_加工!$C$1:$P$1,0)),元データ_加工!$A$2:$A$700,$A481,元データ_加工!$B$2:$B$700,M$5)</f>
        <v>5</v>
      </c>
      <c r="N481" s="26">
        <f>SUMIFS(INDEX(元データ_加工!$C$2:$P$700,0,MATCH($B481,元データ_加工!$C$1:$P$1,0)),元データ_加工!$A$2:$A$700,$A481,元データ_加工!$B$2:$B$700,N$5)</f>
        <v>3</v>
      </c>
      <c r="O481" s="26">
        <f t="shared" si="7"/>
        <v>26</v>
      </c>
      <c r="P481" s="7">
        <f>IFERROR(O481/SUMIFS(元データ_加工!$C$2:$C$700,元データ_加工!$A$2:$A$700,$A481),"")</f>
        <v>1.9554753309265946E-3</v>
      </c>
    </row>
    <row r="482" spans="1:16" x14ac:dyDescent="0.45">
      <c r="A482" t="s">
        <v>69</v>
      </c>
      <c r="B482" t="s">
        <v>100</v>
      </c>
      <c r="C482" s="26">
        <f>SUMIFS(INDEX(元データ_加工!$C$2:$P$700,0,MATCH($B482,元データ_加工!$C$1:$P$1,0)),元データ_加工!$A$2:$A$700,$A482,元データ_加工!$B$2:$B$700,C$5)</f>
        <v>1165</v>
      </c>
      <c r="D482" s="26">
        <f>SUMIFS(INDEX(元データ_加工!$C$2:$P$700,0,MATCH($B482,元データ_加工!$C$1:$P$1,0)),元データ_加工!$A$2:$A$700,$A482,元データ_加工!$B$2:$B$700,D$5)</f>
        <v>1146</v>
      </c>
      <c r="E482" s="26">
        <f>SUMIFS(INDEX(元データ_加工!$C$2:$P$700,0,MATCH($B482,元データ_加工!$C$1:$P$1,0)),元データ_加工!$A$2:$A$700,$A482,元データ_加工!$B$2:$B$700,E$5)</f>
        <v>1766</v>
      </c>
      <c r="F482" s="26">
        <f>SUMIFS(INDEX(元データ_加工!$C$2:$P$700,0,MATCH($B482,元データ_加工!$C$1:$P$1,0)),元データ_加工!$A$2:$A$700,$A482,元データ_加工!$B$2:$B$700,F$5)</f>
        <v>1614</v>
      </c>
      <c r="G482" s="26">
        <f>SUMIFS(INDEX(元データ_加工!$C$2:$P$700,0,MATCH($B482,元データ_加工!$C$1:$P$1,0)),元データ_加工!$A$2:$A$700,$A482,元データ_加工!$B$2:$B$700,G$5)</f>
        <v>1856</v>
      </c>
      <c r="H482" s="26">
        <f>SUMIFS(INDEX(元データ_加工!$C$2:$P$700,0,MATCH($B482,元データ_加工!$C$1:$P$1,0)),元データ_加工!$A$2:$A$700,$A482,元データ_加工!$B$2:$B$700,H$5)</f>
        <v>1371</v>
      </c>
      <c r="I482" s="26">
        <f>SUMIFS(INDEX(元データ_加工!$C$2:$P$700,0,MATCH($B482,元データ_加工!$C$1:$P$1,0)),元データ_加工!$A$2:$A$700,$A482,元データ_加工!$B$2:$B$700,I$5)</f>
        <v>1022</v>
      </c>
      <c r="J482" s="26">
        <f>SUMIFS(INDEX(元データ_加工!$C$2:$P$700,0,MATCH($B482,元データ_加工!$C$1:$P$1,0)),元データ_加工!$A$2:$A$700,$A482,元データ_加工!$B$2:$B$700,J$5)</f>
        <v>2064</v>
      </c>
      <c r="K482" s="26">
        <f>SUMIFS(INDEX(元データ_加工!$C$2:$P$700,0,MATCH($B482,元データ_加工!$C$1:$P$1,0)),元データ_加工!$A$2:$A$700,$A482,元データ_加工!$B$2:$B$700,K$5)</f>
        <v>3053</v>
      </c>
      <c r="L482" s="26">
        <f>SUMIFS(INDEX(元データ_加工!$C$2:$P$700,0,MATCH($B482,元データ_加工!$C$1:$P$1,0)),元データ_加工!$A$2:$A$700,$A482,元データ_加工!$B$2:$B$700,L$5)</f>
        <v>2168</v>
      </c>
      <c r="M482" s="26">
        <f>SUMIFS(INDEX(元データ_加工!$C$2:$P$700,0,MATCH($B482,元データ_加工!$C$1:$P$1,0)),元データ_加工!$A$2:$A$700,$A482,元データ_加工!$B$2:$B$700,M$5)</f>
        <v>1814</v>
      </c>
      <c r="N482" s="26">
        <f>SUMIFS(INDEX(元データ_加工!$C$2:$P$700,0,MATCH($B482,元データ_加工!$C$1:$P$1,0)),元データ_加工!$A$2:$A$700,$A482,元データ_加工!$B$2:$B$700,N$5)</f>
        <v>1382</v>
      </c>
      <c r="O482" s="26">
        <f t="shared" si="7"/>
        <v>20421</v>
      </c>
      <c r="P482" s="7">
        <f>IFERROR(O482/SUMIFS(元データ_加工!$C$2:$C$700,元データ_加工!$A$2:$A$700,$A482),"")</f>
        <v>1</v>
      </c>
    </row>
    <row r="483" spans="1:16" x14ac:dyDescent="0.45">
      <c r="A483" t="s">
        <v>69</v>
      </c>
      <c r="B483" t="s">
        <v>101</v>
      </c>
      <c r="C483" s="26">
        <f>SUMIFS(INDEX(元データ_加工!$C$2:$P$700,0,MATCH($B483,元データ_加工!$C$1:$P$1,0)),元データ_加工!$A$2:$A$700,$A483,元データ_加工!$B$2:$B$700,C$5)</f>
        <v>634</v>
      </c>
      <c r="D483" s="26">
        <f>SUMIFS(INDEX(元データ_加工!$C$2:$P$700,0,MATCH($B483,元データ_加工!$C$1:$P$1,0)),元データ_加工!$A$2:$A$700,$A483,元データ_加工!$B$2:$B$700,D$5)</f>
        <v>749</v>
      </c>
      <c r="E483" s="26">
        <f>SUMIFS(INDEX(元データ_加工!$C$2:$P$700,0,MATCH($B483,元データ_加工!$C$1:$P$1,0)),元データ_加工!$A$2:$A$700,$A483,元データ_加工!$B$2:$B$700,E$5)</f>
        <v>809</v>
      </c>
      <c r="F483" s="26">
        <f>SUMIFS(INDEX(元データ_加工!$C$2:$P$700,0,MATCH($B483,元データ_加工!$C$1:$P$1,0)),元データ_加工!$A$2:$A$700,$A483,元データ_加工!$B$2:$B$700,F$5)</f>
        <v>814</v>
      </c>
      <c r="G483" s="26">
        <f>SUMIFS(INDEX(元データ_加工!$C$2:$P$700,0,MATCH($B483,元データ_加工!$C$1:$P$1,0)),元データ_加工!$A$2:$A$700,$A483,元データ_加工!$B$2:$B$700,G$5)</f>
        <v>833</v>
      </c>
      <c r="H483" s="26">
        <f>SUMIFS(INDEX(元データ_加工!$C$2:$P$700,0,MATCH($B483,元データ_加工!$C$1:$P$1,0)),元データ_加工!$A$2:$A$700,$A483,元データ_加工!$B$2:$B$700,H$5)</f>
        <v>622</v>
      </c>
      <c r="I483" s="26">
        <f>SUMIFS(INDEX(元データ_加工!$C$2:$P$700,0,MATCH($B483,元データ_加工!$C$1:$P$1,0)),元データ_加工!$A$2:$A$700,$A483,元データ_加工!$B$2:$B$700,I$5)</f>
        <v>656</v>
      </c>
      <c r="J483" s="26">
        <f>SUMIFS(INDEX(元データ_加工!$C$2:$P$700,0,MATCH($B483,元データ_加工!$C$1:$P$1,0)),元データ_加工!$A$2:$A$700,$A483,元データ_加工!$B$2:$B$700,J$5)</f>
        <v>761</v>
      </c>
      <c r="K483" s="26">
        <f>SUMIFS(INDEX(元データ_加工!$C$2:$P$700,0,MATCH($B483,元データ_加工!$C$1:$P$1,0)),元データ_加工!$A$2:$A$700,$A483,元データ_加工!$B$2:$B$700,K$5)</f>
        <v>888</v>
      </c>
      <c r="L483" s="26">
        <f>SUMIFS(INDEX(元データ_加工!$C$2:$P$700,0,MATCH($B483,元データ_加工!$C$1:$P$1,0)),元データ_加工!$A$2:$A$700,$A483,元データ_加工!$B$2:$B$700,L$5)</f>
        <v>732</v>
      </c>
      <c r="M483" s="26">
        <f>SUMIFS(INDEX(元データ_加工!$C$2:$P$700,0,MATCH($B483,元データ_加工!$C$1:$P$1,0)),元データ_加工!$A$2:$A$700,$A483,元データ_加工!$B$2:$B$700,M$5)</f>
        <v>825</v>
      </c>
      <c r="N483" s="26">
        <f>SUMIFS(INDEX(元データ_加工!$C$2:$P$700,0,MATCH($B483,元データ_加工!$C$1:$P$1,0)),元データ_加工!$A$2:$A$700,$A483,元データ_加工!$B$2:$B$700,N$5)</f>
        <v>733</v>
      </c>
      <c r="O483" s="26">
        <f t="shared" si="7"/>
        <v>9056</v>
      </c>
      <c r="P483" s="7">
        <f>IFERROR(O483/SUMIFS(元データ_加工!$C$2:$C$700,元データ_加工!$A$2:$A$700,$A483),"")</f>
        <v>0.44346506047695999</v>
      </c>
    </row>
    <row r="484" spans="1:16" x14ac:dyDescent="0.45">
      <c r="A484" t="s">
        <v>69</v>
      </c>
      <c r="B484" t="s">
        <v>102</v>
      </c>
      <c r="C484" s="26">
        <f>SUMIFS(INDEX(元データ_加工!$C$2:$P$700,0,MATCH($B484,元データ_加工!$C$1:$P$1,0)),元データ_加工!$A$2:$A$700,$A484,元データ_加工!$B$2:$B$700,C$5)</f>
        <v>0</v>
      </c>
      <c r="D484" s="26">
        <f>SUMIFS(INDEX(元データ_加工!$C$2:$P$700,0,MATCH($B484,元データ_加工!$C$1:$P$1,0)),元データ_加工!$A$2:$A$700,$A484,元データ_加工!$B$2:$B$700,D$5)</f>
        <v>0</v>
      </c>
      <c r="E484" s="26">
        <f>SUMIFS(INDEX(元データ_加工!$C$2:$P$700,0,MATCH($B484,元データ_加工!$C$1:$P$1,0)),元データ_加工!$A$2:$A$700,$A484,元データ_加工!$B$2:$B$700,E$5)</f>
        <v>0</v>
      </c>
      <c r="F484" s="26">
        <f>SUMIFS(INDEX(元データ_加工!$C$2:$P$700,0,MATCH($B484,元データ_加工!$C$1:$P$1,0)),元データ_加工!$A$2:$A$700,$A484,元データ_加工!$B$2:$B$700,F$5)</f>
        <v>0</v>
      </c>
      <c r="G484" s="26">
        <f>SUMIFS(INDEX(元データ_加工!$C$2:$P$700,0,MATCH($B484,元データ_加工!$C$1:$P$1,0)),元データ_加工!$A$2:$A$700,$A484,元データ_加工!$B$2:$B$700,G$5)</f>
        <v>0</v>
      </c>
      <c r="H484" s="26">
        <f>SUMIFS(INDEX(元データ_加工!$C$2:$P$700,0,MATCH($B484,元データ_加工!$C$1:$P$1,0)),元データ_加工!$A$2:$A$700,$A484,元データ_加工!$B$2:$B$700,H$5)</f>
        <v>0</v>
      </c>
      <c r="I484" s="26">
        <f>SUMIFS(INDEX(元データ_加工!$C$2:$P$700,0,MATCH($B484,元データ_加工!$C$1:$P$1,0)),元データ_加工!$A$2:$A$700,$A484,元データ_加工!$B$2:$B$700,I$5)</f>
        <v>0</v>
      </c>
      <c r="J484" s="26">
        <f>SUMIFS(INDEX(元データ_加工!$C$2:$P$700,0,MATCH($B484,元データ_加工!$C$1:$P$1,0)),元データ_加工!$A$2:$A$700,$A484,元データ_加工!$B$2:$B$700,J$5)</f>
        <v>7</v>
      </c>
      <c r="K484" s="26">
        <f>SUMIFS(INDEX(元データ_加工!$C$2:$P$700,0,MATCH($B484,元データ_加工!$C$1:$P$1,0)),元データ_加工!$A$2:$A$700,$A484,元データ_加工!$B$2:$B$700,K$5)</f>
        <v>0</v>
      </c>
      <c r="L484" s="26">
        <f>SUMIFS(INDEX(元データ_加工!$C$2:$P$700,0,MATCH($B484,元データ_加工!$C$1:$P$1,0)),元データ_加工!$A$2:$A$700,$A484,元データ_加工!$B$2:$B$700,L$5)</f>
        <v>0</v>
      </c>
      <c r="M484" s="26">
        <f>SUMIFS(INDEX(元データ_加工!$C$2:$P$700,0,MATCH($B484,元データ_加工!$C$1:$P$1,0)),元データ_加工!$A$2:$A$700,$A484,元データ_加工!$B$2:$B$700,M$5)</f>
        <v>0</v>
      </c>
      <c r="N484" s="26">
        <f>SUMIFS(INDEX(元データ_加工!$C$2:$P$700,0,MATCH($B484,元データ_加工!$C$1:$P$1,0)),元データ_加工!$A$2:$A$700,$A484,元データ_加工!$B$2:$B$700,N$5)</f>
        <v>0</v>
      </c>
      <c r="O484" s="26">
        <f t="shared" si="7"/>
        <v>7</v>
      </c>
      <c r="P484" s="7">
        <f>IFERROR(O484/SUMIFS(元データ_加工!$C$2:$C$700,元データ_加工!$A$2:$A$700,$A484),"")</f>
        <v>3.427843886195583E-4</v>
      </c>
    </row>
    <row r="485" spans="1:16" x14ac:dyDescent="0.45">
      <c r="A485" t="s">
        <v>69</v>
      </c>
      <c r="B485" t="s">
        <v>103</v>
      </c>
      <c r="C485" s="26">
        <f>SUMIFS(INDEX(元データ_加工!$C$2:$P$700,0,MATCH($B485,元データ_加工!$C$1:$P$1,0)),元データ_加工!$A$2:$A$700,$A485,元データ_加工!$B$2:$B$700,C$5)</f>
        <v>0</v>
      </c>
      <c r="D485" s="26">
        <f>SUMIFS(INDEX(元データ_加工!$C$2:$P$700,0,MATCH($B485,元データ_加工!$C$1:$P$1,0)),元データ_加工!$A$2:$A$700,$A485,元データ_加工!$B$2:$B$700,D$5)</f>
        <v>0</v>
      </c>
      <c r="E485" s="26">
        <f>SUMIFS(INDEX(元データ_加工!$C$2:$P$700,0,MATCH($B485,元データ_加工!$C$1:$P$1,0)),元データ_加工!$A$2:$A$700,$A485,元データ_加工!$B$2:$B$700,E$5)</f>
        <v>0</v>
      </c>
      <c r="F485" s="26">
        <f>SUMIFS(INDEX(元データ_加工!$C$2:$P$700,0,MATCH($B485,元データ_加工!$C$1:$P$1,0)),元データ_加工!$A$2:$A$700,$A485,元データ_加工!$B$2:$B$700,F$5)</f>
        <v>22</v>
      </c>
      <c r="G485" s="26">
        <f>SUMIFS(INDEX(元データ_加工!$C$2:$P$700,0,MATCH($B485,元データ_加工!$C$1:$P$1,0)),元データ_加工!$A$2:$A$700,$A485,元データ_加工!$B$2:$B$700,G$5)</f>
        <v>22</v>
      </c>
      <c r="H485" s="26">
        <f>SUMIFS(INDEX(元データ_加工!$C$2:$P$700,0,MATCH($B485,元データ_加工!$C$1:$P$1,0)),元データ_加工!$A$2:$A$700,$A485,元データ_加工!$B$2:$B$700,H$5)</f>
        <v>5</v>
      </c>
      <c r="I485" s="26">
        <f>SUMIFS(INDEX(元データ_加工!$C$2:$P$700,0,MATCH($B485,元データ_加工!$C$1:$P$1,0)),元データ_加工!$A$2:$A$700,$A485,元データ_加工!$B$2:$B$700,I$5)</f>
        <v>4</v>
      </c>
      <c r="J485" s="26">
        <f>SUMIFS(INDEX(元データ_加工!$C$2:$P$700,0,MATCH($B485,元データ_加工!$C$1:$P$1,0)),元データ_加工!$A$2:$A$700,$A485,元データ_加工!$B$2:$B$700,J$5)</f>
        <v>4</v>
      </c>
      <c r="K485" s="26">
        <f>SUMIFS(INDEX(元データ_加工!$C$2:$P$700,0,MATCH($B485,元データ_加工!$C$1:$P$1,0)),元データ_加工!$A$2:$A$700,$A485,元データ_加工!$B$2:$B$700,K$5)</f>
        <v>3</v>
      </c>
      <c r="L485" s="26">
        <f>SUMIFS(INDEX(元データ_加工!$C$2:$P$700,0,MATCH($B485,元データ_加工!$C$1:$P$1,0)),元データ_加工!$A$2:$A$700,$A485,元データ_加工!$B$2:$B$700,L$5)</f>
        <v>0</v>
      </c>
      <c r="M485" s="26">
        <f>SUMIFS(INDEX(元データ_加工!$C$2:$P$700,0,MATCH($B485,元データ_加工!$C$1:$P$1,0)),元データ_加工!$A$2:$A$700,$A485,元データ_加工!$B$2:$B$700,M$5)</f>
        <v>0</v>
      </c>
      <c r="N485" s="26">
        <f>SUMIFS(INDEX(元データ_加工!$C$2:$P$700,0,MATCH($B485,元データ_加工!$C$1:$P$1,0)),元データ_加工!$A$2:$A$700,$A485,元データ_加工!$B$2:$B$700,N$5)</f>
        <v>0</v>
      </c>
      <c r="O485" s="26">
        <f t="shared" si="7"/>
        <v>60</v>
      </c>
      <c r="P485" s="7">
        <f>IFERROR(O485/SUMIFS(元データ_加工!$C$2:$C$700,元データ_加工!$A$2:$A$700,$A485),"")</f>
        <v>2.9381519024533568E-3</v>
      </c>
    </row>
    <row r="486" spans="1:16" x14ac:dyDescent="0.45">
      <c r="A486" t="s">
        <v>69</v>
      </c>
      <c r="B486" t="s">
        <v>104</v>
      </c>
      <c r="C486" s="26">
        <f>SUMIFS(INDEX(元データ_加工!$C$2:$P$700,0,MATCH($B486,元データ_加工!$C$1:$P$1,0)),元データ_加工!$A$2:$A$700,$A486,元データ_加工!$B$2:$B$700,C$5)</f>
        <v>16</v>
      </c>
      <c r="D486" s="26">
        <f>SUMIFS(INDEX(元データ_加工!$C$2:$P$700,0,MATCH($B486,元データ_加工!$C$1:$P$1,0)),元データ_加工!$A$2:$A$700,$A486,元データ_加工!$B$2:$B$700,D$5)</f>
        <v>10</v>
      </c>
      <c r="E486" s="26">
        <f>SUMIFS(INDEX(元データ_加工!$C$2:$P$700,0,MATCH($B486,元データ_加工!$C$1:$P$1,0)),元データ_加工!$A$2:$A$700,$A486,元データ_加工!$B$2:$B$700,E$5)</f>
        <v>17</v>
      </c>
      <c r="F486" s="26">
        <f>SUMIFS(INDEX(元データ_加工!$C$2:$P$700,0,MATCH($B486,元データ_加工!$C$1:$P$1,0)),元データ_加工!$A$2:$A$700,$A486,元データ_加工!$B$2:$B$700,F$5)</f>
        <v>14</v>
      </c>
      <c r="G486" s="26">
        <f>SUMIFS(INDEX(元データ_加工!$C$2:$P$700,0,MATCH($B486,元データ_加工!$C$1:$P$1,0)),元データ_加工!$A$2:$A$700,$A486,元データ_加工!$B$2:$B$700,G$5)</f>
        <v>25</v>
      </c>
      <c r="H486" s="26">
        <f>SUMIFS(INDEX(元データ_加工!$C$2:$P$700,0,MATCH($B486,元データ_加工!$C$1:$P$1,0)),元データ_加工!$A$2:$A$700,$A486,元データ_加工!$B$2:$B$700,H$5)</f>
        <v>33</v>
      </c>
      <c r="I486" s="26">
        <f>SUMIFS(INDEX(元データ_加工!$C$2:$P$700,0,MATCH($B486,元データ_加工!$C$1:$P$1,0)),元データ_加工!$A$2:$A$700,$A486,元データ_加工!$B$2:$B$700,I$5)</f>
        <v>18</v>
      </c>
      <c r="J486" s="26">
        <f>SUMIFS(INDEX(元データ_加工!$C$2:$P$700,0,MATCH($B486,元データ_加工!$C$1:$P$1,0)),元データ_加工!$A$2:$A$700,$A486,元データ_加工!$B$2:$B$700,J$5)</f>
        <v>97</v>
      </c>
      <c r="K486" s="26">
        <f>SUMIFS(INDEX(元データ_加工!$C$2:$P$700,0,MATCH($B486,元データ_加工!$C$1:$P$1,0)),元データ_加工!$A$2:$A$700,$A486,元データ_加工!$B$2:$B$700,K$5)</f>
        <v>98</v>
      </c>
      <c r="L486" s="26">
        <f>SUMIFS(INDEX(元データ_加工!$C$2:$P$700,0,MATCH($B486,元データ_加工!$C$1:$P$1,0)),元データ_加工!$A$2:$A$700,$A486,元データ_加工!$B$2:$B$700,L$5)</f>
        <v>64</v>
      </c>
      <c r="M486" s="26">
        <f>SUMIFS(INDEX(元データ_加工!$C$2:$P$700,0,MATCH($B486,元データ_加工!$C$1:$P$1,0)),元データ_加工!$A$2:$A$700,$A486,元データ_加工!$B$2:$B$700,M$5)</f>
        <v>44</v>
      </c>
      <c r="N486" s="26">
        <f>SUMIFS(INDEX(元データ_加工!$C$2:$P$700,0,MATCH($B486,元データ_加工!$C$1:$P$1,0)),元データ_加工!$A$2:$A$700,$A486,元データ_加工!$B$2:$B$700,N$5)</f>
        <v>32</v>
      </c>
      <c r="O486" s="26">
        <f t="shared" si="7"/>
        <v>468</v>
      </c>
      <c r="P486" s="7">
        <f>IFERROR(O486/SUMIFS(元データ_加工!$C$2:$C$700,元データ_加工!$A$2:$A$700,$A486),"")</f>
        <v>2.2917584839136182E-2</v>
      </c>
    </row>
    <row r="487" spans="1:16" x14ac:dyDescent="0.45">
      <c r="A487" t="s">
        <v>69</v>
      </c>
      <c r="B487" t="s">
        <v>105</v>
      </c>
      <c r="C487" s="26">
        <f>SUMIFS(INDEX(元データ_加工!$C$2:$P$700,0,MATCH($B487,元データ_加工!$C$1:$P$1,0)),元データ_加工!$A$2:$A$700,$A487,元データ_加工!$B$2:$B$700,C$5)</f>
        <v>4</v>
      </c>
      <c r="D487" s="26">
        <f>SUMIFS(INDEX(元データ_加工!$C$2:$P$700,0,MATCH($B487,元データ_加工!$C$1:$P$1,0)),元データ_加工!$A$2:$A$700,$A487,元データ_加工!$B$2:$B$700,D$5)</f>
        <v>3</v>
      </c>
      <c r="E487" s="26">
        <f>SUMIFS(INDEX(元データ_加工!$C$2:$P$700,0,MATCH($B487,元データ_加工!$C$1:$P$1,0)),元データ_加工!$A$2:$A$700,$A487,元データ_加工!$B$2:$B$700,E$5)</f>
        <v>15</v>
      </c>
      <c r="F487" s="26">
        <f>SUMIFS(INDEX(元データ_加工!$C$2:$P$700,0,MATCH($B487,元データ_加工!$C$1:$P$1,0)),元データ_加工!$A$2:$A$700,$A487,元データ_加工!$B$2:$B$700,F$5)</f>
        <v>22</v>
      </c>
      <c r="G487" s="26">
        <f>SUMIFS(INDEX(元データ_加工!$C$2:$P$700,0,MATCH($B487,元データ_加工!$C$1:$P$1,0)),元データ_加工!$A$2:$A$700,$A487,元データ_加工!$B$2:$B$700,G$5)</f>
        <v>14</v>
      </c>
      <c r="H487" s="26">
        <f>SUMIFS(INDEX(元データ_加工!$C$2:$P$700,0,MATCH($B487,元データ_加工!$C$1:$P$1,0)),元データ_加工!$A$2:$A$700,$A487,元データ_加工!$B$2:$B$700,H$5)</f>
        <v>3</v>
      </c>
      <c r="I487" s="26">
        <f>SUMIFS(INDEX(元データ_加工!$C$2:$P$700,0,MATCH($B487,元データ_加工!$C$1:$P$1,0)),元データ_加工!$A$2:$A$700,$A487,元データ_加工!$B$2:$B$700,I$5)</f>
        <v>13</v>
      </c>
      <c r="J487" s="26">
        <f>SUMIFS(INDEX(元データ_加工!$C$2:$P$700,0,MATCH($B487,元データ_加工!$C$1:$P$1,0)),元データ_加工!$A$2:$A$700,$A487,元データ_加工!$B$2:$B$700,J$5)</f>
        <v>67</v>
      </c>
      <c r="K487" s="26">
        <f>SUMIFS(INDEX(元データ_加工!$C$2:$P$700,0,MATCH($B487,元データ_加工!$C$1:$P$1,0)),元データ_加工!$A$2:$A$700,$A487,元データ_加工!$B$2:$B$700,K$5)</f>
        <v>119</v>
      </c>
      <c r="L487" s="26">
        <f>SUMIFS(INDEX(元データ_加工!$C$2:$P$700,0,MATCH($B487,元データ_加工!$C$1:$P$1,0)),元データ_加工!$A$2:$A$700,$A487,元データ_加工!$B$2:$B$700,L$5)</f>
        <v>78</v>
      </c>
      <c r="M487" s="26">
        <f>SUMIFS(INDEX(元データ_加工!$C$2:$P$700,0,MATCH($B487,元データ_加工!$C$1:$P$1,0)),元データ_加工!$A$2:$A$700,$A487,元データ_加工!$B$2:$B$700,M$5)</f>
        <v>15</v>
      </c>
      <c r="N487" s="26">
        <f>SUMIFS(INDEX(元データ_加工!$C$2:$P$700,0,MATCH($B487,元データ_加工!$C$1:$P$1,0)),元データ_加工!$A$2:$A$700,$A487,元データ_加工!$B$2:$B$700,N$5)</f>
        <v>26</v>
      </c>
      <c r="O487" s="26">
        <f t="shared" si="7"/>
        <v>379</v>
      </c>
      <c r="P487" s="7">
        <f>IFERROR(O487/SUMIFS(元データ_加工!$C$2:$C$700,元データ_加工!$A$2:$A$700,$A487),"")</f>
        <v>1.8559326183830372E-2</v>
      </c>
    </row>
    <row r="488" spans="1:16" x14ac:dyDescent="0.45">
      <c r="A488" t="s">
        <v>69</v>
      </c>
      <c r="B488" t="s">
        <v>106</v>
      </c>
      <c r="C488" s="26">
        <f>SUMIFS(INDEX(元データ_加工!$C$2:$P$700,0,MATCH($B488,元データ_加工!$C$1:$P$1,0)),元データ_加工!$A$2:$A$700,$A488,元データ_加工!$B$2:$B$700,C$5)</f>
        <v>323</v>
      </c>
      <c r="D488" s="26">
        <f>SUMIFS(INDEX(元データ_加工!$C$2:$P$700,0,MATCH($B488,元データ_加工!$C$1:$P$1,0)),元データ_加工!$A$2:$A$700,$A488,元データ_加工!$B$2:$B$700,D$5)</f>
        <v>283</v>
      </c>
      <c r="E488" s="26">
        <f>SUMIFS(INDEX(元データ_加工!$C$2:$P$700,0,MATCH($B488,元データ_加工!$C$1:$P$1,0)),元データ_加工!$A$2:$A$700,$A488,元データ_加工!$B$2:$B$700,E$5)</f>
        <v>345</v>
      </c>
      <c r="F488" s="26">
        <f>SUMIFS(INDEX(元データ_加工!$C$2:$P$700,0,MATCH($B488,元データ_加工!$C$1:$P$1,0)),元データ_加工!$A$2:$A$700,$A488,元データ_加工!$B$2:$B$700,F$5)</f>
        <v>348</v>
      </c>
      <c r="G488" s="26">
        <f>SUMIFS(INDEX(元データ_加工!$C$2:$P$700,0,MATCH($B488,元データ_加工!$C$1:$P$1,0)),元データ_加工!$A$2:$A$700,$A488,元データ_加工!$B$2:$B$700,G$5)</f>
        <v>429</v>
      </c>
      <c r="H488" s="26">
        <f>SUMIFS(INDEX(元データ_加工!$C$2:$P$700,0,MATCH($B488,元データ_加工!$C$1:$P$1,0)),元データ_加工!$A$2:$A$700,$A488,元データ_加工!$B$2:$B$700,H$5)</f>
        <v>256</v>
      </c>
      <c r="I488" s="26">
        <f>SUMIFS(INDEX(元データ_加工!$C$2:$P$700,0,MATCH($B488,元データ_加工!$C$1:$P$1,0)),元データ_加工!$A$2:$A$700,$A488,元データ_加工!$B$2:$B$700,I$5)</f>
        <v>203</v>
      </c>
      <c r="J488" s="26">
        <f>SUMIFS(INDEX(元データ_加工!$C$2:$P$700,0,MATCH($B488,元データ_加工!$C$1:$P$1,0)),元データ_加工!$A$2:$A$700,$A488,元データ_加工!$B$2:$B$700,J$5)</f>
        <v>331</v>
      </c>
      <c r="K488" s="26">
        <f>SUMIFS(INDEX(元データ_加工!$C$2:$P$700,0,MATCH($B488,元データ_加工!$C$1:$P$1,0)),元データ_加工!$A$2:$A$700,$A488,元データ_加工!$B$2:$B$700,K$5)</f>
        <v>502</v>
      </c>
      <c r="L488" s="26">
        <f>SUMIFS(INDEX(元データ_加工!$C$2:$P$700,0,MATCH($B488,元データ_加工!$C$1:$P$1,0)),元データ_加工!$A$2:$A$700,$A488,元データ_加工!$B$2:$B$700,L$5)</f>
        <v>370</v>
      </c>
      <c r="M488" s="26">
        <f>SUMIFS(INDEX(元データ_加工!$C$2:$P$700,0,MATCH($B488,元データ_加工!$C$1:$P$1,0)),元データ_加工!$A$2:$A$700,$A488,元データ_加工!$B$2:$B$700,M$5)</f>
        <v>347</v>
      </c>
      <c r="N488" s="26">
        <f>SUMIFS(INDEX(元データ_加工!$C$2:$P$700,0,MATCH($B488,元データ_加工!$C$1:$P$1,0)),元データ_加工!$A$2:$A$700,$A488,元データ_加工!$B$2:$B$700,N$5)</f>
        <v>271</v>
      </c>
      <c r="O488" s="26">
        <f t="shared" si="7"/>
        <v>4008</v>
      </c>
      <c r="P488" s="7">
        <f>IFERROR(O488/SUMIFS(元データ_加工!$C$2:$C$700,元データ_加工!$A$2:$A$700,$A488),"")</f>
        <v>0.19626854708388425</v>
      </c>
    </row>
    <row r="489" spans="1:16" x14ac:dyDescent="0.45">
      <c r="A489" t="s">
        <v>69</v>
      </c>
      <c r="B489" t="s">
        <v>107</v>
      </c>
      <c r="C489" s="26">
        <f>SUMIFS(INDEX(元データ_加工!$C$2:$P$700,0,MATCH($B489,元データ_加工!$C$1:$P$1,0)),元データ_加工!$A$2:$A$700,$A489,元データ_加工!$B$2:$B$700,C$5)</f>
        <v>41</v>
      </c>
      <c r="D489" s="26">
        <f>SUMIFS(INDEX(元データ_加工!$C$2:$P$700,0,MATCH($B489,元データ_加工!$C$1:$P$1,0)),元データ_加工!$A$2:$A$700,$A489,元データ_加工!$B$2:$B$700,D$5)</f>
        <v>37</v>
      </c>
      <c r="E489" s="26">
        <f>SUMIFS(INDEX(元データ_加工!$C$2:$P$700,0,MATCH($B489,元データ_加工!$C$1:$P$1,0)),元データ_加工!$A$2:$A$700,$A489,元データ_加工!$B$2:$B$700,E$5)</f>
        <v>56</v>
      </c>
      <c r="F489" s="26">
        <f>SUMIFS(INDEX(元データ_加工!$C$2:$P$700,0,MATCH($B489,元データ_加工!$C$1:$P$1,0)),元データ_加工!$A$2:$A$700,$A489,元データ_加工!$B$2:$B$700,F$5)</f>
        <v>5</v>
      </c>
      <c r="G489" s="26">
        <f>SUMIFS(INDEX(元データ_加工!$C$2:$P$700,0,MATCH($B489,元データ_加工!$C$1:$P$1,0)),元データ_加工!$A$2:$A$700,$A489,元データ_加工!$B$2:$B$700,G$5)</f>
        <v>23</v>
      </c>
      <c r="H489" s="26">
        <f>SUMIFS(INDEX(元データ_加工!$C$2:$P$700,0,MATCH($B489,元データ_加工!$C$1:$P$1,0)),元データ_加工!$A$2:$A$700,$A489,元データ_加工!$B$2:$B$700,H$5)</f>
        <v>10</v>
      </c>
      <c r="I489" s="26">
        <f>SUMIFS(INDEX(元データ_加工!$C$2:$P$700,0,MATCH($B489,元データ_加工!$C$1:$P$1,0)),元データ_加工!$A$2:$A$700,$A489,元データ_加工!$B$2:$B$700,I$5)</f>
        <v>4</v>
      </c>
      <c r="J489" s="26">
        <f>SUMIFS(INDEX(元データ_加工!$C$2:$P$700,0,MATCH($B489,元データ_加工!$C$1:$P$1,0)),元データ_加工!$A$2:$A$700,$A489,元データ_加工!$B$2:$B$700,J$5)</f>
        <v>16</v>
      </c>
      <c r="K489" s="26">
        <f>SUMIFS(INDEX(元データ_加工!$C$2:$P$700,0,MATCH($B489,元データ_加工!$C$1:$P$1,0)),元データ_加工!$A$2:$A$700,$A489,元データ_加工!$B$2:$B$700,K$5)</f>
        <v>8</v>
      </c>
      <c r="L489" s="26">
        <f>SUMIFS(INDEX(元データ_加工!$C$2:$P$700,0,MATCH($B489,元データ_加工!$C$1:$P$1,0)),元データ_加工!$A$2:$A$700,$A489,元データ_加工!$B$2:$B$700,L$5)</f>
        <v>11</v>
      </c>
      <c r="M489" s="26">
        <f>SUMIFS(INDEX(元データ_加工!$C$2:$P$700,0,MATCH($B489,元データ_加工!$C$1:$P$1,0)),元データ_加工!$A$2:$A$700,$A489,元データ_加工!$B$2:$B$700,M$5)</f>
        <v>12</v>
      </c>
      <c r="N489" s="26">
        <f>SUMIFS(INDEX(元データ_加工!$C$2:$P$700,0,MATCH($B489,元データ_加工!$C$1:$P$1,0)),元データ_加工!$A$2:$A$700,$A489,元データ_加工!$B$2:$B$700,N$5)</f>
        <v>29</v>
      </c>
      <c r="O489" s="26">
        <f t="shared" si="7"/>
        <v>252</v>
      </c>
      <c r="P489" s="7">
        <f>IFERROR(O489/SUMIFS(元データ_加工!$C$2:$C$700,元データ_加工!$A$2:$A$700,$A489),"")</f>
        <v>1.23402379903041E-2</v>
      </c>
    </row>
    <row r="490" spans="1:16" x14ac:dyDescent="0.45">
      <c r="A490" t="s">
        <v>69</v>
      </c>
      <c r="B490" t="s">
        <v>108</v>
      </c>
      <c r="C490" s="26">
        <f>SUMIFS(INDEX(元データ_加工!$C$2:$P$700,0,MATCH($B490,元データ_加工!$C$1:$P$1,0)),元データ_加工!$A$2:$A$700,$A490,元データ_加工!$B$2:$B$700,C$5)</f>
        <v>19</v>
      </c>
      <c r="D490" s="26">
        <f>SUMIFS(INDEX(元データ_加工!$C$2:$P$700,0,MATCH($B490,元データ_加工!$C$1:$P$1,0)),元データ_加工!$A$2:$A$700,$A490,元データ_加工!$B$2:$B$700,D$5)</f>
        <v>47</v>
      </c>
      <c r="E490" s="26">
        <f>SUMIFS(INDEX(元データ_加工!$C$2:$P$700,0,MATCH($B490,元データ_加工!$C$1:$P$1,0)),元データ_加工!$A$2:$A$700,$A490,元データ_加工!$B$2:$B$700,E$5)</f>
        <v>43</v>
      </c>
      <c r="F490" s="26">
        <f>SUMIFS(INDEX(元データ_加工!$C$2:$P$700,0,MATCH($B490,元データ_加工!$C$1:$P$1,0)),元データ_加工!$A$2:$A$700,$A490,元データ_加工!$B$2:$B$700,F$5)</f>
        <v>57</v>
      </c>
      <c r="G490" s="26">
        <f>SUMIFS(INDEX(元データ_加工!$C$2:$P$700,0,MATCH($B490,元データ_加工!$C$1:$P$1,0)),元データ_加工!$A$2:$A$700,$A490,元データ_加工!$B$2:$B$700,G$5)</f>
        <v>46</v>
      </c>
      <c r="H490" s="26">
        <f>SUMIFS(INDEX(元データ_加工!$C$2:$P$700,0,MATCH($B490,元データ_加工!$C$1:$P$1,0)),元データ_加工!$A$2:$A$700,$A490,元データ_加工!$B$2:$B$700,H$5)</f>
        <v>22</v>
      </c>
      <c r="I490" s="26">
        <f>SUMIFS(INDEX(元データ_加工!$C$2:$P$700,0,MATCH($B490,元データ_加工!$C$1:$P$1,0)),元データ_加工!$A$2:$A$700,$A490,元データ_加工!$B$2:$B$700,I$5)</f>
        <v>7</v>
      </c>
      <c r="J490" s="26">
        <f>SUMIFS(INDEX(元データ_加工!$C$2:$P$700,0,MATCH($B490,元データ_加工!$C$1:$P$1,0)),元データ_加工!$A$2:$A$700,$A490,元データ_加工!$B$2:$B$700,J$5)</f>
        <v>18</v>
      </c>
      <c r="K490" s="26">
        <f>SUMIFS(INDEX(元データ_加工!$C$2:$P$700,0,MATCH($B490,元データ_加工!$C$1:$P$1,0)),元データ_加工!$A$2:$A$700,$A490,元データ_加工!$B$2:$B$700,K$5)</f>
        <v>20</v>
      </c>
      <c r="L490" s="26">
        <f>SUMIFS(INDEX(元データ_加工!$C$2:$P$700,0,MATCH($B490,元データ_加工!$C$1:$P$1,0)),元データ_加工!$A$2:$A$700,$A490,元データ_加工!$B$2:$B$700,L$5)</f>
        <v>6</v>
      </c>
      <c r="M490" s="26">
        <f>SUMIFS(INDEX(元データ_加工!$C$2:$P$700,0,MATCH($B490,元データ_加工!$C$1:$P$1,0)),元データ_加工!$A$2:$A$700,$A490,元データ_加工!$B$2:$B$700,M$5)</f>
        <v>19</v>
      </c>
      <c r="N490" s="26">
        <f>SUMIFS(INDEX(元データ_加工!$C$2:$P$700,0,MATCH($B490,元データ_加工!$C$1:$P$1,0)),元データ_加工!$A$2:$A$700,$A490,元データ_加工!$B$2:$B$700,N$5)</f>
        <v>9</v>
      </c>
      <c r="O490" s="26">
        <f t="shared" si="7"/>
        <v>313</v>
      </c>
      <c r="P490" s="7">
        <f>IFERROR(O490/SUMIFS(元データ_加工!$C$2:$C$700,元データ_加工!$A$2:$A$700,$A490),"")</f>
        <v>1.5327359091131677E-2</v>
      </c>
    </row>
    <row r="491" spans="1:16" x14ac:dyDescent="0.45">
      <c r="A491" t="s">
        <v>69</v>
      </c>
      <c r="B491" t="s">
        <v>109</v>
      </c>
      <c r="C491" s="26">
        <f>SUMIFS(INDEX(元データ_加工!$C$2:$P$700,0,MATCH($B491,元データ_加工!$C$1:$P$1,0)),元データ_加工!$A$2:$A$700,$A491,元データ_加工!$B$2:$B$700,C$5)</f>
        <v>116</v>
      </c>
      <c r="D491" s="26">
        <f>SUMIFS(INDEX(元データ_加工!$C$2:$P$700,0,MATCH($B491,元データ_加工!$C$1:$P$1,0)),元データ_加工!$A$2:$A$700,$A491,元データ_加工!$B$2:$B$700,D$5)</f>
        <v>131</v>
      </c>
      <c r="E491" s="26">
        <f>SUMIFS(INDEX(元データ_加工!$C$2:$P$700,0,MATCH($B491,元データ_加工!$C$1:$P$1,0)),元データ_加工!$A$2:$A$700,$A491,元データ_加工!$B$2:$B$700,E$5)</f>
        <v>144</v>
      </c>
      <c r="F491" s="26">
        <f>SUMIFS(INDEX(元データ_加工!$C$2:$P$700,0,MATCH($B491,元データ_加工!$C$1:$P$1,0)),元データ_加工!$A$2:$A$700,$A491,元データ_加工!$B$2:$B$700,F$5)</f>
        <v>149</v>
      </c>
      <c r="G491" s="26">
        <f>SUMIFS(INDEX(元データ_加工!$C$2:$P$700,0,MATCH($B491,元データ_加工!$C$1:$P$1,0)),元データ_加工!$A$2:$A$700,$A491,元データ_加工!$B$2:$B$700,G$5)</f>
        <v>197</v>
      </c>
      <c r="H491" s="26">
        <f>SUMIFS(INDEX(元データ_加工!$C$2:$P$700,0,MATCH($B491,元データ_加工!$C$1:$P$1,0)),元データ_加工!$A$2:$A$700,$A491,元データ_加工!$B$2:$B$700,H$5)</f>
        <v>148</v>
      </c>
      <c r="I491" s="26">
        <f>SUMIFS(INDEX(元データ_加工!$C$2:$P$700,0,MATCH($B491,元データ_加工!$C$1:$P$1,0)),元データ_加工!$A$2:$A$700,$A491,元データ_加工!$B$2:$B$700,I$5)</f>
        <v>151</v>
      </c>
      <c r="J491" s="26">
        <f>SUMIFS(INDEX(元データ_加工!$C$2:$P$700,0,MATCH($B491,元データ_加工!$C$1:$P$1,0)),元データ_加工!$A$2:$A$700,$A491,元データ_加工!$B$2:$B$700,J$5)</f>
        <v>186</v>
      </c>
      <c r="K491" s="26">
        <f>SUMIFS(INDEX(元データ_加工!$C$2:$P$700,0,MATCH($B491,元データ_加工!$C$1:$P$1,0)),元データ_加工!$A$2:$A$700,$A491,元データ_加工!$B$2:$B$700,K$5)</f>
        <v>185</v>
      </c>
      <c r="L491" s="26">
        <f>SUMIFS(INDEX(元データ_加工!$C$2:$P$700,0,MATCH($B491,元データ_加工!$C$1:$P$1,0)),元データ_加工!$A$2:$A$700,$A491,元データ_加工!$B$2:$B$700,L$5)</f>
        <v>127</v>
      </c>
      <c r="M491" s="26">
        <f>SUMIFS(INDEX(元データ_加工!$C$2:$P$700,0,MATCH($B491,元データ_加工!$C$1:$P$1,0)),元データ_加工!$A$2:$A$700,$A491,元データ_加工!$B$2:$B$700,M$5)</f>
        <v>161</v>
      </c>
      <c r="N491" s="26">
        <f>SUMIFS(INDEX(元データ_加工!$C$2:$P$700,0,MATCH($B491,元データ_加工!$C$1:$P$1,0)),元データ_加工!$A$2:$A$700,$A491,元データ_加工!$B$2:$B$700,N$5)</f>
        <v>200</v>
      </c>
      <c r="O491" s="26">
        <f t="shared" si="7"/>
        <v>1895</v>
      </c>
      <c r="P491" s="7">
        <f>IFERROR(O491/SUMIFS(元データ_加工!$C$2:$C$700,元データ_加工!$A$2:$A$700,$A491),"")</f>
        <v>9.2796630919151857E-2</v>
      </c>
    </row>
    <row r="492" spans="1:16" x14ac:dyDescent="0.45">
      <c r="A492" t="s">
        <v>69</v>
      </c>
      <c r="B492" t="s">
        <v>110</v>
      </c>
      <c r="C492" s="26">
        <f>SUMIFS(INDEX(元データ_加工!$C$2:$P$700,0,MATCH($B492,元データ_加工!$C$1:$P$1,0)),元データ_加工!$A$2:$A$700,$A492,元データ_加工!$B$2:$B$700,C$5)</f>
        <v>0</v>
      </c>
      <c r="D492" s="26">
        <f>SUMIFS(INDEX(元データ_加工!$C$2:$P$700,0,MATCH($B492,元データ_加工!$C$1:$P$1,0)),元データ_加工!$A$2:$A$700,$A492,元データ_加工!$B$2:$B$700,D$5)</f>
        <v>0</v>
      </c>
      <c r="E492" s="26">
        <f>SUMIFS(INDEX(元データ_加工!$C$2:$P$700,0,MATCH($B492,元データ_加工!$C$1:$P$1,0)),元データ_加工!$A$2:$A$700,$A492,元データ_加工!$B$2:$B$700,E$5)</f>
        <v>0</v>
      </c>
      <c r="F492" s="26">
        <f>SUMIFS(INDEX(元データ_加工!$C$2:$P$700,0,MATCH($B492,元データ_加工!$C$1:$P$1,0)),元データ_加工!$A$2:$A$700,$A492,元データ_加工!$B$2:$B$700,F$5)</f>
        <v>0</v>
      </c>
      <c r="G492" s="26">
        <f>SUMIFS(INDEX(元データ_加工!$C$2:$P$700,0,MATCH($B492,元データ_加工!$C$1:$P$1,0)),元データ_加工!$A$2:$A$700,$A492,元データ_加工!$B$2:$B$700,G$5)</f>
        <v>0</v>
      </c>
      <c r="H492" s="26">
        <f>SUMIFS(INDEX(元データ_加工!$C$2:$P$700,0,MATCH($B492,元データ_加工!$C$1:$P$1,0)),元データ_加工!$A$2:$A$700,$A492,元データ_加工!$B$2:$B$700,H$5)</f>
        <v>0</v>
      </c>
      <c r="I492" s="26">
        <f>SUMIFS(INDEX(元データ_加工!$C$2:$P$700,0,MATCH($B492,元データ_加工!$C$1:$P$1,0)),元データ_加工!$A$2:$A$700,$A492,元データ_加工!$B$2:$B$700,I$5)</f>
        <v>0</v>
      </c>
      <c r="J492" s="26">
        <f>SUMIFS(INDEX(元データ_加工!$C$2:$P$700,0,MATCH($B492,元データ_加工!$C$1:$P$1,0)),元データ_加工!$A$2:$A$700,$A492,元データ_加工!$B$2:$B$700,J$5)</f>
        <v>0</v>
      </c>
      <c r="K492" s="26">
        <f>SUMIFS(INDEX(元データ_加工!$C$2:$P$700,0,MATCH($B492,元データ_加工!$C$1:$P$1,0)),元データ_加工!$A$2:$A$700,$A492,元データ_加工!$B$2:$B$700,K$5)</f>
        <v>0</v>
      </c>
      <c r="L492" s="26">
        <f>SUMIFS(INDEX(元データ_加工!$C$2:$P$700,0,MATCH($B492,元データ_加工!$C$1:$P$1,0)),元データ_加工!$A$2:$A$700,$A492,元データ_加工!$B$2:$B$700,L$5)</f>
        <v>0</v>
      </c>
      <c r="M492" s="26">
        <f>SUMIFS(INDEX(元データ_加工!$C$2:$P$700,0,MATCH($B492,元データ_加工!$C$1:$P$1,0)),元データ_加工!$A$2:$A$700,$A492,元データ_加工!$B$2:$B$700,M$5)</f>
        <v>0</v>
      </c>
      <c r="N492" s="26">
        <f>SUMIFS(INDEX(元データ_加工!$C$2:$P$700,0,MATCH($B492,元データ_加工!$C$1:$P$1,0)),元データ_加工!$A$2:$A$700,$A492,元データ_加工!$B$2:$B$700,N$5)</f>
        <v>0</v>
      </c>
      <c r="O492" s="26">
        <f t="shared" si="7"/>
        <v>0</v>
      </c>
      <c r="P492" s="7">
        <f>IFERROR(O492/SUMIFS(元データ_加工!$C$2:$C$700,元データ_加工!$A$2:$A$700,$A492),"")</f>
        <v>0</v>
      </c>
    </row>
    <row r="493" spans="1:16" x14ac:dyDescent="0.45">
      <c r="A493" t="s">
        <v>69</v>
      </c>
      <c r="B493" t="s">
        <v>111</v>
      </c>
      <c r="C493" s="26">
        <f>SUMIFS(INDEX(元データ_加工!$C$2:$P$700,0,MATCH($B493,元データ_加工!$C$1:$P$1,0)),元データ_加工!$A$2:$A$700,$A493,元データ_加工!$B$2:$B$700,C$5)</f>
        <v>0</v>
      </c>
      <c r="D493" s="26">
        <f>SUMIFS(INDEX(元データ_加工!$C$2:$P$700,0,MATCH($B493,元データ_加工!$C$1:$P$1,0)),元データ_加工!$A$2:$A$700,$A493,元データ_加工!$B$2:$B$700,D$5)</f>
        <v>0</v>
      </c>
      <c r="E493" s="26">
        <f>SUMIFS(INDEX(元データ_加工!$C$2:$P$700,0,MATCH($B493,元データ_加工!$C$1:$P$1,0)),元データ_加工!$A$2:$A$700,$A493,元データ_加工!$B$2:$B$700,E$5)</f>
        <v>0</v>
      </c>
      <c r="F493" s="26">
        <f>SUMIFS(INDEX(元データ_加工!$C$2:$P$700,0,MATCH($B493,元データ_加工!$C$1:$P$1,0)),元データ_加工!$A$2:$A$700,$A493,元データ_加工!$B$2:$B$700,F$5)</f>
        <v>0</v>
      </c>
      <c r="G493" s="26">
        <f>SUMIFS(INDEX(元データ_加工!$C$2:$P$700,0,MATCH($B493,元データ_加工!$C$1:$P$1,0)),元データ_加工!$A$2:$A$700,$A493,元データ_加工!$B$2:$B$700,G$5)</f>
        <v>0</v>
      </c>
      <c r="H493" s="26">
        <f>SUMIFS(INDEX(元データ_加工!$C$2:$P$700,0,MATCH($B493,元データ_加工!$C$1:$P$1,0)),元データ_加工!$A$2:$A$700,$A493,元データ_加工!$B$2:$B$700,H$5)</f>
        <v>0</v>
      </c>
      <c r="I493" s="26">
        <f>SUMIFS(INDEX(元データ_加工!$C$2:$P$700,0,MATCH($B493,元データ_加工!$C$1:$P$1,0)),元データ_加工!$A$2:$A$700,$A493,元データ_加工!$B$2:$B$700,I$5)</f>
        <v>0</v>
      </c>
      <c r="J493" s="26">
        <f>SUMIFS(INDEX(元データ_加工!$C$2:$P$700,0,MATCH($B493,元データ_加工!$C$1:$P$1,0)),元データ_加工!$A$2:$A$700,$A493,元データ_加工!$B$2:$B$700,J$5)</f>
        <v>0</v>
      </c>
      <c r="K493" s="26">
        <f>SUMIFS(INDEX(元データ_加工!$C$2:$P$700,0,MATCH($B493,元データ_加工!$C$1:$P$1,0)),元データ_加工!$A$2:$A$700,$A493,元データ_加工!$B$2:$B$700,K$5)</f>
        <v>3</v>
      </c>
      <c r="L493" s="26">
        <f>SUMIFS(INDEX(元データ_加工!$C$2:$P$700,0,MATCH($B493,元データ_加工!$C$1:$P$1,0)),元データ_加工!$A$2:$A$700,$A493,元データ_加工!$B$2:$B$700,L$5)</f>
        <v>9</v>
      </c>
      <c r="M493" s="26">
        <f>SUMIFS(INDEX(元データ_加工!$C$2:$P$700,0,MATCH($B493,元データ_加工!$C$1:$P$1,0)),元データ_加工!$A$2:$A$700,$A493,元データ_加工!$B$2:$B$700,M$5)</f>
        <v>7</v>
      </c>
      <c r="N493" s="26">
        <f>SUMIFS(INDEX(元データ_加工!$C$2:$P$700,0,MATCH($B493,元データ_加工!$C$1:$P$1,0)),元データ_加工!$A$2:$A$700,$A493,元データ_加工!$B$2:$B$700,N$5)</f>
        <v>7</v>
      </c>
      <c r="O493" s="26">
        <f t="shared" si="7"/>
        <v>26</v>
      </c>
      <c r="P493" s="7">
        <f>IFERROR(O493/SUMIFS(元データ_加工!$C$2:$C$700,元データ_加工!$A$2:$A$700,$A493),"")</f>
        <v>1.273199157729788E-3</v>
      </c>
    </row>
    <row r="494" spans="1:16" x14ac:dyDescent="0.45">
      <c r="A494" t="s">
        <v>69</v>
      </c>
      <c r="B494" t="s">
        <v>112</v>
      </c>
      <c r="C494" s="26">
        <f>SUMIFS(INDEX(元データ_加工!$C$2:$P$700,0,MATCH($B494,元データ_加工!$C$1:$P$1,0)),元データ_加工!$A$2:$A$700,$A494,元データ_加工!$B$2:$B$700,C$5)</f>
        <v>0</v>
      </c>
      <c r="D494" s="26">
        <f>SUMIFS(INDEX(元データ_加工!$C$2:$P$700,0,MATCH($B494,元データ_加工!$C$1:$P$1,0)),元データ_加工!$A$2:$A$700,$A494,元データ_加工!$B$2:$B$700,D$5)</f>
        <v>0</v>
      </c>
      <c r="E494" s="26">
        <f>SUMIFS(INDEX(元データ_加工!$C$2:$P$700,0,MATCH($B494,元データ_加工!$C$1:$P$1,0)),元データ_加工!$A$2:$A$700,$A494,元データ_加工!$B$2:$B$700,E$5)</f>
        <v>2</v>
      </c>
      <c r="F494" s="26">
        <f>SUMIFS(INDEX(元データ_加工!$C$2:$P$700,0,MATCH($B494,元データ_加工!$C$1:$P$1,0)),元データ_加工!$A$2:$A$700,$A494,元データ_加工!$B$2:$B$700,F$5)</f>
        <v>0</v>
      </c>
      <c r="G494" s="26">
        <f>SUMIFS(INDEX(元データ_加工!$C$2:$P$700,0,MATCH($B494,元データ_加工!$C$1:$P$1,0)),元データ_加工!$A$2:$A$700,$A494,元データ_加工!$B$2:$B$700,G$5)</f>
        <v>1</v>
      </c>
      <c r="H494" s="26">
        <f>SUMIFS(INDEX(元データ_加工!$C$2:$P$700,0,MATCH($B494,元データ_加工!$C$1:$P$1,0)),元データ_加工!$A$2:$A$700,$A494,元データ_加工!$B$2:$B$700,H$5)</f>
        <v>0</v>
      </c>
      <c r="I494" s="26">
        <f>SUMIFS(INDEX(元データ_加工!$C$2:$P$700,0,MATCH($B494,元データ_加工!$C$1:$P$1,0)),元データ_加工!$A$2:$A$700,$A494,元データ_加工!$B$2:$B$700,I$5)</f>
        <v>0</v>
      </c>
      <c r="J494" s="26">
        <f>SUMIFS(INDEX(元データ_加工!$C$2:$P$700,0,MATCH($B494,元データ_加工!$C$1:$P$1,0)),元データ_加工!$A$2:$A$700,$A494,元データ_加工!$B$2:$B$700,J$5)</f>
        <v>2</v>
      </c>
      <c r="K494" s="26">
        <f>SUMIFS(INDEX(元データ_加工!$C$2:$P$700,0,MATCH($B494,元データ_加工!$C$1:$P$1,0)),元データ_加工!$A$2:$A$700,$A494,元データ_加工!$B$2:$B$700,K$5)</f>
        <v>6</v>
      </c>
      <c r="L494" s="26">
        <f>SUMIFS(INDEX(元データ_加工!$C$2:$P$700,0,MATCH($B494,元データ_加工!$C$1:$P$1,0)),元データ_加工!$A$2:$A$700,$A494,元データ_加工!$B$2:$B$700,L$5)</f>
        <v>3</v>
      </c>
      <c r="M494" s="26">
        <f>SUMIFS(INDEX(元データ_加工!$C$2:$P$700,0,MATCH($B494,元データ_加工!$C$1:$P$1,0)),元データ_加工!$A$2:$A$700,$A494,元データ_加工!$B$2:$B$700,M$5)</f>
        <v>0</v>
      </c>
      <c r="N494" s="26">
        <f>SUMIFS(INDEX(元データ_加工!$C$2:$P$700,0,MATCH($B494,元データ_加工!$C$1:$P$1,0)),元データ_加工!$A$2:$A$700,$A494,元データ_加工!$B$2:$B$700,N$5)</f>
        <v>0</v>
      </c>
      <c r="O494" s="26">
        <f t="shared" si="7"/>
        <v>14</v>
      </c>
      <c r="P494" s="7">
        <f>IFERROR(O494/SUMIFS(元データ_加工!$C$2:$C$700,元データ_加工!$A$2:$A$700,$A494),"")</f>
        <v>6.8556877723911661E-4</v>
      </c>
    </row>
    <row r="495" spans="1:16" x14ac:dyDescent="0.45">
      <c r="A495" t="s">
        <v>69</v>
      </c>
      <c r="B495" t="s">
        <v>113</v>
      </c>
      <c r="C495" s="26">
        <f>SUMIFS(INDEX(元データ_加工!$C$2:$P$700,0,MATCH($B495,元データ_加工!$C$1:$P$1,0)),元データ_加工!$A$2:$A$700,$A495,元データ_加工!$B$2:$B$700,C$5)</f>
        <v>7</v>
      </c>
      <c r="D495" s="26">
        <f>SUMIFS(INDEX(元データ_加工!$C$2:$P$700,0,MATCH($B495,元データ_加工!$C$1:$P$1,0)),元データ_加工!$A$2:$A$700,$A495,元データ_加工!$B$2:$B$700,D$5)</f>
        <v>0</v>
      </c>
      <c r="E495" s="26">
        <f>SUMIFS(INDEX(元データ_加工!$C$2:$P$700,0,MATCH($B495,元データ_加工!$C$1:$P$1,0)),元データ_加工!$A$2:$A$700,$A495,元データ_加工!$B$2:$B$700,E$5)</f>
        <v>2</v>
      </c>
      <c r="F495" s="26">
        <f>SUMIFS(INDEX(元データ_加工!$C$2:$P$700,0,MATCH($B495,元データ_加工!$C$1:$P$1,0)),元データ_加工!$A$2:$A$700,$A495,元データ_加工!$B$2:$B$700,F$5)</f>
        <v>0</v>
      </c>
      <c r="G495" s="26">
        <f>SUMIFS(INDEX(元データ_加工!$C$2:$P$700,0,MATCH($B495,元データ_加工!$C$1:$P$1,0)),元データ_加工!$A$2:$A$700,$A495,元データ_加工!$B$2:$B$700,G$5)</f>
        <v>1</v>
      </c>
      <c r="H495" s="26">
        <f>SUMIFS(INDEX(元データ_加工!$C$2:$P$700,0,MATCH($B495,元データ_加工!$C$1:$P$1,0)),元データ_加工!$A$2:$A$700,$A495,元データ_加工!$B$2:$B$700,H$5)</f>
        <v>0</v>
      </c>
      <c r="I495" s="26">
        <f>SUMIFS(INDEX(元データ_加工!$C$2:$P$700,0,MATCH($B495,元データ_加工!$C$1:$P$1,0)),元データ_加工!$A$2:$A$700,$A495,元データ_加工!$B$2:$B$700,I$5)</f>
        <v>0</v>
      </c>
      <c r="J495" s="26">
        <f>SUMIFS(INDEX(元データ_加工!$C$2:$P$700,0,MATCH($B495,元データ_加工!$C$1:$P$1,0)),元データ_加工!$A$2:$A$700,$A495,元データ_加工!$B$2:$B$700,J$5)</f>
        <v>1</v>
      </c>
      <c r="K495" s="26">
        <f>SUMIFS(INDEX(元データ_加工!$C$2:$P$700,0,MATCH($B495,元データ_加工!$C$1:$P$1,0)),元データ_加工!$A$2:$A$700,$A495,元データ_加工!$B$2:$B$700,K$5)</f>
        <v>1</v>
      </c>
      <c r="L495" s="26">
        <f>SUMIFS(INDEX(元データ_加工!$C$2:$P$700,0,MATCH($B495,元データ_加工!$C$1:$P$1,0)),元データ_加工!$A$2:$A$700,$A495,元データ_加工!$B$2:$B$700,L$5)</f>
        <v>0</v>
      </c>
      <c r="M495" s="26">
        <f>SUMIFS(INDEX(元データ_加工!$C$2:$P$700,0,MATCH($B495,元データ_加工!$C$1:$P$1,0)),元データ_加工!$A$2:$A$700,$A495,元データ_加工!$B$2:$B$700,M$5)</f>
        <v>1</v>
      </c>
      <c r="N495" s="26">
        <f>SUMIFS(INDEX(元データ_加工!$C$2:$P$700,0,MATCH($B495,元データ_加工!$C$1:$P$1,0)),元データ_加工!$A$2:$A$700,$A495,元データ_加工!$B$2:$B$700,N$5)</f>
        <v>0</v>
      </c>
      <c r="O495" s="26">
        <f t="shared" si="7"/>
        <v>13</v>
      </c>
      <c r="P495" s="7">
        <f>IFERROR(O495/SUMIFS(元データ_加工!$C$2:$C$700,元データ_加工!$A$2:$A$700,$A495),"")</f>
        <v>6.3659957886489402E-4</v>
      </c>
    </row>
    <row r="496" spans="1:16" x14ac:dyDescent="0.45">
      <c r="A496" t="s">
        <v>70</v>
      </c>
      <c r="B496" t="s">
        <v>100</v>
      </c>
      <c r="C496" s="26">
        <f>SUMIFS(INDEX(元データ_加工!$C$2:$P$700,0,MATCH($B496,元データ_加工!$C$1:$P$1,0)),元データ_加工!$A$2:$A$700,$A496,元データ_加工!$B$2:$B$700,C$5)</f>
        <v>1136</v>
      </c>
      <c r="D496" s="26">
        <f>SUMIFS(INDEX(元データ_加工!$C$2:$P$700,0,MATCH($B496,元データ_加工!$C$1:$P$1,0)),元データ_加工!$A$2:$A$700,$A496,元データ_加工!$B$2:$B$700,D$5)</f>
        <v>1040</v>
      </c>
      <c r="E496" s="26">
        <f>SUMIFS(INDEX(元データ_加工!$C$2:$P$700,0,MATCH($B496,元データ_加工!$C$1:$P$1,0)),元データ_加工!$A$2:$A$700,$A496,元データ_加工!$B$2:$B$700,E$5)</f>
        <v>1627</v>
      </c>
      <c r="F496" s="26">
        <f>SUMIFS(INDEX(元データ_加工!$C$2:$P$700,0,MATCH($B496,元データ_加工!$C$1:$P$1,0)),元データ_加工!$A$2:$A$700,$A496,元データ_加工!$B$2:$B$700,F$5)</f>
        <v>1435</v>
      </c>
      <c r="G496" s="26">
        <f>SUMIFS(INDEX(元データ_加工!$C$2:$P$700,0,MATCH($B496,元データ_加工!$C$1:$P$1,0)),元データ_加工!$A$2:$A$700,$A496,元データ_加工!$B$2:$B$700,G$5)</f>
        <v>1544</v>
      </c>
      <c r="H496" s="26">
        <f>SUMIFS(INDEX(元データ_加工!$C$2:$P$700,0,MATCH($B496,元データ_加工!$C$1:$P$1,0)),元データ_加工!$A$2:$A$700,$A496,元データ_加工!$B$2:$B$700,H$5)</f>
        <v>1015</v>
      </c>
      <c r="I496" s="26">
        <f>SUMIFS(INDEX(元データ_加工!$C$2:$P$700,0,MATCH($B496,元データ_加工!$C$1:$P$1,0)),元データ_加工!$A$2:$A$700,$A496,元データ_加工!$B$2:$B$700,I$5)</f>
        <v>876</v>
      </c>
      <c r="J496" s="26">
        <f>SUMIFS(INDEX(元データ_加工!$C$2:$P$700,0,MATCH($B496,元データ_加工!$C$1:$P$1,0)),元データ_加工!$A$2:$A$700,$A496,元データ_加工!$B$2:$B$700,J$5)</f>
        <v>1942</v>
      </c>
      <c r="K496" s="26">
        <f>SUMIFS(INDEX(元データ_加工!$C$2:$P$700,0,MATCH($B496,元データ_加工!$C$1:$P$1,0)),元データ_加工!$A$2:$A$700,$A496,元データ_加工!$B$2:$B$700,K$5)</f>
        <v>3025</v>
      </c>
      <c r="L496" s="26">
        <f>SUMIFS(INDEX(元データ_加工!$C$2:$P$700,0,MATCH($B496,元データ_加工!$C$1:$P$1,0)),元データ_加工!$A$2:$A$700,$A496,元データ_加工!$B$2:$B$700,L$5)</f>
        <v>1927</v>
      </c>
      <c r="M496" s="26">
        <f>SUMIFS(INDEX(元データ_加工!$C$2:$P$700,0,MATCH($B496,元データ_加工!$C$1:$P$1,0)),元データ_加工!$A$2:$A$700,$A496,元データ_加工!$B$2:$B$700,M$5)</f>
        <v>1783</v>
      </c>
      <c r="N496" s="26">
        <f>SUMIFS(INDEX(元データ_加工!$C$2:$P$700,0,MATCH($B496,元データ_加工!$C$1:$P$1,0)),元データ_加工!$A$2:$A$700,$A496,元データ_加工!$B$2:$B$700,N$5)</f>
        <v>1366</v>
      </c>
      <c r="O496" s="26">
        <f t="shared" si="7"/>
        <v>18716</v>
      </c>
      <c r="P496" s="7">
        <f>IFERROR(O496/SUMIFS(元データ_加工!$C$2:$C$700,元データ_加工!$A$2:$A$700,$A496),"")</f>
        <v>1</v>
      </c>
    </row>
    <row r="497" spans="1:16" x14ac:dyDescent="0.45">
      <c r="A497" t="s">
        <v>70</v>
      </c>
      <c r="B497" t="s">
        <v>101</v>
      </c>
      <c r="C497" s="26">
        <f>SUMIFS(INDEX(元データ_加工!$C$2:$P$700,0,MATCH($B497,元データ_加工!$C$1:$P$1,0)),元データ_加工!$A$2:$A$700,$A497,元データ_加工!$B$2:$B$700,C$5)</f>
        <v>703</v>
      </c>
      <c r="D497" s="26">
        <f>SUMIFS(INDEX(元データ_加工!$C$2:$P$700,0,MATCH($B497,元データ_加工!$C$1:$P$1,0)),元データ_加工!$A$2:$A$700,$A497,元データ_加工!$B$2:$B$700,D$5)</f>
        <v>838</v>
      </c>
      <c r="E497" s="26">
        <f>SUMIFS(INDEX(元データ_加工!$C$2:$P$700,0,MATCH($B497,元データ_加工!$C$1:$P$1,0)),元データ_加工!$A$2:$A$700,$A497,元データ_加工!$B$2:$B$700,E$5)</f>
        <v>939</v>
      </c>
      <c r="F497" s="26">
        <f>SUMIFS(INDEX(元データ_加工!$C$2:$P$700,0,MATCH($B497,元データ_加工!$C$1:$P$1,0)),元データ_加工!$A$2:$A$700,$A497,元データ_加工!$B$2:$B$700,F$5)</f>
        <v>830</v>
      </c>
      <c r="G497" s="26">
        <f>SUMIFS(INDEX(元データ_加工!$C$2:$P$700,0,MATCH($B497,元データ_加工!$C$1:$P$1,0)),元データ_加工!$A$2:$A$700,$A497,元データ_加工!$B$2:$B$700,G$5)</f>
        <v>899</v>
      </c>
      <c r="H497" s="26">
        <f>SUMIFS(INDEX(元データ_加工!$C$2:$P$700,0,MATCH($B497,元データ_加工!$C$1:$P$1,0)),元データ_加工!$A$2:$A$700,$A497,元データ_加工!$B$2:$B$700,H$5)</f>
        <v>664</v>
      </c>
      <c r="I497" s="26">
        <f>SUMIFS(INDEX(元データ_加工!$C$2:$P$700,0,MATCH($B497,元データ_加工!$C$1:$P$1,0)),元データ_加工!$A$2:$A$700,$A497,元データ_加工!$B$2:$B$700,I$5)</f>
        <v>602</v>
      </c>
      <c r="J497" s="26">
        <f>SUMIFS(INDEX(元データ_加工!$C$2:$P$700,0,MATCH($B497,元データ_加工!$C$1:$P$1,0)),元データ_加工!$A$2:$A$700,$A497,元データ_加工!$B$2:$B$700,J$5)</f>
        <v>834</v>
      </c>
      <c r="K497" s="26">
        <f>SUMIFS(INDEX(元データ_加工!$C$2:$P$700,0,MATCH($B497,元データ_加工!$C$1:$P$1,0)),元データ_加工!$A$2:$A$700,$A497,元データ_加工!$B$2:$B$700,K$5)</f>
        <v>821</v>
      </c>
      <c r="L497" s="26">
        <f>SUMIFS(INDEX(元データ_加工!$C$2:$P$700,0,MATCH($B497,元データ_加工!$C$1:$P$1,0)),元データ_加工!$A$2:$A$700,$A497,元データ_加工!$B$2:$B$700,L$5)</f>
        <v>843</v>
      </c>
      <c r="M497" s="26">
        <f>SUMIFS(INDEX(元データ_加工!$C$2:$P$700,0,MATCH($B497,元データ_加工!$C$1:$P$1,0)),元データ_加工!$A$2:$A$700,$A497,元データ_加工!$B$2:$B$700,M$5)</f>
        <v>935</v>
      </c>
      <c r="N497" s="26">
        <f>SUMIFS(INDEX(元データ_加工!$C$2:$P$700,0,MATCH($B497,元データ_加工!$C$1:$P$1,0)),元データ_加工!$A$2:$A$700,$A497,元データ_加工!$B$2:$B$700,N$5)</f>
        <v>863</v>
      </c>
      <c r="O497" s="26">
        <f t="shared" si="7"/>
        <v>9771</v>
      </c>
      <c r="P497" s="7">
        <f>IFERROR(O497/SUMIFS(元データ_加工!$C$2:$C$700,元データ_加工!$A$2:$A$700,$A497),"")</f>
        <v>0.52206668091472541</v>
      </c>
    </row>
    <row r="498" spans="1:16" x14ac:dyDescent="0.45">
      <c r="A498" t="s">
        <v>70</v>
      </c>
      <c r="B498" t="s">
        <v>102</v>
      </c>
      <c r="C498" s="26">
        <f>SUMIFS(INDEX(元データ_加工!$C$2:$P$700,0,MATCH($B498,元データ_加工!$C$1:$P$1,0)),元データ_加工!$A$2:$A$700,$A498,元データ_加工!$B$2:$B$700,C$5)</f>
        <v>0</v>
      </c>
      <c r="D498" s="26">
        <f>SUMIFS(INDEX(元データ_加工!$C$2:$P$700,0,MATCH($B498,元データ_加工!$C$1:$P$1,0)),元データ_加工!$A$2:$A$700,$A498,元データ_加工!$B$2:$B$700,D$5)</f>
        <v>0</v>
      </c>
      <c r="E498" s="26">
        <f>SUMIFS(INDEX(元データ_加工!$C$2:$P$700,0,MATCH($B498,元データ_加工!$C$1:$P$1,0)),元データ_加工!$A$2:$A$700,$A498,元データ_加工!$B$2:$B$700,E$5)</f>
        <v>0</v>
      </c>
      <c r="F498" s="26">
        <f>SUMIFS(INDEX(元データ_加工!$C$2:$P$700,0,MATCH($B498,元データ_加工!$C$1:$P$1,0)),元データ_加工!$A$2:$A$700,$A498,元データ_加工!$B$2:$B$700,F$5)</f>
        <v>1</v>
      </c>
      <c r="G498" s="26">
        <f>SUMIFS(INDEX(元データ_加工!$C$2:$P$700,0,MATCH($B498,元データ_加工!$C$1:$P$1,0)),元データ_加工!$A$2:$A$700,$A498,元データ_加工!$B$2:$B$700,G$5)</f>
        <v>0</v>
      </c>
      <c r="H498" s="26">
        <f>SUMIFS(INDEX(元データ_加工!$C$2:$P$700,0,MATCH($B498,元データ_加工!$C$1:$P$1,0)),元データ_加工!$A$2:$A$700,$A498,元データ_加工!$B$2:$B$700,H$5)</f>
        <v>0</v>
      </c>
      <c r="I498" s="26">
        <f>SUMIFS(INDEX(元データ_加工!$C$2:$P$700,0,MATCH($B498,元データ_加工!$C$1:$P$1,0)),元データ_加工!$A$2:$A$700,$A498,元データ_加工!$B$2:$B$700,I$5)</f>
        <v>0</v>
      </c>
      <c r="J498" s="26">
        <f>SUMIFS(INDEX(元データ_加工!$C$2:$P$700,0,MATCH($B498,元データ_加工!$C$1:$P$1,0)),元データ_加工!$A$2:$A$700,$A498,元データ_加工!$B$2:$B$700,J$5)</f>
        <v>2</v>
      </c>
      <c r="K498" s="26">
        <f>SUMIFS(INDEX(元データ_加工!$C$2:$P$700,0,MATCH($B498,元データ_加工!$C$1:$P$1,0)),元データ_加工!$A$2:$A$700,$A498,元データ_加工!$B$2:$B$700,K$5)</f>
        <v>1</v>
      </c>
      <c r="L498" s="26">
        <f>SUMIFS(INDEX(元データ_加工!$C$2:$P$700,0,MATCH($B498,元データ_加工!$C$1:$P$1,0)),元データ_加工!$A$2:$A$700,$A498,元データ_加工!$B$2:$B$700,L$5)</f>
        <v>0</v>
      </c>
      <c r="M498" s="26">
        <f>SUMIFS(INDEX(元データ_加工!$C$2:$P$700,0,MATCH($B498,元データ_加工!$C$1:$P$1,0)),元データ_加工!$A$2:$A$700,$A498,元データ_加工!$B$2:$B$700,M$5)</f>
        <v>0</v>
      </c>
      <c r="N498" s="26">
        <f>SUMIFS(INDEX(元データ_加工!$C$2:$P$700,0,MATCH($B498,元データ_加工!$C$1:$P$1,0)),元データ_加工!$A$2:$A$700,$A498,元データ_加工!$B$2:$B$700,N$5)</f>
        <v>0</v>
      </c>
      <c r="O498" s="26">
        <f t="shared" si="7"/>
        <v>4</v>
      </c>
      <c r="P498" s="7">
        <f>IFERROR(O498/SUMIFS(元データ_加工!$C$2:$C$700,元データ_加工!$A$2:$A$700,$A498),"")</f>
        <v>2.1372088053002778E-4</v>
      </c>
    </row>
    <row r="499" spans="1:16" x14ac:dyDescent="0.45">
      <c r="A499" t="s">
        <v>70</v>
      </c>
      <c r="B499" t="s">
        <v>103</v>
      </c>
      <c r="C499" s="26">
        <f>SUMIFS(INDEX(元データ_加工!$C$2:$P$700,0,MATCH($B499,元データ_加工!$C$1:$P$1,0)),元データ_加工!$A$2:$A$700,$A499,元データ_加工!$B$2:$B$700,C$5)</f>
        <v>0</v>
      </c>
      <c r="D499" s="26">
        <f>SUMIFS(INDEX(元データ_加工!$C$2:$P$700,0,MATCH($B499,元データ_加工!$C$1:$P$1,0)),元データ_加工!$A$2:$A$700,$A499,元データ_加工!$B$2:$B$700,D$5)</f>
        <v>0</v>
      </c>
      <c r="E499" s="26">
        <f>SUMIFS(INDEX(元データ_加工!$C$2:$P$700,0,MATCH($B499,元データ_加工!$C$1:$P$1,0)),元データ_加工!$A$2:$A$700,$A499,元データ_加工!$B$2:$B$700,E$5)</f>
        <v>1</v>
      </c>
      <c r="F499" s="26">
        <f>SUMIFS(INDEX(元データ_加工!$C$2:$P$700,0,MATCH($B499,元データ_加工!$C$1:$P$1,0)),元データ_加工!$A$2:$A$700,$A499,元データ_加工!$B$2:$B$700,F$5)</f>
        <v>5</v>
      </c>
      <c r="G499" s="26">
        <f>SUMIFS(INDEX(元データ_加工!$C$2:$P$700,0,MATCH($B499,元データ_加工!$C$1:$P$1,0)),元データ_加工!$A$2:$A$700,$A499,元データ_加工!$B$2:$B$700,G$5)</f>
        <v>5</v>
      </c>
      <c r="H499" s="26">
        <f>SUMIFS(INDEX(元データ_加工!$C$2:$P$700,0,MATCH($B499,元データ_加工!$C$1:$P$1,0)),元データ_加工!$A$2:$A$700,$A499,元データ_加工!$B$2:$B$700,H$5)</f>
        <v>5</v>
      </c>
      <c r="I499" s="26">
        <f>SUMIFS(INDEX(元データ_加工!$C$2:$P$700,0,MATCH($B499,元データ_加工!$C$1:$P$1,0)),元データ_加工!$A$2:$A$700,$A499,元データ_加工!$B$2:$B$700,I$5)</f>
        <v>1</v>
      </c>
      <c r="J499" s="26">
        <f>SUMIFS(INDEX(元データ_加工!$C$2:$P$700,0,MATCH($B499,元データ_加工!$C$1:$P$1,0)),元データ_加工!$A$2:$A$700,$A499,元データ_加工!$B$2:$B$700,J$5)</f>
        <v>1</v>
      </c>
      <c r="K499" s="26">
        <f>SUMIFS(INDEX(元データ_加工!$C$2:$P$700,0,MATCH($B499,元データ_加工!$C$1:$P$1,0)),元データ_加工!$A$2:$A$700,$A499,元データ_加工!$B$2:$B$700,K$5)</f>
        <v>0</v>
      </c>
      <c r="L499" s="26">
        <f>SUMIFS(INDEX(元データ_加工!$C$2:$P$700,0,MATCH($B499,元データ_加工!$C$1:$P$1,0)),元データ_加工!$A$2:$A$700,$A499,元データ_加工!$B$2:$B$700,L$5)</f>
        <v>0</v>
      </c>
      <c r="M499" s="26">
        <f>SUMIFS(INDEX(元データ_加工!$C$2:$P$700,0,MATCH($B499,元データ_加工!$C$1:$P$1,0)),元データ_加工!$A$2:$A$700,$A499,元データ_加工!$B$2:$B$700,M$5)</f>
        <v>11</v>
      </c>
      <c r="N499" s="26">
        <f>SUMIFS(INDEX(元データ_加工!$C$2:$P$700,0,MATCH($B499,元データ_加工!$C$1:$P$1,0)),元データ_加工!$A$2:$A$700,$A499,元データ_加工!$B$2:$B$700,N$5)</f>
        <v>0</v>
      </c>
      <c r="O499" s="26">
        <f t="shared" si="7"/>
        <v>29</v>
      </c>
      <c r="P499" s="7">
        <f>IFERROR(O499/SUMIFS(元データ_加工!$C$2:$C$700,元データ_加工!$A$2:$A$700,$A499),"")</f>
        <v>1.5494763838427015E-3</v>
      </c>
    </row>
    <row r="500" spans="1:16" x14ac:dyDescent="0.45">
      <c r="A500" t="s">
        <v>70</v>
      </c>
      <c r="B500" t="s">
        <v>104</v>
      </c>
      <c r="C500" s="26">
        <f>SUMIFS(INDEX(元データ_加工!$C$2:$P$700,0,MATCH($B500,元データ_加工!$C$1:$P$1,0)),元データ_加工!$A$2:$A$700,$A500,元データ_加工!$B$2:$B$700,C$5)</f>
        <v>2</v>
      </c>
      <c r="D500" s="26">
        <f>SUMIFS(INDEX(元データ_加工!$C$2:$P$700,0,MATCH($B500,元データ_加工!$C$1:$P$1,0)),元データ_加工!$A$2:$A$700,$A500,元データ_加工!$B$2:$B$700,D$5)</f>
        <v>6</v>
      </c>
      <c r="E500" s="26">
        <f>SUMIFS(INDEX(元データ_加工!$C$2:$P$700,0,MATCH($B500,元データ_加工!$C$1:$P$1,0)),元データ_加工!$A$2:$A$700,$A500,元データ_加工!$B$2:$B$700,E$5)</f>
        <v>2</v>
      </c>
      <c r="F500" s="26">
        <f>SUMIFS(INDEX(元データ_加工!$C$2:$P$700,0,MATCH($B500,元データ_加工!$C$1:$P$1,0)),元データ_加工!$A$2:$A$700,$A500,元データ_加工!$B$2:$B$700,F$5)</f>
        <v>2</v>
      </c>
      <c r="G500" s="26">
        <f>SUMIFS(INDEX(元データ_加工!$C$2:$P$700,0,MATCH($B500,元データ_加工!$C$1:$P$1,0)),元データ_加工!$A$2:$A$700,$A500,元データ_加工!$B$2:$B$700,G$5)</f>
        <v>8</v>
      </c>
      <c r="H500" s="26">
        <f>SUMIFS(INDEX(元データ_加工!$C$2:$P$700,0,MATCH($B500,元データ_加工!$C$1:$P$1,0)),元データ_加工!$A$2:$A$700,$A500,元データ_加工!$B$2:$B$700,H$5)</f>
        <v>8</v>
      </c>
      <c r="I500" s="26">
        <f>SUMIFS(INDEX(元データ_加工!$C$2:$P$700,0,MATCH($B500,元データ_加工!$C$1:$P$1,0)),元データ_加工!$A$2:$A$700,$A500,元データ_加工!$B$2:$B$700,I$5)</f>
        <v>6</v>
      </c>
      <c r="J500" s="26">
        <f>SUMIFS(INDEX(元データ_加工!$C$2:$P$700,0,MATCH($B500,元データ_加工!$C$1:$P$1,0)),元データ_加工!$A$2:$A$700,$A500,元データ_加工!$B$2:$B$700,J$5)</f>
        <v>23</v>
      </c>
      <c r="K500" s="26">
        <f>SUMIFS(INDEX(元データ_加工!$C$2:$P$700,0,MATCH($B500,元データ_加工!$C$1:$P$1,0)),元データ_加工!$A$2:$A$700,$A500,元データ_加工!$B$2:$B$700,K$5)</f>
        <v>17</v>
      </c>
      <c r="L500" s="26">
        <f>SUMIFS(INDEX(元データ_加工!$C$2:$P$700,0,MATCH($B500,元データ_加工!$C$1:$P$1,0)),元データ_加工!$A$2:$A$700,$A500,元データ_加工!$B$2:$B$700,L$5)</f>
        <v>8</v>
      </c>
      <c r="M500" s="26">
        <f>SUMIFS(INDEX(元データ_加工!$C$2:$P$700,0,MATCH($B500,元データ_加工!$C$1:$P$1,0)),元データ_加工!$A$2:$A$700,$A500,元データ_加工!$B$2:$B$700,M$5)</f>
        <v>26</v>
      </c>
      <c r="N500" s="26">
        <f>SUMIFS(INDEX(元データ_加工!$C$2:$P$700,0,MATCH($B500,元データ_加工!$C$1:$P$1,0)),元データ_加工!$A$2:$A$700,$A500,元データ_加工!$B$2:$B$700,N$5)</f>
        <v>3</v>
      </c>
      <c r="O500" s="26">
        <f t="shared" si="7"/>
        <v>111</v>
      </c>
      <c r="P500" s="7">
        <f>IFERROR(O500/SUMIFS(元データ_加工!$C$2:$C$700,元データ_加工!$A$2:$A$700,$A500),"")</f>
        <v>5.930754434708271E-3</v>
      </c>
    </row>
    <row r="501" spans="1:16" x14ac:dyDescent="0.45">
      <c r="A501" t="s">
        <v>70</v>
      </c>
      <c r="B501" t="s">
        <v>105</v>
      </c>
      <c r="C501" s="26">
        <f>SUMIFS(INDEX(元データ_加工!$C$2:$P$700,0,MATCH($B501,元データ_加工!$C$1:$P$1,0)),元データ_加工!$A$2:$A$700,$A501,元データ_加工!$B$2:$B$700,C$5)</f>
        <v>4</v>
      </c>
      <c r="D501" s="26">
        <f>SUMIFS(INDEX(元データ_加工!$C$2:$P$700,0,MATCH($B501,元データ_加工!$C$1:$P$1,0)),元データ_加工!$A$2:$A$700,$A501,元データ_加工!$B$2:$B$700,D$5)</f>
        <v>8</v>
      </c>
      <c r="E501" s="26">
        <f>SUMIFS(INDEX(元データ_加工!$C$2:$P$700,0,MATCH($B501,元データ_加工!$C$1:$P$1,0)),元データ_加工!$A$2:$A$700,$A501,元データ_加工!$B$2:$B$700,E$5)</f>
        <v>5</v>
      </c>
      <c r="F501" s="26">
        <f>SUMIFS(INDEX(元データ_加工!$C$2:$P$700,0,MATCH($B501,元データ_加工!$C$1:$P$1,0)),元データ_加工!$A$2:$A$700,$A501,元データ_加工!$B$2:$B$700,F$5)</f>
        <v>1</v>
      </c>
      <c r="G501" s="26">
        <f>SUMIFS(INDEX(元データ_加工!$C$2:$P$700,0,MATCH($B501,元データ_加工!$C$1:$P$1,0)),元データ_加工!$A$2:$A$700,$A501,元データ_加工!$B$2:$B$700,G$5)</f>
        <v>2</v>
      </c>
      <c r="H501" s="26">
        <f>SUMIFS(INDEX(元データ_加工!$C$2:$P$700,0,MATCH($B501,元データ_加工!$C$1:$P$1,0)),元データ_加工!$A$2:$A$700,$A501,元データ_加工!$B$2:$B$700,H$5)</f>
        <v>0</v>
      </c>
      <c r="I501" s="26">
        <f>SUMIFS(INDEX(元データ_加工!$C$2:$P$700,0,MATCH($B501,元データ_加工!$C$1:$P$1,0)),元データ_加工!$A$2:$A$700,$A501,元データ_加工!$B$2:$B$700,I$5)</f>
        <v>5</v>
      </c>
      <c r="J501" s="26">
        <f>SUMIFS(INDEX(元データ_加工!$C$2:$P$700,0,MATCH($B501,元データ_加工!$C$1:$P$1,0)),元データ_加工!$A$2:$A$700,$A501,元データ_加工!$B$2:$B$700,J$5)</f>
        <v>10</v>
      </c>
      <c r="K501" s="26">
        <f>SUMIFS(INDEX(元データ_加工!$C$2:$P$700,0,MATCH($B501,元データ_加工!$C$1:$P$1,0)),元データ_加工!$A$2:$A$700,$A501,元データ_加工!$B$2:$B$700,K$5)</f>
        <v>106</v>
      </c>
      <c r="L501" s="26">
        <f>SUMIFS(INDEX(元データ_加工!$C$2:$P$700,0,MATCH($B501,元データ_加工!$C$1:$P$1,0)),元データ_加工!$A$2:$A$700,$A501,元データ_加工!$B$2:$B$700,L$5)</f>
        <v>149</v>
      </c>
      <c r="M501" s="26">
        <f>SUMIFS(INDEX(元データ_加工!$C$2:$P$700,0,MATCH($B501,元データ_加工!$C$1:$P$1,0)),元データ_加工!$A$2:$A$700,$A501,元データ_加工!$B$2:$B$700,M$5)</f>
        <v>56</v>
      </c>
      <c r="N501" s="26">
        <f>SUMIFS(INDEX(元データ_加工!$C$2:$P$700,0,MATCH($B501,元データ_加工!$C$1:$P$1,0)),元データ_加工!$A$2:$A$700,$A501,元データ_加工!$B$2:$B$700,N$5)</f>
        <v>2</v>
      </c>
      <c r="O501" s="26">
        <f t="shared" si="7"/>
        <v>348</v>
      </c>
      <c r="P501" s="7">
        <f>IFERROR(O501/SUMIFS(元データ_加工!$C$2:$C$700,元データ_加工!$A$2:$A$700,$A501),"")</f>
        <v>1.8593716606112417E-2</v>
      </c>
    </row>
    <row r="502" spans="1:16" x14ac:dyDescent="0.45">
      <c r="A502" t="s">
        <v>70</v>
      </c>
      <c r="B502" t="s">
        <v>106</v>
      </c>
      <c r="C502" s="26">
        <f>SUMIFS(INDEX(元データ_加工!$C$2:$P$700,0,MATCH($B502,元データ_加工!$C$1:$P$1,0)),元データ_加工!$A$2:$A$700,$A502,元データ_加工!$B$2:$B$700,C$5)</f>
        <v>146</v>
      </c>
      <c r="D502" s="26">
        <f>SUMIFS(INDEX(元データ_加工!$C$2:$P$700,0,MATCH($B502,元データ_加工!$C$1:$P$1,0)),元データ_加工!$A$2:$A$700,$A502,元データ_加工!$B$2:$B$700,D$5)</f>
        <v>105</v>
      </c>
      <c r="E502" s="26">
        <f>SUMIFS(INDEX(元データ_加工!$C$2:$P$700,0,MATCH($B502,元データ_加工!$C$1:$P$1,0)),元データ_加工!$A$2:$A$700,$A502,元データ_加工!$B$2:$B$700,E$5)</f>
        <v>139</v>
      </c>
      <c r="F502" s="26">
        <f>SUMIFS(INDEX(元データ_加工!$C$2:$P$700,0,MATCH($B502,元データ_加工!$C$1:$P$1,0)),元データ_加工!$A$2:$A$700,$A502,元データ_加工!$B$2:$B$700,F$5)</f>
        <v>135</v>
      </c>
      <c r="G502" s="26">
        <f>SUMIFS(INDEX(元データ_加工!$C$2:$P$700,0,MATCH($B502,元データ_加工!$C$1:$P$1,0)),元データ_加工!$A$2:$A$700,$A502,元データ_加工!$B$2:$B$700,G$5)</f>
        <v>150</v>
      </c>
      <c r="H502" s="26">
        <f>SUMIFS(INDEX(元データ_加工!$C$2:$P$700,0,MATCH($B502,元データ_加工!$C$1:$P$1,0)),元データ_加工!$A$2:$A$700,$A502,元データ_加工!$B$2:$B$700,H$5)</f>
        <v>63</v>
      </c>
      <c r="I502" s="26">
        <f>SUMIFS(INDEX(元データ_加工!$C$2:$P$700,0,MATCH($B502,元データ_加工!$C$1:$P$1,0)),元データ_加工!$A$2:$A$700,$A502,元データ_加工!$B$2:$B$700,I$5)</f>
        <v>31</v>
      </c>
      <c r="J502" s="26">
        <f>SUMIFS(INDEX(元データ_加工!$C$2:$P$700,0,MATCH($B502,元データ_加工!$C$1:$P$1,0)),元データ_加工!$A$2:$A$700,$A502,元データ_加工!$B$2:$B$700,J$5)</f>
        <v>108</v>
      </c>
      <c r="K502" s="26">
        <f>SUMIFS(INDEX(元データ_加工!$C$2:$P$700,0,MATCH($B502,元データ_加工!$C$1:$P$1,0)),元データ_加工!$A$2:$A$700,$A502,元データ_加工!$B$2:$B$700,K$5)</f>
        <v>222</v>
      </c>
      <c r="L502" s="26">
        <f>SUMIFS(INDEX(元データ_加工!$C$2:$P$700,0,MATCH($B502,元データ_加工!$C$1:$P$1,0)),元データ_加工!$A$2:$A$700,$A502,元データ_加工!$B$2:$B$700,L$5)</f>
        <v>183</v>
      </c>
      <c r="M502" s="26">
        <f>SUMIFS(INDEX(元データ_加工!$C$2:$P$700,0,MATCH($B502,元データ_加工!$C$1:$P$1,0)),元データ_加工!$A$2:$A$700,$A502,元データ_加工!$B$2:$B$700,M$5)</f>
        <v>202</v>
      </c>
      <c r="N502" s="26">
        <f>SUMIFS(INDEX(元データ_加工!$C$2:$P$700,0,MATCH($B502,元データ_加工!$C$1:$P$1,0)),元データ_加工!$A$2:$A$700,$A502,元データ_加工!$B$2:$B$700,N$5)</f>
        <v>155</v>
      </c>
      <c r="O502" s="26">
        <f t="shared" si="7"/>
        <v>1639</v>
      </c>
      <c r="P502" s="7">
        <f>IFERROR(O502/SUMIFS(元データ_加工!$C$2:$C$700,元データ_加工!$A$2:$A$700,$A502),"")</f>
        <v>8.757213079717889E-2</v>
      </c>
    </row>
    <row r="503" spans="1:16" x14ac:dyDescent="0.45">
      <c r="A503" t="s">
        <v>70</v>
      </c>
      <c r="B503" t="s">
        <v>107</v>
      </c>
      <c r="C503" s="26">
        <f>SUMIFS(INDEX(元データ_加工!$C$2:$P$700,0,MATCH($B503,元データ_加工!$C$1:$P$1,0)),元データ_加工!$A$2:$A$700,$A503,元データ_加工!$B$2:$B$700,C$5)</f>
        <v>10</v>
      </c>
      <c r="D503" s="26">
        <f>SUMIFS(INDEX(元データ_加工!$C$2:$P$700,0,MATCH($B503,元データ_加工!$C$1:$P$1,0)),元データ_加工!$A$2:$A$700,$A503,元データ_加工!$B$2:$B$700,D$5)</f>
        <v>13</v>
      </c>
      <c r="E503" s="26">
        <f>SUMIFS(INDEX(元データ_加工!$C$2:$P$700,0,MATCH($B503,元データ_加工!$C$1:$P$1,0)),元データ_加工!$A$2:$A$700,$A503,元データ_加工!$B$2:$B$700,E$5)</f>
        <v>27</v>
      </c>
      <c r="F503" s="26">
        <f>SUMIFS(INDEX(元データ_加工!$C$2:$P$700,0,MATCH($B503,元データ_加工!$C$1:$P$1,0)),元データ_加工!$A$2:$A$700,$A503,元データ_加工!$B$2:$B$700,F$5)</f>
        <v>13</v>
      </c>
      <c r="G503" s="26">
        <f>SUMIFS(INDEX(元データ_加工!$C$2:$P$700,0,MATCH($B503,元データ_加工!$C$1:$P$1,0)),元データ_加工!$A$2:$A$700,$A503,元データ_加工!$B$2:$B$700,G$5)</f>
        <v>8</v>
      </c>
      <c r="H503" s="26">
        <f>SUMIFS(INDEX(元データ_加工!$C$2:$P$700,0,MATCH($B503,元データ_加工!$C$1:$P$1,0)),元データ_加工!$A$2:$A$700,$A503,元データ_加工!$B$2:$B$700,H$5)</f>
        <v>5</v>
      </c>
      <c r="I503" s="26">
        <f>SUMIFS(INDEX(元データ_加工!$C$2:$P$700,0,MATCH($B503,元データ_加工!$C$1:$P$1,0)),元データ_加工!$A$2:$A$700,$A503,元データ_加工!$B$2:$B$700,I$5)</f>
        <v>2</v>
      </c>
      <c r="J503" s="26">
        <f>SUMIFS(INDEX(元データ_加工!$C$2:$P$700,0,MATCH($B503,元データ_加工!$C$1:$P$1,0)),元データ_加工!$A$2:$A$700,$A503,元データ_加工!$B$2:$B$700,J$5)</f>
        <v>0</v>
      </c>
      <c r="K503" s="26">
        <f>SUMIFS(INDEX(元データ_加工!$C$2:$P$700,0,MATCH($B503,元データ_加工!$C$1:$P$1,0)),元データ_加工!$A$2:$A$700,$A503,元データ_加工!$B$2:$B$700,K$5)</f>
        <v>6</v>
      </c>
      <c r="L503" s="26">
        <f>SUMIFS(INDEX(元データ_加工!$C$2:$P$700,0,MATCH($B503,元データ_加工!$C$1:$P$1,0)),元データ_加工!$A$2:$A$700,$A503,元データ_加工!$B$2:$B$700,L$5)</f>
        <v>3</v>
      </c>
      <c r="M503" s="26">
        <f>SUMIFS(INDEX(元データ_加工!$C$2:$P$700,0,MATCH($B503,元データ_加工!$C$1:$P$1,0)),元データ_加工!$A$2:$A$700,$A503,元データ_加工!$B$2:$B$700,M$5)</f>
        <v>7</v>
      </c>
      <c r="N503" s="26">
        <f>SUMIFS(INDEX(元データ_加工!$C$2:$P$700,0,MATCH($B503,元データ_加工!$C$1:$P$1,0)),元データ_加工!$A$2:$A$700,$A503,元データ_加工!$B$2:$B$700,N$5)</f>
        <v>11</v>
      </c>
      <c r="O503" s="26">
        <f t="shared" si="7"/>
        <v>105</v>
      </c>
      <c r="P503" s="7">
        <f>IFERROR(O503/SUMIFS(元データ_加工!$C$2:$C$700,元データ_加工!$A$2:$A$700,$A503),"")</f>
        <v>5.6101731139132291E-3</v>
      </c>
    </row>
    <row r="504" spans="1:16" x14ac:dyDescent="0.45">
      <c r="A504" t="s">
        <v>70</v>
      </c>
      <c r="B504" t="s">
        <v>108</v>
      </c>
      <c r="C504" s="26">
        <f>SUMIFS(INDEX(元データ_加工!$C$2:$P$700,0,MATCH($B504,元データ_加工!$C$1:$P$1,0)),元データ_加工!$A$2:$A$700,$A504,元データ_加工!$B$2:$B$700,C$5)</f>
        <v>5</v>
      </c>
      <c r="D504" s="26">
        <f>SUMIFS(INDEX(元データ_加工!$C$2:$P$700,0,MATCH($B504,元データ_加工!$C$1:$P$1,0)),元データ_加工!$A$2:$A$700,$A504,元データ_加工!$B$2:$B$700,D$5)</f>
        <v>4</v>
      </c>
      <c r="E504" s="26">
        <f>SUMIFS(INDEX(元データ_加工!$C$2:$P$700,0,MATCH($B504,元データ_加工!$C$1:$P$1,0)),元データ_加工!$A$2:$A$700,$A504,元データ_加工!$B$2:$B$700,E$5)</f>
        <v>17</v>
      </c>
      <c r="F504" s="26">
        <f>SUMIFS(INDEX(元データ_加工!$C$2:$P$700,0,MATCH($B504,元データ_加工!$C$1:$P$1,0)),元データ_加工!$A$2:$A$700,$A504,元データ_加工!$B$2:$B$700,F$5)</f>
        <v>20</v>
      </c>
      <c r="G504" s="26">
        <f>SUMIFS(INDEX(元データ_加工!$C$2:$P$700,0,MATCH($B504,元データ_加工!$C$1:$P$1,0)),元データ_加工!$A$2:$A$700,$A504,元データ_加工!$B$2:$B$700,G$5)</f>
        <v>11</v>
      </c>
      <c r="H504" s="26">
        <f>SUMIFS(INDEX(元データ_加工!$C$2:$P$700,0,MATCH($B504,元データ_加工!$C$1:$P$1,0)),元データ_加工!$A$2:$A$700,$A504,元データ_加工!$B$2:$B$700,H$5)</f>
        <v>3</v>
      </c>
      <c r="I504" s="26">
        <f>SUMIFS(INDEX(元データ_加工!$C$2:$P$700,0,MATCH($B504,元データ_加工!$C$1:$P$1,0)),元データ_加工!$A$2:$A$700,$A504,元データ_加工!$B$2:$B$700,I$5)</f>
        <v>0</v>
      </c>
      <c r="J504" s="26">
        <f>SUMIFS(INDEX(元データ_加工!$C$2:$P$700,0,MATCH($B504,元データ_加工!$C$1:$P$1,0)),元データ_加工!$A$2:$A$700,$A504,元データ_加工!$B$2:$B$700,J$5)</f>
        <v>3</v>
      </c>
      <c r="K504" s="26">
        <f>SUMIFS(INDEX(元データ_加工!$C$2:$P$700,0,MATCH($B504,元データ_加工!$C$1:$P$1,0)),元データ_加工!$A$2:$A$700,$A504,元データ_加工!$B$2:$B$700,K$5)</f>
        <v>0</v>
      </c>
      <c r="L504" s="26">
        <f>SUMIFS(INDEX(元データ_加工!$C$2:$P$700,0,MATCH($B504,元データ_加工!$C$1:$P$1,0)),元データ_加工!$A$2:$A$700,$A504,元データ_加工!$B$2:$B$700,L$5)</f>
        <v>0</v>
      </c>
      <c r="M504" s="26">
        <f>SUMIFS(INDEX(元データ_加工!$C$2:$P$700,0,MATCH($B504,元データ_加工!$C$1:$P$1,0)),元データ_加工!$A$2:$A$700,$A504,元データ_加工!$B$2:$B$700,M$5)</f>
        <v>0</v>
      </c>
      <c r="N504" s="26">
        <f>SUMIFS(INDEX(元データ_加工!$C$2:$P$700,0,MATCH($B504,元データ_加工!$C$1:$P$1,0)),元データ_加工!$A$2:$A$700,$A504,元データ_加工!$B$2:$B$700,N$5)</f>
        <v>0</v>
      </c>
      <c r="O504" s="26">
        <f t="shared" si="7"/>
        <v>63</v>
      </c>
      <c r="P504" s="7">
        <f>IFERROR(O504/SUMIFS(元データ_加工!$C$2:$C$700,元データ_加工!$A$2:$A$700,$A504),"")</f>
        <v>3.3661038683479375E-3</v>
      </c>
    </row>
    <row r="505" spans="1:16" x14ac:dyDescent="0.45">
      <c r="A505" t="s">
        <v>70</v>
      </c>
      <c r="B505" t="s">
        <v>109</v>
      </c>
      <c r="C505" s="26">
        <f>SUMIFS(INDEX(元データ_加工!$C$2:$P$700,0,MATCH($B505,元データ_加工!$C$1:$P$1,0)),元データ_加工!$A$2:$A$700,$A505,元データ_加工!$B$2:$B$700,C$5)</f>
        <v>40</v>
      </c>
      <c r="D505" s="26">
        <f>SUMIFS(INDEX(元データ_加工!$C$2:$P$700,0,MATCH($B505,元データ_加工!$C$1:$P$1,0)),元データ_加工!$A$2:$A$700,$A505,元データ_加工!$B$2:$B$700,D$5)</f>
        <v>57</v>
      </c>
      <c r="E505" s="26">
        <f>SUMIFS(INDEX(元データ_加工!$C$2:$P$700,0,MATCH($B505,元データ_加工!$C$1:$P$1,0)),元データ_加工!$A$2:$A$700,$A505,元データ_加工!$B$2:$B$700,E$5)</f>
        <v>80</v>
      </c>
      <c r="F505" s="26">
        <f>SUMIFS(INDEX(元データ_加工!$C$2:$P$700,0,MATCH($B505,元データ_加工!$C$1:$P$1,0)),元データ_加工!$A$2:$A$700,$A505,元データ_加工!$B$2:$B$700,F$5)</f>
        <v>62</v>
      </c>
      <c r="G505" s="26">
        <f>SUMIFS(INDEX(元データ_加工!$C$2:$P$700,0,MATCH($B505,元データ_加工!$C$1:$P$1,0)),元データ_加工!$A$2:$A$700,$A505,元データ_加工!$B$2:$B$700,G$5)</f>
        <v>72</v>
      </c>
      <c r="H505" s="26">
        <f>SUMIFS(INDEX(元データ_加工!$C$2:$P$700,0,MATCH($B505,元データ_加工!$C$1:$P$1,0)),元データ_加工!$A$2:$A$700,$A505,元データ_加工!$B$2:$B$700,H$5)</f>
        <v>27</v>
      </c>
      <c r="I505" s="26">
        <f>SUMIFS(INDEX(元データ_加工!$C$2:$P$700,0,MATCH($B505,元データ_加工!$C$1:$P$1,0)),元データ_加工!$A$2:$A$700,$A505,元データ_加工!$B$2:$B$700,I$5)</f>
        <v>36</v>
      </c>
      <c r="J505" s="26">
        <f>SUMIFS(INDEX(元データ_加工!$C$2:$P$700,0,MATCH($B505,元データ_加工!$C$1:$P$1,0)),元データ_加工!$A$2:$A$700,$A505,元データ_加工!$B$2:$B$700,J$5)</f>
        <v>83</v>
      </c>
      <c r="K505" s="26">
        <f>SUMIFS(INDEX(元データ_加工!$C$2:$P$700,0,MATCH($B505,元データ_加工!$C$1:$P$1,0)),元データ_加工!$A$2:$A$700,$A505,元データ_加工!$B$2:$B$700,K$5)</f>
        <v>31</v>
      </c>
      <c r="L505" s="26">
        <f>SUMIFS(INDEX(元データ_加工!$C$2:$P$700,0,MATCH($B505,元データ_加工!$C$1:$P$1,0)),元データ_加工!$A$2:$A$700,$A505,元データ_加工!$B$2:$B$700,L$5)</f>
        <v>44</v>
      </c>
      <c r="M505" s="26">
        <f>SUMIFS(INDEX(元データ_加工!$C$2:$P$700,0,MATCH($B505,元データ_加工!$C$1:$P$1,0)),元データ_加工!$A$2:$A$700,$A505,元データ_加工!$B$2:$B$700,M$5)</f>
        <v>36</v>
      </c>
      <c r="N505" s="26">
        <f>SUMIFS(INDEX(元データ_加工!$C$2:$P$700,0,MATCH($B505,元データ_加工!$C$1:$P$1,0)),元データ_加工!$A$2:$A$700,$A505,元データ_加工!$B$2:$B$700,N$5)</f>
        <v>72</v>
      </c>
      <c r="O505" s="26">
        <f t="shared" si="7"/>
        <v>640</v>
      </c>
      <c r="P505" s="7">
        <f>IFERROR(O505/SUMIFS(元データ_加工!$C$2:$C$700,元データ_加工!$A$2:$A$700,$A505),"")</f>
        <v>3.4195340884804443E-2</v>
      </c>
    </row>
    <row r="506" spans="1:16" x14ac:dyDescent="0.45">
      <c r="A506" t="s">
        <v>70</v>
      </c>
      <c r="B506" t="s">
        <v>110</v>
      </c>
      <c r="C506" s="26">
        <f>SUMIFS(INDEX(元データ_加工!$C$2:$P$700,0,MATCH($B506,元データ_加工!$C$1:$P$1,0)),元データ_加工!$A$2:$A$700,$A506,元データ_加工!$B$2:$B$700,C$5)</f>
        <v>0</v>
      </c>
      <c r="D506" s="26">
        <f>SUMIFS(INDEX(元データ_加工!$C$2:$P$700,0,MATCH($B506,元データ_加工!$C$1:$P$1,0)),元データ_加工!$A$2:$A$700,$A506,元データ_加工!$B$2:$B$700,D$5)</f>
        <v>0</v>
      </c>
      <c r="E506" s="26">
        <f>SUMIFS(INDEX(元データ_加工!$C$2:$P$700,0,MATCH($B506,元データ_加工!$C$1:$P$1,0)),元データ_加工!$A$2:$A$700,$A506,元データ_加工!$B$2:$B$700,E$5)</f>
        <v>0</v>
      </c>
      <c r="F506" s="26">
        <f>SUMIFS(INDEX(元データ_加工!$C$2:$P$700,0,MATCH($B506,元データ_加工!$C$1:$P$1,0)),元データ_加工!$A$2:$A$700,$A506,元データ_加工!$B$2:$B$700,F$5)</f>
        <v>0</v>
      </c>
      <c r="G506" s="26">
        <f>SUMIFS(INDEX(元データ_加工!$C$2:$P$700,0,MATCH($B506,元データ_加工!$C$1:$P$1,0)),元データ_加工!$A$2:$A$700,$A506,元データ_加工!$B$2:$B$700,G$5)</f>
        <v>0</v>
      </c>
      <c r="H506" s="26">
        <f>SUMIFS(INDEX(元データ_加工!$C$2:$P$700,0,MATCH($B506,元データ_加工!$C$1:$P$1,0)),元データ_加工!$A$2:$A$700,$A506,元データ_加工!$B$2:$B$700,H$5)</f>
        <v>0</v>
      </c>
      <c r="I506" s="26">
        <f>SUMIFS(INDEX(元データ_加工!$C$2:$P$700,0,MATCH($B506,元データ_加工!$C$1:$P$1,0)),元データ_加工!$A$2:$A$700,$A506,元データ_加工!$B$2:$B$700,I$5)</f>
        <v>0</v>
      </c>
      <c r="J506" s="26">
        <f>SUMIFS(INDEX(元データ_加工!$C$2:$P$700,0,MATCH($B506,元データ_加工!$C$1:$P$1,0)),元データ_加工!$A$2:$A$700,$A506,元データ_加工!$B$2:$B$700,J$5)</f>
        <v>0</v>
      </c>
      <c r="K506" s="26">
        <f>SUMIFS(INDEX(元データ_加工!$C$2:$P$700,0,MATCH($B506,元データ_加工!$C$1:$P$1,0)),元データ_加工!$A$2:$A$700,$A506,元データ_加工!$B$2:$B$700,K$5)</f>
        <v>0</v>
      </c>
      <c r="L506" s="26">
        <f>SUMIFS(INDEX(元データ_加工!$C$2:$P$700,0,MATCH($B506,元データ_加工!$C$1:$P$1,0)),元データ_加工!$A$2:$A$700,$A506,元データ_加工!$B$2:$B$700,L$5)</f>
        <v>0</v>
      </c>
      <c r="M506" s="26">
        <f>SUMIFS(INDEX(元データ_加工!$C$2:$P$700,0,MATCH($B506,元データ_加工!$C$1:$P$1,0)),元データ_加工!$A$2:$A$700,$A506,元データ_加工!$B$2:$B$700,M$5)</f>
        <v>0</v>
      </c>
      <c r="N506" s="26">
        <f>SUMIFS(INDEX(元データ_加工!$C$2:$P$700,0,MATCH($B506,元データ_加工!$C$1:$P$1,0)),元データ_加工!$A$2:$A$700,$A506,元データ_加工!$B$2:$B$700,N$5)</f>
        <v>0</v>
      </c>
      <c r="O506" s="26">
        <f t="shared" si="7"/>
        <v>0</v>
      </c>
      <c r="P506" s="7">
        <f>IFERROR(O506/SUMIFS(元データ_加工!$C$2:$C$700,元データ_加工!$A$2:$A$700,$A506),"")</f>
        <v>0</v>
      </c>
    </row>
    <row r="507" spans="1:16" x14ac:dyDescent="0.45">
      <c r="A507" t="s">
        <v>70</v>
      </c>
      <c r="B507" t="s">
        <v>111</v>
      </c>
      <c r="C507" s="26">
        <f>SUMIFS(INDEX(元データ_加工!$C$2:$P$700,0,MATCH($B507,元データ_加工!$C$1:$P$1,0)),元データ_加工!$A$2:$A$700,$A507,元データ_加工!$B$2:$B$700,C$5)</f>
        <v>0</v>
      </c>
      <c r="D507" s="26">
        <f>SUMIFS(INDEX(元データ_加工!$C$2:$P$700,0,MATCH($B507,元データ_加工!$C$1:$P$1,0)),元データ_加工!$A$2:$A$700,$A507,元データ_加工!$B$2:$B$700,D$5)</f>
        <v>0</v>
      </c>
      <c r="E507" s="26">
        <f>SUMIFS(INDEX(元データ_加工!$C$2:$P$700,0,MATCH($B507,元データ_加工!$C$1:$P$1,0)),元データ_加工!$A$2:$A$700,$A507,元データ_加工!$B$2:$B$700,E$5)</f>
        <v>0</v>
      </c>
      <c r="F507" s="26">
        <f>SUMIFS(INDEX(元データ_加工!$C$2:$P$700,0,MATCH($B507,元データ_加工!$C$1:$P$1,0)),元データ_加工!$A$2:$A$700,$A507,元データ_加工!$B$2:$B$700,F$5)</f>
        <v>0</v>
      </c>
      <c r="G507" s="26">
        <f>SUMIFS(INDEX(元データ_加工!$C$2:$P$700,0,MATCH($B507,元データ_加工!$C$1:$P$1,0)),元データ_加工!$A$2:$A$700,$A507,元データ_加工!$B$2:$B$700,G$5)</f>
        <v>0</v>
      </c>
      <c r="H507" s="26">
        <f>SUMIFS(INDEX(元データ_加工!$C$2:$P$700,0,MATCH($B507,元データ_加工!$C$1:$P$1,0)),元データ_加工!$A$2:$A$700,$A507,元データ_加工!$B$2:$B$700,H$5)</f>
        <v>0</v>
      </c>
      <c r="I507" s="26">
        <f>SUMIFS(INDEX(元データ_加工!$C$2:$P$700,0,MATCH($B507,元データ_加工!$C$1:$P$1,0)),元データ_加工!$A$2:$A$700,$A507,元データ_加工!$B$2:$B$700,I$5)</f>
        <v>0</v>
      </c>
      <c r="J507" s="26">
        <f>SUMIFS(INDEX(元データ_加工!$C$2:$P$700,0,MATCH($B507,元データ_加工!$C$1:$P$1,0)),元データ_加工!$A$2:$A$700,$A507,元データ_加工!$B$2:$B$700,J$5)</f>
        <v>0</v>
      </c>
      <c r="K507" s="26">
        <f>SUMIFS(INDEX(元データ_加工!$C$2:$P$700,0,MATCH($B507,元データ_加工!$C$1:$P$1,0)),元データ_加工!$A$2:$A$700,$A507,元データ_加工!$B$2:$B$700,K$5)</f>
        <v>5</v>
      </c>
      <c r="L507" s="26">
        <f>SUMIFS(INDEX(元データ_加工!$C$2:$P$700,0,MATCH($B507,元データ_加工!$C$1:$P$1,0)),元データ_加工!$A$2:$A$700,$A507,元データ_加工!$B$2:$B$700,L$5)</f>
        <v>8</v>
      </c>
      <c r="M507" s="26">
        <f>SUMIFS(INDEX(元データ_加工!$C$2:$P$700,0,MATCH($B507,元データ_加工!$C$1:$P$1,0)),元データ_加工!$A$2:$A$700,$A507,元データ_加工!$B$2:$B$700,M$5)</f>
        <v>12</v>
      </c>
      <c r="N507" s="26">
        <f>SUMIFS(INDEX(元データ_加工!$C$2:$P$700,0,MATCH($B507,元データ_加工!$C$1:$P$1,0)),元データ_加工!$A$2:$A$700,$A507,元データ_加工!$B$2:$B$700,N$5)</f>
        <v>13</v>
      </c>
      <c r="O507" s="26">
        <f t="shared" si="7"/>
        <v>38</v>
      </c>
      <c r="P507" s="7">
        <f>IFERROR(O507/SUMIFS(元データ_加工!$C$2:$C$700,元データ_加工!$A$2:$A$700,$A507),"")</f>
        <v>2.0303483650352641E-3</v>
      </c>
    </row>
    <row r="508" spans="1:16" x14ac:dyDescent="0.45">
      <c r="A508" t="s">
        <v>70</v>
      </c>
      <c r="B508" t="s">
        <v>112</v>
      </c>
      <c r="C508" s="26">
        <f>SUMIFS(INDEX(元データ_加工!$C$2:$P$700,0,MATCH($B508,元データ_加工!$C$1:$P$1,0)),元データ_加工!$A$2:$A$700,$A508,元データ_加工!$B$2:$B$700,C$5)</f>
        <v>0</v>
      </c>
      <c r="D508" s="26">
        <f>SUMIFS(INDEX(元データ_加工!$C$2:$P$700,0,MATCH($B508,元データ_加工!$C$1:$P$1,0)),元データ_加工!$A$2:$A$700,$A508,元データ_加工!$B$2:$B$700,D$5)</f>
        <v>0</v>
      </c>
      <c r="E508" s="26">
        <f>SUMIFS(INDEX(元データ_加工!$C$2:$P$700,0,MATCH($B508,元データ_加工!$C$1:$P$1,0)),元データ_加工!$A$2:$A$700,$A508,元データ_加工!$B$2:$B$700,E$5)</f>
        <v>0</v>
      </c>
      <c r="F508" s="26">
        <f>SUMIFS(INDEX(元データ_加工!$C$2:$P$700,0,MATCH($B508,元データ_加工!$C$1:$P$1,0)),元データ_加工!$A$2:$A$700,$A508,元データ_加工!$B$2:$B$700,F$5)</f>
        <v>0</v>
      </c>
      <c r="G508" s="26">
        <f>SUMIFS(INDEX(元データ_加工!$C$2:$P$700,0,MATCH($B508,元データ_加工!$C$1:$P$1,0)),元データ_加工!$A$2:$A$700,$A508,元データ_加工!$B$2:$B$700,G$5)</f>
        <v>0</v>
      </c>
      <c r="H508" s="26">
        <f>SUMIFS(INDEX(元データ_加工!$C$2:$P$700,0,MATCH($B508,元データ_加工!$C$1:$P$1,0)),元データ_加工!$A$2:$A$700,$A508,元データ_加工!$B$2:$B$700,H$5)</f>
        <v>1</v>
      </c>
      <c r="I508" s="26">
        <f>SUMIFS(INDEX(元データ_加工!$C$2:$P$700,0,MATCH($B508,元データ_加工!$C$1:$P$1,0)),元データ_加工!$A$2:$A$700,$A508,元データ_加工!$B$2:$B$700,I$5)</f>
        <v>0</v>
      </c>
      <c r="J508" s="26">
        <f>SUMIFS(INDEX(元データ_加工!$C$2:$P$700,0,MATCH($B508,元データ_加工!$C$1:$P$1,0)),元データ_加工!$A$2:$A$700,$A508,元データ_加工!$B$2:$B$700,J$5)</f>
        <v>2</v>
      </c>
      <c r="K508" s="26">
        <f>SUMIFS(INDEX(元データ_加工!$C$2:$P$700,0,MATCH($B508,元データ_加工!$C$1:$P$1,0)),元データ_加工!$A$2:$A$700,$A508,元データ_加工!$B$2:$B$700,K$5)</f>
        <v>6</v>
      </c>
      <c r="L508" s="26">
        <f>SUMIFS(INDEX(元データ_加工!$C$2:$P$700,0,MATCH($B508,元データ_加工!$C$1:$P$1,0)),元データ_加工!$A$2:$A$700,$A508,元データ_加工!$B$2:$B$700,L$5)</f>
        <v>1</v>
      </c>
      <c r="M508" s="26">
        <f>SUMIFS(INDEX(元データ_加工!$C$2:$P$700,0,MATCH($B508,元データ_加工!$C$1:$P$1,0)),元データ_加工!$A$2:$A$700,$A508,元データ_加工!$B$2:$B$700,M$5)</f>
        <v>2</v>
      </c>
      <c r="N508" s="26">
        <f>SUMIFS(INDEX(元データ_加工!$C$2:$P$700,0,MATCH($B508,元データ_加工!$C$1:$P$1,0)),元データ_加工!$A$2:$A$700,$A508,元データ_加工!$B$2:$B$700,N$5)</f>
        <v>0</v>
      </c>
      <c r="O508" s="26">
        <f t="shared" si="7"/>
        <v>12</v>
      </c>
      <c r="P508" s="7">
        <f>IFERROR(O508/SUMIFS(元データ_加工!$C$2:$C$700,元データ_加工!$A$2:$A$700,$A508),"")</f>
        <v>6.4116264159008339E-4</v>
      </c>
    </row>
    <row r="509" spans="1:16" x14ac:dyDescent="0.45">
      <c r="A509" t="s">
        <v>70</v>
      </c>
      <c r="B509" t="s">
        <v>113</v>
      </c>
      <c r="C509" s="26">
        <f>SUMIFS(INDEX(元データ_加工!$C$2:$P$700,0,MATCH($B509,元データ_加工!$C$1:$P$1,0)),元データ_加工!$A$2:$A$700,$A509,元データ_加工!$B$2:$B$700,C$5)</f>
        <v>2</v>
      </c>
      <c r="D509" s="26">
        <f>SUMIFS(INDEX(元データ_加工!$C$2:$P$700,0,MATCH($B509,元データ_加工!$C$1:$P$1,0)),元データ_加工!$A$2:$A$700,$A509,元データ_加工!$B$2:$B$700,D$5)</f>
        <v>0</v>
      </c>
      <c r="E509" s="26">
        <f>SUMIFS(INDEX(元データ_加工!$C$2:$P$700,0,MATCH($B509,元データ_加工!$C$1:$P$1,0)),元データ_加工!$A$2:$A$700,$A509,元データ_加工!$B$2:$B$700,E$5)</f>
        <v>0</v>
      </c>
      <c r="F509" s="26">
        <f>SUMIFS(INDEX(元データ_加工!$C$2:$P$700,0,MATCH($B509,元データ_加工!$C$1:$P$1,0)),元データ_加工!$A$2:$A$700,$A509,元データ_加工!$B$2:$B$700,F$5)</f>
        <v>1</v>
      </c>
      <c r="G509" s="26">
        <f>SUMIFS(INDEX(元データ_加工!$C$2:$P$700,0,MATCH($B509,元データ_加工!$C$1:$P$1,0)),元データ_加工!$A$2:$A$700,$A509,元データ_加工!$B$2:$B$700,G$5)</f>
        <v>0</v>
      </c>
      <c r="H509" s="26">
        <f>SUMIFS(INDEX(元データ_加工!$C$2:$P$700,0,MATCH($B509,元データ_加工!$C$1:$P$1,0)),元データ_加工!$A$2:$A$700,$A509,元データ_加工!$B$2:$B$700,H$5)</f>
        <v>0</v>
      </c>
      <c r="I509" s="26">
        <f>SUMIFS(INDEX(元データ_加工!$C$2:$P$700,0,MATCH($B509,元データ_加工!$C$1:$P$1,0)),元データ_加工!$A$2:$A$700,$A509,元データ_加工!$B$2:$B$700,I$5)</f>
        <v>1</v>
      </c>
      <c r="J509" s="26">
        <f>SUMIFS(INDEX(元データ_加工!$C$2:$P$700,0,MATCH($B509,元データ_加工!$C$1:$P$1,0)),元データ_加工!$A$2:$A$700,$A509,元データ_加工!$B$2:$B$700,J$5)</f>
        <v>0</v>
      </c>
      <c r="K509" s="26">
        <f>SUMIFS(INDEX(元データ_加工!$C$2:$P$700,0,MATCH($B509,元データ_加工!$C$1:$P$1,0)),元データ_加工!$A$2:$A$700,$A509,元データ_加工!$B$2:$B$700,K$5)</f>
        <v>0</v>
      </c>
      <c r="L509" s="26">
        <f>SUMIFS(INDEX(元データ_加工!$C$2:$P$700,0,MATCH($B509,元データ_加工!$C$1:$P$1,0)),元データ_加工!$A$2:$A$700,$A509,元データ_加工!$B$2:$B$700,L$5)</f>
        <v>1</v>
      </c>
      <c r="M509" s="26">
        <f>SUMIFS(INDEX(元データ_加工!$C$2:$P$700,0,MATCH($B509,元データ_加工!$C$1:$P$1,0)),元データ_加工!$A$2:$A$700,$A509,元データ_加工!$B$2:$B$700,M$5)</f>
        <v>3</v>
      </c>
      <c r="N509" s="26">
        <f>SUMIFS(INDEX(元データ_加工!$C$2:$P$700,0,MATCH($B509,元データ_加工!$C$1:$P$1,0)),元データ_加工!$A$2:$A$700,$A509,元データ_加工!$B$2:$B$700,N$5)</f>
        <v>0</v>
      </c>
      <c r="O509" s="26">
        <f t="shared" si="7"/>
        <v>8</v>
      </c>
      <c r="P509" s="7">
        <f>IFERROR(O509/SUMIFS(元データ_加工!$C$2:$C$700,元データ_加工!$A$2:$A$700,$A509),"")</f>
        <v>4.2744176106005556E-4</v>
      </c>
    </row>
    <row r="510" spans="1:16" x14ac:dyDescent="0.45">
      <c r="A510" t="s">
        <v>71</v>
      </c>
      <c r="B510" t="s">
        <v>100</v>
      </c>
      <c r="C510" s="26">
        <f>SUMIFS(INDEX(元データ_加工!$C$2:$P$700,0,MATCH($B510,元データ_加工!$C$1:$P$1,0)),元データ_加工!$A$2:$A$700,$A510,元データ_加工!$B$2:$B$700,C$5)</f>
        <v>1256</v>
      </c>
      <c r="D510" s="26">
        <f>SUMIFS(INDEX(元データ_加工!$C$2:$P$700,0,MATCH($B510,元データ_加工!$C$1:$P$1,0)),元データ_加工!$A$2:$A$700,$A510,元データ_加工!$B$2:$B$700,D$5)</f>
        <v>1424</v>
      </c>
      <c r="E510" s="26">
        <f>SUMIFS(INDEX(元データ_加工!$C$2:$P$700,0,MATCH($B510,元データ_加工!$C$1:$P$1,0)),元データ_加工!$A$2:$A$700,$A510,元データ_加工!$B$2:$B$700,E$5)</f>
        <v>2132</v>
      </c>
      <c r="F510" s="26">
        <f>SUMIFS(INDEX(元データ_加工!$C$2:$P$700,0,MATCH($B510,元データ_加工!$C$1:$P$1,0)),元データ_加工!$A$2:$A$700,$A510,元データ_加工!$B$2:$B$700,F$5)</f>
        <v>1698</v>
      </c>
      <c r="G510" s="26">
        <f>SUMIFS(INDEX(元データ_加工!$C$2:$P$700,0,MATCH($B510,元データ_加工!$C$1:$P$1,0)),元データ_加工!$A$2:$A$700,$A510,元データ_加工!$B$2:$B$700,G$5)</f>
        <v>1870</v>
      </c>
      <c r="H510" s="26">
        <f>SUMIFS(INDEX(元データ_加工!$C$2:$P$700,0,MATCH($B510,元データ_加工!$C$1:$P$1,0)),元データ_加工!$A$2:$A$700,$A510,元データ_加工!$B$2:$B$700,H$5)</f>
        <v>1310</v>
      </c>
      <c r="I510" s="26">
        <f>SUMIFS(INDEX(元データ_加工!$C$2:$P$700,0,MATCH($B510,元データ_加工!$C$1:$P$1,0)),元データ_加工!$A$2:$A$700,$A510,元データ_加工!$B$2:$B$700,I$5)</f>
        <v>977</v>
      </c>
      <c r="J510" s="26">
        <f>SUMIFS(INDEX(元データ_加工!$C$2:$P$700,0,MATCH($B510,元データ_加工!$C$1:$P$1,0)),元データ_加工!$A$2:$A$700,$A510,元データ_加工!$B$2:$B$700,J$5)</f>
        <v>2064</v>
      </c>
      <c r="K510" s="26">
        <f>SUMIFS(INDEX(元データ_加工!$C$2:$P$700,0,MATCH($B510,元データ_加工!$C$1:$P$1,0)),元データ_加工!$A$2:$A$700,$A510,元データ_加工!$B$2:$B$700,K$5)</f>
        <v>3548</v>
      </c>
      <c r="L510" s="26">
        <f>SUMIFS(INDEX(元データ_加工!$C$2:$P$700,0,MATCH($B510,元データ_加工!$C$1:$P$1,0)),元データ_加工!$A$2:$A$700,$A510,元データ_加工!$B$2:$B$700,L$5)</f>
        <v>2332</v>
      </c>
      <c r="M510" s="26">
        <f>SUMIFS(INDEX(元データ_加工!$C$2:$P$700,0,MATCH($B510,元データ_加工!$C$1:$P$1,0)),元データ_加工!$A$2:$A$700,$A510,元データ_加工!$B$2:$B$700,M$5)</f>
        <v>2166</v>
      </c>
      <c r="N510" s="26">
        <f>SUMIFS(INDEX(元データ_加工!$C$2:$P$700,0,MATCH($B510,元データ_加工!$C$1:$P$1,0)),元データ_加工!$A$2:$A$700,$A510,元データ_加工!$B$2:$B$700,N$5)</f>
        <v>1397</v>
      </c>
      <c r="O510" s="26">
        <f t="shared" si="7"/>
        <v>22174</v>
      </c>
      <c r="P510" s="7">
        <f>IFERROR(O510/SUMIFS(元データ_加工!$C$2:$C$700,元データ_加工!$A$2:$A$700,$A510),"")</f>
        <v>1</v>
      </c>
    </row>
    <row r="511" spans="1:16" x14ac:dyDescent="0.45">
      <c r="A511" t="s">
        <v>71</v>
      </c>
      <c r="B511" t="s">
        <v>101</v>
      </c>
      <c r="C511" s="26">
        <f>SUMIFS(INDEX(元データ_加工!$C$2:$P$700,0,MATCH($B511,元データ_加工!$C$1:$P$1,0)),元データ_加工!$A$2:$A$700,$A511,元データ_加工!$B$2:$B$700,C$5)</f>
        <v>932</v>
      </c>
      <c r="D511" s="26">
        <f>SUMIFS(INDEX(元データ_加工!$C$2:$P$700,0,MATCH($B511,元データ_加工!$C$1:$P$1,0)),元データ_加工!$A$2:$A$700,$A511,元データ_加工!$B$2:$B$700,D$5)</f>
        <v>1192</v>
      </c>
      <c r="E511" s="26">
        <f>SUMIFS(INDEX(元データ_加工!$C$2:$P$700,0,MATCH($B511,元データ_加工!$C$1:$P$1,0)),元データ_加工!$A$2:$A$700,$A511,元データ_加工!$B$2:$B$700,E$5)</f>
        <v>1450</v>
      </c>
      <c r="F511" s="26">
        <f>SUMIFS(INDEX(元データ_加工!$C$2:$P$700,0,MATCH($B511,元データ_加工!$C$1:$P$1,0)),元データ_加工!$A$2:$A$700,$A511,元データ_加工!$B$2:$B$700,F$5)</f>
        <v>1284</v>
      </c>
      <c r="G511" s="26">
        <f>SUMIFS(INDEX(元データ_加工!$C$2:$P$700,0,MATCH($B511,元データ_加工!$C$1:$P$1,0)),元データ_加工!$A$2:$A$700,$A511,元データ_加工!$B$2:$B$700,G$5)</f>
        <v>1335</v>
      </c>
      <c r="H511" s="26">
        <f>SUMIFS(INDEX(元データ_加工!$C$2:$P$700,0,MATCH($B511,元データ_加工!$C$1:$P$1,0)),元データ_加工!$A$2:$A$700,$A511,元データ_加工!$B$2:$B$700,H$5)</f>
        <v>1069</v>
      </c>
      <c r="I511" s="26">
        <f>SUMIFS(INDEX(元データ_加工!$C$2:$P$700,0,MATCH($B511,元データ_加工!$C$1:$P$1,0)),元データ_加工!$A$2:$A$700,$A511,元データ_加工!$B$2:$B$700,I$5)</f>
        <v>1066</v>
      </c>
      <c r="J511" s="26">
        <f>SUMIFS(INDEX(元データ_加工!$C$2:$P$700,0,MATCH($B511,元データ_加工!$C$1:$P$1,0)),元データ_加工!$A$2:$A$700,$A511,元データ_加工!$B$2:$B$700,J$5)</f>
        <v>1303</v>
      </c>
      <c r="K511" s="26">
        <f>SUMIFS(INDEX(元データ_加工!$C$2:$P$700,0,MATCH($B511,元データ_加工!$C$1:$P$1,0)),元データ_加工!$A$2:$A$700,$A511,元データ_加工!$B$2:$B$700,K$5)</f>
        <v>1296</v>
      </c>
      <c r="L511" s="26">
        <f>SUMIFS(INDEX(元データ_加工!$C$2:$P$700,0,MATCH($B511,元データ_加工!$C$1:$P$1,0)),元データ_加工!$A$2:$A$700,$A511,元データ_加工!$B$2:$B$700,L$5)</f>
        <v>1086</v>
      </c>
      <c r="M511" s="26">
        <f>SUMIFS(INDEX(元データ_加工!$C$2:$P$700,0,MATCH($B511,元データ_加工!$C$1:$P$1,0)),元データ_加工!$A$2:$A$700,$A511,元データ_加工!$B$2:$B$700,M$5)</f>
        <v>1304</v>
      </c>
      <c r="N511" s="26">
        <f>SUMIFS(INDEX(元データ_加工!$C$2:$P$700,0,MATCH($B511,元データ_加工!$C$1:$P$1,0)),元データ_加工!$A$2:$A$700,$A511,元データ_加工!$B$2:$B$700,N$5)</f>
        <v>1077</v>
      </c>
      <c r="O511" s="26">
        <f t="shared" si="7"/>
        <v>14394</v>
      </c>
      <c r="P511" s="7">
        <f>IFERROR(O511/SUMIFS(元データ_加工!$C$2:$C$700,元データ_加工!$A$2:$A$700,$A511),"")</f>
        <v>0.64913863082889867</v>
      </c>
    </row>
    <row r="512" spans="1:16" x14ac:dyDescent="0.45">
      <c r="A512" t="s">
        <v>71</v>
      </c>
      <c r="B512" t="s">
        <v>102</v>
      </c>
      <c r="C512" s="26">
        <f>SUMIFS(INDEX(元データ_加工!$C$2:$P$700,0,MATCH($B512,元データ_加工!$C$1:$P$1,0)),元データ_加工!$A$2:$A$700,$A512,元データ_加工!$B$2:$B$700,C$5)</f>
        <v>0</v>
      </c>
      <c r="D512" s="26">
        <f>SUMIFS(INDEX(元データ_加工!$C$2:$P$700,0,MATCH($B512,元データ_加工!$C$1:$P$1,0)),元データ_加工!$A$2:$A$700,$A512,元データ_加工!$B$2:$B$700,D$5)</f>
        <v>0</v>
      </c>
      <c r="E512" s="26">
        <f>SUMIFS(INDEX(元データ_加工!$C$2:$P$700,0,MATCH($B512,元データ_加工!$C$1:$P$1,0)),元データ_加工!$A$2:$A$700,$A512,元データ_加工!$B$2:$B$700,E$5)</f>
        <v>0</v>
      </c>
      <c r="F512" s="26">
        <f>SUMIFS(INDEX(元データ_加工!$C$2:$P$700,0,MATCH($B512,元データ_加工!$C$1:$P$1,0)),元データ_加工!$A$2:$A$700,$A512,元データ_加工!$B$2:$B$700,F$5)</f>
        <v>0</v>
      </c>
      <c r="G512" s="26">
        <f>SUMIFS(INDEX(元データ_加工!$C$2:$P$700,0,MATCH($B512,元データ_加工!$C$1:$P$1,0)),元データ_加工!$A$2:$A$700,$A512,元データ_加工!$B$2:$B$700,G$5)</f>
        <v>0</v>
      </c>
      <c r="H512" s="26">
        <f>SUMIFS(INDEX(元データ_加工!$C$2:$P$700,0,MATCH($B512,元データ_加工!$C$1:$P$1,0)),元データ_加工!$A$2:$A$700,$A512,元データ_加工!$B$2:$B$700,H$5)</f>
        <v>0</v>
      </c>
      <c r="I512" s="26">
        <f>SUMIFS(INDEX(元データ_加工!$C$2:$P$700,0,MATCH($B512,元データ_加工!$C$1:$P$1,0)),元データ_加工!$A$2:$A$700,$A512,元データ_加工!$B$2:$B$700,I$5)</f>
        <v>0</v>
      </c>
      <c r="J512" s="26">
        <f>SUMIFS(INDEX(元データ_加工!$C$2:$P$700,0,MATCH($B512,元データ_加工!$C$1:$P$1,0)),元データ_加工!$A$2:$A$700,$A512,元データ_加工!$B$2:$B$700,J$5)</f>
        <v>6</v>
      </c>
      <c r="K512" s="26">
        <f>SUMIFS(INDEX(元データ_加工!$C$2:$P$700,0,MATCH($B512,元データ_加工!$C$1:$P$1,0)),元データ_加工!$A$2:$A$700,$A512,元データ_加工!$B$2:$B$700,K$5)</f>
        <v>0</v>
      </c>
      <c r="L512" s="26">
        <f>SUMIFS(INDEX(元データ_加工!$C$2:$P$700,0,MATCH($B512,元データ_加工!$C$1:$P$1,0)),元データ_加工!$A$2:$A$700,$A512,元データ_加工!$B$2:$B$700,L$5)</f>
        <v>0</v>
      </c>
      <c r="M512" s="26">
        <f>SUMIFS(INDEX(元データ_加工!$C$2:$P$700,0,MATCH($B512,元データ_加工!$C$1:$P$1,0)),元データ_加工!$A$2:$A$700,$A512,元データ_加工!$B$2:$B$700,M$5)</f>
        <v>0</v>
      </c>
      <c r="N512" s="26">
        <f>SUMIFS(INDEX(元データ_加工!$C$2:$P$700,0,MATCH($B512,元データ_加工!$C$1:$P$1,0)),元データ_加工!$A$2:$A$700,$A512,元データ_加工!$B$2:$B$700,N$5)</f>
        <v>0</v>
      </c>
      <c r="O512" s="26">
        <f t="shared" si="7"/>
        <v>6</v>
      </c>
      <c r="P512" s="7">
        <f>IFERROR(O512/SUMIFS(元データ_加工!$C$2:$C$700,元データ_加工!$A$2:$A$700,$A512),"")</f>
        <v>2.7058717416794442E-4</v>
      </c>
    </row>
    <row r="513" spans="1:16" x14ac:dyDescent="0.45">
      <c r="A513" t="s">
        <v>71</v>
      </c>
      <c r="B513" t="s">
        <v>103</v>
      </c>
      <c r="C513" s="26">
        <f>SUMIFS(INDEX(元データ_加工!$C$2:$P$700,0,MATCH($B513,元データ_加工!$C$1:$P$1,0)),元データ_加工!$A$2:$A$700,$A513,元データ_加工!$B$2:$B$700,C$5)</f>
        <v>2</v>
      </c>
      <c r="D513" s="26">
        <f>SUMIFS(INDEX(元データ_加工!$C$2:$P$700,0,MATCH($B513,元データ_加工!$C$1:$P$1,0)),元データ_加工!$A$2:$A$700,$A513,元データ_加工!$B$2:$B$700,D$5)</f>
        <v>0</v>
      </c>
      <c r="E513" s="26">
        <f>SUMIFS(INDEX(元データ_加工!$C$2:$P$700,0,MATCH($B513,元データ_加工!$C$1:$P$1,0)),元データ_加工!$A$2:$A$700,$A513,元データ_加工!$B$2:$B$700,E$5)</f>
        <v>7</v>
      </c>
      <c r="F513" s="26">
        <f>SUMIFS(INDEX(元データ_加工!$C$2:$P$700,0,MATCH($B513,元データ_加工!$C$1:$P$1,0)),元データ_加工!$A$2:$A$700,$A513,元データ_加工!$B$2:$B$700,F$5)</f>
        <v>14</v>
      </c>
      <c r="G513" s="26">
        <f>SUMIFS(INDEX(元データ_加工!$C$2:$P$700,0,MATCH($B513,元データ_加工!$C$1:$P$1,0)),元データ_加工!$A$2:$A$700,$A513,元データ_加工!$B$2:$B$700,G$5)</f>
        <v>13</v>
      </c>
      <c r="H513" s="26">
        <f>SUMIFS(INDEX(元データ_加工!$C$2:$P$700,0,MATCH($B513,元データ_加工!$C$1:$P$1,0)),元データ_加工!$A$2:$A$700,$A513,元データ_加工!$B$2:$B$700,H$5)</f>
        <v>35</v>
      </c>
      <c r="I513" s="26">
        <f>SUMIFS(INDEX(元データ_加工!$C$2:$P$700,0,MATCH($B513,元データ_加工!$C$1:$P$1,0)),元データ_加工!$A$2:$A$700,$A513,元データ_加工!$B$2:$B$700,I$5)</f>
        <v>11</v>
      </c>
      <c r="J513" s="26">
        <f>SUMIFS(INDEX(元データ_加工!$C$2:$P$700,0,MATCH($B513,元データ_加工!$C$1:$P$1,0)),元データ_加工!$A$2:$A$700,$A513,元データ_加工!$B$2:$B$700,J$5)</f>
        <v>11</v>
      </c>
      <c r="K513" s="26">
        <f>SUMIFS(INDEX(元データ_加工!$C$2:$P$700,0,MATCH($B513,元データ_加工!$C$1:$P$1,0)),元データ_加工!$A$2:$A$700,$A513,元データ_加工!$B$2:$B$700,K$5)</f>
        <v>6</v>
      </c>
      <c r="L513" s="26">
        <f>SUMIFS(INDEX(元データ_加工!$C$2:$P$700,0,MATCH($B513,元データ_加工!$C$1:$P$1,0)),元データ_加工!$A$2:$A$700,$A513,元データ_加工!$B$2:$B$700,L$5)</f>
        <v>1</v>
      </c>
      <c r="M513" s="26">
        <f>SUMIFS(INDEX(元データ_加工!$C$2:$P$700,0,MATCH($B513,元データ_加工!$C$1:$P$1,0)),元データ_加工!$A$2:$A$700,$A513,元データ_加工!$B$2:$B$700,M$5)</f>
        <v>0</v>
      </c>
      <c r="N513" s="26">
        <f>SUMIFS(INDEX(元データ_加工!$C$2:$P$700,0,MATCH($B513,元データ_加工!$C$1:$P$1,0)),元データ_加工!$A$2:$A$700,$A513,元データ_加工!$B$2:$B$700,N$5)</f>
        <v>5</v>
      </c>
      <c r="O513" s="26">
        <f t="shared" si="7"/>
        <v>105</v>
      </c>
      <c r="P513" s="7">
        <f>IFERROR(O513/SUMIFS(元データ_加工!$C$2:$C$700,元データ_加工!$A$2:$A$700,$A513),"")</f>
        <v>4.7352755479390281E-3</v>
      </c>
    </row>
    <row r="514" spans="1:16" x14ac:dyDescent="0.45">
      <c r="A514" t="s">
        <v>71</v>
      </c>
      <c r="B514" t="s">
        <v>104</v>
      </c>
      <c r="C514" s="26">
        <f>SUMIFS(INDEX(元データ_加工!$C$2:$P$700,0,MATCH($B514,元データ_加工!$C$1:$P$1,0)),元データ_加工!$A$2:$A$700,$A514,元データ_加工!$B$2:$B$700,C$5)</f>
        <v>15</v>
      </c>
      <c r="D514" s="26">
        <f>SUMIFS(INDEX(元データ_加工!$C$2:$P$700,0,MATCH($B514,元データ_加工!$C$1:$P$1,0)),元データ_加工!$A$2:$A$700,$A514,元データ_加工!$B$2:$B$700,D$5)</f>
        <v>14</v>
      </c>
      <c r="E514" s="26">
        <f>SUMIFS(INDEX(元データ_加工!$C$2:$P$700,0,MATCH($B514,元データ_加工!$C$1:$P$1,0)),元データ_加工!$A$2:$A$700,$A514,元データ_加工!$B$2:$B$700,E$5)</f>
        <v>19</v>
      </c>
      <c r="F514" s="26">
        <f>SUMIFS(INDEX(元データ_加工!$C$2:$P$700,0,MATCH($B514,元データ_加工!$C$1:$P$1,0)),元データ_加工!$A$2:$A$700,$A514,元データ_加工!$B$2:$B$700,F$5)</f>
        <v>19</v>
      </c>
      <c r="G514" s="26">
        <f>SUMIFS(INDEX(元データ_加工!$C$2:$P$700,0,MATCH($B514,元データ_加工!$C$1:$P$1,0)),元データ_加工!$A$2:$A$700,$A514,元データ_加工!$B$2:$B$700,G$5)</f>
        <v>41</v>
      </c>
      <c r="H514" s="26">
        <f>SUMIFS(INDEX(元データ_加工!$C$2:$P$700,0,MATCH($B514,元データ_加工!$C$1:$P$1,0)),元データ_加工!$A$2:$A$700,$A514,元データ_加工!$B$2:$B$700,H$5)</f>
        <v>17</v>
      </c>
      <c r="I514" s="26">
        <f>SUMIFS(INDEX(元データ_加工!$C$2:$P$700,0,MATCH($B514,元データ_加工!$C$1:$P$1,0)),元データ_加工!$A$2:$A$700,$A514,元データ_加工!$B$2:$B$700,I$5)</f>
        <v>14</v>
      </c>
      <c r="J514" s="26">
        <f>SUMIFS(INDEX(元データ_加工!$C$2:$P$700,0,MATCH($B514,元データ_加工!$C$1:$P$1,0)),元データ_加工!$A$2:$A$700,$A514,元データ_加工!$B$2:$B$700,J$5)</f>
        <v>58</v>
      </c>
      <c r="K514" s="26">
        <f>SUMIFS(INDEX(元データ_加工!$C$2:$P$700,0,MATCH($B514,元データ_加工!$C$1:$P$1,0)),元データ_加工!$A$2:$A$700,$A514,元データ_加工!$B$2:$B$700,K$5)</f>
        <v>63</v>
      </c>
      <c r="L514" s="26">
        <f>SUMIFS(INDEX(元データ_加工!$C$2:$P$700,0,MATCH($B514,元データ_加工!$C$1:$P$1,0)),元データ_加工!$A$2:$A$700,$A514,元データ_加工!$B$2:$B$700,L$5)</f>
        <v>50</v>
      </c>
      <c r="M514" s="26">
        <f>SUMIFS(INDEX(元データ_加工!$C$2:$P$700,0,MATCH($B514,元データ_加工!$C$1:$P$1,0)),元データ_加工!$A$2:$A$700,$A514,元データ_加工!$B$2:$B$700,M$5)</f>
        <v>73</v>
      </c>
      <c r="N514" s="26">
        <f>SUMIFS(INDEX(元データ_加工!$C$2:$P$700,0,MATCH($B514,元データ_加工!$C$1:$P$1,0)),元データ_加工!$A$2:$A$700,$A514,元データ_加工!$B$2:$B$700,N$5)</f>
        <v>18</v>
      </c>
      <c r="O514" s="26">
        <f t="shared" si="7"/>
        <v>401</v>
      </c>
      <c r="P514" s="7">
        <f>IFERROR(O514/SUMIFS(元データ_加工!$C$2:$C$700,元データ_加工!$A$2:$A$700,$A514),"")</f>
        <v>1.8084242806890954E-2</v>
      </c>
    </row>
    <row r="515" spans="1:16" x14ac:dyDescent="0.45">
      <c r="A515" t="s">
        <v>71</v>
      </c>
      <c r="B515" t="s">
        <v>105</v>
      </c>
      <c r="C515" s="26">
        <f>SUMIFS(INDEX(元データ_加工!$C$2:$P$700,0,MATCH($B515,元データ_加工!$C$1:$P$1,0)),元データ_加工!$A$2:$A$700,$A515,元データ_加工!$B$2:$B$700,C$5)</f>
        <v>9</v>
      </c>
      <c r="D515" s="26">
        <f>SUMIFS(INDEX(元データ_加工!$C$2:$P$700,0,MATCH($B515,元データ_加工!$C$1:$P$1,0)),元データ_加工!$A$2:$A$700,$A515,元データ_加工!$B$2:$B$700,D$5)</f>
        <v>13</v>
      </c>
      <c r="E515" s="26">
        <f>SUMIFS(INDEX(元データ_加工!$C$2:$P$700,0,MATCH($B515,元データ_加工!$C$1:$P$1,0)),元データ_加工!$A$2:$A$700,$A515,元データ_加工!$B$2:$B$700,E$5)</f>
        <v>12</v>
      </c>
      <c r="F515" s="26">
        <f>SUMIFS(INDEX(元データ_加工!$C$2:$P$700,0,MATCH($B515,元データ_加工!$C$1:$P$1,0)),元データ_加工!$A$2:$A$700,$A515,元データ_加工!$B$2:$B$700,F$5)</f>
        <v>18</v>
      </c>
      <c r="G515" s="26">
        <f>SUMIFS(INDEX(元データ_加工!$C$2:$P$700,0,MATCH($B515,元データ_加工!$C$1:$P$1,0)),元データ_加工!$A$2:$A$700,$A515,元データ_加工!$B$2:$B$700,G$5)</f>
        <v>11</v>
      </c>
      <c r="H515" s="26">
        <f>SUMIFS(INDEX(元データ_加工!$C$2:$P$700,0,MATCH($B515,元データ_加工!$C$1:$P$1,0)),元データ_加工!$A$2:$A$700,$A515,元データ_加工!$B$2:$B$700,H$5)</f>
        <v>12</v>
      </c>
      <c r="I515" s="26">
        <f>SUMIFS(INDEX(元データ_加工!$C$2:$P$700,0,MATCH($B515,元データ_加工!$C$1:$P$1,0)),元データ_加工!$A$2:$A$700,$A515,元データ_加工!$B$2:$B$700,I$5)</f>
        <v>13</v>
      </c>
      <c r="J515" s="26">
        <f>SUMIFS(INDEX(元データ_加工!$C$2:$P$700,0,MATCH($B515,元データ_加工!$C$1:$P$1,0)),元データ_加工!$A$2:$A$700,$A515,元データ_加工!$B$2:$B$700,J$5)</f>
        <v>41</v>
      </c>
      <c r="K515" s="26">
        <f>SUMIFS(INDEX(元データ_加工!$C$2:$P$700,0,MATCH($B515,元データ_加工!$C$1:$P$1,0)),元データ_加工!$A$2:$A$700,$A515,元データ_加工!$B$2:$B$700,K$5)</f>
        <v>53</v>
      </c>
      <c r="L515" s="26">
        <f>SUMIFS(INDEX(元データ_加工!$C$2:$P$700,0,MATCH($B515,元データ_加工!$C$1:$P$1,0)),元データ_加工!$A$2:$A$700,$A515,元データ_加工!$B$2:$B$700,L$5)</f>
        <v>35</v>
      </c>
      <c r="M515" s="26">
        <f>SUMIFS(INDEX(元データ_加工!$C$2:$P$700,0,MATCH($B515,元データ_加工!$C$1:$P$1,0)),元データ_加工!$A$2:$A$700,$A515,元データ_加工!$B$2:$B$700,M$5)</f>
        <v>21</v>
      </c>
      <c r="N515" s="26">
        <f>SUMIFS(INDEX(元データ_加工!$C$2:$P$700,0,MATCH($B515,元データ_加工!$C$1:$P$1,0)),元データ_加工!$A$2:$A$700,$A515,元データ_加工!$B$2:$B$700,N$5)</f>
        <v>10</v>
      </c>
      <c r="O515" s="26">
        <f t="shared" si="7"/>
        <v>248</v>
      </c>
      <c r="P515" s="7">
        <f>IFERROR(O515/SUMIFS(元データ_加工!$C$2:$C$700,元データ_加工!$A$2:$A$700,$A515),"")</f>
        <v>1.118426986560837E-2</v>
      </c>
    </row>
    <row r="516" spans="1:16" x14ac:dyDescent="0.45">
      <c r="A516" t="s">
        <v>71</v>
      </c>
      <c r="B516" t="s">
        <v>106</v>
      </c>
      <c r="C516" s="26">
        <f>SUMIFS(INDEX(元データ_加工!$C$2:$P$700,0,MATCH($B516,元データ_加工!$C$1:$P$1,0)),元データ_加工!$A$2:$A$700,$A516,元データ_加工!$B$2:$B$700,C$5)</f>
        <v>189</v>
      </c>
      <c r="D516" s="26">
        <f>SUMIFS(INDEX(元データ_加工!$C$2:$P$700,0,MATCH($B516,元データ_加工!$C$1:$P$1,0)),元データ_加工!$A$2:$A$700,$A516,元データ_加工!$B$2:$B$700,D$5)</f>
        <v>235</v>
      </c>
      <c r="E516" s="26">
        <f>SUMIFS(INDEX(元データ_加工!$C$2:$P$700,0,MATCH($B516,元データ_加工!$C$1:$P$1,0)),元データ_加工!$A$2:$A$700,$A516,元データ_加工!$B$2:$B$700,E$5)</f>
        <v>240</v>
      </c>
      <c r="F516" s="26">
        <f>SUMIFS(INDEX(元データ_加工!$C$2:$P$700,0,MATCH($B516,元データ_加工!$C$1:$P$1,0)),元データ_加工!$A$2:$A$700,$A516,元データ_加工!$B$2:$B$700,F$5)</f>
        <v>204</v>
      </c>
      <c r="G516" s="26">
        <f>SUMIFS(INDEX(元データ_加工!$C$2:$P$700,0,MATCH($B516,元データ_加工!$C$1:$P$1,0)),元データ_加工!$A$2:$A$700,$A516,元データ_加工!$B$2:$B$700,G$5)</f>
        <v>190</v>
      </c>
      <c r="H516" s="26">
        <f>SUMIFS(INDEX(元データ_加工!$C$2:$P$700,0,MATCH($B516,元データ_加工!$C$1:$P$1,0)),元データ_加工!$A$2:$A$700,$A516,元データ_加工!$B$2:$B$700,H$5)</f>
        <v>102</v>
      </c>
      <c r="I516" s="26">
        <f>SUMIFS(INDEX(元データ_加工!$C$2:$P$700,0,MATCH($B516,元データ_加工!$C$1:$P$1,0)),元データ_加工!$A$2:$A$700,$A516,元データ_加工!$B$2:$B$700,I$5)</f>
        <v>111</v>
      </c>
      <c r="J516" s="26">
        <f>SUMIFS(INDEX(元データ_加工!$C$2:$P$700,0,MATCH($B516,元データ_加工!$C$1:$P$1,0)),元データ_加工!$A$2:$A$700,$A516,元データ_加工!$B$2:$B$700,J$5)</f>
        <v>167</v>
      </c>
      <c r="K516" s="26">
        <f>SUMIFS(INDEX(元データ_加工!$C$2:$P$700,0,MATCH($B516,元データ_加工!$C$1:$P$1,0)),元データ_加工!$A$2:$A$700,$A516,元データ_加工!$B$2:$B$700,K$5)</f>
        <v>345</v>
      </c>
      <c r="L516" s="26">
        <f>SUMIFS(INDEX(元データ_加工!$C$2:$P$700,0,MATCH($B516,元データ_加工!$C$1:$P$1,0)),元データ_加工!$A$2:$A$700,$A516,元データ_加工!$B$2:$B$700,L$5)</f>
        <v>250</v>
      </c>
      <c r="M516" s="26">
        <f>SUMIFS(INDEX(元データ_加工!$C$2:$P$700,0,MATCH($B516,元データ_加工!$C$1:$P$1,0)),元データ_加工!$A$2:$A$700,$A516,元データ_加工!$B$2:$B$700,M$5)</f>
        <v>291</v>
      </c>
      <c r="N516" s="26">
        <f>SUMIFS(INDEX(元データ_加工!$C$2:$P$700,0,MATCH($B516,元データ_加工!$C$1:$P$1,0)),元データ_加工!$A$2:$A$700,$A516,元データ_加工!$B$2:$B$700,N$5)</f>
        <v>256</v>
      </c>
      <c r="O516" s="26">
        <f t="shared" si="7"/>
        <v>2580</v>
      </c>
      <c r="P516" s="7">
        <f>IFERROR(O516/SUMIFS(元データ_加工!$C$2:$C$700,元データ_加工!$A$2:$A$700,$A516),"")</f>
        <v>0.11635248489221611</v>
      </c>
    </row>
    <row r="517" spans="1:16" x14ac:dyDescent="0.45">
      <c r="A517" t="s">
        <v>71</v>
      </c>
      <c r="B517" t="s">
        <v>107</v>
      </c>
      <c r="C517" s="26">
        <f>SUMIFS(INDEX(元データ_加工!$C$2:$P$700,0,MATCH($B517,元データ_加工!$C$1:$P$1,0)),元データ_加工!$A$2:$A$700,$A517,元データ_加工!$B$2:$B$700,C$5)</f>
        <v>27</v>
      </c>
      <c r="D517" s="26">
        <f>SUMIFS(INDEX(元データ_加工!$C$2:$P$700,0,MATCH($B517,元データ_加工!$C$1:$P$1,0)),元データ_加工!$A$2:$A$700,$A517,元データ_加工!$B$2:$B$700,D$5)</f>
        <v>41</v>
      </c>
      <c r="E517" s="26">
        <f>SUMIFS(INDEX(元データ_加工!$C$2:$P$700,0,MATCH($B517,元データ_加工!$C$1:$P$1,0)),元データ_加工!$A$2:$A$700,$A517,元データ_加工!$B$2:$B$700,E$5)</f>
        <v>63</v>
      </c>
      <c r="F517" s="26">
        <f>SUMIFS(INDEX(元データ_加工!$C$2:$P$700,0,MATCH($B517,元データ_加工!$C$1:$P$1,0)),元データ_加工!$A$2:$A$700,$A517,元データ_加工!$B$2:$B$700,F$5)</f>
        <v>27</v>
      </c>
      <c r="G517" s="26">
        <f>SUMIFS(INDEX(元データ_加工!$C$2:$P$700,0,MATCH($B517,元データ_加工!$C$1:$P$1,0)),元データ_加工!$A$2:$A$700,$A517,元データ_加工!$B$2:$B$700,G$5)</f>
        <v>47</v>
      </c>
      <c r="H517" s="26">
        <f>SUMIFS(INDEX(元データ_加工!$C$2:$P$700,0,MATCH($B517,元データ_加工!$C$1:$P$1,0)),元データ_加工!$A$2:$A$700,$A517,元データ_加工!$B$2:$B$700,H$5)</f>
        <v>8</v>
      </c>
      <c r="I517" s="26">
        <f>SUMIFS(INDEX(元データ_加工!$C$2:$P$700,0,MATCH($B517,元データ_加工!$C$1:$P$1,0)),元データ_加工!$A$2:$A$700,$A517,元データ_加工!$B$2:$B$700,I$5)</f>
        <v>3</v>
      </c>
      <c r="J517" s="26">
        <f>SUMIFS(INDEX(元データ_加工!$C$2:$P$700,0,MATCH($B517,元データ_加工!$C$1:$P$1,0)),元データ_加工!$A$2:$A$700,$A517,元データ_加工!$B$2:$B$700,J$5)</f>
        <v>20</v>
      </c>
      <c r="K517" s="26">
        <f>SUMIFS(INDEX(元データ_加工!$C$2:$P$700,0,MATCH($B517,元データ_加工!$C$1:$P$1,0)),元データ_加工!$A$2:$A$700,$A517,元データ_加工!$B$2:$B$700,K$5)</f>
        <v>14</v>
      </c>
      <c r="L517" s="26">
        <f>SUMIFS(INDEX(元データ_加工!$C$2:$P$700,0,MATCH($B517,元データ_加工!$C$1:$P$1,0)),元データ_加工!$A$2:$A$700,$A517,元データ_加工!$B$2:$B$700,L$5)</f>
        <v>14</v>
      </c>
      <c r="M517" s="26">
        <f>SUMIFS(INDEX(元データ_加工!$C$2:$P$700,0,MATCH($B517,元データ_加工!$C$1:$P$1,0)),元データ_加工!$A$2:$A$700,$A517,元データ_加工!$B$2:$B$700,M$5)</f>
        <v>26</v>
      </c>
      <c r="N517" s="26">
        <f>SUMIFS(INDEX(元データ_加工!$C$2:$P$700,0,MATCH($B517,元データ_加工!$C$1:$P$1,0)),元データ_加工!$A$2:$A$700,$A517,元データ_加工!$B$2:$B$700,N$5)</f>
        <v>19</v>
      </c>
      <c r="O517" s="26">
        <f t="shared" si="7"/>
        <v>309</v>
      </c>
      <c r="P517" s="7">
        <f>IFERROR(O517/SUMIFS(元データ_加工!$C$2:$C$700,元データ_加工!$A$2:$A$700,$A517),"")</f>
        <v>1.3935239469649139E-2</v>
      </c>
    </row>
    <row r="518" spans="1:16" x14ac:dyDescent="0.45">
      <c r="A518" t="s">
        <v>71</v>
      </c>
      <c r="B518" t="s">
        <v>108</v>
      </c>
      <c r="C518" s="26">
        <f>SUMIFS(INDEX(元データ_加工!$C$2:$P$700,0,MATCH($B518,元データ_加工!$C$1:$P$1,0)),元データ_加工!$A$2:$A$700,$A518,元データ_加工!$B$2:$B$700,C$5)</f>
        <v>0</v>
      </c>
      <c r="D518" s="26">
        <f>SUMIFS(INDEX(元データ_加工!$C$2:$P$700,0,MATCH($B518,元データ_加工!$C$1:$P$1,0)),元データ_加工!$A$2:$A$700,$A518,元データ_加工!$B$2:$B$700,D$5)</f>
        <v>1</v>
      </c>
      <c r="E518" s="26">
        <f>SUMIFS(INDEX(元データ_加工!$C$2:$P$700,0,MATCH($B518,元データ_加工!$C$1:$P$1,0)),元データ_加工!$A$2:$A$700,$A518,元データ_加工!$B$2:$B$700,E$5)</f>
        <v>15</v>
      </c>
      <c r="F518" s="26">
        <f>SUMIFS(INDEX(元データ_加工!$C$2:$P$700,0,MATCH($B518,元データ_加工!$C$1:$P$1,0)),元データ_加工!$A$2:$A$700,$A518,元データ_加工!$B$2:$B$700,F$5)</f>
        <v>2</v>
      </c>
      <c r="G518" s="26">
        <f>SUMIFS(INDEX(元データ_加工!$C$2:$P$700,0,MATCH($B518,元データ_加工!$C$1:$P$1,0)),元データ_加工!$A$2:$A$700,$A518,元データ_加工!$B$2:$B$700,G$5)</f>
        <v>9</v>
      </c>
      <c r="H518" s="26">
        <f>SUMIFS(INDEX(元データ_加工!$C$2:$P$700,0,MATCH($B518,元データ_加工!$C$1:$P$1,0)),元データ_加工!$A$2:$A$700,$A518,元データ_加工!$B$2:$B$700,H$5)</f>
        <v>2</v>
      </c>
      <c r="I518" s="26">
        <f>SUMIFS(INDEX(元データ_加工!$C$2:$P$700,0,MATCH($B518,元データ_加工!$C$1:$P$1,0)),元データ_加工!$A$2:$A$700,$A518,元データ_加工!$B$2:$B$700,I$5)</f>
        <v>7</v>
      </c>
      <c r="J518" s="26">
        <f>SUMIFS(INDEX(元データ_加工!$C$2:$P$700,0,MATCH($B518,元データ_加工!$C$1:$P$1,0)),元データ_加工!$A$2:$A$700,$A518,元データ_加工!$B$2:$B$700,J$5)</f>
        <v>0</v>
      </c>
      <c r="K518" s="26">
        <f>SUMIFS(INDEX(元データ_加工!$C$2:$P$700,0,MATCH($B518,元データ_加工!$C$1:$P$1,0)),元データ_加工!$A$2:$A$700,$A518,元データ_加工!$B$2:$B$700,K$5)</f>
        <v>7</v>
      </c>
      <c r="L518" s="26">
        <f>SUMIFS(INDEX(元データ_加工!$C$2:$P$700,0,MATCH($B518,元データ_加工!$C$1:$P$1,0)),元データ_加工!$A$2:$A$700,$A518,元データ_加工!$B$2:$B$700,L$5)</f>
        <v>6</v>
      </c>
      <c r="M518" s="26">
        <f>SUMIFS(INDEX(元データ_加工!$C$2:$P$700,0,MATCH($B518,元データ_加工!$C$1:$P$1,0)),元データ_加工!$A$2:$A$700,$A518,元データ_加工!$B$2:$B$700,M$5)</f>
        <v>2</v>
      </c>
      <c r="N518" s="26">
        <f>SUMIFS(INDEX(元データ_加工!$C$2:$P$700,0,MATCH($B518,元データ_加工!$C$1:$P$1,0)),元データ_加工!$A$2:$A$700,$A518,元データ_加工!$B$2:$B$700,N$5)</f>
        <v>2</v>
      </c>
      <c r="O518" s="26">
        <f t="shared" si="7"/>
        <v>53</v>
      </c>
      <c r="P518" s="7">
        <f>IFERROR(O518/SUMIFS(元データ_加工!$C$2:$C$700,元データ_加工!$A$2:$A$700,$A518),"")</f>
        <v>2.390186705150176E-3</v>
      </c>
    </row>
    <row r="519" spans="1:16" x14ac:dyDescent="0.45">
      <c r="A519" t="s">
        <v>71</v>
      </c>
      <c r="B519" t="s">
        <v>109</v>
      </c>
      <c r="C519" s="26">
        <f>SUMIFS(INDEX(元データ_加工!$C$2:$P$700,0,MATCH($B519,元データ_加工!$C$1:$P$1,0)),元データ_加工!$A$2:$A$700,$A519,元データ_加工!$B$2:$B$700,C$5)</f>
        <v>109</v>
      </c>
      <c r="D519" s="26">
        <f>SUMIFS(INDEX(元データ_加工!$C$2:$P$700,0,MATCH($B519,元データ_加工!$C$1:$P$1,0)),元データ_加工!$A$2:$A$700,$A519,元データ_加工!$B$2:$B$700,D$5)</f>
        <v>179</v>
      </c>
      <c r="E519" s="26">
        <f>SUMIFS(INDEX(元データ_加工!$C$2:$P$700,0,MATCH($B519,元データ_加工!$C$1:$P$1,0)),元データ_加工!$A$2:$A$700,$A519,元データ_加工!$B$2:$B$700,E$5)</f>
        <v>217</v>
      </c>
      <c r="F519" s="26">
        <f>SUMIFS(INDEX(元データ_加工!$C$2:$P$700,0,MATCH($B519,元データ_加工!$C$1:$P$1,0)),元データ_加工!$A$2:$A$700,$A519,元データ_加工!$B$2:$B$700,F$5)</f>
        <v>196</v>
      </c>
      <c r="G519" s="26">
        <f>SUMIFS(INDEX(元データ_加工!$C$2:$P$700,0,MATCH($B519,元データ_加工!$C$1:$P$1,0)),元データ_加工!$A$2:$A$700,$A519,元データ_加工!$B$2:$B$700,G$5)</f>
        <v>161</v>
      </c>
      <c r="H519" s="26">
        <f>SUMIFS(INDEX(元データ_加工!$C$2:$P$700,0,MATCH($B519,元データ_加工!$C$1:$P$1,0)),元データ_加工!$A$2:$A$700,$A519,元データ_加工!$B$2:$B$700,H$5)</f>
        <v>161</v>
      </c>
      <c r="I519" s="26">
        <f>SUMIFS(INDEX(元データ_加工!$C$2:$P$700,0,MATCH($B519,元データ_加工!$C$1:$P$1,0)),元データ_加工!$A$2:$A$700,$A519,元データ_加工!$B$2:$B$700,I$5)</f>
        <v>160</v>
      </c>
      <c r="J519" s="26">
        <f>SUMIFS(INDEX(元データ_加工!$C$2:$P$700,0,MATCH($B519,元データ_加工!$C$1:$P$1,0)),元データ_加工!$A$2:$A$700,$A519,元データ_加工!$B$2:$B$700,J$5)</f>
        <v>27</v>
      </c>
      <c r="K519" s="26">
        <f>SUMIFS(INDEX(元データ_加工!$C$2:$P$700,0,MATCH($B519,元データ_加工!$C$1:$P$1,0)),元データ_加工!$A$2:$A$700,$A519,元データ_加工!$B$2:$B$700,K$5)</f>
        <v>158</v>
      </c>
      <c r="L519" s="26">
        <f>SUMIFS(INDEX(元データ_加工!$C$2:$P$700,0,MATCH($B519,元データ_加工!$C$1:$P$1,0)),元データ_加工!$A$2:$A$700,$A519,元データ_加工!$B$2:$B$700,L$5)</f>
        <v>173</v>
      </c>
      <c r="M519" s="26">
        <f>SUMIFS(INDEX(元データ_加工!$C$2:$P$700,0,MATCH($B519,元データ_加工!$C$1:$P$1,0)),元データ_加工!$A$2:$A$700,$A519,元データ_加工!$B$2:$B$700,M$5)</f>
        <v>197</v>
      </c>
      <c r="N519" s="26">
        <f>SUMIFS(INDEX(元データ_加工!$C$2:$P$700,0,MATCH($B519,元データ_加工!$C$1:$P$1,0)),元データ_加工!$A$2:$A$700,$A519,元データ_加工!$B$2:$B$700,N$5)</f>
        <v>132</v>
      </c>
      <c r="O519" s="26">
        <f t="shared" ref="O519:O582" si="8">SUM(C519:N519)</f>
        <v>1870</v>
      </c>
      <c r="P519" s="7">
        <f>IFERROR(O519/SUMIFS(元データ_加工!$C$2:$C$700,元データ_加工!$A$2:$A$700,$A519),"")</f>
        <v>8.4333002615676014E-2</v>
      </c>
    </row>
    <row r="520" spans="1:16" x14ac:dyDescent="0.45">
      <c r="A520" t="s">
        <v>71</v>
      </c>
      <c r="B520" t="s">
        <v>110</v>
      </c>
      <c r="C520" s="26">
        <f>SUMIFS(INDEX(元データ_加工!$C$2:$P$700,0,MATCH($B520,元データ_加工!$C$1:$P$1,0)),元データ_加工!$A$2:$A$700,$A520,元データ_加工!$B$2:$B$700,C$5)</f>
        <v>0</v>
      </c>
      <c r="D520" s="26">
        <f>SUMIFS(INDEX(元データ_加工!$C$2:$P$700,0,MATCH($B520,元データ_加工!$C$1:$P$1,0)),元データ_加工!$A$2:$A$700,$A520,元データ_加工!$B$2:$B$700,D$5)</f>
        <v>0</v>
      </c>
      <c r="E520" s="26">
        <f>SUMIFS(INDEX(元データ_加工!$C$2:$P$700,0,MATCH($B520,元データ_加工!$C$1:$P$1,0)),元データ_加工!$A$2:$A$700,$A520,元データ_加工!$B$2:$B$700,E$5)</f>
        <v>0</v>
      </c>
      <c r="F520" s="26">
        <f>SUMIFS(INDEX(元データ_加工!$C$2:$P$700,0,MATCH($B520,元データ_加工!$C$1:$P$1,0)),元データ_加工!$A$2:$A$700,$A520,元データ_加工!$B$2:$B$700,F$5)</f>
        <v>0</v>
      </c>
      <c r="G520" s="26">
        <f>SUMIFS(INDEX(元データ_加工!$C$2:$P$700,0,MATCH($B520,元データ_加工!$C$1:$P$1,0)),元データ_加工!$A$2:$A$700,$A520,元データ_加工!$B$2:$B$700,G$5)</f>
        <v>0</v>
      </c>
      <c r="H520" s="26">
        <f>SUMIFS(INDEX(元データ_加工!$C$2:$P$700,0,MATCH($B520,元データ_加工!$C$1:$P$1,0)),元データ_加工!$A$2:$A$700,$A520,元データ_加工!$B$2:$B$700,H$5)</f>
        <v>0</v>
      </c>
      <c r="I520" s="26">
        <f>SUMIFS(INDEX(元データ_加工!$C$2:$P$700,0,MATCH($B520,元データ_加工!$C$1:$P$1,0)),元データ_加工!$A$2:$A$700,$A520,元データ_加工!$B$2:$B$700,I$5)</f>
        <v>1</v>
      </c>
      <c r="J520" s="26">
        <f>SUMIFS(INDEX(元データ_加工!$C$2:$P$700,0,MATCH($B520,元データ_加工!$C$1:$P$1,0)),元データ_加工!$A$2:$A$700,$A520,元データ_加工!$B$2:$B$700,J$5)</f>
        <v>0</v>
      </c>
      <c r="K520" s="26">
        <f>SUMIFS(INDEX(元データ_加工!$C$2:$P$700,0,MATCH($B520,元データ_加工!$C$1:$P$1,0)),元データ_加工!$A$2:$A$700,$A520,元データ_加工!$B$2:$B$700,K$5)</f>
        <v>0</v>
      </c>
      <c r="L520" s="26">
        <f>SUMIFS(INDEX(元データ_加工!$C$2:$P$700,0,MATCH($B520,元データ_加工!$C$1:$P$1,0)),元データ_加工!$A$2:$A$700,$A520,元データ_加工!$B$2:$B$700,L$5)</f>
        <v>0</v>
      </c>
      <c r="M520" s="26">
        <f>SUMIFS(INDEX(元データ_加工!$C$2:$P$700,0,MATCH($B520,元データ_加工!$C$1:$P$1,0)),元データ_加工!$A$2:$A$700,$A520,元データ_加工!$B$2:$B$700,M$5)</f>
        <v>0</v>
      </c>
      <c r="N520" s="26">
        <f>SUMIFS(INDEX(元データ_加工!$C$2:$P$700,0,MATCH($B520,元データ_加工!$C$1:$P$1,0)),元データ_加工!$A$2:$A$700,$A520,元データ_加工!$B$2:$B$700,N$5)</f>
        <v>0</v>
      </c>
      <c r="O520" s="26">
        <f t="shared" si="8"/>
        <v>1</v>
      </c>
      <c r="P520" s="7">
        <f>IFERROR(O520/SUMIFS(元データ_加工!$C$2:$C$700,元データ_加工!$A$2:$A$700,$A520),"")</f>
        <v>4.5097862361324072E-5</v>
      </c>
    </row>
    <row r="521" spans="1:16" x14ac:dyDescent="0.45">
      <c r="A521" t="s">
        <v>71</v>
      </c>
      <c r="B521" t="s">
        <v>111</v>
      </c>
      <c r="C521" s="26">
        <f>SUMIFS(INDEX(元データ_加工!$C$2:$P$700,0,MATCH($B521,元データ_加工!$C$1:$P$1,0)),元データ_加工!$A$2:$A$700,$A521,元データ_加工!$B$2:$B$700,C$5)</f>
        <v>0</v>
      </c>
      <c r="D521" s="26">
        <f>SUMIFS(INDEX(元データ_加工!$C$2:$P$700,0,MATCH($B521,元データ_加工!$C$1:$P$1,0)),元データ_加工!$A$2:$A$700,$A521,元データ_加工!$B$2:$B$700,D$5)</f>
        <v>0</v>
      </c>
      <c r="E521" s="26">
        <f>SUMIFS(INDEX(元データ_加工!$C$2:$P$700,0,MATCH($B521,元データ_加工!$C$1:$P$1,0)),元データ_加工!$A$2:$A$700,$A521,元データ_加工!$B$2:$B$700,E$5)</f>
        <v>0</v>
      </c>
      <c r="F521" s="26">
        <f>SUMIFS(INDEX(元データ_加工!$C$2:$P$700,0,MATCH($B521,元データ_加工!$C$1:$P$1,0)),元データ_加工!$A$2:$A$700,$A521,元データ_加工!$B$2:$B$700,F$5)</f>
        <v>0</v>
      </c>
      <c r="G521" s="26">
        <f>SUMIFS(INDEX(元データ_加工!$C$2:$P$700,0,MATCH($B521,元データ_加工!$C$1:$P$1,0)),元データ_加工!$A$2:$A$700,$A521,元データ_加工!$B$2:$B$700,G$5)</f>
        <v>0</v>
      </c>
      <c r="H521" s="26">
        <f>SUMIFS(INDEX(元データ_加工!$C$2:$P$700,0,MATCH($B521,元データ_加工!$C$1:$P$1,0)),元データ_加工!$A$2:$A$700,$A521,元データ_加工!$B$2:$B$700,H$5)</f>
        <v>0</v>
      </c>
      <c r="I521" s="26">
        <f>SUMIFS(INDEX(元データ_加工!$C$2:$P$700,0,MATCH($B521,元データ_加工!$C$1:$P$1,0)),元データ_加工!$A$2:$A$700,$A521,元データ_加工!$B$2:$B$700,I$5)</f>
        <v>0</v>
      </c>
      <c r="J521" s="26">
        <f>SUMIFS(INDEX(元データ_加工!$C$2:$P$700,0,MATCH($B521,元データ_加工!$C$1:$P$1,0)),元データ_加工!$A$2:$A$700,$A521,元データ_加工!$B$2:$B$700,J$5)</f>
        <v>0</v>
      </c>
      <c r="K521" s="26">
        <f>SUMIFS(INDEX(元データ_加工!$C$2:$P$700,0,MATCH($B521,元データ_加工!$C$1:$P$1,0)),元データ_加工!$A$2:$A$700,$A521,元データ_加工!$B$2:$B$700,K$5)</f>
        <v>0</v>
      </c>
      <c r="L521" s="26">
        <f>SUMIFS(INDEX(元データ_加工!$C$2:$P$700,0,MATCH($B521,元データ_加工!$C$1:$P$1,0)),元データ_加工!$A$2:$A$700,$A521,元データ_加工!$B$2:$B$700,L$5)</f>
        <v>2</v>
      </c>
      <c r="M521" s="26">
        <f>SUMIFS(INDEX(元データ_加工!$C$2:$P$700,0,MATCH($B521,元データ_加工!$C$1:$P$1,0)),元データ_加工!$A$2:$A$700,$A521,元データ_加工!$B$2:$B$700,M$5)</f>
        <v>0</v>
      </c>
      <c r="N521" s="26">
        <f>SUMIFS(INDEX(元データ_加工!$C$2:$P$700,0,MATCH($B521,元データ_加工!$C$1:$P$1,0)),元データ_加工!$A$2:$A$700,$A521,元データ_加工!$B$2:$B$700,N$5)</f>
        <v>0</v>
      </c>
      <c r="O521" s="26">
        <f t="shared" si="8"/>
        <v>2</v>
      </c>
      <c r="P521" s="7">
        <f>IFERROR(O521/SUMIFS(元データ_加工!$C$2:$C$700,元データ_加工!$A$2:$A$700,$A521),"")</f>
        <v>9.0195724722648144E-5</v>
      </c>
    </row>
    <row r="522" spans="1:16" x14ac:dyDescent="0.45">
      <c r="A522" t="s">
        <v>71</v>
      </c>
      <c r="B522" t="s">
        <v>112</v>
      </c>
      <c r="C522" s="26">
        <f>SUMIFS(INDEX(元データ_加工!$C$2:$P$700,0,MATCH($B522,元データ_加工!$C$1:$P$1,0)),元データ_加工!$A$2:$A$700,$A522,元データ_加工!$B$2:$B$700,C$5)</f>
        <v>2</v>
      </c>
      <c r="D522" s="26">
        <f>SUMIFS(INDEX(元データ_加工!$C$2:$P$700,0,MATCH($B522,元データ_加工!$C$1:$P$1,0)),元データ_加工!$A$2:$A$700,$A522,元データ_加工!$B$2:$B$700,D$5)</f>
        <v>0</v>
      </c>
      <c r="E522" s="26">
        <f>SUMIFS(INDEX(元データ_加工!$C$2:$P$700,0,MATCH($B522,元データ_加工!$C$1:$P$1,0)),元データ_加工!$A$2:$A$700,$A522,元データ_加工!$B$2:$B$700,E$5)</f>
        <v>3</v>
      </c>
      <c r="F522" s="26">
        <f>SUMIFS(INDEX(元データ_加工!$C$2:$P$700,0,MATCH($B522,元データ_加工!$C$1:$P$1,0)),元データ_加工!$A$2:$A$700,$A522,元データ_加工!$B$2:$B$700,F$5)</f>
        <v>0</v>
      </c>
      <c r="G522" s="26">
        <f>SUMIFS(INDEX(元データ_加工!$C$2:$P$700,0,MATCH($B522,元データ_加工!$C$1:$P$1,0)),元データ_加工!$A$2:$A$700,$A522,元データ_加工!$B$2:$B$700,G$5)</f>
        <v>4</v>
      </c>
      <c r="H522" s="26">
        <f>SUMIFS(INDEX(元データ_加工!$C$2:$P$700,0,MATCH($B522,元データ_加工!$C$1:$P$1,0)),元データ_加工!$A$2:$A$700,$A522,元データ_加工!$B$2:$B$700,H$5)</f>
        <v>1</v>
      </c>
      <c r="I522" s="26">
        <f>SUMIFS(INDEX(元データ_加工!$C$2:$P$700,0,MATCH($B522,元データ_加工!$C$1:$P$1,0)),元データ_加工!$A$2:$A$700,$A522,元データ_加工!$B$2:$B$700,I$5)</f>
        <v>0</v>
      </c>
      <c r="J522" s="26">
        <f>SUMIFS(INDEX(元データ_加工!$C$2:$P$700,0,MATCH($B522,元データ_加工!$C$1:$P$1,0)),元データ_加工!$A$2:$A$700,$A522,元データ_加工!$B$2:$B$700,J$5)</f>
        <v>7</v>
      </c>
      <c r="K522" s="26">
        <f>SUMIFS(INDEX(元データ_加工!$C$2:$P$700,0,MATCH($B522,元データ_加工!$C$1:$P$1,0)),元データ_加工!$A$2:$A$700,$A522,元データ_加工!$B$2:$B$700,K$5)</f>
        <v>6</v>
      </c>
      <c r="L522" s="26">
        <f>SUMIFS(INDEX(元データ_加工!$C$2:$P$700,0,MATCH($B522,元データ_加工!$C$1:$P$1,0)),元データ_加工!$A$2:$A$700,$A522,元データ_加工!$B$2:$B$700,L$5)</f>
        <v>8</v>
      </c>
      <c r="M522" s="26">
        <f>SUMIFS(INDEX(元データ_加工!$C$2:$P$700,0,MATCH($B522,元データ_加工!$C$1:$P$1,0)),元データ_加工!$A$2:$A$700,$A522,元データ_加工!$B$2:$B$700,M$5)</f>
        <v>1</v>
      </c>
      <c r="N522" s="26">
        <f>SUMIFS(INDEX(元データ_加工!$C$2:$P$700,0,MATCH($B522,元データ_加工!$C$1:$P$1,0)),元データ_加工!$A$2:$A$700,$A522,元データ_加工!$B$2:$B$700,N$5)</f>
        <v>0</v>
      </c>
      <c r="O522" s="26">
        <f t="shared" si="8"/>
        <v>32</v>
      </c>
      <c r="P522" s="7">
        <f>IFERROR(O522/SUMIFS(元データ_加工!$C$2:$C$700,元データ_加工!$A$2:$A$700,$A522),"")</f>
        <v>1.4431315955623703E-3</v>
      </c>
    </row>
    <row r="523" spans="1:16" x14ac:dyDescent="0.45">
      <c r="A523" t="s">
        <v>71</v>
      </c>
      <c r="B523" t="s">
        <v>113</v>
      </c>
      <c r="C523" s="26">
        <f>SUMIFS(INDEX(元データ_加工!$C$2:$P$700,0,MATCH($B523,元データ_加工!$C$1:$P$1,0)),元データ_加工!$A$2:$A$700,$A523,元データ_加工!$B$2:$B$700,C$5)</f>
        <v>3</v>
      </c>
      <c r="D523" s="26">
        <f>SUMIFS(INDEX(元データ_加工!$C$2:$P$700,0,MATCH($B523,元データ_加工!$C$1:$P$1,0)),元データ_加工!$A$2:$A$700,$A523,元データ_加工!$B$2:$B$700,D$5)</f>
        <v>0</v>
      </c>
      <c r="E523" s="26">
        <f>SUMIFS(INDEX(元データ_加工!$C$2:$P$700,0,MATCH($B523,元データ_加工!$C$1:$P$1,0)),元データ_加工!$A$2:$A$700,$A523,元データ_加工!$B$2:$B$700,E$5)</f>
        <v>2</v>
      </c>
      <c r="F523" s="26">
        <f>SUMIFS(INDEX(元データ_加工!$C$2:$P$700,0,MATCH($B523,元データ_加工!$C$1:$P$1,0)),元データ_加工!$A$2:$A$700,$A523,元データ_加工!$B$2:$B$700,F$5)</f>
        <v>3</v>
      </c>
      <c r="G523" s="26">
        <f>SUMIFS(INDEX(元データ_加工!$C$2:$P$700,0,MATCH($B523,元データ_加工!$C$1:$P$1,0)),元データ_加工!$A$2:$A$700,$A523,元データ_加工!$B$2:$B$700,G$5)</f>
        <v>4</v>
      </c>
      <c r="H523" s="26">
        <f>SUMIFS(INDEX(元データ_加工!$C$2:$P$700,0,MATCH($B523,元データ_加工!$C$1:$P$1,0)),元データ_加工!$A$2:$A$700,$A523,元データ_加工!$B$2:$B$700,H$5)</f>
        <v>2</v>
      </c>
      <c r="I523" s="26">
        <f>SUMIFS(INDEX(元データ_加工!$C$2:$P$700,0,MATCH($B523,元データ_加工!$C$1:$P$1,0)),元データ_加工!$A$2:$A$700,$A523,元データ_加工!$B$2:$B$700,I$5)</f>
        <v>0</v>
      </c>
      <c r="J523" s="26">
        <f>SUMIFS(INDEX(元データ_加工!$C$2:$P$700,0,MATCH($B523,元データ_加工!$C$1:$P$1,0)),元データ_加工!$A$2:$A$700,$A523,元データ_加工!$B$2:$B$700,J$5)</f>
        <v>2</v>
      </c>
      <c r="K523" s="26">
        <f>SUMIFS(INDEX(元データ_加工!$C$2:$P$700,0,MATCH($B523,元データ_加工!$C$1:$P$1,0)),元データ_加工!$A$2:$A$700,$A523,元データ_加工!$B$2:$B$700,K$5)</f>
        <v>2</v>
      </c>
      <c r="L523" s="26">
        <f>SUMIFS(INDEX(元データ_加工!$C$2:$P$700,0,MATCH($B523,元データ_加工!$C$1:$P$1,0)),元データ_加工!$A$2:$A$700,$A523,元データ_加工!$B$2:$B$700,L$5)</f>
        <v>2</v>
      </c>
      <c r="M523" s="26">
        <f>SUMIFS(INDEX(元データ_加工!$C$2:$P$700,0,MATCH($B523,元データ_加工!$C$1:$P$1,0)),元データ_加工!$A$2:$A$700,$A523,元データ_加工!$B$2:$B$700,M$5)</f>
        <v>4</v>
      </c>
      <c r="N523" s="26">
        <f>SUMIFS(INDEX(元データ_加工!$C$2:$P$700,0,MATCH($B523,元データ_加工!$C$1:$P$1,0)),元データ_加工!$A$2:$A$700,$A523,元データ_加工!$B$2:$B$700,N$5)</f>
        <v>1</v>
      </c>
      <c r="O523" s="26">
        <f t="shared" si="8"/>
        <v>25</v>
      </c>
      <c r="P523" s="7">
        <f>IFERROR(O523/SUMIFS(元データ_加工!$C$2:$C$700,元データ_加工!$A$2:$A$700,$A523),"")</f>
        <v>1.1274465590331018E-3</v>
      </c>
    </row>
    <row r="524" spans="1:16" x14ac:dyDescent="0.45">
      <c r="A524" t="s">
        <v>72</v>
      </c>
      <c r="B524" t="s">
        <v>100</v>
      </c>
      <c r="C524" s="26">
        <f>SUMIFS(INDEX(元データ_加工!$C$2:$P$700,0,MATCH($B524,元データ_加工!$C$1:$P$1,0)),元データ_加工!$A$2:$A$700,$A524,元データ_加工!$B$2:$B$700,C$5)</f>
        <v>1465</v>
      </c>
      <c r="D524" s="26">
        <f>SUMIFS(INDEX(元データ_加工!$C$2:$P$700,0,MATCH($B524,元データ_加工!$C$1:$P$1,0)),元データ_加工!$A$2:$A$700,$A524,元データ_加工!$B$2:$B$700,D$5)</f>
        <v>1293</v>
      </c>
      <c r="E524" s="26">
        <f>SUMIFS(INDEX(元データ_加工!$C$2:$P$700,0,MATCH($B524,元データ_加工!$C$1:$P$1,0)),元データ_加工!$A$2:$A$700,$A524,元データ_加工!$B$2:$B$700,E$5)</f>
        <v>1824</v>
      </c>
      <c r="F524" s="26">
        <f>SUMIFS(INDEX(元データ_加工!$C$2:$P$700,0,MATCH($B524,元データ_加工!$C$1:$P$1,0)),元データ_加工!$A$2:$A$700,$A524,元データ_加工!$B$2:$B$700,F$5)</f>
        <v>1799</v>
      </c>
      <c r="G524" s="26">
        <f>SUMIFS(INDEX(元データ_加工!$C$2:$P$700,0,MATCH($B524,元データ_加工!$C$1:$P$1,0)),元データ_加工!$A$2:$A$700,$A524,元データ_加工!$B$2:$B$700,G$5)</f>
        <v>1786</v>
      </c>
      <c r="H524" s="26">
        <f>SUMIFS(INDEX(元データ_加工!$C$2:$P$700,0,MATCH($B524,元データ_加工!$C$1:$P$1,0)),元データ_加工!$A$2:$A$700,$A524,元データ_加工!$B$2:$B$700,H$5)</f>
        <v>1286</v>
      </c>
      <c r="I524" s="26">
        <f>SUMIFS(INDEX(元データ_加工!$C$2:$P$700,0,MATCH($B524,元データ_加工!$C$1:$P$1,0)),元データ_加工!$A$2:$A$700,$A524,元データ_加工!$B$2:$B$700,I$5)</f>
        <v>1061</v>
      </c>
      <c r="J524" s="26">
        <f>SUMIFS(INDEX(元データ_加工!$C$2:$P$700,0,MATCH($B524,元データ_加工!$C$1:$P$1,0)),元データ_加工!$A$2:$A$700,$A524,元データ_加工!$B$2:$B$700,J$5)</f>
        <v>2027</v>
      </c>
      <c r="K524" s="26">
        <f>SUMIFS(INDEX(元データ_加工!$C$2:$P$700,0,MATCH($B524,元データ_加工!$C$1:$P$1,0)),元データ_加工!$A$2:$A$700,$A524,元データ_加工!$B$2:$B$700,K$5)</f>
        <v>3453</v>
      </c>
      <c r="L524" s="26">
        <f>SUMIFS(INDEX(元データ_加工!$C$2:$P$700,0,MATCH($B524,元データ_加工!$C$1:$P$1,0)),元データ_加工!$A$2:$A$700,$A524,元データ_加工!$B$2:$B$700,L$5)</f>
        <v>2307</v>
      </c>
      <c r="M524" s="26">
        <f>SUMIFS(INDEX(元データ_加工!$C$2:$P$700,0,MATCH($B524,元データ_加工!$C$1:$P$1,0)),元データ_加工!$A$2:$A$700,$A524,元データ_加工!$B$2:$B$700,M$5)</f>
        <v>1923</v>
      </c>
      <c r="N524" s="26">
        <f>SUMIFS(INDEX(元データ_加工!$C$2:$P$700,0,MATCH($B524,元データ_加工!$C$1:$P$1,0)),元データ_加工!$A$2:$A$700,$A524,元データ_加工!$B$2:$B$700,N$5)</f>
        <v>1852</v>
      </c>
      <c r="O524" s="26">
        <f t="shared" si="8"/>
        <v>22076</v>
      </c>
      <c r="P524" s="7">
        <f>IFERROR(O524/SUMIFS(元データ_加工!$C$2:$C$700,元データ_加工!$A$2:$A$700,$A524),"")</f>
        <v>1</v>
      </c>
    </row>
    <row r="525" spans="1:16" x14ac:dyDescent="0.45">
      <c r="A525" t="s">
        <v>72</v>
      </c>
      <c r="B525" t="s">
        <v>101</v>
      </c>
      <c r="C525" s="26">
        <f>SUMIFS(INDEX(元データ_加工!$C$2:$P$700,0,MATCH($B525,元データ_加工!$C$1:$P$1,0)),元データ_加工!$A$2:$A$700,$A525,元データ_加工!$B$2:$B$700,C$5)</f>
        <v>579</v>
      </c>
      <c r="D525" s="26">
        <f>SUMIFS(INDEX(元データ_加工!$C$2:$P$700,0,MATCH($B525,元データ_加工!$C$1:$P$1,0)),元データ_加工!$A$2:$A$700,$A525,元データ_加工!$B$2:$B$700,D$5)</f>
        <v>622</v>
      </c>
      <c r="E525" s="26">
        <f>SUMIFS(INDEX(元データ_加工!$C$2:$P$700,0,MATCH($B525,元データ_加工!$C$1:$P$1,0)),元データ_加工!$A$2:$A$700,$A525,元データ_加工!$B$2:$B$700,E$5)</f>
        <v>749</v>
      </c>
      <c r="F525" s="26">
        <f>SUMIFS(INDEX(元データ_加工!$C$2:$P$700,0,MATCH($B525,元データ_加工!$C$1:$P$1,0)),元データ_加工!$A$2:$A$700,$A525,元データ_加工!$B$2:$B$700,F$5)</f>
        <v>683</v>
      </c>
      <c r="G525" s="26">
        <f>SUMIFS(INDEX(元データ_加工!$C$2:$P$700,0,MATCH($B525,元データ_加工!$C$1:$P$1,0)),元データ_加工!$A$2:$A$700,$A525,元データ_加工!$B$2:$B$700,G$5)</f>
        <v>661</v>
      </c>
      <c r="H525" s="26">
        <f>SUMIFS(INDEX(元データ_加工!$C$2:$P$700,0,MATCH($B525,元データ_加工!$C$1:$P$1,0)),元データ_加工!$A$2:$A$700,$A525,元データ_加工!$B$2:$B$700,H$5)</f>
        <v>569</v>
      </c>
      <c r="I525" s="26">
        <f>SUMIFS(INDEX(元データ_加工!$C$2:$P$700,0,MATCH($B525,元データ_加工!$C$1:$P$1,0)),元データ_加工!$A$2:$A$700,$A525,元データ_加工!$B$2:$B$700,I$5)</f>
        <v>518</v>
      </c>
      <c r="J525" s="26">
        <f>SUMIFS(INDEX(元データ_加工!$C$2:$P$700,0,MATCH($B525,元データ_加工!$C$1:$P$1,0)),元データ_加工!$A$2:$A$700,$A525,元データ_加工!$B$2:$B$700,J$5)</f>
        <v>646</v>
      </c>
      <c r="K525" s="26">
        <f>SUMIFS(INDEX(元データ_加工!$C$2:$P$700,0,MATCH($B525,元データ_加工!$C$1:$P$1,0)),元データ_加工!$A$2:$A$700,$A525,元データ_加工!$B$2:$B$700,K$5)</f>
        <v>754</v>
      </c>
      <c r="L525" s="26">
        <f>SUMIFS(INDEX(元データ_加工!$C$2:$P$700,0,MATCH($B525,元データ_加工!$C$1:$P$1,0)),元データ_加工!$A$2:$A$700,$A525,元データ_加工!$B$2:$B$700,L$5)</f>
        <v>660</v>
      </c>
      <c r="M525" s="26">
        <f>SUMIFS(INDEX(元データ_加工!$C$2:$P$700,0,MATCH($B525,元データ_加工!$C$1:$P$1,0)),元データ_加工!$A$2:$A$700,$A525,元データ_加工!$B$2:$B$700,M$5)</f>
        <v>681</v>
      </c>
      <c r="N525" s="26">
        <f>SUMIFS(INDEX(元データ_加工!$C$2:$P$700,0,MATCH($B525,元データ_加工!$C$1:$P$1,0)),元データ_加工!$A$2:$A$700,$A525,元データ_加工!$B$2:$B$700,N$5)</f>
        <v>711</v>
      </c>
      <c r="O525" s="26">
        <f t="shared" si="8"/>
        <v>7833</v>
      </c>
      <c r="P525" s="7">
        <f>IFERROR(O525/SUMIFS(元データ_加工!$C$2:$C$700,元データ_加工!$A$2:$A$700,$A525),"")</f>
        <v>0.35481971371625293</v>
      </c>
    </row>
    <row r="526" spans="1:16" x14ac:dyDescent="0.45">
      <c r="A526" t="s">
        <v>72</v>
      </c>
      <c r="B526" t="s">
        <v>102</v>
      </c>
      <c r="C526" s="26">
        <f>SUMIFS(INDEX(元データ_加工!$C$2:$P$700,0,MATCH($B526,元データ_加工!$C$1:$P$1,0)),元データ_加工!$A$2:$A$700,$A526,元データ_加工!$B$2:$B$700,C$5)</f>
        <v>0</v>
      </c>
      <c r="D526" s="26">
        <f>SUMIFS(INDEX(元データ_加工!$C$2:$P$700,0,MATCH($B526,元データ_加工!$C$1:$P$1,0)),元データ_加工!$A$2:$A$700,$A526,元データ_加工!$B$2:$B$700,D$5)</f>
        <v>0</v>
      </c>
      <c r="E526" s="26">
        <f>SUMIFS(INDEX(元データ_加工!$C$2:$P$700,0,MATCH($B526,元データ_加工!$C$1:$P$1,0)),元データ_加工!$A$2:$A$700,$A526,元データ_加工!$B$2:$B$700,E$5)</f>
        <v>0</v>
      </c>
      <c r="F526" s="26">
        <f>SUMIFS(INDEX(元データ_加工!$C$2:$P$700,0,MATCH($B526,元データ_加工!$C$1:$P$1,0)),元データ_加工!$A$2:$A$700,$A526,元データ_加工!$B$2:$B$700,F$5)</f>
        <v>0</v>
      </c>
      <c r="G526" s="26">
        <f>SUMIFS(INDEX(元データ_加工!$C$2:$P$700,0,MATCH($B526,元データ_加工!$C$1:$P$1,0)),元データ_加工!$A$2:$A$700,$A526,元データ_加工!$B$2:$B$700,G$5)</f>
        <v>0</v>
      </c>
      <c r="H526" s="26">
        <f>SUMIFS(INDEX(元データ_加工!$C$2:$P$700,0,MATCH($B526,元データ_加工!$C$1:$P$1,0)),元データ_加工!$A$2:$A$700,$A526,元データ_加工!$B$2:$B$700,H$5)</f>
        <v>0</v>
      </c>
      <c r="I526" s="26">
        <f>SUMIFS(INDEX(元データ_加工!$C$2:$P$700,0,MATCH($B526,元データ_加工!$C$1:$P$1,0)),元データ_加工!$A$2:$A$700,$A526,元データ_加工!$B$2:$B$700,I$5)</f>
        <v>0</v>
      </c>
      <c r="J526" s="26">
        <f>SUMIFS(INDEX(元データ_加工!$C$2:$P$700,0,MATCH($B526,元データ_加工!$C$1:$P$1,0)),元データ_加工!$A$2:$A$700,$A526,元データ_加工!$B$2:$B$700,J$5)</f>
        <v>0</v>
      </c>
      <c r="K526" s="26">
        <f>SUMIFS(INDEX(元データ_加工!$C$2:$P$700,0,MATCH($B526,元データ_加工!$C$1:$P$1,0)),元データ_加工!$A$2:$A$700,$A526,元データ_加工!$B$2:$B$700,K$5)</f>
        <v>1</v>
      </c>
      <c r="L526" s="26">
        <f>SUMIFS(INDEX(元データ_加工!$C$2:$P$700,0,MATCH($B526,元データ_加工!$C$1:$P$1,0)),元データ_加工!$A$2:$A$700,$A526,元データ_加工!$B$2:$B$700,L$5)</f>
        <v>0</v>
      </c>
      <c r="M526" s="26">
        <f>SUMIFS(INDEX(元データ_加工!$C$2:$P$700,0,MATCH($B526,元データ_加工!$C$1:$P$1,0)),元データ_加工!$A$2:$A$700,$A526,元データ_加工!$B$2:$B$700,M$5)</f>
        <v>0</v>
      </c>
      <c r="N526" s="26">
        <f>SUMIFS(INDEX(元データ_加工!$C$2:$P$700,0,MATCH($B526,元データ_加工!$C$1:$P$1,0)),元データ_加工!$A$2:$A$700,$A526,元データ_加工!$B$2:$B$700,N$5)</f>
        <v>0</v>
      </c>
      <c r="O526" s="26">
        <f t="shared" si="8"/>
        <v>1</v>
      </c>
      <c r="P526" s="7">
        <f>IFERROR(O526/SUMIFS(元データ_加工!$C$2:$C$700,元データ_加工!$A$2:$A$700,$A526),"")</f>
        <v>4.52980612429788E-5</v>
      </c>
    </row>
    <row r="527" spans="1:16" x14ac:dyDescent="0.45">
      <c r="A527" t="s">
        <v>72</v>
      </c>
      <c r="B527" t="s">
        <v>103</v>
      </c>
      <c r="C527" s="26">
        <f>SUMIFS(INDEX(元データ_加工!$C$2:$P$700,0,MATCH($B527,元データ_加工!$C$1:$P$1,0)),元データ_加工!$A$2:$A$700,$A527,元データ_加工!$B$2:$B$700,C$5)</f>
        <v>0</v>
      </c>
      <c r="D527" s="26">
        <f>SUMIFS(INDEX(元データ_加工!$C$2:$P$700,0,MATCH($B527,元データ_加工!$C$1:$P$1,0)),元データ_加工!$A$2:$A$700,$A527,元データ_加工!$B$2:$B$700,D$5)</f>
        <v>1</v>
      </c>
      <c r="E527" s="26">
        <f>SUMIFS(INDEX(元データ_加工!$C$2:$P$700,0,MATCH($B527,元データ_加工!$C$1:$P$1,0)),元データ_加工!$A$2:$A$700,$A527,元データ_加工!$B$2:$B$700,E$5)</f>
        <v>13</v>
      </c>
      <c r="F527" s="26">
        <f>SUMIFS(INDEX(元データ_加工!$C$2:$P$700,0,MATCH($B527,元データ_加工!$C$1:$P$1,0)),元データ_加工!$A$2:$A$700,$A527,元データ_加工!$B$2:$B$700,F$5)</f>
        <v>45</v>
      </c>
      <c r="G527" s="26">
        <f>SUMIFS(INDEX(元データ_加工!$C$2:$P$700,0,MATCH($B527,元データ_加工!$C$1:$P$1,0)),元データ_加工!$A$2:$A$700,$A527,元データ_加工!$B$2:$B$700,G$5)</f>
        <v>36</v>
      </c>
      <c r="H527" s="26">
        <f>SUMIFS(INDEX(元データ_加工!$C$2:$P$700,0,MATCH($B527,元データ_加工!$C$1:$P$1,0)),元データ_加工!$A$2:$A$700,$A527,元データ_加工!$B$2:$B$700,H$5)</f>
        <v>23</v>
      </c>
      <c r="I527" s="26">
        <f>SUMIFS(INDEX(元データ_加工!$C$2:$P$700,0,MATCH($B527,元データ_加工!$C$1:$P$1,0)),元データ_加工!$A$2:$A$700,$A527,元データ_加工!$B$2:$B$700,I$5)</f>
        <v>20</v>
      </c>
      <c r="J527" s="26">
        <f>SUMIFS(INDEX(元データ_加工!$C$2:$P$700,0,MATCH($B527,元データ_加工!$C$1:$P$1,0)),元データ_加工!$A$2:$A$700,$A527,元データ_加工!$B$2:$B$700,J$5)</f>
        <v>4</v>
      </c>
      <c r="K527" s="26">
        <f>SUMIFS(INDEX(元データ_加工!$C$2:$P$700,0,MATCH($B527,元データ_加工!$C$1:$P$1,0)),元データ_加工!$A$2:$A$700,$A527,元データ_加工!$B$2:$B$700,K$5)</f>
        <v>2</v>
      </c>
      <c r="L527" s="26">
        <f>SUMIFS(INDEX(元データ_加工!$C$2:$P$700,0,MATCH($B527,元データ_加工!$C$1:$P$1,0)),元データ_加工!$A$2:$A$700,$A527,元データ_加工!$B$2:$B$700,L$5)</f>
        <v>0</v>
      </c>
      <c r="M527" s="26">
        <f>SUMIFS(INDEX(元データ_加工!$C$2:$P$700,0,MATCH($B527,元データ_加工!$C$1:$P$1,0)),元データ_加工!$A$2:$A$700,$A527,元データ_加工!$B$2:$B$700,M$5)</f>
        <v>0</v>
      </c>
      <c r="N527" s="26">
        <f>SUMIFS(INDEX(元データ_加工!$C$2:$P$700,0,MATCH($B527,元データ_加工!$C$1:$P$1,0)),元データ_加工!$A$2:$A$700,$A527,元データ_加工!$B$2:$B$700,N$5)</f>
        <v>0</v>
      </c>
      <c r="O527" s="26">
        <f t="shared" si="8"/>
        <v>144</v>
      </c>
      <c r="P527" s="7">
        <f>IFERROR(O527/SUMIFS(元データ_加工!$C$2:$C$700,元データ_加工!$A$2:$A$700,$A527),"")</f>
        <v>6.5229208189889476E-3</v>
      </c>
    </row>
    <row r="528" spans="1:16" x14ac:dyDescent="0.45">
      <c r="A528" t="s">
        <v>72</v>
      </c>
      <c r="B528" t="s">
        <v>104</v>
      </c>
      <c r="C528" s="26">
        <f>SUMIFS(INDEX(元データ_加工!$C$2:$P$700,0,MATCH($B528,元データ_加工!$C$1:$P$1,0)),元データ_加工!$A$2:$A$700,$A528,元データ_加工!$B$2:$B$700,C$5)</f>
        <v>65</v>
      </c>
      <c r="D528" s="26">
        <f>SUMIFS(INDEX(元データ_加工!$C$2:$P$700,0,MATCH($B528,元データ_加工!$C$1:$P$1,0)),元データ_加工!$A$2:$A$700,$A528,元データ_加工!$B$2:$B$700,D$5)</f>
        <v>46</v>
      </c>
      <c r="E528" s="26">
        <f>SUMIFS(INDEX(元データ_加工!$C$2:$P$700,0,MATCH($B528,元データ_加工!$C$1:$P$1,0)),元データ_加工!$A$2:$A$700,$A528,元データ_加工!$B$2:$B$700,E$5)</f>
        <v>59</v>
      </c>
      <c r="F528" s="26">
        <f>SUMIFS(INDEX(元データ_加工!$C$2:$P$700,0,MATCH($B528,元データ_加工!$C$1:$P$1,0)),元データ_加工!$A$2:$A$700,$A528,元データ_加工!$B$2:$B$700,F$5)</f>
        <v>48</v>
      </c>
      <c r="G528" s="26">
        <f>SUMIFS(INDEX(元データ_加工!$C$2:$P$700,0,MATCH($B528,元データ_加工!$C$1:$P$1,0)),元データ_加工!$A$2:$A$700,$A528,元データ_加工!$B$2:$B$700,G$5)</f>
        <v>115</v>
      </c>
      <c r="H528" s="26">
        <f>SUMIFS(INDEX(元データ_加工!$C$2:$P$700,0,MATCH($B528,元データ_加工!$C$1:$P$1,0)),元データ_加工!$A$2:$A$700,$A528,元データ_加工!$B$2:$B$700,H$5)</f>
        <v>53</v>
      </c>
      <c r="I528" s="26">
        <f>SUMIFS(INDEX(元データ_加工!$C$2:$P$700,0,MATCH($B528,元データ_加工!$C$1:$P$1,0)),元データ_加工!$A$2:$A$700,$A528,元データ_加工!$B$2:$B$700,I$5)</f>
        <v>28</v>
      </c>
      <c r="J528" s="26">
        <f>SUMIFS(INDEX(元データ_加工!$C$2:$P$700,0,MATCH($B528,元データ_加工!$C$1:$P$1,0)),元データ_加工!$A$2:$A$700,$A528,元データ_加工!$B$2:$B$700,J$5)</f>
        <v>217</v>
      </c>
      <c r="K528" s="26">
        <f>SUMIFS(INDEX(元データ_加工!$C$2:$P$700,0,MATCH($B528,元データ_加工!$C$1:$P$1,0)),元データ_加工!$A$2:$A$700,$A528,元データ_加工!$B$2:$B$700,K$5)</f>
        <v>133</v>
      </c>
      <c r="L528" s="26">
        <f>SUMIFS(INDEX(元データ_加工!$C$2:$P$700,0,MATCH($B528,元データ_加工!$C$1:$P$1,0)),元データ_加工!$A$2:$A$700,$A528,元データ_加工!$B$2:$B$700,L$5)</f>
        <v>113</v>
      </c>
      <c r="M528" s="26">
        <f>SUMIFS(INDEX(元データ_加工!$C$2:$P$700,0,MATCH($B528,元データ_加工!$C$1:$P$1,0)),元データ_加工!$A$2:$A$700,$A528,元データ_加工!$B$2:$B$700,M$5)</f>
        <v>162</v>
      </c>
      <c r="N528" s="26">
        <f>SUMIFS(INDEX(元データ_加工!$C$2:$P$700,0,MATCH($B528,元データ_加工!$C$1:$P$1,0)),元データ_加工!$A$2:$A$700,$A528,元データ_加工!$B$2:$B$700,N$5)</f>
        <v>103</v>
      </c>
      <c r="O528" s="26">
        <f t="shared" si="8"/>
        <v>1142</v>
      </c>
      <c r="P528" s="7">
        <f>IFERROR(O528/SUMIFS(元データ_加工!$C$2:$C$700,元データ_加工!$A$2:$A$700,$A528),"")</f>
        <v>5.1730385939481788E-2</v>
      </c>
    </row>
    <row r="529" spans="1:16" x14ac:dyDescent="0.45">
      <c r="A529" t="s">
        <v>72</v>
      </c>
      <c r="B529" t="s">
        <v>105</v>
      </c>
      <c r="C529" s="26">
        <f>SUMIFS(INDEX(元データ_加工!$C$2:$P$700,0,MATCH($B529,元データ_加工!$C$1:$P$1,0)),元データ_加工!$A$2:$A$700,$A529,元データ_加工!$B$2:$B$700,C$5)</f>
        <v>4</v>
      </c>
      <c r="D529" s="26">
        <f>SUMIFS(INDEX(元データ_加工!$C$2:$P$700,0,MATCH($B529,元データ_加工!$C$1:$P$1,0)),元データ_加工!$A$2:$A$700,$A529,元データ_加工!$B$2:$B$700,D$5)</f>
        <v>0</v>
      </c>
      <c r="E529" s="26">
        <f>SUMIFS(INDEX(元データ_加工!$C$2:$P$700,0,MATCH($B529,元データ_加工!$C$1:$P$1,0)),元データ_加工!$A$2:$A$700,$A529,元データ_加工!$B$2:$B$700,E$5)</f>
        <v>15</v>
      </c>
      <c r="F529" s="26">
        <f>SUMIFS(INDEX(元データ_加工!$C$2:$P$700,0,MATCH($B529,元データ_加工!$C$1:$P$1,0)),元データ_加工!$A$2:$A$700,$A529,元データ_加工!$B$2:$B$700,F$5)</f>
        <v>0</v>
      </c>
      <c r="G529" s="26">
        <f>SUMIFS(INDEX(元データ_加工!$C$2:$P$700,0,MATCH($B529,元データ_加工!$C$1:$P$1,0)),元データ_加工!$A$2:$A$700,$A529,元データ_加工!$B$2:$B$700,G$5)</f>
        <v>7</v>
      </c>
      <c r="H529" s="26">
        <f>SUMIFS(INDEX(元データ_加工!$C$2:$P$700,0,MATCH($B529,元データ_加工!$C$1:$P$1,0)),元データ_加工!$A$2:$A$700,$A529,元データ_加工!$B$2:$B$700,H$5)</f>
        <v>11</v>
      </c>
      <c r="I529" s="26">
        <f>SUMIFS(INDEX(元データ_加工!$C$2:$P$700,0,MATCH($B529,元データ_加工!$C$1:$P$1,0)),元データ_加工!$A$2:$A$700,$A529,元データ_加工!$B$2:$B$700,I$5)</f>
        <v>1</v>
      </c>
      <c r="J529" s="26">
        <f>SUMIFS(INDEX(元データ_加工!$C$2:$P$700,0,MATCH($B529,元データ_加工!$C$1:$P$1,0)),元データ_加工!$A$2:$A$700,$A529,元データ_加工!$B$2:$B$700,J$5)</f>
        <v>196</v>
      </c>
      <c r="K529" s="26">
        <f>SUMIFS(INDEX(元データ_加工!$C$2:$P$700,0,MATCH($B529,元データ_加工!$C$1:$P$1,0)),元データ_加工!$A$2:$A$700,$A529,元データ_加工!$B$2:$B$700,K$5)</f>
        <v>302</v>
      </c>
      <c r="L529" s="26">
        <f>SUMIFS(INDEX(元データ_加工!$C$2:$P$700,0,MATCH($B529,元データ_加工!$C$1:$P$1,0)),元データ_加工!$A$2:$A$700,$A529,元データ_加工!$B$2:$B$700,L$5)</f>
        <v>144</v>
      </c>
      <c r="M529" s="26">
        <f>SUMIFS(INDEX(元データ_加工!$C$2:$P$700,0,MATCH($B529,元データ_加工!$C$1:$P$1,0)),元データ_加工!$A$2:$A$700,$A529,元データ_加工!$B$2:$B$700,M$5)</f>
        <v>111</v>
      </c>
      <c r="N529" s="26">
        <f>SUMIFS(INDEX(元データ_加工!$C$2:$P$700,0,MATCH($B529,元データ_加工!$C$1:$P$1,0)),元データ_加工!$A$2:$A$700,$A529,元データ_加工!$B$2:$B$700,N$5)</f>
        <v>62</v>
      </c>
      <c r="O529" s="26">
        <f t="shared" si="8"/>
        <v>853</v>
      </c>
      <c r="P529" s="7">
        <f>IFERROR(O529/SUMIFS(元データ_加工!$C$2:$C$700,元データ_加工!$A$2:$A$700,$A529),"")</f>
        <v>3.8639246240260917E-2</v>
      </c>
    </row>
    <row r="530" spans="1:16" x14ac:dyDescent="0.45">
      <c r="A530" t="s">
        <v>72</v>
      </c>
      <c r="B530" t="s">
        <v>106</v>
      </c>
      <c r="C530" s="26">
        <f>SUMIFS(INDEX(元データ_加工!$C$2:$P$700,0,MATCH($B530,元データ_加工!$C$1:$P$1,0)),元データ_加工!$A$2:$A$700,$A530,元データ_加工!$B$2:$B$700,C$5)</f>
        <v>481</v>
      </c>
      <c r="D530" s="26">
        <f>SUMIFS(INDEX(元データ_加工!$C$2:$P$700,0,MATCH($B530,元データ_加工!$C$1:$P$1,0)),元データ_加工!$A$2:$A$700,$A530,元データ_加工!$B$2:$B$700,D$5)</f>
        <v>385</v>
      </c>
      <c r="E530" s="26">
        <f>SUMIFS(INDEX(元データ_加工!$C$2:$P$700,0,MATCH($B530,元データ_加工!$C$1:$P$1,0)),元データ_加工!$A$2:$A$700,$A530,元データ_加工!$B$2:$B$700,E$5)</f>
        <v>470</v>
      </c>
      <c r="F530" s="26">
        <f>SUMIFS(INDEX(元データ_加工!$C$2:$P$700,0,MATCH($B530,元データ_加工!$C$1:$P$1,0)),元データ_加工!$A$2:$A$700,$A530,元データ_加工!$B$2:$B$700,F$5)</f>
        <v>502</v>
      </c>
      <c r="G530" s="26">
        <f>SUMIFS(INDEX(元データ_加工!$C$2:$P$700,0,MATCH($B530,元データ_加工!$C$1:$P$1,0)),元データ_加工!$A$2:$A$700,$A530,元データ_加工!$B$2:$B$700,G$5)</f>
        <v>500</v>
      </c>
      <c r="H530" s="26">
        <f>SUMIFS(INDEX(元データ_加工!$C$2:$P$700,0,MATCH($B530,元データ_加工!$C$1:$P$1,0)),元データ_加工!$A$2:$A$700,$A530,元データ_加工!$B$2:$B$700,H$5)</f>
        <v>402</v>
      </c>
      <c r="I530" s="26">
        <f>SUMIFS(INDEX(元データ_加工!$C$2:$P$700,0,MATCH($B530,元データ_加工!$C$1:$P$1,0)),元データ_加工!$A$2:$A$700,$A530,元データ_加工!$B$2:$B$700,I$5)</f>
        <v>303</v>
      </c>
      <c r="J530" s="26">
        <f>SUMIFS(INDEX(元データ_加工!$C$2:$P$700,0,MATCH($B530,元データ_加工!$C$1:$P$1,0)),元データ_加工!$A$2:$A$700,$A530,元データ_加工!$B$2:$B$700,J$5)</f>
        <v>380</v>
      </c>
      <c r="K530" s="26">
        <f>SUMIFS(INDEX(元データ_加工!$C$2:$P$700,0,MATCH($B530,元データ_加工!$C$1:$P$1,0)),元データ_加工!$A$2:$A$700,$A530,元データ_加工!$B$2:$B$700,K$5)</f>
        <v>583</v>
      </c>
      <c r="L530" s="26">
        <f>SUMIFS(INDEX(元データ_加工!$C$2:$P$700,0,MATCH($B530,元データ_加工!$C$1:$P$1,0)),元データ_加工!$A$2:$A$700,$A530,元データ_加工!$B$2:$B$700,L$5)</f>
        <v>407</v>
      </c>
      <c r="M530" s="26">
        <f>SUMIFS(INDEX(元データ_加工!$C$2:$P$700,0,MATCH($B530,元データ_加工!$C$1:$P$1,0)),元データ_加工!$A$2:$A$700,$A530,元データ_加工!$B$2:$B$700,M$5)</f>
        <v>417</v>
      </c>
      <c r="N530" s="26">
        <f>SUMIFS(INDEX(元データ_加工!$C$2:$P$700,0,MATCH($B530,元データ_加工!$C$1:$P$1,0)),元データ_加工!$A$2:$A$700,$A530,元データ_加工!$B$2:$B$700,N$5)</f>
        <v>507</v>
      </c>
      <c r="O530" s="26">
        <f t="shared" si="8"/>
        <v>5337</v>
      </c>
      <c r="P530" s="7">
        <f>IFERROR(O530/SUMIFS(元データ_加工!$C$2:$C$700,元データ_加工!$A$2:$A$700,$A530),"")</f>
        <v>0.24175575285377787</v>
      </c>
    </row>
    <row r="531" spans="1:16" x14ac:dyDescent="0.45">
      <c r="A531" t="s">
        <v>72</v>
      </c>
      <c r="B531" t="s">
        <v>107</v>
      </c>
      <c r="C531" s="26">
        <f>SUMIFS(INDEX(元データ_加工!$C$2:$P$700,0,MATCH($B531,元データ_加工!$C$1:$P$1,0)),元データ_加工!$A$2:$A$700,$A531,元データ_加工!$B$2:$B$700,C$5)</f>
        <v>2</v>
      </c>
      <c r="D531" s="26">
        <f>SUMIFS(INDEX(元データ_加工!$C$2:$P$700,0,MATCH($B531,元データ_加工!$C$1:$P$1,0)),元データ_加工!$A$2:$A$700,$A531,元データ_加工!$B$2:$B$700,D$5)</f>
        <v>0</v>
      </c>
      <c r="E531" s="26">
        <f>SUMIFS(INDEX(元データ_加工!$C$2:$P$700,0,MATCH($B531,元データ_加工!$C$1:$P$1,0)),元データ_加工!$A$2:$A$700,$A531,元データ_加工!$B$2:$B$700,E$5)</f>
        <v>2</v>
      </c>
      <c r="F531" s="26">
        <f>SUMIFS(INDEX(元データ_加工!$C$2:$P$700,0,MATCH($B531,元データ_加工!$C$1:$P$1,0)),元データ_加工!$A$2:$A$700,$A531,元データ_加工!$B$2:$B$700,F$5)</f>
        <v>5</v>
      </c>
      <c r="G531" s="26">
        <f>SUMIFS(INDEX(元データ_加工!$C$2:$P$700,0,MATCH($B531,元データ_加工!$C$1:$P$1,0)),元データ_加工!$A$2:$A$700,$A531,元データ_加工!$B$2:$B$700,G$5)</f>
        <v>0</v>
      </c>
      <c r="H531" s="26">
        <f>SUMIFS(INDEX(元データ_加工!$C$2:$P$700,0,MATCH($B531,元データ_加工!$C$1:$P$1,0)),元データ_加工!$A$2:$A$700,$A531,元データ_加工!$B$2:$B$700,H$5)</f>
        <v>0</v>
      </c>
      <c r="I531" s="26">
        <f>SUMIFS(INDEX(元データ_加工!$C$2:$P$700,0,MATCH($B531,元データ_加工!$C$1:$P$1,0)),元データ_加工!$A$2:$A$700,$A531,元データ_加工!$B$2:$B$700,I$5)</f>
        <v>0</v>
      </c>
      <c r="J531" s="26">
        <f>SUMIFS(INDEX(元データ_加工!$C$2:$P$700,0,MATCH($B531,元データ_加工!$C$1:$P$1,0)),元データ_加工!$A$2:$A$700,$A531,元データ_加工!$B$2:$B$700,J$5)</f>
        <v>0</v>
      </c>
      <c r="K531" s="26">
        <f>SUMIFS(INDEX(元データ_加工!$C$2:$P$700,0,MATCH($B531,元データ_加工!$C$1:$P$1,0)),元データ_加工!$A$2:$A$700,$A531,元データ_加工!$B$2:$B$700,K$5)</f>
        <v>0</v>
      </c>
      <c r="L531" s="26">
        <f>SUMIFS(INDEX(元データ_加工!$C$2:$P$700,0,MATCH($B531,元データ_加工!$C$1:$P$1,0)),元データ_加工!$A$2:$A$700,$A531,元データ_加工!$B$2:$B$700,L$5)</f>
        <v>0</v>
      </c>
      <c r="M531" s="26">
        <f>SUMIFS(INDEX(元データ_加工!$C$2:$P$700,0,MATCH($B531,元データ_加工!$C$1:$P$1,0)),元データ_加工!$A$2:$A$700,$A531,元データ_加工!$B$2:$B$700,M$5)</f>
        <v>1</v>
      </c>
      <c r="N531" s="26">
        <f>SUMIFS(INDEX(元データ_加工!$C$2:$P$700,0,MATCH($B531,元データ_加工!$C$1:$P$1,0)),元データ_加工!$A$2:$A$700,$A531,元データ_加工!$B$2:$B$700,N$5)</f>
        <v>1</v>
      </c>
      <c r="O531" s="26">
        <f t="shared" si="8"/>
        <v>11</v>
      </c>
      <c r="P531" s="7">
        <f>IFERROR(O531/SUMIFS(元データ_加工!$C$2:$C$700,元データ_加工!$A$2:$A$700,$A531),"")</f>
        <v>4.9827867367276677E-4</v>
      </c>
    </row>
    <row r="532" spans="1:16" x14ac:dyDescent="0.45">
      <c r="A532" t="s">
        <v>72</v>
      </c>
      <c r="B532" t="s">
        <v>108</v>
      </c>
      <c r="C532" s="26">
        <f>SUMIFS(INDEX(元データ_加工!$C$2:$P$700,0,MATCH($B532,元データ_加工!$C$1:$P$1,0)),元データ_加工!$A$2:$A$700,$A532,元データ_加工!$B$2:$B$700,C$5)</f>
        <v>13</v>
      </c>
      <c r="D532" s="26">
        <f>SUMIFS(INDEX(元データ_加工!$C$2:$P$700,0,MATCH($B532,元データ_加工!$C$1:$P$1,0)),元データ_加工!$A$2:$A$700,$A532,元データ_加工!$B$2:$B$700,D$5)</f>
        <v>20</v>
      </c>
      <c r="E532" s="26">
        <f>SUMIFS(INDEX(元データ_加工!$C$2:$P$700,0,MATCH($B532,元データ_加工!$C$1:$P$1,0)),元データ_加工!$A$2:$A$700,$A532,元データ_加工!$B$2:$B$700,E$5)</f>
        <v>69</v>
      </c>
      <c r="F532" s="26">
        <f>SUMIFS(INDEX(元データ_加工!$C$2:$P$700,0,MATCH($B532,元データ_加工!$C$1:$P$1,0)),元データ_加工!$A$2:$A$700,$A532,元データ_加工!$B$2:$B$700,F$5)</f>
        <v>88</v>
      </c>
      <c r="G532" s="26">
        <f>SUMIFS(INDEX(元データ_加工!$C$2:$P$700,0,MATCH($B532,元データ_加工!$C$1:$P$1,0)),元データ_加工!$A$2:$A$700,$A532,元データ_加工!$B$2:$B$700,G$5)</f>
        <v>95</v>
      </c>
      <c r="H532" s="26">
        <f>SUMIFS(INDEX(元データ_加工!$C$2:$P$700,0,MATCH($B532,元データ_加工!$C$1:$P$1,0)),元データ_加工!$A$2:$A$700,$A532,元データ_加工!$B$2:$B$700,H$5)</f>
        <v>62</v>
      </c>
      <c r="I532" s="26">
        <f>SUMIFS(INDEX(元データ_加工!$C$2:$P$700,0,MATCH($B532,元データ_加工!$C$1:$P$1,0)),元データ_加工!$A$2:$A$700,$A532,元データ_加工!$B$2:$B$700,I$5)</f>
        <v>14</v>
      </c>
      <c r="J532" s="26">
        <f>SUMIFS(INDEX(元データ_加工!$C$2:$P$700,0,MATCH($B532,元データ_加工!$C$1:$P$1,0)),元データ_加工!$A$2:$A$700,$A532,元データ_加工!$B$2:$B$700,J$5)</f>
        <v>13</v>
      </c>
      <c r="K532" s="26">
        <f>SUMIFS(INDEX(元データ_加工!$C$2:$P$700,0,MATCH($B532,元データ_加工!$C$1:$P$1,0)),元データ_加工!$A$2:$A$700,$A532,元データ_加工!$B$2:$B$700,K$5)</f>
        <v>10</v>
      </c>
      <c r="L532" s="26">
        <f>SUMIFS(INDEX(元データ_加工!$C$2:$P$700,0,MATCH($B532,元データ_加工!$C$1:$P$1,0)),元データ_加工!$A$2:$A$700,$A532,元データ_加工!$B$2:$B$700,L$5)</f>
        <v>2</v>
      </c>
      <c r="M532" s="26">
        <f>SUMIFS(INDEX(元データ_加工!$C$2:$P$700,0,MATCH($B532,元データ_加工!$C$1:$P$1,0)),元データ_加工!$A$2:$A$700,$A532,元データ_加工!$B$2:$B$700,M$5)</f>
        <v>13</v>
      </c>
      <c r="N532" s="26">
        <f>SUMIFS(INDEX(元データ_加工!$C$2:$P$700,0,MATCH($B532,元データ_加工!$C$1:$P$1,0)),元データ_加工!$A$2:$A$700,$A532,元データ_加工!$B$2:$B$700,N$5)</f>
        <v>12</v>
      </c>
      <c r="O532" s="26">
        <f t="shared" si="8"/>
        <v>411</v>
      </c>
      <c r="P532" s="7">
        <f>IFERROR(O532/SUMIFS(元データ_加工!$C$2:$C$700,元データ_加工!$A$2:$A$700,$A532),"")</f>
        <v>1.8617503170864289E-2</v>
      </c>
    </row>
    <row r="533" spans="1:16" x14ac:dyDescent="0.45">
      <c r="A533" t="s">
        <v>72</v>
      </c>
      <c r="B533" t="s">
        <v>109</v>
      </c>
      <c r="C533" s="26">
        <f>SUMIFS(INDEX(元データ_加工!$C$2:$P$700,0,MATCH($B533,元データ_加工!$C$1:$P$1,0)),元データ_加工!$A$2:$A$700,$A533,元データ_加工!$B$2:$B$700,C$5)</f>
        <v>173</v>
      </c>
      <c r="D533" s="26">
        <f>SUMIFS(INDEX(元データ_加工!$C$2:$P$700,0,MATCH($B533,元データ_加工!$C$1:$P$1,0)),元データ_加工!$A$2:$A$700,$A533,元データ_加工!$B$2:$B$700,D$5)</f>
        <v>178</v>
      </c>
      <c r="E533" s="26">
        <f>SUMIFS(INDEX(元データ_加工!$C$2:$P$700,0,MATCH($B533,元データ_加工!$C$1:$P$1,0)),元データ_加工!$A$2:$A$700,$A533,元データ_加工!$B$2:$B$700,E$5)</f>
        <v>212</v>
      </c>
      <c r="F533" s="26">
        <f>SUMIFS(INDEX(元データ_加工!$C$2:$P$700,0,MATCH($B533,元データ_加工!$C$1:$P$1,0)),元データ_加工!$A$2:$A$700,$A533,元データ_加工!$B$2:$B$700,F$5)</f>
        <v>217</v>
      </c>
      <c r="G533" s="26">
        <f>SUMIFS(INDEX(元データ_加工!$C$2:$P$700,0,MATCH($B533,元データ_加工!$C$1:$P$1,0)),元データ_加工!$A$2:$A$700,$A533,元データ_加工!$B$2:$B$700,G$5)</f>
        <v>209</v>
      </c>
      <c r="H533" s="26">
        <f>SUMIFS(INDEX(元データ_加工!$C$2:$P$700,0,MATCH($B533,元データ_加工!$C$1:$P$1,0)),元データ_加工!$A$2:$A$700,$A533,元データ_加工!$B$2:$B$700,H$5)</f>
        <v>220</v>
      </c>
      <c r="I533" s="26">
        <f>SUMIFS(INDEX(元データ_加工!$C$2:$P$700,0,MATCH($B533,元データ_加工!$C$1:$P$1,0)),元データ_加工!$A$2:$A$700,$A533,元データ_加工!$B$2:$B$700,I$5)</f>
        <v>149</v>
      </c>
      <c r="J533" s="26">
        <f>SUMIFS(INDEX(元データ_加工!$C$2:$P$700,0,MATCH($B533,元データ_加工!$C$1:$P$1,0)),元データ_加工!$A$2:$A$700,$A533,元データ_加工!$B$2:$B$700,J$5)</f>
        <v>233</v>
      </c>
      <c r="K533" s="26">
        <f>SUMIFS(INDEX(元データ_加工!$C$2:$P$700,0,MATCH($B533,元データ_加工!$C$1:$P$1,0)),元データ_加工!$A$2:$A$700,$A533,元データ_加工!$B$2:$B$700,K$5)</f>
        <v>242</v>
      </c>
      <c r="L533" s="26">
        <f>SUMIFS(INDEX(元データ_加工!$C$2:$P$700,0,MATCH($B533,元データ_加工!$C$1:$P$1,0)),元データ_加工!$A$2:$A$700,$A533,元データ_加工!$B$2:$B$700,L$5)</f>
        <v>217</v>
      </c>
      <c r="M533" s="26">
        <f>SUMIFS(INDEX(元データ_加工!$C$2:$P$700,0,MATCH($B533,元データ_加工!$C$1:$P$1,0)),元データ_加工!$A$2:$A$700,$A533,元データ_加工!$B$2:$B$700,M$5)</f>
        <v>224</v>
      </c>
      <c r="N533" s="26">
        <f>SUMIFS(INDEX(元データ_加工!$C$2:$P$700,0,MATCH($B533,元データ_加工!$C$1:$P$1,0)),元データ_加工!$A$2:$A$700,$A533,元データ_加工!$B$2:$B$700,N$5)</f>
        <v>236</v>
      </c>
      <c r="O533" s="26">
        <f t="shared" si="8"/>
        <v>2510</v>
      </c>
      <c r="P533" s="7">
        <f>IFERROR(O533/SUMIFS(元データ_加工!$C$2:$C$700,元データ_加工!$A$2:$A$700,$A533),"")</f>
        <v>0.11369813371987679</v>
      </c>
    </row>
    <row r="534" spans="1:16" x14ac:dyDescent="0.45">
      <c r="A534" t="s">
        <v>72</v>
      </c>
      <c r="B534" t="s">
        <v>110</v>
      </c>
      <c r="C534" s="26">
        <f>SUMIFS(INDEX(元データ_加工!$C$2:$P$700,0,MATCH($B534,元データ_加工!$C$1:$P$1,0)),元データ_加工!$A$2:$A$700,$A534,元データ_加工!$B$2:$B$700,C$5)</f>
        <v>0</v>
      </c>
      <c r="D534" s="26">
        <f>SUMIFS(INDEX(元データ_加工!$C$2:$P$700,0,MATCH($B534,元データ_加工!$C$1:$P$1,0)),元データ_加工!$A$2:$A$700,$A534,元データ_加工!$B$2:$B$700,D$5)</f>
        <v>0</v>
      </c>
      <c r="E534" s="26">
        <f>SUMIFS(INDEX(元データ_加工!$C$2:$P$700,0,MATCH($B534,元データ_加工!$C$1:$P$1,0)),元データ_加工!$A$2:$A$700,$A534,元データ_加工!$B$2:$B$700,E$5)</f>
        <v>0</v>
      </c>
      <c r="F534" s="26">
        <f>SUMIFS(INDEX(元データ_加工!$C$2:$P$700,0,MATCH($B534,元データ_加工!$C$1:$P$1,0)),元データ_加工!$A$2:$A$700,$A534,元データ_加工!$B$2:$B$700,F$5)</f>
        <v>0</v>
      </c>
      <c r="G534" s="26">
        <f>SUMIFS(INDEX(元データ_加工!$C$2:$P$700,0,MATCH($B534,元データ_加工!$C$1:$P$1,0)),元データ_加工!$A$2:$A$700,$A534,元データ_加工!$B$2:$B$700,G$5)</f>
        <v>0</v>
      </c>
      <c r="H534" s="26">
        <f>SUMIFS(INDEX(元データ_加工!$C$2:$P$700,0,MATCH($B534,元データ_加工!$C$1:$P$1,0)),元データ_加工!$A$2:$A$700,$A534,元データ_加工!$B$2:$B$700,H$5)</f>
        <v>0</v>
      </c>
      <c r="I534" s="26">
        <f>SUMIFS(INDEX(元データ_加工!$C$2:$P$700,0,MATCH($B534,元データ_加工!$C$1:$P$1,0)),元データ_加工!$A$2:$A$700,$A534,元データ_加工!$B$2:$B$700,I$5)</f>
        <v>0</v>
      </c>
      <c r="J534" s="26">
        <f>SUMIFS(INDEX(元データ_加工!$C$2:$P$700,0,MATCH($B534,元データ_加工!$C$1:$P$1,0)),元データ_加工!$A$2:$A$700,$A534,元データ_加工!$B$2:$B$700,J$5)</f>
        <v>0</v>
      </c>
      <c r="K534" s="26">
        <f>SUMIFS(INDEX(元データ_加工!$C$2:$P$700,0,MATCH($B534,元データ_加工!$C$1:$P$1,0)),元データ_加工!$A$2:$A$700,$A534,元データ_加工!$B$2:$B$700,K$5)</f>
        <v>0</v>
      </c>
      <c r="L534" s="26">
        <f>SUMIFS(INDEX(元データ_加工!$C$2:$P$700,0,MATCH($B534,元データ_加工!$C$1:$P$1,0)),元データ_加工!$A$2:$A$700,$A534,元データ_加工!$B$2:$B$700,L$5)</f>
        <v>0</v>
      </c>
      <c r="M534" s="26">
        <f>SUMIFS(INDEX(元データ_加工!$C$2:$P$700,0,MATCH($B534,元データ_加工!$C$1:$P$1,0)),元データ_加工!$A$2:$A$700,$A534,元データ_加工!$B$2:$B$700,M$5)</f>
        <v>0</v>
      </c>
      <c r="N534" s="26">
        <f>SUMIFS(INDEX(元データ_加工!$C$2:$P$700,0,MATCH($B534,元データ_加工!$C$1:$P$1,0)),元データ_加工!$A$2:$A$700,$A534,元データ_加工!$B$2:$B$700,N$5)</f>
        <v>0</v>
      </c>
      <c r="O534" s="26">
        <f t="shared" si="8"/>
        <v>0</v>
      </c>
      <c r="P534" s="7">
        <f>IFERROR(O534/SUMIFS(元データ_加工!$C$2:$C$700,元データ_加工!$A$2:$A$700,$A534),"")</f>
        <v>0</v>
      </c>
    </row>
    <row r="535" spans="1:16" x14ac:dyDescent="0.45">
      <c r="A535" t="s">
        <v>72</v>
      </c>
      <c r="B535" t="s">
        <v>111</v>
      </c>
      <c r="C535" s="26">
        <f>SUMIFS(INDEX(元データ_加工!$C$2:$P$700,0,MATCH($B535,元データ_加工!$C$1:$P$1,0)),元データ_加工!$A$2:$A$700,$A535,元データ_加工!$B$2:$B$700,C$5)</f>
        <v>2</v>
      </c>
      <c r="D535" s="26">
        <f>SUMIFS(INDEX(元データ_加工!$C$2:$P$700,0,MATCH($B535,元データ_加工!$C$1:$P$1,0)),元データ_加工!$A$2:$A$700,$A535,元データ_加工!$B$2:$B$700,D$5)</f>
        <v>0</v>
      </c>
      <c r="E535" s="26">
        <f>SUMIFS(INDEX(元データ_加工!$C$2:$P$700,0,MATCH($B535,元データ_加工!$C$1:$P$1,0)),元データ_加工!$A$2:$A$700,$A535,元データ_加工!$B$2:$B$700,E$5)</f>
        <v>1</v>
      </c>
      <c r="F535" s="26">
        <f>SUMIFS(INDEX(元データ_加工!$C$2:$P$700,0,MATCH($B535,元データ_加工!$C$1:$P$1,0)),元データ_加工!$A$2:$A$700,$A535,元データ_加工!$B$2:$B$700,F$5)</f>
        <v>0</v>
      </c>
      <c r="G535" s="26">
        <f>SUMIFS(INDEX(元データ_加工!$C$2:$P$700,0,MATCH($B535,元データ_加工!$C$1:$P$1,0)),元データ_加工!$A$2:$A$700,$A535,元データ_加工!$B$2:$B$700,G$5)</f>
        <v>0</v>
      </c>
      <c r="H535" s="26">
        <f>SUMIFS(INDEX(元データ_加工!$C$2:$P$700,0,MATCH($B535,元データ_加工!$C$1:$P$1,0)),元データ_加工!$A$2:$A$700,$A535,元データ_加工!$B$2:$B$700,H$5)</f>
        <v>0</v>
      </c>
      <c r="I535" s="26">
        <f>SUMIFS(INDEX(元データ_加工!$C$2:$P$700,0,MATCH($B535,元データ_加工!$C$1:$P$1,0)),元データ_加工!$A$2:$A$700,$A535,元データ_加工!$B$2:$B$700,I$5)</f>
        <v>0</v>
      </c>
      <c r="J535" s="26">
        <f>SUMIFS(INDEX(元データ_加工!$C$2:$P$700,0,MATCH($B535,元データ_加工!$C$1:$P$1,0)),元データ_加工!$A$2:$A$700,$A535,元データ_加工!$B$2:$B$700,J$5)</f>
        <v>0</v>
      </c>
      <c r="K535" s="26">
        <f>SUMIFS(INDEX(元データ_加工!$C$2:$P$700,0,MATCH($B535,元データ_加工!$C$1:$P$1,0)),元データ_加工!$A$2:$A$700,$A535,元データ_加工!$B$2:$B$700,K$5)</f>
        <v>0</v>
      </c>
      <c r="L535" s="26">
        <f>SUMIFS(INDEX(元データ_加工!$C$2:$P$700,0,MATCH($B535,元データ_加工!$C$1:$P$1,0)),元データ_加工!$A$2:$A$700,$A535,元データ_加工!$B$2:$B$700,L$5)</f>
        <v>0</v>
      </c>
      <c r="M535" s="26">
        <f>SUMIFS(INDEX(元データ_加工!$C$2:$P$700,0,MATCH($B535,元データ_加工!$C$1:$P$1,0)),元データ_加工!$A$2:$A$700,$A535,元データ_加工!$B$2:$B$700,M$5)</f>
        <v>0</v>
      </c>
      <c r="N535" s="26">
        <f>SUMIFS(INDEX(元データ_加工!$C$2:$P$700,0,MATCH($B535,元データ_加工!$C$1:$P$1,0)),元データ_加工!$A$2:$A$700,$A535,元データ_加工!$B$2:$B$700,N$5)</f>
        <v>0</v>
      </c>
      <c r="O535" s="26">
        <f t="shared" si="8"/>
        <v>3</v>
      </c>
      <c r="P535" s="7">
        <f>IFERROR(O535/SUMIFS(元データ_加工!$C$2:$C$700,元データ_加工!$A$2:$A$700,$A535),"")</f>
        <v>1.358941837289364E-4</v>
      </c>
    </row>
    <row r="536" spans="1:16" x14ac:dyDescent="0.45">
      <c r="A536" t="s">
        <v>72</v>
      </c>
      <c r="B536" t="s">
        <v>112</v>
      </c>
      <c r="C536" s="26">
        <f>SUMIFS(INDEX(元データ_加工!$C$2:$P$700,0,MATCH($B536,元データ_加工!$C$1:$P$1,0)),元データ_加工!$A$2:$A$700,$A536,元データ_加工!$B$2:$B$700,C$5)</f>
        <v>0</v>
      </c>
      <c r="D536" s="26">
        <f>SUMIFS(INDEX(元データ_加工!$C$2:$P$700,0,MATCH($B536,元データ_加工!$C$1:$P$1,0)),元データ_加工!$A$2:$A$700,$A536,元データ_加工!$B$2:$B$700,D$5)</f>
        <v>0</v>
      </c>
      <c r="E536" s="26">
        <f>SUMIFS(INDEX(元データ_加工!$C$2:$P$700,0,MATCH($B536,元データ_加工!$C$1:$P$1,0)),元データ_加工!$A$2:$A$700,$A536,元データ_加工!$B$2:$B$700,E$5)</f>
        <v>2</v>
      </c>
      <c r="F536" s="26">
        <f>SUMIFS(INDEX(元データ_加工!$C$2:$P$700,0,MATCH($B536,元データ_加工!$C$1:$P$1,0)),元データ_加工!$A$2:$A$700,$A536,元データ_加工!$B$2:$B$700,F$5)</f>
        <v>0</v>
      </c>
      <c r="G536" s="26">
        <f>SUMIFS(INDEX(元データ_加工!$C$2:$P$700,0,MATCH($B536,元データ_加工!$C$1:$P$1,0)),元データ_加工!$A$2:$A$700,$A536,元データ_加工!$B$2:$B$700,G$5)</f>
        <v>0</v>
      </c>
      <c r="H536" s="26">
        <f>SUMIFS(INDEX(元データ_加工!$C$2:$P$700,0,MATCH($B536,元データ_加工!$C$1:$P$1,0)),元データ_加工!$A$2:$A$700,$A536,元データ_加工!$B$2:$B$700,H$5)</f>
        <v>0</v>
      </c>
      <c r="I536" s="26">
        <f>SUMIFS(INDEX(元データ_加工!$C$2:$P$700,0,MATCH($B536,元データ_加工!$C$1:$P$1,0)),元データ_加工!$A$2:$A$700,$A536,元データ_加工!$B$2:$B$700,I$5)</f>
        <v>0</v>
      </c>
      <c r="J536" s="26">
        <f>SUMIFS(INDEX(元データ_加工!$C$2:$P$700,0,MATCH($B536,元データ_加工!$C$1:$P$1,0)),元データ_加工!$A$2:$A$700,$A536,元データ_加工!$B$2:$B$700,J$5)</f>
        <v>1</v>
      </c>
      <c r="K536" s="26">
        <f>SUMIFS(INDEX(元データ_加工!$C$2:$P$700,0,MATCH($B536,元データ_加工!$C$1:$P$1,0)),元データ_加工!$A$2:$A$700,$A536,元データ_加工!$B$2:$B$700,K$5)</f>
        <v>1</v>
      </c>
      <c r="L536" s="26">
        <f>SUMIFS(INDEX(元データ_加工!$C$2:$P$700,0,MATCH($B536,元データ_加工!$C$1:$P$1,0)),元データ_加工!$A$2:$A$700,$A536,元データ_加工!$B$2:$B$700,L$5)</f>
        <v>1</v>
      </c>
      <c r="M536" s="26">
        <f>SUMIFS(INDEX(元データ_加工!$C$2:$P$700,0,MATCH($B536,元データ_加工!$C$1:$P$1,0)),元データ_加工!$A$2:$A$700,$A536,元データ_加工!$B$2:$B$700,M$5)</f>
        <v>3</v>
      </c>
      <c r="N536" s="26">
        <f>SUMIFS(INDEX(元データ_加工!$C$2:$P$700,0,MATCH($B536,元データ_加工!$C$1:$P$1,0)),元データ_加工!$A$2:$A$700,$A536,元データ_加工!$B$2:$B$700,N$5)</f>
        <v>1</v>
      </c>
      <c r="O536" s="26">
        <f t="shared" si="8"/>
        <v>9</v>
      </c>
      <c r="P536" s="7">
        <f>IFERROR(O536/SUMIFS(元データ_加工!$C$2:$C$700,元データ_加工!$A$2:$A$700,$A536),"")</f>
        <v>4.0768255118680922E-4</v>
      </c>
    </row>
    <row r="537" spans="1:16" x14ac:dyDescent="0.45">
      <c r="A537" t="s">
        <v>72</v>
      </c>
      <c r="B537" t="s">
        <v>113</v>
      </c>
      <c r="C537" s="26">
        <f>SUMIFS(INDEX(元データ_加工!$C$2:$P$700,0,MATCH($B537,元データ_加工!$C$1:$P$1,0)),元データ_加工!$A$2:$A$700,$A537,元データ_加工!$B$2:$B$700,C$5)</f>
        <v>0</v>
      </c>
      <c r="D537" s="26">
        <f>SUMIFS(INDEX(元データ_加工!$C$2:$P$700,0,MATCH($B537,元データ_加工!$C$1:$P$1,0)),元データ_加工!$A$2:$A$700,$A537,元データ_加工!$B$2:$B$700,D$5)</f>
        <v>0</v>
      </c>
      <c r="E537" s="26">
        <f>SUMIFS(INDEX(元データ_加工!$C$2:$P$700,0,MATCH($B537,元データ_加工!$C$1:$P$1,0)),元データ_加工!$A$2:$A$700,$A537,元データ_加工!$B$2:$B$700,E$5)</f>
        <v>0</v>
      </c>
      <c r="F537" s="26">
        <f>SUMIFS(INDEX(元データ_加工!$C$2:$P$700,0,MATCH($B537,元データ_加工!$C$1:$P$1,0)),元データ_加工!$A$2:$A$700,$A537,元データ_加工!$B$2:$B$700,F$5)</f>
        <v>0</v>
      </c>
      <c r="G537" s="26">
        <f>SUMIFS(INDEX(元データ_加工!$C$2:$P$700,0,MATCH($B537,元データ_加工!$C$1:$P$1,0)),元データ_加工!$A$2:$A$700,$A537,元データ_加工!$B$2:$B$700,G$5)</f>
        <v>0</v>
      </c>
      <c r="H537" s="26">
        <f>SUMIFS(INDEX(元データ_加工!$C$2:$P$700,0,MATCH($B537,元データ_加工!$C$1:$P$1,0)),元データ_加工!$A$2:$A$700,$A537,元データ_加工!$B$2:$B$700,H$5)</f>
        <v>0</v>
      </c>
      <c r="I537" s="26">
        <f>SUMIFS(INDEX(元データ_加工!$C$2:$P$700,0,MATCH($B537,元データ_加工!$C$1:$P$1,0)),元データ_加工!$A$2:$A$700,$A537,元データ_加工!$B$2:$B$700,I$5)</f>
        <v>0</v>
      </c>
      <c r="J537" s="26">
        <f>SUMIFS(INDEX(元データ_加工!$C$2:$P$700,0,MATCH($B537,元データ_加工!$C$1:$P$1,0)),元データ_加工!$A$2:$A$700,$A537,元データ_加工!$B$2:$B$700,J$5)</f>
        <v>0</v>
      </c>
      <c r="K537" s="26">
        <f>SUMIFS(INDEX(元データ_加工!$C$2:$P$700,0,MATCH($B537,元データ_加工!$C$1:$P$1,0)),元データ_加工!$A$2:$A$700,$A537,元データ_加工!$B$2:$B$700,K$5)</f>
        <v>0</v>
      </c>
      <c r="L537" s="26">
        <f>SUMIFS(INDEX(元データ_加工!$C$2:$P$700,0,MATCH($B537,元データ_加工!$C$1:$P$1,0)),元データ_加工!$A$2:$A$700,$A537,元データ_加工!$B$2:$B$700,L$5)</f>
        <v>0</v>
      </c>
      <c r="M537" s="26">
        <f>SUMIFS(INDEX(元データ_加工!$C$2:$P$700,0,MATCH($B537,元データ_加工!$C$1:$P$1,0)),元データ_加工!$A$2:$A$700,$A537,元データ_加工!$B$2:$B$700,M$5)</f>
        <v>0</v>
      </c>
      <c r="N537" s="26">
        <f>SUMIFS(INDEX(元データ_加工!$C$2:$P$700,0,MATCH($B537,元データ_加工!$C$1:$P$1,0)),元データ_加工!$A$2:$A$700,$A537,元データ_加工!$B$2:$B$700,N$5)</f>
        <v>0</v>
      </c>
      <c r="O537" s="26">
        <f t="shared" si="8"/>
        <v>0</v>
      </c>
      <c r="P537" s="7">
        <f>IFERROR(O537/SUMIFS(元データ_加工!$C$2:$C$700,元データ_加工!$A$2:$A$700,$A537),"")</f>
        <v>0</v>
      </c>
    </row>
    <row r="538" spans="1:16" x14ac:dyDescent="0.45">
      <c r="A538" t="s">
        <v>73</v>
      </c>
      <c r="B538" t="s">
        <v>100</v>
      </c>
      <c r="C538" s="26">
        <f>SUMIFS(INDEX(元データ_加工!$C$2:$P$700,0,MATCH($B538,元データ_加工!$C$1:$P$1,0)),元データ_加工!$A$2:$A$700,$A538,元データ_加工!$B$2:$B$700,C$5)</f>
        <v>1507</v>
      </c>
      <c r="D538" s="26">
        <f>SUMIFS(INDEX(元データ_加工!$C$2:$P$700,0,MATCH($B538,元データ_加工!$C$1:$P$1,0)),元データ_加工!$A$2:$A$700,$A538,元データ_加工!$B$2:$B$700,D$5)</f>
        <v>1543</v>
      </c>
      <c r="E538" s="26">
        <f>SUMIFS(INDEX(元データ_加工!$C$2:$P$700,0,MATCH($B538,元データ_加工!$C$1:$P$1,0)),元データ_加工!$A$2:$A$700,$A538,元データ_加工!$B$2:$B$700,E$5)</f>
        <v>2280</v>
      </c>
      <c r="F538" s="26">
        <f>SUMIFS(INDEX(元データ_加工!$C$2:$P$700,0,MATCH($B538,元データ_加工!$C$1:$P$1,0)),元データ_加工!$A$2:$A$700,$A538,元データ_加工!$B$2:$B$700,F$5)</f>
        <v>1968</v>
      </c>
      <c r="G538" s="26">
        <f>SUMIFS(INDEX(元データ_加工!$C$2:$P$700,0,MATCH($B538,元データ_加工!$C$1:$P$1,0)),元データ_加工!$A$2:$A$700,$A538,元データ_加工!$B$2:$B$700,G$5)</f>
        <v>2143</v>
      </c>
      <c r="H538" s="26">
        <f>SUMIFS(INDEX(元データ_加工!$C$2:$P$700,0,MATCH($B538,元データ_加工!$C$1:$P$1,0)),元データ_加工!$A$2:$A$700,$A538,元データ_加工!$B$2:$B$700,H$5)</f>
        <v>1518</v>
      </c>
      <c r="I538" s="26">
        <f>SUMIFS(INDEX(元データ_加工!$C$2:$P$700,0,MATCH($B538,元データ_加工!$C$1:$P$1,0)),元データ_加工!$A$2:$A$700,$A538,元データ_加工!$B$2:$B$700,I$5)</f>
        <v>1402</v>
      </c>
      <c r="J538" s="26">
        <f>SUMIFS(INDEX(元データ_加工!$C$2:$P$700,0,MATCH($B538,元データ_加工!$C$1:$P$1,0)),元データ_加工!$A$2:$A$700,$A538,元データ_加工!$B$2:$B$700,J$5)</f>
        <v>2540</v>
      </c>
      <c r="K538" s="26">
        <f>SUMIFS(INDEX(元データ_加工!$C$2:$P$700,0,MATCH($B538,元データ_加工!$C$1:$P$1,0)),元データ_加工!$A$2:$A$700,$A538,元データ_加工!$B$2:$B$700,K$5)</f>
        <v>4308</v>
      </c>
      <c r="L538" s="26">
        <f>SUMIFS(INDEX(元データ_加工!$C$2:$P$700,0,MATCH($B538,元データ_加工!$C$1:$P$1,0)),元データ_加工!$A$2:$A$700,$A538,元データ_加工!$B$2:$B$700,L$5)</f>
        <v>2569</v>
      </c>
      <c r="M538" s="26">
        <f>SUMIFS(INDEX(元データ_加工!$C$2:$P$700,0,MATCH($B538,元データ_加工!$C$1:$P$1,0)),元データ_加工!$A$2:$A$700,$A538,元データ_加工!$B$2:$B$700,M$5)</f>
        <v>2403</v>
      </c>
      <c r="N538" s="26">
        <f>SUMIFS(INDEX(元データ_加工!$C$2:$P$700,0,MATCH($B538,元データ_加工!$C$1:$P$1,0)),元データ_加工!$A$2:$A$700,$A538,元データ_加工!$B$2:$B$700,N$5)</f>
        <v>1888</v>
      </c>
      <c r="O538" s="26">
        <f t="shared" si="8"/>
        <v>26069</v>
      </c>
      <c r="P538" s="7">
        <f>IFERROR(O538/SUMIFS(元データ_加工!$C$2:$C$700,元データ_加工!$A$2:$A$700,$A538),"")</f>
        <v>1</v>
      </c>
    </row>
    <row r="539" spans="1:16" x14ac:dyDescent="0.45">
      <c r="A539" t="s">
        <v>73</v>
      </c>
      <c r="B539" t="s">
        <v>101</v>
      </c>
      <c r="C539" s="26">
        <f>SUMIFS(INDEX(元データ_加工!$C$2:$P$700,0,MATCH($B539,元データ_加工!$C$1:$P$1,0)),元データ_加工!$A$2:$A$700,$A539,元データ_加工!$B$2:$B$700,C$5)</f>
        <v>775</v>
      </c>
      <c r="D539" s="26">
        <f>SUMIFS(INDEX(元データ_加工!$C$2:$P$700,0,MATCH($B539,元データ_加工!$C$1:$P$1,0)),元データ_加工!$A$2:$A$700,$A539,元データ_加工!$B$2:$B$700,D$5)</f>
        <v>876</v>
      </c>
      <c r="E539" s="26">
        <f>SUMIFS(INDEX(元データ_加工!$C$2:$P$700,0,MATCH($B539,元データ_加工!$C$1:$P$1,0)),元データ_加工!$A$2:$A$700,$A539,元データ_加工!$B$2:$B$700,E$5)</f>
        <v>1059</v>
      </c>
      <c r="F539" s="26">
        <f>SUMIFS(INDEX(元データ_加工!$C$2:$P$700,0,MATCH($B539,元データ_加工!$C$1:$P$1,0)),元データ_加工!$A$2:$A$700,$A539,元データ_加工!$B$2:$B$700,F$5)</f>
        <v>955</v>
      </c>
      <c r="G539" s="26">
        <f>SUMIFS(INDEX(元データ_加工!$C$2:$P$700,0,MATCH($B539,元データ_加工!$C$1:$P$1,0)),元データ_加工!$A$2:$A$700,$A539,元データ_加工!$B$2:$B$700,G$5)</f>
        <v>923</v>
      </c>
      <c r="H539" s="26">
        <f>SUMIFS(INDEX(元データ_加工!$C$2:$P$700,0,MATCH($B539,元データ_加工!$C$1:$P$1,0)),元データ_加工!$A$2:$A$700,$A539,元データ_加工!$B$2:$B$700,H$5)</f>
        <v>698</v>
      </c>
      <c r="I539" s="26">
        <f>SUMIFS(INDEX(元データ_加工!$C$2:$P$700,0,MATCH($B539,元データ_加工!$C$1:$P$1,0)),元データ_加工!$A$2:$A$700,$A539,元データ_加工!$B$2:$B$700,I$5)</f>
        <v>699</v>
      </c>
      <c r="J539" s="26">
        <f>SUMIFS(INDEX(元データ_加工!$C$2:$P$700,0,MATCH($B539,元データ_加工!$C$1:$P$1,0)),元データ_加工!$A$2:$A$700,$A539,元データ_加工!$B$2:$B$700,J$5)</f>
        <v>922</v>
      </c>
      <c r="K539" s="26">
        <f>SUMIFS(INDEX(元データ_加工!$C$2:$P$700,0,MATCH($B539,元データ_加工!$C$1:$P$1,0)),元データ_加工!$A$2:$A$700,$A539,元データ_加工!$B$2:$B$700,K$5)</f>
        <v>915</v>
      </c>
      <c r="L539" s="26">
        <f>SUMIFS(INDEX(元データ_加工!$C$2:$P$700,0,MATCH($B539,元データ_加工!$C$1:$P$1,0)),元データ_加工!$A$2:$A$700,$A539,元データ_加工!$B$2:$B$700,L$5)</f>
        <v>726</v>
      </c>
      <c r="M539" s="26">
        <f>SUMIFS(INDEX(元データ_加工!$C$2:$P$700,0,MATCH($B539,元データ_加工!$C$1:$P$1,0)),元データ_加工!$A$2:$A$700,$A539,元データ_加工!$B$2:$B$700,M$5)</f>
        <v>826</v>
      </c>
      <c r="N539" s="26">
        <f>SUMIFS(INDEX(元データ_加工!$C$2:$P$700,0,MATCH($B539,元データ_加工!$C$1:$P$1,0)),元データ_加工!$A$2:$A$700,$A539,元データ_加工!$B$2:$B$700,N$5)</f>
        <v>814</v>
      </c>
      <c r="O539" s="26">
        <f t="shared" si="8"/>
        <v>10188</v>
      </c>
      <c r="P539" s="7">
        <f>IFERROR(O539/SUMIFS(元データ_加工!$C$2:$C$700,元データ_加工!$A$2:$A$700,$A539),"")</f>
        <v>0.39080900686639303</v>
      </c>
    </row>
    <row r="540" spans="1:16" x14ac:dyDescent="0.45">
      <c r="A540" t="s">
        <v>73</v>
      </c>
      <c r="B540" t="s">
        <v>102</v>
      </c>
      <c r="C540" s="26">
        <f>SUMIFS(INDEX(元データ_加工!$C$2:$P$700,0,MATCH($B540,元データ_加工!$C$1:$P$1,0)),元データ_加工!$A$2:$A$700,$A540,元データ_加工!$B$2:$B$700,C$5)</f>
        <v>0</v>
      </c>
      <c r="D540" s="26">
        <f>SUMIFS(INDEX(元データ_加工!$C$2:$P$700,0,MATCH($B540,元データ_加工!$C$1:$P$1,0)),元データ_加工!$A$2:$A$700,$A540,元データ_加工!$B$2:$B$700,D$5)</f>
        <v>0</v>
      </c>
      <c r="E540" s="26">
        <f>SUMIFS(INDEX(元データ_加工!$C$2:$P$700,0,MATCH($B540,元データ_加工!$C$1:$P$1,0)),元データ_加工!$A$2:$A$700,$A540,元データ_加工!$B$2:$B$700,E$5)</f>
        <v>0</v>
      </c>
      <c r="F540" s="26">
        <f>SUMIFS(INDEX(元データ_加工!$C$2:$P$700,0,MATCH($B540,元データ_加工!$C$1:$P$1,0)),元データ_加工!$A$2:$A$700,$A540,元データ_加工!$B$2:$B$700,F$5)</f>
        <v>0</v>
      </c>
      <c r="G540" s="26">
        <f>SUMIFS(INDEX(元データ_加工!$C$2:$P$700,0,MATCH($B540,元データ_加工!$C$1:$P$1,0)),元データ_加工!$A$2:$A$700,$A540,元データ_加工!$B$2:$B$700,G$5)</f>
        <v>0</v>
      </c>
      <c r="H540" s="26">
        <f>SUMIFS(INDEX(元データ_加工!$C$2:$P$700,0,MATCH($B540,元データ_加工!$C$1:$P$1,0)),元データ_加工!$A$2:$A$700,$A540,元データ_加工!$B$2:$B$700,H$5)</f>
        <v>2</v>
      </c>
      <c r="I540" s="26">
        <f>SUMIFS(INDEX(元データ_加工!$C$2:$P$700,0,MATCH($B540,元データ_加工!$C$1:$P$1,0)),元データ_加工!$A$2:$A$700,$A540,元データ_加工!$B$2:$B$700,I$5)</f>
        <v>2</v>
      </c>
      <c r="J540" s="26">
        <f>SUMIFS(INDEX(元データ_加工!$C$2:$P$700,0,MATCH($B540,元データ_加工!$C$1:$P$1,0)),元データ_加工!$A$2:$A$700,$A540,元データ_加工!$B$2:$B$700,J$5)</f>
        <v>2</v>
      </c>
      <c r="K540" s="26">
        <f>SUMIFS(INDEX(元データ_加工!$C$2:$P$700,0,MATCH($B540,元データ_加工!$C$1:$P$1,0)),元データ_加工!$A$2:$A$700,$A540,元データ_加工!$B$2:$B$700,K$5)</f>
        <v>0</v>
      </c>
      <c r="L540" s="26">
        <f>SUMIFS(INDEX(元データ_加工!$C$2:$P$700,0,MATCH($B540,元データ_加工!$C$1:$P$1,0)),元データ_加工!$A$2:$A$700,$A540,元データ_加工!$B$2:$B$700,L$5)</f>
        <v>0</v>
      </c>
      <c r="M540" s="26">
        <f>SUMIFS(INDEX(元データ_加工!$C$2:$P$700,0,MATCH($B540,元データ_加工!$C$1:$P$1,0)),元データ_加工!$A$2:$A$700,$A540,元データ_加工!$B$2:$B$700,M$5)</f>
        <v>0</v>
      </c>
      <c r="N540" s="26">
        <f>SUMIFS(INDEX(元データ_加工!$C$2:$P$700,0,MATCH($B540,元データ_加工!$C$1:$P$1,0)),元データ_加工!$A$2:$A$700,$A540,元データ_加工!$B$2:$B$700,N$5)</f>
        <v>0</v>
      </c>
      <c r="O540" s="26">
        <f t="shared" si="8"/>
        <v>6</v>
      </c>
      <c r="P540" s="7">
        <f>IFERROR(O540/SUMIFS(元データ_加工!$C$2:$C$700,元データ_加工!$A$2:$A$700,$A540),"")</f>
        <v>2.3015842571636811E-4</v>
      </c>
    </row>
    <row r="541" spans="1:16" x14ac:dyDescent="0.45">
      <c r="A541" t="s">
        <v>73</v>
      </c>
      <c r="B541" t="s">
        <v>103</v>
      </c>
      <c r="C541" s="26">
        <f>SUMIFS(INDEX(元データ_加工!$C$2:$P$700,0,MATCH($B541,元データ_加工!$C$1:$P$1,0)),元データ_加工!$A$2:$A$700,$A541,元データ_加工!$B$2:$B$700,C$5)</f>
        <v>0</v>
      </c>
      <c r="D541" s="26">
        <f>SUMIFS(INDEX(元データ_加工!$C$2:$P$700,0,MATCH($B541,元データ_加工!$C$1:$P$1,0)),元データ_加工!$A$2:$A$700,$A541,元データ_加工!$B$2:$B$700,D$5)</f>
        <v>0</v>
      </c>
      <c r="E541" s="26">
        <f>SUMIFS(INDEX(元データ_加工!$C$2:$P$700,0,MATCH($B541,元データ_加工!$C$1:$P$1,0)),元データ_加工!$A$2:$A$700,$A541,元データ_加工!$B$2:$B$700,E$5)</f>
        <v>1</v>
      </c>
      <c r="F541" s="26">
        <f>SUMIFS(INDEX(元データ_加工!$C$2:$P$700,0,MATCH($B541,元データ_加工!$C$1:$P$1,0)),元データ_加工!$A$2:$A$700,$A541,元データ_加工!$B$2:$B$700,F$5)</f>
        <v>24</v>
      </c>
      <c r="G541" s="26">
        <f>SUMIFS(INDEX(元データ_加工!$C$2:$P$700,0,MATCH($B541,元データ_加工!$C$1:$P$1,0)),元データ_加工!$A$2:$A$700,$A541,元データ_加工!$B$2:$B$700,G$5)</f>
        <v>42</v>
      </c>
      <c r="H541" s="26">
        <f>SUMIFS(INDEX(元データ_加工!$C$2:$P$700,0,MATCH($B541,元データ_加工!$C$1:$P$1,0)),元データ_加工!$A$2:$A$700,$A541,元データ_加工!$B$2:$B$700,H$5)</f>
        <v>28</v>
      </c>
      <c r="I541" s="26">
        <f>SUMIFS(INDEX(元データ_加工!$C$2:$P$700,0,MATCH($B541,元データ_加工!$C$1:$P$1,0)),元データ_加工!$A$2:$A$700,$A541,元データ_加工!$B$2:$B$700,I$5)</f>
        <v>14</v>
      </c>
      <c r="J541" s="26">
        <f>SUMIFS(INDEX(元データ_加工!$C$2:$P$700,0,MATCH($B541,元データ_加工!$C$1:$P$1,0)),元データ_加工!$A$2:$A$700,$A541,元データ_加工!$B$2:$B$700,J$5)</f>
        <v>1</v>
      </c>
      <c r="K541" s="26">
        <f>SUMIFS(INDEX(元データ_加工!$C$2:$P$700,0,MATCH($B541,元データ_加工!$C$1:$P$1,0)),元データ_加工!$A$2:$A$700,$A541,元データ_加工!$B$2:$B$700,K$5)</f>
        <v>5</v>
      </c>
      <c r="L541" s="26">
        <f>SUMIFS(INDEX(元データ_加工!$C$2:$P$700,0,MATCH($B541,元データ_加工!$C$1:$P$1,0)),元データ_加工!$A$2:$A$700,$A541,元データ_加工!$B$2:$B$700,L$5)</f>
        <v>4</v>
      </c>
      <c r="M541" s="26">
        <f>SUMIFS(INDEX(元データ_加工!$C$2:$P$700,0,MATCH($B541,元データ_加工!$C$1:$P$1,0)),元データ_加工!$A$2:$A$700,$A541,元データ_加工!$B$2:$B$700,M$5)</f>
        <v>0</v>
      </c>
      <c r="N541" s="26">
        <f>SUMIFS(INDEX(元データ_加工!$C$2:$P$700,0,MATCH($B541,元データ_加工!$C$1:$P$1,0)),元データ_加工!$A$2:$A$700,$A541,元データ_加工!$B$2:$B$700,N$5)</f>
        <v>0</v>
      </c>
      <c r="O541" s="26">
        <f t="shared" si="8"/>
        <v>119</v>
      </c>
      <c r="P541" s="7">
        <f>IFERROR(O541/SUMIFS(元データ_加工!$C$2:$C$700,元データ_加工!$A$2:$A$700,$A541),"")</f>
        <v>4.5648087767079671E-3</v>
      </c>
    </row>
    <row r="542" spans="1:16" x14ac:dyDescent="0.45">
      <c r="A542" t="s">
        <v>73</v>
      </c>
      <c r="B542" t="s">
        <v>104</v>
      </c>
      <c r="C542" s="26">
        <f>SUMIFS(INDEX(元データ_加工!$C$2:$P$700,0,MATCH($B542,元データ_加工!$C$1:$P$1,0)),元データ_加工!$A$2:$A$700,$A542,元データ_加工!$B$2:$B$700,C$5)</f>
        <v>45</v>
      </c>
      <c r="D542" s="26">
        <f>SUMIFS(INDEX(元データ_加工!$C$2:$P$700,0,MATCH($B542,元データ_加工!$C$1:$P$1,0)),元データ_加工!$A$2:$A$700,$A542,元データ_加工!$B$2:$B$700,D$5)</f>
        <v>31</v>
      </c>
      <c r="E542" s="26">
        <f>SUMIFS(INDEX(元データ_加工!$C$2:$P$700,0,MATCH($B542,元データ_加工!$C$1:$P$1,0)),元データ_加工!$A$2:$A$700,$A542,元データ_加工!$B$2:$B$700,E$5)</f>
        <v>36</v>
      </c>
      <c r="F542" s="26">
        <f>SUMIFS(INDEX(元データ_加工!$C$2:$P$700,0,MATCH($B542,元データ_加工!$C$1:$P$1,0)),元データ_加工!$A$2:$A$700,$A542,元データ_加工!$B$2:$B$700,F$5)</f>
        <v>41</v>
      </c>
      <c r="G542" s="26">
        <f>SUMIFS(INDEX(元データ_加工!$C$2:$P$700,0,MATCH($B542,元データ_加工!$C$1:$P$1,0)),元データ_加工!$A$2:$A$700,$A542,元データ_加工!$B$2:$B$700,G$5)</f>
        <v>127</v>
      </c>
      <c r="H542" s="26">
        <f>SUMIFS(INDEX(元データ_加工!$C$2:$P$700,0,MATCH($B542,元データ_加工!$C$1:$P$1,0)),元データ_加工!$A$2:$A$700,$A542,元データ_加工!$B$2:$B$700,H$5)</f>
        <v>28</v>
      </c>
      <c r="I542" s="26">
        <f>SUMIFS(INDEX(元データ_加工!$C$2:$P$700,0,MATCH($B542,元データ_加工!$C$1:$P$1,0)),元データ_加工!$A$2:$A$700,$A542,元データ_加工!$B$2:$B$700,I$5)</f>
        <v>46</v>
      </c>
      <c r="J542" s="26">
        <f>SUMIFS(INDEX(元データ_加工!$C$2:$P$700,0,MATCH($B542,元データ_加工!$C$1:$P$1,0)),元データ_加工!$A$2:$A$700,$A542,元データ_加工!$B$2:$B$700,J$5)</f>
        <v>183</v>
      </c>
      <c r="K542" s="26">
        <f>SUMIFS(INDEX(元データ_加工!$C$2:$P$700,0,MATCH($B542,元データ_加工!$C$1:$P$1,0)),元データ_加工!$A$2:$A$700,$A542,元データ_加工!$B$2:$B$700,K$5)</f>
        <v>184</v>
      </c>
      <c r="L542" s="26">
        <f>SUMIFS(INDEX(元データ_加工!$C$2:$P$700,0,MATCH($B542,元データ_加工!$C$1:$P$1,0)),元データ_加工!$A$2:$A$700,$A542,元データ_加工!$B$2:$B$700,L$5)</f>
        <v>118</v>
      </c>
      <c r="M542" s="26">
        <f>SUMIFS(INDEX(元データ_加工!$C$2:$P$700,0,MATCH($B542,元データ_加工!$C$1:$P$1,0)),元データ_加工!$A$2:$A$700,$A542,元データ_加工!$B$2:$B$700,M$5)</f>
        <v>110</v>
      </c>
      <c r="N542" s="26">
        <f>SUMIFS(INDEX(元データ_加工!$C$2:$P$700,0,MATCH($B542,元データ_加工!$C$1:$P$1,0)),元データ_加工!$A$2:$A$700,$A542,元データ_加工!$B$2:$B$700,N$5)</f>
        <v>61</v>
      </c>
      <c r="O542" s="26">
        <f t="shared" si="8"/>
        <v>1010</v>
      </c>
      <c r="P542" s="7">
        <f>IFERROR(O542/SUMIFS(元データ_加工!$C$2:$C$700,元データ_加工!$A$2:$A$700,$A542),"")</f>
        <v>3.874333499558863E-2</v>
      </c>
    </row>
    <row r="543" spans="1:16" x14ac:dyDescent="0.45">
      <c r="A543" t="s">
        <v>73</v>
      </c>
      <c r="B543" t="s">
        <v>105</v>
      </c>
      <c r="C543" s="26">
        <f>SUMIFS(INDEX(元データ_加工!$C$2:$P$700,0,MATCH($B543,元データ_加工!$C$1:$P$1,0)),元データ_加工!$A$2:$A$700,$A543,元データ_加工!$B$2:$B$700,C$5)</f>
        <v>2</v>
      </c>
      <c r="D543" s="26">
        <f>SUMIFS(INDEX(元データ_加工!$C$2:$P$700,0,MATCH($B543,元データ_加工!$C$1:$P$1,0)),元データ_加工!$A$2:$A$700,$A543,元データ_加工!$B$2:$B$700,D$5)</f>
        <v>6</v>
      </c>
      <c r="E543" s="26">
        <f>SUMIFS(INDEX(元データ_加工!$C$2:$P$700,0,MATCH($B543,元データ_加工!$C$1:$P$1,0)),元データ_加工!$A$2:$A$700,$A543,元データ_加工!$B$2:$B$700,E$5)</f>
        <v>7</v>
      </c>
      <c r="F543" s="26">
        <f>SUMIFS(INDEX(元データ_加工!$C$2:$P$700,0,MATCH($B543,元データ_加工!$C$1:$P$1,0)),元データ_加工!$A$2:$A$700,$A543,元データ_加工!$B$2:$B$700,F$5)</f>
        <v>17</v>
      </c>
      <c r="G543" s="26">
        <f>SUMIFS(INDEX(元データ_加工!$C$2:$P$700,0,MATCH($B543,元データ_加工!$C$1:$P$1,0)),元データ_加工!$A$2:$A$700,$A543,元データ_加工!$B$2:$B$700,G$5)</f>
        <v>5</v>
      </c>
      <c r="H543" s="26">
        <f>SUMIFS(INDEX(元データ_加工!$C$2:$P$700,0,MATCH($B543,元データ_加工!$C$1:$P$1,0)),元データ_加工!$A$2:$A$700,$A543,元データ_加工!$B$2:$B$700,H$5)</f>
        <v>2</v>
      </c>
      <c r="I543" s="26">
        <f>SUMIFS(INDEX(元データ_加工!$C$2:$P$700,0,MATCH($B543,元データ_加工!$C$1:$P$1,0)),元データ_加工!$A$2:$A$700,$A543,元データ_加工!$B$2:$B$700,I$5)</f>
        <v>34</v>
      </c>
      <c r="J543" s="26">
        <f>SUMIFS(INDEX(元データ_加工!$C$2:$P$700,0,MATCH($B543,元データ_加工!$C$1:$P$1,0)),元データ_加工!$A$2:$A$700,$A543,元データ_加工!$B$2:$B$700,J$5)</f>
        <v>180</v>
      </c>
      <c r="K543" s="26">
        <f>SUMIFS(INDEX(元データ_加工!$C$2:$P$700,0,MATCH($B543,元データ_加工!$C$1:$P$1,0)),元データ_加工!$A$2:$A$700,$A543,元データ_加工!$B$2:$B$700,K$5)</f>
        <v>335</v>
      </c>
      <c r="L543" s="26">
        <f>SUMIFS(INDEX(元データ_加工!$C$2:$P$700,0,MATCH($B543,元データ_加工!$C$1:$P$1,0)),元データ_加工!$A$2:$A$700,$A543,元データ_加工!$B$2:$B$700,L$5)</f>
        <v>184</v>
      </c>
      <c r="M543" s="26">
        <f>SUMIFS(INDEX(元データ_加工!$C$2:$P$700,0,MATCH($B543,元データ_加工!$C$1:$P$1,0)),元データ_加工!$A$2:$A$700,$A543,元データ_加工!$B$2:$B$700,M$5)</f>
        <v>109</v>
      </c>
      <c r="N543" s="26">
        <f>SUMIFS(INDEX(元データ_加工!$C$2:$P$700,0,MATCH($B543,元データ_加工!$C$1:$P$1,0)),元データ_加工!$A$2:$A$700,$A543,元データ_加工!$B$2:$B$700,N$5)</f>
        <v>68</v>
      </c>
      <c r="O543" s="26">
        <f t="shared" si="8"/>
        <v>949</v>
      </c>
      <c r="P543" s="7">
        <f>IFERROR(O543/SUMIFS(元データ_加工!$C$2:$C$700,元データ_加工!$A$2:$A$700,$A543),"")</f>
        <v>3.6403391000805557E-2</v>
      </c>
    </row>
    <row r="544" spans="1:16" x14ac:dyDescent="0.45">
      <c r="A544" t="s">
        <v>73</v>
      </c>
      <c r="B544" t="s">
        <v>106</v>
      </c>
      <c r="C544" s="26">
        <f>SUMIFS(INDEX(元データ_加工!$C$2:$P$700,0,MATCH($B544,元データ_加工!$C$1:$P$1,0)),元データ_加工!$A$2:$A$700,$A544,元データ_加工!$B$2:$B$700,C$5)</f>
        <v>443</v>
      </c>
      <c r="D544" s="26">
        <f>SUMIFS(INDEX(元データ_加工!$C$2:$P$700,0,MATCH($B544,元データ_加工!$C$1:$P$1,0)),元データ_加工!$A$2:$A$700,$A544,元データ_加工!$B$2:$B$700,D$5)</f>
        <v>531</v>
      </c>
      <c r="E544" s="26">
        <f>SUMIFS(INDEX(元データ_加工!$C$2:$P$700,0,MATCH($B544,元データ_加工!$C$1:$P$1,0)),元データ_加工!$A$2:$A$700,$A544,元データ_加工!$B$2:$B$700,E$5)</f>
        <v>581</v>
      </c>
      <c r="F544" s="26">
        <f>SUMIFS(INDEX(元データ_加工!$C$2:$P$700,0,MATCH($B544,元データ_加工!$C$1:$P$1,0)),元データ_加工!$A$2:$A$700,$A544,元データ_加工!$B$2:$B$700,F$5)</f>
        <v>546</v>
      </c>
      <c r="G544" s="26">
        <f>SUMIFS(INDEX(元データ_加工!$C$2:$P$700,0,MATCH($B544,元データ_加工!$C$1:$P$1,0)),元データ_加工!$A$2:$A$700,$A544,元データ_加工!$B$2:$B$700,G$5)</f>
        <v>601</v>
      </c>
      <c r="H544" s="26">
        <f>SUMIFS(INDEX(元データ_加工!$C$2:$P$700,0,MATCH($B544,元データ_加工!$C$1:$P$1,0)),元データ_加工!$A$2:$A$700,$A544,元データ_加工!$B$2:$B$700,H$5)</f>
        <v>331</v>
      </c>
      <c r="I544" s="26">
        <f>SUMIFS(INDEX(元データ_加工!$C$2:$P$700,0,MATCH($B544,元データ_加工!$C$1:$P$1,0)),元データ_加工!$A$2:$A$700,$A544,元データ_加工!$B$2:$B$700,I$5)</f>
        <v>329</v>
      </c>
      <c r="J544" s="26">
        <f>SUMIFS(INDEX(元データ_加工!$C$2:$P$700,0,MATCH($B544,元データ_加工!$C$1:$P$1,0)),元データ_加工!$A$2:$A$700,$A544,元データ_加工!$B$2:$B$700,J$5)</f>
        <v>487</v>
      </c>
      <c r="K544" s="26">
        <f>SUMIFS(INDEX(元データ_加工!$C$2:$P$700,0,MATCH($B544,元データ_加工!$C$1:$P$1,0)),元データ_加工!$A$2:$A$700,$A544,元データ_加工!$B$2:$B$700,K$5)</f>
        <v>621</v>
      </c>
      <c r="L544" s="26">
        <f>SUMIFS(INDEX(元データ_加工!$C$2:$P$700,0,MATCH($B544,元データ_加工!$C$1:$P$1,0)),元データ_加工!$A$2:$A$700,$A544,元データ_加工!$B$2:$B$700,L$5)</f>
        <v>496</v>
      </c>
      <c r="M544" s="26">
        <f>SUMIFS(INDEX(元データ_加工!$C$2:$P$700,0,MATCH($B544,元データ_加工!$C$1:$P$1,0)),元データ_加工!$A$2:$A$700,$A544,元データ_加工!$B$2:$B$700,M$5)</f>
        <v>478</v>
      </c>
      <c r="N544" s="26">
        <f>SUMIFS(INDEX(元データ_加工!$C$2:$P$700,0,MATCH($B544,元データ_加工!$C$1:$P$1,0)),元データ_加工!$A$2:$A$700,$A544,元データ_加工!$B$2:$B$700,N$5)</f>
        <v>480</v>
      </c>
      <c r="O544" s="26">
        <f t="shared" si="8"/>
        <v>5924</v>
      </c>
      <c r="P544" s="7">
        <f>IFERROR(O544/SUMIFS(元データ_加工!$C$2:$C$700,元データ_加工!$A$2:$A$700,$A544),"")</f>
        <v>0.22724308565729409</v>
      </c>
    </row>
    <row r="545" spans="1:16" x14ac:dyDescent="0.45">
      <c r="A545" t="s">
        <v>73</v>
      </c>
      <c r="B545" t="s">
        <v>107</v>
      </c>
      <c r="C545" s="26">
        <f>SUMIFS(INDEX(元データ_加工!$C$2:$P$700,0,MATCH($B545,元データ_加工!$C$1:$P$1,0)),元データ_加工!$A$2:$A$700,$A545,元データ_加工!$B$2:$B$700,C$5)</f>
        <v>2</v>
      </c>
      <c r="D545" s="26">
        <f>SUMIFS(INDEX(元データ_加工!$C$2:$P$700,0,MATCH($B545,元データ_加工!$C$1:$P$1,0)),元データ_加工!$A$2:$A$700,$A545,元データ_加工!$B$2:$B$700,D$5)</f>
        <v>0</v>
      </c>
      <c r="E545" s="26">
        <f>SUMIFS(INDEX(元データ_加工!$C$2:$P$700,0,MATCH($B545,元データ_加工!$C$1:$P$1,0)),元データ_加工!$A$2:$A$700,$A545,元データ_加工!$B$2:$B$700,E$5)</f>
        <v>3</v>
      </c>
      <c r="F545" s="26">
        <f>SUMIFS(INDEX(元データ_加工!$C$2:$P$700,0,MATCH($B545,元データ_加工!$C$1:$P$1,0)),元データ_加工!$A$2:$A$700,$A545,元データ_加工!$B$2:$B$700,F$5)</f>
        <v>3</v>
      </c>
      <c r="G545" s="26">
        <f>SUMIFS(INDEX(元データ_加工!$C$2:$P$700,0,MATCH($B545,元データ_加工!$C$1:$P$1,0)),元データ_加工!$A$2:$A$700,$A545,元データ_加工!$B$2:$B$700,G$5)</f>
        <v>0</v>
      </c>
      <c r="H545" s="26">
        <f>SUMIFS(INDEX(元データ_加工!$C$2:$P$700,0,MATCH($B545,元データ_加工!$C$1:$P$1,0)),元データ_加工!$A$2:$A$700,$A545,元データ_加工!$B$2:$B$700,H$5)</f>
        <v>0</v>
      </c>
      <c r="I545" s="26">
        <f>SUMIFS(INDEX(元データ_加工!$C$2:$P$700,0,MATCH($B545,元データ_加工!$C$1:$P$1,0)),元データ_加工!$A$2:$A$700,$A545,元データ_加工!$B$2:$B$700,I$5)</f>
        <v>0</v>
      </c>
      <c r="J545" s="26">
        <f>SUMIFS(INDEX(元データ_加工!$C$2:$P$700,0,MATCH($B545,元データ_加工!$C$1:$P$1,0)),元データ_加工!$A$2:$A$700,$A545,元データ_加工!$B$2:$B$700,J$5)</f>
        <v>1</v>
      </c>
      <c r="K545" s="26">
        <f>SUMIFS(INDEX(元データ_加工!$C$2:$P$700,0,MATCH($B545,元データ_加工!$C$1:$P$1,0)),元データ_加工!$A$2:$A$700,$A545,元データ_加工!$B$2:$B$700,K$5)</f>
        <v>4</v>
      </c>
      <c r="L545" s="26">
        <f>SUMIFS(INDEX(元データ_加工!$C$2:$P$700,0,MATCH($B545,元データ_加工!$C$1:$P$1,0)),元データ_加工!$A$2:$A$700,$A545,元データ_加工!$B$2:$B$700,L$5)</f>
        <v>4</v>
      </c>
      <c r="M545" s="26">
        <f>SUMIFS(INDEX(元データ_加工!$C$2:$P$700,0,MATCH($B545,元データ_加工!$C$1:$P$1,0)),元データ_加工!$A$2:$A$700,$A545,元データ_加工!$B$2:$B$700,M$5)</f>
        <v>4</v>
      </c>
      <c r="N545" s="26">
        <f>SUMIFS(INDEX(元データ_加工!$C$2:$P$700,0,MATCH($B545,元データ_加工!$C$1:$P$1,0)),元データ_加工!$A$2:$A$700,$A545,元データ_加工!$B$2:$B$700,N$5)</f>
        <v>1</v>
      </c>
      <c r="O545" s="26">
        <f t="shared" si="8"/>
        <v>22</v>
      </c>
      <c r="P545" s="7">
        <f>IFERROR(O545/SUMIFS(元データ_加工!$C$2:$C$700,元データ_加工!$A$2:$A$700,$A545),"")</f>
        <v>8.4391422762668299E-4</v>
      </c>
    </row>
    <row r="546" spans="1:16" x14ac:dyDescent="0.45">
      <c r="A546" t="s">
        <v>73</v>
      </c>
      <c r="B546" t="s">
        <v>108</v>
      </c>
      <c r="C546" s="26">
        <f>SUMIFS(INDEX(元データ_加工!$C$2:$P$700,0,MATCH($B546,元データ_加工!$C$1:$P$1,0)),元データ_加工!$A$2:$A$700,$A546,元データ_加工!$B$2:$B$700,C$5)</f>
        <v>27</v>
      </c>
      <c r="D546" s="26">
        <f>SUMIFS(INDEX(元データ_加工!$C$2:$P$700,0,MATCH($B546,元データ_加工!$C$1:$P$1,0)),元データ_加工!$A$2:$A$700,$A546,元データ_加工!$B$2:$B$700,D$5)</f>
        <v>37</v>
      </c>
      <c r="E546" s="26">
        <f>SUMIFS(INDEX(元データ_加工!$C$2:$P$700,0,MATCH($B546,元データ_加工!$C$1:$P$1,0)),元データ_加工!$A$2:$A$700,$A546,元データ_加工!$B$2:$B$700,E$5)</f>
        <v>72</v>
      </c>
      <c r="F546" s="26">
        <f>SUMIFS(INDEX(元データ_加工!$C$2:$P$700,0,MATCH($B546,元データ_加工!$C$1:$P$1,0)),元データ_加工!$A$2:$A$700,$A546,元データ_加工!$B$2:$B$700,F$5)</f>
        <v>61</v>
      </c>
      <c r="G546" s="26">
        <f>SUMIFS(INDEX(元データ_加工!$C$2:$P$700,0,MATCH($B546,元データ_加工!$C$1:$P$1,0)),元データ_加工!$A$2:$A$700,$A546,元データ_加工!$B$2:$B$700,G$5)</f>
        <v>72</v>
      </c>
      <c r="H546" s="26">
        <f>SUMIFS(INDEX(元データ_加工!$C$2:$P$700,0,MATCH($B546,元データ_加工!$C$1:$P$1,0)),元データ_加工!$A$2:$A$700,$A546,元データ_加工!$B$2:$B$700,H$5)</f>
        <v>50</v>
      </c>
      <c r="I546" s="26">
        <f>SUMIFS(INDEX(元データ_加工!$C$2:$P$700,0,MATCH($B546,元データ_加工!$C$1:$P$1,0)),元データ_加工!$A$2:$A$700,$A546,元データ_加工!$B$2:$B$700,I$5)</f>
        <v>33</v>
      </c>
      <c r="J546" s="26">
        <f>SUMIFS(INDEX(元データ_加工!$C$2:$P$700,0,MATCH($B546,元データ_加工!$C$1:$P$1,0)),元データ_加工!$A$2:$A$700,$A546,元データ_加工!$B$2:$B$700,J$5)</f>
        <v>33</v>
      </c>
      <c r="K546" s="26">
        <f>SUMIFS(INDEX(元データ_加工!$C$2:$P$700,0,MATCH($B546,元データ_加工!$C$1:$P$1,0)),元データ_加工!$A$2:$A$700,$A546,元データ_加工!$B$2:$B$700,K$5)</f>
        <v>6</v>
      </c>
      <c r="L546" s="26">
        <f>SUMIFS(INDEX(元データ_加工!$C$2:$P$700,0,MATCH($B546,元データ_加工!$C$1:$P$1,0)),元データ_加工!$A$2:$A$700,$A546,元データ_加工!$B$2:$B$700,L$5)</f>
        <v>9</v>
      </c>
      <c r="M546" s="26">
        <f>SUMIFS(INDEX(元データ_加工!$C$2:$P$700,0,MATCH($B546,元データ_加工!$C$1:$P$1,0)),元データ_加工!$A$2:$A$700,$A546,元データ_加工!$B$2:$B$700,M$5)</f>
        <v>13</v>
      </c>
      <c r="N546" s="26">
        <f>SUMIFS(INDEX(元データ_加工!$C$2:$P$700,0,MATCH($B546,元データ_加工!$C$1:$P$1,0)),元データ_加工!$A$2:$A$700,$A546,元データ_加工!$B$2:$B$700,N$5)</f>
        <v>7</v>
      </c>
      <c r="O546" s="26">
        <f t="shared" si="8"/>
        <v>420</v>
      </c>
      <c r="P546" s="7">
        <f>IFERROR(O546/SUMIFS(元データ_加工!$C$2:$C$700,元データ_加工!$A$2:$A$700,$A546),"")</f>
        <v>1.6111089800145768E-2</v>
      </c>
    </row>
    <row r="547" spans="1:16" x14ac:dyDescent="0.45">
      <c r="A547" t="s">
        <v>73</v>
      </c>
      <c r="B547" t="s">
        <v>109</v>
      </c>
      <c r="C547" s="26">
        <f>SUMIFS(INDEX(元データ_加工!$C$2:$P$700,0,MATCH($B547,元データ_加工!$C$1:$P$1,0)),元データ_加工!$A$2:$A$700,$A547,元データ_加工!$B$2:$B$700,C$5)</f>
        <v>291</v>
      </c>
      <c r="D547" s="26">
        <f>SUMIFS(INDEX(元データ_加工!$C$2:$P$700,0,MATCH($B547,元データ_加工!$C$1:$P$1,0)),元データ_加工!$A$2:$A$700,$A547,元データ_加工!$B$2:$B$700,D$5)</f>
        <v>337</v>
      </c>
      <c r="E547" s="26">
        <f>SUMIFS(INDEX(元データ_加工!$C$2:$P$700,0,MATCH($B547,元データ_加工!$C$1:$P$1,0)),元データ_加工!$A$2:$A$700,$A547,元データ_加工!$B$2:$B$700,E$5)</f>
        <v>413</v>
      </c>
      <c r="F547" s="26">
        <f>SUMIFS(INDEX(元データ_加工!$C$2:$P$700,0,MATCH($B547,元データ_加工!$C$1:$P$1,0)),元データ_加工!$A$2:$A$700,$A547,元データ_加工!$B$2:$B$700,F$5)</f>
        <v>397</v>
      </c>
      <c r="G547" s="26">
        <f>SUMIFS(INDEX(元データ_加工!$C$2:$P$700,0,MATCH($B547,元データ_加工!$C$1:$P$1,0)),元データ_加工!$A$2:$A$700,$A547,元データ_加工!$B$2:$B$700,G$5)</f>
        <v>364</v>
      </c>
      <c r="H547" s="26">
        <f>SUMIFS(INDEX(元データ_加工!$C$2:$P$700,0,MATCH($B547,元データ_加工!$C$1:$P$1,0)),元データ_加工!$A$2:$A$700,$A547,元データ_加工!$B$2:$B$700,H$5)</f>
        <v>298</v>
      </c>
      <c r="I547" s="26">
        <f>SUMIFS(INDEX(元データ_加工!$C$2:$P$700,0,MATCH($B547,元データ_加工!$C$1:$P$1,0)),元データ_加工!$A$2:$A$700,$A547,元データ_加工!$B$2:$B$700,I$5)</f>
        <v>301</v>
      </c>
      <c r="J547" s="26">
        <f>SUMIFS(INDEX(元データ_加工!$C$2:$P$700,0,MATCH($B547,元データ_加工!$C$1:$P$1,0)),元データ_加工!$A$2:$A$700,$A547,元データ_加工!$B$2:$B$700,J$5)</f>
        <v>396</v>
      </c>
      <c r="K547" s="26">
        <f>SUMIFS(INDEX(元データ_加工!$C$2:$P$700,0,MATCH($B547,元データ_加工!$C$1:$P$1,0)),元データ_加工!$A$2:$A$700,$A547,元データ_加工!$B$2:$B$700,K$5)</f>
        <v>322</v>
      </c>
      <c r="L547" s="26">
        <f>SUMIFS(INDEX(元データ_加工!$C$2:$P$700,0,MATCH($B547,元データ_加工!$C$1:$P$1,0)),元データ_加工!$A$2:$A$700,$A547,元データ_加工!$B$2:$B$700,L$5)</f>
        <v>273</v>
      </c>
      <c r="M547" s="26">
        <f>SUMIFS(INDEX(元データ_加工!$C$2:$P$700,0,MATCH($B547,元データ_加工!$C$1:$P$1,0)),元データ_加工!$A$2:$A$700,$A547,元データ_加工!$B$2:$B$700,M$5)</f>
        <v>340</v>
      </c>
      <c r="N547" s="26">
        <f>SUMIFS(INDEX(元データ_加工!$C$2:$P$700,0,MATCH($B547,元データ_加工!$C$1:$P$1,0)),元データ_加工!$A$2:$A$700,$A547,元データ_加工!$B$2:$B$700,N$5)</f>
        <v>324</v>
      </c>
      <c r="O547" s="26">
        <f t="shared" si="8"/>
        <v>4056</v>
      </c>
      <c r="P547" s="7">
        <f>IFERROR(O547/SUMIFS(元データ_加工!$C$2:$C$700,元データ_加工!$A$2:$A$700,$A547),"")</f>
        <v>0.15558709578426483</v>
      </c>
    </row>
    <row r="548" spans="1:16" x14ac:dyDescent="0.45">
      <c r="A548" t="s">
        <v>73</v>
      </c>
      <c r="B548" t="s">
        <v>110</v>
      </c>
      <c r="C548" s="26">
        <f>SUMIFS(INDEX(元データ_加工!$C$2:$P$700,0,MATCH($B548,元データ_加工!$C$1:$P$1,0)),元データ_加工!$A$2:$A$700,$A548,元データ_加工!$B$2:$B$700,C$5)</f>
        <v>0</v>
      </c>
      <c r="D548" s="26">
        <f>SUMIFS(INDEX(元データ_加工!$C$2:$P$700,0,MATCH($B548,元データ_加工!$C$1:$P$1,0)),元データ_加工!$A$2:$A$700,$A548,元データ_加工!$B$2:$B$700,D$5)</f>
        <v>0</v>
      </c>
      <c r="E548" s="26">
        <f>SUMIFS(INDEX(元データ_加工!$C$2:$P$700,0,MATCH($B548,元データ_加工!$C$1:$P$1,0)),元データ_加工!$A$2:$A$700,$A548,元データ_加工!$B$2:$B$700,E$5)</f>
        <v>0</v>
      </c>
      <c r="F548" s="26">
        <f>SUMIFS(INDEX(元データ_加工!$C$2:$P$700,0,MATCH($B548,元データ_加工!$C$1:$P$1,0)),元データ_加工!$A$2:$A$700,$A548,元データ_加工!$B$2:$B$700,F$5)</f>
        <v>0</v>
      </c>
      <c r="G548" s="26">
        <f>SUMIFS(INDEX(元データ_加工!$C$2:$P$700,0,MATCH($B548,元データ_加工!$C$1:$P$1,0)),元データ_加工!$A$2:$A$700,$A548,元データ_加工!$B$2:$B$700,G$5)</f>
        <v>0</v>
      </c>
      <c r="H548" s="26">
        <f>SUMIFS(INDEX(元データ_加工!$C$2:$P$700,0,MATCH($B548,元データ_加工!$C$1:$P$1,0)),元データ_加工!$A$2:$A$700,$A548,元データ_加工!$B$2:$B$700,H$5)</f>
        <v>0</v>
      </c>
      <c r="I548" s="26">
        <f>SUMIFS(INDEX(元データ_加工!$C$2:$P$700,0,MATCH($B548,元データ_加工!$C$1:$P$1,0)),元データ_加工!$A$2:$A$700,$A548,元データ_加工!$B$2:$B$700,I$5)</f>
        <v>0</v>
      </c>
      <c r="J548" s="26">
        <f>SUMIFS(INDEX(元データ_加工!$C$2:$P$700,0,MATCH($B548,元データ_加工!$C$1:$P$1,0)),元データ_加工!$A$2:$A$700,$A548,元データ_加工!$B$2:$B$700,J$5)</f>
        <v>0</v>
      </c>
      <c r="K548" s="26">
        <f>SUMIFS(INDEX(元データ_加工!$C$2:$P$700,0,MATCH($B548,元データ_加工!$C$1:$P$1,0)),元データ_加工!$A$2:$A$700,$A548,元データ_加工!$B$2:$B$700,K$5)</f>
        <v>0</v>
      </c>
      <c r="L548" s="26">
        <f>SUMIFS(INDEX(元データ_加工!$C$2:$P$700,0,MATCH($B548,元データ_加工!$C$1:$P$1,0)),元データ_加工!$A$2:$A$700,$A548,元データ_加工!$B$2:$B$700,L$5)</f>
        <v>0</v>
      </c>
      <c r="M548" s="26">
        <f>SUMIFS(INDEX(元データ_加工!$C$2:$P$700,0,MATCH($B548,元データ_加工!$C$1:$P$1,0)),元データ_加工!$A$2:$A$700,$A548,元データ_加工!$B$2:$B$700,M$5)</f>
        <v>0</v>
      </c>
      <c r="N548" s="26">
        <f>SUMIFS(INDEX(元データ_加工!$C$2:$P$700,0,MATCH($B548,元データ_加工!$C$1:$P$1,0)),元データ_加工!$A$2:$A$700,$A548,元データ_加工!$B$2:$B$700,N$5)</f>
        <v>0</v>
      </c>
      <c r="O548" s="26">
        <f t="shared" si="8"/>
        <v>0</v>
      </c>
      <c r="P548" s="7">
        <f>IFERROR(O548/SUMIFS(元データ_加工!$C$2:$C$700,元データ_加工!$A$2:$A$700,$A548),"")</f>
        <v>0</v>
      </c>
    </row>
    <row r="549" spans="1:16" x14ac:dyDescent="0.45">
      <c r="A549" t="s">
        <v>73</v>
      </c>
      <c r="B549" t="s">
        <v>111</v>
      </c>
      <c r="C549" s="26">
        <f>SUMIFS(INDEX(元データ_加工!$C$2:$P$700,0,MATCH($B549,元データ_加工!$C$1:$P$1,0)),元データ_加工!$A$2:$A$700,$A549,元データ_加工!$B$2:$B$700,C$5)</f>
        <v>0</v>
      </c>
      <c r="D549" s="26">
        <f>SUMIFS(INDEX(元データ_加工!$C$2:$P$700,0,MATCH($B549,元データ_加工!$C$1:$P$1,0)),元データ_加工!$A$2:$A$700,$A549,元データ_加工!$B$2:$B$700,D$5)</f>
        <v>0</v>
      </c>
      <c r="E549" s="26">
        <f>SUMIFS(INDEX(元データ_加工!$C$2:$P$700,0,MATCH($B549,元データ_加工!$C$1:$P$1,0)),元データ_加工!$A$2:$A$700,$A549,元データ_加工!$B$2:$B$700,E$5)</f>
        <v>0</v>
      </c>
      <c r="F549" s="26">
        <f>SUMIFS(INDEX(元データ_加工!$C$2:$P$700,0,MATCH($B549,元データ_加工!$C$1:$P$1,0)),元データ_加工!$A$2:$A$700,$A549,元データ_加工!$B$2:$B$700,F$5)</f>
        <v>0</v>
      </c>
      <c r="G549" s="26">
        <f>SUMIFS(INDEX(元データ_加工!$C$2:$P$700,0,MATCH($B549,元データ_加工!$C$1:$P$1,0)),元データ_加工!$A$2:$A$700,$A549,元データ_加工!$B$2:$B$700,G$5)</f>
        <v>0</v>
      </c>
      <c r="H549" s="26">
        <f>SUMIFS(INDEX(元データ_加工!$C$2:$P$700,0,MATCH($B549,元データ_加工!$C$1:$P$1,0)),元データ_加工!$A$2:$A$700,$A549,元データ_加工!$B$2:$B$700,H$5)</f>
        <v>0</v>
      </c>
      <c r="I549" s="26">
        <f>SUMIFS(INDEX(元データ_加工!$C$2:$P$700,0,MATCH($B549,元データ_加工!$C$1:$P$1,0)),元データ_加工!$A$2:$A$700,$A549,元データ_加工!$B$2:$B$700,I$5)</f>
        <v>0</v>
      </c>
      <c r="J549" s="26">
        <f>SUMIFS(INDEX(元データ_加工!$C$2:$P$700,0,MATCH($B549,元データ_加工!$C$1:$P$1,0)),元データ_加工!$A$2:$A$700,$A549,元データ_加工!$B$2:$B$700,J$5)</f>
        <v>0</v>
      </c>
      <c r="K549" s="26">
        <f>SUMIFS(INDEX(元データ_加工!$C$2:$P$700,0,MATCH($B549,元データ_加工!$C$1:$P$1,0)),元データ_加工!$A$2:$A$700,$A549,元データ_加工!$B$2:$B$700,K$5)</f>
        <v>5</v>
      </c>
      <c r="L549" s="26">
        <f>SUMIFS(INDEX(元データ_加工!$C$2:$P$700,0,MATCH($B549,元データ_加工!$C$1:$P$1,0)),元データ_加工!$A$2:$A$700,$A549,元データ_加工!$B$2:$B$700,L$5)</f>
        <v>22</v>
      </c>
      <c r="M549" s="26">
        <f>SUMIFS(INDEX(元データ_加工!$C$2:$P$700,0,MATCH($B549,元データ_加工!$C$1:$P$1,0)),元データ_加工!$A$2:$A$700,$A549,元データ_加工!$B$2:$B$700,M$5)</f>
        <v>10</v>
      </c>
      <c r="N549" s="26">
        <f>SUMIFS(INDEX(元データ_加工!$C$2:$P$700,0,MATCH($B549,元データ_加工!$C$1:$P$1,0)),元データ_加工!$A$2:$A$700,$A549,元データ_加工!$B$2:$B$700,N$5)</f>
        <v>2</v>
      </c>
      <c r="O549" s="26">
        <f t="shared" si="8"/>
        <v>39</v>
      </c>
      <c r="P549" s="7">
        <f>IFERROR(O549/SUMIFS(元データ_加工!$C$2:$C$700,元データ_加工!$A$2:$A$700,$A549),"")</f>
        <v>1.4960297671563927E-3</v>
      </c>
    </row>
    <row r="550" spans="1:16" x14ac:dyDescent="0.45">
      <c r="A550" t="s">
        <v>73</v>
      </c>
      <c r="B550" t="s">
        <v>112</v>
      </c>
      <c r="C550" s="26">
        <f>SUMIFS(INDEX(元データ_加工!$C$2:$P$700,0,MATCH($B550,元データ_加工!$C$1:$P$1,0)),元データ_加工!$A$2:$A$700,$A550,元データ_加工!$B$2:$B$700,C$5)</f>
        <v>0</v>
      </c>
      <c r="D550" s="26">
        <f>SUMIFS(INDEX(元データ_加工!$C$2:$P$700,0,MATCH($B550,元データ_加工!$C$1:$P$1,0)),元データ_加工!$A$2:$A$700,$A550,元データ_加工!$B$2:$B$700,D$5)</f>
        <v>0</v>
      </c>
      <c r="E550" s="26">
        <f>SUMIFS(INDEX(元データ_加工!$C$2:$P$700,0,MATCH($B550,元データ_加工!$C$1:$P$1,0)),元データ_加工!$A$2:$A$700,$A550,元データ_加工!$B$2:$B$700,E$5)</f>
        <v>0</v>
      </c>
      <c r="F550" s="26">
        <f>SUMIFS(INDEX(元データ_加工!$C$2:$P$700,0,MATCH($B550,元データ_加工!$C$1:$P$1,0)),元データ_加工!$A$2:$A$700,$A550,元データ_加工!$B$2:$B$700,F$5)</f>
        <v>0</v>
      </c>
      <c r="G550" s="26">
        <f>SUMIFS(INDEX(元データ_加工!$C$2:$P$700,0,MATCH($B550,元データ_加工!$C$1:$P$1,0)),元データ_加工!$A$2:$A$700,$A550,元データ_加工!$B$2:$B$700,G$5)</f>
        <v>0</v>
      </c>
      <c r="H550" s="26">
        <f>SUMIFS(INDEX(元データ_加工!$C$2:$P$700,0,MATCH($B550,元データ_加工!$C$1:$P$1,0)),元データ_加工!$A$2:$A$700,$A550,元データ_加工!$B$2:$B$700,H$5)</f>
        <v>0</v>
      </c>
      <c r="I550" s="26">
        <f>SUMIFS(INDEX(元データ_加工!$C$2:$P$700,0,MATCH($B550,元データ_加工!$C$1:$P$1,0)),元データ_加工!$A$2:$A$700,$A550,元データ_加工!$B$2:$B$700,I$5)</f>
        <v>0</v>
      </c>
      <c r="J550" s="26">
        <f>SUMIFS(INDEX(元データ_加工!$C$2:$P$700,0,MATCH($B550,元データ_加工!$C$1:$P$1,0)),元データ_加工!$A$2:$A$700,$A550,元データ_加工!$B$2:$B$700,J$5)</f>
        <v>0</v>
      </c>
      <c r="K550" s="26">
        <f>SUMIFS(INDEX(元データ_加工!$C$2:$P$700,0,MATCH($B550,元データ_加工!$C$1:$P$1,0)),元データ_加工!$A$2:$A$700,$A550,元データ_加工!$B$2:$B$700,K$5)</f>
        <v>7</v>
      </c>
      <c r="L550" s="26">
        <f>SUMIFS(INDEX(元データ_加工!$C$2:$P$700,0,MATCH($B550,元データ_加工!$C$1:$P$1,0)),元データ_加工!$A$2:$A$700,$A550,元データ_加工!$B$2:$B$700,L$5)</f>
        <v>4</v>
      </c>
      <c r="M550" s="26">
        <f>SUMIFS(INDEX(元データ_加工!$C$2:$P$700,0,MATCH($B550,元データ_加工!$C$1:$P$1,0)),元データ_加工!$A$2:$A$700,$A550,元データ_加工!$B$2:$B$700,M$5)</f>
        <v>0</v>
      </c>
      <c r="N550" s="26">
        <f>SUMIFS(INDEX(元データ_加工!$C$2:$P$700,0,MATCH($B550,元データ_加工!$C$1:$P$1,0)),元データ_加工!$A$2:$A$700,$A550,元データ_加工!$B$2:$B$700,N$5)</f>
        <v>0</v>
      </c>
      <c r="O550" s="26">
        <f t="shared" si="8"/>
        <v>11</v>
      </c>
      <c r="P550" s="7">
        <f>IFERROR(O550/SUMIFS(元データ_加工!$C$2:$C$700,元データ_加工!$A$2:$A$700,$A550),"")</f>
        <v>4.2195711381334149E-4</v>
      </c>
    </row>
    <row r="551" spans="1:16" x14ac:dyDescent="0.45">
      <c r="A551" t="s">
        <v>73</v>
      </c>
      <c r="B551" t="s">
        <v>113</v>
      </c>
      <c r="C551" s="26">
        <f>SUMIFS(INDEX(元データ_加工!$C$2:$P$700,0,MATCH($B551,元データ_加工!$C$1:$P$1,0)),元データ_加工!$A$2:$A$700,$A551,元データ_加工!$B$2:$B$700,C$5)</f>
        <v>1</v>
      </c>
      <c r="D551" s="26">
        <f>SUMIFS(INDEX(元データ_加工!$C$2:$P$700,0,MATCH($B551,元データ_加工!$C$1:$P$1,0)),元データ_加工!$A$2:$A$700,$A551,元データ_加工!$B$2:$B$700,D$5)</f>
        <v>0</v>
      </c>
      <c r="E551" s="26">
        <f>SUMIFS(INDEX(元データ_加工!$C$2:$P$700,0,MATCH($B551,元データ_加工!$C$1:$P$1,0)),元データ_加工!$A$2:$A$700,$A551,元データ_加工!$B$2:$B$700,E$5)</f>
        <v>4</v>
      </c>
      <c r="F551" s="26">
        <f>SUMIFS(INDEX(元データ_加工!$C$2:$P$700,0,MATCH($B551,元データ_加工!$C$1:$P$1,0)),元データ_加工!$A$2:$A$700,$A551,元データ_加工!$B$2:$B$700,F$5)</f>
        <v>0</v>
      </c>
      <c r="G551" s="26">
        <f>SUMIFS(INDEX(元データ_加工!$C$2:$P$700,0,MATCH($B551,元データ_加工!$C$1:$P$1,0)),元データ_加工!$A$2:$A$700,$A551,元データ_加工!$B$2:$B$700,G$5)</f>
        <v>0</v>
      </c>
      <c r="H551" s="26">
        <f>SUMIFS(INDEX(元データ_加工!$C$2:$P$700,0,MATCH($B551,元データ_加工!$C$1:$P$1,0)),元データ_加工!$A$2:$A$700,$A551,元データ_加工!$B$2:$B$700,H$5)</f>
        <v>0</v>
      </c>
      <c r="I551" s="26">
        <f>SUMIFS(INDEX(元データ_加工!$C$2:$P$700,0,MATCH($B551,元データ_加工!$C$1:$P$1,0)),元データ_加工!$A$2:$A$700,$A551,元データ_加工!$B$2:$B$700,I$5)</f>
        <v>0</v>
      </c>
      <c r="J551" s="26">
        <f>SUMIFS(INDEX(元データ_加工!$C$2:$P$700,0,MATCH($B551,元データ_加工!$C$1:$P$1,0)),元データ_加工!$A$2:$A$700,$A551,元データ_加工!$B$2:$B$700,J$5)</f>
        <v>0</v>
      </c>
      <c r="K551" s="26">
        <f>SUMIFS(INDEX(元データ_加工!$C$2:$P$700,0,MATCH($B551,元データ_加工!$C$1:$P$1,0)),元データ_加工!$A$2:$A$700,$A551,元データ_加工!$B$2:$B$700,K$5)</f>
        <v>0</v>
      </c>
      <c r="L551" s="26">
        <f>SUMIFS(INDEX(元データ_加工!$C$2:$P$700,0,MATCH($B551,元データ_加工!$C$1:$P$1,0)),元データ_加工!$A$2:$A$700,$A551,元データ_加工!$B$2:$B$700,L$5)</f>
        <v>0</v>
      </c>
      <c r="M551" s="26">
        <f>SUMIFS(INDEX(元データ_加工!$C$2:$P$700,0,MATCH($B551,元データ_加工!$C$1:$P$1,0)),元データ_加工!$A$2:$A$700,$A551,元データ_加工!$B$2:$B$700,M$5)</f>
        <v>0</v>
      </c>
      <c r="N551" s="26">
        <f>SUMIFS(INDEX(元データ_加工!$C$2:$P$700,0,MATCH($B551,元データ_加工!$C$1:$P$1,0)),元データ_加工!$A$2:$A$700,$A551,元データ_加工!$B$2:$B$700,N$5)</f>
        <v>0</v>
      </c>
      <c r="O551" s="26">
        <f t="shared" si="8"/>
        <v>5</v>
      </c>
      <c r="P551" s="7">
        <f>IFERROR(O551/SUMIFS(元データ_加工!$C$2:$C$700,元データ_加工!$A$2:$A$700,$A551),"")</f>
        <v>1.9179868809697341E-4</v>
      </c>
    </row>
    <row r="552" spans="1:16" x14ac:dyDescent="0.45">
      <c r="A552" t="s">
        <v>74</v>
      </c>
      <c r="B552" t="s">
        <v>100</v>
      </c>
      <c r="C552" s="26">
        <f>SUMIFS(INDEX(元データ_加工!$C$2:$P$700,0,MATCH($B552,元データ_加工!$C$1:$P$1,0)),元データ_加工!$A$2:$A$700,$A552,元データ_加工!$B$2:$B$700,C$5)</f>
        <v>1157</v>
      </c>
      <c r="D552" s="26">
        <f>SUMIFS(INDEX(元データ_加工!$C$2:$P$700,0,MATCH($B552,元データ_加工!$C$1:$P$1,0)),元データ_加工!$A$2:$A$700,$A552,元データ_加工!$B$2:$B$700,D$5)</f>
        <v>1086</v>
      </c>
      <c r="E552" s="26">
        <f>SUMIFS(INDEX(元データ_加工!$C$2:$P$700,0,MATCH($B552,元データ_加工!$C$1:$P$1,0)),元データ_加工!$A$2:$A$700,$A552,元データ_加工!$B$2:$B$700,E$5)</f>
        <v>1768</v>
      </c>
      <c r="F552" s="26">
        <f>SUMIFS(INDEX(元データ_加工!$C$2:$P$700,0,MATCH($B552,元データ_加工!$C$1:$P$1,0)),元データ_加工!$A$2:$A$700,$A552,元データ_加工!$B$2:$B$700,F$5)</f>
        <v>1521</v>
      </c>
      <c r="G552" s="26">
        <f>SUMIFS(INDEX(元データ_加工!$C$2:$P$700,0,MATCH($B552,元データ_加工!$C$1:$P$1,0)),元データ_加工!$A$2:$A$700,$A552,元データ_加工!$B$2:$B$700,G$5)</f>
        <v>1507</v>
      </c>
      <c r="H552" s="26">
        <f>SUMIFS(INDEX(元データ_加工!$C$2:$P$700,0,MATCH($B552,元データ_加工!$C$1:$P$1,0)),元データ_加工!$A$2:$A$700,$A552,元データ_加工!$B$2:$B$700,H$5)</f>
        <v>1065</v>
      </c>
      <c r="I552" s="26">
        <f>SUMIFS(INDEX(元データ_加工!$C$2:$P$700,0,MATCH($B552,元データ_加工!$C$1:$P$1,0)),元データ_加工!$A$2:$A$700,$A552,元データ_加工!$B$2:$B$700,I$5)</f>
        <v>827</v>
      </c>
      <c r="J552" s="26">
        <f>SUMIFS(INDEX(元データ_加工!$C$2:$P$700,0,MATCH($B552,元データ_加工!$C$1:$P$1,0)),元データ_加工!$A$2:$A$700,$A552,元データ_加工!$B$2:$B$700,J$5)</f>
        <v>1729</v>
      </c>
      <c r="K552" s="26">
        <f>SUMIFS(INDEX(元データ_加工!$C$2:$P$700,0,MATCH($B552,元データ_加工!$C$1:$P$1,0)),元データ_加工!$A$2:$A$700,$A552,元データ_加工!$B$2:$B$700,K$5)</f>
        <v>3166</v>
      </c>
      <c r="L552" s="26">
        <f>SUMIFS(INDEX(元データ_加工!$C$2:$P$700,0,MATCH($B552,元データ_加工!$C$1:$P$1,0)),元データ_加工!$A$2:$A$700,$A552,元データ_加工!$B$2:$B$700,L$5)</f>
        <v>2083</v>
      </c>
      <c r="M552" s="26">
        <f>SUMIFS(INDEX(元データ_加工!$C$2:$P$700,0,MATCH($B552,元データ_加工!$C$1:$P$1,0)),元データ_加工!$A$2:$A$700,$A552,元データ_加工!$B$2:$B$700,M$5)</f>
        <v>1941</v>
      </c>
      <c r="N552" s="26">
        <f>SUMIFS(INDEX(元データ_加工!$C$2:$P$700,0,MATCH($B552,元データ_加工!$C$1:$P$1,0)),元データ_加工!$A$2:$A$700,$A552,元データ_加工!$B$2:$B$700,N$5)</f>
        <v>1269</v>
      </c>
      <c r="O552" s="26">
        <f t="shared" si="8"/>
        <v>19119</v>
      </c>
      <c r="P552" s="7">
        <f>IFERROR(O552/SUMIFS(元データ_加工!$C$2:$C$700,元データ_加工!$A$2:$A$700,$A552),"")</f>
        <v>1</v>
      </c>
    </row>
    <row r="553" spans="1:16" x14ac:dyDescent="0.45">
      <c r="A553" t="s">
        <v>74</v>
      </c>
      <c r="B553" t="s">
        <v>101</v>
      </c>
      <c r="C553" s="26">
        <f>SUMIFS(INDEX(元データ_加工!$C$2:$P$700,0,MATCH($B553,元データ_加工!$C$1:$P$1,0)),元データ_加工!$A$2:$A$700,$A553,元データ_加工!$B$2:$B$700,C$5)</f>
        <v>586</v>
      </c>
      <c r="D553" s="26">
        <f>SUMIFS(INDEX(元データ_加工!$C$2:$P$700,0,MATCH($B553,元データ_加工!$C$1:$P$1,0)),元データ_加工!$A$2:$A$700,$A553,元データ_加工!$B$2:$B$700,D$5)</f>
        <v>820</v>
      </c>
      <c r="E553" s="26">
        <f>SUMIFS(INDEX(元データ_加工!$C$2:$P$700,0,MATCH($B553,元データ_加工!$C$1:$P$1,0)),元データ_加工!$A$2:$A$700,$A553,元データ_加工!$B$2:$B$700,E$5)</f>
        <v>901</v>
      </c>
      <c r="F553" s="26">
        <f>SUMIFS(INDEX(元データ_加工!$C$2:$P$700,0,MATCH($B553,元データ_加工!$C$1:$P$1,0)),元データ_加工!$A$2:$A$700,$A553,元データ_加工!$B$2:$B$700,F$5)</f>
        <v>756</v>
      </c>
      <c r="G553" s="26">
        <f>SUMIFS(INDEX(元データ_加工!$C$2:$P$700,0,MATCH($B553,元データ_加工!$C$1:$P$1,0)),元データ_加工!$A$2:$A$700,$A553,元データ_加工!$B$2:$B$700,G$5)</f>
        <v>791</v>
      </c>
      <c r="H553" s="26">
        <f>SUMIFS(INDEX(元データ_加工!$C$2:$P$700,0,MATCH($B553,元データ_加工!$C$1:$P$1,0)),元データ_加工!$A$2:$A$700,$A553,元データ_加工!$B$2:$B$700,H$5)</f>
        <v>593</v>
      </c>
      <c r="I553" s="26">
        <f>SUMIFS(INDEX(元データ_加工!$C$2:$P$700,0,MATCH($B553,元データ_加工!$C$1:$P$1,0)),元データ_加工!$A$2:$A$700,$A553,元データ_加工!$B$2:$B$700,I$5)</f>
        <v>592</v>
      </c>
      <c r="J553" s="26">
        <f>SUMIFS(INDEX(元データ_加工!$C$2:$P$700,0,MATCH($B553,元データ_加工!$C$1:$P$1,0)),元データ_加工!$A$2:$A$700,$A553,元データ_加工!$B$2:$B$700,J$5)</f>
        <v>27</v>
      </c>
      <c r="K553" s="26">
        <f>SUMIFS(INDEX(元データ_加工!$C$2:$P$700,0,MATCH($B553,元データ_加工!$C$1:$P$1,0)),元データ_加工!$A$2:$A$700,$A553,元データ_加工!$B$2:$B$700,K$5)</f>
        <v>756</v>
      </c>
      <c r="L553" s="26">
        <f>SUMIFS(INDEX(元データ_加工!$C$2:$P$700,0,MATCH($B553,元データ_加工!$C$1:$P$1,0)),元データ_加工!$A$2:$A$700,$A553,元データ_加工!$B$2:$B$700,L$5)</f>
        <v>669</v>
      </c>
      <c r="M553" s="26">
        <f>SUMIFS(INDEX(元データ_加工!$C$2:$P$700,0,MATCH($B553,元データ_加工!$C$1:$P$1,0)),元データ_加工!$A$2:$A$700,$A553,元データ_加工!$B$2:$B$700,M$5)</f>
        <v>662</v>
      </c>
      <c r="N553" s="26">
        <f>SUMIFS(INDEX(元データ_加工!$C$2:$P$700,0,MATCH($B553,元データ_加工!$C$1:$P$1,0)),元データ_加工!$A$2:$A$700,$A553,元データ_加工!$B$2:$B$700,N$5)</f>
        <v>602</v>
      </c>
      <c r="O553" s="26">
        <f t="shared" si="8"/>
        <v>7755</v>
      </c>
      <c r="P553" s="7">
        <f>IFERROR(O553/SUMIFS(元データ_加工!$C$2:$C$700,元データ_加工!$A$2:$A$700,$A553),"")</f>
        <v>0.40561744861132903</v>
      </c>
    </row>
    <row r="554" spans="1:16" x14ac:dyDescent="0.45">
      <c r="A554" t="s">
        <v>74</v>
      </c>
      <c r="B554" t="s">
        <v>102</v>
      </c>
      <c r="C554" s="26">
        <f>SUMIFS(INDEX(元データ_加工!$C$2:$P$700,0,MATCH($B554,元データ_加工!$C$1:$P$1,0)),元データ_加工!$A$2:$A$700,$A554,元データ_加工!$B$2:$B$700,C$5)</f>
        <v>0</v>
      </c>
      <c r="D554" s="26">
        <f>SUMIFS(INDEX(元データ_加工!$C$2:$P$700,0,MATCH($B554,元データ_加工!$C$1:$P$1,0)),元データ_加工!$A$2:$A$700,$A554,元データ_加工!$B$2:$B$700,D$5)</f>
        <v>0</v>
      </c>
      <c r="E554" s="26">
        <f>SUMIFS(INDEX(元データ_加工!$C$2:$P$700,0,MATCH($B554,元データ_加工!$C$1:$P$1,0)),元データ_加工!$A$2:$A$700,$A554,元データ_加工!$B$2:$B$700,E$5)</f>
        <v>0</v>
      </c>
      <c r="F554" s="26">
        <f>SUMIFS(INDEX(元データ_加工!$C$2:$P$700,0,MATCH($B554,元データ_加工!$C$1:$P$1,0)),元データ_加工!$A$2:$A$700,$A554,元データ_加工!$B$2:$B$700,F$5)</f>
        <v>0</v>
      </c>
      <c r="G554" s="26">
        <f>SUMIFS(INDEX(元データ_加工!$C$2:$P$700,0,MATCH($B554,元データ_加工!$C$1:$P$1,0)),元データ_加工!$A$2:$A$700,$A554,元データ_加工!$B$2:$B$700,G$5)</f>
        <v>0</v>
      </c>
      <c r="H554" s="26">
        <f>SUMIFS(INDEX(元データ_加工!$C$2:$P$700,0,MATCH($B554,元データ_加工!$C$1:$P$1,0)),元データ_加工!$A$2:$A$700,$A554,元データ_加工!$B$2:$B$700,H$5)</f>
        <v>0</v>
      </c>
      <c r="I554" s="26">
        <f>SUMIFS(INDEX(元データ_加工!$C$2:$P$700,0,MATCH($B554,元データ_加工!$C$1:$P$1,0)),元データ_加工!$A$2:$A$700,$A554,元データ_加工!$B$2:$B$700,I$5)</f>
        <v>0</v>
      </c>
      <c r="J554" s="26">
        <f>SUMIFS(INDEX(元データ_加工!$C$2:$P$700,0,MATCH($B554,元データ_加工!$C$1:$P$1,0)),元データ_加工!$A$2:$A$700,$A554,元データ_加工!$B$2:$B$700,J$5)</f>
        <v>0</v>
      </c>
      <c r="K554" s="26">
        <f>SUMIFS(INDEX(元データ_加工!$C$2:$P$700,0,MATCH($B554,元データ_加工!$C$1:$P$1,0)),元データ_加工!$A$2:$A$700,$A554,元データ_加工!$B$2:$B$700,K$5)</f>
        <v>0</v>
      </c>
      <c r="L554" s="26">
        <f>SUMIFS(INDEX(元データ_加工!$C$2:$P$700,0,MATCH($B554,元データ_加工!$C$1:$P$1,0)),元データ_加工!$A$2:$A$700,$A554,元データ_加工!$B$2:$B$700,L$5)</f>
        <v>0</v>
      </c>
      <c r="M554" s="26">
        <f>SUMIFS(INDEX(元データ_加工!$C$2:$P$700,0,MATCH($B554,元データ_加工!$C$1:$P$1,0)),元データ_加工!$A$2:$A$700,$A554,元データ_加工!$B$2:$B$700,M$5)</f>
        <v>0</v>
      </c>
      <c r="N554" s="26">
        <f>SUMIFS(INDEX(元データ_加工!$C$2:$P$700,0,MATCH($B554,元データ_加工!$C$1:$P$1,0)),元データ_加工!$A$2:$A$700,$A554,元データ_加工!$B$2:$B$700,N$5)</f>
        <v>0</v>
      </c>
      <c r="O554" s="26">
        <f t="shared" si="8"/>
        <v>0</v>
      </c>
      <c r="P554" s="7">
        <f>IFERROR(O554/SUMIFS(元データ_加工!$C$2:$C$700,元データ_加工!$A$2:$A$700,$A554),"")</f>
        <v>0</v>
      </c>
    </row>
    <row r="555" spans="1:16" x14ac:dyDescent="0.45">
      <c r="A555" t="s">
        <v>74</v>
      </c>
      <c r="B555" t="s">
        <v>103</v>
      </c>
      <c r="C555" s="26">
        <f>SUMIFS(INDEX(元データ_加工!$C$2:$P$700,0,MATCH($B555,元データ_加工!$C$1:$P$1,0)),元データ_加工!$A$2:$A$700,$A555,元データ_加工!$B$2:$B$700,C$5)</f>
        <v>0</v>
      </c>
      <c r="D555" s="26">
        <f>SUMIFS(INDEX(元データ_加工!$C$2:$P$700,0,MATCH($B555,元データ_加工!$C$1:$P$1,0)),元データ_加工!$A$2:$A$700,$A555,元データ_加工!$B$2:$B$700,D$5)</f>
        <v>1</v>
      </c>
      <c r="E555" s="26">
        <f>SUMIFS(INDEX(元データ_加工!$C$2:$P$700,0,MATCH($B555,元データ_加工!$C$1:$P$1,0)),元データ_加工!$A$2:$A$700,$A555,元データ_加工!$B$2:$B$700,E$5)</f>
        <v>7</v>
      </c>
      <c r="F555" s="26">
        <f>SUMIFS(INDEX(元データ_加工!$C$2:$P$700,0,MATCH($B555,元データ_加工!$C$1:$P$1,0)),元データ_加工!$A$2:$A$700,$A555,元データ_加工!$B$2:$B$700,F$5)</f>
        <v>4</v>
      </c>
      <c r="G555" s="26">
        <f>SUMIFS(INDEX(元データ_加工!$C$2:$P$700,0,MATCH($B555,元データ_加工!$C$1:$P$1,0)),元データ_加工!$A$2:$A$700,$A555,元データ_加工!$B$2:$B$700,G$5)</f>
        <v>9</v>
      </c>
      <c r="H555" s="26">
        <f>SUMIFS(INDEX(元データ_加工!$C$2:$P$700,0,MATCH($B555,元データ_加工!$C$1:$P$1,0)),元データ_加工!$A$2:$A$700,$A555,元データ_加工!$B$2:$B$700,H$5)</f>
        <v>2</v>
      </c>
      <c r="I555" s="26">
        <f>SUMIFS(INDEX(元データ_加工!$C$2:$P$700,0,MATCH($B555,元データ_加工!$C$1:$P$1,0)),元データ_加工!$A$2:$A$700,$A555,元データ_加工!$B$2:$B$700,I$5)</f>
        <v>4</v>
      </c>
      <c r="J555" s="26">
        <f>SUMIFS(INDEX(元データ_加工!$C$2:$P$700,0,MATCH($B555,元データ_加工!$C$1:$P$1,0)),元データ_加工!$A$2:$A$700,$A555,元データ_加工!$B$2:$B$700,J$5)</f>
        <v>0</v>
      </c>
      <c r="K555" s="26">
        <f>SUMIFS(INDEX(元データ_加工!$C$2:$P$700,0,MATCH($B555,元データ_加工!$C$1:$P$1,0)),元データ_加工!$A$2:$A$700,$A555,元データ_加工!$B$2:$B$700,K$5)</f>
        <v>1</v>
      </c>
      <c r="L555" s="26">
        <f>SUMIFS(INDEX(元データ_加工!$C$2:$P$700,0,MATCH($B555,元データ_加工!$C$1:$P$1,0)),元データ_加工!$A$2:$A$700,$A555,元データ_加工!$B$2:$B$700,L$5)</f>
        <v>0</v>
      </c>
      <c r="M555" s="26">
        <f>SUMIFS(INDEX(元データ_加工!$C$2:$P$700,0,MATCH($B555,元データ_加工!$C$1:$P$1,0)),元データ_加工!$A$2:$A$700,$A555,元データ_加工!$B$2:$B$700,M$5)</f>
        <v>0</v>
      </c>
      <c r="N555" s="26">
        <f>SUMIFS(INDEX(元データ_加工!$C$2:$P$700,0,MATCH($B555,元データ_加工!$C$1:$P$1,0)),元データ_加工!$A$2:$A$700,$A555,元データ_加工!$B$2:$B$700,N$5)</f>
        <v>0</v>
      </c>
      <c r="O555" s="26">
        <f t="shared" si="8"/>
        <v>28</v>
      </c>
      <c r="P555" s="7">
        <f>IFERROR(O555/SUMIFS(元データ_加工!$C$2:$C$700,元データ_加工!$A$2:$A$700,$A555),"")</f>
        <v>1.4645117422459333E-3</v>
      </c>
    </row>
    <row r="556" spans="1:16" x14ac:dyDescent="0.45">
      <c r="A556" t="s">
        <v>74</v>
      </c>
      <c r="B556" t="s">
        <v>104</v>
      </c>
      <c r="C556" s="26">
        <f>SUMIFS(INDEX(元データ_加工!$C$2:$P$700,0,MATCH($B556,元データ_加工!$C$1:$P$1,0)),元データ_加工!$A$2:$A$700,$A556,元データ_加工!$B$2:$B$700,C$5)</f>
        <v>13</v>
      </c>
      <c r="D556" s="26">
        <f>SUMIFS(INDEX(元データ_加工!$C$2:$P$700,0,MATCH($B556,元データ_加工!$C$1:$P$1,0)),元データ_加工!$A$2:$A$700,$A556,元データ_加工!$B$2:$B$700,D$5)</f>
        <v>3</v>
      </c>
      <c r="E556" s="26">
        <f>SUMIFS(INDEX(元データ_加工!$C$2:$P$700,0,MATCH($B556,元データ_加工!$C$1:$P$1,0)),元データ_加工!$A$2:$A$700,$A556,元データ_加工!$B$2:$B$700,E$5)</f>
        <v>13</v>
      </c>
      <c r="F556" s="26">
        <f>SUMIFS(INDEX(元データ_加工!$C$2:$P$700,0,MATCH($B556,元データ_加工!$C$1:$P$1,0)),元データ_加工!$A$2:$A$700,$A556,元データ_加工!$B$2:$B$700,F$5)</f>
        <v>14</v>
      </c>
      <c r="G556" s="26">
        <f>SUMIFS(INDEX(元データ_加工!$C$2:$P$700,0,MATCH($B556,元データ_加工!$C$1:$P$1,0)),元データ_加工!$A$2:$A$700,$A556,元データ_加工!$B$2:$B$700,G$5)</f>
        <v>12</v>
      </c>
      <c r="H556" s="26">
        <f>SUMIFS(INDEX(元データ_加工!$C$2:$P$700,0,MATCH($B556,元データ_加工!$C$1:$P$1,0)),元データ_加工!$A$2:$A$700,$A556,元データ_加工!$B$2:$B$700,H$5)</f>
        <v>12</v>
      </c>
      <c r="I556" s="26">
        <f>SUMIFS(INDEX(元データ_加工!$C$2:$P$700,0,MATCH($B556,元データ_加工!$C$1:$P$1,0)),元データ_加工!$A$2:$A$700,$A556,元データ_加工!$B$2:$B$700,I$5)</f>
        <v>14</v>
      </c>
      <c r="J556" s="26">
        <f>SUMIFS(INDEX(元データ_加工!$C$2:$P$700,0,MATCH($B556,元データ_加工!$C$1:$P$1,0)),元データ_加工!$A$2:$A$700,$A556,元データ_加工!$B$2:$B$700,J$5)</f>
        <v>48</v>
      </c>
      <c r="K556" s="26">
        <f>SUMIFS(INDEX(元データ_加工!$C$2:$P$700,0,MATCH($B556,元データ_加工!$C$1:$P$1,0)),元データ_加工!$A$2:$A$700,$A556,元データ_加工!$B$2:$B$700,K$5)</f>
        <v>38</v>
      </c>
      <c r="L556" s="26">
        <f>SUMIFS(INDEX(元データ_加工!$C$2:$P$700,0,MATCH($B556,元データ_加工!$C$1:$P$1,0)),元データ_加工!$A$2:$A$700,$A556,元データ_加工!$B$2:$B$700,L$5)</f>
        <v>39</v>
      </c>
      <c r="M556" s="26">
        <f>SUMIFS(INDEX(元データ_加工!$C$2:$P$700,0,MATCH($B556,元データ_加工!$C$1:$P$1,0)),元データ_加工!$A$2:$A$700,$A556,元データ_加工!$B$2:$B$700,M$5)</f>
        <v>29</v>
      </c>
      <c r="N556" s="26">
        <f>SUMIFS(INDEX(元データ_加工!$C$2:$P$700,0,MATCH($B556,元データ_加工!$C$1:$P$1,0)),元データ_加工!$A$2:$A$700,$A556,元データ_加工!$B$2:$B$700,N$5)</f>
        <v>12</v>
      </c>
      <c r="O556" s="26">
        <f t="shared" si="8"/>
        <v>247</v>
      </c>
      <c r="P556" s="7">
        <f>IFERROR(O556/SUMIFS(元データ_加工!$C$2:$C$700,元データ_加工!$A$2:$A$700,$A556),"")</f>
        <v>1.2919085726240911E-2</v>
      </c>
    </row>
    <row r="557" spans="1:16" x14ac:dyDescent="0.45">
      <c r="A557" t="s">
        <v>74</v>
      </c>
      <c r="B557" t="s">
        <v>105</v>
      </c>
      <c r="C557" s="26">
        <f>SUMIFS(INDEX(元データ_加工!$C$2:$P$700,0,MATCH($B557,元データ_加工!$C$1:$P$1,0)),元データ_加工!$A$2:$A$700,$A557,元データ_加工!$B$2:$B$700,C$5)</f>
        <v>2</v>
      </c>
      <c r="D557" s="26">
        <f>SUMIFS(INDEX(元データ_加工!$C$2:$P$700,0,MATCH($B557,元データ_加工!$C$1:$P$1,0)),元データ_加工!$A$2:$A$700,$A557,元データ_加工!$B$2:$B$700,D$5)</f>
        <v>0</v>
      </c>
      <c r="E557" s="26">
        <f>SUMIFS(INDEX(元データ_加工!$C$2:$P$700,0,MATCH($B557,元データ_加工!$C$1:$P$1,0)),元データ_加工!$A$2:$A$700,$A557,元データ_加工!$B$2:$B$700,E$5)</f>
        <v>7</v>
      </c>
      <c r="F557" s="26">
        <f>SUMIFS(INDEX(元データ_加工!$C$2:$P$700,0,MATCH($B557,元データ_加工!$C$1:$P$1,0)),元データ_加工!$A$2:$A$700,$A557,元データ_加工!$B$2:$B$700,F$5)</f>
        <v>43</v>
      </c>
      <c r="G557" s="26">
        <f>SUMIFS(INDEX(元データ_加工!$C$2:$P$700,0,MATCH($B557,元データ_加工!$C$1:$P$1,0)),元データ_加工!$A$2:$A$700,$A557,元データ_加工!$B$2:$B$700,G$5)</f>
        <v>7</v>
      </c>
      <c r="H557" s="26">
        <f>SUMIFS(INDEX(元データ_加工!$C$2:$P$700,0,MATCH($B557,元データ_加工!$C$1:$P$1,0)),元データ_加工!$A$2:$A$700,$A557,元データ_加工!$B$2:$B$700,H$5)</f>
        <v>20</v>
      </c>
      <c r="I557" s="26">
        <f>SUMIFS(INDEX(元データ_加工!$C$2:$P$700,0,MATCH($B557,元データ_加工!$C$1:$P$1,0)),元データ_加工!$A$2:$A$700,$A557,元データ_加工!$B$2:$B$700,I$5)</f>
        <v>4</v>
      </c>
      <c r="J557" s="26">
        <f>SUMIFS(INDEX(元データ_加工!$C$2:$P$700,0,MATCH($B557,元データ_加工!$C$1:$P$1,0)),元データ_加工!$A$2:$A$700,$A557,元データ_加工!$B$2:$B$700,J$5)</f>
        <v>55</v>
      </c>
      <c r="K557" s="26">
        <f>SUMIFS(INDEX(元データ_加工!$C$2:$P$700,0,MATCH($B557,元データ_加工!$C$1:$P$1,0)),元データ_加工!$A$2:$A$700,$A557,元データ_加工!$B$2:$B$700,K$5)</f>
        <v>91</v>
      </c>
      <c r="L557" s="26">
        <f>SUMIFS(INDEX(元データ_加工!$C$2:$P$700,0,MATCH($B557,元データ_加工!$C$1:$P$1,0)),元データ_加工!$A$2:$A$700,$A557,元データ_加工!$B$2:$B$700,L$5)</f>
        <v>95</v>
      </c>
      <c r="M557" s="26">
        <f>SUMIFS(INDEX(元データ_加工!$C$2:$P$700,0,MATCH($B557,元データ_加工!$C$1:$P$1,0)),元データ_加工!$A$2:$A$700,$A557,元データ_加工!$B$2:$B$700,M$5)</f>
        <v>40</v>
      </c>
      <c r="N557" s="26">
        <f>SUMIFS(INDEX(元データ_加工!$C$2:$P$700,0,MATCH($B557,元データ_加工!$C$1:$P$1,0)),元データ_加工!$A$2:$A$700,$A557,元データ_加工!$B$2:$B$700,N$5)</f>
        <v>11</v>
      </c>
      <c r="O557" s="26">
        <f t="shared" si="8"/>
        <v>375</v>
      </c>
      <c r="P557" s="7">
        <f>IFERROR(O557/SUMIFS(元データ_加工!$C$2:$C$700,元データ_加工!$A$2:$A$700,$A557),"")</f>
        <v>1.9613996547936607E-2</v>
      </c>
    </row>
    <row r="558" spans="1:16" x14ac:dyDescent="0.45">
      <c r="A558" t="s">
        <v>74</v>
      </c>
      <c r="B558" t="s">
        <v>106</v>
      </c>
      <c r="C558" s="26">
        <f>SUMIFS(INDEX(元データ_加工!$C$2:$P$700,0,MATCH($B558,元データ_加工!$C$1:$P$1,0)),元データ_加工!$A$2:$A$700,$A558,元データ_加工!$B$2:$B$700,C$5)</f>
        <v>150</v>
      </c>
      <c r="D558" s="26">
        <f>SUMIFS(INDEX(元データ_加工!$C$2:$P$700,0,MATCH($B558,元データ_加工!$C$1:$P$1,0)),元データ_加工!$A$2:$A$700,$A558,元データ_加工!$B$2:$B$700,D$5)</f>
        <v>100</v>
      </c>
      <c r="E558" s="26">
        <f>SUMIFS(INDEX(元データ_加工!$C$2:$P$700,0,MATCH($B558,元データ_加工!$C$1:$P$1,0)),元データ_加工!$A$2:$A$700,$A558,元データ_加工!$B$2:$B$700,E$5)</f>
        <v>180</v>
      </c>
      <c r="F558" s="26">
        <f>SUMIFS(INDEX(元データ_加工!$C$2:$P$700,0,MATCH($B558,元データ_加工!$C$1:$P$1,0)),元データ_加工!$A$2:$A$700,$A558,元データ_加工!$B$2:$B$700,F$5)</f>
        <v>150</v>
      </c>
      <c r="G558" s="26">
        <f>SUMIFS(INDEX(元データ_加工!$C$2:$P$700,0,MATCH($B558,元データ_加工!$C$1:$P$1,0)),元データ_加工!$A$2:$A$700,$A558,元データ_加工!$B$2:$B$700,G$5)</f>
        <v>93</v>
      </c>
      <c r="H558" s="26">
        <f>SUMIFS(INDEX(元データ_加工!$C$2:$P$700,0,MATCH($B558,元データ_加工!$C$1:$P$1,0)),元データ_加工!$A$2:$A$700,$A558,元データ_加工!$B$2:$B$700,H$5)</f>
        <v>54</v>
      </c>
      <c r="I558" s="26">
        <f>SUMIFS(INDEX(元データ_加工!$C$2:$P$700,0,MATCH($B558,元データ_加工!$C$1:$P$1,0)),元データ_加工!$A$2:$A$700,$A558,元データ_加工!$B$2:$B$700,I$5)</f>
        <v>63</v>
      </c>
      <c r="J558" s="26">
        <f>SUMIFS(INDEX(元データ_加工!$C$2:$P$700,0,MATCH($B558,元データ_加工!$C$1:$P$1,0)),元データ_加工!$A$2:$A$700,$A558,元データ_加工!$B$2:$B$700,J$5)</f>
        <v>102</v>
      </c>
      <c r="K558" s="26">
        <f>SUMIFS(INDEX(元データ_加工!$C$2:$P$700,0,MATCH($B558,元データ_加工!$C$1:$P$1,0)),元データ_加工!$A$2:$A$700,$A558,元データ_加工!$B$2:$B$700,K$5)</f>
        <v>137</v>
      </c>
      <c r="L558" s="26">
        <f>SUMIFS(INDEX(元データ_加工!$C$2:$P$700,0,MATCH($B558,元データ_加工!$C$1:$P$1,0)),元データ_加工!$A$2:$A$700,$A558,元データ_加工!$B$2:$B$700,L$5)</f>
        <v>109</v>
      </c>
      <c r="M558" s="26">
        <f>SUMIFS(INDEX(元データ_加工!$C$2:$P$700,0,MATCH($B558,元データ_加工!$C$1:$P$1,0)),元データ_加工!$A$2:$A$700,$A558,元データ_加工!$B$2:$B$700,M$5)</f>
        <v>192</v>
      </c>
      <c r="N558" s="26">
        <f>SUMIFS(INDEX(元データ_加工!$C$2:$P$700,0,MATCH($B558,元データ_加工!$C$1:$P$1,0)),元データ_加工!$A$2:$A$700,$A558,元データ_加工!$B$2:$B$700,N$5)</f>
        <v>232</v>
      </c>
      <c r="O558" s="26">
        <f t="shared" si="8"/>
        <v>1562</v>
      </c>
      <c r="P558" s="7">
        <f>IFERROR(O558/SUMIFS(元データ_加工!$C$2:$C$700,元データ_加工!$A$2:$A$700,$A558),"")</f>
        <v>8.1698833621005287E-2</v>
      </c>
    </row>
    <row r="559" spans="1:16" x14ac:dyDescent="0.45">
      <c r="A559" t="s">
        <v>74</v>
      </c>
      <c r="B559" t="s">
        <v>107</v>
      </c>
      <c r="C559" s="26">
        <f>SUMIFS(INDEX(元データ_加工!$C$2:$P$700,0,MATCH($B559,元データ_加工!$C$1:$P$1,0)),元データ_加工!$A$2:$A$700,$A559,元データ_加工!$B$2:$B$700,C$5)</f>
        <v>16</v>
      </c>
      <c r="D559" s="26">
        <f>SUMIFS(INDEX(元データ_加工!$C$2:$P$700,0,MATCH($B559,元データ_加工!$C$1:$P$1,0)),元データ_加工!$A$2:$A$700,$A559,元データ_加工!$B$2:$B$700,D$5)</f>
        <v>8</v>
      </c>
      <c r="E559" s="26">
        <f>SUMIFS(INDEX(元データ_加工!$C$2:$P$700,0,MATCH($B559,元データ_加工!$C$1:$P$1,0)),元データ_加工!$A$2:$A$700,$A559,元データ_加工!$B$2:$B$700,E$5)</f>
        <v>18</v>
      </c>
      <c r="F559" s="26">
        <f>SUMIFS(INDEX(元データ_加工!$C$2:$P$700,0,MATCH($B559,元データ_加工!$C$1:$P$1,0)),元データ_加工!$A$2:$A$700,$A559,元データ_加工!$B$2:$B$700,F$5)</f>
        <v>4</v>
      </c>
      <c r="G559" s="26">
        <f>SUMIFS(INDEX(元データ_加工!$C$2:$P$700,0,MATCH($B559,元データ_加工!$C$1:$P$1,0)),元データ_加工!$A$2:$A$700,$A559,元データ_加工!$B$2:$B$700,G$5)</f>
        <v>1</v>
      </c>
      <c r="H559" s="26">
        <f>SUMIFS(INDEX(元データ_加工!$C$2:$P$700,0,MATCH($B559,元データ_加工!$C$1:$P$1,0)),元データ_加工!$A$2:$A$700,$A559,元データ_加工!$B$2:$B$700,H$5)</f>
        <v>0</v>
      </c>
      <c r="I559" s="26">
        <f>SUMIFS(INDEX(元データ_加工!$C$2:$P$700,0,MATCH($B559,元データ_加工!$C$1:$P$1,0)),元データ_加工!$A$2:$A$700,$A559,元データ_加工!$B$2:$B$700,I$5)</f>
        <v>2</v>
      </c>
      <c r="J559" s="26">
        <f>SUMIFS(INDEX(元データ_加工!$C$2:$P$700,0,MATCH($B559,元データ_加工!$C$1:$P$1,0)),元データ_加工!$A$2:$A$700,$A559,元データ_加工!$B$2:$B$700,J$5)</f>
        <v>3</v>
      </c>
      <c r="K559" s="26">
        <f>SUMIFS(INDEX(元データ_加工!$C$2:$P$700,0,MATCH($B559,元データ_加工!$C$1:$P$1,0)),元データ_加工!$A$2:$A$700,$A559,元データ_加工!$B$2:$B$700,K$5)</f>
        <v>0</v>
      </c>
      <c r="L559" s="26">
        <f>SUMIFS(INDEX(元データ_加工!$C$2:$P$700,0,MATCH($B559,元データ_加工!$C$1:$P$1,0)),元データ_加工!$A$2:$A$700,$A559,元データ_加工!$B$2:$B$700,L$5)</f>
        <v>2</v>
      </c>
      <c r="M559" s="26">
        <f>SUMIFS(INDEX(元データ_加工!$C$2:$P$700,0,MATCH($B559,元データ_加工!$C$1:$P$1,0)),元データ_加工!$A$2:$A$700,$A559,元データ_加工!$B$2:$B$700,M$5)</f>
        <v>1</v>
      </c>
      <c r="N559" s="26">
        <f>SUMIFS(INDEX(元データ_加工!$C$2:$P$700,0,MATCH($B559,元データ_加工!$C$1:$P$1,0)),元データ_加工!$A$2:$A$700,$A559,元データ_加工!$B$2:$B$700,N$5)</f>
        <v>3</v>
      </c>
      <c r="O559" s="26">
        <f t="shared" si="8"/>
        <v>58</v>
      </c>
      <c r="P559" s="7">
        <f>IFERROR(O559/SUMIFS(元データ_加工!$C$2:$C$700,元データ_加工!$A$2:$A$700,$A559),"")</f>
        <v>3.033631466080862E-3</v>
      </c>
    </row>
    <row r="560" spans="1:16" x14ac:dyDescent="0.45">
      <c r="A560" t="s">
        <v>74</v>
      </c>
      <c r="B560" t="s">
        <v>108</v>
      </c>
      <c r="C560" s="26">
        <f>SUMIFS(INDEX(元データ_加工!$C$2:$P$700,0,MATCH($B560,元データ_加工!$C$1:$P$1,0)),元データ_加工!$A$2:$A$700,$A560,元データ_加工!$B$2:$B$700,C$5)</f>
        <v>0</v>
      </c>
      <c r="D560" s="26">
        <f>SUMIFS(INDEX(元データ_加工!$C$2:$P$700,0,MATCH($B560,元データ_加工!$C$1:$P$1,0)),元データ_加工!$A$2:$A$700,$A560,元データ_加工!$B$2:$B$700,D$5)</f>
        <v>24</v>
      </c>
      <c r="E560" s="26">
        <f>SUMIFS(INDEX(元データ_加工!$C$2:$P$700,0,MATCH($B560,元データ_加工!$C$1:$P$1,0)),元データ_加工!$A$2:$A$700,$A560,元データ_加工!$B$2:$B$700,E$5)</f>
        <v>43</v>
      </c>
      <c r="F560" s="26">
        <f>SUMIFS(INDEX(元データ_加工!$C$2:$P$700,0,MATCH($B560,元データ_加工!$C$1:$P$1,0)),元データ_加工!$A$2:$A$700,$A560,元データ_加工!$B$2:$B$700,F$5)</f>
        <v>31</v>
      </c>
      <c r="G560" s="26">
        <f>SUMIFS(INDEX(元データ_加工!$C$2:$P$700,0,MATCH($B560,元データ_加工!$C$1:$P$1,0)),元データ_加工!$A$2:$A$700,$A560,元データ_加工!$B$2:$B$700,G$5)</f>
        <v>12</v>
      </c>
      <c r="H560" s="26">
        <f>SUMIFS(INDEX(元データ_加工!$C$2:$P$700,0,MATCH($B560,元データ_加工!$C$1:$P$1,0)),元データ_加工!$A$2:$A$700,$A560,元データ_加工!$B$2:$B$700,H$5)</f>
        <v>17</v>
      </c>
      <c r="I560" s="26">
        <f>SUMIFS(INDEX(元データ_加工!$C$2:$P$700,0,MATCH($B560,元データ_加工!$C$1:$P$1,0)),元データ_加工!$A$2:$A$700,$A560,元データ_加工!$B$2:$B$700,I$5)</f>
        <v>19</v>
      </c>
      <c r="J560" s="26">
        <f>SUMIFS(INDEX(元データ_加工!$C$2:$P$700,0,MATCH($B560,元データ_加工!$C$1:$P$1,0)),元データ_加工!$A$2:$A$700,$A560,元データ_加工!$B$2:$B$700,J$5)</f>
        <v>10</v>
      </c>
      <c r="K560" s="26">
        <f>SUMIFS(INDEX(元データ_加工!$C$2:$P$700,0,MATCH($B560,元データ_加工!$C$1:$P$1,0)),元データ_加工!$A$2:$A$700,$A560,元データ_加工!$B$2:$B$700,K$5)</f>
        <v>2</v>
      </c>
      <c r="L560" s="26">
        <f>SUMIFS(INDEX(元データ_加工!$C$2:$P$700,0,MATCH($B560,元データ_加工!$C$1:$P$1,0)),元データ_加工!$A$2:$A$700,$A560,元データ_加工!$B$2:$B$700,L$5)</f>
        <v>1</v>
      </c>
      <c r="M560" s="26">
        <f>SUMIFS(INDEX(元データ_加工!$C$2:$P$700,0,MATCH($B560,元データ_加工!$C$1:$P$1,0)),元データ_加工!$A$2:$A$700,$A560,元データ_加工!$B$2:$B$700,M$5)</f>
        <v>3</v>
      </c>
      <c r="N560" s="26">
        <f>SUMIFS(INDEX(元データ_加工!$C$2:$P$700,0,MATCH($B560,元データ_加工!$C$1:$P$1,0)),元データ_加工!$A$2:$A$700,$A560,元データ_加工!$B$2:$B$700,N$5)</f>
        <v>3</v>
      </c>
      <c r="O560" s="26">
        <f t="shared" si="8"/>
        <v>165</v>
      </c>
      <c r="P560" s="7">
        <f>IFERROR(O560/SUMIFS(元データ_加工!$C$2:$C$700,元データ_加工!$A$2:$A$700,$A560),"")</f>
        <v>8.6301584810921077E-3</v>
      </c>
    </row>
    <row r="561" spans="1:16" x14ac:dyDescent="0.45">
      <c r="A561" t="s">
        <v>74</v>
      </c>
      <c r="B561" t="s">
        <v>109</v>
      </c>
      <c r="C561" s="26">
        <f>SUMIFS(INDEX(元データ_加工!$C$2:$P$700,0,MATCH($B561,元データ_加工!$C$1:$P$1,0)),元データ_加工!$A$2:$A$700,$A561,元データ_加工!$B$2:$B$700,C$5)</f>
        <v>99</v>
      </c>
      <c r="D561" s="26">
        <f>SUMIFS(INDEX(元データ_加工!$C$2:$P$700,0,MATCH($B561,元データ_加工!$C$1:$P$1,0)),元データ_加工!$A$2:$A$700,$A561,元データ_加工!$B$2:$B$700,D$5)</f>
        <v>116</v>
      </c>
      <c r="E561" s="26">
        <f>SUMIFS(INDEX(元データ_加工!$C$2:$P$700,0,MATCH($B561,元データ_加工!$C$1:$P$1,0)),元データ_加工!$A$2:$A$700,$A561,元データ_加工!$B$2:$B$700,E$5)</f>
        <v>147</v>
      </c>
      <c r="F561" s="26">
        <f>SUMIFS(INDEX(元データ_加工!$C$2:$P$700,0,MATCH($B561,元データ_加工!$C$1:$P$1,0)),元データ_加工!$A$2:$A$700,$A561,元データ_加工!$B$2:$B$700,F$5)</f>
        <v>117</v>
      </c>
      <c r="G561" s="26">
        <f>SUMIFS(INDEX(元データ_加工!$C$2:$P$700,0,MATCH($B561,元データ_加工!$C$1:$P$1,0)),元データ_加工!$A$2:$A$700,$A561,元データ_加工!$B$2:$B$700,G$5)</f>
        <v>111</v>
      </c>
      <c r="H561" s="26">
        <f>SUMIFS(INDEX(元データ_加工!$C$2:$P$700,0,MATCH($B561,元データ_加工!$C$1:$P$1,0)),元データ_加工!$A$2:$A$700,$A561,元データ_加工!$B$2:$B$700,H$5)</f>
        <v>92</v>
      </c>
      <c r="I561" s="26">
        <f>SUMIFS(INDEX(元データ_加工!$C$2:$P$700,0,MATCH($B561,元データ_加工!$C$1:$P$1,0)),元データ_加工!$A$2:$A$700,$A561,元データ_加工!$B$2:$B$700,I$5)</f>
        <v>89</v>
      </c>
      <c r="J561" s="26">
        <f>SUMIFS(INDEX(元データ_加工!$C$2:$P$700,0,MATCH($B561,元データ_加工!$C$1:$P$1,0)),元データ_加工!$A$2:$A$700,$A561,元データ_加工!$B$2:$B$700,J$5)</f>
        <v>134</v>
      </c>
      <c r="K561" s="26">
        <f>SUMIFS(INDEX(元データ_加工!$C$2:$P$700,0,MATCH($B561,元データ_加工!$C$1:$P$1,0)),元データ_加工!$A$2:$A$700,$A561,元データ_加工!$B$2:$B$700,K$5)</f>
        <v>86</v>
      </c>
      <c r="L561" s="26">
        <f>SUMIFS(INDEX(元データ_加工!$C$2:$P$700,0,MATCH($B561,元データ_加工!$C$1:$P$1,0)),元データ_加工!$A$2:$A$700,$A561,元データ_加工!$B$2:$B$700,L$5)</f>
        <v>109</v>
      </c>
      <c r="M561" s="26">
        <f>SUMIFS(INDEX(元データ_加工!$C$2:$P$700,0,MATCH($B561,元データ_加工!$C$1:$P$1,0)),元データ_加工!$A$2:$A$700,$A561,元データ_加工!$B$2:$B$700,M$5)</f>
        <v>102</v>
      </c>
      <c r="N561" s="26">
        <f>SUMIFS(INDEX(元データ_加工!$C$2:$P$700,0,MATCH($B561,元データ_加工!$C$1:$P$1,0)),元データ_加工!$A$2:$A$700,$A561,元データ_加工!$B$2:$B$700,N$5)</f>
        <v>88</v>
      </c>
      <c r="O561" s="26">
        <f t="shared" si="8"/>
        <v>1290</v>
      </c>
      <c r="P561" s="7">
        <f>IFERROR(O561/SUMIFS(元データ_加工!$C$2:$C$700,元データ_加工!$A$2:$A$700,$A561),"")</f>
        <v>6.7472148124901932E-2</v>
      </c>
    </row>
    <row r="562" spans="1:16" x14ac:dyDescent="0.45">
      <c r="A562" t="s">
        <v>74</v>
      </c>
      <c r="B562" t="s">
        <v>110</v>
      </c>
      <c r="C562" s="26">
        <f>SUMIFS(INDEX(元データ_加工!$C$2:$P$700,0,MATCH($B562,元データ_加工!$C$1:$P$1,0)),元データ_加工!$A$2:$A$700,$A562,元データ_加工!$B$2:$B$700,C$5)</f>
        <v>0</v>
      </c>
      <c r="D562" s="26">
        <f>SUMIFS(INDEX(元データ_加工!$C$2:$P$700,0,MATCH($B562,元データ_加工!$C$1:$P$1,0)),元データ_加工!$A$2:$A$700,$A562,元データ_加工!$B$2:$B$700,D$5)</f>
        <v>0</v>
      </c>
      <c r="E562" s="26">
        <f>SUMIFS(INDEX(元データ_加工!$C$2:$P$700,0,MATCH($B562,元データ_加工!$C$1:$P$1,0)),元データ_加工!$A$2:$A$700,$A562,元データ_加工!$B$2:$B$700,E$5)</f>
        <v>1</v>
      </c>
      <c r="F562" s="26">
        <f>SUMIFS(INDEX(元データ_加工!$C$2:$P$700,0,MATCH($B562,元データ_加工!$C$1:$P$1,0)),元データ_加工!$A$2:$A$700,$A562,元データ_加工!$B$2:$B$700,F$5)</f>
        <v>0</v>
      </c>
      <c r="G562" s="26">
        <f>SUMIFS(INDEX(元データ_加工!$C$2:$P$700,0,MATCH($B562,元データ_加工!$C$1:$P$1,0)),元データ_加工!$A$2:$A$700,$A562,元データ_加工!$B$2:$B$700,G$5)</f>
        <v>0</v>
      </c>
      <c r="H562" s="26">
        <f>SUMIFS(INDEX(元データ_加工!$C$2:$P$700,0,MATCH($B562,元データ_加工!$C$1:$P$1,0)),元データ_加工!$A$2:$A$700,$A562,元データ_加工!$B$2:$B$700,H$5)</f>
        <v>0</v>
      </c>
      <c r="I562" s="26">
        <f>SUMIFS(INDEX(元データ_加工!$C$2:$P$700,0,MATCH($B562,元データ_加工!$C$1:$P$1,0)),元データ_加工!$A$2:$A$700,$A562,元データ_加工!$B$2:$B$700,I$5)</f>
        <v>0</v>
      </c>
      <c r="J562" s="26">
        <f>SUMIFS(INDEX(元データ_加工!$C$2:$P$700,0,MATCH($B562,元データ_加工!$C$1:$P$1,0)),元データ_加工!$A$2:$A$700,$A562,元データ_加工!$B$2:$B$700,J$5)</f>
        <v>0</v>
      </c>
      <c r="K562" s="26">
        <f>SUMIFS(INDEX(元データ_加工!$C$2:$P$700,0,MATCH($B562,元データ_加工!$C$1:$P$1,0)),元データ_加工!$A$2:$A$700,$A562,元データ_加工!$B$2:$B$700,K$5)</f>
        <v>0</v>
      </c>
      <c r="L562" s="26">
        <f>SUMIFS(INDEX(元データ_加工!$C$2:$P$700,0,MATCH($B562,元データ_加工!$C$1:$P$1,0)),元データ_加工!$A$2:$A$700,$A562,元データ_加工!$B$2:$B$700,L$5)</f>
        <v>0</v>
      </c>
      <c r="M562" s="26">
        <f>SUMIFS(INDEX(元データ_加工!$C$2:$P$700,0,MATCH($B562,元データ_加工!$C$1:$P$1,0)),元データ_加工!$A$2:$A$700,$A562,元データ_加工!$B$2:$B$700,M$5)</f>
        <v>0</v>
      </c>
      <c r="N562" s="26">
        <f>SUMIFS(INDEX(元データ_加工!$C$2:$P$700,0,MATCH($B562,元データ_加工!$C$1:$P$1,0)),元データ_加工!$A$2:$A$700,$A562,元データ_加工!$B$2:$B$700,N$5)</f>
        <v>1</v>
      </c>
      <c r="O562" s="26">
        <f t="shared" si="8"/>
        <v>2</v>
      </c>
      <c r="P562" s="7">
        <f>IFERROR(O562/SUMIFS(元データ_加工!$C$2:$C$700,元データ_加工!$A$2:$A$700,$A562),"")</f>
        <v>1.0460798158899524E-4</v>
      </c>
    </row>
    <row r="563" spans="1:16" x14ac:dyDescent="0.45">
      <c r="A563" t="s">
        <v>74</v>
      </c>
      <c r="B563" t="s">
        <v>111</v>
      </c>
      <c r="C563" s="26">
        <f>SUMIFS(INDEX(元データ_加工!$C$2:$P$700,0,MATCH($B563,元データ_加工!$C$1:$P$1,0)),元データ_加工!$A$2:$A$700,$A563,元データ_加工!$B$2:$B$700,C$5)</f>
        <v>0</v>
      </c>
      <c r="D563" s="26">
        <f>SUMIFS(INDEX(元データ_加工!$C$2:$P$700,0,MATCH($B563,元データ_加工!$C$1:$P$1,0)),元データ_加工!$A$2:$A$700,$A563,元データ_加工!$B$2:$B$700,D$5)</f>
        <v>0</v>
      </c>
      <c r="E563" s="26">
        <f>SUMIFS(INDEX(元データ_加工!$C$2:$P$700,0,MATCH($B563,元データ_加工!$C$1:$P$1,0)),元データ_加工!$A$2:$A$700,$A563,元データ_加工!$B$2:$B$700,E$5)</f>
        <v>0</v>
      </c>
      <c r="F563" s="26">
        <f>SUMIFS(INDEX(元データ_加工!$C$2:$P$700,0,MATCH($B563,元データ_加工!$C$1:$P$1,0)),元データ_加工!$A$2:$A$700,$A563,元データ_加工!$B$2:$B$700,F$5)</f>
        <v>0</v>
      </c>
      <c r="G563" s="26">
        <f>SUMIFS(INDEX(元データ_加工!$C$2:$P$700,0,MATCH($B563,元データ_加工!$C$1:$P$1,0)),元データ_加工!$A$2:$A$700,$A563,元データ_加工!$B$2:$B$700,G$5)</f>
        <v>0</v>
      </c>
      <c r="H563" s="26">
        <f>SUMIFS(INDEX(元データ_加工!$C$2:$P$700,0,MATCH($B563,元データ_加工!$C$1:$P$1,0)),元データ_加工!$A$2:$A$700,$A563,元データ_加工!$B$2:$B$700,H$5)</f>
        <v>0</v>
      </c>
      <c r="I563" s="26">
        <f>SUMIFS(INDEX(元データ_加工!$C$2:$P$700,0,MATCH($B563,元データ_加工!$C$1:$P$1,0)),元データ_加工!$A$2:$A$700,$A563,元データ_加工!$B$2:$B$700,I$5)</f>
        <v>0</v>
      </c>
      <c r="J563" s="26">
        <f>SUMIFS(INDEX(元データ_加工!$C$2:$P$700,0,MATCH($B563,元データ_加工!$C$1:$P$1,0)),元データ_加工!$A$2:$A$700,$A563,元データ_加工!$B$2:$B$700,J$5)</f>
        <v>0</v>
      </c>
      <c r="K563" s="26">
        <f>SUMIFS(INDEX(元データ_加工!$C$2:$P$700,0,MATCH($B563,元データ_加工!$C$1:$P$1,0)),元データ_加工!$A$2:$A$700,$A563,元データ_加工!$B$2:$B$700,K$5)</f>
        <v>0</v>
      </c>
      <c r="L563" s="26">
        <f>SUMIFS(INDEX(元データ_加工!$C$2:$P$700,0,MATCH($B563,元データ_加工!$C$1:$P$1,0)),元データ_加工!$A$2:$A$700,$A563,元データ_加工!$B$2:$B$700,L$5)</f>
        <v>5</v>
      </c>
      <c r="M563" s="26">
        <f>SUMIFS(INDEX(元データ_加工!$C$2:$P$700,0,MATCH($B563,元データ_加工!$C$1:$P$1,0)),元データ_加工!$A$2:$A$700,$A563,元データ_加工!$B$2:$B$700,M$5)</f>
        <v>10</v>
      </c>
      <c r="N563" s="26">
        <f>SUMIFS(INDEX(元データ_加工!$C$2:$P$700,0,MATCH($B563,元データ_加工!$C$1:$P$1,0)),元データ_加工!$A$2:$A$700,$A563,元データ_加工!$B$2:$B$700,N$5)</f>
        <v>0</v>
      </c>
      <c r="O563" s="26">
        <f t="shared" si="8"/>
        <v>15</v>
      </c>
      <c r="P563" s="7">
        <f>IFERROR(O563/SUMIFS(元データ_加工!$C$2:$C$700,元データ_加工!$A$2:$A$700,$A563),"")</f>
        <v>7.8455986191746426E-4</v>
      </c>
    </row>
    <row r="564" spans="1:16" x14ac:dyDescent="0.45">
      <c r="A564" t="s">
        <v>74</v>
      </c>
      <c r="B564" t="s">
        <v>112</v>
      </c>
      <c r="C564" s="26">
        <f>SUMIFS(INDEX(元データ_加工!$C$2:$P$700,0,MATCH($B564,元データ_加工!$C$1:$P$1,0)),元データ_加工!$A$2:$A$700,$A564,元データ_加工!$B$2:$B$700,C$5)</f>
        <v>0</v>
      </c>
      <c r="D564" s="26">
        <f>SUMIFS(INDEX(元データ_加工!$C$2:$P$700,0,MATCH($B564,元データ_加工!$C$1:$P$1,0)),元データ_加工!$A$2:$A$700,$A564,元データ_加工!$B$2:$B$700,D$5)</f>
        <v>0</v>
      </c>
      <c r="E564" s="26">
        <f>SUMIFS(INDEX(元データ_加工!$C$2:$P$700,0,MATCH($B564,元データ_加工!$C$1:$P$1,0)),元データ_加工!$A$2:$A$700,$A564,元データ_加工!$B$2:$B$700,E$5)</f>
        <v>0</v>
      </c>
      <c r="F564" s="26">
        <f>SUMIFS(INDEX(元データ_加工!$C$2:$P$700,0,MATCH($B564,元データ_加工!$C$1:$P$1,0)),元データ_加工!$A$2:$A$700,$A564,元データ_加工!$B$2:$B$700,F$5)</f>
        <v>0</v>
      </c>
      <c r="G564" s="26">
        <f>SUMIFS(INDEX(元データ_加工!$C$2:$P$700,0,MATCH($B564,元データ_加工!$C$1:$P$1,0)),元データ_加工!$A$2:$A$700,$A564,元データ_加工!$B$2:$B$700,G$5)</f>
        <v>0</v>
      </c>
      <c r="H564" s="26">
        <f>SUMIFS(INDEX(元データ_加工!$C$2:$P$700,0,MATCH($B564,元データ_加工!$C$1:$P$1,0)),元データ_加工!$A$2:$A$700,$A564,元データ_加工!$B$2:$B$700,H$5)</f>
        <v>0</v>
      </c>
      <c r="I564" s="26">
        <f>SUMIFS(INDEX(元データ_加工!$C$2:$P$700,0,MATCH($B564,元データ_加工!$C$1:$P$1,0)),元データ_加工!$A$2:$A$700,$A564,元データ_加工!$B$2:$B$700,I$5)</f>
        <v>0</v>
      </c>
      <c r="J564" s="26">
        <f>SUMIFS(INDEX(元データ_加工!$C$2:$P$700,0,MATCH($B564,元データ_加工!$C$1:$P$1,0)),元データ_加工!$A$2:$A$700,$A564,元データ_加工!$B$2:$B$700,J$5)</f>
        <v>0</v>
      </c>
      <c r="K564" s="26">
        <f>SUMIFS(INDEX(元データ_加工!$C$2:$P$700,0,MATCH($B564,元データ_加工!$C$1:$P$1,0)),元データ_加工!$A$2:$A$700,$A564,元データ_加工!$B$2:$B$700,K$5)</f>
        <v>7</v>
      </c>
      <c r="L564" s="26">
        <f>SUMIFS(INDEX(元データ_加工!$C$2:$P$700,0,MATCH($B564,元データ_加工!$C$1:$P$1,0)),元データ_加工!$A$2:$A$700,$A564,元データ_加工!$B$2:$B$700,L$5)</f>
        <v>0</v>
      </c>
      <c r="M564" s="26">
        <f>SUMIFS(INDEX(元データ_加工!$C$2:$P$700,0,MATCH($B564,元データ_加工!$C$1:$P$1,0)),元データ_加工!$A$2:$A$700,$A564,元データ_加工!$B$2:$B$700,M$5)</f>
        <v>0</v>
      </c>
      <c r="N564" s="26">
        <f>SUMIFS(INDEX(元データ_加工!$C$2:$P$700,0,MATCH($B564,元データ_加工!$C$1:$P$1,0)),元データ_加工!$A$2:$A$700,$A564,元データ_加工!$B$2:$B$700,N$5)</f>
        <v>1</v>
      </c>
      <c r="O564" s="26">
        <f t="shared" si="8"/>
        <v>8</v>
      </c>
      <c r="P564" s="7">
        <f>IFERROR(O564/SUMIFS(元データ_加工!$C$2:$C$700,元データ_加工!$A$2:$A$700,$A564),"")</f>
        <v>4.1843192635598094E-4</v>
      </c>
    </row>
    <row r="565" spans="1:16" x14ac:dyDescent="0.45">
      <c r="A565" t="s">
        <v>74</v>
      </c>
      <c r="B565" t="s">
        <v>113</v>
      </c>
      <c r="C565" s="26">
        <f>SUMIFS(INDEX(元データ_加工!$C$2:$P$700,0,MATCH($B565,元データ_加工!$C$1:$P$1,0)),元データ_加工!$A$2:$A$700,$A565,元データ_加工!$B$2:$B$700,C$5)</f>
        <v>1</v>
      </c>
      <c r="D565" s="26">
        <f>SUMIFS(INDEX(元データ_加工!$C$2:$P$700,0,MATCH($B565,元データ_加工!$C$1:$P$1,0)),元データ_加工!$A$2:$A$700,$A565,元データ_加工!$B$2:$B$700,D$5)</f>
        <v>2</v>
      </c>
      <c r="E565" s="26">
        <f>SUMIFS(INDEX(元データ_加工!$C$2:$P$700,0,MATCH($B565,元データ_加工!$C$1:$P$1,0)),元データ_加工!$A$2:$A$700,$A565,元データ_加工!$B$2:$B$700,E$5)</f>
        <v>0</v>
      </c>
      <c r="F565" s="26">
        <f>SUMIFS(INDEX(元データ_加工!$C$2:$P$700,0,MATCH($B565,元データ_加工!$C$1:$P$1,0)),元データ_加工!$A$2:$A$700,$A565,元データ_加工!$B$2:$B$700,F$5)</f>
        <v>0</v>
      </c>
      <c r="G565" s="26">
        <f>SUMIFS(INDEX(元データ_加工!$C$2:$P$700,0,MATCH($B565,元データ_加工!$C$1:$P$1,0)),元データ_加工!$A$2:$A$700,$A565,元データ_加工!$B$2:$B$700,G$5)</f>
        <v>0</v>
      </c>
      <c r="H565" s="26">
        <f>SUMIFS(INDEX(元データ_加工!$C$2:$P$700,0,MATCH($B565,元データ_加工!$C$1:$P$1,0)),元データ_加工!$A$2:$A$700,$A565,元データ_加工!$B$2:$B$700,H$5)</f>
        <v>0</v>
      </c>
      <c r="I565" s="26">
        <f>SUMIFS(INDEX(元データ_加工!$C$2:$P$700,0,MATCH($B565,元データ_加工!$C$1:$P$1,0)),元データ_加工!$A$2:$A$700,$A565,元データ_加工!$B$2:$B$700,I$5)</f>
        <v>0</v>
      </c>
      <c r="J565" s="26">
        <f>SUMIFS(INDEX(元データ_加工!$C$2:$P$700,0,MATCH($B565,元データ_加工!$C$1:$P$1,0)),元データ_加工!$A$2:$A$700,$A565,元データ_加工!$B$2:$B$700,J$5)</f>
        <v>0</v>
      </c>
      <c r="K565" s="26">
        <f>SUMIFS(INDEX(元データ_加工!$C$2:$P$700,0,MATCH($B565,元データ_加工!$C$1:$P$1,0)),元データ_加工!$A$2:$A$700,$A565,元データ_加工!$B$2:$B$700,K$5)</f>
        <v>0</v>
      </c>
      <c r="L565" s="26">
        <f>SUMIFS(INDEX(元データ_加工!$C$2:$P$700,0,MATCH($B565,元データ_加工!$C$1:$P$1,0)),元データ_加工!$A$2:$A$700,$A565,元データ_加工!$B$2:$B$700,L$5)</f>
        <v>0</v>
      </c>
      <c r="M565" s="26">
        <f>SUMIFS(INDEX(元データ_加工!$C$2:$P$700,0,MATCH($B565,元データ_加工!$C$1:$P$1,0)),元データ_加工!$A$2:$A$700,$A565,元データ_加工!$B$2:$B$700,M$5)</f>
        <v>1</v>
      </c>
      <c r="N565" s="26">
        <f>SUMIFS(INDEX(元データ_加工!$C$2:$P$700,0,MATCH($B565,元データ_加工!$C$1:$P$1,0)),元データ_加工!$A$2:$A$700,$A565,元データ_加工!$B$2:$B$700,N$5)</f>
        <v>1</v>
      </c>
      <c r="O565" s="26">
        <f t="shared" si="8"/>
        <v>5</v>
      </c>
      <c r="P565" s="7">
        <f>IFERROR(O565/SUMIFS(元データ_加工!$C$2:$C$700,元データ_加工!$A$2:$A$700,$A565),"")</f>
        <v>2.6151995397248812E-4</v>
      </c>
    </row>
    <row r="566" spans="1:16" x14ac:dyDescent="0.45">
      <c r="A566" t="s">
        <v>75</v>
      </c>
      <c r="B566" t="s">
        <v>100</v>
      </c>
      <c r="C566" s="26">
        <f>SUMIFS(INDEX(元データ_加工!$C$2:$P$700,0,MATCH($B566,元データ_加工!$C$1:$P$1,0)),元データ_加工!$A$2:$A$700,$A566,元データ_加工!$B$2:$B$700,C$5)</f>
        <v>1049</v>
      </c>
      <c r="D566" s="26">
        <f>SUMIFS(INDEX(元データ_加工!$C$2:$P$700,0,MATCH($B566,元データ_加工!$C$1:$P$1,0)),元データ_加工!$A$2:$A$700,$A566,元データ_加工!$B$2:$B$700,D$5)</f>
        <v>1242</v>
      </c>
      <c r="E566" s="26">
        <f>SUMIFS(INDEX(元データ_加工!$C$2:$P$700,0,MATCH($B566,元データ_加工!$C$1:$P$1,0)),元データ_加工!$A$2:$A$700,$A566,元データ_加工!$B$2:$B$700,E$5)</f>
        <v>1746</v>
      </c>
      <c r="F566" s="26">
        <f>SUMIFS(INDEX(元データ_加工!$C$2:$P$700,0,MATCH($B566,元データ_加工!$C$1:$P$1,0)),元データ_加工!$A$2:$A$700,$A566,元データ_加工!$B$2:$B$700,F$5)</f>
        <v>1758</v>
      </c>
      <c r="G566" s="26">
        <f>SUMIFS(INDEX(元データ_加工!$C$2:$P$700,0,MATCH($B566,元データ_加工!$C$1:$P$1,0)),元データ_加工!$A$2:$A$700,$A566,元データ_加工!$B$2:$B$700,G$5)</f>
        <v>1751</v>
      </c>
      <c r="H566" s="26">
        <f>SUMIFS(INDEX(元データ_加工!$C$2:$P$700,0,MATCH($B566,元データ_加工!$C$1:$P$1,0)),元データ_加工!$A$2:$A$700,$A566,元データ_加工!$B$2:$B$700,H$5)</f>
        <v>1162</v>
      </c>
      <c r="I566" s="26">
        <f>SUMIFS(INDEX(元データ_加工!$C$2:$P$700,0,MATCH($B566,元データ_加工!$C$1:$P$1,0)),元データ_加工!$A$2:$A$700,$A566,元データ_加工!$B$2:$B$700,I$5)</f>
        <v>1047</v>
      </c>
      <c r="J566" s="26">
        <f>SUMIFS(INDEX(元データ_加工!$C$2:$P$700,0,MATCH($B566,元データ_加工!$C$1:$P$1,0)),元データ_加工!$A$2:$A$700,$A566,元データ_加工!$B$2:$B$700,J$5)</f>
        <v>1728</v>
      </c>
      <c r="K566" s="26">
        <f>SUMIFS(INDEX(元データ_加工!$C$2:$P$700,0,MATCH($B566,元データ_加工!$C$1:$P$1,0)),元データ_加工!$A$2:$A$700,$A566,元データ_加工!$B$2:$B$700,K$5)</f>
        <v>3171</v>
      </c>
      <c r="L566" s="26">
        <f>SUMIFS(INDEX(元データ_加工!$C$2:$P$700,0,MATCH($B566,元データ_加工!$C$1:$P$1,0)),元データ_加工!$A$2:$A$700,$A566,元データ_加工!$B$2:$B$700,L$5)</f>
        <v>2071</v>
      </c>
      <c r="M566" s="26">
        <f>SUMIFS(INDEX(元データ_加工!$C$2:$P$700,0,MATCH($B566,元データ_加工!$C$1:$P$1,0)),元データ_加工!$A$2:$A$700,$A566,元データ_加工!$B$2:$B$700,M$5)</f>
        <v>1869</v>
      </c>
      <c r="N566" s="26">
        <f>SUMIFS(INDEX(元データ_加工!$C$2:$P$700,0,MATCH($B566,元データ_加工!$C$1:$P$1,0)),元データ_加工!$A$2:$A$700,$A566,元データ_加工!$B$2:$B$700,N$5)</f>
        <v>1545</v>
      </c>
      <c r="O566" s="26">
        <f t="shared" si="8"/>
        <v>20139</v>
      </c>
      <c r="P566" s="7">
        <f>IFERROR(O566/SUMIFS(元データ_加工!$C$2:$C$700,元データ_加工!$A$2:$A$700,$A566),"")</f>
        <v>1</v>
      </c>
    </row>
    <row r="567" spans="1:16" x14ac:dyDescent="0.45">
      <c r="A567" t="s">
        <v>75</v>
      </c>
      <c r="B567" t="s">
        <v>101</v>
      </c>
      <c r="C567" s="26">
        <f>SUMIFS(INDEX(元データ_加工!$C$2:$P$700,0,MATCH($B567,元データ_加工!$C$1:$P$1,0)),元データ_加工!$A$2:$A$700,$A567,元データ_加工!$B$2:$B$700,C$5)</f>
        <v>488</v>
      </c>
      <c r="D567" s="26">
        <f>SUMIFS(INDEX(元データ_加工!$C$2:$P$700,0,MATCH($B567,元データ_加工!$C$1:$P$1,0)),元データ_加工!$A$2:$A$700,$A567,元データ_加工!$B$2:$B$700,D$5)</f>
        <v>586</v>
      </c>
      <c r="E567" s="26">
        <f>SUMIFS(INDEX(元データ_加工!$C$2:$P$700,0,MATCH($B567,元データ_加工!$C$1:$P$1,0)),元データ_加工!$A$2:$A$700,$A567,元データ_加工!$B$2:$B$700,E$5)</f>
        <v>709</v>
      </c>
      <c r="F567" s="26">
        <f>SUMIFS(INDEX(元データ_加工!$C$2:$P$700,0,MATCH($B567,元データ_加工!$C$1:$P$1,0)),元データ_加工!$A$2:$A$700,$A567,元データ_加工!$B$2:$B$700,F$5)</f>
        <v>640</v>
      </c>
      <c r="G567" s="26">
        <f>SUMIFS(INDEX(元データ_加工!$C$2:$P$700,0,MATCH($B567,元データ_加工!$C$1:$P$1,0)),元データ_加工!$A$2:$A$700,$A567,元データ_加工!$B$2:$B$700,G$5)</f>
        <v>622</v>
      </c>
      <c r="H567" s="26">
        <f>SUMIFS(INDEX(元データ_加工!$C$2:$P$700,0,MATCH($B567,元データ_加工!$C$1:$P$1,0)),元データ_加工!$A$2:$A$700,$A567,元データ_加工!$B$2:$B$700,H$5)</f>
        <v>512</v>
      </c>
      <c r="I567" s="26">
        <f>SUMIFS(INDEX(元データ_加工!$C$2:$P$700,0,MATCH($B567,元データ_加工!$C$1:$P$1,0)),元データ_加工!$A$2:$A$700,$A567,元データ_加工!$B$2:$B$700,I$5)</f>
        <v>510</v>
      </c>
      <c r="J567" s="26">
        <f>SUMIFS(INDEX(元データ_加工!$C$2:$P$700,0,MATCH($B567,元データ_加工!$C$1:$P$1,0)),元データ_加工!$A$2:$A$700,$A567,元データ_加工!$B$2:$B$700,J$5)</f>
        <v>616</v>
      </c>
      <c r="K567" s="26">
        <f>SUMIFS(INDEX(元データ_加工!$C$2:$P$700,0,MATCH($B567,元データ_加工!$C$1:$P$1,0)),元データ_加工!$A$2:$A$700,$A567,元データ_加工!$B$2:$B$700,K$5)</f>
        <v>880</v>
      </c>
      <c r="L567" s="26">
        <f>SUMIFS(INDEX(元データ_加工!$C$2:$P$700,0,MATCH($B567,元データ_加工!$C$1:$P$1,0)),元データ_加工!$A$2:$A$700,$A567,元データ_加工!$B$2:$B$700,L$5)</f>
        <v>691</v>
      </c>
      <c r="M567" s="26">
        <f>SUMIFS(INDEX(元データ_加工!$C$2:$P$700,0,MATCH($B567,元データ_加工!$C$1:$P$1,0)),元データ_加工!$A$2:$A$700,$A567,元データ_加工!$B$2:$B$700,M$5)</f>
        <v>820</v>
      </c>
      <c r="N567" s="26">
        <f>SUMIFS(INDEX(元データ_加工!$C$2:$P$700,0,MATCH($B567,元データ_加工!$C$1:$P$1,0)),元データ_加工!$A$2:$A$700,$A567,元データ_加工!$B$2:$B$700,N$5)</f>
        <v>680</v>
      </c>
      <c r="O567" s="26">
        <f t="shared" si="8"/>
        <v>7754</v>
      </c>
      <c r="P567" s="7">
        <f>IFERROR(O567/SUMIFS(元データ_加工!$C$2:$C$700,元データ_加工!$A$2:$A$700,$A567),"")</f>
        <v>0.38502408262575105</v>
      </c>
    </row>
    <row r="568" spans="1:16" x14ac:dyDescent="0.45">
      <c r="A568" t="s">
        <v>75</v>
      </c>
      <c r="B568" t="s">
        <v>102</v>
      </c>
      <c r="C568" s="26">
        <f>SUMIFS(INDEX(元データ_加工!$C$2:$P$700,0,MATCH($B568,元データ_加工!$C$1:$P$1,0)),元データ_加工!$A$2:$A$700,$A568,元データ_加工!$B$2:$B$700,C$5)</f>
        <v>0</v>
      </c>
      <c r="D568" s="26">
        <f>SUMIFS(INDEX(元データ_加工!$C$2:$P$700,0,MATCH($B568,元データ_加工!$C$1:$P$1,0)),元データ_加工!$A$2:$A$700,$A568,元データ_加工!$B$2:$B$700,D$5)</f>
        <v>0</v>
      </c>
      <c r="E568" s="26">
        <f>SUMIFS(INDEX(元データ_加工!$C$2:$P$700,0,MATCH($B568,元データ_加工!$C$1:$P$1,0)),元データ_加工!$A$2:$A$700,$A568,元データ_加工!$B$2:$B$700,E$5)</f>
        <v>0</v>
      </c>
      <c r="F568" s="26">
        <f>SUMIFS(INDEX(元データ_加工!$C$2:$P$700,0,MATCH($B568,元データ_加工!$C$1:$P$1,0)),元データ_加工!$A$2:$A$700,$A568,元データ_加工!$B$2:$B$700,F$5)</f>
        <v>0</v>
      </c>
      <c r="G568" s="26">
        <f>SUMIFS(INDEX(元データ_加工!$C$2:$P$700,0,MATCH($B568,元データ_加工!$C$1:$P$1,0)),元データ_加工!$A$2:$A$700,$A568,元データ_加工!$B$2:$B$700,G$5)</f>
        <v>0</v>
      </c>
      <c r="H568" s="26">
        <f>SUMIFS(INDEX(元データ_加工!$C$2:$P$700,0,MATCH($B568,元データ_加工!$C$1:$P$1,0)),元データ_加工!$A$2:$A$700,$A568,元データ_加工!$B$2:$B$700,H$5)</f>
        <v>0</v>
      </c>
      <c r="I568" s="26">
        <f>SUMIFS(INDEX(元データ_加工!$C$2:$P$700,0,MATCH($B568,元データ_加工!$C$1:$P$1,0)),元データ_加工!$A$2:$A$700,$A568,元データ_加工!$B$2:$B$700,I$5)</f>
        <v>0</v>
      </c>
      <c r="J568" s="26">
        <f>SUMIFS(INDEX(元データ_加工!$C$2:$P$700,0,MATCH($B568,元データ_加工!$C$1:$P$1,0)),元データ_加工!$A$2:$A$700,$A568,元データ_加工!$B$2:$B$700,J$5)</f>
        <v>2</v>
      </c>
      <c r="K568" s="26">
        <f>SUMIFS(INDEX(元データ_加工!$C$2:$P$700,0,MATCH($B568,元データ_加工!$C$1:$P$1,0)),元データ_加工!$A$2:$A$700,$A568,元データ_加工!$B$2:$B$700,K$5)</f>
        <v>5</v>
      </c>
      <c r="L568" s="26">
        <f>SUMIFS(INDEX(元データ_加工!$C$2:$P$700,0,MATCH($B568,元データ_加工!$C$1:$P$1,0)),元データ_加工!$A$2:$A$700,$A568,元データ_加工!$B$2:$B$700,L$5)</f>
        <v>0</v>
      </c>
      <c r="M568" s="26">
        <f>SUMIFS(INDEX(元データ_加工!$C$2:$P$700,0,MATCH($B568,元データ_加工!$C$1:$P$1,0)),元データ_加工!$A$2:$A$700,$A568,元データ_加工!$B$2:$B$700,M$5)</f>
        <v>0</v>
      </c>
      <c r="N568" s="26">
        <f>SUMIFS(INDEX(元データ_加工!$C$2:$P$700,0,MATCH($B568,元データ_加工!$C$1:$P$1,0)),元データ_加工!$A$2:$A$700,$A568,元データ_加工!$B$2:$B$700,N$5)</f>
        <v>0</v>
      </c>
      <c r="O568" s="26">
        <f t="shared" si="8"/>
        <v>7</v>
      </c>
      <c r="P568" s="7">
        <f>IFERROR(O568/SUMIFS(元データ_加工!$C$2:$C$700,元データ_加工!$A$2:$A$700,$A568),"")</f>
        <v>3.4758428919012862E-4</v>
      </c>
    </row>
    <row r="569" spans="1:16" x14ac:dyDescent="0.45">
      <c r="A569" t="s">
        <v>75</v>
      </c>
      <c r="B569" t="s">
        <v>103</v>
      </c>
      <c r="C569" s="26">
        <f>SUMIFS(INDEX(元データ_加工!$C$2:$P$700,0,MATCH($B569,元データ_加工!$C$1:$P$1,0)),元データ_加工!$A$2:$A$700,$A569,元データ_加工!$B$2:$B$700,C$5)</f>
        <v>7</v>
      </c>
      <c r="D569" s="26">
        <f>SUMIFS(INDEX(元データ_加工!$C$2:$P$700,0,MATCH($B569,元データ_加工!$C$1:$P$1,0)),元データ_加工!$A$2:$A$700,$A569,元データ_加工!$B$2:$B$700,D$5)</f>
        <v>9</v>
      </c>
      <c r="E569" s="26">
        <f>SUMIFS(INDEX(元データ_加工!$C$2:$P$700,0,MATCH($B569,元データ_加工!$C$1:$P$1,0)),元データ_加工!$A$2:$A$700,$A569,元データ_加工!$B$2:$B$700,E$5)</f>
        <v>24</v>
      </c>
      <c r="F569" s="26">
        <f>SUMIFS(INDEX(元データ_加工!$C$2:$P$700,0,MATCH($B569,元データ_加工!$C$1:$P$1,0)),元データ_加工!$A$2:$A$700,$A569,元データ_加工!$B$2:$B$700,F$5)</f>
        <v>17</v>
      </c>
      <c r="G569" s="26">
        <f>SUMIFS(INDEX(元データ_加工!$C$2:$P$700,0,MATCH($B569,元データ_加工!$C$1:$P$1,0)),元データ_加工!$A$2:$A$700,$A569,元データ_加工!$B$2:$B$700,G$5)</f>
        <v>23</v>
      </c>
      <c r="H569" s="26">
        <f>SUMIFS(INDEX(元データ_加工!$C$2:$P$700,0,MATCH($B569,元データ_加工!$C$1:$P$1,0)),元データ_加工!$A$2:$A$700,$A569,元データ_加工!$B$2:$B$700,H$5)</f>
        <v>23</v>
      </c>
      <c r="I569" s="26">
        <f>SUMIFS(INDEX(元データ_加工!$C$2:$P$700,0,MATCH($B569,元データ_加工!$C$1:$P$1,0)),元データ_加工!$A$2:$A$700,$A569,元データ_加工!$B$2:$B$700,I$5)</f>
        <v>34</v>
      </c>
      <c r="J569" s="26">
        <f>SUMIFS(INDEX(元データ_加工!$C$2:$P$700,0,MATCH($B569,元データ_加工!$C$1:$P$1,0)),元データ_加工!$A$2:$A$700,$A569,元データ_加工!$B$2:$B$700,J$5)</f>
        <v>11</v>
      </c>
      <c r="K569" s="26">
        <f>SUMIFS(INDEX(元データ_加工!$C$2:$P$700,0,MATCH($B569,元データ_加工!$C$1:$P$1,0)),元データ_加工!$A$2:$A$700,$A569,元データ_加工!$B$2:$B$700,K$5)</f>
        <v>7</v>
      </c>
      <c r="L569" s="26">
        <f>SUMIFS(INDEX(元データ_加工!$C$2:$P$700,0,MATCH($B569,元データ_加工!$C$1:$P$1,0)),元データ_加工!$A$2:$A$700,$A569,元データ_加工!$B$2:$B$700,L$5)</f>
        <v>5</v>
      </c>
      <c r="M569" s="26">
        <f>SUMIFS(INDEX(元データ_加工!$C$2:$P$700,0,MATCH($B569,元データ_加工!$C$1:$P$1,0)),元データ_加工!$A$2:$A$700,$A569,元データ_加工!$B$2:$B$700,M$5)</f>
        <v>2</v>
      </c>
      <c r="N569" s="26">
        <f>SUMIFS(INDEX(元データ_加工!$C$2:$P$700,0,MATCH($B569,元データ_加工!$C$1:$P$1,0)),元データ_加工!$A$2:$A$700,$A569,元データ_加工!$B$2:$B$700,N$5)</f>
        <v>1</v>
      </c>
      <c r="O569" s="26">
        <f t="shared" si="8"/>
        <v>163</v>
      </c>
      <c r="P569" s="7">
        <f>IFERROR(O569/SUMIFS(元データ_加工!$C$2:$C$700,元データ_加工!$A$2:$A$700,$A569),"")</f>
        <v>8.093748448284423E-3</v>
      </c>
    </row>
    <row r="570" spans="1:16" x14ac:dyDescent="0.45">
      <c r="A570" t="s">
        <v>75</v>
      </c>
      <c r="B570" t="s">
        <v>104</v>
      </c>
      <c r="C570" s="26">
        <f>SUMIFS(INDEX(元データ_加工!$C$2:$P$700,0,MATCH($B570,元データ_加工!$C$1:$P$1,0)),元データ_加工!$A$2:$A$700,$A570,元データ_加工!$B$2:$B$700,C$5)</f>
        <v>7</v>
      </c>
      <c r="D570" s="26">
        <f>SUMIFS(INDEX(元データ_加工!$C$2:$P$700,0,MATCH($B570,元データ_加工!$C$1:$P$1,0)),元データ_加工!$A$2:$A$700,$A570,元データ_加工!$B$2:$B$700,D$5)</f>
        <v>21</v>
      </c>
      <c r="E570" s="26">
        <f>SUMIFS(INDEX(元データ_加工!$C$2:$P$700,0,MATCH($B570,元データ_加工!$C$1:$P$1,0)),元データ_加工!$A$2:$A$700,$A570,元データ_加工!$B$2:$B$700,E$5)</f>
        <v>28</v>
      </c>
      <c r="F570" s="26">
        <f>SUMIFS(INDEX(元データ_加工!$C$2:$P$700,0,MATCH($B570,元データ_加工!$C$1:$P$1,0)),元データ_加工!$A$2:$A$700,$A570,元データ_加工!$B$2:$B$700,F$5)</f>
        <v>27</v>
      </c>
      <c r="G570" s="26">
        <f>SUMIFS(INDEX(元データ_加工!$C$2:$P$700,0,MATCH($B570,元データ_加工!$C$1:$P$1,0)),元データ_加工!$A$2:$A$700,$A570,元データ_加工!$B$2:$B$700,G$5)</f>
        <v>65</v>
      </c>
      <c r="H570" s="26">
        <f>SUMIFS(INDEX(元データ_加工!$C$2:$P$700,0,MATCH($B570,元データ_加工!$C$1:$P$1,0)),元データ_加工!$A$2:$A$700,$A570,元データ_加工!$B$2:$B$700,H$5)</f>
        <v>33</v>
      </c>
      <c r="I570" s="26">
        <f>SUMIFS(INDEX(元データ_加工!$C$2:$P$700,0,MATCH($B570,元データ_加工!$C$1:$P$1,0)),元データ_加工!$A$2:$A$700,$A570,元データ_加工!$B$2:$B$700,I$5)</f>
        <v>25</v>
      </c>
      <c r="J570" s="26">
        <f>SUMIFS(INDEX(元データ_加工!$C$2:$P$700,0,MATCH($B570,元データ_加工!$C$1:$P$1,0)),元データ_加工!$A$2:$A$700,$A570,元データ_加工!$B$2:$B$700,J$5)</f>
        <v>128</v>
      </c>
      <c r="K570" s="26">
        <f>SUMIFS(INDEX(元データ_加工!$C$2:$P$700,0,MATCH($B570,元データ_加工!$C$1:$P$1,0)),元データ_加工!$A$2:$A$700,$A570,元データ_加工!$B$2:$B$700,K$5)</f>
        <v>181</v>
      </c>
      <c r="L570" s="26">
        <f>SUMIFS(INDEX(元データ_加工!$C$2:$P$700,0,MATCH($B570,元データ_加工!$C$1:$P$1,0)),元データ_加工!$A$2:$A$700,$A570,元データ_加工!$B$2:$B$700,L$5)</f>
        <v>97</v>
      </c>
      <c r="M570" s="26">
        <f>SUMIFS(INDEX(元データ_加工!$C$2:$P$700,0,MATCH($B570,元データ_加工!$C$1:$P$1,0)),元データ_加工!$A$2:$A$700,$A570,元データ_加工!$B$2:$B$700,M$5)</f>
        <v>45</v>
      </c>
      <c r="N570" s="26">
        <f>SUMIFS(INDEX(元データ_加工!$C$2:$P$700,0,MATCH($B570,元データ_加工!$C$1:$P$1,0)),元データ_加工!$A$2:$A$700,$A570,元データ_加工!$B$2:$B$700,N$5)</f>
        <v>53</v>
      </c>
      <c r="O570" s="26">
        <f t="shared" si="8"/>
        <v>710</v>
      </c>
      <c r="P570" s="7">
        <f>IFERROR(O570/SUMIFS(元データ_加工!$C$2:$C$700,元データ_加工!$A$2:$A$700,$A570),"")</f>
        <v>3.5254977903570184E-2</v>
      </c>
    </row>
    <row r="571" spans="1:16" x14ac:dyDescent="0.45">
      <c r="A571" t="s">
        <v>75</v>
      </c>
      <c r="B571" t="s">
        <v>105</v>
      </c>
      <c r="C571" s="26">
        <f>SUMIFS(INDEX(元データ_加工!$C$2:$P$700,0,MATCH($B571,元データ_加工!$C$1:$P$1,0)),元データ_加工!$A$2:$A$700,$A571,元データ_加工!$B$2:$B$700,C$5)</f>
        <v>9</v>
      </c>
      <c r="D571" s="26">
        <f>SUMIFS(INDEX(元データ_加工!$C$2:$P$700,0,MATCH($B571,元データ_加工!$C$1:$P$1,0)),元データ_加工!$A$2:$A$700,$A571,元データ_加工!$B$2:$B$700,D$5)</f>
        <v>17</v>
      </c>
      <c r="E571" s="26">
        <f>SUMIFS(INDEX(元データ_加工!$C$2:$P$700,0,MATCH($B571,元データ_加工!$C$1:$P$1,0)),元データ_加工!$A$2:$A$700,$A571,元データ_加工!$B$2:$B$700,E$5)</f>
        <v>38</v>
      </c>
      <c r="F571" s="26">
        <f>SUMIFS(INDEX(元データ_加工!$C$2:$P$700,0,MATCH($B571,元データ_加工!$C$1:$P$1,0)),元データ_加工!$A$2:$A$700,$A571,元データ_加工!$B$2:$B$700,F$5)</f>
        <v>71</v>
      </c>
      <c r="G571" s="26">
        <f>SUMIFS(INDEX(元データ_加工!$C$2:$P$700,0,MATCH($B571,元データ_加工!$C$1:$P$1,0)),元データ_加工!$A$2:$A$700,$A571,元データ_加工!$B$2:$B$700,G$5)</f>
        <v>21</v>
      </c>
      <c r="H571" s="26">
        <f>SUMIFS(INDEX(元データ_加工!$C$2:$P$700,0,MATCH($B571,元データ_加工!$C$1:$P$1,0)),元データ_加工!$A$2:$A$700,$A571,元データ_加工!$B$2:$B$700,H$5)</f>
        <v>30</v>
      </c>
      <c r="I571" s="26">
        <f>SUMIFS(INDEX(元データ_加工!$C$2:$P$700,0,MATCH($B571,元データ_加工!$C$1:$P$1,0)),元データ_加工!$A$2:$A$700,$A571,元データ_加工!$B$2:$B$700,I$5)</f>
        <v>44</v>
      </c>
      <c r="J571" s="26">
        <f>SUMIFS(INDEX(元データ_加工!$C$2:$P$700,0,MATCH($B571,元データ_加工!$C$1:$P$1,0)),元データ_加工!$A$2:$A$700,$A571,元データ_加工!$B$2:$B$700,J$5)</f>
        <v>129</v>
      </c>
      <c r="K571" s="26">
        <f>SUMIFS(INDEX(元データ_加工!$C$2:$P$700,0,MATCH($B571,元データ_加工!$C$1:$P$1,0)),元データ_加工!$A$2:$A$700,$A571,元データ_加工!$B$2:$B$700,K$5)</f>
        <v>325</v>
      </c>
      <c r="L571" s="26">
        <f>SUMIFS(INDEX(元データ_加工!$C$2:$P$700,0,MATCH($B571,元データ_加工!$C$1:$P$1,0)),元データ_加工!$A$2:$A$700,$A571,元データ_加工!$B$2:$B$700,L$5)</f>
        <v>198</v>
      </c>
      <c r="M571" s="26">
        <f>SUMIFS(INDEX(元データ_加工!$C$2:$P$700,0,MATCH($B571,元データ_加工!$C$1:$P$1,0)),元データ_加工!$A$2:$A$700,$A571,元データ_加工!$B$2:$B$700,M$5)</f>
        <v>129</v>
      </c>
      <c r="N571" s="26">
        <f>SUMIFS(INDEX(元データ_加工!$C$2:$P$700,0,MATCH($B571,元データ_加工!$C$1:$P$1,0)),元データ_加工!$A$2:$A$700,$A571,元データ_加工!$B$2:$B$700,N$5)</f>
        <v>30</v>
      </c>
      <c r="O571" s="26">
        <f t="shared" si="8"/>
        <v>1041</v>
      </c>
      <c r="P571" s="7">
        <f>IFERROR(O571/SUMIFS(元データ_加工!$C$2:$C$700,元データ_加工!$A$2:$A$700,$A571),"")</f>
        <v>5.1690749292417695E-2</v>
      </c>
    </row>
    <row r="572" spans="1:16" x14ac:dyDescent="0.45">
      <c r="A572" t="s">
        <v>75</v>
      </c>
      <c r="B572" t="s">
        <v>106</v>
      </c>
      <c r="C572" s="26">
        <f>SUMIFS(INDEX(元データ_加工!$C$2:$P$700,0,MATCH($B572,元データ_加工!$C$1:$P$1,0)),元データ_加工!$A$2:$A$700,$A572,元データ_加工!$B$2:$B$700,C$5)</f>
        <v>182</v>
      </c>
      <c r="D572" s="26">
        <f>SUMIFS(INDEX(元データ_加工!$C$2:$P$700,0,MATCH($B572,元データ_加工!$C$1:$P$1,0)),元データ_加工!$A$2:$A$700,$A572,元データ_加工!$B$2:$B$700,D$5)</f>
        <v>243</v>
      </c>
      <c r="E572" s="26">
        <f>SUMIFS(INDEX(元データ_加工!$C$2:$P$700,0,MATCH($B572,元データ_加工!$C$1:$P$1,0)),元データ_加工!$A$2:$A$700,$A572,元データ_加工!$B$2:$B$700,E$5)</f>
        <v>273</v>
      </c>
      <c r="F572" s="26">
        <f>SUMIFS(INDEX(元データ_加工!$C$2:$P$700,0,MATCH($B572,元データ_加工!$C$1:$P$1,0)),元データ_加工!$A$2:$A$700,$A572,元データ_加工!$B$2:$B$700,F$5)</f>
        <v>297</v>
      </c>
      <c r="G572" s="26">
        <f>SUMIFS(INDEX(元データ_加工!$C$2:$P$700,0,MATCH($B572,元データ_加工!$C$1:$P$1,0)),元データ_加工!$A$2:$A$700,$A572,元データ_加工!$B$2:$B$700,G$5)</f>
        <v>242</v>
      </c>
      <c r="H572" s="26">
        <f>SUMIFS(INDEX(元データ_加工!$C$2:$P$700,0,MATCH($B572,元データ_加工!$C$1:$P$1,0)),元データ_加工!$A$2:$A$700,$A572,元データ_加工!$B$2:$B$700,H$5)</f>
        <v>151</v>
      </c>
      <c r="I572" s="26">
        <f>SUMIFS(INDEX(元データ_加工!$C$2:$P$700,0,MATCH($B572,元データ_加工!$C$1:$P$1,0)),元データ_加工!$A$2:$A$700,$A572,元データ_加工!$B$2:$B$700,I$5)</f>
        <v>175</v>
      </c>
      <c r="J572" s="26">
        <f>SUMIFS(INDEX(元データ_加工!$C$2:$P$700,0,MATCH($B572,元データ_加工!$C$1:$P$1,0)),元データ_加工!$A$2:$A$700,$A572,元データ_加工!$B$2:$B$700,J$5)</f>
        <v>204</v>
      </c>
      <c r="K572" s="26">
        <f>SUMIFS(INDEX(元データ_加工!$C$2:$P$700,0,MATCH($B572,元データ_加工!$C$1:$P$1,0)),元データ_加工!$A$2:$A$700,$A572,元データ_加工!$B$2:$B$700,K$5)</f>
        <v>451</v>
      </c>
      <c r="L572" s="26">
        <f>SUMIFS(INDEX(元データ_加工!$C$2:$P$700,0,MATCH($B572,元データ_加工!$C$1:$P$1,0)),元データ_加工!$A$2:$A$700,$A572,元データ_加工!$B$2:$B$700,L$5)</f>
        <v>346</v>
      </c>
      <c r="M572" s="26">
        <f>SUMIFS(INDEX(元データ_加工!$C$2:$P$700,0,MATCH($B572,元データ_加工!$C$1:$P$1,0)),元データ_加工!$A$2:$A$700,$A572,元データ_加工!$B$2:$B$700,M$5)</f>
        <v>325</v>
      </c>
      <c r="N572" s="26">
        <f>SUMIFS(INDEX(元データ_加工!$C$2:$P$700,0,MATCH($B572,元データ_加工!$C$1:$P$1,0)),元データ_加工!$A$2:$A$700,$A572,元データ_加工!$B$2:$B$700,N$5)</f>
        <v>293</v>
      </c>
      <c r="O572" s="26">
        <f t="shared" si="8"/>
        <v>3182</v>
      </c>
      <c r="P572" s="7">
        <f>IFERROR(O572/SUMIFS(元データ_加工!$C$2:$C$700,元データ_加工!$A$2:$A$700,$A572),"")</f>
        <v>0.15800188688614131</v>
      </c>
    </row>
    <row r="573" spans="1:16" x14ac:dyDescent="0.45">
      <c r="A573" t="s">
        <v>75</v>
      </c>
      <c r="B573" t="s">
        <v>107</v>
      </c>
      <c r="C573" s="26">
        <f>SUMIFS(INDEX(元データ_加工!$C$2:$P$700,0,MATCH($B573,元データ_加工!$C$1:$P$1,0)),元データ_加工!$A$2:$A$700,$A573,元データ_加工!$B$2:$B$700,C$5)</f>
        <v>148</v>
      </c>
      <c r="D573" s="26">
        <f>SUMIFS(INDEX(元データ_加工!$C$2:$P$700,0,MATCH($B573,元データ_加工!$C$1:$P$1,0)),元データ_加工!$A$2:$A$700,$A573,元データ_加工!$B$2:$B$700,D$5)</f>
        <v>204</v>
      </c>
      <c r="E573" s="26">
        <f>SUMIFS(INDEX(元データ_加工!$C$2:$P$700,0,MATCH($B573,元データ_加工!$C$1:$P$1,0)),元データ_加工!$A$2:$A$700,$A573,元データ_加工!$B$2:$B$700,E$5)</f>
        <v>220</v>
      </c>
      <c r="F573" s="26">
        <f>SUMIFS(INDEX(元データ_加工!$C$2:$P$700,0,MATCH($B573,元データ_加工!$C$1:$P$1,0)),元データ_加工!$A$2:$A$700,$A573,元データ_加工!$B$2:$B$700,F$5)</f>
        <v>210</v>
      </c>
      <c r="G573" s="26">
        <f>SUMIFS(INDEX(元データ_加工!$C$2:$P$700,0,MATCH($B573,元データ_加工!$C$1:$P$1,0)),元データ_加工!$A$2:$A$700,$A573,元データ_加工!$B$2:$B$700,G$5)</f>
        <v>165</v>
      </c>
      <c r="H573" s="26">
        <f>SUMIFS(INDEX(元データ_加工!$C$2:$P$700,0,MATCH($B573,元データ_加工!$C$1:$P$1,0)),元データ_加工!$A$2:$A$700,$A573,元データ_加工!$B$2:$B$700,H$5)</f>
        <v>107</v>
      </c>
      <c r="I573" s="26">
        <f>SUMIFS(INDEX(元データ_加工!$C$2:$P$700,0,MATCH($B573,元データ_加工!$C$1:$P$1,0)),元データ_加工!$A$2:$A$700,$A573,元データ_加工!$B$2:$B$700,I$5)</f>
        <v>94</v>
      </c>
      <c r="J573" s="26">
        <f>SUMIFS(INDEX(元データ_加工!$C$2:$P$700,0,MATCH($B573,元データ_加工!$C$1:$P$1,0)),元データ_加工!$A$2:$A$700,$A573,元データ_加工!$B$2:$B$700,J$5)</f>
        <v>103</v>
      </c>
      <c r="K573" s="26">
        <f>SUMIFS(INDEX(元データ_加工!$C$2:$P$700,0,MATCH($B573,元データ_加工!$C$1:$P$1,0)),元データ_加工!$A$2:$A$700,$A573,元データ_加工!$B$2:$B$700,K$5)</f>
        <v>205</v>
      </c>
      <c r="L573" s="26">
        <f>SUMIFS(INDEX(元データ_加工!$C$2:$P$700,0,MATCH($B573,元データ_加工!$C$1:$P$1,0)),元データ_加工!$A$2:$A$700,$A573,元データ_加工!$B$2:$B$700,L$5)</f>
        <v>161</v>
      </c>
      <c r="M573" s="26">
        <f>SUMIFS(INDEX(元データ_加工!$C$2:$P$700,0,MATCH($B573,元データ_加工!$C$1:$P$1,0)),元データ_加工!$A$2:$A$700,$A573,元データ_加工!$B$2:$B$700,M$5)</f>
        <v>208</v>
      </c>
      <c r="N573" s="26">
        <f>SUMIFS(INDEX(元データ_加工!$C$2:$P$700,0,MATCH($B573,元データ_加工!$C$1:$P$1,0)),元データ_加工!$A$2:$A$700,$A573,元データ_加工!$B$2:$B$700,N$5)</f>
        <v>212</v>
      </c>
      <c r="O573" s="26">
        <f t="shared" si="8"/>
        <v>2037</v>
      </c>
      <c r="P573" s="7">
        <f>IFERROR(O573/SUMIFS(元データ_加工!$C$2:$C$700,元データ_加工!$A$2:$A$700,$A573),"")</f>
        <v>0.10114702815432743</v>
      </c>
    </row>
    <row r="574" spans="1:16" x14ac:dyDescent="0.45">
      <c r="A574" t="s">
        <v>75</v>
      </c>
      <c r="B574" t="s">
        <v>108</v>
      </c>
      <c r="C574" s="26">
        <f>SUMIFS(INDEX(元データ_加工!$C$2:$P$700,0,MATCH($B574,元データ_加工!$C$1:$P$1,0)),元データ_加工!$A$2:$A$700,$A574,元データ_加工!$B$2:$B$700,C$5)</f>
        <v>17</v>
      </c>
      <c r="D574" s="26">
        <f>SUMIFS(INDEX(元データ_加工!$C$2:$P$700,0,MATCH($B574,元データ_加工!$C$1:$P$1,0)),元データ_加工!$A$2:$A$700,$A574,元データ_加工!$B$2:$B$700,D$5)</f>
        <v>58</v>
      </c>
      <c r="E574" s="26">
        <f>SUMIFS(INDEX(元データ_加工!$C$2:$P$700,0,MATCH($B574,元データ_加工!$C$1:$P$1,0)),元データ_加工!$A$2:$A$700,$A574,元データ_加工!$B$2:$B$700,E$5)</f>
        <v>99</v>
      </c>
      <c r="F574" s="26">
        <f>SUMIFS(INDEX(元データ_加工!$C$2:$P$700,0,MATCH($B574,元データ_加工!$C$1:$P$1,0)),元データ_加工!$A$2:$A$700,$A574,元データ_加工!$B$2:$B$700,F$5)</f>
        <v>61</v>
      </c>
      <c r="G574" s="26">
        <f>SUMIFS(INDEX(元データ_加工!$C$2:$P$700,0,MATCH($B574,元データ_加工!$C$1:$P$1,0)),元データ_加工!$A$2:$A$700,$A574,元データ_加工!$B$2:$B$700,G$5)</f>
        <v>51</v>
      </c>
      <c r="H574" s="26">
        <f>SUMIFS(INDEX(元データ_加工!$C$2:$P$700,0,MATCH($B574,元データ_加工!$C$1:$P$1,0)),元データ_加工!$A$2:$A$700,$A574,元データ_加工!$B$2:$B$700,H$5)</f>
        <v>20</v>
      </c>
      <c r="I574" s="26">
        <f>SUMIFS(INDEX(元データ_加工!$C$2:$P$700,0,MATCH($B574,元データ_加工!$C$1:$P$1,0)),元データ_加工!$A$2:$A$700,$A574,元データ_加工!$B$2:$B$700,I$5)</f>
        <v>19</v>
      </c>
      <c r="J574" s="26">
        <f>SUMIFS(INDEX(元データ_加工!$C$2:$P$700,0,MATCH($B574,元データ_加工!$C$1:$P$1,0)),元データ_加工!$A$2:$A$700,$A574,元データ_加工!$B$2:$B$700,J$5)</f>
        <v>23</v>
      </c>
      <c r="K574" s="26">
        <f>SUMIFS(INDEX(元データ_加工!$C$2:$P$700,0,MATCH($B574,元データ_加工!$C$1:$P$1,0)),元データ_加工!$A$2:$A$700,$A574,元データ_加工!$B$2:$B$700,K$5)</f>
        <v>26</v>
      </c>
      <c r="L574" s="26">
        <f>SUMIFS(INDEX(元データ_加工!$C$2:$P$700,0,MATCH($B574,元データ_加工!$C$1:$P$1,0)),元データ_加工!$A$2:$A$700,$A574,元データ_加工!$B$2:$B$700,L$5)</f>
        <v>28</v>
      </c>
      <c r="M574" s="26">
        <f>SUMIFS(INDEX(元データ_加工!$C$2:$P$700,0,MATCH($B574,元データ_加工!$C$1:$P$1,0)),元データ_加工!$A$2:$A$700,$A574,元データ_加工!$B$2:$B$700,M$5)</f>
        <v>27</v>
      </c>
      <c r="N574" s="26">
        <f>SUMIFS(INDEX(元データ_加工!$C$2:$P$700,0,MATCH($B574,元データ_加工!$C$1:$P$1,0)),元データ_加工!$A$2:$A$700,$A574,元データ_加工!$B$2:$B$700,N$5)</f>
        <v>30</v>
      </c>
      <c r="O574" s="26">
        <f t="shared" si="8"/>
        <v>459</v>
      </c>
      <c r="P574" s="7">
        <f>IFERROR(O574/SUMIFS(元データ_加工!$C$2:$C$700,元データ_加工!$A$2:$A$700,$A574),"")</f>
        <v>2.2791598391181288E-2</v>
      </c>
    </row>
    <row r="575" spans="1:16" x14ac:dyDescent="0.45">
      <c r="A575" t="s">
        <v>75</v>
      </c>
      <c r="B575" t="s">
        <v>109</v>
      </c>
      <c r="C575" s="26">
        <f>SUMIFS(INDEX(元データ_加工!$C$2:$P$700,0,MATCH($B575,元データ_加工!$C$1:$P$1,0)),元データ_加工!$A$2:$A$700,$A575,元データ_加工!$B$2:$B$700,C$5)</f>
        <v>115</v>
      </c>
      <c r="D575" s="26">
        <f>SUMIFS(INDEX(元データ_加工!$C$2:$P$700,0,MATCH($B575,元データ_加工!$C$1:$P$1,0)),元データ_加工!$A$2:$A$700,$A575,元データ_加工!$B$2:$B$700,D$5)</f>
        <v>149</v>
      </c>
      <c r="E575" s="26">
        <f>SUMIFS(INDEX(元データ_加工!$C$2:$P$700,0,MATCH($B575,元データ_加工!$C$1:$P$1,0)),元データ_加工!$A$2:$A$700,$A575,元データ_加工!$B$2:$B$700,E$5)</f>
        <v>163</v>
      </c>
      <c r="F575" s="26">
        <f>SUMIFS(INDEX(元データ_加工!$C$2:$P$700,0,MATCH($B575,元データ_加工!$C$1:$P$1,0)),元データ_加工!$A$2:$A$700,$A575,元データ_加工!$B$2:$B$700,F$5)</f>
        <v>139</v>
      </c>
      <c r="G575" s="26">
        <f>SUMIFS(INDEX(元データ_加工!$C$2:$P$700,0,MATCH($B575,元データ_加工!$C$1:$P$1,0)),元データ_加工!$A$2:$A$700,$A575,元データ_加工!$B$2:$B$700,G$5)</f>
        <v>169</v>
      </c>
      <c r="H575" s="26">
        <f>SUMIFS(INDEX(元データ_加工!$C$2:$P$700,0,MATCH($B575,元データ_加工!$C$1:$P$1,0)),元データ_加工!$A$2:$A$700,$A575,元データ_加工!$B$2:$B$700,H$5)</f>
        <v>105</v>
      </c>
      <c r="I575" s="26">
        <f>SUMIFS(INDEX(元データ_加工!$C$2:$P$700,0,MATCH($B575,元データ_加工!$C$1:$P$1,0)),元データ_加工!$A$2:$A$700,$A575,元データ_加工!$B$2:$B$700,I$5)</f>
        <v>121</v>
      </c>
      <c r="J575" s="26">
        <f>SUMIFS(INDEX(元データ_加工!$C$2:$P$700,0,MATCH($B575,元データ_加工!$C$1:$P$1,0)),元データ_加工!$A$2:$A$700,$A575,元データ_加工!$B$2:$B$700,J$5)</f>
        <v>149</v>
      </c>
      <c r="K575" s="26">
        <f>SUMIFS(INDEX(元データ_加工!$C$2:$P$700,0,MATCH($B575,元データ_加工!$C$1:$P$1,0)),元データ_加工!$A$2:$A$700,$A575,元データ_加工!$B$2:$B$700,K$5)</f>
        <v>197</v>
      </c>
      <c r="L575" s="26">
        <f>SUMIFS(INDEX(元データ_加工!$C$2:$P$700,0,MATCH($B575,元データ_加工!$C$1:$P$1,0)),元データ_加工!$A$2:$A$700,$A575,元データ_加工!$B$2:$B$700,L$5)</f>
        <v>172</v>
      </c>
      <c r="M575" s="26">
        <f>SUMIFS(INDEX(元データ_加工!$C$2:$P$700,0,MATCH($B575,元データ_加工!$C$1:$P$1,0)),元データ_加工!$A$2:$A$700,$A575,元データ_加工!$B$2:$B$700,M$5)</f>
        <v>170</v>
      </c>
      <c r="N575" s="26">
        <f>SUMIFS(INDEX(元データ_加工!$C$2:$P$700,0,MATCH($B575,元データ_加工!$C$1:$P$1,0)),元データ_加工!$A$2:$A$700,$A575,元データ_加工!$B$2:$B$700,N$5)</f>
        <v>148</v>
      </c>
      <c r="O575" s="26">
        <f t="shared" si="8"/>
        <v>1797</v>
      </c>
      <c r="P575" s="7">
        <f>IFERROR(O575/SUMIFS(元データ_加工!$C$2:$C$700,元データ_加工!$A$2:$A$700,$A575),"")</f>
        <v>8.9229852524951581E-2</v>
      </c>
    </row>
    <row r="576" spans="1:16" x14ac:dyDescent="0.45">
      <c r="A576" t="s">
        <v>75</v>
      </c>
      <c r="B576" t="s">
        <v>110</v>
      </c>
      <c r="C576" s="26">
        <f>SUMIFS(INDEX(元データ_加工!$C$2:$P$700,0,MATCH($B576,元データ_加工!$C$1:$P$1,0)),元データ_加工!$A$2:$A$700,$A576,元データ_加工!$B$2:$B$700,C$5)</f>
        <v>0</v>
      </c>
      <c r="D576" s="26">
        <f>SUMIFS(INDEX(元データ_加工!$C$2:$P$700,0,MATCH($B576,元データ_加工!$C$1:$P$1,0)),元データ_加工!$A$2:$A$700,$A576,元データ_加工!$B$2:$B$700,D$5)</f>
        <v>0</v>
      </c>
      <c r="E576" s="26">
        <f>SUMIFS(INDEX(元データ_加工!$C$2:$P$700,0,MATCH($B576,元データ_加工!$C$1:$P$1,0)),元データ_加工!$A$2:$A$700,$A576,元データ_加工!$B$2:$B$700,E$5)</f>
        <v>0</v>
      </c>
      <c r="F576" s="26">
        <f>SUMIFS(INDEX(元データ_加工!$C$2:$P$700,0,MATCH($B576,元データ_加工!$C$1:$P$1,0)),元データ_加工!$A$2:$A$700,$A576,元データ_加工!$B$2:$B$700,F$5)</f>
        <v>0</v>
      </c>
      <c r="G576" s="26">
        <f>SUMIFS(INDEX(元データ_加工!$C$2:$P$700,0,MATCH($B576,元データ_加工!$C$1:$P$1,0)),元データ_加工!$A$2:$A$700,$A576,元データ_加工!$B$2:$B$700,G$5)</f>
        <v>0</v>
      </c>
      <c r="H576" s="26">
        <f>SUMIFS(INDEX(元データ_加工!$C$2:$P$700,0,MATCH($B576,元データ_加工!$C$1:$P$1,0)),元データ_加工!$A$2:$A$700,$A576,元データ_加工!$B$2:$B$700,H$5)</f>
        <v>0</v>
      </c>
      <c r="I576" s="26">
        <f>SUMIFS(INDEX(元データ_加工!$C$2:$P$700,0,MATCH($B576,元データ_加工!$C$1:$P$1,0)),元データ_加工!$A$2:$A$700,$A576,元データ_加工!$B$2:$B$700,I$5)</f>
        <v>0</v>
      </c>
      <c r="J576" s="26">
        <f>SUMIFS(INDEX(元データ_加工!$C$2:$P$700,0,MATCH($B576,元データ_加工!$C$1:$P$1,0)),元データ_加工!$A$2:$A$700,$A576,元データ_加工!$B$2:$B$700,J$5)</f>
        <v>0</v>
      </c>
      <c r="K576" s="26">
        <f>SUMIFS(INDEX(元データ_加工!$C$2:$P$700,0,MATCH($B576,元データ_加工!$C$1:$P$1,0)),元データ_加工!$A$2:$A$700,$A576,元データ_加工!$B$2:$B$700,K$5)</f>
        <v>0</v>
      </c>
      <c r="L576" s="26">
        <f>SUMIFS(INDEX(元データ_加工!$C$2:$P$700,0,MATCH($B576,元データ_加工!$C$1:$P$1,0)),元データ_加工!$A$2:$A$700,$A576,元データ_加工!$B$2:$B$700,L$5)</f>
        <v>0</v>
      </c>
      <c r="M576" s="26">
        <f>SUMIFS(INDEX(元データ_加工!$C$2:$P$700,0,MATCH($B576,元データ_加工!$C$1:$P$1,0)),元データ_加工!$A$2:$A$700,$A576,元データ_加工!$B$2:$B$700,M$5)</f>
        <v>0</v>
      </c>
      <c r="N576" s="26">
        <f>SUMIFS(INDEX(元データ_加工!$C$2:$P$700,0,MATCH($B576,元データ_加工!$C$1:$P$1,0)),元データ_加工!$A$2:$A$700,$A576,元データ_加工!$B$2:$B$700,N$5)</f>
        <v>0</v>
      </c>
      <c r="O576" s="26">
        <f t="shared" si="8"/>
        <v>0</v>
      </c>
      <c r="P576" s="7">
        <f>IFERROR(O576/SUMIFS(元データ_加工!$C$2:$C$700,元データ_加工!$A$2:$A$700,$A576),"")</f>
        <v>0</v>
      </c>
    </row>
    <row r="577" spans="1:16" x14ac:dyDescent="0.45">
      <c r="A577" t="s">
        <v>75</v>
      </c>
      <c r="B577" t="s">
        <v>111</v>
      </c>
      <c r="C577" s="26">
        <f>SUMIFS(INDEX(元データ_加工!$C$2:$P$700,0,MATCH($B577,元データ_加工!$C$1:$P$1,0)),元データ_加工!$A$2:$A$700,$A577,元データ_加工!$B$2:$B$700,C$5)</f>
        <v>7</v>
      </c>
      <c r="D577" s="26">
        <f>SUMIFS(INDEX(元データ_加工!$C$2:$P$700,0,MATCH($B577,元データ_加工!$C$1:$P$1,0)),元データ_加工!$A$2:$A$700,$A577,元データ_加工!$B$2:$B$700,D$5)</f>
        <v>0</v>
      </c>
      <c r="E577" s="26">
        <f>SUMIFS(INDEX(元データ_加工!$C$2:$P$700,0,MATCH($B577,元データ_加工!$C$1:$P$1,0)),元データ_加工!$A$2:$A$700,$A577,元データ_加工!$B$2:$B$700,E$5)</f>
        <v>5</v>
      </c>
      <c r="F577" s="26">
        <f>SUMIFS(INDEX(元データ_加工!$C$2:$P$700,0,MATCH($B577,元データ_加工!$C$1:$P$1,0)),元データ_加工!$A$2:$A$700,$A577,元データ_加工!$B$2:$B$700,F$5)</f>
        <v>0</v>
      </c>
      <c r="G577" s="26">
        <f>SUMIFS(INDEX(元データ_加工!$C$2:$P$700,0,MATCH($B577,元データ_加工!$C$1:$P$1,0)),元データ_加工!$A$2:$A$700,$A577,元データ_加工!$B$2:$B$700,G$5)</f>
        <v>3</v>
      </c>
      <c r="H577" s="26">
        <f>SUMIFS(INDEX(元データ_加工!$C$2:$P$700,0,MATCH($B577,元データ_加工!$C$1:$P$1,0)),元データ_加工!$A$2:$A$700,$A577,元データ_加工!$B$2:$B$700,H$5)</f>
        <v>0</v>
      </c>
      <c r="I577" s="26">
        <f>SUMIFS(INDEX(元データ_加工!$C$2:$P$700,0,MATCH($B577,元データ_加工!$C$1:$P$1,0)),元データ_加工!$A$2:$A$700,$A577,元データ_加工!$B$2:$B$700,I$5)</f>
        <v>1</v>
      </c>
      <c r="J577" s="26">
        <f>SUMIFS(INDEX(元データ_加工!$C$2:$P$700,0,MATCH($B577,元データ_加工!$C$1:$P$1,0)),元データ_加工!$A$2:$A$700,$A577,元データ_加工!$B$2:$B$700,J$5)</f>
        <v>2</v>
      </c>
      <c r="K577" s="26">
        <f>SUMIFS(INDEX(元データ_加工!$C$2:$P$700,0,MATCH($B577,元データ_加工!$C$1:$P$1,0)),元データ_加工!$A$2:$A$700,$A577,元データ_加工!$B$2:$B$700,K$5)</f>
        <v>11</v>
      </c>
      <c r="L577" s="26">
        <f>SUMIFS(INDEX(元データ_加工!$C$2:$P$700,0,MATCH($B577,元データ_加工!$C$1:$P$1,0)),元データ_加工!$A$2:$A$700,$A577,元データ_加工!$B$2:$B$700,L$5)</f>
        <v>8</v>
      </c>
      <c r="M577" s="26">
        <f>SUMIFS(INDEX(元データ_加工!$C$2:$P$700,0,MATCH($B577,元データ_加工!$C$1:$P$1,0)),元データ_加工!$A$2:$A$700,$A577,元データ_加工!$B$2:$B$700,M$5)</f>
        <v>25</v>
      </c>
      <c r="N577" s="26">
        <f>SUMIFS(INDEX(元データ_加工!$C$2:$P$700,0,MATCH($B577,元データ_加工!$C$1:$P$1,0)),元データ_加工!$A$2:$A$700,$A577,元データ_加工!$B$2:$B$700,N$5)</f>
        <v>23</v>
      </c>
      <c r="O577" s="26">
        <f t="shared" si="8"/>
        <v>85</v>
      </c>
      <c r="P577" s="7">
        <f>IFERROR(O577/SUMIFS(元データ_加工!$C$2:$C$700,元データ_加工!$A$2:$A$700,$A577),"")</f>
        <v>4.2206663687372756E-3</v>
      </c>
    </row>
    <row r="578" spans="1:16" x14ac:dyDescent="0.45">
      <c r="A578" t="s">
        <v>75</v>
      </c>
      <c r="B578" t="s">
        <v>112</v>
      </c>
      <c r="C578" s="26">
        <f>SUMIFS(INDEX(元データ_加工!$C$2:$P$700,0,MATCH($B578,元データ_加工!$C$1:$P$1,0)),元データ_加工!$A$2:$A$700,$A578,元データ_加工!$B$2:$B$700,C$5)</f>
        <v>0</v>
      </c>
      <c r="D578" s="26">
        <f>SUMIFS(INDEX(元データ_加工!$C$2:$P$700,0,MATCH($B578,元データ_加工!$C$1:$P$1,0)),元データ_加工!$A$2:$A$700,$A578,元データ_加工!$B$2:$B$700,D$5)</f>
        <v>0</v>
      </c>
      <c r="E578" s="26">
        <f>SUMIFS(INDEX(元データ_加工!$C$2:$P$700,0,MATCH($B578,元データ_加工!$C$1:$P$1,0)),元データ_加工!$A$2:$A$700,$A578,元データ_加工!$B$2:$B$700,E$5)</f>
        <v>0</v>
      </c>
      <c r="F578" s="26">
        <f>SUMIFS(INDEX(元データ_加工!$C$2:$P$700,0,MATCH($B578,元データ_加工!$C$1:$P$1,0)),元データ_加工!$A$2:$A$700,$A578,元データ_加工!$B$2:$B$700,F$5)</f>
        <v>0</v>
      </c>
      <c r="G578" s="26">
        <f>SUMIFS(INDEX(元データ_加工!$C$2:$P$700,0,MATCH($B578,元データ_加工!$C$1:$P$1,0)),元データ_加工!$A$2:$A$700,$A578,元データ_加工!$B$2:$B$700,G$5)</f>
        <v>0</v>
      </c>
      <c r="H578" s="26">
        <f>SUMIFS(INDEX(元データ_加工!$C$2:$P$700,0,MATCH($B578,元データ_加工!$C$1:$P$1,0)),元データ_加工!$A$2:$A$700,$A578,元データ_加工!$B$2:$B$700,H$5)</f>
        <v>0</v>
      </c>
      <c r="I578" s="26">
        <f>SUMIFS(INDEX(元データ_加工!$C$2:$P$700,0,MATCH($B578,元データ_加工!$C$1:$P$1,0)),元データ_加工!$A$2:$A$700,$A578,元データ_加工!$B$2:$B$700,I$5)</f>
        <v>0</v>
      </c>
      <c r="J578" s="26">
        <f>SUMIFS(INDEX(元データ_加工!$C$2:$P$700,0,MATCH($B578,元データ_加工!$C$1:$P$1,0)),元データ_加工!$A$2:$A$700,$A578,元データ_加工!$B$2:$B$700,J$5)</f>
        <v>2</v>
      </c>
      <c r="K578" s="26">
        <f>SUMIFS(INDEX(元データ_加工!$C$2:$P$700,0,MATCH($B578,元データ_加工!$C$1:$P$1,0)),元データ_加工!$A$2:$A$700,$A578,元データ_加工!$B$2:$B$700,K$5)</f>
        <v>7</v>
      </c>
      <c r="L578" s="26">
        <f>SUMIFS(INDEX(元データ_加工!$C$2:$P$700,0,MATCH($B578,元データ_加工!$C$1:$P$1,0)),元データ_加工!$A$2:$A$700,$A578,元データ_加工!$B$2:$B$700,L$5)</f>
        <v>4</v>
      </c>
      <c r="M578" s="26">
        <f>SUMIFS(INDEX(元データ_加工!$C$2:$P$700,0,MATCH($B578,元データ_加工!$C$1:$P$1,0)),元データ_加工!$A$2:$A$700,$A578,元データ_加工!$B$2:$B$700,M$5)</f>
        <v>1</v>
      </c>
      <c r="N578" s="26">
        <f>SUMIFS(INDEX(元データ_加工!$C$2:$P$700,0,MATCH($B578,元データ_加工!$C$1:$P$1,0)),元データ_加工!$A$2:$A$700,$A578,元データ_加工!$B$2:$B$700,N$5)</f>
        <v>0</v>
      </c>
      <c r="O578" s="26">
        <f t="shared" si="8"/>
        <v>14</v>
      </c>
      <c r="P578" s="7">
        <f>IFERROR(O578/SUMIFS(元データ_加工!$C$2:$C$700,元データ_加工!$A$2:$A$700,$A578),"")</f>
        <v>6.9516857838025723E-4</v>
      </c>
    </row>
    <row r="579" spans="1:16" x14ac:dyDescent="0.45">
      <c r="A579" t="s">
        <v>75</v>
      </c>
      <c r="B579" t="s">
        <v>113</v>
      </c>
      <c r="C579" s="26">
        <f>SUMIFS(INDEX(元データ_加工!$C$2:$P$700,0,MATCH($B579,元データ_加工!$C$1:$P$1,0)),元データ_加工!$A$2:$A$700,$A579,元データ_加工!$B$2:$B$700,C$5)</f>
        <v>16</v>
      </c>
      <c r="D579" s="26">
        <f>SUMIFS(INDEX(元データ_加工!$C$2:$P$700,0,MATCH($B579,元データ_加工!$C$1:$P$1,0)),元データ_加工!$A$2:$A$700,$A579,元データ_加工!$B$2:$B$700,D$5)</f>
        <v>0</v>
      </c>
      <c r="E579" s="26">
        <f>SUMIFS(INDEX(元データ_加工!$C$2:$P$700,0,MATCH($B579,元データ_加工!$C$1:$P$1,0)),元データ_加工!$A$2:$A$700,$A579,元データ_加工!$B$2:$B$700,E$5)</f>
        <v>0</v>
      </c>
      <c r="F579" s="26">
        <f>SUMIFS(INDEX(元データ_加工!$C$2:$P$700,0,MATCH($B579,元データ_加工!$C$1:$P$1,0)),元データ_加工!$A$2:$A$700,$A579,元データ_加工!$B$2:$B$700,F$5)</f>
        <v>13</v>
      </c>
      <c r="G579" s="26">
        <f>SUMIFS(INDEX(元データ_加工!$C$2:$P$700,0,MATCH($B579,元データ_加工!$C$1:$P$1,0)),元データ_加工!$A$2:$A$700,$A579,元データ_加工!$B$2:$B$700,G$5)</f>
        <v>4</v>
      </c>
      <c r="H579" s="26">
        <f>SUMIFS(INDEX(元データ_加工!$C$2:$P$700,0,MATCH($B579,元データ_加工!$C$1:$P$1,0)),元データ_加工!$A$2:$A$700,$A579,元データ_加工!$B$2:$B$700,H$5)</f>
        <v>0</v>
      </c>
      <c r="I579" s="26">
        <f>SUMIFS(INDEX(元データ_加工!$C$2:$P$700,0,MATCH($B579,元データ_加工!$C$1:$P$1,0)),元データ_加工!$A$2:$A$700,$A579,元データ_加工!$B$2:$B$700,I$5)</f>
        <v>2</v>
      </c>
      <c r="J579" s="26">
        <f>SUMIFS(INDEX(元データ_加工!$C$2:$P$700,0,MATCH($B579,元データ_加工!$C$1:$P$1,0)),元データ_加工!$A$2:$A$700,$A579,元データ_加工!$B$2:$B$700,J$5)</f>
        <v>7</v>
      </c>
      <c r="K579" s="26">
        <f>SUMIFS(INDEX(元データ_加工!$C$2:$P$700,0,MATCH($B579,元データ_加工!$C$1:$P$1,0)),元データ_加工!$A$2:$A$700,$A579,元データ_加工!$B$2:$B$700,K$5)</f>
        <v>8</v>
      </c>
      <c r="L579" s="26">
        <f>SUMIFS(INDEX(元データ_加工!$C$2:$P$700,0,MATCH($B579,元データ_加工!$C$1:$P$1,0)),元データ_加工!$A$2:$A$700,$A579,元データ_加工!$B$2:$B$700,L$5)</f>
        <v>14</v>
      </c>
      <c r="M579" s="26">
        <f>SUMIFS(INDEX(元データ_加工!$C$2:$P$700,0,MATCH($B579,元データ_加工!$C$1:$P$1,0)),元データ_加工!$A$2:$A$700,$A579,元データ_加工!$B$2:$B$700,M$5)</f>
        <v>6</v>
      </c>
      <c r="N579" s="26">
        <f>SUMIFS(INDEX(元データ_加工!$C$2:$P$700,0,MATCH($B579,元データ_加工!$C$1:$P$1,0)),元データ_加工!$A$2:$A$700,$A579,元データ_加工!$B$2:$B$700,N$5)</f>
        <v>12</v>
      </c>
      <c r="O579" s="26">
        <f t="shared" si="8"/>
        <v>82</v>
      </c>
      <c r="P579" s="7">
        <f>IFERROR(O579/SUMIFS(元データ_加工!$C$2:$C$700,元データ_加工!$A$2:$A$700,$A579),"")</f>
        <v>4.0717016733700781E-3</v>
      </c>
    </row>
    <row r="580" spans="1:16" x14ac:dyDescent="0.45">
      <c r="A580" t="s">
        <v>76</v>
      </c>
      <c r="B580" t="s">
        <v>100</v>
      </c>
      <c r="C580" s="26">
        <f>SUMIFS(INDEX(元データ_加工!$C$2:$P$700,0,MATCH($B580,元データ_加工!$C$1:$P$1,0)),元データ_加工!$A$2:$A$700,$A580,元データ_加工!$B$2:$B$700,C$5)</f>
        <v>1027</v>
      </c>
      <c r="D580" s="26">
        <f>SUMIFS(INDEX(元データ_加工!$C$2:$P$700,0,MATCH($B580,元データ_加工!$C$1:$P$1,0)),元データ_加工!$A$2:$A$700,$A580,元データ_加工!$B$2:$B$700,D$5)</f>
        <v>938</v>
      </c>
      <c r="E580" s="26">
        <f>SUMIFS(INDEX(元データ_加工!$C$2:$P$700,0,MATCH($B580,元データ_加工!$C$1:$P$1,0)),元データ_加工!$A$2:$A$700,$A580,元データ_加工!$B$2:$B$700,E$5)</f>
        <v>1479</v>
      </c>
      <c r="F580" s="26">
        <f>SUMIFS(INDEX(元データ_加工!$C$2:$P$700,0,MATCH($B580,元データ_加工!$C$1:$P$1,0)),元データ_加工!$A$2:$A$700,$A580,元データ_加工!$B$2:$B$700,F$5)</f>
        <v>1333</v>
      </c>
      <c r="G580" s="26">
        <f>SUMIFS(INDEX(元データ_加工!$C$2:$P$700,0,MATCH($B580,元データ_加工!$C$1:$P$1,0)),元データ_加工!$A$2:$A$700,$A580,元データ_加工!$B$2:$B$700,G$5)</f>
        <v>1341</v>
      </c>
      <c r="H580" s="26">
        <f>SUMIFS(INDEX(元データ_加工!$C$2:$P$700,0,MATCH($B580,元データ_加工!$C$1:$P$1,0)),元データ_加工!$A$2:$A$700,$A580,元データ_加工!$B$2:$B$700,H$5)</f>
        <v>795</v>
      </c>
      <c r="I580" s="26">
        <f>SUMIFS(INDEX(元データ_加工!$C$2:$P$700,0,MATCH($B580,元データ_加工!$C$1:$P$1,0)),元データ_加工!$A$2:$A$700,$A580,元データ_加工!$B$2:$B$700,I$5)</f>
        <v>744</v>
      </c>
      <c r="J580" s="26">
        <f>SUMIFS(INDEX(元データ_加工!$C$2:$P$700,0,MATCH($B580,元データ_加工!$C$1:$P$1,0)),元データ_加工!$A$2:$A$700,$A580,元データ_加工!$B$2:$B$700,J$5)</f>
        <v>1456</v>
      </c>
      <c r="K580" s="26">
        <f>SUMIFS(INDEX(元データ_加工!$C$2:$P$700,0,MATCH($B580,元データ_加工!$C$1:$P$1,0)),元データ_加工!$A$2:$A$700,$A580,元データ_加工!$B$2:$B$700,K$5)</f>
        <v>2721</v>
      </c>
      <c r="L580" s="26">
        <f>SUMIFS(INDEX(元データ_加工!$C$2:$P$700,0,MATCH($B580,元データ_加工!$C$1:$P$1,0)),元データ_加工!$A$2:$A$700,$A580,元データ_加工!$B$2:$B$700,L$5)</f>
        <v>1654</v>
      </c>
      <c r="M580" s="26">
        <f>SUMIFS(INDEX(元データ_加工!$C$2:$P$700,0,MATCH($B580,元データ_加工!$C$1:$P$1,0)),元データ_加工!$A$2:$A$700,$A580,元データ_加工!$B$2:$B$700,M$5)</f>
        <v>1651</v>
      </c>
      <c r="N580" s="26">
        <f>SUMIFS(INDEX(元データ_加工!$C$2:$P$700,0,MATCH($B580,元データ_加工!$C$1:$P$1,0)),元データ_加工!$A$2:$A$700,$A580,元データ_加工!$B$2:$B$700,N$5)</f>
        <v>1180</v>
      </c>
      <c r="O580" s="26">
        <f t="shared" si="8"/>
        <v>16319</v>
      </c>
      <c r="P580" s="7">
        <f>IFERROR(O580/SUMIFS(元データ_加工!$C$2:$C$700,元データ_加工!$A$2:$A$700,$A580),"")</f>
        <v>1</v>
      </c>
    </row>
    <row r="581" spans="1:16" x14ac:dyDescent="0.45">
      <c r="A581" t="s">
        <v>76</v>
      </c>
      <c r="B581" t="s">
        <v>101</v>
      </c>
      <c r="C581" s="26">
        <f>SUMIFS(INDEX(元データ_加工!$C$2:$P$700,0,MATCH($B581,元データ_加工!$C$1:$P$1,0)),元データ_加工!$A$2:$A$700,$A581,元データ_加工!$B$2:$B$700,C$5)</f>
        <v>375</v>
      </c>
      <c r="D581" s="26">
        <f>SUMIFS(INDEX(元データ_加工!$C$2:$P$700,0,MATCH($B581,元データ_加工!$C$1:$P$1,0)),元データ_加工!$A$2:$A$700,$A581,元データ_加工!$B$2:$B$700,D$5)</f>
        <v>352</v>
      </c>
      <c r="E581" s="26">
        <f>SUMIFS(INDEX(元データ_加工!$C$2:$P$700,0,MATCH($B581,元データ_加工!$C$1:$P$1,0)),元データ_加工!$A$2:$A$700,$A581,元データ_加工!$B$2:$B$700,E$5)</f>
        <v>483</v>
      </c>
      <c r="F581" s="26">
        <f>SUMIFS(INDEX(元データ_加工!$C$2:$P$700,0,MATCH($B581,元データ_加工!$C$1:$P$1,0)),元データ_加工!$A$2:$A$700,$A581,元データ_加工!$B$2:$B$700,F$5)</f>
        <v>433</v>
      </c>
      <c r="G581" s="26">
        <f>SUMIFS(INDEX(元データ_加工!$C$2:$P$700,0,MATCH($B581,元データ_加工!$C$1:$P$1,0)),元データ_加工!$A$2:$A$700,$A581,元データ_加工!$B$2:$B$700,G$5)</f>
        <v>455</v>
      </c>
      <c r="H581" s="26">
        <f>SUMIFS(INDEX(元データ_加工!$C$2:$P$700,0,MATCH($B581,元データ_加工!$C$1:$P$1,0)),元データ_加工!$A$2:$A$700,$A581,元データ_加工!$B$2:$B$700,H$5)</f>
        <v>328</v>
      </c>
      <c r="I581" s="26">
        <f>SUMIFS(INDEX(元データ_加工!$C$2:$P$700,0,MATCH($B581,元データ_加工!$C$1:$P$1,0)),元データ_加工!$A$2:$A$700,$A581,元データ_加工!$B$2:$B$700,I$5)</f>
        <v>384</v>
      </c>
      <c r="J581" s="26">
        <f>SUMIFS(INDEX(元データ_加工!$C$2:$P$700,0,MATCH($B581,元データ_加工!$C$1:$P$1,0)),元データ_加工!$A$2:$A$700,$A581,元データ_加工!$B$2:$B$700,J$5)</f>
        <v>430</v>
      </c>
      <c r="K581" s="26">
        <f>SUMIFS(INDEX(元データ_加工!$C$2:$P$700,0,MATCH($B581,元データ_加工!$C$1:$P$1,0)),元データ_加工!$A$2:$A$700,$A581,元データ_加工!$B$2:$B$700,K$5)</f>
        <v>480</v>
      </c>
      <c r="L581" s="26">
        <f>SUMIFS(INDEX(元データ_加工!$C$2:$P$700,0,MATCH($B581,元データ_加工!$C$1:$P$1,0)),元データ_加工!$A$2:$A$700,$A581,元データ_加工!$B$2:$B$700,L$5)</f>
        <v>416</v>
      </c>
      <c r="M581" s="26">
        <f>SUMIFS(INDEX(元データ_加工!$C$2:$P$700,0,MATCH($B581,元データ_加工!$C$1:$P$1,0)),元データ_加工!$A$2:$A$700,$A581,元データ_加工!$B$2:$B$700,M$5)</f>
        <v>526</v>
      </c>
      <c r="N581" s="26">
        <f>SUMIFS(INDEX(元データ_加工!$C$2:$P$700,0,MATCH($B581,元データ_加工!$C$1:$P$1,0)),元データ_加工!$A$2:$A$700,$A581,元データ_加工!$B$2:$B$700,N$5)</f>
        <v>451</v>
      </c>
      <c r="O581" s="26">
        <f t="shared" si="8"/>
        <v>5113</v>
      </c>
      <c r="P581" s="7">
        <f>IFERROR(O581/SUMIFS(元データ_加工!$C$2:$C$700,元データ_加工!$A$2:$A$700,$A581),"")</f>
        <v>0.31331576689748147</v>
      </c>
    </row>
    <row r="582" spans="1:16" x14ac:dyDescent="0.45">
      <c r="A582" t="s">
        <v>76</v>
      </c>
      <c r="B582" t="s">
        <v>102</v>
      </c>
      <c r="C582" s="26">
        <f>SUMIFS(INDEX(元データ_加工!$C$2:$P$700,0,MATCH($B582,元データ_加工!$C$1:$P$1,0)),元データ_加工!$A$2:$A$700,$A582,元データ_加工!$B$2:$B$700,C$5)</f>
        <v>0</v>
      </c>
      <c r="D582" s="26">
        <f>SUMIFS(INDEX(元データ_加工!$C$2:$P$700,0,MATCH($B582,元データ_加工!$C$1:$P$1,0)),元データ_加工!$A$2:$A$700,$A582,元データ_加工!$B$2:$B$700,D$5)</f>
        <v>0</v>
      </c>
      <c r="E582" s="26">
        <f>SUMIFS(INDEX(元データ_加工!$C$2:$P$700,0,MATCH($B582,元データ_加工!$C$1:$P$1,0)),元データ_加工!$A$2:$A$700,$A582,元データ_加工!$B$2:$B$700,E$5)</f>
        <v>0</v>
      </c>
      <c r="F582" s="26">
        <f>SUMIFS(INDEX(元データ_加工!$C$2:$P$700,0,MATCH($B582,元データ_加工!$C$1:$P$1,0)),元データ_加工!$A$2:$A$700,$A582,元データ_加工!$B$2:$B$700,F$5)</f>
        <v>0</v>
      </c>
      <c r="G582" s="26">
        <f>SUMIFS(INDEX(元データ_加工!$C$2:$P$700,0,MATCH($B582,元データ_加工!$C$1:$P$1,0)),元データ_加工!$A$2:$A$700,$A582,元データ_加工!$B$2:$B$700,G$5)</f>
        <v>0</v>
      </c>
      <c r="H582" s="26">
        <f>SUMIFS(INDEX(元データ_加工!$C$2:$P$700,0,MATCH($B582,元データ_加工!$C$1:$P$1,0)),元データ_加工!$A$2:$A$700,$A582,元データ_加工!$B$2:$B$700,H$5)</f>
        <v>0</v>
      </c>
      <c r="I582" s="26">
        <f>SUMIFS(INDEX(元データ_加工!$C$2:$P$700,0,MATCH($B582,元データ_加工!$C$1:$P$1,0)),元データ_加工!$A$2:$A$700,$A582,元データ_加工!$B$2:$B$700,I$5)</f>
        <v>0</v>
      </c>
      <c r="J582" s="26">
        <f>SUMIFS(INDEX(元データ_加工!$C$2:$P$700,0,MATCH($B582,元データ_加工!$C$1:$P$1,0)),元データ_加工!$A$2:$A$700,$A582,元データ_加工!$B$2:$B$700,J$5)</f>
        <v>0</v>
      </c>
      <c r="K582" s="26">
        <f>SUMIFS(INDEX(元データ_加工!$C$2:$P$700,0,MATCH($B582,元データ_加工!$C$1:$P$1,0)),元データ_加工!$A$2:$A$700,$A582,元データ_加工!$B$2:$B$700,K$5)</f>
        <v>1</v>
      </c>
      <c r="L582" s="26">
        <f>SUMIFS(INDEX(元データ_加工!$C$2:$P$700,0,MATCH($B582,元データ_加工!$C$1:$P$1,0)),元データ_加工!$A$2:$A$700,$A582,元データ_加工!$B$2:$B$700,L$5)</f>
        <v>0</v>
      </c>
      <c r="M582" s="26">
        <f>SUMIFS(INDEX(元データ_加工!$C$2:$P$700,0,MATCH($B582,元データ_加工!$C$1:$P$1,0)),元データ_加工!$A$2:$A$700,$A582,元データ_加工!$B$2:$B$700,M$5)</f>
        <v>0</v>
      </c>
      <c r="N582" s="26">
        <f>SUMIFS(INDEX(元データ_加工!$C$2:$P$700,0,MATCH($B582,元データ_加工!$C$1:$P$1,0)),元データ_加工!$A$2:$A$700,$A582,元データ_加工!$B$2:$B$700,N$5)</f>
        <v>0</v>
      </c>
      <c r="O582" s="26">
        <f t="shared" si="8"/>
        <v>1</v>
      </c>
      <c r="P582" s="7">
        <f>IFERROR(O582/SUMIFS(元データ_加工!$C$2:$C$700,元データ_加工!$A$2:$A$700,$A582),"")</f>
        <v>6.1278264599546543E-5</v>
      </c>
    </row>
    <row r="583" spans="1:16" x14ac:dyDescent="0.45">
      <c r="A583" t="s">
        <v>76</v>
      </c>
      <c r="B583" t="s">
        <v>103</v>
      </c>
      <c r="C583" s="26">
        <f>SUMIFS(INDEX(元データ_加工!$C$2:$P$700,0,MATCH($B583,元データ_加工!$C$1:$P$1,0)),元データ_加工!$A$2:$A$700,$A583,元データ_加工!$B$2:$B$700,C$5)</f>
        <v>0</v>
      </c>
      <c r="D583" s="26">
        <f>SUMIFS(INDEX(元データ_加工!$C$2:$P$700,0,MATCH($B583,元データ_加工!$C$1:$P$1,0)),元データ_加工!$A$2:$A$700,$A583,元データ_加工!$B$2:$B$700,D$5)</f>
        <v>0</v>
      </c>
      <c r="E583" s="26">
        <f>SUMIFS(INDEX(元データ_加工!$C$2:$P$700,0,MATCH($B583,元データ_加工!$C$1:$P$1,0)),元データ_加工!$A$2:$A$700,$A583,元データ_加工!$B$2:$B$700,E$5)</f>
        <v>4</v>
      </c>
      <c r="F583" s="26">
        <f>SUMIFS(INDEX(元データ_加工!$C$2:$P$700,0,MATCH($B583,元データ_加工!$C$1:$P$1,0)),元データ_加工!$A$2:$A$700,$A583,元データ_加工!$B$2:$B$700,F$5)</f>
        <v>8</v>
      </c>
      <c r="G583" s="26">
        <f>SUMIFS(INDEX(元データ_加工!$C$2:$P$700,0,MATCH($B583,元データ_加工!$C$1:$P$1,0)),元データ_加工!$A$2:$A$700,$A583,元データ_加工!$B$2:$B$700,G$5)</f>
        <v>11</v>
      </c>
      <c r="H583" s="26">
        <f>SUMIFS(INDEX(元データ_加工!$C$2:$P$700,0,MATCH($B583,元データ_加工!$C$1:$P$1,0)),元データ_加工!$A$2:$A$700,$A583,元データ_加工!$B$2:$B$700,H$5)</f>
        <v>11</v>
      </c>
      <c r="I583" s="26">
        <f>SUMIFS(INDEX(元データ_加工!$C$2:$P$700,0,MATCH($B583,元データ_加工!$C$1:$P$1,0)),元データ_加工!$A$2:$A$700,$A583,元データ_加工!$B$2:$B$700,I$5)</f>
        <v>12</v>
      </c>
      <c r="J583" s="26">
        <f>SUMIFS(INDEX(元データ_加工!$C$2:$P$700,0,MATCH($B583,元データ_加工!$C$1:$P$1,0)),元データ_加工!$A$2:$A$700,$A583,元データ_加工!$B$2:$B$700,J$5)</f>
        <v>0</v>
      </c>
      <c r="K583" s="26">
        <f>SUMIFS(INDEX(元データ_加工!$C$2:$P$700,0,MATCH($B583,元データ_加工!$C$1:$P$1,0)),元データ_加工!$A$2:$A$700,$A583,元データ_加工!$B$2:$B$700,K$5)</f>
        <v>0</v>
      </c>
      <c r="L583" s="26">
        <f>SUMIFS(INDEX(元データ_加工!$C$2:$P$700,0,MATCH($B583,元データ_加工!$C$1:$P$1,0)),元データ_加工!$A$2:$A$700,$A583,元データ_加工!$B$2:$B$700,L$5)</f>
        <v>0</v>
      </c>
      <c r="M583" s="26">
        <f>SUMIFS(INDEX(元データ_加工!$C$2:$P$700,0,MATCH($B583,元データ_加工!$C$1:$P$1,0)),元データ_加工!$A$2:$A$700,$A583,元データ_加工!$B$2:$B$700,M$5)</f>
        <v>0</v>
      </c>
      <c r="N583" s="26">
        <f>SUMIFS(INDEX(元データ_加工!$C$2:$P$700,0,MATCH($B583,元データ_加工!$C$1:$P$1,0)),元データ_加工!$A$2:$A$700,$A583,元データ_加工!$B$2:$B$700,N$5)</f>
        <v>0</v>
      </c>
      <c r="O583" s="26">
        <f t="shared" ref="O583:O646" si="9">SUM(C583:N583)</f>
        <v>46</v>
      </c>
      <c r="P583" s="7">
        <f>IFERROR(O583/SUMIFS(元データ_加工!$C$2:$C$700,元データ_加工!$A$2:$A$700,$A583),"")</f>
        <v>2.8188001715791409E-3</v>
      </c>
    </row>
    <row r="584" spans="1:16" x14ac:dyDescent="0.45">
      <c r="A584" t="s">
        <v>76</v>
      </c>
      <c r="B584" t="s">
        <v>104</v>
      </c>
      <c r="C584" s="26">
        <f>SUMIFS(INDEX(元データ_加工!$C$2:$P$700,0,MATCH($B584,元データ_加工!$C$1:$P$1,0)),元データ_加工!$A$2:$A$700,$A584,元データ_加工!$B$2:$B$700,C$5)</f>
        <v>15</v>
      </c>
      <c r="D584" s="26">
        <f>SUMIFS(INDEX(元データ_加工!$C$2:$P$700,0,MATCH($B584,元データ_加工!$C$1:$P$1,0)),元データ_加工!$A$2:$A$700,$A584,元データ_加工!$B$2:$B$700,D$5)</f>
        <v>9</v>
      </c>
      <c r="E584" s="26">
        <f>SUMIFS(INDEX(元データ_加工!$C$2:$P$700,0,MATCH($B584,元データ_加工!$C$1:$P$1,0)),元データ_加工!$A$2:$A$700,$A584,元データ_加工!$B$2:$B$700,E$5)</f>
        <v>9</v>
      </c>
      <c r="F584" s="26">
        <f>SUMIFS(INDEX(元データ_加工!$C$2:$P$700,0,MATCH($B584,元データ_加工!$C$1:$P$1,0)),元データ_加工!$A$2:$A$700,$A584,元データ_加工!$B$2:$B$700,F$5)</f>
        <v>10</v>
      </c>
      <c r="G584" s="26">
        <f>SUMIFS(INDEX(元データ_加工!$C$2:$P$700,0,MATCH($B584,元データ_加工!$C$1:$P$1,0)),元データ_加工!$A$2:$A$700,$A584,元データ_加工!$B$2:$B$700,G$5)</f>
        <v>44</v>
      </c>
      <c r="H584" s="26">
        <f>SUMIFS(INDEX(元データ_加工!$C$2:$P$700,0,MATCH($B584,元データ_加工!$C$1:$P$1,0)),元データ_加工!$A$2:$A$700,$A584,元データ_加工!$B$2:$B$700,H$5)</f>
        <v>16</v>
      </c>
      <c r="I584" s="26">
        <f>SUMIFS(INDEX(元データ_加工!$C$2:$P$700,0,MATCH($B584,元データ_加工!$C$1:$P$1,0)),元データ_加工!$A$2:$A$700,$A584,元データ_加工!$B$2:$B$700,I$5)</f>
        <v>10</v>
      </c>
      <c r="J584" s="26">
        <f>SUMIFS(INDEX(元データ_加工!$C$2:$P$700,0,MATCH($B584,元データ_加工!$C$1:$P$1,0)),元データ_加工!$A$2:$A$700,$A584,元データ_加工!$B$2:$B$700,J$5)</f>
        <v>68</v>
      </c>
      <c r="K584" s="26">
        <f>SUMIFS(INDEX(元データ_加工!$C$2:$P$700,0,MATCH($B584,元データ_加工!$C$1:$P$1,0)),元データ_加工!$A$2:$A$700,$A584,元データ_加工!$B$2:$B$700,K$5)</f>
        <v>73</v>
      </c>
      <c r="L584" s="26">
        <f>SUMIFS(INDEX(元データ_加工!$C$2:$P$700,0,MATCH($B584,元データ_加工!$C$1:$P$1,0)),元データ_加工!$A$2:$A$700,$A584,元データ_加工!$B$2:$B$700,L$5)</f>
        <v>48</v>
      </c>
      <c r="M584" s="26">
        <f>SUMIFS(INDEX(元データ_加工!$C$2:$P$700,0,MATCH($B584,元データ_加工!$C$1:$P$1,0)),元データ_加工!$A$2:$A$700,$A584,元データ_加工!$B$2:$B$700,M$5)</f>
        <v>48</v>
      </c>
      <c r="N584" s="26">
        <f>SUMIFS(INDEX(元データ_加工!$C$2:$P$700,0,MATCH($B584,元データ_加工!$C$1:$P$1,0)),元データ_加工!$A$2:$A$700,$A584,元データ_加工!$B$2:$B$700,N$5)</f>
        <v>27</v>
      </c>
      <c r="O584" s="26">
        <f t="shared" si="9"/>
        <v>377</v>
      </c>
      <c r="P584" s="7">
        <f>IFERROR(O584/SUMIFS(元データ_加工!$C$2:$C$700,元データ_加工!$A$2:$A$700,$A584),"")</f>
        <v>2.3101905754029047E-2</v>
      </c>
    </row>
    <row r="585" spans="1:16" x14ac:dyDescent="0.45">
      <c r="A585" t="s">
        <v>76</v>
      </c>
      <c r="B585" t="s">
        <v>105</v>
      </c>
      <c r="C585" s="26">
        <f>SUMIFS(INDEX(元データ_加工!$C$2:$P$700,0,MATCH($B585,元データ_加工!$C$1:$P$1,0)),元データ_加工!$A$2:$A$700,$A585,元データ_加工!$B$2:$B$700,C$5)</f>
        <v>6</v>
      </c>
      <c r="D585" s="26">
        <f>SUMIFS(INDEX(元データ_加工!$C$2:$P$700,0,MATCH($B585,元データ_加工!$C$1:$P$1,0)),元データ_加工!$A$2:$A$700,$A585,元データ_加工!$B$2:$B$700,D$5)</f>
        <v>3</v>
      </c>
      <c r="E585" s="26">
        <f>SUMIFS(INDEX(元データ_加工!$C$2:$P$700,0,MATCH($B585,元データ_加工!$C$1:$P$1,0)),元データ_加工!$A$2:$A$700,$A585,元データ_加工!$B$2:$B$700,E$5)</f>
        <v>6</v>
      </c>
      <c r="F585" s="26">
        <f>SUMIFS(INDEX(元データ_加工!$C$2:$P$700,0,MATCH($B585,元データ_加工!$C$1:$P$1,0)),元データ_加工!$A$2:$A$700,$A585,元データ_加工!$B$2:$B$700,F$5)</f>
        <v>2</v>
      </c>
      <c r="G585" s="26">
        <f>SUMIFS(INDEX(元データ_加工!$C$2:$P$700,0,MATCH($B585,元データ_加工!$C$1:$P$1,0)),元データ_加工!$A$2:$A$700,$A585,元データ_加工!$B$2:$B$700,G$5)</f>
        <v>0</v>
      </c>
      <c r="H585" s="26">
        <f>SUMIFS(INDEX(元データ_加工!$C$2:$P$700,0,MATCH($B585,元データ_加工!$C$1:$P$1,0)),元データ_加工!$A$2:$A$700,$A585,元データ_加工!$B$2:$B$700,H$5)</f>
        <v>1</v>
      </c>
      <c r="I585" s="26">
        <f>SUMIFS(INDEX(元データ_加工!$C$2:$P$700,0,MATCH($B585,元データ_加工!$C$1:$P$1,0)),元データ_加工!$A$2:$A$700,$A585,元データ_加工!$B$2:$B$700,I$5)</f>
        <v>2</v>
      </c>
      <c r="J585" s="26">
        <f>SUMIFS(INDEX(元データ_加工!$C$2:$P$700,0,MATCH($B585,元データ_加工!$C$1:$P$1,0)),元データ_加工!$A$2:$A$700,$A585,元データ_加工!$B$2:$B$700,J$5)</f>
        <v>36</v>
      </c>
      <c r="K585" s="26">
        <f>SUMIFS(INDEX(元データ_加工!$C$2:$P$700,0,MATCH($B585,元データ_加工!$C$1:$P$1,0)),元データ_加工!$A$2:$A$700,$A585,元データ_加工!$B$2:$B$700,K$5)</f>
        <v>99</v>
      </c>
      <c r="L585" s="26">
        <f>SUMIFS(INDEX(元データ_加工!$C$2:$P$700,0,MATCH($B585,元データ_加工!$C$1:$P$1,0)),元データ_加工!$A$2:$A$700,$A585,元データ_加工!$B$2:$B$700,L$5)</f>
        <v>29</v>
      </c>
      <c r="M585" s="26">
        <f>SUMIFS(INDEX(元データ_加工!$C$2:$P$700,0,MATCH($B585,元データ_加工!$C$1:$P$1,0)),元データ_加工!$A$2:$A$700,$A585,元データ_加工!$B$2:$B$700,M$5)</f>
        <v>17</v>
      </c>
      <c r="N585" s="26">
        <f>SUMIFS(INDEX(元データ_加工!$C$2:$P$700,0,MATCH($B585,元データ_加工!$C$1:$P$1,0)),元データ_加工!$A$2:$A$700,$A585,元データ_加工!$B$2:$B$700,N$5)</f>
        <v>11</v>
      </c>
      <c r="O585" s="26">
        <f t="shared" si="9"/>
        <v>212</v>
      </c>
      <c r="P585" s="7">
        <f>IFERROR(O585/SUMIFS(元データ_加工!$C$2:$C$700,元データ_加工!$A$2:$A$700,$A585),"")</f>
        <v>1.2990992095103867E-2</v>
      </c>
    </row>
    <row r="586" spans="1:16" x14ac:dyDescent="0.45">
      <c r="A586" t="s">
        <v>76</v>
      </c>
      <c r="B586" t="s">
        <v>106</v>
      </c>
      <c r="C586" s="26">
        <f>SUMIFS(INDEX(元データ_加工!$C$2:$P$700,0,MATCH($B586,元データ_加工!$C$1:$P$1,0)),元データ_加工!$A$2:$A$700,$A586,元データ_加工!$B$2:$B$700,C$5)</f>
        <v>114</v>
      </c>
      <c r="D586" s="26">
        <f>SUMIFS(INDEX(元データ_加工!$C$2:$P$700,0,MATCH($B586,元データ_加工!$C$1:$P$1,0)),元データ_加工!$A$2:$A$700,$A586,元データ_加工!$B$2:$B$700,D$5)</f>
        <v>137</v>
      </c>
      <c r="E586" s="26">
        <f>SUMIFS(INDEX(元データ_加工!$C$2:$P$700,0,MATCH($B586,元データ_加工!$C$1:$P$1,0)),元データ_加工!$A$2:$A$700,$A586,元データ_加工!$B$2:$B$700,E$5)</f>
        <v>169</v>
      </c>
      <c r="F586" s="26">
        <f>SUMIFS(INDEX(元データ_加工!$C$2:$P$700,0,MATCH($B586,元データ_加工!$C$1:$P$1,0)),元データ_加工!$A$2:$A$700,$A586,元データ_加工!$B$2:$B$700,F$5)</f>
        <v>155</v>
      </c>
      <c r="G586" s="26">
        <f>SUMIFS(INDEX(元データ_加工!$C$2:$P$700,0,MATCH($B586,元データ_加工!$C$1:$P$1,0)),元データ_加工!$A$2:$A$700,$A586,元データ_加工!$B$2:$B$700,G$5)</f>
        <v>134</v>
      </c>
      <c r="H586" s="26">
        <f>SUMIFS(INDEX(元データ_加工!$C$2:$P$700,0,MATCH($B586,元データ_加工!$C$1:$P$1,0)),元データ_加工!$A$2:$A$700,$A586,元データ_加工!$B$2:$B$700,H$5)</f>
        <v>62</v>
      </c>
      <c r="I586" s="26">
        <f>SUMIFS(INDEX(元データ_加工!$C$2:$P$700,0,MATCH($B586,元データ_加工!$C$1:$P$1,0)),元データ_加工!$A$2:$A$700,$A586,元データ_加工!$B$2:$B$700,I$5)</f>
        <v>60</v>
      </c>
      <c r="J586" s="26">
        <f>SUMIFS(INDEX(元データ_加工!$C$2:$P$700,0,MATCH($B586,元データ_加工!$C$1:$P$1,0)),元データ_加工!$A$2:$A$700,$A586,元データ_加工!$B$2:$B$700,J$5)</f>
        <v>148</v>
      </c>
      <c r="K586" s="26">
        <f>SUMIFS(INDEX(元データ_加工!$C$2:$P$700,0,MATCH($B586,元データ_加工!$C$1:$P$1,0)),元データ_加工!$A$2:$A$700,$A586,元データ_加工!$B$2:$B$700,K$5)</f>
        <v>186</v>
      </c>
      <c r="L586" s="26">
        <f>SUMIFS(INDEX(元データ_加工!$C$2:$P$700,0,MATCH($B586,元データ_加工!$C$1:$P$1,0)),元データ_加工!$A$2:$A$700,$A586,元データ_加工!$B$2:$B$700,L$5)</f>
        <v>116</v>
      </c>
      <c r="M586" s="26">
        <f>SUMIFS(INDEX(元データ_加工!$C$2:$P$700,0,MATCH($B586,元データ_加工!$C$1:$P$1,0)),元データ_加工!$A$2:$A$700,$A586,元データ_加工!$B$2:$B$700,M$5)</f>
        <v>130</v>
      </c>
      <c r="N586" s="26">
        <f>SUMIFS(INDEX(元データ_加工!$C$2:$P$700,0,MATCH($B586,元データ_加工!$C$1:$P$1,0)),元データ_加工!$A$2:$A$700,$A586,元データ_加工!$B$2:$B$700,N$5)</f>
        <v>104</v>
      </c>
      <c r="O586" s="26">
        <f t="shared" si="9"/>
        <v>1515</v>
      </c>
      <c r="P586" s="7">
        <f>IFERROR(O586/SUMIFS(元データ_加工!$C$2:$C$700,元データ_加工!$A$2:$A$700,$A586),"")</f>
        <v>9.2836570868313012E-2</v>
      </c>
    </row>
    <row r="587" spans="1:16" x14ac:dyDescent="0.45">
      <c r="A587" t="s">
        <v>76</v>
      </c>
      <c r="B587" t="s">
        <v>107</v>
      </c>
      <c r="C587" s="26">
        <f>SUMIFS(INDEX(元データ_加工!$C$2:$P$700,0,MATCH($B587,元データ_加工!$C$1:$P$1,0)),元データ_加工!$A$2:$A$700,$A587,元データ_加工!$B$2:$B$700,C$5)</f>
        <v>77</v>
      </c>
      <c r="D587" s="26">
        <f>SUMIFS(INDEX(元データ_加工!$C$2:$P$700,0,MATCH($B587,元データ_加工!$C$1:$P$1,0)),元データ_加工!$A$2:$A$700,$A587,元データ_加工!$B$2:$B$700,D$5)</f>
        <v>106</v>
      </c>
      <c r="E587" s="26">
        <f>SUMIFS(INDEX(元データ_加工!$C$2:$P$700,0,MATCH($B587,元データ_加工!$C$1:$P$1,0)),元データ_加工!$A$2:$A$700,$A587,元データ_加工!$B$2:$B$700,E$5)</f>
        <v>130</v>
      </c>
      <c r="F587" s="26">
        <f>SUMIFS(INDEX(元データ_加工!$C$2:$P$700,0,MATCH($B587,元データ_加工!$C$1:$P$1,0)),元データ_加工!$A$2:$A$700,$A587,元データ_加工!$B$2:$B$700,F$5)</f>
        <v>102</v>
      </c>
      <c r="G587" s="26">
        <f>SUMIFS(INDEX(元データ_加工!$C$2:$P$700,0,MATCH($B587,元データ_加工!$C$1:$P$1,0)),元データ_加工!$A$2:$A$700,$A587,元データ_加工!$B$2:$B$700,G$5)</f>
        <v>69</v>
      </c>
      <c r="H587" s="26">
        <f>SUMIFS(INDEX(元データ_加工!$C$2:$P$700,0,MATCH($B587,元データ_加工!$C$1:$P$1,0)),元データ_加工!$A$2:$A$700,$A587,元データ_加工!$B$2:$B$700,H$5)</f>
        <v>45</v>
      </c>
      <c r="I587" s="26">
        <f>SUMIFS(INDEX(元データ_加工!$C$2:$P$700,0,MATCH($B587,元データ_加工!$C$1:$P$1,0)),元データ_加工!$A$2:$A$700,$A587,元データ_加工!$B$2:$B$700,I$5)</f>
        <v>43</v>
      </c>
      <c r="J587" s="26">
        <f>SUMIFS(INDEX(元データ_加工!$C$2:$P$700,0,MATCH($B587,元データ_加工!$C$1:$P$1,0)),元データ_加工!$A$2:$A$700,$A587,元データ_加工!$B$2:$B$700,J$5)</f>
        <v>73</v>
      </c>
      <c r="K587" s="26">
        <f>SUMIFS(INDEX(元データ_加工!$C$2:$P$700,0,MATCH($B587,元データ_加工!$C$1:$P$1,0)),元データ_加工!$A$2:$A$700,$A587,元データ_加工!$B$2:$B$700,K$5)</f>
        <v>85</v>
      </c>
      <c r="L587" s="26">
        <f>SUMIFS(INDEX(元データ_加工!$C$2:$P$700,0,MATCH($B587,元データ_加工!$C$1:$P$1,0)),元データ_加工!$A$2:$A$700,$A587,元データ_加工!$B$2:$B$700,L$5)</f>
        <v>52</v>
      </c>
      <c r="M587" s="26">
        <f>SUMIFS(INDEX(元データ_加工!$C$2:$P$700,0,MATCH($B587,元データ_加工!$C$1:$P$1,0)),元データ_加工!$A$2:$A$700,$A587,元データ_加工!$B$2:$B$700,M$5)</f>
        <v>84</v>
      </c>
      <c r="N587" s="26">
        <f>SUMIFS(INDEX(元データ_加工!$C$2:$P$700,0,MATCH($B587,元データ_加工!$C$1:$P$1,0)),元データ_加工!$A$2:$A$700,$A587,元データ_加工!$B$2:$B$700,N$5)</f>
        <v>73</v>
      </c>
      <c r="O587" s="26">
        <f t="shared" si="9"/>
        <v>939</v>
      </c>
      <c r="P587" s="7">
        <f>IFERROR(O587/SUMIFS(元データ_加工!$C$2:$C$700,元データ_加工!$A$2:$A$700,$A587),"")</f>
        <v>5.75402904589742E-2</v>
      </c>
    </row>
    <row r="588" spans="1:16" x14ac:dyDescent="0.45">
      <c r="A588" t="s">
        <v>76</v>
      </c>
      <c r="B588" t="s">
        <v>108</v>
      </c>
      <c r="C588" s="26">
        <f>SUMIFS(INDEX(元データ_加工!$C$2:$P$700,0,MATCH($B588,元データ_加工!$C$1:$P$1,0)),元データ_加工!$A$2:$A$700,$A588,元データ_加工!$B$2:$B$700,C$5)</f>
        <v>26</v>
      </c>
      <c r="D588" s="26">
        <f>SUMIFS(INDEX(元データ_加工!$C$2:$P$700,0,MATCH($B588,元データ_加工!$C$1:$P$1,0)),元データ_加工!$A$2:$A$700,$A588,元データ_加工!$B$2:$B$700,D$5)</f>
        <v>37</v>
      </c>
      <c r="E588" s="26">
        <f>SUMIFS(INDEX(元データ_加工!$C$2:$P$700,0,MATCH($B588,元データ_加工!$C$1:$P$1,0)),元データ_加工!$A$2:$A$700,$A588,元データ_加工!$B$2:$B$700,E$5)</f>
        <v>50</v>
      </c>
      <c r="F588" s="26">
        <f>SUMIFS(INDEX(元データ_加工!$C$2:$P$700,0,MATCH($B588,元データ_加工!$C$1:$P$1,0)),元データ_加工!$A$2:$A$700,$A588,元データ_加工!$B$2:$B$700,F$5)</f>
        <v>38</v>
      </c>
      <c r="G588" s="26">
        <f>SUMIFS(INDEX(元データ_加工!$C$2:$P$700,0,MATCH($B588,元データ_加工!$C$1:$P$1,0)),元データ_加工!$A$2:$A$700,$A588,元データ_加工!$B$2:$B$700,G$5)</f>
        <v>12</v>
      </c>
      <c r="H588" s="26">
        <f>SUMIFS(INDEX(元データ_加工!$C$2:$P$700,0,MATCH($B588,元データ_加工!$C$1:$P$1,0)),元データ_加工!$A$2:$A$700,$A588,元データ_加工!$B$2:$B$700,H$5)</f>
        <v>11</v>
      </c>
      <c r="I588" s="26">
        <f>SUMIFS(INDEX(元データ_加工!$C$2:$P$700,0,MATCH($B588,元データ_加工!$C$1:$P$1,0)),元データ_加工!$A$2:$A$700,$A588,元データ_加工!$B$2:$B$700,I$5)</f>
        <v>4</v>
      </c>
      <c r="J588" s="26">
        <f>SUMIFS(INDEX(元データ_加工!$C$2:$P$700,0,MATCH($B588,元データ_加工!$C$1:$P$1,0)),元データ_加工!$A$2:$A$700,$A588,元データ_加工!$B$2:$B$700,J$5)</f>
        <v>12</v>
      </c>
      <c r="K588" s="26">
        <f>SUMIFS(INDEX(元データ_加工!$C$2:$P$700,0,MATCH($B588,元データ_加工!$C$1:$P$1,0)),元データ_加工!$A$2:$A$700,$A588,元データ_加工!$B$2:$B$700,K$5)</f>
        <v>14</v>
      </c>
      <c r="L588" s="26">
        <f>SUMIFS(INDEX(元データ_加工!$C$2:$P$700,0,MATCH($B588,元データ_加工!$C$1:$P$1,0)),元データ_加工!$A$2:$A$700,$A588,元データ_加工!$B$2:$B$700,L$5)</f>
        <v>4</v>
      </c>
      <c r="M588" s="26">
        <f>SUMIFS(INDEX(元データ_加工!$C$2:$P$700,0,MATCH($B588,元データ_加工!$C$1:$P$1,0)),元データ_加工!$A$2:$A$700,$A588,元データ_加工!$B$2:$B$700,M$5)</f>
        <v>13</v>
      </c>
      <c r="N588" s="26">
        <f>SUMIFS(INDEX(元データ_加工!$C$2:$P$700,0,MATCH($B588,元データ_加工!$C$1:$P$1,0)),元データ_加工!$A$2:$A$700,$A588,元データ_加工!$B$2:$B$700,N$5)</f>
        <v>25</v>
      </c>
      <c r="O588" s="26">
        <f t="shared" si="9"/>
        <v>246</v>
      </c>
      <c r="P588" s="7">
        <f>IFERROR(O588/SUMIFS(元データ_加工!$C$2:$C$700,元データ_加工!$A$2:$A$700,$A588),"")</f>
        <v>1.5074453091488449E-2</v>
      </c>
    </row>
    <row r="589" spans="1:16" x14ac:dyDescent="0.45">
      <c r="A589" t="s">
        <v>76</v>
      </c>
      <c r="B589" t="s">
        <v>109</v>
      </c>
      <c r="C589" s="26">
        <f>SUMIFS(INDEX(元データ_加工!$C$2:$P$700,0,MATCH($B589,元データ_加工!$C$1:$P$1,0)),元データ_加工!$A$2:$A$700,$A589,元データ_加工!$B$2:$B$700,C$5)</f>
        <v>34</v>
      </c>
      <c r="D589" s="26">
        <f>SUMIFS(INDEX(元データ_加工!$C$2:$P$700,0,MATCH($B589,元データ_加工!$C$1:$P$1,0)),元データ_加工!$A$2:$A$700,$A589,元データ_加工!$B$2:$B$700,D$5)</f>
        <v>38</v>
      </c>
      <c r="E589" s="26">
        <f>SUMIFS(INDEX(元データ_加工!$C$2:$P$700,0,MATCH($B589,元データ_加工!$C$1:$P$1,0)),元データ_加工!$A$2:$A$700,$A589,元データ_加工!$B$2:$B$700,E$5)</f>
        <v>51</v>
      </c>
      <c r="F589" s="26">
        <f>SUMIFS(INDEX(元データ_加工!$C$2:$P$700,0,MATCH($B589,元データ_加工!$C$1:$P$1,0)),元データ_加工!$A$2:$A$700,$A589,元データ_加工!$B$2:$B$700,F$5)</f>
        <v>73</v>
      </c>
      <c r="G589" s="26">
        <f>SUMIFS(INDEX(元データ_加工!$C$2:$P$700,0,MATCH($B589,元データ_加工!$C$1:$P$1,0)),元データ_加工!$A$2:$A$700,$A589,元データ_加工!$B$2:$B$700,G$5)</f>
        <v>77</v>
      </c>
      <c r="H589" s="26">
        <f>SUMIFS(INDEX(元データ_加工!$C$2:$P$700,0,MATCH($B589,元データ_加工!$C$1:$P$1,0)),元データ_加工!$A$2:$A$700,$A589,元データ_加工!$B$2:$B$700,H$5)</f>
        <v>41</v>
      </c>
      <c r="I589" s="26">
        <f>SUMIFS(INDEX(元データ_加工!$C$2:$P$700,0,MATCH($B589,元データ_加工!$C$1:$P$1,0)),元データ_加工!$A$2:$A$700,$A589,元データ_加工!$B$2:$B$700,I$5)</f>
        <v>51</v>
      </c>
      <c r="J589" s="26">
        <f>SUMIFS(INDEX(元データ_加工!$C$2:$P$700,0,MATCH($B589,元データ_加工!$C$1:$P$1,0)),元データ_加工!$A$2:$A$700,$A589,元データ_加工!$B$2:$B$700,J$5)</f>
        <v>51</v>
      </c>
      <c r="K589" s="26">
        <f>SUMIFS(INDEX(元データ_加工!$C$2:$P$700,0,MATCH($B589,元データ_加工!$C$1:$P$1,0)),元データ_加工!$A$2:$A$700,$A589,元データ_加工!$B$2:$B$700,K$5)</f>
        <v>61</v>
      </c>
      <c r="L589" s="26">
        <f>SUMIFS(INDEX(元データ_加工!$C$2:$P$700,0,MATCH($B589,元データ_加工!$C$1:$P$1,0)),元データ_加工!$A$2:$A$700,$A589,元データ_加工!$B$2:$B$700,L$5)</f>
        <v>31</v>
      </c>
      <c r="M589" s="26">
        <f>SUMIFS(INDEX(元データ_加工!$C$2:$P$700,0,MATCH($B589,元データ_加工!$C$1:$P$1,0)),元データ_加工!$A$2:$A$700,$A589,元データ_加工!$B$2:$B$700,M$5)</f>
        <v>57</v>
      </c>
      <c r="N589" s="26">
        <f>SUMIFS(INDEX(元データ_加工!$C$2:$P$700,0,MATCH($B589,元データ_加工!$C$1:$P$1,0)),元データ_加工!$A$2:$A$700,$A589,元データ_加工!$B$2:$B$700,N$5)</f>
        <v>54</v>
      </c>
      <c r="O589" s="26">
        <f t="shared" si="9"/>
        <v>619</v>
      </c>
      <c r="P589" s="7">
        <f>IFERROR(O589/SUMIFS(元データ_加工!$C$2:$C$700,元データ_加工!$A$2:$A$700,$A589),"")</f>
        <v>3.793124578711931E-2</v>
      </c>
    </row>
    <row r="590" spans="1:16" x14ac:dyDescent="0.45">
      <c r="A590" t="s">
        <v>76</v>
      </c>
      <c r="B590" t="s">
        <v>110</v>
      </c>
      <c r="C590" s="26">
        <f>SUMIFS(INDEX(元データ_加工!$C$2:$P$700,0,MATCH($B590,元データ_加工!$C$1:$P$1,0)),元データ_加工!$A$2:$A$700,$A590,元データ_加工!$B$2:$B$700,C$5)</f>
        <v>0</v>
      </c>
      <c r="D590" s="26">
        <f>SUMIFS(INDEX(元データ_加工!$C$2:$P$700,0,MATCH($B590,元データ_加工!$C$1:$P$1,0)),元データ_加工!$A$2:$A$700,$A590,元データ_加工!$B$2:$B$700,D$5)</f>
        <v>0</v>
      </c>
      <c r="E590" s="26">
        <f>SUMIFS(INDEX(元データ_加工!$C$2:$P$700,0,MATCH($B590,元データ_加工!$C$1:$P$1,0)),元データ_加工!$A$2:$A$700,$A590,元データ_加工!$B$2:$B$700,E$5)</f>
        <v>0</v>
      </c>
      <c r="F590" s="26">
        <f>SUMIFS(INDEX(元データ_加工!$C$2:$P$700,0,MATCH($B590,元データ_加工!$C$1:$P$1,0)),元データ_加工!$A$2:$A$700,$A590,元データ_加工!$B$2:$B$700,F$5)</f>
        <v>0</v>
      </c>
      <c r="G590" s="26">
        <f>SUMIFS(INDEX(元データ_加工!$C$2:$P$700,0,MATCH($B590,元データ_加工!$C$1:$P$1,0)),元データ_加工!$A$2:$A$700,$A590,元データ_加工!$B$2:$B$700,G$5)</f>
        <v>0</v>
      </c>
      <c r="H590" s="26">
        <f>SUMIFS(INDEX(元データ_加工!$C$2:$P$700,0,MATCH($B590,元データ_加工!$C$1:$P$1,0)),元データ_加工!$A$2:$A$700,$A590,元データ_加工!$B$2:$B$700,H$5)</f>
        <v>0</v>
      </c>
      <c r="I590" s="26">
        <f>SUMIFS(INDEX(元データ_加工!$C$2:$P$700,0,MATCH($B590,元データ_加工!$C$1:$P$1,0)),元データ_加工!$A$2:$A$700,$A590,元データ_加工!$B$2:$B$700,I$5)</f>
        <v>0</v>
      </c>
      <c r="J590" s="26">
        <f>SUMIFS(INDEX(元データ_加工!$C$2:$P$700,0,MATCH($B590,元データ_加工!$C$1:$P$1,0)),元データ_加工!$A$2:$A$700,$A590,元データ_加工!$B$2:$B$700,J$5)</f>
        <v>0</v>
      </c>
      <c r="K590" s="26">
        <f>SUMIFS(INDEX(元データ_加工!$C$2:$P$700,0,MATCH($B590,元データ_加工!$C$1:$P$1,0)),元データ_加工!$A$2:$A$700,$A590,元データ_加工!$B$2:$B$700,K$5)</f>
        <v>0</v>
      </c>
      <c r="L590" s="26">
        <f>SUMIFS(INDEX(元データ_加工!$C$2:$P$700,0,MATCH($B590,元データ_加工!$C$1:$P$1,0)),元データ_加工!$A$2:$A$700,$A590,元データ_加工!$B$2:$B$700,L$5)</f>
        <v>0</v>
      </c>
      <c r="M590" s="26">
        <f>SUMIFS(INDEX(元データ_加工!$C$2:$P$700,0,MATCH($B590,元データ_加工!$C$1:$P$1,0)),元データ_加工!$A$2:$A$700,$A590,元データ_加工!$B$2:$B$700,M$5)</f>
        <v>0</v>
      </c>
      <c r="N590" s="26">
        <f>SUMIFS(INDEX(元データ_加工!$C$2:$P$700,0,MATCH($B590,元データ_加工!$C$1:$P$1,0)),元データ_加工!$A$2:$A$700,$A590,元データ_加工!$B$2:$B$700,N$5)</f>
        <v>0</v>
      </c>
      <c r="O590" s="26">
        <f t="shared" si="9"/>
        <v>0</v>
      </c>
      <c r="P590" s="7">
        <f>IFERROR(O590/SUMIFS(元データ_加工!$C$2:$C$700,元データ_加工!$A$2:$A$700,$A590),"")</f>
        <v>0</v>
      </c>
    </row>
    <row r="591" spans="1:16" x14ac:dyDescent="0.45">
      <c r="A591" t="s">
        <v>76</v>
      </c>
      <c r="B591" t="s">
        <v>111</v>
      </c>
      <c r="C591" s="26">
        <f>SUMIFS(INDEX(元データ_加工!$C$2:$P$700,0,MATCH($B591,元データ_加工!$C$1:$P$1,0)),元データ_加工!$A$2:$A$700,$A591,元データ_加工!$B$2:$B$700,C$5)</f>
        <v>0</v>
      </c>
      <c r="D591" s="26">
        <f>SUMIFS(INDEX(元データ_加工!$C$2:$P$700,0,MATCH($B591,元データ_加工!$C$1:$P$1,0)),元データ_加工!$A$2:$A$700,$A591,元データ_加工!$B$2:$B$700,D$5)</f>
        <v>0</v>
      </c>
      <c r="E591" s="26">
        <f>SUMIFS(INDEX(元データ_加工!$C$2:$P$700,0,MATCH($B591,元データ_加工!$C$1:$P$1,0)),元データ_加工!$A$2:$A$700,$A591,元データ_加工!$B$2:$B$700,E$5)</f>
        <v>0</v>
      </c>
      <c r="F591" s="26">
        <f>SUMIFS(INDEX(元データ_加工!$C$2:$P$700,0,MATCH($B591,元データ_加工!$C$1:$P$1,0)),元データ_加工!$A$2:$A$700,$A591,元データ_加工!$B$2:$B$700,F$5)</f>
        <v>0</v>
      </c>
      <c r="G591" s="26">
        <f>SUMIFS(INDEX(元データ_加工!$C$2:$P$700,0,MATCH($B591,元データ_加工!$C$1:$P$1,0)),元データ_加工!$A$2:$A$700,$A591,元データ_加工!$B$2:$B$700,G$5)</f>
        <v>0</v>
      </c>
      <c r="H591" s="26">
        <f>SUMIFS(INDEX(元データ_加工!$C$2:$P$700,0,MATCH($B591,元データ_加工!$C$1:$P$1,0)),元データ_加工!$A$2:$A$700,$A591,元データ_加工!$B$2:$B$700,H$5)</f>
        <v>0</v>
      </c>
      <c r="I591" s="26">
        <f>SUMIFS(INDEX(元データ_加工!$C$2:$P$700,0,MATCH($B591,元データ_加工!$C$1:$P$1,0)),元データ_加工!$A$2:$A$700,$A591,元データ_加工!$B$2:$B$700,I$5)</f>
        <v>0</v>
      </c>
      <c r="J591" s="26">
        <f>SUMIFS(INDEX(元データ_加工!$C$2:$P$700,0,MATCH($B591,元データ_加工!$C$1:$P$1,0)),元データ_加工!$A$2:$A$700,$A591,元データ_加工!$B$2:$B$700,J$5)</f>
        <v>0</v>
      </c>
      <c r="K591" s="26">
        <f>SUMIFS(INDEX(元データ_加工!$C$2:$P$700,0,MATCH($B591,元データ_加工!$C$1:$P$1,0)),元データ_加工!$A$2:$A$700,$A591,元データ_加工!$B$2:$B$700,K$5)</f>
        <v>1</v>
      </c>
      <c r="L591" s="26">
        <f>SUMIFS(INDEX(元データ_加工!$C$2:$P$700,0,MATCH($B591,元データ_加工!$C$1:$P$1,0)),元データ_加工!$A$2:$A$700,$A591,元データ_加工!$B$2:$B$700,L$5)</f>
        <v>5</v>
      </c>
      <c r="M591" s="26">
        <f>SUMIFS(INDEX(元データ_加工!$C$2:$P$700,0,MATCH($B591,元データ_加工!$C$1:$P$1,0)),元データ_加工!$A$2:$A$700,$A591,元データ_加工!$B$2:$B$700,M$5)</f>
        <v>7</v>
      </c>
      <c r="N591" s="26">
        <f>SUMIFS(INDEX(元データ_加工!$C$2:$P$700,0,MATCH($B591,元データ_加工!$C$1:$P$1,0)),元データ_加工!$A$2:$A$700,$A591,元データ_加工!$B$2:$B$700,N$5)</f>
        <v>0</v>
      </c>
      <c r="O591" s="26">
        <f t="shared" si="9"/>
        <v>13</v>
      </c>
      <c r="P591" s="7">
        <f>IFERROR(O591/SUMIFS(元データ_加工!$C$2:$C$700,元データ_加工!$A$2:$A$700,$A591),"")</f>
        <v>7.96617439794105E-4</v>
      </c>
    </row>
    <row r="592" spans="1:16" x14ac:dyDescent="0.45">
      <c r="A592" t="s">
        <v>76</v>
      </c>
      <c r="B592" t="s">
        <v>112</v>
      </c>
      <c r="C592" s="26">
        <f>SUMIFS(INDEX(元データ_加工!$C$2:$P$700,0,MATCH($B592,元データ_加工!$C$1:$P$1,0)),元データ_加工!$A$2:$A$700,$A592,元データ_加工!$B$2:$B$700,C$5)</f>
        <v>0</v>
      </c>
      <c r="D592" s="26">
        <f>SUMIFS(INDEX(元データ_加工!$C$2:$P$700,0,MATCH($B592,元データ_加工!$C$1:$P$1,0)),元データ_加工!$A$2:$A$700,$A592,元データ_加工!$B$2:$B$700,D$5)</f>
        <v>0</v>
      </c>
      <c r="E592" s="26">
        <f>SUMIFS(INDEX(元データ_加工!$C$2:$P$700,0,MATCH($B592,元データ_加工!$C$1:$P$1,0)),元データ_加工!$A$2:$A$700,$A592,元データ_加工!$B$2:$B$700,E$5)</f>
        <v>0</v>
      </c>
      <c r="F592" s="26">
        <f>SUMIFS(INDEX(元データ_加工!$C$2:$P$700,0,MATCH($B592,元データ_加工!$C$1:$P$1,0)),元データ_加工!$A$2:$A$700,$A592,元データ_加工!$B$2:$B$700,F$5)</f>
        <v>0</v>
      </c>
      <c r="G592" s="26">
        <f>SUMIFS(INDEX(元データ_加工!$C$2:$P$700,0,MATCH($B592,元データ_加工!$C$1:$P$1,0)),元データ_加工!$A$2:$A$700,$A592,元データ_加工!$B$2:$B$700,G$5)</f>
        <v>0</v>
      </c>
      <c r="H592" s="26">
        <f>SUMIFS(INDEX(元データ_加工!$C$2:$P$700,0,MATCH($B592,元データ_加工!$C$1:$P$1,0)),元データ_加工!$A$2:$A$700,$A592,元データ_加工!$B$2:$B$700,H$5)</f>
        <v>0</v>
      </c>
      <c r="I592" s="26">
        <f>SUMIFS(INDEX(元データ_加工!$C$2:$P$700,0,MATCH($B592,元データ_加工!$C$1:$P$1,0)),元データ_加工!$A$2:$A$700,$A592,元データ_加工!$B$2:$B$700,I$5)</f>
        <v>0</v>
      </c>
      <c r="J592" s="26">
        <f>SUMIFS(INDEX(元データ_加工!$C$2:$P$700,0,MATCH($B592,元データ_加工!$C$1:$P$1,0)),元データ_加工!$A$2:$A$700,$A592,元データ_加工!$B$2:$B$700,J$5)</f>
        <v>0</v>
      </c>
      <c r="K592" s="26">
        <f>SUMIFS(INDEX(元データ_加工!$C$2:$P$700,0,MATCH($B592,元データ_加工!$C$1:$P$1,0)),元データ_加工!$A$2:$A$700,$A592,元データ_加工!$B$2:$B$700,K$5)</f>
        <v>1</v>
      </c>
      <c r="L592" s="26">
        <f>SUMIFS(INDEX(元データ_加工!$C$2:$P$700,0,MATCH($B592,元データ_加工!$C$1:$P$1,0)),元データ_加工!$A$2:$A$700,$A592,元データ_加工!$B$2:$B$700,L$5)</f>
        <v>0</v>
      </c>
      <c r="M592" s="26">
        <f>SUMIFS(INDEX(元データ_加工!$C$2:$P$700,0,MATCH($B592,元データ_加工!$C$1:$P$1,0)),元データ_加工!$A$2:$A$700,$A592,元データ_加工!$B$2:$B$700,M$5)</f>
        <v>0</v>
      </c>
      <c r="N592" s="26">
        <f>SUMIFS(INDEX(元データ_加工!$C$2:$P$700,0,MATCH($B592,元データ_加工!$C$1:$P$1,0)),元データ_加工!$A$2:$A$700,$A592,元データ_加工!$B$2:$B$700,N$5)</f>
        <v>0</v>
      </c>
      <c r="O592" s="26">
        <f t="shared" si="9"/>
        <v>1</v>
      </c>
      <c r="P592" s="7">
        <f>IFERROR(O592/SUMIFS(元データ_加工!$C$2:$C$700,元データ_加工!$A$2:$A$700,$A592),"")</f>
        <v>6.1278264599546543E-5</v>
      </c>
    </row>
    <row r="593" spans="1:16" x14ac:dyDescent="0.45">
      <c r="A593" t="s">
        <v>76</v>
      </c>
      <c r="B593" t="s">
        <v>113</v>
      </c>
      <c r="C593" s="26">
        <f>SUMIFS(INDEX(元データ_加工!$C$2:$P$700,0,MATCH($B593,元データ_加工!$C$1:$P$1,0)),元データ_加工!$A$2:$A$700,$A593,元データ_加工!$B$2:$B$700,C$5)</f>
        <v>0</v>
      </c>
      <c r="D593" s="26">
        <f>SUMIFS(INDEX(元データ_加工!$C$2:$P$700,0,MATCH($B593,元データ_加工!$C$1:$P$1,0)),元データ_加工!$A$2:$A$700,$A593,元データ_加工!$B$2:$B$700,D$5)</f>
        <v>0</v>
      </c>
      <c r="E593" s="26">
        <f>SUMIFS(INDEX(元データ_加工!$C$2:$P$700,0,MATCH($B593,元データ_加工!$C$1:$P$1,0)),元データ_加工!$A$2:$A$700,$A593,元データ_加工!$B$2:$B$700,E$5)</f>
        <v>0</v>
      </c>
      <c r="F593" s="26">
        <f>SUMIFS(INDEX(元データ_加工!$C$2:$P$700,0,MATCH($B593,元データ_加工!$C$1:$P$1,0)),元データ_加工!$A$2:$A$700,$A593,元データ_加工!$B$2:$B$700,F$5)</f>
        <v>0</v>
      </c>
      <c r="G593" s="26">
        <f>SUMIFS(INDEX(元データ_加工!$C$2:$P$700,0,MATCH($B593,元データ_加工!$C$1:$P$1,0)),元データ_加工!$A$2:$A$700,$A593,元データ_加工!$B$2:$B$700,G$5)</f>
        <v>0</v>
      </c>
      <c r="H593" s="26">
        <f>SUMIFS(INDEX(元データ_加工!$C$2:$P$700,0,MATCH($B593,元データ_加工!$C$1:$P$1,0)),元データ_加工!$A$2:$A$700,$A593,元データ_加工!$B$2:$B$700,H$5)</f>
        <v>0</v>
      </c>
      <c r="I593" s="26">
        <f>SUMIFS(INDEX(元データ_加工!$C$2:$P$700,0,MATCH($B593,元データ_加工!$C$1:$P$1,0)),元データ_加工!$A$2:$A$700,$A593,元データ_加工!$B$2:$B$700,I$5)</f>
        <v>0</v>
      </c>
      <c r="J593" s="26">
        <f>SUMIFS(INDEX(元データ_加工!$C$2:$P$700,0,MATCH($B593,元データ_加工!$C$1:$P$1,0)),元データ_加工!$A$2:$A$700,$A593,元データ_加工!$B$2:$B$700,J$5)</f>
        <v>0</v>
      </c>
      <c r="K593" s="26">
        <f>SUMIFS(INDEX(元データ_加工!$C$2:$P$700,0,MATCH($B593,元データ_加工!$C$1:$P$1,0)),元データ_加工!$A$2:$A$700,$A593,元データ_加工!$B$2:$B$700,K$5)</f>
        <v>0</v>
      </c>
      <c r="L593" s="26">
        <f>SUMIFS(INDEX(元データ_加工!$C$2:$P$700,0,MATCH($B593,元データ_加工!$C$1:$P$1,0)),元データ_加工!$A$2:$A$700,$A593,元データ_加工!$B$2:$B$700,L$5)</f>
        <v>0</v>
      </c>
      <c r="M593" s="26">
        <f>SUMIFS(INDEX(元データ_加工!$C$2:$P$700,0,MATCH($B593,元データ_加工!$C$1:$P$1,0)),元データ_加工!$A$2:$A$700,$A593,元データ_加工!$B$2:$B$700,M$5)</f>
        <v>0</v>
      </c>
      <c r="N593" s="26">
        <f>SUMIFS(INDEX(元データ_加工!$C$2:$P$700,0,MATCH($B593,元データ_加工!$C$1:$P$1,0)),元データ_加工!$A$2:$A$700,$A593,元データ_加工!$B$2:$B$700,N$5)</f>
        <v>0</v>
      </c>
      <c r="O593" s="26">
        <f t="shared" si="9"/>
        <v>0</v>
      </c>
      <c r="P593" s="7">
        <f>IFERROR(O593/SUMIFS(元データ_加工!$C$2:$C$700,元データ_加工!$A$2:$A$700,$A593),"")</f>
        <v>0</v>
      </c>
    </row>
    <row r="594" spans="1:16" x14ac:dyDescent="0.45">
      <c r="A594" t="s">
        <v>77</v>
      </c>
      <c r="B594" t="s">
        <v>100</v>
      </c>
      <c r="C594" s="26">
        <f>SUMIFS(INDEX(元データ_加工!$C$2:$P$700,0,MATCH($B594,元データ_加工!$C$1:$P$1,0)),元データ_加工!$A$2:$A$700,$A594,元データ_加工!$B$2:$B$700,C$5)</f>
        <v>909</v>
      </c>
      <c r="D594" s="26">
        <f>SUMIFS(INDEX(元データ_加工!$C$2:$P$700,0,MATCH($B594,元データ_加工!$C$1:$P$1,0)),元データ_加工!$A$2:$A$700,$A594,元データ_加工!$B$2:$B$700,D$5)</f>
        <v>1070</v>
      </c>
      <c r="E594" s="26">
        <f>SUMIFS(INDEX(元データ_加工!$C$2:$P$700,0,MATCH($B594,元データ_加工!$C$1:$P$1,0)),元データ_加工!$A$2:$A$700,$A594,元データ_加工!$B$2:$B$700,E$5)</f>
        <v>1439</v>
      </c>
      <c r="F594" s="26">
        <f>SUMIFS(INDEX(元データ_加工!$C$2:$P$700,0,MATCH($B594,元データ_加工!$C$1:$P$1,0)),元データ_加工!$A$2:$A$700,$A594,元データ_加工!$B$2:$B$700,F$5)</f>
        <v>1339</v>
      </c>
      <c r="G594" s="26">
        <f>SUMIFS(INDEX(元データ_加工!$C$2:$P$700,0,MATCH($B594,元データ_加工!$C$1:$P$1,0)),元データ_加工!$A$2:$A$700,$A594,元データ_加工!$B$2:$B$700,G$5)</f>
        <v>1394</v>
      </c>
      <c r="H594" s="26">
        <f>SUMIFS(INDEX(元データ_加工!$C$2:$P$700,0,MATCH($B594,元データ_加工!$C$1:$P$1,0)),元データ_加工!$A$2:$A$700,$A594,元データ_加工!$B$2:$B$700,H$5)</f>
        <v>1158</v>
      </c>
      <c r="I594" s="26">
        <f>SUMIFS(INDEX(元データ_加工!$C$2:$P$700,0,MATCH($B594,元データ_加工!$C$1:$P$1,0)),元データ_加工!$A$2:$A$700,$A594,元データ_加工!$B$2:$B$700,I$5)</f>
        <v>864</v>
      </c>
      <c r="J594" s="26">
        <f>SUMIFS(INDEX(元データ_加工!$C$2:$P$700,0,MATCH($B594,元データ_加工!$C$1:$P$1,0)),元データ_加工!$A$2:$A$700,$A594,元データ_加工!$B$2:$B$700,J$5)</f>
        <v>1647</v>
      </c>
      <c r="K594" s="26">
        <f>SUMIFS(INDEX(元データ_加工!$C$2:$P$700,0,MATCH($B594,元データ_加工!$C$1:$P$1,0)),元データ_加工!$A$2:$A$700,$A594,元データ_加工!$B$2:$B$700,K$5)</f>
        <v>2914</v>
      </c>
      <c r="L594" s="26">
        <f>SUMIFS(INDEX(元データ_加工!$C$2:$P$700,0,MATCH($B594,元データ_加工!$C$1:$P$1,0)),元データ_加工!$A$2:$A$700,$A594,元データ_加工!$B$2:$B$700,L$5)</f>
        <v>1872</v>
      </c>
      <c r="M594" s="26">
        <f>SUMIFS(INDEX(元データ_加工!$C$2:$P$700,0,MATCH($B594,元データ_加工!$C$1:$P$1,0)),元データ_加工!$A$2:$A$700,$A594,元データ_加工!$B$2:$B$700,M$5)</f>
        <v>1684</v>
      </c>
      <c r="N594" s="26">
        <f>SUMIFS(INDEX(元データ_加工!$C$2:$P$700,0,MATCH($B594,元データ_加工!$C$1:$P$1,0)),元データ_加工!$A$2:$A$700,$A594,元データ_加工!$B$2:$B$700,N$5)</f>
        <v>1385</v>
      </c>
      <c r="O594" s="26">
        <f t="shared" si="9"/>
        <v>17675</v>
      </c>
      <c r="P594" s="7">
        <f>IFERROR(O594/SUMIFS(元データ_加工!$C$2:$C$700,元データ_加工!$A$2:$A$700,$A594),"")</f>
        <v>1</v>
      </c>
    </row>
    <row r="595" spans="1:16" x14ac:dyDescent="0.45">
      <c r="A595" t="s">
        <v>77</v>
      </c>
      <c r="B595" t="s">
        <v>101</v>
      </c>
      <c r="C595" s="26">
        <f>SUMIFS(INDEX(元データ_加工!$C$2:$P$700,0,MATCH($B595,元データ_加工!$C$1:$P$1,0)),元データ_加工!$A$2:$A$700,$A595,元データ_加工!$B$2:$B$700,C$5)</f>
        <v>311</v>
      </c>
      <c r="D595" s="26">
        <f>SUMIFS(INDEX(元データ_加工!$C$2:$P$700,0,MATCH($B595,元データ_加工!$C$1:$P$1,0)),元データ_加工!$A$2:$A$700,$A595,元データ_加工!$B$2:$B$700,D$5)</f>
        <v>385</v>
      </c>
      <c r="E595" s="26">
        <f>SUMIFS(INDEX(元データ_加工!$C$2:$P$700,0,MATCH($B595,元データ_加工!$C$1:$P$1,0)),元データ_加工!$A$2:$A$700,$A595,元データ_加工!$B$2:$B$700,E$5)</f>
        <v>492</v>
      </c>
      <c r="F595" s="26">
        <f>SUMIFS(INDEX(元データ_加工!$C$2:$P$700,0,MATCH($B595,元データ_加工!$C$1:$P$1,0)),元データ_加工!$A$2:$A$700,$A595,元データ_加工!$B$2:$B$700,F$5)</f>
        <v>463</v>
      </c>
      <c r="G595" s="26">
        <f>SUMIFS(INDEX(元データ_加工!$C$2:$P$700,0,MATCH($B595,元データ_加工!$C$1:$P$1,0)),元データ_加工!$A$2:$A$700,$A595,元データ_加工!$B$2:$B$700,G$5)</f>
        <v>415</v>
      </c>
      <c r="H595" s="26">
        <f>SUMIFS(INDEX(元データ_加工!$C$2:$P$700,0,MATCH($B595,元データ_加工!$C$1:$P$1,0)),元データ_加工!$A$2:$A$700,$A595,元データ_加工!$B$2:$B$700,H$5)</f>
        <v>393</v>
      </c>
      <c r="I595" s="26">
        <f>SUMIFS(INDEX(元データ_加工!$C$2:$P$700,0,MATCH($B595,元データ_加工!$C$1:$P$1,0)),元データ_加工!$A$2:$A$700,$A595,元データ_加工!$B$2:$B$700,I$5)</f>
        <v>349</v>
      </c>
      <c r="J595" s="26">
        <f>SUMIFS(INDEX(元データ_加工!$C$2:$P$700,0,MATCH($B595,元データ_加工!$C$1:$P$1,0)),元データ_加工!$A$2:$A$700,$A595,元データ_加工!$B$2:$B$700,J$5)</f>
        <v>429</v>
      </c>
      <c r="K595" s="26">
        <f>SUMIFS(INDEX(元データ_加工!$C$2:$P$700,0,MATCH($B595,元データ_加工!$C$1:$P$1,0)),元データ_加工!$A$2:$A$700,$A595,元データ_加工!$B$2:$B$700,K$5)</f>
        <v>616</v>
      </c>
      <c r="L595" s="26">
        <f>SUMIFS(INDEX(元データ_加工!$C$2:$P$700,0,MATCH($B595,元データ_加工!$C$1:$P$1,0)),元データ_加工!$A$2:$A$700,$A595,元データ_加工!$B$2:$B$700,L$5)</f>
        <v>558</v>
      </c>
      <c r="M595" s="26">
        <f>SUMIFS(INDEX(元データ_加工!$C$2:$P$700,0,MATCH($B595,元データ_加工!$C$1:$P$1,0)),元データ_加工!$A$2:$A$700,$A595,元データ_加工!$B$2:$B$700,M$5)</f>
        <v>675</v>
      </c>
      <c r="N595" s="26">
        <f>SUMIFS(INDEX(元データ_加工!$C$2:$P$700,0,MATCH($B595,元データ_加工!$C$1:$P$1,0)),元データ_加工!$A$2:$A$700,$A595,元データ_加工!$B$2:$B$700,N$5)</f>
        <v>534</v>
      </c>
      <c r="O595" s="26">
        <f t="shared" si="9"/>
        <v>5620</v>
      </c>
      <c r="P595" s="7">
        <f>IFERROR(O595/SUMIFS(元データ_加工!$C$2:$C$700,元データ_加工!$A$2:$A$700,$A595),"")</f>
        <v>0.31796322489391798</v>
      </c>
    </row>
    <row r="596" spans="1:16" x14ac:dyDescent="0.45">
      <c r="A596" t="s">
        <v>77</v>
      </c>
      <c r="B596" t="s">
        <v>102</v>
      </c>
      <c r="C596" s="26">
        <f>SUMIFS(INDEX(元データ_加工!$C$2:$P$700,0,MATCH($B596,元データ_加工!$C$1:$P$1,0)),元データ_加工!$A$2:$A$700,$A596,元データ_加工!$B$2:$B$700,C$5)</f>
        <v>0</v>
      </c>
      <c r="D596" s="26">
        <f>SUMIFS(INDEX(元データ_加工!$C$2:$P$700,0,MATCH($B596,元データ_加工!$C$1:$P$1,0)),元データ_加工!$A$2:$A$700,$A596,元データ_加工!$B$2:$B$700,D$5)</f>
        <v>0</v>
      </c>
      <c r="E596" s="26">
        <f>SUMIFS(INDEX(元データ_加工!$C$2:$P$700,0,MATCH($B596,元データ_加工!$C$1:$P$1,0)),元データ_加工!$A$2:$A$700,$A596,元データ_加工!$B$2:$B$700,E$5)</f>
        <v>0</v>
      </c>
      <c r="F596" s="26">
        <f>SUMIFS(INDEX(元データ_加工!$C$2:$P$700,0,MATCH($B596,元データ_加工!$C$1:$P$1,0)),元データ_加工!$A$2:$A$700,$A596,元データ_加工!$B$2:$B$700,F$5)</f>
        <v>0</v>
      </c>
      <c r="G596" s="26">
        <f>SUMIFS(INDEX(元データ_加工!$C$2:$P$700,0,MATCH($B596,元データ_加工!$C$1:$P$1,0)),元データ_加工!$A$2:$A$700,$A596,元データ_加工!$B$2:$B$700,G$5)</f>
        <v>0</v>
      </c>
      <c r="H596" s="26">
        <f>SUMIFS(INDEX(元データ_加工!$C$2:$P$700,0,MATCH($B596,元データ_加工!$C$1:$P$1,0)),元データ_加工!$A$2:$A$700,$A596,元データ_加工!$B$2:$B$700,H$5)</f>
        <v>0</v>
      </c>
      <c r="I596" s="26">
        <f>SUMIFS(INDEX(元データ_加工!$C$2:$P$700,0,MATCH($B596,元データ_加工!$C$1:$P$1,0)),元データ_加工!$A$2:$A$700,$A596,元データ_加工!$B$2:$B$700,I$5)</f>
        <v>0</v>
      </c>
      <c r="J596" s="26">
        <f>SUMIFS(INDEX(元データ_加工!$C$2:$P$700,0,MATCH($B596,元データ_加工!$C$1:$P$1,0)),元データ_加工!$A$2:$A$700,$A596,元データ_加工!$B$2:$B$700,J$5)</f>
        <v>0</v>
      </c>
      <c r="K596" s="26">
        <f>SUMIFS(INDEX(元データ_加工!$C$2:$P$700,0,MATCH($B596,元データ_加工!$C$1:$P$1,0)),元データ_加工!$A$2:$A$700,$A596,元データ_加工!$B$2:$B$700,K$5)</f>
        <v>0</v>
      </c>
      <c r="L596" s="26">
        <f>SUMIFS(INDEX(元データ_加工!$C$2:$P$700,0,MATCH($B596,元データ_加工!$C$1:$P$1,0)),元データ_加工!$A$2:$A$700,$A596,元データ_加工!$B$2:$B$700,L$5)</f>
        <v>0</v>
      </c>
      <c r="M596" s="26">
        <f>SUMIFS(INDEX(元データ_加工!$C$2:$P$700,0,MATCH($B596,元データ_加工!$C$1:$P$1,0)),元データ_加工!$A$2:$A$700,$A596,元データ_加工!$B$2:$B$700,M$5)</f>
        <v>0</v>
      </c>
      <c r="N596" s="26">
        <f>SUMIFS(INDEX(元データ_加工!$C$2:$P$700,0,MATCH($B596,元データ_加工!$C$1:$P$1,0)),元データ_加工!$A$2:$A$700,$A596,元データ_加工!$B$2:$B$700,N$5)</f>
        <v>0</v>
      </c>
      <c r="O596" s="26">
        <f t="shared" si="9"/>
        <v>0</v>
      </c>
      <c r="P596" s="7">
        <f>IFERROR(O596/SUMIFS(元データ_加工!$C$2:$C$700,元データ_加工!$A$2:$A$700,$A596),"")</f>
        <v>0</v>
      </c>
    </row>
    <row r="597" spans="1:16" x14ac:dyDescent="0.45">
      <c r="A597" t="s">
        <v>77</v>
      </c>
      <c r="B597" t="s">
        <v>103</v>
      </c>
      <c r="C597" s="26">
        <f>SUMIFS(INDEX(元データ_加工!$C$2:$P$700,0,MATCH($B597,元データ_加工!$C$1:$P$1,0)),元データ_加工!$A$2:$A$700,$A597,元データ_加工!$B$2:$B$700,C$5)</f>
        <v>0</v>
      </c>
      <c r="D597" s="26">
        <f>SUMIFS(INDEX(元データ_加工!$C$2:$P$700,0,MATCH($B597,元データ_加工!$C$1:$P$1,0)),元データ_加工!$A$2:$A$700,$A597,元データ_加工!$B$2:$B$700,D$5)</f>
        <v>3</v>
      </c>
      <c r="E597" s="26">
        <f>SUMIFS(INDEX(元データ_加工!$C$2:$P$700,0,MATCH($B597,元データ_加工!$C$1:$P$1,0)),元データ_加工!$A$2:$A$700,$A597,元データ_加工!$B$2:$B$700,E$5)</f>
        <v>16</v>
      </c>
      <c r="F597" s="26">
        <f>SUMIFS(INDEX(元データ_加工!$C$2:$P$700,0,MATCH($B597,元データ_加工!$C$1:$P$1,0)),元データ_加工!$A$2:$A$700,$A597,元データ_加工!$B$2:$B$700,F$5)</f>
        <v>45</v>
      </c>
      <c r="G597" s="26">
        <f>SUMIFS(INDEX(元データ_加工!$C$2:$P$700,0,MATCH($B597,元データ_加工!$C$1:$P$1,0)),元データ_加工!$A$2:$A$700,$A597,元データ_加工!$B$2:$B$700,G$5)</f>
        <v>7</v>
      </c>
      <c r="H597" s="26">
        <f>SUMIFS(INDEX(元データ_加工!$C$2:$P$700,0,MATCH($B597,元データ_加工!$C$1:$P$1,0)),元データ_加工!$A$2:$A$700,$A597,元データ_加工!$B$2:$B$700,H$5)</f>
        <v>16</v>
      </c>
      <c r="I597" s="26">
        <f>SUMIFS(INDEX(元データ_加工!$C$2:$P$700,0,MATCH($B597,元データ_加工!$C$1:$P$1,0)),元データ_加工!$A$2:$A$700,$A597,元データ_加工!$B$2:$B$700,I$5)</f>
        <v>5</v>
      </c>
      <c r="J597" s="26">
        <f>SUMIFS(INDEX(元データ_加工!$C$2:$P$700,0,MATCH($B597,元データ_加工!$C$1:$P$1,0)),元データ_加工!$A$2:$A$700,$A597,元データ_加工!$B$2:$B$700,J$5)</f>
        <v>2</v>
      </c>
      <c r="K597" s="26">
        <f>SUMIFS(INDEX(元データ_加工!$C$2:$P$700,0,MATCH($B597,元データ_加工!$C$1:$P$1,0)),元データ_加工!$A$2:$A$700,$A597,元データ_加工!$B$2:$B$700,K$5)</f>
        <v>0</v>
      </c>
      <c r="L597" s="26">
        <f>SUMIFS(INDEX(元データ_加工!$C$2:$P$700,0,MATCH($B597,元データ_加工!$C$1:$P$1,0)),元データ_加工!$A$2:$A$700,$A597,元データ_加工!$B$2:$B$700,L$5)</f>
        <v>2</v>
      </c>
      <c r="M597" s="26">
        <f>SUMIFS(INDEX(元データ_加工!$C$2:$P$700,0,MATCH($B597,元データ_加工!$C$1:$P$1,0)),元データ_加工!$A$2:$A$700,$A597,元データ_加工!$B$2:$B$700,M$5)</f>
        <v>0</v>
      </c>
      <c r="N597" s="26">
        <f>SUMIFS(INDEX(元データ_加工!$C$2:$P$700,0,MATCH($B597,元データ_加工!$C$1:$P$1,0)),元データ_加工!$A$2:$A$700,$A597,元データ_加工!$B$2:$B$700,N$5)</f>
        <v>1</v>
      </c>
      <c r="O597" s="26">
        <f t="shared" si="9"/>
        <v>97</v>
      </c>
      <c r="P597" s="7">
        <f>IFERROR(O597/SUMIFS(元データ_加工!$C$2:$C$700,元データ_加工!$A$2:$A$700,$A597),"")</f>
        <v>5.4879773691654879E-3</v>
      </c>
    </row>
    <row r="598" spans="1:16" x14ac:dyDescent="0.45">
      <c r="A598" t="s">
        <v>77</v>
      </c>
      <c r="B598" t="s">
        <v>104</v>
      </c>
      <c r="C598" s="26">
        <f>SUMIFS(INDEX(元データ_加工!$C$2:$P$700,0,MATCH($B598,元データ_加工!$C$1:$P$1,0)),元データ_加工!$A$2:$A$700,$A598,元データ_加工!$B$2:$B$700,C$5)</f>
        <v>15</v>
      </c>
      <c r="D598" s="26">
        <f>SUMIFS(INDEX(元データ_加工!$C$2:$P$700,0,MATCH($B598,元データ_加工!$C$1:$P$1,0)),元データ_加工!$A$2:$A$700,$A598,元データ_加工!$B$2:$B$700,D$5)</f>
        <v>21</v>
      </c>
      <c r="E598" s="26">
        <f>SUMIFS(INDEX(元データ_加工!$C$2:$P$700,0,MATCH($B598,元データ_加工!$C$1:$P$1,0)),元データ_加工!$A$2:$A$700,$A598,元データ_加工!$B$2:$B$700,E$5)</f>
        <v>42</v>
      </c>
      <c r="F598" s="26">
        <f>SUMIFS(INDEX(元データ_加工!$C$2:$P$700,0,MATCH($B598,元データ_加工!$C$1:$P$1,0)),元データ_加工!$A$2:$A$700,$A598,元データ_加工!$B$2:$B$700,F$5)</f>
        <v>28</v>
      </c>
      <c r="G598" s="26">
        <f>SUMIFS(INDEX(元データ_加工!$C$2:$P$700,0,MATCH($B598,元データ_加工!$C$1:$P$1,0)),元データ_加工!$A$2:$A$700,$A598,元データ_加工!$B$2:$B$700,G$5)</f>
        <v>53</v>
      </c>
      <c r="H598" s="26">
        <f>SUMIFS(INDEX(元データ_加工!$C$2:$P$700,0,MATCH($B598,元データ_加工!$C$1:$P$1,0)),元データ_加工!$A$2:$A$700,$A598,元データ_加工!$B$2:$B$700,H$5)</f>
        <v>39</v>
      </c>
      <c r="I598" s="26">
        <f>SUMIFS(INDEX(元データ_加工!$C$2:$P$700,0,MATCH($B598,元データ_加工!$C$1:$P$1,0)),元データ_加工!$A$2:$A$700,$A598,元データ_加工!$B$2:$B$700,I$5)</f>
        <v>24</v>
      </c>
      <c r="J598" s="26">
        <f>SUMIFS(INDEX(元データ_加工!$C$2:$P$700,0,MATCH($B598,元データ_加工!$C$1:$P$1,0)),元データ_加工!$A$2:$A$700,$A598,元データ_加工!$B$2:$B$700,J$5)</f>
        <v>77</v>
      </c>
      <c r="K598" s="26">
        <f>SUMIFS(INDEX(元データ_加工!$C$2:$P$700,0,MATCH($B598,元データ_加工!$C$1:$P$1,0)),元データ_加工!$A$2:$A$700,$A598,元データ_加工!$B$2:$B$700,K$5)</f>
        <v>45</v>
      </c>
      <c r="L598" s="26">
        <f>SUMIFS(INDEX(元データ_加工!$C$2:$P$700,0,MATCH($B598,元データ_加工!$C$1:$P$1,0)),元データ_加工!$A$2:$A$700,$A598,元データ_加工!$B$2:$B$700,L$5)</f>
        <v>27</v>
      </c>
      <c r="M598" s="26">
        <f>SUMIFS(INDEX(元データ_加工!$C$2:$P$700,0,MATCH($B598,元データ_加工!$C$1:$P$1,0)),元データ_加工!$A$2:$A$700,$A598,元データ_加工!$B$2:$B$700,M$5)</f>
        <v>23</v>
      </c>
      <c r="N598" s="26">
        <f>SUMIFS(INDEX(元データ_加工!$C$2:$P$700,0,MATCH($B598,元データ_加工!$C$1:$P$1,0)),元データ_加工!$A$2:$A$700,$A598,元データ_加工!$B$2:$B$700,N$5)</f>
        <v>37</v>
      </c>
      <c r="O598" s="26">
        <f t="shared" si="9"/>
        <v>431</v>
      </c>
      <c r="P598" s="7">
        <f>IFERROR(O598/SUMIFS(元データ_加工!$C$2:$C$700,元データ_加工!$A$2:$A$700,$A598),"")</f>
        <v>2.4384724186704385E-2</v>
      </c>
    </row>
    <row r="599" spans="1:16" x14ac:dyDescent="0.45">
      <c r="A599" t="s">
        <v>77</v>
      </c>
      <c r="B599" t="s">
        <v>105</v>
      </c>
      <c r="C599" s="26">
        <f>SUMIFS(INDEX(元データ_加工!$C$2:$P$700,0,MATCH($B599,元データ_加工!$C$1:$P$1,0)),元データ_加工!$A$2:$A$700,$A599,元データ_加工!$B$2:$B$700,C$5)</f>
        <v>17</v>
      </c>
      <c r="D599" s="26">
        <f>SUMIFS(INDEX(元データ_加工!$C$2:$P$700,0,MATCH($B599,元データ_加工!$C$1:$P$1,0)),元データ_加工!$A$2:$A$700,$A599,元データ_加工!$B$2:$B$700,D$5)</f>
        <v>12</v>
      </c>
      <c r="E599" s="26">
        <f>SUMIFS(INDEX(元データ_加工!$C$2:$P$700,0,MATCH($B599,元データ_加工!$C$1:$P$1,0)),元データ_加工!$A$2:$A$700,$A599,元データ_加工!$B$2:$B$700,E$5)</f>
        <v>14</v>
      </c>
      <c r="F599" s="26">
        <f>SUMIFS(INDEX(元データ_加工!$C$2:$P$700,0,MATCH($B599,元データ_加工!$C$1:$P$1,0)),元データ_加工!$A$2:$A$700,$A599,元データ_加工!$B$2:$B$700,F$5)</f>
        <v>36</v>
      </c>
      <c r="G599" s="26">
        <f>SUMIFS(INDEX(元データ_加工!$C$2:$P$700,0,MATCH($B599,元データ_加工!$C$1:$P$1,0)),元データ_加工!$A$2:$A$700,$A599,元データ_加工!$B$2:$B$700,G$5)</f>
        <v>8</v>
      </c>
      <c r="H599" s="26">
        <f>SUMIFS(INDEX(元データ_加工!$C$2:$P$700,0,MATCH($B599,元データ_加工!$C$1:$P$1,0)),元データ_加工!$A$2:$A$700,$A599,元データ_加工!$B$2:$B$700,H$5)</f>
        <v>15</v>
      </c>
      <c r="I599" s="26">
        <f>SUMIFS(INDEX(元データ_加工!$C$2:$P$700,0,MATCH($B599,元データ_加工!$C$1:$P$1,0)),元データ_加工!$A$2:$A$700,$A599,元データ_加工!$B$2:$B$700,I$5)</f>
        <v>12</v>
      </c>
      <c r="J599" s="26">
        <f>SUMIFS(INDEX(元データ_加工!$C$2:$P$700,0,MATCH($B599,元データ_加工!$C$1:$P$1,0)),元データ_加工!$A$2:$A$700,$A599,元データ_加工!$B$2:$B$700,J$5)</f>
        <v>53</v>
      </c>
      <c r="K599" s="26">
        <f>SUMIFS(INDEX(元データ_加工!$C$2:$P$700,0,MATCH($B599,元データ_加工!$C$1:$P$1,0)),元データ_加工!$A$2:$A$700,$A599,元データ_加工!$B$2:$B$700,K$5)</f>
        <v>128</v>
      </c>
      <c r="L599" s="26">
        <f>SUMIFS(INDEX(元データ_加工!$C$2:$P$700,0,MATCH($B599,元データ_加工!$C$1:$P$1,0)),元データ_加工!$A$2:$A$700,$A599,元データ_加工!$B$2:$B$700,L$5)</f>
        <v>78</v>
      </c>
      <c r="M599" s="26">
        <f>SUMIFS(INDEX(元データ_加工!$C$2:$P$700,0,MATCH($B599,元データ_加工!$C$1:$P$1,0)),元データ_加工!$A$2:$A$700,$A599,元データ_加工!$B$2:$B$700,M$5)</f>
        <v>60</v>
      </c>
      <c r="N599" s="26">
        <f>SUMIFS(INDEX(元データ_加工!$C$2:$P$700,0,MATCH($B599,元データ_加工!$C$1:$P$1,0)),元データ_加工!$A$2:$A$700,$A599,元データ_加工!$B$2:$B$700,N$5)</f>
        <v>28</v>
      </c>
      <c r="O599" s="26">
        <f t="shared" si="9"/>
        <v>461</v>
      </c>
      <c r="P599" s="7">
        <f>IFERROR(O599/SUMIFS(元データ_加工!$C$2:$C$700,元データ_加工!$A$2:$A$700,$A599),"")</f>
        <v>2.6082036775106083E-2</v>
      </c>
    </row>
    <row r="600" spans="1:16" x14ac:dyDescent="0.45">
      <c r="A600" t="s">
        <v>77</v>
      </c>
      <c r="B600" t="s">
        <v>106</v>
      </c>
      <c r="C600" s="26">
        <f>SUMIFS(INDEX(元データ_加工!$C$2:$P$700,0,MATCH($B600,元データ_加工!$C$1:$P$1,0)),元データ_加工!$A$2:$A$700,$A600,元データ_加工!$B$2:$B$700,C$5)</f>
        <v>143</v>
      </c>
      <c r="D600" s="26">
        <f>SUMIFS(INDEX(元データ_加工!$C$2:$P$700,0,MATCH($B600,元データ_加工!$C$1:$P$1,0)),元データ_加工!$A$2:$A$700,$A600,元データ_加工!$B$2:$B$700,D$5)</f>
        <v>142</v>
      </c>
      <c r="E600" s="26">
        <f>SUMIFS(INDEX(元データ_加工!$C$2:$P$700,0,MATCH($B600,元データ_加工!$C$1:$P$1,0)),元データ_加工!$A$2:$A$700,$A600,元データ_加工!$B$2:$B$700,E$5)</f>
        <v>162</v>
      </c>
      <c r="F600" s="26">
        <f>SUMIFS(INDEX(元データ_加工!$C$2:$P$700,0,MATCH($B600,元データ_加工!$C$1:$P$1,0)),元データ_加工!$A$2:$A$700,$A600,元データ_加工!$B$2:$B$700,F$5)</f>
        <v>167</v>
      </c>
      <c r="G600" s="26">
        <f>SUMIFS(INDEX(元データ_加工!$C$2:$P$700,0,MATCH($B600,元データ_加工!$C$1:$P$1,0)),元データ_加工!$A$2:$A$700,$A600,元データ_加工!$B$2:$B$700,G$5)</f>
        <v>127</v>
      </c>
      <c r="H600" s="26">
        <f>SUMIFS(INDEX(元データ_加工!$C$2:$P$700,0,MATCH($B600,元データ_加工!$C$1:$P$1,0)),元データ_加工!$A$2:$A$700,$A600,元データ_加工!$B$2:$B$700,H$5)</f>
        <v>84</v>
      </c>
      <c r="I600" s="26">
        <f>SUMIFS(INDEX(元データ_加工!$C$2:$P$700,0,MATCH($B600,元データ_加工!$C$1:$P$1,0)),元データ_加工!$A$2:$A$700,$A600,元データ_加工!$B$2:$B$700,I$5)</f>
        <v>85</v>
      </c>
      <c r="J600" s="26">
        <f>SUMIFS(INDEX(元データ_加工!$C$2:$P$700,0,MATCH($B600,元データ_加工!$C$1:$P$1,0)),元データ_加工!$A$2:$A$700,$A600,元データ_加工!$B$2:$B$700,J$5)</f>
        <v>91</v>
      </c>
      <c r="K600" s="26">
        <f>SUMIFS(INDEX(元データ_加工!$C$2:$P$700,0,MATCH($B600,元データ_加工!$C$1:$P$1,0)),元データ_加工!$A$2:$A$700,$A600,元データ_加工!$B$2:$B$700,K$5)</f>
        <v>151</v>
      </c>
      <c r="L600" s="26">
        <f>SUMIFS(INDEX(元データ_加工!$C$2:$P$700,0,MATCH($B600,元データ_加工!$C$1:$P$1,0)),元データ_加工!$A$2:$A$700,$A600,元データ_加工!$B$2:$B$700,L$5)</f>
        <v>153</v>
      </c>
      <c r="M600" s="26">
        <f>SUMIFS(INDEX(元データ_加工!$C$2:$P$700,0,MATCH($B600,元データ_加工!$C$1:$P$1,0)),元データ_加工!$A$2:$A$700,$A600,元データ_加工!$B$2:$B$700,M$5)</f>
        <v>170</v>
      </c>
      <c r="N600" s="26">
        <f>SUMIFS(INDEX(元データ_加工!$C$2:$P$700,0,MATCH($B600,元データ_加工!$C$1:$P$1,0)),元データ_加工!$A$2:$A$700,$A600,元データ_加工!$B$2:$B$700,N$5)</f>
        <v>109</v>
      </c>
      <c r="O600" s="26">
        <f t="shared" si="9"/>
        <v>1584</v>
      </c>
      <c r="P600" s="7">
        <f>IFERROR(O600/SUMIFS(元データ_加工!$C$2:$C$700,元データ_加工!$A$2:$A$700,$A600),"")</f>
        <v>8.9618104667609624E-2</v>
      </c>
    </row>
    <row r="601" spans="1:16" x14ac:dyDescent="0.45">
      <c r="A601" t="s">
        <v>77</v>
      </c>
      <c r="B601" t="s">
        <v>107</v>
      </c>
      <c r="C601" s="26">
        <f>SUMIFS(INDEX(元データ_加工!$C$2:$P$700,0,MATCH($B601,元データ_加工!$C$1:$P$1,0)),元データ_加工!$A$2:$A$700,$A601,元データ_加工!$B$2:$B$700,C$5)</f>
        <v>70</v>
      </c>
      <c r="D601" s="26">
        <f>SUMIFS(INDEX(元データ_加工!$C$2:$P$700,0,MATCH($B601,元データ_加工!$C$1:$P$1,0)),元データ_加工!$A$2:$A$700,$A601,元データ_加工!$B$2:$B$700,D$5)</f>
        <v>84</v>
      </c>
      <c r="E601" s="26">
        <f>SUMIFS(INDEX(元データ_加工!$C$2:$P$700,0,MATCH($B601,元データ_加工!$C$1:$P$1,0)),元データ_加工!$A$2:$A$700,$A601,元データ_加工!$B$2:$B$700,E$5)</f>
        <v>75</v>
      </c>
      <c r="F601" s="26">
        <f>SUMIFS(INDEX(元データ_加工!$C$2:$P$700,0,MATCH($B601,元データ_加工!$C$1:$P$1,0)),元データ_加工!$A$2:$A$700,$A601,元データ_加工!$B$2:$B$700,F$5)</f>
        <v>77</v>
      </c>
      <c r="G601" s="26">
        <f>SUMIFS(INDEX(元データ_加工!$C$2:$P$700,0,MATCH($B601,元データ_加工!$C$1:$P$1,0)),元データ_加工!$A$2:$A$700,$A601,元データ_加工!$B$2:$B$700,G$5)</f>
        <v>69</v>
      </c>
      <c r="H601" s="26">
        <f>SUMIFS(INDEX(元データ_加工!$C$2:$P$700,0,MATCH($B601,元データ_加工!$C$1:$P$1,0)),元データ_加工!$A$2:$A$700,$A601,元データ_加工!$B$2:$B$700,H$5)</f>
        <v>48</v>
      </c>
      <c r="I601" s="26">
        <f>SUMIFS(INDEX(元データ_加工!$C$2:$P$700,0,MATCH($B601,元データ_加工!$C$1:$P$1,0)),元データ_加工!$A$2:$A$700,$A601,元データ_加工!$B$2:$B$700,I$5)</f>
        <v>49</v>
      </c>
      <c r="J601" s="26">
        <f>SUMIFS(INDEX(元データ_加工!$C$2:$P$700,0,MATCH($B601,元データ_加工!$C$1:$P$1,0)),元データ_加工!$A$2:$A$700,$A601,元データ_加工!$B$2:$B$700,J$5)</f>
        <v>42</v>
      </c>
      <c r="K601" s="26">
        <f>SUMIFS(INDEX(元データ_加工!$C$2:$P$700,0,MATCH($B601,元データ_加工!$C$1:$P$1,0)),元データ_加工!$A$2:$A$700,$A601,元データ_加工!$B$2:$B$700,K$5)</f>
        <v>64</v>
      </c>
      <c r="L601" s="26">
        <f>SUMIFS(INDEX(元データ_加工!$C$2:$P$700,0,MATCH($B601,元データ_加工!$C$1:$P$1,0)),元データ_加工!$A$2:$A$700,$A601,元データ_加工!$B$2:$B$700,L$5)</f>
        <v>48</v>
      </c>
      <c r="M601" s="26">
        <f>SUMIFS(INDEX(元データ_加工!$C$2:$P$700,0,MATCH($B601,元データ_加工!$C$1:$P$1,0)),元データ_加工!$A$2:$A$700,$A601,元データ_加工!$B$2:$B$700,M$5)</f>
        <v>69</v>
      </c>
      <c r="N601" s="26">
        <f>SUMIFS(INDEX(元データ_加工!$C$2:$P$700,0,MATCH($B601,元データ_加工!$C$1:$P$1,0)),元データ_加工!$A$2:$A$700,$A601,元データ_加工!$B$2:$B$700,N$5)</f>
        <v>70</v>
      </c>
      <c r="O601" s="26">
        <f t="shared" si="9"/>
        <v>765</v>
      </c>
      <c r="P601" s="7">
        <f>IFERROR(O601/SUMIFS(元データ_加工!$C$2:$C$700,元データ_加工!$A$2:$A$700,$A601),"")</f>
        <v>4.3281471004243281E-2</v>
      </c>
    </row>
    <row r="602" spans="1:16" x14ac:dyDescent="0.45">
      <c r="A602" t="s">
        <v>77</v>
      </c>
      <c r="B602" t="s">
        <v>108</v>
      </c>
      <c r="C602" s="26">
        <f>SUMIFS(INDEX(元データ_加工!$C$2:$P$700,0,MATCH($B602,元データ_加工!$C$1:$P$1,0)),元データ_加工!$A$2:$A$700,$A602,元データ_加工!$B$2:$B$700,C$5)</f>
        <v>12</v>
      </c>
      <c r="D602" s="26">
        <f>SUMIFS(INDEX(元データ_加工!$C$2:$P$700,0,MATCH($B602,元データ_加工!$C$1:$P$1,0)),元データ_加工!$A$2:$A$700,$A602,元データ_加工!$B$2:$B$700,D$5)</f>
        <v>33</v>
      </c>
      <c r="E602" s="26">
        <f>SUMIFS(INDEX(元データ_加工!$C$2:$P$700,0,MATCH($B602,元データ_加工!$C$1:$P$1,0)),元データ_加工!$A$2:$A$700,$A602,元データ_加工!$B$2:$B$700,E$5)</f>
        <v>30</v>
      </c>
      <c r="F602" s="26">
        <f>SUMIFS(INDEX(元データ_加工!$C$2:$P$700,0,MATCH($B602,元データ_加工!$C$1:$P$1,0)),元データ_加工!$A$2:$A$700,$A602,元データ_加工!$B$2:$B$700,F$5)</f>
        <v>31</v>
      </c>
      <c r="G602" s="26">
        <f>SUMIFS(INDEX(元データ_加工!$C$2:$P$700,0,MATCH($B602,元データ_加工!$C$1:$P$1,0)),元データ_加工!$A$2:$A$700,$A602,元データ_加工!$B$2:$B$700,G$5)</f>
        <v>20</v>
      </c>
      <c r="H602" s="26">
        <f>SUMIFS(INDEX(元データ_加工!$C$2:$P$700,0,MATCH($B602,元データ_加工!$C$1:$P$1,0)),元データ_加工!$A$2:$A$700,$A602,元データ_加工!$B$2:$B$700,H$5)</f>
        <v>14</v>
      </c>
      <c r="I602" s="26">
        <f>SUMIFS(INDEX(元データ_加工!$C$2:$P$700,0,MATCH($B602,元データ_加工!$C$1:$P$1,0)),元データ_加工!$A$2:$A$700,$A602,元データ_加工!$B$2:$B$700,I$5)</f>
        <v>12</v>
      </c>
      <c r="J602" s="26">
        <f>SUMIFS(INDEX(元データ_加工!$C$2:$P$700,0,MATCH($B602,元データ_加工!$C$1:$P$1,0)),元データ_加工!$A$2:$A$700,$A602,元データ_加工!$B$2:$B$700,J$5)</f>
        <v>21</v>
      </c>
      <c r="K602" s="26">
        <f>SUMIFS(INDEX(元データ_加工!$C$2:$P$700,0,MATCH($B602,元データ_加工!$C$1:$P$1,0)),元データ_加工!$A$2:$A$700,$A602,元データ_加工!$B$2:$B$700,K$5)</f>
        <v>4</v>
      </c>
      <c r="L602" s="26">
        <f>SUMIFS(INDEX(元データ_加工!$C$2:$P$700,0,MATCH($B602,元データ_加工!$C$1:$P$1,0)),元データ_加工!$A$2:$A$700,$A602,元データ_加工!$B$2:$B$700,L$5)</f>
        <v>7</v>
      </c>
      <c r="M602" s="26">
        <f>SUMIFS(INDEX(元データ_加工!$C$2:$P$700,0,MATCH($B602,元データ_加工!$C$1:$P$1,0)),元データ_加工!$A$2:$A$700,$A602,元データ_加工!$B$2:$B$700,M$5)</f>
        <v>23</v>
      </c>
      <c r="N602" s="26">
        <f>SUMIFS(INDEX(元データ_加工!$C$2:$P$700,0,MATCH($B602,元データ_加工!$C$1:$P$1,0)),元データ_加工!$A$2:$A$700,$A602,元データ_加工!$B$2:$B$700,N$5)</f>
        <v>25</v>
      </c>
      <c r="O602" s="26">
        <f t="shared" si="9"/>
        <v>232</v>
      </c>
      <c r="P602" s="7">
        <f>IFERROR(O602/SUMIFS(元データ_加工!$C$2:$C$700,元データ_加工!$A$2:$A$700,$A602),"")</f>
        <v>1.3125884016973125E-2</v>
      </c>
    </row>
    <row r="603" spans="1:16" x14ac:dyDescent="0.45">
      <c r="A603" t="s">
        <v>77</v>
      </c>
      <c r="B603" t="s">
        <v>109</v>
      </c>
      <c r="C603" s="26">
        <f>SUMIFS(INDEX(元データ_加工!$C$2:$P$700,0,MATCH($B603,元データ_加工!$C$1:$P$1,0)),元データ_加工!$A$2:$A$700,$A603,元データ_加工!$B$2:$B$700,C$5)</f>
        <v>44</v>
      </c>
      <c r="D603" s="26">
        <f>SUMIFS(INDEX(元データ_加工!$C$2:$P$700,0,MATCH($B603,元データ_加工!$C$1:$P$1,0)),元データ_加工!$A$2:$A$700,$A603,元データ_加工!$B$2:$B$700,D$5)</f>
        <v>47</v>
      </c>
      <c r="E603" s="26">
        <f>SUMIFS(INDEX(元データ_加工!$C$2:$P$700,0,MATCH($B603,元データ_加工!$C$1:$P$1,0)),元データ_加工!$A$2:$A$700,$A603,元データ_加工!$B$2:$B$700,E$5)</f>
        <v>80</v>
      </c>
      <c r="F603" s="26">
        <f>SUMIFS(INDEX(元データ_加工!$C$2:$P$700,0,MATCH($B603,元データ_加工!$C$1:$P$1,0)),元データ_加工!$A$2:$A$700,$A603,元データ_加工!$B$2:$B$700,F$5)</f>
        <v>42</v>
      </c>
      <c r="G603" s="26">
        <f>SUMIFS(INDEX(元データ_加工!$C$2:$P$700,0,MATCH($B603,元データ_加工!$C$1:$P$1,0)),元データ_加工!$A$2:$A$700,$A603,元データ_加工!$B$2:$B$700,G$5)</f>
        <v>41</v>
      </c>
      <c r="H603" s="26">
        <f>SUMIFS(INDEX(元データ_加工!$C$2:$P$700,0,MATCH($B603,元データ_加工!$C$1:$P$1,0)),元データ_加工!$A$2:$A$700,$A603,元データ_加工!$B$2:$B$700,H$5)</f>
        <v>47</v>
      </c>
      <c r="I603" s="26">
        <f>SUMIFS(INDEX(元データ_加工!$C$2:$P$700,0,MATCH($B603,元データ_加工!$C$1:$P$1,0)),元データ_加工!$A$2:$A$700,$A603,元データ_加工!$B$2:$B$700,I$5)</f>
        <v>50</v>
      </c>
      <c r="J603" s="26">
        <f>SUMIFS(INDEX(元データ_加工!$C$2:$P$700,0,MATCH($B603,元データ_加工!$C$1:$P$1,0)),元データ_加工!$A$2:$A$700,$A603,元データ_加工!$B$2:$B$700,J$5)</f>
        <v>46</v>
      </c>
      <c r="K603" s="26">
        <f>SUMIFS(INDEX(元データ_加工!$C$2:$P$700,0,MATCH($B603,元データ_加工!$C$1:$P$1,0)),元データ_加工!$A$2:$A$700,$A603,元データ_加工!$B$2:$B$700,K$5)</f>
        <v>62</v>
      </c>
      <c r="L603" s="26">
        <f>SUMIFS(INDEX(元データ_加工!$C$2:$P$700,0,MATCH($B603,元データ_加工!$C$1:$P$1,0)),元データ_加工!$A$2:$A$700,$A603,元データ_加工!$B$2:$B$700,L$5)</f>
        <v>59</v>
      </c>
      <c r="M603" s="26">
        <f>SUMIFS(INDEX(元データ_加工!$C$2:$P$700,0,MATCH($B603,元データ_加工!$C$1:$P$1,0)),元データ_加工!$A$2:$A$700,$A603,元データ_加工!$B$2:$B$700,M$5)</f>
        <v>75</v>
      </c>
      <c r="N603" s="26">
        <f>SUMIFS(INDEX(元データ_加工!$C$2:$P$700,0,MATCH($B603,元データ_加工!$C$1:$P$1,0)),元データ_加工!$A$2:$A$700,$A603,元データ_加工!$B$2:$B$700,N$5)</f>
        <v>67</v>
      </c>
      <c r="O603" s="26">
        <f t="shared" si="9"/>
        <v>660</v>
      </c>
      <c r="P603" s="7">
        <f>IFERROR(O603/SUMIFS(元データ_加工!$C$2:$C$700,元データ_加工!$A$2:$A$700,$A603),"")</f>
        <v>3.7340876944837342E-2</v>
      </c>
    </row>
    <row r="604" spans="1:16" x14ac:dyDescent="0.45">
      <c r="A604" t="s">
        <v>77</v>
      </c>
      <c r="B604" t="s">
        <v>110</v>
      </c>
      <c r="C604" s="26">
        <f>SUMIFS(INDEX(元データ_加工!$C$2:$P$700,0,MATCH($B604,元データ_加工!$C$1:$P$1,0)),元データ_加工!$A$2:$A$700,$A604,元データ_加工!$B$2:$B$700,C$5)</f>
        <v>0</v>
      </c>
      <c r="D604" s="26">
        <f>SUMIFS(INDEX(元データ_加工!$C$2:$P$700,0,MATCH($B604,元データ_加工!$C$1:$P$1,0)),元データ_加工!$A$2:$A$700,$A604,元データ_加工!$B$2:$B$700,D$5)</f>
        <v>0</v>
      </c>
      <c r="E604" s="26">
        <f>SUMIFS(INDEX(元データ_加工!$C$2:$P$700,0,MATCH($B604,元データ_加工!$C$1:$P$1,0)),元データ_加工!$A$2:$A$700,$A604,元データ_加工!$B$2:$B$700,E$5)</f>
        <v>0</v>
      </c>
      <c r="F604" s="26">
        <f>SUMIFS(INDEX(元データ_加工!$C$2:$P$700,0,MATCH($B604,元データ_加工!$C$1:$P$1,0)),元データ_加工!$A$2:$A$700,$A604,元データ_加工!$B$2:$B$700,F$5)</f>
        <v>0</v>
      </c>
      <c r="G604" s="26">
        <f>SUMIFS(INDEX(元データ_加工!$C$2:$P$700,0,MATCH($B604,元データ_加工!$C$1:$P$1,0)),元データ_加工!$A$2:$A$700,$A604,元データ_加工!$B$2:$B$700,G$5)</f>
        <v>0</v>
      </c>
      <c r="H604" s="26">
        <f>SUMIFS(INDEX(元データ_加工!$C$2:$P$700,0,MATCH($B604,元データ_加工!$C$1:$P$1,0)),元データ_加工!$A$2:$A$700,$A604,元データ_加工!$B$2:$B$700,H$5)</f>
        <v>0</v>
      </c>
      <c r="I604" s="26">
        <f>SUMIFS(INDEX(元データ_加工!$C$2:$P$700,0,MATCH($B604,元データ_加工!$C$1:$P$1,0)),元データ_加工!$A$2:$A$700,$A604,元データ_加工!$B$2:$B$700,I$5)</f>
        <v>0</v>
      </c>
      <c r="J604" s="26">
        <f>SUMIFS(INDEX(元データ_加工!$C$2:$P$700,0,MATCH($B604,元データ_加工!$C$1:$P$1,0)),元データ_加工!$A$2:$A$700,$A604,元データ_加工!$B$2:$B$700,J$5)</f>
        <v>0</v>
      </c>
      <c r="K604" s="26">
        <f>SUMIFS(INDEX(元データ_加工!$C$2:$P$700,0,MATCH($B604,元データ_加工!$C$1:$P$1,0)),元データ_加工!$A$2:$A$700,$A604,元データ_加工!$B$2:$B$700,K$5)</f>
        <v>0</v>
      </c>
      <c r="L604" s="26">
        <f>SUMIFS(INDEX(元データ_加工!$C$2:$P$700,0,MATCH($B604,元データ_加工!$C$1:$P$1,0)),元データ_加工!$A$2:$A$700,$A604,元データ_加工!$B$2:$B$700,L$5)</f>
        <v>0</v>
      </c>
      <c r="M604" s="26">
        <f>SUMIFS(INDEX(元データ_加工!$C$2:$P$700,0,MATCH($B604,元データ_加工!$C$1:$P$1,0)),元データ_加工!$A$2:$A$700,$A604,元データ_加工!$B$2:$B$700,M$5)</f>
        <v>0</v>
      </c>
      <c r="N604" s="26">
        <f>SUMIFS(INDEX(元データ_加工!$C$2:$P$700,0,MATCH($B604,元データ_加工!$C$1:$P$1,0)),元データ_加工!$A$2:$A$700,$A604,元データ_加工!$B$2:$B$700,N$5)</f>
        <v>0</v>
      </c>
      <c r="O604" s="26">
        <f t="shared" si="9"/>
        <v>0</v>
      </c>
      <c r="P604" s="7">
        <f>IFERROR(O604/SUMIFS(元データ_加工!$C$2:$C$700,元データ_加工!$A$2:$A$700,$A604),"")</f>
        <v>0</v>
      </c>
    </row>
    <row r="605" spans="1:16" x14ac:dyDescent="0.45">
      <c r="A605" t="s">
        <v>77</v>
      </c>
      <c r="B605" t="s">
        <v>111</v>
      </c>
      <c r="C605" s="26">
        <f>SUMIFS(INDEX(元データ_加工!$C$2:$P$700,0,MATCH($B605,元データ_加工!$C$1:$P$1,0)),元データ_加工!$A$2:$A$700,$A605,元データ_加工!$B$2:$B$700,C$5)</f>
        <v>0</v>
      </c>
      <c r="D605" s="26">
        <f>SUMIFS(INDEX(元データ_加工!$C$2:$P$700,0,MATCH($B605,元データ_加工!$C$1:$P$1,0)),元データ_加工!$A$2:$A$700,$A605,元データ_加工!$B$2:$B$700,D$5)</f>
        <v>1</v>
      </c>
      <c r="E605" s="26">
        <f>SUMIFS(INDEX(元データ_加工!$C$2:$P$700,0,MATCH($B605,元データ_加工!$C$1:$P$1,0)),元データ_加工!$A$2:$A$700,$A605,元データ_加工!$B$2:$B$700,E$5)</f>
        <v>0</v>
      </c>
      <c r="F605" s="26">
        <f>SUMIFS(INDEX(元データ_加工!$C$2:$P$700,0,MATCH($B605,元データ_加工!$C$1:$P$1,0)),元データ_加工!$A$2:$A$700,$A605,元データ_加工!$B$2:$B$700,F$5)</f>
        <v>0</v>
      </c>
      <c r="G605" s="26">
        <f>SUMIFS(INDEX(元データ_加工!$C$2:$P$700,0,MATCH($B605,元データ_加工!$C$1:$P$1,0)),元データ_加工!$A$2:$A$700,$A605,元データ_加工!$B$2:$B$700,G$5)</f>
        <v>0</v>
      </c>
      <c r="H605" s="26">
        <f>SUMIFS(INDEX(元データ_加工!$C$2:$P$700,0,MATCH($B605,元データ_加工!$C$1:$P$1,0)),元データ_加工!$A$2:$A$700,$A605,元データ_加工!$B$2:$B$700,H$5)</f>
        <v>0</v>
      </c>
      <c r="I605" s="26">
        <f>SUMIFS(INDEX(元データ_加工!$C$2:$P$700,0,MATCH($B605,元データ_加工!$C$1:$P$1,0)),元データ_加工!$A$2:$A$700,$A605,元データ_加工!$B$2:$B$700,I$5)</f>
        <v>0</v>
      </c>
      <c r="J605" s="26">
        <f>SUMIFS(INDEX(元データ_加工!$C$2:$P$700,0,MATCH($B605,元データ_加工!$C$1:$P$1,0)),元データ_加工!$A$2:$A$700,$A605,元データ_加工!$B$2:$B$700,J$5)</f>
        <v>0</v>
      </c>
      <c r="K605" s="26">
        <f>SUMIFS(INDEX(元データ_加工!$C$2:$P$700,0,MATCH($B605,元データ_加工!$C$1:$P$1,0)),元データ_加工!$A$2:$A$700,$A605,元データ_加工!$B$2:$B$700,K$5)</f>
        <v>0</v>
      </c>
      <c r="L605" s="26">
        <f>SUMIFS(INDEX(元データ_加工!$C$2:$P$700,0,MATCH($B605,元データ_加工!$C$1:$P$1,0)),元データ_加工!$A$2:$A$700,$A605,元データ_加工!$B$2:$B$700,L$5)</f>
        <v>8</v>
      </c>
      <c r="M605" s="26">
        <f>SUMIFS(INDEX(元データ_加工!$C$2:$P$700,0,MATCH($B605,元データ_加工!$C$1:$P$1,0)),元データ_加工!$A$2:$A$700,$A605,元データ_加工!$B$2:$B$700,M$5)</f>
        <v>13</v>
      </c>
      <c r="N605" s="26">
        <f>SUMIFS(INDEX(元データ_加工!$C$2:$P$700,0,MATCH($B605,元データ_加工!$C$1:$P$1,0)),元データ_加工!$A$2:$A$700,$A605,元データ_加工!$B$2:$B$700,N$5)</f>
        <v>3</v>
      </c>
      <c r="O605" s="26">
        <f t="shared" si="9"/>
        <v>25</v>
      </c>
      <c r="P605" s="7">
        <f>IFERROR(O605/SUMIFS(元データ_加工!$C$2:$C$700,元データ_加工!$A$2:$A$700,$A605),"")</f>
        <v>1.4144271570014145E-3</v>
      </c>
    </row>
    <row r="606" spans="1:16" x14ac:dyDescent="0.45">
      <c r="A606" t="s">
        <v>77</v>
      </c>
      <c r="B606" t="s">
        <v>112</v>
      </c>
      <c r="C606" s="26">
        <f>SUMIFS(INDEX(元データ_加工!$C$2:$P$700,0,MATCH($B606,元データ_加工!$C$1:$P$1,0)),元データ_加工!$A$2:$A$700,$A606,元データ_加工!$B$2:$B$700,C$5)</f>
        <v>0</v>
      </c>
      <c r="D606" s="26">
        <f>SUMIFS(INDEX(元データ_加工!$C$2:$P$700,0,MATCH($B606,元データ_加工!$C$1:$P$1,0)),元データ_加工!$A$2:$A$700,$A606,元データ_加工!$B$2:$B$700,D$5)</f>
        <v>1</v>
      </c>
      <c r="E606" s="26">
        <f>SUMIFS(INDEX(元データ_加工!$C$2:$P$700,0,MATCH($B606,元データ_加工!$C$1:$P$1,0)),元データ_加工!$A$2:$A$700,$A606,元データ_加工!$B$2:$B$700,E$5)</f>
        <v>0</v>
      </c>
      <c r="F606" s="26">
        <f>SUMIFS(INDEX(元データ_加工!$C$2:$P$700,0,MATCH($B606,元データ_加工!$C$1:$P$1,0)),元データ_加工!$A$2:$A$700,$A606,元データ_加工!$B$2:$B$700,F$5)</f>
        <v>3</v>
      </c>
      <c r="G606" s="26">
        <f>SUMIFS(INDEX(元データ_加工!$C$2:$P$700,0,MATCH($B606,元データ_加工!$C$1:$P$1,0)),元データ_加工!$A$2:$A$700,$A606,元データ_加工!$B$2:$B$700,G$5)</f>
        <v>0</v>
      </c>
      <c r="H606" s="26">
        <f>SUMIFS(INDEX(元データ_加工!$C$2:$P$700,0,MATCH($B606,元データ_加工!$C$1:$P$1,0)),元データ_加工!$A$2:$A$700,$A606,元データ_加工!$B$2:$B$700,H$5)</f>
        <v>0</v>
      </c>
      <c r="I606" s="26">
        <f>SUMIFS(INDEX(元データ_加工!$C$2:$P$700,0,MATCH($B606,元データ_加工!$C$1:$P$1,0)),元データ_加工!$A$2:$A$700,$A606,元データ_加工!$B$2:$B$700,I$5)</f>
        <v>0</v>
      </c>
      <c r="J606" s="26">
        <f>SUMIFS(INDEX(元データ_加工!$C$2:$P$700,0,MATCH($B606,元データ_加工!$C$1:$P$1,0)),元データ_加工!$A$2:$A$700,$A606,元データ_加工!$B$2:$B$700,J$5)</f>
        <v>0</v>
      </c>
      <c r="K606" s="26">
        <f>SUMIFS(INDEX(元データ_加工!$C$2:$P$700,0,MATCH($B606,元データ_加工!$C$1:$P$1,0)),元データ_加工!$A$2:$A$700,$A606,元データ_加工!$B$2:$B$700,K$5)</f>
        <v>4</v>
      </c>
      <c r="L606" s="26">
        <f>SUMIFS(INDEX(元データ_加工!$C$2:$P$700,0,MATCH($B606,元データ_加工!$C$1:$P$1,0)),元データ_加工!$A$2:$A$700,$A606,元データ_加工!$B$2:$B$700,L$5)</f>
        <v>2</v>
      </c>
      <c r="M606" s="26">
        <f>SUMIFS(INDEX(元データ_加工!$C$2:$P$700,0,MATCH($B606,元データ_加工!$C$1:$P$1,0)),元データ_加工!$A$2:$A$700,$A606,元データ_加工!$B$2:$B$700,M$5)</f>
        <v>0</v>
      </c>
      <c r="N606" s="26">
        <f>SUMIFS(INDEX(元データ_加工!$C$2:$P$700,0,MATCH($B606,元データ_加工!$C$1:$P$1,0)),元データ_加工!$A$2:$A$700,$A606,元データ_加工!$B$2:$B$700,N$5)</f>
        <v>0</v>
      </c>
      <c r="O606" s="26">
        <f t="shared" si="9"/>
        <v>10</v>
      </c>
      <c r="P606" s="7">
        <f>IFERROR(O606/SUMIFS(元データ_加工!$C$2:$C$700,元データ_加工!$A$2:$A$700,$A606),"")</f>
        <v>5.6577086280056575E-4</v>
      </c>
    </row>
    <row r="607" spans="1:16" x14ac:dyDescent="0.45">
      <c r="A607" t="s">
        <v>77</v>
      </c>
      <c r="B607" t="s">
        <v>113</v>
      </c>
      <c r="C607" s="26">
        <f>SUMIFS(INDEX(元データ_加工!$C$2:$P$700,0,MATCH($B607,元データ_加工!$C$1:$P$1,0)),元データ_加工!$A$2:$A$700,$A607,元データ_加工!$B$2:$B$700,C$5)</f>
        <v>2</v>
      </c>
      <c r="D607" s="26">
        <f>SUMIFS(INDEX(元データ_加工!$C$2:$P$700,0,MATCH($B607,元データ_加工!$C$1:$P$1,0)),元データ_加工!$A$2:$A$700,$A607,元データ_加工!$B$2:$B$700,D$5)</f>
        <v>1</v>
      </c>
      <c r="E607" s="26">
        <f>SUMIFS(INDEX(元データ_加工!$C$2:$P$700,0,MATCH($B607,元データ_加工!$C$1:$P$1,0)),元データ_加工!$A$2:$A$700,$A607,元データ_加工!$B$2:$B$700,E$5)</f>
        <v>0</v>
      </c>
      <c r="F607" s="26">
        <f>SUMIFS(INDEX(元データ_加工!$C$2:$P$700,0,MATCH($B607,元データ_加工!$C$1:$P$1,0)),元データ_加工!$A$2:$A$700,$A607,元データ_加工!$B$2:$B$700,F$5)</f>
        <v>3</v>
      </c>
      <c r="G607" s="26">
        <f>SUMIFS(INDEX(元データ_加工!$C$2:$P$700,0,MATCH($B607,元データ_加工!$C$1:$P$1,0)),元データ_加工!$A$2:$A$700,$A607,元データ_加工!$B$2:$B$700,G$5)</f>
        <v>1</v>
      </c>
      <c r="H607" s="26">
        <f>SUMIFS(INDEX(元データ_加工!$C$2:$P$700,0,MATCH($B607,元データ_加工!$C$1:$P$1,0)),元データ_加工!$A$2:$A$700,$A607,元データ_加工!$B$2:$B$700,H$5)</f>
        <v>2</v>
      </c>
      <c r="I607" s="26">
        <f>SUMIFS(INDEX(元データ_加工!$C$2:$P$700,0,MATCH($B607,元データ_加工!$C$1:$P$1,0)),元データ_加工!$A$2:$A$700,$A607,元データ_加工!$B$2:$B$700,I$5)</f>
        <v>4</v>
      </c>
      <c r="J607" s="26">
        <f>SUMIFS(INDEX(元データ_加工!$C$2:$P$700,0,MATCH($B607,元データ_加工!$C$1:$P$1,0)),元データ_加工!$A$2:$A$700,$A607,元データ_加工!$B$2:$B$700,J$5)</f>
        <v>0</v>
      </c>
      <c r="K607" s="26">
        <f>SUMIFS(INDEX(元データ_加工!$C$2:$P$700,0,MATCH($B607,元データ_加工!$C$1:$P$1,0)),元データ_加工!$A$2:$A$700,$A607,元データ_加工!$B$2:$B$700,K$5)</f>
        <v>0</v>
      </c>
      <c r="L607" s="26">
        <f>SUMIFS(INDEX(元データ_加工!$C$2:$P$700,0,MATCH($B607,元データ_加工!$C$1:$P$1,0)),元データ_加工!$A$2:$A$700,$A607,元データ_加工!$B$2:$B$700,L$5)</f>
        <v>2</v>
      </c>
      <c r="M607" s="26">
        <f>SUMIFS(INDEX(元データ_加工!$C$2:$P$700,0,MATCH($B607,元データ_加工!$C$1:$P$1,0)),元データ_加工!$A$2:$A$700,$A607,元データ_加工!$B$2:$B$700,M$5)</f>
        <v>2</v>
      </c>
      <c r="N607" s="26">
        <f>SUMIFS(INDEX(元データ_加工!$C$2:$P$700,0,MATCH($B607,元データ_加工!$C$1:$P$1,0)),元データ_加工!$A$2:$A$700,$A607,元データ_加工!$B$2:$B$700,N$5)</f>
        <v>5</v>
      </c>
      <c r="O607" s="26">
        <f t="shared" si="9"/>
        <v>22</v>
      </c>
      <c r="P607" s="7">
        <f>IFERROR(O607/SUMIFS(元データ_加工!$C$2:$C$700,元データ_加工!$A$2:$A$700,$A607),"")</f>
        <v>1.2446958981612447E-3</v>
      </c>
    </row>
    <row r="608" spans="1:16" x14ac:dyDescent="0.45">
      <c r="A608" t="s">
        <v>78</v>
      </c>
      <c r="B608" t="s">
        <v>100</v>
      </c>
      <c r="C608" s="26">
        <f>SUMIFS(INDEX(元データ_加工!$C$2:$P$700,0,MATCH($B608,元データ_加工!$C$1:$P$1,0)),元データ_加工!$A$2:$A$700,$A608,元データ_加工!$B$2:$B$700,C$5)</f>
        <v>1344</v>
      </c>
      <c r="D608" s="26">
        <f>SUMIFS(INDEX(元データ_加工!$C$2:$P$700,0,MATCH($B608,元データ_加工!$C$1:$P$1,0)),元データ_加工!$A$2:$A$700,$A608,元データ_加工!$B$2:$B$700,D$5)</f>
        <v>1480</v>
      </c>
      <c r="E608" s="26">
        <f>SUMIFS(INDEX(元データ_加工!$C$2:$P$700,0,MATCH($B608,元データ_加工!$C$1:$P$1,0)),元データ_加工!$A$2:$A$700,$A608,元データ_加工!$B$2:$B$700,E$5)</f>
        <v>2089</v>
      </c>
      <c r="F608" s="26">
        <f>SUMIFS(INDEX(元データ_加工!$C$2:$P$700,0,MATCH($B608,元データ_加工!$C$1:$P$1,0)),元データ_加工!$A$2:$A$700,$A608,元データ_加工!$B$2:$B$700,F$5)</f>
        <v>1934</v>
      </c>
      <c r="G608" s="26">
        <f>SUMIFS(INDEX(元データ_加工!$C$2:$P$700,0,MATCH($B608,元データ_加工!$C$1:$P$1,0)),元データ_加工!$A$2:$A$700,$A608,元データ_加工!$B$2:$B$700,G$5)</f>
        <v>2027</v>
      </c>
      <c r="H608" s="26">
        <f>SUMIFS(INDEX(元データ_加工!$C$2:$P$700,0,MATCH($B608,元データ_加工!$C$1:$P$1,0)),元データ_加工!$A$2:$A$700,$A608,元データ_加工!$B$2:$B$700,H$5)</f>
        <v>1338</v>
      </c>
      <c r="I608" s="26">
        <f>SUMIFS(INDEX(元データ_加工!$C$2:$P$700,0,MATCH($B608,元データ_加工!$C$1:$P$1,0)),元データ_加工!$A$2:$A$700,$A608,元データ_加工!$B$2:$B$700,I$5)</f>
        <v>972</v>
      </c>
      <c r="J608" s="26">
        <f>SUMIFS(INDEX(元データ_加工!$C$2:$P$700,0,MATCH($B608,元データ_加工!$C$1:$P$1,0)),元データ_加工!$A$2:$A$700,$A608,元データ_加工!$B$2:$B$700,J$5)</f>
        <v>2166</v>
      </c>
      <c r="K608" s="26">
        <f>SUMIFS(INDEX(元データ_加工!$C$2:$P$700,0,MATCH($B608,元データ_加工!$C$1:$P$1,0)),元データ_加工!$A$2:$A$700,$A608,元データ_加工!$B$2:$B$700,K$5)</f>
        <v>3626</v>
      </c>
      <c r="L608" s="26">
        <f>SUMIFS(INDEX(元データ_加工!$C$2:$P$700,0,MATCH($B608,元データ_加工!$C$1:$P$1,0)),元データ_加工!$A$2:$A$700,$A608,元データ_加工!$B$2:$B$700,L$5)</f>
        <v>2382</v>
      </c>
      <c r="M608" s="26">
        <f>SUMIFS(INDEX(元データ_加工!$C$2:$P$700,0,MATCH($B608,元データ_加工!$C$1:$P$1,0)),元データ_加工!$A$2:$A$700,$A608,元データ_加工!$B$2:$B$700,M$5)</f>
        <v>2209</v>
      </c>
      <c r="N608" s="26">
        <f>SUMIFS(INDEX(元データ_加工!$C$2:$P$700,0,MATCH($B608,元データ_加工!$C$1:$P$1,0)),元データ_加工!$A$2:$A$700,$A608,元データ_加工!$B$2:$B$700,N$5)</f>
        <v>2152</v>
      </c>
      <c r="O608" s="26">
        <f t="shared" si="9"/>
        <v>23719</v>
      </c>
      <c r="P608" s="7">
        <f>IFERROR(O608/SUMIFS(元データ_加工!$C$2:$C$700,元データ_加工!$A$2:$A$700,$A608),"")</f>
        <v>1</v>
      </c>
    </row>
    <row r="609" spans="1:16" x14ac:dyDescent="0.45">
      <c r="A609" t="s">
        <v>78</v>
      </c>
      <c r="B609" t="s">
        <v>101</v>
      </c>
      <c r="C609" s="26">
        <f>SUMIFS(INDEX(元データ_加工!$C$2:$P$700,0,MATCH($B609,元データ_加工!$C$1:$P$1,0)),元データ_加工!$A$2:$A$700,$A609,元データ_加工!$B$2:$B$700,C$5)</f>
        <v>398</v>
      </c>
      <c r="D609" s="26">
        <f>SUMIFS(INDEX(元データ_加工!$C$2:$P$700,0,MATCH($B609,元データ_加工!$C$1:$P$1,0)),元データ_加工!$A$2:$A$700,$A609,元データ_加工!$B$2:$B$700,D$5)</f>
        <v>464</v>
      </c>
      <c r="E609" s="26">
        <f>SUMIFS(INDEX(元データ_加工!$C$2:$P$700,0,MATCH($B609,元データ_加工!$C$1:$P$1,0)),元データ_加工!$A$2:$A$700,$A609,元データ_加工!$B$2:$B$700,E$5)</f>
        <v>482</v>
      </c>
      <c r="F609" s="26">
        <f>SUMIFS(INDEX(元データ_加工!$C$2:$P$700,0,MATCH($B609,元データ_加工!$C$1:$P$1,0)),元データ_加工!$A$2:$A$700,$A609,元データ_加工!$B$2:$B$700,F$5)</f>
        <v>432</v>
      </c>
      <c r="G609" s="26">
        <f>SUMIFS(INDEX(元データ_加工!$C$2:$P$700,0,MATCH($B609,元データ_加工!$C$1:$P$1,0)),元データ_加工!$A$2:$A$700,$A609,元データ_加工!$B$2:$B$700,G$5)</f>
        <v>453</v>
      </c>
      <c r="H609" s="26">
        <f>SUMIFS(INDEX(元データ_加工!$C$2:$P$700,0,MATCH($B609,元データ_加工!$C$1:$P$1,0)),元データ_加工!$A$2:$A$700,$A609,元データ_加工!$B$2:$B$700,H$5)</f>
        <v>378</v>
      </c>
      <c r="I609" s="26">
        <f>SUMIFS(INDEX(元データ_加工!$C$2:$P$700,0,MATCH($B609,元データ_加工!$C$1:$P$1,0)),元データ_加工!$A$2:$A$700,$A609,元データ_加工!$B$2:$B$700,I$5)</f>
        <v>374</v>
      </c>
      <c r="J609" s="26">
        <f>SUMIFS(INDEX(元データ_加工!$C$2:$P$700,0,MATCH($B609,元データ_加工!$C$1:$P$1,0)),元データ_加工!$A$2:$A$700,$A609,元データ_加工!$B$2:$B$700,J$5)</f>
        <v>392</v>
      </c>
      <c r="K609" s="26">
        <f>SUMIFS(INDEX(元データ_加工!$C$2:$P$700,0,MATCH($B609,元データ_加工!$C$1:$P$1,0)),元データ_加工!$A$2:$A$700,$A609,元データ_加工!$B$2:$B$700,K$5)</f>
        <v>721</v>
      </c>
      <c r="L609" s="26">
        <f>SUMIFS(INDEX(元データ_加工!$C$2:$P$700,0,MATCH($B609,元データ_加工!$C$1:$P$1,0)),元データ_加工!$A$2:$A$700,$A609,元データ_加工!$B$2:$B$700,L$5)</f>
        <v>525</v>
      </c>
      <c r="M609" s="26">
        <f>SUMIFS(INDEX(元データ_加工!$C$2:$P$700,0,MATCH($B609,元データ_加工!$C$1:$P$1,0)),元データ_加工!$A$2:$A$700,$A609,元データ_加工!$B$2:$B$700,M$5)</f>
        <v>668</v>
      </c>
      <c r="N609" s="26">
        <f>SUMIFS(INDEX(元データ_加工!$C$2:$P$700,0,MATCH($B609,元データ_加工!$C$1:$P$1,0)),元データ_加工!$A$2:$A$700,$A609,元データ_加工!$B$2:$B$700,N$5)</f>
        <v>588</v>
      </c>
      <c r="O609" s="26">
        <f t="shared" si="9"/>
        <v>5875</v>
      </c>
      <c r="P609" s="7">
        <f>IFERROR(O609/SUMIFS(元データ_加工!$C$2:$C$700,元データ_加工!$A$2:$A$700,$A609),"")</f>
        <v>0.24769172393439859</v>
      </c>
    </row>
    <row r="610" spans="1:16" x14ac:dyDescent="0.45">
      <c r="A610" t="s">
        <v>78</v>
      </c>
      <c r="B610" t="s">
        <v>102</v>
      </c>
      <c r="C610" s="26">
        <f>SUMIFS(INDEX(元データ_加工!$C$2:$P$700,0,MATCH($B610,元データ_加工!$C$1:$P$1,0)),元データ_加工!$A$2:$A$700,$A610,元データ_加工!$B$2:$B$700,C$5)</f>
        <v>0</v>
      </c>
      <c r="D610" s="26">
        <f>SUMIFS(INDEX(元データ_加工!$C$2:$P$700,0,MATCH($B610,元データ_加工!$C$1:$P$1,0)),元データ_加工!$A$2:$A$700,$A610,元データ_加工!$B$2:$B$700,D$5)</f>
        <v>0</v>
      </c>
      <c r="E610" s="26">
        <f>SUMIFS(INDEX(元データ_加工!$C$2:$P$700,0,MATCH($B610,元データ_加工!$C$1:$P$1,0)),元データ_加工!$A$2:$A$700,$A610,元データ_加工!$B$2:$B$700,E$5)</f>
        <v>0</v>
      </c>
      <c r="F610" s="26">
        <f>SUMIFS(INDEX(元データ_加工!$C$2:$P$700,0,MATCH($B610,元データ_加工!$C$1:$P$1,0)),元データ_加工!$A$2:$A$700,$A610,元データ_加工!$B$2:$B$700,F$5)</f>
        <v>0</v>
      </c>
      <c r="G610" s="26">
        <f>SUMIFS(INDEX(元データ_加工!$C$2:$P$700,0,MATCH($B610,元データ_加工!$C$1:$P$1,0)),元データ_加工!$A$2:$A$700,$A610,元データ_加工!$B$2:$B$700,G$5)</f>
        <v>0</v>
      </c>
      <c r="H610" s="26">
        <f>SUMIFS(INDEX(元データ_加工!$C$2:$P$700,0,MATCH($B610,元データ_加工!$C$1:$P$1,0)),元データ_加工!$A$2:$A$700,$A610,元データ_加工!$B$2:$B$700,H$5)</f>
        <v>0</v>
      </c>
      <c r="I610" s="26">
        <f>SUMIFS(INDEX(元データ_加工!$C$2:$P$700,0,MATCH($B610,元データ_加工!$C$1:$P$1,0)),元データ_加工!$A$2:$A$700,$A610,元データ_加工!$B$2:$B$700,I$5)</f>
        <v>2</v>
      </c>
      <c r="J610" s="26">
        <f>SUMIFS(INDEX(元データ_加工!$C$2:$P$700,0,MATCH($B610,元データ_加工!$C$1:$P$1,0)),元データ_加工!$A$2:$A$700,$A610,元データ_加工!$B$2:$B$700,J$5)</f>
        <v>14</v>
      </c>
      <c r="K610" s="26">
        <f>SUMIFS(INDEX(元データ_加工!$C$2:$P$700,0,MATCH($B610,元データ_加工!$C$1:$P$1,0)),元データ_加工!$A$2:$A$700,$A610,元データ_加工!$B$2:$B$700,K$5)</f>
        <v>15</v>
      </c>
      <c r="L610" s="26">
        <f>SUMIFS(INDEX(元データ_加工!$C$2:$P$700,0,MATCH($B610,元データ_加工!$C$1:$P$1,0)),元データ_加工!$A$2:$A$700,$A610,元データ_加工!$B$2:$B$700,L$5)</f>
        <v>0</v>
      </c>
      <c r="M610" s="26">
        <f>SUMIFS(INDEX(元データ_加工!$C$2:$P$700,0,MATCH($B610,元データ_加工!$C$1:$P$1,0)),元データ_加工!$A$2:$A$700,$A610,元データ_加工!$B$2:$B$700,M$5)</f>
        <v>0</v>
      </c>
      <c r="N610" s="26">
        <f>SUMIFS(INDEX(元データ_加工!$C$2:$P$700,0,MATCH($B610,元データ_加工!$C$1:$P$1,0)),元データ_加工!$A$2:$A$700,$A610,元データ_加工!$B$2:$B$700,N$5)</f>
        <v>0</v>
      </c>
      <c r="O610" s="26">
        <f t="shared" si="9"/>
        <v>31</v>
      </c>
      <c r="P610" s="7">
        <f>IFERROR(O610/SUMIFS(元データ_加工!$C$2:$C$700,元データ_加工!$A$2:$A$700,$A610),"")</f>
        <v>1.3069690965049118E-3</v>
      </c>
    </row>
    <row r="611" spans="1:16" x14ac:dyDescent="0.45">
      <c r="A611" t="s">
        <v>78</v>
      </c>
      <c r="B611" t="s">
        <v>103</v>
      </c>
      <c r="C611" s="26">
        <f>SUMIFS(INDEX(元データ_加工!$C$2:$P$700,0,MATCH($B611,元データ_加工!$C$1:$P$1,0)),元データ_加工!$A$2:$A$700,$A611,元データ_加工!$B$2:$B$700,C$5)</f>
        <v>2</v>
      </c>
      <c r="D611" s="26">
        <f>SUMIFS(INDEX(元データ_加工!$C$2:$P$700,0,MATCH($B611,元データ_加工!$C$1:$P$1,0)),元データ_加工!$A$2:$A$700,$A611,元データ_加工!$B$2:$B$700,D$5)</f>
        <v>0</v>
      </c>
      <c r="E611" s="26">
        <f>SUMIFS(INDEX(元データ_加工!$C$2:$P$700,0,MATCH($B611,元データ_加工!$C$1:$P$1,0)),元データ_加工!$A$2:$A$700,$A611,元データ_加工!$B$2:$B$700,E$5)</f>
        <v>17</v>
      </c>
      <c r="F611" s="26">
        <f>SUMIFS(INDEX(元データ_加工!$C$2:$P$700,0,MATCH($B611,元データ_加工!$C$1:$P$1,0)),元データ_加工!$A$2:$A$700,$A611,元データ_加工!$B$2:$B$700,F$5)</f>
        <v>55</v>
      </c>
      <c r="G611" s="26">
        <f>SUMIFS(INDEX(元データ_加工!$C$2:$P$700,0,MATCH($B611,元データ_加工!$C$1:$P$1,0)),元データ_加工!$A$2:$A$700,$A611,元データ_加工!$B$2:$B$700,G$5)</f>
        <v>54</v>
      </c>
      <c r="H611" s="26">
        <f>SUMIFS(INDEX(元データ_加工!$C$2:$P$700,0,MATCH($B611,元データ_加工!$C$1:$P$1,0)),元データ_加工!$A$2:$A$700,$A611,元データ_加工!$B$2:$B$700,H$5)</f>
        <v>63</v>
      </c>
      <c r="I611" s="26">
        <f>SUMIFS(INDEX(元データ_加工!$C$2:$P$700,0,MATCH($B611,元データ_加工!$C$1:$P$1,0)),元データ_加工!$A$2:$A$700,$A611,元データ_加工!$B$2:$B$700,I$5)</f>
        <v>34</v>
      </c>
      <c r="J611" s="26">
        <f>SUMIFS(INDEX(元データ_加工!$C$2:$P$700,0,MATCH($B611,元データ_加工!$C$1:$P$1,0)),元データ_加工!$A$2:$A$700,$A611,元データ_加工!$B$2:$B$700,J$5)</f>
        <v>10</v>
      </c>
      <c r="K611" s="26">
        <f>SUMIFS(INDEX(元データ_加工!$C$2:$P$700,0,MATCH($B611,元データ_加工!$C$1:$P$1,0)),元データ_加工!$A$2:$A$700,$A611,元データ_加工!$B$2:$B$700,K$5)</f>
        <v>15</v>
      </c>
      <c r="L611" s="26">
        <f>SUMIFS(INDEX(元データ_加工!$C$2:$P$700,0,MATCH($B611,元データ_加工!$C$1:$P$1,0)),元データ_加工!$A$2:$A$700,$A611,元データ_加工!$B$2:$B$700,L$5)</f>
        <v>3</v>
      </c>
      <c r="M611" s="26">
        <f>SUMIFS(INDEX(元データ_加工!$C$2:$P$700,0,MATCH($B611,元データ_加工!$C$1:$P$1,0)),元データ_加工!$A$2:$A$700,$A611,元データ_加工!$B$2:$B$700,M$5)</f>
        <v>4</v>
      </c>
      <c r="N611" s="26">
        <f>SUMIFS(INDEX(元データ_加工!$C$2:$P$700,0,MATCH($B611,元データ_加工!$C$1:$P$1,0)),元データ_加工!$A$2:$A$700,$A611,元データ_加工!$B$2:$B$700,N$5)</f>
        <v>3</v>
      </c>
      <c r="O611" s="26">
        <f t="shared" si="9"/>
        <v>260</v>
      </c>
      <c r="P611" s="7">
        <f>IFERROR(O611/SUMIFS(元データ_加工!$C$2:$C$700,元データ_加工!$A$2:$A$700,$A611),"")</f>
        <v>1.0961676293267001E-2</v>
      </c>
    </row>
    <row r="612" spans="1:16" x14ac:dyDescent="0.45">
      <c r="A612" t="s">
        <v>78</v>
      </c>
      <c r="B612" t="s">
        <v>104</v>
      </c>
      <c r="C612" s="26">
        <f>SUMIFS(INDEX(元データ_加工!$C$2:$P$700,0,MATCH($B612,元データ_加工!$C$1:$P$1,0)),元データ_加工!$A$2:$A$700,$A612,元データ_加工!$B$2:$B$700,C$5)</f>
        <v>34</v>
      </c>
      <c r="D612" s="26">
        <f>SUMIFS(INDEX(元データ_加工!$C$2:$P$700,0,MATCH($B612,元データ_加工!$C$1:$P$1,0)),元データ_加工!$A$2:$A$700,$A612,元データ_加工!$B$2:$B$700,D$5)</f>
        <v>41</v>
      </c>
      <c r="E612" s="26">
        <f>SUMIFS(INDEX(元データ_加工!$C$2:$P$700,0,MATCH($B612,元データ_加工!$C$1:$P$1,0)),元データ_加工!$A$2:$A$700,$A612,元データ_加工!$B$2:$B$700,E$5)</f>
        <v>46</v>
      </c>
      <c r="F612" s="26">
        <f>SUMIFS(INDEX(元データ_加工!$C$2:$P$700,0,MATCH($B612,元データ_加工!$C$1:$P$1,0)),元データ_加工!$A$2:$A$700,$A612,元データ_加工!$B$2:$B$700,F$5)</f>
        <v>61</v>
      </c>
      <c r="G612" s="26">
        <f>SUMIFS(INDEX(元データ_加工!$C$2:$P$700,0,MATCH($B612,元データ_加工!$C$1:$P$1,0)),元データ_加工!$A$2:$A$700,$A612,元データ_加工!$B$2:$B$700,G$5)</f>
        <v>147</v>
      </c>
      <c r="H612" s="26">
        <f>SUMIFS(INDEX(元データ_加工!$C$2:$P$700,0,MATCH($B612,元データ_加工!$C$1:$P$1,0)),元データ_加工!$A$2:$A$700,$A612,元データ_加工!$B$2:$B$700,H$5)</f>
        <v>103</v>
      </c>
      <c r="I612" s="26">
        <f>SUMIFS(INDEX(元データ_加工!$C$2:$P$700,0,MATCH($B612,元データ_加工!$C$1:$P$1,0)),元データ_加工!$A$2:$A$700,$A612,元データ_加工!$B$2:$B$700,I$5)</f>
        <v>53</v>
      </c>
      <c r="J612" s="26">
        <f>SUMIFS(INDEX(元データ_加工!$C$2:$P$700,0,MATCH($B612,元データ_加工!$C$1:$P$1,0)),元データ_加工!$A$2:$A$700,$A612,元データ_加工!$B$2:$B$700,J$5)</f>
        <v>277</v>
      </c>
      <c r="K612" s="26">
        <f>SUMIFS(INDEX(元データ_加工!$C$2:$P$700,0,MATCH($B612,元データ_加工!$C$1:$P$1,0)),元データ_加工!$A$2:$A$700,$A612,元データ_加工!$B$2:$B$700,K$5)</f>
        <v>137</v>
      </c>
      <c r="L612" s="26">
        <f>SUMIFS(INDEX(元データ_加工!$C$2:$P$700,0,MATCH($B612,元データ_加工!$C$1:$P$1,0)),元データ_加工!$A$2:$A$700,$A612,元データ_加工!$B$2:$B$700,L$5)</f>
        <v>131</v>
      </c>
      <c r="M612" s="26">
        <f>SUMIFS(INDEX(元データ_加工!$C$2:$P$700,0,MATCH($B612,元データ_加工!$C$1:$P$1,0)),元データ_加工!$A$2:$A$700,$A612,元データ_加工!$B$2:$B$700,M$5)</f>
        <v>143</v>
      </c>
      <c r="N612" s="26">
        <f>SUMIFS(INDEX(元データ_加工!$C$2:$P$700,0,MATCH($B612,元データ_加工!$C$1:$P$1,0)),元データ_加工!$A$2:$A$700,$A612,元データ_加工!$B$2:$B$700,N$5)</f>
        <v>81</v>
      </c>
      <c r="O612" s="26">
        <f t="shared" si="9"/>
        <v>1254</v>
      </c>
      <c r="P612" s="7">
        <f>IFERROR(O612/SUMIFS(元データ_加工!$C$2:$C$700,元データ_加工!$A$2:$A$700,$A612),"")</f>
        <v>5.286900796829546E-2</v>
      </c>
    </row>
    <row r="613" spans="1:16" x14ac:dyDescent="0.45">
      <c r="A613" t="s">
        <v>78</v>
      </c>
      <c r="B613" t="s">
        <v>105</v>
      </c>
      <c r="C613" s="26">
        <f>SUMIFS(INDEX(元データ_加工!$C$2:$P$700,0,MATCH($B613,元データ_加工!$C$1:$P$1,0)),元データ_加工!$A$2:$A$700,$A613,元データ_加工!$B$2:$B$700,C$5)</f>
        <v>24</v>
      </c>
      <c r="D613" s="26">
        <f>SUMIFS(INDEX(元データ_加工!$C$2:$P$700,0,MATCH($B613,元データ_加工!$C$1:$P$1,0)),元データ_加工!$A$2:$A$700,$A613,元データ_加工!$B$2:$B$700,D$5)</f>
        <v>17</v>
      </c>
      <c r="E613" s="26">
        <f>SUMIFS(INDEX(元データ_加工!$C$2:$P$700,0,MATCH($B613,元データ_加工!$C$1:$P$1,0)),元データ_加工!$A$2:$A$700,$A613,元データ_加工!$B$2:$B$700,E$5)</f>
        <v>22</v>
      </c>
      <c r="F613" s="26">
        <f>SUMIFS(INDEX(元データ_加工!$C$2:$P$700,0,MATCH($B613,元データ_加工!$C$1:$P$1,0)),元データ_加工!$A$2:$A$700,$A613,元データ_加工!$B$2:$B$700,F$5)</f>
        <v>36</v>
      </c>
      <c r="G613" s="26">
        <f>SUMIFS(INDEX(元データ_加工!$C$2:$P$700,0,MATCH($B613,元データ_加工!$C$1:$P$1,0)),元データ_加工!$A$2:$A$700,$A613,元データ_加工!$B$2:$B$700,G$5)</f>
        <v>38</v>
      </c>
      <c r="H613" s="26">
        <f>SUMIFS(INDEX(元データ_加工!$C$2:$P$700,0,MATCH($B613,元データ_加工!$C$1:$P$1,0)),元データ_加工!$A$2:$A$700,$A613,元データ_加工!$B$2:$B$700,H$5)</f>
        <v>33</v>
      </c>
      <c r="I613" s="26">
        <f>SUMIFS(INDEX(元データ_加工!$C$2:$P$700,0,MATCH($B613,元データ_加工!$C$1:$P$1,0)),元データ_加工!$A$2:$A$700,$A613,元データ_加工!$B$2:$B$700,I$5)</f>
        <v>29</v>
      </c>
      <c r="J613" s="26">
        <f>SUMIFS(INDEX(元データ_加工!$C$2:$P$700,0,MATCH($B613,元データ_加工!$C$1:$P$1,0)),元データ_加工!$A$2:$A$700,$A613,元データ_加工!$B$2:$B$700,J$5)</f>
        <v>156</v>
      </c>
      <c r="K613" s="26">
        <f>SUMIFS(INDEX(元データ_加工!$C$2:$P$700,0,MATCH($B613,元データ_加工!$C$1:$P$1,0)),元データ_加工!$A$2:$A$700,$A613,元データ_加工!$B$2:$B$700,K$5)</f>
        <v>288</v>
      </c>
      <c r="L613" s="26">
        <f>SUMIFS(INDEX(元データ_加工!$C$2:$P$700,0,MATCH($B613,元データ_加工!$C$1:$P$1,0)),元データ_加工!$A$2:$A$700,$A613,元データ_加工!$B$2:$B$700,L$5)</f>
        <v>145</v>
      </c>
      <c r="M613" s="26">
        <f>SUMIFS(INDEX(元データ_加工!$C$2:$P$700,0,MATCH($B613,元データ_加工!$C$1:$P$1,0)),元データ_加工!$A$2:$A$700,$A613,元データ_加工!$B$2:$B$700,M$5)</f>
        <v>40</v>
      </c>
      <c r="N613" s="26">
        <f>SUMIFS(INDEX(元データ_加工!$C$2:$P$700,0,MATCH($B613,元データ_加工!$C$1:$P$1,0)),元データ_加工!$A$2:$A$700,$A613,元データ_加工!$B$2:$B$700,N$5)</f>
        <v>31</v>
      </c>
      <c r="O613" s="26">
        <f t="shared" si="9"/>
        <v>859</v>
      </c>
      <c r="P613" s="7">
        <f>IFERROR(O613/SUMIFS(元データ_加工!$C$2:$C$700,元データ_加工!$A$2:$A$700,$A613),"")</f>
        <v>3.6215692061216748E-2</v>
      </c>
    </row>
    <row r="614" spans="1:16" x14ac:dyDescent="0.45">
      <c r="A614" t="s">
        <v>78</v>
      </c>
      <c r="B614" t="s">
        <v>106</v>
      </c>
      <c r="C614" s="26">
        <f>SUMIFS(INDEX(元データ_加工!$C$2:$P$700,0,MATCH($B614,元データ_加工!$C$1:$P$1,0)),元データ_加工!$A$2:$A$700,$A614,元データ_加工!$B$2:$B$700,C$5)</f>
        <v>262</v>
      </c>
      <c r="D614" s="26">
        <f>SUMIFS(INDEX(元データ_加工!$C$2:$P$700,0,MATCH($B614,元データ_加工!$C$1:$P$1,0)),元データ_加工!$A$2:$A$700,$A614,元データ_加工!$B$2:$B$700,D$5)</f>
        <v>270</v>
      </c>
      <c r="E614" s="26">
        <f>SUMIFS(INDEX(元データ_加工!$C$2:$P$700,0,MATCH($B614,元データ_加工!$C$1:$P$1,0)),元データ_加工!$A$2:$A$700,$A614,元データ_加工!$B$2:$B$700,E$5)</f>
        <v>293</v>
      </c>
      <c r="F614" s="26">
        <f>SUMIFS(INDEX(元データ_加工!$C$2:$P$700,0,MATCH($B614,元データ_加工!$C$1:$P$1,0)),元データ_加工!$A$2:$A$700,$A614,元データ_加工!$B$2:$B$700,F$5)</f>
        <v>368</v>
      </c>
      <c r="G614" s="26">
        <f>SUMIFS(INDEX(元データ_加工!$C$2:$P$700,0,MATCH($B614,元データ_加工!$C$1:$P$1,0)),元データ_加工!$A$2:$A$700,$A614,元データ_加工!$B$2:$B$700,G$5)</f>
        <v>384</v>
      </c>
      <c r="H614" s="26">
        <f>SUMIFS(INDEX(元データ_加工!$C$2:$P$700,0,MATCH($B614,元データ_加工!$C$1:$P$1,0)),元データ_加工!$A$2:$A$700,$A614,元データ_加工!$B$2:$B$700,H$5)</f>
        <v>193</v>
      </c>
      <c r="I614" s="26">
        <f>SUMIFS(INDEX(元データ_加工!$C$2:$P$700,0,MATCH($B614,元データ_加工!$C$1:$P$1,0)),元データ_加工!$A$2:$A$700,$A614,元データ_加工!$B$2:$B$700,I$5)</f>
        <v>141</v>
      </c>
      <c r="J614" s="26">
        <f>SUMIFS(INDEX(元データ_加工!$C$2:$P$700,0,MATCH($B614,元データ_加工!$C$1:$P$1,0)),元データ_加工!$A$2:$A$700,$A614,元データ_加工!$B$2:$B$700,J$5)</f>
        <v>363</v>
      </c>
      <c r="K614" s="26">
        <f>SUMIFS(INDEX(元データ_加工!$C$2:$P$700,0,MATCH($B614,元データ_加工!$C$1:$P$1,0)),元データ_加工!$A$2:$A$700,$A614,元データ_加工!$B$2:$B$700,K$5)</f>
        <v>549</v>
      </c>
      <c r="L614" s="26">
        <f>SUMIFS(INDEX(元データ_加工!$C$2:$P$700,0,MATCH($B614,元データ_加工!$C$1:$P$1,0)),元データ_加工!$A$2:$A$700,$A614,元データ_加工!$B$2:$B$700,L$5)</f>
        <v>465</v>
      </c>
      <c r="M614" s="26">
        <f>SUMIFS(INDEX(元データ_加工!$C$2:$P$700,0,MATCH($B614,元データ_加工!$C$1:$P$1,0)),元データ_加工!$A$2:$A$700,$A614,元データ_加工!$B$2:$B$700,M$5)</f>
        <v>486</v>
      </c>
      <c r="N614" s="26">
        <f>SUMIFS(INDEX(元データ_加工!$C$2:$P$700,0,MATCH($B614,元データ_加工!$C$1:$P$1,0)),元データ_加工!$A$2:$A$700,$A614,元データ_加工!$B$2:$B$700,N$5)</f>
        <v>553</v>
      </c>
      <c r="O614" s="26">
        <f t="shared" si="9"/>
        <v>4327</v>
      </c>
      <c r="P614" s="7">
        <f>IFERROR(O614/SUMIFS(元データ_加工!$C$2:$C$700,元データ_加工!$A$2:$A$700,$A614),"")</f>
        <v>0.18242758969602429</v>
      </c>
    </row>
    <row r="615" spans="1:16" x14ac:dyDescent="0.45">
      <c r="A615" t="s">
        <v>78</v>
      </c>
      <c r="B615" t="s">
        <v>107</v>
      </c>
      <c r="C615" s="26">
        <f>SUMIFS(INDEX(元データ_加工!$C$2:$P$700,0,MATCH($B615,元データ_加工!$C$1:$P$1,0)),元データ_加工!$A$2:$A$700,$A615,元データ_加工!$B$2:$B$700,C$5)</f>
        <v>119</v>
      </c>
      <c r="D615" s="26">
        <f>SUMIFS(INDEX(元データ_加工!$C$2:$P$700,0,MATCH($B615,元データ_加工!$C$1:$P$1,0)),元データ_加工!$A$2:$A$700,$A615,元データ_加工!$B$2:$B$700,D$5)</f>
        <v>171</v>
      </c>
      <c r="E615" s="26">
        <f>SUMIFS(INDEX(元データ_加工!$C$2:$P$700,0,MATCH($B615,元データ_加工!$C$1:$P$1,0)),元データ_加工!$A$2:$A$700,$A615,元データ_加工!$B$2:$B$700,E$5)</f>
        <v>247</v>
      </c>
      <c r="F615" s="26">
        <f>SUMIFS(INDEX(元データ_加工!$C$2:$P$700,0,MATCH($B615,元データ_加工!$C$1:$P$1,0)),元データ_加工!$A$2:$A$700,$A615,元データ_加工!$B$2:$B$700,F$5)</f>
        <v>120</v>
      </c>
      <c r="G615" s="26">
        <f>SUMIFS(INDEX(元データ_加工!$C$2:$P$700,0,MATCH($B615,元データ_加工!$C$1:$P$1,0)),元データ_加工!$A$2:$A$700,$A615,元データ_加工!$B$2:$B$700,G$5)</f>
        <v>70</v>
      </c>
      <c r="H615" s="26">
        <f>SUMIFS(INDEX(元データ_加工!$C$2:$P$700,0,MATCH($B615,元データ_加工!$C$1:$P$1,0)),元データ_加工!$A$2:$A$700,$A615,元データ_加工!$B$2:$B$700,H$5)</f>
        <v>25</v>
      </c>
      <c r="I615" s="26">
        <f>SUMIFS(INDEX(元データ_加工!$C$2:$P$700,0,MATCH($B615,元データ_加工!$C$1:$P$1,0)),元データ_加工!$A$2:$A$700,$A615,元データ_加工!$B$2:$B$700,I$5)</f>
        <v>46</v>
      </c>
      <c r="J615" s="26">
        <f>SUMIFS(INDEX(元データ_加工!$C$2:$P$700,0,MATCH($B615,元データ_加工!$C$1:$P$1,0)),元データ_加工!$A$2:$A$700,$A615,元データ_加工!$B$2:$B$700,J$5)</f>
        <v>55</v>
      </c>
      <c r="K615" s="26">
        <f>SUMIFS(INDEX(元データ_加工!$C$2:$P$700,0,MATCH($B615,元データ_加工!$C$1:$P$1,0)),元データ_加工!$A$2:$A$700,$A615,元データ_加工!$B$2:$B$700,K$5)</f>
        <v>49</v>
      </c>
      <c r="L615" s="26">
        <f>SUMIFS(INDEX(元データ_加工!$C$2:$P$700,0,MATCH($B615,元データ_加工!$C$1:$P$1,0)),元データ_加工!$A$2:$A$700,$A615,元データ_加工!$B$2:$B$700,L$5)</f>
        <v>37</v>
      </c>
      <c r="M615" s="26">
        <f>SUMIFS(INDEX(元データ_加工!$C$2:$P$700,0,MATCH($B615,元データ_加工!$C$1:$P$1,0)),元データ_加工!$A$2:$A$700,$A615,元データ_加工!$B$2:$B$700,M$5)</f>
        <v>26</v>
      </c>
      <c r="N615" s="26">
        <f>SUMIFS(INDEX(元データ_加工!$C$2:$P$700,0,MATCH($B615,元データ_加工!$C$1:$P$1,0)),元データ_加工!$A$2:$A$700,$A615,元データ_加工!$B$2:$B$700,N$5)</f>
        <v>127</v>
      </c>
      <c r="O615" s="26">
        <f t="shared" si="9"/>
        <v>1092</v>
      </c>
      <c r="P615" s="7">
        <f>IFERROR(O615/SUMIFS(元データ_加工!$C$2:$C$700,元データ_加工!$A$2:$A$700,$A615),"")</f>
        <v>4.6039040431721405E-2</v>
      </c>
    </row>
    <row r="616" spans="1:16" x14ac:dyDescent="0.45">
      <c r="A616" t="s">
        <v>78</v>
      </c>
      <c r="B616" t="s">
        <v>108</v>
      </c>
      <c r="C616" s="26">
        <f>SUMIFS(INDEX(元データ_加工!$C$2:$P$700,0,MATCH($B616,元データ_加工!$C$1:$P$1,0)),元データ_加工!$A$2:$A$700,$A616,元データ_加工!$B$2:$B$700,C$5)</f>
        <v>20</v>
      </c>
      <c r="D616" s="26">
        <f>SUMIFS(INDEX(元データ_加工!$C$2:$P$700,0,MATCH($B616,元データ_加工!$C$1:$P$1,0)),元データ_加工!$A$2:$A$700,$A616,元データ_加工!$B$2:$B$700,D$5)</f>
        <v>45</v>
      </c>
      <c r="E616" s="26">
        <f>SUMIFS(INDEX(元データ_加工!$C$2:$P$700,0,MATCH($B616,元データ_加工!$C$1:$P$1,0)),元データ_加工!$A$2:$A$700,$A616,元データ_加工!$B$2:$B$700,E$5)</f>
        <v>118</v>
      </c>
      <c r="F616" s="26">
        <f>SUMIFS(INDEX(元データ_加工!$C$2:$P$700,0,MATCH($B616,元データ_加工!$C$1:$P$1,0)),元データ_加工!$A$2:$A$700,$A616,元データ_加工!$B$2:$B$700,F$5)</f>
        <v>98</v>
      </c>
      <c r="G616" s="26">
        <f>SUMIFS(INDEX(元データ_加工!$C$2:$P$700,0,MATCH($B616,元データ_加工!$C$1:$P$1,0)),元データ_加工!$A$2:$A$700,$A616,元データ_加工!$B$2:$B$700,G$5)</f>
        <v>48</v>
      </c>
      <c r="H616" s="26">
        <f>SUMIFS(INDEX(元データ_加工!$C$2:$P$700,0,MATCH($B616,元データ_加工!$C$1:$P$1,0)),元データ_加工!$A$2:$A$700,$A616,元データ_加工!$B$2:$B$700,H$5)</f>
        <v>25</v>
      </c>
      <c r="I616" s="26">
        <f>SUMIFS(INDEX(元データ_加工!$C$2:$P$700,0,MATCH($B616,元データ_加工!$C$1:$P$1,0)),元データ_加工!$A$2:$A$700,$A616,元データ_加工!$B$2:$B$700,I$5)</f>
        <v>11</v>
      </c>
      <c r="J616" s="26">
        <f>SUMIFS(INDEX(元データ_加工!$C$2:$P$700,0,MATCH($B616,元データ_加工!$C$1:$P$1,0)),元データ_加工!$A$2:$A$700,$A616,元データ_加工!$B$2:$B$700,J$5)</f>
        <v>18</v>
      </c>
      <c r="K616" s="26">
        <f>SUMIFS(INDEX(元データ_加工!$C$2:$P$700,0,MATCH($B616,元データ_加工!$C$1:$P$1,0)),元データ_加工!$A$2:$A$700,$A616,元データ_加工!$B$2:$B$700,K$5)</f>
        <v>28</v>
      </c>
      <c r="L616" s="26">
        <f>SUMIFS(INDEX(元データ_加工!$C$2:$P$700,0,MATCH($B616,元データ_加工!$C$1:$P$1,0)),元データ_加工!$A$2:$A$700,$A616,元データ_加工!$B$2:$B$700,L$5)</f>
        <v>5</v>
      </c>
      <c r="M616" s="26">
        <f>SUMIFS(INDEX(元データ_加工!$C$2:$P$700,0,MATCH($B616,元データ_加工!$C$1:$P$1,0)),元データ_加工!$A$2:$A$700,$A616,元データ_加工!$B$2:$B$700,M$5)</f>
        <v>10</v>
      </c>
      <c r="N616" s="26">
        <f>SUMIFS(INDEX(元データ_加工!$C$2:$P$700,0,MATCH($B616,元データ_加工!$C$1:$P$1,0)),元データ_加工!$A$2:$A$700,$A616,元データ_加工!$B$2:$B$700,N$5)</f>
        <v>18</v>
      </c>
      <c r="O616" s="26">
        <f t="shared" si="9"/>
        <v>444</v>
      </c>
      <c r="P616" s="7">
        <f>IFERROR(O616/SUMIFS(元データ_加工!$C$2:$C$700,元データ_加工!$A$2:$A$700,$A616),"")</f>
        <v>1.8719170285425187E-2</v>
      </c>
    </row>
    <row r="617" spans="1:16" x14ac:dyDescent="0.45">
      <c r="A617" t="s">
        <v>78</v>
      </c>
      <c r="B617" t="s">
        <v>109</v>
      </c>
      <c r="C617" s="26">
        <f>SUMIFS(INDEX(元データ_加工!$C$2:$P$700,0,MATCH($B617,元データ_加工!$C$1:$P$1,0)),元データ_加工!$A$2:$A$700,$A617,元データ_加工!$B$2:$B$700,C$5)</f>
        <v>48</v>
      </c>
      <c r="D617" s="26">
        <f>SUMIFS(INDEX(元データ_加工!$C$2:$P$700,0,MATCH($B617,元データ_加工!$C$1:$P$1,0)),元データ_加工!$A$2:$A$700,$A617,元データ_加工!$B$2:$B$700,D$5)</f>
        <v>56</v>
      </c>
      <c r="E617" s="26">
        <f>SUMIFS(INDEX(元データ_加工!$C$2:$P$700,0,MATCH($B617,元データ_加工!$C$1:$P$1,0)),元データ_加工!$A$2:$A$700,$A617,元データ_加工!$B$2:$B$700,E$5)</f>
        <v>57</v>
      </c>
      <c r="F617" s="26">
        <f>SUMIFS(INDEX(元データ_加工!$C$2:$P$700,0,MATCH($B617,元データ_加工!$C$1:$P$1,0)),元データ_加工!$A$2:$A$700,$A617,元データ_加工!$B$2:$B$700,F$5)</f>
        <v>48</v>
      </c>
      <c r="G617" s="26">
        <f>SUMIFS(INDEX(元データ_加工!$C$2:$P$700,0,MATCH($B617,元データ_加工!$C$1:$P$1,0)),元データ_加工!$A$2:$A$700,$A617,元データ_加工!$B$2:$B$700,G$5)</f>
        <v>60</v>
      </c>
      <c r="H617" s="26">
        <f>SUMIFS(INDEX(元データ_加工!$C$2:$P$700,0,MATCH($B617,元データ_加工!$C$1:$P$1,0)),元データ_加工!$A$2:$A$700,$A617,元データ_加工!$B$2:$B$700,H$5)</f>
        <v>53</v>
      </c>
      <c r="I617" s="26">
        <f>SUMIFS(INDEX(元データ_加工!$C$2:$P$700,0,MATCH($B617,元データ_加工!$C$1:$P$1,0)),元データ_加工!$A$2:$A$700,$A617,元データ_加工!$B$2:$B$700,I$5)</f>
        <v>55</v>
      </c>
      <c r="J617" s="26">
        <f>SUMIFS(INDEX(元データ_加工!$C$2:$P$700,0,MATCH($B617,元データ_加工!$C$1:$P$1,0)),元データ_加工!$A$2:$A$700,$A617,元データ_加工!$B$2:$B$700,J$5)</f>
        <v>63</v>
      </c>
      <c r="K617" s="26">
        <f>SUMIFS(INDEX(元データ_加工!$C$2:$P$700,0,MATCH($B617,元データ_加工!$C$1:$P$1,0)),元データ_加工!$A$2:$A$700,$A617,元データ_加工!$B$2:$B$700,K$5)</f>
        <v>65</v>
      </c>
      <c r="L617" s="26">
        <f>SUMIFS(INDEX(元データ_加工!$C$2:$P$700,0,MATCH($B617,元データ_加工!$C$1:$P$1,0)),元データ_加工!$A$2:$A$700,$A617,元データ_加工!$B$2:$B$700,L$5)</f>
        <v>37</v>
      </c>
      <c r="M617" s="26">
        <f>SUMIFS(INDEX(元データ_加工!$C$2:$P$700,0,MATCH($B617,元データ_加工!$C$1:$P$1,0)),元データ_加工!$A$2:$A$700,$A617,元データ_加工!$B$2:$B$700,M$5)</f>
        <v>67</v>
      </c>
      <c r="N617" s="26">
        <f>SUMIFS(INDEX(元データ_加工!$C$2:$P$700,0,MATCH($B617,元データ_加工!$C$1:$P$1,0)),元データ_加工!$A$2:$A$700,$A617,元データ_加工!$B$2:$B$700,N$5)</f>
        <v>47</v>
      </c>
      <c r="O617" s="26">
        <f t="shared" si="9"/>
        <v>656</v>
      </c>
      <c r="P617" s="7">
        <f>IFERROR(O617/SUMIFS(元データ_加工!$C$2:$C$700,元データ_加工!$A$2:$A$700,$A617),"")</f>
        <v>2.7657152493781357E-2</v>
      </c>
    </row>
    <row r="618" spans="1:16" x14ac:dyDescent="0.45">
      <c r="A618" t="s">
        <v>78</v>
      </c>
      <c r="B618" t="s">
        <v>110</v>
      </c>
      <c r="C618" s="26">
        <f>SUMIFS(INDEX(元データ_加工!$C$2:$P$700,0,MATCH($B618,元データ_加工!$C$1:$P$1,0)),元データ_加工!$A$2:$A$700,$A618,元データ_加工!$B$2:$B$700,C$5)</f>
        <v>0</v>
      </c>
      <c r="D618" s="26">
        <f>SUMIFS(INDEX(元データ_加工!$C$2:$P$700,0,MATCH($B618,元データ_加工!$C$1:$P$1,0)),元データ_加工!$A$2:$A$700,$A618,元データ_加工!$B$2:$B$700,D$5)</f>
        <v>0</v>
      </c>
      <c r="E618" s="26">
        <f>SUMIFS(INDEX(元データ_加工!$C$2:$P$700,0,MATCH($B618,元データ_加工!$C$1:$P$1,0)),元データ_加工!$A$2:$A$700,$A618,元データ_加工!$B$2:$B$700,E$5)</f>
        <v>0</v>
      </c>
      <c r="F618" s="26">
        <f>SUMIFS(INDEX(元データ_加工!$C$2:$P$700,0,MATCH($B618,元データ_加工!$C$1:$P$1,0)),元データ_加工!$A$2:$A$700,$A618,元データ_加工!$B$2:$B$700,F$5)</f>
        <v>0</v>
      </c>
      <c r="G618" s="26">
        <f>SUMIFS(INDEX(元データ_加工!$C$2:$P$700,0,MATCH($B618,元データ_加工!$C$1:$P$1,0)),元データ_加工!$A$2:$A$700,$A618,元データ_加工!$B$2:$B$700,G$5)</f>
        <v>0</v>
      </c>
      <c r="H618" s="26">
        <f>SUMIFS(INDEX(元データ_加工!$C$2:$P$700,0,MATCH($B618,元データ_加工!$C$1:$P$1,0)),元データ_加工!$A$2:$A$700,$A618,元データ_加工!$B$2:$B$700,H$5)</f>
        <v>0</v>
      </c>
      <c r="I618" s="26">
        <f>SUMIFS(INDEX(元データ_加工!$C$2:$P$700,0,MATCH($B618,元データ_加工!$C$1:$P$1,0)),元データ_加工!$A$2:$A$700,$A618,元データ_加工!$B$2:$B$700,I$5)</f>
        <v>0</v>
      </c>
      <c r="J618" s="26">
        <f>SUMIFS(INDEX(元データ_加工!$C$2:$P$700,0,MATCH($B618,元データ_加工!$C$1:$P$1,0)),元データ_加工!$A$2:$A$700,$A618,元データ_加工!$B$2:$B$700,J$5)</f>
        <v>0</v>
      </c>
      <c r="K618" s="26">
        <f>SUMIFS(INDEX(元データ_加工!$C$2:$P$700,0,MATCH($B618,元データ_加工!$C$1:$P$1,0)),元データ_加工!$A$2:$A$700,$A618,元データ_加工!$B$2:$B$700,K$5)</f>
        <v>0</v>
      </c>
      <c r="L618" s="26">
        <f>SUMIFS(INDEX(元データ_加工!$C$2:$P$700,0,MATCH($B618,元データ_加工!$C$1:$P$1,0)),元データ_加工!$A$2:$A$700,$A618,元データ_加工!$B$2:$B$700,L$5)</f>
        <v>0</v>
      </c>
      <c r="M618" s="26">
        <f>SUMIFS(INDEX(元データ_加工!$C$2:$P$700,0,MATCH($B618,元データ_加工!$C$1:$P$1,0)),元データ_加工!$A$2:$A$700,$A618,元データ_加工!$B$2:$B$700,M$5)</f>
        <v>0</v>
      </c>
      <c r="N618" s="26">
        <f>SUMIFS(INDEX(元データ_加工!$C$2:$P$700,0,MATCH($B618,元データ_加工!$C$1:$P$1,0)),元データ_加工!$A$2:$A$700,$A618,元データ_加工!$B$2:$B$700,N$5)</f>
        <v>0</v>
      </c>
      <c r="O618" s="26">
        <f t="shared" si="9"/>
        <v>0</v>
      </c>
      <c r="P618" s="7">
        <f>IFERROR(O618/SUMIFS(元データ_加工!$C$2:$C$700,元データ_加工!$A$2:$A$700,$A618),"")</f>
        <v>0</v>
      </c>
    </row>
    <row r="619" spans="1:16" x14ac:dyDescent="0.45">
      <c r="A619" t="s">
        <v>78</v>
      </c>
      <c r="B619" t="s">
        <v>111</v>
      </c>
      <c r="C619" s="26">
        <f>SUMIFS(INDEX(元データ_加工!$C$2:$P$700,0,MATCH($B619,元データ_加工!$C$1:$P$1,0)),元データ_加工!$A$2:$A$700,$A619,元データ_加工!$B$2:$B$700,C$5)</f>
        <v>7</v>
      </c>
      <c r="D619" s="26">
        <f>SUMIFS(INDEX(元データ_加工!$C$2:$P$700,0,MATCH($B619,元データ_加工!$C$1:$P$1,0)),元データ_加工!$A$2:$A$700,$A619,元データ_加工!$B$2:$B$700,D$5)</f>
        <v>7</v>
      </c>
      <c r="E619" s="26">
        <f>SUMIFS(INDEX(元データ_加工!$C$2:$P$700,0,MATCH($B619,元データ_加工!$C$1:$P$1,0)),元データ_加工!$A$2:$A$700,$A619,元データ_加工!$B$2:$B$700,E$5)</f>
        <v>18</v>
      </c>
      <c r="F619" s="26">
        <f>SUMIFS(INDEX(元データ_加工!$C$2:$P$700,0,MATCH($B619,元データ_加工!$C$1:$P$1,0)),元データ_加工!$A$2:$A$700,$A619,元データ_加工!$B$2:$B$700,F$5)</f>
        <v>7</v>
      </c>
      <c r="G619" s="26">
        <f>SUMIFS(INDEX(元データ_加工!$C$2:$P$700,0,MATCH($B619,元データ_加工!$C$1:$P$1,0)),元データ_加工!$A$2:$A$700,$A619,元データ_加工!$B$2:$B$700,G$5)</f>
        <v>7</v>
      </c>
      <c r="H619" s="26">
        <f>SUMIFS(INDEX(元データ_加工!$C$2:$P$700,0,MATCH($B619,元データ_加工!$C$1:$P$1,0)),元データ_加工!$A$2:$A$700,$A619,元データ_加工!$B$2:$B$700,H$5)</f>
        <v>1</v>
      </c>
      <c r="I619" s="26">
        <f>SUMIFS(INDEX(元データ_加工!$C$2:$P$700,0,MATCH($B619,元データ_加工!$C$1:$P$1,0)),元データ_加工!$A$2:$A$700,$A619,元データ_加工!$B$2:$B$700,I$5)</f>
        <v>1</v>
      </c>
      <c r="J619" s="26">
        <f>SUMIFS(INDEX(元データ_加工!$C$2:$P$700,0,MATCH($B619,元データ_加工!$C$1:$P$1,0)),元データ_加工!$A$2:$A$700,$A619,元データ_加工!$B$2:$B$700,J$5)</f>
        <v>2</v>
      </c>
      <c r="K619" s="26">
        <f>SUMIFS(INDEX(元データ_加工!$C$2:$P$700,0,MATCH($B619,元データ_加工!$C$1:$P$1,0)),元データ_加工!$A$2:$A$700,$A619,元データ_加工!$B$2:$B$700,K$5)</f>
        <v>17</v>
      </c>
      <c r="L619" s="26">
        <f>SUMIFS(INDEX(元データ_加工!$C$2:$P$700,0,MATCH($B619,元データ_加工!$C$1:$P$1,0)),元データ_加工!$A$2:$A$700,$A619,元データ_加工!$B$2:$B$700,L$5)</f>
        <v>53</v>
      </c>
      <c r="M619" s="26">
        <f>SUMIFS(INDEX(元データ_加工!$C$2:$P$700,0,MATCH($B619,元データ_加工!$C$1:$P$1,0)),元データ_加工!$A$2:$A$700,$A619,元データ_加工!$B$2:$B$700,M$5)</f>
        <v>28</v>
      </c>
      <c r="N619" s="26">
        <f>SUMIFS(INDEX(元データ_加工!$C$2:$P$700,0,MATCH($B619,元データ_加工!$C$1:$P$1,0)),元データ_加工!$A$2:$A$700,$A619,元データ_加工!$B$2:$B$700,N$5)</f>
        <v>19</v>
      </c>
      <c r="O619" s="26">
        <f t="shared" si="9"/>
        <v>167</v>
      </c>
      <c r="P619" s="7">
        <f>IFERROR(O619/SUMIFS(元データ_加工!$C$2:$C$700,元データ_加工!$A$2:$A$700,$A619),"")</f>
        <v>7.0407690037522664E-3</v>
      </c>
    </row>
    <row r="620" spans="1:16" x14ac:dyDescent="0.45">
      <c r="A620" t="s">
        <v>78</v>
      </c>
      <c r="B620" t="s">
        <v>112</v>
      </c>
      <c r="C620" s="26">
        <f>SUMIFS(INDEX(元データ_加工!$C$2:$P$700,0,MATCH($B620,元データ_加工!$C$1:$P$1,0)),元データ_加工!$A$2:$A$700,$A620,元データ_加工!$B$2:$B$700,C$5)</f>
        <v>0</v>
      </c>
      <c r="D620" s="26">
        <f>SUMIFS(INDEX(元データ_加工!$C$2:$P$700,0,MATCH($B620,元データ_加工!$C$1:$P$1,0)),元データ_加工!$A$2:$A$700,$A620,元データ_加工!$B$2:$B$700,D$5)</f>
        <v>0</v>
      </c>
      <c r="E620" s="26">
        <f>SUMIFS(INDEX(元データ_加工!$C$2:$P$700,0,MATCH($B620,元データ_加工!$C$1:$P$1,0)),元データ_加工!$A$2:$A$700,$A620,元データ_加工!$B$2:$B$700,E$5)</f>
        <v>0</v>
      </c>
      <c r="F620" s="26">
        <f>SUMIFS(INDEX(元データ_加工!$C$2:$P$700,0,MATCH($B620,元データ_加工!$C$1:$P$1,0)),元データ_加工!$A$2:$A$700,$A620,元データ_加工!$B$2:$B$700,F$5)</f>
        <v>0</v>
      </c>
      <c r="G620" s="26">
        <f>SUMIFS(INDEX(元データ_加工!$C$2:$P$700,0,MATCH($B620,元データ_加工!$C$1:$P$1,0)),元データ_加工!$A$2:$A$700,$A620,元データ_加工!$B$2:$B$700,G$5)</f>
        <v>0</v>
      </c>
      <c r="H620" s="26">
        <f>SUMIFS(INDEX(元データ_加工!$C$2:$P$700,0,MATCH($B620,元データ_加工!$C$1:$P$1,0)),元データ_加工!$A$2:$A$700,$A620,元データ_加工!$B$2:$B$700,H$5)</f>
        <v>0</v>
      </c>
      <c r="I620" s="26">
        <f>SUMIFS(INDEX(元データ_加工!$C$2:$P$700,0,MATCH($B620,元データ_加工!$C$1:$P$1,0)),元データ_加工!$A$2:$A$700,$A620,元データ_加工!$B$2:$B$700,I$5)</f>
        <v>1</v>
      </c>
      <c r="J620" s="26">
        <f>SUMIFS(INDEX(元データ_加工!$C$2:$P$700,0,MATCH($B620,元データ_加工!$C$1:$P$1,0)),元データ_加工!$A$2:$A$700,$A620,元データ_加工!$B$2:$B$700,J$5)</f>
        <v>0</v>
      </c>
      <c r="K620" s="26">
        <f>SUMIFS(INDEX(元データ_加工!$C$2:$P$700,0,MATCH($B620,元データ_加工!$C$1:$P$1,0)),元データ_加工!$A$2:$A$700,$A620,元データ_加工!$B$2:$B$700,K$5)</f>
        <v>4</v>
      </c>
      <c r="L620" s="26">
        <f>SUMIFS(INDEX(元データ_加工!$C$2:$P$700,0,MATCH($B620,元データ_加工!$C$1:$P$1,0)),元データ_加工!$A$2:$A$700,$A620,元データ_加工!$B$2:$B$700,L$5)</f>
        <v>1</v>
      </c>
      <c r="M620" s="26">
        <f>SUMIFS(INDEX(元データ_加工!$C$2:$P$700,0,MATCH($B620,元データ_加工!$C$1:$P$1,0)),元データ_加工!$A$2:$A$700,$A620,元データ_加工!$B$2:$B$700,M$5)</f>
        <v>0</v>
      </c>
      <c r="N620" s="26">
        <f>SUMIFS(INDEX(元データ_加工!$C$2:$P$700,0,MATCH($B620,元データ_加工!$C$1:$P$1,0)),元データ_加工!$A$2:$A$700,$A620,元データ_加工!$B$2:$B$700,N$5)</f>
        <v>0</v>
      </c>
      <c r="O620" s="26">
        <f t="shared" si="9"/>
        <v>6</v>
      </c>
      <c r="P620" s="7">
        <f>IFERROR(O620/SUMIFS(元データ_加工!$C$2:$C$700,元データ_加工!$A$2:$A$700,$A620),"")</f>
        <v>2.5296176061385386E-4</v>
      </c>
    </row>
    <row r="621" spans="1:16" x14ac:dyDescent="0.45">
      <c r="A621" t="s">
        <v>78</v>
      </c>
      <c r="B621" t="s">
        <v>113</v>
      </c>
      <c r="C621" s="26">
        <f>SUMIFS(INDEX(元データ_加工!$C$2:$P$700,0,MATCH($B621,元データ_加工!$C$1:$P$1,0)),元データ_加工!$A$2:$A$700,$A621,元データ_加工!$B$2:$B$700,C$5)</f>
        <v>0</v>
      </c>
      <c r="D621" s="26">
        <f>SUMIFS(INDEX(元データ_加工!$C$2:$P$700,0,MATCH($B621,元データ_加工!$C$1:$P$1,0)),元データ_加工!$A$2:$A$700,$A621,元データ_加工!$B$2:$B$700,D$5)</f>
        <v>1</v>
      </c>
      <c r="E621" s="26">
        <f>SUMIFS(INDEX(元データ_加工!$C$2:$P$700,0,MATCH($B621,元データ_加工!$C$1:$P$1,0)),元データ_加工!$A$2:$A$700,$A621,元データ_加工!$B$2:$B$700,E$5)</f>
        <v>0</v>
      </c>
      <c r="F621" s="26">
        <f>SUMIFS(INDEX(元データ_加工!$C$2:$P$700,0,MATCH($B621,元データ_加工!$C$1:$P$1,0)),元データ_加工!$A$2:$A$700,$A621,元データ_加工!$B$2:$B$700,F$5)</f>
        <v>12</v>
      </c>
      <c r="G621" s="26">
        <f>SUMIFS(INDEX(元データ_加工!$C$2:$P$700,0,MATCH($B621,元データ_加工!$C$1:$P$1,0)),元データ_加工!$A$2:$A$700,$A621,元データ_加工!$B$2:$B$700,G$5)</f>
        <v>12</v>
      </c>
      <c r="H621" s="26">
        <f>SUMIFS(INDEX(元データ_加工!$C$2:$P$700,0,MATCH($B621,元データ_加工!$C$1:$P$1,0)),元データ_加工!$A$2:$A$700,$A621,元データ_加工!$B$2:$B$700,H$5)</f>
        <v>3</v>
      </c>
      <c r="I621" s="26">
        <f>SUMIFS(INDEX(元データ_加工!$C$2:$P$700,0,MATCH($B621,元データ_加工!$C$1:$P$1,0)),元データ_加工!$A$2:$A$700,$A621,元データ_加工!$B$2:$B$700,I$5)</f>
        <v>3</v>
      </c>
      <c r="J621" s="26">
        <f>SUMIFS(INDEX(元データ_加工!$C$2:$P$700,0,MATCH($B621,元データ_加工!$C$1:$P$1,0)),元データ_加工!$A$2:$A$700,$A621,元データ_加工!$B$2:$B$700,J$5)</f>
        <v>1</v>
      </c>
      <c r="K621" s="26">
        <f>SUMIFS(INDEX(元データ_加工!$C$2:$P$700,0,MATCH($B621,元データ_加工!$C$1:$P$1,0)),元データ_加工!$A$2:$A$700,$A621,元データ_加工!$B$2:$B$700,K$5)</f>
        <v>8</v>
      </c>
      <c r="L621" s="26">
        <f>SUMIFS(INDEX(元データ_加工!$C$2:$P$700,0,MATCH($B621,元データ_加工!$C$1:$P$1,0)),元データ_加工!$A$2:$A$700,$A621,元データ_加工!$B$2:$B$700,L$5)</f>
        <v>6</v>
      </c>
      <c r="M621" s="26">
        <f>SUMIFS(INDEX(元データ_加工!$C$2:$P$700,0,MATCH($B621,元データ_加工!$C$1:$P$1,0)),元データ_加工!$A$2:$A$700,$A621,元データ_加工!$B$2:$B$700,M$5)</f>
        <v>9</v>
      </c>
      <c r="N621" s="26">
        <f>SUMIFS(INDEX(元データ_加工!$C$2:$P$700,0,MATCH($B621,元データ_加工!$C$1:$P$1,0)),元データ_加工!$A$2:$A$700,$A621,元データ_加工!$B$2:$B$700,N$5)</f>
        <v>9</v>
      </c>
      <c r="O621" s="26">
        <f t="shared" si="9"/>
        <v>64</v>
      </c>
      <c r="P621" s="7">
        <f>IFERROR(O621/SUMIFS(元データ_加工!$C$2:$C$700,元データ_加工!$A$2:$A$700,$A621),"")</f>
        <v>2.6982587798811079E-3</v>
      </c>
    </row>
    <row r="622" spans="1:16" x14ac:dyDescent="0.45">
      <c r="A622" t="s">
        <v>79</v>
      </c>
      <c r="B622" t="s">
        <v>100</v>
      </c>
      <c r="C622" s="26">
        <f>SUMIFS(INDEX(元データ_加工!$C$2:$P$700,0,MATCH($B622,元データ_加工!$C$1:$P$1,0)),元データ_加工!$A$2:$A$700,$A622,元データ_加工!$B$2:$B$700,C$5)</f>
        <v>1176</v>
      </c>
      <c r="D622" s="26">
        <f>SUMIFS(INDEX(元データ_加工!$C$2:$P$700,0,MATCH($B622,元データ_加工!$C$1:$P$1,0)),元データ_加工!$A$2:$A$700,$A622,元データ_加工!$B$2:$B$700,D$5)</f>
        <v>1357</v>
      </c>
      <c r="E622" s="26">
        <f>SUMIFS(INDEX(元データ_加工!$C$2:$P$700,0,MATCH($B622,元データ_加工!$C$1:$P$1,0)),元データ_加工!$A$2:$A$700,$A622,元データ_加工!$B$2:$B$700,E$5)</f>
        <v>1667</v>
      </c>
      <c r="F622" s="26">
        <f>SUMIFS(INDEX(元データ_加工!$C$2:$P$700,0,MATCH($B622,元データ_加工!$C$1:$P$1,0)),元データ_加工!$A$2:$A$700,$A622,元データ_加工!$B$2:$B$700,F$5)</f>
        <v>1828</v>
      </c>
      <c r="G622" s="26">
        <f>SUMIFS(INDEX(元データ_加工!$C$2:$P$700,0,MATCH($B622,元データ_加工!$C$1:$P$1,0)),元データ_加工!$A$2:$A$700,$A622,元データ_加工!$B$2:$B$700,G$5)</f>
        <v>1452</v>
      </c>
      <c r="H622" s="26">
        <f>SUMIFS(INDEX(元データ_加工!$C$2:$P$700,0,MATCH($B622,元データ_加工!$C$1:$P$1,0)),元データ_加工!$A$2:$A$700,$A622,元データ_加工!$B$2:$B$700,H$5)</f>
        <v>1152</v>
      </c>
      <c r="I622" s="26">
        <f>SUMIFS(INDEX(元データ_加工!$C$2:$P$700,0,MATCH($B622,元データ_加工!$C$1:$P$1,0)),元データ_加工!$A$2:$A$700,$A622,元データ_加工!$B$2:$B$700,I$5)</f>
        <v>926</v>
      </c>
      <c r="J622" s="26">
        <f>SUMIFS(INDEX(元データ_加工!$C$2:$P$700,0,MATCH($B622,元データ_加工!$C$1:$P$1,0)),元データ_加工!$A$2:$A$700,$A622,元データ_加工!$B$2:$B$700,J$5)</f>
        <v>1911</v>
      </c>
      <c r="K622" s="26">
        <f>SUMIFS(INDEX(元データ_加工!$C$2:$P$700,0,MATCH($B622,元データ_加工!$C$1:$P$1,0)),元データ_加工!$A$2:$A$700,$A622,元データ_加工!$B$2:$B$700,K$5)</f>
        <v>3613</v>
      </c>
      <c r="L622" s="26">
        <f>SUMIFS(INDEX(元データ_加工!$C$2:$P$700,0,MATCH($B622,元データ_加工!$C$1:$P$1,0)),元データ_加工!$A$2:$A$700,$A622,元データ_加工!$B$2:$B$700,L$5)</f>
        <v>2515</v>
      </c>
      <c r="M622" s="26">
        <f>SUMIFS(INDEX(元データ_加工!$C$2:$P$700,0,MATCH($B622,元データ_加工!$C$1:$P$1,0)),元データ_加工!$A$2:$A$700,$A622,元データ_加工!$B$2:$B$700,M$5)</f>
        <v>2328</v>
      </c>
      <c r="N622" s="26">
        <f>SUMIFS(INDEX(元データ_加工!$C$2:$P$700,0,MATCH($B622,元データ_加工!$C$1:$P$1,0)),元データ_加工!$A$2:$A$700,$A622,元データ_加工!$B$2:$B$700,N$5)</f>
        <v>1785</v>
      </c>
      <c r="O622" s="26">
        <f t="shared" si="9"/>
        <v>21710</v>
      </c>
      <c r="P622" s="7">
        <f>IFERROR(O622/SUMIFS(元データ_加工!$C$2:$C$700,元データ_加工!$A$2:$A$700,$A622),"")</f>
        <v>1</v>
      </c>
    </row>
    <row r="623" spans="1:16" x14ac:dyDescent="0.45">
      <c r="A623" t="s">
        <v>79</v>
      </c>
      <c r="B623" t="s">
        <v>101</v>
      </c>
      <c r="C623" s="26">
        <f>SUMIFS(INDEX(元データ_加工!$C$2:$P$700,0,MATCH($B623,元データ_加工!$C$1:$P$1,0)),元データ_加工!$A$2:$A$700,$A623,元データ_加工!$B$2:$B$700,C$5)</f>
        <v>512</v>
      </c>
      <c r="D623" s="26">
        <f>SUMIFS(INDEX(元データ_加工!$C$2:$P$700,0,MATCH($B623,元データ_加工!$C$1:$P$1,0)),元データ_加工!$A$2:$A$700,$A623,元データ_加工!$B$2:$B$700,D$5)</f>
        <v>600</v>
      </c>
      <c r="E623" s="26">
        <f>SUMIFS(INDEX(元データ_加工!$C$2:$P$700,0,MATCH($B623,元データ_加工!$C$1:$P$1,0)),元データ_加工!$A$2:$A$700,$A623,元データ_加工!$B$2:$B$700,E$5)</f>
        <v>690</v>
      </c>
      <c r="F623" s="26">
        <f>SUMIFS(INDEX(元データ_加工!$C$2:$P$700,0,MATCH($B623,元データ_加工!$C$1:$P$1,0)),元データ_加工!$A$2:$A$700,$A623,元データ_加工!$B$2:$B$700,F$5)</f>
        <v>604</v>
      </c>
      <c r="G623" s="26">
        <f>SUMIFS(INDEX(元データ_加工!$C$2:$P$700,0,MATCH($B623,元データ_加工!$C$1:$P$1,0)),元データ_加工!$A$2:$A$700,$A623,元データ_加工!$B$2:$B$700,G$5)</f>
        <v>616</v>
      </c>
      <c r="H623" s="26">
        <f>SUMIFS(INDEX(元データ_加工!$C$2:$P$700,0,MATCH($B623,元データ_加工!$C$1:$P$1,0)),元データ_加工!$A$2:$A$700,$A623,元データ_加工!$B$2:$B$700,H$5)</f>
        <v>437</v>
      </c>
      <c r="I623" s="26">
        <f>SUMIFS(INDEX(元データ_加工!$C$2:$P$700,0,MATCH($B623,元データ_加工!$C$1:$P$1,0)),元データ_加工!$A$2:$A$700,$A623,元データ_加工!$B$2:$B$700,I$5)</f>
        <v>431</v>
      </c>
      <c r="J623" s="26">
        <f>SUMIFS(INDEX(元データ_加工!$C$2:$P$700,0,MATCH($B623,元データ_加工!$C$1:$P$1,0)),元データ_加工!$A$2:$A$700,$A623,元データ_加工!$B$2:$B$700,J$5)</f>
        <v>588</v>
      </c>
      <c r="K623" s="26">
        <f>SUMIFS(INDEX(元データ_加工!$C$2:$P$700,0,MATCH($B623,元データ_加工!$C$1:$P$1,0)),元データ_加工!$A$2:$A$700,$A623,元データ_加工!$B$2:$B$700,K$5)</f>
        <v>832</v>
      </c>
      <c r="L623" s="26">
        <f>SUMIFS(INDEX(元データ_加工!$C$2:$P$700,0,MATCH($B623,元データ_加工!$C$1:$P$1,0)),元データ_加工!$A$2:$A$700,$A623,元データ_加工!$B$2:$B$700,L$5)</f>
        <v>779</v>
      </c>
      <c r="M623" s="26">
        <f>SUMIFS(INDEX(元データ_加工!$C$2:$P$700,0,MATCH($B623,元データ_加工!$C$1:$P$1,0)),元データ_加工!$A$2:$A$700,$A623,元データ_加工!$B$2:$B$700,M$5)</f>
        <v>846</v>
      </c>
      <c r="N623" s="26">
        <f>SUMIFS(INDEX(元データ_加工!$C$2:$P$700,0,MATCH($B623,元データ_加工!$C$1:$P$1,0)),元データ_加工!$A$2:$A$700,$A623,元データ_加工!$B$2:$B$700,N$5)</f>
        <v>726</v>
      </c>
      <c r="O623" s="26">
        <f t="shared" si="9"/>
        <v>7661</v>
      </c>
      <c r="P623" s="7">
        <f>IFERROR(O623/SUMIFS(元データ_加工!$C$2:$C$700,元データ_加工!$A$2:$A$700,$A623),"")</f>
        <v>0.35287885766927685</v>
      </c>
    </row>
    <row r="624" spans="1:16" x14ac:dyDescent="0.45">
      <c r="A624" t="s">
        <v>79</v>
      </c>
      <c r="B624" t="s">
        <v>102</v>
      </c>
      <c r="C624" s="26">
        <f>SUMIFS(INDEX(元データ_加工!$C$2:$P$700,0,MATCH($B624,元データ_加工!$C$1:$P$1,0)),元データ_加工!$A$2:$A$700,$A624,元データ_加工!$B$2:$B$700,C$5)</f>
        <v>0</v>
      </c>
      <c r="D624" s="26">
        <f>SUMIFS(INDEX(元データ_加工!$C$2:$P$700,0,MATCH($B624,元データ_加工!$C$1:$P$1,0)),元データ_加工!$A$2:$A$700,$A624,元データ_加工!$B$2:$B$700,D$5)</f>
        <v>0</v>
      </c>
      <c r="E624" s="26">
        <f>SUMIFS(INDEX(元データ_加工!$C$2:$P$700,0,MATCH($B624,元データ_加工!$C$1:$P$1,0)),元データ_加工!$A$2:$A$700,$A624,元データ_加工!$B$2:$B$700,E$5)</f>
        <v>0</v>
      </c>
      <c r="F624" s="26">
        <f>SUMIFS(INDEX(元データ_加工!$C$2:$P$700,0,MATCH($B624,元データ_加工!$C$1:$P$1,0)),元データ_加工!$A$2:$A$700,$A624,元データ_加工!$B$2:$B$700,F$5)</f>
        <v>0</v>
      </c>
      <c r="G624" s="26">
        <f>SUMIFS(INDEX(元データ_加工!$C$2:$P$700,0,MATCH($B624,元データ_加工!$C$1:$P$1,0)),元データ_加工!$A$2:$A$700,$A624,元データ_加工!$B$2:$B$700,G$5)</f>
        <v>0</v>
      </c>
      <c r="H624" s="26">
        <f>SUMIFS(INDEX(元データ_加工!$C$2:$P$700,0,MATCH($B624,元データ_加工!$C$1:$P$1,0)),元データ_加工!$A$2:$A$700,$A624,元データ_加工!$B$2:$B$700,H$5)</f>
        <v>0</v>
      </c>
      <c r="I624" s="26">
        <f>SUMIFS(INDEX(元データ_加工!$C$2:$P$700,0,MATCH($B624,元データ_加工!$C$1:$P$1,0)),元データ_加工!$A$2:$A$700,$A624,元データ_加工!$B$2:$B$700,I$5)</f>
        <v>0</v>
      </c>
      <c r="J624" s="26">
        <f>SUMIFS(INDEX(元データ_加工!$C$2:$P$700,0,MATCH($B624,元データ_加工!$C$1:$P$1,0)),元データ_加工!$A$2:$A$700,$A624,元データ_加工!$B$2:$B$700,J$5)</f>
        <v>10</v>
      </c>
      <c r="K624" s="26">
        <f>SUMIFS(INDEX(元データ_加工!$C$2:$P$700,0,MATCH($B624,元データ_加工!$C$1:$P$1,0)),元データ_加工!$A$2:$A$700,$A624,元データ_加工!$B$2:$B$700,K$5)</f>
        <v>2</v>
      </c>
      <c r="L624" s="26">
        <f>SUMIFS(INDEX(元データ_加工!$C$2:$P$700,0,MATCH($B624,元データ_加工!$C$1:$P$1,0)),元データ_加工!$A$2:$A$700,$A624,元データ_加工!$B$2:$B$700,L$5)</f>
        <v>0</v>
      </c>
      <c r="M624" s="26">
        <f>SUMIFS(INDEX(元データ_加工!$C$2:$P$700,0,MATCH($B624,元データ_加工!$C$1:$P$1,0)),元データ_加工!$A$2:$A$700,$A624,元データ_加工!$B$2:$B$700,M$5)</f>
        <v>0</v>
      </c>
      <c r="N624" s="26">
        <f>SUMIFS(INDEX(元データ_加工!$C$2:$P$700,0,MATCH($B624,元データ_加工!$C$1:$P$1,0)),元データ_加工!$A$2:$A$700,$A624,元データ_加工!$B$2:$B$700,N$5)</f>
        <v>0</v>
      </c>
      <c r="O624" s="26">
        <f t="shared" si="9"/>
        <v>12</v>
      </c>
      <c r="P624" s="7">
        <f>IFERROR(O624/SUMIFS(元データ_加工!$C$2:$C$700,元データ_加工!$A$2:$A$700,$A624),"")</f>
        <v>5.5274067250115158E-4</v>
      </c>
    </row>
    <row r="625" spans="1:16" x14ac:dyDescent="0.45">
      <c r="A625" t="s">
        <v>79</v>
      </c>
      <c r="B625" t="s">
        <v>103</v>
      </c>
      <c r="C625" s="26">
        <f>SUMIFS(INDEX(元データ_加工!$C$2:$P$700,0,MATCH($B625,元データ_加工!$C$1:$P$1,0)),元データ_加工!$A$2:$A$700,$A625,元データ_加工!$B$2:$B$700,C$5)</f>
        <v>0</v>
      </c>
      <c r="D625" s="26">
        <f>SUMIFS(INDEX(元データ_加工!$C$2:$P$700,0,MATCH($B625,元データ_加工!$C$1:$P$1,0)),元データ_加工!$A$2:$A$700,$A625,元データ_加工!$B$2:$B$700,D$5)</f>
        <v>0</v>
      </c>
      <c r="E625" s="26">
        <f>SUMIFS(INDEX(元データ_加工!$C$2:$P$700,0,MATCH($B625,元データ_加工!$C$1:$P$1,0)),元データ_加工!$A$2:$A$700,$A625,元データ_加工!$B$2:$B$700,E$5)</f>
        <v>5</v>
      </c>
      <c r="F625" s="26">
        <f>SUMIFS(INDEX(元データ_加工!$C$2:$P$700,0,MATCH($B625,元データ_加工!$C$1:$P$1,0)),元データ_加工!$A$2:$A$700,$A625,元データ_加工!$B$2:$B$700,F$5)</f>
        <v>60</v>
      </c>
      <c r="G625" s="26">
        <f>SUMIFS(INDEX(元データ_加工!$C$2:$P$700,0,MATCH($B625,元データ_加工!$C$1:$P$1,0)),元データ_加工!$A$2:$A$700,$A625,元データ_加工!$B$2:$B$700,G$5)</f>
        <v>54</v>
      </c>
      <c r="H625" s="26">
        <f>SUMIFS(INDEX(元データ_加工!$C$2:$P$700,0,MATCH($B625,元データ_加工!$C$1:$P$1,0)),元データ_加工!$A$2:$A$700,$A625,元データ_加工!$B$2:$B$700,H$5)</f>
        <v>64</v>
      </c>
      <c r="I625" s="26">
        <f>SUMIFS(INDEX(元データ_加工!$C$2:$P$700,0,MATCH($B625,元データ_加工!$C$1:$P$1,0)),元データ_加工!$A$2:$A$700,$A625,元データ_加工!$B$2:$B$700,I$5)</f>
        <v>39</v>
      </c>
      <c r="J625" s="26">
        <f>SUMIFS(INDEX(元データ_加工!$C$2:$P$700,0,MATCH($B625,元データ_加工!$C$1:$P$1,0)),元データ_加工!$A$2:$A$700,$A625,元データ_加工!$B$2:$B$700,J$5)</f>
        <v>21</v>
      </c>
      <c r="K625" s="26">
        <f>SUMIFS(INDEX(元データ_加工!$C$2:$P$700,0,MATCH($B625,元データ_加工!$C$1:$P$1,0)),元データ_加工!$A$2:$A$700,$A625,元データ_加工!$B$2:$B$700,K$5)</f>
        <v>3</v>
      </c>
      <c r="L625" s="26">
        <f>SUMIFS(INDEX(元データ_加工!$C$2:$P$700,0,MATCH($B625,元データ_加工!$C$1:$P$1,0)),元データ_加工!$A$2:$A$700,$A625,元データ_加工!$B$2:$B$700,L$5)</f>
        <v>0</v>
      </c>
      <c r="M625" s="26">
        <f>SUMIFS(INDEX(元データ_加工!$C$2:$P$700,0,MATCH($B625,元データ_加工!$C$1:$P$1,0)),元データ_加工!$A$2:$A$700,$A625,元データ_加工!$B$2:$B$700,M$5)</f>
        <v>3</v>
      </c>
      <c r="N625" s="26">
        <f>SUMIFS(INDEX(元データ_加工!$C$2:$P$700,0,MATCH($B625,元データ_加工!$C$1:$P$1,0)),元データ_加工!$A$2:$A$700,$A625,元データ_加工!$B$2:$B$700,N$5)</f>
        <v>0</v>
      </c>
      <c r="O625" s="26">
        <f t="shared" si="9"/>
        <v>249</v>
      </c>
      <c r="P625" s="7">
        <f>IFERROR(O625/SUMIFS(元データ_加工!$C$2:$C$700,元データ_加工!$A$2:$A$700,$A625),"")</f>
        <v>1.1469368954398894E-2</v>
      </c>
    </row>
    <row r="626" spans="1:16" x14ac:dyDescent="0.45">
      <c r="A626" t="s">
        <v>79</v>
      </c>
      <c r="B626" t="s">
        <v>104</v>
      </c>
      <c r="C626" s="26">
        <f>SUMIFS(INDEX(元データ_加工!$C$2:$P$700,0,MATCH($B626,元データ_加工!$C$1:$P$1,0)),元データ_加工!$A$2:$A$700,$A626,元データ_加工!$B$2:$B$700,C$5)</f>
        <v>2</v>
      </c>
      <c r="D626" s="26">
        <f>SUMIFS(INDEX(元データ_加工!$C$2:$P$700,0,MATCH($B626,元データ_加工!$C$1:$P$1,0)),元データ_加工!$A$2:$A$700,$A626,元データ_加工!$B$2:$B$700,D$5)</f>
        <v>4</v>
      </c>
      <c r="E626" s="26">
        <f>SUMIFS(INDEX(元データ_加工!$C$2:$P$700,0,MATCH($B626,元データ_加工!$C$1:$P$1,0)),元データ_加工!$A$2:$A$700,$A626,元データ_加工!$B$2:$B$700,E$5)</f>
        <v>17</v>
      </c>
      <c r="F626" s="26">
        <f>SUMIFS(INDEX(元データ_加工!$C$2:$P$700,0,MATCH($B626,元データ_加工!$C$1:$P$1,0)),元データ_加工!$A$2:$A$700,$A626,元データ_加工!$B$2:$B$700,F$5)</f>
        <v>23</v>
      </c>
      <c r="G626" s="26">
        <f>SUMIFS(INDEX(元データ_加工!$C$2:$P$700,0,MATCH($B626,元データ_加工!$C$1:$P$1,0)),元データ_加工!$A$2:$A$700,$A626,元データ_加工!$B$2:$B$700,G$5)</f>
        <v>45</v>
      </c>
      <c r="H626" s="26">
        <f>SUMIFS(INDEX(元データ_加工!$C$2:$P$700,0,MATCH($B626,元データ_加工!$C$1:$P$1,0)),元データ_加工!$A$2:$A$700,$A626,元データ_加工!$B$2:$B$700,H$5)</f>
        <v>15</v>
      </c>
      <c r="I626" s="26">
        <f>SUMIFS(INDEX(元データ_加工!$C$2:$P$700,0,MATCH($B626,元データ_加工!$C$1:$P$1,0)),元データ_加工!$A$2:$A$700,$A626,元データ_加工!$B$2:$B$700,I$5)</f>
        <v>33</v>
      </c>
      <c r="J626" s="26">
        <f>SUMIFS(INDEX(元データ_加工!$C$2:$P$700,0,MATCH($B626,元データ_加工!$C$1:$P$1,0)),元データ_加工!$A$2:$A$700,$A626,元データ_加工!$B$2:$B$700,J$5)</f>
        <v>84</v>
      </c>
      <c r="K626" s="26">
        <f>SUMIFS(INDEX(元データ_加工!$C$2:$P$700,0,MATCH($B626,元データ_加工!$C$1:$P$1,0)),元データ_加工!$A$2:$A$700,$A626,元データ_加工!$B$2:$B$700,K$5)</f>
        <v>24</v>
      </c>
      <c r="L626" s="26">
        <f>SUMIFS(INDEX(元データ_加工!$C$2:$P$700,0,MATCH($B626,元データ_加工!$C$1:$P$1,0)),元データ_加工!$A$2:$A$700,$A626,元データ_加工!$B$2:$B$700,L$5)</f>
        <v>49</v>
      </c>
      <c r="M626" s="26">
        <f>SUMIFS(INDEX(元データ_加工!$C$2:$P$700,0,MATCH($B626,元データ_加工!$C$1:$P$1,0)),元データ_加工!$A$2:$A$700,$A626,元データ_加工!$B$2:$B$700,M$5)</f>
        <v>49</v>
      </c>
      <c r="N626" s="26">
        <f>SUMIFS(INDEX(元データ_加工!$C$2:$P$700,0,MATCH($B626,元データ_加工!$C$1:$P$1,0)),元データ_加工!$A$2:$A$700,$A626,元データ_加工!$B$2:$B$700,N$5)</f>
        <v>24</v>
      </c>
      <c r="O626" s="26">
        <f t="shared" si="9"/>
        <v>369</v>
      </c>
      <c r="P626" s="7">
        <f>IFERROR(O626/SUMIFS(元データ_加工!$C$2:$C$700,元データ_加工!$A$2:$A$700,$A626),"")</f>
        <v>1.6996775679410409E-2</v>
      </c>
    </row>
    <row r="627" spans="1:16" x14ac:dyDescent="0.45">
      <c r="A627" t="s">
        <v>79</v>
      </c>
      <c r="B627" t="s">
        <v>105</v>
      </c>
      <c r="C627" s="26">
        <f>SUMIFS(INDEX(元データ_加工!$C$2:$P$700,0,MATCH($B627,元データ_加工!$C$1:$P$1,0)),元データ_加工!$A$2:$A$700,$A627,元データ_加工!$B$2:$B$700,C$5)</f>
        <v>2</v>
      </c>
      <c r="D627" s="26">
        <f>SUMIFS(INDEX(元データ_加工!$C$2:$P$700,0,MATCH($B627,元データ_加工!$C$1:$P$1,0)),元データ_加工!$A$2:$A$700,$A627,元データ_加工!$B$2:$B$700,D$5)</f>
        <v>3</v>
      </c>
      <c r="E627" s="26">
        <f>SUMIFS(INDEX(元データ_加工!$C$2:$P$700,0,MATCH($B627,元データ_加工!$C$1:$P$1,0)),元データ_加工!$A$2:$A$700,$A627,元データ_加工!$B$2:$B$700,E$5)</f>
        <v>0</v>
      </c>
      <c r="F627" s="26">
        <f>SUMIFS(INDEX(元データ_加工!$C$2:$P$700,0,MATCH($B627,元データ_加工!$C$1:$P$1,0)),元データ_加工!$A$2:$A$700,$A627,元データ_加工!$B$2:$B$700,F$5)</f>
        <v>0</v>
      </c>
      <c r="G627" s="26">
        <f>SUMIFS(INDEX(元データ_加工!$C$2:$P$700,0,MATCH($B627,元データ_加工!$C$1:$P$1,0)),元データ_加工!$A$2:$A$700,$A627,元データ_加工!$B$2:$B$700,G$5)</f>
        <v>0</v>
      </c>
      <c r="H627" s="26">
        <f>SUMIFS(INDEX(元データ_加工!$C$2:$P$700,0,MATCH($B627,元データ_加工!$C$1:$P$1,0)),元データ_加工!$A$2:$A$700,$A627,元データ_加工!$B$2:$B$700,H$5)</f>
        <v>0</v>
      </c>
      <c r="I627" s="26">
        <f>SUMIFS(INDEX(元データ_加工!$C$2:$P$700,0,MATCH($B627,元データ_加工!$C$1:$P$1,0)),元データ_加工!$A$2:$A$700,$A627,元データ_加工!$B$2:$B$700,I$5)</f>
        <v>0</v>
      </c>
      <c r="J627" s="26">
        <f>SUMIFS(INDEX(元データ_加工!$C$2:$P$700,0,MATCH($B627,元データ_加工!$C$1:$P$1,0)),元データ_加工!$A$2:$A$700,$A627,元データ_加工!$B$2:$B$700,J$5)</f>
        <v>50</v>
      </c>
      <c r="K627" s="26">
        <f>SUMIFS(INDEX(元データ_加工!$C$2:$P$700,0,MATCH($B627,元データ_加工!$C$1:$P$1,0)),元データ_加工!$A$2:$A$700,$A627,元データ_加工!$B$2:$B$700,K$5)</f>
        <v>281</v>
      </c>
      <c r="L627" s="26">
        <f>SUMIFS(INDEX(元データ_加工!$C$2:$P$700,0,MATCH($B627,元データ_加工!$C$1:$P$1,0)),元データ_加工!$A$2:$A$700,$A627,元データ_加工!$B$2:$B$700,L$5)</f>
        <v>110</v>
      </c>
      <c r="M627" s="26">
        <f>SUMIFS(INDEX(元データ_加工!$C$2:$P$700,0,MATCH($B627,元データ_加工!$C$1:$P$1,0)),元データ_加工!$A$2:$A$700,$A627,元データ_加工!$B$2:$B$700,M$5)</f>
        <v>49</v>
      </c>
      <c r="N627" s="26">
        <f>SUMIFS(INDEX(元データ_加工!$C$2:$P$700,0,MATCH($B627,元データ_加工!$C$1:$P$1,0)),元データ_加工!$A$2:$A$700,$A627,元データ_加工!$B$2:$B$700,N$5)</f>
        <v>17</v>
      </c>
      <c r="O627" s="26">
        <f t="shared" si="9"/>
        <v>512</v>
      </c>
      <c r="P627" s="7">
        <f>IFERROR(O627/SUMIFS(元データ_加工!$C$2:$C$700,元データ_加工!$A$2:$A$700,$A627),"")</f>
        <v>2.3583602026715798E-2</v>
      </c>
    </row>
    <row r="628" spans="1:16" x14ac:dyDescent="0.45">
      <c r="A628" t="s">
        <v>79</v>
      </c>
      <c r="B628" t="s">
        <v>106</v>
      </c>
      <c r="C628" s="26">
        <f>SUMIFS(INDEX(元データ_加工!$C$2:$P$700,0,MATCH($B628,元データ_加工!$C$1:$P$1,0)),元データ_加工!$A$2:$A$700,$A628,元データ_加工!$B$2:$B$700,C$5)</f>
        <v>257</v>
      </c>
      <c r="D628" s="26">
        <f>SUMIFS(INDEX(元データ_加工!$C$2:$P$700,0,MATCH($B628,元データ_加工!$C$1:$P$1,0)),元データ_加工!$A$2:$A$700,$A628,元データ_加工!$B$2:$B$700,D$5)</f>
        <v>380</v>
      </c>
      <c r="E628" s="26">
        <f>SUMIFS(INDEX(元データ_加工!$C$2:$P$700,0,MATCH($B628,元データ_加工!$C$1:$P$1,0)),元データ_加工!$A$2:$A$700,$A628,元データ_加工!$B$2:$B$700,E$5)</f>
        <v>370</v>
      </c>
      <c r="F628" s="26">
        <f>SUMIFS(INDEX(元データ_加工!$C$2:$P$700,0,MATCH($B628,元データ_加工!$C$1:$P$1,0)),元データ_加工!$A$2:$A$700,$A628,元データ_加工!$B$2:$B$700,F$5)</f>
        <v>479</v>
      </c>
      <c r="G628" s="26">
        <f>SUMIFS(INDEX(元データ_加工!$C$2:$P$700,0,MATCH($B628,元データ_加工!$C$1:$P$1,0)),元データ_加工!$A$2:$A$700,$A628,元データ_加工!$B$2:$B$700,G$5)</f>
        <v>325</v>
      </c>
      <c r="H628" s="26">
        <f>SUMIFS(INDEX(元データ_加工!$C$2:$P$700,0,MATCH($B628,元データ_加工!$C$1:$P$1,0)),元データ_加工!$A$2:$A$700,$A628,元データ_加工!$B$2:$B$700,H$5)</f>
        <v>255</v>
      </c>
      <c r="I628" s="26">
        <f>SUMIFS(INDEX(元データ_加工!$C$2:$P$700,0,MATCH($B628,元データ_加工!$C$1:$P$1,0)),元データ_加工!$A$2:$A$700,$A628,元データ_加工!$B$2:$B$700,I$5)</f>
        <v>232</v>
      </c>
      <c r="J628" s="26">
        <f>SUMIFS(INDEX(元データ_加工!$C$2:$P$700,0,MATCH($B628,元データ_加工!$C$1:$P$1,0)),元データ_加工!$A$2:$A$700,$A628,元データ_加工!$B$2:$B$700,J$5)</f>
        <v>508</v>
      </c>
      <c r="K628" s="26">
        <f>SUMIFS(INDEX(元データ_加工!$C$2:$P$700,0,MATCH($B628,元データ_加工!$C$1:$P$1,0)),元データ_加工!$A$2:$A$700,$A628,元データ_加工!$B$2:$B$700,K$5)</f>
        <v>765</v>
      </c>
      <c r="L628" s="26">
        <f>SUMIFS(INDEX(元データ_加工!$C$2:$P$700,0,MATCH($B628,元データ_加工!$C$1:$P$1,0)),元データ_加工!$A$2:$A$700,$A628,元データ_加工!$B$2:$B$700,L$5)</f>
        <v>562</v>
      </c>
      <c r="M628" s="26">
        <f>SUMIFS(INDEX(元データ_加工!$C$2:$P$700,0,MATCH($B628,元データ_加工!$C$1:$P$1,0)),元データ_加工!$A$2:$A$700,$A628,元データ_加工!$B$2:$B$700,M$5)</f>
        <v>572</v>
      </c>
      <c r="N628" s="26">
        <f>SUMIFS(INDEX(元データ_加工!$C$2:$P$700,0,MATCH($B628,元データ_加工!$C$1:$P$1,0)),元データ_加工!$A$2:$A$700,$A628,元データ_加工!$B$2:$B$700,N$5)</f>
        <v>451</v>
      </c>
      <c r="O628" s="26">
        <f t="shared" si="9"/>
        <v>5156</v>
      </c>
      <c r="P628" s="7">
        <f>IFERROR(O628/SUMIFS(元データ_加工!$C$2:$C$700,元データ_加工!$A$2:$A$700,$A628),"")</f>
        <v>0.23749424228466146</v>
      </c>
    </row>
    <row r="629" spans="1:16" x14ac:dyDescent="0.45">
      <c r="A629" t="s">
        <v>79</v>
      </c>
      <c r="B629" t="s">
        <v>107</v>
      </c>
      <c r="C629" s="26">
        <f>SUMIFS(INDEX(元データ_加工!$C$2:$P$700,0,MATCH($B629,元データ_加工!$C$1:$P$1,0)),元データ_加工!$A$2:$A$700,$A629,元データ_加工!$B$2:$B$700,C$5)</f>
        <v>33</v>
      </c>
      <c r="D629" s="26">
        <f>SUMIFS(INDEX(元データ_加工!$C$2:$P$700,0,MATCH($B629,元データ_加工!$C$1:$P$1,0)),元データ_加工!$A$2:$A$700,$A629,元データ_加工!$B$2:$B$700,D$5)</f>
        <v>55</v>
      </c>
      <c r="E629" s="26">
        <f>SUMIFS(INDEX(元データ_加工!$C$2:$P$700,0,MATCH($B629,元データ_加工!$C$1:$P$1,0)),元データ_加工!$A$2:$A$700,$A629,元データ_加工!$B$2:$B$700,E$5)</f>
        <v>123</v>
      </c>
      <c r="F629" s="26">
        <f>SUMIFS(INDEX(元データ_加工!$C$2:$P$700,0,MATCH($B629,元データ_加工!$C$1:$P$1,0)),元データ_加工!$A$2:$A$700,$A629,元データ_加工!$B$2:$B$700,F$5)</f>
        <v>58</v>
      </c>
      <c r="G629" s="26">
        <f>SUMIFS(INDEX(元データ_加工!$C$2:$P$700,0,MATCH($B629,元データ_加工!$C$1:$P$1,0)),元データ_加工!$A$2:$A$700,$A629,元データ_加工!$B$2:$B$700,G$5)</f>
        <v>26</v>
      </c>
      <c r="H629" s="26">
        <f>SUMIFS(INDEX(元データ_加工!$C$2:$P$700,0,MATCH($B629,元データ_加工!$C$1:$P$1,0)),元データ_加工!$A$2:$A$700,$A629,元データ_加工!$B$2:$B$700,H$5)</f>
        <v>25</v>
      </c>
      <c r="I629" s="26">
        <f>SUMIFS(INDEX(元データ_加工!$C$2:$P$700,0,MATCH($B629,元データ_加工!$C$1:$P$1,0)),元データ_加工!$A$2:$A$700,$A629,元データ_加工!$B$2:$B$700,I$5)</f>
        <v>15</v>
      </c>
      <c r="J629" s="26">
        <f>SUMIFS(INDEX(元データ_加工!$C$2:$P$700,0,MATCH($B629,元データ_加工!$C$1:$P$1,0)),元データ_加工!$A$2:$A$700,$A629,元データ_加工!$B$2:$B$700,J$5)</f>
        <v>28</v>
      </c>
      <c r="K629" s="26">
        <f>SUMIFS(INDEX(元データ_加工!$C$2:$P$700,0,MATCH($B629,元データ_加工!$C$1:$P$1,0)),元データ_加工!$A$2:$A$700,$A629,元データ_加工!$B$2:$B$700,K$5)</f>
        <v>37</v>
      </c>
      <c r="L629" s="26">
        <f>SUMIFS(INDEX(元データ_加工!$C$2:$P$700,0,MATCH($B629,元データ_加工!$C$1:$P$1,0)),元データ_加工!$A$2:$A$700,$A629,元データ_加工!$B$2:$B$700,L$5)</f>
        <v>18</v>
      </c>
      <c r="M629" s="26">
        <f>SUMIFS(INDEX(元データ_加工!$C$2:$P$700,0,MATCH($B629,元データ_加工!$C$1:$P$1,0)),元データ_加工!$A$2:$A$700,$A629,元データ_加工!$B$2:$B$700,M$5)</f>
        <v>21</v>
      </c>
      <c r="N629" s="26">
        <f>SUMIFS(INDEX(元データ_加工!$C$2:$P$700,0,MATCH($B629,元データ_加工!$C$1:$P$1,0)),元データ_加工!$A$2:$A$700,$A629,元データ_加工!$B$2:$B$700,N$5)</f>
        <v>55</v>
      </c>
      <c r="O629" s="26">
        <f t="shared" si="9"/>
        <v>494</v>
      </c>
      <c r="P629" s="7">
        <f>IFERROR(O629/SUMIFS(元データ_加工!$C$2:$C$700,元データ_加工!$A$2:$A$700,$A629),"")</f>
        <v>2.2754491017964073E-2</v>
      </c>
    </row>
    <row r="630" spans="1:16" x14ac:dyDescent="0.45">
      <c r="A630" t="s">
        <v>79</v>
      </c>
      <c r="B630" t="s">
        <v>108</v>
      </c>
      <c r="C630" s="26">
        <f>SUMIFS(INDEX(元データ_加工!$C$2:$P$700,0,MATCH($B630,元データ_加工!$C$1:$P$1,0)),元データ_加工!$A$2:$A$700,$A630,元データ_加工!$B$2:$B$700,C$5)</f>
        <v>17</v>
      </c>
      <c r="D630" s="26">
        <f>SUMIFS(INDEX(元データ_加工!$C$2:$P$700,0,MATCH($B630,元データ_加工!$C$1:$P$1,0)),元データ_加工!$A$2:$A$700,$A630,元データ_加工!$B$2:$B$700,D$5)</f>
        <v>51</v>
      </c>
      <c r="E630" s="26">
        <f>SUMIFS(INDEX(元データ_加工!$C$2:$P$700,0,MATCH($B630,元データ_加工!$C$1:$P$1,0)),元データ_加工!$A$2:$A$700,$A630,元データ_加工!$B$2:$B$700,E$5)</f>
        <v>22</v>
      </c>
      <c r="F630" s="26">
        <f>SUMIFS(INDEX(元データ_加工!$C$2:$P$700,0,MATCH($B630,元データ_加工!$C$1:$P$1,0)),元データ_加工!$A$2:$A$700,$A630,元データ_加工!$B$2:$B$700,F$5)</f>
        <v>34</v>
      </c>
      <c r="G630" s="26">
        <f>SUMIFS(INDEX(元データ_加工!$C$2:$P$700,0,MATCH($B630,元データ_加工!$C$1:$P$1,0)),元データ_加工!$A$2:$A$700,$A630,元データ_加工!$B$2:$B$700,G$5)</f>
        <v>18</v>
      </c>
      <c r="H630" s="26">
        <f>SUMIFS(INDEX(元データ_加工!$C$2:$P$700,0,MATCH($B630,元データ_加工!$C$1:$P$1,0)),元データ_加工!$A$2:$A$700,$A630,元データ_加工!$B$2:$B$700,H$5)</f>
        <v>16</v>
      </c>
      <c r="I630" s="26">
        <f>SUMIFS(INDEX(元データ_加工!$C$2:$P$700,0,MATCH($B630,元データ_加工!$C$1:$P$1,0)),元データ_加工!$A$2:$A$700,$A630,元データ_加工!$B$2:$B$700,I$5)</f>
        <v>24</v>
      </c>
      <c r="J630" s="26">
        <f>SUMIFS(INDEX(元データ_加工!$C$2:$P$700,0,MATCH($B630,元データ_加工!$C$1:$P$1,0)),元データ_加工!$A$2:$A$700,$A630,元データ_加工!$B$2:$B$700,J$5)</f>
        <v>13</v>
      </c>
      <c r="K630" s="26">
        <f>SUMIFS(INDEX(元データ_加工!$C$2:$P$700,0,MATCH($B630,元データ_加工!$C$1:$P$1,0)),元データ_加工!$A$2:$A$700,$A630,元データ_加工!$B$2:$B$700,K$5)</f>
        <v>20</v>
      </c>
      <c r="L630" s="26">
        <f>SUMIFS(INDEX(元データ_加工!$C$2:$P$700,0,MATCH($B630,元データ_加工!$C$1:$P$1,0)),元データ_加工!$A$2:$A$700,$A630,元データ_加工!$B$2:$B$700,L$5)</f>
        <v>8</v>
      </c>
      <c r="M630" s="26">
        <f>SUMIFS(INDEX(元データ_加工!$C$2:$P$700,0,MATCH($B630,元データ_加工!$C$1:$P$1,0)),元データ_加工!$A$2:$A$700,$A630,元データ_加工!$B$2:$B$700,M$5)</f>
        <v>16</v>
      </c>
      <c r="N630" s="26">
        <f>SUMIFS(INDEX(元データ_加工!$C$2:$P$700,0,MATCH($B630,元データ_加工!$C$1:$P$1,0)),元データ_加工!$A$2:$A$700,$A630,元データ_加工!$B$2:$B$700,N$5)</f>
        <v>28</v>
      </c>
      <c r="O630" s="26">
        <f t="shared" si="9"/>
        <v>267</v>
      </c>
      <c r="P630" s="7">
        <f>IFERROR(O630/SUMIFS(元データ_加工!$C$2:$C$700,元データ_加工!$A$2:$A$700,$A630),"")</f>
        <v>1.2298479963150621E-2</v>
      </c>
    </row>
    <row r="631" spans="1:16" x14ac:dyDescent="0.45">
      <c r="A631" t="s">
        <v>79</v>
      </c>
      <c r="B631" t="s">
        <v>109</v>
      </c>
      <c r="C631" s="26">
        <f>SUMIFS(INDEX(元データ_加工!$C$2:$P$700,0,MATCH($B631,元データ_加工!$C$1:$P$1,0)),元データ_加工!$A$2:$A$700,$A631,元データ_加工!$B$2:$B$700,C$5)</f>
        <v>22</v>
      </c>
      <c r="D631" s="26">
        <f>SUMIFS(INDEX(元データ_加工!$C$2:$P$700,0,MATCH($B631,元データ_加工!$C$1:$P$1,0)),元データ_加工!$A$2:$A$700,$A631,元データ_加工!$B$2:$B$700,D$5)</f>
        <v>24</v>
      </c>
      <c r="E631" s="26">
        <f>SUMIFS(INDEX(元データ_加工!$C$2:$P$700,0,MATCH($B631,元データ_加工!$C$1:$P$1,0)),元データ_加工!$A$2:$A$700,$A631,元データ_加工!$B$2:$B$700,E$5)</f>
        <v>30</v>
      </c>
      <c r="F631" s="26">
        <f>SUMIFS(INDEX(元データ_加工!$C$2:$P$700,0,MATCH($B631,元データ_加工!$C$1:$P$1,0)),元データ_加工!$A$2:$A$700,$A631,元データ_加工!$B$2:$B$700,F$5)</f>
        <v>33</v>
      </c>
      <c r="G631" s="26">
        <f>SUMIFS(INDEX(元データ_加工!$C$2:$P$700,0,MATCH($B631,元データ_加工!$C$1:$P$1,0)),元データ_加工!$A$2:$A$700,$A631,元データ_加工!$B$2:$B$700,G$5)</f>
        <v>50</v>
      </c>
      <c r="H631" s="26">
        <f>SUMIFS(INDEX(元データ_加工!$C$2:$P$700,0,MATCH($B631,元データ_加工!$C$1:$P$1,0)),元データ_加工!$A$2:$A$700,$A631,元データ_加工!$B$2:$B$700,H$5)</f>
        <v>26</v>
      </c>
      <c r="I631" s="26">
        <f>SUMIFS(INDEX(元データ_加工!$C$2:$P$700,0,MATCH($B631,元データ_加工!$C$1:$P$1,0)),元データ_加工!$A$2:$A$700,$A631,元データ_加工!$B$2:$B$700,I$5)</f>
        <v>34</v>
      </c>
      <c r="J631" s="26">
        <f>SUMIFS(INDEX(元データ_加工!$C$2:$P$700,0,MATCH($B631,元データ_加工!$C$1:$P$1,0)),元データ_加工!$A$2:$A$700,$A631,元データ_加工!$B$2:$B$700,J$5)</f>
        <v>44</v>
      </c>
      <c r="K631" s="26">
        <f>SUMIFS(INDEX(元データ_加工!$C$2:$P$700,0,MATCH($B631,元データ_加工!$C$1:$P$1,0)),元データ_加工!$A$2:$A$700,$A631,元データ_加工!$B$2:$B$700,K$5)</f>
        <v>45</v>
      </c>
      <c r="L631" s="26">
        <f>SUMIFS(INDEX(元データ_加工!$C$2:$P$700,0,MATCH($B631,元データ_加工!$C$1:$P$1,0)),元データ_加工!$A$2:$A$700,$A631,元データ_加工!$B$2:$B$700,L$5)</f>
        <v>27</v>
      </c>
      <c r="M631" s="26">
        <f>SUMIFS(INDEX(元データ_加工!$C$2:$P$700,0,MATCH($B631,元データ_加工!$C$1:$P$1,0)),元データ_加工!$A$2:$A$700,$A631,元データ_加工!$B$2:$B$700,M$5)</f>
        <v>30</v>
      </c>
      <c r="N631" s="26">
        <f>SUMIFS(INDEX(元データ_加工!$C$2:$P$700,0,MATCH($B631,元データ_加工!$C$1:$P$1,0)),元データ_加工!$A$2:$A$700,$A631,元データ_加工!$B$2:$B$700,N$5)</f>
        <v>28</v>
      </c>
      <c r="O631" s="26">
        <f t="shared" si="9"/>
        <v>393</v>
      </c>
      <c r="P631" s="7">
        <f>IFERROR(O631/SUMIFS(元データ_加工!$C$2:$C$700,元データ_加工!$A$2:$A$700,$A631),"")</f>
        <v>1.8102257024412712E-2</v>
      </c>
    </row>
    <row r="632" spans="1:16" x14ac:dyDescent="0.45">
      <c r="A632" t="s">
        <v>79</v>
      </c>
      <c r="B632" t="s">
        <v>110</v>
      </c>
      <c r="C632" s="26">
        <f>SUMIFS(INDEX(元データ_加工!$C$2:$P$700,0,MATCH($B632,元データ_加工!$C$1:$P$1,0)),元データ_加工!$A$2:$A$700,$A632,元データ_加工!$B$2:$B$700,C$5)</f>
        <v>0</v>
      </c>
      <c r="D632" s="26">
        <f>SUMIFS(INDEX(元データ_加工!$C$2:$P$700,0,MATCH($B632,元データ_加工!$C$1:$P$1,0)),元データ_加工!$A$2:$A$700,$A632,元データ_加工!$B$2:$B$700,D$5)</f>
        <v>0</v>
      </c>
      <c r="E632" s="26">
        <f>SUMIFS(INDEX(元データ_加工!$C$2:$P$700,0,MATCH($B632,元データ_加工!$C$1:$P$1,0)),元データ_加工!$A$2:$A$700,$A632,元データ_加工!$B$2:$B$700,E$5)</f>
        <v>0</v>
      </c>
      <c r="F632" s="26">
        <f>SUMIFS(INDEX(元データ_加工!$C$2:$P$700,0,MATCH($B632,元データ_加工!$C$1:$P$1,0)),元データ_加工!$A$2:$A$700,$A632,元データ_加工!$B$2:$B$700,F$5)</f>
        <v>0</v>
      </c>
      <c r="G632" s="26">
        <f>SUMIFS(INDEX(元データ_加工!$C$2:$P$700,0,MATCH($B632,元データ_加工!$C$1:$P$1,0)),元データ_加工!$A$2:$A$700,$A632,元データ_加工!$B$2:$B$700,G$5)</f>
        <v>0</v>
      </c>
      <c r="H632" s="26">
        <f>SUMIFS(INDEX(元データ_加工!$C$2:$P$700,0,MATCH($B632,元データ_加工!$C$1:$P$1,0)),元データ_加工!$A$2:$A$700,$A632,元データ_加工!$B$2:$B$700,H$5)</f>
        <v>0</v>
      </c>
      <c r="I632" s="26">
        <f>SUMIFS(INDEX(元データ_加工!$C$2:$P$700,0,MATCH($B632,元データ_加工!$C$1:$P$1,0)),元データ_加工!$A$2:$A$700,$A632,元データ_加工!$B$2:$B$700,I$5)</f>
        <v>1</v>
      </c>
      <c r="J632" s="26">
        <f>SUMIFS(INDEX(元データ_加工!$C$2:$P$700,0,MATCH($B632,元データ_加工!$C$1:$P$1,0)),元データ_加工!$A$2:$A$700,$A632,元データ_加工!$B$2:$B$700,J$5)</f>
        <v>0</v>
      </c>
      <c r="K632" s="26">
        <f>SUMIFS(INDEX(元データ_加工!$C$2:$P$700,0,MATCH($B632,元データ_加工!$C$1:$P$1,0)),元データ_加工!$A$2:$A$700,$A632,元データ_加工!$B$2:$B$700,K$5)</f>
        <v>0</v>
      </c>
      <c r="L632" s="26">
        <f>SUMIFS(INDEX(元データ_加工!$C$2:$P$700,0,MATCH($B632,元データ_加工!$C$1:$P$1,0)),元データ_加工!$A$2:$A$700,$A632,元データ_加工!$B$2:$B$700,L$5)</f>
        <v>0</v>
      </c>
      <c r="M632" s="26">
        <f>SUMIFS(INDEX(元データ_加工!$C$2:$P$700,0,MATCH($B632,元データ_加工!$C$1:$P$1,0)),元データ_加工!$A$2:$A$700,$A632,元データ_加工!$B$2:$B$700,M$5)</f>
        <v>0</v>
      </c>
      <c r="N632" s="26">
        <f>SUMIFS(INDEX(元データ_加工!$C$2:$P$700,0,MATCH($B632,元データ_加工!$C$1:$P$1,0)),元データ_加工!$A$2:$A$700,$A632,元データ_加工!$B$2:$B$700,N$5)</f>
        <v>0</v>
      </c>
      <c r="O632" s="26">
        <f t="shared" si="9"/>
        <v>1</v>
      </c>
      <c r="P632" s="7">
        <f>IFERROR(O632/SUMIFS(元データ_加工!$C$2:$C$700,元データ_加工!$A$2:$A$700,$A632),"")</f>
        <v>4.6061722708429294E-5</v>
      </c>
    </row>
    <row r="633" spans="1:16" x14ac:dyDescent="0.45">
      <c r="A633" t="s">
        <v>79</v>
      </c>
      <c r="B633" t="s">
        <v>111</v>
      </c>
      <c r="C633" s="26">
        <f>SUMIFS(INDEX(元データ_加工!$C$2:$P$700,0,MATCH($B633,元データ_加工!$C$1:$P$1,0)),元データ_加工!$A$2:$A$700,$A633,元データ_加工!$B$2:$B$700,C$5)</f>
        <v>0</v>
      </c>
      <c r="D633" s="26">
        <f>SUMIFS(INDEX(元データ_加工!$C$2:$P$700,0,MATCH($B633,元データ_加工!$C$1:$P$1,0)),元データ_加工!$A$2:$A$700,$A633,元データ_加工!$B$2:$B$700,D$5)</f>
        <v>0</v>
      </c>
      <c r="E633" s="26">
        <f>SUMIFS(INDEX(元データ_加工!$C$2:$P$700,0,MATCH($B633,元データ_加工!$C$1:$P$1,0)),元データ_加工!$A$2:$A$700,$A633,元データ_加工!$B$2:$B$700,E$5)</f>
        <v>4</v>
      </c>
      <c r="F633" s="26">
        <f>SUMIFS(INDEX(元データ_加工!$C$2:$P$700,0,MATCH($B633,元データ_加工!$C$1:$P$1,0)),元データ_加工!$A$2:$A$700,$A633,元データ_加工!$B$2:$B$700,F$5)</f>
        <v>1</v>
      </c>
      <c r="G633" s="26">
        <f>SUMIFS(INDEX(元データ_加工!$C$2:$P$700,0,MATCH($B633,元データ_加工!$C$1:$P$1,0)),元データ_加工!$A$2:$A$700,$A633,元データ_加工!$B$2:$B$700,G$5)</f>
        <v>0</v>
      </c>
      <c r="H633" s="26">
        <f>SUMIFS(INDEX(元データ_加工!$C$2:$P$700,0,MATCH($B633,元データ_加工!$C$1:$P$1,0)),元データ_加工!$A$2:$A$700,$A633,元データ_加工!$B$2:$B$700,H$5)</f>
        <v>0</v>
      </c>
      <c r="I633" s="26">
        <f>SUMIFS(INDEX(元データ_加工!$C$2:$P$700,0,MATCH($B633,元データ_加工!$C$1:$P$1,0)),元データ_加工!$A$2:$A$700,$A633,元データ_加工!$B$2:$B$700,I$5)</f>
        <v>0</v>
      </c>
      <c r="J633" s="26">
        <f>SUMIFS(INDEX(元データ_加工!$C$2:$P$700,0,MATCH($B633,元データ_加工!$C$1:$P$1,0)),元データ_加工!$A$2:$A$700,$A633,元データ_加工!$B$2:$B$700,J$5)</f>
        <v>2</v>
      </c>
      <c r="K633" s="26">
        <f>SUMIFS(INDEX(元データ_加工!$C$2:$P$700,0,MATCH($B633,元データ_加工!$C$1:$P$1,0)),元データ_加工!$A$2:$A$700,$A633,元データ_加工!$B$2:$B$700,K$5)</f>
        <v>12</v>
      </c>
      <c r="L633" s="26">
        <f>SUMIFS(INDEX(元データ_加工!$C$2:$P$700,0,MATCH($B633,元データ_加工!$C$1:$P$1,0)),元データ_加工!$A$2:$A$700,$A633,元データ_加工!$B$2:$B$700,L$5)</f>
        <v>31</v>
      </c>
      <c r="M633" s="26">
        <f>SUMIFS(INDEX(元データ_加工!$C$2:$P$700,0,MATCH($B633,元データ_加工!$C$1:$P$1,0)),元データ_加工!$A$2:$A$700,$A633,元データ_加工!$B$2:$B$700,M$5)</f>
        <v>33</v>
      </c>
      <c r="N633" s="26">
        <f>SUMIFS(INDEX(元データ_加工!$C$2:$P$700,0,MATCH($B633,元データ_加工!$C$1:$P$1,0)),元データ_加工!$A$2:$A$700,$A633,元データ_加工!$B$2:$B$700,N$5)</f>
        <v>14</v>
      </c>
      <c r="O633" s="26">
        <f t="shared" si="9"/>
        <v>97</v>
      </c>
      <c r="P633" s="7">
        <f>IFERROR(O633/SUMIFS(元データ_加工!$C$2:$C$700,元データ_加工!$A$2:$A$700,$A633),"")</f>
        <v>4.4679871027176413E-3</v>
      </c>
    </row>
    <row r="634" spans="1:16" x14ac:dyDescent="0.45">
      <c r="A634" t="s">
        <v>79</v>
      </c>
      <c r="B634" t="s">
        <v>112</v>
      </c>
      <c r="C634" s="26">
        <f>SUMIFS(INDEX(元データ_加工!$C$2:$P$700,0,MATCH($B634,元データ_加工!$C$1:$P$1,0)),元データ_加工!$A$2:$A$700,$A634,元データ_加工!$B$2:$B$700,C$5)</f>
        <v>0</v>
      </c>
      <c r="D634" s="26">
        <f>SUMIFS(INDEX(元データ_加工!$C$2:$P$700,0,MATCH($B634,元データ_加工!$C$1:$P$1,0)),元データ_加工!$A$2:$A$700,$A634,元データ_加工!$B$2:$B$700,D$5)</f>
        <v>0</v>
      </c>
      <c r="E634" s="26">
        <f>SUMIFS(INDEX(元データ_加工!$C$2:$P$700,0,MATCH($B634,元データ_加工!$C$1:$P$1,0)),元データ_加工!$A$2:$A$700,$A634,元データ_加工!$B$2:$B$700,E$5)</f>
        <v>0</v>
      </c>
      <c r="F634" s="26">
        <f>SUMIFS(INDEX(元データ_加工!$C$2:$P$700,0,MATCH($B634,元データ_加工!$C$1:$P$1,0)),元データ_加工!$A$2:$A$700,$A634,元データ_加工!$B$2:$B$700,F$5)</f>
        <v>3</v>
      </c>
      <c r="G634" s="26">
        <f>SUMIFS(INDEX(元データ_加工!$C$2:$P$700,0,MATCH($B634,元データ_加工!$C$1:$P$1,0)),元データ_加工!$A$2:$A$700,$A634,元データ_加工!$B$2:$B$700,G$5)</f>
        <v>0</v>
      </c>
      <c r="H634" s="26">
        <f>SUMIFS(INDEX(元データ_加工!$C$2:$P$700,0,MATCH($B634,元データ_加工!$C$1:$P$1,0)),元データ_加工!$A$2:$A$700,$A634,元データ_加工!$B$2:$B$700,H$5)</f>
        <v>2</v>
      </c>
      <c r="I634" s="26">
        <f>SUMIFS(INDEX(元データ_加工!$C$2:$P$700,0,MATCH($B634,元データ_加工!$C$1:$P$1,0)),元データ_加工!$A$2:$A$700,$A634,元データ_加工!$B$2:$B$700,I$5)</f>
        <v>0</v>
      </c>
      <c r="J634" s="26">
        <f>SUMIFS(INDEX(元データ_加工!$C$2:$P$700,0,MATCH($B634,元データ_加工!$C$1:$P$1,0)),元データ_加工!$A$2:$A$700,$A634,元データ_加工!$B$2:$B$700,J$5)</f>
        <v>0</v>
      </c>
      <c r="K634" s="26">
        <f>SUMIFS(INDEX(元データ_加工!$C$2:$P$700,0,MATCH($B634,元データ_加工!$C$1:$P$1,0)),元データ_加工!$A$2:$A$700,$A634,元データ_加工!$B$2:$B$700,K$5)</f>
        <v>0</v>
      </c>
      <c r="L634" s="26">
        <f>SUMIFS(INDEX(元データ_加工!$C$2:$P$700,0,MATCH($B634,元データ_加工!$C$1:$P$1,0)),元データ_加工!$A$2:$A$700,$A634,元データ_加工!$B$2:$B$700,L$5)</f>
        <v>0</v>
      </c>
      <c r="M634" s="26">
        <f>SUMIFS(INDEX(元データ_加工!$C$2:$P$700,0,MATCH($B634,元データ_加工!$C$1:$P$1,0)),元データ_加工!$A$2:$A$700,$A634,元データ_加工!$B$2:$B$700,M$5)</f>
        <v>0</v>
      </c>
      <c r="N634" s="26">
        <f>SUMIFS(INDEX(元データ_加工!$C$2:$P$700,0,MATCH($B634,元データ_加工!$C$1:$P$1,0)),元データ_加工!$A$2:$A$700,$A634,元データ_加工!$B$2:$B$700,N$5)</f>
        <v>0</v>
      </c>
      <c r="O634" s="26">
        <f t="shared" si="9"/>
        <v>5</v>
      </c>
      <c r="P634" s="7">
        <f>IFERROR(O634/SUMIFS(元データ_加工!$C$2:$C$700,元データ_加工!$A$2:$A$700,$A634),"")</f>
        <v>2.3030861354214648E-4</v>
      </c>
    </row>
    <row r="635" spans="1:16" x14ac:dyDescent="0.45">
      <c r="A635" t="s">
        <v>79</v>
      </c>
      <c r="B635" t="s">
        <v>113</v>
      </c>
      <c r="C635" s="26">
        <f>SUMIFS(INDEX(元データ_加工!$C$2:$P$700,0,MATCH($B635,元データ_加工!$C$1:$P$1,0)),元データ_加工!$A$2:$A$700,$A635,元データ_加工!$B$2:$B$700,C$5)</f>
        <v>1</v>
      </c>
      <c r="D635" s="26">
        <f>SUMIFS(INDEX(元データ_加工!$C$2:$P$700,0,MATCH($B635,元データ_加工!$C$1:$P$1,0)),元データ_加工!$A$2:$A$700,$A635,元データ_加工!$B$2:$B$700,D$5)</f>
        <v>0</v>
      </c>
      <c r="E635" s="26">
        <f>SUMIFS(INDEX(元データ_加工!$C$2:$P$700,0,MATCH($B635,元データ_加工!$C$1:$P$1,0)),元データ_加工!$A$2:$A$700,$A635,元データ_加工!$B$2:$B$700,E$5)</f>
        <v>0</v>
      </c>
      <c r="F635" s="26">
        <f>SUMIFS(INDEX(元データ_加工!$C$2:$P$700,0,MATCH($B635,元データ_加工!$C$1:$P$1,0)),元データ_加工!$A$2:$A$700,$A635,元データ_加工!$B$2:$B$700,F$5)</f>
        <v>10</v>
      </c>
      <c r="G635" s="26">
        <f>SUMIFS(INDEX(元データ_加工!$C$2:$P$700,0,MATCH($B635,元データ_加工!$C$1:$P$1,0)),元データ_加工!$A$2:$A$700,$A635,元データ_加工!$B$2:$B$700,G$5)</f>
        <v>11</v>
      </c>
      <c r="H635" s="26">
        <f>SUMIFS(INDEX(元データ_加工!$C$2:$P$700,0,MATCH($B635,元データ_加工!$C$1:$P$1,0)),元データ_加工!$A$2:$A$700,$A635,元データ_加工!$B$2:$B$700,H$5)</f>
        <v>5</v>
      </c>
      <c r="I635" s="26">
        <f>SUMIFS(INDEX(元データ_加工!$C$2:$P$700,0,MATCH($B635,元データ_加工!$C$1:$P$1,0)),元データ_加工!$A$2:$A$700,$A635,元データ_加工!$B$2:$B$700,I$5)</f>
        <v>2</v>
      </c>
      <c r="J635" s="26">
        <f>SUMIFS(INDEX(元データ_加工!$C$2:$P$700,0,MATCH($B635,元データ_加工!$C$1:$P$1,0)),元データ_加工!$A$2:$A$700,$A635,元データ_加工!$B$2:$B$700,J$5)</f>
        <v>3</v>
      </c>
      <c r="K635" s="26">
        <f>SUMIFS(INDEX(元データ_加工!$C$2:$P$700,0,MATCH($B635,元データ_加工!$C$1:$P$1,0)),元データ_加工!$A$2:$A$700,$A635,元データ_加工!$B$2:$B$700,K$5)</f>
        <v>3</v>
      </c>
      <c r="L635" s="26">
        <f>SUMIFS(INDEX(元データ_加工!$C$2:$P$700,0,MATCH($B635,元データ_加工!$C$1:$P$1,0)),元データ_加工!$A$2:$A$700,$A635,元データ_加工!$B$2:$B$700,L$5)</f>
        <v>3</v>
      </c>
      <c r="M635" s="26">
        <f>SUMIFS(INDEX(元データ_加工!$C$2:$P$700,0,MATCH($B635,元データ_加工!$C$1:$P$1,0)),元データ_加工!$A$2:$A$700,$A635,元データ_加工!$B$2:$B$700,M$5)</f>
        <v>4</v>
      </c>
      <c r="N635" s="26">
        <f>SUMIFS(INDEX(元データ_加工!$C$2:$P$700,0,MATCH($B635,元データ_加工!$C$1:$P$1,0)),元データ_加工!$A$2:$A$700,$A635,元データ_加工!$B$2:$B$700,N$5)</f>
        <v>8</v>
      </c>
      <c r="O635" s="26">
        <f t="shared" si="9"/>
        <v>50</v>
      </c>
      <c r="P635" s="7">
        <f>IFERROR(O635/SUMIFS(元データ_加工!$C$2:$C$700,元データ_加工!$A$2:$A$700,$A635),"")</f>
        <v>2.3030861354214646E-3</v>
      </c>
    </row>
    <row r="636" spans="1:16" x14ac:dyDescent="0.45">
      <c r="A636" t="s">
        <v>80</v>
      </c>
      <c r="B636" t="s">
        <v>100</v>
      </c>
      <c r="C636" s="26">
        <f>SUMIFS(INDEX(元データ_加工!$C$2:$P$700,0,MATCH($B636,元データ_加工!$C$1:$P$1,0)),元データ_加工!$A$2:$A$700,$A636,元データ_加工!$B$2:$B$700,C$5)</f>
        <v>742</v>
      </c>
      <c r="D636" s="26">
        <f>SUMIFS(INDEX(元データ_加工!$C$2:$P$700,0,MATCH($B636,元データ_加工!$C$1:$P$1,0)),元データ_加工!$A$2:$A$700,$A636,元データ_加工!$B$2:$B$700,D$5)</f>
        <v>1162</v>
      </c>
      <c r="E636" s="26">
        <f>SUMIFS(INDEX(元データ_加工!$C$2:$P$700,0,MATCH($B636,元データ_加工!$C$1:$P$1,0)),元データ_加工!$A$2:$A$700,$A636,元データ_加工!$B$2:$B$700,E$5)</f>
        <v>1296</v>
      </c>
      <c r="F636" s="26">
        <f>SUMIFS(INDEX(元データ_加工!$C$2:$P$700,0,MATCH($B636,元データ_加工!$C$1:$P$1,0)),元データ_加工!$A$2:$A$700,$A636,元データ_加工!$B$2:$B$700,F$5)</f>
        <v>1181</v>
      </c>
      <c r="G636" s="26">
        <f>SUMIFS(INDEX(元データ_加工!$C$2:$P$700,0,MATCH($B636,元データ_加工!$C$1:$P$1,0)),元データ_加工!$A$2:$A$700,$A636,元データ_加工!$B$2:$B$700,G$5)</f>
        <v>971</v>
      </c>
      <c r="H636" s="26">
        <f>SUMIFS(INDEX(元データ_加工!$C$2:$P$700,0,MATCH($B636,元データ_加工!$C$1:$P$1,0)),元データ_加工!$A$2:$A$700,$A636,元データ_加工!$B$2:$B$700,H$5)</f>
        <v>963</v>
      </c>
      <c r="I636" s="26">
        <f>SUMIFS(INDEX(元データ_加工!$C$2:$P$700,0,MATCH($B636,元データ_加工!$C$1:$P$1,0)),元データ_加工!$A$2:$A$700,$A636,元データ_加工!$B$2:$B$700,I$5)</f>
        <v>610</v>
      </c>
      <c r="J636" s="26">
        <f>SUMIFS(INDEX(元データ_加工!$C$2:$P$700,0,MATCH($B636,元データ_加工!$C$1:$P$1,0)),元データ_加工!$A$2:$A$700,$A636,元データ_加工!$B$2:$B$700,J$5)</f>
        <v>1322</v>
      </c>
      <c r="K636" s="26">
        <f>SUMIFS(INDEX(元データ_加工!$C$2:$P$700,0,MATCH($B636,元データ_加工!$C$1:$P$1,0)),元データ_加工!$A$2:$A$700,$A636,元データ_加工!$B$2:$B$700,K$5)</f>
        <v>2079</v>
      </c>
      <c r="L636" s="26">
        <f>SUMIFS(INDEX(元データ_加工!$C$2:$P$700,0,MATCH($B636,元データ_加工!$C$1:$P$1,0)),元データ_加工!$A$2:$A$700,$A636,元データ_加工!$B$2:$B$700,L$5)</f>
        <v>1421</v>
      </c>
      <c r="M636" s="26">
        <f>SUMIFS(INDEX(元データ_加工!$C$2:$P$700,0,MATCH($B636,元データ_加工!$C$1:$P$1,0)),元データ_加工!$A$2:$A$700,$A636,元データ_加工!$B$2:$B$700,M$5)</f>
        <v>1244</v>
      </c>
      <c r="N636" s="26">
        <f>SUMIFS(INDEX(元データ_加工!$C$2:$P$700,0,MATCH($B636,元データ_加工!$C$1:$P$1,0)),元データ_加工!$A$2:$A$700,$A636,元データ_加工!$B$2:$B$700,N$5)</f>
        <v>1446</v>
      </c>
      <c r="O636" s="26">
        <f t="shared" si="9"/>
        <v>14437</v>
      </c>
      <c r="P636" s="7">
        <f>IFERROR(O636/SUMIFS(元データ_加工!$C$2:$C$700,元データ_加工!$A$2:$A$700,$A636),"")</f>
        <v>1</v>
      </c>
    </row>
    <row r="637" spans="1:16" x14ac:dyDescent="0.45">
      <c r="A637" t="s">
        <v>80</v>
      </c>
      <c r="B637" t="s">
        <v>101</v>
      </c>
      <c r="C637" s="26">
        <f>SUMIFS(INDEX(元データ_加工!$C$2:$P$700,0,MATCH($B637,元データ_加工!$C$1:$P$1,0)),元データ_加工!$A$2:$A$700,$A637,元データ_加工!$B$2:$B$700,C$5)</f>
        <v>223</v>
      </c>
      <c r="D637" s="26">
        <f>SUMIFS(INDEX(元データ_加工!$C$2:$P$700,0,MATCH($B637,元データ_加工!$C$1:$P$1,0)),元データ_加工!$A$2:$A$700,$A637,元データ_加工!$B$2:$B$700,D$5)</f>
        <v>299</v>
      </c>
      <c r="E637" s="26">
        <f>SUMIFS(INDEX(元データ_加工!$C$2:$P$700,0,MATCH($B637,元データ_加工!$C$1:$P$1,0)),元データ_加工!$A$2:$A$700,$A637,元データ_加工!$B$2:$B$700,E$5)</f>
        <v>379</v>
      </c>
      <c r="F637" s="26">
        <f>SUMIFS(INDEX(元データ_加工!$C$2:$P$700,0,MATCH($B637,元データ_加工!$C$1:$P$1,0)),元データ_加工!$A$2:$A$700,$A637,元データ_加工!$B$2:$B$700,F$5)</f>
        <v>340</v>
      </c>
      <c r="G637" s="26">
        <f>SUMIFS(INDEX(元データ_加工!$C$2:$P$700,0,MATCH($B637,元データ_加工!$C$1:$P$1,0)),元データ_加工!$A$2:$A$700,$A637,元データ_加工!$B$2:$B$700,G$5)</f>
        <v>292</v>
      </c>
      <c r="H637" s="26">
        <f>SUMIFS(INDEX(元データ_加工!$C$2:$P$700,0,MATCH($B637,元データ_加工!$C$1:$P$1,0)),元データ_加工!$A$2:$A$700,$A637,元データ_加工!$B$2:$B$700,H$5)</f>
        <v>250</v>
      </c>
      <c r="I637" s="26">
        <f>SUMIFS(INDEX(元データ_加工!$C$2:$P$700,0,MATCH($B637,元データ_加工!$C$1:$P$1,0)),元データ_加工!$A$2:$A$700,$A637,元データ_加工!$B$2:$B$700,I$5)</f>
        <v>217</v>
      </c>
      <c r="J637" s="26">
        <f>SUMIFS(INDEX(元データ_加工!$C$2:$P$700,0,MATCH($B637,元データ_加工!$C$1:$P$1,0)),元データ_加工!$A$2:$A$700,$A637,元データ_加工!$B$2:$B$700,J$5)</f>
        <v>313</v>
      </c>
      <c r="K637" s="26">
        <f>SUMIFS(INDEX(元データ_加工!$C$2:$P$700,0,MATCH($B637,元データ_加工!$C$1:$P$1,0)),元データ_加工!$A$2:$A$700,$A637,元データ_加工!$B$2:$B$700,K$5)</f>
        <v>358</v>
      </c>
      <c r="L637" s="26">
        <f>SUMIFS(INDEX(元データ_加工!$C$2:$P$700,0,MATCH($B637,元データ_加工!$C$1:$P$1,0)),元データ_加工!$A$2:$A$700,$A637,元データ_加工!$B$2:$B$700,L$5)</f>
        <v>340</v>
      </c>
      <c r="M637" s="26">
        <f>SUMIFS(INDEX(元データ_加工!$C$2:$P$700,0,MATCH($B637,元データ_加工!$C$1:$P$1,0)),元データ_加工!$A$2:$A$700,$A637,元データ_加工!$B$2:$B$700,M$5)</f>
        <v>395</v>
      </c>
      <c r="N637" s="26">
        <f>SUMIFS(INDEX(元データ_加工!$C$2:$P$700,0,MATCH($B637,元データ_加工!$C$1:$P$1,0)),元データ_加工!$A$2:$A$700,$A637,元データ_加工!$B$2:$B$700,N$5)</f>
        <v>351</v>
      </c>
      <c r="O637" s="26">
        <f t="shared" si="9"/>
        <v>3757</v>
      </c>
      <c r="P637" s="7">
        <f>IFERROR(O637/SUMIFS(元データ_加工!$C$2:$C$700,元データ_加工!$A$2:$A$700,$A637),"")</f>
        <v>0.26023412066218743</v>
      </c>
    </row>
    <row r="638" spans="1:16" x14ac:dyDescent="0.45">
      <c r="A638" t="s">
        <v>80</v>
      </c>
      <c r="B638" t="s">
        <v>102</v>
      </c>
      <c r="C638" s="26">
        <f>SUMIFS(INDEX(元データ_加工!$C$2:$P$700,0,MATCH($B638,元データ_加工!$C$1:$P$1,0)),元データ_加工!$A$2:$A$700,$A638,元データ_加工!$B$2:$B$700,C$5)</f>
        <v>0</v>
      </c>
      <c r="D638" s="26">
        <f>SUMIFS(INDEX(元データ_加工!$C$2:$P$700,0,MATCH($B638,元データ_加工!$C$1:$P$1,0)),元データ_加工!$A$2:$A$700,$A638,元データ_加工!$B$2:$B$700,D$5)</f>
        <v>0</v>
      </c>
      <c r="E638" s="26">
        <f>SUMIFS(INDEX(元データ_加工!$C$2:$P$700,0,MATCH($B638,元データ_加工!$C$1:$P$1,0)),元データ_加工!$A$2:$A$700,$A638,元データ_加工!$B$2:$B$700,E$5)</f>
        <v>0</v>
      </c>
      <c r="F638" s="26">
        <f>SUMIFS(INDEX(元データ_加工!$C$2:$P$700,0,MATCH($B638,元データ_加工!$C$1:$P$1,0)),元データ_加工!$A$2:$A$700,$A638,元データ_加工!$B$2:$B$700,F$5)</f>
        <v>0</v>
      </c>
      <c r="G638" s="26">
        <f>SUMIFS(INDEX(元データ_加工!$C$2:$P$700,0,MATCH($B638,元データ_加工!$C$1:$P$1,0)),元データ_加工!$A$2:$A$700,$A638,元データ_加工!$B$2:$B$700,G$5)</f>
        <v>0</v>
      </c>
      <c r="H638" s="26">
        <f>SUMIFS(INDEX(元データ_加工!$C$2:$P$700,0,MATCH($B638,元データ_加工!$C$1:$P$1,0)),元データ_加工!$A$2:$A$700,$A638,元データ_加工!$B$2:$B$700,H$5)</f>
        <v>0</v>
      </c>
      <c r="I638" s="26">
        <f>SUMIFS(INDEX(元データ_加工!$C$2:$P$700,0,MATCH($B638,元データ_加工!$C$1:$P$1,0)),元データ_加工!$A$2:$A$700,$A638,元データ_加工!$B$2:$B$700,I$5)</f>
        <v>0</v>
      </c>
      <c r="J638" s="26">
        <f>SUMIFS(INDEX(元データ_加工!$C$2:$P$700,0,MATCH($B638,元データ_加工!$C$1:$P$1,0)),元データ_加工!$A$2:$A$700,$A638,元データ_加工!$B$2:$B$700,J$5)</f>
        <v>7</v>
      </c>
      <c r="K638" s="26">
        <f>SUMIFS(INDEX(元データ_加工!$C$2:$P$700,0,MATCH($B638,元データ_加工!$C$1:$P$1,0)),元データ_加工!$A$2:$A$700,$A638,元データ_加工!$B$2:$B$700,K$5)</f>
        <v>0</v>
      </c>
      <c r="L638" s="26">
        <f>SUMIFS(INDEX(元データ_加工!$C$2:$P$700,0,MATCH($B638,元データ_加工!$C$1:$P$1,0)),元データ_加工!$A$2:$A$700,$A638,元データ_加工!$B$2:$B$700,L$5)</f>
        <v>0</v>
      </c>
      <c r="M638" s="26">
        <f>SUMIFS(INDEX(元データ_加工!$C$2:$P$700,0,MATCH($B638,元データ_加工!$C$1:$P$1,0)),元データ_加工!$A$2:$A$700,$A638,元データ_加工!$B$2:$B$700,M$5)</f>
        <v>0</v>
      </c>
      <c r="N638" s="26">
        <f>SUMIFS(INDEX(元データ_加工!$C$2:$P$700,0,MATCH($B638,元データ_加工!$C$1:$P$1,0)),元データ_加工!$A$2:$A$700,$A638,元データ_加工!$B$2:$B$700,N$5)</f>
        <v>0</v>
      </c>
      <c r="O638" s="26">
        <f t="shared" si="9"/>
        <v>7</v>
      </c>
      <c r="P638" s="7">
        <f>IFERROR(O638/SUMIFS(元データ_加工!$C$2:$C$700,元データ_加工!$A$2:$A$700,$A638),"")</f>
        <v>4.8486527671954009E-4</v>
      </c>
    </row>
    <row r="639" spans="1:16" x14ac:dyDescent="0.45">
      <c r="A639" t="s">
        <v>80</v>
      </c>
      <c r="B639" t="s">
        <v>103</v>
      </c>
      <c r="C639" s="26">
        <f>SUMIFS(INDEX(元データ_加工!$C$2:$P$700,0,MATCH($B639,元データ_加工!$C$1:$P$1,0)),元データ_加工!$A$2:$A$700,$A639,元データ_加工!$B$2:$B$700,C$5)</f>
        <v>0</v>
      </c>
      <c r="D639" s="26">
        <f>SUMIFS(INDEX(元データ_加工!$C$2:$P$700,0,MATCH($B639,元データ_加工!$C$1:$P$1,0)),元データ_加工!$A$2:$A$700,$A639,元データ_加工!$B$2:$B$700,D$5)</f>
        <v>0</v>
      </c>
      <c r="E639" s="26">
        <f>SUMIFS(INDEX(元データ_加工!$C$2:$P$700,0,MATCH($B639,元データ_加工!$C$1:$P$1,0)),元データ_加工!$A$2:$A$700,$A639,元データ_加工!$B$2:$B$700,E$5)</f>
        <v>0</v>
      </c>
      <c r="F639" s="26">
        <f>SUMIFS(INDEX(元データ_加工!$C$2:$P$700,0,MATCH($B639,元データ_加工!$C$1:$P$1,0)),元データ_加工!$A$2:$A$700,$A639,元データ_加工!$B$2:$B$700,F$5)</f>
        <v>2</v>
      </c>
      <c r="G639" s="26">
        <f>SUMIFS(INDEX(元データ_加工!$C$2:$P$700,0,MATCH($B639,元データ_加工!$C$1:$P$1,0)),元データ_加工!$A$2:$A$700,$A639,元データ_加工!$B$2:$B$700,G$5)</f>
        <v>7</v>
      </c>
      <c r="H639" s="26">
        <f>SUMIFS(INDEX(元データ_加工!$C$2:$P$700,0,MATCH($B639,元データ_加工!$C$1:$P$1,0)),元データ_加工!$A$2:$A$700,$A639,元データ_加工!$B$2:$B$700,H$5)</f>
        <v>16</v>
      </c>
      <c r="I639" s="26">
        <f>SUMIFS(INDEX(元データ_加工!$C$2:$P$700,0,MATCH($B639,元データ_加工!$C$1:$P$1,0)),元データ_加工!$A$2:$A$700,$A639,元データ_加工!$B$2:$B$700,I$5)</f>
        <v>4</v>
      </c>
      <c r="J639" s="26">
        <f>SUMIFS(INDEX(元データ_加工!$C$2:$P$700,0,MATCH($B639,元データ_加工!$C$1:$P$1,0)),元データ_加工!$A$2:$A$700,$A639,元データ_加工!$B$2:$B$700,J$5)</f>
        <v>0</v>
      </c>
      <c r="K639" s="26">
        <f>SUMIFS(INDEX(元データ_加工!$C$2:$P$700,0,MATCH($B639,元データ_加工!$C$1:$P$1,0)),元データ_加工!$A$2:$A$700,$A639,元データ_加工!$B$2:$B$700,K$5)</f>
        <v>0</v>
      </c>
      <c r="L639" s="26">
        <f>SUMIFS(INDEX(元データ_加工!$C$2:$P$700,0,MATCH($B639,元データ_加工!$C$1:$P$1,0)),元データ_加工!$A$2:$A$700,$A639,元データ_加工!$B$2:$B$700,L$5)</f>
        <v>0</v>
      </c>
      <c r="M639" s="26">
        <f>SUMIFS(INDEX(元データ_加工!$C$2:$P$700,0,MATCH($B639,元データ_加工!$C$1:$P$1,0)),元データ_加工!$A$2:$A$700,$A639,元データ_加工!$B$2:$B$700,M$5)</f>
        <v>0</v>
      </c>
      <c r="N639" s="26">
        <f>SUMIFS(INDEX(元データ_加工!$C$2:$P$700,0,MATCH($B639,元データ_加工!$C$1:$P$1,0)),元データ_加工!$A$2:$A$700,$A639,元データ_加工!$B$2:$B$700,N$5)</f>
        <v>0</v>
      </c>
      <c r="O639" s="26">
        <f t="shared" si="9"/>
        <v>29</v>
      </c>
      <c r="P639" s="7">
        <f>IFERROR(O639/SUMIFS(元データ_加工!$C$2:$C$700,元データ_加工!$A$2:$A$700,$A639),"")</f>
        <v>2.0087275749809518E-3</v>
      </c>
    </row>
    <row r="640" spans="1:16" x14ac:dyDescent="0.45">
      <c r="A640" t="s">
        <v>80</v>
      </c>
      <c r="B640" t="s">
        <v>104</v>
      </c>
      <c r="C640" s="26">
        <f>SUMIFS(INDEX(元データ_加工!$C$2:$P$700,0,MATCH($B640,元データ_加工!$C$1:$P$1,0)),元データ_加工!$A$2:$A$700,$A640,元データ_加工!$B$2:$B$700,C$5)</f>
        <v>2</v>
      </c>
      <c r="D640" s="26">
        <f>SUMIFS(INDEX(元データ_加工!$C$2:$P$700,0,MATCH($B640,元データ_加工!$C$1:$P$1,0)),元データ_加工!$A$2:$A$700,$A640,元データ_加工!$B$2:$B$700,D$5)</f>
        <v>3</v>
      </c>
      <c r="E640" s="26">
        <f>SUMIFS(INDEX(元データ_加工!$C$2:$P$700,0,MATCH($B640,元データ_加工!$C$1:$P$1,0)),元データ_加工!$A$2:$A$700,$A640,元データ_加工!$B$2:$B$700,E$5)</f>
        <v>3</v>
      </c>
      <c r="F640" s="26">
        <f>SUMIFS(INDEX(元データ_加工!$C$2:$P$700,0,MATCH($B640,元データ_加工!$C$1:$P$1,0)),元データ_加工!$A$2:$A$700,$A640,元データ_加工!$B$2:$B$700,F$5)</f>
        <v>7</v>
      </c>
      <c r="G640" s="26">
        <f>SUMIFS(INDEX(元データ_加工!$C$2:$P$700,0,MATCH($B640,元データ_加工!$C$1:$P$1,0)),元データ_加工!$A$2:$A$700,$A640,元データ_加工!$B$2:$B$700,G$5)</f>
        <v>6</v>
      </c>
      <c r="H640" s="26">
        <f>SUMIFS(INDEX(元データ_加工!$C$2:$P$700,0,MATCH($B640,元データ_加工!$C$1:$P$1,0)),元データ_加工!$A$2:$A$700,$A640,元データ_加工!$B$2:$B$700,H$5)</f>
        <v>8</v>
      </c>
      <c r="I640" s="26">
        <f>SUMIFS(INDEX(元データ_加工!$C$2:$P$700,0,MATCH($B640,元データ_加工!$C$1:$P$1,0)),元データ_加工!$A$2:$A$700,$A640,元データ_加工!$B$2:$B$700,I$5)</f>
        <v>9</v>
      </c>
      <c r="J640" s="26">
        <f>SUMIFS(INDEX(元データ_加工!$C$2:$P$700,0,MATCH($B640,元データ_加工!$C$1:$P$1,0)),元データ_加工!$A$2:$A$700,$A640,元データ_加工!$B$2:$B$700,J$5)</f>
        <v>38</v>
      </c>
      <c r="K640" s="26">
        <f>SUMIFS(INDEX(元データ_加工!$C$2:$P$700,0,MATCH($B640,元データ_加工!$C$1:$P$1,0)),元データ_加工!$A$2:$A$700,$A640,元データ_加工!$B$2:$B$700,K$5)</f>
        <v>33</v>
      </c>
      <c r="L640" s="26">
        <f>SUMIFS(INDEX(元データ_加工!$C$2:$P$700,0,MATCH($B640,元データ_加工!$C$1:$P$1,0)),元データ_加工!$A$2:$A$700,$A640,元データ_加工!$B$2:$B$700,L$5)</f>
        <v>26</v>
      </c>
      <c r="M640" s="26">
        <f>SUMIFS(INDEX(元データ_加工!$C$2:$P$700,0,MATCH($B640,元データ_加工!$C$1:$P$1,0)),元データ_加工!$A$2:$A$700,$A640,元データ_加工!$B$2:$B$700,M$5)</f>
        <v>17</v>
      </c>
      <c r="N640" s="26">
        <f>SUMIFS(INDEX(元データ_加工!$C$2:$P$700,0,MATCH($B640,元データ_加工!$C$1:$P$1,0)),元データ_加工!$A$2:$A$700,$A640,元データ_加工!$B$2:$B$700,N$5)</f>
        <v>12</v>
      </c>
      <c r="O640" s="26">
        <f t="shared" si="9"/>
        <v>164</v>
      </c>
      <c r="P640" s="7">
        <f>IFERROR(O640/SUMIFS(元データ_加工!$C$2:$C$700,元データ_加工!$A$2:$A$700,$A640),"")</f>
        <v>1.1359700768857795E-2</v>
      </c>
    </row>
    <row r="641" spans="1:16" x14ac:dyDescent="0.45">
      <c r="A641" t="s">
        <v>80</v>
      </c>
      <c r="B641" t="s">
        <v>105</v>
      </c>
      <c r="C641" s="26">
        <f>SUMIFS(INDEX(元データ_加工!$C$2:$P$700,0,MATCH($B641,元データ_加工!$C$1:$P$1,0)),元データ_加工!$A$2:$A$700,$A641,元データ_加工!$B$2:$B$700,C$5)</f>
        <v>1</v>
      </c>
      <c r="D641" s="26">
        <f>SUMIFS(INDEX(元データ_加工!$C$2:$P$700,0,MATCH($B641,元データ_加工!$C$1:$P$1,0)),元データ_加工!$A$2:$A$700,$A641,元データ_加工!$B$2:$B$700,D$5)</f>
        <v>1</v>
      </c>
      <c r="E641" s="26">
        <f>SUMIFS(INDEX(元データ_加工!$C$2:$P$700,0,MATCH($B641,元データ_加工!$C$1:$P$1,0)),元データ_加工!$A$2:$A$700,$A641,元データ_加工!$B$2:$B$700,E$5)</f>
        <v>0</v>
      </c>
      <c r="F641" s="26">
        <f>SUMIFS(INDEX(元データ_加工!$C$2:$P$700,0,MATCH($B641,元データ_加工!$C$1:$P$1,0)),元データ_加工!$A$2:$A$700,$A641,元データ_加工!$B$2:$B$700,F$5)</f>
        <v>7</v>
      </c>
      <c r="G641" s="26">
        <f>SUMIFS(INDEX(元データ_加工!$C$2:$P$700,0,MATCH($B641,元データ_加工!$C$1:$P$1,0)),元データ_加工!$A$2:$A$700,$A641,元データ_加工!$B$2:$B$700,G$5)</f>
        <v>0</v>
      </c>
      <c r="H641" s="26">
        <f>SUMIFS(INDEX(元データ_加工!$C$2:$P$700,0,MATCH($B641,元データ_加工!$C$1:$P$1,0)),元データ_加工!$A$2:$A$700,$A641,元データ_加工!$B$2:$B$700,H$5)</f>
        <v>2</v>
      </c>
      <c r="I641" s="26">
        <f>SUMIFS(INDEX(元データ_加工!$C$2:$P$700,0,MATCH($B641,元データ_加工!$C$1:$P$1,0)),元データ_加工!$A$2:$A$700,$A641,元データ_加工!$B$2:$B$700,I$5)</f>
        <v>2</v>
      </c>
      <c r="J641" s="26">
        <f>SUMIFS(INDEX(元データ_加工!$C$2:$P$700,0,MATCH($B641,元データ_加工!$C$1:$P$1,0)),元データ_加工!$A$2:$A$700,$A641,元データ_加工!$B$2:$B$700,J$5)</f>
        <v>23</v>
      </c>
      <c r="K641" s="26">
        <f>SUMIFS(INDEX(元データ_加工!$C$2:$P$700,0,MATCH($B641,元データ_加工!$C$1:$P$1,0)),元データ_加工!$A$2:$A$700,$A641,元データ_加工!$B$2:$B$700,K$5)</f>
        <v>56</v>
      </c>
      <c r="L641" s="26">
        <f>SUMIFS(INDEX(元データ_加工!$C$2:$P$700,0,MATCH($B641,元データ_加工!$C$1:$P$1,0)),元データ_加工!$A$2:$A$700,$A641,元データ_加工!$B$2:$B$700,L$5)</f>
        <v>54</v>
      </c>
      <c r="M641" s="26">
        <f>SUMIFS(INDEX(元データ_加工!$C$2:$P$700,0,MATCH($B641,元データ_加工!$C$1:$P$1,0)),元データ_加工!$A$2:$A$700,$A641,元データ_加工!$B$2:$B$700,M$5)</f>
        <v>17</v>
      </c>
      <c r="N641" s="26">
        <f>SUMIFS(INDEX(元データ_加工!$C$2:$P$700,0,MATCH($B641,元データ_加工!$C$1:$P$1,0)),元データ_加工!$A$2:$A$700,$A641,元データ_加工!$B$2:$B$700,N$5)</f>
        <v>5</v>
      </c>
      <c r="O641" s="26">
        <f t="shared" si="9"/>
        <v>168</v>
      </c>
      <c r="P641" s="7">
        <f>IFERROR(O641/SUMIFS(元データ_加工!$C$2:$C$700,元データ_加工!$A$2:$A$700,$A641),"")</f>
        <v>1.1636766641268961E-2</v>
      </c>
    </row>
    <row r="642" spans="1:16" x14ac:dyDescent="0.45">
      <c r="A642" t="s">
        <v>80</v>
      </c>
      <c r="B642" t="s">
        <v>106</v>
      </c>
      <c r="C642" s="26">
        <f>SUMIFS(INDEX(元データ_加工!$C$2:$P$700,0,MATCH($B642,元データ_加工!$C$1:$P$1,0)),元データ_加工!$A$2:$A$700,$A642,元データ_加工!$B$2:$B$700,C$5)</f>
        <v>238</v>
      </c>
      <c r="D642" s="26">
        <f>SUMIFS(INDEX(元データ_加工!$C$2:$P$700,0,MATCH($B642,元データ_加工!$C$1:$P$1,0)),元データ_加工!$A$2:$A$700,$A642,元データ_加工!$B$2:$B$700,D$5)</f>
        <v>303</v>
      </c>
      <c r="E642" s="26">
        <f>SUMIFS(INDEX(元データ_加工!$C$2:$P$700,0,MATCH($B642,元データ_加工!$C$1:$P$1,0)),元データ_加工!$A$2:$A$700,$A642,元データ_加工!$B$2:$B$700,E$5)</f>
        <v>385</v>
      </c>
      <c r="F642" s="26">
        <f>SUMIFS(INDEX(元データ_加工!$C$2:$P$700,0,MATCH($B642,元データ_加工!$C$1:$P$1,0)),元データ_加工!$A$2:$A$700,$A642,元データ_加工!$B$2:$B$700,F$5)</f>
        <v>333</v>
      </c>
      <c r="G642" s="26">
        <f>SUMIFS(INDEX(元データ_加工!$C$2:$P$700,0,MATCH($B642,元データ_加工!$C$1:$P$1,0)),元データ_加工!$A$2:$A$700,$A642,元データ_加工!$B$2:$B$700,G$5)</f>
        <v>317</v>
      </c>
      <c r="H642" s="26">
        <f>SUMIFS(INDEX(元データ_加工!$C$2:$P$700,0,MATCH($B642,元データ_加工!$C$1:$P$1,0)),元データ_加工!$A$2:$A$700,$A642,元データ_加工!$B$2:$B$700,H$5)</f>
        <v>265</v>
      </c>
      <c r="I642" s="26">
        <f>SUMIFS(INDEX(元データ_加工!$C$2:$P$700,0,MATCH($B642,元データ_加工!$C$1:$P$1,0)),元データ_加工!$A$2:$A$700,$A642,元データ_加工!$B$2:$B$700,I$5)</f>
        <v>177</v>
      </c>
      <c r="J642" s="26">
        <f>SUMIFS(INDEX(元データ_加工!$C$2:$P$700,0,MATCH($B642,元データ_加工!$C$1:$P$1,0)),元データ_加工!$A$2:$A$700,$A642,元データ_加工!$B$2:$B$700,J$5)</f>
        <v>384</v>
      </c>
      <c r="K642" s="26">
        <f>SUMIFS(INDEX(元データ_加工!$C$2:$P$700,0,MATCH($B642,元データ_加工!$C$1:$P$1,0)),元データ_加工!$A$2:$A$700,$A642,元データ_加工!$B$2:$B$700,K$5)</f>
        <v>560</v>
      </c>
      <c r="L642" s="26">
        <f>SUMIFS(INDEX(元データ_加工!$C$2:$P$700,0,MATCH($B642,元データ_加工!$C$1:$P$1,0)),元データ_加工!$A$2:$A$700,$A642,元データ_加工!$B$2:$B$700,L$5)</f>
        <v>390</v>
      </c>
      <c r="M642" s="26">
        <f>SUMIFS(INDEX(元データ_加工!$C$2:$P$700,0,MATCH($B642,元データ_加工!$C$1:$P$1,0)),元データ_加工!$A$2:$A$700,$A642,元データ_加工!$B$2:$B$700,M$5)</f>
        <v>361</v>
      </c>
      <c r="N642" s="26">
        <f>SUMIFS(INDEX(元データ_加工!$C$2:$P$700,0,MATCH($B642,元データ_加工!$C$1:$P$1,0)),元データ_加工!$A$2:$A$700,$A642,元データ_加工!$B$2:$B$700,N$5)</f>
        <v>408</v>
      </c>
      <c r="O642" s="26">
        <f t="shared" si="9"/>
        <v>4121</v>
      </c>
      <c r="P642" s="7">
        <f>IFERROR(O642/SUMIFS(元データ_加工!$C$2:$C$700,元データ_加工!$A$2:$A$700,$A642),"")</f>
        <v>0.28544711505160353</v>
      </c>
    </row>
    <row r="643" spans="1:16" x14ac:dyDescent="0.45">
      <c r="A643" t="s">
        <v>80</v>
      </c>
      <c r="B643" t="s">
        <v>107</v>
      </c>
      <c r="C643" s="26">
        <f>SUMIFS(INDEX(元データ_加工!$C$2:$P$700,0,MATCH($B643,元データ_加工!$C$1:$P$1,0)),元データ_加工!$A$2:$A$700,$A643,元データ_加工!$B$2:$B$700,C$5)</f>
        <v>27</v>
      </c>
      <c r="D643" s="26">
        <f>SUMIFS(INDEX(元データ_加工!$C$2:$P$700,0,MATCH($B643,元データ_加工!$C$1:$P$1,0)),元データ_加工!$A$2:$A$700,$A643,元データ_加工!$B$2:$B$700,D$5)</f>
        <v>49</v>
      </c>
      <c r="E643" s="26">
        <f>SUMIFS(INDEX(元データ_加工!$C$2:$P$700,0,MATCH($B643,元データ_加工!$C$1:$P$1,0)),元データ_加工!$A$2:$A$700,$A643,元データ_加工!$B$2:$B$700,E$5)</f>
        <v>38</v>
      </c>
      <c r="F643" s="26">
        <f>SUMIFS(INDEX(元データ_加工!$C$2:$P$700,0,MATCH($B643,元データ_加工!$C$1:$P$1,0)),元データ_加工!$A$2:$A$700,$A643,元データ_加工!$B$2:$B$700,F$5)</f>
        <v>35</v>
      </c>
      <c r="G643" s="26">
        <f>SUMIFS(INDEX(元データ_加工!$C$2:$P$700,0,MATCH($B643,元データ_加工!$C$1:$P$1,0)),元データ_加工!$A$2:$A$700,$A643,元データ_加工!$B$2:$B$700,G$5)</f>
        <v>21</v>
      </c>
      <c r="H643" s="26">
        <f>SUMIFS(INDEX(元データ_加工!$C$2:$P$700,0,MATCH($B643,元データ_加工!$C$1:$P$1,0)),元データ_加工!$A$2:$A$700,$A643,元データ_加工!$B$2:$B$700,H$5)</f>
        <v>46</v>
      </c>
      <c r="I643" s="26">
        <f>SUMIFS(INDEX(元データ_加工!$C$2:$P$700,0,MATCH($B643,元データ_加工!$C$1:$P$1,0)),元データ_加工!$A$2:$A$700,$A643,元データ_加工!$B$2:$B$700,I$5)</f>
        <v>22</v>
      </c>
      <c r="J643" s="26">
        <f>SUMIFS(INDEX(元データ_加工!$C$2:$P$700,0,MATCH($B643,元データ_加工!$C$1:$P$1,0)),元データ_加工!$A$2:$A$700,$A643,元データ_加工!$B$2:$B$700,J$5)</f>
        <v>32</v>
      </c>
      <c r="K643" s="26">
        <f>SUMIFS(INDEX(元データ_加工!$C$2:$P$700,0,MATCH($B643,元データ_加工!$C$1:$P$1,0)),元データ_加工!$A$2:$A$700,$A643,元データ_加工!$B$2:$B$700,K$5)</f>
        <v>26</v>
      </c>
      <c r="L643" s="26">
        <f>SUMIFS(INDEX(元データ_加工!$C$2:$P$700,0,MATCH($B643,元データ_加工!$C$1:$P$1,0)),元データ_加工!$A$2:$A$700,$A643,元データ_加工!$B$2:$B$700,L$5)</f>
        <v>25</v>
      </c>
      <c r="M643" s="26">
        <f>SUMIFS(INDEX(元データ_加工!$C$2:$P$700,0,MATCH($B643,元データ_加工!$C$1:$P$1,0)),元データ_加工!$A$2:$A$700,$A643,元データ_加工!$B$2:$B$700,M$5)</f>
        <v>32</v>
      </c>
      <c r="N643" s="26">
        <f>SUMIFS(INDEX(元データ_加工!$C$2:$P$700,0,MATCH($B643,元データ_加工!$C$1:$P$1,0)),元データ_加工!$A$2:$A$700,$A643,元データ_加工!$B$2:$B$700,N$5)</f>
        <v>63</v>
      </c>
      <c r="O643" s="26">
        <f t="shared" si="9"/>
        <v>416</v>
      </c>
      <c r="P643" s="7">
        <f>IFERROR(O643/SUMIFS(元データ_加工!$C$2:$C$700,元データ_加工!$A$2:$A$700,$A643),"")</f>
        <v>2.8814850730761239E-2</v>
      </c>
    </row>
    <row r="644" spans="1:16" x14ac:dyDescent="0.45">
      <c r="A644" t="s">
        <v>80</v>
      </c>
      <c r="B644" t="s">
        <v>108</v>
      </c>
      <c r="C644" s="26">
        <f>SUMIFS(INDEX(元データ_加工!$C$2:$P$700,0,MATCH($B644,元データ_加工!$C$1:$P$1,0)),元データ_加工!$A$2:$A$700,$A644,元データ_加工!$B$2:$B$700,C$5)</f>
        <v>18</v>
      </c>
      <c r="D644" s="26">
        <f>SUMIFS(INDEX(元データ_加工!$C$2:$P$700,0,MATCH($B644,元データ_加工!$C$1:$P$1,0)),元データ_加工!$A$2:$A$700,$A644,元データ_加工!$B$2:$B$700,D$5)</f>
        <v>38</v>
      </c>
      <c r="E644" s="26">
        <f>SUMIFS(INDEX(元データ_加工!$C$2:$P$700,0,MATCH($B644,元データ_加工!$C$1:$P$1,0)),元データ_加工!$A$2:$A$700,$A644,元データ_加工!$B$2:$B$700,E$5)</f>
        <v>46</v>
      </c>
      <c r="F644" s="26">
        <f>SUMIFS(INDEX(元データ_加工!$C$2:$P$700,0,MATCH($B644,元データ_加工!$C$1:$P$1,0)),元データ_加工!$A$2:$A$700,$A644,元データ_加工!$B$2:$B$700,F$5)</f>
        <v>28</v>
      </c>
      <c r="G644" s="26">
        <f>SUMIFS(INDEX(元データ_加工!$C$2:$P$700,0,MATCH($B644,元データ_加工!$C$1:$P$1,0)),元データ_加工!$A$2:$A$700,$A644,元データ_加工!$B$2:$B$700,G$5)</f>
        <v>15</v>
      </c>
      <c r="H644" s="26">
        <f>SUMIFS(INDEX(元データ_加工!$C$2:$P$700,0,MATCH($B644,元データ_加工!$C$1:$P$1,0)),元データ_加工!$A$2:$A$700,$A644,元データ_加工!$B$2:$B$700,H$5)</f>
        <v>35</v>
      </c>
      <c r="I644" s="26">
        <f>SUMIFS(INDEX(元データ_加工!$C$2:$P$700,0,MATCH($B644,元データ_加工!$C$1:$P$1,0)),元データ_加工!$A$2:$A$700,$A644,元データ_加工!$B$2:$B$700,I$5)</f>
        <v>32</v>
      </c>
      <c r="J644" s="26">
        <f>SUMIFS(INDEX(元データ_加工!$C$2:$P$700,0,MATCH($B644,元データ_加工!$C$1:$P$1,0)),元データ_加工!$A$2:$A$700,$A644,元データ_加工!$B$2:$B$700,J$5)</f>
        <v>20</v>
      </c>
      <c r="K644" s="26">
        <f>SUMIFS(INDEX(元データ_加工!$C$2:$P$700,0,MATCH($B644,元データ_加工!$C$1:$P$1,0)),元データ_加工!$A$2:$A$700,$A644,元データ_加工!$B$2:$B$700,K$5)</f>
        <v>12</v>
      </c>
      <c r="L644" s="26">
        <f>SUMIFS(INDEX(元データ_加工!$C$2:$P$700,0,MATCH($B644,元データ_加工!$C$1:$P$1,0)),元データ_加工!$A$2:$A$700,$A644,元データ_加工!$B$2:$B$700,L$5)</f>
        <v>13</v>
      </c>
      <c r="M644" s="26">
        <f>SUMIFS(INDEX(元データ_加工!$C$2:$P$700,0,MATCH($B644,元データ_加工!$C$1:$P$1,0)),元データ_加工!$A$2:$A$700,$A644,元データ_加工!$B$2:$B$700,M$5)</f>
        <v>7</v>
      </c>
      <c r="N644" s="26">
        <f>SUMIFS(INDEX(元データ_加工!$C$2:$P$700,0,MATCH($B644,元データ_加工!$C$1:$P$1,0)),元データ_加工!$A$2:$A$700,$A644,元データ_加工!$B$2:$B$700,N$5)</f>
        <v>27</v>
      </c>
      <c r="O644" s="26">
        <f t="shared" si="9"/>
        <v>291</v>
      </c>
      <c r="P644" s="7">
        <f>IFERROR(O644/SUMIFS(元データ_加工!$C$2:$C$700,元データ_加工!$A$2:$A$700,$A644),"")</f>
        <v>2.0156542217912309E-2</v>
      </c>
    </row>
    <row r="645" spans="1:16" x14ac:dyDescent="0.45">
      <c r="A645" t="s">
        <v>80</v>
      </c>
      <c r="B645" t="s">
        <v>109</v>
      </c>
      <c r="C645" s="26">
        <f>SUMIFS(INDEX(元データ_加工!$C$2:$P$700,0,MATCH($B645,元データ_加工!$C$1:$P$1,0)),元データ_加工!$A$2:$A$700,$A645,元データ_加工!$B$2:$B$700,C$5)</f>
        <v>66</v>
      </c>
      <c r="D645" s="26">
        <f>SUMIFS(INDEX(元データ_加工!$C$2:$P$700,0,MATCH($B645,元データ_加工!$C$1:$P$1,0)),元データ_加工!$A$2:$A$700,$A645,元データ_加工!$B$2:$B$700,D$5)</f>
        <v>77</v>
      </c>
      <c r="E645" s="26">
        <f>SUMIFS(INDEX(元データ_加工!$C$2:$P$700,0,MATCH($B645,元データ_加工!$C$1:$P$1,0)),元データ_加工!$A$2:$A$700,$A645,元データ_加工!$B$2:$B$700,E$5)</f>
        <v>119</v>
      </c>
      <c r="F645" s="26">
        <f>SUMIFS(INDEX(元データ_加工!$C$2:$P$700,0,MATCH($B645,元データ_加工!$C$1:$P$1,0)),元データ_加工!$A$2:$A$700,$A645,元データ_加工!$B$2:$B$700,F$5)</f>
        <v>103</v>
      </c>
      <c r="G645" s="26">
        <f>SUMIFS(INDEX(元データ_加工!$C$2:$P$700,0,MATCH($B645,元データ_加工!$C$1:$P$1,0)),元データ_加工!$A$2:$A$700,$A645,元データ_加工!$B$2:$B$700,G$5)</f>
        <v>62</v>
      </c>
      <c r="H645" s="26">
        <f>SUMIFS(INDEX(元データ_加工!$C$2:$P$700,0,MATCH($B645,元データ_加工!$C$1:$P$1,0)),元データ_加工!$A$2:$A$700,$A645,元データ_加工!$B$2:$B$700,H$5)</f>
        <v>64</v>
      </c>
      <c r="I645" s="26">
        <f>SUMIFS(INDEX(元データ_加工!$C$2:$P$700,0,MATCH($B645,元データ_加工!$C$1:$P$1,0)),元データ_加工!$A$2:$A$700,$A645,元データ_加工!$B$2:$B$700,I$5)</f>
        <v>17</v>
      </c>
      <c r="J645" s="26">
        <f>SUMIFS(INDEX(元データ_加工!$C$2:$P$700,0,MATCH($B645,元データ_加工!$C$1:$P$1,0)),元データ_加工!$A$2:$A$700,$A645,元データ_加工!$B$2:$B$700,J$5)</f>
        <v>60</v>
      </c>
      <c r="K645" s="26">
        <f>SUMIFS(INDEX(元データ_加工!$C$2:$P$700,0,MATCH($B645,元データ_加工!$C$1:$P$1,0)),元データ_加工!$A$2:$A$700,$A645,元データ_加工!$B$2:$B$700,K$5)</f>
        <v>42</v>
      </c>
      <c r="L645" s="26">
        <f>SUMIFS(INDEX(元データ_加工!$C$2:$P$700,0,MATCH($B645,元データ_加工!$C$1:$P$1,0)),元データ_加工!$A$2:$A$700,$A645,元データ_加工!$B$2:$B$700,L$5)</f>
        <v>26</v>
      </c>
      <c r="M645" s="26">
        <f>SUMIFS(INDEX(元データ_加工!$C$2:$P$700,0,MATCH($B645,元データ_加工!$C$1:$P$1,0)),元データ_加工!$A$2:$A$700,$A645,元データ_加工!$B$2:$B$700,M$5)</f>
        <v>58</v>
      </c>
      <c r="N645" s="26">
        <f>SUMIFS(INDEX(元データ_加工!$C$2:$P$700,0,MATCH($B645,元データ_加工!$C$1:$P$1,0)),元データ_加工!$A$2:$A$700,$A645,元データ_加工!$B$2:$B$700,N$5)</f>
        <v>37</v>
      </c>
      <c r="O645" s="26">
        <f t="shared" si="9"/>
        <v>731</v>
      </c>
      <c r="P645" s="7">
        <f>IFERROR(O645/SUMIFS(元データ_加工!$C$2:$C$700,元データ_加工!$A$2:$A$700,$A645),"")</f>
        <v>5.0633788183140543E-2</v>
      </c>
    </row>
    <row r="646" spans="1:16" x14ac:dyDescent="0.45">
      <c r="A646" t="s">
        <v>80</v>
      </c>
      <c r="B646" t="s">
        <v>110</v>
      </c>
      <c r="C646" s="26">
        <f>SUMIFS(INDEX(元データ_加工!$C$2:$P$700,0,MATCH($B646,元データ_加工!$C$1:$P$1,0)),元データ_加工!$A$2:$A$700,$A646,元データ_加工!$B$2:$B$700,C$5)</f>
        <v>0</v>
      </c>
      <c r="D646" s="26">
        <f>SUMIFS(INDEX(元データ_加工!$C$2:$P$700,0,MATCH($B646,元データ_加工!$C$1:$P$1,0)),元データ_加工!$A$2:$A$700,$A646,元データ_加工!$B$2:$B$700,D$5)</f>
        <v>0</v>
      </c>
      <c r="E646" s="26">
        <f>SUMIFS(INDEX(元データ_加工!$C$2:$P$700,0,MATCH($B646,元データ_加工!$C$1:$P$1,0)),元データ_加工!$A$2:$A$700,$A646,元データ_加工!$B$2:$B$700,E$5)</f>
        <v>0</v>
      </c>
      <c r="F646" s="26">
        <f>SUMIFS(INDEX(元データ_加工!$C$2:$P$700,0,MATCH($B646,元データ_加工!$C$1:$P$1,0)),元データ_加工!$A$2:$A$700,$A646,元データ_加工!$B$2:$B$700,F$5)</f>
        <v>0</v>
      </c>
      <c r="G646" s="26">
        <f>SUMIFS(INDEX(元データ_加工!$C$2:$P$700,0,MATCH($B646,元データ_加工!$C$1:$P$1,0)),元データ_加工!$A$2:$A$700,$A646,元データ_加工!$B$2:$B$700,G$5)</f>
        <v>0</v>
      </c>
      <c r="H646" s="26">
        <f>SUMIFS(INDEX(元データ_加工!$C$2:$P$700,0,MATCH($B646,元データ_加工!$C$1:$P$1,0)),元データ_加工!$A$2:$A$700,$A646,元データ_加工!$B$2:$B$700,H$5)</f>
        <v>0</v>
      </c>
      <c r="I646" s="26">
        <f>SUMIFS(INDEX(元データ_加工!$C$2:$P$700,0,MATCH($B646,元データ_加工!$C$1:$P$1,0)),元データ_加工!$A$2:$A$700,$A646,元データ_加工!$B$2:$B$700,I$5)</f>
        <v>0</v>
      </c>
      <c r="J646" s="26">
        <f>SUMIFS(INDEX(元データ_加工!$C$2:$P$700,0,MATCH($B646,元データ_加工!$C$1:$P$1,0)),元データ_加工!$A$2:$A$700,$A646,元データ_加工!$B$2:$B$700,J$5)</f>
        <v>0</v>
      </c>
      <c r="K646" s="26">
        <f>SUMIFS(INDEX(元データ_加工!$C$2:$P$700,0,MATCH($B646,元データ_加工!$C$1:$P$1,0)),元データ_加工!$A$2:$A$700,$A646,元データ_加工!$B$2:$B$700,K$5)</f>
        <v>0</v>
      </c>
      <c r="L646" s="26">
        <f>SUMIFS(INDEX(元データ_加工!$C$2:$P$700,0,MATCH($B646,元データ_加工!$C$1:$P$1,0)),元データ_加工!$A$2:$A$700,$A646,元データ_加工!$B$2:$B$700,L$5)</f>
        <v>0</v>
      </c>
      <c r="M646" s="26">
        <f>SUMIFS(INDEX(元データ_加工!$C$2:$P$700,0,MATCH($B646,元データ_加工!$C$1:$P$1,0)),元データ_加工!$A$2:$A$700,$A646,元データ_加工!$B$2:$B$700,M$5)</f>
        <v>0</v>
      </c>
      <c r="N646" s="26">
        <f>SUMIFS(INDEX(元データ_加工!$C$2:$P$700,0,MATCH($B646,元データ_加工!$C$1:$P$1,0)),元データ_加工!$A$2:$A$700,$A646,元データ_加工!$B$2:$B$700,N$5)</f>
        <v>0</v>
      </c>
      <c r="O646" s="26">
        <f t="shared" si="9"/>
        <v>0</v>
      </c>
      <c r="P646" s="7">
        <f>IFERROR(O646/SUMIFS(元データ_加工!$C$2:$C$700,元データ_加工!$A$2:$A$700,$A646),"")</f>
        <v>0</v>
      </c>
    </row>
    <row r="647" spans="1:16" x14ac:dyDescent="0.45">
      <c r="A647" t="s">
        <v>80</v>
      </c>
      <c r="B647" t="s">
        <v>111</v>
      </c>
      <c r="C647" s="26">
        <f>SUMIFS(INDEX(元データ_加工!$C$2:$P$700,0,MATCH($B647,元データ_加工!$C$1:$P$1,0)),元データ_加工!$A$2:$A$700,$A647,元データ_加工!$B$2:$B$700,C$5)</f>
        <v>0</v>
      </c>
      <c r="D647" s="26">
        <f>SUMIFS(INDEX(元データ_加工!$C$2:$P$700,0,MATCH($B647,元データ_加工!$C$1:$P$1,0)),元データ_加工!$A$2:$A$700,$A647,元データ_加工!$B$2:$B$700,D$5)</f>
        <v>2</v>
      </c>
      <c r="E647" s="26">
        <f>SUMIFS(INDEX(元データ_加工!$C$2:$P$700,0,MATCH($B647,元データ_加工!$C$1:$P$1,0)),元データ_加工!$A$2:$A$700,$A647,元データ_加工!$B$2:$B$700,E$5)</f>
        <v>0</v>
      </c>
      <c r="F647" s="26">
        <f>SUMIFS(INDEX(元データ_加工!$C$2:$P$700,0,MATCH($B647,元データ_加工!$C$1:$P$1,0)),元データ_加工!$A$2:$A$700,$A647,元データ_加工!$B$2:$B$700,F$5)</f>
        <v>0</v>
      </c>
      <c r="G647" s="26">
        <f>SUMIFS(INDEX(元データ_加工!$C$2:$P$700,0,MATCH($B647,元データ_加工!$C$1:$P$1,0)),元データ_加工!$A$2:$A$700,$A647,元データ_加工!$B$2:$B$700,G$5)</f>
        <v>0</v>
      </c>
      <c r="H647" s="26">
        <f>SUMIFS(INDEX(元データ_加工!$C$2:$P$700,0,MATCH($B647,元データ_加工!$C$1:$P$1,0)),元データ_加工!$A$2:$A$700,$A647,元データ_加工!$B$2:$B$700,H$5)</f>
        <v>0</v>
      </c>
      <c r="I647" s="26">
        <f>SUMIFS(INDEX(元データ_加工!$C$2:$P$700,0,MATCH($B647,元データ_加工!$C$1:$P$1,0)),元データ_加工!$A$2:$A$700,$A647,元データ_加工!$B$2:$B$700,I$5)</f>
        <v>0</v>
      </c>
      <c r="J647" s="26">
        <f>SUMIFS(INDEX(元データ_加工!$C$2:$P$700,0,MATCH($B647,元データ_加工!$C$1:$P$1,0)),元データ_加工!$A$2:$A$700,$A647,元データ_加工!$B$2:$B$700,J$5)</f>
        <v>0</v>
      </c>
      <c r="K647" s="26">
        <f>SUMIFS(INDEX(元データ_加工!$C$2:$P$700,0,MATCH($B647,元データ_加工!$C$1:$P$1,0)),元データ_加工!$A$2:$A$700,$A647,元データ_加工!$B$2:$B$700,K$5)</f>
        <v>0</v>
      </c>
      <c r="L647" s="26">
        <f>SUMIFS(INDEX(元データ_加工!$C$2:$P$700,0,MATCH($B647,元データ_加工!$C$1:$P$1,0)),元データ_加工!$A$2:$A$700,$A647,元データ_加工!$B$2:$B$700,L$5)</f>
        <v>0</v>
      </c>
      <c r="M647" s="26">
        <f>SUMIFS(INDEX(元データ_加工!$C$2:$P$700,0,MATCH($B647,元データ_加工!$C$1:$P$1,0)),元データ_加工!$A$2:$A$700,$A647,元データ_加工!$B$2:$B$700,M$5)</f>
        <v>0</v>
      </c>
      <c r="N647" s="26">
        <f>SUMIFS(INDEX(元データ_加工!$C$2:$P$700,0,MATCH($B647,元データ_加工!$C$1:$P$1,0)),元データ_加工!$A$2:$A$700,$A647,元データ_加工!$B$2:$B$700,N$5)</f>
        <v>0</v>
      </c>
      <c r="O647" s="26">
        <f t="shared" ref="O647:O710" si="10">SUM(C647:N647)</f>
        <v>2</v>
      </c>
      <c r="P647" s="7">
        <f>IFERROR(O647/SUMIFS(元データ_加工!$C$2:$C$700,元データ_加工!$A$2:$A$700,$A647),"")</f>
        <v>1.3853293620558289E-4</v>
      </c>
    </row>
    <row r="648" spans="1:16" x14ac:dyDescent="0.45">
      <c r="A648" t="s">
        <v>80</v>
      </c>
      <c r="B648" t="s">
        <v>112</v>
      </c>
      <c r="C648" s="26">
        <f>SUMIFS(INDEX(元データ_加工!$C$2:$P$700,0,MATCH($B648,元データ_加工!$C$1:$P$1,0)),元データ_加工!$A$2:$A$700,$A648,元データ_加工!$B$2:$B$700,C$5)</f>
        <v>0</v>
      </c>
      <c r="D648" s="26">
        <f>SUMIFS(INDEX(元データ_加工!$C$2:$P$700,0,MATCH($B648,元データ_加工!$C$1:$P$1,0)),元データ_加工!$A$2:$A$700,$A648,元データ_加工!$B$2:$B$700,D$5)</f>
        <v>0</v>
      </c>
      <c r="E648" s="26">
        <f>SUMIFS(INDEX(元データ_加工!$C$2:$P$700,0,MATCH($B648,元データ_加工!$C$1:$P$1,0)),元データ_加工!$A$2:$A$700,$A648,元データ_加工!$B$2:$B$700,E$5)</f>
        <v>0</v>
      </c>
      <c r="F648" s="26">
        <f>SUMIFS(INDEX(元データ_加工!$C$2:$P$700,0,MATCH($B648,元データ_加工!$C$1:$P$1,0)),元データ_加工!$A$2:$A$700,$A648,元データ_加工!$B$2:$B$700,F$5)</f>
        <v>0</v>
      </c>
      <c r="G648" s="26">
        <f>SUMIFS(INDEX(元データ_加工!$C$2:$P$700,0,MATCH($B648,元データ_加工!$C$1:$P$1,0)),元データ_加工!$A$2:$A$700,$A648,元データ_加工!$B$2:$B$700,G$5)</f>
        <v>0</v>
      </c>
      <c r="H648" s="26">
        <f>SUMIFS(INDEX(元データ_加工!$C$2:$P$700,0,MATCH($B648,元データ_加工!$C$1:$P$1,0)),元データ_加工!$A$2:$A$700,$A648,元データ_加工!$B$2:$B$700,H$5)</f>
        <v>0</v>
      </c>
      <c r="I648" s="26">
        <f>SUMIFS(INDEX(元データ_加工!$C$2:$P$700,0,MATCH($B648,元データ_加工!$C$1:$P$1,0)),元データ_加工!$A$2:$A$700,$A648,元データ_加工!$B$2:$B$700,I$5)</f>
        <v>0</v>
      </c>
      <c r="J648" s="26">
        <f>SUMIFS(INDEX(元データ_加工!$C$2:$P$700,0,MATCH($B648,元データ_加工!$C$1:$P$1,0)),元データ_加工!$A$2:$A$700,$A648,元データ_加工!$B$2:$B$700,J$5)</f>
        <v>0</v>
      </c>
      <c r="K648" s="26">
        <f>SUMIFS(INDEX(元データ_加工!$C$2:$P$700,0,MATCH($B648,元データ_加工!$C$1:$P$1,0)),元データ_加工!$A$2:$A$700,$A648,元データ_加工!$B$2:$B$700,K$5)</f>
        <v>1</v>
      </c>
      <c r="L648" s="26">
        <f>SUMIFS(INDEX(元データ_加工!$C$2:$P$700,0,MATCH($B648,元データ_加工!$C$1:$P$1,0)),元データ_加工!$A$2:$A$700,$A648,元データ_加工!$B$2:$B$700,L$5)</f>
        <v>0</v>
      </c>
      <c r="M648" s="26">
        <f>SUMIFS(INDEX(元データ_加工!$C$2:$P$700,0,MATCH($B648,元データ_加工!$C$1:$P$1,0)),元データ_加工!$A$2:$A$700,$A648,元データ_加工!$B$2:$B$700,M$5)</f>
        <v>0</v>
      </c>
      <c r="N648" s="26">
        <f>SUMIFS(INDEX(元データ_加工!$C$2:$P$700,0,MATCH($B648,元データ_加工!$C$1:$P$1,0)),元データ_加工!$A$2:$A$700,$A648,元データ_加工!$B$2:$B$700,N$5)</f>
        <v>0</v>
      </c>
      <c r="O648" s="26">
        <f t="shared" si="10"/>
        <v>1</v>
      </c>
      <c r="P648" s="7">
        <f>IFERROR(O648/SUMIFS(元データ_加工!$C$2:$C$700,元データ_加工!$A$2:$A$700,$A648),"")</f>
        <v>6.9266468102791444E-5</v>
      </c>
    </row>
    <row r="649" spans="1:16" x14ac:dyDescent="0.45">
      <c r="A649" t="s">
        <v>80</v>
      </c>
      <c r="B649" t="s">
        <v>113</v>
      </c>
      <c r="C649" s="26">
        <f>SUMIFS(INDEX(元データ_加工!$C$2:$P$700,0,MATCH($B649,元データ_加工!$C$1:$P$1,0)),元データ_加工!$A$2:$A$700,$A649,元データ_加工!$B$2:$B$700,C$5)</f>
        <v>0</v>
      </c>
      <c r="D649" s="26">
        <f>SUMIFS(INDEX(元データ_加工!$C$2:$P$700,0,MATCH($B649,元データ_加工!$C$1:$P$1,0)),元データ_加工!$A$2:$A$700,$A649,元データ_加工!$B$2:$B$700,D$5)</f>
        <v>0</v>
      </c>
      <c r="E649" s="26">
        <f>SUMIFS(INDEX(元データ_加工!$C$2:$P$700,0,MATCH($B649,元データ_加工!$C$1:$P$1,0)),元データ_加工!$A$2:$A$700,$A649,元データ_加工!$B$2:$B$700,E$5)</f>
        <v>0</v>
      </c>
      <c r="F649" s="26">
        <f>SUMIFS(INDEX(元データ_加工!$C$2:$P$700,0,MATCH($B649,元データ_加工!$C$1:$P$1,0)),元データ_加工!$A$2:$A$700,$A649,元データ_加工!$B$2:$B$700,F$5)</f>
        <v>0</v>
      </c>
      <c r="G649" s="26">
        <f>SUMIFS(INDEX(元データ_加工!$C$2:$P$700,0,MATCH($B649,元データ_加工!$C$1:$P$1,0)),元データ_加工!$A$2:$A$700,$A649,元データ_加工!$B$2:$B$700,G$5)</f>
        <v>0</v>
      </c>
      <c r="H649" s="26">
        <f>SUMIFS(INDEX(元データ_加工!$C$2:$P$700,0,MATCH($B649,元データ_加工!$C$1:$P$1,0)),元データ_加工!$A$2:$A$700,$A649,元データ_加工!$B$2:$B$700,H$5)</f>
        <v>0</v>
      </c>
      <c r="I649" s="26">
        <f>SUMIFS(INDEX(元データ_加工!$C$2:$P$700,0,MATCH($B649,元データ_加工!$C$1:$P$1,0)),元データ_加工!$A$2:$A$700,$A649,元データ_加工!$B$2:$B$700,I$5)</f>
        <v>0</v>
      </c>
      <c r="J649" s="26">
        <f>SUMIFS(INDEX(元データ_加工!$C$2:$P$700,0,MATCH($B649,元データ_加工!$C$1:$P$1,0)),元データ_加工!$A$2:$A$700,$A649,元データ_加工!$B$2:$B$700,J$5)</f>
        <v>0</v>
      </c>
      <c r="K649" s="26">
        <f>SUMIFS(INDEX(元データ_加工!$C$2:$P$700,0,MATCH($B649,元データ_加工!$C$1:$P$1,0)),元データ_加工!$A$2:$A$700,$A649,元データ_加工!$B$2:$B$700,K$5)</f>
        <v>0</v>
      </c>
      <c r="L649" s="26">
        <f>SUMIFS(INDEX(元データ_加工!$C$2:$P$700,0,MATCH($B649,元データ_加工!$C$1:$P$1,0)),元データ_加工!$A$2:$A$700,$A649,元データ_加工!$B$2:$B$700,L$5)</f>
        <v>0</v>
      </c>
      <c r="M649" s="26">
        <f>SUMIFS(INDEX(元データ_加工!$C$2:$P$700,0,MATCH($B649,元データ_加工!$C$1:$P$1,0)),元データ_加工!$A$2:$A$700,$A649,元データ_加工!$B$2:$B$700,M$5)</f>
        <v>0</v>
      </c>
      <c r="N649" s="26">
        <f>SUMIFS(INDEX(元データ_加工!$C$2:$P$700,0,MATCH($B649,元データ_加工!$C$1:$P$1,0)),元データ_加工!$A$2:$A$700,$A649,元データ_加工!$B$2:$B$700,N$5)</f>
        <v>0</v>
      </c>
      <c r="O649" s="26">
        <f t="shared" si="10"/>
        <v>0</v>
      </c>
      <c r="P649" s="7">
        <f>IFERROR(O649/SUMIFS(元データ_加工!$C$2:$C$700,元データ_加工!$A$2:$A$700,$A649),"")</f>
        <v>0</v>
      </c>
    </row>
    <row r="650" spans="1:16" x14ac:dyDescent="0.45">
      <c r="A650" t="s">
        <v>81</v>
      </c>
      <c r="B650" t="s">
        <v>100</v>
      </c>
      <c r="C650" s="26">
        <f>SUMIFS(INDEX(元データ_加工!$C$2:$P$700,0,MATCH($B650,元データ_加工!$C$1:$P$1,0)),元データ_加工!$A$2:$A$700,$A650,元データ_加工!$B$2:$B$700,C$5)</f>
        <v>939</v>
      </c>
      <c r="D650" s="26">
        <f>SUMIFS(INDEX(元データ_加工!$C$2:$P$700,0,MATCH($B650,元データ_加工!$C$1:$P$1,0)),元データ_加工!$A$2:$A$700,$A650,元データ_加工!$B$2:$B$700,D$5)</f>
        <v>825</v>
      </c>
      <c r="E650" s="26">
        <f>SUMIFS(INDEX(元データ_加工!$C$2:$P$700,0,MATCH($B650,元データ_加工!$C$1:$P$1,0)),元データ_加工!$A$2:$A$700,$A650,元データ_加工!$B$2:$B$700,E$5)</f>
        <v>1366</v>
      </c>
      <c r="F650" s="26">
        <f>SUMIFS(INDEX(元データ_加工!$C$2:$P$700,0,MATCH($B650,元データ_加工!$C$1:$P$1,0)),元データ_加工!$A$2:$A$700,$A650,元データ_加工!$B$2:$B$700,F$5)</f>
        <v>1263</v>
      </c>
      <c r="G650" s="26">
        <f>SUMIFS(INDEX(元データ_加工!$C$2:$P$700,0,MATCH($B650,元データ_加工!$C$1:$P$1,0)),元データ_加工!$A$2:$A$700,$A650,元データ_加工!$B$2:$B$700,G$5)</f>
        <v>1020</v>
      </c>
      <c r="H650" s="26">
        <f>SUMIFS(INDEX(元データ_加工!$C$2:$P$700,0,MATCH($B650,元データ_加工!$C$1:$P$1,0)),元データ_加工!$A$2:$A$700,$A650,元データ_加工!$B$2:$B$700,H$5)</f>
        <v>779</v>
      </c>
      <c r="I650" s="26">
        <f>SUMIFS(INDEX(元データ_加工!$C$2:$P$700,0,MATCH($B650,元データ_加工!$C$1:$P$1,0)),元データ_加工!$A$2:$A$700,$A650,元データ_加工!$B$2:$B$700,I$5)</f>
        <v>625</v>
      </c>
      <c r="J650" s="26">
        <f>SUMIFS(INDEX(元データ_加工!$C$2:$P$700,0,MATCH($B650,元データ_加工!$C$1:$P$1,0)),元データ_加工!$A$2:$A$700,$A650,元データ_加工!$B$2:$B$700,J$5)</f>
        <v>1322</v>
      </c>
      <c r="K650" s="26">
        <f>SUMIFS(INDEX(元データ_加工!$C$2:$P$700,0,MATCH($B650,元データ_加工!$C$1:$P$1,0)),元データ_加工!$A$2:$A$700,$A650,元データ_加工!$B$2:$B$700,K$5)</f>
        <v>2383</v>
      </c>
      <c r="L650" s="26">
        <f>SUMIFS(INDEX(元データ_加工!$C$2:$P$700,0,MATCH($B650,元データ_加工!$C$1:$P$1,0)),元データ_加工!$A$2:$A$700,$A650,元データ_加工!$B$2:$B$700,L$5)</f>
        <v>1456</v>
      </c>
      <c r="M650" s="26">
        <f>SUMIFS(INDEX(元データ_加工!$C$2:$P$700,0,MATCH($B650,元データ_加工!$C$1:$P$1,0)),元データ_加工!$A$2:$A$700,$A650,元データ_加工!$B$2:$B$700,M$5)</f>
        <v>1464</v>
      </c>
      <c r="N650" s="26">
        <f>SUMIFS(INDEX(元データ_加工!$C$2:$P$700,0,MATCH($B650,元データ_加工!$C$1:$P$1,0)),元データ_加工!$A$2:$A$700,$A650,元データ_加工!$B$2:$B$700,N$5)</f>
        <v>1248</v>
      </c>
      <c r="O650" s="26">
        <f t="shared" si="10"/>
        <v>14690</v>
      </c>
      <c r="P650" s="7">
        <f>IFERROR(O650/SUMIFS(元データ_加工!$C$2:$C$700,元データ_加工!$A$2:$A$700,$A650),"")</f>
        <v>1</v>
      </c>
    </row>
    <row r="651" spans="1:16" x14ac:dyDescent="0.45">
      <c r="A651" t="s">
        <v>81</v>
      </c>
      <c r="B651" t="s">
        <v>101</v>
      </c>
      <c r="C651" s="26">
        <f>SUMIFS(INDEX(元データ_加工!$C$2:$P$700,0,MATCH($B651,元データ_加工!$C$1:$P$1,0)),元データ_加工!$A$2:$A$700,$A651,元データ_加工!$B$2:$B$700,C$5)</f>
        <v>254</v>
      </c>
      <c r="D651" s="26">
        <f>SUMIFS(INDEX(元データ_加工!$C$2:$P$700,0,MATCH($B651,元データ_加工!$C$1:$P$1,0)),元データ_加工!$A$2:$A$700,$A651,元データ_加工!$B$2:$B$700,D$5)</f>
        <v>328</v>
      </c>
      <c r="E651" s="26">
        <f>SUMIFS(INDEX(元データ_加工!$C$2:$P$700,0,MATCH($B651,元データ_加工!$C$1:$P$1,0)),元データ_加工!$A$2:$A$700,$A651,元データ_加工!$B$2:$B$700,E$5)</f>
        <v>406</v>
      </c>
      <c r="F651" s="26">
        <f>SUMIFS(INDEX(元データ_加工!$C$2:$P$700,0,MATCH($B651,元データ_加工!$C$1:$P$1,0)),元データ_加工!$A$2:$A$700,$A651,元データ_加工!$B$2:$B$700,F$5)</f>
        <v>339</v>
      </c>
      <c r="G651" s="26">
        <f>SUMIFS(INDEX(元データ_加工!$C$2:$P$700,0,MATCH($B651,元データ_加工!$C$1:$P$1,0)),元データ_加工!$A$2:$A$700,$A651,元データ_加工!$B$2:$B$700,G$5)</f>
        <v>307</v>
      </c>
      <c r="H651" s="26">
        <f>SUMIFS(INDEX(元データ_加工!$C$2:$P$700,0,MATCH($B651,元データ_加工!$C$1:$P$1,0)),元データ_加工!$A$2:$A$700,$A651,元データ_加工!$B$2:$B$700,H$5)</f>
        <v>262</v>
      </c>
      <c r="I651" s="26">
        <f>SUMIFS(INDEX(元データ_加工!$C$2:$P$700,0,MATCH($B651,元データ_加工!$C$1:$P$1,0)),元データ_加工!$A$2:$A$700,$A651,元データ_加工!$B$2:$B$700,I$5)</f>
        <v>285</v>
      </c>
      <c r="J651" s="26">
        <f>SUMIFS(INDEX(元データ_加工!$C$2:$P$700,0,MATCH($B651,元データ_加工!$C$1:$P$1,0)),元データ_加工!$A$2:$A$700,$A651,元データ_加工!$B$2:$B$700,J$5)</f>
        <v>343</v>
      </c>
      <c r="K651" s="26">
        <f>SUMIFS(INDEX(元データ_加工!$C$2:$P$700,0,MATCH($B651,元データ_加工!$C$1:$P$1,0)),元データ_加工!$A$2:$A$700,$A651,元データ_加工!$B$2:$B$700,K$5)</f>
        <v>449</v>
      </c>
      <c r="L651" s="26">
        <f>SUMIFS(INDEX(元データ_加工!$C$2:$P$700,0,MATCH($B651,元データ_加工!$C$1:$P$1,0)),元データ_加工!$A$2:$A$700,$A651,元データ_加工!$B$2:$B$700,L$5)</f>
        <v>410</v>
      </c>
      <c r="M651" s="26">
        <f>SUMIFS(INDEX(元データ_加工!$C$2:$P$700,0,MATCH($B651,元データ_加工!$C$1:$P$1,0)),元データ_加工!$A$2:$A$700,$A651,元データ_加工!$B$2:$B$700,M$5)</f>
        <v>430</v>
      </c>
      <c r="N651" s="26">
        <f>SUMIFS(INDEX(元データ_加工!$C$2:$P$700,0,MATCH($B651,元データ_加工!$C$1:$P$1,0)),元データ_加工!$A$2:$A$700,$A651,元データ_加工!$B$2:$B$700,N$5)</f>
        <v>392</v>
      </c>
      <c r="O651" s="26">
        <f t="shared" si="10"/>
        <v>4205</v>
      </c>
      <c r="P651" s="7">
        <f>IFERROR(O651/SUMIFS(元データ_加工!$C$2:$C$700,元データ_加工!$A$2:$A$700,$A651),"")</f>
        <v>0.28624914908100751</v>
      </c>
    </row>
    <row r="652" spans="1:16" x14ac:dyDescent="0.45">
      <c r="A652" t="s">
        <v>81</v>
      </c>
      <c r="B652" t="s">
        <v>102</v>
      </c>
      <c r="C652" s="26">
        <f>SUMIFS(INDEX(元データ_加工!$C$2:$P$700,0,MATCH($B652,元データ_加工!$C$1:$P$1,0)),元データ_加工!$A$2:$A$700,$A652,元データ_加工!$B$2:$B$700,C$5)</f>
        <v>0</v>
      </c>
      <c r="D652" s="26">
        <f>SUMIFS(INDEX(元データ_加工!$C$2:$P$700,0,MATCH($B652,元データ_加工!$C$1:$P$1,0)),元データ_加工!$A$2:$A$700,$A652,元データ_加工!$B$2:$B$700,D$5)</f>
        <v>0</v>
      </c>
      <c r="E652" s="26">
        <f>SUMIFS(INDEX(元データ_加工!$C$2:$P$700,0,MATCH($B652,元データ_加工!$C$1:$P$1,0)),元データ_加工!$A$2:$A$700,$A652,元データ_加工!$B$2:$B$700,E$5)</f>
        <v>0</v>
      </c>
      <c r="F652" s="26">
        <f>SUMIFS(INDEX(元データ_加工!$C$2:$P$700,0,MATCH($B652,元データ_加工!$C$1:$P$1,0)),元データ_加工!$A$2:$A$700,$A652,元データ_加工!$B$2:$B$700,F$5)</f>
        <v>0</v>
      </c>
      <c r="G652" s="26">
        <f>SUMIFS(INDEX(元データ_加工!$C$2:$P$700,0,MATCH($B652,元データ_加工!$C$1:$P$1,0)),元データ_加工!$A$2:$A$700,$A652,元データ_加工!$B$2:$B$700,G$5)</f>
        <v>0</v>
      </c>
      <c r="H652" s="26">
        <f>SUMIFS(INDEX(元データ_加工!$C$2:$P$700,0,MATCH($B652,元データ_加工!$C$1:$P$1,0)),元データ_加工!$A$2:$A$700,$A652,元データ_加工!$B$2:$B$700,H$5)</f>
        <v>0</v>
      </c>
      <c r="I652" s="26">
        <f>SUMIFS(INDEX(元データ_加工!$C$2:$P$700,0,MATCH($B652,元データ_加工!$C$1:$P$1,0)),元データ_加工!$A$2:$A$700,$A652,元データ_加工!$B$2:$B$700,I$5)</f>
        <v>0</v>
      </c>
      <c r="J652" s="26">
        <f>SUMIFS(INDEX(元データ_加工!$C$2:$P$700,0,MATCH($B652,元データ_加工!$C$1:$P$1,0)),元データ_加工!$A$2:$A$700,$A652,元データ_加工!$B$2:$B$700,J$5)</f>
        <v>4</v>
      </c>
      <c r="K652" s="26">
        <f>SUMIFS(INDEX(元データ_加工!$C$2:$P$700,0,MATCH($B652,元データ_加工!$C$1:$P$1,0)),元データ_加工!$A$2:$A$700,$A652,元データ_加工!$B$2:$B$700,K$5)</f>
        <v>3</v>
      </c>
      <c r="L652" s="26">
        <f>SUMIFS(INDEX(元データ_加工!$C$2:$P$700,0,MATCH($B652,元データ_加工!$C$1:$P$1,0)),元データ_加工!$A$2:$A$700,$A652,元データ_加工!$B$2:$B$700,L$5)</f>
        <v>0</v>
      </c>
      <c r="M652" s="26">
        <f>SUMIFS(INDEX(元データ_加工!$C$2:$P$700,0,MATCH($B652,元データ_加工!$C$1:$P$1,0)),元データ_加工!$A$2:$A$700,$A652,元データ_加工!$B$2:$B$700,M$5)</f>
        <v>0</v>
      </c>
      <c r="N652" s="26">
        <f>SUMIFS(INDEX(元データ_加工!$C$2:$P$700,0,MATCH($B652,元データ_加工!$C$1:$P$1,0)),元データ_加工!$A$2:$A$700,$A652,元データ_加工!$B$2:$B$700,N$5)</f>
        <v>0</v>
      </c>
      <c r="O652" s="26">
        <f t="shared" si="10"/>
        <v>7</v>
      </c>
      <c r="P652" s="7">
        <f>IFERROR(O652/SUMIFS(元データ_加工!$C$2:$C$700,元データ_加工!$A$2:$A$700,$A652),"")</f>
        <v>4.7651463580667119E-4</v>
      </c>
    </row>
    <row r="653" spans="1:16" x14ac:dyDescent="0.45">
      <c r="A653" t="s">
        <v>81</v>
      </c>
      <c r="B653" t="s">
        <v>103</v>
      </c>
      <c r="C653" s="26">
        <f>SUMIFS(INDEX(元データ_加工!$C$2:$P$700,0,MATCH($B653,元データ_加工!$C$1:$P$1,0)),元データ_加工!$A$2:$A$700,$A653,元データ_加工!$B$2:$B$700,C$5)</f>
        <v>1</v>
      </c>
      <c r="D653" s="26">
        <f>SUMIFS(INDEX(元データ_加工!$C$2:$P$700,0,MATCH($B653,元データ_加工!$C$1:$P$1,0)),元データ_加工!$A$2:$A$700,$A653,元データ_加工!$B$2:$B$700,D$5)</f>
        <v>0</v>
      </c>
      <c r="E653" s="26">
        <f>SUMIFS(INDEX(元データ_加工!$C$2:$P$700,0,MATCH($B653,元データ_加工!$C$1:$P$1,0)),元データ_加工!$A$2:$A$700,$A653,元データ_加工!$B$2:$B$700,E$5)</f>
        <v>2</v>
      </c>
      <c r="F653" s="26">
        <f>SUMIFS(INDEX(元データ_加工!$C$2:$P$700,0,MATCH($B653,元データ_加工!$C$1:$P$1,0)),元データ_加工!$A$2:$A$700,$A653,元データ_加工!$B$2:$B$700,F$5)</f>
        <v>23</v>
      </c>
      <c r="G653" s="26">
        <f>SUMIFS(INDEX(元データ_加工!$C$2:$P$700,0,MATCH($B653,元データ_加工!$C$1:$P$1,0)),元データ_加工!$A$2:$A$700,$A653,元データ_加工!$B$2:$B$700,G$5)</f>
        <v>13</v>
      </c>
      <c r="H653" s="26">
        <f>SUMIFS(INDEX(元データ_加工!$C$2:$P$700,0,MATCH($B653,元データ_加工!$C$1:$P$1,0)),元データ_加工!$A$2:$A$700,$A653,元データ_加工!$B$2:$B$700,H$5)</f>
        <v>18</v>
      </c>
      <c r="I653" s="26">
        <f>SUMIFS(INDEX(元データ_加工!$C$2:$P$700,0,MATCH($B653,元データ_加工!$C$1:$P$1,0)),元データ_加工!$A$2:$A$700,$A653,元データ_加工!$B$2:$B$700,I$5)</f>
        <v>7</v>
      </c>
      <c r="J653" s="26">
        <f>SUMIFS(INDEX(元データ_加工!$C$2:$P$700,0,MATCH($B653,元データ_加工!$C$1:$P$1,0)),元データ_加工!$A$2:$A$700,$A653,元データ_加工!$B$2:$B$700,J$5)</f>
        <v>1</v>
      </c>
      <c r="K653" s="26">
        <f>SUMIFS(INDEX(元データ_加工!$C$2:$P$700,0,MATCH($B653,元データ_加工!$C$1:$P$1,0)),元データ_加工!$A$2:$A$700,$A653,元データ_加工!$B$2:$B$700,K$5)</f>
        <v>4</v>
      </c>
      <c r="L653" s="26">
        <f>SUMIFS(INDEX(元データ_加工!$C$2:$P$700,0,MATCH($B653,元データ_加工!$C$1:$P$1,0)),元データ_加工!$A$2:$A$700,$A653,元データ_加工!$B$2:$B$700,L$5)</f>
        <v>1</v>
      </c>
      <c r="M653" s="26">
        <f>SUMIFS(INDEX(元データ_加工!$C$2:$P$700,0,MATCH($B653,元データ_加工!$C$1:$P$1,0)),元データ_加工!$A$2:$A$700,$A653,元データ_加工!$B$2:$B$700,M$5)</f>
        <v>0</v>
      </c>
      <c r="N653" s="26">
        <f>SUMIFS(INDEX(元データ_加工!$C$2:$P$700,0,MATCH($B653,元データ_加工!$C$1:$P$1,0)),元データ_加工!$A$2:$A$700,$A653,元データ_加工!$B$2:$B$700,N$5)</f>
        <v>4</v>
      </c>
      <c r="O653" s="26">
        <f t="shared" si="10"/>
        <v>74</v>
      </c>
      <c r="P653" s="7">
        <f>IFERROR(O653/SUMIFS(元データ_加工!$C$2:$C$700,元データ_加工!$A$2:$A$700,$A653),"")</f>
        <v>5.0374404356705238E-3</v>
      </c>
    </row>
    <row r="654" spans="1:16" x14ac:dyDescent="0.45">
      <c r="A654" t="s">
        <v>81</v>
      </c>
      <c r="B654" t="s">
        <v>104</v>
      </c>
      <c r="C654" s="26">
        <f>SUMIFS(INDEX(元データ_加工!$C$2:$P$700,0,MATCH($B654,元データ_加工!$C$1:$P$1,0)),元データ_加工!$A$2:$A$700,$A654,元データ_加工!$B$2:$B$700,C$5)</f>
        <v>4</v>
      </c>
      <c r="D654" s="26">
        <f>SUMIFS(INDEX(元データ_加工!$C$2:$P$700,0,MATCH($B654,元データ_加工!$C$1:$P$1,0)),元データ_加工!$A$2:$A$700,$A654,元データ_加工!$B$2:$B$700,D$5)</f>
        <v>3</v>
      </c>
      <c r="E654" s="26">
        <f>SUMIFS(INDEX(元データ_加工!$C$2:$P$700,0,MATCH($B654,元データ_加工!$C$1:$P$1,0)),元データ_加工!$A$2:$A$700,$A654,元データ_加工!$B$2:$B$700,E$5)</f>
        <v>8</v>
      </c>
      <c r="F654" s="26">
        <f>SUMIFS(INDEX(元データ_加工!$C$2:$P$700,0,MATCH($B654,元データ_加工!$C$1:$P$1,0)),元データ_加工!$A$2:$A$700,$A654,元データ_加工!$B$2:$B$700,F$5)</f>
        <v>11</v>
      </c>
      <c r="G654" s="26">
        <f>SUMIFS(INDEX(元データ_加工!$C$2:$P$700,0,MATCH($B654,元データ_加工!$C$1:$P$1,0)),元データ_加工!$A$2:$A$700,$A654,元データ_加工!$B$2:$B$700,G$5)</f>
        <v>13</v>
      </c>
      <c r="H654" s="26">
        <f>SUMIFS(INDEX(元データ_加工!$C$2:$P$700,0,MATCH($B654,元データ_加工!$C$1:$P$1,0)),元データ_加工!$A$2:$A$700,$A654,元データ_加工!$B$2:$B$700,H$5)</f>
        <v>12</v>
      </c>
      <c r="I654" s="26">
        <f>SUMIFS(INDEX(元データ_加工!$C$2:$P$700,0,MATCH($B654,元データ_加工!$C$1:$P$1,0)),元データ_加工!$A$2:$A$700,$A654,元データ_加工!$B$2:$B$700,I$5)</f>
        <v>11</v>
      </c>
      <c r="J654" s="26">
        <f>SUMIFS(INDEX(元データ_加工!$C$2:$P$700,0,MATCH($B654,元データ_加工!$C$1:$P$1,0)),元データ_加工!$A$2:$A$700,$A654,元データ_加工!$B$2:$B$700,J$5)</f>
        <v>49</v>
      </c>
      <c r="K654" s="26">
        <f>SUMIFS(INDEX(元データ_加工!$C$2:$P$700,0,MATCH($B654,元データ_加工!$C$1:$P$1,0)),元データ_加工!$A$2:$A$700,$A654,元データ_加工!$B$2:$B$700,K$5)</f>
        <v>73</v>
      </c>
      <c r="L654" s="26">
        <f>SUMIFS(INDEX(元データ_加工!$C$2:$P$700,0,MATCH($B654,元データ_加工!$C$1:$P$1,0)),元データ_加工!$A$2:$A$700,$A654,元データ_加工!$B$2:$B$700,L$5)</f>
        <v>31</v>
      </c>
      <c r="M654" s="26">
        <f>SUMIFS(INDEX(元データ_加工!$C$2:$P$700,0,MATCH($B654,元データ_加工!$C$1:$P$1,0)),元データ_加工!$A$2:$A$700,$A654,元データ_加工!$B$2:$B$700,M$5)</f>
        <v>20</v>
      </c>
      <c r="N654" s="26">
        <f>SUMIFS(INDEX(元データ_加工!$C$2:$P$700,0,MATCH($B654,元データ_加工!$C$1:$P$1,0)),元データ_加工!$A$2:$A$700,$A654,元データ_加工!$B$2:$B$700,N$5)</f>
        <v>14</v>
      </c>
      <c r="O654" s="26">
        <f t="shared" si="10"/>
        <v>249</v>
      </c>
      <c r="P654" s="7">
        <f>IFERROR(O654/SUMIFS(元データ_加工!$C$2:$C$700,元データ_加工!$A$2:$A$700,$A654),"")</f>
        <v>1.6950306330837304E-2</v>
      </c>
    </row>
    <row r="655" spans="1:16" x14ac:dyDescent="0.45">
      <c r="A655" t="s">
        <v>81</v>
      </c>
      <c r="B655" t="s">
        <v>105</v>
      </c>
      <c r="C655" s="26">
        <f>SUMIFS(INDEX(元データ_加工!$C$2:$P$700,0,MATCH($B655,元データ_加工!$C$1:$P$1,0)),元データ_加工!$A$2:$A$700,$A655,元データ_加工!$B$2:$B$700,C$5)</f>
        <v>0</v>
      </c>
      <c r="D655" s="26">
        <f>SUMIFS(INDEX(元データ_加工!$C$2:$P$700,0,MATCH($B655,元データ_加工!$C$1:$P$1,0)),元データ_加工!$A$2:$A$700,$A655,元データ_加工!$B$2:$B$700,D$5)</f>
        <v>3</v>
      </c>
      <c r="E655" s="26">
        <f>SUMIFS(INDEX(元データ_加工!$C$2:$P$700,0,MATCH($B655,元データ_加工!$C$1:$P$1,0)),元データ_加工!$A$2:$A$700,$A655,元データ_加工!$B$2:$B$700,E$5)</f>
        <v>0</v>
      </c>
      <c r="F655" s="26">
        <f>SUMIFS(INDEX(元データ_加工!$C$2:$P$700,0,MATCH($B655,元データ_加工!$C$1:$P$1,0)),元データ_加工!$A$2:$A$700,$A655,元データ_加工!$B$2:$B$700,F$5)</f>
        <v>7</v>
      </c>
      <c r="G655" s="26">
        <f>SUMIFS(INDEX(元データ_加工!$C$2:$P$700,0,MATCH($B655,元データ_加工!$C$1:$P$1,0)),元データ_加工!$A$2:$A$700,$A655,元データ_加工!$B$2:$B$700,G$5)</f>
        <v>4</v>
      </c>
      <c r="H655" s="26">
        <f>SUMIFS(INDEX(元データ_加工!$C$2:$P$700,0,MATCH($B655,元データ_加工!$C$1:$P$1,0)),元データ_加工!$A$2:$A$700,$A655,元データ_加工!$B$2:$B$700,H$5)</f>
        <v>1</v>
      </c>
      <c r="I655" s="26">
        <f>SUMIFS(INDEX(元データ_加工!$C$2:$P$700,0,MATCH($B655,元データ_加工!$C$1:$P$1,0)),元データ_加工!$A$2:$A$700,$A655,元データ_加工!$B$2:$B$700,I$5)</f>
        <v>10</v>
      </c>
      <c r="J655" s="26">
        <f>SUMIFS(INDEX(元データ_加工!$C$2:$P$700,0,MATCH($B655,元データ_加工!$C$1:$P$1,0)),元データ_加工!$A$2:$A$700,$A655,元データ_加工!$B$2:$B$700,J$5)</f>
        <v>44</v>
      </c>
      <c r="K655" s="26">
        <f>SUMIFS(INDEX(元データ_加工!$C$2:$P$700,0,MATCH($B655,元データ_加工!$C$1:$P$1,0)),元データ_加工!$A$2:$A$700,$A655,元データ_加工!$B$2:$B$700,K$5)</f>
        <v>110</v>
      </c>
      <c r="L655" s="26">
        <f>SUMIFS(INDEX(元データ_加工!$C$2:$P$700,0,MATCH($B655,元データ_加工!$C$1:$P$1,0)),元データ_加工!$A$2:$A$700,$A655,元データ_加工!$B$2:$B$700,L$5)</f>
        <v>51</v>
      </c>
      <c r="M655" s="26">
        <f>SUMIFS(INDEX(元データ_加工!$C$2:$P$700,0,MATCH($B655,元データ_加工!$C$1:$P$1,0)),元データ_加工!$A$2:$A$700,$A655,元データ_加工!$B$2:$B$700,M$5)</f>
        <v>20</v>
      </c>
      <c r="N655" s="26">
        <f>SUMIFS(INDEX(元データ_加工!$C$2:$P$700,0,MATCH($B655,元データ_加工!$C$1:$P$1,0)),元データ_加工!$A$2:$A$700,$A655,元データ_加工!$B$2:$B$700,N$5)</f>
        <v>6</v>
      </c>
      <c r="O655" s="26">
        <f t="shared" si="10"/>
        <v>256</v>
      </c>
      <c r="P655" s="7">
        <f>IFERROR(O655/SUMIFS(元データ_加工!$C$2:$C$700,元データ_加工!$A$2:$A$700,$A655),"")</f>
        <v>1.7426820966643976E-2</v>
      </c>
    </row>
    <row r="656" spans="1:16" x14ac:dyDescent="0.45">
      <c r="A656" t="s">
        <v>81</v>
      </c>
      <c r="B656" t="s">
        <v>106</v>
      </c>
      <c r="C656" s="26">
        <f>SUMIFS(INDEX(元データ_加工!$C$2:$P$700,0,MATCH($B656,元データ_加工!$C$1:$P$1,0)),元データ_加工!$A$2:$A$700,$A656,元データ_加工!$B$2:$B$700,C$5)</f>
        <v>310</v>
      </c>
      <c r="D656" s="26">
        <f>SUMIFS(INDEX(元データ_加工!$C$2:$P$700,0,MATCH($B656,元データ_加工!$C$1:$P$1,0)),元データ_加工!$A$2:$A$700,$A656,元データ_加工!$B$2:$B$700,D$5)</f>
        <v>322</v>
      </c>
      <c r="E656" s="26">
        <f>SUMIFS(INDEX(元データ_加工!$C$2:$P$700,0,MATCH($B656,元データ_加工!$C$1:$P$1,0)),元データ_加工!$A$2:$A$700,$A656,元データ_加工!$B$2:$B$700,E$5)</f>
        <v>487</v>
      </c>
      <c r="F656" s="26">
        <f>SUMIFS(INDEX(元データ_加工!$C$2:$P$700,0,MATCH($B656,元データ_加工!$C$1:$P$1,0)),元データ_加工!$A$2:$A$700,$A656,元データ_加工!$B$2:$B$700,F$5)</f>
        <v>441</v>
      </c>
      <c r="G656" s="26">
        <f>SUMIFS(INDEX(元データ_加工!$C$2:$P$700,0,MATCH($B656,元データ_加工!$C$1:$P$1,0)),元データ_加工!$A$2:$A$700,$A656,元データ_加工!$B$2:$B$700,G$5)</f>
        <v>439</v>
      </c>
      <c r="H656" s="26">
        <f>SUMIFS(INDEX(元データ_加工!$C$2:$P$700,0,MATCH($B656,元データ_加工!$C$1:$P$1,0)),元データ_加工!$A$2:$A$700,$A656,元データ_加工!$B$2:$B$700,H$5)</f>
        <v>344</v>
      </c>
      <c r="I656" s="26">
        <f>SUMIFS(INDEX(元データ_加工!$C$2:$P$700,0,MATCH($B656,元データ_加工!$C$1:$P$1,0)),元データ_加工!$A$2:$A$700,$A656,元データ_加工!$B$2:$B$700,I$5)</f>
        <v>213</v>
      </c>
      <c r="J656" s="26">
        <f>SUMIFS(INDEX(元データ_加工!$C$2:$P$700,0,MATCH($B656,元データ_加工!$C$1:$P$1,0)),元データ_加工!$A$2:$A$700,$A656,元データ_加工!$B$2:$B$700,J$5)</f>
        <v>538</v>
      </c>
      <c r="K656" s="26">
        <f>SUMIFS(INDEX(元データ_加工!$C$2:$P$700,0,MATCH($B656,元データ_加工!$C$1:$P$1,0)),元データ_加工!$A$2:$A$700,$A656,元データ_加工!$B$2:$B$700,K$5)</f>
        <v>880</v>
      </c>
      <c r="L656" s="26">
        <f>SUMIFS(INDEX(元データ_加工!$C$2:$P$700,0,MATCH($B656,元データ_加工!$C$1:$P$1,0)),元データ_加工!$A$2:$A$700,$A656,元データ_加工!$B$2:$B$700,L$5)</f>
        <v>541</v>
      </c>
      <c r="M656" s="26">
        <f>SUMIFS(INDEX(元データ_加工!$C$2:$P$700,0,MATCH($B656,元データ_加工!$C$1:$P$1,0)),元データ_加工!$A$2:$A$700,$A656,元データ_加工!$B$2:$B$700,M$5)</f>
        <v>566</v>
      </c>
      <c r="N656" s="26">
        <f>SUMIFS(INDEX(元データ_加工!$C$2:$P$700,0,MATCH($B656,元データ_加工!$C$1:$P$1,0)),元データ_加工!$A$2:$A$700,$A656,元データ_加工!$B$2:$B$700,N$5)</f>
        <v>467</v>
      </c>
      <c r="O656" s="26">
        <f t="shared" si="10"/>
        <v>5548</v>
      </c>
      <c r="P656" s="7">
        <f>IFERROR(O656/SUMIFS(元データ_加工!$C$2:$C$700,元データ_加工!$A$2:$A$700,$A656),"")</f>
        <v>0.3776718856364874</v>
      </c>
    </row>
    <row r="657" spans="1:16" x14ac:dyDescent="0.45">
      <c r="A657" t="s">
        <v>81</v>
      </c>
      <c r="B657" t="s">
        <v>107</v>
      </c>
      <c r="C657" s="26">
        <f>SUMIFS(INDEX(元データ_加工!$C$2:$P$700,0,MATCH($B657,元データ_加工!$C$1:$P$1,0)),元データ_加工!$A$2:$A$700,$A657,元データ_加工!$B$2:$B$700,C$5)</f>
        <v>60</v>
      </c>
      <c r="D657" s="26">
        <f>SUMIFS(INDEX(元データ_加工!$C$2:$P$700,0,MATCH($B657,元データ_加工!$C$1:$P$1,0)),元データ_加工!$A$2:$A$700,$A657,元データ_加工!$B$2:$B$700,D$5)</f>
        <v>54</v>
      </c>
      <c r="E657" s="26">
        <f>SUMIFS(INDEX(元データ_加工!$C$2:$P$700,0,MATCH($B657,元データ_加工!$C$1:$P$1,0)),元データ_加工!$A$2:$A$700,$A657,元データ_加工!$B$2:$B$700,E$5)</f>
        <v>145</v>
      </c>
      <c r="F657" s="26">
        <f>SUMIFS(INDEX(元データ_加工!$C$2:$P$700,0,MATCH($B657,元データ_加工!$C$1:$P$1,0)),元データ_加工!$A$2:$A$700,$A657,元データ_加工!$B$2:$B$700,F$5)</f>
        <v>95</v>
      </c>
      <c r="G657" s="26">
        <f>SUMIFS(INDEX(元データ_加工!$C$2:$P$700,0,MATCH($B657,元データ_加工!$C$1:$P$1,0)),元データ_加工!$A$2:$A$700,$A657,元データ_加工!$B$2:$B$700,G$5)</f>
        <v>54</v>
      </c>
      <c r="H657" s="26">
        <f>SUMIFS(INDEX(元データ_加工!$C$2:$P$700,0,MATCH($B657,元データ_加工!$C$1:$P$1,0)),元データ_加工!$A$2:$A$700,$A657,元データ_加工!$B$2:$B$700,H$5)</f>
        <v>28</v>
      </c>
      <c r="I657" s="26">
        <f>SUMIFS(INDEX(元データ_加工!$C$2:$P$700,0,MATCH($B657,元データ_加工!$C$1:$P$1,0)),元データ_加工!$A$2:$A$700,$A657,元データ_加工!$B$2:$B$700,I$5)</f>
        <v>36</v>
      </c>
      <c r="J657" s="26">
        <f>SUMIFS(INDEX(元データ_加工!$C$2:$P$700,0,MATCH($B657,元データ_加工!$C$1:$P$1,0)),元データ_加工!$A$2:$A$700,$A657,元データ_加工!$B$2:$B$700,J$5)</f>
        <v>41</v>
      </c>
      <c r="K657" s="26">
        <f>SUMIFS(INDEX(元データ_加工!$C$2:$P$700,0,MATCH($B657,元データ_加工!$C$1:$P$1,0)),元データ_加工!$A$2:$A$700,$A657,元データ_加工!$B$2:$B$700,K$5)</f>
        <v>35</v>
      </c>
      <c r="L657" s="26">
        <f>SUMIFS(INDEX(元データ_加工!$C$2:$P$700,0,MATCH($B657,元データ_加工!$C$1:$P$1,0)),元データ_加工!$A$2:$A$700,$A657,元データ_加工!$B$2:$B$700,L$5)</f>
        <v>20</v>
      </c>
      <c r="M657" s="26">
        <f>SUMIFS(INDEX(元データ_加工!$C$2:$P$700,0,MATCH($B657,元データ_加工!$C$1:$P$1,0)),元データ_加工!$A$2:$A$700,$A657,元データ_加工!$B$2:$B$700,M$5)</f>
        <v>32</v>
      </c>
      <c r="N657" s="26">
        <f>SUMIFS(INDEX(元データ_加工!$C$2:$P$700,0,MATCH($B657,元データ_加工!$C$1:$P$1,0)),元データ_加工!$A$2:$A$700,$A657,元データ_加工!$B$2:$B$700,N$5)</f>
        <v>97</v>
      </c>
      <c r="O657" s="26">
        <f t="shared" si="10"/>
        <v>697</v>
      </c>
      <c r="P657" s="7">
        <f>IFERROR(O657/SUMIFS(元データ_加工!$C$2:$C$700,元データ_加工!$A$2:$A$700,$A657),"")</f>
        <v>4.744724302246426E-2</v>
      </c>
    </row>
    <row r="658" spans="1:16" x14ac:dyDescent="0.45">
      <c r="A658" t="s">
        <v>81</v>
      </c>
      <c r="B658" t="s">
        <v>108</v>
      </c>
      <c r="C658" s="26">
        <f>SUMIFS(INDEX(元データ_加工!$C$2:$P$700,0,MATCH($B658,元データ_加工!$C$1:$P$1,0)),元データ_加工!$A$2:$A$700,$A658,元データ_加工!$B$2:$B$700,C$5)</f>
        <v>19</v>
      </c>
      <c r="D658" s="26">
        <f>SUMIFS(INDEX(元データ_加工!$C$2:$P$700,0,MATCH($B658,元データ_加工!$C$1:$P$1,0)),元データ_加工!$A$2:$A$700,$A658,元データ_加工!$B$2:$B$700,D$5)</f>
        <v>18</v>
      </c>
      <c r="E658" s="26">
        <f>SUMIFS(INDEX(元データ_加工!$C$2:$P$700,0,MATCH($B658,元データ_加工!$C$1:$P$1,0)),元データ_加工!$A$2:$A$700,$A658,元データ_加工!$B$2:$B$700,E$5)</f>
        <v>43</v>
      </c>
      <c r="F658" s="26">
        <f>SUMIFS(INDEX(元データ_加工!$C$2:$P$700,0,MATCH($B658,元データ_加工!$C$1:$P$1,0)),元データ_加工!$A$2:$A$700,$A658,元データ_加工!$B$2:$B$700,F$5)</f>
        <v>28</v>
      </c>
      <c r="G658" s="26">
        <f>SUMIFS(INDEX(元データ_加工!$C$2:$P$700,0,MATCH($B658,元データ_加工!$C$1:$P$1,0)),元データ_加工!$A$2:$A$700,$A658,元データ_加工!$B$2:$B$700,G$5)</f>
        <v>18</v>
      </c>
      <c r="H658" s="26">
        <f>SUMIFS(INDEX(元データ_加工!$C$2:$P$700,0,MATCH($B658,元データ_加工!$C$1:$P$1,0)),元データ_加工!$A$2:$A$700,$A658,元データ_加工!$B$2:$B$700,H$5)</f>
        <v>4</v>
      </c>
      <c r="I658" s="26">
        <f>SUMIFS(INDEX(元データ_加工!$C$2:$P$700,0,MATCH($B658,元データ_加工!$C$1:$P$1,0)),元データ_加工!$A$2:$A$700,$A658,元データ_加工!$B$2:$B$700,I$5)</f>
        <v>8</v>
      </c>
      <c r="J658" s="26">
        <f>SUMIFS(INDEX(元データ_加工!$C$2:$P$700,0,MATCH($B658,元データ_加工!$C$1:$P$1,0)),元データ_加工!$A$2:$A$700,$A658,元データ_加工!$B$2:$B$700,J$5)</f>
        <v>13</v>
      </c>
      <c r="K658" s="26">
        <f>SUMIFS(INDEX(元データ_加工!$C$2:$P$700,0,MATCH($B658,元データ_加工!$C$1:$P$1,0)),元データ_加工!$A$2:$A$700,$A658,元データ_加工!$B$2:$B$700,K$5)</f>
        <v>4</v>
      </c>
      <c r="L658" s="26">
        <f>SUMIFS(INDEX(元データ_加工!$C$2:$P$700,0,MATCH($B658,元データ_加工!$C$1:$P$1,0)),元データ_加工!$A$2:$A$700,$A658,元データ_加工!$B$2:$B$700,L$5)</f>
        <v>9</v>
      </c>
      <c r="M658" s="26">
        <f>SUMIFS(INDEX(元データ_加工!$C$2:$P$700,0,MATCH($B658,元データ_加工!$C$1:$P$1,0)),元データ_加工!$A$2:$A$700,$A658,元データ_加工!$B$2:$B$700,M$5)</f>
        <v>2</v>
      </c>
      <c r="N658" s="26">
        <f>SUMIFS(INDEX(元データ_加工!$C$2:$P$700,0,MATCH($B658,元データ_加工!$C$1:$P$1,0)),元データ_加工!$A$2:$A$700,$A658,元データ_加工!$B$2:$B$700,N$5)</f>
        <v>22</v>
      </c>
      <c r="O658" s="26">
        <f t="shared" si="10"/>
        <v>188</v>
      </c>
      <c r="P658" s="7">
        <f>IFERROR(O658/SUMIFS(元データ_加工!$C$2:$C$700,元データ_加工!$A$2:$A$700,$A658),"")</f>
        <v>1.279782164737917E-2</v>
      </c>
    </row>
    <row r="659" spans="1:16" x14ac:dyDescent="0.45">
      <c r="A659" t="s">
        <v>81</v>
      </c>
      <c r="B659" t="s">
        <v>109</v>
      </c>
      <c r="C659" s="26">
        <f>SUMIFS(INDEX(元データ_加工!$C$2:$P$700,0,MATCH($B659,元データ_加工!$C$1:$P$1,0)),元データ_加工!$A$2:$A$700,$A659,元データ_加工!$B$2:$B$700,C$5)</f>
        <v>25</v>
      </c>
      <c r="D659" s="26">
        <f>SUMIFS(INDEX(元データ_加工!$C$2:$P$700,0,MATCH($B659,元データ_加工!$C$1:$P$1,0)),元データ_加工!$A$2:$A$700,$A659,元データ_加工!$B$2:$B$700,D$5)</f>
        <v>37</v>
      </c>
      <c r="E659" s="26">
        <f>SUMIFS(INDEX(元データ_加工!$C$2:$P$700,0,MATCH($B659,元データ_加工!$C$1:$P$1,0)),元データ_加工!$A$2:$A$700,$A659,元データ_加工!$B$2:$B$700,E$5)</f>
        <v>44</v>
      </c>
      <c r="F659" s="26">
        <f>SUMIFS(INDEX(元データ_加工!$C$2:$P$700,0,MATCH($B659,元データ_加工!$C$1:$P$1,0)),元データ_加工!$A$2:$A$700,$A659,元データ_加工!$B$2:$B$700,F$5)</f>
        <v>31</v>
      </c>
      <c r="G659" s="26">
        <f>SUMIFS(INDEX(元データ_加工!$C$2:$P$700,0,MATCH($B659,元データ_加工!$C$1:$P$1,0)),元データ_加工!$A$2:$A$700,$A659,元データ_加工!$B$2:$B$700,G$5)</f>
        <v>17</v>
      </c>
      <c r="H659" s="26">
        <f>SUMIFS(INDEX(元データ_加工!$C$2:$P$700,0,MATCH($B659,元データ_加工!$C$1:$P$1,0)),元データ_加工!$A$2:$A$700,$A659,元データ_加工!$B$2:$B$700,H$5)</f>
        <v>28</v>
      </c>
      <c r="I659" s="26">
        <f>SUMIFS(INDEX(元データ_加工!$C$2:$P$700,0,MATCH($B659,元データ_加工!$C$1:$P$1,0)),元データ_加工!$A$2:$A$700,$A659,元データ_加工!$B$2:$B$700,I$5)</f>
        <v>23</v>
      </c>
      <c r="J659" s="26">
        <f>SUMIFS(INDEX(元データ_加工!$C$2:$P$700,0,MATCH($B659,元データ_加工!$C$1:$P$1,0)),元データ_加工!$A$2:$A$700,$A659,元データ_加工!$B$2:$B$700,J$5)</f>
        <v>36</v>
      </c>
      <c r="K659" s="26">
        <f>SUMIFS(INDEX(元データ_加工!$C$2:$P$700,0,MATCH($B659,元データ_加工!$C$1:$P$1,0)),元データ_加工!$A$2:$A$700,$A659,元データ_加工!$B$2:$B$700,K$5)</f>
        <v>37</v>
      </c>
      <c r="L659" s="26">
        <f>SUMIFS(INDEX(元データ_加工!$C$2:$P$700,0,MATCH($B659,元データ_加工!$C$1:$P$1,0)),元データ_加工!$A$2:$A$700,$A659,元データ_加工!$B$2:$B$700,L$5)</f>
        <v>19</v>
      </c>
      <c r="M659" s="26">
        <f>SUMIFS(INDEX(元データ_加工!$C$2:$P$700,0,MATCH($B659,元データ_加工!$C$1:$P$1,0)),元データ_加工!$A$2:$A$700,$A659,元データ_加工!$B$2:$B$700,M$5)</f>
        <v>26</v>
      </c>
      <c r="N659" s="26">
        <f>SUMIFS(INDEX(元データ_加工!$C$2:$P$700,0,MATCH($B659,元データ_加工!$C$1:$P$1,0)),元データ_加工!$A$2:$A$700,$A659,元データ_加工!$B$2:$B$700,N$5)</f>
        <v>44</v>
      </c>
      <c r="O659" s="26">
        <f t="shared" si="10"/>
        <v>367</v>
      </c>
      <c r="P659" s="7">
        <f>IFERROR(O659/SUMIFS(元データ_加工!$C$2:$C$700,元データ_加工!$A$2:$A$700,$A659),"")</f>
        <v>2.4982981620149763E-2</v>
      </c>
    </row>
    <row r="660" spans="1:16" x14ac:dyDescent="0.45">
      <c r="A660" t="s">
        <v>81</v>
      </c>
      <c r="B660" t="s">
        <v>110</v>
      </c>
      <c r="C660" s="26">
        <f>SUMIFS(INDEX(元データ_加工!$C$2:$P$700,0,MATCH($B660,元データ_加工!$C$1:$P$1,0)),元データ_加工!$A$2:$A$700,$A660,元データ_加工!$B$2:$B$700,C$5)</f>
        <v>0</v>
      </c>
      <c r="D660" s="26">
        <f>SUMIFS(INDEX(元データ_加工!$C$2:$P$700,0,MATCH($B660,元データ_加工!$C$1:$P$1,0)),元データ_加工!$A$2:$A$700,$A660,元データ_加工!$B$2:$B$700,D$5)</f>
        <v>0</v>
      </c>
      <c r="E660" s="26">
        <f>SUMIFS(INDEX(元データ_加工!$C$2:$P$700,0,MATCH($B660,元データ_加工!$C$1:$P$1,0)),元データ_加工!$A$2:$A$700,$A660,元データ_加工!$B$2:$B$700,E$5)</f>
        <v>0</v>
      </c>
      <c r="F660" s="26">
        <f>SUMIFS(INDEX(元データ_加工!$C$2:$P$700,0,MATCH($B660,元データ_加工!$C$1:$P$1,0)),元データ_加工!$A$2:$A$700,$A660,元データ_加工!$B$2:$B$700,F$5)</f>
        <v>0</v>
      </c>
      <c r="G660" s="26">
        <f>SUMIFS(INDEX(元データ_加工!$C$2:$P$700,0,MATCH($B660,元データ_加工!$C$1:$P$1,0)),元データ_加工!$A$2:$A$700,$A660,元データ_加工!$B$2:$B$700,G$5)</f>
        <v>0</v>
      </c>
      <c r="H660" s="26">
        <f>SUMIFS(INDEX(元データ_加工!$C$2:$P$700,0,MATCH($B660,元データ_加工!$C$1:$P$1,0)),元データ_加工!$A$2:$A$700,$A660,元データ_加工!$B$2:$B$700,H$5)</f>
        <v>0</v>
      </c>
      <c r="I660" s="26">
        <f>SUMIFS(INDEX(元データ_加工!$C$2:$P$700,0,MATCH($B660,元データ_加工!$C$1:$P$1,0)),元データ_加工!$A$2:$A$700,$A660,元データ_加工!$B$2:$B$700,I$5)</f>
        <v>0</v>
      </c>
      <c r="J660" s="26">
        <f>SUMIFS(INDEX(元データ_加工!$C$2:$P$700,0,MATCH($B660,元データ_加工!$C$1:$P$1,0)),元データ_加工!$A$2:$A$700,$A660,元データ_加工!$B$2:$B$700,J$5)</f>
        <v>0</v>
      </c>
      <c r="K660" s="26">
        <f>SUMIFS(INDEX(元データ_加工!$C$2:$P$700,0,MATCH($B660,元データ_加工!$C$1:$P$1,0)),元データ_加工!$A$2:$A$700,$A660,元データ_加工!$B$2:$B$700,K$5)</f>
        <v>0</v>
      </c>
      <c r="L660" s="26">
        <f>SUMIFS(INDEX(元データ_加工!$C$2:$P$700,0,MATCH($B660,元データ_加工!$C$1:$P$1,0)),元データ_加工!$A$2:$A$700,$A660,元データ_加工!$B$2:$B$700,L$5)</f>
        <v>0</v>
      </c>
      <c r="M660" s="26">
        <f>SUMIFS(INDEX(元データ_加工!$C$2:$P$700,0,MATCH($B660,元データ_加工!$C$1:$P$1,0)),元データ_加工!$A$2:$A$700,$A660,元データ_加工!$B$2:$B$700,M$5)</f>
        <v>0</v>
      </c>
      <c r="N660" s="26">
        <f>SUMIFS(INDEX(元データ_加工!$C$2:$P$700,0,MATCH($B660,元データ_加工!$C$1:$P$1,0)),元データ_加工!$A$2:$A$700,$A660,元データ_加工!$B$2:$B$700,N$5)</f>
        <v>0</v>
      </c>
      <c r="O660" s="26">
        <f t="shared" si="10"/>
        <v>0</v>
      </c>
      <c r="P660" s="7">
        <f>IFERROR(O660/SUMIFS(元データ_加工!$C$2:$C$700,元データ_加工!$A$2:$A$700,$A660),"")</f>
        <v>0</v>
      </c>
    </row>
    <row r="661" spans="1:16" x14ac:dyDescent="0.45">
      <c r="A661" t="s">
        <v>81</v>
      </c>
      <c r="B661" t="s">
        <v>111</v>
      </c>
      <c r="C661" s="26">
        <f>SUMIFS(INDEX(元データ_加工!$C$2:$P$700,0,MATCH($B661,元データ_加工!$C$1:$P$1,0)),元データ_加工!$A$2:$A$700,$A661,元データ_加工!$B$2:$B$700,C$5)</f>
        <v>0</v>
      </c>
      <c r="D661" s="26">
        <f>SUMIFS(INDEX(元データ_加工!$C$2:$P$700,0,MATCH($B661,元データ_加工!$C$1:$P$1,0)),元データ_加工!$A$2:$A$700,$A661,元データ_加工!$B$2:$B$700,D$5)</f>
        <v>0</v>
      </c>
      <c r="E661" s="26">
        <f>SUMIFS(INDEX(元データ_加工!$C$2:$P$700,0,MATCH($B661,元データ_加工!$C$1:$P$1,0)),元データ_加工!$A$2:$A$700,$A661,元データ_加工!$B$2:$B$700,E$5)</f>
        <v>0</v>
      </c>
      <c r="F661" s="26">
        <f>SUMIFS(INDEX(元データ_加工!$C$2:$P$700,0,MATCH($B661,元データ_加工!$C$1:$P$1,0)),元データ_加工!$A$2:$A$700,$A661,元データ_加工!$B$2:$B$700,F$5)</f>
        <v>0</v>
      </c>
      <c r="G661" s="26">
        <f>SUMIFS(INDEX(元データ_加工!$C$2:$P$700,0,MATCH($B661,元データ_加工!$C$1:$P$1,0)),元データ_加工!$A$2:$A$700,$A661,元データ_加工!$B$2:$B$700,G$5)</f>
        <v>0</v>
      </c>
      <c r="H661" s="26">
        <f>SUMIFS(INDEX(元データ_加工!$C$2:$P$700,0,MATCH($B661,元データ_加工!$C$1:$P$1,0)),元データ_加工!$A$2:$A$700,$A661,元データ_加工!$B$2:$B$700,H$5)</f>
        <v>0</v>
      </c>
      <c r="I661" s="26">
        <f>SUMIFS(INDEX(元データ_加工!$C$2:$P$700,0,MATCH($B661,元データ_加工!$C$1:$P$1,0)),元データ_加工!$A$2:$A$700,$A661,元データ_加工!$B$2:$B$700,I$5)</f>
        <v>0</v>
      </c>
      <c r="J661" s="26">
        <f>SUMIFS(INDEX(元データ_加工!$C$2:$P$700,0,MATCH($B661,元データ_加工!$C$1:$P$1,0)),元データ_加工!$A$2:$A$700,$A661,元データ_加工!$B$2:$B$700,J$5)</f>
        <v>0</v>
      </c>
      <c r="K661" s="26">
        <f>SUMIFS(INDEX(元データ_加工!$C$2:$P$700,0,MATCH($B661,元データ_加工!$C$1:$P$1,0)),元データ_加工!$A$2:$A$700,$A661,元データ_加工!$B$2:$B$700,K$5)</f>
        <v>0</v>
      </c>
      <c r="L661" s="26">
        <f>SUMIFS(INDEX(元データ_加工!$C$2:$P$700,0,MATCH($B661,元データ_加工!$C$1:$P$1,0)),元データ_加工!$A$2:$A$700,$A661,元データ_加工!$B$2:$B$700,L$5)</f>
        <v>0</v>
      </c>
      <c r="M661" s="26">
        <f>SUMIFS(INDEX(元データ_加工!$C$2:$P$700,0,MATCH($B661,元データ_加工!$C$1:$P$1,0)),元データ_加工!$A$2:$A$700,$A661,元データ_加工!$B$2:$B$700,M$5)</f>
        <v>0</v>
      </c>
      <c r="N661" s="26">
        <f>SUMIFS(INDEX(元データ_加工!$C$2:$P$700,0,MATCH($B661,元データ_加工!$C$1:$P$1,0)),元データ_加工!$A$2:$A$700,$A661,元データ_加工!$B$2:$B$700,N$5)</f>
        <v>0</v>
      </c>
      <c r="O661" s="26">
        <f t="shared" si="10"/>
        <v>0</v>
      </c>
      <c r="P661" s="7">
        <f>IFERROR(O661/SUMIFS(元データ_加工!$C$2:$C$700,元データ_加工!$A$2:$A$700,$A661),"")</f>
        <v>0</v>
      </c>
    </row>
    <row r="662" spans="1:16" x14ac:dyDescent="0.45">
      <c r="A662" t="s">
        <v>81</v>
      </c>
      <c r="B662" t="s">
        <v>112</v>
      </c>
      <c r="C662" s="26">
        <f>SUMIFS(INDEX(元データ_加工!$C$2:$P$700,0,MATCH($B662,元データ_加工!$C$1:$P$1,0)),元データ_加工!$A$2:$A$700,$A662,元データ_加工!$B$2:$B$700,C$5)</f>
        <v>0</v>
      </c>
      <c r="D662" s="26">
        <f>SUMIFS(INDEX(元データ_加工!$C$2:$P$700,0,MATCH($B662,元データ_加工!$C$1:$P$1,0)),元データ_加工!$A$2:$A$700,$A662,元データ_加工!$B$2:$B$700,D$5)</f>
        <v>0</v>
      </c>
      <c r="E662" s="26">
        <f>SUMIFS(INDEX(元データ_加工!$C$2:$P$700,0,MATCH($B662,元データ_加工!$C$1:$P$1,0)),元データ_加工!$A$2:$A$700,$A662,元データ_加工!$B$2:$B$700,E$5)</f>
        <v>0</v>
      </c>
      <c r="F662" s="26">
        <f>SUMIFS(INDEX(元データ_加工!$C$2:$P$700,0,MATCH($B662,元データ_加工!$C$1:$P$1,0)),元データ_加工!$A$2:$A$700,$A662,元データ_加工!$B$2:$B$700,F$5)</f>
        <v>0</v>
      </c>
      <c r="G662" s="26">
        <f>SUMIFS(INDEX(元データ_加工!$C$2:$P$700,0,MATCH($B662,元データ_加工!$C$1:$P$1,0)),元データ_加工!$A$2:$A$700,$A662,元データ_加工!$B$2:$B$700,G$5)</f>
        <v>0</v>
      </c>
      <c r="H662" s="26">
        <f>SUMIFS(INDEX(元データ_加工!$C$2:$P$700,0,MATCH($B662,元データ_加工!$C$1:$P$1,0)),元データ_加工!$A$2:$A$700,$A662,元データ_加工!$B$2:$B$700,H$5)</f>
        <v>0</v>
      </c>
      <c r="I662" s="26">
        <f>SUMIFS(INDEX(元データ_加工!$C$2:$P$700,0,MATCH($B662,元データ_加工!$C$1:$P$1,0)),元データ_加工!$A$2:$A$700,$A662,元データ_加工!$B$2:$B$700,I$5)</f>
        <v>0</v>
      </c>
      <c r="J662" s="26">
        <f>SUMIFS(INDEX(元データ_加工!$C$2:$P$700,0,MATCH($B662,元データ_加工!$C$1:$P$1,0)),元データ_加工!$A$2:$A$700,$A662,元データ_加工!$B$2:$B$700,J$5)</f>
        <v>1</v>
      </c>
      <c r="K662" s="26">
        <f>SUMIFS(INDEX(元データ_加工!$C$2:$P$700,0,MATCH($B662,元データ_加工!$C$1:$P$1,0)),元データ_加工!$A$2:$A$700,$A662,元データ_加工!$B$2:$B$700,K$5)</f>
        <v>5</v>
      </c>
      <c r="L662" s="26">
        <f>SUMIFS(INDEX(元データ_加工!$C$2:$P$700,0,MATCH($B662,元データ_加工!$C$1:$P$1,0)),元データ_加工!$A$2:$A$700,$A662,元データ_加工!$B$2:$B$700,L$5)</f>
        <v>2</v>
      </c>
      <c r="M662" s="26">
        <f>SUMIFS(INDEX(元データ_加工!$C$2:$P$700,0,MATCH($B662,元データ_加工!$C$1:$P$1,0)),元データ_加工!$A$2:$A$700,$A662,元データ_加工!$B$2:$B$700,M$5)</f>
        <v>1</v>
      </c>
      <c r="N662" s="26">
        <f>SUMIFS(INDEX(元データ_加工!$C$2:$P$700,0,MATCH($B662,元データ_加工!$C$1:$P$1,0)),元データ_加工!$A$2:$A$700,$A662,元データ_加工!$B$2:$B$700,N$5)</f>
        <v>0</v>
      </c>
      <c r="O662" s="26">
        <f t="shared" si="10"/>
        <v>9</v>
      </c>
      <c r="P662" s="7">
        <f>IFERROR(O662/SUMIFS(元データ_加工!$C$2:$C$700,元データ_加工!$A$2:$A$700,$A662),"")</f>
        <v>6.1266167460857725E-4</v>
      </c>
    </row>
    <row r="663" spans="1:16" x14ac:dyDescent="0.45">
      <c r="A663" t="s">
        <v>81</v>
      </c>
      <c r="B663" t="s">
        <v>113</v>
      </c>
      <c r="C663" s="26">
        <f>SUMIFS(INDEX(元データ_加工!$C$2:$P$700,0,MATCH($B663,元データ_加工!$C$1:$P$1,0)),元データ_加工!$A$2:$A$700,$A663,元データ_加工!$B$2:$B$700,C$5)</f>
        <v>0</v>
      </c>
      <c r="D663" s="26">
        <f>SUMIFS(INDEX(元データ_加工!$C$2:$P$700,0,MATCH($B663,元データ_加工!$C$1:$P$1,0)),元データ_加工!$A$2:$A$700,$A663,元データ_加工!$B$2:$B$700,D$5)</f>
        <v>0</v>
      </c>
      <c r="E663" s="26">
        <f>SUMIFS(INDEX(元データ_加工!$C$2:$P$700,0,MATCH($B663,元データ_加工!$C$1:$P$1,0)),元データ_加工!$A$2:$A$700,$A663,元データ_加工!$B$2:$B$700,E$5)</f>
        <v>0</v>
      </c>
      <c r="F663" s="26">
        <f>SUMIFS(INDEX(元データ_加工!$C$2:$P$700,0,MATCH($B663,元データ_加工!$C$1:$P$1,0)),元データ_加工!$A$2:$A$700,$A663,元データ_加工!$B$2:$B$700,F$5)</f>
        <v>0</v>
      </c>
      <c r="G663" s="26">
        <f>SUMIFS(INDEX(元データ_加工!$C$2:$P$700,0,MATCH($B663,元データ_加工!$C$1:$P$1,0)),元データ_加工!$A$2:$A$700,$A663,元データ_加工!$B$2:$B$700,G$5)</f>
        <v>0</v>
      </c>
      <c r="H663" s="26">
        <f>SUMIFS(INDEX(元データ_加工!$C$2:$P$700,0,MATCH($B663,元データ_加工!$C$1:$P$1,0)),元データ_加工!$A$2:$A$700,$A663,元データ_加工!$B$2:$B$700,H$5)</f>
        <v>0</v>
      </c>
      <c r="I663" s="26">
        <f>SUMIFS(INDEX(元データ_加工!$C$2:$P$700,0,MATCH($B663,元データ_加工!$C$1:$P$1,0)),元データ_加工!$A$2:$A$700,$A663,元データ_加工!$B$2:$B$700,I$5)</f>
        <v>0</v>
      </c>
      <c r="J663" s="26">
        <f>SUMIFS(INDEX(元データ_加工!$C$2:$P$700,0,MATCH($B663,元データ_加工!$C$1:$P$1,0)),元データ_加工!$A$2:$A$700,$A663,元データ_加工!$B$2:$B$700,J$5)</f>
        <v>0</v>
      </c>
      <c r="K663" s="26">
        <f>SUMIFS(INDEX(元データ_加工!$C$2:$P$700,0,MATCH($B663,元データ_加工!$C$1:$P$1,0)),元データ_加工!$A$2:$A$700,$A663,元データ_加工!$B$2:$B$700,K$5)</f>
        <v>0</v>
      </c>
      <c r="L663" s="26">
        <f>SUMIFS(INDEX(元データ_加工!$C$2:$P$700,0,MATCH($B663,元データ_加工!$C$1:$P$1,0)),元データ_加工!$A$2:$A$700,$A663,元データ_加工!$B$2:$B$700,L$5)</f>
        <v>0</v>
      </c>
      <c r="M663" s="26">
        <f>SUMIFS(INDEX(元データ_加工!$C$2:$P$700,0,MATCH($B663,元データ_加工!$C$1:$P$1,0)),元データ_加工!$A$2:$A$700,$A663,元データ_加工!$B$2:$B$700,M$5)</f>
        <v>0</v>
      </c>
      <c r="N663" s="26">
        <f>SUMIFS(INDEX(元データ_加工!$C$2:$P$700,0,MATCH($B663,元データ_加工!$C$1:$P$1,0)),元データ_加工!$A$2:$A$700,$A663,元データ_加工!$B$2:$B$700,N$5)</f>
        <v>0</v>
      </c>
      <c r="O663" s="26">
        <f t="shared" si="10"/>
        <v>0</v>
      </c>
      <c r="P663" s="7">
        <f>IFERROR(O663/SUMIFS(元データ_加工!$C$2:$C$700,元データ_加工!$A$2:$A$700,$A663),"")</f>
        <v>0</v>
      </c>
    </row>
    <row r="664" spans="1:16" x14ac:dyDescent="0.45">
      <c r="A664" t="s">
        <v>82</v>
      </c>
      <c r="B664" t="s">
        <v>100</v>
      </c>
      <c r="C664" s="26">
        <f>SUMIFS(INDEX(元データ_加工!$C$2:$P$700,0,MATCH($B664,元データ_加工!$C$1:$P$1,0)),元データ_加工!$A$2:$A$700,$A664,元データ_加工!$B$2:$B$700,C$5)</f>
        <v>640</v>
      </c>
      <c r="D664" s="26">
        <f>SUMIFS(INDEX(元データ_加工!$C$2:$P$700,0,MATCH($B664,元データ_加工!$C$1:$P$1,0)),元データ_加工!$A$2:$A$700,$A664,元データ_加工!$B$2:$B$700,D$5)</f>
        <v>796</v>
      </c>
      <c r="E664" s="26">
        <f>SUMIFS(INDEX(元データ_加工!$C$2:$P$700,0,MATCH($B664,元データ_加工!$C$1:$P$1,0)),元データ_加工!$A$2:$A$700,$A664,元データ_加工!$B$2:$B$700,E$5)</f>
        <v>1115</v>
      </c>
      <c r="F664" s="26">
        <f>SUMIFS(INDEX(元データ_加工!$C$2:$P$700,0,MATCH($B664,元データ_加工!$C$1:$P$1,0)),元データ_加工!$A$2:$A$700,$A664,元データ_加工!$B$2:$B$700,F$5)</f>
        <v>997</v>
      </c>
      <c r="G664" s="26">
        <f>SUMIFS(INDEX(元データ_加工!$C$2:$P$700,0,MATCH($B664,元データ_加工!$C$1:$P$1,0)),元データ_加工!$A$2:$A$700,$A664,元データ_加工!$B$2:$B$700,G$5)</f>
        <v>894</v>
      </c>
      <c r="H664" s="26">
        <f>SUMIFS(INDEX(元データ_加工!$C$2:$P$700,0,MATCH($B664,元データ_加工!$C$1:$P$1,0)),元データ_加工!$A$2:$A$700,$A664,元データ_加工!$B$2:$B$700,H$5)</f>
        <v>758</v>
      </c>
      <c r="I664" s="26">
        <f>SUMIFS(INDEX(元データ_加工!$C$2:$P$700,0,MATCH($B664,元データ_加工!$C$1:$P$1,0)),元データ_加工!$A$2:$A$700,$A664,元データ_加工!$B$2:$B$700,I$5)</f>
        <v>610</v>
      </c>
      <c r="J664" s="26">
        <f>SUMIFS(INDEX(元データ_加工!$C$2:$P$700,0,MATCH($B664,元データ_加工!$C$1:$P$1,0)),元データ_加工!$A$2:$A$700,$A664,元データ_加工!$B$2:$B$700,J$5)</f>
        <v>1164</v>
      </c>
      <c r="K664" s="26">
        <f>SUMIFS(INDEX(元データ_加工!$C$2:$P$700,0,MATCH($B664,元データ_加工!$C$1:$P$1,0)),元データ_加工!$A$2:$A$700,$A664,元データ_加工!$B$2:$B$700,K$5)</f>
        <v>2040</v>
      </c>
      <c r="L664" s="26">
        <f>SUMIFS(INDEX(元データ_加工!$C$2:$P$700,0,MATCH($B664,元データ_加工!$C$1:$P$1,0)),元データ_加工!$A$2:$A$700,$A664,元データ_加工!$B$2:$B$700,L$5)</f>
        <v>1310</v>
      </c>
      <c r="M664" s="26">
        <f>SUMIFS(INDEX(元データ_加工!$C$2:$P$700,0,MATCH($B664,元データ_加工!$C$1:$P$1,0)),元データ_加工!$A$2:$A$700,$A664,元データ_加工!$B$2:$B$700,M$5)</f>
        <v>1459</v>
      </c>
      <c r="N664" s="26">
        <f>SUMIFS(INDEX(元データ_加工!$C$2:$P$700,0,MATCH($B664,元データ_加工!$C$1:$P$1,0)),元データ_加工!$A$2:$A$700,$A664,元データ_加工!$B$2:$B$700,N$5)</f>
        <v>1018</v>
      </c>
      <c r="O664" s="26">
        <f t="shared" si="10"/>
        <v>12801</v>
      </c>
      <c r="P664" s="7">
        <f>IFERROR(O664/SUMIFS(元データ_加工!$C$2:$C$700,元データ_加工!$A$2:$A$700,$A664),"")</f>
        <v>1</v>
      </c>
    </row>
    <row r="665" spans="1:16" x14ac:dyDescent="0.45">
      <c r="A665" t="s">
        <v>82</v>
      </c>
      <c r="B665" t="s">
        <v>101</v>
      </c>
      <c r="C665" s="26">
        <f>SUMIFS(INDEX(元データ_加工!$C$2:$P$700,0,MATCH($B665,元データ_加工!$C$1:$P$1,0)),元データ_加工!$A$2:$A$700,$A665,元データ_加工!$B$2:$B$700,C$5)</f>
        <v>141</v>
      </c>
      <c r="D665" s="26">
        <f>SUMIFS(INDEX(元データ_加工!$C$2:$P$700,0,MATCH($B665,元データ_加工!$C$1:$P$1,0)),元データ_加工!$A$2:$A$700,$A665,元データ_加工!$B$2:$B$700,D$5)</f>
        <v>162</v>
      </c>
      <c r="E665" s="26">
        <f>SUMIFS(INDEX(元データ_加工!$C$2:$P$700,0,MATCH($B665,元データ_加工!$C$1:$P$1,0)),元データ_加工!$A$2:$A$700,$A665,元データ_加工!$B$2:$B$700,E$5)</f>
        <v>192</v>
      </c>
      <c r="F665" s="26">
        <f>SUMIFS(INDEX(元データ_加工!$C$2:$P$700,0,MATCH($B665,元データ_加工!$C$1:$P$1,0)),元データ_加工!$A$2:$A$700,$A665,元データ_加工!$B$2:$B$700,F$5)</f>
        <v>190</v>
      </c>
      <c r="G665" s="26">
        <f>SUMIFS(INDEX(元データ_加工!$C$2:$P$700,0,MATCH($B665,元データ_加工!$C$1:$P$1,0)),元データ_加工!$A$2:$A$700,$A665,元データ_加工!$B$2:$B$700,G$5)</f>
        <v>99</v>
      </c>
      <c r="H665" s="26">
        <f>SUMIFS(INDEX(元データ_加工!$C$2:$P$700,0,MATCH($B665,元データ_加工!$C$1:$P$1,0)),元データ_加工!$A$2:$A$700,$A665,元データ_加工!$B$2:$B$700,H$5)</f>
        <v>152</v>
      </c>
      <c r="I665" s="26">
        <f>SUMIFS(INDEX(元データ_加工!$C$2:$P$700,0,MATCH($B665,元データ_加工!$C$1:$P$1,0)),元データ_加工!$A$2:$A$700,$A665,元データ_加工!$B$2:$B$700,I$5)</f>
        <v>139</v>
      </c>
      <c r="J665" s="26">
        <f>SUMIFS(INDEX(元データ_加工!$C$2:$P$700,0,MATCH($B665,元データ_加工!$C$1:$P$1,0)),元データ_加工!$A$2:$A$700,$A665,元データ_加工!$B$2:$B$700,J$5)</f>
        <v>175</v>
      </c>
      <c r="K665" s="26">
        <f>SUMIFS(INDEX(元データ_加工!$C$2:$P$700,0,MATCH($B665,元データ_加工!$C$1:$P$1,0)),元データ_加工!$A$2:$A$700,$A665,元データ_加工!$B$2:$B$700,K$5)</f>
        <v>330</v>
      </c>
      <c r="L665" s="26">
        <f>SUMIFS(INDEX(元データ_加工!$C$2:$P$700,0,MATCH($B665,元データ_加工!$C$1:$P$1,0)),元データ_加工!$A$2:$A$700,$A665,元データ_加工!$B$2:$B$700,L$5)</f>
        <v>262</v>
      </c>
      <c r="M665" s="26">
        <f>SUMIFS(INDEX(元データ_加工!$C$2:$P$700,0,MATCH($B665,元データ_加工!$C$1:$P$1,0)),元データ_加工!$A$2:$A$700,$A665,元データ_加工!$B$2:$B$700,M$5)</f>
        <v>347</v>
      </c>
      <c r="N665" s="26">
        <f>SUMIFS(INDEX(元データ_加工!$C$2:$P$700,0,MATCH($B665,元データ_加工!$C$1:$P$1,0)),元データ_加工!$A$2:$A$700,$A665,元データ_加工!$B$2:$B$700,N$5)</f>
        <v>327</v>
      </c>
      <c r="O665" s="26">
        <f t="shared" si="10"/>
        <v>2516</v>
      </c>
      <c r="P665" s="7">
        <f>IFERROR(O665/SUMIFS(元データ_加工!$C$2:$C$700,元データ_加工!$A$2:$A$700,$A665),"")</f>
        <v>0.19654714475431606</v>
      </c>
    </row>
    <row r="666" spans="1:16" x14ac:dyDescent="0.45">
      <c r="A666" t="s">
        <v>82</v>
      </c>
      <c r="B666" t="s">
        <v>102</v>
      </c>
      <c r="C666" s="26">
        <f>SUMIFS(INDEX(元データ_加工!$C$2:$P$700,0,MATCH($B666,元データ_加工!$C$1:$P$1,0)),元データ_加工!$A$2:$A$700,$A666,元データ_加工!$B$2:$B$700,C$5)</f>
        <v>0</v>
      </c>
      <c r="D666" s="26">
        <f>SUMIFS(INDEX(元データ_加工!$C$2:$P$700,0,MATCH($B666,元データ_加工!$C$1:$P$1,0)),元データ_加工!$A$2:$A$700,$A666,元データ_加工!$B$2:$B$700,D$5)</f>
        <v>0</v>
      </c>
      <c r="E666" s="26">
        <f>SUMIFS(INDEX(元データ_加工!$C$2:$P$700,0,MATCH($B666,元データ_加工!$C$1:$P$1,0)),元データ_加工!$A$2:$A$700,$A666,元データ_加工!$B$2:$B$700,E$5)</f>
        <v>0</v>
      </c>
      <c r="F666" s="26">
        <f>SUMIFS(INDEX(元データ_加工!$C$2:$P$700,0,MATCH($B666,元データ_加工!$C$1:$P$1,0)),元データ_加工!$A$2:$A$700,$A666,元データ_加工!$B$2:$B$700,F$5)</f>
        <v>0</v>
      </c>
      <c r="G666" s="26">
        <f>SUMIFS(INDEX(元データ_加工!$C$2:$P$700,0,MATCH($B666,元データ_加工!$C$1:$P$1,0)),元データ_加工!$A$2:$A$700,$A666,元データ_加工!$B$2:$B$700,G$5)</f>
        <v>0</v>
      </c>
      <c r="H666" s="26">
        <f>SUMIFS(INDEX(元データ_加工!$C$2:$P$700,0,MATCH($B666,元データ_加工!$C$1:$P$1,0)),元データ_加工!$A$2:$A$700,$A666,元データ_加工!$B$2:$B$700,H$5)</f>
        <v>0</v>
      </c>
      <c r="I666" s="26">
        <f>SUMIFS(INDEX(元データ_加工!$C$2:$P$700,0,MATCH($B666,元データ_加工!$C$1:$P$1,0)),元データ_加工!$A$2:$A$700,$A666,元データ_加工!$B$2:$B$700,I$5)</f>
        <v>0</v>
      </c>
      <c r="J666" s="26">
        <f>SUMIFS(INDEX(元データ_加工!$C$2:$P$700,0,MATCH($B666,元データ_加工!$C$1:$P$1,0)),元データ_加工!$A$2:$A$700,$A666,元データ_加工!$B$2:$B$700,J$5)</f>
        <v>7</v>
      </c>
      <c r="K666" s="26">
        <f>SUMIFS(INDEX(元データ_加工!$C$2:$P$700,0,MATCH($B666,元データ_加工!$C$1:$P$1,0)),元データ_加工!$A$2:$A$700,$A666,元データ_加工!$B$2:$B$700,K$5)</f>
        <v>7</v>
      </c>
      <c r="L666" s="26">
        <f>SUMIFS(INDEX(元データ_加工!$C$2:$P$700,0,MATCH($B666,元データ_加工!$C$1:$P$1,0)),元データ_加工!$A$2:$A$700,$A666,元データ_加工!$B$2:$B$700,L$5)</f>
        <v>0</v>
      </c>
      <c r="M666" s="26">
        <f>SUMIFS(INDEX(元データ_加工!$C$2:$P$700,0,MATCH($B666,元データ_加工!$C$1:$P$1,0)),元データ_加工!$A$2:$A$700,$A666,元データ_加工!$B$2:$B$700,M$5)</f>
        <v>0</v>
      </c>
      <c r="N666" s="26">
        <f>SUMIFS(INDEX(元データ_加工!$C$2:$P$700,0,MATCH($B666,元データ_加工!$C$1:$P$1,0)),元データ_加工!$A$2:$A$700,$A666,元データ_加工!$B$2:$B$700,N$5)</f>
        <v>0</v>
      </c>
      <c r="O666" s="26">
        <f t="shared" si="10"/>
        <v>14</v>
      </c>
      <c r="P666" s="7">
        <f>IFERROR(O666/SUMIFS(元データ_加工!$C$2:$C$700,元データ_加工!$A$2:$A$700,$A666),"")</f>
        <v>1.0936645574564487E-3</v>
      </c>
    </row>
    <row r="667" spans="1:16" x14ac:dyDescent="0.45">
      <c r="A667" t="s">
        <v>82</v>
      </c>
      <c r="B667" t="s">
        <v>103</v>
      </c>
      <c r="C667" s="26">
        <f>SUMIFS(INDEX(元データ_加工!$C$2:$P$700,0,MATCH($B667,元データ_加工!$C$1:$P$1,0)),元データ_加工!$A$2:$A$700,$A667,元データ_加工!$B$2:$B$700,C$5)</f>
        <v>0</v>
      </c>
      <c r="D667" s="26">
        <f>SUMIFS(INDEX(元データ_加工!$C$2:$P$700,0,MATCH($B667,元データ_加工!$C$1:$P$1,0)),元データ_加工!$A$2:$A$700,$A667,元データ_加工!$B$2:$B$700,D$5)</f>
        <v>2</v>
      </c>
      <c r="E667" s="26">
        <f>SUMIFS(INDEX(元データ_加工!$C$2:$P$700,0,MATCH($B667,元データ_加工!$C$1:$P$1,0)),元データ_加工!$A$2:$A$700,$A667,元データ_加工!$B$2:$B$700,E$5)</f>
        <v>14</v>
      </c>
      <c r="F667" s="26">
        <f>SUMIFS(INDEX(元データ_加工!$C$2:$P$700,0,MATCH($B667,元データ_加工!$C$1:$P$1,0)),元データ_加工!$A$2:$A$700,$A667,元データ_加工!$B$2:$B$700,F$5)</f>
        <v>29</v>
      </c>
      <c r="G667" s="26">
        <f>SUMIFS(INDEX(元データ_加工!$C$2:$P$700,0,MATCH($B667,元データ_加工!$C$1:$P$1,0)),元データ_加工!$A$2:$A$700,$A667,元データ_加工!$B$2:$B$700,G$5)</f>
        <v>47</v>
      </c>
      <c r="H667" s="26">
        <f>SUMIFS(INDEX(元データ_加工!$C$2:$P$700,0,MATCH($B667,元データ_加工!$C$1:$P$1,0)),元データ_加工!$A$2:$A$700,$A667,元データ_加工!$B$2:$B$700,H$5)</f>
        <v>52</v>
      </c>
      <c r="I667" s="26">
        <f>SUMIFS(INDEX(元データ_加工!$C$2:$P$700,0,MATCH($B667,元データ_加工!$C$1:$P$1,0)),元データ_加工!$A$2:$A$700,$A667,元データ_加工!$B$2:$B$700,I$5)</f>
        <v>23</v>
      </c>
      <c r="J667" s="26">
        <f>SUMIFS(INDEX(元データ_加工!$C$2:$P$700,0,MATCH($B667,元データ_加工!$C$1:$P$1,0)),元データ_加工!$A$2:$A$700,$A667,元データ_加工!$B$2:$B$700,J$5)</f>
        <v>20</v>
      </c>
      <c r="K667" s="26">
        <f>SUMIFS(INDEX(元データ_加工!$C$2:$P$700,0,MATCH($B667,元データ_加工!$C$1:$P$1,0)),元データ_加工!$A$2:$A$700,$A667,元データ_加工!$B$2:$B$700,K$5)</f>
        <v>49</v>
      </c>
      <c r="L667" s="26">
        <f>SUMIFS(INDEX(元データ_加工!$C$2:$P$700,0,MATCH($B667,元データ_加工!$C$1:$P$1,0)),元データ_加工!$A$2:$A$700,$A667,元データ_加工!$B$2:$B$700,L$5)</f>
        <v>14</v>
      </c>
      <c r="M667" s="26">
        <f>SUMIFS(INDEX(元データ_加工!$C$2:$P$700,0,MATCH($B667,元データ_加工!$C$1:$P$1,0)),元データ_加工!$A$2:$A$700,$A667,元データ_加工!$B$2:$B$700,M$5)</f>
        <v>16</v>
      </c>
      <c r="N667" s="26">
        <f>SUMIFS(INDEX(元データ_加工!$C$2:$P$700,0,MATCH($B667,元データ_加工!$C$1:$P$1,0)),元データ_加工!$A$2:$A$700,$A667,元データ_加工!$B$2:$B$700,N$5)</f>
        <v>6</v>
      </c>
      <c r="O667" s="26">
        <f t="shared" si="10"/>
        <v>272</v>
      </c>
      <c r="P667" s="7">
        <f>IFERROR(O667/SUMIFS(元データ_加工!$C$2:$C$700,元データ_加工!$A$2:$A$700,$A667),"")</f>
        <v>2.1248339973439574E-2</v>
      </c>
    </row>
    <row r="668" spans="1:16" x14ac:dyDescent="0.45">
      <c r="A668" t="s">
        <v>82</v>
      </c>
      <c r="B668" t="s">
        <v>104</v>
      </c>
      <c r="C668" s="26">
        <f>SUMIFS(INDEX(元データ_加工!$C$2:$P$700,0,MATCH($B668,元データ_加工!$C$1:$P$1,0)),元データ_加工!$A$2:$A$700,$A668,元データ_加工!$B$2:$B$700,C$5)</f>
        <v>7</v>
      </c>
      <c r="D668" s="26">
        <f>SUMIFS(INDEX(元データ_加工!$C$2:$P$700,0,MATCH($B668,元データ_加工!$C$1:$P$1,0)),元データ_加工!$A$2:$A$700,$A668,元データ_加工!$B$2:$B$700,D$5)</f>
        <v>8</v>
      </c>
      <c r="E668" s="26">
        <f>SUMIFS(INDEX(元データ_加工!$C$2:$P$700,0,MATCH($B668,元データ_加工!$C$1:$P$1,0)),元データ_加工!$A$2:$A$700,$A668,元データ_加工!$B$2:$B$700,E$5)</f>
        <v>40</v>
      </c>
      <c r="F668" s="26">
        <f>SUMIFS(INDEX(元データ_加工!$C$2:$P$700,0,MATCH($B668,元データ_加工!$C$1:$P$1,0)),元データ_加工!$A$2:$A$700,$A668,元データ_加工!$B$2:$B$700,F$5)</f>
        <v>35</v>
      </c>
      <c r="G668" s="26">
        <f>SUMIFS(INDEX(元データ_加工!$C$2:$P$700,0,MATCH($B668,元データ_加工!$C$1:$P$1,0)),元データ_加工!$A$2:$A$700,$A668,元データ_加工!$B$2:$B$700,G$5)</f>
        <v>23</v>
      </c>
      <c r="H668" s="26">
        <f>SUMIFS(INDEX(元データ_加工!$C$2:$P$700,0,MATCH($B668,元データ_加工!$C$1:$P$1,0)),元データ_加工!$A$2:$A$700,$A668,元データ_加工!$B$2:$B$700,H$5)</f>
        <v>34</v>
      </c>
      <c r="I668" s="26">
        <f>SUMIFS(INDEX(元データ_加工!$C$2:$P$700,0,MATCH($B668,元データ_加工!$C$1:$P$1,0)),元データ_加工!$A$2:$A$700,$A668,元データ_加工!$B$2:$B$700,I$5)</f>
        <v>29</v>
      </c>
      <c r="J668" s="26">
        <f>SUMIFS(INDEX(元データ_加工!$C$2:$P$700,0,MATCH($B668,元データ_加工!$C$1:$P$1,0)),元データ_加工!$A$2:$A$700,$A668,元データ_加工!$B$2:$B$700,J$5)</f>
        <v>140</v>
      </c>
      <c r="K668" s="26">
        <f>SUMIFS(INDEX(元データ_加工!$C$2:$P$700,0,MATCH($B668,元データ_加工!$C$1:$P$1,0)),元データ_加工!$A$2:$A$700,$A668,元データ_加工!$B$2:$B$700,K$5)</f>
        <v>117</v>
      </c>
      <c r="L668" s="26">
        <f>SUMIFS(INDEX(元データ_加工!$C$2:$P$700,0,MATCH($B668,元データ_加工!$C$1:$P$1,0)),元データ_加工!$A$2:$A$700,$A668,元データ_加工!$B$2:$B$700,L$5)</f>
        <v>95</v>
      </c>
      <c r="M668" s="26">
        <f>SUMIFS(INDEX(元データ_加工!$C$2:$P$700,0,MATCH($B668,元データ_加工!$C$1:$P$1,0)),元データ_加工!$A$2:$A$700,$A668,元データ_加工!$B$2:$B$700,M$5)</f>
        <v>106</v>
      </c>
      <c r="N668" s="26">
        <f>SUMIFS(INDEX(元データ_加工!$C$2:$P$700,0,MATCH($B668,元データ_加工!$C$1:$P$1,0)),元データ_加工!$A$2:$A$700,$A668,元データ_加工!$B$2:$B$700,N$5)</f>
        <v>26</v>
      </c>
      <c r="O668" s="26">
        <f t="shared" si="10"/>
        <v>660</v>
      </c>
      <c r="P668" s="7">
        <f>IFERROR(O668/SUMIFS(元データ_加工!$C$2:$C$700,元データ_加工!$A$2:$A$700,$A668),"")</f>
        <v>5.1558471994375438E-2</v>
      </c>
    </row>
    <row r="669" spans="1:16" x14ac:dyDescent="0.45">
      <c r="A669" t="s">
        <v>82</v>
      </c>
      <c r="B669" t="s">
        <v>105</v>
      </c>
      <c r="C669" s="26">
        <f>SUMIFS(INDEX(元データ_加工!$C$2:$P$700,0,MATCH($B669,元データ_加工!$C$1:$P$1,0)),元データ_加工!$A$2:$A$700,$A669,元データ_加工!$B$2:$B$700,C$5)</f>
        <v>0</v>
      </c>
      <c r="D669" s="26">
        <f>SUMIFS(INDEX(元データ_加工!$C$2:$P$700,0,MATCH($B669,元データ_加工!$C$1:$P$1,0)),元データ_加工!$A$2:$A$700,$A669,元データ_加工!$B$2:$B$700,D$5)</f>
        <v>4</v>
      </c>
      <c r="E669" s="26">
        <f>SUMIFS(INDEX(元データ_加工!$C$2:$P$700,0,MATCH($B669,元データ_加工!$C$1:$P$1,0)),元データ_加工!$A$2:$A$700,$A669,元データ_加工!$B$2:$B$700,E$5)</f>
        <v>5</v>
      </c>
      <c r="F669" s="26">
        <f>SUMIFS(INDEX(元データ_加工!$C$2:$P$700,0,MATCH($B669,元データ_加工!$C$1:$P$1,0)),元データ_加工!$A$2:$A$700,$A669,元データ_加工!$B$2:$B$700,F$5)</f>
        <v>7</v>
      </c>
      <c r="G669" s="26">
        <f>SUMIFS(INDEX(元データ_加工!$C$2:$P$700,0,MATCH($B669,元データ_加工!$C$1:$P$1,0)),元データ_加工!$A$2:$A$700,$A669,元データ_加工!$B$2:$B$700,G$5)</f>
        <v>0</v>
      </c>
      <c r="H669" s="26">
        <f>SUMIFS(INDEX(元データ_加工!$C$2:$P$700,0,MATCH($B669,元データ_加工!$C$1:$P$1,0)),元データ_加工!$A$2:$A$700,$A669,元データ_加工!$B$2:$B$700,H$5)</f>
        <v>13</v>
      </c>
      <c r="I669" s="26">
        <f>SUMIFS(INDEX(元データ_加工!$C$2:$P$700,0,MATCH($B669,元データ_加工!$C$1:$P$1,0)),元データ_加工!$A$2:$A$700,$A669,元データ_加工!$B$2:$B$700,I$5)</f>
        <v>7</v>
      </c>
      <c r="J669" s="26">
        <f>SUMIFS(INDEX(元データ_加工!$C$2:$P$700,0,MATCH($B669,元データ_加工!$C$1:$P$1,0)),元データ_加工!$A$2:$A$700,$A669,元データ_加工!$B$2:$B$700,J$5)</f>
        <v>58</v>
      </c>
      <c r="K669" s="26">
        <f>SUMIFS(INDEX(元データ_加工!$C$2:$P$700,0,MATCH($B669,元データ_加工!$C$1:$P$1,0)),元データ_加工!$A$2:$A$700,$A669,元データ_加工!$B$2:$B$700,K$5)</f>
        <v>138</v>
      </c>
      <c r="L669" s="26">
        <f>SUMIFS(INDEX(元データ_加工!$C$2:$P$700,0,MATCH($B669,元データ_加工!$C$1:$P$1,0)),元データ_加工!$A$2:$A$700,$A669,元データ_加工!$B$2:$B$700,L$5)</f>
        <v>83</v>
      </c>
      <c r="M669" s="26">
        <f>SUMIFS(INDEX(元データ_加工!$C$2:$P$700,0,MATCH($B669,元データ_加工!$C$1:$P$1,0)),元データ_加工!$A$2:$A$700,$A669,元データ_加工!$B$2:$B$700,M$5)</f>
        <v>26</v>
      </c>
      <c r="N669" s="26">
        <f>SUMIFS(INDEX(元データ_加工!$C$2:$P$700,0,MATCH($B669,元データ_加工!$C$1:$P$1,0)),元データ_加工!$A$2:$A$700,$A669,元データ_加工!$B$2:$B$700,N$5)</f>
        <v>12</v>
      </c>
      <c r="O669" s="26">
        <f t="shared" si="10"/>
        <v>353</v>
      </c>
      <c r="P669" s="7">
        <f>IFERROR(O669/SUMIFS(元データ_加工!$C$2:$C$700,元データ_加工!$A$2:$A$700,$A669),"")</f>
        <v>2.7575970627294742E-2</v>
      </c>
    </row>
    <row r="670" spans="1:16" x14ac:dyDescent="0.45">
      <c r="A670" t="s">
        <v>82</v>
      </c>
      <c r="B670" t="s">
        <v>106</v>
      </c>
      <c r="C670" s="26">
        <f>SUMIFS(INDEX(元データ_加工!$C$2:$P$700,0,MATCH($B670,元データ_加工!$C$1:$P$1,0)),元データ_加工!$A$2:$A$700,$A670,元データ_加工!$B$2:$B$700,C$5)</f>
        <v>318</v>
      </c>
      <c r="D670" s="26">
        <f>SUMIFS(INDEX(元データ_加工!$C$2:$P$700,0,MATCH($B670,元データ_加工!$C$1:$P$1,0)),元データ_加工!$A$2:$A$700,$A670,元データ_加工!$B$2:$B$700,D$5)</f>
        <v>403</v>
      </c>
      <c r="E670" s="26">
        <f>SUMIFS(INDEX(元データ_加工!$C$2:$P$700,0,MATCH($B670,元データ_加工!$C$1:$P$1,0)),元データ_加工!$A$2:$A$700,$A670,元データ_加工!$B$2:$B$700,E$5)</f>
        <v>512</v>
      </c>
      <c r="F670" s="26">
        <f>SUMIFS(INDEX(元データ_加工!$C$2:$P$700,0,MATCH($B670,元データ_加工!$C$1:$P$1,0)),元データ_加工!$A$2:$A$700,$A670,元データ_加工!$B$2:$B$700,F$5)</f>
        <v>395</v>
      </c>
      <c r="G670" s="26">
        <f>SUMIFS(INDEX(元データ_加工!$C$2:$P$700,0,MATCH($B670,元データ_加工!$C$1:$P$1,0)),元データ_加工!$A$2:$A$700,$A670,元データ_加工!$B$2:$B$700,G$5)</f>
        <v>311</v>
      </c>
      <c r="H670" s="26">
        <f>SUMIFS(INDEX(元データ_加工!$C$2:$P$700,0,MATCH($B670,元データ_加工!$C$1:$P$1,0)),元データ_加工!$A$2:$A$700,$A670,元データ_加工!$B$2:$B$700,H$5)</f>
        <v>228</v>
      </c>
      <c r="I670" s="26">
        <f>SUMIFS(INDEX(元データ_加工!$C$2:$P$700,0,MATCH($B670,元データ_加工!$C$1:$P$1,0)),元データ_加工!$A$2:$A$700,$A670,元データ_加工!$B$2:$B$700,I$5)</f>
        <v>203</v>
      </c>
      <c r="J670" s="26">
        <f>SUMIFS(INDEX(元データ_加工!$C$2:$P$700,0,MATCH($B670,元データ_加工!$C$1:$P$1,0)),元データ_加工!$A$2:$A$700,$A670,元データ_加工!$B$2:$B$700,J$5)</f>
        <v>401</v>
      </c>
      <c r="K670" s="26">
        <f>SUMIFS(INDEX(元データ_加工!$C$2:$P$700,0,MATCH($B670,元データ_加工!$C$1:$P$1,0)),元データ_加工!$A$2:$A$700,$A670,元データ_加工!$B$2:$B$700,K$5)</f>
        <v>529</v>
      </c>
      <c r="L670" s="26">
        <f>SUMIFS(INDEX(元データ_加工!$C$2:$P$700,0,MATCH($B670,元データ_加工!$C$1:$P$1,0)),元データ_加工!$A$2:$A$700,$A670,元データ_加工!$B$2:$B$700,L$5)</f>
        <v>427</v>
      </c>
      <c r="M670" s="26">
        <f>SUMIFS(INDEX(元データ_加工!$C$2:$P$700,0,MATCH($B670,元データ_加工!$C$1:$P$1,0)),元データ_加工!$A$2:$A$700,$A670,元データ_加工!$B$2:$B$700,M$5)</f>
        <v>519</v>
      </c>
      <c r="N670" s="26">
        <f>SUMIFS(INDEX(元データ_加工!$C$2:$P$700,0,MATCH($B670,元データ_加工!$C$1:$P$1,0)),元データ_加工!$A$2:$A$700,$A670,元データ_加工!$B$2:$B$700,N$5)</f>
        <v>405</v>
      </c>
      <c r="O670" s="26">
        <f t="shared" si="10"/>
        <v>4651</v>
      </c>
      <c r="P670" s="7">
        <f>IFERROR(O670/SUMIFS(元データ_加工!$C$2:$C$700,元データ_加工!$A$2:$A$700,$A670),"")</f>
        <v>0.36333098976642447</v>
      </c>
    </row>
    <row r="671" spans="1:16" x14ac:dyDescent="0.45">
      <c r="A671" t="s">
        <v>82</v>
      </c>
      <c r="B671" t="s">
        <v>107</v>
      </c>
      <c r="C671" s="26">
        <f>SUMIFS(INDEX(元データ_加工!$C$2:$P$700,0,MATCH($B671,元データ_加工!$C$1:$P$1,0)),元データ_加工!$A$2:$A$700,$A671,元データ_加工!$B$2:$B$700,C$5)</f>
        <v>18</v>
      </c>
      <c r="D671" s="26">
        <f>SUMIFS(INDEX(元データ_加工!$C$2:$P$700,0,MATCH($B671,元データ_加工!$C$1:$P$1,0)),元データ_加工!$A$2:$A$700,$A671,元データ_加工!$B$2:$B$700,D$5)</f>
        <v>50</v>
      </c>
      <c r="E671" s="26">
        <f>SUMIFS(INDEX(元データ_加工!$C$2:$P$700,0,MATCH($B671,元データ_加工!$C$1:$P$1,0)),元データ_加工!$A$2:$A$700,$A671,元データ_加工!$B$2:$B$700,E$5)</f>
        <v>109</v>
      </c>
      <c r="F671" s="26">
        <f>SUMIFS(INDEX(元データ_加工!$C$2:$P$700,0,MATCH($B671,元データ_加工!$C$1:$P$1,0)),元データ_加工!$A$2:$A$700,$A671,元データ_加工!$B$2:$B$700,F$5)</f>
        <v>99</v>
      </c>
      <c r="G671" s="26">
        <f>SUMIFS(INDEX(元データ_加工!$C$2:$P$700,0,MATCH($B671,元データ_加工!$C$1:$P$1,0)),元データ_加工!$A$2:$A$700,$A671,元データ_加工!$B$2:$B$700,G$5)</f>
        <v>75</v>
      </c>
      <c r="H671" s="26">
        <f>SUMIFS(INDEX(元データ_加工!$C$2:$P$700,0,MATCH($B671,元データ_加工!$C$1:$P$1,0)),元データ_加工!$A$2:$A$700,$A671,元データ_加工!$B$2:$B$700,H$5)</f>
        <v>72</v>
      </c>
      <c r="I671" s="26">
        <f>SUMIFS(INDEX(元データ_加工!$C$2:$P$700,0,MATCH($B671,元データ_加工!$C$1:$P$1,0)),元データ_加工!$A$2:$A$700,$A671,元データ_加工!$B$2:$B$700,I$5)</f>
        <v>40</v>
      </c>
      <c r="J671" s="26">
        <f>SUMIFS(INDEX(元データ_加工!$C$2:$P$700,0,MATCH($B671,元データ_加工!$C$1:$P$1,0)),元データ_加工!$A$2:$A$700,$A671,元データ_加工!$B$2:$B$700,J$5)</f>
        <v>70</v>
      </c>
      <c r="K671" s="26">
        <f>SUMIFS(INDEX(元データ_加工!$C$2:$P$700,0,MATCH($B671,元データ_加工!$C$1:$P$1,0)),元データ_加工!$A$2:$A$700,$A671,元データ_加工!$B$2:$B$700,K$5)</f>
        <v>79</v>
      </c>
      <c r="L671" s="26">
        <f>SUMIFS(INDEX(元データ_加工!$C$2:$P$700,0,MATCH($B671,元データ_加工!$C$1:$P$1,0)),元データ_加工!$A$2:$A$700,$A671,元データ_加工!$B$2:$B$700,L$5)</f>
        <v>72</v>
      </c>
      <c r="M671" s="26">
        <f>SUMIFS(INDEX(元データ_加工!$C$2:$P$700,0,MATCH($B671,元データ_加工!$C$1:$P$1,0)),元データ_加工!$A$2:$A$700,$A671,元データ_加工!$B$2:$B$700,M$5)</f>
        <v>37</v>
      </c>
      <c r="N671" s="26">
        <f>SUMIFS(INDEX(元データ_加工!$C$2:$P$700,0,MATCH($B671,元データ_加工!$C$1:$P$1,0)),元データ_加工!$A$2:$A$700,$A671,元データ_加工!$B$2:$B$700,N$5)</f>
        <v>103</v>
      </c>
      <c r="O671" s="26">
        <f t="shared" si="10"/>
        <v>824</v>
      </c>
      <c r="P671" s="7">
        <f>IFERROR(O671/SUMIFS(元データ_加工!$C$2:$C$700,元データ_加工!$A$2:$A$700,$A671),"")</f>
        <v>6.436997109600813E-2</v>
      </c>
    </row>
    <row r="672" spans="1:16" x14ac:dyDescent="0.45">
      <c r="A672" t="s">
        <v>82</v>
      </c>
      <c r="B672" t="s">
        <v>108</v>
      </c>
      <c r="C672" s="26">
        <f>SUMIFS(INDEX(元データ_加工!$C$2:$P$700,0,MATCH($B672,元データ_加工!$C$1:$P$1,0)),元データ_加工!$A$2:$A$700,$A672,元データ_加工!$B$2:$B$700,C$5)</f>
        <v>20</v>
      </c>
      <c r="D672" s="26">
        <f>SUMIFS(INDEX(元データ_加工!$C$2:$P$700,0,MATCH($B672,元データ_加工!$C$1:$P$1,0)),元データ_加工!$A$2:$A$700,$A672,元データ_加工!$B$2:$B$700,D$5)</f>
        <v>38</v>
      </c>
      <c r="E672" s="26">
        <f>SUMIFS(INDEX(元データ_加工!$C$2:$P$700,0,MATCH($B672,元データ_加工!$C$1:$P$1,0)),元データ_加工!$A$2:$A$700,$A672,元データ_加工!$B$2:$B$700,E$5)</f>
        <v>36</v>
      </c>
      <c r="F672" s="26">
        <f>SUMIFS(INDEX(元データ_加工!$C$2:$P$700,0,MATCH($B672,元データ_加工!$C$1:$P$1,0)),元データ_加工!$A$2:$A$700,$A672,元データ_加工!$B$2:$B$700,F$5)</f>
        <v>82</v>
      </c>
      <c r="G672" s="26">
        <f>SUMIFS(INDEX(元データ_加工!$C$2:$P$700,0,MATCH($B672,元データ_加工!$C$1:$P$1,0)),元データ_加工!$A$2:$A$700,$A672,元データ_加工!$B$2:$B$700,G$5)</f>
        <v>52</v>
      </c>
      <c r="H672" s="26">
        <f>SUMIFS(INDEX(元データ_加工!$C$2:$P$700,0,MATCH($B672,元データ_加工!$C$1:$P$1,0)),元データ_加工!$A$2:$A$700,$A672,元データ_加工!$B$2:$B$700,H$5)</f>
        <v>39</v>
      </c>
      <c r="I672" s="26">
        <f>SUMIFS(INDEX(元データ_加工!$C$2:$P$700,0,MATCH($B672,元データ_加工!$C$1:$P$1,0)),元データ_加工!$A$2:$A$700,$A672,元データ_加工!$B$2:$B$700,I$5)</f>
        <v>10</v>
      </c>
      <c r="J672" s="26">
        <f>SUMIFS(INDEX(元データ_加工!$C$2:$P$700,0,MATCH($B672,元データ_加工!$C$1:$P$1,0)),元データ_加工!$A$2:$A$700,$A672,元データ_加工!$B$2:$B$700,J$5)</f>
        <v>10</v>
      </c>
      <c r="K672" s="26">
        <f>SUMIFS(INDEX(元データ_加工!$C$2:$P$700,0,MATCH($B672,元データ_加工!$C$1:$P$1,0)),元データ_加工!$A$2:$A$700,$A672,元データ_加工!$B$2:$B$700,K$5)</f>
        <v>29</v>
      </c>
      <c r="L672" s="26">
        <f>SUMIFS(INDEX(元データ_加工!$C$2:$P$700,0,MATCH($B672,元データ_加工!$C$1:$P$1,0)),元データ_加工!$A$2:$A$700,$A672,元データ_加工!$B$2:$B$700,L$5)</f>
        <v>13</v>
      </c>
      <c r="M672" s="26">
        <f>SUMIFS(INDEX(元データ_加工!$C$2:$P$700,0,MATCH($B672,元データ_加工!$C$1:$P$1,0)),元データ_加工!$A$2:$A$700,$A672,元データ_加工!$B$2:$B$700,M$5)</f>
        <v>13</v>
      </c>
      <c r="N672" s="26">
        <f>SUMIFS(INDEX(元データ_加工!$C$2:$P$700,0,MATCH($B672,元データ_加工!$C$1:$P$1,0)),元データ_加工!$A$2:$A$700,$A672,元データ_加工!$B$2:$B$700,N$5)</f>
        <v>30</v>
      </c>
      <c r="O672" s="26">
        <f t="shared" si="10"/>
        <v>372</v>
      </c>
      <c r="P672" s="7">
        <f>IFERROR(O672/SUMIFS(元データ_加工!$C$2:$C$700,元データ_加工!$A$2:$A$700,$A672),"")</f>
        <v>2.9060229669557066E-2</v>
      </c>
    </row>
    <row r="673" spans="1:16" x14ac:dyDescent="0.45">
      <c r="A673" t="s">
        <v>82</v>
      </c>
      <c r="B673" t="s">
        <v>109</v>
      </c>
      <c r="C673" s="26">
        <f>SUMIFS(INDEX(元データ_加工!$C$2:$P$700,0,MATCH($B673,元データ_加工!$C$1:$P$1,0)),元データ_加工!$A$2:$A$700,$A673,元データ_加工!$B$2:$B$700,C$5)</f>
        <v>11</v>
      </c>
      <c r="D673" s="26">
        <f>SUMIFS(INDEX(元データ_加工!$C$2:$P$700,0,MATCH($B673,元データ_加工!$C$1:$P$1,0)),元データ_加工!$A$2:$A$700,$A673,元データ_加工!$B$2:$B$700,D$5)</f>
        <v>17</v>
      </c>
      <c r="E673" s="26">
        <f>SUMIFS(INDEX(元データ_加工!$C$2:$P$700,0,MATCH($B673,元データ_加工!$C$1:$P$1,0)),元データ_加工!$A$2:$A$700,$A673,元データ_加工!$B$2:$B$700,E$5)</f>
        <v>24</v>
      </c>
      <c r="F673" s="26">
        <f>SUMIFS(INDEX(元データ_加工!$C$2:$P$700,0,MATCH($B673,元データ_加工!$C$1:$P$1,0)),元データ_加工!$A$2:$A$700,$A673,元データ_加工!$B$2:$B$700,F$5)</f>
        <v>30</v>
      </c>
      <c r="G673" s="26">
        <f>SUMIFS(INDEX(元データ_加工!$C$2:$P$700,0,MATCH($B673,元データ_加工!$C$1:$P$1,0)),元データ_加工!$A$2:$A$700,$A673,元データ_加工!$B$2:$B$700,G$5)</f>
        <v>8</v>
      </c>
      <c r="H673" s="26">
        <f>SUMIFS(INDEX(元データ_加工!$C$2:$P$700,0,MATCH($B673,元データ_加工!$C$1:$P$1,0)),元データ_加工!$A$2:$A$700,$A673,元データ_加工!$B$2:$B$700,H$5)</f>
        <v>22</v>
      </c>
      <c r="I673" s="26">
        <f>SUMIFS(INDEX(元データ_加工!$C$2:$P$700,0,MATCH($B673,元データ_加工!$C$1:$P$1,0)),元データ_加工!$A$2:$A$700,$A673,元データ_加工!$B$2:$B$700,I$5)</f>
        <v>17</v>
      </c>
      <c r="J673" s="26">
        <f>SUMIFS(INDEX(元データ_加工!$C$2:$P$700,0,MATCH($B673,元データ_加工!$C$1:$P$1,0)),元データ_加工!$A$2:$A$700,$A673,元データ_加工!$B$2:$B$700,J$5)</f>
        <v>27</v>
      </c>
      <c r="K673" s="26">
        <f>SUMIFS(INDEX(元データ_加工!$C$2:$P$700,0,MATCH($B673,元データ_加工!$C$1:$P$1,0)),元データ_加工!$A$2:$A$700,$A673,元データ_加工!$B$2:$B$700,K$5)</f>
        <v>13</v>
      </c>
      <c r="L673" s="26">
        <f>SUMIFS(INDEX(元データ_加工!$C$2:$P$700,0,MATCH($B673,元データ_加工!$C$1:$P$1,0)),元データ_加工!$A$2:$A$700,$A673,元データ_加工!$B$2:$B$700,L$5)</f>
        <v>11</v>
      </c>
      <c r="M673" s="26">
        <f>SUMIFS(INDEX(元データ_加工!$C$2:$P$700,0,MATCH($B673,元データ_加工!$C$1:$P$1,0)),元データ_加工!$A$2:$A$700,$A673,元データ_加工!$B$2:$B$700,M$5)</f>
        <v>17</v>
      </c>
      <c r="N673" s="26">
        <f>SUMIFS(INDEX(元データ_加工!$C$2:$P$700,0,MATCH($B673,元データ_加工!$C$1:$P$1,0)),元データ_加工!$A$2:$A$700,$A673,元データ_加工!$B$2:$B$700,N$5)</f>
        <v>8</v>
      </c>
      <c r="O673" s="26">
        <f t="shared" si="10"/>
        <v>205</v>
      </c>
      <c r="P673" s="7">
        <f>IFERROR(O673/SUMIFS(元データ_加工!$C$2:$C$700,元データ_加工!$A$2:$A$700,$A673),"")</f>
        <v>1.6014373877040855E-2</v>
      </c>
    </row>
    <row r="674" spans="1:16" x14ac:dyDescent="0.45">
      <c r="A674" t="s">
        <v>82</v>
      </c>
      <c r="B674" t="s">
        <v>110</v>
      </c>
      <c r="C674" s="26">
        <f>SUMIFS(INDEX(元データ_加工!$C$2:$P$700,0,MATCH($B674,元データ_加工!$C$1:$P$1,0)),元データ_加工!$A$2:$A$700,$A674,元データ_加工!$B$2:$B$700,C$5)</f>
        <v>0</v>
      </c>
      <c r="D674" s="26">
        <f>SUMIFS(INDEX(元データ_加工!$C$2:$P$700,0,MATCH($B674,元データ_加工!$C$1:$P$1,0)),元データ_加工!$A$2:$A$700,$A674,元データ_加工!$B$2:$B$700,D$5)</f>
        <v>0</v>
      </c>
      <c r="E674" s="26">
        <f>SUMIFS(INDEX(元データ_加工!$C$2:$P$700,0,MATCH($B674,元データ_加工!$C$1:$P$1,0)),元データ_加工!$A$2:$A$700,$A674,元データ_加工!$B$2:$B$700,E$5)</f>
        <v>6</v>
      </c>
      <c r="F674" s="26">
        <f>SUMIFS(INDEX(元データ_加工!$C$2:$P$700,0,MATCH($B674,元データ_加工!$C$1:$P$1,0)),元データ_加工!$A$2:$A$700,$A674,元データ_加工!$B$2:$B$700,F$5)</f>
        <v>0</v>
      </c>
      <c r="G674" s="26">
        <f>SUMIFS(INDEX(元データ_加工!$C$2:$P$700,0,MATCH($B674,元データ_加工!$C$1:$P$1,0)),元データ_加工!$A$2:$A$700,$A674,元データ_加工!$B$2:$B$700,G$5)</f>
        <v>0</v>
      </c>
      <c r="H674" s="26">
        <f>SUMIFS(INDEX(元データ_加工!$C$2:$P$700,0,MATCH($B674,元データ_加工!$C$1:$P$1,0)),元データ_加工!$A$2:$A$700,$A674,元データ_加工!$B$2:$B$700,H$5)</f>
        <v>0</v>
      </c>
      <c r="I674" s="26">
        <f>SUMIFS(INDEX(元データ_加工!$C$2:$P$700,0,MATCH($B674,元データ_加工!$C$1:$P$1,0)),元データ_加工!$A$2:$A$700,$A674,元データ_加工!$B$2:$B$700,I$5)</f>
        <v>0</v>
      </c>
      <c r="J674" s="26">
        <f>SUMIFS(INDEX(元データ_加工!$C$2:$P$700,0,MATCH($B674,元データ_加工!$C$1:$P$1,0)),元データ_加工!$A$2:$A$700,$A674,元データ_加工!$B$2:$B$700,J$5)</f>
        <v>0</v>
      </c>
      <c r="K674" s="26">
        <f>SUMIFS(INDEX(元データ_加工!$C$2:$P$700,0,MATCH($B674,元データ_加工!$C$1:$P$1,0)),元データ_加工!$A$2:$A$700,$A674,元データ_加工!$B$2:$B$700,K$5)</f>
        <v>0</v>
      </c>
      <c r="L674" s="26">
        <f>SUMIFS(INDEX(元データ_加工!$C$2:$P$700,0,MATCH($B674,元データ_加工!$C$1:$P$1,0)),元データ_加工!$A$2:$A$700,$A674,元データ_加工!$B$2:$B$700,L$5)</f>
        <v>0</v>
      </c>
      <c r="M674" s="26">
        <f>SUMIFS(INDEX(元データ_加工!$C$2:$P$700,0,MATCH($B674,元データ_加工!$C$1:$P$1,0)),元データ_加工!$A$2:$A$700,$A674,元データ_加工!$B$2:$B$700,M$5)</f>
        <v>0</v>
      </c>
      <c r="N674" s="26">
        <f>SUMIFS(INDEX(元データ_加工!$C$2:$P$700,0,MATCH($B674,元データ_加工!$C$1:$P$1,0)),元データ_加工!$A$2:$A$700,$A674,元データ_加工!$B$2:$B$700,N$5)</f>
        <v>1</v>
      </c>
      <c r="O674" s="26">
        <f t="shared" si="10"/>
        <v>7</v>
      </c>
      <c r="P674" s="7">
        <f>IFERROR(O674/SUMIFS(元データ_加工!$C$2:$C$700,元データ_加工!$A$2:$A$700,$A674),"")</f>
        <v>5.4683227872822434E-4</v>
      </c>
    </row>
    <row r="675" spans="1:16" x14ac:dyDescent="0.45">
      <c r="A675" t="s">
        <v>82</v>
      </c>
      <c r="B675" t="s">
        <v>111</v>
      </c>
      <c r="C675" s="26">
        <f>SUMIFS(INDEX(元データ_加工!$C$2:$P$700,0,MATCH($B675,元データ_加工!$C$1:$P$1,0)),元データ_加工!$A$2:$A$700,$A675,元データ_加工!$B$2:$B$700,C$5)</f>
        <v>5</v>
      </c>
      <c r="D675" s="26">
        <f>SUMIFS(INDEX(元データ_加工!$C$2:$P$700,0,MATCH($B675,元データ_加工!$C$1:$P$1,0)),元データ_加工!$A$2:$A$700,$A675,元データ_加工!$B$2:$B$700,D$5)</f>
        <v>6</v>
      </c>
      <c r="E675" s="26">
        <f>SUMIFS(INDEX(元データ_加工!$C$2:$P$700,0,MATCH($B675,元データ_加工!$C$1:$P$1,0)),元データ_加工!$A$2:$A$700,$A675,元データ_加工!$B$2:$B$700,E$5)</f>
        <v>1</v>
      </c>
      <c r="F675" s="26">
        <f>SUMIFS(INDEX(元データ_加工!$C$2:$P$700,0,MATCH($B675,元データ_加工!$C$1:$P$1,0)),元データ_加工!$A$2:$A$700,$A675,元データ_加工!$B$2:$B$700,F$5)</f>
        <v>3</v>
      </c>
      <c r="G675" s="26">
        <f>SUMIFS(INDEX(元データ_加工!$C$2:$P$700,0,MATCH($B675,元データ_加工!$C$1:$P$1,0)),元データ_加工!$A$2:$A$700,$A675,元データ_加工!$B$2:$B$700,G$5)</f>
        <v>4</v>
      </c>
      <c r="H675" s="26">
        <f>SUMIFS(INDEX(元データ_加工!$C$2:$P$700,0,MATCH($B675,元データ_加工!$C$1:$P$1,0)),元データ_加工!$A$2:$A$700,$A675,元データ_加工!$B$2:$B$700,H$5)</f>
        <v>0</v>
      </c>
      <c r="I675" s="26">
        <f>SUMIFS(INDEX(元データ_加工!$C$2:$P$700,0,MATCH($B675,元データ_加工!$C$1:$P$1,0)),元データ_加工!$A$2:$A$700,$A675,元データ_加工!$B$2:$B$700,I$5)</f>
        <v>2</v>
      </c>
      <c r="J675" s="26">
        <f>SUMIFS(INDEX(元データ_加工!$C$2:$P$700,0,MATCH($B675,元データ_加工!$C$1:$P$1,0)),元データ_加工!$A$2:$A$700,$A675,元データ_加工!$B$2:$B$700,J$5)</f>
        <v>2</v>
      </c>
      <c r="K675" s="26">
        <f>SUMIFS(INDEX(元データ_加工!$C$2:$P$700,0,MATCH($B675,元データ_加工!$C$1:$P$1,0)),元データ_加工!$A$2:$A$700,$A675,元データ_加工!$B$2:$B$700,K$5)</f>
        <v>28</v>
      </c>
      <c r="L675" s="26">
        <f>SUMIFS(INDEX(元データ_加工!$C$2:$P$700,0,MATCH($B675,元データ_加工!$C$1:$P$1,0)),元データ_加工!$A$2:$A$700,$A675,元データ_加工!$B$2:$B$700,L$5)</f>
        <v>16</v>
      </c>
      <c r="M675" s="26">
        <f>SUMIFS(INDEX(元データ_加工!$C$2:$P$700,0,MATCH($B675,元データ_加工!$C$1:$P$1,0)),元データ_加工!$A$2:$A$700,$A675,元データ_加工!$B$2:$B$700,M$5)</f>
        <v>36</v>
      </c>
      <c r="N675" s="26">
        <f>SUMIFS(INDEX(元データ_加工!$C$2:$P$700,0,MATCH($B675,元データ_加工!$C$1:$P$1,0)),元データ_加工!$A$2:$A$700,$A675,元データ_加工!$B$2:$B$700,N$5)</f>
        <v>19</v>
      </c>
      <c r="O675" s="26">
        <f t="shared" si="10"/>
        <v>122</v>
      </c>
      <c r="P675" s="7">
        <f>IFERROR(O675/SUMIFS(元データ_加工!$C$2:$C$700,元データ_加工!$A$2:$A$700,$A675),"")</f>
        <v>9.5305054292633383E-3</v>
      </c>
    </row>
    <row r="676" spans="1:16" x14ac:dyDescent="0.45">
      <c r="A676" t="s">
        <v>82</v>
      </c>
      <c r="B676" t="s">
        <v>112</v>
      </c>
      <c r="C676" s="26">
        <f>SUMIFS(INDEX(元データ_加工!$C$2:$P$700,0,MATCH($B676,元データ_加工!$C$1:$P$1,0)),元データ_加工!$A$2:$A$700,$A676,元データ_加工!$B$2:$B$700,C$5)</f>
        <v>1</v>
      </c>
      <c r="D676" s="26">
        <f>SUMIFS(INDEX(元データ_加工!$C$2:$P$700,0,MATCH($B676,元データ_加工!$C$1:$P$1,0)),元データ_加工!$A$2:$A$700,$A676,元データ_加工!$B$2:$B$700,D$5)</f>
        <v>0</v>
      </c>
      <c r="E676" s="26">
        <f>SUMIFS(INDEX(元データ_加工!$C$2:$P$700,0,MATCH($B676,元データ_加工!$C$1:$P$1,0)),元データ_加工!$A$2:$A$700,$A676,元データ_加工!$B$2:$B$700,E$5)</f>
        <v>0</v>
      </c>
      <c r="F676" s="26">
        <f>SUMIFS(INDEX(元データ_加工!$C$2:$P$700,0,MATCH($B676,元データ_加工!$C$1:$P$1,0)),元データ_加工!$A$2:$A$700,$A676,元データ_加工!$B$2:$B$700,F$5)</f>
        <v>1</v>
      </c>
      <c r="G676" s="26">
        <f>SUMIFS(INDEX(元データ_加工!$C$2:$P$700,0,MATCH($B676,元データ_加工!$C$1:$P$1,0)),元データ_加工!$A$2:$A$700,$A676,元データ_加工!$B$2:$B$700,G$5)</f>
        <v>0</v>
      </c>
      <c r="H676" s="26">
        <f>SUMIFS(INDEX(元データ_加工!$C$2:$P$700,0,MATCH($B676,元データ_加工!$C$1:$P$1,0)),元データ_加工!$A$2:$A$700,$A676,元データ_加工!$B$2:$B$700,H$5)</f>
        <v>0</v>
      </c>
      <c r="I676" s="26">
        <f>SUMIFS(INDEX(元データ_加工!$C$2:$P$700,0,MATCH($B676,元データ_加工!$C$1:$P$1,0)),元データ_加工!$A$2:$A$700,$A676,元データ_加工!$B$2:$B$700,I$5)</f>
        <v>0</v>
      </c>
      <c r="J676" s="26">
        <f>SUMIFS(INDEX(元データ_加工!$C$2:$P$700,0,MATCH($B676,元データ_加工!$C$1:$P$1,0)),元データ_加工!$A$2:$A$700,$A676,元データ_加工!$B$2:$B$700,J$5)</f>
        <v>1</v>
      </c>
      <c r="K676" s="26">
        <f>SUMIFS(INDEX(元データ_加工!$C$2:$P$700,0,MATCH($B676,元データ_加工!$C$1:$P$1,0)),元データ_加工!$A$2:$A$700,$A676,元データ_加工!$B$2:$B$700,K$5)</f>
        <v>11</v>
      </c>
      <c r="L676" s="26">
        <f>SUMIFS(INDEX(元データ_加工!$C$2:$P$700,0,MATCH($B676,元データ_加工!$C$1:$P$1,0)),元データ_加工!$A$2:$A$700,$A676,元データ_加工!$B$2:$B$700,L$5)</f>
        <v>1</v>
      </c>
      <c r="M676" s="26">
        <f>SUMIFS(INDEX(元データ_加工!$C$2:$P$700,0,MATCH($B676,元データ_加工!$C$1:$P$1,0)),元データ_加工!$A$2:$A$700,$A676,元データ_加工!$B$2:$B$700,M$5)</f>
        <v>0</v>
      </c>
      <c r="N676" s="26">
        <f>SUMIFS(INDEX(元データ_加工!$C$2:$P$700,0,MATCH($B676,元データ_加工!$C$1:$P$1,0)),元データ_加工!$A$2:$A$700,$A676,元データ_加工!$B$2:$B$700,N$5)</f>
        <v>0</v>
      </c>
      <c r="O676" s="26">
        <f t="shared" si="10"/>
        <v>15</v>
      </c>
      <c r="P676" s="7">
        <f>IFERROR(O676/SUMIFS(元データ_加工!$C$2:$C$700,元データ_加工!$A$2:$A$700,$A676),"")</f>
        <v>1.1717834544176236E-3</v>
      </c>
    </row>
    <row r="677" spans="1:16" x14ac:dyDescent="0.45">
      <c r="A677" t="s">
        <v>82</v>
      </c>
      <c r="B677" t="s">
        <v>113</v>
      </c>
      <c r="C677" s="26">
        <f>SUMIFS(INDEX(元データ_加工!$C$2:$P$700,0,MATCH($B677,元データ_加工!$C$1:$P$1,0)),元データ_加工!$A$2:$A$700,$A677,元データ_加工!$B$2:$B$700,C$5)</f>
        <v>4</v>
      </c>
      <c r="D677" s="26">
        <f>SUMIFS(INDEX(元データ_加工!$C$2:$P$700,0,MATCH($B677,元データ_加工!$C$1:$P$1,0)),元データ_加工!$A$2:$A$700,$A677,元データ_加工!$B$2:$B$700,D$5)</f>
        <v>0</v>
      </c>
      <c r="E677" s="26">
        <f>SUMIFS(INDEX(元データ_加工!$C$2:$P$700,0,MATCH($B677,元データ_加工!$C$1:$P$1,0)),元データ_加工!$A$2:$A$700,$A677,元データ_加工!$B$2:$B$700,E$5)</f>
        <v>0</v>
      </c>
      <c r="F677" s="26">
        <f>SUMIFS(INDEX(元データ_加工!$C$2:$P$700,0,MATCH($B677,元データ_加工!$C$1:$P$1,0)),元データ_加工!$A$2:$A$700,$A677,元データ_加工!$B$2:$B$700,F$5)</f>
        <v>4</v>
      </c>
      <c r="G677" s="26">
        <f>SUMIFS(INDEX(元データ_加工!$C$2:$P$700,0,MATCH($B677,元データ_加工!$C$1:$P$1,0)),元データ_加工!$A$2:$A$700,$A677,元データ_加工!$B$2:$B$700,G$5)</f>
        <v>1</v>
      </c>
      <c r="H677" s="26">
        <f>SUMIFS(INDEX(元データ_加工!$C$2:$P$700,0,MATCH($B677,元データ_加工!$C$1:$P$1,0)),元データ_加工!$A$2:$A$700,$A677,元データ_加工!$B$2:$B$700,H$5)</f>
        <v>0</v>
      </c>
      <c r="I677" s="26">
        <f>SUMIFS(INDEX(元データ_加工!$C$2:$P$700,0,MATCH($B677,元データ_加工!$C$1:$P$1,0)),元データ_加工!$A$2:$A$700,$A677,元データ_加工!$B$2:$B$700,I$5)</f>
        <v>3</v>
      </c>
      <c r="J677" s="26">
        <f>SUMIFS(INDEX(元データ_加工!$C$2:$P$700,0,MATCH($B677,元データ_加工!$C$1:$P$1,0)),元データ_加工!$A$2:$A$700,$A677,元データ_加工!$B$2:$B$700,J$5)</f>
        <v>3</v>
      </c>
      <c r="K677" s="26">
        <f>SUMIFS(INDEX(元データ_加工!$C$2:$P$700,0,MATCH($B677,元データ_加工!$C$1:$P$1,0)),元データ_加工!$A$2:$A$700,$A677,元データ_加工!$B$2:$B$700,K$5)</f>
        <v>0</v>
      </c>
      <c r="L677" s="26">
        <f>SUMIFS(INDEX(元データ_加工!$C$2:$P$700,0,MATCH($B677,元データ_加工!$C$1:$P$1,0)),元データ_加工!$A$2:$A$700,$A677,元データ_加工!$B$2:$B$700,L$5)</f>
        <v>5</v>
      </c>
      <c r="M677" s="26">
        <f>SUMIFS(INDEX(元データ_加工!$C$2:$P$700,0,MATCH($B677,元データ_加工!$C$1:$P$1,0)),元データ_加工!$A$2:$A$700,$A677,元データ_加工!$B$2:$B$700,M$5)</f>
        <v>7</v>
      </c>
      <c r="N677" s="26">
        <f>SUMIFS(INDEX(元データ_加工!$C$2:$P$700,0,MATCH($B677,元データ_加工!$C$1:$P$1,0)),元データ_加工!$A$2:$A$700,$A677,元データ_加工!$B$2:$B$700,N$5)</f>
        <v>14</v>
      </c>
      <c r="O677" s="26">
        <f t="shared" si="10"/>
        <v>41</v>
      </c>
      <c r="P677" s="7">
        <f>IFERROR(O677/SUMIFS(元データ_加工!$C$2:$C$700,元データ_加工!$A$2:$A$700,$A677),"")</f>
        <v>3.2028747754081714E-3</v>
      </c>
    </row>
    <row r="678" spans="1:16" x14ac:dyDescent="0.45">
      <c r="A678" t="s">
        <v>83</v>
      </c>
      <c r="B678" t="s">
        <v>100</v>
      </c>
      <c r="C678" s="26">
        <f>SUMIFS(INDEX(元データ_加工!$C$2:$P$700,0,MATCH($B678,元データ_加工!$C$1:$P$1,0)),元データ_加工!$A$2:$A$700,$A678,元データ_加工!$B$2:$B$700,C$5)</f>
        <v>2187</v>
      </c>
      <c r="D678" s="26">
        <f>SUMIFS(INDEX(元データ_加工!$C$2:$P$700,0,MATCH($B678,元データ_加工!$C$1:$P$1,0)),元データ_加工!$A$2:$A$700,$A678,元データ_加工!$B$2:$B$700,D$5)</f>
        <v>1893</v>
      </c>
      <c r="E678" s="26">
        <f>SUMIFS(INDEX(元データ_加工!$C$2:$P$700,0,MATCH($B678,元データ_加工!$C$1:$P$1,0)),元データ_加工!$A$2:$A$700,$A678,元データ_加工!$B$2:$B$700,E$5)</f>
        <v>2875</v>
      </c>
      <c r="F678" s="26">
        <f>SUMIFS(INDEX(元データ_加工!$C$2:$P$700,0,MATCH($B678,元データ_加工!$C$1:$P$1,0)),元データ_加工!$A$2:$A$700,$A678,元データ_加工!$B$2:$B$700,F$5)</f>
        <v>2738</v>
      </c>
      <c r="G678" s="26">
        <f>SUMIFS(INDEX(元データ_加工!$C$2:$P$700,0,MATCH($B678,元データ_加工!$C$1:$P$1,0)),元データ_加工!$A$2:$A$700,$A678,元データ_加工!$B$2:$B$700,G$5)</f>
        <v>3065</v>
      </c>
      <c r="H678" s="26">
        <f>SUMIFS(INDEX(元データ_加工!$C$2:$P$700,0,MATCH($B678,元データ_加工!$C$1:$P$1,0)),元データ_加工!$A$2:$A$700,$A678,元データ_加工!$B$2:$B$700,H$5)</f>
        <v>2081</v>
      </c>
      <c r="I678" s="26">
        <f>SUMIFS(INDEX(元データ_加工!$C$2:$P$700,0,MATCH($B678,元データ_加工!$C$1:$P$1,0)),元データ_加工!$A$2:$A$700,$A678,元データ_加工!$B$2:$B$700,I$5)</f>
        <v>1671</v>
      </c>
      <c r="J678" s="26">
        <f>SUMIFS(INDEX(元データ_加工!$C$2:$P$700,0,MATCH($B678,元データ_加工!$C$1:$P$1,0)),元データ_加工!$A$2:$A$700,$A678,元データ_加工!$B$2:$B$700,J$5)</f>
        <v>3272</v>
      </c>
      <c r="K678" s="26">
        <f>SUMIFS(INDEX(元データ_加工!$C$2:$P$700,0,MATCH($B678,元データ_加工!$C$1:$P$1,0)),元データ_加工!$A$2:$A$700,$A678,元データ_加工!$B$2:$B$700,K$5)</f>
        <v>5270</v>
      </c>
      <c r="L678" s="26">
        <f>SUMIFS(INDEX(元データ_加工!$C$2:$P$700,0,MATCH($B678,元データ_加工!$C$1:$P$1,0)),元データ_加工!$A$2:$A$700,$A678,元データ_加工!$B$2:$B$700,L$5)</f>
        <v>3588</v>
      </c>
      <c r="M678" s="26">
        <f>SUMIFS(INDEX(元データ_加工!$C$2:$P$700,0,MATCH($B678,元データ_加工!$C$1:$P$1,0)),元データ_加工!$A$2:$A$700,$A678,元データ_加工!$B$2:$B$700,M$5)</f>
        <v>3605</v>
      </c>
      <c r="N678" s="26">
        <f>SUMIFS(INDEX(元データ_加工!$C$2:$P$700,0,MATCH($B678,元データ_加工!$C$1:$P$1,0)),元データ_加工!$A$2:$A$700,$A678,元データ_加工!$B$2:$B$700,N$5)</f>
        <v>2951</v>
      </c>
      <c r="O678" s="26">
        <f t="shared" si="10"/>
        <v>35196</v>
      </c>
      <c r="P678" s="7">
        <f>IFERROR(O678/SUMIFS(元データ_加工!$C$2:$C$700,元データ_加工!$A$2:$A$700,$A678),"")</f>
        <v>1</v>
      </c>
    </row>
    <row r="679" spans="1:16" x14ac:dyDescent="0.45">
      <c r="A679" t="s">
        <v>83</v>
      </c>
      <c r="B679" t="s">
        <v>101</v>
      </c>
      <c r="C679" s="26">
        <f>SUMIFS(INDEX(元データ_加工!$C$2:$P$700,0,MATCH($B679,元データ_加工!$C$1:$P$1,0)),元データ_加工!$A$2:$A$700,$A679,元データ_加工!$B$2:$B$700,C$5)</f>
        <v>808</v>
      </c>
      <c r="D679" s="26">
        <f>SUMIFS(INDEX(元データ_加工!$C$2:$P$700,0,MATCH($B679,元データ_加工!$C$1:$P$1,0)),元データ_加工!$A$2:$A$700,$A679,元データ_加工!$B$2:$B$700,D$5)</f>
        <v>861</v>
      </c>
      <c r="E679" s="26">
        <f>SUMIFS(INDEX(元データ_加工!$C$2:$P$700,0,MATCH($B679,元データ_加工!$C$1:$P$1,0)),元データ_加工!$A$2:$A$700,$A679,元データ_加工!$B$2:$B$700,E$5)</f>
        <v>1096</v>
      </c>
      <c r="F679" s="26">
        <f>SUMIFS(INDEX(元データ_加工!$C$2:$P$700,0,MATCH($B679,元データ_加工!$C$1:$P$1,0)),元データ_加工!$A$2:$A$700,$A679,元データ_加工!$B$2:$B$700,F$5)</f>
        <v>1057</v>
      </c>
      <c r="G679" s="26">
        <f>SUMIFS(INDEX(元データ_加工!$C$2:$P$700,0,MATCH($B679,元データ_加工!$C$1:$P$1,0)),元データ_加工!$A$2:$A$700,$A679,元データ_加工!$B$2:$B$700,G$5)</f>
        <v>1048</v>
      </c>
      <c r="H679" s="26">
        <f>SUMIFS(INDEX(元データ_加工!$C$2:$P$700,0,MATCH($B679,元データ_加工!$C$1:$P$1,0)),元データ_加工!$A$2:$A$700,$A679,元データ_加工!$B$2:$B$700,H$5)</f>
        <v>729</v>
      </c>
      <c r="I679" s="26">
        <f>SUMIFS(INDEX(元データ_加工!$C$2:$P$700,0,MATCH($B679,元データ_加工!$C$1:$P$1,0)),元データ_加工!$A$2:$A$700,$A679,元データ_加工!$B$2:$B$700,I$5)</f>
        <v>810</v>
      </c>
      <c r="J679" s="26">
        <f>SUMIFS(INDEX(元データ_加工!$C$2:$P$700,0,MATCH($B679,元データ_加工!$C$1:$P$1,0)),元データ_加工!$A$2:$A$700,$A679,元データ_加工!$B$2:$B$700,J$5)</f>
        <v>945</v>
      </c>
      <c r="K679" s="26">
        <f>SUMIFS(INDEX(元データ_加工!$C$2:$P$700,0,MATCH($B679,元データ_加工!$C$1:$P$1,0)),元データ_加工!$A$2:$A$700,$A679,元データ_加工!$B$2:$B$700,K$5)</f>
        <v>1327</v>
      </c>
      <c r="L679" s="26">
        <f>SUMIFS(INDEX(元データ_加工!$C$2:$P$700,0,MATCH($B679,元データ_加工!$C$1:$P$1,0)),元データ_加工!$A$2:$A$700,$A679,元データ_加工!$B$2:$B$700,L$5)</f>
        <v>1143</v>
      </c>
      <c r="M679" s="26">
        <f>SUMIFS(INDEX(元データ_加工!$C$2:$P$700,0,MATCH($B679,元データ_加工!$C$1:$P$1,0)),元データ_加工!$A$2:$A$700,$A679,元データ_加工!$B$2:$B$700,M$5)</f>
        <v>1284</v>
      </c>
      <c r="N679" s="26">
        <f>SUMIFS(INDEX(元データ_加工!$C$2:$P$700,0,MATCH($B679,元データ_加工!$C$1:$P$1,0)),元データ_加工!$A$2:$A$700,$A679,元データ_加工!$B$2:$B$700,N$5)</f>
        <v>1286</v>
      </c>
      <c r="O679" s="26">
        <f t="shared" si="10"/>
        <v>12394</v>
      </c>
      <c r="P679" s="7">
        <f>IFERROR(O679/SUMIFS(元データ_加工!$C$2:$C$700,元データ_加工!$A$2:$A$700,$A679),"")</f>
        <v>0.35214228889646548</v>
      </c>
    </row>
    <row r="680" spans="1:16" x14ac:dyDescent="0.45">
      <c r="A680" t="s">
        <v>83</v>
      </c>
      <c r="B680" t="s">
        <v>102</v>
      </c>
      <c r="C680" s="26">
        <f>SUMIFS(INDEX(元データ_加工!$C$2:$P$700,0,MATCH($B680,元データ_加工!$C$1:$P$1,0)),元データ_加工!$A$2:$A$700,$A680,元データ_加工!$B$2:$B$700,C$5)</f>
        <v>0</v>
      </c>
      <c r="D680" s="26">
        <f>SUMIFS(INDEX(元データ_加工!$C$2:$P$700,0,MATCH($B680,元データ_加工!$C$1:$P$1,0)),元データ_加工!$A$2:$A$700,$A680,元データ_加工!$B$2:$B$700,D$5)</f>
        <v>0</v>
      </c>
      <c r="E680" s="26">
        <f>SUMIFS(INDEX(元データ_加工!$C$2:$P$700,0,MATCH($B680,元データ_加工!$C$1:$P$1,0)),元データ_加工!$A$2:$A$700,$A680,元データ_加工!$B$2:$B$700,E$5)</f>
        <v>0</v>
      </c>
      <c r="F680" s="26">
        <f>SUMIFS(INDEX(元データ_加工!$C$2:$P$700,0,MATCH($B680,元データ_加工!$C$1:$P$1,0)),元データ_加工!$A$2:$A$700,$A680,元データ_加工!$B$2:$B$700,F$5)</f>
        <v>0</v>
      </c>
      <c r="G680" s="26">
        <f>SUMIFS(INDEX(元データ_加工!$C$2:$P$700,0,MATCH($B680,元データ_加工!$C$1:$P$1,0)),元データ_加工!$A$2:$A$700,$A680,元データ_加工!$B$2:$B$700,G$5)</f>
        <v>0</v>
      </c>
      <c r="H680" s="26">
        <f>SUMIFS(INDEX(元データ_加工!$C$2:$P$700,0,MATCH($B680,元データ_加工!$C$1:$P$1,0)),元データ_加工!$A$2:$A$700,$A680,元データ_加工!$B$2:$B$700,H$5)</f>
        <v>0</v>
      </c>
      <c r="I680" s="26">
        <f>SUMIFS(INDEX(元データ_加工!$C$2:$P$700,0,MATCH($B680,元データ_加工!$C$1:$P$1,0)),元データ_加工!$A$2:$A$700,$A680,元データ_加工!$B$2:$B$700,I$5)</f>
        <v>0</v>
      </c>
      <c r="J680" s="26">
        <f>SUMIFS(INDEX(元データ_加工!$C$2:$P$700,0,MATCH($B680,元データ_加工!$C$1:$P$1,0)),元データ_加工!$A$2:$A$700,$A680,元データ_加工!$B$2:$B$700,J$5)</f>
        <v>21</v>
      </c>
      <c r="K680" s="26">
        <f>SUMIFS(INDEX(元データ_加工!$C$2:$P$700,0,MATCH($B680,元データ_加工!$C$1:$P$1,0)),元データ_加工!$A$2:$A$700,$A680,元データ_加工!$B$2:$B$700,K$5)</f>
        <v>5</v>
      </c>
      <c r="L680" s="26">
        <f>SUMIFS(INDEX(元データ_加工!$C$2:$P$700,0,MATCH($B680,元データ_加工!$C$1:$P$1,0)),元データ_加工!$A$2:$A$700,$A680,元データ_加工!$B$2:$B$700,L$5)</f>
        <v>0</v>
      </c>
      <c r="M680" s="26">
        <f>SUMIFS(INDEX(元データ_加工!$C$2:$P$700,0,MATCH($B680,元データ_加工!$C$1:$P$1,0)),元データ_加工!$A$2:$A$700,$A680,元データ_加工!$B$2:$B$700,M$5)</f>
        <v>0</v>
      </c>
      <c r="N680" s="26">
        <f>SUMIFS(INDEX(元データ_加工!$C$2:$P$700,0,MATCH($B680,元データ_加工!$C$1:$P$1,0)),元データ_加工!$A$2:$A$700,$A680,元データ_加工!$B$2:$B$700,N$5)</f>
        <v>0</v>
      </c>
      <c r="O680" s="26">
        <f t="shared" si="10"/>
        <v>26</v>
      </c>
      <c r="P680" s="7">
        <f>IFERROR(O680/SUMIFS(元データ_加工!$C$2:$C$700,元データ_加工!$A$2:$A$700,$A680),"")</f>
        <v>7.3872030912603705E-4</v>
      </c>
    </row>
    <row r="681" spans="1:16" x14ac:dyDescent="0.45">
      <c r="A681" t="s">
        <v>83</v>
      </c>
      <c r="B681" t="s">
        <v>103</v>
      </c>
      <c r="C681" s="26">
        <f>SUMIFS(INDEX(元データ_加工!$C$2:$P$700,0,MATCH($B681,元データ_加工!$C$1:$P$1,0)),元データ_加工!$A$2:$A$700,$A681,元データ_加工!$B$2:$B$700,C$5)</f>
        <v>1</v>
      </c>
      <c r="D681" s="26">
        <f>SUMIFS(INDEX(元データ_加工!$C$2:$P$700,0,MATCH($B681,元データ_加工!$C$1:$P$1,0)),元データ_加工!$A$2:$A$700,$A681,元データ_加工!$B$2:$B$700,D$5)</f>
        <v>3</v>
      </c>
      <c r="E681" s="26">
        <f>SUMIFS(INDEX(元データ_加工!$C$2:$P$700,0,MATCH($B681,元データ_加工!$C$1:$P$1,0)),元データ_加工!$A$2:$A$700,$A681,元データ_加工!$B$2:$B$700,E$5)</f>
        <v>6</v>
      </c>
      <c r="F681" s="26">
        <f>SUMIFS(INDEX(元データ_加工!$C$2:$P$700,0,MATCH($B681,元データ_加工!$C$1:$P$1,0)),元データ_加工!$A$2:$A$700,$A681,元データ_加工!$B$2:$B$700,F$5)</f>
        <v>33</v>
      </c>
      <c r="G681" s="26">
        <f>SUMIFS(INDEX(元データ_加工!$C$2:$P$700,0,MATCH($B681,元データ_加工!$C$1:$P$1,0)),元データ_加工!$A$2:$A$700,$A681,元データ_加工!$B$2:$B$700,G$5)</f>
        <v>35</v>
      </c>
      <c r="H681" s="26">
        <f>SUMIFS(INDEX(元データ_加工!$C$2:$P$700,0,MATCH($B681,元データ_加工!$C$1:$P$1,0)),元データ_加工!$A$2:$A$700,$A681,元データ_加工!$B$2:$B$700,H$5)</f>
        <v>64</v>
      </c>
      <c r="I681" s="26">
        <f>SUMIFS(INDEX(元データ_加工!$C$2:$P$700,0,MATCH($B681,元データ_加工!$C$1:$P$1,0)),元データ_加工!$A$2:$A$700,$A681,元データ_加工!$B$2:$B$700,I$5)</f>
        <v>29</v>
      </c>
      <c r="J681" s="26">
        <f>SUMIFS(INDEX(元データ_加工!$C$2:$P$700,0,MATCH($B681,元データ_加工!$C$1:$P$1,0)),元データ_加工!$A$2:$A$700,$A681,元データ_加工!$B$2:$B$700,J$5)</f>
        <v>13</v>
      </c>
      <c r="K681" s="26">
        <f>SUMIFS(INDEX(元データ_加工!$C$2:$P$700,0,MATCH($B681,元データ_加工!$C$1:$P$1,0)),元データ_加工!$A$2:$A$700,$A681,元データ_加工!$B$2:$B$700,K$5)</f>
        <v>0</v>
      </c>
      <c r="L681" s="26">
        <f>SUMIFS(INDEX(元データ_加工!$C$2:$P$700,0,MATCH($B681,元データ_加工!$C$1:$P$1,0)),元データ_加工!$A$2:$A$700,$A681,元データ_加工!$B$2:$B$700,L$5)</f>
        <v>4</v>
      </c>
      <c r="M681" s="26">
        <f>SUMIFS(INDEX(元データ_加工!$C$2:$P$700,0,MATCH($B681,元データ_加工!$C$1:$P$1,0)),元データ_加工!$A$2:$A$700,$A681,元データ_加工!$B$2:$B$700,M$5)</f>
        <v>1</v>
      </c>
      <c r="N681" s="26">
        <f>SUMIFS(INDEX(元データ_加工!$C$2:$P$700,0,MATCH($B681,元データ_加工!$C$1:$P$1,0)),元データ_加工!$A$2:$A$700,$A681,元データ_加工!$B$2:$B$700,N$5)</f>
        <v>3</v>
      </c>
      <c r="O681" s="26">
        <f t="shared" si="10"/>
        <v>192</v>
      </c>
      <c r="P681" s="7">
        <f>IFERROR(O681/SUMIFS(元データ_加工!$C$2:$C$700,元データ_加工!$A$2:$A$700,$A681),"")</f>
        <v>5.4551653596999657E-3</v>
      </c>
    </row>
    <row r="682" spans="1:16" x14ac:dyDescent="0.45">
      <c r="A682" t="s">
        <v>83</v>
      </c>
      <c r="B682" t="s">
        <v>104</v>
      </c>
      <c r="C682" s="26">
        <f>SUMIFS(INDEX(元データ_加工!$C$2:$P$700,0,MATCH($B682,元データ_加工!$C$1:$P$1,0)),元データ_加工!$A$2:$A$700,$A682,元データ_加工!$B$2:$B$700,C$5)</f>
        <v>47</v>
      </c>
      <c r="D682" s="26">
        <f>SUMIFS(INDEX(元データ_加工!$C$2:$P$700,0,MATCH($B682,元データ_加工!$C$1:$P$1,0)),元データ_加工!$A$2:$A$700,$A682,元データ_加工!$B$2:$B$700,D$5)</f>
        <v>36</v>
      </c>
      <c r="E682" s="26">
        <f>SUMIFS(INDEX(元データ_加工!$C$2:$P$700,0,MATCH($B682,元データ_加工!$C$1:$P$1,0)),元データ_加工!$A$2:$A$700,$A682,元データ_加工!$B$2:$B$700,E$5)</f>
        <v>49</v>
      </c>
      <c r="F682" s="26">
        <f>SUMIFS(INDEX(元データ_加工!$C$2:$P$700,0,MATCH($B682,元データ_加工!$C$1:$P$1,0)),元データ_加工!$A$2:$A$700,$A682,元データ_加工!$B$2:$B$700,F$5)</f>
        <v>71</v>
      </c>
      <c r="G682" s="26">
        <f>SUMIFS(INDEX(元データ_加工!$C$2:$P$700,0,MATCH($B682,元データ_加工!$C$1:$P$1,0)),元データ_加工!$A$2:$A$700,$A682,元データ_加工!$B$2:$B$700,G$5)</f>
        <v>170</v>
      </c>
      <c r="H682" s="26">
        <f>SUMIFS(INDEX(元データ_加工!$C$2:$P$700,0,MATCH($B682,元データ_加工!$C$1:$P$1,0)),元データ_加工!$A$2:$A$700,$A682,元データ_加工!$B$2:$B$700,H$5)</f>
        <v>91</v>
      </c>
      <c r="I682" s="26">
        <f>SUMIFS(INDEX(元データ_加工!$C$2:$P$700,0,MATCH($B682,元データ_加工!$C$1:$P$1,0)),元データ_加工!$A$2:$A$700,$A682,元データ_加工!$B$2:$B$700,I$5)</f>
        <v>57</v>
      </c>
      <c r="J682" s="26">
        <f>SUMIFS(INDEX(元データ_加工!$C$2:$P$700,0,MATCH($B682,元データ_加工!$C$1:$P$1,0)),元データ_加工!$A$2:$A$700,$A682,元データ_加工!$B$2:$B$700,J$5)</f>
        <v>243</v>
      </c>
      <c r="K682" s="26">
        <f>SUMIFS(INDEX(元データ_加工!$C$2:$P$700,0,MATCH($B682,元データ_加工!$C$1:$P$1,0)),元データ_加工!$A$2:$A$700,$A682,元データ_加工!$B$2:$B$700,K$5)</f>
        <v>205</v>
      </c>
      <c r="L682" s="26">
        <f>SUMIFS(INDEX(元データ_加工!$C$2:$P$700,0,MATCH($B682,元データ_加工!$C$1:$P$1,0)),元データ_加工!$A$2:$A$700,$A682,元データ_加工!$B$2:$B$700,L$5)</f>
        <v>135</v>
      </c>
      <c r="M682" s="26">
        <f>SUMIFS(INDEX(元データ_加工!$C$2:$P$700,0,MATCH($B682,元データ_加工!$C$1:$P$1,0)),元データ_加工!$A$2:$A$700,$A682,元データ_加工!$B$2:$B$700,M$5)</f>
        <v>209</v>
      </c>
      <c r="N682" s="26">
        <f>SUMIFS(INDEX(元データ_加工!$C$2:$P$700,0,MATCH($B682,元データ_加工!$C$1:$P$1,0)),元データ_加工!$A$2:$A$700,$A682,元データ_加工!$B$2:$B$700,N$5)</f>
        <v>59</v>
      </c>
      <c r="O682" s="26">
        <f t="shared" si="10"/>
        <v>1372</v>
      </c>
      <c r="P682" s="7">
        <f>IFERROR(O682/SUMIFS(元データ_加工!$C$2:$C$700,元データ_加工!$A$2:$A$700,$A682),"")</f>
        <v>3.8981702466189337E-2</v>
      </c>
    </row>
    <row r="683" spans="1:16" x14ac:dyDescent="0.45">
      <c r="A683" t="s">
        <v>83</v>
      </c>
      <c r="B683" t="s">
        <v>105</v>
      </c>
      <c r="C683" s="26">
        <f>SUMIFS(INDEX(元データ_加工!$C$2:$P$700,0,MATCH($B683,元データ_加工!$C$1:$P$1,0)),元データ_加工!$A$2:$A$700,$A683,元データ_加工!$B$2:$B$700,C$5)</f>
        <v>2</v>
      </c>
      <c r="D683" s="26">
        <f>SUMIFS(INDEX(元データ_加工!$C$2:$P$700,0,MATCH($B683,元データ_加工!$C$1:$P$1,0)),元データ_加工!$A$2:$A$700,$A683,元データ_加工!$B$2:$B$700,D$5)</f>
        <v>0</v>
      </c>
      <c r="E683" s="26">
        <f>SUMIFS(INDEX(元データ_加工!$C$2:$P$700,0,MATCH($B683,元データ_加工!$C$1:$P$1,0)),元データ_加工!$A$2:$A$700,$A683,元データ_加工!$B$2:$B$700,E$5)</f>
        <v>8</v>
      </c>
      <c r="F683" s="26">
        <f>SUMIFS(INDEX(元データ_加工!$C$2:$P$700,0,MATCH($B683,元データ_加工!$C$1:$P$1,0)),元データ_加工!$A$2:$A$700,$A683,元データ_加工!$B$2:$B$700,F$5)</f>
        <v>10</v>
      </c>
      <c r="G683" s="26">
        <f>SUMIFS(INDEX(元データ_加工!$C$2:$P$700,0,MATCH($B683,元データ_加工!$C$1:$P$1,0)),元データ_加工!$A$2:$A$700,$A683,元データ_加工!$B$2:$B$700,G$5)</f>
        <v>6</v>
      </c>
      <c r="H683" s="26">
        <f>SUMIFS(INDEX(元データ_加工!$C$2:$P$700,0,MATCH($B683,元データ_加工!$C$1:$P$1,0)),元データ_加工!$A$2:$A$700,$A683,元データ_加工!$B$2:$B$700,H$5)</f>
        <v>8</v>
      </c>
      <c r="I683" s="26">
        <f>SUMIFS(INDEX(元データ_加工!$C$2:$P$700,0,MATCH($B683,元データ_加工!$C$1:$P$1,0)),元データ_加工!$A$2:$A$700,$A683,元データ_加工!$B$2:$B$700,I$5)</f>
        <v>3</v>
      </c>
      <c r="J683" s="26">
        <f>SUMIFS(INDEX(元データ_加工!$C$2:$P$700,0,MATCH($B683,元データ_加工!$C$1:$P$1,0)),元データ_加工!$A$2:$A$700,$A683,元データ_加工!$B$2:$B$700,J$5)</f>
        <v>102</v>
      </c>
      <c r="K683" s="26">
        <f>SUMIFS(INDEX(元データ_加工!$C$2:$P$700,0,MATCH($B683,元データ_加工!$C$1:$P$1,0)),元データ_加工!$A$2:$A$700,$A683,元データ_加工!$B$2:$B$700,K$5)</f>
        <v>266</v>
      </c>
      <c r="L683" s="26">
        <f>SUMIFS(INDEX(元データ_加工!$C$2:$P$700,0,MATCH($B683,元データ_加工!$C$1:$P$1,0)),元データ_加工!$A$2:$A$700,$A683,元データ_加工!$B$2:$B$700,L$5)</f>
        <v>90</v>
      </c>
      <c r="M683" s="26">
        <f>SUMIFS(INDEX(元データ_加工!$C$2:$P$700,0,MATCH($B683,元データ_加工!$C$1:$P$1,0)),元データ_加工!$A$2:$A$700,$A683,元データ_加工!$B$2:$B$700,M$5)</f>
        <v>26</v>
      </c>
      <c r="N683" s="26">
        <f>SUMIFS(INDEX(元データ_加工!$C$2:$P$700,0,MATCH($B683,元データ_加工!$C$1:$P$1,0)),元データ_加工!$A$2:$A$700,$A683,元データ_加工!$B$2:$B$700,N$5)</f>
        <v>13</v>
      </c>
      <c r="O683" s="26">
        <f t="shared" si="10"/>
        <v>534</v>
      </c>
      <c r="P683" s="7">
        <f>IFERROR(O683/SUMIFS(元データ_加工!$C$2:$C$700,元データ_加工!$A$2:$A$700,$A683),"")</f>
        <v>1.5172178656665531E-2</v>
      </c>
    </row>
    <row r="684" spans="1:16" x14ac:dyDescent="0.45">
      <c r="A684" t="s">
        <v>83</v>
      </c>
      <c r="B684" t="s">
        <v>106</v>
      </c>
      <c r="C684" s="26">
        <f>SUMIFS(INDEX(元データ_加工!$C$2:$P$700,0,MATCH($B684,元データ_加工!$C$1:$P$1,0)),元データ_加工!$A$2:$A$700,$A684,元データ_加工!$B$2:$B$700,C$5)</f>
        <v>355</v>
      </c>
      <c r="D684" s="26">
        <f>SUMIFS(INDEX(元データ_加工!$C$2:$P$700,0,MATCH($B684,元データ_加工!$C$1:$P$1,0)),元データ_加工!$A$2:$A$700,$A684,元データ_加工!$B$2:$B$700,D$5)</f>
        <v>367</v>
      </c>
      <c r="E684" s="26">
        <f>SUMIFS(INDEX(元データ_加工!$C$2:$P$700,0,MATCH($B684,元データ_加工!$C$1:$P$1,0)),元データ_加工!$A$2:$A$700,$A684,元データ_加工!$B$2:$B$700,E$5)</f>
        <v>582</v>
      </c>
      <c r="F684" s="26">
        <f>SUMIFS(INDEX(元データ_加工!$C$2:$P$700,0,MATCH($B684,元データ_加工!$C$1:$P$1,0)),元データ_加工!$A$2:$A$700,$A684,元データ_加工!$B$2:$B$700,F$5)</f>
        <v>564</v>
      </c>
      <c r="G684" s="26">
        <f>SUMIFS(INDEX(元データ_加工!$C$2:$P$700,0,MATCH($B684,元データ_加工!$C$1:$P$1,0)),元データ_加工!$A$2:$A$700,$A684,元データ_加工!$B$2:$B$700,G$5)</f>
        <v>586</v>
      </c>
      <c r="H684" s="26">
        <f>SUMIFS(INDEX(元データ_加工!$C$2:$P$700,0,MATCH($B684,元データ_加工!$C$1:$P$1,0)),元データ_加工!$A$2:$A$700,$A684,元データ_加工!$B$2:$B$700,H$5)</f>
        <v>416</v>
      </c>
      <c r="I684" s="26">
        <f>SUMIFS(INDEX(元データ_加工!$C$2:$P$700,0,MATCH($B684,元データ_加工!$C$1:$P$1,0)),元データ_加工!$A$2:$A$700,$A684,元データ_加工!$B$2:$B$700,I$5)</f>
        <v>291</v>
      </c>
      <c r="J684" s="26">
        <f>SUMIFS(INDEX(元データ_加工!$C$2:$P$700,0,MATCH($B684,元データ_加工!$C$1:$P$1,0)),元データ_加工!$A$2:$A$700,$A684,元データ_加工!$B$2:$B$700,J$5)</f>
        <v>601</v>
      </c>
      <c r="K684" s="26">
        <f>SUMIFS(INDEX(元データ_加工!$C$2:$P$700,0,MATCH($B684,元データ_加工!$C$1:$P$1,0)),元データ_加工!$A$2:$A$700,$A684,元データ_加工!$B$2:$B$700,K$5)</f>
        <v>1028</v>
      </c>
      <c r="L684" s="26">
        <f>SUMIFS(INDEX(元データ_加工!$C$2:$P$700,0,MATCH($B684,元データ_加工!$C$1:$P$1,0)),元データ_加工!$A$2:$A$700,$A684,元データ_加工!$B$2:$B$700,L$5)</f>
        <v>624</v>
      </c>
      <c r="M684" s="26">
        <f>SUMIFS(INDEX(元データ_加工!$C$2:$P$700,0,MATCH($B684,元データ_加工!$C$1:$P$1,0)),元データ_加工!$A$2:$A$700,$A684,元データ_加工!$B$2:$B$700,M$5)</f>
        <v>675</v>
      </c>
      <c r="N684" s="26">
        <f>SUMIFS(INDEX(元データ_加工!$C$2:$P$700,0,MATCH($B684,元データ_加工!$C$1:$P$1,0)),元データ_加工!$A$2:$A$700,$A684,元データ_加工!$B$2:$B$700,N$5)</f>
        <v>545</v>
      </c>
      <c r="O684" s="26">
        <f t="shared" si="10"/>
        <v>6634</v>
      </c>
      <c r="P684" s="7">
        <f>IFERROR(O684/SUMIFS(元データ_加工!$C$2:$C$700,元データ_加工!$A$2:$A$700,$A684),"")</f>
        <v>0.18848732810546653</v>
      </c>
    </row>
    <row r="685" spans="1:16" x14ac:dyDescent="0.45">
      <c r="A685" t="s">
        <v>83</v>
      </c>
      <c r="B685" t="s">
        <v>107</v>
      </c>
      <c r="C685" s="26">
        <f>SUMIFS(INDEX(元データ_加工!$C$2:$P$700,0,MATCH($B685,元データ_加工!$C$1:$P$1,0)),元データ_加工!$A$2:$A$700,$A685,元データ_加工!$B$2:$B$700,C$5)</f>
        <v>134</v>
      </c>
      <c r="D685" s="26">
        <f>SUMIFS(INDEX(元データ_加工!$C$2:$P$700,0,MATCH($B685,元データ_加工!$C$1:$P$1,0)),元データ_加工!$A$2:$A$700,$A685,元データ_加工!$B$2:$B$700,D$5)</f>
        <v>177</v>
      </c>
      <c r="E685" s="26">
        <f>SUMIFS(INDEX(元データ_加工!$C$2:$P$700,0,MATCH($B685,元データ_加工!$C$1:$P$1,0)),元データ_加工!$A$2:$A$700,$A685,元データ_加工!$B$2:$B$700,E$5)</f>
        <v>217</v>
      </c>
      <c r="F685" s="26">
        <f>SUMIFS(INDEX(元データ_加工!$C$2:$P$700,0,MATCH($B685,元データ_加工!$C$1:$P$1,0)),元データ_加工!$A$2:$A$700,$A685,元データ_加工!$B$2:$B$700,F$5)</f>
        <v>97</v>
      </c>
      <c r="G685" s="26">
        <f>SUMIFS(INDEX(元データ_加工!$C$2:$P$700,0,MATCH($B685,元データ_加工!$C$1:$P$1,0)),元データ_加工!$A$2:$A$700,$A685,元データ_加工!$B$2:$B$700,G$5)</f>
        <v>87</v>
      </c>
      <c r="H685" s="26">
        <f>SUMIFS(INDEX(元データ_加工!$C$2:$P$700,0,MATCH($B685,元データ_加工!$C$1:$P$1,0)),元データ_加工!$A$2:$A$700,$A685,元データ_加工!$B$2:$B$700,H$5)</f>
        <v>44</v>
      </c>
      <c r="I685" s="26">
        <f>SUMIFS(INDEX(元データ_加工!$C$2:$P$700,0,MATCH($B685,元データ_加工!$C$1:$P$1,0)),元データ_加工!$A$2:$A$700,$A685,元データ_加工!$B$2:$B$700,I$5)</f>
        <v>44</v>
      </c>
      <c r="J685" s="26">
        <f>SUMIFS(INDEX(元データ_加工!$C$2:$P$700,0,MATCH($B685,元データ_加工!$C$1:$P$1,0)),元データ_加工!$A$2:$A$700,$A685,元データ_加工!$B$2:$B$700,J$5)</f>
        <v>45</v>
      </c>
      <c r="K685" s="26">
        <f>SUMIFS(INDEX(元データ_加工!$C$2:$P$700,0,MATCH($B685,元データ_加工!$C$1:$P$1,0)),元データ_加工!$A$2:$A$700,$A685,元データ_加工!$B$2:$B$700,K$5)</f>
        <v>23</v>
      </c>
      <c r="L685" s="26">
        <f>SUMIFS(INDEX(元データ_加工!$C$2:$P$700,0,MATCH($B685,元データ_加工!$C$1:$P$1,0)),元データ_加工!$A$2:$A$700,$A685,元データ_加工!$B$2:$B$700,L$5)</f>
        <v>13</v>
      </c>
      <c r="M685" s="26">
        <f>SUMIFS(INDEX(元データ_加工!$C$2:$P$700,0,MATCH($B685,元データ_加工!$C$1:$P$1,0)),元データ_加工!$A$2:$A$700,$A685,元データ_加工!$B$2:$B$700,M$5)</f>
        <v>12</v>
      </c>
      <c r="N685" s="26">
        <f>SUMIFS(INDEX(元データ_加工!$C$2:$P$700,0,MATCH($B685,元データ_加工!$C$1:$P$1,0)),元データ_加工!$A$2:$A$700,$A685,元データ_加工!$B$2:$B$700,N$5)</f>
        <v>82</v>
      </c>
      <c r="O685" s="26">
        <f t="shared" si="10"/>
        <v>975</v>
      </c>
      <c r="P685" s="7">
        <f>IFERROR(O685/SUMIFS(元データ_加工!$C$2:$C$700,元データ_加工!$A$2:$A$700,$A685),"")</f>
        <v>2.7702011592226388E-2</v>
      </c>
    </row>
    <row r="686" spans="1:16" x14ac:dyDescent="0.45">
      <c r="A686" t="s">
        <v>83</v>
      </c>
      <c r="B686" t="s">
        <v>108</v>
      </c>
      <c r="C686" s="26">
        <f>SUMIFS(INDEX(元データ_加工!$C$2:$P$700,0,MATCH($B686,元データ_加工!$C$1:$P$1,0)),元データ_加工!$A$2:$A$700,$A686,元データ_加工!$B$2:$B$700,C$5)</f>
        <v>24</v>
      </c>
      <c r="D686" s="26">
        <f>SUMIFS(INDEX(元データ_加工!$C$2:$P$700,0,MATCH($B686,元データ_加工!$C$1:$P$1,0)),元データ_加工!$A$2:$A$700,$A686,元データ_加工!$B$2:$B$700,D$5)</f>
        <v>41</v>
      </c>
      <c r="E686" s="26">
        <f>SUMIFS(INDEX(元データ_加工!$C$2:$P$700,0,MATCH($B686,元データ_加工!$C$1:$P$1,0)),元データ_加工!$A$2:$A$700,$A686,元データ_加工!$B$2:$B$700,E$5)</f>
        <v>60</v>
      </c>
      <c r="F686" s="26">
        <f>SUMIFS(INDEX(元データ_加工!$C$2:$P$700,0,MATCH($B686,元データ_加工!$C$1:$P$1,0)),元データ_加工!$A$2:$A$700,$A686,元データ_加工!$B$2:$B$700,F$5)</f>
        <v>39</v>
      </c>
      <c r="G686" s="26">
        <f>SUMIFS(INDEX(元データ_加工!$C$2:$P$700,0,MATCH($B686,元データ_加工!$C$1:$P$1,0)),元データ_加工!$A$2:$A$700,$A686,元データ_加工!$B$2:$B$700,G$5)</f>
        <v>41</v>
      </c>
      <c r="H686" s="26">
        <f>SUMIFS(INDEX(元データ_加工!$C$2:$P$700,0,MATCH($B686,元データ_加工!$C$1:$P$1,0)),元データ_加工!$A$2:$A$700,$A686,元データ_加工!$B$2:$B$700,H$5)</f>
        <v>34</v>
      </c>
      <c r="I686" s="26">
        <f>SUMIFS(INDEX(元データ_加工!$C$2:$P$700,0,MATCH($B686,元データ_加工!$C$1:$P$1,0)),元データ_加工!$A$2:$A$700,$A686,元データ_加工!$B$2:$B$700,I$5)</f>
        <v>17</v>
      </c>
      <c r="J686" s="26">
        <f>SUMIFS(INDEX(元データ_加工!$C$2:$P$700,0,MATCH($B686,元データ_加工!$C$1:$P$1,0)),元データ_加工!$A$2:$A$700,$A686,元データ_加工!$B$2:$B$700,J$5)</f>
        <v>24</v>
      </c>
      <c r="K686" s="26">
        <f>SUMIFS(INDEX(元データ_加工!$C$2:$P$700,0,MATCH($B686,元データ_加工!$C$1:$P$1,0)),元データ_加工!$A$2:$A$700,$A686,元データ_加工!$B$2:$B$700,K$5)</f>
        <v>15</v>
      </c>
      <c r="L686" s="26">
        <f>SUMIFS(INDEX(元データ_加工!$C$2:$P$700,0,MATCH($B686,元データ_加工!$C$1:$P$1,0)),元データ_加工!$A$2:$A$700,$A686,元データ_加工!$B$2:$B$700,L$5)</f>
        <v>12</v>
      </c>
      <c r="M686" s="26">
        <f>SUMIFS(INDEX(元データ_加工!$C$2:$P$700,0,MATCH($B686,元データ_加工!$C$1:$P$1,0)),元データ_加工!$A$2:$A$700,$A686,元データ_加工!$B$2:$B$700,M$5)</f>
        <v>6</v>
      </c>
      <c r="N686" s="26">
        <f>SUMIFS(INDEX(元データ_加工!$C$2:$P$700,0,MATCH($B686,元データ_加工!$C$1:$P$1,0)),元データ_加工!$A$2:$A$700,$A686,元データ_加工!$B$2:$B$700,N$5)</f>
        <v>30</v>
      </c>
      <c r="O686" s="26">
        <f t="shared" si="10"/>
        <v>343</v>
      </c>
      <c r="P686" s="7">
        <f>IFERROR(O686/SUMIFS(元データ_加工!$C$2:$C$700,元データ_加工!$A$2:$A$700,$A686),"")</f>
        <v>9.7454256165473343E-3</v>
      </c>
    </row>
    <row r="687" spans="1:16" x14ac:dyDescent="0.45">
      <c r="A687" t="s">
        <v>83</v>
      </c>
      <c r="B687" t="s">
        <v>109</v>
      </c>
      <c r="C687" s="26">
        <f>SUMIFS(INDEX(元データ_加工!$C$2:$P$700,0,MATCH($B687,元データ_加工!$C$1:$P$1,0)),元データ_加工!$A$2:$A$700,$A687,元データ_加工!$B$2:$B$700,C$5)</f>
        <v>104</v>
      </c>
      <c r="D687" s="26">
        <f>SUMIFS(INDEX(元データ_加工!$C$2:$P$700,0,MATCH($B687,元データ_加工!$C$1:$P$1,0)),元データ_加工!$A$2:$A$700,$A687,元データ_加工!$B$2:$B$700,D$5)</f>
        <v>110</v>
      </c>
      <c r="E687" s="26">
        <f>SUMIFS(INDEX(元データ_加工!$C$2:$P$700,0,MATCH($B687,元データ_加工!$C$1:$P$1,0)),元データ_加工!$A$2:$A$700,$A687,元データ_加工!$B$2:$B$700,E$5)</f>
        <v>135</v>
      </c>
      <c r="F687" s="26">
        <f>SUMIFS(INDEX(元データ_加工!$C$2:$P$700,0,MATCH($B687,元データ_加工!$C$1:$P$1,0)),元データ_加工!$A$2:$A$700,$A687,元データ_加工!$B$2:$B$700,F$5)</f>
        <v>102</v>
      </c>
      <c r="G687" s="26">
        <f>SUMIFS(INDEX(元データ_加工!$C$2:$P$700,0,MATCH($B687,元データ_加工!$C$1:$P$1,0)),元データ_加工!$A$2:$A$700,$A687,元データ_加工!$B$2:$B$700,G$5)</f>
        <v>117</v>
      </c>
      <c r="H687" s="26">
        <f>SUMIFS(INDEX(元データ_加工!$C$2:$P$700,0,MATCH($B687,元データ_加工!$C$1:$P$1,0)),元データ_加工!$A$2:$A$700,$A687,元データ_加工!$B$2:$B$700,H$5)</f>
        <v>100</v>
      </c>
      <c r="I687" s="26">
        <f>SUMIFS(INDEX(元データ_加工!$C$2:$P$700,0,MATCH($B687,元データ_加工!$C$1:$P$1,0)),元データ_加工!$A$2:$A$700,$A687,元データ_加工!$B$2:$B$700,I$5)</f>
        <v>94</v>
      </c>
      <c r="J687" s="26">
        <f>SUMIFS(INDEX(元データ_加工!$C$2:$P$700,0,MATCH($B687,元データ_加工!$C$1:$P$1,0)),元データ_加工!$A$2:$A$700,$A687,元データ_加工!$B$2:$B$700,J$5)</f>
        <v>89</v>
      </c>
      <c r="K687" s="26">
        <f>SUMIFS(INDEX(元データ_加工!$C$2:$P$700,0,MATCH($B687,元データ_加工!$C$1:$P$1,0)),元データ_加工!$A$2:$A$700,$A687,元データ_加工!$B$2:$B$700,K$5)</f>
        <v>118</v>
      </c>
      <c r="L687" s="26">
        <f>SUMIFS(INDEX(元データ_加工!$C$2:$P$700,0,MATCH($B687,元データ_加工!$C$1:$P$1,0)),元データ_加工!$A$2:$A$700,$A687,元データ_加工!$B$2:$B$700,L$5)</f>
        <v>119</v>
      </c>
      <c r="M687" s="26">
        <f>SUMIFS(INDEX(元データ_加工!$C$2:$P$700,0,MATCH($B687,元データ_加工!$C$1:$P$1,0)),元データ_加工!$A$2:$A$700,$A687,元データ_加工!$B$2:$B$700,M$5)</f>
        <v>111</v>
      </c>
      <c r="N687" s="26">
        <f>SUMIFS(INDEX(元データ_加工!$C$2:$P$700,0,MATCH($B687,元データ_加工!$C$1:$P$1,0)),元データ_加工!$A$2:$A$700,$A687,元データ_加工!$B$2:$B$700,N$5)</f>
        <v>129</v>
      </c>
      <c r="O687" s="26">
        <f t="shared" si="10"/>
        <v>1328</v>
      </c>
      <c r="P687" s="7">
        <f>IFERROR(O687/SUMIFS(元データ_加工!$C$2:$C$700,元データ_加工!$A$2:$A$700,$A687),"")</f>
        <v>3.7731560404591434E-2</v>
      </c>
    </row>
    <row r="688" spans="1:16" x14ac:dyDescent="0.45">
      <c r="A688" t="s">
        <v>83</v>
      </c>
      <c r="B688" t="s">
        <v>110</v>
      </c>
      <c r="C688" s="26">
        <f>SUMIFS(INDEX(元データ_加工!$C$2:$P$700,0,MATCH($B688,元データ_加工!$C$1:$P$1,0)),元データ_加工!$A$2:$A$700,$A688,元データ_加工!$B$2:$B$700,C$5)</f>
        <v>0</v>
      </c>
      <c r="D688" s="26">
        <f>SUMIFS(INDEX(元データ_加工!$C$2:$P$700,0,MATCH($B688,元データ_加工!$C$1:$P$1,0)),元データ_加工!$A$2:$A$700,$A688,元データ_加工!$B$2:$B$700,D$5)</f>
        <v>0</v>
      </c>
      <c r="E688" s="26">
        <f>SUMIFS(INDEX(元データ_加工!$C$2:$P$700,0,MATCH($B688,元データ_加工!$C$1:$P$1,0)),元データ_加工!$A$2:$A$700,$A688,元データ_加工!$B$2:$B$700,E$5)</f>
        <v>0</v>
      </c>
      <c r="F688" s="26">
        <f>SUMIFS(INDEX(元データ_加工!$C$2:$P$700,0,MATCH($B688,元データ_加工!$C$1:$P$1,0)),元データ_加工!$A$2:$A$700,$A688,元データ_加工!$B$2:$B$700,F$5)</f>
        <v>0</v>
      </c>
      <c r="G688" s="26">
        <f>SUMIFS(INDEX(元データ_加工!$C$2:$P$700,0,MATCH($B688,元データ_加工!$C$1:$P$1,0)),元データ_加工!$A$2:$A$700,$A688,元データ_加工!$B$2:$B$700,G$5)</f>
        <v>0</v>
      </c>
      <c r="H688" s="26">
        <f>SUMIFS(INDEX(元データ_加工!$C$2:$P$700,0,MATCH($B688,元データ_加工!$C$1:$P$1,0)),元データ_加工!$A$2:$A$700,$A688,元データ_加工!$B$2:$B$700,H$5)</f>
        <v>0</v>
      </c>
      <c r="I688" s="26">
        <f>SUMIFS(INDEX(元データ_加工!$C$2:$P$700,0,MATCH($B688,元データ_加工!$C$1:$P$1,0)),元データ_加工!$A$2:$A$700,$A688,元データ_加工!$B$2:$B$700,I$5)</f>
        <v>0</v>
      </c>
      <c r="J688" s="26">
        <f>SUMIFS(INDEX(元データ_加工!$C$2:$P$700,0,MATCH($B688,元データ_加工!$C$1:$P$1,0)),元データ_加工!$A$2:$A$700,$A688,元データ_加工!$B$2:$B$700,J$5)</f>
        <v>0</v>
      </c>
      <c r="K688" s="26">
        <f>SUMIFS(INDEX(元データ_加工!$C$2:$P$700,0,MATCH($B688,元データ_加工!$C$1:$P$1,0)),元データ_加工!$A$2:$A$700,$A688,元データ_加工!$B$2:$B$700,K$5)</f>
        <v>0</v>
      </c>
      <c r="L688" s="26">
        <f>SUMIFS(INDEX(元データ_加工!$C$2:$P$700,0,MATCH($B688,元データ_加工!$C$1:$P$1,0)),元データ_加工!$A$2:$A$700,$A688,元データ_加工!$B$2:$B$700,L$5)</f>
        <v>0</v>
      </c>
      <c r="M688" s="26">
        <f>SUMIFS(INDEX(元データ_加工!$C$2:$P$700,0,MATCH($B688,元データ_加工!$C$1:$P$1,0)),元データ_加工!$A$2:$A$700,$A688,元データ_加工!$B$2:$B$700,M$5)</f>
        <v>0</v>
      </c>
      <c r="N688" s="26">
        <f>SUMIFS(INDEX(元データ_加工!$C$2:$P$700,0,MATCH($B688,元データ_加工!$C$1:$P$1,0)),元データ_加工!$A$2:$A$700,$A688,元データ_加工!$B$2:$B$700,N$5)</f>
        <v>0</v>
      </c>
      <c r="O688" s="26">
        <f t="shared" si="10"/>
        <v>0</v>
      </c>
      <c r="P688" s="7">
        <f>IFERROR(O688/SUMIFS(元データ_加工!$C$2:$C$700,元データ_加工!$A$2:$A$700,$A688),"")</f>
        <v>0</v>
      </c>
    </row>
    <row r="689" spans="1:16" x14ac:dyDescent="0.45">
      <c r="A689" t="s">
        <v>83</v>
      </c>
      <c r="B689" t="s">
        <v>111</v>
      </c>
      <c r="C689" s="26">
        <f>SUMIFS(INDEX(元データ_加工!$C$2:$P$700,0,MATCH($B689,元データ_加工!$C$1:$P$1,0)),元データ_加工!$A$2:$A$700,$A689,元データ_加工!$B$2:$B$700,C$5)</f>
        <v>2</v>
      </c>
      <c r="D689" s="26">
        <f>SUMIFS(INDEX(元データ_加工!$C$2:$P$700,0,MATCH($B689,元データ_加工!$C$1:$P$1,0)),元データ_加工!$A$2:$A$700,$A689,元データ_加工!$B$2:$B$700,D$5)</f>
        <v>4</v>
      </c>
      <c r="E689" s="26">
        <f>SUMIFS(INDEX(元データ_加工!$C$2:$P$700,0,MATCH($B689,元データ_加工!$C$1:$P$1,0)),元データ_加工!$A$2:$A$700,$A689,元データ_加工!$B$2:$B$700,E$5)</f>
        <v>12</v>
      </c>
      <c r="F689" s="26">
        <f>SUMIFS(INDEX(元データ_加工!$C$2:$P$700,0,MATCH($B689,元データ_加工!$C$1:$P$1,0)),元データ_加工!$A$2:$A$700,$A689,元データ_加工!$B$2:$B$700,F$5)</f>
        <v>5</v>
      </c>
      <c r="G689" s="26">
        <f>SUMIFS(INDEX(元データ_加工!$C$2:$P$700,0,MATCH($B689,元データ_加工!$C$1:$P$1,0)),元データ_加工!$A$2:$A$700,$A689,元データ_加工!$B$2:$B$700,G$5)</f>
        <v>0</v>
      </c>
      <c r="H689" s="26">
        <f>SUMIFS(INDEX(元データ_加工!$C$2:$P$700,0,MATCH($B689,元データ_加工!$C$1:$P$1,0)),元データ_加工!$A$2:$A$700,$A689,元データ_加工!$B$2:$B$700,H$5)</f>
        <v>0</v>
      </c>
      <c r="I689" s="26">
        <f>SUMIFS(INDEX(元データ_加工!$C$2:$P$700,0,MATCH($B689,元データ_加工!$C$1:$P$1,0)),元データ_加工!$A$2:$A$700,$A689,元データ_加工!$B$2:$B$700,I$5)</f>
        <v>0</v>
      </c>
      <c r="J689" s="26">
        <f>SUMIFS(INDEX(元データ_加工!$C$2:$P$700,0,MATCH($B689,元データ_加工!$C$1:$P$1,0)),元データ_加工!$A$2:$A$700,$A689,元データ_加工!$B$2:$B$700,J$5)</f>
        <v>1</v>
      </c>
      <c r="K689" s="26">
        <f>SUMIFS(INDEX(元データ_加工!$C$2:$P$700,0,MATCH($B689,元データ_加工!$C$1:$P$1,0)),元データ_加工!$A$2:$A$700,$A689,元データ_加工!$B$2:$B$700,K$5)</f>
        <v>20</v>
      </c>
      <c r="L689" s="26">
        <f>SUMIFS(INDEX(元データ_加工!$C$2:$P$700,0,MATCH($B689,元データ_加工!$C$1:$P$1,0)),元データ_加工!$A$2:$A$700,$A689,元データ_加工!$B$2:$B$700,L$5)</f>
        <v>24</v>
      </c>
      <c r="M689" s="26">
        <f>SUMIFS(INDEX(元データ_加工!$C$2:$P$700,0,MATCH($B689,元データ_加工!$C$1:$P$1,0)),元データ_加工!$A$2:$A$700,$A689,元データ_加工!$B$2:$B$700,M$5)</f>
        <v>43</v>
      </c>
      <c r="N689" s="26">
        <f>SUMIFS(INDEX(元データ_加工!$C$2:$P$700,0,MATCH($B689,元データ_加工!$C$1:$P$1,0)),元データ_加工!$A$2:$A$700,$A689,元データ_加工!$B$2:$B$700,N$5)</f>
        <v>17</v>
      </c>
      <c r="O689" s="26">
        <f t="shared" si="10"/>
        <v>128</v>
      </c>
      <c r="P689" s="7">
        <f>IFERROR(O689/SUMIFS(元データ_加工!$C$2:$C$700,元データ_加工!$A$2:$A$700,$A689),"")</f>
        <v>3.6367769064666439E-3</v>
      </c>
    </row>
    <row r="690" spans="1:16" x14ac:dyDescent="0.45">
      <c r="A690" t="s">
        <v>83</v>
      </c>
      <c r="B690" t="s">
        <v>112</v>
      </c>
      <c r="C690" s="26">
        <f>SUMIFS(INDEX(元データ_加工!$C$2:$P$700,0,MATCH($B690,元データ_加工!$C$1:$P$1,0)),元データ_加工!$A$2:$A$700,$A690,元データ_加工!$B$2:$B$700,C$5)</f>
        <v>0</v>
      </c>
      <c r="D690" s="26">
        <f>SUMIFS(INDEX(元データ_加工!$C$2:$P$700,0,MATCH($B690,元データ_加工!$C$1:$P$1,0)),元データ_加工!$A$2:$A$700,$A690,元データ_加工!$B$2:$B$700,D$5)</f>
        <v>0</v>
      </c>
      <c r="E690" s="26">
        <f>SUMIFS(INDEX(元データ_加工!$C$2:$P$700,0,MATCH($B690,元データ_加工!$C$1:$P$1,0)),元データ_加工!$A$2:$A$700,$A690,元データ_加工!$B$2:$B$700,E$5)</f>
        <v>0</v>
      </c>
      <c r="F690" s="26">
        <f>SUMIFS(INDEX(元データ_加工!$C$2:$P$700,0,MATCH($B690,元データ_加工!$C$1:$P$1,0)),元データ_加工!$A$2:$A$700,$A690,元データ_加工!$B$2:$B$700,F$5)</f>
        <v>0</v>
      </c>
      <c r="G690" s="26">
        <f>SUMIFS(INDEX(元データ_加工!$C$2:$P$700,0,MATCH($B690,元データ_加工!$C$1:$P$1,0)),元データ_加工!$A$2:$A$700,$A690,元データ_加工!$B$2:$B$700,G$5)</f>
        <v>0</v>
      </c>
      <c r="H690" s="26">
        <f>SUMIFS(INDEX(元データ_加工!$C$2:$P$700,0,MATCH($B690,元データ_加工!$C$1:$P$1,0)),元データ_加工!$A$2:$A$700,$A690,元データ_加工!$B$2:$B$700,H$5)</f>
        <v>0</v>
      </c>
      <c r="I690" s="26">
        <f>SUMIFS(INDEX(元データ_加工!$C$2:$P$700,0,MATCH($B690,元データ_加工!$C$1:$P$1,0)),元データ_加工!$A$2:$A$700,$A690,元データ_加工!$B$2:$B$700,I$5)</f>
        <v>0</v>
      </c>
      <c r="J690" s="26">
        <f>SUMIFS(INDEX(元データ_加工!$C$2:$P$700,0,MATCH($B690,元データ_加工!$C$1:$P$1,0)),元データ_加工!$A$2:$A$700,$A690,元データ_加工!$B$2:$B$700,J$5)</f>
        <v>0</v>
      </c>
      <c r="K690" s="26">
        <f>SUMIFS(INDEX(元データ_加工!$C$2:$P$700,0,MATCH($B690,元データ_加工!$C$1:$P$1,0)),元データ_加工!$A$2:$A$700,$A690,元データ_加工!$B$2:$B$700,K$5)</f>
        <v>4</v>
      </c>
      <c r="L690" s="26">
        <f>SUMIFS(INDEX(元データ_加工!$C$2:$P$700,0,MATCH($B690,元データ_加工!$C$1:$P$1,0)),元データ_加工!$A$2:$A$700,$A690,元データ_加工!$B$2:$B$700,L$5)</f>
        <v>0</v>
      </c>
      <c r="M690" s="26">
        <f>SUMIFS(INDEX(元データ_加工!$C$2:$P$700,0,MATCH($B690,元データ_加工!$C$1:$P$1,0)),元データ_加工!$A$2:$A$700,$A690,元データ_加工!$B$2:$B$700,M$5)</f>
        <v>0</v>
      </c>
      <c r="N690" s="26">
        <f>SUMIFS(INDEX(元データ_加工!$C$2:$P$700,0,MATCH($B690,元データ_加工!$C$1:$P$1,0)),元データ_加工!$A$2:$A$700,$A690,元データ_加工!$B$2:$B$700,N$5)</f>
        <v>0</v>
      </c>
      <c r="O690" s="26">
        <f t="shared" si="10"/>
        <v>4</v>
      </c>
      <c r="P690" s="7">
        <f>IFERROR(O690/SUMIFS(元データ_加工!$C$2:$C$700,元データ_加工!$A$2:$A$700,$A690),"")</f>
        <v>1.1364927832708262E-4</v>
      </c>
    </row>
    <row r="691" spans="1:16" x14ac:dyDescent="0.45">
      <c r="A691" t="s">
        <v>83</v>
      </c>
      <c r="B691" t="s">
        <v>113</v>
      </c>
      <c r="C691" s="26">
        <f>SUMIFS(INDEX(元データ_加工!$C$2:$P$700,0,MATCH($B691,元データ_加工!$C$1:$P$1,0)),元データ_加工!$A$2:$A$700,$A691,元データ_加工!$B$2:$B$700,C$5)</f>
        <v>3</v>
      </c>
      <c r="D691" s="26">
        <f>SUMIFS(INDEX(元データ_加工!$C$2:$P$700,0,MATCH($B691,元データ_加工!$C$1:$P$1,0)),元データ_加工!$A$2:$A$700,$A691,元データ_加工!$B$2:$B$700,D$5)</f>
        <v>11</v>
      </c>
      <c r="E691" s="26">
        <f>SUMIFS(INDEX(元データ_加工!$C$2:$P$700,0,MATCH($B691,元データ_加工!$C$1:$P$1,0)),元データ_加工!$A$2:$A$700,$A691,元データ_加工!$B$2:$B$700,E$5)</f>
        <v>0</v>
      </c>
      <c r="F691" s="26">
        <f>SUMIFS(INDEX(元データ_加工!$C$2:$P$700,0,MATCH($B691,元データ_加工!$C$1:$P$1,0)),元データ_加工!$A$2:$A$700,$A691,元データ_加工!$B$2:$B$700,F$5)</f>
        <v>4</v>
      </c>
      <c r="G691" s="26">
        <f>SUMIFS(INDEX(元データ_加工!$C$2:$P$700,0,MATCH($B691,元データ_加工!$C$1:$P$1,0)),元データ_加工!$A$2:$A$700,$A691,元データ_加工!$B$2:$B$700,G$5)</f>
        <v>1</v>
      </c>
      <c r="H691" s="26">
        <f>SUMIFS(INDEX(元データ_加工!$C$2:$P$700,0,MATCH($B691,元データ_加工!$C$1:$P$1,0)),元データ_加工!$A$2:$A$700,$A691,元データ_加工!$B$2:$B$700,H$5)</f>
        <v>7</v>
      </c>
      <c r="I691" s="26">
        <f>SUMIFS(INDEX(元データ_加工!$C$2:$P$700,0,MATCH($B691,元データ_加工!$C$1:$P$1,0)),元データ_加工!$A$2:$A$700,$A691,元データ_加工!$B$2:$B$700,I$5)</f>
        <v>3</v>
      </c>
      <c r="J691" s="26">
        <f>SUMIFS(INDEX(元データ_加工!$C$2:$P$700,0,MATCH($B691,元データ_加工!$C$1:$P$1,0)),元データ_加工!$A$2:$A$700,$A691,元データ_加工!$B$2:$B$700,J$5)</f>
        <v>7</v>
      </c>
      <c r="K691" s="26">
        <f>SUMIFS(INDEX(元データ_加工!$C$2:$P$700,0,MATCH($B691,元データ_加工!$C$1:$P$1,0)),元データ_加工!$A$2:$A$700,$A691,元データ_加工!$B$2:$B$700,K$5)</f>
        <v>7</v>
      </c>
      <c r="L691" s="26">
        <f>SUMIFS(INDEX(元データ_加工!$C$2:$P$700,0,MATCH($B691,元データ_加工!$C$1:$P$1,0)),元データ_加工!$A$2:$A$700,$A691,元データ_加工!$B$2:$B$700,L$5)</f>
        <v>14</v>
      </c>
      <c r="M691" s="26">
        <f>SUMIFS(INDEX(元データ_加工!$C$2:$P$700,0,MATCH($B691,元データ_加工!$C$1:$P$1,0)),元データ_加工!$A$2:$A$700,$A691,元データ_加工!$B$2:$B$700,M$5)</f>
        <v>11</v>
      </c>
      <c r="N691" s="26">
        <f>SUMIFS(INDEX(元データ_加工!$C$2:$P$700,0,MATCH($B691,元データ_加工!$C$1:$P$1,0)),元データ_加工!$A$2:$A$700,$A691,元データ_加工!$B$2:$B$700,N$5)</f>
        <v>10</v>
      </c>
      <c r="O691" s="26">
        <f t="shared" si="10"/>
        <v>78</v>
      </c>
      <c r="P691" s="7">
        <f>IFERROR(O691/SUMIFS(元データ_加工!$C$2:$C$700,元データ_加工!$A$2:$A$700,$A691),"")</f>
        <v>2.2161609273781109E-3</v>
      </c>
    </row>
    <row r="692" spans="1:16" x14ac:dyDescent="0.45">
      <c r="A692" t="s">
        <v>84</v>
      </c>
      <c r="B692" t="s">
        <v>100</v>
      </c>
      <c r="C692" s="26">
        <f>SUMIFS(INDEX(元データ_加工!$C$2:$P$700,0,MATCH($B692,元データ_加工!$C$1:$P$1,0)),元データ_加工!$A$2:$A$700,$A692,元データ_加工!$B$2:$B$700,C$5)</f>
        <v>1078</v>
      </c>
      <c r="D692" s="26">
        <f>SUMIFS(INDEX(元データ_加工!$C$2:$P$700,0,MATCH($B692,元データ_加工!$C$1:$P$1,0)),元データ_加工!$A$2:$A$700,$A692,元データ_加工!$B$2:$B$700,D$5)</f>
        <v>1000</v>
      </c>
      <c r="E692" s="26">
        <f>SUMIFS(INDEX(元データ_加工!$C$2:$P$700,0,MATCH($B692,元データ_加工!$C$1:$P$1,0)),元データ_加工!$A$2:$A$700,$A692,元データ_加工!$B$2:$B$700,E$5)</f>
        <v>1202</v>
      </c>
      <c r="F692" s="26">
        <f>SUMIFS(INDEX(元データ_加工!$C$2:$P$700,0,MATCH($B692,元データ_加工!$C$1:$P$1,0)),元データ_加工!$A$2:$A$700,$A692,元データ_加工!$B$2:$B$700,F$5)</f>
        <v>1458</v>
      </c>
      <c r="G692" s="26">
        <f>SUMIFS(INDEX(元データ_加工!$C$2:$P$700,0,MATCH($B692,元データ_加工!$C$1:$P$1,0)),元データ_加工!$A$2:$A$700,$A692,元データ_加工!$B$2:$B$700,G$5)</f>
        <v>1462</v>
      </c>
      <c r="H692" s="26">
        <f>SUMIFS(INDEX(元データ_加工!$C$2:$P$700,0,MATCH($B692,元データ_加工!$C$1:$P$1,0)),元データ_加工!$A$2:$A$700,$A692,元データ_加工!$B$2:$B$700,H$5)</f>
        <v>928</v>
      </c>
      <c r="I692" s="26">
        <f>SUMIFS(INDEX(元データ_加工!$C$2:$P$700,0,MATCH($B692,元データ_加工!$C$1:$P$1,0)),元データ_加工!$A$2:$A$700,$A692,元データ_加工!$B$2:$B$700,I$5)</f>
        <v>774</v>
      </c>
      <c r="J692" s="26">
        <f>SUMIFS(INDEX(元データ_加工!$C$2:$P$700,0,MATCH($B692,元データ_加工!$C$1:$P$1,0)),元データ_加工!$A$2:$A$700,$A692,元データ_加工!$B$2:$B$700,J$5)</f>
        <v>1479</v>
      </c>
      <c r="K692" s="26">
        <f>SUMIFS(INDEX(元データ_加工!$C$2:$P$700,0,MATCH($B692,元データ_加工!$C$1:$P$1,0)),元データ_加工!$A$2:$A$700,$A692,元データ_加工!$B$2:$B$700,K$5)</f>
        <v>2754</v>
      </c>
      <c r="L692" s="26">
        <f>SUMIFS(INDEX(元データ_加工!$C$2:$P$700,0,MATCH($B692,元データ_加工!$C$1:$P$1,0)),元データ_加工!$A$2:$A$700,$A692,元データ_加工!$B$2:$B$700,L$5)</f>
        <v>2282</v>
      </c>
      <c r="M692" s="26">
        <f>SUMIFS(INDEX(元データ_加工!$C$2:$P$700,0,MATCH($B692,元データ_加工!$C$1:$P$1,0)),元データ_加工!$A$2:$A$700,$A692,元データ_加工!$B$2:$B$700,M$5)</f>
        <v>1740</v>
      </c>
      <c r="N692" s="26">
        <f>SUMIFS(INDEX(元データ_加工!$C$2:$P$700,0,MATCH($B692,元データ_加工!$C$1:$P$1,0)),元データ_加工!$A$2:$A$700,$A692,元データ_加工!$B$2:$B$700,N$5)</f>
        <v>1481</v>
      </c>
      <c r="O692" s="26">
        <f t="shared" si="10"/>
        <v>17638</v>
      </c>
      <c r="P692" s="7">
        <f>IFERROR(O692/SUMIFS(元データ_加工!$C$2:$C$700,元データ_加工!$A$2:$A$700,$A692),"")</f>
        <v>1</v>
      </c>
    </row>
    <row r="693" spans="1:16" x14ac:dyDescent="0.45">
      <c r="A693" t="s">
        <v>84</v>
      </c>
      <c r="B693" t="s">
        <v>101</v>
      </c>
      <c r="C693" s="26">
        <f>SUMIFS(INDEX(元データ_加工!$C$2:$P$700,0,MATCH($B693,元データ_加工!$C$1:$P$1,0)),元データ_加工!$A$2:$A$700,$A693,元データ_加工!$B$2:$B$700,C$5)</f>
        <v>561</v>
      </c>
      <c r="D693" s="26">
        <f>SUMIFS(INDEX(元データ_加工!$C$2:$P$700,0,MATCH($B693,元データ_加工!$C$1:$P$1,0)),元データ_加工!$A$2:$A$700,$A693,元データ_加工!$B$2:$B$700,D$5)</f>
        <v>715</v>
      </c>
      <c r="E693" s="26">
        <f>SUMIFS(INDEX(元データ_加工!$C$2:$P$700,0,MATCH($B693,元データ_加工!$C$1:$P$1,0)),元データ_加工!$A$2:$A$700,$A693,元データ_加工!$B$2:$B$700,E$5)</f>
        <v>825</v>
      </c>
      <c r="F693" s="26">
        <f>SUMIFS(INDEX(元データ_加工!$C$2:$P$700,0,MATCH($B693,元データ_加工!$C$1:$P$1,0)),元データ_加工!$A$2:$A$700,$A693,元データ_加工!$B$2:$B$700,F$5)</f>
        <v>795</v>
      </c>
      <c r="G693" s="26">
        <f>SUMIFS(INDEX(元データ_加工!$C$2:$P$700,0,MATCH($B693,元データ_加工!$C$1:$P$1,0)),元データ_加工!$A$2:$A$700,$A693,元データ_加工!$B$2:$B$700,G$5)</f>
        <v>764</v>
      </c>
      <c r="H693" s="26">
        <f>SUMIFS(INDEX(元データ_加工!$C$2:$P$700,0,MATCH($B693,元データ_加工!$C$1:$P$1,0)),元データ_加工!$A$2:$A$700,$A693,元データ_加工!$B$2:$B$700,H$5)</f>
        <v>654</v>
      </c>
      <c r="I693" s="26">
        <f>SUMIFS(INDEX(元データ_加工!$C$2:$P$700,0,MATCH($B693,元データ_加工!$C$1:$P$1,0)),元データ_加工!$A$2:$A$700,$A693,元データ_加工!$B$2:$B$700,I$5)</f>
        <v>688</v>
      </c>
      <c r="J693" s="26">
        <f>SUMIFS(INDEX(元データ_加工!$C$2:$P$700,0,MATCH($B693,元データ_加工!$C$1:$P$1,0)),元データ_加工!$A$2:$A$700,$A693,元データ_加工!$B$2:$B$700,J$5)</f>
        <v>781</v>
      </c>
      <c r="K693" s="26">
        <f>SUMIFS(INDEX(元データ_加工!$C$2:$P$700,0,MATCH($B693,元データ_加工!$C$1:$P$1,0)),元データ_加工!$A$2:$A$700,$A693,元データ_加工!$B$2:$B$700,K$5)</f>
        <v>885</v>
      </c>
      <c r="L693" s="26">
        <f>SUMIFS(INDEX(元データ_加工!$C$2:$P$700,0,MATCH($B693,元データ_加工!$C$1:$P$1,0)),元データ_加工!$A$2:$A$700,$A693,元データ_加工!$B$2:$B$700,L$5)</f>
        <v>842</v>
      </c>
      <c r="M693" s="26">
        <f>SUMIFS(INDEX(元データ_加工!$C$2:$P$700,0,MATCH($B693,元データ_加工!$C$1:$P$1,0)),元データ_加工!$A$2:$A$700,$A693,元データ_加工!$B$2:$B$700,M$5)</f>
        <v>911</v>
      </c>
      <c r="N693" s="26">
        <f>SUMIFS(INDEX(元データ_加工!$C$2:$P$700,0,MATCH($B693,元データ_加工!$C$1:$P$1,0)),元データ_加工!$A$2:$A$700,$A693,元データ_加工!$B$2:$B$700,N$5)</f>
        <v>835</v>
      </c>
      <c r="O693" s="26">
        <f t="shared" si="10"/>
        <v>9256</v>
      </c>
      <c r="P693" s="7">
        <f>IFERROR(O693/SUMIFS(元データ_加工!$C$2:$C$700,元データ_加工!$A$2:$A$700,$A693),"")</f>
        <v>0.52477605170654273</v>
      </c>
    </row>
    <row r="694" spans="1:16" x14ac:dyDescent="0.45">
      <c r="A694" t="s">
        <v>84</v>
      </c>
      <c r="B694" t="s">
        <v>102</v>
      </c>
      <c r="C694" s="26">
        <f>SUMIFS(INDEX(元データ_加工!$C$2:$P$700,0,MATCH($B694,元データ_加工!$C$1:$P$1,0)),元データ_加工!$A$2:$A$700,$A694,元データ_加工!$B$2:$B$700,C$5)</f>
        <v>0</v>
      </c>
      <c r="D694" s="26">
        <f>SUMIFS(INDEX(元データ_加工!$C$2:$P$700,0,MATCH($B694,元データ_加工!$C$1:$P$1,0)),元データ_加工!$A$2:$A$700,$A694,元データ_加工!$B$2:$B$700,D$5)</f>
        <v>0</v>
      </c>
      <c r="E694" s="26">
        <f>SUMIFS(INDEX(元データ_加工!$C$2:$P$700,0,MATCH($B694,元データ_加工!$C$1:$P$1,0)),元データ_加工!$A$2:$A$700,$A694,元データ_加工!$B$2:$B$700,E$5)</f>
        <v>0</v>
      </c>
      <c r="F694" s="26">
        <f>SUMIFS(INDEX(元データ_加工!$C$2:$P$700,0,MATCH($B694,元データ_加工!$C$1:$P$1,0)),元データ_加工!$A$2:$A$700,$A694,元データ_加工!$B$2:$B$700,F$5)</f>
        <v>0</v>
      </c>
      <c r="G694" s="26">
        <f>SUMIFS(INDEX(元データ_加工!$C$2:$P$700,0,MATCH($B694,元データ_加工!$C$1:$P$1,0)),元データ_加工!$A$2:$A$700,$A694,元データ_加工!$B$2:$B$700,G$5)</f>
        <v>0</v>
      </c>
      <c r="H694" s="26">
        <f>SUMIFS(INDEX(元データ_加工!$C$2:$P$700,0,MATCH($B694,元データ_加工!$C$1:$P$1,0)),元データ_加工!$A$2:$A$700,$A694,元データ_加工!$B$2:$B$700,H$5)</f>
        <v>0</v>
      </c>
      <c r="I694" s="26">
        <f>SUMIFS(INDEX(元データ_加工!$C$2:$P$700,0,MATCH($B694,元データ_加工!$C$1:$P$1,0)),元データ_加工!$A$2:$A$700,$A694,元データ_加工!$B$2:$B$700,I$5)</f>
        <v>0</v>
      </c>
      <c r="J694" s="26">
        <f>SUMIFS(INDEX(元データ_加工!$C$2:$P$700,0,MATCH($B694,元データ_加工!$C$1:$P$1,0)),元データ_加工!$A$2:$A$700,$A694,元データ_加工!$B$2:$B$700,J$5)</f>
        <v>5</v>
      </c>
      <c r="K694" s="26">
        <f>SUMIFS(INDEX(元データ_加工!$C$2:$P$700,0,MATCH($B694,元データ_加工!$C$1:$P$1,0)),元データ_加工!$A$2:$A$700,$A694,元データ_加工!$B$2:$B$700,K$5)</f>
        <v>6</v>
      </c>
      <c r="L694" s="26">
        <f>SUMIFS(INDEX(元データ_加工!$C$2:$P$700,0,MATCH($B694,元データ_加工!$C$1:$P$1,0)),元データ_加工!$A$2:$A$700,$A694,元データ_加工!$B$2:$B$700,L$5)</f>
        <v>0</v>
      </c>
      <c r="M694" s="26">
        <f>SUMIFS(INDEX(元データ_加工!$C$2:$P$700,0,MATCH($B694,元データ_加工!$C$1:$P$1,0)),元データ_加工!$A$2:$A$700,$A694,元データ_加工!$B$2:$B$700,M$5)</f>
        <v>0</v>
      </c>
      <c r="N694" s="26">
        <f>SUMIFS(INDEX(元データ_加工!$C$2:$P$700,0,MATCH($B694,元データ_加工!$C$1:$P$1,0)),元データ_加工!$A$2:$A$700,$A694,元データ_加工!$B$2:$B$700,N$5)</f>
        <v>0</v>
      </c>
      <c r="O694" s="26">
        <f t="shared" si="10"/>
        <v>11</v>
      </c>
      <c r="P694" s="7">
        <f>IFERROR(O694/SUMIFS(元データ_加工!$C$2:$C$700,元データ_加工!$A$2:$A$700,$A694),"")</f>
        <v>6.2365347545073136E-4</v>
      </c>
    </row>
    <row r="695" spans="1:16" x14ac:dyDescent="0.45">
      <c r="A695" t="s">
        <v>84</v>
      </c>
      <c r="B695" t="s">
        <v>103</v>
      </c>
      <c r="C695" s="26">
        <f>SUMIFS(INDEX(元データ_加工!$C$2:$P$700,0,MATCH($B695,元データ_加工!$C$1:$P$1,0)),元データ_加工!$A$2:$A$700,$A695,元データ_加工!$B$2:$B$700,C$5)</f>
        <v>0</v>
      </c>
      <c r="D695" s="26">
        <f>SUMIFS(INDEX(元データ_加工!$C$2:$P$700,0,MATCH($B695,元データ_加工!$C$1:$P$1,0)),元データ_加工!$A$2:$A$700,$A695,元データ_加工!$B$2:$B$700,D$5)</f>
        <v>0</v>
      </c>
      <c r="E695" s="26">
        <f>SUMIFS(INDEX(元データ_加工!$C$2:$P$700,0,MATCH($B695,元データ_加工!$C$1:$P$1,0)),元データ_加工!$A$2:$A$700,$A695,元データ_加工!$B$2:$B$700,E$5)</f>
        <v>0</v>
      </c>
      <c r="F695" s="26">
        <f>SUMIFS(INDEX(元データ_加工!$C$2:$P$700,0,MATCH($B695,元データ_加工!$C$1:$P$1,0)),元データ_加工!$A$2:$A$700,$A695,元データ_加工!$B$2:$B$700,F$5)</f>
        <v>12</v>
      </c>
      <c r="G695" s="26">
        <f>SUMIFS(INDEX(元データ_加工!$C$2:$P$700,0,MATCH($B695,元データ_加工!$C$1:$P$1,0)),元データ_加工!$A$2:$A$700,$A695,元データ_加工!$B$2:$B$700,G$5)</f>
        <v>25</v>
      </c>
      <c r="H695" s="26">
        <f>SUMIFS(INDEX(元データ_加工!$C$2:$P$700,0,MATCH($B695,元データ_加工!$C$1:$P$1,0)),元データ_加工!$A$2:$A$700,$A695,元データ_加工!$B$2:$B$700,H$5)</f>
        <v>22</v>
      </c>
      <c r="I695" s="26">
        <f>SUMIFS(INDEX(元データ_加工!$C$2:$P$700,0,MATCH($B695,元データ_加工!$C$1:$P$1,0)),元データ_加工!$A$2:$A$700,$A695,元データ_加工!$B$2:$B$700,I$5)</f>
        <v>11</v>
      </c>
      <c r="J695" s="26">
        <f>SUMIFS(INDEX(元データ_加工!$C$2:$P$700,0,MATCH($B695,元データ_加工!$C$1:$P$1,0)),元データ_加工!$A$2:$A$700,$A695,元データ_加工!$B$2:$B$700,J$5)</f>
        <v>0</v>
      </c>
      <c r="K695" s="26">
        <f>SUMIFS(INDEX(元データ_加工!$C$2:$P$700,0,MATCH($B695,元データ_加工!$C$1:$P$1,0)),元データ_加工!$A$2:$A$700,$A695,元データ_加工!$B$2:$B$700,K$5)</f>
        <v>0</v>
      </c>
      <c r="L695" s="26">
        <f>SUMIFS(INDEX(元データ_加工!$C$2:$P$700,0,MATCH($B695,元データ_加工!$C$1:$P$1,0)),元データ_加工!$A$2:$A$700,$A695,元データ_加工!$B$2:$B$700,L$5)</f>
        <v>0</v>
      </c>
      <c r="M695" s="26">
        <f>SUMIFS(INDEX(元データ_加工!$C$2:$P$700,0,MATCH($B695,元データ_加工!$C$1:$P$1,0)),元データ_加工!$A$2:$A$700,$A695,元データ_加工!$B$2:$B$700,M$5)</f>
        <v>0</v>
      </c>
      <c r="N695" s="26">
        <f>SUMIFS(INDEX(元データ_加工!$C$2:$P$700,0,MATCH($B695,元データ_加工!$C$1:$P$1,0)),元データ_加工!$A$2:$A$700,$A695,元データ_加工!$B$2:$B$700,N$5)</f>
        <v>0</v>
      </c>
      <c r="O695" s="26">
        <f t="shared" si="10"/>
        <v>70</v>
      </c>
      <c r="P695" s="7">
        <f>IFERROR(O695/SUMIFS(元データ_加工!$C$2:$C$700,元データ_加工!$A$2:$A$700,$A695),"")</f>
        <v>3.968703934686472E-3</v>
      </c>
    </row>
    <row r="696" spans="1:16" x14ac:dyDescent="0.45">
      <c r="A696" t="s">
        <v>84</v>
      </c>
      <c r="B696" t="s">
        <v>104</v>
      </c>
      <c r="C696" s="26">
        <f>SUMIFS(INDEX(元データ_加工!$C$2:$P$700,0,MATCH($B696,元データ_加工!$C$1:$P$1,0)),元データ_加工!$A$2:$A$700,$A696,元データ_加工!$B$2:$B$700,C$5)</f>
        <v>3</v>
      </c>
      <c r="D696" s="26">
        <f>SUMIFS(INDEX(元データ_加工!$C$2:$P$700,0,MATCH($B696,元データ_加工!$C$1:$P$1,0)),元データ_加工!$A$2:$A$700,$A696,元データ_加工!$B$2:$B$700,D$5)</f>
        <v>7</v>
      </c>
      <c r="E696" s="26">
        <f>SUMIFS(INDEX(元データ_加工!$C$2:$P$700,0,MATCH($B696,元データ_加工!$C$1:$P$1,0)),元データ_加工!$A$2:$A$700,$A696,元データ_加工!$B$2:$B$700,E$5)</f>
        <v>6</v>
      </c>
      <c r="F696" s="26">
        <f>SUMIFS(INDEX(元データ_加工!$C$2:$P$700,0,MATCH($B696,元データ_加工!$C$1:$P$1,0)),元データ_加工!$A$2:$A$700,$A696,元データ_加工!$B$2:$B$700,F$5)</f>
        <v>16</v>
      </c>
      <c r="G696" s="26">
        <f>SUMIFS(INDEX(元データ_加工!$C$2:$P$700,0,MATCH($B696,元データ_加工!$C$1:$P$1,0)),元データ_加工!$A$2:$A$700,$A696,元データ_加工!$B$2:$B$700,G$5)</f>
        <v>28</v>
      </c>
      <c r="H696" s="26">
        <f>SUMIFS(INDEX(元データ_加工!$C$2:$P$700,0,MATCH($B696,元データ_加工!$C$1:$P$1,0)),元データ_加工!$A$2:$A$700,$A696,元データ_加工!$B$2:$B$700,H$5)</f>
        <v>13</v>
      </c>
      <c r="I696" s="26">
        <f>SUMIFS(INDEX(元データ_加工!$C$2:$P$700,0,MATCH($B696,元データ_加工!$C$1:$P$1,0)),元データ_加工!$A$2:$A$700,$A696,元データ_加工!$B$2:$B$700,I$5)</f>
        <v>17</v>
      </c>
      <c r="J696" s="26">
        <f>SUMIFS(INDEX(元データ_加工!$C$2:$P$700,0,MATCH($B696,元データ_加工!$C$1:$P$1,0)),元データ_加工!$A$2:$A$700,$A696,元データ_加工!$B$2:$B$700,J$5)</f>
        <v>70</v>
      </c>
      <c r="K696" s="26">
        <f>SUMIFS(INDEX(元データ_加工!$C$2:$P$700,0,MATCH($B696,元データ_加工!$C$1:$P$1,0)),元データ_加工!$A$2:$A$700,$A696,元データ_加工!$B$2:$B$700,K$5)</f>
        <v>25</v>
      </c>
      <c r="L696" s="26">
        <f>SUMIFS(INDEX(元データ_加工!$C$2:$P$700,0,MATCH($B696,元データ_加工!$C$1:$P$1,0)),元データ_加工!$A$2:$A$700,$A696,元データ_加工!$B$2:$B$700,L$5)</f>
        <v>14</v>
      </c>
      <c r="M696" s="26">
        <f>SUMIFS(INDEX(元データ_加工!$C$2:$P$700,0,MATCH($B696,元データ_加工!$C$1:$P$1,0)),元データ_加工!$A$2:$A$700,$A696,元データ_加工!$B$2:$B$700,M$5)</f>
        <v>34</v>
      </c>
      <c r="N696" s="26">
        <f>SUMIFS(INDEX(元データ_加工!$C$2:$P$700,0,MATCH($B696,元データ_加工!$C$1:$P$1,0)),元データ_加工!$A$2:$A$700,$A696,元データ_加工!$B$2:$B$700,N$5)</f>
        <v>17</v>
      </c>
      <c r="O696" s="26">
        <f t="shared" si="10"/>
        <v>250</v>
      </c>
      <c r="P696" s="7">
        <f>IFERROR(O696/SUMIFS(元データ_加工!$C$2:$C$700,元データ_加工!$A$2:$A$700,$A696),"")</f>
        <v>1.4173942623880258E-2</v>
      </c>
    </row>
    <row r="697" spans="1:16" x14ac:dyDescent="0.45">
      <c r="A697" t="s">
        <v>84</v>
      </c>
      <c r="B697" t="s">
        <v>105</v>
      </c>
      <c r="C697" s="26">
        <f>SUMIFS(INDEX(元データ_加工!$C$2:$P$700,0,MATCH($B697,元データ_加工!$C$1:$P$1,0)),元データ_加工!$A$2:$A$700,$A697,元データ_加工!$B$2:$B$700,C$5)</f>
        <v>0</v>
      </c>
      <c r="D697" s="26">
        <f>SUMIFS(INDEX(元データ_加工!$C$2:$P$700,0,MATCH($B697,元データ_加工!$C$1:$P$1,0)),元データ_加工!$A$2:$A$700,$A697,元データ_加工!$B$2:$B$700,D$5)</f>
        <v>0</v>
      </c>
      <c r="E697" s="26">
        <f>SUMIFS(INDEX(元データ_加工!$C$2:$P$700,0,MATCH($B697,元データ_加工!$C$1:$P$1,0)),元データ_加工!$A$2:$A$700,$A697,元データ_加工!$B$2:$B$700,E$5)</f>
        <v>20</v>
      </c>
      <c r="F697" s="26">
        <f>SUMIFS(INDEX(元データ_加工!$C$2:$P$700,0,MATCH($B697,元データ_加工!$C$1:$P$1,0)),元データ_加工!$A$2:$A$700,$A697,元データ_加工!$B$2:$B$700,F$5)</f>
        <v>8</v>
      </c>
      <c r="G697" s="26">
        <f>SUMIFS(INDEX(元データ_加工!$C$2:$P$700,0,MATCH($B697,元データ_加工!$C$1:$P$1,0)),元データ_加工!$A$2:$A$700,$A697,元データ_加工!$B$2:$B$700,G$5)</f>
        <v>9</v>
      </c>
      <c r="H697" s="26">
        <f>SUMIFS(INDEX(元データ_加工!$C$2:$P$700,0,MATCH($B697,元データ_加工!$C$1:$P$1,0)),元データ_加工!$A$2:$A$700,$A697,元データ_加工!$B$2:$B$700,H$5)</f>
        <v>0</v>
      </c>
      <c r="I697" s="26">
        <f>SUMIFS(INDEX(元データ_加工!$C$2:$P$700,0,MATCH($B697,元データ_加工!$C$1:$P$1,0)),元データ_加工!$A$2:$A$700,$A697,元データ_加工!$B$2:$B$700,I$5)</f>
        <v>1</v>
      </c>
      <c r="J697" s="26">
        <f>SUMIFS(INDEX(元データ_加工!$C$2:$P$700,0,MATCH($B697,元データ_加工!$C$1:$P$1,0)),元データ_加工!$A$2:$A$700,$A697,元データ_加工!$B$2:$B$700,J$5)</f>
        <v>50</v>
      </c>
      <c r="K697" s="26">
        <f>SUMIFS(INDEX(元データ_加工!$C$2:$P$700,0,MATCH($B697,元データ_加工!$C$1:$P$1,0)),元データ_加工!$A$2:$A$700,$A697,元データ_加工!$B$2:$B$700,K$5)</f>
        <v>118</v>
      </c>
      <c r="L697" s="26">
        <f>SUMIFS(INDEX(元データ_加工!$C$2:$P$700,0,MATCH($B697,元データ_加工!$C$1:$P$1,0)),元データ_加工!$A$2:$A$700,$A697,元データ_加工!$B$2:$B$700,L$5)</f>
        <v>76</v>
      </c>
      <c r="M697" s="26">
        <f>SUMIFS(INDEX(元データ_加工!$C$2:$P$700,0,MATCH($B697,元データ_加工!$C$1:$P$1,0)),元データ_加工!$A$2:$A$700,$A697,元データ_加工!$B$2:$B$700,M$5)</f>
        <v>12</v>
      </c>
      <c r="N697" s="26">
        <f>SUMIFS(INDEX(元データ_加工!$C$2:$P$700,0,MATCH($B697,元データ_加工!$C$1:$P$1,0)),元データ_加工!$A$2:$A$700,$A697,元データ_加工!$B$2:$B$700,N$5)</f>
        <v>7</v>
      </c>
      <c r="O697" s="26">
        <f t="shared" si="10"/>
        <v>301</v>
      </c>
      <c r="P697" s="7">
        <f>IFERROR(O697/SUMIFS(元データ_加工!$C$2:$C$700,元データ_加工!$A$2:$A$700,$A697),"")</f>
        <v>1.7065426919151833E-2</v>
      </c>
    </row>
    <row r="698" spans="1:16" x14ac:dyDescent="0.45">
      <c r="A698" t="s">
        <v>84</v>
      </c>
      <c r="B698" t="s">
        <v>106</v>
      </c>
      <c r="C698" s="26">
        <f>SUMIFS(INDEX(元データ_加工!$C$2:$P$700,0,MATCH($B698,元データ_加工!$C$1:$P$1,0)),元データ_加工!$A$2:$A$700,$A698,元データ_加工!$B$2:$B$700,C$5)</f>
        <v>260</v>
      </c>
      <c r="D698" s="26">
        <f>SUMIFS(INDEX(元データ_加工!$C$2:$P$700,0,MATCH($B698,元データ_加工!$C$1:$P$1,0)),元データ_加工!$A$2:$A$700,$A698,元データ_加工!$B$2:$B$700,D$5)</f>
        <v>255</v>
      </c>
      <c r="E698" s="26">
        <f>SUMIFS(INDEX(元データ_加工!$C$2:$P$700,0,MATCH($B698,元データ_加工!$C$1:$P$1,0)),元データ_加工!$A$2:$A$700,$A698,元データ_加工!$B$2:$B$700,E$5)</f>
        <v>232</v>
      </c>
      <c r="F698" s="26">
        <f>SUMIFS(INDEX(元データ_加工!$C$2:$P$700,0,MATCH($B698,元データ_加工!$C$1:$P$1,0)),元データ_加工!$A$2:$A$700,$A698,元データ_加工!$B$2:$B$700,F$5)</f>
        <v>327</v>
      </c>
      <c r="G698" s="26">
        <f>SUMIFS(INDEX(元データ_加工!$C$2:$P$700,0,MATCH($B698,元データ_加工!$C$1:$P$1,0)),元データ_加工!$A$2:$A$700,$A698,元データ_加工!$B$2:$B$700,G$5)</f>
        <v>209</v>
      </c>
      <c r="H698" s="26">
        <f>SUMIFS(INDEX(元データ_加工!$C$2:$P$700,0,MATCH($B698,元データ_加工!$C$1:$P$1,0)),元データ_加工!$A$2:$A$700,$A698,元データ_加工!$B$2:$B$700,H$5)</f>
        <v>218</v>
      </c>
      <c r="I698" s="26">
        <f>SUMIFS(INDEX(元データ_加工!$C$2:$P$700,0,MATCH($B698,元データ_加工!$C$1:$P$1,0)),元データ_加工!$A$2:$A$700,$A698,元データ_加工!$B$2:$B$700,I$5)</f>
        <v>199</v>
      </c>
      <c r="J698" s="26">
        <f>SUMIFS(INDEX(元データ_加工!$C$2:$P$700,0,MATCH($B698,元データ_加工!$C$1:$P$1,0)),元データ_加工!$A$2:$A$700,$A698,元データ_加工!$B$2:$B$700,J$5)</f>
        <v>373</v>
      </c>
      <c r="K698" s="26">
        <f>SUMIFS(INDEX(元データ_加工!$C$2:$P$700,0,MATCH($B698,元データ_加工!$C$1:$P$1,0)),元データ_加工!$A$2:$A$700,$A698,元データ_加工!$B$2:$B$700,K$5)</f>
        <v>696</v>
      </c>
      <c r="L698" s="26">
        <f>SUMIFS(INDEX(元データ_加工!$C$2:$P$700,0,MATCH($B698,元データ_加工!$C$1:$P$1,0)),元データ_加工!$A$2:$A$700,$A698,元データ_加工!$B$2:$B$700,L$5)</f>
        <v>594</v>
      </c>
      <c r="M698" s="26">
        <f>SUMIFS(INDEX(元データ_加工!$C$2:$P$700,0,MATCH($B698,元データ_加工!$C$1:$P$1,0)),元データ_加工!$A$2:$A$700,$A698,元データ_加工!$B$2:$B$700,M$5)</f>
        <v>480</v>
      </c>
      <c r="N698" s="26">
        <f>SUMIFS(INDEX(元データ_加工!$C$2:$P$700,0,MATCH($B698,元データ_加工!$C$1:$P$1,0)),元データ_加工!$A$2:$A$700,$A698,元データ_加工!$B$2:$B$700,N$5)</f>
        <v>371</v>
      </c>
      <c r="O698" s="26">
        <f t="shared" si="10"/>
        <v>4214</v>
      </c>
      <c r="P698" s="7">
        <f>IFERROR(O698/SUMIFS(元データ_加工!$C$2:$C$700,元データ_加工!$A$2:$A$700,$A698),"")</f>
        <v>0.23891597686812563</v>
      </c>
    </row>
    <row r="699" spans="1:16" x14ac:dyDescent="0.45">
      <c r="A699" t="s">
        <v>84</v>
      </c>
      <c r="B699" t="s">
        <v>107</v>
      </c>
      <c r="C699" s="26">
        <f>SUMIFS(INDEX(元データ_加工!$C$2:$P$700,0,MATCH($B699,元データ_加工!$C$1:$P$1,0)),元データ_加工!$A$2:$A$700,$A699,元データ_加工!$B$2:$B$700,C$5)</f>
        <v>117</v>
      </c>
      <c r="D699" s="26">
        <f>SUMIFS(INDEX(元データ_加工!$C$2:$P$700,0,MATCH($B699,元データ_加工!$C$1:$P$1,0)),元データ_加工!$A$2:$A$700,$A699,元データ_加工!$B$2:$B$700,D$5)</f>
        <v>102</v>
      </c>
      <c r="E699" s="26">
        <f>SUMIFS(INDEX(元データ_加工!$C$2:$P$700,0,MATCH($B699,元データ_加工!$C$1:$P$1,0)),元データ_加工!$A$2:$A$700,$A699,元データ_加工!$B$2:$B$700,E$5)</f>
        <v>117</v>
      </c>
      <c r="F699" s="26">
        <f>SUMIFS(INDEX(元データ_加工!$C$2:$P$700,0,MATCH($B699,元データ_加工!$C$1:$P$1,0)),元データ_加工!$A$2:$A$700,$A699,元データ_加工!$B$2:$B$700,F$5)</f>
        <v>100</v>
      </c>
      <c r="G699" s="26">
        <f>SUMIFS(INDEX(元データ_加工!$C$2:$P$700,0,MATCH($B699,元データ_加工!$C$1:$P$1,0)),元データ_加工!$A$2:$A$700,$A699,元データ_加工!$B$2:$B$700,G$5)</f>
        <v>76</v>
      </c>
      <c r="H699" s="26">
        <f>SUMIFS(INDEX(元データ_加工!$C$2:$P$700,0,MATCH($B699,元データ_加工!$C$1:$P$1,0)),元データ_加工!$A$2:$A$700,$A699,元データ_加工!$B$2:$B$700,H$5)</f>
        <v>40</v>
      </c>
      <c r="I699" s="26">
        <f>SUMIFS(INDEX(元データ_加工!$C$2:$P$700,0,MATCH($B699,元データ_加工!$C$1:$P$1,0)),元データ_加工!$A$2:$A$700,$A699,元データ_加工!$B$2:$B$700,I$5)</f>
        <v>32</v>
      </c>
      <c r="J699" s="26">
        <f>SUMIFS(INDEX(元データ_加工!$C$2:$P$700,0,MATCH($B699,元データ_加工!$C$1:$P$1,0)),元データ_加工!$A$2:$A$700,$A699,元データ_加工!$B$2:$B$700,J$5)</f>
        <v>53</v>
      </c>
      <c r="K699" s="26">
        <f>SUMIFS(INDEX(元データ_加工!$C$2:$P$700,0,MATCH($B699,元データ_加工!$C$1:$P$1,0)),元データ_加工!$A$2:$A$700,$A699,元データ_加工!$B$2:$B$700,K$5)</f>
        <v>85</v>
      </c>
      <c r="L699" s="26">
        <f>SUMIFS(INDEX(元データ_加工!$C$2:$P$700,0,MATCH($B699,元データ_加工!$C$1:$P$1,0)),元データ_加工!$A$2:$A$700,$A699,元データ_加工!$B$2:$B$700,L$5)</f>
        <v>96</v>
      </c>
      <c r="M699" s="26">
        <f>SUMIFS(INDEX(元データ_加工!$C$2:$P$700,0,MATCH($B699,元データ_加工!$C$1:$P$1,0)),元データ_加工!$A$2:$A$700,$A699,元データ_加工!$B$2:$B$700,M$5)</f>
        <v>64</v>
      </c>
      <c r="N699" s="26">
        <f>SUMIFS(INDEX(元データ_加工!$C$2:$P$700,0,MATCH($B699,元データ_加工!$C$1:$P$1,0)),元データ_加工!$A$2:$A$700,$A699,元データ_加工!$B$2:$B$700,N$5)</f>
        <v>139</v>
      </c>
      <c r="O699" s="26">
        <f t="shared" si="10"/>
        <v>1021</v>
      </c>
      <c r="P699" s="7">
        <f>IFERROR(O699/SUMIFS(元データ_加工!$C$2:$C$700,元データ_加工!$A$2:$A$700,$A699),"")</f>
        <v>5.7886381675926975E-2</v>
      </c>
    </row>
    <row r="700" spans="1:16" x14ac:dyDescent="0.45">
      <c r="A700" t="s">
        <v>84</v>
      </c>
      <c r="B700" t="s">
        <v>108</v>
      </c>
      <c r="C700" s="26">
        <f>SUMIFS(INDEX(元データ_加工!$C$2:$P$700,0,MATCH($B700,元データ_加工!$C$1:$P$1,0)),元データ_加工!$A$2:$A$700,$A700,元データ_加工!$B$2:$B$700,C$5)</f>
        <v>7</v>
      </c>
      <c r="D700" s="26">
        <f>SUMIFS(INDEX(元データ_加工!$C$2:$P$700,0,MATCH($B700,元データ_加工!$C$1:$P$1,0)),元データ_加工!$A$2:$A$700,$A700,元データ_加工!$B$2:$B$700,D$5)</f>
        <v>25</v>
      </c>
      <c r="E700" s="26">
        <f>SUMIFS(INDEX(元データ_加工!$C$2:$P$700,0,MATCH($B700,元データ_加工!$C$1:$P$1,0)),元データ_加工!$A$2:$A$700,$A700,元データ_加工!$B$2:$B$700,E$5)</f>
        <v>14</v>
      </c>
      <c r="F700" s="26">
        <f>SUMIFS(INDEX(元データ_加工!$C$2:$P$700,0,MATCH($B700,元データ_加工!$C$1:$P$1,0)),元データ_加工!$A$2:$A$700,$A700,元データ_加工!$B$2:$B$700,F$5)</f>
        <v>10</v>
      </c>
      <c r="G700" s="26">
        <f>SUMIFS(INDEX(元データ_加工!$C$2:$P$700,0,MATCH($B700,元データ_加工!$C$1:$P$1,0)),元データ_加工!$A$2:$A$700,$A700,元データ_加工!$B$2:$B$700,G$5)</f>
        <v>11</v>
      </c>
      <c r="H700" s="26">
        <f>SUMIFS(INDEX(元データ_加工!$C$2:$P$700,0,MATCH($B700,元データ_加工!$C$1:$P$1,0)),元データ_加工!$A$2:$A$700,$A700,元データ_加工!$B$2:$B$700,H$5)</f>
        <v>5</v>
      </c>
      <c r="I700" s="26">
        <f>SUMIFS(INDEX(元データ_加工!$C$2:$P$700,0,MATCH($B700,元データ_加工!$C$1:$P$1,0)),元データ_加工!$A$2:$A$700,$A700,元データ_加工!$B$2:$B$700,I$5)</f>
        <v>8</v>
      </c>
      <c r="J700" s="26">
        <f>SUMIFS(INDEX(元データ_加工!$C$2:$P$700,0,MATCH($B700,元データ_加工!$C$1:$P$1,0)),元データ_加工!$A$2:$A$700,$A700,元データ_加工!$B$2:$B$700,J$5)</f>
        <v>15</v>
      </c>
      <c r="K700" s="26">
        <f>SUMIFS(INDEX(元データ_加工!$C$2:$P$700,0,MATCH($B700,元データ_加工!$C$1:$P$1,0)),元データ_加工!$A$2:$A$700,$A700,元データ_加工!$B$2:$B$700,K$5)</f>
        <v>6</v>
      </c>
      <c r="L700" s="26">
        <f>SUMIFS(INDEX(元データ_加工!$C$2:$P$700,0,MATCH($B700,元データ_加工!$C$1:$P$1,0)),元データ_加工!$A$2:$A$700,$A700,元データ_加工!$B$2:$B$700,L$5)</f>
        <v>23</v>
      </c>
      <c r="M700" s="26">
        <f>SUMIFS(INDEX(元データ_加工!$C$2:$P$700,0,MATCH($B700,元データ_加工!$C$1:$P$1,0)),元データ_加工!$A$2:$A$700,$A700,元データ_加工!$B$2:$B$700,M$5)</f>
        <v>0</v>
      </c>
      <c r="N700" s="26">
        <f>SUMIFS(INDEX(元データ_加工!$C$2:$P$700,0,MATCH($B700,元データ_加工!$C$1:$P$1,0)),元データ_加工!$A$2:$A$700,$A700,元データ_加工!$B$2:$B$700,N$5)</f>
        <v>16</v>
      </c>
      <c r="O700" s="26">
        <f t="shared" si="10"/>
        <v>140</v>
      </c>
      <c r="P700" s="7">
        <f>IFERROR(O700/SUMIFS(元データ_加工!$C$2:$C$700,元データ_加工!$A$2:$A$700,$A700),"")</f>
        <v>7.9374078693729439E-3</v>
      </c>
    </row>
    <row r="701" spans="1:16" x14ac:dyDescent="0.45">
      <c r="A701" t="s">
        <v>84</v>
      </c>
      <c r="B701" t="s">
        <v>109</v>
      </c>
      <c r="C701" s="26">
        <f>SUMIFS(INDEX(元データ_加工!$C$2:$P$700,0,MATCH($B701,元データ_加工!$C$1:$P$1,0)),元データ_加工!$A$2:$A$700,$A701,元データ_加工!$B$2:$B$700,C$5)</f>
        <v>66</v>
      </c>
      <c r="D701" s="26">
        <f>SUMIFS(INDEX(元データ_加工!$C$2:$P$700,0,MATCH($B701,元データ_加工!$C$1:$P$1,0)),元データ_加工!$A$2:$A$700,$A701,元データ_加工!$B$2:$B$700,D$5)</f>
        <v>78</v>
      </c>
      <c r="E701" s="26">
        <f>SUMIFS(INDEX(元データ_加工!$C$2:$P$700,0,MATCH($B701,元データ_加工!$C$1:$P$1,0)),元データ_加工!$A$2:$A$700,$A701,元データ_加工!$B$2:$B$700,E$5)</f>
        <v>69</v>
      </c>
      <c r="F701" s="26">
        <f>SUMIFS(INDEX(元データ_加工!$C$2:$P$700,0,MATCH($B701,元データ_加工!$C$1:$P$1,0)),元データ_加工!$A$2:$A$700,$A701,元データ_加工!$B$2:$B$700,F$5)</f>
        <v>113</v>
      </c>
      <c r="G701" s="26">
        <f>SUMIFS(INDEX(元データ_加工!$C$2:$P$700,0,MATCH($B701,元データ_加工!$C$1:$P$1,0)),元データ_加工!$A$2:$A$700,$A701,元データ_加工!$B$2:$B$700,G$5)</f>
        <v>72</v>
      </c>
      <c r="H701" s="26">
        <f>SUMIFS(INDEX(元データ_加工!$C$2:$P$700,0,MATCH($B701,元データ_加工!$C$1:$P$1,0)),元データ_加工!$A$2:$A$700,$A701,元データ_加工!$B$2:$B$700,H$5)</f>
        <v>61</v>
      </c>
      <c r="I701" s="26">
        <f>SUMIFS(INDEX(元データ_加工!$C$2:$P$700,0,MATCH($B701,元データ_加工!$C$1:$P$1,0)),元データ_加工!$A$2:$A$700,$A701,元データ_加工!$B$2:$B$700,I$5)</f>
        <v>65</v>
      </c>
      <c r="J701" s="26">
        <f>SUMIFS(INDEX(元データ_加工!$C$2:$P$700,0,MATCH($B701,元データ_加工!$C$1:$P$1,0)),元データ_加工!$A$2:$A$700,$A701,元データ_加工!$B$2:$B$700,J$5)</f>
        <v>115</v>
      </c>
      <c r="K701" s="26">
        <f>SUMIFS(INDEX(元データ_加工!$C$2:$P$700,0,MATCH($B701,元データ_加工!$C$1:$P$1,0)),元データ_加工!$A$2:$A$700,$A701,元データ_加工!$B$2:$B$700,K$5)</f>
        <v>115</v>
      </c>
      <c r="L701" s="26">
        <f>SUMIFS(INDEX(元データ_加工!$C$2:$P$700,0,MATCH($B701,元データ_加工!$C$1:$P$1,0)),元データ_加工!$A$2:$A$700,$A701,元データ_加工!$B$2:$B$700,L$5)</f>
        <v>91</v>
      </c>
      <c r="M701" s="26">
        <f>SUMIFS(INDEX(元データ_加工!$C$2:$P$700,0,MATCH($B701,元データ_加工!$C$1:$P$1,0)),元データ_加工!$A$2:$A$700,$A701,元データ_加工!$B$2:$B$700,M$5)</f>
        <v>110</v>
      </c>
      <c r="N701" s="26">
        <f>SUMIFS(INDEX(元データ_加工!$C$2:$P$700,0,MATCH($B701,元データ_加工!$C$1:$P$1,0)),元データ_加工!$A$2:$A$700,$A701,元データ_加工!$B$2:$B$700,N$5)</f>
        <v>126</v>
      </c>
      <c r="O701" s="26">
        <f t="shared" si="10"/>
        <v>1081</v>
      </c>
      <c r="P701" s="7">
        <f>IFERROR(O701/SUMIFS(元データ_加工!$C$2:$C$700,元データ_加工!$A$2:$A$700,$A701),"")</f>
        <v>6.1288127905658241E-2</v>
      </c>
    </row>
    <row r="702" spans="1:16" x14ac:dyDescent="0.45">
      <c r="A702" t="s">
        <v>84</v>
      </c>
      <c r="B702" t="s">
        <v>110</v>
      </c>
      <c r="C702" s="26">
        <f>SUMIFS(INDEX(元データ_加工!$C$2:$P$700,0,MATCH($B702,元データ_加工!$C$1:$P$1,0)),元データ_加工!$A$2:$A$700,$A702,元データ_加工!$B$2:$B$700,C$5)</f>
        <v>0</v>
      </c>
      <c r="D702" s="26">
        <f>SUMIFS(INDEX(元データ_加工!$C$2:$P$700,0,MATCH($B702,元データ_加工!$C$1:$P$1,0)),元データ_加工!$A$2:$A$700,$A702,元データ_加工!$B$2:$B$700,D$5)</f>
        <v>0</v>
      </c>
      <c r="E702" s="26">
        <f>SUMIFS(INDEX(元データ_加工!$C$2:$P$700,0,MATCH($B702,元データ_加工!$C$1:$P$1,0)),元データ_加工!$A$2:$A$700,$A702,元データ_加工!$B$2:$B$700,E$5)</f>
        <v>0</v>
      </c>
      <c r="F702" s="26">
        <f>SUMIFS(INDEX(元データ_加工!$C$2:$P$700,0,MATCH($B702,元データ_加工!$C$1:$P$1,0)),元データ_加工!$A$2:$A$700,$A702,元データ_加工!$B$2:$B$700,F$5)</f>
        <v>0</v>
      </c>
      <c r="G702" s="26">
        <f>SUMIFS(INDEX(元データ_加工!$C$2:$P$700,0,MATCH($B702,元データ_加工!$C$1:$P$1,0)),元データ_加工!$A$2:$A$700,$A702,元データ_加工!$B$2:$B$700,G$5)</f>
        <v>0</v>
      </c>
      <c r="H702" s="26">
        <f>SUMIFS(INDEX(元データ_加工!$C$2:$P$700,0,MATCH($B702,元データ_加工!$C$1:$P$1,0)),元データ_加工!$A$2:$A$700,$A702,元データ_加工!$B$2:$B$700,H$5)</f>
        <v>0</v>
      </c>
      <c r="I702" s="26">
        <f>SUMIFS(INDEX(元データ_加工!$C$2:$P$700,0,MATCH($B702,元データ_加工!$C$1:$P$1,0)),元データ_加工!$A$2:$A$700,$A702,元データ_加工!$B$2:$B$700,I$5)</f>
        <v>0</v>
      </c>
      <c r="J702" s="26">
        <f>SUMIFS(INDEX(元データ_加工!$C$2:$P$700,0,MATCH($B702,元データ_加工!$C$1:$P$1,0)),元データ_加工!$A$2:$A$700,$A702,元データ_加工!$B$2:$B$700,J$5)</f>
        <v>0</v>
      </c>
      <c r="K702" s="26">
        <f>SUMIFS(INDEX(元データ_加工!$C$2:$P$700,0,MATCH($B702,元データ_加工!$C$1:$P$1,0)),元データ_加工!$A$2:$A$700,$A702,元データ_加工!$B$2:$B$700,K$5)</f>
        <v>0</v>
      </c>
      <c r="L702" s="26">
        <f>SUMIFS(INDEX(元データ_加工!$C$2:$P$700,0,MATCH($B702,元データ_加工!$C$1:$P$1,0)),元データ_加工!$A$2:$A$700,$A702,元データ_加工!$B$2:$B$700,L$5)</f>
        <v>0</v>
      </c>
      <c r="M702" s="26">
        <f>SUMIFS(INDEX(元データ_加工!$C$2:$P$700,0,MATCH($B702,元データ_加工!$C$1:$P$1,0)),元データ_加工!$A$2:$A$700,$A702,元データ_加工!$B$2:$B$700,M$5)</f>
        <v>0</v>
      </c>
      <c r="N702" s="26">
        <f>SUMIFS(INDEX(元データ_加工!$C$2:$P$700,0,MATCH($B702,元データ_加工!$C$1:$P$1,0)),元データ_加工!$A$2:$A$700,$A702,元データ_加工!$B$2:$B$700,N$5)</f>
        <v>0</v>
      </c>
      <c r="O702" s="26">
        <f t="shared" si="10"/>
        <v>0</v>
      </c>
      <c r="P702" s="7">
        <f>IFERROR(O702/SUMIFS(元データ_加工!$C$2:$C$700,元データ_加工!$A$2:$A$700,$A702),"")</f>
        <v>0</v>
      </c>
    </row>
    <row r="703" spans="1:16" x14ac:dyDescent="0.45">
      <c r="A703" t="s">
        <v>84</v>
      </c>
      <c r="B703" t="s">
        <v>111</v>
      </c>
      <c r="C703" s="26">
        <f>SUMIFS(INDEX(元データ_加工!$C$2:$P$700,0,MATCH($B703,元データ_加工!$C$1:$P$1,0)),元データ_加工!$A$2:$A$700,$A703,元データ_加工!$B$2:$B$700,C$5)</f>
        <v>0</v>
      </c>
      <c r="D703" s="26">
        <f>SUMIFS(INDEX(元データ_加工!$C$2:$P$700,0,MATCH($B703,元データ_加工!$C$1:$P$1,0)),元データ_加工!$A$2:$A$700,$A703,元データ_加工!$B$2:$B$700,D$5)</f>
        <v>0</v>
      </c>
      <c r="E703" s="26">
        <f>SUMIFS(INDEX(元データ_加工!$C$2:$P$700,0,MATCH($B703,元データ_加工!$C$1:$P$1,0)),元データ_加工!$A$2:$A$700,$A703,元データ_加工!$B$2:$B$700,E$5)</f>
        <v>1</v>
      </c>
      <c r="F703" s="26">
        <f>SUMIFS(INDEX(元データ_加工!$C$2:$P$700,0,MATCH($B703,元データ_加工!$C$1:$P$1,0)),元データ_加工!$A$2:$A$700,$A703,元データ_加工!$B$2:$B$700,F$5)</f>
        <v>1</v>
      </c>
      <c r="G703" s="26">
        <f>SUMIFS(INDEX(元データ_加工!$C$2:$P$700,0,MATCH($B703,元データ_加工!$C$1:$P$1,0)),元データ_加工!$A$2:$A$700,$A703,元データ_加工!$B$2:$B$700,G$5)</f>
        <v>1</v>
      </c>
      <c r="H703" s="26">
        <f>SUMIFS(INDEX(元データ_加工!$C$2:$P$700,0,MATCH($B703,元データ_加工!$C$1:$P$1,0)),元データ_加工!$A$2:$A$700,$A703,元データ_加工!$B$2:$B$700,H$5)</f>
        <v>0</v>
      </c>
      <c r="I703" s="26">
        <f>SUMIFS(INDEX(元データ_加工!$C$2:$P$700,0,MATCH($B703,元データ_加工!$C$1:$P$1,0)),元データ_加工!$A$2:$A$700,$A703,元データ_加工!$B$2:$B$700,I$5)</f>
        <v>0</v>
      </c>
      <c r="J703" s="26">
        <f>SUMIFS(INDEX(元データ_加工!$C$2:$P$700,0,MATCH($B703,元データ_加工!$C$1:$P$1,0)),元データ_加工!$A$2:$A$700,$A703,元データ_加工!$B$2:$B$700,J$5)</f>
        <v>0</v>
      </c>
      <c r="K703" s="26">
        <f>SUMIFS(INDEX(元データ_加工!$C$2:$P$700,0,MATCH($B703,元データ_加工!$C$1:$P$1,0)),元データ_加工!$A$2:$A$700,$A703,元データ_加工!$B$2:$B$700,K$5)</f>
        <v>5</v>
      </c>
      <c r="L703" s="26">
        <f>SUMIFS(INDEX(元データ_加工!$C$2:$P$700,0,MATCH($B703,元データ_加工!$C$1:$P$1,0)),元データ_加工!$A$2:$A$700,$A703,元データ_加工!$B$2:$B$700,L$5)</f>
        <v>4</v>
      </c>
      <c r="M703" s="26">
        <f>SUMIFS(INDEX(元データ_加工!$C$2:$P$700,0,MATCH($B703,元データ_加工!$C$1:$P$1,0)),元データ_加工!$A$2:$A$700,$A703,元データ_加工!$B$2:$B$700,M$5)</f>
        <v>2</v>
      </c>
      <c r="N703" s="26">
        <f>SUMIFS(INDEX(元データ_加工!$C$2:$P$700,0,MATCH($B703,元データ_加工!$C$1:$P$1,0)),元データ_加工!$A$2:$A$700,$A703,元データ_加工!$B$2:$B$700,N$5)</f>
        <v>0</v>
      </c>
      <c r="O703" s="26">
        <f t="shared" si="10"/>
        <v>14</v>
      </c>
      <c r="P703" s="7">
        <f>IFERROR(O703/SUMIFS(元データ_加工!$C$2:$C$700,元データ_加工!$A$2:$A$700,$A703),"")</f>
        <v>7.9374078693729444E-4</v>
      </c>
    </row>
    <row r="704" spans="1:16" x14ac:dyDescent="0.45">
      <c r="A704" t="s">
        <v>84</v>
      </c>
      <c r="B704" t="s">
        <v>112</v>
      </c>
      <c r="C704" s="26">
        <f>SUMIFS(INDEX(元データ_加工!$C$2:$P$700,0,MATCH($B704,元データ_加工!$C$1:$P$1,0)),元データ_加工!$A$2:$A$700,$A704,元データ_加工!$B$2:$B$700,C$5)</f>
        <v>0</v>
      </c>
      <c r="D704" s="26">
        <f>SUMIFS(INDEX(元データ_加工!$C$2:$P$700,0,MATCH($B704,元データ_加工!$C$1:$P$1,0)),元データ_加工!$A$2:$A$700,$A704,元データ_加工!$B$2:$B$700,D$5)</f>
        <v>0</v>
      </c>
      <c r="E704" s="26">
        <f>SUMIFS(INDEX(元データ_加工!$C$2:$P$700,0,MATCH($B704,元データ_加工!$C$1:$P$1,0)),元データ_加工!$A$2:$A$700,$A704,元データ_加工!$B$2:$B$700,E$5)</f>
        <v>0</v>
      </c>
      <c r="F704" s="26">
        <f>SUMIFS(INDEX(元データ_加工!$C$2:$P$700,0,MATCH($B704,元データ_加工!$C$1:$P$1,0)),元データ_加工!$A$2:$A$700,$A704,元データ_加工!$B$2:$B$700,F$5)</f>
        <v>0</v>
      </c>
      <c r="G704" s="26">
        <f>SUMIFS(INDEX(元データ_加工!$C$2:$P$700,0,MATCH($B704,元データ_加工!$C$1:$P$1,0)),元データ_加工!$A$2:$A$700,$A704,元データ_加工!$B$2:$B$700,G$5)</f>
        <v>0</v>
      </c>
      <c r="H704" s="26">
        <f>SUMIFS(INDEX(元データ_加工!$C$2:$P$700,0,MATCH($B704,元データ_加工!$C$1:$P$1,0)),元データ_加工!$A$2:$A$700,$A704,元データ_加工!$B$2:$B$700,H$5)</f>
        <v>0</v>
      </c>
      <c r="I704" s="26">
        <f>SUMIFS(INDEX(元データ_加工!$C$2:$P$700,0,MATCH($B704,元データ_加工!$C$1:$P$1,0)),元データ_加工!$A$2:$A$700,$A704,元データ_加工!$B$2:$B$700,I$5)</f>
        <v>0</v>
      </c>
      <c r="J704" s="26">
        <f>SUMIFS(INDEX(元データ_加工!$C$2:$P$700,0,MATCH($B704,元データ_加工!$C$1:$P$1,0)),元データ_加工!$A$2:$A$700,$A704,元データ_加工!$B$2:$B$700,J$5)</f>
        <v>5</v>
      </c>
      <c r="K704" s="26">
        <f>SUMIFS(INDEX(元データ_加工!$C$2:$P$700,0,MATCH($B704,元データ_加工!$C$1:$P$1,0)),元データ_加工!$A$2:$A$700,$A704,元データ_加工!$B$2:$B$700,K$5)</f>
        <v>3</v>
      </c>
      <c r="L704" s="26">
        <f>SUMIFS(INDEX(元データ_加工!$C$2:$P$700,0,MATCH($B704,元データ_加工!$C$1:$P$1,0)),元データ_加工!$A$2:$A$700,$A704,元データ_加工!$B$2:$B$700,L$5)</f>
        <v>1</v>
      </c>
      <c r="M704" s="26">
        <f>SUMIFS(INDEX(元データ_加工!$C$2:$P$700,0,MATCH($B704,元データ_加工!$C$1:$P$1,0)),元データ_加工!$A$2:$A$700,$A704,元データ_加工!$B$2:$B$700,M$5)</f>
        <v>0</v>
      </c>
      <c r="N704" s="26">
        <f>SUMIFS(INDEX(元データ_加工!$C$2:$P$700,0,MATCH($B704,元データ_加工!$C$1:$P$1,0)),元データ_加工!$A$2:$A$700,$A704,元データ_加工!$B$2:$B$700,N$5)</f>
        <v>0</v>
      </c>
      <c r="O704" s="26">
        <f t="shared" si="10"/>
        <v>9</v>
      </c>
      <c r="P704" s="7">
        <f>IFERROR(O704/SUMIFS(元データ_加工!$C$2:$C$700,元データ_加工!$A$2:$A$700,$A704),"")</f>
        <v>5.1026193445968934E-4</v>
      </c>
    </row>
    <row r="705" spans="1:16" x14ac:dyDescent="0.45">
      <c r="A705" t="s">
        <v>84</v>
      </c>
      <c r="B705" t="s">
        <v>113</v>
      </c>
      <c r="C705" s="26">
        <f>SUMIFS(INDEX(元データ_加工!$C$2:$P$700,0,MATCH($B705,元データ_加工!$C$1:$P$1,0)),元データ_加工!$A$2:$A$700,$A705,元データ_加工!$B$2:$B$700,C$5)</f>
        <v>3</v>
      </c>
      <c r="D705" s="26">
        <f>SUMIFS(INDEX(元データ_加工!$C$2:$P$700,0,MATCH($B705,元データ_加工!$C$1:$P$1,0)),元データ_加工!$A$2:$A$700,$A705,元データ_加工!$B$2:$B$700,D$5)</f>
        <v>0</v>
      </c>
      <c r="E705" s="26">
        <f>SUMIFS(INDEX(元データ_加工!$C$2:$P$700,0,MATCH($B705,元データ_加工!$C$1:$P$1,0)),元データ_加工!$A$2:$A$700,$A705,元データ_加工!$B$2:$B$700,E$5)</f>
        <v>0</v>
      </c>
      <c r="F705" s="26">
        <f>SUMIFS(INDEX(元データ_加工!$C$2:$P$700,0,MATCH($B705,元データ_加工!$C$1:$P$1,0)),元データ_加工!$A$2:$A$700,$A705,元データ_加工!$B$2:$B$700,F$5)</f>
        <v>5</v>
      </c>
      <c r="G705" s="26">
        <f>SUMIFS(INDEX(元データ_加工!$C$2:$P$700,0,MATCH($B705,元データ_加工!$C$1:$P$1,0)),元データ_加工!$A$2:$A$700,$A705,元データ_加工!$B$2:$B$700,G$5)</f>
        <v>3</v>
      </c>
      <c r="H705" s="26">
        <f>SUMIFS(INDEX(元データ_加工!$C$2:$P$700,0,MATCH($B705,元データ_加工!$C$1:$P$1,0)),元データ_加工!$A$2:$A$700,$A705,元データ_加工!$B$2:$B$700,H$5)</f>
        <v>1</v>
      </c>
      <c r="I705" s="26">
        <f>SUMIFS(INDEX(元データ_加工!$C$2:$P$700,0,MATCH($B705,元データ_加工!$C$1:$P$1,0)),元データ_加工!$A$2:$A$700,$A705,元データ_加工!$B$2:$B$700,I$5)</f>
        <v>1</v>
      </c>
      <c r="J705" s="26">
        <f>SUMIFS(INDEX(元データ_加工!$C$2:$P$700,0,MATCH($B705,元データ_加工!$C$1:$P$1,0)),元データ_加工!$A$2:$A$700,$A705,元データ_加工!$B$2:$B$700,J$5)</f>
        <v>5</v>
      </c>
      <c r="K705" s="26">
        <f>SUMIFS(INDEX(元データ_加工!$C$2:$P$700,0,MATCH($B705,元データ_加工!$C$1:$P$1,0)),元データ_加工!$A$2:$A$700,$A705,元データ_加工!$B$2:$B$700,K$5)</f>
        <v>1</v>
      </c>
      <c r="L705" s="26">
        <f>SUMIFS(INDEX(元データ_加工!$C$2:$P$700,0,MATCH($B705,元データ_加工!$C$1:$P$1,0)),元データ_加工!$A$2:$A$700,$A705,元データ_加工!$B$2:$B$700,L$5)</f>
        <v>5</v>
      </c>
      <c r="M705" s="26">
        <f>SUMIFS(INDEX(元データ_加工!$C$2:$P$700,0,MATCH($B705,元データ_加工!$C$1:$P$1,0)),元データ_加工!$A$2:$A$700,$A705,元データ_加工!$B$2:$B$700,M$5)</f>
        <v>0</v>
      </c>
      <c r="N705" s="26">
        <f>SUMIFS(INDEX(元データ_加工!$C$2:$P$700,0,MATCH($B705,元データ_加工!$C$1:$P$1,0)),元データ_加工!$A$2:$A$700,$A705,元データ_加工!$B$2:$B$700,N$5)</f>
        <v>3</v>
      </c>
      <c r="O705" s="26">
        <f t="shared" si="10"/>
        <v>27</v>
      </c>
      <c r="P705" s="7">
        <f>IFERROR(O705/SUMIFS(元データ_加工!$C$2:$C$700,元データ_加工!$A$2:$A$700,$A705),"")</f>
        <v>1.5307858033790679E-3</v>
      </c>
    </row>
    <row r="706" spans="1:16" x14ac:dyDescent="0.45">
      <c r="A706" t="s">
        <v>85</v>
      </c>
      <c r="B706" t="s">
        <v>100</v>
      </c>
      <c r="C706" s="26">
        <f>SUMIFS(INDEX(元データ_加工!$C$2:$P$700,0,MATCH($B706,元データ_加工!$C$1:$P$1,0)),元データ_加工!$A$2:$A$700,$A706,元データ_加工!$B$2:$B$700,C$5)</f>
        <v>889</v>
      </c>
      <c r="D706" s="26">
        <f>SUMIFS(INDEX(元データ_加工!$C$2:$P$700,0,MATCH($B706,元データ_加工!$C$1:$P$1,0)),元データ_加工!$A$2:$A$700,$A706,元データ_加工!$B$2:$B$700,D$5)</f>
        <v>1052</v>
      </c>
      <c r="E706" s="26">
        <f>SUMIFS(INDEX(元データ_加工!$C$2:$P$700,0,MATCH($B706,元データ_加工!$C$1:$P$1,0)),元データ_加工!$A$2:$A$700,$A706,元データ_加工!$B$2:$B$700,E$5)</f>
        <v>1420</v>
      </c>
      <c r="F706" s="26">
        <f>SUMIFS(INDEX(元データ_加工!$C$2:$P$700,0,MATCH($B706,元データ_加工!$C$1:$P$1,0)),元データ_加工!$A$2:$A$700,$A706,元データ_加工!$B$2:$B$700,F$5)</f>
        <v>1377</v>
      </c>
      <c r="G706" s="26">
        <f>SUMIFS(INDEX(元データ_加工!$C$2:$P$700,0,MATCH($B706,元データ_加工!$C$1:$P$1,0)),元データ_加工!$A$2:$A$700,$A706,元データ_加工!$B$2:$B$700,G$5)</f>
        <v>1355</v>
      </c>
      <c r="H706" s="26">
        <f>SUMIFS(INDEX(元データ_加工!$C$2:$P$700,0,MATCH($B706,元データ_加工!$C$1:$P$1,0)),元データ_加工!$A$2:$A$700,$A706,元データ_加工!$B$2:$B$700,H$5)</f>
        <v>1030</v>
      </c>
      <c r="I706" s="26">
        <f>SUMIFS(INDEX(元データ_加工!$C$2:$P$700,0,MATCH($B706,元データ_加工!$C$1:$P$1,0)),元データ_加工!$A$2:$A$700,$A706,元データ_加工!$B$2:$B$700,I$5)</f>
        <v>732</v>
      </c>
      <c r="J706" s="26">
        <f>SUMIFS(INDEX(元データ_加工!$C$2:$P$700,0,MATCH($B706,元データ_加工!$C$1:$P$1,0)),元データ_加工!$A$2:$A$700,$A706,元データ_加工!$B$2:$B$700,J$5)</f>
        <v>1665</v>
      </c>
      <c r="K706" s="26">
        <f>SUMIFS(INDEX(元データ_加工!$C$2:$P$700,0,MATCH($B706,元データ_加工!$C$1:$P$1,0)),元データ_加工!$A$2:$A$700,$A706,元データ_加工!$B$2:$B$700,K$5)</f>
        <v>2868</v>
      </c>
      <c r="L706" s="26">
        <f>SUMIFS(INDEX(元データ_加工!$C$2:$P$700,0,MATCH($B706,元データ_加工!$C$1:$P$1,0)),元データ_加工!$A$2:$A$700,$A706,元データ_加工!$B$2:$B$700,L$5)</f>
        <v>1863</v>
      </c>
      <c r="M706" s="26">
        <f>SUMIFS(INDEX(元データ_加工!$C$2:$P$700,0,MATCH($B706,元データ_加工!$C$1:$P$1,0)),元データ_加工!$A$2:$A$700,$A706,元データ_加工!$B$2:$B$700,M$5)</f>
        <v>1584</v>
      </c>
      <c r="N706" s="26">
        <f>SUMIFS(INDEX(元データ_加工!$C$2:$P$700,0,MATCH($B706,元データ_加工!$C$1:$P$1,0)),元データ_加工!$A$2:$A$700,$A706,元データ_加工!$B$2:$B$700,N$5)</f>
        <v>1284</v>
      </c>
      <c r="O706" s="26">
        <f t="shared" si="10"/>
        <v>17119</v>
      </c>
      <c r="P706" s="7">
        <f>IFERROR(O706/SUMIFS(元データ_加工!$C$2:$C$700,元データ_加工!$A$2:$A$700,$A706),"")</f>
        <v>1</v>
      </c>
    </row>
    <row r="707" spans="1:16" x14ac:dyDescent="0.45">
      <c r="A707" t="s">
        <v>85</v>
      </c>
      <c r="B707" t="s">
        <v>101</v>
      </c>
      <c r="C707" s="26">
        <f>SUMIFS(INDEX(元データ_加工!$C$2:$P$700,0,MATCH($B707,元データ_加工!$C$1:$P$1,0)),元データ_加工!$A$2:$A$700,$A707,元データ_加工!$B$2:$B$700,C$5)</f>
        <v>407</v>
      </c>
      <c r="D707" s="26">
        <f>SUMIFS(INDEX(元データ_加工!$C$2:$P$700,0,MATCH($B707,元データ_加工!$C$1:$P$1,0)),元データ_加工!$A$2:$A$700,$A707,元データ_加工!$B$2:$B$700,D$5)</f>
        <v>344</v>
      </c>
      <c r="E707" s="26">
        <f>SUMIFS(INDEX(元データ_加工!$C$2:$P$700,0,MATCH($B707,元データ_加工!$C$1:$P$1,0)),元データ_加工!$A$2:$A$700,$A707,元データ_加工!$B$2:$B$700,E$5)</f>
        <v>603</v>
      </c>
      <c r="F707" s="26">
        <f>SUMIFS(INDEX(元データ_加工!$C$2:$P$700,0,MATCH($B707,元データ_加工!$C$1:$P$1,0)),元データ_加工!$A$2:$A$700,$A707,元データ_加工!$B$2:$B$700,F$5)</f>
        <v>464</v>
      </c>
      <c r="G707" s="26">
        <f>SUMIFS(INDEX(元データ_加工!$C$2:$P$700,0,MATCH($B707,元データ_加工!$C$1:$P$1,0)),元データ_加工!$A$2:$A$700,$A707,元データ_加工!$B$2:$B$700,G$5)</f>
        <v>517</v>
      </c>
      <c r="H707" s="26">
        <f>SUMIFS(INDEX(元データ_加工!$C$2:$P$700,0,MATCH($B707,元データ_加工!$C$1:$P$1,0)),元データ_加工!$A$2:$A$700,$A707,元データ_加工!$B$2:$B$700,H$5)</f>
        <v>438</v>
      </c>
      <c r="I707" s="26">
        <f>SUMIFS(INDEX(元データ_加工!$C$2:$P$700,0,MATCH($B707,元データ_加工!$C$1:$P$1,0)),元データ_加工!$A$2:$A$700,$A707,元データ_加工!$B$2:$B$700,I$5)</f>
        <v>422</v>
      </c>
      <c r="J707" s="26">
        <f>SUMIFS(INDEX(元データ_加工!$C$2:$P$700,0,MATCH($B707,元データ_加工!$C$1:$P$1,0)),元データ_加工!$A$2:$A$700,$A707,元データ_加工!$B$2:$B$700,J$5)</f>
        <v>549</v>
      </c>
      <c r="K707" s="26">
        <f>SUMIFS(INDEX(元データ_加工!$C$2:$P$700,0,MATCH($B707,元データ_加工!$C$1:$P$1,0)),元データ_加工!$A$2:$A$700,$A707,元データ_加工!$B$2:$B$700,K$5)</f>
        <v>631</v>
      </c>
      <c r="L707" s="26">
        <f>SUMIFS(INDEX(元データ_加工!$C$2:$P$700,0,MATCH($B707,元データ_加工!$C$1:$P$1,0)),元データ_加工!$A$2:$A$700,$A707,元データ_加工!$B$2:$B$700,L$5)</f>
        <v>575</v>
      </c>
      <c r="M707" s="26">
        <f>SUMIFS(INDEX(元データ_加工!$C$2:$P$700,0,MATCH($B707,元データ_加工!$C$1:$P$1,0)),元データ_加工!$A$2:$A$700,$A707,元データ_加工!$B$2:$B$700,M$5)</f>
        <v>701</v>
      </c>
      <c r="N707" s="26">
        <f>SUMIFS(INDEX(元データ_加工!$C$2:$P$700,0,MATCH($B707,元データ_加工!$C$1:$P$1,0)),元データ_加工!$A$2:$A$700,$A707,元データ_加工!$B$2:$B$700,N$5)</f>
        <v>653</v>
      </c>
      <c r="O707" s="26">
        <f t="shared" si="10"/>
        <v>6304</v>
      </c>
      <c r="P707" s="7">
        <f>IFERROR(O707/SUMIFS(元データ_加工!$C$2:$C$700,元データ_加工!$A$2:$A$700,$A707),"")</f>
        <v>0.36824580875051111</v>
      </c>
    </row>
    <row r="708" spans="1:16" x14ac:dyDescent="0.45">
      <c r="A708" t="s">
        <v>85</v>
      </c>
      <c r="B708" t="s">
        <v>102</v>
      </c>
      <c r="C708" s="26">
        <f>SUMIFS(INDEX(元データ_加工!$C$2:$P$700,0,MATCH($B708,元データ_加工!$C$1:$P$1,0)),元データ_加工!$A$2:$A$700,$A708,元データ_加工!$B$2:$B$700,C$5)</f>
        <v>0</v>
      </c>
      <c r="D708" s="26">
        <f>SUMIFS(INDEX(元データ_加工!$C$2:$P$700,0,MATCH($B708,元データ_加工!$C$1:$P$1,0)),元データ_加工!$A$2:$A$700,$A708,元データ_加工!$B$2:$B$700,D$5)</f>
        <v>0</v>
      </c>
      <c r="E708" s="26">
        <f>SUMIFS(INDEX(元データ_加工!$C$2:$P$700,0,MATCH($B708,元データ_加工!$C$1:$P$1,0)),元データ_加工!$A$2:$A$700,$A708,元データ_加工!$B$2:$B$700,E$5)</f>
        <v>0</v>
      </c>
      <c r="F708" s="26">
        <f>SUMIFS(INDEX(元データ_加工!$C$2:$P$700,0,MATCH($B708,元データ_加工!$C$1:$P$1,0)),元データ_加工!$A$2:$A$700,$A708,元データ_加工!$B$2:$B$700,F$5)</f>
        <v>0</v>
      </c>
      <c r="G708" s="26">
        <f>SUMIFS(INDEX(元データ_加工!$C$2:$P$700,0,MATCH($B708,元データ_加工!$C$1:$P$1,0)),元データ_加工!$A$2:$A$700,$A708,元データ_加工!$B$2:$B$700,G$5)</f>
        <v>0</v>
      </c>
      <c r="H708" s="26">
        <f>SUMIFS(INDEX(元データ_加工!$C$2:$P$700,0,MATCH($B708,元データ_加工!$C$1:$P$1,0)),元データ_加工!$A$2:$A$700,$A708,元データ_加工!$B$2:$B$700,H$5)</f>
        <v>0</v>
      </c>
      <c r="I708" s="26">
        <f>SUMIFS(INDEX(元データ_加工!$C$2:$P$700,0,MATCH($B708,元データ_加工!$C$1:$P$1,0)),元データ_加工!$A$2:$A$700,$A708,元データ_加工!$B$2:$B$700,I$5)</f>
        <v>1</v>
      </c>
      <c r="J708" s="26">
        <f>SUMIFS(INDEX(元データ_加工!$C$2:$P$700,0,MATCH($B708,元データ_加工!$C$1:$P$1,0)),元データ_加工!$A$2:$A$700,$A708,元データ_加工!$B$2:$B$700,J$5)</f>
        <v>19</v>
      </c>
      <c r="K708" s="26">
        <f>SUMIFS(INDEX(元データ_加工!$C$2:$P$700,0,MATCH($B708,元データ_加工!$C$1:$P$1,0)),元データ_加工!$A$2:$A$700,$A708,元データ_加工!$B$2:$B$700,K$5)</f>
        <v>34</v>
      </c>
      <c r="L708" s="26">
        <f>SUMIFS(INDEX(元データ_加工!$C$2:$P$700,0,MATCH($B708,元データ_加工!$C$1:$P$1,0)),元データ_加工!$A$2:$A$700,$A708,元データ_加工!$B$2:$B$700,L$5)</f>
        <v>1</v>
      </c>
      <c r="M708" s="26">
        <f>SUMIFS(INDEX(元データ_加工!$C$2:$P$700,0,MATCH($B708,元データ_加工!$C$1:$P$1,0)),元データ_加工!$A$2:$A$700,$A708,元データ_加工!$B$2:$B$700,M$5)</f>
        <v>0</v>
      </c>
      <c r="N708" s="26">
        <f>SUMIFS(INDEX(元データ_加工!$C$2:$P$700,0,MATCH($B708,元データ_加工!$C$1:$P$1,0)),元データ_加工!$A$2:$A$700,$A708,元データ_加工!$B$2:$B$700,N$5)</f>
        <v>0</v>
      </c>
      <c r="O708" s="26">
        <f t="shared" si="10"/>
        <v>55</v>
      </c>
      <c r="P708" s="7">
        <f>IFERROR(O708/SUMIFS(元データ_加工!$C$2:$C$700,元データ_加工!$A$2:$A$700,$A708),"")</f>
        <v>3.2128044862433551E-3</v>
      </c>
    </row>
    <row r="709" spans="1:16" x14ac:dyDescent="0.45">
      <c r="A709" t="s">
        <v>85</v>
      </c>
      <c r="B709" t="s">
        <v>103</v>
      </c>
      <c r="C709" s="26">
        <f>SUMIFS(INDEX(元データ_加工!$C$2:$P$700,0,MATCH($B709,元データ_加工!$C$1:$P$1,0)),元データ_加工!$A$2:$A$700,$A709,元データ_加工!$B$2:$B$700,C$5)</f>
        <v>0</v>
      </c>
      <c r="D709" s="26">
        <f>SUMIFS(INDEX(元データ_加工!$C$2:$P$700,0,MATCH($B709,元データ_加工!$C$1:$P$1,0)),元データ_加工!$A$2:$A$700,$A709,元データ_加工!$B$2:$B$700,D$5)</f>
        <v>7</v>
      </c>
      <c r="E709" s="26">
        <f>SUMIFS(INDEX(元データ_加工!$C$2:$P$700,0,MATCH($B709,元データ_加工!$C$1:$P$1,0)),元データ_加工!$A$2:$A$700,$A709,元データ_加工!$B$2:$B$700,E$5)</f>
        <v>1</v>
      </c>
      <c r="F709" s="26">
        <f>SUMIFS(INDEX(元データ_加工!$C$2:$P$700,0,MATCH($B709,元データ_加工!$C$1:$P$1,0)),元データ_加工!$A$2:$A$700,$A709,元データ_加工!$B$2:$B$700,F$5)</f>
        <v>30</v>
      </c>
      <c r="G709" s="26">
        <f>SUMIFS(INDEX(元データ_加工!$C$2:$P$700,0,MATCH($B709,元データ_加工!$C$1:$P$1,0)),元データ_加工!$A$2:$A$700,$A709,元データ_加工!$B$2:$B$700,G$5)</f>
        <v>51</v>
      </c>
      <c r="H709" s="26">
        <f>SUMIFS(INDEX(元データ_加工!$C$2:$P$700,0,MATCH($B709,元データ_加工!$C$1:$P$1,0)),元データ_加工!$A$2:$A$700,$A709,元データ_加工!$B$2:$B$700,H$5)</f>
        <v>67</v>
      </c>
      <c r="I709" s="26">
        <f>SUMIFS(INDEX(元データ_加工!$C$2:$P$700,0,MATCH($B709,元データ_加工!$C$1:$P$1,0)),元データ_加工!$A$2:$A$700,$A709,元データ_加工!$B$2:$B$700,I$5)</f>
        <v>21</v>
      </c>
      <c r="J709" s="26">
        <f>SUMIFS(INDEX(元データ_加工!$C$2:$P$700,0,MATCH($B709,元データ_加工!$C$1:$P$1,0)),元データ_加工!$A$2:$A$700,$A709,元データ_加工!$B$2:$B$700,J$5)</f>
        <v>9</v>
      </c>
      <c r="K709" s="26">
        <f>SUMIFS(INDEX(元データ_加工!$C$2:$P$700,0,MATCH($B709,元データ_加工!$C$1:$P$1,0)),元データ_加工!$A$2:$A$700,$A709,元データ_加工!$B$2:$B$700,K$5)</f>
        <v>0</v>
      </c>
      <c r="L709" s="26">
        <f>SUMIFS(INDEX(元データ_加工!$C$2:$P$700,0,MATCH($B709,元データ_加工!$C$1:$P$1,0)),元データ_加工!$A$2:$A$700,$A709,元データ_加工!$B$2:$B$700,L$5)</f>
        <v>7</v>
      </c>
      <c r="M709" s="26">
        <f>SUMIFS(INDEX(元データ_加工!$C$2:$P$700,0,MATCH($B709,元データ_加工!$C$1:$P$1,0)),元データ_加工!$A$2:$A$700,$A709,元データ_加工!$B$2:$B$700,M$5)</f>
        <v>6</v>
      </c>
      <c r="N709" s="26">
        <f>SUMIFS(INDEX(元データ_加工!$C$2:$P$700,0,MATCH($B709,元データ_加工!$C$1:$P$1,0)),元データ_加工!$A$2:$A$700,$A709,元データ_加工!$B$2:$B$700,N$5)</f>
        <v>5</v>
      </c>
      <c r="O709" s="26">
        <f t="shared" si="10"/>
        <v>204</v>
      </c>
      <c r="P709" s="7">
        <f>IFERROR(O709/SUMIFS(元データ_加工!$C$2:$C$700,元データ_加工!$A$2:$A$700,$A709),"")</f>
        <v>1.1916583912611719E-2</v>
      </c>
    </row>
    <row r="710" spans="1:16" x14ac:dyDescent="0.45">
      <c r="A710" t="s">
        <v>85</v>
      </c>
      <c r="B710" t="s">
        <v>104</v>
      </c>
      <c r="C710" s="26">
        <f>SUMIFS(INDEX(元データ_加工!$C$2:$P$700,0,MATCH($B710,元データ_加工!$C$1:$P$1,0)),元データ_加工!$A$2:$A$700,$A710,元データ_加工!$B$2:$B$700,C$5)</f>
        <v>23</v>
      </c>
      <c r="D710" s="26">
        <f>SUMIFS(INDEX(元データ_加工!$C$2:$P$700,0,MATCH($B710,元データ_加工!$C$1:$P$1,0)),元データ_加工!$A$2:$A$700,$A710,元データ_加工!$B$2:$B$700,D$5)</f>
        <v>20</v>
      </c>
      <c r="E710" s="26">
        <f>SUMIFS(INDEX(元データ_加工!$C$2:$P$700,0,MATCH($B710,元データ_加工!$C$1:$P$1,0)),元データ_加工!$A$2:$A$700,$A710,元データ_加工!$B$2:$B$700,E$5)</f>
        <v>23</v>
      </c>
      <c r="F710" s="26">
        <f>SUMIFS(INDEX(元データ_加工!$C$2:$P$700,0,MATCH($B710,元データ_加工!$C$1:$P$1,0)),元データ_加工!$A$2:$A$700,$A710,元データ_加工!$B$2:$B$700,F$5)</f>
        <v>17</v>
      </c>
      <c r="G710" s="26">
        <f>SUMIFS(INDEX(元データ_加工!$C$2:$P$700,0,MATCH($B710,元データ_加工!$C$1:$P$1,0)),元データ_加工!$A$2:$A$700,$A710,元データ_加工!$B$2:$B$700,G$5)</f>
        <v>44</v>
      </c>
      <c r="H710" s="26">
        <f>SUMIFS(INDEX(元データ_加工!$C$2:$P$700,0,MATCH($B710,元データ_加工!$C$1:$P$1,0)),元データ_加工!$A$2:$A$700,$A710,元データ_加工!$B$2:$B$700,H$5)</f>
        <v>31</v>
      </c>
      <c r="I710" s="26">
        <f>SUMIFS(INDEX(元データ_加工!$C$2:$P$700,0,MATCH($B710,元データ_加工!$C$1:$P$1,0)),元データ_加工!$A$2:$A$700,$A710,元データ_加工!$B$2:$B$700,I$5)</f>
        <v>33</v>
      </c>
      <c r="J710" s="26">
        <f>SUMIFS(INDEX(元データ_加工!$C$2:$P$700,0,MATCH($B710,元データ_加工!$C$1:$P$1,0)),元データ_加工!$A$2:$A$700,$A710,元データ_加工!$B$2:$B$700,J$5)</f>
        <v>183</v>
      </c>
      <c r="K710" s="26">
        <f>SUMIFS(INDEX(元データ_加工!$C$2:$P$700,0,MATCH($B710,元データ_加工!$C$1:$P$1,0)),元データ_加工!$A$2:$A$700,$A710,元データ_加工!$B$2:$B$700,K$5)</f>
        <v>199</v>
      </c>
      <c r="L710" s="26">
        <f>SUMIFS(INDEX(元データ_加工!$C$2:$P$700,0,MATCH($B710,元データ_加工!$C$1:$P$1,0)),元データ_加工!$A$2:$A$700,$A710,元データ_加工!$B$2:$B$700,L$5)</f>
        <v>115</v>
      </c>
      <c r="M710" s="26">
        <f>SUMIFS(INDEX(元データ_加工!$C$2:$P$700,0,MATCH($B710,元データ_加工!$C$1:$P$1,0)),元データ_加工!$A$2:$A$700,$A710,元データ_加工!$B$2:$B$700,M$5)</f>
        <v>66</v>
      </c>
      <c r="N710" s="26">
        <f>SUMIFS(INDEX(元データ_加工!$C$2:$P$700,0,MATCH($B710,元データ_加工!$C$1:$P$1,0)),元データ_加工!$A$2:$A$700,$A710,元データ_加工!$B$2:$B$700,N$5)</f>
        <v>70</v>
      </c>
      <c r="O710" s="26">
        <f t="shared" si="10"/>
        <v>824</v>
      </c>
      <c r="P710" s="7">
        <f>IFERROR(O710/SUMIFS(元データ_加工!$C$2:$C$700,元データ_加工!$A$2:$A$700,$A710),"")</f>
        <v>4.8133652666627724E-2</v>
      </c>
    </row>
    <row r="711" spans="1:16" x14ac:dyDescent="0.45">
      <c r="A711" t="s">
        <v>85</v>
      </c>
      <c r="B711" t="s">
        <v>105</v>
      </c>
      <c r="C711" s="26">
        <f>SUMIFS(INDEX(元データ_加工!$C$2:$P$700,0,MATCH($B711,元データ_加工!$C$1:$P$1,0)),元データ_加工!$A$2:$A$700,$A711,元データ_加工!$B$2:$B$700,C$5)</f>
        <v>2</v>
      </c>
      <c r="D711" s="26">
        <f>SUMIFS(INDEX(元データ_加工!$C$2:$P$700,0,MATCH($B711,元データ_加工!$C$1:$P$1,0)),元データ_加工!$A$2:$A$700,$A711,元データ_加工!$B$2:$B$700,D$5)</f>
        <v>6</v>
      </c>
      <c r="E711" s="26">
        <f>SUMIFS(INDEX(元データ_加工!$C$2:$P$700,0,MATCH($B711,元データ_加工!$C$1:$P$1,0)),元データ_加工!$A$2:$A$700,$A711,元データ_加工!$B$2:$B$700,E$5)</f>
        <v>7</v>
      </c>
      <c r="F711" s="26">
        <f>SUMIFS(INDEX(元データ_加工!$C$2:$P$700,0,MATCH($B711,元データ_加工!$C$1:$P$1,0)),元データ_加工!$A$2:$A$700,$A711,元データ_加工!$B$2:$B$700,F$5)</f>
        <v>0</v>
      </c>
      <c r="G711" s="26">
        <f>SUMIFS(INDEX(元データ_加工!$C$2:$P$700,0,MATCH($B711,元データ_加工!$C$1:$P$1,0)),元データ_加工!$A$2:$A$700,$A711,元データ_加工!$B$2:$B$700,G$5)</f>
        <v>2</v>
      </c>
      <c r="H711" s="26">
        <f>SUMIFS(INDEX(元データ_加工!$C$2:$P$700,0,MATCH($B711,元データ_加工!$C$1:$P$1,0)),元データ_加工!$A$2:$A$700,$A711,元データ_加工!$B$2:$B$700,H$5)</f>
        <v>5</v>
      </c>
      <c r="I711" s="26">
        <f>SUMIFS(INDEX(元データ_加工!$C$2:$P$700,0,MATCH($B711,元データ_加工!$C$1:$P$1,0)),元データ_加工!$A$2:$A$700,$A711,元データ_加工!$B$2:$B$700,I$5)</f>
        <v>12</v>
      </c>
      <c r="J711" s="26">
        <f>SUMIFS(INDEX(元データ_加工!$C$2:$P$700,0,MATCH($B711,元データ_加工!$C$1:$P$1,0)),元データ_加工!$A$2:$A$700,$A711,元データ_加工!$B$2:$B$700,J$5)</f>
        <v>68</v>
      </c>
      <c r="K711" s="26">
        <f>SUMIFS(INDEX(元データ_加工!$C$2:$P$700,0,MATCH($B711,元データ_加工!$C$1:$P$1,0)),元データ_加工!$A$2:$A$700,$A711,元データ_加工!$B$2:$B$700,K$5)</f>
        <v>155</v>
      </c>
      <c r="L711" s="26">
        <f>SUMIFS(INDEX(元データ_加工!$C$2:$P$700,0,MATCH($B711,元データ_加工!$C$1:$P$1,0)),元データ_加工!$A$2:$A$700,$A711,元データ_加工!$B$2:$B$700,L$5)</f>
        <v>40</v>
      </c>
      <c r="M711" s="26">
        <f>SUMIFS(INDEX(元データ_加工!$C$2:$P$700,0,MATCH($B711,元データ_加工!$C$1:$P$1,0)),元データ_加工!$A$2:$A$700,$A711,元データ_加工!$B$2:$B$700,M$5)</f>
        <v>26</v>
      </c>
      <c r="N711" s="26">
        <f>SUMIFS(INDEX(元データ_加工!$C$2:$P$700,0,MATCH($B711,元データ_加工!$C$1:$P$1,0)),元データ_加工!$A$2:$A$700,$A711,元データ_加工!$B$2:$B$700,N$5)</f>
        <v>17</v>
      </c>
      <c r="O711" s="26">
        <f t="shared" ref="O711:O747" si="11">SUM(C711:N711)</f>
        <v>340</v>
      </c>
      <c r="P711" s="7">
        <f>IFERROR(O711/SUMIFS(元データ_加工!$C$2:$C$700,元データ_加工!$A$2:$A$700,$A711),"")</f>
        <v>1.9860973187686197E-2</v>
      </c>
    </row>
    <row r="712" spans="1:16" x14ac:dyDescent="0.45">
      <c r="A712" t="s">
        <v>85</v>
      </c>
      <c r="B712" t="s">
        <v>106</v>
      </c>
      <c r="C712" s="26">
        <f>SUMIFS(INDEX(元データ_加工!$C$2:$P$700,0,MATCH($B712,元データ_加工!$C$1:$P$1,0)),元データ_加工!$A$2:$A$700,$A712,元データ_加工!$B$2:$B$700,C$5)</f>
        <v>148</v>
      </c>
      <c r="D712" s="26">
        <f>SUMIFS(INDEX(元データ_加工!$C$2:$P$700,0,MATCH($B712,元データ_加工!$C$1:$P$1,0)),元データ_加工!$A$2:$A$700,$A712,元データ_加工!$B$2:$B$700,D$5)</f>
        <v>204</v>
      </c>
      <c r="E712" s="26">
        <f>SUMIFS(INDEX(元データ_加工!$C$2:$P$700,0,MATCH($B712,元データ_加工!$C$1:$P$1,0)),元データ_加工!$A$2:$A$700,$A712,元データ_加工!$B$2:$B$700,E$5)</f>
        <v>260</v>
      </c>
      <c r="F712" s="26">
        <f>SUMIFS(INDEX(元データ_加工!$C$2:$P$700,0,MATCH($B712,元データ_加工!$C$1:$P$1,0)),元データ_加工!$A$2:$A$700,$A712,元データ_加工!$B$2:$B$700,F$5)</f>
        <v>281</v>
      </c>
      <c r="G712" s="26">
        <f>SUMIFS(INDEX(元データ_加工!$C$2:$P$700,0,MATCH($B712,元データ_加工!$C$1:$P$1,0)),元データ_加工!$A$2:$A$700,$A712,元データ_加工!$B$2:$B$700,G$5)</f>
        <v>272</v>
      </c>
      <c r="H712" s="26">
        <f>SUMIFS(INDEX(元データ_加工!$C$2:$P$700,0,MATCH($B712,元データ_加工!$C$1:$P$1,0)),元データ_加工!$A$2:$A$700,$A712,元データ_加工!$B$2:$B$700,H$5)</f>
        <v>212</v>
      </c>
      <c r="I712" s="26">
        <f>SUMIFS(INDEX(元データ_加工!$C$2:$P$700,0,MATCH($B712,元データ_加工!$C$1:$P$1,0)),元データ_加工!$A$2:$A$700,$A712,元データ_加工!$B$2:$B$700,I$5)</f>
        <v>156</v>
      </c>
      <c r="J712" s="26">
        <f>SUMIFS(INDEX(元データ_加工!$C$2:$P$700,0,MATCH($B712,元データ_加工!$C$1:$P$1,0)),元データ_加工!$A$2:$A$700,$A712,元データ_加工!$B$2:$B$700,J$5)</f>
        <v>319</v>
      </c>
      <c r="K712" s="26">
        <f>SUMIFS(INDEX(元データ_加工!$C$2:$P$700,0,MATCH($B712,元データ_加工!$C$1:$P$1,0)),元データ_加工!$A$2:$A$700,$A712,元データ_加工!$B$2:$B$700,K$5)</f>
        <v>426</v>
      </c>
      <c r="L712" s="26">
        <f>SUMIFS(INDEX(元データ_加工!$C$2:$P$700,0,MATCH($B712,元データ_加工!$C$1:$P$1,0)),元データ_加工!$A$2:$A$700,$A712,元データ_加工!$B$2:$B$700,L$5)</f>
        <v>330</v>
      </c>
      <c r="M712" s="26">
        <f>SUMIFS(INDEX(元データ_加工!$C$2:$P$700,0,MATCH($B712,元データ_加工!$C$1:$P$1,0)),元データ_加工!$A$2:$A$700,$A712,元データ_加工!$B$2:$B$700,M$5)</f>
        <v>271</v>
      </c>
      <c r="N712" s="26">
        <f>SUMIFS(INDEX(元データ_加工!$C$2:$P$700,0,MATCH($B712,元データ_加工!$C$1:$P$1,0)),元データ_加工!$A$2:$A$700,$A712,元データ_加工!$B$2:$B$700,N$5)</f>
        <v>327</v>
      </c>
      <c r="O712" s="26">
        <f t="shared" si="11"/>
        <v>3206</v>
      </c>
      <c r="P712" s="7">
        <f>IFERROR(O712/SUMIFS(元データ_加工!$C$2:$C$700,元データ_加工!$A$2:$A$700,$A712),"")</f>
        <v>0.18727729423447631</v>
      </c>
    </row>
    <row r="713" spans="1:16" x14ac:dyDescent="0.45">
      <c r="A713" t="s">
        <v>85</v>
      </c>
      <c r="B713" t="s">
        <v>107</v>
      </c>
      <c r="C713" s="26">
        <f>SUMIFS(INDEX(元データ_加工!$C$2:$P$700,0,MATCH($B713,元データ_加工!$C$1:$P$1,0)),元データ_加工!$A$2:$A$700,$A713,元データ_加工!$B$2:$B$700,C$5)</f>
        <v>139</v>
      </c>
      <c r="D713" s="26">
        <f>SUMIFS(INDEX(元データ_加工!$C$2:$P$700,0,MATCH($B713,元データ_加工!$C$1:$P$1,0)),元データ_加工!$A$2:$A$700,$A713,元データ_加工!$B$2:$B$700,D$5)</f>
        <v>136</v>
      </c>
      <c r="E713" s="26">
        <f>SUMIFS(INDEX(元データ_加工!$C$2:$P$700,0,MATCH($B713,元データ_加工!$C$1:$P$1,0)),元データ_加工!$A$2:$A$700,$A713,元データ_加工!$B$2:$B$700,E$5)</f>
        <v>176</v>
      </c>
      <c r="F713" s="26">
        <f>SUMIFS(INDEX(元データ_加工!$C$2:$P$700,0,MATCH($B713,元データ_加工!$C$1:$P$1,0)),元データ_加工!$A$2:$A$700,$A713,元データ_加工!$B$2:$B$700,F$5)</f>
        <v>212</v>
      </c>
      <c r="G713" s="26">
        <f>SUMIFS(INDEX(元データ_加工!$C$2:$P$700,0,MATCH($B713,元データ_加工!$C$1:$P$1,0)),元データ_加工!$A$2:$A$700,$A713,元データ_加工!$B$2:$B$700,G$5)</f>
        <v>177</v>
      </c>
      <c r="H713" s="26">
        <f>SUMIFS(INDEX(元データ_加工!$C$2:$P$700,0,MATCH($B713,元データ_加工!$C$1:$P$1,0)),元データ_加工!$A$2:$A$700,$A713,元データ_加工!$B$2:$B$700,H$5)</f>
        <v>118</v>
      </c>
      <c r="I713" s="26">
        <f>SUMIFS(INDEX(元データ_加工!$C$2:$P$700,0,MATCH($B713,元データ_加工!$C$1:$P$1,0)),元データ_加工!$A$2:$A$700,$A713,元データ_加工!$B$2:$B$700,I$5)</f>
        <v>94</v>
      </c>
      <c r="J713" s="26">
        <f>SUMIFS(INDEX(元データ_加工!$C$2:$P$700,0,MATCH($B713,元データ_加工!$C$1:$P$1,0)),元データ_加工!$A$2:$A$700,$A713,元データ_加工!$B$2:$B$700,J$5)</f>
        <v>183</v>
      </c>
      <c r="K713" s="26">
        <f>SUMIFS(INDEX(元データ_加工!$C$2:$P$700,0,MATCH($B713,元データ_加工!$C$1:$P$1,0)),元データ_加工!$A$2:$A$700,$A713,元データ_加工!$B$2:$B$700,K$5)</f>
        <v>205</v>
      </c>
      <c r="L713" s="26">
        <f>SUMIFS(INDEX(元データ_加工!$C$2:$P$700,0,MATCH($B713,元データ_加工!$C$1:$P$1,0)),元データ_加工!$A$2:$A$700,$A713,元データ_加工!$B$2:$B$700,L$5)</f>
        <v>185</v>
      </c>
      <c r="M713" s="26">
        <f>SUMIFS(INDEX(元データ_加工!$C$2:$P$700,0,MATCH($B713,元データ_加工!$C$1:$P$1,0)),元データ_加工!$A$2:$A$700,$A713,元データ_加工!$B$2:$B$700,M$5)</f>
        <v>166</v>
      </c>
      <c r="N713" s="26">
        <f>SUMIFS(INDEX(元データ_加工!$C$2:$P$700,0,MATCH($B713,元データ_加工!$C$1:$P$1,0)),元データ_加工!$A$2:$A$700,$A713,元データ_加工!$B$2:$B$700,N$5)</f>
        <v>196</v>
      </c>
      <c r="O713" s="26">
        <f t="shared" si="11"/>
        <v>1987</v>
      </c>
      <c r="P713" s="7">
        <f>IFERROR(O713/SUMIFS(元データ_加工!$C$2:$C$700,元データ_加工!$A$2:$A$700,$A713),"")</f>
        <v>0.11606986389391903</v>
      </c>
    </row>
    <row r="714" spans="1:16" x14ac:dyDescent="0.45">
      <c r="A714" t="s">
        <v>85</v>
      </c>
      <c r="B714" t="s">
        <v>108</v>
      </c>
      <c r="C714" s="26">
        <f>SUMIFS(INDEX(元データ_加工!$C$2:$P$700,0,MATCH($B714,元データ_加工!$C$1:$P$1,0)),元データ_加工!$A$2:$A$700,$A714,元データ_加工!$B$2:$B$700,C$5)</f>
        <v>16</v>
      </c>
      <c r="D714" s="26">
        <f>SUMIFS(INDEX(元データ_加工!$C$2:$P$700,0,MATCH($B714,元データ_加工!$C$1:$P$1,0)),元データ_加工!$A$2:$A$700,$A714,元データ_加工!$B$2:$B$700,D$5)</f>
        <v>108</v>
      </c>
      <c r="E714" s="26">
        <f>SUMIFS(INDEX(元データ_加工!$C$2:$P$700,0,MATCH($B714,元データ_加工!$C$1:$P$1,0)),元データ_加工!$A$2:$A$700,$A714,元データ_加工!$B$2:$B$700,E$5)</f>
        <v>160</v>
      </c>
      <c r="F714" s="26">
        <f>SUMIFS(INDEX(元データ_加工!$C$2:$P$700,0,MATCH($B714,元データ_加工!$C$1:$P$1,0)),元データ_加工!$A$2:$A$700,$A714,元データ_加工!$B$2:$B$700,F$5)</f>
        <v>171</v>
      </c>
      <c r="G714" s="26">
        <f>SUMIFS(INDEX(元データ_加工!$C$2:$P$700,0,MATCH($B714,元データ_加工!$C$1:$P$1,0)),元データ_加工!$A$2:$A$700,$A714,元データ_加工!$B$2:$B$700,G$5)</f>
        <v>41</v>
      </c>
      <c r="H714" s="26">
        <f>SUMIFS(INDEX(元データ_加工!$C$2:$P$700,0,MATCH($B714,元データ_加工!$C$1:$P$1,0)),元データ_加工!$A$2:$A$700,$A714,元データ_加工!$B$2:$B$700,H$5)</f>
        <v>41</v>
      </c>
      <c r="I714" s="26">
        <f>SUMIFS(INDEX(元データ_加工!$C$2:$P$700,0,MATCH($B714,元データ_加工!$C$1:$P$1,0)),元データ_加工!$A$2:$A$700,$A714,元データ_加工!$B$2:$B$700,I$5)</f>
        <v>18</v>
      </c>
      <c r="J714" s="26">
        <f>SUMIFS(INDEX(元データ_加工!$C$2:$P$700,0,MATCH($B714,元データ_加工!$C$1:$P$1,0)),元データ_加工!$A$2:$A$700,$A714,元データ_加工!$B$2:$B$700,J$5)</f>
        <v>38</v>
      </c>
      <c r="K714" s="26">
        <f>SUMIFS(INDEX(元データ_加工!$C$2:$P$700,0,MATCH($B714,元データ_加工!$C$1:$P$1,0)),元データ_加工!$A$2:$A$700,$A714,元データ_加工!$B$2:$B$700,K$5)</f>
        <v>27</v>
      </c>
      <c r="L714" s="26">
        <f>SUMIFS(INDEX(元データ_加工!$C$2:$P$700,0,MATCH($B714,元データ_加工!$C$1:$P$1,0)),元データ_加工!$A$2:$A$700,$A714,元データ_加工!$B$2:$B$700,L$5)</f>
        <v>9</v>
      </c>
      <c r="M714" s="26">
        <f>SUMIFS(INDEX(元データ_加工!$C$2:$P$700,0,MATCH($B714,元データ_加工!$C$1:$P$1,0)),元データ_加工!$A$2:$A$700,$A714,元データ_加工!$B$2:$B$700,M$5)</f>
        <v>7</v>
      </c>
      <c r="N714" s="26">
        <f>SUMIFS(INDEX(元データ_加工!$C$2:$P$700,0,MATCH($B714,元データ_加工!$C$1:$P$1,0)),元データ_加工!$A$2:$A$700,$A714,元データ_加工!$B$2:$B$700,N$5)</f>
        <v>14</v>
      </c>
      <c r="O714" s="26">
        <f t="shared" si="11"/>
        <v>650</v>
      </c>
      <c r="P714" s="7">
        <f>IFERROR(O714/SUMIFS(元データ_加工!$C$2:$C$700,元データ_加工!$A$2:$A$700,$A714),"")</f>
        <v>3.7969507564694201E-2</v>
      </c>
    </row>
    <row r="715" spans="1:16" x14ac:dyDescent="0.45">
      <c r="A715" t="s">
        <v>85</v>
      </c>
      <c r="B715" t="s">
        <v>109</v>
      </c>
      <c r="C715" s="26">
        <f>SUMIFS(INDEX(元データ_加工!$C$2:$P$700,0,MATCH($B715,元データ_加工!$C$1:$P$1,0)),元データ_加工!$A$2:$A$700,$A715,元データ_加工!$B$2:$B$700,C$5)</f>
        <v>63</v>
      </c>
      <c r="D715" s="26">
        <f>SUMIFS(INDEX(元データ_加工!$C$2:$P$700,0,MATCH($B715,元データ_加工!$C$1:$P$1,0)),元データ_加工!$A$2:$A$700,$A715,元データ_加工!$B$2:$B$700,D$5)</f>
        <v>41</v>
      </c>
      <c r="E715" s="26">
        <f>SUMIFS(INDEX(元データ_加工!$C$2:$P$700,0,MATCH($B715,元データ_加工!$C$1:$P$1,0)),元データ_加工!$A$2:$A$700,$A715,元データ_加工!$B$2:$B$700,E$5)</f>
        <v>80</v>
      </c>
      <c r="F715" s="26">
        <f>SUMIFS(INDEX(元データ_加工!$C$2:$P$700,0,MATCH($B715,元データ_加工!$C$1:$P$1,0)),元データ_加工!$A$2:$A$700,$A715,元データ_加工!$B$2:$B$700,F$5)</f>
        <v>72</v>
      </c>
      <c r="G715" s="26">
        <f>SUMIFS(INDEX(元データ_加工!$C$2:$P$700,0,MATCH($B715,元データ_加工!$C$1:$P$1,0)),元データ_加工!$A$2:$A$700,$A715,元データ_加工!$B$2:$B$700,G$5)</f>
        <v>65</v>
      </c>
      <c r="H715" s="26">
        <f>SUMIFS(INDEX(元データ_加工!$C$2:$P$700,0,MATCH($B715,元データ_加工!$C$1:$P$1,0)),元データ_加工!$A$2:$A$700,$A715,元データ_加工!$B$2:$B$700,H$5)</f>
        <v>59</v>
      </c>
      <c r="I715" s="26">
        <f>SUMIFS(INDEX(元データ_加工!$C$2:$P$700,0,MATCH($B715,元データ_加工!$C$1:$P$1,0)),元データ_加工!$A$2:$A$700,$A715,元データ_加工!$B$2:$B$700,I$5)</f>
        <v>48</v>
      </c>
      <c r="J715" s="26">
        <f>SUMIFS(INDEX(元データ_加工!$C$2:$P$700,0,MATCH($B715,元データ_加工!$C$1:$P$1,0)),元データ_加工!$A$2:$A$700,$A715,元データ_加工!$B$2:$B$700,J$5)</f>
        <v>60</v>
      </c>
      <c r="K715" s="26">
        <f>SUMIFS(INDEX(元データ_加工!$C$2:$P$700,0,MATCH($B715,元データ_加工!$C$1:$P$1,0)),元データ_加工!$A$2:$A$700,$A715,元データ_加工!$B$2:$B$700,K$5)</f>
        <v>52</v>
      </c>
      <c r="L715" s="26">
        <f>SUMIFS(INDEX(元データ_加工!$C$2:$P$700,0,MATCH($B715,元データ_加工!$C$1:$P$1,0)),元データ_加工!$A$2:$A$700,$A715,元データ_加工!$B$2:$B$700,L$5)</f>
        <v>57</v>
      </c>
      <c r="M715" s="26">
        <f>SUMIFS(INDEX(元データ_加工!$C$2:$P$700,0,MATCH($B715,元データ_加工!$C$1:$P$1,0)),元データ_加工!$A$2:$A$700,$A715,元データ_加工!$B$2:$B$700,M$5)</f>
        <v>53</v>
      </c>
      <c r="N715" s="26">
        <f>SUMIFS(INDEX(元データ_加工!$C$2:$P$700,0,MATCH($B715,元データ_加工!$C$1:$P$1,0)),元データ_加工!$A$2:$A$700,$A715,元データ_加工!$B$2:$B$700,N$5)</f>
        <v>67</v>
      </c>
      <c r="O715" s="26">
        <f t="shared" si="11"/>
        <v>717</v>
      </c>
      <c r="P715" s="7">
        <f>IFERROR(O715/SUMIFS(元データ_加工!$C$2:$C$700,元データ_加工!$A$2:$A$700,$A715),"")</f>
        <v>4.188328757520883E-2</v>
      </c>
    </row>
    <row r="716" spans="1:16" x14ac:dyDescent="0.45">
      <c r="A716" t="s">
        <v>85</v>
      </c>
      <c r="B716" t="s">
        <v>110</v>
      </c>
      <c r="C716" s="26">
        <f>SUMIFS(INDEX(元データ_加工!$C$2:$P$700,0,MATCH($B716,元データ_加工!$C$1:$P$1,0)),元データ_加工!$A$2:$A$700,$A716,元データ_加工!$B$2:$B$700,C$5)</f>
        <v>0</v>
      </c>
      <c r="D716" s="26">
        <f>SUMIFS(INDEX(元データ_加工!$C$2:$P$700,0,MATCH($B716,元データ_加工!$C$1:$P$1,0)),元データ_加工!$A$2:$A$700,$A716,元データ_加工!$B$2:$B$700,D$5)</f>
        <v>0</v>
      </c>
      <c r="E716" s="26">
        <f>SUMIFS(INDEX(元データ_加工!$C$2:$P$700,0,MATCH($B716,元データ_加工!$C$1:$P$1,0)),元データ_加工!$A$2:$A$700,$A716,元データ_加工!$B$2:$B$700,E$5)</f>
        <v>0</v>
      </c>
      <c r="F716" s="26">
        <f>SUMIFS(INDEX(元データ_加工!$C$2:$P$700,0,MATCH($B716,元データ_加工!$C$1:$P$1,0)),元データ_加工!$A$2:$A$700,$A716,元データ_加工!$B$2:$B$700,F$5)</f>
        <v>0</v>
      </c>
      <c r="G716" s="26">
        <f>SUMIFS(INDEX(元データ_加工!$C$2:$P$700,0,MATCH($B716,元データ_加工!$C$1:$P$1,0)),元データ_加工!$A$2:$A$700,$A716,元データ_加工!$B$2:$B$700,G$5)</f>
        <v>0</v>
      </c>
      <c r="H716" s="26">
        <f>SUMIFS(INDEX(元データ_加工!$C$2:$P$700,0,MATCH($B716,元データ_加工!$C$1:$P$1,0)),元データ_加工!$A$2:$A$700,$A716,元データ_加工!$B$2:$B$700,H$5)</f>
        <v>0</v>
      </c>
      <c r="I716" s="26">
        <f>SUMIFS(INDEX(元データ_加工!$C$2:$P$700,0,MATCH($B716,元データ_加工!$C$1:$P$1,0)),元データ_加工!$A$2:$A$700,$A716,元データ_加工!$B$2:$B$700,I$5)</f>
        <v>0</v>
      </c>
      <c r="J716" s="26">
        <f>SUMIFS(INDEX(元データ_加工!$C$2:$P$700,0,MATCH($B716,元データ_加工!$C$1:$P$1,0)),元データ_加工!$A$2:$A$700,$A716,元データ_加工!$B$2:$B$700,J$5)</f>
        <v>0</v>
      </c>
      <c r="K716" s="26">
        <f>SUMIFS(INDEX(元データ_加工!$C$2:$P$700,0,MATCH($B716,元データ_加工!$C$1:$P$1,0)),元データ_加工!$A$2:$A$700,$A716,元データ_加工!$B$2:$B$700,K$5)</f>
        <v>0</v>
      </c>
      <c r="L716" s="26">
        <f>SUMIFS(INDEX(元データ_加工!$C$2:$P$700,0,MATCH($B716,元データ_加工!$C$1:$P$1,0)),元データ_加工!$A$2:$A$700,$A716,元データ_加工!$B$2:$B$700,L$5)</f>
        <v>0</v>
      </c>
      <c r="M716" s="26">
        <f>SUMIFS(INDEX(元データ_加工!$C$2:$P$700,0,MATCH($B716,元データ_加工!$C$1:$P$1,0)),元データ_加工!$A$2:$A$700,$A716,元データ_加工!$B$2:$B$700,M$5)</f>
        <v>0</v>
      </c>
      <c r="N716" s="26">
        <f>SUMIFS(INDEX(元データ_加工!$C$2:$P$700,0,MATCH($B716,元データ_加工!$C$1:$P$1,0)),元データ_加工!$A$2:$A$700,$A716,元データ_加工!$B$2:$B$700,N$5)</f>
        <v>0</v>
      </c>
      <c r="O716" s="26">
        <f t="shared" si="11"/>
        <v>0</v>
      </c>
      <c r="P716" s="7">
        <f>IFERROR(O716/SUMIFS(元データ_加工!$C$2:$C$700,元データ_加工!$A$2:$A$700,$A716),"")</f>
        <v>0</v>
      </c>
    </row>
    <row r="717" spans="1:16" x14ac:dyDescent="0.45">
      <c r="A717" t="s">
        <v>85</v>
      </c>
      <c r="B717" t="s">
        <v>111</v>
      </c>
      <c r="C717" s="26">
        <f>SUMIFS(INDEX(元データ_加工!$C$2:$P$700,0,MATCH($B717,元データ_加工!$C$1:$P$1,0)),元データ_加工!$A$2:$A$700,$A717,元データ_加工!$B$2:$B$700,C$5)</f>
        <v>0</v>
      </c>
      <c r="D717" s="26">
        <f>SUMIFS(INDEX(元データ_加工!$C$2:$P$700,0,MATCH($B717,元データ_加工!$C$1:$P$1,0)),元データ_加工!$A$2:$A$700,$A717,元データ_加工!$B$2:$B$700,D$5)</f>
        <v>2</v>
      </c>
      <c r="E717" s="26">
        <f>SUMIFS(INDEX(元データ_加工!$C$2:$P$700,0,MATCH($B717,元データ_加工!$C$1:$P$1,0)),元データ_加工!$A$2:$A$700,$A717,元データ_加工!$B$2:$B$700,E$5)</f>
        <v>0</v>
      </c>
      <c r="F717" s="26">
        <f>SUMIFS(INDEX(元データ_加工!$C$2:$P$700,0,MATCH($B717,元データ_加工!$C$1:$P$1,0)),元データ_加工!$A$2:$A$700,$A717,元データ_加工!$B$2:$B$700,F$5)</f>
        <v>0</v>
      </c>
      <c r="G717" s="26">
        <f>SUMIFS(INDEX(元データ_加工!$C$2:$P$700,0,MATCH($B717,元データ_加工!$C$1:$P$1,0)),元データ_加工!$A$2:$A$700,$A717,元データ_加工!$B$2:$B$700,G$5)</f>
        <v>0</v>
      </c>
      <c r="H717" s="26">
        <f>SUMIFS(INDEX(元データ_加工!$C$2:$P$700,0,MATCH($B717,元データ_加工!$C$1:$P$1,0)),元データ_加工!$A$2:$A$700,$A717,元データ_加工!$B$2:$B$700,H$5)</f>
        <v>0</v>
      </c>
      <c r="I717" s="26">
        <f>SUMIFS(INDEX(元データ_加工!$C$2:$P$700,0,MATCH($B717,元データ_加工!$C$1:$P$1,0)),元データ_加工!$A$2:$A$700,$A717,元データ_加工!$B$2:$B$700,I$5)</f>
        <v>0</v>
      </c>
      <c r="J717" s="26">
        <f>SUMIFS(INDEX(元データ_加工!$C$2:$P$700,0,MATCH($B717,元データ_加工!$C$1:$P$1,0)),元データ_加工!$A$2:$A$700,$A717,元データ_加工!$B$2:$B$700,J$5)</f>
        <v>0</v>
      </c>
      <c r="K717" s="26">
        <f>SUMIFS(INDEX(元データ_加工!$C$2:$P$700,0,MATCH($B717,元データ_加工!$C$1:$P$1,0)),元データ_加工!$A$2:$A$700,$A717,元データ_加工!$B$2:$B$700,K$5)</f>
        <v>3</v>
      </c>
      <c r="L717" s="26">
        <f>SUMIFS(INDEX(元データ_加工!$C$2:$P$700,0,MATCH($B717,元データ_加工!$C$1:$P$1,0)),元データ_加工!$A$2:$A$700,$A717,元データ_加工!$B$2:$B$700,L$5)</f>
        <v>1</v>
      </c>
      <c r="M717" s="26">
        <f>SUMIFS(INDEX(元データ_加工!$C$2:$P$700,0,MATCH($B717,元データ_加工!$C$1:$P$1,0)),元データ_加工!$A$2:$A$700,$A717,元データ_加工!$B$2:$B$700,M$5)</f>
        <v>0</v>
      </c>
      <c r="N717" s="26">
        <f>SUMIFS(INDEX(元データ_加工!$C$2:$P$700,0,MATCH($B717,元データ_加工!$C$1:$P$1,0)),元データ_加工!$A$2:$A$700,$A717,元データ_加工!$B$2:$B$700,N$5)</f>
        <v>0</v>
      </c>
      <c r="O717" s="26">
        <f t="shared" si="11"/>
        <v>6</v>
      </c>
      <c r="P717" s="7">
        <f>IFERROR(O717/SUMIFS(元データ_加工!$C$2:$C$700,元データ_加工!$A$2:$A$700,$A717),"")</f>
        <v>3.5048776213563875E-4</v>
      </c>
    </row>
    <row r="718" spans="1:16" x14ac:dyDescent="0.45">
      <c r="A718" t="s">
        <v>85</v>
      </c>
      <c r="B718" t="s">
        <v>112</v>
      </c>
      <c r="C718" s="26">
        <f>SUMIFS(INDEX(元データ_加工!$C$2:$P$700,0,MATCH($B718,元データ_加工!$C$1:$P$1,0)),元データ_加工!$A$2:$A$700,$A718,元データ_加工!$B$2:$B$700,C$5)</f>
        <v>0</v>
      </c>
      <c r="D718" s="26">
        <f>SUMIFS(INDEX(元データ_加工!$C$2:$P$700,0,MATCH($B718,元データ_加工!$C$1:$P$1,0)),元データ_加工!$A$2:$A$700,$A718,元データ_加工!$B$2:$B$700,D$5)</f>
        <v>0</v>
      </c>
      <c r="E718" s="26">
        <f>SUMIFS(INDEX(元データ_加工!$C$2:$P$700,0,MATCH($B718,元データ_加工!$C$1:$P$1,0)),元データ_加工!$A$2:$A$700,$A718,元データ_加工!$B$2:$B$700,E$5)</f>
        <v>0</v>
      </c>
      <c r="F718" s="26">
        <f>SUMIFS(INDEX(元データ_加工!$C$2:$P$700,0,MATCH($B718,元データ_加工!$C$1:$P$1,0)),元データ_加工!$A$2:$A$700,$A718,元データ_加工!$B$2:$B$700,F$5)</f>
        <v>1</v>
      </c>
      <c r="G718" s="26">
        <f>SUMIFS(INDEX(元データ_加工!$C$2:$P$700,0,MATCH($B718,元データ_加工!$C$1:$P$1,0)),元データ_加工!$A$2:$A$700,$A718,元データ_加工!$B$2:$B$700,G$5)</f>
        <v>1</v>
      </c>
      <c r="H718" s="26">
        <f>SUMIFS(INDEX(元データ_加工!$C$2:$P$700,0,MATCH($B718,元データ_加工!$C$1:$P$1,0)),元データ_加工!$A$2:$A$700,$A718,元データ_加工!$B$2:$B$700,H$5)</f>
        <v>1</v>
      </c>
      <c r="I718" s="26">
        <f>SUMIFS(INDEX(元データ_加工!$C$2:$P$700,0,MATCH($B718,元データ_加工!$C$1:$P$1,0)),元データ_加工!$A$2:$A$700,$A718,元データ_加工!$B$2:$B$700,I$5)</f>
        <v>4</v>
      </c>
      <c r="J718" s="26">
        <f>SUMIFS(INDEX(元データ_加工!$C$2:$P$700,0,MATCH($B718,元データ_加工!$C$1:$P$1,0)),元データ_加工!$A$2:$A$700,$A718,元データ_加工!$B$2:$B$700,J$5)</f>
        <v>6</v>
      </c>
      <c r="K718" s="26">
        <f>SUMIFS(INDEX(元データ_加工!$C$2:$P$700,0,MATCH($B718,元データ_加工!$C$1:$P$1,0)),元データ_加工!$A$2:$A$700,$A718,元データ_加工!$B$2:$B$700,K$5)</f>
        <v>51</v>
      </c>
      <c r="L718" s="26">
        <f>SUMIFS(INDEX(元データ_加工!$C$2:$P$700,0,MATCH($B718,元データ_加工!$C$1:$P$1,0)),元データ_加工!$A$2:$A$700,$A718,元データ_加工!$B$2:$B$700,L$5)</f>
        <v>11</v>
      </c>
      <c r="M718" s="26">
        <f>SUMIFS(INDEX(元データ_加工!$C$2:$P$700,0,MATCH($B718,元データ_加工!$C$1:$P$1,0)),元データ_加工!$A$2:$A$700,$A718,元データ_加工!$B$2:$B$700,M$5)</f>
        <v>15</v>
      </c>
      <c r="N718" s="26">
        <f>SUMIFS(INDEX(元データ_加工!$C$2:$P$700,0,MATCH($B718,元データ_加工!$C$1:$P$1,0)),元データ_加工!$A$2:$A$700,$A718,元データ_加工!$B$2:$B$700,N$5)</f>
        <v>4</v>
      </c>
      <c r="O718" s="26">
        <f t="shared" si="11"/>
        <v>94</v>
      </c>
      <c r="P718" s="7">
        <f>IFERROR(O718/SUMIFS(元データ_加工!$C$2:$C$700,元データ_加工!$A$2:$A$700,$A718),"")</f>
        <v>5.4909749401250074E-3</v>
      </c>
    </row>
    <row r="719" spans="1:16" x14ac:dyDescent="0.45">
      <c r="A719" t="s">
        <v>85</v>
      </c>
      <c r="B719" t="s">
        <v>113</v>
      </c>
      <c r="C719" s="26">
        <f>SUMIFS(INDEX(元データ_加工!$C$2:$P$700,0,MATCH($B719,元データ_加工!$C$1:$P$1,0)),元データ_加工!$A$2:$A$700,$A719,元データ_加工!$B$2:$B$700,C$5)</f>
        <v>0</v>
      </c>
      <c r="D719" s="26">
        <f>SUMIFS(INDEX(元データ_加工!$C$2:$P$700,0,MATCH($B719,元データ_加工!$C$1:$P$1,0)),元データ_加工!$A$2:$A$700,$A719,元データ_加工!$B$2:$B$700,D$5)</f>
        <v>4</v>
      </c>
      <c r="E719" s="26">
        <f>SUMIFS(INDEX(元データ_加工!$C$2:$P$700,0,MATCH($B719,元データ_加工!$C$1:$P$1,0)),元データ_加工!$A$2:$A$700,$A719,元データ_加工!$B$2:$B$700,E$5)</f>
        <v>0</v>
      </c>
      <c r="F719" s="26">
        <f>SUMIFS(INDEX(元データ_加工!$C$2:$P$700,0,MATCH($B719,元データ_加工!$C$1:$P$1,0)),元データ_加工!$A$2:$A$700,$A719,元データ_加工!$B$2:$B$700,F$5)</f>
        <v>5</v>
      </c>
      <c r="G719" s="26">
        <f>SUMIFS(INDEX(元データ_加工!$C$2:$P$700,0,MATCH($B719,元データ_加工!$C$1:$P$1,0)),元データ_加工!$A$2:$A$700,$A719,元データ_加工!$B$2:$B$700,G$5)</f>
        <v>2</v>
      </c>
      <c r="H719" s="26">
        <f>SUMIFS(INDEX(元データ_加工!$C$2:$P$700,0,MATCH($B719,元データ_加工!$C$1:$P$1,0)),元データ_加工!$A$2:$A$700,$A719,元データ_加工!$B$2:$B$700,H$5)</f>
        <v>0</v>
      </c>
      <c r="I719" s="26">
        <f>SUMIFS(INDEX(元データ_加工!$C$2:$P$700,0,MATCH($B719,元データ_加工!$C$1:$P$1,0)),元データ_加工!$A$2:$A$700,$A719,元データ_加工!$B$2:$B$700,I$5)</f>
        <v>0</v>
      </c>
      <c r="J719" s="26">
        <f>SUMIFS(INDEX(元データ_加工!$C$2:$P$700,0,MATCH($B719,元データ_加工!$C$1:$P$1,0)),元データ_加工!$A$2:$A$700,$A719,元データ_加工!$B$2:$B$700,J$5)</f>
        <v>1</v>
      </c>
      <c r="K719" s="26">
        <f>SUMIFS(INDEX(元データ_加工!$C$2:$P$700,0,MATCH($B719,元データ_加工!$C$1:$P$1,0)),元データ_加工!$A$2:$A$700,$A719,元データ_加工!$B$2:$B$700,K$5)</f>
        <v>2</v>
      </c>
      <c r="L719" s="26">
        <f>SUMIFS(INDEX(元データ_加工!$C$2:$P$700,0,MATCH($B719,元データ_加工!$C$1:$P$1,0)),元データ_加工!$A$2:$A$700,$A719,元データ_加工!$B$2:$B$700,L$5)</f>
        <v>1</v>
      </c>
      <c r="M719" s="26">
        <f>SUMIFS(INDEX(元データ_加工!$C$2:$P$700,0,MATCH($B719,元データ_加工!$C$1:$P$1,0)),元データ_加工!$A$2:$A$700,$A719,元データ_加工!$B$2:$B$700,M$5)</f>
        <v>6</v>
      </c>
      <c r="N719" s="26">
        <f>SUMIFS(INDEX(元データ_加工!$C$2:$P$700,0,MATCH($B719,元データ_加工!$C$1:$P$1,0)),元データ_加工!$A$2:$A$700,$A719,元データ_加工!$B$2:$B$700,N$5)</f>
        <v>2</v>
      </c>
      <c r="O719" s="26">
        <f t="shared" si="11"/>
        <v>23</v>
      </c>
      <c r="P719" s="7">
        <f>IFERROR(O719/SUMIFS(元データ_加工!$C$2:$C$700,元データ_加工!$A$2:$A$700,$A719),"")</f>
        <v>1.3435364215199485E-3</v>
      </c>
    </row>
    <row r="720" spans="1:16" x14ac:dyDescent="0.45">
      <c r="A720" t="s">
        <v>86</v>
      </c>
      <c r="B720" t="s">
        <v>100</v>
      </c>
      <c r="C720" s="26">
        <f>SUMIFS(INDEX(元データ_加工!$C$2:$P$700,0,MATCH($B720,元データ_加工!$C$1:$P$1,0)),元データ_加工!$A$2:$A$700,$A720,元データ_加工!$B$2:$B$700,C$5)</f>
        <v>1063</v>
      </c>
      <c r="D720" s="26">
        <f>SUMIFS(INDEX(元データ_加工!$C$2:$P$700,0,MATCH($B720,元データ_加工!$C$1:$P$1,0)),元データ_加工!$A$2:$A$700,$A720,元データ_加工!$B$2:$B$700,D$5)</f>
        <v>1187</v>
      </c>
      <c r="E720" s="26">
        <f>SUMIFS(INDEX(元データ_加工!$C$2:$P$700,0,MATCH($B720,元データ_加工!$C$1:$P$1,0)),元データ_加工!$A$2:$A$700,$A720,元データ_加工!$B$2:$B$700,E$5)</f>
        <v>1664</v>
      </c>
      <c r="F720" s="26">
        <f>SUMIFS(INDEX(元データ_加工!$C$2:$P$700,0,MATCH($B720,元データ_加工!$C$1:$P$1,0)),元データ_加工!$A$2:$A$700,$A720,元データ_加工!$B$2:$B$700,F$5)</f>
        <v>1422</v>
      </c>
      <c r="G720" s="26">
        <f>SUMIFS(INDEX(元データ_加工!$C$2:$P$700,0,MATCH($B720,元データ_加工!$C$1:$P$1,0)),元データ_加工!$A$2:$A$700,$A720,元データ_加工!$B$2:$B$700,G$5)</f>
        <v>1733</v>
      </c>
      <c r="H720" s="26">
        <f>SUMIFS(INDEX(元データ_加工!$C$2:$P$700,0,MATCH($B720,元データ_加工!$C$1:$P$1,0)),元データ_加工!$A$2:$A$700,$A720,元データ_加工!$B$2:$B$700,H$5)</f>
        <v>1230</v>
      </c>
      <c r="I720" s="26">
        <f>SUMIFS(INDEX(元データ_加工!$C$2:$P$700,0,MATCH($B720,元データ_加工!$C$1:$P$1,0)),元データ_加工!$A$2:$A$700,$A720,元データ_加工!$B$2:$B$700,I$5)</f>
        <v>922</v>
      </c>
      <c r="J720" s="26">
        <f>SUMIFS(INDEX(元データ_加工!$C$2:$P$700,0,MATCH($B720,元データ_加工!$C$1:$P$1,0)),元データ_加工!$A$2:$A$700,$A720,元データ_加工!$B$2:$B$700,J$5)</f>
        <v>2161</v>
      </c>
      <c r="K720" s="26">
        <f>SUMIFS(INDEX(元データ_加工!$C$2:$P$700,0,MATCH($B720,元データ_加工!$C$1:$P$1,0)),元データ_加工!$A$2:$A$700,$A720,元データ_加工!$B$2:$B$700,K$5)</f>
        <v>3249</v>
      </c>
      <c r="L720" s="26">
        <f>SUMIFS(INDEX(元データ_加工!$C$2:$P$700,0,MATCH($B720,元データ_加工!$C$1:$P$1,0)),元データ_加工!$A$2:$A$700,$A720,元データ_加工!$B$2:$B$700,L$5)</f>
        <v>2238</v>
      </c>
      <c r="M720" s="26">
        <f>SUMIFS(INDEX(元データ_加工!$C$2:$P$700,0,MATCH($B720,元データ_加工!$C$1:$P$1,0)),元データ_加工!$A$2:$A$700,$A720,元データ_加工!$B$2:$B$700,M$5)</f>
        <v>2222</v>
      </c>
      <c r="N720" s="26">
        <f>SUMIFS(INDEX(元データ_加工!$C$2:$P$700,0,MATCH($B720,元データ_加工!$C$1:$P$1,0)),元データ_加工!$A$2:$A$700,$A720,元データ_加工!$B$2:$B$700,N$5)</f>
        <v>1710</v>
      </c>
      <c r="O720" s="26">
        <f t="shared" si="11"/>
        <v>20801</v>
      </c>
      <c r="P720" s="7">
        <f>IFERROR(O720/SUMIFS(元データ_加工!$C$2:$C$700,元データ_加工!$A$2:$A$700,$A720),"")</f>
        <v>1</v>
      </c>
    </row>
    <row r="721" spans="1:16" x14ac:dyDescent="0.45">
      <c r="A721" t="s">
        <v>86</v>
      </c>
      <c r="B721" t="s">
        <v>101</v>
      </c>
      <c r="C721" s="26">
        <f>SUMIFS(INDEX(元データ_加工!$C$2:$P$700,0,MATCH($B721,元データ_加工!$C$1:$P$1,0)),元データ_加工!$A$2:$A$700,$A721,元データ_加工!$B$2:$B$700,C$5)</f>
        <v>254</v>
      </c>
      <c r="D721" s="26">
        <f>SUMIFS(INDEX(元データ_加工!$C$2:$P$700,0,MATCH($B721,元データ_加工!$C$1:$P$1,0)),元データ_加工!$A$2:$A$700,$A721,元データ_加工!$B$2:$B$700,D$5)</f>
        <v>332</v>
      </c>
      <c r="E721" s="26">
        <f>SUMIFS(INDEX(元データ_加工!$C$2:$P$700,0,MATCH($B721,元データ_加工!$C$1:$P$1,0)),元データ_加工!$A$2:$A$700,$A721,元データ_加工!$B$2:$B$700,E$5)</f>
        <v>428</v>
      </c>
      <c r="F721" s="26">
        <f>SUMIFS(INDEX(元データ_加工!$C$2:$P$700,0,MATCH($B721,元データ_加工!$C$1:$P$1,0)),元データ_加工!$A$2:$A$700,$A721,元データ_加工!$B$2:$B$700,F$5)</f>
        <v>393</v>
      </c>
      <c r="G721" s="26">
        <f>SUMIFS(INDEX(元データ_加工!$C$2:$P$700,0,MATCH($B721,元データ_加工!$C$1:$P$1,0)),元データ_加工!$A$2:$A$700,$A721,元データ_加工!$B$2:$B$700,G$5)</f>
        <v>517</v>
      </c>
      <c r="H721" s="26">
        <f>SUMIFS(INDEX(元データ_加工!$C$2:$P$700,0,MATCH($B721,元データ_加工!$C$1:$P$1,0)),元データ_加工!$A$2:$A$700,$A721,元データ_加工!$B$2:$B$700,H$5)</f>
        <v>295</v>
      </c>
      <c r="I721" s="26">
        <f>SUMIFS(INDEX(元データ_加工!$C$2:$P$700,0,MATCH($B721,元データ_加工!$C$1:$P$1,0)),元データ_加工!$A$2:$A$700,$A721,元データ_加工!$B$2:$B$700,I$5)</f>
        <v>299</v>
      </c>
      <c r="J721" s="26">
        <f>SUMIFS(INDEX(元データ_加工!$C$2:$P$700,0,MATCH($B721,元データ_加工!$C$1:$P$1,0)),元データ_加工!$A$2:$A$700,$A721,元データ_加工!$B$2:$B$700,J$5)</f>
        <v>364</v>
      </c>
      <c r="K721" s="26">
        <f>SUMIFS(INDEX(元データ_加工!$C$2:$P$700,0,MATCH($B721,元データ_加工!$C$1:$P$1,0)),元データ_加工!$A$2:$A$700,$A721,元データ_加工!$B$2:$B$700,K$5)</f>
        <v>488</v>
      </c>
      <c r="L721" s="26">
        <f>SUMIFS(INDEX(元データ_加工!$C$2:$P$700,0,MATCH($B721,元データ_加工!$C$1:$P$1,0)),元データ_加工!$A$2:$A$700,$A721,元データ_加工!$B$2:$B$700,L$5)</f>
        <v>394</v>
      </c>
      <c r="M721" s="26">
        <f>SUMIFS(INDEX(元データ_加工!$C$2:$P$700,0,MATCH($B721,元データ_加工!$C$1:$P$1,0)),元データ_加工!$A$2:$A$700,$A721,元データ_加工!$B$2:$B$700,M$5)</f>
        <v>504</v>
      </c>
      <c r="N721" s="26">
        <f>SUMIFS(INDEX(元データ_加工!$C$2:$P$700,0,MATCH($B721,元データ_加工!$C$1:$P$1,0)),元データ_加工!$A$2:$A$700,$A721,元データ_加工!$B$2:$B$700,N$5)</f>
        <v>461</v>
      </c>
      <c r="O721" s="26">
        <f t="shared" si="11"/>
        <v>4729</v>
      </c>
      <c r="P721" s="7">
        <f>IFERROR(O721/SUMIFS(元データ_加工!$C$2:$C$700,元データ_加工!$A$2:$A$700,$A721),"")</f>
        <v>0.22734483919042353</v>
      </c>
    </row>
    <row r="722" spans="1:16" x14ac:dyDescent="0.45">
      <c r="A722" t="s">
        <v>86</v>
      </c>
      <c r="B722" t="s">
        <v>102</v>
      </c>
      <c r="C722" s="26">
        <f>SUMIFS(INDEX(元データ_加工!$C$2:$P$700,0,MATCH($B722,元データ_加工!$C$1:$P$1,0)),元データ_加工!$A$2:$A$700,$A722,元データ_加工!$B$2:$B$700,C$5)</f>
        <v>0</v>
      </c>
      <c r="D722" s="26">
        <f>SUMIFS(INDEX(元データ_加工!$C$2:$P$700,0,MATCH($B722,元データ_加工!$C$1:$P$1,0)),元データ_加工!$A$2:$A$700,$A722,元データ_加工!$B$2:$B$700,D$5)</f>
        <v>0</v>
      </c>
      <c r="E722" s="26">
        <f>SUMIFS(INDEX(元データ_加工!$C$2:$P$700,0,MATCH($B722,元データ_加工!$C$1:$P$1,0)),元データ_加工!$A$2:$A$700,$A722,元データ_加工!$B$2:$B$700,E$5)</f>
        <v>0</v>
      </c>
      <c r="F722" s="26">
        <f>SUMIFS(INDEX(元データ_加工!$C$2:$P$700,0,MATCH($B722,元データ_加工!$C$1:$P$1,0)),元データ_加工!$A$2:$A$700,$A722,元データ_加工!$B$2:$B$700,F$5)</f>
        <v>0</v>
      </c>
      <c r="G722" s="26">
        <f>SUMIFS(INDEX(元データ_加工!$C$2:$P$700,0,MATCH($B722,元データ_加工!$C$1:$P$1,0)),元データ_加工!$A$2:$A$700,$A722,元データ_加工!$B$2:$B$700,G$5)</f>
        <v>0</v>
      </c>
      <c r="H722" s="26">
        <f>SUMIFS(INDEX(元データ_加工!$C$2:$P$700,0,MATCH($B722,元データ_加工!$C$1:$P$1,0)),元データ_加工!$A$2:$A$700,$A722,元データ_加工!$B$2:$B$700,H$5)</f>
        <v>0</v>
      </c>
      <c r="I722" s="26">
        <f>SUMIFS(INDEX(元データ_加工!$C$2:$P$700,0,MATCH($B722,元データ_加工!$C$1:$P$1,0)),元データ_加工!$A$2:$A$700,$A722,元データ_加工!$B$2:$B$700,I$5)</f>
        <v>0</v>
      </c>
      <c r="J722" s="26">
        <f>SUMIFS(INDEX(元データ_加工!$C$2:$P$700,0,MATCH($B722,元データ_加工!$C$1:$P$1,0)),元データ_加工!$A$2:$A$700,$A722,元データ_加工!$B$2:$B$700,J$5)</f>
        <v>20</v>
      </c>
      <c r="K722" s="26">
        <f>SUMIFS(INDEX(元データ_加工!$C$2:$P$700,0,MATCH($B722,元データ_加工!$C$1:$P$1,0)),元データ_加工!$A$2:$A$700,$A722,元データ_加工!$B$2:$B$700,K$5)</f>
        <v>1</v>
      </c>
      <c r="L722" s="26">
        <f>SUMIFS(INDEX(元データ_加工!$C$2:$P$700,0,MATCH($B722,元データ_加工!$C$1:$P$1,0)),元データ_加工!$A$2:$A$700,$A722,元データ_加工!$B$2:$B$700,L$5)</f>
        <v>0</v>
      </c>
      <c r="M722" s="26">
        <f>SUMIFS(INDEX(元データ_加工!$C$2:$P$700,0,MATCH($B722,元データ_加工!$C$1:$P$1,0)),元データ_加工!$A$2:$A$700,$A722,元データ_加工!$B$2:$B$700,M$5)</f>
        <v>0</v>
      </c>
      <c r="N722" s="26">
        <f>SUMIFS(INDEX(元データ_加工!$C$2:$P$700,0,MATCH($B722,元データ_加工!$C$1:$P$1,0)),元データ_加工!$A$2:$A$700,$A722,元データ_加工!$B$2:$B$700,N$5)</f>
        <v>0</v>
      </c>
      <c r="O722" s="26">
        <f t="shared" si="11"/>
        <v>21</v>
      </c>
      <c r="P722" s="7">
        <f>IFERROR(O722/SUMIFS(元データ_加工!$C$2:$C$700,元データ_加工!$A$2:$A$700,$A722),"")</f>
        <v>1.0095668477477044E-3</v>
      </c>
    </row>
    <row r="723" spans="1:16" x14ac:dyDescent="0.45">
      <c r="A723" t="s">
        <v>86</v>
      </c>
      <c r="B723" t="s">
        <v>103</v>
      </c>
      <c r="C723" s="26">
        <f>SUMIFS(INDEX(元データ_加工!$C$2:$P$700,0,MATCH($B723,元データ_加工!$C$1:$P$1,0)),元データ_加工!$A$2:$A$700,$A723,元データ_加工!$B$2:$B$700,C$5)</f>
        <v>0</v>
      </c>
      <c r="D723" s="26">
        <f>SUMIFS(INDEX(元データ_加工!$C$2:$P$700,0,MATCH($B723,元データ_加工!$C$1:$P$1,0)),元データ_加工!$A$2:$A$700,$A723,元データ_加工!$B$2:$B$700,D$5)</f>
        <v>0</v>
      </c>
      <c r="E723" s="26">
        <f>SUMIFS(INDEX(元データ_加工!$C$2:$P$700,0,MATCH($B723,元データ_加工!$C$1:$P$1,0)),元データ_加工!$A$2:$A$700,$A723,元データ_加工!$B$2:$B$700,E$5)</f>
        <v>5</v>
      </c>
      <c r="F723" s="26">
        <f>SUMIFS(INDEX(元データ_加工!$C$2:$P$700,0,MATCH($B723,元データ_加工!$C$1:$P$1,0)),元データ_加工!$A$2:$A$700,$A723,元データ_加工!$B$2:$B$700,F$5)</f>
        <v>22</v>
      </c>
      <c r="G723" s="26">
        <f>SUMIFS(INDEX(元データ_加工!$C$2:$P$700,0,MATCH($B723,元データ_加工!$C$1:$P$1,0)),元データ_加工!$A$2:$A$700,$A723,元データ_加工!$B$2:$B$700,G$5)</f>
        <v>14</v>
      </c>
      <c r="H723" s="26">
        <f>SUMIFS(INDEX(元データ_加工!$C$2:$P$700,0,MATCH($B723,元データ_加工!$C$1:$P$1,0)),元データ_加工!$A$2:$A$700,$A723,元データ_加工!$B$2:$B$700,H$5)</f>
        <v>24</v>
      </c>
      <c r="I723" s="26">
        <f>SUMIFS(INDEX(元データ_加工!$C$2:$P$700,0,MATCH($B723,元データ_加工!$C$1:$P$1,0)),元データ_加工!$A$2:$A$700,$A723,元データ_加工!$B$2:$B$700,I$5)</f>
        <v>15</v>
      </c>
      <c r="J723" s="26">
        <f>SUMIFS(INDEX(元データ_加工!$C$2:$P$700,0,MATCH($B723,元データ_加工!$C$1:$P$1,0)),元データ_加工!$A$2:$A$700,$A723,元データ_加工!$B$2:$B$700,J$5)</f>
        <v>2</v>
      </c>
      <c r="K723" s="26">
        <f>SUMIFS(INDEX(元データ_加工!$C$2:$P$700,0,MATCH($B723,元データ_加工!$C$1:$P$1,0)),元データ_加工!$A$2:$A$700,$A723,元データ_加工!$B$2:$B$700,K$5)</f>
        <v>0</v>
      </c>
      <c r="L723" s="26">
        <f>SUMIFS(INDEX(元データ_加工!$C$2:$P$700,0,MATCH($B723,元データ_加工!$C$1:$P$1,0)),元データ_加工!$A$2:$A$700,$A723,元データ_加工!$B$2:$B$700,L$5)</f>
        <v>0</v>
      </c>
      <c r="M723" s="26">
        <f>SUMIFS(INDEX(元データ_加工!$C$2:$P$700,0,MATCH($B723,元データ_加工!$C$1:$P$1,0)),元データ_加工!$A$2:$A$700,$A723,元データ_加工!$B$2:$B$700,M$5)</f>
        <v>1</v>
      </c>
      <c r="N723" s="26">
        <f>SUMIFS(INDEX(元データ_加工!$C$2:$P$700,0,MATCH($B723,元データ_加工!$C$1:$P$1,0)),元データ_加工!$A$2:$A$700,$A723,元データ_加工!$B$2:$B$700,N$5)</f>
        <v>0</v>
      </c>
      <c r="O723" s="26">
        <f t="shared" si="11"/>
        <v>83</v>
      </c>
      <c r="P723" s="7">
        <f>IFERROR(O723/SUMIFS(元データ_加工!$C$2:$C$700,元データ_加工!$A$2:$A$700,$A723),"")</f>
        <v>3.990192779193308E-3</v>
      </c>
    </row>
    <row r="724" spans="1:16" x14ac:dyDescent="0.45">
      <c r="A724" t="s">
        <v>86</v>
      </c>
      <c r="B724" t="s">
        <v>104</v>
      </c>
      <c r="C724" s="26">
        <f>SUMIFS(INDEX(元データ_加工!$C$2:$P$700,0,MATCH($B724,元データ_加工!$C$1:$P$1,0)),元データ_加工!$A$2:$A$700,$A724,元データ_加工!$B$2:$B$700,C$5)</f>
        <v>9</v>
      </c>
      <c r="D724" s="26">
        <f>SUMIFS(INDEX(元データ_加工!$C$2:$P$700,0,MATCH($B724,元データ_加工!$C$1:$P$1,0)),元データ_加工!$A$2:$A$700,$A724,元データ_加工!$B$2:$B$700,D$5)</f>
        <v>11</v>
      </c>
      <c r="E724" s="26">
        <f>SUMIFS(INDEX(元データ_加工!$C$2:$P$700,0,MATCH($B724,元データ_加工!$C$1:$P$1,0)),元データ_加工!$A$2:$A$700,$A724,元データ_加工!$B$2:$B$700,E$5)</f>
        <v>17</v>
      </c>
      <c r="F724" s="26">
        <f>SUMIFS(INDEX(元データ_加工!$C$2:$P$700,0,MATCH($B724,元データ_加工!$C$1:$P$1,0)),元データ_加工!$A$2:$A$700,$A724,元データ_加工!$B$2:$B$700,F$5)</f>
        <v>12</v>
      </c>
      <c r="G724" s="26">
        <f>SUMIFS(INDEX(元データ_加工!$C$2:$P$700,0,MATCH($B724,元データ_加工!$C$1:$P$1,0)),元データ_加工!$A$2:$A$700,$A724,元データ_加工!$B$2:$B$700,G$5)</f>
        <v>45</v>
      </c>
      <c r="H724" s="26">
        <f>SUMIFS(INDEX(元データ_加工!$C$2:$P$700,0,MATCH($B724,元データ_加工!$C$1:$P$1,0)),元データ_加工!$A$2:$A$700,$A724,元データ_加工!$B$2:$B$700,H$5)</f>
        <v>29</v>
      </c>
      <c r="I724" s="26">
        <f>SUMIFS(INDEX(元データ_加工!$C$2:$P$700,0,MATCH($B724,元データ_加工!$C$1:$P$1,0)),元データ_加工!$A$2:$A$700,$A724,元データ_加工!$B$2:$B$700,I$5)</f>
        <v>26</v>
      </c>
      <c r="J724" s="26">
        <f>SUMIFS(INDEX(元データ_加工!$C$2:$P$700,0,MATCH($B724,元データ_加工!$C$1:$P$1,0)),元データ_加工!$A$2:$A$700,$A724,元データ_加工!$B$2:$B$700,J$5)</f>
        <v>162</v>
      </c>
      <c r="K724" s="26">
        <f>SUMIFS(INDEX(元データ_加工!$C$2:$P$700,0,MATCH($B724,元データ_加工!$C$1:$P$1,0)),元データ_加工!$A$2:$A$700,$A724,元データ_加工!$B$2:$B$700,K$5)</f>
        <v>78</v>
      </c>
      <c r="L724" s="26">
        <f>SUMIFS(INDEX(元データ_加工!$C$2:$P$700,0,MATCH($B724,元データ_加工!$C$1:$P$1,0)),元データ_加工!$A$2:$A$700,$A724,元データ_加工!$B$2:$B$700,L$5)</f>
        <v>73</v>
      </c>
      <c r="M724" s="26">
        <f>SUMIFS(INDEX(元データ_加工!$C$2:$P$700,0,MATCH($B724,元データ_加工!$C$1:$P$1,0)),元データ_加工!$A$2:$A$700,$A724,元データ_加工!$B$2:$B$700,M$5)</f>
        <v>80</v>
      </c>
      <c r="N724" s="26">
        <f>SUMIFS(INDEX(元データ_加工!$C$2:$P$700,0,MATCH($B724,元データ_加工!$C$1:$P$1,0)),元データ_加工!$A$2:$A$700,$A724,元データ_加工!$B$2:$B$700,N$5)</f>
        <v>32</v>
      </c>
      <c r="O724" s="26">
        <f t="shared" si="11"/>
        <v>574</v>
      </c>
      <c r="P724" s="7">
        <f>IFERROR(O724/SUMIFS(元データ_加工!$C$2:$C$700,元データ_加工!$A$2:$A$700,$A724),"")</f>
        <v>2.759482717177059E-2</v>
      </c>
    </row>
    <row r="725" spans="1:16" x14ac:dyDescent="0.45">
      <c r="A725" t="s">
        <v>86</v>
      </c>
      <c r="B725" t="s">
        <v>105</v>
      </c>
      <c r="C725" s="26">
        <f>SUMIFS(INDEX(元データ_加工!$C$2:$P$700,0,MATCH($B725,元データ_加工!$C$1:$P$1,0)),元データ_加工!$A$2:$A$700,$A725,元データ_加工!$B$2:$B$700,C$5)</f>
        <v>17</v>
      </c>
      <c r="D725" s="26">
        <f>SUMIFS(INDEX(元データ_加工!$C$2:$P$700,0,MATCH($B725,元データ_加工!$C$1:$P$1,0)),元データ_加工!$A$2:$A$700,$A725,元データ_加工!$B$2:$B$700,D$5)</f>
        <v>1</v>
      </c>
      <c r="E725" s="26">
        <f>SUMIFS(INDEX(元データ_加工!$C$2:$P$700,0,MATCH($B725,元データ_加工!$C$1:$P$1,0)),元データ_加工!$A$2:$A$700,$A725,元データ_加工!$B$2:$B$700,E$5)</f>
        <v>7</v>
      </c>
      <c r="F725" s="26">
        <f>SUMIFS(INDEX(元データ_加工!$C$2:$P$700,0,MATCH($B725,元データ_加工!$C$1:$P$1,0)),元データ_加工!$A$2:$A$700,$A725,元データ_加工!$B$2:$B$700,F$5)</f>
        <v>4</v>
      </c>
      <c r="G725" s="26">
        <f>SUMIFS(INDEX(元データ_加工!$C$2:$P$700,0,MATCH($B725,元データ_加工!$C$1:$P$1,0)),元データ_加工!$A$2:$A$700,$A725,元データ_加工!$B$2:$B$700,G$5)</f>
        <v>9</v>
      </c>
      <c r="H725" s="26">
        <f>SUMIFS(INDEX(元データ_加工!$C$2:$P$700,0,MATCH($B725,元データ_加工!$C$1:$P$1,0)),元データ_加工!$A$2:$A$700,$A725,元データ_加工!$B$2:$B$700,H$5)</f>
        <v>5</v>
      </c>
      <c r="I725" s="26">
        <f>SUMIFS(INDEX(元データ_加工!$C$2:$P$700,0,MATCH($B725,元データ_加工!$C$1:$P$1,0)),元データ_加工!$A$2:$A$700,$A725,元データ_加工!$B$2:$B$700,I$5)</f>
        <v>33</v>
      </c>
      <c r="J725" s="26">
        <f>SUMIFS(INDEX(元データ_加工!$C$2:$P$700,0,MATCH($B725,元データ_加工!$C$1:$P$1,0)),元データ_加工!$A$2:$A$700,$A725,元データ_加工!$B$2:$B$700,J$5)</f>
        <v>125</v>
      </c>
      <c r="K725" s="26">
        <f>SUMIFS(INDEX(元データ_加工!$C$2:$P$700,0,MATCH($B725,元データ_加工!$C$1:$P$1,0)),元データ_加工!$A$2:$A$700,$A725,元データ_加工!$B$2:$B$700,K$5)</f>
        <v>213</v>
      </c>
      <c r="L725" s="26">
        <f>SUMIFS(INDEX(元データ_加工!$C$2:$P$700,0,MATCH($B725,元データ_加工!$C$1:$P$1,0)),元データ_加工!$A$2:$A$700,$A725,元データ_加工!$B$2:$B$700,L$5)</f>
        <v>135</v>
      </c>
      <c r="M725" s="26">
        <f>SUMIFS(INDEX(元データ_加工!$C$2:$P$700,0,MATCH($B725,元データ_加工!$C$1:$P$1,0)),元データ_加工!$A$2:$A$700,$A725,元データ_加工!$B$2:$B$700,M$5)</f>
        <v>79</v>
      </c>
      <c r="N725" s="26">
        <f>SUMIFS(INDEX(元データ_加工!$C$2:$P$700,0,MATCH($B725,元データ_加工!$C$1:$P$1,0)),元データ_加工!$A$2:$A$700,$A725,元データ_加工!$B$2:$B$700,N$5)</f>
        <v>19</v>
      </c>
      <c r="O725" s="26">
        <f t="shared" si="11"/>
        <v>647</v>
      </c>
      <c r="P725" s="7">
        <f>IFERROR(O725/SUMIFS(元データ_加工!$C$2:$C$700,元データ_加工!$A$2:$A$700,$A725),"")</f>
        <v>3.1104273832988798E-2</v>
      </c>
    </row>
    <row r="726" spans="1:16" x14ac:dyDescent="0.45">
      <c r="A726" t="s">
        <v>86</v>
      </c>
      <c r="B726" t="s">
        <v>106</v>
      </c>
      <c r="C726" s="26">
        <f>SUMIFS(INDEX(元データ_加工!$C$2:$P$700,0,MATCH($B726,元データ_加工!$C$1:$P$1,0)),元データ_加工!$A$2:$A$700,$A726,元データ_加工!$B$2:$B$700,C$5)</f>
        <v>282</v>
      </c>
      <c r="D726" s="26">
        <f>SUMIFS(INDEX(元データ_加工!$C$2:$P$700,0,MATCH($B726,元データ_加工!$C$1:$P$1,0)),元データ_加工!$A$2:$A$700,$A726,元データ_加工!$B$2:$B$700,D$5)</f>
        <v>247</v>
      </c>
      <c r="E726" s="26">
        <f>SUMIFS(INDEX(元データ_加工!$C$2:$P$700,0,MATCH($B726,元データ_加工!$C$1:$P$1,0)),元データ_加工!$A$2:$A$700,$A726,元データ_加工!$B$2:$B$700,E$5)</f>
        <v>264</v>
      </c>
      <c r="F726" s="26">
        <f>SUMIFS(INDEX(元データ_加工!$C$2:$P$700,0,MATCH($B726,元データ_加工!$C$1:$P$1,0)),元データ_加工!$A$2:$A$700,$A726,元データ_加工!$B$2:$B$700,F$5)</f>
        <v>269</v>
      </c>
      <c r="G726" s="26">
        <f>SUMIFS(INDEX(元データ_加工!$C$2:$P$700,0,MATCH($B726,元データ_加工!$C$1:$P$1,0)),元データ_加工!$A$2:$A$700,$A726,元データ_加工!$B$2:$B$700,G$5)</f>
        <v>230</v>
      </c>
      <c r="H726" s="26">
        <f>SUMIFS(INDEX(元データ_加工!$C$2:$P$700,0,MATCH($B726,元データ_加工!$C$1:$P$1,0)),元データ_加工!$A$2:$A$700,$A726,元データ_加工!$B$2:$B$700,H$5)</f>
        <v>229</v>
      </c>
      <c r="I726" s="26">
        <f>SUMIFS(INDEX(元データ_加工!$C$2:$P$700,0,MATCH($B726,元データ_加工!$C$1:$P$1,0)),元データ_加工!$A$2:$A$700,$A726,元データ_加工!$B$2:$B$700,I$5)</f>
        <v>111</v>
      </c>
      <c r="J726" s="26">
        <f>SUMIFS(INDEX(元データ_加工!$C$2:$P$700,0,MATCH($B726,元データ_加工!$C$1:$P$1,0)),元データ_加工!$A$2:$A$700,$A726,元データ_加工!$B$2:$B$700,J$5)</f>
        <v>189</v>
      </c>
      <c r="K726" s="26">
        <f>SUMIFS(INDEX(元データ_加工!$C$2:$P$700,0,MATCH($B726,元データ_加工!$C$1:$P$1,0)),元データ_加工!$A$2:$A$700,$A726,元データ_加工!$B$2:$B$700,K$5)</f>
        <v>359</v>
      </c>
      <c r="L726" s="26">
        <f>SUMIFS(INDEX(元データ_加工!$C$2:$P$700,0,MATCH($B726,元データ_加工!$C$1:$P$1,0)),元データ_加工!$A$2:$A$700,$A726,元データ_加工!$B$2:$B$700,L$5)</f>
        <v>427</v>
      </c>
      <c r="M726" s="26">
        <f>SUMIFS(INDEX(元データ_加工!$C$2:$P$700,0,MATCH($B726,元データ_加工!$C$1:$P$1,0)),元データ_加工!$A$2:$A$700,$A726,元データ_加工!$B$2:$B$700,M$5)</f>
        <v>392</v>
      </c>
      <c r="N726" s="26">
        <f>SUMIFS(INDEX(元データ_加工!$C$2:$P$700,0,MATCH($B726,元データ_加工!$C$1:$P$1,0)),元データ_加工!$A$2:$A$700,$A726,元データ_加工!$B$2:$B$700,N$5)</f>
        <v>394</v>
      </c>
      <c r="O726" s="26">
        <f t="shared" si="11"/>
        <v>3393</v>
      </c>
      <c r="P726" s="7">
        <f>IFERROR(O726/SUMIFS(元データ_加工!$C$2:$C$700,元データ_加工!$A$2:$A$700,$A726),"")</f>
        <v>0.16311715782895053</v>
      </c>
    </row>
    <row r="727" spans="1:16" x14ac:dyDescent="0.45">
      <c r="A727" t="s">
        <v>86</v>
      </c>
      <c r="B727" t="s">
        <v>107</v>
      </c>
      <c r="C727" s="26">
        <f>SUMIFS(INDEX(元データ_加工!$C$2:$P$700,0,MATCH($B727,元データ_加工!$C$1:$P$1,0)),元データ_加工!$A$2:$A$700,$A727,元データ_加工!$B$2:$B$700,C$5)</f>
        <v>37</v>
      </c>
      <c r="D727" s="26">
        <f>SUMIFS(INDEX(元データ_加工!$C$2:$P$700,0,MATCH($B727,元データ_加工!$C$1:$P$1,0)),元データ_加工!$A$2:$A$700,$A727,元データ_加工!$B$2:$B$700,D$5)</f>
        <v>49</v>
      </c>
      <c r="E727" s="26">
        <f>SUMIFS(INDEX(元データ_加工!$C$2:$P$700,0,MATCH($B727,元データ_加工!$C$1:$P$1,0)),元データ_加工!$A$2:$A$700,$A727,元データ_加工!$B$2:$B$700,E$5)</f>
        <v>35</v>
      </c>
      <c r="F727" s="26">
        <f>SUMIFS(INDEX(元データ_加工!$C$2:$P$700,0,MATCH($B727,元データ_加工!$C$1:$P$1,0)),元データ_加工!$A$2:$A$700,$A727,元データ_加工!$B$2:$B$700,F$5)</f>
        <v>36</v>
      </c>
      <c r="G727" s="26">
        <f>SUMIFS(INDEX(元データ_加工!$C$2:$P$700,0,MATCH($B727,元データ_加工!$C$1:$P$1,0)),元データ_加工!$A$2:$A$700,$A727,元データ_加工!$B$2:$B$700,G$5)</f>
        <v>50</v>
      </c>
      <c r="H727" s="26">
        <f>SUMIFS(INDEX(元データ_加工!$C$2:$P$700,0,MATCH($B727,元データ_加工!$C$1:$P$1,0)),元データ_加工!$A$2:$A$700,$A727,元データ_加工!$B$2:$B$700,H$5)</f>
        <v>25</v>
      </c>
      <c r="I727" s="26">
        <f>SUMIFS(INDEX(元データ_加工!$C$2:$P$700,0,MATCH($B727,元データ_加工!$C$1:$P$1,0)),元データ_加工!$A$2:$A$700,$A727,元データ_加工!$B$2:$B$700,I$5)</f>
        <v>20</v>
      </c>
      <c r="J727" s="26">
        <f>SUMIFS(INDEX(元データ_加工!$C$2:$P$700,0,MATCH($B727,元データ_加工!$C$1:$P$1,0)),元データ_加工!$A$2:$A$700,$A727,元データ_加工!$B$2:$B$700,J$5)</f>
        <v>49</v>
      </c>
      <c r="K727" s="26">
        <f>SUMIFS(INDEX(元データ_加工!$C$2:$P$700,0,MATCH($B727,元データ_加工!$C$1:$P$1,0)),元データ_加工!$A$2:$A$700,$A727,元データ_加工!$B$2:$B$700,K$5)</f>
        <v>25</v>
      </c>
      <c r="L727" s="26">
        <f>SUMIFS(INDEX(元データ_加工!$C$2:$P$700,0,MATCH($B727,元データ_加工!$C$1:$P$1,0)),元データ_加工!$A$2:$A$700,$A727,元データ_加工!$B$2:$B$700,L$5)</f>
        <v>25</v>
      </c>
      <c r="M727" s="26">
        <f>SUMIFS(INDEX(元データ_加工!$C$2:$P$700,0,MATCH($B727,元データ_加工!$C$1:$P$1,0)),元データ_加工!$A$2:$A$700,$A727,元データ_加工!$B$2:$B$700,M$5)</f>
        <v>40</v>
      </c>
      <c r="N727" s="26">
        <f>SUMIFS(INDEX(元データ_加工!$C$2:$P$700,0,MATCH($B727,元データ_加工!$C$1:$P$1,0)),元データ_加工!$A$2:$A$700,$A727,元データ_加工!$B$2:$B$700,N$5)</f>
        <v>50</v>
      </c>
      <c r="O727" s="26">
        <f t="shared" si="11"/>
        <v>441</v>
      </c>
      <c r="P727" s="7">
        <f>IFERROR(O727/SUMIFS(元データ_加工!$C$2:$C$700,元データ_加工!$A$2:$A$700,$A727),"")</f>
        <v>2.1200903802701794E-2</v>
      </c>
    </row>
    <row r="728" spans="1:16" x14ac:dyDescent="0.45">
      <c r="A728" t="s">
        <v>86</v>
      </c>
      <c r="B728" t="s">
        <v>108</v>
      </c>
      <c r="C728" s="26">
        <f>SUMIFS(INDEX(元データ_加工!$C$2:$P$700,0,MATCH($B728,元データ_加工!$C$1:$P$1,0)),元データ_加工!$A$2:$A$700,$A728,元データ_加工!$B$2:$B$700,C$5)</f>
        <v>20</v>
      </c>
      <c r="D728" s="26">
        <f>SUMIFS(INDEX(元データ_加工!$C$2:$P$700,0,MATCH($B728,元データ_加工!$C$1:$P$1,0)),元データ_加工!$A$2:$A$700,$A728,元データ_加工!$B$2:$B$700,D$5)</f>
        <v>60</v>
      </c>
      <c r="E728" s="26">
        <f>SUMIFS(INDEX(元データ_加工!$C$2:$P$700,0,MATCH($B728,元データ_加工!$C$1:$P$1,0)),元データ_加工!$A$2:$A$700,$A728,元データ_加工!$B$2:$B$700,E$5)</f>
        <v>59</v>
      </c>
      <c r="F728" s="26">
        <f>SUMIFS(INDEX(元データ_加工!$C$2:$P$700,0,MATCH($B728,元データ_加工!$C$1:$P$1,0)),元データ_加工!$A$2:$A$700,$A728,元データ_加工!$B$2:$B$700,F$5)</f>
        <v>17</v>
      </c>
      <c r="G728" s="26">
        <f>SUMIFS(INDEX(元データ_加工!$C$2:$P$700,0,MATCH($B728,元データ_加工!$C$1:$P$1,0)),元データ_加工!$A$2:$A$700,$A728,元データ_加工!$B$2:$B$700,G$5)</f>
        <v>27</v>
      </c>
      <c r="H728" s="26">
        <f>SUMIFS(INDEX(元データ_加工!$C$2:$P$700,0,MATCH($B728,元データ_加工!$C$1:$P$1,0)),元データ_加工!$A$2:$A$700,$A728,元データ_加工!$B$2:$B$700,H$5)</f>
        <v>7</v>
      </c>
      <c r="I728" s="26">
        <f>SUMIFS(INDEX(元データ_加工!$C$2:$P$700,0,MATCH($B728,元データ_加工!$C$1:$P$1,0)),元データ_加工!$A$2:$A$700,$A728,元データ_加工!$B$2:$B$700,I$5)</f>
        <v>42</v>
      </c>
      <c r="J728" s="26">
        <f>SUMIFS(INDEX(元データ_加工!$C$2:$P$700,0,MATCH($B728,元データ_加工!$C$1:$P$1,0)),元データ_加工!$A$2:$A$700,$A728,元データ_加工!$B$2:$B$700,J$5)</f>
        <v>25</v>
      </c>
      <c r="K728" s="26">
        <f>SUMIFS(INDEX(元データ_加工!$C$2:$P$700,0,MATCH($B728,元データ_加工!$C$1:$P$1,0)),元データ_加工!$A$2:$A$700,$A728,元データ_加工!$B$2:$B$700,K$5)</f>
        <v>9</v>
      </c>
      <c r="L728" s="26">
        <f>SUMIFS(INDEX(元データ_加工!$C$2:$P$700,0,MATCH($B728,元データ_加工!$C$1:$P$1,0)),元データ_加工!$A$2:$A$700,$A728,元データ_加工!$B$2:$B$700,L$5)</f>
        <v>17</v>
      </c>
      <c r="M728" s="26">
        <f>SUMIFS(INDEX(元データ_加工!$C$2:$P$700,0,MATCH($B728,元データ_加工!$C$1:$P$1,0)),元データ_加工!$A$2:$A$700,$A728,元データ_加工!$B$2:$B$700,M$5)</f>
        <v>8</v>
      </c>
      <c r="N728" s="26">
        <f>SUMIFS(INDEX(元データ_加工!$C$2:$P$700,0,MATCH($B728,元データ_加工!$C$1:$P$1,0)),元データ_加工!$A$2:$A$700,$A728,元データ_加工!$B$2:$B$700,N$5)</f>
        <v>13</v>
      </c>
      <c r="O728" s="26">
        <f t="shared" si="11"/>
        <v>304</v>
      </c>
      <c r="P728" s="7">
        <f>IFERROR(O728/SUMIFS(元データ_加工!$C$2:$C$700,元データ_加工!$A$2:$A$700,$A728),"")</f>
        <v>1.4614681986442959E-2</v>
      </c>
    </row>
    <row r="729" spans="1:16" x14ac:dyDescent="0.45">
      <c r="A729" t="s">
        <v>86</v>
      </c>
      <c r="B729" t="s">
        <v>109</v>
      </c>
      <c r="C729" s="26">
        <f>SUMIFS(INDEX(元データ_加工!$C$2:$P$700,0,MATCH($B729,元データ_加工!$C$1:$P$1,0)),元データ_加工!$A$2:$A$700,$A729,元データ_加工!$B$2:$B$700,C$5)</f>
        <v>64</v>
      </c>
      <c r="D729" s="26">
        <f>SUMIFS(INDEX(元データ_加工!$C$2:$P$700,0,MATCH($B729,元データ_加工!$C$1:$P$1,0)),元データ_加工!$A$2:$A$700,$A729,元データ_加工!$B$2:$B$700,D$5)</f>
        <v>82</v>
      </c>
      <c r="E729" s="26">
        <f>SUMIFS(INDEX(元データ_加工!$C$2:$P$700,0,MATCH($B729,元データ_加工!$C$1:$P$1,0)),元データ_加工!$A$2:$A$700,$A729,元データ_加工!$B$2:$B$700,E$5)</f>
        <v>88</v>
      </c>
      <c r="F729" s="26">
        <f>SUMIFS(INDEX(元データ_加工!$C$2:$P$700,0,MATCH($B729,元データ_加工!$C$1:$P$1,0)),元データ_加工!$A$2:$A$700,$A729,元データ_加工!$B$2:$B$700,F$5)</f>
        <v>103</v>
      </c>
      <c r="G729" s="26">
        <f>SUMIFS(INDEX(元データ_加工!$C$2:$P$700,0,MATCH($B729,元データ_加工!$C$1:$P$1,0)),元データ_加工!$A$2:$A$700,$A729,元データ_加工!$B$2:$B$700,G$5)</f>
        <v>91</v>
      </c>
      <c r="H729" s="26">
        <f>SUMIFS(INDEX(元データ_加工!$C$2:$P$700,0,MATCH($B729,元データ_加工!$C$1:$P$1,0)),元データ_加工!$A$2:$A$700,$A729,元データ_加工!$B$2:$B$700,H$5)</f>
        <v>90</v>
      </c>
      <c r="I729" s="26">
        <f>SUMIFS(INDEX(元データ_加工!$C$2:$P$700,0,MATCH($B729,元データ_加工!$C$1:$P$1,0)),元データ_加工!$A$2:$A$700,$A729,元データ_加工!$B$2:$B$700,I$5)</f>
        <v>84</v>
      </c>
      <c r="J729" s="26">
        <f>SUMIFS(INDEX(元データ_加工!$C$2:$P$700,0,MATCH($B729,元データ_加工!$C$1:$P$1,0)),元データ_加工!$A$2:$A$700,$A729,元データ_加工!$B$2:$B$700,J$5)</f>
        <v>106</v>
      </c>
      <c r="K729" s="26">
        <f>SUMIFS(INDEX(元データ_加工!$C$2:$P$700,0,MATCH($B729,元データ_加工!$C$1:$P$1,0)),元データ_加工!$A$2:$A$700,$A729,元データ_加工!$B$2:$B$700,K$5)</f>
        <v>98</v>
      </c>
      <c r="L729" s="26">
        <f>SUMIFS(INDEX(元データ_加工!$C$2:$P$700,0,MATCH($B729,元データ_加工!$C$1:$P$1,0)),元データ_加工!$A$2:$A$700,$A729,元データ_加工!$B$2:$B$700,L$5)</f>
        <v>76</v>
      </c>
      <c r="M729" s="26">
        <f>SUMIFS(INDEX(元データ_加工!$C$2:$P$700,0,MATCH($B729,元データ_加工!$C$1:$P$1,0)),元データ_加工!$A$2:$A$700,$A729,元データ_加工!$B$2:$B$700,M$5)</f>
        <v>91</v>
      </c>
      <c r="N729" s="26">
        <f>SUMIFS(INDEX(元データ_加工!$C$2:$P$700,0,MATCH($B729,元データ_加工!$C$1:$P$1,0)),元データ_加工!$A$2:$A$700,$A729,元データ_加工!$B$2:$B$700,N$5)</f>
        <v>127</v>
      </c>
      <c r="O729" s="26">
        <f t="shared" si="11"/>
        <v>1100</v>
      </c>
      <c r="P729" s="7">
        <f>IFERROR(O729/SUMIFS(元データ_加工!$C$2:$C$700,元データ_加工!$A$2:$A$700,$A729),"")</f>
        <v>5.2882072977260712E-2</v>
      </c>
    </row>
    <row r="730" spans="1:16" x14ac:dyDescent="0.45">
      <c r="A730" t="s">
        <v>86</v>
      </c>
      <c r="B730" t="s">
        <v>110</v>
      </c>
      <c r="C730" s="26">
        <f>SUMIFS(INDEX(元データ_加工!$C$2:$P$700,0,MATCH($B730,元データ_加工!$C$1:$P$1,0)),元データ_加工!$A$2:$A$700,$A730,元データ_加工!$B$2:$B$700,C$5)</f>
        <v>0</v>
      </c>
      <c r="D730" s="26">
        <f>SUMIFS(INDEX(元データ_加工!$C$2:$P$700,0,MATCH($B730,元データ_加工!$C$1:$P$1,0)),元データ_加工!$A$2:$A$700,$A730,元データ_加工!$B$2:$B$700,D$5)</f>
        <v>0</v>
      </c>
      <c r="E730" s="26">
        <f>SUMIFS(INDEX(元データ_加工!$C$2:$P$700,0,MATCH($B730,元データ_加工!$C$1:$P$1,0)),元データ_加工!$A$2:$A$700,$A730,元データ_加工!$B$2:$B$700,E$5)</f>
        <v>0</v>
      </c>
      <c r="F730" s="26">
        <f>SUMIFS(INDEX(元データ_加工!$C$2:$P$700,0,MATCH($B730,元データ_加工!$C$1:$P$1,0)),元データ_加工!$A$2:$A$700,$A730,元データ_加工!$B$2:$B$700,F$5)</f>
        <v>0</v>
      </c>
      <c r="G730" s="26">
        <f>SUMIFS(INDEX(元データ_加工!$C$2:$P$700,0,MATCH($B730,元データ_加工!$C$1:$P$1,0)),元データ_加工!$A$2:$A$700,$A730,元データ_加工!$B$2:$B$700,G$5)</f>
        <v>0</v>
      </c>
      <c r="H730" s="26">
        <f>SUMIFS(INDEX(元データ_加工!$C$2:$P$700,0,MATCH($B730,元データ_加工!$C$1:$P$1,0)),元データ_加工!$A$2:$A$700,$A730,元データ_加工!$B$2:$B$700,H$5)</f>
        <v>0</v>
      </c>
      <c r="I730" s="26">
        <f>SUMIFS(INDEX(元データ_加工!$C$2:$P$700,0,MATCH($B730,元データ_加工!$C$1:$P$1,0)),元データ_加工!$A$2:$A$700,$A730,元データ_加工!$B$2:$B$700,I$5)</f>
        <v>0</v>
      </c>
      <c r="J730" s="26">
        <f>SUMIFS(INDEX(元データ_加工!$C$2:$P$700,0,MATCH($B730,元データ_加工!$C$1:$P$1,0)),元データ_加工!$A$2:$A$700,$A730,元データ_加工!$B$2:$B$700,J$5)</f>
        <v>0</v>
      </c>
      <c r="K730" s="26">
        <f>SUMIFS(INDEX(元データ_加工!$C$2:$P$700,0,MATCH($B730,元データ_加工!$C$1:$P$1,0)),元データ_加工!$A$2:$A$700,$A730,元データ_加工!$B$2:$B$700,K$5)</f>
        <v>0</v>
      </c>
      <c r="L730" s="26">
        <f>SUMIFS(INDEX(元データ_加工!$C$2:$P$700,0,MATCH($B730,元データ_加工!$C$1:$P$1,0)),元データ_加工!$A$2:$A$700,$A730,元データ_加工!$B$2:$B$700,L$5)</f>
        <v>0</v>
      </c>
      <c r="M730" s="26">
        <f>SUMIFS(INDEX(元データ_加工!$C$2:$P$700,0,MATCH($B730,元データ_加工!$C$1:$P$1,0)),元データ_加工!$A$2:$A$700,$A730,元データ_加工!$B$2:$B$700,M$5)</f>
        <v>0</v>
      </c>
      <c r="N730" s="26">
        <f>SUMIFS(INDEX(元データ_加工!$C$2:$P$700,0,MATCH($B730,元データ_加工!$C$1:$P$1,0)),元データ_加工!$A$2:$A$700,$A730,元データ_加工!$B$2:$B$700,N$5)</f>
        <v>0</v>
      </c>
      <c r="O730" s="26">
        <f t="shared" si="11"/>
        <v>0</v>
      </c>
      <c r="P730" s="7">
        <f>IFERROR(O730/SUMIFS(元データ_加工!$C$2:$C$700,元データ_加工!$A$2:$A$700,$A730),"")</f>
        <v>0</v>
      </c>
    </row>
    <row r="731" spans="1:16" x14ac:dyDescent="0.45">
      <c r="A731" t="s">
        <v>86</v>
      </c>
      <c r="B731" t="s">
        <v>111</v>
      </c>
      <c r="C731" s="26">
        <f>SUMIFS(INDEX(元データ_加工!$C$2:$P$700,0,MATCH($B731,元データ_加工!$C$1:$P$1,0)),元データ_加工!$A$2:$A$700,$A731,元データ_加工!$B$2:$B$700,C$5)</f>
        <v>0</v>
      </c>
      <c r="D731" s="26">
        <f>SUMIFS(INDEX(元データ_加工!$C$2:$P$700,0,MATCH($B731,元データ_加工!$C$1:$P$1,0)),元データ_加工!$A$2:$A$700,$A731,元データ_加工!$B$2:$B$700,D$5)</f>
        <v>0</v>
      </c>
      <c r="E731" s="26">
        <f>SUMIFS(INDEX(元データ_加工!$C$2:$P$700,0,MATCH($B731,元データ_加工!$C$1:$P$1,0)),元データ_加工!$A$2:$A$700,$A731,元データ_加工!$B$2:$B$700,E$5)</f>
        <v>0</v>
      </c>
      <c r="F731" s="26">
        <f>SUMIFS(INDEX(元データ_加工!$C$2:$P$700,0,MATCH($B731,元データ_加工!$C$1:$P$1,0)),元データ_加工!$A$2:$A$700,$A731,元データ_加工!$B$2:$B$700,F$5)</f>
        <v>0</v>
      </c>
      <c r="G731" s="26">
        <f>SUMIFS(INDEX(元データ_加工!$C$2:$P$700,0,MATCH($B731,元データ_加工!$C$1:$P$1,0)),元データ_加工!$A$2:$A$700,$A731,元データ_加工!$B$2:$B$700,G$5)</f>
        <v>0</v>
      </c>
      <c r="H731" s="26">
        <f>SUMIFS(INDEX(元データ_加工!$C$2:$P$700,0,MATCH($B731,元データ_加工!$C$1:$P$1,0)),元データ_加工!$A$2:$A$700,$A731,元データ_加工!$B$2:$B$700,H$5)</f>
        <v>0</v>
      </c>
      <c r="I731" s="26">
        <f>SUMIFS(INDEX(元データ_加工!$C$2:$P$700,0,MATCH($B731,元データ_加工!$C$1:$P$1,0)),元データ_加工!$A$2:$A$700,$A731,元データ_加工!$B$2:$B$700,I$5)</f>
        <v>0</v>
      </c>
      <c r="J731" s="26">
        <f>SUMIFS(INDEX(元データ_加工!$C$2:$P$700,0,MATCH($B731,元データ_加工!$C$1:$P$1,0)),元データ_加工!$A$2:$A$700,$A731,元データ_加工!$B$2:$B$700,J$5)</f>
        <v>0</v>
      </c>
      <c r="K731" s="26">
        <f>SUMIFS(INDEX(元データ_加工!$C$2:$P$700,0,MATCH($B731,元データ_加工!$C$1:$P$1,0)),元データ_加工!$A$2:$A$700,$A731,元データ_加工!$B$2:$B$700,K$5)</f>
        <v>2</v>
      </c>
      <c r="L731" s="26">
        <f>SUMIFS(INDEX(元データ_加工!$C$2:$P$700,0,MATCH($B731,元データ_加工!$C$1:$P$1,0)),元データ_加工!$A$2:$A$700,$A731,元データ_加工!$B$2:$B$700,L$5)</f>
        <v>2</v>
      </c>
      <c r="M731" s="26">
        <f>SUMIFS(INDEX(元データ_加工!$C$2:$P$700,0,MATCH($B731,元データ_加工!$C$1:$P$1,0)),元データ_加工!$A$2:$A$700,$A731,元データ_加工!$B$2:$B$700,M$5)</f>
        <v>1</v>
      </c>
      <c r="N731" s="26">
        <f>SUMIFS(INDEX(元データ_加工!$C$2:$P$700,0,MATCH($B731,元データ_加工!$C$1:$P$1,0)),元データ_加工!$A$2:$A$700,$A731,元データ_加工!$B$2:$B$700,N$5)</f>
        <v>2</v>
      </c>
      <c r="O731" s="26">
        <f t="shared" si="11"/>
        <v>7</v>
      </c>
      <c r="P731" s="7">
        <f>IFERROR(O731/SUMIFS(元データ_加工!$C$2:$C$700,元データ_加工!$A$2:$A$700,$A731),"")</f>
        <v>3.3652228258256815E-4</v>
      </c>
    </row>
    <row r="732" spans="1:16" x14ac:dyDescent="0.45">
      <c r="A732" t="s">
        <v>86</v>
      </c>
      <c r="B732" t="s">
        <v>112</v>
      </c>
      <c r="C732" s="26">
        <f>SUMIFS(INDEX(元データ_加工!$C$2:$P$700,0,MATCH($B732,元データ_加工!$C$1:$P$1,0)),元データ_加工!$A$2:$A$700,$A732,元データ_加工!$B$2:$B$700,C$5)</f>
        <v>0</v>
      </c>
      <c r="D732" s="26">
        <f>SUMIFS(INDEX(元データ_加工!$C$2:$P$700,0,MATCH($B732,元データ_加工!$C$1:$P$1,0)),元データ_加工!$A$2:$A$700,$A732,元データ_加工!$B$2:$B$700,D$5)</f>
        <v>1</v>
      </c>
      <c r="E732" s="26">
        <f>SUMIFS(INDEX(元データ_加工!$C$2:$P$700,0,MATCH($B732,元データ_加工!$C$1:$P$1,0)),元データ_加工!$A$2:$A$700,$A732,元データ_加工!$B$2:$B$700,E$5)</f>
        <v>7</v>
      </c>
      <c r="F732" s="26">
        <f>SUMIFS(INDEX(元データ_加工!$C$2:$P$700,0,MATCH($B732,元データ_加工!$C$1:$P$1,0)),元データ_加工!$A$2:$A$700,$A732,元データ_加工!$B$2:$B$700,F$5)</f>
        <v>2</v>
      </c>
      <c r="G732" s="26">
        <f>SUMIFS(INDEX(元データ_加工!$C$2:$P$700,0,MATCH($B732,元データ_加工!$C$1:$P$1,0)),元データ_加工!$A$2:$A$700,$A732,元データ_加工!$B$2:$B$700,G$5)</f>
        <v>5</v>
      </c>
      <c r="H732" s="26">
        <f>SUMIFS(INDEX(元データ_加工!$C$2:$P$700,0,MATCH($B732,元データ_加工!$C$1:$P$1,0)),元データ_加工!$A$2:$A$700,$A732,元データ_加工!$B$2:$B$700,H$5)</f>
        <v>1</v>
      </c>
      <c r="I732" s="26">
        <f>SUMIFS(INDEX(元データ_加工!$C$2:$P$700,0,MATCH($B732,元データ_加工!$C$1:$P$1,0)),元データ_加工!$A$2:$A$700,$A732,元データ_加工!$B$2:$B$700,I$5)</f>
        <v>6</v>
      </c>
      <c r="J732" s="26">
        <f>SUMIFS(INDEX(元データ_加工!$C$2:$P$700,0,MATCH($B732,元データ_加工!$C$1:$P$1,0)),元データ_加工!$A$2:$A$700,$A732,元データ_加工!$B$2:$B$700,J$5)</f>
        <v>2</v>
      </c>
      <c r="K732" s="26">
        <f>SUMIFS(INDEX(元データ_加工!$C$2:$P$700,0,MATCH($B732,元データ_加工!$C$1:$P$1,0)),元データ_加工!$A$2:$A$700,$A732,元データ_加工!$B$2:$B$700,K$5)</f>
        <v>19</v>
      </c>
      <c r="L732" s="26">
        <f>SUMIFS(INDEX(元データ_加工!$C$2:$P$700,0,MATCH($B732,元データ_加工!$C$1:$P$1,0)),元データ_加工!$A$2:$A$700,$A732,元データ_加工!$B$2:$B$700,L$5)</f>
        <v>2</v>
      </c>
      <c r="M732" s="26">
        <f>SUMIFS(INDEX(元データ_加工!$C$2:$P$700,0,MATCH($B732,元データ_加工!$C$1:$P$1,0)),元データ_加工!$A$2:$A$700,$A732,元データ_加工!$B$2:$B$700,M$5)</f>
        <v>4</v>
      </c>
      <c r="N732" s="26">
        <f>SUMIFS(INDEX(元データ_加工!$C$2:$P$700,0,MATCH($B732,元データ_加工!$C$1:$P$1,0)),元データ_加工!$A$2:$A$700,$A732,元データ_加工!$B$2:$B$700,N$5)</f>
        <v>0</v>
      </c>
      <c r="O732" s="26">
        <f t="shared" si="11"/>
        <v>49</v>
      </c>
      <c r="P732" s="7">
        <f>IFERROR(O732/SUMIFS(元データ_加工!$C$2:$C$700,元データ_加工!$A$2:$A$700,$A732),"")</f>
        <v>2.355655978077977E-3</v>
      </c>
    </row>
    <row r="733" spans="1:16" x14ac:dyDescent="0.45">
      <c r="A733" t="s">
        <v>86</v>
      </c>
      <c r="B733" t="s">
        <v>113</v>
      </c>
      <c r="C733" s="26">
        <f>SUMIFS(INDEX(元データ_加工!$C$2:$P$700,0,MATCH($B733,元データ_加工!$C$1:$P$1,0)),元データ_加工!$A$2:$A$700,$A733,元データ_加工!$B$2:$B$700,C$5)</f>
        <v>3</v>
      </c>
      <c r="D733" s="26">
        <f>SUMIFS(INDEX(元データ_加工!$C$2:$P$700,0,MATCH($B733,元データ_加工!$C$1:$P$1,0)),元データ_加工!$A$2:$A$700,$A733,元データ_加工!$B$2:$B$700,D$5)</f>
        <v>0</v>
      </c>
      <c r="E733" s="26">
        <f>SUMIFS(INDEX(元データ_加工!$C$2:$P$700,0,MATCH($B733,元データ_加工!$C$1:$P$1,0)),元データ_加工!$A$2:$A$700,$A733,元データ_加工!$B$2:$B$700,E$5)</f>
        <v>0</v>
      </c>
      <c r="F733" s="26">
        <f>SUMIFS(INDEX(元データ_加工!$C$2:$P$700,0,MATCH($B733,元データ_加工!$C$1:$P$1,0)),元データ_加工!$A$2:$A$700,$A733,元データ_加工!$B$2:$B$700,F$5)</f>
        <v>2</v>
      </c>
      <c r="G733" s="26">
        <f>SUMIFS(INDEX(元データ_加工!$C$2:$P$700,0,MATCH($B733,元データ_加工!$C$1:$P$1,0)),元データ_加工!$A$2:$A$700,$A733,元データ_加工!$B$2:$B$700,G$5)</f>
        <v>3</v>
      </c>
      <c r="H733" s="26">
        <f>SUMIFS(INDEX(元データ_加工!$C$2:$P$700,0,MATCH($B733,元データ_加工!$C$1:$P$1,0)),元データ_加工!$A$2:$A$700,$A733,元データ_加工!$B$2:$B$700,H$5)</f>
        <v>9</v>
      </c>
      <c r="I733" s="26">
        <f>SUMIFS(INDEX(元データ_加工!$C$2:$P$700,0,MATCH($B733,元データ_加工!$C$1:$P$1,0)),元データ_加工!$A$2:$A$700,$A733,元データ_加工!$B$2:$B$700,I$5)</f>
        <v>5</v>
      </c>
      <c r="J733" s="26">
        <f>SUMIFS(INDEX(元データ_加工!$C$2:$P$700,0,MATCH($B733,元データ_加工!$C$1:$P$1,0)),元データ_加工!$A$2:$A$700,$A733,元データ_加工!$B$2:$B$700,J$5)</f>
        <v>8</v>
      </c>
      <c r="K733" s="26">
        <f>SUMIFS(INDEX(元データ_加工!$C$2:$P$700,0,MATCH($B733,元データ_加工!$C$1:$P$1,0)),元データ_加工!$A$2:$A$700,$A733,元データ_加工!$B$2:$B$700,K$5)</f>
        <v>5</v>
      </c>
      <c r="L733" s="26">
        <f>SUMIFS(INDEX(元データ_加工!$C$2:$P$700,0,MATCH($B733,元データ_加工!$C$1:$P$1,0)),元データ_加工!$A$2:$A$700,$A733,元データ_加工!$B$2:$B$700,L$5)</f>
        <v>5</v>
      </c>
      <c r="M733" s="26">
        <f>SUMIFS(INDEX(元データ_加工!$C$2:$P$700,0,MATCH($B733,元データ_加工!$C$1:$P$1,0)),元データ_加工!$A$2:$A$700,$A733,元データ_加工!$B$2:$B$700,M$5)</f>
        <v>2</v>
      </c>
      <c r="N733" s="26">
        <f>SUMIFS(INDEX(元データ_加工!$C$2:$P$700,0,MATCH($B733,元データ_加工!$C$1:$P$1,0)),元データ_加工!$A$2:$A$700,$A733,元データ_加工!$B$2:$B$700,N$5)</f>
        <v>4</v>
      </c>
      <c r="O733" s="26">
        <f t="shared" si="11"/>
        <v>46</v>
      </c>
      <c r="P733" s="7">
        <f>IFERROR(O733/SUMIFS(元データ_加工!$C$2:$C$700,元データ_加工!$A$2:$A$700,$A733),"")</f>
        <v>2.2114321426854478E-3</v>
      </c>
    </row>
    <row r="734" spans="1:16" x14ac:dyDescent="0.45">
      <c r="A734" t="s">
        <v>87</v>
      </c>
      <c r="B734" t="s">
        <v>100</v>
      </c>
      <c r="C734" s="26">
        <f>SUMIFS(INDEX(元データ_加工!$C$2:$P$700,0,MATCH($B734,元データ_加工!$C$1:$P$1,0)),元データ_加工!$A$2:$A$700,$A734,元データ_加工!$B$2:$B$700,C$5)</f>
        <v>0</v>
      </c>
      <c r="D734" s="26">
        <f>SUMIFS(INDEX(元データ_加工!$C$2:$P$700,0,MATCH($B734,元データ_加工!$C$1:$P$1,0)),元データ_加工!$A$2:$A$700,$A734,元データ_加工!$B$2:$B$700,D$5)</f>
        <v>0</v>
      </c>
      <c r="E734" s="26">
        <f>SUMIFS(INDEX(元データ_加工!$C$2:$P$700,0,MATCH($B734,元データ_加工!$C$1:$P$1,0)),元データ_加工!$A$2:$A$700,$A734,元データ_加工!$B$2:$B$700,E$5)</f>
        <v>0</v>
      </c>
      <c r="F734" s="26">
        <f>SUMIFS(INDEX(元データ_加工!$C$2:$P$700,0,MATCH($B734,元データ_加工!$C$1:$P$1,0)),元データ_加工!$A$2:$A$700,$A734,元データ_加工!$B$2:$B$700,F$5)</f>
        <v>0</v>
      </c>
      <c r="G734" s="26">
        <f>SUMIFS(INDEX(元データ_加工!$C$2:$P$700,0,MATCH($B734,元データ_加工!$C$1:$P$1,0)),元データ_加工!$A$2:$A$700,$A734,元データ_加工!$B$2:$B$700,G$5)</f>
        <v>0</v>
      </c>
      <c r="H734" s="26">
        <f>SUMIFS(INDEX(元データ_加工!$C$2:$P$700,0,MATCH($B734,元データ_加工!$C$1:$P$1,0)),元データ_加工!$A$2:$A$700,$A734,元データ_加工!$B$2:$B$700,H$5)</f>
        <v>0</v>
      </c>
      <c r="I734" s="26">
        <f>SUMIFS(INDEX(元データ_加工!$C$2:$P$700,0,MATCH($B734,元データ_加工!$C$1:$P$1,0)),元データ_加工!$A$2:$A$700,$A734,元データ_加工!$B$2:$B$700,I$5)</f>
        <v>0</v>
      </c>
      <c r="J734" s="26">
        <f>SUMIFS(INDEX(元データ_加工!$C$2:$P$700,0,MATCH($B734,元データ_加工!$C$1:$P$1,0)),元データ_加工!$A$2:$A$700,$A734,元データ_加工!$B$2:$B$700,J$5)</f>
        <v>0</v>
      </c>
      <c r="K734" s="26">
        <f>SUMIFS(INDEX(元データ_加工!$C$2:$P$700,0,MATCH($B734,元データ_加工!$C$1:$P$1,0)),元データ_加工!$A$2:$A$700,$A734,元データ_加工!$B$2:$B$700,K$5)</f>
        <v>0</v>
      </c>
      <c r="L734" s="26">
        <f>SUMIFS(INDEX(元データ_加工!$C$2:$P$700,0,MATCH($B734,元データ_加工!$C$1:$P$1,0)),元データ_加工!$A$2:$A$700,$A734,元データ_加工!$B$2:$B$700,L$5)</f>
        <v>0</v>
      </c>
      <c r="M734" s="26">
        <f>SUMIFS(INDEX(元データ_加工!$C$2:$P$700,0,MATCH($B734,元データ_加工!$C$1:$P$1,0)),元データ_加工!$A$2:$A$700,$A734,元データ_加工!$B$2:$B$700,M$5)</f>
        <v>2435</v>
      </c>
      <c r="N734" s="26">
        <f>SUMIFS(INDEX(元データ_加工!$C$2:$P$700,0,MATCH($B734,元データ_加工!$C$1:$P$1,0)),元データ_加工!$A$2:$A$700,$A734,元データ_加工!$B$2:$B$700,N$5)</f>
        <v>1089</v>
      </c>
      <c r="O734" s="26">
        <f t="shared" si="11"/>
        <v>3524</v>
      </c>
      <c r="P734" s="7">
        <f>IFERROR(O734/SUMIFS(元データ_加工!$C$2:$C$700,元データ_加工!$A$2:$A$700,$A734),"")</f>
        <v>1</v>
      </c>
    </row>
    <row r="735" spans="1:16" x14ac:dyDescent="0.45">
      <c r="A735" t="s">
        <v>87</v>
      </c>
      <c r="B735" t="s">
        <v>101</v>
      </c>
      <c r="C735" s="26">
        <f>SUMIFS(INDEX(元データ_加工!$C$2:$P$700,0,MATCH($B735,元データ_加工!$C$1:$P$1,0)),元データ_加工!$A$2:$A$700,$A735,元データ_加工!$B$2:$B$700,C$5)</f>
        <v>0</v>
      </c>
      <c r="D735" s="26">
        <f>SUMIFS(INDEX(元データ_加工!$C$2:$P$700,0,MATCH($B735,元データ_加工!$C$1:$P$1,0)),元データ_加工!$A$2:$A$700,$A735,元データ_加工!$B$2:$B$700,D$5)</f>
        <v>0</v>
      </c>
      <c r="E735" s="26">
        <f>SUMIFS(INDEX(元データ_加工!$C$2:$P$700,0,MATCH($B735,元データ_加工!$C$1:$P$1,0)),元データ_加工!$A$2:$A$700,$A735,元データ_加工!$B$2:$B$700,E$5)</f>
        <v>0</v>
      </c>
      <c r="F735" s="26">
        <f>SUMIFS(INDEX(元データ_加工!$C$2:$P$700,0,MATCH($B735,元データ_加工!$C$1:$P$1,0)),元データ_加工!$A$2:$A$700,$A735,元データ_加工!$B$2:$B$700,F$5)</f>
        <v>0</v>
      </c>
      <c r="G735" s="26">
        <f>SUMIFS(INDEX(元データ_加工!$C$2:$P$700,0,MATCH($B735,元データ_加工!$C$1:$P$1,0)),元データ_加工!$A$2:$A$700,$A735,元データ_加工!$B$2:$B$700,G$5)</f>
        <v>0</v>
      </c>
      <c r="H735" s="26">
        <f>SUMIFS(INDEX(元データ_加工!$C$2:$P$700,0,MATCH($B735,元データ_加工!$C$1:$P$1,0)),元データ_加工!$A$2:$A$700,$A735,元データ_加工!$B$2:$B$700,H$5)</f>
        <v>0</v>
      </c>
      <c r="I735" s="26">
        <f>SUMIFS(INDEX(元データ_加工!$C$2:$P$700,0,MATCH($B735,元データ_加工!$C$1:$P$1,0)),元データ_加工!$A$2:$A$700,$A735,元データ_加工!$B$2:$B$700,I$5)</f>
        <v>0</v>
      </c>
      <c r="J735" s="26">
        <f>SUMIFS(INDEX(元データ_加工!$C$2:$P$700,0,MATCH($B735,元データ_加工!$C$1:$P$1,0)),元データ_加工!$A$2:$A$700,$A735,元データ_加工!$B$2:$B$700,J$5)</f>
        <v>0</v>
      </c>
      <c r="K735" s="26">
        <f>SUMIFS(INDEX(元データ_加工!$C$2:$P$700,0,MATCH($B735,元データ_加工!$C$1:$P$1,0)),元データ_加工!$A$2:$A$700,$A735,元データ_加工!$B$2:$B$700,K$5)</f>
        <v>0</v>
      </c>
      <c r="L735" s="26">
        <f>SUMIFS(INDEX(元データ_加工!$C$2:$P$700,0,MATCH($B735,元データ_加工!$C$1:$P$1,0)),元データ_加工!$A$2:$A$700,$A735,元データ_加工!$B$2:$B$700,L$5)</f>
        <v>0</v>
      </c>
      <c r="M735" s="26">
        <f>SUMIFS(INDEX(元データ_加工!$C$2:$P$700,0,MATCH($B735,元データ_加工!$C$1:$P$1,0)),元データ_加工!$A$2:$A$700,$A735,元データ_加工!$B$2:$B$700,M$5)</f>
        <v>923</v>
      </c>
      <c r="N735" s="26">
        <f>SUMIFS(INDEX(元データ_加工!$C$2:$P$700,0,MATCH($B735,元データ_加工!$C$1:$P$1,0)),元データ_加工!$A$2:$A$700,$A735,元データ_加工!$B$2:$B$700,N$5)</f>
        <v>773</v>
      </c>
      <c r="O735" s="26">
        <f t="shared" si="11"/>
        <v>1696</v>
      </c>
      <c r="P735" s="7">
        <f>IFERROR(O735/SUMIFS(元データ_加工!$C$2:$C$700,元データ_加工!$A$2:$A$700,$A735),"")</f>
        <v>0.48127128263337116</v>
      </c>
    </row>
    <row r="736" spans="1:16" x14ac:dyDescent="0.45">
      <c r="A736" t="s">
        <v>87</v>
      </c>
      <c r="B736" t="s">
        <v>102</v>
      </c>
      <c r="C736" s="26">
        <f>SUMIFS(INDEX(元データ_加工!$C$2:$P$700,0,MATCH($B736,元データ_加工!$C$1:$P$1,0)),元データ_加工!$A$2:$A$700,$A736,元データ_加工!$B$2:$B$700,C$5)</f>
        <v>0</v>
      </c>
      <c r="D736" s="26">
        <f>SUMIFS(INDEX(元データ_加工!$C$2:$P$700,0,MATCH($B736,元データ_加工!$C$1:$P$1,0)),元データ_加工!$A$2:$A$700,$A736,元データ_加工!$B$2:$B$700,D$5)</f>
        <v>0</v>
      </c>
      <c r="E736" s="26">
        <f>SUMIFS(INDEX(元データ_加工!$C$2:$P$700,0,MATCH($B736,元データ_加工!$C$1:$P$1,0)),元データ_加工!$A$2:$A$700,$A736,元データ_加工!$B$2:$B$700,E$5)</f>
        <v>0</v>
      </c>
      <c r="F736" s="26">
        <f>SUMIFS(INDEX(元データ_加工!$C$2:$P$700,0,MATCH($B736,元データ_加工!$C$1:$P$1,0)),元データ_加工!$A$2:$A$700,$A736,元データ_加工!$B$2:$B$700,F$5)</f>
        <v>0</v>
      </c>
      <c r="G736" s="26">
        <f>SUMIFS(INDEX(元データ_加工!$C$2:$P$700,0,MATCH($B736,元データ_加工!$C$1:$P$1,0)),元データ_加工!$A$2:$A$700,$A736,元データ_加工!$B$2:$B$700,G$5)</f>
        <v>0</v>
      </c>
      <c r="H736" s="26">
        <f>SUMIFS(INDEX(元データ_加工!$C$2:$P$700,0,MATCH($B736,元データ_加工!$C$1:$P$1,0)),元データ_加工!$A$2:$A$700,$A736,元データ_加工!$B$2:$B$700,H$5)</f>
        <v>0</v>
      </c>
      <c r="I736" s="26">
        <f>SUMIFS(INDEX(元データ_加工!$C$2:$P$700,0,MATCH($B736,元データ_加工!$C$1:$P$1,0)),元データ_加工!$A$2:$A$700,$A736,元データ_加工!$B$2:$B$700,I$5)</f>
        <v>0</v>
      </c>
      <c r="J736" s="26">
        <f>SUMIFS(INDEX(元データ_加工!$C$2:$P$700,0,MATCH($B736,元データ_加工!$C$1:$P$1,0)),元データ_加工!$A$2:$A$700,$A736,元データ_加工!$B$2:$B$700,J$5)</f>
        <v>0</v>
      </c>
      <c r="K736" s="26">
        <f>SUMIFS(INDEX(元データ_加工!$C$2:$P$700,0,MATCH($B736,元データ_加工!$C$1:$P$1,0)),元データ_加工!$A$2:$A$700,$A736,元データ_加工!$B$2:$B$700,K$5)</f>
        <v>0</v>
      </c>
      <c r="L736" s="26">
        <f>SUMIFS(INDEX(元データ_加工!$C$2:$P$700,0,MATCH($B736,元データ_加工!$C$1:$P$1,0)),元データ_加工!$A$2:$A$700,$A736,元データ_加工!$B$2:$B$700,L$5)</f>
        <v>0</v>
      </c>
      <c r="M736" s="26">
        <f>SUMIFS(INDEX(元データ_加工!$C$2:$P$700,0,MATCH($B736,元データ_加工!$C$1:$P$1,0)),元データ_加工!$A$2:$A$700,$A736,元データ_加工!$B$2:$B$700,M$5)</f>
        <v>0</v>
      </c>
      <c r="N736" s="26">
        <f>SUMIFS(INDEX(元データ_加工!$C$2:$P$700,0,MATCH($B736,元データ_加工!$C$1:$P$1,0)),元データ_加工!$A$2:$A$700,$A736,元データ_加工!$B$2:$B$700,N$5)</f>
        <v>0</v>
      </c>
      <c r="O736" s="26">
        <f t="shared" si="11"/>
        <v>0</v>
      </c>
      <c r="P736" s="7">
        <f>IFERROR(O736/SUMIFS(元データ_加工!$C$2:$C$700,元データ_加工!$A$2:$A$700,$A736),"")</f>
        <v>0</v>
      </c>
    </row>
    <row r="737" spans="1:16" x14ac:dyDescent="0.45">
      <c r="A737" t="s">
        <v>87</v>
      </c>
      <c r="B737" t="s">
        <v>103</v>
      </c>
      <c r="C737" s="26">
        <f>SUMIFS(INDEX(元データ_加工!$C$2:$P$700,0,MATCH($B737,元データ_加工!$C$1:$P$1,0)),元データ_加工!$A$2:$A$700,$A737,元データ_加工!$B$2:$B$700,C$5)</f>
        <v>0</v>
      </c>
      <c r="D737" s="26">
        <f>SUMIFS(INDEX(元データ_加工!$C$2:$P$700,0,MATCH($B737,元データ_加工!$C$1:$P$1,0)),元データ_加工!$A$2:$A$700,$A737,元データ_加工!$B$2:$B$700,D$5)</f>
        <v>0</v>
      </c>
      <c r="E737" s="26">
        <f>SUMIFS(INDEX(元データ_加工!$C$2:$P$700,0,MATCH($B737,元データ_加工!$C$1:$P$1,0)),元データ_加工!$A$2:$A$700,$A737,元データ_加工!$B$2:$B$700,E$5)</f>
        <v>0</v>
      </c>
      <c r="F737" s="26">
        <f>SUMIFS(INDEX(元データ_加工!$C$2:$P$700,0,MATCH($B737,元データ_加工!$C$1:$P$1,0)),元データ_加工!$A$2:$A$700,$A737,元データ_加工!$B$2:$B$700,F$5)</f>
        <v>0</v>
      </c>
      <c r="G737" s="26">
        <f>SUMIFS(INDEX(元データ_加工!$C$2:$P$700,0,MATCH($B737,元データ_加工!$C$1:$P$1,0)),元データ_加工!$A$2:$A$700,$A737,元データ_加工!$B$2:$B$700,G$5)</f>
        <v>0</v>
      </c>
      <c r="H737" s="26">
        <f>SUMIFS(INDEX(元データ_加工!$C$2:$P$700,0,MATCH($B737,元データ_加工!$C$1:$P$1,0)),元データ_加工!$A$2:$A$700,$A737,元データ_加工!$B$2:$B$700,H$5)</f>
        <v>0</v>
      </c>
      <c r="I737" s="26">
        <f>SUMIFS(INDEX(元データ_加工!$C$2:$P$700,0,MATCH($B737,元データ_加工!$C$1:$P$1,0)),元データ_加工!$A$2:$A$700,$A737,元データ_加工!$B$2:$B$700,I$5)</f>
        <v>0</v>
      </c>
      <c r="J737" s="26">
        <f>SUMIFS(INDEX(元データ_加工!$C$2:$P$700,0,MATCH($B737,元データ_加工!$C$1:$P$1,0)),元データ_加工!$A$2:$A$700,$A737,元データ_加工!$B$2:$B$700,J$5)</f>
        <v>0</v>
      </c>
      <c r="K737" s="26">
        <f>SUMIFS(INDEX(元データ_加工!$C$2:$P$700,0,MATCH($B737,元データ_加工!$C$1:$P$1,0)),元データ_加工!$A$2:$A$700,$A737,元データ_加工!$B$2:$B$700,K$5)</f>
        <v>0</v>
      </c>
      <c r="L737" s="26">
        <f>SUMIFS(INDEX(元データ_加工!$C$2:$P$700,0,MATCH($B737,元データ_加工!$C$1:$P$1,0)),元データ_加工!$A$2:$A$700,$A737,元データ_加工!$B$2:$B$700,L$5)</f>
        <v>0</v>
      </c>
      <c r="M737" s="26">
        <f>SUMIFS(INDEX(元データ_加工!$C$2:$P$700,0,MATCH($B737,元データ_加工!$C$1:$P$1,0)),元データ_加工!$A$2:$A$700,$A737,元データ_加工!$B$2:$B$700,M$5)</f>
        <v>0</v>
      </c>
      <c r="N737" s="26">
        <f>SUMIFS(INDEX(元データ_加工!$C$2:$P$700,0,MATCH($B737,元データ_加工!$C$1:$P$1,0)),元データ_加工!$A$2:$A$700,$A737,元データ_加工!$B$2:$B$700,N$5)</f>
        <v>0</v>
      </c>
      <c r="O737" s="26">
        <f t="shared" si="11"/>
        <v>0</v>
      </c>
      <c r="P737" s="7">
        <f>IFERROR(O737/SUMIFS(元データ_加工!$C$2:$C$700,元データ_加工!$A$2:$A$700,$A737),"")</f>
        <v>0</v>
      </c>
    </row>
    <row r="738" spans="1:16" x14ac:dyDescent="0.45">
      <c r="A738" t="s">
        <v>87</v>
      </c>
      <c r="B738" t="s">
        <v>104</v>
      </c>
      <c r="C738" s="26">
        <f>SUMIFS(INDEX(元データ_加工!$C$2:$P$700,0,MATCH($B738,元データ_加工!$C$1:$P$1,0)),元データ_加工!$A$2:$A$700,$A738,元データ_加工!$B$2:$B$700,C$5)</f>
        <v>0</v>
      </c>
      <c r="D738" s="26">
        <f>SUMIFS(INDEX(元データ_加工!$C$2:$P$700,0,MATCH($B738,元データ_加工!$C$1:$P$1,0)),元データ_加工!$A$2:$A$700,$A738,元データ_加工!$B$2:$B$700,D$5)</f>
        <v>0</v>
      </c>
      <c r="E738" s="26">
        <f>SUMIFS(INDEX(元データ_加工!$C$2:$P$700,0,MATCH($B738,元データ_加工!$C$1:$P$1,0)),元データ_加工!$A$2:$A$700,$A738,元データ_加工!$B$2:$B$700,E$5)</f>
        <v>0</v>
      </c>
      <c r="F738" s="26">
        <f>SUMIFS(INDEX(元データ_加工!$C$2:$P$700,0,MATCH($B738,元データ_加工!$C$1:$P$1,0)),元データ_加工!$A$2:$A$700,$A738,元データ_加工!$B$2:$B$700,F$5)</f>
        <v>0</v>
      </c>
      <c r="G738" s="26">
        <f>SUMIFS(INDEX(元データ_加工!$C$2:$P$700,0,MATCH($B738,元データ_加工!$C$1:$P$1,0)),元データ_加工!$A$2:$A$700,$A738,元データ_加工!$B$2:$B$700,G$5)</f>
        <v>0</v>
      </c>
      <c r="H738" s="26">
        <f>SUMIFS(INDEX(元データ_加工!$C$2:$P$700,0,MATCH($B738,元データ_加工!$C$1:$P$1,0)),元データ_加工!$A$2:$A$700,$A738,元データ_加工!$B$2:$B$700,H$5)</f>
        <v>0</v>
      </c>
      <c r="I738" s="26">
        <f>SUMIFS(INDEX(元データ_加工!$C$2:$P$700,0,MATCH($B738,元データ_加工!$C$1:$P$1,0)),元データ_加工!$A$2:$A$700,$A738,元データ_加工!$B$2:$B$700,I$5)</f>
        <v>0</v>
      </c>
      <c r="J738" s="26">
        <f>SUMIFS(INDEX(元データ_加工!$C$2:$P$700,0,MATCH($B738,元データ_加工!$C$1:$P$1,0)),元データ_加工!$A$2:$A$700,$A738,元データ_加工!$B$2:$B$700,J$5)</f>
        <v>0</v>
      </c>
      <c r="K738" s="26">
        <f>SUMIFS(INDEX(元データ_加工!$C$2:$P$700,0,MATCH($B738,元データ_加工!$C$1:$P$1,0)),元データ_加工!$A$2:$A$700,$A738,元データ_加工!$B$2:$B$700,K$5)</f>
        <v>0</v>
      </c>
      <c r="L738" s="26">
        <f>SUMIFS(INDEX(元データ_加工!$C$2:$P$700,0,MATCH($B738,元データ_加工!$C$1:$P$1,0)),元データ_加工!$A$2:$A$700,$A738,元データ_加工!$B$2:$B$700,L$5)</f>
        <v>0</v>
      </c>
      <c r="M738" s="26">
        <f>SUMIFS(INDEX(元データ_加工!$C$2:$P$700,0,MATCH($B738,元データ_加工!$C$1:$P$1,0)),元データ_加工!$A$2:$A$700,$A738,元データ_加工!$B$2:$B$700,M$5)</f>
        <v>77</v>
      </c>
      <c r="N738" s="26">
        <f>SUMIFS(INDEX(元データ_加工!$C$2:$P$700,0,MATCH($B738,元データ_加工!$C$1:$P$1,0)),元データ_加工!$A$2:$A$700,$A738,元データ_加工!$B$2:$B$700,N$5)</f>
        <v>13</v>
      </c>
      <c r="O738" s="26">
        <f t="shared" si="11"/>
        <v>90</v>
      </c>
      <c r="P738" s="7">
        <f>IFERROR(O738/SUMIFS(元データ_加工!$C$2:$C$700,元データ_加工!$A$2:$A$700,$A738),"")</f>
        <v>2.553916004540295E-2</v>
      </c>
    </row>
    <row r="739" spans="1:16" x14ac:dyDescent="0.45">
      <c r="A739" t="s">
        <v>87</v>
      </c>
      <c r="B739" t="s">
        <v>105</v>
      </c>
      <c r="C739" s="26">
        <f>SUMIFS(INDEX(元データ_加工!$C$2:$P$700,0,MATCH($B739,元データ_加工!$C$1:$P$1,0)),元データ_加工!$A$2:$A$700,$A739,元データ_加工!$B$2:$B$700,C$5)</f>
        <v>0</v>
      </c>
      <c r="D739" s="26">
        <f>SUMIFS(INDEX(元データ_加工!$C$2:$P$700,0,MATCH($B739,元データ_加工!$C$1:$P$1,0)),元データ_加工!$A$2:$A$700,$A739,元データ_加工!$B$2:$B$700,D$5)</f>
        <v>0</v>
      </c>
      <c r="E739" s="26">
        <f>SUMIFS(INDEX(元データ_加工!$C$2:$P$700,0,MATCH($B739,元データ_加工!$C$1:$P$1,0)),元データ_加工!$A$2:$A$700,$A739,元データ_加工!$B$2:$B$700,E$5)</f>
        <v>0</v>
      </c>
      <c r="F739" s="26">
        <f>SUMIFS(INDEX(元データ_加工!$C$2:$P$700,0,MATCH($B739,元データ_加工!$C$1:$P$1,0)),元データ_加工!$A$2:$A$700,$A739,元データ_加工!$B$2:$B$700,F$5)</f>
        <v>0</v>
      </c>
      <c r="G739" s="26">
        <f>SUMIFS(INDEX(元データ_加工!$C$2:$P$700,0,MATCH($B739,元データ_加工!$C$1:$P$1,0)),元データ_加工!$A$2:$A$700,$A739,元データ_加工!$B$2:$B$700,G$5)</f>
        <v>0</v>
      </c>
      <c r="H739" s="26">
        <f>SUMIFS(INDEX(元データ_加工!$C$2:$P$700,0,MATCH($B739,元データ_加工!$C$1:$P$1,0)),元データ_加工!$A$2:$A$700,$A739,元データ_加工!$B$2:$B$700,H$5)</f>
        <v>0</v>
      </c>
      <c r="I739" s="26">
        <f>SUMIFS(INDEX(元データ_加工!$C$2:$P$700,0,MATCH($B739,元データ_加工!$C$1:$P$1,0)),元データ_加工!$A$2:$A$700,$A739,元データ_加工!$B$2:$B$700,I$5)</f>
        <v>0</v>
      </c>
      <c r="J739" s="26">
        <f>SUMIFS(INDEX(元データ_加工!$C$2:$P$700,0,MATCH($B739,元データ_加工!$C$1:$P$1,0)),元データ_加工!$A$2:$A$700,$A739,元データ_加工!$B$2:$B$700,J$5)</f>
        <v>0</v>
      </c>
      <c r="K739" s="26">
        <f>SUMIFS(INDEX(元データ_加工!$C$2:$P$700,0,MATCH($B739,元データ_加工!$C$1:$P$1,0)),元データ_加工!$A$2:$A$700,$A739,元データ_加工!$B$2:$B$700,K$5)</f>
        <v>0</v>
      </c>
      <c r="L739" s="26">
        <f>SUMIFS(INDEX(元データ_加工!$C$2:$P$700,0,MATCH($B739,元データ_加工!$C$1:$P$1,0)),元データ_加工!$A$2:$A$700,$A739,元データ_加工!$B$2:$B$700,L$5)</f>
        <v>0</v>
      </c>
      <c r="M739" s="26">
        <f>SUMIFS(INDEX(元データ_加工!$C$2:$P$700,0,MATCH($B739,元データ_加工!$C$1:$P$1,0)),元データ_加工!$A$2:$A$700,$A739,元データ_加工!$B$2:$B$700,M$5)</f>
        <v>27</v>
      </c>
      <c r="N739" s="26">
        <f>SUMIFS(INDEX(元データ_加工!$C$2:$P$700,0,MATCH($B739,元データ_加工!$C$1:$P$1,0)),元データ_加工!$A$2:$A$700,$A739,元データ_加工!$B$2:$B$700,N$5)</f>
        <v>2</v>
      </c>
      <c r="O739" s="26">
        <f t="shared" si="11"/>
        <v>29</v>
      </c>
      <c r="P739" s="7">
        <f>IFERROR(O739/SUMIFS(元データ_加工!$C$2:$C$700,元データ_加工!$A$2:$A$700,$A739),"")</f>
        <v>8.2292849035187285E-3</v>
      </c>
    </row>
    <row r="740" spans="1:16" x14ac:dyDescent="0.45">
      <c r="A740" t="s">
        <v>87</v>
      </c>
      <c r="B740" t="s">
        <v>106</v>
      </c>
      <c r="C740" s="26">
        <f>SUMIFS(INDEX(元データ_加工!$C$2:$P$700,0,MATCH($B740,元データ_加工!$C$1:$P$1,0)),元データ_加工!$A$2:$A$700,$A740,元データ_加工!$B$2:$B$700,C$5)</f>
        <v>0</v>
      </c>
      <c r="D740" s="26">
        <f>SUMIFS(INDEX(元データ_加工!$C$2:$P$700,0,MATCH($B740,元データ_加工!$C$1:$P$1,0)),元データ_加工!$A$2:$A$700,$A740,元データ_加工!$B$2:$B$700,D$5)</f>
        <v>0</v>
      </c>
      <c r="E740" s="26">
        <f>SUMIFS(INDEX(元データ_加工!$C$2:$P$700,0,MATCH($B740,元データ_加工!$C$1:$P$1,0)),元データ_加工!$A$2:$A$700,$A740,元データ_加工!$B$2:$B$700,E$5)</f>
        <v>0</v>
      </c>
      <c r="F740" s="26">
        <f>SUMIFS(INDEX(元データ_加工!$C$2:$P$700,0,MATCH($B740,元データ_加工!$C$1:$P$1,0)),元データ_加工!$A$2:$A$700,$A740,元データ_加工!$B$2:$B$700,F$5)</f>
        <v>0</v>
      </c>
      <c r="G740" s="26">
        <f>SUMIFS(INDEX(元データ_加工!$C$2:$P$700,0,MATCH($B740,元データ_加工!$C$1:$P$1,0)),元データ_加工!$A$2:$A$700,$A740,元データ_加工!$B$2:$B$700,G$5)</f>
        <v>0</v>
      </c>
      <c r="H740" s="26">
        <f>SUMIFS(INDEX(元データ_加工!$C$2:$P$700,0,MATCH($B740,元データ_加工!$C$1:$P$1,0)),元データ_加工!$A$2:$A$700,$A740,元データ_加工!$B$2:$B$700,H$5)</f>
        <v>0</v>
      </c>
      <c r="I740" s="26">
        <f>SUMIFS(INDEX(元データ_加工!$C$2:$P$700,0,MATCH($B740,元データ_加工!$C$1:$P$1,0)),元データ_加工!$A$2:$A$700,$A740,元データ_加工!$B$2:$B$700,I$5)</f>
        <v>0</v>
      </c>
      <c r="J740" s="26">
        <f>SUMIFS(INDEX(元データ_加工!$C$2:$P$700,0,MATCH($B740,元データ_加工!$C$1:$P$1,0)),元データ_加工!$A$2:$A$700,$A740,元データ_加工!$B$2:$B$700,J$5)</f>
        <v>0</v>
      </c>
      <c r="K740" s="26">
        <f>SUMIFS(INDEX(元データ_加工!$C$2:$P$700,0,MATCH($B740,元データ_加工!$C$1:$P$1,0)),元データ_加工!$A$2:$A$700,$A740,元データ_加工!$B$2:$B$700,K$5)</f>
        <v>0</v>
      </c>
      <c r="L740" s="26">
        <f>SUMIFS(INDEX(元データ_加工!$C$2:$P$700,0,MATCH($B740,元データ_加工!$C$1:$P$1,0)),元データ_加工!$A$2:$A$700,$A740,元データ_加工!$B$2:$B$700,L$5)</f>
        <v>0</v>
      </c>
      <c r="M740" s="26">
        <f>SUMIFS(INDEX(元データ_加工!$C$2:$P$700,0,MATCH($B740,元データ_加工!$C$1:$P$1,0)),元データ_加工!$A$2:$A$700,$A740,元データ_加工!$B$2:$B$700,M$5)</f>
        <v>317</v>
      </c>
      <c r="N740" s="26">
        <f>SUMIFS(INDEX(元データ_加工!$C$2:$P$700,0,MATCH($B740,元データ_加工!$C$1:$P$1,0)),元データ_加工!$A$2:$A$700,$A740,元データ_加工!$B$2:$B$700,N$5)</f>
        <v>209</v>
      </c>
      <c r="O740" s="26">
        <f t="shared" si="11"/>
        <v>526</v>
      </c>
      <c r="P740" s="7">
        <f>IFERROR(O740/SUMIFS(元データ_加工!$C$2:$C$700,元データ_加工!$A$2:$A$700,$A740),"")</f>
        <v>0.14926220204313281</v>
      </c>
    </row>
    <row r="741" spans="1:16" x14ac:dyDescent="0.45">
      <c r="A741" t="s">
        <v>87</v>
      </c>
      <c r="B741" t="s">
        <v>107</v>
      </c>
      <c r="C741" s="26">
        <f>SUMIFS(INDEX(元データ_加工!$C$2:$P$700,0,MATCH($B741,元データ_加工!$C$1:$P$1,0)),元データ_加工!$A$2:$A$700,$A741,元データ_加工!$B$2:$B$700,C$5)</f>
        <v>0</v>
      </c>
      <c r="D741" s="26">
        <f>SUMIFS(INDEX(元データ_加工!$C$2:$P$700,0,MATCH($B741,元データ_加工!$C$1:$P$1,0)),元データ_加工!$A$2:$A$700,$A741,元データ_加工!$B$2:$B$700,D$5)</f>
        <v>0</v>
      </c>
      <c r="E741" s="26">
        <f>SUMIFS(INDEX(元データ_加工!$C$2:$P$700,0,MATCH($B741,元データ_加工!$C$1:$P$1,0)),元データ_加工!$A$2:$A$700,$A741,元データ_加工!$B$2:$B$700,E$5)</f>
        <v>0</v>
      </c>
      <c r="F741" s="26">
        <f>SUMIFS(INDEX(元データ_加工!$C$2:$P$700,0,MATCH($B741,元データ_加工!$C$1:$P$1,0)),元データ_加工!$A$2:$A$700,$A741,元データ_加工!$B$2:$B$700,F$5)</f>
        <v>0</v>
      </c>
      <c r="G741" s="26">
        <f>SUMIFS(INDEX(元データ_加工!$C$2:$P$700,0,MATCH($B741,元データ_加工!$C$1:$P$1,0)),元データ_加工!$A$2:$A$700,$A741,元データ_加工!$B$2:$B$700,G$5)</f>
        <v>0</v>
      </c>
      <c r="H741" s="26">
        <f>SUMIFS(INDEX(元データ_加工!$C$2:$P$700,0,MATCH($B741,元データ_加工!$C$1:$P$1,0)),元データ_加工!$A$2:$A$700,$A741,元データ_加工!$B$2:$B$700,H$5)</f>
        <v>0</v>
      </c>
      <c r="I741" s="26">
        <f>SUMIFS(INDEX(元データ_加工!$C$2:$P$700,0,MATCH($B741,元データ_加工!$C$1:$P$1,0)),元データ_加工!$A$2:$A$700,$A741,元データ_加工!$B$2:$B$700,I$5)</f>
        <v>0</v>
      </c>
      <c r="J741" s="26">
        <f>SUMIFS(INDEX(元データ_加工!$C$2:$P$700,0,MATCH($B741,元データ_加工!$C$1:$P$1,0)),元データ_加工!$A$2:$A$700,$A741,元データ_加工!$B$2:$B$700,J$5)</f>
        <v>0</v>
      </c>
      <c r="K741" s="26">
        <f>SUMIFS(INDEX(元データ_加工!$C$2:$P$700,0,MATCH($B741,元データ_加工!$C$1:$P$1,0)),元データ_加工!$A$2:$A$700,$A741,元データ_加工!$B$2:$B$700,K$5)</f>
        <v>0</v>
      </c>
      <c r="L741" s="26">
        <f>SUMIFS(INDEX(元データ_加工!$C$2:$P$700,0,MATCH($B741,元データ_加工!$C$1:$P$1,0)),元データ_加工!$A$2:$A$700,$A741,元データ_加工!$B$2:$B$700,L$5)</f>
        <v>0</v>
      </c>
      <c r="M741" s="26">
        <f>SUMIFS(INDEX(元データ_加工!$C$2:$P$700,0,MATCH($B741,元データ_加工!$C$1:$P$1,0)),元データ_加工!$A$2:$A$700,$A741,元データ_加工!$B$2:$B$700,M$5)</f>
        <v>68</v>
      </c>
      <c r="N741" s="26">
        <f>SUMIFS(INDEX(元データ_加工!$C$2:$P$700,0,MATCH($B741,元データ_加工!$C$1:$P$1,0)),元データ_加工!$A$2:$A$700,$A741,元データ_加工!$B$2:$B$700,N$5)</f>
        <v>34</v>
      </c>
      <c r="O741" s="26">
        <f t="shared" si="11"/>
        <v>102</v>
      </c>
      <c r="P741" s="7">
        <f>IFERROR(O741/SUMIFS(元データ_加工!$C$2:$C$700,元データ_加工!$A$2:$A$700,$A741),"")</f>
        <v>2.8944381384790011E-2</v>
      </c>
    </row>
    <row r="742" spans="1:16" x14ac:dyDescent="0.45">
      <c r="A742" t="s">
        <v>87</v>
      </c>
      <c r="B742" t="s">
        <v>108</v>
      </c>
      <c r="C742" s="26">
        <f>SUMIFS(INDEX(元データ_加工!$C$2:$P$700,0,MATCH($B742,元データ_加工!$C$1:$P$1,0)),元データ_加工!$A$2:$A$700,$A742,元データ_加工!$B$2:$B$700,C$5)</f>
        <v>0</v>
      </c>
      <c r="D742" s="26">
        <f>SUMIFS(INDEX(元データ_加工!$C$2:$P$700,0,MATCH($B742,元データ_加工!$C$1:$P$1,0)),元データ_加工!$A$2:$A$700,$A742,元データ_加工!$B$2:$B$700,D$5)</f>
        <v>0</v>
      </c>
      <c r="E742" s="26">
        <f>SUMIFS(INDEX(元データ_加工!$C$2:$P$700,0,MATCH($B742,元データ_加工!$C$1:$P$1,0)),元データ_加工!$A$2:$A$700,$A742,元データ_加工!$B$2:$B$700,E$5)</f>
        <v>0</v>
      </c>
      <c r="F742" s="26">
        <f>SUMIFS(INDEX(元データ_加工!$C$2:$P$700,0,MATCH($B742,元データ_加工!$C$1:$P$1,0)),元データ_加工!$A$2:$A$700,$A742,元データ_加工!$B$2:$B$700,F$5)</f>
        <v>0</v>
      </c>
      <c r="G742" s="26">
        <f>SUMIFS(INDEX(元データ_加工!$C$2:$P$700,0,MATCH($B742,元データ_加工!$C$1:$P$1,0)),元データ_加工!$A$2:$A$700,$A742,元データ_加工!$B$2:$B$700,G$5)</f>
        <v>0</v>
      </c>
      <c r="H742" s="26">
        <f>SUMIFS(INDEX(元データ_加工!$C$2:$P$700,0,MATCH($B742,元データ_加工!$C$1:$P$1,0)),元データ_加工!$A$2:$A$700,$A742,元データ_加工!$B$2:$B$700,H$5)</f>
        <v>0</v>
      </c>
      <c r="I742" s="26">
        <f>SUMIFS(INDEX(元データ_加工!$C$2:$P$700,0,MATCH($B742,元データ_加工!$C$1:$P$1,0)),元データ_加工!$A$2:$A$700,$A742,元データ_加工!$B$2:$B$700,I$5)</f>
        <v>0</v>
      </c>
      <c r="J742" s="26">
        <f>SUMIFS(INDEX(元データ_加工!$C$2:$P$700,0,MATCH($B742,元データ_加工!$C$1:$P$1,0)),元データ_加工!$A$2:$A$700,$A742,元データ_加工!$B$2:$B$700,J$5)</f>
        <v>0</v>
      </c>
      <c r="K742" s="26">
        <f>SUMIFS(INDEX(元データ_加工!$C$2:$P$700,0,MATCH($B742,元データ_加工!$C$1:$P$1,0)),元データ_加工!$A$2:$A$700,$A742,元データ_加工!$B$2:$B$700,K$5)</f>
        <v>0</v>
      </c>
      <c r="L742" s="26">
        <f>SUMIFS(INDEX(元データ_加工!$C$2:$P$700,0,MATCH($B742,元データ_加工!$C$1:$P$1,0)),元データ_加工!$A$2:$A$700,$A742,元データ_加工!$B$2:$B$700,L$5)</f>
        <v>0</v>
      </c>
      <c r="M742" s="26">
        <f>SUMIFS(INDEX(元データ_加工!$C$2:$P$700,0,MATCH($B742,元データ_加工!$C$1:$P$1,0)),元データ_加工!$A$2:$A$700,$A742,元データ_加工!$B$2:$B$700,M$5)</f>
        <v>0</v>
      </c>
      <c r="N742" s="26">
        <f>SUMIFS(INDEX(元データ_加工!$C$2:$P$700,0,MATCH($B742,元データ_加工!$C$1:$P$1,0)),元データ_加工!$A$2:$A$700,$A742,元データ_加工!$B$2:$B$700,N$5)</f>
        <v>8</v>
      </c>
      <c r="O742" s="26">
        <f t="shared" si="11"/>
        <v>8</v>
      </c>
      <c r="P742" s="7">
        <f>IFERROR(O742/SUMIFS(元データ_加工!$C$2:$C$700,元データ_加工!$A$2:$A$700,$A742),"")</f>
        <v>2.2701475595913734E-3</v>
      </c>
    </row>
    <row r="743" spans="1:16" x14ac:dyDescent="0.45">
      <c r="A743" t="s">
        <v>87</v>
      </c>
      <c r="B743" t="s">
        <v>109</v>
      </c>
      <c r="C743" s="26">
        <f>SUMIFS(INDEX(元データ_加工!$C$2:$P$700,0,MATCH($B743,元データ_加工!$C$1:$P$1,0)),元データ_加工!$A$2:$A$700,$A743,元データ_加工!$B$2:$B$700,C$5)</f>
        <v>0</v>
      </c>
      <c r="D743" s="26">
        <f>SUMIFS(INDEX(元データ_加工!$C$2:$P$700,0,MATCH($B743,元データ_加工!$C$1:$P$1,0)),元データ_加工!$A$2:$A$700,$A743,元データ_加工!$B$2:$B$700,D$5)</f>
        <v>0</v>
      </c>
      <c r="E743" s="26">
        <f>SUMIFS(INDEX(元データ_加工!$C$2:$P$700,0,MATCH($B743,元データ_加工!$C$1:$P$1,0)),元データ_加工!$A$2:$A$700,$A743,元データ_加工!$B$2:$B$700,E$5)</f>
        <v>0</v>
      </c>
      <c r="F743" s="26">
        <f>SUMIFS(INDEX(元データ_加工!$C$2:$P$700,0,MATCH($B743,元データ_加工!$C$1:$P$1,0)),元データ_加工!$A$2:$A$700,$A743,元データ_加工!$B$2:$B$700,F$5)</f>
        <v>0</v>
      </c>
      <c r="G743" s="26">
        <f>SUMIFS(INDEX(元データ_加工!$C$2:$P$700,0,MATCH($B743,元データ_加工!$C$1:$P$1,0)),元データ_加工!$A$2:$A$700,$A743,元データ_加工!$B$2:$B$700,G$5)</f>
        <v>0</v>
      </c>
      <c r="H743" s="26">
        <f>SUMIFS(INDEX(元データ_加工!$C$2:$P$700,0,MATCH($B743,元データ_加工!$C$1:$P$1,0)),元データ_加工!$A$2:$A$700,$A743,元データ_加工!$B$2:$B$700,H$5)</f>
        <v>0</v>
      </c>
      <c r="I743" s="26">
        <f>SUMIFS(INDEX(元データ_加工!$C$2:$P$700,0,MATCH($B743,元データ_加工!$C$1:$P$1,0)),元データ_加工!$A$2:$A$700,$A743,元データ_加工!$B$2:$B$700,I$5)</f>
        <v>0</v>
      </c>
      <c r="J743" s="26">
        <f>SUMIFS(INDEX(元データ_加工!$C$2:$P$700,0,MATCH($B743,元データ_加工!$C$1:$P$1,0)),元データ_加工!$A$2:$A$700,$A743,元データ_加工!$B$2:$B$700,J$5)</f>
        <v>0</v>
      </c>
      <c r="K743" s="26">
        <f>SUMIFS(INDEX(元データ_加工!$C$2:$P$700,0,MATCH($B743,元データ_加工!$C$1:$P$1,0)),元データ_加工!$A$2:$A$700,$A743,元データ_加工!$B$2:$B$700,K$5)</f>
        <v>0</v>
      </c>
      <c r="L743" s="26">
        <f>SUMIFS(INDEX(元データ_加工!$C$2:$P$700,0,MATCH($B743,元データ_加工!$C$1:$P$1,0)),元データ_加工!$A$2:$A$700,$A743,元データ_加工!$B$2:$B$700,L$5)</f>
        <v>0</v>
      </c>
      <c r="M743" s="26">
        <f>SUMIFS(INDEX(元データ_加工!$C$2:$P$700,0,MATCH($B743,元データ_加工!$C$1:$P$1,0)),元データ_加工!$A$2:$A$700,$A743,元データ_加工!$B$2:$B$700,M$5)</f>
        <v>93</v>
      </c>
      <c r="N743" s="26">
        <f>SUMIFS(INDEX(元データ_加工!$C$2:$P$700,0,MATCH($B743,元データ_加工!$C$1:$P$1,0)),元データ_加工!$A$2:$A$700,$A743,元データ_加工!$B$2:$B$700,N$5)</f>
        <v>68</v>
      </c>
      <c r="O743" s="26">
        <f t="shared" si="11"/>
        <v>161</v>
      </c>
      <c r="P743" s="7">
        <f>IFERROR(O743/SUMIFS(元データ_加工!$C$2:$C$700,元データ_加工!$A$2:$A$700,$A743),"")</f>
        <v>4.5686719636776389E-2</v>
      </c>
    </row>
    <row r="744" spans="1:16" x14ac:dyDescent="0.45">
      <c r="A744" t="s">
        <v>87</v>
      </c>
      <c r="B744" t="s">
        <v>110</v>
      </c>
      <c r="C744" s="26">
        <f>SUMIFS(INDEX(元データ_加工!$C$2:$P$700,0,MATCH($B744,元データ_加工!$C$1:$P$1,0)),元データ_加工!$A$2:$A$700,$A744,元データ_加工!$B$2:$B$700,C$5)</f>
        <v>0</v>
      </c>
      <c r="D744" s="26">
        <f>SUMIFS(INDEX(元データ_加工!$C$2:$P$700,0,MATCH($B744,元データ_加工!$C$1:$P$1,0)),元データ_加工!$A$2:$A$700,$A744,元データ_加工!$B$2:$B$700,D$5)</f>
        <v>0</v>
      </c>
      <c r="E744" s="26">
        <f>SUMIFS(INDEX(元データ_加工!$C$2:$P$700,0,MATCH($B744,元データ_加工!$C$1:$P$1,0)),元データ_加工!$A$2:$A$700,$A744,元データ_加工!$B$2:$B$700,E$5)</f>
        <v>0</v>
      </c>
      <c r="F744" s="26">
        <f>SUMIFS(INDEX(元データ_加工!$C$2:$P$700,0,MATCH($B744,元データ_加工!$C$1:$P$1,0)),元データ_加工!$A$2:$A$700,$A744,元データ_加工!$B$2:$B$700,F$5)</f>
        <v>0</v>
      </c>
      <c r="G744" s="26">
        <f>SUMIFS(INDEX(元データ_加工!$C$2:$P$700,0,MATCH($B744,元データ_加工!$C$1:$P$1,0)),元データ_加工!$A$2:$A$700,$A744,元データ_加工!$B$2:$B$700,G$5)</f>
        <v>0</v>
      </c>
      <c r="H744" s="26">
        <f>SUMIFS(INDEX(元データ_加工!$C$2:$P$700,0,MATCH($B744,元データ_加工!$C$1:$P$1,0)),元データ_加工!$A$2:$A$700,$A744,元データ_加工!$B$2:$B$700,H$5)</f>
        <v>0</v>
      </c>
      <c r="I744" s="26">
        <f>SUMIFS(INDEX(元データ_加工!$C$2:$P$700,0,MATCH($B744,元データ_加工!$C$1:$P$1,0)),元データ_加工!$A$2:$A$700,$A744,元データ_加工!$B$2:$B$700,I$5)</f>
        <v>0</v>
      </c>
      <c r="J744" s="26">
        <f>SUMIFS(INDEX(元データ_加工!$C$2:$P$700,0,MATCH($B744,元データ_加工!$C$1:$P$1,0)),元データ_加工!$A$2:$A$700,$A744,元データ_加工!$B$2:$B$700,J$5)</f>
        <v>0</v>
      </c>
      <c r="K744" s="26">
        <f>SUMIFS(INDEX(元データ_加工!$C$2:$P$700,0,MATCH($B744,元データ_加工!$C$1:$P$1,0)),元データ_加工!$A$2:$A$700,$A744,元データ_加工!$B$2:$B$700,K$5)</f>
        <v>0</v>
      </c>
      <c r="L744" s="26">
        <f>SUMIFS(INDEX(元データ_加工!$C$2:$P$700,0,MATCH($B744,元データ_加工!$C$1:$P$1,0)),元データ_加工!$A$2:$A$700,$A744,元データ_加工!$B$2:$B$700,L$5)</f>
        <v>0</v>
      </c>
      <c r="M744" s="26">
        <f>SUMIFS(INDEX(元データ_加工!$C$2:$P$700,0,MATCH($B744,元データ_加工!$C$1:$P$1,0)),元データ_加工!$A$2:$A$700,$A744,元データ_加工!$B$2:$B$700,M$5)</f>
        <v>0</v>
      </c>
      <c r="N744" s="26">
        <f>SUMIFS(INDEX(元データ_加工!$C$2:$P$700,0,MATCH($B744,元データ_加工!$C$1:$P$1,0)),元データ_加工!$A$2:$A$700,$A744,元データ_加工!$B$2:$B$700,N$5)</f>
        <v>0</v>
      </c>
      <c r="O744" s="26">
        <f t="shared" si="11"/>
        <v>0</v>
      </c>
      <c r="P744" s="7">
        <f>IFERROR(O744/SUMIFS(元データ_加工!$C$2:$C$700,元データ_加工!$A$2:$A$700,$A744),"")</f>
        <v>0</v>
      </c>
    </row>
    <row r="745" spans="1:16" x14ac:dyDescent="0.45">
      <c r="A745" t="s">
        <v>87</v>
      </c>
      <c r="B745" t="s">
        <v>111</v>
      </c>
      <c r="C745" s="26">
        <f>SUMIFS(INDEX(元データ_加工!$C$2:$P$700,0,MATCH($B745,元データ_加工!$C$1:$P$1,0)),元データ_加工!$A$2:$A$700,$A745,元データ_加工!$B$2:$B$700,C$5)</f>
        <v>0</v>
      </c>
      <c r="D745" s="26">
        <f>SUMIFS(INDEX(元データ_加工!$C$2:$P$700,0,MATCH($B745,元データ_加工!$C$1:$P$1,0)),元データ_加工!$A$2:$A$700,$A745,元データ_加工!$B$2:$B$700,D$5)</f>
        <v>0</v>
      </c>
      <c r="E745" s="26">
        <f>SUMIFS(INDEX(元データ_加工!$C$2:$P$700,0,MATCH($B745,元データ_加工!$C$1:$P$1,0)),元データ_加工!$A$2:$A$700,$A745,元データ_加工!$B$2:$B$700,E$5)</f>
        <v>0</v>
      </c>
      <c r="F745" s="26">
        <f>SUMIFS(INDEX(元データ_加工!$C$2:$P$700,0,MATCH($B745,元データ_加工!$C$1:$P$1,0)),元データ_加工!$A$2:$A$700,$A745,元データ_加工!$B$2:$B$700,F$5)</f>
        <v>0</v>
      </c>
      <c r="G745" s="26">
        <f>SUMIFS(INDEX(元データ_加工!$C$2:$P$700,0,MATCH($B745,元データ_加工!$C$1:$P$1,0)),元データ_加工!$A$2:$A$700,$A745,元データ_加工!$B$2:$B$700,G$5)</f>
        <v>0</v>
      </c>
      <c r="H745" s="26">
        <f>SUMIFS(INDEX(元データ_加工!$C$2:$P$700,0,MATCH($B745,元データ_加工!$C$1:$P$1,0)),元データ_加工!$A$2:$A$700,$A745,元データ_加工!$B$2:$B$700,H$5)</f>
        <v>0</v>
      </c>
      <c r="I745" s="26">
        <f>SUMIFS(INDEX(元データ_加工!$C$2:$P$700,0,MATCH($B745,元データ_加工!$C$1:$P$1,0)),元データ_加工!$A$2:$A$700,$A745,元データ_加工!$B$2:$B$700,I$5)</f>
        <v>0</v>
      </c>
      <c r="J745" s="26">
        <f>SUMIFS(INDEX(元データ_加工!$C$2:$P$700,0,MATCH($B745,元データ_加工!$C$1:$P$1,0)),元データ_加工!$A$2:$A$700,$A745,元データ_加工!$B$2:$B$700,J$5)</f>
        <v>0</v>
      </c>
      <c r="K745" s="26">
        <f>SUMIFS(INDEX(元データ_加工!$C$2:$P$700,0,MATCH($B745,元データ_加工!$C$1:$P$1,0)),元データ_加工!$A$2:$A$700,$A745,元データ_加工!$B$2:$B$700,K$5)</f>
        <v>0</v>
      </c>
      <c r="L745" s="26">
        <f>SUMIFS(INDEX(元データ_加工!$C$2:$P$700,0,MATCH($B745,元データ_加工!$C$1:$P$1,0)),元データ_加工!$A$2:$A$700,$A745,元データ_加工!$B$2:$B$700,L$5)</f>
        <v>0</v>
      </c>
      <c r="M745" s="26">
        <f>SUMIFS(INDEX(元データ_加工!$C$2:$P$700,0,MATCH($B745,元データ_加工!$C$1:$P$1,0)),元データ_加工!$A$2:$A$700,$A745,元データ_加工!$B$2:$B$700,M$5)</f>
        <v>0</v>
      </c>
      <c r="N745" s="26">
        <f>SUMIFS(INDEX(元データ_加工!$C$2:$P$700,0,MATCH($B745,元データ_加工!$C$1:$P$1,0)),元データ_加工!$A$2:$A$700,$A745,元データ_加工!$B$2:$B$700,N$5)</f>
        <v>0</v>
      </c>
      <c r="O745" s="26">
        <f t="shared" si="11"/>
        <v>0</v>
      </c>
      <c r="P745" s="7">
        <f>IFERROR(O745/SUMIFS(元データ_加工!$C$2:$C$700,元データ_加工!$A$2:$A$700,$A745),"")</f>
        <v>0</v>
      </c>
    </row>
    <row r="746" spans="1:16" x14ac:dyDescent="0.45">
      <c r="A746" t="s">
        <v>87</v>
      </c>
      <c r="B746" t="s">
        <v>112</v>
      </c>
      <c r="C746" s="26">
        <f>SUMIFS(INDEX(元データ_加工!$C$2:$P$700,0,MATCH($B746,元データ_加工!$C$1:$P$1,0)),元データ_加工!$A$2:$A$700,$A746,元データ_加工!$B$2:$B$700,C$5)</f>
        <v>0</v>
      </c>
      <c r="D746" s="26">
        <f>SUMIFS(INDEX(元データ_加工!$C$2:$P$700,0,MATCH($B746,元データ_加工!$C$1:$P$1,0)),元データ_加工!$A$2:$A$700,$A746,元データ_加工!$B$2:$B$700,D$5)</f>
        <v>0</v>
      </c>
      <c r="E746" s="26">
        <f>SUMIFS(INDEX(元データ_加工!$C$2:$P$700,0,MATCH($B746,元データ_加工!$C$1:$P$1,0)),元データ_加工!$A$2:$A$700,$A746,元データ_加工!$B$2:$B$700,E$5)</f>
        <v>0</v>
      </c>
      <c r="F746" s="26">
        <f>SUMIFS(INDEX(元データ_加工!$C$2:$P$700,0,MATCH($B746,元データ_加工!$C$1:$P$1,0)),元データ_加工!$A$2:$A$700,$A746,元データ_加工!$B$2:$B$700,F$5)</f>
        <v>0</v>
      </c>
      <c r="G746" s="26">
        <f>SUMIFS(INDEX(元データ_加工!$C$2:$P$700,0,MATCH($B746,元データ_加工!$C$1:$P$1,0)),元データ_加工!$A$2:$A$700,$A746,元データ_加工!$B$2:$B$700,G$5)</f>
        <v>0</v>
      </c>
      <c r="H746" s="26">
        <f>SUMIFS(INDEX(元データ_加工!$C$2:$P$700,0,MATCH($B746,元データ_加工!$C$1:$P$1,0)),元データ_加工!$A$2:$A$700,$A746,元データ_加工!$B$2:$B$700,H$5)</f>
        <v>0</v>
      </c>
      <c r="I746" s="26">
        <f>SUMIFS(INDEX(元データ_加工!$C$2:$P$700,0,MATCH($B746,元データ_加工!$C$1:$P$1,0)),元データ_加工!$A$2:$A$700,$A746,元データ_加工!$B$2:$B$700,I$5)</f>
        <v>0</v>
      </c>
      <c r="J746" s="26">
        <f>SUMIFS(INDEX(元データ_加工!$C$2:$P$700,0,MATCH($B746,元データ_加工!$C$1:$P$1,0)),元データ_加工!$A$2:$A$700,$A746,元データ_加工!$B$2:$B$700,J$5)</f>
        <v>0</v>
      </c>
      <c r="K746" s="26">
        <f>SUMIFS(INDEX(元データ_加工!$C$2:$P$700,0,MATCH($B746,元データ_加工!$C$1:$P$1,0)),元データ_加工!$A$2:$A$700,$A746,元データ_加工!$B$2:$B$700,K$5)</f>
        <v>0</v>
      </c>
      <c r="L746" s="26">
        <f>SUMIFS(INDEX(元データ_加工!$C$2:$P$700,0,MATCH($B746,元データ_加工!$C$1:$P$1,0)),元データ_加工!$A$2:$A$700,$A746,元データ_加工!$B$2:$B$700,L$5)</f>
        <v>0</v>
      </c>
      <c r="M746" s="26">
        <f>SUMIFS(INDEX(元データ_加工!$C$2:$P$700,0,MATCH($B746,元データ_加工!$C$1:$P$1,0)),元データ_加工!$A$2:$A$700,$A746,元データ_加工!$B$2:$B$700,M$5)</f>
        <v>1</v>
      </c>
      <c r="N746" s="26">
        <f>SUMIFS(INDEX(元データ_加工!$C$2:$P$700,0,MATCH($B746,元データ_加工!$C$1:$P$1,0)),元データ_加工!$A$2:$A$700,$A746,元データ_加工!$B$2:$B$700,N$5)</f>
        <v>0</v>
      </c>
      <c r="O746" s="26">
        <f t="shared" si="11"/>
        <v>1</v>
      </c>
      <c r="P746" s="7">
        <f>IFERROR(O746/SUMIFS(元データ_加工!$C$2:$C$700,元データ_加工!$A$2:$A$700,$A746),"")</f>
        <v>2.8376844494892167E-4</v>
      </c>
    </row>
    <row r="747" spans="1:16" x14ac:dyDescent="0.45">
      <c r="A747" t="s">
        <v>87</v>
      </c>
      <c r="B747" t="s">
        <v>113</v>
      </c>
      <c r="C747" s="26">
        <f>SUMIFS(INDEX(元データ_加工!$C$2:$P$700,0,MATCH($B747,元データ_加工!$C$1:$P$1,0)),元データ_加工!$A$2:$A$700,$A747,元データ_加工!$B$2:$B$700,C$5)</f>
        <v>0</v>
      </c>
      <c r="D747" s="26">
        <f>SUMIFS(INDEX(元データ_加工!$C$2:$P$700,0,MATCH($B747,元データ_加工!$C$1:$P$1,0)),元データ_加工!$A$2:$A$700,$A747,元データ_加工!$B$2:$B$700,D$5)</f>
        <v>0</v>
      </c>
      <c r="E747" s="26">
        <f>SUMIFS(INDEX(元データ_加工!$C$2:$P$700,0,MATCH($B747,元データ_加工!$C$1:$P$1,0)),元データ_加工!$A$2:$A$700,$A747,元データ_加工!$B$2:$B$700,E$5)</f>
        <v>0</v>
      </c>
      <c r="F747" s="26">
        <f>SUMIFS(INDEX(元データ_加工!$C$2:$P$700,0,MATCH($B747,元データ_加工!$C$1:$P$1,0)),元データ_加工!$A$2:$A$700,$A747,元データ_加工!$B$2:$B$700,F$5)</f>
        <v>0</v>
      </c>
      <c r="G747" s="26">
        <f>SUMIFS(INDEX(元データ_加工!$C$2:$P$700,0,MATCH($B747,元データ_加工!$C$1:$P$1,0)),元データ_加工!$A$2:$A$700,$A747,元データ_加工!$B$2:$B$700,G$5)</f>
        <v>0</v>
      </c>
      <c r="H747" s="26">
        <f>SUMIFS(INDEX(元データ_加工!$C$2:$P$700,0,MATCH($B747,元データ_加工!$C$1:$P$1,0)),元データ_加工!$A$2:$A$700,$A747,元データ_加工!$B$2:$B$700,H$5)</f>
        <v>0</v>
      </c>
      <c r="I747" s="26">
        <f>SUMIFS(INDEX(元データ_加工!$C$2:$P$700,0,MATCH($B747,元データ_加工!$C$1:$P$1,0)),元データ_加工!$A$2:$A$700,$A747,元データ_加工!$B$2:$B$700,I$5)</f>
        <v>0</v>
      </c>
      <c r="J747" s="26">
        <f>SUMIFS(INDEX(元データ_加工!$C$2:$P$700,0,MATCH($B747,元データ_加工!$C$1:$P$1,0)),元データ_加工!$A$2:$A$700,$A747,元データ_加工!$B$2:$B$700,J$5)</f>
        <v>0</v>
      </c>
      <c r="K747" s="26">
        <f>SUMIFS(INDEX(元データ_加工!$C$2:$P$700,0,MATCH($B747,元データ_加工!$C$1:$P$1,0)),元データ_加工!$A$2:$A$700,$A747,元データ_加工!$B$2:$B$700,K$5)</f>
        <v>0</v>
      </c>
      <c r="L747" s="26">
        <f>SUMIFS(INDEX(元データ_加工!$C$2:$P$700,0,MATCH($B747,元データ_加工!$C$1:$P$1,0)),元データ_加工!$A$2:$A$700,$A747,元データ_加工!$B$2:$B$700,L$5)</f>
        <v>0</v>
      </c>
      <c r="M747" s="26">
        <f>SUMIFS(INDEX(元データ_加工!$C$2:$P$700,0,MATCH($B747,元データ_加工!$C$1:$P$1,0)),元データ_加工!$A$2:$A$700,$A747,元データ_加工!$B$2:$B$700,M$5)</f>
        <v>5</v>
      </c>
      <c r="N747" s="26">
        <f>SUMIFS(INDEX(元データ_加工!$C$2:$P$700,0,MATCH($B747,元データ_加工!$C$1:$P$1,0)),元データ_加工!$A$2:$A$700,$A747,元データ_加工!$B$2:$B$700,N$5)</f>
        <v>5</v>
      </c>
      <c r="O747" s="26">
        <f t="shared" si="11"/>
        <v>10</v>
      </c>
      <c r="P747" s="7">
        <f>IFERROR(O747/SUMIFS(元データ_加工!$C$2:$C$700,元データ_加工!$A$2:$A$700,$A747),"")</f>
        <v>2.8376844494892167E-3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10AA-54DD-4A72-AE2D-F303FF1299BE}">
  <dimension ref="A1:P60"/>
  <sheetViews>
    <sheetView workbookViewId="0"/>
  </sheetViews>
  <sheetFormatPr defaultRowHeight="18" x14ac:dyDescent="0.45"/>
  <cols>
    <col min="1" max="1" width="51.8984375" bestFit="1" customWidth="1"/>
    <col min="2" max="2" width="10.59765625" bestFit="1" customWidth="1"/>
    <col min="3" max="3" width="9.3984375" bestFit="1" customWidth="1"/>
    <col min="4" max="13" width="10.3984375" bestFit="1" customWidth="1"/>
    <col min="14" max="14" width="11.5" bestFit="1" customWidth="1"/>
  </cols>
  <sheetData>
    <row r="1" spans="1:16" ht="19.8" x14ac:dyDescent="0.45">
      <c r="A1" s="33" t="s">
        <v>125</v>
      </c>
    </row>
    <row r="2" spans="1:16" x14ac:dyDescent="0.45">
      <c r="A2" s="31" t="s">
        <v>1</v>
      </c>
      <c r="B2" t="s">
        <v>124</v>
      </c>
    </row>
    <row r="3" spans="1:16" x14ac:dyDescent="0.45">
      <c r="A3" s="31" t="s">
        <v>3</v>
      </c>
      <c r="B3" t="s">
        <v>124</v>
      </c>
    </row>
    <row r="5" spans="1:16" x14ac:dyDescent="0.45">
      <c r="A5" s="31" t="s">
        <v>123</v>
      </c>
      <c r="B5" s="31" t="s">
        <v>122</v>
      </c>
    </row>
    <row r="6" spans="1:16" x14ac:dyDescent="0.45">
      <c r="A6" s="31" t="s">
        <v>120</v>
      </c>
      <c r="B6" s="34">
        <v>1</v>
      </c>
      <c r="C6" s="34">
        <v>2</v>
      </c>
      <c r="D6" s="34">
        <v>3</v>
      </c>
      <c r="E6" s="34">
        <v>4</v>
      </c>
      <c r="F6" s="34">
        <v>5</v>
      </c>
      <c r="G6" s="34">
        <v>6</v>
      </c>
      <c r="H6" s="34">
        <v>7</v>
      </c>
      <c r="I6" s="34">
        <v>8</v>
      </c>
      <c r="J6" s="34">
        <v>9</v>
      </c>
      <c r="K6" s="34">
        <v>10</v>
      </c>
      <c r="L6" s="34">
        <v>11</v>
      </c>
      <c r="M6" s="34">
        <v>12</v>
      </c>
      <c r="N6" s="34" t="s">
        <v>121</v>
      </c>
      <c r="O6" s="34"/>
      <c r="P6" s="34"/>
    </row>
    <row r="7" spans="1:16" x14ac:dyDescent="0.45">
      <c r="A7" s="32" t="s">
        <v>56</v>
      </c>
      <c r="B7" s="34">
        <v>2454739</v>
      </c>
      <c r="C7" s="34">
        <v>2359729</v>
      </c>
      <c r="D7" s="34">
        <v>4548464</v>
      </c>
      <c r="E7" s="34">
        <v>7193280</v>
      </c>
      <c r="F7" s="34">
        <v>5499559</v>
      </c>
      <c r="G7" s="34">
        <v>4688879</v>
      </c>
      <c r="H7" s="34">
        <v>3456020</v>
      </c>
      <c r="I7" s="34">
        <v>2333216</v>
      </c>
      <c r="J7" s="34">
        <v>2359694</v>
      </c>
      <c r="K7" s="34">
        <v>3913885</v>
      </c>
      <c r="L7" s="34">
        <v>3065624</v>
      </c>
      <c r="M7" s="34">
        <v>3379892</v>
      </c>
      <c r="N7" s="34">
        <v>45252981</v>
      </c>
      <c r="O7" s="34"/>
      <c r="P7" s="34"/>
    </row>
    <row r="8" spans="1:16" x14ac:dyDescent="0.45">
      <c r="A8" s="32" t="s">
        <v>55</v>
      </c>
      <c r="B8" s="34">
        <v>2908274</v>
      </c>
      <c r="C8" s="34">
        <v>2873381</v>
      </c>
      <c r="D8" s="34">
        <v>5858418</v>
      </c>
      <c r="E8" s="34">
        <v>8777703</v>
      </c>
      <c r="F8" s="34">
        <v>6852529</v>
      </c>
      <c r="G8" s="34">
        <v>6111135</v>
      </c>
      <c r="H8" s="34">
        <v>4528278</v>
      </c>
      <c r="I8" s="34">
        <v>3849911</v>
      </c>
      <c r="J8" s="34">
        <v>3530804</v>
      </c>
      <c r="K8" s="34">
        <v>5068407</v>
      </c>
      <c r="L8" s="34">
        <v>4212698</v>
      </c>
      <c r="M8" s="34">
        <v>4172432</v>
      </c>
      <c r="N8" s="34">
        <v>58743970</v>
      </c>
      <c r="O8" s="34"/>
      <c r="P8" s="34"/>
    </row>
    <row r="9" spans="1:16" x14ac:dyDescent="0.45">
      <c r="A9" s="32" t="s">
        <v>76</v>
      </c>
      <c r="B9" s="34">
        <v>1277644</v>
      </c>
      <c r="C9" s="34">
        <v>1212224</v>
      </c>
      <c r="D9" s="34">
        <v>2703133</v>
      </c>
      <c r="E9" s="34">
        <v>4305770</v>
      </c>
      <c r="F9" s="34">
        <v>3237296</v>
      </c>
      <c r="G9" s="34">
        <v>3236840</v>
      </c>
      <c r="H9" s="34">
        <v>2111625</v>
      </c>
      <c r="I9" s="34">
        <v>1657663</v>
      </c>
      <c r="J9" s="34">
        <v>1468382</v>
      </c>
      <c r="K9" s="34">
        <v>2440881</v>
      </c>
      <c r="L9" s="34">
        <v>2102823</v>
      </c>
      <c r="M9" s="34">
        <v>1957880</v>
      </c>
      <c r="N9" s="34">
        <v>27712161</v>
      </c>
      <c r="O9" s="34"/>
      <c r="P9" s="34"/>
    </row>
    <row r="10" spans="1:16" x14ac:dyDescent="0.45">
      <c r="A10" s="32" t="s">
        <v>80</v>
      </c>
      <c r="B10" s="34">
        <v>1379452</v>
      </c>
      <c r="C10" s="34">
        <v>1153408</v>
      </c>
      <c r="D10" s="34">
        <v>2361529</v>
      </c>
      <c r="E10" s="34">
        <v>3533872</v>
      </c>
      <c r="F10" s="34">
        <v>2958131</v>
      </c>
      <c r="G10" s="34">
        <v>2581009</v>
      </c>
      <c r="H10" s="34">
        <v>2241938</v>
      </c>
      <c r="I10" s="34">
        <v>1402528</v>
      </c>
      <c r="J10" s="34">
        <v>1525013</v>
      </c>
      <c r="K10" s="34">
        <v>2042820</v>
      </c>
      <c r="L10" s="34">
        <v>1892947</v>
      </c>
      <c r="M10" s="34">
        <v>1677040</v>
      </c>
      <c r="N10" s="34">
        <v>24749687</v>
      </c>
      <c r="O10" s="34"/>
      <c r="P10" s="34"/>
    </row>
    <row r="11" spans="1:16" x14ac:dyDescent="0.45">
      <c r="A11" s="32" t="s">
        <v>57</v>
      </c>
      <c r="B11" s="34">
        <v>1658141</v>
      </c>
      <c r="C11" s="34">
        <v>1560533</v>
      </c>
      <c r="D11" s="34">
        <v>3054524</v>
      </c>
      <c r="E11" s="34">
        <v>4267708</v>
      </c>
      <c r="F11" s="34">
        <v>3531169</v>
      </c>
      <c r="G11" s="34">
        <v>3152718</v>
      </c>
      <c r="H11" s="34">
        <v>2247364</v>
      </c>
      <c r="I11" s="34">
        <v>1781014</v>
      </c>
      <c r="J11" s="34">
        <v>1654341</v>
      </c>
      <c r="K11" s="34">
        <v>2626735</v>
      </c>
      <c r="L11" s="34">
        <v>2101651</v>
      </c>
      <c r="M11" s="34">
        <v>2170969</v>
      </c>
      <c r="N11" s="34">
        <v>29806867</v>
      </c>
      <c r="O11" s="34"/>
      <c r="P11" s="34"/>
    </row>
    <row r="12" spans="1:16" x14ac:dyDescent="0.45">
      <c r="A12" s="32" t="s">
        <v>54</v>
      </c>
      <c r="B12" s="34">
        <v>1308739</v>
      </c>
      <c r="C12" s="34">
        <v>1285859</v>
      </c>
      <c r="D12" s="34">
        <v>2613000</v>
      </c>
      <c r="E12" s="34">
        <v>3847778</v>
      </c>
      <c r="F12" s="34">
        <v>2466562</v>
      </c>
      <c r="G12" s="34">
        <v>2315625</v>
      </c>
      <c r="H12" s="34">
        <v>1889699</v>
      </c>
      <c r="I12" s="34">
        <v>1474435</v>
      </c>
      <c r="J12" s="34">
        <v>1335510</v>
      </c>
      <c r="K12" s="34">
        <v>2175362</v>
      </c>
      <c r="L12" s="34">
        <v>1698126</v>
      </c>
      <c r="M12" s="34">
        <v>1784663</v>
      </c>
      <c r="N12" s="34">
        <v>24195358</v>
      </c>
      <c r="O12" s="34"/>
      <c r="P12" s="34"/>
    </row>
    <row r="13" spans="1:16" x14ac:dyDescent="0.45">
      <c r="A13" s="32" t="s">
        <v>37</v>
      </c>
      <c r="B13" s="34">
        <v>1300862</v>
      </c>
      <c r="C13" s="34">
        <v>1176800</v>
      </c>
      <c r="D13" s="34">
        <v>2391299</v>
      </c>
      <c r="E13" s="34">
        <v>3443804</v>
      </c>
      <c r="F13" s="34">
        <v>2645055</v>
      </c>
      <c r="G13" s="34">
        <v>2339199</v>
      </c>
      <c r="H13" s="34"/>
      <c r="I13" s="34">
        <v>1475386</v>
      </c>
      <c r="J13" s="34">
        <v>1426626</v>
      </c>
      <c r="K13" s="34">
        <v>2251933</v>
      </c>
      <c r="L13" s="34">
        <v>1949920</v>
      </c>
      <c r="M13" s="34">
        <v>1972875</v>
      </c>
      <c r="N13" s="34">
        <v>22373759</v>
      </c>
      <c r="O13" s="34"/>
      <c r="P13" s="34"/>
    </row>
    <row r="14" spans="1:16" x14ac:dyDescent="0.45">
      <c r="A14" s="32" t="s">
        <v>59</v>
      </c>
      <c r="B14" s="34">
        <v>1462780</v>
      </c>
      <c r="C14" s="34">
        <v>1301662</v>
      </c>
      <c r="D14" s="34">
        <v>2677598</v>
      </c>
      <c r="E14" s="34">
        <v>3899408</v>
      </c>
      <c r="F14" s="34">
        <v>2769219</v>
      </c>
      <c r="G14" s="34">
        <v>2774492</v>
      </c>
      <c r="H14" s="34">
        <v>2377123</v>
      </c>
      <c r="I14" s="34">
        <v>1798024</v>
      </c>
      <c r="J14" s="34">
        <v>1669924</v>
      </c>
      <c r="K14" s="34">
        <v>2599057</v>
      </c>
      <c r="L14" s="34">
        <v>1683547</v>
      </c>
      <c r="M14" s="34">
        <v>1945588</v>
      </c>
      <c r="N14" s="34">
        <v>26958422</v>
      </c>
      <c r="O14" s="34"/>
      <c r="P14" s="34"/>
    </row>
    <row r="15" spans="1:16" x14ac:dyDescent="0.45">
      <c r="A15" s="32" t="s">
        <v>44</v>
      </c>
      <c r="B15" s="34">
        <v>2834358</v>
      </c>
      <c r="C15" s="34">
        <v>2801740</v>
      </c>
      <c r="D15" s="34">
        <v>5508422</v>
      </c>
      <c r="E15" s="34">
        <v>7105625</v>
      </c>
      <c r="F15" s="34">
        <v>6262755</v>
      </c>
      <c r="G15" s="34">
        <v>5496683</v>
      </c>
      <c r="H15" s="34">
        <v>4202577</v>
      </c>
      <c r="I15" s="34">
        <v>3168769</v>
      </c>
      <c r="J15" s="34">
        <v>3115837</v>
      </c>
      <c r="K15" s="34">
        <v>4535943</v>
      </c>
      <c r="L15" s="34">
        <v>4425849</v>
      </c>
      <c r="M15" s="34">
        <v>4269914</v>
      </c>
      <c r="N15" s="34">
        <v>53728472</v>
      </c>
      <c r="O15" s="34"/>
      <c r="P15" s="34"/>
    </row>
    <row r="16" spans="1:16" x14ac:dyDescent="0.45">
      <c r="A16" s="32" t="s">
        <v>41</v>
      </c>
      <c r="B16" s="34">
        <v>2556358</v>
      </c>
      <c r="C16" s="34">
        <v>2558545</v>
      </c>
      <c r="D16" s="34">
        <v>4674069</v>
      </c>
      <c r="E16" s="34">
        <v>6967557</v>
      </c>
      <c r="F16" s="34">
        <v>5341703</v>
      </c>
      <c r="G16" s="34">
        <v>4844636</v>
      </c>
      <c r="H16" s="34">
        <v>3354644</v>
      </c>
      <c r="I16" s="34">
        <v>3036931</v>
      </c>
      <c r="J16" s="34">
        <v>2697867</v>
      </c>
      <c r="K16" s="34">
        <v>4082643</v>
      </c>
      <c r="L16" s="34">
        <v>3689093</v>
      </c>
      <c r="M16" s="34">
        <v>3743299</v>
      </c>
      <c r="N16" s="34">
        <v>47547345</v>
      </c>
      <c r="O16" s="34"/>
      <c r="P16" s="34"/>
    </row>
    <row r="17" spans="1:16" x14ac:dyDescent="0.45">
      <c r="A17" s="32" t="s">
        <v>81</v>
      </c>
      <c r="B17" s="34">
        <v>1347289</v>
      </c>
      <c r="C17" s="34">
        <v>1136308</v>
      </c>
      <c r="D17" s="34">
        <v>2772625</v>
      </c>
      <c r="E17" s="34">
        <v>4319068</v>
      </c>
      <c r="F17" s="34">
        <v>3280127</v>
      </c>
      <c r="G17" s="34">
        <v>3051083</v>
      </c>
      <c r="H17" s="34">
        <v>2363518</v>
      </c>
      <c r="I17" s="34">
        <v>1528457</v>
      </c>
      <c r="J17" s="34">
        <v>1666364</v>
      </c>
      <c r="K17" s="34">
        <v>2643801</v>
      </c>
      <c r="L17" s="34">
        <v>2098338</v>
      </c>
      <c r="M17" s="34">
        <v>2054031</v>
      </c>
      <c r="N17" s="34">
        <v>28261009</v>
      </c>
      <c r="O17" s="34"/>
      <c r="P17" s="34"/>
    </row>
    <row r="18" spans="1:16" x14ac:dyDescent="0.45">
      <c r="A18" s="32" t="s">
        <v>72</v>
      </c>
      <c r="B18" s="34">
        <v>2050910</v>
      </c>
      <c r="C18" s="34">
        <v>1726448</v>
      </c>
      <c r="D18" s="34">
        <v>4105829</v>
      </c>
      <c r="E18" s="34">
        <v>5477876</v>
      </c>
      <c r="F18" s="34">
        <v>4058693</v>
      </c>
      <c r="G18" s="34">
        <v>3689418</v>
      </c>
      <c r="H18" s="34">
        <v>3077518</v>
      </c>
      <c r="I18" s="34">
        <v>2439456</v>
      </c>
      <c r="J18" s="34">
        <v>2134197</v>
      </c>
      <c r="K18" s="34">
        <v>2982280</v>
      </c>
      <c r="L18" s="34">
        <v>2766497</v>
      </c>
      <c r="M18" s="34">
        <v>2752745</v>
      </c>
      <c r="N18" s="34">
        <v>37261867</v>
      </c>
      <c r="O18" s="34"/>
      <c r="P18" s="34"/>
    </row>
    <row r="19" spans="1:16" x14ac:dyDescent="0.45">
      <c r="A19" s="32" t="s">
        <v>68</v>
      </c>
      <c r="B19" s="34">
        <v>1130228</v>
      </c>
      <c r="C19" s="34">
        <v>1102333</v>
      </c>
      <c r="D19" s="34">
        <v>2320324</v>
      </c>
      <c r="E19" s="34">
        <v>3760786</v>
      </c>
      <c r="F19" s="34">
        <v>2621049</v>
      </c>
      <c r="G19" s="34">
        <v>2263765</v>
      </c>
      <c r="H19" s="34">
        <v>1571144</v>
      </c>
      <c r="I19" s="34">
        <v>1119518</v>
      </c>
      <c r="J19" s="34">
        <v>1127414</v>
      </c>
      <c r="K19" s="34">
        <v>1942332</v>
      </c>
      <c r="L19" s="34">
        <v>1607839</v>
      </c>
      <c r="M19" s="34">
        <v>1787099</v>
      </c>
      <c r="N19" s="34">
        <v>22353831</v>
      </c>
      <c r="O19" s="34"/>
      <c r="P19" s="34"/>
    </row>
    <row r="20" spans="1:16" x14ac:dyDescent="0.45">
      <c r="A20" s="32" t="s">
        <v>75</v>
      </c>
      <c r="B20" s="34">
        <v>2031434</v>
      </c>
      <c r="C20" s="34">
        <v>1905391</v>
      </c>
      <c r="D20" s="34">
        <v>3815784</v>
      </c>
      <c r="E20" s="34">
        <v>5702726</v>
      </c>
      <c r="F20" s="34">
        <v>4844630</v>
      </c>
      <c r="G20" s="34">
        <v>3737589</v>
      </c>
      <c r="H20" s="34">
        <v>3139087</v>
      </c>
      <c r="I20" s="34">
        <v>2174237</v>
      </c>
      <c r="J20" s="34">
        <v>2223021</v>
      </c>
      <c r="K20" s="34">
        <v>3210935</v>
      </c>
      <c r="L20" s="34">
        <v>3000164</v>
      </c>
      <c r="M20" s="34">
        <v>3145606</v>
      </c>
      <c r="N20" s="34">
        <v>38930604</v>
      </c>
      <c r="O20" s="34"/>
      <c r="P20" s="34"/>
    </row>
    <row r="21" spans="1:16" x14ac:dyDescent="0.45">
      <c r="A21" s="32" t="s">
        <v>43</v>
      </c>
      <c r="B21" s="34">
        <v>2121328</v>
      </c>
      <c r="C21" s="34">
        <v>1883248</v>
      </c>
      <c r="D21" s="34">
        <v>3572873</v>
      </c>
      <c r="E21" s="34">
        <v>4799618</v>
      </c>
      <c r="F21" s="34">
        <v>3645563</v>
      </c>
      <c r="G21" s="34">
        <v>3641187</v>
      </c>
      <c r="H21" s="34">
        <v>3523279</v>
      </c>
      <c r="I21" s="34">
        <v>2485355</v>
      </c>
      <c r="J21" s="34">
        <v>2371753</v>
      </c>
      <c r="K21" s="34">
        <v>3350975</v>
      </c>
      <c r="L21" s="34">
        <v>2453734</v>
      </c>
      <c r="M21" s="34">
        <v>2662570</v>
      </c>
      <c r="N21" s="34">
        <v>36511483</v>
      </c>
      <c r="O21" s="34"/>
      <c r="P21" s="34"/>
    </row>
    <row r="22" spans="1:16" x14ac:dyDescent="0.45">
      <c r="A22" s="32" t="s">
        <v>84</v>
      </c>
      <c r="B22" s="34">
        <v>1565690</v>
      </c>
      <c r="C22" s="34">
        <v>1430331</v>
      </c>
      <c r="D22" s="34">
        <v>2868844</v>
      </c>
      <c r="E22" s="34">
        <v>4191063</v>
      </c>
      <c r="F22" s="34">
        <v>3847920</v>
      </c>
      <c r="G22" s="34">
        <v>3310180</v>
      </c>
      <c r="H22" s="34">
        <v>2509920</v>
      </c>
      <c r="I22" s="34">
        <v>1714252</v>
      </c>
      <c r="J22" s="34">
        <v>1623670</v>
      </c>
      <c r="K22" s="34">
        <v>2356054</v>
      </c>
      <c r="L22" s="34">
        <v>2135349</v>
      </c>
      <c r="M22" s="34">
        <v>2107686</v>
      </c>
      <c r="N22" s="34">
        <v>29660959</v>
      </c>
      <c r="O22" s="34"/>
      <c r="P22" s="34"/>
    </row>
    <row r="23" spans="1:16" x14ac:dyDescent="0.45">
      <c r="A23" s="32" t="s">
        <v>40</v>
      </c>
      <c r="B23" s="34">
        <v>2377952</v>
      </c>
      <c r="C23" s="34">
        <v>2147382</v>
      </c>
      <c r="D23" s="34">
        <v>4150478</v>
      </c>
      <c r="E23" s="34">
        <v>6196171</v>
      </c>
      <c r="F23" s="34">
        <v>5009279</v>
      </c>
      <c r="G23" s="34">
        <v>4488058</v>
      </c>
      <c r="H23" s="34">
        <v>3830906</v>
      </c>
      <c r="I23" s="34">
        <v>2600447</v>
      </c>
      <c r="J23" s="34">
        <v>2371298</v>
      </c>
      <c r="K23" s="34">
        <v>3743265</v>
      </c>
      <c r="L23" s="34">
        <v>3403882</v>
      </c>
      <c r="M23" s="34">
        <v>3366679</v>
      </c>
      <c r="N23" s="34">
        <v>43685797</v>
      </c>
      <c r="O23" s="34"/>
      <c r="P23" s="34"/>
    </row>
    <row r="24" spans="1:16" x14ac:dyDescent="0.45">
      <c r="A24" s="32" t="s">
        <v>39</v>
      </c>
      <c r="B24" s="34">
        <v>2126466</v>
      </c>
      <c r="C24" s="34">
        <v>1895726</v>
      </c>
      <c r="D24" s="34">
        <v>4318649</v>
      </c>
      <c r="E24" s="34">
        <v>6607022</v>
      </c>
      <c r="F24" s="34">
        <v>5118220</v>
      </c>
      <c r="G24" s="34">
        <v>4493121</v>
      </c>
      <c r="H24" s="34">
        <v>4099027</v>
      </c>
      <c r="I24" s="34">
        <v>2110659</v>
      </c>
      <c r="J24" s="34">
        <v>2205576</v>
      </c>
      <c r="K24" s="34">
        <v>3291644</v>
      </c>
      <c r="L24" s="34">
        <v>2698306</v>
      </c>
      <c r="M24" s="34">
        <v>3126114</v>
      </c>
      <c r="N24" s="34">
        <v>42090530</v>
      </c>
      <c r="O24" s="34"/>
      <c r="P24" s="34"/>
    </row>
    <row r="25" spans="1:16" x14ac:dyDescent="0.45">
      <c r="A25" s="32" t="s">
        <v>36</v>
      </c>
      <c r="B25" s="34">
        <v>2159151</v>
      </c>
      <c r="C25" s="34">
        <v>2015595</v>
      </c>
      <c r="D25" s="34">
        <v>4543692</v>
      </c>
      <c r="E25" s="34">
        <v>7364944</v>
      </c>
      <c r="F25" s="34">
        <v>5416977</v>
      </c>
      <c r="G25" s="34">
        <v>4601610</v>
      </c>
      <c r="H25" s="34">
        <v>3169199</v>
      </c>
      <c r="I25" s="34">
        <v>2686436</v>
      </c>
      <c r="J25" s="34">
        <v>2723988</v>
      </c>
      <c r="K25" s="34">
        <v>3806907</v>
      </c>
      <c r="L25" s="34">
        <v>3429652</v>
      </c>
      <c r="M25" s="34">
        <v>3702119</v>
      </c>
      <c r="N25" s="34">
        <v>45620270</v>
      </c>
      <c r="O25" s="34"/>
      <c r="P25" s="34"/>
    </row>
    <row r="26" spans="1:16" x14ac:dyDescent="0.45">
      <c r="A26" s="32" t="s">
        <v>48</v>
      </c>
      <c r="B26" s="34">
        <v>1669787</v>
      </c>
      <c r="C26" s="34">
        <v>1514495</v>
      </c>
      <c r="D26" s="34">
        <v>3264465</v>
      </c>
      <c r="E26" s="34">
        <v>5490049</v>
      </c>
      <c r="F26" s="34">
        <v>4115020</v>
      </c>
      <c r="G26" s="34">
        <v>3821193</v>
      </c>
      <c r="H26" s="34">
        <v>2374831</v>
      </c>
      <c r="I26" s="34">
        <v>2084700</v>
      </c>
      <c r="J26" s="34">
        <v>1866179</v>
      </c>
      <c r="K26" s="34">
        <v>2766640</v>
      </c>
      <c r="L26" s="34">
        <v>2228913</v>
      </c>
      <c r="M26" s="34">
        <v>2602376</v>
      </c>
      <c r="N26" s="34">
        <v>33798648</v>
      </c>
      <c r="O26" s="34"/>
      <c r="P26" s="34"/>
    </row>
    <row r="27" spans="1:16" x14ac:dyDescent="0.45">
      <c r="A27" s="32" t="s">
        <v>60</v>
      </c>
      <c r="B27" s="34">
        <v>922107</v>
      </c>
      <c r="C27" s="34">
        <v>680022</v>
      </c>
      <c r="D27" s="34">
        <v>1706262</v>
      </c>
      <c r="E27" s="34">
        <v>2277570</v>
      </c>
      <c r="F27" s="34">
        <v>2095843</v>
      </c>
      <c r="G27" s="34">
        <v>1622189</v>
      </c>
      <c r="H27" s="34">
        <v>1286283</v>
      </c>
      <c r="I27" s="34">
        <v>871660</v>
      </c>
      <c r="J27" s="34">
        <v>945787</v>
      </c>
      <c r="K27" s="34">
        <v>1337232</v>
      </c>
      <c r="L27" s="34">
        <v>1043660</v>
      </c>
      <c r="M27" s="34">
        <v>1120390</v>
      </c>
      <c r="N27" s="34">
        <v>15909005</v>
      </c>
      <c r="O27" s="34"/>
      <c r="P27" s="34"/>
    </row>
    <row r="28" spans="1:16" x14ac:dyDescent="0.45">
      <c r="A28" s="32" t="s">
        <v>53</v>
      </c>
      <c r="B28" s="34">
        <v>1264779</v>
      </c>
      <c r="C28" s="34">
        <v>1342143</v>
      </c>
      <c r="D28" s="34">
        <v>2629306</v>
      </c>
      <c r="E28" s="34">
        <v>3684035</v>
      </c>
      <c r="F28" s="34">
        <v>3069026</v>
      </c>
      <c r="G28" s="34">
        <v>2760788</v>
      </c>
      <c r="H28" s="34">
        <v>2069814</v>
      </c>
      <c r="I28" s="34">
        <v>1618544</v>
      </c>
      <c r="J28" s="34">
        <v>1579645</v>
      </c>
      <c r="K28" s="34">
        <v>2384292</v>
      </c>
      <c r="L28" s="34">
        <v>1930365</v>
      </c>
      <c r="M28" s="34">
        <v>1616987</v>
      </c>
      <c r="N28" s="34">
        <v>25949724</v>
      </c>
      <c r="O28" s="34"/>
      <c r="P28" s="34"/>
    </row>
    <row r="29" spans="1:16" x14ac:dyDescent="0.45">
      <c r="A29" s="32" t="s">
        <v>79</v>
      </c>
      <c r="B29" s="34">
        <v>2064983</v>
      </c>
      <c r="C29" s="34">
        <v>1748024</v>
      </c>
      <c r="D29" s="34">
        <v>3892101</v>
      </c>
      <c r="E29" s="34">
        <v>5800745</v>
      </c>
      <c r="F29" s="34">
        <v>4593647</v>
      </c>
      <c r="G29" s="34">
        <v>4546915</v>
      </c>
      <c r="H29" s="34">
        <v>3318489</v>
      </c>
      <c r="I29" s="34">
        <v>2024969</v>
      </c>
      <c r="J29" s="34">
        <v>2235798</v>
      </c>
      <c r="K29" s="34">
        <v>3166520</v>
      </c>
      <c r="L29" s="34">
        <v>3029180</v>
      </c>
      <c r="M29" s="34">
        <v>2769533</v>
      </c>
      <c r="N29" s="34">
        <v>39190904</v>
      </c>
      <c r="O29" s="34"/>
      <c r="P29" s="34"/>
    </row>
    <row r="30" spans="1:16" x14ac:dyDescent="0.45">
      <c r="A30" s="32" t="s">
        <v>77</v>
      </c>
      <c r="B30" s="34">
        <v>1629897</v>
      </c>
      <c r="C30" s="34">
        <v>1440990</v>
      </c>
      <c r="D30" s="34">
        <v>2912684</v>
      </c>
      <c r="E30" s="34">
        <v>4440355</v>
      </c>
      <c r="F30" s="34">
        <v>3779899</v>
      </c>
      <c r="G30" s="34">
        <v>3333267</v>
      </c>
      <c r="H30" s="34">
        <v>2407998</v>
      </c>
      <c r="I30" s="34">
        <v>1610357</v>
      </c>
      <c r="J30" s="34">
        <v>1711427</v>
      </c>
      <c r="K30" s="34">
        <v>2383641</v>
      </c>
      <c r="L30" s="34">
        <v>2196218</v>
      </c>
      <c r="M30" s="34">
        <v>2052699</v>
      </c>
      <c r="N30" s="34">
        <v>29899432</v>
      </c>
      <c r="O30" s="34"/>
      <c r="P30" s="34"/>
    </row>
    <row r="31" spans="1:16" x14ac:dyDescent="0.45">
      <c r="A31" s="32" t="s">
        <v>82</v>
      </c>
      <c r="B31" s="34">
        <v>1283730</v>
      </c>
      <c r="C31" s="34">
        <v>1116990</v>
      </c>
      <c r="D31" s="34">
        <v>2659518</v>
      </c>
      <c r="E31" s="34">
        <v>3787779</v>
      </c>
      <c r="F31" s="34">
        <v>2814651</v>
      </c>
      <c r="G31" s="34">
        <v>2936915</v>
      </c>
      <c r="H31" s="34">
        <v>2189191</v>
      </c>
      <c r="I31" s="34">
        <v>1425343</v>
      </c>
      <c r="J31" s="34">
        <v>1464399</v>
      </c>
      <c r="K31" s="34">
        <v>2288460</v>
      </c>
      <c r="L31" s="34">
        <v>1872767</v>
      </c>
      <c r="M31" s="34">
        <v>1761330</v>
      </c>
      <c r="N31" s="34">
        <v>25601073</v>
      </c>
      <c r="O31" s="34"/>
      <c r="P31" s="34"/>
    </row>
    <row r="32" spans="1:16" x14ac:dyDescent="0.45">
      <c r="A32" s="32" t="s">
        <v>49</v>
      </c>
      <c r="B32" s="34">
        <v>1367465</v>
      </c>
      <c r="C32" s="34">
        <v>1194991</v>
      </c>
      <c r="D32" s="34">
        <v>2483285</v>
      </c>
      <c r="E32" s="34">
        <v>3378103</v>
      </c>
      <c r="F32" s="34">
        <v>2337562</v>
      </c>
      <c r="G32" s="34">
        <v>2097877</v>
      </c>
      <c r="H32" s="34">
        <v>1885712</v>
      </c>
      <c r="I32" s="34">
        <v>1468746</v>
      </c>
      <c r="J32" s="34">
        <v>1402884</v>
      </c>
      <c r="K32" s="34">
        <v>2044152</v>
      </c>
      <c r="L32" s="34">
        <v>1722893</v>
      </c>
      <c r="M32" s="34">
        <v>1893436</v>
      </c>
      <c r="N32" s="34">
        <v>23277106</v>
      </c>
      <c r="O32" s="34"/>
      <c r="P32" s="34"/>
    </row>
    <row r="33" spans="1:16" x14ac:dyDescent="0.45">
      <c r="A33" s="32" t="s">
        <v>65</v>
      </c>
      <c r="B33" s="34">
        <v>3203194</v>
      </c>
      <c r="C33" s="34">
        <v>2843851</v>
      </c>
      <c r="D33" s="34">
        <v>6650646</v>
      </c>
      <c r="E33" s="34">
        <v>8542454</v>
      </c>
      <c r="F33" s="34">
        <v>6833114</v>
      </c>
      <c r="G33" s="34">
        <v>5932570</v>
      </c>
      <c r="H33" s="34">
        <v>4493229</v>
      </c>
      <c r="I33" s="34">
        <v>3369184</v>
      </c>
      <c r="J33" s="34">
        <v>3173206</v>
      </c>
      <c r="K33" s="34">
        <v>5310808</v>
      </c>
      <c r="L33" s="34">
        <v>4419861</v>
      </c>
      <c r="M33" s="34">
        <v>4780393</v>
      </c>
      <c r="N33" s="34">
        <v>59552510</v>
      </c>
      <c r="O33" s="34"/>
      <c r="P33" s="34"/>
    </row>
    <row r="34" spans="1:16" x14ac:dyDescent="0.45">
      <c r="A34" s="32" t="s">
        <v>66</v>
      </c>
      <c r="B34" s="34">
        <v>1539215</v>
      </c>
      <c r="C34" s="34">
        <v>1349266</v>
      </c>
      <c r="D34" s="34">
        <v>3029099</v>
      </c>
      <c r="E34" s="34">
        <v>3944933</v>
      </c>
      <c r="F34" s="34">
        <v>3197646</v>
      </c>
      <c r="G34" s="34">
        <v>2884966</v>
      </c>
      <c r="H34" s="34">
        <v>1976207</v>
      </c>
      <c r="I34" s="34">
        <v>1534364</v>
      </c>
      <c r="J34" s="34">
        <v>1504191</v>
      </c>
      <c r="K34" s="34">
        <v>2385371</v>
      </c>
      <c r="L34" s="34">
        <v>2118002</v>
      </c>
      <c r="M34" s="34">
        <v>2033147</v>
      </c>
      <c r="N34" s="34">
        <v>27496407</v>
      </c>
      <c r="O34" s="34"/>
      <c r="P34" s="34"/>
    </row>
    <row r="35" spans="1:16" x14ac:dyDescent="0.45">
      <c r="A35" s="32" t="s">
        <v>50</v>
      </c>
      <c r="B35" s="34">
        <v>1162340</v>
      </c>
      <c r="C35" s="34">
        <v>901195</v>
      </c>
      <c r="D35" s="34">
        <v>2189189</v>
      </c>
      <c r="E35" s="34">
        <v>3290684</v>
      </c>
      <c r="F35" s="34">
        <v>2148243</v>
      </c>
      <c r="G35" s="34">
        <v>2143851</v>
      </c>
      <c r="H35" s="34">
        <v>1578034</v>
      </c>
      <c r="I35" s="34">
        <v>1367460</v>
      </c>
      <c r="J35" s="34">
        <v>1311560</v>
      </c>
      <c r="K35" s="34">
        <v>1735066</v>
      </c>
      <c r="L35" s="34">
        <v>1328270</v>
      </c>
      <c r="M35" s="34">
        <v>1422292</v>
      </c>
      <c r="N35" s="34">
        <v>20578184</v>
      </c>
      <c r="O35" s="34"/>
      <c r="P35" s="34"/>
    </row>
    <row r="36" spans="1:16" x14ac:dyDescent="0.45">
      <c r="A36" s="32" t="s">
        <v>85</v>
      </c>
      <c r="B36" s="34">
        <v>1605559</v>
      </c>
      <c r="C36" s="34">
        <v>1399032</v>
      </c>
      <c r="D36" s="34">
        <v>3271148</v>
      </c>
      <c r="E36" s="34">
        <v>4669659</v>
      </c>
      <c r="F36" s="34">
        <v>3631782</v>
      </c>
      <c r="G36" s="34">
        <v>2992426</v>
      </c>
      <c r="H36" s="34">
        <v>2420391</v>
      </c>
      <c r="I36" s="34">
        <v>1662039</v>
      </c>
      <c r="J36" s="34">
        <v>1809679</v>
      </c>
      <c r="K36" s="34">
        <v>2565733</v>
      </c>
      <c r="L36" s="34">
        <v>2196864</v>
      </c>
      <c r="M36" s="34">
        <v>2225658</v>
      </c>
      <c r="N36" s="34">
        <v>30449970</v>
      </c>
      <c r="O36" s="34"/>
      <c r="P36" s="34"/>
    </row>
    <row r="37" spans="1:16" x14ac:dyDescent="0.45">
      <c r="A37" s="32" t="s">
        <v>35</v>
      </c>
      <c r="B37" s="34">
        <v>2735367</v>
      </c>
      <c r="C37" s="34">
        <v>2570062</v>
      </c>
      <c r="D37" s="34">
        <v>5473382</v>
      </c>
      <c r="E37" s="34">
        <v>7469809</v>
      </c>
      <c r="F37" s="34">
        <v>5985023</v>
      </c>
      <c r="G37" s="34">
        <v>5280747</v>
      </c>
      <c r="H37" s="34">
        <v>3819825</v>
      </c>
      <c r="I37" s="34">
        <v>3273989</v>
      </c>
      <c r="J37" s="34">
        <v>3082211</v>
      </c>
      <c r="K37" s="34">
        <v>4596830</v>
      </c>
      <c r="L37" s="34">
        <v>3719016</v>
      </c>
      <c r="M37" s="34">
        <v>4229696</v>
      </c>
      <c r="N37" s="34">
        <v>52235957</v>
      </c>
      <c r="O37" s="34"/>
      <c r="P37" s="34"/>
    </row>
    <row r="38" spans="1:16" x14ac:dyDescent="0.45">
      <c r="A38" s="32" t="s">
        <v>70</v>
      </c>
      <c r="B38" s="34">
        <v>1602991</v>
      </c>
      <c r="C38" s="34">
        <v>1423395</v>
      </c>
      <c r="D38" s="34">
        <v>3154373</v>
      </c>
      <c r="E38" s="34">
        <v>4583540</v>
      </c>
      <c r="F38" s="34">
        <v>3629432</v>
      </c>
      <c r="G38" s="34">
        <v>3380063</v>
      </c>
      <c r="H38" s="34">
        <v>2317606</v>
      </c>
      <c r="I38" s="34">
        <v>1786381</v>
      </c>
      <c r="J38" s="34">
        <v>1673834</v>
      </c>
      <c r="K38" s="34">
        <v>2654688</v>
      </c>
      <c r="L38" s="34">
        <v>2232084</v>
      </c>
      <c r="M38" s="34">
        <v>2409435</v>
      </c>
      <c r="N38" s="34">
        <v>30847822</v>
      </c>
      <c r="O38" s="34"/>
      <c r="P38" s="34"/>
    </row>
    <row r="39" spans="1:16" x14ac:dyDescent="0.45">
      <c r="A39" s="32" t="s">
        <v>58</v>
      </c>
      <c r="B39" s="34">
        <v>4709547</v>
      </c>
      <c r="C39" s="34">
        <v>4489528</v>
      </c>
      <c r="D39" s="34">
        <v>8217575</v>
      </c>
      <c r="E39" s="34">
        <v>11843830</v>
      </c>
      <c r="F39" s="34">
        <v>9582079</v>
      </c>
      <c r="G39" s="34">
        <v>8554018</v>
      </c>
      <c r="H39" s="34">
        <v>6365661</v>
      </c>
      <c r="I39" s="34">
        <v>4806413</v>
      </c>
      <c r="J39" s="34">
        <v>4696856</v>
      </c>
      <c r="K39" s="34">
        <v>6408864</v>
      </c>
      <c r="L39" s="34">
        <v>5677578</v>
      </c>
      <c r="M39" s="34">
        <v>6064557</v>
      </c>
      <c r="N39" s="34">
        <v>81416506</v>
      </c>
      <c r="O39" s="34"/>
      <c r="P39" s="34"/>
    </row>
    <row r="40" spans="1:16" x14ac:dyDescent="0.45">
      <c r="A40" s="32" t="s">
        <v>61</v>
      </c>
      <c r="B40" s="34">
        <v>1534967</v>
      </c>
      <c r="C40" s="34">
        <v>1373466</v>
      </c>
      <c r="D40" s="34">
        <v>2532727</v>
      </c>
      <c r="E40" s="34">
        <v>3835198</v>
      </c>
      <c r="F40" s="34">
        <v>3184746</v>
      </c>
      <c r="G40" s="34">
        <v>2709183</v>
      </c>
      <c r="H40" s="34">
        <v>2058398</v>
      </c>
      <c r="I40" s="34">
        <v>1591976</v>
      </c>
      <c r="J40" s="34">
        <v>1615467</v>
      </c>
      <c r="K40" s="34">
        <v>2283724</v>
      </c>
      <c r="L40" s="34">
        <v>1891678</v>
      </c>
      <c r="M40" s="34">
        <v>1969079</v>
      </c>
      <c r="N40" s="34">
        <v>26580609</v>
      </c>
      <c r="O40" s="34"/>
      <c r="P40" s="34"/>
    </row>
    <row r="41" spans="1:16" x14ac:dyDescent="0.45">
      <c r="A41" s="32" t="s">
        <v>64</v>
      </c>
      <c r="B41" s="34">
        <v>349047</v>
      </c>
      <c r="C41" s="34">
        <v>246391</v>
      </c>
      <c r="D41" s="34">
        <v>507414</v>
      </c>
      <c r="E41" s="34">
        <v>691756</v>
      </c>
      <c r="F41" s="34">
        <v>572142</v>
      </c>
      <c r="G41" s="34">
        <v>518165</v>
      </c>
      <c r="H41" s="34">
        <v>445133</v>
      </c>
      <c r="I41" s="34">
        <v>351973</v>
      </c>
      <c r="J41" s="34">
        <v>395597</v>
      </c>
      <c r="K41" s="34">
        <v>521264</v>
      </c>
      <c r="L41" s="34">
        <v>440050</v>
      </c>
      <c r="M41" s="34">
        <v>379135</v>
      </c>
      <c r="N41" s="34">
        <v>5418067</v>
      </c>
      <c r="O41" s="34"/>
      <c r="P41" s="34"/>
    </row>
    <row r="42" spans="1:16" x14ac:dyDescent="0.45">
      <c r="A42" s="32" t="s">
        <v>83</v>
      </c>
      <c r="B42" s="34">
        <v>3091441</v>
      </c>
      <c r="C42" s="34">
        <v>2845504</v>
      </c>
      <c r="D42" s="34">
        <v>5734678</v>
      </c>
      <c r="E42" s="34">
        <v>8159419</v>
      </c>
      <c r="F42" s="34">
        <v>6552882</v>
      </c>
      <c r="G42" s="34">
        <v>6333708</v>
      </c>
      <c r="H42" s="34">
        <v>4560532</v>
      </c>
      <c r="I42" s="34">
        <v>3421100</v>
      </c>
      <c r="J42" s="34">
        <v>3174705</v>
      </c>
      <c r="K42" s="34">
        <v>4977289</v>
      </c>
      <c r="L42" s="34">
        <v>4296077</v>
      </c>
      <c r="M42" s="34">
        <v>4651482</v>
      </c>
      <c r="N42" s="34">
        <v>57798817</v>
      </c>
      <c r="O42" s="34"/>
      <c r="P42" s="34"/>
    </row>
    <row r="43" spans="1:16" x14ac:dyDescent="0.45">
      <c r="A43" s="32" t="s">
        <v>73</v>
      </c>
      <c r="B43" s="34">
        <v>2141717</v>
      </c>
      <c r="C43" s="34">
        <v>2139292</v>
      </c>
      <c r="D43" s="34">
        <v>4501046</v>
      </c>
      <c r="E43" s="34">
        <v>6286961</v>
      </c>
      <c r="F43" s="34">
        <v>4593581</v>
      </c>
      <c r="G43" s="34">
        <v>4555482</v>
      </c>
      <c r="H43" s="34">
        <v>3382436</v>
      </c>
      <c r="I43" s="34">
        <v>2340815</v>
      </c>
      <c r="J43" s="34">
        <v>2398136</v>
      </c>
      <c r="K43" s="34">
        <v>3327545</v>
      </c>
      <c r="L43" s="34">
        <v>2747577</v>
      </c>
      <c r="M43" s="34">
        <v>3257441</v>
      </c>
      <c r="N43" s="34">
        <v>41672029</v>
      </c>
      <c r="O43" s="34"/>
      <c r="P43" s="34"/>
    </row>
    <row r="44" spans="1:16" x14ac:dyDescent="0.45">
      <c r="A44" s="32" t="s">
        <v>45</v>
      </c>
      <c r="B44" s="34">
        <v>1595633</v>
      </c>
      <c r="C44" s="34">
        <v>1489569</v>
      </c>
      <c r="D44" s="34">
        <v>2943744</v>
      </c>
      <c r="E44" s="34">
        <v>4505684</v>
      </c>
      <c r="F44" s="34">
        <v>3313252</v>
      </c>
      <c r="G44" s="34">
        <v>3134810</v>
      </c>
      <c r="H44" s="34">
        <v>2529810</v>
      </c>
      <c r="I44" s="34">
        <v>1853332</v>
      </c>
      <c r="J44" s="34">
        <v>2191767</v>
      </c>
      <c r="K44" s="34">
        <v>2973829</v>
      </c>
      <c r="L44" s="34">
        <v>2408628</v>
      </c>
      <c r="M44" s="34">
        <v>2186538</v>
      </c>
      <c r="N44" s="34">
        <v>31126596</v>
      </c>
      <c r="O44" s="34"/>
      <c r="P44" s="34"/>
    </row>
    <row r="45" spans="1:16" x14ac:dyDescent="0.45">
      <c r="A45" s="32" t="s">
        <v>47</v>
      </c>
      <c r="B45" s="34">
        <v>3339207</v>
      </c>
      <c r="C45" s="34">
        <v>3093806</v>
      </c>
      <c r="D45" s="34">
        <v>6547172</v>
      </c>
      <c r="E45" s="34">
        <v>10015151</v>
      </c>
      <c r="F45" s="34">
        <v>7605500</v>
      </c>
      <c r="G45" s="34">
        <v>6953207</v>
      </c>
      <c r="H45" s="34">
        <v>4632373</v>
      </c>
      <c r="I45" s="34">
        <v>3897942</v>
      </c>
      <c r="J45" s="34">
        <v>3582542</v>
      </c>
      <c r="K45" s="34">
        <v>5183477</v>
      </c>
      <c r="L45" s="34">
        <v>4512825</v>
      </c>
      <c r="M45" s="34">
        <v>4694283</v>
      </c>
      <c r="N45" s="34">
        <v>64057485</v>
      </c>
      <c r="O45" s="34"/>
      <c r="P45" s="34"/>
    </row>
    <row r="46" spans="1:16" x14ac:dyDescent="0.45">
      <c r="A46" s="32" t="s">
        <v>52</v>
      </c>
      <c r="B46" s="34">
        <v>1298630</v>
      </c>
      <c r="C46" s="34">
        <v>1064784</v>
      </c>
      <c r="D46" s="34">
        <v>2718714</v>
      </c>
      <c r="E46" s="34">
        <v>3796658</v>
      </c>
      <c r="F46" s="34">
        <v>2731865</v>
      </c>
      <c r="G46" s="34">
        <v>3004847</v>
      </c>
      <c r="H46" s="34">
        <v>2066040</v>
      </c>
      <c r="I46" s="34">
        <v>1498587</v>
      </c>
      <c r="J46" s="34">
        <v>1416829</v>
      </c>
      <c r="K46" s="34">
        <v>2146411</v>
      </c>
      <c r="L46" s="34">
        <v>1568777</v>
      </c>
      <c r="M46" s="34">
        <v>1816298</v>
      </c>
      <c r="N46" s="34">
        <v>25128440</v>
      </c>
      <c r="O46" s="34"/>
      <c r="P46" s="34"/>
    </row>
    <row r="47" spans="1:16" x14ac:dyDescent="0.45">
      <c r="A47" s="32" t="s">
        <v>87</v>
      </c>
      <c r="B47" s="34"/>
      <c r="C47" s="34"/>
      <c r="D47" s="34"/>
      <c r="E47" s="34"/>
      <c r="F47" s="34"/>
      <c r="G47" s="34">
        <v>3327723</v>
      </c>
      <c r="H47" s="34">
        <v>1855254</v>
      </c>
      <c r="I47" s="34"/>
      <c r="J47" s="34"/>
      <c r="K47" s="34"/>
      <c r="L47" s="34"/>
      <c r="M47" s="34"/>
      <c r="N47" s="34">
        <v>5182977</v>
      </c>
      <c r="O47" s="34"/>
      <c r="P47" s="34"/>
    </row>
    <row r="48" spans="1:16" x14ac:dyDescent="0.45">
      <c r="A48" s="32" t="s">
        <v>62</v>
      </c>
      <c r="B48" s="34">
        <v>2967579</v>
      </c>
      <c r="C48" s="34">
        <v>2871543</v>
      </c>
      <c r="D48" s="34">
        <v>7099076</v>
      </c>
      <c r="E48" s="34">
        <v>10458608</v>
      </c>
      <c r="F48" s="34">
        <v>7633677</v>
      </c>
      <c r="G48" s="34">
        <v>6676266</v>
      </c>
      <c r="H48" s="34">
        <v>4576055</v>
      </c>
      <c r="I48" s="34">
        <v>3158302</v>
      </c>
      <c r="J48" s="34">
        <v>2966852</v>
      </c>
      <c r="K48" s="34">
        <v>4938574</v>
      </c>
      <c r="L48" s="34">
        <v>4203518</v>
      </c>
      <c r="M48" s="34">
        <v>4410881</v>
      </c>
      <c r="N48" s="34">
        <v>61960931</v>
      </c>
      <c r="O48" s="34"/>
      <c r="P48" s="34"/>
    </row>
    <row r="49" spans="1:16" x14ac:dyDescent="0.45">
      <c r="A49" s="32" t="s">
        <v>51</v>
      </c>
      <c r="B49" s="34">
        <v>2498056</v>
      </c>
      <c r="C49" s="34">
        <v>2594775</v>
      </c>
      <c r="D49" s="34">
        <v>5826640</v>
      </c>
      <c r="E49" s="34">
        <v>7795710</v>
      </c>
      <c r="F49" s="34">
        <v>6159036</v>
      </c>
      <c r="G49" s="34">
        <v>4810999</v>
      </c>
      <c r="H49" s="34">
        <v>3473645</v>
      </c>
      <c r="I49" s="34">
        <v>2930599</v>
      </c>
      <c r="J49" s="34">
        <v>2774263</v>
      </c>
      <c r="K49" s="34">
        <v>3994055</v>
      </c>
      <c r="L49" s="34">
        <v>3509776</v>
      </c>
      <c r="M49" s="34">
        <v>3574827</v>
      </c>
      <c r="N49" s="34">
        <v>49942381</v>
      </c>
      <c r="O49" s="34"/>
      <c r="P49" s="34"/>
    </row>
    <row r="50" spans="1:16" x14ac:dyDescent="0.45">
      <c r="A50" s="32" t="s">
        <v>78</v>
      </c>
      <c r="B50" s="34">
        <v>2224777</v>
      </c>
      <c r="C50" s="34">
        <v>1738205</v>
      </c>
      <c r="D50" s="34">
        <v>4099631</v>
      </c>
      <c r="E50" s="34">
        <v>5963474</v>
      </c>
      <c r="F50" s="34">
        <v>4701406</v>
      </c>
      <c r="G50" s="34">
        <v>4335791</v>
      </c>
      <c r="H50" s="34">
        <v>3635887</v>
      </c>
      <c r="I50" s="34">
        <v>2368472</v>
      </c>
      <c r="J50" s="34">
        <v>2421736</v>
      </c>
      <c r="K50" s="34">
        <v>3381882</v>
      </c>
      <c r="L50" s="34">
        <v>3053920</v>
      </c>
      <c r="M50" s="34">
        <v>3163031</v>
      </c>
      <c r="N50" s="34">
        <v>41088212</v>
      </c>
      <c r="O50" s="34"/>
      <c r="P50" s="34"/>
    </row>
    <row r="51" spans="1:16" x14ac:dyDescent="0.45">
      <c r="A51" s="32" t="s">
        <v>38</v>
      </c>
      <c r="B51" s="34">
        <v>2882866</v>
      </c>
      <c r="C51" s="34">
        <v>2806646</v>
      </c>
      <c r="D51" s="34">
        <v>5735567</v>
      </c>
      <c r="E51" s="34">
        <v>8468096</v>
      </c>
      <c r="F51" s="34">
        <v>6504818</v>
      </c>
      <c r="G51" s="34">
        <v>6253302</v>
      </c>
      <c r="H51" s="34">
        <v>5032522</v>
      </c>
      <c r="I51" s="34">
        <v>3540130</v>
      </c>
      <c r="J51" s="34">
        <v>3532970</v>
      </c>
      <c r="K51" s="34">
        <v>5281737</v>
      </c>
      <c r="L51" s="34">
        <v>4308511</v>
      </c>
      <c r="M51" s="34">
        <v>4342644</v>
      </c>
      <c r="N51" s="34">
        <v>58689809</v>
      </c>
      <c r="O51" s="34"/>
      <c r="P51" s="34"/>
    </row>
    <row r="52" spans="1:16" x14ac:dyDescent="0.45">
      <c r="A52" s="32" t="s">
        <v>67</v>
      </c>
      <c r="B52" s="34">
        <v>2381660</v>
      </c>
      <c r="C52" s="34">
        <v>2510739</v>
      </c>
      <c r="D52" s="34">
        <v>4610423</v>
      </c>
      <c r="E52" s="34">
        <v>6736281</v>
      </c>
      <c r="F52" s="34">
        <v>5451524</v>
      </c>
      <c r="G52" s="34">
        <v>4897642</v>
      </c>
      <c r="H52" s="34">
        <v>3314805</v>
      </c>
      <c r="I52" s="34">
        <v>2524761</v>
      </c>
      <c r="J52" s="34">
        <v>2587953</v>
      </c>
      <c r="K52" s="34">
        <v>4902342</v>
      </c>
      <c r="L52" s="34">
        <v>3258043</v>
      </c>
      <c r="M52" s="34">
        <v>3377313</v>
      </c>
      <c r="N52" s="34">
        <v>46553486</v>
      </c>
      <c r="O52" s="34"/>
      <c r="P52" s="34"/>
    </row>
    <row r="53" spans="1:16" x14ac:dyDescent="0.45">
      <c r="A53" s="32" t="s">
        <v>63</v>
      </c>
      <c r="B53" s="34">
        <v>2394733</v>
      </c>
      <c r="C53" s="34">
        <v>2197264</v>
      </c>
      <c r="D53" s="34">
        <v>4211342</v>
      </c>
      <c r="E53" s="34">
        <v>5867734</v>
      </c>
      <c r="F53" s="34">
        <v>4544885</v>
      </c>
      <c r="G53" s="34">
        <v>4314976</v>
      </c>
      <c r="H53" s="34">
        <v>3974317</v>
      </c>
      <c r="I53" s="34">
        <v>2919313</v>
      </c>
      <c r="J53" s="34">
        <v>2716397</v>
      </c>
      <c r="K53" s="34">
        <v>4295310</v>
      </c>
      <c r="L53" s="34">
        <v>3095286</v>
      </c>
      <c r="M53" s="34">
        <v>2944908</v>
      </c>
      <c r="N53" s="34">
        <v>43476465</v>
      </c>
      <c r="O53" s="34"/>
      <c r="P53" s="34"/>
    </row>
    <row r="54" spans="1:16" x14ac:dyDescent="0.45">
      <c r="A54" s="32" t="s">
        <v>74</v>
      </c>
      <c r="B54" s="34">
        <v>1418403</v>
      </c>
      <c r="C54" s="34">
        <v>1311545</v>
      </c>
      <c r="D54" s="34">
        <v>2977359</v>
      </c>
      <c r="E54" s="34">
        <v>4492821</v>
      </c>
      <c r="F54" s="34">
        <v>3724435</v>
      </c>
      <c r="G54" s="34">
        <v>3320389</v>
      </c>
      <c r="H54" s="34">
        <v>2146134</v>
      </c>
      <c r="I54" s="34">
        <v>1717154</v>
      </c>
      <c r="J54" s="34">
        <v>1575070</v>
      </c>
      <c r="K54" s="34">
        <v>2632114</v>
      </c>
      <c r="L54" s="34">
        <v>2182528</v>
      </c>
      <c r="M54" s="34">
        <v>2137229</v>
      </c>
      <c r="N54" s="34">
        <v>29635181</v>
      </c>
      <c r="O54" s="34"/>
      <c r="P54" s="34"/>
    </row>
    <row r="55" spans="1:16" x14ac:dyDescent="0.45">
      <c r="A55" s="32" t="s">
        <v>42</v>
      </c>
      <c r="B55" s="34">
        <v>1295741</v>
      </c>
      <c r="C55" s="34">
        <v>1221597</v>
      </c>
      <c r="D55" s="34">
        <v>2562181</v>
      </c>
      <c r="E55" s="34">
        <v>3667594</v>
      </c>
      <c r="F55" s="34">
        <v>3019385</v>
      </c>
      <c r="G55" s="34"/>
      <c r="H55" s="34"/>
      <c r="I55" s="34">
        <v>1488013</v>
      </c>
      <c r="J55" s="34">
        <v>1400080</v>
      </c>
      <c r="K55" s="34">
        <v>2132205</v>
      </c>
      <c r="L55" s="34">
        <v>1735850</v>
      </c>
      <c r="M55" s="34">
        <v>1879906</v>
      </c>
      <c r="N55" s="34">
        <v>20402552</v>
      </c>
      <c r="O55" s="34"/>
      <c r="P55" s="34"/>
    </row>
    <row r="56" spans="1:16" x14ac:dyDescent="0.45">
      <c r="A56" s="32" t="s">
        <v>46</v>
      </c>
      <c r="B56" s="34">
        <v>3167636</v>
      </c>
      <c r="C56" s="34">
        <v>2775997</v>
      </c>
      <c r="D56" s="34">
        <v>5862950</v>
      </c>
      <c r="E56" s="34">
        <v>8369300</v>
      </c>
      <c r="F56" s="34">
        <v>6324332</v>
      </c>
      <c r="G56" s="34">
        <v>6083429</v>
      </c>
      <c r="H56" s="34">
        <v>4801988</v>
      </c>
      <c r="I56" s="34">
        <v>3701545</v>
      </c>
      <c r="J56" s="34">
        <v>3991428</v>
      </c>
      <c r="K56" s="34">
        <v>5707890</v>
      </c>
      <c r="L56" s="34">
        <v>4634052</v>
      </c>
      <c r="M56" s="34">
        <v>4413303</v>
      </c>
      <c r="N56" s="34">
        <v>59833850</v>
      </c>
      <c r="O56" s="34"/>
      <c r="P56" s="34"/>
    </row>
    <row r="57" spans="1:16" x14ac:dyDescent="0.45">
      <c r="A57" s="32" t="s">
        <v>86</v>
      </c>
      <c r="B57" s="34">
        <v>1733611</v>
      </c>
      <c r="C57" s="34">
        <v>1523443</v>
      </c>
      <c r="D57" s="34">
        <v>3431006</v>
      </c>
      <c r="E57" s="34">
        <v>4617691</v>
      </c>
      <c r="F57" s="34">
        <v>3991244</v>
      </c>
      <c r="G57" s="34">
        <v>3784738</v>
      </c>
      <c r="H57" s="34">
        <v>2753034</v>
      </c>
      <c r="I57" s="34">
        <v>1804561</v>
      </c>
      <c r="J57" s="34">
        <v>1926287</v>
      </c>
      <c r="K57" s="34">
        <v>2803043</v>
      </c>
      <c r="L57" s="34">
        <v>2228895</v>
      </c>
      <c r="M57" s="34">
        <v>2571375</v>
      </c>
      <c r="N57" s="34">
        <v>33168928</v>
      </c>
      <c r="O57" s="34"/>
      <c r="P57" s="34"/>
    </row>
    <row r="58" spans="1:16" x14ac:dyDescent="0.45">
      <c r="A58" s="32" t="s">
        <v>71</v>
      </c>
      <c r="B58" s="34">
        <v>1833187</v>
      </c>
      <c r="C58" s="34">
        <v>1724957</v>
      </c>
      <c r="D58" s="34">
        <v>3676328</v>
      </c>
      <c r="E58" s="34">
        <v>5230009</v>
      </c>
      <c r="F58" s="34">
        <v>4309935</v>
      </c>
      <c r="G58" s="34">
        <v>3566968</v>
      </c>
      <c r="H58" s="34">
        <v>2569470</v>
      </c>
      <c r="I58" s="34">
        <v>2044693</v>
      </c>
      <c r="J58" s="34">
        <v>2088356</v>
      </c>
      <c r="K58" s="34">
        <v>3263461</v>
      </c>
      <c r="L58" s="34">
        <v>2498808</v>
      </c>
      <c r="M58" s="34">
        <v>2668009</v>
      </c>
      <c r="N58" s="34">
        <v>35474181</v>
      </c>
      <c r="O58" s="34"/>
      <c r="P58" s="34"/>
    </row>
    <row r="59" spans="1:16" x14ac:dyDescent="0.45">
      <c r="A59" s="32" t="s">
        <v>69</v>
      </c>
      <c r="B59" s="34">
        <v>1877702</v>
      </c>
      <c r="C59" s="34">
        <v>1656623</v>
      </c>
      <c r="D59" s="34">
        <v>3565826</v>
      </c>
      <c r="E59" s="34">
        <v>4758197</v>
      </c>
      <c r="F59" s="34">
        <v>3708027</v>
      </c>
      <c r="G59" s="34">
        <v>3371465</v>
      </c>
      <c r="H59" s="34">
        <v>2334333</v>
      </c>
      <c r="I59" s="34">
        <v>1922320</v>
      </c>
      <c r="J59" s="34">
        <v>1837116</v>
      </c>
      <c r="K59" s="34">
        <v>2696712</v>
      </c>
      <c r="L59" s="34">
        <v>2333067</v>
      </c>
      <c r="M59" s="34">
        <v>2574860</v>
      </c>
      <c r="N59" s="34">
        <v>32636248</v>
      </c>
      <c r="O59" s="34"/>
      <c r="P59" s="34"/>
    </row>
    <row r="60" spans="1:16" x14ac:dyDescent="0.45">
      <c r="A60" s="32" t="s">
        <v>121</v>
      </c>
      <c r="B60" s="34">
        <v>102839349</v>
      </c>
      <c r="C60" s="34">
        <v>94726773</v>
      </c>
      <c r="D60" s="34">
        <v>199536411</v>
      </c>
      <c r="E60" s="34">
        <v>288681666</v>
      </c>
      <c r="F60" s="34">
        <v>225846075</v>
      </c>
      <c r="G60" s="34">
        <v>205058102</v>
      </c>
      <c r="H60" s="34">
        <v>152338303</v>
      </c>
      <c r="I60" s="34">
        <v>114816431</v>
      </c>
      <c r="J60" s="34">
        <v>112282486</v>
      </c>
      <c r="K60" s="34">
        <v>168537020</v>
      </c>
      <c r="L60" s="34">
        <v>141039576</v>
      </c>
      <c r="M60" s="34">
        <v>145773672</v>
      </c>
      <c r="N60" s="34">
        <v>1951475864</v>
      </c>
      <c r="O60" s="34"/>
      <c r="P60" s="34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D1B9-78CB-40A1-80A7-6BFF75D2B379}">
  <dimension ref="A1:P60"/>
  <sheetViews>
    <sheetView workbookViewId="0"/>
  </sheetViews>
  <sheetFormatPr defaultRowHeight="18" x14ac:dyDescent="0.45"/>
  <cols>
    <col min="1" max="1" width="12.3984375" bestFit="1" customWidth="1"/>
    <col min="2" max="2" width="16.296875" bestFit="1" customWidth="1"/>
    <col min="3" max="3" width="22.19921875" bestFit="1" customWidth="1"/>
    <col min="4" max="4" width="14.5" bestFit="1" customWidth="1"/>
    <col min="5" max="5" width="12.5" bestFit="1" customWidth="1"/>
    <col min="6" max="6" width="10.5" bestFit="1" customWidth="1"/>
    <col min="7" max="7" width="12.3984375" bestFit="1" customWidth="1"/>
    <col min="8" max="9" width="14.5" bestFit="1" customWidth="1"/>
    <col min="10" max="10" width="18.296875" bestFit="1" customWidth="1"/>
    <col min="11" max="11" width="16.296875" bestFit="1" customWidth="1"/>
    <col min="12" max="12" width="12.5" bestFit="1" customWidth="1"/>
    <col min="13" max="13" width="16.3984375" bestFit="1" customWidth="1"/>
    <col min="14" max="14" width="12.3984375" bestFit="1" customWidth="1"/>
    <col min="15" max="15" width="18.296875" bestFit="1" customWidth="1"/>
  </cols>
  <sheetData>
    <row r="1" spans="1:16" ht="19.8" x14ac:dyDescent="0.45">
      <c r="A1" s="33" t="s">
        <v>126</v>
      </c>
    </row>
    <row r="2" spans="1:16" x14ac:dyDescent="0.45">
      <c r="A2" s="31" t="s">
        <v>1</v>
      </c>
      <c r="B2" t="s">
        <v>124</v>
      </c>
    </row>
    <row r="3" spans="1:16" x14ac:dyDescent="0.45">
      <c r="A3" s="31" t="s">
        <v>2</v>
      </c>
      <c r="B3" s="32">
        <v>1</v>
      </c>
    </row>
    <row r="5" spans="1:16" x14ac:dyDescent="0.45">
      <c r="A5" s="31" t="s">
        <v>120</v>
      </c>
      <c r="B5" t="s">
        <v>127</v>
      </c>
      <c r="C5" t="s">
        <v>128</v>
      </c>
      <c r="D5" t="s">
        <v>129</v>
      </c>
      <c r="E5" t="s">
        <v>130</v>
      </c>
      <c r="F5" t="s">
        <v>131</v>
      </c>
      <c r="G5" t="s">
        <v>132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</row>
    <row r="6" spans="1:16" x14ac:dyDescent="0.45">
      <c r="A6" s="32" t="s">
        <v>56</v>
      </c>
      <c r="B6" s="34">
        <v>2149</v>
      </c>
      <c r="C6" s="34">
        <v>78</v>
      </c>
      <c r="D6" s="34">
        <v>56</v>
      </c>
      <c r="E6" s="34">
        <v>367</v>
      </c>
      <c r="F6" s="34">
        <v>29</v>
      </c>
      <c r="G6" s="34">
        <v>253</v>
      </c>
      <c r="H6" s="34">
        <v>50</v>
      </c>
      <c r="I6" s="34">
        <v>190</v>
      </c>
      <c r="J6" s="34">
        <v>40</v>
      </c>
      <c r="K6" s="34">
        <v>49</v>
      </c>
      <c r="L6" s="34">
        <v>108</v>
      </c>
      <c r="M6" s="34">
        <v>79</v>
      </c>
      <c r="N6" s="34">
        <v>28</v>
      </c>
      <c r="O6" s="34">
        <v>9</v>
      </c>
      <c r="P6" s="34"/>
    </row>
    <row r="7" spans="1:16" x14ac:dyDescent="0.45">
      <c r="A7" s="32" t="s">
        <v>55</v>
      </c>
      <c r="B7" s="34">
        <v>2584</v>
      </c>
      <c r="C7" s="34">
        <v>102</v>
      </c>
      <c r="D7" s="34">
        <v>51</v>
      </c>
      <c r="E7" s="34">
        <v>320</v>
      </c>
      <c r="F7" s="34">
        <v>25</v>
      </c>
      <c r="G7" s="34">
        <v>322</v>
      </c>
      <c r="H7" s="34">
        <v>40</v>
      </c>
      <c r="I7" s="34">
        <v>217</v>
      </c>
      <c r="J7" s="34">
        <v>47</v>
      </c>
      <c r="K7" s="34">
        <v>52</v>
      </c>
      <c r="L7" s="34">
        <v>104</v>
      </c>
      <c r="M7" s="34">
        <v>90</v>
      </c>
      <c r="N7" s="34">
        <v>56</v>
      </c>
      <c r="O7" s="34">
        <v>3</v>
      </c>
      <c r="P7" s="34"/>
    </row>
    <row r="8" spans="1:16" x14ac:dyDescent="0.45">
      <c r="A8" s="32" t="s">
        <v>76</v>
      </c>
      <c r="B8" s="34">
        <v>853</v>
      </c>
      <c r="C8" s="34">
        <v>61</v>
      </c>
      <c r="D8" s="34">
        <v>29</v>
      </c>
      <c r="E8" s="34">
        <v>152</v>
      </c>
      <c r="F8" s="34">
        <v>5</v>
      </c>
      <c r="G8" s="34">
        <v>143</v>
      </c>
      <c r="H8" s="34">
        <v>24</v>
      </c>
      <c r="I8" s="34">
        <v>138</v>
      </c>
      <c r="J8" s="34">
        <v>38</v>
      </c>
      <c r="K8" s="34">
        <v>19</v>
      </c>
      <c r="L8" s="34">
        <v>43</v>
      </c>
      <c r="M8" s="34">
        <v>55</v>
      </c>
      <c r="N8" s="34">
        <v>27</v>
      </c>
      <c r="O8" s="34">
        <v>1</v>
      </c>
      <c r="P8" s="34"/>
    </row>
    <row r="9" spans="1:16" x14ac:dyDescent="0.45">
      <c r="A9" s="32" t="s">
        <v>80</v>
      </c>
      <c r="B9" s="34">
        <v>732</v>
      </c>
      <c r="C9" s="34">
        <v>32</v>
      </c>
      <c r="D9" s="34">
        <v>31</v>
      </c>
      <c r="E9" s="34">
        <v>160</v>
      </c>
      <c r="F9" s="34">
        <v>8</v>
      </c>
      <c r="G9" s="34">
        <v>133</v>
      </c>
      <c r="H9" s="34">
        <v>29</v>
      </c>
      <c r="I9" s="34">
        <v>108</v>
      </c>
      <c r="J9" s="34">
        <v>29</v>
      </c>
      <c r="K9" s="34">
        <v>29</v>
      </c>
      <c r="L9" s="34">
        <v>53</v>
      </c>
      <c r="M9" s="34">
        <v>47</v>
      </c>
      <c r="N9" s="34">
        <v>26</v>
      </c>
      <c r="O9" s="34">
        <v>4</v>
      </c>
      <c r="P9" s="34"/>
    </row>
    <row r="10" spans="1:16" x14ac:dyDescent="0.45">
      <c r="A10" s="32" t="s">
        <v>57</v>
      </c>
      <c r="B10" s="34">
        <v>1949</v>
      </c>
      <c r="C10" s="34">
        <v>66</v>
      </c>
      <c r="D10" s="34">
        <v>61</v>
      </c>
      <c r="E10" s="34">
        <v>224</v>
      </c>
      <c r="F10" s="34">
        <v>10</v>
      </c>
      <c r="G10" s="34">
        <v>263</v>
      </c>
      <c r="H10" s="34">
        <v>31</v>
      </c>
      <c r="I10" s="34">
        <v>159</v>
      </c>
      <c r="J10" s="34">
        <v>41</v>
      </c>
      <c r="K10" s="34">
        <v>21</v>
      </c>
      <c r="L10" s="34">
        <v>54</v>
      </c>
      <c r="M10" s="34">
        <v>23</v>
      </c>
      <c r="N10" s="34">
        <v>23</v>
      </c>
      <c r="O10" s="34">
        <v>0</v>
      </c>
      <c r="P10" s="34"/>
    </row>
    <row r="11" spans="1:16" x14ac:dyDescent="0.45">
      <c r="A11" s="32" t="s">
        <v>54</v>
      </c>
      <c r="B11" s="34">
        <v>633</v>
      </c>
      <c r="C11" s="34">
        <v>31</v>
      </c>
      <c r="D11" s="34">
        <v>29</v>
      </c>
      <c r="E11" s="34">
        <v>135</v>
      </c>
      <c r="F11" s="34">
        <v>15</v>
      </c>
      <c r="G11" s="34">
        <v>186</v>
      </c>
      <c r="H11" s="34">
        <v>24</v>
      </c>
      <c r="I11" s="34">
        <v>91</v>
      </c>
      <c r="J11" s="34">
        <v>28</v>
      </c>
      <c r="K11" s="34">
        <v>30</v>
      </c>
      <c r="L11" s="34">
        <v>41</v>
      </c>
      <c r="M11" s="34">
        <v>39</v>
      </c>
      <c r="N11" s="34">
        <v>23</v>
      </c>
      <c r="O11" s="34">
        <v>15</v>
      </c>
      <c r="P11" s="34"/>
    </row>
    <row r="12" spans="1:16" x14ac:dyDescent="0.45">
      <c r="A12" s="32" t="s">
        <v>37</v>
      </c>
      <c r="B12" s="34">
        <v>2201</v>
      </c>
      <c r="C12" s="34">
        <v>53</v>
      </c>
      <c r="D12" s="34">
        <v>31</v>
      </c>
      <c r="E12" s="34">
        <v>211</v>
      </c>
      <c r="F12" s="34">
        <v>2</v>
      </c>
      <c r="G12" s="34">
        <v>210</v>
      </c>
      <c r="H12" s="34">
        <v>19</v>
      </c>
      <c r="I12" s="34">
        <v>122</v>
      </c>
      <c r="J12" s="34">
        <v>29</v>
      </c>
      <c r="K12" s="34">
        <v>26</v>
      </c>
      <c r="L12" s="34">
        <v>54</v>
      </c>
      <c r="M12" s="34">
        <v>40</v>
      </c>
      <c r="N12" s="34">
        <v>26</v>
      </c>
      <c r="O12" s="34">
        <v>1</v>
      </c>
      <c r="P12" s="34"/>
    </row>
    <row r="13" spans="1:16" x14ac:dyDescent="0.45">
      <c r="A13" s="32" t="s">
        <v>59</v>
      </c>
      <c r="B13" s="34">
        <v>704</v>
      </c>
      <c r="C13" s="34">
        <v>32</v>
      </c>
      <c r="D13" s="34">
        <v>27</v>
      </c>
      <c r="E13" s="34">
        <v>165</v>
      </c>
      <c r="F13" s="34">
        <v>17</v>
      </c>
      <c r="G13" s="34">
        <v>179</v>
      </c>
      <c r="H13" s="34">
        <v>15</v>
      </c>
      <c r="I13" s="34">
        <v>88</v>
      </c>
      <c r="J13" s="34">
        <v>16</v>
      </c>
      <c r="K13" s="34">
        <v>38</v>
      </c>
      <c r="L13" s="34">
        <v>67</v>
      </c>
      <c r="M13" s="34">
        <v>58</v>
      </c>
      <c r="N13" s="34">
        <v>21</v>
      </c>
      <c r="O13" s="34">
        <v>4</v>
      </c>
      <c r="P13" s="34"/>
    </row>
    <row r="14" spans="1:16" x14ac:dyDescent="0.45">
      <c r="A14" s="32" t="s">
        <v>44</v>
      </c>
      <c r="B14" s="34">
        <v>2297</v>
      </c>
      <c r="C14" s="34">
        <v>70</v>
      </c>
      <c r="D14" s="34">
        <v>61</v>
      </c>
      <c r="E14" s="34">
        <v>418</v>
      </c>
      <c r="F14" s="34">
        <v>27</v>
      </c>
      <c r="G14" s="34">
        <v>345</v>
      </c>
      <c r="H14" s="34">
        <v>51</v>
      </c>
      <c r="I14" s="34">
        <v>239</v>
      </c>
      <c r="J14" s="34">
        <v>46</v>
      </c>
      <c r="K14" s="34">
        <v>49</v>
      </c>
      <c r="L14" s="34">
        <v>100</v>
      </c>
      <c r="M14" s="34">
        <v>101</v>
      </c>
      <c r="N14" s="34">
        <v>43</v>
      </c>
      <c r="O14" s="34">
        <v>13</v>
      </c>
      <c r="P14" s="34"/>
    </row>
    <row r="15" spans="1:16" x14ac:dyDescent="0.45">
      <c r="A15" s="32" t="s">
        <v>41</v>
      </c>
      <c r="B15" s="34">
        <v>2656</v>
      </c>
      <c r="C15" s="34">
        <v>178</v>
      </c>
      <c r="D15" s="34">
        <v>63</v>
      </c>
      <c r="E15" s="34">
        <v>260</v>
      </c>
      <c r="F15" s="34">
        <v>40</v>
      </c>
      <c r="G15" s="34">
        <v>338</v>
      </c>
      <c r="H15" s="34">
        <v>74</v>
      </c>
      <c r="I15" s="34">
        <v>248</v>
      </c>
      <c r="J15" s="34">
        <v>99</v>
      </c>
      <c r="K15" s="34">
        <v>76</v>
      </c>
      <c r="L15" s="34">
        <v>74</v>
      </c>
      <c r="M15" s="34">
        <v>96</v>
      </c>
      <c r="N15" s="34">
        <v>40</v>
      </c>
      <c r="O15" s="34">
        <v>13</v>
      </c>
      <c r="P15" s="34"/>
    </row>
    <row r="16" spans="1:16" x14ac:dyDescent="0.45">
      <c r="A16" s="32" t="s">
        <v>81</v>
      </c>
      <c r="B16" s="34">
        <v>718</v>
      </c>
      <c r="C16" s="34">
        <v>13</v>
      </c>
      <c r="D16" s="34">
        <v>33</v>
      </c>
      <c r="E16" s="34">
        <v>151</v>
      </c>
      <c r="F16" s="34">
        <v>20</v>
      </c>
      <c r="G16" s="34">
        <v>125</v>
      </c>
      <c r="H16" s="34">
        <v>33</v>
      </c>
      <c r="I16" s="34">
        <v>102</v>
      </c>
      <c r="J16" s="34">
        <v>22</v>
      </c>
      <c r="K16" s="34">
        <v>24</v>
      </c>
      <c r="L16" s="34">
        <v>39</v>
      </c>
      <c r="M16" s="34">
        <v>41</v>
      </c>
      <c r="N16" s="34">
        <v>13</v>
      </c>
      <c r="O16" s="34">
        <v>0</v>
      </c>
      <c r="P16" s="34"/>
    </row>
    <row r="17" spans="1:16" x14ac:dyDescent="0.45">
      <c r="A17" s="32" t="s">
        <v>72</v>
      </c>
      <c r="B17" s="34">
        <v>1231</v>
      </c>
      <c r="C17" s="34">
        <v>28</v>
      </c>
      <c r="D17" s="34">
        <v>64</v>
      </c>
      <c r="E17" s="34">
        <v>254</v>
      </c>
      <c r="F17" s="34">
        <v>23</v>
      </c>
      <c r="G17" s="34">
        <v>243</v>
      </c>
      <c r="H17" s="34">
        <v>34</v>
      </c>
      <c r="I17" s="34">
        <v>115</v>
      </c>
      <c r="J17" s="34">
        <v>37</v>
      </c>
      <c r="K17" s="34">
        <v>32</v>
      </c>
      <c r="L17" s="34">
        <v>57</v>
      </c>
      <c r="M17" s="34">
        <v>49</v>
      </c>
      <c r="N17" s="34">
        <v>26</v>
      </c>
      <c r="O17" s="34">
        <v>4</v>
      </c>
      <c r="P17" s="34"/>
    </row>
    <row r="18" spans="1:16" x14ac:dyDescent="0.45">
      <c r="A18" s="32" t="s">
        <v>68</v>
      </c>
      <c r="B18" s="34">
        <v>1640</v>
      </c>
      <c r="C18" s="34">
        <v>23</v>
      </c>
      <c r="D18" s="34">
        <v>20</v>
      </c>
      <c r="E18" s="34">
        <v>140</v>
      </c>
      <c r="F18" s="34">
        <v>103</v>
      </c>
      <c r="G18" s="34">
        <v>303</v>
      </c>
      <c r="H18" s="34">
        <v>15</v>
      </c>
      <c r="I18" s="34">
        <v>80</v>
      </c>
      <c r="J18" s="34">
        <v>19</v>
      </c>
      <c r="K18" s="34">
        <v>16</v>
      </c>
      <c r="L18" s="34">
        <v>37</v>
      </c>
      <c r="M18" s="34">
        <v>22</v>
      </c>
      <c r="N18" s="34">
        <v>20</v>
      </c>
      <c r="O18" s="34">
        <v>3</v>
      </c>
      <c r="P18" s="34"/>
    </row>
    <row r="19" spans="1:16" x14ac:dyDescent="0.45">
      <c r="A19" s="32" t="s">
        <v>75</v>
      </c>
      <c r="B19" s="34">
        <v>1452</v>
      </c>
      <c r="C19" s="34">
        <v>84</v>
      </c>
      <c r="D19" s="34">
        <v>43</v>
      </c>
      <c r="E19" s="34">
        <v>203</v>
      </c>
      <c r="F19" s="34">
        <v>17</v>
      </c>
      <c r="G19" s="34">
        <v>195</v>
      </c>
      <c r="H19" s="34">
        <v>48</v>
      </c>
      <c r="I19" s="34">
        <v>135</v>
      </c>
      <c r="J19" s="34">
        <v>44</v>
      </c>
      <c r="K19" s="34">
        <v>36</v>
      </c>
      <c r="L19" s="34">
        <v>98</v>
      </c>
      <c r="M19" s="34">
        <v>77</v>
      </c>
      <c r="N19" s="34">
        <v>23</v>
      </c>
      <c r="O19" s="34">
        <v>5</v>
      </c>
      <c r="P19" s="34"/>
    </row>
    <row r="20" spans="1:16" x14ac:dyDescent="0.45">
      <c r="A20" s="32" t="s">
        <v>43</v>
      </c>
      <c r="B20" s="34">
        <v>1028</v>
      </c>
      <c r="C20" s="34">
        <v>54</v>
      </c>
      <c r="D20" s="34">
        <v>39</v>
      </c>
      <c r="E20" s="34">
        <v>230</v>
      </c>
      <c r="F20" s="34">
        <v>6</v>
      </c>
      <c r="G20" s="34">
        <v>173</v>
      </c>
      <c r="H20" s="34">
        <v>35</v>
      </c>
      <c r="I20" s="34">
        <v>145</v>
      </c>
      <c r="J20" s="34">
        <v>22</v>
      </c>
      <c r="K20" s="34">
        <v>31</v>
      </c>
      <c r="L20" s="34">
        <v>59</v>
      </c>
      <c r="M20" s="34">
        <v>90</v>
      </c>
      <c r="N20" s="34">
        <v>26</v>
      </c>
      <c r="O20" s="34">
        <v>23</v>
      </c>
      <c r="P20" s="34"/>
    </row>
    <row r="21" spans="1:16" x14ac:dyDescent="0.45">
      <c r="A21" s="32" t="s">
        <v>84</v>
      </c>
      <c r="B21" s="34">
        <v>1474</v>
      </c>
      <c r="C21" s="34">
        <v>49</v>
      </c>
      <c r="D21" s="34">
        <v>44</v>
      </c>
      <c r="E21" s="34">
        <v>181</v>
      </c>
      <c r="F21" s="34">
        <v>15</v>
      </c>
      <c r="G21" s="34">
        <v>212</v>
      </c>
      <c r="H21" s="34">
        <v>39</v>
      </c>
      <c r="I21" s="34">
        <v>162</v>
      </c>
      <c r="J21" s="34">
        <v>31</v>
      </c>
      <c r="K21" s="34">
        <v>38</v>
      </c>
      <c r="L21" s="34">
        <v>45</v>
      </c>
      <c r="M21" s="34">
        <v>72</v>
      </c>
      <c r="N21" s="34">
        <v>18</v>
      </c>
      <c r="O21" s="34">
        <v>2</v>
      </c>
      <c r="P21" s="34"/>
    </row>
    <row r="22" spans="1:16" x14ac:dyDescent="0.45">
      <c r="A22" s="32" t="s">
        <v>40</v>
      </c>
      <c r="B22" s="34">
        <v>2226</v>
      </c>
      <c r="C22" s="34">
        <v>86</v>
      </c>
      <c r="D22" s="34">
        <v>36</v>
      </c>
      <c r="E22" s="34">
        <v>255</v>
      </c>
      <c r="F22" s="34">
        <v>20</v>
      </c>
      <c r="G22" s="34">
        <v>375</v>
      </c>
      <c r="H22" s="34">
        <v>32</v>
      </c>
      <c r="I22" s="34">
        <v>215</v>
      </c>
      <c r="J22" s="34">
        <v>70</v>
      </c>
      <c r="K22" s="34">
        <v>27</v>
      </c>
      <c r="L22" s="34">
        <v>85</v>
      </c>
      <c r="M22" s="34">
        <v>74</v>
      </c>
      <c r="N22" s="34">
        <v>45</v>
      </c>
      <c r="O22" s="34">
        <v>3</v>
      </c>
      <c r="P22" s="34"/>
    </row>
    <row r="23" spans="1:16" x14ac:dyDescent="0.45">
      <c r="A23" s="32" t="s">
        <v>39</v>
      </c>
      <c r="B23" s="34">
        <v>1577</v>
      </c>
      <c r="C23" s="34">
        <v>47</v>
      </c>
      <c r="D23" s="34">
        <v>69</v>
      </c>
      <c r="E23" s="34">
        <v>299</v>
      </c>
      <c r="F23" s="34">
        <v>21</v>
      </c>
      <c r="G23" s="34">
        <v>303</v>
      </c>
      <c r="H23" s="34">
        <v>33</v>
      </c>
      <c r="I23" s="34">
        <v>136</v>
      </c>
      <c r="J23" s="34">
        <v>33</v>
      </c>
      <c r="K23" s="34">
        <v>50</v>
      </c>
      <c r="L23" s="34">
        <v>55</v>
      </c>
      <c r="M23" s="34">
        <v>65</v>
      </c>
      <c r="N23" s="34">
        <v>26</v>
      </c>
      <c r="O23" s="34">
        <v>8</v>
      </c>
      <c r="P23" s="34"/>
    </row>
    <row r="24" spans="1:16" x14ac:dyDescent="0.45">
      <c r="A24" s="32" t="s">
        <v>36</v>
      </c>
      <c r="B24" s="34">
        <v>2380</v>
      </c>
      <c r="C24" s="34">
        <v>77</v>
      </c>
      <c r="D24" s="34">
        <v>33</v>
      </c>
      <c r="E24" s="34">
        <v>330</v>
      </c>
      <c r="F24" s="34">
        <v>26</v>
      </c>
      <c r="G24" s="34">
        <v>330</v>
      </c>
      <c r="H24" s="34">
        <v>43</v>
      </c>
      <c r="I24" s="34">
        <v>179</v>
      </c>
      <c r="J24" s="34">
        <v>54</v>
      </c>
      <c r="K24" s="34">
        <v>32</v>
      </c>
      <c r="L24" s="34">
        <v>74</v>
      </c>
      <c r="M24" s="34">
        <v>60</v>
      </c>
      <c r="N24" s="34">
        <v>33</v>
      </c>
      <c r="O24" s="34">
        <v>7</v>
      </c>
      <c r="P24" s="34"/>
    </row>
    <row r="25" spans="1:16" x14ac:dyDescent="0.45">
      <c r="A25" s="32" t="s">
        <v>48</v>
      </c>
      <c r="B25" s="34">
        <v>1710</v>
      </c>
      <c r="C25" s="34">
        <v>67</v>
      </c>
      <c r="D25" s="34">
        <v>31</v>
      </c>
      <c r="E25" s="34">
        <v>267</v>
      </c>
      <c r="F25" s="34">
        <v>26</v>
      </c>
      <c r="G25" s="34">
        <v>252</v>
      </c>
      <c r="H25" s="34">
        <v>42</v>
      </c>
      <c r="I25" s="34">
        <v>142</v>
      </c>
      <c r="J25" s="34">
        <v>31</v>
      </c>
      <c r="K25" s="34">
        <v>36</v>
      </c>
      <c r="L25" s="34">
        <v>53</v>
      </c>
      <c r="M25" s="34">
        <v>41</v>
      </c>
      <c r="N25" s="34">
        <v>28</v>
      </c>
      <c r="O25" s="34">
        <v>1</v>
      </c>
      <c r="P25" s="34"/>
    </row>
    <row r="26" spans="1:16" x14ac:dyDescent="0.45">
      <c r="A26" s="32" t="s">
        <v>60</v>
      </c>
      <c r="B26" s="34">
        <v>641</v>
      </c>
      <c r="C26" s="34">
        <v>24</v>
      </c>
      <c r="D26" s="34">
        <v>15</v>
      </c>
      <c r="E26" s="34">
        <v>103</v>
      </c>
      <c r="F26" s="34">
        <v>15</v>
      </c>
      <c r="G26" s="34">
        <v>113</v>
      </c>
      <c r="H26" s="34">
        <v>11</v>
      </c>
      <c r="I26" s="34">
        <v>44</v>
      </c>
      <c r="J26" s="34">
        <v>18</v>
      </c>
      <c r="K26" s="34">
        <v>10</v>
      </c>
      <c r="L26" s="34">
        <v>40</v>
      </c>
      <c r="M26" s="34">
        <v>16</v>
      </c>
      <c r="N26" s="34">
        <v>10</v>
      </c>
      <c r="O26" s="34">
        <v>0</v>
      </c>
      <c r="P26" s="34"/>
    </row>
    <row r="27" spans="1:16" x14ac:dyDescent="0.45">
      <c r="A27" s="32" t="s">
        <v>53</v>
      </c>
      <c r="B27" s="34">
        <v>689</v>
      </c>
      <c r="C27" s="34">
        <v>26</v>
      </c>
      <c r="D27" s="34">
        <v>10</v>
      </c>
      <c r="E27" s="34">
        <v>95</v>
      </c>
      <c r="F27" s="34">
        <v>6</v>
      </c>
      <c r="G27" s="34">
        <v>125</v>
      </c>
      <c r="H27" s="34">
        <v>8</v>
      </c>
      <c r="I27" s="34">
        <v>120</v>
      </c>
      <c r="J27" s="34">
        <v>25</v>
      </c>
      <c r="K27" s="34">
        <v>14</v>
      </c>
      <c r="L27" s="34">
        <v>41</v>
      </c>
      <c r="M27" s="34">
        <v>48</v>
      </c>
      <c r="N27" s="34">
        <v>18</v>
      </c>
      <c r="O27" s="34">
        <v>4</v>
      </c>
      <c r="P27" s="34"/>
    </row>
    <row r="28" spans="1:16" x14ac:dyDescent="0.45">
      <c r="A28" s="32" t="s">
        <v>79</v>
      </c>
      <c r="B28" s="34">
        <v>1472</v>
      </c>
      <c r="C28" s="34">
        <v>65</v>
      </c>
      <c r="D28" s="34">
        <v>45</v>
      </c>
      <c r="E28" s="34">
        <v>239</v>
      </c>
      <c r="F28" s="34">
        <v>31</v>
      </c>
      <c r="G28" s="34">
        <v>253</v>
      </c>
      <c r="H28" s="34">
        <v>41</v>
      </c>
      <c r="I28" s="34">
        <v>163</v>
      </c>
      <c r="J28" s="34">
        <v>41</v>
      </c>
      <c r="K28" s="34">
        <v>43</v>
      </c>
      <c r="L28" s="34">
        <v>58</v>
      </c>
      <c r="M28" s="34">
        <v>72</v>
      </c>
      <c r="N28" s="34">
        <v>20</v>
      </c>
      <c r="O28" s="34">
        <v>11</v>
      </c>
      <c r="P28" s="34"/>
    </row>
    <row r="29" spans="1:16" x14ac:dyDescent="0.45">
      <c r="A29" s="32" t="s">
        <v>77</v>
      </c>
      <c r="B29" s="34">
        <v>1055</v>
      </c>
      <c r="C29" s="34">
        <v>72</v>
      </c>
      <c r="D29" s="34">
        <v>41</v>
      </c>
      <c r="E29" s="34">
        <v>172</v>
      </c>
      <c r="F29" s="34">
        <v>8</v>
      </c>
      <c r="G29" s="34">
        <v>179</v>
      </c>
      <c r="H29" s="34">
        <v>28</v>
      </c>
      <c r="I29" s="34">
        <v>89</v>
      </c>
      <c r="J29" s="34">
        <v>28</v>
      </c>
      <c r="K29" s="34">
        <v>22</v>
      </c>
      <c r="L29" s="34">
        <v>55</v>
      </c>
      <c r="M29" s="34">
        <v>52</v>
      </c>
      <c r="N29" s="34">
        <v>20</v>
      </c>
      <c r="O29" s="34">
        <v>5</v>
      </c>
      <c r="P29" s="34"/>
    </row>
    <row r="30" spans="1:16" x14ac:dyDescent="0.45">
      <c r="A30" s="32" t="s">
        <v>82</v>
      </c>
      <c r="B30" s="34">
        <v>604</v>
      </c>
      <c r="C30" s="34">
        <v>40</v>
      </c>
      <c r="D30" s="34">
        <v>28</v>
      </c>
      <c r="E30" s="34">
        <v>92</v>
      </c>
      <c r="F30" s="34">
        <v>12</v>
      </c>
      <c r="G30" s="34">
        <v>117</v>
      </c>
      <c r="H30" s="34">
        <v>21</v>
      </c>
      <c r="I30" s="34">
        <v>89</v>
      </c>
      <c r="J30" s="34">
        <v>22</v>
      </c>
      <c r="K30" s="34">
        <v>15</v>
      </c>
      <c r="L30" s="34">
        <v>32</v>
      </c>
      <c r="M30" s="34">
        <v>44</v>
      </c>
      <c r="N30" s="34">
        <v>17</v>
      </c>
      <c r="O30" s="34">
        <v>5</v>
      </c>
      <c r="P30" s="34"/>
    </row>
    <row r="31" spans="1:16" x14ac:dyDescent="0.45">
      <c r="A31" s="32" t="s">
        <v>49</v>
      </c>
      <c r="B31" s="34">
        <v>1994</v>
      </c>
      <c r="C31" s="34">
        <v>40</v>
      </c>
      <c r="D31" s="34">
        <v>40</v>
      </c>
      <c r="E31" s="34">
        <v>182</v>
      </c>
      <c r="F31" s="34">
        <v>9</v>
      </c>
      <c r="G31" s="34">
        <v>163</v>
      </c>
      <c r="H31" s="34">
        <v>30</v>
      </c>
      <c r="I31" s="34">
        <v>106</v>
      </c>
      <c r="J31" s="34">
        <v>40</v>
      </c>
      <c r="K31" s="34">
        <v>33</v>
      </c>
      <c r="L31" s="34">
        <v>69</v>
      </c>
      <c r="M31" s="34">
        <v>54</v>
      </c>
      <c r="N31" s="34">
        <v>11</v>
      </c>
      <c r="O31" s="34">
        <v>3</v>
      </c>
      <c r="P31" s="34"/>
    </row>
    <row r="32" spans="1:16" x14ac:dyDescent="0.45">
      <c r="A32" s="32" t="s">
        <v>65</v>
      </c>
      <c r="B32" s="34">
        <v>2984</v>
      </c>
      <c r="C32" s="34">
        <v>159</v>
      </c>
      <c r="D32" s="34">
        <v>85</v>
      </c>
      <c r="E32" s="34">
        <v>467</v>
      </c>
      <c r="F32" s="34">
        <v>2</v>
      </c>
      <c r="G32" s="34">
        <v>377</v>
      </c>
      <c r="H32" s="34">
        <v>77</v>
      </c>
      <c r="I32" s="34">
        <v>244</v>
      </c>
      <c r="J32" s="34">
        <v>61</v>
      </c>
      <c r="K32" s="34">
        <v>89</v>
      </c>
      <c r="L32" s="34">
        <v>116</v>
      </c>
      <c r="M32" s="34">
        <v>69</v>
      </c>
      <c r="N32" s="34">
        <v>57</v>
      </c>
      <c r="O32" s="34">
        <v>3</v>
      </c>
      <c r="P32" s="34"/>
    </row>
    <row r="33" spans="1:16" x14ac:dyDescent="0.45">
      <c r="A33" s="32" t="s">
        <v>66</v>
      </c>
      <c r="B33" s="34">
        <v>1822</v>
      </c>
      <c r="C33" s="34">
        <v>34</v>
      </c>
      <c r="D33" s="34">
        <v>42</v>
      </c>
      <c r="E33" s="34">
        <v>193</v>
      </c>
      <c r="F33" s="34">
        <v>57</v>
      </c>
      <c r="G33" s="34">
        <v>265</v>
      </c>
      <c r="H33" s="34">
        <v>34</v>
      </c>
      <c r="I33" s="34">
        <v>161</v>
      </c>
      <c r="J33" s="34">
        <v>36</v>
      </c>
      <c r="K33" s="34">
        <v>36</v>
      </c>
      <c r="L33" s="34">
        <v>57</v>
      </c>
      <c r="M33" s="34">
        <v>58</v>
      </c>
      <c r="N33" s="34">
        <v>29</v>
      </c>
      <c r="O33" s="34">
        <v>2</v>
      </c>
      <c r="P33" s="34"/>
    </row>
    <row r="34" spans="1:16" x14ac:dyDescent="0.45">
      <c r="A34" s="32" t="s">
        <v>50</v>
      </c>
      <c r="B34" s="34">
        <v>729</v>
      </c>
      <c r="C34" s="34">
        <v>43</v>
      </c>
      <c r="D34" s="34">
        <v>19</v>
      </c>
      <c r="E34" s="34">
        <v>99</v>
      </c>
      <c r="F34" s="34">
        <v>2</v>
      </c>
      <c r="G34" s="34">
        <v>107</v>
      </c>
      <c r="H34" s="34">
        <v>15</v>
      </c>
      <c r="I34" s="34">
        <v>41</v>
      </c>
      <c r="J34" s="34">
        <v>12</v>
      </c>
      <c r="K34" s="34">
        <v>21</v>
      </c>
      <c r="L34" s="34">
        <v>56</v>
      </c>
      <c r="M34" s="34">
        <v>32</v>
      </c>
      <c r="N34" s="34">
        <v>16</v>
      </c>
      <c r="O34" s="34">
        <v>0</v>
      </c>
      <c r="P34" s="34"/>
    </row>
    <row r="35" spans="1:16" x14ac:dyDescent="0.45">
      <c r="A35" s="32" t="s">
        <v>85</v>
      </c>
      <c r="B35" s="34">
        <v>1157</v>
      </c>
      <c r="C35" s="34">
        <v>58</v>
      </c>
      <c r="D35" s="34">
        <v>40</v>
      </c>
      <c r="E35" s="34">
        <v>195</v>
      </c>
      <c r="F35" s="34">
        <v>11</v>
      </c>
      <c r="G35" s="34">
        <v>174</v>
      </c>
      <c r="H35" s="34">
        <v>26</v>
      </c>
      <c r="I35" s="34">
        <v>130</v>
      </c>
      <c r="J35" s="34">
        <v>27</v>
      </c>
      <c r="K35" s="34">
        <v>26</v>
      </c>
      <c r="L35" s="34">
        <v>76</v>
      </c>
      <c r="M35" s="34">
        <v>50</v>
      </c>
      <c r="N35" s="34">
        <v>16</v>
      </c>
      <c r="O35" s="34">
        <v>2</v>
      </c>
      <c r="P35" s="34"/>
    </row>
    <row r="36" spans="1:16" x14ac:dyDescent="0.45">
      <c r="A36" s="32" t="s">
        <v>35</v>
      </c>
      <c r="B36" s="34">
        <v>2040</v>
      </c>
      <c r="C36" s="34">
        <v>50</v>
      </c>
      <c r="D36" s="34">
        <v>34</v>
      </c>
      <c r="E36" s="34">
        <v>267</v>
      </c>
      <c r="F36" s="34">
        <v>6</v>
      </c>
      <c r="G36" s="34">
        <v>292</v>
      </c>
      <c r="H36" s="34">
        <v>45</v>
      </c>
      <c r="I36" s="34">
        <v>144</v>
      </c>
      <c r="J36" s="34">
        <v>46</v>
      </c>
      <c r="K36" s="34">
        <v>32</v>
      </c>
      <c r="L36" s="34">
        <v>68</v>
      </c>
      <c r="M36" s="34">
        <v>77</v>
      </c>
      <c r="N36" s="34">
        <v>32</v>
      </c>
      <c r="O36" s="34">
        <v>6</v>
      </c>
      <c r="P36" s="34"/>
    </row>
    <row r="37" spans="1:16" x14ac:dyDescent="0.45">
      <c r="A37" s="32" t="s">
        <v>70</v>
      </c>
      <c r="B37" s="34">
        <v>1720</v>
      </c>
      <c r="C37" s="34">
        <v>31</v>
      </c>
      <c r="D37" s="34">
        <v>39</v>
      </c>
      <c r="E37" s="34">
        <v>252</v>
      </c>
      <c r="F37" s="34">
        <v>55</v>
      </c>
      <c r="G37" s="34">
        <v>279</v>
      </c>
      <c r="H37" s="34">
        <v>18</v>
      </c>
      <c r="I37" s="34">
        <v>93</v>
      </c>
      <c r="J37" s="34">
        <v>20</v>
      </c>
      <c r="K37" s="34">
        <v>23</v>
      </c>
      <c r="L37" s="34">
        <v>41</v>
      </c>
      <c r="M37" s="34">
        <v>64</v>
      </c>
      <c r="N37" s="34">
        <v>17</v>
      </c>
      <c r="O37" s="34">
        <v>6</v>
      </c>
      <c r="P37" s="34"/>
    </row>
    <row r="38" spans="1:16" x14ac:dyDescent="0.45">
      <c r="A38" s="32" t="s">
        <v>58</v>
      </c>
      <c r="B38" s="34">
        <v>4276</v>
      </c>
      <c r="C38" s="34">
        <v>165</v>
      </c>
      <c r="D38" s="34">
        <v>116</v>
      </c>
      <c r="E38" s="34">
        <v>612</v>
      </c>
      <c r="F38" s="34">
        <v>50</v>
      </c>
      <c r="G38" s="34">
        <v>649</v>
      </c>
      <c r="H38" s="34">
        <v>91</v>
      </c>
      <c r="I38" s="34">
        <v>301</v>
      </c>
      <c r="J38" s="34">
        <v>102</v>
      </c>
      <c r="K38" s="34">
        <v>73</v>
      </c>
      <c r="L38" s="34">
        <v>146</v>
      </c>
      <c r="M38" s="34">
        <v>132</v>
      </c>
      <c r="N38" s="34">
        <v>70</v>
      </c>
      <c r="O38" s="34">
        <v>13</v>
      </c>
      <c r="P38" s="34"/>
    </row>
    <row r="39" spans="1:16" x14ac:dyDescent="0.45">
      <c r="A39" s="32" t="s">
        <v>61</v>
      </c>
      <c r="B39" s="34">
        <v>1184</v>
      </c>
      <c r="C39" s="34">
        <v>60</v>
      </c>
      <c r="D39" s="34">
        <v>28</v>
      </c>
      <c r="E39" s="34">
        <v>174</v>
      </c>
      <c r="F39" s="34">
        <v>48</v>
      </c>
      <c r="G39" s="34">
        <v>186</v>
      </c>
      <c r="H39" s="34">
        <v>33</v>
      </c>
      <c r="I39" s="34">
        <v>90</v>
      </c>
      <c r="J39" s="34">
        <v>34</v>
      </c>
      <c r="K39" s="34">
        <v>28</v>
      </c>
      <c r="L39" s="34">
        <v>74</v>
      </c>
      <c r="M39" s="34">
        <v>50</v>
      </c>
      <c r="N39" s="34">
        <v>21</v>
      </c>
      <c r="O39" s="34">
        <v>0</v>
      </c>
      <c r="P39" s="34"/>
    </row>
    <row r="40" spans="1:16" x14ac:dyDescent="0.45">
      <c r="A40" s="32" t="s">
        <v>64</v>
      </c>
      <c r="B40" s="34">
        <v>375</v>
      </c>
      <c r="C40" s="34">
        <v>10</v>
      </c>
      <c r="D40" s="34">
        <v>0</v>
      </c>
      <c r="E40" s="34">
        <v>50</v>
      </c>
      <c r="F40" s="34">
        <v>2</v>
      </c>
      <c r="G40" s="34">
        <v>69</v>
      </c>
      <c r="H40" s="34">
        <v>5</v>
      </c>
      <c r="I40" s="34">
        <v>35</v>
      </c>
      <c r="J40" s="34">
        <v>7</v>
      </c>
      <c r="K40" s="34">
        <v>11</v>
      </c>
      <c r="L40" s="34">
        <v>7</v>
      </c>
      <c r="M40" s="34">
        <v>9</v>
      </c>
      <c r="N40" s="34">
        <v>9</v>
      </c>
      <c r="O40" s="34">
        <v>1</v>
      </c>
      <c r="P40" s="34"/>
    </row>
    <row r="41" spans="1:16" x14ac:dyDescent="0.45">
      <c r="A41" s="32" t="s">
        <v>83</v>
      </c>
      <c r="B41" s="34">
        <v>2304</v>
      </c>
      <c r="C41" s="34">
        <v>118</v>
      </c>
      <c r="D41" s="34">
        <v>209</v>
      </c>
      <c r="E41" s="34">
        <v>347</v>
      </c>
      <c r="F41" s="34">
        <v>35</v>
      </c>
      <c r="G41" s="34">
        <v>379</v>
      </c>
      <c r="H41" s="34">
        <v>76</v>
      </c>
      <c r="I41" s="34">
        <v>224</v>
      </c>
      <c r="J41" s="34">
        <v>62</v>
      </c>
      <c r="K41" s="34">
        <v>49</v>
      </c>
      <c r="L41" s="34">
        <v>88</v>
      </c>
      <c r="M41" s="34">
        <v>92</v>
      </c>
      <c r="N41" s="34">
        <v>46</v>
      </c>
      <c r="O41" s="34">
        <v>9</v>
      </c>
      <c r="P41" s="34"/>
    </row>
    <row r="42" spans="1:16" x14ac:dyDescent="0.45">
      <c r="A42" s="32" t="s">
        <v>73</v>
      </c>
      <c r="B42" s="34">
        <v>1563</v>
      </c>
      <c r="C42" s="34">
        <v>66</v>
      </c>
      <c r="D42" s="34">
        <v>41</v>
      </c>
      <c r="E42" s="34">
        <v>313</v>
      </c>
      <c r="F42" s="34">
        <v>34</v>
      </c>
      <c r="G42" s="34">
        <v>206</v>
      </c>
      <c r="H42" s="34">
        <v>49</v>
      </c>
      <c r="I42" s="34">
        <v>125</v>
      </c>
      <c r="J42" s="34">
        <v>41</v>
      </c>
      <c r="K42" s="34">
        <v>52</v>
      </c>
      <c r="L42" s="34">
        <v>74</v>
      </c>
      <c r="M42" s="34">
        <v>54</v>
      </c>
      <c r="N42" s="34">
        <v>31</v>
      </c>
      <c r="O42" s="34">
        <v>14</v>
      </c>
      <c r="P42" s="34"/>
    </row>
    <row r="43" spans="1:16" x14ac:dyDescent="0.45">
      <c r="A43" s="32" t="s">
        <v>45</v>
      </c>
      <c r="B43" s="34">
        <v>1350</v>
      </c>
      <c r="C43" s="34">
        <v>73</v>
      </c>
      <c r="D43" s="34">
        <v>25</v>
      </c>
      <c r="E43" s="34">
        <v>188</v>
      </c>
      <c r="F43" s="34">
        <v>13</v>
      </c>
      <c r="G43" s="34">
        <v>216</v>
      </c>
      <c r="H43" s="34">
        <v>8</v>
      </c>
      <c r="I43" s="34">
        <v>127</v>
      </c>
      <c r="J43" s="34">
        <v>26</v>
      </c>
      <c r="K43" s="34">
        <v>27</v>
      </c>
      <c r="L43" s="34">
        <v>63</v>
      </c>
      <c r="M43" s="34">
        <v>80</v>
      </c>
      <c r="N43" s="34">
        <v>29</v>
      </c>
      <c r="O43" s="34">
        <v>5</v>
      </c>
      <c r="P43" s="34"/>
    </row>
    <row r="44" spans="1:16" x14ac:dyDescent="0.45">
      <c r="A44" s="32" t="s">
        <v>47</v>
      </c>
      <c r="B44" s="34">
        <v>3133</v>
      </c>
      <c r="C44" s="34">
        <v>166</v>
      </c>
      <c r="D44" s="34">
        <v>92</v>
      </c>
      <c r="E44" s="34">
        <v>416</v>
      </c>
      <c r="F44" s="34">
        <v>32</v>
      </c>
      <c r="G44" s="34">
        <v>419</v>
      </c>
      <c r="H44" s="34">
        <v>77</v>
      </c>
      <c r="I44" s="34">
        <v>244</v>
      </c>
      <c r="J44" s="34">
        <v>67</v>
      </c>
      <c r="K44" s="34">
        <v>55</v>
      </c>
      <c r="L44" s="34">
        <v>121</v>
      </c>
      <c r="M44" s="34">
        <v>113</v>
      </c>
      <c r="N44" s="34">
        <v>47</v>
      </c>
      <c r="O44" s="34">
        <v>16</v>
      </c>
      <c r="P44" s="34"/>
    </row>
    <row r="45" spans="1:16" x14ac:dyDescent="0.45">
      <c r="A45" s="32" t="s">
        <v>52</v>
      </c>
      <c r="B45" s="34">
        <v>687</v>
      </c>
      <c r="C45" s="34">
        <v>50</v>
      </c>
      <c r="D45" s="34">
        <v>17</v>
      </c>
      <c r="E45" s="34">
        <v>115</v>
      </c>
      <c r="F45" s="34">
        <v>14</v>
      </c>
      <c r="G45" s="34">
        <v>129</v>
      </c>
      <c r="H45" s="34">
        <v>21</v>
      </c>
      <c r="I45" s="34">
        <v>98</v>
      </c>
      <c r="J45" s="34">
        <v>38</v>
      </c>
      <c r="K45" s="34">
        <v>25</v>
      </c>
      <c r="L45" s="34">
        <v>38</v>
      </c>
      <c r="M45" s="34">
        <v>50</v>
      </c>
      <c r="N45" s="34">
        <v>19</v>
      </c>
      <c r="O45" s="34">
        <v>3</v>
      </c>
      <c r="P45" s="34"/>
    </row>
    <row r="46" spans="1:16" x14ac:dyDescent="0.45">
      <c r="A46" s="32" t="s">
        <v>62</v>
      </c>
      <c r="B46" s="34">
        <v>2266</v>
      </c>
      <c r="C46" s="34">
        <v>69</v>
      </c>
      <c r="D46" s="34">
        <v>42</v>
      </c>
      <c r="E46" s="34">
        <v>419</v>
      </c>
      <c r="F46" s="34">
        <v>24</v>
      </c>
      <c r="G46" s="34">
        <v>351</v>
      </c>
      <c r="H46" s="34">
        <v>55</v>
      </c>
      <c r="I46" s="34">
        <v>187</v>
      </c>
      <c r="J46" s="34">
        <v>46</v>
      </c>
      <c r="K46" s="34">
        <v>63</v>
      </c>
      <c r="L46" s="34">
        <v>136</v>
      </c>
      <c r="M46" s="34">
        <v>85</v>
      </c>
      <c r="N46" s="34">
        <v>35</v>
      </c>
      <c r="O46" s="34">
        <v>5</v>
      </c>
      <c r="P46" s="34"/>
    </row>
    <row r="47" spans="1:16" x14ac:dyDescent="0.45">
      <c r="A47" s="32" t="s">
        <v>51</v>
      </c>
      <c r="B47" s="34">
        <v>2324</v>
      </c>
      <c r="C47" s="34">
        <v>87</v>
      </c>
      <c r="D47" s="34">
        <v>62</v>
      </c>
      <c r="E47" s="34">
        <v>398</v>
      </c>
      <c r="F47" s="34">
        <v>44</v>
      </c>
      <c r="G47" s="34">
        <v>364</v>
      </c>
      <c r="H47" s="34">
        <v>43</v>
      </c>
      <c r="I47" s="34">
        <v>162</v>
      </c>
      <c r="J47" s="34">
        <v>70</v>
      </c>
      <c r="K47" s="34">
        <v>58</v>
      </c>
      <c r="L47" s="34">
        <v>96</v>
      </c>
      <c r="M47" s="34">
        <v>106</v>
      </c>
      <c r="N47" s="34">
        <v>36</v>
      </c>
      <c r="O47" s="34">
        <v>0</v>
      </c>
      <c r="P47" s="34"/>
    </row>
    <row r="48" spans="1:16" x14ac:dyDescent="0.45">
      <c r="A48" s="32" t="s">
        <v>78</v>
      </c>
      <c r="B48" s="34">
        <v>1145</v>
      </c>
      <c r="C48" s="34">
        <v>61</v>
      </c>
      <c r="D48" s="34">
        <v>59</v>
      </c>
      <c r="E48" s="34">
        <v>219</v>
      </c>
      <c r="F48" s="34">
        <v>19</v>
      </c>
      <c r="G48" s="34">
        <v>261</v>
      </c>
      <c r="H48" s="34">
        <v>53</v>
      </c>
      <c r="I48" s="34">
        <v>168</v>
      </c>
      <c r="J48" s="34">
        <v>41</v>
      </c>
      <c r="K48" s="34">
        <v>47</v>
      </c>
      <c r="L48" s="34">
        <v>80</v>
      </c>
      <c r="M48" s="34">
        <v>79</v>
      </c>
      <c r="N48" s="34">
        <v>36</v>
      </c>
      <c r="O48" s="34">
        <v>7</v>
      </c>
      <c r="P48" s="34"/>
    </row>
    <row r="49" spans="1:16" x14ac:dyDescent="0.45">
      <c r="A49" s="32" t="s">
        <v>38</v>
      </c>
      <c r="B49" s="34">
        <v>1761</v>
      </c>
      <c r="C49" s="34">
        <v>113</v>
      </c>
      <c r="D49" s="34">
        <v>78</v>
      </c>
      <c r="E49" s="34">
        <v>295</v>
      </c>
      <c r="F49" s="34">
        <v>10</v>
      </c>
      <c r="G49" s="34">
        <v>332</v>
      </c>
      <c r="H49" s="34">
        <v>66</v>
      </c>
      <c r="I49" s="34">
        <v>203</v>
      </c>
      <c r="J49" s="34">
        <v>49</v>
      </c>
      <c r="K49" s="34">
        <v>49</v>
      </c>
      <c r="L49" s="34">
        <v>132</v>
      </c>
      <c r="M49" s="34">
        <v>78</v>
      </c>
      <c r="N49" s="34">
        <v>43</v>
      </c>
      <c r="O49" s="34">
        <v>11</v>
      </c>
      <c r="P49" s="34"/>
    </row>
    <row r="50" spans="1:16" x14ac:dyDescent="0.45">
      <c r="A50" s="32" t="s">
        <v>67</v>
      </c>
      <c r="B50" s="34">
        <v>1961</v>
      </c>
      <c r="C50" s="34">
        <v>43</v>
      </c>
      <c r="D50" s="34">
        <v>45</v>
      </c>
      <c r="E50" s="34">
        <v>307</v>
      </c>
      <c r="F50" s="34">
        <v>41</v>
      </c>
      <c r="G50" s="34">
        <v>399</v>
      </c>
      <c r="H50" s="34">
        <v>95</v>
      </c>
      <c r="I50" s="34">
        <v>160</v>
      </c>
      <c r="J50" s="34">
        <v>51</v>
      </c>
      <c r="K50" s="34">
        <v>61</v>
      </c>
      <c r="L50" s="34">
        <v>82</v>
      </c>
      <c r="M50" s="34">
        <v>89</v>
      </c>
      <c r="N50" s="34">
        <v>41</v>
      </c>
      <c r="O50" s="34">
        <v>7</v>
      </c>
      <c r="P50" s="34"/>
    </row>
    <row r="51" spans="1:16" x14ac:dyDescent="0.45">
      <c r="A51" s="32" t="s">
        <v>63</v>
      </c>
      <c r="B51" s="34">
        <v>1370</v>
      </c>
      <c r="C51" s="34">
        <v>69</v>
      </c>
      <c r="D51" s="34">
        <v>60</v>
      </c>
      <c r="E51" s="34">
        <v>224</v>
      </c>
      <c r="F51" s="34">
        <v>14</v>
      </c>
      <c r="G51" s="34">
        <v>227</v>
      </c>
      <c r="H51" s="34">
        <v>34</v>
      </c>
      <c r="I51" s="34">
        <v>145</v>
      </c>
      <c r="J51" s="34">
        <v>43</v>
      </c>
      <c r="K51" s="34">
        <v>33</v>
      </c>
      <c r="L51" s="34">
        <v>117</v>
      </c>
      <c r="M51" s="34">
        <v>117</v>
      </c>
      <c r="N51" s="34">
        <v>27</v>
      </c>
      <c r="O51" s="34">
        <v>16</v>
      </c>
      <c r="P51" s="34"/>
    </row>
    <row r="52" spans="1:16" x14ac:dyDescent="0.45">
      <c r="A52" s="32" t="s">
        <v>74</v>
      </c>
      <c r="B52" s="34">
        <v>1376</v>
      </c>
      <c r="C52" s="34">
        <v>21</v>
      </c>
      <c r="D52" s="34">
        <v>46</v>
      </c>
      <c r="E52" s="34">
        <v>228</v>
      </c>
      <c r="F52" s="34">
        <v>28</v>
      </c>
      <c r="G52" s="34">
        <v>217</v>
      </c>
      <c r="H52" s="34">
        <v>59</v>
      </c>
      <c r="I52" s="34">
        <v>131</v>
      </c>
      <c r="J52" s="34">
        <v>24</v>
      </c>
      <c r="K52" s="34">
        <v>30</v>
      </c>
      <c r="L52" s="34">
        <v>54</v>
      </c>
      <c r="M52" s="34">
        <v>71</v>
      </c>
      <c r="N52" s="34">
        <v>16</v>
      </c>
      <c r="O52" s="34">
        <v>6</v>
      </c>
      <c r="P52" s="34"/>
    </row>
    <row r="53" spans="1:16" x14ac:dyDescent="0.45">
      <c r="A53" s="32" t="s">
        <v>42</v>
      </c>
      <c r="B53" s="34">
        <v>1311</v>
      </c>
      <c r="C53" s="34">
        <v>74</v>
      </c>
      <c r="D53" s="34">
        <v>40</v>
      </c>
      <c r="E53" s="34">
        <v>136</v>
      </c>
      <c r="F53" s="34">
        <v>23</v>
      </c>
      <c r="G53" s="34">
        <v>247</v>
      </c>
      <c r="H53" s="34">
        <v>48</v>
      </c>
      <c r="I53" s="34">
        <v>156</v>
      </c>
      <c r="J53" s="34">
        <v>43</v>
      </c>
      <c r="K53" s="34">
        <v>32</v>
      </c>
      <c r="L53" s="34">
        <v>43</v>
      </c>
      <c r="M53" s="34">
        <v>41</v>
      </c>
      <c r="N53" s="34">
        <v>22</v>
      </c>
      <c r="O53" s="34">
        <v>0</v>
      </c>
      <c r="P53" s="34"/>
    </row>
    <row r="54" spans="1:16" x14ac:dyDescent="0.45">
      <c r="A54" s="32" t="s">
        <v>46</v>
      </c>
      <c r="B54" s="34">
        <v>2107</v>
      </c>
      <c r="C54" s="34">
        <v>88</v>
      </c>
      <c r="D54" s="34">
        <v>97</v>
      </c>
      <c r="E54" s="34">
        <v>309</v>
      </c>
      <c r="F54" s="34">
        <v>15</v>
      </c>
      <c r="G54" s="34">
        <v>386</v>
      </c>
      <c r="H54" s="34">
        <v>57</v>
      </c>
      <c r="I54" s="34">
        <v>255</v>
      </c>
      <c r="J54" s="34">
        <v>99</v>
      </c>
      <c r="K54" s="34">
        <v>95</v>
      </c>
      <c r="L54" s="34">
        <v>142</v>
      </c>
      <c r="M54" s="34">
        <v>136</v>
      </c>
      <c r="N54" s="34">
        <v>53</v>
      </c>
      <c r="O54" s="34">
        <v>12</v>
      </c>
      <c r="P54" s="34"/>
    </row>
    <row r="55" spans="1:16" x14ac:dyDescent="0.45">
      <c r="A55" s="32" t="s">
        <v>86</v>
      </c>
      <c r="B55" s="34">
        <v>839</v>
      </c>
      <c r="C55" s="34">
        <v>59</v>
      </c>
      <c r="D55" s="34">
        <v>46</v>
      </c>
      <c r="E55" s="34">
        <v>221</v>
      </c>
      <c r="F55" s="34">
        <v>21</v>
      </c>
      <c r="G55" s="34">
        <v>158</v>
      </c>
      <c r="H55" s="34">
        <v>35</v>
      </c>
      <c r="I55" s="34">
        <v>72</v>
      </c>
      <c r="J55" s="34">
        <v>22</v>
      </c>
      <c r="K55" s="34">
        <v>22</v>
      </c>
      <c r="L55" s="34">
        <v>56</v>
      </c>
      <c r="M55" s="34">
        <v>62</v>
      </c>
      <c r="N55" s="34">
        <v>24</v>
      </c>
      <c r="O55" s="34">
        <v>3</v>
      </c>
      <c r="P55" s="34"/>
    </row>
    <row r="56" spans="1:16" x14ac:dyDescent="0.45">
      <c r="A56" s="32" t="s">
        <v>71</v>
      </c>
      <c r="B56" s="34">
        <v>2428</v>
      </c>
      <c r="C56" s="34">
        <v>57</v>
      </c>
      <c r="D56" s="34">
        <v>50</v>
      </c>
      <c r="E56" s="34">
        <v>188</v>
      </c>
      <c r="F56" s="34">
        <v>190</v>
      </c>
      <c r="G56" s="34">
        <v>532</v>
      </c>
      <c r="H56" s="34">
        <v>48</v>
      </c>
      <c r="I56" s="34">
        <v>155</v>
      </c>
      <c r="J56" s="34">
        <v>45</v>
      </c>
      <c r="K56" s="34">
        <v>59</v>
      </c>
      <c r="L56" s="34">
        <v>75</v>
      </c>
      <c r="M56" s="34">
        <v>54</v>
      </c>
      <c r="N56" s="34">
        <v>16</v>
      </c>
      <c r="O56" s="34">
        <v>0</v>
      </c>
      <c r="P56" s="34"/>
    </row>
    <row r="57" spans="1:16" x14ac:dyDescent="0.45">
      <c r="A57" s="32" t="s">
        <v>69</v>
      </c>
      <c r="B57" s="34">
        <v>1417</v>
      </c>
      <c r="C57" s="34">
        <v>70</v>
      </c>
      <c r="D57" s="34">
        <v>48</v>
      </c>
      <c r="E57" s="34">
        <v>241</v>
      </c>
      <c r="F57" s="34">
        <v>22</v>
      </c>
      <c r="G57" s="34">
        <v>286</v>
      </c>
      <c r="H57" s="34">
        <v>71</v>
      </c>
      <c r="I57" s="34">
        <v>141</v>
      </c>
      <c r="J57" s="34">
        <v>45</v>
      </c>
      <c r="K57" s="34">
        <v>42</v>
      </c>
      <c r="L57" s="34">
        <v>60</v>
      </c>
      <c r="M57" s="34">
        <v>57</v>
      </c>
      <c r="N57" s="34">
        <v>25</v>
      </c>
      <c r="O57" s="34">
        <v>7</v>
      </c>
      <c r="P57" s="34"/>
    </row>
    <row r="58" spans="1:16" x14ac:dyDescent="0.45">
      <c r="A58" s="32" t="s">
        <v>121</v>
      </c>
      <c r="B58" s="34">
        <v>84278</v>
      </c>
      <c r="C58" s="34">
        <v>3392</v>
      </c>
      <c r="D58" s="34">
        <v>2490</v>
      </c>
      <c r="E58" s="34">
        <v>12478</v>
      </c>
      <c r="F58" s="34">
        <v>1348</v>
      </c>
      <c r="G58" s="34">
        <v>13340</v>
      </c>
      <c r="H58" s="34">
        <v>2089</v>
      </c>
      <c r="I58" s="34">
        <v>7614</v>
      </c>
      <c r="J58" s="34">
        <v>2107</v>
      </c>
      <c r="K58" s="34">
        <v>1986</v>
      </c>
      <c r="L58" s="34">
        <v>3693</v>
      </c>
      <c r="M58" s="34">
        <v>3410</v>
      </c>
      <c r="N58" s="34">
        <v>1480</v>
      </c>
      <c r="O58" s="34">
        <v>301</v>
      </c>
      <c r="P58" s="34"/>
    </row>
    <row r="59" spans="1:16" x14ac:dyDescent="0.45">
      <c r="P59" s="34"/>
    </row>
    <row r="60" spans="1:16" x14ac:dyDescent="0.45"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9372-6DE9-43CD-90C1-033437078684}">
  <dimension ref="A1:P60"/>
  <sheetViews>
    <sheetView workbookViewId="0"/>
  </sheetViews>
  <sheetFormatPr defaultRowHeight="18" x14ac:dyDescent="0.45"/>
  <cols>
    <col min="1" max="1" width="49.59765625" bestFit="1" customWidth="1"/>
    <col min="2" max="2" width="16.3984375" bestFit="1" customWidth="1"/>
    <col min="3" max="3" width="26.19921875" bestFit="1" customWidth="1"/>
    <col min="4" max="4" width="14.5" bestFit="1" customWidth="1"/>
    <col min="5" max="5" width="26.19921875" bestFit="1" customWidth="1"/>
    <col min="6" max="7" width="14.5" bestFit="1" customWidth="1"/>
    <col min="8" max="8" width="10.5" bestFit="1" customWidth="1"/>
    <col min="9" max="9" width="18.296875" bestFit="1" customWidth="1"/>
    <col min="10" max="10" width="14.5" bestFit="1" customWidth="1"/>
    <col min="11" max="11" width="12.5" bestFit="1" customWidth="1"/>
    <col min="12" max="12" width="20.296875" bestFit="1" customWidth="1"/>
    <col min="13" max="13" width="16.3984375" bestFit="1" customWidth="1"/>
    <col min="14" max="14" width="18.3984375" bestFit="1" customWidth="1"/>
    <col min="15" max="15" width="10.5" bestFit="1" customWidth="1"/>
  </cols>
  <sheetData>
    <row r="1" spans="1:16" ht="19.8" x14ac:dyDescent="0.45">
      <c r="A1" s="33" t="s">
        <v>141</v>
      </c>
    </row>
    <row r="3" spans="1:16" x14ac:dyDescent="0.45">
      <c r="A3" s="31" t="s">
        <v>2</v>
      </c>
      <c r="B3" t="s">
        <v>124</v>
      </c>
    </row>
    <row r="5" spans="1:16" x14ac:dyDescent="0.45">
      <c r="A5" s="31" t="s">
        <v>120</v>
      </c>
      <c r="B5" t="s">
        <v>143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</row>
    <row r="6" spans="1:16" x14ac:dyDescent="0.45">
      <c r="A6" s="32" t="s">
        <v>56</v>
      </c>
      <c r="B6" s="34">
        <v>27380</v>
      </c>
      <c r="C6" s="34">
        <v>13117</v>
      </c>
      <c r="D6" s="34">
        <v>4</v>
      </c>
      <c r="E6" s="34">
        <v>89</v>
      </c>
      <c r="F6" s="34">
        <v>269</v>
      </c>
      <c r="G6" s="34">
        <v>159</v>
      </c>
      <c r="H6" s="34">
        <v>2658</v>
      </c>
      <c r="I6" s="34">
        <v>54</v>
      </c>
      <c r="J6" s="34">
        <v>47</v>
      </c>
      <c r="K6" s="34">
        <v>418</v>
      </c>
      <c r="L6" s="34">
        <v>0</v>
      </c>
      <c r="M6" s="34">
        <v>0</v>
      </c>
      <c r="N6" s="34">
        <v>10</v>
      </c>
      <c r="O6" s="34">
        <v>37</v>
      </c>
      <c r="P6" s="34"/>
    </row>
    <row r="7" spans="1:16" x14ac:dyDescent="0.45">
      <c r="A7" s="32" t="s">
        <v>55</v>
      </c>
      <c r="B7" s="34">
        <v>33650</v>
      </c>
      <c r="C7" s="34">
        <v>16562</v>
      </c>
      <c r="D7" s="34">
        <v>2</v>
      </c>
      <c r="E7" s="34">
        <v>38</v>
      </c>
      <c r="F7" s="34">
        <v>846</v>
      </c>
      <c r="G7" s="34">
        <v>335</v>
      </c>
      <c r="H7" s="34">
        <v>4119</v>
      </c>
      <c r="I7" s="34">
        <v>19</v>
      </c>
      <c r="J7" s="34">
        <v>539</v>
      </c>
      <c r="K7" s="34">
        <v>182</v>
      </c>
      <c r="L7" s="34">
        <v>0</v>
      </c>
      <c r="M7" s="34">
        <v>1</v>
      </c>
      <c r="N7" s="34">
        <v>2</v>
      </c>
      <c r="O7" s="34">
        <v>60</v>
      </c>
      <c r="P7" s="34"/>
    </row>
    <row r="8" spans="1:16" x14ac:dyDescent="0.45">
      <c r="A8" s="32" t="s">
        <v>76</v>
      </c>
      <c r="B8" s="34">
        <v>16319</v>
      </c>
      <c r="C8" s="34">
        <v>5113</v>
      </c>
      <c r="D8" s="34">
        <v>1</v>
      </c>
      <c r="E8" s="34">
        <v>46</v>
      </c>
      <c r="F8" s="34">
        <v>377</v>
      </c>
      <c r="G8" s="34">
        <v>212</v>
      </c>
      <c r="H8" s="34">
        <v>1515</v>
      </c>
      <c r="I8" s="34">
        <v>939</v>
      </c>
      <c r="J8" s="34">
        <v>246</v>
      </c>
      <c r="K8" s="34">
        <v>619</v>
      </c>
      <c r="L8" s="34">
        <v>0</v>
      </c>
      <c r="M8" s="34">
        <v>13</v>
      </c>
      <c r="N8" s="34">
        <v>1</v>
      </c>
      <c r="O8" s="34">
        <v>72</v>
      </c>
      <c r="P8" s="34"/>
    </row>
    <row r="9" spans="1:16" x14ac:dyDescent="0.45">
      <c r="A9" s="32" t="s">
        <v>80</v>
      </c>
      <c r="B9" s="34">
        <v>14437</v>
      </c>
      <c r="C9" s="34">
        <v>3757</v>
      </c>
      <c r="D9" s="34">
        <v>7</v>
      </c>
      <c r="E9" s="34">
        <v>29</v>
      </c>
      <c r="F9" s="34">
        <v>164</v>
      </c>
      <c r="G9" s="34">
        <v>168</v>
      </c>
      <c r="H9" s="34">
        <v>4121</v>
      </c>
      <c r="I9" s="34">
        <v>416</v>
      </c>
      <c r="J9" s="34">
        <v>291</v>
      </c>
      <c r="K9" s="34">
        <v>731</v>
      </c>
      <c r="L9" s="34">
        <v>0</v>
      </c>
      <c r="M9" s="34">
        <v>2</v>
      </c>
      <c r="N9" s="34">
        <v>1</v>
      </c>
      <c r="O9" s="34">
        <v>72</v>
      </c>
      <c r="P9" s="34"/>
    </row>
    <row r="10" spans="1:16" x14ac:dyDescent="0.45">
      <c r="A10" s="32" t="s">
        <v>57</v>
      </c>
      <c r="B10" s="34">
        <v>17773</v>
      </c>
      <c r="C10" s="34">
        <v>10873</v>
      </c>
      <c r="D10" s="34">
        <v>4</v>
      </c>
      <c r="E10" s="34">
        <v>39</v>
      </c>
      <c r="F10" s="34">
        <v>137</v>
      </c>
      <c r="G10" s="34">
        <v>88</v>
      </c>
      <c r="H10" s="34">
        <v>2608</v>
      </c>
      <c r="I10" s="34">
        <v>51</v>
      </c>
      <c r="J10" s="34">
        <v>23</v>
      </c>
      <c r="K10" s="34">
        <v>292</v>
      </c>
      <c r="L10" s="34">
        <v>0</v>
      </c>
      <c r="M10" s="34">
        <v>0</v>
      </c>
      <c r="N10" s="34">
        <v>5</v>
      </c>
      <c r="O10" s="34">
        <v>72</v>
      </c>
      <c r="P10" s="34"/>
    </row>
    <row r="11" spans="1:16" x14ac:dyDescent="0.45">
      <c r="A11" s="32" t="s">
        <v>54</v>
      </c>
      <c r="B11" s="34">
        <v>15465</v>
      </c>
      <c r="C11" s="34">
        <v>4132</v>
      </c>
      <c r="D11" s="34">
        <v>0</v>
      </c>
      <c r="E11" s="34">
        <v>7</v>
      </c>
      <c r="F11" s="34">
        <v>173</v>
      </c>
      <c r="G11" s="34">
        <v>23</v>
      </c>
      <c r="H11" s="34">
        <v>932</v>
      </c>
      <c r="I11" s="34">
        <v>15</v>
      </c>
      <c r="J11" s="34">
        <v>5</v>
      </c>
      <c r="K11" s="34">
        <v>124</v>
      </c>
      <c r="L11" s="34">
        <v>0</v>
      </c>
      <c r="M11" s="34">
        <v>0</v>
      </c>
      <c r="N11" s="34">
        <v>0</v>
      </c>
      <c r="O11" s="34">
        <v>72</v>
      </c>
      <c r="P11" s="34"/>
    </row>
    <row r="12" spans="1:16" x14ac:dyDescent="0.45">
      <c r="A12" s="32" t="s">
        <v>37</v>
      </c>
      <c r="B12" s="34">
        <v>12708</v>
      </c>
      <c r="C12" s="34">
        <v>11436</v>
      </c>
      <c r="D12" s="34">
        <v>1</v>
      </c>
      <c r="E12" s="34">
        <v>10</v>
      </c>
      <c r="F12" s="34">
        <v>101</v>
      </c>
      <c r="G12" s="34">
        <v>31</v>
      </c>
      <c r="H12" s="34">
        <v>1026</v>
      </c>
      <c r="I12" s="34">
        <v>267</v>
      </c>
      <c r="J12" s="34">
        <v>55</v>
      </c>
      <c r="K12" s="34">
        <v>343</v>
      </c>
      <c r="L12" s="34">
        <v>3</v>
      </c>
      <c r="M12" s="34">
        <v>0</v>
      </c>
      <c r="N12" s="34">
        <v>9</v>
      </c>
      <c r="O12" s="34">
        <v>66</v>
      </c>
      <c r="P12" s="34"/>
    </row>
    <row r="13" spans="1:16" x14ac:dyDescent="0.45">
      <c r="A13" s="32" t="s">
        <v>59</v>
      </c>
      <c r="B13" s="34">
        <v>15686</v>
      </c>
      <c r="C13" s="34">
        <v>4420</v>
      </c>
      <c r="D13" s="34">
        <v>0</v>
      </c>
      <c r="E13" s="34">
        <v>24</v>
      </c>
      <c r="F13" s="34">
        <v>505</v>
      </c>
      <c r="G13" s="34">
        <v>28</v>
      </c>
      <c r="H13" s="34">
        <v>1311</v>
      </c>
      <c r="I13" s="34">
        <v>13</v>
      </c>
      <c r="J13" s="34">
        <v>28</v>
      </c>
      <c r="K13" s="34">
        <v>93</v>
      </c>
      <c r="L13" s="34">
        <v>0</v>
      </c>
      <c r="M13" s="34">
        <v>4</v>
      </c>
      <c r="N13" s="34">
        <v>1</v>
      </c>
      <c r="O13" s="34">
        <v>72</v>
      </c>
      <c r="P13" s="34"/>
    </row>
    <row r="14" spans="1:16" x14ac:dyDescent="0.45">
      <c r="A14" s="32" t="s">
        <v>44</v>
      </c>
      <c r="B14" s="34">
        <v>31403</v>
      </c>
      <c r="C14" s="34">
        <v>15612</v>
      </c>
      <c r="D14" s="34">
        <v>4</v>
      </c>
      <c r="E14" s="34">
        <v>45</v>
      </c>
      <c r="F14" s="34">
        <v>523</v>
      </c>
      <c r="G14" s="34">
        <v>213</v>
      </c>
      <c r="H14" s="34">
        <v>3586</v>
      </c>
      <c r="I14" s="34">
        <v>88</v>
      </c>
      <c r="J14" s="34">
        <v>169</v>
      </c>
      <c r="K14" s="34">
        <v>835</v>
      </c>
      <c r="L14" s="34">
        <v>0</v>
      </c>
      <c r="M14" s="34">
        <v>9</v>
      </c>
      <c r="N14" s="34">
        <v>8</v>
      </c>
      <c r="O14" s="34">
        <v>72</v>
      </c>
      <c r="P14" s="34"/>
    </row>
    <row r="15" spans="1:16" x14ac:dyDescent="0.45">
      <c r="A15" s="32" t="s">
        <v>41</v>
      </c>
      <c r="B15" s="34">
        <v>27383</v>
      </c>
      <c r="C15" s="34">
        <v>17264</v>
      </c>
      <c r="D15" s="34">
        <v>6</v>
      </c>
      <c r="E15" s="34">
        <v>86</v>
      </c>
      <c r="F15" s="34">
        <v>621</v>
      </c>
      <c r="G15" s="34">
        <v>410</v>
      </c>
      <c r="H15" s="34">
        <v>3537</v>
      </c>
      <c r="I15" s="34">
        <v>1170</v>
      </c>
      <c r="J15" s="34">
        <v>136</v>
      </c>
      <c r="K15" s="34">
        <v>1174</v>
      </c>
      <c r="L15" s="34">
        <v>1</v>
      </c>
      <c r="M15" s="34">
        <v>1</v>
      </c>
      <c r="N15" s="34">
        <v>21</v>
      </c>
      <c r="O15" s="34">
        <v>72</v>
      </c>
      <c r="P15" s="34"/>
    </row>
    <row r="16" spans="1:16" x14ac:dyDescent="0.45">
      <c r="A16" s="32" t="s">
        <v>81</v>
      </c>
      <c r="B16" s="34">
        <v>14690</v>
      </c>
      <c r="C16" s="34">
        <v>4205</v>
      </c>
      <c r="D16" s="34">
        <v>7</v>
      </c>
      <c r="E16" s="34">
        <v>74</v>
      </c>
      <c r="F16" s="34">
        <v>249</v>
      </c>
      <c r="G16" s="34">
        <v>256</v>
      </c>
      <c r="H16" s="34">
        <v>5548</v>
      </c>
      <c r="I16" s="34">
        <v>697</v>
      </c>
      <c r="J16" s="34">
        <v>188</v>
      </c>
      <c r="K16" s="34">
        <v>367</v>
      </c>
      <c r="L16" s="34">
        <v>0</v>
      </c>
      <c r="M16" s="34">
        <v>0</v>
      </c>
      <c r="N16" s="34">
        <v>9</v>
      </c>
      <c r="O16" s="34">
        <v>72</v>
      </c>
      <c r="P16" s="34"/>
    </row>
    <row r="17" spans="1:16" x14ac:dyDescent="0.45">
      <c r="A17" s="32" t="s">
        <v>72</v>
      </c>
      <c r="B17" s="34">
        <v>22076</v>
      </c>
      <c r="C17" s="34">
        <v>7833</v>
      </c>
      <c r="D17" s="34">
        <v>1</v>
      </c>
      <c r="E17" s="34">
        <v>144</v>
      </c>
      <c r="F17" s="34">
        <v>1142</v>
      </c>
      <c r="G17" s="34">
        <v>853</v>
      </c>
      <c r="H17" s="34">
        <v>5337</v>
      </c>
      <c r="I17" s="34">
        <v>11</v>
      </c>
      <c r="J17" s="34">
        <v>411</v>
      </c>
      <c r="K17" s="34">
        <v>2510</v>
      </c>
      <c r="L17" s="34">
        <v>0</v>
      </c>
      <c r="M17" s="34">
        <v>3</v>
      </c>
      <c r="N17" s="34">
        <v>9</v>
      </c>
      <c r="O17" s="34">
        <v>72</v>
      </c>
      <c r="P17" s="34"/>
    </row>
    <row r="18" spans="1:16" x14ac:dyDescent="0.45">
      <c r="A18" s="32" t="s">
        <v>68</v>
      </c>
      <c r="B18" s="34">
        <v>13296</v>
      </c>
      <c r="C18" s="34">
        <v>9947</v>
      </c>
      <c r="D18" s="34">
        <v>4</v>
      </c>
      <c r="E18" s="34">
        <v>24</v>
      </c>
      <c r="F18" s="34">
        <v>252</v>
      </c>
      <c r="G18" s="34">
        <v>127</v>
      </c>
      <c r="H18" s="34">
        <v>1724</v>
      </c>
      <c r="I18" s="34">
        <v>257</v>
      </c>
      <c r="J18" s="34">
        <v>83</v>
      </c>
      <c r="K18" s="34">
        <v>746</v>
      </c>
      <c r="L18" s="34">
        <v>0</v>
      </c>
      <c r="M18" s="34">
        <v>0</v>
      </c>
      <c r="N18" s="34">
        <v>11</v>
      </c>
      <c r="O18" s="34">
        <v>26</v>
      </c>
      <c r="P18" s="34"/>
    </row>
    <row r="19" spans="1:16" x14ac:dyDescent="0.45">
      <c r="A19" s="32" t="s">
        <v>75</v>
      </c>
      <c r="B19" s="34">
        <v>20139</v>
      </c>
      <c r="C19" s="34">
        <v>7754</v>
      </c>
      <c r="D19" s="34">
        <v>7</v>
      </c>
      <c r="E19" s="34">
        <v>163</v>
      </c>
      <c r="F19" s="34">
        <v>710</v>
      </c>
      <c r="G19" s="34">
        <v>1041</v>
      </c>
      <c r="H19" s="34">
        <v>3182</v>
      </c>
      <c r="I19" s="34">
        <v>2037</v>
      </c>
      <c r="J19" s="34">
        <v>459</v>
      </c>
      <c r="K19" s="34">
        <v>1797</v>
      </c>
      <c r="L19" s="34">
        <v>0</v>
      </c>
      <c r="M19" s="34">
        <v>85</v>
      </c>
      <c r="N19" s="34">
        <v>14</v>
      </c>
      <c r="O19" s="34">
        <v>82</v>
      </c>
      <c r="P19" s="34"/>
    </row>
    <row r="20" spans="1:16" x14ac:dyDescent="0.45">
      <c r="A20" s="32" t="s">
        <v>43</v>
      </c>
      <c r="B20" s="34">
        <v>21756</v>
      </c>
      <c r="C20" s="34">
        <v>6977</v>
      </c>
      <c r="D20" s="34">
        <v>3</v>
      </c>
      <c r="E20" s="34">
        <v>16</v>
      </c>
      <c r="F20" s="34">
        <v>694</v>
      </c>
      <c r="G20" s="34">
        <v>38</v>
      </c>
      <c r="H20" s="34">
        <v>2426</v>
      </c>
      <c r="I20" s="34">
        <v>764</v>
      </c>
      <c r="J20" s="34">
        <v>69</v>
      </c>
      <c r="K20" s="34">
        <v>299</v>
      </c>
      <c r="L20" s="34">
        <v>0</v>
      </c>
      <c r="M20" s="34">
        <v>0</v>
      </c>
      <c r="N20" s="34">
        <v>3</v>
      </c>
      <c r="O20" s="34">
        <v>28</v>
      </c>
      <c r="P20" s="34"/>
    </row>
    <row r="21" spans="1:16" x14ac:dyDescent="0.45">
      <c r="A21" s="32" t="s">
        <v>84</v>
      </c>
      <c r="B21" s="34">
        <v>17638</v>
      </c>
      <c r="C21" s="34">
        <v>9256</v>
      </c>
      <c r="D21" s="34">
        <v>11</v>
      </c>
      <c r="E21" s="34">
        <v>70</v>
      </c>
      <c r="F21" s="34">
        <v>250</v>
      </c>
      <c r="G21" s="34">
        <v>301</v>
      </c>
      <c r="H21" s="34">
        <v>4214</v>
      </c>
      <c r="I21" s="34">
        <v>1021</v>
      </c>
      <c r="J21" s="34">
        <v>140</v>
      </c>
      <c r="K21" s="34">
        <v>1081</v>
      </c>
      <c r="L21" s="34">
        <v>0</v>
      </c>
      <c r="M21" s="34">
        <v>14</v>
      </c>
      <c r="N21" s="34">
        <v>9</v>
      </c>
      <c r="O21" s="34">
        <v>27</v>
      </c>
      <c r="P21" s="34"/>
    </row>
    <row r="22" spans="1:16" x14ac:dyDescent="0.45">
      <c r="A22" s="32" t="s">
        <v>40</v>
      </c>
      <c r="B22" s="34">
        <v>26719</v>
      </c>
      <c r="C22" s="34">
        <v>14417</v>
      </c>
      <c r="D22" s="34">
        <v>7</v>
      </c>
      <c r="E22" s="34">
        <v>58</v>
      </c>
      <c r="F22" s="34">
        <v>805</v>
      </c>
      <c r="G22" s="34">
        <v>377</v>
      </c>
      <c r="H22" s="34">
        <v>4154</v>
      </c>
      <c r="I22" s="34">
        <v>340</v>
      </c>
      <c r="J22" s="34">
        <v>269</v>
      </c>
      <c r="K22" s="34">
        <v>1697</v>
      </c>
      <c r="L22" s="34">
        <v>0</v>
      </c>
      <c r="M22" s="34">
        <v>11</v>
      </c>
      <c r="N22" s="34">
        <v>24</v>
      </c>
      <c r="O22" s="34">
        <v>74</v>
      </c>
      <c r="P22" s="34"/>
    </row>
    <row r="23" spans="1:16" x14ac:dyDescent="0.45">
      <c r="A23" s="32" t="s">
        <v>39</v>
      </c>
      <c r="B23" s="34">
        <v>25888</v>
      </c>
      <c r="C23" s="34">
        <v>10209</v>
      </c>
      <c r="D23" s="34">
        <v>1</v>
      </c>
      <c r="E23" s="34">
        <v>42</v>
      </c>
      <c r="F23" s="34">
        <v>439</v>
      </c>
      <c r="G23" s="34">
        <v>235</v>
      </c>
      <c r="H23" s="34">
        <v>2121</v>
      </c>
      <c r="I23" s="34">
        <v>226</v>
      </c>
      <c r="J23" s="34">
        <v>257</v>
      </c>
      <c r="K23" s="34">
        <v>614</v>
      </c>
      <c r="L23" s="34">
        <v>0</v>
      </c>
      <c r="M23" s="34">
        <v>0</v>
      </c>
      <c r="N23" s="34">
        <v>32</v>
      </c>
      <c r="O23" s="34">
        <v>52</v>
      </c>
      <c r="P23" s="34"/>
    </row>
    <row r="24" spans="1:16" x14ac:dyDescent="0.45">
      <c r="A24" s="32" t="s">
        <v>36</v>
      </c>
      <c r="B24" s="34">
        <v>26371</v>
      </c>
      <c r="C24" s="34">
        <v>16029</v>
      </c>
      <c r="D24" s="34">
        <v>12</v>
      </c>
      <c r="E24" s="34">
        <v>29</v>
      </c>
      <c r="F24" s="34">
        <v>767</v>
      </c>
      <c r="G24" s="34">
        <v>361</v>
      </c>
      <c r="H24" s="34">
        <v>2118</v>
      </c>
      <c r="I24" s="34">
        <v>537</v>
      </c>
      <c r="J24" s="34">
        <v>121</v>
      </c>
      <c r="K24" s="34">
        <v>380</v>
      </c>
      <c r="L24" s="34">
        <v>0</v>
      </c>
      <c r="M24" s="34">
        <v>4</v>
      </c>
      <c r="N24" s="34">
        <v>9</v>
      </c>
      <c r="O24" s="34">
        <v>58</v>
      </c>
      <c r="P24" s="34"/>
    </row>
    <row r="25" spans="1:16" x14ac:dyDescent="0.45">
      <c r="A25" s="32" t="s">
        <v>48</v>
      </c>
      <c r="B25" s="34">
        <v>19602</v>
      </c>
      <c r="C25" s="34">
        <v>10956</v>
      </c>
      <c r="D25" s="34">
        <v>4</v>
      </c>
      <c r="E25" s="34">
        <v>41</v>
      </c>
      <c r="F25" s="34">
        <v>454</v>
      </c>
      <c r="G25" s="34">
        <v>190</v>
      </c>
      <c r="H25" s="34">
        <v>2471</v>
      </c>
      <c r="I25" s="34">
        <v>94</v>
      </c>
      <c r="J25" s="34">
        <v>32</v>
      </c>
      <c r="K25" s="34">
        <v>1004</v>
      </c>
      <c r="L25" s="34">
        <v>0</v>
      </c>
      <c r="M25" s="34">
        <v>0</v>
      </c>
      <c r="N25" s="34">
        <v>4</v>
      </c>
      <c r="O25" s="34">
        <v>29</v>
      </c>
      <c r="P25" s="34"/>
    </row>
    <row r="26" spans="1:16" x14ac:dyDescent="0.45">
      <c r="A26" s="32" t="s">
        <v>60</v>
      </c>
      <c r="B26" s="34">
        <v>11017</v>
      </c>
      <c r="C26" s="34">
        <v>4676</v>
      </c>
      <c r="D26" s="34">
        <v>3</v>
      </c>
      <c r="E26" s="34">
        <v>30</v>
      </c>
      <c r="F26" s="34">
        <v>207</v>
      </c>
      <c r="G26" s="34">
        <v>188</v>
      </c>
      <c r="H26" s="34">
        <v>949</v>
      </c>
      <c r="I26" s="34">
        <v>60</v>
      </c>
      <c r="J26" s="34">
        <v>65</v>
      </c>
      <c r="K26" s="34">
        <v>290</v>
      </c>
      <c r="L26" s="34">
        <v>0</v>
      </c>
      <c r="M26" s="34">
        <v>3</v>
      </c>
      <c r="N26" s="34">
        <v>4</v>
      </c>
      <c r="O26" s="34">
        <v>9</v>
      </c>
      <c r="P26" s="34"/>
    </row>
    <row r="27" spans="1:16" x14ac:dyDescent="0.45">
      <c r="A27" s="32" t="s">
        <v>53</v>
      </c>
      <c r="B27" s="34">
        <v>13525</v>
      </c>
      <c r="C27" s="34">
        <v>4935</v>
      </c>
      <c r="D27" s="34">
        <v>4</v>
      </c>
      <c r="E27" s="34">
        <v>15</v>
      </c>
      <c r="F27" s="34">
        <v>492</v>
      </c>
      <c r="G27" s="34">
        <v>296</v>
      </c>
      <c r="H27" s="34">
        <v>1925</v>
      </c>
      <c r="I27" s="34">
        <v>56</v>
      </c>
      <c r="J27" s="34">
        <v>167</v>
      </c>
      <c r="K27" s="34">
        <v>372</v>
      </c>
      <c r="L27" s="34">
        <v>0</v>
      </c>
      <c r="M27" s="34">
        <v>99</v>
      </c>
      <c r="N27" s="34">
        <v>22</v>
      </c>
      <c r="O27" s="34">
        <v>45</v>
      </c>
      <c r="P27" s="34"/>
    </row>
    <row r="28" spans="1:16" x14ac:dyDescent="0.45">
      <c r="A28" s="32" t="s">
        <v>79</v>
      </c>
      <c r="B28" s="34">
        <v>21710</v>
      </c>
      <c r="C28" s="34">
        <v>7661</v>
      </c>
      <c r="D28" s="34">
        <v>12</v>
      </c>
      <c r="E28" s="34">
        <v>249</v>
      </c>
      <c r="F28" s="34">
        <v>369</v>
      </c>
      <c r="G28" s="34">
        <v>512</v>
      </c>
      <c r="H28" s="34">
        <v>5156</v>
      </c>
      <c r="I28" s="34">
        <v>494</v>
      </c>
      <c r="J28" s="34">
        <v>267</v>
      </c>
      <c r="K28" s="34">
        <v>393</v>
      </c>
      <c r="L28" s="34">
        <v>1</v>
      </c>
      <c r="M28" s="34">
        <v>97</v>
      </c>
      <c r="N28" s="34">
        <v>5</v>
      </c>
      <c r="O28" s="34">
        <v>50</v>
      </c>
      <c r="P28" s="34"/>
    </row>
    <row r="29" spans="1:16" x14ac:dyDescent="0.45">
      <c r="A29" s="32" t="s">
        <v>77</v>
      </c>
      <c r="B29" s="34">
        <v>17675</v>
      </c>
      <c r="C29" s="34">
        <v>5620</v>
      </c>
      <c r="D29" s="34">
        <v>0</v>
      </c>
      <c r="E29" s="34">
        <v>97</v>
      </c>
      <c r="F29" s="34">
        <v>431</v>
      </c>
      <c r="G29" s="34">
        <v>461</v>
      </c>
      <c r="H29" s="34">
        <v>1584</v>
      </c>
      <c r="I29" s="34">
        <v>765</v>
      </c>
      <c r="J29" s="34">
        <v>232</v>
      </c>
      <c r="K29" s="34">
        <v>660</v>
      </c>
      <c r="L29" s="34">
        <v>0</v>
      </c>
      <c r="M29" s="34">
        <v>25</v>
      </c>
      <c r="N29" s="34">
        <v>10</v>
      </c>
      <c r="O29" s="34">
        <v>22</v>
      </c>
      <c r="P29" s="34"/>
    </row>
    <row r="30" spans="1:16" x14ac:dyDescent="0.45">
      <c r="A30" s="32" t="s">
        <v>82</v>
      </c>
      <c r="B30" s="34">
        <v>12801</v>
      </c>
      <c r="C30" s="34">
        <v>2516</v>
      </c>
      <c r="D30" s="34">
        <v>14</v>
      </c>
      <c r="E30" s="34">
        <v>272</v>
      </c>
      <c r="F30" s="34">
        <v>660</v>
      </c>
      <c r="G30" s="34">
        <v>353</v>
      </c>
      <c r="H30" s="34">
        <v>4651</v>
      </c>
      <c r="I30" s="34">
        <v>824</v>
      </c>
      <c r="J30" s="34">
        <v>372</v>
      </c>
      <c r="K30" s="34">
        <v>205</v>
      </c>
      <c r="L30" s="34">
        <v>7</v>
      </c>
      <c r="M30" s="34">
        <v>122</v>
      </c>
      <c r="N30" s="34">
        <v>15</v>
      </c>
      <c r="O30" s="34">
        <v>41</v>
      </c>
      <c r="P30" s="34"/>
    </row>
    <row r="31" spans="1:16" x14ac:dyDescent="0.45">
      <c r="A31" s="32" t="s">
        <v>49</v>
      </c>
      <c r="B31" s="34">
        <v>12816</v>
      </c>
      <c r="C31" s="34">
        <v>13687</v>
      </c>
      <c r="D31" s="34">
        <v>24</v>
      </c>
      <c r="E31" s="34">
        <v>131</v>
      </c>
      <c r="F31" s="34">
        <v>161</v>
      </c>
      <c r="G31" s="34">
        <v>204</v>
      </c>
      <c r="H31" s="34">
        <v>1158</v>
      </c>
      <c r="I31" s="34">
        <v>347</v>
      </c>
      <c r="J31" s="34">
        <v>190</v>
      </c>
      <c r="K31" s="34">
        <v>419</v>
      </c>
      <c r="L31" s="34">
        <v>2</v>
      </c>
      <c r="M31" s="34">
        <v>0</v>
      </c>
      <c r="N31" s="34">
        <v>22</v>
      </c>
      <c r="O31" s="34">
        <v>39</v>
      </c>
      <c r="P31" s="34"/>
    </row>
    <row r="32" spans="1:16" x14ac:dyDescent="0.45">
      <c r="A32" s="32" t="s">
        <v>65</v>
      </c>
      <c r="B32" s="34">
        <v>36870</v>
      </c>
      <c r="C32" s="34">
        <v>18531</v>
      </c>
      <c r="D32" s="34">
        <v>5</v>
      </c>
      <c r="E32" s="34">
        <v>161</v>
      </c>
      <c r="F32" s="34">
        <v>1115</v>
      </c>
      <c r="G32" s="34">
        <v>456</v>
      </c>
      <c r="H32" s="34">
        <v>6112</v>
      </c>
      <c r="I32" s="34">
        <v>21</v>
      </c>
      <c r="J32" s="34">
        <v>175</v>
      </c>
      <c r="K32" s="34">
        <v>2108</v>
      </c>
      <c r="L32" s="34">
        <v>0</v>
      </c>
      <c r="M32" s="34">
        <v>0</v>
      </c>
      <c r="N32" s="34">
        <v>5</v>
      </c>
      <c r="O32" s="34">
        <v>12</v>
      </c>
      <c r="P32" s="34"/>
    </row>
    <row r="33" spans="1:16" x14ac:dyDescent="0.45">
      <c r="A33" s="32" t="s">
        <v>66</v>
      </c>
      <c r="B33" s="34">
        <v>17095</v>
      </c>
      <c r="C33" s="34">
        <v>10459</v>
      </c>
      <c r="D33" s="34">
        <v>8</v>
      </c>
      <c r="E33" s="34">
        <v>57</v>
      </c>
      <c r="F33" s="34">
        <v>415</v>
      </c>
      <c r="G33" s="34">
        <v>159</v>
      </c>
      <c r="H33" s="34">
        <v>1241</v>
      </c>
      <c r="I33" s="34">
        <v>113</v>
      </c>
      <c r="J33" s="34">
        <v>132</v>
      </c>
      <c r="K33" s="34">
        <v>622</v>
      </c>
      <c r="L33" s="34">
        <v>0</v>
      </c>
      <c r="M33" s="34">
        <v>0</v>
      </c>
      <c r="N33" s="34">
        <v>14</v>
      </c>
      <c r="O33" s="34">
        <v>22</v>
      </c>
      <c r="P33" s="34"/>
    </row>
    <row r="34" spans="1:16" x14ac:dyDescent="0.45">
      <c r="A34" s="32" t="s">
        <v>50</v>
      </c>
      <c r="B34" s="34">
        <v>10792</v>
      </c>
      <c r="C34" s="34">
        <v>4868</v>
      </c>
      <c r="D34" s="34">
        <v>0</v>
      </c>
      <c r="E34" s="34">
        <v>120</v>
      </c>
      <c r="F34" s="34">
        <v>532</v>
      </c>
      <c r="G34" s="34">
        <v>159</v>
      </c>
      <c r="H34" s="34">
        <v>1566</v>
      </c>
      <c r="I34" s="34">
        <v>404</v>
      </c>
      <c r="J34" s="34">
        <v>201</v>
      </c>
      <c r="K34" s="34">
        <v>892</v>
      </c>
      <c r="L34" s="34">
        <v>0</v>
      </c>
      <c r="M34" s="34">
        <v>0</v>
      </c>
      <c r="N34" s="34">
        <v>53</v>
      </c>
      <c r="O34" s="34">
        <v>17</v>
      </c>
      <c r="P34" s="34"/>
    </row>
    <row r="35" spans="1:16" x14ac:dyDescent="0.45">
      <c r="A35" s="32" t="s">
        <v>85</v>
      </c>
      <c r="B35" s="34">
        <v>17119</v>
      </c>
      <c r="C35" s="34">
        <v>6304</v>
      </c>
      <c r="D35" s="34">
        <v>55</v>
      </c>
      <c r="E35" s="34">
        <v>204</v>
      </c>
      <c r="F35" s="34">
        <v>824</v>
      </c>
      <c r="G35" s="34">
        <v>340</v>
      </c>
      <c r="H35" s="34">
        <v>3206</v>
      </c>
      <c r="I35" s="34">
        <v>1987</v>
      </c>
      <c r="J35" s="34">
        <v>650</v>
      </c>
      <c r="K35" s="34">
        <v>717</v>
      </c>
      <c r="L35" s="34">
        <v>0</v>
      </c>
      <c r="M35" s="34">
        <v>6</v>
      </c>
      <c r="N35" s="34">
        <v>94</v>
      </c>
      <c r="O35" s="34">
        <v>23</v>
      </c>
      <c r="P35" s="34"/>
    </row>
    <row r="36" spans="1:16" x14ac:dyDescent="0.45">
      <c r="A36" s="32" t="s">
        <v>35</v>
      </c>
      <c r="B36" s="34">
        <v>30789</v>
      </c>
      <c r="C36" s="34">
        <v>13209</v>
      </c>
      <c r="D36" s="34">
        <v>2</v>
      </c>
      <c r="E36" s="34">
        <v>58</v>
      </c>
      <c r="F36" s="34">
        <v>903</v>
      </c>
      <c r="G36" s="34">
        <v>174</v>
      </c>
      <c r="H36" s="34">
        <v>1935</v>
      </c>
      <c r="I36" s="34">
        <v>1302</v>
      </c>
      <c r="J36" s="34">
        <v>97</v>
      </c>
      <c r="K36" s="34">
        <v>532</v>
      </c>
      <c r="L36" s="34">
        <v>0</v>
      </c>
      <c r="M36" s="34">
        <v>0</v>
      </c>
      <c r="N36" s="34">
        <v>1</v>
      </c>
      <c r="O36" s="34">
        <v>28</v>
      </c>
      <c r="P36" s="34"/>
    </row>
    <row r="37" spans="1:16" x14ac:dyDescent="0.45">
      <c r="A37" s="32" t="s">
        <v>70</v>
      </c>
      <c r="B37" s="34">
        <v>18716</v>
      </c>
      <c r="C37" s="34">
        <v>9771</v>
      </c>
      <c r="D37" s="34">
        <v>4</v>
      </c>
      <c r="E37" s="34">
        <v>29</v>
      </c>
      <c r="F37" s="34">
        <v>111</v>
      </c>
      <c r="G37" s="34">
        <v>348</v>
      </c>
      <c r="H37" s="34">
        <v>1639</v>
      </c>
      <c r="I37" s="34">
        <v>105</v>
      </c>
      <c r="J37" s="34">
        <v>63</v>
      </c>
      <c r="K37" s="34">
        <v>640</v>
      </c>
      <c r="L37" s="34">
        <v>0</v>
      </c>
      <c r="M37" s="34">
        <v>38</v>
      </c>
      <c r="N37" s="34">
        <v>12</v>
      </c>
      <c r="O37" s="34">
        <v>8</v>
      </c>
      <c r="P37" s="34"/>
    </row>
    <row r="38" spans="1:16" x14ac:dyDescent="0.45">
      <c r="A38" s="32" t="s">
        <v>58</v>
      </c>
      <c r="B38" s="34">
        <v>48386</v>
      </c>
      <c r="C38" s="34">
        <v>27408</v>
      </c>
      <c r="D38" s="34">
        <v>21</v>
      </c>
      <c r="E38" s="34">
        <v>85</v>
      </c>
      <c r="F38" s="34">
        <v>1332</v>
      </c>
      <c r="G38" s="34">
        <v>618</v>
      </c>
      <c r="H38" s="34">
        <v>5699</v>
      </c>
      <c r="I38" s="34">
        <v>567</v>
      </c>
      <c r="J38" s="34">
        <v>144</v>
      </c>
      <c r="K38" s="34">
        <v>1681</v>
      </c>
      <c r="L38" s="34">
        <v>0</v>
      </c>
      <c r="M38" s="34">
        <v>3</v>
      </c>
      <c r="N38" s="34">
        <v>25</v>
      </c>
      <c r="O38" s="34">
        <v>118</v>
      </c>
      <c r="P38" s="34"/>
    </row>
    <row r="39" spans="1:16" x14ac:dyDescent="0.45">
      <c r="A39" s="32" t="s">
        <v>61</v>
      </c>
      <c r="B39" s="34">
        <v>16031</v>
      </c>
      <c r="C39" s="34">
        <v>6993</v>
      </c>
      <c r="D39" s="34">
        <v>6</v>
      </c>
      <c r="E39" s="34">
        <v>39</v>
      </c>
      <c r="F39" s="34">
        <v>122</v>
      </c>
      <c r="G39" s="34">
        <v>175</v>
      </c>
      <c r="H39" s="34">
        <v>2660</v>
      </c>
      <c r="I39" s="34">
        <v>19</v>
      </c>
      <c r="J39" s="34">
        <v>36</v>
      </c>
      <c r="K39" s="34">
        <v>423</v>
      </c>
      <c r="L39" s="34">
        <v>0</v>
      </c>
      <c r="M39" s="34">
        <v>0</v>
      </c>
      <c r="N39" s="34">
        <v>1</v>
      </c>
      <c r="O39" s="34">
        <v>24</v>
      </c>
      <c r="P39" s="34"/>
    </row>
    <row r="40" spans="1:16" x14ac:dyDescent="0.45">
      <c r="A40" s="32" t="s">
        <v>64</v>
      </c>
      <c r="B40" s="34">
        <v>3392</v>
      </c>
      <c r="C40" s="34">
        <v>2380</v>
      </c>
      <c r="D40" s="34">
        <v>0</v>
      </c>
      <c r="E40" s="34">
        <v>3</v>
      </c>
      <c r="F40" s="34">
        <v>7</v>
      </c>
      <c r="G40" s="34">
        <v>2</v>
      </c>
      <c r="H40" s="34">
        <v>36</v>
      </c>
      <c r="I40" s="34">
        <v>3</v>
      </c>
      <c r="J40" s="34">
        <v>0</v>
      </c>
      <c r="K40" s="34">
        <v>6</v>
      </c>
      <c r="L40" s="34">
        <v>0</v>
      </c>
      <c r="M40" s="34">
        <v>0</v>
      </c>
      <c r="N40" s="34">
        <v>0</v>
      </c>
      <c r="O40" s="34">
        <v>6</v>
      </c>
      <c r="P40" s="34"/>
    </row>
    <row r="41" spans="1:16" x14ac:dyDescent="0.45">
      <c r="A41" s="32" t="s">
        <v>83</v>
      </c>
      <c r="B41" s="34">
        <v>35196</v>
      </c>
      <c r="C41" s="34">
        <v>12394</v>
      </c>
      <c r="D41" s="34">
        <v>26</v>
      </c>
      <c r="E41" s="34">
        <v>192</v>
      </c>
      <c r="F41" s="34">
        <v>1372</v>
      </c>
      <c r="G41" s="34">
        <v>534</v>
      </c>
      <c r="H41" s="34">
        <v>6634</v>
      </c>
      <c r="I41" s="34">
        <v>975</v>
      </c>
      <c r="J41" s="34">
        <v>343</v>
      </c>
      <c r="K41" s="34">
        <v>1328</v>
      </c>
      <c r="L41" s="34">
        <v>0</v>
      </c>
      <c r="M41" s="34">
        <v>128</v>
      </c>
      <c r="N41" s="34">
        <v>4</v>
      </c>
      <c r="O41" s="34">
        <v>78</v>
      </c>
      <c r="P41" s="34"/>
    </row>
    <row r="42" spans="1:16" x14ac:dyDescent="0.45">
      <c r="A42" s="32" t="s">
        <v>73</v>
      </c>
      <c r="B42" s="34">
        <v>26069</v>
      </c>
      <c r="C42" s="34">
        <v>10188</v>
      </c>
      <c r="D42" s="34">
        <v>6</v>
      </c>
      <c r="E42" s="34">
        <v>119</v>
      </c>
      <c r="F42" s="34">
        <v>1010</v>
      </c>
      <c r="G42" s="34">
        <v>949</v>
      </c>
      <c r="H42" s="34">
        <v>5924</v>
      </c>
      <c r="I42" s="34">
        <v>22</v>
      </c>
      <c r="J42" s="34">
        <v>420</v>
      </c>
      <c r="K42" s="34">
        <v>4056</v>
      </c>
      <c r="L42" s="34">
        <v>0</v>
      </c>
      <c r="M42" s="34">
        <v>39</v>
      </c>
      <c r="N42" s="34">
        <v>11</v>
      </c>
      <c r="O42" s="34">
        <v>5</v>
      </c>
      <c r="P42" s="34"/>
    </row>
    <row r="43" spans="1:16" x14ac:dyDescent="0.45">
      <c r="A43" s="32" t="s">
        <v>45</v>
      </c>
      <c r="B43" s="34">
        <v>18526</v>
      </c>
      <c r="C43" s="34">
        <v>9192</v>
      </c>
      <c r="D43" s="34">
        <v>2</v>
      </c>
      <c r="E43" s="34">
        <v>31</v>
      </c>
      <c r="F43" s="34">
        <v>340</v>
      </c>
      <c r="G43" s="34">
        <v>75</v>
      </c>
      <c r="H43" s="34">
        <v>1310</v>
      </c>
      <c r="I43" s="34">
        <v>228</v>
      </c>
      <c r="J43" s="34">
        <v>54</v>
      </c>
      <c r="K43" s="34">
        <v>273</v>
      </c>
      <c r="L43" s="34">
        <v>0</v>
      </c>
      <c r="M43" s="34">
        <v>0</v>
      </c>
      <c r="N43" s="34">
        <v>4</v>
      </c>
      <c r="O43" s="34">
        <v>18</v>
      </c>
      <c r="P43" s="34"/>
    </row>
    <row r="44" spans="1:16" x14ac:dyDescent="0.45">
      <c r="A44" s="32" t="s">
        <v>47</v>
      </c>
      <c r="B44" s="34">
        <v>37335</v>
      </c>
      <c r="C44" s="34">
        <v>20766</v>
      </c>
      <c r="D44" s="34">
        <v>6</v>
      </c>
      <c r="E44" s="34">
        <v>101</v>
      </c>
      <c r="F44" s="34">
        <v>565</v>
      </c>
      <c r="G44" s="34">
        <v>266</v>
      </c>
      <c r="H44" s="34">
        <v>5370</v>
      </c>
      <c r="I44" s="34">
        <v>121</v>
      </c>
      <c r="J44" s="34">
        <v>250</v>
      </c>
      <c r="K44" s="34">
        <v>1763</v>
      </c>
      <c r="L44" s="34">
        <v>0</v>
      </c>
      <c r="M44" s="34">
        <v>5</v>
      </c>
      <c r="N44" s="34">
        <v>9</v>
      </c>
      <c r="O44" s="34">
        <v>110</v>
      </c>
      <c r="P44" s="34"/>
    </row>
    <row r="45" spans="1:16" x14ac:dyDescent="0.45">
      <c r="A45" s="32" t="s">
        <v>52</v>
      </c>
      <c r="B45" s="34">
        <v>13715</v>
      </c>
      <c r="C45" s="34">
        <v>4296</v>
      </c>
      <c r="D45" s="34">
        <v>2</v>
      </c>
      <c r="E45" s="34">
        <v>77</v>
      </c>
      <c r="F45" s="34">
        <v>474</v>
      </c>
      <c r="G45" s="34">
        <v>447</v>
      </c>
      <c r="H45" s="34">
        <v>2831</v>
      </c>
      <c r="I45" s="34">
        <v>8</v>
      </c>
      <c r="J45" s="34">
        <v>173</v>
      </c>
      <c r="K45" s="34">
        <v>585</v>
      </c>
      <c r="L45" s="34">
        <v>0</v>
      </c>
      <c r="M45" s="34">
        <v>14</v>
      </c>
      <c r="N45" s="34">
        <v>2</v>
      </c>
      <c r="O45" s="34">
        <v>25</v>
      </c>
      <c r="P45" s="34"/>
    </row>
    <row r="46" spans="1:16" x14ac:dyDescent="0.45">
      <c r="A46" s="32" t="s">
        <v>87</v>
      </c>
      <c r="B46" s="34">
        <v>3524</v>
      </c>
      <c r="C46" s="34">
        <v>1696</v>
      </c>
      <c r="D46" s="34">
        <v>0</v>
      </c>
      <c r="E46" s="34">
        <v>0</v>
      </c>
      <c r="F46" s="34">
        <v>90</v>
      </c>
      <c r="G46" s="34">
        <v>29</v>
      </c>
      <c r="H46" s="34">
        <v>526</v>
      </c>
      <c r="I46" s="34">
        <v>102</v>
      </c>
      <c r="J46" s="34">
        <v>8</v>
      </c>
      <c r="K46" s="34">
        <v>161</v>
      </c>
      <c r="L46" s="34">
        <v>0</v>
      </c>
      <c r="M46" s="34">
        <v>0</v>
      </c>
      <c r="N46" s="34">
        <v>1</v>
      </c>
      <c r="O46" s="34">
        <v>10</v>
      </c>
      <c r="P46" s="34"/>
    </row>
    <row r="47" spans="1:16" x14ac:dyDescent="0.45">
      <c r="A47" s="32" t="s">
        <v>62</v>
      </c>
      <c r="B47" s="34">
        <v>36215</v>
      </c>
      <c r="C47" s="34">
        <v>17435</v>
      </c>
      <c r="D47" s="34">
        <v>12</v>
      </c>
      <c r="E47" s="34">
        <v>51</v>
      </c>
      <c r="F47" s="34">
        <v>1171</v>
      </c>
      <c r="G47" s="34">
        <v>400</v>
      </c>
      <c r="H47" s="34">
        <v>5556</v>
      </c>
      <c r="I47" s="34">
        <v>553</v>
      </c>
      <c r="J47" s="34">
        <v>84</v>
      </c>
      <c r="K47" s="34">
        <v>854</v>
      </c>
      <c r="L47" s="34">
        <v>0</v>
      </c>
      <c r="M47" s="34">
        <v>5</v>
      </c>
      <c r="N47" s="34">
        <v>34</v>
      </c>
      <c r="O47" s="34">
        <v>78</v>
      </c>
      <c r="P47" s="34"/>
    </row>
    <row r="48" spans="1:16" x14ac:dyDescent="0.45">
      <c r="A48" s="32" t="s">
        <v>51</v>
      </c>
      <c r="B48" s="34">
        <v>30173</v>
      </c>
      <c r="C48" s="34">
        <v>15928</v>
      </c>
      <c r="D48" s="34">
        <v>7</v>
      </c>
      <c r="E48" s="34">
        <v>41</v>
      </c>
      <c r="F48" s="34">
        <v>711</v>
      </c>
      <c r="G48" s="34">
        <v>187</v>
      </c>
      <c r="H48" s="34">
        <v>2000</v>
      </c>
      <c r="I48" s="34">
        <v>412</v>
      </c>
      <c r="J48" s="34">
        <v>125</v>
      </c>
      <c r="K48" s="34">
        <v>349</v>
      </c>
      <c r="L48" s="34">
        <v>0</v>
      </c>
      <c r="M48" s="34">
        <v>2</v>
      </c>
      <c r="N48" s="34">
        <v>1</v>
      </c>
      <c r="O48" s="34">
        <v>77</v>
      </c>
      <c r="P48" s="34"/>
    </row>
    <row r="49" spans="1:16" x14ac:dyDescent="0.45">
      <c r="A49" s="32" t="s">
        <v>78</v>
      </c>
      <c r="B49" s="34">
        <v>23719</v>
      </c>
      <c r="C49" s="34">
        <v>5875</v>
      </c>
      <c r="D49" s="34">
        <v>31</v>
      </c>
      <c r="E49" s="34">
        <v>260</v>
      </c>
      <c r="F49" s="34">
        <v>1254</v>
      </c>
      <c r="G49" s="34">
        <v>859</v>
      </c>
      <c r="H49" s="34">
        <v>4327</v>
      </c>
      <c r="I49" s="34">
        <v>1092</v>
      </c>
      <c r="J49" s="34">
        <v>444</v>
      </c>
      <c r="K49" s="34">
        <v>656</v>
      </c>
      <c r="L49" s="34">
        <v>0</v>
      </c>
      <c r="M49" s="34">
        <v>167</v>
      </c>
      <c r="N49" s="34">
        <v>6</v>
      </c>
      <c r="O49" s="34">
        <v>64</v>
      </c>
      <c r="P49" s="34"/>
    </row>
    <row r="50" spans="1:16" x14ac:dyDescent="0.45">
      <c r="A50" s="32" t="s">
        <v>38</v>
      </c>
      <c r="B50" s="34">
        <v>35419</v>
      </c>
      <c r="C50" s="34">
        <v>21639</v>
      </c>
      <c r="D50" s="34">
        <v>0</v>
      </c>
      <c r="E50" s="34">
        <v>31</v>
      </c>
      <c r="F50" s="34">
        <v>1180</v>
      </c>
      <c r="G50" s="34">
        <v>128</v>
      </c>
      <c r="H50" s="34">
        <v>2599</v>
      </c>
      <c r="I50" s="34">
        <v>303</v>
      </c>
      <c r="J50" s="34">
        <v>120</v>
      </c>
      <c r="K50" s="34">
        <v>415</v>
      </c>
      <c r="L50" s="34">
        <v>0</v>
      </c>
      <c r="M50" s="34">
        <v>0</v>
      </c>
      <c r="N50" s="34">
        <v>19</v>
      </c>
      <c r="O50" s="34">
        <v>52</v>
      </c>
      <c r="P50" s="34"/>
    </row>
    <row r="51" spans="1:16" x14ac:dyDescent="0.45">
      <c r="A51" s="32" t="s">
        <v>67</v>
      </c>
      <c r="B51" s="34">
        <v>28872</v>
      </c>
      <c r="C51" s="34">
        <v>12834</v>
      </c>
      <c r="D51" s="34">
        <v>12</v>
      </c>
      <c r="E51" s="34">
        <v>71</v>
      </c>
      <c r="F51" s="34">
        <v>432</v>
      </c>
      <c r="G51" s="34">
        <v>537</v>
      </c>
      <c r="H51" s="34">
        <v>4520</v>
      </c>
      <c r="I51" s="34">
        <v>159</v>
      </c>
      <c r="J51" s="34">
        <v>283</v>
      </c>
      <c r="K51" s="34">
        <v>2144</v>
      </c>
      <c r="L51" s="34">
        <v>2</v>
      </c>
      <c r="M51" s="34">
        <v>1</v>
      </c>
      <c r="N51" s="34">
        <v>58</v>
      </c>
      <c r="O51" s="34">
        <v>9</v>
      </c>
      <c r="P51" s="34"/>
    </row>
    <row r="52" spans="1:16" x14ac:dyDescent="0.45">
      <c r="A52" s="32" t="s">
        <v>63</v>
      </c>
      <c r="B52" s="34">
        <v>27170</v>
      </c>
      <c r="C52" s="34">
        <v>9899</v>
      </c>
      <c r="D52" s="34">
        <v>2</v>
      </c>
      <c r="E52" s="34">
        <v>33</v>
      </c>
      <c r="F52" s="34">
        <v>1241</v>
      </c>
      <c r="G52" s="34">
        <v>135</v>
      </c>
      <c r="H52" s="34">
        <v>3523</v>
      </c>
      <c r="I52" s="34">
        <v>168</v>
      </c>
      <c r="J52" s="34">
        <v>317</v>
      </c>
      <c r="K52" s="34">
        <v>469</v>
      </c>
      <c r="L52" s="34">
        <v>0</v>
      </c>
      <c r="M52" s="34">
        <v>0</v>
      </c>
      <c r="N52" s="34">
        <v>6</v>
      </c>
      <c r="O52" s="34">
        <v>46</v>
      </c>
      <c r="P52" s="34"/>
    </row>
    <row r="53" spans="1:16" x14ac:dyDescent="0.45">
      <c r="A53" s="32" t="s">
        <v>74</v>
      </c>
      <c r="B53" s="34">
        <v>19119</v>
      </c>
      <c r="C53" s="34">
        <v>7755</v>
      </c>
      <c r="D53" s="34">
        <v>0</v>
      </c>
      <c r="E53" s="34">
        <v>28</v>
      </c>
      <c r="F53" s="34">
        <v>247</v>
      </c>
      <c r="G53" s="34">
        <v>375</v>
      </c>
      <c r="H53" s="34">
        <v>1562</v>
      </c>
      <c r="I53" s="34">
        <v>58</v>
      </c>
      <c r="J53" s="34">
        <v>165</v>
      </c>
      <c r="K53" s="34">
        <v>1290</v>
      </c>
      <c r="L53" s="34">
        <v>2</v>
      </c>
      <c r="M53" s="34">
        <v>15</v>
      </c>
      <c r="N53" s="34">
        <v>8</v>
      </c>
      <c r="O53" s="34">
        <v>5</v>
      </c>
      <c r="P53" s="34"/>
    </row>
    <row r="54" spans="1:16" x14ac:dyDescent="0.45">
      <c r="A54" s="32" t="s">
        <v>42</v>
      </c>
      <c r="B54" s="34">
        <v>12410</v>
      </c>
      <c r="C54" s="34">
        <v>7412</v>
      </c>
      <c r="D54" s="34">
        <v>17</v>
      </c>
      <c r="E54" s="34">
        <v>42</v>
      </c>
      <c r="F54" s="34">
        <v>286</v>
      </c>
      <c r="G54" s="34">
        <v>134</v>
      </c>
      <c r="H54" s="34">
        <v>1656</v>
      </c>
      <c r="I54" s="34">
        <v>301</v>
      </c>
      <c r="J54" s="34">
        <v>88</v>
      </c>
      <c r="K54" s="34">
        <v>829</v>
      </c>
      <c r="L54" s="34">
        <v>0</v>
      </c>
      <c r="M54" s="34">
        <v>0</v>
      </c>
      <c r="N54" s="34">
        <v>9</v>
      </c>
      <c r="O54" s="34">
        <v>30</v>
      </c>
      <c r="P54" s="34"/>
    </row>
    <row r="55" spans="1:16" x14ac:dyDescent="0.45">
      <c r="A55" s="32" t="s">
        <v>46</v>
      </c>
      <c r="B55" s="34">
        <v>33264</v>
      </c>
      <c r="C55" s="34">
        <v>12914</v>
      </c>
      <c r="D55" s="34">
        <v>4</v>
      </c>
      <c r="E55" s="34">
        <v>115</v>
      </c>
      <c r="F55" s="34">
        <v>1378</v>
      </c>
      <c r="G55" s="34">
        <v>476</v>
      </c>
      <c r="H55" s="34">
        <v>3179</v>
      </c>
      <c r="I55" s="34">
        <v>1694</v>
      </c>
      <c r="J55" s="34">
        <v>746</v>
      </c>
      <c r="K55" s="34">
        <v>123</v>
      </c>
      <c r="L55" s="34">
        <v>1</v>
      </c>
      <c r="M55" s="34">
        <v>0</v>
      </c>
      <c r="N55" s="34">
        <v>2</v>
      </c>
      <c r="O55" s="34">
        <v>25</v>
      </c>
      <c r="P55" s="34"/>
    </row>
    <row r="56" spans="1:16" x14ac:dyDescent="0.45">
      <c r="A56" s="32" t="s">
        <v>86</v>
      </c>
      <c r="B56" s="34">
        <v>20801</v>
      </c>
      <c r="C56" s="34">
        <v>4729</v>
      </c>
      <c r="D56" s="34">
        <v>21</v>
      </c>
      <c r="E56" s="34">
        <v>83</v>
      </c>
      <c r="F56" s="34">
        <v>574</v>
      </c>
      <c r="G56" s="34">
        <v>647</v>
      </c>
      <c r="H56" s="34">
        <v>3393</v>
      </c>
      <c r="I56" s="34">
        <v>441</v>
      </c>
      <c r="J56" s="34">
        <v>304</v>
      </c>
      <c r="K56" s="34">
        <v>1100</v>
      </c>
      <c r="L56" s="34">
        <v>0</v>
      </c>
      <c r="M56" s="34">
        <v>7</v>
      </c>
      <c r="N56" s="34">
        <v>49</v>
      </c>
      <c r="O56" s="34">
        <v>46</v>
      </c>
      <c r="P56" s="34"/>
    </row>
    <row r="57" spans="1:16" x14ac:dyDescent="0.45">
      <c r="A57" s="32" t="s">
        <v>71</v>
      </c>
      <c r="B57" s="34">
        <v>22174</v>
      </c>
      <c r="C57" s="34">
        <v>14394</v>
      </c>
      <c r="D57" s="34">
        <v>6</v>
      </c>
      <c r="E57" s="34">
        <v>105</v>
      </c>
      <c r="F57" s="34">
        <v>401</v>
      </c>
      <c r="G57" s="34">
        <v>248</v>
      </c>
      <c r="H57" s="34">
        <v>2580</v>
      </c>
      <c r="I57" s="34">
        <v>309</v>
      </c>
      <c r="J57" s="34">
        <v>53</v>
      </c>
      <c r="K57" s="34">
        <v>1870</v>
      </c>
      <c r="L57" s="34">
        <v>1</v>
      </c>
      <c r="M57" s="34">
        <v>2</v>
      </c>
      <c r="N57" s="34">
        <v>32</v>
      </c>
      <c r="O57" s="34">
        <v>25</v>
      </c>
      <c r="P57" s="34"/>
    </row>
    <row r="58" spans="1:16" x14ac:dyDescent="0.45">
      <c r="A58" s="32" t="s">
        <v>69</v>
      </c>
      <c r="B58" s="34">
        <v>20421</v>
      </c>
      <c r="C58" s="34">
        <v>9056</v>
      </c>
      <c r="D58" s="34">
        <v>7</v>
      </c>
      <c r="E58" s="34">
        <v>60</v>
      </c>
      <c r="F58" s="34">
        <v>468</v>
      </c>
      <c r="G58" s="34">
        <v>379</v>
      </c>
      <c r="H58" s="34">
        <v>4008</v>
      </c>
      <c r="I58" s="34">
        <v>252</v>
      </c>
      <c r="J58" s="34">
        <v>313</v>
      </c>
      <c r="K58" s="34">
        <v>1895</v>
      </c>
      <c r="L58" s="34">
        <v>0</v>
      </c>
      <c r="M58" s="34">
        <v>26</v>
      </c>
      <c r="N58" s="34">
        <v>14</v>
      </c>
      <c r="O58" s="34">
        <v>13</v>
      </c>
      <c r="P58" s="34"/>
    </row>
    <row r="59" spans="1:16" x14ac:dyDescent="0.45">
      <c r="A59" s="32" t="s">
        <v>121</v>
      </c>
      <c r="B59" s="34">
        <v>1153235</v>
      </c>
      <c r="C59" s="34">
        <v>537289</v>
      </c>
      <c r="D59" s="34">
        <v>405</v>
      </c>
      <c r="E59" s="34">
        <v>4064</v>
      </c>
      <c r="F59" s="34">
        <v>30353</v>
      </c>
      <c r="G59" s="34">
        <v>16696</v>
      </c>
      <c r="H59" s="34">
        <v>159723</v>
      </c>
      <c r="I59" s="34">
        <v>23281</v>
      </c>
      <c r="J59" s="34">
        <v>10649</v>
      </c>
      <c r="K59" s="34">
        <v>45426</v>
      </c>
      <c r="L59" s="34">
        <v>20</v>
      </c>
      <c r="M59" s="34">
        <v>951</v>
      </c>
      <c r="N59" s="34">
        <v>734</v>
      </c>
      <c r="O59" s="34">
        <v>2367</v>
      </c>
      <c r="P59" s="34"/>
    </row>
    <row r="60" spans="1:16" x14ac:dyDescent="0.45"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218D-1EC8-4C01-9635-08781AB896C4}">
  <dimension ref="A1:F30"/>
  <sheetViews>
    <sheetView workbookViewId="0"/>
  </sheetViews>
  <sheetFormatPr defaultRowHeight="18" x14ac:dyDescent="0.45"/>
  <cols>
    <col min="1" max="1" width="67.09765625" bestFit="1" customWidth="1"/>
    <col min="2" max="3" width="14.5" bestFit="1" customWidth="1"/>
    <col min="4" max="4" width="10.5" bestFit="1" customWidth="1"/>
    <col min="5" max="5" width="12.5" bestFit="1" customWidth="1"/>
  </cols>
  <sheetData>
    <row r="1" spans="1:6" ht="19.8" x14ac:dyDescent="0.45">
      <c r="A1" s="33" t="s">
        <v>142</v>
      </c>
    </row>
    <row r="2" spans="1:6" x14ac:dyDescent="0.45">
      <c r="A2" s="31" t="s">
        <v>1</v>
      </c>
      <c r="B2" t="s">
        <v>124</v>
      </c>
    </row>
    <row r="3" spans="1:6" x14ac:dyDescent="0.45">
      <c r="A3" s="31" t="s">
        <v>2</v>
      </c>
      <c r="B3" t="s">
        <v>124</v>
      </c>
    </row>
    <row r="5" spans="1:6" x14ac:dyDescent="0.45">
      <c r="A5" s="31" t="s">
        <v>120</v>
      </c>
      <c r="B5" t="s">
        <v>123</v>
      </c>
      <c r="C5" t="s">
        <v>157</v>
      </c>
      <c r="D5" t="s">
        <v>158</v>
      </c>
      <c r="E5" t="s">
        <v>159</v>
      </c>
    </row>
    <row r="6" spans="1:6" x14ac:dyDescent="0.45">
      <c r="A6" s="32" t="s">
        <v>32</v>
      </c>
      <c r="B6" s="34"/>
      <c r="C6" s="34"/>
      <c r="D6" s="34"/>
      <c r="E6" s="34">
        <v>5565</v>
      </c>
      <c r="F6" s="34"/>
    </row>
    <row r="7" spans="1:6" x14ac:dyDescent="0.45">
      <c r="A7" s="32" t="s">
        <v>31</v>
      </c>
      <c r="B7" s="34"/>
      <c r="C7" s="34"/>
      <c r="D7" s="34"/>
      <c r="E7" s="34">
        <v>67022</v>
      </c>
      <c r="F7" s="34"/>
    </row>
    <row r="8" spans="1:6" x14ac:dyDescent="0.45">
      <c r="A8" s="32" t="s">
        <v>29</v>
      </c>
      <c r="B8" s="34"/>
      <c r="C8" s="34">
        <v>449372</v>
      </c>
      <c r="D8" s="34">
        <v>102691</v>
      </c>
      <c r="E8" s="34"/>
      <c r="F8" s="34"/>
    </row>
    <row r="9" spans="1:6" x14ac:dyDescent="0.45">
      <c r="A9" s="32" t="s">
        <v>28</v>
      </c>
      <c r="B9" s="34"/>
      <c r="C9" s="34">
        <v>618587</v>
      </c>
      <c r="D9" s="34">
        <v>98967</v>
      </c>
      <c r="E9" s="34"/>
      <c r="F9" s="34"/>
    </row>
    <row r="10" spans="1:6" x14ac:dyDescent="0.45">
      <c r="A10" s="32" t="s">
        <v>34</v>
      </c>
      <c r="B10" s="34"/>
      <c r="C10" s="34"/>
      <c r="D10" s="34"/>
      <c r="E10" s="34">
        <v>4488</v>
      </c>
      <c r="F10" s="34"/>
    </row>
    <row r="11" spans="1:6" x14ac:dyDescent="0.45">
      <c r="A11" s="32" t="s">
        <v>27</v>
      </c>
      <c r="B11" s="34"/>
      <c r="C11" s="34">
        <v>1182237</v>
      </c>
      <c r="D11" s="34">
        <v>98922</v>
      </c>
      <c r="E11" s="34"/>
      <c r="F11" s="34"/>
    </row>
    <row r="12" spans="1:6" x14ac:dyDescent="0.45">
      <c r="A12" s="32" t="s">
        <v>19</v>
      </c>
      <c r="B12" s="34">
        <v>1951475864</v>
      </c>
      <c r="C12" s="34">
        <v>3518164</v>
      </c>
      <c r="D12" s="34">
        <v>880290</v>
      </c>
      <c r="E12" s="34"/>
      <c r="F12" s="34"/>
    </row>
    <row r="13" spans="1:6" x14ac:dyDescent="0.45">
      <c r="A13" s="32" t="s">
        <v>121</v>
      </c>
      <c r="B13" s="34">
        <v>1951475864</v>
      </c>
      <c r="C13" s="34">
        <v>5768360</v>
      </c>
      <c r="D13" s="34">
        <v>1180870</v>
      </c>
      <c r="E13" s="34">
        <v>77075</v>
      </c>
      <c r="F13" s="34"/>
    </row>
    <row r="14" spans="1:6" x14ac:dyDescent="0.45">
      <c r="B14" s="34"/>
      <c r="C14" s="34"/>
      <c r="D14" s="34"/>
      <c r="E14" s="34"/>
      <c r="F14" s="34"/>
    </row>
    <row r="15" spans="1:6" x14ac:dyDescent="0.45">
      <c r="B15" s="34"/>
      <c r="C15" s="34"/>
      <c r="D15" s="34"/>
      <c r="E15" s="34"/>
      <c r="F15" s="34"/>
    </row>
    <row r="16" spans="1:6" x14ac:dyDescent="0.45">
      <c r="B16" s="34"/>
      <c r="C16" s="34"/>
      <c r="D16" s="34"/>
      <c r="E16" s="34"/>
      <c r="F16" s="34"/>
    </row>
    <row r="17" spans="2:6" x14ac:dyDescent="0.45">
      <c r="B17" s="34"/>
      <c r="C17" s="34"/>
      <c r="D17" s="34"/>
      <c r="E17" s="34"/>
      <c r="F17" s="34"/>
    </row>
    <row r="18" spans="2:6" x14ac:dyDescent="0.45">
      <c r="B18" s="34"/>
      <c r="C18" s="34"/>
      <c r="D18" s="34"/>
      <c r="E18" s="34"/>
      <c r="F18" s="34"/>
    </row>
    <row r="19" spans="2:6" x14ac:dyDescent="0.45">
      <c r="B19" s="34"/>
      <c r="C19" s="34"/>
      <c r="D19" s="34"/>
      <c r="E19" s="34"/>
      <c r="F19" s="34"/>
    </row>
    <row r="20" spans="2:6" x14ac:dyDescent="0.45">
      <c r="B20" s="34"/>
      <c r="C20" s="34"/>
      <c r="D20" s="34"/>
      <c r="E20" s="34"/>
      <c r="F20" s="34"/>
    </row>
    <row r="21" spans="2:6" x14ac:dyDescent="0.45">
      <c r="B21" s="34"/>
      <c r="C21" s="34"/>
      <c r="D21" s="34"/>
      <c r="E21" s="34"/>
      <c r="F21" s="34"/>
    </row>
    <row r="22" spans="2:6" x14ac:dyDescent="0.45">
      <c r="B22" s="34"/>
      <c r="C22" s="34"/>
      <c r="D22" s="34"/>
      <c r="E22" s="34"/>
      <c r="F22" s="34"/>
    </row>
    <row r="23" spans="2:6" x14ac:dyDescent="0.45">
      <c r="B23" s="34"/>
      <c r="C23" s="34"/>
      <c r="D23" s="34"/>
      <c r="E23" s="34"/>
      <c r="F23" s="34"/>
    </row>
    <row r="24" spans="2:6" x14ac:dyDescent="0.45">
      <c r="B24" s="34"/>
      <c r="C24" s="34"/>
      <c r="D24" s="34"/>
      <c r="E24" s="34"/>
      <c r="F24" s="34"/>
    </row>
    <row r="25" spans="2:6" x14ac:dyDescent="0.45">
      <c r="B25" s="34"/>
      <c r="C25" s="34"/>
      <c r="D25" s="34"/>
      <c r="E25" s="34"/>
      <c r="F25" s="34"/>
    </row>
    <row r="26" spans="2:6" x14ac:dyDescent="0.45">
      <c r="B26" s="34"/>
      <c r="C26" s="34"/>
      <c r="D26" s="34"/>
      <c r="E26" s="34"/>
      <c r="F26" s="34"/>
    </row>
    <row r="27" spans="2:6" x14ac:dyDescent="0.45">
      <c r="B27" s="34"/>
      <c r="C27" s="34"/>
      <c r="D27" s="34"/>
      <c r="E27" s="34"/>
      <c r="F27" s="34"/>
    </row>
    <row r="28" spans="2:6" x14ac:dyDescent="0.45">
      <c r="B28" s="34"/>
      <c r="C28" s="34"/>
      <c r="D28" s="34"/>
      <c r="E28" s="34"/>
      <c r="F28" s="34"/>
    </row>
    <row r="29" spans="2:6" x14ac:dyDescent="0.45">
      <c r="B29" s="34"/>
      <c r="C29" s="34"/>
      <c r="D29" s="34"/>
      <c r="E29" s="34"/>
      <c r="F29" s="34"/>
    </row>
    <row r="30" spans="2:6" x14ac:dyDescent="0.45">
      <c r="B30" s="34"/>
      <c r="C30" s="34"/>
      <c r="D30" s="34"/>
      <c r="E30" s="34"/>
      <c r="F30" s="34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BBDA-A749-40AC-B971-43304CAE9DF2}">
  <dimension ref="A1:O58"/>
  <sheetViews>
    <sheetView tabSelected="1" topLeftCell="A70" workbookViewId="0"/>
  </sheetViews>
  <sheetFormatPr defaultRowHeight="18" x14ac:dyDescent="0.45"/>
  <cols>
    <col min="1" max="1" width="28" bestFit="1" customWidth="1"/>
    <col min="2" max="3" width="11.5" bestFit="1" customWidth="1"/>
    <col min="4" max="4" width="8.796875" style="36"/>
    <col min="5" max="5" width="25.19921875" bestFit="1" customWidth="1"/>
    <col min="6" max="7" width="10.3984375" bestFit="1" customWidth="1"/>
    <col min="9" max="9" width="17.59765625" bestFit="1" customWidth="1"/>
    <col min="10" max="11" width="7.8984375" bestFit="1" customWidth="1"/>
    <col min="13" max="13" width="17.3984375" bestFit="1" customWidth="1"/>
    <col min="14" max="15" width="7.8984375" bestFit="1" customWidth="1"/>
  </cols>
  <sheetData>
    <row r="1" spans="1:15" ht="22.2" x14ac:dyDescent="0.45">
      <c r="A1" s="4" t="s">
        <v>160</v>
      </c>
    </row>
    <row r="2" spans="1:15" x14ac:dyDescent="0.45">
      <c r="A2" s="3" t="s">
        <v>161</v>
      </c>
      <c r="B2" s="5" t="s">
        <v>19</v>
      </c>
    </row>
    <row r="4" spans="1:15" x14ac:dyDescent="0.45">
      <c r="A4" s="3" t="s">
        <v>162</v>
      </c>
      <c r="E4" s="3" t="s">
        <v>163</v>
      </c>
      <c r="I4" s="3" t="s">
        <v>164</v>
      </c>
      <c r="M4" s="3" t="s">
        <v>166</v>
      </c>
    </row>
    <row r="5" spans="1:15" x14ac:dyDescent="0.45">
      <c r="A5" s="35" t="s">
        <v>2</v>
      </c>
      <c r="B5" s="35" t="s">
        <v>21</v>
      </c>
      <c r="C5" s="35" t="s">
        <v>20</v>
      </c>
      <c r="D5" s="37" t="s">
        <v>179</v>
      </c>
      <c r="E5" s="35" t="s">
        <v>0</v>
      </c>
      <c r="F5" s="35" t="s">
        <v>21</v>
      </c>
      <c r="G5" s="35" t="s">
        <v>20</v>
      </c>
      <c r="I5" s="35" t="s">
        <v>165</v>
      </c>
      <c r="J5" s="35" t="s">
        <v>21</v>
      </c>
      <c r="K5" s="35" t="s">
        <v>20</v>
      </c>
      <c r="M5" s="35" t="s">
        <v>3</v>
      </c>
      <c r="N5" s="35" t="s">
        <v>21</v>
      </c>
      <c r="O5" s="35" t="s">
        <v>20</v>
      </c>
    </row>
    <row r="6" spans="1:15" x14ac:dyDescent="0.45">
      <c r="A6" t="s">
        <v>167</v>
      </c>
      <c r="B6" s="34">
        <f>SUMIFS(T_元データ[売上金額],T_元データ[年区分],B$5,T_元データ[月],$D6,T_元データ[項目],$B$2)</f>
        <v>55717328</v>
      </c>
      <c r="C6" s="34">
        <f>SUMIFS(T_元データ[売上金額],T_元データ[年区分],C$5,T_元データ[月],$D6,T_元データ[項目],$B$2)</f>
        <v>59099103</v>
      </c>
      <c r="D6" s="36">
        <f>VALUE(SUBSTITUTE(A6,"月",""))</f>
        <v>8</v>
      </c>
      <c r="E6" t="str">
        <f>INDEX(店舗マスタ!$A$2:$A$54,ROW()-5)</f>
        <v>裾野本店</v>
      </c>
      <c r="F6" s="34">
        <f>SUMIFS(T_元データ[売上金額],T_元データ[年区分],F$5,T_元データ[店舗名],$E6,T_元データ[項目],$B$2)</f>
        <v>27324226</v>
      </c>
      <c r="G6" s="34">
        <f>SUMIFS(T_元データ[売上金額],T_元データ[年区分],G$5,T_元データ[店舗名],$E6,T_元データ[項目],$B$2)</f>
        <v>24911731</v>
      </c>
      <c r="I6" t="str">
        <f>INDEX(元データ_14項目!$D$1:$Q$1,ROW()-5)</f>
        <v>ワイシャツ</v>
      </c>
      <c r="J6" s="34">
        <f>SUMIFS(INDEX(元データ_14項目!$D$2:$Q$1235,0,MATCH($I6,元データ_14項目!$D$1:$Q$1,0)),元データ_14項目!$B$2:$B$1235,J$5)</f>
        <v>627227</v>
      </c>
      <c r="K6" s="34">
        <f>SUMIFS(INDEX(元データ_14項目!$D$2:$Q$1235,0,MATCH($I6,元データ_14項目!$D$1:$Q$1,0)),元データ_14項目!$B$2:$B$1235,K$5)</f>
        <v>547767</v>
      </c>
      <c r="M6" t="s">
        <v>27</v>
      </c>
      <c r="N6" s="34">
        <f>SUMIFS(T_元データ[商品点数],T_元データ[年区分],N$5,T_元データ[項目],$M6)</f>
        <v>631513</v>
      </c>
      <c r="O6" s="34">
        <f>SUMIFS(T_元データ[商品点数],T_元データ[年区分],O$5,T_元データ[項目],$M6)</f>
        <v>550724</v>
      </c>
    </row>
    <row r="7" spans="1:15" x14ac:dyDescent="0.45">
      <c r="A7" t="s">
        <v>168</v>
      </c>
      <c r="B7" s="34">
        <f>SUMIFS(T_元データ[売上金額],T_元データ[年区分],B$5,T_元データ[月],$D7,T_元データ[項目],$B$2)</f>
        <v>54025530</v>
      </c>
      <c r="C7" s="34">
        <f>SUMIFS(T_元データ[売上金額],T_元データ[年区分],C$5,T_元データ[月],$D7,T_元データ[項目],$B$2)</f>
        <v>58256956</v>
      </c>
      <c r="D7" s="36">
        <f t="shared" ref="D7:D17" si="0">VALUE(SUBSTITUTE(A7,"月",""))</f>
        <v>9</v>
      </c>
      <c r="E7" t="str">
        <f>INDEX(店舗マスタ!$A$2:$A$54,ROW()-5)</f>
        <v>三 島 店</v>
      </c>
      <c r="F7" s="34">
        <f>SUMIFS(T_元データ[売上金額],T_元データ[年区分],F$5,T_元データ[店舗名],$E7,T_元データ[項目],$B$2)</f>
        <v>23541322</v>
      </c>
      <c r="G7" s="34">
        <f>SUMIFS(T_元データ[売上金額],T_元データ[年区分],G$5,T_元データ[店舗名],$E7,T_元データ[項目],$B$2)</f>
        <v>22078948</v>
      </c>
      <c r="I7" t="str">
        <f>INDEX(元データ_14項目!$D$1:$Q$1,ROW()-5)</f>
        <v>カジュアルシャツ</v>
      </c>
      <c r="J7" s="34">
        <f>SUMIFS(INDEX(元データ_14項目!$D$2:$Q$1235,0,MATCH($I7,元データ_14項目!$D$1:$Q$1,0)),元データ_14項目!$B$2:$B$1235,J$5)</f>
        <v>31037</v>
      </c>
      <c r="K7" s="34">
        <f>SUMIFS(INDEX(元データ_14項目!$D$2:$Q$1235,0,MATCH($I7,元データ_14項目!$D$1:$Q$1,0)),元データ_14項目!$B$2:$B$1235,K$5)</f>
        <v>30905</v>
      </c>
      <c r="M7" t="s">
        <v>28</v>
      </c>
      <c r="N7" s="34">
        <f>SUMIFS(T_元データ[商品点数],T_元データ[年区分],N$5,T_元データ[項目],$M7)</f>
        <v>318839</v>
      </c>
      <c r="O7" s="34">
        <f>SUMIFS(T_元データ[商品点数],T_元データ[年区分],O$5,T_元データ[項目],$M7)</f>
        <v>299748</v>
      </c>
    </row>
    <row r="8" spans="1:15" x14ac:dyDescent="0.45">
      <c r="A8" t="s">
        <v>169</v>
      </c>
      <c r="B8" s="34">
        <f>SUMIFS(T_元データ[売上金額],T_元データ[年区分],B$5,T_元データ[月],$D8,T_元データ[項目],$B$2)</f>
        <v>83845578</v>
      </c>
      <c r="C8" s="34">
        <f>SUMIFS(T_元データ[売上金額],T_元データ[年区分],C$5,T_元データ[月],$D8,T_元データ[項目],$B$2)</f>
        <v>84691442</v>
      </c>
      <c r="D8" s="36">
        <f t="shared" si="0"/>
        <v>10</v>
      </c>
      <c r="E8" t="str">
        <f>INDEX(店舗マスタ!$A$2:$A$54,ROW()-5)</f>
        <v>ｱｰｹｰﾄﾞ店</v>
      </c>
      <c r="F8" s="34">
        <f>SUMIFS(T_元データ[売上金額],T_元データ[年区分],F$5,T_元データ[店舗名],$E8,T_元データ[項目],$B$2)</f>
        <v>11741841</v>
      </c>
      <c r="G8" s="34">
        <f>SUMIFS(T_元データ[売上金額],T_元データ[年区分],G$5,T_元データ[店舗名],$E8,T_元データ[項目],$B$2)</f>
        <v>10631918</v>
      </c>
      <c r="I8" t="str">
        <f>INDEX(元データ_14項目!$D$1:$Q$1,ROW()-5)</f>
        <v>ブラウス</v>
      </c>
      <c r="J8" s="34">
        <f>SUMIFS(INDEX(元データ_14項目!$D$2:$Q$1235,0,MATCH($I8,元データ_14項目!$D$1:$Q$1,0)),元データ_14項目!$B$2:$B$1235,J$5)</f>
        <v>28881</v>
      </c>
      <c r="K8" s="34">
        <f>SUMIFS(INDEX(元データ_14項目!$D$2:$Q$1235,0,MATCH($I8,元データ_14項目!$D$1:$Q$1,0)),元データ_14項目!$B$2:$B$1235,K$5)</f>
        <v>29628</v>
      </c>
      <c r="M8" t="s">
        <v>29</v>
      </c>
      <c r="N8" s="34">
        <f>SUMIFS(T_元データ[商品点数],T_元データ[年区分],N$5,T_元データ[項目],$M8)</f>
        <v>227618</v>
      </c>
      <c r="O8" s="34">
        <f>SUMIFS(T_元データ[商品点数],T_元データ[年区分],O$5,T_元データ[項目],$M8)</f>
        <v>221754</v>
      </c>
    </row>
    <row r="9" spans="1:15" x14ac:dyDescent="0.45">
      <c r="A9" t="s">
        <v>170</v>
      </c>
      <c r="B9" s="34">
        <f>SUMIFS(T_元データ[売上金額],T_元データ[年区分],B$5,T_元データ[月],$D9,T_元データ[項目],$B$2)</f>
        <v>69222843</v>
      </c>
      <c r="C9" s="34">
        <f>SUMIFS(T_元データ[売上金額],T_元データ[年区分],C$5,T_元データ[月],$D9,T_元データ[項目],$B$2)</f>
        <v>71816733</v>
      </c>
      <c r="D9" s="36">
        <f t="shared" si="0"/>
        <v>11</v>
      </c>
      <c r="E9" t="str">
        <f>INDEX(店舗マスタ!$A$2:$A$54,ROW()-5)</f>
        <v>東田中店</v>
      </c>
      <c r="F9" s="34">
        <f>SUMIFS(T_元データ[売上金額],T_元データ[年区分],F$5,T_元データ[店舗名],$E9,T_元データ[項目],$B$2)</f>
        <v>29011272</v>
      </c>
      <c r="G9" s="34">
        <f>SUMIFS(T_元データ[売上金額],T_元データ[年区分],G$5,T_元データ[店舗名],$E9,T_元データ[項目],$B$2)</f>
        <v>29678537</v>
      </c>
      <c r="I9" t="str">
        <f>INDEX(元データ_14項目!$D$1:$Q$1,ROW()-5)</f>
        <v>スーツ</v>
      </c>
      <c r="J9" s="34">
        <f>SUMIFS(INDEX(元データ_14項目!$D$2:$Q$1235,0,MATCH($I9,元データ_14項目!$D$1:$Q$1,0)),元データ_14項目!$B$2:$B$1235,J$5)</f>
        <v>78693</v>
      </c>
      <c r="K9" s="34">
        <f>SUMIFS(INDEX(元データ_14項目!$D$2:$Q$1235,0,MATCH($I9,元データ_14項目!$D$1:$Q$1,0)),元データ_14項目!$B$2:$B$1235,K$5)</f>
        <v>71716</v>
      </c>
    </row>
    <row r="10" spans="1:15" x14ac:dyDescent="0.45">
      <c r="A10" t="s">
        <v>171</v>
      </c>
      <c r="B10" s="34">
        <f>SUMIFS(T_元データ[売上金額],T_元データ[年区分],B$5,T_元データ[月],$D10,T_元データ[項目],$B$2)</f>
        <v>73686070</v>
      </c>
      <c r="C10" s="34">
        <f>SUMIFS(T_元データ[売上金額],T_元データ[年区分],C$5,T_元データ[月],$D10,T_元データ[項目],$B$2)</f>
        <v>72087602</v>
      </c>
      <c r="D10" s="36">
        <f t="shared" si="0"/>
        <v>12</v>
      </c>
      <c r="E10" t="str">
        <f>INDEX(店舗マスタ!$A$2:$A$54,ROW()-5)</f>
        <v>桜堤店</v>
      </c>
      <c r="F10" s="34">
        <f>SUMIFS(T_元データ[売上金額],T_元データ[年区分],F$5,T_元データ[店舗名],$E10,T_元データ[項目],$B$2)</f>
        <v>21369896</v>
      </c>
      <c r="G10" s="34">
        <f>SUMIFS(T_元データ[売上金額],T_元データ[年区分],G$5,T_元データ[店舗名],$E10,T_元データ[項目],$B$2)</f>
        <v>20720634</v>
      </c>
      <c r="I10" t="str">
        <f>INDEX(元データ_14項目!$D$1:$Q$1,ROW()-5)</f>
        <v>上着</v>
      </c>
      <c r="J10" s="34">
        <f>SUMIFS(INDEX(元データ_14項目!$D$2:$Q$1235,0,MATCH($I10,元データ_14項目!$D$1:$Q$1,0)),元データ_14項目!$B$2:$B$1235,J$5)</f>
        <v>20920</v>
      </c>
      <c r="K10" s="34">
        <f>SUMIFS(INDEX(元データ_14項目!$D$2:$Q$1235,0,MATCH($I10,元データ_14項目!$D$1:$Q$1,0)),元データ_14項目!$B$2:$B$1235,K$5)</f>
        <v>23636</v>
      </c>
    </row>
    <row r="11" spans="1:15" x14ac:dyDescent="0.45">
      <c r="A11" t="s">
        <v>172</v>
      </c>
      <c r="B11" s="34">
        <f>SUMIFS(T_元データ[売上金額],T_元データ[年区分],B$5,T_元データ[月],$D11,T_元データ[項目],$B$2)</f>
        <v>50206440</v>
      </c>
      <c r="C11" s="34">
        <f>SUMIFS(T_元データ[売上金額],T_元データ[年区分],C$5,T_元データ[月],$D11,T_元データ[項目],$B$2)</f>
        <v>52632909</v>
      </c>
      <c r="D11" s="36">
        <f t="shared" si="0"/>
        <v>1</v>
      </c>
      <c r="E11" t="str">
        <f>INDEX(店舗マスタ!$A$2:$A$54,ROW()-5)</f>
        <v>香貫店</v>
      </c>
      <c r="F11" s="34">
        <f>SUMIFS(T_元データ[売上金額],T_元データ[年区分],F$5,T_元データ[店舗名],$E11,T_元データ[項目],$B$2)</f>
        <v>21519845</v>
      </c>
      <c r="G11" s="34">
        <f>SUMIFS(T_元データ[売上金額],T_元データ[年区分],G$5,T_元データ[店舗名],$E11,T_元データ[項目],$B$2)</f>
        <v>22165952</v>
      </c>
      <c r="I11" t="str">
        <f>INDEX(元データ_14項目!$D$1:$Q$1,ROW()-5)</f>
        <v>ズボン</v>
      </c>
      <c r="J11" s="34">
        <f>SUMIFS(INDEX(元データ_14項目!$D$2:$Q$1235,0,MATCH($I11,元データ_14項目!$D$1:$Q$1,0)),元データ_14項目!$B$2:$B$1235,J$5)</f>
        <v>139252</v>
      </c>
      <c r="K11" s="34">
        <f>SUMIFS(INDEX(元データ_14項目!$D$2:$Q$1235,0,MATCH($I11,元データ_14項目!$D$1:$Q$1,0)),元データ_14項目!$B$2:$B$1235,K$5)</f>
        <v>139338</v>
      </c>
    </row>
    <row r="12" spans="1:15" x14ac:dyDescent="0.45">
      <c r="A12" t="s">
        <v>173</v>
      </c>
      <c r="B12" s="34">
        <f>SUMIFS(T_元データ[売上金額],T_元データ[年区分],B$5,T_元データ[月],$D12,T_元データ[項目],$B$2)</f>
        <v>47131290</v>
      </c>
      <c r="C12" s="34">
        <f>SUMIFS(T_元データ[売上金額],T_元データ[年区分],C$5,T_元データ[月],$D12,T_元データ[項目],$B$2)</f>
        <v>47595483</v>
      </c>
      <c r="D12" s="36">
        <f t="shared" si="0"/>
        <v>2</v>
      </c>
      <c r="E12" t="str">
        <f>INDEX(店舗マスタ!$A$2:$A$54,ROW()-5)</f>
        <v>学園通り店</v>
      </c>
      <c r="F12" s="34">
        <f>SUMIFS(T_元データ[売上金額],T_元データ[年区分],F$5,T_元データ[店舗名],$E12,T_元データ[項目],$B$2)</f>
        <v>23736088</v>
      </c>
      <c r="G12" s="34">
        <f>SUMIFS(T_元データ[売上金額],T_元データ[年区分],G$5,T_元データ[店舗名],$E12,T_元データ[項目],$B$2)</f>
        <v>23811257</v>
      </c>
      <c r="I12" t="str">
        <f>INDEX(元データ_14項目!$D$1:$Q$1,ROW()-5)</f>
        <v>スカート</v>
      </c>
      <c r="J12" s="34">
        <f>SUMIFS(INDEX(元データ_14項目!$D$2:$Q$1235,0,MATCH($I12,元データ_14項目!$D$1:$Q$1,0)),元データ_14項目!$B$2:$B$1235,J$5)</f>
        <v>21273</v>
      </c>
      <c r="K12" s="34">
        <f>SUMIFS(INDEX(元データ_14項目!$D$2:$Q$1235,0,MATCH($I12,元データ_14項目!$D$1:$Q$1,0)),元データ_14項目!$B$2:$B$1235,K$5)</f>
        <v>20826</v>
      </c>
    </row>
    <row r="13" spans="1:15" x14ac:dyDescent="0.45">
      <c r="A13" t="s">
        <v>174</v>
      </c>
      <c r="B13" s="34">
        <f>SUMIFS(T_元データ[売上金額],T_元データ[年区分],B$5,T_元データ[月],$D13,T_元データ[項目],$B$2)</f>
        <v>108605803</v>
      </c>
      <c r="C13" s="34">
        <f>SUMIFS(T_元データ[売上金額],T_元データ[年区分],C$5,T_元データ[月],$D13,T_元データ[項目],$B$2)</f>
        <v>90930608</v>
      </c>
      <c r="D13" s="36">
        <f t="shared" si="0"/>
        <v>3</v>
      </c>
      <c r="E13" t="str">
        <f>INDEX(店舗マスタ!$A$2:$A$54,ROW()-5)</f>
        <v>伏見店</v>
      </c>
      <c r="F13" s="34">
        <f>SUMIFS(T_元データ[売上金額],T_元データ[年区分],F$5,T_元データ[店舗名],$E13,T_元データ[項目],$B$2)</f>
        <v>10295621</v>
      </c>
      <c r="G13" s="34">
        <f>SUMIFS(T_元データ[売上金額],T_元データ[年区分],G$5,T_元データ[店舗名],$E13,T_元データ[項目],$B$2)</f>
        <v>10106931</v>
      </c>
      <c r="I13" t="str">
        <f>INDEX(元データ_14項目!$D$1:$Q$1,ROW()-5)</f>
        <v>セーター</v>
      </c>
      <c r="J13" s="34">
        <f>SUMIFS(INDEX(元データ_14項目!$D$2:$Q$1235,0,MATCH($I13,元データ_14項目!$D$1:$Q$1,0)),元データ_14項目!$B$2:$B$1235,J$5)</f>
        <v>58469</v>
      </c>
      <c r="K13" s="34">
        <f>SUMIFS(INDEX(元データ_14項目!$D$2:$Q$1235,0,MATCH($I13,元データ_14項目!$D$1:$Q$1,0)),元データ_14項目!$B$2:$B$1235,K$5)</f>
        <v>54937</v>
      </c>
    </row>
    <row r="14" spans="1:15" x14ac:dyDescent="0.45">
      <c r="A14" t="s">
        <v>175</v>
      </c>
      <c r="B14" s="34">
        <f>SUMIFS(T_元データ[売上金額],T_元データ[年区分],B$5,T_元データ[月],$D14,T_元データ[項目],$B$2)</f>
        <v>140099252</v>
      </c>
      <c r="C14" s="34">
        <f>SUMIFS(T_元データ[売上金額],T_元データ[年区分],C$5,T_元データ[月],$D14,T_元データ[項目],$B$2)</f>
        <v>148582414</v>
      </c>
      <c r="D14" s="36">
        <f t="shared" si="0"/>
        <v>4</v>
      </c>
      <c r="E14" t="str">
        <f>INDEX(店舗マスタ!$A$2:$A$54,ROW()-5)</f>
        <v>原里店</v>
      </c>
      <c r="F14" s="34">
        <f>SUMIFS(T_元データ[売上金額],T_元データ[年区分],F$5,T_元データ[店舗名],$E14,T_元データ[項目],$B$2)</f>
        <v>18358394</v>
      </c>
      <c r="G14" s="34">
        <f>SUMIFS(T_元データ[売上金額],T_元データ[年区分],G$5,T_元データ[店舗名],$E14,T_元データ[項目],$B$2)</f>
        <v>18153089</v>
      </c>
      <c r="I14" t="str">
        <f>INDEX(元データ_14項目!$D$1:$Q$1,ROW()-5)</f>
        <v>カーディガン</v>
      </c>
      <c r="J14" s="34">
        <f>SUMIFS(INDEX(元データ_14項目!$D$2:$Q$1235,0,MATCH($I14,元データ_14項目!$D$1:$Q$1,0)),元データ_14項目!$B$2:$B$1235,J$5)</f>
        <v>25108</v>
      </c>
      <c r="K14" s="34">
        <f>SUMIFS(INDEX(元データ_14項目!$D$2:$Q$1235,0,MATCH($I14,元データ_14項目!$D$1:$Q$1,0)),元データ_14項目!$B$2:$B$1235,K$5)</f>
        <v>23732</v>
      </c>
    </row>
    <row r="15" spans="1:15" x14ac:dyDescent="0.45">
      <c r="A15" t="s">
        <v>176</v>
      </c>
      <c r="B15" s="34">
        <f>SUMIFS(T_元データ[売上金額],T_元データ[年区分],B$5,T_元データ[月],$D15,T_元データ[項目],$B$2)</f>
        <v>120606806</v>
      </c>
      <c r="C15" s="34">
        <f>SUMIFS(T_元データ[売上金額],T_元データ[年区分],C$5,T_元データ[月],$D15,T_元データ[項目],$B$2)</f>
        <v>105239269</v>
      </c>
      <c r="D15" s="36">
        <f t="shared" si="0"/>
        <v>5</v>
      </c>
      <c r="E15" t="str">
        <f>INDEX(店舗マスタ!$A$2:$A$54,ROW()-5)</f>
        <v>岡の宮店</v>
      </c>
      <c r="F15" s="34">
        <f>SUMIFS(T_元データ[売上金額],T_元データ[年区分],F$5,T_元データ[店舗名],$E15,T_元データ[項目],$B$2)</f>
        <v>27383315</v>
      </c>
      <c r="G15" s="34">
        <f>SUMIFS(T_元データ[売上金額],T_元データ[年区分],G$5,T_元データ[店舗名],$E15,T_元データ[項目],$B$2)</f>
        <v>26345157</v>
      </c>
      <c r="I15" t="str">
        <f>INDEX(元データ_14項目!$D$1:$Q$1,ROW()-5)</f>
        <v>ワンピース</v>
      </c>
      <c r="J15" s="34">
        <f>SUMIFS(INDEX(元データ_14項目!$D$2:$Q$1235,0,MATCH($I15,元データ_14項目!$D$1:$Q$1,0)),元データ_14項目!$B$2:$B$1235,J$5)</f>
        <v>21646</v>
      </c>
      <c r="K15" s="34">
        <f>SUMIFS(INDEX(元データ_14項目!$D$2:$Q$1235,0,MATCH($I15,元データ_14項目!$D$1:$Q$1,0)),元データ_14項目!$B$2:$B$1235,K$5)</f>
        <v>22276</v>
      </c>
    </row>
    <row r="16" spans="1:15" x14ac:dyDescent="0.45">
      <c r="A16" t="s">
        <v>177</v>
      </c>
      <c r="B16" s="34">
        <f>SUMIFS(T_元データ[売上金額],T_元データ[年区分],B$5,T_元データ[月],$D16,T_元データ[項目],$B$2)</f>
        <v>104009387</v>
      </c>
      <c r="C16" s="34">
        <f>SUMIFS(T_元データ[売上金額],T_元データ[年区分],C$5,T_元データ[月],$D16,T_元データ[項目],$B$2)</f>
        <v>101048715</v>
      </c>
      <c r="D16" s="36">
        <f t="shared" si="0"/>
        <v>6</v>
      </c>
      <c r="E16" t="str">
        <f>INDEX(店舗マスタ!$A$2:$A$54,ROW()-5)</f>
        <v>川島田店</v>
      </c>
      <c r="F16" s="34">
        <f>SUMIFS(T_元データ[売上金額],T_元データ[年区分],F$5,T_元データ[店舗名],$E16,T_元データ[項目],$B$2)</f>
        <v>15786599</v>
      </c>
      <c r="G16" s="34">
        <f>SUMIFS(T_元データ[売上金額],T_元データ[年区分],G$5,T_元データ[店舗名],$E16,T_元データ[項目],$B$2)</f>
        <v>15339997</v>
      </c>
      <c r="I16" t="str">
        <f>INDEX(元データ_14項目!$D$1:$Q$1,ROW()-5)</f>
        <v>コート</v>
      </c>
      <c r="J16" s="34">
        <f>SUMIFS(INDEX(元データ_14項目!$D$2:$Q$1235,0,MATCH($I16,元データ_14項目!$D$1:$Q$1,0)),元データ_14項目!$B$2:$B$1235,J$5)</f>
        <v>55562</v>
      </c>
      <c r="K16" s="34">
        <f>SUMIFS(INDEX(元データ_14項目!$D$2:$Q$1235,0,MATCH($I16,元データ_14項目!$D$1:$Q$1,0)),元データ_14項目!$B$2:$B$1235,K$5)</f>
        <v>52562</v>
      </c>
    </row>
    <row r="17" spans="1:11" x14ac:dyDescent="0.45">
      <c r="A17" t="s">
        <v>178</v>
      </c>
      <c r="B17" s="34">
        <f>SUMIFS(T_元データ[売上金額],T_元データ[年区分],B$5,T_元データ[月],$D17,T_元データ[項目],$B$2)</f>
        <v>76422584</v>
      </c>
      <c r="C17" s="34">
        <f>SUMIFS(T_元データ[売上金額],T_元データ[年区分],C$5,T_元データ[月],$D17,T_元データ[項目],$B$2)</f>
        <v>75915719</v>
      </c>
      <c r="D17" s="36">
        <f t="shared" si="0"/>
        <v>7</v>
      </c>
      <c r="E17" t="str">
        <f>INDEX(店舗マスタ!$A$2:$A$54,ROW()-5)</f>
        <v>便船塚店</v>
      </c>
      <c r="F17" s="34">
        <f>SUMIFS(T_元データ[売上金額],T_元データ[年区分],F$5,T_元データ[店舗名],$E17,T_元データ[項目],$B$2)</f>
        <v>30090246</v>
      </c>
      <c r="G17" s="34">
        <f>SUMIFS(T_元データ[売上金額],T_元データ[年区分],G$5,T_元データ[店舗名],$E17,T_元データ[項目],$B$2)</f>
        <v>29743604</v>
      </c>
      <c r="I17" t="str">
        <f>INDEX(元データ_14項目!$D$1:$Q$1,ROW()-5)</f>
        <v>ジャンバー</v>
      </c>
      <c r="J17" s="34">
        <f>SUMIFS(INDEX(元データ_14項目!$D$2:$Q$1235,0,MATCH($I17,元データ_14項目!$D$1:$Q$1,0)),元データ_14項目!$B$2:$B$1235,J$5)</f>
        <v>43256</v>
      </c>
      <c r="K17" s="34">
        <f>SUMIFS(INDEX(元データ_14項目!$D$2:$Q$1235,0,MATCH($I17,元データ_14項目!$D$1:$Q$1,0)),元データ_14項目!$B$2:$B$1235,K$5)</f>
        <v>42983</v>
      </c>
    </row>
    <row r="18" spans="1:11" x14ac:dyDescent="0.45">
      <c r="E18" t="str">
        <f>INDEX(店舗マスタ!$A$2:$A$54,ROW()-5)</f>
        <v>大岡店</v>
      </c>
      <c r="F18" s="34">
        <f>SUMIFS(T_元データ[売上金額],T_元データ[年区分],F$5,T_元データ[店舗名],$E18,T_元データ[項目],$B$2)</f>
        <v>33137309</v>
      </c>
      <c r="G18" s="34">
        <f>SUMIFS(T_元データ[売上金額],T_元データ[年区分],G$5,T_元データ[店舗名],$E18,T_元データ[項目],$B$2)</f>
        <v>30920176</v>
      </c>
      <c r="I18" t="str">
        <f>INDEX(元データ_14項目!$D$1:$Q$1,ROW()-5)</f>
        <v>ダウン</v>
      </c>
      <c r="J18" s="34">
        <f>SUMIFS(INDEX(元データ_14項目!$D$2:$Q$1235,0,MATCH($I18,元データ_14項目!$D$1:$Q$1,0)),元データ_14項目!$B$2:$B$1235,J$5)</f>
        <v>29516</v>
      </c>
      <c r="K18" s="34">
        <f>SUMIFS(INDEX(元データ_14項目!$D$2:$Q$1235,0,MATCH($I18,元データ_14項目!$D$1:$Q$1,0)),元データ_14項目!$B$2:$B$1235,K$5)</f>
        <v>28385</v>
      </c>
    </row>
    <row r="19" spans="1:11" x14ac:dyDescent="0.45">
      <c r="E19" t="str">
        <f>INDEX(店舗マスタ!$A$2:$A$54,ROW()-5)</f>
        <v>三好店</v>
      </c>
      <c r="F19" s="34">
        <f>SUMIFS(T_元データ[売上金額],T_元データ[年区分],F$5,T_元データ[店舗名],$E19,T_元データ[項目],$B$2)</f>
        <v>17389391</v>
      </c>
      <c r="G19" s="34">
        <f>SUMIFS(T_元データ[売上金額],T_元データ[年区分],G$5,T_元データ[店舗名],$E19,T_元データ[項目],$B$2)</f>
        <v>16409257</v>
      </c>
      <c r="I19" t="str">
        <f>INDEX(元データ_14項目!$D$1:$Q$1,ROW()-5)</f>
        <v>スキーウェア</v>
      </c>
      <c r="J19" s="34">
        <f>SUMIFS(INDEX(元データ_14項目!$D$2:$Q$1235,0,MATCH($I19,元データ_14項目!$D$1:$Q$1,0)),元データ_14項目!$B$2:$B$1235,J$5)</f>
        <v>2526</v>
      </c>
      <c r="K19" s="34">
        <f>SUMIFS(INDEX(元データ_14項目!$D$2:$Q$1235,0,MATCH($I19,元データ_14項目!$D$1:$Q$1,0)),元データ_14項目!$B$2:$B$1235,K$5)</f>
        <v>2250</v>
      </c>
    </row>
    <row r="20" spans="1:11" x14ac:dyDescent="0.45">
      <c r="E20" t="str">
        <f>INDEX(店舗マスタ!$A$2:$A$54,ROW()-5)</f>
        <v>沼津駅南口店</v>
      </c>
      <c r="F20" s="34">
        <f>SUMIFS(T_元データ[売上金額],T_元データ[年区分],F$5,T_元データ[店舗名],$E20,T_元データ[項目],$B$2)</f>
        <v>11431050</v>
      </c>
      <c r="G20" s="34">
        <f>SUMIFS(T_元データ[売上金額],T_元データ[年区分],G$5,T_元データ[店舗名],$E20,T_元データ[項目],$B$2)</f>
        <v>11846056</v>
      </c>
    </row>
    <row r="21" spans="1:11" x14ac:dyDescent="0.45">
      <c r="E21" t="str">
        <f>INDEX(店舗マスタ!$A$2:$A$54,ROW()-5)</f>
        <v>神山店</v>
      </c>
      <c r="F21" s="34">
        <f>SUMIFS(T_元データ[売上金額],T_元データ[年区分],F$5,T_元データ[店舗名],$E21,T_元データ[項目],$B$2)</f>
        <v>10397746</v>
      </c>
      <c r="G21" s="34">
        <f>SUMIFS(T_元データ[売上金額],T_元データ[年区分],G$5,T_元データ[店舗名],$E21,T_元データ[項目],$B$2)</f>
        <v>10180438</v>
      </c>
    </row>
    <row r="22" spans="1:11" x14ac:dyDescent="0.45">
      <c r="E22" t="str">
        <f>INDEX(店舗マスタ!$A$2:$A$54,ROW()-5)</f>
        <v>長泉店</v>
      </c>
      <c r="F22" s="34">
        <f>SUMIFS(T_元データ[売上金額],T_元データ[年区分],F$5,T_元データ[店舗名],$E22,T_元データ[項目],$B$2)</f>
        <v>24998232</v>
      </c>
      <c r="G22" s="34">
        <f>SUMIFS(T_元データ[売上金額],T_元データ[年区分],G$5,T_元データ[店舗名],$E22,T_元データ[項目],$B$2)</f>
        <v>24944149</v>
      </c>
    </row>
    <row r="23" spans="1:11" x14ac:dyDescent="0.45">
      <c r="E23" t="str">
        <f>INDEX(店舗マスタ!$A$2:$A$54,ROW()-5)</f>
        <v>大仁店</v>
      </c>
      <c r="F23" s="34">
        <f>SUMIFS(T_元データ[売上金額],T_元データ[年区分],F$5,T_元データ[店舗名],$E23,T_元データ[項目],$B$2)</f>
        <v>12636463</v>
      </c>
      <c r="G23" s="34">
        <f>SUMIFS(T_元データ[売上金額],T_元データ[年区分],G$5,T_元データ[店舗名],$E23,T_元データ[項目],$B$2)</f>
        <v>12491977</v>
      </c>
    </row>
    <row r="24" spans="1:11" x14ac:dyDescent="0.45">
      <c r="E24" t="str">
        <f>INDEX(店舗マスタ!$A$2:$A$54,ROW()-5)</f>
        <v>修善寺店</v>
      </c>
      <c r="F24" s="34">
        <f>SUMIFS(T_元データ[売上金額],T_元データ[年区分],F$5,T_元データ[店舗名],$E24,T_元データ[項目],$B$2)</f>
        <v>12973906</v>
      </c>
      <c r="G24" s="34">
        <f>SUMIFS(T_元データ[売上金額],T_元データ[年区分],G$5,T_元データ[店舗名],$E24,T_元データ[項目],$B$2)</f>
        <v>12975818</v>
      </c>
    </row>
    <row r="25" spans="1:11" x14ac:dyDescent="0.45">
      <c r="E25" t="str">
        <f>INDEX(店舗マスタ!$A$2:$A$54,ROW()-5)</f>
        <v>W長泉店</v>
      </c>
      <c r="F25" s="34">
        <f>SUMIFS(T_元データ[売上金額],T_元データ[年区分],F$5,T_元データ[店舗名],$E25,T_元データ[項目],$B$2)</f>
        <v>12549046</v>
      </c>
      <c r="G25" s="34">
        <f>SUMIFS(T_元データ[売上金額],T_元データ[年区分],G$5,T_元データ[店舗名],$E25,T_元データ[項目],$B$2)</f>
        <v>11646312</v>
      </c>
    </row>
    <row r="26" spans="1:11" x14ac:dyDescent="0.45">
      <c r="E26" t="str">
        <f>INDEX(店舗マスタ!$A$2:$A$54,ROW()-5)</f>
        <v>Ｋ函南店</v>
      </c>
      <c r="F26" s="34">
        <f>SUMIFS(T_元データ[売上金額],T_元データ[年区分],F$5,T_元データ[店舗名],$E26,T_元データ[項目],$B$2)</f>
        <v>29504794</v>
      </c>
      <c r="G26" s="34">
        <f>SUMIFS(T_元データ[売上金額],T_元データ[年区分],G$5,T_元データ[店舗名],$E26,T_元データ[項目],$B$2)</f>
        <v>29239176</v>
      </c>
    </row>
    <row r="27" spans="1:11" x14ac:dyDescent="0.45">
      <c r="E27" t="str">
        <f>INDEX(店舗マスタ!$A$2:$A$54,ROW()-5)</f>
        <v>Ｃ新沢田店</v>
      </c>
      <c r="F27" s="34">
        <f>SUMIFS(T_元データ[売上金額],T_元データ[年区分],F$5,T_元データ[店舗名],$E27,T_元データ[項目],$B$2)</f>
        <v>23105561</v>
      </c>
      <c r="G27" s="34">
        <f>SUMIFS(T_元データ[売上金額],T_元データ[年区分],G$5,T_元データ[店舗名],$E27,T_元データ[項目],$B$2)</f>
        <v>22147420</v>
      </c>
    </row>
    <row r="28" spans="1:11" x14ac:dyDescent="0.45">
      <c r="E28" t="str">
        <f>INDEX(店舗マスタ!$A$2:$A$54,ROW()-5)</f>
        <v>ＭＶ柳町店</v>
      </c>
      <c r="F28" s="34">
        <f>SUMIFS(T_元データ[売上金額],T_元データ[年区分],F$5,T_元データ[店舗名],$E28,T_元データ[項目],$B$2)</f>
        <v>15240592</v>
      </c>
      <c r="G28" s="34">
        <f>SUMIFS(T_元データ[売上金額],T_元データ[年区分],G$5,T_元データ[店舗名],$E28,T_元データ[項目],$B$2)</f>
        <v>14566275</v>
      </c>
    </row>
    <row r="29" spans="1:11" x14ac:dyDescent="0.45">
      <c r="E29" t="str">
        <f>INDEX(店舗マスタ!$A$2:$A$54,ROW()-5)</f>
        <v>清水町工場店</v>
      </c>
      <c r="F29" s="34">
        <f>SUMIFS(T_元データ[売上金額],T_元データ[年区分],F$5,T_元データ[店舗名],$E29,T_元データ[項目],$B$2)</f>
        <v>40529395</v>
      </c>
      <c r="G29" s="34">
        <f>SUMIFS(T_元データ[売上金額],T_元データ[年区分],G$5,T_元データ[店舗名],$E29,T_元データ[項目],$B$2)</f>
        <v>40887111</v>
      </c>
    </row>
    <row r="30" spans="1:11" x14ac:dyDescent="0.45">
      <c r="E30" t="str">
        <f>INDEX(店舗マスタ!$A$2:$A$54,ROW()-5)</f>
        <v>オギノ大坂店</v>
      </c>
      <c r="F30" s="34">
        <f>SUMIFS(T_元データ[売上金額],T_元データ[年区分],F$5,T_元データ[店舗名],$E30,T_元データ[項目],$B$2)</f>
        <v>13934712</v>
      </c>
      <c r="G30" s="34">
        <f>SUMIFS(T_元データ[売上金額],T_元データ[年区分],G$5,T_元データ[店舗名],$E30,T_元データ[項目],$B$2)</f>
        <v>13023710</v>
      </c>
    </row>
    <row r="31" spans="1:11" x14ac:dyDescent="0.45">
      <c r="E31" t="str">
        <f>INDEX(店舗マスタ!$A$2:$A$54,ROW()-5)</f>
        <v>三島徳倉店</v>
      </c>
      <c r="F31" s="34">
        <f>SUMIFS(T_元データ[売上金額],T_元データ[年区分],F$5,T_元データ[店舗名],$E31,T_元データ[項目],$B$2)</f>
        <v>8014083</v>
      </c>
      <c r="G31" s="34">
        <f>SUMIFS(T_元データ[売上金額],T_元データ[年区分],G$5,T_元データ[店舗名],$E31,T_元データ[項目],$B$2)</f>
        <v>7894922</v>
      </c>
    </row>
    <row r="32" spans="1:11" x14ac:dyDescent="0.45">
      <c r="E32" t="str">
        <f>INDEX(店舗マスタ!$A$2:$A$54,ROW()-5)</f>
        <v>西沢田店</v>
      </c>
      <c r="F32" s="34">
        <f>SUMIFS(T_元データ[売上金額],T_元データ[年区分],F$5,T_元データ[店舗名],$E32,T_元データ[項目],$B$2)</f>
        <v>13601610</v>
      </c>
      <c r="G32" s="34">
        <f>SUMIFS(T_元データ[売上金額],T_元データ[年区分],G$5,T_元データ[店舗名],$E32,T_元データ[項目],$B$2)</f>
        <v>12978999</v>
      </c>
    </row>
    <row r="33" spans="5:7" x14ac:dyDescent="0.45">
      <c r="E33" t="str">
        <f>INDEX(店舗マスタ!$A$2:$A$54,ROW()-5)</f>
        <v>中土狩店</v>
      </c>
      <c r="F33" s="34">
        <f>SUMIFS(T_元データ[売上金額],T_元データ[年区分],F$5,T_元データ[店舗名],$E33,T_元データ[項目],$B$2)</f>
        <v>30313671</v>
      </c>
      <c r="G33" s="34">
        <f>SUMIFS(T_元データ[売上金額],T_元データ[年区分],G$5,T_元データ[店舗名],$E33,T_元データ[項目],$B$2)</f>
        <v>31647260</v>
      </c>
    </row>
    <row r="34" spans="5:7" x14ac:dyDescent="0.45">
      <c r="E34" t="str">
        <f>INDEX(店舗マスタ!$A$2:$A$54,ROW()-5)</f>
        <v>萩原店</v>
      </c>
      <c r="F34" s="34">
        <f>SUMIFS(T_元データ[売上金額],T_元データ[年区分],F$5,T_元データ[店舗名],$E34,T_元データ[項目],$B$2)</f>
        <v>21389099</v>
      </c>
      <c r="G34" s="34">
        <f>SUMIFS(T_元データ[売上金額],T_元データ[年区分],G$5,T_元データ[店舗名],$E34,T_元データ[項目],$B$2)</f>
        <v>22087366</v>
      </c>
    </row>
    <row r="35" spans="5:7" x14ac:dyDescent="0.45">
      <c r="E35" t="str">
        <f>INDEX(店舗マスタ!$A$2:$A$54,ROW()-5)</f>
        <v>静岡工場店</v>
      </c>
      <c r="F35" s="34">
        <f>SUMIFS(T_元データ[売上金額],T_元データ[年区分],F$5,T_元データ[店舗名],$E35,T_元データ[項目],$B$2)</f>
        <v>2763751</v>
      </c>
      <c r="G35" s="34">
        <f>SUMIFS(T_元データ[売上金額],T_元データ[年区分],G$5,T_元データ[店舗名],$E35,T_元データ[項目],$B$2)</f>
        <v>2654316</v>
      </c>
    </row>
    <row r="36" spans="5:7" x14ac:dyDescent="0.45">
      <c r="E36" t="str">
        <f>INDEX(店舗マスタ!$A$2:$A$54,ROW()-5)</f>
        <v>焼津店</v>
      </c>
      <c r="F36" s="34">
        <f>SUMIFS(T_元データ[売上金額],T_元データ[年区分],F$5,T_元データ[店舗名],$E36,T_元データ[項目],$B$2)</f>
        <v>29812061</v>
      </c>
      <c r="G36" s="34">
        <f>SUMIFS(T_元データ[売上金額],T_元データ[年区分],G$5,T_元データ[店舗名],$E36,T_元データ[項目],$B$2)</f>
        <v>29740449</v>
      </c>
    </row>
    <row r="37" spans="5:7" x14ac:dyDescent="0.45">
      <c r="E37" t="str">
        <f>INDEX(店舗マスタ!$A$2:$A$54,ROW()-5)</f>
        <v>城北店</v>
      </c>
      <c r="F37" s="34">
        <f>SUMIFS(T_元データ[売上金額],T_元データ[年区分],F$5,T_元データ[店舗名],$E37,T_元データ[項目],$B$2)</f>
        <v>13987508</v>
      </c>
      <c r="G37" s="34">
        <f>SUMIFS(T_元データ[売上金額],T_元データ[年区分],G$5,T_元データ[店舗名],$E37,T_元データ[項目],$B$2)</f>
        <v>13508899</v>
      </c>
    </row>
    <row r="38" spans="5:7" x14ac:dyDescent="0.45">
      <c r="E38" t="str">
        <f>INDEX(店舗マスタ!$A$2:$A$54,ROW()-5)</f>
        <v>藤枝店</v>
      </c>
      <c r="F38" s="34">
        <f>SUMIFS(T_元データ[売上金額],T_元データ[年区分],F$5,T_元データ[店舗名],$E38,T_元データ[項目],$B$2)</f>
        <v>23187194</v>
      </c>
      <c r="G38" s="34">
        <f>SUMIFS(T_元データ[売上金額],T_元データ[年区分],G$5,T_元データ[店舗名],$E38,T_元データ[項目],$B$2)</f>
        <v>23366292</v>
      </c>
    </row>
    <row r="39" spans="5:7" x14ac:dyDescent="0.45">
      <c r="E39" t="str">
        <f>INDEX(店舗マスタ!$A$2:$A$54,ROW()-5)</f>
        <v>曲金店</v>
      </c>
      <c r="F39" s="34">
        <f>SUMIFS(T_元データ[売上金額],T_元データ[年区分],F$5,T_元データ[店舗名],$E39,T_元データ[項目],$B$2)</f>
        <v>11426889</v>
      </c>
      <c r="G39" s="34">
        <f>SUMIFS(T_元データ[売上金額],T_元データ[年区分],G$5,T_元データ[店舗名],$E39,T_元データ[項目],$B$2)</f>
        <v>10926942</v>
      </c>
    </row>
    <row r="40" spans="5:7" x14ac:dyDescent="0.45">
      <c r="E40" t="str">
        <f>INDEX(店舗マスタ!$A$2:$A$54,ROW()-5)</f>
        <v>与惣次店</v>
      </c>
      <c r="F40" s="34">
        <f>SUMIFS(T_元データ[売上金額],T_元データ[年区分],F$5,T_元データ[店舗名],$E40,T_元データ[項目],$B$2)</f>
        <v>16421363</v>
      </c>
      <c r="G40" s="34">
        <f>SUMIFS(T_元データ[売上金額],T_元データ[年区分],G$5,T_元データ[店舗名],$E40,T_元データ[項目],$B$2)</f>
        <v>16214885</v>
      </c>
    </row>
    <row r="41" spans="5:7" x14ac:dyDescent="0.45">
      <c r="E41" t="str">
        <f>INDEX(店舗マスタ!$A$2:$A$54,ROW()-5)</f>
        <v>瀬名店</v>
      </c>
      <c r="F41" s="34">
        <f>SUMIFS(T_元データ[売上金額],T_元データ[年区分],F$5,T_元データ[店舗名],$E41,T_元データ[項目],$B$2)</f>
        <v>15495757</v>
      </c>
      <c r="G41" s="34">
        <f>SUMIFS(T_元データ[売上金額],T_元データ[年区分],G$5,T_元データ[店舗名],$E41,T_元データ[項目],$B$2)</f>
        <v>15352065</v>
      </c>
    </row>
    <row r="42" spans="5:7" x14ac:dyDescent="0.45">
      <c r="E42" t="str">
        <f>INDEX(店舗マスタ!$A$2:$A$54,ROW()-5)</f>
        <v>豊田店</v>
      </c>
      <c r="F42" s="34">
        <f>SUMIFS(T_元データ[売上金額],T_元データ[年区分],F$5,T_元データ[店舗名],$E42,T_元データ[項目],$B$2)</f>
        <v>17910542</v>
      </c>
      <c r="G42" s="34">
        <f>SUMIFS(T_元データ[売上金額],T_元データ[年区分],G$5,T_元データ[店舗名],$E42,T_元データ[項目],$B$2)</f>
        <v>17563639</v>
      </c>
    </row>
    <row r="43" spans="5:7" x14ac:dyDescent="0.45">
      <c r="E43" t="str">
        <f>INDEX(店舗マスタ!$A$2:$A$54,ROW()-5)</f>
        <v>吉田店</v>
      </c>
      <c r="F43" s="34">
        <f>SUMIFS(T_元データ[売上金額],T_元データ[年区分],F$5,T_元データ[店舗名],$E43,T_元データ[項目],$B$2)</f>
        <v>19238401</v>
      </c>
      <c r="G43" s="34">
        <f>SUMIFS(T_元データ[売上金額],T_元データ[年区分],G$5,T_元データ[店舗名],$E43,T_元データ[項目],$B$2)</f>
        <v>18023466</v>
      </c>
    </row>
    <row r="44" spans="5:7" x14ac:dyDescent="0.45">
      <c r="E44" t="str">
        <f>INDEX(店舗マスタ!$A$2:$A$54,ROW()-5)</f>
        <v>石津店</v>
      </c>
      <c r="F44" s="34">
        <f>SUMIFS(T_元データ[売上金額],T_元データ[年区分],F$5,T_元データ[店舗名],$E44,T_元データ[項目],$B$2)</f>
        <v>19965381</v>
      </c>
      <c r="G44" s="34">
        <f>SUMIFS(T_元データ[売上金額],T_元データ[年区分],G$5,T_元データ[店舗名],$E44,T_元データ[項目],$B$2)</f>
        <v>21706648</v>
      </c>
    </row>
    <row r="45" spans="5:7" x14ac:dyDescent="0.45">
      <c r="E45" t="str">
        <f>INDEX(店舗マスタ!$A$2:$A$54,ROW()-5)</f>
        <v>八坂店</v>
      </c>
      <c r="F45" s="34">
        <f>SUMIFS(T_元データ[売上金額],T_元データ[年区分],F$5,T_元データ[店舗名],$E45,T_元データ[項目],$B$2)</f>
        <v>14959087</v>
      </c>
      <c r="G45" s="34">
        <f>SUMIFS(T_元データ[売上金額],T_元データ[年区分],G$5,T_元データ[店舗名],$E45,T_元データ[項目],$B$2)</f>
        <v>14676094</v>
      </c>
    </row>
    <row r="46" spans="5:7" x14ac:dyDescent="0.45">
      <c r="E46" t="str">
        <f>INDEX(店舗マスタ!$A$2:$A$54,ROW()-5)</f>
        <v>原  店</v>
      </c>
      <c r="F46" s="34">
        <f>SUMIFS(T_元データ[売上金額],T_元データ[年区分],F$5,T_元データ[店舗名],$E46,T_元データ[項目],$B$2)</f>
        <v>20224101</v>
      </c>
      <c r="G46" s="34">
        <f>SUMIFS(T_元データ[売上金額],T_元データ[年区分],G$5,T_元データ[店舗名],$E46,T_元データ[項目],$B$2)</f>
        <v>18706503</v>
      </c>
    </row>
    <row r="47" spans="5:7" x14ac:dyDescent="0.45">
      <c r="E47" t="str">
        <f>INDEX(店舗マスタ!$A$2:$A$54,ROW()-5)</f>
        <v>ＭＶ原町店</v>
      </c>
      <c r="F47" s="34">
        <f>SUMIFS(T_元データ[売上金額],T_元データ[年区分],F$5,T_元データ[店舗名],$E47,T_元データ[項目],$B$2)</f>
        <v>14287240</v>
      </c>
      <c r="G47" s="34">
        <f>SUMIFS(T_元データ[売上金額],T_元データ[年区分],G$5,T_元データ[店舗名],$E47,T_元データ[項目],$B$2)</f>
        <v>13424921</v>
      </c>
    </row>
    <row r="48" spans="5:7" x14ac:dyDescent="0.45">
      <c r="E48" t="str">
        <f>INDEX(店舗マスタ!$A$2:$A$54,ROW()-5)</f>
        <v>松長店</v>
      </c>
      <c r="F48" s="34">
        <f>SUMIFS(T_元データ[売上金額],T_元データ[年区分],F$5,T_元データ[店舗名],$E48,T_元データ[項目],$B$2)</f>
        <v>14821927</v>
      </c>
      <c r="G48" s="34">
        <f>SUMIFS(T_元データ[売上金額],T_元データ[年区分],G$5,T_元データ[店舗名],$E48,T_元データ[項目],$B$2)</f>
        <v>15077505</v>
      </c>
    </row>
    <row r="49" spans="5:7" x14ac:dyDescent="0.45">
      <c r="E49" t="str">
        <f>INDEX(店舗マスタ!$A$2:$A$54,ROW()-5)</f>
        <v>田中町店</v>
      </c>
      <c r="F49" s="34">
        <f>SUMIFS(T_元データ[売上金額],T_元データ[年区分],F$5,T_元データ[店舗名],$E49,T_元データ[項目],$B$2)</f>
        <v>20899367</v>
      </c>
      <c r="G49" s="34">
        <f>SUMIFS(T_元データ[売上金額],T_元データ[年区分],G$5,T_元データ[店舗名],$E49,T_元データ[項目],$B$2)</f>
        <v>20188845</v>
      </c>
    </row>
    <row r="50" spans="5:7" x14ac:dyDescent="0.45">
      <c r="E50" t="str">
        <f>INDEX(店舗マスタ!$A$2:$A$54,ROW()-5)</f>
        <v>松岡店</v>
      </c>
      <c r="F50" s="34">
        <f>SUMIFS(T_元データ[売上金額],T_元データ[年区分],F$5,T_元データ[店舗名],$E50,T_元データ[項目],$B$2)</f>
        <v>19835507</v>
      </c>
      <c r="G50" s="34">
        <f>SUMIFS(T_元データ[売上金額],T_元データ[年区分],G$5,T_元データ[店舗名],$E50,T_元データ[項目],$B$2)</f>
        <v>19355397</v>
      </c>
    </row>
    <row r="51" spans="5:7" x14ac:dyDescent="0.45">
      <c r="E51" t="str">
        <f>INDEX(店舗マスタ!$A$2:$A$54,ROW()-5)</f>
        <v>MV江尾店</v>
      </c>
      <c r="F51" s="34">
        <f>SUMIFS(T_元データ[売上金額],T_元データ[年区分],F$5,T_元データ[店舗名],$E51,T_元データ[項目],$B$2)</f>
        <v>12225799</v>
      </c>
      <c r="G51" s="34">
        <f>SUMIFS(T_元データ[売上金額],T_元データ[年区分],G$5,T_元データ[店舗名],$E51,T_元データ[項目],$B$2)</f>
        <v>12523888</v>
      </c>
    </row>
    <row r="52" spans="5:7" x14ac:dyDescent="0.45">
      <c r="E52" t="str">
        <f>INDEX(店舗マスタ!$A$2:$A$54,ROW()-5)</f>
        <v>蒲原店</v>
      </c>
      <c r="F52" s="34">
        <f>SUMIFS(T_元データ[売上金額],T_元データ[年区分],F$5,T_元データ[店舗名],$E52,T_元データ[項目],$B$2)</f>
        <v>14802787</v>
      </c>
      <c r="G52" s="34">
        <f>SUMIFS(T_元データ[売上金額],T_元データ[年区分],G$5,T_元データ[店舗名],$E52,T_元データ[項目],$B$2)</f>
        <v>13458222</v>
      </c>
    </row>
    <row r="53" spans="5:7" x14ac:dyDescent="0.45">
      <c r="E53" t="str">
        <f>INDEX(店舗マスタ!$A$2:$A$54,ROW()-5)</f>
        <v>松野店</v>
      </c>
      <c r="F53" s="34">
        <f>SUMIFS(T_元データ[売上金額],T_元データ[年区分],F$5,T_元データ[店舗名],$E53,T_元データ[項目],$B$2)</f>
        <v>13231280</v>
      </c>
      <c r="G53" s="34">
        <f>SUMIFS(T_元データ[売上金額],T_元データ[年区分],G$5,T_元データ[店舗名],$E53,T_元データ[項目],$B$2)</f>
        <v>12369793</v>
      </c>
    </row>
    <row r="54" spans="5:7" x14ac:dyDescent="0.45">
      <c r="E54" t="str">
        <f>INDEX(店舗マスタ!$A$2:$A$54,ROW()-5)</f>
        <v>石坂店</v>
      </c>
      <c r="F54" s="34">
        <f>SUMIFS(T_元データ[売上金額],T_元データ[年区分],F$5,T_元データ[店舗名],$E54,T_元データ[項目],$B$2)</f>
        <v>28924108</v>
      </c>
      <c r="G54" s="34">
        <f>SUMIFS(T_元データ[売上金額],T_元データ[年区分],G$5,T_元データ[店舗名],$E54,T_元データ[項目],$B$2)</f>
        <v>28874709</v>
      </c>
    </row>
    <row r="55" spans="5:7" x14ac:dyDescent="0.45">
      <c r="E55" t="str">
        <f>INDEX(店舗マスタ!$A$2:$A$54,ROW()-5)</f>
        <v>荒田島店</v>
      </c>
      <c r="F55" s="34">
        <f>SUMIFS(T_元データ[売上金額],T_元データ[年区分],F$5,T_元データ[店舗名],$E55,T_元データ[項目],$B$2)</f>
        <v>14527846</v>
      </c>
      <c r="G55" s="34">
        <f>SUMIFS(T_元データ[売上金額],T_元データ[年区分],G$5,T_元データ[店舗名],$E55,T_元データ[項目],$B$2)</f>
        <v>15133113</v>
      </c>
    </row>
    <row r="56" spans="5:7" x14ac:dyDescent="0.45">
      <c r="E56" t="str">
        <f>INDEX(店舗マスタ!$A$2:$A$54,ROW()-5)</f>
        <v>水戸島店</v>
      </c>
      <c r="F56" s="34">
        <f>SUMIFS(T_元データ[売上金額],T_元データ[年区分],F$5,T_元データ[店舗名],$E56,T_元データ[項目],$B$2)</f>
        <v>15601059</v>
      </c>
      <c r="G56" s="34">
        <f>SUMIFS(T_元データ[売上金額],T_元データ[年区分],G$5,T_元データ[店舗名],$E56,T_元データ[項目],$B$2)</f>
        <v>14848911</v>
      </c>
    </row>
    <row r="57" spans="5:7" x14ac:dyDescent="0.45">
      <c r="E57" t="str">
        <f>INDEX(店舗マスタ!$A$2:$A$54,ROW()-5)</f>
        <v>穂波町店</v>
      </c>
      <c r="F57" s="34">
        <f>SUMIFS(T_元データ[売上金額],T_元データ[年区分],F$5,T_元データ[店舗名],$E57,T_元データ[項目],$B$2)</f>
        <v>15576025</v>
      </c>
      <c r="G57" s="34">
        <f>SUMIFS(T_元データ[売上金額],T_元データ[年区分],G$5,T_元データ[店舗名],$E57,T_元データ[項目],$B$2)</f>
        <v>17592903</v>
      </c>
    </row>
    <row r="58" spans="5:7" x14ac:dyDescent="0.45">
      <c r="E58" t="str">
        <f>INDEX(店舗マスタ!$A$2:$A$54,ROW()-5)</f>
        <v>竹原店</v>
      </c>
      <c r="F58" s="34">
        <f>SUMIFS(T_元データ[売上金額],T_元データ[年区分],F$5,T_元データ[店舗名],$E58,T_元データ[項目],$B$2)</f>
        <v>2148606</v>
      </c>
      <c r="G58" s="34">
        <f>SUMIFS(T_元データ[売上金額],T_元データ[年区分],G$5,T_元データ[店舗名],$E58,T_元データ[項目],$B$2)</f>
        <v>3034371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元データ</vt:lpstr>
      <vt:lpstr>元データ_14項目</vt:lpstr>
      <vt:lpstr>元データ_加工</vt:lpstr>
      <vt:lpstr>店舗マスタ</vt:lpstr>
      <vt:lpstr>1_昨対表</vt:lpstr>
      <vt:lpstr>2_ワイシャツ_ズボン_ジャケット</vt:lpstr>
      <vt:lpstr>3_アプリ_BD</vt:lpstr>
      <vt:lpstr>4_ダイヤモンド</vt:lpstr>
      <vt:lpstr>5_14項目</vt:lpstr>
      <vt:lpstr>6_加工</vt:lpstr>
      <vt:lpstr>ピボット_売上</vt:lpstr>
      <vt:lpstr>ピボット_14項目</vt:lpstr>
      <vt:lpstr>ピボット_加工</vt:lpstr>
      <vt:lpstr>ピボット_項目別</vt:lpstr>
      <vt:lpstr>比較グラフ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悟 中村</dc:creator>
  <cp:lastModifiedBy>悟 中村</cp:lastModifiedBy>
  <cp:lastPrinted>2026-08-07T10:17:02Z</cp:lastPrinted>
  <dcterms:created xsi:type="dcterms:W3CDTF">2026-08-07T08:16:18Z</dcterms:created>
  <dcterms:modified xsi:type="dcterms:W3CDTF">2026-08-11T00:35:22Z</dcterms:modified>
</cp:coreProperties>
</file>